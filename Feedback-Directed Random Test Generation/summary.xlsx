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808e7a81fd41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30af7430a2c4bce"/>
    <x:sheet xmlns:r="http://schemas.openxmlformats.org/officeDocument/2006/relationships" name="Data" sheetId="2" r:id="Rcfe5bcfd01334e1f"/>
    <x:sheet xmlns:r="http://schemas.openxmlformats.org/officeDocument/2006/relationships" name="ResourceCheck" sheetId="3" r:id="Rf6c3aa082e124512"/>
    <x:sheet xmlns:r="http://schemas.openxmlformats.org/officeDocument/2006/relationships" name="BugResults" sheetId="4" r:id="R8e2a74ad6fad4d78"/>
    <x:sheet xmlns:r="http://schemas.openxmlformats.org/officeDocument/2006/relationships" name="Verdicts" sheetId="5" r:id="R776efdb089594548"/>
    <x:sheet xmlns:r="http://schemas.openxmlformats.org/officeDocument/2006/relationships" name="StatusChecks" sheetId="6" r:id="R38ebab7df9ff4c76"/>
    <x:sheet xmlns:r="http://schemas.openxmlformats.org/officeDocument/2006/relationships" name="UnavailableCauses" sheetId="7" r:id="R0eba4d8870074476"/>
    <x:sheet xmlns:r="http://schemas.openxmlformats.org/officeDocument/2006/relationships" name="Coverage" sheetId="8" r:id="R77ed0f04dc464ed8"/>
    <x:sheet xmlns:r="http://schemas.openxmlformats.org/officeDocument/2006/relationships" name="CoverageCases" sheetId="9" r:id="R48c32c49ed9d4566"/>
    <x:sheet xmlns:r="http://schemas.openxmlformats.org/officeDocument/2006/relationships" name="Intersection" sheetId="10" r:id="Rf55fc462f7cc4d99"/>
    <x:sheet xmlns:r="http://schemas.openxmlformats.org/officeDocument/2006/relationships" name="ReportNotes" sheetId="11" r:id="R185e7dc1c10a4745"/>
    <x:sheet xmlns:r="http://schemas.openxmlformats.org/officeDocument/2006/relationships" name="StatusChanges" sheetId="12" r:id="R24156e0234a447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#,##0.00"/>
    <x:numFmt numFmtId="203" formatCode="0"/>
    <x:numFmt numFmtId="204" formatCode="0.00"/>
    <x:numFmt numFmtId="205" formatCode="General"/>
  </x:numFmts>
  <x:fonts count="14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sz val="11"/>
      <x:color rgb="FF18263B"/>
      <x:name val="Arial"/>
    </x:font>
    <x:font>
      <x:b/>
      <x:sz val="11"/>
      <x:color rgb="FF18263B"/>
      <x:name val="Arial"/>
    </x:font>
    <x:font>
      <x:b/>
      <x:sz val="16"/>
      <x:color rgb="FF18263B"/>
      <x:name val="Arial"/>
    </x:font>
    <x:font>
      <x:sz val="10"/>
      <x:color rgb="FF4C627B"/>
      <x:name val="Arial"/>
    </x:font>
    <x:font>
      <x:sz val="10"/>
      <x:color rgb="FF18263B"/>
      <x:name val="Arial"/>
    </x:font>
    <x:font>
      <x:b/>
      <x:sz val="10"/>
      <x:color rgb="FFFFFFFF"/>
      <x:name val="Arial"/>
    </x:font>
    <x:font>
      <x:b/>
      <x:sz val="14"/>
      <x:color rgb="FF18263B"/>
      <x:name val="Arial"/>
    </x:font>
    <x:font>
      <x:sz val="11"/>
      <x:color rgb="FF4C627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</x:fills>
  <x:borders count="1">
    <x:border/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201" fontId="6" fillId="0" borderId="0" xfId="0" applyNumberFormat="1" applyFont="1" applyFill="1" applyBorder="1" applyAlignment="1">
      <x:alignment horizontal="right"/>
    </x:xf>
    <x:xf numFmtId="0" fontId="10" fillId="0" borderId="0" xfId="0" applyNumberFormat="1" applyFont="1" applyFill="1" applyBorder="1"/>
    <x:xf numFmtId="0" fontId="10" fillId="4" borderId="0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204" fontId="10" fillId="0" borderId="0" xfId="0" applyNumberFormat="1" applyFont="1" applyFill="1" applyBorder="1"/>
    <x:xf numFmtId="200" fontId="6" fillId="0" borderId="0" xfId="0" applyNumberFormat="1" applyFont="1" applyFill="1" applyBorder="1"/>
    <x:xf numFmtId="0" fontId="12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4" fillId="4" borderId="0" xfId="0" applyNumberFormat="1" applyFont="1" applyFill="1" applyBorder="1" applyAlignment="1">
      <x:alignment wrapText="1"/>
    </x:xf>
    <x:xf numFmtId="205" fontId="4" fillId="4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/>
    <x:xf numFmtId="204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3b03348bf4686" /><Relationship Type="http://schemas.openxmlformats.org/officeDocument/2006/relationships/theme" Target="/xl/theme/theme1.xml" Id="Rdf4c990e146e484d" /><Relationship Type="http://schemas.microsoft.com/office/2022/11/relationships/FeaturePropertyBag" Target="/xl/featurePropertyBag/featurePropertyBag.xml" Id="R3844a8bb0c5a467d" /><Relationship Type="http://schemas.openxmlformats.org/officeDocument/2006/relationships/sharedStrings" Target="/xl/sharedStrings.xml" Id="R2e1376f8fa744b0f" /><Relationship Type="http://schemas.openxmlformats.org/officeDocument/2006/relationships/worksheet" Target="/xl/worksheets/sheet1.xml" Id="R930af7430a2c4bce" /><Relationship Type="http://schemas.openxmlformats.org/officeDocument/2006/relationships/worksheet" Target="/xl/worksheets/sheet2.xml" Id="Rcfe5bcfd01334e1f" /><Relationship Type="http://schemas.openxmlformats.org/officeDocument/2006/relationships/worksheet" Target="/xl/worksheets/sheet3.xml" Id="Rf6c3aa082e124512" /><Relationship Type="http://schemas.openxmlformats.org/officeDocument/2006/relationships/worksheet" Target="/xl/worksheets/sheet4.xml" Id="R8e2a74ad6fad4d78" /><Relationship Type="http://schemas.openxmlformats.org/officeDocument/2006/relationships/worksheet" Target="/xl/worksheets/sheet5.xml" Id="R776efdb089594548" /><Relationship Type="http://schemas.openxmlformats.org/officeDocument/2006/relationships/worksheet" Target="/xl/worksheets/sheet6.xml" Id="R38ebab7df9ff4c76" /><Relationship Type="http://schemas.openxmlformats.org/officeDocument/2006/relationships/worksheet" Target="/xl/worksheets/sheet7.xml" Id="R0eba4d8870074476" /><Relationship Type="http://schemas.openxmlformats.org/officeDocument/2006/relationships/worksheet" Target="/xl/worksheets/sheet8.xml" Id="R77ed0f04dc464ed8" /><Relationship Type="http://schemas.openxmlformats.org/officeDocument/2006/relationships/worksheet" Target="/xl/worksheets/sheet9.xml" Id="R48c32c49ed9d4566" /><Relationship Type="http://schemas.openxmlformats.org/officeDocument/2006/relationships/worksheet" Target="/xl/worksheets/sheet10.xml" Id="Rf55fc462f7cc4d99" /><Relationship Type="http://schemas.openxmlformats.org/officeDocument/2006/relationships/worksheet" Target="/xl/worksheets/sheet11.xml" Id="R185e7dc1c10a4745" /><Relationship Type="http://schemas.openxmlformats.org/officeDocument/2006/relationships/worksheet" Target="/xl/worksheets/sheet12.xml" Id="R24156e0234a4473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sultsData" displayName="ResultsData" ref="A1:V1709" headerRowCount="1" totalsRowCount="0" totalsRowShown="0">
  <x:autoFilter ref="A1:V1709"/>
  <x:tableColumns count="22">
    <x:tableColumn id="1" name="round"/>
    <x:tableColumn id="2" name="project"/>
    <x:tableColumn id="3" name="bug_id"/>
    <x:tableColumn id="4" name="seed"/>
    <x:tableColumn id="5" name="budget"/>
    <x:tableColumn id="6" name="tests"/>
    <x:tableColumn id="7" name="coverage"/>
    <x:tableColumn id="8" name="line_cov"/>
    <x:tableColumn id="9" name="condition_coverage"/>
    <x:tableColumn id="10" name="total_goals"/>
    <x:tableColumn id="11" name="covered_goals"/>
    <x:tableColumn id="12" name="lines"/>
    <x:tableColumn id="13" name="covered_lines"/>
    <x:tableColumn id="14" name="conditions_total"/>
    <x:tableColumn id="15" name="conditions_covered"/>
    <x:tableColumn id="16" name="buggy_result"/>
    <x:tableColumn id="17" name="buggy_fails"/>
    <x:tableColumn id="18" name="fixed_result"/>
    <x:tableColumn id="19" name="fixed_fails"/>
    <x:tableColumn id="20" name="verdict"/>
    <x:tableColumn id="21" name="target"/>
    <x:tableColumn id="22" name="execution_secon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gResultsTable" displayName="BugResultsTable" ref="A1:V1709" headerRowCount="1" totalsRowCount="0" totalsRowShown="0">
  <x:autoFilter ref="A1:V1709"/>
  <x:tableColumns count="22">
    <x:tableColumn id="1" name="project"/>
    <x:tableColumn id="2" name="bug_id"/>
    <x:tableColumn id="3" name="round"/>
    <x:tableColumn id="4" name="status"/>
    <x:tableColumn id="5" name="partial_generation"/>
    <x:tableColumn id="6" name="notes"/>
    <x:tableColumn id="7" name="partial_generation_known"/>
    <x:tableColumn id="8" name="previous_status"/>
    <x:tableColumn id="9" name="buggy_result"/>
    <x:tableColumn id="10" name="fixed_result"/>
    <x:tableColumn id="11" name="java_files"/>
    <x:tableColumn id="12" name="latest_generation_failed"/>
    <x:tableColumn id="13" name="generation_source"/>
    <x:tableColumn id="14" name="validation_source"/>
    <x:tableColumn id="15" name="coverage_source"/>
    <x:tableColumn id="16" name="not_available_cause"/>
    <x:tableColumn id="17" name="generation_failed_tasks"/>
    <x:tableColumn id="18" name="failed_generation_classes"/>
    <x:tableColumn id="19" name="missing_generation_classes"/>
    <x:tableColumn id="20" name="stale_generation_failure"/>
    <x:tableColumn id="21" name="has_test_methods"/>
    <x:tableColumn id="22" name="status_chang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verageCasesTable" displayName="CoverageCasesTable" ref="A1:Q5125" headerRowCount="1" totalsRowCount="0" totalsRowShown="0">
  <x:autoFilter ref="A1:Q5125"/>
  <x:tableColumns count="17">
    <x:tableColumn id="1" name="Method"/>
    <x:tableColumn id="2" name="Project"/>
    <x:tableColumn id="3" name="Round"/>
    <x:tableColumn id="4" name="Target"/>
    <x:tableColumn id="5" name="Metric"/>
    <x:tableColumn id="6" name="Measurable total"/>
    <x:tableColumn id="7" name="Class"/>
    <x:tableColumn id="8" name="Raw coverage (%)"/>
    <x:tableColumn id="9" name="Coverage status"/>
    <x:tableColumn id="10" name="Compile"/>
    <x:tableColumn id="11" name="Test compile"/>
    <x:tableColumn id="12" name="Buggy result"/>
    <x:tableColumn id="13" name="Reason"/>
    <x:tableColumn id="14" name="Coverage source"/>
    <x:tableColumn id="15" name="Eligible coverage (%)"/>
    <x:tableColumn id="16" name="Latest verdict"/>
    <x:tableColumn id="17" name="Verdict 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tatusChangesTable" displayName="StatusChangesTable" ref="B6:J14" headerRowCount="1" totalsRowCount="0" totalsRowShown="0">
  <x:autoFilter ref="B6:J14"/>
  <x:tableColumns count="9">
    <x:tableColumn id="1" name="Project"/>
    <x:tableColumn id="2" name="Bug"/>
    <x:tableColumn id="3" name="Round"/>
    <x:tableColumn id="4" name="Saved verdict"/>
    <x:tableColumn id="5" name="Current verdict"/>
    <x:tableColumn id="6" name="Reason"/>
    <x:tableColumn id="7" name="Generation source"/>
    <x:tableColumn id="8" name="Validation source"/>
    <x:tableColumn id="9" name="Coverage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a4c0b1012b46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f6905cd3600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3.xml" Id="R399e7fed3f96410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35dc8853a8de47f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 xml:space="preserve">Randoop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 xml:space="preserve">Feedback-directed random test generation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>
      <x:c r="A5" s="1"/>
      <x:c r="B5" s="8" t="inlineStr">
        <x:is>
          <x:t xml:space="preserve">Metric</x:t>
        </x:is>
      </x:c>
      <x:c r="C5" s="8" t="inlineStr">
        <x:is>
          <x:t xml:space="preserve">Round1</x:t>
        </x:is>
      </x:c>
      <x:c r="D5" s="8" t="inlineStr">
        <x:is>
          <x:t xml:space="preserve">Round2</x:t>
        </x:is>
      </x:c>
      <x:c r="E5" s="8" t="inlineStr">
        <x:is>
          <x:t xml:space="preserve">All rounds</x:t>
        </x:is>
      </x:c>
      <x:c r="F5" s="1"/>
      <x:c r="G5" s="1"/>
      <x:c r="H5" s="1"/>
      <x:c r="I5" s="1"/>
      <x:c r="J5" s="1"/>
    </x:row>
    <x:row r="6">
      <x:c r="B6" s="1" t="inlineStr">
        <x:is>
          <x:t xml:space="preserve">Results</x:t>
        </x:is>
      </x:c>
      <x:c r="C6" s="4" t="n">
        <x:f>COUNTIFS(Data!$A$2:$A$1709,"Round1",Data!$U$2:$U$1709,"&lt;&gt;")</x:f>
        <x:v>854</x:v>
      </x:c>
      <x:c r="D6" s="4" t="n">
        <x:f>COUNTIFS(Data!$A$2:$A$1709,"Round2",Data!$U$2:$U$1709,"&lt;&gt;")</x:f>
        <x:v>854</x:v>
      </x:c>
      <x:c r="E6" s="4" t="n">
        <x:f>COUNTA(Data!$U$2:$U$1709)</x:f>
        <x:v>1708</x:v>
      </x:c>
    </x:row>
    <x:row r="7">
      <x:c r="B7" s="1" t="inlineStr">
        <x:is>
          <x:t xml:space="preserve">Average coverage</x:t>
        </x:is>
      </x:c>
      <x:c r="C7" s="5" t="n">
        <x:f>'Coverage'!J10</x:f>
        <x:v>0.2989756009615384</x:v>
      </x:c>
      <x:c r="D7" s="5" t="n">
        <x:f>'Coverage'!J13</x:f>
        <x:v>0.3315509756097563</x:v>
      </x:c>
      <x:c r="E7" s="5" t="n">
        <x:f>'Coverage'!J7</x:f>
        <x:v>0.31514497578692485</x:v>
      </x:c>
    </x:row>
    <x:row r="8">
      <x:c r="B8" s="1" t="inlineStr">
        <x:is>
          <x:t xml:space="preserve">Average line coverage</x:t>
        </x:is>
      </x:c>
      <x:c r="C8" s="5" t="n">
        <x:f>'Coverage'!J11</x:f>
        <x:v>0.33371694711538497</x:v>
      </x:c>
      <x:c r="D8" s="5" t="n">
        <x:f>'Coverage'!J14</x:f>
        <x:v>0.3649951219512195</x:v>
      </x:c>
      <x:c r="E8" s="5" t="n">
        <x:f>'Coverage'!J8</x:f>
        <x:v>0.34924243341404365</x:v>
      </x:c>
    </x:row>
    <x:row r="9">
      <x:c r="B9" s="1" t="inlineStr">
        <x:is>
          <x:t xml:space="preserve">Average condition coverage</x:t>
        </x:is>
      </x:c>
      <x:c r="C9" s="5" t="n">
        <x:f>'Coverage'!J12</x:f>
        <x:v>0.23104185765983132</x:v>
      </x:c>
      <x:c r="D9" s="5" t="n">
        <x:f>'Coverage'!J15</x:f>
        <x:v>0.2674182374541004</x:v>
      </x:c>
      <x:c r="E9" s="5" t="n">
        <x:f>'Coverage'!J9</x:f>
        <x:v>0.2490974483596599</x:v>
      </x:c>
    </x:row>
    <x:row r="10">
      <x:c r="B10" s="1" t="inlineStr">
        <x:is>
          <x:t xml:space="preserve">Revealing results</x:t>
        </x:is>
      </x:c>
      <x:c r="C10" s="4" t="n">
        <x:f>'Verdicts'!E12</x:f>
        <x:v>1</x:v>
      </x:c>
      <x:c r="D10" s="4" t="n">
        <x:f>'Verdicts'!E17</x:f>
        <x:v>1</x:v>
      </x:c>
      <x:c r="E10" s="4" t="n">
        <x:f>'Verdicts'!E7</x:f>
        <x:v>2</x:v>
      </x:c>
    </x:row>
    <x:row r="11">
      <x:c r="B11" s="1" t="inlineStr">
        <x:is>
          <x:t xml:space="preserve">Revealing rate</x:t>
        </x:is>
      </x:c>
      <x:c r="C11" s="5" t="n">
        <x:f>C10/C6</x:f>
        <x:v>0.00117096018735363</x:v>
      </x:c>
      <x:c r="D11" s="5" t="n">
        <x:f>D10/D6</x:f>
        <x:v>0.00117096018735363</x:v>
      </x:c>
      <x:c r="E11" s="5" t="n">
        <x:f>E10/E6</x:f>
        <x:v>0.00117096018735363</x:v>
      </x:c>
    </x:row>
    <x:row r="12">
      <x:c r="B12" s="1" t="inlineStr">
        <x:is>
          <x:t xml:space="preserve">Tests generated</x:t>
        </x:is>
      </x:c>
      <x:c r="C12" s="4" t="n">
        <x:f>IF(COUNTIFS(Data!$A$2:$A$1709,"Round1",Data!$F$2:$F$1709,"&lt;&gt;")=0,"",SUMIF(Data!$A$2:$A$1709,"Round1",Data!$F$2:$F$1709))</x:f>
        <x:v>1461042</x:v>
      </x:c>
      <x:c r="D12" s="4" t="n">
        <x:f>IF(COUNTIFS(Data!$A$2:$A$1709,"Round2",Data!$F$2:$F$1709,"&lt;&gt;")=0,"",SUMIF(Data!$A$2:$A$1709,"Round2",Data!$F$2:$F$1709))</x:f>
        <x:v>1953497</x:v>
      </x:c>
      <x:c r="E12" s="4" t="n">
        <x:f>IF(COUNT(Data!$F$2:$F$1709)=0,"",SUM(Data!$F$2:$F$1709))</x:f>
        <x:v>3414539</x:v>
      </x:c>
    </x:row>
    <x:row r="13">
      <x:c r="B13" s="1" t="inlineStr">
        <x:is>
          <x:t xml:space="preserve">Execution time (seconds)</x:t>
        </x:is>
      </x:c>
      <x:c r="C13" s="6" t="n">
        <x:f>IF(COUNTIFS(Data!$A$2:$A$1709,"Round1",Data!$V$2:$V$1709,"&lt;&gt;")=0,"",SUMIF(Data!$A$2:$A$1709,"Round1",Data!$V$2:$V$1709))</x:f>
        <x:v>58908.83000000005</x:v>
      </x:c>
      <x:c r="D13" s="6" t="n">
        <x:f>IF(COUNTIFS(Data!$A$2:$A$1709,"Round2",Data!$V$2:$V$1709,"&lt;&gt;")=0,"",SUMIF(Data!$A$2:$A$1709,"Round2",Data!$V$2:$V$1709))</x:f>
        <x:v>46813.4</x:v>
      </x:c>
      <x:c r="E13" s="6" t="n">
        <x:f>IF(COUNT(Data!$V$2:$V$1709)=0,"",SUM(Data!$V$2:$V$1709))</x:f>
        <x:v>105722.23000000007</x:v>
      </x:c>
    </x:row>
    <x:row r="14">
      <x:c r="B14" s="1" t="inlineStr">
        <x:is>
          <x:t xml:space="preserve">Execution time records</x:t>
        </x:is>
      </x:c>
      <x:c r="C14" s="4" t="n">
        <x:f>COUNTIFS(Data!$A$2:$A$1709,"Round1",Data!$V$2:$V$1709,"&lt;&gt;")</x:f>
        <x:v>849</x:v>
      </x:c>
      <x:c r="D14" s="4" t="n">
        <x:f>COUNTIFS(Data!$A$2:$A$1709,"Round2",Data!$V$2:$V$1709,"&lt;&gt;")</x:f>
        <x:v>824</x:v>
      </x:c>
      <x:c r="E14" s="4" t="n">
        <x:f>COUNT(Data!$V$2:$V$1709)</x:f>
        <x:v>1673</x:v>
      </x:c>
    </x:row>
    <x:row r="15">
      <x:c r="B15" s="1" t="inlineStr">
        <x:is>
          <x:t xml:space="preserve">Coverage records</x:t>
        </x:is>
      </x:c>
      <x:c r="C15" s="4" t="n">
        <x:f>COUNTIFS(Data!$A$2:$A$1709,"Round1",Data!$H$2:$H$1709,"&lt;&gt;")</x:f>
        <x:v>834</x:v>
      </x:c>
      <x:c r="D15" s="4" t="n">
        <x:f>COUNTIFS(Data!$A$2:$A$1709,"Round2",Data!$H$2:$H$1709,"&lt;&gt;")</x:f>
        <x:v>820</x:v>
      </x:c>
      <x:c r="E15" s="4" t="n">
        <x:f>COUNT(Data!$H$2:$H$1709)</x:f>
        <x:v>1654</x:v>
      </x:c>
    </x:row>
    <x:row r="16">
      <x:c r="B16" s="1" t="inlineStr">
        <x:is>
          <x:t xml:space="preserve">Lines total</x:t>
        </x:is>
      </x:c>
      <x:c r="C16" s="4" t="n">
        <x:f>IF(COUNTIFS(Data!$A$2:$A$1709,"Round1",Data!$L$2:$L$1709,"&lt;&gt;")=0,"",SUMIF(Data!$A$2:$A$1709,"Round1",Data!$L$2:$L$1709))</x:f>
        <x:v>291142</x:v>
      </x:c>
      <x:c r="D16" s="4" t="n">
        <x:f>IF(COUNTIFS(Data!$A$2:$A$1709,"Round2",Data!$L$2:$L$1709,"&lt;&gt;")=0,"",SUMIF(Data!$A$2:$A$1709,"Round2",Data!$L$2:$L$1709))</x:f>
        <x:v>285174</x:v>
      </x:c>
      <x:c r="E16" s="4" t="n">
        <x:f>IF(COUNT(Data!$L$2:$L$1709)=0,"",SUM(Data!$L$2:$L$1709))</x:f>
        <x:v>576316</x:v>
      </x:c>
    </x:row>
    <x:row r="17">
      <x:c r="B17" s="1" t="inlineStr">
        <x:is>
          <x:t xml:space="preserve">Lines covered</x:t>
        </x:is>
      </x:c>
      <x:c r="C17" s="4" t="n">
        <x:f>IF(COUNTIFS(Data!$A$2:$A$1709,"Round1",Data!$M$2:$M$1709,"&lt;&gt;")=0,"",SUMIF(Data!$A$2:$A$1709,"Round1",Data!$M$2:$M$1709))</x:f>
        <x:v>83844</x:v>
      </x:c>
      <x:c r="D17" s="4" t="n">
        <x:f>IF(COUNTIFS(Data!$A$2:$A$1709,"Round2",Data!$M$2:$M$1709,"&lt;&gt;")=0,"",SUMIF(Data!$A$2:$A$1709,"Round2",Data!$M$2:$M$1709))</x:f>
        <x:v>89766</x:v>
      </x:c>
      <x:c r="E17" s="4" t="n">
        <x:f>IF(COUNT(Data!$M$2:$M$1709)=0,"",SUM(Data!$M$2:$M$1709))</x:f>
        <x:v>173610</x:v>
      </x:c>
    </x:row>
    <x:row r="18">
      <x:c r="B18" s="1" t="inlineStr">
        <x:is>
          <x:t xml:space="preserve">Conditions total</x:t>
        </x:is>
      </x:c>
      <x:c r="C18" s="4" t="n">
        <x:f>IF(COUNTIFS(Data!$A$2:$A$1709,"Round1",Data!$N$2:$N$1709,"&lt;&gt;")=0,"",SUMIF(Data!$A$2:$A$1709,"Round1",Data!$N$2:$N$1709))</x:f>
        <x:v>180082</x:v>
      </x:c>
      <x:c r="D18" s="4" t="n">
        <x:f>IF(COUNTIFS(Data!$A$2:$A$1709,"Round2",Data!$N$2:$N$1709,"&lt;&gt;")=0,"",SUMIF(Data!$A$2:$A$1709,"Round2",Data!$N$2:$N$1709))</x:f>
        <x:v>177403</x:v>
      </x:c>
      <x:c r="E18" s="4" t="n">
        <x:f>IF(COUNT(Data!$N$2:$N$1709)=0,"",SUM(Data!$N$2:$N$1709))</x:f>
        <x:v>357485</x:v>
      </x:c>
    </x:row>
    <x:row r="19">
      <x:c r="B19" s="1" t="inlineStr">
        <x:is>
          <x:t xml:space="preserve">Conditions covered</x:t>
        </x:is>
      </x:c>
      <x:c r="C19" s="4" t="n">
        <x:f>IF(COUNTIFS(Data!$A$2:$A$1709,"Round1",Data!$O$2:$O$1709,"&lt;&gt;")=0,"",SUMIF(Data!$A$2:$A$1709,"Round1",Data!$O$2:$O$1709))</x:f>
        <x:v>36616</x:v>
      </x:c>
      <x:c r="D19" s="4" t="n">
        <x:f>IF(COUNTIFS(Data!$A$2:$A$1709,"Round2",Data!$O$2:$O$1709,"&lt;&gt;")=0,"",SUMIF(Data!$A$2:$A$1709,"Round2",Data!$O$2:$O$1709))</x:f>
        <x:v>40242</x:v>
      </x:c>
      <x:c r="E19" s="4" t="n">
        <x:f>IF(COUNT(Data!$O$2:$O$1709)=0,"",SUM(Data!$O$2:$O$1709))</x:f>
        <x:v>76858</x:v>
      </x:c>
    </x:row>
    <x:row r="21">
      <x:c r="B21" s="8" t="inlineStr">
        <x:is>
          <x:t xml:space="preserve">Verdict</x:t>
        </x:is>
      </x:c>
      <x:c r="C21" s="8" t="inlineStr">
        <x:is>
          <x:t xml:space="preserve">Round1</x:t>
        </x:is>
      </x:c>
      <x:c r="D21" s="8" t="inlineStr">
        <x:is>
          <x:t xml:space="preserve">Round2</x:t>
        </x:is>
      </x:c>
      <x:c r="E21" s="8" t="inlineStr">
        <x:is>
          <x:t xml:space="preserve">All rounds</x:t>
        </x:is>
      </x:c>
    </x:row>
    <x:row r="22">
      <x:c r="B22" s="1" t="inlineStr">
        <x:is>
          <x:t xml:space="preserve">REVEALING</x:t>
        </x:is>
      </x:c>
      <x:c r="C22" s="4" t="n">
        <x:f>'Verdicts'!E12</x:f>
        <x:v>1</x:v>
      </x:c>
      <x:c r="D22" s="4" t="n">
        <x:f>'Verdicts'!E17</x:f>
        <x:v>1</x:v>
      </x:c>
      <x:c r="E22" s="4" t="n">
        <x:f>'Verdicts'!E7</x:f>
        <x:v>2</x:v>
      </x:c>
    </x:row>
    <x:row r="23">
      <x:c r="B23" s="1" t="inlineStr">
        <x:is>
          <x:t xml:space="preserve">NOT_REVEALING</x:t>
        </x:is>
      </x:c>
      <x:c r="C23" s="4" t="n">
        <x:f>'Verdicts'!E13</x:f>
        <x:v>580</x:v>
      </x:c>
      <x:c r="D23" s="4" t="n">
        <x:f>'Verdicts'!E18</x:f>
        <x:v>544</x:v>
      </x:c>
      <x:c r="E23" s="4" t="n">
        <x:f>'Verdicts'!E8</x:f>
        <x:v>1124</x:v>
      </x:c>
    </x:row>
    <x:row r="24">
      <x:c r="B24" s="1" t="inlineStr">
        <x:is>
          <x:t xml:space="preserve">NOT_AVAILABLE</x:t>
        </x:is>
      </x:c>
      <x:c r="C24" s="4" t="n">
        <x:f>'Verdicts'!E14</x:f>
        <x:v>26</x:v>
      </x:c>
      <x:c r="D24" s="4" t="n">
        <x:f>'Verdicts'!E19</x:f>
        <x:v>15</x:v>
      </x:c>
      <x:c r="E24" s="4" t="n">
        <x:f>'Verdicts'!E9</x:f>
        <x:v>41</x:v>
      </x:c>
    </x:row>
    <x:row r="25">
      <x:c r="B25" s="1" t="inlineStr">
        <x:is>
          <x:t xml:space="preserve">INCONCLUSIVE</x:t>
        </x:is>
      </x:c>
      <x:c r="C25" s="4" t="n">
        <x:f>'Verdicts'!E15</x:f>
        <x:v>240</x:v>
      </x:c>
      <x:c r="D25" s="4" t="n">
        <x:f>'Verdicts'!E20</x:f>
        <x:v>264</x:v>
      </x:c>
      <x:c r="E25" s="4" t="n">
        <x:f>'Verdicts'!E10</x:f>
        <x:v>504</x:v>
      </x:c>
    </x:row>
    <x:row r="26">
      <x:c r="B26" s="1" t="inlineStr">
        <x:is>
          <x:t xml:space="preserve">FAIL</x:t>
        </x:is>
      </x:c>
      <x:c r="C26" s="4" t="n">
        <x:f>'Verdicts'!E16</x:f>
        <x:v>7</x:v>
      </x:c>
      <x:c r="D26" s="4" t="n">
        <x:f>'Verdicts'!E21</x:f>
        <x:v>30</x:v>
      </x:c>
      <x:c r="E26" s="4" t="n">
        <x:f>'Verdicts'!E11</x:f>
        <x:v>37</x:v>
      </x:c>
    </x:row>
    <x:row r="28">
      <x:c r="B28" s="1" t="inlineStr">
        <x:is>
          <x:t xml:space="preserve">Blank coverage and execution time mean the metric was not recorded.</x:t>
        </x:is>
      </x:c>
    </x:row>
    <x:row r="29">
      <x:c r="B29" s="1" t="inlineStr">
        <x:is>
          <x:t xml:space="preserve">Source: Randoop report.csv files and per-target result.json files.</x:t>
        </x:is>
      </x:c>
    </x:row>
    <x:row r="30">
      <x:c r="B30" s="1" t="inlineStr">
        <x:is>
          <x:t xml:space="preserve">Updated: 2026-10-04 07:20:06 +0700</x:t>
        </x:is>
      </x:c>
    </x:row>
    <x:row r="48">
      <x:c r="B48" s="40" t="str">
        <x:v>Coverage — failures counted as zero; N/A excluded</x:v>
      </x:c>
    </x:row>
    <x:row r="49" ht="32" customHeight="1">
      <x:c r="B49" s="31" t="str">
        <x:v>Buggy coverage: sum / (total − N/A). Latest FAIL counts as zero; measured buggy coverage remains when paired verdict is NOT_AVAILABLE.</x:v>
      </x:c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</x:row>
    <x:row r="51" ht="42" customHeight="1">
      <x:c r="B51" s="20" t="str">
        <x:v>Project</x:v>
      </x:c>
      <x:c r="C51" s="20" t="str">
        <x:v>Round</x:v>
      </x:c>
      <x:c r="D51" s="20" t="str">
        <x:v>Metric</x:v>
      </x:c>
      <x:c r="E51" s="20" t="str">
        <x:v>Total</x:v>
      </x:c>
      <x:c r="F51" s="20" t="str">
        <x:v>Numeric</x:v>
      </x:c>
      <x:c r="G51" s="20" t="str">
        <x:v>A: failure</x:v>
      </x:c>
      <x:c r="H51" s="20" t="str">
        <x:v>B: N/A</x:v>
      </x:c>
      <x:c r="I51" s="20" t="str">
        <x:v>Unresolved</x:v>
      </x:c>
      <x:c r="J51" s="20" t="str">
        <x:v>Recorded only</x:v>
      </x:c>
      <x:c r="K51" s="20" t="str">
        <x:v>All applicable</x:v>
      </x:c>
      <x:c r="L51" s="20" t="str">
        <x:v>Runnable</x:v>
      </x:c>
      <x:c r="M51" s="20" t="str">
        <x:v>n all (total − B)</x:v>
      </x:c>
    </x:row>
    <x:row r="52" ht="23" customHeight="1">
      <x:c r="B52" s="17" t="str">
        <x:f>'Coverage'!B7</x:f>
        <x:v>All projects</x:v>
      </x:c>
      <x:c r="C52" s="17" t="str">
        <x:f>'Coverage'!C7</x:f>
        <x:v>All rounds</x:v>
      </x:c>
      <x:c r="D52" s="17" t="str">
        <x:f>'Coverage'!D7</x:f>
        <x:v>Coverage</x:v>
      </x:c>
      <x:c r="E52" s="39" t="n">
        <x:f>'Coverage'!E7</x:f>
        <x:v>1708</x:v>
      </x:c>
      <x:c r="F52" s="39" t="n">
        <x:f>'Coverage'!F7</x:f>
        <x:v>1652</x:v>
      </x:c>
      <x:c r="G52" s="39" t="n">
        <x:f>'Coverage'!G7</x:f>
        <x:v>56</x:v>
      </x:c>
      <x:c r="H52" s="39" t="n">
        <x:f>'Coverage'!H7</x:f>
        <x:v>0</x:v>
      </x:c>
      <x:c r="I52" s="39" t="n">
        <x:f>'Coverage'!I7</x:f>
        <x:v>0</x:v>
      </x:c>
      <x:c r="J52" s="32" t="n">
        <x:f>'Coverage'!J7</x:f>
        <x:v>0.31514497578692485</x:v>
      </x:c>
      <x:c r="K52" s="32" t="n">
        <x:f>'Coverage'!K7</x:f>
        <x:v>0.3048123536299765</x:v>
      </x:c>
      <x:c r="L52" s="32" t="n">
        <x:f>'Coverage'!L7</x:f>
        <x:v>0.9672131147540983</x:v>
      </x:c>
      <x:c r="M52" s="39" t="n">
        <x:f>'Coverage'!M7</x:f>
        <x:v>1708</x:v>
      </x:c>
    </x:row>
    <x:row r="53" ht="23" customHeight="1">
      <x:c r="B53" s="17" t="str">
        <x:f>'Coverage'!B8</x:f>
        <x:v>All projects</x:v>
      </x:c>
      <x:c r="C53" s="17" t="str">
        <x:f>'Coverage'!C8</x:f>
        <x:v>All rounds</x:v>
      </x:c>
      <x:c r="D53" s="17" t="str">
        <x:f>'Coverage'!D8</x:f>
        <x:v>Line</x:v>
      </x:c>
      <x:c r="E53" s="39" t="n">
        <x:f>'Coverage'!E8</x:f>
        <x:v>1708</x:v>
      </x:c>
      <x:c r="F53" s="39" t="n">
        <x:f>'Coverage'!F8</x:f>
        <x:v>1652</x:v>
      </x:c>
      <x:c r="G53" s="39" t="n">
        <x:f>'Coverage'!G8</x:f>
        <x:v>56</x:v>
      </x:c>
      <x:c r="H53" s="39" t="n">
        <x:f>'Coverage'!H8</x:f>
        <x:v>0</x:v>
      </x:c>
      <x:c r="I53" s="39" t="n">
        <x:f>'Coverage'!I8</x:f>
        <x:v>0</x:v>
      </x:c>
      <x:c r="J53" s="32" t="n">
        <x:f>'Coverage'!J8</x:f>
        <x:v>0.34924243341404365</x:v>
      </x:c>
      <x:c r="K53" s="32" t="n">
        <x:f>'Coverage'!K8</x:f>
        <x:v>0.33779186182669796</x:v>
      </x:c>
      <x:c r="L53" s="32" t="n">
        <x:f>'Coverage'!L8</x:f>
        <x:v>0.9672131147540983</x:v>
      </x:c>
      <x:c r="M53" s="39" t="n">
        <x:f>'Coverage'!M8</x:f>
        <x:v>1708</x:v>
      </x:c>
    </x:row>
    <x:row r="54" ht="23" customHeight="1">
      <x:c r="B54" s="17" t="str">
        <x:f>'Coverage'!B9</x:f>
        <x:v>All projects</x:v>
      </x:c>
      <x:c r="C54" s="17" t="str">
        <x:f>'Coverage'!C9</x:f>
        <x:v>All rounds</x:v>
      </x:c>
      <x:c r="D54" s="17" t="str">
        <x:f>'Coverage'!D9</x:f>
        <x:v>Condition</x:v>
      </x:c>
      <x:c r="E54" s="39" t="n">
        <x:f>'Coverage'!E9</x:f>
        <x:v>1708</x:v>
      </x:c>
      <x:c r="F54" s="39" t="n">
        <x:f>'Coverage'!F9</x:f>
        <x:v>1646</x:v>
      </x:c>
      <x:c r="G54" s="39" t="n">
        <x:f>'Coverage'!G9</x:f>
        <x:v>56</x:v>
      </x:c>
      <x:c r="H54" s="39" t="n">
        <x:f>'Coverage'!H9</x:f>
        <x:v>6</x:v>
      </x:c>
      <x:c r="I54" s="39" t="n">
        <x:f>'Coverage'!I9</x:f>
        <x:v>0</x:v>
      </x:c>
      <x:c r="J54" s="32" t="n">
        <x:f>'Coverage'!J9</x:f>
        <x:v>0.2490974483596599</x:v>
      </x:c>
      <x:c r="K54" s="32" t="n">
        <x:f>'Coverage'!K9</x:f>
        <x:v>0.24090152761457123</x:v>
      </x:c>
      <x:c r="L54" s="32" t="n">
        <x:f>'Coverage'!L9</x:f>
        <x:v>0.9672131147540983</x:v>
      </x:c>
      <x:c r="M54" s="39" t="n">
        <x:f>'Coverage'!M9</x:f>
        <x:v>1702</x:v>
      </x:c>
    </x:row>
    <x:row r="55" ht="23" customHeight="1">
      <x:c r="B55" s="17" t="str">
        <x:f>'Coverage'!B10</x:f>
        <x:v>All projects</x:v>
      </x:c>
      <x:c r="C55" s="17" t="str">
        <x:f>'Coverage'!C10</x:f>
        <x:v>Round1</x:v>
      </x:c>
      <x:c r="D55" s="17" t="str">
        <x:f>'Coverage'!D10</x:f>
        <x:v>Coverage</x:v>
      </x:c>
      <x:c r="E55" s="39" t="n">
        <x:f>'Coverage'!E10</x:f>
        <x:v>854</x:v>
      </x:c>
      <x:c r="F55" s="39" t="n">
        <x:f>'Coverage'!F10</x:f>
        <x:v>832</x:v>
      </x:c>
      <x:c r="G55" s="39" t="n">
        <x:f>'Coverage'!G10</x:f>
        <x:v>22</x:v>
      </x:c>
      <x:c r="H55" s="39" t="n">
        <x:f>'Coverage'!H10</x:f>
        <x:v>0</x:v>
      </x:c>
      <x:c r="I55" s="39" t="n">
        <x:f>'Coverage'!I10</x:f>
        <x:v>0</x:v>
      </x:c>
      <x:c r="J55" s="32" t="n">
        <x:f>'Coverage'!J10</x:f>
        <x:v>0.2989756009615384</x:v>
      </x:c>
      <x:c r="K55" s="32" t="n">
        <x:f>'Coverage'!K10</x:f>
        <x:v>0.2912736533957845</x:v>
      </x:c>
      <x:c r="L55" s="32" t="n">
        <x:f>'Coverage'!L10</x:f>
        <x:v>0.9742388758782201</x:v>
      </x:c>
      <x:c r="M55" s="39" t="n">
        <x:f>'Coverage'!M10</x:f>
        <x:v>854</x:v>
      </x:c>
    </x:row>
    <x:row r="56" ht="23" customHeight="1">
      <x:c r="B56" s="17" t="str">
        <x:f>'Coverage'!B11</x:f>
        <x:v>All projects</x:v>
      </x:c>
      <x:c r="C56" s="17" t="str">
        <x:f>'Coverage'!C11</x:f>
        <x:v>Round1</x:v>
      </x:c>
      <x:c r="D56" s="17" t="str">
        <x:f>'Coverage'!D11</x:f>
        <x:v>Line</x:v>
      </x:c>
      <x:c r="E56" s="39" t="n">
        <x:f>'Coverage'!E11</x:f>
        <x:v>854</x:v>
      </x:c>
      <x:c r="F56" s="39" t="n">
        <x:f>'Coverage'!F11</x:f>
        <x:v>832</x:v>
      </x:c>
      <x:c r="G56" s="39" t="n">
        <x:f>'Coverage'!G11</x:f>
        <x:v>22</x:v>
      </x:c>
      <x:c r="H56" s="39" t="n">
        <x:f>'Coverage'!H11</x:f>
        <x:v>0</x:v>
      </x:c>
      <x:c r="I56" s="39" t="n">
        <x:f>'Coverage'!I11</x:f>
        <x:v>0</x:v>
      </x:c>
      <x:c r="J56" s="32" t="n">
        <x:f>'Coverage'!J11</x:f>
        <x:v>0.33371694711538497</x:v>
      </x:c>
      <x:c r="K56" s="32" t="n">
        <x:f>'Coverage'!K11</x:f>
        <x:v>0.3251200234192041</x:v>
      </x:c>
      <x:c r="L56" s="32" t="n">
        <x:f>'Coverage'!L11</x:f>
        <x:v>0.9742388758782201</x:v>
      </x:c>
      <x:c r="M56" s="39" t="n">
        <x:f>'Coverage'!M11</x:f>
        <x:v>854</x:v>
      </x:c>
    </x:row>
    <x:row r="57" ht="23" customHeight="1">
      <x:c r="B57" s="17" t="str">
        <x:f>'Coverage'!B12</x:f>
        <x:v>All projects</x:v>
      </x:c>
      <x:c r="C57" s="17" t="str">
        <x:f>'Coverage'!C12</x:f>
        <x:v>Round1</x:v>
      </x:c>
      <x:c r="D57" s="17" t="str">
        <x:f>'Coverage'!D12</x:f>
        <x:v>Condition</x:v>
      </x:c>
      <x:c r="E57" s="39" t="n">
        <x:f>'Coverage'!E12</x:f>
        <x:v>854</x:v>
      </x:c>
      <x:c r="F57" s="39" t="n">
        <x:f>'Coverage'!F12</x:f>
        <x:v>829</x:v>
      </x:c>
      <x:c r="G57" s="39" t="n">
        <x:f>'Coverage'!G12</x:f>
        <x:v>22</x:v>
      </x:c>
      <x:c r="H57" s="39" t="n">
        <x:f>'Coverage'!H12</x:f>
        <x:v>3</x:v>
      </x:c>
      <x:c r="I57" s="39" t="n">
        <x:f>'Coverage'!I12</x:f>
        <x:v>0</x:v>
      </x:c>
      <x:c r="J57" s="32" t="n">
        <x:f>'Coverage'!J12</x:f>
        <x:v>0.23104185765983132</x:v>
      </x:c>
      <x:c r="K57" s="32" t="n">
        <x:f>'Coverage'!K12</x:f>
        <x:v>0.2250689776733257</x:v>
      </x:c>
      <x:c r="L57" s="32" t="n">
        <x:f>'Coverage'!L12</x:f>
        <x:v>0.9742388758782201</x:v>
      </x:c>
      <x:c r="M57" s="39" t="n">
        <x:f>'Coverage'!M12</x:f>
        <x:v>851</x:v>
      </x:c>
    </x:row>
    <x:row r="58" ht="23" customHeight="1">
      <x:c r="B58" s="17" t="str">
        <x:f>'Coverage'!B13</x:f>
        <x:v>All projects</x:v>
      </x:c>
      <x:c r="C58" s="17" t="str">
        <x:f>'Coverage'!C13</x:f>
        <x:v>Round2</x:v>
      </x:c>
      <x:c r="D58" s="17" t="str">
        <x:f>'Coverage'!D13</x:f>
        <x:v>Coverage</x:v>
      </x:c>
      <x:c r="E58" s="39" t="n">
        <x:f>'Coverage'!E13</x:f>
        <x:v>854</x:v>
      </x:c>
      <x:c r="F58" s="39" t="n">
        <x:f>'Coverage'!F13</x:f>
        <x:v>820</x:v>
      </x:c>
      <x:c r="G58" s="39" t="n">
        <x:f>'Coverage'!G13</x:f>
        <x:v>34</x:v>
      </x:c>
      <x:c r="H58" s="39" t="n">
        <x:f>'Coverage'!H13</x:f>
        <x:v>0</x:v>
      </x:c>
      <x:c r="I58" s="39" t="n">
        <x:f>'Coverage'!I13</x:f>
        <x:v>0</x:v>
      </x:c>
      <x:c r="J58" s="32" t="n">
        <x:f>'Coverage'!J13</x:f>
        <x:v>0.3315509756097563</x:v>
      </x:c>
      <x:c r="K58" s="32" t="n">
        <x:f>'Coverage'!K13</x:f>
        <x:v>0.31835105386416884</x:v>
      </x:c>
      <x:c r="L58" s="32" t="n">
        <x:f>'Coverage'!L13</x:f>
        <x:v>0.9601873536299765</x:v>
      </x:c>
      <x:c r="M58" s="39" t="n">
        <x:f>'Coverage'!M13</x:f>
        <x:v>854</x:v>
      </x:c>
    </x:row>
    <x:row r="59" ht="23" customHeight="1">
      <x:c r="B59" s="17" t="str">
        <x:f>'Coverage'!B14</x:f>
        <x:v>All projects</x:v>
      </x:c>
      <x:c r="C59" s="17" t="str">
        <x:f>'Coverage'!C14</x:f>
        <x:v>Round2</x:v>
      </x:c>
      <x:c r="D59" s="17" t="str">
        <x:f>'Coverage'!D14</x:f>
        <x:v>Line</x:v>
      </x:c>
      <x:c r="E59" s="39" t="n">
        <x:f>'Coverage'!E14</x:f>
        <x:v>854</x:v>
      </x:c>
      <x:c r="F59" s="39" t="n">
        <x:f>'Coverage'!F14</x:f>
        <x:v>820</x:v>
      </x:c>
      <x:c r="G59" s="39" t="n">
        <x:f>'Coverage'!G14</x:f>
        <x:v>34</x:v>
      </x:c>
      <x:c r="H59" s="39" t="n">
        <x:f>'Coverage'!H14</x:f>
        <x:v>0</x:v>
      </x:c>
      <x:c r="I59" s="39" t="n">
        <x:f>'Coverage'!I14</x:f>
        <x:v>0</x:v>
      </x:c>
      <x:c r="J59" s="32" t="n">
        <x:f>'Coverage'!J14</x:f>
        <x:v>0.3649951219512195</x:v>
      </x:c>
      <x:c r="K59" s="32" t="n">
        <x:f>'Coverage'!K14</x:f>
        <x:v>0.350463700234192</x:v>
      </x:c>
      <x:c r="L59" s="32" t="n">
        <x:f>'Coverage'!L14</x:f>
        <x:v>0.9601873536299765</x:v>
      </x:c>
      <x:c r="M59" s="39" t="n">
        <x:f>'Coverage'!M14</x:f>
        <x:v>854</x:v>
      </x:c>
    </x:row>
    <x:row r="60" ht="23" customHeight="1">
      <x:c r="B60" s="17" t="str">
        <x:f>'Coverage'!B15</x:f>
        <x:v>All projects</x:v>
      </x:c>
      <x:c r="C60" s="17" t="str">
        <x:f>'Coverage'!C15</x:f>
        <x:v>Round2</x:v>
      </x:c>
      <x:c r="D60" s="17" t="str">
        <x:f>'Coverage'!D15</x:f>
        <x:v>Condition</x:v>
      </x:c>
      <x:c r="E60" s="39" t="n">
        <x:f>'Coverage'!E15</x:f>
        <x:v>854</x:v>
      </x:c>
      <x:c r="F60" s="39" t="n">
        <x:f>'Coverage'!F15</x:f>
        <x:v>817</x:v>
      </x:c>
      <x:c r="G60" s="39" t="n">
        <x:f>'Coverage'!G15</x:f>
        <x:v>34</x:v>
      </x:c>
      <x:c r="H60" s="39" t="n">
        <x:f>'Coverage'!H15</x:f>
        <x:v>3</x:v>
      </x:c>
      <x:c r="I60" s="39" t="n">
        <x:f>'Coverage'!I15</x:f>
        <x:v>0</x:v>
      </x:c>
      <x:c r="J60" s="32" t="n">
        <x:f>'Coverage'!J15</x:f>
        <x:v>0.2674182374541004</x:v>
      </x:c>
      <x:c r="K60" s="32" t="n">
        <x:f>'Coverage'!K15</x:f>
        <x:v>0.2567340775558168</x:v>
      </x:c>
      <x:c r="L60" s="32" t="n">
        <x:f>'Coverage'!L15</x:f>
        <x:v>0.9601873536299765</x:v>
      </x:c>
      <x:c r="M60" s="39" t="n">
        <x:f>'Coverage'!M15</x:f>
        <x:v>851</x:v>
      </x:c>
    </x:row>
  </x:sheetData>
  <x:mergeCells>
    <x:mergeCell ref="B2:E2"/>
    <x:mergeCell ref="B3:E3"/>
    <x:mergeCell ref="B48:L48"/>
    <x:mergeCell ref="B49:L4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" max="1" width="11" customWidth="1"/>
    <x:col min="2" max="2" width="17" customWidth="1"/>
    <x:col min="3" max="3" width="10" customWidth="1"/>
    <x:col min="4" max="4" width="12" customWidth="1"/>
    <x:col min="5" max="5" width="11" customWidth="1"/>
    <x:col min="6" max="6" width="11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4" customWidth="1"/>
    <x:col min="12" max="12" width="11" customWidth="1"/>
    <x:col min="13" max="13" width="14" customWidth="1"/>
    <x:col min="14" max="14" width="15" customWidth="1"/>
    <x:col min="15" max="15" width="17" customWidth="1"/>
    <x:col min="16" max="16" width="15" customWidth="1"/>
    <x:col min="17" max="17" width="13" customWidth="1"/>
    <x:col min="18" max="18" width="14" customWidth="1"/>
    <x:col min="19" max="19" width="13" customWidth="1"/>
    <x:col min="20" max="20" width="18" customWidth="1"/>
    <x:col min="21" max="21" width="18" customWidth="1"/>
    <x:col min="22" max="22" width="19" customWidth="1"/>
  </x:cols>
  <x:sheetData>
    <x:row r="1" ht="34" customHeight="1">
      <x:c r="A1" s="15" t="str">
        <x:v>round</x:v>
      </x:c>
      <x:c r="B1" s="15" t="str">
        <x:v>project</x:v>
      </x:c>
      <x:c r="C1" s="15" t="str">
        <x:v>bug_id</x:v>
      </x:c>
      <x:c r="D1" s="15" t="str">
        <x:v>seed</x:v>
      </x:c>
      <x:c r="E1" s="15" t="str">
        <x:v>budget</x:v>
      </x:c>
      <x:c r="F1" s="15" t="str">
        <x:v>tests</x:v>
      </x:c>
      <x:c r="G1" s="15" t="str">
        <x:v>coverage</x:v>
      </x:c>
      <x:c r="H1" s="15" t="str">
        <x:v>line_cov</x:v>
      </x:c>
      <x:c r="I1" s="15" t="str">
        <x:v>condition_coverage</x:v>
      </x:c>
      <x:c r="J1" s="15" t="str">
        <x:v>total_goals</x:v>
      </x:c>
      <x:c r="K1" s="15" t="str">
        <x:v>covered_goals</x:v>
      </x:c>
      <x:c r="L1" s="15" t="str">
        <x:v>lines</x:v>
      </x:c>
      <x:c r="M1" s="15" t="str">
        <x:v>covered_lines</x:v>
      </x:c>
      <x:c r="N1" s="15" t="str">
        <x:v>conditions_total</x:v>
      </x:c>
      <x:c r="O1" s="15" t="str">
        <x:v>conditions_covered</x:v>
      </x:c>
      <x:c r="P1" s="15" t="str">
        <x:v>buggy_result</x:v>
      </x:c>
      <x:c r="Q1" s="15" t="str">
        <x:v>buggy_fails</x:v>
      </x:c>
      <x:c r="R1" s="15" t="str">
        <x:v>fixed_result</x:v>
      </x:c>
      <x:c r="S1" s="15" t="str">
        <x:v>fixed_fails</x:v>
      </x:c>
      <x:c r="T1" s="15" t="str">
        <x:v>verdict</x:v>
      </x:c>
      <x:c r="U1" s="15" t="str">
        <x:v>target</x:v>
      </x:c>
      <x:c r="V1" s="15" t="str">
        <x:v>execution_seconds</x:v>
      </x:c>
    </x:row>
    <x:row r="2" ht="22" customHeight="1">
      <x:c r="A2" s="1" t="str">
        <x:v>Round1</x:v>
      </x:c>
      <x:c r="B2" s="1" t="str">
        <x:v>Chart</x:v>
      </x:c>
      <x:c r="C2" s="4" t="n">
        <x:v>1</x:v>
      </x:c>
      <x:c r="D2" s="4" t="n">
        <x:v>0</x:v>
      </x:c>
      <x:c r="E2" s="4" t="n">
        <x:v>60</x:v>
      </x:c>
      <x:c r="F2" s="4" t="n">
        <x:v>9</x:v>
      </x:c>
      <x:c r="G2" s="5" t="n">
        <x:v>0</x:v>
      </x:c>
      <x:c r="H2" s="5" t="n">
        <x:v>0</x:v>
      </x:c>
      <x:c r="I2" s="5" t="n">
        <x:v>0</x:v>
      </x:c>
      <x:c r="J2" s="4" t="n">
        <x:v>816</x:v>
      </x:c>
      <x:c r="K2" s="4" t="n">
        <x:v>0</x:v>
      </x:c>
      <x:c r="L2" s="4" t="n">
        <x:v>574</x:v>
      </x:c>
      <x:c r="M2" s="4" t="n">
        <x:v>0</x:v>
      </x:c>
      <x:c r="N2" s="4" t="n">
        <x:v>242</x:v>
      </x:c>
      <x:c r="O2" s="4" t="n">
        <x:v>0</x:v>
      </x:c>
      <x:c r="P2" s="1" t="str">
        <x:v>PASS</x:v>
      </x:c>
      <x:c r="Q2" s="4" t="n">
        <x:v>0</x:v>
      </x:c>
      <x:c r="R2" s="1" t="str">
        <x:v>PASS</x:v>
      </x:c>
      <x:c r="S2" s="4" t="n">
        <x:v>0</x:v>
      </x:c>
      <x:c r="T2" s="1" t="str">
        <x:v>NOT_REVEALING</x:v>
      </x:c>
      <x:c r="U2" s="1" t="str">
        <x:v>Chart_1</x:v>
      </x:c>
      <x:c r="V2" s="6" t="n">
        <x:v>54.29</x:v>
      </x:c>
    </x:row>
    <x:row r="3" ht="22" customHeight="1">
      <x:c r="A3" s="1" t="str">
        <x:v>Round1</x:v>
      </x:c>
      <x:c r="B3" s="1" t="str">
        <x:v>Chart</x:v>
      </x:c>
      <x:c r="C3" s="4" t="n">
        <x:v>2</x:v>
      </x:c>
      <x:c r="D3" s="4" t="n">
        <x:v>0</x:v>
      </x:c>
      <x:c r="E3" s="4" t="n">
        <x:v>60</x:v>
      </x:c>
      <x:c r="F3" s="4" t="n">
        <x:v>3840</x:v>
      </x:c>
      <x:c r="G3" s="5" t="n">
        <x:v>0.374</x:v>
      </x:c>
      <x:c r="H3" s="5" t="n">
        <x:v>0.4032</x:v>
      </x:c>
      <x:c r="I3" s="5" t="n">
        <x:v>0.3309</x:v>
      </x:c>
      <x:c r="J3" s="4" t="n">
        <x:v>1345</x:v>
      </x:c>
      <x:c r="K3" s="4" t="n">
        <x:v>503</x:v>
      </x:c>
      <x:c r="L3" s="4" t="n">
        <x:v>801</x:v>
      </x:c>
      <x:c r="M3" s="4" t="n">
        <x:v>323</x:v>
      </x:c>
      <x:c r="N3" s="4" t="n">
        <x:v>544</x:v>
      </x:c>
      <x:c r="O3" s="4" t="n">
        <x:v>180</x:v>
      </x:c>
      <x:c r="P3" s="1" t="str">
        <x:v>FAIL</x:v>
      </x:c>
      <x:c r="Q3" s="4" t="n">
        <x:v>594</x:v>
      </x:c>
      <x:c r="R3" s="1" t="str">
        <x:v>FAIL</x:v>
      </x:c>
      <x:c r="S3" s="4" t="n">
        <x:v>594</x:v>
      </x:c>
      <x:c r="T3" s="1" t="str">
        <x:v>INCONCLUSIVE</x:v>
      </x:c>
      <x:c r="U3" s="1" t="str">
        <x:v>Chart_2</x:v>
      </x:c>
      <x:c r="V3" s="6" t="n">
        <x:v>100.61</x:v>
      </x:c>
    </x:row>
    <x:row r="4" ht="22" customHeight="1">
      <x:c r="A4" s="1" t="str">
        <x:v>Round1</x:v>
      </x:c>
      <x:c r="B4" s="1" t="str">
        <x:v>Chart</x:v>
      </x:c>
      <x:c r="C4" s="4" t="n">
        <x:v>3</x:v>
      </x:c>
      <x:c r="D4" s="4" t="n">
        <x:v>0</x:v>
      </x:c>
      <x:c r="E4" s="4" t="n">
        <x:v>60</x:v>
      </x:c>
      <x:c r="F4" s="4" t="n">
        <x:v>3706</x:v>
      </x:c>
      <x:c r="G4" s="5" t="n">
        <x:v>0.265</x:v>
      </x:c>
      <x:c r="H4" s="5" t="n">
        <x:v>0.30260000000000004</x:v>
      </x:c>
      <x:c r="I4" s="5" t="n">
        <x:v>0.1882</x:v>
      </x:c>
      <x:c r="J4" s="4" t="n">
        <x:v>566</x:v>
      </x:c>
      <x:c r="K4" s="4" t="n">
        <x:v>150</x:v>
      </x:c>
      <x:c r="L4" s="4" t="n">
        <x:v>380</x:v>
      </x:c>
      <x:c r="M4" s="4" t="n">
        <x:v>115</x:v>
      </x:c>
      <x:c r="N4" s="4" t="n">
        <x:v>186</x:v>
      </x:c>
      <x:c r="O4" s="4" t="n">
        <x:v>35</x:v>
      </x:c>
      <x:c r="P4" s="1" t="str">
        <x:v>PASS</x:v>
      </x:c>
      <x:c r="Q4" s="4" t="n">
        <x:v>0</x:v>
      </x:c>
      <x:c r="R4" s="1" t="str">
        <x:v>PASS</x:v>
      </x:c>
      <x:c r="S4" s="4" t="n">
        <x:v>0</x:v>
      </x:c>
      <x:c r="T4" s="1" t="str">
        <x:v>NOT_REVEALING</x:v>
      </x:c>
      <x:c r="U4" s="1" t="str">
        <x:v>Chart_3</x:v>
      </x:c>
      <x:c r="V4" s="6" t="n">
        <x:v>97.59</x:v>
      </x:c>
    </x:row>
    <x:row r="5" ht="22" customHeight="1">
      <x:c r="A5" s="1" t="str">
        <x:v>Round1</x:v>
      </x:c>
      <x:c r="B5" s="1" t="str">
        <x:v>Chart</x:v>
      </x:c>
      <x:c r="C5" s="4" t="n">
        <x:v>4</x:v>
      </x:c>
      <x:c r="D5" s="4" t="n">
        <x:v>0</x:v>
      </x:c>
      <x:c r="E5" s="4" t="n">
        <x:v>60</x:v>
      </x:c>
      <x:c r="F5" s="4" t="n">
        <x:v>2586</x:v>
      </x:c>
      <x:c r="G5" s="5" t="n">
        <x:v>0.46</x:v>
      </x:c>
      <x:c r="H5" s="5" t="n">
        <x:v>0.5022</x:v>
      </x:c>
      <x:c r="I5" s="5" t="n">
        <x:v>0.3807</x:v>
      </x:c>
      <x:c r="J5" s="4" t="n">
        <x:v>2772</x:v>
      </x:c>
      <x:c r="K5" s="4" t="n">
        <x:v>1275</x:v>
      </x:c>
      <x:c r="L5" s="4" t="n">
        <x:v>1808</x:v>
      </x:c>
      <x:c r="M5" s="4" t="n">
        <x:v>908</x:v>
      </x:c>
      <x:c r="N5" s="4" t="n">
        <x:v>964</x:v>
      </x:c>
      <x:c r="O5" s="4" t="n">
        <x:v>367</x:v>
      </x:c>
      <x:c r="P5" s="1" t="str">
        <x:v>FAIL</x:v>
      </x:c>
      <x:c r="Q5" s="4" t="n">
        <x:v>1034</x:v>
      </x:c>
      <x:c r="R5" s="1" t="str">
        <x:v>FAIL</x:v>
      </x:c>
      <x:c r="S5" s="4" t="n">
        <x:v>1034</x:v>
      </x:c>
      <x:c r="T5" s="1" t="str">
        <x:v>INCONCLUSIVE</x:v>
      </x:c>
      <x:c r="U5" s="1" t="str">
        <x:v>Chart_4</x:v>
      </x:c>
      <x:c r="V5" s="6" t="n">
        <x:v>99.14</x:v>
      </x:c>
    </x:row>
    <x:row r="6" ht="22" customHeight="1">
      <x:c r="A6" s="1" t="str">
        <x:v>Round1</x:v>
      </x:c>
      <x:c r="B6" s="1" t="str">
        <x:v>Chart</x:v>
      </x:c>
      <x:c r="C6" s="4" t="n">
        <x:v>5</x:v>
      </x:c>
      <x:c r="D6" s="4" t="n">
        <x:v>0</x:v>
      </x:c>
      <x:c r="E6" s="4" t="n">
        <x:v>60</x:v>
      </x:c>
      <x:c r="F6" s="4" t="n">
        <x:v>2854</x:v>
      </x:c>
      <x:c r="G6" s="5" t="n">
        <x:v>0.8452</x:v>
      </x:c>
      <x:c r="H6" s="5" t="n">
        <x:v>0.8604999999999999</x:v>
      </x:c>
      <x:c r="I6" s="5" t="n">
        <x:v>0.8125</x:v>
      </x:c>
      <x:c r="J6" s="4" t="n">
        <x:v>252</x:v>
      </x:c>
      <x:c r="K6" s="4" t="n">
        <x:v>213</x:v>
      </x:c>
      <x:c r="L6" s="4" t="n">
        <x:v>172</x:v>
      </x:c>
      <x:c r="M6" s="4" t="n">
        <x:v>148</x:v>
      </x:c>
      <x:c r="N6" s="4" t="n">
        <x:v>80</x:v>
      </x:c>
      <x:c r="O6" s="4" t="n">
        <x:v>65</x:v>
      </x:c>
      <x:c r="P6" s="1" t="str">
        <x:v>PASS</x:v>
      </x:c>
      <x:c r="Q6" s="4" t="n">
        <x:v>0</x:v>
      </x:c>
      <x:c r="R6" s="1" t="str">
        <x:v>FAIL</x:v>
      </x:c>
      <x:c r="S6" s="4" t="n">
        <x:v>36</x:v>
      </x:c>
      <x:c r="T6" s="1" t="str">
        <x:v>INCONCLUSIVE</x:v>
      </x:c>
      <x:c r="U6" s="1" t="str">
        <x:v>Chart_5</x:v>
      </x:c>
      <x:c r="V6" s="6" t="n">
        <x:v>93.15</x:v>
      </x:c>
    </x:row>
    <x:row r="7" ht="22" customHeight="1">
      <x:c r="A7" s="1" t="str">
        <x:v>Round1</x:v>
      </x:c>
      <x:c r="B7" s="1" t="str">
        <x:v>Chart</x:v>
      </x:c>
      <x:c r="C7" s="4" t="n">
        <x:v>6</x:v>
      </x:c>
      <x:c r="D7" s="4" t="n">
        <x:v>0</x:v>
      </x:c>
      <x:c r="E7" s="4" t="n">
        <x:v>60</x:v>
      </x:c>
      <x:c r="F7" s="4" t="n">
        <x:v>3050</x:v>
      </x:c>
      <x:c r="G7" s="5" t="n">
        <x:v>0.34149999999999997</x:v>
      </x:c>
      <x:c r="H7" s="5" t="n">
        <x:v>0.37929999999999997</x:v>
      </x:c>
      <x:c r="I7" s="5" t="n">
        <x:v>0.25</x:v>
      </x:c>
      <x:c r="J7" s="4" t="n">
        <x:v>41</x:v>
      </x:c>
      <x:c r="K7" s="4" t="n">
        <x:v>14</x:v>
      </x:c>
      <x:c r="L7" s="4" t="n">
        <x:v>29</x:v>
      </x:c>
      <x:c r="M7" s="4" t="n">
        <x:v>11</x:v>
      </x:c>
      <x:c r="N7" s="4" t="n">
        <x:v>12</x:v>
      </x:c>
      <x:c r="O7" s="4" t="n">
        <x:v>3</x:v>
      </x:c>
      <x:c r="P7" s="1" t="str">
        <x:v>FAIL</x:v>
      </x:c>
      <x:c r="Q7" s="4" t="n">
        <x:v>1580</x:v>
      </x:c>
      <x:c r="R7" s="1" t="str">
        <x:v>FAIL</x:v>
      </x:c>
      <x:c r="S7" s="4" t="n">
        <x:v>1580</x:v>
      </x:c>
      <x:c r="T7" s="1" t="str">
        <x:v>INCONCLUSIVE</x:v>
      </x:c>
      <x:c r="U7" s="1" t="str">
        <x:v>Chart_6</x:v>
      </x:c>
      <x:c r="V7" s="6" t="n">
        <x:v>96.29</x:v>
      </x:c>
    </x:row>
    <x:row r="8" ht="22" customHeight="1">
      <x:c r="A8" s="1" t="str">
        <x:v>Round1</x:v>
      </x:c>
      <x:c r="B8" s="1" t="str">
        <x:v>Chart</x:v>
      </x:c>
      <x:c r="C8" s="4" t="n">
        <x:v>7</x:v>
      </x:c>
      <x:c r="D8" s="4" t="n">
        <x:v>0</x:v>
      </x:c>
      <x:c r="E8" s="4" t="n">
        <x:v>60</x:v>
      </x:c>
      <x:c r="F8" s="4" t="n">
        <x:v>3503</x:v>
      </x:c>
      <x:c r="G8" s="5" t="n">
        <x:v>0.4178</x:v>
      </x:c>
      <x:c r="H8" s="5" t="n">
        <x:v>0.45909999999999995</x:v>
      </x:c>
      <x:c r="I8" s="5" t="n">
        <x:v>0.2963</x:v>
      </x:c>
      <x:c r="J8" s="4" t="n">
        <x:v>213</x:v>
      </x:c>
      <x:c r="K8" s="4" t="n">
        <x:v>89</x:v>
      </x:c>
      <x:c r="L8" s="4" t="n">
        <x:v>159</x:v>
      </x:c>
      <x:c r="M8" s="4" t="n">
        <x:v>73</x:v>
      </x:c>
      <x:c r="N8" s="4" t="n">
        <x:v>54</x:v>
      </x:c>
      <x:c r="O8" s="4" t="n">
        <x:v>16</x:v>
      </x:c>
      <x:c r="P8" s="1" t="str">
        <x:v>PASS</x:v>
      </x:c>
      <x:c r="Q8" s="4" t="n">
        <x:v>0</x:v>
      </x:c>
      <x:c r="R8" s="1" t="str">
        <x:v>PASS</x:v>
      </x:c>
      <x:c r="S8" s="4" t="n">
        <x:v>0</x:v>
      </x:c>
      <x:c r="T8" s="1" t="str">
        <x:v>NOT_REVEALING</x:v>
      </x:c>
      <x:c r="U8" s="1" t="str">
        <x:v>Chart_7</x:v>
      </x:c>
      <x:c r="V8" s="6" t="n">
        <x:v>87.9</x:v>
      </x:c>
    </x:row>
    <x:row r="9" ht="22" customHeight="1">
      <x:c r="A9" s="1" t="str">
        <x:v>Round1</x:v>
      </x:c>
      <x:c r="B9" s="1" t="str">
        <x:v>Chart</x:v>
      </x:c>
      <x:c r="C9" s="4" t="n">
        <x:v>8</x:v>
      </x:c>
      <x:c r="D9" s="4" t="n">
        <x:v>0</x:v>
      </x:c>
      <x:c r="E9" s="4" t="n">
        <x:v>60</x:v>
      </x:c>
      <x:c r="F9" s="4" t="n">
        <x:v>1806</x:v>
      </x:c>
      <x:c r="G9" s="5" t="n">
        <x:v>0.8478</x:v>
      </x:c>
      <x:c r="H9" s="5" t="n">
        <x:v>0.8765000000000001</x:v>
      </x:c>
      <x:c r="I9" s="5" t="n">
        <x:v>0.7794</x:v>
      </x:c>
      <x:c r="J9" s="4" t="n">
        <x:v>230</x:v>
      </x:c>
      <x:c r="K9" s="4" t="n">
        <x:v>195</x:v>
      </x:c>
      <x:c r="L9" s="4" t="n">
        <x:v>162</x:v>
      </x:c>
      <x:c r="M9" s="4" t="n">
        <x:v>142</x:v>
      </x:c>
      <x:c r="N9" s="4" t="n">
        <x:v>68</x:v>
      </x:c>
      <x:c r="O9" s="4" t="n">
        <x:v>53</x:v>
      </x:c>
      <x:c r="P9" s="1" t="str">
        <x:v>FAIL</x:v>
      </x:c>
      <x:c r="Q9" s="4" t="n">
        <x:v>3048</x:v>
      </x:c>
      <x:c r="R9" s="1" t="str">
        <x:v>FAIL</x:v>
      </x:c>
      <x:c r="S9" s="4" t="n">
        <x:v>3048</x:v>
      </x:c>
      <x:c r="T9" s="1" t="str">
        <x:v>INCONCLUSIVE</x:v>
      </x:c>
      <x:c r="U9" s="1" t="str">
        <x:v>Chart_8</x:v>
      </x:c>
      <x:c r="V9" s="6" t="n">
        <x:v>83.25</x:v>
      </x:c>
    </x:row>
    <x:row r="10" ht="22" customHeight="1">
      <x:c r="A10" s="1" t="str">
        <x:v>Round1</x:v>
      </x:c>
      <x:c r="B10" s="1" t="str">
        <x:v>Chart</x:v>
      </x:c>
      <x:c r="C10" s="4" t="n">
        <x:v>9</x:v>
      </x:c>
      <x:c r="D10" s="4" t="n">
        <x:v>0</x:v>
      </x:c>
      <x:c r="E10" s="4" t="n">
        <x:v>60</x:v>
      </x:c>
      <x:c r="F10" s="4" t="n">
        <x:v>2854</x:v>
      </x:c>
      <x:c r="G10" s="5" t="n">
        <x:v>0.42210000000000003</x:v>
      </x:c>
      <x:c r="H10" s="5" t="n">
        <x:v>0.4498</x:v>
      </x:c>
      <x:c r="I10" s="5" t="n">
        <x:v>0.3594</x:v>
      </x:c>
      <x:c r="J10" s="4" t="n">
        <x:v>417</x:v>
      </x:c>
      <x:c r="K10" s="4" t="n">
        <x:v>176</x:v>
      </x:c>
      <x:c r="L10" s="4" t="n">
        <x:v>289</x:v>
      </x:c>
      <x:c r="M10" s="4" t="n">
        <x:v>130</x:v>
      </x:c>
      <x:c r="N10" s="4" t="n">
        <x:v>128</x:v>
      </x:c>
      <x:c r="O10" s="4" t="n">
        <x:v>46</x:v>
      </x:c>
      <x:c r="P10" s="1" t="str">
        <x:v>FAIL</x:v>
      </x:c>
      <x:c r="Q10" s="4" t="n">
        <x:v>16</x:v>
      </x:c>
      <x:c r="R10" s="1" t="str">
        <x:v>FAIL</x:v>
      </x:c>
      <x:c r="S10" s="4" t="n">
        <x:v>16</x:v>
      </x:c>
      <x:c r="T10" s="1" t="str">
        <x:v>INCONCLUSIVE</x:v>
      </x:c>
      <x:c r="U10" s="1" t="str">
        <x:v>Chart_9</x:v>
      </x:c>
      <x:c r="V10" s="6" t="n">
        <x:v>76.69</x:v>
      </x:c>
    </x:row>
    <x:row r="11" ht="22" customHeight="1">
      <x:c r="A11" s="1" t="str">
        <x:v>Round1</x:v>
      </x:c>
      <x:c r="B11" s="1" t="str">
        <x:v>Chart</x:v>
      </x:c>
      <x:c r="C11" s="4" t="n">
        <x:v>10</x:v>
      </x:c>
      <x:c r="D11" s="4" t="n">
        <x:v>0</x:v>
      </x:c>
      <x:c r="E11" s="4" t="n">
        <x:v>60</x:v>
      </x:c>
      <x:c r="F11" s="4" t="n">
        <x:v>3466</x:v>
      </x:c>
      <x:c r="G11" s="5" t="n">
        <x:v>1</x:v>
      </x:c>
      <x:c r="H11" s="5" t="n">
        <x:v>1</x:v>
      </x:c>
      <x:c r="I11" s="5" t="n">
        <x:v>0</x:v>
      </x:c>
      <x:c r="J11" s="4" t="n">
        <x:v>3</x:v>
      </x:c>
      <x:c r="K11" s="4" t="n">
        <x:v>3</x:v>
      </x:c>
      <x:c r="L11" s="4" t="n">
        <x:v>3</x:v>
      </x:c>
      <x:c r="M11" s="4" t="n">
        <x:v>3</x:v>
      </x:c>
      <x:c r="N11" s="4" t="n">
        <x:v>0</x:v>
      </x:c>
      <x:c r="O11" s="4" t="n">
        <x:v>0</x:v>
      </x:c>
      <x:c r="P11" s="1" t="str">
        <x:v>PASS</x:v>
      </x:c>
      <x:c r="Q11" s="4" t="n">
        <x:v>0</x:v>
      </x:c>
      <x:c r="R11" s="1" t="str">
        <x:v>FAIL</x:v>
      </x:c>
      <x:c r="S11" s="4" t="n">
        <x:v>6922</x:v>
      </x:c>
      <x:c r="T11" s="1" t="str">
        <x:v>INCONCLUSIVE</x:v>
      </x:c>
      <x:c r="U11" s="1" t="str">
        <x:v>Chart_10</x:v>
      </x:c>
      <x:c r="V11" s="6" t="n">
        <x:v>72.29</x:v>
      </x:c>
    </x:row>
    <x:row r="12" ht="22" customHeight="1">
      <x:c r="A12" s="1" t="str">
        <x:v>Round1</x:v>
      </x:c>
      <x:c r="B12" s="1" t="str">
        <x:v>Chart</x:v>
      </x:c>
      <x:c r="C12" s="4" t="n">
        <x:v>11</x:v>
      </x:c>
      <x:c r="D12" s="4" t="n">
        <x:v>0</x:v>
      </x:c>
      <x:c r="E12" s="4" t="n">
        <x:v>60</x:v>
      </x:c>
      <x:c r="F12" s="4" t="n">
        <x:v>3873</x:v>
      </x:c>
      <x:c r="G12" s="5" t="n">
        <x:v>0.4696</x:v>
      </x:c>
      <x:c r="H12" s="5" t="n">
        <x:v>0.5482</x:v>
      </x:c>
      <x:c r="I12" s="5" t="n">
        <x:v>0.3362</x:v>
      </x:c>
      <x:c r="J12" s="4" t="n">
        <x:v>313</x:v>
      </x:c>
      <x:c r="K12" s="4" t="n">
        <x:v>147</x:v>
      </x:c>
      <x:c r="L12" s="4" t="n">
        <x:v>197</x:v>
      </x:c>
      <x:c r="M12" s="4" t="n">
        <x:v>108</x:v>
      </x:c>
      <x:c r="N12" s="4" t="n">
        <x:v>116</x:v>
      </x:c>
      <x:c r="O12" s="4" t="n">
        <x:v>39</x:v>
      </x:c>
      <x:c r="P12" s="1" t="str">
        <x:v>PASS</x:v>
      </x:c>
      <x:c r="Q12" s="4" t="n">
        <x:v>0</x:v>
      </x:c>
      <x:c r="R12" s="1" t="str">
        <x:v>FAIL</x:v>
      </x:c>
      <x:c r="S12" s="4" t="n">
        <x:v>2004</x:v>
      </x:c>
      <x:c r="T12" s="1" t="str">
        <x:v>INCONCLUSIVE</x:v>
      </x:c>
      <x:c r="U12" s="1" t="str">
        <x:v>Chart_11</x:v>
      </x:c>
      <x:c r="V12" s="6" t="n">
        <x:v>60.84</x:v>
      </x:c>
    </x:row>
    <x:row r="13" ht="22" customHeight="1">
      <x:c r="A13" s="1" t="str">
        <x:v>Round1</x:v>
      </x:c>
      <x:c r="B13" s="1" t="str">
        <x:v>Chart</x:v>
      </x:c>
      <x:c r="C13" s="4" t="n">
        <x:v>12</x:v>
      </x:c>
      <x:c r="D13" s="4" t="n">
        <x:v>0</x:v>
      </x:c>
      <x:c r="E13" s="4" t="n">
        <x:v>60</x:v>
      </x:c>
      <x:c r="F13" s="4" t="n">
        <x:v>2976</x:v>
      </x:c>
      <x:c r="G13" s="5" t="n">
        <x:v>0.3577</x:v>
      </x:c>
      <x:c r="H13" s="5" t="n">
        <x:v>0.38420000000000004</x:v>
      </x:c>
      <x:c r="I13" s="5" t="n">
        <x:v>0.29760000000000003</x:v>
      </x:c>
      <x:c r="J13" s="4" t="n">
        <x:v>274</x:v>
      </x:c>
      <x:c r="K13" s="4" t="n">
        <x:v>98</x:v>
      </x:c>
      <x:c r="L13" s="4" t="n">
        <x:v>190</x:v>
      </x:c>
      <x:c r="M13" s="4" t="n">
        <x:v>73</x:v>
      </x:c>
      <x:c r="N13" s="4" t="n">
        <x:v>84</x:v>
      </x:c>
      <x:c r="O13" s="4" t="n">
        <x:v>25</x:v>
      </x:c>
      <x:c r="P13" s="1" t="str">
        <x:v>FAIL</x:v>
      </x:c>
      <x:c r="Q13" s="4" t="n">
        <x:v>1634</x:v>
      </x:c>
      <x:c r="R13" s="1" t="str">
        <x:v>FAIL</x:v>
      </x:c>
      <x:c r="S13" s="4" t="n">
        <x:v>1634</x:v>
      </x:c>
      <x:c r="T13" s="1" t="str">
        <x:v>INCONCLUSIVE</x:v>
      </x:c>
      <x:c r="U13" s="1" t="str">
        <x:v>Chart_12</x:v>
      </x:c>
      <x:c r="V13" s="6" t="n">
        <x:v>69.24</x:v>
      </x:c>
    </x:row>
    <x:row r="14" ht="22" customHeight="1">
      <x:c r="A14" s="1" t="str">
        <x:v>Round1</x:v>
      </x:c>
      <x:c r="B14" s="1" t="str">
        <x:v>Chart</x:v>
      </x:c>
      <x:c r="C14" s="4" t="n">
        <x:v>13</x:v>
      </x:c>
      <x:c r="D14" s="4" t="n">
        <x:v>0</x:v>
      </x:c>
      <x:c r="E14" s="4" t="n">
        <x:v>60</x:v>
      </x:c>
      <x:c r="F14" s="4" t="n">
        <x:v>5647</x:v>
      </x:c>
      <x:c r="G14" s="5" t="n">
        <x:v>0.2607</x:v>
      </x:c>
      <x:c r="H14" s="5" t="n">
        <x:v>0.27949999999999997</x:v>
      </x:c>
      <x:c r="I14" s="5" t="n">
        <x:v>0.225</x:v>
      </x:c>
      <x:c r="J14" s="4" t="n">
        <x:v>349</x:v>
      </x:c>
      <x:c r="K14" s="4" t="n">
        <x:v>91</x:v>
      </x:c>
      <x:c r="L14" s="4" t="n">
        <x:v>229</x:v>
      </x:c>
      <x:c r="M14" s="4" t="n">
        <x:v>64</x:v>
      </x:c>
      <x:c r="N14" s="4" t="n">
        <x:v>120</x:v>
      </x:c>
      <x:c r="O14" s="4" t="n">
        <x:v>27</x:v>
      </x:c>
      <x:c r="P14" s="1" t="str">
        <x:v>FAIL</x:v>
      </x:c>
      <x:c r="Q14" s="4" t="n">
        <x:v>3694</x:v>
      </x:c>
      <x:c r="R14" s="1" t="str">
        <x:v>FAIL</x:v>
      </x:c>
      <x:c r="S14" s="4" t="n">
        <x:v>3694</x:v>
      </x:c>
      <x:c r="T14" s="1" t="str">
        <x:v>INCONCLUSIVE</x:v>
      </x:c>
      <x:c r="U14" s="1" t="str">
        <x:v>Chart_13</x:v>
      </x:c>
      <x:c r="V14" s="6" t="n">
        <x:v>73.83</x:v>
      </x:c>
    </x:row>
    <x:row r="15" ht="22" customHeight="1">
      <x:c r="A15" s="1" t="str">
        <x:v>Round1</x:v>
      </x:c>
      <x:c r="B15" s="1" t="str">
        <x:v>Chart</x:v>
      </x:c>
      <x:c r="C15" s="4" t="n">
        <x:v>14</x:v>
      </x:c>
      <x:c r="D15" s="4" t="n">
        <x:v>0</x:v>
      </x:c>
      <x:c r="E15" s="4" t="n">
        <x:v>60</x:v>
      </x:c>
      <x:c r="F15" s="4" t="n">
        <x:v>2362</x:v>
      </x:c>
      <x:c r="G15" s="5" t="n">
        <x:v>0.4894</x:v>
      </x:c>
      <x:c r="H15" s="5" t="n">
        <x:v>0.5386</x:v>
      </x:c>
      <x:c r="I15" s="5" t="n">
        <x:v>0.3962</x:v>
      </x:c>
      <x:c r="J15" s="4" t="n">
        <x:v>4158</x:v>
      </x:c>
      <x:c r="K15" s="4" t="n">
        <x:v>2035</x:v>
      </x:c>
      <x:c r="L15" s="4" t="n">
        <x:v>2722</x:v>
      </x:c>
      <x:c r="M15" s="4" t="n">
        <x:v>1466</x:v>
      </x:c>
      <x:c r="N15" s="4" t="n">
        <x:v>1436</x:v>
      </x:c>
      <x:c r="O15" s="4" t="n">
        <x:v>569</x:v>
      </x:c>
      <x:c r="P15" s="1" t="str">
        <x:v>FAIL</x:v>
      </x:c>
      <x:c r="Q15" s="4" t="n">
        <x:v>560</x:v>
      </x:c>
      <x:c r="R15" s="1" t="str">
        <x:v>FAIL</x:v>
      </x:c>
      <x:c r="S15" s="4" t="n">
        <x:v>736</x:v>
      </x:c>
      <x:c r="T15" s="1" t="str">
        <x:v>INCONCLUSIVE</x:v>
      </x:c>
      <x:c r="U15" s="1" t="str">
        <x:v>Chart_14</x:v>
      </x:c>
      <x:c r="V15" s="6" t="n">
        <x:v>67.69</x:v>
      </x:c>
    </x:row>
    <x:row r="16" ht="22" customHeight="1">
      <x:c r="A16" s="1" t="str">
        <x:v>Round1</x:v>
      </x:c>
      <x:c r="B16" s="1" t="str">
        <x:v>Chart</x:v>
      </x:c>
      <x:c r="C16" s="4" t="n">
        <x:v>15</x:v>
      </x:c>
      <x:c r="D16" s="4" t="n">
        <x:v>0</x:v>
      </x:c>
      <x:c r="E16" s="4" t="n">
        <x:v>60</x:v>
      </x:c>
      <x:c r="F16" s="4" t="n">
        <x:v>2751</x:v>
      </x:c>
      <x:c r="G16" s="5" t="n">
        <x:v>0.4486</x:v>
      </x:c>
      <x:c r="H16" s="5" t="n">
        <x:v>0.47850000000000004</x:v>
      </x:c>
      <x:c r="I16" s="5" t="n">
        <x:v>0.3686</x:v>
      </x:c>
      <x:c r="J16" s="4" t="n">
        <x:v>1148</x:v>
      </x:c>
      <x:c r="K16" s="4" t="n">
        <x:v>515</x:v>
      </x:c>
      <x:c r="L16" s="4" t="n">
        <x:v>836</x:v>
      </x:c>
      <x:c r="M16" s="4" t="n">
        <x:v>400</x:v>
      </x:c>
      <x:c r="N16" s="4" t="n">
        <x:v>312</x:v>
      </x:c>
      <x:c r="O16" s="4" t="n">
        <x:v>115</x:v>
      </x:c>
      <x:c r="P16" s="1" t="str">
        <x:v>FAIL</x:v>
      </x:c>
      <x:c r="Q16" s="4" t="n">
        <x:v>767</x:v>
      </x:c>
      <x:c r="R16" s="1" t="str">
        <x:v>FAIL</x:v>
      </x:c>
      <x:c r="S16" s="4" t="n">
        <x:v>952</x:v>
      </x:c>
      <x:c r="T16" s="1" t="str">
        <x:v>INCONCLUSIVE</x:v>
      </x:c>
      <x:c r="U16" s="1" t="str">
        <x:v>Chart_15</x:v>
      </x:c>
      <x:c r="V16" s="6" t="n">
        <x:v>71.28</x:v>
      </x:c>
    </x:row>
    <x:row r="17" ht="22" customHeight="1">
      <x:c r="A17" s="1" t="str">
        <x:v>Round1</x:v>
      </x:c>
      <x:c r="B17" s="1" t="str">
        <x:v>Chart</x:v>
      </x:c>
      <x:c r="C17" s="4" t="n">
        <x:v>16</x:v>
      </x:c>
      <x:c r="D17" s="4" t="n">
        <x:v>0</x:v>
      </x:c>
      <x:c r="E17" s="4" t="n">
        <x:v>60</x:v>
      </x:c>
      <x:c r="F17" s="4" t="n">
        <x:v>4371</x:v>
      </x:c>
      <x:c r="G17" s="5" t="n">
        <x:v>0.807</x:v>
      </x:c>
      <x:c r="H17" s="5" t="n">
        <x:v>0.7926000000000001</x:v>
      </x:c>
      <x:c r="I17" s="5" t="n">
        <x:v>0.8281000000000001</x:v>
      </x:c>
      <x:c r="J17" s="4" t="n">
        <x:v>316</x:v>
      </x:c>
      <x:c r="K17" s="4" t="n">
        <x:v>255</x:v>
      </x:c>
      <x:c r="L17" s="4" t="n">
        <x:v>188</x:v>
      </x:c>
      <x:c r="M17" s="4" t="n">
        <x:v>149</x:v>
      </x:c>
      <x:c r="N17" s="4" t="n">
        <x:v>128</x:v>
      </x:c>
      <x:c r="O17" s="4" t="n">
        <x:v>106</x:v>
      </x:c>
      <x:c r="P17" s="1" t="str">
        <x:v>FAIL</x:v>
      </x:c>
      <x:c r="Q17" s="4" t="n">
        <x:v>1510</x:v>
      </x:c>
      <x:c r="R17" s="1" t="str">
        <x:v>FAIL</x:v>
      </x:c>
      <x:c r="S17" s="4" t="n">
        <x:v>1620</x:v>
      </x:c>
      <x:c r="T17" s="1" t="str">
        <x:v>INCONCLUSIVE</x:v>
      </x:c>
      <x:c r="U17" s="1" t="str">
        <x:v>Chart_16</x:v>
      </x:c>
      <x:c r="V17" s="6" t="n">
        <x:v>90.63</x:v>
      </x:c>
    </x:row>
    <x:row r="18" ht="22" customHeight="1">
      <x:c r="A18" s="1" t="str">
        <x:v>Round1</x:v>
      </x:c>
      <x:c r="B18" s="1" t="str">
        <x:v>Chart</x:v>
      </x:c>
      <x:c r="C18" s="4" t="n">
        <x:v>17</x:v>
      </x:c>
      <x:c r="D18" s="4" t="n">
        <x:v>0</x:v>
      </x:c>
      <x:c r="E18" s="4" t="n">
        <x:v>60</x:v>
      </x:c>
      <x:c r="F18" s="4" t="n">
        <x:v>3776</x:v>
      </x:c>
      <x:c r="G18" s="5" t="n">
        <x:v>0.41590000000000005</x:v>
      </x:c>
      <x:c r="H18" s="5" t="n">
        <x:v>0.44439999999999996</x:v>
      </x:c>
      <x:c r="I18" s="5" t="n">
        <x:v>0.35159999999999997</x:v>
      </x:c>
      <x:c r="J18" s="4" t="n">
        <x:v>416</x:v>
      </x:c>
      <x:c r="K18" s="4" t="n">
        <x:v>173</x:v>
      </x:c>
      <x:c r="L18" s="4" t="n">
        <x:v>288</x:v>
      </x:c>
      <x:c r="M18" s="4" t="n">
        <x:v>128</x:v>
      </x:c>
      <x:c r="N18" s="4" t="n">
        <x:v>128</x:v>
      </x:c>
      <x:c r="O18" s="4" t="n">
        <x:v>45</x:v>
      </x:c>
      <x:c r="P18" s="1" t="str">
        <x:v>FAIL</x:v>
      </x:c>
      <x:c r="Q18" s="4" t="n">
        <x:v>30</x:v>
      </x:c>
      <x:c r="R18" s="1" t="str">
        <x:v>FAIL</x:v>
      </x:c>
      <x:c r="S18" s="4" t="n">
        <x:v>242</x:v>
      </x:c>
      <x:c r="T18" s="1" t="str">
        <x:v>INCONCLUSIVE</x:v>
      </x:c>
      <x:c r="U18" s="1" t="str">
        <x:v>Chart_17</x:v>
      </x:c>
      <x:c r="V18" s="6" t="n">
        <x:v>75.7</x:v>
      </x:c>
    </x:row>
    <x:row r="19" ht="22" customHeight="1">
      <x:c r="A19" s="1" t="str">
        <x:v>Round1</x:v>
      </x:c>
      <x:c r="B19" s="1" t="str">
        <x:v>Chart</x:v>
      </x:c>
      <x:c r="C19" s="4" t="n">
        <x:v>18</x:v>
      </x:c>
      <x:c r="D19" s="4" t="n">
        <x:v>0</x:v>
      </x:c>
      <x:c r="E19" s="4" t="n">
        <x:v>60</x:v>
      </x:c>
      <x:c r="F19" s="4" t="n">
        <x:v>3985</x:v>
      </x:c>
      <x:c r="G19" s="5" t="n">
        <x:v>0.799</x:v>
      </x:c>
      <x:c r="H19" s="5" t="n">
        <x:v>0.8345999999999999</x:v>
      </x:c>
      <x:c r="I19" s="5" t="n">
        <x:v>0.7212999999999999</x:v>
      </x:c>
      <x:c r="J19" s="4" t="n">
        <x:v>388</x:v>
      </x:c>
      <x:c r="K19" s="4" t="n">
        <x:v>310</x:v>
      </x:c>
      <x:c r="L19" s="4" t="n">
        <x:v>266</x:v>
      </x:c>
      <x:c r="M19" s="4" t="n">
        <x:v>222</x:v>
      </x:c>
      <x:c r="N19" s="4" t="n">
        <x:v>122</x:v>
      </x:c>
      <x:c r="O19" s="4" t="n">
        <x:v>88</x:v>
      </x:c>
      <x:c r="P19" s="1" t="str">
        <x:v>PASS</x:v>
      </x:c>
      <x:c r="Q19" s="4" t="n">
        <x:v>0</x:v>
      </x:c>
      <x:c r="R19" s="1" t="str">
        <x:v>FAIL</x:v>
      </x:c>
      <x:c r="S19" s="4" t="n">
        <x:v>5242</x:v>
      </x:c>
      <x:c r="T19" s="1" t="str">
        <x:v>INCONCLUSIVE</x:v>
      </x:c>
      <x:c r="U19" s="1" t="str">
        <x:v>Chart_18</x:v>
      </x:c>
      <x:c r="V19" s="6" t="n">
        <x:v>88.78</x:v>
      </x:c>
    </x:row>
    <x:row r="20" ht="22" customHeight="1">
      <x:c r="A20" s="1" t="str">
        <x:v>Round1</x:v>
      </x:c>
      <x:c r="B20" s="1" t="str">
        <x:v>Chart</x:v>
      </x:c>
      <x:c r="C20" s="4" t="n">
        <x:v>19</x:v>
      </x:c>
      <x:c r="D20" s="4" t="n">
        <x:v>0</x:v>
      </x:c>
      <x:c r="E20" s="4" t="n">
        <x:v>60</x:v>
      </x:c>
      <x:c r="F20" s="4" t="n">
        <x:v>2265</x:v>
      </x:c>
      <x:c r="G20" s="5" t="n">
        <x:v>0.5490999999999999</x:v>
      </x:c>
      <x:c r="H20" s="5" t="n">
        <x:v>0.5986</x:v>
      </x:c>
      <x:c r="I20" s="5" t="n">
        <x:v>0.4545</x:v>
      </x:c>
      <x:c r="J20" s="4" t="n">
        <x:v>1730</x:v>
      </x:c>
      <x:c r="K20" s="4" t="n">
        <x:v>950</x:v>
      </x:c>
      <x:c r="L20" s="4" t="n">
        <x:v>1136</x:v>
      </x:c>
      <x:c r="M20" s="4" t="n">
        <x:v>680</x:v>
      </x:c>
      <x:c r="N20" s="4" t="n">
        <x:v>594</x:v>
      </x:c>
      <x:c r="O20" s="4" t="n">
        <x:v>270</x:v>
      </x:c>
      <x:c r="P20" s="1" t="str">
        <x:v>FAIL</x:v>
      </x:c>
      <x:c r="Q20" s="4" t="n">
        <x:v>512</x:v>
      </x:c>
      <x:c r="R20" s="1" t="str">
        <x:v>FAIL</x:v>
      </x:c>
      <x:c r="S20" s="4" t="n">
        <x:v>772</x:v>
      </x:c>
      <x:c r="T20" s="1" t="str">
        <x:v>INCONCLUSIVE</x:v>
      </x:c>
      <x:c r="U20" s="1" t="str">
        <x:v>Chart_19</x:v>
      </x:c>
      <x:c r="V20" s="6" t="n">
        <x:v>84.53</x:v>
      </x:c>
    </x:row>
    <x:row r="21" ht="22" customHeight="1">
      <x:c r="A21" s="1" t="str">
        <x:v>Round1</x:v>
      </x:c>
      <x:c r="B21" s="1" t="str">
        <x:v>Chart</x:v>
      </x:c>
      <x:c r="C21" s="4" t="n">
        <x:v>20</x:v>
      </x:c>
      <x:c r="D21" s="4" t="n">
        <x:v>0</x:v>
      </x:c>
      <x:c r="E21" s="4" t="n">
        <x:v>60</x:v>
      </x:c>
      <x:c r="F21" s="4" t="n">
        <x:v>3354</x:v>
      </x:c>
      <x:c r="G21" s="5" t="n">
        <x:v>0.8667</x:v>
      </x:c>
      <x:c r="H21" s="5" t="n">
        <x:v>0.9091</x:v>
      </x:c>
      <x:c r="I21" s="5" t="n">
        <x:v>0.75</x:v>
      </x:c>
      <x:c r="J21" s="4" t="n">
        <x:v>30</x:v>
      </x:c>
      <x:c r="K21" s="4" t="n">
        <x:v>26</x:v>
      </x:c>
      <x:c r="L21" s="4" t="n">
        <x:v>22</x:v>
      </x:c>
      <x:c r="M21" s="4" t="n">
        <x:v>20</x:v>
      </x:c>
      <x:c r="N21" s="4" t="n">
        <x:v>8</x:v>
      </x:c>
      <x:c r="O21" s="4" t="n">
        <x:v>6</x:v>
      </x:c>
      <x:c r="P21" s="1" t="str">
        <x:v>FAIL</x:v>
      </x:c>
      <x:c r="Q21" s="4" t="n">
        <x:v>2534</x:v>
      </x:c>
      <x:c r="R21" s="1" t="str">
        <x:v>FAIL</x:v>
      </x:c>
      <x:c r="S21" s="4" t="n">
        <x:v>2534</x:v>
      </x:c>
      <x:c r="T21" s="1" t="str">
        <x:v>INCONCLUSIVE</x:v>
      </x:c>
      <x:c r="U21" s="1" t="str">
        <x:v>Chart_20</x:v>
      </x:c>
      <x:c r="V21" s="6" t="n">
        <x:v>91.46</x:v>
      </x:c>
    </x:row>
    <x:row r="22" ht="22" customHeight="1">
      <x:c r="A22" s="1" t="str">
        <x:v>Round1</x:v>
      </x:c>
      <x:c r="B22" s="1" t="str">
        <x:v>Chart</x:v>
      </x:c>
      <x:c r="C22" s="4" t="n">
        <x:v>21</x:v>
      </x:c>
      <x:c r="D22" s="4" t="n">
        <x:v>0</x:v>
      </x:c>
      <x:c r="E22" s="4" t="n">
        <x:v>60</x:v>
      </x:c>
      <x:c r="F22" s="4" t="n">
        <x:v>4699</x:v>
      </x:c>
      <x:c r="G22" s="5" t="n">
        <x:v>0.4525</x:v>
      </x:c>
      <x:c r="H22" s="5" t="n">
        <x:v>0.5652</x:v>
      </x:c>
      <x:c r="I22" s="5" t="n">
        <x:v>0.15</x:v>
      </x:c>
      <x:c r="J22" s="4" t="n">
        <x:v>221</x:v>
      </x:c>
      <x:c r="K22" s="4" t="n">
        <x:v>100</x:v>
      </x:c>
      <x:c r="L22" s="4" t="n">
        <x:v>161</x:v>
      </x:c>
      <x:c r="M22" s="4" t="n">
        <x:v>91</x:v>
      </x:c>
      <x:c r="N22" s="4" t="n">
        <x:v>60</x:v>
      </x:c>
      <x:c r="O22" s="4" t="n">
        <x:v>9</x:v>
      </x:c>
      <x:c r="P22" s="1" t="str">
        <x:v>FAIL</x:v>
      </x:c>
      <x:c r="Q22" s="4" t="n">
        <x:v>948</x:v>
      </x:c>
      <x:c r="R22" s="1" t="str">
        <x:v>FAIL</x:v>
      </x:c>
      <x:c r="S22" s="4" t="n">
        <x:v>948</x:v>
      </x:c>
      <x:c r="T22" s="1" t="str">
        <x:v>INCONCLUSIVE</x:v>
      </x:c>
      <x:c r="U22" s="1" t="str">
        <x:v>Chart_21</x:v>
      </x:c>
      <x:c r="V22" s="6" t="n">
        <x:v>92.18</x:v>
      </x:c>
    </x:row>
    <x:row r="23" ht="22" customHeight="1">
      <x:c r="A23" s="1" t="str">
        <x:v>Round1</x:v>
      </x:c>
      <x:c r="B23" s="1" t="str">
        <x:v>Chart</x:v>
      </x:c>
      <x:c r="C23" s="4" t="n">
        <x:v>22</x:v>
      </x:c>
      <x:c r="D23" s="4" t="n">
        <x:v>0</x:v>
      </x:c>
      <x:c r="E23" s="4" t="n">
        <x:v>60</x:v>
      </x:c>
      <x:c r="F23" s="4" t="n">
        <x:v>3175</x:v>
      </x:c>
      <x:c r="G23" s="5" t="n">
        <x:v>0.9066</x:v>
      </x:c>
      <x:c r="H23" s="5" t="n">
        <x:v>0.9355</x:v>
      </x:c>
      <x:c r="I23" s="5" t="n">
        <x:v>0.8448</x:v>
      </x:c>
      <x:c r="J23" s="4" t="n">
        <x:v>182</x:v>
      </x:c>
      <x:c r="K23" s="4" t="n">
        <x:v>165</x:v>
      </x:c>
      <x:c r="L23" s="4" t="n">
        <x:v>124</x:v>
      </x:c>
      <x:c r="M23" s="4" t="n">
        <x:v>116</x:v>
      </x:c>
      <x:c r="N23" s="4" t="n">
        <x:v>58</x:v>
      </x:c>
      <x:c r="O23" s="4" t="n">
        <x:v>49</x:v>
      </x:c>
      <x:c r="P23" s="1" t="str">
        <x:v>FAIL</x:v>
      </x:c>
      <x:c r="Q23" s="4" t="n">
        <x:v>250</x:v>
      </x:c>
      <x:c r="R23" s="1" t="str">
        <x:v>FAIL</x:v>
      </x:c>
      <x:c r="S23" s="4" t="n">
        <x:v>2428</x:v>
      </x:c>
      <x:c r="T23" s="1" t="str">
        <x:v>INCONCLUSIVE</x:v>
      </x:c>
      <x:c r="U23" s="1" t="str">
        <x:v>Chart_22</x:v>
      </x:c>
      <x:c r="V23" s="6" t="n">
        <x:v>103.66</x:v>
      </x:c>
    </x:row>
    <x:row r="24" ht="22" customHeight="1">
      <x:c r="A24" s="1" t="str">
        <x:v>Round1</x:v>
      </x:c>
      <x:c r="B24" s="1" t="str">
        <x:v>Chart</x:v>
      </x:c>
      <x:c r="C24" s="4" t="n">
        <x:v>23</x:v>
      </x:c>
      <x:c r="D24" s="4" t="n">
        <x:v>0</x:v>
      </x:c>
      <x:c r="E24" s="4" t="n">
        <x:v>60</x:v>
      </x:c>
      <x:c r="F24" s="4" t="n">
        <x:v>2584</x:v>
      </x:c>
      <x:c r="G24" s="5" t="n">
        <x:v>0.3421</x:v>
      </x:c>
      <x:c r="H24" s="5" t="n">
        <x:v>0.375</x:v>
      </x:c>
      <x:c r="I24" s="5" t="n">
        <x:v>0.2391</x:v>
      </x:c>
      <x:c r="J24" s="4" t="n">
        <x:v>190</x:v>
      </x:c>
      <x:c r="K24" s="4" t="n">
        <x:v>65</x:v>
      </x:c>
      <x:c r="L24" s="4" t="n">
        <x:v>144</x:v>
      </x:c>
      <x:c r="M24" s="4" t="n">
        <x:v>54</x:v>
      </x:c>
      <x:c r="N24" s="4" t="n">
        <x:v>46</x:v>
      </x:c>
      <x:c r="O24" s="4" t="n">
        <x:v>11</x:v>
      </x:c>
      <x:c r="P24" s="1" t="str">
        <x:v>FAIL</x:v>
      </x:c>
      <x:c r="Q24" s="4" t="n">
        <x:v>814</x:v>
      </x:c>
      <x:c r="R24" s="1" t="str">
        <x:v>FAIL</x:v>
      </x:c>
      <x:c r="S24" s="4" t="n">
        <x:v>806</x:v>
      </x:c>
      <x:c r="T24" s="1" t="str">
        <x:v>INCONCLUSIVE</x:v>
      </x:c>
      <x:c r="U24" s="1" t="str">
        <x:v>Chart_23</x:v>
      </x:c>
      <x:c r="V24" s="6" t="n">
        <x:v>92.3</x:v>
      </x:c>
    </x:row>
    <x:row r="25" ht="22" customHeight="1">
      <x:c r="A25" s="1" t="str">
        <x:v>Round1</x:v>
      </x:c>
      <x:c r="B25" s="1" t="str">
        <x:v>Chart</x:v>
      </x:c>
      <x:c r="C25" s="4" t="n">
        <x:v>24</x:v>
      </x:c>
      <x:c r="D25" s="4" t="n">
        <x:v>0</x:v>
      </x:c>
      <x:c r="E25" s="4" t="n">
        <x:v>60</x:v>
      </x:c>
      <x:c r="F25" s="4" t="n">
        <x:v>4115</x:v>
      </x:c>
      <x:c r="G25" s="5" t="n">
        <x:v>0.9429000000000001</x:v>
      </x:c>
      <x:c r="H25" s="5" t="n">
        <x:v>0.96</x:v>
      </x:c>
      <x:c r="I25" s="5" t="n">
        <x:v>0.9</x:v>
      </x:c>
      <x:c r="J25" s="4" t="n">
        <x:v>35</x:v>
      </x:c>
      <x:c r="K25" s="4" t="n">
        <x:v>33</x:v>
      </x:c>
      <x:c r="L25" s="4" t="n">
        <x:v>25</x:v>
      </x:c>
      <x:c r="M25" s="4" t="n">
        <x:v>24</x:v>
      </x:c>
      <x:c r="N25" s="4" t="n">
        <x:v>10</x:v>
      </x:c>
      <x:c r="O25" s="4" t="n">
        <x:v>9</x:v>
      </x:c>
      <x:c r="P25" s="1" t="str">
        <x:v>FAIL</x:v>
      </x:c>
      <x:c r="Q25" s="4" t="n">
        <x:v>2706</x:v>
      </x:c>
      <x:c r="R25" s="1" t="str">
        <x:v>FAIL</x:v>
      </x:c>
      <x:c r="S25" s="4" t="n">
        <x:v>3810</x:v>
      </x:c>
      <x:c r="T25" s="1" t="str">
        <x:v>INCONCLUSIVE</x:v>
      </x:c>
      <x:c r="U25" s="1" t="str">
        <x:v>Chart_24</x:v>
      </x:c>
      <x:c r="V25" s="6" t="n">
        <x:v>91.72</x:v>
      </x:c>
    </x:row>
    <x:row r="26" ht="22" customHeight="1">
      <x:c r="A26" s="1" t="str">
        <x:v>Round1</x:v>
      </x:c>
      <x:c r="B26" s="1" t="str">
        <x:v>Chart</x:v>
      </x:c>
      <x:c r="C26" s="4" t="n">
        <x:v>25</x:v>
      </x:c>
      <x:c r="D26" s="4" t="n">
        <x:v>0</x:v>
      </x:c>
      <x:c r="E26" s="4" t="n">
        <x:v>60</x:v>
      </x:c>
      <x:c r="F26" s="4" t="n">
        <x:v>2622</x:v>
      </x:c>
      <x:c r="G26" s="5" t="n">
        <x:v>0.1211</x:v>
      </x:c>
      <x:c r="H26" s="5" t="n">
        <x:v>0.1379</x:v>
      </x:c>
      <x:c r="I26" s="5" t="n">
        <x:v>0.08539999999999999</x:v>
      </x:c>
      <x:c r="J26" s="4" t="n">
        <x:v>256</x:v>
      </x:c>
      <x:c r="K26" s="4" t="n">
        <x:v>31</x:v>
      </x:c>
      <x:c r="L26" s="4" t="n">
        <x:v>174</x:v>
      </x:c>
      <x:c r="M26" s="4" t="n">
        <x:v>24</x:v>
      </x:c>
      <x:c r="N26" s="4" t="n">
        <x:v>82</x:v>
      </x:c>
      <x:c r="O26" s="4" t="n">
        <x:v>7</x:v>
      </x:c>
      <x:c r="P26" s="1" t="str">
        <x:v>FAIL</x:v>
      </x:c>
      <x:c r="Q26" s="4" t="n">
        <x:v>852</x:v>
      </x:c>
      <x:c r="R26" s="1" t="str">
        <x:v>FAIL</x:v>
      </x:c>
      <x:c r="S26" s="4" t="n">
        <x:v>852</x:v>
      </x:c>
      <x:c r="T26" s="1" t="str">
        <x:v>INCONCLUSIVE</x:v>
      </x:c>
      <x:c r="U26" s="1" t="str">
        <x:v>Chart_25</x:v>
      </x:c>
      <x:c r="V26" s="6" t="n">
        <x:v>92</x:v>
      </x:c>
    </x:row>
    <x:row r="27" ht="22" customHeight="1">
      <x:c r="A27" s="1" t="str">
        <x:v>Round1</x:v>
      </x:c>
      <x:c r="B27" s="1" t="str">
        <x:v>Chart</x:v>
      </x:c>
      <x:c r="C27" s="4" t="n">
        <x:v>26</x:v>
      </x:c>
      <x:c r="D27" s="4" t="n">
        <x:v>0</x:v>
      </x:c>
      <x:c r="E27" s="4" t="n">
        <x:v>60</x:v>
      </x:c>
      <x:c r="F27" s="4" t="n">
        <x:v>16</x:v>
      </x:c>
      <x:c r="G27" s="5" t="n">
        <x:v>0.0209</x:v>
      </x:c>
      <x:c r="H27" s="5" t="n">
        <x:v>0.0286</x:v>
      </x:c>
      <x:c r="I27" s="5" t="n">
        <x:v>0</x:v>
      </x:c>
      <x:c r="J27" s="4" t="n">
        <x:v>478</x:v>
      </x:c>
      <x:c r="K27" s="4" t="n">
        <x:v>10</x:v>
      </x:c>
      <x:c r="L27" s="4" t="n">
        <x:v>350</x:v>
      </x:c>
      <x:c r="M27" s="4" t="n">
        <x:v>10</x:v>
      </x:c>
      <x:c r="N27" s="4" t="n">
        <x:v>128</x:v>
      </x:c>
      <x:c r="O27" s="4" t="n">
        <x:v>0</x:v>
      </x:c>
      <x:c r="P27" s="1" t="str">
        <x:v>PASS</x:v>
      </x:c>
      <x:c r="Q27" s="4" t="n">
        <x:v>0</x:v>
      </x:c>
      <x:c r="R27" s="1" t="str">
        <x:v>PASS</x:v>
      </x:c>
      <x:c r="S27" s="4" t="n">
        <x:v>0</x:v>
      </x:c>
      <x:c r="T27" s="1" t="str">
        <x:v>NOT_REVEALING</x:v>
      </x:c>
      <x:c r="U27" s="1" t="str">
        <x:v>Chart_26</x:v>
      </x:c>
      <x:c r="V27" s="6" t="n">
        <x:v>55.73</x:v>
      </x:c>
    </x:row>
    <x:row r="28" ht="22" customHeight="1">
      <x:c r="A28" s="1" t="str">
        <x:v>Round1</x:v>
      </x:c>
      <x:c r="B28" s="1" t="str">
        <x:v>Cli</x:v>
      </x:c>
      <x:c r="C28" s="4" t="n">
        <x:v>1</x:v>
      </x:c>
      <x:c r="D28" s="4" t="n">
        <x:v>0</x:v>
      </x:c>
      <x:c r="E28" s="4" t="n">
        <x:v>60</x:v>
      </x:c>
      <x:c r="F28" s="4" t="n">
        <x:v>6192</x:v>
      </x:c>
      <x:c r="G28" s="5" t="n">
        <x:v>0</x:v>
      </x:c>
      <x:c r="H28" s="5" t="n">
        <x:v>0</x:v>
      </x:c>
      <x:c r="I28" s="5" t="n">
        <x:v>0</x:v>
      </x:c>
      <x:c r="J28" s="4" t="n">
        <x:v>59</x:v>
      </x:c>
      <x:c r="K28" s="4" t="n">
        <x:v>0</x:v>
      </x:c>
      <x:c r="L28" s="4" t="n">
        <x:v>45</x:v>
      </x:c>
      <x:c r="M28" s="4" t="n">
        <x:v>0</x:v>
      </x:c>
      <x:c r="N28" s="4" t="n">
        <x:v>14</x:v>
      </x:c>
      <x:c r="O28" s="4" t="n">
        <x:v>0</x:v>
      </x:c>
      <x:c r="P28" s="1" t="str">
        <x:v>FAIL</x:v>
      </x:c>
      <x:c r="Q28" s="4" t="n">
        <x:v>14</x:v>
      </x:c>
      <x:c r="R28" s="1" t="str">
        <x:v>FAIL</x:v>
      </x:c>
      <x:c r="S28" s="4" t="n">
        <x:v>14</x:v>
      </x:c>
      <x:c r="T28" s="1" t="str">
        <x:v>INCONCLUSIVE</x:v>
      </x:c>
      <x:c r="U28" s="1" t="str">
        <x:v>Cli_1</x:v>
      </x:c>
      <x:c r="V28" s="6" t="n">
        <x:v>51.16</x:v>
      </x:c>
    </x:row>
    <x:row r="29" ht="22" customHeight="1">
      <x:c r="A29" s="1" t="str">
        <x:v>Round1</x:v>
      </x:c>
      <x:c r="B29" s="1" t="str">
        <x:v>Cli</x:v>
      </x:c>
      <x:c r="C29" s="4" t="n">
        <x:v>2</x:v>
      </x:c>
      <x:c r="D29" s="4" t="n">
        <x:v>0</x:v>
      </x:c>
      <x:c r="E29" s="4" t="n">
        <x:v>60</x:v>
      </x:c>
      <x:c r="F29" s="4" t="n">
        <x:v>6619</x:v>
      </x:c>
      <x:c r="G29" s="5" t="n">
        <x:v>0</x:v>
      </x:c>
      <x:c r="H29" s="5" t="n">
        <x:v>0</x:v>
      </x:c>
      <x:c r="I29" s="5" t="n">
        <x:v>0</x:v>
      </x:c>
      <x:c r="J29" s="4" t="n">
        <x:v>110</x:v>
      </x:c>
      <x:c r="K29" s="4" t="n">
        <x:v>0</x:v>
      </x:c>
      <x:c r="L29" s="4" t="n">
        <x:v>68</x:v>
      </x:c>
      <x:c r="M29" s="4" t="n">
        <x:v>0</x:v>
      </x:c>
      <x:c r="N29" s="4" t="n">
        <x:v>42</x:v>
      </x:c>
      <x:c r="O29" s="4" t="n">
        <x:v>0</x:v>
      </x:c>
      <x:c r="P29" s="1" t="str">
        <x:v>FAIL</x:v>
      </x:c>
      <x:c r="Q29" s="4" t="n">
        <x:v>17</x:v>
      </x:c>
      <x:c r="R29" s="1" t="str">
        <x:v>FAIL</x:v>
      </x:c>
      <x:c r="S29" s="4" t="n">
        <x:v>17</x:v>
      </x:c>
      <x:c r="T29" s="1" t="str">
        <x:v>INCONCLUSIVE</x:v>
      </x:c>
      <x:c r="U29" s="1" t="str">
        <x:v>Cli_2</x:v>
      </x:c>
      <x:c r="V29" s="6" t="n">
        <x:v>137.56</x:v>
      </x:c>
    </x:row>
    <x:row r="30" ht="22" customHeight="1">
      <x:c r="A30" s="1" t="str">
        <x:v>Round1</x:v>
      </x:c>
      <x:c r="B30" s="1" t="str">
        <x:v>Cli</x:v>
      </x:c>
      <x:c r="C30" s="4" t="n">
        <x:v>3</x:v>
      </x:c>
      <x:c r="D30" s="4" t="n">
        <x:v>0</x:v>
      </x:c>
      <x:c r="E30" s="4" t="n">
        <x:v>60</x:v>
      </x:c>
      <x:c r="F30" s="4" t="n">
        <x:v>4030</x:v>
      </x:c>
      <x:c r="G30" s="5" t="n">
        <x:v>0</x:v>
      </x:c>
      <x:c r="H30" s="5" t="n">
        <x:v>0</x:v>
      </x:c>
      <x:c r="I30" s="5" t="n">
        <x:v>0</x:v>
      </x:c>
      <x:c r="J30" s="4" t="n">
        <x:v>75</x:v>
      </x:c>
      <x:c r="K30" s="4" t="n">
        <x:v>0</x:v>
      </x:c>
      <x:c r="L30" s="4" t="n">
        <x:v>55</x:v>
      </x:c>
      <x:c r="M30" s="4" t="n">
        <x:v>0</x:v>
      </x:c>
      <x:c r="N30" s="4" t="n">
        <x:v>20</x:v>
      </x:c>
      <x:c r="O30" s="4" t="n">
        <x:v>0</x:v>
      </x:c>
      <x:c r="P30" s="1" t="str">
        <x:v>FAIL</x:v>
      </x:c>
      <x:c r="Q30" s="4" t="n">
        <x:v>10</x:v>
      </x:c>
      <x:c r="R30" s="1" t="str">
        <x:v>FAIL</x:v>
      </x:c>
      <x:c r="S30" s="4" t="n">
        <x:v>10</x:v>
      </x:c>
      <x:c r="T30" s="1" t="str">
        <x:v>INCONCLUSIVE</x:v>
      </x:c>
      <x:c r="U30" s="1" t="str">
        <x:v>Cli_3</x:v>
      </x:c>
      <x:c r="V30" s="6" t="n">
        <x:v>126.16</x:v>
      </x:c>
    </x:row>
    <x:row r="31" ht="22" customHeight="1">
      <x:c r="A31" s="1" t="str">
        <x:v>Round1</x:v>
      </x:c>
      <x:c r="B31" s="1" t="str">
        <x:v>Cli</x:v>
      </x:c>
      <x:c r="C31" s="4" t="n">
        <x:v>4</x:v>
      </x:c>
      <x:c r="D31" s="4" t="n">
        <x:v>0</x:v>
      </x:c>
      <x:c r="E31" s="4" t="n">
        <x:v>60</x:v>
      </x:c>
      <x:c r="F31" s="4" t="n">
        <x:v>1</x:v>
      </x:c>
      <x:c r="G31" s="5" t="n">
        <x:v>0</x:v>
      </x:c>
      <x:c r="H31" s="5" t="n">
        <x:v>0</x:v>
      </x:c>
      <x:c r="I31" s="5" t="n">
        <x:v>0</x:v>
      </x:c>
      <x:c r="J31" s="4" t="n">
        <x:v>167</x:v>
      </x:c>
      <x:c r="K31" s="4" t="n">
        <x:v>0</x:v>
      </x:c>
      <x:c r="L31" s="4" t="n">
        <x:v>99</x:v>
      </x:c>
      <x:c r="M31" s="4" t="n">
        <x:v>0</x:v>
      </x:c>
      <x:c r="N31" s="4" t="n">
        <x:v>68</x:v>
      </x:c>
      <x:c r="O31" s="4" t="n">
        <x:v>0</x:v>
      </x:c>
      <x:c r="P31" s="1" t="str">
        <x:v>FAIL</x:v>
      </x:c>
      <x:c r="Q31" s="4" t="n">
        <x:v>2</x:v>
      </x:c>
      <x:c r="R31" s="1" t="str">
        <x:v>FAIL</x:v>
      </x:c>
      <x:c r="S31" s="4" t="n">
        <x:v>2</x:v>
      </x:c>
      <x:c r="T31" s="1" t="str">
        <x:v>INCONCLUSIVE</x:v>
      </x:c>
      <x:c r="U31" s="1" t="str">
        <x:v>Cli_4</x:v>
      </x:c>
      <x:c r="V31" s="6" t="n">
        <x:v>30.52</x:v>
      </x:c>
    </x:row>
    <x:row r="32" ht="22" customHeight="1">
      <x:c r="A32" s="1" t="str">
        <x:v>Round1</x:v>
      </x:c>
      <x:c r="B32" s="1" t="str">
        <x:v>Cli</x:v>
      </x:c>
      <x:c r="C32" s="4" t="n">
        <x:v>5</x:v>
      </x:c>
      <x:c r="D32" s="4" t="n">
        <x:v>0</x:v>
      </x:c>
      <x:c r="E32" s="4" t="n">
        <x:v>60</x:v>
      </x:c>
      <x:c r="F32" s="4" t="n">
        <x:v>6</x:v>
      </x:c>
      <x:c r="G32" s="5" t="n">
        <x:v>0</x:v>
      </x:c>
      <x:c r="H32" s="5" t="n">
        <x:v>0</x:v>
      </x:c>
      <x:c r="I32" s="5" t="n">
        <x:v>0</x:v>
      </x:c>
      <x:c r="J32" s="4" t="n">
        <x:v>19</x:v>
      </x:c>
      <x:c r="K32" s="4" t="n">
        <x:v>0</x:v>
      </x:c>
      <x:c r="L32" s="4" t="n">
        <x:v>11</x:v>
      </x:c>
      <x:c r="M32" s="4" t="n">
        <x:v>0</x:v>
      </x:c>
      <x:c r="N32" s="4" t="n">
        <x:v>8</x:v>
      </x:c>
      <x:c r="O32" s="4" t="n">
        <x:v>0</x:v>
      </x:c>
      <x:c r="P32" s="1" t="str">
        <x:v>FAIL</x:v>
      </x:c>
      <x:c r="Q32" s="4" t="n">
        <x:v>2</x:v>
      </x:c>
      <x:c r="R32" s="1" t="str">
        <x:v>FAIL</x:v>
      </x:c>
      <x:c r="S32" s="4" t="n">
        <x:v>2</x:v>
      </x:c>
      <x:c r="T32" s="1" t="str">
        <x:v>INCONCLUSIVE</x:v>
      </x:c>
      <x:c r="U32" s="1" t="str">
        <x:v>Cli_5</x:v>
      </x:c>
      <x:c r="V32" s="6" t="n">
        <x:v>29.59</x:v>
      </x:c>
    </x:row>
    <x:row r="33" ht="22" customHeight="1">
      <x:c r="A33" s="1" t="str">
        <x:v>Round1</x:v>
      </x:c>
      <x:c r="B33" s="1" t="str">
        <x:v>Cli</x:v>
      </x:c>
      <x:c r="C33" s="4" t="n">
        <x:v>7</x:v>
      </x:c>
      <x:c r="D33" s="4" t="n">
        <x:v>0</x:v>
      </x:c>
      <x:c r="E33" s="4" t="n">
        <x:v>60</x:v>
      </x:c>
      <x:c r="F33" s="4" t="n">
        <x:v>6958</x:v>
      </x:c>
      <x:c r="G33" s="5" t="n">
        <x:v>0</x:v>
      </x:c>
      <x:c r="H33" s="5" t="n">
        <x:v>0</x:v>
      </x:c>
      <x:c r="I33" s="5" t="n">
        <x:v>0</x:v>
      </x:c>
      <x:c r="J33" s="4" t="n">
        <x:v>95</x:v>
      </x:c>
      <x:c r="K33" s="4" t="n">
        <x:v>0</x:v>
      </x:c>
      <x:c r="L33" s="4" t="n">
        <x:v>68</x:v>
      </x:c>
      <x:c r="M33" s="4" t="n">
        <x:v>0</x:v>
      </x:c>
      <x:c r="N33" s="4" t="n">
        <x:v>27</x:v>
      </x:c>
      <x:c r="O33" s="4" t="n">
        <x:v>0</x:v>
      </x:c>
      <x:c r="P33" s="1" t="str">
        <x:v>FAIL</x:v>
      </x:c>
      <x:c r="Q33" s="4" t="n">
        <x:v>17</x:v>
      </x:c>
      <x:c r="R33" s="1" t="str">
        <x:v>FAIL</x:v>
      </x:c>
      <x:c r="S33" s="4" t="n">
        <x:v>17</x:v>
      </x:c>
      <x:c r="T33" s="1" t="str">
        <x:v>INCONCLUSIVE</x:v>
      </x:c>
      <x:c r="U33" s="1" t="str">
        <x:v>Cli_7</x:v>
      </x:c>
      <x:c r="V33" s="6" t="n">
        <x:v>64.25</x:v>
      </x:c>
    </x:row>
    <x:row r="34" ht="22" customHeight="1">
      <x:c r="A34" s="1" t="str">
        <x:v>Round1</x:v>
      </x:c>
      <x:c r="B34" s="1" t="str">
        <x:v>Cli</x:v>
      </x:c>
      <x:c r="C34" s="4" t="n">
        <x:v>8</x:v>
      </x:c>
      <x:c r="D34" s="4" t="n">
        <x:v>0</x:v>
      </x:c>
      <x:c r="E34" s="4" t="n">
        <x:v>60</x:v>
      </x:c>
      <x:c r="F34" s="4" t="n">
        <x:v>5250</x:v>
      </x:c>
      <x:c r="G34" s="5" t="n">
        <x:v>0</x:v>
      </x:c>
      <x:c r="H34" s="5" t="n">
        <x:v>0</x:v>
      </x:c>
      <x:c r="I34" s="5" t="n">
        <x:v>0</x:v>
      </x:c>
      <x:c r="J34" s="4" t="n">
        <x:v>296</x:v>
      </x:c>
      <x:c r="K34" s="4" t="n">
        <x:v>0</x:v>
      </x:c>
      <x:c r="L34" s="4" t="n">
        <x:v>192</x:v>
      </x:c>
      <x:c r="M34" s="4" t="n">
        <x:v>0</x:v>
      </x:c>
      <x:c r="N34" s="4" t="n">
        <x:v>104</x:v>
      </x:c>
      <x:c r="O34" s="4" t="n">
        <x:v>0</x:v>
      </x:c>
      <x:c r="P34" s="1" t="str">
        <x:v>FAIL</x:v>
      </x:c>
      <x:c r="Q34" s="4" t="n">
        <x:v>12</x:v>
      </x:c>
      <x:c r="R34" s="1" t="str">
        <x:v>FAIL</x:v>
      </x:c>
      <x:c r="S34" s="4" t="n">
        <x:v>12</x:v>
      </x:c>
      <x:c r="T34" s="1" t="str">
        <x:v>INCONCLUSIVE</x:v>
      </x:c>
      <x:c r="U34" s="1" t="str">
        <x:v>Cli_8</x:v>
      </x:c>
      <x:c r="V34" s="6" t="n">
        <x:v>56.21</x:v>
      </x:c>
    </x:row>
    <x:row r="35" ht="22" customHeight="1">
      <x:c r="A35" s="1" t="str">
        <x:v>Round1</x:v>
      </x:c>
      <x:c r="B35" s="1" t="str">
        <x:v>Cli</x:v>
      </x:c>
      <x:c r="C35" s="4" t="n">
        <x:v>9</x:v>
      </x:c>
      <x:c r="D35" s="4" t="n">
        <x:v>0</x:v>
      </x:c>
      <x:c r="E35" s="4" t="n">
        <x:v>60</x:v>
      </x:c>
      <x:c r="F35" s="4" t="n">
        <x:v>1</x:v>
      </x:c>
      <x:c r="G35" s="5" t="n">
        <x:v>0</x:v>
      </x:c>
      <x:c r="H35" s="5" t="n">
        <x:v>0</x:v>
      </x:c>
      <x:c r="I35" s="5" t="n">
        <x:v>0</x:v>
      </x:c>
      <x:c r="J35" s="4" t="n">
        <x:v>175</x:v>
      </x:c>
      <x:c r="K35" s="4" t="n">
        <x:v>0</x:v>
      </x:c>
      <x:c r="L35" s="4" t="n">
        <x:v>105</x:v>
      </x:c>
      <x:c r="M35" s="4" t="n">
        <x:v>0</x:v>
      </x:c>
      <x:c r="N35" s="4" t="n">
        <x:v>70</x:v>
      </x:c>
      <x:c r="O35" s="4" t="n">
        <x:v>0</x:v>
      </x:c>
      <x:c r="P35" s="1" t="str">
        <x:v>FAIL</x:v>
      </x:c>
      <x:c r="Q35" s="4" t="n">
        <x:v>2</x:v>
      </x:c>
      <x:c r="R35" s="1" t="str">
        <x:v>FAIL</x:v>
      </x:c>
      <x:c r="S35" s="4" t="n">
        <x:v>2</x:v>
      </x:c>
      <x:c r="T35" s="1" t="str">
        <x:v>INCONCLUSIVE</x:v>
      </x:c>
      <x:c r="U35" s="1" t="str">
        <x:v>Cli_9</x:v>
      </x:c>
      <x:c r="V35" s="6" t="n">
        <x:v>24.49</x:v>
      </x:c>
    </x:row>
    <x:row r="36" ht="22" customHeight="1">
      <x:c r="A36" s="1" t="str">
        <x:v>Round1</x:v>
      </x:c>
      <x:c r="B36" s="1" t="str">
        <x:v>Cli</x:v>
      </x:c>
      <x:c r="C36" s="4" t="n">
        <x:v>10</x:v>
      </x:c>
      <x:c r="D36" s="4" t="n">
        <x:v>0</x:v>
      </x:c>
      <x:c r="E36" s="4" t="n">
        <x:v>60</x:v>
      </x:c>
      <x:c r="F36" s="4" t="n">
        <x:v>1</x:v>
      </x:c>
      <x:c r="G36" s="5" t="n">
        <x:v>0</x:v>
      </x:c>
      <x:c r="H36" s="5" t="n">
        <x:v>0</x:v>
      </x:c>
      <x:c r="I36" s="5" t="n">
        <x:v>0</x:v>
      </x:c>
      <x:c r="J36" s="4" t="n">
        <x:v>176</x:v>
      </x:c>
      <x:c r="K36" s="4" t="n">
        <x:v>0</x:v>
      </x:c>
      <x:c r="L36" s="4" t="n">
        <x:v>106</x:v>
      </x:c>
      <x:c r="M36" s="4" t="n">
        <x:v>0</x:v>
      </x:c>
      <x:c r="N36" s="4" t="n">
        <x:v>70</x:v>
      </x:c>
      <x:c r="O36" s="4" t="n">
        <x:v>0</x:v>
      </x:c>
      <x:c r="P36" s="1" t="str">
        <x:v>FAIL</x:v>
      </x:c>
      <x:c r="Q36" s="4" t="n">
        <x:v>2</x:v>
      </x:c>
      <x:c r="R36" s="1" t="str">
        <x:v>FAIL</x:v>
      </x:c>
      <x:c r="S36" s="4" t="n">
        <x:v>2</x:v>
      </x:c>
      <x:c r="T36" s="1" t="str">
        <x:v>INCONCLUSIVE</x:v>
      </x:c>
      <x:c r="U36" s="1" t="str">
        <x:v>Cli_10</x:v>
      </x:c>
      <x:c r="V36" s="6" t="n">
        <x:v>16.08</x:v>
      </x:c>
    </x:row>
    <x:row r="37" ht="22" customHeight="1">
      <x:c r="A37" s="1" t="str">
        <x:v>Round1</x:v>
      </x:c>
      <x:c r="B37" s="1" t="str">
        <x:v>Cli</x:v>
      </x:c>
      <x:c r="C37" s="4" t="n">
        <x:v>11</x:v>
      </x:c>
      <x:c r="D37" s="4" t="n">
        <x:v>0</x:v>
      </x:c>
      <x:c r="E37" s="4" t="n">
        <x:v>60</x:v>
      </x:c>
      <x:c r="F37" s="4" t="n">
        <x:v>39</x:v>
      </x:c>
      <x:c r="G37" s="5" t="n">
        <x:v>0</x:v>
      </x:c>
      <x:c r="H37" s="5" t="n">
        <x:v>0</x:v>
      </x:c>
      <x:c r="I37" s="5" t="n">
        <x:v>0</x:v>
      </x:c>
      <x:c r="J37" s="4" t="n">
        <x:v>304</x:v>
      </x:c>
      <x:c r="K37" s="4" t="n">
        <x:v>0</x:v>
      </x:c>
      <x:c r="L37" s="4" t="n">
        <x:v>198</x:v>
      </x:c>
      <x:c r="M37" s="4" t="n">
        <x:v>0</x:v>
      </x:c>
      <x:c r="N37" s="4" t="n">
        <x:v>106</x:v>
      </x:c>
      <x:c r="O37" s="4" t="n">
        <x:v>0</x:v>
      </x:c>
      <x:c r="P37" s="1" t="str">
        <x:v>FAIL</x:v>
      </x:c>
      <x:c r="Q37" s="4" t="n">
        <x:v>2</x:v>
      </x:c>
      <x:c r="R37" s="1" t="str">
        <x:v>FAIL</x:v>
      </x:c>
      <x:c r="S37" s="4" t="n">
        <x:v>2</x:v>
      </x:c>
      <x:c r="T37" s="1" t="str">
        <x:v>INCONCLUSIVE</x:v>
      </x:c>
      <x:c r="U37" s="1" t="str">
        <x:v>Cli_11</x:v>
      </x:c>
      <x:c r="V37" s="6" t="n">
        <x:v>16.75</x:v>
      </x:c>
    </x:row>
    <x:row r="38" ht="22" customHeight="1">
      <x:c r="A38" s="1" t="str">
        <x:v>Round1</x:v>
      </x:c>
      <x:c r="B38" s="1" t="str">
        <x:v>Cli</x:v>
      </x:c>
      <x:c r="C38" s="4" t="n">
        <x:v>12</x:v>
      </x:c>
      <x:c r="D38" s="4" t="n">
        <x:v>0</x:v>
      </x:c>
      <x:c r="E38" s="4" t="n">
        <x:v>60</x:v>
      </x:c>
      <x:c r="F38" s="4" t="n">
        <x:v>4986</x:v>
      </x:c>
      <x:c r="G38" s="5" t="n">
        <x:v>0</x:v>
      </x:c>
      <x:c r="H38" s="5" t="n">
        <x:v>0</x:v>
      </x:c>
      <x:c r="I38" s="5" t="n">
        <x:v>0</x:v>
      </x:c>
      <x:c r="J38" s="4" t="n">
        <x:v>41</x:v>
      </x:c>
      <x:c r="K38" s="4" t="n">
        <x:v>0</x:v>
      </x:c>
      <x:c r="L38" s="4" t="n">
        <x:v>25</x:v>
      </x:c>
      <x:c r="M38" s="4" t="n">
        <x:v>0</x:v>
      </x:c>
      <x:c r="N38" s="4" t="n">
        <x:v>16</x:v>
      </x:c>
      <x:c r="O38" s="4" t="n">
        <x:v>0</x:v>
      </x:c>
      <x:c r="P38" s="1" t="str">
        <x:v>FAIL</x:v>
      </x:c>
      <x:c r="Q38" s="4" t="n">
        <x:v>11</x:v>
      </x:c>
      <x:c r="R38" s="1" t="str">
        <x:v>FAIL</x:v>
      </x:c>
      <x:c r="S38" s="4" t="n">
        <x:v>11</x:v>
      </x:c>
      <x:c r="T38" s="1" t="str">
        <x:v>INCONCLUSIVE</x:v>
      </x:c>
      <x:c r="U38" s="1" t="str">
        <x:v>Cli_12</x:v>
      </x:c>
      <x:c r="V38" s="6" t="n">
        <x:v>73.52</x:v>
      </x:c>
    </x:row>
    <x:row r="39" ht="22" customHeight="1">
      <x:c r="A39" s="1" t="str">
        <x:v>Round1</x:v>
      </x:c>
      <x:c r="B39" s="1" t="str">
        <x:v>Cli</x:v>
      </x:c>
      <x:c r="C39" s="4" t="n">
        <x:v>13</x:v>
      </x:c>
      <x:c r="D39" s="4" t="n">
        <x:v>0</x:v>
      </x:c>
      <x:c r="E39" s="4" t="n">
        <x:v>60</x:v>
      </x:c>
      <x:c r="F39" s="4" t="n">
        <x:v>3355</x:v>
      </x:c>
      <x:c r="G39" s="5" t="n">
        <x:v>0</x:v>
      </x:c>
      <x:c r="H39" s="5" t="n">
        <x:v>0</x:v>
      </x:c>
      <x:c r="I39" s="5" t="n">
        <x:v>0</x:v>
      </x:c>
      <x:c r="J39" s="4" t="n">
        <x:v>309</x:v>
      </x:c>
      <x:c r="K39" s="4" t="n">
        <x:v>0</x:v>
      </x:c>
      <x:c r="L39" s="4" t="n">
        <x:v>193</x:v>
      </x:c>
      <x:c r="M39" s="4" t="n">
        <x:v>0</x:v>
      </x:c>
      <x:c r="N39" s="4" t="n">
        <x:v>116</x:v>
      </x:c>
      <x:c r="O39" s="4" t="n">
        <x:v>0</x:v>
      </x:c>
      <x:c r="P39" s="1" t="str">
        <x:v>FAIL</x:v>
      </x:c>
      <x:c r="Q39" s="4" t="n">
        <x:v>8</x:v>
      </x:c>
      <x:c r="R39" s="1" t="str">
        <x:v>FAIL</x:v>
      </x:c>
      <x:c r="S39" s="4" t="n">
        <x:v>8</x:v>
      </x:c>
      <x:c r="T39" s="1" t="str">
        <x:v>INCONCLUSIVE</x:v>
      </x:c>
      <x:c r="U39" s="1" t="str">
        <x:v>Cli_13</x:v>
      </x:c>
      <x:c r="V39" s="6" t="n">
        <x:v>48.88</x:v>
      </x:c>
    </x:row>
    <x:row r="40" ht="22" customHeight="1">
      <x:c r="A40" s="1" t="str">
        <x:v>Round1</x:v>
      </x:c>
      <x:c r="B40" s="1" t="str">
        <x:v>Cli</x:v>
      </x:c>
      <x:c r="C40" s="4" t="n">
        <x:v>14</x:v>
      </x:c>
      <x:c r="D40" s="4" t="n">
        <x:v>0</x:v>
      </x:c>
      <x:c r="E40" s="4" t="n">
        <x:v>60</x:v>
      </x:c>
      <x:c r="F40" s="4" t="n">
        <x:v>1445</x:v>
      </x:c>
      <x:c r="G40" s="5" t="n">
        <x:v>0</x:v>
      </x:c>
      <x:c r="H40" s="5" t="n">
        <x:v>0</x:v>
      </x:c>
      <x:c r="I40" s="5" t="n">
        <x:v>0</x:v>
      </x:c>
      <x:c r="J40" s="4" t="n">
        <x:v>317</x:v>
      </x:c>
      <x:c r="K40" s="4" t="n">
        <x:v>0</x:v>
      </x:c>
      <x:c r="L40" s="4" t="n">
        <x:v>189</x:v>
      </x:c>
      <x:c r="M40" s="4" t="n">
        <x:v>0</x:v>
      </x:c>
      <x:c r="N40" s="4" t="n">
        <x:v>128</x:v>
      </x:c>
      <x:c r="O40" s="4" t="n">
        <x:v>0</x:v>
      </x:c>
      <x:c r="P40" s="1" t="str">
        <x:v>FAIL</x:v>
      </x:c>
      <x:c r="Q40" s="4" t="n">
        <x:v>4</x:v>
      </x:c>
      <x:c r="R40" s="1" t="str">
        <x:v>FAIL</x:v>
      </x:c>
      <x:c r="S40" s="4" t="n">
        <x:v>4</x:v>
      </x:c>
      <x:c r="T40" s="1" t="str">
        <x:v>INCONCLUSIVE</x:v>
      </x:c>
      <x:c r="U40" s="1" t="str">
        <x:v>Cli_14</x:v>
      </x:c>
      <x:c r="V40" s="6" t="n">
        <x:v>25.73</x:v>
      </x:c>
    </x:row>
    <x:row r="41" ht="22" customHeight="1">
      <x:c r="A41" s="1" t="str">
        <x:v>Round1</x:v>
      </x:c>
      <x:c r="B41" s="1" t="str">
        <x:v>Cli</x:v>
      </x:c>
      <x:c r="C41" s="4" t="n">
        <x:v>15</x:v>
      </x:c>
      <x:c r="D41" s="4" t="n">
        <x:v>0</x:v>
      </x:c>
      <x:c r="E41" s="4" t="n">
        <x:v>60</x:v>
      </x:c>
      <x:c r="F41" s="4" t="n">
        <x:v>2</x:v>
      </x:c>
      <x:c r="G41" s="5" t="n">
        <x:v>0</x:v>
      </x:c>
      <x:c r="H41" s="5" t="n">
        <x:v>0</x:v>
      </x:c>
      <x:c r="I41" s="5" t="n">
        <x:v>0</x:v>
      </x:c>
      <x:c r="J41" s="4" t="n">
        <x:v>139</x:v>
      </x:c>
      <x:c r="K41" s="4" t="n">
        <x:v>0</x:v>
      </x:c>
      <x:c r="L41" s="4" t="n">
        <x:v>93</x:v>
      </x:c>
      <x:c r="M41" s="4" t="n">
        <x:v>0</x:v>
      </x:c>
      <x:c r="N41" s="4" t="n">
        <x:v>46</x:v>
      </x:c>
      <x:c r="O41" s="4" t="n">
        <x:v>0</x:v>
      </x:c>
      <x:c r="P41" s="1" t="str">
        <x:v>FAIL</x:v>
      </x:c>
      <x:c r="Q41" s="4" t="n">
        <x:v>2</x:v>
      </x:c>
      <x:c r="R41" s="1" t="str">
        <x:v>FAIL</x:v>
      </x:c>
      <x:c r="S41" s="4" t="n">
        <x:v>2</x:v>
      </x:c>
      <x:c r="T41" s="1" t="str">
        <x:v>INCONCLUSIVE</x:v>
      </x:c>
      <x:c r="U41" s="1" t="str">
        <x:v>Cli_15</x:v>
      </x:c>
      <x:c r="V41" s="6" t="n">
        <x:v>20.22</x:v>
      </x:c>
    </x:row>
    <x:row r="42" ht="22" customHeight="1">
      <x:c r="A42" s="1" t="str">
        <x:v>Round1</x:v>
      </x:c>
      <x:c r="B42" s="1" t="str">
        <x:v>Cli</x:v>
      </x:c>
      <x:c r="C42" s="4" t="n">
        <x:v>16</x:v>
      </x:c>
      <x:c r="D42" s="4" t="n">
        <x:v>0</x:v>
      </x:c>
      <x:c r="E42" s="4" t="n">
        <x:v>60</x:v>
      </x:c>
      <x:c r="F42" s="4" t="n">
        <x:v>1446</x:v>
      </x:c>
      <x:c r="G42" s="5" t="n">
        <x:v>0</x:v>
      </x:c>
      <x:c r="H42" s="5" t="n">
        <x:v>0</x:v>
      </x:c>
      <x:c r="I42" s="5" t="n">
        <x:v>0</x:v>
      </x:c>
      <x:c r="J42" s="4" t="n">
        <x:v>561</x:v>
      </x:c>
      <x:c r="K42" s="4" t="n">
        <x:v>0</x:v>
      </x:c>
      <x:c r="L42" s="4" t="n">
        <x:v>343</x:v>
      </x:c>
      <x:c r="M42" s="4" t="n">
        <x:v>0</x:v>
      </x:c>
      <x:c r="N42" s="4" t="n">
        <x:v>218</x:v>
      </x:c>
      <x:c r="O42" s="4" t="n">
        <x:v>0</x:v>
      </x:c>
      <x:c r="P42" s="1" t="str">
        <x:v>FAIL</x:v>
      </x:c>
      <x:c r="Q42" s="4" t="n">
        <x:v>4</x:v>
      </x:c>
      <x:c r="R42" s="1" t="str">
        <x:v>FAIL</x:v>
      </x:c>
      <x:c r="S42" s="4" t="n">
        <x:v>4</x:v>
      </x:c>
      <x:c r="T42" s="1" t="str">
        <x:v>INCONCLUSIVE</x:v>
      </x:c>
      <x:c r="U42" s="1" t="str">
        <x:v>Cli_16</x:v>
      </x:c>
      <x:c r="V42" s="6" t="n">
        <x:v>25.18</x:v>
      </x:c>
    </x:row>
    <x:row r="43" ht="22" customHeight="1">
      <x:c r="A43" s="1" t="str">
        <x:v>Round1</x:v>
      </x:c>
      <x:c r="B43" s="1" t="str">
        <x:v>Cli</x:v>
      </x:c>
      <x:c r="C43" s="4" t="n">
        <x:v>17</x:v>
      </x:c>
      <x:c r="D43" s="4" t="n">
        <x:v>0</x:v>
      </x:c>
      <x:c r="E43" s="4" t="n">
        <x:v>60</x:v>
      </x:c>
      <x:c r="F43" s="4" t="n">
        <x:v>5051</x:v>
      </x:c>
      <x:c r="G43" s="5" t="n">
        <x:v>0</x:v>
      </x:c>
      <x:c r="H43" s="5" t="n">
        <x:v>0</x:v>
      </x:c>
      <x:c r="I43" s="5" t="n">
        <x:v>0</x:v>
      </x:c>
      <x:c r="J43" s="4" t="n">
        <x:v>109</x:v>
      </x:c>
      <x:c r="K43" s="4" t="n">
        <x:v>0</x:v>
      </x:c>
      <x:c r="L43" s="4" t="n">
        <x:v>67</x:v>
      </x:c>
      <x:c r="M43" s="4" t="n">
        <x:v>0</x:v>
      </x:c>
      <x:c r="N43" s="4" t="n">
        <x:v>42</x:v>
      </x:c>
      <x:c r="O43" s="4" t="n">
        <x:v>0</x:v>
      </x:c>
      <x:c r="P43" s="1" t="str">
        <x:v>FAIL</x:v>
      </x:c>
      <x:c r="Q43" s="4" t="n">
        <x:v>14</x:v>
      </x:c>
      <x:c r="R43" s="1" t="str">
        <x:v>FAIL</x:v>
      </x:c>
      <x:c r="S43" s="4" t="n">
        <x:v>14</x:v>
      </x:c>
      <x:c r="T43" s="1" t="str">
        <x:v>INCONCLUSIVE</x:v>
      </x:c>
      <x:c r="U43" s="1" t="str">
        <x:v>Cli_17</x:v>
      </x:c>
      <x:c r="V43" s="6" t="n">
        <x:v>79.87</x:v>
      </x:c>
    </x:row>
    <x:row r="44" ht="22" customHeight="1">
      <x:c r="A44" s="1" t="str">
        <x:v>Round1</x:v>
      </x:c>
      <x:c r="B44" s="1" t="str">
        <x:v>Cli</x:v>
      </x:c>
      <x:c r="C44" s="4" t="n">
        <x:v>18</x:v>
      </x:c>
      <x:c r="D44" s="4" t="n">
        <x:v>0</x:v>
      </x:c>
      <x:c r="E44" s="4" t="n">
        <x:v>60</x:v>
      </x:c>
      <x:c r="F44" s="4" t="n">
        <x:v>5105</x:v>
      </x:c>
      <x:c r="G44" s="5" t="n">
        <x:v>0</x:v>
      </x:c>
      <x:c r="H44" s="5" t="n">
        <x:v>0</x:v>
      </x:c>
      <x:c r="I44" s="5" t="n">
        <x:v>0</x:v>
      </x:c>
      <x:c r="J44" s="4" t="n">
        <x:v>108</x:v>
      </x:c>
      <x:c r="K44" s="4" t="n">
        <x:v>0</x:v>
      </x:c>
      <x:c r="L44" s="4" t="n">
        <x:v>66</x:v>
      </x:c>
      <x:c r="M44" s="4" t="n">
        <x:v>0</x:v>
      </x:c>
      <x:c r="N44" s="4" t="n">
        <x:v>42</x:v>
      </x:c>
      <x:c r="O44" s="4" t="n">
        <x:v>0</x:v>
      </x:c>
      <x:c r="P44" s="1" t="str">
        <x:v>FAIL</x:v>
      </x:c>
      <x:c r="Q44" s="4" t="n">
        <x:v>14</x:v>
      </x:c>
      <x:c r="R44" s="1" t="str">
        <x:v>FAIL</x:v>
      </x:c>
      <x:c r="S44" s="4" t="n">
        <x:v>14</x:v>
      </x:c>
      <x:c r="T44" s="1" t="str">
        <x:v>INCONCLUSIVE</x:v>
      </x:c>
      <x:c r="U44" s="1" t="str">
        <x:v>Cli_18</x:v>
      </x:c>
      <x:c r="V44" s="6" t="n">
        <x:v>80.03</x:v>
      </x:c>
    </x:row>
    <x:row r="45" ht="22" customHeight="1">
      <x:c r="A45" s="1" t="str">
        <x:v>Round1</x:v>
      </x:c>
      <x:c r="B45" s="1" t="str">
        <x:v>Cli</x:v>
      </x:c>
      <x:c r="C45" s="4" t="n">
        <x:v>19</x:v>
      </x:c>
      <x:c r="D45" s="4" t="n">
        <x:v>0</x:v>
      </x:c>
      <x:c r="E45" s="4" t="n">
        <x:v>60</x:v>
      </x:c>
      <x:c r="F45" s="4" t="n">
        <x:v>4796</x:v>
      </x:c>
      <x:c r="G45" s="5" t="n">
        <x:v>0</x:v>
      </x:c>
      <x:c r="H45" s="5" t="n">
        <x:v>0</x:v>
      </x:c>
      <x:c r="I45" s="5" t="n">
        <x:v>0</x:v>
      </x:c>
      <x:c r="J45" s="4" t="n">
        <x:v>107</x:v>
      </x:c>
      <x:c r="K45" s="4" t="n">
        <x:v>0</x:v>
      </x:c>
      <x:c r="L45" s="4" t="n">
        <x:v>65</x:v>
      </x:c>
      <x:c r="M45" s="4" t="n">
        <x:v>0</x:v>
      </x:c>
      <x:c r="N45" s="4" t="n">
        <x:v>42</x:v>
      </x:c>
      <x:c r="O45" s="4" t="n">
        <x:v>0</x:v>
      </x:c>
      <x:c r="P45" s="1" t="str">
        <x:v>FAIL</x:v>
      </x:c>
      <x:c r="Q45" s="4" t="n">
        <x:v>13</x:v>
      </x:c>
      <x:c r="R45" s="1" t="str">
        <x:v>FAIL</x:v>
      </x:c>
      <x:c r="S45" s="4" t="n">
        <x:v>13</x:v>
      </x:c>
      <x:c r="T45" s="1" t="str">
        <x:v>INCONCLUSIVE</x:v>
      </x:c>
      <x:c r="U45" s="1" t="str">
        <x:v>Cli_19</x:v>
      </x:c>
      <x:c r="V45" s="6" t="n">
        <x:v>83.88</x:v>
      </x:c>
    </x:row>
    <x:row r="46" ht="22" customHeight="1">
      <x:c r="A46" s="1" t="str">
        <x:v>Round1</x:v>
      </x:c>
      <x:c r="B46" s="1" t="str">
        <x:v>Cli</x:v>
      </x:c>
      <x:c r="C46" s="4" t="n">
        <x:v>20</x:v>
      </x:c>
      <x:c r="D46" s="4" t="n">
        <x:v>0</x:v>
      </x:c>
      <x:c r="E46" s="4" t="n">
        <x:v>60</x:v>
      </x:c>
      <x:c r="F46" s="4" t="n">
        <x:v>4399</x:v>
      </x:c>
      <x:c r="G46" s="5" t="n">
        <x:v>0</x:v>
      </x:c>
      <x:c r="H46" s="5" t="n">
        <x:v>0</x:v>
      </x:c>
      <x:c r="I46" s="5" t="n">
        <x:v>0</x:v>
      </x:c>
      <x:c r="J46" s="4" t="n">
        <x:v>106</x:v>
      </x:c>
      <x:c r="K46" s="4" t="n">
        <x:v>0</x:v>
      </x:c>
      <x:c r="L46" s="4" t="n">
        <x:v>64</x:v>
      </x:c>
      <x:c r="M46" s="4" t="n">
        <x:v>0</x:v>
      </x:c>
      <x:c r="N46" s="4" t="n">
        <x:v>42</x:v>
      </x:c>
      <x:c r="O46" s="4" t="n">
        <x:v>0</x:v>
      </x:c>
      <x:c r="P46" s="1" t="str">
        <x:v>FAIL</x:v>
      </x:c>
      <x:c r="Q46" s="4" t="n">
        <x:v>12</x:v>
      </x:c>
      <x:c r="R46" s="1" t="str">
        <x:v>FAIL</x:v>
      </x:c>
      <x:c r="S46" s="4" t="n">
        <x:v>12</x:v>
      </x:c>
      <x:c r="T46" s="1" t="str">
        <x:v>INCONCLUSIVE</x:v>
      </x:c>
      <x:c r="U46" s="1" t="str">
        <x:v>Cli_20</x:v>
      </x:c>
      <x:c r="V46" s="6" t="n">
        <x:v>103.7</x:v>
      </x:c>
    </x:row>
    <x:row r="47" ht="22" customHeight="1">
      <x:c r="A47" s="1" t="str">
        <x:v>Round1</x:v>
      </x:c>
      <x:c r="B47" s="1" t="str">
        <x:v>Cli</x:v>
      </x:c>
      <x:c r="C47" s="4" t="n">
        <x:v>21</x:v>
      </x:c>
      <x:c r="D47" s="4" t="n">
        <x:v>0</x:v>
      </x:c>
      <x:c r="E47" s="4" t="n">
        <x:v>60</x:v>
      </x:c>
      <x:c r="F47" s="4" t="n">
        <x:v>2890</x:v>
      </x:c>
      <x:c r="G47" s="5" t="n">
        <x:v>0</x:v>
      </x:c>
      <x:c r="H47" s="5" t="n">
        <x:v>0</x:v>
      </x:c>
      <x:c r="I47" s="5" t="n">
        <x:v>0</x:v>
      </x:c>
      <x:c r="J47" s="4" t="n">
        <x:v>482</x:v>
      </x:c>
      <x:c r="K47" s="4" t="n">
        <x:v>0</x:v>
      </x:c>
      <x:c r="L47" s="4" t="n">
        <x:v>294</x:v>
      </x:c>
      <x:c r="M47" s="4" t="n">
        <x:v>0</x:v>
      </x:c>
      <x:c r="N47" s="4" t="n">
        <x:v>188</x:v>
      </x:c>
      <x:c r="O47" s="4" t="n">
        <x:v>0</x:v>
      </x:c>
      <x:c r="P47" s="1" t="str">
        <x:v>FAIL</x:v>
      </x:c>
      <x:c r="Q47" s="4" t="n">
        <x:v>7</x:v>
      </x:c>
      <x:c r="R47" s="1" t="str">
        <x:v>FAIL</x:v>
      </x:c>
      <x:c r="S47" s="4" t="n">
        <x:v>7</x:v>
      </x:c>
      <x:c r="T47" s="1" t="str">
        <x:v>INCONCLUSIVE</x:v>
      </x:c>
      <x:c r="U47" s="1" t="str">
        <x:v>Cli_21</x:v>
      </x:c>
      <x:c r="V47" s="6" t="n">
        <x:v>34.81</x:v>
      </x:c>
    </x:row>
    <x:row r="48" ht="22" customHeight="1">
      <x:c r="A48" s="1" t="str">
        <x:v>Round1</x:v>
      </x:c>
      <x:c r="B48" s="1" t="str">
        <x:v>Cli</x:v>
      </x:c>
      <x:c r="C48" s="4" t="n">
        <x:v>22</x:v>
      </x:c>
      <x:c r="D48" s="4" t="n">
        <x:v>0</x:v>
      </x:c>
      <x:c r="E48" s="4" t="n">
        <x:v>60</x:v>
      </x:c>
      <x:c r="F48" s="4" t="n">
        <x:v>4851</x:v>
      </x:c>
      <x:c r="G48" s="5" t="n">
        <x:v>0</x:v>
      </x:c>
      <x:c r="H48" s="5" t="n">
        <x:v>0</x:v>
      </x:c>
      <x:c r="I48" s="5" t="n">
        <x:v>0</x:v>
      </x:c>
      <x:c r="J48" s="4" t="n">
        <x:v>95</x:v>
      </x:c>
      <x:c r="K48" s="4" t="n">
        <x:v>0</x:v>
      </x:c>
      <x:c r="L48" s="4" t="n">
        <x:v>57</x:v>
      </x:c>
      <x:c r="M48" s="4" t="n">
        <x:v>0</x:v>
      </x:c>
      <x:c r="N48" s="4" t="n">
        <x:v>38</x:v>
      </x:c>
      <x:c r="O48" s="4" t="n">
        <x:v>0</x:v>
      </x:c>
      <x:c r="P48" s="1" t="str">
        <x:v>FAIL</x:v>
      </x:c>
      <x:c r="Q48" s="4" t="n">
        <x:v>13</x:v>
      </x:c>
      <x:c r="R48" s="1" t="str">
        <x:v>FAIL</x:v>
      </x:c>
      <x:c r="S48" s="4" t="n">
        <x:v>13</x:v>
      </x:c>
      <x:c r="T48" s="1" t="str">
        <x:v>INCONCLUSIVE</x:v>
      </x:c>
      <x:c r="U48" s="1" t="str">
        <x:v>Cli_22</x:v>
      </x:c>
      <x:c r="V48" s="6" t="n">
        <x:v>106.69</x:v>
      </x:c>
    </x:row>
    <x:row r="49" ht="22" customHeight="1">
      <x:c r="A49" s="1" t="str">
        <x:v>Round1</x:v>
      </x:c>
      <x:c r="B49" s="1" t="str">
        <x:v>Cli</x:v>
      </x:c>
      <x:c r="C49" s="4" t="n">
        <x:v>23</x:v>
      </x:c>
      <x:c r="D49" s="4" t="n">
        <x:v>0</x:v>
      </x:c>
      <x:c r="E49" s="4" t="n">
        <x:v>60</x:v>
      </x:c>
      <x:c r="F49" s="4" t="n">
        <x:v>4799</x:v>
      </x:c>
      <x:c r="G49" s="5" t="n">
        <x:v>0</x:v>
      </x:c>
      <x:c r="H49" s="5" t="n">
        <x:v>0</x:v>
      </x:c>
      <x:c r="I49" s="5" t="n">
        <x:v>0</x:v>
      </x:c>
      <x:c r="J49" s="4" t="n">
        <x:v>306</x:v>
      </x:c>
      <x:c r="K49" s="4" t="n">
        <x:v>0</x:v>
      </x:c>
      <x:c r="L49" s="4" t="n">
        <x:v>198</x:v>
      </x:c>
      <x:c r="M49" s="4" t="n">
        <x:v>0</x:v>
      </x:c>
      <x:c r="N49" s="4" t="n">
        <x:v>108</x:v>
      </x:c>
      <x:c r="O49" s="4" t="n">
        <x:v>0</x:v>
      </x:c>
      <x:c r="P49" s="1" t="str">
        <x:v>FAIL</x:v>
      </x:c>
      <x:c r="Q49" s="4" t="n">
        <x:v>11</x:v>
      </x:c>
      <x:c r="R49" s="1" t="str">
        <x:v>FAIL</x:v>
      </x:c>
      <x:c r="S49" s="4" t="n">
        <x:v>11</x:v>
      </x:c>
      <x:c r="T49" s="1" t="str">
        <x:v>INCONCLUSIVE</x:v>
      </x:c>
      <x:c r="U49" s="1" t="str">
        <x:v>Cli_23</x:v>
      </x:c>
      <x:c r="V49" s="6" t="n">
        <x:v>61.51</x:v>
      </x:c>
    </x:row>
    <x:row r="50" ht="22" customHeight="1">
      <x:c r="A50" s="1" t="str">
        <x:v>Round1</x:v>
      </x:c>
      <x:c r="B50" s="1" t="str">
        <x:v>Cli</x:v>
      </x:c>
      <x:c r="C50" s="4" t="n">
        <x:v>24</x:v>
      </x:c>
      <x:c r="D50" s="4" t="n">
        <x:v>0</x:v>
      </x:c>
      <x:c r="E50" s="4" t="n">
        <x:v>60</x:v>
      </x:c>
      <x:c r="F50" s="4" t="n">
        <x:v>5047</x:v>
      </x:c>
      <x:c r="G50" s="5" t="n">
        <x:v>0</x:v>
      </x:c>
      <x:c r="H50" s="5" t="n">
        <x:v>0</x:v>
      </x:c>
      <x:c r="I50" s="5" t="n">
        <x:v>0</x:v>
      </x:c>
      <x:c r="J50" s="4" t="n">
        <x:v>310</x:v>
      </x:c>
      <x:c r="K50" s="4" t="n">
        <x:v>0</x:v>
      </x:c>
      <x:c r="L50" s="4" t="n">
        <x:v>198</x:v>
      </x:c>
      <x:c r="M50" s="4" t="n">
        <x:v>0</x:v>
      </x:c>
      <x:c r="N50" s="4" t="n">
        <x:v>112</x:v>
      </x:c>
      <x:c r="O50" s="4" t="n">
        <x:v>0</x:v>
      </x:c>
      <x:c r="P50" s="1" t="str">
        <x:v>FAIL</x:v>
      </x:c>
      <x:c r="Q50" s="4" t="n">
        <x:v>12</x:v>
      </x:c>
      <x:c r="R50" s="1" t="str">
        <x:v>FAIL</x:v>
      </x:c>
      <x:c r="S50" s="4" t="n">
        <x:v>12</x:v>
      </x:c>
      <x:c r="T50" s="1" t="str">
        <x:v>INCONCLUSIVE</x:v>
      </x:c>
      <x:c r="U50" s="1" t="str">
        <x:v>Cli_24</x:v>
      </x:c>
      <x:c r="V50" s="6" t="n">
        <x:v>65.48</x:v>
      </x:c>
    </x:row>
    <x:row r="51" ht="22" customHeight="1">
      <x:c r="A51" s="1" t="str">
        <x:v>Round1</x:v>
      </x:c>
      <x:c r="B51" s="1" t="str">
        <x:v>Cli</x:v>
      </x:c>
      <x:c r="C51" s="4" t="n">
        <x:v>25</x:v>
      </x:c>
      <x:c r="D51" s="4" t="n">
        <x:v>0</x:v>
      </x:c>
      <x:c r="E51" s="4" t="n">
        <x:v>60</x:v>
      </x:c>
      <x:c r="F51" s="4" t="n">
        <x:v>4957</x:v>
      </x:c>
      <x:c r="G51" s="5" t="n">
        <x:v>0</x:v>
      </x:c>
      <x:c r="H51" s="5" t="n">
        <x:v>0</x:v>
      </x:c>
      <x:c r="I51" s="5" t="n">
        <x:v>0</x:v>
      </x:c>
      <x:c r="J51" s="4" t="n">
        <x:v>310</x:v>
      </x:c>
      <x:c r="K51" s="4" t="n">
        <x:v>0</x:v>
      </x:c>
      <x:c r="L51" s="4" t="n">
        <x:v>198</x:v>
      </x:c>
      <x:c r="M51" s="4" t="n">
        <x:v>0</x:v>
      </x:c>
      <x:c r="N51" s="4" t="n">
        <x:v>112</x:v>
      </x:c>
      <x:c r="O51" s="4" t="n">
        <x:v>0</x:v>
      </x:c>
      <x:c r="P51" s="1" t="str">
        <x:v>FAIL</x:v>
      </x:c>
      <x:c r="Q51" s="4" t="n">
        <x:v>11</x:v>
      </x:c>
      <x:c r="R51" s="1" t="str">
        <x:v>FAIL</x:v>
      </x:c>
      <x:c r="S51" s="4" t="n">
        <x:v>11</x:v>
      </x:c>
      <x:c r="T51" s="1" t="str">
        <x:v>INCONCLUSIVE</x:v>
      </x:c>
      <x:c r="U51" s="1" t="str">
        <x:v>Cli_25</x:v>
      </x:c>
      <x:c r="V51" s="6" t="n">
        <x:v>62.88</x:v>
      </x:c>
    </x:row>
    <x:row r="52" ht="22" customHeight="1">
      <x:c r="A52" s="1" t="str">
        <x:v>Round1</x:v>
      </x:c>
      <x:c r="B52" s="1" t="str">
        <x:v>Cli</x:v>
      </x:c>
      <x:c r="C52" s="4" t="n">
        <x:v>26</x:v>
      </x:c>
      <x:c r="D52" s="4" t="n">
        <x:v>0</x:v>
      </x:c>
      <x:c r="E52" s="4" t="n">
        <x:v>60</x:v>
      </x:c>
      <x:c r="F52" s="4" t="n">
        <x:v>3422</x:v>
      </x:c>
      <x:c r="G52" s="5" t="n">
        <x:v>0</x:v>
      </x:c>
      <x:c r="H52" s="5" t="n">
        <x:v>0</x:v>
      </x:c>
      <x:c r="I52" s="5" t="n">
        <x:v>0</x:v>
      </x:c>
      <x:c r="J52" s="4" t="n">
        <x:v>65</x:v>
      </x:c>
      <x:c r="K52" s="4" t="n">
        <x:v>0</x:v>
      </x:c>
      <x:c r="L52" s="4" t="n">
        <x:v>61</x:v>
      </x:c>
      <x:c r="M52" s="4" t="n">
        <x:v>0</x:v>
      </x:c>
      <x:c r="N52" s="4" t="n">
        <x:v>4</x:v>
      </x:c>
      <x:c r="O52" s="4" t="n">
        <x:v>0</x:v>
      </x:c>
      <x:c r="P52" s="1" t="str">
        <x:v>FAIL</x:v>
      </x:c>
      <x:c r="Q52" s="4" t="n">
        <x:v>8</x:v>
      </x:c>
      <x:c r="R52" s="1" t="str">
        <x:v>FAIL</x:v>
      </x:c>
      <x:c r="S52" s="4" t="n">
        <x:v>8</x:v>
      </x:c>
      <x:c r="T52" s="1" t="str">
        <x:v>INCONCLUSIVE</x:v>
      </x:c>
      <x:c r="U52" s="1" t="str">
        <x:v>Cli_26</x:v>
      </x:c>
      <x:c r="V52" s="6" t="n">
        <x:v>49.44</x:v>
      </x:c>
    </x:row>
    <x:row r="53" ht="22" customHeight="1">
      <x:c r="A53" s="1" t="str">
        <x:v>Round1</x:v>
      </x:c>
      <x:c r="B53" s="1" t="str">
        <x:v>Cli</x:v>
      </x:c>
      <x:c r="C53" s="4" t="n">
        <x:v>27</x:v>
      </x:c>
      <x:c r="D53" s="4" t="n">
        <x:v>0</x:v>
      </x:c>
      <x:c r="E53" s="4" t="n">
        <x:v>60</x:v>
      </x:c>
      <x:c r="F53" s="4" t="n">
        <x:v>4381</x:v>
      </x:c>
      <x:c r="G53" s="5" t="n">
        <x:v>0</x:v>
      </x:c>
      <x:c r="H53" s="5" t="n">
        <x:v>0</x:v>
      </x:c>
      <x:c r="I53" s="5" t="n">
        <x:v>0</x:v>
      </x:c>
      <x:c r="J53" s="4" t="n">
        <x:v>46</x:v>
      </x:c>
      <x:c r="K53" s="4" t="n">
        <x:v>0</x:v>
      </x:c>
      <x:c r="L53" s="4" t="n">
        <x:v>34</x:v>
      </x:c>
      <x:c r="M53" s="4" t="n">
        <x:v>0</x:v>
      </x:c>
      <x:c r="N53" s="4" t="n">
        <x:v>12</x:v>
      </x:c>
      <x:c r="O53" s="4" t="n">
        <x:v>0</x:v>
      </x:c>
      <x:c r="P53" s="1" t="str">
        <x:v>FAIL</x:v>
      </x:c>
      <x:c r="Q53" s="4" t="n">
        <x:v>10</x:v>
      </x:c>
      <x:c r="R53" s="1" t="str">
        <x:v>FAIL</x:v>
      </x:c>
      <x:c r="S53" s="4" t="n">
        <x:v>10</x:v>
      </x:c>
      <x:c r="T53" s="1" t="str">
        <x:v>INCONCLUSIVE</x:v>
      </x:c>
      <x:c r="U53" s="1" t="str">
        <x:v>Cli_27</x:v>
      </x:c>
      <x:c r="V53" s="6" t="n">
        <x:v>52.61</x:v>
      </x:c>
    </x:row>
    <x:row r="54" ht="22" customHeight="1">
      <x:c r="A54" s="1" t="str">
        <x:v>Round1</x:v>
      </x:c>
      <x:c r="B54" s="1" t="str">
        <x:v>Cli</x:v>
      </x:c>
      <x:c r="C54" s="4" t="n">
        <x:v>28</x:v>
      </x:c>
      <x:c r="D54" s="4" t="n">
        <x:v>0</x:v>
      </x:c>
      <x:c r="E54" s="4" t="n">
        <x:v>60</x:v>
      </x:c>
      <x:c r="F54" s="4" t="n">
        <x:v>1</x:v>
      </x:c>
      <x:c r="G54" s="5" t="n">
        <x:v>0</x:v>
      </x:c>
      <x:c r="H54" s="5" t="n">
        <x:v>0</x:v>
      </x:c>
      <x:c r="I54" s="5" t="n">
        <x:v>0</x:v>
      </x:c>
      <x:c r="J54" s="4" t="n">
        <x:v>169</x:v>
      </x:c>
      <x:c r="K54" s="4" t="n">
        <x:v>0</x:v>
      </x:c>
      <x:c r="L54" s="4" t="n">
        <x:v>101</x:v>
      </x:c>
      <x:c r="M54" s="4" t="n">
        <x:v>0</x:v>
      </x:c>
      <x:c r="N54" s="4" t="n">
        <x:v>68</x:v>
      </x:c>
      <x:c r="O54" s="4" t="n">
        <x:v>0</x:v>
      </x:c>
      <x:c r="P54" s="1" t="str">
        <x:v>FAIL</x:v>
      </x:c>
      <x:c r="Q54" s="4" t="n">
        <x:v>2</x:v>
      </x:c>
      <x:c r="R54" s="1" t="str">
        <x:v>FAIL</x:v>
      </x:c>
      <x:c r="S54" s="4" t="n">
        <x:v>2</x:v>
      </x:c>
      <x:c r="T54" s="1" t="str">
        <x:v>INCONCLUSIVE</x:v>
      </x:c>
      <x:c r="U54" s="1" t="str">
        <x:v>Cli_28</x:v>
      </x:c>
      <x:c r="V54" s="6" t="n">
        <x:v>26.68</x:v>
      </x:c>
    </x:row>
    <x:row r="55" ht="22" customHeight="1">
      <x:c r="A55" s="1" t="str">
        <x:v>Round1</x:v>
      </x:c>
      <x:c r="B55" s="1" t="str">
        <x:v>Cli</x:v>
      </x:c>
      <x:c r="C55" s="4" t="n">
        <x:v>29</x:v>
      </x:c>
      <x:c r="D55" s="4" t="n">
        <x:v>0</x:v>
      </x:c>
      <x:c r="E55" s="4" t="n">
        <x:v>60</x:v>
      </x:c>
      <x:c r="F55" s="4" t="n">
        <x:v>6</x:v>
      </x:c>
      <x:c r="G55" s="5" t="n">
        <x:v>0</x:v>
      </x:c>
      <x:c r="H55" s="5" t="n">
        <x:v>0</x:v>
      </x:c>
      <x:c r="I55" s="5" t="n">
        <x:v>0</x:v>
      </x:c>
      <x:c r="J55" s="4" t="n">
        <x:v>24</x:v>
      </x:c>
      <x:c r="K55" s="4" t="n">
        <x:v>0</x:v>
      </x:c>
      <x:c r="L55" s="4" t="n">
        <x:v>14</x:v>
      </x:c>
      <x:c r="M55" s="4" t="n">
        <x:v>0</x:v>
      </x:c>
      <x:c r="N55" s="4" t="n">
        <x:v>10</x:v>
      </x:c>
      <x:c r="O55" s="4" t="n">
        <x:v>0</x:v>
      </x:c>
      <x:c r="P55" s="1" t="str">
        <x:v>FAIL</x:v>
      </x:c>
      <x:c r="Q55" s="4" t="n">
        <x:v>2</x:v>
      </x:c>
      <x:c r="R55" s="1" t="str">
        <x:v>FAIL</x:v>
      </x:c>
      <x:c r="S55" s="4" t="n">
        <x:v>2</x:v>
      </x:c>
      <x:c r="T55" s="1" t="str">
        <x:v>INCONCLUSIVE</x:v>
      </x:c>
      <x:c r="U55" s="1" t="str">
        <x:v>Cli_29</x:v>
      </x:c>
      <x:c r="V55" s="6" t="n">
        <x:v>26.62</x:v>
      </x:c>
    </x:row>
    <x:row r="56" ht="22" customHeight="1">
      <x:c r="A56" s="1" t="str">
        <x:v>Round1</x:v>
      </x:c>
      <x:c r="B56" s="1" t="str">
        <x:v>Cli</x:v>
      </x:c>
      <x:c r="C56" s="4" t="n">
        <x:v>30</x:v>
      </x:c>
      <x:c r="D56" s="4" t="n">
        <x:v>0</x:v>
      </x:c>
      <x:c r="E56" s="4" t="n">
        <x:v>60</x:v>
      </x:c>
      <x:c r="F56" s="4" t="n">
        <x:v>4840</x:v>
      </x:c>
      <x:c r="G56" s="5" t="n">
        <x:v>0</x:v>
      </x:c>
      <x:c r="H56" s="5" t="n">
        <x:v>0</x:v>
      </x:c>
      <x:c r="I56" s="5" t="n">
        <x:v>0</x:v>
      </x:c>
      <x:c r="J56" s="4" t="n">
        <x:v>506</x:v>
      </x:c>
      <x:c r="K56" s="4" t="n">
        <x:v>0</x:v>
      </x:c>
      <x:c r="L56" s="4" t="n">
        <x:v>288</x:v>
      </x:c>
      <x:c r="M56" s="4" t="n">
        <x:v>0</x:v>
      </x:c>
      <x:c r="N56" s="4" t="n">
        <x:v>218</x:v>
      </x:c>
      <x:c r="O56" s="4" t="n">
        <x:v>0</x:v>
      </x:c>
      <x:c r="P56" s="1" t="str">
        <x:v>FAIL</x:v>
      </x:c>
      <x:c r="Q56" s="4" t="n">
        <x:v>13</x:v>
      </x:c>
      <x:c r="R56" s="1" t="str">
        <x:v>FAIL</x:v>
      </x:c>
      <x:c r="S56" s="4" t="n">
        <x:v>13</x:v>
      </x:c>
      <x:c r="T56" s="1" t="str">
        <x:v>INCONCLUSIVE</x:v>
      </x:c>
      <x:c r="U56" s="1" t="str">
        <x:v>Cli_30</x:v>
      </x:c>
      <x:c r="V56" s="6" t="n">
        <x:v>48.99</x:v>
      </x:c>
    </x:row>
    <x:row r="57" ht="22" customHeight="1">
      <x:c r="A57" s="1" t="str">
        <x:v>Round1</x:v>
      </x:c>
      <x:c r="B57" s="1" t="str">
        <x:v>Cli</x:v>
      </x:c>
      <x:c r="C57" s="4" t="n">
        <x:v>31</x:v>
      </x:c>
      <x:c r="D57" s="4" t="n">
        <x:v>0</x:v>
      </x:c>
      <x:c r="E57" s="4" t="n">
        <x:v>60</x:v>
      </x:c>
      <x:c r="F57" s="4" t="n">
        <x:v>168</x:v>
      </x:c>
      <x:c r="G57" s="5" t="n">
        <x:v>0</x:v>
      </x:c>
      <x:c r="H57" s="5" t="n">
        <x:v>0</x:v>
      </x:c>
      <x:c r="I57" s="5" t="n">
        <x:v>0</x:v>
      </x:c>
      <x:c r="J57" s="4" t="n">
        <x:v>594</x:v>
      </x:c>
      <x:c r="K57" s="4" t="n">
        <x:v>0</x:v>
      </x:c>
      <x:c r="L57" s="4" t="n">
        <x:v>386</x:v>
      </x:c>
      <x:c r="M57" s="4" t="n">
        <x:v>0</x:v>
      </x:c>
      <x:c r="N57" s="4" t="n">
        <x:v>208</x:v>
      </x:c>
      <x:c r="O57" s="4" t="n">
        <x:v>0</x:v>
      </x:c>
      <x:c r="P57" s="1" t="str">
        <x:v>FAIL</x:v>
      </x:c>
      <x:c r="Q57" s="4" t="n">
        <x:v>2</x:v>
      </x:c>
      <x:c r="R57" s="1" t="str">
        <x:v>FAIL</x:v>
      </x:c>
      <x:c r="S57" s="4" t="n">
        <x:v>2</x:v>
      </x:c>
      <x:c r="T57" s="1" t="str">
        <x:v>INCONCLUSIVE</x:v>
      </x:c>
      <x:c r="U57" s="1" t="str">
        <x:v>Cli_31</x:v>
      </x:c>
      <x:c r="V57" s="6" t="n">
        <x:v>28.73</x:v>
      </x:c>
    </x:row>
    <x:row r="58" ht="22" customHeight="1">
      <x:c r="A58" s="1" t="str">
        <x:v>Round1</x:v>
      </x:c>
      <x:c r="B58" s="1" t="str">
        <x:v>Cli</x:v>
      </x:c>
      <x:c r="C58" s="4" t="n">
        <x:v>32</x:v>
      </x:c>
      <x:c r="D58" s="4" t="n">
        <x:v>0</x:v>
      </x:c>
      <x:c r="E58" s="4" t="n">
        <x:v>60</x:v>
      </x:c>
      <x:c r="F58" s="4" t="n">
        <x:v>45</x:v>
      </x:c>
      <x:c r="G58" s="5" t="n">
        <x:v>0</x:v>
      </x:c>
      <x:c r="H58" s="5" t="n">
        <x:v>0</x:v>
      </x:c>
      <x:c r="I58" s="5" t="n">
        <x:v>0</x:v>
      </x:c>
      <x:c r="J58" s="4" t="n">
        <x:v>325</x:v>
      </x:c>
      <x:c r="K58" s="4" t="n">
        <x:v>0</x:v>
      </x:c>
      <x:c r="L58" s="4" t="n">
        <x:v>203</x:v>
      </x:c>
      <x:c r="M58" s="4" t="n">
        <x:v>0</x:v>
      </x:c>
      <x:c r="N58" s="4" t="n">
        <x:v>122</x:v>
      </x:c>
      <x:c r="O58" s="4" t="n">
        <x:v>0</x:v>
      </x:c>
      <x:c r="P58" s="1" t="str">
        <x:v>FAIL</x:v>
      </x:c>
      <x:c r="Q58" s="4" t="n">
        <x:v>2</x:v>
      </x:c>
      <x:c r="R58" s="1" t="str">
        <x:v>FAIL</x:v>
      </x:c>
      <x:c r="S58" s="4" t="n">
        <x:v>2</x:v>
      </x:c>
      <x:c r="T58" s="1" t="str">
        <x:v>INCONCLUSIVE</x:v>
      </x:c>
      <x:c r="U58" s="1" t="str">
        <x:v>Cli_32</x:v>
      </x:c>
      <x:c r="V58" s="6" t="n">
        <x:v>28.78</x:v>
      </x:c>
    </x:row>
    <x:row r="59" ht="22" customHeight="1">
      <x:c r="A59" s="1" t="str">
        <x:v>Round1</x:v>
      </x:c>
      <x:c r="B59" s="1" t="str">
        <x:v>Cli</x:v>
      </x:c>
      <x:c r="C59" s="4" t="n">
        <x:v>33</x:v>
      </x:c>
      <x:c r="D59" s="4" t="n">
        <x:v>0</x:v>
      </x:c>
      <x:c r="E59" s="4" t="n">
        <x:v>60</x:v>
      </x:c>
      <x:c r="F59" s="4" t="n">
        <x:v>35</x:v>
      </x:c>
      <x:c r="G59" s="5" t="n">
        <x:v>0</x:v>
      </x:c>
      <x:c r="H59" s="5" t="n">
        <x:v>0</x:v>
      </x:c>
      <x:c r="I59" s="5" t="n">
        <x:v>0</x:v>
      </x:c>
      <x:c r="J59" s="4" t="n">
        <x:v>315</x:v>
      </x:c>
      <x:c r="K59" s="4" t="n">
        <x:v>0</x:v>
      </x:c>
      <x:c r="L59" s="4" t="n">
        <x:v>201</x:v>
      </x:c>
      <x:c r="M59" s="4" t="n">
        <x:v>0</x:v>
      </x:c>
      <x:c r="N59" s="4" t="n">
        <x:v>114</x:v>
      </x:c>
      <x:c r="O59" s="4" t="n">
        <x:v>0</x:v>
      </x:c>
      <x:c r="P59" s="1" t="str">
        <x:v>FAIL</x:v>
      </x:c>
      <x:c r="Q59" s="4" t="n">
        <x:v>2</x:v>
      </x:c>
      <x:c r="R59" s="1" t="str">
        <x:v>FAIL</x:v>
      </x:c>
      <x:c r="S59" s="4" t="n">
        <x:v>2</x:v>
      </x:c>
      <x:c r="T59" s="1" t="str">
        <x:v>INCONCLUSIVE</x:v>
      </x:c>
      <x:c r="U59" s="1" t="str">
        <x:v>Cli_33</x:v>
      </x:c>
      <x:c r="V59" s="6" t="n">
        <x:v>28.16</x:v>
      </x:c>
    </x:row>
    <x:row r="60" ht="22" customHeight="1">
      <x:c r="A60" s="1" t="str">
        <x:v>Round1</x:v>
      </x:c>
      <x:c r="B60" s="1" t="str">
        <x:v>Cli</x:v>
      </x:c>
      <x:c r="C60" s="4" t="n">
        <x:v>34</x:v>
      </x:c>
      <x:c r="D60" s="4" t="n">
        <x:v>0</x:v>
      </x:c>
      <x:c r="E60" s="4" t="n">
        <x:v>60</x:v>
      </x:c>
      <x:c r="F60" s="4" t="n">
        <x:v>4562</x:v>
      </x:c>
      <x:c r="G60" s="5" t="n">
        <x:v>0</x:v>
      </x:c>
      <x:c r="H60" s="5" t="n">
        <x:v>0</x:v>
      </x:c>
      <x:c r="I60" s="5" t="n">
        <x:v>0</x:v>
      </x:c>
      <x:c r="J60" s="4" t="n">
        <x:v>268</x:v>
      </x:c>
      <x:c r="K60" s="4" t="n">
        <x:v>0</x:v>
      </x:c>
      <x:c r="L60" s="4" t="n">
        <x:v>180</x:v>
      </x:c>
      <x:c r="M60" s="4" t="n">
        <x:v>0</x:v>
      </x:c>
      <x:c r="N60" s="4" t="n">
        <x:v>88</x:v>
      </x:c>
      <x:c r="O60" s="4" t="n">
        <x:v>0</x:v>
      </x:c>
      <x:c r="P60" s="1" t="str">
        <x:v>FAIL</x:v>
      </x:c>
      <x:c r="Q60" s="4" t="n">
        <x:v>11</x:v>
      </x:c>
      <x:c r="R60" s="1" t="str">
        <x:v>FAIL</x:v>
      </x:c>
      <x:c r="S60" s="4" t="n">
        <x:v>11</x:v>
      </x:c>
      <x:c r="T60" s="1" t="str">
        <x:v>INCONCLUSIVE</x:v>
      </x:c>
      <x:c r="U60" s="1" t="str">
        <x:v>Cli_34</x:v>
      </x:c>
      <x:c r="V60" s="6" t="n">
        <x:v>58.41</x:v>
      </x:c>
    </x:row>
    <x:row r="61" ht="22" customHeight="1">
      <x:c r="A61" s="1" t="str">
        <x:v>Round1</x:v>
      </x:c>
      <x:c r="B61" s="1" t="str">
        <x:v>Cli</x:v>
      </x:c>
      <x:c r="C61" s="4" t="n">
        <x:v>35</x:v>
      </x:c>
      <x:c r="D61" s="4" t="n">
        <x:v>0</x:v>
      </x:c>
      <x:c r="E61" s="4" t="n">
        <x:v>60</x:v>
      </x:c>
      <x:c r="F61" s="4" t="n">
        <x:v>4144</x:v>
      </x:c>
      <x:c r="G61" s="5" t="n">
        <x:v>0.7792</x:v>
      </x:c>
      <x:c r="H61" s="5" t="n">
        <x:v>0.8245999999999999</x:v>
      </x:c>
      <x:c r="I61" s="5" t="n">
        <x:v>0.65</x:v>
      </x:c>
      <x:c r="J61" s="4" t="n">
        <x:v>77</x:v>
      </x:c>
      <x:c r="K61" s="4" t="n">
        <x:v>60</x:v>
      </x:c>
      <x:c r="L61" s="4" t="n">
        <x:v>57</x:v>
      </x:c>
      <x:c r="M61" s="4" t="n">
        <x:v>47</x:v>
      </x:c>
      <x:c r="N61" s="4" t="n">
        <x:v>20</x:v>
      </x:c>
      <x:c r="O61" s="4" t="n">
        <x:v>13</x:v>
      </x:c>
      <x:c r="P61" s="1" t="str">
        <x:v>PASS</x:v>
      </x:c>
      <x:c r="Q61" s="4" t="n">
        <x:v>0</x:v>
      </x:c>
      <x:c r="R61" s="1" t="str">
        <x:v>PASS</x:v>
      </x:c>
      <x:c r="S61" s="4" t="n">
        <x:v>0</x:v>
      </x:c>
      <x:c r="T61" s="1" t="str">
        <x:v>NOT_REVEALING</x:v>
      </x:c>
      <x:c r="U61" s="1" t="str">
        <x:v>Cli_35</x:v>
      </x:c>
      <x:c r="V61" s="6" t="n">
        <x:v>82.45</x:v>
      </x:c>
    </x:row>
    <x:row r="62" ht="22" customHeight="1">
      <x:c r="A62" s="1" t="str">
        <x:v>Round1</x:v>
      </x:c>
      <x:c r="B62" s="1" t="str">
        <x:v>Cli</x:v>
      </x:c>
      <x:c r="C62" s="4" t="n">
        <x:v>36</x:v>
      </x:c>
      <x:c r="D62" s="4" t="n">
        <x:v>0</x:v>
      </x:c>
      <x:c r="E62" s="4" t="n">
        <x:v>60</x:v>
      </x:c>
      <x:c r="F62" s="4" t="n">
        <x:v>3762</x:v>
      </x:c>
      <x:c r="G62" s="5" t="n">
        <x:v>0.8923000000000001</x:v>
      </x:c>
      <x:c r="H62" s="5" t="n">
        <x:v>0.9255</x:v>
      </x:c>
      <x:c r="I62" s="5" t="n">
        <x:v>0.8056</x:v>
      </x:c>
      <x:c r="J62" s="4" t="n">
        <x:v>130</x:v>
      </x:c>
      <x:c r="K62" s="4" t="n">
        <x:v>116</x:v>
      </x:c>
      <x:c r="L62" s="4" t="n">
        <x:v>94</x:v>
      </x:c>
      <x:c r="M62" s="4" t="n">
        <x:v>87</x:v>
      </x:c>
      <x:c r="N62" s="4" t="n">
        <x:v>36</x:v>
      </x:c>
      <x:c r="O62" s="4" t="n">
        <x:v>29</x:v>
      </x:c>
      <x:c r="P62" s="1" t="str">
        <x:v>PASS</x:v>
      </x:c>
      <x:c r="Q62" s="4" t="n">
        <x:v>0</x:v>
      </x:c>
      <x:c r="R62" s="1" t="str">
        <x:v>PASS</x:v>
      </x:c>
      <x:c r="S62" s="4" t="n">
        <x:v>0</x:v>
      </x:c>
      <x:c r="T62" s="1" t="str">
        <x:v>NOT_REVEALING</x:v>
      </x:c>
      <x:c r="U62" s="1" t="str">
        <x:v>Cli_36</x:v>
      </x:c>
      <x:c r="V62" s="6" t="n">
        <x:v>82.19</x:v>
      </x:c>
    </x:row>
    <x:row r="63" ht="22" customHeight="1">
      <x:c r="A63" s="1" t="str">
        <x:v>Round1</x:v>
      </x:c>
      <x:c r="B63" s="1" t="str">
        <x:v>Cli</x:v>
      </x:c>
      <x:c r="C63" s="4" t="n">
        <x:v>37</x:v>
      </x:c>
      <x:c r="D63" s="4" t="n">
        <x:v>0</x:v>
      </x:c>
      <x:c r="E63" s="4" t="n">
        <x:v>60</x:v>
      </x:c>
      <x:c r="F63" s="4" t="n">
        <x:v>5088</x:v>
      </x:c>
      <x:c r="G63" s="5" t="n">
        <x:v>0.0435</x:v>
      </x:c>
      <x:c r="H63" s="5" t="n">
        <x:v>0.0695</x:v>
      </x:c>
      <x:c r="I63" s="5" t="n">
        <x:v>0.0127</x:v>
      </x:c>
      <x:c r="J63" s="4" t="n">
        <x:v>345</x:v>
      </x:c>
      <x:c r="K63" s="4" t="n">
        <x:v>15</x:v>
      </x:c>
      <x:c r="L63" s="4" t="n">
        <x:v>187</x:v>
      </x:c>
      <x:c r="M63" s="4" t="n">
        <x:v>13</x:v>
      </x:c>
      <x:c r="N63" s="4" t="n">
        <x:v>158</x:v>
      </x:c>
      <x:c r="O63" s="4" t="n">
        <x:v>2</x:v>
      </x:c>
      <x:c r="P63" s="1" t="str">
        <x:v>FAIL</x:v>
      </x:c>
      <x:c r="Q63" s="4" t="n">
        <x:v>48</x:v>
      </x:c>
      <x:c r="R63" s="1" t="str">
        <x:v>FAIL</x:v>
      </x:c>
      <x:c r="S63" s="4" t="n">
        <x:v>48</x:v>
      </x:c>
      <x:c r="T63" s="1" t="str">
        <x:v>INCONCLUSIVE</x:v>
      </x:c>
      <x:c r="U63" s="1" t="str">
        <x:v>Cli_37</x:v>
      </x:c>
      <x:c r="V63" s="6" t="n">
        <x:v>64.91</x:v>
      </x:c>
    </x:row>
    <x:row r="64" ht="22" customHeight="1">
      <x:c r="A64" s="1" t="str">
        <x:v>Round1</x:v>
      </x:c>
      <x:c r="B64" s="1" t="str">
        <x:v>Cli</x:v>
      </x:c>
      <x:c r="C64" s="4" t="n">
        <x:v>38</x:v>
      </x:c>
      <x:c r="D64" s="4" t="n">
        <x:v>0</x:v>
      </x:c>
      <x:c r="E64" s="4" t="n">
        <x:v>60</x:v>
      </x:c>
      <x:c r="F64" s="4" t="n">
        <x:v>5523</x:v>
      </x:c>
      <x:c r="G64" s="5" t="n">
        <x:v>0.043</x:v>
      </x:c>
      <x:c r="H64" s="5" t="n">
        <x:v>0.0681</x:v>
      </x:c>
      <x:c r="I64" s="5" t="n">
        <x:v>0.0127</x:v>
      </x:c>
      <x:c r="J64" s="4" t="n">
        <x:v>349</x:v>
      </x:c>
      <x:c r="K64" s="4" t="n">
        <x:v>15</x:v>
      </x:c>
      <x:c r="L64" s="4" t="n">
        <x:v>191</x:v>
      </x:c>
      <x:c r="M64" s="4" t="n">
        <x:v>13</x:v>
      </x:c>
      <x:c r="N64" s="4" t="n">
        <x:v>158</x:v>
      </x:c>
      <x:c r="O64" s="4" t="n">
        <x:v>2</x:v>
      </x:c>
      <x:c r="P64" s="1" t="str">
        <x:v>FAIL</x:v>
      </x:c>
      <x:c r="Q64" s="4" t="n">
        <x:v>52</x:v>
      </x:c>
      <x:c r="R64" s="1" t="str">
        <x:v>FAIL</x:v>
      </x:c>
      <x:c r="S64" s="4" t="n">
        <x:v>52</x:v>
      </x:c>
      <x:c r="T64" s="1" t="str">
        <x:v>INCONCLUSIVE</x:v>
      </x:c>
      <x:c r="U64" s="1" t="str">
        <x:v>Cli_38</x:v>
      </x:c>
      <x:c r="V64" s="6" t="n">
        <x:v>65.91</x:v>
      </x:c>
    </x:row>
    <x:row r="65" ht="22" customHeight="1">
      <x:c r="A65" s="1" t="str">
        <x:v>Round1</x:v>
      </x:c>
      <x:c r="B65" s="1" t="str">
        <x:v>Cli</x:v>
      </x:c>
      <x:c r="C65" s="4" t="n">
        <x:v>39</x:v>
      </x:c>
      <x:c r="D65" s="4" t="n">
        <x:v>0</x:v>
      </x:c>
      <x:c r="E65" s="4" t="n">
        <x:v>60</x:v>
      </x:c>
      <x:c r="F65" s="4" t="n">
        <x:v>74</x:v>
      </x:c>
      <x:c r="G65" s="5" t="n">
        <x:v>0.6452</x:v>
      </x:c>
      <x:c r="H65" s="5" t="n">
        <x:v>0.6905</x:v>
      </x:c>
      <x:c r="I65" s="5" t="n">
        <x:v>0.55</x:v>
      </x:c>
      <x:c r="J65" s="4" t="n">
        <x:v>62</x:v>
      </x:c>
      <x:c r="K65" s="4" t="n">
        <x:v>40</x:v>
      </x:c>
      <x:c r="L65" s="4" t="n">
        <x:v>42</x:v>
      </x:c>
      <x:c r="M65" s="4" t="n">
        <x:v>29</x:v>
      </x:c>
      <x:c r="N65" s="4" t="n">
        <x:v>20</x:v>
      </x:c>
      <x:c r="O65" s="4" t="n">
        <x:v>11</x:v>
      </x:c>
      <x:c r="P65" s="1" t="str">
        <x:v>PASS</x:v>
      </x:c>
      <x:c r="Q65" s="4" t="n">
        <x:v>0</x:v>
      </x:c>
      <x:c r="R65" s="1" t="str">
        <x:v>PASS</x:v>
      </x:c>
      <x:c r="S65" s="4" t="n">
        <x:v>0</x:v>
      </x:c>
      <x:c r="T65" s="1" t="str">
        <x:v>NOT_REVEALING</x:v>
      </x:c>
      <x:c r="U65" s="1" t="str">
        <x:v>Cli_39</x:v>
      </x:c>
      <x:c r="V65" s="6" t="n">
        <x:v>32.77</x:v>
      </x:c>
    </x:row>
    <x:row r="66" ht="22" customHeight="1">
      <x:c r="A66" s="1" t="str">
        <x:v>Round1</x:v>
      </x:c>
      <x:c r="B66" s="1" t="str">
        <x:v>Cli</x:v>
      </x:c>
      <x:c r="C66" s="4" t="n">
        <x:v>40</x:v>
      </x:c>
      <x:c r="D66" s="4" t="n">
        <x:v>0</x:v>
      </x:c>
      <x:c r="E66" s="4" t="n">
        <x:v>60</x:v>
      </x:c>
      <x:c r="F66" s="4" t="n">
        <x:v>3668</x:v>
      </x:c>
      <x:c r="G66" s="5" t="n">
        <x:v>0.6923</x:v>
      </x:c>
      <x:c r="H66" s="5" t="n">
        <x:v>0.7333</x:v>
      </x:c>
      <x:c r="I66" s="5" t="n">
        <x:v>0.6</x:v>
      </x:c>
      <x:c r="J66" s="4" t="n">
        <x:v>65</x:v>
      </x:c>
      <x:c r="K66" s="4" t="n">
        <x:v>45</x:v>
      </x:c>
      <x:c r="L66" s="4" t="n">
        <x:v>45</x:v>
      </x:c>
      <x:c r="M66" s="4" t="n">
        <x:v>33</x:v>
      </x:c>
      <x:c r="N66" s="4" t="n">
        <x:v>20</x:v>
      </x:c>
      <x:c r="O66" s="4" t="n">
        <x:v>12</x:v>
      </x:c>
      <x:c r="P66" s="1" t="str">
        <x:v>PASS</x:v>
      </x:c>
      <x:c r="Q66" s="4" t="n">
        <x:v>0</x:v>
      </x:c>
      <x:c r="R66" s="1" t="str">
        <x:v>FAIL</x:v>
      </x:c>
      <x:c r="S66" s="4" t="n">
        <x:v>10</x:v>
      </x:c>
      <x:c r="T66" s="1" t="str">
        <x:v>INCONCLUSIVE</x:v>
      </x:c>
      <x:c r="U66" s="1" t="str">
        <x:v>Cli_40</x:v>
      </x:c>
      <x:c r="V66" s="6" t="n">
        <x:v>114.73</x:v>
      </x:c>
    </x:row>
    <x:row r="67" ht="22" customHeight="1">
      <x:c r="A67" s="1" t="str">
        <x:v>Round1</x:v>
      </x:c>
      <x:c r="B67" s="1" t="str">
        <x:v>Closure</x:v>
      </x:c>
      <x:c r="C67" s="4" t="n">
        <x:v>1</x:v>
      </x:c>
      <x:c r="D67" s="4" t="n">
        <x:v>0</x:v>
      </x:c>
      <x:c r="E67" s="4" t="n">
        <x:v>60</x:v>
      </x:c>
      <x:c r="F67" s="4" t="n">
        <x:v>9</x:v>
      </x:c>
      <x:c r="G67" s="5" t="n">
        <x:v>0.019299999999999998</x:v>
      </x:c>
      <x:c r="H67" s="5" t="n">
        <x:v>0.0333</x:v>
      </x:c>
      <x:c r="I67" s="5" t="n">
        <x:v>0</x:v>
      </x:c>
      <x:c r="J67" s="4" t="n">
        <x:v>675</x:v>
      </x:c>
      <x:c r="K67" s="4" t="n">
        <x:v>13</x:v>
      </x:c>
      <x:c r="L67" s="4" t="n">
        <x:v>390</x:v>
      </x:c>
      <x:c r="M67" s="4" t="n">
        <x:v>13</x:v>
      </x:c>
      <x:c r="N67" s="4" t="n">
        <x:v>285</x:v>
      </x:c>
      <x:c r="O67" s="4" t="n">
        <x:v>0</x:v>
      </x:c>
      <x:c r="P67" s="1" t="str">
        <x:v>PASS</x:v>
      </x:c>
      <x:c r="Q67" s="4" t="n">
        <x:v>0</x:v>
      </x:c>
      <x:c r="R67" s="1" t="str">
        <x:v>PASS</x:v>
      </x:c>
      <x:c r="S67" s="4" t="n">
        <x:v>0</x:v>
      </x:c>
      <x:c r="T67" s="1" t="str">
        <x:v>NOT_REVEALING</x:v>
      </x:c>
      <x:c r="U67" s="1" t="str">
        <x:v>Closure_1</x:v>
      </x:c>
      <x:c r="V67" s="6" t="n">
        <x:v>105.94</x:v>
      </x:c>
    </x:row>
    <x:row r="68" ht="22" customHeight="1">
      <x:c r="A68" s="1" t="str">
        <x:v>Round1</x:v>
      </x:c>
      <x:c r="B68" s="1" t="str">
        <x:v>Closure</x:v>
      </x:c>
      <x:c r="C68" s="4" t="n">
        <x:v>2</x:v>
      </x:c>
      <x:c r="D68" s="4" t="n">
        <x:v>0</x:v>
      </x:c>
      <x:c r="E68" s="4" t="n">
        <x:v>60</x:v>
      </x:c>
      <x:c r="F68" s="4" t="n">
        <x:v>39</x:v>
      </x:c>
      <x:c r="G68" s="5" t="n">
        <x:v>0.0538</x:v>
      </x:c>
      <x:c r="H68" s="5" t="n">
        <x:v>0.0915</x:v>
      </x:c>
      <x:c r="I68" s="5" t="n">
        <x:v>0</x:v>
      </x:c>
      <x:c r="J68" s="4" t="n">
        <x:v>1394</x:v>
      </x:c>
      <x:c r="K68" s="4" t="n">
        <x:v>75</x:v>
      </x:c>
      <x:c r="L68" s="4" t="n">
        <x:v>820</x:v>
      </x:c>
      <x:c r="M68" s="4" t="n">
        <x:v>75</x:v>
      </x:c>
      <x:c r="N68" s="4" t="n">
        <x:v>574</x:v>
      </x:c>
      <x:c r="O68" s="4" t="n">
        <x:v>0</x:v>
      </x:c>
      <x:c r="P68" s="1" t="str">
        <x:v>PASS</x:v>
      </x:c>
      <x:c r="Q68" s="4" t="n">
        <x:v>0</x:v>
      </x:c>
      <x:c r="R68" s="1" t="str">
        <x:v>PASS</x:v>
      </x:c>
      <x:c r="S68" s="4" t="n">
        <x:v>0</x:v>
      </x:c>
      <x:c r="T68" s="1" t="str">
        <x:v>NOT_REVEALING</x:v>
      </x:c>
      <x:c r="U68" s="1" t="str">
        <x:v>Closure_2</x:v>
      </x:c>
      <x:c r="V68" s="6" t="n">
        <x:v>85.73</x:v>
      </x:c>
    </x:row>
    <x:row r="69" ht="22" customHeight="1">
      <x:c r="A69" s="1" t="str">
        <x:v>Round1</x:v>
      </x:c>
      <x:c r="B69" s="1" t="str">
        <x:v>Closure</x:v>
      </x:c>
      <x:c r="C69" s="4" t="n">
        <x:v>3</x:v>
      </x:c>
      <x:c r="D69" s="4" t="n">
        <x:v>0</x:v>
      </x:c>
      <x:c r="E69" s="4" t="n">
        <x:v>60</x:v>
      </x:c>
      <x:c r="F69" s="4" t="n">
        <x:v>1500</x:v>
      </x:c>
      <x:c r="G69" s="5" t="n">
        <x:v>0.033</x:v>
      </x:c>
      <x:c r="H69" s="5" t="n">
        <x:v>0.056799999999999996</x:v>
      </x:c>
      <x:c r="I69" s="5" t="n">
        <x:v>0</x:v>
      </x:c>
      <x:c r="J69" s="4" t="n">
        <x:v>303</x:v>
      </x:c>
      <x:c r="K69" s="4" t="n">
        <x:v>10</x:v>
      </x:c>
      <x:c r="L69" s="4" t="n">
        <x:v>176</x:v>
      </x:c>
      <x:c r="M69" s="4" t="n">
        <x:v>10</x:v>
      </x:c>
      <x:c r="N69" s="4" t="n">
        <x:v>127</x:v>
      </x:c>
      <x:c r="O69" s="4" t="n">
        <x:v>0</x:v>
      </x:c>
      <x:c r="P69" s="1" t="str">
        <x:v>PASS</x:v>
      </x:c>
      <x:c r="Q69" s="4" t="n">
        <x:v>0</x:v>
      </x:c>
      <x:c r="R69" s="1" t="str">
        <x:v>PASS</x:v>
      </x:c>
      <x:c r="S69" s="4" t="n">
        <x:v>0</x:v>
      </x:c>
      <x:c r="T69" s="1" t="str">
        <x:v>NOT_REVEALING</x:v>
      </x:c>
      <x:c r="U69" s="1" t="str">
        <x:v>Closure_3</x:v>
      </x:c>
      <x:c r="V69" s="6" t="n">
        <x:v>89.72</x:v>
      </x:c>
    </x:row>
    <x:row r="70" ht="22" customHeight="1">
      <x:c r="A70" s="1" t="str">
        <x:v>Round1</x:v>
      </x:c>
      <x:c r="B70" s="1" t="str">
        <x:v>Closure</x:v>
      </x:c>
      <x:c r="C70" s="4" t="n">
        <x:v>4</x:v>
      </x:c>
      <x:c r="D70" s="4" t="n">
        <x:v>0</x:v>
      </x:c>
      <x:c r="E70" s="4" t="n">
        <x:v>60</x:v>
      </x:c>
      <x:c r="F70" s="4" t="n">
        <x:v>5712</x:v>
      </x:c>
      <x:c r="G70" s="5" t="n">
        <x:v>0.0046</x:v>
      </x:c>
      <x:c r="H70" s="5" t="n">
        <x:v>0.0076</x:v>
      </x:c>
      <x:c r="I70" s="5" t="n">
        <x:v>0</x:v>
      </x:c>
      <x:c r="J70" s="4" t="n">
        <x:v>218</x:v>
      </x:c>
      <x:c r="K70" s="4" t="n">
        <x:v>1</x:v>
      </x:c>
      <x:c r="L70" s="4" t="n">
        <x:v>132</x:v>
      </x:c>
      <x:c r="M70" s="4" t="n">
        <x:v>1</x:v>
      </x:c>
      <x:c r="N70" s="4" t="n">
        <x:v>86</x:v>
      </x:c>
      <x:c r="O70" s="4" t="n">
        <x:v>0</x:v>
      </x:c>
      <x:c r="P70" s="1" t="str">
        <x:v>PASS</x:v>
      </x:c>
      <x:c r="Q70" s="4" t="n">
        <x:v>0</x:v>
      </x:c>
      <x:c r="R70" s="1" t="str">
        <x:v>PASS</x:v>
      </x:c>
      <x:c r="S70" s="4" t="n">
        <x:v>0</x:v>
      </x:c>
      <x:c r="T70" s="1" t="str">
        <x:v>NOT_REVEALING</x:v>
      </x:c>
      <x:c r="U70" s="1" t="str">
        <x:v>Closure_4</x:v>
      </x:c>
      <x:c r="V70" s="6" t="n">
        <x:v>88.92</x:v>
      </x:c>
    </x:row>
    <x:row r="71" ht="22" customHeight="1">
      <x:c r="A71" s="1" t="str">
        <x:v>Round1</x:v>
      </x:c>
      <x:c r="B71" s="1" t="str">
        <x:v>Closure</x:v>
      </x:c>
      <x:c r="C71" s="4" t="n">
        <x:v>5</x:v>
      </x:c>
      <x:c r="D71" s="4" t="n">
        <x:v>0</x:v>
      </x:c>
      <x:c r="E71" s="4" t="n">
        <x:v>60</x:v>
      </x:c>
      <x:c r="F71" s="4" t="n">
        <x:v>4</x:v>
      </x:c>
      <x:c r="G71" s="5" t="n">
        <x:v>0.0277</x:v>
      </x:c>
      <x:c r="H71" s="5" t="n">
        <x:v>0.044199999999999996</x:v>
      </x:c>
      <x:c r="I71" s="5" t="n">
        <x:v>0</x:v>
      </x:c>
      <x:c r="J71" s="4" t="n">
        <x:v>289</x:v>
      </x:c>
      <x:c r="K71" s="4" t="n">
        <x:v>8</x:v>
      </x:c>
      <x:c r="L71" s="4" t="n">
        <x:v>181</x:v>
      </x:c>
      <x:c r="M71" s="4" t="n">
        <x:v>8</x:v>
      </x:c>
      <x:c r="N71" s="4" t="n">
        <x:v>108</x:v>
      </x:c>
      <x:c r="O71" s="4" t="n">
        <x:v>0</x:v>
      </x:c>
      <x:c r="P71" s="1" t="str">
        <x:v>PASS</x:v>
      </x:c>
      <x:c r="Q71" s="4" t="n">
        <x:v>0</x:v>
      </x:c>
      <x:c r="R71" s="1" t="str">
        <x:v>PASS</x:v>
      </x:c>
      <x:c r="S71" s="4" t="n">
        <x:v>0</x:v>
      </x:c>
      <x:c r="T71" s="1" t="str">
        <x:v>NOT_REVEALING</x:v>
      </x:c>
      <x:c r="U71" s="1" t="str">
        <x:v>Closure_5</x:v>
      </x:c>
      <x:c r="V71" s="6" t="n">
        <x:v>71.65</x:v>
      </x:c>
    </x:row>
    <x:row r="72" ht="22" customHeight="1">
      <x:c r="A72" s="1" t="str">
        <x:v>Round1</x:v>
      </x:c>
      <x:c r="B72" s="1" t="str">
        <x:v>Closure</x:v>
      </x:c>
      <x:c r="C72" s="4" t="n">
        <x:v>6</x:v>
      </x:c>
      <x:c r="D72" s="4" t="n">
        <x:v>0</x:v>
      </x:c>
      <x:c r="E72" s="4" t="n">
        <x:v>60</x:v>
      </x:c>
      <x:c r="F72" s="4" t="n">
        <x:v>12</x:v>
      </x:c>
      <x:c r="G72" s="5" t="n">
        <x:v>0.04769999999999999</x:v>
      </x:c>
      <x:c r="H72" s="5" t="n">
        <x:v>0.0848</x:v>
      </x:c>
      <x:c r="I72" s="5" t="n">
        <x:v>0</x:v>
      </x:c>
      <x:c r="J72" s="4" t="n">
        <x:v>503</x:v>
      </x:c>
      <x:c r="K72" s="4" t="n">
        <x:v>24</x:v>
      </x:c>
      <x:c r="L72" s="4" t="n">
        <x:v>283</x:v>
      </x:c>
      <x:c r="M72" s="4" t="n">
        <x:v>24</x:v>
      </x:c>
      <x:c r="N72" s="4" t="n">
        <x:v>220</x:v>
      </x:c>
      <x:c r="O72" s="4" t="n">
        <x:v>0</x:v>
      </x:c>
      <x:c r="P72" s="1" t="str">
        <x:v>PASS</x:v>
      </x:c>
      <x:c r="Q72" s="4" t="n">
        <x:v>0</x:v>
      </x:c>
      <x:c r="R72" s="1" t="str">
        <x:v>PASS</x:v>
      </x:c>
      <x:c r="S72" s="4" t="n">
        <x:v>0</x:v>
      </x:c>
      <x:c r="T72" s="1" t="str">
        <x:v>NOT_REVEALING</x:v>
      </x:c>
      <x:c r="U72" s="1" t="str">
        <x:v>Closure_6</x:v>
      </x:c>
      <x:c r="V72" s="6" t="n">
        <x:v>62.37</x:v>
      </x:c>
    </x:row>
    <x:row r="73" ht="22" customHeight="1">
      <x:c r="A73" s="1" t="str">
        <x:v>Round1</x:v>
      </x:c>
      <x:c r="B73" s="1" t="str">
        <x:v>Closure</x:v>
      </x:c>
      <x:c r="C73" s="4" t="n">
        <x:v>7</x:v>
      </x:c>
      <x:c r="D73" s="4" t="n">
        <x:v>0</x:v>
      </x:c>
      <x:c r="E73" s="4" t="n">
        <x:v>60</x:v>
      </x:c>
      <x:c r="F73" s="4" t="n">
        <x:v>1</x:v>
      </x:c>
      <x:c r="G73" s="5" t="n">
        <x:v>0</x:v>
      </x:c>
      <x:c r="H73" s="5" t="n">
        <x:v>0</x:v>
      </x:c>
      <x:c r="I73" s="5" t="n">
        <x:v>0</x:v>
      </x:c>
      <x:c r="J73" s="4" t="n">
        <x:v>269</x:v>
      </x:c>
      <x:c r="K73" s="4" t="n">
        <x:v>0</x:v>
      </x:c>
      <x:c r="L73" s="4" t="n">
        <x:v>174</x:v>
      </x:c>
      <x:c r="M73" s="4" t="n">
        <x:v>0</x:v>
      </x:c>
      <x:c r="N73" s="4" t="n">
        <x:v>95</x:v>
      </x:c>
      <x:c r="O73" s="4" t="n">
        <x:v>0</x:v>
      </x:c>
      <x:c r="P73" s="1" t="str">
        <x:v>PASS</x:v>
      </x:c>
      <x:c r="Q73" s="4" t="n">
        <x:v>0</x:v>
      </x:c>
      <x:c r="R73" s="1" t="str">
        <x:v>PASS</x:v>
      </x:c>
      <x:c r="S73" s="4" t="n">
        <x:v>0</x:v>
      </x:c>
      <x:c r="T73" s="1" t="str">
        <x:v>NOT_REVEALING</x:v>
      </x:c>
      <x:c r="U73" s="1" t="str">
        <x:v>Closure_7</x:v>
      </x:c>
      <x:c r="V73" s="6" t="n">
        <x:v>63.72</x:v>
      </x:c>
    </x:row>
    <x:row r="74" ht="22" customHeight="1">
      <x:c r="A74" s="1" t="str">
        <x:v>Round1</x:v>
      </x:c>
      <x:c r="B74" s="1" t="str">
        <x:v>Closure</x:v>
      </x:c>
      <x:c r="C74" s="4" t="n">
        <x:v>8</x:v>
      </x:c>
      <x:c r="D74" s="4" t="n">
        <x:v>0</x:v>
      </x:c>
      <x:c r="E74" s="4" t="n">
        <x:v>60</x:v>
      </x:c>
      <x:c r="F74" s="4" t="n">
        <x:v>2</x:v>
      </x:c>
      <x:c r="G74" s="5" t="n">
        <x:v>0.0294</x:v>
      </x:c>
      <x:c r="H74" s="5" t="n">
        <x:v>0.047599999999999996</x:v>
      </x:c>
      <x:c r="I74" s="5" t="n">
        <x:v>0</x:v>
      </x:c>
      <x:c r="J74" s="4" t="n">
        <x:v>136</x:v>
      </x:c>
      <x:c r="K74" s="4" t="n">
        <x:v>4</x:v>
      </x:c>
      <x:c r="L74" s="4" t="n">
        <x:v>84</x:v>
      </x:c>
      <x:c r="M74" s="4" t="n">
        <x:v>4</x:v>
      </x:c>
      <x:c r="N74" s="4" t="n">
        <x:v>52</x:v>
      </x:c>
      <x:c r="O74" s="4" t="n">
        <x:v>0</x:v>
      </x:c>
      <x:c r="P74" s="1" t="str">
        <x:v>PASS</x:v>
      </x:c>
      <x:c r="Q74" s="4" t="n">
        <x:v>0</x:v>
      </x:c>
      <x:c r="R74" s="1" t="str">
        <x:v>PASS</x:v>
      </x:c>
      <x:c r="S74" s="4" t="n">
        <x:v>0</x:v>
      </x:c>
      <x:c r="T74" s="1" t="str">
        <x:v>NOT_REVEALING</x:v>
      </x:c>
      <x:c r="U74" s="1" t="str">
        <x:v>Closure_8</x:v>
      </x:c>
      <x:c r="V74" s="6" t="n">
        <x:v>64.69</x:v>
      </x:c>
    </x:row>
    <x:row r="75" ht="22" customHeight="1">
      <x:c r="A75" s="1" t="str">
        <x:v>Round1</x:v>
      </x:c>
      <x:c r="B75" s="1" t="str">
        <x:v>Closure</x:v>
      </x:c>
      <x:c r="C75" s="4" t="n">
        <x:v>9</x:v>
      </x:c>
      <x:c r="D75" s="4" t="n">
        <x:v>0</x:v>
      </x:c>
      <x:c r="E75" s="4" t="n">
        <x:v>60</x:v>
      </x:c>
      <x:c r="F75" s="4" t="n">
        <x:v>1783</x:v>
      </x:c>
      <x:c r="G75" s="5" t="n">
        <x:v>0.2318</x:v>
      </x:c>
      <x:c r="H75" s="5" t="n">
        <x:v>0.2661</x:v>
      </x:c>
      <x:c r="I75" s="5" t="n">
        <x:v>0.1429</x:v>
      </x:c>
      <x:c r="J75" s="4" t="n">
        <x:v>151</x:v>
      </x:c>
      <x:c r="K75" s="4" t="n">
        <x:v>35</x:v>
      </x:c>
      <x:c r="L75" s="4" t="n">
        <x:v>109</x:v>
      </x:c>
      <x:c r="M75" s="4" t="n">
        <x:v>29</x:v>
      </x:c>
      <x:c r="N75" s="4" t="n">
        <x:v>42</x:v>
      </x:c>
      <x:c r="O75" s="4" t="n">
        <x:v>6</x:v>
      </x:c>
      <x:c r="P75" s="1" t="str">
        <x:v>PASS</x:v>
      </x:c>
      <x:c r="Q75" s="4" t="n">
        <x:v>0</x:v>
      </x:c>
      <x:c r="R75" s="1" t="str">
        <x:v>PASS</x:v>
      </x:c>
      <x:c r="S75" s="4" t="n">
        <x:v>0</x:v>
      </x:c>
      <x:c r="T75" s="1" t="str">
        <x:v>NOT_REVEALING</x:v>
      </x:c>
      <x:c r="U75" s="1" t="str">
        <x:v>Closure_9</x:v>
      </x:c>
      <x:c r="V75" s="6" t="n">
        <x:v>54.98</x:v>
      </x:c>
    </x:row>
    <x:row r="76" ht="22" customHeight="1">
      <x:c r="A76" s="1" t="str">
        <x:v>Round1</x:v>
      </x:c>
      <x:c r="B76" s="1" t="str">
        <x:v>Closure</x:v>
      </x:c>
      <x:c r="C76" s="4" t="n">
        <x:v>10</x:v>
      </x:c>
      <x:c r="D76" s="4" t="n">
        <x:v>0</x:v>
      </x:c>
      <x:c r="E76" s="4" t="n">
        <x:v>60</x:v>
      </x:c>
      <x:c r="F76" s="4" t="n">
        <x:v>1322</x:v>
      </x:c>
      <x:c r="G76" s="5" t="n">
        <x:v>0.3481</x:v>
      </x:c>
      <x:c r="H76" s="5" t="n">
        <x:v>0.4341</x:v>
      </x:c>
      <x:c r="I76" s="5" t="n">
        <x:v>0.26170000000000004</x:v>
      </x:c>
      <x:c r="J76" s="4" t="n">
        <x:v>2060</x:v>
      </x:c>
      <x:c r="K76" s="4" t="n">
        <x:v>717</x:v>
      </x:c>
      <x:c r="L76" s="4" t="n">
        <x:v>1032</x:v>
      </x:c>
      <x:c r="M76" s="4" t="n">
        <x:v>448</x:v>
      </x:c>
      <x:c r="N76" s="4" t="n">
        <x:v>1028</x:v>
      </x:c>
      <x:c r="O76" s="4" t="n">
        <x:v>269</x:v>
      </x:c>
      <x:c r="P76" s="1" t="str">
        <x:v>FAIL</x:v>
      </x:c>
      <x:c r="Q76" s="4" t="n">
        <x:v>4</x:v>
      </x:c>
      <x:c r="R76" s="1" t="str">
        <x:v>FAIL</x:v>
      </x:c>
      <x:c r="S76" s="4" t="n">
        <x:v>4</x:v>
      </x:c>
      <x:c r="T76" s="1" t="str">
        <x:v>INCONCLUSIVE</x:v>
      </x:c>
      <x:c r="U76" s="1" t="str">
        <x:v>Closure_10</x:v>
      </x:c>
      <x:c r="V76" s="6" t="n">
        <x:v>136.41</x:v>
      </x:c>
    </x:row>
    <x:row r="77" ht="22" customHeight="1">
      <x:c r="A77" s="1" t="str">
        <x:v>Round1</x:v>
      </x:c>
      <x:c r="B77" s="1" t="str">
        <x:v>Closure</x:v>
      </x:c>
      <x:c r="C77" s="4" t="n">
        <x:v>11</x:v>
      </x:c>
      <x:c r="D77" s="4" t="n">
        <x:v>0</x:v>
      </x:c>
      <x:c r="E77" s="4" t="n">
        <x:v>60</x:v>
      </x:c>
      <x:c r="F77" s="4" t="n">
        <x:v>36</x:v>
      </x:c>
      <x:c r="G77" s="5" t="n">
        <x:v>0.052000000000000005</x:v>
      </x:c>
      <x:c r="H77" s="5" t="n">
        <x:v>0.08869999999999999</x:v>
      </x:c>
      <x:c r="I77" s="5" t="n">
        <x:v>0</x:v>
      </x:c>
      <x:c r="J77" s="4" t="n">
        <x:v>1327</x:v>
      </x:c>
      <x:c r="K77" s="4" t="n">
        <x:v>69</x:v>
      </x:c>
      <x:c r="L77" s="4" t="n">
        <x:v>778</x:v>
      </x:c>
      <x:c r="M77" s="4" t="n">
        <x:v>69</x:v>
      </x:c>
      <x:c r="N77" s="4" t="n">
        <x:v>549</x:v>
      </x:c>
      <x:c r="O77" s="4" t="n">
        <x:v>0</x:v>
      </x:c>
      <x:c r="P77" s="1" t="str">
        <x:v>PASS</x:v>
      </x:c>
      <x:c r="Q77" s="4" t="n">
        <x:v>0</x:v>
      </x:c>
      <x:c r="R77" s="1" t="str">
        <x:v>PASS</x:v>
      </x:c>
      <x:c r="S77" s="4" t="n">
        <x:v>0</x:v>
      </x:c>
      <x:c r="T77" s="1" t="str">
        <x:v>NOT_REVEALING</x:v>
      </x:c>
      <x:c r="U77" s="1" t="str">
        <x:v>Closure_11</x:v>
      </x:c>
      <x:c r="V77" s="6" t="n">
        <x:v>107.4</x:v>
      </x:c>
    </x:row>
    <x:row r="78" ht="22" customHeight="1">
      <x:c r="A78" s="1" t="str">
        <x:v>Round1</x:v>
      </x:c>
      <x:c r="B78" s="1" t="str">
        <x:v>Closure</x:v>
      </x:c>
      <x:c r="C78" s="4" t="n">
        <x:v>12</x:v>
      </x:c>
      <x:c r="D78" s="4" t="n">
        <x:v>0</x:v>
      </x:c>
      <x:c r="E78" s="4" t="n">
        <x:v>60</x:v>
      </x:c>
      <x:c r="F78" s="4" t="n">
        <x:v>960</x:v>
      </x:c>
      <x:c r="G78" s="5" t="n">
        <x:v>0.10289999999999999</x:v>
      </x:c>
      <x:c r="H78" s="5" t="n">
        <x:v>0.125</x:v>
      </x:c>
      <x:c r="I78" s="5" t="n">
        <x:v>0.0625</x:v>
      </x:c>
      <x:c r="J78" s="4" t="n">
        <x:v>136</x:v>
      </x:c>
      <x:c r="K78" s="4" t="n">
        <x:v>14</x:v>
      </x:c>
      <x:c r="L78" s="4" t="n">
        <x:v>88</x:v>
      </x:c>
      <x:c r="M78" s="4" t="n">
        <x:v>11</x:v>
      </x:c>
      <x:c r="N78" s="4" t="n">
        <x:v>48</x:v>
      </x:c>
      <x:c r="O78" s="4" t="n">
        <x:v>3</x:v>
      </x:c>
      <x:c r="P78" s="1" t="str">
        <x:v>PASS</x:v>
      </x:c>
      <x:c r="Q78" s="4" t="n">
        <x:v>0</x:v>
      </x:c>
      <x:c r="R78" s="1" t="str">
        <x:v>PASS</x:v>
      </x:c>
      <x:c r="S78" s="4" t="n">
        <x:v>0</x:v>
      </x:c>
      <x:c r="T78" s="1" t="str">
        <x:v>NOT_REVEALING</x:v>
      </x:c>
      <x:c r="U78" s="1" t="str">
        <x:v>Closure_12</x:v>
      </x:c>
      <x:c r="V78" s="6" t="n">
        <x:v>138.07</x:v>
      </x:c>
    </x:row>
    <x:row r="79" ht="22" customHeight="1">
      <x:c r="A79" s="1" t="str">
        <x:v>Round1</x:v>
      </x:c>
      <x:c r="B79" s="1" t="str">
        <x:v>Closure</x:v>
      </x:c>
      <x:c r="C79" s="4" t="n">
        <x:v>13</x:v>
      </x:c>
      <x:c r="D79" s="4" t="n">
        <x:v>0</x:v>
      </x:c>
      <x:c r="E79" s="4" t="n">
        <x:v>60</x:v>
      </x:c>
      <x:c r="F79" s="4" t="n">
        <x:v>1</x:v>
      </x:c>
      <x:c r="G79" s="5" t="n">
        <x:v>0</x:v>
      </x:c>
      <x:c r="H79" s="5" t="n">
        <x:v>0</x:v>
      </x:c>
      <x:c r="I79" s="5" t="n">
        <x:v>0</x:v>
      </x:c>
      <x:c r="J79" s="4" t="n">
        <x:v>126</x:v>
      </x:c>
      <x:c r="K79" s="4" t="n">
        <x:v>0</x:v>
      </x:c>
      <x:c r="L79" s="4" t="n">
        <x:v>86</x:v>
      </x:c>
      <x:c r="M79" s="4" t="n">
        <x:v>0</x:v>
      </x:c>
      <x:c r="N79" s="4" t="n">
        <x:v>40</x:v>
      </x:c>
      <x:c r="O79" s="4" t="n">
        <x:v>0</x:v>
      </x:c>
      <x:c r="P79" s="1" t="str">
        <x:v>PASS</x:v>
      </x:c>
      <x:c r="Q79" s="4" t="n">
        <x:v>0</x:v>
      </x:c>
      <x:c r="R79" s="1" t="str">
        <x:v>PASS</x:v>
      </x:c>
      <x:c r="S79" s="4" t="n">
        <x:v>0</x:v>
      </x:c>
      <x:c r="T79" s="1" t="str">
        <x:v>NOT_REVEALING</x:v>
      </x:c>
      <x:c r="U79" s="1" t="str">
        <x:v>Closure_13</x:v>
      </x:c>
      <x:c r="V79" s="6" t="n">
        <x:v>101.34</x:v>
      </x:c>
    </x:row>
    <x:row r="80" ht="22" customHeight="1">
      <x:c r="A80" s="1" t="str">
        <x:v>Round1</x:v>
      </x:c>
      <x:c r="B80" s="1" t="str">
        <x:v>Closure</x:v>
      </x:c>
      <x:c r="C80" s="4" t="n">
        <x:v>14</x:v>
      </x:c>
      <x:c r="D80" s="4" t="n">
        <x:v>0</x:v>
      </x:c>
      <x:c r="E80" s="4" t="n">
        <x:v>60</x:v>
      </x:c>
      <x:c r="F80" s="4" t="n">
        <x:v>1762</x:v>
      </x:c>
      <x:c r="G80" s="5" t="n">
        <x:v>0.0425</x:v>
      </x:c>
      <x:c r="H80" s="5" t="n">
        <x:v>0.0688</x:v>
      </x:c>
      <x:c r="I80" s="5" t="n">
        <x:v>0.0036</x:v>
      </x:c>
      <x:c r="J80" s="4" t="n">
        <x:v>683</x:v>
      </x:c>
      <x:c r="K80" s="4" t="n">
        <x:v>29</x:v>
      </x:c>
      <x:c r="L80" s="4" t="n">
        <x:v>407</x:v>
      </x:c>
      <x:c r="M80" s="4" t="n">
        <x:v>28</x:v>
      </x:c>
      <x:c r="N80" s="4" t="n">
        <x:v>276</x:v>
      </x:c>
      <x:c r="O80" s="4" t="n">
        <x:v>1</x:v>
      </x:c>
      <x:c r="P80" s="1" t="str">
        <x:v>PASS</x:v>
      </x:c>
      <x:c r="Q80" s="4" t="n">
        <x:v>0</x:v>
      </x:c>
      <x:c r="R80" s="1" t="str">
        <x:v>PASS</x:v>
      </x:c>
      <x:c r="S80" s="4" t="n">
        <x:v>0</x:v>
      </x:c>
      <x:c r="T80" s="1" t="str">
        <x:v>NOT_REVEALING</x:v>
      </x:c>
      <x:c r="U80" s="1" t="str">
        <x:v>Closure_14</x:v>
      </x:c>
      <x:c r="V80" s="6" t="n">
        <x:v>148.4</x:v>
      </x:c>
    </x:row>
    <x:row r="81" ht="22" customHeight="1">
      <x:c r="A81" s="1" t="str">
        <x:v>Round1</x:v>
      </x:c>
      <x:c r="B81" s="1" t="str">
        <x:v>Closure</x:v>
      </x:c>
      <x:c r="C81" s="4" t="n">
        <x:v>15</x:v>
      </x:c>
      <x:c r="D81" s="4" t="n">
        <x:v>0</x:v>
      </x:c>
      <x:c r="E81" s="4" t="n">
        <x:v>60</x:v>
      </x:c>
      <x:c r="F81" s="4" t="n">
        <x:v>1651</x:v>
      </x:c>
      <x:c r="G81" s="5" t="n">
        <x:v>0.0316</x:v>
      </x:c>
      <x:c r="H81" s="5" t="n">
        <x:v>0.0542</x:v>
      </x:c>
      <x:c r="I81" s="5" t="n">
        <x:v>0</x:v>
      </x:c>
      <x:c r="J81" s="4" t="n">
        <x:v>285</x:v>
      </x:c>
      <x:c r="K81" s="4" t="n">
        <x:v>9</x:v>
      </x:c>
      <x:c r="L81" s="4" t="n">
        <x:v>166</x:v>
      </x:c>
      <x:c r="M81" s="4" t="n">
        <x:v>9</x:v>
      </x:c>
      <x:c r="N81" s="4" t="n">
        <x:v>119</x:v>
      </x:c>
      <x:c r="O81" s="4" t="n">
        <x:v>0</x:v>
      </x:c>
      <x:c r="P81" s="1" t="str">
        <x:v>PASS</x:v>
      </x:c>
      <x:c r="Q81" s="4" t="n">
        <x:v>0</x:v>
      </x:c>
      <x:c r="R81" s="1" t="str">
        <x:v>PASS</x:v>
      </x:c>
      <x:c r="S81" s="4" t="n">
        <x:v>0</x:v>
      </x:c>
      <x:c r="T81" s="1" t="str">
        <x:v>NOT_REVEALING</x:v>
      </x:c>
      <x:c r="U81" s="1" t="str">
        <x:v>Closure_15</x:v>
      </x:c>
      <x:c r="V81" s="6" t="n">
        <x:v>130.26</x:v>
      </x:c>
    </x:row>
    <x:row r="82" ht="22" customHeight="1">
      <x:c r="A82" s="1" t="str">
        <x:v>Round1</x:v>
      </x:c>
      <x:c r="B82" s="1" t="str">
        <x:v>Closure</x:v>
      </x:c>
      <x:c r="C82" s="4" t="n">
        <x:v>16</x:v>
      </x:c>
      <x:c r="D82" s="4" t="n">
        <x:v>0</x:v>
      </x:c>
      <x:c r="E82" s="4" t="n">
        <x:v>60</x:v>
      </x:c>
      <x:c r="F82" s="4" t="n">
        <x:v>12</x:v>
      </x:c>
      <x:c r="G82" s="5" t="n">
        <x:v>0.0767</x:v>
      </x:c>
      <x:c r="H82" s="5" t="n">
        <x:v>0.12380000000000001</x:v>
      </x:c>
      <x:c r="I82" s="5" t="n">
        <x:v>0</x:v>
      </x:c>
      <x:c r="J82" s="4" t="n">
        <x:v>326</x:v>
      </x:c>
      <x:c r="K82" s="4" t="n">
        <x:v>25</x:v>
      </x:c>
      <x:c r="L82" s="4" t="n">
        <x:v>202</x:v>
      </x:c>
      <x:c r="M82" s="4" t="n">
        <x:v>25</x:v>
      </x:c>
      <x:c r="N82" s="4" t="n">
        <x:v>124</x:v>
      </x:c>
      <x:c r="O82" s="4" t="n">
        <x:v>0</x:v>
      </x:c>
      <x:c r="P82" s="1" t="str">
        <x:v>PASS</x:v>
      </x:c>
      <x:c r="Q82" s="4" t="n">
        <x:v>0</x:v>
      </x:c>
      <x:c r="R82" s="1" t="str">
        <x:v>PASS</x:v>
      </x:c>
      <x:c r="S82" s="4" t="n">
        <x:v>0</x:v>
      </x:c>
      <x:c r="T82" s="1" t="str">
        <x:v>NOT_REVEALING</x:v>
      </x:c>
      <x:c r="U82" s="1" t="str">
        <x:v>Closure_16</x:v>
      </x:c>
      <x:c r="V82" s="6" t="n">
        <x:v>101.76</x:v>
      </x:c>
    </x:row>
    <x:row r="83" ht="22" customHeight="1">
      <x:c r="A83" s="1" t="str">
        <x:v>Round1</x:v>
      </x:c>
      <x:c r="B83" s="1" t="str">
        <x:v>Closure</x:v>
      </x:c>
      <x:c r="C83" s="4" t="n">
        <x:v>17</x:v>
      </x:c>
      <x:c r="D83" s="4" t="n">
        <x:v>0</x:v>
      </x:c>
      <x:c r="E83" s="4" t="n">
        <x:v>60</x:v>
      </x:c>
      <x:c r="F83" s="4" t="n">
        <x:v>11</x:v>
      </x:c>
      <x:c r="G83" s="5" t="n">
        <x:v>0.016</x:v>
      </x:c>
      <x:c r="H83" s="5" t="n">
        <x:v>0.028399999999999998</x:v>
      </x:c>
      <x:c r="I83" s="5" t="n">
        <x:v>0</x:v>
      </x:c>
      <x:c r="J83" s="4" t="n">
        <x:v>1567</x:v>
      </x:c>
      <x:c r="K83" s="4" t="n">
        <x:v>25</x:v>
      </x:c>
      <x:c r="L83" s="4" t="n">
        <x:v>880</x:v>
      </x:c>
      <x:c r="M83" s="4" t="n">
        <x:v>25</x:v>
      </x:c>
      <x:c r="N83" s="4" t="n">
        <x:v>687</x:v>
      </x:c>
      <x:c r="O83" s="4" t="n">
        <x:v>0</x:v>
      </x:c>
      <x:c r="P83" s="1" t="str">
        <x:v>PASS</x:v>
      </x:c>
      <x:c r="Q83" s="4" t="n">
        <x:v>0</x:v>
      </x:c>
      <x:c r="R83" s="1" t="str">
        <x:v>PASS</x:v>
      </x:c>
      <x:c r="S83" s="4" t="n">
        <x:v>0</x:v>
      </x:c>
      <x:c r="T83" s="1" t="str">
        <x:v>NOT_REVEALING</x:v>
      </x:c>
      <x:c r="U83" s="1" t="str">
        <x:v>Closure_17</x:v>
      </x:c>
      <x:c r="V83" s="6" t="n">
        <x:v>104.17</x:v>
      </x:c>
    </x:row>
    <x:row r="84" ht="22" customHeight="1">
      <x:c r="A84" s="1" t="str">
        <x:v>Round1</x:v>
      </x:c>
      <x:c r="B84" s="1" t="str">
        <x:v>Closure</x:v>
      </x:c>
      <x:c r="C84" s="4" t="n">
        <x:v>18</x:v>
      </x:c>
      <x:c r="D84" s="4" t="n">
        <x:v>0</x:v>
      </x:c>
      <x:c r="E84" s="4" t="n">
        <x:v>60</x:v>
      </x:c>
      <x:c r="F84" s="4" t="n">
        <x:v>1521</x:v>
      </x:c>
      <x:c r="G84" s="5" t="n">
        <x:v>0.5415</x:v>
      </x:c>
      <x:c r="H84" s="5" t="n">
        <x:v>0.5993999999999999</x:v>
      </x:c>
      <x:c r="I84" s="5" t="n">
        <x:v>0.4014</x:v>
      </x:c>
      <x:c r="J84" s="4" t="n">
        <x:v>1422</x:v>
      </x:c>
      <x:c r="K84" s="4" t="n">
        <x:v>770</x:v>
      </x:c>
      <x:c r="L84" s="4" t="n">
        <x:v>1006</x:v>
      </x:c>
      <x:c r="M84" s="4" t="n">
        <x:v>603</x:v>
      </x:c>
      <x:c r="N84" s="4" t="n">
        <x:v>416</x:v>
      </x:c>
      <x:c r="O84" s="4" t="n">
        <x:v>167</x:v>
      </x:c>
      <x:c r="P84" s="1" t="str">
        <x:v>FAIL</x:v>
      </x:c>
      <x:c r="Q84" s="4" t="n">
        <x:v>782</x:v>
      </x:c>
      <x:c r="R84" s="1" t="str">
        <x:v>FAIL</x:v>
      </x:c>
      <x:c r="S84" s="4" t="n">
        <x:v>782</x:v>
      </x:c>
      <x:c r="T84" s="1" t="str">
        <x:v>INCONCLUSIVE</x:v>
      </x:c>
      <x:c r="U84" s="1" t="str">
        <x:v>Closure_18</x:v>
      </x:c>
      <x:c r="V84" s="6" t="n">
        <x:v>143.61</x:v>
      </x:c>
    </x:row>
    <x:row r="85" ht="22" customHeight="1">
      <x:c r="A85" s="1" t="str">
        <x:v>Round1</x:v>
      </x:c>
      <x:c r="B85" s="1" t="str">
        <x:v>Closure</x:v>
      </x:c>
      <x:c r="C85" s="4" t="n">
        <x:v>19</x:v>
      </x:c>
      <x:c r="D85" s="4" t="n">
        <x:v>0</x:v>
      </x:c>
      <x:c r="E85" s="4" t="n">
        <x:v>60</x:v>
      </x:c>
      <x:c r="F85" s="4" t="n">
        <x:v>1</x:v>
      </x:c>
      <x:c r="G85" s="5" t="n">
        <x:v>0</x:v>
      </x:c>
      <x:c r="H85" s="5" t="n">
        <x:v>0</x:v>
      </x:c>
      <x:c r="I85" s="5" t="n">
        <x:v>0</x:v>
      </x:c>
      <x:c r="J85" s="4" t="n">
        <x:v>265</x:v>
      </x:c>
      <x:c r="K85" s="4" t="n">
        <x:v>0</x:v>
      </x:c>
      <x:c r="L85" s="4" t="n">
        <x:v>171</x:v>
      </x:c>
      <x:c r="M85" s="4" t="n">
        <x:v>0</x:v>
      </x:c>
      <x:c r="N85" s="4" t="n">
        <x:v>94</x:v>
      </x:c>
      <x:c r="O85" s="4" t="n">
        <x:v>0</x:v>
      </x:c>
      <x:c r="P85" s="1" t="str">
        <x:v>PASS</x:v>
      </x:c>
      <x:c r="Q85" s="4" t="n">
        <x:v>0</x:v>
      </x:c>
      <x:c r="R85" s="1" t="str">
        <x:v>PASS</x:v>
      </x:c>
      <x:c r="S85" s="4" t="n">
        <x:v>0</x:v>
      </x:c>
      <x:c r="T85" s="1" t="str">
        <x:v>NOT_REVEALING</x:v>
      </x:c>
      <x:c r="U85" s="1" t="str">
        <x:v>Closure_19</x:v>
      </x:c>
      <x:c r="V85" s="6" t="n">
        <x:v>102.97</x:v>
      </x:c>
    </x:row>
    <x:row r="86" ht="22" customHeight="1">
      <x:c r="A86" s="1" t="str">
        <x:v>Round1</x:v>
      </x:c>
      <x:c r="B86" s="1" t="str">
        <x:v>Closure</x:v>
      </x:c>
      <x:c r="C86" s="4" t="n">
        <x:v>20</x:v>
      </x:c>
      <x:c r="D86" s="4" t="n">
        <x:v>0</x:v>
      </x:c>
      <x:c r="E86" s="4" t="n">
        <x:v>60</x:v>
      </x:c>
      <x:c r="F86" s="4" t="n">
        <x:v>1732</x:v>
      </x:c>
      <x:c r="G86" s="5" t="n">
        <x:v>0.021099999999999997</x:v>
      </x:c>
      <x:c r="H86" s="5" t="n">
        <x:v>0.0318</x:v>
      </x:c>
      <x:c r="I86" s="5" t="n">
        <x:v>0.005699999999999999</x:v>
      </x:c>
      <x:c r="J86" s="4" t="n">
        <x:v>1280</x:v>
      </x:c>
      <x:c r="K86" s="4" t="n">
        <x:v>27</x:v>
      </x:c>
      <x:c r="L86" s="4" t="n">
        <x:v>754</x:v>
      </x:c>
      <x:c r="M86" s="4" t="n">
        <x:v>24</x:v>
      </x:c>
      <x:c r="N86" s="4" t="n">
        <x:v>526</x:v>
      </x:c>
      <x:c r="O86" s="4" t="n">
        <x:v>3</x:v>
      </x:c>
      <x:c r="P86" s="1" t="str">
        <x:v>PASS</x:v>
      </x:c>
      <x:c r="Q86" s="4" t="n">
        <x:v>0</x:v>
      </x:c>
      <x:c r="R86" s="1" t="str">
        <x:v>PASS</x:v>
      </x:c>
      <x:c r="S86" s="4" t="n">
        <x:v>0</x:v>
      </x:c>
      <x:c r="T86" s="1" t="str">
        <x:v>NOT_REVEALING</x:v>
      </x:c>
      <x:c r="U86" s="1" t="str">
        <x:v>Closure_20</x:v>
      </x:c>
      <x:c r="V86" s="6" t="n">
        <x:v>126.41</x:v>
      </x:c>
    </x:row>
    <x:row r="87" ht="22" customHeight="1">
      <x:c r="A87" s="1" t="str">
        <x:v>Round1</x:v>
      </x:c>
      <x:c r="B87" s="1" t="str">
        <x:v>Closure</x:v>
      </x:c>
      <x:c r="C87" s="4" t="n">
        <x:v>21</x:v>
      </x:c>
      <x:c r="D87" s="4" t="n">
        <x:v>0</x:v>
      </x:c>
      <x:c r="E87" s="4" t="n">
        <x:v>60</x:v>
      </x:c>
      <x:c r="F87" s="4" t="n">
        <x:v>270</x:v>
      </x:c>
      <x:c r="G87" s="5" t="n">
        <x:v>0.10640000000000001</x:v>
      </x:c>
      <x:c r="H87" s="5" t="n">
        <x:v>0.1852</x:v>
      </x:c>
      <x:c r="I87" s="5" t="n">
        <x:v>0</x:v>
      </x:c>
      <x:c r="J87" s="4" t="n">
        <x:v>141</x:v>
      </x:c>
      <x:c r="K87" s="4" t="n">
        <x:v>15</x:v>
      </x:c>
      <x:c r="L87" s="4" t="n">
        <x:v>81</x:v>
      </x:c>
      <x:c r="M87" s="4" t="n">
        <x:v>15</x:v>
      </x:c>
      <x:c r="N87" s="4" t="n">
        <x:v>60</x:v>
      </x:c>
      <x:c r="O87" s="4" t="n">
        <x:v>0</x:v>
      </x:c>
      <x:c r="P87" s="1" t="str">
        <x:v>PASS</x:v>
      </x:c>
      <x:c r="Q87" s="4" t="n">
        <x:v>0</x:v>
      </x:c>
      <x:c r="R87" s="1" t="str">
        <x:v>PASS</x:v>
      </x:c>
      <x:c r="S87" s="4" t="n">
        <x:v>0</x:v>
      </x:c>
      <x:c r="T87" s="1" t="str">
        <x:v>NOT_REVEALING</x:v>
      </x:c>
      <x:c r="U87" s="1" t="str">
        <x:v>Closure_21</x:v>
      </x:c>
      <x:c r="V87" s="6" t="n">
        <x:v>113.19</x:v>
      </x:c>
    </x:row>
    <x:row r="88" ht="22" customHeight="1">
      <x:c r="A88" s="1" t="str">
        <x:v>Round1</x:v>
      </x:c>
      <x:c r="B88" s="1" t="str">
        <x:v>Closure</x:v>
      </x:c>
      <x:c r="C88" s="4" t="n">
        <x:v>22</x:v>
      </x:c>
      <x:c r="D88" s="4" t="n">
        <x:v>0</x:v>
      </x:c>
      <x:c r="E88" s="4" t="n">
        <x:v>60</x:v>
      </x:c>
      <x:c r="F88" s="4" t="n">
        <x:v>270</x:v>
      </x:c>
      <x:c r="G88" s="5" t="n">
        <x:v>0.0949</x:v>
      </x:c>
      <x:c r="H88" s="5" t="n">
        <x:v>0.1744</x:v>
      </x:c>
      <x:c r="I88" s="5" t="n">
        <x:v>0</x:v>
      </x:c>
      <x:c r="J88" s="4" t="n">
        <x:v>158</x:v>
      </x:c>
      <x:c r="K88" s="4" t="n">
        <x:v>15</x:v>
      </x:c>
      <x:c r="L88" s="4" t="n">
        <x:v>86</x:v>
      </x:c>
      <x:c r="M88" s="4" t="n">
        <x:v>15</x:v>
      </x:c>
      <x:c r="N88" s="4" t="n">
        <x:v>72</x:v>
      </x:c>
      <x:c r="O88" s="4" t="n">
        <x:v>0</x:v>
      </x:c>
      <x:c r="P88" s="1" t="str">
        <x:v>PASS</x:v>
      </x:c>
      <x:c r="Q88" s="4" t="n">
        <x:v>0</x:v>
      </x:c>
      <x:c r="R88" s="1" t="str">
        <x:v>PASS</x:v>
      </x:c>
      <x:c r="S88" s="4" t="n">
        <x:v>0</x:v>
      </x:c>
      <x:c r="T88" s="1" t="str">
        <x:v>NOT_REVEALING</x:v>
      </x:c>
      <x:c r="U88" s="1" t="str">
        <x:v>Closure_22</x:v>
      </x:c>
      <x:c r="V88" s="6" t="n">
        <x:v>118.56</x:v>
      </x:c>
    </x:row>
    <x:row r="89" ht="22" customHeight="1">
      <x:c r="A89" s="1" t="str">
        <x:v>Round1</x:v>
      </x:c>
      <x:c r="B89" s="1" t="str">
        <x:v>Closure</x:v>
      </x:c>
      <x:c r="C89" s="4" t="n">
        <x:v>23</x:v>
      </x:c>
      <x:c r="D89" s="4" t="n">
        <x:v>0</x:v>
      </x:c>
      <x:c r="E89" s="4" t="n">
        <x:v>60</x:v>
      </x:c>
      <x:c r="F89" s="4" t="n">
        <x:v>11</x:v>
      </x:c>
      <x:c r="G89" s="5" t="n">
        <x:v>0.0121</x:v>
      </x:c>
      <x:c r="H89" s="5" t="n">
        <x:v>0.0216</x:v>
      </x:c>
      <x:c r="I89" s="5" t="n">
        <x:v>0</x:v>
      </x:c>
      <x:c r="J89" s="4" t="n">
        <x:v>1238</x:v>
      </x:c>
      <x:c r="K89" s="4" t="n">
        <x:v>15</x:v>
      </x:c>
      <x:c r="L89" s="4" t="n">
        <x:v>695</x:v>
      </x:c>
      <x:c r="M89" s="4" t="n">
        <x:v>15</x:v>
      </x:c>
      <x:c r="N89" s="4" t="n">
        <x:v>543</x:v>
      </x:c>
      <x:c r="O89" s="4" t="n">
        <x:v>0</x:v>
      </x:c>
      <x:c r="P89" s="1" t="str">
        <x:v>PASS</x:v>
      </x:c>
      <x:c r="Q89" s="4" t="n">
        <x:v>0</x:v>
      </x:c>
      <x:c r="R89" s="1" t="str">
        <x:v>PASS</x:v>
      </x:c>
      <x:c r="S89" s="4" t="n">
        <x:v>0</x:v>
      </x:c>
      <x:c r="T89" s="1" t="str">
        <x:v>NOT_REVEALING</x:v>
      </x:c>
      <x:c r="U89" s="1" t="str">
        <x:v>Closure_23</x:v>
      </x:c>
      <x:c r="V89" s="6" t="n">
        <x:v>108.71</x:v>
      </x:c>
    </x:row>
    <x:row r="90" ht="22" customHeight="1">
      <x:c r="A90" s="1" t="str">
        <x:v>Round1</x:v>
      </x:c>
      <x:c r="B90" s="1" t="str">
        <x:v>Closure</x:v>
      </x:c>
      <x:c r="C90" s="4" t="n">
        <x:v>24</x:v>
      </x:c>
      <x:c r="D90" s="4" t="n">
        <x:v>0</x:v>
      </x:c>
      <x:c r="E90" s="4" t="n">
        <x:v>60</x:v>
      </x:c>
      <x:c r="F90" s="4" t="n">
        <x:v>12</x:v>
      </x:c>
      <x:c r="G90" s="5" t="n">
        <x:v>0.083</x:v>
      </x:c>
      <x:c r="H90" s="5" t="n">
        <x:v>0.1329</x:v>
      </x:c>
      <x:c r="I90" s="5" t="n">
        <x:v>0</x:v>
      </x:c>
      <x:c r="J90" s="4" t="n">
        <x:v>277</x:v>
      </x:c>
      <x:c r="K90" s="4" t="n">
        <x:v>23</x:v>
      </x:c>
      <x:c r="L90" s="4" t="n">
        <x:v>173</x:v>
      </x:c>
      <x:c r="M90" s="4" t="n">
        <x:v>23</x:v>
      </x:c>
      <x:c r="N90" s="4" t="n">
        <x:v>104</x:v>
      </x:c>
      <x:c r="O90" s="4" t="n">
        <x:v>0</x:v>
      </x:c>
      <x:c r="P90" s="1" t="str">
        <x:v>PASS</x:v>
      </x:c>
      <x:c r="Q90" s="4" t="n">
        <x:v>0</x:v>
      </x:c>
      <x:c r="R90" s="1" t="str">
        <x:v>PASS</x:v>
      </x:c>
      <x:c r="S90" s="4" t="n">
        <x:v>0</x:v>
      </x:c>
      <x:c r="T90" s="1" t="str">
        <x:v>NOT_REVEALING</x:v>
      </x:c>
      <x:c r="U90" s="1" t="str">
        <x:v>Closure_24</x:v>
      </x:c>
      <x:c r="V90" s="6" t="n">
        <x:v>115.61</x:v>
      </x:c>
    </x:row>
    <x:row r="91" ht="22" customHeight="1">
      <x:c r="A91" s="1" t="str">
        <x:v>Round1</x:v>
      </x:c>
      <x:c r="B91" s="1" t="str">
        <x:v>Closure</x:v>
      </x:c>
      <x:c r="C91" s="4" t="n">
        <x:v>25</x:v>
      </x:c>
      <x:c r="D91" s="4" t="n">
        <x:v>0</x:v>
      </x:c>
      <x:c r="E91" s="4" t="n">
        <x:v>60</x:v>
      </x:c>
      <x:c r="F91" s="4" t="n">
        <x:v>8</x:v>
      </x:c>
      <x:c r="G91" s="5" t="n">
        <x:v>0.009899999999999999</x:v>
      </x:c>
      <x:c r="H91" s="5" t="n">
        <x:v>0.0132</x:v>
      </x:c>
      <x:c r="I91" s="5" t="n">
        <x:v>0.005</x:v>
      </x:c>
      <x:c r="J91" s="4" t="n">
        <x:v>1012</x:v>
      </x:c>
      <x:c r="K91" s="4" t="n">
        <x:v>10</x:v>
      </x:c>
      <x:c r="L91" s="4" t="n">
        <x:v>608</x:v>
      </x:c>
      <x:c r="M91" s="4" t="n">
        <x:v>8</x:v>
      </x:c>
      <x:c r="N91" s="4" t="n">
        <x:v>404</x:v>
      </x:c>
      <x:c r="O91" s="4" t="n">
        <x:v>2</x:v>
      </x:c>
      <x:c r="P91" s="1" t="str">
        <x:v>PASS</x:v>
      </x:c>
      <x:c r="Q91" s="4" t="n">
        <x:v>0</x:v>
      </x:c>
      <x:c r="R91" s="1" t="str">
        <x:v>PASS</x:v>
      </x:c>
      <x:c r="S91" s="4" t="n">
        <x:v>0</x:v>
      </x:c>
      <x:c r="T91" s="1" t="str">
        <x:v>NOT_REVEALING</x:v>
      </x:c>
      <x:c r="U91" s="1" t="str">
        <x:v>Closure_25</x:v>
      </x:c>
      <x:c r="V91" s="6" t="n">
        <x:v>115.46</x:v>
      </x:c>
    </x:row>
    <x:row r="92" ht="22" customHeight="1">
      <x:c r="A92" s="1" t="str">
        <x:v>Round1</x:v>
      </x:c>
      <x:c r="B92" s="1" t="str">
        <x:v>Closure</x:v>
      </x:c>
      <x:c r="C92" s="4" t="n">
        <x:v>26</x:v>
      </x:c>
      <x:c r="D92" s="4" t="n">
        <x:v>0</x:v>
      </x:c>
      <x:c r="E92" s="4" t="n">
        <x:v>60</x:v>
      </x:c>
      <x:c r="F92" s="4" t="n">
        <x:v>1874</x:v>
      </x:c>
      <x:c r="G92" s="5" t="n">
        <x:v>0.23809999999999998</x:v>
      </x:c>
      <x:c r="H92" s="5" t="n">
        <x:v>0.271</x:v>
      </x:c>
      <x:c r="I92" s="5" t="n">
        <x:v>0.15</x:v>
      </x:c>
      <x:c r="J92" s="4" t="n">
        <x:v>147</x:v>
      </x:c>
      <x:c r="K92" s="4" t="n">
        <x:v>35</x:v>
      </x:c>
      <x:c r="L92" s="4" t="n">
        <x:v>107</x:v>
      </x:c>
      <x:c r="M92" s="4" t="n">
        <x:v>29</x:v>
      </x:c>
      <x:c r="N92" s="4" t="n">
        <x:v>40</x:v>
      </x:c>
      <x:c r="O92" s="4" t="n">
        <x:v>6</x:v>
      </x:c>
      <x:c r="P92" s="1" t="str">
        <x:v>PASS</x:v>
      </x:c>
      <x:c r="Q92" s="4" t="n">
        <x:v>0</x:v>
      </x:c>
      <x:c r="R92" s="1" t="str">
        <x:v>PASS</x:v>
      </x:c>
      <x:c r="S92" s="4" t="n">
        <x:v>0</x:v>
      </x:c>
      <x:c r="T92" s="1" t="str">
        <x:v>NOT_REVEALING</x:v>
      </x:c>
      <x:c r="U92" s="1" t="str">
        <x:v>Closure_26</x:v>
      </x:c>
      <x:c r="V92" s="6" t="n">
        <x:v>123.92</x:v>
      </x:c>
    </x:row>
    <x:row r="93" ht="22" customHeight="1">
      <x:c r="A93" s="1" t="str">
        <x:v>Round1</x:v>
      </x:c>
      <x:c r="B93" s="1" t="str">
        <x:v>Closure</x:v>
      </x:c>
      <x:c r="C93" s="4" t="n">
        <x:v>27</x:v>
      </x:c>
      <x:c r="D93" s="4" t="n">
        <x:v>0</x:v>
      </x:c>
      <x:c r="E93" s="4" t="n">
        <x:v>60</x:v>
      </x:c>
      <x:c r="F93" s="4" t="n">
        <x:v>3888</x:v>
      </x:c>
      <x:c r="G93" s="5" t="n">
        <x:v>0.7692</x:v>
      </x:c>
      <x:c r="H93" s="5" t="n">
        <x:v>0.7968000000000001</x:v>
      </x:c>
      <x:c r="I93" s="5" t="n">
        <x:v>0.6833</x:v>
      </x:c>
      <x:c r="J93" s="4" t="n">
        <x:v>247</x:v>
      </x:c>
      <x:c r="K93" s="4" t="n">
        <x:v>190</x:v>
      </x:c>
      <x:c r="L93" s="4" t="n">
        <x:v>187</x:v>
      </x:c>
      <x:c r="M93" s="4" t="n">
        <x:v>149</x:v>
      </x:c>
      <x:c r="N93" s="4" t="n">
        <x:v>60</x:v>
      </x:c>
      <x:c r="O93" s="4" t="n">
        <x:v>41</x:v>
      </x:c>
      <x:c r="P93" s="1" t="str">
        <x:v>PASS</x:v>
      </x:c>
      <x:c r="Q93" s="4" t="n">
        <x:v>0</x:v>
      </x:c>
      <x:c r="R93" s="1" t="str">
        <x:v>FAIL</x:v>
      </x:c>
      <x:c r="S93" s="4" t="n">
        <x:v>4</x:v>
      </x:c>
      <x:c r="T93" s="1" t="str">
        <x:v>INCONCLUSIVE</x:v>
      </x:c>
      <x:c r="U93" s="1" t="str">
        <x:v>Closure_27</x:v>
      </x:c>
      <x:c r="V93" s="6" t="n">
        <x:v>170.96</x:v>
      </x:c>
    </x:row>
    <x:row r="94" ht="22" customHeight="1">
      <x:c r="A94" s="1" t="str">
        <x:v>Round1</x:v>
      </x:c>
      <x:c r="B94" s="1" t="str">
        <x:v>Closure</x:v>
      </x:c>
      <x:c r="C94" s="4" t="n">
        <x:v>28</x:v>
      </x:c>
      <x:c r="D94" s="4" t="n">
        <x:v>0</x:v>
      </x:c>
      <x:c r="E94" s="4" t="n">
        <x:v>60</x:v>
      </x:c>
      <x:c r="F94" s="4" t="n">
        <x:v>23</x:v>
      </x:c>
      <x:c r="G94" s="5" t="n">
        <x:v>0.4643</x:v>
      </x:c>
      <x:c r="H94" s="5" t="n">
        <x:v>0.5</x:v>
      </x:c>
      <x:c r="I94" s="5" t="n">
        <x:v>0</x:v>
      </x:c>
      <x:c r="J94" s="4" t="n">
        <x:v>28</x:v>
      </x:c>
      <x:c r="K94" s="4" t="n">
        <x:v>13</x:v>
      </x:c>
      <x:c r="L94" s="4" t="n">
        <x:v>26</x:v>
      </x:c>
      <x:c r="M94" s="4" t="n">
        <x:v>13</x:v>
      </x:c>
      <x:c r="N94" s="4" t="n">
        <x:v>2</x:v>
      </x:c>
      <x:c r="O94" s="4" t="n">
        <x:v>0</x:v>
      </x:c>
      <x:c r="P94" s="1" t="str">
        <x:v>PASS</x:v>
      </x:c>
      <x:c r="Q94" s="4" t="n">
        <x:v>0</x:v>
      </x:c>
      <x:c r="R94" s="1" t="str">
        <x:v>PASS</x:v>
      </x:c>
      <x:c r="S94" s="4" t="n">
        <x:v>0</x:v>
      </x:c>
      <x:c r="T94" s="1" t="str">
        <x:v>NOT_REVEALING</x:v>
      </x:c>
      <x:c r="U94" s="1" t="str">
        <x:v>Closure_28</x:v>
      </x:c>
      <x:c r="V94" s="6" t="n">
        <x:v>98.15</x:v>
      </x:c>
    </x:row>
    <x:row r="95" ht="22" customHeight="1">
      <x:c r="A95" s="1" t="str">
        <x:v>Round1</x:v>
      </x:c>
      <x:c r="B95" s="1" t="str">
        <x:v>Closure</x:v>
      </x:c>
      <x:c r="C95" s="4" t="n">
        <x:v>29</x:v>
      </x:c>
      <x:c r="D95" s="4" t="n">
        <x:v>0</x:v>
      </x:c>
      <x:c r="E95" s="4" t="n">
        <x:v>60</x:v>
      </x:c>
      <x:c r="F95" s="4" t="n">
        <x:v>4</x:v>
      </x:c>
      <x:c r="G95" s="5" t="n">
        <x:v>0.0288</x:v>
      </x:c>
      <x:c r="H95" s="5" t="n">
        <x:v>0.046</x:v>
      </x:c>
      <x:c r="I95" s="5" t="n">
        <x:v>0</x:v>
      </x:c>
      <x:c r="J95" s="4" t="n">
        <x:v>278</x:v>
      </x:c>
      <x:c r="K95" s="4" t="n">
        <x:v>8</x:v>
      </x:c>
      <x:c r="L95" s="4" t="n">
        <x:v>174</x:v>
      </x:c>
      <x:c r="M95" s="4" t="n">
        <x:v>8</x:v>
      </x:c>
      <x:c r="N95" s="4" t="n">
        <x:v>104</x:v>
      </x:c>
      <x:c r="O95" s="4" t="n">
        <x:v>0</x:v>
      </x:c>
      <x:c r="P95" s="1" t="str">
        <x:v>PASS</x:v>
      </x:c>
      <x:c r="Q95" s="4" t="n">
        <x:v>0</x:v>
      </x:c>
      <x:c r="R95" s="1" t="str">
        <x:v>PASS</x:v>
      </x:c>
      <x:c r="S95" s="4" t="n">
        <x:v>0</x:v>
      </x:c>
      <x:c r="T95" s="1" t="str">
        <x:v>NOT_REVEALING</x:v>
      </x:c>
      <x:c r="U95" s="1" t="str">
        <x:v>Closure_29</x:v>
      </x:c>
      <x:c r="V95" s="6" t="n">
        <x:v>97.93</x:v>
      </x:c>
    </x:row>
    <x:row r="96" ht="22" customHeight="1">
      <x:c r="A96" s="1" t="str">
        <x:v>Round1</x:v>
      </x:c>
      <x:c r="B96" s="1" t="str">
        <x:v>Closure</x:v>
      </x:c>
      <x:c r="C96" s="4" t="n">
        <x:v>30</x:v>
      </x:c>
      <x:c r="D96" s="4" t="n">
        <x:v>0</x:v>
      </x:c>
      <x:c r="E96" s="4" t="n">
        <x:v>60</x:v>
      </x:c>
      <x:c r="F96" s="4" t="n">
        <x:v>903</x:v>
      </x:c>
      <x:c r="G96" s="5" t="n">
        <x:v>0.0452</x:v>
      </x:c>
      <x:c r="H96" s="5" t="n">
        <x:v>0.0665</x:v>
      </x:c>
      <x:c r="I96" s="5" t="n">
        <x:v>0.013500000000000002</x:v>
      </x:c>
      <x:c r="J96" s="4" t="n">
        <x:v>553</x:v>
      </x:c>
      <x:c r="K96" s="4" t="n">
        <x:v>25</x:v>
      </x:c>
      <x:c r="L96" s="4" t="n">
        <x:v>331</x:v>
      </x:c>
      <x:c r="M96" s="4" t="n">
        <x:v>22</x:v>
      </x:c>
      <x:c r="N96" s="4" t="n">
        <x:v>222</x:v>
      </x:c>
      <x:c r="O96" s="4" t="n">
        <x:v>3</x:v>
      </x:c>
      <x:c r="P96" s="1" t="str">
        <x:v>FAIL</x:v>
      </x:c>
      <x:c r="Q96" s="4" t="n">
        <x:v>114</x:v>
      </x:c>
      <x:c r="R96" s="1" t="str">
        <x:v>FAIL</x:v>
      </x:c>
      <x:c r="S96" s="4" t="n">
        <x:v>114</x:v>
      </x:c>
      <x:c r="T96" s="1" t="str">
        <x:v>INCONCLUSIVE</x:v>
      </x:c>
      <x:c r="U96" s="1" t="str">
        <x:v>Closure_30</x:v>
      </x:c>
      <x:c r="V96" s="6" t="n">
        <x:v>88.04</x:v>
      </x:c>
    </x:row>
    <x:row r="97" ht="22" customHeight="1">
      <x:c r="A97" s="1" t="str">
        <x:v>Round1</x:v>
      </x:c>
      <x:c r="B97" s="1" t="str">
        <x:v>Closure</x:v>
      </x:c>
      <x:c r="C97" s="4" t="n">
        <x:v>31</x:v>
      </x:c>
      <x:c r="D97" s="4" t="n">
        <x:v>0</x:v>
      </x:c>
      <x:c r="E97" s="4" t="n">
        <x:v>60</x:v>
      </x:c>
      <x:c r="F97" s="4" t="n">
        <x:v>1226</x:v>
      </x:c>
      <x:c r="G97" s="5" t="n">
        <x:v>0.4667</x:v>
      </x:c>
      <x:c r="H97" s="5" t="n">
        <x:v>0.5285</x:v>
      </x:c>
      <x:c r="I97" s="5" t="n">
        <x:v>0.315</x:v>
      </x:c>
      <x:c r="J97" s="4" t="n">
        <x:v>1382</x:v>
      </x:c>
      <x:c r="K97" s="4" t="n">
        <x:v>645</x:v>
      </x:c>
      <x:c r="L97" s="4" t="n">
        <x:v>982</x:v>
      </x:c>
      <x:c r="M97" s="4" t="n">
        <x:v>519</x:v>
      </x:c>
      <x:c r="N97" s="4" t="n">
        <x:v>400</x:v>
      </x:c>
      <x:c r="O97" s="4" t="n">
        <x:v>126</x:v>
      </x:c>
      <x:c r="P97" s="1" t="str">
        <x:v>FAIL</x:v>
      </x:c>
      <x:c r="Q97" s="4" t="n">
        <x:v>66</x:v>
      </x:c>
      <x:c r="R97" s="1" t="str">
        <x:v>FAIL</x:v>
      </x:c>
      <x:c r="S97" s="4" t="n">
        <x:v>66</x:v>
      </x:c>
      <x:c r="T97" s="1" t="str">
        <x:v>INCONCLUSIVE</x:v>
      </x:c>
      <x:c r="U97" s="1" t="str">
        <x:v>Closure_31</x:v>
      </x:c>
      <x:c r="V97" s="6" t="n">
        <x:v>96.82</x:v>
      </x:c>
    </x:row>
    <x:row r="98" ht="22" customHeight="1">
      <x:c r="A98" s="1" t="str">
        <x:v>Round1</x:v>
      </x:c>
      <x:c r="B98" s="1" t="str">
        <x:v>Closure</x:v>
      </x:c>
      <x:c r="C98" s="4" t="n">
        <x:v>32</x:v>
      </x:c>
      <x:c r="D98" s="4" t="n">
        <x:v>0</x:v>
      </x:c>
      <x:c r="E98" s="4" t="n">
        <x:v>60</x:v>
      </x:c>
      <x:c r="F98" s="4" t="n">
        <x:v>5</x:v>
      </x:c>
      <x:c r="G98" s="5" t="n">
        <x:v>0.07139999999999999</x:v>
      </x:c>
      <x:c r="H98" s="5" t="n">
        <x:v>0.08349999999999999</x:v>
      </x:c>
      <x:c r="I98" s="5" t="n">
        <x:v>0.0507</x:v>
      </x:c>
      <x:c r="J98" s="4" t="n">
        <x:v>1653</x:v>
      </x:c>
      <x:c r="K98" s="4" t="n">
        <x:v>118</x:v>
      </x:c>
      <x:c r="L98" s="4" t="n">
        <x:v>1042</x:v>
      </x:c>
      <x:c r="M98" s="4" t="n">
        <x:v>87</x:v>
      </x:c>
      <x:c r="N98" s="4" t="n">
        <x:v>611</x:v>
      </x:c>
      <x:c r="O98" s="4" t="n">
        <x:v>31</x:v>
      </x:c>
      <x:c r="P98" s="1" t="str">
        <x:v>PASS</x:v>
      </x:c>
      <x:c r="Q98" s="4" t="n">
        <x:v>0</x:v>
      </x:c>
      <x:c r="R98" s="1" t="str">
        <x:v>PASS</x:v>
      </x:c>
      <x:c r="S98" s="4" t="n">
        <x:v>0</x:v>
      </x:c>
      <x:c r="T98" s="1" t="str">
        <x:v>NOT_REVEALING</x:v>
      </x:c>
      <x:c r="U98" s="1" t="str">
        <x:v>Closure_32</x:v>
      </x:c>
      <x:c r="V98" s="6" t="n">
        <x:v>76.58</x:v>
      </x:c>
    </x:row>
    <x:row r="99" ht="22" customHeight="1">
      <x:c r="A99" s="1" t="str">
        <x:v>Round1</x:v>
      </x:c>
      <x:c r="B99" s="1" t="str">
        <x:v>Closure</x:v>
      </x:c>
      <x:c r="C99" s="4" t="n">
        <x:v>33</x:v>
      </x:c>
      <x:c r="D99" s="4" t="n">
        <x:v>0</x:v>
      </x:c>
      <x:c r="E99" s="4" t="n">
        <x:v>60</x:v>
      </x:c>
      <x:c r="F99" s="4" t="n">
        <x:v>2275</x:v>
      </x:c>
      <x:c r="G99" s="5" t="n">
        <x:v>0.5152</x:v>
      </x:c>
      <x:c r="H99" s="5" t="n">
        <x:v>0.6019</x:v>
      </x:c>
      <x:c r="I99" s="5" t="n">
        <x:v>0.4111</x:v>
      </x:c>
      <x:c r="J99" s="4" t="n">
        <x:v>396</x:v>
      </x:c>
      <x:c r="K99" s="4" t="n">
        <x:v>204</x:v>
      </x:c>
      <x:c r="L99" s="4" t="n">
        <x:v>216</x:v>
      </x:c>
      <x:c r="M99" s="4" t="n">
        <x:v>130</x:v>
      </x:c>
      <x:c r="N99" s="4" t="n">
        <x:v>180</x:v>
      </x:c>
      <x:c r="O99" s="4" t="n">
        <x:v>74</x:v>
      </x:c>
      <x:c r="P99" s="1" t="str">
        <x:v>PASS</x:v>
      </x:c>
      <x:c r="Q99" s="4" t="n">
        <x:v>0</x:v>
      </x:c>
      <x:c r="R99" s="1" t="str">
        <x:v>FAIL</x:v>
      </x:c>
      <x:c r="S99" s="4" t="n">
        <x:v>6</x:v>
      </x:c>
      <x:c r="T99" s="1" t="str">
        <x:v>INCONCLUSIVE</x:v>
      </x:c>
      <x:c r="U99" s="1" t="str">
        <x:v>Closure_33</x:v>
      </x:c>
      <x:c r="V99" s="6" t="n">
        <x:v>104.7</x:v>
      </x:c>
    </x:row>
    <x:row r="100" ht="22" customHeight="1">
      <x:c r="A100" s="1" t="str">
        <x:v>Round1</x:v>
      </x:c>
      <x:c r="B100" s="1" t="str">
        <x:v>Closure</x:v>
      </x:c>
      <x:c r="C100" s="4" t="n">
        <x:v>34</x:v>
      </x:c>
      <x:c r="D100" s="4" t="n">
        <x:v>0</x:v>
      </x:c>
      <x:c r="E100" s="4" t="n">
        <x:v>60</x:v>
      </x:c>
      <x:c r="F100" s="4" t="n">
        <x:v>1440</x:v>
      </x:c>
      <x:c r="G100" s="5" t="n">
        <x:v>0.08070000000000001</x:v>
      </x:c>
      <x:c r="H100" s="5" t="n">
        <x:v>0.10779999999999999</x:v>
      </x:c>
      <x:c r="I100" s="5" t="n">
        <x:v>0.04</x:v>
      </x:c>
      <x:c r="J100" s="4" t="n">
        <x:v>1438</x:v>
      </x:c>
      <x:c r="K100" s="4" t="n">
        <x:v>116</x:v>
      </x:c>
      <x:c r="L100" s="4" t="n">
        <x:v>863</x:v>
      </x:c>
      <x:c r="M100" s="4" t="n">
        <x:v>93</x:v>
      </x:c>
      <x:c r="N100" s="4" t="n">
        <x:v>575</x:v>
      </x:c>
      <x:c r="O100" s="4" t="n">
        <x:v>23</x:v>
      </x:c>
      <x:c r="P100" s="1" t="str">
        <x:v>PASS</x:v>
      </x:c>
      <x:c r="Q100" s="4" t="n">
        <x:v>0</x:v>
      </x:c>
      <x:c r="R100" s="1" t="str">
        <x:v>PASS</x:v>
      </x:c>
      <x:c r="S100" s="4" t="n">
        <x:v>0</x:v>
      </x:c>
      <x:c r="T100" s="1" t="str">
        <x:v>NOT_REVEALING</x:v>
      </x:c>
      <x:c r="U100" s="1" t="str">
        <x:v>Closure_34</x:v>
      </x:c>
      <x:c r="V100" s="6" t="n">
        <x:v>84.79</x:v>
      </x:c>
    </x:row>
    <x:row r="101" ht="22" customHeight="1">
      <x:c r="A101" s="1" t="str">
        <x:v>Round1</x:v>
      </x:c>
      <x:c r="B101" s="1" t="str">
        <x:v>Closure</x:v>
      </x:c>
      <x:c r="C101" s="4" t="n">
        <x:v>35</x:v>
      </x:c>
      <x:c r="D101" s="4" t="n">
        <x:v>0</x:v>
      </x:c>
      <x:c r="E101" s="4" t="n">
        <x:v>60</x:v>
      </x:c>
      <x:c r="F101" s="4" t="n">
        <x:v>8</x:v>
      </x:c>
      <x:c r="G101" s="5" t="n">
        <x:v>0.0095</x:v>
      </x:c>
      <x:c r="H101" s="5" t="n">
        <x:v>0.0127</x:v>
      </x:c>
      <x:c r="I101" s="5" t="n">
        <x:v>0.004699999999999999</x:v>
      </x:c>
      <x:c r="J101" s="4" t="n">
        <x:v>1050</x:v>
      </x:c>
      <x:c r="K101" s="4" t="n">
        <x:v>10</x:v>
      </x:c>
      <x:c r="L101" s="4" t="n">
        <x:v>628</x:v>
      </x:c>
      <x:c r="M101" s="4" t="n">
        <x:v>8</x:v>
      </x:c>
      <x:c r="N101" s="4" t="n">
        <x:v>422</x:v>
      </x:c>
      <x:c r="O101" s="4" t="n">
        <x:v>2</x:v>
      </x:c>
      <x:c r="P101" s="1" t="str">
        <x:v>PASS</x:v>
      </x:c>
      <x:c r="Q101" s="4" t="n">
        <x:v>0</x:v>
      </x:c>
      <x:c r="R101" s="1" t="str">
        <x:v>PASS</x:v>
      </x:c>
      <x:c r="S101" s="4" t="n">
        <x:v>0</x:v>
      </x:c>
      <x:c r="T101" s="1" t="str">
        <x:v>NOT_REVEALING</x:v>
      </x:c>
      <x:c r="U101" s="1" t="str">
        <x:v>Closure_35</x:v>
      </x:c>
      <x:c r="V101" s="6" t="n">
        <x:v>70.84</x:v>
      </x:c>
    </x:row>
    <x:row r="102" ht="22" customHeight="1">
      <x:c r="A102" s="1" t="str">
        <x:v>Round1</x:v>
      </x:c>
      <x:c r="B102" s="1" t="str">
        <x:v>Closure</x:v>
      </x:c>
      <x:c r="C102" s="4" t="n">
        <x:v>36</x:v>
      </x:c>
      <x:c r="D102" s="4" t="n">
        <x:v>0</x:v>
      </x:c>
      <x:c r="E102" s="4" t="n">
        <x:v>60</x:v>
      </x:c>
      <x:c r="F102" s="4" t="n">
        <x:v>1453</x:v>
      </x:c>
      <x:c r="G102" s="5" t="n">
        <x:v>0.0499</x:v>
      </x:c>
      <x:c r="H102" s="5" t="n">
        <x:v>0.0796</x:v>
      </x:c>
      <x:c r="I102" s="5" t="n">
        <x:v>0.0129</x:v>
      </x:c>
      <x:c r="J102" s="4" t="n">
        <x:v>521</x:v>
      </x:c>
      <x:c r="K102" s="4" t="n">
        <x:v>26</x:v>
      </x:c>
      <x:c r="L102" s="4" t="n">
        <x:v>289</x:v>
      </x:c>
      <x:c r="M102" s="4" t="n">
        <x:v>23</x:v>
      </x:c>
      <x:c r="N102" s="4" t="n">
        <x:v>232</x:v>
      </x:c>
      <x:c r="O102" s="4" t="n">
        <x:v>3</x:v>
      </x:c>
      <x:c r="P102" s="1" t="str">
        <x:v>PASS</x:v>
      </x:c>
      <x:c r="Q102" s="4" t="n">
        <x:v>0</x:v>
      </x:c>
      <x:c r="R102" s="1" t="str">
        <x:v>PASS</x:v>
      </x:c>
      <x:c r="S102" s="4" t="n">
        <x:v>0</x:v>
      </x:c>
      <x:c r="T102" s="1" t="str">
        <x:v>NOT_REVEALING</x:v>
      </x:c>
      <x:c r="U102" s="1" t="str">
        <x:v>Closure_36</x:v>
      </x:c>
      <x:c r="V102" s="6" t="n">
        <x:v>86.41</x:v>
      </x:c>
    </x:row>
    <x:row r="103" ht="22" customHeight="1">
      <x:c r="A103" s="1" t="str">
        <x:v>Round1</x:v>
      </x:c>
      <x:c r="B103" s="1" t="str">
        <x:v>Closure</x:v>
      </x:c>
      <x:c r="C103" s="4" t="n">
        <x:v>37</x:v>
      </x:c>
      <x:c r="D103" s="4" t="n">
        <x:v>0</x:v>
      </x:c>
      <x:c r="E103" s="4" t="n">
        <x:v>60</x:v>
      </x:c>
      <x:c r="F103" s="4" t="n">
        <x:v>1190</x:v>
      </x:c>
      <x:c r="G103" s="5" t="n">
        <x:v>0.0682</x:v>
      </x:c>
      <x:c r="H103" s="5" t="n">
        <x:v>0.08289999999999999</x:v>
      </x:c>
      <x:c r="I103" s="5" t="n">
        <x:v>0.0364</x:v>
      </x:c>
      <x:c r="J103" s="4" t="n">
        <x:v>1217</x:v>
      </x:c>
      <x:c r="K103" s="4" t="n">
        <x:v>83</x:v>
      </x:c>
      <x:c r="L103" s="4" t="n">
        <x:v>832</x:v>
      </x:c>
      <x:c r="M103" s="4" t="n">
        <x:v>69</x:v>
      </x:c>
      <x:c r="N103" s="4" t="n">
        <x:v>385</x:v>
      </x:c>
      <x:c r="O103" s="4" t="n">
        <x:v>14</x:v>
      </x:c>
      <x:c r="P103" s="1" t="str">
        <x:v>PASS</x:v>
      </x:c>
      <x:c r="Q103" s="4" t="n">
        <x:v>0</x:v>
      </x:c>
      <x:c r="R103" s="1" t="str">
        <x:v>PASS</x:v>
      </x:c>
      <x:c r="S103" s="4" t="n">
        <x:v>0</x:v>
      </x:c>
      <x:c r="T103" s="1" t="str">
        <x:v>NOT_REVEALING</x:v>
      </x:c>
      <x:c r="U103" s="1" t="str">
        <x:v>Closure_37</x:v>
      </x:c>
      <x:c r="V103" s="6" t="n">
        <x:v>89.82</x:v>
      </x:c>
    </x:row>
    <x:row r="104" ht="22" customHeight="1">
      <x:c r="A104" s="1" t="str">
        <x:v>Round1</x:v>
      </x:c>
      <x:c r="B104" s="1" t="str">
        <x:v>Closure</x:v>
      </x:c>
      <x:c r="C104" s="4" t="n">
        <x:v>38</x:v>
      </x:c>
      <x:c r="D104" s="4" t="n">
        <x:v>0</x:v>
      </x:c>
      <x:c r="E104" s="4" t="n">
        <x:v>60</x:v>
      </x:c>
      <x:c r="F104" s="4" t="n">
        <x:v>39</x:v>
      </x:c>
      <x:c r="G104" s="5" t="n">
        <x:v>0.056799999999999996</x:v>
      </x:c>
      <x:c r="H104" s="5" t="n">
        <x:v>0.0268</x:v>
      </x:c>
      <x:c r="I104" s="5" t="n">
        <x:v>0.1094</x:v>
      </x:c>
      <x:c r="J104" s="4" t="n">
        <x:v>176</x:v>
      </x:c>
      <x:c r="K104" s="4" t="n">
        <x:v>10</x:v>
      </x:c>
      <x:c r="L104" s="4" t="n">
        <x:v>112</x:v>
      </x:c>
      <x:c r="M104" s="4" t="n">
        <x:v>3</x:v>
      </x:c>
      <x:c r="N104" s="4" t="n">
        <x:v>64</x:v>
      </x:c>
      <x:c r="O104" s="4" t="n">
        <x:v>7</x:v>
      </x:c>
      <x:c r="P104" s="1" t="str">
        <x:v>PASS</x:v>
      </x:c>
      <x:c r="Q104" s="4" t="n">
        <x:v>0</x:v>
      </x:c>
      <x:c r="R104" s="1" t="str">
        <x:v>PASS</x:v>
      </x:c>
      <x:c r="S104" s="4" t="n">
        <x:v>0</x:v>
      </x:c>
      <x:c r="T104" s="1" t="str">
        <x:v>NOT_REVEALING</x:v>
      </x:c>
      <x:c r="U104" s="1" t="str">
        <x:v>Closure_38</x:v>
      </x:c>
      <x:c r="V104" s="6" t="n">
        <x:v>70.29</x:v>
      </x:c>
    </x:row>
    <x:row r="105" ht="22" customHeight="1">
      <x:c r="A105" s="1" t="str">
        <x:v>Round1</x:v>
      </x:c>
      <x:c r="B105" s="1" t="str">
        <x:v>Closure</x:v>
      </x:c>
      <x:c r="C105" s="4" t="n">
        <x:v>39</x:v>
      </x:c>
      <x:c r="D105" s="4" t="n">
        <x:v>0</x:v>
      </x:c>
      <x:c r="E105" s="4" t="n">
        <x:v>60</x:v>
      </x:c>
      <x:c r="F105" s="4" t="n">
        <x:v>2300</x:v>
      </x:c>
      <x:c r="G105" s="5" t="n">
        <x:v>0.5307999999999999</x:v>
      </x:c>
      <x:c r="H105" s="5" t="n">
        <x:v>0.6146</x:v>
      </x:c>
      <x:c r="I105" s="5" t="n">
        <x:v>0.4286</x:v>
      </x:c>
      <x:c r="J105" s="4" t="n">
        <x:v>373</x:v>
      </x:c>
      <x:c r="K105" s="4" t="n">
        <x:v>198</x:v>
      </x:c>
      <x:c r="L105" s="4" t="n">
        <x:v>205</x:v>
      </x:c>
      <x:c r="M105" s="4" t="n">
        <x:v>126</x:v>
      </x:c>
      <x:c r="N105" s="4" t="n">
        <x:v>168</x:v>
      </x:c>
      <x:c r="O105" s="4" t="n">
        <x:v>72</x:v>
      </x:c>
      <x:c r="P105" s="1" t="str">
        <x:v>PASS</x:v>
      </x:c>
      <x:c r="Q105" s="4" t="n">
        <x:v>0</x:v>
      </x:c>
      <x:c r="R105" s="1" t="str">
        <x:v>PASS</x:v>
      </x:c>
      <x:c r="S105" s="4" t="n">
        <x:v>0</x:v>
      </x:c>
      <x:c r="T105" s="1" t="str">
        <x:v>NOT_REVEALING</x:v>
      </x:c>
      <x:c r="U105" s="1" t="str">
        <x:v>Closure_39</x:v>
      </x:c>
      <x:c r="V105" s="6" t="n">
        <x:v>108.26</x:v>
      </x:c>
    </x:row>
    <x:row r="106" ht="22" customHeight="1">
      <x:c r="A106" s="1" t="str">
        <x:v>Round1</x:v>
      </x:c>
      <x:c r="B106" s="1" t="str">
        <x:v>Closure</x:v>
      </x:c>
      <x:c r="C106" s="4" t="n">
        <x:v>40</x:v>
      </x:c>
      <x:c r="D106" s="4" t="n">
        <x:v>0</x:v>
      </x:c>
      <x:c r="E106" s="4" t="n">
        <x:v>60</x:v>
      </x:c>
      <x:c r="F106" s="4" t="n">
        <x:v>1330</x:v>
      </x:c>
      <x:c r="G106" s="5" t="n">
        <x:v>0.051399999999999994</x:v>
      </x:c>
      <x:c r="H106" s="5" t="n">
        <x:v>0.0787</x:v>
      </x:c>
      <x:c r="I106" s="5" t="n">
        <x:v>0.0069</x:v>
      </x:c>
      <x:c r="J106" s="4" t="n">
        <x:v>1148</x:v>
      </x:c>
      <x:c r="K106" s="4" t="n">
        <x:v>59</x:v>
      </x:c>
      <x:c r="L106" s="4" t="n">
        <x:v>712</x:v>
      </x:c>
      <x:c r="M106" s="4" t="n">
        <x:v>56</x:v>
      </x:c>
      <x:c r="N106" s="4" t="n">
        <x:v>436</x:v>
      </x:c>
      <x:c r="O106" s="4" t="n">
        <x:v>3</x:v>
      </x:c>
      <x:c r="P106" s="1" t="str">
        <x:v>PASS</x:v>
      </x:c>
      <x:c r="Q106" s="4" t="n">
        <x:v>0</x:v>
      </x:c>
      <x:c r="R106" s="1" t="str">
        <x:v>PASS</x:v>
      </x:c>
      <x:c r="S106" s="4" t="n">
        <x:v>0</x:v>
      </x:c>
      <x:c r="T106" s="1" t="str">
        <x:v>NOT_REVEALING</x:v>
      </x:c>
      <x:c r="U106" s="1" t="str">
        <x:v>Closure_40</x:v>
      </x:c>
      <x:c r="V106" s="6" t="n">
        <x:v>86.94</x:v>
      </x:c>
    </x:row>
    <x:row r="107" ht="22" customHeight="1">
      <x:c r="A107" s="1" t="str">
        <x:v>Round1</x:v>
      </x:c>
      <x:c r="B107" s="1" t="str">
        <x:v>Closure</x:v>
      </x:c>
      <x:c r="C107" s="4" t="n">
        <x:v>41</x:v>
      </x:c>
      <x:c r="D107" s="4" t="n">
        <x:v>0</x:v>
      </x:c>
      <x:c r="E107" s="4" t="n">
        <x:v>60</x:v>
      </x:c>
      <x:c r="F107" s="4" t="n">
        <x:v>1917</x:v>
      </x:c>
      <x:c r="G107" s="5" t="n">
        <x:v>0.092</x:v>
      </x:c>
      <x:c r="H107" s="5" t="n">
        <x:v>0.1458</x:v>
      </x:c>
      <x:c r="I107" s="5" t="n">
        <x:v>0.0167</x:v>
      </x:c>
      <x:c r="J107" s="4" t="n">
        <x:v>576</x:v>
      </x:c>
      <x:c r="K107" s="4" t="n">
        <x:v>53</x:v>
      </x:c>
      <x:c r="L107" s="4" t="n">
        <x:v>336</x:v>
      </x:c>
      <x:c r="M107" s="4" t="n">
        <x:v>49</x:v>
      </x:c>
      <x:c r="N107" s="4" t="n">
        <x:v>240</x:v>
      </x:c>
      <x:c r="O107" s="4" t="n">
        <x:v>4</x:v>
      </x:c>
      <x:c r="P107" s="1" t="str">
        <x:v>PASS</x:v>
      </x:c>
      <x:c r="Q107" s="4" t="n">
        <x:v>0</x:v>
      </x:c>
      <x:c r="R107" s="1" t="str">
        <x:v>PASS</x:v>
      </x:c>
      <x:c r="S107" s="4" t="n">
        <x:v>0</x:v>
      </x:c>
      <x:c r="T107" s="1" t="str">
        <x:v>NOT_REVEALING</x:v>
      </x:c>
      <x:c r="U107" s="1" t="str">
        <x:v>Closure_41</x:v>
      </x:c>
      <x:c r="V107" s="6" t="n">
        <x:v>84.34</x:v>
      </x:c>
    </x:row>
    <x:row r="108" ht="22" customHeight="1">
      <x:c r="A108" s="1" t="str">
        <x:v>Round1</x:v>
      </x:c>
      <x:c r="B108" s="1" t="str">
        <x:v>Closure</x:v>
      </x:c>
      <x:c r="C108" s="4" t="n">
        <x:v>42</x:v>
      </x:c>
      <x:c r="D108" s="4" t="n">
        <x:v>0</x:v>
      </x:c>
      <x:c r="E108" s="4" t="n">
        <x:v>60</x:v>
      </x:c>
      <x:c r="F108" s="4" t="n">
        <x:v>5</x:v>
      </x:c>
      <x:c r="G108" s="5" t="n">
        <x:v>0.0296</x:v>
      </x:c>
      <x:c r="H108" s="5" t="n">
        <x:v>0.0418</x:v>
      </x:c>
      <x:c r="I108" s="5" t="n">
        <x:v>0.0036</x:v>
      </x:c>
      <x:c r="J108" s="4" t="n">
        <x:v>877</x:v>
      </x:c>
      <x:c r="K108" s="4" t="n">
        <x:v>26</x:v>
      </x:c>
      <x:c r="L108" s="4" t="n">
        <x:v>598</x:v>
      </x:c>
      <x:c r="M108" s="4" t="n">
        <x:v>25</x:v>
      </x:c>
      <x:c r="N108" s="4" t="n">
        <x:v>279</x:v>
      </x:c>
      <x:c r="O108" s="4" t="n">
        <x:v>1</x:v>
      </x:c>
      <x:c r="P108" s="1" t="str">
        <x:v>PASS</x:v>
      </x:c>
      <x:c r="Q108" s="4" t="n">
        <x:v>0</x:v>
      </x:c>
      <x:c r="R108" s="1" t="str">
        <x:v>PASS</x:v>
      </x:c>
      <x:c r="S108" s="4" t="n">
        <x:v>0</x:v>
      </x:c>
      <x:c r="T108" s="1" t="str">
        <x:v>NOT_REVEALING</x:v>
      </x:c>
      <x:c r="U108" s="1" t="str">
        <x:v>Closure_42</x:v>
      </x:c>
      <x:c r="V108" s="6" t="n">
        <x:v>71.54</x:v>
      </x:c>
    </x:row>
    <x:row r="109" ht="22" customHeight="1">
      <x:c r="A109" s="1" t="str">
        <x:v>Round1</x:v>
      </x:c>
      <x:c r="B109" s="1" t="str">
        <x:v>Closure</x:v>
      </x:c>
      <x:c r="C109" s="4" t="n">
        <x:v>43</x:v>
      </x:c>
      <x:c r="D109" s="4" t="n">
        <x:v>0</x:v>
      </x:c>
      <x:c r="E109" s="4" t="n">
        <x:v>60</x:v>
      </x:c>
      <x:c r="F109" s="4" t="n">
        <x:v>11</x:v>
      </x:c>
      <x:c r="G109" s="5" t="n">
        <x:v>0.0168</x:v>
      </x:c>
      <x:c r="H109" s="5" t="n">
        <x:v>0.0297</x:v>
      </x:c>
      <x:c r="I109" s="5" t="n">
        <x:v>0</x:v>
      </x:c>
      <x:c r="J109" s="4" t="n">
        <x:v>1489</x:v>
      </x:c>
      <x:c r="K109" s="4" t="n">
        <x:v>25</x:v>
      </x:c>
      <x:c r="L109" s="4" t="n">
        <x:v>842</x:v>
      </x:c>
      <x:c r="M109" s="4" t="n">
        <x:v>25</x:v>
      </x:c>
      <x:c r="N109" s="4" t="n">
        <x:v>647</x:v>
      </x:c>
      <x:c r="O109" s="4" t="n">
        <x:v>0</x:v>
      </x:c>
      <x:c r="P109" s="1" t="str">
        <x:v>PASS</x:v>
      </x:c>
      <x:c r="Q109" s="4" t="n">
        <x:v>0</x:v>
      </x:c>
      <x:c r="R109" s="1" t="str">
        <x:v>PASS</x:v>
      </x:c>
      <x:c r="S109" s="4" t="n">
        <x:v>0</x:v>
      </x:c>
      <x:c r="T109" s="1" t="str">
        <x:v>NOT_REVEALING</x:v>
      </x:c>
      <x:c r="U109" s="1" t="str">
        <x:v>Closure_43</x:v>
      </x:c>
      <x:c r="V109" s="6" t="n">
        <x:v>70.39</x:v>
      </x:c>
    </x:row>
    <x:row r="110" ht="22" customHeight="1">
      <x:c r="A110" s="1" t="str">
        <x:v>Round1</x:v>
      </x:c>
      <x:c r="B110" s="1" t="str">
        <x:v>Closure</x:v>
      </x:c>
      <x:c r="C110" s="4" t="n">
        <x:v>44</x:v>
      </x:c>
      <x:c r="D110" s="4" t="n">
        <x:v>0</x:v>
      </x:c>
      <x:c r="E110" s="4" t="n">
        <x:v>60</x:v>
      </x:c>
      <x:c r="F110" s="4" t="n">
        <x:v>39</x:v>
      </x:c>
      <x:c r="G110" s="5" t="n">
        <x:v>0.0592</x:v>
      </x:c>
      <x:c r="H110" s="5" t="n">
        <x:v>0.0275</x:v>
      </x:c>
      <x:c r="I110" s="5" t="n">
        <x:v>0.1167</x:v>
      </x:c>
      <x:c r="J110" s="4" t="n">
        <x:v>169</x:v>
      </x:c>
      <x:c r="K110" s="4" t="n">
        <x:v>10</x:v>
      </x:c>
      <x:c r="L110" s="4" t="n">
        <x:v>109</x:v>
      </x:c>
      <x:c r="M110" s="4" t="n">
        <x:v>3</x:v>
      </x:c>
      <x:c r="N110" s="4" t="n">
        <x:v>60</x:v>
      </x:c>
      <x:c r="O110" s="4" t="n">
        <x:v>7</x:v>
      </x:c>
      <x:c r="P110" s="1" t="str">
        <x:v>PASS</x:v>
      </x:c>
      <x:c r="Q110" s="4" t="n">
        <x:v>0</x:v>
      </x:c>
      <x:c r="R110" s="1" t="str">
        <x:v>PASS</x:v>
      </x:c>
      <x:c r="S110" s="4" t="n">
        <x:v>0</x:v>
      </x:c>
      <x:c r="T110" s="1" t="str">
        <x:v>NOT_REVEALING</x:v>
      </x:c>
      <x:c r="U110" s="1" t="str">
        <x:v>Closure_44</x:v>
      </x:c>
      <x:c r="V110" s="6" t="n">
        <x:v>70.06</x:v>
      </x:c>
    </x:row>
    <x:row r="111" ht="22" customHeight="1">
      <x:c r="A111" s="1" t="str">
        <x:v>Round1</x:v>
      </x:c>
      <x:c r="B111" s="1" t="str">
        <x:v>Closure</x:v>
      </x:c>
      <x:c r="C111" s="4" t="n">
        <x:v>45</x:v>
      </x:c>
      <x:c r="D111" s="4" t="n">
        <x:v>0</x:v>
      </x:c>
      <x:c r="E111" s="4" t="n">
        <x:v>60</x:v>
      </x:c>
      <x:c r="F111" s="4" t="n">
        <x:v>9</x:v>
      </x:c>
      <x:c r="G111" s="5" t="n">
        <x:v>0.0195</x:v>
      </x:c>
      <x:c r="H111" s="5" t="n">
        <x:v>0.0339</x:v>
      </x:c>
      <x:c r="I111" s="5" t="n">
        <x:v>0</x:v>
      </x:c>
      <x:c r="J111" s="4" t="n">
        <x:v>665</x:v>
      </x:c>
      <x:c r="K111" s="4" t="n">
        <x:v>13</x:v>
      </x:c>
      <x:c r="L111" s="4" t="n">
        <x:v>384</x:v>
      </x:c>
      <x:c r="M111" s="4" t="n">
        <x:v>13</x:v>
      </x:c>
      <x:c r="N111" s="4" t="n">
        <x:v>281</x:v>
      </x:c>
      <x:c r="O111" s="4" t="n">
        <x:v>0</x:v>
      </x:c>
      <x:c r="P111" s="1" t="str">
        <x:v>PASS</x:v>
      </x:c>
      <x:c r="Q111" s="4" t="n">
        <x:v>0</x:v>
      </x:c>
      <x:c r="R111" s="1" t="str">
        <x:v>PASS</x:v>
      </x:c>
      <x:c r="S111" s="4" t="n">
        <x:v>0</x:v>
      </x:c>
      <x:c r="T111" s="1" t="str">
        <x:v>NOT_REVEALING</x:v>
      </x:c>
      <x:c r="U111" s="1" t="str">
        <x:v>Closure_45</x:v>
      </x:c>
      <x:c r="V111" s="6" t="n">
        <x:v>69.12</x:v>
      </x:c>
    </x:row>
    <x:row r="112" ht="22" customHeight="1">
      <x:c r="A112" s="1" t="str">
        <x:v>Round1</x:v>
      </x:c>
      <x:c r="B112" s="1" t="str">
        <x:v>Closure</x:v>
      </x:c>
      <x:c r="C112" s="4" t="n">
        <x:v>46</x:v>
      </x:c>
      <x:c r="D112" s="4" t="n">
        <x:v>0</x:v>
      </x:c>
      <x:c r="E112" s="4" t="n">
        <x:v>60</x:v>
      </x:c>
      <x:c r="F112" s="4" t="n">
        <x:v>1204</x:v>
      </x:c>
      <x:c r="G112" s="5" t="n">
        <x:v>0.0106</x:v>
      </x:c>
      <x:c r="H112" s="5" t="n">
        <x:v>0.0183</x:v>
      </x:c>
      <x:c r="I112" s="5" t="n">
        <x:v>0</x:v>
      </x:c>
      <x:c r="J112" s="4" t="n">
        <x:v>189</x:v>
      </x:c>
      <x:c r="K112" s="4" t="n">
        <x:v>2</x:v>
      </x:c>
      <x:c r="L112" s="4" t="n">
        <x:v>109</x:v>
      </x:c>
      <x:c r="M112" s="4" t="n">
        <x:v>2</x:v>
      </x:c>
      <x:c r="N112" s="4" t="n">
        <x:v>80</x:v>
      </x:c>
      <x:c r="O112" s="4" t="n">
        <x:v>0</x:v>
      </x:c>
      <x:c r="P112" s="1" t="str">
        <x:v>PASS</x:v>
      </x:c>
      <x:c r="Q112" s="4" t="n">
        <x:v>0</x:v>
      </x:c>
      <x:c r="R112" s="1" t="str">
        <x:v>PASS</x:v>
      </x:c>
      <x:c r="S112" s="4" t="n">
        <x:v>0</x:v>
      </x:c>
      <x:c r="T112" s="1" t="str">
        <x:v>NOT_REVEALING</x:v>
      </x:c>
      <x:c r="U112" s="1" t="str">
        <x:v>Closure_46</x:v>
      </x:c>
      <x:c r="V112" s="6" t="n">
        <x:v>75.27</x:v>
      </x:c>
    </x:row>
    <x:row r="113" ht="22" customHeight="1">
      <x:c r="A113" s="1" t="str">
        <x:v>Round1</x:v>
      </x:c>
      <x:c r="B113" s="1" t="str">
        <x:v>Closure</x:v>
      </x:c>
      <x:c r="C113" s="4" t="n">
        <x:v>47</x:v>
      </x:c>
      <x:c r="D113" s="4" t="n">
        <x:v>0</x:v>
      </x:c>
      <x:c r="E113" s="4" t="n">
        <x:v>60</x:v>
      </x:c>
      <x:c r="F113" s="4" t="n">
        <x:v>2181</x:v>
      </x:c>
      <x:c r="G113" s="5" t="n">
        <x:v>0.13269999999999998</x:v>
      </x:c>
      <x:c r="H113" s="5" t="n">
        <x:v>0.1844</x:v>
      </x:c>
      <x:c r="I113" s="5" t="n">
        <x:v>0.018500000000000003</x:v>
      </x:c>
      <x:c r="J113" s="4" t="n">
        <x:v>520</x:v>
      </x:c>
      <x:c r="K113" s="4" t="n">
        <x:v>69</x:v>
      </x:c>
      <x:c r="L113" s="4" t="n">
        <x:v>358</x:v>
      </x:c>
      <x:c r="M113" s="4" t="n">
        <x:v>66</x:v>
      </x:c>
      <x:c r="N113" s="4" t="n">
        <x:v>162</x:v>
      </x:c>
      <x:c r="O113" s="4" t="n">
        <x:v>3</x:v>
      </x:c>
      <x:c r="P113" s="1" t="str">
        <x:v>FAIL</x:v>
      </x:c>
      <x:c r="Q113" s="4" t="n">
        <x:v>1108</x:v>
      </x:c>
      <x:c r="R113" s="1" t="str">
        <x:v>FAIL</x:v>
      </x:c>
      <x:c r="S113" s="4" t="n">
        <x:v>1108</x:v>
      </x:c>
      <x:c r="T113" s="1" t="str">
        <x:v>INCONCLUSIVE</x:v>
      </x:c>
      <x:c r="U113" s="1" t="str">
        <x:v>Closure_47</x:v>
      </x:c>
      <x:c r="V113" s="6" t="n">
        <x:v>87.59</x:v>
      </x:c>
    </x:row>
    <x:row r="114" ht="22" customHeight="1">
      <x:c r="A114" s="1" t="str">
        <x:v>Round1</x:v>
      </x:c>
      <x:c r="B114" s="1" t="str">
        <x:v>Closure</x:v>
      </x:c>
      <x:c r="C114" s="4" t="n">
        <x:v>48</x:v>
      </x:c>
      <x:c r="D114" s="4" t="n">
        <x:v>0</x:v>
      </x:c>
      <x:c r="E114" s="4" t="n">
        <x:v>60</x:v>
      </x:c>
      <x:c r="F114" s="4" t="n">
        <x:v>11</x:v>
      </x:c>
      <x:c r="G114" s="5" t="n">
        <x:v>0.017</x:v>
      </x:c>
      <x:c r="H114" s="5" t="n">
        <x:v>0.03</x:v>
      </x:c>
      <x:c r="I114" s="5" t="n">
        <x:v>0</x:v>
      </x:c>
      <x:c r="J114" s="4" t="n">
        <x:v>1473</x:v>
      </x:c>
      <x:c r="K114" s="4" t="n">
        <x:v>25</x:v>
      </x:c>
      <x:c r="L114" s="4" t="n">
        <x:v>832</x:v>
      </x:c>
      <x:c r="M114" s="4" t="n">
        <x:v>25</x:v>
      </x:c>
      <x:c r="N114" s="4" t="n">
        <x:v>641</x:v>
      </x:c>
      <x:c r="O114" s="4" t="n">
        <x:v>0</x:v>
      </x:c>
      <x:c r="P114" s="1" t="str">
        <x:v>PASS</x:v>
      </x:c>
      <x:c r="Q114" s="4" t="n">
        <x:v>0</x:v>
      </x:c>
      <x:c r="R114" s="1" t="str">
        <x:v>PASS</x:v>
      </x:c>
      <x:c r="S114" s="4" t="n">
        <x:v>0</x:v>
      </x:c>
      <x:c r="T114" s="1" t="str">
        <x:v>NOT_REVEALING</x:v>
      </x:c>
      <x:c r="U114" s="1" t="str">
        <x:v>Closure_48</x:v>
      </x:c>
      <x:c r="V114" s="6" t="n">
        <x:v>70.91</x:v>
      </x:c>
    </x:row>
    <x:row r="115" ht="22" customHeight="1">
      <x:c r="A115" s="1" t="str">
        <x:v>Round1</x:v>
      </x:c>
      <x:c r="B115" s="1" t="str">
        <x:v>Closure</x:v>
      </x:c>
      <x:c r="C115" s="4" t="n">
        <x:v>49</x:v>
      </x:c>
      <x:c r="D115" s="4" t="n">
        <x:v>0</x:v>
      </x:c>
      <x:c r="E115" s="4" t="n">
        <x:v>60</x:v>
      </x:c>
      <x:c r="F115" s="4" t="n">
        <x:v>2082</x:v>
      </x:c>
      <x:c r="G115" s="5" t="n">
        <x:v>0.30870000000000003</x:v>
      </x:c>
      <x:c r="H115" s="5" t="n">
        <x:v>0.3782</x:v>
      </x:c>
      <x:c r="I115" s="5" t="n">
        <x:v>0.18100000000000002</x:v>
      </x:c>
      <x:c r="J115" s="4" t="n">
        <x:v>298</x:v>
      </x:c>
      <x:c r="K115" s="4" t="n">
        <x:v>92</x:v>
      </x:c>
      <x:c r="L115" s="4" t="n">
        <x:v>193</x:v>
      </x:c>
      <x:c r="M115" s="4" t="n">
        <x:v>73</x:v>
      </x:c>
      <x:c r="N115" s="4" t="n">
        <x:v>105</x:v>
      </x:c>
      <x:c r="O115" s="4" t="n">
        <x:v>19</x:v>
      </x:c>
      <x:c r="P115" s="1" t="str">
        <x:v>PASS</x:v>
      </x:c>
      <x:c r="Q115" s="4" t="n">
        <x:v>0</x:v>
      </x:c>
      <x:c r="R115" s="1" t="str">
        <x:v>PASS</x:v>
      </x:c>
      <x:c r="S115" s="4" t="n">
        <x:v>0</x:v>
      </x:c>
      <x:c r="T115" s="1" t="str">
        <x:v>NOT_REVEALING</x:v>
      </x:c>
      <x:c r="U115" s="1" t="str">
        <x:v>Closure_49</x:v>
      </x:c>
      <x:c r="V115" s="6" t="n">
        <x:v>82.99</x:v>
      </x:c>
    </x:row>
    <x:row r="116" ht="22" customHeight="1">
      <x:c r="A116" s="1" t="str">
        <x:v>Round1</x:v>
      </x:c>
      <x:c r="B116" s="1" t="str">
        <x:v>Closure</x:v>
      </x:c>
      <x:c r="C116" s="4" t="n">
        <x:v>50</x:v>
      </x:c>
      <x:c r="D116" s="4" t="n">
        <x:v>0</x:v>
      </x:c>
      <x:c r="E116" s="4" t="n">
        <x:v>60</x:v>
      </x:c>
      <x:c r="F116" s="4" t="n">
        <x:v>3</x:v>
      </x:c>
      <x:c r="G116" s="5" t="n">
        <x:v>0.0054</x:v>
      </x:c>
      <x:c r="H116" s="5" t="n">
        <x:v>0.0097</x:v>
      </x:c>
      <x:c r="I116" s="5" t="n">
        <x:v>0</x:v>
      </x:c>
      <x:c r="J116" s="4" t="n">
        <x:v>553</x:v>
      </x:c>
      <x:c r="K116" s="4" t="n">
        <x:v>3</x:v>
      </x:c>
      <x:c r="L116" s="4" t="n">
        <x:v>308</x:v>
      </x:c>
      <x:c r="M116" s="4" t="n">
        <x:v>3</x:v>
      </x:c>
      <x:c r="N116" s="4" t="n">
        <x:v>245</x:v>
      </x:c>
      <x:c r="O116" s="4" t="n">
        <x:v>0</x:v>
      </x:c>
      <x:c r="P116" s="1" t="str">
        <x:v>PASS</x:v>
      </x:c>
      <x:c r="Q116" s="4" t="n">
        <x:v>0</x:v>
      </x:c>
      <x:c r="R116" s="1" t="str">
        <x:v>PASS</x:v>
      </x:c>
      <x:c r="S116" s="4" t="n">
        <x:v>0</x:v>
      </x:c>
      <x:c r="T116" s="1" t="str">
        <x:v>NOT_REVEALING</x:v>
      </x:c>
      <x:c r="U116" s="1" t="str">
        <x:v>Closure_50</x:v>
      </x:c>
      <x:c r="V116" s="6" t="n">
        <x:v>70.4</x:v>
      </x:c>
    </x:row>
    <x:row r="117" ht="22" customHeight="1">
      <x:c r="A117" s="1" t="str">
        <x:v>Round1</x:v>
      </x:c>
      <x:c r="B117" s="1" t="str">
        <x:v>Closure</x:v>
      </x:c>
      <x:c r="C117" s="4" t="n">
        <x:v>51</x:v>
      </x:c>
      <x:c r="D117" s="4" t="n">
        <x:v>0</x:v>
      </x:c>
      <x:c r="E117" s="4" t="n">
        <x:v>60</x:v>
      </x:c>
      <x:c r="F117" s="4" t="n">
        <x:v>5</x:v>
      </x:c>
      <x:c r="G117" s="5" t="n">
        <x:v>0.037000000000000005</x:v>
      </x:c>
      <x:c r="H117" s="5" t="n">
        <x:v>0.018500000000000003</x:v>
      </x:c>
      <x:c r="I117" s="5" t="n">
        <x:v>0.0741</x:v>
      </x:c>
      <x:c r="J117" s="4" t="n">
        <x:v>162</x:v>
      </x:c>
      <x:c r="K117" s="4" t="n">
        <x:v>6</x:v>
      </x:c>
      <x:c r="L117" s="4" t="n">
        <x:v>108</x:v>
      </x:c>
      <x:c r="M117" s="4" t="n">
        <x:v>2</x:v>
      </x:c>
      <x:c r="N117" s="4" t="n">
        <x:v>54</x:v>
      </x:c>
      <x:c r="O117" s="4" t="n">
        <x:v>4</x:v>
      </x:c>
      <x:c r="P117" s="1" t="str">
        <x:v>PASS</x:v>
      </x:c>
      <x:c r="Q117" s="4" t="n">
        <x:v>0</x:v>
      </x:c>
      <x:c r="R117" s="1" t="str">
        <x:v>PASS</x:v>
      </x:c>
      <x:c r="S117" s="4" t="n">
        <x:v>0</x:v>
      </x:c>
      <x:c r="T117" s="1" t="str">
        <x:v>NOT_REVEALING</x:v>
      </x:c>
      <x:c r="U117" s="1" t="str">
        <x:v>Closure_51</x:v>
      </x:c>
      <x:c r="V117" s="6" t="n">
        <x:v>65.31</x:v>
      </x:c>
    </x:row>
    <x:row r="118" ht="22" customHeight="1">
      <x:c r="A118" s="1" t="str">
        <x:v>Round1</x:v>
      </x:c>
      <x:c r="B118" s="1" t="str">
        <x:v>Closure</x:v>
      </x:c>
      <x:c r="C118" s="4" t="n">
        <x:v>52</x:v>
      </x:c>
      <x:c r="D118" s="4" t="n">
        <x:v>0</x:v>
      </x:c>
      <x:c r="E118" s="4" t="n">
        <x:v>60</x:v>
      </x:c>
      <x:c r="F118" s="4" t="n">
        <x:v>2498</x:v>
      </x:c>
      <x:c r="G118" s="5" t="n">
        <x:v>0.1119</x:v>
      </x:c>
      <x:c r="H118" s="5" t="n">
        <x:v>0.13949999999999999</x:v>
      </x:c>
      <x:c r="I118" s="5" t="n">
        <x:v>0.0754</x:v>
      </x:c>
      <x:c r="J118" s="4" t="n">
        <x:v>1046</x:v>
      </x:c>
      <x:c r="K118" s="4" t="n">
        <x:v>117</x:v>
      </x:c>
      <x:c r="L118" s="4" t="n">
        <x:v>595</x:v>
      </x:c>
      <x:c r="M118" s="4" t="n">
        <x:v>83</x:v>
      </x:c>
      <x:c r="N118" s="4" t="n">
        <x:v>451</x:v>
      </x:c>
      <x:c r="O118" s="4" t="n">
        <x:v>34</x:v>
      </x:c>
      <x:c r="P118" s="1" t="str">
        <x:v>PASS</x:v>
      </x:c>
      <x:c r="Q118" s="4" t="n">
        <x:v>0</x:v>
      </x:c>
      <x:c r="R118" s="1" t="str">
        <x:v>PASS</x:v>
      </x:c>
      <x:c r="S118" s="4" t="n">
        <x:v>0</x:v>
      </x:c>
      <x:c r="T118" s="1" t="str">
        <x:v>NOT_REVEALING</x:v>
      </x:c>
      <x:c r="U118" s="1" t="str">
        <x:v>Closure_52</x:v>
      </x:c>
      <x:c r="V118" s="6" t="n">
        <x:v>89.23</x:v>
      </x:c>
    </x:row>
    <x:row r="119" ht="22" customHeight="1">
      <x:c r="A119" s="1" t="str">
        <x:v>Round1</x:v>
      </x:c>
      <x:c r="B119" s="1" t="str">
        <x:v>Closure</x:v>
      </x:c>
      <x:c r="C119" s="4" t="n">
        <x:v>53</x:v>
      </x:c>
      <x:c r="D119" s="4" t="n">
        <x:v>0</x:v>
      </x:c>
      <x:c r="E119" s="4" t="n">
        <x:v>60</x:v>
      </x:c>
      <x:c r="F119" s="4" t="n">
        <x:v>4</x:v>
      </x:c>
      <x:c r="G119" s="5" t="n">
        <x:v>0.028399999999999998</x:v>
      </x:c>
      <x:c r="H119" s="5" t="n">
        <x:v>0.0471</x:v>
      </x:c>
      <x:c r="I119" s="5" t="n">
        <x:v>0</x:v>
      </x:c>
      <x:c r="J119" s="4" t="n">
        <x:v>282</x:v>
      </x:c>
      <x:c r="K119" s="4" t="n">
        <x:v>8</x:v>
      </x:c>
      <x:c r="L119" s="4" t="n">
        <x:v>170</x:v>
      </x:c>
      <x:c r="M119" s="4" t="n">
        <x:v>8</x:v>
      </x:c>
      <x:c r="N119" s="4" t="n">
        <x:v>112</x:v>
      </x:c>
      <x:c r="O119" s="4" t="n">
        <x:v>0</x:v>
      </x:c>
      <x:c r="P119" s="1" t="str">
        <x:v>PASS</x:v>
      </x:c>
      <x:c r="Q119" s="4" t="n">
        <x:v>0</x:v>
      </x:c>
      <x:c r="R119" s="1" t="str">
        <x:v>PASS</x:v>
      </x:c>
      <x:c r="S119" s="4" t="n">
        <x:v>0</x:v>
      </x:c>
      <x:c r="T119" s="1" t="str">
        <x:v>NOT_REVEALING</x:v>
      </x:c>
      <x:c r="U119" s="1" t="str">
        <x:v>Closure_53</x:v>
      </x:c>
      <x:c r="V119" s="6" t="n">
        <x:v>67.2</x:v>
      </x:c>
    </x:row>
    <x:row r="120" ht="22" customHeight="1">
      <x:c r="A120" s="1" t="str">
        <x:v>Round1</x:v>
      </x:c>
      <x:c r="B120" s="1" t="str">
        <x:v>Closure</x:v>
      </x:c>
      <x:c r="C120" s="4" t="n">
        <x:v>54</x:v>
      </x:c>
      <x:c r="D120" s="4" t="n">
        <x:v>0</x:v>
      </x:c>
      <x:c r="E120" s="4" t="n">
        <x:v>60</x:v>
      </x:c>
      <x:c r="F120" s="4" t="n">
        <x:v>1682</x:v>
      </x:c>
      <x:c r="G120" s="5" t="n">
        <x:v>0.011899999999999999</x:v>
      </x:c>
      <x:c r="H120" s="5" t="n">
        <x:v>0.021</x:v>
      </x:c>
      <x:c r="I120" s="5" t="n">
        <x:v>0</x:v>
      </x:c>
      <x:c r="J120" s="4" t="n">
        <x:v>2100</x:v>
      </x:c>
      <x:c r="K120" s="4" t="n">
        <x:v>25</x:v>
      </x:c>
      <x:c r="L120" s="4" t="n">
        <x:v>1190</x:v>
      </x:c>
      <x:c r="M120" s="4" t="n">
        <x:v>25</x:v>
      </x:c>
      <x:c r="N120" s="4" t="n">
        <x:v>910</x:v>
      </x:c>
      <x:c r="O120" s="4" t="n">
        <x:v>0</x:v>
      </x:c>
      <x:c r="P120" s="1" t="str">
        <x:v>PASS</x:v>
      </x:c>
      <x:c r="Q120" s="4" t="n">
        <x:v>0</x:v>
      </x:c>
      <x:c r="R120" s="1" t="str">
        <x:v>PASS</x:v>
      </x:c>
      <x:c r="S120" s="4" t="n">
        <x:v>0</x:v>
      </x:c>
      <x:c r="T120" s="1" t="str">
        <x:v>NOT_REVEALING</x:v>
      </x:c>
      <x:c r="U120" s="1" t="str">
        <x:v>Closure_54</x:v>
      </x:c>
      <x:c r="V120" s="6" t="n">
        <x:v>77.32</x:v>
      </x:c>
    </x:row>
    <x:row r="121" ht="22" customHeight="1">
      <x:c r="A121" s="1" t="str">
        <x:v>Round1</x:v>
      </x:c>
      <x:c r="B121" s="1" t="str">
        <x:v>Closure</x:v>
      </x:c>
      <x:c r="C121" s="4" t="n">
        <x:v>55</x:v>
      </x:c>
      <x:c r="D121" s="4" t="n">
        <x:v>0</x:v>
      </x:c>
      <x:c r="E121" s="4" t="n">
        <x:v>60</x:v>
      </x:c>
      <x:c r="F121" s="4" t="n">
        <x:v>4</x:v>
      </x:c>
      <x:c r="G121" s="5" t="n">
        <x:v>0.0812</x:v>
      </x:c>
      <x:c r="H121" s="5" t="n">
        <x:v>0.12179999999999999</x:v>
      </x:c>
      <x:c r="I121" s="5" t="n">
        <x:v>0</x:v>
      </x:c>
      <x:c r="J121" s="4" t="n">
        <x:v>234</x:v>
      </x:c>
      <x:c r="K121" s="4" t="n">
        <x:v>19</x:v>
      </x:c>
      <x:c r="L121" s="4" t="n">
        <x:v>156</x:v>
      </x:c>
      <x:c r="M121" s="4" t="n">
        <x:v>19</x:v>
      </x:c>
      <x:c r="N121" s="4" t="n">
        <x:v>78</x:v>
      </x:c>
      <x:c r="O121" s="4" t="n">
        <x:v>0</x:v>
      </x:c>
      <x:c r="P121" s="1" t="str">
        <x:v>PASS</x:v>
      </x:c>
      <x:c r="Q121" s="4" t="n">
        <x:v>0</x:v>
      </x:c>
      <x:c r="R121" s="1" t="str">
        <x:v>PASS</x:v>
      </x:c>
      <x:c r="S121" s="4" t="n">
        <x:v>0</x:v>
      </x:c>
      <x:c r="T121" s="1" t="str">
        <x:v>NOT_REVEALING</x:v>
      </x:c>
      <x:c r="U121" s="1" t="str">
        <x:v>Closure_55</x:v>
      </x:c>
      <x:c r="V121" s="6" t="n">
        <x:v>69.67</x:v>
      </x:c>
    </x:row>
    <x:row r="122" ht="22" customHeight="1">
      <x:c r="A122" s="1" t="str">
        <x:v>Round1</x:v>
      </x:c>
      <x:c r="B122" s="1" t="str">
        <x:v>Closure</x:v>
      </x:c>
      <x:c r="C122" s="4" t="n">
        <x:v>56</x:v>
      </x:c>
      <x:c r="D122" s="4" t="n">
        <x:v>0</x:v>
      </x:c>
      <x:c r="E122" s="4" t="n">
        <x:v>60</x:v>
      </x:c>
      <x:c r="F122" s="4" t="n">
        <x:v>1860</x:v>
      </x:c>
      <x:c r="G122" s="5" t="n">
        <x:v>0.8316</x:v>
      </x:c>
      <x:c r="H122" s="5" t="n">
        <x:v>0.8662000000000001</x:v>
      </x:c>
      <x:c r="I122" s="5" t="n">
        <x:v>0.7292000000000001</x:v>
      </x:c>
      <x:c r="J122" s="4" t="n">
        <x:v>190</x:v>
      </x:c>
      <x:c r="K122" s="4" t="n">
        <x:v>158</x:v>
      </x:c>
      <x:c r="L122" s="4" t="n">
        <x:v>142</x:v>
      </x:c>
      <x:c r="M122" s="4" t="n">
        <x:v>123</x:v>
      </x:c>
      <x:c r="N122" s="4" t="n">
        <x:v>48</x:v>
      </x:c>
      <x:c r="O122" s="4" t="n">
        <x:v>35</x:v>
      </x:c>
      <x:c r="P122" s="1" t="str">
        <x:v>FAIL</x:v>
      </x:c>
      <x:c r="Q122" s="4" t="n">
        <x:v>38</x:v>
      </x:c>
      <x:c r="R122" s="1" t="str">
        <x:v>FAIL</x:v>
      </x:c>
      <x:c r="S122" s="4" t="n">
        <x:v>506</x:v>
      </x:c>
      <x:c r="T122" s="1" t="str">
        <x:v>INCONCLUSIVE</x:v>
      </x:c>
      <x:c r="U122" s="1" t="str">
        <x:v>Closure_56</x:v>
      </x:c>
      <x:c r="V122" s="6" t="n">
        <x:v>80.77</x:v>
      </x:c>
    </x:row>
    <x:row r="123" ht="22" customHeight="1">
      <x:c r="A123" s="1" t="str">
        <x:v>Round1</x:v>
      </x:c>
      <x:c r="B123" s="1" t="str">
        <x:v>Closure</x:v>
      </x:c>
      <x:c r="C123" s="4" t="n">
        <x:v>57</x:v>
      </x:c>
      <x:c r="D123" s="4" t="n">
        <x:v>0</x:v>
      </x:c>
      <x:c r="E123" s="4" t="n">
        <x:v>60</x:v>
      </x:c>
      <x:c r="F123" s="4" t="n">
        <x:v>1834</x:v>
      </x:c>
      <x:c r="G123" s="5" t="n">
        <x:v>0.113</x:v>
      </x:c>
      <x:c r="H123" s="5" t="n">
        <x:v>0.18710000000000002</x:v>
      </x:c>
      <x:c r="I123" s="5" t="n">
        <x:v>0.01</x:v>
      </x:c>
      <x:c r="J123" s="4" t="n">
        <x:v>239</x:v>
      </x:c>
      <x:c r="K123" s="4" t="n">
        <x:v>27</x:v>
      </x:c>
      <x:c r="L123" s="4" t="n">
        <x:v>139</x:v>
      </x:c>
      <x:c r="M123" s="4" t="n">
        <x:v>26</x:v>
      </x:c>
      <x:c r="N123" s="4" t="n">
        <x:v>100</x:v>
      </x:c>
      <x:c r="O123" s="4" t="n">
        <x:v>1</x:v>
      </x:c>
      <x:c r="P123" s="1" t="str">
        <x:v>PASS</x:v>
      </x:c>
      <x:c r="Q123" s="4" t="n">
        <x:v>0</x:v>
      </x:c>
      <x:c r="R123" s="1" t="str">
        <x:v>PASS</x:v>
      </x:c>
      <x:c r="S123" s="4" t="n">
        <x:v>0</x:v>
      </x:c>
      <x:c r="T123" s="1" t="str">
        <x:v>NOT_REVEALING</x:v>
      </x:c>
      <x:c r="U123" s="1" t="str">
        <x:v>Closure_57</x:v>
      </x:c>
      <x:c r="V123" s="6" t="n">
        <x:v>91.81</x:v>
      </x:c>
    </x:row>
    <x:row r="124" ht="22" customHeight="1">
      <x:c r="A124" s="1" t="str">
        <x:v>Round1</x:v>
      </x:c>
      <x:c r="B124" s="1" t="str">
        <x:v>Closure</x:v>
      </x:c>
      <x:c r="C124" s="4" t="n">
        <x:v>58</x:v>
      </x:c>
      <x:c r="D124" s="4" t="n">
        <x:v>0</x:v>
      </x:c>
      <x:c r="E124" s="4" t="n">
        <x:v>60</x:v>
      </x:c>
      <x:c r="F124" s="4" t="n">
        <x:v>4</x:v>
      </x:c>
      <x:c r="G124" s="5" t="n">
        <x:v>0.0192</x:v>
      </x:c>
      <x:c r="H124" s="5" t="n">
        <x:v>0.0288</x:v>
      </x:c>
      <x:c r="I124" s="5" t="n">
        <x:v>0</x:v>
      </x:c>
      <x:c r="J124" s="4" t="n">
        <x:v>156</x:v>
      </x:c>
      <x:c r="K124" s="4" t="n">
        <x:v>3</x:v>
      </x:c>
      <x:c r="L124" s="4" t="n">
        <x:v>104</x:v>
      </x:c>
      <x:c r="M124" s="4" t="n">
        <x:v>3</x:v>
      </x:c>
      <x:c r="N124" s="4" t="n">
        <x:v>52</x:v>
      </x:c>
      <x:c r="O124" s="4" t="n">
        <x:v>0</x:v>
      </x:c>
      <x:c r="P124" s="1" t="str">
        <x:v>PASS</x:v>
      </x:c>
      <x:c r="Q124" s="4" t="n">
        <x:v>0</x:v>
      </x:c>
      <x:c r="R124" s="1" t="str">
        <x:v>PASS</x:v>
      </x:c>
      <x:c r="S124" s="4" t="n">
        <x:v>0</x:v>
      </x:c>
      <x:c r="T124" s="1" t="str">
        <x:v>NOT_REVEALING</x:v>
      </x:c>
      <x:c r="U124" s="1" t="str">
        <x:v>Closure_58</x:v>
      </x:c>
      <x:c r="V124" s="6" t="n">
        <x:v>67.64</x:v>
      </x:c>
    </x:row>
    <x:row r="125" ht="22" customHeight="1">
      <x:c r="A125" s="1" t="str">
        <x:v>Round1</x:v>
      </x:c>
      <x:c r="B125" s="1" t="str">
        <x:v>Closure</x:v>
      </x:c>
      <x:c r="C125" s="4" t="n">
        <x:v>59</x:v>
      </x:c>
      <x:c r="D125" s="4" t="n">
        <x:v>0</x:v>
      </x:c>
      <x:c r="E125" s="4" t="n">
        <x:v>60</x:v>
      </x:c>
      <x:c r="F125" s="4" t="n">
        <x:v>1692</x:v>
      </x:c>
      <x:c r="G125" s="5" t="n">
        <x:v>0.40299999999999997</x:v>
      </x:c>
      <x:c r="H125" s="5" t="n">
        <x:v>0.42869999999999997</x:v>
      </x:c>
      <x:c r="I125" s="5" t="n">
        <x:v>0.3394</x:v>
      </x:c>
      <x:c r="J125" s="4" t="n">
        <x:v>1144</x:v>
      </x:c>
      <x:c r="K125" s="4" t="n">
        <x:v>461</x:v>
      </x:c>
      <x:c r="L125" s="4" t="n">
        <x:v>814</x:v>
      </x:c>
      <x:c r="M125" s="4" t="n">
        <x:v>349</x:v>
      </x:c>
      <x:c r="N125" s="4" t="n">
        <x:v>330</x:v>
      </x:c>
      <x:c r="O125" s="4" t="n">
        <x:v>112</x:v>
      </x:c>
      <x:c r="P125" s="1" t="str">
        <x:v>FAIL</x:v>
      </x:c>
      <x:c r="Q125" s="4" t="n">
        <x:v>94</x:v>
      </x:c>
      <x:c r="R125" s="1" t="str">
        <x:v>FAIL</x:v>
      </x:c>
      <x:c r="S125" s="4" t="n">
        <x:v>94</x:v>
      </x:c>
      <x:c r="T125" s="1" t="str">
        <x:v>INCONCLUSIVE</x:v>
      </x:c>
      <x:c r="U125" s="1" t="str">
        <x:v>Closure_59</x:v>
      </x:c>
      <x:c r="V125" s="6" t="n">
        <x:v>94.47</x:v>
      </x:c>
    </x:row>
    <x:row r="126" ht="22" customHeight="1">
      <x:c r="A126" s="1" t="str">
        <x:v>Round1</x:v>
      </x:c>
      <x:c r="B126" s="1" t="str">
        <x:v>Closure</x:v>
      </x:c>
      <x:c r="C126" s="4" t="n">
        <x:v>60</x:v>
      </x:c>
      <x:c r="D126" s="4" t="n">
        <x:v>0</x:v>
      </x:c>
      <x:c r="E126" s="4" t="n">
        <x:v>60</x:v>
      </x:c>
      <x:c r="F126" s="4" t="n">
        <x:v>1769</x:v>
      </x:c>
      <x:c r="G126" s="5" t="n">
        <x:v>0.38689999999999997</x:v>
      </x:c>
      <x:c r="H126" s="5" t="n">
        <x:v>0.47009999999999996</x:v>
      </x:c>
      <x:c r="I126" s="5" t="n">
        <x:v>0.30269999999999997</x:v>
      </x:c>
      <x:c r="J126" s="4" t="n">
        <x:v>1861</x:v>
      </x:c>
      <x:c r="K126" s="4" t="n">
        <x:v>720</x:v>
      </x:c>
      <x:c r="L126" s="4" t="n">
        <x:v>936</x:v>
      </x:c>
      <x:c r="M126" s="4" t="n">
        <x:v>440</x:v>
      </x:c>
      <x:c r="N126" s="4" t="n">
        <x:v>925</x:v>
      </x:c>
      <x:c r="O126" s="4" t="n">
        <x:v>280</x:v>
      </x:c>
      <x:c r="P126" s="1" t="str">
        <x:v>PASS</x:v>
      </x:c>
      <x:c r="Q126" s="4" t="n">
        <x:v>0</x:v>
      </x:c>
      <x:c r="R126" s="1" t="str">
        <x:v>PASS</x:v>
      </x:c>
      <x:c r="S126" s="4" t="n">
        <x:v>0</x:v>
      </x:c>
      <x:c r="T126" s="1" t="str">
        <x:v>NOT_REVEALING</x:v>
      </x:c>
      <x:c r="U126" s="1" t="str">
        <x:v>Closure_60</x:v>
      </x:c>
      <x:c r="V126" s="6" t="n">
        <x:v>97.93</x:v>
      </x:c>
    </x:row>
    <x:row r="127" ht="22" customHeight="1">
      <x:c r="A127" s="1" t="str">
        <x:v>Round1</x:v>
      </x:c>
      <x:c r="B127" s="1" t="str">
        <x:v>Closure</x:v>
      </x:c>
      <x:c r="C127" s="4" t="n">
        <x:v>61</x:v>
      </x:c>
      <x:c r="D127" s="4" t="n">
        <x:v>0</x:v>
      </x:c>
      <x:c r="E127" s="4" t="n">
        <x:v>60</x:v>
      </x:c>
      <x:c r="F127" s="4" t="n">
        <x:v>1874</x:v>
      </x:c>
      <x:c r="G127" s="5" t="n">
        <x:v>0.3898</x:v>
      </x:c>
      <x:c r="H127" s="5" t="n">
        <x:v>0.4732</x:v>
      </x:c>
      <x:c r="I127" s="5" t="n">
        <x:v>0.3054</x:v>
      </x:c>
      <x:c r="J127" s="4" t="n">
        <x:v>1852</x:v>
      </x:c>
      <x:c r="K127" s="4" t="n">
        <x:v>722</x:v>
      </x:c>
      <x:c r="L127" s="4" t="n">
        <x:v>932</x:v>
      </x:c>
      <x:c r="M127" s="4" t="n">
        <x:v>441</x:v>
      </x:c>
      <x:c r="N127" s="4" t="n">
        <x:v>920</x:v>
      </x:c>
      <x:c r="O127" s="4" t="n">
        <x:v>281</x:v>
      </x:c>
      <x:c r="P127" s="1" t="str">
        <x:v>PASS</x:v>
      </x:c>
      <x:c r="Q127" s="4" t="n">
        <x:v>0</x:v>
      </x:c>
      <x:c r="R127" s="1" t="str">
        <x:v>PASS</x:v>
      </x:c>
      <x:c r="S127" s="4" t="n">
        <x:v>0</x:v>
      </x:c>
      <x:c r="T127" s="1" t="str">
        <x:v>NOT_REVEALING</x:v>
      </x:c>
      <x:c r="U127" s="1" t="str">
        <x:v>Closure_61</x:v>
      </x:c>
      <x:c r="V127" s="6" t="n">
        <x:v>100.36</x:v>
      </x:c>
    </x:row>
    <x:row r="128" ht="22" customHeight="1">
      <x:c r="A128" s="1" t="str">
        <x:v>Round1</x:v>
      </x:c>
      <x:c r="B128" s="1" t="str">
        <x:v>Closure</x:v>
      </x:c>
      <x:c r="C128" s="4" t="n">
        <x:v>62</x:v>
      </x:c>
      <x:c r="D128" s="4" t="n">
        <x:v>0</x:v>
      </x:c>
      <x:c r="E128" s="4" t="n">
        <x:v>60</x:v>
      </x:c>
      <x:c r="F128" s="4" t="n">
        <x:v>2005</x:v>
      </x:c>
      <x:c r="G128" s="5" t="n">
        <x:v>0.1887</x:v>
      </x:c>
      <x:c r="H128" s="5" t="n">
        <x:v>0.2432</x:v>
      </x:c>
      <x:c r="I128" s="5" t="n">
        <x:v>0.0625</x:v>
      </x:c>
      <x:c r="J128" s="4" t="n">
        <x:v>106</x:v>
      </x:c>
      <x:c r="K128" s="4" t="n">
        <x:v>20</x:v>
      </x:c>
      <x:c r="L128" s="4" t="n">
        <x:v>74</x:v>
      </x:c>
      <x:c r="M128" s="4" t="n">
        <x:v>18</x:v>
      </x:c>
      <x:c r="N128" s="4" t="n">
        <x:v>32</x:v>
      </x:c>
      <x:c r="O128" s="4" t="n">
        <x:v>2</x:v>
      </x:c>
      <x:c r="P128" s="1" t="str">
        <x:v>PASS</x:v>
      </x:c>
      <x:c r="Q128" s="4" t="n">
        <x:v>0</x:v>
      </x:c>
      <x:c r="R128" s="1" t="str">
        <x:v>PASS</x:v>
      </x:c>
      <x:c r="S128" s="4" t="n">
        <x:v>0</x:v>
      </x:c>
      <x:c r="T128" s="1" t="str">
        <x:v>NOT_REVEALING</x:v>
      </x:c>
      <x:c r="U128" s="1" t="str">
        <x:v>Closure_62</x:v>
      </x:c>
      <x:c r="V128" s="6" t="n">
        <x:v>83.17</x:v>
      </x:c>
    </x:row>
    <x:row r="129" ht="22" customHeight="1">
      <x:c r="A129" s="1" t="str">
        <x:v>Round1</x:v>
      </x:c>
      <x:c r="B129" s="1" t="str">
        <x:v>Closure</x:v>
      </x:c>
      <x:c r="C129" s="4" t="n">
        <x:v>64</x:v>
      </x:c>
      <x:c r="D129" s="4" t="n">
        <x:v>0</x:v>
      </x:c>
      <x:c r="E129" s="4" t="n">
        <x:v>60</x:v>
      </x:c>
      <x:c r="F129" s="4" t="n">
        <x:v>1544</x:v>
      </x:c>
      <x:c r="G129" s="5" t="n">
        <x:v>0.4232</x:v>
      </x:c>
      <x:c r="H129" s="5" t="n">
        <x:v>0.44770000000000004</x:v>
      </x:c>
      <x:c r="I129" s="5" t="n">
        <x:v>0.3625</x:v>
      </x:c>
      <x:c r="J129" s="4" t="n">
        <x:v>1113</x:v>
      </x:c>
      <x:c r="K129" s="4" t="n">
        <x:v>471</x:v>
      </x:c>
      <x:c r="L129" s="4" t="n">
        <x:v>793</x:v>
      </x:c>
      <x:c r="M129" s="4" t="n">
        <x:v>355</x:v>
      </x:c>
      <x:c r="N129" s="4" t="n">
        <x:v>320</x:v>
      </x:c>
      <x:c r="O129" s="4" t="n">
        <x:v>116</x:v>
      </x:c>
      <x:c r="P129" s="1" t="str">
        <x:v>FAIL</x:v>
      </x:c>
      <x:c r="Q129" s="4" t="n">
        <x:v>12</x:v>
      </x:c>
      <x:c r="R129" s="1" t="str">
        <x:v>FAIL</x:v>
      </x:c>
      <x:c r="S129" s="4" t="n">
        <x:v>12</x:v>
      </x:c>
      <x:c r="T129" s="1" t="str">
        <x:v>INCONCLUSIVE</x:v>
      </x:c>
      <x:c r="U129" s="1" t="str">
        <x:v>Closure_64</x:v>
      </x:c>
      <x:c r="V129" s="6" t="n">
        <x:v>86.44</x:v>
      </x:c>
    </x:row>
    <x:row r="130" ht="22" customHeight="1">
      <x:c r="A130" s="1" t="str">
        <x:v>Round1</x:v>
      </x:c>
      <x:c r="B130" s="1" t="str">
        <x:v>Closure</x:v>
      </x:c>
      <x:c r="C130" s="4" t="n">
        <x:v>65</x:v>
      </x:c>
      <x:c r="D130" s="4" t="n">
        <x:v>0</x:v>
      </x:c>
      <x:c r="E130" s="4" t="n">
        <x:v>60</x:v>
      </x:c>
      <x:c r="F130" s="4" t="n">
        <x:v>2571</x:v>
      </x:c>
      <x:c r="G130" s="5" t="n">
        <x:v>0.1119</x:v>
      </x:c>
      <x:c r="H130" s="5" t="n">
        <x:v>0.13949999999999999</x:v>
      </x:c>
      <x:c r="I130" s="5" t="n">
        <x:v>0.0754</x:v>
      </x:c>
      <x:c r="J130" s="4" t="n">
        <x:v>1046</x:v>
      </x:c>
      <x:c r="K130" s="4" t="n">
        <x:v>117</x:v>
      </x:c>
      <x:c r="L130" s="4" t="n">
        <x:v>595</x:v>
      </x:c>
      <x:c r="M130" s="4" t="n">
        <x:v>83</x:v>
      </x:c>
      <x:c r="N130" s="4" t="n">
        <x:v>451</x:v>
      </x:c>
      <x:c r="O130" s="4" t="n">
        <x:v>34</x:v>
      </x:c>
      <x:c r="P130" s="1" t="str">
        <x:v>PASS</x:v>
      </x:c>
      <x:c r="Q130" s="4" t="n">
        <x:v>0</x:v>
      </x:c>
      <x:c r="R130" s="1" t="str">
        <x:v>PASS</x:v>
      </x:c>
      <x:c r="S130" s="4" t="n">
        <x:v>0</x:v>
      </x:c>
      <x:c r="T130" s="1" t="str">
        <x:v>NOT_REVEALING</x:v>
      </x:c>
      <x:c r="U130" s="1" t="str">
        <x:v>Closure_65</x:v>
      </x:c>
      <x:c r="V130" s="6" t="n">
        <x:v>68.91</x:v>
      </x:c>
    </x:row>
    <x:row r="131" ht="22" customHeight="1">
      <x:c r="A131" s="1" t="str">
        <x:v>Round1</x:v>
      </x:c>
      <x:c r="B131" s="1" t="str">
        <x:v>Closure</x:v>
      </x:c>
      <x:c r="C131" s="4" t="n">
        <x:v>66</x:v>
      </x:c>
      <x:c r="D131" s="4" t="n">
        <x:v>0</x:v>
      </x:c>
      <x:c r="E131" s="4" t="n">
        <x:v>60</x:v>
      </x:c>
      <x:c r="F131" s="4" t="n">
        <x:v>36</x:v>
      </x:c>
      <x:c r="G131" s="5" t="n">
        <x:v>0.053399999999999996</x:v>
      </x:c>
      <x:c r="H131" s="5" t="n">
        <x:v>0.0882</x:v>
      </x:c>
      <x:c r="I131" s="5" t="n">
        <x:v>0</x:v>
      </x:c>
      <x:c r="J131" s="4" t="n">
        <x:v>1291</x:v>
      </x:c>
      <x:c r="K131" s="4" t="n">
        <x:v>69</x:v>
      </x:c>
      <x:c r="L131" s="4" t="n">
        <x:v>782</x:v>
      </x:c>
      <x:c r="M131" s="4" t="n">
        <x:v>69</x:v>
      </x:c>
      <x:c r="N131" s="4" t="n">
        <x:v>509</x:v>
      </x:c>
      <x:c r="O131" s="4" t="n">
        <x:v>0</x:v>
      </x:c>
      <x:c r="P131" s="1" t="str">
        <x:v>PASS</x:v>
      </x:c>
      <x:c r="Q131" s="4" t="n">
        <x:v>0</x:v>
      </x:c>
      <x:c r="R131" s="1" t="str">
        <x:v>PASS</x:v>
      </x:c>
      <x:c r="S131" s="4" t="n">
        <x:v>0</x:v>
      </x:c>
      <x:c r="T131" s="1" t="str">
        <x:v>NOT_REVEALING</x:v>
      </x:c>
      <x:c r="U131" s="1" t="str">
        <x:v>Closure_66</x:v>
      </x:c>
      <x:c r="V131" s="6" t="n">
        <x:v>50.63</x:v>
      </x:c>
    </x:row>
    <x:row r="132" ht="22" customHeight="1">
      <x:c r="A132" s="1" t="str">
        <x:v>Round1</x:v>
      </x:c>
      <x:c r="B132" s="1" t="str">
        <x:v>Closure</x:v>
      </x:c>
      <x:c r="C132" s="4" t="n">
        <x:v>67</x:v>
      </x:c>
      <x:c r="D132" s="4" t="n">
        <x:v>0</x:v>
      </x:c>
      <x:c r="E132" s="4" t="n">
        <x:v>60</x:v>
      </x:c>
      <x:c r="F132" s="4" t="n">
        <x:v>1509</x:v>
      </x:c>
      <x:c r="G132" s="5" t="n">
        <x:v>0.267</x:v>
      </x:c>
      <x:c r="H132" s="5" t="n">
        <x:v>0.377</x:v>
      </x:c>
      <x:c r="I132" s="5" t="n">
        <x:v>0.0759</x:v>
      </x:c>
      <x:c r="J132" s="4" t="n">
        <x:v>397</x:v>
      </x:c>
      <x:c r="K132" s="4" t="n">
        <x:v>106</x:v>
      </x:c>
      <x:c r="L132" s="4" t="n">
        <x:v>252</x:v>
      </x:c>
      <x:c r="M132" s="4" t="n">
        <x:v>95</x:v>
      </x:c>
      <x:c r="N132" s="4" t="n">
        <x:v>145</x:v>
      </x:c>
      <x:c r="O132" s="4" t="n">
        <x:v>11</x:v>
      </x:c>
      <x:c r="P132" s="1" t="str">
        <x:v>PASS</x:v>
      </x:c>
      <x:c r="Q132" s="4" t="n">
        <x:v>0</x:v>
      </x:c>
      <x:c r="R132" s="1" t="str">
        <x:v>PASS</x:v>
      </x:c>
      <x:c r="S132" s="4" t="n">
        <x:v>0</x:v>
      </x:c>
      <x:c r="T132" s="1" t="str">
        <x:v>NOT_REVEALING</x:v>
      </x:c>
      <x:c r="U132" s="1" t="str">
        <x:v>Closure_67</x:v>
      </x:c>
      <x:c r="V132" s="6" t="n">
        <x:v>64.01</x:v>
      </x:c>
    </x:row>
    <x:row r="133" ht="22" customHeight="1">
      <x:c r="A133" s="1" t="str">
        <x:v>Round1</x:v>
      </x:c>
      <x:c r="B133" s="1" t="str">
        <x:v>Closure</x:v>
      </x:c>
      <x:c r="C133" s="4" t="n">
        <x:v>68</x:v>
      </x:c>
      <x:c r="D133" s="4" t="n">
        <x:v>0</x:v>
      </x:c>
      <x:c r="E133" s="4" t="n">
        <x:v>60</x:v>
      </x:c>
      <x:c r="F133" s="4" t="n">
        <x:v>5</x:v>
      </x:c>
      <x:c r="G133" s="5" t="n">
        <x:v>0.0643</x:v>
      </x:c>
      <x:c r="H133" s="5" t="n">
        <x:v>0.0751</x:v>
      </x:c>
      <x:c r="I133" s="5" t="n">
        <x:v>0.0458</x:v>
      </x:c>
      <x:c r="J133" s="4" t="n">
        <x:v>1601</x:v>
      </x:c>
      <x:c r="K133" s="4" t="n">
        <x:v>103</x:v>
      </x:c>
      <x:c r="L133" s="4" t="n">
        <x:v>1012</x:v>
      </x:c>
      <x:c r="M133" s="4" t="n">
        <x:v>76</x:v>
      </x:c>
      <x:c r="N133" s="4" t="n">
        <x:v>589</x:v>
      </x:c>
      <x:c r="O133" s="4" t="n">
        <x:v>27</x:v>
      </x:c>
      <x:c r="P133" s="1" t="str">
        <x:v>PASS</x:v>
      </x:c>
      <x:c r="Q133" s="4" t="n">
        <x:v>0</x:v>
      </x:c>
      <x:c r="R133" s="1" t="str">
        <x:v>PASS</x:v>
      </x:c>
      <x:c r="S133" s="4" t="n">
        <x:v>0</x:v>
      </x:c>
      <x:c r="T133" s="1" t="str">
        <x:v>NOT_REVEALING</x:v>
      </x:c>
      <x:c r="U133" s="1" t="str">
        <x:v>Closure_68</x:v>
      </x:c>
      <x:c r="V133" s="6" t="n">
        <x:v>51.47</x:v>
      </x:c>
    </x:row>
    <x:row r="134" ht="22" customHeight="1">
      <x:c r="A134" s="1" t="str">
        <x:v>Round1</x:v>
      </x:c>
      <x:c r="B134" s="1" t="str">
        <x:v>Closure</x:v>
      </x:c>
      <x:c r="C134" s="4" t="n">
        <x:v>69</x:v>
      </x:c>
      <x:c r="D134" s="4" t="n">
        <x:v>0</x:v>
      </x:c>
      <x:c r="E134" s="4" t="n">
        <x:v>60</x:v>
      </x:c>
      <x:c r="F134" s="4" t="n">
        <x:v>36</x:v>
      </x:c>
      <x:c r="G134" s="5" t="n">
        <x:v>0.0541</x:v>
      </x:c>
      <x:c r="H134" s="5" t="n">
        <x:v>0.0889</x:v>
      </x:c>
      <x:c r="I134" s="5" t="n">
        <x:v>0</x:v>
      </x:c>
      <x:c r="J134" s="4" t="n">
        <x:v>1275</x:v>
      </x:c>
      <x:c r="K134" s="4" t="n">
        <x:v>69</x:v>
      </x:c>
      <x:c r="L134" s="4" t="n">
        <x:v>776</x:v>
      </x:c>
      <x:c r="M134" s="4" t="n">
        <x:v>69</x:v>
      </x:c>
      <x:c r="N134" s="4" t="n">
        <x:v>499</x:v>
      </x:c>
      <x:c r="O134" s="4" t="n">
        <x:v>0</x:v>
      </x:c>
      <x:c r="P134" s="1" t="str">
        <x:v>PASS</x:v>
      </x:c>
      <x:c r="Q134" s="4" t="n">
        <x:v>0</x:v>
      </x:c>
      <x:c r="R134" s="1" t="str">
        <x:v>PASS</x:v>
      </x:c>
      <x:c r="S134" s="4" t="n">
        <x:v>0</x:v>
      </x:c>
      <x:c r="T134" s="1" t="str">
        <x:v>NOT_REVEALING</x:v>
      </x:c>
      <x:c r="U134" s="1" t="str">
        <x:v>Closure_69</x:v>
      </x:c>
      <x:c r="V134" s="6" t="n">
        <x:v>49.6</x:v>
      </x:c>
    </x:row>
    <x:row r="135" ht="22" customHeight="1">
      <x:c r="A135" s="1" t="str">
        <x:v>Round1</x:v>
      </x:c>
      <x:c r="B135" s="1" t="str">
        <x:v>Closure</x:v>
      </x:c>
      <x:c r="C135" s="4" t="n">
        <x:v>70</x:v>
      </x:c>
      <x:c r="D135" s="4" t="n">
        <x:v>0</x:v>
      </x:c>
      <x:c r="E135" s="4" t="n">
        <x:v>60</x:v>
      </x:c>
      <x:c r="F135" s="4" t="n">
        <x:v>12</x:v>
      </x:c>
      <x:c r="G135" s="5" t="n">
        <x:v>0.0154</x:v>
      </x:c>
      <x:c r="H135" s="5" t="n">
        <x:v>0.0273</x:v>
      </x:c>
      <x:c r="I135" s="5" t="n">
        <x:v>0</x:v>
      </x:c>
      <x:c r="J135" s="4" t="n">
        <x:v>1427</x:v>
      </x:c>
      <x:c r="K135" s="4" t="n">
        <x:v>22</x:v>
      </x:c>
      <x:c r="L135" s="4" t="n">
        <x:v>806</x:v>
      </x:c>
      <x:c r="M135" s="4" t="n">
        <x:v>22</x:v>
      </x:c>
      <x:c r="N135" s="4" t="n">
        <x:v>621</x:v>
      </x:c>
      <x:c r="O135" s="4" t="n">
        <x:v>0</x:v>
      </x:c>
      <x:c r="P135" s="1" t="str">
        <x:v>PASS</x:v>
      </x:c>
      <x:c r="Q135" s="4" t="n">
        <x:v>0</x:v>
      </x:c>
      <x:c r="R135" s="1" t="str">
        <x:v>PASS</x:v>
      </x:c>
      <x:c r="S135" s="4" t="n">
        <x:v>0</x:v>
      </x:c>
      <x:c r="T135" s="1" t="str">
        <x:v>NOT_REVEALING</x:v>
      </x:c>
      <x:c r="U135" s="1" t="str">
        <x:v>Closure_70</x:v>
      </x:c>
      <x:c r="V135" s="6" t="n">
        <x:v>50.66</x:v>
      </x:c>
    </x:row>
    <x:row r="136" ht="22" customHeight="1">
      <x:c r="A136" s="1" t="str">
        <x:v>Round1</x:v>
      </x:c>
      <x:c r="B136" s="1" t="str">
        <x:v>Closure</x:v>
      </x:c>
      <x:c r="C136" s="4" t="n">
        <x:v>71</x:v>
      </x:c>
      <x:c r="D136" s="4" t="n">
        <x:v>0</x:v>
      </x:c>
      <x:c r="E136" s="4" t="n">
        <x:v>60</x:v>
      </x:c>
      <x:c r="F136" s="4" t="n">
        <x:v>14</x:v>
      </x:c>
      <x:c r="G136" s="5" t="n">
        <x:v>0.049100000000000005</x:v>
      </x:c>
      <x:c r="H136" s="5" t="n">
        <x:v>0.08990000000000001</x:v>
      </x:c>
      <x:c r="I136" s="5" t="n">
        <x:v>0</x:v>
      </x:c>
      <x:c r="J136" s="4" t="n">
        <x:v>489</x:v>
      </x:c>
      <x:c r="K136" s="4" t="n">
        <x:v>24</x:v>
      </x:c>
      <x:c r="L136" s="4" t="n">
        <x:v>267</x:v>
      </x:c>
      <x:c r="M136" s="4" t="n">
        <x:v>24</x:v>
      </x:c>
      <x:c r="N136" s="4" t="n">
        <x:v>222</x:v>
      </x:c>
      <x:c r="O136" s="4" t="n">
        <x:v>0</x:v>
      </x:c>
      <x:c r="P136" s="1" t="str">
        <x:v>PASS</x:v>
      </x:c>
      <x:c r="Q136" s="4" t="n">
        <x:v>0</x:v>
      </x:c>
      <x:c r="R136" s="1" t="str">
        <x:v>PASS</x:v>
      </x:c>
      <x:c r="S136" s="4" t="n">
        <x:v>0</x:v>
      </x:c>
      <x:c r="T136" s="1" t="str">
        <x:v>NOT_REVEALING</x:v>
      </x:c>
      <x:c r="U136" s="1" t="str">
        <x:v>Closure_71</x:v>
      </x:c>
      <x:c r="V136" s="6" t="n">
        <x:v>49.28</x:v>
      </x:c>
    </x:row>
    <x:row r="137" ht="22" customHeight="1">
      <x:c r="A137" s="1" t="str">
        <x:v>Round1</x:v>
      </x:c>
      <x:c r="B137" s="1" t="str">
        <x:v>Closure</x:v>
      </x:c>
      <x:c r="C137" s="4" t="n">
        <x:v>72</x:v>
      </x:c>
      <x:c r="D137" s="4" t="n">
        <x:v>0</x:v>
      </x:c>
      <x:c r="E137" s="4" t="n">
        <x:v>60</x:v>
      </x:c>
      <x:c r="F137" s="4" t="n">
        <x:v>1072</x:v>
      </x:c>
      <x:c r="G137" s="5" t="n">
        <x:v>0.1104</x:v>
      </x:c>
      <x:c r="H137" s="5" t="n">
        <x:v>0.162</x:v>
      </x:c>
      <x:c r="I137" s="5" t="n">
        <x:v>0</x:v>
      </x:c>
      <x:c r="J137" s="4" t="n">
        <x:v>317</x:v>
      </x:c>
      <x:c r="K137" s="4" t="n">
        <x:v>35</x:v>
      </x:c>
      <x:c r="L137" s="4" t="n">
        <x:v>216</x:v>
      </x:c>
      <x:c r="M137" s="4" t="n">
        <x:v>35</x:v>
      </x:c>
      <x:c r="N137" s="4" t="n">
        <x:v>101</x:v>
      </x:c>
      <x:c r="O137" s="4" t="n">
        <x:v>0</x:v>
      </x:c>
      <x:c r="P137" s="1" t="str">
        <x:v>PASS</x:v>
      </x:c>
      <x:c r="Q137" s="4" t="n">
        <x:v>0</x:v>
      </x:c>
      <x:c r="R137" s="1" t="str">
        <x:v>PASS</x:v>
      </x:c>
      <x:c r="S137" s="4" t="n">
        <x:v>0</x:v>
      </x:c>
      <x:c r="T137" s="1" t="str">
        <x:v>NOT_REVEALING</x:v>
      </x:c>
      <x:c r="U137" s="1" t="str">
        <x:v>Closure_72</x:v>
      </x:c>
      <x:c r="V137" s="6" t="n">
        <x:v>61.78</x:v>
      </x:c>
    </x:row>
    <x:row r="138" ht="22" customHeight="1">
      <x:c r="A138" s="1" t="str">
        <x:v>Round1</x:v>
      </x:c>
      <x:c r="B138" s="1" t="str">
        <x:v>Closure</x:v>
      </x:c>
      <x:c r="C138" s="4" t="n">
        <x:v>73</x:v>
      </x:c>
      <x:c r="D138" s="4" t="n">
        <x:v>0</x:v>
      </x:c>
      <x:c r="E138" s="4" t="n">
        <x:v>60</x:v>
      </x:c>
      <x:c r="F138" s="4" t="n">
        <x:v>2583</x:v>
      </x:c>
      <x:c r="G138" s="5" t="n">
        <x:v>0.1014</x:v>
      </x:c>
      <x:c r="H138" s="5" t="n">
        <x:v>0.1263</x:v>
      </x:c>
      <x:c r="I138" s="5" t="n">
        <x:v>0.069</x:v>
      </x:c>
      <x:c r="J138" s="4" t="n">
        <x:v>1035</x:v>
      </x:c>
      <x:c r="K138" s="4" t="n">
        <x:v>105</x:v>
      </x:c>
      <x:c r="L138" s="4" t="n">
        <x:v>586</x:v>
      </x:c>
      <x:c r="M138" s="4" t="n">
        <x:v>74</x:v>
      </x:c>
      <x:c r="N138" s="4" t="n">
        <x:v>449</x:v>
      </x:c>
      <x:c r="O138" s="4" t="n">
        <x:v>31</x:v>
      </x:c>
      <x:c r="P138" s="1" t="str">
        <x:v>PASS</x:v>
      </x:c>
      <x:c r="Q138" s="4" t="n">
        <x:v>0</x:v>
      </x:c>
      <x:c r="R138" s="1" t="str">
        <x:v>PASS</x:v>
      </x:c>
      <x:c r="S138" s="4" t="n">
        <x:v>0</x:v>
      </x:c>
      <x:c r="T138" s="1" t="str">
        <x:v>NOT_REVEALING</x:v>
      </x:c>
      <x:c r="U138" s="1" t="str">
        <x:v>Closure_73</x:v>
      </x:c>
      <x:c r="V138" s="6" t="n">
        <x:v>70.52</x:v>
      </x:c>
    </x:row>
    <x:row r="139" ht="22" customHeight="1">
      <x:c r="A139" s="1" t="str">
        <x:v>Round1</x:v>
      </x:c>
      <x:c r="B139" s="1" t="str">
        <x:v>Closure</x:v>
      </x:c>
      <x:c r="C139" s="4" t="n">
        <x:v>74</x:v>
      </x:c>
      <x:c r="D139" s="4" t="n">
        <x:v>0</x:v>
      </x:c>
      <x:c r="E139" s="4" t="n">
        <x:v>60</x:v>
      </x:c>
      <x:c r="F139" s="4" t="n">
        <x:v>9</x:v>
      </x:c>
      <x:c r="G139" s="5" t="n">
        <x:v>0.009899999999999999</x:v>
      </x:c>
      <x:c r="H139" s="5" t="n">
        <x:v>0.0175</x:v>
      </x:c>
      <x:c r="I139" s="5" t="n">
        <x:v>0</x:v>
      </x:c>
      <x:c r="J139" s="4" t="n">
        <x:v>1419</x:v>
      </x:c>
      <x:c r="K139" s="4" t="n">
        <x:v>14</x:v>
      </x:c>
      <x:c r="L139" s="4" t="n">
        <x:v>800</x:v>
      </x:c>
      <x:c r="M139" s="4" t="n">
        <x:v>14</x:v>
      </x:c>
      <x:c r="N139" s="4" t="n">
        <x:v>619</x:v>
      </x:c>
      <x:c r="O139" s="4" t="n">
        <x:v>0</x:v>
      </x:c>
      <x:c r="P139" s="1" t="str">
        <x:v>PASS</x:v>
      </x:c>
      <x:c r="Q139" s="4" t="n">
        <x:v>0</x:v>
      </x:c>
      <x:c r="R139" s="1" t="str">
        <x:v>PASS</x:v>
      </x:c>
      <x:c r="S139" s="4" t="n">
        <x:v>0</x:v>
      </x:c>
      <x:c r="T139" s="1" t="str">
        <x:v>NOT_REVEALING</x:v>
      </x:c>
      <x:c r="U139" s="1" t="str">
        <x:v>Closure_74</x:v>
      </x:c>
      <x:c r="V139" s="6" t="n">
        <x:v>48.91</x:v>
      </x:c>
    </x:row>
    <x:row r="140" ht="22" customHeight="1">
      <x:c r="A140" s="1" t="str">
        <x:v>Round1</x:v>
      </x:c>
      <x:c r="B140" s="1" t="str">
        <x:v>Closure</x:v>
      </x:c>
      <x:c r="C140" s="4" t="n">
        <x:v>75</x:v>
      </x:c>
      <x:c r="D140" s="4" t="n">
        <x:v>0</x:v>
      </x:c>
      <x:c r="E140" s="4" t="n">
        <x:v>60</x:v>
      </x:c>
      <x:c r="F140" s="4" t="n">
        <x:v>1696</x:v>
      </x:c>
      <x:c r="G140" s="5" t="n">
        <x:v>0.4042</x:v>
      </x:c>
      <x:c r="H140" s="5" t="n">
        <x:v>0.4804</x:v>
      </x:c>
      <x:c r="I140" s="5" t="n">
        <x:v>0.32549999999999996</x:v>
      </x:c>
      <x:c r="J140" s="4" t="n">
        <x:v>1811</x:v>
      </x:c>
      <x:c r="K140" s="4" t="n">
        <x:v>732</x:v>
      </x:c>
      <x:c r="L140" s="4" t="n">
        <x:v>920</x:v>
      </x:c>
      <x:c r="M140" s="4" t="n">
        <x:v>442</x:v>
      </x:c>
      <x:c r="N140" s="4" t="n">
        <x:v>891</x:v>
      </x:c>
      <x:c r="O140" s="4" t="n">
        <x:v>290</x:v>
      </x:c>
      <x:c r="P140" s="1" t="str">
        <x:v>PASS</x:v>
      </x:c>
      <x:c r="Q140" s="4" t="n">
        <x:v>0</x:v>
      </x:c>
      <x:c r="R140" s="1" t="str">
        <x:v>PASS</x:v>
      </x:c>
      <x:c r="S140" s="4" t="n">
        <x:v>0</x:v>
      </x:c>
      <x:c r="T140" s="1" t="str">
        <x:v>NOT_REVEALING</x:v>
      </x:c>
      <x:c r="U140" s="1" t="str">
        <x:v>Closure_75</x:v>
      </x:c>
      <x:c r="V140" s="6" t="n">
        <x:v>74.23</x:v>
      </x:c>
    </x:row>
    <x:row r="141" ht="22" customHeight="1">
      <x:c r="A141" s="1" t="str">
        <x:v>Round1</x:v>
      </x:c>
      <x:c r="B141" s="1" t="str">
        <x:v>Closure</x:v>
      </x:c>
      <x:c r="C141" s="4" t="n">
        <x:v>76</x:v>
      </x:c>
      <x:c r="D141" s="4" t="n">
        <x:v>0</x:v>
      </x:c>
      <x:c r="E141" s="4" t="n">
        <x:v>60</x:v>
      </x:c>
      <x:c r="F141" s="4" t="n">
        <x:v>1814</x:v>
      </x:c>
      <x:c r="G141" s="5" t="n">
        <x:v>0.034</x:v>
      </x:c>
      <x:c r="H141" s="5" t="n">
        <x:v>0.06</x:v>
      </x:c>
      <x:c r="I141" s="5" t="n">
        <x:v>0</x:v>
      </x:c>
      <x:c r="J141" s="4" t="n">
        <x:v>265</x:v>
      </x:c>
      <x:c r="K141" s="4" t="n">
        <x:v>9</x:v>
      </x:c>
      <x:c r="L141" s="4" t="n">
        <x:v>150</x:v>
      </x:c>
      <x:c r="M141" s="4" t="n">
        <x:v>9</x:v>
      </x:c>
      <x:c r="N141" s="4" t="n">
        <x:v>115</x:v>
      </x:c>
      <x:c r="O141" s="4" t="n">
        <x:v>0</x:v>
      </x:c>
      <x:c r="P141" s="1" t="str">
        <x:v>PASS</x:v>
      </x:c>
      <x:c r="Q141" s="4" t="n">
        <x:v>0</x:v>
      </x:c>
      <x:c r="R141" s="1" t="str">
        <x:v>PASS</x:v>
      </x:c>
      <x:c r="S141" s="4" t="n">
        <x:v>0</x:v>
      </x:c>
      <x:c r="T141" s="1" t="str">
        <x:v>NOT_REVEALING</x:v>
      </x:c>
      <x:c r="U141" s="1" t="str">
        <x:v>Closure_76</x:v>
      </x:c>
      <x:c r="V141" s="6" t="n">
        <x:v>69.37</x:v>
      </x:c>
    </x:row>
    <x:row r="142" ht="22" customHeight="1">
      <x:c r="A142" s="1" t="str">
        <x:v>Round1</x:v>
      </x:c>
      <x:c r="B142" s="1" t="str">
        <x:v>Closure</x:v>
      </x:c>
      <x:c r="C142" s="4" t="n">
        <x:v>77</x:v>
      </x:c>
      <x:c r="D142" s="4" t="n">
        <x:v>0</x:v>
      </x:c>
      <x:c r="E142" s="4" t="n">
        <x:v>60</x:v>
      </x:c>
      <x:c r="F142" s="4" t="n">
        <x:v>2435</x:v>
      </x:c>
      <x:c r="G142" s="5" t="n">
        <x:v>0.08779999999999999</x:v>
      </x:c>
      <x:c r="H142" s="5" t="n">
        <x:v>0.1162</x:v>
      </x:c>
      <x:c r="I142" s="5" t="n">
        <x:v>0.0507</x:v>
      </x:c>
      <x:c r="J142" s="4" t="n">
        <x:v>1002</x:v>
      </x:c>
      <x:c r="K142" s="4" t="n">
        <x:v>88</x:v>
      </x:c>
      <x:c r="L142" s="4" t="n">
        <x:v>568</x:v>
      </x:c>
      <x:c r="M142" s="4" t="n">
        <x:v>66</x:v>
      </x:c>
      <x:c r="N142" s="4" t="n">
        <x:v>434</x:v>
      </x:c>
      <x:c r="O142" s="4" t="n">
        <x:v>22</x:v>
      </x:c>
      <x:c r="P142" s="1" t="str">
        <x:v>PASS</x:v>
      </x:c>
      <x:c r="Q142" s="4" t="n">
        <x:v>0</x:v>
      </x:c>
      <x:c r="R142" s="1" t="str">
        <x:v>PASS</x:v>
      </x:c>
      <x:c r="S142" s="4" t="n">
        <x:v>0</x:v>
      </x:c>
      <x:c r="T142" s="1" t="str">
        <x:v>NOT_REVEALING</x:v>
      </x:c>
      <x:c r="U142" s="1" t="str">
        <x:v>Closure_77</x:v>
      </x:c>
      <x:c r="V142" s="6" t="n">
        <x:v>67.42</x:v>
      </x:c>
    </x:row>
    <x:row r="143" ht="22" customHeight="1">
      <x:c r="A143" s="1" t="str">
        <x:v>Round1</x:v>
      </x:c>
      <x:c r="B143" s="1" t="str">
        <x:v>Closure</x:v>
      </x:c>
      <x:c r="C143" s="4" t="n">
        <x:v>78</x:v>
      </x:c>
      <x:c r="D143" s="4" t="n">
        <x:v>0</x:v>
      </x:c>
      <x:c r="E143" s="4" t="n">
        <x:v>60</x:v>
      </x:c>
      <x:c r="F143" s="4" t="n">
        <x:v>9</x:v>
      </x:c>
      <x:c r="G143" s="5" t="n">
        <x:v>0.0104</x:v>
      </x:c>
      <x:c r="H143" s="5" t="n">
        <x:v>0.0183</x:v>
      </x:c>
      <x:c r="I143" s="5" t="n">
        <x:v>0</x:v>
      </x:c>
      <x:c r="J143" s="4" t="n">
        <x:v>1344</x:v>
      </x:c>
      <x:c r="K143" s="4" t="n">
        <x:v>14</x:v>
      </x:c>
      <x:c r="L143" s="4" t="n">
        <x:v>764</x:v>
      </x:c>
      <x:c r="M143" s="4" t="n">
        <x:v>14</x:v>
      </x:c>
      <x:c r="N143" s="4" t="n">
        <x:v>580</x:v>
      </x:c>
      <x:c r="O143" s="4" t="n">
        <x:v>0</x:v>
      </x:c>
      <x:c r="P143" s="1" t="str">
        <x:v>PASS</x:v>
      </x:c>
      <x:c r="Q143" s="4" t="n">
        <x:v>0</x:v>
      </x:c>
      <x:c r="R143" s="1" t="str">
        <x:v>PASS</x:v>
      </x:c>
      <x:c r="S143" s="4" t="n">
        <x:v>0</x:v>
      </x:c>
      <x:c r="T143" s="1" t="str">
        <x:v>NOT_REVEALING</x:v>
      </x:c>
      <x:c r="U143" s="1" t="str">
        <x:v>Closure_78</x:v>
      </x:c>
      <x:c r="V143" s="6" t="n">
        <x:v>51.59</x:v>
      </x:c>
    </x:row>
    <x:row r="144" ht="22" customHeight="1">
      <x:c r="A144" s="1" t="str">
        <x:v>Round1</x:v>
      </x:c>
      <x:c r="B144" s="1" t="str">
        <x:v>Closure</x:v>
      </x:c>
      <x:c r="C144" s="4" t="n">
        <x:v>79</x:v>
      </x:c>
      <x:c r="D144" s="4" t="n">
        <x:v>0</x:v>
      </x:c>
      <x:c r="E144" s="4" t="n">
        <x:v>60</x:v>
      </x:c>
      <x:c r="F144" s="4" t="n">
        <x:v>323</x:v>
      </x:c>
      <x:c r="G144" s="5" t="n">
        <x:v>0.07629999999999999</x:v>
      </x:c>
      <x:c r="H144" s="5" t="n">
        <x:v>0.12279999999999999</x:v>
      </x:c>
      <x:c r="I144" s="5" t="n">
        <x:v>0</x:v>
      </x:c>
      <x:c r="J144" s="4" t="n">
        <x:v>629</x:v>
      </x:c>
      <x:c r="K144" s="4" t="n">
        <x:v>48</x:v>
      </x:c>
      <x:c r="L144" s="4" t="n">
        <x:v>391</x:v>
      </x:c>
      <x:c r="M144" s="4" t="n">
        <x:v>48</x:v>
      </x:c>
      <x:c r="N144" s="4" t="n">
        <x:v>238</x:v>
      </x:c>
      <x:c r="O144" s="4" t="n">
        <x:v>0</x:v>
      </x:c>
      <x:c r="P144" s="1" t="str">
        <x:v>PASS</x:v>
      </x:c>
      <x:c r="Q144" s="4" t="n">
        <x:v>0</x:v>
      </x:c>
      <x:c r="R144" s="1" t="str">
        <x:v>PASS</x:v>
      </x:c>
      <x:c r="S144" s="4" t="n">
        <x:v>0</x:v>
      </x:c>
      <x:c r="T144" s="1" t="str">
        <x:v>NOT_REVEALING</x:v>
      </x:c>
      <x:c r="U144" s="1" t="str">
        <x:v>Closure_79</x:v>
      </x:c>
      <x:c r="V144" s="6" t="n">
        <x:v>60.16</x:v>
      </x:c>
    </x:row>
    <x:row r="145" ht="22" customHeight="1">
      <x:c r="A145" s="1" t="str">
        <x:v>Round1</x:v>
      </x:c>
      <x:c r="B145" s="1" t="str">
        <x:v>Closure</x:v>
      </x:c>
      <x:c r="C145" s="4" t="n">
        <x:v>80</x:v>
      </x:c>
      <x:c r="D145" s="4" t="n">
        <x:v>0</x:v>
      </x:c>
      <x:c r="E145" s="4" t="n">
        <x:v>60</x:v>
      </x:c>
      <x:c r="F145" s="4" t="n">
        <x:v>1633</x:v>
      </x:c>
      <x:c r="G145" s="5" t="n">
        <x:v>0.3824</x:v>
      </x:c>
      <x:c r="H145" s="5" t="n">
        <x:v>0.4612</x:v>
      </x:c>
      <x:c r="I145" s="5" t="n">
        <x:v>0.301</x:v>
      </x:c>
      <x:c r="J145" s="4" t="n">
        <x:v>1802</x:v>
      </x:c>
      <x:c r="K145" s="4" t="n">
        <x:v>689</x:v>
      </x:c>
      <x:c r="L145" s="4" t="n">
        <x:v>915</x:v>
      </x:c>
      <x:c r="M145" s="4" t="n">
        <x:v>422</x:v>
      </x:c>
      <x:c r="N145" s="4" t="n">
        <x:v>887</x:v>
      </x:c>
      <x:c r="O145" s="4" t="n">
        <x:v>267</x:v>
      </x:c>
      <x:c r="P145" s="1" t="str">
        <x:v>PASS</x:v>
      </x:c>
      <x:c r="Q145" s="4" t="n">
        <x:v>0</x:v>
      </x:c>
      <x:c r="R145" s="1" t="str">
        <x:v>PASS</x:v>
      </x:c>
      <x:c r="S145" s="4" t="n">
        <x:v>0</x:v>
      </x:c>
      <x:c r="T145" s="1" t="str">
        <x:v>NOT_REVEALING</x:v>
      </x:c>
      <x:c r="U145" s="1" t="str">
        <x:v>Closure_80</x:v>
      </x:c>
      <x:c r="V145" s="6" t="n">
        <x:v>74.03</x:v>
      </x:c>
    </x:row>
    <x:row r="146" ht="22" customHeight="1">
      <x:c r="A146" s="1" t="str">
        <x:v>Round1</x:v>
      </x:c>
      <x:c r="B146" s="1" t="str">
        <x:v>Closure</x:v>
      </x:c>
      <x:c r="C146" s="4" t="n">
        <x:v>81</x:v>
      </x:c>
      <x:c r="D146" s="4" t="n">
        <x:v>0</x:v>
      </x:c>
      <x:c r="E146" s="4" t="n">
        <x:v>60</x:v>
      </x:c>
      <x:c r="F146" s="4" t="n">
        <x:v>3</x:v>
      </x:c>
      <x:c r="G146" s="5" t="n">
        <x:v>0.0011</x:v>
      </x:c>
      <x:c r="H146" s="5" t="n">
        <x:v>0.0017000000000000001</x:v>
      </x:c>
      <x:c r="I146" s="5" t="n">
        <x:v>0</x:v>
      </x:c>
      <x:c r="J146" s="4" t="n">
        <x:v>906</x:v>
      </x:c>
      <x:c r="K146" s="4" t="n">
        <x:v>1</x:v>
      </x:c>
      <x:c r="L146" s="4" t="n">
        <x:v>587</x:v>
      </x:c>
      <x:c r="M146" s="4" t="n">
        <x:v>1</x:v>
      </x:c>
      <x:c r="N146" s="4" t="n">
        <x:v>319</x:v>
      </x:c>
      <x:c r="O146" s="4" t="n">
        <x:v>0</x:v>
      </x:c>
      <x:c r="P146" s="1" t="str">
        <x:v>PASS</x:v>
      </x:c>
      <x:c r="Q146" s="4" t="n">
        <x:v>0</x:v>
      </x:c>
      <x:c r="R146" s="1" t="str">
        <x:v>PASS</x:v>
      </x:c>
      <x:c r="S146" s="4" t="n">
        <x:v>0</x:v>
      </x:c>
      <x:c r="T146" s="1" t="str">
        <x:v>NOT_REVEALING</x:v>
      </x:c>
      <x:c r="U146" s="1" t="str">
        <x:v>Closure_81</x:v>
      </x:c>
      <x:c r="V146" s="6" t="n">
        <x:v>51.31</x:v>
      </x:c>
    </x:row>
    <x:row r="147" ht="22" customHeight="1">
      <x:c r="A147" s="1" t="str">
        <x:v>Round1</x:v>
      </x:c>
      <x:c r="B147" s="1" t="str">
        <x:v>Closure</x:v>
      </x:c>
      <x:c r="C147" s="4" t="n">
        <x:v>82</x:v>
      </x:c>
      <x:c r="D147" s="4" t="n">
        <x:v>0</x:v>
      </x:c>
      <x:c r="E147" s="4" t="n">
        <x:v>60</x:v>
      </x:c>
      <x:c r="F147" s="4" t="n">
        <x:v>4535</x:v>
      </x:c>
      <x:c r="G147" s="5" t="n">
        <x:v>0.0344</x:v>
      </x:c>
      <x:c r="H147" s="5" t="n">
        <x:v>0.045</x:v>
      </x:c>
      <x:c r="I147" s="5" t="n">
        <x:v>0.0192</x:v>
      </x:c>
      <x:c r="J147" s="4" t="n">
        <x:v>378</x:v>
      </x:c>
      <x:c r="K147" s="4" t="n">
        <x:v>13</x:v>
      </x:c>
      <x:c r="L147" s="4" t="n">
        <x:v>222</x:v>
      </x:c>
      <x:c r="M147" s="4" t="n">
        <x:v>10</x:v>
      </x:c>
      <x:c r="N147" s="4" t="n">
        <x:v>156</x:v>
      </x:c>
      <x:c r="O147" s="4" t="n">
        <x:v>3</x:v>
      </x:c>
      <x:c r="P147" s="1" t="str">
        <x:v>PASS</x:v>
      </x:c>
      <x:c r="Q147" s="4" t="n">
        <x:v>0</x:v>
      </x:c>
      <x:c r="R147" s="1" t="str">
        <x:v>PASS</x:v>
      </x:c>
      <x:c r="S147" s="4" t="n">
        <x:v>0</x:v>
      </x:c>
      <x:c r="T147" s="1" t="str">
        <x:v>NOT_REVEALING</x:v>
      </x:c>
      <x:c r="U147" s="1" t="str">
        <x:v>Closure_82</x:v>
      </x:c>
      <x:c r="V147" s="6" t="n">
        <x:v>80.64</x:v>
      </x:c>
    </x:row>
    <x:row r="148" ht="22" customHeight="1">
      <x:c r="A148" s="1" t="str">
        <x:v>Round1</x:v>
      </x:c>
      <x:c r="B148" s="1" t="str">
        <x:v>Closure</x:v>
      </x:c>
      <x:c r="C148" s="4" t="n">
        <x:v>83</x:v>
      </x:c>
      <x:c r="D148" s="4" t="n">
        <x:v>0</x:v>
      </x:c>
      <x:c r="E148" s="4" t="n">
        <x:v>60</x:v>
      </x:c>
      <x:c r="F148" s="4" t="n">
        <x:v>6</x:v>
      </x:c>
      <x:c r="G148" s="5" t="n">
        <x:v>0.4585</x:v>
      </x:c>
      <x:c r="H148" s="5" t="n">
        <x:v>0.5078</x:v>
      </x:c>
      <x:c r="I148" s="5" t="n">
        <x:v>0.19440000000000002</x:v>
      </x:c>
      <x:c r="J148" s="4" t="n">
        <x:v>229</x:v>
      </x:c>
      <x:c r="K148" s="4" t="n">
        <x:v>105</x:v>
      </x:c>
      <x:c r="L148" s="4" t="n">
        <x:v>193</x:v>
      </x:c>
      <x:c r="M148" s="4" t="n">
        <x:v>98</x:v>
      </x:c>
      <x:c r="N148" s="4" t="n">
        <x:v>36</x:v>
      </x:c>
      <x:c r="O148" s="4" t="n">
        <x:v>7</x:v>
      </x:c>
      <x:c r="P148" s="1" t="str">
        <x:v>FAIL</x:v>
      </x:c>
      <x:c r="Q148" s="4" t="n">
        <x:v>2</x:v>
      </x:c>
      <x:c r="R148" s="1" t="str">
        <x:v>FAIL</x:v>
      </x:c>
      <x:c r="S148" s="4" t="n">
        <x:v>2</x:v>
      </x:c>
      <x:c r="T148" s="1" t="str">
        <x:v>INCONCLUSIVE</x:v>
      </x:c>
      <x:c r="U148" s="1" t="str">
        <x:v>Closure_83</x:v>
      </x:c>
      <x:c r="V148" s="6" t="n">
        <x:v>47.02</x:v>
      </x:c>
    </x:row>
    <x:row r="149" ht="22" customHeight="1">
      <x:c r="A149" s="1" t="str">
        <x:v>Round1</x:v>
      </x:c>
      <x:c r="B149" s="1" t="str">
        <x:v>Closure</x:v>
      </x:c>
      <x:c r="C149" s="4" t="n">
        <x:v>84</x:v>
      </x:c>
      <x:c r="D149" s="4" t="n">
        <x:v>0</x:v>
      </x:c>
      <x:c r="E149" s="4" t="n">
        <x:v>60</x:v>
      </x:c>
      <x:c r="F149" s="4" t="n">
        <x:v>3</x:v>
      </x:c>
      <x:c r="G149" s="5" t="n">
        <x:v>0.0012</x:v>
      </x:c>
      <x:c r="H149" s="5" t="n">
        <x:v>0.0018</x:v>
      </x:c>
      <x:c r="I149" s="5" t="n">
        <x:v>0</x:v>
      </x:c>
      <x:c r="J149" s="4" t="n">
        <x:v>845</x:v>
      </x:c>
      <x:c r="K149" s="4" t="n">
        <x:v>1</x:v>
      </x:c>
      <x:c r="L149" s="4" t="n">
        <x:v>552</x:v>
      </x:c>
      <x:c r="M149" s="4" t="n">
        <x:v>1</x:v>
      </x:c>
      <x:c r="N149" s="4" t="n">
        <x:v>293</x:v>
      </x:c>
      <x:c r="O149" s="4" t="n">
        <x:v>0</x:v>
      </x:c>
      <x:c r="P149" s="1" t="str">
        <x:v>PASS</x:v>
      </x:c>
      <x:c r="Q149" s="4" t="n">
        <x:v>0</x:v>
      </x:c>
      <x:c r="R149" s="1" t="str">
        <x:v>PASS</x:v>
      </x:c>
      <x:c r="S149" s="4" t="n">
        <x:v>0</x:v>
      </x:c>
      <x:c r="T149" s="1" t="str">
        <x:v>NOT_REVEALING</x:v>
      </x:c>
      <x:c r="U149" s="1" t="str">
        <x:v>Closure_84</x:v>
      </x:c>
      <x:c r="V149" s="6" t="n">
        <x:v>46.57</x:v>
      </x:c>
    </x:row>
    <x:row r="150" ht="22" customHeight="1">
      <x:c r="A150" s="1" t="str">
        <x:v>Round1</x:v>
      </x:c>
      <x:c r="B150" s="1" t="str">
        <x:v>Closure</x:v>
      </x:c>
      <x:c r="C150" s="4" t="n">
        <x:v>85</x:v>
      </x:c>
      <x:c r="D150" s="4" t="n">
        <x:v>0</x:v>
      </x:c>
      <x:c r="E150" s="4" t="n">
        <x:v>60</x:v>
      </x:c>
      <x:c r="F150" s="4" t="n">
        <x:v>1865</x:v>
      </x:c>
      <x:c r="G150" s="5" t="n">
        <x:v>0.1045</x:v>
      </x:c>
      <x:c r="H150" s="5" t="n">
        <x:v>0.16670000000000001</x:v>
      </x:c>
      <x:c r="I150" s="5" t="n">
        <x:v>0.0179</x:v>
      </x:c>
      <x:c r="J150" s="4" t="n">
        <x:v>134</x:v>
      </x:c>
      <x:c r="K150" s="4" t="n">
        <x:v>14</x:v>
      </x:c>
      <x:c r="L150" s="4" t="n">
        <x:v>78</x:v>
      </x:c>
      <x:c r="M150" s="4" t="n">
        <x:v>13</x:v>
      </x:c>
      <x:c r="N150" s="4" t="n">
        <x:v>56</x:v>
      </x:c>
      <x:c r="O150" s="4" t="n">
        <x:v>1</x:v>
      </x:c>
      <x:c r="P150" s="1" t="str">
        <x:v>PASS</x:v>
      </x:c>
      <x:c r="Q150" s="4" t="n">
        <x:v>0</x:v>
      </x:c>
      <x:c r="R150" s="1" t="str">
        <x:v>PASS</x:v>
      </x:c>
      <x:c r="S150" s="4" t="n">
        <x:v>0</x:v>
      </x:c>
      <x:c r="T150" s="1" t="str">
        <x:v>NOT_REVEALING</x:v>
      </x:c>
      <x:c r="U150" s="1" t="str">
        <x:v>Closure_85</x:v>
      </x:c>
      <x:c r="V150" s="6" t="n">
        <x:v>66.78</x:v>
      </x:c>
    </x:row>
    <x:row r="151" ht="22" customHeight="1">
      <x:c r="A151" s="1" t="str">
        <x:v>Round1</x:v>
      </x:c>
      <x:c r="B151" s="1" t="str">
        <x:v>Closure</x:v>
      </x:c>
      <x:c r="C151" s="4" t="n">
        <x:v>86</x:v>
      </x:c>
      <x:c r="D151" s="4" t="n">
        <x:v>0</x:v>
      </x:c>
      <x:c r="E151" s="4" t="n">
        <x:v>60</x:v>
      </x:c>
      <x:c r="F151" s="4" t="n">
        <x:v>1690</x:v>
      </x:c>
      <x:c r="G151" s="5" t="n">
        <x:v>0.366</x:v>
      </x:c>
      <x:c r="H151" s="5" t="n">
        <x:v>0.4471</x:v>
      </x:c>
      <x:c r="I151" s="5" t="n">
        <x:v>0.2812</x:v>
      </x:c>
      <x:c r="J151" s="4" t="n">
        <x:v>1478</x:v>
      </x:c>
      <x:c r="K151" s="4" t="n">
        <x:v>541</x:v>
      </x:c>
      <x:c r="L151" s="4" t="n">
        <x:v>756</x:v>
      </x:c>
      <x:c r="M151" s="4" t="n">
        <x:v>338</x:v>
      </x:c>
      <x:c r="N151" s="4" t="n">
        <x:v>722</x:v>
      </x:c>
      <x:c r="O151" s="4" t="n">
        <x:v>203</x:v>
      </x:c>
      <x:c r="P151" s="1" t="str">
        <x:v>PASS</x:v>
      </x:c>
      <x:c r="Q151" s="4" t="n">
        <x:v>0</x:v>
      </x:c>
      <x:c r="R151" s="1" t="str">
        <x:v>PASS</x:v>
      </x:c>
      <x:c r="S151" s="4" t="n">
        <x:v>0</x:v>
      </x:c>
      <x:c r="T151" s="1" t="str">
        <x:v>NOT_REVEALING</x:v>
      </x:c>
      <x:c r="U151" s="1" t="str">
        <x:v>Closure_86</x:v>
      </x:c>
      <x:c r="V151" s="6" t="n">
        <x:v>74.69</x:v>
      </x:c>
    </x:row>
    <x:row r="152" ht="22" customHeight="1">
      <x:c r="A152" s="1" t="str">
        <x:v>Round1</x:v>
      </x:c>
      <x:c r="B152" s="1" t="str">
        <x:v>Closure</x:v>
      </x:c>
      <x:c r="C152" s="4" t="n">
        <x:v>87</x:v>
      </x:c>
      <x:c r="D152" s="4" t="n">
        <x:v>0</x:v>
      </x:c>
      <x:c r="E152" s="4" t="n">
        <x:v>60</x:v>
      </x:c>
      <x:c r="F152" s="4" t="n">
        <x:v>7</x:v>
      </x:c>
      <x:c r="G152" s="5" t="n">
        <x:v>0.0196</x:v>
      </x:c>
      <x:c r="H152" s="5" t="n">
        <x:v>0.0308</x:v>
      </x:c>
      <x:c r="I152" s="5" t="n">
        <x:v>0.0032</x:v>
      </x:c>
      <x:c r="J152" s="4" t="n">
        <x:v>764</x:v>
      </x:c>
      <x:c r="K152" s="4" t="n">
        <x:v>15</x:v>
      </x:c>
      <x:c r="L152" s="4" t="n">
        <x:v>455</x:v>
      </x:c>
      <x:c r="M152" s="4" t="n">
        <x:v>14</x:v>
      </x:c>
      <x:c r="N152" s="4" t="n">
        <x:v>309</x:v>
      </x:c>
      <x:c r="O152" s="4" t="n">
        <x:v>1</x:v>
      </x:c>
      <x:c r="P152" s="1" t="str">
        <x:v>PASS</x:v>
      </x:c>
      <x:c r="Q152" s="4" t="n">
        <x:v>0</x:v>
      </x:c>
      <x:c r="R152" s="1" t="str">
        <x:v>PASS</x:v>
      </x:c>
      <x:c r="S152" s="4" t="n">
        <x:v>0</x:v>
      </x:c>
      <x:c r="T152" s="1" t="str">
        <x:v>NOT_REVEALING</x:v>
      </x:c>
      <x:c r="U152" s="1" t="str">
        <x:v>Closure_87</x:v>
      </x:c>
      <x:c r="V152" s="6" t="n">
        <x:v>47.54</x:v>
      </x:c>
    </x:row>
    <x:row r="153" ht="22" customHeight="1">
      <x:c r="A153" s="1" t="str">
        <x:v>Round1</x:v>
      </x:c>
      <x:c r="B153" s="1" t="str">
        <x:v>Closure</x:v>
      </x:c>
      <x:c r="C153" s="4" t="n">
        <x:v>88</x:v>
      </x:c>
      <x:c r="D153" s="4" t="n">
        <x:v>0</x:v>
      </x:c>
      <x:c r="E153" s="4" t="n">
        <x:v>60</x:v>
      </x:c>
      <x:c r="F153" s="4" t="n">
        <x:v>1976</x:v>
      </x:c>
      <x:c r="G153" s="5" t="n">
        <x:v>0.0388</x:v>
      </x:c>
      <x:c r="H153" s="5" t="n">
        <x:v>0.0682</x:v>
      </x:c>
      <x:c r="I153" s="5" t="n">
        <x:v>0</x:v>
      </x:c>
      <x:c r="J153" s="4" t="n">
        <x:v>232</x:v>
      </x:c>
      <x:c r="K153" s="4" t="n">
        <x:v>9</x:v>
      </x:c>
      <x:c r="L153" s="4" t="n">
        <x:v>132</x:v>
      </x:c>
      <x:c r="M153" s="4" t="n">
        <x:v>9</x:v>
      </x:c>
      <x:c r="N153" s="4" t="n">
        <x:v>100</x:v>
      </x:c>
      <x:c r="O153" s="4" t="n">
        <x:v>0</x:v>
      </x:c>
      <x:c r="P153" s="1" t="str">
        <x:v>PASS</x:v>
      </x:c>
      <x:c r="Q153" s="4" t="n">
        <x:v>0</x:v>
      </x:c>
      <x:c r="R153" s="1" t="str">
        <x:v>PASS</x:v>
      </x:c>
      <x:c r="S153" s="4" t="n">
        <x:v>0</x:v>
      </x:c>
      <x:c r="T153" s="1" t="str">
        <x:v>NOT_REVEALING</x:v>
      </x:c>
      <x:c r="U153" s="1" t="str">
        <x:v>Closure_88</x:v>
      </x:c>
      <x:c r="V153" s="6" t="n">
        <x:v>65.53</x:v>
      </x:c>
    </x:row>
    <x:row r="154" ht="22" customHeight="1">
      <x:c r="A154" s="1" t="str">
        <x:v>Round1</x:v>
      </x:c>
      <x:c r="B154" s="1" t="str">
        <x:v>Closure</x:v>
      </x:c>
      <x:c r="C154" s="4" t="n">
        <x:v>89</x:v>
      </x:c>
      <x:c r="D154" s="4" t="n">
        <x:v>0</x:v>
      </x:c>
      <x:c r="E154" s="4" t="n">
        <x:v>60</x:v>
      </x:c>
      <x:c r="F154" s="4" t="n">
        <x:v>1457</x:v>
      </x:c>
      <x:c r="G154" s="5" t="n">
        <x:v>0.17329999999999998</x:v>
      </x:c>
      <x:c r="H154" s="5" t="n">
        <x:v>0.2101</x:v>
      </x:c>
      <x:c r="I154" s="5" t="n">
        <x:v>0.12279999999999999</x:v>
      </x:c>
      <x:c r="J154" s="4" t="n">
        <x:v>1235</x:v>
      </x:c>
      <x:c r="K154" s="4" t="n">
        <x:v>214</x:v>
      </x:c>
      <x:c r="L154" s="4" t="n">
        <x:v>714</x:v>
      </x:c>
      <x:c r="M154" s="4" t="n">
        <x:v>150</x:v>
      </x:c>
      <x:c r="N154" s="4" t="n">
        <x:v>521</x:v>
      </x:c>
      <x:c r="O154" s="4" t="n">
        <x:v>64</x:v>
      </x:c>
      <x:c r="P154" s="1" t="str">
        <x:v>PASS</x:v>
      </x:c>
      <x:c r="Q154" s="4" t="n">
        <x:v>0</x:v>
      </x:c>
      <x:c r="R154" s="1" t="str">
        <x:v>PASS</x:v>
      </x:c>
      <x:c r="S154" s="4" t="n">
        <x:v>0</x:v>
      </x:c>
      <x:c r="T154" s="1" t="str">
        <x:v>NOT_REVEALING</x:v>
      </x:c>
      <x:c r="U154" s="1" t="str">
        <x:v>Closure_89</x:v>
      </x:c>
      <x:c r="V154" s="6" t="n">
        <x:v>62.87</x:v>
      </x:c>
    </x:row>
    <x:row r="155" ht="22" customHeight="1">
      <x:c r="A155" s="1" t="str">
        <x:v>Round1</x:v>
      </x:c>
      <x:c r="B155" s="1" t="str">
        <x:v>Closure</x:v>
      </x:c>
      <x:c r="C155" s="4" t="n">
        <x:v>90</x:v>
      </x:c>
      <x:c r="D155" s="4" t="n">
        <x:v>0</x:v>
      </x:c>
      <x:c r="E155" s="4" t="n">
        <x:v>60</x:v>
      </x:c>
      <x:c r="F155" s="4" t="n">
        <x:v>3203</x:v>
      </x:c>
      <x:c r="G155" s="5" t="n">
        <x:v>0.022099999999999998</x:v>
      </x:c>
      <x:c r="H155" s="5" t="n">
        <x:v>0.039599999999999996</x:v>
      </x:c>
      <x:c r="I155" s="5" t="n">
        <x:v>0</x:v>
      </x:c>
      <x:c r="J155" s="4" t="n">
        <x:v>1178</x:v>
      </x:c>
      <x:c r="K155" s="4" t="n">
        <x:v>26</x:v>
      </x:c>
      <x:c r="L155" s="4" t="n">
        <x:v>656</x:v>
      </x:c>
      <x:c r="M155" s="4" t="n">
        <x:v>26</x:v>
      </x:c>
      <x:c r="N155" s="4" t="n">
        <x:v>522</x:v>
      </x:c>
      <x:c r="O155" s="4" t="n">
        <x:v>0</x:v>
      </x:c>
      <x:c r="P155" s="1" t="str">
        <x:v>PASS</x:v>
      </x:c>
      <x:c r="Q155" s="4" t="n">
        <x:v>0</x:v>
      </x:c>
      <x:c r="R155" s="1" t="str">
        <x:v>PASS</x:v>
      </x:c>
      <x:c r="S155" s="4" t="n">
        <x:v>0</x:v>
      </x:c>
      <x:c r="T155" s="1" t="str">
        <x:v>NOT_REVEALING</x:v>
      </x:c>
      <x:c r="U155" s="1" t="str">
        <x:v>Closure_90</x:v>
      </x:c>
      <x:c r="V155" s="6" t="n">
        <x:v>53.2</x:v>
      </x:c>
    </x:row>
    <x:row r="156" ht="22" customHeight="1">
      <x:c r="A156" s="1" t="str">
        <x:v>Round1</x:v>
      </x:c>
      <x:c r="B156" s="1" t="str">
        <x:v>Closure</x:v>
      </x:c>
      <x:c r="C156" s="4" t="n">
        <x:v>91</x:v>
      </x:c>
      <x:c r="D156" s="4" t="n">
        <x:v>0</x:v>
      </x:c>
      <x:c r="E156" s="4" t="n">
        <x:v>60</x:v>
      </x:c>
      <x:c r="F156" s="4" t="n">
        <x:v>5</x:v>
      </x:c>
      <x:c r="G156" s="5" t="n">
        <x:v>0.0684</x:v>
      </x:c>
      <x:c r="H156" s="5" t="n">
        <x:v>0.15689999999999998</x:v>
      </x:c>
      <x:c r="I156" s="5" t="n">
        <x:v>0</x:v>
      </x:c>
      <x:c r="J156" s="4" t="n">
        <x:v>117</x:v>
      </x:c>
      <x:c r="K156" s="4" t="n">
        <x:v>8</x:v>
      </x:c>
      <x:c r="L156" s="4" t="n">
        <x:v>51</x:v>
      </x:c>
      <x:c r="M156" s="4" t="n">
        <x:v>8</x:v>
      </x:c>
      <x:c r="N156" s="4" t="n">
        <x:v>66</x:v>
      </x:c>
      <x:c r="O156" s="4" t="n">
        <x:v>0</x:v>
      </x:c>
      <x:c r="P156" s="1" t="str">
        <x:v>PASS</x:v>
      </x:c>
      <x:c r="Q156" s="4" t="n">
        <x:v>0</x:v>
      </x:c>
      <x:c r="R156" s="1" t="str">
        <x:v>PASS</x:v>
      </x:c>
      <x:c r="S156" s="4" t="n">
        <x:v>0</x:v>
      </x:c>
      <x:c r="T156" s="1" t="str">
        <x:v>NOT_REVEALING</x:v>
      </x:c>
      <x:c r="U156" s="1" t="str">
        <x:v>Closure_91</x:v>
      </x:c>
      <x:c r="V156" s="6" t="n">
        <x:v>36.44</x:v>
      </x:c>
    </x:row>
    <x:row r="157" ht="22" customHeight="1">
      <x:c r="A157" s="1" t="str">
        <x:v>Round1</x:v>
      </x:c>
      <x:c r="B157" s="1" t="str">
        <x:v>Closure</x:v>
      </x:c>
      <x:c r="C157" s="4" t="n">
        <x:v>92</x:v>
      </x:c>
      <x:c r="D157" s="4" t="n">
        <x:v>0</x:v>
      </x:c>
      <x:c r="E157" s="4" t="n">
        <x:v>60</x:v>
      </x:c>
      <x:c r="F157" s="4" t="n">
        <x:v>15</x:v>
      </x:c>
      <x:c r="G157" s="5" t="n">
        <x:v>0.03</x:v>
      </x:c>
      <x:c r="H157" s="5" t="n">
        <x:v>0.0489</x:v>
      </x:c>
      <x:c r="I157" s="5" t="n">
        <x:v>0</x:v>
      </x:c>
      <x:c r="J157" s="4" t="n">
        <x:v>667</x:v>
      </x:c>
      <x:c r="K157" s="4" t="n">
        <x:v>20</x:v>
      </x:c>
      <x:c r="L157" s="4" t="n">
        <x:v>409</x:v>
      </x:c>
      <x:c r="M157" s="4" t="n">
        <x:v>20</x:v>
      </x:c>
      <x:c r="N157" s="4" t="n">
        <x:v>258</x:v>
      </x:c>
      <x:c r="O157" s="4" t="n">
        <x:v>0</x:v>
      </x:c>
      <x:c r="P157" s="1" t="str">
        <x:v>PASS</x:v>
      </x:c>
      <x:c r="Q157" s="4" t="n">
        <x:v>0</x:v>
      </x:c>
      <x:c r="R157" s="1" t="str">
        <x:v>PASS</x:v>
      </x:c>
      <x:c r="S157" s="4" t="n">
        <x:v>0</x:v>
      </x:c>
      <x:c r="T157" s="1" t="str">
        <x:v>NOT_REVEALING</x:v>
      </x:c>
      <x:c r="U157" s="1" t="str">
        <x:v>Closure_92</x:v>
      </x:c>
      <x:c r="V157" s="6" t="n">
        <x:v>38.96</x:v>
      </x:c>
    </x:row>
    <x:row r="158" ht="22" customHeight="1">
      <x:c r="A158" s="1" t="str">
        <x:v>Round1</x:v>
      </x:c>
      <x:c r="B158" s="1" t="str">
        <x:v>Closure</x:v>
      </x:c>
      <x:c r="C158" s="4" t="n">
        <x:v>94</x:v>
      </x:c>
      <x:c r="D158" s="4" t="n">
        <x:v>0</x:v>
      </x:c>
      <x:c r="E158" s="4" t="n">
        <x:v>60</x:v>
      </x:c>
      <x:c r="F158" s="4" t="n">
        <x:v>1708</x:v>
      </x:c>
      <x:c r="G158" s="5" t="n">
        <x:v>0.4501</x:v>
      </x:c>
      <x:c r="H158" s="5" t="n">
        <x:v>0.5342</x:v>
      </x:c>
      <x:c r="I158" s="5" t="n">
        <x:v>0.36229999999999996</x:v>
      </x:c>
      <x:c r="J158" s="4" t="n">
        <x:v>1344</x:v>
      </x:c>
      <x:c r="K158" s="4" t="n">
        <x:v>605</x:v>
      </x:c>
      <x:c r="L158" s="4" t="n">
        <x:v>687</x:v>
      </x:c>
      <x:c r="M158" s="4" t="n">
        <x:v>367</x:v>
      </x:c>
      <x:c r="N158" s="4" t="n">
        <x:v>657</x:v>
      </x:c>
      <x:c r="O158" s="4" t="n">
        <x:v>238</x:v>
      </x:c>
      <x:c r="P158" s="1" t="str">
        <x:v>FAIL</x:v>
      </x:c>
      <x:c r="Q158" s="4" t="n">
        <x:v>2</x:v>
      </x:c>
      <x:c r="R158" s="1" t="str">
        <x:v>FAIL</x:v>
      </x:c>
      <x:c r="S158" s="4" t="n">
        <x:v>2</x:v>
      </x:c>
      <x:c r="T158" s="1" t="str">
        <x:v>INCONCLUSIVE</x:v>
      </x:c>
      <x:c r="U158" s="1" t="str">
        <x:v>Closure_94</x:v>
      </x:c>
      <x:c r="V158" s="6" t="n">
        <x:v>67.65</x:v>
      </x:c>
    </x:row>
    <x:row r="159" ht="22" customHeight="1">
      <x:c r="A159" s="1" t="str">
        <x:v>Round1</x:v>
      </x:c>
      <x:c r="B159" s="1" t="str">
        <x:v>Closure</x:v>
      </x:c>
      <x:c r="C159" s="4" t="n">
        <x:v>95</x:v>
      </x:c>
      <x:c r="D159" s="4" t="n">
        <x:v>0</x:v>
      </x:c>
      <x:c r="E159" s="4" t="n">
        <x:v>60</x:v>
      </x:c>
      <x:c r="F159" s="4" t="n">
        <x:v>7</x:v>
      </x:c>
      <x:c r="G159" s="5" t="n">
        <x:v>0.0096</x:v>
      </x:c>
      <x:c r="H159" s="5" t="n">
        <x:v>0.0166</x:v>
      </x:c>
      <x:c r="I159" s="5" t="n">
        <x:v>0</x:v>
      </x:c>
      <x:c r="J159" s="4" t="n">
        <x:v>1150</x:v>
      </x:c>
      <x:c r="K159" s="4" t="n">
        <x:v>11</x:v>
      </x:c>
      <x:c r="L159" s="4" t="n">
        <x:v>663</x:v>
      </x:c>
      <x:c r="M159" s="4" t="n">
        <x:v>11</x:v>
      </x:c>
      <x:c r="N159" s="4" t="n">
        <x:v>487</x:v>
      </x:c>
      <x:c r="O159" s="4" t="n">
        <x:v>0</x:v>
      </x:c>
      <x:c r="P159" s="1" t="str">
        <x:v>PASS</x:v>
      </x:c>
      <x:c r="Q159" s="4" t="n">
        <x:v>0</x:v>
      </x:c>
      <x:c r="R159" s="1" t="str">
        <x:v>PASS</x:v>
      </x:c>
      <x:c r="S159" s="4" t="n">
        <x:v>0</x:v>
      </x:c>
      <x:c r="T159" s="1" t="str">
        <x:v>NOT_REVEALING</x:v>
      </x:c>
      <x:c r="U159" s="1" t="str">
        <x:v>Closure_95</x:v>
      </x:c>
      <x:c r="V159" s="6" t="n">
        <x:v>36.88</x:v>
      </x:c>
    </x:row>
    <x:row r="160" ht="22" customHeight="1">
      <x:c r="A160" s="1" t="str">
        <x:v>Round1</x:v>
      </x:c>
      <x:c r="B160" s="1" t="str">
        <x:v>Closure</x:v>
      </x:c>
      <x:c r="C160" s="4" t="n">
        <x:v>96</x:v>
      </x:c>
      <x:c r="D160" s="4" t="n">
        <x:v>0</x:v>
      </x:c>
      <x:c r="E160" s="4" t="n">
        <x:v>60</x:v>
      </x:c>
      <x:c r="F160" s="4" t="n">
        <x:v>34</x:v>
      </x:c>
      <x:c r="G160" s="5" t="n">
        <x:v>0.058600000000000006</x:v>
      </x:c>
      <x:c r="H160" s="5" t="n">
        <x:v>0.0953</x:v>
      </x:c>
      <x:c r="I160" s="5" t="n">
        <x:v>0</x:v>
      </x:c>
      <x:c r="J160" s="4" t="n">
        <x:v>1110</x:v>
      </x:c>
      <x:c r="K160" s="4" t="n">
        <x:v>65</x:v>
      </x:c>
      <x:c r="L160" s="4" t="n">
        <x:v>682</x:v>
      </x:c>
      <x:c r="M160" s="4" t="n">
        <x:v>65</x:v>
      </x:c>
      <x:c r="N160" s="4" t="n">
        <x:v>428</x:v>
      </x:c>
      <x:c r="O160" s="4" t="n">
        <x:v>0</x:v>
      </x:c>
      <x:c r="P160" s="1" t="str">
        <x:v>PASS</x:v>
      </x:c>
      <x:c r="Q160" s="4" t="n">
        <x:v>0</x:v>
      </x:c>
      <x:c r="R160" s="1" t="str">
        <x:v>PASS</x:v>
      </x:c>
      <x:c r="S160" s="4" t="n">
        <x:v>0</x:v>
      </x:c>
      <x:c r="T160" s="1" t="str">
        <x:v>NOT_REVEALING</x:v>
      </x:c>
      <x:c r="U160" s="1" t="str">
        <x:v>Closure_96</x:v>
      </x:c>
      <x:c r="V160" s="6" t="n">
        <x:v>38.07</x:v>
      </x:c>
    </x:row>
    <x:row r="161" ht="22" customHeight="1">
      <x:c r="A161" s="1" t="str">
        <x:v>Round1</x:v>
      </x:c>
      <x:c r="B161" s="1" t="str">
        <x:v>Closure</x:v>
      </x:c>
      <x:c r="C161" s="4" t="n">
        <x:v>97</x:v>
      </x:c>
      <x:c r="D161" s="4" t="n">
        <x:v>0</x:v>
      </x:c>
      <x:c r="E161" s="4" t="n">
        <x:v>60</x:v>
      </x:c>
      <x:c r="F161" s="4" t="n">
        <x:v>10</x:v>
      </x:c>
      <x:c r="G161" s="5" t="n">
        <x:v>0.0141</x:v>
      </x:c>
      <x:c r="H161" s="5" t="n">
        <x:v>0.0252</x:v>
      </x:c>
      <x:c r="I161" s="5" t="n">
        <x:v>0</x:v>
      </x:c>
      <x:c r="J161" s="4" t="n">
        <x:v>992</x:v>
      </x:c>
      <x:c r="K161" s="4" t="n">
        <x:v>14</x:v>
      </x:c>
      <x:c r="L161" s="4" t="n">
        <x:v>555</x:v>
      </x:c>
      <x:c r="M161" s="4" t="n">
        <x:v>14</x:v>
      </x:c>
      <x:c r="N161" s="4" t="n">
        <x:v>437</x:v>
      </x:c>
      <x:c r="O161" s="4" t="n">
        <x:v>0</x:v>
      </x:c>
      <x:c r="P161" s="1" t="str">
        <x:v>PASS</x:v>
      </x:c>
      <x:c r="Q161" s="4" t="n">
        <x:v>0</x:v>
      </x:c>
      <x:c r="R161" s="1" t="str">
        <x:v>PASS</x:v>
      </x:c>
      <x:c r="S161" s="4" t="n">
        <x:v>0</x:v>
      </x:c>
      <x:c r="T161" s="1" t="str">
        <x:v>NOT_REVEALING</x:v>
      </x:c>
      <x:c r="U161" s="1" t="str">
        <x:v>Closure_97</x:v>
      </x:c>
      <x:c r="V161" s="6" t="n">
        <x:v>37.37</x:v>
      </x:c>
    </x:row>
    <x:row r="162" ht="22" customHeight="1">
      <x:c r="A162" s="1" t="str">
        <x:v>Round1</x:v>
      </x:c>
      <x:c r="B162" s="1" t="str">
        <x:v>Closure</x:v>
      </x:c>
      <x:c r="C162" s="4" t="n">
        <x:v>98</x:v>
      </x:c>
      <x:c r="D162" s="4" t="n">
        <x:v>0</x:v>
      </x:c>
      <x:c r="E162" s="4" t="n">
        <x:v>60</x:v>
      </x:c>
      <x:c r="F162" s="4" t="n">
        <x:v>1966</x:v>
      </x:c>
      <x:c r="G162" s="5" t="n">
        <x:v>0.2712</x:v>
      </x:c>
      <x:c r="H162" s="5" t="n">
        <x:v>0.38689999999999997</x:v>
      </x:c>
      <x:c r="I162" s="5" t="n">
        <x:v>0.11810000000000001</x:v>
      </x:c>
      <x:c r="J162" s="4" t="n">
        <x:v>295</x:v>
      </x:c>
      <x:c r="K162" s="4" t="n">
        <x:v>80</x:v>
      </x:c>
      <x:c r="L162" s="4" t="n">
        <x:v>168</x:v>
      </x:c>
      <x:c r="M162" s="4" t="n">
        <x:v>65</x:v>
      </x:c>
      <x:c r="N162" s="4" t="n">
        <x:v>127</x:v>
      </x:c>
      <x:c r="O162" s="4" t="n">
        <x:v>15</x:v>
      </x:c>
      <x:c r="P162" s="1" t="str">
        <x:v>PASS</x:v>
      </x:c>
      <x:c r="Q162" s="4" t="n">
        <x:v>0</x:v>
      </x:c>
      <x:c r="R162" s="1" t="str">
        <x:v>PASS</x:v>
      </x:c>
      <x:c r="S162" s="4" t="n">
        <x:v>0</x:v>
      </x:c>
      <x:c r="T162" s="1" t="str">
        <x:v>NOT_REVEALING</x:v>
      </x:c>
      <x:c r="U162" s="1" t="str">
        <x:v>Closure_98</x:v>
      </x:c>
      <x:c r="V162" s="6" t="n">
        <x:v>52.63</x:v>
      </x:c>
    </x:row>
    <x:row r="163" ht="22" customHeight="1">
      <x:c r="A163" s="1" t="str">
        <x:v>Round1</x:v>
      </x:c>
      <x:c r="B163" s="1" t="str">
        <x:v>Closure</x:v>
      </x:c>
      <x:c r="C163" s="4" t="n">
        <x:v>99</x:v>
      </x:c>
      <x:c r="D163" s="4" t="n">
        <x:v>0</x:v>
      </x:c>
      <x:c r="E163" s="4" t="n">
        <x:v>60</x:v>
      </x:c>
      <x:c r="F163" s="4" t="n">
        <x:v>5</x:v>
      </x:c>
      <x:c r="G163" s="5" t="n">
        <x:v>0.0762</x:v>
      </x:c>
      <x:c r="H163" s="5" t="n">
        <x:v>0.1702</x:v>
      </x:c>
      <x:c r="I163" s="5" t="n">
        <x:v>0</x:v>
      </x:c>
      <x:c r="J163" s="4" t="n">
        <x:v>105</x:v>
      </x:c>
      <x:c r="K163" s="4" t="n">
        <x:v>8</x:v>
      </x:c>
      <x:c r="L163" s="4" t="n">
        <x:v>47</x:v>
      </x:c>
      <x:c r="M163" s="4" t="n">
        <x:v>8</x:v>
      </x:c>
      <x:c r="N163" s="4" t="n">
        <x:v>58</x:v>
      </x:c>
      <x:c r="O163" s="4" t="n">
        <x:v>0</x:v>
      </x:c>
      <x:c r="P163" s="1" t="str">
        <x:v>PASS</x:v>
      </x:c>
      <x:c r="Q163" s="4" t="n">
        <x:v>0</x:v>
      </x:c>
      <x:c r="R163" s="1" t="str">
        <x:v>PASS</x:v>
      </x:c>
      <x:c r="S163" s="4" t="n">
        <x:v>0</x:v>
      </x:c>
      <x:c r="T163" s="1" t="str">
        <x:v>NOT_REVEALING</x:v>
      </x:c>
      <x:c r="U163" s="1" t="str">
        <x:v>Closure_99</x:v>
      </x:c>
      <x:c r="V163" s="6" t="n">
        <x:v>36.25</x:v>
      </x:c>
    </x:row>
    <x:row r="164" ht="22" customHeight="1">
      <x:c r="A164" s="1" t="str">
        <x:v>Round1</x:v>
      </x:c>
      <x:c r="B164" s="1" t="str">
        <x:v>Closure</x:v>
      </x:c>
      <x:c r="C164" s="4" t="n">
        <x:v>100</x:v>
      </x:c>
      <x:c r="D164" s="4" t="n">
        <x:v>0</x:v>
      </x:c>
      <x:c r="E164" s="4" t="n">
        <x:v>60</x:v>
      </x:c>
      <x:c r="F164" s="4" t="n">
        <x:v>5</x:v>
      </x:c>
      <x:c r="G164" s="5" t="n">
        <x:v>0.09300000000000001</x:v>
      </x:c>
      <x:c r="H164" s="5" t="n">
        <x:v>0.1905</x:v>
      </x:c>
      <x:c r="I164" s="5" t="n">
        <x:v>0</x:v>
      </x:c>
      <x:c r="J164" s="4" t="n">
        <x:v>86</x:v>
      </x:c>
      <x:c r="K164" s="4" t="n">
        <x:v>8</x:v>
      </x:c>
      <x:c r="L164" s="4" t="n">
        <x:v>42</x:v>
      </x:c>
      <x:c r="M164" s="4" t="n">
        <x:v>8</x:v>
      </x:c>
      <x:c r="N164" s="4" t="n">
        <x:v>44</x:v>
      </x:c>
      <x:c r="O164" s="4" t="n">
        <x:v>0</x:v>
      </x:c>
      <x:c r="P164" s="1" t="str">
        <x:v>PASS</x:v>
      </x:c>
      <x:c r="Q164" s="4" t="n">
        <x:v>0</x:v>
      </x:c>
      <x:c r="R164" s="1" t="str">
        <x:v>PASS</x:v>
      </x:c>
      <x:c r="S164" s="4" t="n">
        <x:v>0</x:v>
      </x:c>
      <x:c r="T164" s="1" t="str">
        <x:v>NOT_REVEALING</x:v>
      </x:c>
      <x:c r="U164" s="1" t="str">
        <x:v>Closure_100</x:v>
      </x:c>
      <x:c r="V164" s="6" t="n">
        <x:v>33.55</x:v>
      </x:c>
    </x:row>
    <x:row r="165" ht="22" customHeight="1">
      <x:c r="A165" s="1" t="str">
        <x:v>Round1</x:v>
      </x:c>
      <x:c r="B165" s="1" t="str">
        <x:v>Closure</x:v>
      </x:c>
      <x:c r="C165" s="4" t="n">
        <x:v>101</x:v>
      </x:c>
      <x:c r="D165" s="4" t="n">
        <x:v>0</x:v>
      </x:c>
      <x:c r="E165" s="4" t="n">
        <x:v>60</x:v>
      </x:c>
      <x:c r="F165" s="4" t="n">
        <x:v>10</x:v>
      </x:c>
      <x:c r="G165" s="5" t="n">
        <x:v>0.3968</x:v>
      </x:c>
      <x:c r="H165" s="5" t="n">
        <x:v>0.4364</x:v>
      </x:c>
      <x:c r="I165" s="5" t="n">
        <x:v>0.125</x:v>
      </x:c>
      <x:c r="J165" s="4" t="n">
        <x:v>189</x:v>
      </x:c>
      <x:c r="K165" s="4" t="n">
        <x:v>75</x:v>
      </x:c>
      <x:c r="L165" s="4" t="n">
        <x:v>165</x:v>
      </x:c>
      <x:c r="M165" s="4" t="n">
        <x:v>72</x:v>
      </x:c>
      <x:c r="N165" s="4" t="n">
        <x:v>24</x:v>
      </x:c>
      <x:c r="O165" s="4" t="n">
        <x:v>3</x:v>
      </x:c>
      <x:c r="P165" s="1" t="str">
        <x:v>PASS</x:v>
      </x:c>
      <x:c r="Q165" s="4" t="n">
        <x:v>0</x:v>
      </x:c>
      <x:c r="R165" s="1" t="str">
        <x:v>PASS</x:v>
      </x:c>
      <x:c r="S165" s="4" t="n">
        <x:v>0</x:v>
      </x:c>
      <x:c r="T165" s="1" t="str">
        <x:v>NOT_REVEALING</x:v>
      </x:c>
      <x:c r="U165" s="1" t="str">
        <x:v>Closure_101</x:v>
      </x:c>
      <x:c r="V165" s="6" t="n">
        <x:v>33.44</x:v>
      </x:c>
    </x:row>
    <x:row r="166" ht="22" customHeight="1">
      <x:c r="A166" s="1" t="str">
        <x:v>Round1</x:v>
      </x:c>
      <x:c r="B166" s="1" t="str">
        <x:v>Closure</x:v>
      </x:c>
      <x:c r="C166" s="4" t="n">
        <x:v>102</x:v>
      </x:c>
      <x:c r="D166" s="4" t="n">
        <x:v>0</x:v>
      </x:c>
      <x:c r="E166" s="4" t="n">
        <x:v>60</x:v>
      </x:c>
      <x:c r="F166" s="4" t="n">
        <x:v>302</x:v>
      </x:c>
      <x:c r="G166" s="5" t="n">
        <x:v>0.0712</x:v>
      </x:c>
      <x:c r="H166" s="5" t="n">
        <x:v>0.11289999999999999</x:v>
      </x:c>
      <x:c r="I166" s="5" t="n">
        <x:v>0</x:v>
      </x:c>
      <x:c r="J166" s="4" t="n">
        <x:v>295</x:v>
      </x:c>
      <x:c r="K166" s="4" t="n">
        <x:v>21</x:v>
      </x:c>
      <x:c r="L166" s="4" t="n">
        <x:v>186</x:v>
      </x:c>
      <x:c r="M166" s="4" t="n">
        <x:v>21</x:v>
      </x:c>
      <x:c r="N166" s="4" t="n">
        <x:v>109</x:v>
      </x:c>
      <x:c r="O166" s="4" t="n">
        <x:v>0</x:v>
      </x:c>
      <x:c r="P166" s="1" t="str">
        <x:v>PASS</x:v>
      </x:c>
      <x:c r="Q166" s="4" t="n">
        <x:v>0</x:v>
      </x:c>
      <x:c r="R166" s="1" t="str">
        <x:v>PASS</x:v>
      </x:c>
      <x:c r="S166" s="4" t="n">
        <x:v>0</x:v>
      </x:c>
      <x:c r="T166" s="1" t="str">
        <x:v>NOT_REVEALING</x:v>
      </x:c>
      <x:c r="U166" s="1" t="str">
        <x:v>Closure_102</x:v>
      </x:c>
      <x:c r="V166" s="6" t="n">
        <x:v>37.81</x:v>
      </x:c>
    </x:row>
    <x:row r="167" ht="22" customHeight="1">
      <x:c r="A167" s="1" t="str">
        <x:v>Round1</x:v>
      </x:c>
      <x:c r="B167" s="1" t="str">
        <x:v>Closure</x:v>
      </x:c>
      <x:c r="C167" s="4" t="n">
        <x:v>103</x:v>
      </x:c>
      <x:c r="D167" s="4" t="n">
        <x:v>0</x:v>
      </x:c>
      <x:c r="E167" s="4" t="n">
        <x:v>60</x:v>
      </x:c>
      <x:c r="F167" s="4" t="n">
        <x:v>961</x:v>
      </x:c>
      <x:c r="G167" s="5" t="n">
        <x:v>0.0212</x:v>
      </x:c>
      <x:c r="H167" s="5" t="n">
        <x:v>0.0355</x:v>
      </x:c>
      <x:c r="I167" s="5" t="n">
        <x:v>0</x:v>
      </x:c>
      <x:c r="J167" s="4" t="n">
        <x:v>1276</x:v>
      </x:c>
      <x:c r="K167" s="4" t="n">
        <x:v>27</x:v>
      </x:c>
      <x:c r="L167" s="4" t="n">
        <x:v>760</x:v>
      </x:c>
      <x:c r="M167" s="4" t="n">
        <x:v>27</x:v>
      </x:c>
      <x:c r="N167" s="4" t="n">
        <x:v>516</x:v>
      </x:c>
      <x:c r="O167" s="4" t="n">
        <x:v>0</x:v>
      </x:c>
      <x:c r="P167" s="1" t="str">
        <x:v>PASS</x:v>
      </x:c>
      <x:c r="Q167" s="4" t="n">
        <x:v>0</x:v>
      </x:c>
      <x:c r="R167" s="1" t="str">
        <x:v>PASS</x:v>
      </x:c>
      <x:c r="S167" s="4" t="n">
        <x:v>0</x:v>
      </x:c>
      <x:c r="T167" s="1" t="str">
        <x:v>NOT_REVEALING</x:v>
      </x:c>
      <x:c r="U167" s="1" t="str">
        <x:v>Closure_103</x:v>
      </x:c>
      <x:c r="V167" s="6" t="n">
        <x:v>50.24</x:v>
      </x:c>
    </x:row>
    <x:row r="168" ht="22" customHeight="1">
      <x:c r="A168" s="1" t="str">
        <x:v>Round1</x:v>
      </x:c>
      <x:c r="B168" s="1" t="str">
        <x:v>Closure</x:v>
      </x:c>
      <x:c r="C168" s="4" t="n">
        <x:v>104</x:v>
      </x:c>
      <x:c r="D168" s="4" t="n">
        <x:v>0</x:v>
      </x:c>
      <x:c r="E168" s="4" t="n">
        <x:v>60</x:v>
      </x:c>
      <x:c r="F168" s="4" t="n">
        <x:v>2366</x:v>
      </x:c>
      <x:c r="G168" s="5" t="n">
        <x:v>0.6203</x:v>
      </x:c>
      <x:c r="H168" s="5" t="n">
        <x:v>0.6823</x:v>
      </x:c>
      <x:c r="I168" s="5" t="n">
        <x:v>0.5242</x:v>
      </x:c>
      <x:c r="J168" s="4" t="n">
        <x:v>316</x:v>
      </x:c>
      <x:c r="K168" s="4" t="n">
        <x:v>196</x:v>
      </x:c>
      <x:c r="L168" s="4" t="n">
        <x:v>192</x:v>
      </x:c>
      <x:c r="M168" s="4" t="n">
        <x:v>131</x:v>
      </x:c>
      <x:c r="N168" s="4" t="n">
        <x:v>124</x:v>
      </x:c>
      <x:c r="O168" s="4" t="n">
        <x:v>65</x:v>
      </x:c>
      <x:c r="P168" s="1" t="str">
        <x:v>PASS</x:v>
      </x:c>
      <x:c r="Q168" s="4" t="n">
        <x:v>0</x:v>
      </x:c>
      <x:c r="R168" s="1" t="str">
        <x:v>PASS</x:v>
      </x:c>
      <x:c r="S168" s="4" t="n">
        <x:v>0</x:v>
      </x:c>
      <x:c r="T168" s="1" t="str">
        <x:v>NOT_REVEALING</x:v>
      </x:c>
      <x:c r="U168" s="1" t="str">
        <x:v>Closure_104</x:v>
      </x:c>
      <x:c r="V168" s="6" t="n">
        <x:v>101.43</x:v>
      </x:c>
    </x:row>
    <x:row r="169" ht="22" customHeight="1">
      <x:c r="A169" s="1" t="str">
        <x:v>Round1</x:v>
      </x:c>
      <x:c r="B169" s="1" t="str">
        <x:v>Closure</x:v>
      </x:c>
      <x:c r="C169" s="4" t="n">
        <x:v>105</x:v>
      </x:c>
      <x:c r="D169" s="4" t="n">
        <x:v>0</x:v>
      </x:c>
      <x:c r="E169" s="4" t="n">
        <x:v>60</x:v>
      </x:c>
      <x:c r="F169" s="4" t="n">
        <x:v>1477</x:v>
      </x:c>
      <x:c r="G169" s="5" t="n">
        <x:v>0.0092</x:v>
      </x:c>
      <x:c r="H169" s="5" t="n">
        <x:v>0.0161</x:v>
      </x:c>
      <x:c r="I169" s="5" t="n">
        <x:v>0</x:v>
      </x:c>
      <x:c r="J169" s="4" t="n">
        <x:v>1732</x:v>
      </x:c>
      <x:c r="K169" s="4" t="n">
        <x:v>16</x:v>
      </x:c>
      <x:c r="L169" s="4" t="n">
        <x:v>993</x:v>
      </x:c>
      <x:c r="M169" s="4" t="n">
        <x:v>16</x:v>
      </x:c>
      <x:c r="N169" s="4" t="n">
        <x:v>739</x:v>
      </x:c>
      <x:c r="O169" s="4" t="n">
        <x:v>0</x:v>
      </x:c>
      <x:c r="P169" s="1" t="str">
        <x:v>PASS</x:v>
      </x:c>
      <x:c r="Q169" s="4" t="n">
        <x:v>0</x:v>
      </x:c>
      <x:c r="R169" s="1" t="str">
        <x:v>PASS</x:v>
      </x:c>
      <x:c r="S169" s="4" t="n">
        <x:v>0</x:v>
      </x:c>
      <x:c r="T169" s="1" t="str">
        <x:v>NOT_REVEALING</x:v>
      </x:c>
      <x:c r="U169" s="1" t="str">
        <x:v>Closure_105</x:v>
      </x:c>
      <x:c r="V169" s="6" t="n">
        <x:v>62.87</x:v>
      </x:c>
    </x:row>
    <x:row r="170" ht="22" customHeight="1">
      <x:c r="A170" s="1" t="str">
        <x:v>Round1</x:v>
      </x:c>
      <x:c r="B170" s="1" t="str">
        <x:v>Closure</x:v>
      </x:c>
      <x:c r="C170" s="4" t="n">
        <x:v>106</x:v>
      </x:c>
      <x:c r="D170" s="4" t="n">
        <x:v>0</x:v>
      </x:c>
      <x:c r="E170" s="4" t="n">
        <x:v>60</x:v>
      </x:c>
      <x:c r="F170" s="4" t="n">
        <x:v>1957</x:v>
      </x:c>
      <x:c r="G170" s="5" t="n">
        <x:v>0.41200000000000003</x:v>
      </x:c>
      <x:c r="H170" s="5" t="n">
        <x:v>0.48090000000000005</x:v>
      </x:c>
      <x:c r="I170" s="5" t="n">
        <x:v>0.3126</x:v>
      </x:c>
      <x:c r="J170" s="4" t="n">
        <x:v>1063</x:v>
      </x:c>
      <x:c r="K170" s="4" t="n">
        <x:v>438</x:v>
      </x:c>
      <x:c r="L170" s="4" t="n">
        <x:v>628</x:v>
      </x:c>
      <x:c r="M170" s="4" t="n">
        <x:v>302</x:v>
      </x:c>
      <x:c r="N170" s="4" t="n">
        <x:v>435</x:v>
      </x:c>
      <x:c r="O170" s="4" t="n">
        <x:v>136</x:v>
      </x:c>
      <x:c r="P170" s="1" t="str">
        <x:v>PASS</x:v>
      </x:c>
      <x:c r="Q170" s="4" t="n">
        <x:v>0</x:v>
      </x:c>
      <x:c r="R170" s="1" t="str">
        <x:v>PASS</x:v>
      </x:c>
      <x:c r="S170" s="4" t="n">
        <x:v>0</x:v>
      </x:c>
      <x:c r="T170" s="1" t="str">
        <x:v>NOT_REVEALING</x:v>
      </x:c>
      <x:c r="U170" s="1" t="str">
        <x:v>Closure_106</x:v>
      </x:c>
      <x:c r="V170" s="6" t="n">
        <x:v>59.14</x:v>
      </x:c>
    </x:row>
    <x:row r="171" ht="22" customHeight="1">
      <x:c r="A171" s="1" t="str">
        <x:v>Round1</x:v>
      </x:c>
      <x:c r="B171" s="1" t="str">
        <x:v>Closure</x:v>
      </x:c>
      <x:c r="C171" s="4" t="n">
        <x:v>107</x:v>
      </x:c>
      <x:c r="D171" s="4" t="n">
        <x:v>0</x:v>
      </x:c>
      <x:c r="E171" s="4" t="n">
        <x:v>60</x:v>
      </x:c>
      <x:c r="F171" s="4" t="n">
        <x:v>6</x:v>
      </x:c>
      <x:c r="G171" s="5" t="n">
        <x:v>0.4484</x:v>
      </x:c>
      <x:c r="H171" s="5" t="n">
        <x:v>0.5075999999999999</x:v>
      </x:c>
      <x:c r="I171" s="5" t="n">
        <x:v>0.1714</x:v>
      </x:c>
      <x:c r="J171" s="4" t="n">
        <x:v>397</x:v>
      </x:c>
      <x:c r="K171" s="4" t="n">
        <x:v>178</x:v>
      </x:c>
      <x:c r="L171" s="4" t="n">
        <x:v>327</x:v>
      </x:c>
      <x:c r="M171" s="4" t="n">
        <x:v>166</x:v>
      </x:c>
      <x:c r="N171" s="4" t="n">
        <x:v>70</x:v>
      </x:c>
      <x:c r="O171" s="4" t="n">
        <x:v>12</x:v>
      </x:c>
      <x:c r="P171" s="1" t="str">
        <x:v>FAIL</x:v>
      </x:c>
      <x:c r="Q171" s="4" t="n">
        <x:v>2</x:v>
      </x:c>
      <x:c r="R171" s="1" t="str">
        <x:v>FAIL</x:v>
      </x:c>
      <x:c r="S171" s="4" t="n">
        <x:v>2</x:v>
      </x:c>
      <x:c r="T171" s="1" t="str">
        <x:v>INCONCLUSIVE</x:v>
      </x:c>
      <x:c r="U171" s="1" t="str">
        <x:v>Closure_107</x:v>
      </x:c>
      <x:c r="V171" s="6" t="n">
        <x:v>71.65</x:v>
      </x:c>
    </x:row>
    <x:row r="172" ht="22" customHeight="1">
      <x:c r="A172" s="1" t="str">
        <x:v>Round1</x:v>
      </x:c>
      <x:c r="B172" s="1" t="str">
        <x:v>Closure</x:v>
      </x:c>
      <x:c r="C172" s="4" t="n">
        <x:v>108</x:v>
      </x:c>
      <x:c r="D172" s="4" t="n">
        <x:v>0</x:v>
      </x:c>
      <x:c r="E172" s="4" t="n">
        <x:v>60</x:v>
      </x:c>
      <x:c r="F172" s="4" t="n">
        <x:v>13</x:v>
      </x:c>
      <x:c r="G172" s="5" t="n">
        <x:v>0.0644</x:v>
      </x:c>
      <x:c r="H172" s="5" t="n">
        <x:v>0.10039999999999999</x:v>
      </x:c>
      <x:c r="I172" s="5" t="n">
        <x:v>0</x:v>
      </x:c>
      <x:c r="J172" s="4" t="n">
        <x:v>419</x:v>
      </x:c>
      <x:c r="K172" s="4" t="n">
        <x:v>27</x:v>
      </x:c>
      <x:c r="L172" s="4" t="n">
        <x:v>269</x:v>
      </x:c>
      <x:c r="M172" s="4" t="n">
        <x:v>27</x:v>
      </x:c>
      <x:c r="N172" s="4" t="n">
        <x:v>150</x:v>
      </x:c>
      <x:c r="O172" s="4" t="n">
        <x:v>0</x:v>
      </x:c>
      <x:c r="P172" s="1" t="str">
        <x:v>PASS</x:v>
      </x:c>
      <x:c r="Q172" s="4" t="n">
        <x:v>0</x:v>
      </x:c>
      <x:c r="R172" s="1" t="str">
        <x:v>PASS</x:v>
      </x:c>
      <x:c r="S172" s="4" t="n">
        <x:v>0</x:v>
      </x:c>
      <x:c r="T172" s="1" t="str">
        <x:v>NOT_REVEALING</x:v>
      </x:c>
      <x:c r="U172" s="1" t="str">
        <x:v>Closure_108</x:v>
      </x:c>
      <x:c r="V172" s="6" t="n">
        <x:v>74.91</x:v>
      </x:c>
    </x:row>
    <x:row r="173" ht="22" customHeight="1">
      <x:c r="A173" s="1" t="str">
        <x:v>Round1</x:v>
      </x:c>
      <x:c r="B173" s="1" t="str">
        <x:v>Closure</x:v>
      </x:c>
      <x:c r="C173" s="4" t="n">
        <x:v>109</x:v>
      </x:c>
      <x:c r="D173" s="4" t="n">
        <x:v>0</x:v>
      </x:c>
      <x:c r="E173" s="4" t="n">
        <x:v>60</x:v>
      </x:c>
      <x:c r="F173" s="4" t="n">
        <x:v>5</x:v>
      </x:c>
      <x:c r="G173" s="5" t="n">
        <x:v>0.06480000000000001</x:v>
      </x:c>
      <x:c r="H173" s="5" t="n">
        <x:v>0.07769999999999999</x:v>
      </x:c>
      <x:c r="I173" s="5" t="n">
        <x:v>0.0438</x:v>
      </x:c>
      <x:c r="J173" s="4" t="n">
        <x:v>1853</x:v>
      </x:c>
      <x:c r="K173" s="4" t="n">
        <x:v>120</x:v>
      </x:c>
      <x:c r="L173" s="4" t="n">
        <x:v>1146</x:v>
      </x:c>
      <x:c r="M173" s="4" t="n">
        <x:v>89</x:v>
      </x:c>
      <x:c r="N173" s="4" t="n">
        <x:v>707</x:v>
      </x:c>
      <x:c r="O173" s="4" t="n">
        <x:v>31</x:v>
      </x:c>
      <x:c r="P173" s="1" t="str">
        <x:v>PASS</x:v>
      </x:c>
      <x:c r="Q173" s="4" t="n">
        <x:v>0</x:v>
      </x:c>
      <x:c r="R173" s="1" t="str">
        <x:v>PASS</x:v>
      </x:c>
      <x:c r="S173" s="4" t="n">
        <x:v>0</x:v>
      </x:c>
      <x:c r="T173" s="1" t="str">
        <x:v>NOT_REVEALING</x:v>
      </x:c>
      <x:c r="U173" s="1" t="str">
        <x:v>Closure_109</x:v>
      </x:c>
      <x:c r="V173" s="6" t="n">
        <x:v>104.93</x:v>
      </x:c>
    </x:row>
    <x:row r="174" ht="22" customHeight="1">
      <x:c r="A174" s="1" t="str">
        <x:v>Round1</x:v>
      </x:c>
      <x:c r="B174" s="1" t="str">
        <x:v>Closure</x:v>
      </x:c>
      <x:c r="C174" s="4" t="n">
        <x:v>110</x:v>
      </x:c>
      <x:c r="D174" s="4" t="n">
        <x:v>0</x:v>
      </x:c>
      <x:c r="E174" s="4" t="n">
        <x:v>60</x:v>
      </x:c>
      <x:c r="F174" s="4" t="n">
        <x:v>1625</x:v>
      </x:c>
      <x:c r="G174" s="5" t="n">
        <x:v>0.5759000000000001</x:v>
      </x:c>
      <x:c r="H174" s="5" t="n">
        <x:v>0.6459</x:v>
      </x:c>
      <x:c r="I174" s="5" t="n">
        <x:v>0.46340000000000003</x:v>
      </x:c>
      <x:c r="J174" s="4" t="n">
        <x:v>1818</x:v>
      </x:c>
      <x:c r="K174" s="4" t="n">
        <x:v>1047</x:v>
      </x:c>
      <x:c r="L174" s="4" t="n">
        <x:v>1121</x:v>
      </x:c>
      <x:c r="M174" s="4" t="n">
        <x:v>724</x:v>
      </x:c>
      <x:c r="N174" s="4" t="n">
        <x:v>697</x:v>
      </x:c>
      <x:c r="O174" s="4" t="n">
        <x:v>323</x:v>
      </x:c>
      <x:c r="P174" s="1" t="str">
        <x:v>FAIL</x:v>
      </x:c>
      <x:c r="Q174" s="4" t="n">
        <x:v>24</x:v>
      </x:c>
      <x:c r="R174" s="1" t="str">
        <x:v>FAIL</x:v>
      </x:c>
      <x:c r="S174" s="4" t="n">
        <x:v>60</x:v>
      </x:c>
      <x:c r="T174" s="1" t="str">
        <x:v>INCONCLUSIVE</x:v>
      </x:c>
      <x:c r="U174" s="1" t="str">
        <x:v>Closure_110</x:v>
      </x:c>
      <x:c r="V174" s="6" t="n">
        <x:v>150.45</x:v>
      </x:c>
    </x:row>
    <x:row r="175" ht="22" customHeight="1">
      <x:c r="A175" s="1" t="str">
        <x:v>Round1</x:v>
      </x:c>
      <x:c r="B175" s="1" t="str">
        <x:v>Closure</x:v>
      </x:c>
      <x:c r="C175" s="4" t="n">
        <x:v>111</x:v>
      </x:c>
      <x:c r="D175" s="4" t="n">
        <x:v>0</x:v>
      </x:c>
      <x:c r="E175" s="4" t="n">
        <x:v>60</x:v>
      </x:c>
      <x:c r="F175" s="4" t="n">
        <x:v>2</x:v>
      </x:c>
      <x:c r="G175" s="5" t="n">
        <x:v>0.0070999999999999995</x:v>
      </x:c>
      <x:c r="H175" s="5" t="n">
        <x:v>0.0106</x:v>
      </x:c>
      <x:c r="I175" s="5" t="n">
        <x:v>0</x:v>
      </x:c>
      <x:c r="J175" s="4" t="n">
        <x:v>140</x:v>
      </x:c>
      <x:c r="K175" s="4" t="n">
        <x:v>1</x:v>
      </x:c>
      <x:c r="L175" s="4" t="n">
        <x:v>94</x:v>
      </x:c>
      <x:c r="M175" s="4" t="n">
        <x:v>1</x:v>
      </x:c>
      <x:c r="N175" s="4" t="n">
        <x:v>46</x:v>
      </x:c>
      <x:c r="O175" s="4" t="n">
        <x:v>0</x:v>
      </x:c>
      <x:c r="P175" s="1" t="str">
        <x:v>PASS</x:v>
      </x:c>
      <x:c r="Q175" s="4" t="n">
        <x:v>0</x:v>
      </x:c>
      <x:c r="R175" s="1" t="str">
        <x:v>PASS</x:v>
      </x:c>
      <x:c r="S175" s="4" t="n">
        <x:v>0</x:v>
      </x:c>
      <x:c r="T175" s="1" t="str">
        <x:v>NOT_REVEALING</x:v>
      </x:c>
      <x:c r="U175" s="1" t="str">
        <x:v>Closure_111</x:v>
      </x:c>
      <x:c r="V175" s="6" t="n">
        <x:v>111.73</x:v>
      </x:c>
    </x:row>
    <x:row r="176" ht="22" customHeight="1">
      <x:c r="A176" s="1" t="str">
        <x:v>Round1</x:v>
      </x:c>
      <x:c r="B176" s="1" t="str">
        <x:v>Closure</x:v>
      </x:c>
      <x:c r="C176" s="4" t="n">
        <x:v>112</x:v>
      </x:c>
      <x:c r="D176" s="4" t="n">
        <x:v>0</x:v>
      </x:c>
      <x:c r="E176" s="4" t="n">
        <x:v>60</x:v>
      </x:c>
      <x:c r="F176" s="4" t="n">
        <x:v>6</x:v>
      </x:c>
      <x:c r="G176" s="5" t="n">
        <x:v>0.0051</x:v>
      </x:c>
      <x:c r="H176" s="5" t="n">
        <x:v>0.005600000000000001</x:v>
      </x:c>
      <x:c r="I176" s="5" t="n">
        <x:v>0.0043</x:v>
      </x:c>
      <x:c r="J176" s="4" t="n">
        <x:v>1178</x:v>
      </x:c>
      <x:c r="K176" s="4" t="n">
        <x:v>6</x:v>
      </x:c>
      <x:c r="L176" s="4" t="n">
        <x:v>713</x:v>
      </x:c>
      <x:c r="M176" s="4" t="n">
        <x:v>4</x:v>
      </x:c>
      <x:c r="N176" s="4" t="n">
        <x:v>465</x:v>
      </x:c>
      <x:c r="O176" s="4" t="n">
        <x:v>2</x:v>
      </x:c>
      <x:c r="P176" s="1" t="str">
        <x:v>PASS</x:v>
      </x:c>
      <x:c r="Q176" s="4" t="n">
        <x:v>0</x:v>
      </x:c>
      <x:c r="R176" s="1" t="str">
        <x:v>PASS</x:v>
      </x:c>
      <x:c r="S176" s="4" t="n">
        <x:v>0</x:v>
      </x:c>
      <x:c r="T176" s="1" t="str">
        <x:v>NOT_REVEALING</x:v>
      </x:c>
      <x:c r="U176" s="1" t="str">
        <x:v>Closure_112</x:v>
      </x:c>
      <x:c r="V176" s="6" t="n">
        <x:v>108.04</x:v>
      </x:c>
    </x:row>
    <x:row r="177" ht="22" customHeight="1">
      <x:c r="A177" s="1" t="str">
        <x:v>Round1</x:v>
      </x:c>
      <x:c r="B177" s="1" t="str">
        <x:v>Closure</x:v>
      </x:c>
      <x:c r="C177" s="4" t="n">
        <x:v>113</x:v>
      </x:c>
      <x:c r="D177" s="4" t="n">
        <x:v>0</x:v>
      </x:c>
      <x:c r="E177" s="4" t="n">
        <x:v>60</x:v>
      </x:c>
      <x:c r="F177" s="4" t="n">
        <x:v>20</x:v>
      </x:c>
      <x:c r="G177" s="5" t="n">
        <x:v>0.0315</x:v>
      </x:c>
      <x:c r="H177" s="5" t="n">
        <x:v>0.0495</x:v>
      </x:c>
      <x:c r="I177" s="5" t="n">
        <x:v>0</x:v>
      </x:c>
      <x:c r="J177" s="4" t="n">
        <x:v>890</x:v>
      </x:c>
      <x:c r="K177" s="4" t="n">
        <x:v>28</x:v>
      </x:c>
      <x:c r="L177" s="4" t="n">
        <x:v>566</x:v>
      </x:c>
      <x:c r="M177" s="4" t="n">
        <x:v>28</x:v>
      </x:c>
      <x:c r="N177" s="4" t="n">
        <x:v>324</x:v>
      </x:c>
      <x:c r="O177" s="4" t="n">
        <x:v>0</x:v>
      </x:c>
      <x:c r="P177" s="1" t="str">
        <x:v>PASS</x:v>
      </x:c>
      <x:c r="Q177" s="4" t="n">
        <x:v>0</x:v>
      </x:c>
      <x:c r="R177" s="1" t="str">
        <x:v>PASS</x:v>
      </x:c>
      <x:c r="S177" s="4" t="n">
        <x:v>0</x:v>
      </x:c>
      <x:c r="T177" s="1" t="str">
        <x:v>NOT_REVEALING</x:v>
      </x:c>
      <x:c r="U177" s="1" t="str">
        <x:v>Closure_113</x:v>
      </x:c>
      <x:c r="V177" s="6" t="n">
        <x:v>107.79</x:v>
      </x:c>
    </x:row>
    <x:row r="178" ht="22" customHeight="1">
      <x:c r="A178" s="1" t="str">
        <x:v>Round1</x:v>
      </x:c>
      <x:c r="B178" s="1" t="str">
        <x:v>Closure</x:v>
      </x:c>
      <x:c r="C178" s="4" t="n">
        <x:v>114</x:v>
      </x:c>
      <x:c r="D178" s="4" t="n">
        <x:v>0</x:v>
      </x:c>
      <x:c r="E178" s="4" t="n">
        <x:v>60</x:v>
      </x:c>
      <x:c r="F178" s="4" t="n">
        <x:v>1819</x:v>
      </x:c>
      <x:c r="G178" s="5" t="n">
        <x:v>0.0493</x:v>
      </x:c>
      <x:c r="H178" s="5" t="n">
        <x:v>0.0759</x:v>
      </x:c>
      <x:c r="I178" s="5" t="n">
        <x:v>0.006500000000000001</x:v>
      </x:c>
      <x:c r="J178" s="4" t="n">
        <x:v>1216</x:v>
      </x:c>
      <x:c r="K178" s="4" t="n">
        <x:v>60</x:v>
      </x:c>
      <x:c r="L178" s="4" t="n">
        <x:v>751</x:v>
      </x:c>
      <x:c r="M178" s="4" t="n">
        <x:v>57</x:v>
      </x:c>
      <x:c r="N178" s="4" t="n">
        <x:v>465</x:v>
      </x:c>
      <x:c r="O178" s="4" t="n">
        <x:v>3</x:v>
      </x:c>
      <x:c r="P178" s="1" t="str">
        <x:v>PASS</x:v>
      </x:c>
      <x:c r="Q178" s="4" t="n">
        <x:v>0</x:v>
      </x:c>
      <x:c r="R178" s="1" t="str">
        <x:v>PASS</x:v>
      </x:c>
      <x:c r="S178" s="4" t="n">
        <x:v>0</x:v>
      </x:c>
      <x:c r="T178" s="1" t="str">
        <x:v>NOT_REVEALING</x:v>
      </x:c>
      <x:c r="U178" s="1" t="str">
        <x:v>Closure_114</x:v>
      </x:c>
      <x:c r="V178" s="6" t="n">
        <x:v>146.37</x:v>
      </x:c>
    </x:row>
    <x:row r="179" ht="22" customHeight="1">
      <x:c r="A179" s="1" t="str">
        <x:v>Round1</x:v>
      </x:c>
      <x:c r="B179" s="1" t="str">
        <x:v>Closure</x:v>
      </x:c>
      <x:c r="C179" s="4" t="n">
        <x:v>115</x:v>
      </x:c>
      <x:c r="D179" s="4" t="n">
        <x:v>0</x:v>
      </x:c>
      <x:c r="E179" s="4" t="n">
        <x:v>60</x:v>
      </x:c>
      <x:c r="F179" s="4" t="n">
        <x:v>1377</x:v>
      </x:c>
      <x:c r="G179" s="5" t="n">
        <x:v>0.0317</x:v>
      </x:c>
      <x:c r="H179" s="5" t="n">
        <x:v>0.0547</x:v>
      </x:c>
      <x:c r="I179" s="5" t="n">
        <x:v>0</x:v>
      </x:c>
      <x:c r="J179" s="4" t="n">
        <x:v>537</x:v>
      </x:c>
      <x:c r="K179" s="4" t="n">
        <x:v>17</x:v>
      </x:c>
      <x:c r="L179" s="4" t="n">
        <x:v>311</x:v>
      </x:c>
      <x:c r="M179" s="4" t="n">
        <x:v>17</x:v>
      </x:c>
      <x:c r="N179" s="4" t="n">
        <x:v>226</x:v>
      </x:c>
      <x:c r="O179" s="4" t="n">
        <x:v>0</x:v>
      </x:c>
      <x:c r="P179" s="1" t="str">
        <x:v>PASS</x:v>
      </x:c>
      <x:c r="Q179" s="4" t="n">
        <x:v>0</x:v>
      </x:c>
      <x:c r="R179" s="1" t="str">
        <x:v>PASS</x:v>
      </x:c>
      <x:c r="S179" s="4" t="n">
        <x:v>0</x:v>
      </x:c>
      <x:c r="T179" s="1" t="str">
        <x:v>NOT_REVEALING</x:v>
      </x:c>
      <x:c r="U179" s="1" t="str">
        <x:v>Closure_115</x:v>
      </x:c>
      <x:c r="V179" s="6" t="n">
        <x:v>141.13</x:v>
      </x:c>
    </x:row>
    <x:row r="180" ht="22" customHeight="1">
      <x:c r="A180" s="1" t="str">
        <x:v>Round1</x:v>
      </x:c>
      <x:c r="B180" s="1" t="str">
        <x:v>Closure</x:v>
      </x:c>
      <x:c r="C180" s="4" t="n">
        <x:v>116</x:v>
      </x:c>
      <x:c r="D180" s="4" t="n">
        <x:v>0</x:v>
      </x:c>
      <x:c r="E180" s="4" t="n">
        <x:v>60</x:v>
      </x:c>
      <x:c r="F180" s="4" t="n">
        <x:v>1471</x:v>
      </x:c>
      <x:c r="G180" s="5" t="n">
        <x:v>0.0326</x:v>
      </x:c>
      <x:c r="H180" s="5" t="n">
        <x:v>0.056100000000000004</x:v>
      </x:c>
      <x:c r="I180" s="5" t="n">
        <x:v>0</x:v>
      </x:c>
      <x:c r="J180" s="4" t="n">
        <x:v>521</x:v>
      </x:c>
      <x:c r="K180" s="4" t="n">
        <x:v>17</x:v>
      </x:c>
      <x:c r="L180" s="4" t="n">
        <x:v>303</x:v>
      </x:c>
      <x:c r="M180" s="4" t="n">
        <x:v>17</x:v>
      </x:c>
      <x:c r="N180" s="4" t="n">
        <x:v>218</x:v>
      </x:c>
      <x:c r="O180" s="4" t="n">
        <x:v>0</x:v>
      </x:c>
      <x:c r="P180" s="1" t="str">
        <x:v>PASS</x:v>
      </x:c>
      <x:c r="Q180" s="4" t="n">
        <x:v>0</x:v>
      </x:c>
      <x:c r="R180" s="1" t="str">
        <x:v>PASS</x:v>
      </x:c>
      <x:c r="S180" s="4" t="n">
        <x:v>0</x:v>
      </x:c>
      <x:c r="T180" s="1" t="str">
        <x:v>NOT_REVEALING</x:v>
      </x:c>
      <x:c r="U180" s="1" t="str">
        <x:v>Closure_116</x:v>
      </x:c>
      <x:c r="V180" s="6" t="n">
        <x:v>146.79</x:v>
      </x:c>
    </x:row>
    <x:row r="181" ht="22" customHeight="1">
      <x:c r="A181" s="1" t="str">
        <x:v>Round1</x:v>
      </x:c>
      <x:c r="B181" s="1" t="str">
        <x:v>Closure</x:v>
      </x:c>
      <x:c r="C181" s="4" t="n">
        <x:v>117</x:v>
      </x:c>
      <x:c r="D181" s="4" t="n">
        <x:v>0</x:v>
      </x:c>
      <x:c r="E181" s="4" t="n">
        <x:v>60</x:v>
      </x:c>
      <x:c r="F181" s="4" t="n">
        <x:v>12</x:v>
      </x:c>
      <x:c r="G181" s="5" t="n">
        <x:v>0.048499999999999995</x:v>
      </x:c>
      <x:c r="H181" s="5" t="n">
        <x:v>0.0836</x:v>
      </x:c>
      <x:c r="I181" s="5" t="n">
        <x:v>0</x:v>
      </x:c>
      <x:c r="J181" s="4" t="n">
        <x:v>495</x:v>
      </x:c>
      <x:c r="K181" s="4" t="n">
        <x:v>24</x:v>
      </x:c>
      <x:c r="L181" s="4" t="n">
        <x:v>287</x:v>
      </x:c>
      <x:c r="M181" s="4" t="n">
        <x:v>24</x:v>
      </x:c>
      <x:c r="N181" s="4" t="n">
        <x:v>208</x:v>
      </x:c>
      <x:c r="O181" s="4" t="n">
        <x:v>0</x:v>
      </x:c>
      <x:c r="P181" s="1" t="str">
        <x:v>PASS</x:v>
      </x:c>
      <x:c r="Q181" s="4" t="n">
        <x:v>0</x:v>
      </x:c>
      <x:c r="R181" s="1" t="str">
        <x:v>PASS</x:v>
      </x:c>
      <x:c r="S181" s="4" t="n">
        <x:v>0</x:v>
      </x:c>
      <x:c r="T181" s="1" t="str">
        <x:v>NOT_REVEALING</x:v>
      </x:c>
      <x:c r="U181" s="1" t="str">
        <x:v>Closure_117</x:v>
      </x:c>
      <x:c r="V181" s="6" t="n">
        <x:v>113.19</x:v>
      </x:c>
    </x:row>
    <x:row r="182" ht="22" customHeight="1">
      <x:c r="A182" s="1" t="str">
        <x:v>Round1</x:v>
      </x:c>
      <x:c r="B182" s="1" t="str">
        <x:v>Closure</x:v>
      </x:c>
      <x:c r="C182" s="4" t="n">
        <x:v>118</x:v>
      </x:c>
      <x:c r="D182" s="4" t="n">
        <x:v>0</x:v>
      </x:c>
      <x:c r="E182" s="4" t="n">
        <x:v>60</x:v>
      </x:c>
      <x:c r="F182" s="4" t="n">
        <x:v>6</x:v>
      </x:c>
      <x:c r="G182" s="5" t="n">
        <x:v>0.013999999999999999</x:v>
      </x:c>
      <x:c r="H182" s="5" t="n">
        <x:v>0.023799999999999998</x:v>
      </x:c>
      <x:c r="I182" s="5" t="n">
        <x:v>0</x:v>
      </x:c>
      <x:c r="J182" s="4" t="n">
        <x:v>788</x:v>
      </x:c>
      <x:c r="K182" s="4" t="n">
        <x:v>11</x:v>
      </x:c>
      <x:c r="L182" s="4" t="n">
        <x:v>462</x:v>
      </x:c>
      <x:c r="M182" s="4" t="n">
        <x:v>11</x:v>
      </x:c>
      <x:c r="N182" s="4" t="n">
        <x:v>326</x:v>
      </x:c>
      <x:c r="O182" s="4" t="n">
        <x:v>0</x:v>
      </x:c>
      <x:c r="P182" s="1" t="str">
        <x:v>PASS</x:v>
      </x:c>
      <x:c r="Q182" s="4" t="n">
        <x:v>0</x:v>
      </x:c>
      <x:c r="R182" s="1" t="str">
        <x:v>PASS</x:v>
      </x:c>
      <x:c r="S182" s="4" t="n">
        <x:v>0</x:v>
      </x:c>
      <x:c r="T182" s="1" t="str">
        <x:v>NOT_REVEALING</x:v>
      </x:c>
      <x:c r="U182" s="1" t="str">
        <x:v>Closure_118</x:v>
      </x:c>
      <x:c r="V182" s="6" t="n">
        <x:v>112.31</x:v>
      </x:c>
    </x:row>
    <x:row r="183" ht="22" customHeight="1">
      <x:c r="A183" s="1" t="str">
        <x:v>Round1</x:v>
      </x:c>
      <x:c r="B183" s="1" t="str">
        <x:v>Closure</x:v>
      </x:c>
      <x:c r="C183" s="4" t="n">
        <x:v>119</x:v>
      </x:c>
      <x:c r="D183" s="4" t="n">
        <x:v>0</x:v>
      </x:c>
      <x:c r="E183" s="4" t="n">
        <x:v>60</x:v>
      </x:c>
      <x:c r="F183" s="4" t="n">
        <x:v>1480</x:v>
      </x:c>
      <x:c r="G183" s="5" t="n">
        <x:v>0.26839999999999997</x:v>
      </x:c>
      <x:c r="H183" s="5" t="n">
        <x:v>0.3387</x:v>
      </x:c>
      <x:c r="I183" s="5" t="n">
        <x:v>0.16760000000000003</x:v>
      </x:c>
      <x:c r="J183" s="4" t="n">
        <x:v>842</x:v>
      </x:c>
      <x:c r="K183" s="4" t="n">
        <x:v>226</x:v>
      </x:c>
      <x:c r="L183" s="4" t="n">
        <x:v>496</x:v>
      </x:c>
      <x:c r="M183" s="4" t="n">
        <x:v>168</x:v>
      </x:c>
      <x:c r="N183" s="4" t="n">
        <x:v>346</x:v>
      </x:c>
      <x:c r="O183" s="4" t="n">
        <x:v>58</x:v>
      </x:c>
      <x:c r="P183" s="1" t="str">
        <x:v>PASS</x:v>
      </x:c>
      <x:c r="Q183" s="4" t="n">
        <x:v>0</x:v>
      </x:c>
      <x:c r="R183" s="1" t="str">
        <x:v>PASS</x:v>
      </x:c>
      <x:c r="S183" s="4" t="n">
        <x:v>0</x:v>
      </x:c>
      <x:c r="T183" s="1" t="str">
        <x:v>NOT_REVEALING</x:v>
      </x:c>
      <x:c r="U183" s="1" t="str">
        <x:v>Closure_119</x:v>
      </x:c>
      <x:c r="V183" s="6" t="n">
        <x:v>138.5</x:v>
      </x:c>
    </x:row>
    <x:row r="184" ht="22" customHeight="1">
      <x:c r="A184" s="1" t="str">
        <x:v>Round1</x:v>
      </x:c>
      <x:c r="B184" s="1" t="str">
        <x:v>Closure</x:v>
      </x:c>
      <x:c r="C184" s="4" t="n">
        <x:v>120</x:v>
      </x:c>
      <x:c r="D184" s="4" t="n">
        <x:v>0</x:v>
      </x:c>
      <x:c r="E184" s="4" t="n">
        <x:v>60</x:v>
      </x:c>
      <x:c r="F184" s="4" t="n">
        <x:v>1666</x:v>
      </x:c>
      <x:c r="G184" s="5" t="n">
        <x:v>0.2444</x:v>
      </x:c>
      <x:c r="H184" s="5" t="n">
        <x:v>0.34600000000000003</x:v>
      </x:c>
      <x:c r="I184" s="5" t="n">
        <x:v>0.1007</x:v>
      </x:c>
      <x:c r="J184" s="4" t="n">
        <x:v>360</x:v>
      </x:c>
      <x:c r="K184" s="4" t="n">
        <x:v>88</x:v>
      </x:c>
      <x:c r="L184" s="4" t="n">
        <x:v>211</x:v>
      </x:c>
      <x:c r="M184" s="4" t="n">
        <x:v>73</x:v>
      </x:c>
      <x:c r="N184" s="4" t="n">
        <x:v>149</x:v>
      </x:c>
      <x:c r="O184" s="4" t="n">
        <x:v>15</x:v>
      </x:c>
      <x:c r="P184" s="1" t="str">
        <x:v>PASS</x:v>
      </x:c>
      <x:c r="Q184" s="4" t="n">
        <x:v>0</x:v>
      </x:c>
      <x:c r="R184" s="1" t="str">
        <x:v>PASS</x:v>
      </x:c>
      <x:c r="S184" s="4" t="n">
        <x:v>0</x:v>
      </x:c>
      <x:c r="T184" s="1" t="str">
        <x:v>NOT_REVEALING</x:v>
      </x:c>
      <x:c r="U184" s="1" t="str">
        <x:v>Closure_120</x:v>
      </x:c>
      <x:c r="V184" s="6" t="n">
        <x:v>139.94</x:v>
      </x:c>
    </x:row>
    <x:row r="185" ht="22" customHeight="1">
      <x:c r="A185" s="1" t="str">
        <x:v>Round1</x:v>
      </x:c>
      <x:c r="B185" s="1" t="str">
        <x:v>Closure</x:v>
      </x:c>
      <x:c r="C185" s="4" t="n">
        <x:v>121</x:v>
      </x:c>
      <x:c r="D185" s="4" t="n">
        <x:v>0</x:v>
      </x:c>
      <x:c r="E185" s="4" t="n">
        <x:v>60</x:v>
      </x:c>
      <x:c r="F185" s="4" t="n">
        <x:v>2317</x:v>
      </x:c>
      <x:c r="G185" s="5" t="n">
        <x:v>0.048799999999999996</x:v>
      </x:c>
      <x:c r="H185" s="5" t="n">
        <x:v>0.0774</x:v>
      </x:c>
      <x:c r="I185" s="5" t="n">
        <x:v>0.0127</x:v>
      </x:c>
      <x:c r="J185" s="4" t="n">
        <x:v>533</x:v>
      </x:c>
      <x:c r="K185" s="4" t="n">
        <x:v>26</x:v>
      </x:c>
      <x:c r="L185" s="4" t="n">
        <x:v>297</x:v>
      </x:c>
      <x:c r="M185" s="4" t="n">
        <x:v>23</x:v>
      </x:c>
      <x:c r="N185" s="4" t="n">
        <x:v>236</x:v>
      </x:c>
      <x:c r="O185" s="4" t="n">
        <x:v>3</x:v>
      </x:c>
      <x:c r="P185" s="1" t="str">
        <x:v>PASS</x:v>
      </x:c>
      <x:c r="Q185" s="4" t="n">
        <x:v>0</x:v>
      </x:c>
      <x:c r="R185" s="1" t="str">
        <x:v>PASS</x:v>
      </x:c>
      <x:c r="S185" s="4" t="n">
        <x:v>0</x:v>
      </x:c>
      <x:c r="T185" s="1" t="str">
        <x:v>NOT_REVEALING</x:v>
      </x:c>
      <x:c r="U185" s="1" t="str">
        <x:v>Closure_121</x:v>
      </x:c>
      <x:c r="V185" s="6" t="n">
        <x:v>142.73</x:v>
      </x:c>
    </x:row>
    <x:row r="186" ht="22" customHeight="1">
      <x:c r="A186" s="1" t="str">
        <x:v>Round1</x:v>
      </x:c>
      <x:c r="B186" s="1" t="str">
        <x:v>Closure</x:v>
      </x:c>
      <x:c r="C186" s="4" t="n">
        <x:v>122</x:v>
      </x:c>
      <x:c r="D186" s="4" t="n">
        <x:v>0</x:v>
      </x:c>
      <x:c r="E186" s="4" t="n">
        <x:v>60</x:v>
      </x:c>
      <x:c r="F186" s="4" t="n">
        <x:v>13</x:v>
      </x:c>
      <x:c r="G186" s="5" t="n">
        <x:v>0.025699999999999997</x:v>
      </x:c>
      <x:c r="H186" s="5" t="n">
        <x:v>0.037599999999999995</x:v>
      </x:c>
      <x:c r="I186" s="5" t="n">
        <x:v>0.0028000000000000004</x:v>
      </x:c>
      <x:c r="J186" s="4" t="n">
        <x:v>1049</x:v>
      </x:c>
      <x:c r="K186" s="4" t="n">
        <x:v>27</x:v>
      </x:c>
      <x:c r="L186" s="4" t="n">
        <x:v>691</x:v>
      </x:c>
      <x:c r="M186" s="4" t="n">
        <x:v>26</x:v>
      </x:c>
      <x:c r="N186" s="4" t="n">
        <x:v>358</x:v>
      </x:c>
      <x:c r="O186" s="4" t="n">
        <x:v>1</x:v>
      </x:c>
      <x:c r="P186" s="1" t="str">
        <x:v>PASS</x:v>
      </x:c>
      <x:c r="Q186" s="4" t="n">
        <x:v>0</x:v>
      </x:c>
      <x:c r="R186" s="1" t="str">
        <x:v>PASS</x:v>
      </x:c>
      <x:c r="S186" s="4" t="n">
        <x:v>0</x:v>
      </x:c>
      <x:c r="T186" s="1" t="str">
        <x:v>NOT_REVEALING</x:v>
      </x:c>
      <x:c r="U186" s="1" t="str">
        <x:v>Closure_122</x:v>
      </x:c>
      <x:c r="V186" s="6" t="n">
        <x:v>103.29</x:v>
      </x:c>
    </x:row>
    <x:row r="187" ht="22" customHeight="1">
      <x:c r="A187" s="1" t="str">
        <x:v>Round1</x:v>
      </x:c>
      <x:c r="B187" s="1" t="str">
        <x:v>Closure</x:v>
      </x:c>
      <x:c r="C187" s="4" t="n">
        <x:v>123</x:v>
      </x:c>
      <x:c r="D187" s="4" t="n">
        <x:v>0</x:v>
      </x:c>
      <x:c r="E187" s="4" t="n">
        <x:v>60</x:v>
      </x:c>
      <x:c r="F187" s="4" t="n">
        <x:v>1883</x:v>
      </x:c>
      <x:c r="G187" s="5" t="n">
        <x:v>0.0731</x:v>
      </x:c>
      <x:c r="H187" s="5" t="n">
        <x:v>0.0969</x:v>
      </x:c>
      <x:c r="I187" s="5" t="n">
        <x:v>0.0412</x:v>
      </x:c>
      <x:c r="J187" s="4" t="n">
        <x:v>1135</x:v>
      </x:c>
      <x:c r="K187" s="4" t="n">
        <x:v>83</x:v>
      </x:c>
      <x:c r="L187" s="4" t="n">
        <x:v>650</x:v>
      </x:c>
      <x:c r="M187" s="4" t="n">
        <x:v>63</x:v>
      </x:c>
      <x:c r="N187" s="4" t="n">
        <x:v>485</x:v>
      </x:c>
      <x:c r="O187" s="4" t="n">
        <x:v>20</x:v>
      </x:c>
      <x:c r="P187" s="1" t="str">
        <x:v>PASS</x:v>
      </x:c>
      <x:c r="Q187" s="4" t="n">
        <x:v>0</x:v>
      </x:c>
      <x:c r="R187" s="1" t="str">
        <x:v>PASS</x:v>
      </x:c>
      <x:c r="S187" s="4" t="n">
        <x:v>0</x:v>
      </x:c>
      <x:c r="T187" s="1" t="str">
        <x:v>NOT_REVEALING</x:v>
      </x:c>
      <x:c r="U187" s="1" t="str">
        <x:v>Closure_123</x:v>
      </x:c>
      <x:c r="V187" s="6" t="n">
        <x:v>134.64</x:v>
      </x:c>
    </x:row>
    <x:row r="188" ht="22" customHeight="1">
      <x:c r="A188" s="1" t="str">
        <x:v>Round1</x:v>
      </x:c>
      <x:c r="B188" s="1" t="str">
        <x:v>Closure</x:v>
      </x:c>
      <x:c r="C188" s="4" t="n">
        <x:v>124</x:v>
      </x:c>
      <x:c r="D188" s="4" t="n">
        <x:v>0</x:v>
      </x:c>
      <x:c r="E188" s="4" t="n">
        <x:v>60</x:v>
      </x:c>
      <x:c r="F188" s="4" t="n">
        <x:v>3</x:v>
      </x:c>
      <x:c r="G188" s="5" t="n">
        <x:v>0.0137</x:v>
      </x:c>
      <x:c r="H188" s="5" t="n">
        <x:v>0.025</x:v>
      </x:c>
      <x:c r="I188" s="5" t="n">
        <x:v>0</x:v>
      </x:c>
      <x:c r="J188" s="4" t="n">
        <x:v>146</x:v>
      </x:c>
      <x:c r="K188" s="4" t="n">
        <x:v>2</x:v>
      </x:c>
      <x:c r="L188" s="4" t="n">
        <x:v>80</x:v>
      </x:c>
      <x:c r="M188" s="4" t="n">
        <x:v>2</x:v>
      </x:c>
      <x:c r="N188" s="4" t="n">
        <x:v>66</x:v>
      </x:c>
      <x:c r="O188" s="4" t="n">
        <x:v>0</x:v>
      </x:c>
      <x:c r="P188" s="1" t="str">
        <x:v>PASS</x:v>
      </x:c>
      <x:c r="Q188" s="4" t="n">
        <x:v>0</x:v>
      </x:c>
      <x:c r="R188" s="1" t="str">
        <x:v>PASS</x:v>
      </x:c>
      <x:c r="S188" s="4" t="n">
        <x:v>0</x:v>
      </x:c>
      <x:c r="T188" s="1" t="str">
        <x:v>NOT_REVEALING</x:v>
      </x:c>
      <x:c r="U188" s="1" t="str">
        <x:v>Closure_124</x:v>
      </x:c>
      <x:c r="V188" s="6" t="n">
        <x:v>103.46</x:v>
      </x:c>
    </x:row>
    <x:row r="189" ht="22" customHeight="1">
      <x:c r="A189" s="1" t="str">
        <x:v>Round1</x:v>
      </x:c>
      <x:c r="B189" s="1" t="str">
        <x:v>Closure</x:v>
      </x:c>
      <x:c r="C189" s="4" t="n">
        <x:v>125</x:v>
      </x:c>
      <x:c r="D189" s="4" t="n">
        <x:v>0</x:v>
      </x:c>
      <x:c r="E189" s="4" t="n">
        <x:v>60</x:v>
      </x:c>
      <x:c r="F189" s="4" t="n">
        <x:v>39</x:v>
      </x:c>
      <x:c r="G189" s="5" t="n">
        <x:v>0.0495</x:v>
      </x:c>
      <x:c r="H189" s="5" t="n">
        <x:v>0.08439999999999999</x:v>
      </x:c>
      <x:c r="I189" s="5" t="n">
        <x:v>0</x:v>
      </x:c>
      <x:c r="J189" s="4" t="n">
        <x:v>1516</x:v>
      </x:c>
      <x:c r="K189" s="4" t="n">
        <x:v>75</x:v>
      </x:c>
      <x:c r="L189" s="4" t="n">
        <x:v>889</x:v>
      </x:c>
      <x:c r="M189" s="4" t="n">
        <x:v>75</x:v>
      </x:c>
      <x:c r="N189" s="4" t="n">
        <x:v>627</x:v>
      </x:c>
      <x:c r="O189" s="4" t="n">
        <x:v>0</x:v>
      </x:c>
      <x:c r="P189" s="1" t="str">
        <x:v>PASS</x:v>
      </x:c>
      <x:c r="Q189" s="4" t="n">
        <x:v>0</x:v>
      </x:c>
      <x:c r="R189" s="1" t="str">
        <x:v>PASS</x:v>
      </x:c>
      <x:c r="S189" s="4" t="n">
        <x:v>0</x:v>
      </x:c>
      <x:c r="T189" s="1" t="str">
        <x:v>NOT_REVEALING</x:v>
      </x:c>
      <x:c r="U189" s="1" t="str">
        <x:v>Closure_125</x:v>
      </x:c>
      <x:c r="V189" s="6" t="n">
        <x:v>106.44</x:v>
      </x:c>
    </x:row>
    <x:row r="190" ht="22" customHeight="1">
      <x:c r="A190" s="1" t="str">
        <x:v>Round1</x:v>
      </x:c>
      <x:c r="B190" s="1" t="str">
        <x:v>Closure</x:v>
      </x:c>
      <x:c r="C190" s="4" t="n">
        <x:v>126</x:v>
      </x:c>
      <x:c r="D190" s="4" t="n">
        <x:v>0</x:v>
      </x:c>
      <x:c r="E190" s="4" t="n">
        <x:v>60</x:v>
      </x:c>
      <x:c r="F190" s="4" t="n">
        <x:v>1901</x:v>
      </x:c>
      <x:c r="G190" s="5" t="n">
        <x:v>0.0409</x:v>
      </x:c>
      <x:c r="H190" s="5" t="n">
        <x:v>0.06860000000000001</x:v>
      </x:c>
      <x:c r="I190" s="5" t="n">
        <x:v>0</x:v>
      </x:c>
      <x:c r="J190" s="4" t="n">
        <x:v>171</x:v>
      </x:c>
      <x:c r="K190" s="4" t="n">
        <x:v>7</x:v>
      </x:c>
      <x:c r="L190" s="4" t="n">
        <x:v>102</x:v>
      </x:c>
      <x:c r="M190" s="4" t="n">
        <x:v>7</x:v>
      </x:c>
      <x:c r="N190" s="4" t="n">
        <x:v>69</x:v>
      </x:c>
      <x:c r="O190" s="4" t="n">
        <x:v>0</x:v>
      </x:c>
      <x:c r="P190" s="1" t="str">
        <x:v>PASS</x:v>
      </x:c>
      <x:c r="Q190" s="4" t="n">
        <x:v>0</x:v>
      </x:c>
      <x:c r="R190" s="1" t="str">
        <x:v>PASS</x:v>
      </x:c>
      <x:c r="S190" s="4" t="n">
        <x:v>0</x:v>
      </x:c>
      <x:c r="T190" s="1" t="str">
        <x:v>NOT_REVEALING</x:v>
      </x:c>
      <x:c r="U190" s="1" t="str">
        <x:v>Closure_126</x:v>
      </x:c>
      <x:c r="V190" s="6" t="n">
        <x:v>137.8</x:v>
      </x:c>
    </x:row>
    <x:row r="191" ht="22" customHeight="1">
      <x:c r="A191" s="1" t="str">
        <x:v>Round1</x:v>
      </x:c>
      <x:c r="B191" s="1" t="str">
        <x:v>Closure</x:v>
      </x:c>
      <x:c r="C191" s="4" t="n">
        <x:v>127</x:v>
      </x:c>
      <x:c r="D191" s="4" t="n">
        <x:v>0</x:v>
      </x:c>
      <x:c r="E191" s="4" t="n">
        <x:v>60</x:v>
      </x:c>
      <x:c r="F191" s="4" t="n">
        <x:v>5</x:v>
      </x:c>
      <x:c r="G191" s="5" t="n">
        <x:v>0.054400000000000004</x:v>
      </x:c>
      <x:c r="H191" s="5" t="n">
        <x:v>0.09759999999999999</x:v>
      </x:c>
      <x:c r="I191" s="5" t="n">
        <x:v>0</x:v>
      </x:c>
      <x:c r="J191" s="4" t="n">
        <x:v>147</x:v>
      </x:c>
      <x:c r="K191" s="4" t="n">
        <x:v>8</x:v>
      </x:c>
      <x:c r="L191" s="4" t="n">
        <x:v>82</x:v>
      </x:c>
      <x:c r="M191" s="4" t="n">
        <x:v>8</x:v>
      </x:c>
      <x:c r="N191" s="4" t="n">
        <x:v>65</x:v>
      </x:c>
      <x:c r="O191" s="4" t="n">
        <x:v>0</x:v>
      </x:c>
      <x:c r="P191" s="1" t="str">
        <x:v>PASS</x:v>
      </x:c>
      <x:c r="Q191" s="4" t="n">
        <x:v>0</x:v>
      </x:c>
      <x:c r="R191" s="1" t="str">
        <x:v>PASS</x:v>
      </x:c>
      <x:c r="S191" s="4" t="n">
        <x:v>0</x:v>
      </x:c>
      <x:c r="T191" s="1" t="str">
        <x:v>NOT_REVEALING</x:v>
      </x:c>
      <x:c r="U191" s="1" t="str">
        <x:v>Closure_127</x:v>
      </x:c>
      <x:c r="V191" s="6" t="n">
        <x:v>104.76</x:v>
      </x:c>
    </x:row>
    <x:row r="192" ht="22" customHeight="1">
      <x:c r="A192" s="1" t="str">
        <x:v>Round1</x:v>
      </x:c>
      <x:c r="B192" s="1" t="str">
        <x:v>Closure</x:v>
      </x:c>
      <x:c r="C192" s="4" t="n">
        <x:v>128</x:v>
      </x:c>
      <x:c r="D192" s="4" t="n">
        <x:v>0</x:v>
      </x:c>
      <x:c r="E192" s="4" t="n">
        <x:v>60</x:v>
      </x:c>
      <x:c r="F192" s="4" t="n">
        <x:v>1977</x:v>
      </x:c>
      <x:c r="G192" s="5" t="n">
        <x:v>0.0726</x:v>
      </x:c>
      <x:c r="H192" s="5" t="n">
        <x:v>0.0956</x:v>
      </x:c>
      <x:c r="I192" s="5" t="n">
        <x:v>0.04190000000000001</x:v>
      </x:c>
      <x:c r="J192" s="4" t="n">
        <x:v>1115</x:v>
      </x:c>
      <x:c r="K192" s="4" t="n">
        <x:v>81</x:v>
      </x:c>
      <x:c r="L192" s="4" t="n">
        <x:v>638</x:v>
      </x:c>
      <x:c r="M192" s="4" t="n">
        <x:v>61</x:v>
      </x:c>
      <x:c r="N192" s="4" t="n">
        <x:v>477</x:v>
      </x:c>
      <x:c r="O192" s="4" t="n">
        <x:v>20</x:v>
      </x:c>
      <x:c r="P192" s="1" t="str">
        <x:v>PASS</x:v>
      </x:c>
      <x:c r="Q192" s="4" t="n">
        <x:v>0</x:v>
      </x:c>
      <x:c r="R192" s="1" t="str">
        <x:v>PASS</x:v>
      </x:c>
      <x:c r="S192" s="4" t="n">
        <x:v>0</x:v>
      </x:c>
      <x:c r="T192" s="1" t="str">
        <x:v>NOT_REVEALING</x:v>
      </x:c>
      <x:c r="U192" s="1" t="str">
        <x:v>Closure_128</x:v>
      </x:c>
      <x:c r="V192" s="6" t="n">
        <x:v>134.86</x:v>
      </x:c>
    </x:row>
    <x:row r="193" ht="22" customHeight="1">
      <x:c r="A193" s="1" t="str">
        <x:v>Round1</x:v>
      </x:c>
      <x:c r="B193" s="1" t="str">
        <x:v>Closure</x:v>
      </x:c>
      <x:c r="C193" s="4" t="n">
        <x:v>129</x:v>
      </x:c>
      <x:c r="D193" s="4" t="n">
        <x:v>0</x:v>
      </x:c>
      <x:c r="E193" s="4" t="n">
        <x:v>60</x:v>
      </x:c>
      <x:c r="F193" s="4" t="n">
        <x:v>72</x:v>
      </x:c>
      <x:c r="G193" s="5" t="n">
        <x:v>0.1707</x:v>
      </x:c>
      <x:c r="H193" s="5" t="n">
        <x:v>0.2361</x:v>
      </x:c>
      <x:c r="I193" s="5" t="n">
        <x:v>0.0784</x:v>
      </x:c>
      <x:c r="J193" s="4" t="n">
        <x:v>123</x:v>
      </x:c>
      <x:c r="K193" s="4" t="n">
        <x:v>21</x:v>
      </x:c>
      <x:c r="L193" s="4" t="n">
        <x:v>72</x:v>
      </x:c>
      <x:c r="M193" s="4" t="n">
        <x:v>17</x:v>
      </x:c>
      <x:c r="N193" s="4" t="n">
        <x:v>51</x:v>
      </x:c>
      <x:c r="O193" s="4" t="n">
        <x:v>4</x:v>
      </x:c>
      <x:c r="P193" s="1" t="str">
        <x:v>PASS</x:v>
      </x:c>
      <x:c r="Q193" s="4" t="n">
        <x:v>0</x:v>
      </x:c>
      <x:c r="R193" s="1" t="str">
        <x:v>PASS</x:v>
      </x:c>
      <x:c r="S193" s="4" t="n">
        <x:v>0</x:v>
      </x:c>
      <x:c r="T193" s="1" t="str">
        <x:v>NOT_REVEALING</x:v>
      </x:c>
      <x:c r="U193" s="1" t="str">
        <x:v>Closure_129</x:v>
      </x:c>
      <x:c r="V193" s="6" t="n">
        <x:v>109.87</x:v>
      </x:c>
    </x:row>
    <x:row r="194" ht="22" customHeight="1">
      <x:c r="A194" s="1" t="str">
        <x:v>Round1</x:v>
      </x:c>
      <x:c r="B194" s="1" t="str">
        <x:v>Closure</x:v>
      </x:c>
      <x:c r="C194" s="4" t="n">
        <x:v>130</x:v>
      </x:c>
      <x:c r="D194" s="4" t="n">
        <x:v>0</x:v>
      </x:c>
      <x:c r="E194" s="4" t="n">
        <x:v>60</x:v>
      </x:c>
      <x:c r="F194" s="4" t="n">
        <x:v>12</x:v>
      </x:c>
      <x:c r="G194" s="5" t="n">
        <x:v>0.0331</x:v>
      </x:c>
      <x:c r="H194" s="5" t="n">
        <x:v>0.0458</x:v>
      </x:c>
      <x:c r="I194" s="5" t="n">
        <x:v>0.0152</x:v>
      </x:c>
      <x:c r="J194" s="4" t="n">
        <x:v>635</x:v>
      </x:c>
      <x:c r="K194" s="4" t="n">
        <x:v>21</x:v>
      </x:c>
      <x:c r="L194" s="4" t="n">
        <x:v>371</x:v>
      </x:c>
      <x:c r="M194" s="4" t="n">
        <x:v>17</x:v>
      </x:c>
      <x:c r="N194" s="4" t="n">
        <x:v>264</x:v>
      </x:c>
      <x:c r="O194" s="4" t="n">
        <x:v>4</x:v>
      </x:c>
      <x:c r="P194" s="1" t="str">
        <x:v>PASS</x:v>
      </x:c>
      <x:c r="Q194" s="4" t="n">
        <x:v>0</x:v>
      </x:c>
      <x:c r="R194" s="1" t="str">
        <x:v>PASS</x:v>
      </x:c>
      <x:c r="S194" s="4" t="n">
        <x:v>0</x:v>
      </x:c>
      <x:c r="T194" s="1" t="str">
        <x:v>NOT_REVEALING</x:v>
      </x:c>
      <x:c r="U194" s="1" t="str">
        <x:v>Closure_130</x:v>
      </x:c>
      <x:c r="V194" s="6" t="n">
        <x:v>106.2</x:v>
      </x:c>
    </x:row>
    <x:row r="195" ht="22" customHeight="1">
      <x:c r="A195" s="1" t="str">
        <x:v>Round1</x:v>
      </x:c>
      <x:c r="B195" s="1" t="str">
        <x:v>Closure</x:v>
      </x:c>
      <x:c r="C195" s="4" t="n">
        <x:v>131</x:v>
      </x:c>
      <x:c r="D195" s="4" t="n">
        <x:v>0</x:v>
      </x:c>
      <x:c r="E195" s="4" t="n">
        <x:v>60</x:v>
      </x:c>
      <x:c r="F195" s="4" t="n">
        <x:v>6</x:v>
      </x:c>
      <x:c r="G195" s="5" t="n">
        <x:v>0.0971</x:v>
      </x:c>
      <x:c r="H195" s="5" t="n">
        <x:v>0.15039999999999998</x:v>
      </x:c>
      <x:c r="I195" s="5" t="n">
        <x:v>0.060599999999999994</x:v>
      </x:c>
      <x:c r="J195" s="4" t="n">
        <x:v>278</x:v>
      </x:c>
      <x:c r="K195" s="4" t="n">
        <x:v>27</x:v>
      </x:c>
      <x:c r="L195" s="4" t="n">
        <x:v>113</x:v>
      </x:c>
      <x:c r="M195" s="4" t="n">
        <x:v>17</x:v>
      </x:c>
      <x:c r="N195" s="4" t="n">
        <x:v>165</x:v>
      </x:c>
      <x:c r="O195" s="4" t="n">
        <x:v>10</x:v>
      </x:c>
      <x:c r="P195" s="1" t="str">
        <x:v>PASS</x:v>
      </x:c>
      <x:c r="Q195" s="4" t="n">
        <x:v>0</x:v>
      </x:c>
      <x:c r="R195" s="1" t="str">
        <x:v>PASS</x:v>
      </x:c>
      <x:c r="S195" s="4" t="n">
        <x:v>0</x:v>
      </x:c>
      <x:c r="T195" s="1" t="str">
        <x:v>NOT_REVEALING</x:v>
      </x:c>
      <x:c r="U195" s="1" t="str">
        <x:v>Closure_131</x:v>
      </x:c>
      <x:c r="V195" s="6" t="n">
        <x:v>101.38</x:v>
      </x:c>
    </x:row>
    <x:row r="196" ht="22" customHeight="1">
      <x:c r="A196" s="1" t="str">
        <x:v>Round1</x:v>
      </x:c>
      <x:c r="B196" s="1" t="str">
        <x:v>Closure</x:v>
      </x:c>
      <x:c r="C196" s="4" t="n">
        <x:v>132</x:v>
      </x:c>
      <x:c r="D196" s="4" t="n">
        <x:v>0</x:v>
      </x:c>
      <x:c r="E196" s="4" t="n">
        <x:v>60</x:v>
      </x:c>
      <x:c r="F196" s="4" t="n">
        <x:v>2110</x:v>
      </x:c>
      <x:c r="G196" s="5" t="n">
        <x:v>0.0225</x:v>
      </x:c>
      <x:c r="H196" s="5" t="n">
        <x:v>0.034300000000000004</x:v>
      </x:c>
      <x:c r="I196" s="5" t="n">
        <x:v>0.005699999999999999</x:v>
      </x:c>
      <x:c r="J196" s="4" t="n">
        <x:v>1287</x:v>
      </x:c>
      <x:c r="K196" s="4" t="n">
        <x:v>29</x:v>
      </x:c>
      <x:c r="L196" s="4" t="n">
        <x:v>757</x:v>
      </x:c>
      <x:c r="M196" s="4" t="n">
        <x:v>26</x:v>
      </x:c>
      <x:c r="N196" s="4" t="n">
        <x:v>530</x:v>
      </x:c>
      <x:c r="O196" s="4" t="n">
        <x:v>3</x:v>
      </x:c>
      <x:c r="P196" s="1" t="str">
        <x:v>PASS</x:v>
      </x:c>
      <x:c r="Q196" s="4" t="n">
        <x:v>0</x:v>
      </x:c>
      <x:c r="R196" s="1" t="str">
        <x:v>PASS</x:v>
      </x:c>
      <x:c r="S196" s="4" t="n">
        <x:v>0</x:v>
      </x:c>
      <x:c r="T196" s="1" t="str">
        <x:v>NOT_REVEALING</x:v>
      </x:c>
      <x:c r="U196" s="1" t="str">
        <x:v>Closure_132</x:v>
      </x:c>
      <x:c r="V196" s="6" t="n">
        <x:v>136.06</x:v>
      </x:c>
    </x:row>
    <x:row r="197" ht="22" customHeight="1">
      <x:c r="A197" s="1" t="str">
        <x:v>Round1</x:v>
      </x:c>
      <x:c r="B197" s="1" t="str">
        <x:v>Closure</x:v>
      </x:c>
      <x:c r="C197" s="4" t="n">
        <x:v>133</x:v>
      </x:c>
      <x:c r="D197" s="4" t="n">
        <x:v>0</x:v>
      </x:c>
      <x:c r="E197" s="4" t="n">
        <x:v>60</x:v>
      </x:c>
      <x:c r="F197" s="4" t="n">
        <x:v>5</x:v>
      </x:c>
      <x:c r="G197" s="5" t="n">
        <x:v>0.0677</x:v>
      </x:c>
      <x:c r="H197" s="5" t="n">
        <x:v>0.0799</x:v>
      </x:c>
      <x:c r="I197" s="5" t="n">
        <x:v>0.0473</x:v>
      </x:c>
      <x:c r="J197" s="4" t="n">
        <x:v>1744</x:v>
      </x:c>
      <x:c r="K197" s="4" t="n">
        <x:v>118</x:v>
      </x:c>
      <x:c r="L197" s="4" t="n">
        <x:v>1089</x:v>
      </x:c>
      <x:c r="M197" s="4" t="n">
        <x:v>87</x:v>
      </x:c>
      <x:c r="N197" s="4" t="n">
        <x:v>655</x:v>
      </x:c>
      <x:c r="O197" s="4" t="n">
        <x:v>31</x:v>
      </x:c>
      <x:c r="P197" s="1" t="str">
        <x:v>PASS</x:v>
      </x:c>
      <x:c r="Q197" s="4" t="n">
        <x:v>0</x:v>
      </x:c>
      <x:c r="R197" s="1" t="str">
        <x:v>PASS</x:v>
      </x:c>
      <x:c r="S197" s="4" t="n">
        <x:v>0</x:v>
      </x:c>
      <x:c r="T197" s="1" t="str">
        <x:v>NOT_REVEALING</x:v>
      </x:c>
      <x:c r="U197" s="1" t="str">
        <x:v>Closure_133</x:v>
      </x:c>
      <x:c r="V197" s="6" t="n">
        <x:v>104.05</x:v>
      </x:c>
    </x:row>
    <x:row r="198" ht="22" customHeight="1">
      <x:c r="A198" s="1" t="str">
        <x:v>Round1</x:v>
      </x:c>
      <x:c r="B198" s="1" t="str">
        <x:v>Closure</x:v>
      </x:c>
      <x:c r="C198" s="4" t="n">
        <x:v>134</x:v>
      </x:c>
      <x:c r="D198" s="4" t="n">
        <x:v>0</x:v>
      </x:c>
      <x:c r="E198" s="4" t="n">
        <x:v>60</x:v>
      </x:c>
      <x:c r="F198" s="4" t="n">
        <x:v>3639</x:v>
      </x:c>
      <x:c r="G198" s="5" t="n">
        <x:v>0.0191</x:v>
      </x:c>
      <x:c r="H198" s="5" t="n">
        <x:v>0.0319</x:v>
      </x:c>
      <x:c r="I198" s="5" t="n">
        <x:v>0</x:v>
      </x:c>
      <x:c r="J198" s="4" t="n">
        <x:v>1415</x:v>
      </x:c>
      <x:c r="K198" s="4" t="n">
        <x:v>27</x:v>
      </x:c>
      <x:c r="L198" s="4" t="n">
        <x:v>846</x:v>
      </x:c>
      <x:c r="M198" s="4" t="n">
        <x:v>27</x:v>
      </x:c>
      <x:c r="N198" s="4" t="n">
        <x:v>569</x:v>
      </x:c>
      <x:c r="O198" s="4" t="n">
        <x:v>0</x:v>
      </x:c>
      <x:c r="P198" s="1" t="str">
        <x:v>PASS</x:v>
      </x:c>
      <x:c r="Q198" s="4" t="n">
        <x:v>0</x:v>
      </x:c>
      <x:c r="R198" s="1" t="str">
        <x:v>PASS</x:v>
      </x:c>
      <x:c r="S198" s="4" t="n">
        <x:v>0</x:v>
      </x:c>
      <x:c r="T198" s="1" t="str">
        <x:v>NOT_REVEALING</x:v>
      </x:c>
      <x:c r="U198" s="1" t="str">
        <x:v>Closure_134</x:v>
      </x:c>
      <x:c r="V198" s="6" t="n">
        <x:v>79.64</x:v>
      </x:c>
    </x:row>
    <x:row r="199" ht="22" customHeight="1">
      <x:c r="A199" s="1" t="str">
        <x:v>Round1</x:v>
      </x:c>
      <x:c r="B199" s="1" t="str">
        <x:v>Closure</x:v>
      </x:c>
      <x:c r="C199" s="4" t="n">
        <x:v>135</x:v>
      </x:c>
      <x:c r="D199" s="4" t="n">
        <x:v>0</x:v>
      </x:c>
      <x:c r="E199" s="4" t="n">
        <x:v>60</x:v>
      </x:c>
      <x:c r="F199" s="4" t="n">
        <x:v>58</x:v>
      </x:c>
      <x:c r="G199" s="5" t="n">
        <x:v>0.013500000000000002</x:v>
      </x:c>
      <x:c r="H199" s="5" t="n">
        <x:v>0.0236</x:v>
      </x:c>
      <x:c r="I199" s="5" t="n">
        <x:v>0</x:v>
      </x:c>
      <x:c r="J199" s="4" t="n">
        <x:v>742</x:v>
      </x:c>
      <x:c r="K199" s="4" t="n">
        <x:v>10</x:v>
      </x:c>
      <x:c r="L199" s="4" t="n">
        <x:v>424</x:v>
      </x:c>
      <x:c r="M199" s="4" t="n">
        <x:v>10</x:v>
      </x:c>
      <x:c r="N199" s="4" t="n">
        <x:v>318</x:v>
      </x:c>
      <x:c r="O199" s="4" t="n">
        <x:v>0</x:v>
      </x:c>
      <x:c r="P199" s="1" t="str">
        <x:v>PASS</x:v>
      </x:c>
      <x:c r="Q199" s="4" t="n">
        <x:v>0</x:v>
      </x:c>
      <x:c r="R199" s="1" t="str">
        <x:v>PASS</x:v>
      </x:c>
      <x:c r="S199" s="4" t="n">
        <x:v>0</x:v>
      </x:c>
      <x:c r="T199" s="1" t="str">
        <x:v>NOT_REVEALING</x:v>
      </x:c>
      <x:c r="U199" s="1" t="str">
        <x:v>Closure_135</x:v>
      </x:c>
      <x:c r="V199" s="6" t="n">
        <x:v>60.02</x:v>
      </x:c>
    </x:row>
    <x:row r="200" ht="22" customHeight="1">
      <x:c r="A200" s="1" t="str">
        <x:v>Round1</x:v>
      </x:c>
      <x:c r="B200" s="1" t="str">
        <x:v>Closure</x:v>
      </x:c>
      <x:c r="C200" s="4" t="n">
        <x:v>136</x:v>
      </x:c>
      <x:c r="D200" s="4" t="n">
        <x:v>0</x:v>
      </x:c>
      <x:c r="E200" s="4" t="n">
        <x:v>60</x:v>
      </x:c>
      <x:c r="F200" s="4" t="n">
        <x:v>579</x:v>
      </x:c>
      <x:c r="G200" s="5" t="n">
        <x:v>0.1308</x:v>
      </x:c>
      <x:c r="H200" s="5" t="n">
        <x:v>0.17739999999999997</x:v>
      </x:c>
      <x:c r="I200" s="5" t="n">
        <x:v>0.0473</x:v>
      </x:c>
      <x:c r="J200" s="4" t="n">
        <x:v>413</x:v>
      </x:c>
      <x:c r="K200" s="4" t="n">
        <x:v>54</x:v>
      </x:c>
      <x:c r="L200" s="4" t="n">
        <x:v>265</x:v>
      </x:c>
      <x:c r="M200" s="4" t="n">
        <x:v>47</x:v>
      </x:c>
      <x:c r="N200" s="4" t="n">
        <x:v>148</x:v>
      </x:c>
      <x:c r="O200" s="4" t="n">
        <x:v>7</x:v>
      </x:c>
      <x:c r="P200" s="1" t="str">
        <x:v>PASS</x:v>
      </x:c>
      <x:c r="Q200" s="4" t="n">
        <x:v>0</x:v>
      </x:c>
      <x:c r="R200" s="1" t="str">
        <x:v>PASS</x:v>
      </x:c>
      <x:c r="S200" s="4" t="n">
        <x:v>0</x:v>
      </x:c>
      <x:c r="T200" s="1" t="str">
        <x:v>NOT_REVEALING</x:v>
      </x:c>
      <x:c r="U200" s="1" t="str">
        <x:v>Closure_136</x:v>
      </x:c>
      <x:c r="V200" s="6" t="n">
        <x:v>73.58</x:v>
      </x:c>
    </x:row>
    <x:row r="201" ht="22" customHeight="1">
      <x:c r="A201" s="1" t="str">
        <x:v>Round1</x:v>
      </x:c>
      <x:c r="B201" s="1" t="str">
        <x:v>Closure</x:v>
      </x:c>
      <x:c r="C201" s="4" t="n">
        <x:v>137</x:v>
      </x:c>
      <x:c r="D201" s="4" t="n">
        <x:v>0</x:v>
      </x:c>
      <x:c r="E201" s="4" t="n">
        <x:v>60</x:v>
      </x:c>
      <x:c r="F201" s="4" t="n">
        <x:v>1692</x:v>
      </x:c>
      <x:c r="G201" s="5" t="n">
        <x:v>0.36450000000000005</x:v>
      </x:c>
      <x:c r="H201" s="5" t="n">
        <x:v>0.43200000000000005</x:v>
      </x:c>
      <x:c r="I201" s="5" t="n">
        <x:v>0.2781</x:v>
      </x:c>
      <x:c r="J201" s="4" t="n">
        <x:v>1624</x:v>
      </x:c>
      <x:c r="K201" s="4" t="n">
        <x:v>592</x:v>
      </x:c>
      <x:c r="L201" s="4" t="n">
        <x:v>912</x:v>
      </x:c>
      <x:c r="M201" s="4" t="n">
        <x:v>394</x:v>
      </x:c>
      <x:c r="N201" s="4" t="n">
        <x:v>712</x:v>
      </x:c>
      <x:c r="O201" s="4" t="n">
        <x:v>198</x:v>
      </x:c>
      <x:c r="P201" s="1" t="str">
        <x:v>FAIL</x:v>
      </x:c>
      <x:c r="Q201" s="4" t="n">
        <x:v>78</x:v>
      </x:c>
      <x:c r="R201" s="1" t="str">
        <x:v>FAIL</x:v>
      </x:c>
      <x:c r="S201" s="4" t="n">
        <x:v>78</x:v>
      </x:c>
      <x:c r="T201" s="1" t="str">
        <x:v>INCONCLUSIVE</x:v>
      </x:c>
      <x:c r="U201" s="1" t="str">
        <x:v>Closure_137</x:v>
      </x:c>
      <x:c r="V201" s="6" t="n">
        <x:v>94.94</x:v>
      </x:c>
    </x:row>
    <x:row r="202" ht="22" customHeight="1">
      <x:c r="A202" s="1" t="str">
        <x:v>Round1</x:v>
      </x:c>
      <x:c r="B202" s="1" t="str">
        <x:v>Closure</x:v>
      </x:c>
      <x:c r="C202" s="4" t="n">
        <x:v>138</x:v>
      </x:c>
      <x:c r="D202" s="4" t="n">
        <x:v>0</x:v>
      </x:c>
      <x:c r="E202" s="4" t="n">
        <x:v>60</x:v>
      </x:c>
      <x:c r="F202" s="4" t="n">
        <x:v>2</x:v>
      </x:c>
      <x:c r="G202" s="5" t="n">
        <x:v>0.001</x:v>
      </x:c>
      <x:c r="H202" s="5" t="n">
        <x:v>0.0017000000000000001</x:v>
      </x:c>
      <x:c r="I202" s="5" t="n">
        <x:v>0</x:v>
      </x:c>
      <x:c r="J202" s="4" t="n">
        <x:v>978</x:v>
      </x:c>
      <x:c r="K202" s="4" t="n">
        <x:v>1</x:v>
      </x:c>
      <x:c r="L202" s="4" t="n">
        <x:v>605</x:v>
      </x:c>
      <x:c r="M202" s="4" t="n">
        <x:v>1</x:v>
      </x:c>
      <x:c r="N202" s="4" t="n">
        <x:v>373</x:v>
      </x:c>
      <x:c r="O202" s="4" t="n">
        <x:v>0</x:v>
      </x:c>
      <x:c r="P202" s="1" t="str">
        <x:v>PASS</x:v>
      </x:c>
      <x:c r="Q202" s="4" t="n">
        <x:v>0</x:v>
      </x:c>
      <x:c r="R202" s="1" t="str">
        <x:v>PASS</x:v>
      </x:c>
      <x:c r="S202" s="4" t="n">
        <x:v>0</x:v>
      </x:c>
      <x:c r="T202" s="1" t="str">
        <x:v>NOT_REVEALING</x:v>
      </x:c>
      <x:c r="U202" s="1" t="str">
        <x:v>Closure_138</x:v>
      </x:c>
      <x:c r="V202" s="6" t="n">
        <x:v>55.01</x:v>
      </x:c>
    </x:row>
    <x:row r="203" ht="22" customHeight="1">
      <x:c r="A203" s="1" t="str">
        <x:v>Round1</x:v>
      </x:c>
      <x:c r="B203" s="1" t="str">
        <x:v>Closure</x:v>
      </x:c>
      <x:c r="C203" s="4" t="n">
        <x:v>139</x:v>
      </x:c>
      <x:c r="D203" s="4" t="n">
        <x:v>0</x:v>
      </x:c>
      <x:c r="E203" s="4" t="n">
        <x:v>60</x:v>
      </x:c>
      <x:c r="F203" s="4" t="n">
        <x:v>304</x:v>
      </x:c>
      <x:c r="G203" s="5" t="n">
        <x:v>0.0812</x:v>
      </x:c>
      <x:c r="H203" s="5" t="n">
        <x:v>0.12689999999999999</x:v>
      </x:c>
      <x:c r="I203" s="5" t="n">
        <x:v>0</x:v>
      </x:c>
      <x:c r="J203" s="4" t="n">
        <x:v>308</x:v>
      </x:c>
      <x:c r="K203" s="4" t="n">
        <x:v>25</x:v>
      </x:c>
      <x:c r="L203" s="4" t="n">
        <x:v>197</x:v>
      </x:c>
      <x:c r="M203" s="4" t="n">
        <x:v>25</x:v>
      </x:c>
      <x:c r="N203" s="4" t="n">
        <x:v>111</x:v>
      </x:c>
      <x:c r="O203" s="4" t="n">
        <x:v>0</x:v>
      </x:c>
      <x:c r="P203" s="1" t="str">
        <x:v>PASS</x:v>
      </x:c>
      <x:c r="Q203" s="4" t="n">
        <x:v>0</x:v>
      </x:c>
      <x:c r="R203" s="1" t="str">
        <x:v>PASS</x:v>
      </x:c>
      <x:c r="S203" s="4" t="n">
        <x:v>0</x:v>
      </x:c>
      <x:c r="T203" s="1" t="str">
        <x:v>NOT_REVEALING</x:v>
      </x:c>
      <x:c r="U203" s="1" t="str">
        <x:v>Closure_139</x:v>
      </x:c>
      <x:c r="V203" s="6" t="n">
        <x:v>68.8</x:v>
      </x:c>
    </x:row>
    <x:row r="204" ht="22" customHeight="1">
      <x:c r="A204" s="1" t="str">
        <x:v>Round1</x:v>
      </x:c>
      <x:c r="B204" s="1" t="str">
        <x:v>Closure</x:v>
      </x:c>
      <x:c r="C204" s="4" t="n">
        <x:v>140</x:v>
      </x:c>
      <x:c r="D204" s="4" t="n">
        <x:v>0</x:v>
      </x:c>
      <x:c r="E204" s="4" t="n">
        <x:v>60</x:v>
      </x:c>
      <x:c r="F204" s="4" t="n">
        <x:v>1834</x:v>
      </x:c>
      <x:c r="G204" s="5" t="n">
        <x:v>0.42619999999999997</x:v>
      </x:c>
      <x:c r="H204" s="5" t="n">
        <x:v>0.4551</x:v>
      </x:c>
      <x:c r="I204" s="5" t="n">
        <x:v>0.34840000000000004</x:v>
      </x:c>
      <x:c r="J204" s="4" t="n">
        <x:v>901</x:v>
      </x:c>
      <x:c r="K204" s="4" t="n">
        <x:v>384</x:v>
      </x:c>
      <x:c r="L204" s="4" t="n">
        <x:v>657</x:v>
      </x:c>
      <x:c r="M204" s="4" t="n">
        <x:v>299</x:v>
      </x:c>
      <x:c r="N204" s="4" t="n">
        <x:v>244</x:v>
      </x:c>
      <x:c r="O204" s="4" t="n">
        <x:v>85</x:v>
      </x:c>
      <x:c r="P204" s="1" t="str">
        <x:v>FAIL</x:v>
      </x:c>
      <x:c r="Q204" s="4" t="n">
        <x:v>170</x:v>
      </x:c>
      <x:c r="R204" s="1" t="str">
        <x:v>FAIL</x:v>
      </x:c>
      <x:c r="S204" s="4" t="n">
        <x:v>170</x:v>
      </x:c>
      <x:c r="T204" s="1" t="str">
        <x:v>INCONCLUSIVE</x:v>
      </x:c>
      <x:c r="U204" s="1" t="str">
        <x:v>Closure_140</x:v>
      </x:c>
      <x:c r="V204" s="6" t="n">
        <x:v>102.51</x:v>
      </x:c>
    </x:row>
    <x:row r="205" ht="22" customHeight="1">
      <x:c r="A205" s="1" t="str">
        <x:v>Round1</x:v>
      </x:c>
      <x:c r="B205" s="1" t="str">
        <x:v>Closure</x:v>
      </x:c>
      <x:c r="C205" s="4" t="n">
        <x:v>141</x:v>
      </x:c>
      <x:c r="D205" s="4" t="n">
        <x:v>0</x:v>
      </x:c>
      <x:c r="E205" s="4" t="n">
        <x:v>60</x:v>
      </x:c>
      <x:c r="F205" s="4" t="n">
        <x:v>1872</x:v>
      </x:c>
      <x:c r="G205" s="5" t="n">
        <x:v>0.3722</x:v>
      </x:c>
      <x:c r="H205" s="5" t="n">
        <x:v>0.4303</x:v>
      </x:c>
      <x:c r="I205" s="5" t="n">
        <x:v>0.3035</x:v>
      </x:c>
      <x:c r="J205" s="4" t="n">
        <x:v>1537</x:v>
      </x:c>
      <x:c r="K205" s="4" t="n">
        <x:v>572</x:v>
      </x:c>
      <x:c r="L205" s="4" t="n">
        <x:v>832</x:v>
      </x:c>
      <x:c r="M205" s="4" t="n">
        <x:v>358</x:v>
      </x:c>
      <x:c r="N205" s="4" t="n">
        <x:v>705</x:v>
      </x:c>
      <x:c r="O205" s="4" t="n">
        <x:v>214</x:v>
      </x:c>
      <x:c r="P205" s="1" t="str">
        <x:v>FAIL</x:v>
      </x:c>
      <x:c r="Q205" s="4" t="n">
        <x:v>188</x:v>
      </x:c>
      <x:c r="R205" s="1" t="str">
        <x:v>FAIL</x:v>
      </x:c>
      <x:c r="S205" s="4" t="n">
        <x:v>188</x:v>
      </x:c>
      <x:c r="T205" s="1" t="str">
        <x:v>INCONCLUSIVE</x:v>
      </x:c>
      <x:c r="U205" s="1" t="str">
        <x:v>Closure_141</x:v>
      </x:c>
      <x:c r="V205" s="6" t="n">
        <x:v>95.44</x:v>
      </x:c>
    </x:row>
    <x:row r="206" ht="22" customHeight="1">
      <x:c r="A206" s="1" t="str">
        <x:v>Round1</x:v>
      </x:c>
      <x:c r="B206" s="1" t="str">
        <x:v>Closure</x:v>
      </x:c>
      <x:c r="C206" s="4" t="n">
        <x:v>142</x:v>
      </x:c>
      <x:c r="D206" s="4" t="n">
        <x:v>0</x:v>
      </x:c>
      <x:c r="E206" s="4" t="n">
        <x:v>60</x:v>
      </x:c>
      <x:c r="F206" s="4" t="n">
        <x:v>2053</x:v>
      </x:c>
      <x:c r="G206" s="5" t="n">
        <x:v>0.061</x:v>
      </x:c>
      <x:c r="H206" s="5" t="n">
        <x:v>0.0731</x:v>
      </x:c>
      <x:c r="I206" s="5" t="n">
        <x:v>0.041100000000000005</x:v>
      </x:c>
      <x:c r="J206" s="4" t="n">
        <x:v>1672</x:v>
      </x:c>
      <x:c r="K206" s="4" t="n">
        <x:v>102</x:v>
      </x:c>
      <x:c r="L206" s="4" t="n">
        <x:v>1039</x:v>
      </x:c>
      <x:c r="M206" s="4" t="n">
        <x:v>76</x:v>
      </x:c>
      <x:c r="N206" s="4" t="n">
        <x:v>633</x:v>
      </x:c>
      <x:c r="O206" s="4" t="n">
        <x:v>26</x:v>
      </x:c>
      <x:c r="P206" s="1" t="str">
        <x:v>PASS</x:v>
      </x:c>
      <x:c r="Q206" s="4" t="n">
        <x:v>0</x:v>
      </x:c>
      <x:c r="R206" s="1" t="str">
        <x:v>PASS</x:v>
      </x:c>
      <x:c r="S206" s="4" t="n">
        <x:v>0</x:v>
      </x:c>
      <x:c r="T206" s="1" t="str">
        <x:v>NOT_REVEALING</x:v>
      </x:c>
      <x:c r="U206" s="1" t="str">
        <x:v>Closure_142</x:v>
      </x:c>
      <x:c r="V206" s="6" t="n">
        <x:v>126.52</x:v>
      </x:c>
    </x:row>
    <x:row r="207" ht="22" customHeight="1">
      <x:c r="A207" s="1" t="str">
        <x:v>Round1</x:v>
      </x:c>
      <x:c r="B207" s="1" t="str">
        <x:v>Closure</x:v>
      </x:c>
      <x:c r="C207" s="4" t="n">
        <x:v>143</x:v>
      </x:c>
      <x:c r="D207" s="4" t="n">
        <x:v>0</x:v>
      </x:c>
      <x:c r="E207" s="4" t="n">
        <x:v>60</x:v>
      </x:c>
      <x:c r="F207" s="4" t="n">
        <x:v>1649</x:v>
      </x:c>
      <x:c r="G207" s="5" t="n">
        <x:v>0.24719999999999998</x:v>
      </x:c>
      <x:c r="H207" s="5" t="n">
        <x:v>0.2968</x:v>
      </x:c>
      <x:c r="I207" s="5" t="n">
        <x:v>0.12619999999999998</x:v>
      </x:c>
      <x:c r="J207" s="4" t="n">
        <x:v>708</x:v>
      </x:c>
      <x:c r="K207" s="4" t="n">
        <x:v>175</x:v>
      </x:c>
      <x:c r="L207" s="4" t="n">
        <x:v>502</x:v>
      </x:c>
      <x:c r="M207" s="4" t="n">
        <x:v>149</x:v>
      </x:c>
      <x:c r="N207" s="4" t="n">
        <x:v>206</x:v>
      </x:c>
      <x:c r="O207" s="4" t="n">
        <x:v>26</x:v>
      </x:c>
      <x:c r="P207" s="1" t="str">
        <x:v>PASS</x:v>
      </x:c>
      <x:c r="Q207" s="4" t="n">
        <x:v>0</x:v>
      </x:c>
      <x:c r="R207" s="1" t="str">
        <x:v>PASS</x:v>
      </x:c>
      <x:c r="S207" s="4" t="n">
        <x:v>0</x:v>
      </x:c>
      <x:c r="T207" s="1" t="str">
        <x:v>NOT_REVEALING</x:v>
      </x:c>
      <x:c r="U207" s="1" t="str">
        <x:v>Closure_143</x:v>
      </x:c>
      <x:c r="V207" s="6" t="n">
        <x:v>113.34</x:v>
      </x:c>
    </x:row>
    <x:row r="208" ht="22" customHeight="1">
      <x:c r="A208" s="1" t="str">
        <x:v>Round1</x:v>
      </x:c>
      <x:c r="B208" s="1" t="str">
        <x:v>Closure</x:v>
      </x:c>
      <x:c r="C208" s="4" t="n">
        <x:v>144</x:v>
      </x:c>
      <x:c r="D208" s="4" t="n">
        <x:v>0</x:v>
      </x:c>
      <x:c r="E208" s="4" t="n">
        <x:v>60</x:v>
      </x:c>
      <x:c r="F208" s="4" t="n">
        <x:v>1780</x:v>
      </x:c>
      <x:c r="G208" s="5" t="n">
        <x:v>0.030600000000000002</x:v>
      </x:c>
      <x:c r="H208" s="5" t="n">
        <x:v>0.053200000000000004</x:v>
      </x:c>
      <x:c r="I208" s="5" t="n">
        <x:v>0</x:v>
      </x:c>
      <x:c r="J208" s="4" t="n">
        <x:v>2121</x:v>
      </x:c>
      <x:c r="K208" s="4" t="n">
        <x:v>65</x:v>
      </x:c>
      <x:c r="L208" s="4" t="n">
        <x:v>1221</x:v>
      </x:c>
      <x:c r="M208" s="4" t="n">
        <x:v>65</x:v>
      </x:c>
      <x:c r="N208" s="4" t="n">
        <x:v>900</x:v>
      </x:c>
      <x:c r="O208" s="4" t="n">
        <x:v>0</x:v>
      </x:c>
      <x:c r="P208" s="1" t="str">
        <x:v>PASS</x:v>
      </x:c>
      <x:c r="Q208" s="4" t="n">
        <x:v>0</x:v>
      </x:c>
      <x:c r="R208" s="1" t="str">
        <x:v>PASS</x:v>
      </x:c>
      <x:c r="S208" s="4" t="n">
        <x:v>0</x:v>
      </x:c>
      <x:c r="T208" s="1" t="str">
        <x:v>NOT_REVEALING</x:v>
      </x:c>
      <x:c r="U208" s="1" t="str">
        <x:v>Closure_144</x:v>
      </x:c>
      <x:c r="V208" s="6" t="n">
        <x:v>83.59</x:v>
      </x:c>
    </x:row>
    <x:row r="209" ht="22" customHeight="1">
      <x:c r="A209" s="1" t="str">
        <x:v>Round1</x:v>
      </x:c>
      <x:c r="B209" s="1" t="str">
        <x:v>Closure</x:v>
      </x:c>
      <x:c r="C209" s="4" t="n">
        <x:v>145</x:v>
      </x:c>
      <x:c r="D209" s="4" t="n">
        <x:v>0</x:v>
      </x:c>
      <x:c r="E209" s="4" t="n">
        <x:v>60</x:v>
      </x:c>
      <x:c r="F209" s="4" t="n">
        <x:v>2745</x:v>
      </x:c>
      <x:c r="G209" s="5" t="n">
        <x:v>0.0967</x:v>
      </x:c>
      <x:c r="H209" s="5" t="n">
        <x:v>0.1267</x:v>
      </x:c>
      <x:c r="I209" s="5" t="n">
        <x:v>0.0559</x:v>
      </x:c>
      <x:c r="J209" s="4" t="n">
        <x:v>889</x:v>
      </x:c>
      <x:c r="K209" s="4" t="n">
        <x:v>86</x:v>
      </x:c>
      <x:c r="L209" s="4" t="n">
        <x:v>513</x:v>
      </x:c>
      <x:c r="M209" s="4" t="n">
        <x:v>65</x:v>
      </x:c>
      <x:c r="N209" s="4" t="n">
        <x:v>376</x:v>
      </x:c>
      <x:c r="O209" s="4" t="n">
        <x:v>21</x:v>
      </x:c>
      <x:c r="P209" s="1" t="str">
        <x:v>PASS</x:v>
      </x:c>
      <x:c r="Q209" s="4" t="n">
        <x:v>0</x:v>
      </x:c>
      <x:c r="R209" s="1" t="str">
        <x:v>PASS</x:v>
      </x:c>
      <x:c r="S209" s="4" t="n">
        <x:v>0</x:v>
      </x:c>
      <x:c r="T209" s="1" t="str">
        <x:v>NOT_REVEALING</x:v>
      </x:c>
      <x:c r="U209" s="1" t="str">
        <x:v>Closure_145</x:v>
      </x:c>
      <x:c r="V209" s="6" t="n">
        <x:v>98.78</x:v>
      </x:c>
    </x:row>
    <x:row r="210" ht="22" customHeight="1">
      <x:c r="A210" s="1" t="str">
        <x:v>Round1</x:v>
      </x:c>
      <x:c r="B210" s="1" t="str">
        <x:v>Closure</x:v>
      </x:c>
      <x:c r="C210" s="4" t="n">
        <x:v>146</x:v>
      </x:c>
      <x:c r="D210" s="4" t="n">
        <x:v>0</x:v>
      </x:c>
      <x:c r="E210" s="4" t="n">
        <x:v>60</x:v>
      </x:c>
      <x:c r="F210" s="4" t="n">
        <x:v>2562</x:v>
      </x:c>
      <x:c r="G210" s="5" t="n">
        <x:v>0.0385</x:v>
      </x:c>
      <x:c r="H210" s="5" t="n">
        <x:v>0.047400000000000005</x:v>
      </x:c>
      <x:c r="I210" s="5" t="n">
        <x:v>0.0246</x:v>
      </x:c>
      <x:c r="J210" s="4" t="n">
        <x:v>312</x:v>
      </x:c>
      <x:c r="K210" s="4" t="n">
        <x:v>12</x:v>
      </x:c>
      <x:c r="L210" s="4" t="n">
        <x:v>190</x:v>
      </x:c>
      <x:c r="M210" s="4" t="n">
        <x:v>9</x:v>
      </x:c>
      <x:c r="N210" s="4" t="n">
        <x:v>122</x:v>
      </x:c>
      <x:c r="O210" s="4" t="n">
        <x:v>3</x:v>
      </x:c>
      <x:c r="P210" s="1" t="str">
        <x:v>PASS</x:v>
      </x:c>
      <x:c r="Q210" s="4" t="n">
        <x:v>0</x:v>
      </x:c>
      <x:c r="R210" s="1" t="str">
        <x:v>PASS</x:v>
      </x:c>
      <x:c r="S210" s="4" t="n">
        <x:v>0</x:v>
      </x:c>
      <x:c r="T210" s="1" t="str">
        <x:v>NOT_REVEALING</x:v>
      </x:c>
      <x:c r="U210" s="1" t="str">
        <x:v>Closure_146</x:v>
      </x:c>
      <x:c r="V210" s="6" t="n">
        <x:v>91.06</x:v>
      </x:c>
    </x:row>
    <x:row r="211" ht="22" customHeight="1">
      <x:c r="A211" s="1" t="str">
        <x:v>Round1</x:v>
      </x:c>
      <x:c r="B211" s="1" t="str">
        <x:v>Closure</x:v>
      </x:c>
      <x:c r="C211" s="4" t="n">
        <x:v>147</x:v>
      </x:c>
      <x:c r="D211" s="4" t="n">
        <x:v>0</x:v>
      </x:c>
      <x:c r="E211" s="4" t="n">
        <x:v>60</x:v>
      </x:c>
      <x:c r="F211" s="4" t="n">
        <x:v>11</x:v>
      </x:c>
      <x:c r="G211" s="5" t="n">
        <x:v>0.0739</x:v>
      </x:c>
      <x:c r="H211" s="5" t="n">
        <x:v>0.11789999999999999</x:v>
      </x:c>
      <x:c r="I211" s="5" t="n">
        <x:v>0.0070999999999999995</x:v>
      </x:c>
      <x:c r="J211" s="4" t="n">
        <x:v>352</x:v>
      </x:c>
      <x:c r="K211" s="4" t="n">
        <x:v>26</x:v>
      </x:c>
      <x:c r="L211" s="4" t="n">
        <x:v>212</x:v>
      </x:c>
      <x:c r="M211" s="4" t="n">
        <x:v>25</x:v>
      </x:c>
      <x:c r="N211" s="4" t="n">
        <x:v>140</x:v>
      </x:c>
      <x:c r="O211" s="4" t="n">
        <x:v>1</x:v>
      </x:c>
      <x:c r="P211" s="1" t="str">
        <x:v>PASS</x:v>
      </x:c>
      <x:c r="Q211" s="4" t="n">
        <x:v>0</x:v>
      </x:c>
      <x:c r="R211" s="1" t="str">
        <x:v>PASS</x:v>
      </x:c>
      <x:c r="S211" s="4" t="n">
        <x:v>0</x:v>
      </x:c>
      <x:c r="T211" s="1" t="str">
        <x:v>NOT_REVEALING</x:v>
      </x:c>
      <x:c r="U211" s="1" t="str">
        <x:v>Closure_147</x:v>
      </x:c>
      <x:c r="V211" s="6" t="n">
        <x:v>56.65</x:v>
      </x:c>
    </x:row>
    <x:row r="212" ht="22" customHeight="1">
      <x:c r="A212" s="1" t="str">
        <x:v>Round1</x:v>
      </x:c>
      <x:c r="B212" s="1" t="str">
        <x:v>Closure</x:v>
      </x:c>
      <x:c r="C212" s="4" t="n">
        <x:v>148</x:v>
      </x:c>
      <x:c r="D212" s="4" t="n">
        <x:v>0</x:v>
      </x:c>
      <x:c r="E212" s="4" t="n">
        <x:v>60</x:v>
      </x:c>
      <x:c r="F212" s="4" t="n">
        <x:v>1922</x:v>
      </x:c>
      <x:c r="G212" s="5" t="n">
        <x:v>0.037200000000000004</x:v>
      </x:c>
      <x:c r="H212" s="5" t="n">
        <x:v>0.0582</x:v>
      </x:c>
      <x:c r="I212" s="5" t="n">
        <x:v>0.0079</x:v>
      </x:c>
      <x:c r="J212" s="4" t="n">
        <x:v>1211</x:v>
      </x:c>
      <x:c r="K212" s="4" t="n">
        <x:v>45</x:v>
      </x:c>
      <x:c r="L212" s="4" t="n">
        <x:v>705</x:v>
      </x:c>
      <x:c r="M212" s="4" t="n">
        <x:v>41</x:v>
      </x:c>
      <x:c r="N212" s="4" t="n">
        <x:v>506</x:v>
      </x:c>
      <x:c r="O212" s="4" t="n">
        <x:v>4</x:v>
      </x:c>
      <x:c r="P212" s="1" t="str">
        <x:v>PASS</x:v>
      </x:c>
      <x:c r="Q212" s="4" t="n">
        <x:v>0</x:v>
      </x:c>
      <x:c r="R212" s="1" t="str">
        <x:v>NOT_RUN</x:v>
      </x:c>
      <x:c r="S212" s="4"/>
      <x:c r="T212" s="1" t="str">
        <x:v>NOT_AVAILABLE</x:v>
      </x:c>
      <x:c r="U212" s="1" t="str">
        <x:v>Closure_148</x:v>
      </x:c>
      <x:c r="V212" s="6" t="n">
        <x:v>64.63</x:v>
      </x:c>
    </x:row>
    <x:row r="213" ht="22" customHeight="1">
      <x:c r="A213" s="1" t="str">
        <x:v>Round1</x:v>
      </x:c>
      <x:c r="B213" s="1" t="str">
        <x:v>Closure</x:v>
      </x:c>
      <x:c r="C213" s="4" t="n">
        <x:v>149</x:v>
      </x:c>
      <x:c r="D213" s="4" t="n">
        <x:v>0</x:v>
      </x:c>
      <x:c r="E213" s="4" t="n">
        <x:v>60</x:v>
      </x:c>
      <x:c r="F213" s="4" t="n">
        <x:v>8</x:v>
      </x:c>
      <x:c r="G213" s="5" t="n">
        <x:v>0.025099999999999997</x:v>
      </x:c>
      <x:c r="H213" s="5" t="n">
        <x:v>0.0313</x:v>
      </x:c>
      <x:c r="I213" s="5" t="n">
        <x:v>0.0070999999999999995</x:v>
      </x:c>
      <x:c r="J213" s="4" t="n">
        <x:v>2228</x:v>
      </x:c>
      <x:c r="K213" s="4" t="n">
        <x:v>56</x:v>
      </x:c>
      <x:c r="L213" s="4" t="n">
        <x:v>1661</x:v>
      </x:c>
      <x:c r="M213" s="4" t="n">
        <x:v>52</x:v>
      </x:c>
      <x:c r="N213" s="4" t="n">
        <x:v>567</x:v>
      </x:c>
      <x:c r="O213" s="4" t="n">
        <x:v>4</x:v>
      </x:c>
      <x:c r="P213" s="1" t="str">
        <x:v>FAIL</x:v>
      </x:c>
      <x:c r="Q213" s="4" t="n">
        <x:v>4</x:v>
      </x:c>
      <x:c r="R213" s="1" t="str">
        <x:v>FAIL</x:v>
      </x:c>
      <x:c r="S213" s="4" t="n">
        <x:v>4</x:v>
      </x:c>
      <x:c r="T213" s="1" t="str">
        <x:v>INCONCLUSIVE</x:v>
      </x:c>
      <x:c r="U213" s="1" t="str">
        <x:v>Closure_149</x:v>
      </x:c>
      <x:c r="V213" s="6" t="n">
        <x:v>57.93</x:v>
      </x:c>
    </x:row>
    <x:row r="214" ht="22" customHeight="1">
      <x:c r="A214" s="1" t="str">
        <x:v>Round1</x:v>
      </x:c>
      <x:c r="B214" s="1" t="str">
        <x:v>Closure</x:v>
      </x:c>
      <x:c r="C214" s="4" t="n">
        <x:v>150</x:v>
      </x:c>
      <x:c r="D214" s="4" t="n">
        <x:v>0</x:v>
      </x:c>
      <x:c r="E214" s="4" t="n">
        <x:v>60</x:v>
      </x:c>
      <x:c r="F214" s="4" t="n">
        <x:v>7</x:v>
      </x:c>
      <x:c r="G214" s="5" t="n">
        <x:v>0.0095</x:v>
      </x:c>
      <x:c r="H214" s="5" t="n">
        <x:v>0.0167</x:v>
      </x:c>
      <x:c r="I214" s="5" t="n">
        <x:v>0</x:v>
      </x:c>
      <x:c r="J214" s="4" t="n">
        <x:v>1152</x:v>
      </x:c>
      <x:c r="K214" s="4" t="n">
        <x:v>11</x:v>
      </x:c>
      <x:c r="L214" s="4" t="n">
        <x:v>660</x:v>
      </x:c>
      <x:c r="M214" s="4" t="n">
        <x:v>11</x:v>
      </x:c>
      <x:c r="N214" s="4" t="n">
        <x:v>492</x:v>
      </x:c>
      <x:c r="O214" s="4" t="n">
        <x:v>0</x:v>
      </x:c>
      <x:c r="P214" s="1" t="str">
        <x:v>PASS</x:v>
      </x:c>
      <x:c r="Q214" s="4" t="n">
        <x:v>0</x:v>
      </x:c>
      <x:c r="R214" s="1" t="str">
        <x:v>PASS</x:v>
      </x:c>
      <x:c r="S214" s="4" t="n">
        <x:v>0</x:v>
      </x:c>
      <x:c r="T214" s="1" t="str">
        <x:v>NOT_REVEALING</x:v>
      </x:c>
      <x:c r="U214" s="1" t="str">
        <x:v>Closure_150</x:v>
      </x:c>
      <x:c r="V214" s="6" t="n">
        <x:v>56.09</x:v>
      </x:c>
    </x:row>
    <x:row r="215" ht="22" customHeight="1">
      <x:c r="A215" s="1" t="str">
        <x:v>Round1</x:v>
      </x:c>
      <x:c r="B215" s="1" t="str">
        <x:v>Closure</x:v>
      </x:c>
      <x:c r="C215" s="4" t="n">
        <x:v>151</x:v>
      </x:c>
      <x:c r="D215" s="4" t="n">
        <x:v>0</x:v>
      </x:c>
      <x:c r="E215" s="4" t="n">
        <x:v>60</x:v>
      </x:c>
      <x:c r="F215" s="4" t="n">
        <x:v>6</x:v>
      </x:c>
      <x:c r="G215" s="5" t="n">
        <x:v>0.46299999999999997</x:v>
      </x:c>
      <x:c r="H215" s="5" t="n">
        <x:v>0.5165</x:v>
      </x:c>
      <x:c r="I215" s="5" t="n">
        <x:v>0.1765</x:v>
      </x:c>
      <x:c r="J215" s="4" t="n">
        <x:v>216</x:v>
      </x:c>
      <x:c r="K215" s="4" t="n">
        <x:v>100</x:v>
      </x:c>
      <x:c r="L215" s="4" t="n">
        <x:v>182</x:v>
      </x:c>
      <x:c r="M215" s="4" t="n">
        <x:v>94</x:v>
      </x:c>
      <x:c r="N215" s="4" t="n">
        <x:v>34</x:v>
      </x:c>
      <x:c r="O215" s="4" t="n">
        <x:v>6</x:v>
      </x:c>
      <x:c r="P215" s="1" t="str">
        <x:v>FAIL</x:v>
      </x:c>
      <x:c r="Q215" s="4" t="n">
        <x:v>2</x:v>
      </x:c>
      <x:c r="R215" s="1" t="str">
        <x:v>FAIL</x:v>
      </x:c>
      <x:c r="S215" s="4" t="n">
        <x:v>2</x:v>
      </x:c>
      <x:c r="T215" s="1" t="str">
        <x:v>INCONCLUSIVE</x:v>
      </x:c>
      <x:c r="U215" s="1" t="str">
        <x:v>Closure_151</x:v>
      </x:c>
      <x:c r="V215" s="6" t="n">
        <x:v>41.24</x:v>
      </x:c>
    </x:row>
    <x:row r="216" ht="22" customHeight="1">
      <x:c r="A216" s="1" t="str">
        <x:v>Round1</x:v>
      </x:c>
      <x:c r="B216" s="1" t="str">
        <x:v>Closure</x:v>
      </x:c>
      <x:c r="C216" s="4" t="n">
        <x:v>152</x:v>
      </x:c>
      <x:c r="D216" s="4" t="n">
        <x:v>0</x:v>
      </x:c>
      <x:c r="E216" s="4" t="n">
        <x:v>60</x:v>
      </x:c>
      <x:c r="F216" s="4" t="n">
        <x:v>6478</x:v>
      </x:c>
      <x:c r="G216" s="5" t="n">
        <x:v>0.0079</x:v>
      </x:c>
      <x:c r="H216" s="5" t="n">
        <x:v>0.014199999999999999</x:v>
      </x:c>
      <x:c r="I216" s="5" t="n">
        <x:v>0</x:v>
      </x:c>
      <x:c r="J216" s="4" t="n">
        <x:v>633</x:v>
      </x:c>
      <x:c r="K216" s="4" t="n">
        <x:v>5</x:v>
      </x:c>
      <x:c r="L216" s="4" t="n">
        <x:v>351</x:v>
      </x:c>
      <x:c r="M216" s="4" t="n">
        <x:v>5</x:v>
      </x:c>
      <x:c r="N216" s="4" t="n">
        <x:v>282</x:v>
      </x:c>
      <x:c r="O216" s="4" t="n">
        <x:v>0</x:v>
      </x:c>
      <x:c r="P216" s="1" t="str">
        <x:v>PASS</x:v>
      </x:c>
      <x:c r="Q216" s="4" t="n">
        <x:v>0</x:v>
      </x:c>
      <x:c r="R216" s="1" t="str">
        <x:v>PASS</x:v>
      </x:c>
      <x:c r="S216" s="4" t="n">
        <x:v>0</x:v>
      </x:c>
      <x:c r="T216" s="1" t="str">
        <x:v>NOT_REVEALING</x:v>
      </x:c>
      <x:c r="U216" s="1" t="str">
        <x:v>Closure_152</x:v>
      </x:c>
      <x:c r="V216" s="6" t="n">
        <x:v>88.59</x:v>
      </x:c>
    </x:row>
    <x:row r="217" ht="22" customHeight="1">
      <x:c r="A217" s="1" t="str">
        <x:v>Round1</x:v>
      </x:c>
      <x:c r="B217" s="1" t="str">
        <x:v>Closure</x:v>
      </x:c>
      <x:c r="C217" s="4" t="n">
        <x:v>153</x:v>
      </x:c>
      <x:c r="D217" s="4" t="n">
        <x:v>0</x:v>
      </x:c>
      <x:c r="E217" s="4" t="n">
        <x:v>60</x:v>
      </x:c>
      <x:c r="F217" s="4" t="n">
        <x:v>319</x:v>
      </x:c>
      <x:c r="G217" s="5" t="n">
        <x:v>0.07719999999999999</x:v>
      </x:c>
      <x:c r="H217" s="5" t="n">
        <x:v>0.1197</x:v>
      </x:c>
      <x:c r="I217" s="5" t="n">
        <x:v>0.0045000000000000005</x:v>
      </x:c>
      <x:c r="J217" s="4" t="n">
        <x:v>596</x:v>
      </x:c>
      <x:c r="K217" s="4" t="n">
        <x:v>46</x:v>
      </x:c>
      <x:c r="L217" s="4" t="n">
        <x:v>376</x:v>
      </x:c>
      <x:c r="M217" s="4" t="n">
        <x:v>45</x:v>
      </x:c>
      <x:c r="N217" s="4" t="n">
        <x:v>220</x:v>
      </x:c>
      <x:c r="O217" s="4" t="n">
        <x:v>1</x:v>
      </x:c>
      <x:c r="P217" s="1" t="str">
        <x:v>PASS</x:v>
      </x:c>
      <x:c r="Q217" s="4" t="n">
        <x:v>0</x:v>
      </x:c>
      <x:c r="R217" s="1" t="str">
        <x:v>PASS</x:v>
      </x:c>
      <x:c r="S217" s="4" t="n">
        <x:v>0</x:v>
      </x:c>
      <x:c r="T217" s="1" t="str">
        <x:v>NOT_REVEALING</x:v>
      </x:c>
      <x:c r="U217" s="1" t="str">
        <x:v>Closure_153</x:v>
      </x:c>
      <x:c r="V217" s="6" t="n">
        <x:v>75.85</x:v>
      </x:c>
    </x:row>
    <x:row r="218" ht="22" customHeight="1">
      <x:c r="A218" s="1" t="str">
        <x:v>Round1</x:v>
      </x:c>
      <x:c r="B218" s="1" t="str">
        <x:v>Closure</x:v>
      </x:c>
      <x:c r="C218" s="4" t="n">
        <x:v>154</x:v>
      </x:c>
      <x:c r="D218" s="4" t="n">
        <x:v>0</x:v>
      </x:c>
      <x:c r="E218" s="4" t="n">
        <x:v>60</x:v>
      </x:c>
      <x:c r="F218" s="4" t="n">
        <x:v>42</x:v>
      </x:c>
      <x:c r="G218" s="5" t="n">
        <x:v>0.0509</x:v>
      </x:c>
      <x:c r="H218" s="5" t="n">
        <x:v>0.0858</x:v>
      </x:c>
      <x:c r="I218" s="5" t="n">
        <x:v>0</x:v>
      </x:c>
      <x:c r="J218" s="4" t="n">
        <x:v>1630</x:v>
      </x:c>
      <x:c r="K218" s="4" t="n">
        <x:v>83</x:v>
      </x:c>
      <x:c r="L218" s="4" t="n">
        <x:v>967</x:v>
      </x:c>
      <x:c r="M218" s="4" t="n">
        <x:v>83</x:v>
      </x:c>
      <x:c r="N218" s="4" t="n">
        <x:v>663</x:v>
      </x:c>
      <x:c r="O218" s="4" t="n">
        <x:v>0</x:v>
      </x:c>
      <x:c r="P218" s="1" t="str">
        <x:v>PASS</x:v>
      </x:c>
      <x:c r="Q218" s="4" t="n">
        <x:v>0</x:v>
      </x:c>
      <x:c r="R218" s="1" t="str">
        <x:v>NOT_RUN</x:v>
      </x:c>
      <x:c r="S218" s="4"/>
      <x:c r="T218" s="1" t="str">
        <x:v>NOT_AVAILABLE</x:v>
      </x:c>
      <x:c r="U218" s="1" t="str">
        <x:v>Closure_154</x:v>
      </x:c>
      <x:c r="V218" s="6" t="n">
        <x:v>68.35</x:v>
      </x:c>
    </x:row>
    <x:row r="219" ht="22" customHeight="1">
      <x:c r="A219" s="1" t="str">
        <x:v>Round1</x:v>
      </x:c>
      <x:c r="B219" s="1" t="str">
        <x:v>Closure</x:v>
      </x:c>
      <x:c r="C219" s="4" t="n">
        <x:v>155</x:v>
      </x:c>
      <x:c r="D219" s="4" t="n">
        <x:v>0</x:v>
      </x:c>
      <x:c r="E219" s="4" t="n">
        <x:v>60</x:v>
      </x:c>
      <x:c r="F219" s="4" t="n">
        <x:v>1489</x:v>
      </x:c>
      <x:c r="G219" s="5" t="n">
        <x:v>0.1802</x:v>
      </x:c>
      <x:c r="H219" s="5" t="n">
        <x:v>0.2619</x:v>
      </x:c>
      <x:c r="I219" s="5" t="n">
        <x:v>0.0692</x:v>
      </x:c>
      <x:c r="J219" s="4" t="n">
        <x:v>988</x:v>
      </x:c>
      <x:c r="K219" s="4" t="n">
        <x:v>178</x:v>
      </x:c>
      <x:c r="L219" s="4" t="n">
        <x:v>569</x:v>
      </x:c>
      <x:c r="M219" s="4" t="n">
        <x:v>149</x:v>
      </x:c>
      <x:c r="N219" s="4" t="n">
        <x:v>419</x:v>
      </x:c>
      <x:c r="O219" s="4" t="n">
        <x:v>29</x:v>
      </x:c>
      <x:c r="P219" s="1" t="str">
        <x:v>FAIL</x:v>
      </x:c>
      <x:c r="Q219" s="4" t="n">
        <x:v>77</x:v>
      </x:c>
      <x:c r="R219" s="1" t="str">
        <x:v>FAIL</x:v>
      </x:c>
      <x:c r="S219" s="4" t="n">
        <x:v>77</x:v>
      </x:c>
      <x:c r="T219" s="1" t="str">
        <x:v>INCONCLUSIVE</x:v>
      </x:c>
      <x:c r="U219" s="1" t="str">
        <x:v>Closure_155</x:v>
      </x:c>
      <x:c r="V219" s="6" t="n">
        <x:v>93.07</x:v>
      </x:c>
    </x:row>
    <x:row r="220" ht="22" customHeight="1">
      <x:c r="A220" s="1" t="str">
        <x:v>Round1</x:v>
      </x:c>
      <x:c r="B220" s="1" t="str">
        <x:v>Closure</x:v>
      </x:c>
      <x:c r="C220" s="4" t="n">
        <x:v>156</x:v>
      </x:c>
      <x:c r="D220" s="4" t="n">
        <x:v>0</x:v>
      </x:c>
      <x:c r="E220" s="4" t="n">
        <x:v>60</x:v>
      </x:c>
      <x:c r="F220" s="4" t="n">
        <x:v>12</x:v>
      </x:c>
      <x:c r="G220" s="5" t="n">
        <x:v>0.0365</x:v>
      </x:c>
      <x:c r="H220" s="5" t="n">
        <x:v>0.0507</x:v>
      </x:c>
      <x:c r="I220" s="5" t="n">
        <x:v>0.0167</x:v>
      </x:c>
      <x:c r="J220" s="4" t="n">
        <x:v>575</x:v>
      </x:c>
      <x:c r="K220" s="4" t="n">
        <x:v>21</x:v>
      </x:c>
      <x:c r="L220" s="4" t="n">
        <x:v>335</x:v>
      </x:c>
      <x:c r="M220" s="4" t="n">
        <x:v>17</x:v>
      </x:c>
      <x:c r="N220" s="4" t="n">
        <x:v>240</x:v>
      </x:c>
      <x:c r="O220" s="4" t="n">
        <x:v>4</x:v>
      </x:c>
      <x:c r="P220" s="1" t="str">
        <x:v>PASS</x:v>
      </x:c>
      <x:c r="Q220" s="4" t="n">
        <x:v>0</x:v>
      </x:c>
      <x:c r="R220" s="1" t="str">
        <x:v>PASS</x:v>
      </x:c>
      <x:c r="S220" s="4" t="n">
        <x:v>0</x:v>
      </x:c>
      <x:c r="T220" s="1" t="str">
        <x:v>NOT_REVEALING</x:v>
      </x:c>
      <x:c r="U220" s="1" t="str">
        <x:v>Closure_156</x:v>
      </x:c>
      <x:c r="V220" s="6" t="n">
        <x:v>72.6</x:v>
      </x:c>
    </x:row>
    <x:row r="221" ht="22" customHeight="1">
      <x:c r="A221" s="1" t="str">
        <x:v>Round1</x:v>
      </x:c>
      <x:c r="B221" s="1" t="str">
        <x:v>Closure</x:v>
      </x:c>
      <x:c r="C221" s="4" t="n">
        <x:v>157</x:v>
      </x:c>
      <x:c r="D221" s="4" t="n">
        <x:v>0</x:v>
      </x:c>
      <x:c r="E221" s="4" t="n">
        <x:v>60</x:v>
      </x:c>
      <x:c r="F221" s="4" t="n">
        <x:v>2182</x:v>
      </x:c>
      <x:c r="G221" s="5" t="n">
        <x:v>0.0508</x:v>
      </x:c>
      <x:c r="H221" s="5" t="n">
        <x:v>0.0664</x:v>
      </x:c>
      <x:c r="I221" s="5" t="n">
        <x:v>0.026699999999999998</x:v>
      </x:c>
      <x:c r="J221" s="4" t="n">
        <x:v>2187</x:v>
      </x:c>
      <x:c r="K221" s="4" t="n">
        <x:v>111</x:v>
      </x:c>
      <x:c r="L221" s="4" t="n">
        <x:v>1325</x:v>
      </x:c>
      <x:c r="M221" s="4" t="n">
        <x:v>88</x:v>
      </x:c>
      <x:c r="N221" s="4" t="n">
        <x:v>862</x:v>
      </x:c>
      <x:c r="O221" s="4" t="n">
        <x:v>23</x:v>
      </x:c>
      <x:c r="P221" s="1" t="str">
        <x:v>PASS</x:v>
      </x:c>
      <x:c r="Q221" s="4" t="n">
        <x:v>0</x:v>
      </x:c>
      <x:c r="R221" s="1" t="str">
        <x:v>PASS</x:v>
      </x:c>
      <x:c r="S221" s="4" t="n">
        <x:v>0</x:v>
      </x:c>
      <x:c r="T221" s="1" t="str">
        <x:v>NOT_REVEALING</x:v>
      </x:c>
      <x:c r="U221" s="1" t="str">
        <x:v>Closure_157</x:v>
      </x:c>
      <x:c r="V221" s="6" t="n">
        <x:v>100.23</x:v>
      </x:c>
    </x:row>
    <x:row r="222" ht="22" customHeight="1">
      <x:c r="A222" s="1" t="str">
        <x:v>Round1</x:v>
      </x:c>
      <x:c r="B222" s="1" t="str">
        <x:v>Closure</x:v>
      </x:c>
      <x:c r="C222" s="4" t="n">
        <x:v>158</x:v>
      </x:c>
      <x:c r="D222" s="4" t="n">
        <x:v>0</x:v>
      </x:c>
      <x:c r="E222" s="4" t="n">
        <x:v>60</x:v>
      </x:c>
      <x:c r="F222" s="4" t="n">
        <x:v>6</x:v>
      </x:c>
      <x:c r="G222" s="5" t="n">
        <x:v>0.0416</x:v>
      </x:c>
      <x:c r="H222" s="5" t="n">
        <x:v>0.0558</x:v>
      </x:c>
      <x:c r="I222" s="5" t="n">
        <x:v>0.003</x:v>
      </x:c>
      <x:c r="J222" s="4" t="n">
        <x:v>1225</x:v>
      </x:c>
      <x:c r="K222" s="4" t="n">
        <x:v>51</x:v>
      </x:c>
      <x:c r="L222" s="4" t="n">
        <x:v>896</x:v>
      </x:c>
      <x:c r="M222" s="4" t="n">
        <x:v>50</x:v>
      </x:c>
      <x:c r="N222" s="4" t="n">
        <x:v>329</x:v>
      </x:c>
      <x:c r="O222" s="4" t="n">
        <x:v>1</x:v>
      </x:c>
      <x:c r="P222" s="1" t="str">
        <x:v>PASS</x:v>
      </x:c>
      <x:c r="Q222" s="4" t="n">
        <x:v>0</x:v>
      </x:c>
      <x:c r="R222" s="1" t="str">
        <x:v>PASS</x:v>
      </x:c>
      <x:c r="S222" s="4" t="n">
        <x:v>0</x:v>
      </x:c>
      <x:c r="T222" s="1" t="str">
        <x:v>NOT_REVEALING</x:v>
      </x:c>
      <x:c r="U222" s="1" t="str">
        <x:v>Closure_158</x:v>
      </x:c>
      <x:c r="V222" s="6" t="n">
        <x:v>73.13</x:v>
      </x:c>
    </x:row>
    <x:row r="223" ht="22" customHeight="1">
      <x:c r="A223" s="1" t="str">
        <x:v>Round1</x:v>
      </x:c>
      <x:c r="B223" s="1" t="str">
        <x:v>Closure</x:v>
      </x:c>
      <x:c r="C223" s="4" t="n">
        <x:v>159</x:v>
      </x:c>
      <x:c r="D223" s="4" t="n">
        <x:v>0</x:v>
      </x:c>
      <x:c r="E223" s="4" t="n">
        <x:v>60</x:v>
      </x:c>
      <x:c r="F223" s="4" t="n">
        <x:v>12</x:v>
      </x:c>
      <x:c r="G223" s="5" t="n">
        <x:v>0.0088</x:v>
      </x:c>
      <x:c r="H223" s="5" t="n">
        <x:v>0.0121</x:v>
      </x:c>
      <x:c r="I223" s="5" t="n">
        <x:v>0.0038</x:v>
      </x:c>
      <x:c r="J223" s="4" t="n">
        <x:v>678</x:v>
      </x:c>
      <x:c r="K223" s="4" t="n">
        <x:v>6</x:v>
      </x:c>
      <x:c r="L223" s="4" t="n">
        <x:v>413</x:v>
      </x:c>
      <x:c r="M223" s="4" t="n">
        <x:v>5</x:v>
      </x:c>
      <x:c r="N223" s="4" t="n">
        <x:v>265</x:v>
      </x:c>
      <x:c r="O223" s="4" t="n">
        <x:v>1</x:v>
      </x:c>
      <x:c r="P223" s="1" t="str">
        <x:v>PASS</x:v>
      </x:c>
      <x:c r="Q223" s="4" t="n">
        <x:v>0</x:v>
      </x:c>
      <x:c r="R223" s="1" t="str">
        <x:v>PASS</x:v>
      </x:c>
      <x:c r="S223" s="4" t="n">
        <x:v>0</x:v>
      </x:c>
      <x:c r="T223" s="1" t="str">
        <x:v>NOT_REVEALING</x:v>
      </x:c>
      <x:c r="U223" s="1" t="str">
        <x:v>Closure_159</x:v>
      </x:c>
      <x:c r="V223" s="6" t="n">
        <x:v>78.06</x:v>
      </x:c>
    </x:row>
    <x:row r="224" ht="22" customHeight="1">
      <x:c r="A224" s="1" t="str">
        <x:v>Round1</x:v>
      </x:c>
      <x:c r="B224" s="1" t="str">
        <x:v>Closure</x:v>
      </x:c>
      <x:c r="C224" s="4" t="n">
        <x:v>160</x:v>
      </x:c>
      <x:c r="D224" s="4" t="n">
        <x:v>0</x:v>
      </x:c>
      <x:c r="E224" s="4" t="n">
        <x:v>60</x:v>
      </x:c>
      <x:c r="F224" s="4" t="n">
        <x:v>1359</x:v>
      </x:c>
      <x:c r="G224" s="5" t="n">
        <x:v>0.42460000000000003</x:v>
      </x:c>
      <x:c r="H224" s="5" t="n">
        <x:v>0.447</x:v>
      </x:c>
      <x:c r="I224" s="5" t="n">
        <x:v>0.3696</x:v>
      </x:c>
      <x:c r="J224" s="4" t="n">
        <x:v>1114</x:v>
      </x:c>
      <x:c r="K224" s="4" t="n">
        <x:v>473</x:v>
      </x:c>
      <x:c r="L224" s="4" t="n">
        <x:v>792</x:v>
      </x:c>
      <x:c r="M224" s="4" t="n">
        <x:v>354</x:v>
      </x:c>
      <x:c r="N224" s="4" t="n">
        <x:v>322</x:v>
      </x:c>
      <x:c r="O224" s="4" t="n">
        <x:v>119</x:v>
      </x:c>
      <x:c r="P224" s="1" t="str">
        <x:v>FAIL</x:v>
      </x:c>
      <x:c r="Q224" s="4" t="n">
        <x:v>12</x:v>
      </x:c>
      <x:c r="R224" s="1" t="str">
        <x:v>FAIL</x:v>
      </x:c>
      <x:c r="S224" s="4" t="n">
        <x:v>12</x:v>
      </x:c>
      <x:c r="T224" s="1" t="str">
        <x:v>INCONCLUSIVE</x:v>
      </x:c>
      <x:c r="U224" s="1" t="str">
        <x:v>Closure_160</x:v>
      </x:c>
      <x:c r="V224" s="6" t="n">
        <x:v>118.98</x:v>
      </x:c>
    </x:row>
    <x:row r="225" ht="22" customHeight="1">
      <x:c r="A225" s="1" t="str">
        <x:v>Round1</x:v>
      </x:c>
      <x:c r="B225" s="1" t="str">
        <x:v>Closure</x:v>
      </x:c>
      <x:c r="C225" s="4" t="n">
        <x:v>161</x:v>
      </x:c>
      <x:c r="D225" s="4" t="n">
        <x:v>0</x:v>
      </x:c>
      <x:c r="E225" s="4" t="n">
        <x:v>60</x:v>
      </x:c>
      <x:c r="F225" s="4" t="n">
        <x:v>9</x:v>
      </x:c>
      <x:c r="G225" s="5" t="n">
        <x:v>0.0115</x:v>
      </x:c>
      <x:c r="H225" s="5" t="n">
        <x:v>0.0204</x:v>
      </x:c>
      <x:c r="I225" s="5" t="n">
        <x:v>0</x:v>
      </x:c>
      <x:c r="J225" s="4" t="n">
        <x:v>1134</x:v>
      </x:c>
      <x:c r="K225" s="4" t="n">
        <x:v>13</x:v>
      </x:c>
      <x:c r="L225" s="4" t="n">
        <x:v>636</x:v>
      </x:c>
      <x:c r="M225" s="4" t="n">
        <x:v>13</x:v>
      </x:c>
      <x:c r="N225" s="4" t="n">
        <x:v>498</x:v>
      </x:c>
      <x:c r="O225" s="4" t="n">
        <x:v>0</x:v>
      </x:c>
      <x:c r="P225" s="1" t="str">
        <x:v>PASS</x:v>
      </x:c>
      <x:c r="Q225" s="4" t="n">
        <x:v>0</x:v>
      </x:c>
      <x:c r="R225" s="1" t="str">
        <x:v>PASS</x:v>
      </x:c>
      <x:c r="S225" s="4" t="n">
        <x:v>0</x:v>
      </x:c>
      <x:c r="T225" s="1" t="str">
        <x:v>NOT_REVEALING</x:v>
      </x:c>
      <x:c r="U225" s="1" t="str">
        <x:v>Closure_161</x:v>
      </x:c>
      <x:c r="V225" s="6" t="n">
        <x:v>100.94</x:v>
      </x:c>
    </x:row>
    <x:row r="226" ht="22" customHeight="1">
      <x:c r="A226" s="1" t="str">
        <x:v>Round1</x:v>
      </x:c>
      <x:c r="B226" s="1" t="str">
        <x:v>Closure</x:v>
      </x:c>
      <x:c r="C226" s="4" t="n">
        <x:v>162</x:v>
      </x:c>
      <x:c r="D226" s="4" t="n">
        <x:v>0</x:v>
      </x:c>
      <x:c r="E226" s="4" t="n">
        <x:v>60</x:v>
      </x:c>
      <x:c r="F226" s="4" t="n">
        <x:v>2039</x:v>
      </x:c>
      <x:c r="G226" s="5" t="n">
        <x:v>0.33130000000000004</x:v>
      </x:c>
      <x:c r="H226" s="5" t="n">
        <x:v>0.4314</x:v>
      </x:c>
      <x:c r="I226" s="5" t="n">
        <x:v>0.1611</x:v>
      </x:c>
      <x:c r="J226" s="4" t="n">
        <x:v>486</x:v>
      </x:c>
      <x:c r="K226" s="4" t="n">
        <x:v>161</x:v>
      </x:c>
      <x:c r="L226" s="4" t="n">
        <x:v>306</x:v>
      </x:c>
      <x:c r="M226" s="4" t="n">
        <x:v>132</x:v>
      </x:c>
      <x:c r="N226" s="4" t="n">
        <x:v>180</x:v>
      </x:c>
      <x:c r="O226" s="4" t="n">
        <x:v>29</x:v>
      </x:c>
      <x:c r="P226" s="1" t="str">
        <x:v>FAIL</x:v>
      </x:c>
      <x:c r="Q226" s="4" t="n">
        <x:v>794</x:v>
      </x:c>
      <x:c r="R226" s="1" t="str">
        <x:v>FAIL</x:v>
      </x:c>
      <x:c r="S226" s="4" t="n">
        <x:v>794</x:v>
      </x:c>
      <x:c r="T226" s="1" t="str">
        <x:v>INCONCLUSIVE</x:v>
      </x:c>
      <x:c r="U226" s="1" t="str">
        <x:v>Closure_162</x:v>
      </x:c>
      <x:c r="V226" s="6" t="n">
        <x:v>132.49</x:v>
      </x:c>
    </x:row>
    <x:row r="227" ht="22" customHeight="1">
      <x:c r="A227" s="1" t="str">
        <x:v>Round1</x:v>
      </x:c>
      <x:c r="B227" s="1" t="str">
        <x:v>Closure</x:v>
      </x:c>
      <x:c r="C227" s="4" t="n">
        <x:v>163</x:v>
      </x:c>
      <x:c r="D227" s="4" t="n">
        <x:v>0</x:v>
      </x:c>
      <x:c r="E227" s="4" t="n">
        <x:v>60</x:v>
      </x:c>
      <x:c r="F227" s="4" t="n">
        <x:v>1300</x:v>
      </x:c>
      <x:c r="G227" s="5" t="n">
        <x:v>0.2394</x:v>
      </x:c>
      <x:c r="H227" s="5" t="n">
        <x:v>0.3272</x:v>
      </x:c>
      <x:c r="I227" s="5" t="n">
        <x:v>0.0751</x:v>
      </x:c>
      <x:c r="J227" s="4" t="n">
        <x:v>497</x:v>
      </x:c>
      <x:c r="K227" s="4" t="n">
        <x:v>119</x:v>
      </x:c>
      <x:c r="L227" s="4" t="n">
        <x:v>324</x:v>
      </x:c>
      <x:c r="M227" s="4" t="n">
        <x:v>106</x:v>
      </x:c>
      <x:c r="N227" s="4" t="n">
        <x:v>173</x:v>
      </x:c>
      <x:c r="O227" s="4" t="n">
        <x:v>13</x:v>
      </x:c>
      <x:c r="P227" s="1" t="str">
        <x:v>PASS</x:v>
      </x:c>
      <x:c r="Q227" s="4" t="n">
        <x:v>0</x:v>
      </x:c>
      <x:c r="R227" s="1" t="str">
        <x:v>NOT_RUN</x:v>
      </x:c>
      <x:c r="S227" s="4"/>
      <x:c r="T227" s="1" t="str">
        <x:v>NOT_AVAILABLE</x:v>
      </x:c>
      <x:c r="U227" s="1" t="str">
        <x:v>Closure_163</x:v>
      </x:c>
      <x:c r="V227" s="6" t="n">
        <x:v>109.69</x:v>
      </x:c>
    </x:row>
    <x:row r="228" ht="22" customHeight="1">
      <x:c r="A228" s="1" t="str">
        <x:v>Round1</x:v>
      </x:c>
      <x:c r="B228" s="1" t="str">
        <x:v>Closure</x:v>
      </x:c>
      <x:c r="C228" s="4" t="n">
        <x:v>164</x:v>
      </x:c>
      <x:c r="D228" s="4" t="n">
        <x:v>0</x:v>
      </x:c>
      <x:c r="E228" s="4" t="n">
        <x:v>60</x:v>
      </x:c>
      <x:c r="F228" s="4" t="n">
        <x:v>11</x:v>
      </x:c>
      <x:c r="G228" s="5" t="n">
        <x:v>0.031400000000000004</x:v>
      </x:c>
      <x:c r="H228" s="5" t="n">
        <x:v>0.0449</x:v>
      </x:c>
      <x:c r="I228" s="5" t="n">
        <x:v>0.0143</x:v>
      </x:c>
      <x:c r="J228" s="4" t="n">
        <x:v>159</x:v>
      </x:c>
      <x:c r="K228" s="4" t="n">
        <x:v>5</x:v>
      </x:c>
      <x:c r="L228" s="4" t="n">
        <x:v>89</x:v>
      </x:c>
      <x:c r="M228" s="4" t="n">
        <x:v>4</x:v>
      </x:c>
      <x:c r="N228" s="4" t="n">
        <x:v>70</x:v>
      </x:c>
      <x:c r="O228" s="4" t="n">
        <x:v>1</x:v>
      </x:c>
      <x:c r="P228" s="1" t="str">
        <x:v>PASS</x:v>
      </x:c>
      <x:c r="Q228" s="4" t="n">
        <x:v>0</x:v>
      </x:c>
      <x:c r="R228" s="1" t="str">
        <x:v>PASS</x:v>
      </x:c>
      <x:c r="S228" s="4" t="n">
        <x:v>0</x:v>
      </x:c>
      <x:c r="T228" s="1" t="str">
        <x:v>NOT_REVEALING</x:v>
      </x:c>
      <x:c r="U228" s="1" t="str">
        <x:v>Closure_164</x:v>
      </x:c>
      <x:c r="V228" s="6" t="n">
        <x:v>100.37</x:v>
      </x:c>
    </x:row>
    <x:row r="229" ht="22" customHeight="1">
      <x:c r="A229" s="1" t="str">
        <x:v>Round1</x:v>
      </x:c>
      <x:c r="B229" s="1" t="str">
        <x:v>Closure</x:v>
      </x:c>
      <x:c r="C229" s="4" t="n">
        <x:v>165</x:v>
      </x:c>
      <x:c r="D229" s="4" t="n">
        <x:v>0</x:v>
      </x:c>
      <x:c r="E229" s="4" t="n">
        <x:v>60</x:v>
      </x:c>
      <x:c r="F229" s="4" t="n">
        <x:v>2161</x:v>
      </x:c>
      <x:c r="G229" s="5" t="n">
        <x:v>0.6195</x:v>
      </x:c>
      <x:c r="H229" s="5" t="n">
        <x:v>0.6964</x:v>
      </x:c>
      <x:c r="I229" s="5" t="n">
        <x:v>0.3972</x:v>
      </x:c>
      <x:c r="J229" s="4" t="n">
        <x:v>1117</x:v>
      </x:c>
      <x:c r="K229" s="4" t="n">
        <x:v>692</x:v>
      </x:c>
      <x:c r="L229" s="4" t="n">
        <x:v>830</x:v>
      </x:c>
      <x:c r="M229" s="4" t="n">
        <x:v>578</x:v>
      </x:c>
      <x:c r="N229" s="4" t="n">
        <x:v>287</x:v>
      </x:c>
      <x:c r="O229" s="4" t="n">
        <x:v>114</x:v>
      </x:c>
      <x:c r="P229" s="1" t="str">
        <x:v>PASS</x:v>
      </x:c>
      <x:c r="Q229" s="4" t="n">
        <x:v>0</x:v>
      </x:c>
      <x:c r="R229" s="1" t="str">
        <x:v>PASS</x:v>
      </x:c>
      <x:c r="S229" s="4" t="n">
        <x:v>0</x:v>
      </x:c>
      <x:c r="T229" s="1" t="str">
        <x:v>NOT_REVEALING</x:v>
      </x:c>
      <x:c r="U229" s="1" t="str">
        <x:v>Closure_165</x:v>
      </x:c>
      <x:c r="V229" s="6" t="n">
        <x:v>177.34</x:v>
      </x:c>
    </x:row>
    <x:row r="230" ht="22" customHeight="1">
      <x:c r="A230" s="1" t="str">
        <x:v>Round1</x:v>
      </x:c>
      <x:c r="B230" s="1" t="str">
        <x:v>Closure</x:v>
      </x:c>
      <x:c r="C230" s="4" t="n">
        <x:v>166</x:v>
      </x:c>
      <x:c r="D230" s="4" t="n">
        <x:v>0</x:v>
      </x:c>
      <x:c r="E230" s="4" t="n">
        <x:v>60</x:v>
      </x:c>
      <x:c r="F230" s="4" t="n">
        <x:v>3825</x:v>
      </x:c>
      <x:c r="G230" s="5" t="n">
        <x:v>0.5498</x:v>
      </x:c>
      <x:c r="H230" s="5" t="n">
        <x:v>0.6364</x:v>
      </x:c>
      <x:c r="I230" s="5" t="n">
        <x:v>0.4451</x:v>
      </x:c>
      <x:c r="J230" s="4" t="n">
        <x:v>402</x:v>
      </x:c>
      <x:c r="K230" s="4" t="n">
        <x:v>221</x:v>
      </x:c>
      <x:c r="L230" s="4" t="n">
        <x:v>220</x:v>
      </x:c>
      <x:c r="M230" s="4" t="n">
        <x:v>140</x:v>
      </x:c>
      <x:c r="N230" s="4" t="n">
        <x:v>182</x:v>
      </x:c>
      <x:c r="O230" s="4" t="n">
        <x:v>81</x:v>
      </x:c>
      <x:c r="P230" s="1" t="str">
        <x:v>PASS</x:v>
      </x:c>
      <x:c r="Q230" s="4" t="n">
        <x:v>0</x:v>
      </x:c>
      <x:c r="R230" s="1" t="str">
        <x:v>PASS</x:v>
      </x:c>
      <x:c r="S230" s="4" t="n">
        <x:v>0</x:v>
      </x:c>
      <x:c r="T230" s="1" t="str">
        <x:v>NOT_REVEALING</x:v>
      </x:c>
      <x:c r="U230" s="1" t="str">
        <x:v>Closure_166</x:v>
      </x:c>
      <x:c r="V230" s="6" t="n">
        <x:v>181.12</x:v>
      </x:c>
    </x:row>
    <x:row r="231" ht="22" customHeight="1">
      <x:c r="A231" s="1" t="str">
        <x:v>Round1</x:v>
      </x:c>
      <x:c r="B231" s="1" t="str">
        <x:v>Closure</x:v>
      </x:c>
      <x:c r="C231" s="4" t="n">
        <x:v>167</x:v>
      </x:c>
      <x:c r="D231" s="4" t="n">
        <x:v>0</x:v>
      </x:c>
      <x:c r="E231" s="4" t="n">
        <x:v>60</x:v>
      </x:c>
      <x:c r="F231" s="4" t="n">
        <x:v>4665</x:v>
      </x:c>
      <x:c r="G231" s="5" t="n">
        <x:v>0.026000000000000002</x:v>
      </x:c>
      <x:c r="H231" s="5" t="n">
        <x:v>0.0392</x:v>
      </x:c>
      <x:c r="I231" s="5" t="n">
        <x:v>0.008</x:v>
      </x:c>
      <x:c r="J231" s="4" t="n">
        <x:v>886</x:v>
      </x:c>
      <x:c r="K231" s="4" t="n">
        <x:v>23</x:v>
      </x:c>
      <x:c r="L231" s="4" t="n">
        <x:v>510</x:v>
      </x:c>
      <x:c r="M231" s="4" t="n">
        <x:v>20</x:v>
      </x:c>
      <x:c r="N231" s="4" t="n">
        <x:v>376</x:v>
      </x:c>
      <x:c r="O231" s="4" t="n">
        <x:v>3</x:v>
      </x:c>
      <x:c r="P231" s="1" t="str">
        <x:v>PASS</x:v>
      </x:c>
      <x:c r="Q231" s="4" t="n">
        <x:v>0</x:v>
      </x:c>
      <x:c r="R231" s="1" t="str">
        <x:v>PASS</x:v>
      </x:c>
      <x:c r="S231" s="4" t="n">
        <x:v>0</x:v>
      </x:c>
      <x:c r="T231" s="1" t="str">
        <x:v>NOT_REVEALING</x:v>
      </x:c>
      <x:c r="U231" s="1" t="str">
        <x:v>Closure_167</x:v>
      </x:c>
      <x:c r="V231" s="6" t="n">
        <x:v>152.62</x:v>
      </x:c>
    </x:row>
    <x:row r="232" ht="22" customHeight="1">
      <x:c r="A232" s="1" t="str">
        <x:v>Round1</x:v>
      </x:c>
      <x:c r="B232" s="1" t="str">
        <x:v>Closure</x:v>
      </x:c>
      <x:c r="C232" s="4" t="n">
        <x:v>168</x:v>
      </x:c>
      <x:c r="D232" s="4" t="n">
        <x:v>0</x:v>
      </x:c>
      <x:c r="E232" s="4" t="n">
        <x:v>60</x:v>
      </x:c>
      <x:c r="F232" s="4" t="n">
        <x:v>11</x:v>
      </x:c>
      <x:c r="G232" s="5" t="n">
        <x:v>0.015600000000000001</x:v>
      </x:c>
      <x:c r="H232" s="5" t="n">
        <x:v>0.0279</x:v>
      </x:c>
      <x:c r="I232" s="5" t="n">
        <x:v>0</x:v>
      </x:c>
      <x:c r="J232" s="4" t="n">
        <x:v>1598</x:v>
      </x:c>
      <x:c r="K232" s="4" t="n">
        <x:v>25</x:v>
      </x:c>
      <x:c r="L232" s="4" t="n">
        <x:v>895</x:v>
      </x:c>
      <x:c r="M232" s="4" t="n">
        <x:v>25</x:v>
      </x:c>
      <x:c r="N232" s="4" t="n">
        <x:v>703</x:v>
      </x:c>
      <x:c r="O232" s="4" t="n">
        <x:v>0</x:v>
      </x:c>
      <x:c r="P232" s="1" t="str">
        <x:v>PASS</x:v>
      </x:c>
      <x:c r="Q232" s="4" t="n">
        <x:v>0</x:v>
      </x:c>
      <x:c r="R232" s="1" t="str">
        <x:v>PASS</x:v>
      </x:c>
      <x:c r="S232" s="4" t="n">
        <x:v>0</x:v>
      </x:c>
      <x:c r="T232" s="1" t="str">
        <x:v>NOT_REVEALING</x:v>
      </x:c>
      <x:c r="U232" s="1" t="str">
        <x:v>Closure_168</x:v>
      </x:c>
      <x:c r="V232" s="6" t="n">
        <x:v>100.29</x:v>
      </x:c>
    </x:row>
    <x:row r="233" ht="22" customHeight="1">
      <x:c r="A233" s="1" t="str">
        <x:v>Round1</x:v>
      </x:c>
      <x:c r="B233" s="1" t="str">
        <x:v>Closure</x:v>
      </x:c>
      <x:c r="C233" s="4" t="n">
        <x:v>169</x:v>
      </x:c>
      <x:c r="D233" s="4" t="n">
        <x:v>0</x:v>
      </x:c>
      <x:c r="E233" s="4" t="n">
        <x:v>60</x:v>
      </x:c>
      <x:c r="F233" s="4" t="n">
        <x:v>41</x:v>
      </x:c>
      <x:c r="G233" s="5" t="n">
        <x:v>0.1188</x:v>
      </x:c>
      <x:c r="H233" s="5" t="n">
        <x:v>0.145</x:v>
      </x:c>
      <x:c r="I233" s="5" t="n">
        <x:v>0.0855</x:v>
      </x:c>
      <x:c r="J233" s="4" t="n">
        <x:v>2289</x:v>
      </x:c>
      <x:c r="K233" s="4" t="n">
        <x:v>272</x:v>
      </x:c>
      <x:c r="L233" s="4" t="n">
        <x:v>1283</x:v>
      </x:c>
      <x:c r="M233" s="4" t="n">
        <x:v>186</x:v>
      </x:c>
      <x:c r="N233" s="4" t="n">
        <x:v>1006</x:v>
      </x:c>
      <x:c r="O233" s="4" t="n">
        <x:v>86</x:v>
      </x:c>
      <x:c r="P233" s="1" t="str">
        <x:v>PASS</x:v>
      </x:c>
      <x:c r="Q233" s="4" t="n">
        <x:v>0</x:v>
      </x:c>
      <x:c r="R233" s="1" t="str">
        <x:v>PASS</x:v>
      </x:c>
      <x:c r="S233" s="4" t="n">
        <x:v>0</x:v>
      </x:c>
      <x:c r="T233" s="1" t="str">
        <x:v>NOT_REVEALING</x:v>
      </x:c>
      <x:c r="U233" s="1" t="str">
        <x:v>Closure_169</x:v>
      </x:c>
      <x:c r="V233" s="6" t="n">
        <x:v>97.95</x:v>
      </x:c>
    </x:row>
    <x:row r="234" ht="22" customHeight="1">
      <x:c r="A234" s="1" t="str">
        <x:v>Round1</x:v>
      </x:c>
      <x:c r="B234" s="1" t="str">
        <x:v>Closure</x:v>
      </x:c>
      <x:c r="C234" s="4" t="n">
        <x:v>170</x:v>
      </x:c>
      <x:c r="D234" s="4" t="n">
        <x:v>0</x:v>
      </x:c>
      <x:c r="E234" s="4" t="n">
        <x:v>60</x:v>
      </x:c>
      <x:c r="F234" s="4" t="n">
        <x:v>2126</x:v>
      </x:c>
      <x:c r="G234" s="5" t="n">
        <x:v>0.0322</x:v>
      </x:c>
      <x:c r="H234" s="5" t="n">
        <x:v>0.0559</x:v>
      </x:c>
      <x:c r="I234" s="5" t="n">
        <x:v>0</x:v>
      </x:c>
      <x:c r="J234" s="4" t="n">
        <x:v>311</x:v>
      </x:c>
      <x:c r="K234" s="4" t="n">
        <x:v>10</x:v>
      </x:c>
      <x:c r="L234" s="4" t="n">
        <x:v>179</x:v>
      </x:c>
      <x:c r="M234" s="4" t="n">
        <x:v>10</x:v>
      </x:c>
      <x:c r="N234" s="4" t="n">
        <x:v>132</x:v>
      </x:c>
      <x:c r="O234" s="4" t="n">
        <x:v>0</x:v>
      </x:c>
      <x:c r="P234" s="1" t="str">
        <x:v>PASS</x:v>
      </x:c>
      <x:c r="Q234" s="4" t="n">
        <x:v>0</x:v>
      </x:c>
      <x:c r="R234" s="1" t="str">
        <x:v>PASS</x:v>
      </x:c>
      <x:c r="S234" s="4" t="n">
        <x:v>0</x:v>
      </x:c>
      <x:c r="T234" s="1" t="str">
        <x:v>NOT_REVEALING</x:v>
      </x:c>
      <x:c r="U234" s="1" t="str">
        <x:v>Closure_170</x:v>
      </x:c>
      <x:c r="V234" s="6" t="n">
        <x:v>136.85</x:v>
      </x:c>
    </x:row>
    <x:row r="235" ht="22" customHeight="1">
      <x:c r="A235" s="1" t="str">
        <x:v>Round1</x:v>
      </x:c>
      <x:c r="B235" s="1" t="str">
        <x:v>Closure</x:v>
      </x:c>
      <x:c r="C235" s="4" t="n">
        <x:v>171</x:v>
      </x:c>
      <x:c r="D235" s="4" t="n">
        <x:v>0</x:v>
      </x:c>
      <x:c r="E235" s="4" t="n">
        <x:v>60</x:v>
      </x:c>
      <x:c r="F235" s="4" t="n">
        <x:v>16</x:v>
      </x:c>
      <x:c r="G235" s="5" t="n">
        <x:v>0.0108</x:v>
      </x:c>
      <x:c r="H235" s="5" t="n">
        <x:v>0.0176</x:v>
      </x:c>
      <x:c r="I235" s="5" t="n">
        <x:v>0.0016</x:v>
      </x:c>
      <x:c r="J235" s="4" t="n">
        <x:v>2869</x:v>
      </x:c>
      <x:c r="K235" s="4" t="n">
        <x:v>31</x:v>
      </x:c>
      <x:c r="L235" s="4" t="n">
        <x:v>1652</x:v>
      </x:c>
      <x:c r="M235" s="4" t="n">
        <x:v>29</x:v>
      </x:c>
      <x:c r="N235" s="4" t="n">
        <x:v>1217</x:v>
      </x:c>
      <x:c r="O235" s="4" t="n">
        <x:v>2</x:v>
      </x:c>
      <x:c r="P235" s="1" t="str">
        <x:v>PASS</x:v>
      </x:c>
      <x:c r="Q235" s="4" t="n">
        <x:v>0</x:v>
      </x:c>
      <x:c r="R235" s="1" t="str">
        <x:v>PASS</x:v>
      </x:c>
      <x:c r="S235" s="4" t="n">
        <x:v>0</x:v>
      </x:c>
      <x:c r="T235" s="1" t="str">
        <x:v>NOT_REVEALING</x:v>
      </x:c>
      <x:c r="U235" s="1" t="str">
        <x:v>Closure_171</x:v>
      </x:c>
      <x:c r="V235" s="6" t="n">
        <x:v>101.55</x:v>
      </x:c>
    </x:row>
    <x:row r="236" ht="22" customHeight="1">
      <x:c r="A236" s="1" t="str">
        <x:v>Round1</x:v>
      </x:c>
      <x:c r="B236" s="1" t="str">
        <x:v>Closure</x:v>
      </x:c>
      <x:c r="C236" s="4" t="n">
        <x:v>172</x:v>
      </x:c>
      <x:c r="D236" s="4" t="n">
        <x:v>0</x:v>
      </x:c>
      <x:c r="E236" s="4" t="n">
        <x:v>60</x:v>
      </x:c>
      <x:c r="F236" s="4" t="n">
        <x:v>11</x:v>
      </x:c>
      <x:c r="G236" s="5" t="n">
        <x:v>0.0146</x:v>
      </x:c>
      <x:c r="H236" s="5" t="n">
        <x:v>0.0263</x:v>
      </x:c>
      <x:c r="I236" s="5" t="n">
        <x:v>0</x:v>
      </x:c>
      <x:c r="J236" s="4" t="n">
        <x:v>1713</x:v>
      </x:c>
      <x:c r="K236" s="4" t="n">
        <x:v>25</x:v>
      </x:c>
      <x:c r="L236" s="4" t="n">
        <x:v>951</x:v>
      </x:c>
      <x:c r="M236" s="4" t="n">
        <x:v>25</x:v>
      </x:c>
      <x:c r="N236" s="4" t="n">
        <x:v>762</x:v>
      </x:c>
      <x:c r="O236" s="4" t="n">
        <x:v>0</x:v>
      </x:c>
      <x:c r="P236" s="1" t="str">
        <x:v>PASS</x:v>
      </x:c>
      <x:c r="Q236" s="4" t="n">
        <x:v>0</x:v>
      </x:c>
      <x:c r="R236" s="1" t="str">
        <x:v>PASS</x:v>
      </x:c>
      <x:c r="S236" s="4" t="n">
        <x:v>0</x:v>
      </x:c>
      <x:c r="T236" s="1" t="str">
        <x:v>NOT_REVEALING</x:v>
      </x:c>
      <x:c r="U236" s="1" t="str">
        <x:v>Closure_172</x:v>
      </x:c>
      <x:c r="V236" s="6" t="n">
        <x:v>102.26</x:v>
      </x:c>
    </x:row>
    <x:row r="237" ht="22" customHeight="1">
      <x:c r="A237" s="1" t="str">
        <x:v>Round1</x:v>
      </x:c>
      <x:c r="B237" s="1" t="str">
        <x:v>Closure</x:v>
      </x:c>
      <x:c r="C237" s="4" t="n">
        <x:v>173</x:v>
      </x:c>
      <x:c r="D237" s="4" t="n">
        <x:v>0</x:v>
      </x:c>
      <x:c r="E237" s="4" t="n">
        <x:v>60</x:v>
      </x:c>
      <x:c r="F237" s="4" t="n">
        <x:v>2392</x:v>
      </x:c>
      <x:c r="G237" s="5" t="n">
        <x:v>0.061799999999999994</x:v>
      </x:c>
      <x:c r="H237" s="5" t="n">
        <x:v>0.0851</x:v>
      </x:c>
      <x:c r="I237" s="5" t="n">
        <x:v>0.030699999999999998</x:v>
      </x:c>
      <x:c r="J237" s="4" t="n">
        <x:v>1602</x:v>
      </x:c>
      <x:c r="K237" s="4" t="n">
        <x:v>99</x:v>
      </x:c>
      <x:c r="L237" s="4" t="n">
        <x:v>917</x:v>
      </x:c>
      <x:c r="M237" s="4" t="n">
        <x:v>78</x:v>
      </x:c>
      <x:c r="N237" s="4" t="n">
        <x:v>685</x:v>
      </x:c>
      <x:c r="O237" s="4" t="n">
        <x:v>21</x:v>
      </x:c>
      <x:c r="P237" s="1" t="str">
        <x:v>PASS</x:v>
      </x:c>
      <x:c r="Q237" s="4" t="n">
        <x:v>0</x:v>
      </x:c>
      <x:c r="R237" s="1" t="str">
        <x:v>PASS</x:v>
      </x:c>
      <x:c r="S237" s="4" t="n">
        <x:v>0</x:v>
      </x:c>
      <x:c r="T237" s="1" t="str">
        <x:v>NOT_REVEALING</x:v>
      </x:c>
      <x:c r="U237" s="1" t="str">
        <x:v>Closure_173</x:v>
      </x:c>
      <x:c r="V237" s="6" t="n">
        <x:v>138.86</x:v>
      </x:c>
    </x:row>
    <x:row r="238" ht="22" customHeight="1">
      <x:c r="A238" s="1" t="str">
        <x:v>Round1</x:v>
      </x:c>
      <x:c r="B238" s="1" t="str">
        <x:v>Closure</x:v>
      </x:c>
      <x:c r="C238" s="4" t="n">
        <x:v>174</x:v>
      </x:c>
      <x:c r="D238" s="4" t="n">
        <x:v>0</x:v>
      </x:c>
      <x:c r="E238" s="4" t="n">
        <x:v>60</x:v>
      </x:c>
      <x:c r="F238" s="4" t="n">
        <x:v>1966</x:v>
      </x:c>
      <x:c r="G238" s="5" t="n">
        <x:v>0.3111</x:v>
      </x:c>
      <x:c r="H238" s="5" t="n">
        <x:v>0.3776</x:v>
      </x:c>
      <x:c r="I238" s="5" t="n">
        <x:v>0.2371</x:v>
      </x:c>
      <x:c r="J238" s="4" t="n">
        <x:v>2629</x:v>
      </x:c>
      <x:c r="K238" s="4" t="n">
        <x:v>818</x:v>
      </x:c>
      <x:c r="L238" s="4" t="n">
        <x:v>1385</x:v>
      </x:c>
      <x:c r="M238" s="4" t="n">
        <x:v>523</x:v>
      </x:c>
      <x:c r="N238" s="4" t="n">
        <x:v>1244</x:v>
      </x:c>
      <x:c r="O238" s="4" t="n">
        <x:v>295</x:v>
      </x:c>
      <x:c r="P238" s="1" t="str">
        <x:v>FAIL</x:v>
      </x:c>
      <x:c r="Q238" s="4" t="n">
        <x:v>2</x:v>
      </x:c>
      <x:c r="R238" s="1" t="str">
        <x:v>FAIL</x:v>
      </x:c>
      <x:c r="S238" s="4" t="n">
        <x:v>2</x:v>
      </x:c>
      <x:c r="T238" s="1" t="str">
        <x:v>INCONCLUSIVE</x:v>
      </x:c>
      <x:c r="U238" s="1" t="str">
        <x:v>Closure_174</x:v>
      </x:c>
      <x:c r="V238" s="6" t="n">
        <x:v>155.76</x:v>
      </x:c>
    </x:row>
    <x:row r="239" ht="22" customHeight="1">
      <x:c r="A239" s="1" t="str">
        <x:v>Round1</x:v>
      </x:c>
      <x:c r="B239" s="1" t="str">
        <x:v>Closure</x:v>
      </x:c>
      <x:c r="C239" s="4" t="n">
        <x:v>175</x:v>
      </x:c>
      <x:c r="D239" s="4" t="n">
        <x:v>0</x:v>
      </x:c>
      <x:c r="E239" s="4" t="n">
        <x:v>60</x:v>
      </x:c>
      <x:c r="F239" s="4" t="n">
        <x:v>2</x:v>
      </x:c>
      <x:c r="G239" s="5" t="n">
        <x:v>0.0134</x:v>
      </x:c>
      <x:c r="H239" s="5" t="n">
        <x:v>0.0231</x:v>
      </x:c>
      <x:c r="I239" s="5" t="n">
        <x:v>0</x:v>
      </x:c>
      <x:c r="J239" s="4" t="n">
        <x:v>521</x:v>
      </x:c>
      <x:c r="K239" s="4" t="n">
        <x:v>7</x:v>
      </x:c>
      <x:c r="L239" s="4" t="n">
        <x:v>303</x:v>
      </x:c>
      <x:c r="M239" s="4" t="n">
        <x:v>7</x:v>
      </x:c>
      <x:c r="N239" s="4" t="n">
        <x:v>218</x:v>
      </x:c>
      <x:c r="O239" s="4" t="n">
        <x:v>0</x:v>
      </x:c>
      <x:c r="P239" s="1" t="str">
        <x:v>PASS</x:v>
      </x:c>
      <x:c r="Q239" s="4" t="n">
        <x:v>0</x:v>
      </x:c>
      <x:c r="R239" s="1" t="str">
        <x:v>PASS</x:v>
      </x:c>
      <x:c r="S239" s="4" t="n">
        <x:v>0</x:v>
      </x:c>
      <x:c r="T239" s="1" t="str">
        <x:v>NOT_REVEALING</x:v>
      </x:c>
      <x:c r="U239" s="1" t="str">
        <x:v>Closure_175</x:v>
      </x:c>
      <x:c r="V239" s="6" t="n">
        <x:v>73.56</x:v>
      </x:c>
    </x:row>
    <x:row r="240" ht="22" customHeight="1">
      <x:c r="A240" s="1" t="str">
        <x:v>Round1</x:v>
      </x:c>
      <x:c r="B240" s="1" t="str">
        <x:v>Closure</x:v>
      </x:c>
      <x:c r="C240" s="4" t="n">
        <x:v>176</x:v>
      </x:c>
      <x:c r="D240" s="4" t="n">
        <x:v>0</x:v>
      </x:c>
      <x:c r="E240" s="4" t="n">
        <x:v>60</x:v>
      </x:c>
      <x:c r="F240" s="4" t="n">
        <x:v>5</x:v>
      </x:c>
      <x:c r="G240" s="5" t="n">
        <x:v>0.0040999999999999995</x:v>
      </x:c>
      <x:c r="H240" s="5" t="n">
        <x:v>0.0055000000000000005</x:v>
      </x:c>
      <x:c r="I240" s="5" t="n">
        <x:v>0.0021</x:v>
      </x:c>
      <x:c r="J240" s="4" t="n">
        <x:v>1217</x:v>
      </x:c>
      <x:c r="K240" s="4" t="n">
        <x:v>5</x:v>
      </x:c>
      <x:c r="L240" s="4" t="n">
        <x:v>732</x:v>
      </x:c>
      <x:c r="M240" s="4" t="n">
        <x:v>4</x:v>
      </x:c>
      <x:c r="N240" s="4" t="n">
        <x:v>485</x:v>
      </x:c>
      <x:c r="O240" s="4" t="n">
        <x:v>1</x:v>
      </x:c>
      <x:c r="P240" s="1" t="str">
        <x:v>PASS</x:v>
      </x:c>
      <x:c r="Q240" s="4" t="n">
        <x:v>0</x:v>
      </x:c>
      <x:c r="R240" s="1" t="str">
        <x:v>PASS</x:v>
      </x:c>
      <x:c r="S240" s="4" t="n">
        <x:v>0</x:v>
      </x:c>
      <x:c r="T240" s="1" t="str">
        <x:v>NOT_REVEALING</x:v>
      </x:c>
      <x:c r="U240" s="1" t="str">
        <x:v>Closure_176</x:v>
      </x:c>
      <x:c r="V240" s="6" t="n">
        <x:v>75.24</x:v>
      </x:c>
    </x:row>
    <x:row r="241" ht="22" customHeight="1">
      <x:c r="A241" s="1" t="str">
        <x:v>Round1</x:v>
      </x:c>
      <x:c r="B241" s="1" t="str">
        <x:v>Codec</x:v>
      </x:c>
      <x:c r="C241" s="4" t="n">
        <x:v>1</x:v>
      </x:c>
      <x:c r="D241" s="4" t="n">
        <x:v>0</x:v>
      </x:c>
      <x:c r="E241" s="4" t="n">
        <x:v>60</x:v>
      </x:c>
      <x:c r="F241" s="4" t="n">
        <x:v>40</x:v>
      </x:c>
      <x:c r="G241" s="5" t="n">
        <x:v>0.41359999999999997</x:v>
      </x:c>
      <x:c r="H241" s="5" t="n">
        <x:v>0.5195000000000001</x:v>
      </x:c>
      <x:c r="I241" s="5" t="n">
        <x:v>0.2663</x:v>
      </x:c>
      <x:c r="J241" s="4" t="n">
        <x:v>440</x:v>
      </x:c>
      <x:c r="K241" s="4" t="n">
        <x:v>182</x:v>
      </x:c>
      <x:c r="L241" s="4" t="n">
        <x:v>256</x:v>
      </x:c>
      <x:c r="M241" s="4" t="n">
        <x:v>133</x:v>
      </x:c>
      <x:c r="N241" s="4" t="n">
        <x:v>184</x:v>
      </x:c>
      <x:c r="O241" s="4" t="n">
        <x:v>49</x:v>
      </x:c>
      <x:c r="P241" s="1" t="str">
        <x:v>FAIL</x:v>
      </x:c>
      <x:c r="Q241" s="4" t="n">
        <x:v>6</x:v>
      </x:c>
      <x:c r="R241" s="1" t="str">
        <x:v>FAIL</x:v>
      </x:c>
      <x:c r="S241" s="4" t="n">
        <x:v>6</x:v>
      </x:c>
      <x:c r="T241" s="1" t="str">
        <x:v>INCONCLUSIVE</x:v>
      </x:c>
      <x:c r="U241" s="1" t="str">
        <x:v>Codec_1</x:v>
      </x:c>
      <x:c r="V241" s="6" t="n">
        <x:v>17.88</x:v>
      </x:c>
    </x:row>
    <x:row r="242" ht="22" customHeight="1">
      <x:c r="A242" s="1" t="str">
        <x:v>Round1</x:v>
      </x:c>
      <x:c r="B242" s="1" t="str">
        <x:v>Codec</x:v>
      </x:c>
      <x:c r="C242" s="4" t="n">
        <x:v>2</x:v>
      </x:c>
      <x:c r="D242" s="4" t="n">
        <x:v>0</x:v>
      </x:c>
      <x:c r="E242" s="4" t="n">
        <x:v>60</x:v>
      </x:c>
      <x:c r="F242" s="4" t="n">
        <x:v>123</x:v>
      </x:c>
      <x:c r="G242" s="5" t="n">
        <x:v>0.9306</x:v>
      </x:c>
      <x:c r="H242" s="5" t="n">
        <x:v>0.9533</x:v>
      </x:c>
      <x:c r="I242" s="5" t="n">
        <x:v>0.8973</x:v>
      </x:c>
      <x:c r="J242" s="4" t="n">
        <x:v>360</x:v>
      </x:c>
      <x:c r="K242" s="4" t="n">
        <x:v>335</x:v>
      </x:c>
      <x:c r="L242" s="4" t="n">
        <x:v>214</x:v>
      </x:c>
      <x:c r="M242" s="4" t="n">
        <x:v>204</x:v>
      </x:c>
      <x:c r="N242" s="4" t="n">
        <x:v>146</x:v>
      </x:c>
      <x:c r="O242" s="4" t="n">
        <x:v>131</x:v>
      </x:c>
      <x:c r="P242" s="1" t="str">
        <x:v>PASS</x:v>
      </x:c>
      <x:c r="Q242" s="4" t="n">
        <x:v>0</x:v>
      </x:c>
      <x:c r="R242" s="1" t="str">
        <x:v>PASS</x:v>
      </x:c>
      <x:c r="S242" s="4" t="n">
        <x:v>0</x:v>
      </x:c>
      <x:c r="T242" s="1" t="str">
        <x:v>NOT_REVEALING</x:v>
      </x:c>
      <x:c r="U242" s="1" t="str">
        <x:v>Codec_2</x:v>
      </x:c>
      <x:c r="V242" s="6" t="n">
        <x:v>21.91</x:v>
      </x:c>
    </x:row>
    <x:row r="243" ht="22" customHeight="1">
      <x:c r="A243" s="1" t="str">
        <x:v>Round1</x:v>
      </x:c>
      <x:c r="B243" s="1" t="str">
        <x:v>Codec</x:v>
      </x:c>
      <x:c r="C243" s="4" t="n">
        <x:v>3</x:v>
      </x:c>
      <x:c r="D243" s="4" t="n">
        <x:v>0</x:v>
      </x:c>
      <x:c r="E243" s="4" t="n">
        <x:v>60</x:v>
      </x:c>
      <x:c r="F243" s="4" t="n">
        <x:v>69</x:v>
      </x:c>
      <x:c r="G243" s="5" t="n">
        <x:v>0.1606</x:v>
      </x:c>
      <x:c r="H243" s="5" t="n">
        <x:v>0.2141</x:v>
      </x:c>
      <x:c r="I243" s="5" t="n">
        <x:v>0.1067</x:v>
      </x:c>
      <x:c r="J243" s="4" t="n">
        <x:v>903</x:v>
      </x:c>
      <x:c r="K243" s="4" t="n">
        <x:v>145</x:v>
      </x:c>
      <x:c r="L243" s="4" t="n">
        <x:v>453</x:v>
      </x:c>
      <x:c r="M243" s="4" t="n">
        <x:v>97</x:v>
      </x:c>
      <x:c r="N243" s="4" t="n">
        <x:v>450</x:v>
      </x:c>
      <x:c r="O243" s="4" t="n">
        <x:v>48</x:v>
      </x:c>
      <x:c r="P243" s="1" t="str">
        <x:v>FAIL</x:v>
      </x:c>
      <x:c r="Q243" s="4" t="n">
        <x:v>8</x:v>
      </x:c>
      <x:c r="R243" s="1" t="str">
        <x:v>FAIL</x:v>
      </x:c>
      <x:c r="S243" s="4" t="n">
        <x:v>8</x:v>
      </x:c>
      <x:c r="T243" s="1" t="str">
        <x:v>INCONCLUSIVE</x:v>
      </x:c>
      <x:c r="U243" s="1" t="str">
        <x:v>Codec_3</x:v>
      </x:c>
      <x:c r="V243" s="6" t="n">
        <x:v>20.34</x:v>
      </x:c>
    </x:row>
    <x:row r="244" ht="22" customHeight="1">
      <x:c r="A244" s="1" t="str">
        <x:v>Round1</x:v>
      </x:c>
      <x:c r="B244" s="1" t="str">
        <x:v>Codec</x:v>
      </x:c>
      <x:c r="C244" s="4" t="n">
        <x:v>4</x:v>
      </x:c>
      <x:c r="D244" s="4" t="n">
        <x:v>0</x:v>
      </x:c>
      <x:c r="E244" s="4" t="n">
        <x:v>60</x:v>
      </x:c>
      <x:c r="F244" s="4" t="n">
        <x:v>86</x:v>
      </x:c>
      <x:c r="G244" s="5" t="n">
        <x:v>0.9279999999999999</x:v>
      </x:c>
      <x:c r="H244" s="5" t="n">
        <x:v>0.9654</x:v>
      </x:c>
      <x:c r="I244" s="5" t="n">
        <x:v>0.8734000000000001</x:v>
      </x:c>
      <x:c r="J244" s="4" t="n">
        <x:v>389</x:v>
      </x:c>
      <x:c r="K244" s="4" t="n">
        <x:v>361</x:v>
      </x:c>
      <x:c r="L244" s="4" t="n">
        <x:v>231</x:v>
      </x:c>
      <x:c r="M244" s="4" t="n">
        <x:v>223</x:v>
      </x:c>
      <x:c r="N244" s="4" t="n">
        <x:v>158</x:v>
      </x:c>
      <x:c r="O244" s="4" t="n">
        <x:v>138</x:v>
      </x:c>
      <x:c r="P244" s="1" t="str">
        <x:v>PASS</x:v>
      </x:c>
      <x:c r="Q244" s="4" t="n">
        <x:v>0</x:v>
      </x:c>
      <x:c r="R244" s="1" t="str">
        <x:v>FAIL</x:v>
      </x:c>
      <x:c r="S244" s="4" t="n">
        <x:v>6</x:v>
      </x:c>
      <x:c r="T244" s="1" t="str">
        <x:v>INCONCLUSIVE</x:v>
      </x:c>
      <x:c r="U244" s="1" t="str">
        <x:v>Codec_4</x:v>
      </x:c>
      <x:c r="V244" s="6" t="n">
        <x:v>21.86</x:v>
      </x:c>
    </x:row>
    <x:row r="245" ht="22" customHeight="1">
      <x:c r="A245" s="1" t="str">
        <x:v>Round1</x:v>
      </x:c>
      <x:c r="B245" s="1" t="str">
        <x:v>Codec</x:v>
      </x:c>
      <x:c r="C245" s="4" t="n">
        <x:v>5</x:v>
      </x:c>
      <x:c r="D245" s="4" t="n">
        <x:v>0</x:v>
      </x:c>
      <x:c r="E245" s="4" t="n">
        <x:v>60</x:v>
      </x:c>
      <x:c r="F245" s="4" t="n">
        <x:v>113</x:v>
      </x:c>
      <x:c r="G245" s="5" t="n">
        <x:v>0.892</x:v>
      </x:c>
      <x:c r="H245" s="5" t="n">
        <x:v>0.9394</x:v>
      </x:c>
      <x:c r="I245" s="5" t="n">
        <x:v>0.8228</x:v>
      </x:c>
      <x:c r="J245" s="4" t="n">
        <x:v>389</x:v>
      </x:c>
      <x:c r="K245" s="4" t="n">
        <x:v>347</x:v>
      </x:c>
      <x:c r="L245" s="4" t="n">
        <x:v>231</x:v>
      </x:c>
      <x:c r="M245" s="4" t="n">
        <x:v>217</x:v>
      </x:c>
      <x:c r="N245" s="4" t="n">
        <x:v>158</x:v>
      </x:c>
      <x:c r="O245" s="4" t="n">
        <x:v>130</x:v>
      </x:c>
      <x:c r="P245" s="1" t="str">
        <x:v>PASS</x:v>
      </x:c>
      <x:c r="Q245" s="4" t="n">
        <x:v>0</x:v>
      </x:c>
      <x:c r="R245" s="1" t="str">
        <x:v>PASS</x:v>
      </x:c>
      <x:c r="S245" s="4" t="n">
        <x:v>0</x:v>
      </x:c>
      <x:c r="T245" s="1" t="str">
        <x:v>NOT_REVEALING</x:v>
      </x:c>
      <x:c r="U245" s="1" t="str">
        <x:v>Codec_5</x:v>
      </x:c>
      <x:c r="V245" s="6" t="n">
        <x:v>21.06</x:v>
      </x:c>
    </x:row>
    <x:row r="246" ht="22" customHeight="1">
      <x:c r="A246" s="1" t="str">
        <x:v>Round1</x:v>
      </x:c>
      <x:c r="B246" s="1" t="str">
        <x:v>Codec</x:v>
      </x:c>
      <x:c r="C246" s="4" t="n">
        <x:v>6</x:v>
      </x:c>
      <x:c r="D246" s="4" t="n">
        <x:v>0</x:v>
      </x:c>
      <x:c r="E246" s="4" t="n">
        <x:v>60</x:v>
      </x:c>
      <x:c r="F246" s="4" t="n">
        <x:v>209</x:v>
      </x:c>
      <x:c r="G246" s="5" t="n">
        <x:v>0.5556</x:v>
      </x:c>
      <x:c r="H246" s="5" t="n">
        <x:v>0.6286</x:v>
      </x:c>
      <x:c r="I246" s="5" t="n">
        <x:v>0.4643</x:v>
      </x:c>
      <x:c r="J246" s="4" t="n">
        <x:v>63</x:v>
      </x:c>
      <x:c r="K246" s="4" t="n">
        <x:v>35</x:v>
      </x:c>
      <x:c r="L246" s="4" t="n">
        <x:v>35</x:v>
      </x:c>
      <x:c r="M246" s="4" t="n">
        <x:v>22</x:v>
      </x:c>
      <x:c r="N246" s="4" t="n">
        <x:v>28</x:v>
      </x:c>
      <x:c r="O246" s="4" t="n">
        <x:v>13</x:v>
      </x:c>
      <x:c r="P246" s="1" t="str">
        <x:v>PASS</x:v>
      </x:c>
      <x:c r="Q246" s="4" t="n">
        <x:v>0</x:v>
      </x:c>
      <x:c r="R246" s="1" t="str">
        <x:v>PASS</x:v>
      </x:c>
      <x:c r="S246" s="4" t="n">
        <x:v>0</x:v>
      </x:c>
      <x:c r="T246" s="1" t="str">
        <x:v>NOT_REVEALING</x:v>
      </x:c>
      <x:c r="U246" s="1" t="str">
        <x:v>Codec_6</x:v>
      </x:c>
      <x:c r="V246" s="6" t="n">
        <x:v>22.09</x:v>
      </x:c>
    </x:row>
    <x:row r="247" ht="22" customHeight="1">
      <x:c r="A247" s="1" t="str">
        <x:v>Round1</x:v>
      </x:c>
      <x:c r="B247" s="1" t="str">
        <x:v>Codec</x:v>
      </x:c>
      <x:c r="C247" s="4" t="n">
        <x:v>7</x:v>
      </x:c>
      <x:c r="D247" s="4" t="n">
        <x:v>0</x:v>
      </x:c>
      <x:c r="E247" s="4" t="n">
        <x:v>60</x:v>
      </x:c>
      <x:c r="F247" s="4" t="n">
        <x:v>94</x:v>
      </x:c>
      <x:c r="G247" s="5" t="n">
        <x:v>0.8886</x:v>
      </x:c>
      <x:c r="H247" s="5" t="n">
        <x:v>0.9399</x:v>
      </x:c>
      <x:c r="I247" s="5" t="n">
        <x:v>0.8148000000000001</x:v>
      </x:c>
      <x:c r="J247" s="4" t="n">
        <x:v>395</x:v>
      </x:c>
      <x:c r="K247" s="4" t="n">
        <x:v>351</x:v>
      </x:c>
      <x:c r="L247" s="4" t="n">
        <x:v>233</x:v>
      </x:c>
      <x:c r="M247" s="4" t="n">
        <x:v>219</x:v>
      </x:c>
      <x:c r="N247" s="4" t="n">
        <x:v>162</x:v>
      </x:c>
      <x:c r="O247" s="4" t="n">
        <x:v>132</x:v>
      </x:c>
      <x:c r="P247" s="1" t="str">
        <x:v>PASS</x:v>
      </x:c>
      <x:c r="Q247" s="4" t="n">
        <x:v>0</x:v>
      </x:c>
      <x:c r="R247" s="1" t="str">
        <x:v>FAIL</x:v>
      </x:c>
      <x:c r="S247" s="4" t="n">
        <x:v>4</x:v>
      </x:c>
      <x:c r="T247" s="1" t="str">
        <x:v>INCONCLUSIVE</x:v>
      </x:c>
      <x:c r="U247" s="1" t="str">
        <x:v>Codec_7</x:v>
      </x:c>
      <x:c r="V247" s="6" t="n">
        <x:v>21.47</x:v>
      </x:c>
    </x:row>
    <x:row r="248" ht="22" customHeight="1">
      <x:c r="A248" s="1" t="str">
        <x:v>Round1</x:v>
      </x:c>
      <x:c r="B248" s="1" t="str">
        <x:v>Codec</x:v>
      </x:c>
      <x:c r="C248" s="4" t="n">
        <x:v>8</x:v>
      </x:c>
      <x:c r="D248" s="4" t="n">
        <x:v>0</x:v>
      </x:c>
      <x:c r="E248" s="4" t="n">
        <x:v>60</x:v>
      </x:c>
      <x:c r="F248" s="4" t="n">
        <x:v>105</x:v>
      </x:c>
      <x:c r="G248" s="5" t="n">
        <x:v>0.8031</x:v>
      </x:c>
      <x:c r="H248" s="5" t="n">
        <x:v>0.8659</x:v>
      </x:c>
      <x:c r="I248" s="5" t="n">
        <x:v>0.7151000000000001</x:v>
      </x:c>
      <x:c r="J248" s="4" t="n">
        <x:v>447</x:v>
      </x:c>
      <x:c r="K248" s="4" t="n">
        <x:v>359</x:v>
      </x:c>
      <x:c r="L248" s="4" t="n">
        <x:v>261</x:v>
      </x:c>
      <x:c r="M248" s="4" t="n">
        <x:v>226</x:v>
      </x:c>
      <x:c r="N248" s="4" t="n">
        <x:v>186</x:v>
      </x:c>
      <x:c r="O248" s="4" t="n">
        <x:v>133</x:v>
      </x:c>
      <x:c r="P248" s="1" t="str">
        <x:v>PASS</x:v>
      </x:c>
      <x:c r="Q248" s="4" t="n">
        <x:v>0</x:v>
      </x:c>
      <x:c r="R248" s="1" t="str">
        <x:v>NOT_RUN</x:v>
      </x:c>
      <x:c r="S248" s="4"/>
      <x:c r="T248" s="1" t="str">
        <x:v>NOT_AVAILABLE</x:v>
      </x:c>
      <x:c r="U248" s="1" t="str">
        <x:v>Codec_8</x:v>
      </x:c>
      <x:c r="V248" s="6" t="n">
        <x:v>19.9</x:v>
      </x:c>
    </x:row>
    <x:row r="249" ht="22" customHeight="1">
      <x:c r="A249" s="1" t="str">
        <x:v>Round1</x:v>
      </x:c>
      <x:c r="B249" s="1" t="str">
        <x:v>Codec</x:v>
      </x:c>
      <x:c r="C249" s="4" t="n">
        <x:v>9</x:v>
      </x:c>
      <x:c r="D249" s="4" t="n">
        <x:v>0</x:v>
      </x:c>
      <x:c r="E249" s="4" t="n">
        <x:v>60</x:v>
      </x:c>
      <x:c r="F249" s="4" t="n">
        <x:v>99</x:v>
      </x:c>
      <x:c r="G249" s="5" t="n">
        <x:v>0.8925</x:v>
      </x:c>
      <x:c r="H249" s="5" t="n">
        <x:v>0.9409000000000001</x:v>
      </x:c>
      <x:c r="I249" s="5" t="n">
        <x:v>0.8223999999999999</x:v>
      </x:c>
      <x:c r="J249" s="4" t="n">
        <x:v>372</x:v>
      </x:c>
      <x:c r="K249" s="4" t="n">
        <x:v>332</x:v>
      </x:c>
      <x:c r="L249" s="4" t="n">
        <x:v>220</x:v>
      </x:c>
      <x:c r="M249" s="4" t="n">
        <x:v>207</x:v>
      </x:c>
      <x:c r="N249" s="4" t="n">
        <x:v>152</x:v>
      </x:c>
      <x:c r="O249" s="4" t="n">
        <x:v>125</x:v>
      </x:c>
      <x:c r="P249" s="1" t="str">
        <x:v>PASS</x:v>
      </x:c>
      <x:c r="Q249" s="4" t="n">
        <x:v>0</x:v>
      </x:c>
      <x:c r="R249" s="1" t="str">
        <x:v>PASS</x:v>
      </x:c>
      <x:c r="S249" s="4" t="n">
        <x:v>0</x:v>
      </x:c>
      <x:c r="T249" s="1" t="str">
        <x:v>NOT_REVEALING</x:v>
      </x:c>
      <x:c r="U249" s="1" t="str">
        <x:v>Codec_9</x:v>
      </x:c>
      <x:c r="V249" s="6" t="n">
        <x:v>16.6</x:v>
      </x:c>
    </x:row>
    <x:row r="250" ht="22" customHeight="1">
      <x:c r="A250" s="1" t="str">
        <x:v>Round1</x:v>
      </x:c>
      <x:c r="B250" s="1" t="str">
        <x:v>Codec</x:v>
      </x:c>
      <x:c r="C250" s="4" t="n">
        <x:v>10</x:v>
      </x:c>
      <x:c r="D250" s="4" t="n">
        <x:v>0</x:v>
      </x:c>
      <x:c r="E250" s="4" t="n">
        <x:v>60</x:v>
      </x:c>
      <x:c r="F250" s="4" t="n">
        <x:v>119</x:v>
      </x:c>
      <x:c r="G250" s="5" t="n">
        <x:v>0.9867</x:v>
      </x:c>
      <x:c r="H250" s="5" t="n">
        <x:v>1</x:v>
      </x:c>
      <x:c r="I250" s="5" t="n">
        <x:v>0.8332999999999999</x:v>
      </x:c>
      <x:c r="J250" s="4" t="n">
        <x:v>75</x:v>
      </x:c>
      <x:c r="K250" s="4" t="n">
        <x:v>74</x:v>
      </x:c>
      <x:c r="L250" s="4" t="n">
        <x:v>69</x:v>
      </x:c>
      <x:c r="M250" s="4" t="n">
        <x:v>69</x:v>
      </x:c>
      <x:c r="N250" s="4" t="n">
        <x:v>6</x:v>
      </x:c>
      <x:c r="O250" s="4" t="n">
        <x:v>5</x:v>
      </x:c>
      <x:c r="P250" s="1" t="str">
        <x:v>PASS</x:v>
      </x:c>
      <x:c r="Q250" s="4" t="n">
        <x:v>0</x:v>
      </x:c>
      <x:c r="R250" s="1" t="str">
        <x:v>PASS</x:v>
      </x:c>
      <x:c r="S250" s="4" t="n">
        <x:v>0</x:v>
      </x:c>
      <x:c r="T250" s="1" t="str">
        <x:v>NOT_REVEALING</x:v>
      </x:c>
      <x:c r="U250" s="1" t="str">
        <x:v>Codec_10</x:v>
      </x:c>
      <x:c r="V250" s="6" t="n">
        <x:v>22.14</x:v>
      </x:c>
    </x:row>
    <x:row r="251" ht="22" customHeight="1">
      <x:c r="A251" s="1" t="str">
        <x:v>Round1</x:v>
      </x:c>
      <x:c r="B251" s="1" t="str">
        <x:v>Codec</x:v>
      </x:c>
      <x:c r="C251" s="4" t="n">
        <x:v>11</x:v>
      </x:c>
      <x:c r="D251" s="4" t="n">
        <x:v>0</x:v>
      </x:c>
      <x:c r="E251" s="4" t="n">
        <x:v>60</x:v>
      </x:c>
      <x:c r="F251" s="4" t="n">
        <x:v>104</x:v>
      </x:c>
      <x:c r="G251" s="5" t="n">
        <x:v>0.8291</x:v>
      </x:c>
      <x:c r="H251" s="5" t="n">
        <x:v>0.8642</x:v>
      </x:c>
      <x:c r="I251" s="5" t="n">
        <x:v>0.75</x:v>
      </x:c>
      <x:c r="J251" s="4" t="n">
        <x:v>117</x:v>
      </x:c>
      <x:c r="K251" s="4" t="n">
        <x:v>97</x:v>
      </x:c>
      <x:c r="L251" s="4" t="n">
        <x:v>81</x:v>
      </x:c>
      <x:c r="M251" s="4" t="n">
        <x:v>70</x:v>
      </x:c>
      <x:c r="N251" s="4" t="n">
        <x:v>36</x:v>
      </x:c>
      <x:c r="O251" s="4" t="n">
        <x:v>27</x:v>
      </x:c>
      <x:c r="P251" s="1" t="str">
        <x:v>PASS</x:v>
      </x:c>
      <x:c r="Q251" s="4" t="n">
        <x:v>0</x:v>
      </x:c>
      <x:c r="R251" s="1" t="str">
        <x:v>FAIL</x:v>
      </x:c>
      <x:c r="S251" s="4" t="n">
        <x:v>150</x:v>
      </x:c>
      <x:c r="T251" s="1" t="str">
        <x:v>INCONCLUSIVE</x:v>
      </x:c>
      <x:c r="U251" s="1" t="str">
        <x:v>Codec_11</x:v>
      </x:c>
      <x:c r="V251" s="6" t="n">
        <x:v>22</x:v>
      </x:c>
    </x:row>
    <x:row r="252" ht="22" customHeight="1">
      <x:c r="A252" s="1" t="str">
        <x:v>Round1</x:v>
      </x:c>
      <x:c r="B252" s="1" t="str">
        <x:v>Codec</x:v>
      </x:c>
      <x:c r="C252" s="4" t="n">
        <x:v>12</x:v>
      </x:c>
      <x:c r="D252" s="4" t="n">
        <x:v>0</x:v>
      </x:c>
      <x:c r="E252" s="4" t="n">
        <x:v>60</x:v>
      </x:c>
      <x:c r="F252" s="4" t="n">
        <x:v>179</x:v>
      </x:c>
      <x:c r="G252" s="5" t="n">
        <x:v>0.5439</x:v>
      </x:c>
      <x:c r="H252" s="5" t="n">
        <x:v>0.5806</x:v>
      </x:c>
      <x:c r="I252" s="5" t="n">
        <x:v>0.5</x:v>
      </x:c>
      <x:c r="J252" s="4" t="n">
        <x:v>57</x:v>
      </x:c>
      <x:c r="K252" s="4" t="n">
        <x:v>31</x:v>
      </x:c>
      <x:c r="L252" s="4" t="n">
        <x:v>31</x:v>
      </x:c>
      <x:c r="M252" s="4" t="n">
        <x:v>18</x:v>
      </x:c>
      <x:c r="N252" s="4" t="n">
        <x:v>26</x:v>
      </x:c>
      <x:c r="O252" s="4" t="n">
        <x:v>13</x:v>
      </x:c>
      <x:c r="P252" s="1" t="str">
        <x:v>PASS</x:v>
      </x:c>
      <x:c r="Q252" s="4" t="n">
        <x:v>0</x:v>
      </x:c>
      <x:c r="R252" s="1" t="str">
        <x:v>FAIL</x:v>
      </x:c>
      <x:c r="S252" s="4" t="n">
        <x:v>16</x:v>
      </x:c>
      <x:c r="T252" s="1" t="str">
        <x:v>INCONCLUSIVE</x:v>
      </x:c>
      <x:c r="U252" s="1" t="str">
        <x:v>Codec_12</x:v>
      </x:c>
      <x:c r="V252" s="6" t="n">
        <x:v>22.55</x:v>
      </x:c>
    </x:row>
    <x:row r="253" ht="22" customHeight="1">
      <x:c r="A253" s="1" t="str">
        <x:v>Round1</x:v>
      </x:c>
      <x:c r="B253" s="1" t="str">
        <x:v>Codec</x:v>
      </x:c>
      <x:c r="C253" s="4" t="n">
        <x:v>13</x:v>
      </x:c>
      <x:c r="D253" s="4" t="n">
        <x:v>0</x:v>
      </x:c>
      <x:c r="E253" s="4" t="n">
        <x:v>60</x:v>
      </x:c>
      <x:c r="F253" s="4" t="n">
        <x:v>91</x:v>
      </x:c>
      <x:c r="G253" s="5" t="n">
        <x:v>0.1725</x:v>
      </x:c>
      <x:c r="H253" s="5" t="n">
        <x:v>0.2391</x:v>
      </x:c>
      <x:c r="I253" s="5" t="n">
        <x:v>0.1026</x:v>
      </x:c>
      <x:c r="J253" s="4" t="n">
        <x:v>939</x:v>
      </x:c>
      <x:c r="K253" s="4" t="n">
        <x:v>162</x:v>
      </x:c>
      <x:c r="L253" s="4" t="n">
        <x:v>481</x:v>
      </x:c>
      <x:c r="M253" s="4" t="n">
        <x:v>115</x:v>
      </x:c>
      <x:c r="N253" s="4" t="n">
        <x:v>458</x:v>
      </x:c>
      <x:c r="O253" s="4" t="n">
        <x:v>47</x:v>
      </x:c>
      <x:c r="P253" s="1" t="str">
        <x:v>FAIL</x:v>
      </x:c>
      <x:c r="Q253" s="4" t="n">
        <x:v>8</x:v>
      </x:c>
      <x:c r="R253" s="1" t="str">
        <x:v>PASS</x:v>
      </x:c>
      <x:c r="S253" s="4" t="n">
        <x:v>0</x:v>
      </x:c>
      <x:c r="T253" s="1" t="str">
        <x:v>REVEALING</x:v>
      </x:c>
      <x:c r="U253" s="1" t="str">
        <x:v>Codec_13</x:v>
      </x:c>
      <x:c r="V253" s="6" t="n">
        <x:v>22.33</x:v>
      </x:c>
    </x:row>
    <x:row r="254" ht="22" customHeight="1">
      <x:c r="A254" s="1" t="str">
        <x:v>Round1</x:v>
      </x:c>
      <x:c r="B254" s="1" t="str">
        <x:v>Codec</x:v>
      </x:c>
      <x:c r="C254" s="4" t="n">
        <x:v>14</x:v>
      </x:c>
      <x:c r="D254" s="4" t="n">
        <x:v>0</x:v>
      </x:c>
      <x:c r="E254" s="4" t="n">
        <x:v>60</x:v>
      </x:c>
      <x:c r="F254" s="4" t="n">
        <x:v>0</x:v>
      </x:c>
      <x:c r="G254" s="5"/>
      <x:c r="H254" s="5"/>
      <x:c r="I254" s="5"/>
      <x:c r="J254" s="4" t="n">
        <x:v>0</x:v>
      </x:c>
      <x:c r="K254" s="4" t="n">
        <x:v>0</x:v>
      </x:c>
      <x:c r="L254" s="4" t="n">
        <x:v>0</x:v>
      </x:c>
      <x:c r="M254" s="4" t="n">
        <x:v>0</x:v>
      </x:c>
      <x:c r="N254" s="4" t="n">
        <x:v>0</x:v>
      </x:c>
      <x:c r="O254" s="4" t="n">
        <x:v>0</x:v>
      </x:c>
      <x:c r="P254" s="1" t="str">
        <x:v>NOT_RUN</x:v>
      </x:c>
      <x:c r="Q254" s="4"/>
      <x:c r="R254" s="1" t="str">
        <x:v>NOT_RUN</x:v>
      </x:c>
      <x:c r="S254" s="4"/>
      <x:c r="T254" s="1" t="str">
        <x:v>FAIL</x:v>
      </x:c>
      <x:c r="U254" s="1" t="str">
        <x:v>Codec_14</x:v>
      </x:c>
      <x:c r="V254" s="6"/>
    </x:row>
    <x:row r="255" ht="22" customHeight="1">
      <x:c r="A255" s="1" t="str">
        <x:v>Round1</x:v>
      </x:c>
      <x:c r="B255" s="1" t="str">
        <x:v>Codec</x:v>
      </x:c>
      <x:c r="C255" s="4" t="n">
        <x:v>15</x:v>
      </x:c>
      <x:c r="D255" s="4" t="n">
        <x:v>0</x:v>
      </x:c>
      <x:c r="E255" s="4" t="n">
        <x:v>60</x:v>
      </x:c>
      <x:c r="F255" s="4" t="n">
        <x:v>106</x:v>
      </x:c>
      <x:c r="G255" s="5" t="n">
        <x:v>0.6706</x:v>
      </x:c>
      <x:c r="H255" s="5" t="n">
        <x:v>0.8431000000000001</x:v>
      </x:c>
      <x:c r="I255" s="5" t="n">
        <x:v>0.4118</x:v>
      </x:c>
      <x:c r="J255" s="4" t="n">
        <x:v>85</x:v>
      </x:c>
      <x:c r="K255" s="4" t="n">
        <x:v>57</x:v>
      </x:c>
      <x:c r="L255" s="4" t="n">
        <x:v>51</x:v>
      </x:c>
      <x:c r="M255" s="4" t="n">
        <x:v>43</x:v>
      </x:c>
      <x:c r="N255" s="4" t="n">
        <x:v>34</x:v>
      </x:c>
      <x:c r="O255" s="4" t="n">
        <x:v>14</x:v>
      </x:c>
      <x:c r="P255" s="1" t="str">
        <x:v>PASS</x:v>
      </x:c>
      <x:c r="Q255" s="4" t="n">
        <x:v>0</x:v>
      </x:c>
      <x:c r="R255" s="1" t="str">
        <x:v>PASS</x:v>
      </x:c>
      <x:c r="S255" s="4" t="n">
        <x:v>0</x:v>
      </x:c>
      <x:c r="T255" s="1" t="str">
        <x:v>NOT_REVEALING</x:v>
      </x:c>
      <x:c r="U255" s="1" t="str">
        <x:v>Codec_15</x:v>
      </x:c>
      <x:c r="V255" s="6" t="n">
        <x:v>20.79</x:v>
      </x:c>
    </x:row>
    <x:row r="256" ht="22" customHeight="1">
      <x:c r="A256" s="1" t="str">
        <x:v>Round1</x:v>
      </x:c>
      <x:c r="B256" s="1" t="str">
        <x:v>Codec</x:v>
      </x:c>
      <x:c r="C256" s="4" t="n">
        <x:v>16</x:v>
      </x:c>
      <x:c r="D256" s="4" t="n">
        <x:v>0</x:v>
      </x:c>
      <x:c r="E256" s="4" t="n">
        <x:v>60</x:v>
      </x:c>
      <x:c r="F256" s="4" t="n">
        <x:v>95</x:v>
      </x:c>
      <x:c r="G256" s="5" t="n">
        <x:v>0.7635</x:v>
      </x:c>
      <x:c r="H256" s="5" t="n">
        <x:v>0.759</x:v>
      </x:c>
      <x:c r="I256" s="5" t="n">
        <x:v>0.7733</x:v>
      </x:c>
      <x:c r="J256" s="4" t="n">
        <x:v>241</x:v>
      </x:c>
      <x:c r="K256" s="4" t="n">
        <x:v>184</x:v>
      </x:c>
      <x:c r="L256" s="4" t="n">
        <x:v>166</x:v>
      </x:c>
      <x:c r="M256" s="4" t="n">
        <x:v>126</x:v>
      </x:c>
      <x:c r="N256" s="4" t="n">
        <x:v>75</x:v>
      </x:c>
      <x:c r="O256" s="4" t="n">
        <x:v>58</x:v>
      </x:c>
      <x:c r="P256" s="1" t="str">
        <x:v>PASS</x:v>
      </x:c>
      <x:c r="Q256" s="4" t="n">
        <x:v>0</x:v>
      </x:c>
      <x:c r="R256" s="1" t="str">
        <x:v>PASS</x:v>
      </x:c>
      <x:c r="S256" s="4" t="n">
        <x:v>0</x:v>
      </x:c>
      <x:c r="T256" s="1" t="str">
        <x:v>NOT_REVEALING</x:v>
      </x:c>
      <x:c r="U256" s="1" t="str">
        <x:v>Codec_16</x:v>
      </x:c>
      <x:c r="V256" s="6" t="n">
        <x:v>22.81</x:v>
      </x:c>
    </x:row>
    <x:row r="257" ht="22" customHeight="1">
      <x:c r="A257" s="1" t="str">
        <x:v>Round1</x:v>
      </x:c>
      <x:c r="B257" s="1" t="str">
        <x:v>Codec</x:v>
      </x:c>
      <x:c r="C257" s="4" t="n">
        <x:v>17</x:v>
      </x:c>
      <x:c r="D257" s="4" t="n">
        <x:v>0</x:v>
      </x:c>
      <x:c r="E257" s="4" t="n">
        <x:v>60</x:v>
      </x:c>
      <x:c r="F257" s="4" t="n">
        <x:v>141</x:v>
      </x:c>
      <x:c r="G257" s="5" t="n">
        <x:v>0.7966</x:v>
      </x:c>
      <x:c r="H257" s="5" t="n">
        <x:v>0.8718</x:v>
      </x:c>
      <x:c r="I257" s="5" t="n">
        <x:v>0.65</x:v>
      </x:c>
      <x:c r="J257" s="4" t="n">
        <x:v>59</x:v>
      </x:c>
      <x:c r="K257" s="4" t="n">
        <x:v>47</x:v>
      </x:c>
      <x:c r="L257" s="4" t="n">
        <x:v>39</x:v>
      </x:c>
      <x:c r="M257" s="4" t="n">
        <x:v>34</x:v>
      </x:c>
      <x:c r="N257" s="4" t="n">
        <x:v>20</x:v>
      </x:c>
      <x:c r="O257" s="4" t="n">
        <x:v>13</x:v>
      </x:c>
      <x:c r="P257" s="1" t="str">
        <x:v>PASS</x:v>
      </x:c>
      <x:c r="Q257" s="4" t="n">
        <x:v>0</x:v>
      </x:c>
      <x:c r="R257" s="1" t="str">
        <x:v>FAIL</x:v>
      </x:c>
      <x:c r="S257" s="4" t="n">
        <x:v>2</x:v>
      </x:c>
      <x:c r="T257" s="1" t="str">
        <x:v>INCONCLUSIVE</x:v>
      </x:c>
      <x:c r="U257" s="1" t="str">
        <x:v>Codec_17</x:v>
      </x:c>
      <x:c r="V257" s="6" t="n">
        <x:v>22.84</x:v>
      </x:c>
    </x:row>
    <x:row r="258" ht="22" customHeight="1">
      <x:c r="A258" s="1" t="str">
        <x:v>Round1</x:v>
      </x:c>
      <x:c r="B258" s="1" t="str">
        <x:v>Codec</x:v>
      </x:c>
      <x:c r="C258" s="4" t="n">
        <x:v>18</x:v>
      </x:c>
      <x:c r="D258" s="4" t="n">
        <x:v>0</x:v>
      </x:c>
      <x:c r="E258" s="4" t="n">
        <x:v>60</x:v>
      </x:c>
      <x:c r="F258" s="4" t="n">
        <x:v>146</x:v>
      </x:c>
      <x:c r="G258" s="5" t="n">
        <x:v>0.7966</x:v>
      </x:c>
      <x:c r="H258" s="5" t="n">
        <x:v>0.8718</x:v>
      </x:c>
      <x:c r="I258" s="5" t="n">
        <x:v>0.65</x:v>
      </x:c>
      <x:c r="J258" s="4" t="n">
        <x:v>59</x:v>
      </x:c>
      <x:c r="K258" s="4" t="n">
        <x:v>47</x:v>
      </x:c>
      <x:c r="L258" s="4" t="n">
        <x:v>39</x:v>
      </x:c>
      <x:c r="M258" s="4" t="n">
        <x:v>34</x:v>
      </x:c>
      <x:c r="N258" s="4" t="n">
        <x:v>20</x:v>
      </x:c>
      <x:c r="O258" s="4" t="n">
        <x:v>13</x:v>
      </x:c>
      <x:c r="P258" s="1" t="str">
        <x:v>PASS</x:v>
      </x:c>
      <x:c r="Q258" s="4" t="n">
        <x:v>0</x:v>
      </x:c>
      <x:c r="R258" s="1" t="str">
        <x:v>PASS</x:v>
      </x:c>
      <x:c r="S258" s="4" t="n">
        <x:v>0</x:v>
      </x:c>
      <x:c r="T258" s="1" t="str">
        <x:v>NOT_REVEALING</x:v>
      </x:c>
      <x:c r="U258" s="1" t="str">
        <x:v>Codec_18</x:v>
      </x:c>
      <x:c r="V258" s="6" t="n">
        <x:v>22.64</x:v>
      </x:c>
    </x:row>
    <x:row r="259" ht="22" customHeight="1">
      <x:c r="A259" s="1" t="str">
        <x:v>Round1</x:v>
      </x:c>
      <x:c r="B259" s="1" t="str">
        <x:v>Collections</x:v>
      </x:c>
      <x:c r="C259" s="4" t="n">
        <x:v>1</x:v>
      </x:c>
      <x:c r="D259" s="4" t="n">
        <x:v>0</x:v>
      </x:c>
      <x:c r="E259" s="4" t="n">
        <x:v>60</x:v>
      </x:c>
      <x:c r="F259" s="4" t="n">
        <x:v>16</x:v>
      </x:c>
      <x:c r="G259" s="5" t="n">
        <x:v>0.1015</x:v>
      </x:c>
      <x:c r="H259" s="5" t="n">
        <x:v>0.1344</x:v>
      </x:c>
      <x:c r="I259" s="5" t="n">
        <x:v>0.058499999999999996</x:v>
      </x:c>
      <x:c r="J259" s="4" t="n">
        <x:v>867</x:v>
      </x:c>
      <x:c r="K259" s="4" t="n">
        <x:v>88</x:v>
      </x:c>
      <x:c r="L259" s="4" t="n">
        <x:v>491</x:v>
      </x:c>
      <x:c r="M259" s="4" t="n">
        <x:v>66</x:v>
      </x:c>
      <x:c r="N259" s="4" t="n">
        <x:v>376</x:v>
      </x:c>
      <x:c r="O259" s="4" t="n">
        <x:v>22</x:v>
      </x:c>
      <x:c r="P259" s="1" t="str">
        <x:v>FAIL</x:v>
      </x:c>
      <x:c r="Q259" s="4" t="n">
        <x:v>10</x:v>
      </x:c>
      <x:c r="R259" s="1" t="str">
        <x:v>FAIL</x:v>
      </x:c>
      <x:c r="S259" s="4" t="n">
        <x:v>10</x:v>
      </x:c>
      <x:c r="T259" s="1" t="str">
        <x:v>INCONCLUSIVE</x:v>
      </x:c>
      <x:c r="U259" s="1" t="str">
        <x:v>Collections_1</x:v>
      </x:c>
      <x:c r="V259" s="6" t="n">
        <x:v>28.07</x:v>
      </x:c>
    </x:row>
    <x:row r="260" ht="22" customHeight="1">
      <x:c r="A260" s="1" t="str">
        <x:v>Round1</x:v>
      </x:c>
      <x:c r="B260" s="1" t="str">
        <x:v>Collections</x:v>
      </x:c>
      <x:c r="C260" s="4" t="n">
        <x:v>2</x:v>
      </x:c>
      <x:c r="D260" s="4" t="n">
        <x:v>0</x:v>
      </x:c>
      <x:c r="E260" s="4" t="n">
        <x:v>60</x:v>
      </x:c>
      <x:c r="F260" s="4" t="n">
        <x:v>324</x:v>
      </x:c>
      <x:c r="G260" s="5" t="n">
        <x:v>0.45159999999999995</x:v>
      </x:c>
      <x:c r="H260" s="5" t="n">
        <x:v>0.4903</x:v>
      </x:c>
      <x:c r="I260" s="5" t="n">
        <x:v>0.3843</x:v>
      </x:c>
      <x:c r="J260" s="4" t="n">
        <x:v>733</x:v>
      </x:c>
      <x:c r="K260" s="4" t="n">
        <x:v>331</x:v>
      </x:c>
      <x:c r="L260" s="4" t="n">
        <x:v>465</x:v>
      </x:c>
      <x:c r="M260" s="4" t="n">
        <x:v>228</x:v>
      </x:c>
      <x:c r="N260" s="4" t="n">
        <x:v>268</x:v>
      </x:c>
      <x:c r="O260" s="4" t="n">
        <x:v>103</x:v>
      </x:c>
      <x:c r="P260" s="1" t="str">
        <x:v>PASS</x:v>
      </x:c>
      <x:c r="Q260" s="4" t="n">
        <x:v>0</x:v>
      </x:c>
      <x:c r="R260" s="1" t="str">
        <x:v>FAIL</x:v>
      </x:c>
      <x:c r="S260" s="4" t="n">
        <x:v>26</x:v>
      </x:c>
      <x:c r="T260" s="1" t="str">
        <x:v>INCONCLUSIVE</x:v>
      </x:c>
      <x:c r="U260" s="1" t="str">
        <x:v>Collections_2</x:v>
      </x:c>
      <x:c r="V260" s="6" t="n">
        <x:v>32.39</x:v>
      </x:c>
    </x:row>
    <x:row r="261" ht="22" customHeight="1">
      <x:c r="A261" s="1" t="str">
        <x:v>Round1</x:v>
      </x:c>
      <x:c r="B261" s="1" t="str">
        <x:v>Collections</x:v>
      </x:c>
      <x:c r="C261" s="4" t="n">
        <x:v>3</x:v>
      </x:c>
      <x:c r="D261" s="4" t="n">
        <x:v>0</x:v>
      </x:c>
      <x:c r="E261" s="4" t="n">
        <x:v>60</x:v>
      </x:c>
      <x:c r="F261" s="4" t="n">
        <x:v>24</x:v>
      </x:c>
      <x:c r="G261" s="5" t="n">
        <x:v>0.33159999999999995</x:v>
      </x:c>
      <x:c r="H261" s="5" t="n">
        <x:v>0.38909999999999995</x:v>
      </x:c>
      <x:c r="I261" s="5" t="n">
        <x:v>0.2541</x:v>
      </x:c>
      <x:c r="J261" s="4" t="n">
        <x:v>573</x:v>
      </x:c>
      <x:c r="K261" s="4" t="n">
        <x:v>190</x:v>
      </x:c>
      <x:c r="L261" s="4" t="n">
        <x:v>329</x:v>
      </x:c>
      <x:c r="M261" s="4" t="n">
        <x:v>128</x:v>
      </x:c>
      <x:c r="N261" s="4" t="n">
        <x:v>244</x:v>
      </x:c>
      <x:c r="O261" s="4" t="n">
        <x:v>62</x:v>
      </x:c>
      <x:c r="P261" s="1" t="str">
        <x:v>FAIL</x:v>
      </x:c>
      <x:c r="Q261" s="4" t="n">
        <x:v>4</x:v>
      </x:c>
      <x:c r="R261" s="1" t="str">
        <x:v>FAIL</x:v>
      </x:c>
      <x:c r="S261" s="4" t="n">
        <x:v>4</x:v>
      </x:c>
      <x:c r="T261" s="1" t="str">
        <x:v>INCONCLUSIVE</x:v>
      </x:c>
      <x:c r="U261" s="1" t="str">
        <x:v>Collections_3</x:v>
      </x:c>
      <x:c r="V261" s="6" t="n">
        <x:v>29.85</x:v>
      </x:c>
    </x:row>
    <x:row r="262" ht="22" customHeight="1">
      <x:c r="A262" s="1" t="str">
        <x:v>Round1</x:v>
      </x:c>
      <x:c r="B262" s="1" t="str">
        <x:v>Collections</x:v>
      </x:c>
      <x:c r="C262" s="4" t="n">
        <x:v>4</x:v>
      </x:c>
      <x:c r="D262" s="4" t="n">
        <x:v>0</x:v>
      </x:c>
      <x:c r="E262" s="4" t="n">
        <x:v>60</x:v>
      </x:c>
      <x:c r="F262" s="4" t="n">
        <x:v>16</x:v>
      </x:c>
      <x:c r="G262" s="5" t="n">
        <x:v>0.327</x:v>
      </x:c>
      <x:c r="H262" s="5" t="n">
        <x:v>0.36939999999999995</x:v>
      </x:c>
      <x:c r="I262" s="5" t="n">
        <x:v>0.22920000000000001</x:v>
      </x:c>
      <x:c r="J262" s="4" t="n">
        <x:v>159</x:v>
      </x:c>
      <x:c r="K262" s="4" t="n">
        <x:v>52</x:v>
      </x:c>
      <x:c r="L262" s="4" t="n">
        <x:v>111</x:v>
      </x:c>
      <x:c r="M262" s="4" t="n">
        <x:v>41</x:v>
      </x:c>
      <x:c r="N262" s="4" t="n">
        <x:v>48</x:v>
      </x:c>
      <x:c r="O262" s="4" t="n">
        <x:v>11</x:v>
      </x:c>
      <x:c r="P262" s="1" t="str">
        <x:v>PASS</x:v>
      </x:c>
      <x:c r="Q262" s="4" t="n">
        <x:v>0</x:v>
      </x:c>
      <x:c r="R262" s="1" t="str">
        <x:v>PASS</x:v>
      </x:c>
      <x:c r="S262" s="4" t="n">
        <x:v>0</x:v>
      </x:c>
      <x:c r="T262" s="1" t="str">
        <x:v>NOT_REVEALING</x:v>
      </x:c>
      <x:c r="U262" s="1" t="str">
        <x:v>Collections_4</x:v>
      </x:c>
      <x:c r="V262" s="6" t="n">
        <x:v>28.87</x:v>
      </x:c>
    </x:row>
    <x:row r="263" ht="22" customHeight="1">
      <x:c r="A263" s="1" t="str">
        <x:v>Round1</x:v>
      </x:c>
      <x:c r="B263" s="1" t="str">
        <x:v>Collections</x:v>
      </x:c>
      <x:c r="C263" s="4" t="n">
        <x:v>5</x:v>
      </x:c>
      <x:c r="D263" s="4" t="n">
        <x:v>0</x:v>
      </x:c>
      <x:c r="E263" s="4" t="n">
        <x:v>60</x:v>
      </x:c>
      <x:c r="F263" s="4" t="n">
        <x:v>5</x:v>
      </x:c>
      <x:c r="G263" s="5" t="n">
        <x:v>0.0588</x:v>
      </x:c>
      <x:c r="H263" s="5" t="n">
        <x:v>0.061</x:v>
      </x:c>
      <x:c r="I263" s="5" t="n">
        <x:v>0.05</x:v>
      </x:c>
      <x:c r="J263" s="4" t="n">
        <x:v>102</x:v>
      </x:c>
      <x:c r="K263" s="4" t="n">
        <x:v>6</x:v>
      </x:c>
      <x:c r="L263" s="4" t="n">
        <x:v>82</x:v>
      </x:c>
      <x:c r="M263" s="4" t="n">
        <x:v>5</x:v>
      </x:c>
      <x:c r="N263" s="4" t="n">
        <x:v>20</x:v>
      </x:c>
      <x:c r="O263" s="4" t="n">
        <x:v>1</x:v>
      </x:c>
      <x:c r="P263" s="1" t="str">
        <x:v>PASS</x:v>
      </x:c>
      <x:c r="Q263" s="4" t="n">
        <x:v>0</x:v>
      </x:c>
      <x:c r="R263" s="1" t="str">
        <x:v>PASS</x:v>
      </x:c>
      <x:c r="S263" s="4" t="n">
        <x:v>0</x:v>
      </x:c>
      <x:c r="T263" s="1" t="str">
        <x:v>NOT_REVEALING</x:v>
      </x:c>
      <x:c r="U263" s="1" t="str">
        <x:v>Collections_5</x:v>
      </x:c>
      <x:c r="V263" s="6" t="n">
        <x:v>28.29</x:v>
      </x:c>
    </x:row>
    <x:row r="264" ht="22" customHeight="1">
      <x:c r="A264" s="1" t="str">
        <x:v>Round1</x:v>
      </x:c>
      <x:c r="B264" s="1" t="str">
        <x:v>Collections</x:v>
      </x:c>
      <x:c r="C264" s="4" t="n">
        <x:v>6</x:v>
      </x:c>
      <x:c r="D264" s="4" t="n">
        <x:v>0</x:v>
      </x:c>
      <x:c r="E264" s="4" t="n">
        <x:v>60</x:v>
      </x:c>
      <x:c r="F264" s="4" t="n">
        <x:v>15</x:v>
      </x:c>
      <x:c r="G264" s="5" t="n">
        <x:v>0.0941</x:v>
      </x:c>
      <x:c r="H264" s="5" t="n">
        <x:v>0.1253</x:v>
      </x:c>
      <x:c r="I264" s="5" t="n">
        <x:v>0.053200000000000004</x:v>
      </x:c>
      <x:c r="J264" s="4" t="n">
        <x:v>871</x:v>
      </x:c>
      <x:c r="K264" s="4" t="n">
        <x:v>82</x:v>
      </x:c>
      <x:c r="L264" s="4" t="n">
        <x:v>495</x:v>
      </x:c>
      <x:c r="M264" s="4" t="n">
        <x:v>62</x:v>
      </x:c>
      <x:c r="N264" s="4" t="n">
        <x:v>376</x:v>
      </x:c>
      <x:c r="O264" s="4" t="n">
        <x:v>20</x:v>
      </x:c>
      <x:c r="P264" s="1" t="str">
        <x:v>FAIL</x:v>
      </x:c>
      <x:c r="Q264" s="4" t="n">
        <x:v>10</x:v>
      </x:c>
      <x:c r="R264" s="1" t="str">
        <x:v>FAIL</x:v>
      </x:c>
      <x:c r="S264" s="4" t="n">
        <x:v>10</x:v>
      </x:c>
      <x:c r="T264" s="1" t="str">
        <x:v>INCONCLUSIVE</x:v>
      </x:c>
      <x:c r="U264" s="1" t="str">
        <x:v>Collections_6</x:v>
      </x:c>
      <x:c r="V264" s="6" t="n">
        <x:v>29.81</x:v>
      </x:c>
    </x:row>
    <x:row r="265" ht="22" customHeight="1">
      <x:c r="A265" s="1" t="str">
        <x:v>Round1</x:v>
      </x:c>
      <x:c r="B265" s="1" t="str">
        <x:v>Collections</x:v>
      </x:c>
      <x:c r="C265" s="4" t="n">
        <x:v>7</x:v>
      </x:c>
      <x:c r="D265" s="4" t="n">
        <x:v>0</x:v>
      </x:c>
      <x:c r="E265" s="4" t="n">
        <x:v>60</x:v>
      </x:c>
      <x:c r="F265" s="4" t="n">
        <x:v>321</x:v>
      </x:c>
      <x:c r="G265" s="5" t="n">
        <x:v>0.4443</x:v>
      </x:c>
      <x:c r="H265" s="5" t="n">
        <x:v>0.4783</x:v>
      </x:c>
      <x:c r="I265" s="5" t="n">
        <x:v>0.3857</x:v>
      </x:c>
      <x:c r="J265" s="4" t="n">
        <x:v>763</x:v>
      </x:c>
      <x:c r="K265" s="4" t="n">
        <x:v>339</x:v>
      </x:c>
      <x:c r="L265" s="4" t="n">
        <x:v>483</x:v>
      </x:c>
      <x:c r="M265" s="4" t="n">
        <x:v>231</x:v>
      </x:c>
      <x:c r="N265" s="4" t="n">
        <x:v>280</x:v>
      </x:c>
      <x:c r="O265" s="4" t="n">
        <x:v>108</x:v>
      </x:c>
      <x:c r="P265" s="1" t="str">
        <x:v>PASS</x:v>
      </x:c>
      <x:c r="Q265" s="4" t="n">
        <x:v>0</x:v>
      </x:c>
      <x:c r="R265" s="1" t="str">
        <x:v>PASS</x:v>
      </x:c>
      <x:c r="S265" s="4" t="n">
        <x:v>0</x:v>
      </x:c>
      <x:c r="T265" s="1" t="str">
        <x:v>NOT_REVEALING</x:v>
      </x:c>
      <x:c r="U265" s="1" t="str">
        <x:v>Collections_7</x:v>
      </x:c>
      <x:c r="V265" s="6" t="n">
        <x:v>33.01</x:v>
      </x:c>
    </x:row>
    <x:row r="266" ht="22" customHeight="1">
      <x:c r="A266" s="1" t="str">
        <x:v>Round1</x:v>
      </x:c>
      <x:c r="B266" s="1" t="str">
        <x:v>Collections</x:v>
      </x:c>
      <x:c r="C266" s="4" t="n">
        <x:v>8</x:v>
      </x:c>
      <x:c r="D266" s="4" t="n">
        <x:v>0</x:v>
      </x:c>
      <x:c r="E266" s="4" t="n">
        <x:v>60</x:v>
      </x:c>
      <x:c r="F266" s="4" t="n">
        <x:v>149</x:v>
      </x:c>
      <x:c r="G266" s="5" t="n">
        <x:v>0.629</x:v>
      </x:c>
      <x:c r="H266" s="5" t="n">
        <x:v>0.625</x:v>
      </x:c>
      <x:c r="I266" s="5" t="n">
        <x:v>0.6389</x:v>
      </x:c>
      <x:c r="J266" s="4" t="n">
        <x:v>124</x:v>
      </x:c>
      <x:c r="K266" s="4" t="n">
        <x:v>78</x:v>
      </x:c>
      <x:c r="L266" s="4" t="n">
        <x:v>88</x:v>
      </x:c>
      <x:c r="M266" s="4" t="n">
        <x:v>55</x:v>
      </x:c>
      <x:c r="N266" s="4" t="n">
        <x:v>36</x:v>
      </x:c>
      <x:c r="O266" s="4" t="n">
        <x:v>23</x:v>
      </x:c>
      <x:c r="P266" s="1" t="str">
        <x:v>PASS</x:v>
      </x:c>
      <x:c r="Q266" s="4" t="n">
        <x:v>0</x:v>
      </x:c>
      <x:c r="R266" s="1" t="str">
        <x:v>PASS</x:v>
      </x:c>
      <x:c r="S266" s="4" t="n">
        <x:v>0</x:v>
      </x:c>
      <x:c r="T266" s="1" t="str">
        <x:v>NOT_REVEALING</x:v>
      </x:c>
      <x:c r="U266" s="1" t="str">
        <x:v>Collections_8</x:v>
      </x:c>
      <x:c r="V266" s="6" t="n">
        <x:v>32.12</x:v>
      </x:c>
    </x:row>
    <x:row r="267" ht="22" customHeight="1">
      <x:c r="A267" s="1" t="str">
        <x:v>Round1</x:v>
      </x:c>
      <x:c r="B267" s="1" t="str">
        <x:v>Collections</x:v>
      </x:c>
      <x:c r="C267" s="4" t="n">
        <x:v>9</x:v>
      </x:c>
      <x:c r="D267" s="4" t="n">
        <x:v>0</x:v>
      </x:c>
      <x:c r="E267" s="4" t="n">
        <x:v>60</x:v>
      </x:c>
      <x:c r="F267" s="4" t="n">
        <x:v>386</x:v>
      </x:c>
      <x:c r="G267" s="5" t="n">
        <x:v>0.5318</x:v>
      </x:c>
      <x:c r="H267" s="5" t="n">
        <x:v>0.5661999999999999</x:v>
      </x:c>
      <x:c r="I267" s="5" t="n">
        <x:v>0.4714</x:v>
      </x:c>
      <x:c r="J267" s="4" t="n">
        <x:v>771</x:v>
      </x:c>
      <x:c r="K267" s="4" t="n">
        <x:v>410</x:v>
      </x:c>
      <x:c r="L267" s="4" t="n">
        <x:v>491</x:v>
      </x:c>
      <x:c r="M267" s="4" t="n">
        <x:v>278</x:v>
      </x:c>
      <x:c r="N267" s="4" t="n">
        <x:v>280</x:v>
      </x:c>
      <x:c r="O267" s="4" t="n">
        <x:v>132</x:v>
      </x:c>
      <x:c r="P267" s="1" t="str">
        <x:v>PASS</x:v>
      </x:c>
      <x:c r="Q267" s="4" t="n">
        <x:v>0</x:v>
      </x:c>
      <x:c r="R267" s="1" t="str">
        <x:v>PASS</x:v>
      </x:c>
      <x:c r="S267" s="4" t="n">
        <x:v>0</x:v>
      </x:c>
      <x:c r="T267" s="1" t="str">
        <x:v>NOT_REVEALING</x:v>
      </x:c>
      <x:c r="U267" s="1" t="str">
        <x:v>Collections_9</x:v>
      </x:c>
      <x:c r="V267" s="6" t="n">
        <x:v>33.15</x:v>
      </x:c>
    </x:row>
    <x:row r="268" ht="22" customHeight="1">
      <x:c r="A268" s="1" t="str">
        <x:v>Round1</x:v>
      </x:c>
      <x:c r="B268" s="1" t="str">
        <x:v>Collections</x:v>
      </x:c>
      <x:c r="C268" s="4" t="n">
        <x:v>10</x:v>
      </x:c>
      <x:c r="D268" s="4" t="n">
        <x:v>0</x:v>
      </x:c>
      <x:c r="E268" s="4" t="n">
        <x:v>60</x:v>
      </x:c>
      <x:c r="F268" s="4" t="n">
        <x:v>17</x:v>
      </x:c>
      <x:c r="G268" s="5" t="n">
        <x:v>0.31739999999999996</x:v>
      </x:c>
      <x:c r="H268" s="5" t="n">
        <x:v>0.3529</x:v>
      </x:c>
      <x:c r="I268" s="5" t="n">
        <x:v>0.22920000000000001</x:v>
      </x:c>
      <x:c r="J268" s="4" t="n">
        <x:v>167</x:v>
      </x:c>
      <x:c r="K268" s="4" t="n">
        <x:v>53</x:v>
      </x:c>
      <x:c r="L268" s="4" t="n">
        <x:v>119</x:v>
      </x:c>
      <x:c r="M268" s="4" t="n">
        <x:v>42</x:v>
      </x:c>
      <x:c r="N268" s="4" t="n">
        <x:v>48</x:v>
      </x:c>
      <x:c r="O268" s="4" t="n">
        <x:v>11</x:v>
      </x:c>
      <x:c r="P268" s="1" t="str">
        <x:v>PASS</x:v>
      </x:c>
      <x:c r="Q268" s="4" t="n">
        <x:v>0</x:v>
      </x:c>
      <x:c r="R268" s="1" t="str">
        <x:v>PASS</x:v>
      </x:c>
      <x:c r="S268" s="4" t="n">
        <x:v>0</x:v>
      </x:c>
      <x:c r="T268" s="1" t="str">
        <x:v>NOT_REVEALING</x:v>
      </x:c>
      <x:c r="U268" s="1" t="str">
        <x:v>Collections_10</x:v>
      </x:c>
      <x:c r="V268" s="6" t="n">
        <x:v>27.73</x:v>
      </x:c>
    </x:row>
    <x:row r="269" ht="22" customHeight="1">
      <x:c r="A269" s="1" t="str">
        <x:v>Round1</x:v>
      </x:c>
      <x:c r="B269" s="1" t="str">
        <x:v>Collections</x:v>
      </x:c>
      <x:c r="C269" s="4" t="n">
        <x:v>11</x:v>
      </x:c>
      <x:c r="D269" s="4" t="n">
        <x:v>0</x:v>
      </x:c>
      <x:c r="E269" s="4" t="n">
        <x:v>60</x:v>
      </x:c>
      <x:c r="F269" s="4" t="n">
        <x:v>318</x:v>
      </x:c>
      <x:c r="G269" s="5" t="n">
        <x:v>0.9573999999999999</x:v>
      </x:c>
      <x:c r="H269" s="5" t="n">
        <x:v>0.9714</x:v>
      </x:c>
      <x:c r="I269" s="5" t="n">
        <x:v>0.9167000000000001</x:v>
      </x:c>
      <x:c r="J269" s="4" t="n">
        <x:v>47</x:v>
      </x:c>
      <x:c r="K269" s="4" t="n">
        <x:v>45</x:v>
      </x:c>
      <x:c r="L269" s="4" t="n">
        <x:v>35</x:v>
      </x:c>
      <x:c r="M269" s="4" t="n">
        <x:v>34</x:v>
      </x:c>
      <x:c r="N269" s="4" t="n">
        <x:v>12</x:v>
      </x:c>
      <x:c r="O269" s="4" t="n">
        <x:v>11</x:v>
      </x:c>
      <x:c r="P269" s="1" t="str">
        <x:v>PASS</x:v>
      </x:c>
      <x:c r="Q269" s="4" t="n">
        <x:v>0</x:v>
      </x:c>
      <x:c r="R269" s="1" t="str">
        <x:v>PASS</x:v>
      </x:c>
      <x:c r="S269" s="4" t="n">
        <x:v>0</x:v>
      </x:c>
      <x:c r="T269" s="1" t="str">
        <x:v>NOT_REVEALING</x:v>
      </x:c>
      <x:c r="U269" s="1" t="str">
        <x:v>Collections_11</x:v>
      </x:c>
      <x:c r="V269" s="6" t="n">
        <x:v>36.92</x:v>
      </x:c>
    </x:row>
    <x:row r="270" ht="22" customHeight="1">
      <x:c r="A270" s="1" t="str">
        <x:v>Round1</x:v>
      </x:c>
      <x:c r="B270" s="1" t="str">
        <x:v>Collections</x:v>
      </x:c>
      <x:c r="C270" s="4" t="n">
        <x:v>12</x:v>
      </x:c>
      <x:c r="D270" s="4" t="n">
        <x:v>0</x:v>
      </x:c>
      <x:c r="E270" s="4" t="n">
        <x:v>60</x:v>
      </x:c>
      <x:c r="F270" s="4" t="n">
        <x:v>367</x:v>
      </x:c>
      <x:c r="G270" s="5" t="n">
        <x:v>0.5346</x:v>
      </x:c>
      <x:c r="H270" s="5" t="n">
        <x:v>0.5685</x:v>
      </x:c>
      <x:c r="I270" s="5" t="n">
        <x:v>0.47479999999999994</x:v>
      </x:c>
      <x:c r="J270" s="4" t="n">
        <x:v>767</x:v>
      </x:c>
      <x:c r="K270" s="4" t="n">
        <x:v>410</x:v>
      </x:c>
      <x:c r="L270" s="4" t="n">
        <x:v>489</x:v>
      </x:c>
      <x:c r="M270" s="4" t="n">
        <x:v>278</x:v>
      </x:c>
      <x:c r="N270" s="4" t="n">
        <x:v>278</x:v>
      </x:c>
      <x:c r="O270" s="4" t="n">
        <x:v>132</x:v>
      </x:c>
      <x:c r="P270" s="1" t="str">
        <x:v>PASS</x:v>
      </x:c>
      <x:c r="Q270" s="4" t="n">
        <x:v>0</x:v>
      </x:c>
      <x:c r="R270" s="1" t="str">
        <x:v>PASS</x:v>
      </x:c>
      <x:c r="S270" s="4" t="n">
        <x:v>0</x:v>
      </x:c>
      <x:c r="T270" s="1" t="str">
        <x:v>NOT_REVEALING</x:v>
      </x:c>
      <x:c r="U270" s="1" t="str">
        <x:v>Collections_12</x:v>
      </x:c>
      <x:c r="V270" s="6" t="n">
        <x:v>33.7</x:v>
      </x:c>
    </x:row>
    <x:row r="271" ht="22" customHeight="1">
      <x:c r="A271" s="1" t="str">
        <x:v>Round1</x:v>
      </x:c>
      <x:c r="B271" s="1" t="str">
        <x:v>Collections</x:v>
      </x:c>
      <x:c r="C271" s="4" t="n">
        <x:v>13</x:v>
      </x:c>
      <x:c r="D271" s="4" t="n">
        <x:v>0</x:v>
      </x:c>
      <x:c r="E271" s="4" t="n">
        <x:v>60</x:v>
      </x:c>
      <x:c r="F271" s="4" t="n">
        <x:v>356</x:v>
      </x:c>
      <x:c r="G271" s="5" t="n">
        <x:v>0.5352</x:v>
      </x:c>
      <x:c r="H271" s="5" t="n">
        <x:v>0.5694</x:v>
      </x:c>
      <x:c r="I271" s="5" t="n">
        <x:v>0.47479999999999994</x:v>
      </x:c>
      <x:c r="J271" s="4" t="n">
        <x:v>768</x:v>
      </x:c>
      <x:c r="K271" s="4" t="n">
        <x:v>411</x:v>
      </x:c>
      <x:c r="L271" s="4" t="n">
        <x:v>490</x:v>
      </x:c>
      <x:c r="M271" s="4" t="n">
        <x:v>279</x:v>
      </x:c>
      <x:c r="N271" s="4" t="n">
        <x:v>278</x:v>
      </x:c>
      <x:c r="O271" s="4" t="n">
        <x:v>132</x:v>
      </x:c>
      <x:c r="P271" s="1" t="str">
        <x:v>PASS</x:v>
      </x:c>
      <x:c r="Q271" s="4" t="n">
        <x:v>0</x:v>
      </x:c>
      <x:c r="R271" s="1" t="str">
        <x:v>PASS</x:v>
      </x:c>
      <x:c r="S271" s="4" t="n">
        <x:v>0</x:v>
      </x:c>
      <x:c r="T271" s="1" t="str">
        <x:v>NOT_REVEALING</x:v>
      </x:c>
      <x:c r="U271" s="1" t="str">
        <x:v>Collections_13</x:v>
      </x:c>
      <x:c r="V271" s="6" t="n">
        <x:v>34.25</x:v>
      </x:c>
    </x:row>
    <x:row r="272" ht="22" customHeight="1">
      <x:c r="A272" s="1" t="str">
        <x:v>Round1</x:v>
      </x:c>
      <x:c r="B272" s="1" t="str">
        <x:v>Collections</x:v>
      </x:c>
      <x:c r="C272" s="4" t="n">
        <x:v>14</x:v>
      </x:c>
      <x:c r="D272" s="4" t="n">
        <x:v>0</x:v>
      </x:c>
      <x:c r="E272" s="4" t="n">
        <x:v>60</x:v>
      </x:c>
      <x:c r="F272" s="4" t="n">
        <x:v>18</x:v>
      </x:c>
      <x:c r="G272" s="5" t="n">
        <x:v>0.5</x:v>
      </x:c>
      <x:c r="H272" s="5" t="n">
        <x:v>0.5</x:v>
      </x:c>
      <x:c r="I272" s="5" t="n">
        <x:v>0.5</x:v>
      </x:c>
      <x:c r="J272" s="4" t="n">
        <x:v>20</x:v>
      </x:c>
      <x:c r="K272" s="4" t="n">
        <x:v>10</x:v>
      </x:c>
      <x:c r="L272" s="4" t="n">
        <x:v>18</x:v>
      </x:c>
      <x:c r="M272" s="4" t="n">
        <x:v>9</x:v>
      </x:c>
      <x:c r="N272" s="4" t="n">
        <x:v>2</x:v>
      </x:c>
      <x:c r="O272" s="4" t="n">
        <x:v>1</x:v>
      </x:c>
      <x:c r="P272" s="1" t="str">
        <x:v>PASS</x:v>
      </x:c>
      <x:c r="Q272" s="4" t="n">
        <x:v>0</x:v>
      </x:c>
      <x:c r="R272" s="1" t="str">
        <x:v>PASS</x:v>
      </x:c>
      <x:c r="S272" s="4" t="n">
        <x:v>0</x:v>
      </x:c>
      <x:c r="T272" s="1" t="str">
        <x:v>NOT_REVEALING</x:v>
      </x:c>
      <x:c r="U272" s="1" t="str">
        <x:v>Collections_14</x:v>
      </x:c>
      <x:c r="V272" s="6" t="n">
        <x:v>26.4</x:v>
      </x:c>
    </x:row>
    <x:row r="273" ht="22" customHeight="1">
      <x:c r="A273" s="1" t="str">
        <x:v>Round1</x:v>
      </x:c>
      <x:c r="B273" s="1" t="str">
        <x:v>Collections</x:v>
      </x:c>
      <x:c r="C273" s="4" t="n">
        <x:v>15</x:v>
      </x:c>
      <x:c r="D273" s="4" t="n">
        <x:v>0</x:v>
      </x:c>
      <x:c r="E273" s="4" t="n">
        <x:v>60</x:v>
      </x:c>
      <x:c r="F273" s="4" t="n">
        <x:v>5</x:v>
      </x:c>
      <x:c r="G273" s="5" t="n">
        <x:v>0.0556</x:v>
      </x:c>
      <x:c r="H273" s="5" t="n">
        <x:v>0.0581</x:v>
      </x:c>
      <x:c r="I273" s="5" t="n">
        <x:v>0.0455</x:v>
      </x:c>
      <x:c r="J273" s="4" t="n">
        <x:v>108</x:v>
      </x:c>
      <x:c r="K273" s="4" t="n">
        <x:v>6</x:v>
      </x:c>
      <x:c r="L273" s="4" t="n">
        <x:v>86</x:v>
      </x:c>
      <x:c r="M273" s="4" t="n">
        <x:v>5</x:v>
      </x:c>
      <x:c r="N273" s="4" t="n">
        <x:v>22</x:v>
      </x:c>
      <x:c r="O273" s="4" t="n">
        <x:v>1</x:v>
      </x:c>
      <x:c r="P273" s="1" t="str">
        <x:v>PASS</x:v>
      </x:c>
      <x:c r="Q273" s="4" t="n">
        <x:v>0</x:v>
      </x:c>
      <x:c r="R273" s="1" t="str">
        <x:v>PASS</x:v>
      </x:c>
      <x:c r="S273" s="4" t="n">
        <x:v>0</x:v>
      </x:c>
      <x:c r="T273" s="1" t="str">
        <x:v>NOT_REVEALING</x:v>
      </x:c>
      <x:c r="U273" s="1" t="str">
        <x:v>Collections_15</x:v>
      </x:c>
      <x:c r="V273" s="6" t="n">
        <x:v>25.65</x:v>
      </x:c>
    </x:row>
    <x:row r="274" ht="22" customHeight="1">
      <x:c r="A274" s="1" t="str">
        <x:v>Round1</x:v>
      </x:c>
      <x:c r="B274" s="1" t="str">
        <x:v>Collections</x:v>
      </x:c>
      <x:c r="C274" s="4" t="n">
        <x:v>16</x:v>
      </x:c>
      <x:c r="D274" s="4" t="n">
        <x:v>0</x:v>
      </x:c>
      <x:c r="E274" s="4" t="n">
        <x:v>60</x:v>
      </x:c>
      <x:c r="F274" s="4" t="n">
        <x:v>5</x:v>
      </x:c>
      <x:c r="G274" s="5" t="n">
        <x:v>0.0556</x:v>
      </x:c>
      <x:c r="H274" s="5" t="n">
        <x:v>0.0581</x:v>
      </x:c>
      <x:c r="I274" s="5" t="n">
        <x:v>0.0455</x:v>
      </x:c>
      <x:c r="J274" s="4" t="n">
        <x:v>108</x:v>
      </x:c>
      <x:c r="K274" s="4" t="n">
        <x:v>6</x:v>
      </x:c>
      <x:c r="L274" s="4" t="n">
        <x:v>86</x:v>
      </x:c>
      <x:c r="M274" s="4" t="n">
        <x:v>5</x:v>
      </x:c>
      <x:c r="N274" s="4" t="n">
        <x:v>22</x:v>
      </x:c>
      <x:c r="O274" s="4" t="n">
        <x:v>1</x:v>
      </x:c>
      <x:c r="P274" s="1" t="str">
        <x:v>PASS</x:v>
      </x:c>
      <x:c r="Q274" s="4" t="n">
        <x:v>0</x:v>
      </x:c>
      <x:c r="R274" s="1" t="str">
        <x:v>PASS</x:v>
      </x:c>
      <x:c r="S274" s="4" t="n">
        <x:v>0</x:v>
      </x:c>
      <x:c r="T274" s="1" t="str">
        <x:v>NOT_REVEALING</x:v>
      </x:c>
      <x:c r="U274" s="1" t="str">
        <x:v>Collections_16</x:v>
      </x:c>
      <x:c r="V274" s="6" t="n">
        <x:v>25.55</x:v>
      </x:c>
    </x:row>
    <x:row r="275" ht="22" customHeight="1">
      <x:c r="A275" s="1" t="str">
        <x:v>Round1</x:v>
      </x:c>
      <x:c r="B275" s="1" t="str">
        <x:v>Collections</x:v>
      </x:c>
      <x:c r="C275" s="4" t="n">
        <x:v>17</x:v>
      </x:c>
      <x:c r="D275" s="4" t="n">
        <x:v>0</x:v>
      </x:c>
      <x:c r="E275" s="4" t="n">
        <x:v>60</x:v>
      </x:c>
      <x:c r="F275" s="4" t="n">
        <x:v>23</x:v>
      </x:c>
      <x:c r="G275" s="5" t="n">
        <x:v>0.6111</x:v>
      </x:c>
      <x:c r="H275" s="5" t="n">
        <x:v>0.7143</x:v>
      </x:c>
      <x:c r="I275" s="5" t="n">
        <x:v>0.25</x:v>
      </x:c>
      <x:c r="J275" s="4" t="n">
        <x:v>18</x:v>
      </x:c>
      <x:c r="K275" s="4" t="n">
        <x:v>11</x:v>
      </x:c>
      <x:c r="L275" s="4" t="n">
        <x:v>14</x:v>
      </x:c>
      <x:c r="M275" s="4" t="n">
        <x:v>10</x:v>
      </x:c>
      <x:c r="N275" s="4" t="n">
        <x:v>4</x:v>
      </x:c>
      <x:c r="O275" s="4" t="n">
        <x:v>1</x:v>
      </x:c>
      <x:c r="P275" s="1" t="str">
        <x:v>PASS</x:v>
      </x:c>
      <x:c r="Q275" s="4" t="n">
        <x:v>0</x:v>
      </x:c>
      <x:c r="R275" s="1" t="str">
        <x:v>FAIL</x:v>
      </x:c>
      <x:c r="S275" s="4" t="n">
        <x:v>8</x:v>
      </x:c>
      <x:c r="T275" s="1" t="str">
        <x:v>INCONCLUSIVE</x:v>
      </x:c>
      <x:c r="U275" s="1" t="str">
        <x:v>Collections_17</x:v>
      </x:c>
      <x:c r="V275" s="6" t="n">
        <x:v>28.63</x:v>
      </x:c>
    </x:row>
    <x:row r="276" ht="22" customHeight="1">
      <x:c r="A276" s="1" t="str">
        <x:v>Round1</x:v>
      </x:c>
      <x:c r="B276" s="1" t="str">
        <x:v>Collections</x:v>
      </x:c>
      <x:c r="C276" s="4" t="n">
        <x:v>18</x:v>
      </x:c>
      <x:c r="D276" s="4" t="n">
        <x:v>0</x:v>
      </x:c>
      <x:c r="E276" s="4" t="n">
        <x:v>60</x:v>
      </x:c>
      <x:c r="F276" s="4" t="n">
        <x:v>35</x:v>
      </x:c>
      <x:c r="G276" s="5" t="n">
        <x:v>0.7209</x:v>
      </x:c>
      <x:c r="H276" s="5" t="n">
        <x:v>0.7634000000000001</x:v>
      </x:c>
      <x:c r="I276" s="5" t="n">
        <x:v>0.6111</x:v>
      </x:c>
      <x:c r="J276" s="4" t="n">
        <x:v>129</x:v>
      </x:c>
      <x:c r="K276" s="4" t="n">
        <x:v>93</x:v>
      </x:c>
      <x:c r="L276" s="4" t="n">
        <x:v>93</x:v>
      </x:c>
      <x:c r="M276" s="4" t="n">
        <x:v>71</x:v>
      </x:c>
      <x:c r="N276" s="4" t="n">
        <x:v>36</x:v>
      </x:c>
      <x:c r="O276" s="4" t="n">
        <x:v>22</x:v>
      </x:c>
      <x:c r="P276" s="1" t="str">
        <x:v>FAIL</x:v>
      </x:c>
      <x:c r="Q276" s="4" t="n">
        <x:v>2</x:v>
      </x:c>
      <x:c r="R276" s="1" t="str">
        <x:v>FAIL</x:v>
      </x:c>
      <x:c r="S276" s="4" t="n">
        <x:v>2</x:v>
      </x:c>
      <x:c r="T276" s="1" t="str">
        <x:v>INCONCLUSIVE</x:v>
      </x:c>
      <x:c r="U276" s="1" t="str">
        <x:v>Collections_18</x:v>
      </x:c>
      <x:c r="V276" s="6" t="n">
        <x:v>33.18</x:v>
      </x:c>
    </x:row>
    <x:row r="277" ht="22" customHeight="1">
      <x:c r="A277" s="1" t="str">
        <x:v>Round1</x:v>
      </x:c>
      <x:c r="B277" s="1" t="str">
        <x:v>Collections</x:v>
      </x:c>
      <x:c r="C277" s="4" t="n">
        <x:v>19</x:v>
      </x:c>
      <x:c r="D277" s="4" t="n">
        <x:v>0</x:v>
      </x:c>
      <x:c r="E277" s="4" t="n">
        <x:v>60</x:v>
      </x:c>
      <x:c r="F277" s="4" t="n">
        <x:v>32</x:v>
      </x:c>
      <x:c r="G277" s="5" t="n">
        <x:v>0.5374</x:v>
      </x:c>
      <x:c r="H277" s="5" t="n">
        <x:v>0.5688</x:v>
      </x:c>
      <x:c r="I277" s="5" t="n">
        <x:v>0.4474</x:v>
      </x:c>
      <x:c r="J277" s="4" t="n">
        <x:v>147</x:v>
      </x:c>
      <x:c r="K277" s="4" t="n">
        <x:v>79</x:v>
      </x:c>
      <x:c r="L277" s="4" t="n">
        <x:v>109</x:v>
      </x:c>
      <x:c r="M277" s="4" t="n">
        <x:v>62</x:v>
      </x:c>
      <x:c r="N277" s="4" t="n">
        <x:v>38</x:v>
      </x:c>
      <x:c r="O277" s="4" t="n">
        <x:v>17</x:v>
      </x:c>
      <x:c r="P277" s="1" t="str">
        <x:v>PASS</x:v>
      </x:c>
      <x:c r="Q277" s="4" t="n">
        <x:v>0</x:v>
      </x:c>
      <x:c r="R277" s="1" t="str">
        <x:v>PASS</x:v>
      </x:c>
      <x:c r="S277" s="4" t="n">
        <x:v>0</x:v>
      </x:c>
      <x:c r="T277" s="1" t="str">
        <x:v>NOT_REVEALING</x:v>
      </x:c>
      <x:c r="U277" s="1" t="str">
        <x:v>Collections_19</x:v>
      </x:c>
      <x:c r="V277" s="6" t="n">
        <x:v>33.65</x:v>
      </x:c>
    </x:row>
    <x:row r="278" ht="22" customHeight="1">
      <x:c r="A278" s="1" t="str">
        <x:v>Round1</x:v>
      </x:c>
      <x:c r="B278" s="1" t="str">
        <x:v>Collections</x:v>
      </x:c>
      <x:c r="C278" s="4" t="n">
        <x:v>20</x:v>
      </x:c>
      <x:c r="D278" s="4" t="n">
        <x:v>0</x:v>
      </x:c>
      <x:c r="E278" s="4" t="n">
        <x:v>60</x:v>
      </x:c>
      <x:c r="F278" s="4" t="n">
        <x:v>33</x:v>
      </x:c>
      <x:c r="G278" s="5" t="n">
        <x:v>0.4251</x:v>
      </x:c>
      <x:c r="H278" s="5" t="n">
        <x:v>0.4642</x:v>
      </x:c>
      <x:c r="I278" s="5" t="n">
        <x:v>0.3506</x:v>
      </x:c>
      <x:c r="J278" s="4" t="n">
        <x:v>447</x:v>
      </x:c>
      <x:c r="K278" s="4" t="n">
        <x:v>190</x:v>
      </x:c>
      <x:c r="L278" s="4" t="n">
        <x:v>293</x:v>
      </x:c>
      <x:c r="M278" s="4" t="n">
        <x:v>136</x:v>
      </x:c>
      <x:c r="N278" s="4" t="n">
        <x:v>154</x:v>
      </x:c>
      <x:c r="O278" s="4" t="n">
        <x:v>54</x:v>
      </x:c>
      <x:c r="P278" s="1" t="str">
        <x:v>PASS</x:v>
      </x:c>
      <x:c r="Q278" s="4" t="n">
        <x:v>0</x:v>
      </x:c>
      <x:c r="R278" s="1" t="str">
        <x:v>PASS</x:v>
      </x:c>
      <x:c r="S278" s="4" t="n">
        <x:v>0</x:v>
      </x:c>
      <x:c r="T278" s="1" t="str">
        <x:v>NOT_REVEALING</x:v>
      </x:c>
      <x:c r="U278" s="1" t="str">
        <x:v>Collections_20</x:v>
      </x:c>
      <x:c r="V278" s="6" t="n">
        <x:v>32.28</x:v>
      </x:c>
    </x:row>
    <x:row r="279" ht="22" customHeight="1">
      <x:c r="A279" s="1" t="str">
        <x:v>Round1</x:v>
      </x:c>
      <x:c r="B279" s="1" t="str">
        <x:v>Collections</x:v>
      </x:c>
      <x:c r="C279" s="4" t="n">
        <x:v>21</x:v>
      </x:c>
      <x:c r="D279" s="4" t="n">
        <x:v>0</x:v>
      </x:c>
      <x:c r="E279" s="4" t="n">
        <x:v>60</x:v>
      </x:c>
      <x:c r="F279" s="4" t="n">
        <x:v>31</x:v>
      </x:c>
      <x:c r="G279" s="5" t="n">
        <x:v>0.5374</x:v>
      </x:c>
      <x:c r="H279" s="5" t="n">
        <x:v>0.5688</x:v>
      </x:c>
      <x:c r="I279" s="5" t="n">
        <x:v>0.4474</x:v>
      </x:c>
      <x:c r="J279" s="4" t="n">
        <x:v>147</x:v>
      </x:c>
      <x:c r="K279" s="4" t="n">
        <x:v>79</x:v>
      </x:c>
      <x:c r="L279" s="4" t="n">
        <x:v>109</x:v>
      </x:c>
      <x:c r="M279" s="4" t="n">
        <x:v>62</x:v>
      </x:c>
      <x:c r="N279" s="4" t="n">
        <x:v>38</x:v>
      </x:c>
      <x:c r="O279" s="4" t="n">
        <x:v>17</x:v>
      </x:c>
      <x:c r="P279" s="1" t="str">
        <x:v>PASS</x:v>
      </x:c>
      <x:c r="Q279" s="4" t="n">
        <x:v>0</x:v>
      </x:c>
      <x:c r="R279" s="1" t="str">
        <x:v>PASS</x:v>
      </x:c>
      <x:c r="S279" s="4" t="n">
        <x:v>0</x:v>
      </x:c>
      <x:c r="T279" s="1" t="str">
        <x:v>NOT_REVEALING</x:v>
      </x:c>
      <x:c r="U279" s="1" t="str">
        <x:v>Collections_21</x:v>
      </x:c>
      <x:c r="V279" s="6" t="n">
        <x:v>35.14</x:v>
      </x:c>
    </x:row>
    <x:row r="280" ht="22" customHeight="1">
      <x:c r="A280" s="1" t="str">
        <x:v>Round1</x:v>
      </x:c>
      <x:c r="B280" s="1" t="str">
        <x:v>Collections</x:v>
      </x:c>
      <x:c r="C280" s="4" t="n">
        <x:v>22</x:v>
      </x:c>
      <x:c r="D280" s="4" t="n">
        <x:v>0</x:v>
      </x:c>
      <x:c r="E280" s="4" t="n">
        <x:v>60</x:v>
      </x:c>
      <x:c r="F280" s="4" t="n">
        <x:v>22</x:v>
      </x:c>
      <x:c r="G280" s="5" t="n">
        <x:v>0.2389</x:v>
      </x:c>
      <x:c r="H280" s="5" t="n">
        <x:v>0.2872</x:v>
      </x:c>
      <x:c r="I280" s="5" t="n">
        <x:v>0.057699999999999994</x:v>
      </x:c>
      <x:c r="J280" s="4" t="n">
        <x:v>247</x:v>
      </x:c>
      <x:c r="K280" s="4" t="n">
        <x:v>59</x:v>
      </x:c>
      <x:c r="L280" s="4" t="n">
        <x:v>195</x:v>
      </x:c>
      <x:c r="M280" s="4" t="n">
        <x:v>56</x:v>
      </x:c>
      <x:c r="N280" s="4" t="n">
        <x:v>52</x:v>
      </x:c>
      <x:c r="O280" s="4" t="n">
        <x:v>3</x:v>
      </x:c>
      <x:c r="P280" s="1" t="str">
        <x:v>FAIL</x:v>
      </x:c>
      <x:c r="Q280" s="4" t="n">
        <x:v>4</x:v>
      </x:c>
      <x:c r="R280" s="1" t="str">
        <x:v>FAIL</x:v>
      </x:c>
      <x:c r="S280" s="4" t="n">
        <x:v>4</x:v>
      </x:c>
      <x:c r="T280" s="1" t="str">
        <x:v>INCONCLUSIVE</x:v>
      </x:c>
      <x:c r="U280" s="1" t="str">
        <x:v>Collections_22</x:v>
      </x:c>
      <x:c r="V280" s="6" t="n">
        <x:v>29.3</x:v>
      </x:c>
    </x:row>
    <x:row r="281" ht="22" customHeight="1">
      <x:c r="A281" s="1" t="str">
        <x:v>Round1</x:v>
      </x:c>
      <x:c r="B281" s="1" t="str">
        <x:v>Collections</x:v>
      </x:c>
      <x:c r="C281" s="4" t="n">
        <x:v>23</x:v>
      </x:c>
      <x:c r="D281" s="4" t="n">
        <x:v>0</x:v>
      </x:c>
      <x:c r="E281" s="4" t="n">
        <x:v>60</x:v>
      </x:c>
      <x:c r="F281" s="4" t="n">
        <x:v>1</x:v>
      </x:c>
      <x:c r="G281" s="5" t="n">
        <x:v>0</x:v>
      </x:c>
      <x:c r="H281" s="5" t="n">
        <x:v>0</x:v>
      </x:c>
      <x:c r="I281" s="5" t="n">
        <x:v>0</x:v>
      </x:c>
      <x:c r="J281" s="4" t="n">
        <x:v>36</x:v>
      </x:c>
      <x:c r="K281" s="4" t="n">
        <x:v>0</x:v>
      </x:c>
      <x:c r="L281" s="4" t="n">
        <x:v>34</x:v>
      </x:c>
      <x:c r="M281" s="4" t="n">
        <x:v>0</x:v>
      </x:c>
      <x:c r="N281" s="4" t="n">
        <x:v>2</x:v>
      </x:c>
      <x:c r="O281" s="4" t="n">
        <x:v>0</x:v>
      </x:c>
      <x:c r="P281" s="1" t="str">
        <x:v>PASS</x:v>
      </x:c>
      <x:c r="Q281" s="4" t="n">
        <x:v>0</x:v>
      </x:c>
      <x:c r="R281" s="1" t="str">
        <x:v>PASS</x:v>
      </x:c>
      <x:c r="S281" s="4" t="n">
        <x:v>0</x:v>
      </x:c>
      <x:c r="T281" s="1" t="str">
        <x:v>NOT_REVEALING</x:v>
      </x:c>
      <x:c r="U281" s="1" t="str">
        <x:v>Collections_23</x:v>
      </x:c>
      <x:c r="V281" s="6" t="n">
        <x:v>27.54</x:v>
      </x:c>
    </x:row>
    <x:row r="282" ht="22" customHeight="1">
      <x:c r="A282" s="1" t="str">
        <x:v>Round1</x:v>
      </x:c>
      <x:c r="B282" s="1" t="str">
        <x:v>Collections</x:v>
      </x:c>
      <x:c r="C282" s="4" t="n">
        <x:v>24</x:v>
      </x:c>
      <x:c r="D282" s="4" t="n">
        <x:v>0</x:v>
      </x:c>
      <x:c r="E282" s="4" t="n">
        <x:v>60</x:v>
      </x:c>
      <x:c r="F282" s="4" t="n">
        <x:v>1</x:v>
      </x:c>
      <x:c r="G282" s="5" t="n">
        <x:v>0</x:v>
      </x:c>
      <x:c r="H282" s="5" t="n">
        <x:v>0</x:v>
      </x:c>
      <x:c r="I282" s="5" t="n">
        <x:v>0</x:v>
      </x:c>
      <x:c r="J282" s="4" t="n">
        <x:v>38</x:v>
      </x:c>
      <x:c r="K282" s="4" t="n">
        <x:v>0</x:v>
      </x:c>
      <x:c r="L282" s="4" t="n">
        <x:v>26</x:v>
      </x:c>
      <x:c r="M282" s="4" t="n">
        <x:v>0</x:v>
      </x:c>
      <x:c r="N282" s="4" t="n">
        <x:v>12</x:v>
      </x:c>
      <x:c r="O282" s="4" t="n">
        <x:v>0</x:v>
      </x:c>
      <x:c r="P282" s="1" t="str">
        <x:v>PASS</x:v>
      </x:c>
      <x:c r="Q282" s="4" t="n">
        <x:v>0</x:v>
      </x:c>
      <x:c r="R282" s="1" t="str">
        <x:v>PASS</x:v>
      </x:c>
      <x:c r="S282" s="4" t="n">
        <x:v>0</x:v>
      </x:c>
      <x:c r="T282" s="1" t="str">
        <x:v>NOT_REVEALING</x:v>
      </x:c>
      <x:c r="U282" s="1" t="str">
        <x:v>Collections_24</x:v>
      </x:c>
      <x:c r="V282" s="6" t="n">
        <x:v>25.82</x:v>
      </x:c>
    </x:row>
    <x:row r="283" ht="22" customHeight="1">
      <x:c r="A283" s="1" t="str">
        <x:v>Round1</x:v>
      </x:c>
      <x:c r="B283" s="1" t="str">
        <x:v>Collections</x:v>
      </x:c>
      <x:c r="C283" s="4" t="n">
        <x:v>25</x:v>
      </x:c>
      <x:c r="D283" s="4" t="n">
        <x:v>0</x:v>
      </x:c>
      <x:c r="E283" s="4" t="n">
        <x:v>60</x:v>
      </x:c>
      <x:c r="F283" s="4" t="n">
        <x:v>40</x:v>
      </x:c>
      <x:c r="G283" s="5" t="n">
        <x:v>0.16519999999999999</x:v>
      </x:c>
      <x:c r="H283" s="5" t="n">
        <x:v>0.2066</x:v>
      </x:c>
      <x:c r="I283" s="5" t="n">
        <x:v>0.09519999999999999</x:v>
      </x:c>
      <x:c r="J283" s="4" t="n">
        <x:v>339</x:v>
      </x:c>
      <x:c r="K283" s="4" t="n">
        <x:v>56</x:v>
      </x:c>
      <x:c r="L283" s="4" t="n">
        <x:v>213</x:v>
      </x:c>
      <x:c r="M283" s="4" t="n">
        <x:v>44</x:v>
      </x:c>
      <x:c r="N283" s="4" t="n">
        <x:v>126</x:v>
      </x:c>
      <x:c r="O283" s="4" t="n">
        <x:v>12</x:v>
      </x:c>
      <x:c r="P283" s="1" t="str">
        <x:v>PASS</x:v>
      </x:c>
      <x:c r="Q283" s="4" t="n">
        <x:v>0</x:v>
      </x:c>
      <x:c r="R283" s="1" t="str">
        <x:v>PASS</x:v>
      </x:c>
      <x:c r="S283" s="4" t="n">
        <x:v>0</x:v>
      </x:c>
      <x:c r="T283" s="1" t="str">
        <x:v>NOT_REVEALING</x:v>
      </x:c>
      <x:c r="U283" s="1" t="str">
        <x:v>Collections_25</x:v>
      </x:c>
      <x:c r="V283" s="6" t="n">
        <x:v>28.9</x:v>
      </x:c>
    </x:row>
    <x:row r="284" ht="22" customHeight="1">
      <x:c r="A284" s="1" t="str">
        <x:v>Round1</x:v>
      </x:c>
      <x:c r="B284" s="1" t="str">
        <x:v>Collections</x:v>
      </x:c>
      <x:c r="C284" s="4" t="n">
        <x:v>26</x:v>
      </x:c>
      <x:c r="D284" s="4" t="n">
        <x:v>0</x:v>
      </x:c>
      <x:c r="E284" s="4" t="n">
        <x:v>60</x:v>
      </x:c>
      <x:c r="F284" s="4" t="n">
        <x:v>355</x:v>
      </x:c>
      <x:c r="G284" s="5" t="n">
        <x:v>0.9184</x:v>
      </x:c>
      <x:c r="H284" s="5" t="n">
        <x:v>0.9189</x:v>
      </x:c>
      <x:c r="I284" s="5" t="n">
        <x:v>0.9167000000000001</x:v>
      </x:c>
      <x:c r="J284" s="4" t="n">
        <x:v>49</x:v>
      </x:c>
      <x:c r="K284" s="4" t="n">
        <x:v>45</x:v>
      </x:c>
      <x:c r="L284" s="4" t="n">
        <x:v>37</x:v>
      </x:c>
      <x:c r="M284" s="4" t="n">
        <x:v>34</x:v>
      </x:c>
      <x:c r="N284" s="4" t="n">
        <x:v>12</x:v>
      </x:c>
      <x:c r="O284" s="4" t="n">
        <x:v>11</x:v>
      </x:c>
      <x:c r="P284" s="1" t="str">
        <x:v>PASS</x:v>
      </x:c>
      <x:c r="Q284" s="4" t="n">
        <x:v>0</x:v>
      </x:c>
      <x:c r="R284" s="1" t="str">
        <x:v>PASS</x:v>
      </x:c>
      <x:c r="S284" s="4" t="n">
        <x:v>0</x:v>
      </x:c>
      <x:c r="T284" s="1" t="str">
        <x:v>NOT_REVEALING</x:v>
      </x:c>
      <x:c r="U284" s="1" t="str">
        <x:v>Collections_26</x:v>
      </x:c>
      <x:c r="V284" s="6" t="n">
        <x:v>38.96</x:v>
      </x:c>
    </x:row>
    <x:row r="285" ht="22" customHeight="1">
      <x:c r="A285" s="1" t="str">
        <x:v>Round1</x:v>
      </x:c>
      <x:c r="B285" s="1" t="str">
        <x:v>Collections</x:v>
      </x:c>
      <x:c r="C285" s="4" t="n">
        <x:v>27</x:v>
      </x:c>
      <x:c r="D285" s="4" t="n">
        <x:v>0</x:v>
      </x:c>
      <x:c r="E285" s="4" t="n">
        <x:v>60</x:v>
      </x:c>
      <x:c r="F285" s="4" t="n">
        <x:v>16</x:v>
      </x:c>
      <x:c r="G285" s="5" t="n">
        <x:v>0.3898</x:v>
      </x:c>
      <x:c r="H285" s="5" t="n">
        <x:v>0.4252</x:v>
      </x:c>
      <x:c r="I285" s="5" t="n">
        <x:v>0.3</x:v>
      </x:c>
      <x:c r="J285" s="4" t="n">
        <x:v>177</x:v>
      </x:c>
      <x:c r="K285" s="4" t="n">
        <x:v>69</x:v>
      </x:c>
      <x:c r="L285" s="4" t="n">
        <x:v>127</x:v>
      </x:c>
      <x:c r="M285" s="4" t="n">
        <x:v>54</x:v>
      </x:c>
      <x:c r="N285" s="4" t="n">
        <x:v>50</x:v>
      </x:c>
      <x:c r="O285" s="4" t="n">
        <x:v>15</x:v>
      </x:c>
      <x:c r="P285" s="1" t="str">
        <x:v>PASS</x:v>
      </x:c>
      <x:c r="Q285" s="4" t="n">
        <x:v>0</x:v>
      </x:c>
      <x:c r="R285" s="1" t="str">
        <x:v>PASS</x:v>
      </x:c>
      <x:c r="S285" s="4" t="n">
        <x:v>0</x:v>
      </x:c>
      <x:c r="T285" s="1" t="str">
        <x:v>NOT_REVEALING</x:v>
      </x:c>
      <x:c r="U285" s="1" t="str">
        <x:v>Collections_27</x:v>
      </x:c>
      <x:c r="V285" s="6" t="n">
        <x:v>33.19</x:v>
      </x:c>
    </x:row>
    <x:row r="286" ht="22" customHeight="1">
      <x:c r="A286" s="1" t="str">
        <x:v>Round1</x:v>
      </x:c>
      <x:c r="B286" s="1" t="str">
        <x:v>Collections</x:v>
      </x:c>
      <x:c r="C286" s="4" t="n">
        <x:v>28</x:v>
      </x:c>
      <x:c r="D286" s="4" t="n">
        <x:v>0</x:v>
      </x:c>
      <x:c r="E286" s="4" t="n">
        <x:v>60</x:v>
      </x:c>
      <x:c r="F286" s="4" t="n">
        <x:v>21</x:v>
      </x:c>
      <x:c r="G286" s="5" t="n">
        <x:v>0.0337</x:v>
      </x:c>
      <x:c r="H286" s="5" t="n">
        <x:v>0.038900000000000004</x:v>
      </x:c>
      <x:c r="I286" s="5" t="n">
        <x:v>0.0258</x:v>
      </x:c>
      <x:c r="J286" s="4" t="n">
        <x:v>1365</x:v>
      </x:c>
      <x:c r="K286" s="4" t="n">
        <x:v>46</x:v>
      </x:c>
      <x:c r="L286" s="4" t="n">
        <x:v>823</x:v>
      </x:c>
      <x:c r="M286" s="4" t="n">
        <x:v>32</x:v>
      </x:c>
      <x:c r="N286" s="4" t="n">
        <x:v>542</x:v>
      </x:c>
      <x:c r="O286" s="4" t="n">
        <x:v>14</x:v>
      </x:c>
      <x:c r="P286" s="1" t="str">
        <x:v>PASS</x:v>
      </x:c>
      <x:c r="Q286" s="4" t="n">
        <x:v>0</x:v>
      </x:c>
      <x:c r="R286" s="1" t="str">
        <x:v>PASS</x:v>
      </x:c>
      <x:c r="S286" s="4" t="n">
        <x:v>0</x:v>
      </x:c>
      <x:c r="T286" s="1" t="str">
        <x:v>NOT_REVEALING</x:v>
      </x:c>
      <x:c r="U286" s="1" t="str">
        <x:v>Collections_28</x:v>
      </x:c>
      <x:c r="V286" s="6" t="n">
        <x:v>34.45</x:v>
      </x:c>
    </x:row>
    <x:row r="287" ht="22" customHeight="1">
      <x:c r="A287" s="1" t="str">
        <x:v>Round1</x:v>
      </x:c>
      <x:c r="B287" s="1" t="str">
        <x:v>Compress</x:v>
      </x:c>
      <x:c r="C287" s="4" t="n">
        <x:v>1</x:v>
      </x:c>
      <x:c r="D287" s="4" t="n">
        <x:v>0</x:v>
      </x:c>
      <x:c r="E287" s="4" t="n">
        <x:v>60</x:v>
      </x:c>
      <x:c r="F287" s="4" t="n">
        <x:v>75</x:v>
      </x:c>
      <x:c r="G287" s="5" t="n">
        <x:v>0.2915</x:v>
      </x:c>
      <x:c r="H287" s="5" t="n">
        <x:v>0.2927</x:v>
      </x:c>
      <x:c r="I287" s="5" t="n">
        <x:v>0.28809999999999997</x:v>
      </x:c>
      <x:c r="J287" s="4" t="n">
        <x:v>223</x:v>
      </x:c>
      <x:c r="K287" s="4" t="n">
        <x:v>65</x:v>
      </x:c>
      <x:c r="L287" s="4" t="n">
        <x:v>164</x:v>
      </x:c>
      <x:c r="M287" s="4" t="n">
        <x:v>48</x:v>
      </x:c>
      <x:c r="N287" s="4" t="n">
        <x:v>59</x:v>
      </x:c>
      <x:c r="O287" s="4" t="n">
        <x:v>17</x:v>
      </x:c>
      <x:c r="P287" s="1" t="str">
        <x:v>PASS</x:v>
      </x:c>
      <x:c r="Q287" s="4" t="n">
        <x:v>0</x:v>
      </x:c>
      <x:c r="R287" s="1" t="str">
        <x:v>FAIL</x:v>
      </x:c>
      <x:c r="S287" s="4" t="n">
        <x:v>58</x:v>
      </x:c>
      <x:c r="T287" s="1" t="str">
        <x:v>INCONCLUSIVE</x:v>
      </x:c>
      <x:c r="U287" s="1" t="str">
        <x:v>Compress_1</x:v>
      </x:c>
      <x:c r="V287" s="6" t="n">
        <x:v>21.04</x:v>
      </x:c>
    </x:row>
    <x:row r="288" ht="22" customHeight="1">
      <x:c r="A288" s="1" t="str">
        <x:v>Round1</x:v>
      </x:c>
      <x:c r="B288" s="1" t="str">
        <x:v>Compress</x:v>
      </x:c>
      <x:c r="C288" s="4" t="n">
        <x:v>2</x:v>
      </x:c>
      <x:c r="D288" s="4" t="n">
        <x:v>0</x:v>
      </x:c>
      <x:c r="E288" s="4" t="n">
        <x:v>60</x:v>
      </x:c>
      <x:c r="F288" s="4" t="n">
        <x:v>131</x:v>
      </x:c>
      <x:c r="G288" s="5" t="n">
        <x:v>0.2261</x:v>
      </x:c>
      <x:c r="H288" s="5" t="n">
        <x:v>0.2877</x:v>
      </x:c>
      <x:c r="I288" s="5" t="n">
        <x:v>0.11900000000000001</x:v>
      </x:c>
      <x:c r="J288" s="4" t="n">
        <x:v>115</x:v>
      </x:c>
      <x:c r="K288" s="4" t="n">
        <x:v>26</x:v>
      </x:c>
      <x:c r="L288" s="4" t="n">
        <x:v>73</x:v>
      </x:c>
      <x:c r="M288" s="4" t="n">
        <x:v>21</x:v>
      </x:c>
      <x:c r="N288" s="4" t="n">
        <x:v>42</x:v>
      </x:c>
      <x:c r="O288" s="4" t="n">
        <x:v>5</x:v>
      </x:c>
      <x:c r="P288" s="1" t="str">
        <x:v>PASS</x:v>
      </x:c>
      <x:c r="Q288" s="4" t="n">
        <x:v>0</x:v>
      </x:c>
      <x:c r="R288" s="1" t="str">
        <x:v>PASS</x:v>
      </x:c>
      <x:c r="S288" s="4" t="n">
        <x:v>0</x:v>
      </x:c>
      <x:c r="T288" s="1" t="str">
        <x:v>NOT_REVEALING</x:v>
      </x:c>
      <x:c r="U288" s="1" t="str">
        <x:v>Compress_2</x:v>
      </x:c>
      <x:c r="V288" s="6" t="n">
        <x:v>23.91</x:v>
      </x:c>
    </x:row>
    <x:row r="289" ht="22" customHeight="1">
      <x:c r="A289" s="1" t="str">
        <x:v>Round1</x:v>
      </x:c>
      <x:c r="B289" s="1" t="str">
        <x:v>Compress</x:v>
      </x:c>
      <x:c r="C289" s="4" t="n">
        <x:v>3</x:v>
      </x:c>
      <x:c r="D289" s="4" t="n">
        <x:v>0</x:v>
      </x:c>
      <x:c r="E289" s="4" t="n">
        <x:v>60</x:v>
      </x:c>
      <x:c r="F289" s="4" t="n">
        <x:v>113</x:v>
      </x:c>
      <x:c r="G289" s="5" t="n">
        <x:v>0.3983</x:v>
      </x:c>
      <x:c r="H289" s="5" t="n">
        <x:v>0.42219999999999996</x:v>
      </x:c>
      <x:c r="I289" s="5" t="n">
        <x:v>0.3214</x:v>
      </x:c>
      <x:c r="J289" s="4" t="n">
        <x:v>118</x:v>
      </x:c>
      <x:c r="K289" s="4" t="n">
        <x:v>47</x:v>
      </x:c>
      <x:c r="L289" s="4" t="n">
        <x:v>90</x:v>
      </x:c>
      <x:c r="M289" s="4" t="n">
        <x:v>38</x:v>
      </x:c>
      <x:c r="N289" s="4" t="n">
        <x:v>28</x:v>
      </x:c>
      <x:c r="O289" s="4" t="n">
        <x:v>9</x:v>
      </x:c>
      <x:c r="P289" s="1" t="str">
        <x:v>PASS</x:v>
      </x:c>
      <x:c r="Q289" s="4" t="n">
        <x:v>0</x:v>
      </x:c>
      <x:c r="R289" s="1" t="str">
        <x:v>PASS</x:v>
      </x:c>
      <x:c r="S289" s="4" t="n">
        <x:v>0</x:v>
      </x:c>
      <x:c r="T289" s="1" t="str">
        <x:v>NOT_REVEALING</x:v>
      </x:c>
      <x:c r="U289" s="1" t="str">
        <x:v>Compress_3</x:v>
      </x:c>
      <x:c r="V289" s="6" t="n">
        <x:v>24.49</x:v>
      </x:c>
    </x:row>
    <x:row r="290" ht="22" customHeight="1">
      <x:c r="A290" s="1" t="str">
        <x:v>Round1</x:v>
      </x:c>
      <x:c r="B290" s="1" t="str">
        <x:v>Compress</x:v>
      </x:c>
      <x:c r="C290" s="4" t="n">
        <x:v>4</x:v>
      </x:c>
      <x:c r="D290" s="4" t="n">
        <x:v>0</x:v>
      </x:c>
      <x:c r="E290" s="4" t="n">
        <x:v>60</x:v>
      </x:c>
      <x:c r="F290" s="4" t="n">
        <x:v>63</x:v>
      </x:c>
      <x:c r="G290" s="5" t="n">
        <x:v>0.1392</x:v>
      </x:c>
      <x:c r="H290" s="5" t="n">
        <x:v>0.1721</x:v>
      </x:c>
      <x:c r="I290" s="5" t="n">
        <x:v>0.0593</x:v>
      </x:c>
      <x:c r="J290" s="4" t="n">
        <x:v>869</x:v>
      </x:c>
      <x:c r="K290" s="4" t="n">
        <x:v>121</x:v>
      </x:c>
      <x:c r="L290" s="4" t="n">
        <x:v>616</x:v>
      </x:c>
      <x:c r="M290" s="4" t="n">
        <x:v>106</x:v>
      </x:c>
      <x:c r="N290" s="4" t="n">
        <x:v>253</x:v>
      </x:c>
      <x:c r="O290" s="4" t="n">
        <x:v>15</x:v>
      </x:c>
      <x:c r="P290" s="1" t="str">
        <x:v>PASS</x:v>
      </x:c>
      <x:c r="Q290" s="4" t="n">
        <x:v>0</x:v>
      </x:c>
      <x:c r="R290" s="1" t="str">
        <x:v>FAIL</x:v>
      </x:c>
      <x:c r="S290" s="4" t="n">
        <x:v>4</x:v>
      </x:c>
      <x:c r="T290" s="1" t="str">
        <x:v>INCONCLUSIVE</x:v>
      </x:c>
      <x:c r="U290" s="1" t="str">
        <x:v>Compress_4</x:v>
      </x:c>
      <x:c r="V290" s="6" t="n">
        <x:v>20.93</x:v>
      </x:c>
    </x:row>
    <x:row r="291" ht="22" customHeight="1">
      <x:c r="A291" s="1" t="str">
        <x:v>Round1</x:v>
      </x:c>
      <x:c r="B291" s="1" t="str">
        <x:v>Compress</x:v>
      </x:c>
      <x:c r="C291" s="4" t="n">
        <x:v>5</x:v>
      </x:c>
      <x:c r="D291" s="4" t="n">
        <x:v>0</x:v>
      </x:c>
      <x:c r="E291" s="4" t="n">
        <x:v>60</x:v>
      </x:c>
      <x:c r="F291" s="4" t="n">
        <x:v>48</x:v>
      </x:c>
      <x:c r="G291" s="5" t="n">
        <x:v>0.302</x:v>
      </x:c>
      <x:c r="H291" s="5" t="n">
        <x:v>0.3354</x:v>
      </x:c>
      <x:c r="I291" s="5" t="n">
        <x:v>0.2447</x:v>
      </x:c>
      <x:c r="J291" s="4" t="n">
        <x:v>255</x:v>
      </x:c>
      <x:c r="K291" s="4" t="n">
        <x:v>77</x:v>
      </x:c>
      <x:c r="L291" s="4" t="n">
        <x:v>161</x:v>
      </x:c>
      <x:c r="M291" s="4" t="n">
        <x:v>54</x:v>
      </x:c>
      <x:c r="N291" s="4" t="n">
        <x:v>94</x:v>
      </x:c>
      <x:c r="O291" s="4" t="n">
        <x:v>23</x:v>
      </x:c>
      <x:c r="P291" s="1" t="str">
        <x:v>PASS</x:v>
      </x:c>
      <x:c r="Q291" s="4" t="n">
        <x:v>0</x:v>
      </x:c>
      <x:c r="R291" s="1" t="str">
        <x:v>PASS</x:v>
      </x:c>
      <x:c r="S291" s="4" t="n">
        <x:v>0</x:v>
      </x:c>
      <x:c r="T291" s="1" t="str">
        <x:v>NOT_REVEALING</x:v>
      </x:c>
      <x:c r="U291" s="1" t="str">
        <x:v>Compress_5</x:v>
      </x:c>
      <x:c r="V291" s="6" t="n">
        <x:v>24.22</x:v>
      </x:c>
    </x:row>
    <x:row r="292" ht="22" customHeight="1">
      <x:c r="A292" s="1" t="str">
        <x:v>Round1</x:v>
      </x:c>
      <x:c r="B292" s="1" t="str">
        <x:v>Compress</x:v>
      </x:c>
      <x:c r="C292" s="4" t="n">
        <x:v>6</x:v>
      </x:c>
      <x:c r="D292" s="4" t="n">
        <x:v>0</x:v>
      </x:c>
      <x:c r="E292" s="4" t="n">
        <x:v>60</x:v>
      </x:c>
      <x:c r="F292" s="4" t="n">
        <x:v>33</x:v>
      </x:c>
      <x:c r="G292" s="5" t="n">
        <x:v>0.4133</x:v>
      </x:c>
      <x:c r="H292" s="5" t="n">
        <x:v>0.4706</x:v>
      </x:c>
      <x:c r="I292" s="5" t="n">
        <x:v>0.2833</x:v>
      </x:c>
      <x:c r="J292" s="4" t="n">
        <x:v>196</x:v>
      </x:c>
      <x:c r="K292" s="4" t="n">
        <x:v>81</x:v>
      </x:c>
      <x:c r="L292" s="4" t="n">
        <x:v>136</x:v>
      </x:c>
      <x:c r="M292" s="4" t="n">
        <x:v>64</x:v>
      </x:c>
      <x:c r="N292" s="4" t="n">
        <x:v>60</x:v>
      </x:c>
      <x:c r="O292" s="4" t="n">
        <x:v>17</x:v>
      </x:c>
      <x:c r="P292" s="1" t="str">
        <x:v>FAIL</x:v>
      </x:c>
      <x:c r="Q292" s="4" t="n">
        <x:v>10</x:v>
      </x:c>
      <x:c r="R292" s="1" t="str">
        <x:v>FAIL</x:v>
      </x:c>
      <x:c r="S292" s="4" t="n">
        <x:v>10</x:v>
      </x:c>
      <x:c r="T292" s="1" t="str">
        <x:v>INCONCLUSIVE</x:v>
      </x:c>
      <x:c r="U292" s="1" t="str">
        <x:v>Compress_6</x:v>
      </x:c>
      <x:c r="V292" s="6" t="n">
        <x:v>23.48</x:v>
      </x:c>
    </x:row>
    <x:row r="293" ht="22" customHeight="1">
      <x:c r="A293" s="1" t="str">
        <x:v>Round1</x:v>
      </x:c>
      <x:c r="B293" s="1" t="str">
        <x:v>Compress</x:v>
      </x:c>
      <x:c r="C293" s="4" t="n">
        <x:v>7</x:v>
      </x:c>
      <x:c r="D293" s="4" t="n">
        <x:v>0</x:v>
      </x:c>
      <x:c r="E293" s="4" t="n">
        <x:v>60</x:v>
      </x:c>
      <x:c r="F293" s="4" t="n">
        <x:v>351</x:v>
      </x:c>
      <x:c r="G293" s="5" t="n">
        <x:v>0.7525</x:v>
      </x:c>
      <x:c r="H293" s="5" t="n">
        <x:v>0.746</x:v>
      </x:c>
      <x:c r="I293" s="5" t="n">
        <x:v>0.7631999999999999</x:v>
      </x:c>
      <x:c r="J293" s="4" t="n">
        <x:v>101</x:v>
      </x:c>
      <x:c r="K293" s="4" t="n">
        <x:v>76</x:v>
      </x:c>
      <x:c r="L293" s="4" t="n">
        <x:v>63</x:v>
      </x:c>
      <x:c r="M293" s="4" t="n">
        <x:v>47</x:v>
      </x:c>
      <x:c r="N293" s="4" t="n">
        <x:v>38</x:v>
      </x:c>
      <x:c r="O293" s="4" t="n">
        <x:v>29</x:v>
      </x:c>
      <x:c r="P293" s="1" t="str">
        <x:v>PASS</x:v>
      </x:c>
      <x:c r="Q293" s="4" t="n">
        <x:v>0</x:v>
      </x:c>
      <x:c r="R293" s="1" t="str">
        <x:v>FAIL</x:v>
      </x:c>
      <x:c r="S293" s="4" t="n">
        <x:v>6</x:v>
      </x:c>
      <x:c r="T293" s="1" t="str">
        <x:v>INCONCLUSIVE</x:v>
      </x:c>
      <x:c r="U293" s="1" t="str">
        <x:v>Compress_7</x:v>
      </x:c>
      <x:c r="V293" s="6" t="n">
        <x:v>23.3</x:v>
      </x:c>
    </x:row>
    <x:row r="294" ht="22" customHeight="1">
      <x:c r="A294" s="1" t="str">
        <x:v>Round1</x:v>
      </x:c>
      <x:c r="B294" s="1" t="str">
        <x:v>Compress</x:v>
      </x:c>
      <x:c r="C294" s="4" t="n">
        <x:v>8</x:v>
      </x:c>
      <x:c r="D294" s="4" t="n">
        <x:v>0</x:v>
      </x:c>
      <x:c r="E294" s="4" t="n">
        <x:v>60</x:v>
      </x:c>
      <x:c r="F294" s="4" t="n">
        <x:v>345</x:v>
      </x:c>
      <x:c r="G294" s="5" t="n">
        <x:v>0.7685</x:v>
      </x:c>
      <x:c r="H294" s="5" t="n">
        <x:v>0.7714</x:v>
      </x:c>
      <x:c r="I294" s="5" t="n">
        <x:v>0.7631999999999999</x:v>
      </x:c>
      <x:c r="J294" s="4" t="n">
        <x:v>108</x:v>
      </x:c>
      <x:c r="K294" s="4" t="n">
        <x:v>83</x:v>
      </x:c>
      <x:c r="L294" s="4" t="n">
        <x:v>70</x:v>
      </x:c>
      <x:c r="M294" s="4" t="n">
        <x:v>54</x:v>
      </x:c>
      <x:c r="N294" s="4" t="n">
        <x:v>38</x:v>
      </x:c>
      <x:c r="O294" s="4" t="n">
        <x:v>29</x:v>
      </x:c>
      <x:c r="P294" s="1" t="str">
        <x:v>PASS</x:v>
      </x:c>
      <x:c r="Q294" s="4" t="n">
        <x:v>0</x:v>
      </x:c>
      <x:c r="R294" s="1" t="str">
        <x:v>FAIL</x:v>
      </x:c>
      <x:c r="S294" s="4" t="n">
        <x:v>232</x:v>
      </x:c>
      <x:c r="T294" s="1" t="str">
        <x:v>INCONCLUSIVE</x:v>
      </x:c>
      <x:c r="U294" s="1" t="str">
        <x:v>Compress_8</x:v>
      </x:c>
      <x:c r="V294" s="6" t="n">
        <x:v>22.87</x:v>
      </x:c>
    </x:row>
    <x:row r="295" ht="22" customHeight="1">
      <x:c r="A295" s="1" t="str">
        <x:v>Round1</x:v>
      </x:c>
      <x:c r="B295" s="1" t="str">
        <x:v>Compress</x:v>
      </x:c>
      <x:c r="C295" s="4" t="n">
        <x:v>9</x:v>
      </x:c>
      <x:c r="D295" s="4" t="n">
        <x:v>0</x:v>
      </x:c>
      <x:c r="E295" s="4" t="n">
        <x:v>60</x:v>
      </x:c>
      <x:c r="F295" s="4" t="n">
        <x:v>62</x:v>
      </x:c>
      <x:c r="G295" s="5" t="n">
        <x:v>0.375</x:v>
      </x:c>
      <x:c r="H295" s="5" t="n">
        <x:v>0.4</x:v>
      </x:c>
      <x:c r="I295" s="5" t="n">
        <x:v>0.3095</x:v>
      </x:c>
      <x:c r="J295" s="4" t="n">
        <x:v>152</x:v>
      </x:c>
      <x:c r="K295" s="4" t="n">
        <x:v>57</x:v>
      </x:c>
      <x:c r="L295" s="4" t="n">
        <x:v>110</x:v>
      </x:c>
      <x:c r="M295" s="4" t="n">
        <x:v>44</x:v>
      </x:c>
      <x:c r="N295" s="4" t="n">
        <x:v>42</x:v>
      </x:c>
      <x:c r="O295" s="4" t="n">
        <x:v>13</x:v>
      </x:c>
      <x:c r="P295" s="1" t="str">
        <x:v>PASS</x:v>
      </x:c>
      <x:c r="Q295" s="4" t="n">
        <x:v>0</x:v>
      </x:c>
      <x:c r="R295" s="1" t="str">
        <x:v>PASS</x:v>
      </x:c>
      <x:c r="S295" s="4" t="n">
        <x:v>0</x:v>
      </x:c>
      <x:c r="T295" s="1" t="str">
        <x:v>NOT_REVEALING</x:v>
      </x:c>
      <x:c r="U295" s="1" t="str">
        <x:v>Compress_9</x:v>
      </x:c>
      <x:c r="V295" s="6" t="n">
        <x:v>20.64</x:v>
      </x:c>
    </x:row>
    <x:row r="296" ht="22" customHeight="1">
      <x:c r="A296" s="1" t="str">
        <x:v>Round1</x:v>
      </x:c>
      <x:c r="B296" s="1" t="str">
        <x:v>Compress</x:v>
      </x:c>
      <x:c r="C296" s="4" t="n">
        <x:v>10</x:v>
      </x:c>
      <x:c r="D296" s="4" t="n">
        <x:v>0</x:v>
      </x:c>
      <x:c r="E296" s="4" t="n">
        <x:v>60</x:v>
      </x:c>
      <x:c r="F296" s="4" t="n">
        <x:v>17</x:v>
      </x:c>
      <x:c r="G296" s="5" t="n">
        <x:v>0.045599999999999995</x:v>
      </x:c>
      <x:c r="H296" s="5" t="n">
        <x:v>0.0592</x:v>
      </x:c>
      <x:c r="I296" s="5" t="n">
        <x:v>0.0088</x:v>
      </x:c>
      <x:c r="J296" s="4" t="n">
        <x:v>417</x:v>
      </x:c>
      <x:c r="K296" s="4" t="n">
        <x:v>19</x:v>
      </x:c>
      <x:c r="L296" s="4" t="n">
        <x:v>304</x:v>
      </x:c>
      <x:c r="M296" s="4" t="n">
        <x:v>18</x:v>
      </x:c>
      <x:c r="N296" s="4" t="n">
        <x:v>113</x:v>
      </x:c>
      <x:c r="O296" s="4" t="n">
        <x:v>1</x:v>
      </x:c>
      <x:c r="P296" s="1" t="str">
        <x:v>PASS</x:v>
      </x:c>
      <x:c r="Q296" s="4" t="n">
        <x:v>0</x:v>
      </x:c>
      <x:c r="R296" s="1" t="str">
        <x:v>PASS</x:v>
      </x:c>
      <x:c r="S296" s="4" t="n">
        <x:v>0</x:v>
      </x:c>
      <x:c r="T296" s="1" t="str">
        <x:v>NOT_REVEALING</x:v>
      </x:c>
      <x:c r="U296" s="1" t="str">
        <x:v>Compress_10</x:v>
      </x:c>
      <x:c r="V296" s="6" t="n">
        <x:v>21.72</x:v>
      </x:c>
    </x:row>
    <x:row r="297" ht="22" customHeight="1">
      <x:c r="A297" s="1" t="str">
        <x:v>Round1</x:v>
      </x:c>
      <x:c r="B297" s="1" t="str">
        <x:v>Compress</x:v>
      </x:c>
      <x:c r="C297" s="4" t="n">
        <x:v>11</x:v>
      </x:c>
      <x:c r="D297" s="4" t="n">
        <x:v>0</x:v>
      </x:c>
      <x:c r="E297" s="4" t="n">
        <x:v>60</x:v>
      </x:c>
      <x:c r="F297" s="4" t="n">
        <x:v>25</x:v>
      </x:c>
      <x:c r="G297" s="5" t="n">
        <x:v>0.1217</x:v>
      </x:c>
      <x:c r="H297" s="5" t="n">
        <x:v>0.1304</x:v>
      </x:c>
      <x:c r="I297" s="5" t="n">
        <x:v>0.10869999999999999</x:v>
      </x:c>
      <x:c r="J297" s="4" t="n">
        <x:v>115</x:v>
      </x:c>
      <x:c r="K297" s="4" t="n">
        <x:v>14</x:v>
      </x:c>
      <x:c r="L297" s="4" t="n">
        <x:v>69</x:v>
      </x:c>
      <x:c r="M297" s="4" t="n">
        <x:v>9</x:v>
      </x:c>
      <x:c r="N297" s="4" t="n">
        <x:v>46</x:v>
      </x:c>
      <x:c r="O297" s="4" t="n">
        <x:v>5</x:v>
      </x:c>
      <x:c r="P297" s="1" t="str">
        <x:v>PASS</x:v>
      </x:c>
      <x:c r="Q297" s="4" t="n">
        <x:v>0</x:v>
      </x:c>
      <x:c r="R297" s="1" t="str">
        <x:v>PASS</x:v>
      </x:c>
      <x:c r="S297" s="4" t="n">
        <x:v>0</x:v>
      </x:c>
      <x:c r="T297" s="1" t="str">
        <x:v>NOT_REVEALING</x:v>
      </x:c>
      <x:c r="U297" s="1" t="str">
        <x:v>Compress_11</x:v>
      </x:c>
      <x:c r="V297" s="6" t="n">
        <x:v>20.62</x:v>
      </x:c>
    </x:row>
    <x:row r="298" ht="22" customHeight="1">
      <x:c r="A298" s="1" t="str">
        <x:v>Round1</x:v>
      </x:c>
      <x:c r="B298" s="1" t="str">
        <x:v>Compress</x:v>
      </x:c>
      <x:c r="C298" s="4" t="n">
        <x:v>12</x:v>
      </x:c>
      <x:c r="D298" s="4" t="n">
        <x:v>0</x:v>
      </x:c>
      <x:c r="E298" s="4" t="n">
        <x:v>60</x:v>
      </x:c>
      <x:c r="F298" s="4" t="n">
        <x:v>92</x:v>
      </x:c>
      <x:c r="G298" s="5" t="n">
        <x:v>0.2164</x:v>
      </x:c>
      <x:c r="H298" s="5" t="n">
        <x:v>0.2667</x:v>
      </x:c>
      <x:c r="I298" s="5" t="n">
        <x:v>0.1273</x:v>
      </x:c>
      <x:c r="J298" s="4" t="n">
        <x:v>305</x:v>
      </x:c>
      <x:c r="K298" s="4" t="n">
        <x:v>66</x:v>
      </x:c>
      <x:c r="L298" s="4" t="n">
        <x:v>195</x:v>
      </x:c>
      <x:c r="M298" s="4" t="n">
        <x:v>52</x:v>
      </x:c>
      <x:c r="N298" s="4" t="n">
        <x:v>110</x:v>
      </x:c>
      <x:c r="O298" s="4" t="n">
        <x:v>14</x:v>
      </x:c>
      <x:c r="P298" s="1" t="str">
        <x:v>PASS</x:v>
      </x:c>
      <x:c r="Q298" s="4" t="n">
        <x:v>0</x:v>
      </x:c>
      <x:c r="R298" s="1" t="str">
        <x:v>PASS</x:v>
      </x:c>
      <x:c r="S298" s="4" t="n">
        <x:v>0</x:v>
      </x:c>
      <x:c r="T298" s="1" t="str">
        <x:v>NOT_REVEALING</x:v>
      </x:c>
      <x:c r="U298" s="1" t="str">
        <x:v>Compress_12</x:v>
      </x:c>
      <x:c r="V298" s="6" t="n">
        <x:v>22.65</x:v>
      </x:c>
    </x:row>
    <x:row r="299" ht="22" customHeight="1">
      <x:c r="A299" s="1" t="str">
        <x:v>Round1</x:v>
      </x:c>
      <x:c r="B299" s="1" t="str">
        <x:v>Compress</x:v>
      </x:c>
      <x:c r="C299" s="4" t="n">
        <x:v>13</x:v>
      </x:c>
      <x:c r="D299" s="4" t="n">
        <x:v>0</x:v>
      </x:c>
      <x:c r="E299" s="4" t="n">
        <x:v>60</x:v>
      </x:c>
      <x:c r="F299" s="4" t="n">
        <x:v>29</x:v>
      </x:c>
      <x:c r="G299" s="5" t="n">
        <x:v>0.375</x:v>
      </x:c>
      <x:c r="H299" s="5" t="n">
        <x:v>0.465</x:v>
      </x:c>
      <x:c r="I299" s="5" t="n">
        <x:v>0.20190000000000002</x:v>
      </x:c>
      <x:c r="J299" s="4" t="n">
        <x:v>304</x:v>
      </x:c>
      <x:c r="K299" s="4" t="n">
        <x:v>114</x:v>
      </x:c>
      <x:c r="L299" s="4" t="n">
        <x:v>200</x:v>
      </x:c>
      <x:c r="M299" s="4" t="n">
        <x:v>93</x:v>
      </x:c>
      <x:c r="N299" s="4" t="n">
        <x:v>104</x:v>
      </x:c>
      <x:c r="O299" s="4" t="n">
        <x:v>21</x:v>
      </x:c>
      <x:c r="P299" s="1" t="str">
        <x:v>PASS</x:v>
      </x:c>
      <x:c r="Q299" s="4" t="n">
        <x:v>0</x:v>
      </x:c>
      <x:c r="R299" s="1" t="str">
        <x:v>PASS</x:v>
      </x:c>
      <x:c r="S299" s="4" t="n">
        <x:v>0</x:v>
      </x:c>
      <x:c r="T299" s="1" t="str">
        <x:v>NOT_REVEALING</x:v>
      </x:c>
      <x:c r="U299" s="1" t="str">
        <x:v>Compress_13</x:v>
      </x:c>
      <x:c r="V299" s="6" t="n">
        <x:v>22.02</x:v>
      </x:c>
    </x:row>
    <x:row r="300" ht="22" customHeight="1">
      <x:c r="A300" s="1" t="str">
        <x:v>Round1</x:v>
      </x:c>
      <x:c r="B300" s="1" t="str">
        <x:v>Compress</x:v>
      </x:c>
      <x:c r="C300" s="4" t="n">
        <x:v>14</x:v>
      </x:c>
      <x:c r="D300" s="4" t="n">
        <x:v>0</x:v>
      </x:c>
      <x:c r="E300" s="4" t="n">
        <x:v>60</x:v>
      </x:c>
      <x:c r="F300" s="4" t="n">
        <x:v>63</x:v>
      </x:c>
      <x:c r="G300" s="5" t="n">
        <x:v>0.49700000000000005</x:v>
      </x:c>
      <x:c r="H300" s="5" t="n">
        <x:v>0.5347</x:v>
      </x:c>
      <x:c r="I300" s="5" t="n">
        <x:v>0.43939999999999996</x:v>
      </x:c>
      <x:c r="J300" s="4" t="n">
        <x:v>167</x:v>
      </x:c>
      <x:c r="K300" s="4" t="n">
        <x:v>83</x:v>
      </x:c>
      <x:c r="L300" s="4" t="n">
        <x:v>101</x:v>
      </x:c>
      <x:c r="M300" s="4" t="n">
        <x:v>54</x:v>
      </x:c>
      <x:c r="N300" s="4" t="n">
        <x:v>66</x:v>
      </x:c>
      <x:c r="O300" s="4" t="n">
        <x:v>29</x:v>
      </x:c>
      <x:c r="P300" s="1" t="str">
        <x:v>PASS</x:v>
      </x:c>
      <x:c r="Q300" s="4" t="n">
        <x:v>0</x:v>
      </x:c>
      <x:c r="R300" s="1" t="str">
        <x:v>PASS</x:v>
      </x:c>
      <x:c r="S300" s="4" t="n">
        <x:v>0</x:v>
      </x:c>
      <x:c r="T300" s="1" t="str">
        <x:v>NOT_REVEALING</x:v>
      </x:c>
      <x:c r="U300" s="1" t="str">
        <x:v>Compress_14</x:v>
      </x:c>
      <x:c r="V300" s="6" t="n">
        <x:v>21.96</x:v>
      </x:c>
    </x:row>
    <x:row r="301" ht="22" customHeight="1">
      <x:c r="A301" s="1" t="str">
        <x:v>Round1</x:v>
      </x:c>
      <x:c r="B301" s="1" t="str">
        <x:v>Compress</x:v>
      </x:c>
      <x:c r="C301" s="4" t="n">
        <x:v>15</x:v>
      </x:c>
      <x:c r="D301" s="4" t="n">
        <x:v>0</x:v>
      </x:c>
      <x:c r="E301" s="4" t="n">
        <x:v>60</x:v>
      </x:c>
      <x:c r="F301" s="4" t="n">
        <x:v>28</x:v>
      </x:c>
      <x:c r="G301" s="5" t="n">
        <x:v>0.361</x:v>
      </x:c>
      <x:c r="H301" s="5" t="n">
        <x:v>0.4384</x:v>
      </x:c>
      <x:c r="I301" s="5" t="n">
        <x:v>0.2182</x:v>
      </x:c>
      <x:c r="J301" s="4" t="n">
        <x:v>313</x:v>
      </x:c>
      <x:c r="K301" s="4" t="n">
        <x:v>113</x:v>
      </x:c>
      <x:c r="L301" s="4" t="n">
        <x:v>203</x:v>
      </x:c>
      <x:c r="M301" s="4" t="n">
        <x:v>89</x:v>
      </x:c>
      <x:c r="N301" s="4" t="n">
        <x:v>110</x:v>
      </x:c>
      <x:c r="O301" s="4" t="n">
        <x:v>24</x:v>
      </x:c>
      <x:c r="P301" s="1" t="str">
        <x:v>PASS</x:v>
      </x:c>
      <x:c r="Q301" s="4" t="n">
        <x:v>0</x:v>
      </x:c>
      <x:c r="R301" s="1" t="str">
        <x:v>PASS</x:v>
      </x:c>
      <x:c r="S301" s="4" t="n">
        <x:v>0</x:v>
      </x:c>
      <x:c r="T301" s="1" t="str">
        <x:v>NOT_REVEALING</x:v>
      </x:c>
      <x:c r="U301" s="1" t="str">
        <x:v>Compress_15</x:v>
      </x:c>
      <x:c r="V301" s="6" t="n">
        <x:v>22.5</x:v>
      </x:c>
    </x:row>
    <x:row r="302" ht="22" customHeight="1">
      <x:c r="A302" s="1" t="str">
        <x:v>Round1</x:v>
      </x:c>
      <x:c r="B302" s="1" t="str">
        <x:v>Compress</x:v>
      </x:c>
      <x:c r="C302" s="4" t="n">
        <x:v>16</x:v>
      </x:c>
      <x:c r="D302" s="4" t="n">
        <x:v>0</x:v>
      </x:c>
      <x:c r="E302" s="4" t="n">
        <x:v>60</x:v>
      </x:c>
      <x:c r="F302" s="4" t="n">
        <x:v>25</x:v>
      </x:c>
      <x:c r="G302" s="5" t="n">
        <x:v>0.1186</x:v>
      </x:c>
      <x:c r="H302" s="5" t="n">
        <x:v>0.1286</x:v>
      </x:c>
      <x:c r="I302" s="5" t="n">
        <x:v>0.1042</x:v>
      </x:c>
      <x:c r="J302" s="4" t="n">
        <x:v>118</x:v>
      </x:c>
      <x:c r="K302" s="4" t="n">
        <x:v>14</x:v>
      </x:c>
      <x:c r="L302" s="4" t="n">
        <x:v>70</x:v>
      </x:c>
      <x:c r="M302" s="4" t="n">
        <x:v>9</x:v>
      </x:c>
      <x:c r="N302" s="4" t="n">
        <x:v>48</x:v>
      </x:c>
      <x:c r="O302" s="4" t="n">
        <x:v>5</x:v>
      </x:c>
      <x:c r="P302" s="1" t="str">
        <x:v>PASS</x:v>
      </x:c>
      <x:c r="Q302" s="4" t="n">
        <x:v>0</x:v>
      </x:c>
      <x:c r="R302" s="1" t="str">
        <x:v>PASS</x:v>
      </x:c>
      <x:c r="S302" s="4" t="n">
        <x:v>0</x:v>
      </x:c>
      <x:c r="T302" s="1" t="str">
        <x:v>NOT_REVEALING</x:v>
      </x:c>
      <x:c r="U302" s="1" t="str">
        <x:v>Compress_16</x:v>
      </x:c>
      <x:c r="V302" s="6" t="n">
        <x:v>22.07</x:v>
      </x:c>
    </x:row>
    <x:row r="303" ht="22" customHeight="1">
      <x:c r="A303" s="1" t="str">
        <x:v>Round1</x:v>
      </x:c>
      <x:c r="B303" s="1" t="str">
        <x:v>Compress</x:v>
      </x:c>
      <x:c r="C303" s="4" t="n">
        <x:v>17</x:v>
      </x:c>
      <x:c r="D303" s="4" t="n">
        <x:v>0</x:v>
      </x:c>
      <x:c r="E303" s="4" t="n">
        <x:v>60</x:v>
      </x:c>
      <x:c r="F303" s="4" t="n">
        <x:v>55</x:v>
      </x:c>
      <x:c r="G303" s="5" t="n">
        <x:v>0.4068</x:v>
      </x:c>
      <x:c r="H303" s="5" t="n">
        <x:v>0.4637</x:v>
      </x:c>
      <x:c r="I303" s="5" t="n">
        <x:v>0.319</x:v>
      </x:c>
      <x:c r="J303" s="4" t="n">
        <x:v>295</x:v>
      </x:c>
      <x:c r="K303" s="4" t="n">
        <x:v>120</x:v>
      </x:c>
      <x:c r="L303" s="4" t="n">
        <x:v>179</x:v>
      </x:c>
      <x:c r="M303" s="4" t="n">
        <x:v>83</x:v>
      </x:c>
      <x:c r="N303" s="4" t="n">
        <x:v>116</x:v>
      </x:c>
      <x:c r="O303" s="4" t="n">
        <x:v>37</x:v>
      </x:c>
      <x:c r="P303" s="1" t="str">
        <x:v>PASS</x:v>
      </x:c>
      <x:c r="Q303" s="4" t="n">
        <x:v>0</x:v>
      </x:c>
      <x:c r="R303" s="1" t="str">
        <x:v>PASS</x:v>
      </x:c>
      <x:c r="S303" s="4" t="n">
        <x:v>0</x:v>
      </x:c>
      <x:c r="T303" s="1" t="str">
        <x:v>NOT_REVEALING</x:v>
      </x:c>
      <x:c r="U303" s="1" t="str">
        <x:v>Compress_17</x:v>
      </x:c>
      <x:c r="V303" s="6" t="n">
        <x:v>22.61</x:v>
      </x:c>
    </x:row>
    <x:row r="304" ht="22" customHeight="1">
      <x:c r="A304" s="1" t="str">
        <x:v>Round1</x:v>
      </x:c>
      <x:c r="B304" s="1" t="str">
        <x:v>Compress</x:v>
      </x:c>
      <x:c r="C304" s="4" t="n">
        <x:v>18</x:v>
      </x:c>
      <x:c r="D304" s="4" t="n">
        <x:v>0</x:v>
      </x:c>
      <x:c r="E304" s="4" t="n">
        <x:v>60</x:v>
      </x:c>
      <x:c r="F304" s="4" t="n">
        <x:v>84</x:v>
      </x:c>
      <x:c r="G304" s="5" t="n">
        <x:v>0.3077</x:v>
      </x:c>
      <x:c r="H304" s="5" t="n">
        <x:v>0.3515</x:v>
      </x:c>
      <x:c r="I304" s="5" t="n">
        <x:v>0.2024</x:v>
      </x:c>
      <x:c r="J304" s="4" t="n">
        <x:v>286</x:v>
      </x:c>
      <x:c r="K304" s="4" t="n">
        <x:v>88</x:v>
      </x:c>
      <x:c r="L304" s="4" t="n">
        <x:v>202</x:v>
      </x:c>
      <x:c r="M304" s="4" t="n">
        <x:v>71</x:v>
      </x:c>
      <x:c r="N304" s="4" t="n">
        <x:v>84</x:v>
      </x:c>
      <x:c r="O304" s="4" t="n">
        <x:v>17</x:v>
      </x:c>
      <x:c r="P304" s="1" t="str">
        <x:v>PASS</x:v>
      </x:c>
      <x:c r="Q304" s="4" t="n">
        <x:v>0</x:v>
      </x:c>
      <x:c r="R304" s="1" t="str">
        <x:v>PASS</x:v>
      </x:c>
      <x:c r="S304" s="4" t="n">
        <x:v>0</x:v>
      </x:c>
      <x:c r="T304" s="1" t="str">
        <x:v>NOT_REVEALING</x:v>
      </x:c>
      <x:c r="U304" s="1" t="str">
        <x:v>Compress_18</x:v>
      </x:c>
      <x:c r="V304" s="6" t="n">
        <x:v>21.97</x:v>
      </x:c>
    </x:row>
    <x:row r="305" ht="22" customHeight="1">
      <x:c r="A305" s="1" t="str">
        <x:v>Round1</x:v>
      </x:c>
      <x:c r="B305" s="1" t="str">
        <x:v>Compress</x:v>
      </x:c>
      <x:c r="C305" s="4" t="n">
        <x:v>19</x:v>
      </x:c>
      <x:c r="D305" s="4" t="n">
        <x:v>0</x:v>
      </x:c>
      <x:c r="E305" s="4" t="n">
        <x:v>60</x:v>
      </x:c>
      <x:c r="F305" s="4" t="n">
        <x:v>23</x:v>
      </x:c>
      <x:c r="G305" s="5" t="n">
        <x:v>0.3697</x:v>
      </x:c>
      <x:c r="H305" s="5" t="n">
        <x:v>0.43810000000000004</x:v>
      </x:c>
      <x:c r="I305" s="5" t="n">
        <x:v>0.25</x:v>
      </x:c>
      <x:c r="J305" s="4" t="n">
        <x:v>165</x:v>
      </x:c>
      <x:c r="K305" s="4" t="n">
        <x:v>61</x:v>
      </x:c>
      <x:c r="L305" s="4" t="n">
        <x:v>105</x:v>
      </x:c>
      <x:c r="M305" s="4" t="n">
        <x:v>46</x:v>
      </x:c>
      <x:c r="N305" s="4" t="n">
        <x:v>60</x:v>
      </x:c>
      <x:c r="O305" s="4" t="n">
        <x:v>15</x:v>
      </x:c>
      <x:c r="P305" s="1" t="str">
        <x:v>PASS</x:v>
      </x:c>
      <x:c r="Q305" s="4" t="n">
        <x:v>0</x:v>
      </x:c>
      <x:c r="R305" s="1" t="str">
        <x:v>PASS</x:v>
      </x:c>
      <x:c r="S305" s="4" t="n">
        <x:v>0</x:v>
      </x:c>
      <x:c r="T305" s="1" t="str">
        <x:v>NOT_REVEALING</x:v>
      </x:c>
      <x:c r="U305" s="1" t="str">
        <x:v>Compress_19</x:v>
      </x:c>
      <x:c r="V305" s="6" t="n">
        <x:v>23.87</x:v>
      </x:c>
    </x:row>
    <x:row r="306" ht="22" customHeight="1">
      <x:c r="A306" s="1" t="str">
        <x:v>Round1</x:v>
      </x:c>
      <x:c r="B306" s="1" t="str">
        <x:v>Compress</x:v>
      </x:c>
      <x:c r="C306" s="4" t="n">
        <x:v>20</x:v>
      </x:c>
      <x:c r="D306" s="4" t="n">
        <x:v>0</x:v>
      </x:c>
      <x:c r="E306" s="4" t="n">
        <x:v>60</x:v>
      </x:c>
      <x:c r="F306" s="4" t="n">
        <x:v>75</x:v>
      </x:c>
      <x:c r="G306" s="5" t="n">
        <x:v>0.2409</x:v>
      </x:c>
      <x:c r="H306" s="5" t="n">
        <x:v>0.26170000000000004</x:v>
      </x:c>
      <x:c r="I306" s="5" t="n">
        <x:v>0.2018</x:v>
      </x:c>
      <x:c r="J306" s="4" t="n">
        <x:v>328</x:v>
      </x:c>
      <x:c r="K306" s="4" t="n">
        <x:v>79</x:v>
      </x:c>
      <x:c r="L306" s="4" t="n">
        <x:v>214</x:v>
      </x:c>
      <x:c r="M306" s="4" t="n">
        <x:v>56</x:v>
      </x:c>
      <x:c r="N306" s="4" t="n">
        <x:v>114</x:v>
      </x:c>
      <x:c r="O306" s="4" t="n">
        <x:v>23</x:v>
      </x:c>
      <x:c r="P306" s="1" t="str">
        <x:v>PASS</x:v>
      </x:c>
      <x:c r="Q306" s="4" t="n">
        <x:v>0</x:v>
      </x:c>
      <x:c r="R306" s="1" t="str">
        <x:v>PASS</x:v>
      </x:c>
      <x:c r="S306" s="4" t="n">
        <x:v>0</x:v>
      </x:c>
      <x:c r="T306" s="1" t="str">
        <x:v>NOT_REVEALING</x:v>
      </x:c>
      <x:c r="U306" s="1" t="str">
        <x:v>Compress_20</x:v>
      </x:c>
      <x:c r="V306" s="6" t="n">
        <x:v>24.25</x:v>
      </x:c>
    </x:row>
    <x:row r="307" ht="22" customHeight="1">
      <x:c r="A307" s="1" t="str">
        <x:v>Round1</x:v>
      </x:c>
      <x:c r="B307" s="1" t="str">
        <x:v>Compress</x:v>
      </x:c>
      <x:c r="C307" s="4" t="n">
        <x:v>21</x:v>
      </x:c>
      <x:c r="D307" s="4" t="n">
        <x:v>0</x:v>
      </x:c>
      <x:c r="E307" s="4" t="n">
        <x:v>60</x:v>
      </x:c>
      <x:c r="F307" s="4" t="n">
        <x:v>2</x:v>
      </x:c>
      <x:c r="G307" s="5" t="n">
        <x:v>0.0171</x:v>
      </x:c>
      <x:c r="H307" s="5" t="n">
        <x:v>0.0231</x:v>
      </x:c>
      <x:c r="I307" s="5" t="n">
        <x:v>0</x:v>
      </x:c>
      <x:c r="J307" s="4" t="n">
        <x:v>526</x:v>
      </x:c>
      <x:c r="K307" s="4" t="n">
        <x:v>9</x:v>
      </x:c>
      <x:c r="L307" s="4" t="n">
        <x:v>390</x:v>
      </x:c>
      <x:c r="M307" s="4" t="n">
        <x:v>9</x:v>
      </x:c>
      <x:c r="N307" s="4" t="n">
        <x:v>136</x:v>
      </x:c>
      <x:c r="O307" s="4" t="n">
        <x:v>0</x:v>
      </x:c>
      <x:c r="P307" s="1" t="str">
        <x:v>PASS</x:v>
      </x:c>
      <x:c r="Q307" s="4" t="n">
        <x:v>0</x:v>
      </x:c>
      <x:c r="R307" s="1" t="str">
        <x:v>PASS</x:v>
      </x:c>
      <x:c r="S307" s="4" t="n">
        <x:v>0</x:v>
      </x:c>
      <x:c r="T307" s="1" t="str">
        <x:v>NOT_REVEALING</x:v>
      </x:c>
      <x:c r="U307" s="1" t="str">
        <x:v>Compress_21</x:v>
      </x:c>
      <x:c r="V307" s="6" t="n">
        <x:v>23.5</x:v>
      </x:c>
    </x:row>
    <x:row r="308" ht="22" customHeight="1">
      <x:c r="A308" s="1" t="str">
        <x:v>Round1</x:v>
      </x:c>
      <x:c r="B308" s="1" t="str">
        <x:v>Compress</x:v>
      </x:c>
      <x:c r="C308" s="4" t="n">
        <x:v>22</x:v>
      </x:c>
      <x:c r="D308" s="4" t="n">
        <x:v>0</x:v>
      </x:c>
      <x:c r="E308" s="4" t="n">
        <x:v>60</x:v>
      </x:c>
      <x:c r="F308" s="4" t="n">
        <x:v>64</x:v>
      </x:c>
      <x:c r="G308" s="5" t="n">
        <x:v>0.0235</x:v>
      </x:c>
      <x:c r="H308" s="5" t="n">
        <x:v>0.0279</x:v>
      </x:c>
      <x:c r="I308" s="5" t="n">
        <x:v>0.0151</x:v>
      </x:c>
      <x:c r="J308" s="4" t="n">
        <x:v>767</x:v>
      </x:c>
      <x:c r="K308" s="4" t="n">
        <x:v>18</x:v>
      </x:c>
      <x:c r="L308" s="4" t="n">
        <x:v>502</x:v>
      </x:c>
      <x:c r="M308" s="4" t="n">
        <x:v>14</x:v>
      </x:c>
      <x:c r="N308" s="4" t="n">
        <x:v>265</x:v>
      </x:c>
      <x:c r="O308" s="4" t="n">
        <x:v>4</x:v>
      </x:c>
      <x:c r="P308" s="1" t="str">
        <x:v>PASS</x:v>
      </x:c>
      <x:c r="Q308" s="4" t="n">
        <x:v>0</x:v>
      </x:c>
      <x:c r="R308" s="1" t="str">
        <x:v>PASS</x:v>
      </x:c>
      <x:c r="S308" s="4" t="n">
        <x:v>0</x:v>
      </x:c>
      <x:c r="T308" s="1" t="str">
        <x:v>NOT_REVEALING</x:v>
      </x:c>
      <x:c r="U308" s="1" t="str">
        <x:v>Compress_22</x:v>
      </x:c>
      <x:c r="V308" s="6" t="n">
        <x:v>25.1</x:v>
      </x:c>
    </x:row>
    <x:row r="309" ht="22" customHeight="1">
      <x:c r="A309" s="1" t="str">
        <x:v>Round1</x:v>
      </x:c>
      <x:c r="B309" s="1" t="str">
        <x:v>Compress</x:v>
      </x:c>
      <x:c r="C309" s="4" t="n">
        <x:v>23</x:v>
      </x:c>
      <x:c r="D309" s="4" t="n">
        <x:v>0</x:v>
      </x:c>
      <x:c r="E309" s="4" t="n">
        <x:v>60</x:v>
      </x:c>
      <x:c r="F309" s="4" t="n">
        <x:v>54</x:v>
      </x:c>
      <x:c r="G309" s="5" t="n">
        <x:v>0.3139</x:v>
      </x:c>
      <x:c r="H309" s="5" t="n">
        <x:v>0.3592</x:v>
      </x:c>
      <x:c r="I309" s="5" t="n">
        <x:v>0.1765</x:v>
      </x:c>
      <x:c r="J309" s="4" t="n">
        <x:v>137</x:v>
      </x:c>
      <x:c r="K309" s="4" t="n">
        <x:v>43</x:v>
      </x:c>
      <x:c r="L309" s="4" t="n">
        <x:v>103</x:v>
      </x:c>
      <x:c r="M309" s="4" t="n">
        <x:v>37</x:v>
      </x:c>
      <x:c r="N309" s="4" t="n">
        <x:v>34</x:v>
      </x:c>
      <x:c r="O309" s="4" t="n">
        <x:v>6</x:v>
      </x:c>
      <x:c r="P309" s="1" t="str">
        <x:v>FAIL</x:v>
      </x:c>
      <x:c r="Q309" s="4" t="n">
        <x:v>1</x:v>
      </x:c>
      <x:c r="R309" s="1" t="str">
        <x:v>FAIL</x:v>
      </x:c>
      <x:c r="S309" s="4" t="n">
        <x:v>1</x:v>
      </x:c>
      <x:c r="T309" s="1" t="str">
        <x:v>INCONCLUSIVE</x:v>
      </x:c>
      <x:c r="U309" s="1" t="str">
        <x:v>Compress_23</x:v>
      </x:c>
      <x:c r="V309" s="6" t="n">
        <x:v>25.83</x:v>
      </x:c>
    </x:row>
    <x:row r="310" ht="22" customHeight="1">
      <x:c r="A310" s="1" t="str">
        <x:v>Round1</x:v>
      </x:c>
      <x:c r="B310" s="1" t="str">
        <x:v>Compress</x:v>
      </x:c>
      <x:c r="C310" s="4" t="n">
        <x:v>24</x:v>
      </x:c>
      <x:c r="D310" s="4" t="n">
        <x:v>0</x:v>
      </x:c>
      <x:c r="E310" s="4" t="n">
        <x:v>60</x:v>
      </x:c>
      <x:c r="F310" s="4" t="n">
        <x:v>54</x:v>
      </x:c>
      <x:c r="G310" s="5" t="n">
        <x:v>0.40270000000000006</x:v>
      </x:c>
      <x:c r="H310" s="5" t="n">
        <x:v>0.4611</x:v>
      </x:c>
      <x:c r="I310" s="5" t="n">
        <x:v>0.3136</x:v>
      </x:c>
      <x:c r="J310" s="4" t="n">
        <x:v>298</x:v>
      </x:c>
      <x:c r="K310" s="4" t="n">
        <x:v>120</x:v>
      </x:c>
      <x:c r="L310" s="4" t="n">
        <x:v>180</x:v>
      </x:c>
      <x:c r="M310" s="4" t="n">
        <x:v>83</x:v>
      </x:c>
      <x:c r="N310" s="4" t="n">
        <x:v>118</x:v>
      </x:c>
      <x:c r="O310" s="4" t="n">
        <x:v>37</x:v>
      </x:c>
      <x:c r="P310" s="1" t="str">
        <x:v>PASS</x:v>
      </x:c>
      <x:c r="Q310" s="4" t="n">
        <x:v>0</x:v>
      </x:c>
      <x:c r="R310" s="1" t="str">
        <x:v>PASS</x:v>
      </x:c>
      <x:c r="S310" s="4" t="n">
        <x:v>0</x:v>
      </x:c>
      <x:c r="T310" s="1" t="str">
        <x:v>NOT_REVEALING</x:v>
      </x:c>
      <x:c r="U310" s="1" t="str">
        <x:v>Compress_24</x:v>
      </x:c>
      <x:c r="V310" s="6" t="n">
        <x:v>25.95</x:v>
      </x:c>
    </x:row>
    <x:row r="311" ht="22" customHeight="1">
      <x:c r="A311" s="1" t="str">
        <x:v>Round1</x:v>
      </x:c>
      <x:c r="B311" s="1" t="str">
        <x:v>Compress</x:v>
      </x:c>
      <x:c r="C311" s="4" t="n">
        <x:v>25</x:v>
      </x:c>
      <x:c r="D311" s="4" t="n">
        <x:v>0</x:v>
      </x:c>
      <x:c r="E311" s="4" t="n">
        <x:v>60</x:v>
      </x:c>
      <x:c r="F311" s="4" t="n">
        <x:v>25</x:v>
      </x:c>
      <x:c r="G311" s="5" t="n">
        <x:v>0.0873</x:v>
      </x:c>
      <x:c r="H311" s="5" t="n">
        <x:v>0.1197</x:v>
      </x:c>
      <x:c r="I311" s="5" t="n">
        <x:v>0.035699999999999996</x:v>
      </x:c>
      <x:c r="J311" s="4" t="n">
        <x:v>653</x:v>
      </x:c>
      <x:c r="K311" s="4" t="n">
        <x:v>57</x:v>
      </x:c>
      <x:c r="L311" s="4" t="n">
        <x:v>401</x:v>
      </x:c>
      <x:c r="M311" s="4" t="n">
        <x:v>48</x:v>
      </x:c>
      <x:c r="N311" s="4" t="n">
        <x:v>252</x:v>
      </x:c>
      <x:c r="O311" s="4" t="n">
        <x:v>9</x:v>
      </x:c>
      <x:c r="P311" s="1" t="str">
        <x:v>PASS</x:v>
      </x:c>
      <x:c r="Q311" s="4" t="n">
        <x:v>0</x:v>
      </x:c>
      <x:c r="R311" s="1" t="str">
        <x:v>PASS</x:v>
      </x:c>
      <x:c r="S311" s="4" t="n">
        <x:v>0</x:v>
      </x:c>
      <x:c r="T311" s="1" t="str">
        <x:v>NOT_REVEALING</x:v>
      </x:c>
      <x:c r="U311" s="1" t="str">
        <x:v>Compress_25</x:v>
      </x:c>
      <x:c r="V311" s="6" t="n">
        <x:v>25.02</x:v>
      </x:c>
    </x:row>
    <x:row r="312" ht="22" customHeight="1">
      <x:c r="A312" s="1" t="str">
        <x:v>Round1</x:v>
      </x:c>
      <x:c r="B312" s="1" t="str">
        <x:v>Compress</x:v>
      </x:c>
      <x:c r="C312" s="4" t="n">
        <x:v>26</x:v>
      </x:c>
      <x:c r="D312" s="4" t="n">
        <x:v>0</x:v>
      </x:c>
      <x:c r="E312" s="4" t="n">
        <x:v>60</x:v>
      </x:c>
      <x:c r="F312" s="4" t="n">
        <x:v>338</x:v>
      </x:c>
      <x:c r="G312" s="5" t="n">
        <x:v>0.5740999999999999</x:v>
      </x:c>
      <x:c r="H312" s="5" t="n">
        <x:v>0.5556</x:v>
      </x:c>
      <x:c r="I312" s="5" t="n">
        <x:v>0.6111</x:v>
      </x:c>
      <x:c r="J312" s="4" t="n">
        <x:v>54</x:v>
      </x:c>
      <x:c r="K312" s="4" t="n">
        <x:v>31</x:v>
      </x:c>
      <x:c r="L312" s="4" t="n">
        <x:v>36</x:v>
      </x:c>
      <x:c r="M312" s="4" t="n">
        <x:v>20</x:v>
      </x:c>
      <x:c r="N312" s="4" t="n">
        <x:v>18</x:v>
      </x:c>
      <x:c r="O312" s="4" t="n">
        <x:v>11</x:v>
      </x:c>
      <x:c r="P312" s="1" t="str">
        <x:v>PASS</x:v>
      </x:c>
      <x:c r="Q312" s="4" t="n">
        <x:v>0</x:v>
      </x:c>
      <x:c r="R312" s="1" t="str">
        <x:v>PASS</x:v>
      </x:c>
      <x:c r="S312" s="4" t="n">
        <x:v>0</x:v>
      </x:c>
      <x:c r="T312" s="1" t="str">
        <x:v>NOT_REVEALING</x:v>
      </x:c>
      <x:c r="U312" s="1" t="str">
        <x:v>Compress_26</x:v>
      </x:c>
      <x:c r="V312" s="6" t="n">
        <x:v>30.92</x:v>
      </x:c>
    </x:row>
    <x:row r="313" ht="22" customHeight="1">
      <x:c r="A313" s="1" t="str">
        <x:v>Round1</x:v>
      </x:c>
      <x:c r="B313" s="1" t="str">
        <x:v>Compress</x:v>
      </x:c>
      <x:c r="C313" s="4" t="n">
        <x:v>27</x:v>
      </x:c>
      <x:c r="D313" s="4" t="n">
        <x:v>0</x:v>
      </x:c>
      <x:c r="E313" s="4" t="n">
        <x:v>60</x:v>
      </x:c>
      <x:c r="F313" s="4" t="n">
        <x:v>55</x:v>
      </x:c>
      <x:c r="G313" s="5" t="n">
        <x:v>0.4082</x:v>
      </x:c>
      <x:c r="H313" s="5" t="n">
        <x:v>0.46630000000000005</x:v>
      </x:c>
      <x:c r="I313" s="5" t="n">
        <x:v>0.319</x:v>
      </x:c>
      <x:c r="J313" s="4" t="n">
        <x:v>294</x:v>
      </x:c>
      <x:c r="K313" s="4" t="n">
        <x:v>120</x:v>
      </x:c>
      <x:c r="L313" s="4" t="n">
        <x:v>178</x:v>
      </x:c>
      <x:c r="M313" s="4" t="n">
        <x:v>83</x:v>
      </x:c>
      <x:c r="N313" s="4" t="n">
        <x:v>116</x:v>
      </x:c>
      <x:c r="O313" s="4" t="n">
        <x:v>37</x:v>
      </x:c>
      <x:c r="P313" s="1" t="str">
        <x:v>PASS</x:v>
      </x:c>
      <x:c r="Q313" s="4" t="n">
        <x:v>0</x:v>
      </x:c>
      <x:c r="R313" s="1" t="str">
        <x:v>PASS</x:v>
      </x:c>
      <x:c r="S313" s="4" t="n">
        <x:v>0</x:v>
      </x:c>
      <x:c r="T313" s="1" t="str">
        <x:v>NOT_REVEALING</x:v>
      </x:c>
      <x:c r="U313" s="1" t="str">
        <x:v>Compress_27</x:v>
      </x:c>
      <x:c r="V313" s="6" t="n">
        <x:v>28.04</x:v>
      </x:c>
    </x:row>
    <x:row r="314" ht="22" customHeight="1">
      <x:c r="A314" s="1" t="str">
        <x:v>Round1</x:v>
      </x:c>
      <x:c r="B314" s="1" t="str">
        <x:v>Compress</x:v>
      </x:c>
      <x:c r="C314" s="4" t="n">
        <x:v>28</x:v>
      </x:c>
      <x:c r="D314" s="4" t="n">
        <x:v>0</x:v>
      </x:c>
      <x:c r="E314" s="4" t="n">
        <x:v>60</x:v>
      </x:c>
      <x:c r="F314" s="4" t="n">
        <x:v>63</x:v>
      </x:c>
      <x:c r="G314" s="5" t="n">
        <x:v>0.2716</x:v>
      </x:c>
      <x:c r="H314" s="5" t="n">
        <x:v>0.3333</x:v>
      </x:c>
      <x:c r="I314" s="5" t="n">
        <x:v>0.16390000000000002</x:v>
      </x:c>
      <x:c r="J314" s="4" t="n">
        <x:v>335</x:v>
      </x:c>
      <x:c r="K314" s="4" t="n">
        <x:v>91</x:v>
      </x:c>
      <x:c r="L314" s="4" t="n">
        <x:v>213</x:v>
      </x:c>
      <x:c r="M314" s="4" t="n">
        <x:v>71</x:v>
      </x:c>
      <x:c r="N314" s="4" t="n">
        <x:v>122</x:v>
      </x:c>
      <x:c r="O314" s="4" t="n">
        <x:v>20</x:v>
      </x:c>
      <x:c r="P314" s="1" t="str">
        <x:v>PASS</x:v>
      </x:c>
      <x:c r="Q314" s="4" t="n">
        <x:v>0</x:v>
      </x:c>
      <x:c r="R314" s="1" t="str">
        <x:v>PASS</x:v>
      </x:c>
      <x:c r="S314" s="4" t="n">
        <x:v>0</x:v>
      </x:c>
      <x:c r="T314" s="1" t="str">
        <x:v>NOT_REVEALING</x:v>
      </x:c>
      <x:c r="U314" s="1" t="str">
        <x:v>Compress_28</x:v>
      </x:c>
      <x:c r="V314" s="6" t="n">
        <x:v>27.87</x:v>
      </x:c>
    </x:row>
    <x:row r="315" ht="22" customHeight="1">
      <x:c r="A315" s="1" t="str">
        <x:v>Round1</x:v>
      </x:c>
      <x:c r="B315" s="1" t="str">
        <x:v>Compress</x:v>
      </x:c>
      <x:c r="C315" s="4" t="n">
        <x:v>29</x:v>
      </x:c>
      <x:c r="D315" s="4" t="n">
        <x:v>0</x:v>
      </x:c>
      <x:c r="E315" s="4" t="n">
        <x:v>60</x:v>
      </x:c>
      <x:c r="F315" s="4" t="n">
        <x:v>42</x:v>
      </x:c>
      <x:c r="G315" s="5" t="n">
        <x:v>0.0742</x:v>
      </x:c>
      <x:c r="H315" s="5" t="n">
        <x:v>0.09880000000000001</x:v>
      </x:c>
      <x:c r="I315" s="5" t="n">
        <x:v>0.0294</x:v>
      </x:c>
      <x:c r="J315" s="4" t="n">
        <x:v>2494</x:v>
      </x:c>
      <x:c r="K315" s="4" t="n">
        <x:v>185</x:v>
      </x:c>
      <x:c r="L315" s="4" t="n">
        <x:v>1609</x:v>
      </x:c>
      <x:c r="M315" s="4" t="n">
        <x:v>159</x:v>
      </x:c>
      <x:c r="N315" s="4" t="n">
        <x:v>885</x:v>
      </x:c>
      <x:c r="O315" s="4" t="n">
        <x:v>26</x:v>
      </x:c>
      <x:c r="P315" s="1" t="str">
        <x:v>PASS</x:v>
      </x:c>
      <x:c r="Q315" s="4" t="n">
        <x:v>0</x:v>
      </x:c>
      <x:c r="R315" s="1" t="str">
        <x:v>PASS</x:v>
      </x:c>
      <x:c r="S315" s="4" t="n">
        <x:v>0</x:v>
      </x:c>
      <x:c r="T315" s="1" t="str">
        <x:v>NOT_REVEALING</x:v>
      </x:c>
      <x:c r="U315" s="1" t="str">
        <x:v>Compress_29</x:v>
      </x:c>
      <x:c r="V315" s="6" t="n">
        <x:v>26.04</x:v>
      </x:c>
    </x:row>
    <x:row r="316" ht="22" customHeight="1">
      <x:c r="A316" s="1" t="str">
        <x:v>Round1</x:v>
      </x:c>
      <x:c r="B316" s="1" t="str">
        <x:v>Compress</x:v>
      </x:c>
      <x:c r="C316" s="4" t="n">
        <x:v>30</x:v>
      </x:c>
      <x:c r="D316" s="4" t="n">
        <x:v>0</x:v>
      </x:c>
      <x:c r="E316" s="4" t="n">
        <x:v>60</x:v>
      </x:c>
      <x:c r="F316" s="4" t="n">
        <x:v>66</x:v>
      </x:c>
      <x:c r="G316" s="5" t="n">
        <x:v>0.0225</x:v>
      </x:c>
      <x:c r="H316" s="5" t="n">
        <x:v>0.0265</x:v>
      </x:c>
      <x:c r="I316" s="5" t="n">
        <x:v>0.0151</x:v>
      </x:c>
      <x:c r="J316" s="4" t="n">
        <x:v>755</x:v>
      </x:c>
      <x:c r="K316" s="4" t="n">
        <x:v>17</x:v>
      </x:c>
      <x:c r="L316" s="4" t="n">
        <x:v>490</x:v>
      </x:c>
      <x:c r="M316" s="4" t="n">
        <x:v>13</x:v>
      </x:c>
      <x:c r="N316" s="4" t="n">
        <x:v>265</x:v>
      </x:c>
      <x:c r="O316" s="4" t="n">
        <x:v>4</x:v>
      </x:c>
      <x:c r="P316" s="1" t="str">
        <x:v>PASS</x:v>
      </x:c>
      <x:c r="Q316" s="4" t="n">
        <x:v>0</x:v>
      </x:c>
      <x:c r="R316" s="1" t="str">
        <x:v>PASS</x:v>
      </x:c>
      <x:c r="S316" s="4" t="n">
        <x:v>0</x:v>
      </x:c>
      <x:c r="T316" s="1" t="str">
        <x:v>NOT_REVEALING</x:v>
      </x:c>
      <x:c r="U316" s="1" t="str">
        <x:v>Compress_30</x:v>
      </x:c>
      <x:c r="V316" s="6" t="n">
        <x:v>27.15</x:v>
      </x:c>
    </x:row>
    <x:row r="317" ht="22" customHeight="1">
      <x:c r="A317" s="1" t="str">
        <x:v>Round1</x:v>
      </x:c>
      <x:c r="B317" s="1" t="str">
        <x:v>Compress</x:v>
      </x:c>
      <x:c r="C317" s="4" t="n">
        <x:v>31</x:v>
      </x:c>
      <x:c r="D317" s="4" t="n">
        <x:v>0</x:v>
      </x:c>
      <x:c r="E317" s="4" t="n">
        <x:v>60</x:v>
      </x:c>
      <x:c r="F317" s="4" t="n">
        <x:v>40</x:v>
      </x:c>
      <x:c r="G317" s="5" t="n">
        <x:v>0.41100000000000003</x:v>
      </x:c>
      <x:c r="H317" s="5" t="n">
        <x:v>0.47159999999999996</x:v>
      </x:c>
      <x:c r="I317" s="5" t="n">
        <x:v>0.319</x:v>
      </x:c>
      <x:c r="J317" s="4" t="n">
        <x:v>292</x:v>
      </x:c>
      <x:c r="K317" s="4" t="n">
        <x:v>120</x:v>
      </x:c>
      <x:c r="L317" s="4" t="n">
        <x:v>176</x:v>
      </x:c>
      <x:c r="M317" s="4" t="n">
        <x:v>83</x:v>
      </x:c>
      <x:c r="N317" s="4" t="n">
        <x:v>116</x:v>
      </x:c>
      <x:c r="O317" s="4" t="n">
        <x:v>37</x:v>
      </x:c>
      <x:c r="P317" s="1" t="str">
        <x:v>PASS</x:v>
      </x:c>
      <x:c r="Q317" s="4" t="n">
        <x:v>0</x:v>
      </x:c>
      <x:c r="R317" s="1" t="str">
        <x:v>PASS</x:v>
      </x:c>
      <x:c r="S317" s="4" t="n">
        <x:v>0</x:v>
      </x:c>
      <x:c r="T317" s="1" t="str">
        <x:v>NOT_REVEALING</x:v>
      </x:c>
      <x:c r="U317" s="1" t="str">
        <x:v>Compress_31</x:v>
      </x:c>
      <x:c r="V317" s="6" t="n">
        <x:v>26.97</x:v>
      </x:c>
    </x:row>
    <x:row r="318" ht="22" customHeight="1">
      <x:c r="A318" s="1" t="str">
        <x:v>Round1</x:v>
      </x:c>
      <x:c r="B318" s="1" t="str">
        <x:v>Compress</x:v>
      </x:c>
      <x:c r="C318" s="4" t="n">
        <x:v>32</x:v>
      </x:c>
      <x:c r="D318" s="4" t="n">
        <x:v>0</x:v>
      </x:c>
      <x:c r="E318" s="4" t="n">
        <x:v>60</x:v>
      </x:c>
      <x:c r="F318" s="4" t="n">
        <x:v>56</x:v>
      </x:c>
      <x:c r="G318" s="5" t="n">
        <x:v>0.2457</x:v>
      </x:c>
      <x:c r="H318" s="5" t="n">
        <x:v>0.3045</x:v>
      </x:c>
      <x:c r="I318" s="5" t="n">
        <x:v>0.1429</x:v>
      </x:c>
      <x:c r="J318" s="4" t="n">
        <x:v>346</x:v>
      </x:c>
      <x:c r="K318" s="4" t="n">
        <x:v>85</x:v>
      </x:c>
      <x:c r="L318" s="4" t="n">
        <x:v>220</x:v>
      </x:c>
      <x:c r="M318" s="4" t="n">
        <x:v>67</x:v>
      </x:c>
      <x:c r="N318" s="4" t="n">
        <x:v>126</x:v>
      </x:c>
      <x:c r="O318" s="4" t="n">
        <x:v>18</x:v>
      </x:c>
      <x:c r="P318" s="1" t="str">
        <x:v>PASS</x:v>
      </x:c>
      <x:c r="Q318" s="4" t="n">
        <x:v>0</x:v>
      </x:c>
      <x:c r="R318" s="1" t="str">
        <x:v>PASS</x:v>
      </x:c>
      <x:c r="S318" s="4" t="n">
        <x:v>0</x:v>
      </x:c>
      <x:c r="T318" s="1" t="str">
        <x:v>NOT_REVEALING</x:v>
      </x:c>
      <x:c r="U318" s="1" t="str">
        <x:v>Compress_32</x:v>
      </x:c>
      <x:c r="V318" s="6" t="n">
        <x:v>26.71</x:v>
      </x:c>
    </x:row>
    <x:row r="319" ht="22" customHeight="1">
      <x:c r="A319" s="1" t="str">
        <x:v>Round1</x:v>
      </x:c>
      <x:c r="B319" s="1" t="str">
        <x:v>Compress</x:v>
      </x:c>
      <x:c r="C319" s="4" t="n">
        <x:v>33</x:v>
      </x:c>
      <x:c r="D319" s="4" t="n">
        <x:v>0</x:v>
      </x:c>
      <x:c r="E319" s="4" t="n">
        <x:v>60</x:v>
      </x:c>
      <x:c r="F319" s="4" t="n">
        <x:v>94</x:v>
      </x:c>
      <x:c r="G319" s="5" t="n">
        <x:v>0.1812</x:v>
      </x:c>
      <x:c r="H319" s="5" t="n">
        <x:v>0.22920000000000001</x:v>
      </x:c>
      <x:c r="I319" s="5" t="n">
        <x:v>0.1094</x:v>
      </x:c>
      <x:c r="J319" s="4" t="n">
        <x:v>160</x:v>
      </x:c>
      <x:c r="K319" s="4" t="n">
        <x:v>29</x:v>
      </x:c>
      <x:c r="L319" s="4" t="n">
        <x:v>96</x:v>
      </x:c>
      <x:c r="M319" s="4" t="n">
        <x:v>22</x:v>
      </x:c>
      <x:c r="N319" s="4" t="n">
        <x:v>64</x:v>
      </x:c>
      <x:c r="O319" s="4" t="n">
        <x:v>7</x:v>
      </x:c>
      <x:c r="P319" s="1" t="str">
        <x:v>PASS</x:v>
      </x:c>
      <x:c r="Q319" s="4" t="n">
        <x:v>0</x:v>
      </x:c>
      <x:c r="R319" s="1" t="str">
        <x:v>PASS</x:v>
      </x:c>
      <x:c r="S319" s="4" t="n">
        <x:v>0</x:v>
      </x:c>
      <x:c r="T319" s="1" t="str">
        <x:v>NOT_REVEALING</x:v>
      </x:c>
      <x:c r="U319" s="1" t="str">
        <x:v>Compress_33</x:v>
      </x:c>
      <x:c r="V319" s="6" t="n">
        <x:v>25.6</x:v>
      </x:c>
    </x:row>
    <x:row r="320" ht="22" customHeight="1">
      <x:c r="A320" s="1" t="str">
        <x:v>Round1</x:v>
      </x:c>
      <x:c r="B320" s="1" t="str">
        <x:v>Compress</x:v>
      </x:c>
      <x:c r="C320" s="4" t="n">
        <x:v>34</x:v>
      </x:c>
      <x:c r="D320" s="4" t="n">
        <x:v>0</x:v>
      </x:c>
      <x:c r="E320" s="4" t="n">
        <x:v>60</x:v>
      </x:c>
      <x:c r="F320" s="4" t="n">
        <x:v>27</x:v>
      </x:c>
      <x:c r="G320" s="5" t="n">
        <x:v>0.7737999999999999</x:v>
      </x:c>
      <x:c r="H320" s="5" t="n">
        <x:v>0.8143</x:v>
      </x:c>
      <x:c r="I320" s="5" t="n">
        <x:v>0.5714</x:v>
      </x:c>
      <x:c r="J320" s="4" t="n">
        <x:v>84</x:v>
      </x:c>
      <x:c r="K320" s="4" t="n">
        <x:v>65</x:v>
      </x:c>
      <x:c r="L320" s="4" t="n">
        <x:v>70</x:v>
      </x:c>
      <x:c r="M320" s="4" t="n">
        <x:v>57</x:v>
      </x:c>
      <x:c r="N320" s="4" t="n">
        <x:v>14</x:v>
      </x:c>
      <x:c r="O320" s="4" t="n">
        <x:v>8</x:v>
      </x:c>
      <x:c r="P320" s="1" t="str">
        <x:v>PASS</x:v>
      </x:c>
      <x:c r="Q320" s="4" t="n">
        <x:v>0</x:v>
      </x:c>
      <x:c r="R320" s="1" t="str">
        <x:v>PASS</x:v>
      </x:c>
      <x:c r="S320" s="4" t="n">
        <x:v>0</x:v>
      </x:c>
      <x:c r="T320" s="1" t="str">
        <x:v>NOT_REVEALING</x:v>
      </x:c>
      <x:c r="U320" s="1" t="str">
        <x:v>Compress_34</x:v>
      </x:c>
      <x:c r="V320" s="6" t="n">
        <x:v>26.33</x:v>
      </x:c>
    </x:row>
    <x:row r="321" ht="22" customHeight="1">
      <x:c r="A321" s="1" t="str">
        <x:v>Round1</x:v>
      </x:c>
      <x:c r="B321" s="1" t="str">
        <x:v>Compress</x:v>
      </x:c>
      <x:c r="C321" s="4" t="n">
        <x:v>35</x:v>
      </x:c>
      <x:c r="D321" s="4" t="n">
        <x:v>0</x:v>
      </x:c>
      <x:c r="E321" s="4" t="n">
        <x:v>60</x:v>
      </x:c>
      <x:c r="F321" s="4" t="n">
        <x:v>40</x:v>
      </x:c>
      <x:c r="G321" s="5" t="n">
        <x:v>0.41609999999999997</x:v>
      </x:c>
      <x:c r="H321" s="5" t="n">
        <x:v>0.47700000000000004</x:v>
      </x:c>
      <x:c r="I321" s="5" t="n">
        <x:v>0.3214</x:v>
      </x:c>
      <x:c r="J321" s="4" t="n">
        <x:v>286</x:v>
      </x:c>
      <x:c r="K321" s="4" t="n">
        <x:v>119</x:v>
      </x:c>
      <x:c r="L321" s="4" t="n">
        <x:v>174</x:v>
      </x:c>
      <x:c r="M321" s="4" t="n">
        <x:v>83</x:v>
      </x:c>
      <x:c r="N321" s="4" t="n">
        <x:v>112</x:v>
      </x:c>
      <x:c r="O321" s="4" t="n">
        <x:v>36</x:v>
      </x:c>
      <x:c r="P321" s="1" t="str">
        <x:v>PASS</x:v>
      </x:c>
      <x:c r="Q321" s="4" t="n">
        <x:v>0</x:v>
      </x:c>
      <x:c r="R321" s="1" t="str">
        <x:v>FAIL</x:v>
      </x:c>
      <x:c r="S321" s="4" t="n">
        <x:v>36</x:v>
      </x:c>
      <x:c r="T321" s="1" t="str">
        <x:v>INCONCLUSIVE</x:v>
      </x:c>
      <x:c r="U321" s="1" t="str">
        <x:v>Compress_35</x:v>
      </x:c>
      <x:c r="V321" s="6" t="n">
        <x:v>27.21</x:v>
      </x:c>
    </x:row>
    <x:row r="322" ht="22" customHeight="1">
      <x:c r="A322" s="1" t="str">
        <x:v>Round1</x:v>
      </x:c>
      <x:c r="B322" s="1" t="str">
        <x:v>Compress</x:v>
      </x:c>
      <x:c r="C322" s="4" t="n">
        <x:v>36</x:v>
      </x:c>
      <x:c r="D322" s="4" t="n">
        <x:v>0</x:v>
      </x:c>
      <x:c r="E322" s="4" t="n">
        <x:v>60</x:v>
      </x:c>
      <x:c r="F322" s="4" t="n">
        <x:v>35</x:v>
      </x:c>
      <x:c r="G322" s="5" t="n">
        <x:v>0.025099999999999997</x:v>
      </x:c>
      <x:c r="H322" s="5" t="n">
        <x:v>0.0281</x:v>
      </x:c>
      <x:c r="I322" s="5" t="n">
        <x:v>0.019799999999999998</x:v>
      </x:c>
      <x:c r="J322" s="4" t="n">
        <x:v>836</x:v>
      </x:c>
      <x:c r="K322" s="4" t="n">
        <x:v>21</x:v>
      </x:c>
      <x:c r="L322" s="4" t="n">
        <x:v>533</x:v>
      </x:c>
      <x:c r="M322" s="4" t="n">
        <x:v>15</x:v>
      </x:c>
      <x:c r="N322" s="4" t="n">
        <x:v>303</x:v>
      </x:c>
      <x:c r="O322" s="4" t="n">
        <x:v>6</x:v>
      </x:c>
      <x:c r="P322" s="1" t="str">
        <x:v>PASS</x:v>
      </x:c>
      <x:c r="Q322" s="4" t="n">
        <x:v>0</x:v>
      </x:c>
      <x:c r="R322" s="1" t="str">
        <x:v>PASS</x:v>
      </x:c>
      <x:c r="S322" s="4" t="n">
        <x:v>0</x:v>
      </x:c>
      <x:c r="T322" s="1" t="str">
        <x:v>NOT_REVEALING</x:v>
      </x:c>
      <x:c r="U322" s="1" t="str">
        <x:v>Compress_36</x:v>
      </x:c>
      <x:c r="V322" s="6" t="n">
        <x:v>28.2</x:v>
      </x:c>
    </x:row>
    <x:row r="323" ht="22" customHeight="1">
      <x:c r="A323" s="1" t="str">
        <x:v>Round1</x:v>
      </x:c>
      <x:c r="B323" s="1" t="str">
        <x:v>Compress</x:v>
      </x:c>
      <x:c r="C323" s="4" t="n">
        <x:v>37</x:v>
      </x:c>
      <x:c r="D323" s="4" t="n">
        <x:v>0</x:v>
      </x:c>
      <x:c r="E323" s="4" t="n">
        <x:v>60</x:v>
      </x:c>
      <x:c r="F323" s="4" t="n">
        <x:v>67</x:v>
      </x:c>
      <x:c r="G323" s="5" t="n">
        <x:v>0.2314</x:v>
      </x:c>
      <x:c r="H323" s="5" t="n">
        <x:v>0.29109999999999997</x:v>
      </x:c>
      <x:c r="I323" s="5" t="n">
        <x:v>0.1382</x:v>
      </x:c>
      <x:c r="J323" s="4" t="n">
        <x:v>389</x:v>
      </x:c>
      <x:c r="K323" s="4" t="n">
        <x:v>90</x:v>
      </x:c>
      <x:c r="L323" s="4" t="n">
        <x:v>237</x:v>
      </x:c>
      <x:c r="M323" s="4" t="n">
        <x:v>69</x:v>
      </x:c>
      <x:c r="N323" s="4" t="n">
        <x:v>152</x:v>
      </x:c>
      <x:c r="O323" s="4" t="n">
        <x:v>21</x:v>
      </x:c>
      <x:c r="P323" s="1" t="str">
        <x:v>PASS</x:v>
      </x:c>
      <x:c r="Q323" s="4" t="n">
        <x:v>0</x:v>
      </x:c>
      <x:c r="R323" s="1" t="str">
        <x:v>PASS</x:v>
      </x:c>
      <x:c r="S323" s="4" t="n">
        <x:v>0</x:v>
      </x:c>
      <x:c r="T323" s="1" t="str">
        <x:v>NOT_REVEALING</x:v>
      </x:c>
      <x:c r="U323" s="1" t="str">
        <x:v>Compress_37</x:v>
      </x:c>
      <x:c r="V323" s="6" t="n">
        <x:v>28.14</x:v>
      </x:c>
    </x:row>
    <x:row r="324" ht="22" customHeight="1">
      <x:c r="A324" s="1" t="str">
        <x:v>Round1</x:v>
      </x:c>
      <x:c r="B324" s="1" t="str">
        <x:v>Compress</x:v>
      </x:c>
      <x:c r="C324" s="4" t="n">
        <x:v>38</x:v>
      </x:c>
      <x:c r="D324" s="4" t="n">
        <x:v>0</x:v>
      </x:c>
      <x:c r="E324" s="4" t="n">
        <x:v>60</x:v>
      </x:c>
      <x:c r="F324" s="4" t="n">
        <x:v>75</x:v>
      </x:c>
      <x:c r="G324" s="5" t="n">
        <x:v>0.3154</x:v>
      </x:c>
      <x:c r="H324" s="5" t="n">
        <x:v>0.37829999999999997</x:v>
      </x:c>
      <x:c r="I324" s="5" t="n">
        <x:v>0.1818</x:v>
      </x:c>
      <x:c r="J324" s="4" t="n">
        <x:v>447</x:v>
      </x:c>
      <x:c r="K324" s="4" t="n">
        <x:v>141</x:v>
      </x:c>
      <x:c r="L324" s="4" t="n">
        <x:v>304</x:v>
      </x:c>
      <x:c r="M324" s="4" t="n">
        <x:v>115</x:v>
      </x:c>
      <x:c r="N324" s="4" t="n">
        <x:v>143</x:v>
      </x:c>
      <x:c r="O324" s="4" t="n">
        <x:v>26</x:v>
      </x:c>
      <x:c r="P324" s="1" t="str">
        <x:v>PASS</x:v>
      </x:c>
      <x:c r="Q324" s="4" t="n">
        <x:v>0</x:v>
      </x:c>
      <x:c r="R324" s="1" t="str">
        <x:v>PASS</x:v>
      </x:c>
      <x:c r="S324" s="4" t="n">
        <x:v>0</x:v>
      </x:c>
      <x:c r="T324" s="1" t="str">
        <x:v>NOT_REVEALING</x:v>
      </x:c>
      <x:c r="U324" s="1" t="str">
        <x:v>Compress_38</x:v>
      </x:c>
      <x:c r="V324" s="6" t="n">
        <x:v>27.38</x:v>
      </x:c>
    </x:row>
    <x:row r="325" ht="22" customHeight="1">
      <x:c r="A325" s="1" t="str">
        <x:v>Round1</x:v>
      </x:c>
      <x:c r="B325" s="1" t="str">
        <x:v>Compress</x:v>
      </x:c>
      <x:c r="C325" s="4" t="n">
        <x:v>39</x:v>
      </x:c>
      <x:c r="D325" s="4" t="n">
        <x:v>0</x:v>
      </x:c>
      <x:c r="E325" s="4" t="n">
        <x:v>60</x:v>
      </x:c>
      <x:c r="F325" s="4" t="n">
        <x:v>122</x:v>
      </x:c>
      <x:c r="G325" s="5" t="n">
        <x:v>0.7143</x:v>
      </x:c>
      <x:c r="H325" s="5" t="n">
        <x:v>0.7097</x:v>
      </x:c>
      <x:c r="I325" s="5" t="n">
        <x:v>0.7222</x:v>
      </x:c>
      <x:c r="J325" s="4" t="n">
        <x:v>98</x:v>
      </x:c>
      <x:c r="K325" s="4" t="n">
        <x:v>70</x:v>
      </x:c>
      <x:c r="L325" s="4" t="n">
        <x:v>62</x:v>
      </x:c>
      <x:c r="M325" s="4" t="n">
        <x:v>44</x:v>
      </x:c>
      <x:c r="N325" s="4" t="n">
        <x:v>36</x:v>
      </x:c>
      <x:c r="O325" s="4" t="n">
        <x:v>26</x:v>
      </x:c>
      <x:c r="P325" s="1" t="str">
        <x:v>FAIL</x:v>
      </x:c>
      <x:c r="Q325" s="4" t="n">
        <x:v>2</x:v>
      </x:c>
      <x:c r="R325" s="1" t="str">
        <x:v>FAIL</x:v>
      </x:c>
      <x:c r="S325" s="4" t="n">
        <x:v>2</x:v>
      </x:c>
      <x:c r="T325" s="1" t="str">
        <x:v>INCONCLUSIVE</x:v>
      </x:c>
      <x:c r="U325" s="1" t="str">
        <x:v>Compress_39</x:v>
      </x:c>
      <x:c r="V325" s="6" t="n">
        <x:v>29.67</x:v>
      </x:c>
    </x:row>
    <x:row r="326" ht="22" customHeight="1">
      <x:c r="A326" s="1" t="str">
        <x:v>Round1</x:v>
      </x:c>
      <x:c r="B326" s="1" t="str">
        <x:v>Compress</x:v>
      </x:c>
      <x:c r="C326" s="4" t="n">
        <x:v>40</x:v>
      </x:c>
      <x:c r="D326" s="4" t="n">
        <x:v>0</x:v>
      </x:c>
      <x:c r="E326" s="4" t="n">
        <x:v>60</x:v>
      </x:c>
      <x:c r="F326" s="4" t="n">
        <x:v>410</x:v>
      </x:c>
      <x:c r="G326" s="5" t="n">
        <x:v>0.6444</x:v>
      </x:c>
      <x:c r="H326" s="5" t="n">
        <x:v>0.6667000000000001</x:v>
      </x:c>
      <x:c r="I326" s="5" t="n">
        <x:v>0.5832999999999999</x:v>
      </x:c>
      <x:c r="J326" s="4" t="n">
        <x:v>45</x:v>
      </x:c>
      <x:c r="K326" s="4" t="n">
        <x:v>29</x:v>
      </x:c>
      <x:c r="L326" s="4" t="n">
        <x:v>33</x:v>
      </x:c>
      <x:c r="M326" s="4" t="n">
        <x:v>22</x:v>
      </x:c>
      <x:c r="N326" s="4" t="n">
        <x:v>12</x:v>
      </x:c>
      <x:c r="O326" s="4" t="n">
        <x:v>7</x:v>
      </x:c>
      <x:c r="P326" s="1" t="str">
        <x:v>PASS</x:v>
      </x:c>
      <x:c r="Q326" s="4" t="n">
        <x:v>0</x:v>
      </x:c>
      <x:c r="R326" s="1" t="str">
        <x:v>PASS</x:v>
      </x:c>
      <x:c r="S326" s="4" t="n">
        <x:v>0</x:v>
      </x:c>
      <x:c r="T326" s="1" t="str">
        <x:v>NOT_REVEALING</x:v>
      </x:c>
      <x:c r="U326" s="1" t="str">
        <x:v>Compress_40</x:v>
      </x:c>
      <x:c r="V326" s="6" t="n">
        <x:v>30.76</x:v>
      </x:c>
    </x:row>
    <x:row r="327" ht="22" customHeight="1">
      <x:c r="A327" s="1" t="str">
        <x:v>Round1</x:v>
      </x:c>
      <x:c r="B327" s="1" t="str">
        <x:v>Compress</x:v>
      </x:c>
      <x:c r="C327" s="4" t="n">
        <x:v>41</x:v>
      </x:c>
      <x:c r="D327" s="4" t="n">
        <x:v>0</x:v>
      </x:c>
      <x:c r="E327" s="4" t="n">
        <x:v>60</x:v>
      </x:c>
      <x:c r="F327" s="4" t="n">
        <x:v>22</x:v>
      </x:c>
      <x:c r="G327" s="5" t="n">
        <x:v>0.1101</x:v>
      </x:c>
      <x:c r="H327" s="5" t="n">
        <x:v>0.1359</x:v>
      </x:c>
      <x:c r="I327" s="5" t="n">
        <x:v>0.0692</x:v>
      </x:c>
      <x:c r="J327" s="4" t="n">
        <x:v>672</x:v>
      </x:c>
      <x:c r="K327" s="4" t="n">
        <x:v>74</x:v>
      </x:c>
      <x:c r="L327" s="4" t="n">
        <x:v>412</x:v>
      </x:c>
      <x:c r="M327" s="4" t="n">
        <x:v>56</x:v>
      </x:c>
      <x:c r="N327" s="4" t="n">
        <x:v>260</x:v>
      </x:c>
      <x:c r="O327" s="4" t="n">
        <x:v>18</x:v>
      </x:c>
      <x:c r="P327" s="1" t="str">
        <x:v>PASS</x:v>
      </x:c>
      <x:c r="Q327" s="4" t="n">
        <x:v>0</x:v>
      </x:c>
      <x:c r="R327" s="1" t="str">
        <x:v>PASS</x:v>
      </x:c>
      <x:c r="S327" s="4" t="n">
        <x:v>0</x:v>
      </x:c>
      <x:c r="T327" s="1" t="str">
        <x:v>NOT_REVEALING</x:v>
      </x:c>
      <x:c r="U327" s="1" t="str">
        <x:v>Compress_41</x:v>
      </x:c>
      <x:c r="V327" s="6" t="n">
        <x:v>27.84</x:v>
      </x:c>
    </x:row>
    <x:row r="328" ht="22" customHeight="1">
      <x:c r="A328" s="1" t="str">
        <x:v>Round1</x:v>
      </x:c>
      <x:c r="B328" s="1" t="str">
        <x:v>Compress</x:v>
      </x:c>
      <x:c r="C328" s="4" t="n">
        <x:v>42</x:v>
      </x:c>
      <x:c r="D328" s="4" t="n">
        <x:v>0</x:v>
      </x:c>
      <x:c r="E328" s="4" t="n">
        <x:v>60</x:v>
      </x:c>
      <x:c r="F328" s="4" t="n">
        <x:v>20</x:v>
      </x:c>
      <x:c r="G328" s="5" t="n">
        <x:v>0.1862</x:v>
      </x:c>
      <x:c r="H328" s="5" t="n">
        <x:v>0.2336</x:v>
      </x:c>
      <x:c r="I328" s="5" t="n">
        <x:v>0.09849999999999999</x:v>
      </x:c>
      <x:c r="J328" s="4" t="n">
        <x:v>376</x:v>
      </x:c>
      <x:c r="K328" s="4" t="n">
        <x:v>70</x:v>
      </x:c>
      <x:c r="L328" s="4" t="n">
        <x:v>244</x:v>
      </x:c>
      <x:c r="M328" s="4" t="n">
        <x:v>57</x:v>
      </x:c>
      <x:c r="N328" s="4" t="n">
        <x:v>132</x:v>
      </x:c>
      <x:c r="O328" s="4" t="n">
        <x:v>13</x:v>
      </x:c>
      <x:c r="P328" s="1" t="str">
        <x:v>PASS</x:v>
      </x:c>
      <x:c r="Q328" s="4" t="n">
        <x:v>0</x:v>
      </x:c>
      <x:c r="R328" s="1" t="str">
        <x:v>PASS</x:v>
      </x:c>
      <x:c r="S328" s="4" t="n">
        <x:v>0</x:v>
      </x:c>
      <x:c r="T328" s="1" t="str">
        <x:v>NOT_REVEALING</x:v>
      </x:c>
      <x:c r="U328" s="1" t="str">
        <x:v>Compress_42</x:v>
      </x:c>
      <x:c r="V328" s="6" t="n">
        <x:v>26.83</x:v>
      </x:c>
    </x:row>
    <x:row r="329" ht="22" customHeight="1">
      <x:c r="A329" s="1" t="str">
        <x:v>Round1</x:v>
      </x:c>
      <x:c r="B329" s="1" t="str">
        <x:v>Compress</x:v>
      </x:c>
      <x:c r="C329" s="4" t="n">
        <x:v>43</x:v>
      </x:c>
      <x:c r="D329" s="4" t="n">
        <x:v>0</x:v>
      </x:c>
      <x:c r="E329" s="4" t="n">
        <x:v>60</x:v>
      </x:c>
      <x:c r="F329" s="4" t="n">
        <x:v>16</x:v>
      </x:c>
      <x:c r="G329" s="5" t="n">
        <x:v>0.07919999999999999</x:v>
      </x:c>
      <x:c r="H329" s="5" t="n">
        <x:v>0.10880000000000001</x:v>
      </x:c>
      <x:c r="I329" s="5" t="n">
        <x:v>0.026699999999999998</x:v>
      </x:c>
      <x:c r="J329" s="4" t="n">
        <x:v>833</x:v>
      </x:c>
      <x:c r="K329" s="4" t="n">
        <x:v>66</x:v>
      </x:c>
      <x:c r="L329" s="4" t="n">
        <x:v>533</x:v>
      </x:c>
      <x:c r="M329" s="4" t="n">
        <x:v>58</x:v>
      </x:c>
      <x:c r="N329" s="4" t="n">
        <x:v>300</x:v>
      </x:c>
      <x:c r="O329" s="4" t="n">
        <x:v>8</x:v>
      </x:c>
      <x:c r="P329" s="1" t="str">
        <x:v>PASS</x:v>
      </x:c>
      <x:c r="Q329" s="4" t="n">
        <x:v>0</x:v>
      </x:c>
      <x:c r="R329" s="1" t="str">
        <x:v>PASS</x:v>
      </x:c>
      <x:c r="S329" s="4" t="n">
        <x:v>0</x:v>
      </x:c>
      <x:c r="T329" s="1" t="str">
        <x:v>NOT_REVEALING</x:v>
      </x:c>
      <x:c r="U329" s="1" t="str">
        <x:v>Compress_43</x:v>
      </x:c>
      <x:c r="V329" s="6" t="n">
        <x:v>29.22</x:v>
      </x:c>
    </x:row>
    <x:row r="330" ht="22" customHeight="1">
      <x:c r="A330" s="1" t="str">
        <x:v>Round1</x:v>
      </x:c>
      <x:c r="B330" s="1" t="str">
        <x:v>Compress</x:v>
      </x:c>
      <x:c r="C330" s="4" t="n">
        <x:v>44</x:v>
      </x:c>
      <x:c r="D330" s="4" t="n">
        <x:v>0</x:v>
      </x:c>
      <x:c r="E330" s="4" t="n">
        <x:v>60</x:v>
      </x:c>
      <x:c r="F330" s="4" t="n">
        <x:v>452</x:v>
      </x:c>
      <x:c r="G330" s="5" t="n">
        <x:v>0.39130000000000004</x:v>
      </x:c>
      <x:c r="H330" s="5" t="n">
        <x:v>0.5294</x:v>
      </x:c>
      <x:c r="I330" s="5" t="n">
        <x:v>0</x:v>
      </x:c>
      <x:c r="J330" s="4" t="n">
        <x:v>23</x:v>
      </x:c>
      <x:c r="K330" s="4" t="n">
        <x:v>9</x:v>
      </x:c>
      <x:c r="L330" s="4" t="n">
        <x:v>17</x:v>
      </x:c>
      <x:c r="M330" s="4" t="n">
        <x:v>9</x:v>
      </x:c>
      <x:c r="N330" s="4" t="n">
        <x:v>6</x:v>
      </x:c>
      <x:c r="O330" s="4" t="n">
        <x:v>0</x:v>
      </x:c>
      <x:c r="P330" s="1" t="str">
        <x:v>PASS</x:v>
      </x:c>
      <x:c r="Q330" s="4" t="n">
        <x:v>0</x:v>
      </x:c>
      <x:c r="R330" s="1" t="str">
        <x:v>FAIL</x:v>
      </x:c>
      <x:c r="S330" s="4" t="n">
        <x:v>902</x:v>
      </x:c>
      <x:c r="T330" s="1" t="str">
        <x:v>INCONCLUSIVE</x:v>
      </x:c>
      <x:c r="U330" s="1" t="str">
        <x:v>Compress_44</x:v>
      </x:c>
      <x:c r="V330" s="6" t="n">
        <x:v>34.04</x:v>
      </x:c>
    </x:row>
    <x:row r="331" ht="22" customHeight="1">
      <x:c r="A331" s="1" t="str">
        <x:v>Round1</x:v>
      </x:c>
      <x:c r="B331" s="1" t="str">
        <x:v>Compress</x:v>
      </x:c>
      <x:c r="C331" s="4" t="n">
        <x:v>45</x:v>
      </x:c>
      <x:c r="D331" s="4" t="n">
        <x:v>0</x:v>
      </x:c>
      <x:c r="E331" s="4" t="n">
        <x:v>60</x:v>
      </x:c>
      <x:c r="F331" s="4" t="n">
        <x:v>43</x:v>
      </x:c>
      <x:c r="G331" s="5" t="n">
        <x:v>0.35479999999999995</x:v>
      </x:c>
      <x:c r="H331" s="5" t="n">
        <x:v>0.39770000000000005</x:v>
      </x:c>
      <x:c r="I331" s="5" t="n">
        <x:v>0.287</x:v>
      </x:c>
      <x:c r="J331" s="4" t="n">
        <x:v>279</x:v>
      </x:c>
      <x:c r="K331" s="4" t="n">
        <x:v>99</x:v>
      </x:c>
      <x:c r="L331" s="4" t="n">
        <x:v>171</x:v>
      </x:c>
      <x:c r="M331" s="4" t="n">
        <x:v>68</x:v>
      </x:c>
      <x:c r="N331" s="4" t="n">
        <x:v>108</x:v>
      </x:c>
      <x:c r="O331" s="4" t="n">
        <x:v>31</x:v>
      </x:c>
      <x:c r="P331" s="1" t="str">
        <x:v>PASS</x:v>
      </x:c>
      <x:c r="Q331" s="4" t="n">
        <x:v>0</x:v>
      </x:c>
      <x:c r="R331" s="1" t="str">
        <x:v>FAIL</x:v>
      </x:c>
      <x:c r="S331" s="4" t="n">
        <x:v>2</x:v>
      </x:c>
      <x:c r="T331" s="1" t="str">
        <x:v>INCONCLUSIVE</x:v>
      </x:c>
      <x:c r="U331" s="1" t="str">
        <x:v>Compress_45</x:v>
      </x:c>
      <x:c r="V331" s="6" t="n">
        <x:v>31.24</x:v>
      </x:c>
    </x:row>
    <x:row r="332" ht="22" customHeight="1">
      <x:c r="A332" s="1" t="str">
        <x:v>Round1</x:v>
      </x:c>
      <x:c r="B332" s="1" t="str">
        <x:v>Compress</x:v>
      </x:c>
      <x:c r="C332" s="4" t="n">
        <x:v>46</x:v>
      </x:c>
      <x:c r="D332" s="4" t="n">
        <x:v>0</x:v>
      </x:c>
      <x:c r="E332" s="4" t="n">
        <x:v>60</x:v>
      </x:c>
      <x:c r="F332" s="4" t="n">
        <x:v>19</x:v>
      </x:c>
      <x:c r="G332" s="5" t="n">
        <x:v>0.35350000000000004</x:v>
      </x:c>
      <x:c r="H332" s="5" t="n">
        <x:v>0.4874</x:v>
      </x:c>
      <x:c r="I332" s="5" t="n">
        <x:v>0.1875</x:v>
      </x:c>
      <x:c r="J332" s="4" t="n">
        <x:v>215</x:v>
      </x:c>
      <x:c r="K332" s="4" t="n">
        <x:v>76</x:v>
      </x:c>
      <x:c r="L332" s="4" t="n">
        <x:v>119</x:v>
      </x:c>
      <x:c r="M332" s="4" t="n">
        <x:v>58</x:v>
      </x:c>
      <x:c r="N332" s="4" t="n">
        <x:v>96</x:v>
      </x:c>
      <x:c r="O332" s="4" t="n">
        <x:v>18</x:v>
      </x:c>
      <x:c r="P332" s="1" t="str">
        <x:v>PASS</x:v>
      </x:c>
      <x:c r="Q332" s="4" t="n">
        <x:v>0</x:v>
      </x:c>
      <x:c r="R332" s="1" t="str">
        <x:v>PASS</x:v>
      </x:c>
      <x:c r="S332" s="4" t="n">
        <x:v>0</x:v>
      </x:c>
      <x:c r="T332" s="1" t="str">
        <x:v>NOT_REVEALING</x:v>
      </x:c>
      <x:c r="U332" s="1" t="str">
        <x:v>Compress_46</x:v>
      </x:c>
      <x:c r="V332" s="6" t="n">
        <x:v>29.73</x:v>
      </x:c>
    </x:row>
    <x:row r="333" ht="22" customHeight="1">
      <x:c r="A333" s="1" t="str">
        <x:v>Round1</x:v>
      </x:c>
      <x:c r="B333" s="1" t="str">
        <x:v>Compress</x:v>
      </x:c>
      <x:c r="C333" s="4" t="n">
        <x:v>47</x:v>
      </x:c>
      <x:c r="D333" s="4" t="n">
        <x:v>0</x:v>
      </x:c>
      <x:c r="E333" s="4" t="n">
        <x:v>60</x:v>
      </x:c>
      <x:c r="F333" s="4" t="n">
        <x:v>19</x:v>
      </x:c>
      <x:c r="G333" s="5" t="n">
        <x:v>0.1067</x:v>
      </x:c>
      <x:c r="H333" s="5" t="n">
        <x:v>0.1326</x:v>
      </x:c>
      <x:c r="I333" s="5" t="n">
        <x:v>0.0659</x:v>
      </x:c>
      <x:c r="J333" s="4" t="n">
        <x:v>703</x:v>
      </x:c>
      <x:c r="K333" s="4" t="n">
        <x:v>75</x:v>
      </x:c>
      <x:c r="L333" s="4" t="n">
        <x:v>430</x:v>
      </x:c>
      <x:c r="M333" s="4" t="n">
        <x:v>57</x:v>
      </x:c>
      <x:c r="N333" s="4" t="n">
        <x:v>273</x:v>
      </x:c>
      <x:c r="O333" s="4" t="n">
        <x:v>18</x:v>
      </x:c>
      <x:c r="P333" s="1" t="str">
        <x:v>PASS</x:v>
      </x:c>
      <x:c r="Q333" s="4" t="n">
        <x:v>0</x:v>
      </x:c>
      <x:c r="R333" s="1" t="str">
        <x:v>PASS</x:v>
      </x:c>
      <x:c r="S333" s="4" t="n">
        <x:v>0</x:v>
      </x:c>
      <x:c r="T333" s="1" t="str">
        <x:v>NOT_REVEALING</x:v>
      </x:c>
      <x:c r="U333" s="1" t="str">
        <x:v>Compress_47</x:v>
      </x:c>
      <x:c r="V333" s="6" t="n">
        <x:v>29.13</x:v>
      </x:c>
    </x:row>
    <x:row r="334" ht="22" customHeight="1">
      <x:c r="A334" s="1" t="str">
        <x:v>Round1</x:v>
      </x:c>
      <x:c r="B334" s="1" t="str">
        <x:v>Csv</x:v>
      </x:c>
      <x:c r="C334" s="4" t="n">
        <x:v>1</x:v>
      </x:c>
      <x:c r="D334" s="4" t="n">
        <x:v>0</x:v>
      </x:c>
      <x:c r="E334" s="4" t="n">
        <x:v>60</x:v>
      </x:c>
      <x:c r="F334" s="4" t="n">
        <x:v>4</x:v>
      </x:c>
      <x:c r="G334" s="5" t="n">
        <x:v>0.0169</x:v>
      </x:c>
      <x:c r="H334" s="5" t="n">
        <x:v>0.027000000000000003</x:v>
      </x:c>
      <x:c r="I334" s="5" t="n">
        <x:v>0</x:v>
      </x:c>
      <x:c r="J334" s="4" t="n">
        <x:v>59</x:v>
      </x:c>
      <x:c r="K334" s="4" t="n">
        <x:v>1</x:v>
      </x:c>
      <x:c r="L334" s="4" t="n">
        <x:v>37</x:v>
      </x:c>
      <x:c r="M334" s="4" t="n">
        <x:v>1</x:v>
      </x:c>
      <x:c r="N334" s="4" t="n">
        <x:v>22</x:v>
      </x:c>
      <x:c r="O334" s="4" t="n">
        <x:v>0</x:v>
      </x:c>
      <x:c r="P334" s="1" t="str">
        <x:v>PASS</x:v>
      </x:c>
      <x:c r="Q334" s="4" t="n">
        <x:v>0</x:v>
      </x:c>
      <x:c r="R334" s="1" t="str">
        <x:v>PASS</x:v>
      </x:c>
      <x:c r="S334" s="4" t="n">
        <x:v>0</x:v>
      </x:c>
      <x:c r="T334" s="1" t="str">
        <x:v>NOT_REVEALING</x:v>
      </x:c>
      <x:c r="U334" s="1" t="str">
        <x:v>Csv_1</x:v>
      </x:c>
      <x:c r="V334" s="6" t="n">
        <x:v>18.39</x:v>
      </x:c>
    </x:row>
    <x:row r="335" ht="22" customHeight="1">
      <x:c r="A335" s="1" t="str">
        <x:v>Round1</x:v>
      </x:c>
      <x:c r="B335" s="1" t="str">
        <x:v>Csv</x:v>
      </x:c>
      <x:c r="C335" s="4" t="n">
        <x:v>2</x:v>
      </x:c>
      <x:c r="D335" s="4" t="n">
        <x:v>0</x:v>
      </x:c>
      <x:c r="E335" s="4" t="n">
        <x:v>60</x:v>
      </x:c>
      <x:c r="F335" s="4" t="n">
        <x:v>359</x:v>
      </x:c>
      <x:c r="G335" s="5" t="n">
        <x:v>0.6486</x:v>
      </x:c>
      <x:c r="H335" s="5" t="n">
        <x:v>0.9048</x:v>
      </x:c>
      <x:c r="I335" s="5" t="n">
        <x:v>0.3125</x:v>
      </x:c>
      <x:c r="J335" s="4" t="n">
        <x:v>37</x:v>
      </x:c>
      <x:c r="K335" s="4" t="n">
        <x:v>24</x:v>
      </x:c>
      <x:c r="L335" s="4" t="n">
        <x:v>21</x:v>
      </x:c>
      <x:c r="M335" s="4" t="n">
        <x:v>19</x:v>
      </x:c>
      <x:c r="N335" s="4" t="n">
        <x:v>16</x:v>
      </x:c>
      <x:c r="O335" s="4" t="n">
        <x:v>5</x:v>
      </x:c>
      <x:c r="P335" s="1" t="str">
        <x:v>PASS</x:v>
      </x:c>
      <x:c r="Q335" s="4" t="n">
        <x:v>0</x:v>
      </x:c>
      <x:c r="R335" s="1" t="str">
        <x:v>PASS</x:v>
      </x:c>
      <x:c r="S335" s="4" t="n">
        <x:v>0</x:v>
      </x:c>
      <x:c r="T335" s="1" t="str">
        <x:v>NOT_REVEALING</x:v>
      </x:c>
      <x:c r="U335" s="1" t="str">
        <x:v>Csv_2</x:v>
      </x:c>
      <x:c r="V335" s="6" t="n">
        <x:v>20.97</x:v>
      </x:c>
    </x:row>
    <x:row r="336" ht="22" customHeight="1">
      <x:c r="A336" s="1" t="str">
        <x:v>Round1</x:v>
      </x:c>
      <x:c r="B336" s="1" t="str">
        <x:v>Csv</x:v>
      </x:c>
      <x:c r="C336" s="4" t="n">
        <x:v>3</x:v>
      </x:c>
      <x:c r="D336" s="4" t="n">
        <x:v>0</x:v>
      </x:c>
      <x:c r="E336" s="4" t="n">
        <x:v>60</x:v>
      </x:c>
      <x:c r="F336" s="4" t="n">
        <x:v>1</x:v>
      </x:c>
      <x:c r="G336" s="5" t="n">
        <x:v>0</x:v>
      </x:c>
      <x:c r="H336" s="5" t="n">
        <x:v>0</x:v>
      </x:c>
      <x:c r="I336" s="5" t="n">
        <x:v>0</x:v>
      </x:c>
      <x:c r="J336" s="4" t="n">
        <x:v>82</x:v>
      </x:c>
      <x:c r="K336" s="4" t="n">
        <x:v>0</x:v>
      </x:c>
      <x:c r="L336" s="4" t="n">
        <x:v>38</x:v>
      </x:c>
      <x:c r="M336" s="4" t="n">
        <x:v>0</x:v>
      </x:c>
      <x:c r="N336" s="4" t="n">
        <x:v>44</x:v>
      </x:c>
      <x:c r="O336" s="4" t="n">
        <x:v>0</x:v>
      </x:c>
      <x:c r="P336" s="1" t="str">
        <x:v>PASS</x:v>
      </x:c>
      <x:c r="Q336" s="4" t="n">
        <x:v>0</x:v>
      </x:c>
      <x:c r="R336" s="1" t="str">
        <x:v>PASS</x:v>
      </x:c>
      <x:c r="S336" s="4" t="n">
        <x:v>0</x:v>
      </x:c>
      <x:c r="T336" s="1" t="str">
        <x:v>NOT_REVEALING</x:v>
      </x:c>
      <x:c r="U336" s="1" t="str">
        <x:v>Csv_3</x:v>
      </x:c>
      <x:c r="V336" s="6" t="n">
        <x:v>16.01</x:v>
      </x:c>
    </x:row>
    <x:row r="337" ht="22" customHeight="1">
      <x:c r="A337" s="1" t="str">
        <x:v>Round1</x:v>
      </x:c>
      <x:c r="B337" s="1" t="str">
        <x:v>Csv</x:v>
      </x:c>
      <x:c r="C337" s="4" t="n">
        <x:v>4</x:v>
      </x:c>
      <x:c r="D337" s="4" t="n">
        <x:v>0</x:v>
      </x:c>
      <x:c r="E337" s="4" t="n">
        <x:v>60</x:v>
      </x:c>
      <x:c r="F337" s="4" t="n">
        <x:v>6</x:v>
      </x:c>
      <x:c r="G337" s="5" t="n">
        <x:v>0.026699999999999998</x:v>
      </x:c>
      <x:c r="H337" s="5" t="n">
        <x:v>0.04</x:v>
      </x:c>
      <x:c r="I337" s="5" t="n">
        <x:v>0</x:v>
      </x:c>
      <x:c r="J337" s="4" t="n">
        <x:v>150</x:v>
      </x:c>
      <x:c r="K337" s="4" t="n">
        <x:v>4</x:v>
      </x:c>
      <x:c r="L337" s="4" t="n">
        <x:v>100</x:v>
      </x:c>
      <x:c r="M337" s="4" t="n">
        <x:v>4</x:v>
      </x:c>
      <x:c r="N337" s="4" t="n">
        <x:v>50</x:v>
      </x:c>
      <x:c r="O337" s="4" t="n">
        <x:v>0</x:v>
      </x:c>
      <x:c r="P337" s="1" t="str">
        <x:v>PASS</x:v>
      </x:c>
      <x:c r="Q337" s="4" t="n">
        <x:v>0</x:v>
      </x:c>
      <x:c r="R337" s="1" t="str">
        <x:v>PASS</x:v>
      </x:c>
      <x:c r="S337" s="4" t="n">
        <x:v>0</x:v>
      </x:c>
      <x:c r="T337" s="1" t="str">
        <x:v>NOT_REVEALING</x:v>
      </x:c>
      <x:c r="U337" s="1" t="str">
        <x:v>Csv_4</x:v>
      </x:c>
      <x:c r="V337" s="6" t="n">
        <x:v>20.39</x:v>
      </x:c>
    </x:row>
    <x:row r="338" ht="22" customHeight="1">
      <x:c r="A338" s="1" t="str">
        <x:v>Round1</x:v>
      </x:c>
      <x:c r="B338" s="1" t="str">
        <x:v>Csv</x:v>
      </x:c>
      <x:c r="C338" s="4" t="n">
        <x:v>5</x:v>
      </x:c>
      <x:c r="D338" s="4" t="n">
        <x:v>0</x:v>
      </x:c>
      <x:c r="E338" s="4" t="n">
        <x:v>60</x:v>
      </x:c>
      <x:c r="F338" s="4" t="n">
        <x:v>2</x:v>
      </x:c>
      <x:c r="G338" s="5" t="n">
        <x:v>0.011000000000000001</x:v>
      </x:c>
      <x:c r="H338" s="5" t="n">
        <x:v>0.019</x:v>
      </x:c>
      <x:c r="I338" s="5" t="n">
        <x:v>0</x:v>
      </x:c>
      <x:c r="J338" s="4" t="n">
        <x:v>273</x:v>
      </x:c>
      <x:c r="K338" s="4" t="n">
        <x:v>3</x:v>
      </x:c>
      <x:c r="L338" s="4" t="n">
        <x:v>158</x:v>
      </x:c>
      <x:c r="M338" s="4" t="n">
        <x:v>3</x:v>
      </x:c>
      <x:c r="N338" s="4" t="n">
        <x:v>115</x:v>
      </x:c>
      <x:c r="O338" s="4" t="n">
        <x:v>0</x:v>
      </x:c>
      <x:c r="P338" s="1" t="str">
        <x:v>PASS</x:v>
      </x:c>
      <x:c r="Q338" s="4" t="n">
        <x:v>0</x:v>
      </x:c>
      <x:c r="R338" s="1" t="str">
        <x:v>PASS</x:v>
      </x:c>
      <x:c r="S338" s="4" t="n">
        <x:v>0</x:v>
      </x:c>
      <x:c r="T338" s="1" t="str">
        <x:v>NOT_REVEALING</x:v>
      </x:c>
      <x:c r="U338" s="1" t="str">
        <x:v>Csv_5</x:v>
      </x:c>
      <x:c r="V338" s="6" t="n">
        <x:v>20.74</x:v>
      </x:c>
    </x:row>
    <x:row r="339" ht="22" customHeight="1">
      <x:c r="A339" s="1" t="str">
        <x:v>Round1</x:v>
      </x:c>
      <x:c r="B339" s="1" t="str">
        <x:v>Csv</x:v>
      </x:c>
      <x:c r="C339" s="4" t="n">
        <x:v>6</x:v>
      </x:c>
      <x:c r="D339" s="4" t="n">
        <x:v>0</x:v>
      </x:c>
      <x:c r="E339" s="4" t="n">
        <x:v>60</x:v>
      </x:c>
      <x:c r="F339" s="4" t="n">
        <x:v>215</x:v>
      </x:c>
      <x:c r="G339" s="5" t="n">
        <x:v>0.5283</x:v>
      </x:c>
      <x:c r="H339" s="5" t="n">
        <x:v>0.6286</x:v>
      </x:c>
      <x:c r="I339" s="5" t="n">
        <x:v>0.3333</x:v>
      </x:c>
      <x:c r="J339" s="4" t="n">
        <x:v>53</x:v>
      </x:c>
      <x:c r="K339" s="4" t="n">
        <x:v>28</x:v>
      </x:c>
      <x:c r="L339" s="4" t="n">
        <x:v>35</x:v>
      </x:c>
      <x:c r="M339" s="4" t="n">
        <x:v>22</x:v>
      </x:c>
      <x:c r="N339" s="4" t="n">
        <x:v>18</x:v>
      </x:c>
      <x:c r="O339" s="4" t="n">
        <x:v>6</x:v>
      </x:c>
      <x:c r="P339" s="1" t="str">
        <x:v>PASS</x:v>
      </x:c>
      <x:c r="Q339" s="4" t="n">
        <x:v>0</x:v>
      </x:c>
      <x:c r="R339" s="1" t="str">
        <x:v>PASS</x:v>
      </x:c>
      <x:c r="S339" s="4" t="n">
        <x:v>0</x:v>
      </x:c>
      <x:c r="T339" s="1" t="str">
        <x:v>NOT_REVEALING</x:v>
      </x:c>
      <x:c r="U339" s="1" t="str">
        <x:v>Csv_6</x:v>
      </x:c>
      <x:c r="V339" s="6" t="n">
        <x:v>23.04</x:v>
      </x:c>
    </x:row>
    <x:row r="340" ht="22" customHeight="1">
      <x:c r="A340" s="1" t="str">
        <x:v>Round1</x:v>
      </x:c>
      <x:c r="B340" s="1" t="str">
        <x:v>Csv</x:v>
      </x:c>
      <x:c r="C340" s="4" t="n">
        <x:v>7</x:v>
      </x:c>
      <x:c r="D340" s="4" t="n">
        <x:v>0</x:v>
      </x:c>
      <x:c r="E340" s="4" t="n">
        <x:v>60</x:v>
      </x:c>
      <x:c r="F340" s="4" t="n">
        <x:v>6</x:v>
      </x:c>
      <x:c r="G340" s="5" t="n">
        <x:v>0.053</x:v>
      </x:c>
      <x:c r="H340" s="5" t="n">
        <x:v>0.07919999999999999</x:v>
      </x:c>
      <x:c r="I340" s="5" t="n">
        <x:v>0</x:v>
      </x:c>
      <x:c r="J340" s="4" t="n">
        <x:v>151</x:v>
      </x:c>
      <x:c r="K340" s="4" t="n">
        <x:v>8</x:v>
      </x:c>
      <x:c r="L340" s="4" t="n">
        <x:v>101</x:v>
      </x:c>
      <x:c r="M340" s="4" t="n">
        <x:v>8</x:v>
      </x:c>
      <x:c r="N340" s="4" t="n">
        <x:v>50</x:v>
      </x:c>
      <x:c r="O340" s="4" t="n">
        <x:v>0</x:v>
      </x:c>
      <x:c r="P340" s="1" t="str">
        <x:v>PASS</x:v>
      </x:c>
      <x:c r="Q340" s="4" t="n">
        <x:v>0</x:v>
      </x:c>
      <x:c r="R340" s="1" t="str">
        <x:v>PASS</x:v>
      </x:c>
      <x:c r="S340" s="4" t="n">
        <x:v>0</x:v>
      </x:c>
      <x:c r="T340" s="1" t="str">
        <x:v>NOT_REVEALING</x:v>
      </x:c>
      <x:c r="U340" s="1" t="str">
        <x:v>Csv_7</x:v>
      </x:c>
      <x:c r="V340" s="6" t="n">
        <x:v>19.71</x:v>
      </x:c>
    </x:row>
    <x:row r="341" ht="22" customHeight="1">
      <x:c r="A341" s="1" t="str">
        <x:v>Round1</x:v>
      </x:c>
      <x:c r="B341" s="1" t="str">
        <x:v>Csv</x:v>
      </x:c>
      <x:c r="C341" s="4" t="n">
        <x:v>8</x:v>
      </x:c>
      <x:c r="D341" s="4" t="n">
        <x:v>0</x:v>
      </x:c>
      <x:c r="E341" s="4" t="n">
        <x:v>60</x:v>
      </x:c>
      <x:c r="F341" s="4" t="n">
        <x:v>105</x:v>
      </x:c>
      <x:c r="G341" s="5" t="n">
        <x:v>0.5297999999999999</x:v>
      </x:c>
      <x:c r="H341" s="5" t="n">
        <x:v>0.6369</x:v>
      </x:c>
      <x:c r="I341" s="5" t="n">
        <x:v>0.39289999999999997</x:v>
      </x:c>
      <x:c r="J341" s="4" t="n">
        <x:v>319</x:v>
      </x:c>
      <x:c r="K341" s="4" t="n">
        <x:v>169</x:v>
      </x:c>
      <x:c r="L341" s="4" t="n">
        <x:v>179</x:v>
      </x:c>
      <x:c r="M341" s="4" t="n">
        <x:v>114</x:v>
      </x:c>
      <x:c r="N341" s="4" t="n">
        <x:v>140</x:v>
      </x:c>
      <x:c r="O341" s="4" t="n">
        <x:v>55</x:v>
      </x:c>
      <x:c r="P341" s="1" t="str">
        <x:v>PASS</x:v>
      </x:c>
      <x:c r="Q341" s="4" t="n">
        <x:v>0</x:v>
      </x:c>
      <x:c r="R341" s="1" t="str">
        <x:v>FAIL</x:v>
      </x:c>
      <x:c r="S341" s="4" t="n">
        <x:v>100</x:v>
      </x:c>
      <x:c r="T341" s="1" t="str">
        <x:v>INCONCLUSIVE</x:v>
      </x:c>
      <x:c r="U341" s="1" t="str">
        <x:v>Csv_8</x:v>
      </x:c>
      <x:c r="V341" s="6" t="n">
        <x:v>21.19</x:v>
      </x:c>
    </x:row>
    <x:row r="342" ht="22" customHeight="1">
      <x:c r="A342" s="1" t="str">
        <x:v>Round1</x:v>
      </x:c>
      <x:c r="B342" s="1" t="str">
        <x:v>Csv</x:v>
      </x:c>
      <x:c r="C342" s="4" t="n">
        <x:v>9</x:v>
      </x:c>
      <x:c r="D342" s="4" t="n">
        <x:v>0</x:v>
      </x:c>
      <x:c r="E342" s="4" t="n">
        <x:v>60</x:v>
      </x:c>
      <x:c r="F342" s="4" t="n">
        <x:v>344</x:v>
      </x:c>
      <x:c r="G342" s="5" t="n">
        <x:v>0.4828</x:v>
      </x:c>
      <x:c r="H342" s="5" t="n">
        <x:v>0.6111</x:v>
      </x:c>
      <x:c r="I342" s="5" t="n">
        <x:v>0.2727</x:v>
      </x:c>
      <x:c r="J342" s="4" t="n">
        <x:v>58</x:v>
      </x:c>
      <x:c r="K342" s="4" t="n">
        <x:v>28</x:v>
      </x:c>
      <x:c r="L342" s="4" t="n">
        <x:v>36</x:v>
      </x:c>
      <x:c r="M342" s="4" t="n">
        <x:v>22</x:v>
      </x:c>
      <x:c r="N342" s="4" t="n">
        <x:v>22</x:v>
      </x:c>
      <x:c r="O342" s="4" t="n">
        <x:v>6</x:v>
      </x:c>
      <x:c r="P342" s="1" t="str">
        <x:v>PASS</x:v>
      </x:c>
      <x:c r="Q342" s="4" t="n">
        <x:v>0</x:v>
      </x:c>
      <x:c r="R342" s="1" t="str">
        <x:v>FAIL</x:v>
      </x:c>
      <x:c r="S342" s="4" t="n">
        <x:v>92</x:v>
      </x:c>
      <x:c r="T342" s="1" t="str">
        <x:v>INCONCLUSIVE</x:v>
      </x:c>
      <x:c r="U342" s="1" t="str">
        <x:v>Csv_9</x:v>
      </x:c>
      <x:c r="V342" s="6" t="n">
        <x:v>22.66</x:v>
      </x:c>
    </x:row>
    <x:row r="343" ht="22" customHeight="1">
      <x:c r="A343" s="1" t="str">
        <x:v>Round1</x:v>
      </x:c>
      <x:c r="B343" s="1" t="str">
        <x:v>Csv</x:v>
      </x:c>
      <x:c r="C343" s="4" t="n">
        <x:v>10</x:v>
      </x:c>
      <x:c r="D343" s="4" t="n">
        <x:v>0</x:v>
      </x:c>
      <x:c r="E343" s="4" t="n">
        <x:v>60</x:v>
      </x:c>
      <x:c r="F343" s="4" t="n">
        <x:v>2</x:v>
      </x:c>
      <x:c r="G343" s="5" t="n">
        <x:v>0.0108</x:v>
      </x:c>
      <x:c r="H343" s="5" t="n">
        <x:v>0.018799999999999997</x:v>
      </x:c>
      <x:c r="I343" s="5" t="n">
        <x:v>0</x:v>
      </x:c>
      <x:c r="J343" s="4" t="n">
        <x:v>277</x:v>
      </x:c>
      <x:c r="K343" s="4" t="n">
        <x:v>3</x:v>
      </x:c>
      <x:c r="L343" s="4" t="n">
        <x:v>160</x:v>
      </x:c>
      <x:c r="M343" s="4" t="n">
        <x:v>3</x:v>
      </x:c>
      <x:c r="N343" s="4" t="n">
        <x:v>117</x:v>
      </x:c>
      <x:c r="O343" s="4" t="n">
        <x:v>0</x:v>
      </x:c>
      <x:c r="P343" s="1" t="str">
        <x:v>PASS</x:v>
      </x:c>
      <x:c r="Q343" s="4" t="n">
        <x:v>0</x:v>
      </x:c>
      <x:c r="R343" s="1" t="str">
        <x:v>PASS</x:v>
      </x:c>
      <x:c r="S343" s="4" t="n">
        <x:v>0</x:v>
      </x:c>
      <x:c r="T343" s="1" t="str">
        <x:v>NOT_REVEALING</x:v>
      </x:c>
      <x:c r="U343" s="1" t="str">
        <x:v>Csv_10</x:v>
      </x:c>
      <x:c r="V343" s="6" t="n">
        <x:v>18.3</x:v>
      </x:c>
    </x:row>
    <x:row r="344" ht="22" customHeight="1">
      <x:c r="A344" s="1" t="str">
        <x:v>Round1</x:v>
      </x:c>
      <x:c r="B344" s="1" t="str">
        <x:v>Csv</x:v>
      </x:c>
      <x:c r="C344" s="4" t="n">
        <x:v>11</x:v>
      </x:c>
      <x:c r="D344" s="4" t="n">
        <x:v>0</x:v>
      </x:c>
      <x:c r="E344" s="4" t="n">
        <x:v>60</x:v>
      </x:c>
      <x:c r="F344" s="4" t="n">
        <x:v>6</x:v>
      </x:c>
      <x:c r="G344" s="5" t="n">
        <x:v>0.048799999999999996</x:v>
      </x:c>
      <x:c r="H344" s="5" t="n">
        <x:v>0.0755</x:v>
      </x:c>
      <x:c r="I344" s="5" t="n">
        <x:v>0</x:v>
      </x:c>
      <x:c r="J344" s="4" t="n">
        <x:v>164</x:v>
      </x:c>
      <x:c r="K344" s="4" t="n">
        <x:v>8</x:v>
      </x:c>
      <x:c r="L344" s="4" t="n">
        <x:v>106</x:v>
      </x:c>
      <x:c r="M344" s="4" t="n">
        <x:v>8</x:v>
      </x:c>
      <x:c r="N344" s="4" t="n">
        <x:v>58</x:v>
      </x:c>
      <x:c r="O344" s="4" t="n">
        <x:v>0</x:v>
      </x:c>
      <x:c r="P344" s="1" t="str">
        <x:v>PASS</x:v>
      </x:c>
      <x:c r="Q344" s="4" t="n">
        <x:v>0</x:v>
      </x:c>
      <x:c r="R344" s="1" t="str">
        <x:v>PASS</x:v>
      </x:c>
      <x:c r="S344" s="4" t="n">
        <x:v>0</x:v>
      </x:c>
      <x:c r="T344" s="1" t="str">
        <x:v>NOT_REVEALING</x:v>
      </x:c>
      <x:c r="U344" s="1" t="str">
        <x:v>Csv_11</x:v>
      </x:c>
      <x:c r="V344" s="6" t="n">
        <x:v>18.26</x:v>
      </x:c>
    </x:row>
    <x:row r="345" ht="22" customHeight="1">
      <x:c r="A345" s="1" t="str">
        <x:v>Round1</x:v>
      </x:c>
      <x:c r="B345" s="1" t="str">
        <x:v>Csv</x:v>
      </x:c>
      <x:c r="C345" s="4" t="n">
        <x:v>12</x:v>
      </x:c>
      <x:c r="D345" s="4" t="n">
        <x:v>0</x:v>
      </x:c>
      <x:c r="E345" s="4" t="n">
        <x:v>60</x:v>
      </x:c>
      <x:c r="F345" s="4" t="n">
        <x:v>117</x:v>
      </x:c>
      <x:c r="G345" s="5" t="n">
        <x:v>0.5617</x:v>
      </x:c>
      <x:c r="H345" s="5" t="n">
        <x:v>0.6413</x:v>
      </x:c>
      <x:c r="I345" s="5" t="n">
        <x:v>0.4571</x:v>
      </x:c>
      <x:c r="J345" s="4" t="n">
        <x:v>324</x:v>
      </x:c>
      <x:c r="K345" s="4" t="n">
        <x:v>182</x:v>
      </x:c>
      <x:c r="L345" s="4" t="n">
        <x:v>184</x:v>
      </x:c>
      <x:c r="M345" s="4" t="n">
        <x:v>118</x:v>
      </x:c>
      <x:c r="N345" s="4" t="n">
        <x:v>140</x:v>
      </x:c>
      <x:c r="O345" s="4" t="n">
        <x:v>64</x:v>
      </x:c>
      <x:c r="P345" s="1" t="str">
        <x:v>PASS</x:v>
      </x:c>
      <x:c r="Q345" s="4" t="n">
        <x:v>0</x:v>
      </x:c>
      <x:c r="R345" s="1" t="str">
        <x:v>PASS</x:v>
      </x:c>
      <x:c r="S345" s="4" t="n">
        <x:v>0</x:v>
      </x:c>
      <x:c r="T345" s="1" t="str">
        <x:v>NOT_REVEALING</x:v>
      </x:c>
      <x:c r="U345" s="1" t="str">
        <x:v>Csv_12</x:v>
      </x:c>
      <x:c r="V345" s="6" t="n">
        <x:v>20.18</x:v>
      </x:c>
    </x:row>
    <x:row r="346" ht="22" customHeight="1">
      <x:c r="A346" s="1" t="str">
        <x:v>Round1</x:v>
      </x:c>
      <x:c r="B346" s="1" t="str">
        <x:v>Csv</x:v>
      </x:c>
      <x:c r="C346" s="4" t="n">
        <x:v>13</x:v>
      </x:c>
      <x:c r="D346" s="4" t="n">
        <x:v>0</x:v>
      </x:c>
      <x:c r="E346" s="4" t="n">
        <x:v>60</x:v>
      </x:c>
      <x:c r="F346" s="4" t="n">
        <x:v>220</x:v>
      </x:c>
      <x:c r="G346" s="5" t="n">
        <x:v>0.5623</x:v>
      </x:c>
      <x:c r="H346" s="5" t="n">
        <x:v>0.6312</x:v>
      </x:c>
      <x:c r="I346" s="5" t="n">
        <x:v>0.4706</x:v>
      </x:c>
      <x:c r="J346" s="4" t="n">
        <x:v>674</x:v>
      </x:c>
      <x:c r="K346" s="4" t="n">
        <x:v>379</x:v>
      </x:c>
      <x:c r="L346" s="4" t="n">
        <x:v>385</x:v>
      </x:c>
      <x:c r="M346" s="4" t="n">
        <x:v>243</x:v>
      </x:c>
      <x:c r="N346" s="4" t="n">
        <x:v>289</x:v>
      </x:c>
      <x:c r="O346" s="4" t="n">
        <x:v>136</x:v>
      </x:c>
      <x:c r="P346" s="1" t="str">
        <x:v>FAIL</x:v>
      </x:c>
      <x:c r="Q346" s="4" t="n">
        <x:v>20</x:v>
      </x:c>
      <x:c r="R346" s="1" t="str">
        <x:v>FAIL</x:v>
      </x:c>
      <x:c r="S346" s="4" t="n">
        <x:v>20</x:v>
      </x:c>
      <x:c r="T346" s="1" t="str">
        <x:v>INCONCLUSIVE</x:v>
      </x:c>
      <x:c r="U346" s="1" t="str">
        <x:v>Csv_13</x:v>
      </x:c>
      <x:c r="V346" s="6" t="n">
        <x:v>20.77</x:v>
      </x:c>
    </x:row>
    <x:row r="347" ht="22" customHeight="1">
      <x:c r="A347" s="1" t="str">
        <x:v>Round1</x:v>
      </x:c>
      <x:c r="B347" s="1" t="str">
        <x:v>Csv</x:v>
      </x:c>
      <x:c r="C347" s="4" t="n">
        <x:v>14</x:v>
      </x:c>
      <x:c r="D347" s="4" t="n">
        <x:v>0</x:v>
      </x:c>
      <x:c r="E347" s="4" t="n">
        <x:v>60</x:v>
      </x:c>
      <x:c r="F347" s="4" t="n">
        <x:v>67</x:v>
      </x:c>
      <x:c r="G347" s="5" t="n">
        <x:v>0.5637</x:v>
      </x:c>
      <x:c r="H347" s="5" t="n">
        <x:v>0.6404000000000001</x:v>
      </x:c>
      <x:c r="I347" s="5" t="n">
        <x:v>0.4632</x:v>
      </x:c>
      <x:c r="J347" s="4" t="n">
        <x:v>628</x:v>
      </x:c>
      <x:c r="K347" s="4" t="n">
        <x:v>354</x:v>
      </x:c>
      <x:c r="L347" s="4" t="n">
        <x:v>356</x:v>
      </x:c>
      <x:c r="M347" s="4" t="n">
        <x:v>228</x:v>
      </x:c>
      <x:c r="N347" s="4" t="n">
        <x:v>272</x:v>
      </x:c>
      <x:c r="O347" s="4" t="n">
        <x:v>126</x:v>
      </x:c>
      <x:c r="P347" s="1" t="str">
        <x:v>FAIL</x:v>
      </x:c>
      <x:c r="Q347" s="4" t="n">
        <x:v>6</x:v>
      </x:c>
      <x:c r="R347" s="1" t="str">
        <x:v>FAIL</x:v>
      </x:c>
      <x:c r="S347" s="4" t="n">
        <x:v>6</x:v>
      </x:c>
      <x:c r="T347" s="1" t="str">
        <x:v>INCONCLUSIVE</x:v>
      </x:c>
      <x:c r="U347" s="1" t="str">
        <x:v>Csv_14</x:v>
      </x:c>
      <x:c r="V347" s="6" t="n">
        <x:v>20.52</x:v>
      </x:c>
    </x:row>
    <x:row r="348" ht="22" customHeight="1">
      <x:c r="A348" s="1" t="str">
        <x:v>Round1</x:v>
      </x:c>
      <x:c r="B348" s="1" t="str">
        <x:v>Csv</x:v>
      </x:c>
      <x:c r="C348" s="4" t="n">
        <x:v>15</x:v>
      </x:c>
      <x:c r="D348" s="4" t="n">
        <x:v>0</x:v>
      </x:c>
      <x:c r="E348" s="4" t="n">
        <x:v>60</x:v>
      </x:c>
      <x:c r="F348" s="4" t="n">
        <x:v>54</x:v>
      </x:c>
      <x:c r="G348" s="5" t="n">
        <x:v>0.5446</x:v>
      </x:c>
      <x:c r="H348" s="5" t="n">
        <x:v>0.6196</x:v>
      </x:c>
      <x:c r="I348" s="5" t="n">
        <x:v>0.4364</x:v>
      </x:c>
      <x:c r="J348" s="4" t="n">
        <x:v>672</x:v>
      </x:c>
      <x:c r="K348" s="4" t="n">
        <x:v>366</x:v>
      </x:c>
      <x:c r="L348" s="4" t="n">
        <x:v>397</x:v>
      </x:c>
      <x:c r="M348" s="4" t="n">
        <x:v>246</x:v>
      </x:c>
      <x:c r="N348" s="4" t="n">
        <x:v>275</x:v>
      </x:c>
      <x:c r="O348" s="4" t="n">
        <x:v>120</x:v>
      </x:c>
      <x:c r="P348" s="1" t="str">
        <x:v>FAIL</x:v>
      </x:c>
      <x:c r="Q348" s="4" t="n">
        <x:v>4</x:v>
      </x:c>
      <x:c r="R348" s="1" t="str">
        <x:v>FAIL</x:v>
      </x:c>
      <x:c r="S348" s="4" t="n">
        <x:v>4</x:v>
      </x:c>
      <x:c r="T348" s="1" t="str">
        <x:v>INCONCLUSIVE</x:v>
      </x:c>
      <x:c r="U348" s="1" t="str">
        <x:v>Csv_15</x:v>
      </x:c>
      <x:c r="V348" s="6" t="n">
        <x:v>22.1</x:v>
      </x:c>
    </x:row>
    <x:row r="349" ht="22" customHeight="1">
      <x:c r="A349" s="1" t="str">
        <x:v>Round1</x:v>
      </x:c>
      <x:c r="B349" s="1" t="str">
        <x:v>Csv</x:v>
      </x:c>
      <x:c r="C349" s="4" t="n">
        <x:v>16</x:v>
      </x:c>
      <x:c r="D349" s="4" t="n">
        <x:v>0</x:v>
      </x:c>
      <x:c r="E349" s="4" t="n">
        <x:v>60</x:v>
      </x:c>
      <x:c r="F349" s="4" t="n">
        <x:v>200</x:v>
      </x:c>
      <x:c r="G349" s="5" t="n">
        <x:v>0.06280000000000001</x:v>
      </x:c>
      <x:c r="H349" s="5" t="n">
        <x:v>0.09759999999999999</x:v>
      </x:c>
      <x:c r="I349" s="5" t="n">
        <x:v>0</x:v>
      </x:c>
      <x:c r="J349" s="4" t="n">
        <x:v>191</x:v>
      </x:c>
      <x:c r="K349" s="4" t="n">
        <x:v>12</x:v>
      </x:c>
      <x:c r="L349" s="4" t="n">
        <x:v>123</x:v>
      </x:c>
      <x:c r="M349" s="4" t="n">
        <x:v>12</x:v>
      </x:c>
      <x:c r="N349" s="4" t="n">
        <x:v>68</x:v>
      </x:c>
      <x:c r="O349" s="4" t="n">
        <x:v>0</x:v>
      </x:c>
      <x:c r="P349" s="1" t="str">
        <x:v>PASS</x:v>
      </x:c>
      <x:c r="Q349" s="4" t="n">
        <x:v>0</x:v>
      </x:c>
      <x:c r="R349" s="1" t="str">
        <x:v>PASS</x:v>
      </x:c>
      <x:c r="S349" s="4" t="n">
        <x:v>0</x:v>
      </x:c>
      <x:c r="T349" s="1" t="str">
        <x:v>NOT_REVEALING</x:v>
      </x:c>
      <x:c r="U349" s="1" t="str">
        <x:v>Csv_16</x:v>
      </x:c>
      <x:c r="V349" s="6" t="n">
        <x:v>21.16</x:v>
      </x:c>
    </x:row>
    <x:row r="350" ht="22" customHeight="1">
      <x:c r="A350" s="1" t="str">
        <x:v>Round1</x:v>
      </x:c>
      <x:c r="B350" s="1" t="str">
        <x:v>Gson</x:v>
      </x:c>
      <x:c r="C350" s="4" t="n">
        <x:v>1</x:v>
      </x:c>
      <x:c r="D350" s="4" t="n">
        <x:v>0</x:v>
      </x:c>
      <x:c r="E350" s="4" t="n">
        <x:v>60</x:v>
      </x:c>
      <x:c r="F350" s="4" t="n">
        <x:v>4</x:v>
      </x:c>
      <x:c r="G350" s="5" t="n">
        <x:v>0.0429</x:v>
      </x:c>
      <x:c r="H350" s="5" t="n">
        <x:v>0.0625</x:v>
      </x:c>
      <x:c r="I350" s="5" t="n">
        <x:v>0</x:v>
      </x:c>
      <x:c r="J350" s="4" t="n">
        <x:v>70</x:v>
      </x:c>
      <x:c r="K350" s="4" t="n">
        <x:v>3</x:v>
      </x:c>
      <x:c r="L350" s="4" t="n">
        <x:v>48</x:v>
      </x:c>
      <x:c r="M350" s="4" t="n">
        <x:v>3</x:v>
      </x:c>
      <x:c r="N350" s="4" t="n">
        <x:v>22</x:v>
      </x:c>
      <x:c r="O350" s="4" t="n">
        <x:v>0</x:v>
      </x:c>
      <x:c r="P350" s="1" t="str">
        <x:v>PASS</x:v>
      </x:c>
      <x:c r="Q350" s="4" t="n">
        <x:v>0</x:v>
      </x:c>
      <x:c r="R350" s="1" t="str">
        <x:v>PASS</x:v>
      </x:c>
      <x:c r="S350" s="4" t="n">
        <x:v>0</x:v>
      </x:c>
      <x:c r="T350" s="1" t="str">
        <x:v>NOT_REVEALING</x:v>
      </x:c>
      <x:c r="U350" s="1" t="str">
        <x:v>Gson_1</x:v>
      </x:c>
      <x:c r="V350" s="6" t="n">
        <x:v>21.7</x:v>
      </x:c>
    </x:row>
    <x:row r="351" ht="22" customHeight="1">
      <x:c r="A351" s="1" t="str">
        <x:v>Round1</x:v>
      </x:c>
      <x:c r="B351" s="1" t="str">
        <x:v>Gson</x:v>
      </x:c>
      <x:c r="C351" s="4" t="n">
        <x:v>2</x:v>
      </x:c>
      <x:c r="D351" s="4" t="n">
        <x:v>0</x:v>
      </x:c>
      <x:c r="E351" s="4" t="n">
        <x:v>60</x:v>
      </x:c>
      <x:c r="F351" s="4" t="n">
        <x:v>14</x:v>
      </x:c>
      <x:c r="G351" s="5" t="n">
        <x:v>0.1388</x:v>
      </x:c>
      <x:c r="H351" s="5" t="n">
        <x:v>0.1973</x:v>
      </x:c>
      <x:c r="I351" s="5" t="n">
        <x:v>0</x:v>
      </x:c>
      <x:c r="J351" s="4" t="n">
        <x:v>634</x:v>
      </x:c>
      <x:c r="K351" s="4" t="n">
        <x:v>88</x:v>
      </x:c>
      <x:c r="L351" s="4" t="n">
        <x:v>446</x:v>
      </x:c>
      <x:c r="M351" s="4" t="n">
        <x:v>88</x:v>
      </x:c>
      <x:c r="N351" s="4" t="n">
        <x:v>188</x:v>
      </x:c>
      <x:c r="O351" s="4" t="n">
        <x:v>0</x:v>
      </x:c>
      <x:c r="P351" s="1" t="str">
        <x:v>PASS</x:v>
      </x:c>
      <x:c r="Q351" s="4" t="n">
        <x:v>0</x:v>
      </x:c>
      <x:c r="R351" s="1" t="str">
        <x:v>PASS</x:v>
      </x:c>
      <x:c r="S351" s="4" t="n">
        <x:v>0</x:v>
      </x:c>
      <x:c r="T351" s="1" t="str">
        <x:v>NOT_REVEALING</x:v>
      </x:c>
      <x:c r="U351" s="1" t="str">
        <x:v>Gson_2</x:v>
      </x:c>
      <x:c r="V351" s="6" t="n">
        <x:v>21.77</x:v>
      </x:c>
    </x:row>
    <x:row r="352" ht="22" customHeight="1">
      <x:c r="A352" s="1" t="str">
        <x:v>Round1</x:v>
      </x:c>
      <x:c r="B352" s="1" t="str">
        <x:v>Gson</x:v>
      </x:c>
      <x:c r="C352" s="4" t="n">
        <x:v>3</x:v>
      </x:c>
      <x:c r="D352" s="4" t="n">
        <x:v>0</x:v>
      </x:c>
      <x:c r="E352" s="4" t="n">
        <x:v>60</x:v>
      </x:c>
      <x:c r="F352" s="4" t="n">
        <x:v>1</x:v>
      </x:c>
      <x:c r="G352" s="5" t="n">
        <x:v>0</x:v>
      </x:c>
      <x:c r="H352" s="5" t="n">
        <x:v>0</x:v>
      </x:c>
      <x:c r="I352" s="5" t="n">
        <x:v>0</x:v>
      </x:c>
      <x:c r="J352" s="4" t="n">
        <x:v>118</x:v>
      </x:c>
      <x:c r="K352" s="4" t="n">
        <x:v>0</x:v>
      </x:c>
      <x:c r="L352" s="4" t="n">
        <x:v>86</x:v>
      </x:c>
      <x:c r="M352" s="4" t="n">
        <x:v>0</x:v>
      </x:c>
      <x:c r="N352" s="4" t="n">
        <x:v>32</x:v>
      </x:c>
      <x:c r="O352" s="4" t="n">
        <x:v>0</x:v>
      </x:c>
      <x:c r="P352" s="1" t="str">
        <x:v>PASS</x:v>
      </x:c>
      <x:c r="Q352" s="4" t="n">
        <x:v>0</x:v>
      </x:c>
      <x:c r="R352" s="1" t="str">
        <x:v>PASS</x:v>
      </x:c>
      <x:c r="S352" s="4" t="n">
        <x:v>0</x:v>
      </x:c>
      <x:c r="T352" s="1" t="str">
        <x:v>NOT_REVEALING</x:v>
      </x:c>
      <x:c r="U352" s="1" t="str">
        <x:v>Gson_3</x:v>
      </x:c>
      <x:c r="V352" s="6" t="n">
        <x:v>20.41</x:v>
      </x:c>
    </x:row>
    <x:row r="353" ht="22" customHeight="1">
      <x:c r="A353" s="1" t="str">
        <x:v>Round1</x:v>
      </x:c>
      <x:c r="B353" s="1" t="str">
        <x:v>Gson</x:v>
      </x:c>
      <x:c r="C353" s="4" t="n">
        <x:v>4</x:v>
      </x:c>
      <x:c r="D353" s="4" t="n">
        <x:v>0</x:v>
      </x:c>
      <x:c r="E353" s="4" t="n">
        <x:v>60</x:v>
      </x:c>
      <x:c r="F353" s="4" t="n">
        <x:v>3</x:v>
      </x:c>
      <x:c r="G353" s="5" t="n">
        <x:v>0.0346</x:v>
      </x:c>
      <x:c r="H353" s="5" t="n">
        <x:v>0.0533</x:v>
      </x:c>
      <x:c r="I353" s="5" t="n">
        <x:v>0.0053</x:v>
      </x:c>
      <x:c r="J353" s="4" t="n">
        <x:v>1447</x:v>
      </x:c>
      <x:c r="K353" s="4" t="n">
        <x:v>50</x:v>
      </x:c>
      <x:c r="L353" s="4" t="n">
        <x:v>882</x:v>
      </x:c>
      <x:c r="M353" s="4" t="n">
        <x:v>47</x:v>
      </x:c>
      <x:c r="N353" s="4" t="n">
        <x:v>565</x:v>
      </x:c>
      <x:c r="O353" s="4" t="n">
        <x:v>3</x:v>
      </x:c>
      <x:c r="P353" s="1" t="str">
        <x:v>PASS</x:v>
      </x:c>
      <x:c r="Q353" s="4" t="n">
        <x:v>0</x:v>
      </x:c>
      <x:c r="R353" s="1" t="str">
        <x:v>PASS</x:v>
      </x:c>
      <x:c r="S353" s="4" t="n">
        <x:v>0</x:v>
      </x:c>
      <x:c r="T353" s="1" t="str">
        <x:v>NOT_REVEALING</x:v>
      </x:c>
      <x:c r="U353" s="1" t="str">
        <x:v>Gson_4</x:v>
      </x:c>
      <x:c r="V353" s="6" t="n">
        <x:v>21.8</x:v>
      </x:c>
    </x:row>
    <x:row r="354" ht="22" customHeight="1">
      <x:c r="A354" s="1" t="str">
        <x:v>Round1</x:v>
      </x:c>
      <x:c r="B354" s="1" t="str">
        <x:v>Gson</x:v>
      </x:c>
      <x:c r="C354" s="4" t="n">
        <x:v>5</x:v>
      </x:c>
      <x:c r="D354" s="4" t="n">
        <x:v>0</x:v>
      </x:c>
      <x:c r="E354" s="4" t="n">
        <x:v>60</x:v>
      </x:c>
      <x:c r="F354" s="4" t="n">
        <x:v>9</x:v>
      </x:c>
      <x:c r="G354" s="5" t="n">
        <x:v>0.0335</x:v>
      </x:c>
      <x:c r="H354" s="5" t="n">
        <x:v>0.0533</x:v>
      </x:c>
      <x:c r="I354" s="5" t="n">
        <x:v>0</x:v>
      </x:c>
      <x:c r="J354" s="4" t="n">
        <x:v>239</x:v>
      </x:c>
      <x:c r="K354" s="4" t="n">
        <x:v>8</x:v>
      </x:c>
      <x:c r="L354" s="4" t="n">
        <x:v>150</x:v>
      </x:c>
      <x:c r="M354" s="4" t="n">
        <x:v>8</x:v>
      </x:c>
      <x:c r="N354" s="4" t="n">
        <x:v>89</x:v>
      </x:c>
      <x:c r="O354" s="4" t="n">
        <x:v>0</x:v>
      </x:c>
      <x:c r="P354" s="1" t="str">
        <x:v>PASS</x:v>
      </x:c>
      <x:c r="Q354" s="4" t="n">
        <x:v>0</x:v>
      </x:c>
      <x:c r="R354" s="1" t="str">
        <x:v>PASS</x:v>
      </x:c>
      <x:c r="S354" s="4" t="n">
        <x:v>0</x:v>
      </x:c>
      <x:c r="T354" s="1" t="str">
        <x:v>NOT_REVEALING</x:v>
      </x:c>
      <x:c r="U354" s="1" t="str">
        <x:v>Gson_5</x:v>
      </x:c>
      <x:c r="V354" s="6" t="n">
        <x:v>22.21</x:v>
      </x:c>
    </x:row>
    <x:row r="355" ht="22" customHeight="1">
      <x:c r="A355" s="1" t="str">
        <x:v>Round1</x:v>
      </x:c>
      <x:c r="B355" s="1" t="str">
        <x:v>Gson</x:v>
      </x:c>
      <x:c r="C355" s="4" t="n">
        <x:v>6</x:v>
      </x:c>
      <x:c r="D355" s="4" t="n">
        <x:v>0</x:v>
      </x:c>
      <x:c r="E355" s="4" t="n">
        <x:v>60</x:v>
      </x:c>
      <x:c r="F355" s="4" t="n">
        <x:v>2</x:v>
      </x:c>
      <x:c r="G355" s="5" t="n">
        <x:v>0.11539999999999999</x:v>
      </x:c>
      <x:c r="H355" s="5" t="n">
        <x:v>0.15</x:v>
      </x:c>
      <x:c r="I355" s="5" t="n">
        <x:v>0</x:v>
      </x:c>
      <x:c r="J355" s="4" t="n">
        <x:v>26</x:v>
      </x:c>
      <x:c r="K355" s="4" t="n">
        <x:v>3</x:v>
      </x:c>
      <x:c r="L355" s="4" t="n">
        <x:v>20</x:v>
      </x:c>
      <x:c r="M355" s="4" t="n">
        <x:v>3</x:v>
      </x:c>
      <x:c r="N355" s="4" t="n">
        <x:v>6</x:v>
      </x:c>
      <x:c r="O355" s="4" t="n">
        <x:v>0</x:v>
      </x:c>
      <x:c r="P355" s="1" t="str">
        <x:v>PASS</x:v>
      </x:c>
      <x:c r="Q355" s="4" t="n">
        <x:v>0</x:v>
      </x:c>
      <x:c r="R355" s="1" t="str">
        <x:v>PASS</x:v>
      </x:c>
      <x:c r="S355" s="4" t="n">
        <x:v>0</x:v>
      </x:c>
      <x:c r="T355" s="1" t="str">
        <x:v>NOT_REVEALING</x:v>
      </x:c>
      <x:c r="U355" s="1" t="str">
        <x:v>Gson_6</x:v>
      </x:c>
      <x:c r="V355" s="6" t="n">
        <x:v>22.12</x:v>
      </x:c>
    </x:row>
    <x:row r="356" ht="22" customHeight="1">
      <x:c r="A356" s="1" t="str">
        <x:v>Round1</x:v>
      </x:c>
      <x:c r="B356" s="1" t="str">
        <x:v>Gson</x:v>
      </x:c>
      <x:c r="C356" s="4" t="n">
        <x:v>7</x:v>
      </x:c>
      <x:c r="D356" s="4" t="n">
        <x:v>0</x:v>
      </x:c>
      <x:c r="E356" s="4" t="n">
        <x:v>60</x:v>
      </x:c>
      <x:c r="F356" s="4" t="n">
        <x:v>2</x:v>
      </x:c>
      <x:c r="G356" s="5" t="n">
        <x:v>0.0173</x:v>
      </x:c>
      <x:c r="H356" s="5" t="n">
        <x:v>0.0278</x:v>
      </x:c>
      <x:c r="I356" s="5" t="n">
        <x:v>0.0021</x:v>
      </x:c>
      <x:c r="J356" s="4" t="n">
        <x:v>1153</x:v>
      </x:c>
      <x:c r="K356" s="4" t="n">
        <x:v>20</x:v>
      </x:c>
      <x:c r="L356" s="4" t="n">
        <x:v>684</x:v>
      </x:c>
      <x:c r="M356" s="4" t="n">
        <x:v>19</x:v>
      </x:c>
      <x:c r="N356" s="4" t="n">
        <x:v>469</x:v>
      </x:c>
      <x:c r="O356" s="4" t="n">
        <x:v>1</x:v>
      </x:c>
      <x:c r="P356" s="1" t="str">
        <x:v>PASS</x:v>
      </x:c>
      <x:c r="Q356" s="4" t="n">
        <x:v>0</x:v>
      </x:c>
      <x:c r="R356" s="1" t="str">
        <x:v>PASS</x:v>
      </x:c>
      <x:c r="S356" s="4" t="n">
        <x:v>0</x:v>
      </x:c>
      <x:c r="T356" s="1" t="str">
        <x:v>NOT_REVEALING</x:v>
      </x:c>
      <x:c r="U356" s="1" t="str">
        <x:v>Gson_7</x:v>
      </x:c>
      <x:c r="V356" s="6" t="n">
        <x:v>22.07</x:v>
      </x:c>
    </x:row>
    <x:row r="357" ht="22" customHeight="1">
      <x:c r="A357" s="1" t="str">
        <x:v>Round1</x:v>
      </x:c>
      <x:c r="B357" s="1" t="str">
        <x:v>Gson</x:v>
      </x:c>
      <x:c r="C357" s="4" t="n">
        <x:v>8</x:v>
      </x:c>
      <x:c r="D357" s="4" t="n">
        <x:v>0</x:v>
      </x:c>
      <x:c r="E357" s="4" t="n">
        <x:v>60</x:v>
      </x:c>
      <x:c r="F357" s="4" t="n">
        <x:v>2</x:v>
      </x:c>
      <x:c r="G357" s="5" t="n">
        <x:v>0.2581</x:v>
      </x:c>
      <x:c r="H357" s="5" t="n">
        <x:v>0.2581</x:v>
      </x:c>
      <x:c r="I357" s="5" t="n">
        <x:v>0</x:v>
      </x:c>
      <x:c r="J357" s="4" t="n">
        <x:v>31</x:v>
      </x:c>
      <x:c r="K357" s="4" t="n">
        <x:v>8</x:v>
      </x:c>
      <x:c r="L357" s="4" t="n">
        <x:v>31</x:v>
      </x:c>
      <x:c r="M357" s="4" t="n">
        <x:v>8</x:v>
      </x:c>
      <x:c r="N357" s="4" t="n">
        <x:v>0</x:v>
      </x:c>
      <x:c r="O357" s="4" t="n">
        <x:v>0</x:v>
      </x:c>
      <x:c r="P357" s="1" t="str">
        <x:v>PASS</x:v>
      </x:c>
      <x:c r="Q357" s="4" t="n">
        <x:v>0</x:v>
      </x:c>
      <x:c r="R357" s="1" t="str">
        <x:v>PASS</x:v>
      </x:c>
      <x:c r="S357" s="4" t="n">
        <x:v>0</x:v>
      </x:c>
      <x:c r="T357" s="1" t="str">
        <x:v>NOT_REVEALING</x:v>
      </x:c>
      <x:c r="U357" s="1" t="str">
        <x:v>Gson_8</x:v>
      </x:c>
      <x:c r="V357" s="6" t="n">
        <x:v>16.53</x:v>
      </x:c>
    </x:row>
    <x:row r="358" ht="22" customHeight="1">
      <x:c r="A358" s="1" t="str">
        <x:v>Round1</x:v>
      </x:c>
      <x:c r="B358" s="1" t="str">
        <x:v>Gson</x:v>
      </x:c>
      <x:c r="C358" s="4" t="n">
        <x:v>9</x:v>
      </x:c>
      <x:c r="D358" s="4" t="n">
        <x:v>0</x:v>
      </x:c>
      <x:c r="E358" s="4" t="n">
        <x:v>60</x:v>
      </x:c>
      <x:c r="F358" s="4" t="n">
        <x:v>11</x:v>
      </x:c>
      <x:c r="G358" s="5" t="n">
        <x:v>0.09630000000000001</x:v>
      </x:c>
      <x:c r="H358" s="5" t="n">
        <x:v>0.1377</x:v>
      </x:c>
      <x:c r="I358" s="5" t="n">
        <x:v>0</x:v>
      </x:c>
      <x:c r="J358" s="4" t="n">
        <x:v>1111</x:v>
      </x:c>
      <x:c r="K358" s="4" t="n">
        <x:v>107</x:v>
      </x:c>
      <x:c r="L358" s="4" t="n">
        <x:v>777</x:v>
      </x:c>
      <x:c r="M358" s="4" t="n">
        <x:v>107</x:v>
      </x:c>
      <x:c r="N358" s="4" t="n">
        <x:v>334</x:v>
      </x:c>
      <x:c r="O358" s="4" t="n">
        <x:v>0</x:v>
      </x:c>
      <x:c r="P358" s="1" t="str">
        <x:v>PASS</x:v>
      </x:c>
      <x:c r="Q358" s="4" t="n">
        <x:v>0</x:v>
      </x:c>
      <x:c r="R358" s="1" t="str">
        <x:v>PASS</x:v>
      </x:c>
      <x:c r="S358" s="4" t="n">
        <x:v>0</x:v>
      </x:c>
      <x:c r="T358" s="1" t="str">
        <x:v>NOT_REVEALING</x:v>
      </x:c>
      <x:c r="U358" s="1" t="str">
        <x:v>Gson_9</x:v>
      </x:c>
      <x:c r="V358" s="6" t="n">
        <x:v>16.84</x:v>
      </x:c>
    </x:row>
    <x:row r="359" ht="22" customHeight="1">
      <x:c r="A359" s="1" t="str">
        <x:v>Round1</x:v>
      </x:c>
      <x:c r="B359" s="1" t="str">
        <x:v>Gson</x:v>
      </x:c>
      <x:c r="C359" s="4" t="n">
        <x:v>10</x:v>
      </x:c>
      <x:c r="D359" s="4" t="n">
        <x:v>0</x:v>
      </x:c>
      <x:c r="E359" s="4" t="n">
        <x:v>60</x:v>
      </x:c>
      <x:c r="F359" s="4" t="n">
        <x:v>24</x:v>
      </x:c>
      <x:c r="G359" s="5" t="n">
        <x:v>0.09140000000000001</x:v>
      </x:c>
      <x:c r="H359" s="5" t="n">
        <x:v>0.1282</x:v>
      </x:c>
      <x:c r="I359" s="5" t="n">
        <x:v>0.0172</x:v>
      </x:c>
      <x:c r="J359" s="4" t="n">
        <x:v>175</x:v>
      </x:c>
      <x:c r="K359" s="4" t="n">
        <x:v>16</x:v>
      </x:c>
      <x:c r="L359" s="4" t="n">
        <x:v>117</x:v>
      </x:c>
      <x:c r="M359" s="4" t="n">
        <x:v>15</x:v>
      </x:c>
      <x:c r="N359" s="4" t="n">
        <x:v>58</x:v>
      </x:c>
      <x:c r="O359" s="4" t="n">
        <x:v>1</x:v>
      </x:c>
      <x:c r="P359" s="1" t="str">
        <x:v>FAIL</x:v>
      </x:c>
      <x:c r="Q359" s="4" t="n">
        <x:v>2</x:v>
      </x:c>
      <x:c r="R359" s="1" t="str">
        <x:v>FAIL</x:v>
      </x:c>
      <x:c r="S359" s="4" t="n">
        <x:v>2</x:v>
      </x:c>
      <x:c r="T359" s="1" t="str">
        <x:v>INCONCLUSIVE</x:v>
      </x:c>
      <x:c r="U359" s="1" t="str">
        <x:v>Gson_10</x:v>
      </x:c>
      <x:c r="V359" s="6" t="n">
        <x:v>22.62</x:v>
      </x:c>
    </x:row>
    <x:row r="360" ht="22" customHeight="1">
      <x:c r="A360" s="1" t="str">
        <x:v>Round1</x:v>
      </x:c>
      <x:c r="B360" s="1" t="str">
        <x:v>Gson</x:v>
      </x:c>
      <x:c r="C360" s="4" t="n">
        <x:v>11</x:v>
      </x:c>
      <x:c r="D360" s="4" t="n">
        <x:v>0</x:v>
      </x:c>
      <x:c r="E360" s="4" t="n">
        <x:v>60</x:v>
      </x:c>
      <x:c r="F360" s="4" t="n">
        <x:v>12</x:v>
      </x:c>
      <x:c r="G360" s="5" t="n">
        <x:v>0.1537</x:v>
      </x:c>
      <x:c r="H360" s="5" t="n">
        <x:v>0.214</x:v>
      </x:c>
      <x:c r="I360" s="5" t="n">
        <x:v>0</x:v>
      </x:c>
      <x:c r="J360" s="4" t="n">
        <x:v>696</x:v>
      </x:c>
      <x:c r="K360" s="4" t="n">
        <x:v>107</x:v>
      </x:c>
      <x:c r="L360" s="4" t="n">
        <x:v>500</x:v>
      </x:c>
      <x:c r="M360" s="4" t="n">
        <x:v>107</x:v>
      </x:c>
      <x:c r="N360" s="4" t="n">
        <x:v>196</x:v>
      </x:c>
      <x:c r="O360" s="4" t="n">
        <x:v>0</x:v>
      </x:c>
      <x:c r="P360" s="1" t="str">
        <x:v>PASS</x:v>
      </x:c>
      <x:c r="Q360" s="4" t="n">
        <x:v>0</x:v>
      </x:c>
      <x:c r="R360" s="1" t="str">
        <x:v>PASS</x:v>
      </x:c>
      <x:c r="S360" s="4" t="n">
        <x:v>0</x:v>
      </x:c>
      <x:c r="T360" s="1" t="str">
        <x:v>NOT_REVEALING</x:v>
      </x:c>
      <x:c r="U360" s="1" t="str">
        <x:v>Gson_11</x:v>
      </x:c>
      <x:c r="V360" s="6" t="n">
        <x:v>22.8</x:v>
      </x:c>
    </x:row>
    <x:row r="361" ht="22" customHeight="1">
      <x:c r="A361" s="1" t="str">
        <x:v>Round1</x:v>
      </x:c>
      <x:c r="B361" s="1" t="str">
        <x:v>Gson</x:v>
      </x:c>
      <x:c r="C361" s="4" t="n">
        <x:v>12</x:v>
      </x:c>
      <x:c r="D361" s="4" t="n">
        <x:v>0</x:v>
      </x:c>
      <x:c r="E361" s="4" t="n">
        <x:v>60</x:v>
      </x:c>
      <x:c r="F361" s="4" t="n">
        <x:v>20</x:v>
      </x:c>
      <x:c r="G361" s="5" t="n">
        <x:v>0.22829999999999998</x:v>
      </x:c>
      <x:c r="H361" s="5" t="n">
        <x:v>0.26789999999999997</x:v>
      </x:c>
      <x:c r="I361" s="5" t="n">
        <x:v>0.1512</x:v>
      </x:c>
      <x:c r="J361" s="4" t="n">
        <x:v>254</x:v>
      </x:c>
      <x:c r="K361" s="4" t="n">
        <x:v>58</x:v>
      </x:c>
      <x:c r="L361" s="4" t="n">
        <x:v>168</x:v>
      </x:c>
      <x:c r="M361" s="4" t="n">
        <x:v>45</x:v>
      </x:c>
      <x:c r="N361" s="4" t="n">
        <x:v>86</x:v>
      </x:c>
      <x:c r="O361" s="4" t="n">
        <x:v>13</x:v>
      </x:c>
      <x:c r="P361" s="1" t="str">
        <x:v>FAIL</x:v>
      </x:c>
      <x:c r="Q361" s="4" t="n">
        <x:v>30</x:v>
      </x:c>
      <x:c r="R361" s="1" t="str">
        <x:v>FAIL</x:v>
      </x:c>
      <x:c r="S361" s="4" t="n">
        <x:v>30</x:v>
      </x:c>
      <x:c r="T361" s="1" t="str">
        <x:v>INCONCLUSIVE</x:v>
      </x:c>
      <x:c r="U361" s="1" t="str">
        <x:v>Gson_12</x:v>
      </x:c>
      <x:c r="V361" s="6" t="n">
        <x:v>22.75</x:v>
      </x:c>
    </x:row>
    <x:row r="362" ht="22" customHeight="1">
      <x:c r="A362" s="1" t="str">
        <x:v>Round1</x:v>
      </x:c>
      <x:c r="B362" s="1" t="str">
        <x:v>Gson</x:v>
      </x:c>
      <x:c r="C362" s="4" t="n">
        <x:v>13</x:v>
      </x:c>
      <x:c r="D362" s="4" t="n">
        <x:v>0</x:v>
      </x:c>
      <x:c r="E362" s="4" t="n">
        <x:v>60</x:v>
      </x:c>
      <x:c r="F362" s="4" t="n">
        <x:v>2</x:v>
      </x:c>
      <x:c r="G362" s="5" t="n">
        <x:v>0.0171</x:v>
      </x:c>
      <x:c r="H362" s="5" t="n">
        <x:v>0.0278</x:v>
      </x:c>
      <x:c r="I362" s="5" t="n">
        <x:v>0.0021</x:v>
      </x:c>
      <x:c r="J362" s="4" t="n">
        <x:v>1167</x:v>
      </x:c>
      <x:c r="K362" s="4" t="n">
        <x:v>20</x:v>
      </x:c>
      <x:c r="L362" s="4" t="n">
        <x:v>683</x:v>
      </x:c>
      <x:c r="M362" s="4" t="n">
        <x:v>19</x:v>
      </x:c>
      <x:c r="N362" s="4" t="n">
        <x:v>484</x:v>
      </x:c>
      <x:c r="O362" s="4" t="n">
        <x:v>1</x:v>
      </x:c>
      <x:c r="P362" s="1" t="str">
        <x:v>PASS</x:v>
      </x:c>
      <x:c r="Q362" s="4" t="n">
        <x:v>0</x:v>
      </x:c>
      <x:c r="R362" s="1" t="str">
        <x:v>PASS</x:v>
      </x:c>
      <x:c r="S362" s="4" t="n">
        <x:v>0</x:v>
      </x:c>
      <x:c r="T362" s="1" t="str">
        <x:v>NOT_REVEALING</x:v>
      </x:c>
      <x:c r="U362" s="1" t="str">
        <x:v>Gson_13</x:v>
      </x:c>
      <x:c r="V362" s="6" t="n">
        <x:v>22.45</x:v>
      </x:c>
    </x:row>
    <x:row r="363" ht="22" customHeight="1">
      <x:c r="A363" s="1" t="str">
        <x:v>Round1</x:v>
      </x:c>
      <x:c r="B363" s="1" t="str">
        <x:v>Gson</x:v>
      </x:c>
      <x:c r="C363" s="4" t="n">
        <x:v>14</x:v>
      </x:c>
      <x:c r="D363" s="4" t="n">
        <x:v>0</x:v>
      </x:c>
      <x:c r="E363" s="4" t="n">
        <x:v>60</x:v>
      </x:c>
      <x:c r="F363" s="4" t="n">
        <x:v>1</x:v>
      </x:c>
      <x:c r="G363" s="5" t="n">
        <x:v>0.0023</x:v>
      </x:c>
      <x:c r="H363" s="5" t="n">
        <x:v>0.0040999999999999995</x:v>
      </x:c>
      <x:c r="I363" s="5" t="n">
        <x:v>0</x:v>
      </x:c>
      <x:c r="J363" s="4" t="n">
        <x:v>433</x:v>
      </x:c>
      <x:c r="K363" s="4" t="n">
        <x:v>1</x:v>
      </x:c>
      <x:c r="L363" s="4" t="n">
        <x:v>243</x:v>
      </x:c>
      <x:c r="M363" s="4" t="n">
        <x:v>1</x:v>
      </x:c>
      <x:c r="N363" s="4" t="n">
        <x:v>190</x:v>
      </x:c>
      <x:c r="O363" s="4" t="n">
        <x:v>0</x:v>
      </x:c>
      <x:c r="P363" s="1" t="str">
        <x:v>PASS</x:v>
      </x:c>
      <x:c r="Q363" s="4" t="n">
        <x:v>0</x:v>
      </x:c>
      <x:c r="R363" s="1" t="str">
        <x:v>PASS</x:v>
      </x:c>
      <x:c r="S363" s="4" t="n">
        <x:v>0</x:v>
      </x:c>
      <x:c r="T363" s="1" t="str">
        <x:v>NOT_REVEALING</x:v>
      </x:c>
      <x:c r="U363" s="1" t="str">
        <x:v>Gson_14</x:v>
      </x:c>
      <x:c r="V363" s="6" t="n">
        <x:v>21.61</x:v>
      </x:c>
    </x:row>
    <x:row r="364" ht="22" customHeight="1">
      <x:c r="A364" s="1" t="str">
        <x:v>Round1</x:v>
      </x:c>
      <x:c r="B364" s="1" t="str">
        <x:v>Gson</x:v>
      </x:c>
      <x:c r="C364" s="4" t="n">
        <x:v>15</x:v>
      </x:c>
      <x:c r="D364" s="4" t="n">
        <x:v>0</x:v>
      </x:c>
      <x:c r="E364" s="4" t="n">
        <x:v>60</x:v>
      </x:c>
      <x:c r="F364" s="4" t="n">
        <x:v>2</x:v>
      </x:c>
      <x:c r="G364" s="5" t="n">
        <x:v>0.10339999999999999</x:v>
      </x:c>
      <x:c r="H364" s="5" t="n">
        <x:v>0.1414</x:v>
      </x:c>
      <x:c r="I364" s="5" t="n">
        <x:v>0.0217</x:v>
      </x:c>
      <x:c r="J364" s="4" t="n">
        <x:v>290</x:v>
      </x:c>
      <x:c r="K364" s="4" t="n">
        <x:v>30</x:v>
      </x:c>
      <x:c r="L364" s="4" t="n">
        <x:v>198</x:v>
      </x:c>
      <x:c r="M364" s="4" t="n">
        <x:v>28</x:v>
      </x:c>
      <x:c r="N364" s="4" t="n">
        <x:v>92</x:v>
      </x:c>
      <x:c r="O364" s="4" t="n">
        <x:v>2</x:v>
      </x:c>
      <x:c r="P364" s="1" t="str">
        <x:v>PASS</x:v>
      </x:c>
      <x:c r="Q364" s="4" t="n">
        <x:v>0</x:v>
      </x:c>
      <x:c r="R364" s="1" t="str">
        <x:v>PASS</x:v>
      </x:c>
      <x:c r="S364" s="4" t="n">
        <x:v>0</x:v>
      </x:c>
      <x:c r="T364" s="1" t="str">
        <x:v>NOT_REVEALING</x:v>
      </x:c>
      <x:c r="U364" s="1" t="str">
        <x:v>Gson_15</x:v>
      </x:c>
      <x:c r="V364" s="6" t="n">
        <x:v>21.78</x:v>
      </x:c>
    </x:row>
    <x:row r="365" ht="22" customHeight="1">
      <x:c r="A365" s="1" t="str">
        <x:v>Round1</x:v>
      </x:c>
      <x:c r="B365" s="1" t="str">
        <x:v>Gson</x:v>
      </x:c>
      <x:c r="C365" s="4" t="n">
        <x:v>16</x:v>
      </x:c>
      <x:c r="D365" s="4" t="n">
        <x:v>0</x:v>
      </x:c>
      <x:c r="E365" s="4" t="n">
        <x:v>60</x:v>
      </x:c>
      <x:c r="F365" s="4" t="n">
        <x:v>1</x:v>
      </x:c>
      <x:c r="G365" s="5" t="n">
        <x:v>0.0023</x:v>
      </x:c>
      <x:c r="H365" s="5" t="n">
        <x:v>0.004</x:v>
      </x:c>
      <x:c r="I365" s="5" t="n">
        <x:v>0</x:v>
      </x:c>
      <x:c r="J365" s="4" t="n">
        <x:v>442</x:v>
      </x:c>
      <x:c r="K365" s="4" t="n">
        <x:v>1</x:v>
      </x:c>
      <x:c r="L365" s="4" t="n">
        <x:v>248</x:v>
      </x:c>
      <x:c r="M365" s="4" t="n">
        <x:v>1</x:v>
      </x:c>
      <x:c r="N365" s="4" t="n">
        <x:v>194</x:v>
      </x:c>
      <x:c r="O365" s="4" t="n">
        <x:v>0</x:v>
      </x:c>
      <x:c r="P365" s="1" t="str">
        <x:v>PASS</x:v>
      </x:c>
      <x:c r="Q365" s="4" t="n">
        <x:v>0</x:v>
      </x:c>
      <x:c r="R365" s="1" t="str">
        <x:v>PASS</x:v>
      </x:c>
      <x:c r="S365" s="4" t="n">
        <x:v>0</x:v>
      </x:c>
      <x:c r="T365" s="1" t="str">
        <x:v>NOT_REVEALING</x:v>
      </x:c>
      <x:c r="U365" s="1" t="str">
        <x:v>Gson_16</x:v>
      </x:c>
      <x:c r="V365" s="6" t="n">
        <x:v>22.24</x:v>
      </x:c>
    </x:row>
    <x:row r="366" ht="22" customHeight="1">
      <x:c r="A366" s="1" t="str">
        <x:v>Round1</x:v>
      </x:c>
      <x:c r="B366" s="1" t="str">
        <x:v>Gson</x:v>
      </x:c>
      <x:c r="C366" s="4" t="n">
        <x:v>17</x:v>
      </x:c>
      <x:c r="D366" s="4" t="n">
        <x:v>0</x:v>
      </x:c>
      <x:c r="E366" s="4" t="n">
        <x:v>60</x:v>
      </x:c>
      <x:c r="F366" s="4" t="n">
        <x:v>75</x:v>
      </x:c>
      <x:c r="G366" s="5" t="n">
        <x:v>0.3239</x:v>
      </x:c>
      <x:c r="H366" s="5" t="n">
        <x:v>0.3636</x:v>
      </x:c>
      <x:c r="I366" s="5" t="n">
        <x:v>0.1875</x:v>
      </x:c>
      <x:c r="J366" s="4" t="n">
        <x:v>71</x:v>
      </x:c>
      <x:c r="K366" s="4" t="n">
        <x:v>23</x:v>
      </x:c>
      <x:c r="L366" s="4" t="n">
        <x:v>55</x:v>
      </x:c>
      <x:c r="M366" s="4" t="n">
        <x:v>20</x:v>
      </x:c>
      <x:c r="N366" s="4" t="n">
        <x:v>16</x:v>
      </x:c>
      <x:c r="O366" s="4" t="n">
        <x:v>3</x:v>
      </x:c>
      <x:c r="P366" s="1" t="str">
        <x:v>PASS</x:v>
      </x:c>
      <x:c r="Q366" s="4" t="n">
        <x:v>0</x:v>
      </x:c>
      <x:c r="R366" s="1" t="str">
        <x:v>FAIL</x:v>
      </x:c>
      <x:c r="S366" s="4" t="n">
        <x:v>20</x:v>
      </x:c>
      <x:c r="T366" s="1" t="str">
        <x:v>INCONCLUSIVE</x:v>
      </x:c>
      <x:c r="U366" s="1" t="str">
        <x:v>Gson_17</x:v>
      </x:c>
      <x:c r="V366" s="6" t="n">
        <x:v>23.05</x:v>
      </x:c>
    </x:row>
    <x:row r="367" ht="22" customHeight="1">
      <x:c r="A367" s="1" t="str">
        <x:v>Round1</x:v>
      </x:c>
      <x:c r="B367" s="1" t="str">
        <x:v>Gson</x:v>
      </x:c>
      <x:c r="C367" s="4" t="n">
        <x:v>18</x:v>
      </x:c>
      <x:c r="D367" s="4" t="n">
        <x:v>0</x:v>
      </x:c>
      <x:c r="E367" s="4" t="n">
        <x:v>60</x:v>
      </x:c>
      <x:c r="F367" s="4" t="n">
        <x:v>1</x:v>
      </x:c>
      <x:c r="G367" s="5" t="n">
        <x:v>0.0022</x:v>
      </x:c>
      <x:c r="H367" s="5" t="n">
        <x:v>0.004</x:v>
      </x:c>
      <x:c r="I367" s="5" t="n">
        <x:v>0</x:v>
      </x:c>
      <x:c r="J367" s="4" t="n">
        <x:v>447</x:v>
      </x:c>
      <x:c r="K367" s="4" t="n">
        <x:v>1</x:v>
      </x:c>
      <x:c r="L367" s="4" t="n">
        <x:v>251</x:v>
      </x:c>
      <x:c r="M367" s="4" t="n">
        <x:v>1</x:v>
      </x:c>
      <x:c r="N367" s="4" t="n">
        <x:v>196</x:v>
      </x:c>
      <x:c r="O367" s="4" t="n">
        <x:v>0</x:v>
      </x:c>
      <x:c r="P367" s="1" t="str">
        <x:v>PASS</x:v>
      </x:c>
      <x:c r="Q367" s="4" t="n">
        <x:v>0</x:v>
      </x:c>
      <x:c r="R367" s="1" t="str">
        <x:v>PASS</x:v>
      </x:c>
      <x:c r="S367" s="4" t="n">
        <x:v>0</x:v>
      </x:c>
      <x:c r="T367" s="1" t="str">
        <x:v>NOT_REVEALING</x:v>
      </x:c>
      <x:c r="U367" s="1" t="str">
        <x:v>Gson_18</x:v>
      </x:c>
      <x:c r="V367" s="6" t="n">
        <x:v>21.95</x:v>
      </x:c>
    </x:row>
    <x:row r="368" ht="22" customHeight="1">
      <x:c r="A368" s="1" t="str">
        <x:v>Round1</x:v>
      </x:c>
      <x:c r="B368" s="1" t="str">
        <x:v>JacksonCore</x:v>
      </x:c>
      <x:c r="C368" s="4" t="n">
        <x:v>1</x:v>
      </x:c>
      <x:c r="D368" s="4" t="n">
        <x:v>0</x:v>
      </x:c>
      <x:c r="E368" s="4" t="n">
        <x:v>60</x:v>
      </x:c>
      <x:c r="F368" s="4" t="n">
        <x:v>40</x:v>
      </x:c>
      <x:c r="G368" s="5" t="n">
        <x:v>0.40090000000000003</x:v>
      </x:c>
      <x:c r="H368" s="5" t="n">
        <x:v>0.4523</x:v>
      </x:c>
      <x:c r="I368" s="5" t="n">
        <x:v>0.3151</x:v>
      </x:c>
      <x:c r="J368" s="4" t="n">
        <x:v>636</x:v>
      </x:c>
      <x:c r="K368" s="4" t="n">
        <x:v>255</x:v>
      </x:c>
      <x:c r="L368" s="4" t="n">
        <x:v>398</x:v>
      </x:c>
      <x:c r="M368" s="4" t="n">
        <x:v>180</x:v>
      </x:c>
      <x:c r="N368" s="4" t="n">
        <x:v>238</x:v>
      </x:c>
      <x:c r="O368" s="4" t="n">
        <x:v>75</x:v>
      </x:c>
      <x:c r="P368" s="1" t="str">
        <x:v>PASS</x:v>
      </x:c>
      <x:c r="Q368" s="4" t="n">
        <x:v>0</x:v>
      </x:c>
      <x:c r="R368" s="1" t="str">
        <x:v>FAIL</x:v>
      </x:c>
      <x:c r="S368" s="4" t="n">
        <x:v>2</x:v>
      </x:c>
      <x:c r="T368" s="1" t="str">
        <x:v>INCONCLUSIVE</x:v>
      </x:c>
      <x:c r="U368" s="1" t="str">
        <x:v>JacksonCore_1</x:v>
      </x:c>
      <x:c r="V368" s="6" t="n">
        <x:v>27.32</x:v>
      </x:c>
    </x:row>
    <x:row r="369" ht="22" customHeight="1">
      <x:c r="A369" s="1" t="str">
        <x:v>Round1</x:v>
      </x:c>
      <x:c r="B369" s="1" t="str">
        <x:v>JacksonCore</x:v>
      </x:c>
      <x:c r="C369" s="4" t="n">
        <x:v>2</x:v>
      </x:c>
      <x:c r="D369" s="4" t="n">
        <x:v>0</x:v>
      </x:c>
      <x:c r="E369" s="4" t="n">
        <x:v>60</x:v>
      </x:c>
      <x:c r="F369" s="4" t="n">
        <x:v>33</x:v>
      </x:c>
      <x:c r="G369" s="5" t="n">
        <x:v>0.0024</x:v>
      </x:c>
      <x:c r="H369" s="5" t="n">
        <x:v>0.0037</x:v>
      </x:c>
      <x:c r="I369" s="5" t="n">
        <x:v>0.0006</x:v>
      </x:c>
      <x:c r="J369" s="4" t="n">
        <x:v>4161</x:v>
      </x:c>
      <x:c r="K369" s="4" t="n">
        <x:v>10</x:v>
      </x:c>
      <x:c r="L369" s="4" t="n">
        <x:v>2463</x:v>
      </x:c>
      <x:c r="M369" s="4" t="n">
        <x:v>9</x:v>
      </x:c>
      <x:c r="N369" s="4" t="n">
        <x:v>1698</x:v>
      </x:c>
      <x:c r="O369" s="4" t="n">
        <x:v>1</x:v>
      </x:c>
      <x:c r="P369" s="1" t="str">
        <x:v>PASS</x:v>
      </x:c>
      <x:c r="Q369" s="4" t="n">
        <x:v>0</x:v>
      </x:c>
      <x:c r="R369" s="1" t="str">
        <x:v>PASS</x:v>
      </x:c>
      <x:c r="S369" s="4" t="n">
        <x:v>0</x:v>
      </x:c>
      <x:c r="T369" s="1" t="str">
        <x:v>NOT_REVEALING</x:v>
      </x:c>
      <x:c r="U369" s="1" t="str">
        <x:v>JacksonCore_2</x:v>
      </x:c>
      <x:c r="V369" s="6" t="n">
        <x:v>24.31</x:v>
      </x:c>
    </x:row>
    <x:row r="370" ht="22" customHeight="1">
      <x:c r="A370" s="1" t="str">
        <x:v>Round1</x:v>
      </x:c>
      <x:c r="B370" s="1" t="str">
        <x:v>JacksonCore</x:v>
      </x:c>
      <x:c r="C370" s="4" t="n">
        <x:v>3</x:v>
      </x:c>
      <x:c r="D370" s="4" t="n">
        <x:v>0</x:v>
      </x:c>
      <x:c r="E370" s="4" t="n">
        <x:v>60</x:v>
      </x:c>
      <x:c r="F370" s="4" t="n">
        <x:v>38</x:v>
      </x:c>
      <x:c r="G370" s="5" t="n">
        <x:v>0.0034999999999999996</x:v>
      </x:c>
      <x:c r="H370" s="5" t="n">
        <x:v>0.0046</x:v>
      </x:c>
      <x:c r="I370" s="5" t="n">
        <x:v>0.002</x:v>
      </x:c>
      <x:c r="J370" s="4" t="n">
        <x:v>2554</x:v>
      </x:c>
      <x:c r="K370" s="4" t="n">
        <x:v>9</x:v>
      </x:c>
      <x:c r="L370" s="4" t="n">
        <x:v>1538</x:v>
      </x:c>
      <x:c r="M370" s="4" t="n">
        <x:v>7</x:v>
      </x:c>
      <x:c r="N370" s="4" t="n">
        <x:v>1016</x:v>
      </x:c>
      <x:c r="O370" s="4" t="n">
        <x:v>2</x:v>
      </x:c>
      <x:c r="P370" s="1" t="str">
        <x:v>PASS</x:v>
      </x:c>
      <x:c r="Q370" s="4" t="n">
        <x:v>0</x:v>
      </x:c>
      <x:c r="R370" s="1" t="str">
        <x:v>PASS</x:v>
      </x:c>
      <x:c r="S370" s="4" t="n">
        <x:v>0</x:v>
      </x:c>
      <x:c r="T370" s="1" t="str">
        <x:v>NOT_REVEALING</x:v>
      </x:c>
      <x:c r="U370" s="1" t="str">
        <x:v>JacksonCore_3</x:v>
      </x:c>
      <x:c r="V370" s="6" t="n">
        <x:v>29.12</x:v>
      </x:c>
    </x:row>
    <x:row r="371" ht="22" customHeight="1">
      <x:c r="A371" s="1" t="str">
        <x:v>Round1</x:v>
      </x:c>
      <x:c r="B371" s="1" t="str">
        <x:v>JacksonCore</x:v>
      </x:c>
      <x:c r="C371" s="4" t="n">
        <x:v>4</x:v>
      </x:c>
      <x:c r="D371" s="4" t="n">
        <x:v>0</x:v>
      </x:c>
      <x:c r="E371" s="4" t="n">
        <x:v>60</x:v>
      </x:c>
      <x:c r="F371" s="4" t="n">
        <x:v>32</x:v>
      </x:c>
      <x:c r="G371" s="5" t="n">
        <x:v>0.48229999999999995</x:v>
      </x:c>
      <x:c r="H371" s="5" t="n">
        <x:v>0.5229</x:v>
      </x:c>
      <x:c r="I371" s="5" t="n">
        <x:v>0.40299999999999997</x:v>
      </x:c>
      <x:c r="J371" s="4" t="n">
        <x:v>396</x:v>
      </x:c>
      <x:c r="K371" s="4" t="n">
        <x:v>191</x:v>
      </x:c>
      <x:c r="L371" s="4" t="n">
        <x:v>262</x:v>
      </x:c>
      <x:c r="M371" s="4" t="n">
        <x:v>137</x:v>
      </x:c>
      <x:c r="N371" s="4" t="n">
        <x:v>134</x:v>
      </x:c>
      <x:c r="O371" s="4" t="n">
        <x:v>54</x:v>
      </x:c>
      <x:c r="P371" s="1" t="str">
        <x:v>PASS</x:v>
      </x:c>
      <x:c r="Q371" s="4" t="n">
        <x:v>0</x:v>
      </x:c>
      <x:c r="R371" s="1" t="str">
        <x:v>PASS</x:v>
      </x:c>
      <x:c r="S371" s="4" t="n">
        <x:v>0</x:v>
      </x:c>
      <x:c r="T371" s="1" t="str">
        <x:v>NOT_REVEALING</x:v>
      </x:c>
      <x:c r="U371" s="1" t="str">
        <x:v>JacksonCore_4</x:v>
      </x:c>
      <x:c r="V371" s="6" t="n">
        <x:v>27.32</x:v>
      </x:c>
    </x:row>
    <x:row r="372" ht="22" customHeight="1">
      <x:c r="A372" s="1" t="str">
        <x:v>Round1</x:v>
      </x:c>
      <x:c r="B372" s="1" t="str">
        <x:v>JacksonCore</x:v>
      </x:c>
      <x:c r="C372" s="4" t="n">
        <x:v>5</x:v>
      </x:c>
      <x:c r="D372" s="4" t="n">
        <x:v>0</x:v>
      </x:c>
      <x:c r="E372" s="4" t="n">
        <x:v>60</x:v>
      </x:c>
      <x:c r="F372" s="4" t="n">
        <x:v>57</x:v>
      </x:c>
      <x:c r="G372" s="5" t="n">
        <x:v>0.5616</x:v>
      </x:c>
      <x:c r="H372" s="5" t="n">
        <x:v>0.631</x:v>
      </x:c>
      <x:c r="I372" s="5" t="n">
        <x:v>0.4677</x:v>
      </x:c>
      <x:c r="J372" s="4" t="n">
        <x:v>146</x:v>
      </x:c>
      <x:c r="K372" s="4" t="n">
        <x:v>82</x:v>
      </x:c>
      <x:c r="L372" s="4" t="n">
        <x:v>84</x:v>
      </x:c>
      <x:c r="M372" s="4" t="n">
        <x:v>53</x:v>
      </x:c>
      <x:c r="N372" s="4" t="n">
        <x:v>62</x:v>
      </x:c>
      <x:c r="O372" s="4" t="n">
        <x:v>29</x:v>
      </x:c>
      <x:c r="P372" s="1" t="str">
        <x:v>PASS</x:v>
      </x:c>
      <x:c r="Q372" s="4" t="n">
        <x:v>0</x:v>
      </x:c>
      <x:c r="R372" s="1" t="str">
        <x:v>PASS</x:v>
      </x:c>
      <x:c r="S372" s="4" t="n">
        <x:v>0</x:v>
      </x:c>
      <x:c r="T372" s="1" t="str">
        <x:v>NOT_REVEALING</x:v>
      </x:c>
      <x:c r="U372" s="1" t="str">
        <x:v>JacksonCore_5</x:v>
      </x:c>
      <x:c r="V372" s="6" t="n">
        <x:v>26.22</x:v>
      </x:c>
    </x:row>
    <x:row r="373" ht="22" customHeight="1">
      <x:c r="A373" s="1" t="str">
        <x:v>Round1</x:v>
      </x:c>
      <x:c r="B373" s="1" t="str">
        <x:v>JacksonCore</x:v>
      </x:c>
      <x:c r="C373" s="4" t="n">
        <x:v>6</x:v>
      </x:c>
      <x:c r="D373" s="4" t="n">
        <x:v>0</x:v>
      </x:c>
      <x:c r="E373" s="4" t="n">
        <x:v>60</x:v>
      </x:c>
      <x:c r="F373" s="4" t="n">
        <x:v>55</x:v>
      </x:c>
      <x:c r="G373" s="5" t="n">
        <x:v>0.5616</x:v>
      </x:c>
      <x:c r="H373" s="5" t="n">
        <x:v>0.631</x:v>
      </x:c>
      <x:c r="I373" s="5" t="n">
        <x:v>0.4677</x:v>
      </x:c>
      <x:c r="J373" s="4" t="n">
        <x:v>146</x:v>
      </x:c>
      <x:c r="K373" s="4" t="n">
        <x:v>82</x:v>
      </x:c>
      <x:c r="L373" s="4" t="n">
        <x:v>84</x:v>
      </x:c>
      <x:c r="M373" s="4" t="n">
        <x:v>53</x:v>
      </x:c>
      <x:c r="N373" s="4" t="n">
        <x:v>62</x:v>
      </x:c>
      <x:c r="O373" s="4" t="n">
        <x:v>29</x:v>
      </x:c>
      <x:c r="P373" s="1" t="str">
        <x:v>PASS</x:v>
      </x:c>
      <x:c r="Q373" s="4" t="n">
        <x:v>0</x:v>
      </x:c>
      <x:c r="R373" s="1" t="str">
        <x:v>PASS</x:v>
      </x:c>
      <x:c r="S373" s="4" t="n">
        <x:v>0</x:v>
      </x:c>
      <x:c r="T373" s="1" t="str">
        <x:v>NOT_REVEALING</x:v>
      </x:c>
      <x:c r="U373" s="1" t="str">
        <x:v>JacksonCore_6</x:v>
      </x:c>
      <x:c r="V373" s="6" t="n">
        <x:v>28.74</x:v>
      </x:c>
    </x:row>
    <x:row r="374" ht="22" customHeight="1">
      <x:c r="A374" s="1" t="str">
        <x:v>Round1</x:v>
      </x:c>
      <x:c r="B374" s="1" t="str">
        <x:v>JacksonCore</x:v>
      </x:c>
      <x:c r="C374" s="4" t="n">
        <x:v>7</x:v>
      </x:c>
      <x:c r="D374" s="4" t="n">
        <x:v>0</x:v>
      </x:c>
      <x:c r="E374" s="4" t="n">
        <x:v>60</x:v>
      </x:c>
      <x:c r="F374" s="4" t="n">
        <x:v>39</x:v>
      </x:c>
      <x:c r="G374" s="5" t="n">
        <x:v>0.2843</x:v>
      </x:c>
      <x:c r="H374" s="5" t="n">
        <x:v>0.4</x:v>
      </x:c>
      <x:c r="I374" s="5" t="n">
        <x:v>0.031200000000000002</x:v>
      </x:c>
      <x:c r="J374" s="4" t="n">
        <x:v>102</x:v>
      </x:c>
      <x:c r="K374" s="4" t="n">
        <x:v>29</x:v>
      </x:c>
      <x:c r="L374" s="4" t="n">
        <x:v>70</x:v>
      </x:c>
      <x:c r="M374" s="4" t="n">
        <x:v>28</x:v>
      </x:c>
      <x:c r="N374" s="4" t="n">
        <x:v>32</x:v>
      </x:c>
      <x:c r="O374" s="4" t="n">
        <x:v>1</x:v>
      </x:c>
      <x:c r="P374" s="1" t="str">
        <x:v>PASS</x:v>
      </x:c>
      <x:c r="Q374" s="4" t="n">
        <x:v>0</x:v>
      </x:c>
      <x:c r="R374" s="1" t="str">
        <x:v>PASS</x:v>
      </x:c>
      <x:c r="S374" s="4" t="n">
        <x:v>0</x:v>
      </x:c>
      <x:c r="T374" s="1" t="str">
        <x:v>NOT_REVEALING</x:v>
      </x:c>
      <x:c r="U374" s="1" t="str">
        <x:v>JacksonCore_7</x:v>
      </x:c>
      <x:c r="V374" s="6" t="n">
        <x:v>27.79</x:v>
      </x:c>
    </x:row>
    <x:row r="375" ht="22" customHeight="1">
      <x:c r="A375" s="1" t="str">
        <x:v>Round1</x:v>
      </x:c>
      <x:c r="B375" s="1" t="str">
        <x:v>JacksonCore</x:v>
      </x:c>
      <x:c r="C375" s="4" t="n">
        <x:v>8</x:v>
      </x:c>
      <x:c r="D375" s="4" t="n">
        <x:v>0</x:v>
      </x:c>
      <x:c r="E375" s="4" t="n">
        <x:v>60</x:v>
      </x:c>
      <x:c r="F375" s="4" t="n">
        <x:v>34</x:v>
      </x:c>
      <x:c r="G375" s="5" t="n">
        <x:v>0.4572</x:v>
      </x:c>
      <x:c r="H375" s="5" t="n">
        <x:v>0.5166</x:v>
      </x:c>
      <x:c r="I375" s="5" t="n">
        <x:v>0.3406</x:v>
      </x:c>
      <x:c r="J375" s="4" t="n">
        <x:v>409</x:v>
      </x:c>
      <x:c r="K375" s="4" t="n">
        <x:v>187</x:v>
      </x:c>
      <x:c r="L375" s="4" t="n">
        <x:v>271</x:v>
      </x:c>
      <x:c r="M375" s="4" t="n">
        <x:v>140</x:v>
      </x:c>
      <x:c r="N375" s="4" t="n">
        <x:v>138</x:v>
      </x:c>
      <x:c r="O375" s="4" t="n">
        <x:v>47</x:v>
      </x:c>
      <x:c r="P375" s="1" t="str">
        <x:v>FAIL</x:v>
      </x:c>
      <x:c r="Q375" s="4" t="n">
        <x:v>2</x:v>
      </x:c>
      <x:c r="R375" s="1" t="str">
        <x:v>FAIL</x:v>
      </x:c>
      <x:c r="S375" s="4" t="n">
        <x:v>2</x:v>
      </x:c>
      <x:c r="T375" s="1" t="str">
        <x:v>INCONCLUSIVE</x:v>
      </x:c>
      <x:c r="U375" s="1" t="str">
        <x:v>JacksonCore_8</x:v>
      </x:c>
      <x:c r="V375" s="6" t="n">
        <x:v>23.39</x:v>
      </x:c>
    </x:row>
    <x:row r="376" ht="22" customHeight="1">
      <x:c r="A376" s="1" t="str">
        <x:v>Round1</x:v>
      </x:c>
      <x:c r="B376" s="1" t="str">
        <x:v>JacksonCore</x:v>
      </x:c>
      <x:c r="C376" s="4" t="n">
        <x:v>9</x:v>
      </x:c>
      <x:c r="D376" s="4" t="n">
        <x:v>0</x:v>
      </x:c>
      <x:c r="E376" s="4" t="n">
        <x:v>60</x:v>
      </x:c>
      <x:c r="F376" s="4" t="n">
        <x:v>39</x:v>
      </x:c>
      <x:c r="G376" s="5" t="n">
        <x:v>0.0019</x:v>
      </x:c>
      <x:c r="H376" s="5" t="n">
        <x:v>0.0029</x:v>
      </x:c>
      <x:c r="I376" s="5" t="n">
        <x:v>0.0004</x:v>
      </x:c>
      <x:c r="J376" s="4" t="n">
        <x:v>5373</x:v>
      </x:c>
      <x:c r="K376" s="4" t="n">
        <x:v>10</x:v>
      </x:c>
      <x:c r="L376" s="4" t="n">
        <x:v>3116</x:v>
      </x:c>
      <x:c r="M376" s="4" t="n">
        <x:v>9</x:v>
      </x:c>
      <x:c r="N376" s="4" t="n">
        <x:v>2257</x:v>
      </x:c>
      <x:c r="O376" s="4" t="n">
        <x:v>1</x:v>
      </x:c>
      <x:c r="P376" s="1" t="str">
        <x:v>PASS</x:v>
      </x:c>
      <x:c r="Q376" s="4" t="n">
        <x:v>0</x:v>
      </x:c>
      <x:c r="R376" s="1" t="str">
        <x:v>PASS</x:v>
      </x:c>
      <x:c r="S376" s="4" t="n">
        <x:v>0</x:v>
      </x:c>
      <x:c r="T376" s="1" t="str">
        <x:v>NOT_REVEALING</x:v>
      </x:c>
      <x:c r="U376" s="1" t="str">
        <x:v>JacksonCore_9</x:v>
      </x:c>
      <x:c r="V376" s="6" t="n">
        <x:v>23.47</x:v>
      </x:c>
    </x:row>
    <x:row r="377" ht="22" customHeight="1">
      <x:c r="A377" s="1" t="str">
        <x:v>Round1</x:v>
      </x:c>
      <x:c r="B377" s="1" t="str">
        <x:v>JacksonCore</x:v>
      </x:c>
      <x:c r="C377" s="4" t="n">
        <x:v>10</x:v>
      </x:c>
      <x:c r="D377" s="4" t="n">
        <x:v>0</x:v>
      </x:c>
      <x:c r="E377" s="4" t="n">
        <x:v>60</x:v>
      </x:c>
      <x:c r="F377" s="4" t="n">
        <x:v>31</x:v>
      </x:c>
      <x:c r="G377" s="5" t="n">
        <x:v>0.25170000000000003</x:v>
      </x:c>
      <x:c r="H377" s="5" t="n">
        <x:v>0.32689999999999997</x:v>
      </x:c>
      <x:c r="I377" s="5" t="n">
        <x:v>0.12029999999999999</x:v>
      </x:c>
      <x:c r="J377" s="4" t="n">
        <x:v>731</x:v>
      </x:c>
      <x:c r="K377" s="4" t="n">
        <x:v>184</x:v>
      </x:c>
      <x:c r="L377" s="4" t="n">
        <x:v>465</x:v>
      </x:c>
      <x:c r="M377" s="4" t="n">
        <x:v>152</x:v>
      </x:c>
      <x:c r="N377" s="4" t="n">
        <x:v>266</x:v>
      </x:c>
      <x:c r="O377" s="4" t="n">
        <x:v>32</x:v>
      </x:c>
      <x:c r="P377" s="1" t="str">
        <x:v>FAIL</x:v>
      </x:c>
      <x:c r="Q377" s="4" t="n">
        <x:v>12</x:v>
      </x:c>
      <x:c r="R377" s="1" t="str">
        <x:v>FAIL</x:v>
      </x:c>
      <x:c r="S377" s="4" t="n">
        <x:v>12</x:v>
      </x:c>
      <x:c r="T377" s="1" t="str">
        <x:v>INCONCLUSIVE</x:v>
      </x:c>
      <x:c r="U377" s="1" t="str">
        <x:v>JacksonCore_10</x:v>
      </x:c>
      <x:c r="V377" s="6" t="n">
        <x:v>25.35</x:v>
      </x:c>
    </x:row>
    <x:row r="378" ht="22" customHeight="1">
      <x:c r="A378" s="1" t="str">
        <x:v>Round1</x:v>
      </x:c>
      <x:c r="B378" s="1" t="str">
        <x:v>JacksonCore</x:v>
      </x:c>
      <x:c r="C378" s="4" t="n">
        <x:v>11</x:v>
      </x:c>
      <x:c r="D378" s="4" t="n">
        <x:v>0</x:v>
      </x:c>
      <x:c r="E378" s="4" t="n">
        <x:v>60</x:v>
      </x:c>
      <x:c r="F378" s="4" t="n">
        <x:v>32</x:v>
      </x:c>
      <x:c r="G378" s="5" t="n">
        <x:v>0.2514</x:v>
      </x:c>
      <x:c r="H378" s="5" t="n">
        <x:v>0.32689999999999997</x:v>
      </x:c>
      <x:c r="I378" s="5" t="n">
        <x:v>0.11939999999999999</x:v>
      </x:c>
      <x:c r="J378" s="4" t="n">
        <x:v>736</x:v>
      </x:c>
      <x:c r="K378" s="4" t="n">
        <x:v>185</x:v>
      </x:c>
      <x:c r="L378" s="4" t="n">
        <x:v>468</x:v>
      </x:c>
      <x:c r="M378" s="4" t="n">
        <x:v>153</x:v>
      </x:c>
      <x:c r="N378" s="4" t="n">
        <x:v>268</x:v>
      </x:c>
      <x:c r="O378" s="4" t="n">
        <x:v>32</x:v>
      </x:c>
      <x:c r="P378" s="1" t="str">
        <x:v>FAIL</x:v>
      </x:c>
      <x:c r="Q378" s="4" t="n">
        <x:v>12</x:v>
      </x:c>
      <x:c r="R378" s="1" t="str">
        <x:v>FAIL</x:v>
      </x:c>
      <x:c r="S378" s="4" t="n">
        <x:v>12</x:v>
      </x:c>
      <x:c r="T378" s="1" t="str">
        <x:v>INCONCLUSIVE</x:v>
      </x:c>
      <x:c r="U378" s="1" t="str">
        <x:v>JacksonCore_11</x:v>
      </x:c>
      <x:c r="V378" s="6" t="n">
        <x:v>25.24</x:v>
      </x:c>
    </x:row>
    <x:row r="379" ht="22" customHeight="1">
      <x:c r="A379" s="1" t="str">
        <x:v>Round1</x:v>
      </x:c>
      <x:c r="B379" s="1" t="str">
        <x:v>JacksonCore</x:v>
      </x:c>
      <x:c r="C379" s="4" t="n">
        <x:v>12</x:v>
      </x:c>
      <x:c r="D379" s="4" t="n">
        <x:v>0</x:v>
      </x:c>
      <x:c r="E379" s="4" t="n">
        <x:v>60</x:v>
      </x:c>
      <x:c r="F379" s="4" t="n">
        <x:v>30</x:v>
      </x:c>
      <x:c r="G379" s="5" t="n">
        <x:v>0.002</x:v>
      </x:c>
      <x:c r="H379" s="5" t="n">
        <x:v>0.0028000000000000004</x:v>
      </x:c>
      <x:c r="I379" s="5" t="n">
        <x:v>0.0009</x:v>
      </x:c>
      <x:c r="J379" s="4" t="n">
        <x:v>5445</x:v>
      </x:c>
      <x:c r="K379" s="4" t="n">
        <x:v>11</x:v>
      </x:c>
      <x:c r="L379" s="4" t="n">
        <x:v>3187</x:v>
      </x:c>
      <x:c r="M379" s="4" t="n">
        <x:v>9</x:v>
      </x:c>
      <x:c r="N379" s="4" t="n">
        <x:v>2258</x:v>
      </x:c>
      <x:c r="O379" s="4" t="n">
        <x:v>2</x:v>
      </x:c>
      <x:c r="P379" s="1" t="str">
        <x:v>PASS</x:v>
      </x:c>
      <x:c r="Q379" s="4" t="n">
        <x:v>0</x:v>
      </x:c>
      <x:c r="R379" s="1" t="str">
        <x:v>PASS</x:v>
      </x:c>
      <x:c r="S379" s="4" t="n">
        <x:v>0</x:v>
      </x:c>
      <x:c r="T379" s="1" t="str">
        <x:v>NOT_REVEALING</x:v>
      </x:c>
      <x:c r="U379" s="1" t="str">
        <x:v>JacksonCore_12</x:v>
      </x:c>
      <x:c r="V379" s="6" t="n">
        <x:v>25.44</x:v>
      </x:c>
    </x:row>
    <x:row r="380" ht="22" customHeight="1">
      <x:c r="A380" s="1" t="str">
        <x:v>Round1</x:v>
      </x:c>
      <x:c r="B380" s="1" t="str">
        <x:v>JacksonCore</x:v>
      </x:c>
      <x:c r="C380" s="4" t="n">
        <x:v>13</x:v>
      </x:c>
      <x:c r="D380" s="4" t="n">
        <x:v>0</x:v>
      </x:c>
      <x:c r="E380" s="4" t="n">
        <x:v>60</x:v>
      </x:c>
      <x:c r="F380" s="4" t="n">
        <x:v>6</x:v>
      </x:c>
      <x:c r="G380" s="5" t="n">
        <x:v>0.0233</x:v>
      </x:c>
      <x:c r="H380" s="5" t="n">
        <x:v>0.0323</x:v>
      </x:c>
      <x:c r="I380" s="5" t="n">
        <x:v>0</x:v>
      </x:c>
      <x:c r="J380" s="4" t="n">
        <x:v>43</x:v>
      </x:c>
      <x:c r="K380" s="4" t="n">
        <x:v>1</x:v>
      </x:c>
      <x:c r="L380" s="4" t="n">
        <x:v>31</x:v>
      </x:c>
      <x:c r="M380" s="4" t="n">
        <x:v>1</x:v>
      </x:c>
      <x:c r="N380" s="4" t="n">
        <x:v>12</x:v>
      </x:c>
      <x:c r="O380" s="4" t="n">
        <x:v>0</x:v>
      </x:c>
      <x:c r="P380" s="1" t="str">
        <x:v>PASS</x:v>
      </x:c>
      <x:c r="Q380" s="4" t="n">
        <x:v>0</x:v>
      </x:c>
      <x:c r="R380" s="1" t="str">
        <x:v>PASS</x:v>
      </x:c>
      <x:c r="S380" s="4" t="n">
        <x:v>0</x:v>
      </x:c>
      <x:c r="T380" s="1" t="str">
        <x:v>NOT_REVEALING</x:v>
      </x:c>
      <x:c r="U380" s="1" t="str">
        <x:v>JacksonCore_13</x:v>
      </x:c>
      <x:c r="V380" s="6" t="n">
        <x:v>22.21</x:v>
      </x:c>
    </x:row>
    <x:row r="381" ht="22" customHeight="1">
      <x:c r="A381" s="1" t="str">
        <x:v>Round1</x:v>
      </x:c>
      <x:c r="B381" s="1" t="str">
        <x:v>JacksonCore</x:v>
      </x:c>
      <x:c r="C381" s="4" t="n">
        <x:v>14</x:v>
      </x:c>
      <x:c r="D381" s="4" t="n">
        <x:v>0</x:v>
      </x:c>
      <x:c r="E381" s="4" t="n">
        <x:v>60</x:v>
      </x:c>
      <x:c r="F381" s="4" t="n">
        <x:v>29</x:v>
      </x:c>
      <x:c r="G381" s="5" t="n">
        <x:v>0.5222</x:v>
      </x:c>
      <x:c r="H381" s="5" t="n">
        <x:v>0.5146999999999999</x:v>
      </x:c>
      <x:c r="I381" s="5" t="n">
        <x:v>0.5455</x:v>
      </x:c>
      <x:c r="J381" s="4" t="n">
        <x:v>90</x:v>
      </x:c>
      <x:c r="K381" s="4" t="n">
        <x:v>47</x:v>
      </x:c>
      <x:c r="L381" s="4" t="n">
        <x:v>68</x:v>
      </x:c>
      <x:c r="M381" s="4" t="n">
        <x:v>35</x:v>
      </x:c>
      <x:c r="N381" s="4" t="n">
        <x:v>22</x:v>
      </x:c>
      <x:c r="O381" s="4" t="n">
        <x:v>12</x:v>
      </x:c>
      <x:c r="P381" s="1" t="str">
        <x:v>PASS</x:v>
      </x:c>
      <x:c r="Q381" s="4" t="n">
        <x:v>0</x:v>
      </x:c>
      <x:c r="R381" s="1" t="str">
        <x:v>PASS</x:v>
      </x:c>
      <x:c r="S381" s="4" t="n">
        <x:v>0</x:v>
      </x:c>
      <x:c r="T381" s="1" t="str">
        <x:v>NOT_REVEALING</x:v>
      </x:c>
      <x:c r="U381" s="1" t="str">
        <x:v>JacksonCore_14</x:v>
      </x:c>
      <x:c r="V381" s="6" t="n">
        <x:v>23.71</x:v>
      </x:c>
    </x:row>
    <x:row r="382" ht="22" customHeight="1">
      <x:c r="A382" s="1" t="str">
        <x:v>Round1</x:v>
      </x:c>
      <x:c r="B382" s="1" t="str">
        <x:v>JacksonCore</x:v>
      </x:c>
      <x:c r="C382" s="4" t="n">
        <x:v>15</x:v>
      </x:c>
      <x:c r="D382" s="4" t="n">
        <x:v>0</x:v>
      </x:c>
      <x:c r="E382" s="4" t="n">
        <x:v>60</x:v>
      </x:c>
      <x:c r="F382" s="4" t="n">
        <x:v>40</x:v>
      </x:c>
      <x:c r="G382" s="5" t="n">
        <x:v>0.049699999999999994</x:v>
      </x:c>
      <x:c r="H382" s="5" t="n">
        <x:v>0.0751</x:v>
      </x:c>
      <x:c r="I382" s="5" t="n">
        <x:v>0.012</x:v>
      </x:c>
      <x:c r="J382" s="4" t="n">
        <x:v>624</x:v>
      </x:c>
      <x:c r="K382" s="4" t="n">
        <x:v>31</x:v>
      </x:c>
      <x:c r="L382" s="4" t="n">
        <x:v>373</x:v>
      </x:c>
      <x:c r="M382" s="4" t="n">
        <x:v>28</x:v>
      </x:c>
      <x:c r="N382" s="4" t="n">
        <x:v>251</x:v>
      </x:c>
      <x:c r="O382" s="4" t="n">
        <x:v>3</x:v>
      </x:c>
      <x:c r="P382" s="1" t="str">
        <x:v>PASS</x:v>
      </x:c>
      <x:c r="Q382" s="4" t="n">
        <x:v>0</x:v>
      </x:c>
      <x:c r="R382" s="1" t="str">
        <x:v>PASS</x:v>
      </x:c>
      <x:c r="S382" s="4" t="n">
        <x:v>0</x:v>
      </x:c>
      <x:c r="T382" s="1" t="str">
        <x:v>NOT_REVEALING</x:v>
      </x:c>
      <x:c r="U382" s="1" t="str">
        <x:v>JacksonCore_15</x:v>
      </x:c>
      <x:c r="V382" s="6" t="n">
        <x:v>25.91</x:v>
      </x:c>
    </x:row>
    <x:row r="383" ht="22" customHeight="1">
      <x:c r="A383" s="1" t="str">
        <x:v>Round1</x:v>
      </x:c>
      <x:c r="B383" s="1" t="str">
        <x:v>JacksonCore</x:v>
      </x:c>
      <x:c r="C383" s="4" t="n">
        <x:v>16</x:v>
      </x:c>
      <x:c r="D383" s="4" t="n">
        <x:v>0</x:v>
      </x:c>
      <x:c r="E383" s="4" t="n">
        <x:v>60</x:v>
      </x:c>
      <x:c r="F383" s="4" t="n">
        <x:v>53</x:v>
      </x:c>
      <x:c r="G383" s="5" t="n">
        <x:v>0.2545</x:v>
      </x:c>
      <x:c r="H383" s="5" t="n">
        <x:v>0.3333</x:v>
      </x:c>
      <x:c r="I383" s="5" t="n">
        <x:v>0.1364</x:v>
      </x:c>
      <x:c r="J383" s="4" t="n">
        <x:v>55</x:v>
      </x:c>
      <x:c r="K383" s="4" t="n">
        <x:v>14</x:v>
      </x:c>
      <x:c r="L383" s="4" t="n">
        <x:v>33</x:v>
      </x:c>
      <x:c r="M383" s="4" t="n">
        <x:v>11</x:v>
      </x:c>
      <x:c r="N383" s="4" t="n">
        <x:v>22</x:v>
      </x:c>
      <x:c r="O383" s="4" t="n">
        <x:v>3</x:v>
      </x:c>
      <x:c r="P383" s="1" t="str">
        <x:v>PASS</x:v>
      </x:c>
      <x:c r="Q383" s="4" t="n">
        <x:v>0</x:v>
      </x:c>
      <x:c r="R383" s="1" t="str">
        <x:v>FAIL</x:v>
      </x:c>
      <x:c r="S383" s="4" t="n">
        <x:v>102</x:v>
      </x:c>
      <x:c r="T383" s="1" t="str">
        <x:v>INCONCLUSIVE</x:v>
      </x:c>
      <x:c r="U383" s="1" t="str">
        <x:v>JacksonCore_16</x:v>
      </x:c>
      <x:c r="V383" s="6" t="n">
        <x:v>24.73</x:v>
      </x:c>
    </x:row>
    <x:row r="384" ht="22" customHeight="1">
      <x:c r="A384" s="1" t="str">
        <x:v>Round1</x:v>
      </x:c>
      <x:c r="B384" s="1" t="str">
        <x:v>JacksonCore</x:v>
      </x:c>
      <x:c r="C384" s="4" t="n">
        <x:v>17</x:v>
      </x:c>
      <x:c r="D384" s="4" t="n">
        <x:v>0</x:v>
      </x:c>
      <x:c r="E384" s="4" t="n">
        <x:v>60</x:v>
      </x:c>
      <x:c r="F384" s="4" t="n">
        <x:v>42</x:v>
      </x:c>
      <x:c r="G384" s="5" t="n">
        <x:v>0.0106</x:v>
      </x:c>
      <x:c r="H384" s="5" t="n">
        <x:v>0.0161</x:v>
      </x:c>
      <x:c r="I384" s="5" t="n">
        <x:v>0</x:v>
      </x:c>
      <x:c r="J384" s="4" t="n">
        <x:v>1514</x:v>
      </x:c>
      <x:c r="K384" s="4" t="n">
        <x:v>16</x:v>
      </x:c>
      <x:c r="L384" s="4" t="n">
        <x:v>991</x:v>
      </x:c>
      <x:c r="M384" s="4" t="n">
        <x:v>16</x:v>
      </x:c>
      <x:c r="N384" s="4" t="n">
        <x:v>523</x:v>
      </x:c>
      <x:c r="O384" s="4" t="n">
        <x:v>0</x:v>
      </x:c>
      <x:c r="P384" s="1" t="str">
        <x:v>PASS</x:v>
      </x:c>
      <x:c r="Q384" s="4" t="n">
        <x:v>0</x:v>
      </x:c>
      <x:c r="R384" s="1" t="str">
        <x:v>PASS</x:v>
      </x:c>
      <x:c r="S384" s="4" t="n">
        <x:v>0</x:v>
      </x:c>
      <x:c r="T384" s="1" t="str">
        <x:v>NOT_REVEALING</x:v>
      </x:c>
      <x:c r="U384" s="1" t="str">
        <x:v>JacksonCore_17</x:v>
      </x:c>
      <x:c r="V384" s="6" t="n">
        <x:v>25.12</x:v>
      </x:c>
    </x:row>
    <x:row r="385" ht="22" customHeight="1">
      <x:c r="A385" s="1" t="str">
        <x:v>Round1</x:v>
      </x:c>
      <x:c r="B385" s="1" t="str">
        <x:v>JacksonCore</x:v>
      </x:c>
      <x:c r="C385" s="4" t="n">
        <x:v>18</x:v>
      </x:c>
      <x:c r="D385" s="4" t="n">
        <x:v>0</x:v>
      </x:c>
      <x:c r="E385" s="4" t="n">
        <x:v>60</x:v>
      </x:c>
      <x:c r="F385" s="4" t="n">
        <x:v>47</x:v>
      </x:c>
      <x:c r="G385" s="5" t="n">
        <x:v>0.0106</x:v>
      </x:c>
      <x:c r="H385" s="5" t="n">
        <x:v>0.0151</x:v>
      </x:c>
      <x:c r="I385" s="5" t="n">
        <x:v>0.0018</x:v>
      </x:c>
      <x:c r="J385" s="4" t="n">
        <x:v>3197</x:v>
      </x:c>
      <x:c r="K385" s="4" t="n">
        <x:v>34</x:v>
      </x:c>
      <x:c r="L385" s="4" t="n">
        <x:v>2113</x:v>
      </x:c>
      <x:c r="M385" s="4" t="n">
        <x:v>32</x:v>
      </x:c>
      <x:c r="N385" s="4" t="n">
        <x:v>1084</x:v>
      </x:c>
      <x:c r="O385" s="4" t="n">
        <x:v>2</x:v>
      </x:c>
      <x:c r="P385" s="1" t="str">
        <x:v>PASS</x:v>
      </x:c>
      <x:c r="Q385" s="4" t="n">
        <x:v>0</x:v>
      </x:c>
      <x:c r="R385" s="1" t="str">
        <x:v>PASS</x:v>
      </x:c>
      <x:c r="S385" s="4" t="n">
        <x:v>0</x:v>
      </x:c>
      <x:c r="T385" s="1" t="str">
        <x:v>NOT_REVEALING</x:v>
      </x:c>
      <x:c r="U385" s="1" t="str">
        <x:v>JacksonCore_18</x:v>
      </x:c>
      <x:c r="V385" s="6" t="n">
        <x:v>24.85</x:v>
      </x:c>
    </x:row>
    <x:row r="386" ht="22" customHeight="1">
      <x:c r="A386" s="1" t="str">
        <x:v>Round1</x:v>
      </x:c>
      <x:c r="B386" s="1" t="str">
        <x:v>JacksonCore</x:v>
      </x:c>
      <x:c r="C386" s="4" t="n">
        <x:v>19</x:v>
      </x:c>
      <x:c r="D386" s="4" t="n">
        <x:v>0</x:v>
      </x:c>
      <x:c r="E386" s="4" t="n">
        <x:v>60</x:v>
      </x:c>
      <x:c r="F386" s="4" t="n">
        <x:v>41</x:v>
      </x:c>
      <x:c r="G386" s="5" t="n">
        <x:v>0.002</x:v>
      </x:c>
      <x:c r="H386" s="5" t="n">
        <x:v>0.0028000000000000004</x:v>
      </x:c>
      <x:c r="I386" s="5" t="n">
        <x:v>0.0009</x:v>
      </x:c>
      <x:c r="J386" s="4" t="n">
        <x:v>5451</x:v>
      </x:c>
      <x:c r="K386" s="4" t="n">
        <x:v>11</x:v>
      </x:c>
      <x:c r="L386" s="4" t="n">
        <x:v>3197</x:v>
      </x:c>
      <x:c r="M386" s="4" t="n">
        <x:v>9</x:v>
      </x:c>
      <x:c r="N386" s="4" t="n">
        <x:v>2254</x:v>
      </x:c>
      <x:c r="O386" s="4" t="n">
        <x:v>2</x:v>
      </x:c>
      <x:c r="P386" s="1" t="str">
        <x:v>PASS</x:v>
      </x:c>
      <x:c r="Q386" s="4" t="n">
        <x:v>0</x:v>
      </x:c>
      <x:c r="R386" s="1" t="str">
        <x:v>PASS</x:v>
      </x:c>
      <x:c r="S386" s="4" t="n">
        <x:v>0</x:v>
      </x:c>
      <x:c r="T386" s="1" t="str">
        <x:v>NOT_REVEALING</x:v>
      </x:c>
      <x:c r="U386" s="1" t="str">
        <x:v>JacksonCore_19</x:v>
      </x:c>
      <x:c r="V386" s="6" t="n">
        <x:v>26.48</x:v>
      </x:c>
    </x:row>
    <x:row r="387" ht="22" customHeight="1">
      <x:c r="A387" s="1" t="str">
        <x:v>Round1</x:v>
      </x:c>
      <x:c r="B387" s="1" t="str">
        <x:v>JacksonCore</x:v>
      </x:c>
      <x:c r="C387" s="4" t="n">
        <x:v>20</x:v>
      </x:c>
      <x:c r="D387" s="4" t="n">
        <x:v>0</x:v>
      </x:c>
      <x:c r="E387" s="4" t="n">
        <x:v>60</x:v>
      </x:c>
      <x:c r="F387" s="4" t="n">
        <x:v>43</x:v>
      </x:c>
      <x:c r="G387" s="5" t="n">
        <x:v>0.0815</x:v>
      </x:c>
      <x:c r="H387" s="5" t="n">
        <x:v>0.0888</x:v>
      </x:c>
      <x:c r="I387" s="5" t="n">
        <x:v>0.061900000000000004</x:v>
      </x:c>
      <x:c r="J387" s="4" t="n">
        <x:v>356</x:v>
      </x:c>
      <x:c r="K387" s="4" t="n">
        <x:v>29</x:v>
      </x:c>
      <x:c r="L387" s="4" t="n">
        <x:v>259</x:v>
      </x:c>
      <x:c r="M387" s="4" t="n">
        <x:v>23</x:v>
      </x:c>
      <x:c r="N387" s="4" t="n">
        <x:v>97</x:v>
      </x:c>
      <x:c r="O387" s="4" t="n">
        <x:v>6</x:v>
      </x:c>
      <x:c r="P387" s="1" t="str">
        <x:v>PASS</x:v>
      </x:c>
      <x:c r="Q387" s="4" t="n">
        <x:v>0</x:v>
      </x:c>
      <x:c r="R387" s="1" t="str">
        <x:v>PASS</x:v>
      </x:c>
      <x:c r="S387" s="4" t="n">
        <x:v>0</x:v>
      </x:c>
      <x:c r="T387" s="1" t="str">
        <x:v>NOT_REVEALING</x:v>
      </x:c>
      <x:c r="U387" s="1" t="str">
        <x:v>JacksonCore_20</x:v>
      </x:c>
      <x:c r="V387" s="6" t="n">
        <x:v>27.02</x:v>
      </x:c>
    </x:row>
    <x:row r="388" ht="22" customHeight="1">
      <x:c r="A388" s="1" t="str">
        <x:v>Round1</x:v>
      </x:c>
      <x:c r="B388" s="1" t="str">
        <x:v>JacksonCore</x:v>
      </x:c>
      <x:c r="C388" s="4" t="n">
        <x:v>21</x:v>
      </x:c>
      <x:c r="D388" s="4" t="n">
        <x:v>0</x:v>
      </x:c>
      <x:c r="E388" s="4" t="n">
        <x:v>60</x:v>
      </x:c>
      <x:c r="F388" s="4" t="n">
        <x:v>40</x:v>
      </x:c>
      <x:c r="G388" s="5" t="n">
        <x:v>0.052000000000000005</x:v>
      </x:c>
      <x:c r="H388" s="5" t="n">
        <x:v>0.0701</x:v>
      </x:c>
      <x:c r="I388" s="5" t="n">
        <x:v>0.026000000000000002</x:v>
      </x:c>
      <x:c r="J388" s="4" t="n">
        <x:v>654</x:v>
      </x:c>
      <x:c r="K388" s="4" t="n">
        <x:v>34</x:v>
      </x:c>
      <x:c r="L388" s="4" t="n">
        <x:v>385</x:v>
      </x:c>
      <x:c r="M388" s="4" t="n">
        <x:v>27</x:v>
      </x:c>
      <x:c r="N388" s="4" t="n">
        <x:v>269</x:v>
      </x:c>
      <x:c r="O388" s="4" t="n">
        <x:v>7</x:v>
      </x:c>
      <x:c r="P388" s="1" t="str">
        <x:v>PASS</x:v>
      </x:c>
      <x:c r="Q388" s="4" t="n">
        <x:v>0</x:v>
      </x:c>
      <x:c r="R388" s="1" t="str">
        <x:v>PASS</x:v>
      </x:c>
      <x:c r="S388" s="4" t="n">
        <x:v>0</x:v>
      </x:c>
      <x:c r="T388" s="1" t="str">
        <x:v>NOT_REVEALING</x:v>
      </x:c>
      <x:c r="U388" s="1" t="str">
        <x:v>JacksonCore_21</x:v>
      </x:c>
      <x:c r="V388" s="6" t="n">
        <x:v>27.01</x:v>
      </x:c>
    </x:row>
    <x:row r="389" ht="22" customHeight="1">
      <x:c r="A389" s="1" t="str">
        <x:v>Round1</x:v>
      </x:c>
      <x:c r="B389" s="1" t="str">
        <x:v>JacksonCore</x:v>
      </x:c>
      <x:c r="C389" s="4" t="n">
        <x:v>22</x:v>
      </x:c>
      <x:c r="D389" s="4" t="n">
        <x:v>0</x:v>
      </x:c>
      <x:c r="E389" s="4" t="n">
        <x:v>60</x:v>
      </x:c>
      <x:c r="F389" s="4" t="n">
        <x:v>39</x:v>
      </x:c>
      <x:c r="G389" s="5" t="n">
        <x:v>0.0525</x:v>
      </x:c>
      <x:c r="H389" s="5" t="n">
        <x:v>0.0709</x:v>
      </x:c>
      <x:c r="I389" s="5" t="n">
        <x:v>0.0262</x:v>
      </x:c>
      <x:c r="J389" s="4" t="n">
        <x:v>648</x:v>
      </x:c>
      <x:c r="K389" s="4" t="n">
        <x:v>34</x:v>
      </x:c>
      <x:c r="L389" s="4" t="n">
        <x:v>381</x:v>
      </x:c>
      <x:c r="M389" s="4" t="n">
        <x:v>27</x:v>
      </x:c>
      <x:c r="N389" s="4" t="n">
        <x:v>267</x:v>
      </x:c>
      <x:c r="O389" s="4" t="n">
        <x:v>7</x:v>
      </x:c>
      <x:c r="P389" s="1" t="str">
        <x:v>PASS</x:v>
      </x:c>
      <x:c r="Q389" s="4" t="n">
        <x:v>0</x:v>
      </x:c>
      <x:c r="R389" s="1" t="str">
        <x:v>PASS</x:v>
      </x:c>
      <x:c r="S389" s="4" t="n">
        <x:v>0</x:v>
      </x:c>
      <x:c r="T389" s="1" t="str">
        <x:v>NOT_REVEALING</x:v>
      </x:c>
      <x:c r="U389" s="1" t="str">
        <x:v>JacksonCore_22</x:v>
      </x:c>
      <x:c r="V389" s="6" t="n">
        <x:v>28.41</x:v>
      </x:c>
    </x:row>
    <x:row r="390" ht="22" customHeight="1">
      <x:c r="A390" s="1" t="str">
        <x:v>Round1</x:v>
      </x:c>
      <x:c r="B390" s="1" t="str">
        <x:v>JacksonCore</x:v>
      </x:c>
      <x:c r="C390" s="4" t="n">
        <x:v>23</x:v>
      </x:c>
      <x:c r="D390" s="4" t="n">
        <x:v>0</x:v>
      </x:c>
      <x:c r="E390" s="4" t="n">
        <x:v>60</x:v>
      </x:c>
      <x:c r="F390" s="4" t="n">
        <x:v>28</x:v>
      </x:c>
      <x:c r="G390" s="5" t="n">
        <x:v>0.637</x:v>
      </x:c>
      <x:c r="H390" s="5" t="n">
        <x:v>0.6887000000000001</x:v>
      </x:c>
      <x:c r="I390" s="5" t="n">
        <x:v>0.5</x:v>
      </x:c>
      <x:c r="J390" s="4" t="n">
        <x:v>146</x:v>
      </x:c>
      <x:c r="K390" s="4" t="n">
        <x:v>93</x:v>
      </x:c>
      <x:c r="L390" s="4" t="n">
        <x:v>106</x:v>
      </x:c>
      <x:c r="M390" s="4" t="n">
        <x:v>73</x:v>
      </x:c>
      <x:c r="N390" s="4" t="n">
        <x:v>40</x:v>
      </x:c>
      <x:c r="O390" s="4" t="n">
        <x:v>20</x:v>
      </x:c>
      <x:c r="P390" s="1" t="str">
        <x:v>PASS</x:v>
      </x:c>
      <x:c r="Q390" s="4" t="n">
        <x:v>0</x:v>
      </x:c>
      <x:c r="R390" s="1" t="str">
        <x:v>PASS</x:v>
      </x:c>
      <x:c r="S390" s="4" t="n">
        <x:v>0</x:v>
      </x:c>
      <x:c r="T390" s="1" t="str">
        <x:v>NOT_REVEALING</x:v>
      </x:c>
      <x:c r="U390" s="1" t="str">
        <x:v>JacksonCore_23</x:v>
      </x:c>
      <x:c r="V390" s="6" t="n">
        <x:v>28.53</x:v>
      </x:c>
    </x:row>
    <x:row r="391" ht="22" customHeight="1">
      <x:c r="A391" s="1" t="str">
        <x:v>Round1</x:v>
      </x:c>
      <x:c r="B391" s="1" t="str">
        <x:v>JacksonCore</x:v>
      </x:c>
      <x:c r="C391" s="4" t="n">
        <x:v>24</x:v>
      </x:c>
      <x:c r="D391" s="4" t="n">
        <x:v>0</x:v>
      </x:c>
      <x:c r="E391" s="4" t="n">
        <x:v>60</x:v>
      </x:c>
      <x:c r="F391" s="4" t="n">
        <x:v>58</x:v>
      </x:c>
      <x:c r="G391" s="5" t="n">
        <x:v>0.029500000000000002</x:v>
      </x:c>
      <x:c r="H391" s="5" t="n">
        <x:v>0.0379</x:v>
      </x:c>
      <x:c r="I391" s="5" t="n">
        <x:v>0.017</x:v>
      </x:c>
      <x:c r="J391" s="4" t="n">
        <x:v>1018</x:v>
      </x:c>
      <x:c r="K391" s="4" t="n">
        <x:v>30</x:v>
      </x:c>
      <x:c r="L391" s="4" t="n">
        <x:v>607</x:v>
      </x:c>
      <x:c r="M391" s="4" t="n">
        <x:v>23</x:v>
      </x:c>
      <x:c r="N391" s="4" t="n">
        <x:v>411</x:v>
      </x:c>
      <x:c r="O391" s="4" t="n">
        <x:v>7</x:v>
      </x:c>
      <x:c r="P391" s="1" t="str">
        <x:v>PASS</x:v>
      </x:c>
      <x:c r="Q391" s="4" t="n">
        <x:v>0</x:v>
      </x:c>
      <x:c r="R391" s="1" t="str">
        <x:v>PASS</x:v>
      </x:c>
      <x:c r="S391" s="4" t="n">
        <x:v>0</x:v>
      </x:c>
      <x:c r="T391" s="1" t="str">
        <x:v>NOT_REVEALING</x:v>
      </x:c>
      <x:c r="U391" s="1" t="str">
        <x:v>JacksonCore_24</x:v>
      </x:c>
      <x:c r="V391" s="6" t="n">
        <x:v>29.73</x:v>
      </x:c>
    </x:row>
    <x:row r="392" ht="22" customHeight="1">
      <x:c r="A392" s="1" t="str">
        <x:v>Round1</x:v>
      </x:c>
      <x:c r="B392" s="1" t="str">
        <x:v>JacksonCore</x:v>
      </x:c>
      <x:c r="C392" s="4" t="n">
        <x:v>25</x:v>
      </x:c>
      <x:c r="D392" s="4" t="n">
        <x:v>0</x:v>
      </x:c>
      <x:c r="E392" s="4" t="n">
        <x:v>60</x:v>
      </x:c>
      <x:c r="F392" s="4" t="n">
        <x:v>37</x:v>
      </x:c>
      <x:c r="G392" s="5" t="n">
        <x:v>0.0016</x:v>
      </x:c>
      <x:c r="H392" s="5" t="n">
        <x:v>0.0028000000000000004</x:v>
      </x:c>
      <x:c r="I392" s="5" t="n">
        <x:v>0</x:v>
      </x:c>
      <x:c r="J392" s="4" t="n">
        <x:v>2522</x:v>
      </x:c>
      <x:c r="K392" s="4" t="n">
        <x:v>4</x:v>
      </x:c>
      <x:c r="L392" s="4" t="n">
        <x:v>1438</x:v>
      </x:c>
      <x:c r="M392" s="4" t="n">
        <x:v>4</x:v>
      </x:c>
      <x:c r="N392" s="4" t="n">
        <x:v>1084</x:v>
      </x:c>
      <x:c r="O392" s="4" t="n">
        <x:v>0</x:v>
      </x:c>
      <x:c r="P392" s="1" t="str">
        <x:v>PASS</x:v>
      </x:c>
      <x:c r="Q392" s="4" t="n">
        <x:v>0</x:v>
      </x:c>
      <x:c r="R392" s="1" t="str">
        <x:v>PASS</x:v>
      </x:c>
      <x:c r="S392" s="4" t="n">
        <x:v>0</x:v>
      </x:c>
      <x:c r="T392" s="1" t="str">
        <x:v>NOT_REVEALING</x:v>
      </x:c>
      <x:c r="U392" s="1" t="str">
        <x:v>JacksonCore_25</x:v>
      </x:c>
      <x:c r="V392" s="6" t="n">
        <x:v>29.04</x:v>
      </x:c>
    </x:row>
    <x:row r="393" ht="22" customHeight="1">
      <x:c r="A393" s="1" t="str">
        <x:v>Round1</x:v>
      </x:c>
      <x:c r="B393" s="1" t="str">
        <x:v>JacksonCore</x:v>
      </x:c>
      <x:c r="C393" s="4" t="n">
        <x:v>26</x:v>
      </x:c>
      <x:c r="D393" s="4" t="n">
        <x:v>0</x:v>
      </x:c>
      <x:c r="E393" s="4" t="n">
        <x:v>60</x:v>
      </x:c>
      <x:c r="F393" s="4" t="n">
        <x:v>21</x:v>
      </x:c>
      <x:c r="G393" s="5" t="n">
        <x:v>0.0040999999999999995</x:v>
      </x:c>
      <x:c r="H393" s="5" t="n">
        <x:v>0.0067</x:v>
      </x:c>
      <x:c r="I393" s="5" t="n">
        <x:v>0</x:v>
      </x:c>
      <x:c r="J393" s="4" t="n">
        <x:v>2433</x:v>
      </x:c>
      <x:c r="K393" s="4" t="n">
        <x:v>10</x:v>
      </x:c>
      <x:c r="L393" s="4" t="n">
        <x:v>1482</x:v>
      </x:c>
      <x:c r="M393" s="4" t="n">
        <x:v>10</x:v>
      </x:c>
      <x:c r="N393" s="4" t="n">
        <x:v>951</x:v>
      </x:c>
      <x:c r="O393" s="4" t="n">
        <x:v>0</x:v>
      </x:c>
      <x:c r="P393" s="1" t="str">
        <x:v>PASS</x:v>
      </x:c>
      <x:c r="Q393" s="4" t="n">
        <x:v>0</x:v>
      </x:c>
      <x:c r="R393" s="1" t="str">
        <x:v>PASS</x:v>
      </x:c>
      <x:c r="S393" s="4" t="n">
        <x:v>0</x:v>
      </x:c>
      <x:c r="T393" s="1" t="str">
        <x:v>NOT_REVEALING</x:v>
      </x:c>
      <x:c r="U393" s="1" t="str">
        <x:v>JacksonCore_26</x:v>
      </x:c>
      <x:c r="V393" s="6" t="n">
        <x:v>30.64</x:v>
      </x:c>
    </x:row>
    <x:row r="394" ht="22" customHeight="1">
      <x:c r="A394" s="1" t="str">
        <x:v>Round1</x:v>
      </x:c>
      <x:c r="B394" s="1" t="str">
        <x:v>JacksonDatabind</x:v>
      </x:c>
      <x:c r="C394" s="4" t="n">
        <x:v>1</x:v>
      </x:c>
      <x:c r="D394" s="4" t="n">
        <x:v>0</x:v>
      </x:c>
      <x:c r="E394" s="4" t="n">
        <x:v>60</x:v>
      </x:c>
      <x:c r="F394" s="4" t="n">
        <x:v>4</x:v>
      </x:c>
      <x:c r="G394" s="5" t="n">
        <x:v>0.0167</x:v>
      </x:c>
      <x:c r="H394" s="5" t="n">
        <x:v>0.0256</x:v>
      </x:c>
      <x:c r="I394" s="5" t="n">
        <x:v>0</x:v>
      </x:c>
      <x:c r="J394" s="4" t="n">
        <x:v>299</x:v>
      </x:c>
      <x:c r="K394" s="4" t="n">
        <x:v>5</x:v>
      </x:c>
      <x:c r="L394" s="4" t="n">
        <x:v>195</x:v>
      </x:c>
      <x:c r="M394" s="4" t="n">
        <x:v>5</x:v>
      </x:c>
      <x:c r="N394" s="4" t="n">
        <x:v>104</x:v>
      </x:c>
      <x:c r="O394" s="4" t="n">
        <x:v>0</x:v>
      </x:c>
      <x:c r="P394" s="1" t="str">
        <x:v>PASS</x:v>
      </x:c>
      <x:c r="Q394" s="4" t="n">
        <x:v>0</x:v>
      </x:c>
      <x:c r="R394" s="1" t="str">
        <x:v>PASS</x:v>
      </x:c>
      <x:c r="S394" s="4" t="n">
        <x:v>0</x:v>
      </x:c>
      <x:c r="T394" s="1" t="str">
        <x:v>NOT_REVEALING</x:v>
      </x:c>
      <x:c r="U394" s="1" t="str">
        <x:v>JacksonDatabind_1</x:v>
      </x:c>
      <x:c r="V394" s="6" t="n">
        <x:v>62.39</x:v>
      </x:c>
    </x:row>
    <x:row r="395" ht="22" customHeight="1">
      <x:c r="A395" s="1" t="str">
        <x:v>Round1</x:v>
      </x:c>
      <x:c r="B395" s="1" t="str">
        <x:v>JacksonDatabind</x:v>
      </x:c>
      <x:c r="C395" s="4" t="n">
        <x:v>2</x:v>
      </x:c>
      <x:c r="D395" s="4" t="n">
        <x:v>0</x:v>
      </x:c>
      <x:c r="E395" s="4" t="n">
        <x:v>60</x:v>
      </x:c>
      <x:c r="F395" s="4" t="n">
        <x:v>4701</x:v>
      </x:c>
      <x:c r="G395" s="5" t="n">
        <x:v>0.7620999999999999</x:v>
      </x:c>
      <x:c r="H395" s="5" t="n">
        <x:v>0.8081999999999999</x:v>
      </x:c>
      <x:c r="I395" s="5" t="n">
        <x:v>0.6678000000000001</x:v>
      </x:c>
      <x:c r="J395" s="4" t="n">
        <x:v>908</x:v>
      </x:c>
      <x:c r="K395" s="4" t="n">
        <x:v>692</x:v>
      </x:c>
      <x:c r="L395" s="4" t="n">
        <x:v>610</x:v>
      </x:c>
      <x:c r="M395" s="4" t="n">
        <x:v>493</x:v>
      </x:c>
      <x:c r="N395" s="4" t="n">
        <x:v>298</x:v>
      </x:c>
      <x:c r="O395" s="4" t="n">
        <x:v>199</x:v>
      </x:c>
      <x:c r="P395" s="1" t="str">
        <x:v>PASS</x:v>
      </x:c>
      <x:c r="Q395" s="4" t="n">
        <x:v>0</x:v>
      </x:c>
      <x:c r="R395" s="1" t="str">
        <x:v>FAIL</x:v>
      </x:c>
      <x:c r="S395" s="4" t="n">
        <x:v>4</x:v>
      </x:c>
      <x:c r="T395" s="1" t="str">
        <x:v>INCONCLUSIVE</x:v>
      </x:c>
      <x:c r="U395" s="1" t="str">
        <x:v>JacksonDatabind_2</x:v>
      </x:c>
      <x:c r="V395" s="6" t="n">
        <x:v>109.58</x:v>
      </x:c>
    </x:row>
    <x:row r="396" ht="22" customHeight="1">
      <x:c r="A396" s="1" t="str">
        <x:v>Round1</x:v>
      </x:c>
      <x:c r="B396" s="1" t="str">
        <x:v>JacksonDatabind</x:v>
      </x:c>
      <x:c r="C396" s="4" t="n">
        <x:v>3</x:v>
      </x:c>
      <x:c r="D396" s="4" t="n">
        <x:v>0</x:v>
      </x:c>
      <x:c r="E396" s="4" t="n">
        <x:v>60</x:v>
      </x:c>
      <x:c r="F396" s="4" t="n">
        <x:v>3209</x:v>
      </x:c>
      <x:c r="G396" s="5" t="n">
        <x:v>0.12240000000000001</x:v>
      </x:c>
      <x:c r="H396" s="5" t="n">
        <x:v>0.1935</x:v>
      </x:c>
      <x:c r="I396" s="5" t="n">
        <x:v>0</x:v>
      </x:c>
      <x:c r="J396" s="4" t="n">
        <x:v>98</x:v>
      </x:c>
      <x:c r="K396" s="4" t="n">
        <x:v>12</x:v>
      </x:c>
      <x:c r="L396" s="4" t="n">
        <x:v>62</x:v>
      </x:c>
      <x:c r="M396" s="4" t="n">
        <x:v>12</x:v>
      </x:c>
      <x:c r="N396" s="4" t="n">
        <x:v>36</x:v>
      </x:c>
      <x:c r="O396" s="4" t="n">
        <x:v>0</x:v>
      </x:c>
      <x:c r="P396" s="1" t="str">
        <x:v>PASS</x:v>
      </x:c>
      <x:c r="Q396" s="4" t="n">
        <x:v>0</x:v>
      </x:c>
      <x:c r="R396" s="1" t="str">
        <x:v>PASS</x:v>
      </x:c>
      <x:c r="S396" s="4" t="n">
        <x:v>0</x:v>
      </x:c>
      <x:c r="T396" s="1" t="str">
        <x:v>NOT_REVEALING</x:v>
      </x:c>
      <x:c r="U396" s="1" t="str">
        <x:v>JacksonDatabind_3</x:v>
      </x:c>
      <x:c r="V396" s="6" t="n">
        <x:v>90.67</x:v>
      </x:c>
    </x:row>
    <x:row r="397" ht="22" customHeight="1">
      <x:c r="A397" s="1" t="str">
        <x:v>Round1</x:v>
      </x:c>
      <x:c r="B397" s="1" t="str">
        <x:v>JacksonDatabind</x:v>
      </x:c>
      <x:c r="C397" s="4" t="n">
        <x:v>4</x:v>
      </x:c>
      <x:c r="D397" s="4" t="n">
        <x:v>0</x:v>
      </x:c>
      <x:c r="E397" s="4" t="n">
        <x:v>60</x:v>
      </x:c>
      <x:c r="F397" s="4" t="n">
        <x:v>3473</x:v>
      </x:c>
      <x:c r="G397" s="5" t="n">
        <x:v>0.12240000000000001</x:v>
      </x:c>
      <x:c r="H397" s="5" t="n">
        <x:v>0.1935</x:v>
      </x:c>
      <x:c r="I397" s="5" t="n">
        <x:v>0</x:v>
      </x:c>
      <x:c r="J397" s="4" t="n">
        <x:v>98</x:v>
      </x:c>
      <x:c r="K397" s="4" t="n">
        <x:v>12</x:v>
      </x:c>
      <x:c r="L397" s="4" t="n">
        <x:v>62</x:v>
      </x:c>
      <x:c r="M397" s="4" t="n">
        <x:v>12</x:v>
      </x:c>
      <x:c r="N397" s="4" t="n">
        <x:v>36</x:v>
      </x:c>
      <x:c r="O397" s="4" t="n">
        <x:v>0</x:v>
      </x:c>
      <x:c r="P397" s="1" t="str">
        <x:v>PASS</x:v>
      </x:c>
      <x:c r="Q397" s="4" t="n">
        <x:v>0</x:v>
      </x:c>
      <x:c r="R397" s="1" t="str">
        <x:v>PASS</x:v>
      </x:c>
      <x:c r="S397" s="4" t="n">
        <x:v>0</x:v>
      </x:c>
      <x:c r="T397" s="1" t="str">
        <x:v>NOT_REVEALING</x:v>
      </x:c>
      <x:c r="U397" s="1" t="str">
        <x:v>JacksonDatabind_4</x:v>
      </x:c>
      <x:c r="V397" s="6" t="n">
        <x:v>95.21</x:v>
      </x:c>
    </x:row>
    <x:row r="398" ht="22" customHeight="1">
      <x:c r="A398" s="1" t="str">
        <x:v>Round1</x:v>
      </x:c>
      <x:c r="B398" s="1" t="str">
        <x:v>JacksonDatabind</x:v>
      </x:c>
      <x:c r="C398" s="4" t="n">
        <x:v>5</x:v>
      </x:c>
      <x:c r="D398" s="4" t="n">
        <x:v>0</x:v>
      </x:c>
      <x:c r="E398" s="4" t="n">
        <x:v>60</x:v>
      </x:c>
      <x:c r="F398" s="4" t="n">
        <x:v>1</x:v>
      </x:c>
      <x:c r="G398" s="5" t="n">
        <x:v>0</x:v>
      </x:c>
      <x:c r="H398" s="5" t="n">
        <x:v>0</x:v>
      </x:c>
      <x:c r="I398" s="5" t="n">
        <x:v>0</x:v>
      </x:c>
      <x:c r="J398" s="4" t="n">
        <x:v>637</x:v>
      </x:c>
      <x:c r="K398" s="4" t="n">
        <x:v>0</x:v>
      </x:c>
      <x:c r="L398" s="4" t="n">
        <x:v>365</x:v>
      </x:c>
      <x:c r="M398" s="4" t="n">
        <x:v>0</x:v>
      </x:c>
      <x:c r="N398" s="4" t="n">
        <x:v>272</x:v>
      </x:c>
      <x:c r="O398" s="4" t="n">
        <x:v>0</x:v>
      </x:c>
      <x:c r="P398" s="1" t="str">
        <x:v>PASS</x:v>
      </x:c>
      <x:c r="Q398" s="4" t="n">
        <x:v>0</x:v>
      </x:c>
      <x:c r="R398" s="1" t="str">
        <x:v>PASS</x:v>
      </x:c>
      <x:c r="S398" s="4" t="n">
        <x:v>0</x:v>
      </x:c>
      <x:c r="T398" s="1" t="str">
        <x:v>NOT_REVEALING</x:v>
      </x:c>
      <x:c r="U398" s="1" t="str">
        <x:v>JacksonDatabind_5</x:v>
      </x:c>
      <x:c r="V398" s="6" t="n">
        <x:v>64.87</x:v>
      </x:c>
    </x:row>
    <x:row r="399" ht="22" customHeight="1">
      <x:c r="A399" s="1" t="str">
        <x:v>Round1</x:v>
      </x:c>
      <x:c r="B399" s="1" t="str">
        <x:v>JacksonDatabind</x:v>
      </x:c>
      <x:c r="C399" s="4" t="n">
        <x:v>6</x:v>
      </x:c>
      <x:c r="D399" s="4" t="n">
        <x:v>0</x:v>
      </x:c>
      <x:c r="E399" s="4" t="n">
        <x:v>60</x:v>
      </x:c>
      <x:c r="F399" s="4" t="n">
        <x:v>4230</x:v>
      </x:c>
      <x:c r="G399" s="5" t="n">
        <x:v>0.8477</x:v>
      </x:c>
      <x:c r="H399" s="5" t="n">
        <x:v>0.8859</x:v>
      </x:c>
      <x:c r="I399" s="5" t="n">
        <x:v>0.7872</x:v>
      </x:c>
      <x:c r="J399" s="4" t="n">
        <x:v>243</x:v>
      </x:c>
      <x:c r="K399" s="4" t="n">
        <x:v>206</x:v>
      </x:c>
      <x:c r="L399" s="4" t="n">
        <x:v>149</x:v>
      </x:c>
      <x:c r="M399" s="4" t="n">
        <x:v>132</x:v>
      </x:c>
      <x:c r="N399" s="4" t="n">
        <x:v>94</x:v>
      </x:c>
      <x:c r="O399" s="4" t="n">
        <x:v>74</x:v>
      </x:c>
      <x:c r="P399" s="1" t="str">
        <x:v>FAIL</x:v>
      </x:c>
      <x:c r="Q399" s="4" t="n">
        <x:v>6721</x:v>
      </x:c>
      <x:c r="R399" s="1" t="str">
        <x:v>FAIL</x:v>
      </x:c>
      <x:c r="S399" s="4" t="n">
        <x:v>6721</x:v>
      </x:c>
      <x:c r="T399" s="1" t="str">
        <x:v>INCONCLUSIVE</x:v>
      </x:c>
      <x:c r="U399" s="1" t="str">
        <x:v>JacksonDatabind_6</x:v>
      </x:c>
      <x:c r="V399" s="6" t="n">
        <x:v>106.38</x:v>
      </x:c>
    </x:row>
    <x:row r="400" ht="22" customHeight="1">
      <x:c r="A400" s="1" t="str">
        <x:v>Round1</x:v>
      </x:c>
      <x:c r="B400" s="1" t="str">
        <x:v>JacksonDatabind</x:v>
      </x:c>
      <x:c r="C400" s="4" t="n">
        <x:v>7</x:v>
      </x:c>
      <x:c r="D400" s="4" t="n">
        <x:v>0</x:v>
      </x:c>
      <x:c r="E400" s="4" t="n">
        <x:v>60</x:v>
      </x:c>
      <x:c r="F400" s="4" t="n">
        <x:v>4596</x:v>
      </x:c>
      <x:c r="G400" s="5" t="n">
        <x:v>0.7585999999999999</x:v>
      </x:c>
      <x:c r="H400" s="5" t="n">
        <x:v>0.8045</x:v>
      </x:c>
      <x:c r="I400" s="5" t="n">
        <x:v>0.6656</x:v>
      </x:c>
      <x:c r="J400" s="4" t="n">
        <x:v>932</x:v>
      </x:c>
      <x:c r="K400" s="4" t="n">
        <x:v>707</x:v>
      </x:c>
      <x:c r="L400" s="4" t="n">
        <x:v>624</x:v>
      </x:c>
      <x:c r="M400" s="4" t="n">
        <x:v>502</x:v>
      </x:c>
      <x:c r="N400" s="4" t="n">
        <x:v>308</x:v>
      </x:c>
      <x:c r="O400" s="4" t="n">
        <x:v>205</x:v>
      </x:c>
      <x:c r="P400" s="1" t="str">
        <x:v>PASS</x:v>
      </x:c>
      <x:c r="Q400" s="4" t="n">
        <x:v>0</x:v>
      </x:c>
      <x:c r="R400" s="1" t="str">
        <x:v>PASS</x:v>
      </x:c>
      <x:c r="S400" s="4" t="n">
        <x:v>0</x:v>
      </x:c>
      <x:c r="T400" s="1" t="str">
        <x:v>NOT_REVEALING</x:v>
      </x:c>
      <x:c r="U400" s="1" t="str">
        <x:v>JacksonDatabind_7</x:v>
      </x:c>
      <x:c r="V400" s="6" t="n">
        <x:v>112.1</x:v>
      </x:c>
    </x:row>
    <x:row r="401" ht="22" customHeight="1">
      <x:c r="A401" s="1" t="str">
        <x:v>Round1</x:v>
      </x:c>
      <x:c r="B401" s="1" t="str">
        <x:v>JacksonDatabind</x:v>
      </x:c>
      <x:c r="C401" s="4" t="n">
        <x:v>8</x:v>
      </x:c>
      <x:c r="D401" s="4" t="n">
        <x:v>0</x:v>
      </x:c>
      <x:c r="E401" s="4" t="n">
        <x:v>60</x:v>
      </x:c>
      <x:c r="F401" s="4" t="n">
        <x:v>3499</x:v>
      </x:c>
      <x:c r="G401" s="5" t="n">
        <x:v>0.5</x:v>
      </x:c>
      <x:c r="H401" s="5" t="n">
        <x:v>0.6293</x:v>
      </x:c>
      <x:c r="I401" s="5" t="n">
        <x:v>0.2656</x:v>
      </x:c>
      <x:c r="J401" s="4" t="n">
        <x:v>180</x:v>
      </x:c>
      <x:c r="K401" s="4" t="n">
        <x:v>90</x:v>
      </x:c>
      <x:c r="L401" s="4" t="n">
        <x:v>116</x:v>
      </x:c>
      <x:c r="M401" s="4" t="n">
        <x:v>73</x:v>
      </x:c>
      <x:c r="N401" s="4" t="n">
        <x:v>64</x:v>
      </x:c>
      <x:c r="O401" s="4" t="n">
        <x:v>17</x:v>
      </x:c>
      <x:c r="P401" s="1" t="str">
        <x:v>PASS</x:v>
      </x:c>
      <x:c r="Q401" s="4" t="n">
        <x:v>0</x:v>
      </x:c>
      <x:c r="R401" s="1" t="str">
        <x:v>PASS</x:v>
      </x:c>
      <x:c r="S401" s="4" t="n">
        <x:v>0</x:v>
      </x:c>
      <x:c r="T401" s="1" t="str">
        <x:v>NOT_REVEALING</x:v>
      </x:c>
      <x:c r="U401" s="1" t="str">
        <x:v>JacksonDatabind_8</x:v>
      </x:c>
      <x:c r="V401" s="6" t="n">
        <x:v>96.65</x:v>
      </x:c>
    </x:row>
    <x:row r="402" ht="22" customHeight="1">
      <x:c r="A402" s="1" t="str">
        <x:v>Round1</x:v>
      </x:c>
      <x:c r="B402" s="1" t="str">
        <x:v>JacksonDatabind</x:v>
      </x:c>
      <x:c r="C402" s="4" t="n">
        <x:v>9</x:v>
      </x:c>
      <x:c r="D402" s="4" t="n">
        <x:v>0</x:v>
      </x:c>
      <x:c r="E402" s="4" t="n">
        <x:v>60</x:v>
      </x:c>
      <x:c r="F402" s="4" t="n">
        <x:v>3</x:v>
      </x:c>
      <x:c r="G402" s="5" t="n">
        <x:v>0.0833</x:v>
      </x:c>
      <x:c r="H402" s="5" t="n">
        <x:v>0.1</x:v>
      </x:c>
      <x:c r="I402" s="5" t="n">
        <x:v>0</x:v>
      </x:c>
      <x:c r="J402" s="4" t="n">
        <x:v>12</x:v>
      </x:c>
      <x:c r="K402" s="4" t="n">
        <x:v>1</x:v>
      </x:c>
      <x:c r="L402" s="4" t="n">
        <x:v>10</x:v>
      </x:c>
      <x:c r="M402" s="4" t="n">
        <x:v>1</x:v>
      </x:c>
      <x:c r="N402" s="4" t="n">
        <x:v>2</x:v>
      </x:c>
      <x:c r="O402" s="4" t="n">
        <x:v>0</x:v>
      </x:c>
      <x:c r="P402" s="1" t="str">
        <x:v>PASS</x:v>
      </x:c>
      <x:c r="Q402" s="4" t="n">
        <x:v>0</x:v>
      </x:c>
      <x:c r="R402" s="1" t="str">
        <x:v>PASS</x:v>
      </x:c>
      <x:c r="S402" s="4" t="n">
        <x:v>0</x:v>
      </x:c>
      <x:c r="T402" s="1" t="str">
        <x:v>NOT_REVEALING</x:v>
      </x:c>
      <x:c r="U402" s="1" t="str">
        <x:v>JacksonDatabind_9</x:v>
      </x:c>
      <x:c r="V402" s="6" t="n">
        <x:v>62.57</x:v>
      </x:c>
    </x:row>
    <x:row r="403" ht="22" customHeight="1">
      <x:c r="A403" s="1" t="str">
        <x:v>Round1</x:v>
      </x:c>
      <x:c r="B403" s="1" t="str">
        <x:v>JacksonDatabind</x:v>
      </x:c>
      <x:c r="C403" s="4" t="n">
        <x:v>10</x:v>
      </x:c>
      <x:c r="D403" s="4" t="n">
        <x:v>0</x:v>
      </x:c>
      <x:c r="E403" s="4" t="n">
        <x:v>60</x:v>
      </x:c>
      <x:c r="F403" s="4" t="n">
        <x:v>1329</x:v>
      </x:c>
      <x:c r="G403" s="5" t="n">
        <x:v>0.0888</x:v>
      </x:c>
      <x:c r="H403" s="5" t="n">
        <x:v>0.1273</x:v>
      </x:c>
      <x:c r="I403" s="5" t="n">
        <x:v>0.024399999999999998</x:v>
      </x:c>
      <x:c r="J403" s="4" t="n">
        <x:v>439</x:v>
      </x:c>
      <x:c r="K403" s="4" t="n">
        <x:v>39</x:v>
      </x:c>
      <x:c r="L403" s="4" t="n">
        <x:v>275</x:v>
      </x:c>
      <x:c r="M403" s="4" t="n">
        <x:v>35</x:v>
      </x:c>
      <x:c r="N403" s="4" t="n">
        <x:v>164</x:v>
      </x:c>
      <x:c r="O403" s="4" t="n">
        <x:v>4</x:v>
      </x:c>
      <x:c r="P403" s="1" t="str">
        <x:v>PASS</x:v>
      </x:c>
      <x:c r="Q403" s="4" t="n">
        <x:v>0</x:v>
      </x:c>
      <x:c r="R403" s="1" t="str">
        <x:v>FAIL</x:v>
      </x:c>
      <x:c r="S403" s="4" t="n">
        <x:v>262</x:v>
      </x:c>
      <x:c r="T403" s="1" t="str">
        <x:v>INCONCLUSIVE</x:v>
      </x:c>
      <x:c r="U403" s="1" t="str">
        <x:v>JacksonDatabind_10</x:v>
      </x:c>
      <x:c r="V403" s="6" t="n">
        <x:v>83.58</x:v>
      </x:c>
    </x:row>
    <x:row r="404" ht="22" customHeight="1">
      <x:c r="A404" s="1" t="str">
        <x:v>Round1</x:v>
      </x:c>
      <x:c r="B404" s="1" t="str">
        <x:v>JacksonDatabind</x:v>
      </x:c>
      <x:c r="C404" s="4" t="n">
        <x:v>11</x:v>
      </x:c>
      <x:c r="D404" s="4" t="n">
        <x:v>0</x:v>
      </x:c>
      <x:c r="E404" s="4" t="n">
        <x:v>60</x:v>
      </x:c>
      <x:c r="F404" s="4" t="n">
        <x:v>385</x:v>
      </x:c>
      <x:c r="G404" s="5" t="n">
        <x:v>0.1448</x:v>
      </x:c>
      <x:c r="H404" s="5" t="n">
        <x:v>0.17190000000000003</x:v>
      </x:c>
      <x:c r="I404" s="5" t="n">
        <x:v>0.10099999999999999</x:v>
      </x:c>
      <x:c r="J404" s="4" t="n">
        <x:v>518</x:v>
      </x:c>
      <x:c r="K404" s="4" t="n">
        <x:v>75</x:v>
      </x:c>
      <x:c r="L404" s="4" t="n">
        <x:v>320</x:v>
      </x:c>
      <x:c r="M404" s="4" t="n">
        <x:v>55</x:v>
      </x:c>
      <x:c r="N404" s="4" t="n">
        <x:v>198</x:v>
      </x:c>
      <x:c r="O404" s="4" t="n">
        <x:v>20</x:v>
      </x:c>
      <x:c r="P404" s="1" t="str">
        <x:v>PASS</x:v>
      </x:c>
      <x:c r="Q404" s="4" t="n">
        <x:v>0</x:v>
      </x:c>
      <x:c r="R404" s="1" t="str">
        <x:v>PASS</x:v>
      </x:c>
      <x:c r="S404" s="4" t="n">
        <x:v>0</x:v>
      </x:c>
      <x:c r="T404" s="1" t="str">
        <x:v>NOT_REVEALING</x:v>
      </x:c>
      <x:c r="U404" s="1" t="str">
        <x:v>JacksonDatabind_11</x:v>
      </x:c>
      <x:c r="V404" s="6" t="n">
        <x:v>71.58</x:v>
      </x:c>
    </x:row>
    <x:row r="405" ht="22" customHeight="1">
      <x:c r="A405" s="1" t="str">
        <x:v>Round1</x:v>
      </x:c>
      <x:c r="B405" s="1" t="str">
        <x:v>JacksonDatabind</x:v>
      </x:c>
      <x:c r="C405" s="4" t="n">
        <x:v>12</x:v>
      </x:c>
      <x:c r="D405" s="4" t="n">
        <x:v>0</x:v>
      </x:c>
      <x:c r="E405" s="4" t="n">
        <x:v>60</x:v>
      </x:c>
      <x:c r="F405" s="4" t="n">
        <x:v>10</x:v>
      </x:c>
      <x:c r="G405" s="5" t="n">
        <x:v>0.0223</x:v>
      </x:c>
      <x:c r="H405" s="5" t="n">
        <x:v>0.0344</x:v>
      </x:c>
      <x:c r="I405" s="5" t="n">
        <x:v>0</x:v>
      </x:c>
      <x:c r="J405" s="4" t="n">
        <x:v>404</x:v>
      </x:c>
      <x:c r="K405" s="4" t="n">
        <x:v>9</x:v>
      </x:c>
      <x:c r="L405" s="4" t="n">
        <x:v>262</x:v>
      </x:c>
      <x:c r="M405" s="4" t="n">
        <x:v>9</x:v>
      </x:c>
      <x:c r="N405" s="4" t="n">
        <x:v>142</x:v>
      </x:c>
      <x:c r="O405" s="4" t="n">
        <x:v>0</x:v>
      </x:c>
      <x:c r="P405" s="1" t="str">
        <x:v>PASS</x:v>
      </x:c>
      <x:c r="Q405" s="4" t="n">
        <x:v>0</x:v>
      </x:c>
      <x:c r="R405" s="1" t="str">
        <x:v>PASS</x:v>
      </x:c>
      <x:c r="S405" s="4" t="n">
        <x:v>0</x:v>
      </x:c>
      <x:c r="T405" s="1" t="str">
        <x:v>NOT_REVEALING</x:v>
      </x:c>
      <x:c r="U405" s="1" t="str">
        <x:v>JacksonDatabind_12</x:v>
      </x:c>
      <x:c r="V405" s="6" t="n">
        <x:v>65.56</x:v>
      </x:c>
    </x:row>
    <x:row r="406" ht="22" customHeight="1">
      <x:c r="A406" s="1" t="str">
        <x:v>Round1</x:v>
      </x:c>
      <x:c r="B406" s="1" t="str">
        <x:v>JacksonDatabind</x:v>
      </x:c>
      <x:c r="C406" s="4" t="n">
        <x:v>13</x:v>
      </x:c>
      <x:c r="D406" s="4" t="n">
        <x:v>0</x:v>
      </x:c>
      <x:c r="E406" s="4" t="n">
        <x:v>60</x:v>
      </x:c>
      <x:c r="F406" s="4" t="n">
        <x:v>6</x:v>
      </x:c>
      <x:c r="G406" s="5" t="n">
        <x:v>0.045</x:v>
      </x:c>
      <x:c r="H406" s="5" t="n">
        <x:v>0.0682</x:v>
      </x:c>
      <x:c r="I406" s="5" t="n">
        <x:v>0</x:v>
      </x:c>
      <x:c r="J406" s="4" t="n">
        <x:v>200</x:v>
      </x:c>
      <x:c r="K406" s="4" t="n">
        <x:v>9</x:v>
      </x:c>
      <x:c r="L406" s="4" t="n">
        <x:v>132</x:v>
      </x:c>
      <x:c r="M406" s="4" t="n">
        <x:v>9</x:v>
      </x:c>
      <x:c r="N406" s="4" t="n">
        <x:v>68</x:v>
      </x:c>
      <x:c r="O406" s="4" t="n">
        <x:v>0</x:v>
      </x:c>
      <x:c r="P406" s="1" t="str">
        <x:v>PASS</x:v>
      </x:c>
      <x:c r="Q406" s="4" t="n">
        <x:v>0</x:v>
      </x:c>
      <x:c r="R406" s="1" t="str">
        <x:v>PASS</x:v>
      </x:c>
      <x:c r="S406" s="4" t="n">
        <x:v>0</x:v>
      </x:c>
      <x:c r="T406" s="1" t="str">
        <x:v>NOT_REVEALING</x:v>
      </x:c>
      <x:c r="U406" s="1" t="str">
        <x:v>JacksonDatabind_13</x:v>
      </x:c>
      <x:c r="V406" s="6" t="n">
        <x:v>66.1</x:v>
      </x:c>
    </x:row>
    <x:row r="407" ht="22" customHeight="1">
      <x:c r="A407" s="1" t="str">
        <x:v>Round1</x:v>
      </x:c>
      <x:c r="B407" s="1" t="str">
        <x:v>JacksonDatabind</x:v>
      </x:c>
      <x:c r="C407" s="4" t="n">
        <x:v>14</x:v>
      </x:c>
      <x:c r="D407" s="4" t="n">
        <x:v>0</x:v>
      </x:c>
      <x:c r="E407" s="4" t="n">
        <x:v>60</x:v>
      </x:c>
      <x:c r="F407" s="4" t="n">
        <x:v>87</x:v>
      </x:c>
      <x:c r="G407" s="5" t="n">
        <x:v>0.024399999999999998</x:v>
      </x:c>
      <x:c r="H407" s="5" t="n">
        <x:v>0.034</x:v>
      </x:c>
      <x:c r="I407" s="5" t="n">
        <x:v>0</x:v>
      </x:c>
      <x:c r="J407" s="4" t="n">
        <x:v>532</x:v>
      </x:c>
      <x:c r="K407" s="4" t="n">
        <x:v>13</x:v>
      </x:c>
      <x:c r="L407" s="4" t="n">
        <x:v>382</x:v>
      </x:c>
      <x:c r="M407" s="4" t="n">
        <x:v>13</x:v>
      </x:c>
      <x:c r="N407" s="4" t="n">
        <x:v>150</x:v>
      </x:c>
      <x:c r="O407" s="4" t="n">
        <x:v>0</x:v>
      </x:c>
      <x:c r="P407" s="1" t="str">
        <x:v>PASS</x:v>
      </x:c>
      <x:c r="Q407" s="4" t="n">
        <x:v>0</x:v>
      </x:c>
      <x:c r="R407" s="1" t="str">
        <x:v>PASS</x:v>
      </x:c>
      <x:c r="S407" s="4" t="n">
        <x:v>0</x:v>
      </x:c>
      <x:c r="T407" s="1" t="str">
        <x:v>NOT_REVEALING</x:v>
      </x:c>
      <x:c r="U407" s="1" t="str">
        <x:v>JacksonDatabind_14</x:v>
      </x:c>
      <x:c r="V407" s="6" t="n">
        <x:v>67.5</x:v>
      </x:c>
    </x:row>
    <x:row r="408" ht="22" customHeight="1">
      <x:c r="A408" s="1" t="str">
        <x:v>Round1</x:v>
      </x:c>
      <x:c r="B408" s="1" t="str">
        <x:v>JacksonDatabind</x:v>
      </x:c>
      <x:c r="C408" s="4" t="n">
        <x:v>15</x:v>
      </x:c>
      <x:c r="D408" s="4" t="n">
        <x:v>0</x:v>
      </x:c>
      <x:c r="E408" s="4" t="n">
        <x:v>60</x:v>
      </x:c>
      <x:c r="F408" s="4" t="n">
        <x:v>803</x:v>
      </x:c>
      <x:c r="G408" s="5" t="n">
        <x:v>0.0479</x:v>
      </x:c>
      <x:c r="H408" s="5" t="n">
        <x:v>0.055</x:v>
      </x:c>
      <x:c r="I408" s="5" t="n">
        <x:v>0.0363</x:v>
      </x:c>
      <x:c r="J408" s="4" t="n">
        <x:v>1231</x:v>
      </x:c>
      <x:c r="K408" s="4" t="n">
        <x:v>59</x:v>
      </x:c>
      <x:c r="L408" s="4" t="n">
        <x:v>763</x:v>
      </x:c>
      <x:c r="M408" s="4" t="n">
        <x:v>42</x:v>
      </x:c>
      <x:c r="N408" s="4" t="n">
        <x:v>468</x:v>
      </x:c>
      <x:c r="O408" s="4" t="n">
        <x:v>17</x:v>
      </x:c>
      <x:c r="P408" s="1" t="str">
        <x:v>PASS</x:v>
      </x:c>
      <x:c r="Q408" s="4" t="n">
        <x:v>0</x:v>
      </x:c>
      <x:c r="R408" s="1" t="str">
        <x:v>PASS</x:v>
      </x:c>
      <x:c r="S408" s="4" t="n">
        <x:v>0</x:v>
      </x:c>
      <x:c r="T408" s="1" t="str">
        <x:v>NOT_REVEALING</x:v>
      </x:c>
      <x:c r="U408" s="1" t="str">
        <x:v>JacksonDatabind_15</x:v>
      </x:c>
      <x:c r="V408" s="6" t="n">
        <x:v>79.12</x:v>
      </x:c>
    </x:row>
    <x:row r="409" ht="22" customHeight="1">
      <x:c r="A409" s="1" t="str">
        <x:v>Round1</x:v>
      </x:c>
      <x:c r="B409" s="1" t="str">
        <x:v>JacksonDatabind</x:v>
      </x:c>
      <x:c r="C409" s="4" t="n">
        <x:v>16</x:v>
      </x:c>
      <x:c r="D409" s="4" t="n">
        <x:v>0</x:v>
      </x:c>
      <x:c r="E409" s="4" t="n">
        <x:v>60</x:v>
      </x:c>
      <x:c r="F409" s="4" t="n">
        <x:v>2849</x:v>
      </x:c>
      <x:c r="G409" s="5" t="n">
        <x:v>0.3099</x:v>
      </x:c>
      <x:c r="H409" s="5" t="n">
        <x:v>0.4</x:v>
      </x:c>
      <x:c r="I409" s="5" t="n">
        <x:v>0.22219999999999998</x:v>
      </x:c>
      <x:c r="J409" s="4" t="n">
        <x:v>71</x:v>
      </x:c>
      <x:c r="K409" s="4" t="n">
        <x:v>22</x:v>
      </x:c>
      <x:c r="L409" s="4" t="n">
        <x:v>35</x:v>
      </x:c>
      <x:c r="M409" s="4" t="n">
        <x:v>14</x:v>
      </x:c>
      <x:c r="N409" s="4" t="n">
        <x:v>36</x:v>
      </x:c>
      <x:c r="O409" s="4" t="n">
        <x:v>8</x:v>
      </x:c>
      <x:c r="P409" s="1" t="str">
        <x:v>PASS</x:v>
      </x:c>
      <x:c r="Q409" s="4" t="n">
        <x:v>0</x:v>
      </x:c>
      <x:c r="R409" s="1" t="str">
        <x:v>PASS</x:v>
      </x:c>
      <x:c r="S409" s="4" t="n">
        <x:v>0</x:v>
      </x:c>
      <x:c r="T409" s="1" t="str">
        <x:v>NOT_REVEALING</x:v>
      </x:c>
      <x:c r="U409" s="1" t="str">
        <x:v>JacksonDatabind_16</x:v>
      </x:c>
      <x:c r="V409" s="6" t="n">
        <x:v>111.43</x:v>
      </x:c>
    </x:row>
    <x:row r="410" ht="22" customHeight="1">
      <x:c r="A410" s="1" t="str">
        <x:v>Round1</x:v>
      </x:c>
      <x:c r="B410" s="1" t="str">
        <x:v>JacksonDatabind</x:v>
      </x:c>
      <x:c r="C410" s="4" t="n">
        <x:v>17</x:v>
      </x:c>
      <x:c r="D410" s="4" t="n">
        <x:v>0</x:v>
      </x:c>
      <x:c r="E410" s="4" t="n">
        <x:v>60</x:v>
      </x:c>
      <x:c r="F410" s="4" t="n">
        <x:v>1888</x:v>
      </x:c>
      <x:c r="G410" s="5" t="n">
        <x:v>0.5566</x:v>
      </x:c>
      <x:c r="H410" s="5" t="n">
        <x:v>0.594</x:v>
      </x:c>
      <x:c r="I410" s="5" t="n">
        <x:v>0.43229999999999996</x:v>
      </x:c>
      <x:c r="J410" s="4" t="n">
        <x:v>830</x:v>
      </x:c>
      <x:c r="K410" s="4" t="n">
        <x:v>462</x:v>
      </x:c>
      <x:c r="L410" s="4" t="n">
        <x:v>638</x:v>
      </x:c>
      <x:c r="M410" s="4" t="n">
        <x:v>379</x:v>
      </x:c>
      <x:c r="N410" s="4" t="n">
        <x:v>192</x:v>
      </x:c>
      <x:c r="O410" s="4" t="n">
        <x:v>83</x:v>
      </x:c>
      <x:c r="P410" s="1" t="str">
        <x:v>PASS</x:v>
      </x:c>
      <x:c r="Q410" s="4" t="n">
        <x:v>0</x:v>
      </x:c>
      <x:c r="R410" s="1" t="str">
        <x:v>FAIL</x:v>
      </x:c>
      <x:c r="S410" s="4" t="n">
        <x:v>28</x:v>
      </x:c>
      <x:c r="T410" s="1" t="str">
        <x:v>INCONCLUSIVE</x:v>
      </x:c>
      <x:c r="U410" s="1" t="str">
        <x:v>JacksonDatabind_17</x:v>
      </x:c>
      <x:c r="V410" s="6" t="n">
        <x:v>97.26</x:v>
      </x:c>
    </x:row>
    <x:row r="411" ht="22" customHeight="1">
      <x:c r="A411" s="1" t="str">
        <x:v>Round1</x:v>
      </x:c>
      <x:c r="B411" s="1" t="str">
        <x:v>JacksonDatabind</x:v>
      </x:c>
      <x:c r="C411" s="4" t="n">
        <x:v>18</x:v>
      </x:c>
      <x:c r="D411" s="4" t="n">
        <x:v>0</x:v>
      </x:c>
      <x:c r="E411" s="4" t="n">
        <x:v>60</x:v>
      </x:c>
      <x:c r="F411" s="4" t="n">
        <x:v>183</x:v>
      </x:c>
      <x:c r="G411" s="5" t="n">
        <x:v>0.1373</x:v>
      </x:c>
      <x:c r="H411" s="5" t="n">
        <x:v>0.1765</x:v>
      </x:c>
      <x:c r="I411" s="5" t="n">
        <x:v>0.0588</x:v>
      </x:c>
      <x:c r="J411" s="4" t="n">
        <x:v>102</x:v>
      </x:c>
      <x:c r="K411" s="4" t="n">
        <x:v>14</x:v>
      </x:c>
      <x:c r="L411" s="4" t="n">
        <x:v>68</x:v>
      </x:c>
      <x:c r="M411" s="4" t="n">
        <x:v>12</x:v>
      </x:c>
      <x:c r="N411" s="4" t="n">
        <x:v>34</x:v>
      </x:c>
      <x:c r="O411" s="4" t="n">
        <x:v>2</x:v>
      </x:c>
      <x:c r="P411" s="1" t="str">
        <x:v>PASS</x:v>
      </x:c>
      <x:c r="Q411" s="4" t="n">
        <x:v>0</x:v>
      </x:c>
      <x:c r="R411" s="1" t="str">
        <x:v>PASS</x:v>
      </x:c>
      <x:c r="S411" s="4" t="n">
        <x:v>0</x:v>
      </x:c>
      <x:c r="T411" s="1" t="str">
        <x:v>NOT_REVEALING</x:v>
      </x:c>
      <x:c r="U411" s="1" t="str">
        <x:v>JacksonDatabind_18</x:v>
      </x:c>
      <x:c r="V411" s="6" t="n">
        <x:v>70.9</x:v>
      </x:c>
    </x:row>
    <x:row r="412" ht="22" customHeight="1">
      <x:c r="A412" s="1" t="str">
        <x:v>Round1</x:v>
      </x:c>
      <x:c r="B412" s="1" t="str">
        <x:v>JacksonDatabind</x:v>
      </x:c>
      <x:c r="C412" s="4" t="n">
        <x:v>19</x:v>
      </x:c>
      <x:c r="D412" s="4" t="n">
        <x:v>0</x:v>
      </x:c>
      <x:c r="E412" s="4" t="n">
        <x:v>60</x:v>
      </x:c>
      <x:c r="F412" s="4" t="n">
        <x:v>858</x:v>
      </x:c>
      <x:c r="G412" s="5" t="n">
        <x:v>0.1906</x:v>
      </x:c>
      <x:c r="H412" s="5" t="n">
        <x:v>0.2133</x:v>
      </x:c>
      <x:c r="I412" s="5" t="n">
        <x:v>0.1565</x:v>
      </x:c>
      <x:c r="J412" s="4" t="n">
        <x:v>577</x:v>
      </x:c>
      <x:c r="K412" s="4" t="n">
        <x:v>110</x:v>
      </x:c>
      <x:c r="L412" s="4" t="n">
        <x:v>347</x:v>
      </x:c>
      <x:c r="M412" s="4" t="n">
        <x:v>74</x:v>
      </x:c>
      <x:c r="N412" s="4" t="n">
        <x:v>230</x:v>
      </x:c>
      <x:c r="O412" s="4" t="n">
        <x:v>36</x:v>
      </x:c>
      <x:c r="P412" s="1" t="str">
        <x:v>PASS</x:v>
      </x:c>
      <x:c r="Q412" s="4" t="n">
        <x:v>0</x:v>
      </x:c>
      <x:c r="R412" s="1" t="str">
        <x:v>PASS</x:v>
      </x:c>
      <x:c r="S412" s="4" t="n">
        <x:v>0</x:v>
      </x:c>
      <x:c r="T412" s="1" t="str">
        <x:v>NOT_REVEALING</x:v>
      </x:c>
      <x:c r="U412" s="1" t="str">
        <x:v>JacksonDatabind_19</x:v>
      </x:c>
      <x:c r="V412" s="6" t="n">
        <x:v>83.88</x:v>
      </x:c>
    </x:row>
    <x:row r="413" ht="22" customHeight="1">
      <x:c r="A413" s="1" t="str">
        <x:v>Round1</x:v>
      </x:c>
      <x:c r="B413" s="1" t="str">
        <x:v>JacksonDatabind</x:v>
      </x:c>
      <x:c r="C413" s="4" t="n">
        <x:v>20</x:v>
      </x:c>
      <x:c r="D413" s="4" t="n">
        <x:v>0</x:v>
      </x:c>
      <x:c r="E413" s="4" t="n">
        <x:v>60</x:v>
      </x:c>
      <x:c r="F413" s="4" t="n">
        <x:v>4648</x:v>
      </x:c>
      <x:c r="G413" s="5" t="n">
        <x:v>0.8184999999999999</x:v>
      </x:c>
      <x:c r="H413" s="5" t="n">
        <x:v>0.8387</x:v>
      </x:c>
      <x:c r="I413" s="5" t="n">
        <x:v>0.7737999999999999</x:v>
      </x:c>
      <x:c r="J413" s="4" t="n">
        <x:v>270</x:v>
      </x:c>
      <x:c r="K413" s="4" t="n">
        <x:v>221</x:v>
      </x:c>
      <x:c r="L413" s="4" t="n">
        <x:v>186</x:v>
      </x:c>
      <x:c r="M413" s="4" t="n">
        <x:v>156</x:v>
      </x:c>
      <x:c r="N413" s="4" t="n">
        <x:v>84</x:v>
      </x:c>
      <x:c r="O413" s="4" t="n">
        <x:v>65</x:v>
      </x:c>
      <x:c r="P413" s="1" t="str">
        <x:v>PASS</x:v>
      </x:c>
      <x:c r="Q413" s="4" t="n">
        <x:v>0</x:v>
      </x:c>
      <x:c r="R413" s="1" t="str">
        <x:v>PASS</x:v>
      </x:c>
      <x:c r="S413" s="4" t="n">
        <x:v>0</x:v>
      </x:c>
      <x:c r="T413" s="1" t="str">
        <x:v>NOT_REVEALING</x:v>
      </x:c>
      <x:c r="U413" s="1" t="str">
        <x:v>JacksonDatabind_20</x:v>
      </x:c>
      <x:c r="V413" s="6" t="n">
        <x:v>116.71</x:v>
      </x:c>
    </x:row>
    <x:row r="414" ht="22" customHeight="1">
      <x:c r="A414" s="1" t="str">
        <x:v>Round1</x:v>
      </x:c>
      <x:c r="B414" s="1" t="str">
        <x:v>JacksonDatabind</x:v>
      </x:c>
      <x:c r="C414" s="4" t="n">
        <x:v>21</x:v>
      </x:c>
      <x:c r="D414" s="4" t="n">
        <x:v>0</x:v>
      </x:c>
      <x:c r="E414" s="4" t="n">
        <x:v>60</x:v>
      </x:c>
      <x:c r="F414" s="4" t="n">
        <x:v>2695</x:v>
      </x:c>
      <x:c r="G414" s="5" t="n">
        <x:v>0.1323</x:v>
      </x:c>
      <x:c r="H414" s="5" t="n">
        <x:v>0.2162</x:v>
      </x:c>
      <x:c r="I414" s="5" t="n">
        <x:v>0.020099999999999996</x:v>
      </x:c>
      <x:c r="J414" s="4" t="n">
        <x:v>582</x:v>
      </x:c>
      <x:c r="K414" s="4" t="n">
        <x:v>77</x:v>
      </x:c>
      <x:c r="L414" s="4" t="n">
        <x:v>333</x:v>
      </x:c>
      <x:c r="M414" s="4" t="n">
        <x:v>72</x:v>
      </x:c>
      <x:c r="N414" s="4" t="n">
        <x:v>249</x:v>
      </x:c>
      <x:c r="O414" s="4" t="n">
        <x:v>5</x:v>
      </x:c>
      <x:c r="P414" s="1" t="str">
        <x:v>PASS</x:v>
      </x:c>
      <x:c r="Q414" s="4" t="n">
        <x:v>0</x:v>
      </x:c>
      <x:c r="R414" s="1" t="str">
        <x:v>PASS</x:v>
      </x:c>
      <x:c r="S414" s="4" t="n">
        <x:v>0</x:v>
      </x:c>
      <x:c r="T414" s="1" t="str">
        <x:v>NOT_REVEALING</x:v>
      </x:c>
      <x:c r="U414" s="1" t="str">
        <x:v>JacksonDatabind_21</x:v>
      </x:c>
      <x:c r="V414" s="6" t="n">
        <x:v>103.55</x:v>
      </x:c>
    </x:row>
    <x:row r="415" ht="22" customHeight="1">
      <x:c r="A415" s="1" t="str">
        <x:v>Round1</x:v>
      </x:c>
      <x:c r="B415" s="1" t="str">
        <x:v>JacksonDatabind</x:v>
      </x:c>
      <x:c r="C415" s="4" t="n">
        <x:v>22</x:v>
      </x:c>
      <x:c r="D415" s="4" t="n">
        <x:v>0</x:v>
      </x:c>
      <x:c r="E415" s="4" t="n">
        <x:v>60</x:v>
      </x:c>
      <x:c r="F415" s="4" t="n">
        <x:v>2323</x:v>
      </x:c>
      <x:c r="G415" s="5" t="n">
        <x:v>0.1127</x:v>
      </x:c>
      <x:c r="H415" s="5" t="n">
        <x:v>0.163</x:v>
      </x:c>
      <x:c r="I415" s="5" t="n">
        <x:v>0.0342</x:v>
      </x:c>
      <x:c r="J415" s="4" t="n">
        <x:v>1047</x:v>
      </x:c>
      <x:c r="K415" s="4" t="n">
        <x:v>118</x:v>
      </x:c>
      <x:c r="L415" s="4" t="n">
        <x:v>638</x:v>
      </x:c>
      <x:c r="M415" s="4" t="n">
        <x:v>104</x:v>
      </x:c>
      <x:c r="N415" s="4" t="n">
        <x:v>409</x:v>
      </x:c>
      <x:c r="O415" s="4" t="n">
        <x:v>14</x:v>
      </x:c>
      <x:c r="P415" s="1" t="str">
        <x:v>PASS</x:v>
      </x:c>
      <x:c r="Q415" s="4" t="n">
        <x:v>0</x:v>
      </x:c>
      <x:c r="R415" s="1" t="str">
        <x:v>NOT_RUN</x:v>
      </x:c>
      <x:c r="S415" s="4"/>
      <x:c r="T415" s="1" t="str">
        <x:v>NOT_AVAILABLE</x:v>
      </x:c>
      <x:c r="U415" s="1" t="str">
        <x:v>JacksonDatabind_22</x:v>
      </x:c>
      <x:c r="V415" s="6" t="n">
        <x:v>96.85</x:v>
      </x:c>
    </x:row>
    <x:row r="416" ht="22" customHeight="1">
      <x:c r="A416" s="1" t="str">
        <x:v>Round1</x:v>
      </x:c>
      <x:c r="B416" s="1" t="str">
        <x:v>JacksonDatabind</x:v>
      </x:c>
      <x:c r="C416" s="4" t="n">
        <x:v>23</x:v>
      </x:c>
      <x:c r="D416" s="4" t="n">
        <x:v>0</x:v>
      </x:c>
      <x:c r="E416" s="4" t="n">
        <x:v>60</x:v>
      </x:c>
      <x:c r="F416" s="4" t="n">
        <x:v>2719</x:v>
      </x:c>
      <x:c r="G416" s="5" t="n">
        <x:v>0.4946</x:v>
      </x:c>
      <x:c r="H416" s="5" t="n">
        <x:v>0.5205</x:v>
      </x:c>
      <x:c r="I416" s="5" t="n">
        <x:v>0.4</x:v>
      </x:c>
      <x:c r="J416" s="4" t="n">
        <x:v>93</x:v>
      </x:c>
      <x:c r="K416" s="4" t="n">
        <x:v>46</x:v>
      </x:c>
      <x:c r="L416" s="4" t="n">
        <x:v>73</x:v>
      </x:c>
      <x:c r="M416" s="4" t="n">
        <x:v>38</x:v>
      </x:c>
      <x:c r="N416" s="4" t="n">
        <x:v>20</x:v>
      </x:c>
      <x:c r="O416" s="4" t="n">
        <x:v>8</x:v>
      </x:c>
      <x:c r="P416" s="1" t="str">
        <x:v>PASS</x:v>
      </x:c>
      <x:c r="Q416" s="4" t="n">
        <x:v>0</x:v>
      </x:c>
      <x:c r="R416" s="1" t="str">
        <x:v>FAIL</x:v>
      </x:c>
      <x:c r="S416" s="4" t="n">
        <x:v>598</x:v>
      </x:c>
      <x:c r="T416" s="1" t="str">
        <x:v>INCONCLUSIVE</x:v>
      </x:c>
      <x:c r="U416" s="1" t="str">
        <x:v>JacksonDatabind_23</x:v>
      </x:c>
      <x:c r="V416" s="6" t="n">
        <x:v>106.56</x:v>
      </x:c>
    </x:row>
    <x:row r="417" ht="22" customHeight="1">
      <x:c r="A417" s="1" t="str">
        <x:v>Round1</x:v>
      </x:c>
      <x:c r="B417" s="1" t="str">
        <x:v>JacksonDatabind</x:v>
      </x:c>
      <x:c r="C417" s="4" t="n">
        <x:v>24</x:v>
      </x:c>
      <x:c r="D417" s="4" t="n">
        <x:v>0</x:v>
      </x:c>
      <x:c r="E417" s="4" t="n">
        <x:v>60</x:v>
      </x:c>
      <x:c r="F417" s="4" t="n">
        <x:v>1</x:v>
      </x:c>
      <x:c r="G417" s="5" t="n">
        <x:v>0</x:v>
      </x:c>
      <x:c r="H417" s="5" t="n">
        <x:v>0</x:v>
      </x:c>
      <x:c r="I417" s="5" t="n">
        <x:v>0</x:v>
      </x:c>
      <x:c r="J417" s="4" t="n">
        <x:v>93</x:v>
      </x:c>
      <x:c r="K417" s="4" t="n">
        <x:v>0</x:v>
      </x:c>
      <x:c r="L417" s="4" t="n">
        <x:v>67</x:v>
      </x:c>
      <x:c r="M417" s="4" t="n">
        <x:v>0</x:v>
      </x:c>
      <x:c r="N417" s="4" t="n">
        <x:v>26</x:v>
      </x:c>
      <x:c r="O417" s="4" t="n">
        <x:v>0</x:v>
      </x:c>
      <x:c r="P417" s="1" t="str">
        <x:v>PASS</x:v>
      </x:c>
      <x:c r="Q417" s="4" t="n">
        <x:v>0</x:v>
      </x:c>
      <x:c r="R417" s="1" t="str">
        <x:v>PASS</x:v>
      </x:c>
      <x:c r="S417" s="4" t="n">
        <x:v>0</x:v>
      </x:c>
      <x:c r="T417" s="1" t="str">
        <x:v>NOT_REVEALING</x:v>
      </x:c>
      <x:c r="U417" s="1" t="str">
        <x:v>JacksonDatabind_24</x:v>
      </x:c>
      <x:c r="V417" s="6" t="n">
        <x:v>70.25</x:v>
      </x:c>
    </x:row>
    <x:row r="418" ht="22" customHeight="1">
      <x:c r="A418" s="1" t="str">
        <x:v>Round1</x:v>
      </x:c>
      <x:c r="B418" s="1" t="str">
        <x:v>JacksonDatabind</x:v>
      </x:c>
      <x:c r="C418" s="4" t="n">
        <x:v>25</x:v>
      </x:c>
      <x:c r="D418" s="4" t="n">
        <x:v>0</x:v>
      </x:c>
      <x:c r="E418" s="4" t="n">
        <x:v>60</x:v>
      </x:c>
      <x:c r="F418" s="4" t="n">
        <x:v>5921</x:v>
      </x:c>
      <x:c r="G418" s="5" t="n">
        <x:v>0.0274</x:v>
      </x:c>
      <x:c r="H418" s="5" t="n">
        <x:v>0.0463</x:v>
      </x:c>
      <x:c r="I418" s="5" t="n">
        <x:v>0.0013</x:v>
      </x:c>
      <x:c r="J418" s="4" t="n">
        <x:v>1828</x:v>
      </x:c>
      <x:c r="K418" s="4" t="n">
        <x:v>50</x:v>
      </x:c>
      <x:c r="L418" s="4" t="n">
        <x:v>1058</x:v>
      </x:c>
      <x:c r="M418" s="4" t="n">
        <x:v>49</x:v>
      </x:c>
      <x:c r="N418" s="4" t="n">
        <x:v>770</x:v>
      </x:c>
      <x:c r="O418" s="4" t="n">
        <x:v>1</x:v>
      </x:c>
      <x:c r="P418" s="1" t="str">
        <x:v>PASS</x:v>
      </x:c>
      <x:c r="Q418" s="4" t="n">
        <x:v>0</x:v>
      </x:c>
      <x:c r="R418" s="1" t="str">
        <x:v>PASS</x:v>
      </x:c>
      <x:c r="S418" s="4" t="n">
        <x:v>0</x:v>
      </x:c>
      <x:c r="T418" s="1" t="str">
        <x:v>NOT_REVEALING</x:v>
      </x:c>
      <x:c r="U418" s="1" t="str">
        <x:v>JacksonDatabind_25</x:v>
      </x:c>
      <x:c r="V418" s="6" t="n">
        <x:v>105.93</x:v>
      </x:c>
    </x:row>
    <x:row r="419" ht="22" customHeight="1">
      <x:c r="A419" s="1" t="str">
        <x:v>Round1</x:v>
      </x:c>
      <x:c r="B419" s="1" t="str">
        <x:v>JacksonDatabind</x:v>
      </x:c>
      <x:c r="C419" s="4" t="n">
        <x:v>26</x:v>
      </x:c>
      <x:c r="D419" s="4" t="n">
        <x:v>0</x:v>
      </x:c>
      <x:c r="E419" s="4" t="n">
        <x:v>60</x:v>
      </x:c>
      <x:c r="F419" s="4" t="n">
        <x:v>4217</x:v>
      </x:c>
      <x:c r="G419" s="5" t="n">
        <x:v>0.36869999999999997</x:v>
      </x:c>
      <x:c r="H419" s="5" t="n">
        <x:v>0.44189999999999996</x:v>
      </x:c>
      <x:c r="I419" s="5" t="n">
        <x:v>0.2365</x:v>
      </x:c>
      <x:c r="J419" s="4" t="n">
        <x:v>415</x:v>
      </x:c>
      <x:c r="K419" s="4" t="n">
        <x:v>153</x:v>
      </x:c>
      <x:c r="L419" s="4" t="n">
        <x:v>267</x:v>
      </x:c>
      <x:c r="M419" s="4" t="n">
        <x:v>118</x:v>
      </x:c>
      <x:c r="N419" s="4" t="n">
        <x:v>148</x:v>
      </x:c>
      <x:c r="O419" s="4" t="n">
        <x:v>35</x:v>
      </x:c>
      <x:c r="P419" s="1" t="str">
        <x:v>FAIL</x:v>
      </x:c>
      <x:c r="Q419" s="4" t="n">
        <x:v>182</x:v>
      </x:c>
      <x:c r="R419" s="1" t="str">
        <x:v>FAIL</x:v>
      </x:c>
      <x:c r="S419" s="4" t="n">
        <x:v>182</x:v>
      </x:c>
      <x:c r="T419" s="1" t="str">
        <x:v>INCONCLUSIVE</x:v>
      </x:c>
      <x:c r="U419" s="1" t="str">
        <x:v>JacksonDatabind_26</x:v>
      </x:c>
      <x:c r="V419" s="6" t="n">
        <x:v>102.82</x:v>
      </x:c>
    </x:row>
    <x:row r="420" ht="22" customHeight="1">
      <x:c r="A420" s="1" t="str">
        <x:v>Round1</x:v>
      </x:c>
      <x:c r="B420" s="1" t="str">
        <x:v>JacksonDatabind</x:v>
      </x:c>
      <x:c r="C420" s="4" t="n">
        <x:v>27</x:v>
      </x:c>
      <x:c r="D420" s="4" t="n">
        <x:v>0</x:v>
      </x:c>
      <x:c r="E420" s="4" t="n">
        <x:v>60</x:v>
      </x:c>
      <x:c r="F420" s="4" t="n">
        <x:v>41</x:v>
      </x:c>
      <x:c r="G420" s="5" t="n">
        <x:v>0.0098</x:v>
      </x:c>
      <x:c r="H420" s="5" t="n">
        <x:v>0.015300000000000001</x:v>
      </x:c>
      <x:c r="I420" s="5" t="n">
        <x:v>0</x:v>
      </x:c>
      <x:c r="J420" s="4" t="n">
        <x:v>614</x:v>
      </x:c>
      <x:c r="K420" s="4" t="n">
        <x:v>6</x:v>
      </x:c>
      <x:c r="L420" s="4" t="n">
        <x:v>392</x:v>
      </x:c>
      <x:c r="M420" s="4" t="n">
        <x:v>6</x:v>
      </x:c>
      <x:c r="N420" s="4" t="n">
        <x:v>222</x:v>
      </x:c>
      <x:c r="O420" s="4" t="n">
        <x:v>0</x:v>
      </x:c>
      <x:c r="P420" s="1" t="str">
        <x:v>PASS</x:v>
      </x:c>
      <x:c r="Q420" s="4" t="n">
        <x:v>0</x:v>
      </x:c>
      <x:c r="R420" s="1" t="str">
        <x:v>PASS</x:v>
      </x:c>
      <x:c r="S420" s="4" t="n">
        <x:v>0</x:v>
      </x:c>
      <x:c r="T420" s="1" t="str">
        <x:v>NOT_REVEALING</x:v>
      </x:c>
      <x:c r="U420" s="1" t="str">
        <x:v>JacksonDatabind_27</x:v>
      </x:c>
      <x:c r="V420" s="6" t="n">
        <x:v>77.12</x:v>
      </x:c>
    </x:row>
    <x:row r="421" ht="22" customHeight="1">
      <x:c r="A421" s="1" t="str">
        <x:v>Round1</x:v>
      </x:c>
      <x:c r="B421" s="1" t="str">
        <x:v>JacksonDatabind</x:v>
      </x:c>
      <x:c r="C421" s="4" t="n">
        <x:v>28</x:v>
      </x:c>
      <x:c r="D421" s="4" t="n">
        <x:v>0</x:v>
      </x:c>
      <x:c r="E421" s="4" t="n">
        <x:v>60</x:v>
      </x:c>
      <x:c r="F421" s="4" t="n">
        <x:v>3377</x:v>
      </x:c>
      <x:c r="G421" s="5" t="n">
        <x:v>0.3182</x:v>
      </x:c>
      <x:c r="H421" s="5" t="n">
        <x:v>0.45159999999999995</x:v>
      </x:c>
      <x:c r="I421" s="5" t="n">
        <x:v>0</x:v>
      </x:c>
      <x:c r="J421" s="4" t="n">
        <x:v>44</x:v>
      </x:c>
      <x:c r="K421" s="4" t="n">
        <x:v>14</x:v>
      </x:c>
      <x:c r="L421" s="4" t="n">
        <x:v>31</x:v>
      </x:c>
      <x:c r="M421" s="4" t="n">
        <x:v>14</x:v>
      </x:c>
      <x:c r="N421" s="4" t="n">
        <x:v>13</x:v>
      </x:c>
      <x:c r="O421" s="4" t="n">
        <x:v>0</x:v>
      </x:c>
      <x:c r="P421" s="1" t="str">
        <x:v>PASS</x:v>
      </x:c>
      <x:c r="Q421" s="4" t="n">
        <x:v>0</x:v>
      </x:c>
      <x:c r="R421" s="1" t="str">
        <x:v>PASS</x:v>
      </x:c>
      <x:c r="S421" s="4" t="n">
        <x:v>0</x:v>
      </x:c>
      <x:c r="T421" s="1" t="str">
        <x:v>NOT_REVEALING</x:v>
      </x:c>
      <x:c r="U421" s="1" t="str">
        <x:v>JacksonDatabind_28</x:v>
      </x:c>
      <x:c r="V421" s="6" t="n">
        <x:v>96.56</x:v>
      </x:c>
    </x:row>
    <x:row r="422" ht="22" customHeight="1">
      <x:c r="A422" s="1" t="str">
        <x:v>Round1</x:v>
      </x:c>
      <x:c r="B422" s="1" t="str">
        <x:v>JacksonDatabind</x:v>
      </x:c>
      <x:c r="C422" s="4" t="n">
        <x:v>29</x:v>
      </x:c>
      <x:c r="D422" s="4" t="n">
        <x:v>0</x:v>
      </x:c>
      <x:c r="E422" s="4" t="n">
        <x:v>60</x:v>
      </x:c>
      <x:c r="F422" s="4" t="n">
        <x:v>2982</x:v>
      </x:c>
      <x:c r="G422" s="5" t="n">
        <x:v>0.2167</x:v>
      </x:c>
      <x:c r="H422" s="5" t="n">
        <x:v>0.2766</x:v>
      </x:c>
      <x:c r="I422" s="5" t="n">
        <x:v>0.0806</x:v>
      </x:c>
      <x:c r="J422" s="4" t="n">
        <x:v>203</x:v>
      </x:c>
      <x:c r="K422" s="4" t="n">
        <x:v>44</x:v>
      </x:c>
      <x:c r="L422" s="4" t="n">
        <x:v>141</x:v>
      </x:c>
      <x:c r="M422" s="4" t="n">
        <x:v>39</x:v>
      </x:c>
      <x:c r="N422" s="4" t="n">
        <x:v>62</x:v>
      </x:c>
      <x:c r="O422" s="4" t="n">
        <x:v>5</x:v>
      </x:c>
      <x:c r="P422" s="1" t="str">
        <x:v>PASS</x:v>
      </x:c>
      <x:c r="Q422" s="4" t="n">
        <x:v>0</x:v>
      </x:c>
      <x:c r="R422" s="1" t="str">
        <x:v>PASS</x:v>
      </x:c>
      <x:c r="S422" s="4" t="n">
        <x:v>0</x:v>
      </x:c>
      <x:c r="T422" s="1" t="str">
        <x:v>NOT_REVEALING</x:v>
      </x:c>
      <x:c r="U422" s="1" t="str">
        <x:v>JacksonDatabind_29</x:v>
      </x:c>
      <x:c r="V422" s="6" t="n">
        <x:v>128.76</x:v>
      </x:c>
    </x:row>
    <x:row r="423" ht="22" customHeight="1">
      <x:c r="A423" s="1" t="str">
        <x:v>Round1</x:v>
      </x:c>
      <x:c r="B423" s="1" t="str">
        <x:v>JacksonDatabind</x:v>
      </x:c>
      <x:c r="C423" s="4" t="n">
        <x:v>30</x:v>
      </x:c>
      <x:c r="D423" s="4" t="n">
        <x:v>0</x:v>
      </x:c>
      <x:c r="E423" s="4" t="n">
        <x:v>60</x:v>
      </x:c>
      <x:c r="F423" s="4" t="n">
        <x:v>0</x:v>
      </x:c>
      <x:c r="G423" s="5"/>
      <x:c r="H423" s="5"/>
      <x:c r="I423" s="5"/>
      <x:c r="J423" s="4" t="n">
        <x:v>0</x:v>
      </x:c>
      <x:c r="K423" s="4" t="n">
        <x:v>0</x:v>
      </x:c>
      <x:c r="L423" s="4" t="n">
        <x:v>0</x:v>
      </x:c>
      <x:c r="M423" s="4" t="n">
        <x:v>0</x:v>
      </x:c>
      <x:c r="N423" s="4" t="n">
        <x:v>0</x:v>
      </x:c>
      <x:c r="O423" s="4" t="n">
        <x:v>0</x:v>
      </x:c>
      <x:c r="P423" s="1" t="str">
        <x:v>NOT_RUN</x:v>
      </x:c>
      <x:c r="Q423" s="4"/>
      <x:c r="R423" s="1" t="str">
        <x:v>NOT_RUN</x:v>
      </x:c>
      <x:c r="S423" s="4"/>
      <x:c r="T423" s="1" t="str">
        <x:v>FAIL</x:v>
      </x:c>
      <x:c r="U423" s="1" t="str">
        <x:v>JacksonDatabind_30</x:v>
      </x:c>
      <x:c r="V423" s="6"/>
    </x:row>
    <x:row r="424" ht="22" customHeight="1">
      <x:c r="A424" s="1" t="str">
        <x:v>Round1</x:v>
      </x:c>
      <x:c r="B424" s="1" t="str">
        <x:v>JacksonDatabind</x:v>
      </x:c>
      <x:c r="C424" s="4" t="n">
        <x:v>31</x:v>
      </x:c>
      <x:c r="D424" s="4" t="n">
        <x:v>0</x:v>
      </x:c>
      <x:c r="E424" s="4" t="n">
        <x:v>60</x:v>
      </x:c>
      <x:c r="F424" s="4" t="n">
        <x:v>4519</x:v>
      </x:c>
      <x:c r="G424" s="5" t="n">
        <x:v>0.7272</x:v>
      </x:c>
      <x:c r="H424" s="5" t="n">
        <x:v>0.7786</x:v>
      </x:c>
      <x:c r="I424" s="5" t="n">
        <x:v>0.6286999999999999</x:v>
      </x:c>
      <x:c r="J424" s="4" t="n">
        <x:v>997</x:v>
      </x:c>
      <x:c r="K424" s="4" t="n">
        <x:v>725</x:v>
      </x:c>
      <x:c r="L424" s="4" t="n">
        <x:v>655</x:v>
      </x:c>
      <x:c r="M424" s="4" t="n">
        <x:v>510</x:v>
      </x:c>
      <x:c r="N424" s="4" t="n">
        <x:v>342</x:v>
      </x:c>
      <x:c r="O424" s="4" t="n">
        <x:v>215</x:v>
      </x:c>
      <x:c r="P424" s="1" t="str">
        <x:v>PASS</x:v>
      </x:c>
      <x:c r="Q424" s="4" t="n">
        <x:v>0</x:v>
      </x:c>
      <x:c r="R424" s="1" t="str">
        <x:v>PASS</x:v>
      </x:c>
      <x:c r="S424" s="4" t="n">
        <x:v>0</x:v>
      </x:c>
      <x:c r="T424" s="1" t="str">
        <x:v>NOT_REVEALING</x:v>
      </x:c>
      <x:c r="U424" s="1" t="str">
        <x:v>JacksonDatabind_31</x:v>
      </x:c>
      <x:c r="V424" s="6" t="n">
        <x:v>116.7</x:v>
      </x:c>
    </x:row>
    <x:row r="425" ht="22" customHeight="1">
      <x:c r="A425" s="1" t="str">
        <x:v>Round1</x:v>
      </x:c>
      <x:c r="B425" s="1" t="str">
        <x:v>JacksonDatabind</x:v>
      </x:c>
      <x:c r="C425" s="4" t="n">
        <x:v>32</x:v>
      </x:c>
      <x:c r="D425" s="4" t="n">
        <x:v>0</x:v>
      </x:c>
      <x:c r="E425" s="4" t="n">
        <x:v>60</x:v>
      </x:c>
      <x:c r="F425" s="4" t="n">
        <x:v>2995</x:v>
      </x:c>
      <x:c r="G425" s="5" t="n">
        <x:v>0.11789999999999999</x:v>
      </x:c>
      <x:c r="H425" s="5" t="n">
        <x:v>0.1412</x:v>
      </x:c>
      <x:c r="I425" s="5" t="n">
        <x:v>0.0759</x:v>
      </x:c>
      <x:c r="J425" s="4" t="n">
        <x:v>407</x:v>
      </x:c>
      <x:c r="K425" s="4" t="n">
        <x:v>48</x:v>
      </x:c>
      <x:c r="L425" s="4" t="n">
        <x:v>262</x:v>
      </x:c>
      <x:c r="M425" s="4" t="n">
        <x:v>37</x:v>
      </x:c>
      <x:c r="N425" s="4" t="n">
        <x:v>145</x:v>
      </x:c>
      <x:c r="O425" s="4" t="n">
        <x:v>11</x:v>
      </x:c>
      <x:c r="P425" s="1" t="str">
        <x:v>FAIL</x:v>
      </x:c>
      <x:c r="Q425" s="4" t="n">
        <x:v>31</x:v>
      </x:c>
      <x:c r="R425" s="1" t="str">
        <x:v>FAIL</x:v>
      </x:c>
      <x:c r="S425" s="4" t="n">
        <x:v>31</x:v>
      </x:c>
      <x:c r="T425" s="1" t="str">
        <x:v>INCONCLUSIVE</x:v>
      </x:c>
      <x:c r="U425" s="1" t="str">
        <x:v>JacksonDatabind_32</x:v>
      </x:c>
      <x:c r="V425" s="6" t="n">
        <x:v>117.59</x:v>
      </x:c>
    </x:row>
    <x:row r="426" ht="22" customHeight="1">
      <x:c r="A426" s="1" t="str">
        <x:v>Round1</x:v>
      </x:c>
      <x:c r="B426" s="1" t="str">
        <x:v>JacksonDatabind</x:v>
      </x:c>
      <x:c r="C426" s="4" t="n">
        <x:v>33</x:v>
      </x:c>
      <x:c r="D426" s="4" t="n">
        <x:v>0</x:v>
      </x:c>
      <x:c r="E426" s="4" t="n">
        <x:v>60</x:v>
      </x:c>
      <x:c r="F426" s="4" t="n">
        <x:v>515</x:v>
      </x:c>
      <x:c r="G426" s="5" t="n">
        <x:v>0.11960000000000001</x:v>
      </x:c>
      <x:c r="H426" s="5" t="n">
        <x:v>0.1957</x:v>
      </x:c>
      <x:c r="I426" s="5" t="n">
        <x:v>0.0181</x:v>
      </x:c>
      <x:c r="J426" s="4" t="n">
        <x:v>644</x:v>
      </x:c>
      <x:c r="K426" s="4" t="n">
        <x:v>77</x:v>
      </x:c>
      <x:c r="L426" s="4" t="n">
        <x:v>368</x:v>
      </x:c>
      <x:c r="M426" s="4" t="n">
        <x:v>72</x:v>
      </x:c>
      <x:c r="N426" s="4" t="n">
        <x:v>276</x:v>
      </x:c>
      <x:c r="O426" s="4" t="n">
        <x:v>5</x:v>
      </x:c>
      <x:c r="P426" s="1" t="str">
        <x:v>PASS</x:v>
      </x:c>
      <x:c r="Q426" s="4" t="n">
        <x:v>0</x:v>
      </x:c>
      <x:c r="R426" s="1" t="str">
        <x:v>PASS</x:v>
      </x:c>
      <x:c r="S426" s="4" t="n">
        <x:v>0</x:v>
      </x:c>
      <x:c r="T426" s="1" t="str">
        <x:v>NOT_REVEALING</x:v>
      </x:c>
      <x:c r="U426" s="1" t="str">
        <x:v>JacksonDatabind_33</x:v>
      </x:c>
      <x:c r="V426" s="6" t="n">
        <x:v>74.51</x:v>
      </x:c>
    </x:row>
    <x:row r="427" ht="22" customHeight="1">
      <x:c r="A427" s="1" t="str">
        <x:v>Round1</x:v>
      </x:c>
      <x:c r="B427" s="1" t="str">
        <x:v>JacksonDatabind</x:v>
      </x:c>
      <x:c r="C427" s="4" t="n">
        <x:v>34</x:v>
      </x:c>
      <x:c r="D427" s="4" t="n">
        <x:v>0</x:v>
      </x:c>
      <x:c r="E427" s="4" t="n">
        <x:v>60</x:v>
      </x:c>
      <x:c r="F427" s="4" t="n">
        <x:v>2451</x:v>
      </x:c>
      <x:c r="G427" s="5" t="n">
        <x:v>0.7547</x:v>
      </x:c>
      <x:c r="H427" s="5" t="n">
        <x:v>0.7585999999999999</x:v>
      </x:c>
      <x:c r="I427" s="5" t="n">
        <x:v>0.75</x:v>
      </x:c>
      <x:c r="J427" s="4" t="n">
        <x:v>53</x:v>
      </x:c>
      <x:c r="K427" s="4" t="n">
        <x:v>40</x:v>
      </x:c>
      <x:c r="L427" s="4" t="n">
        <x:v>29</x:v>
      </x:c>
      <x:c r="M427" s="4" t="n">
        <x:v>22</x:v>
      </x:c>
      <x:c r="N427" s="4" t="n">
        <x:v>24</x:v>
      </x:c>
      <x:c r="O427" s="4" t="n">
        <x:v>18</x:v>
      </x:c>
      <x:c r="P427" s="1" t="str">
        <x:v>PASS</x:v>
      </x:c>
      <x:c r="Q427" s="4" t="n">
        <x:v>0</x:v>
      </x:c>
      <x:c r="R427" s="1" t="str">
        <x:v>PASS</x:v>
      </x:c>
      <x:c r="S427" s="4" t="n">
        <x:v>0</x:v>
      </x:c>
      <x:c r="T427" s="1" t="str">
        <x:v>NOT_REVEALING</x:v>
      </x:c>
      <x:c r="U427" s="1" t="str">
        <x:v>JacksonDatabind_34</x:v>
      </x:c>
      <x:c r="V427" s="6" t="n">
        <x:v>104.44</x:v>
      </x:c>
    </x:row>
    <x:row r="428" ht="22" customHeight="1">
      <x:c r="A428" s="1" t="str">
        <x:v>Round1</x:v>
      </x:c>
      <x:c r="B428" s="1" t="str">
        <x:v>JacksonDatabind</x:v>
      </x:c>
      <x:c r="C428" s="4" t="n">
        <x:v>35</x:v>
      </x:c>
      <x:c r="D428" s="4" t="n">
        <x:v>0</x:v>
      </x:c>
      <x:c r="E428" s="4" t="n">
        <x:v>60</x:v>
      </x:c>
      <x:c r="F428" s="4" t="n">
        <x:v>3</x:v>
      </x:c>
      <x:c r="G428" s="5" t="n">
        <x:v>0.02</x:v>
      </x:c>
      <x:c r="H428" s="5" t="n">
        <x:v>0.0294</x:v>
      </x:c>
      <x:c r="I428" s="5" t="n">
        <x:v>0</x:v>
      </x:c>
      <x:c r="J428" s="4" t="n">
        <x:v>50</x:v>
      </x:c>
      <x:c r="K428" s="4" t="n">
        <x:v>1</x:v>
      </x:c>
      <x:c r="L428" s="4" t="n">
        <x:v>34</x:v>
      </x:c>
      <x:c r="M428" s="4" t="n">
        <x:v>1</x:v>
      </x:c>
      <x:c r="N428" s="4" t="n">
        <x:v>16</x:v>
      </x:c>
      <x:c r="O428" s="4" t="n">
        <x:v>0</x:v>
      </x:c>
      <x:c r="P428" s="1" t="str">
        <x:v>PASS</x:v>
      </x:c>
      <x:c r="Q428" s="4" t="n">
        <x:v>0</x:v>
      </x:c>
      <x:c r="R428" s="1" t="str">
        <x:v>PASS</x:v>
      </x:c>
      <x:c r="S428" s="4" t="n">
        <x:v>0</x:v>
      </x:c>
      <x:c r="T428" s="1" t="str">
        <x:v>NOT_REVEALING</x:v>
      </x:c>
      <x:c r="U428" s="1" t="str">
        <x:v>JacksonDatabind_35</x:v>
      </x:c>
      <x:c r="V428" s="6" t="n">
        <x:v>68.07</x:v>
      </x:c>
    </x:row>
    <x:row r="429" ht="22" customHeight="1">
      <x:c r="A429" s="1" t="str">
        <x:v>Round1</x:v>
      </x:c>
      <x:c r="B429" s="1" t="str">
        <x:v>JacksonDatabind</x:v>
      </x:c>
      <x:c r="C429" s="4" t="n">
        <x:v>36</x:v>
      </x:c>
      <x:c r="D429" s="4" t="n">
        <x:v>0</x:v>
      </x:c>
      <x:c r="E429" s="4" t="n">
        <x:v>60</x:v>
      </x:c>
      <x:c r="F429" s="4" t="n">
        <x:v>5325</x:v>
      </x:c>
      <x:c r="G429" s="5" t="n">
        <x:v>0.7988</x:v>
      </x:c>
      <x:c r="H429" s="5" t="n">
        <x:v>0.8756</x:v>
      </x:c>
      <x:c r="I429" s="5" t="n">
        <x:v>0.6846</x:v>
      </x:c>
      <x:c r="J429" s="4" t="n">
        <x:v>323</x:v>
      </x:c>
      <x:c r="K429" s="4" t="n">
        <x:v>258</x:v>
      </x:c>
      <x:c r="L429" s="4" t="n">
        <x:v>193</x:v>
      </x:c>
      <x:c r="M429" s="4" t="n">
        <x:v>169</x:v>
      </x:c>
      <x:c r="N429" s="4" t="n">
        <x:v>130</x:v>
      </x:c>
      <x:c r="O429" s="4" t="n">
        <x:v>89</x:v>
      </x:c>
      <x:c r="P429" s="1" t="str">
        <x:v>FAIL</x:v>
      </x:c>
      <x:c r="Q429" s="4" t="n">
        <x:v>4078</x:v>
      </x:c>
      <x:c r="R429" s="1" t="str">
        <x:v>FAIL</x:v>
      </x:c>
      <x:c r="S429" s="4" t="n">
        <x:v>4243</x:v>
      </x:c>
      <x:c r="T429" s="1" t="str">
        <x:v>INCONCLUSIVE</x:v>
      </x:c>
      <x:c r="U429" s="1" t="str">
        <x:v>JacksonDatabind_36</x:v>
      </x:c>
      <x:c r="V429" s="6" t="n">
        <x:v>103.52</x:v>
      </x:c>
    </x:row>
    <x:row r="430" ht="22" customHeight="1">
      <x:c r="A430" s="1" t="str">
        <x:v>Round1</x:v>
      </x:c>
      <x:c r="B430" s="1" t="str">
        <x:v>JacksonDatabind</x:v>
      </x:c>
      <x:c r="C430" s="4" t="n">
        <x:v>37</x:v>
      </x:c>
      <x:c r="D430" s="4" t="n">
        <x:v>0</x:v>
      </x:c>
      <x:c r="E430" s="4" t="n">
        <x:v>60</x:v>
      </x:c>
      <x:c r="F430" s="4" t="n">
        <x:v>1</x:v>
      </x:c>
      <x:c r="G430" s="5" t="n">
        <x:v>0</x:v>
      </x:c>
      <x:c r="H430" s="5" t="n">
        <x:v>0</x:v>
      </x:c>
      <x:c r="I430" s="5" t="n">
        <x:v>0</x:v>
      </x:c>
      <x:c r="J430" s="4" t="n">
        <x:v>99</x:v>
      </x:c>
      <x:c r="K430" s="4" t="n">
        <x:v>0</x:v>
      </x:c>
      <x:c r="L430" s="4" t="n">
        <x:v>67</x:v>
      </x:c>
      <x:c r="M430" s="4" t="n">
        <x:v>0</x:v>
      </x:c>
      <x:c r="N430" s="4" t="n">
        <x:v>32</x:v>
      </x:c>
      <x:c r="O430" s="4" t="n">
        <x:v>0</x:v>
      </x:c>
      <x:c r="P430" s="1" t="str">
        <x:v>PASS</x:v>
      </x:c>
      <x:c r="Q430" s="4" t="n">
        <x:v>0</x:v>
      </x:c>
      <x:c r="R430" s="1" t="str">
        <x:v>PASS</x:v>
      </x:c>
      <x:c r="S430" s="4" t="n">
        <x:v>0</x:v>
      </x:c>
      <x:c r="T430" s="1" t="str">
        <x:v>NOT_REVEALING</x:v>
      </x:c>
      <x:c r="U430" s="1" t="str">
        <x:v>JacksonDatabind_37</x:v>
      </x:c>
      <x:c r="V430" s="6" t="n">
        <x:v>69.66</x:v>
      </x:c>
    </x:row>
    <x:row r="431" ht="22" customHeight="1">
      <x:c r="A431" s="1" t="str">
        <x:v>Round1</x:v>
      </x:c>
      <x:c r="B431" s="1" t="str">
        <x:v>JacksonDatabind</x:v>
      </x:c>
      <x:c r="C431" s="4" t="n">
        <x:v>38</x:v>
      </x:c>
      <x:c r="D431" s="4" t="n">
        <x:v>0</x:v>
      </x:c>
      <x:c r="E431" s="4" t="n">
        <x:v>60</x:v>
      </x:c>
      <x:c r="F431" s="4" t="n">
        <x:v>6</x:v>
      </x:c>
      <x:c r="G431" s="5" t="n">
        <x:v>0.0183</x:v>
      </x:c>
      <x:c r="H431" s="5" t="n">
        <x:v>0.0246</x:v>
      </x:c>
      <x:c r="I431" s="5" t="n">
        <x:v>0</x:v>
      </x:c>
      <x:c r="J431" s="4" t="n">
        <x:v>164</x:v>
      </x:c>
      <x:c r="K431" s="4" t="n">
        <x:v>3</x:v>
      </x:c>
      <x:c r="L431" s="4" t="n">
        <x:v>122</x:v>
      </x:c>
      <x:c r="M431" s="4" t="n">
        <x:v>3</x:v>
      </x:c>
      <x:c r="N431" s="4" t="n">
        <x:v>42</x:v>
      </x:c>
      <x:c r="O431" s="4" t="n">
        <x:v>0</x:v>
      </x:c>
      <x:c r="P431" s="1" t="str">
        <x:v>PASS</x:v>
      </x:c>
      <x:c r="Q431" s="4" t="n">
        <x:v>0</x:v>
      </x:c>
      <x:c r="R431" s="1" t="str">
        <x:v>PASS</x:v>
      </x:c>
      <x:c r="S431" s="4" t="n">
        <x:v>0</x:v>
      </x:c>
      <x:c r="T431" s="1" t="str">
        <x:v>NOT_REVEALING</x:v>
      </x:c>
      <x:c r="U431" s="1" t="str">
        <x:v>JacksonDatabind_38</x:v>
      </x:c>
      <x:c r="V431" s="6" t="n">
        <x:v>73.2</x:v>
      </x:c>
    </x:row>
    <x:row r="432" ht="22" customHeight="1">
      <x:c r="A432" s="1" t="str">
        <x:v>Round1</x:v>
      </x:c>
      <x:c r="B432" s="1" t="str">
        <x:v>JacksonDatabind</x:v>
      </x:c>
      <x:c r="C432" s="4" t="n">
        <x:v>39</x:v>
      </x:c>
      <x:c r="D432" s="4" t="n">
        <x:v>0</x:v>
      </x:c>
      <x:c r="E432" s="4" t="n">
        <x:v>60</x:v>
      </x:c>
      <x:c r="F432" s="4" t="n">
        <x:v>1</x:v>
      </x:c>
      <x:c r="G432" s="5" t="n">
        <x:v>0.22219999999999998</x:v>
      </x:c>
      <x:c r="H432" s="5" t="n">
        <x:v>0.2857</x:v>
      </x:c>
      <x:c r="I432" s="5" t="n">
        <x:v>0</x:v>
      </x:c>
      <x:c r="J432" s="4" t="n">
        <x:v>9</x:v>
      </x:c>
      <x:c r="K432" s="4" t="n">
        <x:v>2</x:v>
      </x:c>
      <x:c r="L432" s="4" t="n">
        <x:v>7</x:v>
      </x:c>
      <x:c r="M432" s="4" t="n">
        <x:v>2</x:v>
      </x:c>
      <x:c r="N432" s="4" t="n">
        <x:v>2</x:v>
      </x:c>
      <x:c r="O432" s="4" t="n">
        <x:v>0</x:v>
      </x:c>
      <x:c r="P432" s="1" t="str">
        <x:v>PASS</x:v>
      </x:c>
      <x:c r="Q432" s="4" t="n">
        <x:v>0</x:v>
      </x:c>
      <x:c r="R432" s="1" t="str">
        <x:v>PASS</x:v>
      </x:c>
      <x:c r="S432" s="4" t="n">
        <x:v>0</x:v>
      </x:c>
      <x:c r="T432" s="1" t="str">
        <x:v>NOT_REVEALING</x:v>
      </x:c>
      <x:c r="U432" s="1" t="str">
        <x:v>JacksonDatabind_39</x:v>
      </x:c>
      <x:c r="V432" s="6" t="n">
        <x:v>67.53</x:v>
      </x:c>
    </x:row>
    <x:row r="433" ht="22" customHeight="1">
      <x:c r="A433" s="1" t="str">
        <x:v>Round1</x:v>
      </x:c>
      <x:c r="B433" s="1" t="str">
        <x:v>JacksonDatabind</x:v>
      </x:c>
      <x:c r="C433" s="4" t="n">
        <x:v>40</x:v>
      </x:c>
      <x:c r="D433" s="4" t="n">
        <x:v>0</x:v>
      </x:c>
      <x:c r="E433" s="4" t="n">
        <x:v>60</x:v>
      </x:c>
      <x:c r="F433" s="4" t="n">
        <x:v>4513</x:v>
      </x:c>
      <x:c r="G433" s="5" t="n">
        <x:v>0.20629999999999998</x:v>
      </x:c>
      <x:c r="H433" s="5" t="n">
        <x:v>0.3196</x:v>
      </x:c>
      <x:c r="I433" s="5" t="n">
        <x:v>0.0154</x:v>
      </x:c>
      <x:c r="J433" s="4" t="n">
        <x:v>349</x:v>
      </x:c>
      <x:c r="K433" s="4" t="n">
        <x:v>72</x:v>
      </x:c>
      <x:c r="L433" s="4" t="n">
        <x:v>219</x:v>
      </x:c>
      <x:c r="M433" s="4" t="n">
        <x:v>70</x:v>
      </x:c>
      <x:c r="N433" s="4" t="n">
        <x:v>130</x:v>
      </x:c>
      <x:c r="O433" s="4" t="n">
        <x:v>2</x:v>
      </x:c>
      <x:c r="P433" s="1" t="str">
        <x:v>PASS</x:v>
      </x:c>
      <x:c r="Q433" s="4" t="n">
        <x:v>0</x:v>
      </x:c>
      <x:c r="R433" s="1" t="str">
        <x:v>FAIL</x:v>
      </x:c>
      <x:c r="S433" s="4" t="n">
        <x:v>1010</x:v>
      </x:c>
      <x:c r="T433" s="1" t="str">
        <x:v>INCONCLUSIVE</x:v>
      </x:c>
      <x:c r="U433" s="1" t="str">
        <x:v>JacksonDatabind_40</x:v>
      </x:c>
      <x:c r="V433" s="6" t="n">
        <x:v>94.15</x:v>
      </x:c>
    </x:row>
    <x:row r="434" ht="22" customHeight="1">
      <x:c r="A434" s="1" t="str">
        <x:v>Round1</x:v>
      </x:c>
      <x:c r="B434" s="1" t="str">
        <x:v>JacksonDatabind</x:v>
      </x:c>
      <x:c r="C434" s="4" t="n">
        <x:v>41</x:v>
      </x:c>
      <x:c r="D434" s="4" t="n">
        <x:v>0</x:v>
      </x:c>
      <x:c r="E434" s="4" t="n">
        <x:v>60</x:v>
      </x:c>
      <x:c r="F434" s="4" t="n">
        <x:v>187</x:v>
      </x:c>
      <x:c r="G434" s="5" t="n">
        <x:v>0.1993</x:v>
      </x:c>
      <x:c r="H434" s="5" t="n">
        <x:v>0.24780000000000002</x:v>
      </x:c>
      <x:c r="I434" s="5" t="n">
        <x:v>0.12210000000000001</x:v>
      </x:c>
      <x:c r="J434" s="4" t="n">
        <x:v>552</x:v>
      </x:c>
      <x:c r="K434" s="4" t="n">
        <x:v>110</x:v>
      </x:c>
      <x:c r="L434" s="4" t="n">
        <x:v>339</x:v>
      </x:c>
      <x:c r="M434" s="4" t="n">
        <x:v>84</x:v>
      </x:c>
      <x:c r="N434" s="4" t="n">
        <x:v>213</x:v>
      </x:c>
      <x:c r="O434" s="4" t="n">
        <x:v>26</x:v>
      </x:c>
      <x:c r="P434" s="1" t="str">
        <x:v>PASS</x:v>
      </x:c>
      <x:c r="Q434" s="4" t="n">
        <x:v>0</x:v>
      </x:c>
      <x:c r="R434" s="1" t="str">
        <x:v>PASS</x:v>
      </x:c>
      <x:c r="S434" s="4" t="n">
        <x:v>0</x:v>
      </x:c>
      <x:c r="T434" s="1" t="str">
        <x:v>NOT_REVEALING</x:v>
      </x:c>
      <x:c r="U434" s="1" t="str">
        <x:v>JacksonDatabind_41</x:v>
      </x:c>
      <x:c r="V434" s="6" t="n">
        <x:v>73.01</x:v>
      </x:c>
    </x:row>
    <x:row r="435" ht="22" customHeight="1">
      <x:c r="A435" s="1" t="str">
        <x:v>Round1</x:v>
      </x:c>
      <x:c r="B435" s="1" t="str">
        <x:v>JacksonDatabind</x:v>
      </x:c>
      <x:c r="C435" s="4" t="n">
        <x:v>42</x:v>
      </x:c>
      <x:c r="D435" s="4" t="n">
        <x:v>0</x:v>
      </x:c>
      <x:c r="E435" s="4" t="n">
        <x:v>60</x:v>
      </x:c>
      <x:c r="F435" s="4" t="n">
        <x:v>14</x:v>
      </x:c>
      <x:c r="G435" s="5" t="n">
        <x:v>0.0053</x:v>
      </x:c>
      <x:c r="H435" s="5" t="n">
        <x:v>0.0091</x:v>
      </x:c>
      <x:c r="I435" s="5" t="n">
        <x:v>0</x:v>
      </x:c>
      <x:c r="J435" s="4" t="n">
        <x:v>189</x:v>
      </x:c>
      <x:c r="K435" s="4" t="n">
        <x:v>1</x:v>
      </x:c>
      <x:c r="L435" s="4" t="n">
        <x:v>110</x:v>
      </x:c>
      <x:c r="M435" s="4" t="n">
        <x:v>1</x:v>
      </x:c>
      <x:c r="N435" s="4" t="n">
        <x:v>79</x:v>
      </x:c>
      <x:c r="O435" s="4" t="n">
        <x:v>0</x:v>
      </x:c>
      <x:c r="P435" s="1" t="str">
        <x:v>PASS</x:v>
      </x:c>
      <x:c r="Q435" s="4" t="n">
        <x:v>0</x:v>
      </x:c>
      <x:c r="R435" s="1" t="str">
        <x:v>PASS</x:v>
      </x:c>
      <x:c r="S435" s="4" t="n">
        <x:v>0</x:v>
      </x:c>
      <x:c r="T435" s="1" t="str">
        <x:v>NOT_REVEALING</x:v>
      </x:c>
      <x:c r="U435" s="1" t="str">
        <x:v>JacksonDatabind_42</x:v>
      </x:c>
      <x:c r="V435" s="6" t="n">
        <x:v>71.8</x:v>
      </x:c>
    </x:row>
    <x:row r="436" ht="22" customHeight="1">
      <x:c r="A436" s="1" t="str">
        <x:v>Round1</x:v>
      </x:c>
      <x:c r="B436" s="1" t="str">
        <x:v>JacksonDatabind</x:v>
      </x:c>
      <x:c r="C436" s="4" t="n">
        <x:v>43</x:v>
      </x:c>
      <x:c r="D436" s="4" t="n">
        <x:v>0</x:v>
      </x:c>
      <x:c r="E436" s="4" t="n">
        <x:v>60</x:v>
      </x:c>
      <x:c r="F436" s="4" t="n">
        <x:v>5</x:v>
      </x:c>
      <x:c r="G436" s="5" t="n">
        <x:v>0.0526</x:v>
      </x:c>
      <x:c r="H436" s="5" t="n">
        <x:v>0.0625</x:v>
      </x:c>
      <x:c r="I436" s="5" t="n">
        <x:v>0</x:v>
      </x:c>
      <x:c r="J436" s="4" t="n">
        <x:v>38</x:v>
      </x:c>
      <x:c r="K436" s="4" t="n">
        <x:v>2</x:v>
      </x:c>
      <x:c r="L436" s="4" t="n">
        <x:v>32</x:v>
      </x:c>
      <x:c r="M436" s="4" t="n">
        <x:v>2</x:v>
      </x:c>
      <x:c r="N436" s="4" t="n">
        <x:v>6</x:v>
      </x:c>
      <x:c r="O436" s="4" t="n">
        <x:v>0</x:v>
      </x:c>
      <x:c r="P436" s="1" t="str">
        <x:v>PASS</x:v>
      </x:c>
      <x:c r="Q436" s="4" t="n">
        <x:v>0</x:v>
      </x:c>
      <x:c r="R436" s="1" t="str">
        <x:v>PASS</x:v>
      </x:c>
      <x:c r="S436" s="4" t="n">
        <x:v>0</x:v>
      </x:c>
      <x:c r="T436" s="1" t="str">
        <x:v>NOT_REVEALING</x:v>
      </x:c>
      <x:c r="U436" s="1" t="str">
        <x:v>JacksonDatabind_43</x:v>
      </x:c>
      <x:c r="V436" s="6" t="n">
        <x:v>68.59</x:v>
      </x:c>
    </x:row>
    <x:row r="437" ht="22" customHeight="1">
      <x:c r="A437" s="1" t="str">
        <x:v>Round1</x:v>
      </x:c>
      <x:c r="B437" s="1" t="str">
        <x:v>JacksonDatabind</x:v>
      </x:c>
      <x:c r="C437" s="4" t="n">
        <x:v>44</x:v>
      </x:c>
      <x:c r="D437" s="4" t="n">
        <x:v>0</x:v>
      </x:c>
      <x:c r="E437" s="4" t="n">
        <x:v>60</x:v>
      </x:c>
      <x:c r="F437" s="4" t="n">
        <x:v>1</x:v>
      </x:c>
      <x:c r="G437" s="5" t="n">
        <x:v>0</x:v>
      </x:c>
      <x:c r="H437" s="5" t="n">
        <x:v>0</x:v>
      </x:c>
      <x:c r="I437" s="5" t="n">
        <x:v>0</x:v>
      </x:c>
      <x:c r="J437" s="4" t="n">
        <x:v>111</x:v>
      </x:c>
      <x:c r="K437" s="4" t="n">
        <x:v>0</x:v>
      </x:c>
      <x:c r="L437" s="4" t="n">
        <x:v>75</x:v>
      </x:c>
      <x:c r="M437" s="4" t="n">
        <x:v>0</x:v>
      </x:c>
      <x:c r="N437" s="4" t="n">
        <x:v>36</x:v>
      </x:c>
      <x:c r="O437" s="4" t="n">
        <x:v>0</x:v>
      </x:c>
      <x:c r="P437" s="1" t="str">
        <x:v>PASS</x:v>
      </x:c>
      <x:c r="Q437" s="4" t="n">
        <x:v>0</x:v>
      </x:c>
      <x:c r="R437" s="1" t="str">
        <x:v>PASS</x:v>
      </x:c>
      <x:c r="S437" s="4" t="n">
        <x:v>0</x:v>
      </x:c>
      <x:c r="T437" s="1" t="str">
        <x:v>NOT_REVEALING</x:v>
      </x:c>
      <x:c r="U437" s="1" t="str">
        <x:v>JacksonDatabind_44</x:v>
      </x:c>
      <x:c r="V437" s="6" t="n">
        <x:v>63.1</x:v>
      </x:c>
    </x:row>
    <x:row r="438" ht="22" customHeight="1">
      <x:c r="A438" s="1" t="str">
        <x:v>Round1</x:v>
      </x:c>
      <x:c r="B438" s="1" t="str">
        <x:v>JacksonDatabind</x:v>
      </x:c>
      <x:c r="C438" s="4" t="n">
        <x:v>45</x:v>
      </x:c>
      <x:c r="D438" s="4" t="n">
        <x:v>0</x:v>
      </x:c>
      <x:c r="E438" s="4" t="n">
        <x:v>60</x:v>
      </x:c>
      <x:c r="F438" s="4" t="n">
        <x:v>1</x:v>
      </x:c>
      <x:c r="G438" s="5" t="n">
        <x:v>0</x:v>
      </x:c>
      <x:c r="H438" s="5" t="n">
        <x:v>0</x:v>
      </x:c>
      <x:c r="I438" s="5" t="n">
        <x:v>0</x:v>
      </x:c>
      <x:c r="J438" s="4" t="n">
        <x:v>72</x:v>
      </x:c>
      <x:c r="K438" s="4" t="n">
        <x:v>0</x:v>
      </x:c>
      <x:c r="L438" s="4" t="n">
        <x:v>40</x:v>
      </x:c>
      <x:c r="M438" s="4" t="n">
        <x:v>0</x:v>
      </x:c>
      <x:c r="N438" s="4" t="n">
        <x:v>32</x:v>
      </x:c>
      <x:c r="O438" s="4" t="n">
        <x:v>0</x:v>
      </x:c>
      <x:c r="P438" s="1" t="str">
        <x:v>PASS</x:v>
      </x:c>
      <x:c r="Q438" s="4" t="n">
        <x:v>0</x:v>
      </x:c>
      <x:c r="R438" s="1" t="str">
        <x:v>PASS</x:v>
      </x:c>
      <x:c r="S438" s="4" t="n">
        <x:v>0</x:v>
      </x:c>
      <x:c r="T438" s="1" t="str">
        <x:v>NOT_REVEALING</x:v>
      </x:c>
      <x:c r="U438" s="1" t="str">
        <x:v>JacksonDatabind_45</x:v>
      </x:c>
      <x:c r="V438" s="6" t="n">
        <x:v>65.23</x:v>
      </x:c>
    </x:row>
    <x:row r="439" ht="22" customHeight="1">
      <x:c r="A439" s="1" t="str">
        <x:v>Round1</x:v>
      </x:c>
      <x:c r="B439" s="1" t="str">
        <x:v>JacksonDatabind</x:v>
      </x:c>
      <x:c r="C439" s="4" t="n">
        <x:v>46</x:v>
      </x:c>
      <x:c r="D439" s="4" t="n">
        <x:v>0</x:v>
      </x:c>
      <x:c r="E439" s="4" t="n">
        <x:v>60</x:v>
      </x:c>
      <x:c r="F439" s="4" t="n">
        <x:v>1</x:v>
      </x:c>
      <x:c r="G439" s="5" t="n">
        <x:v>0</x:v>
      </x:c>
      <x:c r="H439" s="5" t="n">
        <x:v>0</x:v>
      </x:c>
      <x:c r="I439" s="5" t="n">
        <x:v>0</x:v>
      </x:c>
      <x:c r="J439" s="4" t="n">
        <x:v>74</x:v>
      </x:c>
      <x:c r="K439" s="4" t="n">
        <x:v>0</x:v>
      </x:c>
      <x:c r="L439" s="4" t="n">
        <x:v>52</x:v>
      </x:c>
      <x:c r="M439" s="4" t="n">
        <x:v>0</x:v>
      </x:c>
      <x:c r="N439" s="4" t="n">
        <x:v>22</x:v>
      </x:c>
      <x:c r="O439" s="4" t="n">
        <x:v>0</x:v>
      </x:c>
      <x:c r="P439" s="1" t="str">
        <x:v>PASS</x:v>
      </x:c>
      <x:c r="Q439" s="4" t="n">
        <x:v>0</x:v>
      </x:c>
      <x:c r="R439" s="1" t="str">
        <x:v>PASS</x:v>
      </x:c>
      <x:c r="S439" s="4" t="n">
        <x:v>0</x:v>
      </x:c>
      <x:c r="T439" s="1" t="str">
        <x:v>NOT_REVEALING</x:v>
      </x:c>
      <x:c r="U439" s="1" t="str">
        <x:v>JacksonDatabind_46</x:v>
      </x:c>
      <x:c r="V439" s="6" t="n">
        <x:v>64.97</x:v>
      </x:c>
    </x:row>
    <x:row r="440" ht="22" customHeight="1">
      <x:c r="A440" s="1" t="str">
        <x:v>Round1</x:v>
      </x:c>
      <x:c r="B440" s="1" t="str">
        <x:v>JacksonDatabind</x:v>
      </x:c>
      <x:c r="C440" s="4" t="n">
        <x:v>47</x:v>
      </x:c>
      <x:c r="D440" s="4" t="n">
        <x:v>0</x:v>
      </x:c>
      <x:c r="E440" s="4" t="n">
        <x:v>60</x:v>
      </x:c>
      <x:c r="F440" s="4" t="n">
        <x:v>0</x:v>
      </x:c>
      <x:c r="G440" s="5"/>
      <x:c r="H440" s="5"/>
      <x:c r="I440" s="5"/>
      <x:c r="J440" s="4" t="n">
        <x:v>0</x:v>
      </x:c>
      <x:c r="K440" s="4" t="n">
        <x:v>0</x:v>
      </x:c>
      <x:c r="L440" s="4" t="n">
        <x:v>0</x:v>
      </x:c>
      <x:c r="M440" s="4" t="n">
        <x:v>0</x:v>
      </x:c>
      <x:c r="N440" s="4" t="n">
        <x:v>0</x:v>
      </x:c>
      <x:c r="O440" s="4" t="n">
        <x:v>0</x:v>
      </x:c>
      <x:c r="P440" s="1" t="str">
        <x:v>NOT_RUN</x:v>
      </x:c>
      <x:c r="Q440" s="4"/>
      <x:c r="R440" s="1" t="str">
        <x:v>NOT_RUN</x:v>
      </x:c>
      <x:c r="S440" s="4"/>
      <x:c r="T440" s="1" t="str">
        <x:v>FAIL</x:v>
      </x:c>
      <x:c r="U440" s="1" t="str">
        <x:v>JacksonDatabind_47</x:v>
      </x:c>
      <x:c r="V440" s="6"/>
    </x:row>
    <x:row r="441" ht="22" customHeight="1">
      <x:c r="A441" s="1" t="str">
        <x:v>Round1</x:v>
      </x:c>
      <x:c r="B441" s="1" t="str">
        <x:v>JacksonDatabind</x:v>
      </x:c>
      <x:c r="C441" s="4" t="n">
        <x:v>48</x:v>
      </x:c>
      <x:c r="D441" s="4" t="n">
        <x:v>0</x:v>
      </x:c>
      <x:c r="E441" s="4" t="n">
        <x:v>60</x:v>
      </x:c>
      <x:c r="F441" s="4" t="n">
        <x:v>2403</x:v>
      </x:c>
      <x:c r="G441" s="5" t="n">
        <x:v>0.5249</x:v>
      </x:c>
      <x:c r="H441" s="5" t="n">
        <x:v>0.5747</x:v>
      </x:c>
      <x:c r="I441" s="5" t="n">
        <x:v>0.41340000000000005</x:v>
      </x:c>
      <x:c r="J441" s="4" t="n">
        <x:v>823</x:v>
      </x:c>
      <x:c r="K441" s="4" t="n">
        <x:v>432</x:v>
      </x:c>
      <x:c r="L441" s="4" t="n">
        <x:v>569</x:v>
      </x:c>
      <x:c r="M441" s="4" t="n">
        <x:v>327</x:v>
      </x:c>
      <x:c r="N441" s="4" t="n">
        <x:v>254</x:v>
      </x:c>
      <x:c r="O441" s="4" t="n">
        <x:v>105</x:v>
      </x:c>
      <x:c r="P441" s="1" t="str">
        <x:v>PASS</x:v>
      </x:c>
      <x:c r="Q441" s="4" t="n">
        <x:v>0</x:v>
      </x:c>
      <x:c r="R441" s="1" t="str">
        <x:v>PASS</x:v>
      </x:c>
      <x:c r="S441" s="4" t="n">
        <x:v>0</x:v>
      </x:c>
      <x:c r="T441" s="1" t="str">
        <x:v>NOT_REVEALING</x:v>
      </x:c>
      <x:c r="U441" s="1" t="str">
        <x:v>JacksonDatabind_48</x:v>
      </x:c>
      <x:c r="V441" s="6" t="n">
        <x:v>98.28</x:v>
      </x:c>
    </x:row>
    <x:row r="442" ht="22" customHeight="1">
      <x:c r="A442" s="1" t="str">
        <x:v>Round1</x:v>
      </x:c>
      <x:c r="B442" s="1" t="str">
        <x:v>JacksonDatabind</x:v>
      </x:c>
      <x:c r="C442" s="4" t="n">
        <x:v>49</x:v>
      </x:c>
      <x:c r="D442" s="4" t="n">
        <x:v>0</x:v>
      </x:c>
      <x:c r="E442" s="4" t="n">
        <x:v>60</x:v>
      </x:c>
      <x:c r="F442" s="4" t="n">
        <x:v>1</x:v>
      </x:c>
      <x:c r="G442" s="5" t="n">
        <x:v>0</x:v>
      </x:c>
      <x:c r="H442" s="5" t="n">
        <x:v>0</x:v>
      </x:c>
      <x:c r="I442" s="5" t="n">
        <x:v>0</x:v>
      </x:c>
      <x:c r="J442" s="4" t="n">
        <x:v>33</x:v>
      </x:c>
      <x:c r="K442" s="4" t="n">
        <x:v>0</x:v>
      </x:c>
      <x:c r="L442" s="4" t="n">
        <x:v>21</x:v>
      </x:c>
      <x:c r="M442" s="4" t="n">
        <x:v>0</x:v>
      </x:c>
      <x:c r="N442" s="4" t="n">
        <x:v>12</x:v>
      </x:c>
      <x:c r="O442" s="4" t="n">
        <x:v>0</x:v>
      </x:c>
      <x:c r="P442" s="1" t="str">
        <x:v>PASS</x:v>
      </x:c>
      <x:c r="Q442" s="4" t="n">
        <x:v>0</x:v>
      </x:c>
      <x:c r="R442" s="1" t="str">
        <x:v>PASS</x:v>
      </x:c>
      <x:c r="S442" s="4" t="n">
        <x:v>0</x:v>
      </x:c>
      <x:c r="T442" s="1" t="str">
        <x:v>NOT_REVEALING</x:v>
      </x:c>
      <x:c r="U442" s="1" t="str">
        <x:v>JacksonDatabind_49</x:v>
      </x:c>
      <x:c r="V442" s="6" t="n">
        <x:v>68.64</x:v>
      </x:c>
    </x:row>
    <x:row r="443" ht="22" customHeight="1">
      <x:c r="A443" s="1" t="str">
        <x:v>Round1</x:v>
      </x:c>
      <x:c r="B443" s="1" t="str">
        <x:v>JacksonDatabind</x:v>
      </x:c>
      <x:c r="C443" s="4" t="n">
        <x:v>50</x:v>
      </x:c>
      <x:c r="D443" s="4" t="n">
        <x:v>0</x:v>
      </x:c>
      <x:c r="E443" s="4" t="n">
        <x:v>60</x:v>
      </x:c>
      <x:c r="F443" s="4" t="n">
        <x:v>42</x:v>
      </x:c>
      <x:c r="G443" s="5" t="n">
        <x:v>0.0109</x:v>
      </x:c>
      <x:c r="H443" s="5" t="n">
        <x:v>0.017</x:v>
      </x:c>
      <x:c r="I443" s="5" t="n">
        <x:v>0</x:v>
      </x:c>
      <x:c r="J443" s="4" t="n">
        <x:v>642</x:v>
      </x:c>
      <x:c r="K443" s="4" t="n">
        <x:v>7</x:v>
      </x:c>
      <x:c r="L443" s="4" t="n">
        <x:v>411</x:v>
      </x:c>
      <x:c r="M443" s="4" t="n">
        <x:v>7</x:v>
      </x:c>
      <x:c r="N443" s="4" t="n">
        <x:v>231</x:v>
      </x:c>
      <x:c r="O443" s="4" t="n">
        <x:v>0</x:v>
      </x:c>
      <x:c r="P443" s="1" t="str">
        <x:v>PASS</x:v>
      </x:c>
      <x:c r="Q443" s="4" t="n">
        <x:v>0</x:v>
      </x:c>
      <x:c r="R443" s="1" t="str">
        <x:v>PASS</x:v>
      </x:c>
      <x:c r="S443" s="4" t="n">
        <x:v>0</x:v>
      </x:c>
      <x:c r="T443" s="1" t="str">
        <x:v>NOT_REVEALING</x:v>
      </x:c>
      <x:c r="U443" s="1" t="str">
        <x:v>JacksonDatabind_50</x:v>
      </x:c>
      <x:c r="V443" s="6" t="n">
        <x:v>73.65</x:v>
      </x:c>
    </x:row>
    <x:row r="444" ht="22" customHeight="1">
      <x:c r="A444" s="1" t="str">
        <x:v>Round1</x:v>
      </x:c>
      <x:c r="B444" s="1" t="str">
        <x:v>JacksonDatabind</x:v>
      </x:c>
      <x:c r="C444" s="4" t="n">
        <x:v>51</x:v>
      </x:c>
      <x:c r="D444" s="4" t="n">
        <x:v>0</x:v>
      </x:c>
      <x:c r="E444" s="4" t="n">
        <x:v>60</x:v>
      </x:c>
      <x:c r="F444" s="4" t="n">
        <x:v>2</x:v>
      </x:c>
      <x:c r="G444" s="5" t="n">
        <x:v>0</x:v>
      </x:c>
      <x:c r="H444" s="5" t="n">
        <x:v>0</x:v>
      </x:c>
      <x:c r="I444" s="5" t="n">
        <x:v>0</x:v>
      </x:c>
      <x:c r="J444" s="4" t="n">
        <x:v>108</x:v>
      </x:c>
      <x:c r="K444" s="4" t="n">
        <x:v>0</x:v>
      </x:c>
      <x:c r="L444" s="4" t="n">
        <x:v>74</x:v>
      </x:c>
      <x:c r="M444" s="4" t="n">
        <x:v>0</x:v>
      </x:c>
      <x:c r="N444" s="4" t="n">
        <x:v>34</x:v>
      </x:c>
      <x:c r="O444" s="4" t="n">
        <x:v>0</x:v>
      </x:c>
      <x:c r="P444" s="1" t="str">
        <x:v>PASS</x:v>
      </x:c>
      <x:c r="Q444" s="4" t="n">
        <x:v>0</x:v>
      </x:c>
      <x:c r="R444" s="1" t="str">
        <x:v>PASS</x:v>
      </x:c>
      <x:c r="S444" s="4" t="n">
        <x:v>0</x:v>
      </x:c>
      <x:c r="T444" s="1" t="str">
        <x:v>NOT_REVEALING</x:v>
      </x:c>
      <x:c r="U444" s="1" t="str">
        <x:v>JacksonDatabind_51</x:v>
      </x:c>
      <x:c r="V444" s="6" t="n">
        <x:v>73.16</x:v>
      </x:c>
    </x:row>
    <x:row r="445" ht="22" customHeight="1">
      <x:c r="A445" s="1" t="str">
        <x:v>Round1</x:v>
      </x:c>
      <x:c r="B445" s="1" t="str">
        <x:v>JacksonDatabind</x:v>
      </x:c>
      <x:c r="C445" s="4" t="n">
        <x:v>52</x:v>
      </x:c>
      <x:c r="D445" s="4" t="n">
        <x:v>0</x:v>
      </x:c>
      <x:c r="E445" s="4" t="n">
        <x:v>60</x:v>
      </x:c>
      <x:c r="F445" s="4" t="n">
        <x:v>3143</x:v>
      </x:c>
      <x:c r="G445" s="5" t="n">
        <x:v>0.035</x:v>
      </x:c>
      <x:c r="H445" s="5" t="n">
        <x:v>0.0501</x:v>
      </x:c>
      <x:c r="I445" s="5" t="n">
        <x:v>0.0092</x:v>
      </x:c>
      <x:c r="J445" s="4" t="n">
        <x:v>1173</x:v>
      </x:c>
      <x:c r="K445" s="4" t="n">
        <x:v>41</x:v>
      </x:c>
      <x:c r="L445" s="4" t="n">
        <x:v>738</x:v>
      </x:c>
      <x:c r="M445" s="4" t="n">
        <x:v>37</x:v>
      </x:c>
      <x:c r="N445" s="4" t="n">
        <x:v>435</x:v>
      </x:c>
      <x:c r="O445" s="4" t="n">
        <x:v>4</x:v>
      </x:c>
      <x:c r="P445" s="1" t="str">
        <x:v>PASS</x:v>
      </x:c>
      <x:c r="Q445" s="4" t="n">
        <x:v>0</x:v>
      </x:c>
      <x:c r="R445" s="1" t="str">
        <x:v>PASS</x:v>
      </x:c>
      <x:c r="S445" s="4" t="n">
        <x:v>0</x:v>
      </x:c>
      <x:c r="T445" s="1" t="str">
        <x:v>NOT_REVEALING</x:v>
      </x:c>
      <x:c r="U445" s="1" t="str">
        <x:v>JacksonDatabind_52</x:v>
      </x:c>
      <x:c r="V445" s="6" t="n">
        <x:v>122.63</x:v>
      </x:c>
    </x:row>
    <x:row r="446" ht="22" customHeight="1">
      <x:c r="A446" s="1" t="str">
        <x:v>Round1</x:v>
      </x:c>
      <x:c r="B446" s="1" t="str">
        <x:v>JacksonDatabind</x:v>
      </x:c>
      <x:c r="C446" s="4" t="n">
        <x:v>53</x:v>
      </x:c>
      <x:c r="D446" s="4" t="n">
        <x:v>0</x:v>
      </x:c>
      <x:c r="E446" s="4" t="n">
        <x:v>60</x:v>
      </x:c>
      <x:c r="F446" s="4" t="n">
        <x:v>677</x:v>
      </x:c>
      <x:c r="G446" s="5" t="n">
        <x:v>0.3502</x:v>
      </x:c>
      <x:c r="H446" s="5" t="n">
        <x:v>0.40399999999999997</x:v>
      </x:c>
      <x:c r="I446" s="5" t="n">
        <x:v>0.2717</x:v>
      </x:c>
      <x:c r="J446" s="4" t="n">
        <x:v>851</x:v>
      </x:c>
      <x:c r="K446" s="4" t="n">
        <x:v>298</x:v>
      </x:c>
      <x:c r="L446" s="4" t="n">
        <x:v>505</x:v>
      </x:c>
      <x:c r="M446" s="4" t="n">
        <x:v>204</x:v>
      </x:c>
      <x:c r="N446" s="4" t="n">
        <x:v>346</x:v>
      </x:c>
      <x:c r="O446" s="4" t="n">
        <x:v>94</x:v>
      </x:c>
      <x:c r="P446" s="1" t="str">
        <x:v>PASS</x:v>
      </x:c>
      <x:c r="Q446" s="4" t="n">
        <x:v>0</x:v>
      </x:c>
      <x:c r="R446" s="1" t="str">
        <x:v>NOT_RUN</x:v>
      </x:c>
      <x:c r="S446" s="4"/>
      <x:c r="T446" s="1" t="str">
        <x:v>NOT_AVAILABLE</x:v>
      </x:c>
      <x:c r="U446" s="1" t="str">
        <x:v>JacksonDatabind_53</x:v>
      </x:c>
      <x:c r="V446" s="6" t="n">
        <x:v>80.37</x:v>
      </x:c>
    </x:row>
    <x:row r="447" ht="22" customHeight="1">
      <x:c r="A447" s="1" t="str">
        <x:v>Round1</x:v>
      </x:c>
      <x:c r="B447" s="1" t="str">
        <x:v>JacksonDatabind</x:v>
      </x:c>
      <x:c r="C447" s="4" t="n">
        <x:v>54</x:v>
      </x:c>
      <x:c r="D447" s="4" t="n">
        <x:v>0</x:v>
      </x:c>
      <x:c r="E447" s="4" t="n">
        <x:v>60</x:v>
      </x:c>
      <x:c r="F447" s="4" t="n">
        <x:v>2</x:v>
      </x:c>
      <x:c r="G447" s="5" t="n">
        <x:v>0.0366</x:v>
      </x:c>
      <x:c r="H447" s="5" t="n">
        <x:v>0.061900000000000004</x:v>
      </x:c>
      <x:c r="I447" s="5" t="n">
        <x:v>0</x:v>
      </x:c>
      <x:c r="J447" s="4" t="n">
        <x:v>164</x:v>
      </x:c>
      <x:c r="K447" s="4" t="n">
        <x:v>6</x:v>
      </x:c>
      <x:c r="L447" s="4" t="n">
        <x:v>97</x:v>
      </x:c>
      <x:c r="M447" s="4" t="n">
        <x:v>6</x:v>
      </x:c>
      <x:c r="N447" s="4" t="n">
        <x:v>67</x:v>
      </x:c>
      <x:c r="O447" s="4" t="n">
        <x:v>0</x:v>
      </x:c>
      <x:c r="P447" s="1" t="str">
        <x:v>PASS</x:v>
      </x:c>
      <x:c r="Q447" s="4" t="n">
        <x:v>0</x:v>
      </x:c>
      <x:c r="R447" s="1" t="str">
        <x:v>PASS</x:v>
      </x:c>
      <x:c r="S447" s="4" t="n">
        <x:v>0</x:v>
      </x:c>
      <x:c r="T447" s="1" t="str">
        <x:v>NOT_REVEALING</x:v>
      </x:c>
      <x:c r="U447" s="1" t="str">
        <x:v>JacksonDatabind_54</x:v>
      </x:c>
      <x:c r="V447" s="6" t="n">
        <x:v>72.31</x:v>
      </x:c>
    </x:row>
    <x:row r="448" ht="22" customHeight="1">
      <x:c r="A448" s="1" t="str">
        <x:v>Round1</x:v>
      </x:c>
      <x:c r="B448" s="1" t="str">
        <x:v>JacksonDatabind</x:v>
      </x:c>
      <x:c r="C448" s="4" t="n">
        <x:v>55</x:v>
      </x:c>
      <x:c r="D448" s="4" t="n">
        <x:v>0</x:v>
      </x:c>
      <x:c r="E448" s="4" t="n">
        <x:v>60</x:v>
      </x:c>
      <x:c r="F448" s="4" t="n">
        <x:v>166</x:v>
      </x:c>
      <x:c r="G448" s="5" t="n">
        <x:v>0.1837</x:v>
      </x:c>
      <x:c r="H448" s="5" t="n">
        <x:v>0.2787</x:v>
      </x:c>
      <x:c r="I448" s="5" t="n">
        <x:v>0.027000000000000003</x:v>
      </x:c>
      <x:c r="J448" s="4" t="n">
        <x:v>98</x:v>
      </x:c>
      <x:c r="K448" s="4" t="n">
        <x:v>18</x:v>
      </x:c>
      <x:c r="L448" s="4" t="n">
        <x:v>61</x:v>
      </x:c>
      <x:c r="M448" s="4" t="n">
        <x:v>17</x:v>
      </x:c>
      <x:c r="N448" s="4" t="n">
        <x:v>37</x:v>
      </x:c>
      <x:c r="O448" s="4" t="n">
        <x:v>1</x:v>
      </x:c>
      <x:c r="P448" s="1" t="str">
        <x:v>PASS</x:v>
      </x:c>
      <x:c r="Q448" s="4" t="n">
        <x:v>0</x:v>
      </x:c>
      <x:c r="R448" s="1" t="str">
        <x:v>PASS</x:v>
      </x:c>
      <x:c r="S448" s="4" t="n">
        <x:v>0</x:v>
      </x:c>
      <x:c r="T448" s="1" t="str">
        <x:v>NOT_REVEALING</x:v>
      </x:c>
      <x:c r="U448" s="1" t="str">
        <x:v>JacksonDatabind_55</x:v>
      </x:c>
      <x:c r="V448" s="6" t="n">
        <x:v>74.25</x:v>
      </x:c>
    </x:row>
    <x:row r="449" ht="22" customHeight="1">
      <x:c r="A449" s="1" t="str">
        <x:v>Round1</x:v>
      </x:c>
      <x:c r="B449" s="1" t="str">
        <x:v>JacksonDatabind</x:v>
      </x:c>
      <x:c r="C449" s="4" t="n">
        <x:v>56</x:v>
      </x:c>
      <x:c r="D449" s="4" t="n">
        <x:v>0</x:v>
      </x:c>
      <x:c r="E449" s="4" t="n">
        <x:v>60</x:v>
      </x:c>
      <x:c r="F449" s="4" t="n">
        <x:v>14</x:v>
      </x:c>
      <x:c r="G449" s="5" t="n">
        <x:v>0.0052</x:v>
      </x:c>
      <x:c r="H449" s="5" t="n">
        <x:v>0.0089</x:v>
      </x:c>
      <x:c r="I449" s="5" t="n">
        <x:v>0</x:v>
      </x:c>
      <x:c r="J449" s="4" t="n">
        <x:v>193</x:v>
      </x:c>
      <x:c r="K449" s="4" t="n">
        <x:v>1</x:v>
      </x:c>
      <x:c r="L449" s="4" t="n">
        <x:v>112</x:v>
      </x:c>
      <x:c r="M449" s="4" t="n">
        <x:v>1</x:v>
      </x:c>
      <x:c r="N449" s="4" t="n">
        <x:v>81</x:v>
      </x:c>
      <x:c r="O449" s="4" t="n">
        <x:v>0</x:v>
      </x:c>
      <x:c r="P449" s="1" t="str">
        <x:v>PASS</x:v>
      </x:c>
      <x:c r="Q449" s="4" t="n">
        <x:v>0</x:v>
      </x:c>
      <x:c r="R449" s="1" t="str">
        <x:v>PASS</x:v>
      </x:c>
      <x:c r="S449" s="4" t="n">
        <x:v>0</x:v>
      </x:c>
      <x:c r="T449" s="1" t="str">
        <x:v>NOT_REVEALING</x:v>
      </x:c>
      <x:c r="U449" s="1" t="str">
        <x:v>JacksonDatabind_56</x:v>
      </x:c>
      <x:c r="V449" s="6" t="n">
        <x:v>71.99</x:v>
      </x:c>
    </x:row>
    <x:row r="450" ht="22" customHeight="1">
      <x:c r="A450" s="1" t="str">
        <x:v>Round1</x:v>
      </x:c>
      <x:c r="B450" s="1" t="str">
        <x:v>JacksonDatabind</x:v>
      </x:c>
      <x:c r="C450" s="4" t="n">
        <x:v>57</x:v>
      </x:c>
      <x:c r="D450" s="4" t="n">
        <x:v>0</x:v>
      </x:c>
      <x:c r="E450" s="4" t="n">
        <x:v>60</x:v>
      </x:c>
      <x:c r="F450" s="4" t="n">
        <x:v>88</x:v>
      </x:c>
      <x:c r="G450" s="5" t="n">
        <x:v>0.026600000000000002</x:v>
      </x:c>
      <x:c r="H450" s="5" t="n">
        <x:v>0.0368</x:v>
      </x:c>
      <x:c r="I450" s="5" t="n">
        <x:v>0</x:v>
      </x:c>
      <x:c r="J450" s="4" t="n">
        <x:v>564</x:v>
      </x:c>
      <x:c r="K450" s="4" t="n">
        <x:v>15</x:v>
      </x:c>
      <x:c r="L450" s="4" t="n">
        <x:v>408</x:v>
      </x:c>
      <x:c r="M450" s="4" t="n">
        <x:v>15</x:v>
      </x:c>
      <x:c r="N450" s="4" t="n">
        <x:v>156</x:v>
      </x:c>
      <x:c r="O450" s="4" t="n">
        <x:v>0</x:v>
      </x:c>
      <x:c r="P450" s="1" t="str">
        <x:v>PASS</x:v>
      </x:c>
      <x:c r="Q450" s="4" t="n">
        <x:v>0</x:v>
      </x:c>
      <x:c r="R450" s="1" t="str">
        <x:v>PASS</x:v>
      </x:c>
      <x:c r="S450" s="4" t="n">
        <x:v>0</x:v>
      </x:c>
      <x:c r="T450" s="1" t="str">
        <x:v>NOT_REVEALING</x:v>
      </x:c>
      <x:c r="U450" s="1" t="str">
        <x:v>JacksonDatabind_57</x:v>
      </x:c>
      <x:c r="V450" s="6" t="n">
        <x:v>74.73</x:v>
      </x:c>
    </x:row>
    <x:row r="451" ht="22" customHeight="1">
      <x:c r="A451" s="1" t="str">
        <x:v>Round1</x:v>
      </x:c>
      <x:c r="B451" s="1" t="str">
        <x:v>JacksonDatabind</x:v>
      </x:c>
      <x:c r="C451" s="4" t="n">
        <x:v>58</x:v>
      </x:c>
      <x:c r="D451" s="4" t="n">
        <x:v>0</x:v>
      </x:c>
      <x:c r="E451" s="4" t="n">
        <x:v>60</x:v>
      </x:c>
      <x:c r="F451" s="4" t="n">
        <x:v>2777</x:v>
      </x:c>
      <x:c r="G451" s="5" t="n">
        <x:v>0.0677</x:v>
      </x:c>
      <x:c r="H451" s="5" t="n">
        <x:v>0.0935</x:v>
      </x:c>
      <x:c r="I451" s="5" t="n">
        <x:v>0.0255</x:v>
      </x:c>
      <x:c r="J451" s="4" t="n">
        <x:v>517</x:v>
      </x:c>
      <x:c r="K451" s="4" t="n">
        <x:v>35</x:v>
      </x:c>
      <x:c r="L451" s="4" t="n">
        <x:v>321</x:v>
      </x:c>
      <x:c r="M451" s="4" t="n">
        <x:v>30</x:v>
      </x:c>
      <x:c r="N451" s="4" t="n">
        <x:v>196</x:v>
      </x:c>
      <x:c r="O451" s="4" t="n">
        <x:v>5</x:v>
      </x:c>
      <x:c r="P451" s="1" t="str">
        <x:v>PASS</x:v>
      </x:c>
      <x:c r="Q451" s="4" t="n">
        <x:v>0</x:v>
      </x:c>
      <x:c r="R451" s="1" t="str">
        <x:v>PASS</x:v>
      </x:c>
      <x:c r="S451" s="4" t="n">
        <x:v>0</x:v>
      </x:c>
      <x:c r="T451" s="1" t="str">
        <x:v>NOT_REVEALING</x:v>
      </x:c>
      <x:c r="U451" s="1" t="str">
        <x:v>JacksonDatabind_58</x:v>
      </x:c>
      <x:c r="V451" s="6" t="n">
        <x:v>123.33</x:v>
      </x:c>
    </x:row>
    <x:row r="452" ht="22" customHeight="1">
      <x:c r="A452" s="1" t="str">
        <x:v>Round1</x:v>
      </x:c>
      <x:c r="B452" s="1" t="str">
        <x:v>JacksonDatabind</x:v>
      </x:c>
      <x:c r="C452" s="4" t="n">
        <x:v>59</x:v>
      </x:c>
      <x:c r="D452" s="4" t="n">
        <x:v>0</x:v>
      </x:c>
      <x:c r="E452" s="4" t="n">
        <x:v>60</x:v>
      </x:c>
      <x:c r="F452" s="4" t="n">
        <x:v>164</x:v>
      </x:c>
      <x:c r="G452" s="5" t="n">
        <x:v>0.2327</x:v>
      </x:c>
      <x:c r="H452" s="5" t="n">
        <x:v>0.2905</x:v>
      </x:c>
      <x:c r="I452" s="5" t="n">
        <x:v>0.1278</x:v>
      </x:c>
      <x:c r="J452" s="4" t="n">
        <x:v>881</x:v>
      </x:c>
      <x:c r="K452" s="4" t="n">
        <x:v>205</x:v>
      </x:c>
      <x:c r="L452" s="4" t="n">
        <x:v>568</x:v>
      </x:c>
      <x:c r="M452" s="4" t="n">
        <x:v>165</x:v>
      </x:c>
      <x:c r="N452" s="4" t="n">
        <x:v>313</x:v>
      </x:c>
      <x:c r="O452" s="4" t="n">
        <x:v>40</x:v>
      </x:c>
      <x:c r="P452" s="1" t="str">
        <x:v>PASS</x:v>
      </x:c>
      <x:c r="Q452" s="4" t="n">
        <x:v>0</x:v>
      </x:c>
      <x:c r="R452" s="1" t="str">
        <x:v>PASS</x:v>
      </x:c>
      <x:c r="S452" s="4" t="n">
        <x:v>0</x:v>
      </x:c>
      <x:c r="T452" s="1" t="str">
        <x:v>NOT_REVEALING</x:v>
      </x:c>
      <x:c r="U452" s="1" t="str">
        <x:v>JacksonDatabind_59</x:v>
      </x:c>
      <x:c r="V452" s="6" t="n">
        <x:v>76.74</x:v>
      </x:c>
    </x:row>
    <x:row r="453" ht="22" customHeight="1">
      <x:c r="A453" s="1" t="str">
        <x:v>Round1</x:v>
      </x:c>
      <x:c r="B453" s="1" t="str">
        <x:v>JacksonDatabind</x:v>
      </x:c>
      <x:c r="C453" s="4" t="n">
        <x:v>60</x:v>
      </x:c>
      <x:c r="D453" s="4" t="n">
        <x:v>0</x:v>
      </x:c>
      <x:c r="E453" s="4" t="n">
        <x:v>60</x:v>
      </x:c>
      <x:c r="F453" s="4" t="n">
        <x:v>1</x:v>
      </x:c>
      <x:c r="G453" s="5" t="n">
        <x:v>0</x:v>
      </x:c>
      <x:c r="H453" s="5" t="n">
        <x:v>0</x:v>
      </x:c>
      <x:c r="I453" s="5" t="n">
        <x:v>0</x:v>
      </x:c>
      <x:c r="J453" s="4" t="n">
        <x:v>184</x:v>
      </x:c>
      <x:c r="K453" s="4" t="n">
        <x:v>0</x:v>
      </x:c>
      <x:c r="L453" s="4" t="n">
        <x:v>110</x:v>
      </x:c>
      <x:c r="M453" s="4" t="n">
        <x:v>0</x:v>
      </x:c>
      <x:c r="N453" s="4" t="n">
        <x:v>74</x:v>
      </x:c>
      <x:c r="O453" s="4" t="n">
        <x:v>0</x:v>
      </x:c>
      <x:c r="P453" s="1" t="str">
        <x:v>PASS</x:v>
      </x:c>
      <x:c r="Q453" s="4" t="n">
        <x:v>0</x:v>
      </x:c>
      <x:c r="R453" s="1" t="str">
        <x:v>PASS</x:v>
      </x:c>
      <x:c r="S453" s="4" t="n">
        <x:v>0</x:v>
      </x:c>
      <x:c r="T453" s="1" t="str">
        <x:v>NOT_REVEALING</x:v>
      </x:c>
      <x:c r="U453" s="1" t="str">
        <x:v>JacksonDatabind_60</x:v>
      </x:c>
      <x:c r="V453" s="6" t="n">
        <x:v>71.05</x:v>
      </x:c>
    </x:row>
    <x:row r="454" ht="22" customHeight="1">
      <x:c r="A454" s="1" t="str">
        <x:v>Round1</x:v>
      </x:c>
      <x:c r="B454" s="1" t="str">
        <x:v>JacksonDatabind</x:v>
      </x:c>
      <x:c r="C454" s="4" t="n">
        <x:v>61</x:v>
      </x:c>
      <x:c r="D454" s="4" t="n">
        <x:v>0</x:v>
      </x:c>
      <x:c r="E454" s="4" t="n">
        <x:v>60</x:v>
      </x:c>
      <x:c r="F454" s="4" t="n">
        <x:v>260</x:v>
      </x:c>
      <x:c r="G454" s="5" t="n">
        <x:v>0.35960000000000003</x:v>
      </x:c>
      <x:c r="H454" s="5" t="n">
        <x:v>0.40840000000000004</x:v>
      </x:c>
      <x:c r="I454" s="5" t="n">
        <x:v>0.2107</x:v>
      </x:c>
      <x:c r="J454" s="4" t="n">
        <x:v>979</x:v>
      </x:c>
      <x:c r="K454" s="4" t="n">
        <x:v>352</x:v>
      </x:c>
      <x:c r="L454" s="4" t="n">
        <x:v>737</x:v>
      </x:c>
      <x:c r="M454" s="4" t="n">
        <x:v>301</x:v>
      </x:c>
      <x:c r="N454" s="4" t="n">
        <x:v>242</x:v>
      </x:c>
      <x:c r="O454" s="4" t="n">
        <x:v>51</x:v>
      </x:c>
      <x:c r="P454" s="1" t="str">
        <x:v>FAIL</x:v>
      </x:c>
      <x:c r="Q454" s="4" t="n">
        <x:v>6</x:v>
      </x:c>
      <x:c r="R454" s="1" t="str">
        <x:v>FAIL</x:v>
      </x:c>
      <x:c r="S454" s="4" t="n">
        <x:v>14</x:v>
      </x:c>
      <x:c r="T454" s="1" t="str">
        <x:v>INCONCLUSIVE</x:v>
      </x:c>
      <x:c r="U454" s="1" t="str">
        <x:v>JacksonDatabind_61</x:v>
      </x:c>
      <x:c r="V454" s="6" t="n">
        <x:v>78.72</x:v>
      </x:c>
    </x:row>
    <x:row r="455" ht="22" customHeight="1">
      <x:c r="A455" s="1" t="str">
        <x:v>Round1</x:v>
      </x:c>
      <x:c r="B455" s="1" t="str">
        <x:v>JacksonDatabind</x:v>
      </x:c>
      <x:c r="C455" s="4" t="n">
        <x:v>62</x:v>
      </x:c>
      <x:c r="D455" s="4" t="n">
        <x:v>0</x:v>
      </x:c>
      <x:c r="E455" s="4" t="n">
        <x:v>60</x:v>
      </x:c>
      <x:c r="F455" s="4" t="n">
        <x:v>2614</x:v>
      </x:c>
      <x:c r="G455" s="5" t="n">
        <x:v>0.2736</x:v>
      </x:c>
      <x:c r="H455" s="5" t="n">
        <x:v>0.3053</x:v>
      </x:c>
      <x:c r="I455" s="5" t="n">
        <x:v>0.2143</x:v>
      </x:c>
      <x:c r="J455" s="4" t="n">
        <x:v>201</x:v>
      </x:c>
      <x:c r="K455" s="4" t="n">
        <x:v>55</x:v>
      </x:c>
      <x:c r="L455" s="4" t="n">
        <x:v>131</x:v>
      </x:c>
      <x:c r="M455" s="4" t="n">
        <x:v>40</x:v>
      </x:c>
      <x:c r="N455" s="4" t="n">
        <x:v>70</x:v>
      </x:c>
      <x:c r="O455" s="4" t="n">
        <x:v>15</x:v>
      </x:c>
      <x:c r="P455" s="1" t="str">
        <x:v>PASS</x:v>
      </x:c>
      <x:c r="Q455" s="4" t="n">
        <x:v>0</x:v>
      </x:c>
      <x:c r="R455" s="1" t="str">
        <x:v>PASS</x:v>
      </x:c>
      <x:c r="S455" s="4" t="n">
        <x:v>0</x:v>
      </x:c>
      <x:c r="T455" s="1" t="str">
        <x:v>NOT_REVEALING</x:v>
      </x:c>
      <x:c r="U455" s="1" t="str">
        <x:v>JacksonDatabind_62</x:v>
      </x:c>
      <x:c r="V455" s="6" t="n">
        <x:v>109.71</x:v>
      </x:c>
    </x:row>
    <x:row r="456" ht="22" customHeight="1">
      <x:c r="A456" s="1" t="str">
        <x:v>Round1</x:v>
      </x:c>
      <x:c r="B456" s="1" t="str">
        <x:v>JacksonDatabind</x:v>
      </x:c>
      <x:c r="C456" s="4" t="n">
        <x:v>63</x:v>
      </x:c>
      <x:c r="D456" s="4" t="n">
        <x:v>0</x:v>
      </x:c>
      <x:c r="E456" s="4" t="n">
        <x:v>60</x:v>
      </x:c>
      <x:c r="F456" s="4" t="n">
        <x:v>3519</x:v>
      </x:c>
      <x:c r="G456" s="5" t="n">
        <x:v>0.8503000000000001</x:v>
      </x:c>
      <x:c r="H456" s="5" t="n">
        <x:v>0.9024</x:v>
      </x:c>
      <x:c r="I456" s="5" t="n">
        <x:v>0.7045</x:v>
      </x:c>
      <x:c r="J456" s="4" t="n">
        <x:v>167</x:v>
      </x:c>
      <x:c r="K456" s="4" t="n">
        <x:v>142</x:v>
      </x:c>
      <x:c r="L456" s="4" t="n">
        <x:v>123</x:v>
      </x:c>
      <x:c r="M456" s="4" t="n">
        <x:v>111</x:v>
      </x:c>
      <x:c r="N456" s="4" t="n">
        <x:v>44</x:v>
      </x:c>
      <x:c r="O456" s="4" t="n">
        <x:v>31</x:v>
      </x:c>
      <x:c r="P456" s="1" t="str">
        <x:v>PASS</x:v>
      </x:c>
      <x:c r="Q456" s="4" t="n">
        <x:v>0</x:v>
      </x:c>
      <x:c r="R456" s="1" t="str">
        <x:v>FAIL</x:v>
      </x:c>
      <x:c r="S456" s="4" t="n">
        <x:v>148</x:v>
      </x:c>
      <x:c r="T456" s="1" t="str">
        <x:v>INCONCLUSIVE</x:v>
      </x:c>
      <x:c r="U456" s="1" t="str">
        <x:v>JacksonDatabind_63</x:v>
      </x:c>
      <x:c r="V456" s="6" t="n">
        <x:v>97.38</x:v>
      </x:c>
    </x:row>
    <x:row r="457" ht="22" customHeight="1">
      <x:c r="A457" s="1" t="str">
        <x:v>Round1</x:v>
      </x:c>
      <x:c r="B457" s="1" t="str">
        <x:v>JacksonDatabind</x:v>
      </x:c>
      <x:c r="C457" s="4" t="n">
        <x:v>64</x:v>
      </x:c>
      <x:c r="D457" s="4" t="n">
        <x:v>0</x:v>
      </x:c>
      <x:c r="E457" s="4" t="n">
        <x:v>60</x:v>
      </x:c>
      <x:c r="F457" s="4" t="n">
        <x:v>2</x:v>
      </x:c>
      <x:c r="G457" s="5" t="n">
        <x:v>0.0337</x:v>
      </x:c>
      <x:c r="H457" s="5" t="n">
        <x:v>0.056100000000000004</x:v>
      </x:c>
      <x:c r="I457" s="5" t="n">
        <x:v>0</x:v>
      </x:c>
      <x:c r="J457" s="4" t="n">
        <x:v>178</x:v>
      </x:c>
      <x:c r="K457" s="4" t="n">
        <x:v>6</x:v>
      </x:c>
      <x:c r="L457" s="4" t="n">
        <x:v>107</x:v>
      </x:c>
      <x:c r="M457" s="4" t="n">
        <x:v>6</x:v>
      </x:c>
      <x:c r="N457" s="4" t="n">
        <x:v>71</x:v>
      </x:c>
      <x:c r="O457" s="4" t="n">
        <x:v>0</x:v>
      </x:c>
      <x:c r="P457" s="1" t="str">
        <x:v>PASS</x:v>
      </x:c>
      <x:c r="Q457" s="4" t="n">
        <x:v>0</x:v>
      </x:c>
      <x:c r="R457" s="1" t="str">
        <x:v>PASS</x:v>
      </x:c>
      <x:c r="S457" s="4" t="n">
        <x:v>0</x:v>
      </x:c>
      <x:c r="T457" s="1" t="str">
        <x:v>NOT_REVEALING</x:v>
      </x:c>
      <x:c r="U457" s="1" t="str">
        <x:v>JacksonDatabind_64</x:v>
      </x:c>
      <x:c r="V457" s="6" t="n">
        <x:v>72.25</x:v>
      </x:c>
    </x:row>
    <x:row r="458" ht="22" customHeight="1">
      <x:c r="A458" s="1" t="str">
        <x:v>Round1</x:v>
      </x:c>
      <x:c r="B458" s="1" t="str">
        <x:v>JacksonDatabind</x:v>
      </x:c>
      <x:c r="C458" s="4" t="n">
        <x:v>66</x:v>
      </x:c>
      <x:c r="D458" s="4" t="n">
        <x:v>0</x:v>
      </x:c>
      <x:c r="E458" s="4" t="n">
        <x:v>60</x:v>
      </x:c>
      <x:c r="F458" s="4" t="n">
        <x:v>19</x:v>
      </x:c>
      <x:c r="G458" s="5" t="n">
        <x:v>0.008</x:v>
      </x:c>
      <x:c r="H458" s="5" t="n">
        <x:v>0.0128</x:v>
      </x:c>
      <x:c r="I458" s="5" t="n">
        <x:v>0</x:v>
      </x:c>
      <x:c r="J458" s="4" t="n">
        <x:v>251</x:v>
      </x:c>
      <x:c r="K458" s="4" t="n">
        <x:v>2</x:v>
      </x:c>
      <x:c r="L458" s="4" t="n">
        <x:v>156</x:v>
      </x:c>
      <x:c r="M458" s="4" t="n">
        <x:v>2</x:v>
      </x:c>
      <x:c r="N458" s="4" t="n">
        <x:v>95</x:v>
      </x:c>
      <x:c r="O458" s="4" t="n">
        <x:v>0</x:v>
      </x:c>
      <x:c r="P458" s="1" t="str">
        <x:v>PASS</x:v>
      </x:c>
      <x:c r="Q458" s="4" t="n">
        <x:v>0</x:v>
      </x:c>
      <x:c r="R458" s="1" t="str">
        <x:v>PASS</x:v>
      </x:c>
      <x:c r="S458" s="4" t="n">
        <x:v>0</x:v>
      </x:c>
      <x:c r="T458" s="1" t="str">
        <x:v>NOT_REVEALING</x:v>
      </x:c>
      <x:c r="U458" s="1" t="str">
        <x:v>JacksonDatabind_66</x:v>
      </x:c>
      <x:c r="V458" s="6" t="n">
        <x:v>68.96</x:v>
      </x:c>
    </x:row>
    <x:row r="459" ht="22" customHeight="1">
      <x:c r="A459" s="1" t="str">
        <x:v>Round1</x:v>
      </x:c>
      <x:c r="B459" s="1" t="str">
        <x:v>JacksonDatabind</x:v>
      </x:c>
      <x:c r="C459" s="4" t="n">
        <x:v>67</x:v>
      </x:c>
      <x:c r="D459" s="4" t="n">
        <x:v>0</x:v>
      </x:c>
      <x:c r="E459" s="4" t="n">
        <x:v>60</x:v>
      </x:c>
      <x:c r="F459" s="4" t="n">
        <x:v>4</x:v>
      </x:c>
      <x:c r="G459" s="5" t="n">
        <x:v>0.0149</x:v>
      </x:c>
      <x:c r="H459" s="5" t="n">
        <x:v>0.0265</x:v>
      </x:c>
      <x:c r="I459" s="5" t="n">
        <x:v>0</x:v>
      </x:c>
      <x:c r="J459" s="4" t="n">
        <x:v>1405</x:v>
      </x:c>
      <x:c r="K459" s="4" t="n">
        <x:v>21</x:v>
      </x:c>
      <x:c r="L459" s="4" t="n">
        <x:v>793</x:v>
      </x:c>
      <x:c r="M459" s="4" t="n">
        <x:v>21</x:v>
      </x:c>
      <x:c r="N459" s="4" t="n">
        <x:v>612</x:v>
      </x:c>
      <x:c r="O459" s="4" t="n">
        <x:v>0</x:v>
      </x:c>
      <x:c r="P459" s="1" t="str">
        <x:v>PASS</x:v>
      </x:c>
      <x:c r="Q459" s="4" t="n">
        <x:v>0</x:v>
      </x:c>
      <x:c r="R459" s="1" t="str">
        <x:v>PASS</x:v>
      </x:c>
      <x:c r="S459" s="4" t="n">
        <x:v>0</x:v>
      </x:c>
      <x:c r="T459" s="1" t="str">
        <x:v>NOT_REVEALING</x:v>
      </x:c>
      <x:c r="U459" s="1" t="str">
        <x:v>JacksonDatabind_67</x:v>
      </x:c>
      <x:c r="V459" s="6" t="n">
        <x:v>73.27</x:v>
      </x:c>
    </x:row>
    <x:row r="460" ht="22" customHeight="1">
      <x:c r="A460" s="1" t="str">
        <x:v>Round1</x:v>
      </x:c>
      <x:c r="B460" s="1" t="str">
        <x:v>JacksonDatabind</x:v>
      </x:c>
      <x:c r="C460" s="4" t="n">
        <x:v>68</x:v>
      </x:c>
      <x:c r="D460" s="4" t="n">
        <x:v>0</x:v>
      </x:c>
      <x:c r="E460" s="4" t="n">
        <x:v>60</x:v>
      </x:c>
      <x:c r="F460" s="4" t="n">
        <x:v>2</x:v>
      </x:c>
      <x:c r="G460" s="5" t="n">
        <x:v>0.001</x:v>
      </x:c>
      <x:c r="H460" s="5" t="n">
        <x:v>0.0017000000000000001</x:v>
      </x:c>
      <x:c r="I460" s="5" t="n">
        <x:v>0</x:v>
      </x:c>
      <x:c r="J460" s="4" t="n">
        <x:v>961</x:v>
      </x:c>
      <x:c r="K460" s="4" t="n">
        <x:v>1</x:v>
      </x:c>
      <x:c r="L460" s="4" t="n">
        <x:v>592</x:v>
      </x:c>
      <x:c r="M460" s="4" t="n">
        <x:v>1</x:v>
      </x:c>
      <x:c r="N460" s="4" t="n">
        <x:v>369</x:v>
      </x:c>
      <x:c r="O460" s="4" t="n">
        <x:v>0</x:v>
      </x:c>
      <x:c r="P460" s="1" t="str">
        <x:v>PASS</x:v>
      </x:c>
      <x:c r="Q460" s="4" t="n">
        <x:v>0</x:v>
      </x:c>
      <x:c r="R460" s="1" t="str">
        <x:v>PASS</x:v>
      </x:c>
      <x:c r="S460" s="4" t="n">
        <x:v>0</x:v>
      </x:c>
      <x:c r="T460" s="1" t="str">
        <x:v>NOT_REVEALING</x:v>
      </x:c>
      <x:c r="U460" s="1" t="str">
        <x:v>JacksonDatabind_68</x:v>
      </x:c>
      <x:c r="V460" s="6" t="n">
        <x:v>72.9</x:v>
      </x:c>
    </x:row>
    <x:row r="461" ht="22" customHeight="1">
      <x:c r="A461" s="1" t="str">
        <x:v>Round1</x:v>
      </x:c>
      <x:c r="B461" s="1" t="str">
        <x:v>JacksonDatabind</x:v>
      </x:c>
      <x:c r="C461" s="4" t="n">
        <x:v>69</x:v>
      </x:c>
      <x:c r="D461" s="4" t="n">
        <x:v>0</x:v>
      </x:c>
      <x:c r="E461" s="4" t="n">
        <x:v>60</x:v>
      </x:c>
      <x:c r="F461" s="4" t="n">
        <x:v>4110</x:v>
      </x:c>
      <x:c r="G461" s="5" t="n">
        <x:v>0.08960000000000001</x:v>
      </x:c>
      <x:c r="H461" s="5" t="n">
        <x:v>0.1024</x:v>
      </x:c>
      <x:c r="I461" s="5" t="n">
        <x:v>0.0676</x:v>
      </x:c>
      <x:c r="J461" s="4" t="n">
        <x:v>201</x:v>
      </x:c>
      <x:c r="K461" s="4" t="n">
        <x:v>18</x:v>
      </x:c>
      <x:c r="L461" s="4" t="n">
        <x:v>127</x:v>
      </x:c>
      <x:c r="M461" s="4" t="n">
        <x:v>13</x:v>
      </x:c>
      <x:c r="N461" s="4" t="n">
        <x:v>74</x:v>
      </x:c>
      <x:c r="O461" s="4" t="n">
        <x:v>5</x:v>
      </x:c>
      <x:c r="P461" s="1" t="str">
        <x:v>PASS</x:v>
      </x:c>
      <x:c r="Q461" s="4" t="n">
        <x:v>0</x:v>
      </x:c>
      <x:c r="R461" s="1" t="str">
        <x:v>PASS</x:v>
      </x:c>
      <x:c r="S461" s="4" t="n">
        <x:v>0</x:v>
      </x:c>
      <x:c r="T461" s="1" t="str">
        <x:v>NOT_REVEALING</x:v>
      </x:c>
      <x:c r="U461" s="1" t="str">
        <x:v>JacksonDatabind_69</x:v>
      </x:c>
      <x:c r="V461" s="6" t="n">
        <x:v>94.91</x:v>
      </x:c>
    </x:row>
    <x:row r="462" ht="22" customHeight="1">
      <x:c r="A462" s="1" t="str">
        <x:v>Round1</x:v>
      </x:c>
      <x:c r="B462" s="1" t="str">
        <x:v>JacksonDatabind</x:v>
      </x:c>
      <x:c r="C462" s="4" t="n">
        <x:v>70</x:v>
      </x:c>
      <x:c r="D462" s="4" t="n">
        <x:v>0</x:v>
      </x:c>
      <x:c r="E462" s="4" t="n">
        <x:v>60</x:v>
      </x:c>
      <x:c r="F462" s="4" t="n">
        <x:v>2379</x:v>
      </x:c>
      <x:c r="G462" s="5" t="n">
        <x:v>0.3159</x:v>
      </x:c>
      <x:c r="H462" s="5" t="n">
        <x:v>0.36729999999999996</x:v>
      </x:c>
      <x:c r="I462" s="5" t="n">
        <x:v>0.23190000000000002</x:v>
      </x:c>
      <x:c r="J462" s="4" t="n">
        <x:v>364</x:v>
      </x:c>
      <x:c r="K462" s="4" t="n">
        <x:v>115</x:v>
      </x:c>
      <x:c r="L462" s="4" t="n">
        <x:v>226</x:v>
      </x:c>
      <x:c r="M462" s="4" t="n">
        <x:v>83</x:v>
      </x:c>
      <x:c r="N462" s="4" t="n">
        <x:v>138</x:v>
      </x:c>
      <x:c r="O462" s="4" t="n">
        <x:v>32</x:v>
      </x:c>
      <x:c r="P462" s="1" t="str">
        <x:v>PASS</x:v>
      </x:c>
      <x:c r="Q462" s="4" t="n">
        <x:v>0</x:v>
      </x:c>
      <x:c r="R462" s="1" t="str">
        <x:v>PASS</x:v>
      </x:c>
      <x:c r="S462" s="4" t="n">
        <x:v>0</x:v>
      </x:c>
      <x:c r="T462" s="1" t="str">
        <x:v>NOT_REVEALING</x:v>
      </x:c>
      <x:c r="U462" s="1" t="str">
        <x:v>JacksonDatabind_70</x:v>
      </x:c>
      <x:c r="V462" s="6" t="n">
        <x:v>119.13</x:v>
      </x:c>
    </x:row>
    <x:row r="463" ht="22" customHeight="1">
      <x:c r="A463" s="1" t="str">
        <x:v>Round1</x:v>
      </x:c>
      <x:c r="B463" s="1" t="str">
        <x:v>JacksonDatabind</x:v>
      </x:c>
      <x:c r="C463" s="4" t="n">
        <x:v>71</x:v>
      </x:c>
      <x:c r="D463" s="4" t="n">
        <x:v>0</x:v>
      </x:c>
      <x:c r="E463" s="4" t="n">
        <x:v>60</x:v>
      </x:c>
      <x:c r="F463" s="4" t="n">
        <x:v>19</x:v>
      </x:c>
      <x:c r="G463" s="5" t="n">
        <x:v>0.008199999999999999</x:v>
      </x:c>
      <x:c r="H463" s="5" t="n">
        <x:v>0.0134</x:v>
      </x:c>
      <x:c r="I463" s="5" t="n">
        <x:v>0</x:v>
      </x:c>
      <x:c r="J463" s="4" t="n">
        <x:v>244</x:v>
      </x:c>
      <x:c r="K463" s="4" t="n">
        <x:v>2</x:v>
      </x:c>
      <x:c r="L463" s="4" t="n">
        <x:v>149</x:v>
      </x:c>
      <x:c r="M463" s="4" t="n">
        <x:v>2</x:v>
      </x:c>
      <x:c r="N463" s="4" t="n">
        <x:v>95</x:v>
      </x:c>
      <x:c r="O463" s="4" t="n">
        <x:v>0</x:v>
      </x:c>
      <x:c r="P463" s="1" t="str">
        <x:v>PASS</x:v>
      </x:c>
      <x:c r="Q463" s="4" t="n">
        <x:v>0</x:v>
      </x:c>
      <x:c r="R463" s="1" t="str">
        <x:v>PASS</x:v>
      </x:c>
      <x:c r="S463" s="4" t="n">
        <x:v>0</x:v>
      </x:c>
      <x:c r="T463" s="1" t="str">
        <x:v>NOT_REVEALING</x:v>
      </x:c>
      <x:c r="U463" s="1" t="str">
        <x:v>JacksonDatabind_71</x:v>
      </x:c>
      <x:c r="V463" s="6" t="n">
        <x:v>70.82</x:v>
      </x:c>
    </x:row>
    <x:row r="464" ht="22" customHeight="1">
      <x:c r="A464" s="1" t="str">
        <x:v>Round1</x:v>
      </x:c>
      <x:c r="B464" s="1" t="str">
        <x:v>JacksonDatabind</x:v>
      </x:c>
      <x:c r="C464" s="4" t="n">
        <x:v>72</x:v>
      </x:c>
      <x:c r="D464" s="4" t="n">
        <x:v>0</x:v>
      </x:c>
      <x:c r="E464" s="4" t="n">
        <x:v>60</x:v>
      </x:c>
      <x:c r="F464" s="4" t="n">
        <x:v>5</x:v>
      </x:c>
      <x:c r="G464" s="5" t="n">
        <x:v>0.0351</x:v>
      </x:c>
      <x:c r="H464" s="5" t="n">
        <x:v>0.0426</x:v>
      </x:c>
      <x:c r="I464" s="5" t="n">
        <x:v>0</x:v>
      </x:c>
      <x:c r="J464" s="4" t="n">
        <x:v>57</x:v>
      </x:c>
      <x:c r="K464" s="4" t="n">
        <x:v>2</x:v>
      </x:c>
      <x:c r="L464" s="4" t="n">
        <x:v>47</x:v>
      </x:c>
      <x:c r="M464" s="4" t="n">
        <x:v>2</x:v>
      </x:c>
      <x:c r="N464" s="4" t="n">
        <x:v>10</x:v>
      </x:c>
      <x:c r="O464" s="4" t="n">
        <x:v>0</x:v>
      </x:c>
      <x:c r="P464" s="1" t="str">
        <x:v>PASS</x:v>
      </x:c>
      <x:c r="Q464" s="4" t="n">
        <x:v>0</x:v>
      </x:c>
      <x:c r="R464" s="1" t="str">
        <x:v>PASS</x:v>
      </x:c>
      <x:c r="S464" s="4" t="n">
        <x:v>0</x:v>
      </x:c>
      <x:c r="T464" s="1" t="str">
        <x:v>NOT_REVEALING</x:v>
      </x:c>
      <x:c r="U464" s="1" t="str">
        <x:v>JacksonDatabind_72</x:v>
      </x:c>
      <x:c r="V464" s="6" t="n">
        <x:v>72.17</x:v>
      </x:c>
    </x:row>
    <x:row r="465" ht="22" customHeight="1">
      <x:c r="A465" s="1" t="str">
        <x:v>Round1</x:v>
      </x:c>
      <x:c r="B465" s="1" t="str">
        <x:v>JacksonDatabind</x:v>
      </x:c>
      <x:c r="C465" s="4" t="n">
        <x:v>73</x:v>
      </x:c>
      <x:c r="D465" s="4" t="n">
        <x:v>0</x:v>
      </x:c>
      <x:c r="E465" s="4" t="n">
        <x:v>60</x:v>
      </x:c>
      <x:c r="F465" s="4" t="n">
        <x:v>3304</x:v>
      </x:c>
      <x:c r="G465" s="5" t="n">
        <x:v>0.0487</x:v>
      </x:c>
      <x:c r="H465" s="5" t="n">
        <x:v>0.0496</x:v>
      </x:c>
      <x:c r="I465" s="5" t="n">
        <x:v>0.0475</x:v>
      </x:c>
      <x:c r="J465" s="4" t="n">
        <x:v>1644</x:v>
      </x:c>
      <x:c r="K465" s="4" t="n">
        <x:v>80</x:v>
      </x:c>
      <x:c r="L465" s="4" t="n">
        <x:v>928</x:v>
      </x:c>
      <x:c r="M465" s="4" t="n">
        <x:v>46</x:v>
      </x:c>
      <x:c r="N465" s="4" t="n">
        <x:v>716</x:v>
      </x:c>
      <x:c r="O465" s="4" t="n">
        <x:v>34</x:v>
      </x:c>
      <x:c r="P465" s="1" t="str">
        <x:v>PASS</x:v>
      </x:c>
      <x:c r="Q465" s="4" t="n">
        <x:v>0</x:v>
      </x:c>
      <x:c r="R465" s="1" t="str">
        <x:v>PASS</x:v>
      </x:c>
      <x:c r="S465" s="4" t="n">
        <x:v>0</x:v>
      </x:c>
      <x:c r="T465" s="1" t="str">
        <x:v>NOT_REVEALING</x:v>
      </x:c>
      <x:c r="U465" s="1" t="str">
        <x:v>JacksonDatabind_73</x:v>
      </x:c>
      <x:c r="V465" s="6" t="n">
        <x:v>120.19</x:v>
      </x:c>
    </x:row>
    <x:row r="466" ht="22" customHeight="1">
      <x:c r="A466" s="1" t="str">
        <x:v>Round1</x:v>
      </x:c>
      <x:c r="B466" s="1" t="str">
        <x:v>JacksonDatabind</x:v>
      </x:c>
      <x:c r="C466" s="4" t="n">
        <x:v>74</x:v>
      </x:c>
      <x:c r="D466" s="4" t="n">
        <x:v>0</x:v>
      </x:c>
      <x:c r="E466" s="4" t="n">
        <x:v>60</x:v>
      </x:c>
      <x:c r="F466" s="4" t="n">
        <x:v>4620</x:v>
      </x:c>
      <x:c r="G466" s="5" t="n">
        <x:v>0.163</x:v>
      </x:c>
      <x:c r="H466" s="5" t="n">
        <x:v>0.23329999999999998</x:v>
      </x:c>
      <x:c r="I466" s="5" t="n">
        <x:v>0.031200000000000002</x:v>
      </x:c>
      <x:c r="J466" s="4" t="n">
        <x:v>92</x:v>
      </x:c>
      <x:c r="K466" s="4" t="n">
        <x:v>15</x:v>
      </x:c>
      <x:c r="L466" s="4" t="n">
        <x:v>60</x:v>
      </x:c>
      <x:c r="M466" s="4" t="n">
        <x:v>14</x:v>
      </x:c>
      <x:c r="N466" s="4" t="n">
        <x:v>32</x:v>
      </x:c>
      <x:c r="O466" s="4" t="n">
        <x:v>1</x:v>
      </x:c>
      <x:c r="P466" s="1" t="str">
        <x:v>PASS</x:v>
      </x:c>
      <x:c r="Q466" s="4" t="n">
        <x:v>0</x:v>
      </x:c>
      <x:c r="R466" s="1" t="str">
        <x:v>PASS</x:v>
      </x:c>
      <x:c r="S466" s="4" t="n">
        <x:v>0</x:v>
      </x:c>
      <x:c r="T466" s="1" t="str">
        <x:v>NOT_REVEALING</x:v>
      </x:c>
      <x:c r="U466" s="1" t="str">
        <x:v>JacksonDatabind_74</x:v>
      </x:c>
      <x:c r="V466" s="6" t="n">
        <x:v>107.14</x:v>
      </x:c>
    </x:row>
    <x:row r="467" ht="22" customHeight="1">
      <x:c r="A467" s="1" t="str">
        <x:v>Round1</x:v>
      </x:c>
      <x:c r="B467" s="1" t="str">
        <x:v>JacksonDatabind</x:v>
      </x:c>
      <x:c r="C467" s="4" t="n">
        <x:v>75</x:v>
      </x:c>
      <x:c r="D467" s="4" t="n">
        <x:v>0</x:v>
      </x:c>
      <x:c r="E467" s="4" t="n">
        <x:v>60</x:v>
      </x:c>
      <x:c r="F467" s="4" t="n">
        <x:v>4</x:v>
      </x:c>
      <x:c r="G467" s="5" t="n">
        <x:v>0.0168</x:v>
      </x:c>
      <x:c r="H467" s="5" t="n">
        <x:v>0.028999999999999998</x:v>
      </x:c>
      <x:c r="I467" s="5" t="n">
        <x:v>0</x:v>
      </x:c>
      <x:c r="J467" s="4" t="n">
        <x:v>119</x:v>
      </x:c>
      <x:c r="K467" s="4" t="n">
        <x:v>2</x:v>
      </x:c>
      <x:c r="L467" s="4" t="n">
        <x:v>69</x:v>
      </x:c>
      <x:c r="M467" s="4" t="n">
        <x:v>2</x:v>
      </x:c>
      <x:c r="N467" s="4" t="n">
        <x:v>50</x:v>
      </x:c>
      <x:c r="O467" s="4" t="n">
        <x:v>0</x:v>
      </x:c>
      <x:c r="P467" s="1" t="str">
        <x:v>PASS</x:v>
      </x:c>
      <x:c r="Q467" s="4" t="n">
        <x:v>0</x:v>
      </x:c>
      <x:c r="R467" s="1" t="str">
        <x:v>PASS</x:v>
      </x:c>
      <x:c r="S467" s="4" t="n">
        <x:v>0</x:v>
      </x:c>
      <x:c r="T467" s="1" t="str">
        <x:v>NOT_REVEALING</x:v>
      </x:c>
      <x:c r="U467" s="1" t="str">
        <x:v>JacksonDatabind_75</x:v>
      </x:c>
      <x:c r="V467" s="6" t="n">
        <x:v>73.72</x:v>
      </x:c>
    </x:row>
    <x:row r="468" ht="22" customHeight="1">
      <x:c r="A468" s="1" t="str">
        <x:v>Round1</x:v>
      </x:c>
      <x:c r="B468" s="1" t="str">
        <x:v>JacksonDatabind</x:v>
      </x:c>
      <x:c r="C468" s="4" t="n">
        <x:v>76</x:v>
      </x:c>
      <x:c r="D468" s="4" t="n">
        <x:v>0</x:v>
      </x:c>
      <x:c r="E468" s="4" t="n">
        <x:v>60</x:v>
      </x:c>
      <x:c r="F468" s="4" t="n">
        <x:v>42</x:v>
      </x:c>
      <x:c r="G468" s="5" t="n">
        <x:v>0.0143</x:v>
      </x:c>
      <x:c r="H468" s="5" t="n">
        <x:v>0.0219</x:v>
      </x:c>
      <x:c r="I468" s="5" t="n">
        <x:v>0</x:v>
      </x:c>
      <x:c r="J468" s="4" t="n">
        <x:v>488</x:v>
      </x:c>
      <x:c r="K468" s="4" t="n">
        <x:v>7</x:v>
      </x:c>
      <x:c r="L468" s="4" t="n">
        <x:v>320</x:v>
      </x:c>
      <x:c r="M468" s="4" t="n">
        <x:v>7</x:v>
      </x:c>
      <x:c r="N468" s="4" t="n">
        <x:v>168</x:v>
      </x:c>
      <x:c r="O468" s="4" t="n">
        <x:v>0</x:v>
      </x:c>
      <x:c r="P468" s="1" t="str">
        <x:v>PASS</x:v>
      </x:c>
      <x:c r="Q468" s="4" t="n">
        <x:v>0</x:v>
      </x:c>
      <x:c r="R468" s="1" t="str">
        <x:v>PASS</x:v>
      </x:c>
      <x:c r="S468" s="4" t="n">
        <x:v>0</x:v>
      </x:c>
      <x:c r="T468" s="1" t="str">
        <x:v>NOT_REVEALING</x:v>
      </x:c>
      <x:c r="U468" s="1" t="str">
        <x:v>JacksonDatabind_76</x:v>
      </x:c>
      <x:c r="V468" s="6" t="n">
        <x:v>77.17</x:v>
      </x:c>
    </x:row>
    <x:row r="469" ht="22" customHeight="1">
      <x:c r="A469" s="1" t="str">
        <x:v>Round1</x:v>
      </x:c>
      <x:c r="B469" s="1" t="str">
        <x:v>JacksonDatabind</x:v>
      </x:c>
      <x:c r="C469" s="4" t="n">
        <x:v>77</x:v>
      </x:c>
      <x:c r="D469" s="4" t="n">
        <x:v>0</x:v>
      </x:c>
      <x:c r="E469" s="4" t="n">
        <x:v>60</x:v>
      </x:c>
      <x:c r="F469" s="4" t="n">
        <x:v>2755</x:v>
      </x:c>
      <x:c r="G469" s="5" t="n">
        <x:v>0.0665</x:v>
      </x:c>
      <x:c r="H469" s="5" t="n">
        <x:v>0.0926</x:v>
      </x:c>
      <x:c r="I469" s="5" t="n">
        <x:v>0.0248</x:v>
      </x:c>
      <x:c r="J469" s="4" t="n">
        <x:v>526</x:v>
      </x:c>
      <x:c r="K469" s="4" t="n">
        <x:v>35</x:v>
      </x:c>
      <x:c r="L469" s="4" t="n">
        <x:v>324</x:v>
      </x:c>
      <x:c r="M469" s="4" t="n">
        <x:v>30</x:v>
      </x:c>
      <x:c r="N469" s="4" t="n">
        <x:v>202</x:v>
      </x:c>
      <x:c r="O469" s="4" t="n">
        <x:v>5</x:v>
      </x:c>
      <x:c r="P469" s="1" t="str">
        <x:v>PASS</x:v>
      </x:c>
      <x:c r="Q469" s="4" t="n">
        <x:v>0</x:v>
      </x:c>
      <x:c r="R469" s="1" t="str">
        <x:v>PASS</x:v>
      </x:c>
      <x:c r="S469" s="4" t="n">
        <x:v>0</x:v>
      </x:c>
      <x:c r="T469" s="1" t="str">
        <x:v>NOT_REVEALING</x:v>
      </x:c>
      <x:c r="U469" s="1" t="str">
        <x:v>JacksonDatabind_77</x:v>
      </x:c>
      <x:c r="V469" s="6" t="n">
        <x:v>138.04</x:v>
      </x:c>
    </x:row>
    <x:row r="470" ht="22" customHeight="1">
      <x:c r="A470" s="1" t="str">
        <x:v>Round1</x:v>
      </x:c>
      <x:c r="B470" s="1" t="str">
        <x:v>JacksonDatabind</x:v>
      </x:c>
      <x:c r="C470" s="4" t="n">
        <x:v>78</x:v>
      </x:c>
      <x:c r="D470" s="4" t="n">
        <x:v>0</x:v>
      </x:c>
      <x:c r="E470" s="4" t="n">
        <x:v>60</x:v>
      </x:c>
      <x:c r="F470" s="4" t="n">
        <x:v>2781</x:v>
      </x:c>
      <x:c r="G470" s="5" t="n">
        <x:v>0.0712</x:v>
      </x:c>
      <x:c r="H470" s="5" t="n">
        <x:v>0.0947</x:v>
      </x:c>
      <x:c r="I470" s="5" t="n">
        <x:v>0.0333</x:v>
      </x:c>
      <x:c r="J470" s="4" t="n">
        <x:v>548</x:v>
      </x:c>
      <x:c r="K470" s="4" t="n">
        <x:v>39</x:v>
      </x:c>
      <x:c r="L470" s="4" t="n">
        <x:v>338</x:v>
      </x:c>
      <x:c r="M470" s="4" t="n">
        <x:v>32</x:v>
      </x:c>
      <x:c r="N470" s="4" t="n">
        <x:v>210</x:v>
      </x:c>
      <x:c r="O470" s="4" t="n">
        <x:v>7</x:v>
      </x:c>
      <x:c r="P470" s="1" t="str">
        <x:v>PASS</x:v>
      </x:c>
      <x:c r="Q470" s="4" t="n">
        <x:v>0</x:v>
      </x:c>
      <x:c r="R470" s="1" t="str">
        <x:v>PASS</x:v>
      </x:c>
      <x:c r="S470" s="4" t="n">
        <x:v>0</x:v>
      </x:c>
      <x:c r="T470" s="1" t="str">
        <x:v>NOT_REVEALING</x:v>
      </x:c>
      <x:c r="U470" s="1" t="str">
        <x:v>JacksonDatabind_78</x:v>
      </x:c>
      <x:c r="V470" s="6" t="n">
        <x:v>138.32</x:v>
      </x:c>
    </x:row>
    <x:row r="471" ht="22" customHeight="1">
      <x:c r="A471" s="1" t="str">
        <x:v>Round1</x:v>
      </x:c>
      <x:c r="B471" s="1" t="str">
        <x:v>JacksonDatabind</x:v>
      </x:c>
      <x:c r="C471" s="4" t="n">
        <x:v>79</x:v>
      </x:c>
      <x:c r="D471" s="4" t="n">
        <x:v>0</x:v>
      </x:c>
      <x:c r="E471" s="4" t="n">
        <x:v>60</x:v>
      </x:c>
      <x:c r="F471" s="4" t="n">
        <x:v>3543</x:v>
      </x:c>
      <x:c r="G471" s="5" t="n">
        <x:v>0.07139999999999999</x:v>
      </x:c>
      <x:c r="H471" s="5" t="n">
        <x:v>0.10980000000000001</x:v>
      </x:c>
      <x:c r="I471" s="5" t="n">
        <x:v>0.0143</x:v>
      </x:c>
      <x:c r="J471" s="4" t="n">
        <x:v>1387</x:v>
      </x:c>
      <x:c r="K471" s="4" t="n">
        <x:v>99</x:v>
      </x:c>
      <x:c r="L471" s="4" t="n">
        <x:v>829</x:v>
      </x:c>
      <x:c r="M471" s="4" t="n">
        <x:v>91</x:v>
      </x:c>
      <x:c r="N471" s="4" t="n">
        <x:v>558</x:v>
      </x:c>
      <x:c r="O471" s="4" t="n">
        <x:v>8</x:v>
      </x:c>
      <x:c r="P471" s="1" t="str">
        <x:v>PASS</x:v>
      </x:c>
      <x:c r="Q471" s="4" t="n">
        <x:v>0</x:v>
      </x:c>
      <x:c r="R471" s="1" t="str">
        <x:v>PASS</x:v>
      </x:c>
      <x:c r="S471" s="4" t="n">
        <x:v>0</x:v>
      </x:c>
      <x:c r="T471" s="1" t="str">
        <x:v>NOT_REVEALING</x:v>
      </x:c>
      <x:c r="U471" s="1" t="str">
        <x:v>JacksonDatabind_79</x:v>
      </x:c>
      <x:c r="V471" s="6" t="n">
        <x:v>112.99</x:v>
      </x:c>
    </x:row>
    <x:row r="472" ht="22" customHeight="1">
      <x:c r="A472" s="1" t="str">
        <x:v>Round1</x:v>
      </x:c>
      <x:c r="B472" s="1" t="str">
        <x:v>JacksonDatabind</x:v>
      </x:c>
      <x:c r="C472" s="4" t="n">
        <x:v>80</x:v>
      </x:c>
      <x:c r="D472" s="4" t="n">
        <x:v>0</x:v>
      </x:c>
      <x:c r="E472" s="4" t="n">
        <x:v>60</x:v>
      </x:c>
      <x:c r="F472" s="4" t="n">
        <x:v>1893</x:v>
      </x:c>
      <x:c r="G472" s="5" t="n">
        <x:v>0.0842</x:v>
      </x:c>
      <x:c r="H472" s="5" t="n">
        <x:v>0.08869999999999999</x:v>
      </x:c>
      <x:c r="I472" s="5" t="n">
        <x:v>0.07690000000000001</x:v>
      </x:c>
      <x:c r="J472" s="4" t="n">
        <x:v>202</x:v>
      </x:c>
      <x:c r="K472" s="4" t="n">
        <x:v>17</x:v>
      </x:c>
      <x:c r="L472" s="4" t="n">
        <x:v>124</x:v>
      </x:c>
      <x:c r="M472" s="4" t="n">
        <x:v>11</x:v>
      </x:c>
      <x:c r="N472" s="4" t="n">
        <x:v>78</x:v>
      </x:c>
      <x:c r="O472" s="4" t="n">
        <x:v>6</x:v>
      </x:c>
      <x:c r="P472" s="1" t="str">
        <x:v>PASS</x:v>
      </x:c>
      <x:c r="Q472" s="4" t="n">
        <x:v>0</x:v>
      </x:c>
      <x:c r="R472" s="1" t="str">
        <x:v>PASS</x:v>
      </x:c>
      <x:c r="S472" s="4" t="n">
        <x:v>0</x:v>
      </x:c>
      <x:c r="T472" s="1" t="str">
        <x:v>NOT_REVEALING</x:v>
      </x:c>
      <x:c r="U472" s="1" t="str">
        <x:v>JacksonDatabind_80</x:v>
      </x:c>
      <x:c r="V472" s="6" t="n">
        <x:v>122.76</x:v>
      </x:c>
    </x:row>
    <x:row r="473" ht="22" customHeight="1">
      <x:c r="A473" s="1" t="str">
        <x:v>Round1</x:v>
      </x:c>
      <x:c r="B473" s="1" t="str">
        <x:v>JacksonDatabind</x:v>
      </x:c>
      <x:c r="C473" s="4" t="n">
        <x:v>81</x:v>
      </x:c>
      <x:c r="D473" s="4" t="n">
        <x:v>0</x:v>
      </x:c>
      <x:c r="E473" s="4" t="n">
        <x:v>60</x:v>
      </x:c>
      <x:c r="F473" s="4" t="n">
        <x:v>4025</x:v>
      </x:c>
      <x:c r="G473" s="5" t="n">
        <x:v>0.1081</x:v>
      </x:c>
      <x:c r="H473" s="5" t="n">
        <x:v>0.1673</x:v>
      </x:c>
      <x:c r="I473" s="5" t="n">
        <x:v>0.0219</x:v>
      </x:c>
      <x:c r="J473" s="4" t="n">
        <x:v>897</x:v>
      </x:c>
      <x:c r="K473" s="4" t="n">
        <x:v>97</x:v>
      </x:c>
      <x:c r="L473" s="4" t="n">
        <x:v>532</x:v>
      </x:c>
      <x:c r="M473" s="4" t="n">
        <x:v>89</x:v>
      </x:c>
      <x:c r="N473" s="4" t="n">
        <x:v>365</x:v>
      </x:c>
      <x:c r="O473" s="4" t="n">
        <x:v>8</x:v>
      </x:c>
      <x:c r="P473" s="1" t="str">
        <x:v>PASS</x:v>
      </x:c>
      <x:c r="Q473" s="4" t="n">
        <x:v>0</x:v>
      </x:c>
      <x:c r="R473" s="1" t="str">
        <x:v>PASS</x:v>
      </x:c>
      <x:c r="S473" s="4" t="n">
        <x:v>0</x:v>
      </x:c>
      <x:c r="T473" s="1" t="str">
        <x:v>NOT_REVEALING</x:v>
      </x:c>
      <x:c r="U473" s="1" t="str">
        <x:v>JacksonDatabind_81</x:v>
      </x:c>
      <x:c r="V473" s="6" t="n">
        <x:v>106.33</x:v>
      </x:c>
    </x:row>
    <x:row r="474" ht="22" customHeight="1">
      <x:c r="A474" s="1" t="str">
        <x:v>Round1</x:v>
      </x:c>
      <x:c r="B474" s="1" t="str">
        <x:v>JacksonDatabind</x:v>
      </x:c>
      <x:c r="C474" s="4" t="n">
        <x:v>82</x:v>
      </x:c>
      <x:c r="D474" s="4" t="n">
        <x:v>0</x:v>
      </x:c>
      <x:c r="E474" s="4" t="n">
        <x:v>60</x:v>
      </x:c>
      <x:c r="F474" s="4" t="n">
        <x:v>2609</x:v>
      </x:c>
      <x:c r="G474" s="5" t="n">
        <x:v>0.0917</x:v>
      </x:c>
      <x:c r="H474" s="5" t="n">
        <x:v>0.1268</x:v>
      </x:c>
      <x:c r="I474" s="5" t="n">
        <x:v>0.033</x:v>
      </x:c>
      <x:c r="J474" s="4" t="n">
        <x:v>567</x:v>
      </x:c>
      <x:c r="K474" s="4" t="n">
        <x:v>52</x:v>
      </x:c>
      <x:c r="L474" s="4" t="n">
        <x:v>355</x:v>
      </x:c>
      <x:c r="M474" s="4" t="n">
        <x:v>45</x:v>
      </x:c>
      <x:c r="N474" s="4" t="n">
        <x:v>212</x:v>
      </x:c>
      <x:c r="O474" s="4" t="n">
        <x:v>7</x:v>
      </x:c>
      <x:c r="P474" s="1" t="str">
        <x:v>PASS</x:v>
      </x:c>
      <x:c r="Q474" s="4" t="n">
        <x:v>0</x:v>
      </x:c>
      <x:c r="R474" s="1" t="str">
        <x:v>PASS</x:v>
      </x:c>
      <x:c r="S474" s="4" t="n">
        <x:v>0</x:v>
      </x:c>
      <x:c r="T474" s="1" t="str">
        <x:v>NOT_REVEALING</x:v>
      </x:c>
      <x:c r="U474" s="1" t="str">
        <x:v>JacksonDatabind_82</x:v>
      </x:c>
      <x:c r="V474" s="6" t="n">
        <x:v>133.02</x:v>
      </x:c>
    </x:row>
    <x:row r="475" ht="22" customHeight="1">
      <x:c r="A475" s="1" t="str">
        <x:v>Round1</x:v>
      </x:c>
      <x:c r="B475" s="1" t="str">
        <x:v>JacksonDatabind</x:v>
      </x:c>
      <x:c r="C475" s="4" t="n">
        <x:v>83</x:v>
      </x:c>
      <x:c r="D475" s="4" t="n">
        <x:v>0</x:v>
      </x:c>
      <x:c r="E475" s="4" t="n">
        <x:v>60</x:v>
      </x:c>
      <x:c r="F475" s="4" t="n">
        <x:v>15</x:v>
      </x:c>
      <x:c r="G475" s="5" t="n">
        <x:v>0.0048</x:v>
      </x:c>
      <x:c r="H475" s="5" t="n">
        <x:v>0.008199999999999999</x:v>
      </x:c>
      <x:c r="I475" s="5" t="n">
        <x:v>0</x:v>
      </x:c>
      <x:c r="J475" s="4" t="n">
        <x:v>210</x:v>
      </x:c>
      <x:c r="K475" s="4" t="n">
        <x:v>1</x:v>
      </x:c>
      <x:c r="L475" s="4" t="n">
        <x:v>122</x:v>
      </x:c>
      <x:c r="M475" s="4" t="n">
        <x:v>1</x:v>
      </x:c>
      <x:c r="N475" s="4" t="n">
        <x:v>88</x:v>
      </x:c>
      <x:c r="O475" s="4" t="n">
        <x:v>0</x:v>
      </x:c>
      <x:c r="P475" s="1" t="str">
        <x:v>PASS</x:v>
      </x:c>
      <x:c r="Q475" s="4" t="n">
        <x:v>0</x:v>
      </x:c>
      <x:c r="R475" s="1" t="str">
        <x:v>PASS</x:v>
      </x:c>
      <x:c r="S475" s="4" t="n">
        <x:v>0</x:v>
      </x:c>
      <x:c r="T475" s="1" t="str">
        <x:v>NOT_REVEALING</x:v>
      </x:c>
      <x:c r="U475" s="1" t="str">
        <x:v>JacksonDatabind_83</x:v>
      </x:c>
      <x:c r="V475" s="6" t="n">
        <x:v>77.55</x:v>
      </x:c>
    </x:row>
    <x:row r="476" ht="22" customHeight="1">
      <x:c r="A476" s="1" t="str">
        <x:v>Round1</x:v>
      </x:c>
      <x:c r="B476" s="1" t="str">
        <x:v>JacksonDatabind</x:v>
      </x:c>
      <x:c r="C476" s="4" t="n">
        <x:v>84</x:v>
      </x:c>
      <x:c r="D476" s="4" t="n">
        <x:v>0</x:v>
      </x:c>
      <x:c r="E476" s="4" t="n">
        <x:v>60</x:v>
      </x:c>
      <x:c r="F476" s="4" t="n">
        <x:v>1</x:v>
      </x:c>
      <x:c r="G476" s="5" t="n">
        <x:v>0</x:v>
      </x:c>
      <x:c r="H476" s="5" t="n">
        <x:v>0</x:v>
      </x:c>
      <x:c r="I476" s="5" t="n">
        <x:v>0</x:v>
      </x:c>
      <x:c r="J476" s="4" t="n">
        <x:v>44</x:v>
      </x:c>
      <x:c r="K476" s="4" t="n">
        <x:v>0</x:v>
      </x:c>
      <x:c r="L476" s="4" t="n">
        <x:v>30</x:v>
      </x:c>
      <x:c r="M476" s="4" t="n">
        <x:v>0</x:v>
      </x:c>
      <x:c r="N476" s="4" t="n">
        <x:v>14</x:v>
      </x:c>
      <x:c r="O476" s="4" t="n">
        <x:v>0</x:v>
      </x:c>
      <x:c r="P476" s="1" t="str">
        <x:v>PASS</x:v>
      </x:c>
      <x:c r="Q476" s="4" t="n">
        <x:v>0</x:v>
      </x:c>
      <x:c r="R476" s="1" t="str">
        <x:v>PASS</x:v>
      </x:c>
      <x:c r="S476" s="4" t="n">
        <x:v>0</x:v>
      </x:c>
      <x:c r="T476" s="1" t="str">
        <x:v>NOT_REVEALING</x:v>
      </x:c>
      <x:c r="U476" s="1" t="str">
        <x:v>JacksonDatabind_84</x:v>
      </x:c>
      <x:c r="V476" s="6" t="n">
        <x:v>68.78</x:v>
      </x:c>
    </x:row>
    <x:row r="477" ht="22" customHeight="1">
      <x:c r="A477" s="1" t="str">
        <x:v>Round1</x:v>
      </x:c>
      <x:c r="B477" s="1" t="str">
        <x:v>JacksonDatabind</x:v>
      </x:c>
      <x:c r="C477" s="4" t="n">
        <x:v>85</x:v>
      </x:c>
      <x:c r="D477" s="4" t="n">
        <x:v>0</x:v>
      </x:c>
      <x:c r="E477" s="4" t="n">
        <x:v>60</x:v>
      </x:c>
      <x:c r="F477" s="4" t="n">
        <x:v>1</x:v>
      </x:c>
      <x:c r="G477" s="5" t="n">
        <x:v>0</x:v>
      </x:c>
      <x:c r="H477" s="5" t="n">
        <x:v>0</x:v>
      </x:c>
      <x:c r="I477" s="5" t="n">
        <x:v>0</x:v>
      </x:c>
      <x:c r="J477" s="4" t="n">
        <x:v>81</x:v>
      </x:c>
      <x:c r="K477" s="4" t="n">
        <x:v>0</x:v>
      </x:c>
      <x:c r="L477" s="4" t="n">
        <x:v>43</x:v>
      </x:c>
      <x:c r="M477" s="4" t="n">
        <x:v>0</x:v>
      </x:c>
      <x:c r="N477" s="4" t="n">
        <x:v>38</x:v>
      </x:c>
      <x:c r="O477" s="4" t="n">
        <x:v>0</x:v>
      </x:c>
      <x:c r="P477" s="1" t="str">
        <x:v>PASS</x:v>
      </x:c>
      <x:c r="Q477" s="4" t="n">
        <x:v>0</x:v>
      </x:c>
      <x:c r="R477" s="1" t="str">
        <x:v>PASS</x:v>
      </x:c>
      <x:c r="S477" s="4" t="n">
        <x:v>0</x:v>
      </x:c>
      <x:c r="T477" s="1" t="str">
        <x:v>NOT_REVEALING</x:v>
      </x:c>
      <x:c r="U477" s="1" t="str">
        <x:v>JacksonDatabind_85</x:v>
      </x:c>
      <x:c r="V477" s="6" t="n">
        <x:v>69.28</x:v>
      </x:c>
    </x:row>
    <x:row r="478" ht="22" customHeight="1">
      <x:c r="A478" s="1" t="str">
        <x:v>Round1</x:v>
      </x:c>
      <x:c r="B478" s="1" t="str">
        <x:v>JacksonDatabind</x:v>
      </x:c>
      <x:c r="C478" s="4" t="n">
        <x:v>86</x:v>
      </x:c>
      <x:c r="D478" s="4" t="n">
        <x:v>0</x:v>
      </x:c>
      <x:c r="E478" s="4" t="n">
        <x:v>60</x:v>
      </x:c>
      <x:c r="F478" s="4" t="n">
        <x:v>1</x:v>
      </x:c>
      <x:c r="G478" s="5" t="n">
        <x:v>0</x:v>
      </x:c>
      <x:c r="H478" s="5" t="n">
        <x:v>0</x:v>
      </x:c>
      <x:c r="I478" s="5" t="n">
        <x:v>0</x:v>
      </x:c>
      <x:c r="J478" s="4" t="n">
        <x:v>44</x:v>
      </x:c>
      <x:c r="K478" s="4" t="n">
        <x:v>0</x:v>
      </x:c>
      <x:c r="L478" s="4" t="n">
        <x:v>30</x:v>
      </x:c>
      <x:c r="M478" s="4" t="n">
        <x:v>0</x:v>
      </x:c>
      <x:c r="N478" s="4" t="n">
        <x:v>14</x:v>
      </x:c>
      <x:c r="O478" s="4" t="n">
        <x:v>0</x:v>
      </x:c>
      <x:c r="P478" s="1" t="str">
        <x:v>PASS</x:v>
      </x:c>
      <x:c r="Q478" s="4" t="n">
        <x:v>0</x:v>
      </x:c>
      <x:c r="R478" s="1" t="str">
        <x:v>PASS</x:v>
      </x:c>
      <x:c r="S478" s="4" t="n">
        <x:v>0</x:v>
      </x:c>
      <x:c r="T478" s="1" t="str">
        <x:v>NOT_REVEALING</x:v>
      </x:c>
      <x:c r="U478" s="1" t="str">
        <x:v>JacksonDatabind_86</x:v>
      </x:c>
      <x:c r="V478" s="6" t="n">
        <x:v>71.08</x:v>
      </x:c>
    </x:row>
    <x:row r="479" ht="22" customHeight="1">
      <x:c r="A479" s="1" t="str">
        <x:v>Round1</x:v>
      </x:c>
      <x:c r="B479" s="1" t="str">
        <x:v>JacksonDatabind</x:v>
      </x:c>
      <x:c r="C479" s="4" t="n">
        <x:v>87</x:v>
      </x:c>
      <x:c r="D479" s="4" t="n">
        <x:v>0</x:v>
      </x:c>
      <x:c r="E479" s="4" t="n">
        <x:v>60</x:v>
      </x:c>
      <x:c r="F479" s="4" t="n">
        <x:v>254</x:v>
      </x:c>
      <x:c r="G479" s="5" t="n">
        <x:v>0.6981999999999999</x:v>
      </x:c>
      <x:c r="H479" s="5" t="n">
        <x:v>0.7723</x:v>
      </x:c>
      <x:c r="I479" s="5" t="n">
        <x:v>0.5882000000000001</x:v>
      </x:c>
      <x:c r="J479" s="4" t="n">
        <x:v>338</x:v>
      </x:c>
      <x:c r="K479" s="4" t="n">
        <x:v>236</x:v>
      </x:c>
      <x:c r="L479" s="4" t="n">
        <x:v>202</x:v>
      </x:c>
      <x:c r="M479" s="4" t="n">
        <x:v>156</x:v>
      </x:c>
      <x:c r="N479" s="4" t="n">
        <x:v>136</x:v>
      </x:c>
      <x:c r="O479" s="4" t="n">
        <x:v>80</x:v>
      </x:c>
      <x:c r="P479" s="1" t="str">
        <x:v>PASS</x:v>
      </x:c>
      <x:c r="Q479" s="4" t="n">
        <x:v>0</x:v>
      </x:c>
      <x:c r="R479" s="1" t="str">
        <x:v>FAIL</x:v>
      </x:c>
      <x:c r="S479" s="4" t="n">
        <x:v>2</x:v>
      </x:c>
      <x:c r="T479" s="1" t="str">
        <x:v>INCONCLUSIVE</x:v>
      </x:c>
      <x:c r="U479" s="1" t="str">
        <x:v>JacksonDatabind_87</x:v>
      </x:c>
      <x:c r="V479" s="6" t="n">
        <x:v>48.88</x:v>
      </x:c>
    </x:row>
    <x:row r="480" ht="22" customHeight="1">
      <x:c r="A480" s="1" t="str">
        <x:v>Round1</x:v>
      </x:c>
      <x:c r="B480" s="1" t="str">
        <x:v>JacksonDatabind</x:v>
      </x:c>
      <x:c r="C480" s="4" t="n">
        <x:v>88</x:v>
      </x:c>
      <x:c r="D480" s="4" t="n">
        <x:v>0</x:v>
      </x:c>
      <x:c r="E480" s="4" t="n">
        <x:v>60</x:v>
      </x:c>
      <x:c r="F480" s="4" t="n">
        <x:v>384</x:v>
      </x:c>
      <x:c r="G480" s="5" t="n">
        <x:v>0.2973</x:v>
      </x:c>
      <x:c r="H480" s="5" t="n">
        <x:v>0.3125</x:v>
      </x:c>
      <x:c r="I480" s="5" t="n">
        <x:v>0.2692</x:v>
      </x:c>
      <x:c r="J480" s="4" t="n">
        <x:v>74</x:v>
      </x:c>
      <x:c r="K480" s="4" t="n">
        <x:v>22</x:v>
      </x:c>
      <x:c r="L480" s="4" t="n">
        <x:v>48</x:v>
      </x:c>
      <x:c r="M480" s="4" t="n">
        <x:v>15</x:v>
      </x:c>
      <x:c r="N480" s="4" t="n">
        <x:v>26</x:v>
      </x:c>
      <x:c r="O480" s="4" t="n">
        <x:v>7</x:v>
      </x:c>
      <x:c r="P480" s="1" t="str">
        <x:v>PASS</x:v>
      </x:c>
      <x:c r="Q480" s="4" t="n">
        <x:v>0</x:v>
      </x:c>
      <x:c r="R480" s="1" t="str">
        <x:v>PASS</x:v>
      </x:c>
      <x:c r="S480" s="4" t="n">
        <x:v>0</x:v>
      </x:c>
      <x:c r="T480" s="1" t="str">
        <x:v>NOT_REVEALING</x:v>
      </x:c>
      <x:c r="U480" s="1" t="str">
        <x:v>JacksonDatabind_88</x:v>
      </x:c>
      <x:c r="V480" s="6" t="n">
        <x:v>77.34</x:v>
      </x:c>
    </x:row>
    <x:row r="481" ht="22" customHeight="1">
      <x:c r="A481" s="1" t="str">
        <x:v>Round1</x:v>
      </x:c>
      <x:c r="B481" s="1" t="str">
        <x:v>JacksonDatabind</x:v>
      </x:c>
      <x:c r="C481" s="4" t="n">
        <x:v>90</x:v>
      </x:c>
      <x:c r="D481" s="4" t="n">
        <x:v>0</x:v>
      </x:c>
      <x:c r="E481" s="4" t="n">
        <x:v>60</x:v>
      </x:c>
      <x:c r="F481" s="4" t="n">
        <x:v>3465</x:v>
      </x:c>
      <x:c r="G481" s="5" t="n">
        <x:v>0.38079999999999997</x:v>
      </x:c>
      <x:c r="H481" s="5" t="n">
        <x:v>0.4018</x:v>
      </x:c>
      <x:c r="I481" s="5" t="n">
        <x:v>0.33649999999999997</x:v>
      </x:c>
      <x:c r="J481" s="4" t="n">
        <x:v>323</x:v>
      </x:c>
      <x:c r="K481" s="4" t="n">
        <x:v>123</x:v>
      </x:c>
      <x:c r="L481" s="4" t="n">
        <x:v>219</x:v>
      </x:c>
      <x:c r="M481" s="4" t="n">
        <x:v>88</x:v>
      </x:c>
      <x:c r="N481" s="4" t="n">
        <x:v>104</x:v>
      </x:c>
      <x:c r="O481" s="4" t="n">
        <x:v>35</x:v>
      </x:c>
      <x:c r="P481" s="1" t="str">
        <x:v>PASS</x:v>
      </x:c>
      <x:c r="Q481" s="4" t="n">
        <x:v>0</x:v>
      </x:c>
      <x:c r="R481" s="1" t="str">
        <x:v>PASS</x:v>
      </x:c>
      <x:c r="S481" s="4" t="n">
        <x:v>0</x:v>
      </x:c>
      <x:c r="T481" s="1" t="str">
        <x:v>NOT_REVEALING</x:v>
      </x:c>
      <x:c r="U481" s="1" t="str">
        <x:v>JacksonDatabind_90</x:v>
      </x:c>
      <x:c r="V481" s="6" t="n">
        <x:v>104.72</x:v>
      </x:c>
    </x:row>
    <x:row r="482" ht="22" customHeight="1">
      <x:c r="A482" s="1" t="str">
        <x:v>Round1</x:v>
      </x:c>
      <x:c r="B482" s="1" t="str">
        <x:v>JacksonDatabind</x:v>
      </x:c>
      <x:c r="C482" s="4" t="n">
        <x:v>91</x:v>
      </x:c>
      <x:c r="D482" s="4" t="n">
        <x:v>0</x:v>
      </x:c>
      <x:c r="E482" s="4" t="n">
        <x:v>60</x:v>
      </x:c>
      <x:c r="F482" s="4" t="n">
        <x:v>6419</x:v>
      </x:c>
      <x:c r="G482" s="5" t="n">
        <x:v>0.0874</x:v>
      </x:c>
      <x:c r="H482" s="5" t="n">
        <x:v>0.1463</x:v>
      </x:c>
      <x:c r="I482" s="5" t="n">
        <x:v>0.008199999999999999</x:v>
      </x:c>
      <x:c r="J482" s="4" t="n">
        <x:v>286</x:v>
      </x:c>
      <x:c r="K482" s="4" t="n">
        <x:v>25</x:v>
      </x:c>
      <x:c r="L482" s="4" t="n">
        <x:v>164</x:v>
      </x:c>
      <x:c r="M482" s="4" t="n">
        <x:v>24</x:v>
      </x:c>
      <x:c r="N482" s="4" t="n">
        <x:v>122</x:v>
      </x:c>
      <x:c r="O482" s="4" t="n">
        <x:v>1</x:v>
      </x:c>
      <x:c r="P482" s="1" t="str">
        <x:v>PASS</x:v>
      </x:c>
      <x:c r="Q482" s="4" t="n">
        <x:v>0</x:v>
      </x:c>
      <x:c r="R482" s="1" t="str">
        <x:v>PASS</x:v>
      </x:c>
      <x:c r="S482" s="4" t="n">
        <x:v>0</x:v>
      </x:c>
      <x:c r="T482" s="1" t="str">
        <x:v>NOT_REVEALING</x:v>
      </x:c>
      <x:c r="U482" s="1" t="str">
        <x:v>JacksonDatabind_91</x:v>
      </x:c>
      <x:c r="V482" s="6" t="n">
        <x:v>111.77</x:v>
      </x:c>
    </x:row>
    <x:row r="483" ht="22" customHeight="1">
      <x:c r="A483" s="1" t="str">
        <x:v>Round1</x:v>
      </x:c>
      <x:c r="B483" s="1" t="str">
        <x:v>JacksonDatabind</x:v>
      </x:c>
      <x:c r="C483" s="4" t="n">
        <x:v>92</x:v>
      </x:c>
      <x:c r="D483" s="4" t="n">
        <x:v>0</x:v>
      </x:c>
      <x:c r="E483" s="4" t="n">
        <x:v>60</x:v>
      </x:c>
      <x:c r="F483" s="4" t="n">
        <x:v>2586</x:v>
      </x:c>
      <x:c r="G483" s="5" t="n">
        <x:v>0.08960000000000001</x:v>
      </x:c>
      <x:c r="H483" s="5" t="n">
        <x:v>0.1283</x:v>
      </x:c>
      <x:c r="I483" s="5" t="n">
        <x:v>0.0245</x:v>
      </x:c>
      <x:c r="J483" s="4" t="n">
        <x:v>547</x:v>
      </x:c>
      <x:c r="K483" s="4" t="n">
        <x:v>49</x:v>
      </x:c>
      <x:c r="L483" s="4" t="n">
        <x:v>343</x:v>
      </x:c>
      <x:c r="M483" s="4" t="n">
        <x:v>44</x:v>
      </x:c>
      <x:c r="N483" s="4" t="n">
        <x:v>204</x:v>
      </x:c>
      <x:c r="O483" s="4" t="n">
        <x:v>5</x:v>
      </x:c>
      <x:c r="P483" s="1" t="str">
        <x:v>PASS</x:v>
      </x:c>
      <x:c r="Q483" s="4" t="n">
        <x:v>0</x:v>
      </x:c>
      <x:c r="R483" s="1" t="str">
        <x:v>PASS</x:v>
      </x:c>
      <x:c r="S483" s="4" t="n">
        <x:v>0</x:v>
      </x:c>
      <x:c r="T483" s="1" t="str">
        <x:v>NOT_REVEALING</x:v>
      </x:c>
      <x:c r="U483" s="1" t="str">
        <x:v>JacksonDatabind_92</x:v>
      </x:c>
      <x:c r="V483" s="6" t="n">
        <x:v>137.79</x:v>
      </x:c>
    </x:row>
    <x:row r="484" ht="22" customHeight="1">
      <x:c r="A484" s="1" t="str">
        <x:v>Round1</x:v>
      </x:c>
      <x:c r="B484" s="1" t="str">
        <x:v>JacksonDatabind</x:v>
      </x:c>
      <x:c r="C484" s="4" t="n">
        <x:v>93</x:v>
      </x:c>
      <x:c r="D484" s="4" t="n">
        <x:v>0</x:v>
      </x:c>
      <x:c r="E484" s="4" t="n">
        <x:v>60</x:v>
      </x:c>
      <x:c r="F484" s="4" t="n">
        <x:v>2179</x:v>
      </x:c>
      <x:c r="G484" s="5" t="n">
        <x:v>0.5217</x:v>
      </x:c>
      <x:c r="H484" s="5" t="n">
        <x:v>0.6667000000000001</x:v>
      </x:c>
      <x:c r="I484" s="5" t="n">
        <x:v>0</x:v>
      </x:c>
      <x:c r="J484" s="4" t="n">
        <x:v>46</x:v>
      </x:c>
      <x:c r="K484" s="4" t="n">
        <x:v>24</x:v>
      </x:c>
      <x:c r="L484" s="4" t="n">
        <x:v>36</x:v>
      </x:c>
      <x:c r="M484" s="4" t="n">
        <x:v>24</x:v>
      </x:c>
      <x:c r="N484" s="4" t="n">
        <x:v>10</x:v>
      </x:c>
      <x:c r="O484" s="4" t="n">
        <x:v>0</x:v>
      </x:c>
      <x:c r="P484" s="1" t="str">
        <x:v>PASS</x:v>
      </x:c>
      <x:c r="Q484" s="4" t="n">
        <x:v>0</x:v>
      </x:c>
      <x:c r="R484" s="1" t="str">
        <x:v>PASS</x:v>
      </x:c>
      <x:c r="S484" s="4" t="n">
        <x:v>0</x:v>
      </x:c>
      <x:c r="T484" s="1" t="str">
        <x:v>NOT_REVEALING</x:v>
      </x:c>
      <x:c r="U484" s="1" t="str">
        <x:v>JacksonDatabind_93</x:v>
      </x:c>
      <x:c r="V484" s="6" t="n">
        <x:v>119.08</x:v>
      </x:c>
    </x:row>
    <x:row r="485" ht="22" customHeight="1">
      <x:c r="A485" s="1" t="str">
        <x:v>Round1</x:v>
      </x:c>
      <x:c r="B485" s="1" t="str">
        <x:v>JacksonDatabind</x:v>
      </x:c>
      <x:c r="C485" s="4" t="n">
        <x:v>94</x:v>
      </x:c>
      <x:c r="D485" s="4" t="n">
        <x:v>0</x:v>
      </x:c>
      <x:c r="E485" s="4" t="n">
        <x:v>60</x:v>
      </x:c>
      <x:c r="F485" s="4" t="n">
        <x:v>1996</x:v>
      </x:c>
      <x:c r="G485" s="5" t="n">
        <x:v>0.449</x:v>
      </x:c>
      <x:c r="H485" s="5" t="n">
        <x:v>0.6286</x:v>
      </x:c>
      <x:c r="I485" s="5" t="n">
        <x:v>0</x:v>
      </x:c>
      <x:c r="J485" s="4" t="n">
        <x:v>49</x:v>
      </x:c>
      <x:c r="K485" s="4" t="n">
        <x:v>22</x:v>
      </x:c>
      <x:c r="L485" s="4" t="n">
        <x:v>35</x:v>
      </x:c>
      <x:c r="M485" s="4" t="n">
        <x:v>22</x:v>
      </x:c>
      <x:c r="N485" s="4" t="n">
        <x:v>14</x:v>
      </x:c>
      <x:c r="O485" s="4" t="n">
        <x:v>0</x:v>
      </x:c>
      <x:c r="P485" s="1" t="str">
        <x:v>FAIL</x:v>
      </x:c>
      <x:c r="Q485" s="4" t="n">
        <x:v>4</x:v>
      </x:c>
      <x:c r="R485" s="1" t="str">
        <x:v>FAIL</x:v>
      </x:c>
      <x:c r="S485" s="4" t="n">
        <x:v>4</x:v>
      </x:c>
      <x:c r="T485" s="1" t="str">
        <x:v>INCONCLUSIVE</x:v>
      </x:c>
      <x:c r="U485" s="1" t="str">
        <x:v>JacksonDatabind_94</x:v>
      </x:c>
      <x:c r="V485" s="6" t="n">
        <x:v>117.73</x:v>
      </x:c>
    </x:row>
    <x:row r="486" ht="22" customHeight="1">
      <x:c r="A486" s="1" t="str">
        <x:v>Round1</x:v>
      </x:c>
      <x:c r="B486" s="1" t="str">
        <x:v>JacksonDatabind</x:v>
      </x:c>
      <x:c r="C486" s="4" t="n">
        <x:v>95</x:v>
      </x:c>
      <x:c r="D486" s="4" t="n">
        <x:v>0</x:v>
      </x:c>
      <x:c r="E486" s="4" t="n">
        <x:v>60</x:v>
      </x:c>
      <x:c r="F486" s="4" t="n">
        <x:v>1772</x:v>
      </x:c>
      <x:c r="G486" s="5" t="n">
        <x:v>0.43560000000000004</x:v>
      </x:c>
      <x:c r="H486" s="5" t="n">
        <x:v>0.4771</x:v>
      </x:c>
      <x:c r="I486" s="5" t="n">
        <x:v>0.3653</x:v>
      </x:c>
      <x:c r="J486" s="4" t="n">
        <x:v>730</x:v>
      </x:c>
      <x:c r="K486" s="4" t="n">
        <x:v>318</x:v>
      </x:c>
      <x:c r="L486" s="4" t="n">
        <x:v>459</x:v>
      </x:c>
      <x:c r="M486" s="4" t="n">
        <x:v>219</x:v>
      </x:c>
      <x:c r="N486" s="4" t="n">
        <x:v>271</x:v>
      </x:c>
      <x:c r="O486" s="4" t="n">
        <x:v>99</x:v>
      </x:c>
      <x:c r="P486" s="1" t="str">
        <x:v>PASS</x:v>
      </x:c>
      <x:c r="Q486" s="4" t="n">
        <x:v>0</x:v>
      </x:c>
      <x:c r="R486" s="1" t="str">
        <x:v>PASS</x:v>
      </x:c>
      <x:c r="S486" s="4" t="n">
        <x:v>0</x:v>
      </x:c>
      <x:c r="T486" s="1" t="str">
        <x:v>NOT_REVEALING</x:v>
      </x:c>
      <x:c r="U486" s="1" t="str">
        <x:v>JacksonDatabind_95</x:v>
      </x:c>
      <x:c r="V486" s="6" t="n">
        <x:v>95.84</x:v>
      </x:c>
    </x:row>
    <x:row r="487" ht="22" customHeight="1">
      <x:c r="A487" s="1" t="str">
        <x:v>Round1</x:v>
      </x:c>
      <x:c r="B487" s="1" t="str">
        <x:v>JacksonDatabind</x:v>
      </x:c>
      <x:c r="C487" s="4" t="n">
        <x:v>96</x:v>
      </x:c>
      <x:c r="D487" s="4" t="n">
        <x:v>0</x:v>
      </x:c>
      <x:c r="E487" s="4" t="n">
        <x:v>60</x:v>
      </x:c>
      <x:c r="F487" s="4" t="n">
        <x:v>4</x:v>
      </x:c>
      <x:c r="G487" s="5" t="n">
        <x:v>0.013999999999999999</x:v>
      </x:c>
      <x:c r="H487" s="5" t="n">
        <x:v>0.0236</x:v>
      </x:c>
      <x:c r="I487" s="5" t="n">
        <x:v>0</x:v>
      </x:c>
      <x:c r="J487" s="4" t="n">
        <x:v>1503</x:v>
      </x:c>
      <x:c r="K487" s="4" t="n">
        <x:v>21</x:v>
      </x:c>
      <x:c r="L487" s="4" t="n">
        <x:v>889</x:v>
      </x:c>
      <x:c r="M487" s="4" t="n">
        <x:v>21</x:v>
      </x:c>
      <x:c r="N487" s="4" t="n">
        <x:v>614</x:v>
      </x:c>
      <x:c r="O487" s="4" t="n">
        <x:v>0</x:v>
      </x:c>
      <x:c r="P487" s="1" t="str">
        <x:v>PASS</x:v>
      </x:c>
      <x:c r="Q487" s="4" t="n">
        <x:v>0</x:v>
      </x:c>
      <x:c r="R487" s="1" t="str">
        <x:v>PASS</x:v>
      </x:c>
      <x:c r="S487" s="4" t="n">
        <x:v>0</x:v>
      </x:c>
      <x:c r="T487" s="1" t="str">
        <x:v>NOT_REVEALING</x:v>
      </x:c>
      <x:c r="U487" s="1" t="str">
        <x:v>JacksonDatabind_96</x:v>
      </x:c>
      <x:c r="V487" s="6" t="n">
        <x:v>75.58</x:v>
      </x:c>
    </x:row>
    <x:row r="488" ht="22" customHeight="1">
      <x:c r="A488" s="1" t="str">
        <x:v>Round1</x:v>
      </x:c>
      <x:c r="B488" s="1" t="str">
        <x:v>JacksonDatabind</x:v>
      </x:c>
      <x:c r="C488" s="4" t="n">
        <x:v>97</x:v>
      </x:c>
      <x:c r="D488" s="4" t="n">
        <x:v>0</x:v>
      </x:c>
      <x:c r="E488" s="4" t="n">
        <x:v>60</x:v>
      </x:c>
      <x:c r="F488" s="4" t="n">
        <x:v>2719</x:v>
      </x:c>
      <x:c r="G488" s="5" t="n">
        <x:v>0.76</x:v>
      </x:c>
      <x:c r="H488" s="5" t="n">
        <x:v>0.8293</x:v>
      </x:c>
      <x:c r="I488" s="5" t="n">
        <x:v>0.6765000000000001</x:v>
      </x:c>
      <x:c r="J488" s="4" t="n">
        <x:v>75</x:v>
      </x:c>
      <x:c r="K488" s="4" t="n">
        <x:v>57</x:v>
      </x:c>
      <x:c r="L488" s="4" t="n">
        <x:v>41</x:v>
      </x:c>
      <x:c r="M488" s="4" t="n">
        <x:v>34</x:v>
      </x:c>
      <x:c r="N488" s="4" t="n">
        <x:v>34</x:v>
      </x:c>
      <x:c r="O488" s="4" t="n">
        <x:v>23</x:v>
      </x:c>
      <x:c r="P488" s="1" t="str">
        <x:v>PASS</x:v>
      </x:c>
      <x:c r="Q488" s="4" t="n">
        <x:v>0</x:v>
      </x:c>
      <x:c r="R488" s="1" t="str">
        <x:v>PASS</x:v>
      </x:c>
      <x:c r="S488" s="4" t="n">
        <x:v>0</x:v>
      </x:c>
      <x:c r="T488" s="1" t="str">
        <x:v>NOT_REVEALING</x:v>
      </x:c>
      <x:c r="U488" s="1" t="str">
        <x:v>JacksonDatabind_97</x:v>
      </x:c>
      <x:c r="V488" s="6" t="n">
        <x:v>99.06</x:v>
      </x:c>
    </x:row>
    <x:row r="489" ht="22" customHeight="1">
      <x:c r="A489" s="1" t="str">
        <x:v>Round1</x:v>
      </x:c>
      <x:c r="B489" s="1" t="str">
        <x:v>JacksonDatabind</x:v>
      </x:c>
      <x:c r="C489" s="4" t="n">
        <x:v>98</x:v>
      </x:c>
      <x:c r="D489" s="4" t="n">
        <x:v>0</x:v>
      </x:c>
      <x:c r="E489" s="4" t="n">
        <x:v>60</x:v>
      </x:c>
      <x:c r="F489" s="4" t="n">
        <x:v>3074</x:v>
      </x:c>
      <x:c r="G489" s="5" t="n">
        <x:v>0.17059999999999997</x:v>
      </x:c>
      <x:c r="H489" s="5" t="n">
        <x:v>0.22219999999999998</x:v>
      </x:c>
      <x:c r="I489" s="5" t="n">
        <x:v>0.054299999999999994</x:v>
      </x:c>
      <x:c r="J489" s="4" t="n">
        <x:v>299</x:v>
      </x:c>
      <x:c r="K489" s="4" t="n">
        <x:v>51</x:v>
      </x:c>
      <x:c r="L489" s="4" t="n">
        <x:v>207</x:v>
      </x:c>
      <x:c r="M489" s="4" t="n">
        <x:v>46</x:v>
      </x:c>
      <x:c r="N489" s="4" t="n">
        <x:v>92</x:v>
      </x:c>
      <x:c r="O489" s="4" t="n">
        <x:v>5</x:v>
      </x:c>
      <x:c r="P489" s="1" t="str">
        <x:v>PASS</x:v>
      </x:c>
      <x:c r="Q489" s="4" t="n">
        <x:v>0</x:v>
      </x:c>
      <x:c r="R489" s="1" t="str">
        <x:v>PASS</x:v>
      </x:c>
      <x:c r="S489" s="4" t="n">
        <x:v>0</x:v>
      </x:c>
      <x:c r="T489" s="1" t="str">
        <x:v>NOT_REVEALING</x:v>
      </x:c>
      <x:c r="U489" s="1" t="str">
        <x:v>JacksonDatabind_98</x:v>
      </x:c>
      <x:c r="V489" s="6" t="n">
        <x:v>110.11</x:v>
      </x:c>
    </x:row>
    <x:row r="490" ht="22" customHeight="1">
      <x:c r="A490" s="1" t="str">
        <x:v>Round1</x:v>
      </x:c>
      <x:c r="B490" s="1" t="str">
        <x:v>JacksonDatabind</x:v>
      </x:c>
      <x:c r="C490" s="4" t="n">
        <x:v>99</x:v>
      </x:c>
      <x:c r="D490" s="4" t="n">
        <x:v>0</x:v>
      </x:c>
      <x:c r="E490" s="4" t="n">
        <x:v>60</x:v>
      </x:c>
      <x:c r="F490" s="4" t="n">
        <x:v>3</x:v>
      </x:c>
      <x:c r="G490" s="5" t="n">
        <x:v>0.0408</x:v>
      </x:c>
      <x:c r="H490" s="5" t="n">
        <x:v>0.0429</x:v>
      </x:c>
      <x:c r="I490" s="5" t="n">
        <x:v>0.035699999999999996</x:v>
      </x:c>
      <x:c r="J490" s="4" t="n">
        <x:v>98</x:v>
      </x:c>
      <x:c r="K490" s="4" t="n">
        <x:v>4</x:v>
      </x:c>
      <x:c r="L490" s="4" t="n">
        <x:v>70</x:v>
      </x:c>
      <x:c r="M490" s="4" t="n">
        <x:v>3</x:v>
      </x:c>
      <x:c r="N490" s="4" t="n">
        <x:v>28</x:v>
      </x:c>
      <x:c r="O490" s="4" t="n">
        <x:v>1</x:v>
      </x:c>
      <x:c r="P490" s="1" t="str">
        <x:v>PASS</x:v>
      </x:c>
      <x:c r="Q490" s="4" t="n">
        <x:v>0</x:v>
      </x:c>
      <x:c r="R490" s="1" t="str">
        <x:v>PASS</x:v>
      </x:c>
      <x:c r="S490" s="4" t="n">
        <x:v>0</x:v>
      </x:c>
      <x:c r="T490" s="1" t="str">
        <x:v>NOT_REVEALING</x:v>
      </x:c>
      <x:c r="U490" s="1" t="str">
        <x:v>JacksonDatabind_99</x:v>
      </x:c>
      <x:c r="V490" s="6" t="n">
        <x:v>77.87</x:v>
      </x:c>
    </x:row>
    <x:row r="491" ht="22" customHeight="1">
      <x:c r="A491" s="1" t="str">
        <x:v>Round1</x:v>
      </x:c>
      <x:c r="B491" s="1" t="str">
        <x:v>JacksonDatabind</x:v>
      </x:c>
      <x:c r="C491" s="4" t="n">
        <x:v>100</x:v>
      </x:c>
      <x:c r="D491" s="4" t="n">
        <x:v>0</x:v>
      </x:c>
      <x:c r="E491" s="4" t="n">
        <x:v>60</x:v>
      </x:c>
      <x:c r="F491" s="4" t="n">
        <x:v>3</x:v>
      </x:c>
      <x:c r="G491" s="5" t="n">
        <x:v>0.0196</x:v>
      </x:c>
      <x:c r="H491" s="5" t="n">
        <x:v>0.0325</x:v>
      </x:c>
      <x:c r="I491" s="5" t="n">
        <x:v>0</x:v>
      </x:c>
      <x:c r="J491" s="4" t="n">
        <x:v>204</x:v>
      </x:c>
      <x:c r="K491" s="4" t="n">
        <x:v>4</x:v>
      </x:c>
      <x:c r="L491" s="4" t="n">
        <x:v>123</x:v>
      </x:c>
      <x:c r="M491" s="4" t="n">
        <x:v>4</x:v>
      </x:c>
      <x:c r="N491" s="4" t="n">
        <x:v>81</x:v>
      </x:c>
      <x:c r="O491" s="4" t="n">
        <x:v>0</x:v>
      </x:c>
      <x:c r="P491" s="1" t="str">
        <x:v>PASS</x:v>
      </x:c>
      <x:c r="Q491" s="4" t="n">
        <x:v>0</x:v>
      </x:c>
      <x:c r="R491" s="1" t="str">
        <x:v>PASS</x:v>
      </x:c>
      <x:c r="S491" s="4" t="n">
        <x:v>0</x:v>
      </x:c>
      <x:c r="T491" s="1" t="str">
        <x:v>NOT_REVEALING</x:v>
      </x:c>
      <x:c r="U491" s="1" t="str">
        <x:v>JacksonDatabind_100</x:v>
      </x:c>
      <x:c r="V491" s="6" t="n">
        <x:v>72.08</x:v>
      </x:c>
    </x:row>
    <x:row r="492" ht="22" customHeight="1">
      <x:c r="A492" s="1" t="str">
        <x:v>Round1</x:v>
      </x:c>
      <x:c r="B492" s="1" t="str">
        <x:v>JacksonDatabind</x:v>
      </x:c>
      <x:c r="C492" s="4" t="n">
        <x:v>101</x:v>
      </x:c>
      <x:c r="D492" s="4" t="n">
        <x:v>0</x:v>
      </x:c>
      <x:c r="E492" s="4" t="n">
        <x:v>60</x:v>
      </x:c>
      <x:c r="F492" s="4" t="n">
        <x:v>43</x:v>
      </x:c>
      <x:c r="G492" s="5" t="n">
        <x:v>0.011200000000000002</x:v>
      </x:c>
      <x:c r="H492" s="5" t="n">
        <x:v>0.0173</x:v>
      </x:c>
      <x:c r="I492" s="5" t="n">
        <x:v>0</x:v>
      </x:c>
      <x:c r="J492" s="4" t="n">
        <x:v>712</x:v>
      </x:c>
      <x:c r="K492" s="4" t="n">
        <x:v>8</x:v>
      </x:c>
      <x:c r="L492" s="4" t="n">
        <x:v>463</x:v>
      </x:c>
      <x:c r="M492" s="4" t="n">
        <x:v>8</x:v>
      </x:c>
      <x:c r="N492" s="4" t="n">
        <x:v>249</x:v>
      </x:c>
      <x:c r="O492" s="4" t="n">
        <x:v>0</x:v>
      </x:c>
      <x:c r="P492" s="1" t="str">
        <x:v>PASS</x:v>
      </x:c>
      <x:c r="Q492" s="4" t="n">
        <x:v>0</x:v>
      </x:c>
      <x:c r="R492" s="1" t="str">
        <x:v>PASS</x:v>
      </x:c>
      <x:c r="S492" s="4" t="n">
        <x:v>0</x:v>
      </x:c>
      <x:c r="T492" s="1" t="str">
        <x:v>NOT_REVEALING</x:v>
      </x:c>
      <x:c r="U492" s="1" t="str">
        <x:v>JacksonDatabind_101</x:v>
      </x:c>
      <x:c r="V492" s="6" t="n">
        <x:v>73.66</x:v>
      </x:c>
    </x:row>
    <x:row r="493" ht="22" customHeight="1">
      <x:c r="A493" s="1" t="str">
        <x:v>Round1</x:v>
      </x:c>
      <x:c r="B493" s="1" t="str">
        <x:v>JacksonDatabind</x:v>
      </x:c>
      <x:c r="C493" s="4" t="n">
        <x:v>102</x:v>
      </x:c>
      <x:c r="D493" s="4" t="n">
        <x:v>0</x:v>
      </x:c>
      <x:c r="E493" s="4" t="n">
        <x:v>60</x:v>
      </x:c>
      <x:c r="F493" s="4" t="n">
        <x:v>1</x:v>
      </x:c>
      <x:c r="G493" s="5" t="n">
        <x:v>0</x:v>
      </x:c>
      <x:c r="H493" s="5" t="n">
        <x:v>0</x:v>
      </x:c>
      <x:c r="I493" s="5" t="n">
        <x:v>0</x:v>
      </x:c>
      <x:c r="J493" s="4" t="n">
        <x:v>123</x:v>
      </x:c>
      <x:c r="K493" s="4" t="n">
        <x:v>0</x:v>
      </x:c>
      <x:c r="L493" s="4" t="n">
        <x:v>71</x:v>
      </x:c>
      <x:c r="M493" s="4" t="n">
        <x:v>0</x:v>
      </x:c>
      <x:c r="N493" s="4" t="n">
        <x:v>52</x:v>
      </x:c>
      <x:c r="O493" s="4" t="n">
        <x:v>0</x:v>
      </x:c>
      <x:c r="P493" s="1" t="str">
        <x:v>PASS</x:v>
      </x:c>
      <x:c r="Q493" s="4" t="n">
        <x:v>0</x:v>
      </x:c>
      <x:c r="R493" s="1" t="str">
        <x:v>PASS</x:v>
      </x:c>
      <x:c r="S493" s="4" t="n">
        <x:v>0</x:v>
      </x:c>
      <x:c r="T493" s="1" t="str">
        <x:v>NOT_REVEALING</x:v>
      </x:c>
      <x:c r="U493" s="1" t="str">
        <x:v>JacksonDatabind_102</x:v>
      </x:c>
      <x:c r="V493" s="6" t="n">
        <x:v>65.29</x:v>
      </x:c>
    </x:row>
    <x:row r="494" ht="22" customHeight="1">
      <x:c r="A494" s="1" t="str">
        <x:v>Round1</x:v>
      </x:c>
      <x:c r="B494" s="1" t="str">
        <x:v>JacksonDatabind</x:v>
      </x:c>
      <x:c r="C494" s="4" t="n">
        <x:v>103</x:v>
      </x:c>
      <x:c r="D494" s="4" t="n">
        <x:v>0</x:v>
      </x:c>
      <x:c r="E494" s="4" t="n">
        <x:v>60</x:v>
      </x:c>
      <x:c r="F494" s="4" t="n">
        <x:v>2771</x:v>
      </x:c>
      <x:c r="G494" s="5" t="n">
        <x:v>0.12240000000000001</x:v>
      </x:c>
      <x:c r="H494" s="5" t="n">
        <x:v>0.1523</x:v>
      </x:c>
      <x:c r="I494" s="5" t="n">
        <x:v>0.0722</x:v>
      </x:c>
      <x:c r="J494" s="4" t="n">
        <x:v>6791</x:v>
      </x:c>
      <x:c r="K494" s="4" t="n">
        <x:v>831</x:v>
      </x:c>
      <x:c r="L494" s="4" t="n">
        <x:v>4256</x:v>
      </x:c>
      <x:c r="M494" s="4" t="n">
        <x:v>648</x:v>
      </x:c>
      <x:c r="N494" s="4" t="n">
        <x:v>2535</x:v>
      </x:c>
      <x:c r="O494" s="4" t="n">
        <x:v>183</x:v>
      </x:c>
      <x:c r="P494" s="1" t="str">
        <x:v>FAIL</x:v>
      </x:c>
      <x:c r="Q494" s="4" t="n">
        <x:v>114</x:v>
      </x:c>
      <x:c r="R494" s="1" t="str">
        <x:v>FAIL</x:v>
      </x:c>
      <x:c r="S494" s="4" t="n">
        <x:v>114</x:v>
      </x:c>
      <x:c r="T494" s="1" t="str">
        <x:v>INCONCLUSIVE</x:v>
      </x:c>
      <x:c r="U494" s="1" t="str">
        <x:v>JacksonDatabind_103</x:v>
      </x:c>
      <x:c r="V494" s="6" t="n">
        <x:v>84.43</x:v>
      </x:c>
    </x:row>
    <x:row r="495" ht="22" customHeight="1">
      <x:c r="A495" s="1" t="str">
        <x:v>Round1</x:v>
      </x:c>
      <x:c r="B495" s="1" t="str">
        <x:v>JacksonDatabind</x:v>
      </x:c>
      <x:c r="C495" s="4" t="n">
        <x:v>104</x:v>
      </x:c>
      <x:c r="D495" s="4" t="n">
        <x:v>0</x:v>
      </x:c>
      <x:c r="E495" s="4" t="n">
        <x:v>60</x:v>
      </x:c>
      <x:c r="F495" s="4" t="n">
        <x:v>3634</x:v>
      </x:c>
      <x:c r="G495" s="5" t="n">
        <x:v>0.8101</x:v>
      </x:c>
      <x:c r="H495" s="5" t="n">
        <x:v>0.8493</x:v>
      </x:c>
      <x:c r="I495" s="5" t="n">
        <x:v>0.7236</x:v>
      </x:c>
      <x:c r="J495" s="4" t="n">
        <x:v>395</x:v>
      </x:c>
      <x:c r="K495" s="4" t="n">
        <x:v>320</x:v>
      </x:c>
      <x:c r="L495" s="4" t="n">
        <x:v>272</x:v>
      </x:c>
      <x:c r="M495" s="4" t="n">
        <x:v>231</x:v>
      </x:c>
      <x:c r="N495" s="4" t="n">
        <x:v>123</x:v>
      </x:c>
      <x:c r="O495" s="4" t="n">
        <x:v>89</x:v>
      </x:c>
      <x:c r="P495" s="1" t="str">
        <x:v>FAIL</x:v>
      </x:c>
      <x:c r="Q495" s="4" t="n">
        <x:v>2453</x:v>
      </x:c>
      <x:c r="R495" s="1" t="str">
        <x:v>FAIL</x:v>
      </x:c>
      <x:c r="S495" s="4" t="n">
        <x:v>2453</x:v>
      </x:c>
      <x:c r="T495" s="1" t="str">
        <x:v>INCONCLUSIVE</x:v>
      </x:c>
      <x:c r="U495" s="1" t="str">
        <x:v>JacksonDatabind_104</x:v>
      </x:c>
      <x:c r="V495" s="6" t="n">
        <x:v>116.84</x:v>
      </x:c>
    </x:row>
    <x:row r="496" ht="22" customHeight="1">
      <x:c r="A496" s="1" t="str">
        <x:v>Round1</x:v>
      </x:c>
      <x:c r="B496" s="1" t="str">
        <x:v>JacksonDatabind</x:v>
      </x:c>
      <x:c r="C496" s="4" t="n">
        <x:v>105</x:v>
      </x:c>
      <x:c r="D496" s="4" t="n">
        <x:v>0</x:v>
      </x:c>
      <x:c r="E496" s="4" t="n">
        <x:v>60</x:v>
      </x:c>
      <x:c r="F496" s="4" t="n">
        <x:v>2</x:v>
      </x:c>
      <x:c r="G496" s="5" t="n">
        <x:v>0.1935</x:v>
      </x:c>
      <x:c r="H496" s="5" t="n">
        <x:v>0.31579999999999997</x:v>
      </x:c>
      <x:c r="I496" s="5" t="n">
        <x:v>0</x:v>
      </x:c>
      <x:c r="J496" s="4" t="n">
        <x:v>31</x:v>
      </x:c>
      <x:c r="K496" s="4" t="n">
        <x:v>6</x:v>
      </x:c>
      <x:c r="L496" s="4" t="n">
        <x:v>19</x:v>
      </x:c>
      <x:c r="M496" s="4" t="n">
        <x:v>6</x:v>
      </x:c>
      <x:c r="N496" s="4" t="n">
        <x:v>12</x:v>
      </x:c>
      <x:c r="O496" s="4" t="n">
        <x:v>0</x:v>
      </x:c>
      <x:c r="P496" s="1" t="str">
        <x:v>PASS</x:v>
      </x:c>
      <x:c r="Q496" s="4" t="n">
        <x:v>0</x:v>
      </x:c>
      <x:c r="R496" s="1" t="str">
        <x:v>PASS</x:v>
      </x:c>
      <x:c r="S496" s="4" t="n">
        <x:v>0</x:v>
      </x:c>
      <x:c r="T496" s="1" t="str">
        <x:v>NOT_REVEALING</x:v>
      </x:c>
      <x:c r="U496" s="1" t="str">
        <x:v>JacksonDatabind_105</x:v>
      </x:c>
      <x:c r="V496" s="6" t="n">
        <x:v>67.43</x:v>
      </x:c>
    </x:row>
    <x:row r="497" ht="22" customHeight="1">
      <x:c r="A497" s="1" t="str">
        <x:v>Round1</x:v>
      </x:c>
      <x:c r="B497" s="1" t="str">
        <x:v>JacksonDatabind</x:v>
      </x:c>
      <x:c r="C497" s="4" t="n">
        <x:v>106</x:v>
      </x:c>
      <x:c r="D497" s="4" t="n">
        <x:v>0</x:v>
      </x:c>
      <x:c r="E497" s="4" t="n">
        <x:v>60</x:v>
      </x:c>
      <x:c r="F497" s="4" t="n">
        <x:v>3</x:v>
      </x:c>
      <x:c r="G497" s="5" t="n">
        <x:v>0.0202</x:v>
      </x:c>
      <x:c r="H497" s="5" t="n">
        <x:v>0.0331</x:v>
      </x:c>
      <x:c r="I497" s="5" t="n">
        <x:v>0</x:v>
      </x:c>
      <x:c r="J497" s="4" t="n">
        <x:v>198</x:v>
      </x:c>
      <x:c r="K497" s="4" t="n">
        <x:v>4</x:v>
      </x:c>
      <x:c r="L497" s="4" t="n">
        <x:v>121</x:v>
      </x:c>
      <x:c r="M497" s="4" t="n">
        <x:v>4</x:v>
      </x:c>
      <x:c r="N497" s="4" t="n">
        <x:v>77</x:v>
      </x:c>
      <x:c r="O497" s="4" t="n">
        <x:v>0</x:v>
      </x:c>
      <x:c r="P497" s="1" t="str">
        <x:v>PASS</x:v>
      </x:c>
      <x:c r="Q497" s="4" t="n">
        <x:v>0</x:v>
      </x:c>
      <x:c r="R497" s="1" t="str">
        <x:v>PASS</x:v>
      </x:c>
      <x:c r="S497" s="4" t="n">
        <x:v>0</x:v>
      </x:c>
      <x:c r="T497" s="1" t="str">
        <x:v>NOT_REVEALING</x:v>
      </x:c>
      <x:c r="U497" s="1" t="str">
        <x:v>JacksonDatabind_106</x:v>
      </x:c>
      <x:c r="V497" s="6" t="n">
        <x:v>68.25</x:v>
      </x:c>
    </x:row>
    <x:row r="498" ht="22" customHeight="1">
      <x:c r="A498" s="1" t="str">
        <x:v>Round1</x:v>
      </x:c>
      <x:c r="B498" s="1" t="str">
        <x:v>JacksonDatabind</x:v>
      </x:c>
      <x:c r="C498" s="4" t="n">
        <x:v>107</x:v>
      </x:c>
      <x:c r="D498" s="4" t="n">
        <x:v>0</x:v>
      </x:c>
      <x:c r="E498" s="4" t="n">
        <x:v>60</x:v>
      </x:c>
      <x:c r="F498" s="4" t="n">
        <x:v>2</x:v>
      </x:c>
      <x:c r="G498" s="5" t="n">
        <x:v>0</x:v>
      </x:c>
      <x:c r="H498" s="5" t="n">
        <x:v>0</x:v>
      </x:c>
      <x:c r="I498" s="5" t="n">
        <x:v>0</x:v>
      </x:c>
      <x:c r="J498" s="4" t="n">
        <x:v>109</x:v>
      </x:c>
      <x:c r="K498" s="4" t="n">
        <x:v>0</x:v>
      </x:c>
      <x:c r="L498" s="4" t="n">
        <x:v>77</x:v>
      </x:c>
      <x:c r="M498" s="4" t="n">
        <x:v>0</x:v>
      </x:c>
      <x:c r="N498" s="4" t="n">
        <x:v>32</x:v>
      </x:c>
      <x:c r="O498" s="4" t="n">
        <x:v>0</x:v>
      </x:c>
      <x:c r="P498" s="1" t="str">
        <x:v>PASS</x:v>
      </x:c>
      <x:c r="Q498" s="4" t="n">
        <x:v>0</x:v>
      </x:c>
      <x:c r="R498" s="1" t="str">
        <x:v>PASS</x:v>
      </x:c>
      <x:c r="S498" s="4" t="n">
        <x:v>0</x:v>
      </x:c>
      <x:c r="T498" s="1" t="str">
        <x:v>NOT_REVEALING</x:v>
      </x:c>
      <x:c r="U498" s="1" t="str">
        <x:v>JacksonDatabind_107</x:v>
      </x:c>
      <x:c r="V498" s="6" t="n">
        <x:v>66.07</x:v>
      </x:c>
    </x:row>
    <x:row r="499" ht="22" customHeight="1">
      <x:c r="A499" s="1" t="str">
        <x:v>Round1</x:v>
      </x:c>
      <x:c r="B499" s="1" t="str">
        <x:v>JacksonDatabind</x:v>
      </x:c>
      <x:c r="C499" s="4" t="n">
        <x:v>108</x:v>
      </x:c>
      <x:c r="D499" s="4" t="n">
        <x:v>0</x:v>
      </x:c>
      <x:c r="E499" s="4" t="n">
        <x:v>60</x:v>
      </x:c>
      <x:c r="F499" s="4" t="n">
        <x:v>88</x:v>
      </x:c>
      <x:c r="G499" s="5" t="n">
        <x:v>0.024399999999999998</x:v>
      </x:c>
      <x:c r="H499" s="5" t="n">
        <x:v>0.0346</x:v>
      </x:c>
      <x:c r="I499" s="5" t="n">
        <x:v>0</x:v>
      </x:c>
      <x:c r="J499" s="4" t="n">
        <x:v>615</x:v>
      </x:c>
      <x:c r="K499" s="4" t="n">
        <x:v>15</x:v>
      </x:c>
      <x:c r="L499" s="4" t="n">
        <x:v>433</x:v>
      </x:c>
      <x:c r="M499" s="4" t="n">
        <x:v>15</x:v>
      </x:c>
      <x:c r="N499" s="4" t="n">
        <x:v>182</x:v>
      </x:c>
      <x:c r="O499" s="4" t="n">
        <x:v>0</x:v>
      </x:c>
      <x:c r="P499" s="1" t="str">
        <x:v>PASS</x:v>
      </x:c>
      <x:c r="Q499" s="4" t="n">
        <x:v>0</x:v>
      </x:c>
      <x:c r="R499" s="1" t="str">
        <x:v>PASS</x:v>
      </x:c>
      <x:c r="S499" s="4" t="n">
        <x:v>0</x:v>
      </x:c>
      <x:c r="T499" s="1" t="str">
        <x:v>NOT_REVEALING</x:v>
      </x:c>
      <x:c r="U499" s="1" t="str">
        <x:v>JacksonDatabind_108</x:v>
      </x:c>
      <x:c r="V499" s="6" t="n">
        <x:v>71.8</x:v>
      </x:c>
    </x:row>
    <x:row r="500" ht="22" customHeight="1">
      <x:c r="A500" s="1" t="str">
        <x:v>Round1</x:v>
      </x:c>
      <x:c r="B500" s="1" t="str">
        <x:v>JacksonDatabind</x:v>
      </x:c>
      <x:c r="C500" s="4" t="n">
        <x:v>109</x:v>
      </x:c>
      <x:c r="D500" s="4" t="n">
        <x:v>0</x:v>
      </x:c>
      <x:c r="E500" s="4" t="n">
        <x:v>60</x:v>
      </x:c>
      <x:c r="F500" s="4" t="n">
        <x:v>2117</x:v>
      </x:c>
      <x:c r="G500" s="5" t="n">
        <x:v>0.594</x:v>
      </x:c>
      <x:c r="H500" s="5" t="n">
        <x:v>0.5806</x:v>
      </x:c>
      <x:c r="I500" s="5" t="n">
        <x:v>0.625</x:v>
      </x:c>
      <x:c r="J500" s="4" t="n">
        <x:v>133</x:v>
      </x:c>
      <x:c r="K500" s="4" t="n">
        <x:v>79</x:v>
      </x:c>
      <x:c r="L500" s="4" t="n">
        <x:v>93</x:v>
      </x:c>
      <x:c r="M500" s="4" t="n">
        <x:v>54</x:v>
      </x:c>
      <x:c r="N500" s="4" t="n">
        <x:v>40</x:v>
      </x:c>
      <x:c r="O500" s="4" t="n">
        <x:v>25</x:v>
      </x:c>
      <x:c r="P500" s="1" t="str">
        <x:v>PASS</x:v>
      </x:c>
      <x:c r="Q500" s="4" t="n">
        <x:v>0</x:v>
      </x:c>
      <x:c r="R500" s="1" t="str">
        <x:v>PASS</x:v>
      </x:c>
      <x:c r="S500" s="4" t="n">
        <x:v>0</x:v>
      </x:c>
      <x:c r="T500" s="1" t="str">
        <x:v>NOT_REVEALING</x:v>
      </x:c>
      <x:c r="U500" s="1" t="str">
        <x:v>JacksonDatabind_109</x:v>
      </x:c>
      <x:c r="V500" s="6" t="n">
        <x:v>102.12</x:v>
      </x:c>
    </x:row>
    <x:row r="501" ht="22" customHeight="1">
      <x:c r="A501" s="1" t="str">
        <x:v>Round1</x:v>
      </x:c>
      <x:c r="B501" s="1" t="str">
        <x:v>JacksonDatabind</x:v>
      </x:c>
      <x:c r="C501" s="4" t="n">
        <x:v>110</x:v>
      </x:c>
      <x:c r="D501" s="4" t="n">
        <x:v>0</x:v>
      </x:c>
      <x:c r="E501" s="4" t="n">
        <x:v>60</x:v>
      </x:c>
      <x:c r="F501" s="4" t="n">
        <x:v>4</x:v>
      </x:c>
      <x:c r="G501" s="5" t="n">
        <x:v>0.1566</x:v>
      </x:c>
      <x:c r="H501" s="5" t="n">
        <x:v>0.2241</x:v>
      </x:c>
      <x:c r="I501" s="5" t="n">
        <x:v>0</x:v>
      </x:c>
      <x:c r="J501" s="4" t="n">
        <x:v>83</x:v>
      </x:c>
      <x:c r="K501" s="4" t="n">
        <x:v>13</x:v>
      </x:c>
      <x:c r="L501" s="4" t="n">
        <x:v>58</x:v>
      </x:c>
      <x:c r="M501" s="4" t="n">
        <x:v>13</x:v>
      </x:c>
      <x:c r="N501" s="4" t="n">
        <x:v>25</x:v>
      </x:c>
      <x:c r="O501" s="4" t="n">
        <x:v>0</x:v>
      </x:c>
      <x:c r="P501" s="1" t="str">
        <x:v>PASS</x:v>
      </x:c>
      <x:c r="Q501" s="4" t="n">
        <x:v>0</x:v>
      </x:c>
      <x:c r="R501" s="1" t="str">
        <x:v>PASS</x:v>
      </x:c>
      <x:c r="S501" s="4" t="n">
        <x:v>0</x:v>
      </x:c>
      <x:c r="T501" s="1" t="str">
        <x:v>NOT_REVEALING</x:v>
      </x:c>
      <x:c r="U501" s="1" t="str">
        <x:v>JacksonDatabind_110</x:v>
      </x:c>
      <x:c r="V501" s="6" t="n">
        <x:v>68.92</x:v>
      </x:c>
    </x:row>
    <x:row r="502" ht="22" customHeight="1">
      <x:c r="A502" s="1" t="str">
        <x:v>Round1</x:v>
      </x:c>
      <x:c r="B502" s="1" t="str">
        <x:v>JacksonDatabind</x:v>
      </x:c>
      <x:c r="C502" s="4" t="n">
        <x:v>111</x:v>
      </x:c>
      <x:c r="D502" s="4" t="n">
        <x:v>0</x:v>
      </x:c>
      <x:c r="E502" s="4" t="n">
        <x:v>60</x:v>
      </x:c>
      <x:c r="F502" s="4" t="n">
        <x:v>2907</x:v>
      </x:c>
      <x:c r="G502" s="5" t="n">
        <x:v>0.2118</x:v>
      </x:c>
      <x:c r="H502" s="5" t="n">
        <x:v>0.2493</x:v>
      </x:c>
      <x:c r="I502" s="5" t="n">
        <x:v>0.0745</x:v>
      </x:c>
      <x:c r="J502" s="4" t="n">
        <x:v>439</x:v>
      </x:c>
      <x:c r="K502" s="4" t="n">
        <x:v>93</x:v>
      </x:c>
      <x:c r="L502" s="4" t="n">
        <x:v>345</x:v>
      </x:c>
      <x:c r="M502" s="4" t="n">
        <x:v>86</x:v>
      </x:c>
      <x:c r="N502" s="4" t="n">
        <x:v>94</x:v>
      </x:c>
      <x:c r="O502" s="4" t="n">
        <x:v>7</x:v>
      </x:c>
      <x:c r="P502" s="1" t="str">
        <x:v>PASS</x:v>
      </x:c>
      <x:c r="Q502" s="4" t="n">
        <x:v>0</x:v>
      </x:c>
      <x:c r="R502" s="1" t="str">
        <x:v>PASS</x:v>
      </x:c>
      <x:c r="S502" s="4" t="n">
        <x:v>0</x:v>
      </x:c>
      <x:c r="T502" s="1" t="str">
        <x:v>NOT_REVEALING</x:v>
      </x:c>
      <x:c r="U502" s="1" t="str">
        <x:v>JacksonDatabind_111</x:v>
      </x:c>
      <x:c r="V502" s="6" t="n">
        <x:v>98.88</x:v>
      </x:c>
    </x:row>
    <x:row r="503" ht="22" customHeight="1">
      <x:c r="A503" s="1" t="str">
        <x:v>Round1</x:v>
      </x:c>
      <x:c r="B503" s="1" t="str">
        <x:v>JacksonDatabind</x:v>
      </x:c>
      <x:c r="C503" s="4" t="n">
        <x:v>112</x:v>
      </x:c>
      <x:c r="D503" s="4" t="n">
        <x:v>0</x:v>
      </x:c>
      <x:c r="E503" s="4" t="n">
        <x:v>60</x:v>
      </x:c>
      <x:c r="F503" s="4" t="n">
        <x:v>1</x:v>
      </x:c>
      <x:c r="G503" s="5" t="n">
        <x:v>0</x:v>
      </x:c>
      <x:c r="H503" s="5" t="n">
        <x:v>0</x:v>
      </x:c>
      <x:c r="I503" s="5" t="n">
        <x:v>0</x:v>
      </x:c>
      <x:c r="J503" s="4" t="n">
        <x:v>146</x:v>
      </x:c>
      <x:c r="K503" s="4" t="n">
        <x:v>0</x:v>
      </x:c>
      <x:c r="L503" s="4" t="n">
        <x:v>88</x:v>
      </x:c>
      <x:c r="M503" s="4" t="n">
        <x:v>0</x:v>
      </x:c>
      <x:c r="N503" s="4" t="n">
        <x:v>58</x:v>
      </x:c>
      <x:c r="O503" s="4" t="n">
        <x:v>0</x:v>
      </x:c>
      <x:c r="P503" s="1" t="str">
        <x:v>PASS</x:v>
      </x:c>
      <x:c r="Q503" s="4" t="n">
        <x:v>0</x:v>
      </x:c>
      <x:c r="R503" s="1" t="str">
        <x:v>PASS</x:v>
      </x:c>
      <x:c r="S503" s="4" t="n">
        <x:v>0</x:v>
      </x:c>
      <x:c r="T503" s="1" t="str">
        <x:v>NOT_REVEALING</x:v>
      </x:c>
      <x:c r="U503" s="1" t="str">
        <x:v>JacksonDatabind_112</x:v>
      </x:c>
      <x:c r="V503" s="6" t="n">
        <x:v>68.25</x:v>
      </x:c>
    </x:row>
    <x:row r="504" ht="22" customHeight="1">
      <x:c r="A504" s="1" t="str">
        <x:v>Round1</x:v>
      </x:c>
      <x:c r="B504" s="1" t="str">
        <x:v>JacksonXml</x:v>
      </x:c>
      <x:c r="C504" s="4" t="n">
        <x:v>1</x:v>
      </x:c>
      <x:c r="D504" s="4" t="n">
        <x:v>0</x:v>
      </x:c>
      <x:c r="E504" s="4" t="n">
        <x:v>60</x:v>
      </x:c>
      <x:c r="F504" s="4" t="n">
        <x:v>364</x:v>
      </x:c>
      <x:c r="G504" s="5" t="n">
        <x:v>0.0317</x:v>
      </x:c>
      <x:c r="H504" s="5" t="n">
        <x:v>0.044199999999999996</x:v>
      </x:c>
      <x:c r="I504" s="5" t="n">
        <x:v>0.0068000000000000005</x:v>
      </x:c>
      <x:c r="J504" s="4" t="n">
        <x:v>441</x:v>
      </x:c>
      <x:c r="K504" s="4" t="n">
        <x:v>14</x:v>
      </x:c>
      <x:c r="L504" s="4" t="n">
        <x:v>294</x:v>
      </x:c>
      <x:c r="M504" s="4" t="n">
        <x:v>13</x:v>
      </x:c>
      <x:c r="N504" s="4" t="n">
        <x:v>147</x:v>
      </x:c>
      <x:c r="O504" s="4" t="n">
        <x:v>1</x:v>
      </x:c>
      <x:c r="P504" s="1" t="str">
        <x:v>PASS</x:v>
      </x:c>
      <x:c r="Q504" s="4" t="n">
        <x:v>0</x:v>
      </x:c>
      <x:c r="R504" s="1" t="str">
        <x:v>PASS</x:v>
      </x:c>
      <x:c r="S504" s="4" t="n">
        <x:v>0</x:v>
      </x:c>
      <x:c r="T504" s="1" t="str">
        <x:v>NOT_REVEALING</x:v>
      </x:c>
      <x:c r="U504" s="1" t="str">
        <x:v>JacksonXml_1</x:v>
      </x:c>
      <x:c r="V504" s="6" t="n">
        <x:v>25.21</x:v>
      </x:c>
    </x:row>
    <x:row r="505" ht="22" customHeight="1">
      <x:c r="A505" s="1" t="str">
        <x:v>Round1</x:v>
      </x:c>
      <x:c r="B505" s="1" t="str">
        <x:v>JacksonXml</x:v>
      </x:c>
      <x:c r="C505" s="4" t="n">
        <x:v>2</x:v>
      </x:c>
      <x:c r="D505" s="4" t="n">
        <x:v>0</x:v>
      </x:c>
      <x:c r="E505" s="4" t="n">
        <x:v>60</x:v>
      </x:c>
      <x:c r="F505" s="4" t="n">
        <x:v>53</x:v>
      </x:c>
      <x:c r="G505" s="5" t="n">
        <x:v>0.016399999999999998</x:v>
      </x:c>
      <x:c r="H505" s="5" t="n">
        <x:v>0.0235</x:v>
      </x:c>
      <x:c r="I505" s="5" t="n">
        <x:v>0</x:v>
      </x:c>
      <x:c r="J505" s="4" t="n">
        <x:v>244</x:v>
      </x:c>
      <x:c r="K505" s="4" t="n">
        <x:v>4</x:v>
      </x:c>
      <x:c r="L505" s="4" t="n">
        <x:v>170</x:v>
      </x:c>
      <x:c r="M505" s="4" t="n">
        <x:v>4</x:v>
      </x:c>
      <x:c r="N505" s="4" t="n">
        <x:v>74</x:v>
      </x:c>
      <x:c r="O505" s="4" t="n">
        <x:v>0</x:v>
      </x:c>
      <x:c r="P505" s="1" t="str">
        <x:v>PASS</x:v>
      </x:c>
      <x:c r="Q505" s="4" t="n">
        <x:v>0</x:v>
      </x:c>
      <x:c r="R505" s="1" t="str">
        <x:v>PASS</x:v>
      </x:c>
      <x:c r="S505" s="4" t="n">
        <x:v>0</x:v>
      </x:c>
      <x:c r="T505" s="1" t="str">
        <x:v>NOT_REVEALING</x:v>
      </x:c>
      <x:c r="U505" s="1" t="str">
        <x:v>JacksonXml_2</x:v>
      </x:c>
      <x:c r="V505" s="6" t="n">
        <x:v>21.88</x:v>
      </x:c>
    </x:row>
    <x:row r="506" ht="22" customHeight="1">
      <x:c r="A506" s="1" t="str">
        <x:v>Round1</x:v>
      </x:c>
      <x:c r="B506" s="1" t="str">
        <x:v>JacksonXml</x:v>
      </x:c>
      <x:c r="C506" s="4" t="n">
        <x:v>3</x:v>
      </x:c>
      <x:c r="D506" s="4" t="n">
        <x:v>0</x:v>
      </x:c>
      <x:c r="E506" s="4" t="n">
        <x:v>60</x:v>
      </x:c>
      <x:c r="F506" s="4" t="n">
        <x:v>364</x:v>
      </x:c>
      <x:c r="G506" s="5" t="n">
        <x:v>0.031400000000000004</x:v>
      </x:c>
      <x:c r="H506" s="5" t="n">
        <x:v>0.0441</x:v>
      </x:c>
      <x:c r="I506" s="5" t="n">
        <x:v>0.0066</x:v>
      </x:c>
      <x:c r="J506" s="4" t="n">
        <x:v>446</x:v>
      </x:c>
      <x:c r="K506" s="4" t="n">
        <x:v>14</x:v>
      </x:c>
      <x:c r="L506" s="4" t="n">
        <x:v>295</x:v>
      </x:c>
      <x:c r="M506" s="4" t="n">
        <x:v>13</x:v>
      </x:c>
      <x:c r="N506" s="4" t="n">
        <x:v>151</x:v>
      </x:c>
      <x:c r="O506" s="4" t="n">
        <x:v>1</x:v>
      </x:c>
      <x:c r="P506" s="1" t="str">
        <x:v>PASS</x:v>
      </x:c>
      <x:c r="Q506" s="4" t="n">
        <x:v>0</x:v>
      </x:c>
      <x:c r="R506" s="1" t="str">
        <x:v>PASS</x:v>
      </x:c>
      <x:c r="S506" s="4" t="n">
        <x:v>0</x:v>
      </x:c>
      <x:c r="T506" s="1" t="str">
        <x:v>NOT_REVEALING</x:v>
      </x:c>
      <x:c r="U506" s="1" t="str">
        <x:v>JacksonXml_3</x:v>
      </x:c>
      <x:c r="V506" s="6" t="n">
        <x:v>25.38</x:v>
      </x:c>
    </x:row>
    <x:row r="507" ht="22" customHeight="1">
      <x:c r="A507" s="1" t="str">
        <x:v>Round1</x:v>
      </x:c>
      <x:c r="B507" s="1" t="str">
        <x:v>JacksonXml</x:v>
      </x:c>
      <x:c r="C507" s="4" t="n">
        <x:v>4</x:v>
      </x:c>
      <x:c r="D507" s="4" t="n">
        <x:v>0</x:v>
      </x:c>
      <x:c r="E507" s="4" t="n">
        <x:v>60</x:v>
      </x:c>
      <x:c r="F507" s="4" t="n">
        <x:v>3457</x:v>
      </x:c>
      <x:c r="G507" s="5" t="n">
        <x:v>0.19210000000000002</x:v>
      </x:c>
      <x:c r="H507" s="5" t="n">
        <x:v>0.2101</x:v>
      </x:c>
      <x:c r="I507" s="5" t="n">
        <x:v>0.1552</x:v>
      </x:c>
      <x:c r="J507" s="4" t="n">
        <x:v>177</x:v>
      </x:c>
      <x:c r="K507" s="4" t="n">
        <x:v>34</x:v>
      </x:c>
      <x:c r="L507" s="4" t="n">
        <x:v>119</x:v>
      </x:c>
      <x:c r="M507" s="4" t="n">
        <x:v>25</x:v>
      </x:c>
      <x:c r="N507" s="4" t="n">
        <x:v>58</x:v>
      </x:c>
      <x:c r="O507" s="4" t="n">
        <x:v>9</x:v>
      </x:c>
      <x:c r="P507" s="1" t="str">
        <x:v>PASS</x:v>
      </x:c>
      <x:c r="Q507" s="4" t="n">
        <x:v>0</x:v>
      </x:c>
      <x:c r="R507" s="1" t="str">
        <x:v>FAIL</x:v>
      </x:c>
      <x:c r="S507" s="4" t="n">
        <x:v>232</x:v>
      </x:c>
      <x:c r="T507" s="1" t="str">
        <x:v>INCONCLUSIVE</x:v>
      </x:c>
      <x:c r="U507" s="1" t="str">
        <x:v>JacksonXml_4</x:v>
      </x:c>
      <x:c r="V507" s="6" t="n">
        <x:v>58.46</x:v>
      </x:c>
    </x:row>
    <x:row r="508" ht="22" customHeight="1">
      <x:c r="A508" s="1" t="str">
        <x:v>Round1</x:v>
      </x:c>
      <x:c r="B508" s="1" t="str">
        <x:v>JacksonXml</x:v>
      </x:c>
      <x:c r="C508" s="4" t="n">
        <x:v>5</x:v>
      </x:c>
      <x:c r="D508" s="4" t="n">
        <x:v>0</x:v>
      </x:c>
      <x:c r="E508" s="4" t="n">
        <x:v>60</x:v>
      </x:c>
      <x:c r="F508" s="4" t="n">
        <x:v>3503</x:v>
      </x:c>
      <x:c r="G508" s="5" t="n">
        <x:v>0.25</x:v>
      </x:c>
      <x:c r="H508" s="5" t="n">
        <x:v>0.2917</x:v>
      </x:c>
      <x:c r="I508" s="5" t="n">
        <x:v>0.16670000000000001</x:v>
      </x:c>
      <x:c r="J508" s="4" t="n">
        <x:v>144</x:v>
      </x:c>
      <x:c r="K508" s="4" t="n">
        <x:v>36</x:v>
      </x:c>
      <x:c r="L508" s="4" t="n">
        <x:v>96</x:v>
      </x:c>
      <x:c r="M508" s="4" t="n">
        <x:v>28</x:v>
      </x:c>
      <x:c r="N508" s="4" t="n">
        <x:v>48</x:v>
      </x:c>
      <x:c r="O508" s="4" t="n">
        <x:v>8</x:v>
      </x:c>
      <x:c r="P508" s="1" t="str">
        <x:v>PASS</x:v>
      </x:c>
      <x:c r="Q508" s="4" t="n">
        <x:v>0</x:v>
      </x:c>
      <x:c r="R508" s="1" t="str">
        <x:v>FAIL</x:v>
      </x:c>
      <x:c r="S508" s="4" t="n">
        <x:v>146</x:v>
      </x:c>
      <x:c r="T508" s="1" t="str">
        <x:v>INCONCLUSIVE</x:v>
      </x:c>
      <x:c r="U508" s="1" t="str">
        <x:v>JacksonXml_5</x:v>
      </x:c>
      <x:c r="V508" s="6" t="n">
        <x:v>55.13</x:v>
      </x:c>
    </x:row>
    <x:row r="509" ht="22" customHeight="1">
      <x:c r="A509" s="1" t="str">
        <x:v>Round1</x:v>
      </x:c>
      <x:c r="B509" s="1" t="str">
        <x:v>JacksonXml</x:v>
      </x:c>
      <x:c r="C509" s="4" t="n">
        <x:v>6</x:v>
      </x:c>
      <x:c r="D509" s="4" t="n">
        <x:v>0</x:v>
      </x:c>
      <x:c r="E509" s="4" t="n">
        <x:v>60</x:v>
      </x:c>
      <x:c r="F509" s="4" t="n">
        <x:v>4744</x:v>
      </x:c>
      <x:c r="G509" s="5" t="n">
        <x:v>0.040999999999999995</x:v>
      </x:c>
      <x:c r="H509" s="5" t="n">
        <x:v>0.0495</x:v>
      </x:c>
      <x:c r="I509" s="5" t="n">
        <x:v>0.0225</x:v>
      </x:c>
      <x:c r="J509" s="4" t="n">
        <x:v>707</x:v>
      </x:c>
      <x:c r="K509" s="4" t="n">
        <x:v>29</x:v>
      </x:c>
      <x:c r="L509" s="4" t="n">
        <x:v>485</x:v>
      </x:c>
      <x:c r="M509" s="4" t="n">
        <x:v>24</x:v>
      </x:c>
      <x:c r="N509" s="4" t="n">
        <x:v>222</x:v>
      </x:c>
      <x:c r="O509" s="4" t="n">
        <x:v>5</x:v>
      </x:c>
      <x:c r="P509" s="1" t="str">
        <x:v>PASS</x:v>
      </x:c>
      <x:c r="Q509" s="4" t="n">
        <x:v>0</x:v>
      </x:c>
      <x:c r="R509" s="1" t="str">
        <x:v>PASS</x:v>
      </x:c>
      <x:c r="S509" s="4" t="n">
        <x:v>0</x:v>
      </x:c>
      <x:c r="T509" s="1" t="str">
        <x:v>NOT_REVEALING</x:v>
      </x:c>
      <x:c r="U509" s="1" t="str">
        <x:v>JacksonXml_6</x:v>
      </x:c>
      <x:c r="V509" s="6" t="n">
        <x:v>44.71</x:v>
      </x:c>
    </x:row>
    <x:row r="510" ht="22" customHeight="1">
      <x:c r="A510" s="1" t="str">
        <x:v>Round1</x:v>
      </x:c>
      <x:c r="B510" s="1" t="str">
        <x:v>Jsoup</x:v>
      </x:c>
      <x:c r="C510" s="4" t="n">
        <x:v>1</x:v>
      </x:c>
      <x:c r="D510" s="4" t="n">
        <x:v>0</x:v>
      </x:c>
      <x:c r="E510" s="4" t="n">
        <x:v>60</x:v>
      </x:c>
      <x:c r="F510" s="4" t="n">
        <x:v>6182</x:v>
      </x:c>
      <x:c r="G510" s="5" t="n">
        <x:v>1</x:v>
      </x:c>
      <x:c r="H510" s="5" t="n">
        <x:v>1</x:v>
      </x:c>
      <x:c r="I510" s="5" t="n">
        <x:v>1</x:v>
      </x:c>
      <x:c r="J510" s="4" t="n">
        <x:v>64</x:v>
      </x:c>
      <x:c r="K510" s="4" t="n">
        <x:v>64</x:v>
      </x:c>
      <x:c r="L510" s="4" t="n">
        <x:v>46</x:v>
      </x:c>
      <x:c r="M510" s="4" t="n">
        <x:v>46</x:v>
      </x:c>
      <x:c r="N510" s="4" t="n">
        <x:v>18</x:v>
      </x:c>
      <x:c r="O510" s="4" t="n">
        <x:v>18</x:v>
      </x:c>
      <x:c r="P510" s="1" t="str">
        <x:v>FAIL</x:v>
      </x:c>
      <x:c r="Q510" s="4" t="n">
        <x:v>2074</x:v>
      </x:c>
      <x:c r="R510" s="1" t="str">
        <x:v>FAIL</x:v>
      </x:c>
      <x:c r="S510" s="4" t="n">
        <x:v>2076</x:v>
      </x:c>
      <x:c r="T510" s="1" t="str">
        <x:v>INCONCLUSIVE</x:v>
      </x:c>
      <x:c r="U510" s="1" t="str">
        <x:v>Jsoup_1</x:v>
      </x:c>
      <x:c r="V510" s="6" t="n">
        <x:v>108.56</x:v>
      </x:c>
    </x:row>
    <x:row r="511" ht="22" customHeight="1">
      <x:c r="A511" s="1" t="str">
        <x:v>Round1</x:v>
      </x:c>
      <x:c r="B511" s="1" t="str">
        <x:v>Jsoup</x:v>
      </x:c>
      <x:c r="C511" s="4" t="n">
        <x:v>2</x:v>
      </x:c>
      <x:c r="D511" s="4" t="n">
        <x:v>0</x:v>
      </x:c>
      <x:c r="E511" s="4" t="n">
        <x:v>60</x:v>
      </x:c>
      <x:c r="F511" s="4" t="n">
        <x:v>9</x:v>
      </x:c>
      <x:c r="G511" s="5" t="n">
        <x:v>0.17739999999999997</x:v>
      </x:c>
      <x:c r="H511" s="5" t="n">
        <x:v>0.20989999999999998</x:v>
      </x:c>
      <x:c r="I511" s="5" t="n">
        <x:v>0.11630000000000001</x:v>
      </x:c>
      <x:c r="J511" s="4" t="n">
        <x:v>248</x:v>
      </x:c>
      <x:c r="K511" s="4" t="n">
        <x:v>44</x:v>
      </x:c>
      <x:c r="L511" s="4" t="n">
        <x:v>162</x:v>
      </x:c>
      <x:c r="M511" s="4" t="n">
        <x:v>34</x:v>
      </x:c>
      <x:c r="N511" s="4" t="n">
        <x:v>86</x:v>
      </x:c>
      <x:c r="O511" s="4" t="n">
        <x:v>10</x:v>
      </x:c>
      <x:c r="P511" s="1" t="str">
        <x:v>PASS</x:v>
      </x:c>
      <x:c r="Q511" s="4" t="n">
        <x:v>0</x:v>
      </x:c>
      <x:c r="R511" s="1" t="str">
        <x:v>PASS</x:v>
      </x:c>
      <x:c r="S511" s="4" t="n">
        <x:v>0</x:v>
      </x:c>
      <x:c r="T511" s="1" t="str">
        <x:v>NOT_REVEALING</x:v>
      </x:c>
      <x:c r="U511" s="1" t="str">
        <x:v>Jsoup_2</x:v>
      </x:c>
      <x:c r="V511" s="6" t="n">
        <x:v>25.25</x:v>
      </x:c>
    </x:row>
    <x:row r="512" ht="22" customHeight="1">
      <x:c r="A512" s="1" t="str">
        <x:v>Round1</x:v>
      </x:c>
      <x:c r="B512" s="1" t="str">
        <x:v>Jsoup</x:v>
      </x:c>
      <x:c r="C512" s="4" t="n">
        <x:v>3</x:v>
      </x:c>
      <x:c r="D512" s="4" t="n">
        <x:v>0</x:v>
      </x:c>
      <x:c r="E512" s="4" t="n">
        <x:v>60</x:v>
      </x:c>
      <x:c r="F512" s="4" t="n">
        <x:v>5768</x:v>
      </x:c>
      <x:c r="G512" s="5" t="n">
        <x:v>0.8117</x:v>
      </x:c>
      <x:c r="H512" s="5" t="n">
        <x:v>0.887</x:v>
      </x:c>
      <x:c r="I512" s="5" t="n">
        <x:v>0.6598999999999999</x:v>
      </x:c>
      <x:c r="J512" s="4" t="n">
        <x:v>887</x:v>
      </x:c>
      <x:c r="K512" s="4" t="n">
        <x:v>720</x:v>
      </x:c>
      <x:c r="L512" s="4" t="n">
        <x:v>593</x:v>
      </x:c>
      <x:c r="M512" s="4" t="n">
        <x:v>526</x:v>
      </x:c>
      <x:c r="N512" s="4" t="n">
        <x:v>294</x:v>
      </x:c>
      <x:c r="O512" s="4" t="n">
        <x:v>194</x:v>
      </x:c>
      <x:c r="P512" s="1" t="str">
        <x:v>FAIL</x:v>
      </x:c>
      <x:c r="Q512" s="4" t="n">
        <x:v>1804</x:v>
      </x:c>
      <x:c r="R512" s="1" t="str">
        <x:v>FAIL</x:v>
      </x:c>
      <x:c r="S512" s="4" t="n">
        <x:v>1912</x:v>
      </x:c>
      <x:c r="T512" s="1" t="str">
        <x:v>INCONCLUSIVE</x:v>
      </x:c>
      <x:c r="U512" s="1" t="str">
        <x:v>Jsoup_3</x:v>
      </x:c>
      <x:c r="V512" s="6" t="n">
        <x:v>50.3</x:v>
      </x:c>
    </x:row>
    <x:row r="513" ht="22" customHeight="1">
      <x:c r="A513" s="1" t="str">
        <x:v>Round1</x:v>
      </x:c>
      <x:c r="B513" s="1" t="str">
        <x:v>Jsoup</x:v>
      </x:c>
      <x:c r="C513" s="4" t="n">
        <x:v>4</x:v>
      </x:c>
      <x:c r="D513" s="4" t="n">
        <x:v>0</x:v>
      </x:c>
      <x:c r="E513" s="4" t="n">
        <x:v>60</x:v>
      </x:c>
      <x:c r="F513" s="4" t="n">
        <x:v>142</x:v>
      </x:c>
      <x:c r="G513" s="5"/>
      <x:c r="H513" s="5"/>
      <x:c r="I513" s="5"/>
      <x:c r="J513" s="4" t="n">
        <x:v>0</x:v>
      </x:c>
      <x:c r="K513" s="4" t="n">
        <x:v>0</x:v>
      </x:c>
      <x:c r="L513" s="4" t="n">
        <x:v>0</x:v>
      </x:c>
      <x:c r="M513" s="4" t="n">
        <x:v>0</x:v>
      </x:c>
      <x:c r="N513" s="4" t="n">
        <x:v>0</x:v>
      </x:c>
      <x:c r="O513" s="4" t="n">
        <x:v>0</x:v>
      </x:c>
      <x:c r="P513" s="1" t="str">
        <x:v>PASS</x:v>
      </x:c>
      <x:c r="Q513" s="4" t="n">
        <x:v>0</x:v>
      </x:c>
      <x:c r="R513" s="1" t="str">
        <x:v>PASS</x:v>
      </x:c>
      <x:c r="S513" s="4" t="n">
        <x:v>0</x:v>
      </x:c>
      <x:c r="T513" s="1" t="str">
        <x:v>NOT_REVEALING</x:v>
      </x:c>
      <x:c r="U513" s="1" t="str">
        <x:v>Jsoup_4</x:v>
      </x:c>
      <x:c r="V513" s="6" t="n">
        <x:v>21.51</x:v>
      </x:c>
    </x:row>
    <x:row r="514" ht="22" customHeight="1">
      <x:c r="A514" s="1" t="str">
        <x:v>Round1</x:v>
      </x:c>
      <x:c r="B514" s="1" t="str">
        <x:v>Jsoup</x:v>
      </x:c>
      <x:c r="C514" s="4" t="n">
        <x:v>5</x:v>
      </x:c>
      <x:c r="D514" s="4" t="n">
        <x:v>0</x:v>
      </x:c>
      <x:c r="E514" s="4" t="n">
        <x:v>60</x:v>
      </x:c>
      <x:c r="F514" s="4" t="n">
        <x:v>13</x:v>
      </x:c>
      <x:c r="G514" s="5" t="n">
        <x:v>0.1894</x:v>
      </x:c>
      <x:c r="H514" s="5" t="n">
        <x:v>0.2267</x:v>
      </x:c>
      <x:c r="I514" s="5" t="n">
        <x:v>0.11960000000000001</x:v>
      </x:c>
      <x:c r="J514" s="4" t="n">
        <x:v>264</x:v>
      </x:c>
      <x:c r="K514" s="4" t="n">
        <x:v>50</x:v>
      </x:c>
      <x:c r="L514" s="4" t="n">
        <x:v>172</x:v>
      </x:c>
      <x:c r="M514" s="4" t="n">
        <x:v>39</x:v>
      </x:c>
      <x:c r="N514" s="4" t="n">
        <x:v>92</x:v>
      </x:c>
      <x:c r="O514" s="4" t="n">
        <x:v>11</x:v>
      </x:c>
      <x:c r="P514" s="1" t="str">
        <x:v>PASS</x:v>
      </x:c>
      <x:c r="Q514" s="4" t="n">
        <x:v>0</x:v>
      </x:c>
      <x:c r="R514" s="1" t="str">
        <x:v>PASS</x:v>
      </x:c>
      <x:c r="S514" s="4" t="n">
        <x:v>0</x:v>
      </x:c>
      <x:c r="T514" s="1" t="str">
        <x:v>NOT_REVEALING</x:v>
      </x:c>
      <x:c r="U514" s="1" t="str">
        <x:v>Jsoup_5</x:v>
      </x:c>
      <x:c r="V514" s="6" t="n">
        <x:v>23.84</x:v>
      </x:c>
    </x:row>
    <x:row r="515" ht="22" customHeight="1">
      <x:c r="A515" s="1" t="str">
        <x:v>Round1</x:v>
      </x:c>
      <x:c r="B515" s="1" t="str">
        <x:v>Jsoup</x:v>
      </x:c>
      <x:c r="C515" s="4" t="n">
        <x:v>6</x:v>
      </x:c>
      <x:c r="D515" s="4" t="n">
        <x:v>0</x:v>
      </x:c>
      <x:c r="E515" s="4" t="n">
        <x:v>60</x:v>
      </x:c>
      <x:c r="F515" s="4" t="n">
        <x:v>142</x:v>
      </x:c>
      <x:c r="G515" s="5"/>
      <x:c r="H515" s="5"/>
      <x:c r="I515" s="5"/>
      <x:c r="J515" s="4" t="n">
        <x:v>0</x:v>
      </x:c>
      <x:c r="K515" s="4" t="n">
        <x:v>0</x:v>
      </x:c>
      <x:c r="L515" s="4" t="n">
        <x:v>0</x:v>
      </x:c>
      <x:c r="M515" s="4" t="n">
        <x:v>0</x:v>
      </x:c>
      <x:c r="N515" s="4" t="n">
        <x:v>0</x:v>
      </x:c>
      <x:c r="O515" s="4" t="n">
        <x:v>0</x:v>
      </x:c>
      <x:c r="P515" s="1" t="str">
        <x:v>PASS</x:v>
      </x:c>
      <x:c r="Q515" s="4" t="n">
        <x:v>0</x:v>
      </x:c>
      <x:c r="R515" s="1" t="str">
        <x:v>PASS</x:v>
      </x:c>
      <x:c r="S515" s="4" t="n">
        <x:v>0</x:v>
      </x:c>
      <x:c r="T515" s="1" t="str">
        <x:v>NOT_REVEALING</x:v>
      </x:c>
      <x:c r="U515" s="1" t="str">
        <x:v>Jsoup_6</x:v>
      </x:c>
      <x:c r="V515" s="6" t="n">
        <x:v>24.26</x:v>
      </x:c>
    </x:row>
    <x:row r="516" ht="22" customHeight="1">
      <x:c r="A516" s="1" t="str">
        <x:v>Round1</x:v>
      </x:c>
      <x:c r="B516" s="1" t="str">
        <x:v>Jsoup</x:v>
      </x:c>
      <x:c r="C516" s="4" t="n">
        <x:v>7</x:v>
      </x:c>
      <x:c r="D516" s="4" t="n">
        <x:v>0</x:v>
      </x:c>
      <x:c r="E516" s="4" t="n">
        <x:v>60</x:v>
      </x:c>
      <x:c r="F516" s="4" t="n">
        <x:v>5104</x:v>
      </x:c>
      <x:c r="G516" s="5" t="n">
        <x:v>0.9906</x:v>
      </x:c>
      <x:c r="H516" s="5" t="n">
        <x:v>0.9875</x:v>
      </x:c>
      <x:c r="I516" s="5" t="n">
        <x:v>1</x:v>
      </x:c>
      <x:c r="J516" s="4" t="n">
        <x:v>106</x:v>
      </x:c>
      <x:c r="K516" s="4" t="n">
        <x:v>105</x:v>
      </x:c>
      <x:c r="L516" s="4" t="n">
        <x:v>80</x:v>
      </x:c>
      <x:c r="M516" s="4" t="n">
        <x:v>79</x:v>
      </x:c>
      <x:c r="N516" s="4" t="n">
        <x:v>26</x:v>
      </x:c>
      <x:c r="O516" s="4" t="n">
        <x:v>26</x:v>
      </x:c>
      <x:c r="P516" s="1" t="str">
        <x:v>FAIL</x:v>
      </x:c>
      <x:c r="Q516" s="4" t="n">
        <x:v>1184</x:v>
      </x:c>
      <x:c r="R516" s="1" t="str">
        <x:v>FAIL</x:v>
      </x:c>
      <x:c r="S516" s="4" t="n">
        <x:v>1246</x:v>
      </x:c>
      <x:c r="T516" s="1" t="str">
        <x:v>INCONCLUSIVE</x:v>
      </x:c>
      <x:c r="U516" s="1" t="str">
        <x:v>Jsoup_7</x:v>
      </x:c>
      <x:c r="V516" s="6" t="n">
        <x:v>58.79</x:v>
      </x:c>
    </x:row>
    <x:row r="517" ht="22" customHeight="1">
      <x:c r="A517" s="1" t="str">
        <x:v>Round1</x:v>
      </x:c>
      <x:c r="B517" s="1" t="str">
        <x:v>Jsoup</x:v>
      </x:c>
      <x:c r="C517" s="4" t="n">
        <x:v>8</x:v>
      </x:c>
      <x:c r="D517" s="4" t="n">
        <x:v>0</x:v>
      </x:c>
      <x:c r="E517" s="4" t="n">
        <x:v>60</x:v>
      </x:c>
      <x:c r="F517" s="4" t="n">
        <x:v>1</x:v>
      </x:c>
      <x:c r="G517" s="5" t="n">
        <x:v>0</x:v>
      </x:c>
      <x:c r="H517" s="5" t="n">
        <x:v>0</x:v>
      </x:c>
      <x:c r="I517" s="5" t="n">
        <x:v>0</x:v>
      </x:c>
      <x:c r="J517" s="4" t="n">
        <x:v>179</x:v>
      </x:c>
      <x:c r="K517" s="4" t="n">
        <x:v>0</x:v>
      </x:c>
      <x:c r="L517" s="4" t="n">
        <x:v>139</x:v>
      </x:c>
      <x:c r="M517" s="4" t="n">
        <x:v>0</x:v>
      </x:c>
      <x:c r="N517" s="4" t="n">
        <x:v>40</x:v>
      </x:c>
      <x:c r="O517" s="4" t="n">
        <x:v>0</x:v>
      </x:c>
      <x:c r="P517" s="1" t="str">
        <x:v>PASS</x:v>
      </x:c>
      <x:c r="Q517" s="4" t="n">
        <x:v>0</x:v>
      </x:c>
      <x:c r="R517" s="1" t="str">
        <x:v>PASS</x:v>
      </x:c>
      <x:c r="S517" s="4" t="n">
        <x:v>0</x:v>
      </x:c>
      <x:c r="T517" s="1" t="str">
        <x:v>NOT_REVEALING</x:v>
      </x:c>
      <x:c r="U517" s="1" t="str">
        <x:v>Jsoup_8</x:v>
      </x:c>
      <x:c r="V517" s="6" t="n">
        <x:v>23.07</x:v>
      </x:c>
    </x:row>
    <x:row r="518" ht="22" customHeight="1">
      <x:c r="A518" s="1" t="str">
        <x:v>Round1</x:v>
      </x:c>
      <x:c r="B518" s="1" t="str">
        <x:v>Jsoup</x:v>
      </x:c>
      <x:c r="C518" s="4" t="n">
        <x:v>9</x:v>
      </x:c>
      <x:c r="D518" s="4" t="n">
        <x:v>0</x:v>
      </x:c>
      <x:c r="E518" s="4" t="n">
        <x:v>60</x:v>
      </x:c>
      <x:c r="F518" s="4" t="n">
        <x:v>4643</x:v>
      </x:c>
      <x:c r="G518" s="5"/>
      <x:c r="H518" s="5"/>
      <x:c r="I518" s="5"/>
      <x:c r="J518" s="4" t="n">
        <x:v>0</x:v>
      </x:c>
      <x:c r="K518" s="4" t="n">
        <x:v>0</x:v>
      </x:c>
      <x:c r="L518" s="4" t="n">
        <x:v>0</x:v>
      </x:c>
      <x:c r="M518" s="4" t="n">
        <x:v>0</x:v>
      </x:c>
      <x:c r="N518" s="4" t="n">
        <x:v>0</x:v>
      </x:c>
      <x:c r="O518" s="4" t="n">
        <x:v>0</x:v>
      </x:c>
      <x:c r="P518" s="1" t="str">
        <x:v>PASS</x:v>
      </x:c>
      <x:c r="Q518" s="4" t="n">
        <x:v>0</x:v>
      </x:c>
      <x:c r="R518" s="1" t="str">
        <x:v>PASS</x:v>
      </x:c>
      <x:c r="S518" s="4" t="n">
        <x:v>0</x:v>
      </x:c>
      <x:c r="T518" s="1" t="str">
        <x:v>NOT_REVEALING</x:v>
      </x:c>
      <x:c r="U518" s="1" t="str">
        <x:v>Jsoup_9</x:v>
      </x:c>
      <x:c r="V518" s="6" t="n">
        <x:v>43.62</x:v>
      </x:c>
    </x:row>
    <x:row r="519" ht="22" customHeight="1">
      <x:c r="A519" s="1" t="str">
        <x:v>Round1</x:v>
      </x:c>
      <x:c r="B519" s="1" t="str">
        <x:v>Jsoup</x:v>
      </x:c>
      <x:c r="C519" s="4" t="n">
        <x:v>10</x:v>
      </x:c>
      <x:c r="D519" s="4" t="n">
        <x:v>0</x:v>
      </x:c>
      <x:c r="E519" s="4" t="n">
        <x:v>60</x:v>
      </x:c>
      <x:c r="F519" s="4" t="n">
        <x:v>1</x:v>
      </x:c>
      <x:c r="G519" s="5" t="n">
        <x:v>0</x:v>
      </x:c>
      <x:c r="H519" s="5" t="n">
        <x:v>0</x:v>
      </x:c>
      <x:c r="I519" s="5" t="n">
        <x:v>0</x:v>
      </x:c>
      <x:c r="J519" s="4" t="n">
        <x:v>202</x:v>
      </x:c>
      <x:c r="K519" s="4" t="n">
        <x:v>0</x:v>
      </x:c>
      <x:c r="L519" s="4" t="n">
        <x:v>154</x:v>
      </x:c>
      <x:c r="M519" s="4" t="n">
        <x:v>0</x:v>
      </x:c>
      <x:c r="N519" s="4" t="n">
        <x:v>48</x:v>
      </x:c>
      <x:c r="O519" s="4" t="n">
        <x:v>0</x:v>
      </x:c>
      <x:c r="P519" s="1" t="str">
        <x:v>PASS</x:v>
      </x:c>
      <x:c r="Q519" s="4" t="n">
        <x:v>0</x:v>
      </x:c>
      <x:c r="R519" s="1" t="str">
        <x:v>PASS</x:v>
      </x:c>
      <x:c r="S519" s="4" t="n">
        <x:v>0</x:v>
      </x:c>
      <x:c r="T519" s="1" t="str">
        <x:v>NOT_REVEALING</x:v>
      </x:c>
      <x:c r="U519" s="1" t="str">
        <x:v>Jsoup_10</x:v>
      </x:c>
      <x:c r="V519" s="6" t="n">
        <x:v>26.96</x:v>
      </x:c>
    </x:row>
    <x:row r="520" ht="22" customHeight="1">
      <x:c r="A520" s="1" t="str">
        <x:v>Round1</x:v>
      </x:c>
      <x:c r="B520" s="1" t="str">
        <x:v>Jsoup</x:v>
      </x:c>
      <x:c r="C520" s="4" t="n">
        <x:v>11</x:v>
      </x:c>
      <x:c r="D520" s="4" t="n">
        <x:v>0</x:v>
      </x:c>
      <x:c r="E520" s="4" t="n">
        <x:v>60</x:v>
      </x:c>
      <x:c r="F520" s="4" t="n">
        <x:v>3237</x:v>
      </x:c>
      <x:c r="G520" s="5" t="n">
        <x:v>0.0346</x:v>
      </x:c>
      <x:c r="H520" s="5" t="n">
        <x:v>0.0556</x:v>
      </x:c>
      <x:c r="I520" s="5" t="n">
        <x:v>0</x:v>
      </x:c>
      <x:c r="J520" s="4" t="n">
        <x:v>318</x:v>
      </x:c>
      <x:c r="K520" s="4" t="n">
        <x:v>11</x:v>
      </x:c>
      <x:c r="L520" s="4" t="n">
        <x:v>198</x:v>
      </x:c>
      <x:c r="M520" s="4" t="n">
        <x:v>11</x:v>
      </x:c>
      <x:c r="N520" s="4" t="n">
        <x:v>120</x:v>
      </x:c>
      <x:c r="O520" s="4" t="n">
        <x:v>0</x:v>
      </x:c>
      <x:c r="P520" s="1" t="str">
        <x:v>PASS</x:v>
      </x:c>
      <x:c r="Q520" s="4" t="n">
        <x:v>0</x:v>
      </x:c>
      <x:c r="R520" s="1" t="str">
        <x:v>PASS</x:v>
      </x:c>
      <x:c r="S520" s="4" t="n">
        <x:v>0</x:v>
      </x:c>
      <x:c r="T520" s="1" t="str">
        <x:v>NOT_REVEALING</x:v>
      </x:c>
      <x:c r="U520" s="1" t="str">
        <x:v>Jsoup_11</x:v>
      </x:c>
      <x:c r="V520" s="6" t="n">
        <x:v>121.05</x:v>
      </x:c>
    </x:row>
    <x:row r="521" ht="22" customHeight="1">
      <x:c r="A521" s="1" t="str">
        <x:v>Round1</x:v>
      </x:c>
      <x:c r="B521" s="1" t="str">
        <x:v>Jsoup</x:v>
      </x:c>
      <x:c r="C521" s="4" t="n">
        <x:v>12</x:v>
      </x:c>
      <x:c r="D521" s="4" t="n">
        <x:v>0</x:v>
      </x:c>
      <x:c r="E521" s="4" t="n">
        <x:v>60</x:v>
      </x:c>
      <x:c r="F521" s="4" t="n">
        <x:v>1414</x:v>
      </x:c>
      <x:c r="G521" s="5" t="n">
        <x:v>0.054299999999999994</x:v>
      </x:c>
      <x:c r="H521" s="5" t="n">
        <x:v>0.078</x:v>
      </x:c>
      <x:c r="I521" s="5" t="n">
        <x:v>0.0152</x:v>
      </x:c>
      <x:c r="J521" s="4" t="n">
        <x:v>350</x:v>
      </x:c>
      <x:c r="K521" s="4" t="n">
        <x:v>19</x:v>
      </x:c>
      <x:c r="L521" s="4" t="n">
        <x:v>218</x:v>
      </x:c>
      <x:c r="M521" s="4" t="n">
        <x:v>17</x:v>
      </x:c>
      <x:c r="N521" s="4" t="n">
        <x:v>132</x:v>
      </x:c>
      <x:c r="O521" s="4" t="n">
        <x:v>2</x:v>
      </x:c>
      <x:c r="P521" s="1" t="str">
        <x:v>PASS</x:v>
      </x:c>
      <x:c r="Q521" s="4" t="n">
        <x:v>0</x:v>
      </x:c>
      <x:c r="R521" s="1" t="str">
        <x:v>PASS</x:v>
      </x:c>
      <x:c r="S521" s="4" t="n">
        <x:v>0</x:v>
      </x:c>
      <x:c r="T521" s="1" t="str">
        <x:v>NOT_REVEALING</x:v>
      </x:c>
      <x:c r="U521" s="1" t="str">
        <x:v>Jsoup_12</x:v>
      </x:c>
      <x:c r="V521" s="6" t="n">
        <x:v>102.05</x:v>
      </x:c>
    </x:row>
    <x:row r="522" ht="22" customHeight="1">
      <x:c r="A522" s="1" t="str">
        <x:v>Round1</x:v>
      </x:c>
      <x:c r="B522" s="1" t="str">
        <x:v>Jsoup</x:v>
      </x:c>
      <x:c r="C522" s="4" t="n">
        <x:v>13</x:v>
      </x:c>
      <x:c r="D522" s="4" t="n">
        <x:v>0</x:v>
      </x:c>
      <x:c r="E522" s="4" t="n">
        <x:v>60</x:v>
      </x:c>
      <x:c r="F522" s="4" t="n">
        <x:v>1</x:v>
      </x:c>
      <x:c r="G522" s="5" t="n">
        <x:v>0</x:v>
      </x:c>
      <x:c r="H522" s="5" t="n">
        <x:v>0</x:v>
      </x:c>
      <x:c r="I522" s="5" t="n">
        <x:v>0</x:v>
      </x:c>
      <x:c r="J522" s="4" t="n">
        <x:v>258</x:v>
      </x:c>
      <x:c r="K522" s="4" t="n">
        <x:v>0</x:v>
      </x:c>
      <x:c r="L522" s="4" t="n">
        <x:v>194</x:v>
      </x:c>
      <x:c r="M522" s="4" t="n">
        <x:v>0</x:v>
      </x:c>
      <x:c r="N522" s="4" t="n">
        <x:v>64</x:v>
      </x:c>
      <x:c r="O522" s="4" t="n">
        <x:v>0</x:v>
      </x:c>
      <x:c r="P522" s="1" t="str">
        <x:v>PASS</x:v>
      </x:c>
      <x:c r="Q522" s="4" t="n">
        <x:v>0</x:v>
      </x:c>
      <x:c r="R522" s="1" t="str">
        <x:v>PASS</x:v>
      </x:c>
      <x:c r="S522" s="4" t="n">
        <x:v>0</x:v>
      </x:c>
      <x:c r="T522" s="1" t="str">
        <x:v>NOT_REVEALING</x:v>
      </x:c>
      <x:c r="U522" s="1" t="str">
        <x:v>Jsoup_13</x:v>
      </x:c>
      <x:c r="V522" s="6" t="n">
        <x:v>28.27</x:v>
      </x:c>
    </x:row>
    <x:row r="523" ht="22" customHeight="1">
      <x:c r="A523" s="1" t="str">
        <x:v>Round1</x:v>
      </x:c>
      <x:c r="B523" s="1" t="str">
        <x:v>Jsoup</x:v>
      </x:c>
      <x:c r="C523" s="4" t="n">
        <x:v>14</x:v>
      </x:c>
      <x:c r="D523" s="4" t="n">
        <x:v>0</x:v>
      </x:c>
      <x:c r="E523" s="4" t="n">
        <x:v>60</x:v>
      </x:c>
      <x:c r="F523" s="4" t="n">
        <x:v>4247</x:v>
      </x:c>
      <x:c r="G523" s="5" t="n">
        <x:v>0.1578</x:v>
      </x:c>
      <x:c r="H523" s="5" t="n">
        <x:v>0.19649999999999998</x:v>
      </x:c>
      <x:c r="I523" s="5" t="n">
        <x:v>0.0395</x:v>
      </x:c>
      <x:c r="J523" s="4" t="n">
        <x:v>1743</x:v>
      </x:c>
      <x:c r="K523" s="4" t="n">
        <x:v>275</x:v>
      </x:c>
      <x:c r="L523" s="4" t="n">
        <x:v>1313</x:v>
      </x:c>
      <x:c r="M523" s="4" t="n">
        <x:v>258</x:v>
      </x:c>
      <x:c r="N523" s="4" t="n">
        <x:v>430</x:v>
      </x:c>
      <x:c r="O523" s="4" t="n">
        <x:v>17</x:v>
      </x:c>
      <x:c r="P523" s="1" t="str">
        <x:v>PASS</x:v>
      </x:c>
      <x:c r="Q523" s="4" t="n">
        <x:v>0</x:v>
      </x:c>
      <x:c r="R523" s="1" t="str">
        <x:v>PASS</x:v>
      </x:c>
      <x:c r="S523" s="4" t="n">
        <x:v>0</x:v>
      </x:c>
      <x:c r="T523" s="1" t="str">
        <x:v>NOT_REVEALING</x:v>
      </x:c>
      <x:c r="U523" s="1" t="str">
        <x:v>Jsoup_14</x:v>
      </x:c>
      <x:c r="V523" s="6" t="n">
        <x:v>86.46</x:v>
      </x:c>
    </x:row>
    <x:row r="524" ht="22" customHeight="1">
      <x:c r="A524" s="1" t="str">
        <x:v>Round1</x:v>
      </x:c>
      <x:c r="B524" s="1" t="str">
        <x:v>Jsoup</x:v>
      </x:c>
      <x:c r="C524" s="4" t="n">
        <x:v>15</x:v>
      </x:c>
      <x:c r="D524" s="4" t="n">
        <x:v>0</x:v>
      </x:c>
      <x:c r="E524" s="4" t="n">
        <x:v>60</x:v>
      </x:c>
      <x:c r="F524" s="4" t="n">
        <x:v>23</x:v>
      </x:c>
      <x:c r="G524" s="5" t="n">
        <x:v>0.04</x:v>
      </x:c>
      <x:c r="H524" s="5" t="n">
        <x:v>0.0677</x:v>
      </x:c>
      <x:c r="I524" s="5" t="n">
        <x:v>0</x:v>
      </x:c>
      <x:c r="J524" s="4" t="n">
        <x:v>1826</x:v>
      </x:c>
      <x:c r="K524" s="4" t="n">
        <x:v>73</x:v>
      </x:c>
      <x:c r="L524" s="4" t="n">
        <x:v>1079</x:v>
      </x:c>
      <x:c r="M524" s="4" t="n">
        <x:v>73</x:v>
      </x:c>
      <x:c r="N524" s="4" t="n">
        <x:v>747</x:v>
      </x:c>
      <x:c r="O524" s="4" t="n">
        <x:v>0</x:v>
      </x:c>
      <x:c r="P524" s="1" t="str">
        <x:v>PASS</x:v>
      </x:c>
      <x:c r="Q524" s="4" t="n">
        <x:v>0</x:v>
      </x:c>
      <x:c r="R524" s="1" t="str">
        <x:v>PASS</x:v>
      </x:c>
      <x:c r="S524" s="4" t="n">
        <x:v>0</x:v>
      </x:c>
      <x:c r="T524" s="1" t="str">
        <x:v>NOT_REVEALING</x:v>
      </x:c>
      <x:c r="U524" s="1" t="str">
        <x:v>Jsoup_15</x:v>
      </x:c>
      <x:c r="V524" s="6" t="n">
        <x:v>35.27</x:v>
      </x:c>
    </x:row>
    <x:row r="525" ht="22" customHeight="1">
      <x:c r="A525" s="1" t="str">
        <x:v>Round1</x:v>
      </x:c>
      <x:c r="B525" s="1" t="str">
        <x:v>Jsoup</x:v>
      </x:c>
      <x:c r="C525" s="4" t="n">
        <x:v>16</x:v>
      </x:c>
      <x:c r="D525" s="4" t="n">
        <x:v>0</x:v>
      </x:c>
      <x:c r="E525" s="4" t="n">
        <x:v>60</x:v>
      </x:c>
      <x:c r="F525" s="4" t="n">
        <x:v>6</x:v>
      </x:c>
      <x:c r="G525" s="5" t="n">
        <x:v>0.8332999999999999</x:v>
      </x:c>
      <x:c r="H525" s="5" t="n">
        <x:v>0.9286</x:v>
      </x:c>
      <x:c r="I525" s="5" t="n">
        <x:v>0.5</x:v>
      </x:c>
      <x:c r="J525" s="4" t="n">
        <x:v>18</x:v>
      </x:c>
      <x:c r="K525" s="4" t="n">
        <x:v>15</x:v>
      </x:c>
      <x:c r="L525" s="4" t="n">
        <x:v>14</x:v>
      </x:c>
      <x:c r="M525" s="4" t="n">
        <x:v>13</x:v>
      </x:c>
      <x:c r="N525" s="4" t="n">
        <x:v>4</x:v>
      </x:c>
      <x:c r="O525" s="4" t="n">
        <x:v>2</x:v>
      </x:c>
      <x:c r="P525" s="1" t="str">
        <x:v>PASS</x:v>
      </x:c>
      <x:c r="Q525" s="4" t="n">
        <x:v>0</x:v>
      </x:c>
      <x:c r="R525" s="1" t="str">
        <x:v>FAIL</x:v>
      </x:c>
      <x:c r="S525" s="4" t="n">
        <x:v>4</x:v>
      </x:c>
      <x:c r="T525" s="1" t="str">
        <x:v>INCONCLUSIVE</x:v>
      </x:c>
      <x:c r="U525" s="1" t="str">
        <x:v>Jsoup_16</x:v>
      </x:c>
      <x:c r="V525" s="6" t="n">
        <x:v>33.67</x:v>
      </x:c>
    </x:row>
    <x:row r="526" ht="22" customHeight="1">
      <x:c r="A526" s="1" t="str">
        <x:v>Round1</x:v>
      </x:c>
      <x:c r="B526" s="1" t="str">
        <x:v>Jsoup</x:v>
      </x:c>
      <x:c r="C526" s="4" t="n">
        <x:v>17</x:v>
      </x:c>
      <x:c r="D526" s="4" t="n">
        <x:v>0</x:v>
      </x:c>
      <x:c r="E526" s="4" t="n">
        <x:v>60</x:v>
      </x:c>
      <x:c r="F526" s="4" t="n">
        <x:v>23</x:v>
      </x:c>
      <x:c r="G526" s="5" t="n">
        <x:v>0.04</x:v>
      </x:c>
      <x:c r="H526" s="5" t="n">
        <x:v>0.0677</x:v>
      </x:c>
      <x:c r="I526" s="5" t="n">
        <x:v>0</x:v>
      </x:c>
      <x:c r="J526" s="4" t="n">
        <x:v>1826</x:v>
      </x:c>
      <x:c r="K526" s="4" t="n">
        <x:v>73</x:v>
      </x:c>
      <x:c r="L526" s="4" t="n">
        <x:v>1079</x:v>
      </x:c>
      <x:c r="M526" s="4" t="n">
        <x:v>73</x:v>
      </x:c>
      <x:c r="N526" s="4" t="n">
        <x:v>747</x:v>
      </x:c>
      <x:c r="O526" s="4" t="n">
        <x:v>0</x:v>
      </x:c>
      <x:c r="P526" s="1" t="str">
        <x:v>PASS</x:v>
      </x:c>
      <x:c r="Q526" s="4" t="n">
        <x:v>0</x:v>
      </x:c>
      <x:c r="R526" s="1" t="str">
        <x:v>PASS</x:v>
      </x:c>
      <x:c r="S526" s="4" t="n">
        <x:v>0</x:v>
      </x:c>
      <x:c r="T526" s="1" t="str">
        <x:v>NOT_REVEALING</x:v>
      </x:c>
      <x:c r="U526" s="1" t="str">
        <x:v>Jsoup_17</x:v>
      </x:c>
      <x:c r="V526" s="6" t="n">
        <x:v>35.08</x:v>
      </x:c>
    </x:row>
    <x:row r="527" ht="22" customHeight="1">
      <x:c r="A527" s="1" t="str">
        <x:v>Round1</x:v>
      </x:c>
      <x:c r="B527" s="1" t="str">
        <x:v>Jsoup</x:v>
      </x:c>
      <x:c r="C527" s="4" t="n">
        <x:v>18</x:v>
      </x:c>
      <x:c r="D527" s="4" t="n">
        <x:v>0</x:v>
      </x:c>
      <x:c r="E527" s="4" t="n">
        <x:v>60</x:v>
      </x:c>
      <x:c r="F527" s="4" t="n">
        <x:v>4545</x:v>
      </x:c>
      <x:c r="G527" s="5" t="n">
        <x:v>0.9106000000000001</x:v>
      </x:c>
      <x:c r="H527" s="5" t="n">
        <x:v>0.9484999999999999</x:v>
      </x:c>
      <x:c r="I527" s="5" t="n">
        <x:v>0.8659</x:v>
      </x:c>
      <x:c r="J527" s="4" t="n">
        <x:v>179</x:v>
      </x:c>
      <x:c r="K527" s="4" t="n">
        <x:v>163</x:v>
      </x:c>
      <x:c r="L527" s="4" t="n">
        <x:v>97</x:v>
      </x:c>
      <x:c r="M527" s="4" t="n">
        <x:v>92</x:v>
      </x:c>
      <x:c r="N527" s="4" t="n">
        <x:v>82</x:v>
      </x:c>
      <x:c r="O527" s="4" t="n">
        <x:v>71</x:v>
      </x:c>
      <x:c r="P527" s="1" t="str">
        <x:v>PASS</x:v>
      </x:c>
      <x:c r="Q527" s="4" t="n">
        <x:v>0</x:v>
      </x:c>
      <x:c r="R527" s="1" t="str">
        <x:v>FAIL</x:v>
      </x:c>
      <x:c r="S527" s="4" t="n">
        <x:v>1446</x:v>
      </x:c>
      <x:c r="T527" s="1" t="str">
        <x:v>INCONCLUSIVE</x:v>
      </x:c>
      <x:c r="U527" s="1" t="str">
        <x:v>Jsoup_18</x:v>
      </x:c>
      <x:c r="V527" s="6" t="n">
        <x:v>91.63</x:v>
      </x:c>
    </x:row>
    <x:row r="528" ht="22" customHeight="1">
      <x:c r="A528" s="1" t="str">
        <x:v>Round1</x:v>
      </x:c>
      <x:c r="B528" s="1" t="str">
        <x:v>Jsoup</x:v>
      </x:c>
      <x:c r="C528" s="4" t="n">
        <x:v>19</x:v>
      </x:c>
      <x:c r="D528" s="4" t="n">
        <x:v>0</x:v>
      </x:c>
      <x:c r="E528" s="4" t="n">
        <x:v>60</x:v>
      </x:c>
      <x:c r="F528" s="4" t="n">
        <x:v>3422</x:v>
      </x:c>
      <x:c r="G528" s="5" t="n">
        <x:v>0.7839</x:v>
      </x:c>
      <x:c r="H528" s="5" t="n">
        <x:v>0.8776</x:v>
      </x:c>
      <x:c r="I528" s="5" t="n">
        <x:v>0.5192</x:v>
      </x:c>
      <x:c r="J528" s="4" t="n">
        <x:v>199</x:v>
      </x:c>
      <x:c r="K528" s="4" t="n">
        <x:v>156</x:v>
      </x:c>
      <x:c r="L528" s="4" t="n">
        <x:v>147</x:v>
      </x:c>
      <x:c r="M528" s="4" t="n">
        <x:v>129</x:v>
      </x:c>
      <x:c r="N528" s="4" t="n">
        <x:v>52</x:v>
      </x:c>
      <x:c r="O528" s="4" t="n">
        <x:v>27</x:v>
      </x:c>
      <x:c r="P528" s="1" t="str">
        <x:v>PASS</x:v>
      </x:c>
      <x:c r="Q528" s="4" t="n">
        <x:v>0</x:v>
      </x:c>
      <x:c r="R528" s="1" t="str">
        <x:v>PASS</x:v>
      </x:c>
      <x:c r="S528" s="4" t="n">
        <x:v>0</x:v>
      </x:c>
      <x:c r="T528" s="1" t="str">
        <x:v>NOT_REVEALING</x:v>
      </x:c>
      <x:c r="U528" s="1" t="str">
        <x:v>Jsoup_19</x:v>
      </x:c>
      <x:c r="V528" s="6" t="n">
        <x:v>118.19</x:v>
      </x:c>
    </x:row>
    <x:row r="529" ht="22" customHeight="1">
      <x:c r="A529" s="1" t="str">
        <x:v>Round1</x:v>
      </x:c>
      <x:c r="B529" s="1" t="str">
        <x:v>Jsoup</x:v>
      </x:c>
      <x:c r="C529" s="4" t="n">
        <x:v>20</x:v>
      </x:c>
      <x:c r="D529" s="4" t="n">
        <x:v>0</x:v>
      </x:c>
      <x:c r="E529" s="4" t="n">
        <x:v>60</x:v>
      </x:c>
      <x:c r="F529" s="4" t="n">
        <x:v>42</x:v>
      </x:c>
      <x:c r="G529" s="5" t="n">
        <x:v>0.3182</x:v>
      </x:c>
      <x:c r="H529" s="5" t="n">
        <x:v>0.40909999999999996</x:v>
      </x:c>
      <x:c r="I529" s="5" t="n">
        <x:v>0.1364</x:v>
      </x:c>
      <x:c r="J529" s="4" t="n">
        <x:v>66</x:v>
      </x:c>
      <x:c r="K529" s="4" t="n">
        <x:v>21</x:v>
      </x:c>
      <x:c r="L529" s="4" t="n">
        <x:v>44</x:v>
      </x:c>
      <x:c r="M529" s="4" t="n">
        <x:v>18</x:v>
      </x:c>
      <x:c r="N529" s="4" t="n">
        <x:v>22</x:v>
      </x:c>
      <x:c r="O529" s="4" t="n">
        <x:v>3</x:v>
      </x:c>
      <x:c r="P529" s="1" t="str">
        <x:v>PASS</x:v>
      </x:c>
      <x:c r="Q529" s="4" t="n">
        <x:v>0</x:v>
      </x:c>
      <x:c r="R529" s="1" t="str">
        <x:v>PASS</x:v>
      </x:c>
      <x:c r="S529" s="4" t="n">
        <x:v>0</x:v>
      </x:c>
      <x:c r="T529" s="1" t="str">
        <x:v>NOT_REVEALING</x:v>
      </x:c>
      <x:c r="U529" s="1" t="str">
        <x:v>Jsoup_20</x:v>
      </x:c>
      <x:c r="V529" s="6" t="n">
        <x:v>35.83</x:v>
      </x:c>
    </x:row>
    <x:row r="530" ht="22" customHeight="1">
      <x:c r="A530" s="1" t="str">
        <x:v>Round1</x:v>
      </x:c>
      <x:c r="B530" s="1" t="str">
        <x:v>Jsoup</x:v>
      </x:c>
      <x:c r="C530" s="4" t="n">
        <x:v>21</x:v>
      </x:c>
      <x:c r="D530" s="4" t="n">
        <x:v>0</x:v>
      </x:c>
      <x:c r="E530" s="4" t="n">
        <x:v>60</x:v>
      </x:c>
      <x:c r="F530" s="4" t="n">
        <x:v>2142</x:v>
      </x:c>
      <x:c r="G530" s="5" t="n">
        <x:v>0.3439</x:v>
      </x:c>
      <x:c r="H530" s="5" t="n">
        <x:v>0.35450000000000004</x:v>
      </x:c>
      <x:c r="I530" s="5" t="n">
        <x:v>0.32289999999999996</x:v>
      </x:c>
      <x:c r="J530" s="4" t="n">
        <x:v>285</x:v>
      </x:c>
      <x:c r="K530" s="4" t="n">
        <x:v>98</x:v>
      </x:c>
      <x:c r="L530" s="4" t="n">
        <x:v>189</x:v>
      </x:c>
      <x:c r="M530" s="4" t="n">
        <x:v>67</x:v>
      </x:c>
      <x:c r="N530" s="4" t="n">
        <x:v>96</x:v>
      </x:c>
      <x:c r="O530" s="4" t="n">
        <x:v>31</x:v>
      </x:c>
      <x:c r="P530" s="1" t="str">
        <x:v>PASS</x:v>
      </x:c>
      <x:c r="Q530" s="4" t="n">
        <x:v>0</x:v>
      </x:c>
      <x:c r="R530" s="1" t="str">
        <x:v>PASS</x:v>
      </x:c>
      <x:c r="S530" s="4" t="n">
        <x:v>0</x:v>
      </x:c>
      <x:c r="T530" s="1" t="str">
        <x:v>NOT_REVEALING</x:v>
      </x:c>
      <x:c r="U530" s="1" t="str">
        <x:v>Jsoup_21</x:v>
      </x:c>
      <x:c r="V530" s="6" t="n">
        <x:v>101.44</x:v>
      </x:c>
    </x:row>
    <x:row r="531" ht="22" customHeight="1">
      <x:c r="A531" s="1" t="str">
        <x:v>Round1</x:v>
      </x:c>
      <x:c r="B531" s="1" t="str">
        <x:v>Jsoup</x:v>
      </x:c>
      <x:c r="C531" s="4" t="n">
        <x:v>22</x:v>
      </x:c>
      <x:c r="D531" s="4" t="n">
        <x:v>0</x:v>
      </x:c>
      <x:c r="E531" s="4" t="n">
        <x:v>60</x:v>
      </x:c>
      <x:c r="F531" s="4" t="n">
        <x:v>3532</x:v>
      </x:c>
      <x:c r="G531" s="5" t="n">
        <x:v>0.2162</x:v>
      </x:c>
      <x:c r="H531" s="5" t="n">
        <x:v>0.21289999999999998</x:v>
      </x:c>
      <x:c r="I531" s="5" t="n">
        <x:v>0.2243</x:v>
      </x:c>
      <x:c r="J531" s="4" t="n">
        <x:v>939</x:v>
      </x:c>
      <x:c r="K531" s="4" t="n">
        <x:v>203</x:v>
      </x:c>
      <x:c r="L531" s="4" t="n">
        <x:v>667</x:v>
      </x:c>
      <x:c r="M531" s="4" t="n">
        <x:v>142</x:v>
      </x:c>
      <x:c r="N531" s="4" t="n">
        <x:v>272</x:v>
      </x:c>
      <x:c r="O531" s="4" t="n">
        <x:v>61</x:v>
      </x:c>
      <x:c r="P531" s="1" t="str">
        <x:v>PASS</x:v>
      </x:c>
      <x:c r="Q531" s="4" t="n">
        <x:v>0</x:v>
      </x:c>
      <x:c r="R531" s="1" t="str">
        <x:v>PASS</x:v>
      </x:c>
      <x:c r="S531" s="4" t="n">
        <x:v>0</x:v>
      </x:c>
      <x:c r="T531" s="1" t="str">
        <x:v>NOT_REVEALING</x:v>
      </x:c>
      <x:c r="U531" s="1" t="str">
        <x:v>Jsoup_22</x:v>
      </x:c>
      <x:c r="V531" s="6" t="n">
        <x:v>90.59</x:v>
      </x:c>
    </x:row>
    <x:row r="532" ht="22" customHeight="1">
      <x:c r="A532" s="1" t="str">
        <x:v>Round1</x:v>
      </x:c>
      <x:c r="B532" s="1" t="str">
        <x:v>Jsoup</x:v>
      </x:c>
      <x:c r="C532" s="4" t="n">
        <x:v>23</x:v>
      </x:c>
      <x:c r="D532" s="4" t="n">
        <x:v>0</x:v>
      </x:c>
      <x:c r="E532" s="4" t="n">
        <x:v>60</x:v>
      </x:c>
      <x:c r="F532" s="4" t="n">
        <x:v>3878</x:v>
      </x:c>
      <x:c r="G532" s="5" t="n">
        <x:v>0.5989</x:v>
      </x:c>
      <x:c r="H532" s="5" t="n">
        <x:v>0.7005</x:v>
      </x:c>
      <x:c r="I532" s="5" t="n">
        <x:v>0.4539</x:v>
      </x:c>
      <x:c r="J532" s="4" t="n">
        <x:v>369</x:v>
      </x:c>
      <x:c r="K532" s="4" t="n">
        <x:v>221</x:v>
      </x:c>
      <x:c r="L532" s="4" t="n">
        <x:v>217</x:v>
      </x:c>
      <x:c r="M532" s="4" t="n">
        <x:v>152</x:v>
      </x:c>
      <x:c r="N532" s="4" t="n">
        <x:v>152</x:v>
      </x:c>
      <x:c r="O532" s="4" t="n">
        <x:v>69</x:v>
      </x:c>
      <x:c r="P532" s="1" t="str">
        <x:v>PASS</x:v>
      </x:c>
      <x:c r="Q532" s="4" t="n">
        <x:v>0</x:v>
      </x:c>
      <x:c r="R532" s="1" t="str">
        <x:v>PASS</x:v>
      </x:c>
      <x:c r="S532" s="4" t="n">
        <x:v>0</x:v>
      </x:c>
      <x:c r="T532" s="1" t="str">
        <x:v>NOT_REVEALING</x:v>
      </x:c>
      <x:c r="U532" s="1" t="str">
        <x:v>Jsoup_23</x:v>
      </x:c>
      <x:c r="V532" s="6" t="n">
        <x:v>69.37</x:v>
      </x:c>
    </x:row>
    <x:row r="533" ht="22" customHeight="1">
      <x:c r="A533" s="1" t="str">
        <x:v>Round1</x:v>
      </x:c>
      <x:c r="B533" s="1" t="str">
        <x:v>Jsoup</x:v>
      </x:c>
      <x:c r="C533" s="4" t="n">
        <x:v>24</x:v>
      </x:c>
      <x:c r="D533" s="4" t="n">
        <x:v>0</x:v>
      </x:c>
      <x:c r="E533" s="4" t="n">
        <x:v>60</x:v>
      </x:c>
      <x:c r="F533" s="4" t="n">
        <x:v>67</x:v>
      </x:c>
      <x:c r="G533" s="5" t="n">
        <x:v>0.1311</x:v>
      </x:c>
      <x:c r="H533" s="5" t="n">
        <x:v>0.1699</x:v>
      </x:c>
      <x:c r="I533" s="5" t="n">
        <x:v>0</x:v>
      </x:c>
      <x:c r="J533" s="4" t="n">
        <x:v>1549</x:v>
      </x:c>
      <x:c r="K533" s="4" t="n">
        <x:v>203</x:v>
      </x:c>
      <x:c r="L533" s="4" t="n">
        <x:v>1195</x:v>
      </x:c>
      <x:c r="M533" s="4" t="n">
        <x:v>203</x:v>
      </x:c>
      <x:c r="N533" s="4" t="n">
        <x:v>354</x:v>
      </x:c>
      <x:c r="O533" s="4" t="n">
        <x:v>0</x:v>
      </x:c>
      <x:c r="P533" s="1" t="str">
        <x:v>PASS</x:v>
      </x:c>
      <x:c r="Q533" s="4" t="n">
        <x:v>0</x:v>
      </x:c>
      <x:c r="R533" s="1" t="str">
        <x:v>PASS</x:v>
      </x:c>
      <x:c r="S533" s="4" t="n">
        <x:v>0</x:v>
      </x:c>
      <x:c r="T533" s="1" t="str">
        <x:v>NOT_REVEALING</x:v>
      </x:c>
      <x:c r="U533" s="1" t="str">
        <x:v>Jsoup_24</x:v>
      </x:c>
      <x:c r="V533" s="6" t="n">
        <x:v>36.55</x:v>
      </x:c>
    </x:row>
    <x:row r="534" ht="22" customHeight="1">
      <x:c r="A534" s="1" t="str">
        <x:v>Round1</x:v>
      </x:c>
      <x:c r="B534" s="1" t="str">
        <x:v>Jsoup</x:v>
      </x:c>
      <x:c r="C534" s="4" t="n">
        <x:v>25</x:v>
      </x:c>
      <x:c r="D534" s="4" t="n">
        <x:v>0</x:v>
      </x:c>
      <x:c r="E534" s="4" t="n">
        <x:v>60</x:v>
      </x:c>
      <x:c r="F534" s="4" t="n">
        <x:v>3992</x:v>
      </x:c>
      <x:c r="G534" s="5" t="n">
        <x:v>0.7206</x:v>
      </x:c>
      <x:c r="H534" s="5" t="n">
        <x:v>0.8889</x:v>
      </x:c>
      <x:c r="I534" s="5" t="n">
        <x:v>0.39130000000000004</x:v>
      </x:c>
      <x:c r="J534" s="4" t="n">
        <x:v>136</x:v>
      </x:c>
      <x:c r="K534" s="4" t="n">
        <x:v>98</x:v>
      </x:c>
      <x:c r="L534" s="4" t="n">
        <x:v>90</x:v>
      </x:c>
      <x:c r="M534" s="4" t="n">
        <x:v>80</x:v>
      </x:c>
      <x:c r="N534" s="4" t="n">
        <x:v>46</x:v>
      </x:c>
      <x:c r="O534" s="4" t="n">
        <x:v>18</x:v>
      </x:c>
      <x:c r="P534" s="1" t="str">
        <x:v>PASS</x:v>
      </x:c>
      <x:c r="Q534" s="4" t="n">
        <x:v>0</x:v>
      </x:c>
      <x:c r="R534" s="1" t="str">
        <x:v>PASS</x:v>
      </x:c>
      <x:c r="S534" s="4" t="n">
        <x:v>0</x:v>
      </x:c>
      <x:c r="T534" s="1" t="str">
        <x:v>NOT_REVEALING</x:v>
      </x:c>
      <x:c r="U534" s="1" t="str">
        <x:v>Jsoup_25</x:v>
      </x:c>
      <x:c r="V534" s="6" t="n">
        <x:v>56.16</x:v>
      </x:c>
    </x:row>
    <x:row r="535" ht="22" customHeight="1">
      <x:c r="A535" s="1" t="str">
        <x:v>Round1</x:v>
      </x:c>
      <x:c r="B535" s="1" t="str">
        <x:v>Jsoup</x:v>
      </x:c>
      <x:c r="C535" s="4" t="n">
        <x:v>26</x:v>
      </x:c>
      <x:c r="D535" s="4" t="n">
        <x:v>0</x:v>
      </x:c>
      <x:c r="E535" s="4" t="n">
        <x:v>60</x:v>
      </x:c>
      <x:c r="F535" s="4" t="n">
        <x:v>2</x:v>
      </x:c>
      <x:c r="G535" s="5" t="n">
        <x:v>0.0317</x:v>
      </x:c>
      <x:c r="H535" s="5" t="n">
        <x:v>0.0408</x:v>
      </x:c>
      <x:c r="I535" s="5" t="n">
        <x:v>0</x:v>
      </x:c>
      <x:c r="J535" s="4" t="n">
        <x:v>63</x:v>
      </x:c>
      <x:c r="K535" s="4" t="n">
        <x:v>2</x:v>
      </x:c>
      <x:c r="L535" s="4" t="n">
        <x:v>49</x:v>
      </x:c>
      <x:c r="M535" s="4" t="n">
        <x:v>2</x:v>
      </x:c>
      <x:c r="N535" s="4" t="n">
        <x:v>14</x:v>
      </x:c>
      <x:c r="O535" s="4" t="n">
        <x:v>0</x:v>
      </x:c>
      <x:c r="P535" s="1" t="str">
        <x:v>PASS</x:v>
      </x:c>
      <x:c r="Q535" s="4" t="n">
        <x:v>0</x:v>
      </x:c>
      <x:c r="R535" s="1" t="str">
        <x:v>PASS</x:v>
      </x:c>
      <x:c r="S535" s="4" t="n">
        <x:v>0</x:v>
      </x:c>
      <x:c r="T535" s="1" t="str">
        <x:v>NOT_REVEALING</x:v>
      </x:c>
      <x:c r="U535" s="1" t="str">
        <x:v>Jsoup_26</x:v>
      </x:c>
      <x:c r="V535" s="6" t="n">
        <x:v>26.65</x:v>
      </x:c>
    </x:row>
    <x:row r="536" ht="22" customHeight="1">
      <x:c r="A536" s="1" t="str">
        <x:v>Round1</x:v>
      </x:c>
      <x:c r="B536" s="1" t="str">
        <x:v>Jsoup</x:v>
      </x:c>
      <x:c r="C536" s="4" t="n">
        <x:v>27</x:v>
      </x:c>
      <x:c r="D536" s="4" t="n">
        <x:v>0</x:v>
      </x:c>
      <x:c r="E536" s="4" t="n">
        <x:v>60</x:v>
      </x:c>
      <x:c r="F536" s="4" t="n">
        <x:v>42</x:v>
      </x:c>
      <x:c r="G536" s="5" t="n">
        <x:v>0.2917</x:v>
      </x:c>
      <x:c r="H536" s="5" t="n">
        <x:v>0.375</x:v>
      </x:c>
      <x:c r="I536" s="5" t="n">
        <x:v>0.125</x:v>
      </x:c>
      <x:c r="J536" s="4" t="n">
        <x:v>72</x:v>
      </x:c>
      <x:c r="K536" s="4" t="n">
        <x:v>21</x:v>
      </x:c>
      <x:c r="L536" s="4" t="n">
        <x:v>48</x:v>
      </x:c>
      <x:c r="M536" s="4" t="n">
        <x:v>18</x:v>
      </x:c>
      <x:c r="N536" s="4" t="n">
        <x:v>24</x:v>
      </x:c>
      <x:c r="O536" s="4" t="n">
        <x:v>3</x:v>
      </x:c>
      <x:c r="P536" s="1" t="str">
        <x:v>PASS</x:v>
      </x:c>
      <x:c r="Q536" s="4" t="n">
        <x:v>0</x:v>
      </x:c>
      <x:c r="R536" s="1" t="str">
        <x:v>PASS</x:v>
      </x:c>
      <x:c r="S536" s="4" t="n">
        <x:v>0</x:v>
      </x:c>
      <x:c r="T536" s="1" t="str">
        <x:v>NOT_REVEALING</x:v>
      </x:c>
      <x:c r="U536" s="1" t="str">
        <x:v>Jsoup_27</x:v>
      </x:c>
      <x:c r="V536" s="6" t="n">
        <x:v>23.89</x:v>
      </x:c>
    </x:row>
    <x:row r="537" ht="22" customHeight="1">
      <x:c r="A537" s="1" t="str">
        <x:v>Round1</x:v>
      </x:c>
      <x:c r="B537" s="1" t="str">
        <x:v>Jsoup</x:v>
      </x:c>
      <x:c r="C537" s="4" t="n">
        <x:v>28</x:v>
      </x:c>
      <x:c r="D537" s="4" t="n">
        <x:v>0</x:v>
      </x:c>
      <x:c r="E537" s="4" t="n">
        <x:v>60</x:v>
      </x:c>
      <x:c r="F537" s="4" t="n">
        <x:v>3530</x:v>
      </x:c>
      <x:c r="G537" s="5" t="n">
        <x:v>0.48700000000000004</x:v>
      </x:c>
      <x:c r="H537" s="5" t="n">
        <x:v>0.5865</x:v>
      </x:c>
      <x:c r="I537" s="5" t="n">
        <x:v>0.2685</x:v>
      </x:c>
      <x:c r="J537" s="4" t="n">
        <x:v>345</x:v>
      </x:c>
      <x:c r="K537" s="4" t="n">
        <x:v>168</x:v>
      </x:c>
      <x:c r="L537" s="4" t="n">
        <x:v>237</x:v>
      </x:c>
      <x:c r="M537" s="4" t="n">
        <x:v>139</x:v>
      </x:c>
      <x:c r="N537" s="4" t="n">
        <x:v>108</x:v>
      </x:c>
      <x:c r="O537" s="4" t="n">
        <x:v>29</x:v>
      </x:c>
      <x:c r="P537" s="1" t="str">
        <x:v>PASS</x:v>
      </x:c>
      <x:c r="Q537" s="4" t="n">
        <x:v>0</x:v>
      </x:c>
      <x:c r="R537" s="1" t="str">
        <x:v>PASS</x:v>
      </x:c>
      <x:c r="S537" s="4" t="n">
        <x:v>0</x:v>
      </x:c>
      <x:c r="T537" s="1" t="str">
        <x:v>NOT_REVEALING</x:v>
      </x:c>
      <x:c r="U537" s="1" t="str">
        <x:v>Jsoup_28</x:v>
      </x:c>
      <x:c r="V537" s="6" t="n">
        <x:v>49.22</x:v>
      </x:c>
    </x:row>
    <x:row r="538" ht="22" customHeight="1">
      <x:c r="A538" s="1" t="str">
        <x:v>Round1</x:v>
      </x:c>
      <x:c r="B538" s="1" t="str">
        <x:v>Jsoup</x:v>
      </x:c>
      <x:c r="C538" s="4" t="n">
        <x:v>29</x:v>
      </x:c>
      <x:c r="D538" s="4" t="n">
        <x:v>0</x:v>
      </x:c>
      <x:c r="E538" s="4" t="n">
        <x:v>60</x:v>
      </x:c>
      <x:c r="F538" s="4" t="n">
        <x:v>3763</x:v>
      </x:c>
      <x:c r="G538" s="5" t="n">
        <x:v>0.8758</x:v>
      </x:c>
      <x:c r="H538" s="5" t="n">
        <x:v>0.8974</x:v>
      </x:c>
      <x:c r="I538" s="5" t="n">
        <x:v>0.8056</x:v>
      </x:c>
      <x:c r="J538" s="4" t="n">
        <x:v>153</x:v>
      </x:c>
      <x:c r="K538" s="4" t="n">
        <x:v>134</x:v>
      </x:c>
      <x:c r="L538" s="4" t="n">
        <x:v>117</x:v>
      </x:c>
      <x:c r="M538" s="4" t="n">
        <x:v>105</x:v>
      </x:c>
      <x:c r="N538" s="4" t="n">
        <x:v>36</x:v>
      </x:c>
      <x:c r="O538" s="4" t="n">
        <x:v>29</x:v>
      </x:c>
      <x:c r="P538" s="1" t="str">
        <x:v>FAIL</x:v>
      </x:c>
      <x:c r="Q538" s="4" t="n">
        <x:v>326</x:v>
      </x:c>
      <x:c r="R538" s="1" t="str">
        <x:v>FAIL</x:v>
      </x:c>
      <x:c r="S538" s="4" t="n">
        <x:v>326</x:v>
      </x:c>
      <x:c r="T538" s="1" t="str">
        <x:v>INCONCLUSIVE</x:v>
      </x:c>
      <x:c r="U538" s="1" t="str">
        <x:v>Jsoup_29</x:v>
      </x:c>
      <x:c r="V538" s="6" t="n">
        <x:v>53.18</x:v>
      </x:c>
    </x:row>
    <x:row r="539" ht="22" customHeight="1">
      <x:c r="A539" s="1" t="str">
        <x:v>Round1</x:v>
      </x:c>
      <x:c r="B539" s="1" t="str">
        <x:v>Jsoup</x:v>
      </x:c>
      <x:c r="C539" s="4" t="n">
        <x:v>30</x:v>
      </x:c>
      <x:c r="D539" s="4" t="n">
        <x:v>0</x:v>
      </x:c>
      <x:c r="E539" s="4" t="n">
        <x:v>60</x:v>
      </x:c>
      <x:c r="F539" s="4" t="n">
        <x:v>2</x:v>
      </x:c>
      <x:c r="G539" s="5" t="n">
        <x:v>0.030299999999999997</x:v>
      </x:c>
      <x:c r="H539" s="5" t="n">
        <x:v>0.04</x:v>
      </x:c>
      <x:c r="I539" s="5" t="n">
        <x:v>0</x:v>
      </x:c>
      <x:c r="J539" s="4" t="n">
        <x:v>66</x:v>
      </x:c>
      <x:c r="K539" s="4" t="n">
        <x:v>2</x:v>
      </x:c>
      <x:c r="L539" s="4" t="n">
        <x:v>50</x:v>
      </x:c>
      <x:c r="M539" s="4" t="n">
        <x:v>2</x:v>
      </x:c>
      <x:c r="N539" s="4" t="n">
        <x:v>16</x:v>
      </x:c>
      <x:c r="O539" s="4" t="n">
        <x:v>0</x:v>
      </x:c>
      <x:c r="P539" s="1" t="str">
        <x:v>PASS</x:v>
      </x:c>
      <x:c r="Q539" s="4" t="n">
        <x:v>0</x:v>
      </x:c>
      <x:c r="R539" s="1" t="str">
        <x:v>PASS</x:v>
      </x:c>
      <x:c r="S539" s="4" t="n">
        <x:v>0</x:v>
      </x:c>
      <x:c r="T539" s="1" t="str">
        <x:v>NOT_REVEALING</x:v>
      </x:c>
      <x:c r="U539" s="1" t="str">
        <x:v>Jsoup_30</x:v>
      </x:c>
      <x:c r="V539" s="6" t="n">
        <x:v>23.3</x:v>
      </x:c>
    </x:row>
    <x:row r="540" ht="22" customHeight="1">
      <x:c r="A540" s="1" t="str">
        <x:v>Round1</x:v>
      </x:c>
      <x:c r="B540" s="1" t="str">
        <x:v>Jsoup</x:v>
      </x:c>
      <x:c r="C540" s="4" t="n">
        <x:v>31</x:v>
      </x:c>
      <x:c r="D540" s="4" t="n">
        <x:v>0</x:v>
      </x:c>
      <x:c r="E540" s="4" t="n">
        <x:v>60</x:v>
      </x:c>
      <x:c r="F540" s="4" t="n">
        <x:v>3659</x:v>
      </x:c>
      <x:c r="G540" s="5" t="n">
        <x:v>0.218</x:v>
      </x:c>
      <x:c r="H540" s="5" t="n">
        <x:v>0.2506</x:v>
      </x:c>
      <x:c r="I540" s="5" t="n">
        <x:v>0.11</x:v>
      </x:c>
      <x:c r="J540" s="4" t="n">
        <x:v>1766</x:v>
      </x:c>
      <x:c r="K540" s="4" t="n">
        <x:v>385</x:v>
      </x:c>
      <x:c r="L540" s="4" t="n">
        <x:v>1357</x:v>
      </x:c>
      <x:c r="M540" s="4" t="n">
        <x:v>340</x:v>
      </x:c>
      <x:c r="N540" s="4" t="n">
        <x:v>409</x:v>
      </x:c>
      <x:c r="O540" s="4" t="n">
        <x:v>45</x:v>
      </x:c>
      <x:c r="P540" s="1" t="str">
        <x:v>FAIL</x:v>
      </x:c>
      <x:c r="Q540" s="4" t="n">
        <x:v>60</x:v>
      </x:c>
      <x:c r="R540" s="1" t="str">
        <x:v>FAIL</x:v>
      </x:c>
      <x:c r="S540" s="4" t="n">
        <x:v>60</x:v>
      </x:c>
      <x:c r="T540" s="1" t="str">
        <x:v>INCONCLUSIVE</x:v>
      </x:c>
      <x:c r="U540" s="1" t="str">
        <x:v>Jsoup_31</x:v>
      </x:c>
      <x:c r="V540" s="6" t="n">
        <x:v>48.57</x:v>
      </x:c>
    </x:row>
    <x:row r="541" ht="22" customHeight="1">
      <x:c r="A541" s="1" t="str">
        <x:v>Round1</x:v>
      </x:c>
      <x:c r="B541" s="1" t="str">
        <x:v>Jsoup</x:v>
      </x:c>
      <x:c r="C541" s="4" t="n">
        <x:v>32</x:v>
      </x:c>
      <x:c r="D541" s="4" t="n">
        <x:v>0</x:v>
      </x:c>
      <x:c r="E541" s="4" t="n">
        <x:v>60</x:v>
      </x:c>
      <x:c r="F541" s="4" t="n">
        <x:v>5</x:v>
      </x:c>
      <x:c r="G541" s="5" t="n">
        <x:v>0.0068000000000000005</x:v>
      </x:c>
      <x:c r="H541" s="5" t="n">
        <x:v>0.009899999999999999</x:v>
      </x:c>
      <x:c r="I541" s="5" t="n">
        <x:v>0</x:v>
      </x:c>
      <x:c r="J541" s="4" t="n">
        <x:v>443</x:v>
      </x:c>
      <x:c r="K541" s="4" t="n">
        <x:v>3</x:v>
      </x:c>
      <x:c r="L541" s="4" t="n">
        <x:v>303</x:v>
      </x:c>
      <x:c r="M541" s="4" t="n">
        <x:v>3</x:v>
      </x:c>
      <x:c r="N541" s="4" t="n">
        <x:v>140</x:v>
      </x:c>
      <x:c r="O541" s="4" t="n">
        <x:v>0</x:v>
      </x:c>
      <x:c r="P541" s="1" t="str">
        <x:v>PASS</x:v>
      </x:c>
      <x:c r="Q541" s="4" t="n">
        <x:v>0</x:v>
      </x:c>
      <x:c r="R541" s="1" t="str">
        <x:v>PASS</x:v>
      </x:c>
      <x:c r="S541" s="4" t="n">
        <x:v>0</x:v>
      </x:c>
      <x:c r="T541" s="1" t="str">
        <x:v>NOT_REVEALING</x:v>
      </x:c>
      <x:c r="U541" s="1" t="str">
        <x:v>Jsoup_32</x:v>
      </x:c>
      <x:c r="V541" s="6" t="n">
        <x:v>24.89</x:v>
      </x:c>
    </x:row>
    <x:row r="542" ht="22" customHeight="1">
      <x:c r="A542" s="1" t="str">
        <x:v>Round1</x:v>
      </x:c>
      <x:c r="B542" s="1" t="str">
        <x:v>Jsoup</x:v>
      </x:c>
      <x:c r="C542" s="4" t="n">
        <x:v>33</x:v>
      </x:c>
      <x:c r="D542" s="4" t="n">
        <x:v>0</x:v>
      </x:c>
      <x:c r="E542" s="4" t="n">
        <x:v>60</x:v>
      </x:c>
      <x:c r="F542" s="4" t="n">
        <x:v>3046</x:v>
      </x:c>
      <x:c r="G542" s="5" t="n">
        <x:v>0.7227</x:v>
      </x:c>
      <x:c r="H542" s="5" t="n">
        <x:v>0.7659</x:v>
      </x:c>
      <x:c r="I542" s="5" t="n">
        <x:v>0.6386</x:v>
      </x:c>
      <x:c r="J542" s="4" t="n">
        <x:v>595</x:v>
      </x:c>
      <x:c r="K542" s="4" t="n">
        <x:v>430</x:v>
      </x:c>
      <x:c r="L542" s="4" t="n">
        <x:v>393</x:v>
      </x:c>
      <x:c r="M542" s="4" t="n">
        <x:v>301</x:v>
      </x:c>
      <x:c r="N542" s="4" t="n">
        <x:v>202</x:v>
      </x:c>
      <x:c r="O542" s="4" t="n">
        <x:v>129</x:v>
      </x:c>
      <x:c r="P542" s="1" t="str">
        <x:v>FAIL</x:v>
      </x:c>
      <x:c r="Q542" s="4" t="n">
        <x:v>30</x:v>
      </x:c>
      <x:c r="R542" s="1" t="str">
        <x:v>FAIL</x:v>
      </x:c>
      <x:c r="S542" s="4" t="n">
        <x:v>30</x:v>
      </x:c>
      <x:c r="T542" s="1" t="str">
        <x:v>INCONCLUSIVE</x:v>
      </x:c>
      <x:c r="U542" s="1" t="str">
        <x:v>Jsoup_33</x:v>
      </x:c>
      <x:c r="V542" s="6" t="n">
        <x:v>55.27</x:v>
      </x:c>
    </x:row>
    <x:row r="543" ht="22" customHeight="1">
      <x:c r="A543" s="1" t="str">
        <x:v>Round1</x:v>
      </x:c>
      <x:c r="B543" s="1" t="str">
        <x:v>Jsoup</x:v>
      </x:c>
      <x:c r="C543" s="4" t="n">
        <x:v>34</x:v>
      </x:c>
      <x:c r="D543" s="4" t="n">
        <x:v>0</x:v>
      </x:c>
      <x:c r="E543" s="4" t="n">
        <x:v>60</x:v>
      </x:c>
      <x:c r="F543" s="4" t="n">
        <x:v>3603</x:v>
      </x:c>
      <x:c r="G543" s="5" t="n">
        <x:v>0.8985</x:v>
      </x:c>
      <x:c r="H543" s="5" t="n">
        <x:v>0.9412</x:v>
      </x:c>
      <x:c r="I543" s="5" t="n">
        <x:v>0.8538</x:v>
      </x:c>
      <x:c r="J543" s="4" t="n">
        <x:v>266</x:v>
      </x:c>
      <x:c r="K543" s="4" t="n">
        <x:v>239</x:v>
      </x:c>
      <x:c r="L543" s="4" t="n">
        <x:v>136</x:v>
      </x:c>
      <x:c r="M543" s="4" t="n">
        <x:v>128</x:v>
      </x:c>
      <x:c r="N543" s="4" t="n">
        <x:v>130</x:v>
      </x:c>
      <x:c r="O543" s="4" t="n">
        <x:v>111</x:v>
      </x:c>
      <x:c r="P543" s="1" t="str">
        <x:v>PASS</x:v>
      </x:c>
      <x:c r="Q543" s="4" t="n">
        <x:v>0</x:v>
      </x:c>
      <x:c r="R543" s="1" t="str">
        <x:v>FAIL</x:v>
      </x:c>
      <x:c r="S543" s="4" t="n">
        <x:v>2</x:v>
      </x:c>
      <x:c r="T543" s="1" t="str">
        <x:v>INCONCLUSIVE</x:v>
      </x:c>
      <x:c r="U543" s="1" t="str">
        <x:v>Jsoup_34</x:v>
      </x:c>
      <x:c r="V543" s="6" t="n">
        <x:v>54.8</x:v>
      </x:c>
    </x:row>
    <x:row r="544" ht="22" customHeight="1">
      <x:c r="A544" s="1" t="str">
        <x:v>Round1</x:v>
      </x:c>
      <x:c r="B544" s="1" t="str">
        <x:v>Jsoup</x:v>
      </x:c>
      <x:c r="C544" s="4" t="n">
        <x:v>35</x:v>
      </x:c>
      <x:c r="D544" s="4" t="n">
        <x:v>0</x:v>
      </x:c>
      <x:c r="E544" s="4" t="n">
        <x:v>60</x:v>
      </x:c>
      <x:c r="F544" s="4" t="n">
        <x:v>23</x:v>
      </x:c>
      <x:c r="G544" s="5" t="n">
        <x:v>0.04</x:v>
      </x:c>
      <x:c r="H544" s="5" t="n">
        <x:v>0.0677</x:v>
      </x:c>
      <x:c r="I544" s="5" t="n">
        <x:v>0</x:v>
      </x:c>
      <x:c r="J544" s="4" t="n">
        <x:v>1827</x:v>
      </x:c>
      <x:c r="K544" s="4" t="n">
        <x:v>73</x:v>
      </x:c>
      <x:c r="L544" s="4" t="n">
        <x:v>1078</x:v>
      </x:c>
      <x:c r="M544" s="4" t="n">
        <x:v>73</x:v>
      </x:c>
      <x:c r="N544" s="4" t="n">
        <x:v>749</x:v>
      </x:c>
      <x:c r="O544" s="4" t="n">
        <x:v>0</x:v>
      </x:c>
      <x:c r="P544" s="1" t="str">
        <x:v>PASS</x:v>
      </x:c>
      <x:c r="Q544" s="4" t="n">
        <x:v>0</x:v>
      </x:c>
      <x:c r="R544" s="1" t="str">
        <x:v>PASS</x:v>
      </x:c>
      <x:c r="S544" s="4" t="n">
        <x:v>0</x:v>
      </x:c>
      <x:c r="T544" s="1" t="str">
        <x:v>NOT_REVEALING</x:v>
      </x:c>
      <x:c r="U544" s="1" t="str">
        <x:v>Jsoup_35</x:v>
      </x:c>
      <x:c r="V544" s="6" t="n">
        <x:v>25.26</x:v>
      </x:c>
    </x:row>
    <x:row r="545" ht="22" customHeight="1">
      <x:c r="A545" s="1" t="str">
        <x:v>Round1</x:v>
      </x:c>
      <x:c r="B545" s="1" t="str">
        <x:v>Jsoup</x:v>
      </x:c>
      <x:c r="C545" s="4" t="n">
        <x:v>36</x:v>
      </x:c>
      <x:c r="D545" s="4" t="n">
        <x:v>0</x:v>
      </x:c>
      <x:c r="E545" s="4" t="n">
        <x:v>60</x:v>
      </x:c>
      <x:c r="F545" s="4" t="n">
        <x:v>61</x:v>
      </x:c>
      <x:c r="G545" s="5" t="n">
        <x:v>0.2959</x:v>
      </x:c>
      <x:c r="H545" s="5" t="n">
        <x:v>0.3667</x:v>
      </x:c>
      <x:c r="I545" s="5" t="n">
        <x:v>0.18420000000000003</x:v>
      </x:c>
      <x:c r="J545" s="4" t="n">
        <x:v>98</x:v>
      </x:c>
      <x:c r="K545" s="4" t="n">
        <x:v>29</x:v>
      </x:c>
      <x:c r="L545" s="4" t="n">
        <x:v>60</x:v>
      </x:c>
      <x:c r="M545" s="4" t="n">
        <x:v>22</x:v>
      </x:c>
      <x:c r="N545" s="4" t="n">
        <x:v>38</x:v>
      </x:c>
      <x:c r="O545" s="4" t="n">
        <x:v>7</x:v>
      </x:c>
      <x:c r="P545" s="1" t="str">
        <x:v>PASS</x:v>
      </x:c>
      <x:c r="Q545" s="4" t="n">
        <x:v>0</x:v>
      </x:c>
      <x:c r="R545" s="1" t="str">
        <x:v>PASS</x:v>
      </x:c>
      <x:c r="S545" s="4" t="n">
        <x:v>0</x:v>
      </x:c>
      <x:c r="T545" s="1" t="str">
        <x:v>NOT_REVEALING</x:v>
      </x:c>
      <x:c r="U545" s="1" t="str">
        <x:v>Jsoup_36</x:v>
      </x:c>
      <x:c r="V545" s="6" t="n">
        <x:v>23.07</x:v>
      </x:c>
    </x:row>
    <x:row r="546" ht="22" customHeight="1">
      <x:c r="A546" s="1" t="str">
        <x:v>Round1</x:v>
      </x:c>
      <x:c r="B546" s="1" t="str">
        <x:v>Jsoup</x:v>
      </x:c>
      <x:c r="C546" s="4" t="n">
        <x:v>37</x:v>
      </x:c>
      <x:c r="D546" s="4" t="n">
        <x:v>0</x:v>
      </x:c>
      <x:c r="E546" s="4" t="n">
        <x:v>60</x:v>
      </x:c>
      <x:c r="F546" s="4" t="n">
        <x:v>6</x:v>
      </x:c>
      <x:c r="G546" s="5" t="n">
        <x:v>0.0131</x:v>
      </x:c>
      <x:c r="H546" s="5" t="n">
        <x:v>0.0163</x:v>
      </x:c>
      <x:c r="I546" s="5" t="n">
        <x:v>0.0066</x:v>
      </x:c>
      <x:c r="J546" s="4" t="n">
        <x:v>459</x:v>
      </x:c>
      <x:c r="K546" s="4" t="n">
        <x:v>6</x:v>
      </x:c>
      <x:c r="L546" s="4" t="n">
        <x:v>307</x:v>
      </x:c>
      <x:c r="M546" s="4" t="n">
        <x:v>5</x:v>
      </x:c>
      <x:c r="N546" s="4" t="n">
        <x:v>152</x:v>
      </x:c>
      <x:c r="O546" s="4" t="n">
        <x:v>1</x:v>
      </x:c>
      <x:c r="P546" s="1" t="str">
        <x:v>PASS</x:v>
      </x:c>
      <x:c r="Q546" s="4" t="n">
        <x:v>0</x:v>
      </x:c>
      <x:c r="R546" s="1" t="str">
        <x:v>PASS</x:v>
      </x:c>
      <x:c r="S546" s="4" t="n">
        <x:v>0</x:v>
      </x:c>
      <x:c r="T546" s="1" t="str">
        <x:v>NOT_REVEALING</x:v>
      </x:c>
      <x:c r="U546" s="1" t="str">
        <x:v>Jsoup_37</x:v>
      </x:c>
      <x:c r="V546" s="6" t="n">
        <x:v>23.44</x:v>
      </x:c>
    </x:row>
    <x:row r="547" ht="22" customHeight="1">
      <x:c r="A547" s="1" t="str">
        <x:v>Round1</x:v>
      </x:c>
      <x:c r="B547" s="1" t="str">
        <x:v>Jsoup</x:v>
      </x:c>
      <x:c r="C547" s="4" t="n">
        <x:v>38</x:v>
      </x:c>
      <x:c r="D547" s="4" t="n">
        <x:v>0</x:v>
      </x:c>
      <x:c r="E547" s="4" t="n">
        <x:v>60</x:v>
      </x:c>
      <x:c r="F547" s="4" t="n">
        <x:v>23</x:v>
      </x:c>
      <x:c r="G547" s="5" t="n">
        <x:v>0.0395</x:v>
      </x:c>
      <x:c r="H547" s="5" t="n">
        <x:v>0.0665</x:v>
      </x:c>
      <x:c r="I547" s="5" t="n">
        <x:v>0</x:v>
      </x:c>
      <x:c r="J547" s="4" t="n">
        <x:v>1846</x:v>
      </x:c>
      <x:c r="K547" s="4" t="n">
        <x:v>73</x:v>
      </x:c>
      <x:c r="L547" s="4" t="n">
        <x:v>1097</x:v>
      </x:c>
      <x:c r="M547" s="4" t="n">
        <x:v>73</x:v>
      </x:c>
      <x:c r="N547" s="4" t="n">
        <x:v>749</x:v>
      </x:c>
      <x:c r="O547" s="4" t="n">
        <x:v>0</x:v>
      </x:c>
      <x:c r="P547" s="1" t="str">
        <x:v>PASS</x:v>
      </x:c>
      <x:c r="Q547" s="4" t="n">
        <x:v>0</x:v>
      </x:c>
      <x:c r="R547" s="1" t="str">
        <x:v>PASS</x:v>
      </x:c>
      <x:c r="S547" s="4" t="n">
        <x:v>0</x:v>
      </x:c>
      <x:c r="T547" s="1" t="str">
        <x:v>NOT_REVEALING</x:v>
      </x:c>
      <x:c r="U547" s="1" t="str">
        <x:v>Jsoup_38</x:v>
      </x:c>
      <x:c r="V547" s="6" t="n">
        <x:v>22.5</x:v>
      </x:c>
    </x:row>
    <x:row r="548" ht="22" customHeight="1">
      <x:c r="A548" s="1" t="str">
        <x:v>Round1</x:v>
      </x:c>
      <x:c r="B548" s="1" t="str">
        <x:v>Jsoup</x:v>
      </x:c>
      <x:c r="C548" s="4" t="n">
        <x:v>39</x:v>
      </x:c>
      <x:c r="D548" s="4" t="n">
        <x:v>0</x:v>
      </x:c>
      <x:c r="E548" s="4" t="n">
        <x:v>60</x:v>
      </x:c>
      <x:c r="F548" s="4" t="n">
        <x:v>61</x:v>
      </x:c>
      <x:c r="G548" s="5" t="n">
        <x:v>0.2397</x:v>
      </x:c>
      <x:c r="H548" s="5" t="n">
        <x:v>0.2933</x:v>
      </x:c>
      <x:c r="I548" s="5" t="n">
        <x:v>0.1522</x:v>
      </x:c>
      <x:c r="J548" s="4" t="n">
        <x:v>121</x:v>
      </x:c>
      <x:c r="K548" s="4" t="n">
        <x:v>29</x:v>
      </x:c>
      <x:c r="L548" s="4" t="n">
        <x:v>75</x:v>
      </x:c>
      <x:c r="M548" s="4" t="n">
        <x:v>22</x:v>
      </x:c>
      <x:c r="N548" s="4" t="n">
        <x:v>46</x:v>
      </x:c>
      <x:c r="O548" s="4" t="n">
        <x:v>7</x:v>
      </x:c>
      <x:c r="P548" s="1" t="str">
        <x:v>PASS</x:v>
      </x:c>
      <x:c r="Q548" s="4" t="n">
        <x:v>0</x:v>
      </x:c>
      <x:c r="R548" s="1" t="str">
        <x:v>PASS</x:v>
      </x:c>
      <x:c r="S548" s="4" t="n">
        <x:v>0</x:v>
      </x:c>
      <x:c r="T548" s="1" t="str">
        <x:v>NOT_REVEALING</x:v>
      </x:c>
      <x:c r="U548" s="1" t="str">
        <x:v>Jsoup_39</x:v>
      </x:c>
      <x:c r="V548" s="6" t="n">
        <x:v>22.78</x:v>
      </x:c>
    </x:row>
    <x:row r="549" ht="22" customHeight="1">
      <x:c r="A549" s="1" t="str">
        <x:v>Round1</x:v>
      </x:c>
      <x:c r="B549" s="1" t="str">
        <x:v>Jsoup</x:v>
      </x:c>
      <x:c r="C549" s="4" t="n">
        <x:v>40</x:v>
      </x:c>
      <x:c r="D549" s="4" t="n">
        <x:v>0</x:v>
      </x:c>
      <x:c r="E549" s="4" t="n">
        <x:v>60</x:v>
      </x:c>
      <x:c r="F549" s="4" t="n">
        <x:v>8</x:v>
      </x:c>
      <x:c r="G549" s="5" t="n">
        <x:v>0.8261</x:v>
      </x:c>
      <x:c r="H549" s="5" t="n">
        <x:v>0.9412</x:v>
      </x:c>
      <x:c r="I549" s="5" t="n">
        <x:v>0.5</x:v>
      </x:c>
      <x:c r="J549" s="4" t="n">
        <x:v>23</x:v>
      </x:c>
      <x:c r="K549" s="4" t="n">
        <x:v>19</x:v>
      </x:c>
      <x:c r="L549" s="4" t="n">
        <x:v>17</x:v>
      </x:c>
      <x:c r="M549" s="4" t="n">
        <x:v>16</x:v>
      </x:c>
      <x:c r="N549" s="4" t="n">
        <x:v>6</x:v>
      </x:c>
      <x:c r="O549" s="4" t="n">
        <x:v>3</x:v>
      </x:c>
      <x:c r="P549" s="1" t="str">
        <x:v>PASS</x:v>
      </x:c>
      <x:c r="Q549" s="4" t="n">
        <x:v>0</x:v>
      </x:c>
      <x:c r="R549" s="1" t="str">
        <x:v>FAIL</x:v>
      </x:c>
      <x:c r="S549" s="4" t="n">
        <x:v>2</x:v>
      </x:c>
      <x:c r="T549" s="1" t="str">
        <x:v>INCONCLUSIVE</x:v>
      </x:c>
      <x:c r="U549" s="1" t="str">
        <x:v>Jsoup_40</x:v>
      </x:c>
      <x:c r="V549" s="6" t="n">
        <x:v>22.34</x:v>
      </x:c>
    </x:row>
    <x:row r="550" ht="22" customHeight="1">
      <x:c r="A550" s="1" t="str">
        <x:v>Round1</x:v>
      </x:c>
      <x:c r="B550" s="1" t="str">
        <x:v>Jsoup</x:v>
      </x:c>
      <x:c r="C550" s="4" t="n">
        <x:v>41</x:v>
      </x:c>
      <x:c r="D550" s="4" t="n">
        <x:v>0</x:v>
      </x:c>
      <x:c r="E550" s="4" t="n">
        <x:v>60</x:v>
      </x:c>
      <x:c r="F550" s="4" t="n">
        <x:v>6</x:v>
      </x:c>
      <x:c r="G550" s="5" t="n">
        <x:v>0.012</x:v>
      </x:c>
      <x:c r="H550" s="5" t="n">
        <x:v>0.015300000000000001</x:v>
      </x:c>
      <x:c r="I550" s="5" t="n">
        <x:v>0.005699999999999999</x:v>
      </x:c>
      <x:c r="J550" s="4" t="n">
        <x:v>500</x:v>
      </x:c>
      <x:c r="K550" s="4" t="n">
        <x:v>6</x:v>
      </x:c>
      <x:c r="L550" s="4" t="n">
        <x:v>326</x:v>
      </x:c>
      <x:c r="M550" s="4" t="n">
        <x:v>5</x:v>
      </x:c>
      <x:c r="N550" s="4" t="n">
        <x:v>174</x:v>
      </x:c>
      <x:c r="O550" s="4" t="n">
        <x:v>1</x:v>
      </x:c>
      <x:c r="P550" s="1" t="str">
        <x:v>PASS</x:v>
      </x:c>
      <x:c r="Q550" s="4" t="n">
        <x:v>0</x:v>
      </x:c>
      <x:c r="R550" s="1" t="str">
        <x:v>PASS</x:v>
      </x:c>
      <x:c r="S550" s="4" t="n">
        <x:v>0</x:v>
      </x:c>
      <x:c r="T550" s="1" t="str">
        <x:v>NOT_REVEALING</x:v>
      </x:c>
      <x:c r="U550" s="1" t="str">
        <x:v>Jsoup_41</x:v>
      </x:c>
      <x:c r="V550" s="6" t="n">
        <x:v>24.55</x:v>
      </x:c>
    </x:row>
    <x:row r="551" ht="22" customHeight="1">
      <x:c r="A551" s="1" t="str">
        <x:v>Round1</x:v>
      </x:c>
      <x:c r="B551" s="1" t="str">
        <x:v>Jsoup</x:v>
      </x:c>
      <x:c r="C551" s="4" t="n">
        <x:v>42</x:v>
      </x:c>
      <x:c r="D551" s="4" t="n">
        <x:v>0</x:v>
      </x:c>
      <x:c r="E551" s="4" t="n">
        <x:v>60</x:v>
      </x:c>
      <x:c r="F551" s="4" t="n">
        <x:v>3</x:v>
      </x:c>
      <x:c r="G551" s="5" t="n">
        <x:v>0.015600000000000001</x:v>
      </x:c>
      <x:c r="H551" s="5" t="n">
        <x:v>0.025</x:v>
      </x:c>
      <x:c r="I551" s="5" t="n">
        <x:v>0</x:v>
      </x:c>
      <x:c r="J551" s="4" t="n">
        <x:v>64</x:v>
      </x:c>
      <x:c r="K551" s="4" t="n">
        <x:v>1</x:v>
      </x:c>
      <x:c r="L551" s="4" t="n">
        <x:v>40</x:v>
      </x:c>
      <x:c r="M551" s="4" t="n">
        <x:v>1</x:v>
      </x:c>
      <x:c r="N551" s="4" t="n">
        <x:v>24</x:v>
      </x:c>
      <x:c r="O551" s="4" t="n">
        <x:v>0</x:v>
      </x:c>
      <x:c r="P551" s="1" t="str">
        <x:v>PASS</x:v>
      </x:c>
      <x:c r="Q551" s="4" t="n">
        <x:v>0</x:v>
      </x:c>
      <x:c r="R551" s="1" t="str">
        <x:v>PASS</x:v>
      </x:c>
      <x:c r="S551" s="4" t="n">
        <x:v>0</x:v>
      </x:c>
      <x:c r="T551" s="1" t="str">
        <x:v>NOT_REVEALING</x:v>
      </x:c>
      <x:c r="U551" s="1" t="str">
        <x:v>Jsoup_42</x:v>
      </x:c>
      <x:c r="V551" s="6" t="n">
        <x:v>24.32</x:v>
      </x:c>
    </x:row>
    <x:row r="552" ht="22" customHeight="1">
      <x:c r="A552" s="1" t="str">
        <x:v>Round1</x:v>
      </x:c>
      <x:c r="B552" s="1" t="str">
        <x:v>Jsoup</x:v>
      </x:c>
      <x:c r="C552" s="4" t="n">
        <x:v>43</x:v>
      </x:c>
      <x:c r="D552" s="4" t="n">
        <x:v>0</x:v>
      </x:c>
      <x:c r="E552" s="4" t="n">
        <x:v>60</x:v>
      </x:c>
      <x:c r="F552" s="4" t="n">
        <x:v>6</x:v>
      </x:c>
      <x:c r="G552" s="5" t="n">
        <x:v>0.0139</x:v>
      </x:c>
      <x:c r="H552" s="5" t="n">
        <x:v>0.0183</x:v>
      </x:c>
      <x:c r="I552" s="5" t="n">
        <x:v>0.005699999999999999</x:v>
      </x:c>
      <x:c r="J552" s="4" t="n">
        <x:v>502</x:v>
      </x:c>
      <x:c r="K552" s="4" t="n">
        <x:v>7</x:v>
      </x:c>
      <x:c r="L552" s="4" t="n">
        <x:v>328</x:v>
      </x:c>
      <x:c r="M552" s="4" t="n">
        <x:v>6</x:v>
      </x:c>
      <x:c r="N552" s="4" t="n">
        <x:v>174</x:v>
      </x:c>
      <x:c r="O552" s="4" t="n">
        <x:v>1</x:v>
      </x:c>
      <x:c r="P552" s="1" t="str">
        <x:v>PASS</x:v>
      </x:c>
      <x:c r="Q552" s="4" t="n">
        <x:v>0</x:v>
      </x:c>
      <x:c r="R552" s="1" t="str">
        <x:v>PASS</x:v>
      </x:c>
      <x:c r="S552" s="4" t="n">
        <x:v>0</x:v>
      </x:c>
      <x:c r="T552" s="1" t="str">
        <x:v>NOT_REVEALING</x:v>
      </x:c>
      <x:c r="U552" s="1" t="str">
        <x:v>Jsoup_43</x:v>
      </x:c>
      <x:c r="V552" s="6" t="n">
        <x:v>24.8</x:v>
      </x:c>
    </x:row>
    <x:row r="553" ht="22" customHeight="1">
      <x:c r="A553" s="1" t="str">
        <x:v>Round1</x:v>
      </x:c>
      <x:c r="B553" s="1" t="str">
        <x:v>Jsoup</x:v>
      </x:c>
      <x:c r="C553" s="4" t="n">
        <x:v>44</x:v>
      </x:c>
      <x:c r="D553" s="4" t="n">
        <x:v>0</x:v>
      </x:c>
      <x:c r="E553" s="4" t="n">
        <x:v>60</x:v>
      </x:c>
      <x:c r="F553" s="4" t="n">
        <x:v>1</x:v>
      </x:c>
      <x:c r="G553" s="5" t="n">
        <x:v>0</x:v>
      </x:c>
      <x:c r="H553" s="5" t="n">
        <x:v>0</x:v>
      </x:c>
      <x:c r="I553" s="5" t="n">
        <x:v>0</x:v>
      </x:c>
      <x:c r="J553" s="4" t="n">
        <x:v>34</x:v>
      </x:c>
      <x:c r="K553" s="4" t="n">
        <x:v>0</x:v>
      </x:c>
      <x:c r="L553" s="4" t="n">
        <x:v>30</x:v>
      </x:c>
      <x:c r="M553" s="4" t="n">
        <x:v>0</x:v>
      </x:c>
      <x:c r="N553" s="4" t="n">
        <x:v>4</x:v>
      </x:c>
      <x:c r="O553" s="4" t="n">
        <x:v>0</x:v>
      </x:c>
      <x:c r="P553" s="1" t="str">
        <x:v>PASS</x:v>
      </x:c>
      <x:c r="Q553" s="4" t="n">
        <x:v>0</x:v>
      </x:c>
      <x:c r="R553" s="1" t="str">
        <x:v>PASS</x:v>
      </x:c>
      <x:c r="S553" s="4" t="n">
        <x:v>0</x:v>
      </x:c>
      <x:c r="T553" s="1" t="str">
        <x:v>NOT_REVEALING</x:v>
      </x:c>
      <x:c r="U553" s="1" t="str">
        <x:v>Jsoup_44</x:v>
      </x:c>
      <x:c r="V553" s="6" t="n">
        <x:v>23.63</x:v>
      </x:c>
    </x:row>
    <x:row r="554" ht="22" customHeight="1">
      <x:c r="A554" s="1" t="str">
        <x:v>Round1</x:v>
      </x:c>
      <x:c r="B554" s="1" t="str">
        <x:v>Jsoup</x:v>
      </x:c>
      <x:c r="C554" s="4" t="n">
        <x:v>45</x:v>
      </x:c>
      <x:c r="D554" s="4" t="n">
        <x:v>0</x:v>
      </x:c>
      <x:c r="E554" s="4" t="n">
        <x:v>60</x:v>
      </x:c>
      <x:c r="F554" s="4" t="n">
        <x:v>4253</x:v>
      </x:c>
      <x:c r="G554" s="5" t="n">
        <x:v>0.7456999999999999</x:v>
      </x:c>
      <x:c r="H554" s="5" t="n">
        <x:v>0.7898999999999999</x:v>
      </x:c>
      <x:c r="I554" s="5" t="n">
        <x:v>0.6634</x:v>
      </x:c>
      <x:c r="J554" s="4" t="n">
        <x:v>578</x:v>
      </x:c>
      <x:c r="K554" s="4" t="n">
        <x:v>431</x:v>
      </x:c>
      <x:c r="L554" s="4" t="n">
        <x:v>376</x:v>
      </x:c>
      <x:c r="M554" s="4" t="n">
        <x:v>297</x:v>
      </x:c>
      <x:c r="N554" s="4" t="n">
        <x:v>202</x:v>
      </x:c>
      <x:c r="O554" s="4" t="n">
        <x:v>134</x:v>
      </x:c>
      <x:c r="P554" s="1" t="str">
        <x:v>FAIL</x:v>
      </x:c>
      <x:c r="Q554" s="4" t="n">
        <x:v>206</x:v>
      </x:c>
      <x:c r="R554" s="1" t="str">
        <x:v>FAIL</x:v>
      </x:c>
      <x:c r="S554" s="4" t="n">
        <x:v>206</x:v>
      </x:c>
      <x:c r="T554" s="1" t="str">
        <x:v>INCONCLUSIVE</x:v>
      </x:c>
      <x:c r="U554" s="1" t="str">
        <x:v>Jsoup_45</x:v>
      </x:c>
      <x:c r="V554" s="6" t="n">
        <x:v>67.58</x:v>
      </x:c>
    </x:row>
    <x:row r="555" ht="22" customHeight="1">
      <x:c r="A555" s="1" t="str">
        <x:v>Round1</x:v>
      </x:c>
      <x:c r="B555" s="1" t="str">
        <x:v>Jsoup</x:v>
      </x:c>
      <x:c r="C555" s="4" t="n">
        <x:v>46</x:v>
      </x:c>
      <x:c r="D555" s="4" t="n">
        <x:v>0</x:v>
      </x:c>
      <x:c r="E555" s="4" t="n">
        <x:v>60</x:v>
      </x:c>
      <x:c r="F555" s="4" t="n">
        <x:v>625</x:v>
      </x:c>
      <x:c r="G555" s="5" t="n">
        <x:v>0.3846</x:v>
      </x:c>
      <x:c r="H555" s="5" t="n">
        <x:v>0.48310000000000003</x:v>
      </x:c>
      <x:c r="I555" s="5" t="n">
        <x:v>0.15689999999999998</x:v>
      </x:c>
      <x:c r="J555" s="4" t="n">
        <x:v>169</x:v>
      </x:c>
      <x:c r="K555" s="4" t="n">
        <x:v>65</x:v>
      </x:c>
      <x:c r="L555" s="4" t="n">
        <x:v>118</x:v>
      </x:c>
      <x:c r="M555" s="4" t="n">
        <x:v>57</x:v>
      </x:c>
      <x:c r="N555" s="4" t="n">
        <x:v>51</x:v>
      </x:c>
      <x:c r="O555" s="4" t="n">
        <x:v>8</x:v>
      </x:c>
      <x:c r="P555" s="1" t="str">
        <x:v>PASS</x:v>
      </x:c>
      <x:c r="Q555" s="4" t="n">
        <x:v>0</x:v>
      </x:c>
      <x:c r="R555" s="1" t="str">
        <x:v>PASS</x:v>
      </x:c>
      <x:c r="S555" s="4" t="n">
        <x:v>0</x:v>
      </x:c>
      <x:c r="T555" s="1" t="str">
        <x:v>NOT_REVEALING</x:v>
      </x:c>
      <x:c r="U555" s="1" t="str">
        <x:v>Jsoup_46</x:v>
      </x:c>
      <x:c r="V555" s="6" t="n">
        <x:v>43.83</x:v>
      </x:c>
    </x:row>
    <x:row r="556" ht="22" customHeight="1">
      <x:c r="A556" s="1" t="str">
        <x:v>Round1</x:v>
      </x:c>
      <x:c r="B556" s="1" t="str">
        <x:v>Jsoup</x:v>
      </x:c>
      <x:c r="C556" s="4" t="n">
        <x:v>47</x:v>
      </x:c>
      <x:c r="D556" s="4" t="n">
        <x:v>0</x:v>
      </x:c>
      <x:c r="E556" s="4" t="n">
        <x:v>60</x:v>
      </x:c>
      <x:c r="F556" s="4" t="n">
        <x:v>625</x:v>
      </x:c>
      <x:c r="G556" s="5" t="n">
        <x:v>0.3846</x:v>
      </x:c>
      <x:c r="H556" s="5" t="n">
        <x:v>0.48310000000000003</x:v>
      </x:c>
      <x:c r="I556" s="5" t="n">
        <x:v>0.15689999999999998</x:v>
      </x:c>
      <x:c r="J556" s="4" t="n">
        <x:v>169</x:v>
      </x:c>
      <x:c r="K556" s="4" t="n">
        <x:v>65</x:v>
      </x:c>
      <x:c r="L556" s="4" t="n">
        <x:v>118</x:v>
      </x:c>
      <x:c r="M556" s="4" t="n">
        <x:v>57</x:v>
      </x:c>
      <x:c r="N556" s="4" t="n">
        <x:v>51</x:v>
      </x:c>
      <x:c r="O556" s="4" t="n">
        <x:v>8</x:v>
      </x:c>
      <x:c r="P556" s="1" t="str">
        <x:v>PASS</x:v>
      </x:c>
      <x:c r="Q556" s="4" t="n">
        <x:v>0</x:v>
      </x:c>
      <x:c r="R556" s="1" t="str">
        <x:v>PASS</x:v>
      </x:c>
      <x:c r="S556" s="4" t="n">
        <x:v>0</x:v>
      </x:c>
      <x:c r="T556" s="1" t="str">
        <x:v>NOT_REVEALING</x:v>
      </x:c>
      <x:c r="U556" s="1" t="str">
        <x:v>Jsoup_47</x:v>
      </x:c>
      <x:c r="V556" s="6" t="n">
        <x:v>46.16</x:v>
      </x:c>
    </x:row>
    <x:row r="557" ht="22" customHeight="1">
      <x:c r="A557" s="1" t="str">
        <x:v>Round1</x:v>
      </x:c>
      <x:c r="B557" s="1" t="str">
        <x:v>Jsoup</x:v>
      </x:c>
      <x:c r="C557" s="4" t="n">
        <x:v>48</x:v>
      </x:c>
      <x:c r="D557" s="4" t="n">
        <x:v>0</x:v>
      </x:c>
      <x:c r="E557" s="4" t="n">
        <x:v>60</x:v>
      </x:c>
      <x:c r="F557" s="4" t="n">
        <x:v>6391</x:v>
      </x:c>
      <x:c r="G557" s="5" t="n">
        <x:v>0.2144</x:v>
      </x:c>
      <x:c r="H557" s="5" t="n">
        <x:v>0.2516</x:v>
      </x:c>
      <x:c r="I557" s="5" t="n">
        <x:v>0.1118</x:v>
      </x:c>
      <x:c r="J557" s="4" t="n">
        <x:v>639</x:v>
      </x:c>
      <x:c r="K557" s="4" t="n">
        <x:v>137</x:v>
      </x:c>
      <x:c r="L557" s="4" t="n">
        <x:v>469</x:v>
      </x:c>
      <x:c r="M557" s="4" t="n">
        <x:v>118</x:v>
      </x:c>
      <x:c r="N557" s="4" t="n">
        <x:v>170</x:v>
      </x:c>
      <x:c r="O557" s="4" t="n">
        <x:v>19</x:v>
      </x:c>
      <x:c r="P557" s="1" t="str">
        <x:v>PASS</x:v>
      </x:c>
      <x:c r="Q557" s="4" t="n">
        <x:v>0</x:v>
      </x:c>
      <x:c r="R557" s="1" t="str">
        <x:v>PASS</x:v>
      </x:c>
      <x:c r="S557" s="4" t="n">
        <x:v>0</x:v>
      </x:c>
      <x:c r="T557" s="1" t="str">
        <x:v>NOT_REVEALING</x:v>
      </x:c>
      <x:c r="U557" s="1" t="str">
        <x:v>Jsoup_48</x:v>
      </x:c>
      <x:c r="V557" s="6" t="n">
        <x:v>57.11</x:v>
      </x:c>
    </x:row>
    <x:row r="558" ht="22" customHeight="1">
      <x:c r="A558" s="1" t="str">
        <x:v>Round1</x:v>
      </x:c>
      <x:c r="B558" s="1" t="str">
        <x:v>Jsoup</x:v>
      </x:c>
      <x:c r="C558" s="4" t="n">
        <x:v>49</x:v>
      </x:c>
      <x:c r="D558" s="4" t="n">
        <x:v>0</x:v>
      </x:c>
      <x:c r="E558" s="4" t="n">
        <x:v>60</x:v>
      </x:c>
      <x:c r="F558" s="4" t="n">
        <x:v>1</x:v>
      </x:c>
      <x:c r="G558" s="5" t="n">
        <x:v>0</x:v>
      </x:c>
      <x:c r="H558" s="5" t="n">
        <x:v>0</x:v>
      </x:c>
      <x:c r="I558" s="5" t="n">
        <x:v>0</x:v>
      </x:c>
      <x:c r="J558" s="4" t="n">
        <x:v>333</x:v>
      </x:c>
      <x:c r="K558" s="4" t="n">
        <x:v>0</x:v>
      </x:c>
      <x:c r="L558" s="4" t="n">
        <x:v>231</x:v>
      </x:c>
      <x:c r="M558" s="4" t="n">
        <x:v>0</x:v>
      </x:c>
      <x:c r="N558" s="4" t="n">
        <x:v>102</x:v>
      </x:c>
      <x:c r="O558" s="4" t="n">
        <x:v>0</x:v>
      </x:c>
      <x:c r="P558" s="1" t="str">
        <x:v>PASS</x:v>
      </x:c>
      <x:c r="Q558" s="4" t="n">
        <x:v>0</x:v>
      </x:c>
      <x:c r="R558" s="1" t="str">
        <x:v>PASS</x:v>
      </x:c>
      <x:c r="S558" s="4" t="n">
        <x:v>0</x:v>
      </x:c>
      <x:c r="T558" s="1" t="str">
        <x:v>NOT_REVEALING</x:v>
      </x:c>
      <x:c r="U558" s="1" t="str">
        <x:v>Jsoup_49</x:v>
      </x:c>
      <x:c r="V558" s="6" t="n">
        <x:v>26.35</x:v>
      </x:c>
    </x:row>
    <x:row r="559" ht="22" customHeight="1">
      <x:c r="A559" s="1" t="str">
        <x:v>Round1</x:v>
      </x:c>
      <x:c r="B559" s="1" t="str">
        <x:v>Jsoup</x:v>
      </x:c>
      <x:c r="C559" s="4" t="n">
        <x:v>50</x:v>
      </x:c>
      <x:c r="D559" s="4" t="n">
        <x:v>0</x:v>
      </x:c>
      <x:c r="E559" s="4" t="n">
        <x:v>60</x:v>
      </x:c>
      <x:c r="F559" s="4" t="n">
        <x:v>112</x:v>
      </x:c>
      <x:c r="G559" s="5" t="n">
        <x:v>0.3357</x:v>
      </x:c>
      <x:c r="H559" s="5" t="n">
        <x:v>0.4</x:v>
      </x:c>
      <x:c r="I559" s="5" t="n">
        <x:v>0.22</x:v>
      </x:c>
      <x:c r="J559" s="4" t="n">
        <x:v>140</x:v>
      </x:c>
      <x:c r="K559" s="4" t="n">
        <x:v>47</x:v>
      </x:c>
      <x:c r="L559" s="4" t="n">
        <x:v>90</x:v>
      </x:c>
      <x:c r="M559" s="4" t="n">
        <x:v>36</x:v>
      </x:c>
      <x:c r="N559" s="4" t="n">
        <x:v>50</x:v>
      </x:c>
      <x:c r="O559" s="4" t="n">
        <x:v>11</x:v>
      </x:c>
      <x:c r="P559" s="1" t="str">
        <x:v>PASS</x:v>
      </x:c>
      <x:c r="Q559" s="4" t="n">
        <x:v>0</x:v>
      </x:c>
      <x:c r="R559" s="1" t="str">
        <x:v>FAIL</x:v>
      </x:c>
      <x:c r="S559" s="4" t="n">
        <x:v>56</x:v>
      </x:c>
      <x:c r="T559" s="1" t="str">
        <x:v>INCONCLUSIVE</x:v>
      </x:c>
      <x:c r="U559" s="1" t="str">
        <x:v>Jsoup_50</x:v>
      </x:c>
      <x:c r="V559" s="6" t="n">
        <x:v>28.49</x:v>
      </x:c>
    </x:row>
    <x:row r="560" ht="22" customHeight="1">
      <x:c r="A560" s="1" t="str">
        <x:v>Round1</x:v>
      </x:c>
      <x:c r="B560" s="1" t="str">
        <x:v>Jsoup</x:v>
      </x:c>
      <x:c r="C560" s="4" t="n">
        <x:v>51</x:v>
      </x:c>
      <x:c r="D560" s="4" t="n">
        <x:v>0</x:v>
      </x:c>
      <x:c r="E560" s="4" t="n">
        <x:v>60</x:v>
      </x:c>
      <x:c r="F560" s="4" t="n">
        <x:v>4733</x:v>
      </x:c>
      <x:c r="G560" s="5" t="n">
        <x:v>0.8793000000000001</x:v>
      </x:c>
      <x:c r="H560" s="5" t="n">
        <x:v>0.9333</x:v>
      </x:c>
      <x:c r="I560" s="5" t="n">
        <x:v>0.8226</x:v>
      </x:c>
      <x:c r="J560" s="4" t="n">
        <x:v>381</x:v>
      </x:c>
      <x:c r="K560" s="4" t="n">
        <x:v>335</x:v>
      </x:c>
      <x:c r="L560" s="4" t="n">
        <x:v>195</x:v>
      </x:c>
      <x:c r="M560" s="4" t="n">
        <x:v>182</x:v>
      </x:c>
      <x:c r="N560" s="4" t="n">
        <x:v>186</x:v>
      </x:c>
      <x:c r="O560" s="4" t="n">
        <x:v>153</x:v>
      </x:c>
      <x:c r="P560" s="1" t="str">
        <x:v>PASS</x:v>
      </x:c>
      <x:c r="Q560" s="4" t="n">
        <x:v>0</x:v>
      </x:c>
      <x:c r="R560" s="1" t="str">
        <x:v>PASS</x:v>
      </x:c>
      <x:c r="S560" s="4" t="n">
        <x:v>0</x:v>
      </x:c>
      <x:c r="T560" s="1" t="str">
        <x:v>NOT_REVEALING</x:v>
      </x:c>
      <x:c r="U560" s="1" t="str">
        <x:v>Jsoup_51</x:v>
      </x:c>
      <x:c r="V560" s="6" t="n">
        <x:v>68.98</x:v>
      </x:c>
    </x:row>
    <x:row r="561" ht="22" customHeight="1">
      <x:c r="A561" s="1" t="str">
        <x:v>Round1</x:v>
      </x:c>
      <x:c r="B561" s="1" t="str">
        <x:v>Jsoup</x:v>
      </x:c>
      <x:c r="C561" s="4" t="n">
        <x:v>52</x:v>
      </x:c>
      <x:c r="D561" s="4" t="n">
        <x:v>0</x:v>
      </x:c>
      <x:c r="E561" s="4" t="n">
        <x:v>60</x:v>
      </x:c>
      <x:c r="F561" s="4" t="n">
        <x:v>5436</x:v>
      </x:c>
      <x:c r="G561" s="5" t="n">
        <x:v>0.1478</x:v>
      </x:c>
      <x:c r="H561" s="5" t="n">
        <x:v>0.21030000000000001</x:v>
      </x:c>
      <x:c r="I561" s="5" t="n">
        <x:v>0.048799999999999996</x:v>
      </x:c>
      <x:c r="J561" s="4" t="n">
        <x:v>318</x:v>
      </x:c>
      <x:c r="K561" s="4" t="n">
        <x:v>47</x:v>
      </x:c>
      <x:c r="L561" s="4" t="n">
        <x:v>195</x:v>
      </x:c>
      <x:c r="M561" s="4" t="n">
        <x:v>41</x:v>
      </x:c>
      <x:c r="N561" s="4" t="n">
        <x:v>123</x:v>
      </x:c>
      <x:c r="O561" s="4" t="n">
        <x:v>6</x:v>
      </x:c>
      <x:c r="P561" s="1" t="str">
        <x:v>FAIL</x:v>
      </x:c>
      <x:c r="Q561" s="4" t="n">
        <x:v>38</x:v>
      </x:c>
      <x:c r="R561" s="1" t="str">
        <x:v>FAIL</x:v>
      </x:c>
      <x:c r="S561" s="4" t="n">
        <x:v>6478</x:v>
      </x:c>
      <x:c r="T561" s="1" t="str">
        <x:v>INCONCLUSIVE</x:v>
      </x:c>
      <x:c r="U561" s="1" t="str">
        <x:v>Jsoup_52</x:v>
      </x:c>
      <x:c r="V561" s="6" t="n">
        <x:v>62.86</x:v>
      </x:c>
    </x:row>
    <x:row r="562" ht="22" customHeight="1">
      <x:c r="A562" s="1" t="str">
        <x:v>Round1</x:v>
      </x:c>
      <x:c r="B562" s="1" t="str">
        <x:v>Jsoup</x:v>
      </x:c>
      <x:c r="C562" s="4" t="n">
        <x:v>53</x:v>
      </x:c>
      <x:c r="D562" s="4" t="n">
        <x:v>0</x:v>
      </x:c>
      <x:c r="E562" s="4" t="n">
        <x:v>60</x:v>
      </x:c>
      <x:c r="F562" s="4" t="n">
        <x:v>3758</x:v>
      </x:c>
      <x:c r="G562" s="5" t="n">
        <x:v>0.9159999999999999</x:v>
      </x:c>
      <x:c r="H562" s="5" t="n">
        <x:v>0.9692000000000001</x:v>
      </x:c>
      <x:c r="I562" s="5" t="n">
        <x:v>0.8519</x:v>
      </x:c>
      <x:c r="J562" s="4" t="n">
        <x:v>238</x:v>
      </x:c>
      <x:c r="K562" s="4" t="n">
        <x:v>218</x:v>
      </x:c>
      <x:c r="L562" s="4" t="n">
        <x:v>130</x:v>
      </x:c>
      <x:c r="M562" s="4" t="n">
        <x:v>126</x:v>
      </x:c>
      <x:c r="N562" s="4" t="n">
        <x:v>108</x:v>
      </x:c>
      <x:c r="O562" s="4" t="n">
        <x:v>92</x:v>
      </x:c>
      <x:c r="P562" s="1" t="str">
        <x:v>PASS</x:v>
      </x:c>
      <x:c r="Q562" s="4" t="n">
        <x:v>0</x:v>
      </x:c>
      <x:c r="R562" s="1" t="str">
        <x:v>PASS</x:v>
      </x:c>
      <x:c r="S562" s="4" t="n">
        <x:v>0</x:v>
      </x:c>
      <x:c r="T562" s="1" t="str">
        <x:v>NOT_REVEALING</x:v>
      </x:c>
      <x:c r="U562" s="1" t="str">
        <x:v>Jsoup_53</x:v>
      </x:c>
      <x:c r="V562" s="6" t="n">
        <x:v>64.77</x:v>
      </x:c>
    </x:row>
    <x:row r="563" ht="22" customHeight="1">
      <x:c r="A563" s="1" t="str">
        <x:v>Round1</x:v>
      </x:c>
      <x:c r="B563" s="1" t="str">
        <x:v>Jsoup</x:v>
      </x:c>
      <x:c r="C563" s="4" t="n">
        <x:v>54</x:v>
      </x:c>
      <x:c r="D563" s="4" t="n">
        <x:v>0</x:v>
      </x:c>
      <x:c r="E563" s="4" t="n">
        <x:v>60</x:v>
      </x:c>
      <x:c r="F563" s="4" t="n">
        <x:v>3678</x:v>
      </x:c>
      <x:c r="G563" s="5" t="n">
        <x:v>0.24739999999999998</x:v>
      </x:c>
      <x:c r="H563" s="5" t="n">
        <x:v>0.2676</x:v>
      </x:c>
      <x:c r="I563" s="5" t="n">
        <x:v>0.1923</x:v>
      </x:c>
      <x:c r="J563" s="4" t="n">
        <x:v>97</x:v>
      </x:c>
      <x:c r="K563" s="4" t="n">
        <x:v>24</x:v>
      </x:c>
      <x:c r="L563" s="4" t="n">
        <x:v>71</x:v>
      </x:c>
      <x:c r="M563" s="4" t="n">
        <x:v>19</x:v>
      </x:c>
      <x:c r="N563" s="4" t="n">
        <x:v>26</x:v>
      </x:c>
      <x:c r="O563" s="4" t="n">
        <x:v>5</x:v>
      </x:c>
      <x:c r="P563" s="1" t="str">
        <x:v>PASS</x:v>
      </x:c>
      <x:c r="Q563" s="4" t="n">
        <x:v>0</x:v>
      </x:c>
      <x:c r="R563" s="1" t="str">
        <x:v>PASS</x:v>
      </x:c>
      <x:c r="S563" s="4" t="n">
        <x:v>0</x:v>
      </x:c>
      <x:c r="T563" s="1" t="str">
        <x:v>NOT_REVEALING</x:v>
      </x:c>
      <x:c r="U563" s="1" t="str">
        <x:v>Jsoup_54</x:v>
      </x:c>
      <x:c r="V563" s="6" t="n">
        <x:v>91</x:v>
      </x:c>
    </x:row>
    <x:row r="564" ht="22" customHeight="1">
      <x:c r="A564" s="1" t="str">
        <x:v>Round1</x:v>
      </x:c>
      <x:c r="B564" s="1" t="str">
        <x:v>Jsoup</x:v>
      </x:c>
      <x:c r="C564" s="4" t="n">
        <x:v>55</x:v>
      </x:c>
      <x:c r="D564" s="4" t="n">
        <x:v>0</x:v>
      </x:c>
      <x:c r="E564" s="4" t="n">
        <x:v>60</x:v>
      </x:c>
      <x:c r="F564" s="4" t="n">
        <x:v>67</x:v>
      </x:c>
      <x:c r="G564" s="5" t="n">
        <x:v>0.14730000000000001</x:v>
      </x:c>
      <x:c r="H564" s="5" t="n">
        <x:v>0.18899999999999997</x:v>
      </x:c>
      <x:c r="I564" s="5" t="n">
        <x:v>0</x:v>
      </x:c>
      <x:c r="J564" s="4" t="n">
        <x:v>1473</x:v>
      </x:c>
      <x:c r="K564" s="4" t="n">
        <x:v>217</x:v>
      </x:c>
      <x:c r="L564" s="4" t="n">
        <x:v>1148</x:v>
      </x:c>
      <x:c r="M564" s="4" t="n">
        <x:v>217</x:v>
      </x:c>
      <x:c r="N564" s="4" t="n">
        <x:v>325</x:v>
      </x:c>
      <x:c r="O564" s="4" t="n">
        <x:v>0</x:v>
      </x:c>
      <x:c r="P564" s="1" t="str">
        <x:v>PASS</x:v>
      </x:c>
      <x:c r="Q564" s="4" t="n">
        <x:v>0</x:v>
      </x:c>
      <x:c r="R564" s="1" t="str">
        <x:v>PASS</x:v>
      </x:c>
      <x:c r="S564" s="4" t="n">
        <x:v>0</x:v>
      </x:c>
      <x:c r="T564" s="1" t="str">
        <x:v>NOT_REVEALING</x:v>
      </x:c>
      <x:c r="U564" s="1" t="str">
        <x:v>Jsoup_55</x:v>
      </x:c>
      <x:c r="V564" s="6" t="n">
        <x:v>27.86</x:v>
      </x:c>
    </x:row>
    <x:row r="565" ht="22" customHeight="1">
      <x:c r="A565" s="1" t="str">
        <x:v>Round1</x:v>
      </x:c>
      <x:c r="B565" s="1" t="str">
        <x:v>Jsoup</x:v>
      </x:c>
      <x:c r="C565" s="4" t="n">
        <x:v>56</x:v>
      </x:c>
      <x:c r="D565" s="4" t="n">
        <x:v>0</x:v>
      </x:c>
      <x:c r="E565" s="4" t="n">
        <x:v>60</x:v>
      </x:c>
      <x:c r="F565" s="4" t="n">
        <x:v>3946</x:v>
      </x:c>
      <x:c r="G565" s="5" t="n">
        <x:v>0.3081</x:v>
      </x:c>
      <x:c r="H565" s="5" t="n">
        <x:v>0.33549999999999996</x:v>
      </x:c>
      <x:c r="I565" s="5" t="n">
        <x:v>0.2498</x:v>
      </x:c>
      <x:c r="J565" s="4" t="n">
        <x:v>3664</x:v>
      </x:c>
      <x:c r="K565" s="4" t="n">
        <x:v>1129</x:v>
      </x:c>
      <x:c r="L565" s="4" t="n">
        <x:v>2495</x:v>
      </x:c>
      <x:c r="M565" s="4" t="n">
        <x:v>837</x:v>
      </x:c>
      <x:c r="N565" s="4" t="n">
        <x:v>1169</x:v>
      </x:c>
      <x:c r="O565" s="4" t="n">
        <x:v>292</x:v>
      </x:c>
      <x:c r="P565" s="1" t="str">
        <x:v>FAIL</x:v>
      </x:c>
      <x:c r="Q565" s="4" t="n">
        <x:v>78</x:v>
      </x:c>
      <x:c r="R565" s="1" t="str">
        <x:v>FAIL</x:v>
      </x:c>
      <x:c r="S565" s="4" t="n">
        <x:v>118</x:v>
      </x:c>
      <x:c r="T565" s="1" t="str">
        <x:v>INCONCLUSIVE</x:v>
      </x:c>
      <x:c r="U565" s="1" t="str">
        <x:v>Jsoup_56</x:v>
      </x:c>
      <x:c r="V565" s="6" t="n">
        <x:v>55.05</x:v>
      </x:c>
    </x:row>
    <x:row r="566" ht="22" customHeight="1">
      <x:c r="A566" s="1" t="str">
        <x:v>Round1</x:v>
      </x:c>
      <x:c r="B566" s="1" t="str">
        <x:v>Jsoup</x:v>
      </x:c>
      <x:c r="C566" s="4" t="n">
        <x:v>57</x:v>
      </x:c>
      <x:c r="D566" s="4" t="n">
        <x:v>0</x:v>
      </x:c>
      <x:c r="E566" s="4" t="n">
        <x:v>60</x:v>
      </x:c>
      <x:c r="F566" s="4" t="n">
        <x:v>4208</x:v>
      </x:c>
      <x:c r="G566" s="5" t="n">
        <x:v>0.7979999999999999</x:v>
      </x:c>
      <x:c r="H566" s="5" t="n">
        <x:v>0.7717</x:v>
      </x:c>
      <x:c r="I566" s="5" t="n">
        <x:v>0.8421</x:v>
      </x:c>
      <x:c r="J566" s="4" t="n">
        <x:v>203</x:v>
      </x:c>
      <x:c r="K566" s="4" t="n">
        <x:v>162</x:v>
      </x:c>
      <x:c r="L566" s="4" t="n">
        <x:v>127</x:v>
      </x:c>
      <x:c r="M566" s="4" t="n">
        <x:v>98</x:v>
      </x:c>
      <x:c r="N566" s="4" t="n">
        <x:v>76</x:v>
      </x:c>
      <x:c r="O566" s="4" t="n">
        <x:v>64</x:v>
      </x:c>
      <x:c r="P566" s="1" t="str">
        <x:v>PASS</x:v>
      </x:c>
      <x:c r="Q566" s="4" t="n">
        <x:v>0</x:v>
      </x:c>
      <x:c r="R566" s="1" t="str">
        <x:v>PASS</x:v>
      </x:c>
      <x:c r="S566" s="4" t="n">
        <x:v>0</x:v>
      </x:c>
      <x:c r="T566" s="1" t="str">
        <x:v>NOT_REVEALING</x:v>
      </x:c>
      <x:c r="U566" s="1" t="str">
        <x:v>Jsoup_57</x:v>
      </x:c>
      <x:c r="V566" s="6" t="n">
        <x:v>62.22</x:v>
      </x:c>
    </x:row>
    <x:row r="567" ht="22" customHeight="1">
      <x:c r="A567" s="1" t="str">
        <x:v>Round1</x:v>
      </x:c>
      <x:c r="B567" s="1" t="str">
        <x:v>Jsoup</x:v>
      </x:c>
      <x:c r="C567" s="4" t="n">
        <x:v>58</x:v>
      </x:c>
      <x:c r="D567" s="4" t="n">
        <x:v>0</x:v>
      </x:c>
      <x:c r="E567" s="4" t="n">
        <x:v>60</x:v>
      </x:c>
      <x:c r="F567" s="4" t="n">
        <x:v>3679</x:v>
      </x:c>
      <x:c r="G567" s="5" t="n">
        <x:v>0.3711</x:v>
      </x:c>
      <x:c r="H567" s="5" t="n">
        <x:v>0.4094</x:v>
      </x:c>
      <x:c r="I567" s="5" t="n">
        <x:v>0.2188</x:v>
      </x:c>
      <x:c r="J567" s="4" t="n">
        <x:v>159</x:v>
      </x:c>
      <x:c r="K567" s="4" t="n">
        <x:v>59</x:v>
      </x:c>
      <x:c r="L567" s="4" t="n">
        <x:v>127</x:v>
      </x:c>
      <x:c r="M567" s="4" t="n">
        <x:v>52</x:v>
      </x:c>
      <x:c r="N567" s="4" t="n">
        <x:v>32</x:v>
      </x:c>
      <x:c r="O567" s="4" t="n">
        <x:v>7</x:v>
      </x:c>
      <x:c r="P567" s="1" t="str">
        <x:v>PASS</x:v>
      </x:c>
      <x:c r="Q567" s="4" t="n">
        <x:v>0</x:v>
      </x:c>
      <x:c r="R567" s="1" t="str">
        <x:v>PASS</x:v>
      </x:c>
      <x:c r="S567" s="4" t="n">
        <x:v>0</x:v>
      </x:c>
      <x:c r="T567" s="1" t="str">
        <x:v>NOT_REVEALING</x:v>
      </x:c>
      <x:c r="U567" s="1" t="str">
        <x:v>Jsoup_58</x:v>
      </x:c>
      <x:c r="V567" s="6" t="n">
        <x:v>57.42</x:v>
      </x:c>
    </x:row>
    <x:row r="568" ht="22" customHeight="1">
      <x:c r="A568" s="1" t="str">
        <x:v>Round1</x:v>
      </x:c>
      <x:c r="B568" s="1" t="str">
        <x:v>Jsoup</x:v>
      </x:c>
      <x:c r="C568" s="4" t="n">
        <x:v>59</x:v>
      </x:c>
      <x:c r="D568" s="4" t="n">
        <x:v>0</x:v>
      </x:c>
      <x:c r="E568" s="4" t="n">
        <x:v>60</x:v>
      </x:c>
      <x:c r="F568" s="4" t="n">
        <x:v>4087</x:v>
      </x:c>
      <x:c r="G568" s="5" t="n">
        <x:v>0.9951000000000001</x:v>
      </x:c>
      <x:c r="H568" s="5" t="n">
        <x:v>1</x:v>
      </x:c>
      <x:c r="I568" s="5" t="n">
        <x:v>0.9773000000000001</x:v>
      </x:c>
      <x:c r="J568" s="4" t="n">
        <x:v>204</x:v>
      </x:c>
      <x:c r="K568" s="4" t="n">
        <x:v>203</x:v>
      </x:c>
      <x:c r="L568" s="4" t="n">
        <x:v>160</x:v>
      </x:c>
      <x:c r="M568" s="4" t="n">
        <x:v>160</x:v>
      </x:c>
      <x:c r="N568" s="4" t="n">
        <x:v>44</x:v>
      </x:c>
      <x:c r="O568" s="4" t="n">
        <x:v>43</x:v>
      </x:c>
      <x:c r="P568" s="1" t="str">
        <x:v>PASS</x:v>
      </x:c>
      <x:c r="Q568" s="4" t="n">
        <x:v>0</x:v>
      </x:c>
      <x:c r="R568" s="1" t="str">
        <x:v>PASS</x:v>
      </x:c>
      <x:c r="S568" s="4" t="n">
        <x:v>0</x:v>
      </x:c>
      <x:c r="T568" s="1" t="str">
        <x:v>NOT_REVEALING</x:v>
      </x:c>
      <x:c r="U568" s="1" t="str">
        <x:v>Jsoup_59</x:v>
      </x:c>
      <x:c r="V568" s="6" t="n">
        <x:v>55.82</x:v>
      </x:c>
    </x:row>
    <x:row r="569" ht="22" customHeight="1">
      <x:c r="A569" s="1" t="str">
        <x:v>Round1</x:v>
      </x:c>
      <x:c r="B569" s="1" t="str">
        <x:v>Jsoup</x:v>
      </x:c>
      <x:c r="C569" s="4" t="n">
        <x:v>60</x:v>
      </x:c>
      <x:c r="D569" s="4" t="n">
        <x:v>0</x:v>
      </x:c>
      <x:c r="E569" s="4" t="n">
        <x:v>60</x:v>
      </x:c>
      <x:c r="F569" s="4" t="n">
        <x:v>3978</x:v>
      </x:c>
      <x:c r="G569" s="5" t="n">
        <x:v>0.5185</x:v>
      </x:c>
      <x:c r="H569" s="5" t="n">
        <x:v>0.5205</x:v>
      </x:c>
      <x:c r="I569" s="5" t="n">
        <x:v>0.5155</x:v>
      </x:c>
      <x:c r="J569" s="4" t="n">
        <x:v>623</x:v>
      </x:c>
      <x:c r="K569" s="4" t="n">
        <x:v>323</x:v>
      </x:c>
      <x:c r="L569" s="4" t="n">
        <x:v>365</x:v>
      </x:c>
      <x:c r="M569" s="4" t="n">
        <x:v>190</x:v>
      </x:c>
      <x:c r="N569" s="4" t="n">
        <x:v>258</x:v>
      </x:c>
      <x:c r="O569" s="4" t="n">
        <x:v>133</x:v>
      </x:c>
      <x:c r="P569" s="1" t="str">
        <x:v>PASS</x:v>
      </x:c>
      <x:c r="Q569" s="4" t="n">
        <x:v>0</x:v>
      </x:c>
      <x:c r="R569" s="1" t="str">
        <x:v>FAIL</x:v>
      </x:c>
      <x:c r="S569" s="4" t="n">
        <x:v>56</x:v>
      </x:c>
      <x:c r="T569" s="1" t="str">
        <x:v>INCONCLUSIVE</x:v>
      </x:c>
      <x:c r="U569" s="1" t="str">
        <x:v>Jsoup_60</x:v>
      </x:c>
      <x:c r="V569" s="6" t="n">
        <x:v>65.75</x:v>
      </x:c>
    </x:row>
    <x:row r="570" ht="22" customHeight="1">
      <x:c r="A570" s="1" t="str">
        <x:v>Round1</x:v>
      </x:c>
      <x:c r="B570" s="1" t="str">
        <x:v>Jsoup</x:v>
      </x:c>
      <x:c r="C570" s="4" t="n">
        <x:v>61</x:v>
      </x:c>
      <x:c r="D570" s="4" t="n">
        <x:v>0</x:v>
      </x:c>
      <x:c r="E570" s="4" t="n">
        <x:v>60</x:v>
      </x:c>
      <x:c r="F570" s="4" t="n">
        <x:v>4010</x:v>
      </x:c>
      <x:c r="G570" s="5" t="n">
        <x:v>0.8228</x:v>
      </x:c>
      <x:c r="H570" s="5" t="n">
        <x:v>0.9006000000000001</x:v>
      </x:c>
      <x:c r="I570" s="5" t="n">
        <x:v>0.6739</x:v>
      </x:c>
      <x:c r="J570" s="4" t="n">
        <x:v>536</x:v>
      </x:c>
      <x:c r="K570" s="4" t="n">
        <x:v>441</x:v>
      </x:c>
      <x:c r="L570" s="4" t="n">
        <x:v>352</x:v>
      </x:c>
      <x:c r="M570" s="4" t="n">
        <x:v>317</x:v>
      </x:c>
      <x:c r="N570" s="4" t="n">
        <x:v>184</x:v>
      </x:c>
      <x:c r="O570" s="4" t="n">
        <x:v>124</x:v>
      </x:c>
      <x:c r="P570" s="1" t="str">
        <x:v>FAIL</x:v>
      </x:c>
      <x:c r="Q570" s="4" t="n">
        <x:v>324</x:v>
      </x:c>
      <x:c r="R570" s="1" t="str">
        <x:v>FAIL</x:v>
      </x:c>
      <x:c r="S570" s="4" t="n">
        <x:v>324</x:v>
      </x:c>
      <x:c r="T570" s="1" t="str">
        <x:v>INCONCLUSIVE</x:v>
      </x:c>
      <x:c r="U570" s="1" t="str">
        <x:v>Jsoup_61</x:v>
      </x:c>
      <x:c r="V570" s="6" t="n">
        <x:v>59.29</x:v>
      </x:c>
    </x:row>
    <x:row r="571" ht="22" customHeight="1">
      <x:c r="A571" s="1" t="str">
        <x:v>Round1</x:v>
      </x:c>
      <x:c r="B571" s="1" t="str">
        <x:v>Jsoup</x:v>
      </x:c>
      <x:c r="C571" s="4" t="n">
        <x:v>62</x:v>
      </x:c>
      <x:c r="D571" s="4" t="n">
        <x:v>0</x:v>
      </x:c>
      <x:c r="E571" s="4" t="n">
        <x:v>60</x:v>
      </x:c>
      <x:c r="F571" s="4" t="n">
        <x:v>23</x:v>
      </x:c>
      <x:c r="G571" s="5" t="n">
        <x:v>0.0392</x:v>
      </x:c>
      <x:c r="H571" s="5" t="n">
        <x:v>0.0662</x:v>
      </x:c>
      <x:c r="I571" s="5" t="n">
        <x:v>0</x:v>
      </x:c>
      <x:c r="J571" s="4" t="n">
        <x:v>1860</x:v>
      </x:c>
      <x:c r="K571" s="4" t="n">
        <x:v>73</x:v>
      </x:c>
      <x:c r="L571" s="4" t="n">
        <x:v>1103</x:v>
      </x:c>
      <x:c r="M571" s="4" t="n">
        <x:v>73</x:v>
      </x:c>
      <x:c r="N571" s="4" t="n">
        <x:v>757</x:v>
      </x:c>
      <x:c r="O571" s="4" t="n">
        <x:v>0</x:v>
      </x:c>
      <x:c r="P571" s="1" t="str">
        <x:v>PASS</x:v>
      </x:c>
      <x:c r="Q571" s="4" t="n">
        <x:v>0</x:v>
      </x:c>
      <x:c r="R571" s="1" t="str">
        <x:v>PASS</x:v>
      </x:c>
      <x:c r="S571" s="4" t="n">
        <x:v>0</x:v>
      </x:c>
      <x:c r="T571" s="1" t="str">
        <x:v>NOT_REVEALING</x:v>
      </x:c>
      <x:c r="U571" s="1" t="str">
        <x:v>Jsoup_62</x:v>
      </x:c>
      <x:c r="V571" s="6" t="n">
        <x:v>30.28</x:v>
      </x:c>
    </x:row>
    <x:row r="572" ht="22" customHeight="1">
      <x:c r="A572" s="1" t="str">
        <x:v>Round1</x:v>
      </x:c>
      <x:c r="B572" s="1" t="str">
        <x:v>Jsoup</x:v>
      </x:c>
      <x:c r="C572" s="4" t="n">
        <x:v>63</x:v>
      </x:c>
      <x:c r="D572" s="4" t="n">
        <x:v>0</x:v>
      </x:c>
      <x:c r="E572" s="4" t="n">
        <x:v>60</x:v>
      </x:c>
      <x:c r="F572" s="4" t="n">
        <x:v>4092</x:v>
      </x:c>
      <x:c r="G572" s="5" t="n">
        <x:v>0.5602</x:v>
      </x:c>
      <x:c r="H572" s="5" t="n">
        <x:v>0.6372</x:v>
      </x:c>
      <x:c r="I572" s="5" t="n">
        <x:v>0.4189</x:v>
      </x:c>
      <x:c r="J572" s="4" t="n">
        <x:v>839</x:v>
      </x:c>
      <x:c r="K572" s="4" t="n">
        <x:v>470</x:v>
      </x:c>
      <x:c r="L572" s="4" t="n">
        <x:v>543</x:v>
      </x:c>
      <x:c r="M572" s="4" t="n">
        <x:v>346</x:v>
      </x:c>
      <x:c r="N572" s="4" t="n">
        <x:v>296</x:v>
      </x:c>
      <x:c r="O572" s="4" t="n">
        <x:v>124</x:v>
      </x:c>
      <x:c r="P572" s="1" t="str">
        <x:v>FAIL</x:v>
      </x:c>
      <x:c r="Q572" s="4" t="n">
        <x:v>980</x:v>
      </x:c>
      <x:c r="R572" s="1" t="str">
        <x:v>NOT_RUN</x:v>
      </x:c>
      <x:c r="S572" s="4"/>
      <x:c r="T572" s="1" t="str">
        <x:v>NOT_AVAILABLE</x:v>
      </x:c>
      <x:c r="U572" s="1" t="str">
        <x:v>Jsoup_63</x:v>
      </x:c>
      <x:c r="V572" s="6" t="n">
        <x:v>61.3</x:v>
      </x:c>
    </x:row>
    <x:row r="573" ht="22" customHeight="1">
      <x:c r="A573" s="1" t="str">
        <x:v>Round1</x:v>
      </x:c>
      <x:c r="B573" s="1" t="str">
        <x:v>Jsoup</x:v>
      </x:c>
      <x:c r="C573" s="4" t="n">
        <x:v>64</x:v>
      </x:c>
      <x:c r="D573" s="4" t="n">
        <x:v>0</x:v>
      </x:c>
      <x:c r="E573" s="4" t="n">
        <x:v>60</x:v>
      </x:c>
      <x:c r="F573" s="4" t="n">
        <x:v>23</x:v>
      </x:c>
      <x:c r="G573" s="5" t="n">
        <x:v>0.0388</x:v>
      </x:c>
      <x:c r="H573" s="5" t="n">
        <x:v>0.0664</x:v>
      </x:c>
      <x:c r="I573" s="5" t="n">
        <x:v>0</x:v>
      </x:c>
      <x:c r="J573" s="4" t="n">
        <x:v>1883</x:v>
      </x:c>
      <x:c r="K573" s="4" t="n">
        <x:v>73</x:v>
      </x:c>
      <x:c r="L573" s="4" t="n">
        <x:v>1100</x:v>
      </x:c>
      <x:c r="M573" s="4" t="n">
        <x:v>73</x:v>
      </x:c>
      <x:c r="N573" s="4" t="n">
        <x:v>783</x:v>
      </x:c>
      <x:c r="O573" s="4" t="n">
        <x:v>0</x:v>
      </x:c>
      <x:c r="P573" s="1" t="str">
        <x:v>PASS</x:v>
      </x:c>
      <x:c r="Q573" s="4" t="n">
        <x:v>0</x:v>
      </x:c>
      <x:c r="R573" s="1" t="str">
        <x:v>PASS</x:v>
      </x:c>
      <x:c r="S573" s="4" t="n">
        <x:v>0</x:v>
      </x:c>
      <x:c r="T573" s="1" t="str">
        <x:v>NOT_REVEALING</x:v>
      </x:c>
      <x:c r="U573" s="1" t="str">
        <x:v>Jsoup_64</x:v>
      </x:c>
      <x:c r="V573" s="6" t="n">
        <x:v>29.97</x:v>
      </x:c>
    </x:row>
    <x:row r="574" ht="22" customHeight="1">
      <x:c r="A574" s="1" t="str">
        <x:v>Round1</x:v>
      </x:c>
      <x:c r="B574" s="1" t="str">
        <x:v>Jsoup</x:v>
      </x:c>
      <x:c r="C574" s="4" t="n">
        <x:v>65</x:v>
      </x:c>
      <x:c r="D574" s="4" t="n">
        <x:v>0</x:v>
      </x:c>
      <x:c r="E574" s="4" t="n">
        <x:v>60</x:v>
      </x:c>
      <x:c r="F574" s="4" t="n">
        <x:v>2460</x:v>
      </x:c>
      <x:c r="G574" s="5" t="n">
        <x:v>0.2804</x:v>
      </x:c>
      <x:c r="H574" s="5" t="n">
        <x:v>0.32549999999999996</x:v>
      </x:c>
      <x:c r="I574" s="5" t="n">
        <x:v>0.2126</x:v>
      </x:c>
      <x:c r="J574" s="4" t="n">
        <x:v>2464</x:v>
      </x:c>
      <x:c r="K574" s="4" t="n">
        <x:v>691</x:v>
      </x:c>
      <x:c r="L574" s="4" t="n">
        <x:v>1481</x:v>
      </x:c>
      <x:c r="M574" s="4" t="n">
        <x:v>482</x:v>
      </x:c>
      <x:c r="N574" s="4" t="n">
        <x:v>983</x:v>
      </x:c>
      <x:c r="O574" s="4" t="n">
        <x:v>209</x:v>
      </x:c>
      <x:c r="P574" s="1" t="str">
        <x:v>FAIL</x:v>
      </x:c>
      <x:c r="Q574" s="4" t="n">
        <x:v>166</x:v>
      </x:c>
      <x:c r="R574" s="1" t="str">
        <x:v>FAIL</x:v>
      </x:c>
      <x:c r="S574" s="4" t="n">
        <x:v>166</x:v>
      </x:c>
      <x:c r="T574" s="1" t="str">
        <x:v>INCONCLUSIVE</x:v>
      </x:c>
      <x:c r="U574" s="1" t="str">
        <x:v>Jsoup_65</x:v>
      </x:c>
      <x:c r="V574" s="6" t="n">
        <x:v>64.69</x:v>
      </x:c>
    </x:row>
    <x:row r="575" ht="22" customHeight="1">
      <x:c r="A575" s="1" t="str">
        <x:v>Round1</x:v>
      </x:c>
      <x:c r="B575" s="1" t="str">
        <x:v>Jsoup</x:v>
      </x:c>
      <x:c r="C575" s="4" t="n">
        <x:v>66</x:v>
      </x:c>
      <x:c r="D575" s="4" t="n">
        <x:v>0</x:v>
      </x:c>
      <x:c r="E575" s="4" t="n">
        <x:v>60</x:v>
      </x:c>
      <x:c r="F575" s="4" t="n">
        <x:v>3729</x:v>
      </x:c>
      <x:c r="G575" s="5" t="n">
        <x:v>0.8451000000000001</x:v>
      </x:c>
      <x:c r="H575" s="5" t="n">
        <x:v>0.9179</x:v>
      </x:c>
      <x:c r="I575" s="5" t="n">
        <x:v>0.7059000000000001</x:v>
      </x:c>
      <x:c r="J575" s="4" t="n">
        <x:v>594</x:v>
      </x:c>
      <x:c r="K575" s="4" t="n">
        <x:v>502</x:v>
      </x:c>
      <x:c r="L575" s="4" t="n">
        <x:v>390</x:v>
      </x:c>
      <x:c r="M575" s="4" t="n">
        <x:v>358</x:v>
      </x:c>
      <x:c r="N575" s="4" t="n">
        <x:v>204</x:v>
      </x:c>
      <x:c r="O575" s="4" t="n">
        <x:v>144</x:v>
      </x:c>
      <x:c r="P575" s="1" t="str">
        <x:v>FAIL</x:v>
      </x:c>
      <x:c r="Q575" s="4" t="n">
        <x:v>184</x:v>
      </x:c>
      <x:c r="R575" s="1" t="str">
        <x:v>FAIL</x:v>
      </x:c>
      <x:c r="S575" s="4" t="n">
        <x:v>184</x:v>
      </x:c>
      <x:c r="T575" s="1" t="str">
        <x:v>INCONCLUSIVE</x:v>
      </x:c>
      <x:c r="U575" s="1" t="str">
        <x:v>Jsoup_66</x:v>
      </x:c>
      <x:c r="V575" s="6" t="n">
        <x:v>65.88</x:v>
      </x:c>
    </x:row>
    <x:row r="576" ht="22" customHeight="1">
      <x:c r="A576" s="1" t="str">
        <x:v>Round1</x:v>
      </x:c>
      <x:c r="B576" s="1" t="str">
        <x:v>Jsoup</x:v>
      </x:c>
      <x:c r="C576" s="4" t="n">
        <x:v>67</x:v>
      </x:c>
      <x:c r="D576" s="4" t="n">
        <x:v>0</x:v>
      </x:c>
      <x:c r="E576" s="4" t="n">
        <x:v>60</x:v>
      </x:c>
      <x:c r="F576" s="4" t="n">
        <x:v>3995</x:v>
      </x:c>
      <x:c r="G576" s="5" t="n">
        <x:v>0.6437</x:v>
      </x:c>
      <x:c r="H576" s="5" t="n">
        <x:v>0.6955</x:v>
      </x:c>
      <x:c r="I576" s="5" t="n">
        <x:v>0.545</x:v>
      </x:c>
      <x:c r="J576" s="4" t="n">
        <x:v>581</x:v>
      </x:c>
      <x:c r="K576" s="4" t="n">
        <x:v>374</x:v>
      </x:c>
      <x:c r="L576" s="4" t="n">
        <x:v>381</x:v>
      </x:c>
      <x:c r="M576" s="4" t="n">
        <x:v>265</x:v>
      </x:c>
      <x:c r="N576" s="4" t="n">
        <x:v>200</x:v>
      </x:c>
      <x:c r="O576" s="4" t="n">
        <x:v>109</x:v>
      </x:c>
      <x:c r="P576" s="1" t="str">
        <x:v>FAIL</x:v>
      </x:c>
      <x:c r="Q576" s="4" t="n">
        <x:v>56</x:v>
      </x:c>
      <x:c r="R576" s="1" t="str">
        <x:v>FAIL</x:v>
      </x:c>
      <x:c r="S576" s="4" t="n">
        <x:v>56</x:v>
      </x:c>
      <x:c r="T576" s="1" t="str">
        <x:v>INCONCLUSIVE</x:v>
      </x:c>
      <x:c r="U576" s="1" t="str">
        <x:v>Jsoup_67</x:v>
      </x:c>
      <x:c r="V576" s="6" t="n">
        <x:v>67.5</x:v>
      </x:c>
    </x:row>
    <x:row r="577" ht="22" customHeight="1">
      <x:c r="A577" s="1" t="str">
        <x:v>Round1</x:v>
      </x:c>
      <x:c r="B577" s="1" t="str">
        <x:v>Jsoup</x:v>
      </x:c>
      <x:c r="C577" s="4" t="n">
        <x:v>68</x:v>
      </x:c>
      <x:c r="D577" s="4" t="n">
        <x:v>0</x:v>
      </x:c>
      <x:c r="E577" s="4" t="n">
        <x:v>60</x:v>
      </x:c>
      <x:c r="F577" s="4" t="n">
        <x:v>3377</x:v>
      </x:c>
      <x:c r="G577" s="5" t="n">
        <x:v>0.6911</x:v>
      </x:c>
      <x:c r="H577" s="5" t="n">
        <x:v>0.7513</x:v>
      </x:c>
      <x:c r="I577" s="5" t="n">
        <x:v>0.5784</x:v>
      </x:c>
      <x:c r="J577" s="4" t="n">
        <x:v>586</x:v>
      </x:c>
      <x:c r="K577" s="4" t="n">
        <x:v>405</x:v>
      </x:c>
      <x:c r="L577" s="4" t="n">
        <x:v>382</x:v>
      </x:c>
      <x:c r="M577" s="4" t="n">
        <x:v>287</x:v>
      </x:c>
      <x:c r="N577" s="4" t="n">
        <x:v>204</x:v>
      </x:c>
      <x:c r="O577" s="4" t="n">
        <x:v>118</x:v>
      </x:c>
      <x:c r="P577" s="1" t="str">
        <x:v>FAIL</x:v>
      </x:c>
      <x:c r="Q577" s="4" t="n">
        <x:v>154</x:v>
      </x:c>
      <x:c r="R577" s="1" t="str">
        <x:v>FAIL</x:v>
      </x:c>
      <x:c r="S577" s="4" t="n">
        <x:v>154</x:v>
      </x:c>
      <x:c r="T577" s="1" t="str">
        <x:v>INCONCLUSIVE</x:v>
      </x:c>
      <x:c r="U577" s="1" t="str">
        <x:v>Jsoup_68</x:v>
      </x:c>
      <x:c r="V577" s="6" t="n">
        <x:v>64.56</x:v>
      </x:c>
    </x:row>
    <x:row r="578" ht="22" customHeight="1">
      <x:c r="A578" s="1" t="str">
        <x:v>Round1</x:v>
      </x:c>
      <x:c r="B578" s="1" t="str">
        <x:v>Jsoup</x:v>
      </x:c>
      <x:c r="C578" s="4" t="n">
        <x:v>69</x:v>
      </x:c>
      <x:c r="D578" s="4" t="n">
        <x:v>0</x:v>
      </x:c>
      <x:c r="E578" s="4" t="n">
        <x:v>60</x:v>
      </x:c>
      <x:c r="F578" s="4" t="n">
        <x:v>3</x:v>
      </x:c>
      <x:c r="G578" s="5" t="n">
        <x:v>0.0149</x:v>
      </x:c>
      <x:c r="H578" s="5" t="n">
        <x:v>0.0256</x:v>
      </x:c>
      <x:c r="I578" s="5" t="n">
        <x:v>0</x:v>
      </x:c>
      <x:c r="J578" s="4" t="n">
        <x:v>67</x:v>
      </x:c>
      <x:c r="K578" s="4" t="n">
        <x:v>1</x:v>
      </x:c>
      <x:c r="L578" s="4" t="n">
        <x:v>39</x:v>
      </x:c>
      <x:c r="M578" s="4" t="n">
        <x:v>1</x:v>
      </x:c>
      <x:c r="N578" s="4" t="n">
        <x:v>28</x:v>
      </x:c>
      <x:c r="O578" s="4" t="n">
        <x:v>0</x:v>
      </x:c>
      <x:c r="P578" s="1" t="str">
        <x:v>PASS</x:v>
      </x:c>
      <x:c r="Q578" s="4" t="n">
        <x:v>0</x:v>
      </x:c>
      <x:c r="R578" s="1" t="str">
        <x:v>PASS</x:v>
      </x:c>
      <x:c r="S578" s="4" t="n">
        <x:v>0</x:v>
      </x:c>
      <x:c r="T578" s="1" t="str">
        <x:v>NOT_REVEALING</x:v>
      </x:c>
      <x:c r="U578" s="1" t="str">
        <x:v>Jsoup_69</x:v>
      </x:c>
      <x:c r="V578" s="6" t="n">
        <x:v>26.2</x:v>
      </x:c>
    </x:row>
    <x:row r="579" ht="22" customHeight="1">
      <x:c r="A579" s="1" t="str">
        <x:v>Round1</x:v>
      </x:c>
      <x:c r="B579" s="1" t="str">
        <x:v>Jsoup</x:v>
      </x:c>
      <x:c r="C579" s="4" t="n">
        <x:v>70</x:v>
      </x:c>
      <x:c r="D579" s="4" t="n">
        <x:v>0</x:v>
      </x:c>
      <x:c r="E579" s="4" t="n">
        <x:v>60</x:v>
      </x:c>
      <x:c r="F579" s="4" t="n">
        <x:v>3616</x:v>
      </x:c>
      <x:c r="G579" s="5" t="n">
        <x:v>0.835</x:v>
      </x:c>
      <x:c r="H579" s="5" t="n">
        <x:v>0.9061</x:v>
      </x:c>
      <x:c r="I579" s="5" t="n">
        <x:v>0.6990000000000001</x:v>
      </x:c>
      <x:c r="J579" s="4" t="n">
        <x:v>600</x:v>
      </x:c>
      <x:c r="K579" s="4" t="n">
        <x:v>501</x:v>
      </x:c>
      <x:c r="L579" s="4" t="n">
        <x:v>394</x:v>
      </x:c>
      <x:c r="M579" s="4" t="n">
        <x:v>357</x:v>
      </x:c>
      <x:c r="N579" s="4" t="n">
        <x:v>206</x:v>
      </x:c>
      <x:c r="O579" s="4" t="n">
        <x:v>144</x:v>
      </x:c>
      <x:c r="P579" s="1" t="str">
        <x:v>FAIL</x:v>
      </x:c>
      <x:c r="Q579" s="4" t="n">
        <x:v>108</x:v>
      </x:c>
      <x:c r="R579" s="1" t="str">
        <x:v>FAIL</x:v>
      </x:c>
      <x:c r="S579" s="4" t="n">
        <x:v>108</x:v>
      </x:c>
      <x:c r="T579" s="1" t="str">
        <x:v>INCONCLUSIVE</x:v>
      </x:c>
      <x:c r="U579" s="1" t="str">
        <x:v>Jsoup_70</x:v>
      </x:c>
      <x:c r="V579" s="6" t="n">
        <x:v>58.41</x:v>
      </x:c>
    </x:row>
    <x:row r="580" ht="22" customHeight="1">
      <x:c r="A580" s="1" t="str">
        <x:v>Round1</x:v>
      </x:c>
      <x:c r="B580" s="1" t="str">
        <x:v>Jsoup</x:v>
      </x:c>
      <x:c r="C580" s="4" t="n">
        <x:v>71</x:v>
      </x:c>
      <x:c r="D580" s="4" t="n">
        <x:v>0</x:v>
      </x:c>
      <x:c r="E580" s="4" t="n">
        <x:v>60</x:v>
      </x:c>
      <x:c r="F580" s="4" t="n">
        <x:v>4471</x:v>
      </x:c>
      <x:c r="G580" s="5" t="n">
        <x:v>0.5826</x:v>
      </x:c>
      <x:c r="H580" s="5" t="n">
        <x:v>0.7023</x:v>
      </x:c>
      <x:c r="I580" s="5" t="n">
        <x:v>0.375</x:v>
      </x:c>
      <x:c r="J580" s="4" t="n">
        <x:v>678</x:v>
      </x:c>
      <x:c r="K580" s="4" t="n">
        <x:v>395</x:v>
      </x:c>
      <x:c r="L580" s="4" t="n">
        <x:v>430</x:v>
      </x:c>
      <x:c r="M580" s="4" t="n">
        <x:v>302</x:v>
      </x:c>
      <x:c r="N580" s="4" t="n">
        <x:v>248</x:v>
      </x:c>
      <x:c r="O580" s="4" t="n">
        <x:v>93</x:v>
      </x:c>
      <x:c r="P580" s="1" t="str">
        <x:v>PASS</x:v>
      </x:c>
      <x:c r="Q580" s="4" t="n">
        <x:v>0</x:v>
      </x:c>
      <x:c r="R580" s="1" t="str">
        <x:v>PASS</x:v>
      </x:c>
      <x:c r="S580" s="4" t="n">
        <x:v>0</x:v>
      </x:c>
      <x:c r="T580" s="1" t="str">
        <x:v>NOT_REVEALING</x:v>
      </x:c>
      <x:c r="U580" s="1" t="str">
        <x:v>Jsoup_71</x:v>
      </x:c>
      <x:c r="V580" s="6" t="n">
        <x:v>46.03</x:v>
      </x:c>
    </x:row>
    <x:row r="581" ht="22" customHeight="1">
      <x:c r="A581" s="1" t="str">
        <x:v>Round1</x:v>
      </x:c>
      <x:c r="B581" s="1" t="str">
        <x:v>Jsoup</x:v>
      </x:c>
      <x:c r="C581" s="4" t="n">
        <x:v>72</x:v>
      </x:c>
      <x:c r="D581" s="4" t="n">
        <x:v>0</x:v>
      </x:c>
      <x:c r="E581" s="4" t="n">
        <x:v>60</x:v>
      </x:c>
      <x:c r="F581" s="4" t="n">
        <x:v>3838</x:v>
      </x:c>
      <x:c r="G581" s="5" t="n">
        <x:v>0.8873000000000001</x:v>
      </x:c>
      <x:c r="H581" s="5" t="n">
        <x:v>0.943</x:v>
      </x:c>
      <x:c r="I581" s="5" t="n">
        <x:v>0.8231999999999999</x:v>
      </x:c>
      <x:c r="J581" s="4" t="n">
        <x:v>426</x:v>
      </x:c>
      <x:c r="K581" s="4" t="n">
        <x:v>378</x:v>
      </x:c>
      <x:c r="L581" s="4" t="n">
        <x:v>228</x:v>
      </x:c>
      <x:c r="M581" s="4" t="n">
        <x:v>215</x:v>
      </x:c>
      <x:c r="N581" s="4" t="n">
        <x:v>198</x:v>
      </x:c>
      <x:c r="O581" s="4" t="n">
        <x:v>163</x:v>
      </x:c>
      <x:c r="P581" s="1" t="str">
        <x:v>PASS</x:v>
      </x:c>
      <x:c r="Q581" s="4" t="n">
        <x:v>0</x:v>
      </x:c>
      <x:c r="R581" s="1" t="str">
        <x:v>FAIL</x:v>
      </x:c>
      <x:c r="S581" s="4" t="n">
        <x:v>848</x:v>
      </x:c>
      <x:c r="T581" s="1" t="str">
        <x:v>INCONCLUSIVE</x:v>
      </x:c>
      <x:c r="U581" s="1" t="str">
        <x:v>Jsoup_72</x:v>
      </x:c>
      <x:c r="V581" s="6" t="n">
        <x:v>67.67</x:v>
      </x:c>
    </x:row>
    <x:row r="582" ht="22" customHeight="1">
      <x:c r="A582" s="1" t="str">
        <x:v>Round1</x:v>
      </x:c>
      <x:c r="B582" s="1" t="str">
        <x:v>Jsoup</x:v>
      </x:c>
      <x:c r="C582" s="4" t="n">
        <x:v>73</x:v>
      </x:c>
      <x:c r="D582" s="4" t="n">
        <x:v>0</x:v>
      </x:c>
      <x:c r="E582" s="4" t="n">
        <x:v>60</x:v>
      </x:c>
      <x:c r="F582" s="4" t="n">
        <x:v>3886</x:v>
      </x:c>
      <x:c r="G582" s="5" t="n">
        <x:v>0.24239999999999998</x:v>
      </x:c>
      <x:c r="H582" s="5" t="n">
        <x:v>0.2676</x:v>
      </x:c>
      <x:c r="I582" s="5" t="n">
        <x:v>0.17859999999999998</x:v>
      </x:c>
      <x:c r="J582" s="4" t="n">
        <x:v>99</x:v>
      </x:c>
      <x:c r="K582" s="4" t="n">
        <x:v>24</x:v>
      </x:c>
      <x:c r="L582" s="4" t="n">
        <x:v>71</x:v>
      </x:c>
      <x:c r="M582" s="4" t="n">
        <x:v>19</x:v>
      </x:c>
      <x:c r="N582" s="4" t="n">
        <x:v>28</x:v>
      </x:c>
      <x:c r="O582" s="4" t="n">
        <x:v>5</x:v>
      </x:c>
      <x:c r="P582" s="1" t="str">
        <x:v>PASS</x:v>
      </x:c>
      <x:c r="Q582" s="4" t="n">
        <x:v>0</x:v>
      </x:c>
      <x:c r="R582" s="1" t="str">
        <x:v>FAIL</x:v>
      </x:c>
      <x:c r="S582" s="4" t="n">
        <x:v>698</x:v>
      </x:c>
      <x:c r="T582" s="1" t="str">
        <x:v>INCONCLUSIVE</x:v>
      </x:c>
      <x:c r="U582" s="1" t="str">
        <x:v>Jsoup_73</x:v>
      </x:c>
      <x:c r="V582" s="6" t="n">
        <x:v>98.33</x:v>
      </x:c>
    </x:row>
    <x:row r="583" ht="22" customHeight="1">
      <x:c r="A583" s="1" t="str">
        <x:v>Round1</x:v>
      </x:c>
      <x:c r="B583" s="1" t="str">
        <x:v>Jsoup</x:v>
      </x:c>
      <x:c r="C583" s="4" t="n">
        <x:v>74</x:v>
      </x:c>
      <x:c r="D583" s="4" t="n">
        <x:v>0</x:v>
      </x:c>
      <x:c r="E583" s="4" t="n">
        <x:v>60</x:v>
      </x:c>
      <x:c r="F583" s="4" t="n">
        <x:v>7205</x:v>
      </x:c>
      <x:c r="G583" s="5" t="n">
        <x:v>0.8344</x:v>
      </x:c>
      <x:c r="H583" s="5" t="n">
        <x:v>0.8916</x:v>
      </x:c>
      <x:c r="I583" s="5" t="n">
        <x:v>0.7703</x:v>
      </x:c>
      <x:c r="J583" s="4" t="n">
        <x:v>157</x:v>
      </x:c>
      <x:c r="K583" s="4" t="n">
        <x:v>131</x:v>
      </x:c>
      <x:c r="L583" s="4" t="n">
        <x:v>83</x:v>
      </x:c>
      <x:c r="M583" s="4" t="n">
        <x:v>74</x:v>
      </x:c>
      <x:c r="N583" s="4" t="n">
        <x:v>74</x:v>
      </x:c>
      <x:c r="O583" s="4" t="n">
        <x:v>57</x:v>
      </x:c>
      <x:c r="P583" s="1" t="str">
        <x:v>PASS</x:v>
      </x:c>
      <x:c r="Q583" s="4" t="n">
        <x:v>0</x:v>
      </x:c>
      <x:c r="R583" s="1" t="str">
        <x:v>PASS</x:v>
      </x:c>
      <x:c r="S583" s="4" t="n">
        <x:v>0</x:v>
      </x:c>
      <x:c r="T583" s="1" t="str">
        <x:v>NOT_REVEALING</x:v>
      </x:c>
      <x:c r="U583" s="1" t="str">
        <x:v>Jsoup_74</x:v>
      </x:c>
      <x:c r="V583" s="6" t="n">
        <x:v>59.93</x:v>
      </x:c>
    </x:row>
    <x:row r="584" ht="22" customHeight="1">
      <x:c r="A584" s="1" t="str">
        <x:v>Round1</x:v>
      </x:c>
      <x:c r="B584" s="1" t="str">
        <x:v>Jsoup</x:v>
      </x:c>
      <x:c r="C584" s="4" t="n">
        <x:v>75</x:v>
      </x:c>
      <x:c r="D584" s="4" t="n">
        <x:v>0</x:v>
      </x:c>
      <x:c r="E584" s="4" t="n">
        <x:v>60</x:v>
      </x:c>
      <x:c r="F584" s="4" t="n">
        <x:v>4153</x:v>
      </x:c>
      <x:c r="G584" s="5" t="n">
        <x:v>0.8095</x:v>
      </x:c>
      <x:c r="H584" s="5" t="n">
        <x:v>0.8036</x:v>
      </x:c>
      <x:c r="I584" s="5" t="n">
        <x:v>0.8214</x:v>
      </x:c>
      <x:c r="J584" s="4" t="n">
        <x:v>252</x:v>
      </x:c>
      <x:c r="K584" s="4" t="n">
        <x:v>204</x:v>
      </x:c>
      <x:c r="L584" s="4" t="n">
        <x:v>168</x:v>
      </x:c>
      <x:c r="M584" s="4" t="n">
        <x:v>135</x:v>
      </x:c>
      <x:c r="N584" s="4" t="n">
        <x:v>84</x:v>
      </x:c>
      <x:c r="O584" s="4" t="n">
        <x:v>69</x:v>
      </x:c>
      <x:c r="P584" s="1" t="str">
        <x:v>PASS</x:v>
      </x:c>
      <x:c r="Q584" s="4" t="n">
        <x:v>0</x:v>
      </x:c>
      <x:c r="R584" s="1" t="str">
        <x:v>FAIL</x:v>
      </x:c>
      <x:c r="S584" s="4" t="n">
        <x:v>14</x:v>
      </x:c>
      <x:c r="T584" s="1" t="str">
        <x:v>INCONCLUSIVE</x:v>
      </x:c>
      <x:c r="U584" s="1" t="str">
        <x:v>Jsoup_75</x:v>
      </x:c>
      <x:c r="V584" s="6" t="n">
        <x:v>66.16</x:v>
      </x:c>
    </x:row>
    <x:row r="585" ht="22" customHeight="1">
      <x:c r="A585" s="1" t="str">
        <x:v>Round1</x:v>
      </x:c>
      <x:c r="B585" s="1" t="str">
        <x:v>Jsoup</x:v>
      </x:c>
      <x:c r="C585" s="4" t="n">
        <x:v>76</x:v>
      </x:c>
      <x:c r="D585" s="4" t="n">
        <x:v>0</x:v>
      </x:c>
      <x:c r="E585" s="4" t="n">
        <x:v>60</x:v>
      </x:c>
      <x:c r="F585" s="4" t="n">
        <x:v>23</x:v>
      </x:c>
      <x:c r="G585" s="5" t="n">
        <x:v>0.038599999999999995</x:v>
      </x:c>
      <x:c r="H585" s="5" t="n">
        <x:v>0.0661</x:v>
      </x:c>
      <x:c r="I585" s="5" t="n">
        <x:v>0</x:v>
      </x:c>
      <x:c r="J585" s="4" t="n">
        <x:v>1892</x:v>
      </x:c>
      <x:c r="K585" s="4" t="n">
        <x:v>73</x:v>
      </x:c>
      <x:c r="L585" s="4" t="n">
        <x:v>1105</x:v>
      </x:c>
      <x:c r="M585" s="4" t="n">
        <x:v>73</x:v>
      </x:c>
      <x:c r="N585" s="4" t="n">
        <x:v>787</x:v>
      </x:c>
      <x:c r="O585" s="4" t="n">
        <x:v>0</x:v>
      </x:c>
      <x:c r="P585" s="1" t="str">
        <x:v>PASS</x:v>
      </x:c>
      <x:c r="Q585" s="4" t="n">
        <x:v>0</x:v>
      </x:c>
      <x:c r="R585" s="1" t="str">
        <x:v>PASS</x:v>
      </x:c>
      <x:c r="S585" s="4" t="n">
        <x:v>0</x:v>
      </x:c>
      <x:c r="T585" s="1" t="str">
        <x:v>NOT_REVEALING</x:v>
      </x:c>
      <x:c r="U585" s="1" t="str">
        <x:v>Jsoup_76</x:v>
      </x:c>
      <x:c r="V585" s="6" t="n">
        <x:v>27.87</x:v>
      </x:c>
    </x:row>
    <x:row r="586" ht="22" customHeight="1">
      <x:c r="A586" s="1" t="str">
        <x:v>Round1</x:v>
      </x:c>
      <x:c r="B586" s="1" t="str">
        <x:v>Jsoup</x:v>
      </x:c>
      <x:c r="C586" s="4" t="n">
        <x:v>77</x:v>
      </x:c>
      <x:c r="D586" s="4" t="n">
        <x:v>0</x:v>
      </x:c>
      <x:c r="E586" s="4" t="n">
        <x:v>60</x:v>
      </x:c>
      <x:c r="F586" s="4" t="n">
        <x:v>3782</x:v>
      </x:c>
      <x:c r="G586" s="5" t="n">
        <x:v>0.37</x:v>
      </x:c>
      <x:c r="H586" s="5" t="n">
        <x:v>0.46380000000000005</x:v>
      </x:c>
      <x:c r="I586" s="5" t="n">
        <x:v>0.1613</x:v>
      </x:c>
      <x:c r="J586" s="4" t="n">
        <x:v>100</x:v>
      </x:c>
      <x:c r="K586" s="4" t="n">
        <x:v>37</x:v>
      </x:c>
      <x:c r="L586" s="4" t="n">
        <x:v>69</x:v>
      </x:c>
      <x:c r="M586" s="4" t="n">
        <x:v>32</x:v>
      </x:c>
      <x:c r="N586" s="4" t="n">
        <x:v>31</x:v>
      </x:c>
      <x:c r="O586" s="4" t="n">
        <x:v>5</x:v>
      </x:c>
      <x:c r="P586" s="1" t="str">
        <x:v>PASS</x:v>
      </x:c>
      <x:c r="Q586" s="4" t="n">
        <x:v>0</x:v>
      </x:c>
      <x:c r="R586" s="1" t="str">
        <x:v>PASS</x:v>
      </x:c>
      <x:c r="S586" s="4" t="n">
        <x:v>0</x:v>
      </x:c>
      <x:c r="T586" s="1" t="str">
        <x:v>NOT_REVEALING</x:v>
      </x:c>
      <x:c r="U586" s="1" t="str">
        <x:v>Jsoup_77</x:v>
      </x:c>
      <x:c r="V586" s="6" t="n">
        <x:v>62.5</x:v>
      </x:c>
    </x:row>
    <x:row r="587" ht="22" customHeight="1">
      <x:c r="A587" s="1" t="str">
        <x:v>Round1</x:v>
      </x:c>
      <x:c r="B587" s="1" t="str">
        <x:v>Jsoup</x:v>
      </x:c>
      <x:c r="C587" s="4" t="n">
        <x:v>78</x:v>
      </x:c>
      <x:c r="D587" s="4" t="n">
        <x:v>0</x:v>
      </x:c>
      <x:c r="E587" s="4" t="n">
        <x:v>60</x:v>
      </x:c>
      <x:c r="F587" s="4" t="n">
        <x:v>98</x:v>
      </x:c>
      <x:c r="G587" s="5" t="n">
        <x:v>0.1777</x:v>
      </x:c>
      <x:c r="H587" s="5" t="n">
        <x:v>0.2569</x:v>
      </x:c>
      <x:c r="I587" s="5" t="n">
        <x:v>0.0795</x:v>
      </x:c>
      <x:c r="J587" s="4" t="n">
        <x:v>197</x:v>
      </x:c>
      <x:c r="K587" s="4" t="n">
        <x:v>35</x:v>
      </x:c>
      <x:c r="L587" s="4" t="n">
        <x:v>109</x:v>
      </x:c>
      <x:c r="M587" s="4" t="n">
        <x:v>28</x:v>
      </x:c>
      <x:c r="N587" s="4" t="n">
        <x:v>88</x:v>
      </x:c>
      <x:c r="O587" s="4" t="n">
        <x:v>7</x:v>
      </x:c>
      <x:c r="P587" s="1" t="str">
        <x:v>PASS</x:v>
      </x:c>
      <x:c r="Q587" s="4" t="n">
        <x:v>0</x:v>
      </x:c>
      <x:c r="R587" s="1" t="str">
        <x:v>PASS</x:v>
      </x:c>
      <x:c r="S587" s="4" t="n">
        <x:v>0</x:v>
      </x:c>
      <x:c r="T587" s="1" t="str">
        <x:v>NOT_REVEALING</x:v>
      </x:c>
      <x:c r="U587" s="1" t="str">
        <x:v>Jsoup_78</x:v>
      </x:c>
      <x:c r="V587" s="6" t="n">
        <x:v>28.65</x:v>
      </x:c>
    </x:row>
    <x:row r="588" ht="22" customHeight="1">
      <x:c r="A588" s="1" t="str">
        <x:v>Round1</x:v>
      </x:c>
      <x:c r="B588" s="1" t="str">
        <x:v>Jsoup</x:v>
      </x:c>
      <x:c r="C588" s="4" t="n">
        <x:v>79</x:v>
      </x:c>
      <x:c r="D588" s="4" t="n">
        <x:v>0</x:v>
      </x:c>
      <x:c r="E588" s="4" t="n">
        <x:v>60</x:v>
      </x:c>
      <x:c r="F588" s="4" t="n">
        <x:v>1</x:v>
      </x:c>
      <x:c r="G588" s="5" t="n">
        <x:v>0</x:v>
      </x:c>
      <x:c r="H588" s="5" t="n">
        <x:v>0</x:v>
      </x:c>
      <x:c r="I588" s="5" t="n">
        <x:v>0</x:v>
      </x:c>
      <x:c r="J588" s="4" t="n">
        <x:v>47</x:v>
      </x:c>
      <x:c r="K588" s="4" t="n">
        <x:v>0</x:v>
      </x:c>
      <x:c r="L588" s="4" t="n">
        <x:v>33</x:v>
      </x:c>
      <x:c r="M588" s="4" t="n">
        <x:v>0</x:v>
      </x:c>
      <x:c r="N588" s="4" t="n">
        <x:v>14</x:v>
      </x:c>
      <x:c r="O588" s="4" t="n">
        <x:v>0</x:v>
      </x:c>
      <x:c r="P588" s="1" t="str">
        <x:v>PASS</x:v>
      </x:c>
      <x:c r="Q588" s="4" t="n">
        <x:v>0</x:v>
      </x:c>
      <x:c r="R588" s="1" t="str">
        <x:v>PASS</x:v>
      </x:c>
      <x:c r="S588" s="4" t="n">
        <x:v>0</x:v>
      </x:c>
      <x:c r="T588" s="1" t="str">
        <x:v>NOT_REVEALING</x:v>
      </x:c>
      <x:c r="U588" s="1" t="str">
        <x:v>Jsoup_79</x:v>
      </x:c>
      <x:c r="V588" s="6" t="n">
        <x:v>25.87</x:v>
      </x:c>
    </x:row>
    <x:row r="589" ht="22" customHeight="1">
      <x:c r="A589" s="1" t="str">
        <x:v>Round1</x:v>
      </x:c>
      <x:c r="B589" s="1" t="str">
        <x:v>Jsoup</x:v>
      </x:c>
      <x:c r="C589" s="4" t="n">
        <x:v>80</x:v>
      </x:c>
      <x:c r="D589" s="4" t="n">
        <x:v>0</x:v>
      </x:c>
      <x:c r="E589" s="4" t="n">
        <x:v>60</x:v>
      </x:c>
      <x:c r="F589" s="4" t="n">
        <x:v>3200</x:v>
      </x:c>
      <x:c r="G589" s="5" t="n">
        <x:v>0.37</x:v>
      </x:c>
      <x:c r="H589" s="5" t="n">
        <x:v>0.46380000000000005</x:v>
      </x:c>
      <x:c r="I589" s="5" t="n">
        <x:v>0.1613</x:v>
      </x:c>
      <x:c r="J589" s="4" t="n">
        <x:v>100</x:v>
      </x:c>
      <x:c r="K589" s="4" t="n">
        <x:v>37</x:v>
      </x:c>
      <x:c r="L589" s="4" t="n">
        <x:v>69</x:v>
      </x:c>
      <x:c r="M589" s="4" t="n">
        <x:v>32</x:v>
      </x:c>
      <x:c r="N589" s="4" t="n">
        <x:v>31</x:v>
      </x:c>
      <x:c r="O589" s="4" t="n">
        <x:v>5</x:v>
      </x:c>
      <x:c r="P589" s="1" t="str">
        <x:v>PASS</x:v>
      </x:c>
      <x:c r="Q589" s="4" t="n">
        <x:v>0</x:v>
      </x:c>
      <x:c r="R589" s="1" t="str">
        <x:v>PASS</x:v>
      </x:c>
      <x:c r="S589" s="4" t="n">
        <x:v>0</x:v>
      </x:c>
      <x:c r="T589" s="1" t="str">
        <x:v>NOT_REVEALING</x:v>
      </x:c>
      <x:c r="U589" s="1" t="str">
        <x:v>Jsoup_80</x:v>
      </x:c>
      <x:c r="V589" s="6" t="n">
        <x:v>58.28</x:v>
      </x:c>
    </x:row>
    <x:row r="590" ht="22" customHeight="1">
      <x:c r="A590" s="1" t="str">
        <x:v>Round1</x:v>
      </x:c>
      <x:c r="B590" s="1" t="str">
        <x:v>Jsoup</x:v>
      </x:c>
      <x:c r="C590" s="4" t="n">
        <x:v>81</x:v>
      </x:c>
      <x:c r="D590" s="4" t="n">
        <x:v>0</x:v>
      </x:c>
      <x:c r="E590" s="4" t="n">
        <x:v>60</x:v>
      </x:c>
      <x:c r="F590" s="4" t="n">
        <x:v>98</x:v>
      </x:c>
      <x:c r="G590" s="5" t="n">
        <x:v>0.1659</x:v>
      </x:c>
      <x:c r="H590" s="5" t="n">
        <x:v>0.23929999999999998</x:v>
      </x:c>
      <x:c r="I590" s="5" t="n">
        <x:v>0.0745</x:v>
      </x:c>
      <x:c r="J590" s="4" t="n">
        <x:v>211</x:v>
      </x:c>
      <x:c r="K590" s="4" t="n">
        <x:v>35</x:v>
      </x:c>
      <x:c r="L590" s="4" t="n">
        <x:v>117</x:v>
      </x:c>
      <x:c r="M590" s="4" t="n">
        <x:v>28</x:v>
      </x:c>
      <x:c r="N590" s="4" t="n">
        <x:v>94</x:v>
      </x:c>
      <x:c r="O590" s="4" t="n">
        <x:v>7</x:v>
      </x:c>
      <x:c r="P590" s="1" t="str">
        <x:v>PASS</x:v>
      </x:c>
      <x:c r="Q590" s="4" t="n">
        <x:v>0</x:v>
      </x:c>
      <x:c r="R590" s="1" t="str">
        <x:v>PASS</x:v>
      </x:c>
      <x:c r="S590" s="4" t="n">
        <x:v>0</x:v>
      </x:c>
      <x:c r="T590" s="1" t="str">
        <x:v>NOT_REVEALING</x:v>
      </x:c>
      <x:c r="U590" s="1" t="str">
        <x:v>Jsoup_81</x:v>
      </x:c>
      <x:c r="V590" s="6" t="n">
        <x:v>29.32</x:v>
      </x:c>
    </x:row>
    <x:row r="591" ht="22" customHeight="1">
      <x:c r="A591" s="1" t="str">
        <x:v>Round1</x:v>
      </x:c>
      <x:c r="B591" s="1" t="str">
        <x:v>Jsoup</x:v>
      </x:c>
      <x:c r="C591" s="4" t="n">
        <x:v>82</x:v>
      </x:c>
      <x:c r="D591" s="4" t="n">
        <x:v>0</x:v>
      </x:c>
      <x:c r="E591" s="4" t="n">
        <x:v>60</x:v>
      </x:c>
      <x:c r="F591" s="4" t="n">
        <x:v>96</x:v>
      </x:c>
      <x:c r="G591" s="5" t="n">
        <x:v>0.1435</x:v>
      </x:c>
      <x:c r="H591" s="5" t="n">
        <x:v>0.20350000000000001</x:v>
      </x:c>
      <x:c r="I591" s="5" t="n">
        <x:v>0.0729</x:v>
      </x:c>
      <x:c r="J591" s="4" t="n">
        <x:v>209</x:v>
      </x:c>
      <x:c r="K591" s="4" t="n">
        <x:v>30</x:v>
      </x:c>
      <x:c r="L591" s="4" t="n">
        <x:v>113</x:v>
      </x:c>
      <x:c r="M591" s="4" t="n">
        <x:v>23</x:v>
      </x:c>
      <x:c r="N591" s="4" t="n">
        <x:v>96</x:v>
      </x:c>
      <x:c r="O591" s="4" t="n">
        <x:v>7</x:v>
      </x:c>
      <x:c r="P591" s="1" t="str">
        <x:v>PASS</x:v>
      </x:c>
      <x:c r="Q591" s="4" t="n">
        <x:v>0</x:v>
      </x:c>
      <x:c r="R591" s="1" t="str">
        <x:v>PASS</x:v>
      </x:c>
      <x:c r="S591" s="4" t="n">
        <x:v>0</x:v>
      </x:c>
      <x:c r="T591" s="1" t="str">
        <x:v>NOT_REVEALING</x:v>
      </x:c>
      <x:c r="U591" s="1" t="str">
        <x:v>Jsoup_82</x:v>
      </x:c>
      <x:c r="V591" s="6" t="n">
        <x:v>28.34</x:v>
      </x:c>
    </x:row>
    <x:row r="592" ht="22" customHeight="1">
      <x:c r="A592" s="1" t="str">
        <x:v>Round1</x:v>
      </x:c>
      <x:c r="B592" s="1" t="str">
        <x:v>Jsoup</x:v>
      </x:c>
      <x:c r="C592" s="4" t="n">
        <x:v>83</x:v>
      </x:c>
      <x:c r="D592" s="4" t="n">
        <x:v>0</x:v>
      </x:c>
      <x:c r="E592" s="4" t="n">
        <x:v>60</x:v>
      </x:c>
      <x:c r="F592" s="4" t="n">
        <x:v>3498</x:v>
      </x:c>
      <x:c r="G592" s="5" t="n">
        <x:v>0.39409999999999995</x:v>
      </x:c>
      <x:c r="H592" s="5" t="n">
        <x:v>0.38549999999999995</x:v>
      </x:c>
      <x:c r="I592" s="5" t="n">
        <x:v>0.4165</x:v>
      </x:c>
      <x:c r="J592" s="4" t="n">
        <x:v>1926</x:v>
      </x:c>
      <x:c r="K592" s="4" t="n">
        <x:v>759</x:v>
      </x:c>
      <x:c r="L592" s="4" t="n">
        <x:v>1393</x:v>
      </x:c>
      <x:c r="M592" s="4" t="n">
        <x:v>537</x:v>
      </x:c>
      <x:c r="N592" s="4" t="n">
        <x:v>533</x:v>
      </x:c>
      <x:c r="O592" s="4" t="n">
        <x:v>222</x:v>
      </x:c>
      <x:c r="P592" s="1" t="str">
        <x:v>PASS</x:v>
      </x:c>
      <x:c r="Q592" s="4" t="n">
        <x:v>0</x:v>
      </x:c>
      <x:c r="R592" s="1" t="str">
        <x:v>PASS</x:v>
      </x:c>
      <x:c r="S592" s="4" t="n">
        <x:v>0</x:v>
      </x:c>
      <x:c r="T592" s="1" t="str">
        <x:v>NOT_REVEALING</x:v>
      </x:c>
      <x:c r="U592" s="1" t="str">
        <x:v>Jsoup_83</x:v>
      </x:c>
      <x:c r="V592" s="6" t="n">
        <x:v>67.28</x:v>
      </x:c>
    </x:row>
    <x:row r="593" ht="22" customHeight="1">
      <x:c r="A593" s="1" t="str">
        <x:v>Round1</x:v>
      </x:c>
      <x:c r="B593" s="1" t="str">
        <x:v>Jsoup</x:v>
      </x:c>
      <x:c r="C593" s="4" t="n">
        <x:v>84</x:v>
      </x:c>
      <x:c r="D593" s="4" t="n">
        <x:v>0</x:v>
      </x:c>
      <x:c r="E593" s="4" t="n">
        <x:v>60</x:v>
      </x:c>
      <x:c r="F593" s="4" t="n">
        <x:v>3797</x:v>
      </x:c>
      <x:c r="G593" s="5" t="n">
        <x:v>0.2596</x:v>
      </x:c>
      <x:c r="H593" s="5" t="n">
        <x:v>0.2895</x:v>
      </x:c>
      <x:c r="I593" s="5" t="n">
        <x:v>0.17859999999999998</x:v>
      </x:c>
      <x:c r="J593" s="4" t="n">
        <x:v>104</x:v>
      </x:c>
      <x:c r="K593" s="4" t="n">
        <x:v>27</x:v>
      </x:c>
      <x:c r="L593" s="4" t="n">
        <x:v>76</x:v>
      </x:c>
      <x:c r="M593" s="4" t="n">
        <x:v>22</x:v>
      </x:c>
      <x:c r="N593" s="4" t="n">
        <x:v>28</x:v>
      </x:c>
      <x:c r="O593" s="4" t="n">
        <x:v>5</x:v>
      </x:c>
      <x:c r="P593" s="1" t="str">
        <x:v>PASS</x:v>
      </x:c>
      <x:c r="Q593" s="4" t="n">
        <x:v>0</x:v>
      </x:c>
      <x:c r="R593" s="1" t="str">
        <x:v>PASS</x:v>
      </x:c>
      <x:c r="S593" s="4" t="n">
        <x:v>0</x:v>
      </x:c>
      <x:c r="T593" s="1" t="str">
        <x:v>NOT_REVEALING</x:v>
      </x:c>
      <x:c r="U593" s="1" t="str">
        <x:v>Jsoup_84</x:v>
      </x:c>
      <x:c r="V593" s="6" t="n">
        <x:v>102.01</x:v>
      </x:c>
    </x:row>
    <x:row r="594" ht="22" customHeight="1">
      <x:c r="A594" s="1" t="str">
        <x:v>Round1</x:v>
      </x:c>
      <x:c r="B594" s="1" t="str">
        <x:v>Jsoup</x:v>
      </x:c>
      <x:c r="C594" s="4" t="n">
        <x:v>85</x:v>
      </x:c>
      <x:c r="D594" s="4" t="n">
        <x:v>0</x:v>
      </x:c>
      <x:c r="E594" s="4" t="n">
        <x:v>60</x:v>
      </x:c>
      <x:c r="F594" s="4" t="n">
        <x:v>5941</x:v>
      </x:c>
      <x:c r="G594" s="5" t="n">
        <x:v>0.6087</x:v>
      </x:c>
      <x:c r="H594" s="5" t="n">
        <x:v>0.7384999999999999</x:v>
      </x:c>
      <x:c r="I594" s="5" t="n">
        <x:v>0.44</x:v>
      </x:c>
      <x:c r="J594" s="4" t="n">
        <x:v>115</x:v>
      </x:c>
      <x:c r="K594" s="4" t="n">
        <x:v>70</x:v>
      </x:c>
      <x:c r="L594" s="4" t="n">
        <x:v>65</x:v>
      </x:c>
      <x:c r="M594" s="4" t="n">
        <x:v>48</x:v>
      </x:c>
      <x:c r="N594" s="4" t="n">
        <x:v>50</x:v>
      </x:c>
      <x:c r="O594" s="4" t="n">
        <x:v>22</x:v>
      </x:c>
      <x:c r="P594" s="1" t="str">
        <x:v>FAIL</x:v>
      </x:c>
      <x:c r="Q594" s="4" t="n">
        <x:v>546</x:v>
      </x:c>
      <x:c r="R594" s="1" t="str">
        <x:v>FAIL</x:v>
      </x:c>
      <x:c r="S594" s="4" t="n">
        <x:v>546</x:v>
      </x:c>
      <x:c r="T594" s="1" t="str">
        <x:v>INCONCLUSIVE</x:v>
      </x:c>
      <x:c r="U594" s="1" t="str">
        <x:v>Jsoup_85</x:v>
      </x:c>
      <x:c r="V594" s="6" t="n">
        <x:v>51.9</x:v>
      </x:c>
    </x:row>
    <x:row r="595" ht="22" customHeight="1">
      <x:c r="A595" s="1" t="str">
        <x:v>Round1</x:v>
      </x:c>
      <x:c r="B595" s="1" t="str">
        <x:v>Jsoup</x:v>
      </x:c>
      <x:c r="C595" s="4" t="n">
        <x:v>86</x:v>
      </x:c>
      <x:c r="D595" s="4" t="n">
        <x:v>0</x:v>
      </x:c>
      <x:c r="E595" s="4" t="n">
        <x:v>60</x:v>
      </x:c>
      <x:c r="F595" s="4" t="n">
        <x:v>5304</x:v>
      </x:c>
      <x:c r="G595" s="5" t="n">
        <x:v>0.8919</x:v>
      </x:c>
      <x:c r="H595" s="5" t="n">
        <x:v>1</x:v>
      </x:c>
      <x:c r="I595" s="5" t="n">
        <x:v>0.6</x:v>
      </x:c>
      <x:c r="J595" s="4" t="n">
        <x:v>37</x:v>
      </x:c>
      <x:c r="K595" s="4" t="n">
        <x:v>33</x:v>
      </x:c>
      <x:c r="L595" s="4" t="n">
        <x:v>27</x:v>
      </x:c>
      <x:c r="M595" s="4" t="n">
        <x:v>27</x:v>
      </x:c>
      <x:c r="N595" s="4" t="n">
        <x:v>10</x:v>
      </x:c>
      <x:c r="O595" s="4" t="n">
        <x:v>6</x:v>
      </x:c>
      <x:c r="P595" s="1" t="str">
        <x:v>FAIL</x:v>
      </x:c>
      <x:c r="Q595" s="4" t="n">
        <x:v>40</x:v>
      </x:c>
      <x:c r="R595" s="1" t="str">
        <x:v>FAIL</x:v>
      </x:c>
      <x:c r="S595" s="4" t="n">
        <x:v>60</x:v>
      </x:c>
      <x:c r="T595" s="1" t="str">
        <x:v>INCONCLUSIVE</x:v>
      </x:c>
      <x:c r="U595" s="1" t="str">
        <x:v>Jsoup_86</x:v>
      </x:c>
      <x:c r="V595" s="6" t="n">
        <x:v>61.74</x:v>
      </x:c>
    </x:row>
    <x:row r="596" ht="22" customHeight="1">
      <x:c r="A596" s="1" t="str">
        <x:v>Round1</x:v>
      </x:c>
      <x:c r="B596" s="1" t="str">
        <x:v>Jsoup</x:v>
      </x:c>
      <x:c r="C596" s="4" t="n">
        <x:v>87</x:v>
      </x:c>
      <x:c r="D596" s="4" t="n">
        <x:v>0</x:v>
      </x:c>
      <x:c r="E596" s="4" t="n">
        <x:v>60</x:v>
      </x:c>
      <x:c r="F596" s="4" t="n">
        <x:v>4024</x:v>
      </x:c>
      <x:c r="G596" s="5" t="n">
        <x:v>0.3734</x:v>
      </x:c>
      <x:c r="H596" s="5" t="n">
        <x:v>0.4437</x:v>
      </x:c>
      <x:c r="I596" s="5" t="n">
        <x:v>0.2613</x:v>
      </x:c>
      <x:c r="J596" s="4" t="n">
        <x:v>3265</x:v>
      </x:c>
      <x:c r="K596" s="4" t="n">
        <x:v>1219</x:v>
      </x:c>
      <x:c r="L596" s="4" t="n">
        <x:v>2006</x:v>
      </x:c>
      <x:c r="M596" s="4" t="n">
        <x:v>890</x:v>
      </x:c>
      <x:c r="N596" s="4" t="n">
        <x:v>1259</x:v>
      </x:c>
      <x:c r="O596" s="4" t="n">
        <x:v>329</x:v>
      </x:c>
      <x:c r="P596" s="1" t="str">
        <x:v>FAIL</x:v>
      </x:c>
      <x:c r="Q596" s="4" t="n">
        <x:v>1018</x:v>
      </x:c>
      <x:c r="R596" s="1" t="str">
        <x:v>FAIL</x:v>
      </x:c>
      <x:c r="S596" s="4" t="n">
        <x:v>1018</x:v>
      </x:c>
      <x:c r="T596" s="1" t="str">
        <x:v>INCONCLUSIVE</x:v>
      </x:c>
      <x:c r="U596" s="1" t="str">
        <x:v>Jsoup_87</x:v>
      </x:c>
      <x:c r="V596" s="6" t="n">
        <x:v>65.55</x:v>
      </x:c>
    </x:row>
    <x:row r="597" ht="22" customHeight="1">
      <x:c r="A597" s="1" t="str">
        <x:v>Round1</x:v>
      </x:c>
      <x:c r="B597" s="1" t="str">
        <x:v>Jsoup</x:v>
      </x:c>
      <x:c r="C597" s="4" t="n">
        <x:v>88</x:v>
      </x:c>
      <x:c r="D597" s="4" t="n">
        <x:v>0</x:v>
      </x:c>
      <x:c r="E597" s="4" t="n">
        <x:v>60</x:v>
      </x:c>
      <x:c r="F597" s="4" t="n">
        <x:v>6080</x:v>
      </x:c>
      <x:c r="G597" s="5" t="n">
        <x:v>0.6121</x:v>
      </x:c>
      <x:c r="H597" s="5" t="n">
        <x:v>0.7424</x:v>
      </x:c>
      <x:c r="I597" s="5" t="n">
        <x:v>0.44</x:v>
      </x:c>
      <x:c r="J597" s="4" t="n">
        <x:v>116</x:v>
      </x:c>
      <x:c r="K597" s="4" t="n">
        <x:v>71</x:v>
      </x:c>
      <x:c r="L597" s="4" t="n">
        <x:v>66</x:v>
      </x:c>
      <x:c r="M597" s="4" t="n">
        <x:v>49</x:v>
      </x:c>
      <x:c r="N597" s="4" t="n">
        <x:v>50</x:v>
      </x:c>
      <x:c r="O597" s="4" t="n">
        <x:v>22</x:v>
      </x:c>
      <x:c r="P597" s="1" t="str">
        <x:v>FAIL</x:v>
      </x:c>
      <x:c r="Q597" s="4" t="n">
        <x:v>560</x:v>
      </x:c>
      <x:c r="R597" s="1" t="str">
        <x:v>FAIL</x:v>
      </x:c>
      <x:c r="S597" s="4" t="n">
        <x:v>560</x:v>
      </x:c>
      <x:c r="T597" s="1" t="str">
        <x:v>INCONCLUSIVE</x:v>
      </x:c>
      <x:c r="U597" s="1" t="str">
        <x:v>Jsoup_88</x:v>
      </x:c>
      <x:c r="V597" s="6" t="n">
        <x:v>55.41</x:v>
      </x:c>
    </x:row>
    <x:row r="598" ht="22" customHeight="1">
      <x:c r="A598" s="1" t="str">
        <x:v>Round1</x:v>
      </x:c>
      <x:c r="B598" s="1" t="str">
        <x:v>Jsoup</x:v>
      </x:c>
      <x:c r="C598" s="4" t="n">
        <x:v>89</x:v>
      </x:c>
      <x:c r="D598" s="4" t="n">
        <x:v>0</x:v>
      </x:c>
      <x:c r="E598" s="4" t="n">
        <x:v>60</x:v>
      </x:c>
      <x:c r="F598" s="4" t="n">
        <x:v>6128</x:v>
      </x:c>
      <x:c r="G598" s="5" t="n">
        <x:v>0.6121</x:v>
      </x:c>
      <x:c r="H598" s="5" t="n">
        <x:v>0.7424</x:v>
      </x:c>
      <x:c r="I598" s="5" t="n">
        <x:v>0.44</x:v>
      </x:c>
      <x:c r="J598" s="4" t="n">
        <x:v>116</x:v>
      </x:c>
      <x:c r="K598" s="4" t="n">
        <x:v>71</x:v>
      </x:c>
      <x:c r="L598" s="4" t="n">
        <x:v>66</x:v>
      </x:c>
      <x:c r="M598" s="4" t="n">
        <x:v>49</x:v>
      </x:c>
      <x:c r="N598" s="4" t="n">
        <x:v>50</x:v>
      </x:c>
      <x:c r="O598" s="4" t="n">
        <x:v>22</x:v>
      </x:c>
      <x:c r="P598" s="1" t="str">
        <x:v>FAIL</x:v>
      </x:c>
      <x:c r="Q598" s="4" t="n">
        <x:v>566</x:v>
      </x:c>
      <x:c r="R598" s="1" t="str">
        <x:v>FAIL</x:v>
      </x:c>
      <x:c r="S598" s="4" t="n">
        <x:v>406</x:v>
      </x:c>
      <x:c r="T598" s="1" t="str">
        <x:v>INCONCLUSIVE</x:v>
      </x:c>
      <x:c r="U598" s="1" t="str">
        <x:v>Jsoup_89</x:v>
      </x:c>
      <x:c r="V598" s="6" t="n">
        <x:v>52.11</x:v>
      </x:c>
    </x:row>
    <x:row r="599" ht="22" customHeight="1">
      <x:c r="A599" s="1" t="str">
        <x:v>Round1</x:v>
      </x:c>
      <x:c r="B599" s="1" t="str">
        <x:v>Jsoup</x:v>
      </x:c>
      <x:c r="C599" s="4" t="n">
        <x:v>90</x:v>
      </x:c>
      <x:c r="D599" s="4" t="n">
        <x:v>0</x:v>
      </x:c>
      <x:c r="E599" s="4" t="n">
        <x:v>60</x:v>
      </x:c>
      <x:c r="F599" s="4" t="n">
        <x:v>3450</x:v>
      </x:c>
      <x:c r="G599" s="5" t="n">
        <x:v>0.4301</x:v>
      </x:c>
      <x:c r="H599" s="5" t="n">
        <x:v>0.5034000000000001</x:v>
      </x:c>
      <x:c r="I599" s="5" t="n">
        <x:v>0.24359999999999998</x:v>
      </x:c>
      <x:c r="J599" s="4" t="n">
        <x:v>830</x:v>
      </x:c>
      <x:c r="K599" s="4" t="n">
        <x:v>357</x:v>
      </x:c>
      <x:c r="L599" s="4" t="n">
        <x:v>596</x:v>
      </x:c>
      <x:c r="M599" s="4" t="n">
        <x:v>300</x:v>
      </x:c>
      <x:c r="N599" s="4" t="n">
        <x:v>234</x:v>
      </x:c>
      <x:c r="O599" s="4" t="n">
        <x:v>57</x:v>
      </x:c>
      <x:c r="P599" s="1" t="str">
        <x:v>PASS</x:v>
      </x:c>
      <x:c r="Q599" s="4" t="n">
        <x:v>0</x:v>
      </x:c>
      <x:c r="R599" s="1" t="str">
        <x:v>PASS</x:v>
      </x:c>
      <x:c r="S599" s="4" t="n">
        <x:v>0</x:v>
      </x:c>
      <x:c r="T599" s="1" t="str">
        <x:v>NOT_REVEALING</x:v>
      </x:c>
      <x:c r="U599" s="1" t="str">
        <x:v>Jsoup_90</x:v>
      </x:c>
      <x:c r="V599" s="6" t="n">
        <x:v>62.54</x:v>
      </x:c>
    </x:row>
    <x:row r="600" ht="22" customHeight="1">
      <x:c r="A600" s="1" t="str">
        <x:v>Round1</x:v>
      </x:c>
      <x:c r="B600" s="1" t="str">
        <x:v>Jsoup</x:v>
      </x:c>
      <x:c r="C600" s="4" t="n">
        <x:v>91</x:v>
      </x:c>
      <x:c r="D600" s="4" t="n">
        <x:v>0</x:v>
      </x:c>
      <x:c r="E600" s="4" t="n">
        <x:v>60</x:v>
      </x:c>
      <x:c r="F600" s="4" t="n">
        <x:v>3455</x:v>
      </x:c>
      <x:c r="G600" s="5" t="n">
        <x:v>0.2551</x:v>
      </x:c>
      <x:c r="H600" s="5" t="n">
        <x:v>0.32130000000000003</x:v>
      </x:c>
      <x:c r="I600" s="5" t="n">
        <x:v>0.1684</x:v>
      </x:c>
      <x:c r="J600" s="4" t="n">
        <x:v>439</x:v>
      </x:c>
      <x:c r="K600" s="4" t="n">
        <x:v>112</x:v>
      </x:c>
      <x:c r="L600" s="4" t="n">
        <x:v>249</x:v>
      </x:c>
      <x:c r="M600" s="4" t="n">
        <x:v>80</x:v>
      </x:c>
      <x:c r="N600" s="4" t="n">
        <x:v>190</x:v>
      </x:c>
      <x:c r="O600" s="4" t="n">
        <x:v>32</x:v>
      </x:c>
      <x:c r="P600" s="1" t="str">
        <x:v>PASS</x:v>
      </x:c>
      <x:c r="Q600" s="4" t="n">
        <x:v>0</x:v>
      </x:c>
      <x:c r="R600" s="1" t="str">
        <x:v>PASS</x:v>
      </x:c>
      <x:c r="S600" s="4" t="n">
        <x:v>0</x:v>
      </x:c>
      <x:c r="T600" s="1" t="str">
        <x:v>NOT_REVEALING</x:v>
      </x:c>
      <x:c r="U600" s="1" t="str">
        <x:v>Jsoup_91</x:v>
      </x:c>
      <x:c r="V600" s="6" t="n">
        <x:v>71.95</x:v>
      </x:c>
    </x:row>
    <x:row r="601" ht="22" customHeight="1">
      <x:c r="A601" s="1" t="str">
        <x:v>Round1</x:v>
      </x:c>
      <x:c r="B601" s="1" t="str">
        <x:v>Jsoup</x:v>
      </x:c>
      <x:c r="C601" s="4" t="n">
        <x:v>92</x:v>
      </x:c>
      <x:c r="D601" s="4" t="n">
        <x:v>0</x:v>
      </x:c>
      <x:c r="E601" s="4" t="n">
        <x:v>60</x:v>
      </x:c>
      <x:c r="F601" s="4" t="n">
        <x:v>4226</x:v>
      </x:c>
      <x:c r="G601" s="5" t="n">
        <x:v>0.5207</x:v>
      </x:c>
      <x:c r="H601" s="5" t="n">
        <x:v>0.5945</x:v>
      </x:c>
      <x:c r="I601" s="5" t="n">
        <x:v>0.35810000000000003</x:v>
      </x:c>
      <x:c r="J601" s="4" t="n">
        <x:v>1162</x:v>
      </x:c>
      <x:c r="K601" s="4" t="n">
        <x:v>605</x:v>
      </x:c>
      <x:c r="L601" s="4" t="n">
        <x:v>799</x:v>
      </x:c>
      <x:c r="M601" s="4" t="n">
        <x:v>475</x:v>
      </x:c>
      <x:c r="N601" s="4" t="n">
        <x:v>363</x:v>
      </x:c>
      <x:c r="O601" s="4" t="n">
        <x:v>130</x:v>
      </x:c>
      <x:c r="P601" s="1" t="str">
        <x:v>FAIL</x:v>
      </x:c>
      <x:c r="Q601" s="4" t="n">
        <x:v>1016</x:v>
      </x:c>
      <x:c r="R601" s="1" t="str">
        <x:v>FAIL</x:v>
      </x:c>
      <x:c r="S601" s="4" t="n">
        <x:v>1022</x:v>
      </x:c>
      <x:c r="T601" s="1" t="str">
        <x:v>INCONCLUSIVE</x:v>
      </x:c>
      <x:c r="U601" s="1" t="str">
        <x:v>Jsoup_92</x:v>
      </x:c>
      <x:c r="V601" s="6" t="n">
        <x:v>61.54</x:v>
      </x:c>
    </x:row>
    <x:row r="602" ht="22" customHeight="1">
      <x:c r="A602" s="1" t="str">
        <x:v>Round1</x:v>
      </x:c>
      <x:c r="B602" s="1" t="str">
        <x:v>Jsoup</x:v>
      </x:c>
      <x:c r="C602" s="4" t="n">
        <x:v>93</x:v>
      </x:c>
      <x:c r="D602" s="4" t="n">
        <x:v>0</x:v>
      </x:c>
      <x:c r="E602" s="4" t="n">
        <x:v>60</x:v>
      </x:c>
      <x:c r="F602" s="4" t="n">
        <x:v>3</x:v>
      </x:c>
      <x:c r="G602" s="5" t="n">
        <x:v>0.0143</x:v>
      </x:c>
      <x:c r="H602" s="5" t="n">
        <x:v>0.023799999999999998</x:v>
      </x:c>
      <x:c r="I602" s="5" t="n">
        <x:v>0</x:v>
      </x:c>
      <x:c r="J602" s="4" t="n">
        <x:v>70</x:v>
      </x:c>
      <x:c r="K602" s="4" t="n">
        <x:v>1</x:v>
      </x:c>
      <x:c r="L602" s="4" t="n">
        <x:v>42</x:v>
      </x:c>
      <x:c r="M602" s="4" t="n">
        <x:v>1</x:v>
      </x:c>
      <x:c r="N602" s="4" t="n">
        <x:v>28</x:v>
      </x:c>
      <x:c r="O602" s="4" t="n">
        <x:v>0</x:v>
      </x:c>
      <x:c r="P602" s="1" t="str">
        <x:v>PASS</x:v>
      </x:c>
      <x:c r="Q602" s="4" t="n">
        <x:v>0</x:v>
      </x:c>
      <x:c r="R602" s="1" t="str">
        <x:v>PASS</x:v>
      </x:c>
      <x:c r="S602" s="4" t="n">
        <x:v>0</x:v>
      </x:c>
      <x:c r="T602" s="1" t="str">
        <x:v>NOT_REVEALING</x:v>
      </x:c>
      <x:c r="U602" s="1" t="str">
        <x:v>Jsoup_93</x:v>
      </x:c>
      <x:c r="V602" s="6" t="n">
        <x:v>29.29</x:v>
      </x:c>
    </x:row>
    <x:row r="603" ht="22" customHeight="1">
      <x:c r="A603" s="1" t="str">
        <x:v>Round1</x:v>
      </x:c>
      <x:c r="B603" s="1" t="str">
        <x:v>JxPath</x:v>
      </x:c>
      <x:c r="C603" s="4" t="n">
        <x:v>1</x:v>
      </x:c>
      <x:c r="D603" s="4" t="n">
        <x:v>0</x:v>
      </x:c>
      <x:c r="E603" s="4" t="n">
        <x:v>60</x:v>
      </x:c>
      <x:c r="F603" s="4" t="n">
        <x:v>37</x:v>
      </x:c>
      <x:c r="G603" s="5" t="n">
        <x:v>0.07980000000000001</x:v>
      </x:c>
      <x:c r="H603" s="5" t="n">
        <x:v>0.09570000000000001</x:v>
      </x:c>
      <x:c r="I603" s="5" t="n">
        <x:v>0.0576</x:v>
      </x:c>
      <x:c r="J603" s="4" t="n">
        <x:v>1329</x:v>
      </x:c>
      <x:c r="K603" s="4" t="n">
        <x:v>106</x:v>
      </x:c>
      <x:c r="L603" s="4" t="n">
        <x:v>773</x:v>
      </x:c>
      <x:c r="M603" s="4" t="n">
        <x:v>74</x:v>
      </x:c>
      <x:c r="N603" s="4" t="n">
        <x:v>556</x:v>
      </x:c>
      <x:c r="O603" s="4" t="n">
        <x:v>32</x:v>
      </x:c>
      <x:c r="P603" s="1" t="str">
        <x:v>PASS</x:v>
      </x:c>
      <x:c r="Q603" s="4" t="n">
        <x:v>0</x:v>
      </x:c>
      <x:c r="R603" s="1" t="str">
        <x:v>PASS</x:v>
      </x:c>
      <x:c r="S603" s="4" t="n">
        <x:v>0</x:v>
      </x:c>
      <x:c r="T603" s="1" t="str">
        <x:v>NOT_REVEALING</x:v>
      </x:c>
      <x:c r="U603" s="1" t="str">
        <x:v>JxPath_1</x:v>
      </x:c>
      <x:c r="V603" s="6" t="n">
        <x:v>23.34</x:v>
      </x:c>
    </x:row>
    <x:row r="604" ht="22" customHeight="1">
      <x:c r="A604" s="1" t="str">
        <x:v>Round1</x:v>
      </x:c>
      <x:c r="B604" s="1" t="str">
        <x:v>JxPath</x:v>
      </x:c>
      <x:c r="C604" s="4" t="n">
        <x:v>2</x:v>
      </x:c>
      <x:c r="D604" s="4" t="n">
        <x:v>0</x:v>
      </x:c>
      <x:c r="E604" s="4" t="n">
        <x:v>60</x:v>
      </x:c>
      <x:c r="F604" s="4" t="n">
        <x:v>45</x:v>
      </x:c>
      <x:c r="G604" s="5" t="n">
        <x:v>0.34</x:v>
      </x:c>
      <x:c r="H604" s="5" t="n">
        <x:v>0.4474</x:v>
      </x:c>
      <x:c r="I604" s="5" t="n">
        <x:v>0</x:v>
      </x:c>
      <x:c r="J604" s="4" t="n">
        <x:v>50</x:v>
      </x:c>
      <x:c r="K604" s="4" t="n">
        <x:v>17</x:v>
      </x:c>
      <x:c r="L604" s="4" t="n">
        <x:v>38</x:v>
      </x:c>
      <x:c r="M604" s="4" t="n">
        <x:v>17</x:v>
      </x:c>
      <x:c r="N604" s="4" t="n">
        <x:v>12</x:v>
      </x:c>
      <x:c r="O604" s="4" t="n">
        <x:v>0</x:v>
      </x:c>
      <x:c r="P604" s="1" t="str">
        <x:v>PASS</x:v>
      </x:c>
      <x:c r="Q604" s="4" t="n">
        <x:v>0</x:v>
      </x:c>
      <x:c r="R604" s="1" t="str">
        <x:v>PASS</x:v>
      </x:c>
      <x:c r="S604" s="4" t="n">
        <x:v>0</x:v>
      </x:c>
      <x:c r="T604" s="1" t="str">
        <x:v>NOT_REVEALING</x:v>
      </x:c>
      <x:c r="U604" s="1" t="str">
        <x:v>JxPath_2</x:v>
      </x:c>
      <x:c r="V604" s="6" t="n">
        <x:v>23.56</x:v>
      </x:c>
    </x:row>
    <x:row r="605" ht="22" customHeight="1">
      <x:c r="A605" s="1" t="str">
        <x:v>Round1</x:v>
      </x:c>
      <x:c r="B605" s="1" t="str">
        <x:v>JxPath</x:v>
      </x:c>
      <x:c r="C605" s="4" t="n">
        <x:v>3</x:v>
      </x:c>
      <x:c r="D605" s="4" t="n">
        <x:v>0</x:v>
      </x:c>
      <x:c r="E605" s="4" t="n">
        <x:v>60</x:v>
      </x:c>
      <x:c r="F605" s="4" t="n">
        <x:v>41</x:v>
      </x:c>
      <x:c r="G605" s="5" t="n">
        <x:v>0.2913</x:v>
      </x:c>
      <x:c r="H605" s="5" t="n">
        <x:v>0.2987</x:v>
      </x:c>
      <x:c r="I605" s="5" t="n">
        <x:v>0.2692</x:v>
      </x:c>
      <x:c r="J605" s="4" t="n">
        <x:v>103</x:v>
      </x:c>
      <x:c r="K605" s="4" t="n">
        <x:v>30</x:v>
      </x:c>
      <x:c r="L605" s="4" t="n">
        <x:v>77</x:v>
      </x:c>
      <x:c r="M605" s="4" t="n">
        <x:v>23</x:v>
      </x:c>
      <x:c r="N605" s="4" t="n">
        <x:v>26</x:v>
      </x:c>
      <x:c r="O605" s="4" t="n">
        <x:v>7</x:v>
      </x:c>
      <x:c r="P605" s="1" t="str">
        <x:v>PASS</x:v>
      </x:c>
      <x:c r="Q605" s="4" t="n">
        <x:v>0</x:v>
      </x:c>
      <x:c r="R605" s="1" t="str">
        <x:v>PASS</x:v>
      </x:c>
      <x:c r="S605" s="4" t="n">
        <x:v>0</x:v>
      </x:c>
      <x:c r="T605" s="1" t="str">
        <x:v>NOT_REVEALING</x:v>
      </x:c>
      <x:c r="U605" s="1" t="str">
        <x:v>JxPath_3</x:v>
      </x:c>
      <x:c r="V605" s="6" t="n">
        <x:v>24.25</x:v>
      </x:c>
    </x:row>
    <x:row r="606" ht="22" customHeight="1">
      <x:c r="A606" s="1" t="str">
        <x:v>Round1</x:v>
      </x:c>
      <x:c r="B606" s="1" t="str">
        <x:v>JxPath</x:v>
      </x:c>
      <x:c r="C606" s="4" t="n">
        <x:v>4</x:v>
      </x:c>
      <x:c r="D606" s="4" t="n">
        <x:v>0</x:v>
      </x:c>
      <x:c r="E606" s="4" t="n">
        <x:v>60</x:v>
      </x:c>
      <x:c r="F606" s="4" t="n">
        <x:v>35</x:v>
      </x:c>
      <x:c r="G606" s="5" t="n">
        <x:v>0.081</x:v>
      </x:c>
      <x:c r="H606" s="5" t="n">
        <x:v>0.0973</x:v>
      </x:c>
      <x:c r="I606" s="5" t="n">
        <x:v>0.058600000000000006</x:v>
      </x:c>
      <x:c r="J606" s="4" t="n">
        <x:v>1296</x:v>
      </x:c>
      <x:c r="K606" s="4" t="n">
        <x:v>105</x:v>
      </x:c>
      <x:c r="L606" s="4" t="n">
        <x:v>750</x:v>
      </x:c>
      <x:c r="M606" s="4" t="n">
        <x:v>73</x:v>
      </x:c>
      <x:c r="N606" s="4" t="n">
        <x:v>546</x:v>
      </x:c>
      <x:c r="O606" s="4" t="n">
        <x:v>32</x:v>
      </x:c>
      <x:c r="P606" s="1" t="str">
        <x:v>PASS</x:v>
      </x:c>
      <x:c r="Q606" s="4" t="n">
        <x:v>0</x:v>
      </x:c>
      <x:c r="R606" s="1" t="str">
        <x:v>PASS</x:v>
      </x:c>
      <x:c r="S606" s="4" t="n">
        <x:v>0</x:v>
      </x:c>
      <x:c r="T606" s="1" t="str">
        <x:v>NOT_REVEALING</x:v>
      </x:c>
      <x:c r="U606" s="1" t="str">
        <x:v>JxPath_4</x:v>
      </x:c>
      <x:c r="V606" s="6" t="n">
        <x:v>26.29</x:v>
      </x:c>
    </x:row>
    <x:row r="607" ht="22" customHeight="1">
      <x:c r="A607" s="1" t="str">
        <x:v>Round1</x:v>
      </x:c>
      <x:c r="B607" s="1" t="str">
        <x:v>JxPath</x:v>
      </x:c>
      <x:c r="C607" s="4" t="n">
        <x:v>5</x:v>
      </x:c>
      <x:c r="D607" s="4" t="n">
        <x:v>0</x:v>
      </x:c>
      <x:c r="E607" s="4" t="n">
        <x:v>60</x:v>
      </x:c>
      <x:c r="F607" s="4" t="n">
        <x:v>36</x:v>
      </x:c>
      <x:c r="G607" s="5" t="n">
        <x:v>0.32689999999999997</x:v>
      </x:c>
      <x:c r="H607" s="5" t="n">
        <x:v>0.419</x:v>
      </x:c>
      <x:c r="I607" s="5" t="n">
        <x:v>0.2</x:v>
      </x:c>
      <x:c r="J607" s="4" t="n">
        <x:v>309</x:v>
      </x:c>
      <x:c r="K607" s="4" t="n">
        <x:v>101</x:v>
      </x:c>
      <x:c r="L607" s="4" t="n">
        <x:v>179</x:v>
      </x:c>
      <x:c r="M607" s="4" t="n">
        <x:v>75</x:v>
      </x:c>
      <x:c r="N607" s="4" t="n">
        <x:v>130</x:v>
      </x:c>
      <x:c r="O607" s="4" t="n">
        <x:v>26</x:v>
      </x:c>
      <x:c r="P607" s="1" t="str">
        <x:v>PASS</x:v>
      </x:c>
      <x:c r="Q607" s="4" t="n">
        <x:v>0</x:v>
      </x:c>
      <x:c r="R607" s="1" t="str">
        <x:v>PASS</x:v>
      </x:c>
      <x:c r="S607" s="4" t="n">
        <x:v>0</x:v>
      </x:c>
      <x:c r="T607" s="1" t="str">
        <x:v>NOT_REVEALING</x:v>
      </x:c>
      <x:c r="U607" s="1" t="str">
        <x:v>JxPath_5</x:v>
      </x:c>
      <x:c r="V607" s="6" t="n">
        <x:v>26.61</x:v>
      </x:c>
    </x:row>
    <x:row r="608" ht="22" customHeight="1">
      <x:c r="A608" s="1" t="str">
        <x:v>Round1</x:v>
      </x:c>
      <x:c r="B608" s="1" t="str">
        <x:v>JxPath</x:v>
      </x:c>
      <x:c r="C608" s="4" t="n">
        <x:v>6</x:v>
      </x:c>
      <x:c r="D608" s="4" t="n">
        <x:v>0</x:v>
      </x:c>
      <x:c r="E608" s="4" t="n">
        <x:v>60</x:v>
      </x:c>
      <x:c r="F608" s="4" t="n">
        <x:v>1</x:v>
      </x:c>
      <x:c r="G608" s="5" t="n">
        <x:v>0</x:v>
      </x:c>
      <x:c r="H608" s="5" t="n">
        <x:v>0</x:v>
      </x:c>
      <x:c r="I608" s="5" t="n">
        <x:v>0</x:v>
      </x:c>
      <x:c r="J608" s="4" t="n">
        <x:v>115</x:v>
      </x:c>
      <x:c r="K608" s="4" t="n">
        <x:v>0</x:v>
      </x:c>
      <x:c r="L608" s="4" t="n">
        <x:v>49</x:v>
      </x:c>
      <x:c r="M608" s="4" t="n">
        <x:v>0</x:v>
      </x:c>
      <x:c r="N608" s="4" t="n">
        <x:v>66</x:v>
      </x:c>
      <x:c r="O608" s="4" t="n">
        <x:v>0</x:v>
      </x:c>
      <x:c r="P608" s="1" t="str">
        <x:v>PASS</x:v>
      </x:c>
      <x:c r="Q608" s="4" t="n">
        <x:v>0</x:v>
      </x:c>
      <x:c r="R608" s="1" t="str">
        <x:v>PASS</x:v>
      </x:c>
      <x:c r="S608" s="4" t="n">
        <x:v>0</x:v>
      </x:c>
      <x:c r="T608" s="1" t="str">
        <x:v>NOT_REVEALING</x:v>
      </x:c>
      <x:c r="U608" s="1" t="str">
        <x:v>JxPath_6</x:v>
      </x:c>
      <x:c r="V608" s="6" t="n">
        <x:v>24.06</x:v>
      </x:c>
    </x:row>
    <x:row r="609" ht="22" customHeight="1">
      <x:c r="A609" s="1" t="str">
        <x:v>Round1</x:v>
      </x:c>
      <x:c r="B609" s="1" t="str">
        <x:v>JxPath</x:v>
      </x:c>
      <x:c r="C609" s="4" t="n">
        <x:v>7</x:v>
      </x:c>
      <x:c r="D609" s="4" t="n">
        <x:v>0</x:v>
      </x:c>
      <x:c r="E609" s="4" t="n">
        <x:v>60</x:v>
      </x:c>
      <x:c r="F609" s="4" t="n">
        <x:v>32</x:v>
      </x:c>
      <x:c r="G609" s="5" t="n">
        <x:v>0.5278</x:v>
      </x:c>
      <x:c r="H609" s="5" t="n">
        <x:v>0.6786</x:v>
      </x:c>
      <x:c r="I609" s="5" t="n">
        <x:v>0</x:v>
      </x:c>
      <x:c r="J609" s="4" t="n">
        <x:v>36</x:v>
      </x:c>
      <x:c r="K609" s="4" t="n">
        <x:v>19</x:v>
      </x:c>
      <x:c r="L609" s="4" t="n">
        <x:v>28</x:v>
      </x:c>
      <x:c r="M609" s="4" t="n">
        <x:v>19</x:v>
      </x:c>
      <x:c r="N609" s="4" t="n">
        <x:v>8</x:v>
      </x:c>
      <x:c r="O609" s="4" t="n">
        <x:v>0</x:v>
      </x:c>
      <x:c r="P609" s="1" t="str">
        <x:v>PASS</x:v>
      </x:c>
      <x:c r="Q609" s="4" t="n">
        <x:v>0</x:v>
      </x:c>
      <x:c r="R609" s="1" t="str">
        <x:v>PASS</x:v>
      </x:c>
      <x:c r="S609" s="4" t="n">
        <x:v>0</x:v>
      </x:c>
      <x:c r="T609" s="1" t="str">
        <x:v>NOT_REVEALING</x:v>
      </x:c>
      <x:c r="U609" s="1" t="str">
        <x:v>JxPath_7</x:v>
      </x:c>
      <x:c r="V609" s="6" t="n">
        <x:v>25.91</x:v>
      </x:c>
    </x:row>
    <x:row r="610" ht="22" customHeight="1">
      <x:c r="A610" s="1" t="str">
        <x:v>Round1</x:v>
      </x:c>
      <x:c r="B610" s="1" t="str">
        <x:v>JxPath</x:v>
      </x:c>
      <x:c r="C610" s="4" t="n">
        <x:v>8</x:v>
      </x:c>
      <x:c r="D610" s="4" t="n">
        <x:v>0</x:v>
      </x:c>
      <x:c r="E610" s="4" t="n">
        <x:v>60</x:v>
      </x:c>
      <x:c r="F610" s="4" t="n">
        <x:v>1</x:v>
      </x:c>
      <x:c r="G610" s="5" t="n">
        <x:v>0</x:v>
      </x:c>
      <x:c r="H610" s="5" t="n">
        <x:v>0</x:v>
      </x:c>
      <x:c r="I610" s="5" t="n">
        <x:v>0</x:v>
      </x:c>
      <x:c r="J610" s="4" t="n">
        <x:v>71</x:v>
      </x:c>
      <x:c r="K610" s="4" t="n">
        <x:v>0</x:v>
      </x:c>
      <x:c r="L610" s="4" t="n">
        <x:v>39</x:v>
      </x:c>
      <x:c r="M610" s="4" t="n">
        <x:v>0</x:v>
      </x:c>
      <x:c r="N610" s="4" t="n">
        <x:v>32</x:v>
      </x:c>
      <x:c r="O610" s="4" t="n">
        <x:v>0</x:v>
      </x:c>
      <x:c r="P610" s="1" t="str">
        <x:v>PASS</x:v>
      </x:c>
      <x:c r="Q610" s="4" t="n">
        <x:v>0</x:v>
      </x:c>
      <x:c r="R610" s="1" t="str">
        <x:v>PASS</x:v>
      </x:c>
      <x:c r="S610" s="4" t="n">
        <x:v>0</x:v>
      </x:c>
      <x:c r="T610" s="1" t="str">
        <x:v>NOT_REVEALING</x:v>
      </x:c>
      <x:c r="U610" s="1" t="str">
        <x:v>JxPath_8</x:v>
      </x:c>
      <x:c r="V610" s="6" t="n">
        <x:v>18.33</x:v>
      </x:c>
    </x:row>
    <x:row r="611" ht="22" customHeight="1">
      <x:c r="A611" s="1" t="str">
        <x:v>Round1</x:v>
      </x:c>
      <x:c r="B611" s="1" t="str">
        <x:v>JxPath</x:v>
      </x:c>
      <x:c r="C611" s="4" t="n">
        <x:v>9</x:v>
      </x:c>
      <x:c r="D611" s="4" t="n">
        <x:v>0</x:v>
      </x:c>
      <x:c r="E611" s="4" t="n">
        <x:v>60</x:v>
      </x:c>
      <x:c r="F611" s="4" t="n">
        <x:v>31</x:v>
      </x:c>
      <x:c r="G611" s="5" t="n">
        <x:v>0.11630000000000001</x:v>
      </x:c>
      <x:c r="H611" s="5" t="n">
        <x:v>0.23809999999999998</x:v>
      </x:c>
      <x:c r="I611" s="5" t="n">
        <x:v>0</x:v>
      </x:c>
      <x:c r="J611" s="4" t="n">
        <x:v>129</x:v>
      </x:c>
      <x:c r="K611" s="4" t="n">
        <x:v>15</x:v>
      </x:c>
      <x:c r="L611" s="4" t="n">
        <x:v>63</x:v>
      </x:c>
      <x:c r="M611" s="4" t="n">
        <x:v>15</x:v>
      </x:c>
      <x:c r="N611" s="4" t="n">
        <x:v>66</x:v>
      </x:c>
      <x:c r="O611" s="4" t="n">
        <x:v>0</x:v>
      </x:c>
      <x:c r="P611" s="1" t="str">
        <x:v>PASS</x:v>
      </x:c>
      <x:c r="Q611" s="4" t="n">
        <x:v>0</x:v>
      </x:c>
      <x:c r="R611" s="1" t="str">
        <x:v>PASS</x:v>
      </x:c>
      <x:c r="S611" s="4" t="n">
        <x:v>0</x:v>
      </x:c>
      <x:c r="T611" s="1" t="str">
        <x:v>NOT_REVEALING</x:v>
      </x:c>
      <x:c r="U611" s="1" t="str">
        <x:v>JxPath_9</x:v>
      </x:c>
      <x:c r="V611" s="6" t="n">
        <x:v>17.83</x:v>
      </x:c>
    </x:row>
    <x:row r="612" ht="22" customHeight="1">
      <x:c r="A612" s="1" t="str">
        <x:v>Round1</x:v>
      </x:c>
      <x:c r="B612" s="1" t="str">
        <x:v>JxPath</x:v>
      </x:c>
      <x:c r="C612" s="4" t="n">
        <x:v>10</x:v>
      </x:c>
      <x:c r="D612" s="4" t="n">
        <x:v>0</x:v>
      </x:c>
      <x:c r="E612" s="4" t="n">
        <x:v>60</x:v>
      </x:c>
      <x:c r="F612" s="4" t="n">
        <x:v>1</x:v>
      </x:c>
      <x:c r="G612" s="5" t="n">
        <x:v>0</x:v>
      </x:c>
      <x:c r="H612" s="5" t="n">
        <x:v>0</x:v>
      </x:c>
      <x:c r="I612" s="5" t="n">
        <x:v>0</x:v>
      </x:c>
      <x:c r="J612" s="4" t="n">
        <x:v>79</x:v>
      </x:c>
      <x:c r="K612" s="4" t="n">
        <x:v>0</x:v>
      </x:c>
      <x:c r="L612" s="4" t="n">
        <x:v>43</x:v>
      </x:c>
      <x:c r="M612" s="4" t="n">
        <x:v>0</x:v>
      </x:c>
      <x:c r="N612" s="4" t="n">
        <x:v>36</x:v>
      </x:c>
      <x:c r="O612" s="4" t="n">
        <x:v>0</x:v>
      </x:c>
      <x:c r="P612" s="1" t="str">
        <x:v>PASS</x:v>
      </x:c>
      <x:c r="Q612" s="4" t="n">
        <x:v>0</x:v>
      </x:c>
      <x:c r="R612" s="1" t="str">
        <x:v>PASS</x:v>
      </x:c>
      <x:c r="S612" s="4" t="n">
        <x:v>0</x:v>
      </x:c>
      <x:c r="T612" s="1" t="str">
        <x:v>NOT_REVEALING</x:v>
      </x:c>
      <x:c r="U612" s="1" t="str">
        <x:v>JxPath_10</x:v>
      </x:c>
      <x:c r="V612" s="6" t="n">
        <x:v>17.74</x:v>
      </x:c>
    </x:row>
    <x:row r="613" ht="22" customHeight="1">
      <x:c r="A613" s="1" t="str">
        <x:v>Round1</x:v>
      </x:c>
      <x:c r="B613" s="1" t="str">
        <x:v>JxPath</x:v>
      </x:c>
      <x:c r="C613" s="4" t="n">
        <x:v>11</x:v>
      </x:c>
      <x:c r="D613" s="4" t="n">
        <x:v>0</x:v>
      </x:c>
      <x:c r="E613" s="4" t="n">
        <x:v>60</x:v>
      </x:c>
      <x:c r="F613" s="4" t="n">
        <x:v>3</x:v>
      </x:c>
      <x:c r="G613" s="5" t="n">
        <x:v>0.051500000000000004</x:v>
      </x:c>
      <x:c r="H613" s="5" t="n">
        <x:v>0.0909</x:v>
      </x:c>
      <x:c r="I613" s="5" t="n">
        <x:v>0</x:v>
      </x:c>
      <x:c r="J613" s="4" t="n">
        <x:v>194</x:v>
      </x:c>
      <x:c r="K613" s="4" t="n">
        <x:v>10</x:v>
      </x:c>
      <x:c r="L613" s="4" t="n">
        <x:v>110</x:v>
      </x:c>
      <x:c r="M613" s="4" t="n">
        <x:v>10</x:v>
      </x:c>
      <x:c r="N613" s="4" t="n">
        <x:v>84</x:v>
      </x:c>
      <x:c r="O613" s="4" t="n">
        <x:v>0</x:v>
      </x:c>
      <x:c r="P613" s="1" t="str">
        <x:v>PASS</x:v>
      </x:c>
      <x:c r="Q613" s="4" t="n">
        <x:v>0</x:v>
      </x:c>
      <x:c r="R613" s="1" t="str">
        <x:v>PASS</x:v>
      </x:c>
      <x:c r="S613" s="4" t="n">
        <x:v>0</x:v>
      </x:c>
      <x:c r="T613" s="1" t="str">
        <x:v>NOT_REVEALING</x:v>
      </x:c>
      <x:c r="U613" s="1" t="str">
        <x:v>JxPath_11</x:v>
      </x:c>
      <x:c r="V613" s="6" t="n">
        <x:v>19.26</x:v>
      </x:c>
    </x:row>
    <x:row r="614" ht="22" customHeight="1">
      <x:c r="A614" s="1" t="str">
        <x:v>Round1</x:v>
      </x:c>
      <x:c r="B614" s="1" t="str">
        <x:v>JxPath</x:v>
      </x:c>
      <x:c r="C614" s="4" t="n">
        <x:v>12</x:v>
      </x:c>
      <x:c r="D614" s="4" t="n">
        <x:v>0</x:v>
      </x:c>
      <x:c r="E614" s="4" t="n">
        <x:v>60</x:v>
      </x:c>
      <x:c r="F614" s="4" t="n">
        <x:v>31</x:v>
      </x:c>
      <x:c r="G614" s="5" t="n">
        <x:v>0.11939999999999999</x:v>
      </x:c>
      <x:c r="H614" s="5" t="n">
        <x:v>0.1524</x:v>
      </x:c>
      <x:c r="I614" s="5" t="n">
        <x:v>0.07490000000000001</x:v>
      </x:c>
      <x:c r="J614" s="4" t="n">
        <x:v>628</x:v>
      </x:c>
      <x:c r="K614" s="4" t="n">
        <x:v>75</x:v>
      </x:c>
      <x:c r="L614" s="4" t="n">
        <x:v>361</x:v>
      </x:c>
      <x:c r="M614" s="4" t="n">
        <x:v>55</x:v>
      </x:c>
      <x:c r="N614" s="4" t="n">
        <x:v>267</x:v>
      </x:c>
      <x:c r="O614" s="4" t="n">
        <x:v>20</x:v>
      </x:c>
      <x:c r="P614" s="1" t="str">
        <x:v>PASS</x:v>
      </x:c>
      <x:c r="Q614" s="4" t="n">
        <x:v>0</x:v>
      </x:c>
      <x:c r="R614" s="1" t="str">
        <x:v>PASS</x:v>
      </x:c>
      <x:c r="S614" s="4" t="n">
        <x:v>0</x:v>
      </x:c>
      <x:c r="T614" s="1" t="str">
        <x:v>NOT_REVEALING</x:v>
      </x:c>
      <x:c r="U614" s="1" t="str">
        <x:v>JxPath_12</x:v>
      </x:c>
      <x:c r="V614" s="6" t="n">
        <x:v>20.81</x:v>
      </x:c>
    </x:row>
    <x:row r="615" ht="22" customHeight="1">
      <x:c r="A615" s="1" t="str">
        <x:v>Round1</x:v>
      </x:c>
      <x:c r="B615" s="1" t="str">
        <x:v>JxPath</x:v>
      </x:c>
      <x:c r="C615" s="4" t="n">
        <x:v>13</x:v>
      </x:c>
      <x:c r="D615" s="4" t="n">
        <x:v>0</x:v>
      </x:c>
      <x:c r="E615" s="4" t="n">
        <x:v>60</x:v>
      </x:c>
      <x:c r="F615" s="4" t="n">
        <x:v>36</x:v>
      </x:c>
      <x:c r="G615" s="5" t="n">
        <x:v>0.08789999999999999</x:v>
      </x:c>
      <x:c r="H615" s="5" t="n">
        <x:v>0.1159</x:v>
      </x:c>
      <x:c r="I615" s="5" t="n">
        <x:v>0.0495</x:v>
      </x:c>
      <x:c r="J615" s="4" t="n">
        <x:v>717</x:v>
      </x:c>
      <x:c r="K615" s="4" t="n">
        <x:v>63</x:v>
      </x:c>
      <x:c r="L615" s="4" t="n">
        <x:v>414</x:v>
      </x:c>
      <x:c r="M615" s="4" t="n">
        <x:v>48</x:v>
      </x:c>
      <x:c r="N615" s="4" t="n">
        <x:v>303</x:v>
      </x:c>
      <x:c r="O615" s="4" t="n">
        <x:v>15</x:v>
      </x:c>
      <x:c r="P615" s="1" t="str">
        <x:v>PASS</x:v>
      </x:c>
      <x:c r="Q615" s="4" t="n">
        <x:v>0</x:v>
      </x:c>
      <x:c r="R615" s="1" t="str">
        <x:v>PASS</x:v>
      </x:c>
      <x:c r="S615" s="4" t="n">
        <x:v>0</x:v>
      </x:c>
      <x:c r="T615" s="1" t="str">
        <x:v>NOT_REVEALING</x:v>
      </x:c>
      <x:c r="U615" s="1" t="str">
        <x:v>JxPath_13</x:v>
      </x:c>
      <x:c r="V615" s="6" t="n">
        <x:v>21.29</x:v>
      </x:c>
    </x:row>
    <x:row r="616" ht="22" customHeight="1">
      <x:c r="A616" s="1" t="str">
        <x:v>Round1</x:v>
      </x:c>
      <x:c r="B616" s="1" t="str">
        <x:v>JxPath</x:v>
      </x:c>
      <x:c r="C616" s="4" t="n">
        <x:v>14</x:v>
      </x:c>
      <x:c r="D616" s="4" t="n">
        <x:v>0</x:v>
      </x:c>
      <x:c r="E616" s="4" t="n">
        <x:v>60</x:v>
      </x:c>
      <x:c r="F616" s="4" t="n">
        <x:v>29</x:v>
      </x:c>
      <x:c r="G616" s="5" t="n">
        <x:v>0.1323</x:v>
      </x:c>
      <x:c r="H616" s="5" t="n">
        <x:v>0.1634</x:v>
      </x:c>
      <x:c r="I616" s="5" t="n">
        <x:v>0.0802</x:v>
      </x:c>
      <x:c r="J616" s="4" t="n">
        <x:v>567</x:v>
      </x:c>
      <x:c r="K616" s="4" t="n">
        <x:v>75</x:v>
      </x:c>
      <x:c r="L616" s="4" t="n">
        <x:v>355</x:v>
      </x:c>
      <x:c r="M616" s="4" t="n">
        <x:v>58</x:v>
      </x:c>
      <x:c r="N616" s="4" t="n">
        <x:v>212</x:v>
      </x:c>
      <x:c r="O616" s="4" t="n">
        <x:v>17</x:v>
      </x:c>
      <x:c r="P616" s="1" t="str">
        <x:v>PASS</x:v>
      </x:c>
      <x:c r="Q616" s="4" t="n">
        <x:v>0</x:v>
      </x:c>
      <x:c r="R616" s="1" t="str">
        <x:v>PASS</x:v>
      </x:c>
      <x:c r="S616" s="4" t="n">
        <x:v>0</x:v>
      </x:c>
      <x:c r="T616" s="1" t="str">
        <x:v>NOT_REVEALING</x:v>
      </x:c>
      <x:c r="U616" s="1" t="str">
        <x:v>JxPath_14</x:v>
      </x:c>
      <x:c r="V616" s="6" t="n">
        <x:v>20.83</x:v>
      </x:c>
    </x:row>
    <x:row r="617" ht="22" customHeight="1">
      <x:c r="A617" s="1" t="str">
        <x:v>Round1</x:v>
      </x:c>
      <x:c r="B617" s="1" t="str">
        <x:v>JxPath</x:v>
      </x:c>
      <x:c r="C617" s="4" t="n">
        <x:v>15</x:v>
      </x:c>
      <x:c r="D617" s="4" t="n">
        <x:v>0</x:v>
      </x:c>
      <x:c r="E617" s="4" t="n">
        <x:v>60</x:v>
      </x:c>
      <x:c r="F617" s="4" t="n">
        <x:v>59</x:v>
      </x:c>
      <x:c r="G617" s="5" t="n">
        <x:v>0.4667</x:v>
      </x:c>
      <x:c r="H617" s="5" t="n">
        <x:v>0.6111</x:v>
      </x:c>
      <x:c r="I617" s="5" t="n">
        <x:v>0.25</x:v>
      </x:c>
      <x:c r="J617" s="4" t="n">
        <x:v>30</x:v>
      </x:c>
      <x:c r="K617" s="4" t="n">
        <x:v>14</x:v>
      </x:c>
      <x:c r="L617" s="4" t="n">
        <x:v>18</x:v>
      </x:c>
      <x:c r="M617" s="4" t="n">
        <x:v>11</x:v>
      </x:c>
      <x:c r="N617" s="4" t="n">
        <x:v>12</x:v>
      </x:c>
      <x:c r="O617" s="4" t="n">
        <x:v>3</x:v>
      </x:c>
      <x:c r="P617" s="1" t="str">
        <x:v>PASS</x:v>
      </x:c>
      <x:c r="Q617" s="4" t="n">
        <x:v>0</x:v>
      </x:c>
      <x:c r="R617" s="1" t="str">
        <x:v>PASS</x:v>
      </x:c>
      <x:c r="S617" s="4" t="n">
        <x:v>0</x:v>
      </x:c>
      <x:c r="T617" s="1" t="str">
        <x:v>NOT_REVEALING</x:v>
      </x:c>
      <x:c r="U617" s="1" t="str">
        <x:v>JxPath_15</x:v>
      </x:c>
      <x:c r="V617" s="6" t="n">
        <x:v>23.39</x:v>
      </x:c>
    </x:row>
    <x:row r="618" ht="22" customHeight="1">
      <x:c r="A618" s="1" t="str">
        <x:v>Round1</x:v>
      </x:c>
      <x:c r="B618" s="1" t="str">
        <x:v>JxPath</x:v>
      </x:c>
      <x:c r="C618" s="4" t="n">
        <x:v>16</x:v>
      </x:c>
      <x:c r="D618" s="4" t="n">
        <x:v>0</x:v>
      </x:c>
      <x:c r="E618" s="4" t="n">
        <x:v>60</x:v>
      </x:c>
      <x:c r="F618" s="4" t="n">
        <x:v>34</x:v>
      </x:c>
      <x:c r="G618" s="5" t="n">
        <x:v>0.0699</x:v>
      </x:c>
      <x:c r="H618" s="5" t="n">
        <x:v>0.0926</x:v>
      </x:c>
      <x:c r="I618" s="5" t="n">
        <x:v>0.0405</x:v>
      </x:c>
      <x:c r="J618" s="4" t="n">
        <x:v>1359</x:v>
      </x:c>
      <x:c r="K618" s="4" t="n">
        <x:v>95</x:v>
      </x:c>
      <x:c r="L618" s="4" t="n">
        <x:v>767</x:v>
      </x:c>
      <x:c r="M618" s="4" t="n">
        <x:v>71</x:v>
      </x:c>
      <x:c r="N618" s="4" t="n">
        <x:v>592</x:v>
      </x:c>
      <x:c r="O618" s="4" t="n">
        <x:v>24</x:v>
      </x:c>
      <x:c r="P618" s="1" t="str">
        <x:v>PASS</x:v>
      </x:c>
      <x:c r="Q618" s="4" t="n">
        <x:v>0</x:v>
      </x:c>
      <x:c r="R618" s="1" t="str">
        <x:v>PASS</x:v>
      </x:c>
      <x:c r="S618" s="4" t="n">
        <x:v>0</x:v>
      </x:c>
      <x:c r="T618" s="1" t="str">
        <x:v>NOT_REVEALING</x:v>
      </x:c>
      <x:c r="U618" s="1" t="str">
        <x:v>JxPath_16</x:v>
      </x:c>
      <x:c r="V618" s="6" t="n">
        <x:v>22.35</x:v>
      </x:c>
    </x:row>
    <x:row r="619" ht="22" customHeight="1">
      <x:c r="A619" s="1" t="str">
        <x:v>Round1</x:v>
      </x:c>
      <x:c r="B619" s="1" t="str">
        <x:v>JxPath</x:v>
      </x:c>
      <x:c r="C619" s="4" t="n">
        <x:v>17</x:v>
      </x:c>
      <x:c r="D619" s="4" t="n">
        <x:v>0</x:v>
      </x:c>
      <x:c r="E619" s="4" t="n">
        <x:v>60</x:v>
      </x:c>
      <x:c r="F619" s="4" t="n">
        <x:v>3</x:v>
      </x:c>
      <x:c r="G619" s="5" t="n">
        <x:v>0.050300000000000004</x:v>
      </x:c>
      <x:c r="H619" s="5" t="n">
        <x:v>0.0885</x:v>
      </x:c>
      <x:c r="I619" s="5" t="n">
        <x:v>0</x:v>
      </x:c>
      <x:c r="J619" s="4" t="n">
        <x:v>199</x:v>
      </x:c>
      <x:c r="K619" s="4" t="n">
        <x:v>10</x:v>
      </x:c>
      <x:c r="L619" s="4" t="n">
        <x:v>113</x:v>
      </x:c>
      <x:c r="M619" s="4" t="n">
        <x:v>10</x:v>
      </x:c>
      <x:c r="N619" s="4" t="n">
        <x:v>86</x:v>
      </x:c>
      <x:c r="O619" s="4" t="n">
        <x:v>0</x:v>
      </x:c>
      <x:c r="P619" s="1" t="str">
        <x:v>PASS</x:v>
      </x:c>
      <x:c r="Q619" s="4" t="n">
        <x:v>0</x:v>
      </x:c>
      <x:c r="R619" s="1" t="str">
        <x:v>PASS</x:v>
      </x:c>
      <x:c r="S619" s="4" t="n">
        <x:v>0</x:v>
      </x:c>
      <x:c r="T619" s="1" t="str">
        <x:v>NOT_REVEALING</x:v>
      </x:c>
      <x:c r="U619" s="1" t="str">
        <x:v>JxPath_17</x:v>
      </x:c>
      <x:c r="V619" s="6" t="n">
        <x:v>21.49</x:v>
      </x:c>
    </x:row>
    <x:row r="620" ht="22" customHeight="1">
      <x:c r="A620" s="1" t="str">
        <x:v>Round1</x:v>
      </x:c>
      <x:c r="B620" s="1" t="str">
        <x:v>JxPath</x:v>
      </x:c>
      <x:c r="C620" s="4" t="n">
        <x:v>18</x:v>
      </x:c>
      <x:c r="D620" s="4" t="n">
        <x:v>0</x:v>
      </x:c>
      <x:c r="E620" s="4" t="n">
        <x:v>60</x:v>
      </x:c>
      <x:c r="F620" s="4" t="n">
        <x:v>26</x:v>
      </x:c>
      <x:c r="G620" s="5" t="n">
        <x:v>0.48840000000000006</x:v>
      </x:c>
      <x:c r="H620" s="5" t="n">
        <x:v>0.5861999999999999</x:v>
      </x:c>
      <x:c r="I620" s="5" t="n">
        <x:v>0.2857</x:v>
      </x:c>
      <x:c r="J620" s="4" t="n">
        <x:v>43</x:v>
      </x:c>
      <x:c r="K620" s="4" t="n">
        <x:v>21</x:v>
      </x:c>
      <x:c r="L620" s="4" t="n">
        <x:v>29</x:v>
      </x:c>
      <x:c r="M620" s="4" t="n">
        <x:v>17</x:v>
      </x:c>
      <x:c r="N620" s="4" t="n">
        <x:v>14</x:v>
      </x:c>
      <x:c r="O620" s="4" t="n">
        <x:v>4</x:v>
      </x:c>
      <x:c r="P620" s="1" t="str">
        <x:v>PASS</x:v>
      </x:c>
      <x:c r="Q620" s="4" t="n">
        <x:v>0</x:v>
      </x:c>
      <x:c r="R620" s="1" t="str">
        <x:v>PASS</x:v>
      </x:c>
      <x:c r="S620" s="4" t="n">
        <x:v>0</x:v>
      </x:c>
      <x:c r="T620" s="1" t="str">
        <x:v>NOT_REVEALING</x:v>
      </x:c>
      <x:c r="U620" s="1" t="str">
        <x:v>JxPath_18</x:v>
      </x:c>
      <x:c r="V620" s="6" t="n">
        <x:v>20.29</x:v>
      </x:c>
    </x:row>
    <x:row r="621" ht="22" customHeight="1">
      <x:c r="A621" s="1" t="str">
        <x:v>Round1</x:v>
      </x:c>
      <x:c r="B621" s="1" t="str">
        <x:v>JxPath</x:v>
      </x:c>
      <x:c r="C621" s="4" t="n">
        <x:v>19</x:v>
      </x:c>
      <x:c r="D621" s="4" t="n">
        <x:v>0</x:v>
      </x:c>
      <x:c r="E621" s="4" t="n">
        <x:v>60</x:v>
      </x:c>
      <x:c r="F621" s="4" t="n">
        <x:v>35</x:v>
      </x:c>
      <x:c r="G621" s="5" t="n">
        <x:v>0.0698</x:v>
      </x:c>
      <x:c r="H621" s="5" t="n">
        <x:v>0.0907</x:v>
      </x:c>
      <x:c r="I621" s="5" t="n">
        <x:v>0.042800000000000005</x:v>
      </x:c>
      <x:c r="J621" s="4" t="n">
        <x:v>1289</x:v>
      </x:c>
      <x:c r="K621" s="4" t="n">
        <x:v>90</x:v>
      </x:c>
      <x:c r="L621" s="4" t="n">
        <x:v>728</x:v>
      </x:c>
      <x:c r="M621" s="4" t="n">
        <x:v>66</x:v>
      </x:c>
      <x:c r="N621" s="4" t="n">
        <x:v>561</x:v>
      </x:c>
      <x:c r="O621" s="4" t="n">
        <x:v>24</x:v>
      </x:c>
      <x:c r="P621" s="1" t="str">
        <x:v>PASS</x:v>
      </x:c>
      <x:c r="Q621" s="4" t="n">
        <x:v>0</x:v>
      </x:c>
      <x:c r="R621" s="1" t="str">
        <x:v>PASS</x:v>
      </x:c>
      <x:c r="S621" s="4" t="n">
        <x:v>0</x:v>
      </x:c>
      <x:c r="T621" s="1" t="str">
        <x:v>NOT_REVEALING</x:v>
      </x:c>
      <x:c r="U621" s="1" t="str">
        <x:v>JxPath_19</x:v>
      </x:c>
      <x:c r="V621" s="6" t="n">
        <x:v>23.89</x:v>
      </x:c>
    </x:row>
    <x:row r="622" ht="22" customHeight="1">
      <x:c r="A622" s="1" t="str">
        <x:v>Round1</x:v>
      </x:c>
      <x:c r="B622" s="1" t="str">
        <x:v>JxPath</x:v>
      </x:c>
      <x:c r="C622" s="4" t="n">
        <x:v>20</x:v>
      </x:c>
      <x:c r="D622" s="4" t="n">
        <x:v>0</x:v>
      </x:c>
      <x:c r="E622" s="4" t="n">
        <x:v>60</x:v>
      </x:c>
      <x:c r="F622" s="4" t="n">
        <x:v>1</x:v>
      </x:c>
      <x:c r="G622" s="5" t="n">
        <x:v>0</x:v>
      </x:c>
      <x:c r="H622" s="5" t="n">
        <x:v>0</x:v>
      </x:c>
      <x:c r="I622" s="5" t="n">
        <x:v>0</x:v>
      </x:c>
      <x:c r="J622" s="4" t="n">
        <x:v>79</x:v>
      </x:c>
      <x:c r="K622" s="4" t="n">
        <x:v>0</x:v>
      </x:c>
      <x:c r="L622" s="4" t="n">
        <x:v>43</x:v>
      </x:c>
      <x:c r="M622" s="4" t="n">
        <x:v>0</x:v>
      </x:c>
      <x:c r="N622" s="4" t="n">
        <x:v>36</x:v>
      </x:c>
      <x:c r="O622" s="4" t="n">
        <x:v>0</x:v>
      </x:c>
      <x:c r="P622" s="1" t="str">
        <x:v>PASS</x:v>
      </x:c>
      <x:c r="Q622" s="4" t="n">
        <x:v>0</x:v>
      </x:c>
      <x:c r="R622" s="1" t="str">
        <x:v>PASS</x:v>
      </x:c>
      <x:c r="S622" s="4" t="n">
        <x:v>0</x:v>
      </x:c>
      <x:c r="T622" s="1" t="str">
        <x:v>NOT_REVEALING</x:v>
      </x:c>
      <x:c r="U622" s="1" t="str">
        <x:v>JxPath_20</x:v>
      </x:c>
      <x:c r="V622" s="6" t="n">
        <x:v>19.99</x:v>
      </x:c>
    </x:row>
    <x:row r="623" ht="22" customHeight="1">
      <x:c r="A623" s="1" t="str">
        <x:v>Round1</x:v>
      </x:c>
      <x:c r="B623" s="1" t="str">
        <x:v>JxPath</x:v>
      </x:c>
      <x:c r="C623" s="4" t="n">
        <x:v>21</x:v>
      </x:c>
      <x:c r="D623" s="4" t="n">
        <x:v>0</x:v>
      </x:c>
      <x:c r="E623" s="4" t="n">
        <x:v>60</x:v>
      </x:c>
      <x:c r="F623" s="4" t="n">
        <x:v>30</x:v>
      </x:c>
      <x:c r="G623" s="5" t="n">
        <x:v>0.040999999999999995</x:v>
      </x:c>
      <x:c r="H623" s="5" t="n">
        <x:v>0.07139999999999999</x:v>
      </x:c>
      <x:c r="I623" s="5" t="n">
        <x:v>0</x:v>
      </x:c>
      <x:c r="J623" s="4" t="n">
        <x:v>122</x:v>
      </x:c>
      <x:c r="K623" s="4" t="n">
        <x:v>5</x:v>
      </x:c>
      <x:c r="L623" s="4" t="n">
        <x:v>70</x:v>
      </x:c>
      <x:c r="M623" s="4" t="n">
        <x:v>5</x:v>
      </x:c>
      <x:c r="N623" s="4" t="n">
        <x:v>52</x:v>
      </x:c>
      <x:c r="O623" s="4" t="n">
        <x:v>0</x:v>
      </x:c>
      <x:c r="P623" s="1" t="str">
        <x:v>PASS</x:v>
      </x:c>
      <x:c r="Q623" s="4" t="n">
        <x:v>0</x:v>
      </x:c>
      <x:c r="R623" s="1" t="str">
        <x:v>PASS</x:v>
      </x:c>
      <x:c r="S623" s="4" t="n">
        <x:v>0</x:v>
      </x:c>
      <x:c r="T623" s="1" t="str">
        <x:v>NOT_REVEALING</x:v>
      </x:c>
      <x:c r="U623" s="1" t="str">
        <x:v>JxPath_21</x:v>
      </x:c>
      <x:c r="V623" s="6" t="n">
        <x:v>23.59</x:v>
      </x:c>
    </x:row>
    <x:row r="624" ht="22" customHeight="1">
      <x:c r="A624" s="1" t="str">
        <x:v>Round1</x:v>
      </x:c>
      <x:c r="B624" s="1" t="str">
        <x:v>JxPath</x:v>
      </x:c>
      <x:c r="C624" s="4" t="n">
        <x:v>22</x:v>
      </x:c>
      <x:c r="D624" s="4" t="n">
        <x:v>0</x:v>
      </x:c>
      <x:c r="E624" s="4" t="n">
        <x:v>60</x:v>
      </x:c>
      <x:c r="F624" s="4" t="n">
        <x:v>41</x:v>
      </x:c>
      <x:c r="G624" s="5" t="n">
        <x:v>0.078</x:v>
      </x:c>
      <x:c r="H624" s="5" t="n">
        <x:v>0.1158</x:v>
      </x:c>
      <x:c r="I624" s="5" t="n">
        <x:v>0.0292</x:v>
      </x:c>
      <x:c r="J624" s="4" t="n">
        <x:v>628</x:v>
      </x:c>
      <x:c r="K624" s="4" t="n">
        <x:v>49</x:v>
      </x:c>
      <x:c r="L624" s="4" t="n">
        <x:v>354</x:v>
      </x:c>
      <x:c r="M624" s="4" t="n">
        <x:v>41</x:v>
      </x:c>
      <x:c r="N624" s="4" t="n">
        <x:v>274</x:v>
      </x:c>
      <x:c r="O624" s="4" t="n">
        <x:v>8</x:v>
      </x:c>
      <x:c r="P624" s="1" t="str">
        <x:v>PASS</x:v>
      </x:c>
      <x:c r="Q624" s="4" t="n">
        <x:v>0</x:v>
      </x:c>
      <x:c r="R624" s="1" t="str">
        <x:v>PASS</x:v>
      </x:c>
      <x:c r="S624" s="4" t="n">
        <x:v>0</x:v>
      </x:c>
      <x:c r="T624" s="1" t="str">
        <x:v>NOT_REVEALING</x:v>
      </x:c>
      <x:c r="U624" s="1" t="str">
        <x:v>JxPath_22</x:v>
      </x:c>
      <x:c r="V624" s="6" t="n">
        <x:v>23.59</x:v>
      </x:c>
    </x:row>
    <x:row r="625" ht="22" customHeight="1">
      <x:c r="A625" s="1" t="str">
        <x:v>Round1</x:v>
      </x:c>
      <x:c r="B625" s="1" t="str">
        <x:v>Lang</x:v>
      </x:c>
      <x:c r="C625" s="4" t="n">
        <x:v>1</x:v>
      </x:c>
      <x:c r="D625" s="4" t="n">
        <x:v>0</x:v>
      </x:c>
      <x:c r="E625" s="4" t="n">
        <x:v>60</x:v>
      </x:c>
      <x:c r="F625" s="4" t="n">
        <x:v>9092</x:v>
      </x:c>
      <x:c r="G625" s="5" t="n">
        <x:v>0.5456</x:v>
      </x:c>
      <x:c r="H625" s="5" t="n">
        <x:v>0.6587000000000001</x:v>
      </x:c>
      <x:c r="I625" s="5" t="n">
        <x:v>0.4201</x:v>
      </x:c>
      <x:c r="J625" s="4" t="n">
        <x:v>713</x:v>
      </x:c>
      <x:c r="K625" s="4" t="n">
        <x:v>389</x:v>
      </x:c>
      <x:c r="L625" s="4" t="n">
        <x:v>375</x:v>
      </x:c>
      <x:c r="M625" s="4" t="n">
        <x:v>247</x:v>
      </x:c>
      <x:c r="N625" s="4" t="n">
        <x:v>338</x:v>
      </x:c>
      <x:c r="O625" s="4" t="n">
        <x:v>142</x:v>
      </x:c>
      <x:c r="P625" s="1" t="str">
        <x:v>PASS</x:v>
      </x:c>
      <x:c r="Q625" s="4" t="n">
        <x:v>0</x:v>
      </x:c>
      <x:c r="R625" s="1" t="str">
        <x:v>PASS</x:v>
      </x:c>
      <x:c r="S625" s="4" t="n">
        <x:v>0</x:v>
      </x:c>
      <x:c r="T625" s="1" t="str">
        <x:v>NOT_REVEALING</x:v>
      </x:c>
      <x:c r="U625" s="1" t="str">
        <x:v>Lang_1</x:v>
      </x:c>
      <x:c r="V625" s="6" t="n">
        <x:v>92.13</x:v>
      </x:c>
    </x:row>
    <x:row r="626" ht="22" customHeight="1">
      <x:c r="A626" s="1" t="str">
        <x:v>Round1</x:v>
      </x:c>
      <x:c r="B626" s="1" t="str">
        <x:v>Lang</x:v>
      </x:c>
      <x:c r="C626" s="4" t="n">
        <x:v>3</x:v>
      </x:c>
      <x:c r="D626" s="4" t="n">
        <x:v>0</x:v>
      </x:c>
      <x:c r="E626" s="4" t="n">
        <x:v>60</x:v>
      </x:c>
      <x:c r="F626" s="4" t="n">
        <x:v>9058</x:v>
      </x:c>
      <x:c r="G626" s="5" t="n">
        <x:v>0.5502</x:v>
      </x:c>
      <x:c r="H626" s="5" t="n">
        <x:v>0.6622</x:v>
      </x:c>
      <x:c r="I626" s="5" t="n">
        <x:v>0.4251</x:v>
      </x:c>
      <x:c r="J626" s="4" t="n">
        <x:v>707</x:v>
      </x:c>
      <x:c r="K626" s="4" t="n">
        <x:v>389</x:v>
      </x:c>
      <x:c r="L626" s="4" t="n">
        <x:v>373</x:v>
      </x:c>
      <x:c r="M626" s="4" t="n">
        <x:v>247</x:v>
      </x:c>
      <x:c r="N626" s="4" t="n">
        <x:v>334</x:v>
      </x:c>
      <x:c r="O626" s="4" t="n">
        <x:v>142</x:v>
      </x:c>
      <x:c r="P626" s="1" t="str">
        <x:v>PASS</x:v>
      </x:c>
      <x:c r="Q626" s="4" t="n">
        <x:v>0</x:v>
      </x:c>
      <x:c r="R626" s="1" t="str">
        <x:v>PASS</x:v>
      </x:c>
      <x:c r="S626" s="4" t="n">
        <x:v>0</x:v>
      </x:c>
      <x:c r="T626" s="1" t="str">
        <x:v>NOT_REVEALING</x:v>
      </x:c>
      <x:c r="U626" s="1" t="str">
        <x:v>Lang_3</x:v>
      </x:c>
      <x:c r="V626" s="6" t="n">
        <x:v>89.47</x:v>
      </x:c>
    </x:row>
    <x:row r="627" ht="22" customHeight="1">
      <x:c r="A627" s="1" t="str">
        <x:v>Round1</x:v>
      </x:c>
      <x:c r="B627" s="1" t="str">
        <x:v>Lang</x:v>
      </x:c>
      <x:c r="C627" s="4" t="n">
        <x:v>4</x:v>
      </x:c>
      <x:c r="D627" s="4" t="n">
        <x:v>0</x:v>
      </x:c>
      <x:c r="E627" s="4" t="n">
        <x:v>60</x:v>
      </x:c>
      <x:c r="F627" s="4" t="n">
        <x:v>5671</x:v>
      </x:c>
      <x:c r="G627" s="5" t="n">
        <x:v>1</x:v>
      </x:c>
      <x:c r="H627" s="5" t="n">
        <x:v>1</x:v>
      </x:c>
      <x:c r="I627" s="5" t="n">
        <x:v>1</x:v>
      </x:c>
      <x:c r="J627" s="4" t="n">
        <x:v>39</x:v>
      </x:c>
      <x:c r="K627" s="4" t="n">
        <x:v>39</x:v>
      </x:c>
      <x:c r="L627" s="4" t="n">
        <x:v>25</x:v>
      </x:c>
      <x:c r="M627" s="4" t="n">
        <x:v>25</x:v>
      </x:c>
      <x:c r="N627" s="4" t="n">
        <x:v>14</x:v>
      </x:c>
      <x:c r="O627" s="4" t="n">
        <x:v>14</x:v>
      </x:c>
      <x:c r="P627" s="1" t="str">
        <x:v>PASS</x:v>
      </x:c>
      <x:c r="Q627" s="4" t="n">
        <x:v>0</x:v>
      </x:c>
      <x:c r="R627" s="1" t="str">
        <x:v>PASS</x:v>
      </x:c>
      <x:c r="S627" s="4" t="n">
        <x:v>0</x:v>
      </x:c>
      <x:c r="T627" s="1" t="str">
        <x:v>NOT_REVEALING</x:v>
      </x:c>
      <x:c r="U627" s="1" t="str">
        <x:v>Lang_4</x:v>
      </x:c>
      <x:c r="V627" s="6" t="n">
        <x:v>121.67</x:v>
      </x:c>
    </x:row>
    <x:row r="628" ht="22" customHeight="1">
      <x:c r="A628" s="1" t="str">
        <x:v>Round1</x:v>
      </x:c>
      <x:c r="B628" s="1" t="str">
        <x:v>Lang</x:v>
      </x:c>
      <x:c r="C628" s="4" t="n">
        <x:v>5</x:v>
      </x:c>
      <x:c r="D628" s="4" t="n">
        <x:v>0</x:v>
      </x:c>
      <x:c r="E628" s="4" t="n">
        <x:v>60</x:v>
      </x:c>
      <x:c r="F628" s="4" t="n">
        <x:v>14</x:v>
      </x:c>
      <x:c r="G628" s="5" t="n">
        <x:v>0.5579999999999999</x:v>
      </x:c>
      <x:c r="H628" s="5" t="n">
        <x:v>0.6463</x:v>
      </x:c>
      <x:c r="I628" s="5" t="n">
        <x:v>0.4286</x:v>
      </x:c>
      <x:c r="J628" s="4" t="n">
        <x:v>138</x:v>
      </x:c>
      <x:c r="K628" s="4" t="n">
        <x:v>77</x:v>
      </x:c>
      <x:c r="L628" s="4" t="n">
        <x:v>82</x:v>
      </x:c>
      <x:c r="M628" s="4" t="n">
        <x:v>53</x:v>
      </x:c>
      <x:c r="N628" s="4" t="n">
        <x:v>56</x:v>
      </x:c>
      <x:c r="O628" s="4" t="n">
        <x:v>24</x:v>
      </x:c>
      <x:c r="P628" s="1" t="str">
        <x:v>PASS</x:v>
      </x:c>
      <x:c r="Q628" s="4" t="n">
        <x:v>0</x:v>
      </x:c>
      <x:c r="R628" s="1" t="str">
        <x:v>PASS</x:v>
      </x:c>
      <x:c r="S628" s="4" t="n">
        <x:v>0</x:v>
      </x:c>
      <x:c r="T628" s="1" t="str">
        <x:v>NOT_REVEALING</x:v>
      </x:c>
      <x:c r="U628" s="1" t="str">
        <x:v>Lang_5</x:v>
      </x:c>
      <x:c r="V628" s="6" t="n">
        <x:v>39.11</x:v>
      </x:c>
    </x:row>
    <x:row r="629" ht="22" customHeight="1">
      <x:c r="A629" s="1" t="str">
        <x:v>Round1</x:v>
      </x:c>
      <x:c r="B629" s="1" t="str">
        <x:v>Lang</x:v>
      </x:c>
      <x:c r="C629" s="4" t="n">
        <x:v>6</x:v>
      </x:c>
      <x:c r="D629" s="4" t="n">
        <x:v>0</x:v>
      </x:c>
      <x:c r="E629" s="4" t="n">
        <x:v>60</x:v>
      </x:c>
      <x:c r="F629" s="4" t="n">
        <x:v>20</x:v>
      </x:c>
      <x:c r="G629" s="5" t="n">
        <x:v>0.023799999999999998</x:v>
      </x:c>
      <x:c r="H629" s="5" t="n">
        <x:v>0.0333</x:v>
      </x:c>
      <x:c r="I629" s="5" t="n">
        <x:v>0</x:v>
      </x:c>
      <x:c r="J629" s="4" t="n">
        <x:v>42</x:v>
      </x:c>
      <x:c r="K629" s="4" t="n">
        <x:v>1</x:v>
      </x:c>
      <x:c r="L629" s="4" t="n">
        <x:v>30</x:v>
      </x:c>
      <x:c r="M629" s="4" t="n">
        <x:v>1</x:v>
      </x:c>
      <x:c r="N629" s="4" t="n">
        <x:v>12</x:v>
      </x:c>
      <x:c r="O629" s="4" t="n">
        <x:v>0</x:v>
      </x:c>
      <x:c r="P629" s="1" t="str">
        <x:v>PASS</x:v>
      </x:c>
      <x:c r="Q629" s="4" t="n">
        <x:v>0</x:v>
      </x:c>
      <x:c r="R629" s="1" t="str">
        <x:v>PASS</x:v>
      </x:c>
      <x:c r="S629" s="4" t="n">
        <x:v>0</x:v>
      </x:c>
      <x:c r="T629" s="1" t="str">
        <x:v>NOT_REVEALING</x:v>
      </x:c>
      <x:c r="U629" s="1" t="str">
        <x:v>Lang_6</x:v>
      </x:c>
      <x:c r="V629" s="6" t="n">
        <x:v>37.75</x:v>
      </x:c>
    </x:row>
    <x:row r="630" ht="22" customHeight="1">
      <x:c r="A630" s="1" t="str">
        <x:v>Round1</x:v>
      </x:c>
      <x:c r="B630" s="1" t="str">
        <x:v>Lang</x:v>
      </x:c>
      <x:c r="C630" s="4" t="n">
        <x:v>7</x:v>
      </x:c>
      <x:c r="D630" s="4" t="n">
        <x:v>0</x:v>
      </x:c>
      <x:c r="E630" s="4" t="n">
        <x:v>60</x:v>
      </x:c>
      <x:c r="F630" s="4" t="n">
        <x:v>9181</x:v>
      </x:c>
      <x:c r="G630" s="5" t="n">
        <x:v>0.5885</x:v>
      </x:c>
      <x:c r="H630" s="5" t="n">
        <x:v>0.6895</x:v>
      </x:c>
      <x:c r="I630" s="5" t="n">
        <x:v>0.4836</x:v>
      </x:c>
      <x:c r="J630" s="4" t="n">
        <x:v>746</x:v>
      </x:c>
      <x:c r="K630" s="4" t="n">
        <x:v>439</x:v>
      </x:c>
      <x:c r="L630" s="4" t="n">
        <x:v>380</x:v>
      </x:c>
      <x:c r="M630" s="4" t="n">
        <x:v>262</x:v>
      </x:c>
      <x:c r="N630" s="4" t="n">
        <x:v>366</x:v>
      </x:c>
      <x:c r="O630" s="4" t="n">
        <x:v>177</x:v>
      </x:c>
      <x:c r="P630" s="1" t="str">
        <x:v>PASS</x:v>
      </x:c>
      <x:c r="Q630" s="4" t="n">
        <x:v>0</x:v>
      </x:c>
      <x:c r="R630" s="1" t="str">
        <x:v>PASS</x:v>
      </x:c>
      <x:c r="S630" s="4" t="n">
        <x:v>0</x:v>
      </x:c>
      <x:c r="T630" s="1" t="str">
        <x:v>NOT_REVEALING</x:v>
      </x:c>
      <x:c r="U630" s="1" t="str">
        <x:v>Lang_7</x:v>
      </x:c>
      <x:c r="V630" s="6" t="n">
        <x:v>61.81</x:v>
      </x:c>
    </x:row>
    <x:row r="631" ht="22" customHeight="1">
      <x:c r="A631" s="1" t="str">
        <x:v>Round1</x:v>
      </x:c>
      <x:c r="B631" s="1" t="str">
        <x:v>Lang</x:v>
      </x:c>
      <x:c r="C631" s="4" t="n">
        <x:v>8</x:v>
      </x:c>
      <x:c r="D631" s="4" t="n">
        <x:v>0</x:v>
      </x:c>
      <x:c r="E631" s="4" t="n">
        <x:v>60</x:v>
      </x:c>
      <x:c r="F631" s="4" t="n">
        <x:v>49</x:v>
      </x:c>
      <x:c r="G631" s="5" t="n">
        <x:v>0.041100000000000005</x:v>
      </x:c>
      <x:c r="H631" s="5" t="n">
        <x:v>0.053399999999999996</x:v>
      </x:c>
      <x:c r="I631" s="5" t="n">
        <x:v>0.013300000000000001</x:v>
      </x:c>
      <x:c r="J631" s="4" t="n">
        <x:v>487</x:v>
      </x:c>
      <x:c r="K631" s="4" t="n">
        <x:v>20</x:v>
      </x:c>
      <x:c r="L631" s="4" t="n">
        <x:v>337</x:v>
      </x:c>
      <x:c r="M631" s="4" t="n">
        <x:v>18</x:v>
      </x:c>
      <x:c r="N631" s="4" t="n">
        <x:v>150</x:v>
      </x:c>
      <x:c r="O631" s="4" t="n">
        <x:v>2</x:v>
      </x:c>
      <x:c r="P631" s="1" t="str">
        <x:v>PASS</x:v>
      </x:c>
      <x:c r="Q631" s="4" t="n">
        <x:v>0</x:v>
      </x:c>
      <x:c r="R631" s="1" t="str">
        <x:v>PASS</x:v>
      </x:c>
      <x:c r="S631" s="4" t="n">
        <x:v>0</x:v>
      </x:c>
      <x:c r="T631" s="1" t="str">
        <x:v>NOT_REVEALING</x:v>
      </x:c>
      <x:c r="U631" s="1" t="str">
        <x:v>Lang_8</x:v>
      </x:c>
      <x:c r="V631" s="6" t="n">
        <x:v>38.27</x:v>
      </x:c>
    </x:row>
    <x:row r="632" ht="22" customHeight="1">
      <x:c r="A632" s="1" t="str">
        <x:v>Round1</x:v>
      </x:c>
      <x:c r="B632" s="1" t="str">
        <x:v>Lang</x:v>
      </x:c>
      <x:c r="C632" s="4" t="n">
        <x:v>9</x:v>
      </x:c>
      <x:c r="D632" s="4" t="n">
        <x:v>0</x:v>
      </x:c>
      <x:c r="E632" s="4" t="n">
        <x:v>60</x:v>
      </x:c>
      <x:c r="F632" s="4" t="n">
        <x:v>6</x:v>
      </x:c>
      <x:c r="G632" s="5" t="n">
        <x:v>0.10099999999999999</x:v>
      </x:c>
      <x:c r="H632" s="5" t="n">
        <x:v>0.1465</x:v>
      </x:c>
      <x:c r="I632" s="5" t="n">
        <x:v>0</x:v>
      </x:c>
      <x:c r="J632" s="4" t="n">
        <x:v>396</x:v>
      </x:c>
      <x:c r="K632" s="4" t="n">
        <x:v>40</x:v>
      </x:c>
      <x:c r="L632" s="4" t="n">
        <x:v>273</x:v>
      </x:c>
      <x:c r="M632" s="4" t="n">
        <x:v>40</x:v>
      </x:c>
      <x:c r="N632" s="4" t="n">
        <x:v>123</x:v>
      </x:c>
      <x:c r="O632" s="4" t="n">
        <x:v>0</x:v>
      </x:c>
      <x:c r="P632" s="1" t="str">
        <x:v>PASS</x:v>
      </x:c>
      <x:c r="Q632" s="4" t="n">
        <x:v>0</x:v>
      </x:c>
      <x:c r="R632" s="1" t="str">
        <x:v>PASS</x:v>
      </x:c>
      <x:c r="S632" s="4" t="n">
        <x:v>0</x:v>
      </x:c>
      <x:c r="T632" s="1" t="str">
        <x:v>NOT_REVEALING</x:v>
      </x:c>
      <x:c r="U632" s="1" t="str">
        <x:v>Lang_9</x:v>
      </x:c>
      <x:c r="V632" s="6" t="n">
        <x:v>31.85</x:v>
      </x:c>
    </x:row>
    <x:row r="633" ht="22" customHeight="1">
      <x:c r="A633" s="1" t="str">
        <x:v>Round1</x:v>
      </x:c>
      <x:c r="B633" s="1" t="str">
        <x:v>Lang</x:v>
      </x:c>
      <x:c r="C633" s="4" t="n">
        <x:v>10</x:v>
      </x:c>
      <x:c r="D633" s="4" t="n">
        <x:v>0</x:v>
      </x:c>
      <x:c r="E633" s="4" t="n">
        <x:v>60</x:v>
      </x:c>
      <x:c r="F633" s="4" t="n">
        <x:v>6</x:v>
      </x:c>
      <x:c r="G633" s="5" t="n">
        <x:v>0.09849999999999999</x:v>
      </x:c>
      <x:c r="H633" s="5" t="n">
        <x:v>0.1434</x:v>
      </x:c>
      <x:c r="I633" s="5" t="n">
        <x:v>0</x:v>
      </x:c>
      <x:c r="J633" s="4" t="n">
        <x:v>406</x:v>
      </x:c>
      <x:c r="K633" s="4" t="n">
        <x:v>40</x:v>
      </x:c>
      <x:c r="L633" s="4" t="n">
        <x:v>279</x:v>
      </x:c>
      <x:c r="M633" s="4" t="n">
        <x:v>40</x:v>
      </x:c>
      <x:c r="N633" s="4" t="n">
        <x:v>127</x:v>
      </x:c>
      <x:c r="O633" s="4" t="n">
        <x:v>0</x:v>
      </x:c>
      <x:c r="P633" s="1" t="str">
        <x:v>PASS</x:v>
      </x:c>
      <x:c r="Q633" s="4" t="n">
        <x:v>0</x:v>
      </x:c>
      <x:c r="R633" s="1" t="str">
        <x:v>PASS</x:v>
      </x:c>
      <x:c r="S633" s="4" t="n">
        <x:v>0</x:v>
      </x:c>
      <x:c r="T633" s="1" t="str">
        <x:v>NOT_REVEALING</x:v>
      </x:c>
      <x:c r="U633" s="1" t="str">
        <x:v>Lang_10</x:v>
      </x:c>
      <x:c r="V633" s="6" t="n">
        <x:v>34.24</x:v>
      </x:c>
    </x:row>
    <x:row r="634" ht="22" customHeight="1">
      <x:c r="A634" s="1" t="str">
        <x:v>Round1</x:v>
      </x:c>
      <x:c r="B634" s="1" t="str">
        <x:v>Lang</x:v>
      </x:c>
      <x:c r="C634" s="4" t="n">
        <x:v>11</x:v>
      </x:c>
      <x:c r="D634" s="4" t="n">
        <x:v>0</x:v>
      </x:c>
      <x:c r="E634" s="4" t="n">
        <x:v>60</x:v>
      </x:c>
      <x:c r="F634" s="4" t="n">
        <x:v>0</x:v>
      </x:c>
      <x:c r="G634" s="5"/>
      <x:c r="H634" s="5"/>
      <x:c r="I634" s="5"/>
      <x:c r="J634" s="4" t="n">
        <x:v>0</x:v>
      </x:c>
      <x:c r="K634" s="4" t="n">
        <x:v>0</x:v>
      </x:c>
      <x:c r="L634" s="4" t="n">
        <x:v>0</x:v>
      </x:c>
      <x:c r="M634" s="4" t="n">
        <x:v>0</x:v>
      </x:c>
      <x:c r="N634" s="4" t="n">
        <x:v>0</x:v>
      </x:c>
      <x:c r="O634" s="4" t="n">
        <x:v>0</x:v>
      </x:c>
      <x:c r="P634" s="1" t="str">
        <x:v>NOT_RUN</x:v>
      </x:c>
      <x:c r="Q634" s="4"/>
      <x:c r="R634" s="1" t="str">
        <x:v>NOT_RUN</x:v>
      </x:c>
      <x:c r="S634" s="4"/>
      <x:c r="T634" s="1" t="str">
        <x:v>FAIL</x:v>
      </x:c>
      <x:c r="U634" s="1" t="str">
        <x:v>Lang_11</x:v>
      </x:c>
      <x:c r="V634" s="6"/>
    </x:row>
    <x:row r="635" ht="22" customHeight="1">
      <x:c r="A635" s="1" t="str">
        <x:v>Round1</x:v>
      </x:c>
      <x:c r="B635" s="1" t="str">
        <x:v>Lang</x:v>
      </x:c>
      <x:c r="C635" s="4" t="n">
        <x:v>12</x:v>
      </x:c>
      <x:c r="D635" s="4" t="n">
        <x:v>0</x:v>
      </x:c>
      <x:c r="E635" s="4" t="n">
        <x:v>60</x:v>
      </x:c>
      <x:c r="F635" s="4" t="n">
        <x:v>0</x:v>
      </x:c>
      <x:c r="G635" s="5"/>
      <x:c r="H635" s="5"/>
      <x:c r="I635" s="5"/>
      <x:c r="J635" s="4" t="n">
        <x:v>0</x:v>
      </x:c>
      <x:c r="K635" s="4" t="n">
        <x:v>0</x:v>
      </x:c>
      <x:c r="L635" s="4" t="n">
        <x:v>0</x:v>
      </x:c>
      <x:c r="M635" s="4" t="n">
        <x:v>0</x:v>
      </x:c>
      <x:c r="N635" s="4" t="n">
        <x:v>0</x:v>
      </x:c>
      <x:c r="O635" s="4" t="n">
        <x:v>0</x:v>
      </x:c>
      <x:c r="P635" s="1" t="str">
        <x:v>NOT_RUN</x:v>
      </x:c>
      <x:c r="Q635" s="4"/>
      <x:c r="R635" s="1" t="str">
        <x:v>NOT_RUN</x:v>
      </x:c>
      <x:c r="S635" s="4"/>
      <x:c r="T635" s="1" t="str">
        <x:v>FAIL</x:v>
      </x:c>
      <x:c r="U635" s="1" t="str">
        <x:v>Lang_12</x:v>
      </x:c>
      <x:c r="V635" s="6"/>
    </x:row>
    <x:row r="636" ht="22" customHeight="1">
      <x:c r="A636" s="1" t="str">
        <x:v>Round1</x:v>
      </x:c>
      <x:c r="B636" s="1" t="str">
        <x:v>Lang</x:v>
      </x:c>
      <x:c r="C636" s="4" t="n">
        <x:v>13</x:v>
      </x:c>
      <x:c r="D636" s="4" t="n">
        <x:v>0</x:v>
      </x:c>
      <x:c r="E636" s="4" t="n">
        <x:v>60</x:v>
      </x:c>
      <x:c r="F636" s="4" t="n">
        <x:v>5719</x:v>
      </x:c>
      <x:c r="G636" s="5" t="n">
        <x:v>0.7692</x:v>
      </x:c>
      <x:c r="H636" s="5" t="n">
        <x:v>0.75</x:v>
      </x:c>
      <x:c r="I636" s="5" t="n">
        <x:v>0.8571</x:v>
      </x:c>
      <x:c r="J636" s="4" t="n">
        <x:v>78</x:v>
      </x:c>
      <x:c r="K636" s="4" t="n">
        <x:v>60</x:v>
      </x:c>
      <x:c r="L636" s="4" t="n">
        <x:v>64</x:v>
      </x:c>
      <x:c r="M636" s="4" t="n">
        <x:v>48</x:v>
      </x:c>
      <x:c r="N636" s="4" t="n">
        <x:v>14</x:v>
      </x:c>
      <x:c r="O636" s="4" t="n">
        <x:v>12</x:v>
      </x:c>
      <x:c r="P636" s="1" t="str">
        <x:v>PASS</x:v>
      </x:c>
      <x:c r="Q636" s="4" t="n">
        <x:v>0</x:v>
      </x:c>
      <x:c r="R636" s="1" t="str">
        <x:v>PASS</x:v>
      </x:c>
      <x:c r="S636" s="4" t="n">
        <x:v>0</x:v>
      </x:c>
      <x:c r="T636" s="1" t="str">
        <x:v>NOT_REVEALING</x:v>
      </x:c>
      <x:c r="U636" s="1" t="str">
        <x:v>Lang_13</x:v>
      </x:c>
      <x:c r="V636" s="6" t="n">
        <x:v>82.53</x:v>
      </x:c>
    </x:row>
    <x:row r="637" ht="22" customHeight="1">
      <x:c r="A637" s="1" t="str">
        <x:v>Round1</x:v>
      </x:c>
      <x:c r="B637" s="1" t="str">
        <x:v>Lang</x:v>
      </x:c>
      <x:c r="C637" s="4" t="n">
        <x:v>14</x:v>
      </x:c>
      <x:c r="D637" s="4" t="n">
        <x:v>0</x:v>
      </x:c>
      <x:c r="E637" s="4" t="n">
        <x:v>60</x:v>
      </x:c>
      <x:c r="F637" s="4" t="n">
        <x:v>12031</x:v>
      </x:c>
      <x:c r="G637" s="5" t="n">
        <x:v>0.8549</x:v>
      </x:c>
      <x:c r="H637" s="5" t="n">
        <x:v>0.8723000000000001</x:v>
      </x:c>
      <x:c r="I637" s="5" t="n">
        <x:v>0.8351999999999999</x:v>
      </x:c>
      <x:c r="J637" s="4" t="n">
        <x:v>2433</x:v>
      </x:c>
      <x:c r="K637" s="4" t="n">
        <x:v>2080</x:v>
      </x:c>
      <x:c r="L637" s="4" t="n">
        <x:v>1292</x:v>
      </x:c>
      <x:c r="M637" s="4" t="n">
        <x:v>1127</x:v>
      </x:c>
      <x:c r="N637" s="4" t="n">
        <x:v>1141</x:v>
      </x:c>
      <x:c r="O637" s="4" t="n">
        <x:v>953</x:v>
      </x:c>
      <x:c r="P637" s="1" t="str">
        <x:v>PASS</x:v>
      </x:c>
      <x:c r="Q637" s="4" t="n">
        <x:v>0</x:v>
      </x:c>
      <x:c r="R637" s="1" t="str">
        <x:v>PASS</x:v>
      </x:c>
      <x:c r="S637" s="4" t="n">
        <x:v>0</x:v>
      </x:c>
      <x:c r="T637" s="1" t="str">
        <x:v>NOT_REVEALING</x:v>
      </x:c>
      <x:c r="U637" s="1" t="str">
        <x:v>Lang_14</x:v>
      </x:c>
      <x:c r="V637" s="6" t="n">
        <x:v>64.57</x:v>
      </x:c>
    </x:row>
    <x:row r="638" ht="22" customHeight="1">
      <x:c r="A638" s="1" t="str">
        <x:v>Round1</x:v>
      </x:c>
      <x:c r="B638" s="1" t="str">
        <x:v>Lang</x:v>
      </x:c>
      <x:c r="C638" s="4" t="n">
        <x:v>15</x:v>
      </x:c>
      <x:c r="D638" s="4" t="n">
        <x:v>0</x:v>
      </x:c>
      <x:c r="E638" s="4" t="n">
        <x:v>60</x:v>
      </x:c>
      <x:c r="F638" s="4" t="n">
        <x:v>789</x:v>
      </x:c>
      <x:c r="G638" s="5" t="n">
        <x:v>0.1492</x:v>
      </x:c>
      <x:c r="H638" s="5" t="n">
        <x:v>0.1472</x:v>
      </x:c>
      <x:c r="I638" s="5" t="n">
        <x:v>0.1514</x:v>
      </x:c>
      <x:c r="J638" s="4" t="n">
        <x:v>583</x:v>
      </x:c>
      <x:c r="K638" s="4" t="n">
        <x:v>87</x:v>
      </x:c>
      <x:c r="L638" s="4" t="n">
        <x:v>299</x:v>
      </x:c>
      <x:c r="M638" s="4" t="n">
        <x:v>44</x:v>
      </x:c>
      <x:c r="N638" s="4" t="n">
        <x:v>284</x:v>
      </x:c>
      <x:c r="O638" s="4" t="n">
        <x:v>43</x:v>
      </x:c>
      <x:c r="P638" s="1" t="str">
        <x:v>PASS</x:v>
      </x:c>
      <x:c r="Q638" s="4" t="n">
        <x:v>0</x:v>
      </x:c>
      <x:c r="R638" s="1" t="str">
        <x:v>PASS</x:v>
      </x:c>
      <x:c r="S638" s="4" t="n">
        <x:v>0</x:v>
      </x:c>
      <x:c r="T638" s="1" t="str">
        <x:v>NOT_REVEALING</x:v>
      </x:c>
      <x:c r="U638" s="1" t="str">
        <x:v>Lang_15</x:v>
      </x:c>
      <x:c r="V638" s="6" t="n">
        <x:v>53.72</x:v>
      </x:c>
    </x:row>
    <x:row r="639" ht="22" customHeight="1">
      <x:c r="A639" s="1" t="str">
        <x:v>Round1</x:v>
      </x:c>
      <x:c r="B639" s="1" t="str">
        <x:v>Lang</x:v>
      </x:c>
      <x:c r="C639" s="4" t="n">
        <x:v>16</x:v>
      </x:c>
      <x:c r="D639" s="4" t="n">
        <x:v>0</x:v>
      </x:c>
      <x:c r="E639" s="4" t="n">
        <x:v>60</x:v>
      </x:c>
      <x:c r="F639" s="4" t="n">
        <x:v>9295</x:v>
      </x:c>
      <x:c r="G639" s="5" t="n">
        <x:v>0.5962</x:v>
      </x:c>
      <x:c r="H639" s="5" t="n">
        <x:v>0.6987000000000001</x:v>
      </x:c>
      <x:c r="I639" s="5" t="n">
        <x:v>0.4888</x:v>
      </x:c>
      <x:c r="J639" s="4" t="n">
        <x:v>733</x:v>
      </x:c>
      <x:c r="K639" s="4" t="n">
        <x:v>437</x:v>
      </x:c>
      <x:c r="L639" s="4" t="n">
        <x:v>375</x:v>
      </x:c>
      <x:c r="M639" s="4" t="n">
        <x:v>262</x:v>
      </x:c>
      <x:c r="N639" s="4" t="n">
        <x:v>358</x:v>
      </x:c>
      <x:c r="O639" s="4" t="n">
        <x:v>175</x:v>
      </x:c>
      <x:c r="P639" s="1" t="str">
        <x:v>PASS</x:v>
      </x:c>
      <x:c r="Q639" s="4" t="n">
        <x:v>0</x:v>
      </x:c>
      <x:c r="R639" s="1" t="str">
        <x:v>PASS</x:v>
      </x:c>
      <x:c r="S639" s="4" t="n">
        <x:v>0</x:v>
      </x:c>
      <x:c r="T639" s="1" t="str">
        <x:v>NOT_REVEALING</x:v>
      </x:c>
      <x:c r="U639" s="1" t="str">
        <x:v>Lang_16</x:v>
      </x:c>
      <x:c r="V639" s="6" t="n">
        <x:v>70.57</x:v>
      </x:c>
    </x:row>
    <x:row r="640" ht="22" customHeight="1">
      <x:c r="A640" s="1" t="str">
        <x:v>Round1</x:v>
      </x:c>
      <x:c r="B640" s="1" t="str">
        <x:v>Lang</x:v>
      </x:c>
      <x:c r="C640" s="4" t="n">
        <x:v>17</x:v>
      </x:c>
      <x:c r="D640" s="4" t="n">
        <x:v>0</x:v>
      </x:c>
      <x:c r="E640" s="4" t="n">
        <x:v>60</x:v>
      </x:c>
      <x:c r="F640" s="4" t="n">
        <x:v>20</x:v>
      </x:c>
      <x:c r="G640" s="5" t="n">
        <x:v>0.0213</x:v>
      </x:c>
      <x:c r="H640" s="5" t="n">
        <x:v>0.030299999999999997</x:v>
      </x:c>
      <x:c r="I640" s="5" t="n">
        <x:v>0</x:v>
      </x:c>
      <x:c r="J640" s="4" t="n">
        <x:v>47</x:v>
      </x:c>
      <x:c r="K640" s="4" t="n">
        <x:v>1</x:v>
      </x:c>
      <x:c r="L640" s="4" t="n">
        <x:v>33</x:v>
      </x:c>
      <x:c r="M640" s="4" t="n">
        <x:v>1</x:v>
      </x:c>
      <x:c r="N640" s="4" t="n">
        <x:v>14</x:v>
      </x:c>
      <x:c r="O640" s="4" t="n">
        <x:v>0</x:v>
      </x:c>
      <x:c r="P640" s="1" t="str">
        <x:v>PASS</x:v>
      </x:c>
      <x:c r="Q640" s="4" t="n">
        <x:v>0</x:v>
      </x:c>
      <x:c r="R640" s="1" t="str">
        <x:v>PASS</x:v>
      </x:c>
      <x:c r="S640" s="4" t="n">
        <x:v>0</x:v>
      </x:c>
      <x:c r="T640" s="1" t="str">
        <x:v>NOT_REVEALING</x:v>
      </x:c>
      <x:c r="U640" s="1" t="str">
        <x:v>Lang_17</x:v>
      </x:c>
      <x:c r="V640" s="6" t="n">
        <x:v>35.54</x:v>
      </x:c>
    </x:row>
    <x:row r="641" ht="22" customHeight="1">
      <x:c r="A641" s="1" t="str">
        <x:v>Round1</x:v>
      </x:c>
      <x:c r="B641" s="1" t="str">
        <x:v>Lang</x:v>
      </x:c>
      <x:c r="C641" s="4" t="n">
        <x:v>19</x:v>
      </x:c>
      <x:c r="D641" s="4" t="n">
        <x:v>0</x:v>
      </x:c>
      <x:c r="E641" s="4" t="n">
        <x:v>60</x:v>
      </x:c>
      <x:c r="F641" s="4" t="n">
        <x:v>4673</x:v>
      </x:c>
      <x:c r="G641" s="5" t="n">
        <x:v>0.11109999999999999</x:v>
      </x:c>
      <x:c r="H641" s="5" t="n">
        <x:v>0.1481</x:v>
      </x:c>
      <x:c r="I641" s="5" t="n">
        <x:v>0.0556</x:v>
      </x:c>
      <x:c r="J641" s="4" t="n">
        <x:v>45</x:v>
      </x:c>
      <x:c r="K641" s="4" t="n">
        <x:v>5</x:v>
      </x:c>
      <x:c r="L641" s="4" t="n">
        <x:v>27</x:v>
      </x:c>
      <x:c r="M641" s="4" t="n">
        <x:v>4</x:v>
      </x:c>
      <x:c r="N641" s="4" t="n">
        <x:v>18</x:v>
      </x:c>
      <x:c r="O641" s="4" t="n">
        <x:v>1</x:v>
      </x:c>
      <x:c r="P641" s="1" t="str">
        <x:v>PASS</x:v>
      </x:c>
      <x:c r="Q641" s="4" t="n">
        <x:v>0</x:v>
      </x:c>
      <x:c r="R641" s="1" t="str">
        <x:v>PASS</x:v>
      </x:c>
      <x:c r="S641" s="4" t="n">
        <x:v>0</x:v>
      </x:c>
      <x:c r="T641" s="1" t="str">
        <x:v>NOT_REVEALING</x:v>
      </x:c>
      <x:c r="U641" s="1" t="str">
        <x:v>Lang_19</x:v>
      </x:c>
      <x:c r="V641" s="6" t="n">
        <x:v>152.11</x:v>
      </x:c>
    </x:row>
    <x:row r="642" ht="22" customHeight="1">
      <x:c r="A642" s="1" t="str">
        <x:v>Round1</x:v>
      </x:c>
      <x:c r="B642" s="1" t="str">
        <x:v>Lang</x:v>
      </x:c>
      <x:c r="C642" s="4" t="n">
        <x:v>20</x:v>
      </x:c>
      <x:c r="D642" s="4" t="n">
        <x:v>0</x:v>
      </x:c>
      <x:c r="E642" s="4" t="n">
        <x:v>60</x:v>
      </x:c>
      <x:c r="F642" s="4" t="n">
        <x:v>11958</x:v>
      </x:c>
      <x:c r="G642" s="5" t="n">
        <x:v>0.8512000000000001</x:v>
      </x:c>
      <x:c r="H642" s="5" t="n">
        <x:v>0.8729</x:v>
      </x:c>
      <x:c r="I642" s="5" t="n">
        <x:v>0.8268000000000001</x:v>
      </x:c>
      <x:c r="J642" s="4" t="n">
        <x:v>2447</x:v>
      </x:c>
      <x:c r="K642" s="4" t="n">
        <x:v>2083</x:v>
      </x:c>
      <x:c r="L642" s="4" t="n">
        <x:v>1298</x:v>
      </x:c>
      <x:c r="M642" s="4" t="n">
        <x:v>1133</x:v>
      </x:c>
      <x:c r="N642" s="4" t="n">
        <x:v>1149</x:v>
      </x:c>
      <x:c r="O642" s="4" t="n">
        <x:v>950</x:v>
      </x:c>
      <x:c r="P642" s="1" t="str">
        <x:v>PASS</x:v>
      </x:c>
      <x:c r="Q642" s="4" t="n">
        <x:v>0</x:v>
      </x:c>
      <x:c r="R642" s="1" t="str">
        <x:v>PASS</x:v>
      </x:c>
      <x:c r="S642" s="4" t="n">
        <x:v>0</x:v>
      </x:c>
      <x:c r="T642" s="1" t="str">
        <x:v>NOT_REVEALING</x:v>
      </x:c>
      <x:c r="U642" s="1" t="str">
        <x:v>Lang_20</x:v>
      </x:c>
      <x:c r="V642" s="6" t="n">
        <x:v>88.98</x:v>
      </x:c>
    </x:row>
    <x:row r="643" ht="22" customHeight="1">
      <x:c r="A643" s="1" t="str">
        <x:v>Round1</x:v>
      </x:c>
      <x:c r="B643" s="1" t="str">
        <x:v>Lang</x:v>
      </x:c>
      <x:c r="C643" s="4" t="n">
        <x:v>21</x:v>
      </x:c>
      <x:c r="D643" s="4" t="n">
        <x:v>0</x:v>
      </x:c>
      <x:c r="E643" s="4" t="n">
        <x:v>60</x:v>
      </x:c>
      <x:c r="F643" s="4" t="n">
        <x:v>3831</x:v>
      </x:c>
      <x:c r="G643" s="5" t="n">
        <x:v>0.9068999999999999</x:v>
      </x:c>
      <x:c r="H643" s="5" t="n">
        <x:v>0.9373</x:v>
      </x:c>
      <x:c r="I643" s="5" t="n">
        <x:v>0.8623999999999999</x:v>
      </x:c>
      <x:c r="J643" s="4" t="n">
        <x:v>537</x:v>
      </x:c>
      <x:c r="K643" s="4" t="n">
        <x:v>487</x:v>
      </x:c>
      <x:c r="L643" s="4" t="n">
        <x:v>319</x:v>
      </x:c>
      <x:c r="M643" s="4" t="n">
        <x:v>299</x:v>
      </x:c>
      <x:c r="N643" s="4" t="n">
        <x:v>218</x:v>
      </x:c>
      <x:c r="O643" s="4" t="n">
        <x:v>188</x:v>
      </x:c>
      <x:c r="P643" s="1" t="str">
        <x:v>FAIL</x:v>
      </x:c>
      <x:c r="Q643" s="4" t="n">
        <x:v>6970</x:v>
      </x:c>
      <x:c r="R643" s="1" t="str">
        <x:v>FAIL</x:v>
      </x:c>
      <x:c r="S643" s="4" t="n">
        <x:v>6970</x:v>
      </x:c>
      <x:c r="T643" s="1" t="str">
        <x:v>INCONCLUSIVE</x:v>
      </x:c>
      <x:c r="U643" s="1" t="str">
        <x:v>Lang_21</x:v>
      </x:c>
      <x:c r="V643" s="6" t="n">
        <x:v>128.56</x:v>
      </x:c>
    </x:row>
    <x:row r="644" ht="22" customHeight="1">
      <x:c r="A644" s="1" t="str">
        <x:v>Round1</x:v>
      </x:c>
      <x:c r="B644" s="1" t="str">
        <x:v>Lang</x:v>
      </x:c>
      <x:c r="C644" s="4" t="n">
        <x:v>22</x:v>
      </x:c>
      <x:c r="D644" s="4" t="n">
        <x:v>0</x:v>
      </x:c>
      <x:c r="E644" s="4" t="n">
        <x:v>60</x:v>
      </x:c>
      <x:c r="F644" s="4" t="n">
        <x:v>4267</x:v>
      </x:c>
      <x:c r="G644" s="5" t="n">
        <x:v>0.8948</x:v>
      </x:c>
      <x:c r="H644" s="5" t="n">
        <x:v>0.9317</x:v>
      </x:c>
      <x:c r="I644" s="5" t="n">
        <x:v>0.8404</x:v>
      </x:c>
      <x:c r="J644" s="4" t="n">
        <x:v>466</x:v>
      </x:c>
      <x:c r="K644" s="4" t="n">
        <x:v>417</x:v>
      </x:c>
      <x:c r="L644" s="4" t="n">
        <x:v>278</x:v>
      </x:c>
      <x:c r="M644" s="4" t="n">
        <x:v>259</x:v>
      </x:c>
      <x:c r="N644" s="4" t="n">
        <x:v>188</x:v>
      </x:c>
      <x:c r="O644" s="4" t="n">
        <x:v>158</x:v>
      </x:c>
      <x:c r="P644" s="1" t="str">
        <x:v>FAIL</x:v>
      </x:c>
      <x:c r="Q644" s="4" t="n">
        <x:v>76</x:v>
      </x:c>
      <x:c r="R644" s="1" t="str">
        <x:v>FAIL</x:v>
      </x:c>
      <x:c r="S644" s="4" t="n">
        <x:v>76</x:v>
      </x:c>
      <x:c r="T644" s="1" t="str">
        <x:v>INCONCLUSIVE</x:v>
      </x:c>
      <x:c r="U644" s="1" t="str">
        <x:v>Lang_22</x:v>
      </x:c>
      <x:c r="V644" s="6" t="n">
        <x:v>97.32</x:v>
      </x:c>
    </x:row>
    <x:row r="645" ht="22" customHeight="1">
      <x:c r="A645" s="1" t="str">
        <x:v>Round1</x:v>
      </x:c>
      <x:c r="B645" s="1" t="str">
        <x:v>Lang</x:v>
      </x:c>
      <x:c r="C645" s="4" t="n">
        <x:v>23</x:v>
      </x:c>
      <x:c r="D645" s="4" t="n">
        <x:v>0</x:v>
      </x:c>
      <x:c r="E645" s="4" t="n">
        <x:v>60</x:v>
      </x:c>
      <x:c r="F645" s="4" t="n">
        <x:v>5719</x:v>
      </x:c>
      <x:c r="G645" s="5" t="n">
        <x:v>0.07139999999999999</x:v>
      </x:c>
      <x:c r="H645" s="5" t="n">
        <x:v>0.10779999999999999</x:v>
      </x:c>
      <x:c r="I645" s="5" t="n">
        <x:v>0.0101</x:v>
      </x:c>
      <x:c r="J645" s="4" t="n">
        <x:v>266</x:v>
      </x:c>
      <x:c r="K645" s="4" t="n">
        <x:v>19</x:v>
      </x:c>
      <x:c r="L645" s="4" t="n">
        <x:v>167</x:v>
      </x:c>
      <x:c r="M645" s="4" t="n">
        <x:v>18</x:v>
      </x:c>
      <x:c r="N645" s="4" t="n">
        <x:v>99</x:v>
      </x:c>
      <x:c r="O645" s="4" t="n">
        <x:v>1</x:v>
      </x:c>
      <x:c r="P645" s="1" t="str">
        <x:v>PASS</x:v>
      </x:c>
      <x:c r="Q645" s="4" t="n">
        <x:v>0</x:v>
      </x:c>
      <x:c r="R645" s="1" t="str">
        <x:v>PASS</x:v>
      </x:c>
      <x:c r="S645" s="4" t="n">
        <x:v>0</x:v>
      </x:c>
      <x:c r="T645" s="1" t="str">
        <x:v>NOT_REVEALING</x:v>
      </x:c>
      <x:c r="U645" s="1" t="str">
        <x:v>Lang_23</x:v>
      </x:c>
      <x:c r="V645" s="6" t="n">
        <x:v>119.74</x:v>
      </x:c>
    </x:row>
    <x:row r="646" ht="22" customHeight="1">
      <x:c r="A646" s="1" t="str">
        <x:v>Round1</x:v>
      </x:c>
      <x:c r="B646" s="1" t="str">
        <x:v>Lang</x:v>
      </x:c>
      <x:c r="C646" s="4" t="n">
        <x:v>24</x:v>
      </x:c>
      <x:c r="D646" s="4" t="n">
        <x:v>0</x:v>
      </x:c>
      <x:c r="E646" s="4" t="n">
        <x:v>60</x:v>
      </x:c>
      <x:c r="F646" s="4" t="n">
        <x:v>9234</x:v>
      </x:c>
      <x:c r="G646" s="5" t="n">
        <x:v>0.5984</x:v>
      </x:c>
      <x:c r="H646" s="5" t="n">
        <x:v>0.6995</x:v>
      </x:c>
      <x:c r="I646" s="5" t="n">
        <x:v>0.4916</x:v>
      </x:c>
      <x:c r="J646" s="4" t="n">
        <x:v>732</x:v>
      </x:c>
      <x:c r="K646" s="4" t="n">
        <x:v>438</x:v>
      </x:c>
      <x:c r="L646" s="4" t="n">
        <x:v>376</x:v>
      </x:c>
      <x:c r="M646" s="4" t="n">
        <x:v>263</x:v>
      </x:c>
      <x:c r="N646" s="4" t="n">
        <x:v>356</x:v>
      </x:c>
      <x:c r="O646" s="4" t="n">
        <x:v>175</x:v>
      </x:c>
      <x:c r="P646" s="1" t="str">
        <x:v>PASS</x:v>
      </x:c>
      <x:c r="Q646" s="4" t="n">
        <x:v>0</x:v>
      </x:c>
      <x:c r="R646" s="1" t="str">
        <x:v>PASS</x:v>
      </x:c>
      <x:c r="S646" s="4" t="n">
        <x:v>0</x:v>
      </x:c>
      <x:c r="T646" s="1" t="str">
        <x:v>NOT_REVEALING</x:v>
      </x:c>
      <x:c r="U646" s="1" t="str">
        <x:v>Lang_24</x:v>
      </x:c>
      <x:c r="V646" s="6" t="n">
        <x:v>86.77</x:v>
      </x:c>
    </x:row>
    <x:row r="647" ht="22" customHeight="1">
      <x:c r="A647" s="1" t="str">
        <x:v>Round1</x:v>
      </x:c>
      <x:c r="B647" s="1" t="str">
        <x:v>Lang</x:v>
      </x:c>
      <x:c r="C647" s="4" t="n">
        <x:v>26</x:v>
      </x:c>
      <x:c r="D647" s="4" t="n">
        <x:v>0</x:v>
      </x:c>
      <x:c r="E647" s="4" t="n">
        <x:v>60</x:v>
      </x:c>
      <x:c r="F647" s="4" t="n">
        <x:v>5561</x:v>
      </x:c>
      <x:c r="G647" s="5" t="n">
        <x:v>0.733</x:v>
      </x:c>
      <x:c r="H647" s="5" t="n">
        <x:v>0.7462000000000001</x:v>
      </x:c>
      <x:c r="I647" s="5" t="n">
        <x:v>0.7061</x:v>
      </x:c>
      <x:c r="J647" s="4" t="n">
        <x:v>693</x:v>
      </x:c>
      <x:c r="K647" s="4" t="n">
        <x:v>508</x:v>
      </x:c>
      <x:c r="L647" s="4" t="n">
        <x:v>465</x:v>
      </x:c>
      <x:c r="M647" s="4" t="n">
        <x:v>347</x:v>
      </x:c>
      <x:c r="N647" s="4" t="n">
        <x:v>228</x:v>
      </x:c>
      <x:c r="O647" s="4" t="n">
        <x:v>161</x:v>
      </x:c>
      <x:c r="P647" s="1" t="str">
        <x:v>FAIL</x:v>
      </x:c>
      <x:c r="Q647" s="4" t="n">
        <x:v>9596</x:v>
      </x:c>
      <x:c r="R647" s="1" t="str">
        <x:v>FAIL</x:v>
      </x:c>
      <x:c r="S647" s="4" t="n">
        <x:v>9596</x:v>
      </x:c>
      <x:c r="T647" s="1" t="str">
        <x:v>INCONCLUSIVE</x:v>
      </x:c>
      <x:c r="U647" s="1" t="str">
        <x:v>Lang_26</x:v>
      </x:c>
      <x:c r="V647" s="6" t="n">
        <x:v>136.99</x:v>
      </x:c>
    </x:row>
    <x:row r="648" ht="22" customHeight="1">
      <x:c r="A648" s="1" t="str">
        <x:v>Round1</x:v>
      </x:c>
      <x:c r="B648" s="1" t="str">
        <x:v>Lang</x:v>
      </x:c>
      <x:c r="C648" s="4" t="n">
        <x:v>27</x:v>
      </x:c>
      <x:c r="D648" s="4" t="n">
        <x:v>0</x:v>
      </x:c>
      <x:c r="E648" s="4" t="n">
        <x:v>60</x:v>
      </x:c>
      <x:c r="F648" s="4" t="n">
        <x:v>9286</x:v>
      </x:c>
      <x:c r="G648" s="5" t="n">
        <x:v>0.6033</x:v>
      </x:c>
      <x:c r="H648" s="5" t="n">
        <x:v>0.7031999999999999</x:v>
      </x:c>
      <x:c r="I648" s="5" t="n">
        <x:v>0.4972</x:v>
      </x:c>
      <x:c r="J648" s="4" t="n">
        <x:v>726</x:v>
      </x:c>
      <x:c r="K648" s="4" t="n">
        <x:v>438</x:v>
      </x:c>
      <x:c r="L648" s="4" t="n">
        <x:v>374</x:v>
      </x:c>
      <x:c r="M648" s="4" t="n">
        <x:v>263</x:v>
      </x:c>
      <x:c r="N648" s="4" t="n">
        <x:v>352</x:v>
      </x:c>
      <x:c r="O648" s="4" t="n">
        <x:v>175</x:v>
      </x:c>
      <x:c r="P648" s="1" t="str">
        <x:v>PASS</x:v>
      </x:c>
      <x:c r="Q648" s="4" t="n">
        <x:v>0</x:v>
      </x:c>
      <x:c r="R648" s="1" t="str">
        <x:v>PASS</x:v>
      </x:c>
      <x:c r="S648" s="4" t="n">
        <x:v>0</x:v>
      </x:c>
      <x:c r="T648" s="1" t="str">
        <x:v>NOT_REVEALING</x:v>
      </x:c>
      <x:c r="U648" s="1" t="str">
        <x:v>Lang_27</x:v>
      </x:c>
      <x:c r="V648" s="6" t="n">
        <x:v>86.83</x:v>
      </x:c>
    </x:row>
    <x:row r="649" ht="22" customHeight="1">
      <x:c r="A649" s="1" t="str">
        <x:v>Round1</x:v>
      </x:c>
      <x:c r="B649" s="1" t="str">
        <x:v>Lang</x:v>
      </x:c>
      <x:c r="C649" s="4" t="n">
        <x:v>28</x:v>
      </x:c>
      <x:c r="D649" s="4" t="n">
        <x:v>0</x:v>
      </x:c>
      <x:c r="E649" s="4" t="n">
        <x:v>60</x:v>
      </x:c>
      <x:c r="F649" s="4" t="n">
        <x:v>4648</x:v>
      </x:c>
      <x:c r="G649" s="5" t="n">
        <x:v>0.1176</x:v>
      </x:c>
      <x:c r="H649" s="5" t="n">
        <x:v>0.15</x:v>
      </x:c>
      <x:c r="I649" s="5" t="n">
        <x:v>0.07139999999999999</x:v>
      </x:c>
      <x:c r="J649" s="4" t="n">
        <x:v>34</x:v>
      </x:c>
      <x:c r="K649" s="4" t="n">
        <x:v>4</x:v>
      </x:c>
      <x:c r="L649" s="4" t="n">
        <x:v>20</x:v>
      </x:c>
      <x:c r="M649" s="4" t="n">
        <x:v>3</x:v>
      </x:c>
      <x:c r="N649" s="4" t="n">
        <x:v>14</x:v>
      </x:c>
      <x:c r="O649" s="4" t="n">
        <x:v>1</x:v>
      </x:c>
      <x:c r="P649" s="1" t="str">
        <x:v>PASS</x:v>
      </x:c>
      <x:c r="Q649" s="4" t="n">
        <x:v>0</x:v>
      </x:c>
      <x:c r="R649" s="1" t="str">
        <x:v>PASS</x:v>
      </x:c>
      <x:c r="S649" s="4" t="n">
        <x:v>0</x:v>
      </x:c>
      <x:c r="T649" s="1" t="str">
        <x:v>NOT_REVEALING</x:v>
      </x:c>
      <x:c r="U649" s="1" t="str">
        <x:v>Lang_28</x:v>
      </x:c>
      <x:c r="V649" s="6" t="n">
        <x:v>150.23</x:v>
      </x:c>
    </x:row>
    <x:row r="650" ht="22" customHeight="1">
      <x:c r="A650" s="1" t="str">
        <x:v>Round1</x:v>
      </x:c>
      <x:c r="B650" s="1" t="str">
        <x:v>Lang</x:v>
      </x:c>
      <x:c r="C650" s="4" t="n">
        <x:v>29</x:v>
      </x:c>
      <x:c r="D650" s="4" t="n">
        <x:v>0</x:v>
      </x:c>
      <x:c r="E650" s="4" t="n">
        <x:v>60</x:v>
      </x:c>
      <x:c r="F650" s="4" t="n">
        <x:v>13814</x:v>
      </x:c>
      <x:c r="G650" s="5" t="n">
        <x:v>0.8743000000000001</x:v>
      </x:c>
      <x:c r="H650" s="5" t="n">
        <x:v>0.922</x:v>
      </x:c>
      <x:c r="I650" s="5" t="n">
        <x:v>0.74</x:v>
      </x:c>
      <x:c r="J650" s="4" t="n">
        <x:v>191</x:v>
      </x:c>
      <x:c r="K650" s="4" t="n">
        <x:v>167</x:v>
      </x:c>
      <x:c r="L650" s="4" t="n">
        <x:v>141</x:v>
      </x:c>
      <x:c r="M650" s="4" t="n">
        <x:v>130</x:v>
      </x:c>
      <x:c r="N650" s="4" t="n">
        <x:v>50</x:v>
      </x:c>
      <x:c r="O650" s="4" t="n">
        <x:v>37</x:v>
      </x:c>
      <x:c r="P650" s="1" t="str">
        <x:v>PASS</x:v>
      </x:c>
      <x:c r="Q650" s="4" t="n">
        <x:v>0</x:v>
      </x:c>
      <x:c r="R650" s="1" t="str">
        <x:v>PASS</x:v>
      </x:c>
      <x:c r="S650" s="4" t="n">
        <x:v>0</x:v>
      </x:c>
      <x:c r="T650" s="1" t="str">
        <x:v>NOT_REVEALING</x:v>
      </x:c>
      <x:c r="U650" s="1" t="str">
        <x:v>Lang_29</x:v>
      </x:c>
      <x:c r="V650" s="6" t="n">
        <x:v>74.68</x:v>
      </x:c>
    </x:row>
    <x:row r="651" ht="22" customHeight="1">
      <x:c r="A651" s="1" t="str">
        <x:v>Round1</x:v>
      </x:c>
      <x:c r="B651" s="1" t="str">
        <x:v>Lang</x:v>
      </x:c>
      <x:c r="C651" s="4" t="n">
        <x:v>30</x:v>
      </x:c>
      <x:c r="D651" s="4" t="n">
        <x:v>0</x:v>
      </x:c>
      <x:c r="E651" s="4" t="n">
        <x:v>60</x:v>
      </x:c>
      <x:c r="F651" s="4" t="n">
        <x:v>12170</x:v>
      </x:c>
      <x:c r="G651" s="5" t="n">
        <x:v>0.8431000000000001</x:v>
      </x:c>
      <x:c r="H651" s="5" t="n">
        <x:v>0.8654000000000001</x:v>
      </x:c>
      <x:c r="I651" s="5" t="n">
        <x:v>0.818</x:v>
      </x:c>
      <x:c r="J651" s="4" t="n">
        <x:v>2244</x:v>
      </x:c>
      <x:c r="K651" s="4" t="n">
        <x:v>1892</x:v>
      </x:c>
      <x:c r="L651" s="4" t="n">
        <x:v>1189</x:v>
      </x:c>
      <x:c r="M651" s="4" t="n">
        <x:v>1029</x:v>
      </x:c>
      <x:c r="N651" s="4" t="n">
        <x:v>1055</x:v>
      </x:c>
      <x:c r="O651" s="4" t="n">
        <x:v>863</x:v>
      </x:c>
      <x:c r="P651" s="1" t="str">
        <x:v>PASS</x:v>
      </x:c>
      <x:c r="Q651" s="4" t="n">
        <x:v>0</x:v>
      </x:c>
      <x:c r="R651" s="1" t="str">
        <x:v>NOT_RUN</x:v>
      </x:c>
      <x:c r="S651" s="4"/>
      <x:c r="T651" s="1" t="str">
        <x:v>NOT_AVAILABLE</x:v>
      </x:c>
      <x:c r="U651" s="1" t="str">
        <x:v>Lang_30</x:v>
      </x:c>
      <x:c r="V651" s="6" t="n">
        <x:v>67.47</x:v>
      </x:c>
    </x:row>
    <x:row r="652" ht="22" customHeight="1">
      <x:c r="A652" s="1" t="str">
        <x:v>Round1</x:v>
      </x:c>
      <x:c r="B652" s="1" t="str">
        <x:v>Lang</x:v>
      </x:c>
      <x:c r="C652" s="4" t="n">
        <x:v>31</x:v>
      </x:c>
      <x:c r="D652" s="4" t="n">
        <x:v>0</x:v>
      </x:c>
      <x:c r="E652" s="4" t="n">
        <x:v>60</x:v>
      </x:c>
      <x:c r="F652" s="4" t="n">
        <x:v>12465</x:v>
      </x:c>
      <x:c r="G652" s="5" t="n">
        <x:v>0.8456999999999999</x:v>
      </x:c>
      <x:c r="H652" s="5" t="n">
        <x:v>0.8718</x:v>
      </x:c>
      <x:c r="I652" s="5" t="n">
        <x:v>0.8162999999999999</x:v>
      </x:c>
      <x:c r="J652" s="4" t="n">
        <x:v>2223</x:v>
      </x:c>
      <x:c r="K652" s="4" t="n">
        <x:v>1880</x:v>
      </x:c>
      <x:c r="L652" s="4" t="n">
        <x:v>1178</x:v>
      </x:c>
      <x:c r="M652" s="4" t="n">
        <x:v>1027</x:v>
      </x:c>
      <x:c r="N652" s="4" t="n">
        <x:v>1045</x:v>
      </x:c>
      <x:c r="O652" s="4" t="n">
        <x:v>853</x:v>
      </x:c>
      <x:c r="P652" s="1" t="str">
        <x:v>PASS</x:v>
      </x:c>
      <x:c r="Q652" s="4" t="n">
        <x:v>0</x:v>
      </x:c>
      <x:c r="R652" s="1" t="str">
        <x:v>PASS</x:v>
      </x:c>
      <x:c r="S652" s="4" t="n">
        <x:v>0</x:v>
      </x:c>
      <x:c r="T652" s="1" t="str">
        <x:v>NOT_REVEALING</x:v>
      </x:c>
      <x:c r="U652" s="1" t="str">
        <x:v>Lang_31</x:v>
      </x:c>
      <x:c r="V652" s="6" t="n">
        <x:v>78.79</x:v>
      </x:c>
    </x:row>
    <x:row r="653" ht="22" customHeight="1">
      <x:c r="A653" s="1" t="str">
        <x:v>Round1</x:v>
      </x:c>
      <x:c r="B653" s="1" t="str">
        <x:v>Lang</x:v>
      </x:c>
      <x:c r="C653" s="4" t="n">
        <x:v>32</x:v>
      </x:c>
      <x:c r="D653" s="4" t="n">
        <x:v>0</x:v>
      </x:c>
      <x:c r="E653" s="4" t="n">
        <x:v>60</x:v>
      </x:c>
      <x:c r="F653" s="4" t="n">
        <x:v>4305</x:v>
      </x:c>
      <x:c r="G653" s="5" t="n">
        <x:v>0.9526</x:v>
      </x:c>
      <x:c r="H653" s="5" t="n">
        <x:v>0.9589</x:v>
      </x:c>
      <x:c r="I653" s="5" t="n">
        <x:v>0.9419</x:v>
      </x:c>
      <x:c r="J653" s="4" t="n">
        <x:v>232</x:v>
      </x:c>
      <x:c r="K653" s="4" t="n">
        <x:v>221</x:v>
      </x:c>
      <x:c r="L653" s="4" t="n">
        <x:v>146</x:v>
      </x:c>
      <x:c r="M653" s="4" t="n">
        <x:v>140</x:v>
      </x:c>
      <x:c r="N653" s="4" t="n">
        <x:v>86</x:v>
      </x:c>
      <x:c r="O653" s="4" t="n">
        <x:v>81</x:v>
      </x:c>
      <x:c r="P653" s="1" t="str">
        <x:v>FAIL</x:v>
      </x:c>
      <x:c r="Q653" s="4" t="n">
        <x:v>85</x:v>
      </x:c>
      <x:c r="R653" s="1" t="str">
        <x:v>FAIL</x:v>
      </x:c>
      <x:c r="S653" s="4" t="n">
        <x:v>86</x:v>
      </x:c>
      <x:c r="T653" s="1" t="str">
        <x:v>INCONCLUSIVE</x:v>
      </x:c>
      <x:c r="U653" s="1" t="str">
        <x:v>Lang_32</x:v>
      </x:c>
      <x:c r="V653" s="6" t="n">
        <x:v>147.75</x:v>
      </x:c>
    </x:row>
    <x:row r="654" ht="22" customHeight="1">
      <x:c r="A654" s="1" t="str">
        <x:v>Round1</x:v>
      </x:c>
      <x:c r="B654" s="1" t="str">
        <x:v>Lang</x:v>
      </x:c>
      <x:c r="C654" s="4" t="n">
        <x:v>33</x:v>
      </x:c>
      <x:c r="D654" s="4" t="n">
        <x:v>0</x:v>
      </x:c>
      <x:c r="E654" s="4" t="n">
        <x:v>60</x:v>
      </x:c>
      <x:c r="F654" s="4" t="n">
        <x:v>1107</x:v>
      </x:c>
      <x:c r="G654" s="5" t="n">
        <x:v>0.5418</x:v>
      </x:c>
      <x:c r="H654" s="5" t="n">
        <x:v>0.6084</x:v>
      </x:c>
      <x:c r="I654" s="5" t="n">
        <x:v>0.4537</x:v>
      </x:c>
      <x:c r="J654" s="4" t="n">
        <x:v>502</x:v>
      </x:c>
      <x:c r="K654" s="4" t="n">
        <x:v>272</x:v>
      </x:c>
      <x:c r="L654" s="4" t="n">
        <x:v>286</x:v>
      </x:c>
      <x:c r="M654" s="4" t="n">
        <x:v>174</x:v>
      </x:c>
      <x:c r="N654" s="4" t="n">
        <x:v>216</x:v>
      </x:c>
      <x:c r="O654" s="4" t="n">
        <x:v>98</x:v>
      </x:c>
      <x:c r="P654" s="1" t="str">
        <x:v>PASS</x:v>
      </x:c>
      <x:c r="Q654" s="4" t="n">
        <x:v>0</x:v>
      </x:c>
      <x:c r="R654" s="1" t="str">
        <x:v>FAIL</x:v>
      </x:c>
      <x:c r="S654" s="4" t="n">
        <x:v>98</x:v>
      </x:c>
      <x:c r="T654" s="1" t="str">
        <x:v>INCONCLUSIVE</x:v>
      </x:c>
      <x:c r="U654" s="1" t="str">
        <x:v>Lang_33</x:v>
      </x:c>
      <x:c r="V654" s="6" t="n">
        <x:v>77.27</x:v>
      </x:c>
    </x:row>
    <x:row r="655" ht="22" customHeight="1">
      <x:c r="A655" s="1" t="str">
        <x:v>Round1</x:v>
      </x:c>
      <x:c r="B655" s="1" t="str">
        <x:v>Lang</x:v>
      </x:c>
      <x:c r="C655" s="4" t="n">
        <x:v>34</x:v>
      </x:c>
      <x:c r="D655" s="4" t="n">
        <x:v>0</x:v>
      </x:c>
      <x:c r="E655" s="4" t="n">
        <x:v>60</x:v>
      </x:c>
      <x:c r="F655" s="4" t="n">
        <x:v>7216</x:v>
      </x:c>
      <x:c r="G655" s="5" t="n">
        <x:v>0.5663</x:v>
      </x:c>
      <x:c r="H655" s="5" t="n">
        <x:v>0.5981000000000001</x:v>
      </x:c>
      <x:c r="I655" s="5" t="n">
        <x:v>0.4907</x:v>
      </x:c>
      <x:c r="J655" s="4" t="n">
        <x:v>731</x:v>
      </x:c>
      <x:c r="K655" s="4" t="n">
        <x:v>414</x:v>
      </x:c>
      <x:c r="L655" s="4" t="n">
        <x:v>515</x:v>
      </x:c>
      <x:c r="M655" s="4" t="n">
        <x:v>308</x:v>
      </x:c>
      <x:c r="N655" s="4" t="n">
        <x:v>216</x:v>
      </x:c>
      <x:c r="O655" s="4" t="n">
        <x:v>106</x:v>
      </x:c>
      <x:c r="P655" s="1" t="str">
        <x:v>FAIL</x:v>
      </x:c>
      <x:c r="Q655" s="4" t="n">
        <x:v>467</x:v>
      </x:c>
      <x:c r="R655" s="1" t="str">
        <x:v>FAIL</x:v>
      </x:c>
      <x:c r="S655" s="4" t="n">
        <x:v>467</x:v>
      </x:c>
      <x:c r="T655" s="1" t="str">
        <x:v>INCONCLUSIVE</x:v>
      </x:c>
      <x:c r="U655" s="1" t="str">
        <x:v>Lang_34</x:v>
      </x:c>
      <x:c r="V655" s="6" t="n">
        <x:v>86.92</x:v>
      </x:c>
    </x:row>
    <x:row r="656" ht="22" customHeight="1">
      <x:c r="A656" s="1" t="str">
        <x:v>Round1</x:v>
      </x:c>
      <x:c r="B656" s="1" t="str">
        <x:v>Lang</x:v>
      </x:c>
      <x:c r="C656" s="4" t="n">
        <x:v>35</x:v>
      </x:c>
      <x:c r="D656" s="4" t="n">
        <x:v>0</x:v>
      </x:c>
      <x:c r="E656" s="4" t="n">
        <x:v>60</x:v>
      </x:c>
      <x:c r="F656" s="4" t="n">
        <x:v>4985</x:v>
      </x:c>
      <x:c r="G656" s="5" t="n">
        <x:v>0.9616</x:v>
      </x:c>
      <x:c r="H656" s="5" t="n">
        <x:v>0.9906999999999999</x:v>
      </x:c>
      <x:c r="I656" s="5" t="n">
        <x:v>0.9268000000000001</x:v>
      </x:c>
      <x:c r="J656" s="4" t="n">
        <x:v>1770</x:v>
      </x:c>
      <x:c r="K656" s="4" t="n">
        <x:v>1702</x:v>
      </x:c>
      <x:c r="L656" s="4" t="n">
        <x:v>964</x:v>
      </x:c>
      <x:c r="M656" s="4" t="n">
        <x:v>955</x:v>
      </x:c>
      <x:c r="N656" s="4" t="n">
        <x:v>806</x:v>
      </x:c>
      <x:c r="O656" s="4" t="n">
        <x:v>747</x:v>
      </x:c>
      <x:c r="P656" s="1" t="str">
        <x:v>PASS</x:v>
      </x:c>
      <x:c r="Q656" s="4" t="n">
        <x:v>0</x:v>
      </x:c>
      <x:c r="R656" s="1" t="str">
        <x:v>PASS</x:v>
      </x:c>
      <x:c r="S656" s="4" t="n">
        <x:v>0</x:v>
      </x:c>
      <x:c r="T656" s="1" t="str">
        <x:v>NOT_REVEALING</x:v>
      </x:c>
      <x:c r="U656" s="1" t="str">
        <x:v>Lang_35</x:v>
      </x:c>
      <x:c r="V656" s="6" t="n">
        <x:v>121.11</x:v>
      </x:c>
    </x:row>
    <x:row r="657" ht="22" customHeight="1">
      <x:c r="A657" s="1" t="str">
        <x:v>Round1</x:v>
      </x:c>
      <x:c r="B657" s="1" t="str">
        <x:v>Lang</x:v>
      </x:c>
      <x:c r="C657" s="4" t="n">
        <x:v>36</x:v>
      </x:c>
      <x:c r="D657" s="4" t="n">
        <x:v>0</x:v>
      </x:c>
      <x:c r="E657" s="4" t="n">
        <x:v>60</x:v>
      </x:c>
      <x:c r="F657" s="4" t="n">
        <x:v>9054</x:v>
      </x:c>
      <x:c r="G657" s="5" t="n">
        <x:v>0.612</x:v>
      </x:c>
      <x:c r="H657" s="5" t="n">
        <x:v>0.7108</x:v>
      </x:c>
      <x:c r="I657" s="5" t="n">
        <x:v>0.5058</x:v>
      </x:c>
      <x:c r="J657" s="4" t="n">
        <x:v>714</x:v>
      </x:c>
      <x:c r="K657" s="4" t="n">
        <x:v>437</x:v>
      </x:c>
      <x:c r="L657" s="4" t="n">
        <x:v>370</x:v>
      </x:c>
      <x:c r="M657" s="4" t="n">
        <x:v>263</x:v>
      </x:c>
      <x:c r="N657" s="4" t="n">
        <x:v>344</x:v>
      </x:c>
      <x:c r="O657" s="4" t="n">
        <x:v>174</x:v>
      </x:c>
      <x:c r="P657" s="1" t="str">
        <x:v>PASS</x:v>
      </x:c>
      <x:c r="Q657" s="4" t="n">
        <x:v>0</x:v>
      </x:c>
      <x:c r="R657" s="1" t="str">
        <x:v>PASS</x:v>
      </x:c>
      <x:c r="S657" s="4" t="n">
        <x:v>0</x:v>
      </x:c>
      <x:c r="T657" s="1" t="str">
        <x:v>NOT_REVEALING</x:v>
      </x:c>
      <x:c r="U657" s="1" t="str">
        <x:v>Lang_36</x:v>
      </x:c>
      <x:c r="V657" s="6" t="n">
        <x:v>84.69</x:v>
      </x:c>
    </x:row>
    <x:row r="658" ht="22" customHeight="1">
      <x:c r="A658" s="1" t="str">
        <x:v>Round1</x:v>
      </x:c>
      <x:c r="B658" s="1" t="str">
        <x:v>Lang</x:v>
      </x:c>
      <x:c r="C658" s="4" t="n">
        <x:v>37</x:v>
      </x:c>
      <x:c r="D658" s="4" t="n">
        <x:v>0</x:v>
      </x:c>
      <x:c r="E658" s="4" t="n">
        <x:v>60</x:v>
      </x:c>
      <x:c r="F658" s="4" t="n">
        <x:v>4995</x:v>
      </x:c>
      <x:c r="G658" s="5" t="n">
        <x:v>0.9634999999999999</x:v>
      </x:c>
      <x:c r="H658" s="5" t="n">
        <x:v>0.9832</x:v>
      </x:c>
      <x:c r="I658" s="5" t="n">
        <x:v>0.9403</x:v>
      </x:c>
      <x:c r="J658" s="4" t="n">
        <x:v>1755</x:v>
      </x:c>
      <x:c r="K658" s="4" t="n">
        <x:v>1691</x:v>
      </x:c>
      <x:c r="L658" s="4" t="n">
        <x:v>951</x:v>
      </x:c>
      <x:c r="M658" s="4" t="n">
        <x:v>935</x:v>
      </x:c>
      <x:c r="N658" s="4" t="n">
        <x:v>804</x:v>
      </x:c>
      <x:c r="O658" s="4" t="n">
        <x:v>756</x:v>
      </x:c>
      <x:c r="P658" s="1" t="str">
        <x:v>PASS</x:v>
      </x:c>
      <x:c r="Q658" s="4" t="n">
        <x:v>0</x:v>
      </x:c>
      <x:c r="R658" s="1" t="str">
        <x:v>FAIL</x:v>
      </x:c>
      <x:c r="S658" s="4" t="n">
        <x:v>4</x:v>
      </x:c>
      <x:c r="T658" s="1" t="str">
        <x:v>INCONCLUSIVE</x:v>
      </x:c>
      <x:c r="U658" s="1" t="str">
        <x:v>Lang_37</x:v>
      </x:c>
      <x:c r="V658" s="6" t="n">
        <x:v>126.21</x:v>
      </x:c>
    </x:row>
    <x:row r="659" ht="22" customHeight="1">
      <x:c r="A659" s="1" t="str">
        <x:v>Round1</x:v>
      </x:c>
      <x:c r="B659" s="1" t="str">
        <x:v>Lang</x:v>
      </x:c>
      <x:c r="C659" s="4" t="n">
        <x:v>38</x:v>
      </x:c>
      <x:c r="D659" s="4" t="n">
        <x:v>0</x:v>
      </x:c>
      <x:c r="E659" s="4" t="n">
        <x:v>60</x:v>
      </x:c>
      <x:c r="F659" s="4" t="n">
        <x:v>5477</x:v>
      </x:c>
      <x:c r="G659" s="5" t="n">
        <x:v>0.7341</x:v>
      </x:c>
      <x:c r="H659" s="5" t="n">
        <x:v>0.7478</x:v>
      </x:c>
      <x:c r="I659" s="5" t="n">
        <x:v>0.7061</x:v>
      </x:c>
      <x:c r="J659" s="4" t="n">
        <x:v>692</x:v>
      </x:c>
      <x:c r="K659" s="4" t="n">
        <x:v>508</x:v>
      </x:c>
      <x:c r="L659" s="4" t="n">
        <x:v>464</x:v>
      </x:c>
      <x:c r="M659" s="4" t="n">
        <x:v>347</x:v>
      </x:c>
      <x:c r="N659" s="4" t="n">
        <x:v>228</x:v>
      </x:c>
      <x:c r="O659" s="4" t="n">
        <x:v>161</x:v>
      </x:c>
      <x:c r="P659" s="1" t="str">
        <x:v>FAIL</x:v>
      </x:c>
      <x:c r="Q659" s="4" t="n">
        <x:v>9452</x:v>
      </x:c>
      <x:c r="R659" s="1" t="str">
        <x:v>FAIL</x:v>
      </x:c>
      <x:c r="S659" s="4" t="n">
        <x:v>9452</x:v>
      </x:c>
      <x:c r="T659" s="1" t="str">
        <x:v>INCONCLUSIVE</x:v>
      </x:c>
      <x:c r="U659" s="1" t="str">
        <x:v>Lang_38</x:v>
      </x:c>
      <x:c r="V659" s="6" t="n">
        <x:v>140.92</x:v>
      </x:c>
    </x:row>
    <x:row r="660" ht="22" customHeight="1">
      <x:c r="A660" s="1" t="str">
        <x:v>Round1</x:v>
      </x:c>
      <x:c r="B660" s="1" t="str">
        <x:v>Lang</x:v>
      </x:c>
      <x:c r="C660" s="4" t="n">
        <x:v>39</x:v>
      </x:c>
      <x:c r="D660" s="4" t="n">
        <x:v>0</x:v>
      </x:c>
      <x:c r="E660" s="4" t="n">
        <x:v>60</x:v>
      </x:c>
      <x:c r="F660" s="4" t="n">
        <x:v>12116</x:v>
      </x:c>
      <x:c r="G660" s="5" t="n">
        <x:v>0.8287</x:v>
      </x:c>
      <x:c r="H660" s="5" t="n">
        <x:v>0.8588</x:v>
      </x:c>
      <x:c r="I660" s="5" t="n">
        <x:v>0.795</x:v>
      </x:c>
      <x:c r="J660" s="4" t="n">
        <x:v>2131</x:v>
      </x:c>
      <x:c r="K660" s="4" t="n">
        <x:v>1766</x:v>
      </x:c>
      <x:c r="L660" s="4" t="n">
        <x:v>1126</x:v>
      </x:c>
      <x:c r="M660" s="4" t="n">
        <x:v>967</x:v>
      </x:c>
      <x:c r="N660" s="4" t="n">
        <x:v>1005</x:v>
      </x:c>
      <x:c r="O660" s="4" t="n">
        <x:v>799</x:v>
      </x:c>
      <x:c r="P660" s="1" t="str">
        <x:v>PASS</x:v>
      </x:c>
      <x:c r="Q660" s="4" t="n">
        <x:v>0</x:v>
      </x:c>
      <x:c r="R660" s="1" t="str">
        <x:v>PASS</x:v>
      </x:c>
      <x:c r="S660" s="4" t="n">
        <x:v>0</x:v>
      </x:c>
      <x:c r="T660" s="1" t="str">
        <x:v>NOT_REVEALING</x:v>
      </x:c>
      <x:c r="U660" s="1" t="str">
        <x:v>Lang_39</x:v>
      </x:c>
      <x:c r="V660" s="6" t="n">
        <x:v>80.73</x:v>
      </x:c>
    </x:row>
    <x:row r="661" ht="22" customHeight="1">
      <x:c r="A661" s="1" t="str">
        <x:v>Round1</x:v>
      </x:c>
      <x:c r="B661" s="1" t="str">
        <x:v>Lang</x:v>
      </x:c>
      <x:c r="C661" s="4" t="n">
        <x:v>40</x:v>
      </x:c>
      <x:c r="D661" s="4" t="n">
        <x:v>0</x:v>
      </x:c>
      <x:c r="E661" s="4" t="n">
        <x:v>60</x:v>
      </x:c>
      <x:c r="F661" s="4" t="n">
        <x:v>12131</x:v>
      </x:c>
      <x:c r="G661" s="5" t="n">
        <x:v>0.838</x:v>
      </x:c>
      <x:c r="H661" s="5" t="n">
        <x:v>0.875</x:v>
      </x:c>
      <x:c r="I661" s="5" t="n">
        <x:v>0.7974</x:v>
      </x:c>
      <x:c r="J661" s="4" t="n">
        <x:v>2093</x:v>
      </x:c>
      <x:c r="K661" s="4" t="n">
        <x:v>1754</x:v>
      </x:c>
      <x:c r="L661" s="4" t="n">
        <x:v>1096</x:v>
      </x:c>
      <x:c r="M661" s="4" t="n">
        <x:v>959</x:v>
      </x:c>
      <x:c r="N661" s="4" t="n">
        <x:v>997</x:v>
      </x:c>
      <x:c r="O661" s="4" t="n">
        <x:v>795</x:v>
      </x:c>
      <x:c r="P661" s="1" t="str">
        <x:v>PASS</x:v>
      </x:c>
      <x:c r="Q661" s="4" t="n">
        <x:v>0</x:v>
      </x:c>
      <x:c r="R661" s="1" t="str">
        <x:v>PASS</x:v>
      </x:c>
      <x:c r="S661" s="4" t="n">
        <x:v>0</x:v>
      </x:c>
      <x:c r="T661" s="1" t="str">
        <x:v>NOT_REVEALING</x:v>
      </x:c>
      <x:c r="U661" s="1" t="str">
        <x:v>Lang_40</x:v>
      </x:c>
      <x:c r="V661" s="6" t="n">
        <x:v>83.94</x:v>
      </x:c>
    </x:row>
    <x:row r="662" ht="22" customHeight="1">
      <x:c r="A662" s="1" t="str">
        <x:v>Round1</x:v>
      </x:c>
      <x:c r="B662" s="1" t="str">
        <x:v>Lang</x:v>
      </x:c>
      <x:c r="C662" s="4" t="n">
        <x:v>41</x:v>
      </x:c>
      <x:c r="D662" s="4" t="n">
        <x:v>0</x:v>
      </x:c>
      <x:c r="E662" s="4" t="n">
        <x:v>60</x:v>
      </x:c>
      <x:c r="F662" s="4" t="n">
        <x:v>1155</x:v>
      </x:c>
      <x:c r="G662" s="5" t="n">
        <x:v>0.4841</x:v>
      </x:c>
      <x:c r="H662" s="5" t="n">
        <x:v>0.5640999999999999</x:v>
      </x:c>
      <x:c r="I662" s="5" t="n">
        <x:v>0.3737</x:v>
      </x:c>
      <x:c r="J662" s="4" t="n">
        <x:v>471</x:v>
      </x:c>
      <x:c r="K662" s="4" t="n">
        <x:v>228</x:v>
      </x:c>
      <x:c r="L662" s="4" t="n">
        <x:v>273</x:v>
      </x:c>
      <x:c r="M662" s="4" t="n">
        <x:v>154</x:v>
      </x:c>
      <x:c r="N662" s="4" t="n">
        <x:v>198</x:v>
      </x:c>
      <x:c r="O662" s="4" t="n">
        <x:v>74</x:v>
      </x:c>
      <x:c r="P662" s="1" t="str">
        <x:v>PASS</x:v>
      </x:c>
      <x:c r="Q662" s="4" t="n">
        <x:v>0</x:v>
      </x:c>
      <x:c r="R662" s="1" t="str">
        <x:v>FAIL</x:v>
      </x:c>
      <x:c r="S662" s="4" t="n">
        <x:v>802</x:v>
      </x:c>
      <x:c r="T662" s="1" t="str">
        <x:v>INCONCLUSIVE</x:v>
      </x:c>
      <x:c r="U662" s="1" t="str">
        <x:v>Lang_41</x:v>
      </x:c>
      <x:c r="V662" s="6" t="n">
        <x:v>76.28</x:v>
      </x:c>
    </x:row>
    <x:row r="663" ht="22" customHeight="1">
      <x:c r="A663" s="1" t="str">
        <x:v>Round1</x:v>
      </x:c>
      <x:c r="B663" s="1" t="str">
        <x:v>Lang</x:v>
      </x:c>
      <x:c r="C663" s="4" t="n">
        <x:v>42</x:v>
      </x:c>
      <x:c r="D663" s="4" t="n">
        <x:v>0</x:v>
      </x:c>
      <x:c r="E663" s="4" t="n">
        <x:v>60</x:v>
      </x:c>
      <x:c r="F663" s="4" t="n">
        <x:v>5573</x:v>
      </x:c>
      <x:c r="G663" s="5" t="n">
        <x:v>0.6827</x:v>
      </x:c>
      <x:c r="H663" s="5" t="n">
        <x:v>0.715</x:v>
      </x:c>
      <x:c r="I663" s="5" t="n">
        <x:v>0.5781000000000001</x:v>
      </x:c>
      <x:c r="J663" s="4" t="n">
        <x:v>271</x:v>
      </x:c>
      <x:c r="K663" s="4" t="n">
        <x:v>185</x:v>
      </x:c>
      <x:c r="L663" s="4" t="n">
        <x:v>207</x:v>
      </x:c>
      <x:c r="M663" s="4" t="n">
        <x:v>148</x:v>
      </x:c>
      <x:c r="N663" s="4" t="n">
        <x:v>64</x:v>
      </x:c>
      <x:c r="O663" s="4" t="n">
        <x:v>37</x:v>
      </x:c>
      <x:c r="P663" s="1" t="str">
        <x:v>FAIL</x:v>
      </x:c>
      <x:c r="Q663" s="4" t="n">
        <x:v>172</x:v>
      </x:c>
      <x:c r="R663" s="1" t="str">
        <x:v>FAIL</x:v>
      </x:c>
      <x:c r="S663" s="4" t="n">
        <x:v>172</x:v>
      </x:c>
      <x:c r="T663" s="1" t="str">
        <x:v>INCONCLUSIVE</x:v>
      </x:c>
      <x:c r="U663" s="1" t="str">
        <x:v>Lang_42</x:v>
      </x:c>
      <x:c r="V663" s="6" t="n">
        <x:v>91.05</x:v>
      </x:c>
    </x:row>
    <x:row r="664" ht="22" customHeight="1">
      <x:c r="A664" s="1" t="str">
        <x:v>Round1</x:v>
      </x:c>
      <x:c r="B664" s="1" t="str">
        <x:v>Lang</x:v>
      </x:c>
      <x:c r="C664" s="4" t="n">
        <x:v>43</x:v>
      </x:c>
      <x:c r="D664" s="4" t="n">
        <x:v>0</x:v>
      </x:c>
      <x:c r="E664" s="4" t="n">
        <x:v>60</x:v>
      </x:c>
      <x:c r="F664" s="4" t="n">
        <x:v>3618</x:v>
      </x:c>
      <x:c r="G664" s="5" t="n">
        <x:v>0.07919999999999999</x:v>
      </x:c>
      <x:c r="H664" s="5" t="n">
        <x:v>0.12050000000000001</x:v>
      </x:c>
      <x:c r="I664" s="5" t="n">
        <x:v>0.0101</x:v>
      </x:c>
      <x:c r="J664" s="4" t="n">
        <x:v>265</x:v>
      </x:c>
      <x:c r="K664" s="4" t="n">
        <x:v>21</x:v>
      </x:c>
      <x:c r="L664" s="4" t="n">
        <x:v>166</x:v>
      </x:c>
      <x:c r="M664" s="4" t="n">
        <x:v>20</x:v>
      </x:c>
      <x:c r="N664" s="4" t="n">
        <x:v>99</x:v>
      </x:c>
      <x:c r="O664" s="4" t="n">
        <x:v>1</x:v>
      </x:c>
      <x:c r="P664" s="1" t="str">
        <x:v>PASS</x:v>
      </x:c>
      <x:c r="Q664" s="4" t="n">
        <x:v>0</x:v>
      </x:c>
      <x:c r="R664" s="1" t="str">
        <x:v>PASS</x:v>
      </x:c>
      <x:c r="S664" s="4" t="n">
        <x:v>0</x:v>
      </x:c>
      <x:c r="T664" s="1" t="str">
        <x:v>NOT_REVEALING</x:v>
      </x:c>
      <x:c r="U664" s="1" t="str">
        <x:v>Lang_43</x:v>
      </x:c>
      <x:c r="V664" s="6" t="n">
        <x:v>88.94</x:v>
      </x:c>
    </x:row>
    <x:row r="665" ht="22" customHeight="1">
      <x:c r="A665" s="1" t="str">
        <x:v>Round1</x:v>
      </x:c>
      <x:c r="B665" s="1" t="str">
        <x:v>Lang</x:v>
      </x:c>
      <x:c r="C665" s="4" t="n">
        <x:v>44</x:v>
      </x:c>
      <x:c r="D665" s="4" t="n">
        <x:v>0</x:v>
      </x:c>
      <x:c r="E665" s="4" t="n">
        <x:v>60</x:v>
      </x:c>
      <x:c r="F665" s="4" t="n">
        <x:v>13445</x:v>
      </x:c>
      <x:c r="G665" s="5" t="n">
        <x:v>0.37929999999999997</x:v>
      </x:c>
      <x:c r="H665" s="5" t="n">
        <x:v>0.5</x:v>
      </x:c>
      <x:c r="I665" s="5" t="n">
        <x:v>0.2731</x:v>
      </x:c>
      <x:c r="J665" s="4" t="n">
        <x:v>406</x:v>
      </x:c>
      <x:c r="K665" s="4" t="n">
        <x:v>154</x:v>
      </x:c>
      <x:c r="L665" s="4" t="n">
        <x:v>190</x:v>
      </x:c>
      <x:c r="M665" s="4" t="n">
        <x:v>95</x:v>
      </x:c>
      <x:c r="N665" s="4" t="n">
        <x:v>216</x:v>
      </x:c>
      <x:c r="O665" s="4" t="n">
        <x:v>59</x:v>
      </x:c>
      <x:c r="P665" s="1" t="str">
        <x:v>PASS</x:v>
      </x:c>
      <x:c r="Q665" s="4" t="n">
        <x:v>0</x:v>
      </x:c>
      <x:c r="R665" s="1" t="str">
        <x:v>PASS</x:v>
      </x:c>
      <x:c r="S665" s="4" t="n">
        <x:v>0</x:v>
      </x:c>
      <x:c r="T665" s="1" t="str">
        <x:v>NOT_REVEALING</x:v>
      </x:c>
      <x:c r="U665" s="1" t="str">
        <x:v>Lang_44</x:v>
      </x:c>
      <x:c r="V665" s="6" t="n">
        <x:v>77.97</x:v>
      </x:c>
    </x:row>
    <x:row r="666" ht="22" customHeight="1">
      <x:c r="A666" s="1" t="str">
        <x:v>Round1</x:v>
      </x:c>
      <x:c r="B666" s="1" t="str">
        <x:v>Lang</x:v>
      </x:c>
      <x:c r="C666" s="4" t="n">
        <x:v>45</x:v>
      </x:c>
      <x:c r="D666" s="4" t="n">
        <x:v>0</x:v>
      </x:c>
      <x:c r="E666" s="4" t="n">
        <x:v>60</x:v>
      </x:c>
      <x:c r="F666" s="4" t="n">
        <x:v>9732</x:v>
      </x:c>
      <x:c r="G666" s="5" t="n">
        <x:v>0.8332999999999999</x:v>
      </x:c>
      <x:c r="H666" s="5" t="n">
        <x:v>0.8406</x:v>
      </x:c>
      <x:c r="I666" s="5" t="n">
        <x:v>0.8234999999999999</x:v>
      </x:c>
      <x:c r="J666" s="4" t="n">
        <x:v>240</x:v>
      </x:c>
      <x:c r="K666" s="4" t="n">
        <x:v>200</x:v>
      </x:c>
      <x:c r="L666" s="4" t="n">
        <x:v>138</x:v>
      </x:c>
      <x:c r="M666" s="4" t="n">
        <x:v>116</x:v>
      </x:c>
      <x:c r="N666" s="4" t="n">
        <x:v>102</x:v>
      </x:c>
      <x:c r="O666" s="4" t="n">
        <x:v>84</x:v>
      </x:c>
      <x:c r="P666" s="1" t="str">
        <x:v>PASS</x:v>
      </x:c>
      <x:c r="Q666" s="4" t="n">
        <x:v>0</x:v>
      </x:c>
      <x:c r="R666" s="1" t="str">
        <x:v>FAIL</x:v>
      </x:c>
      <x:c r="S666" s="4" t="n">
        <x:v>396</x:v>
      </x:c>
      <x:c r="T666" s="1" t="str">
        <x:v>INCONCLUSIVE</x:v>
      </x:c>
      <x:c r="U666" s="1" t="str">
        <x:v>Lang_45</x:v>
      </x:c>
      <x:c r="V666" s="6" t="n">
        <x:v>90.47</x:v>
      </x:c>
    </x:row>
    <x:row r="667" ht="22" customHeight="1">
      <x:c r="A667" s="1" t="str">
        <x:v>Round1</x:v>
      </x:c>
      <x:c r="B667" s="1" t="str">
        <x:v>Lang</x:v>
      </x:c>
      <x:c r="C667" s="4" t="n">
        <x:v>46</x:v>
      </x:c>
      <x:c r="D667" s="4" t="n">
        <x:v>0</x:v>
      </x:c>
      <x:c r="E667" s="4" t="n">
        <x:v>60</x:v>
      </x:c>
      <x:c r="F667" s="4" t="n">
        <x:v>44</x:v>
      </x:c>
      <x:c r="G667" s="5" t="n">
        <x:v>0.40240000000000004</x:v>
      </x:c>
      <x:c r="H667" s="5" t="n">
        <x:v>0.4072</x:v>
      </x:c>
      <x:c r="I667" s="5" t="n">
        <x:v>0.3925</x:v>
      </x:c>
      <x:c r="J667" s="4" t="n">
        <x:v>328</x:v>
      </x:c>
      <x:c r="K667" s="4" t="n">
        <x:v>132</x:v>
      </x:c>
      <x:c r="L667" s="4" t="n">
        <x:v>221</x:v>
      </x:c>
      <x:c r="M667" s="4" t="n">
        <x:v>90</x:v>
      </x:c>
      <x:c r="N667" s="4" t="n">
        <x:v>107</x:v>
      </x:c>
      <x:c r="O667" s="4" t="n">
        <x:v>42</x:v>
      </x:c>
      <x:c r="P667" s="1" t="str">
        <x:v>PASS</x:v>
      </x:c>
      <x:c r="Q667" s="4" t="n">
        <x:v>0</x:v>
      </x:c>
      <x:c r="R667" s="1" t="str">
        <x:v>PASS</x:v>
      </x:c>
      <x:c r="S667" s="4" t="n">
        <x:v>0</x:v>
      </x:c>
      <x:c r="T667" s="1" t="str">
        <x:v>NOT_REVEALING</x:v>
      </x:c>
      <x:c r="U667" s="1" t="str">
        <x:v>Lang_46</x:v>
      </x:c>
      <x:c r="V667" s="6" t="n">
        <x:v>41.92</x:v>
      </x:c>
    </x:row>
    <x:row r="668" ht="22" customHeight="1">
      <x:c r="A668" s="1" t="str">
        <x:v>Round1</x:v>
      </x:c>
      <x:c r="B668" s="1" t="str">
        <x:v>Lang</x:v>
      </x:c>
      <x:c r="C668" s="4" t="n">
        <x:v>47</x:v>
      </x:c>
      <x:c r="D668" s="4" t="n">
        <x:v>0</x:v>
      </x:c>
      <x:c r="E668" s="4" t="n">
        <x:v>60</x:v>
      </x:c>
      <x:c r="F668" s="4" t="n">
        <x:v>3546</x:v>
      </x:c>
      <x:c r="G668" s="5" t="n">
        <x:v>0.9411</x:v>
      </x:c>
      <x:c r="H668" s="5" t="n">
        <x:v>0.9641</x:v>
      </x:c>
      <x:c r="I668" s="5" t="n">
        <x:v>0.9085</x:v>
      </x:c>
      <x:c r="J668" s="4" t="n">
        <x:v>1188</x:v>
      </x:c>
      <x:c r="K668" s="4" t="n">
        <x:v>1118</x:v>
      </x:c>
      <x:c r="L668" s="4" t="n">
        <x:v>696</x:v>
      </x:c>
      <x:c r="M668" s="4" t="n">
        <x:v>671</x:v>
      </x:c>
      <x:c r="N668" s="4" t="n">
        <x:v>492</x:v>
      </x:c>
      <x:c r="O668" s="4" t="n">
        <x:v>447</x:v>
      </x:c>
      <x:c r="P668" s="1" t="str">
        <x:v>FAIL</x:v>
      </x:c>
      <x:c r="Q668" s="4" t="n">
        <x:v>29</x:v>
      </x:c>
      <x:c r="R668" s="1" t="str">
        <x:v>FAIL</x:v>
      </x:c>
      <x:c r="S668" s="4" t="n">
        <x:v>36</x:v>
      </x:c>
      <x:c r="T668" s="1" t="str">
        <x:v>INCONCLUSIVE</x:v>
      </x:c>
      <x:c r="U668" s="1" t="str">
        <x:v>Lang_47</x:v>
      </x:c>
      <x:c r="V668" s="6" t="n">
        <x:v>105.85</x:v>
      </x:c>
    </x:row>
    <x:row r="669" ht="22" customHeight="1">
      <x:c r="A669" s="1" t="str">
        <x:v>Round1</x:v>
      </x:c>
      <x:c r="B669" s="1" t="str">
        <x:v>Lang</x:v>
      </x:c>
      <x:c r="C669" s="4" t="n">
        <x:v>49</x:v>
      </x:c>
      <x:c r="D669" s="4" t="n">
        <x:v>0</x:v>
      </x:c>
      <x:c r="E669" s="4" t="n">
        <x:v>60</x:v>
      </x:c>
      <x:c r="F669" s="4" t="n">
        <x:v>5646</x:v>
      </x:c>
      <x:c r="G669" s="5" t="n">
        <x:v>0.8848</x:v>
      </x:c>
      <x:c r="H669" s="5" t="n">
        <x:v>0.9239</x:v>
      </x:c>
      <x:c r="I669" s="5" t="n">
        <x:v>0.8261</x:v>
      </x:c>
      <x:c r="J669" s="4" t="n">
        <x:v>460</x:v>
      </x:c>
      <x:c r="K669" s="4" t="n">
        <x:v>407</x:v>
      </x:c>
      <x:c r="L669" s="4" t="n">
        <x:v>276</x:v>
      </x:c>
      <x:c r="M669" s="4" t="n">
        <x:v>255</x:v>
      </x:c>
      <x:c r="N669" s="4" t="n">
        <x:v>184</x:v>
      </x:c>
      <x:c r="O669" s="4" t="n">
        <x:v>152</x:v>
      </x:c>
      <x:c r="P669" s="1" t="str">
        <x:v>PASS</x:v>
      </x:c>
      <x:c r="Q669" s="4" t="n">
        <x:v>0</x:v>
      </x:c>
      <x:c r="R669" s="1" t="str">
        <x:v>PASS</x:v>
      </x:c>
      <x:c r="S669" s="4" t="n">
        <x:v>0</x:v>
      </x:c>
      <x:c r="T669" s="1" t="str">
        <x:v>NOT_REVEALING</x:v>
      </x:c>
      <x:c r="U669" s="1" t="str">
        <x:v>Lang_49</x:v>
      </x:c>
      <x:c r="V669" s="6" t="n">
        <x:v>108.5</x:v>
      </x:c>
    </x:row>
    <x:row r="670" ht="22" customHeight="1">
      <x:c r="A670" s="1" t="str">
        <x:v>Round1</x:v>
      </x:c>
      <x:c r="B670" s="1" t="str">
        <x:v>Lang</x:v>
      </x:c>
      <x:c r="C670" s="4" t="n">
        <x:v>50</x:v>
      </x:c>
      <x:c r="D670" s="4" t="n">
        <x:v>0</x:v>
      </x:c>
      <x:c r="E670" s="4" t="n">
        <x:v>60</x:v>
      </x:c>
      <x:c r="F670" s="4" t="n">
        <x:v>5127</x:v>
      </x:c>
      <x:c r="G670" s="5" t="n">
        <x:v>0.7668</x:v>
      </x:c>
      <x:c r="H670" s="5" t="n">
        <x:v>0.7879999999999999</x:v>
      </x:c>
      <x:c r="I670" s="5" t="n">
        <x:v>0.7241</x:v>
      </x:c>
      <x:c r="J670" s="4" t="n">
        <x:v>699</x:v>
      </x:c>
      <x:c r="K670" s="4" t="n">
        <x:v>536</x:v>
      </x:c>
      <x:c r="L670" s="4" t="n">
        <x:v>467</x:v>
      </x:c>
      <x:c r="M670" s="4" t="n">
        <x:v>368</x:v>
      </x:c>
      <x:c r="N670" s="4" t="n">
        <x:v>232</x:v>
      </x:c>
      <x:c r="O670" s="4" t="n">
        <x:v>168</x:v>
      </x:c>
      <x:c r="P670" s="1" t="str">
        <x:v>FAIL</x:v>
      </x:c>
      <x:c r="Q670" s="4" t="n">
        <x:v>7728</x:v>
      </x:c>
      <x:c r="R670" s="1" t="str">
        <x:v>FAIL</x:v>
      </x:c>
      <x:c r="S670" s="4" t="n">
        <x:v>7728</x:v>
      </x:c>
      <x:c r="T670" s="1" t="str">
        <x:v>INCONCLUSIVE</x:v>
      </x:c>
      <x:c r="U670" s="1" t="str">
        <x:v>Lang_50</x:v>
      </x:c>
      <x:c r="V670" s="6" t="n">
        <x:v>131.69</x:v>
      </x:c>
    </x:row>
    <x:row r="671" ht="22" customHeight="1">
      <x:c r="A671" s="1" t="str">
        <x:v>Round1</x:v>
      </x:c>
      <x:c r="B671" s="1" t="str">
        <x:v>Lang</x:v>
      </x:c>
      <x:c r="C671" s="4" t="n">
        <x:v>51</x:v>
      </x:c>
      <x:c r="D671" s="4" t="n">
        <x:v>0</x:v>
      </x:c>
      <x:c r="E671" s="4" t="n">
        <x:v>60</x:v>
      </x:c>
      <x:c r="F671" s="4" t="n">
        <x:v>12640</x:v>
      </x:c>
      <x:c r="G671" s="5" t="n">
        <x:v>0.6736</x:v>
      </x:c>
      <x:c r="H671" s="5" t="n">
        <x:v>0.7426999999999999</x:v>
      </x:c>
      <x:c r="I671" s="5" t="n">
        <x:v>0.6179</x:v>
      </x:c>
      <x:c r="J671" s="4" t="n">
        <x:v>383</x:v>
      </x:c>
      <x:c r="K671" s="4" t="n">
        <x:v>258</x:v>
      </x:c>
      <x:c r="L671" s="4" t="n">
        <x:v>171</x:v>
      </x:c>
      <x:c r="M671" s="4" t="n">
        <x:v>127</x:v>
      </x:c>
      <x:c r="N671" s="4" t="n">
        <x:v>212</x:v>
      </x:c>
      <x:c r="O671" s="4" t="n">
        <x:v>131</x:v>
      </x:c>
      <x:c r="P671" s="1" t="str">
        <x:v>PASS</x:v>
      </x:c>
      <x:c r="Q671" s="4" t="n">
        <x:v>0</x:v>
      </x:c>
      <x:c r="R671" s="1" t="str">
        <x:v>PASS</x:v>
      </x:c>
      <x:c r="S671" s="4" t="n">
        <x:v>0</x:v>
      </x:c>
      <x:c r="T671" s="1" t="str">
        <x:v>NOT_REVEALING</x:v>
      </x:c>
      <x:c r="U671" s="1" t="str">
        <x:v>Lang_51</x:v>
      </x:c>
      <x:c r="V671" s="6" t="n">
        <x:v>76.76</x:v>
      </x:c>
    </x:row>
    <x:row r="672" ht="22" customHeight="1">
      <x:c r="A672" s="1" t="str">
        <x:v>Round1</x:v>
      </x:c>
      <x:c r="B672" s="1" t="str">
        <x:v>Lang</x:v>
      </x:c>
      <x:c r="C672" s="4" t="n">
        <x:v>52</x:v>
      </x:c>
      <x:c r="D672" s="4" t="n">
        <x:v>0</x:v>
      </x:c>
      <x:c r="E672" s="4" t="n">
        <x:v>60</x:v>
      </x:c>
      <x:c r="F672" s="4" t="n">
        <x:v>36</x:v>
      </x:c>
      <x:c r="G672" s="5" t="n">
        <x:v>0.4093</x:v>
      </x:c>
      <x:c r="H672" s="5" t="n">
        <x:v>0.4114</x:v>
      </x:c>
      <x:c r="I672" s="5" t="n">
        <x:v>0.4048</x:v>
      </x:c>
      <x:c r="J672" s="4" t="n">
        <x:v>259</x:v>
      </x:c>
      <x:c r="K672" s="4" t="n">
        <x:v>106</x:v>
      </x:c>
      <x:c r="L672" s="4" t="n">
        <x:v>175</x:v>
      </x:c>
      <x:c r="M672" s="4" t="n">
        <x:v>72</x:v>
      </x:c>
      <x:c r="N672" s="4" t="n">
        <x:v>84</x:v>
      </x:c>
      <x:c r="O672" s="4" t="n">
        <x:v>34</x:v>
      </x:c>
      <x:c r="P672" s="1" t="str">
        <x:v>PASS</x:v>
      </x:c>
      <x:c r="Q672" s="4" t="n">
        <x:v>0</x:v>
      </x:c>
      <x:c r="R672" s="1" t="str">
        <x:v>PASS</x:v>
      </x:c>
      <x:c r="S672" s="4" t="n">
        <x:v>0</x:v>
      </x:c>
      <x:c r="T672" s="1" t="str">
        <x:v>NOT_REVEALING</x:v>
      </x:c>
      <x:c r="U672" s="1" t="str">
        <x:v>Lang_52</x:v>
      </x:c>
      <x:c r="V672" s="6" t="n">
        <x:v>40.44</x:v>
      </x:c>
    </x:row>
    <x:row r="673" ht="22" customHeight="1">
      <x:c r="A673" s="1" t="str">
        <x:v>Round1</x:v>
      </x:c>
      <x:c r="B673" s="1" t="str">
        <x:v>Lang</x:v>
      </x:c>
      <x:c r="C673" s="4" t="n">
        <x:v>53</x:v>
      </x:c>
      <x:c r="D673" s="4" t="n">
        <x:v>0</x:v>
      </x:c>
      <x:c r="E673" s="4" t="n">
        <x:v>60</x:v>
      </x:c>
      <x:c r="F673" s="4" t="n">
        <x:v>2974</x:v>
      </x:c>
      <x:c r="G673" s="5" t="n">
        <x:v>0.7831999999999999</x:v>
      </x:c>
      <x:c r="H673" s="5" t="n">
        <x:v>0.8387</x:v>
      </x:c>
      <x:c r="I673" s="5" t="n">
        <x:v>0.7143</x:v>
      </x:c>
      <x:c r="J673" s="4" t="n">
        <x:v>392</x:v>
      </x:c>
      <x:c r="K673" s="4" t="n">
        <x:v>307</x:v>
      </x:c>
      <x:c r="L673" s="4" t="n">
        <x:v>217</x:v>
      </x:c>
      <x:c r="M673" s="4" t="n">
        <x:v>182</x:v>
      </x:c>
      <x:c r="N673" s="4" t="n">
        <x:v>175</x:v>
      </x:c>
      <x:c r="O673" s="4" t="n">
        <x:v>125</x:v>
      </x:c>
      <x:c r="P673" s="1" t="str">
        <x:v>FAIL</x:v>
      </x:c>
      <x:c r="Q673" s="4" t="n">
        <x:v>5256</x:v>
      </x:c>
      <x:c r="R673" s="1" t="str">
        <x:v>FAIL</x:v>
      </x:c>
      <x:c r="S673" s="4" t="n">
        <x:v>5256</x:v>
      </x:c>
      <x:c r="T673" s="1" t="str">
        <x:v>INCONCLUSIVE</x:v>
      </x:c>
      <x:c r="U673" s="1" t="str">
        <x:v>Lang_53</x:v>
      </x:c>
      <x:c r="V673" s="6" t="n">
        <x:v>91.23</x:v>
      </x:c>
    </x:row>
    <x:row r="674" ht="22" customHeight="1">
      <x:c r="A674" s="1" t="str">
        <x:v>Round1</x:v>
      </x:c>
      <x:c r="B674" s="1" t="str">
        <x:v>Lang</x:v>
      </x:c>
      <x:c r="C674" s="4" t="n">
        <x:v>54</x:v>
      </x:c>
      <x:c r="D674" s="4" t="n">
        <x:v>0</x:v>
      </x:c>
      <x:c r="E674" s="4" t="n">
        <x:v>60</x:v>
      </x:c>
      <x:c r="F674" s="4" t="n">
        <x:v>13</x:v>
      </x:c>
      <x:c r="G674" s="5" t="n">
        <x:v>0.5105</x:v>
      </x:c>
      <x:c r="H674" s="5" t="n">
        <x:v>0.6329</x:v>
      </x:c>
      <x:c r="I674" s="5" t="n">
        <x:v>0.3594</x:v>
      </x:c>
      <x:c r="J674" s="4" t="n">
        <x:v>143</x:v>
      </x:c>
      <x:c r="K674" s="4" t="n">
        <x:v>73</x:v>
      </x:c>
      <x:c r="L674" s="4" t="n">
        <x:v>79</x:v>
      </x:c>
      <x:c r="M674" s="4" t="n">
        <x:v>50</x:v>
      </x:c>
      <x:c r="N674" s="4" t="n">
        <x:v>64</x:v>
      </x:c>
      <x:c r="O674" s="4" t="n">
        <x:v>23</x:v>
      </x:c>
      <x:c r="P674" s="1" t="str">
        <x:v>PASS</x:v>
      </x:c>
      <x:c r="Q674" s="4" t="n">
        <x:v>0</x:v>
      </x:c>
      <x:c r="R674" s="1" t="str">
        <x:v>PASS</x:v>
      </x:c>
      <x:c r="S674" s="4" t="n">
        <x:v>0</x:v>
      </x:c>
      <x:c r="T674" s="1" t="str">
        <x:v>NOT_REVEALING</x:v>
      </x:c>
      <x:c r="U674" s="1" t="str">
        <x:v>Lang_54</x:v>
      </x:c>
      <x:c r="V674" s="6" t="n">
        <x:v>38.69</x:v>
      </x:c>
    </x:row>
    <x:row r="675" ht="22" customHeight="1">
      <x:c r="A675" s="1" t="str">
        <x:v>Round1</x:v>
      </x:c>
      <x:c r="B675" s="1" t="str">
        <x:v>Lang</x:v>
      </x:c>
      <x:c r="C675" s="4" t="n">
        <x:v>55</x:v>
      </x:c>
      <x:c r="D675" s="4" t="n">
        <x:v>0</x:v>
      </x:c>
      <x:c r="E675" s="4" t="n">
        <x:v>60</x:v>
      </x:c>
      <x:c r="F675" s="4" t="n">
        <x:v>7353</x:v>
      </x:c>
      <x:c r="G675" s="5" t="n">
        <x:v>0.9759</x:v>
      </x:c>
      <x:c r="H675" s="5" t="n">
        <x:v>0.9825</x:v>
      </x:c>
      <x:c r="I675" s="5" t="n">
        <x:v>0.9615</x:v>
      </x:c>
      <x:c r="J675" s="4" t="n">
        <x:v>83</x:v>
      </x:c>
      <x:c r="K675" s="4" t="n">
        <x:v>81</x:v>
      </x:c>
      <x:c r="L675" s="4" t="n">
        <x:v>57</x:v>
      </x:c>
      <x:c r="M675" s="4" t="n">
        <x:v>56</x:v>
      </x:c>
      <x:c r="N675" s="4" t="n">
        <x:v>26</x:v>
      </x:c>
      <x:c r="O675" s="4" t="n">
        <x:v>25</x:v>
      </x:c>
      <x:c r="P675" s="1" t="str">
        <x:v>FAIL</x:v>
      </x:c>
      <x:c r="Q675" s="4" t="n">
        <x:v>7</x:v>
      </x:c>
      <x:c r="R675" s="1" t="str">
        <x:v>FAIL</x:v>
      </x:c>
      <x:c r="S675" s="4" t="n">
        <x:v>14</x:v>
      </x:c>
      <x:c r="T675" s="1" t="str">
        <x:v>INCONCLUSIVE</x:v>
      </x:c>
      <x:c r="U675" s="1" t="str">
        <x:v>Lang_55</x:v>
      </x:c>
      <x:c r="V675" s="6" t="n">
        <x:v>77.85</x:v>
      </x:c>
    </x:row>
    <x:row r="676" ht="22" customHeight="1">
      <x:c r="A676" s="1" t="str">
        <x:v>Round1</x:v>
      </x:c>
      <x:c r="B676" s="1" t="str">
        <x:v>Lang</x:v>
      </x:c>
      <x:c r="C676" s="4" t="n">
        <x:v>56</x:v>
      </x:c>
      <x:c r="D676" s="4" t="n">
        <x:v>0</x:v>
      </x:c>
      <x:c r="E676" s="4" t="n">
        <x:v>60</x:v>
      </x:c>
      <x:c r="F676" s="4" t="n">
        <x:v>5237</x:v>
      </x:c>
      <x:c r="G676" s="5" t="n">
        <x:v>0.7701</x:v>
      </x:c>
      <x:c r="H676" s="5" t="n">
        <x:v>0.7931</x:v>
      </x:c>
      <x:c r="I676" s="5" t="n">
        <x:v>0.7241</x:v>
      </x:c>
      <x:c r="J676" s="4" t="n">
        <x:v>696</x:v>
      </x:c>
      <x:c r="K676" s="4" t="n">
        <x:v>536</x:v>
      </x:c>
      <x:c r="L676" s="4" t="n">
        <x:v>464</x:v>
      </x:c>
      <x:c r="M676" s="4" t="n">
        <x:v>368</x:v>
      </x:c>
      <x:c r="N676" s="4" t="n">
        <x:v>232</x:v>
      </x:c>
      <x:c r="O676" s="4" t="n">
        <x:v>168</x:v>
      </x:c>
      <x:c r="P676" s="1" t="str">
        <x:v>FAIL</x:v>
      </x:c>
      <x:c r="Q676" s="4" t="n">
        <x:v>7900</x:v>
      </x:c>
      <x:c r="R676" s="1" t="str">
        <x:v>FAIL</x:v>
      </x:c>
      <x:c r="S676" s="4" t="n">
        <x:v>7900</x:v>
      </x:c>
      <x:c r="T676" s="1" t="str">
        <x:v>INCONCLUSIVE</x:v>
      </x:c>
      <x:c r="U676" s="1" t="str">
        <x:v>Lang_56</x:v>
      </x:c>
      <x:c r="V676" s="6" t="n">
        <x:v>120.06</x:v>
      </x:c>
    </x:row>
    <x:row r="677" ht="22" customHeight="1">
      <x:c r="A677" s="1" t="str">
        <x:v>Round1</x:v>
      </x:c>
      <x:c r="B677" s="1" t="str">
        <x:v>Lang</x:v>
      </x:c>
      <x:c r="C677" s="4" t="n">
        <x:v>57</x:v>
      </x:c>
      <x:c r="D677" s="4" t="n">
        <x:v>0</x:v>
      </x:c>
      <x:c r="E677" s="4" t="n">
        <x:v>60</x:v>
      </x:c>
      <x:c r="F677" s="4" t="n">
        <x:v>13</x:v>
      </x:c>
      <x:c r="G677" s="5" t="n">
        <x:v>0.5035000000000001</x:v>
      </x:c>
      <x:c r="H677" s="5" t="n">
        <x:v>0.6203</x:v>
      </x:c>
      <x:c r="I677" s="5" t="n">
        <x:v>0.3594</x:v>
      </x:c>
      <x:c r="J677" s="4" t="n">
        <x:v>143</x:v>
      </x:c>
      <x:c r="K677" s="4" t="n">
        <x:v>72</x:v>
      </x:c>
      <x:c r="L677" s="4" t="n">
        <x:v>79</x:v>
      </x:c>
      <x:c r="M677" s="4" t="n">
        <x:v>49</x:v>
      </x:c>
      <x:c r="N677" s="4" t="n">
        <x:v>64</x:v>
      </x:c>
      <x:c r="O677" s="4" t="n">
        <x:v>23</x:v>
      </x:c>
      <x:c r="P677" s="1" t="str">
        <x:v>PASS</x:v>
      </x:c>
      <x:c r="Q677" s="4" t="n">
        <x:v>0</x:v>
      </x:c>
      <x:c r="R677" s="1" t="str">
        <x:v>PASS</x:v>
      </x:c>
      <x:c r="S677" s="4" t="n">
        <x:v>0</x:v>
      </x:c>
      <x:c r="T677" s="1" t="str">
        <x:v>NOT_REVEALING</x:v>
      </x:c>
      <x:c r="U677" s="1" t="str">
        <x:v>Lang_57</x:v>
      </x:c>
      <x:c r="V677" s="6" t="n">
        <x:v>39.96</x:v>
      </x:c>
    </x:row>
    <x:row r="678" ht="22" customHeight="1">
      <x:c r="A678" s="1" t="str">
        <x:v>Round1</x:v>
      </x:c>
      <x:c r="B678" s="1" t="str">
        <x:v>Lang</x:v>
      </x:c>
      <x:c r="C678" s="4" t="n">
        <x:v>58</x:v>
      </x:c>
      <x:c r="D678" s="4" t="n">
        <x:v>0</x:v>
      </x:c>
      <x:c r="E678" s="4" t="n">
        <x:v>60</x:v>
      </x:c>
      <x:c r="F678" s="4" t="n">
        <x:v>6550</x:v>
      </x:c>
      <x:c r="G678" s="5" t="n">
        <x:v>0.6537999999999999</x:v>
      </x:c>
      <x:c r="H678" s="5" t="n">
        <x:v>0.731</x:v>
      </x:c>
      <x:c r="I678" s="5" t="n">
        <x:v>0.5738</x:v>
      </x:c>
      <x:c r="J678" s="4" t="n">
        <x:v>855</x:v>
      </x:c>
      <x:c r="K678" s="4" t="n">
        <x:v>559</x:v>
      </x:c>
      <x:c r="L678" s="4" t="n">
        <x:v>435</x:v>
      </x:c>
      <x:c r="M678" s="4" t="n">
        <x:v>318</x:v>
      </x:c>
      <x:c r="N678" s="4" t="n">
        <x:v>420</x:v>
      </x:c>
      <x:c r="O678" s="4" t="n">
        <x:v>241</x:v>
      </x:c>
      <x:c r="P678" s="1" t="str">
        <x:v>PASS</x:v>
      </x:c>
      <x:c r="Q678" s="4" t="n">
        <x:v>0</x:v>
      </x:c>
      <x:c r="R678" s="1" t="str">
        <x:v>PASS</x:v>
      </x:c>
      <x:c r="S678" s="4" t="n">
        <x:v>0</x:v>
      </x:c>
      <x:c r="T678" s="1" t="str">
        <x:v>NOT_REVEALING</x:v>
      </x:c>
      <x:c r="U678" s="1" t="str">
        <x:v>Lang_58</x:v>
      </x:c>
      <x:c r="V678" s="6" t="n">
        <x:v>103.46</x:v>
      </x:c>
    </x:row>
    <x:row r="679" ht="22" customHeight="1">
      <x:c r="A679" s="1" t="str">
        <x:v>Round1</x:v>
      </x:c>
      <x:c r="B679" s="1" t="str">
        <x:v>Lang</x:v>
      </x:c>
      <x:c r="C679" s="4" t="n">
        <x:v>59</x:v>
      </x:c>
      <x:c r="D679" s="4" t="n">
        <x:v>0</x:v>
      </x:c>
      <x:c r="E679" s="4" t="n">
        <x:v>60</x:v>
      </x:c>
      <x:c r="F679" s="4" t="n">
        <x:v>2879</x:v>
      </x:c>
      <x:c r="G679" s="5" t="n">
        <x:v>0.9420000000000001</x:v>
      </x:c>
      <x:c r="H679" s="5" t="n">
        <x:v>0.9604</x:v>
      </x:c>
      <x:c r="I679" s="5" t="n">
        <x:v>0.9159</x:v>
      </x:c>
      <x:c r="J679" s="4" t="n">
        <x:v>1120</x:v>
      </x:c>
      <x:c r="K679" s="4" t="n">
        <x:v>1055</x:v>
      </x:c>
      <x:c r="L679" s="4" t="n">
        <x:v>656</x:v>
      </x:c>
      <x:c r="M679" s="4" t="n">
        <x:v>630</x:v>
      </x:c>
      <x:c r="N679" s="4" t="n">
        <x:v>464</x:v>
      </x:c>
      <x:c r="O679" s="4" t="n">
        <x:v>425</x:v>
      </x:c>
      <x:c r="P679" s="1" t="str">
        <x:v>FAIL</x:v>
      </x:c>
      <x:c r="Q679" s="4" t="n">
        <x:v>23</x:v>
      </x:c>
      <x:c r="R679" s="1" t="str">
        <x:v>FAIL</x:v>
      </x:c>
      <x:c r="S679" s="4" t="n">
        <x:v>23</x:v>
      </x:c>
      <x:c r="T679" s="1" t="str">
        <x:v>INCONCLUSIVE</x:v>
      </x:c>
      <x:c r="U679" s="1" t="str">
        <x:v>Lang_59</x:v>
      </x:c>
      <x:c r="V679" s="6" t="n">
        <x:v>78.02</x:v>
      </x:c>
    </x:row>
    <x:row r="680" ht="22" customHeight="1">
      <x:c r="A680" s="1" t="str">
        <x:v>Round1</x:v>
      </x:c>
      <x:c r="B680" s="1" t="str">
        <x:v>Lang</x:v>
      </x:c>
      <x:c r="C680" s="4" t="n">
        <x:v>60</x:v>
      </x:c>
      <x:c r="D680" s="4" t="n">
        <x:v>0</x:v>
      </x:c>
      <x:c r="E680" s="4" t="n">
        <x:v>60</x:v>
      </x:c>
      <x:c r="F680" s="4" t="n">
        <x:v>2779</x:v>
      </x:c>
      <x:c r="G680" s="5" t="n">
        <x:v>0.9259000000000001</x:v>
      </x:c>
      <x:c r="H680" s="5" t="n">
        <x:v>0.9451</x:v>
      </x:c>
      <x:c r="I680" s="5" t="n">
        <x:v>0.8987</x:v>
      </x:c>
      <x:c r="J680" s="4" t="n">
        <x:v>1120</x:v>
      </x:c>
      <x:c r="K680" s="4" t="n">
        <x:v>1037</x:v>
      </x:c>
      <x:c r="L680" s="4" t="n">
        <x:v>656</x:v>
      </x:c>
      <x:c r="M680" s="4" t="n">
        <x:v>620</x:v>
      </x:c>
      <x:c r="N680" s="4" t="n">
        <x:v>464</x:v>
      </x:c>
      <x:c r="O680" s="4" t="n">
        <x:v>417</x:v>
      </x:c>
      <x:c r="P680" s="1" t="str">
        <x:v>FAIL</x:v>
      </x:c>
      <x:c r="Q680" s="4" t="n">
        <x:v>15</x:v>
      </x:c>
      <x:c r="R680" s="1" t="str">
        <x:v>FAIL</x:v>
      </x:c>
      <x:c r="S680" s="4" t="n">
        <x:v>19</x:v>
      </x:c>
      <x:c r="T680" s="1" t="str">
        <x:v>INCONCLUSIVE</x:v>
      </x:c>
      <x:c r="U680" s="1" t="str">
        <x:v>Lang_60</x:v>
      </x:c>
      <x:c r="V680" s="6" t="n">
        <x:v>81.52</x:v>
      </x:c>
    </x:row>
    <x:row r="681" ht="22" customHeight="1">
      <x:c r="A681" s="1" t="str">
        <x:v>Round1</x:v>
      </x:c>
      <x:c r="B681" s="1" t="str">
        <x:v>Lang</x:v>
      </x:c>
      <x:c r="C681" s="4" t="n">
        <x:v>61</x:v>
      </x:c>
      <x:c r="D681" s="4" t="n">
        <x:v>0</x:v>
      </x:c>
      <x:c r="E681" s="4" t="n">
        <x:v>60</x:v>
      </x:c>
      <x:c r="F681" s="4" t="n">
        <x:v>2697</x:v>
      </x:c>
      <x:c r="G681" s="5" t="n">
        <x:v>0.9375</x:v>
      </x:c>
      <x:c r="H681" s="5" t="n">
        <x:v>0.9619</x:v>
      </x:c>
      <x:c r="I681" s="5" t="n">
        <x:v>0.903</x:v>
      </x:c>
      <x:c r="J681" s="4" t="n">
        <x:v>1120</x:v>
      </x:c>
      <x:c r="K681" s="4" t="n">
        <x:v>1050</x:v>
      </x:c>
      <x:c r="L681" s="4" t="n">
        <x:v>656</x:v>
      </x:c>
      <x:c r="M681" s="4" t="n">
        <x:v>631</x:v>
      </x:c>
      <x:c r="N681" s="4" t="n">
        <x:v>464</x:v>
      </x:c>
      <x:c r="O681" s="4" t="n">
        <x:v>419</x:v>
      </x:c>
      <x:c r="P681" s="1" t="str">
        <x:v>FAIL</x:v>
      </x:c>
      <x:c r="Q681" s="4" t="n">
        <x:v>14</x:v>
      </x:c>
      <x:c r="R681" s="1" t="str">
        <x:v>FAIL</x:v>
      </x:c>
      <x:c r="S681" s="4" t="n">
        <x:v>44</x:v>
      </x:c>
      <x:c r="T681" s="1" t="str">
        <x:v>INCONCLUSIVE</x:v>
      </x:c>
      <x:c r="U681" s="1" t="str">
        <x:v>Lang_61</x:v>
      </x:c>
      <x:c r="V681" s="6" t="n">
        <x:v>82.32</x:v>
      </x:c>
    </x:row>
    <x:row r="682" ht="22" customHeight="1">
      <x:c r="A682" s="1" t="str">
        <x:v>Round1</x:v>
      </x:c>
      <x:c r="B682" s="1" t="str">
        <x:v>Lang</x:v>
      </x:c>
      <x:c r="C682" s="4" t="n">
        <x:v>62</x:v>
      </x:c>
      <x:c r="D682" s="4" t="n">
        <x:v>0</x:v>
      </x:c>
      <x:c r="E682" s="4" t="n">
        <x:v>60</x:v>
      </x:c>
      <x:c r="F682" s="4" t="n">
        <x:v>3889</x:v>
      </x:c>
      <x:c r="G682" s="5" t="n">
        <x:v>0.5801</x:v>
      </x:c>
      <x:c r="H682" s="5" t="n">
        <x:v>0.6265999999999999</x:v>
      </x:c>
      <x:c r="I682" s="5" t="n">
        <x:v>0.4556</x:v>
      </x:c>
      <x:c r="J682" s="4" t="n">
        <x:v>331</x:v>
      </x:c>
      <x:c r="K682" s="4" t="n">
        <x:v>192</x:v>
      </x:c>
      <x:c r="L682" s="4" t="n">
        <x:v>241</x:v>
      </x:c>
      <x:c r="M682" s="4" t="n">
        <x:v>151</x:v>
      </x:c>
      <x:c r="N682" s="4" t="n">
        <x:v>90</x:v>
      </x:c>
      <x:c r="O682" s="4" t="n">
        <x:v>41</x:v>
      </x:c>
      <x:c r="P682" s="1" t="str">
        <x:v>FAIL</x:v>
      </x:c>
      <x:c r="Q682" s="4" t="n">
        <x:v>116</x:v>
      </x:c>
      <x:c r="R682" s="1" t="str">
        <x:v>FAIL</x:v>
      </x:c>
      <x:c r="S682" s="4" t="n">
        <x:v>116</x:v>
      </x:c>
      <x:c r="T682" s="1" t="str">
        <x:v>INCONCLUSIVE</x:v>
      </x:c>
      <x:c r="U682" s="1" t="str">
        <x:v>Lang_62</x:v>
      </x:c>
      <x:c r="V682" s="6" t="n">
        <x:v>68.28</x:v>
      </x:c>
    </x:row>
    <x:row r="683" ht="22" customHeight="1">
      <x:c r="A683" s="1" t="str">
        <x:v>Round1</x:v>
      </x:c>
      <x:c r="B683" s="1" t="str">
        <x:v>Lang</x:v>
      </x:c>
      <x:c r="C683" s="4" t="n">
        <x:v>63</x:v>
      </x:c>
      <x:c r="D683" s="4" t="n">
        <x:v>0</x:v>
      </x:c>
      <x:c r="E683" s="4" t="n">
        <x:v>60</x:v>
      </x:c>
      <x:c r="F683" s="4" t="n">
        <x:v>5336</x:v>
      </x:c>
      <x:c r="G683" s="5" t="n">
        <x:v>0.7209</x:v>
      </x:c>
      <x:c r="H683" s="5" t="n">
        <x:v>0.7222</x:v>
      </x:c>
      <x:c r="I683" s="5" t="n">
        <x:v>0.7184999999999999</x:v>
      </x:c>
      <x:c r="J683" s="4" t="n">
        <x:v>387</x:v>
      </x:c>
      <x:c r="K683" s="4" t="n">
        <x:v>279</x:v>
      </x:c>
      <x:c r="L683" s="4" t="n">
        <x:v>252</x:v>
      </x:c>
      <x:c r="M683" s="4" t="n">
        <x:v>182</x:v>
      </x:c>
      <x:c r="N683" s="4" t="n">
        <x:v>135</x:v>
      </x:c>
      <x:c r="O683" s="4" t="n">
        <x:v>97</x:v>
      </x:c>
      <x:c r="P683" s="1" t="str">
        <x:v>PASS</x:v>
      </x:c>
      <x:c r="Q683" s="4" t="n">
        <x:v>0</x:v>
      </x:c>
      <x:c r="R683" s="1" t="str">
        <x:v>NOT_RUN</x:v>
      </x:c>
      <x:c r="S683" s="4"/>
      <x:c r="T683" s="1" t="str">
        <x:v>NOT_AVAILABLE</x:v>
      </x:c>
      <x:c r="U683" s="1" t="str">
        <x:v>Lang_63</x:v>
      </x:c>
      <x:c r="V683" s="6" t="n">
        <x:v>61.26</x:v>
      </x:c>
    </x:row>
    <x:row r="684" ht="22" customHeight="1">
      <x:c r="A684" s="1" t="str">
        <x:v>Round1</x:v>
      </x:c>
      <x:c r="B684" s="1" t="str">
        <x:v>Lang</x:v>
      </x:c>
      <x:c r="C684" s="4" t="n">
        <x:v>64</x:v>
      </x:c>
      <x:c r="D684" s="4" t="n">
        <x:v>0</x:v>
      </x:c>
      <x:c r="E684" s="4" t="n">
        <x:v>60</x:v>
      </x:c>
      <x:c r="F684" s="4" t="n">
        <x:v>38</x:v>
      </x:c>
      <x:c r="G684" s="5" t="n">
        <x:v>0.1923</x:v>
      </x:c>
      <x:c r="H684" s="5" t="n">
        <x:v>0.16670000000000001</x:v>
      </x:c>
      <x:c r="I684" s="5" t="n">
        <x:v>0.25</x:v>
      </x:c>
      <x:c r="J684" s="4" t="n">
        <x:v>26</x:v>
      </x:c>
      <x:c r="K684" s="4" t="n">
        <x:v>5</x:v>
      </x:c>
      <x:c r="L684" s="4" t="n">
        <x:v>18</x:v>
      </x:c>
      <x:c r="M684" s="4" t="n">
        <x:v>3</x:v>
      </x:c>
      <x:c r="N684" s="4" t="n">
        <x:v>8</x:v>
      </x:c>
      <x:c r="O684" s="4" t="n">
        <x:v>2</x:v>
      </x:c>
      <x:c r="P684" s="1" t="str">
        <x:v>PASS</x:v>
      </x:c>
      <x:c r="Q684" s="4" t="n">
        <x:v>0</x:v>
      </x:c>
      <x:c r="R684" s="1" t="str">
        <x:v>PASS</x:v>
      </x:c>
      <x:c r="S684" s="4" t="n">
        <x:v>0</x:v>
      </x:c>
      <x:c r="T684" s="1" t="str">
        <x:v>NOT_REVEALING</x:v>
      </x:c>
      <x:c r="U684" s="1" t="str">
        <x:v>Lang_64</x:v>
      </x:c>
      <x:c r="V684" s="6" t="n">
        <x:v>38.83</x:v>
      </x:c>
    </x:row>
    <x:row r="685" ht="22" customHeight="1">
      <x:c r="A685" s="1" t="str">
        <x:v>Round1</x:v>
      </x:c>
      <x:c r="B685" s="1" t="str">
        <x:v>Lang</x:v>
      </x:c>
      <x:c r="C685" s="4" t="n">
        <x:v>65</x:v>
      </x:c>
      <x:c r="D685" s="4" t="n">
        <x:v>0</x:v>
      </x:c>
      <x:c r="E685" s="4" t="n">
        <x:v>60</x:v>
      </x:c>
      <x:c r="F685" s="4" t="n">
        <x:v>2185</x:v>
      </x:c>
      <x:c r="G685" s="5" t="n">
        <x:v>0.7762</x:v>
      </x:c>
      <x:c r="H685" s="5" t="n">
        <x:v>0.8359000000000001</x:v>
      </x:c>
      <x:c r="I685" s="5" t="n">
        <x:v>0.698</x:v>
      </x:c>
      <x:c r="J685" s="4" t="n">
        <x:v>344</x:v>
      </x:c>
      <x:c r="K685" s="4" t="n">
        <x:v>267</x:v>
      </x:c>
      <x:c r="L685" s="4" t="n">
        <x:v>195</x:v>
      </x:c>
      <x:c r="M685" s="4" t="n">
        <x:v>163</x:v>
      </x:c>
      <x:c r="N685" s="4" t="n">
        <x:v>149</x:v>
      </x:c>
      <x:c r="O685" s="4" t="n">
        <x:v>104</x:v>
      </x:c>
      <x:c r="P685" s="1" t="str">
        <x:v>FAIL</x:v>
      </x:c>
      <x:c r="Q685" s="4" t="n">
        <x:v>3768</x:v>
      </x:c>
      <x:c r="R685" s="1" t="str">
        <x:v>FAIL</x:v>
      </x:c>
      <x:c r="S685" s="4" t="n">
        <x:v>3768</x:v>
      </x:c>
      <x:c r="T685" s="1" t="str">
        <x:v>INCONCLUSIVE</x:v>
      </x:c>
      <x:c r="U685" s="1" t="str">
        <x:v>Lang_65</x:v>
      </x:c>
      <x:c r="V685" s="6" t="n">
        <x:v>70.44</x:v>
      </x:c>
    </x:row>
    <x:row r="686" ht="22" customHeight="1">
      <x:c r="A686" s="1" t="str">
        <x:v>Round1</x:v>
      </x:c>
      <x:c r="B686" s="1" t="str">
        <x:v>Math</x:v>
      </x:c>
      <x:c r="C686" s="4" t="n">
        <x:v>1</x:v>
      </x:c>
      <x:c r="D686" s="4" t="n">
        <x:v>0</x:v>
      </x:c>
      <x:c r="E686" s="4" t="n">
        <x:v>60</x:v>
      </x:c>
      <x:c r="F686" s="4" t="n">
        <x:v>2656</x:v>
      </x:c>
      <x:c r="G686" s="5" t="n">
        <x:v>0.9206</x:v>
      </x:c>
      <x:c r="H686" s="5" t="n">
        <x:v>0.9388</x:v>
      </x:c>
      <x:c r="I686" s="5" t="n">
        <x:v>0.8802</x:v>
      </x:c>
      <x:c r="J686" s="4" t="n">
        <x:v>617</x:v>
      </x:c>
      <x:c r="K686" s="4" t="n">
        <x:v>568</x:v>
      </x:c>
      <x:c r="L686" s="4" t="n">
        <x:v>425</x:v>
      </x:c>
      <x:c r="M686" s="4" t="n">
        <x:v>399</x:v>
      </x:c>
      <x:c r="N686" s="4" t="n">
        <x:v>192</x:v>
      </x:c>
      <x:c r="O686" s="4" t="n">
        <x:v>169</x:v>
      </x:c>
      <x:c r="P686" s="1" t="str">
        <x:v>FAIL</x:v>
      </x:c>
      <x:c r="Q686" s="4" t="n">
        <x:v>22</x:v>
      </x:c>
      <x:c r="R686" s="1" t="str">
        <x:v>FAIL</x:v>
      </x:c>
      <x:c r="S686" s="4" t="n">
        <x:v>176</x:v>
      </x:c>
      <x:c r="T686" s="1" t="str">
        <x:v>INCONCLUSIVE</x:v>
      </x:c>
      <x:c r="U686" s="1" t="str">
        <x:v>Math_1</x:v>
      </x:c>
      <x:c r="V686" s="6" t="n">
        <x:v>64.14</x:v>
      </x:c>
    </x:row>
    <x:row r="687" ht="22" customHeight="1">
      <x:c r="A687" s="1" t="str">
        <x:v>Round1</x:v>
      </x:c>
      <x:c r="B687" s="1" t="str">
        <x:v>Math</x:v>
      </x:c>
      <x:c r="C687" s="4" t="n">
        <x:v>2</x:v>
      </x:c>
      <x:c r="D687" s="4" t="n">
        <x:v>0</x:v>
      </x:c>
      <x:c r="E687" s="4" t="n">
        <x:v>60</x:v>
      </x:c>
      <x:c r="F687" s="4" t="n">
        <x:v>5931</x:v>
      </x:c>
      <x:c r="G687" s="5" t="n">
        <x:v>1</x:v>
      </x:c>
      <x:c r="H687" s="5" t="n">
        <x:v>1</x:v>
      </x:c>
      <x:c r="I687" s="5" t="n">
        <x:v>1</x:v>
      </x:c>
      <x:c r="J687" s="4" t="n">
        <x:v>100</x:v>
      </x:c>
      <x:c r="K687" s="4" t="n">
        <x:v>100</x:v>
      </x:c>
      <x:c r="L687" s="4" t="n">
        <x:v>74</x:v>
      </x:c>
      <x:c r="M687" s="4" t="n">
        <x:v>74</x:v>
      </x:c>
      <x:c r="N687" s="4" t="n">
        <x:v>26</x:v>
      </x:c>
      <x:c r="O687" s="4" t="n">
        <x:v>26</x:v>
      </x:c>
      <x:c r="P687" s="1" t="str">
        <x:v>FAIL</x:v>
      </x:c>
      <x:c r="Q687" s="4" t="n">
        <x:v>1</x:v>
      </x:c>
      <x:c r="R687" s="1" t="str">
        <x:v>FAIL</x:v>
      </x:c>
      <x:c r="S687" s="4" t="n">
        <x:v>3</x:v>
      </x:c>
      <x:c r="T687" s="1" t="str">
        <x:v>INCONCLUSIVE</x:v>
      </x:c>
      <x:c r="U687" s="1" t="str">
        <x:v>Math_2</x:v>
      </x:c>
      <x:c r="V687" s="6" t="n">
        <x:v>83.04</x:v>
      </x:c>
    </x:row>
    <x:row r="688" ht="22" customHeight="1">
      <x:c r="A688" s="1" t="str">
        <x:v>Round1</x:v>
      </x:c>
      <x:c r="B688" s="1" t="str">
        <x:v>Math</x:v>
      </x:c>
      <x:c r="C688" s="4" t="n">
        <x:v>3</x:v>
      </x:c>
      <x:c r="D688" s="4" t="n">
        <x:v>0</x:v>
      </x:c>
      <x:c r="E688" s="4" t="n">
        <x:v>60</x:v>
      </x:c>
      <x:c r="F688" s="4" t="n">
        <x:v>3504</x:v>
      </x:c>
      <x:c r="G688" s="5" t="n">
        <x:v>0.8901</x:v>
      </x:c>
      <x:c r="H688" s="5" t="n">
        <x:v>0.8859999999999999</x:v>
      </x:c>
      <x:c r="I688" s="5" t="n">
        <x:v>0.8974</x:v>
      </x:c>
      <x:c r="J688" s="4" t="n">
        <x:v>655</x:v>
      </x:c>
      <x:c r="K688" s="4" t="n">
        <x:v>583</x:v>
      </x:c>
      <x:c r="L688" s="4" t="n">
        <x:v>421</x:v>
      </x:c>
      <x:c r="M688" s="4" t="n">
        <x:v>373</x:v>
      </x:c>
      <x:c r="N688" s="4" t="n">
        <x:v>234</x:v>
      </x:c>
      <x:c r="O688" s="4" t="n">
        <x:v>210</x:v>
      </x:c>
      <x:c r="P688" s="1" t="str">
        <x:v>PASS</x:v>
      </x:c>
      <x:c r="Q688" s="4" t="n">
        <x:v>0</x:v>
      </x:c>
      <x:c r="R688" s="1" t="str">
        <x:v>FAIL</x:v>
      </x:c>
      <x:c r="S688" s="4" t="n">
        <x:v>128</x:v>
      </x:c>
      <x:c r="T688" s="1" t="str">
        <x:v>INCONCLUSIVE</x:v>
      </x:c>
      <x:c r="U688" s="1" t="str">
        <x:v>Math_3</x:v>
      </x:c>
      <x:c r="V688" s="6" t="n">
        <x:v>126.65</x:v>
      </x:c>
    </x:row>
    <x:row r="689" ht="22" customHeight="1">
      <x:c r="A689" s="1" t="str">
        <x:v>Round1</x:v>
      </x:c>
      <x:c r="B689" s="1" t="str">
        <x:v>Math</x:v>
      </x:c>
      <x:c r="C689" s="4" t="n">
        <x:v>4</x:v>
      </x:c>
      <x:c r="D689" s="4" t="n">
        <x:v>0</x:v>
      </x:c>
      <x:c r="E689" s="4" t="n">
        <x:v>60</x:v>
      </x:c>
      <x:c r="F689" s="4" t="n">
        <x:v>6269</x:v>
      </x:c>
      <x:c r="G689" s="5" t="n">
        <x:v>0.1875</x:v>
      </x:c>
      <x:c r="H689" s="5" t="n">
        <x:v>0.2857</x:v>
      </x:c>
      <x:c r="I689" s="5" t="n">
        <x:v>0</x:v>
      </x:c>
      <x:c r="J689" s="4" t="n">
        <x:v>128</x:v>
      </x:c>
      <x:c r="K689" s="4" t="n">
        <x:v>24</x:v>
      </x:c>
      <x:c r="L689" s="4" t="n">
        <x:v>84</x:v>
      </x:c>
      <x:c r="M689" s="4" t="n">
        <x:v>24</x:v>
      </x:c>
      <x:c r="N689" s="4" t="n">
        <x:v>44</x:v>
      </x:c>
      <x:c r="O689" s="4" t="n">
        <x:v>0</x:v>
      </x:c>
      <x:c r="P689" s="1" t="str">
        <x:v>PASS</x:v>
      </x:c>
      <x:c r="Q689" s="4" t="n">
        <x:v>0</x:v>
      </x:c>
      <x:c r="R689" s="1" t="str">
        <x:v>PASS</x:v>
      </x:c>
      <x:c r="S689" s="4" t="n">
        <x:v>0</x:v>
      </x:c>
      <x:c r="T689" s="1" t="str">
        <x:v>NOT_REVEALING</x:v>
      </x:c>
      <x:c r="U689" s="1" t="str">
        <x:v>Math_4</x:v>
      </x:c>
      <x:c r="V689" s="6" t="n">
        <x:v>107.94</x:v>
      </x:c>
    </x:row>
    <x:row r="690" ht="22" customHeight="1">
      <x:c r="A690" s="1" t="str">
        <x:v>Round1</x:v>
      </x:c>
      <x:c r="B690" s="1" t="str">
        <x:v>Math</x:v>
      </x:c>
      <x:c r="C690" s="4" t="n">
        <x:v>5</x:v>
      </x:c>
      <x:c r="D690" s="4" t="n">
        <x:v>0</x:v>
      </x:c>
      <x:c r="E690" s="4" t="n">
        <x:v>60</x:v>
      </x:c>
      <x:c r="F690" s="4" t="n">
        <x:v>4173</x:v>
      </x:c>
      <x:c r="G690" s="5" t="n">
        <x:v>0.9672</x:v>
      </x:c>
      <x:c r="H690" s="5" t="n">
        <x:v>0.9867</x:v>
      </x:c>
      <x:c r="I690" s="5" t="n">
        <x:v>0.9412</x:v>
      </x:c>
      <x:c r="J690" s="4" t="n">
        <x:v>396</x:v>
      </x:c>
      <x:c r="K690" s="4" t="n">
        <x:v>383</x:v>
      </x:c>
      <x:c r="L690" s="4" t="n">
        <x:v>226</x:v>
      </x:c>
      <x:c r="M690" s="4" t="n">
        <x:v>223</x:v>
      </x:c>
      <x:c r="N690" s="4" t="n">
        <x:v>170</x:v>
      </x:c>
      <x:c r="O690" s="4" t="n">
        <x:v>160</x:v>
      </x:c>
      <x:c r="P690" s="1" t="str">
        <x:v>FAIL</x:v>
      </x:c>
      <x:c r="Q690" s="4" t="n">
        <x:v>304</x:v>
      </x:c>
      <x:c r="R690" s="1" t="str">
        <x:v>FAIL</x:v>
      </x:c>
      <x:c r="S690" s="4" t="n">
        <x:v>304</x:v>
      </x:c>
      <x:c r="T690" s="1" t="str">
        <x:v>INCONCLUSIVE</x:v>
      </x:c>
      <x:c r="U690" s="1" t="str">
        <x:v>Math_5</x:v>
      </x:c>
      <x:c r="V690" s="6" t="n">
        <x:v>86.55</x:v>
      </x:c>
    </x:row>
    <x:row r="691" ht="22" customHeight="1">
      <x:c r="A691" s="1" t="str">
        <x:v>Round1</x:v>
      </x:c>
      <x:c r="B691" s="1" t="str">
        <x:v>Math</x:v>
      </x:c>
      <x:c r="C691" s="4" t="n">
        <x:v>6</x:v>
      </x:c>
      <x:c r="D691" s="4" t="n">
        <x:v>0</x:v>
      </x:c>
      <x:c r="E691" s="4" t="n">
        <x:v>60</x:v>
      </x:c>
      <x:c r="F691" s="4" t="n">
        <x:v>4216</x:v>
      </x:c>
      <x:c r="G691" s="5" t="n">
        <x:v>0.12119999999999999</x:v>
      </x:c>
      <x:c r="H691" s="5" t="n">
        <x:v>0.1495</x:v>
      </x:c>
      <x:c r="I691" s="5" t="n">
        <x:v>0.063</x:v>
      </x:c>
      <x:c r="J691" s="4" t="n">
        <x:v>1791</x:v>
      </x:c>
      <x:c r="K691" s="4" t="n">
        <x:v>217</x:v>
      </x:c>
      <x:c r="L691" s="4" t="n">
        <x:v>1204</x:v>
      </x:c>
      <x:c r="M691" s="4" t="n">
        <x:v>180</x:v>
      </x:c>
      <x:c r="N691" s="4" t="n">
        <x:v>587</x:v>
      </x:c>
      <x:c r="O691" s="4" t="n">
        <x:v>37</x:v>
      </x:c>
      <x:c r="P691" s="1" t="str">
        <x:v>FAIL</x:v>
      </x:c>
      <x:c r="Q691" s="4" t="n">
        <x:v>1196</x:v>
      </x:c>
      <x:c r="R691" s="1" t="str">
        <x:v>FAIL</x:v>
      </x:c>
      <x:c r="S691" s="4" t="n">
        <x:v>2996</x:v>
      </x:c>
      <x:c r="T691" s="1" t="str">
        <x:v>INCONCLUSIVE</x:v>
      </x:c>
      <x:c r="U691" s="1" t="str">
        <x:v>Math_6</x:v>
      </x:c>
      <x:c r="V691" s="6" t="n">
        <x:v>91.98</x:v>
      </x:c>
    </x:row>
    <x:row r="692" ht="22" customHeight="1">
      <x:c r="A692" s="1" t="str">
        <x:v>Round1</x:v>
      </x:c>
      <x:c r="B692" s="1" t="str">
        <x:v>Math</x:v>
      </x:c>
      <x:c r="C692" s="4" t="n">
        <x:v>7</x:v>
      </x:c>
      <x:c r="D692" s="4" t="n">
        <x:v>0</x:v>
      </x:c>
      <x:c r="E692" s="4" t="n">
        <x:v>60</x:v>
      </x:c>
      <x:c r="F692" s="4" t="n">
        <x:v>1</x:v>
      </x:c>
      <x:c r="G692" s="5" t="n">
        <x:v>0</x:v>
      </x:c>
      <x:c r="H692" s="5" t="n">
        <x:v>0</x:v>
      </x:c>
      <x:c r="I692" s="5" t="n">
        <x:v>0</x:v>
      </x:c>
      <x:c r="J692" s="4" t="n">
        <x:v>180</x:v>
      </x:c>
      <x:c r="K692" s="4" t="n">
        <x:v>0</x:v>
      </x:c>
      <x:c r="L692" s="4" t="n">
        <x:v>130</x:v>
      </x:c>
      <x:c r="M692" s="4" t="n">
        <x:v>0</x:v>
      </x:c>
      <x:c r="N692" s="4" t="n">
        <x:v>50</x:v>
      </x:c>
      <x:c r="O692" s="4" t="n">
        <x:v>0</x:v>
      </x:c>
      <x:c r="P692" s="1" t="str">
        <x:v>PASS</x:v>
      </x:c>
      <x:c r="Q692" s="4" t="n">
        <x:v>0</x:v>
      </x:c>
      <x:c r="R692" s="1" t="str">
        <x:v>PASS</x:v>
      </x:c>
      <x:c r="S692" s="4" t="n">
        <x:v>0</x:v>
      </x:c>
      <x:c r="T692" s="1" t="str">
        <x:v>NOT_REVEALING</x:v>
      </x:c>
      <x:c r="U692" s="1" t="str">
        <x:v>Math_7</x:v>
      </x:c>
      <x:c r="V692" s="6" t="n">
        <x:v>44.95</x:v>
      </x:c>
    </x:row>
    <x:row r="693" ht="22" customHeight="1">
      <x:c r="A693" s="1" t="str">
        <x:v>Round1</x:v>
      </x:c>
      <x:c r="B693" s="1" t="str">
        <x:v>Math</x:v>
      </x:c>
      <x:c r="C693" s="4" t="n">
        <x:v>8</x:v>
      </x:c>
      <x:c r="D693" s="4" t="n">
        <x:v>0</x:v>
      </x:c>
      <x:c r="E693" s="4" t="n">
        <x:v>60</x:v>
      </x:c>
      <x:c r="F693" s="4" t="n">
        <x:v>33</x:v>
      </x:c>
      <x:c r="G693" s="5" t="n">
        <x:v>0.125</x:v>
      </x:c>
      <x:c r="H693" s="5" t="n">
        <x:v>0.175</x:v>
      </x:c>
      <x:c r="I693" s="5" t="n">
        <x:v>0.0417</x:v>
      </x:c>
      <x:c r="J693" s="4" t="n">
        <x:v>64</x:v>
      </x:c>
      <x:c r="K693" s="4" t="n">
        <x:v>8</x:v>
      </x:c>
      <x:c r="L693" s="4" t="n">
        <x:v>40</x:v>
      </x:c>
      <x:c r="M693" s="4" t="n">
        <x:v>7</x:v>
      </x:c>
      <x:c r="N693" s="4" t="n">
        <x:v>24</x:v>
      </x:c>
      <x:c r="O693" s="4" t="n">
        <x:v>1</x:v>
      </x:c>
      <x:c r="P693" s="1" t="str">
        <x:v>PASS</x:v>
      </x:c>
      <x:c r="Q693" s="4" t="n">
        <x:v>0</x:v>
      </x:c>
      <x:c r="R693" s="1" t="str">
        <x:v>PASS</x:v>
      </x:c>
      <x:c r="S693" s="4" t="n">
        <x:v>0</x:v>
      </x:c>
      <x:c r="T693" s="1" t="str">
        <x:v>NOT_REVEALING</x:v>
      </x:c>
      <x:c r="U693" s="1" t="str">
        <x:v>Math_8</x:v>
      </x:c>
      <x:c r="V693" s="6" t="n">
        <x:v>45.25</x:v>
      </x:c>
    </x:row>
    <x:row r="694" ht="22" customHeight="1">
      <x:c r="A694" s="1" t="str">
        <x:v>Round1</x:v>
      </x:c>
      <x:c r="B694" s="1" t="str">
        <x:v>Math</x:v>
      </x:c>
      <x:c r="C694" s="4" t="n">
        <x:v>9</x:v>
      </x:c>
      <x:c r="D694" s="4" t="n">
        <x:v>0</x:v>
      </x:c>
      <x:c r="E694" s="4" t="n">
        <x:v>60</x:v>
      </x:c>
      <x:c r="F694" s="4" t="n">
        <x:v>3</x:v>
      </x:c>
      <x:c r="G694" s="5" t="n">
        <x:v>0.0806</x:v>
      </x:c>
      <x:c r="H694" s="5" t="n">
        <x:v>0.10869999999999999</x:v>
      </x:c>
      <x:c r="I694" s="5" t="n">
        <x:v>0</x:v>
      </x:c>
      <x:c r="J694" s="4" t="n">
        <x:v>62</x:v>
      </x:c>
      <x:c r="K694" s="4" t="n">
        <x:v>5</x:v>
      </x:c>
      <x:c r="L694" s="4" t="n">
        <x:v>46</x:v>
      </x:c>
      <x:c r="M694" s="4" t="n">
        <x:v>5</x:v>
      </x:c>
      <x:c r="N694" s="4" t="n">
        <x:v>16</x:v>
      </x:c>
      <x:c r="O694" s="4" t="n">
        <x:v>0</x:v>
      </x:c>
      <x:c r="P694" s="1" t="str">
        <x:v>PASS</x:v>
      </x:c>
      <x:c r="Q694" s="4" t="n">
        <x:v>0</x:v>
      </x:c>
      <x:c r="R694" s="1" t="str">
        <x:v>PASS</x:v>
      </x:c>
      <x:c r="S694" s="4" t="n">
        <x:v>0</x:v>
      </x:c>
      <x:c r="T694" s="1" t="str">
        <x:v>NOT_REVEALING</x:v>
      </x:c>
      <x:c r="U694" s="1" t="str">
        <x:v>Math_9</x:v>
      </x:c>
      <x:c r="V694" s="6" t="n">
        <x:v>39.52</x:v>
      </x:c>
    </x:row>
    <x:row r="695" ht="22" customHeight="1">
      <x:c r="A695" s="1" t="str">
        <x:v>Round1</x:v>
      </x:c>
      <x:c r="B695" s="1" t="str">
        <x:v>Math</x:v>
      </x:c>
      <x:c r="C695" s="4" t="n">
        <x:v>10</x:v>
      </x:c>
      <x:c r="D695" s="4" t="n">
        <x:v>0</x:v>
      </x:c>
      <x:c r="E695" s="4" t="n">
        <x:v>60</x:v>
      </x:c>
      <x:c r="F695" s="4" t="n">
        <x:v>63</x:v>
      </x:c>
      <x:c r="G695" s="5" t="n">
        <x:v>0.2753</x:v>
      </x:c>
      <x:c r="H695" s="5" t="n">
        <x:v>0.2948</x:v>
      </x:c>
      <x:c r="I695" s="5" t="n">
        <x:v>0.2378</x:v>
      </x:c>
      <x:c r="J695" s="4" t="n">
        <x:v>839</x:v>
      </x:c>
      <x:c r="K695" s="4" t="n">
        <x:v>231</x:v>
      </x:c>
      <x:c r="L695" s="4" t="n">
        <x:v>553</x:v>
      </x:c>
      <x:c r="M695" s="4" t="n">
        <x:v>163</x:v>
      </x:c>
      <x:c r="N695" s="4" t="n">
        <x:v>286</x:v>
      </x:c>
      <x:c r="O695" s="4" t="n">
        <x:v>68</x:v>
      </x:c>
      <x:c r="P695" s="1" t="str">
        <x:v>PASS</x:v>
      </x:c>
      <x:c r="Q695" s="4" t="n">
        <x:v>0</x:v>
      </x:c>
      <x:c r="R695" s="1" t="str">
        <x:v>PASS</x:v>
      </x:c>
      <x:c r="S695" s="4" t="n">
        <x:v>0</x:v>
      </x:c>
      <x:c r="T695" s="1" t="str">
        <x:v>NOT_REVEALING</x:v>
      </x:c>
      <x:c r="U695" s="1" t="str">
        <x:v>Math_10</x:v>
      </x:c>
      <x:c r="V695" s="6" t="n">
        <x:v>41.16</x:v>
      </x:c>
    </x:row>
    <x:row r="696" ht="22" customHeight="1">
      <x:c r="A696" s="1" t="str">
        <x:v>Round1</x:v>
      </x:c>
      <x:c r="B696" s="1" t="str">
        <x:v>Math</x:v>
      </x:c>
      <x:c r="C696" s="4" t="n">
        <x:v>11</x:v>
      </x:c>
      <x:c r="D696" s="4" t="n">
        <x:v>0</x:v>
      </x:c>
      <x:c r="E696" s="4" t="n">
        <x:v>60</x:v>
      </x:c>
      <x:c r="F696" s="4" t="n">
        <x:v>3064</x:v>
      </x:c>
      <x:c r="G696" s="5" t="n">
        <x:v>1</x:v>
      </x:c>
      <x:c r="H696" s="5" t="n">
        <x:v>1</x:v>
      </x:c>
      <x:c r="I696" s="5" t="n">
        <x:v>1</x:v>
      </x:c>
      <x:c r="J696" s="4" t="n">
        <x:v>87</x:v>
      </x:c>
      <x:c r="K696" s="4" t="n">
        <x:v>87</x:v>
      </x:c>
      <x:c r="L696" s="4" t="n">
        <x:v>59</x:v>
      </x:c>
      <x:c r="M696" s="4" t="n">
        <x:v>59</x:v>
      </x:c>
      <x:c r="N696" s="4" t="n">
        <x:v>28</x:v>
      </x:c>
      <x:c r="O696" s="4" t="n">
        <x:v>28</x:v>
      </x:c>
      <x:c r="P696" s="1" t="str">
        <x:v>PASS</x:v>
      </x:c>
      <x:c r="Q696" s="4" t="n">
        <x:v>0</x:v>
      </x:c>
      <x:c r="R696" s="1" t="str">
        <x:v>FAIL</x:v>
      </x:c>
      <x:c r="S696" s="4" t="n">
        <x:v>1840</x:v>
      </x:c>
      <x:c r="T696" s="1" t="str">
        <x:v>INCONCLUSIVE</x:v>
      </x:c>
      <x:c r="U696" s="1" t="str">
        <x:v>Math_11</x:v>
      </x:c>
      <x:c r="V696" s="6" t="n">
        <x:v>74.75</x:v>
      </x:c>
    </x:row>
    <x:row r="697" ht="22" customHeight="1">
      <x:c r="A697" s="1" t="str">
        <x:v>Round1</x:v>
      </x:c>
      <x:c r="B697" s="1" t="str">
        <x:v>Math</x:v>
      </x:c>
      <x:c r="C697" s="4" t="n">
        <x:v>12</x:v>
      </x:c>
      <x:c r="D697" s="4" t="n">
        <x:v>0</x:v>
      </x:c>
      <x:c r="E697" s="4" t="n">
        <x:v>60</x:v>
      </x:c>
      <x:c r="F697" s="4" t="n">
        <x:v>1</x:v>
      </x:c>
      <x:c r="G697" s="5" t="n">
        <x:v>0</x:v>
      </x:c>
      <x:c r="H697" s="5" t="n">
        <x:v>0</x:v>
      </x:c>
      <x:c r="I697" s="5" t="n">
        <x:v>0</x:v>
      </x:c>
      <x:c r="J697" s="4" t="n">
        <x:v>62</x:v>
      </x:c>
      <x:c r="K697" s="4" t="n">
        <x:v>0</x:v>
      </x:c>
      <x:c r="L697" s="4" t="n">
        <x:v>48</x:v>
      </x:c>
      <x:c r="M697" s="4" t="n">
        <x:v>0</x:v>
      </x:c>
      <x:c r="N697" s="4" t="n">
        <x:v>14</x:v>
      </x:c>
      <x:c r="O697" s="4" t="n">
        <x:v>0</x:v>
      </x:c>
      <x:c r="P697" s="1" t="str">
        <x:v>PASS</x:v>
      </x:c>
      <x:c r="Q697" s="4" t="n">
        <x:v>0</x:v>
      </x:c>
      <x:c r="R697" s="1" t="str">
        <x:v>PASS</x:v>
      </x:c>
      <x:c r="S697" s="4" t="n">
        <x:v>0</x:v>
      </x:c>
      <x:c r="T697" s="1" t="str">
        <x:v>NOT_REVEALING</x:v>
      </x:c>
      <x:c r="U697" s="1" t="str">
        <x:v>Math_12</x:v>
      </x:c>
      <x:c r="V697" s="6" t="n">
        <x:v>38.96</x:v>
      </x:c>
    </x:row>
    <x:row r="698" ht="22" customHeight="1">
      <x:c r="A698" s="1" t="str">
        <x:v>Round1</x:v>
      </x:c>
      <x:c r="B698" s="1" t="str">
        <x:v>Math</x:v>
      </x:c>
      <x:c r="C698" s="4" t="n">
        <x:v>13</x:v>
      </x:c>
      <x:c r="D698" s="4" t="n">
        <x:v>0</x:v>
      </x:c>
      <x:c r="E698" s="4" t="n">
        <x:v>60</x:v>
      </x:c>
      <x:c r="F698" s="4" t="n">
        <x:v>1</x:v>
      </x:c>
      <x:c r="G698" s="5" t="n">
        <x:v>0</x:v>
      </x:c>
      <x:c r="H698" s="5" t="n">
        <x:v>0</x:v>
      </x:c>
      <x:c r="I698" s="5" t="n">
        <x:v>0</x:v>
      </x:c>
      <x:c r="J698" s="4" t="n">
        <x:v>99</x:v>
      </x:c>
      <x:c r="K698" s="4" t="n">
        <x:v>0</x:v>
      </x:c>
      <x:c r="L698" s="4" t="n">
        <x:v>81</x:v>
      </x:c>
      <x:c r="M698" s="4" t="n">
        <x:v>0</x:v>
      </x:c>
      <x:c r="N698" s="4" t="n">
        <x:v>18</x:v>
      </x:c>
      <x:c r="O698" s="4" t="n">
        <x:v>0</x:v>
      </x:c>
      <x:c r="P698" s="1" t="str">
        <x:v>PASS</x:v>
      </x:c>
      <x:c r="Q698" s="4" t="n">
        <x:v>0</x:v>
      </x:c>
      <x:c r="R698" s="1" t="str">
        <x:v>PASS</x:v>
      </x:c>
      <x:c r="S698" s="4" t="n">
        <x:v>0</x:v>
      </x:c>
      <x:c r="T698" s="1" t="str">
        <x:v>NOT_REVEALING</x:v>
      </x:c>
      <x:c r="U698" s="1" t="str">
        <x:v>Math_13</x:v>
      </x:c>
      <x:c r="V698" s="6" t="n">
        <x:v>38.77</x:v>
      </x:c>
    </x:row>
    <x:row r="699" ht="22" customHeight="1">
      <x:c r="A699" s="1" t="str">
        <x:v>Round1</x:v>
      </x:c>
      <x:c r="B699" s="1" t="str">
        <x:v>Math</x:v>
      </x:c>
      <x:c r="C699" s="4" t="n">
        <x:v>14</x:v>
      </x:c>
      <x:c r="D699" s="4" t="n">
        <x:v>0</x:v>
      </x:c>
      <x:c r="E699" s="4" t="n">
        <x:v>60</x:v>
      </x:c>
      <x:c r="F699" s="4" t="n">
        <x:v>4221</x:v>
      </x:c>
      <x:c r="G699" s="5" t="n">
        <x:v>0.21539999999999998</x:v>
      </x:c>
      <x:c r="H699" s="5" t="n">
        <x:v>0.2157</x:v>
      </x:c>
      <x:c r="I699" s="5" t="n">
        <x:v>0.2143</x:v>
      </x:c>
      <x:c r="J699" s="4" t="n">
        <x:v>65</x:v>
      </x:c>
      <x:c r="K699" s="4" t="n">
        <x:v>14</x:v>
      </x:c>
      <x:c r="L699" s="4" t="n">
        <x:v>51</x:v>
      </x:c>
      <x:c r="M699" s="4" t="n">
        <x:v>11</x:v>
      </x:c>
      <x:c r="N699" s="4" t="n">
        <x:v>14</x:v>
      </x:c>
      <x:c r="O699" s="4" t="n">
        <x:v>3</x:v>
      </x:c>
      <x:c r="P699" s="1" t="str">
        <x:v>PASS</x:v>
      </x:c>
      <x:c r="Q699" s="4" t="n">
        <x:v>0</x:v>
      </x:c>
      <x:c r="R699" s="1" t="str">
        <x:v>FAIL</x:v>
      </x:c>
      <x:c r="S699" s="4" t="n">
        <x:v>2</x:v>
      </x:c>
      <x:c r="T699" s="1" t="str">
        <x:v>INCONCLUSIVE</x:v>
      </x:c>
      <x:c r="U699" s="1" t="str">
        <x:v>Math_14</x:v>
      </x:c>
      <x:c r="V699" s="6" t="n">
        <x:v>64.3</x:v>
      </x:c>
    </x:row>
    <x:row r="700" ht="22" customHeight="1">
      <x:c r="A700" s="1" t="str">
        <x:v>Round1</x:v>
      </x:c>
      <x:c r="B700" s="1" t="str">
        <x:v>Math</x:v>
      </x:c>
      <x:c r="C700" s="4" t="n">
        <x:v>15</x:v>
      </x:c>
      <x:c r="D700" s="4" t="n">
        <x:v>0</x:v>
      </x:c>
      <x:c r="E700" s="4" t="n">
        <x:v>60</x:v>
      </x:c>
      <x:c r="F700" s="4" t="n">
        <x:v>12180</x:v>
      </x:c>
      <x:c r="G700" s="5" t="n">
        <x:v>0.8675</x:v>
      </x:c>
      <x:c r="H700" s="5" t="n">
        <x:v>0.9118</x:v>
      </x:c>
      <x:c r="I700" s="5" t="n">
        <x:v>0.7845</x:v>
      </x:c>
      <x:c r="J700" s="4" t="n">
        <x:v>2295</x:v>
      </x:c>
      <x:c r="K700" s="4" t="n">
        <x:v>1991</x:v>
      </x:c>
      <x:c r="L700" s="4" t="n">
        <x:v>1497</x:v>
      </x:c>
      <x:c r="M700" s="4" t="n">
        <x:v>1365</x:v>
      </x:c>
      <x:c r="N700" s="4" t="n">
        <x:v>798</x:v>
      </x:c>
      <x:c r="O700" s="4" t="n">
        <x:v>626</x:v>
      </x:c>
      <x:c r="P700" s="1" t="str">
        <x:v>PASS</x:v>
      </x:c>
      <x:c r="Q700" s="4" t="n">
        <x:v>0</x:v>
      </x:c>
      <x:c r="R700" s="1" t="str">
        <x:v>PASS</x:v>
      </x:c>
      <x:c r="S700" s="4" t="n">
        <x:v>0</x:v>
      </x:c>
      <x:c r="T700" s="1" t="str">
        <x:v>NOT_REVEALING</x:v>
      </x:c>
      <x:c r="U700" s="1" t="str">
        <x:v>Math_15</x:v>
      </x:c>
      <x:c r="V700" s="6" t="n">
        <x:v>60.82</x:v>
      </x:c>
    </x:row>
    <x:row r="701" ht="22" customHeight="1">
      <x:c r="A701" s="1" t="str">
        <x:v>Round1</x:v>
      </x:c>
      <x:c r="B701" s="1" t="str">
        <x:v>Math</x:v>
      </x:c>
      <x:c r="C701" s="4" t="n">
        <x:v>16</x:v>
      </x:c>
      <x:c r="D701" s="4" t="n">
        <x:v>0</x:v>
      </x:c>
      <x:c r="E701" s="4" t="n">
        <x:v>60</x:v>
      </x:c>
      <x:c r="F701" s="4" t="n">
        <x:v>41</x:v>
      </x:c>
      <x:c r="G701" s="5" t="n">
        <x:v>0.248</x:v>
      </x:c>
      <x:c r="H701" s="5" t="n">
        <x:v>0.2965</x:v>
      </x:c>
      <x:c r="I701" s="5" t="n">
        <x:v>0.157</x:v>
      </x:c>
      <x:c r="J701" s="4" t="n">
        <x:v>2274</x:v>
      </x:c>
      <x:c r="K701" s="4" t="n">
        <x:v>564</x:v>
      </x:c>
      <x:c r="L701" s="4" t="n">
        <x:v>1484</x:v>
      </x:c>
      <x:c r="M701" s="4" t="n">
        <x:v>440</x:v>
      </x:c>
      <x:c r="N701" s="4" t="n">
        <x:v>790</x:v>
      </x:c>
      <x:c r="O701" s="4" t="n">
        <x:v>124</x:v>
      </x:c>
      <x:c r="P701" s="1" t="str">
        <x:v>PASS</x:v>
      </x:c>
      <x:c r="Q701" s="4" t="n">
        <x:v>0</x:v>
      </x:c>
      <x:c r="R701" s="1" t="str">
        <x:v>PASS</x:v>
      </x:c>
      <x:c r="S701" s="4" t="n">
        <x:v>0</x:v>
      </x:c>
      <x:c r="T701" s="1" t="str">
        <x:v>NOT_REVEALING</x:v>
      </x:c>
      <x:c r="U701" s="1" t="str">
        <x:v>Math_16</x:v>
      </x:c>
      <x:c r="V701" s="6" t="n">
        <x:v>44.31</x:v>
      </x:c>
    </x:row>
    <x:row r="702" ht="22" customHeight="1">
      <x:c r="A702" s="1" t="str">
        <x:v>Round1</x:v>
      </x:c>
      <x:c r="B702" s="1" t="str">
        <x:v>Math</x:v>
      </x:c>
      <x:c r="C702" s="4" t="n">
        <x:v>17</x:v>
      </x:c>
      <x:c r="D702" s="4" t="n">
        <x:v>0</x:v>
      </x:c>
      <x:c r="E702" s="4" t="n">
        <x:v>60</x:v>
      </x:c>
      <x:c r="F702" s="4" t="n">
        <x:v>165</x:v>
      </x:c>
      <x:c r="G702" s="5" t="n">
        <x:v>0.0091</x:v>
      </x:c>
      <x:c r="H702" s="5" t="n">
        <x:v>0.0155</x:v>
      </x:c>
      <x:c r="I702" s="5" t="n">
        <x:v>0</x:v>
      </x:c>
      <x:c r="J702" s="4" t="n">
        <x:v>1767</x:v>
      </x:c>
      <x:c r="K702" s="4" t="n">
        <x:v>16</x:v>
      </x:c>
      <x:c r="L702" s="4" t="n">
        <x:v>1029</x:v>
      </x:c>
      <x:c r="M702" s="4" t="n">
        <x:v>16</x:v>
      </x:c>
      <x:c r="N702" s="4" t="n">
        <x:v>738</x:v>
      </x:c>
      <x:c r="O702" s="4" t="n">
        <x:v>0</x:v>
      </x:c>
      <x:c r="P702" s="1" t="str">
        <x:v>PASS</x:v>
      </x:c>
      <x:c r="Q702" s="4" t="n">
        <x:v>0</x:v>
      </x:c>
      <x:c r="R702" s="1" t="str">
        <x:v>PASS</x:v>
      </x:c>
      <x:c r="S702" s="4" t="n">
        <x:v>0</x:v>
      </x:c>
      <x:c r="T702" s="1" t="str">
        <x:v>NOT_REVEALING</x:v>
      </x:c>
      <x:c r="U702" s="1" t="str">
        <x:v>Math_17</x:v>
      </x:c>
      <x:c r="V702" s="6" t="n">
        <x:v>40.33</x:v>
      </x:c>
    </x:row>
    <x:row r="703" ht="22" customHeight="1">
      <x:c r="A703" s="1" t="str">
        <x:v>Round1</x:v>
      </x:c>
      <x:c r="B703" s="1" t="str">
        <x:v>Math</x:v>
      </x:c>
      <x:c r="C703" s="4" t="n">
        <x:v>18</x:v>
      </x:c>
      <x:c r="D703" s="4" t="n">
        <x:v>0</x:v>
      </x:c>
      <x:c r="E703" s="4" t="n">
        <x:v>60</x:v>
      </x:c>
      <x:c r="F703" s="4" t="n">
        <x:v>4409</x:v>
      </x:c>
      <x:c r="G703" s="5" t="n">
        <x:v>0.044500000000000005</x:v>
      </x:c>
      <x:c r="H703" s="5" t="n">
        <x:v>0.0647</x:v>
      </x:c>
      <x:c r="I703" s="5" t="n">
        <x:v>0.0072</x:v>
      </x:c>
      <x:c r="J703" s="4" t="n">
        <x:v>786</x:v>
      </x:c>
      <x:c r="K703" s="4" t="n">
        <x:v>35</x:v>
      </x:c>
      <x:c r="L703" s="4" t="n">
        <x:v>510</x:v>
      </x:c>
      <x:c r="M703" s="4" t="n">
        <x:v>33</x:v>
      </x:c>
      <x:c r="N703" s="4" t="n">
        <x:v>276</x:v>
      </x:c>
      <x:c r="O703" s="4" t="n">
        <x:v>2</x:v>
      </x:c>
      <x:c r="P703" s="1" t="str">
        <x:v>FAIL</x:v>
      </x:c>
      <x:c r="Q703" s="4" t="n">
        <x:v>1990</x:v>
      </x:c>
      <x:c r="R703" s="1" t="str">
        <x:v>FAIL</x:v>
      </x:c>
      <x:c r="S703" s="4" t="n">
        <x:v>1990</x:v>
      </x:c>
      <x:c r="T703" s="1" t="str">
        <x:v>INCONCLUSIVE</x:v>
      </x:c>
      <x:c r="U703" s="1" t="str">
        <x:v>Math_18</x:v>
      </x:c>
      <x:c r="V703" s="6" t="n">
        <x:v>69.87</x:v>
      </x:c>
    </x:row>
    <x:row r="704" ht="22" customHeight="1">
      <x:c r="A704" s="1" t="str">
        <x:v>Round1</x:v>
      </x:c>
      <x:c r="B704" s="1" t="str">
        <x:v>Math</x:v>
      </x:c>
      <x:c r="C704" s="4" t="n">
        <x:v>19</x:v>
      </x:c>
      <x:c r="D704" s="4" t="n">
        <x:v>0</x:v>
      </x:c>
      <x:c r="E704" s="4" t="n">
        <x:v>60</x:v>
      </x:c>
      <x:c r="F704" s="4" t="n">
        <x:v>4548</x:v>
      </x:c>
      <x:c r="G704" s="5" t="n">
        <x:v>0.0453</x:v>
      </x:c>
      <x:c r="H704" s="5" t="n">
        <x:v>0.0659</x:v>
      </x:c>
      <x:c r="I704" s="5" t="n">
        <x:v>0.0074</x:v>
      </x:c>
      <x:c r="J704" s="4" t="n">
        <x:v>773</x:v>
      </x:c>
      <x:c r="K704" s="4" t="n">
        <x:v>35</x:v>
      </x:c>
      <x:c r="L704" s="4" t="n">
        <x:v>501</x:v>
      </x:c>
      <x:c r="M704" s="4" t="n">
        <x:v>33</x:v>
      </x:c>
      <x:c r="N704" s="4" t="n">
        <x:v>272</x:v>
      </x:c>
      <x:c r="O704" s="4" t="n">
        <x:v>2</x:v>
      </x:c>
      <x:c r="P704" s="1" t="str">
        <x:v>FAIL</x:v>
      </x:c>
      <x:c r="Q704" s="4" t="n">
        <x:v>2064</x:v>
      </x:c>
      <x:c r="R704" s="1" t="str">
        <x:v>FAIL</x:v>
      </x:c>
      <x:c r="S704" s="4" t="n">
        <x:v>2064</x:v>
      </x:c>
      <x:c r="T704" s="1" t="str">
        <x:v>INCONCLUSIVE</x:v>
      </x:c>
      <x:c r="U704" s="1" t="str">
        <x:v>Math_19</x:v>
      </x:c>
      <x:c r="V704" s="6" t="n">
        <x:v>69.91</x:v>
      </x:c>
    </x:row>
    <x:row r="705" ht="22" customHeight="1">
      <x:c r="A705" s="1" t="str">
        <x:v>Round1</x:v>
      </x:c>
      <x:c r="B705" s="1" t="str">
        <x:v>Math</x:v>
      </x:c>
      <x:c r="C705" s="4" t="n">
        <x:v>20</x:v>
      </x:c>
      <x:c r="D705" s="4" t="n">
        <x:v>0</x:v>
      </x:c>
      <x:c r="E705" s="4" t="n">
        <x:v>60</x:v>
      </x:c>
      <x:c r="F705" s="4" t="n">
        <x:v>4705</x:v>
      </x:c>
      <x:c r="G705" s="5" t="n">
        <x:v>0.045599999999999995</x:v>
      </x:c>
      <x:c r="H705" s="5" t="n">
        <x:v>0.066</x:v>
      </x:c>
      <x:c r="I705" s="5" t="n">
        <x:v>0.0075</x:v>
      </x:c>
      <x:c r="J705" s="4" t="n">
        <x:v>768</x:v>
      </x:c>
      <x:c r="K705" s="4" t="n">
        <x:v>35</x:v>
      </x:c>
      <x:c r="L705" s="4" t="n">
        <x:v>500</x:v>
      </x:c>
      <x:c r="M705" s="4" t="n">
        <x:v>33</x:v>
      </x:c>
      <x:c r="N705" s="4" t="n">
        <x:v>268</x:v>
      </x:c>
      <x:c r="O705" s="4" t="n">
        <x:v>2</x:v>
      </x:c>
      <x:c r="P705" s="1" t="str">
        <x:v>FAIL</x:v>
      </x:c>
      <x:c r="Q705" s="4" t="n">
        <x:v>2128</x:v>
      </x:c>
      <x:c r="R705" s="1" t="str">
        <x:v>FAIL</x:v>
      </x:c>
      <x:c r="S705" s="4" t="n">
        <x:v>2128</x:v>
      </x:c>
      <x:c r="T705" s="1" t="str">
        <x:v>INCONCLUSIVE</x:v>
      </x:c>
      <x:c r="U705" s="1" t="str">
        <x:v>Math_20</x:v>
      </x:c>
      <x:c r="V705" s="6" t="n">
        <x:v>72.03</x:v>
      </x:c>
    </x:row>
    <x:row r="706" ht="22" customHeight="1">
      <x:c r="A706" s="1" t="str">
        <x:v>Round1</x:v>
      </x:c>
      <x:c r="B706" s="1" t="str">
        <x:v>Math</x:v>
      </x:c>
      <x:c r="C706" s="4" t="n">
        <x:v>21</x:v>
      </x:c>
      <x:c r="D706" s="4" t="n">
        <x:v>0</x:v>
      </x:c>
      <x:c r="E706" s="4" t="n">
        <x:v>60</x:v>
      </x:c>
      <x:c r="F706" s="4" t="n">
        <x:v>35</x:v>
      </x:c>
      <x:c r="G706" s="5" t="n">
        <x:v>0.025</x:v>
      </x:c>
      <x:c r="H706" s="5" t="n">
        <x:v>0.0385</x:v>
      </x:c>
      <x:c r="I706" s="5" t="n">
        <x:v>0</x:v>
      </x:c>
      <x:c r="J706" s="4" t="n">
        <x:v>80</x:v>
      </x:c>
      <x:c r="K706" s="4" t="n">
        <x:v>2</x:v>
      </x:c>
      <x:c r="L706" s="4" t="n">
        <x:v>52</x:v>
      </x:c>
      <x:c r="M706" s="4" t="n">
        <x:v>2</x:v>
      </x:c>
      <x:c r="N706" s="4" t="n">
        <x:v>28</x:v>
      </x:c>
      <x:c r="O706" s="4" t="n">
        <x:v>0</x:v>
      </x:c>
      <x:c r="P706" s="1" t="str">
        <x:v>PASS</x:v>
      </x:c>
      <x:c r="Q706" s="4" t="n">
        <x:v>0</x:v>
      </x:c>
      <x:c r="R706" s="1" t="str">
        <x:v>PASS</x:v>
      </x:c>
      <x:c r="S706" s="4" t="n">
        <x:v>0</x:v>
      </x:c>
      <x:c r="T706" s="1" t="str">
        <x:v>NOT_REVEALING</x:v>
      </x:c>
      <x:c r="U706" s="1" t="str">
        <x:v>Math_21</x:v>
      </x:c>
      <x:c r="V706" s="6" t="n">
        <x:v>44.52</x:v>
      </x:c>
    </x:row>
    <x:row r="707" ht="22" customHeight="1">
      <x:c r="A707" s="1" t="str">
        <x:v>Round1</x:v>
      </x:c>
      <x:c r="B707" s="1" t="str">
        <x:v>Math</x:v>
      </x:c>
      <x:c r="C707" s="4" t="n">
        <x:v>22</x:v>
      </x:c>
      <x:c r="D707" s="4" t="n">
        <x:v>0</x:v>
      </x:c>
      <x:c r="E707" s="4" t="n">
        <x:v>60</x:v>
      </x:c>
      <x:c r="F707" s="4" t="n">
        <x:v>5338</x:v>
      </x:c>
      <x:c r="G707" s="5" t="n">
        <x:v>1</x:v>
      </x:c>
      <x:c r="H707" s="5" t="n">
        <x:v>1</x:v>
      </x:c>
      <x:c r="I707" s="5" t="n">
        <x:v>1</x:v>
      </x:c>
      <x:c r="J707" s="4" t="n">
        <x:v>108</x:v>
      </x:c>
      <x:c r="K707" s="4" t="n">
        <x:v>108</x:v>
      </x:c>
      <x:c r="L707" s="4" t="n">
        <x:v>86</x:v>
      </x:c>
      <x:c r="M707" s="4" t="n">
        <x:v>86</x:v>
      </x:c>
      <x:c r="N707" s="4" t="n">
        <x:v>22</x:v>
      </x:c>
      <x:c r="O707" s="4" t="n">
        <x:v>22</x:v>
      </x:c>
      <x:c r="P707" s="1" t="str">
        <x:v>FAIL</x:v>
      </x:c>
      <x:c r="Q707" s="4" t="n">
        <x:v>1</x:v>
      </x:c>
      <x:c r="R707" s="1" t="str">
        <x:v>FAIL</x:v>
      </x:c>
      <x:c r="S707" s="4" t="n">
        <x:v>2268</x:v>
      </x:c>
      <x:c r="T707" s="1" t="str">
        <x:v>INCONCLUSIVE</x:v>
      </x:c>
      <x:c r="U707" s="1" t="str">
        <x:v>Math_22</x:v>
      </x:c>
      <x:c r="V707" s="6" t="n">
        <x:v>187.11</x:v>
      </x:c>
    </x:row>
    <x:row r="708" ht="22" customHeight="1">
      <x:c r="A708" s="1" t="str">
        <x:v>Round1</x:v>
      </x:c>
      <x:c r="B708" s="1" t="str">
        <x:v>Math</x:v>
      </x:c>
      <x:c r="C708" s="4" t="n">
        <x:v>23</x:v>
      </x:c>
      <x:c r="D708" s="4" t="n">
        <x:v>0</x:v>
      </x:c>
      <x:c r="E708" s="4" t="n">
        <x:v>60</x:v>
      </x:c>
      <x:c r="F708" s="4" t="n">
        <x:v>6670</x:v>
      </x:c>
      <x:c r="G708" s="5" t="n">
        <x:v>0.16920000000000002</x:v>
      </x:c>
      <x:c r="H708" s="5" t="n">
        <x:v>0.2231</x:v>
      </x:c>
      <x:c r="I708" s="5" t="n">
        <x:v>0.08109999999999999</x:v>
      </x:c>
      <x:c r="J708" s="4" t="n">
        <x:v>195</x:v>
      </x:c>
      <x:c r="K708" s="4" t="n">
        <x:v>33</x:v>
      </x:c>
      <x:c r="L708" s="4" t="n">
        <x:v>121</x:v>
      </x:c>
      <x:c r="M708" s="4" t="n">
        <x:v>27</x:v>
      </x:c>
      <x:c r="N708" s="4" t="n">
        <x:v>74</x:v>
      </x:c>
      <x:c r="O708" s="4" t="n">
        <x:v>6</x:v>
      </x:c>
      <x:c r="P708" s="1" t="str">
        <x:v>PASS</x:v>
      </x:c>
      <x:c r="Q708" s="4" t="n">
        <x:v>0</x:v>
      </x:c>
      <x:c r="R708" s="1" t="str">
        <x:v>PASS</x:v>
      </x:c>
      <x:c r="S708" s="4" t="n">
        <x:v>0</x:v>
      </x:c>
      <x:c r="T708" s="1" t="str">
        <x:v>NOT_REVEALING</x:v>
      </x:c>
      <x:c r="U708" s="1" t="str">
        <x:v>Math_23</x:v>
      </x:c>
      <x:c r="V708" s="6" t="n">
        <x:v>75.89</x:v>
      </x:c>
    </x:row>
    <x:row r="709" ht="22" customHeight="1">
      <x:c r="A709" s="1" t="str">
        <x:v>Round1</x:v>
      </x:c>
      <x:c r="B709" s="1" t="str">
        <x:v>Math</x:v>
      </x:c>
      <x:c r="C709" s="4" t="n">
        <x:v>24</x:v>
      </x:c>
      <x:c r="D709" s="4" t="n">
        <x:v>0</x:v>
      </x:c>
      <x:c r="E709" s="4" t="n">
        <x:v>60</x:v>
      </x:c>
      <x:c r="F709" s="4" t="n">
        <x:v>6704</x:v>
      </x:c>
      <x:c r="G709" s="5" t="n">
        <x:v>0.17010000000000003</x:v>
      </x:c>
      <x:c r="H709" s="5" t="n">
        <x:v>0.225</x:v>
      </x:c>
      <x:c r="I709" s="5" t="n">
        <x:v>0.08109999999999999</x:v>
      </x:c>
      <x:c r="J709" s="4" t="n">
        <x:v>194</x:v>
      </x:c>
      <x:c r="K709" s="4" t="n">
        <x:v>33</x:v>
      </x:c>
      <x:c r="L709" s="4" t="n">
        <x:v>120</x:v>
      </x:c>
      <x:c r="M709" s="4" t="n">
        <x:v>27</x:v>
      </x:c>
      <x:c r="N709" s="4" t="n">
        <x:v>74</x:v>
      </x:c>
      <x:c r="O709" s="4" t="n">
        <x:v>6</x:v>
      </x:c>
      <x:c r="P709" s="1" t="str">
        <x:v>PASS</x:v>
      </x:c>
      <x:c r="Q709" s="4" t="n">
        <x:v>0</x:v>
      </x:c>
      <x:c r="R709" s="1" t="str">
        <x:v>PASS</x:v>
      </x:c>
      <x:c r="S709" s="4" t="n">
        <x:v>0</x:v>
      </x:c>
      <x:c r="T709" s="1" t="str">
        <x:v>NOT_REVEALING</x:v>
      </x:c>
      <x:c r="U709" s="1" t="str">
        <x:v>Math_24</x:v>
      </x:c>
      <x:c r="V709" s="6" t="n">
        <x:v>77.03</x:v>
      </x:c>
    </x:row>
    <x:row r="710" ht="22" customHeight="1">
      <x:c r="A710" s="1" t="str">
        <x:v>Round1</x:v>
      </x:c>
      <x:c r="B710" s="1" t="str">
        <x:v>Math</x:v>
      </x:c>
      <x:c r="C710" s="4" t="n">
        <x:v>25</x:v>
      </x:c>
      <x:c r="D710" s="4" t="n">
        <x:v>0</x:v>
      </x:c>
      <x:c r="E710" s="4" t="n">
        <x:v>60</x:v>
      </x:c>
      <x:c r="F710" s="4" t="n">
        <x:v>6091</x:v>
      </x:c>
      <x:c r="G710" s="5" t="n">
        <x:v>0.9836</x:v>
      </x:c>
      <x:c r="H710" s="5" t="n">
        <x:v>0.9894</x:v>
      </x:c>
      <x:c r="I710" s="5" t="n">
        <x:v>0.9643</x:v>
      </x:c>
      <x:c r="J710" s="4" t="n">
        <x:v>122</x:v>
      </x:c>
      <x:c r="K710" s="4" t="n">
        <x:v>120</x:v>
      </x:c>
      <x:c r="L710" s="4" t="n">
        <x:v>94</x:v>
      </x:c>
      <x:c r="M710" s="4" t="n">
        <x:v>93</x:v>
      </x:c>
      <x:c r="N710" s="4" t="n">
        <x:v>28</x:v>
      </x:c>
      <x:c r="O710" s="4" t="n">
        <x:v>27</x:v>
      </x:c>
      <x:c r="P710" s="1" t="str">
        <x:v>PASS</x:v>
      </x:c>
      <x:c r="Q710" s="4" t="n">
        <x:v>0</x:v>
      </x:c>
      <x:c r="R710" s="1" t="str">
        <x:v>PASS</x:v>
      </x:c>
      <x:c r="S710" s="4" t="n">
        <x:v>0</x:v>
      </x:c>
      <x:c r="T710" s="1" t="str">
        <x:v>NOT_REVEALING</x:v>
      </x:c>
      <x:c r="U710" s="1" t="str">
        <x:v>Math_25</x:v>
      </x:c>
      <x:c r="V710" s="6" t="n">
        <x:v>80.34</x:v>
      </x:c>
    </x:row>
    <x:row r="711" ht="22" customHeight="1">
      <x:c r="A711" s="1" t="str">
        <x:v>Round1</x:v>
      </x:c>
      <x:c r="B711" s="1" t="str">
        <x:v>Math</x:v>
      </x:c>
      <x:c r="C711" s="4" t="n">
        <x:v>26</x:v>
      </x:c>
      <x:c r="D711" s="4" t="n">
        <x:v>0</x:v>
      </x:c>
      <x:c r="E711" s="4" t="n">
        <x:v>60</x:v>
      </x:c>
      <x:c r="F711" s="4" t="n">
        <x:v>2948</x:v>
      </x:c>
      <x:c r="G711" s="5" t="n">
        <x:v>0.9097</x:v>
      </x:c>
      <x:c r="H711" s="5" t="n">
        <x:v>0.929</x:v>
      </x:c>
      <x:c r="I711" s="5" t="n">
        <x:v>0.8723000000000001</x:v>
      </x:c>
      <x:c r="J711" s="4" t="n">
        <x:v>277</x:v>
      </x:c>
      <x:c r="K711" s="4" t="n">
        <x:v>252</x:v>
      </x:c>
      <x:c r="L711" s="4" t="n">
        <x:v>183</x:v>
      </x:c>
      <x:c r="M711" s="4" t="n">
        <x:v>170</x:v>
      </x:c>
      <x:c r="N711" s="4" t="n">
        <x:v>94</x:v>
      </x:c>
      <x:c r="O711" s="4" t="n">
        <x:v>82</x:v>
      </x:c>
      <x:c r="P711" s="1" t="str">
        <x:v>PASS</x:v>
      </x:c>
      <x:c r="Q711" s="4" t="n">
        <x:v>0</x:v>
      </x:c>
      <x:c r="R711" s="1" t="str">
        <x:v>PASS</x:v>
      </x:c>
      <x:c r="S711" s="4" t="n">
        <x:v>0</x:v>
      </x:c>
      <x:c r="T711" s="1" t="str">
        <x:v>NOT_REVEALING</x:v>
      </x:c>
      <x:c r="U711" s="1" t="str">
        <x:v>Math_26</x:v>
      </x:c>
      <x:c r="V711" s="6" t="n">
        <x:v>72.86</x:v>
      </x:c>
    </x:row>
    <x:row r="712" ht="22" customHeight="1">
      <x:c r="A712" s="1" t="str">
        <x:v>Round1</x:v>
      </x:c>
      <x:c r="B712" s="1" t="str">
        <x:v>Math</x:v>
      </x:c>
      <x:c r="C712" s="4" t="n">
        <x:v>27</x:v>
      </x:c>
      <x:c r="D712" s="4" t="n">
        <x:v>0</x:v>
      </x:c>
      <x:c r="E712" s="4" t="n">
        <x:v>60</x:v>
      </x:c>
      <x:c r="F712" s="4" t="n">
        <x:v>2903</x:v>
      </x:c>
      <x:c r="G712" s="5" t="n">
        <x:v>0.9097</x:v>
      </x:c>
      <x:c r="H712" s="5" t="n">
        <x:v>0.929</x:v>
      </x:c>
      <x:c r="I712" s="5" t="n">
        <x:v>0.8723000000000001</x:v>
      </x:c>
      <x:c r="J712" s="4" t="n">
        <x:v>277</x:v>
      </x:c>
      <x:c r="K712" s="4" t="n">
        <x:v>252</x:v>
      </x:c>
      <x:c r="L712" s="4" t="n">
        <x:v>183</x:v>
      </x:c>
      <x:c r="M712" s="4" t="n">
        <x:v>170</x:v>
      </x:c>
      <x:c r="N712" s="4" t="n">
        <x:v>94</x:v>
      </x:c>
      <x:c r="O712" s="4" t="n">
        <x:v>82</x:v>
      </x:c>
      <x:c r="P712" s="1" t="str">
        <x:v>PASS</x:v>
      </x:c>
      <x:c r="Q712" s="4" t="n">
        <x:v>0</x:v>
      </x:c>
      <x:c r="R712" s="1" t="str">
        <x:v>FAIL</x:v>
      </x:c>
      <x:c r="S712" s="4" t="n">
        <x:v>14</x:v>
      </x:c>
      <x:c r="T712" s="1" t="str">
        <x:v>INCONCLUSIVE</x:v>
      </x:c>
      <x:c r="U712" s="1" t="str">
        <x:v>Math_27</x:v>
      </x:c>
      <x:c r="V712" s="6" t="n">
        <x:v>76.02</x:v>
      </x:c>
    </x:row>
    <x:row r="713" ht="22" customHeight="1">
      <x:c r="A713" s="1" t="str">
        <x:v>Round1</x:v>
      </x:c>
      <x:c r="B713" s="1" t="str">
        <x:v>Math</x:v>
      </x:c>
      <x:c r="C713" s="4" t="n">
        <x:v>28</x:v>
      </x:c>
      <x:c r="D713" s="4" t="n">
        <x:v>0</x:v>
      </x:c>
      <x:c r="E713" s="4" t="n">
        <x:v>60</x:v>
      </x:c>
      <x:c r="F713" s="4" t="n">
        <x:v>7753</x:v>
      </x:c>
      <x:c r="G713" s="5" t="n">
        <x:v>0.13390000000000002</x:v>
      </x:c>
      <x:c r="H713" s="5" t="n">
        <x:v>0.2152</x:v>
      </x:c>
      <x:c r="I713" s="5" t="n">
        <x:v>0</x:v>
      </x:c>
      <x:c r="J713" s="4" t="n">
        <x:v>127</x:v>
      </x:c>
      <x:c r="K713" s="4" t="n">
        <x:v>17</x:v>
      </x:c>
      <x:c r="L713" s="4" t="n">
        <x:v>79</x:v>
      </x:c>
      <x:c r="M713" s="4" t="n">
        <x:v>17</x:v>
      </x:c>
      <x:c r="N713" s="4" t="n">
        <x:v>48</x:v>
      </x:c>
      <x:c r="O713" s="4" t="n">
        <x:v>0</x:v>
      </x:c>
      <x:c r="P713" s="1" t="str">
        <x:v>FAIL</x:v>
      </x:c>
      <x:c r="Q713" s="4" t="n">
        <x:v>2556</x:v>
      </x:c>
      <x:c r="R713" s="1" t="str">
        <x:v>FAIL</x:v>
      </x:c>
      <x:c r="S713" s="4" t="n">
        <x:v>2556</x:v>
      </x:c>
      <x:c r="T713" s="1" t="str">
        <x:v>INCONCLUSIVE</x:v>
      </x:c>
      <x:c r="U713" s="1" t="str">
        <x:v>Math_28</x:v>
      </x:c>
      <x:c r="V713" s="6" t="n">
        <x:v>78.91</x:v>
      </x:c>
    </x:row>
    <x:row r="714" ht="22" customHeight="1">
      <x:c r="A714" s="1" t="str">
        <x:v>Round1</x:v>
      </x:c>
      <x:c r="B714" s="1" t="str">
        <x:v>Math</x:v>
      </x:c>
      <x:c r="C714" s="4" t="n">
        <x:v>29</x:v>
      </x:c>
      <x:c r="D714" s="4" t="n">
        <x:v>0</x:v>
      </x:c>
      <x:c r="E714" s="4" t="n">
        <x:v>60</x:v>
      </x:c>
      <x:c r="F714" s="4" t="n">
        <x:v>3225</x:v>
      </x:c>
      <x:c r="G714" s="5" t="n">
        <x:v>0.9451</x:v>
      </x:c>
      <x:c r="H714" s="5" t="n">
        <x:v>0.9595</x:v>
      </x:c>
      <x:c r="I714" s="5" t="n">
        <x:v>0.9104000000000001</x:v>
      </x:c>
      <x:c r="J714" s="4" t="n">
        <x:v>455</x:v>
      </x:c>
      <x:c r="K714" s="4" t="n">
        <x:v>430</x:v>
      </x:c>
      <x:c r="L714" s="4" t="n">
        <x:v>321</x:v>
      </x:c>
      <x:c r="M714" s="4" t="n">
        <x:v>308</x:v>
      </x:c>
      <x:c r="N714" s="4" t="n">
        <x:v>134</x:v>
      </x:c>
      <x:c r="O714" s="4" t="n">
        <x:v>122</x:v>
      </x:c>
      <x:c r="P714" s="1" t="str">
        <x:v>FAIL</x:v>
      </x:c>
      <x:c r="Q714" s="4" t="n">
        <x:v>8</x:v>
      </x:c>
      <x:c r="R714" s="1" t="str">
        <x:v>FAIL</x:v>
      </x:c>
      <x:c r="S714" s="4" t="n">
        <x:v>8</x:v>
      </x:c>
      <x:c r="T714" s="1" t="str">
        <x:v>INCONCLUSIVE</x:v>
      </x:c>
      <x:c r="U714" s="1" t="str">
        <x:v>Math_29</x:v>
      </x:c>
      <x:c r="V714" s="6" t="n">
        <x:v>105.48</x:v>
      </x:c>
    </x:row>
    <x:row r="715" ht="22" customHeight="1">
      <x:c r="A715" s="1" t="str">
        <x:v>Round1</x:v>
      </x:c>
      <x:c r="B715" s="1" t="str">
        <x:v>Math</x:v>
      </x:c>
      <x:c r="C715" s="4" t="n">
        <x:v>30</x:v>
      </x:c>
      <x:c r="D715" s="4" t="n">
        <x:v>0</x:v>
      </x:c>
      <x:c r="E715" s="4" t="n">
        <x:v>60</x:v>
      </x:c>
      <x:c r="F715" s="4" t="n">
        <x:v>3824</x:v>
      </x:c>
      <x:c r="G715" s="5" t="n">
        <x:v>1</x:v>
      </x:c>
      <x:c r="H715" s="5" t="n">
        <x:v>1</x:v>
      </x:c>
      <x:c r="I715" s="5" t="n">
        <x:v>1</x:v>
      </x:c>
      <x:c r="J715" s="4" t="n">
        <x:v>44</x:v>
      </x:c>
      <x:c r="K715" s="4" t="n">
        <x:v>44</x:v>
      </x:c>
      <x:c r="L715" s="4" t="n">
        <x:v>34</x:v>
      </x:c>
      <x:c r="M715" s="4" t="n">
        <x:v>34</x:v>
      </x:c>
      <x:c r="N715" s="4" t="n">
        <x:v>10</x:v>
      </x:c>
      <x:c r="O715" s="4" t="n">
        <x:v>10</x:v>
      </x:c>
      <x:c r="P715" s="1" t="str">
        <x:v>PASS</x:v>
      </x:c>
      <x:c r="Q715" s="4" t="n">
        <x:v>0</x:v>
      </x:c>
      <x:c r="R715" s="1" t="str">
        <x:v>PASS</x:v>
      </x:c>
      <x:c r="S715" s="4" t="n">
        <x:v>0</x:v>
      </x:c>
      <x:c r="T715" s="1" t="str">
        <x:v>NOT_REVEALING</x:v>
      </x:c>
      <x:c r="U715" s="1" t="str">
        <x:v>Math_30</x:v>
      </x:c>
      <x:c r="V715" s="6" t="n">
        <x:v>102.07</x:v>
      </x:c>
    </x:row>
    <x:row r="716" ht="22" customHeight="1">
      <x:c r="A716" s="1" t="str">
        <x:v>Round1</x:v>
      </x:c>
      <x:c r="B716" s="1" t="str">
        <x:v>Math</x:v>
      </x:c>
      <x:c r="C716" s="4" t="n">
        <x:v>31</x:v>
      </x:c>
      <x:c r="D716" s="4" t="n">
        <x:v>0</x:v>
      </x:c>
      <x:c r="E716" s="4" t="n">
        <x:v>60</x:v>
      </x:c>
      <x:c r="F716" s="4" t="n">
        <x:v>1</x:v>
      </x:c>
      <x:c r="G716" s="5" t="n">
        <x:v>0</x:v>
      </x:c>
      <x:c r="H716" s="5" t="n">
        <x:v>0</x:v>
      </x:c>
      <x:c r="I716" s="5" t="n">
        <x:v>0</x:v>
      </x:c>
      <x:c r="J716" s="4" t="n">
        <x:v>89</x:v>
      </x:c>
      <x:c r="K716" s="4" t="n">
        <x:v>0</x:v>
      </x:c>
      <x:c r="L716" s="4" t="n">
        <x:v>59</x:v>
      </x:c>
      <x:c r="M716" s="4" t="n">
        <x:v>0</x:v>
      </x:c>
      <x:c r="N716" s="4" t="n">
        <x:v>30</x:v>
      </x:c>
      <x:c r="O716" s="4" t="n">
        <x:v>0</x:v>
      </x:c>
      <x:c r="P716" s="1" t="str">
        <x:v>PASS</x:v>
      </x:c>
      <x:c r="Q716" s="4" t="n">
        <x:v>0</x:v>
      </x:c>
      <x:c r="R716" s="1" t="str">
        <x:v>PASS</x:v>
      </x:c>
      <x:c r="S716" s="4" t="n">
        <x:v>0</x:v>
      </x:c>
      <x:c r="T716" s="1" t="str">
        <x:v>NOT_REVEALING</x:v>
      </x:c>
      <x:c r="U716" s="1" t="str">
        <x:v>Math_31</x:v>
      </x:c>
      <x:c r="V716" s="6" t="n">
        <x:v>47.76</x:v>
      </x:c>
    </x:row>
    <x:row r="717" ht="22" customHeight="1">
      <x:c r="A717" s="1" t="str">
        <x:v>Round1</x:v>
      </x:c>
      <x:c r="B717" s="1" t="str">
        <x:v>Math</x:v>
      </x:c>
      <x:c r="C717" s="4" t="n">
        <x:v>32</x:v>
      </x:c>
      <x:c r="D717" s="4" t="n">
        <x:v>0</x:v>
      </x:c>
      <x:c r="E717" s="4" t="n">
        <x:v>60</x:v>
      </x:c>
      <x:c r="F717" s="4" t="n">
        <x:v>2690</x:v>
      </x:c>
      <x:c r="G717" s="5" t="n">
        <x:v>0.6787000000000001</x:v>
      </x:c>
      <x:c r="H717" s="5" t="n">
        <x:v>0.7456</x:v>
      </x:c>
      <x:c r="I717" s="5" t="n">
        <x:v>0.5375</x:v>
      </x:c>
      <x:c r="J717" s="4" t="n">
        <x:v>249</x:v>
      </x:c>
      <x:c r="K717" s="4" t="n">
        <x:v>169</x:v>
      </x:c>
      <x:c r="L717" s="4" t="n">
        <x:v>169</x:v>
      </x:c>
      <x:c r="M717" s="4" t="n">
        <x:v>126</x:v>
      </x:c>
      <x:c r="N717" s="4" t="n">
        <x:v>80</x:v>
      </x:c>
      <x:c r="O717" s="4" t="n">
        <x:v>43</x:v>
      </x:c>
      <x:c r="P717" s="1" t="str">
        <x:v>FAIL</x:v>
      </x:c>
      <x:c r="Q717" s="4" t="n">
        <x:v>390</x:v>
      </x:c>
      <x:c r="R717" s="1" t="str">
        <x:v>FAIL</x:v>
      </x:c>
      <x:c r="S717" s="4" t="n">
        <x:v>390</x:v>
      </x:c>
      <x:c r="T717" s="1" t="str">
        <x:v>INCONCLUSIVE</x:v>
      </x:c>
      <x:c r="U717" s="1" t="str">
        <x:v>Math_32</x:v>
      </x:c>
      <x:c r="V717" s="6" t="n">
        <x:v>108.95</x:v>
      </x:c>
    </x:row>
    <x:row r="718" ht="22" customHeight="1">
      <x:c r="A718" s="1" t="str">
        <x:v>Round1</x:v>
      </x:c>
      <x:c r="B718" s="1" t="str">
        <x:v>Math</x:v>
      </x:c>
      <x:c r="C718" s="4" t="n">
        <x:v>33</x:v>
      </x:c>
      <x:c r="D718" s="4" t="n">
        <x:v>0</x:v>
      </x:c>
      <x:c r="E718" s="4" t="n">
        <x:v>60</x:v>
      </x:c>
      <x:c r="F718" s="4" t="n">
        <x:v>2722</x:v>
      </x:c>
      <x:c r="G718" s="5" t="n">
        <x:v>0.048499999999999995</x:v>
      </x:c>
      <x:c r="H718" s="5" t="n">
        <x:v>0.0757</x:v>
      </x:c>
      <x:c r="I718" s="5" t="n">
        <x:v>0.008100000000000001</x:v>
      </x:c>
      <x:c r="J718" s="4" t="n">
        <x:v>309</x:v>
      </x:c>
      <x:c r="K718" s="4" t="n">
        <x:v>15</x:v>
      </x:c>
      <x:c r="L718" s="4" t="n">
        <x:v>185</x:v>
      </x:c>
      <x:c r="M718" s="4" t="n">
        <x:v>14</x:v>
      </x:c>
      <x:c r="N718" s="4" t="n">
        <x:v>124</x:v>
      </x:c>
      <x:c r="O718" s="4" t="n">
        <x:v>1</x:v>
      </x:c>
      <x:c r="P718" s="1" t="str">
        <x:v>PASS</x:v>
      </x:c>
      <x:c r="Q718" s="4" t="n">
        <x:v>0</x:v>
      </x:c>
      <x:c r="R718" s="1" t="str">
        <x:v>PASS</x:v>
      </x:c>
      <x:c r="S718" s="4" t="n">
        <x:v>0</x:v>
      </x:c>
      <x:c r="T718" s="1" t="str">
        <x:v>NOT_REVEALING</x:v>
      </x:c>
      <x:c r="U718" s="1" t="str">
        <x:v>Math_33</x:v>
      </x:c>
      <x:c r="V718" s="6" t="n">
        <x:v>68.46</x:v>
      </x:c>
    </x:row>
    <x:row r="719" ht="22" customHeight="1">
      <x:c r="A719" s="1" t="str">
        <x:v>Round1</x:v>
      </x:c>
      <x:c r="B719" s="1" t="str">
        <x:v>Math</x:v>
      </x:c>
      <x:c r="C719" s="4" t="n">
        <x:v>34</x:v>
      </x:c>
      <x:c r="D719" s="4" t="n">
        <x:v>0</x:v>
      </x:c>
      <x:c r="E719" s="4" t="n">
        <x:v>60</x:v>
      </x:c>
      <x:c r="F719" s="4" t="n">
        <x:v>1</x:v>
      </x:c>
      <x:c r="G719" s="5" t="n">
        <x:v>0</x:v>
      </x:c>
      <x:c r="H719" s="5" t="n">
        <x:v>0</x:v>
      </x:c>
      <x:c r="I719" s="5" t="n">
        <x:v>0</x:v>
      </x:c>
      <x:c r="J719" s="4" t="n">
        <x:v>72</x:v>
      </x:c>
      <x:c r="K719" s="4" t="n">
        <x:v>0</x:v>
      </x:c>
      <x:c r="L719" s="4" t="n">
        <x:v>50</x:v>
      </x:c>
      <x:c r="M719" s="4" t="n">
        <x:v>0</x:v>
      </x:c>
      <x:c r="N719" s="4" t="n">
        <x:v>22</x:v>
      </x:c>
      <x:c r="O719" s="4" t="n">
        <x:v>0</x:v>
      </x:c>
      <x:c r="P719" s="1" t="str">
        <x:v>PASS</x:v>
      </x:c>
      <x:c r="Q719" s="4" t="n">
        <x:v>0</x:v>
      </x:c>
      <x:c r="R719" s="1" t="str">
        <x:v>PASS</x:v>
      </x:c>
      <x:c r="S719" s="4" t="n">
        <x:v>0</x:v>
      </x:c>
      <x:c r="T719" s="1" t="str">
        <x:v>NOT_REVEALING</x:v>
      </x:c>
      <x:c r="U719" s="1" t="str">
        <x:v>Math_34</x:v>
      </x:c>
      <x:c r="V719" s="6" t="n">
        <x:v>46.43</x:v>
      </x:c>
    </x:row>
    <x:row r="720" ht="22" customHeight="1">
      <x:c r="A720" s="1" t="str">
        <x:v>Round1</x:v>
      </x:c>
      <x:c r="B720" s="1" t="str">
        <x:v>Math</x:v>
      </x:c>
      <x:c r="C720" s="4" t="n">
        <x:v>35</x:v>
      </x:c>
      <x:c r="D720" s="4" t="n">
        <x:v>0</x:v>
      </x:c>
      <x:c r="E720" s="4" t="n">
        <x:v>60</x:v>
      </x:c>
      <x:c r="F720" s="4" t="n">
        <x:v>4730</x:v>
      </x:c>
      <x:c r="G720" s="5" t="n">
        <x:v>1</x:v>
      </x:c>
      <x:c r="H720" s="5" t="n">
        <x:v>1</x:v>
      </x:c>
      <x:c r="I720" s="5" t="n">
        <x:v>1</x:v>
      </x:c>
      <x:c r="J720" s="4" t="n">
        <x:v>25</x:v>
      </x:c>
      <x:c r="K720" s="4" t="n">
        <x:v>25</x:v>
      </x:c>
      <x:c r="L720" s="4" t="n">
        <x:v>19</x:v>
      </x:c>
      <x:c r="M720" s="4" t="n">
        <x:v>19</x:v>
      </x:c>
      <x:c r="N720" s="4" t="n">
        <x:v>6</x:v>
      </x:c>
      <x:c r="O720" s="4" t="n">
        <x:v>6</x:v>
      </x:c>
      <x:c r="P720" s="1" t="str">
        <x:v>PASS</x:v>
      </x:c>
      <x:c r="Q720" s="4" t="n">
        <x:v>0</x:v>
      </x:c>
      <x:c r="R720" s="1" t="str">
        <x:v>FAIL</x:v>
      </x:c>
      <x:c r="S720" s="4" t="n">
        <x:v>8546</x:v>
      </x:c>
      <x:c r="T720" s="1" t="str">
        <x:v>INCONCLUSIVE</x:v>
      </x:c>
      <x:c r="U720" s="1" t="str">
        <x:v>Math_35</x:v>
      </x:c>
      <x:c r="V720" s="6" t="n">
        <x:v>98.94</x:v>
      </x:c>
    </x:row>
    <x:row r="721" ht="22" customHeight="1">
      <x:c r="A721" s="1" t="str">
        <x:v>Round1</x:v>
      </x:c>
      <x:c r="B721" s="1" t="str">
        <x:v>Math</x:v>
      </x:c>
      <x:c r="C721" s="4" t="n">
        <x:v>36</x:v>
      </x:c>
      <x:c r="D721" s="4" t="n">
        <x:v>0</x:v>
      </x:c>
      <x:c r="E721" s="4" t="n">
        <x:v>60</x:v>
      </x:c>
      <x:c r="F721" s="4" t="n">
        <x:v>48</x:v>
      </x:c>
      <x:c r="G721" s="5" t="n">
        <x:v>0.6211</x:v>
      </x:c>
      <x:c r="H721" s="5" t="n">
        <x:v>0.6783</x:v>
      </x:c>
      <x:c r="I721" s="5" t="n">
        <x:v>0.4783</x:v>
      </x:c>
      <x:c r="J721" s="4" t="n">
        <x:v>322</x:v>
      </x:c>
      <x:c r="K721" s="4" t="n">
        <x:v>200</x:v>
      </x:c>
      <x:c r="L721" s="4" t="n">
        <x:v>230</x:v>
      </x:c>
      <x:c r="M721" s="4" t="n">
        <x:v>156</x:v>
      </x:c>
      <x:c r="N721" s="4" t="n">
        <x:v>92</x:v>
      </x:c>
      <x:c r="O721" s="4" t="n">
        <x:v>44</x:v>
      </x:c>
      <x:c r="P721" s="1" t="str">
        <x:v>PASS</x:v>
      </x:c>
      <x:c r="Q721" s="4" t="n">
        <x:v>0</x:v>
      </x:c>
      <x:c r="R721" s="1" t="str">
        <x:v>PASS</x:v>
      </x:c>
      <x:c r="S721" s="4" t="n">
        <x:v>0</x:v>
      </x:c>
      <x:c r="T721" s="1" t="str">
        <x:v>NOT_REVEALING</x:v>
      </x:c>
      <x:c r="U721" s="1" t="str">
        <x:v>Math_36</x:v>
      </x:c>
      <x:c r="V721" s="6" t="n">
        <x:v>43.34</x:v>
      </x:c>
    </x:row>
    <x:row r="722" ht="22" customHeight="1">
      <x:c r="A722" s="1" t="str">
        <x:v>Round1</x:v>
      </x:c>
      <x:c r="B722" s="1" t="str">
        <x:v>Math</x:v>
      </x:c>
      <x:c r="C722" s="4" t="n">
        <x:v>37</x:v>
      </x:c>
      <x:c r="D722" s="4" t="n">
        <x:v>0</x:v>
      </x:c>
      <x:c r="E722" s="4" t="n">
        <x:v>60</x:v>
      </x:c>
      <x:c r="F722" s="4" t="n">
        <x:v>4110</x:v>
      </x:c>
      <x:c r="G722" s="5" t="n">
        <x:v>0.9682999999999999</x:v>
      </x:c>
      <x:c r="H722" s="5" t="n">
        <x:v>0.9864</x:v>
      </x:c>
      <x:c r="I722" s="5" t="n">
        <x:v>0.943</x:v>
      </x:c>
      <x:c r="J722" s="4" t="n">
        <x:v>378</x:v>
      </x:c>
      <x:c r="K722" s="4" t="n">
        <x:v>366</x:v>
      </x:c>
      <x:c r="L722" s="4" t="n">
        <x:v>220</x:v>
      </x:c>
      <x:c r="M722" s="4" t="n">
        <x:v>217</x:v>
      </x:c>
      <x:c r="N722" s="4" t="n">
        <x:v>158</x:v>
      </x:c>
      <x:c r="O722" s="4" t="n">
        <x:v>149</x:v>
      </x:c>
      <x:c r="P722" s="1" t="str">
        <x:v>FAIL</x:v>
      </x:c>
      <x:c r="Q722" s="4" t="n">
        <x:v>272</x:v>
      </x:c>
      <x:c r="R722" s="1" t="str">
        <x:v>FAIL</x:v>
      </x:c>
      <x:c r="S722" s="4" t="n">
        <x:v>302</x:v>
      </x:c>
      <x:c r="T722" s="1" t="str">
        <x:v>INCONCLUSIVE</x:v>
      </x:c>
      <x:c r="U722" s="1" t="str">
        <x:v>Math_37</x:v>
      </x:c>
      <x:c r="V722" s="6" t="n">
        <x:v>83.68</x:v>
      </x:c>
    </x:row>
    <x:row r="723" ht="22" customHeight="1">
      <x:c r="A723" s="1" t="str">
        <x:v>Round1</x:v>
      </x:c>
      <x:c r="B723" s="1" t="str">
        <x:v>Math</x:v>
      </x:c>
      <x:c r="C723" s="4" t="n">
        <x:v>38</x:v>
      </x:c>
      <x:c r="D723" s="4" t="n">
        <x:v>0</x:v>
      </x:c>
      <x:c r="E723" s="4" t="n">
        <x:v>60</x:v>
      </x:c>
      <x:c r="F723" s="4" t="n">
        <x:v>7793</x:v>
      </x:c>
      <x:c r="G723" s="5" t="n">
        <x:v>0.0044</x:v>
      </x:c>
      <x:c r="H723" s="5" t="n">
        <x:v>0.0067</x:v>
      </x:c>
      <x:c r="I723" s="5" t="n">
        <x:v>0</x:v>
      </x:c>
      <x:c r="J723" s="4" t="n">
        <x:v>1824</x:v>
      </x:c>
      <x:c r="K723" s="4" t="n">
        <x:v>8</x:v>
      </x:c>
      <x:c r="L723" s="4" t="n">
        <x:v>1200</x:v>
      </x:c>
      <x:c r="M723" s="4" t="n">
        <x:v>8</x:v>
      </x:c>
      <x:c r="N723" s="4" t="n">
        <x:v>624</x:v>
      </x:c>
      <x:c r="O723" s="4" t="n">
        <x:v>0</x:v>
      </x:c>
      <x:c r="P723" s="1" t="str">
        <x:v>FAIL</x:v>
      </x:c>
      <x:c r="Q723" s="4" t="n">
        <x:v>6780</x:v>
      </x:c>
      <x:c r="R723" s="1" t="str">
        <x:v>FAIL</x:v>
      </x:c>
      <x:c r="S723" s="4" t="n">
        <x:v>6780</x:v>
      </x:c>
      <x:c r="T723" s="1" t="str">
        <x:v>INCONCLUSIVE</x:v>
      </x:c>
      <x:c r="U723" s="1" t="str">
        <x:v>Math_38</x:v>
      </x:c>
      <x:c r="V723" s="6" t="n">
        <x:v>83.62</x:v>
      </x:c>
    </x:row>
    <x:row r="724" ht="22" customHeight="1">
      <x:c r="A724" s="1" t="str">
        <x:v>Round1</x:v>
      </x:c>
      <x:c r="B724" s="1" t="str">
        <x:v>Math</x:v>
      </x:c>
      <x:c r="C724" s="4" t="n">
        <x:v>39</x:v>
      </x:c>
      <x:c r="D724" s="4" t="n">
        <x:v>0</x:v>
      </x:c>
      <x:c r="E724" s="4" t="n">
        <x:v>60</x:v>
      </x:c>
      <x:c r="F724" s="4" t="n">
        <x:v>1</x:v>
      </x:c>
      <x:c r="G724" s="5" t="n">
        <x:v>0</x:v>
      </x:c>
      <x:c r="H724" s="5" t="n">
        <x:v>0</x:v>
      </x:c>
      <x:c r="I724" s="5" t="n">
        <x:v>0</x:v>
      </x:c>
      <x:c r="J724" s="4" t="n">
        <x:v>155</x:v>
      </x:c>
      <x:c r="K724" s="4" t="n">
        <x:v>0</x:v>
      </x:c>
      <x:c r="L724" s="4" t="n">
        <x:v>107</x:v>
      </x:c>
      <x:c r="M724" s="4" t="n">
        <x:v>0</x:v>
      </x:c>
      <x:c r="N724" s="4" t="n">
        <x:v>48</x:v>
      </x:c>
      <x:c r="O724" s="4" t="n">
        <x:v>0</x:v>
      </x:c>
      <x:c r="P724" s="1" t="str">
        <x:v>PASS</x:v>
      </x:c>
      <x:c r="Q724" s="4" t="n">
        <x:v>0</x:v>
      </x:c>
      <x:c r="R724" s="1" t="str">
        <x:v>PASS</x:v>
      </x:c>
      <x:c r="S724" s="4" t="n">
        <x:v>0</x:v>
      </x:c>
      <x:c r="T724" s="1" t="str">
        <x:v>NOT_REVEALING</x:v>
      </x:c>
      <x:c r="U724" s="1" t="str">
        <x:v>Math_39</x:v>
      </x:c>
      <x:c r="V724" s="6" t="n">
        <x:v>46.7</x:v>
      </x:c>
    </x:row>
    <x:row r="725" ht="22" customHeight="1">
      <x:c r="A725" s="1" t="str">
        <x:v>Round1</x:v>
      </x:c>
      <x:c r="B725" s="1" t="str">
        <x:v>Math</x:v>
      </x:c>
      <x:c r="C725" s="4" t="n">
        <x:v>40</x:v>
      </x:c>
      <x:c r="D725" s="4" t="n">
        <x:v>0</x:v>
      </x:c>
      <x:c r="E725" s="4" t="n">
        <x:v>60</x:v>
      </x:c>
      <x:c r="F725" s="4" t="n">
        <x:v>6823</x:v>
      </x:c>
      <x:c r="G725" s="5" t="n">
        <x:v>0.19269999999999998</x:v>
      </x:c>
      <x:c r="H725" s="5" t="n">
        <x:v>0.24600000000000002</x:v>
      </x:c>
      <x:c r="I725" s="5" t="n">
        <x:v>0.0909</x:v>
      </x:c>
      <x:c r="J725" s="4" t="n">
        <x:v>192</x:v>
      </x:c>
      <x:c r="K725" s="4" t="n">
        <x:v>37</x:v>
      </x:c>
      <x:c r="L725" s="4" t="n">
        <x:v>126</x:v>
      </x:c>
      <x:c r="M725" s="4" t="n">
        <x:v>31</x:v>
      </x:c>
      <x:c r="N725" s="4" t="n">
        <x:v>66</x:v>
      </x:c>
      <x:c r="O725" s="4" t="n">
        <x:v>6</x:v>
      </x:c>
      <x:c r="P725" s="1" t="str">
        <x:v>PASS</x:v>
      </x:c>
      <x:c r="Q725" s="4" t="n">
        <x:v>0</x:v>
      </x:c>
      <x:c r="R725" s="1" t="str">
        <x:v>PASS</x:v>
      </x:c>
      <x:c r="S725" s="4" t="n">
        <x:v>0</x:v>
      </x:c>
      <x:c r="T725" s="1" t="str">
        <x:v>NOT_REVEALING</x:v>
      </x:c>
      <x:c r="U725" s="1" t="str">
        <x:v>Math_40</x:v>
      </x:c>
      <x:c r="V725" s="6" t="n">
        <x:v>80.83</x:v>
      </x:c>
    </x:row>
    <x:row r="726" ht="22" customHeight="1">
      <x:c r="A726" s="1" t="str">
        <x:v>Round1</x:v>
      </x:c>
      <x:c r="B726" s="1" t="str">
        <x:v>Math</x:v>
      </x:c>
      <x:c r="C726" s="4" t="n">
        <x:v>41</x:v>
      </x:c>
      <x:c r="D726" s="4" t="n">
        <x:v>0</x:v>
      </x:c>
      <x:c r="E726" s="4" t="n">
        <x:v>60</x:v>
      </x:c>
      <x:c r="F726" s="4" t="n">
        <x:v>3718</x:v>
      </x:c>
      <x:c r="G726" s="5" t="n">
        <x:v>0.7468</x:v>
      </x:c>
      <x:c r="H726" s="5" t="n">
        <x:v>0.8036</x:v>
      </x:c>
      <x:c r="I726" s="5" t="n">
        <x:v>0.6087</x:v>
      </x:c>
      <x:c r="J726" s="4" t="n">
        <x:v>158</x:v>
      </x:c>
      <x:c r="K726" s="4" t="n">
        <x:v>118</x:v>
      </x:c>
      <x:c r="L726" s="4" t="n">
        <x:v>112</x:v>
      </x:c>
      <x:c r="M726" s="4" t="n">
        <x:v>90</x:v>
      </x:c>
      <x:c r="N726" s="4" t="n">
        <x:v>46</x:v>
      </x:c>
      <x:c r="O726" s="4" t="n">
        <x:v>28</x:v>
      </x:c>
      <x:c r="P726" s="1" t="str">
        <x:v>PASS</x:v>
      </x:c>
      <x:c r="Q726" s="4" t="n">
        <x:v>0</x:v>
      </x:c>
      <x:c r="R726" s="1" t="str">
        <x:v>PASS</x:v>
      </x:c>
      <x:c r="S726" s="4" t="n">
        <x:v>0</x:v>
      </x:c>
      <x:c r="T726" s="1" t="str">
        <x:v>NOT_REVEALING</x:v>
      </x:c>
      <x:c r="U726" s="1" t="str">
        <x:v>Math_41</x:v>
      </x:c>
      <x:c r="V726" s="6" t="n">
        <x:v>106.03</x:v>
      </x:c>
    </x:row>
    <x:row r="727" ht="22" customHeight="1">
      <x:c r="A727" s="1" t="str">
        <x:v>Round1</x:v>
      </x:c>
      <x:c r="B727" s="1" t="str">
        <x:v>Math</x:v>
      </x:c>
      <x:c r="C727" s="4" t="n">
        <x:v>42</x:v>
      </x:c>
      <x:c r="D727" s="4" t="n">
        <x:v>0</x:v>
      </x:c>
      <x:c r="E727" s="4" t="n">
        <x:v>60</x:v>
      </x:c>
      <x:c r="F727" s="4" t="n">
        <x:v>2722</x:v>
      </x:c>
      <x:c r="G727" s="5" t="n">
        <x:v>0.0495</x:v>
      </x:c>
      <x:c r="H727" s="5" t="n">
        <x:v>0.0765</x:v>
      </x:c>
      <x:c r="I727" s="5" t="n">
        <x:v>0.0083</x:v>
      </x:c>
      <x:c r="J727" s="4" t="n">
        <x:v>303</x:v>
      </x:c>
      <x:c r="K727" s="4" t="n">
        <x:v>15</x:v>
      </x:c>
      <x:c r="L727" s="4" t="n">
        <x:v>183</x:v>
      </x:c>
      <x:c r="M727" s="4" t="n">
        <x:v>14</x:v>
      </x:c>
      <x:c r="N727" s="4" t="n">
        <x:v>120</x:v>
      </x:c>
      <x:c r="O727" s="4" t="n">
        <x:v>1</x:v>
      </x:c>
      <x:c r="P727" s="1" t="str">
        <x:v>PASS</x:v>
      </x:c>
      <x:c r="Q727" s="4" t="n">
        <x:v>0</x:v>
      </x:c>
      <x:c r="R727" s="1" t="str">
        <x:v>PASS</x:v>
      </x:c>
      <x:c r="S727" s="4" t="n">
        <x:v>0</x:v>
      </x:c>
      <x:c r="T727" s="1" t="str">
        <x:v>NOT_REVEALING</x:v>
      </x:c>
      <x:c r="U727" s="1" t="str">
        <x:v>Math_42</x:v>
      </x:c>
      <x:c r="V727" s="6" t="n">
        <x:v>66.09</x:v>
      </x:c>
    </x:row>
    <x:row r="728" ht="22" customHeight="1">
      <x:c r="A728" s="1" t="str">
        <x:v>Round1</x:v>
      </x:c>
      <x:c r="B728" s="1" t="str">
        <x:v>Math</x:v>
      </x:c>
      <x:c r="C728" s="4" t="n">
        <x:v>43</x:v>
      </x:c>
      <x:c r="D728" s="4" t="n">
        <x:v>0</x:v>
      </x:c>
      <x:c r="E728" s="4" t="n">
        <x:v>60</x:v>
      </x:c>
      <x:c r="F728" s="4" t="n">
        <x:v>2744</x:v>
      </x:c>
      <x:c r="G728" s="5" t="n">
        <x:v>0.948</x:v>
      </x:c>
      <x:c r="H728" s="5" t="n">
        <x:v>0.9427</x:v>
      </x:c>
      <x:c r="I728" s="5" t="n">
        <x:v>0.9655</x:v>
      </x:c>
      <x:c r="J728" s="4" t="n">
        <x:v>250</x:v>
      </x:c>
      <x:c r="K728" s="4" t="n">
        <x:v>237</x:v>
      </x:c>
      <x:c r="L728" s="4" t="n">
        <x:v>192</x:v>
      </x:c>
      <x:c r="M728" s="4" t="n">
        <x:v>181</x:v>
      </x:c>
      <x:c r="N728" s="4" t="n">
        <x:v>58</x:v>
      </x:c>
      <x:c r="O728" s="4" t="n">
        <x:v>56</x:v>
      </x:c>
      <x:c r="P728" s="1" t="str">
        <x:v>FAIL</x:v>
      </x:c>
      <x:c r="Q728" s="4" t="n">
        <x:v>20</x:v>
      </x:c>
      <x:c r="R728" s="1" t="str">
        <x:v>FAIL</x:v>
      </x:c>
      <x:c r="S728" s="4" t="n">
        <x:v>18</x:v>
      </x:c>
      <x:c r="T728" s="1" t="str">
        <x:v>INCONCLUSIVE</x:v>
      </x:c>
      <x:c r="U728" s="1" t="str">
        <x:v>Math_43</x:v>
      </x:c>
      <x:c r="V728" s="6" t="n">
        <x:v>91.98</x:v>
      </x:c>
    </x:row>
    <x:row r="729" ht="22" customHeight="1">
      <x:c r="A729" s="1" t="str">
        <x:v>Round1</x:v>
      </x:c>
      <x:c r="B729" s="1" t="str">
        <x:v>Math</x:v>
      </x:c>
      <x:c r="C729" s="4" t="n">
        <x:v>44</x:v>
      </x:c>
      <x:c r="D729" s="4" t="n">
        <x:v>0</x:v>
      </x:c>
      <x:c r="E729" s="4" t="n">
        <x:v>60</x:v>
      </x:c>
      <x:c r="F729" s="4" t="n">
        <x:v>1</x:v>
      </x:c>
      <x:c r="G729" s="5" t="n">
        <x:v>0</x:v>
      </x:c>
      <x:c r="H729" s="5" t="n">
        <x:v>0</x:v>
      </x:c>
      <x:c r="I729" s="5" t="n">
        <x:v>0</x:v>
      </x:c>
      <x:c r="J729" s="4" t="n">
        <x:v>159</x:v>
      </x:c>
      <x:c r="K729" s="4" t="n">
        <x:v>0</x:v>
      </x:c>
      <x:c r="L729" s="4" t="n">
        <x:v>117</x:v>
      </x:c>
      <x:c r="M729" s="4" t="n">
        <x:v>0</x:v>
      </x:c>
      <x:c r="N729" s="4" t="n">
        <x:v>42</x:v>
      </x:c>
      <x:c r="O729" s="4" t="n">
        <x:v>0</x:v>
      </x:c>
      <x:c r="P729" s="1" t="str">
        <x:v>PASS</x:v>
      </x:c>
      <x:c r="Q729" s="4" t="n">
        <x:v>0</x:v>
      </x:c>
      <x:c r="R729" s="1" t="str">
        <x:v>PASS</x:v>
      </x:c>
      <x:c r="S729" s="4" t="n">
        <x:v>0</x:v>
      </x:c>
      <x:c r="T729" s="1" t="str">
        <x:v>NOT_REVEALING</x:v>
      </x:c>
      <x:c r="U729" s="1" t="str">
        <x:v>Math_44</x:v>
      </x:c>
      <x:c r="V729" s="6" t="n">
        <x:v>46.48</x:v>
      </x:c>
    </x:row>
    <x:row r="730" ht="22" customHeight="1">
      <x:c r="A730" s="1" t="str">
        <x:v>Round1</x:v>
      </x:c>
      <x:c r="B730" s="1" t="str">
        <x:v>Math</x:v>
      </x:c>
      <x:c r="C730" s="4" t="n">
        <x:v>45</x:v>
      </x:c>
      <x:c r="D730" s="4" t="n">
        <x:v>0</x:v>
      </x:c>
      <x:c r="E730" s="4" t="n">
        <x:v>60</x:v>
      </x:c>
      <x:c r="F730" s="4" t="n">
        <x:v>3964</x:v>
      </x:c>
      <x:c r="G730" s="5" t="n">
        <x:v>0.7983</x:v>
      </x:c>
      <x:c r="H730" s="5" t="n">
        <x:v>0.8247</x:v>
      </x:c>
      <x:c r="I730" s="5" t="n">
        <x:v>0.6818000000000001</x:v>
      </x:c>
      <x:c r="J730" s="4" t="n">
        <x:v>119</x:v>
      </x:c>
      <x:c r="K730" s="4" t="n">
        <x:v>95</x:v>
      </x:c>
      <x:c r="L730" s="4" t="n">
        <x:v>97</x:v>
      </x:c>
      <x:c r="M730" s="4" t="n">
        <x:v>80</x:v>
      </x:c>
      <x:c r="N730" s="4" t="n">
        <x:v>22</x:v>
      </x:c>
      <x:c r="O730" s="4" t="n">
        <x:v>15</x:v>
      </x:c>
      <x:c r="P730" s="1" t="str">
        <x:v>PASS</x:v>
      </x:c>
      <x:c r="Q730" s="4" t="n">
        <x:v>0</x:v>
      </x:c>
      <x:c r="R730" s="1" t="str">
        <x:v>PASS</x:v>
      </x:c>
      <x:c r="S730" s="4" t="n">
        <x:v>0</x:v>
      </x:c>
      <x:c r="T730" s="1" t="str">
        <x:v>NOT_REVEALING</x:v>
      </x:c>
      <x:c r="U730" s="1" t="str">
        <x:v>Math_45</x:v>
      </x:c>
      <x:c r="V730" s="6" t="n">
        <x:v>107.12</x:v>
      </x:c>
    </x:row>
    <x:row r="731" ht="22" customHeight="1">
      <x:c r="A731" s="1" t="str">
        <x:v>Round1</x:v>
      </x:c>
      <x:c r="B731" s="1" t="str">
        <x:v>Math</x:v>
      </x:c>
      <x:c r="C731" s="4" t="n">
        <x:v>46</x:v>
      </x:c>
      <x:c r="D731" s="4" t="n">
        <x:v>0</x:v>
      </x:c>
      <x:c r="E731" s="4" t="n">
        <x:v>60</x:v>
      </x:c>
      <x:c r="F731" s="4" t="n">
        <x:v>4541</x:v>
      </x:c>
      <x:c r="G731" s="5" t="n">
        <x:v>0.9714</x:v>
      </x:c>
      <x:c r="H731" s="5" t="n">
        <x:v>0.9851000000000001</x:v>
      </x:c>
      <x:c r="I731" s="5" t="n">
        <x:v>0.9527</x:v>
      </x:c>
      <x:c r="J731" s="4" t="n">
        <x:v>350</x:v>
      </x:c>
      <x:c r="K731" s="4" t="n">
        <x:v>340</x:v>
      </x:c>
      <x:c r="L731" s="4" t="n">
        <x:v>202</x:v>
      </x:c>
      <x:c r="M731" s="4" t="n">
        <x:v>199</x:v>
      </x:c>
      <x:c r="N731" s="4" t="n">
        <x:v>148</x:v>
      </x:c>
      <x:c r="O731" s="4" t="n">
        <x:v>141</x:v>
      </x:c>
      <x:c r="P731" s="1" t="str">
        <x:v>FAIL</x:v>
      </x:c>
      <x:c r="Q731" s="4" t="n">
        <x:v>228</x:v>
      </x:c>
      <x:c r="R731" s="1" t="str">
        <x:v>FAIL</x:v>
      </x:c>
      <x:c r="S731" s="4" t="n">
        <x:v>1224</x:v>
      </x:c>
      <x:c r="T731" s="1" t="str">
        <x:v>INCONCLUSIVE</x:v>
      </x:c>
      <x:c r="U731" s="1" t="str">
        <x:v>Math_46</x:v>
      </x:c>
      <x:c r="V731" s="6" t="n">
        <x:v>84.84</x:v>
      </x:c>
    </x:row>
    <x:row r="732" ht="22" customHeight="1">
      <x:c r="A732" s="1" t="str">
        <x:v>Round1</x:v>
      </x:c>
      <x:c r="B732" s="1" t="str">
        <x:v>Math</x:v>
      </x:c>
      <x:c r="C732" s="4" t="n">
        <x:v>47</x:v>
      </x:c>
      <x:c r="D732" s="4" t="n">
        <x:v>0</x:v>
      </x:c>
      <x:c r="E732" s="4" t="n">
        <x:v>60</x:v>
      </x:c>
      <x:c r="F732" s="4" t="n">
        <x:v>4593</x:v>
      </x:c>
      <x:c r="G732" s="5" t="n">
        <x:v>0.9621</x:v>
      </x:c>
      <x:c r="H732" s="5" t="n">
        <x:v>0.9801000000000001</x:v>
      </x:c>
      <x:c r="I732" s="5" t="n">
        <x:v>0.9366</x:v>
      </x:c>
      <x:c r="J732" s="4" t="n">
        <x:v>343</x:v>
      </x:c>
      <x:c r="K732" s="4" t="n">
        <x:v>330</x:v>
      </x:c>
      <x:c r="L732" s="4" t="n">
        <x:v>201</x:v>
      </x:c>
      <x:c r="M732" s="4" t="n">
        <x:v>197</x:v>
      </x:c>
      <x:c r="N732" s="4" t="n">
        <x:v>142</x:v>
      </x:c>
      <x:c r="O732" s="4" t="n">
        <x:v>133</x:v>
      </x:c>
      <x:c r="P732" s="1" t="str">
        <x:v>FAIL</x:v>
      </x:c>
      <x:c r="Q732" s="4" t="n">
        <x:v>312</x:v>
      </x:c>
      <x:c r="R732" s="1" t="str">
        <x:v>FAIL</x:v>
      </x:c>
      <x:c r="S732" s="4" t="n">
        <x:v>2642</x:v>
      </x:c>
      <x:c r="T732" s="1" t="str">
        <x:v>INCONCLUSIVE</x:v>
      </x:c>
      <x:c r="U732" s="1" t="str">
        <x:v>Math_47</x:v>
      </x:c>
      <x:c r="V732" s="6" t="n">
        <x:v>89.25</x:v>
      </x:c>
    </x:row>
    <x:row r="733" ht="22" customHeight="1">
      <x:c r="A733" s="1" t="str">
        <x:v>Round1</x:v>
      </x:c>
      <x:c r="B733" s="1" t="str">
        <x:v>Math</x:v>
      </x:c>
      <x:c r="C733" s="4" t="n">
        <x:v>48</x:v>
      </x:c>
      <x:c r="D733" s="4" t="n">
        <x:v>0</x:v>
      </x:c>
      <x:c r="E733" s="4" t="n">
        <x:v>60</x:v>
      </x:c>
      <x:c r="F733" s="4" t="n">
        <x:v>5</x:v>
      </x:c>
      <x:c r="G733" s="5" t="n">
        <x:v>0.0336</x:v>
      </x:c>
      <x:c r="H733" s="5" t="n">
        <x:v>0.0548</x:v>
      </x:c>
      <x:c r="I733" s="5" t="n">
        <x:v>0</x:v>
      </x:c>
      <x:c r="J733" s="4" t="n">
        <x:v>119</x:v>
      </x:c>
      <x:c r="K733" s="4" t="n">
        <x:v>4</x:v>
      </x:c>
      <x:c r="L733" s="4" t="n">
        <x:v>73</x:v>
      </x:c>
      <x:c r="M733" s="4" t="n">
        <x:v>4</x:v>
      </x:c>
      <x:c r="N733" s="4" t="n">
        <x:v>46</x:v>
      </x:c>
      <x:c r="O733" s="4" t="n">
        <x:v>0</x:v>
      </x:c>
      <x:c r="P733" s="1" t="str">
        <x:v>PASS</x:v>
      </x:c>
      <x:c r="Q733" s="4" t="n">
        <x:v>0</x:v>
      </x:c>
      <x:c r="R733" s="1" t="str">
        <x:v>PASS</x:v>
      </x:c>
      <x:c r="S733" s="4" t="n">
        <x:v>0</x:v>
      </x:c>
      <x:c r="T733" s="1" t="str">
        <x:v>NOT_REVEALING</x:v>
      </x:c>
      <x:c r="U733" s="1" t="str">
        <x:v>Math_48</x:v>
      </x:c>
      <x:c r="V733" s="6" t="n">
        <x:v>45.67</x:v>
      </x:c>
    </x:row>
    <x:row r="734" ht="22" customHeight="1">
      <x:c r="A734" s="1" t="str">
        <x:v>Round1</x:v>
      </x:c>
      <x:c r="B734" s="1" t="str">
        <x:v>Math</x:v>
      </x:c>
      <x:c r="C734" s="4" t="n">
        <x:v>49</x:v>
      </x:c>
      <x:c r="D734" s="4" t="n">
        <x:v>0</x:v>
      </x:c>
      <x:c r="E734" s="4" t="n">
        <x:v>60</x:v>
      </x:c>
      <x:c r="F734" s="4" t="n">
        <x:v>1804</x:v>
      </x:c>
      <x:c r="G734" s="5" t="n">
        <x:v>0.6868000000000001</x:v>
      </x:c>
      <x:c r="H734" s="5" t="n">
        <x:v>0.7302</x:v>
      </x:c>
      <x:c r="I734" s="5" t="n">
        <x:v>0.5789</x:v>
      </x:c>
      <x:c r="J734" s="4" t="n">
        <x:v>530</x:v>
      </x:c>
      <x:c r="K734" s="4" t="n">
        <x:v>364</x:v>
      </x:c>
      <x:c r="L734" s="4" t="n">
        <x:v>378</x:v>
      </x:c>
      <x:c r="M734" s="4" t="n">
        <x:v>276</x:v>
      </x:c>
      <x:c r="N734" s="4" t="n">
        <x:v>152</x:v>
      </x:c>
      <x:c r="O734" s="4" t="n">
        <x:v>88</x:v>
      </x:c>
      <x:c r="P734" s="1" t="str">
        <x:v>FAIL</x:v>
      </x:c>
      <x:c r="Q734" s="4" t="n">
        <x:v>66</x:v>
      </x:c>
      <x:c r="R734" s="1" t="str">
        <x:v>FAIL</x:v>
      </x:c>
      <x:c r="S734" s="4" t="n">
        <x:v>66</x:v>
      </x:c>
      <x:c r="T734" s="1" t="str">
        <x:v>INCONCLUSIVE</x:v>
      </x:c>
      <x:c r="U734" s="1" t="str">
        <x:v>Math_49</x:v>
      </x:c>
      <x:c r="V734" s="6" t="n">
        <x:v>78.62</x:v>
      </x:c>
    </x:row>
    <x:row r="735" ht="22" customHeight="1">
      <x:c r="A735" s="1" t="str">
        <x:v>Round1</x:v>
      </x:c>
      <x:c r="B735" s="1" t="str">
        <x:v>Math</x:v>
      </x:c>
      <x:c r="C735" s="4" t="n">
        <x:v>50</x:v>
      </x:c>
      <x:c r="D735" s="4" t="n">
        <x:v>0</x:v>
      </x:c>
      <x:c r="E735" s="4" t="n">
        <x:v>60</x:v>
      </x:c>
      <x:c r="F735" s="4" t="n">
        <x:v>5</x:v>
      </x:c>
      <x:c r="G735" s="5" t="n">
        <x:v>0.0325</x:v>
      </x:c>
      <x:c r="H735" s="5" t="n">
        <x:v>0.0533</x:v>
      </x:c>
      <x:c r="I735" s="5" t="n">
        <x:v>0</x:v>
      </x:c>
      <x:c r="J735" s="4" t="n">
        <x:v>123</x:v>
      </x:c>
      <x:c r="K735" s="4" t="n">
        <x:v>4</x:v>
      </x:c>
      <x:c r="L735" s="4" t="n">
        <x:v>75</x:v>
      </x:c>
      <x:c r="M735" s="4" t="n">
        <x:v>4</x:v>
      </x:c>
      <x:c r="N735" s="4" t="n">
        <x:v>48</x:v>
      </x:c>
      <x:c r="O735" s="4" t="n">
        <x:v>0</x:v>
      </x:c>
      <x:c r="P735" s="1" t="str">
        <x:v>PASS</x:v>
      </x:c>
      <x:c r="Q735" s="4" t="n">
        <x:v>0</x:v>
      </x:c>
      <x:c r="R735" s="1" t="str">
        <x:v>PASS</x:v>
      </x:c>
      <x:c r="S735" s="4" t="n">
        <x:v>0</x:v>
      </x:c>
      <x:c r="T735" s="1" t="str">
        <x:v>NOT_REVEALING</x:v>
      </x:c>
      <x:c r="U735" s="1" t="str">
        <x:v>Math_50</x:v>
      </x:c>
      <x:c r="V735" s="6" t="n">
        <x:v>45.93</x:v>
      </x:c>
    </x:row>
    <x:row r="736" ht="22" customHeight="1">
      <x:c r="A736" s="1" t="str">
        <x:v>Round1</x:v>
      </x:c>
      <x:c r="B736" s="1" t="str">
        <x:v>Math</x:v>
      </x:c>
      <x:c r="C736" s="4" t="n">
        <x:v>51</x:v>
      </x:c>
      <x:c r="D736" s="4" t="n">
        <x:v>0</x:v>
      </x:c>
      <x:c r="E736" s="4" t="n">
        <x:v>60</x:v>
      </x:c>
      <x:c r="F736" s="4" t="n">
        <x:v>5</x:v>
      </x:c>
      <x:c r="G736" s="5" t="n">
        <x:v>0.0345</x:v>
      </x:c>
      <x:c r="H736" s="5" t="n">
        <x:v>0.056299999999999996</x:v>
      </x:c>
      <x:c r="I736" s="5" t="n">
        <x:v>0</x:v>
      </x:c>
      <x:c r="J736" s="4" t="n">
        <x:v>116</x:v>
      </x:c>
      <x:c r="K736" s="4" t="n">
        <x:v>4</x:v>
      </x:c>
      <x:c r="L736" s="4" t="n">
        <x:v>71</x:v>
      </x:c>
      <x:c r="M736" s="4" t="n">
        <x:v>4</x:v>
      </x:c>
      <x:c r="N736" s="4" t="n">
        <x:v>45</x:v>
      </x:c>
      <x:c r="O736" s="4" t="n">
        <x:v>0</x:v>
      </x:c>
      <x:c r="P736" s="1" t="str">
        <x:v>PASS</x:v>
      </x:c>
      <x:c r="Q736" s="4" t="n">
        <x:v>0</x:v>
      </x:c>
      <x:c r="R736" s="1" t="str">
        <x:v>PASS</x:v>
      </x:c>
      <x:c r="S736" s="4" t="n">
        <x:v>0</x:v>
      </x:c>
      <x:c r="T736" s="1" t="str">
        <x:v>NOT_REVEALING</x:v>
      </x:c>
      <x:c r="U736" s="1" t="str">
        <x:v>Math_51</x:v>
      </x:c>
      <x:c r="V736" s="6" t="n">
        <x:v>47.68</x:v>
      </x:c>
    </x:row>
    <x:row r="737" ht="22" customHeight="1">
      <x:c r="A737" s="1" t="str">
        <x:v>Round1</x:v>
      </x:c>
      <x:c r="B737" s="1" t="str">
        <x:v>Math</x:v>
      </x:c>
      <x:c r="C737" s="4" t="n">
        <x:v>52</x:v>
      </x:c>
      <x:c r="D737" s="4" t="n">
        <x:v>0</x:v>
      </x:c>
      <x:c r="E737" s="4" t="n">
        <x:v>60</x:v>
      </x:c>
      <x:c r="F737" s="4" t="n">
        <x:v>4381</x:v>
      </x:c>
      <x:c r="G737" s="5" t="n">
        <x:v>0.6175999999999999</x:v>
      </x:c>
      <x:c r="H737" s="5" t="n">
        <x:v>0.6812</x:v>
      </x:c>
      <x:c r="I737" s="5" t="n">
        <x:v>0.42619999999999997</x:v>
      </x:c>
      <x:c r="J737" s="4" t="n">
        <x:v>489</x:v>
      </x:c>
      <x:c r="K737" s="4" t="n">
        <x:v>302</x:v>
      </x:c>
      <x:c r="L737" s="4" t="n">
        <x:v>367</x:v>
      </x:c>
      <x:c r="M737" s="4" t="n">
        <x:v>250</x:v>
      </x:c>
      <x:c r="N737" s="4" t="n">
        <x:v>122</x:v>
      </x:c>
      <x:c r="O737" s="4" t="n">
        <x:v>52</x:v>
      </x:c>
      <x:c r="P737" s="1" t="str">
        <x:v>FAIL</x:v>
      </x:c>
      <x:c r="Q737" s="4" t="n">
        <x:v>24</x:v>
      </x:c>
      <x:c r="R737" s="1" t="str">
        <x:v>FAIL</x:v>
      </x:c>
      <x:c r="S737" s="4" t="n">
        <x:v>24</x:v>
      </x:c>
      <x:c r="T737" s="1" t="str">
        <x:v>INCONCLUSIVE</x:v>
      </x:c>
      <x:c r="U737" s="1" t="str">
        <x:v>Math_52</x:v>
      </x:c>
      <x:c r="V737" s="6" t="n">
        <x:v>94.56</x:v>
      </x:c>
    </x:row>
    <x:row r="738" ht="22" customHeight="1">
      <x:c r="A738" s="1" t="str">
        <x:v>Round1</x:v>
      </x:c>
      <x:c r="B738" s="1" t="str">
        <x:v>Math</x:v>
      </x:c>
      <x:c r="C738" s="4" t="n">
        <x:v>53</x:v>
      </x:c>
      <x:c r="D738" s="4" t="n">
        <x:v>0</x:v>
      </x:c>
      <x:c r="E738" s="4" t="n">
        <x:v>60</x:v>
      </x:c>
      <x:c r="F738" s="4" t="n">
        <x:v>3286</x:v>
      </x:c>
      <x:c r="G738" s="5" t="n">
        <x:v>0.9682999999999999</x:v>
      </x:c>
      <x:c r="H738" s="5" t="n">
        <x:v>0.9823999999999999</x:v>
      </x:c>
      <x:c r="I738" s="5" t="n">
        <x:v>0.9473999999999999</x:v>
      </x:c>
      <x:c r="J738" s="4" t="n">
        <x:v>284</x:v>
      </x:c>
      <x:c r="K738" s="4" t="n">
        <x:v>275</x:v>
      </x:c>
      <x:c r="L738" s="4" t="n">
        <x:v>170</x:v>
      </x:c>
      <x:c r="M738" s="4" t="n">
        <x:v>167</x:v>
      </x:c>
      <x:c r="N738" s="4" t="n">
        <x:v>114</x:v>
      </x:c>
      <x:c r="O738" s="4" t="n">
        <x:v>108</x:v>
      </x:c>
      <x:c r="P738" s="1" t="str">
        <x:v>FAIL</x:v>
      </x:c>
      <x:c r="Q738" s="4" t="n">
        <x:v>630</x:v>
      </x:c>
      <x:c r="R738" s="1" t="str">
        <x:v>FAIL</x:v>
      </x:c>
      <x:c r="S738" s="4" t="n">
        <x:v>630</x:v>
      </x:c>
      <x:c r="T738" s="1" t="str">
        <x:v>INCONCLUSIVE</x:v>
      </x:c>
      <x:c r="U738" s="1" t="str">
        <x:v>Math_53</x:v>
      </x:c>
      <x:c r="V738" s="6" t="n">
        <x:v>84.47</x:v>
      </x:c>
    </x:row>
    <x:row r="739" ht="22" customHeight="1">
      <x:c r="A739" s="1" t="str">
        <x:v>Round1</x:v>
      </x:c>
      <x:c r="B739" s="1" t="str">
        <x:v>Math</x:v>
      </x:c>
      <x:c r="C739" s="4" t="n">
        <x:v>54</x:v>
      </x:c>
      <x:c r="D739" s="4" t="n">
        <x:v>0</x:v>
      </x:c>
      <x:c r="E739" s="4" t="n">
        <x:v>60</x:v>
      </x:c>
      <x:c r="F739" s="4" t="n">
        <x:v>165</x:v>
      </x:c>
      <x:c r="G739" s="5" t="n">
        <x:v>0.0095</x:v>
      </x:c>
      <x:c r="H739" s="5" t="n">
        <x:v>0.0161</x:v>
      </x:c>
      <x:c r="I739" s="5" t="n">
        <x:v>0</x:v>
      </x:c>
      <x:c r="J739" s="4" t="n">
        <x:v>1690</x:v>
      </x:c>
      <x:c r="K739" s="4" t="n">
        <x:v>16</x:v>
      </x:c>
      <x:c r="L739" s="4" t="n">
        <x:v>996</x:v>
      </x:c>
      <x:c r="M739" s="4" t="n">
        <x:v>16</x:v>
      </x:c>
      <x:c r="N739" s="4" t="n">
        <x:v>694</x:v>
      </x:c>
      <x:c r="O739" s="4" t="n">
        <x:v>0</x:v>
      </x:c>
      <x:c r="P739" s="1" t="str">
        <x:v>PASS</x:v>
      </x:c>
      <x:c r="Q739" s="4" t="n">
        <x:v>0</x:v>
      </x:c>
      <x:c r="R739" s="1" t="str">
        <x:v>PASS</x:v>
      </x:c>
      <x:c r="S739" s="4" t="n">
        <x:v>0</x:v>
      </x:c>
      <x:c r="T739" s="1" t="str">
        <x:v>NOT_REVEALING</x:v>
      </x:c>
      <x:c r="U739" s="1" t="str">
        <x:v>Math_54</x:v>
      </x:c>
      <x:c r="V739" s="6" t="n">
        <x:v>46.41</x:v>
      </x:c>
    </x:row>
    <x:row r="740" ht="22" customHeight="1">
      <x:c r="A740" s="1" t="str">
        <x:v>Round1</x:v>
      </x:c>
      <x:c r="B740" s="1" t="str">
        <x:v>Math</x:v>
      </x:c>
      <x:c r="C740" s="4" t="n">
        <x:v>55</x:v>
      </x:c>
      <x:c r="D740" s="4" t="n">
        <x:v>0</x:v>
      </x:c>
      <x:c r="E740" s="4" t="n">
        <x:v>60</x:v>
      </x:c>
      <x:c r="F740" s="4" t="n">
        <x:v>3689</x:v>
      </x:c>
      <x:c r="G740" s="5" t="n">
        <x:v>0.9512</x:v>
      </x:c>
      <x:c r="H740" s="5" t="n">
        <x:v>0.9828</x:v>
      </x:c>
      <x:c r="I740" s="5" t="n">
        <x:v>0.875</x:v>
      </x:c>
      <x:c r="J740" s="4" t="n">
        <x:v>164</x:v>
      </x:c>
      <x:c r="K740" s="4" t="n">
        <x:v>156</x:v>
      </x:c>
      <x:c r="L740" s="4" t="n">
        <x:v>116</x:v>
      </x:c>
      <x:c r="M740" s="4" t="n">
        <x:v>114</x:v>
      </x:c>
      <x:c r="N740" s="4" t="n">
        <x:v>48</x:v>
      </x:c>
      <x:c r="O740" s="4" t="n">
        <x:v>42</x:v>
      </x:c>
      <x:c r="P740" s="1" t="str">
        <x:v>FAIL</x:v>
      </x:c>
      <x:c r="Q740" s="4" t="n">
        <x:v>366</x:v>
      </x:c>
      <x:c r="R740" s="1" t="str">
        <x:v>FAIL</x:v>
      </x:c>
      <x:c r="S740" s="4" t="n">
        <x:v>362</x:v>
      </x:c>
      <x:c r="T740" s="1" t="str">
        <x:v>INCONCLUSIVE</x:v>
      </x:c>
      <x:c r="U740" s="1" t="str">
        <x:v>Math_55</x:v>
      </x:c>
      <x:c r="V740" s="6" t="n">
        <x:v>105.09</x:v>
      </x:c>
    </x:row>
    <x:row r="741" ht="22" customHeight="1">
      <x:c r="A741" s="1" t="str">
        <x:v>Round1</x:v>
      </x:c>
      <x:c r="B741" s="1" t="str">
        <x:v>Math</x:v>
      </x:c>
      <x:c r="C741" s="4" t="n">
        <x:v>56</x:v>
      </x:c>
      <x:c r="D741" s="4" t="n">
        <x:v>0</x:v>
      </x:c>
      <x:c r="E741" s="4" t="n">
        <x:v>60</x:v>
      </x:c>
      <x:c r="F741" s="4" t="n">
        <x:v>1403</x:v>
      </x:c>
      <x:c r="G741" s="5" t="n">
        <x:v>0.9541</x:v>
      </x:c>
      <x:c r="H741" s="5" t="n">
        <x:v>0.9732999999999999</x:v>
      </x:c>
      <x:c r="I741" s="5" t="n">
        <x:v>0.9118</x:v>
      </x:c>
      <x:c r="J741" s="4" t="n">
        <x:v>109</x:v>
      </x:c>
      <x:c r="K741" s="4" t="n">
        <x:v>104</x:v>
      </x:c>
      <x:c r="L741" s="4" t="n">
        <x:v>75</x:v>
      </x:c>
      <x:c r="M741" s="4" t="n">
        <x:v>73</x:v>
      </x:c>
      <x:c r="N741" s="4" t="n">
        <x:v>34</x:v>
      </x:c>
      <x:c r="O741" s="4" t="n">
        <x:v>31</x:v>
      </x:c>
      <x:c r="P741" s="1" t="str">
        <x:v>PASS</x:v>
      </x:c>
      <x:c r="Q741" s="4" t="n">
        <x:v>0</x:v>
      </x:c>
      <x:c r="R741" s="1" t="str">
        <x:v>FAIL</x:v>
      </x:c>
      <x:c r="S741" s="4" t="n">
        <x:v>8</x:v>
      </x:c>
      <x:c r="T741" s="1" t="str">
        <x:v>INCONCLUSIVE</x:v>
      </x:c>
      <x:c r="U741" s="1" t="str">
        <x:v>Math_56</x:v>
      </x:c>
      <x:c r="V741" s="6" t="n">
        <x:v>64.02</x:v>
      </x:c>
    </x:row>
    <x:row r="742" ht="22" customHeight="1">
      <x:c r="A742" s="1" t="str">
        <x:v>Round1</x:v>
      </x:c>
      <x:c r="B742" s="1" t="str">
        <x:v>Math</x:v>
      </x:c>
      <x:c r="C742" s="4" t="n">
        <x:v>57</x:v>
      </x:c>
      <x:c r="D742" s="4" t="n">
        <x:v>0</x:v>
      </x:c>
      <x:c r="E742" s="4" t="n">
        <x:v>60</x:v>
      </x:c>
      <x:c r="F742" s="4" t="n">
        <x:v>5</x:v>
      </x:c>
      <x:c r="G742" s="5" t="n">
        <x:v>0.0287</x:v>
      </x:c>
      <x:c r="H742" s="5" t="n">
        <x:v>0.0417</x:v>
      </x:c>
      <x:c r="I742" s="5" t="n">
        <x:v>0</x:v>
      </x:c>
      <x:c r="J742" s="4" t="n">
        <x:v>174</x:v>
      </x:c>
      <x:c r="K742" s="4" t="n">
        <x:v>5</x:v>
      </x:c>
      <x:c r="L742" s="4" t="n">
        <x:v>120</x:v>
      </x:c>
      <x:c r="M742" s="4" t="n">
        <x:v>5</x:v>
      </x:c>
      <x:c r="N742" s="4" t="n">
        <x:v>54</x:v>
      </x:c>
      <x:c r="O742" s="4" t="n">
        <x:v>0</x:v>
      </x:c>
      <x:c r="P742" s="1" t="str">
        <x:v>PASS</x:v>
      </x:c>
      <x:c r="Q742" s="4" t="n">
        <x:v>0</x:v>
      </x:c>
      <x:c r="R742" s="1" t="str">
        <x:v>PASS</x:v>
      </x:c>
      <x:c r="S742" s="4" t="n">
        <x:v>0</x:v>
      </x:c>
      <x:c r="T742" s="1" t="str">
        <x:v>NOT_REVEALING</x:v>
      </x:c>
      <x:c r="U742" s="1" t="str">
        <x:v>Math_57</x:v>
      </x:c>
      <x:c r="V742" s="6" t="n">
        <x:v>43.47</x:v>
      </x:c>
    </x:row>
    <x:row r="743" ht="22" customHeight="1">
      <x:c r="A743" s="1" t="str">
        <x:v>Round1</x:v>
      </x:c>
      <x:c r="B743" s="1" t="str">
        <x:v>Math</x:v>
      </x:c>
      <x:c r="C743" s="4" t="n">
        <x:v>58</x:v>
      </x:c>
      <x:c r="D743" s="4" t="n">
        <x:v>0</x:v>
      </x:c>
      <x:c r="E743" s="4" t="n">
        <x:v>60</x:v>
      </x:c>
      <x:c r="F743" s="4" t="n">
        <x:v>6153</x:v>
      </x:c>
      <x:c r="G743" s="5" t="n">
        <x:v>0.9026000000000001</x:v>
      </x:c>
      <x:c r="H743" s="5" t="n">
        <x:v>0.875</x:v>
      </x:c>
      <x:c r="I743" s="5" t="n">
        <x:v>0.9483</x:v>
      </x:c>
      <x:c r="J743" s="4" t="n">
        <x:v>154</x:v>
      </x:c>
      <x:c r="K743" s="4" t="n">
        <x:v>139</x:v>
      </x:c>
      <x:c r="L743" s="4" t="n">
        <x:v>96</x:v>
      </x:c>
      <x:c r="M743" s="4" t="n">
        <x:v>84</x:v>
      </x:c>
      <x:c r="N743" s="4" t="n">
        <x:v>58</x:v>
      </x:c>
      <x:c r="O743" s="4" t="n">
        <x:v>55</x:v>
      </x:c>
      <x:c r="P743" s="1" t="str">
        <x:v>PASS</x:v>
      </x:c>
      <x:c r="Q743" s="4" t="n">
        <x:v>0</x:v>
      </x:c>
      <x:c r="R743" s="1" t="str">
        <x:v>PASS</x:v>
      </x:c>
      <x:c r="S743" s="4" t="n">
        <x:v>0</x:v>
      </x:c>
      <x:c r="T743" s="1" t="str">
        <x:v>NOT_REVEALING</x:v>
      </x:c>
      <x:c r="U743" s="1" t="str">
        <x:v>Math_58</x:v>
      </x:c>
      <x:c r="V743" s="6" t="n">
        <x:v>84.39</x:v>
      </x:c>
    </x:row>
    <x:row r="744" ht="22" customHeight="1">
      <x:c r="A744" s="1" t="str">
        <x:v>Round1</x:v>
      </x:c>
      <x:c r="B744" s="1" t="str">
        <x:v>Math</x:v>
      </x:c>
      <x:c r="C744" s="4" t="n">
        <x:v>59</x:v>
      </x:c>
      <x:c r="D744" s="4" t="n">
        <x:v>0</x:v>
      </x:c>
      <x:c r="E744" s="4" t="n">
        <x:v>60</x:v>
      </x:c>
      <x:c r="F744" s="4" t="n">
        <x:v>14356</x:v>
      </x:c>
      <x:c r="G744" s="5" t="n">
        <x:v>0.8896</x:v>
      </x:c>
      <x:c r="H744" s="5" t="n">
        <x:v>0.9342</x:v>
      </x:c>
      <x:c r="I744" s="5" t="n">
        <x:v>0.7837000000000001</x:v>
      </x:c>
      <x:c r="J744" s="4" t="n">
        <x:v>2201</x:v>
      </x:c>
      <x:c r="K744" s="4" t="n">
        <x:v>1958</x:v>
      </x:c>
      <x:c r="L744" s="4" t="n">
        <x:v>1549</x:v>
      </x:c>
      <x:c r="M744" s="4" t="n">
        <x:v>1447</x:v>
      </x:c>
      <x:c r="N744" s="4" t="n">
        <x:v>652</x:v>
      </x:c>
      <x:c r="O744" s="4" t="n">
        <x:v>511</x:v>
      </x:c>
      <x:c r="P744" s="1" t="str">
        <x:v>PASS</x:v>
      </x:c>
      <x:c r="Q744" s="4" t="n">
        <x:v>0</x:v>
      </x:c>
      <x:c r="R744" s="1" t="str">
        <x:v>FAIL</x:v>
      </x:c>
      <x:c r="S744" s="4" t="n">
        <x:v>316</x:v>
      </x:c>
      <x:c r="T744" s="1" t="str">
        <x:v>INCONCLUSIVE</x:v>
      </x:c>
      <x:c r="U744" s="1" t="str">
        <x:v>Math_59</x:v>
      </x:c>
      <x:c r="V744" s="6" t="n">
        <x:v>80.52</x:v>
      </x:c>
    </x:row>
    <x:row r="745" ht="22" customHeight="1">
      <x:c r="A745" s="1" t="str">
        <x:v>Round1</x:v>
      </x:c>
      <x:c r="B745" s="1" t="str">
        <x:v>Math</x:v>
      </x:c>
      <x:c r="C745" s="4" t="n">
        <x:v>60</x:v>
      </x:c>
      <x:c r="D745" s="4" t="n">
        <x:v>0</x:v>
      </x:c>
      <x:c r="E745" s="4" t="n">
        <x:v>60</x:v>
      </x:c>
      <x:c r="F745" s="4" t="n">
        <x:v>24</x:v>
      </x:c>
      <x:c r="G745" s="5" t="n">
        <x:v>0.7537999999999999</x:v>
      </x:c>
      <x:c r="H745" s="5" t="n">
        <x:v>0.8085</x:v>
      </x:c>
      <x:c r="I745" s="5" t="n">
        <x:v>0.6111</x:v>
      </x:c>
      <x:c r="J745" s="4" t="n">
        <x:v>65</x:v>
      </x:c>
      <x:c r="K745" s="4" t="n">
        <x:v>49</x:v>
      </x:c>
      <x:c r="L745" s="4" t="n">
        <x:v>47</x:v>
      </x:c>
      <x:c r="M745" s="4" t="n">
        <x:v>38</x:v>
      </x:c>
      <x:c r="N745" s="4" t="n">
        <x:v>18</x:v>
      </x:c>
      <x:c r="O745" s="4" t="n">
        <x:v>11</x:v>
      </x:c>
      <x:c r="P745" s="1" t="str">
        <x:v>PASS</x:v>
      </x:c>
      <x:c r="Q745" s="4" t="n">
        <x:v>0</x:v>
      </x:c>
      <x:c r="R745" s="1" t="str">
        <x:v>PASS</x:v>
      </x:c>
      <x:c r="S745" s="4" t="n">
        <x:v>0</x:v>
      </x:c>
      <x:c r="T745" s="1" t="str">
        <x:v>NOT_REVEALING</x:v>
      </x:c>
      <x:c r="U745" s="1" t="str">
        <x:v>Math_60</x:v>
      </x:c>
      <x:c r="V745" s="6" t="n">
        <x:v>39.39</x:v>
      </x:c>
    </x:row>
    <x:row r="746" ht="22" customHeight="1">
      <x:c r="A746" s="1" t="str">
        <x:v>Round1</x:v>
      </x:c>
      <x:c r="B746" s="1" t="str">
        <x:v>Math</x:v>
      </x:c>
      <x:c r="C746" s="4" t="n">
        <x:v>61</x:v>
      </x:c>
      <x:c r="D746" s="4" t="n">
        <x:v>0</x:v>
      </x:c>
      <x:c r="E746" s="4" t="n">
        <x:v>60</x:v>
      </x:c>
      <x:c r="F746" s="4" t="n">
        <x:v>25</x:v>
      </x:c>
      <x:c r="G746" s="5" t="n">
        <x:v>0.8695999999999999</x:v>
      </x:c>
      <x:c r="H746" s="5" t="n">
        <x:v>0.9118</x:v>
      </x:c>
      <x:c r="I746" s="5" t="n">
        <x:v>0.75</x:v>
      </x:c>
      <x:c r="J746" s="4" t="n">
        <x:v>46</x:v>
      </x:c>
      <x:c r="K746" s="4" t="n">
        <x:v>40</x:v>
      </x:c>
      <x:c r="L746" s="4" t="n">
        <x:v>34</x:v>
      </x:c>
      <x:c r="M746" s="4" t="n">
        <x:v>31</x:v>
      </x:c>
      <x:c r="N746" s="4" t="n">
        <x:v>12</x:v>
      </x:c>
      <x:c r="O746" s="4" t="n">
        <x:v>9</x:v>
      </x:c>
      <x:c r="P746" s="1" t="str">
        <x:v>PASS</x:v>
      </x:c>
      <x:c r="Q746" s="4" t="n">
        <x:v>0</x:v>
      </x:c>
      <x:c r="R746" s="1" t="str">
        <x:v>FAIL</x:v>
      </x:c>
      <x:c r="S746" s="4" t="n">
        <x:v>4</x:v>
      </x:c>
      <x:c r="T746" s="1" t="str">
        <x:v>INCONCLUSIVE</x:v>
      </x:c>
      <x:c r="U746" s="1" t="str">
        <x:v>Math_61</x:v>
      </x:c>
      <x:c r="V746" s="6" t="n">
        <x:v>41.99</x:v>
      </x:c>
    </x:row>
    <x:row r="747" ht="22" customHeight="1">
      <x:c r="A747" s="1" t="str">
        <x:v>Round1</x:v>
      </x:c>
      <x:c r="B747" s="1" t="str">
        <x:v>Math</x:v>
      </x:c>
      <x:c r="C747" s="4" t="n">
        <x:v>62</x:v>
      </x:c>
      <x:c r="D747" s="4" t="n">
        <x:v>0</x:v>
      </x:c>
      <x:c r="E747" s="4" t="n">
        <x:v>60</x:v>
      </x:c>
      <x:c r="F747" s="4" t="n">
        <x:v>1</x:v>
      </x:c>
      <x:c r="G747" s="5" t="n">
        <x:v>0</x:v>
      </x:c>
      <x:c r="H747" s="5" t="n">
        <x:v>0</x:v>
      </x:c>
      <x:c r="I747" s="5" t="n">
        <x:v>0</x:v>
      </x:c>
      <x:c r="J747" s="4" t="n">
        <x:v>65</x:v>
      </x:c>
      <x:c r="K747" s="4" t="n">
        <x:v>0</x:v>
      </x:c>
      <x:c r="L747" s="4" t="n">
        <x:v>47</x:v>
      </x:c>
      <x:c r="M747" s="4" t="n">
        <x:v>0</x:v>
      </x:c>
      <x:c r="N747" s="4" t="n">
        <x:v>18</x:v>
      </x:c>
      <x:c r="O747" s="4" t="n">
        <x:v>0</x:v>
      </x:c>
      <x:c r="P747" s="1" t="str">
        <x:v>PASS</x:v>
      </x:c>
      <x:c r="Q747" s="4" t="n">
        <x:v>0</x:v>
      </x:c>
      <x:c r="R747" s="1" t="str">
        <x:v>PASS</x:v>
      </x:c>
      <x:c r="S747" s="4" t="n">
        <x:v>0</x:v>
      </x:c>
      <x:c r="T747" s="1" t="str">
        <x:v>NOT_REVEALING</x:v>
      </x:c>
      <x:c r="U747" s="1" t="str">
        <x:v>Math_62</x:v>
      </x:c>
      <x:c r="V747" s="6" t="n">
        <x:v>42.65</x:v>
      </x:c>
    </x:row>
    <x:row r="748" ht="22" customHeight="1">
      <x:c r="A748" s="1" t="str">
        <x:v>Round1</x:v>
      </x:c>
      <x:c r="B748" s="1" t="str">
        <x:v>Math</x:v>
      </x:c>
      <x:c r="C748" s="4" t="n">
        <x:v>63</x:v>
      </x:c>
      <x:c r="D748" s="4" t="n">
        <x:v>0</x:v>
      </x:c>
      <x:c r="E748" s="4" t="n">
        <x:v>60</x:v>
      </x:c>
      <x:c r="F748" s="4" t="n">
        <x:v>1140</x:v>
      </x:c>
      <x:c r="G748" s="5" t="n">
        <x:v>0.7809999999999999</x:v>
      </x:c>
      <x:c r="H748" s="5" t="n">
        <x:v>0.8089</x:v>
      </x:c>
      <x:c r="I748" s="5" t="n">
        <x:v>0.7483</x:v>
      </x:c>
      <x:c r="J748" s="4" t="n">
        <x:v>959</x:v>
      </x:c>
      <x:c r="K748" s="4" t="n">
        <x:v>749</x:v>
      </x:c>
      <x:c r="L748" s="4" t="n">
        <x:v>518</x:v>
      </x:c>
      <x:c r="M748" s="4" t="n">
        <x:v>419</x:v>
      </x:c>
      <x:c r="N748" s="4" t="n">
        <x:v>441</x:v>
      </x:c>
      <x:c r="O748" s="4" t="n">
        <x:v>330</x:v>
      </x:c>
      <x:c r="P748" s="1" t="str">
        <x:v>PASS</x:v>
      </x:c>
      <x:c r="Q748" s="4" t="n">
        <x:v>0</x:v>
      </x:c>
      <x:c r="R748" s="1" t="str">
        <x:v>PASS</x:v>
      </x:c>
      <x:c r="S748" s="4" t="n">
        <x:v>0</x:v>
      </x:c>
      <x:c r="T748" s="1" t="str">
        <x:v>NOT_REVEALING</x:v>
      </x:c>
      <x:c r="U748" s="1" t="str">
        <x:v>Math_63</x:v>
      </x:c>
      <x:c r="V748" s="6" t="n">
        <x:v>710.06</x:v>
      </x:c>
    </x:row>
    <x:row r="749" ht="22" customHeight="1">
      <x:c r="A749" s="1" t="str">
        <x:v>Round1</x:v>
      </x:c>
      <x:c r="B749" s="1" t="str">
        <x:v>Math</x:v>
      </x:c>
      <x:c r="C749" s="4" t="n">
        <x:v>64</x:v>
      </x:c>
      <x:c r="D749" s="4" t="n">
        <x:v>0</x:v>
      </x:c>
      <x:c r="E749" s="4" t="n">
        <x:v>60</x:v>
      </x:c>
      <x:c r="F749" s="4" t="n">
        <x:v>6131</x:v>
      </x:c>
      <x:c r="G749" s="5" t="n">
        <x:v>0.06269999999999999</x:v>
      </x:c>
      <x:c r="H749" s="5" t="n">
        <x:v>0.09939999999999999</x:v>
      </x:c>
      <x:c r="I749" s="5" t="n">
        <x:v>0</x:v>
      </x:c>
      <x:c r="J749" s="4" t="n">
        <x:v>542</x:v>
      </x:c>
      <x:c r="K749" s="4" t="n">
        <x:v>34</x:v>
      </x:c>
      <x:c r="L749" s="4" t="n">
        <x:v>342</x:v>
      </x:c>
      <x:c r="M749" s="4" t="n">
        <x:v>34</x:v>
      </x:c>
      <x:c r="N749" s="4" t="n">
        <x:v>200</x:v>
      </x:c>
      <x:c r="O749" s="4" t="n">
        <x:v>0</x:v>
      </x:c>
      <x:c r="P749" s="1" t="str">
        <x:v>FAIL</x:v>
      </x:c>
      <x:c r="Q749" s="4" t="n">
        <x:v>1244</x:v>
      </x:c>
      <x:c r="R749" s="1" t="str">
        <x:v>FAIL</x:v>
      </x:c>
      <x:c r="S749" s="4" t="n">
        <x:v>1244</x:v>
      </x:c>
      <x:c r="T749" s="1" t="str">
        <x:v>INCONCLUSIVE</x:v>
      </x:c>
      <x:c r="U749" s="1" t="str">
        <x:v>Math_64</x:v>
      </x:c>
      <x:c r="V749" s="6" t="n">
        <x:v>68.35</x:v>
      </x:c>
    </x:row>
    <x:row r="750" ht="22" customHeight="1">
      <x:c r="A750" s="1" t="str">
        <x:v>Round1</x:v>
      </x:c>
      <x:c r="B750" s="1" t="str">
        <x:v>Math</x:v>
      </x:c>
      <x:c r="C750" s="4" t="n">
        <x:v>65</x:v>
      </x:c>
      <x:c r="D750" s="4" t="n">
        <x:v>0</x:v>
      </x:c>
      <x:c r="E750" s="4" t="n">
        <x:v>60</x:v>
      </x:c>
      <x:c r="F750" s="4" t="n">
        <x:v>2</x:v>
      </x:c>
      <x:c r="G750" s="5" t="n">
        <x:v>0</x:v>
      </x:c>
      <x:c r="H750" s="5" t="n">
        <x:v>0</x:v>
      </x:c>
      <x:c r="I750" s="5" t="n">
        <x:v>0</x:v>
      </x:c>
      <x:c r="J750" s="4" t="n">
        <x:v>126</x:v>
      </x:c>
      <x:c r="K750" s="4" t="n">
        <x:v>0</x:v>
      </x:c>
      <x:c r="L750" s="4" t="n">
        <x:v>96</x:v>
      </x:c>
      <x:c r="M750" s="4" t="n">
        <x:v>0</x:v>
      </x:c>
      <x:c r="N750" s="4" t="n">
        <x:v>30</x:v>
      </x:c>
      <x:c r="O750" s="4" t="n">
        <x:v>0</x:v>
      </x:c>
      <x:c r="P750" s="1" t="str">
        <x:v>PASS</x:v>
      </x:c>
      <x:c r="Q750" s="4" t="n">
        <x:v>0</x:v>
      </x:c>
      <x:c r="R750" s="1" t="str">
        <x:v>PASS</x:v>
      </x:c>
      <x:c r="S750" s="4" t="n">
        <x:v>0</x:v>
      </x:c>
      <x:c r="T750" s="1" t="str">
        <x:v>NOT_REVEALING</x:v>
      </x:c>
      <x:c r="U750" s="1" t="str">
        <x:v>Math_65</x:v>
      </x:c>
      <x:c r="V750" s="6" t="n">
        <x:v>41.3</x:v>
      </x:c>
    </x:row>
    <x:row r="751" ht="22" customHeight="1">
      <x:c r="A751" s="1" t="str">
        <x:v>Round1</x:v>
      </x:c>
      <x:c r="B751" s="1" t="str">
        <x:v>Math</x:v>
      </x:c>
      <x:c r="C751" s="4" t="n">
        <x:v>66</x:v>
      </x:c>
      <x:c r="D751" s="4" t="n">
        <x:v>0</x:v>
      </x:c>
      <x:c r="E751" s="4" t="n">
        <x:v>60</x:v>
      </x:c>
      <x:c r="F751" s="4" t="n">
        <x:v>5969</x:v>
      </x:c>
      <x:c r="G751" s="5" t="n">
        <x:v>0.2125</x:v>
      </x:c>
      <x:c r="H751" s="5" t="n">
        <x:v>0.2647</x:v>
      </x:c>
      <x:c r="I751" s="5" t="n">
        <x:v>0.1207</x:v>
      </x:c>
      <x:c r="J751" s="4" t="n">
        <x:v>160</x:v>
      </x:c>
      <x:c r="K751" s="4" t="n">
        <x:v>34</x:v>
      </x:c>
      <x:c r="L751" s="4" t="n">
        <x:v>102</x:v>
      </x:c>
      <x:c r="M751" s="4" t="n">
        <x:v>27</x:v>
      </x:c>
      <x:c r="N751" s="4" t="n">
        <x:v>58</x:v>
      </x:c>
      <x:c r="O751" s="4" t="n">
        <x:v>7</x:v>
      </x:c>
      <x:c r="P751" s="1" t="str">
        <x:v>PASS</x:v>
      </x:c>
      <x:c r="Q751" s="4" t="n">
        <x:v>0</x:v>
      </x:c>
      <x:c r="R751" s="1" t="str">
        <x:v>FAIL</x:v>
      </x:c>
      <x:c r="S751" s="4" t="n">
        <x:v>10710</x:v>
      </x:c>
      <x:c r="T751" s="1" t="str">
        <x:v>INCONCLUSIVE</x:v>
      </x:c>
      <x:c r="U751" s="1" t="str">
        <x:v>Math_66</x:v>
      </x:c>
      <x:c r="V751" s="6" t="n">
        <x:v>75.04</x:v>
      </x:c>
    </x:row>
    <x:row r="752" ht="22" customHeight="1">
      <x:c r="A752" s="1" t="str">
        <x:v>Round1</x:v>
      </x:c>
      <x:c r="B752" s="1" t="str">
        <x:v>Math</x:v>
      </x:c>
      <x:c r="C752" s="4" t="n">
        <x:v>67</x:v>
      </x:c>
      <x:c r="D752" s="4" t="n">
        <x:v>0</x:v>
      </x:c>
      <x:c r="E752" s="4" t="n">
        <x:v>60</x:v>
      </x:c>
      <x:c r="F752" s="4" t="n">
        <x:v>7436</x:v>
      </x:c>
      <x:c r="G752" s="5" t="n">
        <x:v>0.41729999999999995</x:v>
      </x:c>
      <x:c r="H752" s="5" t="n">
        <x:v>0.4946</x:v>
      </x:c>
      <x:c r="I752" s="5" t="n">
        <x:v>0.2059</x:v>
      </x:c>
      <x:c r="J752" s="4" t="n">
        <x:v>127</x:v>
      </x:c>
      <x:c r="K752" s="4" t="n">
        <x:v>53</x:v>
      </x:c>
      <x:c r="L752" s="4" t="n">
        <x:v>93</x:v>
      </x:c>
      <x:c r="M752" s="4" t="n">
        <x:v>46</x:v>
      </x:c>
      <x:c r="N752" s="4" t="n">
        <x:v>34</x:v>
      </x:c>
      <x:c r="O752" s="4" t="n">
        <x:v>7</x:v>
      </x:c>
      <x:c r="P752" s="1" t="str">
        <x:v>PASS</x:v>
      </x:c>
      <x:c r="Q752" s="4" t="n">
        <x:v>0</x:v>
      </x:c>
      <x:c r="R752" s="1" t="str">
        <x:v>PASS</x:v>
      </x:c>
      <x:c r="S752" s="4" t="n">
        <x:v>0</x:v>
      </x:c>
      <x:c r="T752" s="1" t="str">
        <x:v>NOT_REVEALING</x:v>
      </x:c>
      <x:c r="U752" s="1" t="str">
        <x:v>Math_67</x:v>
      </x:c>
      <x:c r="V752" s="6" t="n">
        <x:v>86.41</x:v>
      </x:c>
    </x:row>
    <x:row r="753" ht="22" customHeight="1">
      <x:c r="A753" s="1" t="str">
        <x:v>Round1</x:v>
      </x:c>
      <x:c r="B753" s="1" t="str">
        <x:v>Math</x:v>
      </x:c>
      <x:c r="C753" s="4" t="n">
        <x:v>68</x:v>
      </x:c>
      <x:c r="D753" s="4" t="n">
        <x:v>0</x:v>
      </x:c>
      <x:c r="E753" s="4" t="n">
        <x:v>60</x:v>
      </x:c>
      <x:c r="F753" s="4" t="n">
        <x:v>6075</x:v>
      </x:c>
      <x:c r="G753" s="5" t="n">
        <x:v>0.056799999999999996</x:v>
      </x:c>
      <x:c r="H753" s="5" t="n">
        <x:v>0.0904</x:v>
      </x:c>
      <x:c r="I753" s="5" t="n">
        <x:v>0</x:v>
      </x:c>
      <x:c r="J753" s="4" t="n">
        <x:v>528</x:v>
      </x:c>
      <x:c r="K753" s="4" t="n">
        <x:v>30</x:v>
      </x:c>
      <x:c r="L753" s="4" t="n">
        <x:v>332</x:v>
      </x:c>
      <x:c r="M753" s="4" t="n">
        <x:v>30</x:v>
      </x:c>
      <x:c r="N753" s="4" t="n">
        <x:v>196</x:v>
      </x:c>
      <x:c r="O753" s="4" t="n">
        <x:v>0</x:v>
      </x:c>
      <x:c r="P753" s="1" t="str">
        <x:v>FAIL</x:v>
      </x:c>
      <x:c r="Q753" s="4" t="n">
        <x:v>1564</x:v>
      </x:c>
      <x:c r="R753" s="1" t="str">
        <x:v>FAIL</x:v>
      </x:c>
      <x:c r="S753" s="4" t="n">
        <x:v>6726</x:v>
      </x:c>
      <x:c r="T753" s="1" t="str">
        <x:v>INCONCLUSIVE</x:v>
      </x:c>
      <x:c r="U753" s="1" t="str">
        <x:v>Math_68</x:v>
      </x:c>
      <x:c r="V753" s="6" t="n">
        <x:v>78.26</x:v>
      </x:c>
    </x:row>
    <x:row r="754" ht="22" customHeight="1">
      <x:c r="A754" s="1" t="str">
        <x:v>Round1</x:v>
      </x:c>
      <x:c r="B754" s="1" t="str">
        <x:v>Math</x:v>
      </x:c>
      <x:c r="C754" s="4" t="n">
        <x:v>69</x:v>
      </x:c>
      <x:c r="D754" s="4" t="n">
        <x:v>0</x:v>
      </x:c>
      <x:c r="E754" s="4" t="n">
        <x:v>60</x:v>
      </x:c>
      <x:c r="F754" s="4" t="n">
        <x:v>3451</x:v>
      </x:c>
      <x:c r="G754" s="5" t="n">
        <x:v>0.9238</x:v>
      </x:c>
      <x:c r="H754" s="5" t="n">
        <x:v>0.9333</x:v>
      </x:c>
      <x:c r="I754" s="5" t="n">
        <x:v>0.9</x:v>
      </x:c>
      <x:c r="J754" s="4" t="n">
        <x:v>105</x:v>
      </x:c>
      <x:c r="K754" s="4" t="n">
        <x:v>97</x:v>
      </x:c>
      <x:c r="L754" s="4" t="n">
        <x:v>75</x:v>
      </x:c>
      <x:c r="M754" s="4" t="n">
        <x:v>70</x:v>
      </x:c>
      <x:c r="N754" s="4" t="n">
        <x:v>30</x:v>
      </x:c>
      <x:c r="O754" s="4" t="n">
        <x:v>27</x:v>
      </x:c>
      <x:c r="P754" s="1" t="str">
        <x:v>FAIL</x:v>
      </x:c>
      <x:c r="Q754" s="4" t="n">
        <x:v>46</x:v>
      </x:c>
      <x:c r="R754" s="1" t="str">
        <x:v>FAIL</x:v>
      </x:c>
      <x:c r="S754" s="4" t="n">
        <x:v>46</x:v>
      </x:c>
      <x:c r="T754" s="1" t="str">
        <x:v>INCONCLUSIVE</x:v>
      </x:c>
      <x:c r="U754" s="1" t="str">
        <x:v>Math_69</x:v>
      </x:c>
      <x:c r="V754" s="6" t="n">
        <x:v>86.1</x:v>
      </x:c>
    </x:row>
    <x:row r="755" ht="22" customHeight="1">
      <x:c r="A755" s="1" t="str">
        <x:v>Round1</x:v>
      </x:c>
      <x:c r="B755" s="1" t="str">
        <x:v>Math</x:v>
      </x:c>
      <x:c r="C755" s="4" t="n">
        <x:v>70</x:v>
      </x:c>
      <x:c r="D755" s="4" t="n">
        <x:v>0</x:v>
      </x:c>
      <x:c r="E755" s="4" t="n">
        <x:v>60</x:v>
      </x:c>
      <x:c r="F755" s="4" t="n">
        <x:v>6271</x:v>
      </x:c>
      <x:c r="G755" s="5" t="n">
        <x:v>0.5172</x:v>
      </x:c>
      <x:c r="H755" s="5" t="n">
        <x:v>0.5652</x:v>
      </x:c>
      <x:c r="I755" s="5" t="n">
        <x:v>0.3333</x:v>
      </x:c>
      <x:c r="J755" s="4" t="n">
        <x:v>29</x:v>
      </x:c>
      <x:c r="K755" s="4" t="n">
        <x:v>15</x:v>
      </x:c>
      <x:c r="L755" s="4" t="n">
        <x:v>23</x:v>
      </x:c>
      <x:c r="M755" s="4" t="n">
        <x:v>13</x:v>
      </x:c>
      <x:c r="N755" s="4" t="n">
        <x:v>6</x:v>
      </x:c>
      <x:c r="O755" s="4" t="n">
        <x:v>2</x:v>
      </x:c>
      <x:c r="P755" s="1" t="str">
        <x:v>FAIL</x:v>
      </x:c>
      <x:c r="Q755" s="4" t="n">
        <x:v>800</x:v>
      </x:c>
      <x:c r="R755" s="1" t="str">
        <x:v>FAIL</x:v>
      </x:c>
      <x:c r="S755" s="4" t="n">
        <x:v>800</x:v>
      </x:c>
      <x:c r="T755" s="1" t="str">
        <x:v>INCONCLUSIVE</x:v>
      </x:c>
      <x:c r="U755" s="1" t="str">
        <x:v>Math_70</x:v>
      </x:c>
      <x:c r="V755" s="6" t="n">
        <x:v>73.23</x:v>
      </x:c>
    </x:row>
    <x:row r="756" ht="22" customHeight="1">
      <x:c r="A756" s="1" t="str">
        <x:v>Round1</x:v>
      </x:c>
      <x:c r="B756" s="1" t="str">
        <x:v>Math</x:v>
      </x:c>
      <x:c r="C756" s="4" t="n">
        <x:v>71</x:v>
      </x:c>
      <x:c r="D756" s="4" t="n">
        <x:v>0</x:v>
      </x:c>
      <x:c r="E756" s="4" t="n">
        <x:v>60</x:v>
      </x:c>
      <x:c r="F756" s="4" t="n">
        <x:v>1</x:v>
      </x:c>
      <x:c r="G756" s="5" t="n">
        <x:v>0</x:v>
      </x:c>
      <x:c r="H756" s="5" t="n">
        <x:v>0</x:v>
      </x:c>
      <x:c r="I756" s="5" t="n">
        <x:v>0</x:v>
      </x:c>
      <x:c r="J756" s="4" t="n">
        <x:v>295</x:v>
      </x:c>
      <x:c r="K756" s="4" t="n">
        <x:v>0</x:v>
      </x:c>
      <x:c r="L756" s="4" t="n">
        <x:v>197</x:v>
      </x:c>
      <x:c r="M756" s="4" t="n">
        <x:v>0</x:v>
      </x:c>
      <x:c r="N756" s="4" t="n">
        <x:v>98</x:v>
      </x:c>
      <x:c r="O756" s="4" t="n">
        <x:v>0</x:v>
      </x:c>
      <x:c r="P756" s="1" t="str">
        <x:v>PASS</x:v>
      </x:c>
      <x:c r="Q756" s="4" t="n">
        <x:v>0</x:v>
      </x:c>
      <x:c r="R756" s="1" t="str">
        <x:v>PASS</x:v>
      </x:c>
      <x:c r="S756" s="4" t="n">
        <x:v>0</x:v>
      </x:c>
      <x:c r="T756" s="1" t="str">
        <x:v>NOT_REVEALING</x:v>
      </x:c>
      <x:c r="U756" s="1" t="str">
        <x:v>Math_71</x:v>
      </x:c>
      <x:c r="V756" s="6" t="n">
        <x:v>42.45</x:v>
      </x:c>
    </x:row>
    <x:row r="757" ht="22" customHeight="1">
      <x:c r="A757" s="1" t="str">
        <x:v>Round1</x:v>
      </x:c>
      <x:c r="B757" s="1" t="str">
        <x:v>Math</x:v>
      </x:c>
      <x:c r="C757" s="4" t="n">
        <x:v>72</x:v>
      </x:c>
      <x:c r="D757" s="4" t="n">
        <x:v>0</x:v>
      </x:c>
      <x:c r="E757" s="4" t="n">
        <x:v>60</x:v>
      </x:c>
      <x:c r="F757" s="4" t="n">
        <x:v>6306</x:v>
      </x:c>
      <x:c r="G757" s="5" t="n">
        <x:v>0.0745</x:v>
      </x:c>
      <x:c r="H757" s="5" t="n">
        <x:v>0.1121</x:v>
      </x:c>
      <x:c r="I757" s="5" t="n">
        <x:v>0</x:v>
      </x:c>
      <x:c r="J757" s="4" t="n">
        <x:v>161</x:v>
      </x:c>
      <x:c r="K757" s="4" t="n">
        <x:v>12</x:v>
      </x:c>
      <x:c r="L757" s="4" t="n">
        <x:v>107</x:v>
      </x:c>
      <x:c r="M757" s="4" t="n">
        <x:v>12</x:v>
      </x:c>
      <x:c r="N757" s="4" t="n">
        <x:v>54</x:v>
      </x:c>
      <x:c r="O757" s="4" t="n">
        <x:v>0</x:v>
      </x:c>
      <x:c r="P757" s="1" t="str">
        <x:v>FAIL</x:v>
      </x:c>
      <x:c r="Q757" s="4" t="n">
        <x:v>608</x:v>
      </x:c>
      <x:c r="R757" s="1" t="str">
        <x:v>FAIL</x:v>
      </x:c>
      <x:c r="S757" s="4" t="n">
        <x:v>608</x:v>
      </x:c>
      <x:c r="T757" s="1" t="str">
        <x:v>INCONCLUSIVE</x:v>
      </x:c>
      <x:c r="U757" s="1" t="str">
        <x:v>Math_72</x:v>
      </x:c>
      <x:c r="V757" s="6" t="n">
        <x:v>70.79</x:v>
      </x:c>
    </x:row>
    <x:row r="758" ht="22" customHeight="1">
      <x:c r="A758" s="1" t="str">
        <x:v>Round1</x:v>
      </x:c>
      <x:c r="B758" s="1" t="str">
        <x:v>Math</x:v>
      </x:c>
      <x:c r="C758" s="4" t="n">
        <x:v>73</x:v>
      </x:c>
      <x:c r="D758" s="4" t="n">
        <x:v>0</x:v>
      </x:c>
      <x:c r="E758" s="4" t="n">
        <x:v>60</x:v>
      </x:c>
      <x:c r="F758" s="4" t="n">
        <x:v>6346</x:v>
      </x:c>
      <x:c r="G758" s="5" t="n">
        <x:v>0.07690000000000001</x:v>
      </x:c>
      <x:c r="H758" s="5" t="n">
        <x:v>0.11539999999999999</x:v>
      </x:c>
      <x:c r="I758" s="5" t="n">
        <x:v>0</x:v>
      </x:c>
      <x:c r="J758" s="4" t="n">
        <x:v>156</x:v>
      </x:c>
      <x:c r="K758" s="4" t="n">
        <x:v>12</x:v>
      </x:c>
      <x:c r="L758" s="4" t="n">
        <x:v>104</x:v>
      </x:c>
      <x:c r="M758" s="4" t="n">
        <x:v>12</x:v>
      </x:c>
      <x:c r="N758" s="4" t="n">
        <x:v>52</x:v>
      </x:c>
      <x:c r="O758" s="4" t="n">
        <x:v>0</x:v>
      </x:c>
      <x:c r="P758" s="1" t="str">
        <x:v>FAIL</x:v>
      </x:c>
      <x:c r="Q758" s="4" t="n">
        <x:v>618</x:v>
      </x:c>
      <x:c r="R758" s="1" t="str">
        <x:v>FAIL</x:v>
      </x:c>
      <x:c r="S758" s="4" t="n">
        <x:v>618</x:v>
      </x:c>
      <x:c r="T758" s="1" t="str">
        <x:v>INCONCLUSIVE</x:v>
      </x:c>
      <x:c r="U758" s="1" t="str">
        <x:v>Math_73</x:v>
      </x:c>
      <x:c r="V758" s="6" t="n">
        <x:v>71.79</x:v>
      </x:c>
    </x:row>
    <x:row r="759" ht="22" customHeight="1">
      <x:c r="A759" s="1" t="str">
        <x:v>Round1</x:v>
      </x:c>
      <x:c r="B759" s="1" t="str">
        <x:v>Math</x:v>
      </x:c>
      <x:c r="C759" s="4" t="n">
        <x:v>74</x:v>
      </x:c>
      <x:c r="D759" s="4" t="n">
        <x:v>0</x:v>
      </x:c>
      <x:c r="E759" s="4" t="n">
        <x:v>60</x:v>
      </x:c>
      <x:c r="F759" s="4" t="n">
        <x:v>1</x:v>
      </x:c>
      <x:c r="G759" s="5" t="n">
        <x:v>0</x:v>
      </x:c>
      <x:c r="H759" s="5" t="n">
        <x:v>0</x:v>
      </x:c>
      <x:c r="I759" s="5" t="n">
        <x:v>0</x:v>
      </x:c>
      <x:c r="J759" s="4" t="n">
        <x:v>176</x:v>
      </x:c>
      <x:c r="K759" s="4" t="n">
        <x:v>0</x:v>
      </x:c>
      <x:c r="L759" s="4" t="n">
        <x:v>122</x:v>
      </x:c>
      <x:c r="M759" s="4" t="n">
        <x:v>0</x:v>
      </x:c>
      <x:c r="N759" s="4" t="n">
        <x:v>54</x:v>
      </x:c>
      <x:c r="O759" s="4" t="n">
        <x:v>0</x:v>
      </x:c>
      <x:c r="P759" s="1" t="str">
        <x:v>PASS</x:v>
      </x:c>
      <x:c r="Q759" s="4" t="n">
        <x:v>0</x:v>
      </x:c>
      <x:c r="R759" s="1" t="str">
        <x:v>PASS</x:v>
      </x:c>
      <x:c r="S759" s="4" t="n">
        <x:v>0</x:v>
      </x:c>
      <x:c r="T759" s="1" t="str">
        <x:v>NOT_REVEALING</x:v>
      </x:c>
      <x:c r="U759" s="1" t="str">
        <x:v>Math_74</x:v>
      </x:c>
      <x:c r="V759" s="6" t="n">
        <x:v>43.41</x:v>
      </x:c>
    </x:row>
    <x:row r="760" ht="22" customHeight="1">
      <x:c r="A760" s="1" t="str">
        <x:v>Round1</x:v>
      </x:c>
      <x:c r="B760" s="1" t="str">
        <x:v>Math</x:v>
      </x:c>
      <x:c r="C760" s="4" t="n">
        <x:v>75</x:v>
      </x:c>
      <x:c r="D760" s="4" t="n">
        <x:v>0</x:v>
      </x:c>
      <x:c r="E760" s="4" t="n">
        <x:v>60</x:v>
      </x:c>
      <x:c r="F760" s="4" t="n">
        <x:v>5293</x:v>
      </x:c>
      <x:c r="G760" s="5" t="n">
        <x:v>0.8901</x:v>
      </x:c>
      <x:c r="H760" s="5" t="n">
        <x:v>0.9104000000000001</x:v>
      </x:c>
      <x:c r="I760" s="5" t="n">
        <x:v>0.8332999999999999</x:v>
      </x:c>
      <x:c r="J760" s="4" t="n">
        <x:v>182</x:v>
      </x:c>
      <x:c r="K760" s="4" t="n">
        <x:v>162</x:v>
      </x:c>
      <x:c r="L760" s="4" t="n">
        <x:v>134</x:v>
      </x:c>
      <x:c r="M760" s="4" t="n">
        <x:v>122</x:v>
      </x:c>
      <x:c r="N760" s="4" t="n">
        <x:v>48</x:v>
      </x:c>
      <x:c r="O760" s="4" t="n">
        <x:v>40</x:v>
      </x:c>
      <x:c r="P760" s="1" t="str">
        <x:v>PASS</x:v>
      </x:c>
      <x:c r="Q760" s="4" t="n">
        <x:v>0</x:v>
      </x:c>
      <x:c r="R760" s="1" t="str">
        <x:v>FAIL</x:v>
      </x:c>
      <x:c r="S760" s="4" t="n">
        <x:v>34</x:v>
      </x:c>
      <x:c r="T760" s="1" t="str">
        <x:v>INCONCLUSIVE</x:v>
      </x:c>
      <x:c r="U760" s="1" t="str">
        <x:v>Math_75</x:v>
      </x:c>
      <x:c r="V760" s="6" t="n">
        <x:v>85.52</x:v>
      </x:c>
    </x:row>
    <x:row r="761" ht="22" customHeight="1">
      <x:c r="A761" s="1" t="str">
        <x:v>Round1</x:v>
      </x:c>
      <x:c r="B761" s="1" t="str">
        <x:v>Math</x:v>
      </x:c>
      <x:c r="C761" s="4" t="n">
        <x:v>76</x:v>
      </x:c>
      <x:c r="D761" s="4" t="n">
        <x:v>0</x:v>
      </x:c>
      <x:c r="E761" s="4" t="n">
        <x:v>60</x:v>
      </x:c>
      <x:c r="F761" s="4" t="n">
        <x:v>21</x:v>
      </x:c>
      <x:c r="G761" s="5" t="n">
        <x:v>0.016</x:v>
      </x:c>
      <x:c r="H761" s="5" t="n">
        <x:v>0.022400000000000003</x:v>
      </x:c>
      <x:c r="I761" s="5" t="n">
        <x:v>0</x:v>
      </x:c>
      <x:c r="J761" s="4" t="n">
        <x:v>188</x:v>
      </x:c>
      <x:c r="K761" s="4" t="n">
        <x:v>3</x:v>
      </x:c>
      <x:c r="L761" s="4" t="n">
        <x:v>134</x:v>
      </x:c>
      <x:c r="M761" s="4" t="n">
        <x:v>3</x:v>
      </x:c>
      <x:c r="N761" s="4" t="n">
        <x:v>54</x:v>
      </x:c>
      <x:c r="O761" s="4" t="n">
        <x:v>0</x:v>
      </x:c>
      <x:c r="P761" s="1" t="str">
        <x:v>PASS</x:v>
      </x:c>
      <x:c r="Q761" s="4" t="n">
        <x:v>0</x:v>
      </x:c>
      <x:c r="R761" s="1" t="str">
        <x:v>PASS</x:v>
      </x:c>
      <x:c r="S761" s="4" t="n">
        <x:v>0</x:v>
      </x:c>
      <x:c r="T761" s="1" t="str">
        <x:v>NOT_REVEALING</x:v>
      </x:c>
      <x:c r="U761" s="1" t="str">
        <x:v>Math_76</x:v>
      </x:c>
      <x:c r="V761" s="6" t="n">
        <x:v>40.51</x:v>
      </x:c>
    </x:row>
    <x:row r="762" ht="22" customHeight="1">
      <x:c r="A762" s="1" t="str">
        <x:v>Round1</x:v>
      </x:c>
      <x:c r="B762" s="1" t="str">
        <x:v>Math</x:v>
      </x:c>
      <x:c r="C762" s="4" t="n">
        <x:v>77</x:v>
      </x:c>
      <x:c r="D762" s="4" t="n">
        <x:v>0</x:v>
      </x:c>
      <x:c r="E762" s="4" t="n">
        <x:v>60</x:v>
      </x:c>
      <x:c r="F762" s="4" t="n">
        <x:v>3138</x:v>
      </x:c>
      <x:c r="G762" s="5" t="n">
        <x:v>0.8329000000000001</x:v>
      </x:c>
      <x:c r="H762" s="5" t="n">
        <x:v>0.8536</x:v>
      </x:c>
      <x:c r="I762" s="5" t="n">
        <x:v>0.784</x:v>
      </x:c>
      <x:c r="J762" s="4" t="n">
        <x:v>1137</x:v>
      </x:c>
      <x:c r="K762" s="4" t="n">
        <x:v>947</x:v>
      </x:c>
      <x:c r="L762" s="4" t="n">
        <x:v>799</x:v>
      </x:c>
      <x:c r="M762" s="4" t="n">
        <x:v>682</x:v>
      </x:c>
      <x:c r="N762" s="4" t="n">
        <x:v>338</x:v>
      </x:c>
      <x:c r="O762" s="4" t="n">
        <x:v>265</x:v>
      </x:c>
      <x:c r="P762" s="1" t="str">
        <x:v>FAIL</x:v>
      </x:c>
      <x:c r="Q762" s="4" t="n">
        <x:v>384</x:v>
      </x:c>
      <x:c r="R762" s="1" t="str">
        <x:v>FAIL</x:v>
      </x:c>
      <x:c r="S762" s="4" t="n">
        <x:v>850</x:v>
      </x:c>
      <x:c r="T762" s="1" t="str">
        <x:v>INCONCLUSIVE</x:v>
      </x:c>
      <x:c r="U762" s="1" t="str">
        <x:v>Math_77</x:v>
      </x:c>
      <x:c r="V762" s="6" t="n">
        <x:v>79.57</x:v>
      </x:c>
    </x:row>
    <x:row r="763" ht="22" customHeight="1">
      <x:c r="A763" s="1" t="str">
        <x:v>Round1</x:v>
      </x:c>
      <x:c r="B763" s="1" t="str">
        <x:v>Math</x:v>
      </x:c>
      <x:c r="C763" s="4" t="n">
        <x:v>78</x:v>
      </x:c>
      <x:c r="D763" s="4" t="n">
        <x:v>0</x:v>
      </x:c>
      <x:c r="E763" s="4" t="n">
        <x:v>60</x:v>
      </x:c>
      <x:c r="F763" s="4" t="n">
        <x:v>5426</x:v>
      </x:c>
      <x:c r="G763" s="5" t="n">
        <x:v>0.2071</x:v>
      </x:c>
      <x:c r="H763" s="5" t="n">
        <x:v>0.3</x:v>
      </x:c>
      <x:c r="I763" s="5" t="n">
        <x:v>0.04</x:v>
      </x:c>
      <x:c r="J763" s="4" t="n">
        <x:v>140</x:v>
      </x:c>
      <x:c r="K763" s="4" t="n">
        <x:v>29</x:v>
      </x:c>
      <x:c r="L763" s="4" t="n">
        <x:v>90</x:v>
      </x:c>
      <x:c r="M763" s="4" t="n">
        <x:v>27</x:v>
      </x:c>
      <x:c r="N763" s="4" t="n">
        <x:v>50</x:v>
      </x:c>
      <x:c r="O763" s="4" t="n">
        <x:v>2</x:v>
      </x:c>
      <x:c r="P763" s="1" t="str">
        <x:v>PASS</x:v>
      </x:c>
      <x:c r="Q763" s="4" t="n">
        <x:v>0</x:v>
      </x:c>
      <x:c r="R763" s="1" t="str">
        <x:v>PASS</x:v>
      </x:c>
      <x:c r="S763" s="4" t="n">
        <x:v>0</x:v>
      </x:c>
      <x:c r="T763" s="1" t="str">
        <x:v>NOT_REVEALING</x:v>
      </x:c>
      <x:c r="U763" s="1" t="str">
        <x:v>Math_78</x:v>
      </x:c>
      <x:c r="V763" s="6" t="n">
        <x:v>86.08</x:v>
      </x:c>
    </x:row>
    <x:row r="764" ht="22" customHeight="1">
      <x:c r="A764" s="1" t="str">
        <x:v>Round1</x:v>
      </x:c>
      <x:c r="B764" s="1" t="str">
        <x:v>Math</x:v>
      </x:c>
      <x:c r="C764" s="4" t="n">
        <x:v>79</x:v>
      </x:c>
      <x:c r="D764" s="4" t="n">
        <x:v>0</x:v>
      </x:c>
      <x:c r="E764" s="4" t="n">
        <x:v>60</x:v>
      </x:c>
      <x:c r="F764" s="4" t="n">
        <x:v>54</x:v>
      </x:c>
      <x:c r="G764" s="5" t="n">
        <x:v>0.315</x:v>
      </x:c>
      <x:c r="H764" s="5" t="n">
        <x:v>0.35950000000000004</x:v>
      </x:c>
      <x:c r="I764" s="5" t="n">
        <x:v>0.2609</x:v>
      </x:c>
      <x:c r="J764" s="4" t="n">
        <x:v>765</x:v>
      </x:c>
      <x:c r="K764" s="4" t="n">
        <x:v>241</x:v>
      </x:c>
      <x:c r="L764" s="4" t="n">
        <x:v>420</x:v>
      </x:c>
      <x:c r="M764" s="4" t="n">
        <x:v>151</x:v>
      </x:c>
      <x:c r="N764" s="4" t="n">
        <x:v>345</x:v>
      </x:c>
      <x:c r="O764" s="4" t="n">
        <x:v>90</x:v>
      </x:c>
      <x:c r="P764" s="1" t="str">
        <x:v>PASS</x:v>
      </x:c>
      <x:c r="Q764" s="4" t="n">
        <x:v>0</x:v>
      </x:c>
      <x:c r="R764" s="1" t="str">
        <x:v>PASS</x:v>
      </x:c>
      <x:c r="S764" s="4" t="n">
        <x:v>0</x:v>
      </x:c>
      <x:c r="T764" s="1" t="str">
        <x:v>NOT_REVEALING</x:v>
      </x:c>
      <x:c r="U764" s="1" t="str">
        <x:v>Math_79</x:v>
      </x:c>
      <x:c r="V764" s="6" t="n">
        <x:v>41.75</x:v>
      </x:c>
    </x:row>
    <x:row r="765" ht="22" customHeight="1">
      <x:c r="A765" s="1" t="str">
        <x:v>Round1</x:v>
      </x:c>
      <x:c r="B765" s="1" t="str">
        <x:v>Math</x:v>
      </x:c>
      <x:c r="C765" s="4" t="n">
        <x:v>80</x:v>
      </x:c>
      <x:c r="D765" s="4" t="n">
        <x:v>0</x:v>
      </x:c>
      <x:c r="E765" s="4" t="n">
        <x:v>60</x:v>
      </x:c>
      <x:c r="F765" s="4" t="n">
        <x:v>4871</x:v>
      </x:c>
      <x:c r="G765" s="5" t="n">
        <x:v>0.1812</x:v>
      </x:c>
      <x:c r="H765" s="5" t="n">
        <x:v>0.2082</x:v>
      </x:c>
      <x:c r="I765" s="5" t="n">
        <x:v>0.12560000000000002</x:v>
      </x:c>
      <x:c r="J765" s="4" t="n">
        <x:v>1269</x:v>
      </x:c>
      <x:c r="K765" s="4" t="n">
        <x:v>230</x:v>
      </x:c>
      <x:c r="L765" s="4" t="n">
        <x:v>855</x:v>
      </x:c>
      <x:c r="M765" s="4" t="n">
        <x:v>178</x:v>
      </x:c>
      <x:c r="N765" s="4" t="n">
        <x:v>414</x:v>
      </x:c>
      <x:c r="O765" s="4" t="n">
        <x:v>52</x:v>
      </x:c>
      <x:c r="P765" s="1" t="str">
        <x:v>PASS</x:v>
      </x:c>
      <x:c r="Q765" s="4" t="n">
        <x:v>0</x:v>
      </x:c>
      <x:c r="R765" s="1" t="str">
        <x:v>PASS</x:v>
      </x:c>
      <x:c r="S765" s="4" t="n">
        <x:v>0</x:v>
      </x:c>
      <x:c r="T765" s="1" t="str">
        <x:v>NOT_REVEALING</x:v>
      </x:c>
      <x:c r="U765" s="1" t="str">
        <x:v>Math_80</x:v>
      </x:c>
      <x:c r="V765" s="6" t="n">
        <x:v>74.73</x:v>
      </x:c>
    </x:row>
    <x:row r="766" ht="22" customHeight="1">
      <x:c r="A766" s="1" t="str">
        <x:v>Round1</x:v>
      </x:c>
      <x:c r="B766" s="1" t="str">
        <x:v>Math</x:v>
      </x:c>
      <x:c r="C766" s="4" t="n">
        <x:v>81</x:v>
      </x:c>
      <x:c r="D766" s="4" t="n">
        <x:v>0</x:v>
      </x:c>
      <x:c r="E766" s="4" t="n">
        <x:v>60</x:v>
      </x:c>
      <x:c r="F766" s="4" t="n">
        <x:v>5066</x:v>
      </x:c>
      <x:c r="G766" s="5" t="n">
        <x:v>0.18059999999999998</x:v>
      </x:c>
      <x:c r="H766" s="5" t="n">
        <x:v>0.2073</x:v>
      </x:c>
      <x:c r="I766" s="5" t="n">
        <x:v>0.12560000000000002</x:v>
      </x:c>
      <x:c r="J766" s="4" t="n">
        <x:v>1268</x:v>
      </x:c>
      <x:c r="K766" s="4" t="n">
        <x:v>229</x:v>
      </x:c>
      <x:c r="L766" s="4" t="n">
        <x:v>854</x:v>
      </x:c>
      <x:c r="M766" s="4" t="n">
        <x:v>177</x:v>
      </x:c>
      <x:c r="N766" s="4" t="n">
        <x:v>414</x:v>
      </x:c>
      <x:c r="O766" s="4" t="n">
        <x:v>52</x:v>
      </x:c>
      <x:c r="P766" s="1" t="str">
        <x:v>PASS</x:v>
      </x:c>
      <x:c r="Q766" s="4" t="n">
        <x:v>0</x:v>
      </x:c>
      <x:c r="R766" s="1" t="str">
        <x:v>PASS</x:v>
      </x:c>
      <x:c r="S766" s="4" t="n">
        <x:v>0</x:v>
      </x:c>
      <x:c r="T766" s="1" t="str">
        <x:v>NOT_REVEALING</x:v>
      </x:c>
      <x:c r="U766" s="1" t="str">
        <x:v>Math_81</x:v>
      </x:c>
      <x:c r="V766" s="6" t="n">
        <x:v>77.87</x:v>
      </x:c>
    </x:row>
    <x:row r="767" ht="22" customHeight="1">
      <x:c r="A767" s="1" t="str">
        <x:v>Round1</x:v>
      </x:c>
      <x:c r="B767" s="1" t="str">
        <x:v>Math</x:v>
      </x:c>
      <x:c r="C767" s="4" t="n">
        <x:v>82</x:v>
      </x:c>
      <x:c r="D767" s="4" t="n">
        <x:v>0</x:v>
      </x:c>
      <x:c r="E767" s="4" t="n">
        <x:v>60</x:v>
      </x:c>
      <x:c r="F767" s="4" t="n">
        <x:v>7266</x:v>
      </x:c>
      <x:c r="G767" s="5" t="n">
        <x:v>0.1354</x:v>
      </x:c>
      <x:c r="H767" s="5" t="n">
        <x:v>0.2167</x:v>
      </x:c>
      <x:c r="I767" s="5" t="n">
        <x:v>0</x:v>
      </x:c>
      <x:c r="J767" s="4" t="n">
        <x:v>96</x:v>
      </x:c>
      <x:c r="K767" s="4" t="n">
        <x:v>13</x:v>
      </x:c>
      <x:c r="L767" s="4" t="n">
        <x:v>60</x:v>
      </x:c>
      <x:c r="M767" s="4" t="n">
        <x:v>13</x:v>
      </x:c>
      <x:c r="N767" s="4" t="n">
        <x:v>36</x:v>
      </x:c>
      <x:c r="O767" s="4" t="n">
        <x:v>0</x:v>
      </x:c>
      <x:c r="P767" s="1" t="str">
        <x:v>FAIL</x:v>
      </x:c>
      <x:c r="Q767" s="4" t="n">
        <x:v>1980</x:v>
      </x:c>
      <x:c r="R767" s="1" t="str">
        <x:v>FAIL</x:v>
      </x:c>
      <x:c r="S767" s="4" t="n">
        <x:v>1980</x:v>
      </x:c>
      <x:c r="T767" s="1" t="str">
        <x:v>INCONCLUSIVE</x:v>
      </x:c>
      <x:c r="U767" s="1" t="str">
        <x:v>Math_82</x:v>
      </x:c>
      <x:c r="V767" s="6" t="n">
        <x:v>74.11</x:v>
      </x:c>
    </x:row>
    <x:row r="768" ht="22" customHeight="1">
      <x:c r="A768" s="1" t="str">
        <x:v>Round1</x:v>
      </x:c>
      <x:c r="B768" s="1" t="str">
        <x:v>Math</x:v>
      </x:c>
      <x:c r="C768" s="4" t="n">
        <x:v>83</x:v>
      </x:c>
      <x:c r="D768" s="4" t="n">
        <x:v>0</x:v>
      </x:c>
      <x:c r="E768" s="4" t="n">
        <x:v>60</x:v>
      </x:c>
      <x:c r="F768" s="4" t="n">
        <x:v>138</x:v>
      </x:c>
      <x:c r="G768" s="5" t="n">
        <x:v>0.024300000000000002</x:v>
      </x:c>
      <x:c r="H768" s="5" t="n">
        <x:v>0.0387</x:v>
      </x:c>
      <x:c r="I768" s="5" t="n">
        <x:v>0</x:v>
      </x:c>
      <x:c r="J768" s="4" t="n">
        <x:v>247</x:v>
      </x:c>
      <x:c r="K768" s="4" t="n">
        <x:v>6</x:v>
      </x:c>
      <x:c r="L768" s="4" t="n">
        <x:v>155</x:v>
      </x:c>
      <x:c r="M768" s="4" t="n">
        <x:v>6</x:v>
      </x:c>
      <x:c r="N768" s="4" t="n">
        <x:v>92</x:v>
      </x:c>
      <x:c r="O768" s="4" t="n">
        <x:v>0</x:v>
      </x:c>
      <x:c r="P768" s="1" t="str">
        <x:v>PASS</x:v>
      </x:c>
      <x:c r="Q768" s="4" t="n">
        <x:v>0</x:v>
      </x:c>
      <x:c r="R768" s="1" t="str">
        <x:v>PASS</x:v>
      </x:c>
      <x:c r="S768" s="4" t="n">
        <x:v>0</x:v>
      </x:c>
      <x:c r="T768" s="1" t="str">
        <x:v>NOT_REVEALING</x:v>
      </x:c>
      <x:c r="U768" s="1" t="str">
        <x:v>Math_83</x:v>
      </x:c>
      <x:c r="V768" s="6" t="n">
        <x:v>46.15</x:v>
      </x:c>
    </x:row>
    <x:row r="769" ht="22" customHeight="1">
      <x:c r="A769" s="1" t="str">
        <x:v>Round1</x:v>
      </x:c>
      <x:c r="B769" s="1" t="str">
        <x:v>Math</x:v>
      </x:c>
      <x:c r="C769" s="4" t="n">
        <x:v>84</x:v>
      </x:c>
      <x:c r="D769" s="4" t="n">
        <x:v>0</x:v>
      </x:c>
      <x:c r="E769" s="4" t="n">
        <x:v>60</x:v>
      </x:c>
      <x:c r="F769" s="4" t="n">
        <x:v>4945</x:v>
      </x:c>
      <x:c r="G769" s="5" t="n">
        <x:v>0.25</x:v>
      </x:c>
      <x:c r="H769" s="5" t="n">
        <x:v>0.3235</x:v>
      </x:c>
      <x:c r="I769" s="5" t="n">
        <x:v>0</x:v>
      </x:c>
      <x:c r="J769" s="4" t="n">
        <x:v>44</x:v>
      </x:c>
      <x:c r="K769" s="4" t="n">
        <x:v>11</x:v>
      </x:c>
      <x:c r="L769" s="4" t="n">
        <x:v>34</x:v>
      </x:c>
      <x:c r="M769" s="4" t="n">
        <x:v>11</x:v>
      </x:c>
      <x:c r="N769" s="4" t="n">
        <x:v>10</x:v>
      </x:c>
      <x:c r="O769" s="4" t="n">
        <x:v>0</x:v>
      </x:c>
      <x:c r="P769" s="1" t="str">
        <x:v>PASS</x:v>
      </x:c>
      <x:c r="Q769" s="4" t="n">
        <x:v>0</x:v>
      </x:c>
      <x:c r="R769" s="1" t="str">
        <x:v>PASS</x:v>
      </x:c>
      <x:c r="S769" s="4" t="n">
        <x:v>0</x:v>
      </x:c>
      <x:c r="T769" s="1" t="str">
        <x:v>NOT_REVEALING</x:v>
      </x:c>
      <x:c r="U769" s="1" t="str">
        <x:v>Math_84</x:v>
      </x:c>
      <x:c r="V769" s="6" t="n">
        <x:v>83.25</x:v>
      </x:c>
    </x:row>
    <x:row r="770" ht="22" customHeight="1">
      <x:c r="A770" s="1" t="str">
        <x:v>Round1</x:v>
      </x:c>
      <x:c r="B770" s="1" t="str">
        <x:v>Math</x:v>
      </x:c>
      <x:c r="C770" s="4" t="n">
        <x:v>85</x:v>
      </x:c>
      <x:c r="D770" s="4" t="n">
        <x:v>0</x:v>
      </x:c>
      <x:c r="E770" s="4" t="n">
        <x:v>60</x:v>
      </x:c>
      <x:c r="F770" s="4" t="n">
        <x:v>11521</x:v>
      </x:c>
      <x:c r="G770" s="5" t="n">
        <x:v>0.16670000000000001</x:v>
      </x:c>
      <x:c r="H770" s="5" t="n">
        <x:v>0.21050000000000002</x:v>
      </x:c>
      <x:c r="I770" s="5" t="n">
        <x:v>0.0909</x:v>
      </x:c>
      <x:c r="J770" s="4" t="n">
        <x:v>60</x:v>
      </x:c>
      <x:c r="K770" s="4" t="n">
        <x:v>10</x:v>
      </x:c>
      <x:c r="L770" s="4" t="n">
        <x:v>38</x:v>
      </x:c>
      <x:c r="M770" s="4" t="n">
        <x:v>8</x:v>
      </x:c>
      <x:c r="N770" s="4" t="n">
        <x:v>22</x:v>
      </x:c>
      <x:c r="O770" s="4" t="n">
        <x:v>2</x:v>
      </x:c>
      <x:c r="P770" s="1" t="str">
        <x:v>PASS</x:v>
      </x:c>
      <x:c r="Q770" s="4" t="n">
        <x:v>0</x:v>
      </x:c>
      <x:c r="R770" s="1" t="str">
        <x:v>PASS</x:v>
      </x:c>
      <x:c r="S770" s="4" t="n">
        <x:v>0</x:v>
      </x:c>
      <x:c r="T770" s="1" t="str">
        <x:v>NOT_REVEALING</x:v>
      </x:c>
      <x:c r="U770" s="1" t="str">
        <x:v>Math_85</x:v>
      </x:c>
      <x:c r="V770" s="6" t="n">
        <x:v>67.3</x:v>
      </x:c>
    </x:row>
    <x:row r="771" ht="22" customHeight="1">
      <x:c r="A771" s="1" t="str">
        <x:v>Round1</x:v>
      </x:c>
      <x:c r="B771" s="1" t="str">
        <x:v>Math</x:v>
      </x:c>
      <x:c r="C771" s="4" t="n">
        <x:v>86</x:v>
      </x:c>
      <x:c r="D771" s="4" t="n">
        <x:v>0</x:v>
      </x:c>
      <x:c r="E771" s="4" t="n">
        <x:v>60</x:v>
      </x:c>
      <x:c r="F771" s="4" t="n">
        <x:v>1300</x:v>
      </x:c>
      <x:c r="G771" s="5" t="n">
        <x:v>0.017</x:v>
      </x:c>
      <x:c r="H771" s="5" t="n">
        <x:v>0.0259</x:v>
      </x:c>
      <x:c r="I771" s="5" t="n">
        <x:v>0</x:v>
      </x:c>
      <x:c r="J771" s="4" t="n">
        <x:v>176</x:v>
      </x:c>
      <x:c r="K771" s="4" t="n">
        <x:v>3</x:v>
      </x:c>
      <x:c r="L771" s="4" t="n">
        <x:v>116</x:v>
      </x:c>
      <x:c r="M771" s="4" t="n">
        <x:v>3</x:v>
      </x:c>
      <x:c r="N771" s="4" t="n">
        <x:v>60</x:v>
      </x:c>
      <x:c r="O771" s="4" t="n">
        <x:v>0</x:v>
      </x:c>
      <x:c r="P771" s="1" t="str">
        <x:v>PASS</x:v>
      </x:c>
      <x:c r="Q771" s="4" t="n">
        <x:v>0</x:v>
      </x:c>
      <x:c r="R771" s="1" t="str">
        <x:v>PASS</x:v>
      </x:c>
      <x:c r="S771" s="4" t="n">
        <x:v>0</x:v>
      </x:c>
      <x:c r="T771" s="1" t="str">
        <x:v>NOT_REVEALING</x:v>
      </x:c>
      <x:c r="U771" s="1" t="str">
        <x:v>Math_86</x:v>
      </x:c>
      <x:c r="V771" s="6" t="n">
        <x:v>45.46</x:v>
      </x:c>
    </x:row>
    <x:row r="772" ht="22" customHeight="1">
      <x:c r="A772" s="1" t="str">
        <x:v>Round1</x:v>
      </x:c>
      <x:c r="B772" s="1" t="str">
        <x:v>Math</x:v>
      </x:c>
      <x:c r="C772" s="4" t="n">
        <x:v>87</x:v>
      </x:c>
      <x:c r="D772" s="4" t="n">
        <x:v>0</x:v>
      </x:c>
      <x:c r="E772" s="4" t="n">
        <x:v>60</x:v>
      </x:c>
      <x:c r="F772" s="4" t="n">
        <x:v>138</x:v>
      </x:c>
      <x:c r="G772" s="5" t="n">
        <x:v>0.0248</x:v>
      </x:c>
      <x:c r="H772" s="5" t="n">
        <x:v>0.0395</x:v>
      </x:c>
      <x:c r="I772" s="5" t="n">
        <x:v>0</x:v>
      </x:c>
      <x:c r="J772" s="4" t="n">
        <x:v>242</x:v>
      </x:c>
      <x:c r="K772" s="4" t="n">
        <x:v>6</x:v>
      </x:c>
      <x:c r="L772" s="4" t="n">
        <x:v>152</x:v>
      </x:c>
      <x:c r="M772" s="4" t="n">
        <x:v>6</x:v>
      </x:c>
      <x:c r="N772" s="4" t="n">
        <x:v>90</x:v>
      </x:c>
      <x:c r="O772" s="4" t="n">
        <x:v>0</x:v>
      </x:c>
      <x:c r="P772" s="1" t="str">
        <x:v>PASS</x:v>
      </x:c>
      <x:c r="Q772" s="4" t="n">
        <x:v>0</x:v>
      </x:c>
      <x:c r="R772" s="1" t="str">
        <x:v>PASS</x:v>
      </x:c>
      <x:c r="S772" s="4" t="n">
        <x:v>0</x:v>
      </x:c>
      <x:c r="T772" s="1" t="str">
        <x:v>NOT_REVEALING</x:v>
      </x:c>
      <x:c r="U772" s="1" t="str">
        <x:v>Math_87</x:v>
      </x:c>
      <x:c r="V772" s="6" t="n">
        <x:v>42.36</x:v>
      </x:c>
    </x:row>
    <x:row r="773" ht="22" customHeight="1">
      <x:c r="A773" s="1" t="str">
        <x:v>Round1</x:v>
      </x:c>
      <x:c r="B773" s="1" t="str">
        <x:v>Math</x:v>
      </x:c>
      <x:c r="C773" s="4" t="n">
        <x:v>88</x:v>
      </x:c>
      <x:c r="D773" s="4" t="n">
        <x:v>0</x:v>
      </x:c>
      <x:c r="E773" s="4" t="n">
        <x:v>60</x:v>
      </x:c>
      <x:c r="F773" s="4" t="n">
        <x:v>138</x:v>
      </x:c>
      <x:c r="G773" s="5" t="n">
        <x:v>0.024399999999999998</x:v>
      </x:c>
      <x:c r="H773" s="5" t="n">
        <x:v>0.0395</x:v>
      </x:c>
      <x:c r="I773" s="5" t="n">
        <x:v>0</x:v>
      </x:c>
      <x:c r="J773" s="4" t="n">
        <x:v>246</x:v>
      </x:c>
      <x:c r="K773" s="4" t="n">
        <x:v>6</x:v>
      </x:c>
      <x:c r="L773" s="4" t="n">
        <x:v>152</x:v>
      </x:c>
      <x:c r="M773" s="4" t="n">
        <x:v>6</x:v>
      </x:c>
      <x:c r="N773" s="4" t="n">
        <x:v>94</x:v>
      </x:c>
      <x:c r="O773" s="4" t="n">
        <x:v>0</x:v>
      </x:c>
      <x:c r="P773" s="1" t="str">
        <x:v>PASS</x:v>
      </x:c>
      <x:c r="Q773" s="4" t="n">
        <x:v>0</x:v>
      </x:c>
      <x:c r="R773" s="1" t="str">
        <x:v>PASS</x:v>
      </x:c>
      <x:c r="S773" s="4" t="n">
        <x:v>0</x:v>
      </x:c>
      <x:c r="T773" s="1" t="str">
        <x:v>NOT_REVEALING</x:v>
      </x:c>
      <x:c r="U773" s="1" t="str">
        <x:v>Math_88</x:v>
      </x:c>
      <x:c r="V773" s="6" t="n">
        <x:v>41.33</x:v>
      </x:c>
    </x:row>
    <x:row r="774" ht="22" customHeight="1">
      <x:c r="A774" s="1" t="str">
        <x:v>Round1</x:v>
      </x:c>
      <x:c r="B774" s="1" t="str">
        <x:v>Math</x:v>
      </x:c>
      <x:c r="C774" s="4" t="n">
        <x:v>89</x:v>
      </x:c>
      <x:c r="D774" s="4" t="n">
        <x:v>0</x:v>
      </x:c>
      <x:c r="E774" s="4" t="n">
        <x:v>60</x:v>
      </x:c>
      <x:c r="F774" s="4" t="n">
        <x:v>5385</x:v>
      </x:c>
      <x:c r="G774" s="5" t="n">
        <x:v>0.9786</x:v>
      </x:c>
      <x:c r="H774" s="5" t="n">
        <x:v>0.9906999999999999</x:v>
      </x:c>
      <x:c r="I774" s="5" t="n">
        <x:v>0.9375</x:v>
      </x:c>
      <x:c r="J774" s="4" t="n">
        <x:v>140</x:v>
      </x:c>
      <x:c r="K774" s="4" t="n">
        <x:v>137</x:v>
      </x:c>
      <x:c r="L774" s="4" t="n">
        <x:v>108</x:v>
      </x:c>
      <x:c r="M774" s="4" t="n">
        <x:v>107</x:v>
      </x:c>
      <x:c r="N774" s="4" t="n">
        <x:v>32</x:v>
      </x:c>
      <x:c r="O774" s="4" t="n">
        <x:v>30</x:v>
      </x:c>
      <x:c r="P774" s="1" t="str">
        <x:v>PASS</x:v>
      </x:c>
      <x:c r="Q774" s="4" t="n">
        <x:v>0</x:v>
      </x:c>
      <x:c r="R774" s="1" t="str">
        <x:v>FAIL</x:v>
      </x:c>
      <x:c r="S774" s="4" t="n">
        <x:v>352</x:v>
      </x:c>
      <x:c r="T774" s="1" t="str">
        <x:v>INCONCLUSIVE</x:v>
      </x:c>
      <x:c r="U774" s="1" t="str">
        <x:v>Math_89</x:v>
      </x:c>
      <x:c r="V774" s="6" t="n">
        <x:v>89.66</x:v>
      </x:c>
    </x:row>
    <x:row r="775" ht="22" customHeight="1">
      <x:c r="A775" s="1" t="str">
        <x:v>Round1</x:v>
      </x:c>
      <x:c r="B775" s="1" t="str">
        <x:v>Math</x:v>
      </x:c>
      <x:c r="C775" s="4" t="n">
        <x:v>90</x:v>
      </x:c>
      <x:c r="D775" s="4" t="n">
        <x:v>0</x:v>
      </x:c>
      <x:c r="E775" s="4" t="n">
        <x:v>60</x:v>
      </x:c>
      <x:c r="F775" s="4" t="n">
        <x:v>5513</x:v>
      </x:c>
      <x:c r="G775" s="5" t="n">
        <x:v>0.9783</x:v>
      </x:c>
      <x:c r="H775" s="5" t="n">
        <x:v>0.9906</x:v>
      </x:c>
      <x:c r="I775" s="5" t="n">
        <x:v>0.9375</x:v>
      </x:c>
      <x:c r="J775" s="4" t="n">
        <x:v>138</x:v>
      </x:c>
      <x:c r="K775" s="4" t="n">
        <x:v>135</x:v>
      </x:c>
      <x:c r="L775" s="4" t="n">
        <x:v>106</x:v>
      </x:c>
      <x:c r="M775" s="4" t="n">
        <x:v>105</x:v>
      </x:c>
      <x:c r="N775" s="4" t="n">
        <x:v>32</x:v>
      </x:c>
      <x:c r="O775" s="4" t="n">
        <x:v>30</x:v>
      </x:c>
      <x:c r="P775" s="1" t="str">
        <x:v>PASS</x:v>
      </x:c>
      <x:c r="Q775" s="4" t="n">
        <x:v>0</x:v>
      </x:c>
      <x:c r="R775" s="1" t="str">
        <x:v>FAIL</x:v>
      </x:c>
      <x:c r="S775" s="4" t="n">
        <x:v>392</x:v>
      </x:c>
      <x:c r="T775" s="1" t="str">
        <x:v>INCONCLUSIVE</x:v>
      </x:c>
      <x:c r="U775" s="1" t="str">
        <x:v>Math_90</x:v>
      </x:c>
      <x:c r="V775" s="6" t="n">
        <x:v>85.04</x:v>
      </x:c>
    </x:row>
    <x:row r="776" ht="22" customHeight="1">
      <x:c r="A776" s="1" t="str">
        <x:v>Round1</x:v>
      </x:c>
      <x:c r="B776" s="1" t="str">
        <x:v>Math</x:v>
      </x:c>
      <x:c r="C776" s="4" t="n">
        <x:v>91</x:v>
      </x:c>
      <x:c r="D776" s="4" t="n">
        <x:v>0</x:v>
      </x:c>
      <x:c r="E776" s="4" t="n">
        <x:v>60</x:v>
      </x:c>
      <x:c r="F776" s="4" t="n">
        <x:v>3181</x:v>
      </x:c>
      <x:c r="G776" s="5" t="n">
        <x:v>0.8933</x:v>
      </x:c>
      <x:c r="H776" s="5" t="n">
        <x:v>0.9140999999999999</x:v>
      </x:c>
      <x:c r="I776" s="5" t="n">
        <x:v>0.8556</x:v>
      </x:c>
      <x:c r="J776" s="4" t="n">
        <x:v>253</x:v>
      </x:c>
      <x:c r="K776" s="4" t="n">
        <x:v>226</x:v>
      </x:c>
      <x:c r="L776" s="4" t="n">
        <x:v>163</x:v>
      </x:c>
      <x:c r="M776" s="4" t="n">
        <x:v>149</x:v>
      </x:c>
      <x:c r="N776" s="4" t="n">
        <x:v>90</x:v>
      </x:c>
      <x:c r="O776" s="4" t="n">
        <x:v>77</x:v>
      </x:c>
      <x:c r="P776" s="1" t="str">
        <x:v>PASS</x:v>
      </x:c>
      <x:c r="Q776" s="4" t="n">
        <x:v>0</x:v>
      </x:c>
      <x:c r="R776" s="1" t="str">
        <x:v>PASS</x:v>
      </x:c>
      <x:c r="S776" s="4" t="n">
        <x:v>0</x:v>
      </x:c>
      <x:c r="T776" s="1" t="str">
        <x:v>NOT_REVEALING</x:v>
      </x:c>
      <x:c r="U776" s="1" t="str">
        <x:v>Math_91</x:v>
      </x:c>
      <x:c r="V776" s="6" t="n">
        <x:v>61.64</x:v>
      </x:c>
    </x:row>
    <x:row r="777" ht="22" customHeight="1">
      <x:c r="A777" s="1" t="str">
        <x:v>Round1</x:v>
      </x:c>
      <x:c r="B777" s="1" t="str">
        <x:v>Math</x:v>
      </x:c>
      <x:c r="C777" s="4" t="n">
        <x:v>92</x:v>
      </x:c>
      <x:c r="D777" s="4" t="n">
        <x:v>0</x:v>
      </x:c>
      <x:c r="E777" s="4" t="n">
        <x:v>60</x:v>
      </x:c>
      <x:c r="F777" s="4" t="n">
        <x:v>107</x:v>
      </x:c>
      <x:c r="G777" s="5" t="n">
        <x:v>0.5727</x:v>
      </x:c>
      <x:c r="H777" s="5" t="n">
        <x:v>0.6277</x:v>
      </x:c>
      <x:c r="I777" s="5" t="n">
        <x:v>0.5157</x:v>
      </x:c>
      <x:c r="J777" s="4" t="n">
        <x:v>454</x:v>
      </x:c>
      <x:c r="K777" s="4" t="n">
        <x:v>260</x:v>
      </x:c>
      <x:c r="L777" s="4" t="n">
        <x:v>231</x:v>
      </x:c>
      <x:c r="M777" s="4" t="n">
        <x:v>145</x:v>
      </x:c>
      <x:c r="N777" s="4" t="n">
        <x:v>223</x:v>
      </x:c>
      <x:c r="O777" s="4" t="n">
        <x:v>115</x:v>
      </x:c>
      <x:c r="P777" s="1" t="str">
        <x:v>PASS</x:v>
      </x:c>
      <x:c r="Q777" s="4" t="n">
        <x:v>0</x:v>
      </x:c>
      <x:c r="R777" s="1" t="str">
        <x:v>FAIL</x:v>
      </x:c>
      <x:c r="S777" s="4" t="n">
        <x:v>2</x:v>
      </x:c>
      <x:c r="T777" s="1" t="str">
        <x:v>INCONCLUSIVE</x:v>
      </x:c>
      <x:c r="U777" s="1" t="str">
        <x:v>Math_92</x:v>
      </x:c>
      <x:c r="V777" s="6" t="n">
        <x:v>512.14</x:v>
      </x:c>
    </x:row>
    <x:row r="778" ht="22" customHeight="1">
      <x:c r="A778" s="1" t="str">
        <x:v>Round1</x:v>
      </x:c>
      <x:c r="B778" s="1" t="str">
        <x:v>Math</x:v>
      </x:c>
      <x:c r="C778" s="4" t="n">
        <x:v>93</x:v>
      </x:c>
      <x:c r="D778" s="4" t="n">
        <x:v>0</x:v>
      </x:c>
      <x:c r="E778" s="4" t="n">
        <x:v>60</x:v>
      </x:c>
      <x:c r="F778" s="4" t="n">
        <x:v>107</x:v>
      </x:c>
      <x:c r="G778" s="5" t="n">
        <x:v>0.5666</x:v>
      </x:c>
      <x:c r="H778" s="5" t="n">
        <x:v>0.6239</x:v>
      </x:c>
      <x:c r="I778" s="5" t="n">
        <x:v>0.5069</x:v>
      </x:c>
      <x:c r="J778" s="4" t="n">
        <x:v>443</x:v>
      </x:c>
      <x:c r="K778" s="4" t="n">
        <x:v>251</x:v>
      </x:c>
      <x:c r="L778" s="4" t="n">
        <x:v>226</x:v>
      </x:c>
      <x:c r="M778" s="4" t="n">
        <x:v>141</x:v>
      </x:c>
      <x:c r="N778" s="4" t="n">
        <x:v>217</x:v>
      </x:c>
      <x:c r="O778" s="4" t="n">
        <x:v>110</x:v>
      </x:c>
      <x:c r="P778" s="1" t="str">
        <x:v>PASS</x:v>
      </x:c>
      <x:c r="Q778" s="4" t="n">
        <x:v>0</x:v>
      </x:c>
      <x:c r="R778" s="1" t="str">
        <x:v>PASS</x:v>
      </x:c>
      <x:c r="S778" s="4" t="n">
        <x:v>0</x:v>
      </x:c>
      <x:c r="T778" s="1" t="str">
        <x:v>NOT_REVEALING</x:v>
      </x:c>
      <x:c r="U778" s="1" t="str">
        <x:v>Math_93</x:v>
      </x:c>
      <x:c r="V778" s="6" t="n">
        <x:v>503.56</x:v>
      </x:c>
    </x:row>
    <x:row r="779" ht="22" customHeight="1">
      <x:c r="A779" s="1" t="str">
        <x:v>Round1</x:v>
      </x:c>
      <x:c r="B779" s="1" t="str">
        <x:v>Math</x:v>
      </x:c>
      <x:c r="C779" s="4" t="n">
        <x:v>94</x:v>
      </x:c>
      <x:c r="D779" s="4" t="n">
        <x:v>0</x:v>
      </x:c>
      <x:c r="E779" s="4" t="n">
        <x:v>60</x:v>
      </x:c>
      <x:c r="F779" s="4" t="n">
        <x:v>107</x:v>
      </x:c>
      <x:c r="G779" s="5" t="n">
        <x:v>0.5659000000000001</x:v>
      </x:c>
      <x:c r="H779" s="5" t="n">
        <x:v>0.6222</x:v>
      </x:c>
      <x:c r="I779" s="5" t="n">
        <x:v>0.507</x:v>
      </x:c>
      <x:c r="J779" s="4" t="n">
        <x:v>440</x:v>
      </x:c>
      <x:c r="K779" s="4" t="n">
        <x:v>249</x:v>
      </x:c>
      <x:c r="L779" s="4" t="n">
        <x:v>225</x:v>
      </x:c>
      <x:c r="M779" s="4" t="n">
        <x:v>140</x:v>
      </x:c>
      <x:c r="N779" s="4" t="n">
        <x:v>215</x:v>
      </x:c>
      <x:c r="O779" s="4" t="n">
        <x:v>109</x:v>
      </x:c>
      <x:c r="P779" s="1" t="str">
        <x:v>PASS</x:v>
      </x:c>
      <x:c r="Q779" s="4" t="n">
        <x:v>0</x:v>
      </x:c>
      <x:c r="R779" s="1" t="str">
        <x:v>PASS</x:v>
      </x:c>
      <x:c r="S779" s="4" t="n">
        <x:v>0</x:v>
      </x:c>
      <x:c r="T779" s="1" t="str">
        <x:v>NOT_REVEALING</x:v>
      </x:c>
      <x:c r="U779" s="1" t="str">
        <x:v>Math_94</x:v>
      </x:c>
      <x:c r="V779" s="6" t="n">
        <x:v>503.06</x:v>
      </x:c>
    </x:row>
    <x:row r="780" ht="22" customHeight="1">
      <x:c r="A780" s="1" t="str">
        <x:v>Round1</x:v>
      </x:c>
      <x:c r="B780" s="1" t="str">
        <x:v>Math</x:v>
      </x:c>
      <x:c r="C780" s="4" t="n">
        <x:v>95</x:v>
      </x:c>
      <x:c r="D780" s="4" t="n">
        <x:v>0</x:v>
      </x:c>
      <x:c r="E780" s="4" t="n">
        <x:v>60</x:v>
      </x:c>
      <x:c r="F780" s="4" t="n">
        <x:v>6554</x:v>
      </x:c>
      <x:c r="G780" s="5" t="n">
        <x:v>1</x:v>
      </x:c>
      <x:c r="H780" s="5" t="n">
        <x:v>1</x:v>
      </x:c>
      <x:c r="I780" s="5" t="n">
        <x:v>1</x:v>
      </x:c>
      <x:c r="J780" s="4" t="n">
        <x:v>40</x:v>
      </x:c>
      <x:c r="K780" s="4" t="n">
        <x:v>40</x:v>
      </x:c>
      <x:c r="L780" s="4" t="n">
        <x:v>30</x:v>
      </x:c>
      <x:c r="M780" s="4" t="n">
        <x:v>30</x:v>
      </x:c>
      <x:c r="N780" s="4" t="n">
        <x:v>10</x:v>
      </x:c>
      <x:c r="O780" s="4" t="n">
        <x:v>10</x:v>
      </x:c>
      <x:c r="P780" s="1" t="str">
        <x:v>PASS</x:v>
      </x:c>
      <x:c r="Q780" s="4" t="n">
        <x:v>0</x:v>
      </x:c>
      <x:c r="R780" s="1" t="str">
        <x:v>NOT_RUN</x:v>
      </x:c>
      <x:c r="S780" s="4"/>
      <x:c r="T780" s="1" t="str">
        <x:v>NOT_AVAILABLE</x:v>
      </x:c>
      <x:c r="U780" s="1" t="str">
        <x:v>Math_95</x:v>
      </x:c>
      <x:c r="V780" s="6" t="n">
        <x:v>639.66</x:v>
      </x:c>
    </x:row>
    <x:row r="781" ht="22" customHeight="1">
      <x:c r="A781" s="1" t="str">
        <x:v>Round1</x:v>
      </x:c>
      <x:c r="B781" s="1" t="str">
        <x:v>Math</x:v>
      </x:c>
      <x:c r="C781" s="4" t="n">
        <x:v>96</x:v>
      </x:c>
      <x:c r="D781" s="4" t="n">
        <x:v>0</x:v>
      </x:c>
      <x:c r="E781" s="4" t="n">
        <x:v>60</x:v>
      </x:c>
      <x:c r="F781" s="4" t="n">
        <x:v>3407</x:v>
      </x:c>
      <x:c r="G781" s="5" t="n">
        <x:v>0.9262</x:v>
      </x:c>
      <x:c r="H781" s="5" t="n">
        <x:v>0.9506999999999999</x:v>
      </x:c>
      <x:c r="I781" s="5" t="n">
        <x:v>0.8922</x:v>
      </x:c>
      <x:c r="J781" s="4" t="n">
        <x:v>244</x:v>
      </x:c>
      <x:c r="K781" s="4" t="n">
        <x:v>226</x:v>
      </x:c>
      <x:c r="L781" s="4" t="n">
        <x:v>142</x:v>
      </x:c>
      <x:c r="M781" s="4" t="n">
        <x:v>135</x:v>
      </x:c>
      <x:c r="N781" s="4" t="n">
        <x:v>102</x:v>
      </x:c>
      <x:c r="O781" s="4" t="n">
        <x:v>91</x:v>
      </x:c>
      <x:c r="P781" s="1" t="str">
        <x:v>PASS</x:v>
      </x:c>
      <x:c r="Q781" s="4" t="n">
        <x:v>0</x:v>
      </x:c>
      <x:c r="R781" s="1" t="str">
        <x:v>PASS</x:v>
      </x:c>
      <x:c r="S781" s="4" t="n">
        <x:v>0</x:v>
      </x:c>
      <x:c r="T781" s="1" t="str">
        <x:v>NOT_REVEALING</x:v>
      </x:c>
      <x:c r="U781" s="1" t="str">
        <x:v>Math_96</x:v>
      </x:c>
      <x:c r="V781" s="6" t="n">
        <x:v>60.43</x:v>
      </x:c>
    </x:row>
    <x:row r="782" ht="22" customHeight="1">
      <x:c r="A782" s="1" t="str">
        <x:v>Round1</x:v>
      </x:c>
      <x:c r="B782" s="1" t="str">
        <x:v>Math</x:v>
      </x:c>
      <x:c r="C782" s="4" t="n">
        <x:v>97</x:v>
      </x:c>
      <x:c r="D782" s="4" t="n">
        <x:v>0</x:v>
      </x:c>
      <x:c r="E782" s="4" t="n">
        <x:v>60</x:v>
      </x:c>
      <x:c r="F782" s="4" t="n">
        <x:v>2</x:v>
      </x:c>
      <x:c r="G782" s="5" t="n">
        <x:v>0.0074</x:v>
      </x:c>
      <x:c r="H782" s="5" t="n">
        <x:v>0.011200000000000002</x:v>
      </x:c>
      <x:c r="I782" s="5" t="n">
        <x:v>0</x:v>
      </x:c>
      <x:c r="J782" s="4" t="n">
        <x:v>135</x:v>
      </x:c>
      <x:c r="K782" s="4" t="n">
        <x:v>1</x:v>
      </x:c>
      <x:c r="L782" s="4" t="n">
        <x:v>89</x:v>
      </x:c>
      <x:c r="M782" s="4" t="n">
        <x:v>1</x:v>
      </x:c>
      <x:c r="N782" s="4" t="n">
        <x:v>46</x:v>
      </x:c>
      <x:c r="O782" s="4" t="n">
        <x:v>0</x:v>
      </x:c>
      <x:c r="P782" s="1" t="str">
        <x:v>PASS</x:v>
      </x:c>
      <x:c r="Q782" s="4" t="n">
        <x:v>0</x:v>
      </x:c>
      <x:c r="R782" s="1" t="str">
        <x:v>PASS</x:v>
      </x:c>
      <x:c r="S782" s="4" t="n">
        <x:v>0</x:v>
      </x:c>
      <x:c r="T782" s="1" t="str">
        <x:v>NOT_REVEALING</x:v>
      </x:c>
      <x:c r="U782" s="1" t="str">
        <x:v>Math_97</x:v>
      </x:c>
      <x:c r="V782" s="6" t="n">
        <x:v>31.04</x:v>
      </x:c>
    </x:row>
    <x:row r="783" ht="22" customHeight="1">
      <x:c r="A783" s="1" t="str">
        <x:v>Round1</x:v>
      </x:c>
      <x:c r="B783" s="1" t="str">
        <x:v>Math</x:v>
      </x:c>
      <x:c r="C783" s="4" t="n">
        <x:v>98</x:v>
      </x:c>
      <x:c r="D783" s="4" t="n">
        <x:v>0</x:v>
      </x:c>
      <x:c r="E783" s="4" t="n">
        <x:v>60</x:v>
      </x:c>
      <x:c r="F783" s="4" t="n">
        <x:v>4288</x:v>
      </x:c>
      <x:c r="G783" s="5" t="n">
        <x:v>0.7874</x:v>
      </x:c>
      <x:c r="H783" s="5" t="n">
        <x:v>0.7996</x:v>
      </x:c>
      <x:c r="I783" s="5" t="n">
        <x:v>0.7670999999999999</x:v>
      </x:c>
      <x:c r="J783" s="4" t="n">
        <x:v>1472</x:v>
      </x:c>
      <x:c r="K783" s="4" t="n">
        <x:v>1159</x:v>
      </x:c>
      <x:c r="L783" s="4" t="n">
        <x:v>918</x:v>
      </x:c>
      <x:c r="M783" s="4" t="n">
        <x:v>734</x:v>
      </x:c>
      <x:c r="N783" s="4" t="n">
        <x:v>554</x:v>
      </x:c>
      <x:c r="O783" s="4" t="n">
        <x:v>425</x:v>
      </x:c>
      <x:c r="P783" s="1" t="str">
        <x:v>FAIL</x:v>
      </x:c>
      <x:c r="Q783" s="4" t="n">
        <x:v>450</x:v>
      </x:c>
      <x:c r="R783" s="1" t="str">
        <x:v>FAIL</x:v>
      </x:c>
      <x:c r="S783" s="4" t="n">
        <x:v>564</x:v>
      </x:c>
      <x:c r="T783" s="1" t="str">
        <x:v>INCONCLUSIVE</x:v>
      </x:c>
      <x:c r="U783" s="1" t="str">
        <x:v>Math_98</x:v>
      </x:c>
      <x:c r="V783" s="6" t="n">
        <x:v>75.25</x:v>
      </x:c>
    </x:row>
    <x:row r="784" ht="22" customHeight="1">
      <x:c r="A784" s="1" t="str">
        <x:v>Round1</x:v>
      </x:c>
      <x:c r="B784" s="1" t="str">
        <x:v>Math</x:v>
      </x:c>
      <x:c r="C784" s="4" t="n">
        <x:v>99</x:v>
      </x:c>
      <x:c r="D784" s="4" t="n">
        <x:v>0</x:v>
      </x:c>
      <x:c r="E784" s="4" t="n">
        <x:v>60</x:v>
      </x:c>
      <x:c r="F784" s="4" t="n">
        <x:v>487</x:v>
      </x:c>
      <x:c r="G784" s="5" t="n">
        <x:v>0.7685</x:v>
      </x:c>
      <x:c r="H784" s="5" t="n">
        <x:v>0.7807</x:v>
      </x:c>
      <x:c r="I784" s="5" t="n">
        <x:v>0.7565000000000001</x:v>
      </x:c>
      <x:c r="J784" s="4" t="n">
        <x:v>540</x:v>
      </x:c>
      <x:c r="K784" s="4" t="n">
        <x:v>415</x:v>
      </x:c>
      <x:c r="L784" s="4" t="n">
        <x:v>269</x:v>
      </x:c>
      <x:c r="M784" s="4" t="n">
        <x:v>210</x:v>
      </x:c>
      <x:c r="N784" s="4" t="n">
        <x:v>271</x:v>
      </x:c>
      <x:c r="O784" s="4" t="n">
        <x:v>205</x:v>
      </x:c>
      <x:c r="P784" s="1" t="str">
        <x:v>PASS</x:v>
      </x:c>
      <x:c r="Q784" s="4" t="n">
        <x:v>0</x:v>
      </x:c>
      <x:c r="R784" s="1" t="str">
        <x:v>PASS</x:v>
      </x:c>
      <x:c r="S784" s="4" t="n">
        <x:v>0</x:v>
      </x:c>
      <x:c r="T784" s="1" t="str">
        <x:v>NOT_REVEALING</x:v>
      </x:c>
      <x:c r="U784" s="1" t="str">
        <x:v>Math_99</x:v>
      </x:c>
      <x:c r="V784" s="6" t="n">
        <x:v>514.17</x:v>
      </x:c>
    </x:row>
    <x:row r="785" ht="22" customHeight="1">
      <x:c r="A785" s="1" t="str">
        <x:v>Round1</x:v>
      </x:c>
      <x:c r="B785" s="1" t="str">
        <x:v>Math</x:v>
      </x:c>
      <x:c r="C785" s="4" t="n">
        <x:v>100</x:v>
      </x:c>
      <x:c r="D785" s="4" t="n">
        <x:v>0</x:v>
      </x:c>
      <x:c r="E785" s="4" t="n">
        <x:v>60</x:v>
      </x:c>
      <x:c r="F785" s="4" t="n">
        <x:v>1</x:v>
      </x:c>
      <x:c r="G785" s="5" t="n">
        <x:v>0</x:v>
      </x:c>
      <x:c r="H785" s="5" t="n">
        <x:v>0</x:v>
      </x:c>
      <x:c r="I785" s="5" t="n">
        <x:v>0</x:v>
      </x:c>
      <x:c r="J785" s="4" t="n">
        <x:v>95</x:v>
      </x:c>
      <x:c r="K785" s="4" t="n">
        <x:v>0</x:v>
      </x:c>
      <x:c r="L785" s="4" t="n">
        <x:v>73</x:v>
      </x:c>
      <x:c r="M785" s="4" t="n">
        <x:v>0</x:v>
      </x:c>
      <x:c r="N785" s="4" t="n">
        <x:v>22</x:v>
      </x:c>
      <x:c r="O785" s="4" t="n">
        <x:v>0</x:v>
      </x:c>
      <x:c r="P785" s="1" t="str">
        <x:v>PASS</x:v>
      </x:c>
      <x:c r="Q785" s="4" t="n">
        <x:v>0</x:v>
      </x:c>
      <x:c r="R785" s="1" t="str">
        <x:v>PASS</x:v>
      </x:c>
      <x:c r="S785" s="4" t="n">
        <x:v>0</x:v>
      </x:c>
      <x:c r="T785" s="1" t="str">
        <x:v>NOT_REVEALING</x:v>
      </x:c>
      <x:c r="U785" s="1" t="str">
        <x:v>Math_100</x:v>
      </x:c>
      <x:c r="V785" s="6" t="n">
        <x:v>36.9</x:v>
      </x:c>
    </x:row>
    <x:row r="786" ht="22" customHeight="1">
      <x:c r="A786" s="1" t="str">
        <x:v>Round1</x:v>
      </x:c>
      <x:c r="B786" s="1" t="str">
        <x:v>Math</x:v>
      </x:c>
      <x:c r="C786" s="4" t="n">
        <x:v>101</x:v>
      </x:c>
      <x:c r="D786" s="4" t="n">
        <x:v>0</x:v>
      </x:c>
      <x:c r="E786" s="4" t="n">
        <x:v>60</x:v>
      </x:c>
      <x:c r="F786" s="4" t="n">
        <x:v>4332</x:v>
      </x:c>
      <x:c r="G786" s="5" t="n">
        <x:v>0.7077</x:v>
      </x:c>
      <x:c r="H786" s="5" t="n">
        <x:v>0.7413</x:v>
      </x:c>
      <x:c r="I786" s="5" t="n">
        <x:v>0.6154</x:v>
      </x:c>
      <x:c r="J786" s="4" t="n">
        <x:v>195</x:v>
      </x:c>
      <x:c r="K786" s="4" t="n">
        <x:v>138</x:v>
      </x:c>
      <x:c r="L786" s="4" t="n">
        <x:v>143</x:v>
      </x:c>
      <x:c r="M786" s="4" t="n">
        <x:v>106</x:v>
      </x:c>
      <x:c r="N786" s="4" t="n">
        <x:v>52</x:v>
      </x:c>
      <x:c r="O786" s="4" t="n">
        <x:v>32</x:v>
      </x:c>
      <x:c r="P786" s="1" t="str">
        <x:v>PASS</x:v>
      </x:c>
      <x:c r="Q786" s="4" t="n">
        <x:v>0</x:v>
      </x:c>
      <x:c r="R786" s="1" t="str">
        <x:v>PASS</x:v>
      </x:c>
      <x:c r="S786" s="4" t="n">
        <x:v>0</x:v>
      </x:c>
      <x:c r="T786" s="1" t="str">
        <x:v>NOT_REVEALING</x:v>
      </x:c>
      <x:c r="U786" s="1" t="str">
        <x:v>Math_101</x:v>
      </x:c>
      <x:c r="V786" s="6" t="n">
        <x:v>76.44</x:v>
      </x:c>
    </x:row>
    <x:row r="787" ht="22" customHeight="1">
      <x:c r="A787" s="1" t="str">
        <x:v>Round1</x:v>
      </x:c>
      <x:c r="B787" s="1" t="str">
        <x:v>Math</x:v>
      </x:c>
      <x:c r="C787" s="4" t="n">
        <x:v>102</x:v>
      </x:c>
      <x:c r="D787" s="4" t="n">
        <x:v>0</x:v>
      </x:c>
      <x:c r="E787" s="4" t="n">
        <x:v>60</x:v>
      </x:c>
      <x:c r="F787" s="4" t="n">
        <x:v>4531</x:v>
      </x:c>
      <x:c r="G787" s="5" t="n">
        <x:v>0.9188</x:v>
      </x:c>
      <x:c r="H787" s="5" t="n">
        <x:v>0.9459000000000001</x:v>
      </x:c>
      <x:c r="I787" s="5" t="n">
        <x:v>0.8837</x:v>
      </x:c>
      <x:c r="J787" s="4" t="n">
        <x:v>197</x:v>
      </x:c>
      <x:c r="K787" s="4" t="n">
        <x:v>181</x:v>
      </x:c>
      <x:c r="L787" s="4" t="n">
        <x:v>111</x:v>
      </x:c>
      <x:c r="M787" s="4" t="n">
        <x:v>105</x:v>
      </x:c>
      <x:c r="N787" s="4" t="n">
        <x:v>86</x:v>
      </x:c>
      <x:c r="O787" s="4" t="n">
        <x:v>76</x:v>
      </x:c>
      <x:c r="P787" s="1" t="str">
        <x:v>PASS</x:v>
      </x:c>
      <x:c r="Q787" s="4" t="n">
        <x:v>0</x:v>
      </x:c>
      <x:c r="R787" s="1" t="str">
        <x:v>FAIL</x:v>
      </x:c>
      <x:c r="S787" s="4" t="n">
        <x:v>1804</x:v>
      </x:c>
      <x:c r="T787" s="1" t="str">
        <x:v>INCONCLUSIVE</x:v>
      </x:c>
      <x:c r="U787" s="1" t="str">
        <x:v>Math_102</x:v>
      </x:c>
      <x:c r="V787" s="6" t="n">
        <x:v>80.44</x:v>
      </x:c>
    </x:row>
    <x:row r="788" ht="22" customHeight="1">
      <x:c r="A788" s="1" t="str">
        <x:v>Round1</x:v>
      </x:c>
      <x:c r="B788" s="1" t="str">
        <x:v>Math</x:v>
      </x:c>
      <x:c r="C788" s="4" t="n">
        <x:v>103</x:v>
      </x:c>
      <x:c r="D788" s="4" t="n">
        <x:v>0</x:v>
      </x:c>
      <x:c r="E788" s="4" t="n">
        <x:v>60</x:v>
      </x:c>
      <x:c r="F788" s="4" t="n">
        <x:v>3264</x:v>
      </x:c>
      <x:c r="G788" s="5" t="n">
        <x:v>1</x:v>
      </x:c>
      <x:c r="H788" s="5" t="n">
        <x:v>1</x:v>
      </x:c>
      <x:c r="I788" s="5" t="n">
        <x:v>1</x:v>
      </x:c>
      <x:c r="J788" s="4" t="n">
        <x:v>51</x:v>
      </x:c>
      <x:c r="K788" s="4" t="n">
        <x:v>51</x:v>
      </x:c>
      <x:c r="L788" s="4" t="n">
        <x:v>37</x:v>
      </x:c>
      <x:c r="M788" s="4" t="n">
        <x:v>37</x:v>
      </x:c>
      <x:c r="N788" s="4" t="n">
        <x:v>14</x:v>
      </x:c>
      <x:c r="O788" s="4" t="n">
        <x:v>14</x:v>
      </x:c>
      <x:c r="P788" s="1" t="str">
        <x:v>PASS</x:v>
      </x:c>
      <x:c r="Q788" s="4" t="n">
        <x:v>0</x:v>
      </x:c>
      <x:c r="R788" s="1" t="str">
        <x:v>FAIL</x:v>
      </x:c>
      <x:c r="S788" s="4" t="n">
        <x:v>342</x:v>
      </x:c>
      <x:c r="T788" s="1" t="str">
        <x:v>INCONCLUSIVE</x:v>
      </x:c>
      <x:c r="U788" s="1" t="str">
        <x:v>Math_103</x:v>
      </x:c>
      <x:c r="V788" s="6" t="n">
        <x:v>401.34</x:v>
      </x:c>
    </x:row>
    <x:row r="789" ht="22" customHeight="1">
      <x:c r="A789" s="1" t="str">
        <x:v>Round1</x:v>
      </x:c>
      <x:c r="B789" s="1" t="str">
        <x:v>Math</x:v>
      </x:c>
      <x:c r="C789" s="4" t="n">
        <x:v>104</x:v>
      </x:c>
      <x:c r="D789" s="4" t="n">
        <x:v>0</x:v>
      </x:c>
      <x:c r="E789" s="4" t="n">
        <x:v>60</x:v>
      </x:c>
      <x:c r="F789" s="4" t="n">
        <x:v>6618</x:v>
      </x:c>
      <x:c r="G789" s="5" t="n">
        <x:v>0.977</x:v>
      </x:c>
      <x:c r="H789" s="5" t="n">
        <x:v>0.9573999999999999</x:v>
      </x:c>
      <x:c r="I789" s="5" t="n">
        <x:v>1</x:v>
      </x:c>
      <x:c r="J789" s="4" t="n">
        <x:v>87</x:v>
      </x:c>
      <x:c r="K789" s="4" t="n">
        <x:v>85</x:v>
      </x:c>
      <x:c r="L789" s="4" t="n">
        <x:v>47</x:v>
      </x:c>
      <x:c r="M789" s="4" t="n">
        <x:v>45</x:v>
      </x:c>
      <x:c r="N789" s="4" t="n">
        <x:v>40</x:v>
      </x:c>
      <x:c r="O789" s="4" t="n">
        <x:v>40</x:v>
      </x:c>
      <x:c r="P789" s="1" t="str">
        <x:v>PASS</x:v>
      </x:c>
      <x:c r="Q789" s="4" t="n">
        <x:v>0</x:v>
      </x:c>
      <x:c r="R789" s="1" t="str">
        <x:v>FAIL</x:v>
      </x:c>
      <x:c r="S789" s="4" t="n">
        <x:v>2244</x:v>
      </x:c>
      <x:c r="T789" s="1" t="str">
        <x:v>INCONCLUSIVE</x:v>
      </x:c>
      <x:c r="U789" s="1" t="str">
        <x:v>Math_104</x:v>
      </x:c>
      <x:c r="V789" s="6" t="n">
        <x:v>409.93</x:v>
      </x:c>
    </x:row>
    <x:row r="790" ht="22" customHeight="1">
      <x:c r="A790" s="1" t="str">
        <x:v>Round1</x:v>
      </x:c>
      <x:c r="B790" s="1" t="str">
        <x:v>Math</x:v>
      </x:c>
      <x:c r="C790" s="4" t="n">
        <x:v>105</x:v>
      </x:c>
      <x:c r="D790" s="4" t="n">
        <x:v>0</x:v>
      </x:c>
      <x:c r="E790" s="4" t="n">
        <x:v>60</x:v>
      </x:c>
      <x:c r="F790" s="4" t="n">
        <x:v>54</x:v>
      </x:c>
      <x:c r="G790" s="5" t="n">
        <x:v>0.9438</x:v>
      </x:c>
      <x:c r="H790" s="5" t="n">
        <x:v>0.9577</x:v>
      </x:c>
      <x:c r="I790" s="5" t="n">
        <x:v>0.8889</x:v>
      </x:c>
      <x:c r="J790" s="4" t="n">
        <x:v>89</x:v>
      </x:c>
      <x:c r="K790" s="4" t="n">
        <x:v>84</x:v>
      </x:c>
      <x:c r="L790" s="4" t="n">
        <x:v>71</x:v>
      </x:c>
      <x:c r="M790" s="4" t="n">
        <x:v>68</x:v>
      </x:c>
      <x:c r="N790" s="4" t="n">
        <x:v>18</x:v>
      </x:c>
      <x:c r="O790" s="4" t="n">
        <x:v>16</x:v>
      </x:c>
      <x:c r="P790" s="1" t="str">
        <x:v>PASS</x:v>
      </x:c>
      <x:c r="Q790" s="4" t="n">
        <x:v>0</x:v>
      </x:c>
      <x:c r="R790" s="1" t="str">
        <x:v>PASS</x:v>
      </x:c>
      <x:c r="S790" s="4" t="n">
        <x:v>0</x:v>
      </x:c>
      <x:c r="T790" s="1" t="str">
        <x:v>NOT_REVEALING</x:v>
      </x:c>
      <x:c r="U790" s="1" t="str">
        <x:v>Math_105</x:v>
      </x:c>
      <x:c r="V790" s="6" t="n">
        <x:v>40.42</x:v>
      </x:c>
    </x:row>
    <x:row r="791" ht="22" customHeight="1">
      <x:c r="A791" s="1" t="str">
        <x:v>Round1</x:v>
      </x:c>
      <x:c r="B791" s="1" t="str">
        <x:v>Math</x:v>
      </x:c>
      <x:c r="C791" s="4" t="n">
        <x:v>106</x:v>
      </x:c>
      <x:c r="D791" s="4" t="n">
        <x:v>0</x:v>
      </x:c>
      <x:c r="E791" s="4" t="n">
        <x:v>60</x:v>
      </x:c>
      <x:c r="F791" s="4" t="n">
        <x:v>3449</x:v>
      </x:c>
      <x:c r="G791" s="5" t="n">
        <x:v>0.8332999999999999</x:v>
      </x:c>
      <x:c r="H791" s="5" t="n">
        <x:v>0.8595999999999999</x:v>
      </x:c>
      <x:c r="I791" s="5" t="n">
        <x:v>0.7333</x:v>
      </x:c>
      <x:c r="J791" s="4" t="n">
        <x:v>72</x:v>
      </x:c>
      <x:c r="K791" s="4" t="n">
        <x:v>60</x:v>
      </x:c>
      <x:c r="L791" s="4" t="n">
        <x:v>57</x:v>
      </x:c>
      <x:c r="M791" s="4" t="n">
        <x:v>49</x:v>
      </x:c>
      <x:c r="N791" s="4" t="n">
        <x:v>15</x:v>
      </x:c>
      <x:c r="O791" s="4" t="n">
        <x:v>11</x:v>
      </x:c>
      <x:c r="P791" s="1" t="str">
        <x:v>PASS</x:v>
      </x:c>
      <x:c r="Q791" s="4" t="n">
        <x:v>0</x:v>
      </x:c>
      <x:c r="R791" s="1" t="str">
        <x:v>PASS</x:v>
      </x:c>
      <x:c r="S791" s="4" t="n">
        <x:v>0</x:v>
      </x:c>
      <x:c r="T791" s="1" t="str">
        <x:v>NOT_REVEALING</x:v>
      </x:c>
      <x:c r="U791" s="1" t="str">
        <x:v>Math_106</x:v>
      </x:c>
      <x:c r="V791" s="6" t="n">
        <x:v>74.57</x:v>
      </x:c>
    </x:row>
    <x:row r="792" ht="22" customHeight="1">
      <x:c r="A792" s="1" t="str">
        <x:v>Round1</x:v>
      </x:c>
      <x:c r="B792" s="1" t="str">
        <x:v>Mockito</x:v>
      </x:c>
      <x:c r="C792" s="4" t="n">
        <x:v>1</x:v>
      </x:c>
      <x:c r="D792" s="4" t="n">
        <x:v>0</x:v>
      </x:c>
      <x:c r="E792" s="4" t="n">
        <x:v>60</x:v>
      </x:c>
      <x:c r="F792" s="4" t="n">
        <x:v>55</x:v>
      </x:c>
      <x:c r="G792" s="5"/>
      <x:c r="H792" s="5"/>
      <x:c r="I792" s="5"/>
      <x:c r="J792" s="4" t="n">
        <x:v>0</x:v>
      </x:c>
      <x:c r="K792" s="4" t="n">
        <x:v>0</x:v>
      </x:c>
      <x:c r="L792" s="4" t="n">
        <x:v>0</x:v>
      </x:c>
      <x:c r="M792" s="4" t="n">
        <x:v>0</x:v>
      </x:c>
      <x:c r="N792" s="4" t="n">
        <x:v>0</x:v>
      </x:c>
      <x:c r="O792" s="4" t="n">
        <x:v>0</x:v>
      </x:c>
      <x:c r="P792" s="1" t="str">
        <x:v>NOT_RUN</x:v>
      </x:c>
      <x:c r="Q792" s="4"/>
      <x:c r="R792" s="1" t="str">
        <x:v>NOT_RUN</x:v>
      </x:c>
      <x:c r="S792" s="4"/>
      <x:c r="T792" s="1" t="str">
        <x:v>NOT_AVAILABLE</x:v>
      </x:c>
      <x:c r="U792" s="1" t="str">
        <x:v>Mockito_1</x:v>
      </x:c>
      <x:c r="V792" s="6" t="n">
        <x:v>42.14</x:v>
      </x:c>
    </x:row>
    <x:row r="793" ht="22" customHeight="1">
      <x:c r="A793" s="1" t="str">
        <x:v>Round1</x:v>
      </x:c>
      <x:c r="B793" s="1" t="str">
        <x:v>Mockito</x:v>
      </x:c>
      <x:c r="C793" s="4" t="n">
        <x:v>2</x:v>
      </x:c>
      <x:c r="D793" s="4" t="n">
        <x:v>0</x:v>
      </x:c>
      <x:c r="E793" s="4" t="n">
        <x:v>60</x:v>
      </x:c>
      <x:c r="F793" s="4" t="n">
        <x:v>55</x:v>
      </x:c>
      <x:c r="G793" s="5"/>
      <x:c r="H793" s="5"/>
      <x:c r="I793" s="5"/>
      <x:c r="J793" s="4" t="n">
        <x:v>0</x:v>
      </x:c>
      <x:c r="K793" s="4" t="n">
        <x:v>0</x:v>
      </x:c>
      <x:c r="L793" s="4" t="n">
        <x:v>0</x:v>
      </x:c>
      <x:c r="M793" s="4" t="n">
        <x:v>0</x:v>
      </x:c>
      <x:c r="N793" s="4" t="n">
        <x:v>0</x:v>
      </x:c>
      <x:c r="O793" s="4" t="n">
        <x:v>0</x:v>
      </x:c>
      <x:c r="P793" s="1" t="str">
        <x:v>NOT_RUN</x:v>
      </x:c>
      <x:c r="Q793" s="4"/>
      <x:c r="R793" s="1" t="str">
        <x:v>NOT_RUN</x:v>
      </x:c>
      <x:c r="S793" s="4"/>
      <x:c r="T793" s="1" t="str">
        <x:v>NOT_AVAILABLE</x:v>
      </x:c>
      <x:c r="U793" s="1" t="str">
        <x:v>Mockito_2</x:v>
      </x:c>
      <x:c r="V793" s="6" t="n">
        <x:v>49.75</x:v>
      </x:c>
    </x:row>
    <x:row r="794" ht="22" customHeight="1">
      <x:c r="A794" s="1" t="str">
        <x:v>Round1</x:v>
      </x:c>
      <x:c r="B794" s="1" t="str">
        <x:v>Mockito</x:v>
      </x:c>
      <x:c r="C794" s="4" t="n">
        <x:v>3</x:v>
      </x:c>
      <x:c r="D794" s="4" t="n">
        <x:v>0</x:v>
      </x:c>
      <x:c r="E794" s="4" t="n">
        <x:v>60</x:v>
      </x:c>
      <x:c r="F794" s="4" t="n">
        <x:v>51</x:v>
      </x:c>
      <x:c r="G794" s="5"/>
      <x:c r="H794" s="5"/>
      <x:c r="I794" s="5"/>
      <x:c r="J794" s="4" t="n">
        <x:v>0</x:v>
      </x:c>
      <x:c r="K794" s="4" t="n">
        <x:v>0</x:v>
      </x:c>
      <x:c r="L794" s="4" t="n">
        <x:v>0</x:v>
      </x:c>
      <x:c r="M794" s="4" t="n">
        <x:v>0</x:v>
      </x:c>
      <x:c r="N794" s="4" t="n">
        <x:v>0</x:v>
      </x:c>
      <x:c r="O794" s="4" t="n">
        <x:v>0</x:v>
      </x:c>
      <x:c r="P794" s="1" t="str">
        <x:v>NOT_RUN</x:v>
      </x:c>
      <x:c r="Q794" s="4"/>
      <x:c r="R794" s="1" t="str">
        <x:v>NOT_RUN</x:v>
      </x:c>
      <x:c r="S794" s="4"/>
      <x:c r="T794" s="1" t="str">
        <x:v>NOT_AVAILABLE</x:v>
      </x:c>
      <x:c r="U794" s="1" t="str">
        <x:v>Mockito_3</x:v>
      </x:c>
      <x:c r="V794" s="6" t="n">
        <x:v>45.44</x:v>
      </x:c>
    </x:row>
    <x:row r="795" ht="22" customHeight="1">
      <x:c r="A795" s="1" t="str">
        <x:v>Round1</x:v>
      </x:c>
      <x:c r="B795" s="1" t="str">
        <x:v>Mockito</x:v>
      </x:c>
      <x:c r="C795" s="4" t="n">
        <x:v>4</x:v>
      </x:c>
      <x:c r="D795" s="4" t="n">
        <x:v>0</x:v>
      </x:c>
      <x:c r="E795" s="4" t="n">
        <x:v>60</x:v>
      </x:c>
      <x:c r="F795" s="4" t="n">
        <x:v>114</x:v>
      </x:c>
      <x:c r="G795" s="5"/>
      <x:c r="H795" s="5"/>
      <x:c r="I795" s="5"/>
      <x:c r="J795" s="4" t="n">
        <x:v>0</x:v>
      </x:c>
      <x:c r="K795" s="4" t="n">
        <x:v>0</x:v>
      </x:c>
      <x:c r="L795" s="4" t="n">
        <x:v>0</x:v>
      </x:c>
      <x:c r="M795" s="4" t="n">
        <x:v>0</x:v>
      </x:c>
      <x:c r="N795" s="4" t="n">
        <x:v>0</x:v>
      </x:c>
      <x:c r="O795" s="4" t="n">
        <x:v>0</x:v>
      </x:c>
      <x:c r="P795" s="1" t="str">
        <x:v>NOT_RUN</x:v>
      </x:c>
      <x:c r="Q795" s="4"/>
      <x:c r="R795" s="1" t="str">
        <x:v>NOT_RUN</x:v>
      </x:c>
      <x:c r="S795" s="4"/>
      <x:c r="T795" s="1" t="str">
        <x:v>NOT_AVAILABLE</x:v>
      </x:c>
      <x:c r="U795" s="1" t="str">
        <x:v>Mockito_4</x:v>
      </x:c>
      <x:c r="V795" s="6" t="n">
        <x:v>46.3</x:v>
      </x:c>
    </x:row>
    <x:row r="796" ht="22" customHeight="1">
      <x:c r="A796" s="1" t="str">
        <x:v>Round1</x:v>
      </x:c>
      <x:c r="B796" s="1" t="str">
        <x:v>Mockito</x:v>
      </x:c>
      <x:c r="C796" s="4" t="n">
        <x:v>5</x:v>
      </x:c>
      <x:c r="D796" s="4" t="n">
        <x:v>0</x:v>
      </x:c>
      <x:c r="E796" s="4" t="n">
        <x:v>60</x:v>
      </x:c>
      <x:c r="F796" s="4" t="n">
        <x:v>39</x:v>
      </x:c>
      <x:c r="G796" s="5"/>
      <x:c r="H796" s="5"/>
      <x:c r="I796" s="5"/>
      <x:c r="J796" s="4" t="n">
        <x:v>0</x:v>
      </x:c>
      <x:c r="K796" s="4" t="n">
        <x:v>0</x:v>
      </x:c>
      <x:c r="L796" s="4" t="n">
        <x:v>0</x:v>
      </x:c>
      <x:c r="M796" s="4" t="n">
        <x:v>0</x:v>
      </x:c>
      <x:c r="N796" s="4" t="n">
        <x:v>0</x:v>
      </x:c>
      <x:c r="O796" s="4" t="n">
        <x:v>0</x:v>
      </x:c>
      <x:c r="P796" s="1" t="str">
        <x:v>NOT_RUN</x:v>
      </x:c>
      <x:c r="Q796" s="4"/>
      <x:c r="R796" s="1" t="str">
        <x:v>NOT_RUN</x:v>
      </x:c>
      <x:c r="S796" s="4"/>
      <x:c r="T796" s="1" t="str">
        <x:v>NOT_AVAILABLE</x:v>
      </x:c>
      <x:c r="U796" s="1" t="str">
        <x:v>Mockito_5</x:v>
      </x:c>
      <x:c r="V796" s="6" t="n">
        <x:v>45.2</x:v>
      </x:c>
    </x:row>
    <x:row r="797" ht="22" customHeight="1">
      <x:c r="A797" s="1" t="str">
        <x:v>Round1</x:v>
      </x:c>
      <x:c r="B797" s="1" t="str">
        <x:v>Mockito</x:v>
      </x:c>
      <x:c r="C797" s="4" t="n">
        <x:v>6</x:v>
      </x:c>
      <x:c r="D797" s="4" t="n">
        <x:v>0</x:v>
      </x:c>
      <x:c r="E797" s="4" t="n">
        <x:v>60</x:v>
      </x:c>
      <x:c r="F797" s="4" t="n">
        <x:v>190</x:v>
      </x:c>
      <x:c r="G797" s="5"/>
      <x:c r="H797" s="5"/>
      <x:c r="I797" s="5"/>
      <x:c r="J797" s="4" t="n">
        <x:v>0</x:v>
      </x:c>
      <x:c r="K797" s="4" t="n">
        <x:v>0</x:v>
      </x:c>
      <x:c r="L797" s="4" t="n">
        <x:v>0</x:v>
      </x:c>
      <x:c r="M797" s="4" t="n">
        <x:v>0</x:v>
      </x:c>
      <x:c r="N797" s="4" t="n">
        <x:v>0</x:v>
      </x:c>
      <x:c r="O797" s="4" t="n">
        <x:v>0</x:v>
      </x:c>
      <x:c r="P797" s="1" t="str">
        <x:v>NOT_RUN</x:v>
      </x:c>
      <x:c r="Q797" s="4"/>
      <x:c r="R797" s="1" t="str">
        <x:v>NOT_RUN</x:v>
      </x:c>
      <x:c r="S797" s="4"/>
      <x:c r="T797" s="1" t="str">
        <x:v>NOT_AVAILABLE</x:v>
      </x:c>
      <x:c r="U797" s="1" t="str">
        <x:v>Mockito_6</x:v>
      </x:c>
      <x:c r="V797" s="6" t="n">
        <x:v>43.06</x:v>
      </x:c>
    </x:row>
    <x:row r="798" ht="22" customHeight="1">
      <x:c r="A798" s="1" t="str">
        <x:v>Round1</x:v>
      </x:c>
      <x:c r="B798" s="1" t="str">
        <x:v>Mockito</x:v>
      </x:c>
      <x:c r="C798" s="4" t="n">
        <x:v>7</x:v>
      </x:c>
      <x:c r="D798" s="4" t="n">
        <x:v>0</x:v>
      </x:c>
      <x:c r="E798" s="4" t="n">
        <x:v>60</x:v>
      </x:c>
      <x:c r="F798" s="4" t="n">
        <x:v>42</x:v>
      </x:c>
      <x:c r="G798" s="5"/>
      <x:c r="H798" s="5"/>
      <x:c r="I798" s="5"/>
      <x:c r="J798" s="4" t="n">
        <x:v>0</x:v>
      </x:c>
      <x:c r="K798" s="4" t="n">
        <x:v>0</x:v>
      </x:c>
      <x:c r="L798" s="4" t="n">
        <x:v>0</x:v>
      </x:c>
      <x:c r="M798" s="4" t="n">
        <x:v>0</x:v>
      </x:c>
      <x:c r="N798" s="4" t="n">
        <x:v>0</x:v>
      </x:c>
      <x:c r="O798" s="4" t="n">
        <x:v>0</x:v>
      </x:c>
      <x:c r="P798" s="1" t="str">
        <x:v>NOT_RUN</x:v>
      </x:c>
      <x:c r="Q798" s="4"/>
      <x:c r="R798" s="1" t="str">
        <x:v>NOT_RUN</x:v>
      </x:c>
      <x:c r="S798" s="4"/>
      <x:c r="T798" s="1" t="str">
        <x:v>NOT_AVAILABLE</x:v>
      </x:c>
      <x:c r="U798" s="1" t="str">
        <x:v>Mockito_7</x:v>
      </x:c>
      <x:c r="V798" s="6" t="n">
        <x:v>43.83</x:v>
      </x:c>
    </x:row>
    <x:row r="799" ht="22" customHeight="1">
      <x:c r="A799" s="1" t="str">
        <x:v>Round1</x:v>
      </x:c>
      <x:c r="B799" s="1" t="str">
        <x:v>Mockito</x:v>
      </x:c>
      <x:c r="C799" s="4" t="n">
        <x:v>8</x:v>
      </x:c>
      <x:c r="D799" s="4" t="n">
        <x:v>0</x:v>
      </x:c>
      <x:c r="E799" s="4" t="n">
        <x:v>60</x:v>
      </x:c>
      <x:c r="F799" s="4" t="n">
        <x:v>37</x:v>
      </x:c>
      <x:c r="G799" s="5"/>
      <x:c r="H799" s="5"/>
      <x:c r="I799" s="5"/>
      <x:c r="J799" s="4" t="n">
        <x:v>0</x:v>
      </x:c>
      <x:c r="K799" s="4" t="n">
        <x:v>0</x:v>
      </x:c>
      <x:c r="L799" s="4" t="n">
        <x:v>0</x:v>
      </x:c>
      <x:c r="M799" s="4" t="n">
        <x:v>0</x:v>
      </x:c>
      <x:c r="N799" s="4" t="n">
        <x:v>0</x:v>
      </x:c>
      <x:c r="O799" s="4" t="n">
        <x:v>0</x:v>
      </x:c>
      <x:c r="P799" s="1" t="str">
        <x:v>NOT_RUN</x:v>
      </x:c>
      <x:c r="Q799" s="4"/>
      <x:c r="R799" s="1" t="str">
        <x:v>NOT_RUN</x:v>
      </x:c>
      <x:c r="S799" s="4"/>
      <x:c r="T799" s="1" t="str">
        <x:v>NOT_AVAILABLE</x:v>
      </x:c>
      <x:c r="U799" s="1" t="str">
        <x:v>Mockito_8</x:v>
      </x:c>
      <x:c r="V799" s="6" t="n">
        <x:v>41.9</x:v>
      </x:c>
    </x:row>
    <x:row r="800" ht="22" customHeight="1">
      <x:c r="A800" s="1" t="str">
        <x:v>Round1</x:v>
      </x:c>
      <x:c r="B800" s="1" t="str">
        <x:v>Mockito</x:v>
      </x:c>
      <x:c r="C800" s="4" t="n">
        <x:v>9</x:v>
      </x:c>
      <x:c r="D800" s="4" t="n">
        <x:v>0</x:v>
      </x:c>
      <x:c r="E800" s="4" t="n">
        <x:v>60</x:v>
      </x:c>
      <x:c r="F800" s="4" t="n">
        <x:v>3</x:v>
      </x:c>
      <x:c r="G800" s="5"/>
      <x:c r="H800" s="5"/>
      <x:c r="I800" s="5"/>
      <x:c r="J800" s="4" t="n">
        <x:v>0</x:v>
      </x:c>
      <x:c r="K800" s="4" t="n">
        <x:v>0</x:v>
      </x:c>
      <x:c r="L800" s="4" t="n">
        <x:v>0</x:v>
      </x:c>
      <x:c r="M800" s="4" t="n">
        <x:v>0</x:v>
      </x:c>
      <x:c r="N800" s="4" t="n">
        <x:v>0</x:v>
      </x:c>
      <x:c r="O800" s="4" t="n">
        <x:v>0</x:v>
      </x:c>
      <x:c r="P800" s="1" t="str">
        <x:v>NOT_RUN</x:v>
      </x:c>
      <x:c r="Q800" s="4"/>
      <x:c r="R800" s="1" t="str">
        <x:v>NOT_RUN</x:v>
      </x:c>
      <x:c r="S800" s="4"/>
      <x:c r="T800" s="1" t="str">
        <x:v>NOT_AVAILABLE</x:v>
      </x:c>
      <x:c r="U800" s="1" t="str">
        <x:v>Mockito_9</x:v>
      </x:c>
      <x:c r="V800" s="6" t="n">
        <x:v>41.33</x:v>
      </x:c>
    </x:row>
    <x:row r="801" ht="22" customHeight="1">
      <x:c r="A801" s="1" t="str">
        <x:v>Round1</x:v>
      </x:c>
      <x:c r="B801" s="1" t="str">
        <x:v>Mockito</x:v>
      </x:c>
      <x:c r="C801" s="4" t="n">
        <x:v>10</x:v>
      </x:c>
      <x:c r="D801" s="4" t="n">
        <x:v>0</x:v>
      </x:c>
      <x:c r="E801" s="4" t="n">
        <x:v>60</x:v>
      </x:c>
      <x:c r="F801" s="4" t="n">
        <x:v>38</x:v>
      </x:c>
      <x:c r="G801" s="5" t="n">
        <x:v>0.08</x:v>
      </x:c>
      <x:c r="H801" s="5" t="n">
        <x:v>0.09519999999999999</x:v>
      </x:c>
      <x:c r="I801" s="5" t="n">
        <x:v>0</x:v>
      </x:c>
      <x:c r="J801" s="4" t="n">
        <x:v>50</x:v>
      </x:c>
      <x:c r="K801" s="4" t="n">
        <x:v>4</x:v>
      </x:c>
      <x:c r="L801" s="4" t="n">
        <x:v>42</x:v>
      </x:c>
      <x:c r="M801" s="4" t="n">
        <x:v>4</x:v>
      </x:c>
      <x:c r="N801" s="4" t="n">
        <x:v>8</x:v>
      </x:c>
      <x:c r="O801" s="4" t="n">
        <x:v>0</x:v>
      </x:c>
      <x:c r="P801" s="1" t="str">
        <x:v>PASS</x:v>
      </x:c>
      <x:c r="Q801" s="4" t="n">
        <x:v>0</x:v>
      </x:c>
      <x:c r="R801" s="1" t="str">
        <x:v>PASS</x:v>
      </x:c>
      <x:c r="S801" s="4" t="n">
        <x:v>0</x:v>
      </x:c>
      <x:c r="T801" s="1" t="str">
        <x:v>NOT_REVEALING</x:v>
      </x:c>
      <x:c r="U801" s="1" t="str">
        <x:v>Mockito_10</x:v>
      </x:c>
      <x:c r="V801" s="6" t="n">
        <x:v>205.53</x:v>
      </x:c>
    </x:row>
    <x:row r="802" ht="22" customHeight="1">
      <x:c r="A802" s="1" t="str">
        <x:v>Round1</x:v>
      </x:c>
      <x:c r="B802" s="1" t="str">
        <x:v>Mockito</x:v>
      </x:c>
      <x:c r="C802" s="4" t="n">
        <x:v>11</x:v>
      </x:c>
      <x:c r="D802" s="4" t="n">
        <x:v>0</x:v>
      </x:c>
      <x:c r="E802" s="4" t="n">
        <x:v>60</x:v>
      </x:c>
      <x:c r="F802" s="4" t="n">
        <x:v>1</x:v>
      </x:c>
      <x:c r="G802" s="5" t="n">
        <x:v>0</x:v>
      </x:c>
      <x:c r="H802" s="5" t="n">
        <x:v>0</x:v>
      </x:c>
      <x:c r="I802" s="5" t="n">
        <x:v>0</x:v>
      </x:c>
      <x:c r="J802" s="4" t="n">
        <x:v>20</x:v>
      </x:c>
      <x:c r="K802" s="4" t="n">
        <x:v>0</x:v>
      </x:c>
      <x:c r="L802" s="4" t="n">
        <x:v>14</x:v>
      </x:c>
      <x:c r="M802" s="4" t="n">
        <x:v>0</x:v>
      </x:c>
      <x:c r="N802" s="4" t="n">
        <x:v>6</x:v>
      </x:c>
      <x:c r="O802" s="4" t="n">
        <x:v>0</x:v>
      </x:c>
      <x:c r="P802" s="1" t="str">
        <x:v>PASS</x:v>
      </x:c>
      <x:c r="Q802" s="4" t="n">
        <x:v>0</x:v>
      </x:c>
      <x:c r="R802" s="1" t="str">
        <x:v>PASS</x:v>
      </x:c>
      <x:c r="S802" s="4" t="n">
        <x:v>0</x:v>
      </x:c>
      <x:c r="T802" s="1" t="str">
        <x:v>NOT_REVEALING</x:v>
      </x:c>
      <x:c r="U802" s="1" t="str">
        <x:v>Mockito_11</x:v>
      </x:c>
      <x:c r="V802" s="6" t="n">
        <x:v>195.88</x:v>
      </x:c>
    </x:row>
    <x:row r="803" ht="22" customHeight="1">
      <x:c r="A803" s="1" t="str">
        <x:v>Round1</x:v>
      </x:c>
      <x:c r="B803" s="1" t="str">
        <x:v>Mockito</x:v>
      </x:c>
      <x:c r="C803" s="4" t="n">
        <x:v>12</x:v>
      </x:c>
      <x:c r="D803" s="4" t="n">
        <x:v>0</x:v>
      </x:c>
      <x:c r="E803" s="4" t="n">
        <x:v>60</x:v>
      </x:c>
      <x:c r="F803" s="4" t="n">
        <x:v>3</x:v>
      </x:c>
      <x:c r="G803" s="5" t="n">
        <x:v>0.2</x:v>
      </x:c>
      <x:c r="H803" s="5" t="n">
        <x:v>0.3333</x:v>
      </x:c>
      <x:c r="I803" s="5" t="n">
        <x:v>0</x:v>
      </x:c>
      <x:c r="J803" s="4" t="n">
        <x:v>10</x:v>
      </x:c>
      <x:c r="K803" s="4" t="n">
        <x:v>2</x:v>
      </x:c>
      <x:c r="L803" s="4" t="n">
        <x:v>6</x:v>
      </x:c>
      <x:c r="M803" s="4" t="n">
        <x:v>2</x:v>
      </x:c>
      <x:c r="N803" s="4" t="n">
        <x:v>4</x:v>
      </x:c>
      <x:c r="O803" s="4" t="n">
        <x:v>0</x:v>
      </x:c>
      <x:c r="P803" s="1" t="str">
        <x:v>PASS</x:v>
      </x:c>
      <x:c r="Q803" s="4" t="n">
        <x:v>0</x:v>
      </x:c>
      <x:c r="R803" s="1" t="str">
        <x:v>PASS</x:v>
      </x:c>
      <x:c r="S803" s="4" t="n">
        <x:v>0</x:v>
      </x:c>
      <x:c r="T803" s="1" t="str">
        <x:v>NOT_REVEALING</x:v>
      </x:c>
      <x:c r="U803" s="1" t="str">
        <x:v>Mockito_12</x:v>
      </x:c>
      <x:c r="V803" s="6" t="n">
        <x:v>44.34</x:v>
      </x:c>
    </x:row>
    <x:row r="804" ht="22" customHeight="1">
      <x:c r="A804" s="1" t="str">
        <x:v>Round1</x:v>
      </x:c>
      <x:c r="B804" s="1" t="str">
        <x:v>Mockito</x:v>
      </x:c>
      <x:c r="C804" s="4" t="n">
        <x:v>13</x:v>
      </x:c>
      <x:c r="D804" s="4" t="n">
        <x:v>0</x:v>
      </x:c>
      <x:c r="E804" s="4" t="n">
        <x:v>60</x:v>
      </x:c>
      <x:c r="F804" s="4" t="n">
        <x:v>43</x:v>
      </x:c>
      <x:c r="G804" s="5" t="n">
        <x:v>0.42</x:v>
      </x:c>
      <x:c r="H804" s="5" t="n">
        <x:v>0.5</x:v>
      </x:c>
      <x:c r="I804" s="5" t="n">
        <x:v>0.1</x:v>
      </x:c>
      <x:c r="J804" s="4" t="n">
        <x:v>50</x:v>
      </x:c>
      <x:c r="K804" s="4" t="n">
        <x:v>21</x:v>
      </x:c>
      <x:c r="L804" s="4" t="n">
        <x:v>40</x:v>
      </x:c>
      <x:c r="M804" s="4" t="n">
        <x:v>20</x:v>
      </x:c>
      <x:c r="N804" s="4" t="n">
        <x:v>10</x:v>
      </x:c>
      <x:c r="O804" s="4" t="n">
        <x:v>1</x:v>
      </x:c>
      <x:c r="P804" s="1" t="str">
        <x:v>PASS</x:v>
      </x:c>
      <x:c r="Q804" s="4" t="n">
        <x:v>0</x:v>
      </x:c>
      <x:c r="R804" s="1" t="str">
        <x:v>PASS</x:v>
      </x:c>
      <x:c r="S804" s="4" t="n">
        <x:v>0</x:v>
      </x:c>
      <x:c r="T804" s="1" t="str">
        <x:v>NOT_REVEALING</x:v>
      </x:c>
      <x:c r="U804" s="1" t="str">
        <x:v>Mockito_13</x:v>
      </x:c>
      <x:c r="V804" s="6" t="n">
        <x:v>44.89</x:v>
      </x:c>
    </x:row>
    <x:row r="805" ht="22" customHeight="1">
      <x:c r="A805" s="1" t="str">
        <x:v>Round1</x:v>
      </x:c>
      <x:c r="B805" s="1" t="str">
        <x:v>Mockito</x:v>
      </x:c>
      <x:c r="C805" s="4" t="n">
        <x:v>14</x:v>
      </x:c>
      <x:c r="D805" s="4" t="n">
        <x:v>0</x:v>
      </x:c>
      <x:c r="E805" s="4" t="n">
        <x:v>60</x:v>
      </x:c>
      <x:c r="F805" s="4" t="n">
        <x:v>71</x:v>
      </x:c>
      <x:c r="G805" s="5" t="n">
        <x:v>0.5652</x:v>
      </x:c>
      <x:c r="H805" s="5" t="n">
        <x:v>0.5849</x:v>
      </x:c>
      <x:c r="I805" s="5" t="n">
        <x:v>0.5</x:v>
      </x:c>
      <x:c r="J805" s="4" t="n">
        <x:v>138</x:v>
      </x:c>
      <x:c r="K805" s="4" t="n">
        <x:v>78</x:v>
      </x:c>
      <x:c r="L805" s="4" t="n">
        <x:v>106</x:v>
      </x:c>
      <x:c r="M805" s="4" t="n">
        <x:v>62</x:v>
      </x:c>
      <x:c r="N805" s="4" t="n">
        <x:v>32</x:v>
      </x:c>
      <x:c r="O805" s="4" t="n">
        <x:v>16</x:v>
      </x:c>
      <x:c r="P805" s="1" t="str">
        <x:v>FAIL</x:v>
      </x:c>
      <x:c r="Q805" s="4" t="n">
        <x:v>8</x:v>
      </x:c>
      <x:c r="R805" s="1" t="str">
        <x:v>FAIL</x:v>
      </x:c>
      <x:c r="S805" s="4" t="n">
        <x:v>8</x:v>
      </x:c>
      <x:c r="T805" s="1" t="str">
        <x:v>INCONCLUSIVE</x:v>
      </x:c>
      <x:c r="U805" s="1" t="str">
        <x:v>Mockito_14</x:v>
      </x:c>
      <x:c r="V805" s="6" t="n">
        <x:v>52.42</x:v>
      </x:c>
    </x:row>
    <x:row r="806" ht="22" customHeight="1">
      <x:c r="A806" s="1" t="str">
        <x:v>Round1</x:v>
      </x:c>
      <x:c r="B806" s="1" t="str">
        <x:v>Mockito</x:v>
      </x:c>
      <x:c r="C806" s="4" t="n">
        <x:v>15</x:v>
      </x:c>
      <x:c r="D806" s="4" t="n">
        <x:v>0</x:v>
      </x:c>
      <x:c r="E806" s="4" t="n">
        <x:v>60</x:v>
      </x:c>
      <x:c r="F806" s="4" t="n">
        <x:v>11</x:v>
      </x:c>
      <x:c r="G806" s="5" t="n">
        <x:v>0.3333</x:v>
      </x:c>
      <x:c r="H806" s="5" t="n">
        <x:v>0.3077</x:v>
      </x:c>
      <x:c r="I806" s="5" t="n">
        <x:v>0.5</x:v>
      </x:c>
      <x:c r="J806" s="4" t="n">
        <x:v>15</x:v>
      </x:c>
      <x:c r="K806" s="4" t="n">
        <x:v>5</x:v>
      </x:c>
      <x:c r="L806" s="4" t="n">
        <x:v>13</x:v>
      </x:c>
      <x:c r="M806" s="4" t="n">
        <x:v>4</x:v>
      </x:c>
      <x:c r="N806" s="4" t="n">
        <x:v>2</x:v>
      </x:c>
      <x:c r="O806" s="4" t="n">
        <x:v>1</x:v>
      </x:c>
      <x:c r="P806" s="1" t="str">
        <x:v>PASS</x:v>
      </x:c>
      <x:c r="Q806" s="4" t="n">
        <x:v>0</x:v>
      </x:c>
      <x:c r="R806" s="1" t="str">
        <x:v>PASS</x:v>
      </x:c>
      <x:c r="S806" s="4" t="n">
        <x:v>0</x:v>
      </x:c>
      <x:c r="T806" s="1" t="str">
        <x:v>NOT_REVEALING</x:v>
      </x:c>
      <x:c r="U806" s="1" t="str">
        <x:v>Mockito_15</x:v>
      </x:c>
      <x:c r="V806" s="6" t="n">
        <x:v>51.7</x:v>
      </x:c>
    </x:row>
    <x:row r="807" ht="22" customHeight="1">
      <x:c r="A807" s="1" t="str">
        <x:v>Round1</x:v>
      </x:c>
      <x:c r="B807" s="1" t="str">
        <x:v>Mockito</x:v>
      </x:c>
      <x:c r="C807" s="4" t="n">
        <x:v>16</x:v>
      </x:c>
      <x:c r="D807" s="4" t="n">
        <x:v>0</x:v>
      </x:c>
      <x:c r="E807" s="4" t="n">
        <x:v>60</x:v>
      </x:c>
      <x:c r="F807" s="4" t="n">
        <x:v>183</x:v>
      </x:c>
      <x:c r="G807" s="5" t="n">
        <x:v>0.6846</x:v>
      </x:c>
      <x:c r="H807" s="5" t="n">
        <x:v>0.7019</x:v>
      </x:c>
      <x:c r="I807" s="5" t="n">
        <x:v>0.6154</x:v>
      </x:c>
      <x:c r="J807" s="4" t="n">
        <x:v>130</x:v>
      </x:c>
      <x:c r="K807" s="4" t="n">
        <x:v>89</x:v>
      </x:c>
      <x:c r="L807" s="4" t="n">
        <x:v>104</x:v>
      </x:c>
      <x:c r="M807" s="4" t="n">
        <x:v>73</x:v>
      </x:c>
      <x:c r="N807" s="4" t="n">
        <x:v>26</x:v>
      </x:c>
      <x:c r="O807" s="4" t="n">
        <x:v>16</x:v>
      </x:c>
      <x:c r="P807" s="1" t="str">
        <x:v>FAIL</x:v>
      </x:c>
      <x:c r="Q807" s="4" t="n">
        <x:v>10</x:v>
      </x:c>
      <x:c r="R807" s="1" t="str">
        <x:v>FAIL</x:v>
      </x:c>
      <x:c r="S807" s="4" t="n">
        <x:v>10</x:v>
      </x:c>
      <x:c r="T807" s="1" t="str">
        <x:v>INCONCLUSIVE</x:v>
      </x:c>
      <x:c r="U807" s="1" t="str">
        <x:v>Mockito_16</x:v>
      </x:c>
      <x:c r="V807" s="6" t="n">
        <x:v>51.62</x:v>
      </x:c>
    </x:row>
    <x:row r="808" ht="22" customHeight="1">
      <x:c r="A808" s="1" t="str">
        <x:v>Round1</x:v>
      </x:c>
      <x:c r="B808" s="1" t="str">
        <x:v>Mockito</x:v>
      </x:c>
      <x:c r="C808" s="4" t="n">
        <x:v>17</x:v>
      </x:c>
      <x:c r="D808" s="4" t="n">
        <x:v>0</x:v>
      </x:c>
      <x:c r="E808" s="4" t="n">
        <x:v>60</x:v>
      </x:c>
      <x:c r="F808" s="4" t="n">
        <x:v>68</x:v>
      </x:c>
      <x:c r="G808" s="5" t="n">
        <x:v>0.5376</x:v>
      </x:c>
      <x:c r="H808" s="5" t="n">
        <x:v>0.5738</x:v>
      </x:c>
      <x:c r="I808" s="5" t="n">
        <x:v>0.46880000000000005</x:v>
      </x:c>
      <x:c r="J808" s="4" t="n">
        <x:v>93</x:v>
      </x:c>
      <x:c r="K808" s="4" t="n">
        <x:v>50</x:v>
      </x:c>
      <x:c r="L808" s="4" t="n">
        <x:v>61</x:v>
      </x:c>
      <x:c r="M808" s="4" t="n">
        <x:v>35</x:v>
      </x:c>
      <x:c r="N808" s="4" t="n">
        <x:v>32</x:v>
      </x:c>
      <x:c r="O808" s="4" t="n">
        <x:v>15</x:v>
      </x:c>
      <x:c r="P808" s="1" t="str">
        <x:v>PASS</x:v>
      </x:c>
      <x:c r="Q808" s="4" t="n">
        <x:v>0</x:v>
      </x:c>
      <x:c r="R808" s="1" t="str">
        <x:v>FAIL</x:v>
      </x:c>
      <x:c r="S808" s="4" t="n">
        <x:v>16</x:v>
      </x:c>
      <x:c r="T808" s="1" t="str">
        <x:v>INCONCLUSIVE</x:v>
      </x:c>
      <x:c r="U808" s="1" t="str">
        <x:v>Mockito_17</x:v>
      </x:c>
      <x:c r="V808" s="6" t="n">
        <x:v>52.41</x:v>
      </x:c>
    </x:row>
    <x:row r="809" ht="22" customHeight="1">
      <x:c r="A809" s="1" t="str">
        <x:v>Round1</x:v>
      </x:c>
      <x:c r="B809" s="1" t="str">
        <x:v>Mockito</x:v>
      </x:c>
      <x:c r="C809" s="4" t="n">
        <x:v>18</x:v>
      </x:c>
      <x:c r="D809" s="4" t="n">
        <x:v>0</x:v>
      </x:c>
      <x:c r="E809" s="4" t="n">
        <x:v>60</x:v>
      </x:c>
      <x:c r="F809" s="4" t="n">
        <x:v>16</x:v>
      </x:c>
      <x:c r="G809" s="5"/>
      <x:c r="H809" s="5"/>
      <x:c r="I809" s="5"/>
      <x:c r="J809" s="4" t="n">
        <x:v>0</x:v>
      </x:c>
      <x:c r="K809" s="4" t="n">
        <x:v>0</x:v>
      </x:c>
      <x:c r="L809" s="4" t="n">
        <x:v>0</x:v>
      </x:c>
      <x:c r="M809" s="4" t="n">
        <x:v>0</x:v>
      </x:c>
      <x:c r="N809" s="4" t="n">
        <x:v>0</x:v>
      </x:c>
      <x:c r="O809" s="4" t="n">
        <x:v>0</x:v>
      </x:c>
      <x:c r="P809" s="1" t="str">
        <x:v>NOT_RUN</x:v>
      </x:c>
      <x:c r="Q809" s="4"/>
      <x:c r="R809" s="1" t="str">
        <x:v>NOT_RUN</x:v>
      </x:c>
      <x:c r="S809" s="4"/>
      <x:c r="T809" s="1" t="str">
        <x:v>NOT_AVAILABLE</x:v>
      </x:c>
      <x:c r="U809" s="1" t="str">
        <x:v>Mockito_18</x:v>
      </x:c>
      <x:c r="V809" s="6" t="n">
        <x:v>53.45</x:v>
      </x:c>
    </x:row>
    <x:row r="810" ht="22" customHeight="1">
      <x:c r="A810" s="1" t="str">
        <x:v>Round1</x:v>
      </x:c>
      <x:c r="B810" s="1" t="str">
        <x:v>Mockito</x:v>
      </x:c>
      <x:c r="C810" s="4" t="n">
        <x:v>19</x:v>
      </x:c>
      <x:c r="D810" s="4" t="n">
        <x:v>0</x:v>
      </x:c>
      <x:c r="E810" s="4" t="n">
        <x:v>60</x:v>
      </x:c>
      <x:c r="F810" s="4" t="n">
        <x:v>41</x:v>
      </x:c>
      <x:c r="G810" s="5"/>
      <x:c r="H810" s="5"/>
      <x:c r="I810" s="5"/>
      <x:c r="J810" s="4" t="n">
        <x:v>0</x:v>
      </x:c>
      <x:c r="K810" s="4" t="n">
        <x:v>0</x:v>
      </x:c>
      <x:c r="L810" s="4" t="n">
        <x:v>0</x:v>
      </x:c>
      <x:c r="M810" s="4" t="n">
        <x:v>0</x:v>
      </x:c>
      <x:c r="N810" s="4" t="n">
        <x:v>0</x:v>
      </x:c>
      <x:c r="O810" s="4" t="n">
        <x:v>0</x:v>
      </x:c>
      <x:c r="P810" s="1" t="str">
        <x:v>NOT_RUN</x:v>
      </x:c>
      <x:c r="Q810" s="4"/>
      <x:c r="R810" s="1" t="str">
        <x:v>NOT_RUN</x:v>
      </x:c>
      <x:c r="S810" s="4"/>
      <x:c r="T810" s="1" t="str">
        <x:v>NOT_AVAILABLE</x:v>
      </x:c>
      <x:c r="U810" s="1" t="str">
        <x:v>Mockito_19</x:v>
      </x:c>
      <x:c r="V810" s="6" t="n">
        <x:v>53.4</x:v>
      </x:c>
    </x:row>
    <x:row r="811" ht="22" customHeight="1">
      <x:c r="A811" s="1" t="str">
        <x:v>Round1</x:v>
      </x:c>
      <x:c r="B811" s="1" t="str">
        <x:v>Mockito</x:v>
      </x:c>
      <x:c r="C811" s="4" t="n">
        <x:v>20</x:v>
      </x:c>
      <x:c r="D811" s="4" t="n">
        <x:v>0</x:v>
      </x:c>
      <x:c r="E811" s="4" t="n">
        <x:v>60</x:v>
      </x:c>
      <x:c r="F811" s="4" t="n">
        <x:v>46</x:v>
      </x:c>
      <x:c r="G811" s="5"/>
      <x:c r="H811" s="5"/>
      <x:c r="I811" s="5"/>
      <x:c r="J811" s="4" t="n">
        <x:v>0</x:v>
      </x:c>
      <x:c r="K811" s="4" t="n">
        <x:v>0</x:v>
      </x:c>
      <x:c r="L811" s="4" t="n">
        <x:v>0</x:v>
      </x:c>
      <x:c r="M811" s="4" t="n">
        <x:v>0</x:v>
      </x:c>
      <x:c r="N811" s="4" t="n">
        <x:v>0</x:v>
      </x:c>
      <x:c r="O811" s="4" t="n">
        <x:v>0</x:v>
      </x:c>
      <x:c r="P811" s="1" t="str">
        <x:v>NOT_RUN</x:v>
      </x:c>
      <x:c r="Q811" s="4"/>
      <x:c r="R811" s="1" t="str">
        <x:v>NOT_RUN</x:v>
      </x:c>
      <x:c r="S811" s="4"/>
      <x:c r="T811" s="1" t="str">
        <x:v>NOT_AVAILABLE</x:v>
      </x:c>
      <x:c r="U811" s="1" t="str">
        <x:v>Mockito_20</x:v>
      </x:c>
      <x:c r="V811" s="6" t="n">
        <x:v>42.9</x:v>
      </x:c>
    </x:row>
    <x:row r="812" ht="22" customHeight="1">
      <x:c r="A812" s="1" t="str">
        <x:v>Round1</x:v>
      </x:c>
      <x:c r="B812" s="1" t="str">
        <x:v>Mockito</x:v>
      </x:c>
      <x:c r="C812" s="4" t="n">
        <x:v>21</x:v>
      </x:c>
      <x:c r="D812" s="4" t="n">
        <x:v>0</x:v>
      </x:c>
      <x:c r="E812" s="4" t="n">
        <x:v>60</x:v>
      </x:c>
      <x:c r="F812" s="4" t="n">
        <x:v>53</x:v>
      </x:c>
      <x:c r="G812" s="5" t="n">
        <x:v>0.16670000000000001</x:v>
      </x:c>
      <x:c r="H812" s="5" t="n">
        <x:v>0.1875</x:v>
      </x:c>
      <x:c r="I812" s="5" t="n">
        <x:v>0</x:v>
      </x:c>
      <x:c r="J812" s="4" t="n">
        <x:v>18</x:v>
      </x:c>
      <x:c r="K812" s="4" t="n">
        <x:v>3</x:v>
      </x:c>
      <x:c r="L812" s="4" t="n">
        <x:v>16</x:v>
      </x:c>
      <x:c r="M812" s="4" t="n">
        <x:v>3</x:v>
      </x:c>
      <x:c r="N812" s="4" t="n">
        <x:v>2</x:v>
      </x:c>
      <x:c r="O812" s="4" t="n">
        <x:v>0</x:v>
      </x:c>
      <x:c r="P812" s="1" t="str">
        <x:v>PASS</x:v>
      </x:c>
      <x:c r="Q812" s="4" t="n">
        <x:v>0</x:v>
      </x:c>
      <x:c r="R812" s="1" t="str">
        <x:v>PASS</x:v>
      </x:c>
      <x:c r="S812" s="4" t="n">
        <x:v>0</x:v>
      </x:c>
      <x:c r="T812" s="1" t="str">
        <x:v>NOT_REVEALING</x:v>
      </x:c>
      <x:c r="U812" s="1" t="str">
        <x:v>Mockito_21</x:v>
      </x:c>
      <x:c r="V812" s="6" t="n">
        <x:v>224.86</x:v>
      </x:c>
    </x:row>
    <x:row r="813" ht="22" customHeight="1">
      <x:c r="A813" s="1" t="str">
        <x:v>Round1</x:v>
      </x:c>
      <x:c r="B813" s="1" t="str">
        <x:v>Mockito</x:v>
      </x:c>
      <x:c r="C813" s="4" t="n">
        <x:v>22</x:v>
      </x:c>
      <x:c r="D813" s="4" t="n">
        <x:v>0</x:v>
      </x:c>
      <x:c r="E813" s="4" t="n">
        <x:v>60</x:v>
      </x:c>
      <x:c r="F813" s="4" t="n">
        <x:v>293</x:v>
      </x:c>
      <x:c r="G813" s="5" t="n">
        <x:v>0.4595</x:v>
      </x:c>
      <x:c r="H813" s="5" t="n">
        <x:v>0.6923</x:v>
      </x:c>
      <x:c r="I813" s="5" t="n">
        <x:v>0.3333</x:v>
      </x:c>
      <x:c r="J813" s="4" t="n">
        <x:v>37</x:v>
      </x:c>
      <x:c r="K813" s="4" t="n">
        <x:v>17</x:v>
      </x:c>
      <x:c r="L813" s="4" t="n">
        <x:v>13</x:v>
      </x:c>
      <x:c r="M813" s="4" t="n">
        <x:v>9</x:v>
      </x:c>
      <x:c r="N813" s="4" t="n">
        <x:v>24</x:v>
      </x:c>
      <x:c r="O813" s="4" t="n">
        <x:v>8</x:v>
      </x:c>
      <x:c r="P813" s="1" t="str">
        <x:v>PASS</x:v>
      </x:c>
      <x:c r="Q813" s="4" t="n">
        <x:v>0</x:v>
      </x:c>
      <x:c r="R813" s="1" t="str">
        <x:v>PASS</x:v>
      </x:c>
      <x:c r="S813" s="4" t="n">
        <x:v>0</x:v>
      </x:c>
      <x:c r="T813" s="1" t="str">
        <x:v>NOT_REVEALING</x:v>
      </x:c>
      <x:c r="U813" s="1" t="str">
        <x:v>Mockito_22</x:v>
      </x:c>
      <x:c r="V813" s="6" t="n">
        <x:v>139.13</x:v>
      </x:c>
    </x:row>
    <x:row r="814" ht="22" customHeight="1">
      <x:c r="A814" s="1" t="str">
        <x:v>Round1</x:v>
      </x:c>
      <x:c r="B814" s="1" t="str">
        <x:v>Mockito</x:v>
      </x:c>
      <x:c r="C814" s="4" t="n">
        <x:v>23</x:v>
      </x:c>
      <x:c r="D814" s="4" t="n">
        <x:v>0</x:v>
      </x:c>
      <x:c r="E814" s="4" t="n">
        <x:v>60</x:v>
      </x:c>
      <x:c r="F814" s="4" t="n">
        <x:v>46</x:v>
      </x:c>
      <x:c r="G814" s="5" t="n">
        <x:v>0.1463</x:v>
      </x:c>
      <x:c r="H814" s="5" t="n">
        <x:v>0.1818</x:v>
      </x:c>
      <x:c r="I814" s="5" t="n">
        <x:v>0</x:v>
      </x:c>
      <x:c r="J814" s="4" t="n">
        <x:v>41</x:v>
      </x:c>
      <x:c r="K814" s="4" t="n">
        <x:v>6</x:v>
      </x:c>
      <x:c r="L814" s="4" t="n">
        <x:v>33</x:v>
      </x:c>
      <x:c r="M814" s="4" t="n">
        <x:v>6</x:v>
      </x:c>
      <x:c r="N814" s="4" t="n">
        <x:v>8</x:v>
      </x:c>
      <x:c r="O814" s="4" t="n">
        <x:v>0</x:v>
      </x:c>
      <x:c r="P814" s="1" t="str">
        <x:v>PASS</x:v>
      </x:c>
      <x:c r="Q814" s="4" t="n">
        <x:v>0</x:v>
      </x:c>
      <x:c r="R814" s="1" t="str">
        <x:v>PASS</x:v>
      </x:c>
      <x:c r="S814" s="4" t="n">
        <x:v>0</x:v>
      </x:c>
      <x:c r="T814" s="1" t="str">
        <x:v>NOT_REVEALING</x:v>
      </x:c>
      <x:c r="U814" s="1" t="str">
        <x:v>Mockito_23</x:v>
      </x:c>
      <x:c r="V814" s="6" t="n">
        <x:v>173.99</x:v>
      </x:c>
    </x:row>
    <x:row r="815" ht="22" customHeight="1">
      <x:c r="A815" s="1" t="str">
        <x:v>Round1</x:v>
      </x:c>
      <x:c r="B815" s="1" t="str">
        <x:v>Mockito</x:v>
      </x:c>
      <x:c r="C815" s="4" t="n">
        <x:v>24</x:v>
      </x:c>
      <x:c r="D815" s="4" t="n">
        <x:v>0</x:v>
      </x:c>
      <x:c r="E815" s="4" t="n">
        <x:v>60</x:v>
      </x:c>
      <x:c r="F815" s="4" t="n">
        <x:v>20</x:v>
      </x:c>
      <x:c r="G815" s="5" t="n">
        <x:v>0.05</x:v>
      </x:c>
      <x:c r="H815" s="5" t="n">
        <x:v>0.0909</x:v>
      </x:c>
      <x:c r="I815" s="5" t="n">
        <x:v>0</x:v>
      </x:c>
      <x:c r="J815" s="4" t="n">
        <x:v>80</x:v>
      </x:c>
      <x:c r="K815" s="4" t="n">
        <x:v>4</x:v>
      </x:c>
      <x:c r="L815" s="4" t="n">
        <x:v>44</x:v>
      </x:c>
      <x:c r="M815" s="4" t="n">
        <x:v>4</x:v>
      </x:c>
      <x:c r="N815" s="4" t="n">
        <x:v>36</x:v>
      </x:c>
      <x:c r="O815" s="4" t="n">
        <x:v>0</x:v>
      </x:c>
      <x:c r="P815" s="1" t="str">
        <x:v>PASS</x:v>
      </x:c>
      <x:c r="Q815" s="4" t="n">
        <x:v>0</x:v>
      </x:c>
      <x:c r="R815" s="1" t="str">
        <x:v>PASS</x:v>
      </x:c>
      <x:c r="S815" s="4" t="n">
        <x:v>0</x:v>
      </x:c>
      <x:c r="T815" s="1" t="str">
        <x:v>NOT_REVEALING</x:v>
      </x:c>
      <x:c r="U815" s="1" t="str">
        <x:v>Mockito_24</x:v>
      </x:c>
      <x:c r="V815" s="6" t="n">
        <x:v>165.47</x:v>
      </x:c>
    </x:row>
    <x:row r="816" ht="22" customHeight="1">
      <x:c r="A816" s="1" t="str">
        <x:v>Round1</x:v>
      </x:c>
      <x:c r="B816" s="1" t="str">
        <x:v>Mockito</x:v>
      </x:c>
      <x:c r="C816" s="4" t="n">
        <x:v>25</x:v>
      </x:c>
      <x:c r="D816" s="4" t="n">
        <x:v>0</x:v>
      </x:c>
      <x:c r="E816" s="4" t="n">
        <x:v>60</x:v>
      </x:c>
      <x:c r="F816" s="4" t="n">
        <x:v>46</x:v>
      </x:c>
      <x:c r="G816" s="5" t="n">
        <x:v>0.1724</x:v>
      </x:c>
      <x:c r="H816" s="5" t="n">
        <x:v>0.21739999999999998</x:v>
      </x:c>
      <x:c r="I816" s="5" t="n">
        <x:v>0</x:v>
      </x:c>
      <x:c r="J816" s="4" t="n">
        <x:v>29</x:v>
      </x:c>
      <x:c r="K816" s="4" t="n">
        <x:v>5</x:v>
      </x:c>
      <x:c r="L816" s="4" t="n">
        <x:v>23</x:v>
      </x:c>
      <x:c r="M816" s="4" t="n">
        <x:v>5</x:v>
      </x:c>
      <x:c r="N816" s="4" t="n">
        <x:v>6</x:v>
      </x:c>
      <x:c r="O816" s="4" t="n">
        <x:v>0</x:v>
      </x:c>
      <x:c r="P816" s="1" t="str">
        <x:v>PASS</x:v>
      </x:c>
      <x:c r="Q816" s="4" t="n">
        <x:v>0</x:v>
      </x:c>
      <x:c r="R816" s="1" t="str">
        <x:v>PASS</x:v>
      </x:c>
      <x:c r="S816" s="4" t="n">
        <x:v>0</x:v>
      </x:c>
      <x:c r="T816" s="1" t="str">
        <x:v>NOT_REVEALING</x:v>
      </x:c>
      <x:c r="U816" s="1" t="str">
        <x:v>Mockito_25</x:v>
      </x:c>
      <x:c r="V816" s="6" t="n">
        <x:v>79.38</x:v>
      </x:c>
    </x:row>
    <x:row r="817" ht="22" customHeight="1">
      <x:c r="A817" s="1" t="str">
        <x:v>Round1</x:v>
      </x:c>
      <x:c r="B817" s="1" t="str">
        <x:v>Mockito</x:v>
      </x:c>
      <x:c r="C817" s="4" t="n">
        <x:v>26</x:v>
      </x:c>
      <x:c r="D817" s="4" t="n">
        <x:v>0</x:v>
      </x:c>
      <x:c r="E817" s="4" t="n">
        <x:v>60</x:v>
      </x:c>
      <x:c r="F817" s="4" t="n">
        <x:v>2</x:v>
      </x:c>
      <x:c r="G817" s="5" t="n">
        <x:v>0.7895</x:v>
      </x:c>
      <x:c r="H817" s="5" t="n">
        <x:v>0.8332999999999999</x:v>
      </x:c>
      <x:c r="I817" s="5" t="n">
        <x:v>0</x:v>
      </x:c>
      <x:c r="J817" s="4" t="n">
        <x:v>38</x:v>
      </x:c>
      <x:c r="K817" s="4" t="n">
        <x:v>30</x:v>
      </x:c>
      <x:c r="L817" s="4" t="n">
        <x:v>36</x:v>
      </x:c>
      <x:c r="M817" s="4" t="n">
        <x:v>30</x:v>
      </x:c>
      <x:c r="N817" s="4" t="n">
        <x:v>2</x:v>
      </x:c>
      <x:c r="O817" s="4" t="n">
        <x:v>0</x:v>
      </x:c>
      <x:c r="P817" s="1" t="str">
        <x:v>PASS</x:v>
      </x:c>
      <x:c r="Q817" s="4" t="n">
        <x:v>0</x:v>
      </x:c>
      <x:c r="R817" s="1" t="str">
        <x:v>PASS</x:v>
      </x:c>
      <x:c r="S817" s="4" t="n">
        <x:v>0</x:v>
      </x:c>
      <x:c r="T817" s="1" t="str">
        <x:v>NOT_REVEALING</x:v>
      </x:c>
      <x:c r="U817" s="1" t="str">
        <x:v>Mockito_26</x:v>
      </x:c>
      <x:c r="V817" s="6" t="n">
        <x:v>93.05</x:v>
      </x:c>
    </x:row>
    <x:row r="818" ht="22" customHeight="1">
      <x:c r="A818" s="1" t="str">
        <x:v>Round1</x:v>
      </x:c>
      <x:c r="B818" s="1" t="str">
        <x:v>Mockito</x:v>
      </x:c>
      <x:c r="C818" s="4" t="n">
        <x:v>27</x:v>
      </x:c>
      <x:c r="D818" s="4" t="n">
        <x:v>0</x:v>
      </x:c>
      <x:c r="E818" s="4" t="n">
        <x:v>60</x:v>
      </x:c>
      <x:c r="F818" s="4" t="n">
        <x:v>85</x:v>
      </x:c>
      <x:c r="G818" s="5" t="n">
        <x:v>0.34380000000000005</x:v>
      </x:c>
      <x:c r="H818" s="5" t="n">
        <x:v>0.35710000000000003</x:v>
      </x:c>
      <x:c r="I818" s="5" t="n">
        <x:v>0.3182</x:v>
      </x:c>
      <x:c r="J818" s="4" t="n">
        <x:v>64</x:v>
      </x:c>
      <x:c r="K818" s="4" t="n">
        <x:v>22</x:v>
      </x:c>
      <x:c r="L818" s="4" t="n">
        <x:v>42</x:v>
      </x:c>
      <x:c r="M818" s="4" t="n">
        <x:v>15</x:v>
      </x:c>
      <x:c r="N818" s="4" t="n">
        <x:v>22</x:v>
      </x:c>
      <x:c r="O818" s="4" t="n">
        <x:v>7</x:v>
      </x:c>
      <x:c r="P818" s="1" t="str">
        <x:v>PASS</x:v>
      </x:c>
      <x:c r="Q818" s="4" t="n">
        <x:v>0</x:v>
      </x:c>
      <x:c r="R818" s="1" t="str">
        <x:v>PASS</x:v>
      </x:c>
      <x:c r="S818" s="4" t="n">
        <x:v>0</x:v>
      </x:c>
      <x:c r="T818" s="1" t="str">
        <x:v>NOT_REVEALING</x:v>
      </x:c>
      <x:c r="U818" s="1" t="str">
        <x:v>Mockito_27</x:v>
      </x:c>
      <x:c r="V818" s="6" t="n">
        <x:v>59.62</x:v>
      </x:c>
    </x:row>
    <x:row r="819" ht="22" customHeight="1">
      <x:c r="A819" s="1" t="str">
        <x:v>Round1</x:v>
      </x:c>
      <x:c r="B819" s="1" t="str">
        <x:v>Mockito</x:v>
      </x:c>
      <x:c r="C819" s="4" t="n">
        <x:v>28</x:v>
      </x:c>
      <x:c r="D819" s="4" t="n">
        <x:v>0</x:v>
      </x:c>
      <x:c r="E819" s="4" t="n">
        <x:v>60</x:v>
      </x:c>
      <x:c r="F819" s="4" t="n">
        <x:v>113</x:v>
      </x:c>
      <x:c r="G819" s="5" t="n">
        <x:v>0.175</x:v>
      </x:c>
      <x:c r="H819" s="5" t="n">
        <x:v>0.2</x:v>
      </x:c>
      <x:c r="I819" s="5" t="n">
        <x:v>0.1</x:v>
      </x:c>
      <x:c r="J819" s="4" t="n">
        <x:v>40</x:v>
      </x:c>
      <x:c r="K819" s="4" t="n">
        <x:v>7</x:v>
      </x:c>
      <x:c r="L819" s="4" t="n">
        <x:v>30</x:v>
      </x:c>
      <x:c r="M819" s="4" t="n">
        <x:v>6</x:v>
      </x:c>
      <x:c r="N819" s="4" t="n">
        <x:v>10</x:v>
      </x:c>
      <x:c r="O819" s="4" t="n">
        <x:v>1</x:v>
      </x:c>
      <x:c r="P819" s="1" t="str">
        <x:v>PASS</x:v>
      </x:c>
      <x:c r="Q819" s="4" t="n">
        <x:v>0</x:v>
      </x:c>
      <x:c r="R819" s="1" t="str">
        <x:v>PASS</x:v>
      </x:c>
      <x:c r="S819" s="4" t="n">
        <x:v>0</x:v>
      </x:c>
      <x:c r="T819" s="1" t="str">
        <x:v>NOT_REVEALING</x:v>
      </x:c>
      <x:c r="U819" s="1" t="str">
        <x:v>Mockito_28</x:v>
      </x:c>
      <x:c r="V819" s="6" t="n">
        <x:v>63</x:v>
      </x:c>
    </x:row>
    <x:row r="820" ht="22" customHeight="1">
      <x:c r="A820" s="1" t="str">
        <x:v>Round1</x:v>
      </x:c>
      <x:c r="B820" s="1" t="str">
        <x:v>Mockito</x:v>
      </x:c>
      <x:c r="C820" s="4" t="n">
        <x:v>29</x:v>
      </x:c>
      <x:c r="D820" s="4" t="n">
        <x:v>0</x:v>
      </x:c>
      <x:c r="E820" s="4" t="n">
        <x:v>60</x:v>
      </x:c>
      <x:c r="F820" s="4" t="n">
        <x:v>329</x:v>
      </x:c>
      <x:c r="G820" s="5" t="n">
        <x:v>0.9048</x:v>
      </x:c>
      <x:c r="H820" s="5" t="n">
        <x:v>0.9333</x:v>
      </x:c>
      <x:c r="I820" s="5" t="n">
        <x:v>0.8332999999999999</x:v>
      </x:c>
      <x:c r="J820" s="4" t="n">
        <x:v>21</x:v>
      </x:c>
      <x:c r="K820" s="4" t="n">
        <x:v>19</x:v>
      </x:c>
      <x:c r="L820" s="4" t="n">
        <x:v>15</x:v>
      </x:c>
      <x:c r="M820" s="4" t="n">
        <x:v>14</x:v>
      </x:c>
      <x:c r="N820" s="4" t="n">
        <x:v>6</x:v>
      </x:c>
      <x:c r="O820" s="4" t="n">
        <x:v>5</x:v>
      </x:c>
      <x:c r="P820" s="1" t="str">
        <x:v>PASS</x:v>
      </x:c>
      <x:c r="Q820" s="4" t="n">
        <x:v>0</x:v>
      </x:c>
      <x:c r="R820" s="1" t="str">
        <x:v>PASS</x:v>
      </x:c>
      <x:c r="S820" s="4" t="n">
        <x:v>0</x:v>
      </x:c>
      <x:c r="T820" s="1" t="str">
        <x:v>NOT_REVEALING</x:v>
      </x:c>
      <x:c r="U820" s="1" t="str">
        <x:v>Mockito_29</x:v>
      </x:c>
      <x:c r="V820" s="6" t="n">
        <x:v>63.54</x:v>
      </x:c>
    </x:row>
    <x:row r="821" ht="22" customHeight="1">
      <x:c r="A821" s="1" t="str">
        <x:v>Round1</x:v>
      </x:c>
      <x:c r="B821" s="1" t="str">
        <x:v>Mockito</x:v>
      </x:c>
      <x:c r="C821" s="4" t="n">
        <x:v>30</x:v>
      </x:c>
      <x:c r="D821" s="4" t="n">
        <x:v>0</x:v>
      </x:c>
      <x:c r="E821" s="4" t="n">
        <x:v>60</x:v>
      </x:c>
      <x:c r="F821" s="4" t="n">
        <x:v>118</x:v>
      </x:c>
      <x:c r="G821" s="5" t="n">
        <x:v>0.5</x:v>
      </x:c>
      <x:c r="H821" s="5" t="n">
        <x:v>0.5536</x:v>
      </x:c>
      <x:c r="I821" s="5" t="n">
        <x:v>0.07139999999999999</x:v>
      </x:c>
      <x:c r="J821" s="4" t="n">
        <x:v>126</x:v>
      </x:c>
      <x:c r="K821" s="4" t="n">
        <x:v>63</x:v>
      </x:c>
      <x:c r="L821" s="4" t="n">
        <x:v>112</x:v>
      </x:c>
      <x:c r="M821" s="4" t="n">
        <x:v>62</x:v>
      </x:c>
      <x:c r="N821" s="4" t="n">
        <x:v>14</x:v>
      </x:c>
      <x:c r="O821" s="4" t="n">
        <x:v>1</x:v>
      </x:c>
      <x:c r="P821" s="1" t="str">
        <x:v>FAIL</x:v>
      </x:c>
      <x:c r="Q821" s="4" t="n">
        <x:v>40</x:v>
      </x:c>
      <x:c r="R821" s="1" t="str">
        <x:v>NOT_RUN</x:v>
      </x:c>
      <x:c r="S821" s="4"/>
      <x:c r="T821" s="1" t="str">
        <x:v>NOT_AVAILABLE</x:v>
      </x:c>
      <x:c r="U821" s="1" t="str">
        <x:v>Mockito_30</x:v>
      </x:c>
      <x:c r="V821" s="6" t="n">
        <x:v>53.71</x:v>
      </x:c>
    </x:row>
    <x:row r="822" ht="22" customHeight="1">
      <x:c r="A822" s="1" t="str">
        <x:v>Round1</x:v>
      </x:c>
      <x:c r="B822" s="1" t="str">
        <x:v>Mockito</x:v>
      </x:c>
      <x:c r="C822" s="4" t="n">
        <x:v>31</x:v>
      </x:c>
      <x:c r="D822" s="4" t="n">
        <x:v>0</x:v>
      </x:c>
      <x:c r="E822" s="4" t="n">
        <x:v>60</x:v>
      </x:c>
      <x:c r="F822" s="4" t="n">
        <x:v>3</x:v>
      </x:c>
      <x:c r="G822" s="5" t="n">
        <x:v>0.12</x:v>
      </x:c>
      <x:c r="H822" s="5" t="n">
        <x:v>0.15789999999999998</x:v>
      </x:c>
      <x:c r="I822" s="5" t="n">
        <x:v>0</x:v>
      </x:c>
      <x:c r="J822" s="4" t="n">
        <x:v>25</x:v>
      </x:c>
      <x:c r="K822" s="4" t="n">
        <x:v>3</x:v>
      </x:c>
      <x:c r="L822" s="4" t="n">
        <x:v>19</x:v>
      </x:c>
      <x:c r="M822" s="4" t="n">
        <x:v>3</x:v>
      </x:c>
      <x:c r="N822" s="4" t="n">
        <x:v>6</x:v>
      </x:c>
      <x:c r="O822" s="4" t="n">
        <x:v>0</x:v>
      </x:c>
      <x:c r="P822" s="1" t="str">
        <x:v>PASS</x:v>
      </x:c>
      <x:c r="Q822" s="4" t="n">
        <x:v>0</x:v>
      </x:c>
      <x:c r="R822" s="1" t="str">
        <x:v>PASS</x:v>
      </x:c>
      <x:c r="S822" s="4" t="n">
        <x:v>0</x:v>
      </x:c>
      <x:c r="T822" s="1" t="str">
        <x:v>NOT_REVEALING</x:v>
      </x:c>
      <x:c r="U822" s="1" t="str">
        <x:v>Mockito_31</x:v>
      </x:c>
      <x:c r="V822" s="6" t="n">
        <x:v>55.6</x:v>
      </x:c>
    </x:row>
    <x:row r="823" ht="22" customHeight="1">
      <x:c r="A823" s="1" t="str">
        <x:v>Round1</x:v>
      </x:c>
      <x:c r="B823" s="1" t="str">
        <x:v>Mockito</x:v>
      </x:c>
      <x:c r="C823" s="4" t="n">
        <x:v>32</x:v>
      </x:c>
      <x:c r="D823" s="4" t="n">
        <x:v>0</x:v>
      </x:c>
      <x:c r="E823" s="4" t="n">
        <x:v>60</x:v>
      </x:c>
      <x:c r="F823" s="4" t="n">
        <x:v>5</x:v>
      </x:c>
      <x:c r="G823" s="5" t="n">
        <x:v>0.0571</x:v>
      </x:c>
      <x:c r="H823" s="5" t="n">
        <x:v>0.087</x:v>
      </x:c>
      <x:c r="I823" s="5" t="n">
        <x:v>0</x:v>
      </x:c>
      <x:c r="J823" s="4" t="n">
        <x:v>35</x:v>
      </x:c>
      <x:c r="K823" s="4" t="n">
        <x:v>2</x:v>
      </x:c>
      <x:c r="L823" s="4" t="n">
        <x:v>23</x:v>
      </x:c>
      <x:c r="M823" s="4" t="n">
        <x:v>2</x:v>
      </x:c>
      <x:c r="N823" s="4" t="n">
        <x:v>12</x:v>
      </x:c>
      <x:c r="O823" s="4" t="n">
        <x:v>0</x:v>
      </x:c>
      <x:c r="P823" s="1" t="str">
        <x:v>PASS</x:v>
      </x:c>
      <x:c r="Q823" s="4" t="n">
        <x:v>0</x:v>
      </x:c>
      <x:c r="R823" s="1" t="str">
        <x:v>PASS</x:v>
      </x:c>
      <x:c r="S823" s="4" t="n">
        <x:v>0</x:v>
      </x:c>
      <x:c r="T823" s="1" t="str">
        <x:v>NOT_REVEALING</x:v>
      </x:c>
      <x:c r="U823" s="1" t="str">
        <x:v>Mockito_32</x:v>
      </x:c>
      <x:c r="V823" s="6" t="n">
        <x:v>56.31</x:v>
      </x:c>
    </x:row>
    <x:row r="824" ht="22" customHeight="1">
      <x:c r="A824" s="1" t="str">
        <x:v>Round1</x:v>
      </x:c>
      <x:c r="B824" s="1" t="str">
        <x:v>Mockito</x:v>
      </x:c>
      <x:c r="C824" s="4" t="n">
        <x:v>33</x:v>
      </x:c>
      <x:c r="D824" s="4" t="n">
        <x:v>0</x:v>
      </x:c>
      <x:c r="E824" s="4" t="n">
        <x:v>60</x:v>
      </x:c>
      <x:c r="F824" s="4" t="n">
        <x:v>71</x:v>
      </x:c>
      <x:c r="G824" s="5" t="n">
        <x:v>0.12990000000000002</x:v>
      </x:c>
      <x:c r="H824" s="5" t="n">
        <x:v>0.1778</x:v>
      </x:c>
      <x:c r="I824" s="5" t="n">
        <x:v>0.0625</x:v>
      </x:c>
      <x:c r="J824" s="4" t="n">
        <x:v>77</x:v>
      </x:c>
      <x:c r="K824" s="4" t="n">
        <x:v>10</x:v>
      </x:c>
      <x:c r="L824" s="4" t="n">
        <x:v>45</x:v>
      </x:c>
      <x:c r="M824" s="4" t="n">
        <x:v>8</x:v>
      </x:c>
      <x:c r="N824" s="4" t="n">
        <x:v>32</x:v>
      </x:c>
      <x:c r="O824" s="4" t="n">
        <x:v>2</x:v>
      </x:c>
      <x:c r="P824" s="1" t="str">
        <x:v>PASS</x:v>
      </x:c>
      <x:c r="Q824" s="4" t="n">
        <x:v>0</x:v>
      </x:c>
      <x:c r="R824" s="1" t="str">
        <x:v>PASS</x:v>
      </x:c>
      <x:c r="S824" s="4" t="n">
        <x:v>0</x:v>
      </x:c>
      <x:c r="T824" s="1" t="str">
        <x:v>NOT_REVEALING</x:v>
      </x:c>
      <x:c r="U824" s="1" t="str">
        <x:v>Mockito_33</x:v>
      </x:c>
      <x:c r="V824" s="6" t="n">
        <x:v>57.13</x:v>
      </x:c>
    </x:row>
    <x:row r="825" ht="22" customHeight="1">
      <x:c r="A825" s="1" t="str">
        <x:v>Round1</x:v>
      </x:c>
      <x:c r="B825" s="1" t="str">
        <x:v>Mockito</x:v>
      </x:c>
      <x:c r="C825" s="4" t="n">
        <x:v>34</x:v>
      </x:c>
      <x:c r="D825" s="4" t="n">
        <x:v>0</x:v>
      </x:c>
      <x:c r="E825" s="4" t="n">
        <x:v>60</x:v>
      </x:c>
      <x:c r="F825" s="4" t="n">
        <x:v>4</x:v>
      </x:c>
      <x:c r="G825" s="5" t="n">
        <x:v>0.0909</x:v>
      </x:c>
      <x:c r="H825" s="5" t="n">
        <x:v>0.1316</x:v>
      </x:c>
      <x:c r="I825" s="5" t="n">
        <x:v>0.035699999999999996</x:v>
      </x:c>
      <x:c r="J825" s="4" t="n">
        <x:v>66</x:v>
      </x:c>
      <x:c r="K825" s="4" t="n">
        <x:v>6</x:v>
      </x:c>
      <x:c r="L825" s="4" t="n">
        <x:v>38</x:v>
      </x:c>
      <x:c r="M825" s="4" t="n">
        <x:v>5</x:v>
      </x:c>
      <x:c r="N825" s="4" t="n">
        <x:v>28</x:v>
      </x:c>
      <x:c r="O825" s="4" t="n">
        <x:v>1</x:v>
      </x:c>
      <x:c r="P825" s="1" t="str">
        <x:v>PASS</x:v>
      </x:c>
      <x:c r="Q825" s="4" t="n">
        <x:v>0</x:v>
      </x:c>
      <x:c r="R825" s="1" t="str">
        <x:v>PASS</x:v>
      </x:c>
      <x:c r="S825" s="4" t="n">
        <x:v>0</x:v>
      </x:c>
      <x:c r="T825" s="1" t="str">
        <x:v>NOT_REVEALING</x:v>
      </x:c>
      <x:c r="U825" s="1" t="str">
        <x:v>Mockito_34</x:v>
      </x:c>
      <x:c r="V825" s="6" t="n">
        <x:v>53.88</x:v>
      </x:c>
    </x:row>
    <x:row r="826" ht="22" customHeight="1">
      <x:c r="A826" s="1" t="str">
        <x:v>Round1</x:v>
      </x:c>
      <x:c r="B826" s="1" t="str">
        <x:v>Mockito</x:v>
      </x:c>
      <x:c r="C826" s="4" t="n">
        <x:v>35</x:v>
      </x:c>
      <x:c r="D826" s="4" t="n">
        <x:v>0</x:v>
      </x:c>
      <x:c r="E826" s="4" t="n">
        <x:v>60</x:v>
      </x:c>
      <x:c r="F826" s="4" t="n">
        <x:v>278</x:v>
      </x:c>
      <x:c r="G826" s="5" t="n">
        <x:v>0.8824</x:v>
      </x:c>
      <x:c r="H826" s="5" t="n">
        <x:v>0.8824</x:v>
      </x:c>
      <x:c r="I826" s="5" t="n">
        <x:v>0</x:v>
      </x:c>
      <x:c r="J826" s="4" t="n">
        <x:v>51</x:v>
      </x:c>
      <x:c r="K826" s="4" t="n">
        <x:v>45</x:v>
      </x:c>
      <x:c r="L826" s="4" t="n">
        <x:v>51</x:v>
      </x:c>
      <x:c r="M826" s="4" t="n">
        <x:v>45</x:v>
      </x:c>
      <x:c r="N826" s="4" t="n">
        <x:v>0</x:v>
      </x:c>
      <x:c r="O826" s="4" t="n">
        <x:v>0</x:v>
      </x:c>
      <x:c r="P826" s="1" t="str">
        <x:v>PASS</x:v>
      </x:c>
      <x:c r="Q826" s="4" t="n">
        <x:v>0</x:v>
      </x:c>
      <x:c r="R826" s="1" t="str">
        <x:v>FAIL</x:v>
      </x:c>
      <x:c r="S826" s="4" t="n">
        <x:v>38</x:v>
      </x:c>
      <x:c r="T826" s="1" t="str">
        <x:v>INCONCLUSIVE</x:v>
      </x:c>
      <x:c r="U826" s="1" t="str">
        <x:v>Mockito_35</x:v>
      </x:c>
      <x:c r="V826" s="6" t="n">
        <x:v>58.01</x:v>
      </x:c>
    </x:row>
    <x:row r="827" ht="22" customHeight="1">
      <x:c r="A827" s="1" t="str">
        <x:v>Round1</x:v>
      </x:c>
      <x:c r="B827" s="1" t="str">
        <x:v>Mockito</x:v>
      </x:c>
      <x:c r="C827" s="4" t="n">
        <x:v>36</x:v>
      </x:c>
      <x:c r="D827" s="4" t="n">
        <x:v>0</x:v>
      </x:c>
      <x:c r="E827" s="4" t="n">
        <x:v>60</x:v>
      </x:c>
      <x:c r="F827" s="4" t="n">
        <x:v>135</x:v>
      </x:c>
      <x:c r="G827" s="5" t="n">
        <x:v>0.0536</x:v>
      </x:c>
      <x:c r="H827" s="5" t="n">
        <x:v>0.0857</x:v>
      </x:c>
      <x:c r="I827" s="5" t="n">
        <x:v>0</x:v>
      </x:c>
      <x:c r="J827" s="4" t="n">
        <x:v>112</x:v>
      </x:c>
      <x:c r="K827" s="4" t="n">
        <x:v>6</x:v>
      </x:c>
      <x:c r="L827" s="4" t="n">
        <x:v>70</x:v>
      </x:c>
      <x:c r="M827" s="4" t="n">
        <x:v>6</x:v>
      </x:c>
      <x:c r="N827" s="4" t="n">
        <x:v>42</x:v>
      </x:c>
      <x:c r="O827" s="4" t="n">
        <x:v>0</x:v>
      </x:c>
      <x:c r="P827" s="1" t="str">
        <x:v>PASS</x:v>
      </x:c>
      <x:c r="Q827" s="4" t="n">
        <x:v>0</x:v>
      </x:c>
      <x:c r="R827" s="1" t="str">
        <x:v>PASS</x:v>
      </x:c>
      <x:c r="S827" s="4" t="n">
        <x:v>0</x:v>
      </x:c>
      <x:c r="T827" s="1" t="str">
        <x:v>NOT_REVEALING</x:v>
      </x:c>
      <x:c r="U827" s="1" t="str">
        <x:v>Mockito_36</x:v>
      </x:c>
      <x:c r="V827" s="6" t="n">
        <x:v>55.81</x:v>
      </x:c>
    </x:row>
    <x:row r="828" ht="22" customHeight="1">
      <x:c r="A828" s="1" t="str">
        <x:v>Round1</x:v>
      </x:c>
      <x:c r="B828" s="1" t="str">
        <x:v>Mockito</x:v>
      </x:c>
      <x:c r="C828" s="4" t="n">
        <x:v>37</x:v>
      </x:c>
      <x:c r="D828" s="4" t="n">
        <x:v>0</x:v>
      </x:c>
      <x:c r="E828" s="4" t="n">
        <x:v>60</x:v>
      </x:c>
      <x:c r="F828" s="4" t="n">
        <x:v>2</x:v>
      </x:c>
      <x:c r="G828" s="5" t="n">
        <x:v>0.0377</x:v>
      </x:c>
      <x:c r="H828" s="5" t="n">
        <x:v>0.0741</x:v>
      </x:c>
      <x:c r="I828" s="5" t="n">
        <x:v>0</x:v>
      </x:c>
      <x:c r="J828" s="4" t="n">
        <x:v>53</x:v>
      </x:c>
      <x:c r="K828" s="4" t="n">
        <x:v>2</x:v>
      </x:c>
      <x:c r="L828" s="4" t="n">
        <x:v>27</x:v>
      </x:c>
      <x:c r="M828" s="4" t="n">
        <x:v>2</x:v>
      </x:c>
      <x:c r="N828" s="4" t="n">
        <x:v>26</x:v>
      </x:c>
      <x:c r="O828" s="4" t="n">
        <x:v>0</x:v>
      </x:c>
      <x:c r="P828" s="1" t="str">
        <x:v>PASS</x:v>
      </x:c>
      <x:c r="Q828" s="4" t="n">
        <x:v>0</x:v>
      </x:c>
      <x:c r="R828" s="1" t="str">
        <x:v>PASS</x:v>
      </x:c>
      <x:c r="S828" s="4" t="n">
        <x:v>0</x:v>
      </x:c>
      <x:c r="T828" s="1" t="str">
        <x:v>NOT_REVEALING</x:v>
      </x:c>
      <x:c r="U828" s="1" t="str">
        <x:v>Mockito_37</x:v>
      </x:c>
      <x:c r="V828" s="6" t="n">
        <x:v>54.41</x:v>
      </x:c>
    </x:row>
    <x:row r="829" ht="22" customHeight="1">
      <x:c r="A829" s="1" t="str">
        <x:v>Round1</x:v>
      </x:c>
      <x:c r="B829" s="1" t="str">
        <x:v>Mockito</x:v>
      </x:c>
      <x:c r="C829" s="4" t="n">
        <x:v>38</x:v>
      </x:c>
      <x:c r="D829" s="4" t="n">
        <x:v>0</x:v>
      </x:c>
      <x:c r="E829" s="4" t="n">
        <x:v>60</x:v>
      </x:c>
      <x:c r="F829" s="4" t="n">
        <x:v>112</x:v>
      </x:c>
      <x:c r="G829" s="5" t="n">
        <x:v>0.3333</x:v>
      </x:c>
      <x:c r="H829" s="5" t="n">
        <x:v>0.3889</x:v>
      </x:c>
      <x:c r="I829" s="5" t="n">
        <x:v>0.25</x:v>
      </x:c>
      <x:c r="J829" s="4" t="n">
        <x:v>30</x:v>
      </x:c>
      <x:c r="K829" s="4" t="n">
        <x:v>10</x:v>
      </x:c>
      <x:c r="L829" s="4" t="n">
        <x:v>18</x:v>
      </x:c>
      <x:c r="M829" s="4" t="n">
        <x:v>7</x:v>
      </x:c>
      <x:c r="N829" s="4" t="n">
        <x:v>12</x:v>
      </x:c>
      <x:c r="O829" s="4" t="n">
        <x:v>3</x:v>
      </x:c>
      <x:c r="P829" s="1" t="str">
        <x:v>PASS</x:v>
      </x:c>
      <x:c r="Q829" s="4" t="n">
        <x:v>0</x:v>
      </x:c>
      <x:c r="R829" s="1" t="str">
        <x:v>PASS</x:v>
      </x:c>
      <x:c r="S829" s="4" t="n">
        <x:v>0</x:v>
      </x:c>
      <x:c r="T829" s="1" t="str">
        <x:v>NOT_REVEALING</x:v>
      </x:c>
      <x:c r="U829" s="1" t="str">
        <x:v>Mockito_38</x:v>
      </x:c>
      <x:c r="V829" s="6" t="n">
        <x:v>60.66</x:v>
      </x:c>
    </x:row>
    <x:row r="830" ht="22" customHeight="1">
      <x:c r="A830" s="1" t="str">
        <x:v>Round1</x:v>
      </x:c>
      <x:c r="B830" s="1" t="str">
        <x:v>Time</x:v>
      </x:c>
      <x:c r="C830" s="4" t="n">
        <x:v>1</x:v>
      </x:c>
      <x:c r="D830" s="4" t="n">
        <x:v>0</x:v>
      </x:c>
      <x:c r="E830" s="4" t="n">
        <x:v>60</x:v>
      </x:c>
      <x:c r="F830" s="4" t="n">
        <x:v>64</x:v>
      </x:c>
      <x:c r="G830" s="5" t="n">
        <x:v>0.2768</x:v>
      </x:c>
      <x:c r="H830" s="5" t="n">
        <x:v>0.3123</x:v>
      </x:c>
      <x:c r="I830" s="5" t="n">
        <x:v>0.1864</x:v>
      </x:c>
      <x:c r="J830" s="4" t="n">
        <x:v>419</x:v>
      </x:c>
      <x:c r="K830" s="4" t="n">
        <x:v>116</x:v>
      </x:c>
      <x:c r="L830" s="4" t="n">
        <x:v>301</x:v>
      </x:c>
      <x:c r="M830" s="4" t="n">
        <x:v>94</x:v>
      </x:c>
      <x:c r="N830" s="4" t="n">
        <x:v>118</x:v>
      </x:c>
      <x:c r="O830" s="4" t="n">
        <x:v>22</x:v>
      </x:c>
      <x:c r="P830" s="1" t="str">
        <x:v>PASS</x:v>
      </x:c>
      <x:c r="Q830" s="4" t="n">
        <x:v>0</x:v>
      </x:c>
      <x:c r="R830" s="1" t="str">
        <x:v>PASS</x:v>
      </x:c>
      <x:c r="S830" s="4" t="n">
        <x:v>0</x:v>
      </x:c>
      <x:c r="T830" s="1" t="str">
        <x:v>NOT_REVEALING</x:v>
      </x:c>
      <x:c r="U830" s="1" t="str">
        <x:v>Time_1</x:v>
      </x:c>
      <x:c r="V830" s="6" t="n">
        <x:v>59.49</x:v>
      </x:c>
    </x:row>
    <x:row r="831" ht="22" customHeight="1">
      <x:c r="A831" s="1" t="str">
        <x:v>Round1</x:v>
      </x:c>
      <x:c r="B831" s="1" t="str">
        <x:v>Time</x:v>
      </x:c>
      <x:c r="C831" s="4" t="n">
        <x:v>2</x:v>
      </x:c>
      <x:c r="D831" s="4" t="n">
        <x:v>0</x:v>
      </x:c>
      <x:c r="E831" s="4" t="n">
        <x:v>60</x:v>
      </x:c>
      <x:c r="F831" s="4" t="n">
        <x:v>62</x:v>
      </x:c>
      <x:c r="G831" s="5" t="n">
        <x:v>0.27949999999999997</x:v>
      </x:c>
      <x:c r="H831" s="5" t="n">
        <x:v>0.3165</x:v>
      </x:c>
      <x:c r="I831" s="5" t="n">
        <x:v>0.1864</x:v>
      </x:c>
      <x:c r="J831" s="4" t="n">
        <x:v>415</x:v>
      </x:c>
      <x:c r="K831" s="4" t="n">
        <x:v>116</x:v>
      </x:c>
      <x:c r="L831" s="4" t="n">
        <x:v>297</x:v>
      </x:c>
      <x:c r="M831" s="4" t="n">
        <x:v>94</x:v>
      </x:c>
      <x:c r="N831" s="4" t="n">
        <x:v>118</x:v>
      </x:c>
      <x:c r="O831" s="4" t="n">
        <x:v>22</x:v>
      </x:c>
      <x:c r="P831" s="1" t="str">
        <x:v>PASS</x:v>
      </x:c>
      <x:c r="Q831" s="4" t="n">
        <x:v>0</x:v>
      </x:c>
      <x:c r="R831" s="1" t="str">
        <x:v>PASS</x:v>
      </x:c>
      <x:c r="S831" s="4" t="n">
        <x:v>0</x:v>
      </x:c>
      <x:c r="T831" s="1" t="str">
        <x:v>NOT_REVEALING</x:v>
      </x:c>
      <x:c r="U831" s="1" t="str">
        <x:v>Time_2</x:v>
      </x:c>
      <x:c r="V831" s="6" t="n">
        <x:v>59.61</x:v>
      </x:c>
    </x:row>
    <x:row r="832" ht="22" customHeight="1">
      <x:c r="A832" s="1" t="str">
        <x:v>Round1</x:v>
      </x:c>
      <x:c r="B832" s="1" t="str">
        <x:v>Time</x:v>
      </x:c>
      <x:c r="C832" s="4" t="n">
        <x:v>3</x:v>
      </x:c>
      <x:c r="D832" s="4" t="n">
        <x:v>0</x:v>
      </x:c>
      <x:c r="E832" s="4" t="n">
        <x:v>60</x:v>
      </x:c>
      <x:c r="F832" s="4" t="n">
        <x:v>56</x:v>
      </x:c>
      <x:c r="G832" s="5" t="n">
        <x:v>0.363</x:v>
      </x:c>
      <x:c r="H832" s="5" t="n">
        <x:v>0.40340000000000004</x:v>
      </x:c>
      <x:c r="I832" s="5" t="n">
        <x:v>0.13949999999999999</x:v>
      </x:c>
      <x:c r="J832" s="4" t="n">
        <x:v>281</x:v>
      </x:c>
      <x:c r="K832" s="4" t="n">
        <x:v>102</x:v>
      </x:c>
      <x:c r="L832" s="4" t="n">
        <x:v>238</x:v>
      </x:c>
      <x:c r="M832" s="4" t="n">
        <x:v>96</x:v>
      </x:c>
      <x:c r="N832" s="4" t="n">
        <x:v>43</x:v>
      </x:c>
      <x:c r="O832" s="4" t="n">
        <x:v>6</x:v>
      </x:c>
      <x:c r="P832" s="1" t="str">
        <x:v>FAIL</x:v>
      </x:c>
      <x:c r="Q832" s="4" t="n">
        <x:v>4</x:v>
      </x:c>
      <x:c r="R832" s="1" t="str">
        <x:v>FAIL</x:v>
      </x:c>
      <x:c r="S832" s="4" t="n">
        <x:v>4</x:v>
      </x:c>
      <x:c r="T832" s="1" t="str">
        <x:v>INCONCLUSIVE</x:v>
      </x:c>
      <x:c r="U832" s="1" t="str">
        <x:v>Time_3</x:v>
      </x:c>
      <x:c r="V832" s="6" t="n">
        <x:v>59.35</x:v>
      </x:c>
    </x:row>
    <x:row r="833" ht="22" customHeight="1">
      <x:c r="A833" s="1" t="str">
        <x:v>Round1</x:v>
      </x:c>
      <x:c r="B833" s="1" t="str">
        <x:v>Time</x:v>
      </x:c>
      <x:c r="C833" s="4" t="n">
        <x:v>4</x:v>
      </x:c>
      <x:c r="D833" s="4" t="n">
        <x:v>0</x:v>
      </x:c>
      <x:c r="E833" s="4" t="n">
        <x:v>60</x:v>
      </x:c>
      <x:c r="F833" s="4" t="n">
        <x:v>68</x:v>
      </x:c>
      <x:c r="G833" s="5" t="n">
        <x:v>0.34259999999999996</x:v>
      </x:c>
      <x:c r="H833" s="5" t="n">
        <x:v>0.4071</x:v>
      </x:c>
      <x:c r="I833" s="5" t="n">
        <x:v>0.1887</x:v>
      </x:c>
      <x:c r="J833" s="4" t="n">
        <x:v>359</x:v>
      </x:c>
      <x:c r="K833" s="4" t="n">
        <x:v>123</x:v>
      </x:c>
      <x:c r="L833" s="4" t="n">
        <x:v>253</x:v>
      </x:c>
      <x:c r="M833" s="4" t="n">
        <x:v>103</x:v>
      </x:c>
      <x:c r="N833" s="4" t="n">
        <x:v>106</x:v>
      </x:c>
      <x:c r="O833" s="4" t="n">
        <x:v>20</x:v>
      </x:c>
      <x:c r="P833" s="1" t="str">
        <x:v>PASS</x:v>
      </x:c>
      <x:c r="Q833" s="4" t="n">
        <x:v>0</x:v>
      </x:c>
      <x:c r="R833" s="1" t="str">
        <x:v>PASS</x:v>
      </x:c>
      <x:c r="S833" s="4" t="n">
        <x:v>0</x:v>
      </x:c>
      <x:c r="T833" s="1" t="str">
        <x:v>NOT_REVEALING</x:v>
      </x:c>
      <x:c r="U833" s="1" t="str">
        <x:v>Time_4</x:v>
      </x:c>
      <x:c r="V833" s="6" t="n">
        <x:v>55.66</x:v>
      </x:c>
    </x:row>
    <x:row r="834" ht="22" customHeight="1">
      <x:c r="A834" s="1" t="str">
        <x:v>Round1</x:v>
      </x:c>
      <x:c r="B834" s="1" t="str">
        <x:v>Time</x:v>
      </x:c>
      <x:c r="C834" s="4" t="n">
        <x:v>5</x:v>
      </x:c>
      <x:c r="D834" s="4" t="n">
        <x:v>0</x:v>
      </x:c>
      <x:c r="E834" s="4" t="n">
        <x:v>60</x:v>
      </x:c>
      <x:c r="F834" s="4" t="n">
        <x:v>57</x:v>
      </x:c>
      <x:c r="G834" s="5" t="n">
        <x:v>0.5188</x:v>
      </x:c>
      <x:c r="H834" s="5" t="n">
        <x:v>0.5548</x:v>
      </x:c>
      <x:c r="I834" s="5" t="n">
        <x:v>0.35479999999999995</x:v>
      </x:c>
      <x:c r="J834" s="4" t="n">
        <x:v>345</x:v>
      </x:c>
      <x:c r="K834" s="4" t="n">
        <x:v>179</x:v>
      </x:c>
      <x:c r="L834" s="4" t="n">
        <x:v>283</x:v>
      </x:c>
      <x:c r="M834" s="4" t="n">
        <x:v>157</x:v>
      </x:c>
      <x:c r="N834" s="4" t="n">
        <x:v>62</x:v>
      </x:c>
      <x:c r="O834" s="4" t="n">
        <x:v>22</x:v>
      </x:c>
      <x:c r="P834" s="1" t="str">
        <x:v>PASS</x:v>
      </x:c>
      <x:c r="Q834" s="4" t="n">
        <x:v>0</x:v>
      </x:c>
      <x:c r="R834" s="1" t="str">
        <x:v>PASS</x:v>
      </x:c>
      <x:c r="S834" s="4" t="n">
        <x:v>0</x:v>
      </x:c>
      <x:c r="T834" s="1" t="str">
        <x:v>NOT_REVEALING</x:v>
      </x:c>
      <x:c r="U834" s="1" t="str">
        <x:v>Time_5</x:v>
      </x:c>
      <x:c r="V834" s="6" t="n">
        <x:v>56.73</x:v>
      </x:c>
    </x:row>
    <x:row r="835" ht="22" customHeight="1">
      <x:c r="A835" s="1" t="str">
        <x:v>Round1</x:v>
      </x:c>
      <x:c r="B835" s="1" t="str">
        <x:v>Time</x:v>
      </x:c>
      <x:c r="C835" s="4" t="n">
        <x:v>6</x:v>
      </x:c>
      <x:c r="D835" s="4" t="n">
        <x:v>0</x:v>
      </x:c>
      <x:c r="E835" s="4" t="n">
        <x:v>60</x:v>
      </x:c>
      <x:c r="F835" s="4" t="n">
        <x:v>42</x:v>
      </x:c>
      <x:c r="G835" s="5" t="n">
        <x:v>0.36479999999999996</x:v>
      </x:c>
      <x:c r="H835" s="5" t="n">
        <x:v>0.446</x:v>
      </x:c>
      <x:c r="I835" s="5" t="n">
        <x:v>0.1905</x:v>
      </x:c>
      <x:c r="J835" s="4" t="n">
        <x:v>529</x:v>
      </x:c>
      <x:c r="K835" s="4" t="n">
        <x:v>193</x:v>
      </x:c>
      <x:c r="L835" s="4" t="n">
        <x:v>361</x:v>
      </x:c>
      <x:c r="M835" s="4" t="n">
        <x:v>161</x:v>
      </x:c>
      <x:c r="N835" s="4" t="n">
        <x:v>168</x:v>
      </x:c>
      <x:c r="O835" s="4" t="n">
        <x:v>32</x:v>
      </x:c>
      <x:c r="P835" s="1" t="str">
        <x:v>PASS</x:v>
      </x:c>
      <x:c r="Q835" s="4" t="n">
        <x:v>0</x:v>
      </x:c>
      <x:c r="R835" s="1" t="str">
        <x:v>PASS</x:v>
      </x:c>
      <x:c r="S835" s="4" t="n">
        <x:v>0</x:v>
      </x:c>
      <x:c r="T835" s="1" t="str">
        <x:v>NOT_REVEALING</x:v>
      </x:c>
      <x:c r="U835" s="1" t="str">
        <x:v>Time_6</x:v>
      </x:c>
      <x:c r="V835" s="6" t="n">
        <x:v>60.25</x:v>
      </x:c>
    </x:row>
    <x:row r="836" ht="22" customHeight="1">
      <x:c r="A836" s="1" t="str">
        <x:v>Round1</x:v>
      </x:c>
      <x:c r="B836" s="1" t="str">
        <x:v>Time</x:v>
      </x:c>
      <x:c r="C836" s="4" t="n">
        <x:v>7</x:v>
      </x:c>
      <x:c r="D836" s="4" t="n">
        <x:v>0</x:v>
      </x:c>
      <x:c r="E836" s="4" t="n">
        <x:v>60</x:v>
      </x:c>
      <x:c r="F836" s="4" t="n">
        <x:v>61</x:v>
      </x:c>
      <x:c r="G836" s="5" t="n">
        <x:v>0.2635</x:v>
      </x:c>
      <x:c r="H836" s="5" t="n">
        <x:v>0.3221</x:v>
      </x:c>
      <x:c r="I836" s="5" t="n">
        <x:v>0.125</x:v>
      </x:c>
      <x:c r="J836" s="4" t="n">
        <x:v>296</x:v>
      </x:c>
      <x:c r="K836" s="4" t="n">
        <x:v>78</x:v>
      </x:c>
      <x:c r="L836" s="4" t="n">
        <x:v>208</x:v>
      </x:c>
      <x:c r="M836" s="4" t="n">
        <x:v>67</x:v>
      </x:c>
      <x:c r="N836" s="4" t="n">
        <x:v>88</x:v>
      </x:c>
      <x:c r="O836" s="4" t="n">
        <x:v>11</x:v>
      </x:c>
      <x:c r="P836" s="1" t="str">
        <x:v>PASS</x:v>
      </x:c>
      <x:c r="Q836" s="4" t="n">
        <x:v>0</x:v>
      </x:c>
      <x:c r="R836" s="1" t="str">
        <x:v>PASS</x:v>
      </x:c>
      <x:c r="S836" s="4" t="n">
        <x:v>0</x:v>
      </x:c>
      <x:c r="T836" s="1" t="str">
        <x:v>NOT_REVEALING</x:v>
      </x:c>
      <x:c r="U836" s="1" t="str">
        <x:v>Time_7</x:v>
      </x:c>
      <x:c r="V836" s="6" t="n">
        <x:v>60.35</x:v>
      </x:c>
    </x:row>
    <x:row r="837" ht="22" customHeight="1">
      <x:c r="A837" s="1" t="str">
        <x:v>Round1</x:v>
      </x:c>
      <x:c r="B837" s="1" t="str">
        <x:v>Time</x:v>
      </x:c>
      <x:c r="C837" s="4" t="n">
        <x:v>8</x:v>
      </x:c>
      <x:c r="D837" s="4" t="n">
        <x:v>0</x:v>
      </x:c>
      <x:c r="E837" s="4" t="n">
        <x:v>60</x:v>
      </x:c>
      <x:c r="F837" s="4" t="n">
        <x:v>63</x:v>
      </x:c>
      <x:c r="G837" s="5" t="n">
        <x:v>0.621</x:v>
      </x:c>
      <x:c r="H837" s="5" t="n">
        <x:v>0.6986</x:v>
      </x:c>
      <x:c r="I837" s="5" t="n">
        <x:v>0.46630000000000005</x:v>
      </x:c>
      <x:c r="J837" s="4" t="n">
        <x:v>533</x:v>
      </x:c>
      <x:c r="K837" s="4" t="n">
        <x:v>331</x:v>
      </x:c>
      <x:c r="L837" s="4" t="n">
        <x:v>355</x:v>
      </x:c>
      <x:c r="M837" s="4" t="n">
        <x:v>248</x:v>
      </x:c>
      <x:c r="N837" s="4" t="n">
        <x:v>178</x:v>
      </x:c>
      <x:c r="O837" s="4" t="n">
        <x:v>83</x:v>
      </x:c>
      <x:c r="P837" s="1" t="str">
        <x:v>FAIL</x:v>
      </x:c>
      <x:c r="Q837" s="4" t="n">
        <x:v>5</x:v>
      </x:c>
      <x:c r="R837" s="1" t="str">
        <x:v>FAIL</x:v>
      </x:c>
      <x:c r="S837" s="4" t="n">
        <x:v>5</x:v>
      </x:c>
      <x:c r="T837" s="1" t="str">
        <x:v>INCONCLUSIVE</x:v>
      </x:c>
      <x:c r="U837" s="1" t="str">
        <x:v>Time_8</x:v>
      </x:c>
      <x:c r="V837" s="6" t="n">
        <x:v>49.72</x:v>
      </x:c>
    </x:row>
    <x:row r="838" ht="22" customHeight="1">
      <x:c r="A838" s="1" t="str">
        <x:v>Round1</x:v>
      </x:c>
      <x:c r="B838" s="1" t="str">
        <x:v>Time</x:v>
      </x:c>
      <x:c r="C838" s="4" t="n">
        <x:v>9</x:v>
      </x:c>
      <x:c r="D838" s="4" t="n">
        <x:v>0</x:v>
      </x:c>
      <x:c r="E838" s="4" t="n">
        <x:v>60</x:v>
      </x:c>
      <x:c r="F838" s="4" t="n">
        <x:v>61</x:v>
      </x:c>
      <x:c r="G838" s="5" t="n">
        <x:v>0.46259999999999996</x:v>
      </x:c>
      <x:c r="H838" s="5" t="n">
        <x:v>0.5071</x:v>
      </x:c>
      <x:c r="I838" s="5" t="n">
        <x:v>0.37060000000000004</x:v>
      </x:c>
      <x:c r="J838" s="4" t="n">
        <x:v>521</x:v>
      </x:c>
      <x:c r="K838" s="4" t="n">
        <x:v>241</x:v>
      </x:c>
      <x:c r="L838" s="4" t="n">
        <x:v>351</x:v>
      </x:c>
      <x:c r="M838" s="4" t="n">
        <x:v>178</x:v>
      </x:c>
      <x:c r="N838" s="4" t="n">
        <x:v>170</x:v>
      </x:c>
      <x:c r="O838" s="4" t="n">
        <x:v>63</x:v>
      </x:c>
      <x:c r="P838" s="1" t="str">
        <x:v>PASS</x:v>
      </x:c>
      <x:c r="Q838" s="4" t="n">
        <x:v>0</x:v>
      </x:c>
      <x:c r="R838" s="1" t="str">
        <x:v>FAIL</x:v>
      </x:c>
      <x:c r="S838" s="4" t="n">
        <x:v>68</x:v>
      </x:c>
      <x:c r="T838" s="1" t="str">
        <x:v>INCONCLUSIVE</x:v>
      </x:c>
      <x:c r="U838" s="1" t="str">
        <x:v>Time_9</x:v>
      </x:c>
      <x:c r="V838" s="6" t="n">
        <x:v>39.67</x:v>
      </x:c>
    </x:row>
    <x:row r="839" ht="22" customHeight="1">
      <x:c r="A839" s="1" t="str">
        <x:v>Round1</x:v>
      </x:c>
      <x:c r="B839" s="1" t="str">
        <x:v>Time</x:v>
      </x:c>
      <x:c r="C839" s="4" t="n">
        <x:v>10</x:v>
      </x:c>
      <x:c r="D839" s="4" t="n">
        <x:v>0</x:v>
      </x:c>
      <x:c r="E839" s="4" t="n">
        <x:v>60</x:v>
      </x:c>
      <x:c r="F839" s="4" t="n">
        <x:v>27</x:v>
      </x:c>
      <x:c r="G839" s="5" t="n">
        <x:v>0.07690000000000001</x:v>
      </x:c>
      <x:c r="H839" s="5" t="n">
        <x:v>0.08449999999999999</x:v>
      </x:c>
      <x:c r="I839" s="5" t="n">
        <x:v>0.0652</x:v>
      </x:c>
      <x:c r="J839" s="4" t="n">
        <x:v>117</x:v>
      </x:c>
      <x:c r="K839" s="4" t="n">
        <x:v>9</x:v>
      </x:c>
      <x:c r="L839" s="4" t="n">
        <x:v>71</x:v>
      </x:c>
      <x:c r="M839" s="4" t="n">
        <x:v>6</x:v>
      </x:c>
      <x:c r="N839" s="4" t="n">
        <x:v>46</x:v>
      </x:c>
      <x:c r="O839" s="4" t="n">
        <x:v>3</x:v>
      </x:c>
      <x:c r="P839" s="1" t="str">
        <x:v>PASS</x:v>
      </x:c>
      <x:c r="Q839" s="4" t="n">
        <x:v>0</x:v>
      </x:c>
      <x:c r="R839" s="1" t="str">
        <x:v>PASS</x:v>
      </x:c>
      <x:c r="S839" s="4" t="n">
        <x:v>0</x:v>
      </x:c>
      <x:c r="T839" s="1" t="str">
        <x:v>NOT_REVEALING</x:v>
      </x:c>
      <x:c r="U839" s="1" t="str">
        <x:v>Time_10</x:v>
      </x:c>
      <x:c r="V839" s="6" t="n">
        <x:v>49.38</x:v>
      </x:c>
    </x:row>
    <x:row r="840" ht="22" customHeight="1">
      <x:c r="A840" s="1" t="str">
        <x:v>Round1</x:v>
      </x:c>
      <x:c r="B840" s="1" t="str">
        <x:v>Time</x:v>
      </x:c>
      <x:c r="C840" s="4" t="n">
        <x:v>11</x:v>
      </x:c>
      <x:c r="D840" s="4" t="n">
        <x:v>0</x:v>
      </x:c>
      <x:c r="E840" s="4" t="n">
        <x:v>60</x:v>
      </x:c>
      <x:c r="F840" s="4" t="n">
        <x:v>69</x:v>
      </x:c>
      <x:c r="G840" s="5" t="n">
        <x:v>0.15869999999999998</x:v>
      </x:c>
      <x:c r="H840" s="5" t="n">
        <x:v>0.1807</x:v>
      </x:c>
      <x:c r="I840" s="5" t="n">
        <x:v>0.114</x:v>
      </x:c>
      <x:c r="J840" s="4" t="n">
        <x:v>586</x:v>
      </x:c>
      <x:c r="K840" s="4" t="n">
        <x:v>93</x:v>
      </x:c>
      <x:c r="L840" s="4" t="n">
        <x:v>393</x:v>
      </x:c>
      <x:c r="M840" s="4" t="n">
        <x:v>71</x:v>
      </x:c>
      <x:c r="N840" s="4" t="n">
        <x:v>193</x:v>
      </x:c>
      <x:c r="O840" s="4" t="n">
        <x:v>22</x:v>
      </x:c>
      <x:c r="P840" s="1" t="str">
        <x:v>PASS</x:v>
      </x:c>
      <x:c r="Q840" s="4" t="n">
        <x:v>0</x:v>
      </x:c>
      <x:c r="R840" s="1" t="str">
        <x:v>PASS</x:v>
      </x:c>
      <x:c r="S840" s="4" t="n">
        <x:v>0</x:v>
      </x:c>
      <x:c r="T840" s="1" t="str">
        <x:v>NOT_REVEALING</x:v>
      </x:c>
      <x:c r="U840" s="1" t="str">
        <x:v>Time_11</x:v>
      </x:c>
      <x:c r="V840" s="6" t="n">
        <x:v>51.87</x:v>
      </x:c>
    </x:row>
    <x:row r="841" ht="22" customHeight="1">
      <x:c r="A841" s="1" t="str">
        <x:v>Round1</x:v>
      </x:c>
      <x:c r="B841" s="1" t="str">
        <x:v>Time</x:v>
      </x:c>
      <x:c r="C841" s="4" t="n">
        <x:v>12</x:v>
      </x:c>
      <x:c r="D841" s="4" t="n">
        <x:v>0</x:v>
      </x:c>
      <x:c r="E841" s="4" t="n">
        <x:v>60</x:v>
      </x:c>
      <x:c r="F841" s="4" t="n">
        <x:v>49</x:v>
      </x:c>
      <x:c r="G841" s="5" t="n">
        <x:v>0.2433</x:v>
      </x:c>
      <x:c r="H841" s="5" t="n">
        <x:v>0.2711</x:v>
      </x:c>
      <x:c r="I841" s="5" t="n">
        <x:v>0.1653</x:v>
      </x:c>
      <x:c r="J841" s="4" t="n">
        <x:v>900</x:v>
      </x:c>
      <x:c r="K841" s="4" t="n">
        <x:v>219</x:v>
      </x:c>
      <x:c r="L841" s="4" t="n">
        <x:v>664</x:v>
      </x:c>
      <x:c r="M841" s="4" t="n">
        <x:v>180</x:v>
      </x:c>
      <x:c r="N841" s="4" t="n">
        <x:v>236</x:v>
      </x:c>
      <x:c r="O841" s="4" t="n">
        <x:v>39</x:v>
      </x:c>
      <x:c r="P841" s="1" t="str">
        <x:v>FAIL</x:v>
      </x:c>
      <x:c r="Q841" s="4" t="n">
        <x:v>8</x:v>
      </x:c>
      <x:c r="R841" s="1" t="str">
        <x:v>FAIL</x:v>
      </x:c>
      <x:c r="S841" s="4" t="n">
        <x:v>8</x:v>
      </x:c>
      <x:c r="T841" s="1" t="str">
        <x:v>INCONCLUSIVE</x:v>
      </x:c>
      <x:c r="U841" s="1" t="str">
        <x:v>Time_12</x:v>
      </x:c>
      <x:c r="V841" s="6" t="n">
        <x:v>52.57</x:v>
      </x:c>
    </x:row>
    <x:row r="842" ht="22" customHeight="1">
      <x:c r="A842" s="1" t="str">
        <x:v>Round1</x:v>
      </x:c>
      <x:c r="B842" s="1" t="str">
        <x:v>Time</x:v>
      </x:c>
      <x:c r="C842" s="4" t="n">
        <x:v>13</x:v>
      </x:c>
      <x:c r="D842" s="4" t="n">
        <x:v>0</x:v>
      </x:c>
      <x:c r="E842" s="4" t="n">
        <x:v>60</x:v>
      </x:c>
      <x:c r="F842" s="4" t="n">
        <x:v>41</x:v>
      </x:c>
      <x:c r="G842" s="5" t="n">
        <x:v>0.2989</x:v>
      </x:c>
      <x:c r="H842" s="5" t="n">
        <x:v>0.3884</x:v>
      </x:c>
      <x:c r="I842" s="5" t="n">
        <x:v>0.1659</x:v>
      </x:c>
      <x:c r="J842" s="4" t="n">
        <x:v>1124</x:v>
      </x:c>
      <x:c r="K842" s="4" t="n">
        <x:v>336</x:v>
      </x:c>
      <x:c r="L842" s="4" t="n">
        <x:v>672</x:v>
      </x:c>
      <x:c r="M842" s="4" t="n">
        <x:v>261</x:v>
      </x:c>
      <x:c r="N842" s="4" t="n">
        <x:v>452</x:v>
      </x:c>
      <x:c r="O842" s="4" t="n">
        <x:v>75</x:v>
      </x:c>
      <x:c r="P842" s="1" t="str">
        <x:v>PASS</x:v>
      </x:c>
      <x:c r="Q842" s="4" t="n">
        <x:v>0</x:v>
      </x:c>
      <x:c r="R842" s="1" t="str">
        <x:v>PASS</x:v>
      </x:c>
      <x:c r="S842" s="4" t="n">
        <x:v>0</x:v>
      </x:c>
      <x:c r="T842" s="1" t="str">
        <x:v>NOT_REVEALING</x:v>
      </x:c>
      <x:c r="U842" s="1" t="str">
        <x:v>Time_13</x:v>
      </x:c>
      <x:c r="V842" s="6" t="n">
        <x:v>52.49</x:v>
      </x:c>
    </x:row>
    <x:row r="843" ht="22" customHeight="1">
      <x:c r="A843" s="1" t="str">
        <x:v>Round1</x:v>
      </x:c>
      <x:c r="B843" s="1" t="str">
        <x:v>Time</x:v>
      </x:c>
      <x:c r="C843" s="4" t="n">
        <x:v>14</x:v>
      </x:c>
      <x:c r="D843" s="4" t="n">
        <x:v>0</x:v>
      </x:c>
      <x:c r="E843" s="4" t="n">
        <x:v>60</x:v>
      </x:c>
      <x:c r="F843" s="4" t="n">
        <x:v>20</x:v>
      </x:c>
      <x:c r="G843" s="5" t="n">
        <x:v>0.0062</x:v>
      </x:c>
      <x:c r="H843" s="5" t="n">
        <x:v>0.0088</x:v>
      </x:c>
      <x:c r="I843" s="5" t="n">
        <x:v>0</x:v>
      </x:c>
      <x:c r="J843" s="4" t="n">
        <x:v>160</x:v>
      </x:c>
      <x:c r="K843" s="4" t="n">
        <x:v>1</x:v>
      </x:c>
      <x:c r="L843" s="4" t="n">
        <x:v>114</x:v>
      </x:c>
      <x:c r="M843" s="4" t="n">
        <x:v>1</x:v>
      </x:c>
      <x:c r="N843" s="4" t="n">
        <x:v>46</x:v>
      </x:c>
      <x:c r="O843" s="4" t="n">
        <x:v>0</x:v>
      </x:c>
      <x:c r="P843" s="1" t="str">
        <x:v>PASS</x:v>
      </x:c>
      <x:c r="Q843" s="4" t="n">
        <x:v>0</x:v>
      </x:c>
      <x:c r="R843" s="1" t="str">
        <x:v>PASS</x:v>
      </x:c>
      <x:c r="S843" s="4" t="n">
        <x:v>0</x:v>
      </x:c>
      <x:c r="T843" s="1" t="str">
        <x:v>NOT_REVEALING</x:v>
      </x:c>
      <x:c r="U843" s="1" t="str">
        <x:v>Time_14</x:v>
      </x:c>
      <x:c r="V843" s="6" t="n">
        <x:v>52.98</x:v>
      </x:c>
    </x:row>
    <x:row r="844" ht="22" customHeight="1">
      <x:c r="A844" s="1" t="str">
        <x:v>Round1</x:v>
      </x:c>
      <x:c r="B844" s="1" t="str">
        <x:v>Time</x:v>
      </x:c>
      <x:c r="C844" s="4" t="n">
        <x:v>15</x:v>
      </x:c>
      <x:c r="D844" s="4" t="n">
        <x:v>0</x:v>
      </x:c>
      <x:c r="E844" s="4" t="n">
        <x:v>60</x:v>
      </x:c>
      <x:c r="F844" s="4" t="n">
        <x:v>95</x:v>
      </x:c>
      <x:c r="G844" s="5" t="n">
        <x:v>0.6897</x:v>
      </x:c>
      <x:c r="H844" s="5" t="n">
        <x:v>0.76</x:v>
      </x:c>
      <x:c r="I844" s="5" t="n">
        <x:v>0.6143</x:v>
      </x:c>
      <x:c r="J844" s="4" t="n">
        <x:v>145</x:v>
      </x:c>
      <x:c r="K844" s="4" t="n">
        <x:v>100</x:v>
      </x:c>
      <x:c r="L844" s="4" t="n">
        <x:v>75</x:v>
      </x:c>
      <x:c r="M844" s="4" t="n">
        <x:v>57</x:v>
      </x:c>
      <x:c r="N844" s="4" t="n">
        <x:v>70</x:v>
      </x:c>
      <x:c r="O844" s="4" t="n">
        <x:v>43</x:v>
      </x:c>
      <x:c r="P844" s="1" t="str">
        <x:v>PASS</x:v>
      </x:c>
      <x:c r="Q844" s="4" t="n">
        <x:v>0</x:v>
      </x:c>
      <x:c r="R844" s="1" t="str">
        <x:v>PASS</x:v>
      </x:c>
      <x:c r="S844" s="4" t="n">
        <x:v>0</x:v>
      </x:c>
      <x:c r="T844" s="1" t="str">
        <x:v>NOT_REVEALING</x:v>
      </x:c>
      <x:c r="U844" s="1" t="str">
        <x:v>Time_15</x:v>
      </x:c>
      <x:c r="V844" s="6" t="n">
        <x:v>57.29</x:v>
      </x:c>
    </x:row>
    <x:row r="845" ht="22" customHeight="1">
      <x:c r="A845" s="1" t="str">
        <x:v>Round1</x:v>
      </x:c>
      <x:c r="B845" s="1" t="str">
        <x:v>Time</x:v>
      </x:c>
      <x:c r="C845" s="4" t="n">
        <x:v>16</x:v>
      </x:c>
      <x:c r="D845" s="4" t="n">
        <x:v>0</x:v>
      </x:c>
      <x:c r="E845" s="4" t="n">
        <x:v>60</x:v>
      </x:c>
      <x:c r="F845" s="4" t="n">
        <x:v>62</x:v>
      </x:c>
      <x:c r="G845" s="5" t="n">
        <x:v>0.2644</x:v>
      </x:c>
      <x:c r="H845" s="5" t="n">
        <x:v>0.3237</x:v>
      </x:c>
      <x:c r="I845" s="5" t="n">
        <x:v>0.125</x:v>
      </x:c>
      <x:c r="J845" s="4" t="n">
        <x:v>295</x:v>
      </x:c>
      <x:c r="K845" s="4" t="n">
        <x:v>78</x:v>
      </x:c>
      <x:c r="L845" s="4" t="n">
        <x:v>207</x:v>
      </x:c>
      <x:c r="M845" s="4" t="n">
        <x:v>67</x:v>
      </x:c>
      <x:c r="N845" s="4" t="n">
        <x:v>88</x:v>
      </x:c>
      <x:c r="O845" s="4" t="n">
        <x:v>11</x:v>
      </x:c>
      <x:c r="P845" s="1" t="str">
        <x:v>PASS</x:v>
      </x:c>
      <x:c r="Q845" s="4" t="n">
        <x:v>0</x:v>
      </x:c>
      <x:c r="R845" s="1" t="str">
        <x:v>PASS</x:v>
      </x:c>
      <x:c r="S845" s="4" t="n">
        <x:v>0</x:v>
      </x:c>
      <x:c r="T845" s="1" t="str">
        <x:v>NOT_REVEALING</x:v>
      </x:c>
      <x:c r="U845" s="1" t="str">
        <x:v>Time_16</x:v>
      </x:c>
      <x:c r="V845" s="6" t="n">
        <x:v>59.33</x:v>
      </x:c>
    </x:row>
    <x:row r="846" ht="22" customHeight="1">
      <x:c r="A846" s="1" t="str">
        <x:v>Round1</x:v>
      </x:c>
      <x:c r="B846" s="1" t="str">
        <x:v>Time</x:v>
      </x:c>
      <x:c r="C846" s="4" t="n">
        <x:v>17</x:v>
      </x:c>
      <x:c r="D846" s="4" t="n">
        <x:v>0</x:v>
      </x:c>
      <x:c r="E846" s="4" t="n">
        <x:v>60</x:v>
      </x:c>
      <x:c r="F846" s="4" t="n">
        <x:v>47</x:v>
      </x:c>
      <x:c r="G846" s="5" t="n">
        <x:v>0.45539999999999997</x:v>
      </x:c>
      <x:c r="H846" s="5" t="n">
        <x:v>0.49560000000000004</x:v>
      </x:c>
      <x:c r="I846" s="5" t="n">
        <x:v>0.3704</x:v>
      </x:c>
      <x:c r="J846" s="4" t="n">
        <x:v>505</x:v>
      </x:c>
      <x:c r="K846" s="4" t="n">
        <x:v>230</x:v>
      </x:c>
      <x:c r="L846" s="4" t="n">
        <x:v>343</x:v>
      </x:c>
      <x:c r="M846" s="4" t="n">
        <x:v>170</x:v>
      </x:c>
      <x:c r="N846" s="4" t="n">
        <x:v>162</x:v>
      </x:c>
      <x:c r="O846" s="4" t="n">
        <x:v>60</x:v>
      </x:c>
      <x:c r="P846" s="1" t="str">
        <x:v>PASS</x:v>
      </x:c>
      <x:c r="Q846" s="4" t="n">
        <x:v>0</x:v>
      </x:c>
      <x:c r="R846" s="1" t="str">
        <x:v>PASS</x:v>
      </x:c>
      <x:c r="S846" s="4" t="n">
        <x:v>0</x:v>
      </x:c>
      <x:c r="T846" s="1" t="str">
        <x:v>NOT_REVEALING</x:v>
      </x:c>
      <x:c r="U846" s="1" t="str">
        <x:v>Time_17</x:v>
      </x:c>
      <x:c r="V846" s="6" t="n">
        <x:v>58.73</x:v>
      </x:c>
    </x:row>
    <x:row r="847" ht="22" customHeight="1">
      <x:c r="A847" s="1" t="str">
        <x:v>Round1</x:v>
      </x:c>
      <x:c r="B847" s="1" t="str">
        <x:v>Time</x:v>
      </x:c>
      <x:c r="C847" s="4" t="n">
        <x:v>18</x:v>
      </x:c>
      <x:c r="D847" s="4" t="n">
        <x:v>0</x:v>
      </x:c>
      <x:c r="E847" s="4" t="n">
        <x:v>60</x:v>
      </x:c>
      <x:c r="F847" s="4" t="n">
        <x:v>44</x:v>
      </x:c>
      <x:c r="G847" s="5" t="n">
        <x:v>0.377</x:v>
      </x:c>
      <x:c r="H847" s="5" t="n">
        <x:v>0.45640000000000003</x:v>
      </x:c>
      <x:c r="I847" s="5" t="n">
        <x:v>0.1974</x:v>
      </x:c>
      <x:c r="J847" s="4" t="n">
        <x:v>496</x:v>
      </x:c>
      <x:c r="K847" s="4" t="n">
        <x:v>187</x:v>
      </x:c>
      <x:c r="L847" s="4" t="n">
        <x:v>344</x:v>
      </x:c>
      <x:c r="M847" s="4" t="n">
        <x:v>157</x:v>
      </x:c>
      <x:c r="N847" s="4" t="n">
        <x:v>152</x:v>
      </x:c>
      <x:c r="O847" s="4" t="n">
        <x:v>30</x:v>
      </x:c>
      <x:c r="P847" s="1" t="str">
        <x:v>PASS</x:v>
      </x:c>
      <x:c r="Q847" s="4" t="n">
        <x:v>0</x:v>
      </x:c>
      <x:c r="R847" s="1" t="str">
        <x:v>PASS</x:v>
      </x:c>
      <x:c r="S847" s="4" t="n">
        <x:v>0</x:v>
      </x:c>
      <x:c r="T847" s="1" t="str">
        <x:v>NOT_REVEALING</x:v>
      </x:c>
      <x:c r="U847" s="1" t="str">
        <x:v>Time_18</x:v>
      </x:c>
      <x:c r="V847" s="6" t="n">
        <x:v>57.31</x:v>
      </x:c>
    </x:row>
    <x:row r="848" ht="22" customHeight="1">
      <x:c r="A848" s="1" t="str">
        <x:v>Round1</x:v>
      </x:c>
      <x:c r="B848" s="1" t="str">
        <x:v>Time</x:v>
      </x:c>
      <x:c r="C848" s="4" t="n">
        <x:v>19</x:v>
      </x:c>
      <x:c r="D848" s="4" t="n">
        <x:v>0</x:v>
      </x:c>
      <x:c r="E848" s="4" t="n">
        <x:v>60</x:v>
      </x:c>
      <x:c r="F848" s="4" t="n">
        <x:v>58</x:v>
      </x:c>
      <x:c r="G848" s="5" t="n">
        <x:v>0.4772</x:v>
      </x:c>
      <x:c r="H848" s="5" t="n">
        <x:v>0.5131</x:v>
      </x:c>
      <x:c r="I848" s="5" t="n">
        <x:v>0.4012</x:v>
      </x:c>
      <x:c r="J848" s="4" t="n">
        <x:v>505</x:v>
      </x:c>
      <x:c r="K848" s="4" t="n">
        <x:v>241</x:v>
      </x:c>
      <x:c r="L848" s="4" t="n">
        <x:v>343</x:v>
      </x:c>
      <x:c r="M848" s="4" t="n">
        <x:v>176</x:v>
      </x:c>
      <x:c r="N848" s="4" t="n">
        <x:v>162</x:v>
      </x:c>
      <x:c r="O848" s="4" t="n">
        <x:v>65</x:v>
      </x:c>
      <x:c r="P848" s="1" t="str">
        <x:v>PASS</x:v>
      </x:c>
      <x:c r="Q848" s="4" t="n">
        <x:v>0</x:v>
      </x:c>
      <x:c r="R848" s="1" t="str">
        <x:v>PASS</x:v>
      </x:c>
      <x:c r="S848" s="4" t="n">
        <x:v>0</x:v>
      </x:c>
      <x:c r="T848" s="1" t="str">
        <x:v>NOT_REVEALING</x:v>
      </x:c>
      <x:c r="U848" s="1" t="str">
        <x:v>Time_19</x:v>
      </x:c>
      <x:c r="V848" s="6" t="n">
        <x:v>63.32</x:v>
      </x:c>
    </x:row>
    <x:row r="849" ht="22" customHeight="1">
      <x:c r="A849" s="1" t="str">
        <x:v>Round1</x:v>
      </x:c>
      <x:c r="B849" s="1" t="str">
        <x:v>Time</x:v>
      </x:c>
      <x:c r="C849" s="4" t="n">
        <x:v>20</x:v>
      </x:c>
      <x:c r="D849" s="4" t="n">
        <x:v>0</x:v>
      </x:c>
      <x:c r="E849" s="4" t="n">
        <x:v>60</x:v>
      </x:c>
      <x:c r="F849" s="4" t="n">
        <x:v>44</x:v>
      </x:c>
      <x:c r="G849" s="5" t="n">
        <x:v>0.11410000000000001</x:v>
      </x:c>
      <x:c r="H849" s="5" t="n">
        <x:v>0.1433</x:v>
      </x:c>
      <x:c r="I849" s="5" t="n">
        <x:v>0.06280000000000001</x:v>
      </x:c>
      <x:c r="J849" s="4" t="n">
        <x:v>1622</x:v>
      </x:c>
      <x:c r="K849" s="4" t="n">
        <x:v>185</x:v>
      </x:c>
      <x:c r="L849" s="4" t="n">
        <x:v>1033</x:v>
      </x:c>
      <x:c r="M849" s="4" t="n">
        <x:v>148</x:v>
      </x:c>
      <x:c r="N849" s="4" t="n">
        <x:v>589</x:v>
      </x:c>
      <x:c r="O849" s="4" t="n">
        <x:v>37</x:v>
      </x:c>
      <x:c r="P849" s="1" t="str">
        <x:v>PASS</x:v>
      </x:c>
      <x:c r="Q849" s="4" t="n">
        <x:v>0</x:v>
      </x:c>
      <x:c r="R849" s="1" t="str">
        <x:v>PASS</x:v>
      </x:c>
      <x:c r="S849" s="4" t="n">
        <x:v>0</x:v>
      </x:c>
      <x:c r="T849" s="1" t="str">
        <x:v>NOT_REVEALING</x:v>
      </x:c>
      <x:c r="U849" s="1" t="str">
        <x:v>Time_20</x:v>
      </x:c>
      <x:c r="V849" s="6" t="n">
        <x:v>62.57</x:v>
      </x:c>
    </x:row>
    <x:row r="850" ht="22" customHeight="1">
      <x:c r="A850" s="1" t="str">
        <x:v>Round1</x:v>
      </x:c>
      <x:c r="B850" s="1" t="str">
        <x:v>Time</x:v>
      </x:c>
      <x:c r="C850" s="4" t="n">
        <x:v>22</x:v>
      </x:c>
      <x:c r="D850" s="4" t="n">
        <x:v>0</x:v>
      </x:c>
      <x:c r="E850" s="4" t="n">
        <x:v>60</x:v>
      </x:c>
      <x:c r="F850" s="4" t="n">
        <x:v>1</x:v>
      </x:c>
      <x:c r="G850" s="5" t="n">
        <x:v>0</x:v>
      </x:c>
      <x:c r="H850" s="5" t="n">
        <x:v>0</x:v>
      </x:c>
      <x:c r="I850" s="5" t="n">
        <x:v>0</x:v>
      </x:c>
      <x:c r="J850" s="4" t="n">
        <x:v>229</x:v>
      </x:c>
      <x:c r="K850" s="4" t="n">
        <x:v>0</x:v>
      </x:c>
      <x:c r="L850" s="4" t="n">
        <x:v>171</x:v>
      </x:c>
      <x:c r="M850" s="4" t="n">
        <x:v>0</x:v>
      </x:c>
      <x:c r="N850" s="4" t="n">
        <x:v>58</x:v>
      </x:c>
      <x:c r="O850" s="4" t="n">
        <x:v>0</x:v>
      </x:c>
      <x:c r="P850" s="1" t="str">
        <x:v>PASS</x:v>
      </x:c>
      <x:c r="Q850" s="4" t="n">
        <x:v>0</x:v>
      </x:c>
      <x:c r="R850" s="1" t="str">
        <x:v>PASS</x:v>
      </x:c>
      <x:c r="S850" s="4" t="n">
        <x:v>0</x:v>
      </x:c>
      <x:c r="T850" s="1" t="str">
        <x:v>NOT_REVEALING</x:v>
      </x:c>
      <x:c r="U850" s="1" t="str">
        <x:v>Time_22</x:v>
      </x:c>
      <x:c r="V850" s="6" t="n">
        <x:v>56.5</x:v>
      </x:c>
    </x:row>
    <x:row r="851" ht="22" customHeight="1">
      <x:c r="A851" s="1" t="str">
        <x:v>Round1</x:v>
      </x:c>
      <x:c r="B851" s="1" t="str">
        <x:v>Time</x:v>
      </x:c>
      <x:c r="C851" s="4" t="n">
        <x:v>23</x:v>
      </x:c>
      <x:c r="D851" s="4" t="n">
        <x:v>0</x:v>
      </x:c>
      <x:c r="E851" s="4" t="n">
        <x:v>60</x:v>
      </x:c>
      <x:c r="F851" s="4" t="n">
        <x:v>50</x:v>
      </x:c>
      <x:c r="G851" s="5" t="n">
        <x:v>0.4742</x:v>
      </x:c>
      <x:c r="H851" s="5" t="n">
        <x:v>0.5146000000000001</x:v>
      </x:c>
      <x:c r="I851" s="5" t="n">
        <x:v>0.3889</x:v>
      </x:c>
      <x:c r="J851" s="4" t="n">
        <x:v>504</x:v>
      </x:c>
      <x:c r="K851" s="4" t="n">
        <x:v>239</x:v>
      </x:c>
      <x:c r="L851" s="4" t="n">
        <x:v>342</x:v>
      </x:c>
      <x:c r="M851" s="4" t="n">
        <x:v>176</x:v>
      </x:c>
      <x:c r="N851" s="4" t="n">
        <x:v>162</x:v>
      </x:c>
      <x:c r="O851" s="4" t="n">
        <x:v>63</x:v>
      </x:c>
      <x:c r="P851" s="1" t="str">
        <x:v>PASS</x:v>
      </x:c>
      <x:c r="Q851" s="4" t="n">
        <x:v>0</x:v>
      </x:c>
      <x:c r="R851" s="1" t="str">
        <x:v>PASS</x:v>
      </x:c>
      <x:c r="S851" s="4" t="n">
        <x:v>0</x:v>
      </x:c>
      <x:c r="T851" s="1" t="str">
        <x:v>NOT_REVEALING</x:v>
      </x:c>
      <x:c r="U851" s="1" t="str">
        <x:v>Time_23</x:v>
      </x:c>
      <x:c r="V851" s="6" t="n">
        <x:v>64.17</x:v>
      </x:c>
    </x:row>
    <x:row r="852" ht="22" customHeight="1">
      <x:c r="A852" s="1" t="str">
        <x:v>Round1</x:v>
      </x:c>
      <x:c r="B852" s="1" t="str">
        <x:v>Time</x:v>
      </x:c>
      <x:c r="C852" s="4" t="n">
        <x:v>24</x:v>
      </x:c>
      <x:c r="D852" s="4" t="n">
        <x:v>0</x:v>
      </x:c>
      <x:c r="E852" s="4" t="n">
        <x:v>60</x:v>
      </x:c>
      <x:c r="F852" s="4" t="n">
        <x:v>45</x:v>
      </x:c>
      <x:c r="G852" s="5" t="n">
        <x:v>0.48560000000000003</x:v>
      </x:c>
      <x:c r="H852" s="5" t="n">
        <x:v>0.5694</x:v>
      </x:c>
      <x:c r="I852" s="5" t="n">
        <x:v>0.2969</x:v>
      </x:c>
      <x:c r="J852" s="4" t="n">
        <x:v>208</x:v>
      </x:c>
      <x:c r="K852" s="4" t="n">
        <x:v>101</x:v>
      </x:c>
      <x:c r="L852" s="4" t="n">
        <x:v>144</x:v>
      </x:c>
      <x:c r="M852" s="4" t="n">
        <x:v>82</x:v>
      </x:c>
      <x:c r="N852" s="4" t="n">
        <x:v>64</x:v>
      </x:c>
      <x:c r="O852" s="4" t="n">
        <x:v>19</x:v>
      </x:c>
      <x:c r="P852" s="1" t="str">
        <x:v>FAIL</x:v>
      </x:c>
      <x:c r="Q852" s="4" t="n">
        <x:v>14</x:v>
      </x:c>
      <x:c r="R852" s="1" t="str">
        <x:v>FAIL</x:v>
      </x:c>
      <x:c r="S852" s="4" t="n">
        <x:v>14</x:v>
      </x:c>
      <x:c r="T852" s="1" t="str">
        <x:v>INCONCLUSIVE</x:v>
      </x:c>
      <x:c r="U852" s="1" t="str">
        <x:v>Time_24</x:v>
      </x:c>
      <x:c r="V852" s="6" t="n">
        <x:v>66.04</x:v>
      </x:c>
    </x:row>
    <x:row r="853" ht="22" customHeight="1">
      <x:c r="A853" s="1" t="str">
        <x:v>Round1</x:v>
      </x:c>
      <x:c r="B853" s="1" t="str">
        <x:v>Time</x:v>
      </x:c>
      <x:c r="C853" s="4" t="n">
        <x:v>25</x:v>
      </x:c>
      <x:c r="D853" s="4" t="n">
        <x:v>0</x:v>
      </x:c>
      <x:c r="E853" s="4" t="n">
        <x:v>60</x:v>
      </x:c>
      <x:c r="F853" s="4" t="n">
        <x:v>54</x:v>
      </x:c>
      <x:c r="G853" s="5" t="n">
        <x:v>0.6396000000000001</x:v>
      </x:c>
      <x:c r="H853" s="5" t="n">
        <x:v>0.7073</x:v>
      </x:c>
      <x:c r="I853" s="5" t="n">
        <x:v>0.49340000000000006</x:v>
      </x:c>
      <x:c r="J853" s="4" t="n">
        <x:v>480</x:v>
      </x:c>
      <x:c r="K853" s="4" t="n">
        <x:v>307</x:v>
      </x:c>
      <x:c r="L853" s="4" t="n">
        <x:v>328</x:v>
      </x:c>
      <x:c r="M853" s="4" t="n">
        <x:v>232</x:v>
      </x:c>
      <x:c r="N853" s="4" t="n">
        <x:v>152</x:v>
      </x:c>
      <x:c r="O853" s="4" t="n">
        <x:v>75</x:v>
      </x:c>
      <x:c r="P853" s="1" t="str">
        <x:v>FAIL</x:v>
      </x:c>
      <x:c r="Q853" s="4" t="n">
        <x:v>29</x:v>
      </x:c>
      <x:c r="R853" s="1" t="str">
        <x:v>FAIL</x:v>
      </x:c>
      <x:c r="S853" s="4" t="n">
        <x:v>29</x:v>
      </x:c>
      <x:c r="T853" s="1" t="str">
        <x:v>INCONCLUSIVE</x:v>
      </x:c>
      <x:c r="U853" s="1" t="str">
        <x:v>Time_25</x:v>
      </x:c>
      <x:c r="V853" s="6" t="n">
        <x:v>65.33</x:v>
      </x:c>
    </x:row>
    <x:row r="854" ht="22" customHeight="1">
      <x:c r="A854" s="1" t="str">
        <x:v>Round1</x:v>
      </x:c>
      <x:c r="B854" s="1" t="str">
        <x:v>Time</x:v>
      </x:c>
      <x:c r="C854" s="4" t="n">
        <x:v>26</x:v>
      </x:c>
      <x:c r="D854" s="4" t="n">
        <x:v>0</x:v>
      </x:c>
      <x:c r="E854" s="4" t="n">
        <x:v>60</x:v>
      </x:c>
      <x:c r="F854" s="4" t="n">
        <x:v>66</x:v>
      </x:c>
      <x:c r="G854" s="5" t="n">
        <x:v>0.41259999999999997</x:v>
      </x:c>
      <x:c r="H854" s="5" t="n">
        <x:v>0.4339</x:v>
      </x:c>
      <x:c r="I854" s="5" t="n">
        <x:v>0.3625</x:v>
      </x:c>
      <x:c r="J854" s="4" t="n">
        <x:v>807</x:v>
      </x:c>
      <x:c r="K854" s="4" t="n">
        <x:v>333</x:v>
      </x:c>
      <x:c r="L854" s="4" t="n">
        <x:v>567</x:v>
      </x:c>
      <x:c r="M854" s="4" t="n">
        <x:v>246</x:v>
      </x:c>
      <x:c r="N854" s="4" t="n">
        <x:v>240</x:v>
      </x:c>
      <x:c r="O854" s="4" t="n">
        <x:v>87</x:v>
      </x:c>
      <x:c r="P854" s="1" t="str">
        <x:v>FAIL</x:v>
      </x:c>
      <x:c r="Q854" s="4" t="n">
        <x:v>38</x:v>
      </x:c>
      <x:c r="R854" s="1" t="str">
        <x:v>FAIL</x:v>
      </x:c>
      <x:c r="S854" s="4" t="n">
        <x:v>38</x:v>
      </x:c>
      <x:c r="T854" s="1" t="str">
        <x:v>INCONCLUSIVE</x:v>
      </x:c>
      <x:c r="U854" s="1" t="str">
        <x:v>Time_26</x:v>
      </x:c>
      <x:c r="V854" s="6" t="n">
        <x:v>61.76</x:v>
      </x:c>
    </x:row>
    <x:row r="855" ht="22" customHeight="1">
      <x:c r="A855" s="1" t="str">
        <x:v>Round1</x:v>
      </x:c>
      <x:c r="B855" s="1" t="str">
        <x:v>Time</x:v>
      </x:c>
      <x:c r="C855" s="4" t="n">
        <x:v>27</x:v>
      </x:c>
      <x:c r="D855" s="4" t="n">
        <x:v>0</x:v>
      </x:c>
      <x:c r="E855" s="4" t="n">
        <x:v>60</x:v>
      </x:c>
      <x:c r="F855" s="4" t="n">
        <x:v>40</x:v>
      </x:c>
      <x:c r="G855" s="5" t="n">
        <x:v>0.2984</x:v>
      </x:c>
      <x:c r="H855" s="5" t="n">
        <x:v>0.38659999999999994</x:v>
      </x:c>
      <x:c r="I855" s="5" t="n">
        <x:v>0.1659</x:v>
      </x:c>
      <x:c r="J855" s="4" t="n">
        <x:v>1116</x:v>
      </x:c>
      <x:c r="K855" s="4" t="n">
        <x:v>333</x:v>
      </x:c>
      <x:c r="L855" s="4" t="n">
        <x:v>670</x:v>
      </x:c>
      <x:c r="M855" s="4" t="n">
        <x:v>259</x:v>
      </x:c>
      <x:c r="N855" s="4" t="n">
        <x:v>446</x:v>
      </x:c>
      <x:c r="O855" s="4" t="n">
        <x:v>74</x:v>
      </x:c>
      <x:c r="P855" s="1" t="str">
        <x:v>PASS</x:v>
      </x:c>
      <x:c r="Q855" s="4" t="n">
        <x:v>0</x:v>
      </x:c>
      <x:c r="R855" s="1" t="str">
        <x:v>PASS</x:v>
      </x:c>
      <x:c r="S855" s="4" t="n">
        <x:v>0</x:v>
      </x:c>
      <x:c r="T855" s="1" t="str">
        <x:v>NOT_REVEALING</x:v>
      </x:c>
      <x:c r="U855" s="1" t="str">
        <x:v>Time_27</x:v>
      </x:c>
      <x:c r="V855" s="6" t="n">
        <x:v>63.57</x:v>
      </x:c>
    </x:row>
    <x:row r="856" ht="22" customHeight="1">
      <x:c r="A856" s="1" t="str">
        <x:v>Round2</x:v>
      </x:c>
      <x:c r="B856" s="1" t="str">
        <x:v>Chart</x:v>
      </x:c>
      <x:c r="C856" s="4" t="n">
        <x:v>1</x:v>
      </x:c>
      <x:c r="D856" s="4" t="n">
        <x:v>20260928</x:v>
      </x:c>
      <x:c r="E856" s="4" t="n">
        <x:v>60</x:v>
      </x:c>
      <x:c r="F856" s="4" t="n">
        <x:v>9</x:v>
      </x:c>
      <x:c r="G856" s="5" t="n">
        <x:v>0</x:v>
      </x:c>
      <x:c r="H856" s="5" t="n">
        <x:v>0</x:v>
      </x:c>
      <x:c r="I856" s="5" t="n">
        <x:v>0</x:v>
      </x:c>
      <x:c r="J856" s="4" t="n">
        <x:v>816</x:v>
      </x:c>
      <x:c r="K856" s="4" t="n">
        <x:v>0</x:v>
      </x:c>
      <x:c r="L856" s="4" t="n">
        <x:v>574</x:v>
      </x:c>
      <x:c r="M856" s="4" t="n">
        <x:v>0</x:v>
      </x:c>
      <x:c r="N856" s="4" t="n">
        <x:v>242</x:v>
      </x:c>
      <x:c r="O856" s="4" t="n">
        <x:v>0</x:v>
      </x:c>
      <x:c r="P856" s="1" t="str">
        <x:v>PASS</x:v>
      </x:c>
      <x:c r="Q856" s="4" t="n">
        <x:v>0</x:v>
      </x:c>
      <x:c r="R856" s="1" t="str">
        <x:v>PASS</x:v>
      </x:c>
      <x:c r="S856" s="4" t="n">
        <x:v>0</x:v>
      </x:c>
      <x:c r="T856" s="1" t="str">
        <x:v>NOT_REVEALING</x:v>
      </x:c>
      <x:c r="U856" s="1" t="str">
        <x:v>Chart_1</x:v>
      </x:c>
      <x:c r="V856" s="6" t="n">
        <x:v>32.69</x:v>
      </x:c>
    </x:row>
    <x:row r="857" ht="22" customHeight="1">
      <x:c r="A857" s="1" t="str">
        <x:v>Round2</x:v>
      </x:c>
      <x:c r="B857" s="1" t="str">
        <x:v>Chart</x:v>
      </x:c>
      <x:c r="C857" s="4" t="n">
        <x:v>2</x:v>
      </x:c>
      <x:c r="D857" s="4" t="n">
        <x:v>20260928</x:v>
      </x:c>
      <x:c r="E857" s="4" t="n">
        <x:v>60</x:v>
      </x:c>
      <x:c r="F857" s="4" t="n">
        <x:v>4051</x:v>
      </x:c>
      <x:c r="G857" s="5" t="n">
        <x:v>0.3725</x:v>
      </x:c>
      <x:c r="H857" s="5" t="n">
        <x:v>0.402</x:v>
      </x:c>
      <x:c r="I857" s="5" t="n">
        <x:v>0.32899999999999996</x:v>
      </x:c>
      <x:c r="J857" s="4" t="n">
        <x:v>1345</x:v>
      </x:c>
      <x:c r="K857" s="4" t="n">
        <x:v>501</x:v>
      </x:c>
      <x:c r="L857" s="4" t="n">
        <x:v>801</x:v>
      </x:c>
      <x:c r="M857" s="4" t="n">
        <x:v>322</x:v>
      </x:c>
      <x:c r="N857" s="4" t="n">
        <x:v>544</x:v>
      </x:c>
      <x:c r="O857" s="4" t="n">
        <x:v>179</x:v>
      </x:c>
      <x:c r="P857" s="1" t="str">
        <x:v>FAIL</x:v>
      </x:c>
      <x:c r="Q857" s="4" t="n">
        <x:v>800</x:v>
      </x:c>
      <x:c r="R857" s="1" t="str">
        <x:v>FAIL</x:v>
      </x:c>
      <x:c r="S857" s="4" t="n">
        <x:v>800</x:v>
      </x:c>
      <x:c r="T857" s="1" t="str">
        <x:v>INCONCLUSIVE</x:v>
      </x:c>
      <x:c r="U857" s="1" t="str">
        <x:v>Chart_2</x:v>
      </x:c>
      <x:c r="V857" s="6" t="n">
        <x:v>53.84</x:v>
      </x:c>
    </x:row>
    <x:row r="858" ht="22" customHeight="1">
      <x:c r="A858" s="1" t="str">
        <x:v>Round2</x:v>
      </x:c>
      <x:c r="B858" s="1" t="str">
        <x:v>Chart</x:v>
      </x:c>
      <x:c r="C858" s="4" t="n">
        <x:v>3</x:v>
      </x:c>
      <x:c r="D858" s="4" t="n">
        <x:v>20260928</x:v>
      </x:c>
      <x:c r="E858" s="4" t="n">
        <x:v>60</x:v>
      </x:c>
      <x:c r="F858" s="4" t="n">
        <x:v>2346</x:v>
      </x:c>
      <x:c r="G858" s="5" t="n">
        <x:v>0.2686</x:v>
      </x:c>
      <x:c r="H858" s="5" t="n">
        <x:v>0.3053</x:v>
      </x:c>
      <x:c r="I858" s="5" t="n">
        <x:v>0.1935</x:v>
      </x:c>
      <x:c r="J858" s="4" t="n">
        <x:v>566</x:v>
      </x:c>
      <x:c r="K858" s="4" t="n">
        <x:v>152</x:v>
      </x:c>
      <x:c r="L858" s="4" t="n">
        <x:v>380</x:v>
      </x:c>
      <x:c r="M858" s="4" t="n">
        <x:v>116</x:v>
      </x:c>
      <x:c r="N858" s="4" t="n">
        <x:v>186</x:v>
      </x:c>
      <x:c r="O858" s="4" t="n">
        <x:v>36</x:v>
      </x:c>
      <x:c r="P858" s="1" t="str">
        <x:v>PASS</x:v>
      </x:c>
      <x:c r="Q858" s="4" t="n">
        <x:v>0</x:v>
      </x:c>
      <x:c r="R858" s="1" t="str">
        <x:v>PASS</x:v>
      </x:c>
      <x:c r="S858" s="4" t="n">
        <x:v>0</x:v>
      </x:c>
      <x:c r="T858" s="1" t="str">
        <x:v>NOT_REVEALING</x:v>
      </x:c>
      <x:c r="U858" s="1" t="str">
        <x:v>Chart_3</x:v>
      </x:c>
      <x:c r="V858" s="6" t="n">
        <x:v>49.5</x:v>
      </x:c>
    </x:row>
    <x:row r="859" ht="22" customHeight="1">
      <x:c r="A859" s="1" t="str">
        <x:v>Round2</x:v>
      </x:c>
      <x:c r="B859" s="1" t="str">
        <x:v>Chart</x:v>
      </x:c>
      <x:c r="C859" s="4" t="n">
        <x:v>4</x:v>
      </x:c>
      <x:c r="D859" s="4" t="n">
        <x:v>20260928</x:v>
      </x:c>
      <x:c r="E859" s="4" t="n">
        <x:v>60</x:v>
      </x:c>
      <x:c r="F859" s="4" t="n">
        <x:v>2726</x:v>
      </x:c>
      <x:c r="G859" s="5" t="n">
        <x:v>0.45740000000000003</x:v>
      </x:c>
      <x:c r="H859" s="5" t="n">
        <x:v>0.5006</x:v>
      </x:c>
      <x:c r="I859" s="5" t="n">
        <x:v>0.3766</x:v>
      </x:c>
      <x:c r="J859" s="4" t="n">
        <x:v>2772</x:v>
      </x:c>
      <x:c r="K859" s="4" t="n">
        <x:v>1268</x:v>
      </x:c>
      <x:c r="L859" s="4" t="n">
        <x:v>1808</x:v>
      </x:c>
      <x:c r="M859" s="4" t="n">
        <x:v>905</x:v>
      </x:c>
      <x:c r="N859" s="4" t="n">
        <x:v>964</x:v>
      </x:c>
      <x:c r="O859" s="4" t="n">
        <x:v>363</x:v>
      </x:c>
      <x:c r="P859" s="1" t="str">
        <x:v>FAIL</x:v>
      </x:c>
      <x:c r="Q859" s="4" t="n">
        <x:v>1080</x:v>
      </x:c>
      <x:c r="R859" s="1" t="str">
        <x:v>FAIL</x:v>
      </x:c>
      <x:c r="S859" s="4" t="n">
        <x:v>1080</x:v>
      </x:c>
      <x:c r="T859" s="1" t="str">
        <x:v>INCONCLUSIVE</x:v>
      </x:c>
      <x:c r="U859" s="1" t="str">
        <x:v>Chart_4</x:v>
      </x:c>
      <x:c r="V859" s="6" t="n">
        <x:v>53.2</x:v>
      </x:c>
    </x:row>
    <x:row r="860" ht="22" customHeight="1">
      <x:c r="A860" s="1" t="str">
        <x:v>Round2</x:v>
      </x:c>
      <x:c r="B860" s="1" t="str">
        <x:v>Chart</x:v>
      </x:c>
      <x:c r="C860" s="4" t="n">
        <x:v>5</x:v>
      </x:c>
      <x:c r="D860" s="4" t="n">
        <x:v>20260928</x:v>
      </x:c>
      <x:c r="E860" s="4" t="n">
        <x:v>60</x:v>
      </x:c>
      <x:c r="F860" s="4" t="n">
        <x:v>2322</x:v>
      </x:c>
      <x:c r="G860" s="5" t="n">
        <x:v>0.8373</x:v>
      </x:c>
      <x:c r="H860" s="5" t="n">
        <x:v>0.8547</x:v>
      </x:c>
      <x:c r="I860" s="5" t="n">
        <x:v>0.8</x:v>
      </x:c>
      <x:c r="J860" s="4" t="n">
        <x:v>252</x:v>
      </x:c>
      <x:c r="K860" s="4" t="n">
        <x:v>211</x:v>
      </x:c>
      <x:c r="L860" s="4" t="n">
        <x:v>172</x:v>
      </x:c>
      <x:c r="M860" s="4" t="n">
        <x:v>147</x:v>
      </x:c>
      <x:c r="N860" s="4" t="n">
        <x:v>80</x:v>
      </x:c>
      <x:c r="O860" s="4" t="n">
        <x:v>64</x:v>
      </x:c>
      <x:c r="P860" s="1" t="str">
        <x:v>PASS</x:v>
      </x:c>
      <x:c r="Q860" s="4" t="n">
        <x:v>0</x:v>
      </x:c>
      <x:c r="R860" s="1" t="str">
        <x:v>FAIL</x:v>
      </x:c>
      <x:c r="S860" s="4" t="n">
        <x:v>28</x:v>
      </x:c>
      <x:c r="T860" s="1" t="str">
        <x:v>INCONCLUSIVE</x:v>
      </x:c>
      <x:c r="U860" s="1" t="str">
        <x:v>Chart_5</x:v>
      </x:c>
      <x:c r="V860" s="6" t="n">
        <x:v>43.29</x:v>
      </x:c>
    </x:row>
    <x:row r="861" ht="22" customHeight="1">
      <x:c r="A861" s="1" t="str">
        <x:v>Round2</x:v>
      </x:c>
      <x:c r="B861" s="1" t="str">
        <x:v>Chart</x:v>
      </x:c>
      <x:c r="C861" s="4" t="n">
        <x:v>6</x:v>
      </x:c>
      <x:c r="D861" s="4" t="n">
        <x:v>20260928</x:v>
      </x:c>
      <x:c r="E861" s="4" t="n">
        <x:v>60</x:v>
      </x:c>
      <x:c r="F861" s="4" t="n">
        <x:v>3717</x:v>
      </x:c>
      <x:c r="G861" s="5" t="n">
        <x:v>0.34149999999999997</x:v>
      </x:c>
      <x:c r="H861" s="5" t="n">
        <x:v>0.37929999999999997</x:v>
      </x:c>
      <x:c r="I861" s="5" t="n">
        <x:v>0.25</x:v>
      </x:c>
      <x:c r="J861" s="4" t="n">
        <x:v>41</x:v>
      </x:c>
      <x:c r="K861" s="4" t="n">
        <x:v>14</x:v>
      </x:c>
      <x:c r="L861" s="4" t="n">
        <x:v>29</x:v>
      </x:c>
      <x:c r="M861" s="4" t="n">
        <x:v>11</x:v>
      </x:c>
      <x:c r="N861" s="4" t="n">
        <x:v>12</x:v>
      </x:c>
      <x:c r="O861" s="4" t="n">
        <x:v>3</x:v>
      </x:c>
      <x:c r="P861" s="1" t="str">
        <x:v>FAIL</x:v>
      </x:c>
      <x:c r="Q861" s="4" t="n">
        <x:v>1842</x:v>
      </x:c>
      <x:c r="R861" s="1" t="str">
        <x:v>FAIL</x:v>
      </x:c>
      <x:c r="S861" s="4" t="n">
        <x:v>1842</x:v>
      </x:c>
      <x:c r="T861" s="1" t="str">
        <x:v>INCONCLUSIVE</x:v>
      </x:c>
      <x:c r="U861" s="1" t="str">
        <x:v>Chart_6</x:v>
      </x:c>
      <x:c r="V861" s="6" t="n">
        <x:v>55.27</x:v>
      </x:c>
    </x:row>
    <x:row r="862" ht="22" customHeight="1">
      <x:c r="A862" s="1" t="str">
        <x:v>Round2</x:v>
      </x:c>
      <x:c r="B862" s="1" t="str">
        <x:v>Chart</x:v>
      </x:c>
      <x:c r="C862" s="4" t="n">
        <x:v>7</x:v>
      </x:c>
      <x:c r="D862" s="4" t="n">
        <x:v>20260928</x:v>
      </x:c>
      <x:c r="E862" s="4" t="n">
        <x:v>60</x:v>
      </x:c>
      <x:c r="F862" s="4" t="n">
        <x:v>3154</x:v>
      </x:c>
      <x:c r="G862" s="5" t="n">
        <x:v>0.4178</x:v>
      </x:c>
      <x:c r="H862" s="5" t="n">
        <x:v>0.45909999999999995</x:v>
      </x:c>
      <x:c r="I862" s="5" t="n">
        <x:v>0.2963</x:v>
      </x:c>
      <x:c r="J862" s="4" t="n">
        <x:v>213</x:v>
      </x:c>
      <x:c r="K862" s="4" t="n">
        <x:v>89</x:v>
      </x:c>
      <x:c r="L862" s="4" t="n">
        <x:v>159</x:v>
      </x:c>
      <x:c r="M862" s="4" t="n">
        <x:v>73</x:v>
      </x:c>
      <x:c r="N862" s="4" t="n">
        <x:v>54</x:v>
      </x:c>
      <x:c r="O862" s="4" t="n">
        <x:v>16</x:v>
      </x:c>
      <x:c r="P862" s="1" t="str">
        <x:v>PASS</x:v>
      </x:c>
      <x:c r="Q862" s="4" t="n">
        <x:v>0</x:v>
      </x:c>
      <x:c r="R862" s="1" t="str">
        <x:v>PASS</x:v>
      </x:c>
      <x:c r="S862" s="4" t="n">
        <x:v>0</x:v>
      </x:c>
      <x:c r="T862" s="1" t="str">
        <x:v>NOT_REVEALING</x:v>
      </x:c>
      <x:c r="U862" s="1" t="str">
        <x:v>Chart_7</x:v>
      </x:c>
      <x:c r="V862" s="6" t="n">
        <x:v>47.16</x:v>
      </x:c>
    </x:row>
    <x:row r="863" ht="22" customHeight="1">
      <x:c r="A863" s="1" t="str">
        <x:v>Round2</x:v>
      </x:c>
      <x:c r="B863" s="1" t="str">
        <x:v>Chart</x:v>
      </x:c>
      <x:c r="C863" s="4" t="n">
        <x:v>8</x:v>
      </x:c>
      <x:c r="D863" s="4" t="n">
        <x:v>20260928</x:v>
      </x:c>
      <x:c r="E863" s="4" t="n">
        <x:v>60</x:v>
      </x:c>
      <x:c r="F863" s="4" t="n">
        <x:v>1548</x:v>
      </x:c>
      <x:c r="G863" s="5" t="n">
        <x:v>0.813</x:v>
      </x:c>
      <x:c r="H863" s="5" t="n">
        <x:v>0.8395</x:v>
      </x:c>
      <x:c r="I863" s="5" t="n">
        <x:v>0.75</x:v>
      </x:c>
      <x:c r="J863" s="4" t="n">
        <x:v>230</x:v>
      </x:c>
      <x:c r="K863" s="4" t="n">
        <x:v>187</x:v>
      </x:c>
      <x:c r="L863" s="4" t="n">
        <x:v>162</x:v>
      </x:c>
      <x:c r="M863" s="4" t="n">
        <x:v>136</x:v>
      </x:c>
      <x:c r="N863" s="4" t="n">
        <x:v>68</x:v>
      </x:c>
      <x:c r="O863" s="4" t="n">
        <x:v>51</x:v>
      </x:c>
      <x:c r="P863" s="1" t="str">
        <x:v>FAIL</x:v>
      </x:c>
      <x:c r="Q863" s="4" t="n">
        <x:v>2666</x:v>
      </x:c>
      <x:c r="R863" s="1" t="str">
        <x:v>FAIL</x:v>
      </x:c>
      <x:c r="S863" s="4" t="n">
        <x:v>2666</x:v>
      </x:c>
      <x:c r="T863" s="1" t="str">
        <x:v>INCONCLUSIVE</x:v>
      </x:c>
      <x:c r="U863" s="1" t="str">
        <x:v>Chart_8</x:v>
      </x:c>
      <x:c r="V863" s="6" t="n">
        <x:v>53.63</x:v>
      </x:c>
    </x:row>
    <x:row r="864" ht="22" customHeight="1">
      <x:c r="A864" s="1" t="str">
        <x:v>Round2</x:v>
      </x:c>
      <x:c r="B864" s="1" t="str">
        <x:v>Chart</x:v>
      </x:c>
      <x:c r="C864" s="4" t="n">
        <x:v>9</x:v>
      </x:c>
      <x:c r="D864" s="4" t="n">
        <x:v>20260928</x:v>
      </x:c>
      <x:c r="E864" s="4" t="n">
        <x:v>60</x:v>
      </x:c>
      <x:c r="F864" s="4" t="n">
        <x:v>2486</x:v>
      </x:c>
      <x:c r="G864" s="5" t="n">
        <x:v>0.42210000000000003</x:v>
      </x:c>
      <x:c r="H864" s="5" t="n">
        <x:v>0.4498</x:v>
      </x:c>
      <x:c r="I864" s="5" t="n">
        <x:v>0.3594</x:v>
      </x:c>
      <x:c r="J864" s="4" t="n">
        <x:v>417</x:v>
      </x:c>
      <x:c r="K864" s="4" t="n">
        <x:v>176</x:v>
      </x:c>
      <x:c r="L864" s="4" t="n">
        <x:v>289</x:v>
      </x:c>
      <x:c r="M864" s="4" t="n">
        <x:v>130</x:v>
      </x:c>
      <x:c r="N864" s="4" t="n">
        <x:v>128</x:v>
      </x:c>
      <x:c r="O864" s="4" t="n">
        <x:v>46</x:v>
      </x:c>
      <x:c r="P864" s="1" t="str">
        <x:v>FAIL</x:v>
      </x:c>
      <x:c r="Q864" s="4" t="n">
        <x:v>130</x:v>
      </x:c>
      <x:c r="R864" s="1" t="str">
        <x:v>FAIL</x:v>
      </x:c>
      <x:c r="S864" s="4" t="n">
        <x:v>130</x:v>
      </x:c>
      <x:c r="T864" s="1" t="str">
        <x:v>INCONCLUSIVE</x:v>
      </x:c>
      <x:c r="U864" s="1" t="str">
        <x:v>Chart_9</x:v>
      </x:c>
      <x:c r="V864" s="6" t="n">
        <x:v>50.99</x:v>
      </x:c>
    </x:row>
    <x:row r="865" ht="22" customHeight="1">
      <x:c r="A865" s="1" t="str">
        <x:v>Round2</x:v>
      </x:c>
      <x:c r="B865" s="1" t="str">
        <x:v>Chart</x:v>
      </x:c>
      <x:c r="C865" s="4" t="n">
        <x:v>10</x:v>
      </x:c>
      <x:c r="D865" s="4" t="n">
        <x:v>20260928</x:v>
      </x:c>
      <x:c r="E865" s="4" t="n">
        <x:v>60</x:v>
      </x:c>
      <x:c r="F865" s="4" t="n">
        <x:v>3924</x:v>
      </x:c>
      <x:c r="G865" s="5" t="n">
        <x:v>1</x:v>
      </x:c>
      <x:c r="H865" s="5" t="n">
        <x:v>1</x:v>
      </x:c>
      <x:c r="I865" s="5" t="n">
        <x:v>0</x:v>
      </x:c>
      <x:c r="J865" s="4" t="n">
        <x:v>3</x:v>
      </x:c>
      <x:c r="K865" s="4" t="n">
        <x:v>3</x:v>
      </x:c>
      <x:c r="L865" s="4" t="n">
        <x:v>3</x:v>
      </x:c>
      <x:c r="M865" s="4" t="n">
        <x:v>3</x:v>
      </x:c>
      <x:c r="N865" s="4" t="n">
        <x:v>0</x:v>
      </x:c>
      <x:c r="O865" s="4" t="n">
        <x:v>0</x:v>
      </x:c>
      <x:c r="P865" s="1" t="str">
        <x:v>PASS</x:v>
      </x:c>
      <x:c r="Q865" s="4" t="n">
        <x:v>0</x:v>
      </x:c>
      <x:c r="R865" s="1" t="str">
        <x:v>FAIL</x:v>
      </x:c>
      <x:c r="S865" s="4" t="n">
        <x:v>7832</x:v>
      </x:c>
      <x:c r="T865" s="1" t="str">
        <x:v>INCONCLUSIVE</x:v>
      </x:c>
      <x:c r="U865" s="1" t="str">
        <x:v>Chart_10</x:v>
      </x:c>
      <x:c r="V865" s="6" t="n">
        <x:v>48.07</x:v>
      </x:c>
    </x:row>
    <x:row r="866" ht="22" customHeight="1">
      <x:c r="A866" s="1" t="str">
        <x:v>Round2</x:v>
      </x:c>
      <x:c r="B866" s="1" t="str">
        <x:v>Chart</x:v>
      </x:c>
      <x:c r="C866" s="4" t="n">
        <x:v>11</x:v>
      </x:c>
      <x:c r="D866" s="4" t="n">
        <x:v>20260928</x:v>
      </x:c>
      <x:c r="E866" s="4" t="n">
        <x:v>60</x:v>
      </x:c>
      <x:c r="F866" s="4" t="n">
        <x:v>2858</x:v>
      </x:c>
      <x:c r="G866" s="5" t="n">
        <x:v>0.4696</x:v>
      </x:c>
      <x:c r="H866" s="5" t="n">
        <x:v>0.5482</x:v>
      </x:c>
      <x:c r="I866" s="5" t="n">
        <x:v>0.3362</x:v>
      </x:c>
      <x:c r="J866" s="4" t="n">
        <x:v>313</x:v>
      </x:c>
      <x:c r="K866" s="4" t="n">
        <x:v>147</x:v>
      </x:c>
      <x:c r="L866" s="4" t="n">
        <x:v>197</x:v>
      </x:c>
      <x:c r="M866" s="4" t="n">
        <x:v>108</x:v>
      </x:c>
      <x:c r="N866" s="4" t="n">
        <x:v>116</x:v>
      </x:c>
      <x:c r="O866" s="4" t="n">
        <x:v>39</x:v>
      </x:c>
      <x:c r="P866" s="1" t="str">
        <x:v>PASS</x:v>
      </x:c>
      <x:c r="Q866" s="4" t="n">
        <x:v>0</x:v>
      </x:c>
      <x:c r="R866" s="1" t="str">
        <x:v>FAIL</x:v>
      </x:c>
      <x:c r="S866" s="4" t="n">
        <x:v>926</x:v>
      </x:c>
      <x:c r="T866" s="1" t="str">
        <x:v>INCONCLUSIVE</x:v>
      </x:c>
      <x:c r="U866" s="1" t="str">
        <x:v>Chart_11</x:v>
      </x:c>
      <x:c r="V866" s="6" t="n">
        <x:v>35.75</x:v>
      </x:c>
    </x:row>
    <x:row r="867" ht="22" customHeight="1">
      <x:c r="A867" s="1" t="str">
        <x:v>Round2</x:v>
      </x:c>
      <x:c r="B867" s="1" t="str">
        <x:v>Chart</x:v>
      </x:c>
      <x:c r="C867" s="4" t="n">
        <x:v>12</x:v>
      </x:c>
      <x:c r="D867" s="4" t="n">
        <x:v>20260928</x:v>
      </x:c>
      <x:c r="E867" s="4" t="n">
        <x:v>60</x:v>
      </x:c>
      <x:c r="F867" s="4" t="n">
        <x:v>2026</x:v>
      </x:c>
      <x:c r="G867" s="5" t="n">
        <x:v>0.3504</x:v>
      </x:c>
      <x:c r="H867" s="5" t="n">
        <x:v>0.3789</x:v>
      </x:c>
      <x:c r="I867" s="5" t="n">
        <x:v>0.2857</x:v>
      </x:c>
      <x:c r="J867" s="4" t="n">
        <x:v>274</x:v>
      </x:c>
      <x:c r="K867" s="4" t="n">
        <x:v>96</x:v>
      </x:c>
      <x:c r="L867" s="4" t="n">
        <x:v>190</x:v>
      </x:c>
      <x:c r="M867" s="4" t="n">
        <x:v>72</x:v>
      </x:c>
      <x:c r="N867" s="4" t="n">
        <x:v>84</x:v>
      </x:c>
      <x:c r="O867" s="4" t="n">
        <x:v>24</x:v>
      </x:c>
      <x:c r="P867" s="1" t="str">
        <x:v>FAIL</x:v>
      </x:c>
      <x:c r="Q867" s="4" t="n">
        <x:v>554</x:v>
      </x:c>
      <x:c r="R867" s="1" t="str">
        <x:v>FAIL</x:v>
      </x:c>
      <x:c r="S867" s="4" t="n">
        <x:v>554</x:v>
      </x:c>
      <x:c r="T867" s="1" t="str">
        <x:v>INCONCLUSIVE</x:v>
      </x:c>
      <x:c r="U867" s="1" t="str">
        <x:v>Chart_12</x:v>
      </x:c>
      <x:c r="V867" s="6" t="n">
        <x:v>41.75</x:v>
      </x:c>
    </x:row>
    <x:row r="868" ht="22" customHeight="1">
      <x:c r="A868" s="1" t="str">
        <x:v>Round2</x:v>
      </x:c>
      <x:c r="B868" s="1" t="str">
        <x:v>Chart</x:v>
      </x:c>
      <x:c r="C868" s="4" t="n">
        <x:v>13</x:v>
      </x:c>
      <x:c r="D868" s="4" t="n">
        <x:v>20260928</x:v>
      </x:c>
      <x:c r="E868" s="4" t="n">
        <x:v>60</x:v>
      </x:c>
      <x:c r="F868" s="4" t="n">
        <x:v>3459</x:v>
      </x:c>
      <x:c r="G868" s="5" t="n">
        <x:v>0.2607</x:v>
      </x:c>
      <x:c r="H868" s="5" t="n">
        <x:v>0.27949999999999997</x:v>
      </x:c>
      <x:c r="I868" s="5" t="n">
        <x:v>0.225</x:v>
      </x:c>
      <x:c r="J868" s="4" t="n">
        <x:v>349</x:v>
      </x:c>
      <x:c r="K868" s="4" t="n">
        <x:v>91</x:v>
      </x:c>
      <x:c r="L868" s="4" t="n">
        <x:v>229</x:v>
      </x:c>
      <x:c r="M868" s="4" t="n">
        <x:v>64</x:v>
      </x:c>
      <x:c r="N868" s="4" t="n">
        <x:v>120</x:v>
      </x:c>
      <x:c r="O868" s="4" t="n">
        <x:v>27</x:v>
      </x:c>
      <x:c r="P868" s="1" t="str">
        <x:v>FAIL</x:v>
      </x:c>
      <x:c r="Q868" s="4" t="n">
        <x:v>1998</x:v>
      </x:c>
      <x:c r="R868" s="1" t="str">
        <x:v>FAIL</x:v>
      </x:c>
      <x:c r="S868" s="4" t="n">
        <x:v>1998</x:v>
      </x:c>
      <x:c r="T868" s="1" t="str">
        <x:v>INCONCLUSIVE</x:v>
      </x:c>
      <x:c r="U868" s="1" t="str">
        <x:v>Chart_13</x:v>
      </x:c>
      <x:c r="V868" s="6" t="n">
        <x:v>43.39</x:v>
      </x:c>
    </x:row>
    <x:row r="869" ht="22" customHeight="1">
      <x:c r="A869" s="1" t="str">
        <x:v>Round2</x:v>
      </x:c>
      <x:c r="B869" s="1" t="str">
        <x:v>Chart</x:v>
      </x:c>
      <x:c r="C869" s="4" t="n">
        <x:v>14</x:v>
      </x:c>
      <x:c r="D869" s="4" t="n">
        <x:v>20260928</x:v>
      </x:c>
      <x:c r="E869" s="4" t="n">
        <x:v>60</x:v>
      </x:c>
      <x:c r="F869" s="4" t="n">
        <x:v>2921</x:v>
      </x:c>
      <x:c r="G869" s="5" t="n">
        <x:v>0.4913</x:v>
      </x:c>
      <x:c r="H869" s="5" t="n">
        <x:v>0.54</x:v>
      </x:c>
      <x:c r="I869" s="5" t="n">
        <x:v>0.39899999999999997</x:v>
      </x:c>
      <x:c r="J869" s="4" t="n">
        <x:v>4158</x:v>
      </x:c>
      <x:c r="K869" s="4" t="n">
        <x:v>2043</x:v>
      </x:c>
      <x:c r="L869" s="4" t="n">
        <x:v>2722</x:v>
      </x:c>
      <x:c r="M869" s="4" t="n">
        <x:v>1470</x:v>
      </x:c>
      <x:c r="N869" s="4" t="n">
        <x:v>1436</x:v>
      </x:c>
      <x:c r="O869" s="4" t="n">
        <x:v>573</x:v>
      </x:c>
      <x:c r="P869" s="1" t="str">
        <x:v>FAIL</x:v>
      </x:c>
      <x:c r="Q869" s="4" t="n">
        <x:v>1248</x:v>
      </x:c>
      <x:c r="R869" s="1" t="str">
        <x:v>FAIL</x:v>
      </x:c>
      <x:c r="S869" s="4" t="n">
        <x:v>1428</x:v>
      </x:c>
      <x:c r="T869" s="1" t="str">
        <x:v>INCONCLUSIVE</x:v>
      </x:c>
      <x:c r="U869" s="1" t="str">
        <x:v>Chart_14</x:v>
      </x:c>
      <x:c r="V869" s="6" t="n">
        <x:v>46.66</x:v>
      </x:c>
    </x:row>
    <x:row r="870" ht="22" customHeight="1">
      <x:c r="A870" s="1" t="str">
        <x:v>Round2</x:v>
      </x:c>
      <x:c r="B870" s="1" t="str">
        <x:v>Chart</x:v>
      </x:c>
      <x:c r="C870" s="4" t="n">
        <x:v>15</x:v>
      </x:c>
      <x:c r="D870" s="4" t="n">
        <x:v>20260928</x:v>
      </x:c>
      <x:c r="E870" s="4" t="n">
        <x:v>60</x:v>
      </x:c>
      <x:c r="F870" s="4" t="n">
        <x:v>3013</x:v>
      </x:c>
      <x:c r="G870" s="5" t="n">
        <x:v>0.44689999999999996</x:v>
      </x:c>
      <x:c r="H870" s="5" t="n">
        <x:v>0.47729999999999995</x:v>
      </x:c>
      <x:c r="I870" s="5" t="n">
        <x:v>0.3654</x:v>
      </x:c>
      <x:c r="J870" s="4" t="n">
        <x:v>1148</x:v>
      </x:c>
      <x:c r="K870" s="4" t="n">
        <x:v>513</x:v>
      </x:c>
      <x:c r="L870" s="4" t="n">
        <x:v>836</x:v>
      </x:c>
      <x:c r="M870" s="4" t="n">
        <x:v>399</x:v>
      </x:c>
      <x:c r="N870" s="4" t="n">
        <x:v>312</x:v>
      </x:c>
      <x:c r="O870" s="4" t="n">
        <x:v>114</x:v>
      </x:c>
      <x:c r="P870" s="1" t="str">
        <x:v>FAIL</x:v>
      </x:c>
      <x:c r="Q870" s="4" t="n">
        <x:v>712</x:v>
      </x:c>
      <x:c r="R870" s="1" t="str">
        <x:v>FAIL</x:v>
      </x:c>
      <x:c r="S870" s="4" t="n">
        <x:v>902</x:v>
      </x:c>
      <x:c r="T870" s="1" t="str">
        <x:v>INCONCLUSIVE</x:v>
      </x:c>
      <x:c r="U870" s="1" t="str">
        <x:v>Chart_15</x:v>
      </x:c>
      <x:c r="V870" s="6" t="n">
        <x:v>47.93</x:v>
      </x:c>
    </x:row>
    <x:row r="871" ht="22" customHeight="1">
      <x:c r="A871" s="1" t="str">
        <x:v>Round2</x:v>
      </x:c>
      <x:c r="B871" s="1" t="str">
        <x:v>Chart</x:v>
      </x:c>
      <x:c r="C871" s="4" t="n">
        <x:v>16</x:v>
      </x:c>
      <x:c r="D871" s="4" t="n">
        <x:v>20260928</x:v>
      </x:c>
      <x:c r="E871" s="4" t="n">
        <x:v>60</x:v>
      </x:c>
      <x:c r="F871" s="4" t="n">
        <x:v>2939</x:v>
      </x:c>
      <x:c r="G871" s="5" t="n">
        <x:v>0.8291</x:v>
      </x:c>
      <x:c r="H871" s="5" t="n">
        <x:v>0.8298000000000001</x:v>
      </x:c>
      <x:c r="I871" s="5" t="n">
        <x:v>0.8281000000000001</x:v>
      </x:c>
      <x:c r="J871" s="4" t="n">
        <x:v>316</x:v>
      </x:c>
      <x:c r="K871" s="4" t="n">
        <x:v>262</x:v>
      </x:c>
      <x:c r="L871" s="4" t="n">
        <x:v>188</x:v>
      </x:c>
      <x:c r="M871" s="4" t="n">
        <x:v>156</x:v>
      </x:c>
      <x:c r="N871" s="4" t="n">
        <x:v>128</x:v>
      </x:c>
      <x:c r="O871" s="4" t="n">
        <x:v>106</x:v>
      </x:c>
      <x:c r="P871" s="1" t="str">
        <x:v>FAIL</x:v>
      </x:c>
      <x:c r="Q871" s="4" t="n">
        <x:v>708</x:v>
      </x:c>
      <x:c r="R871" s="1" t="str">
        <x:v>FAIL</x:v>
      </x:c>
      <x:c r="S871" s="4" t="n">
        <x:v>718</x:v>
      </x:c>
      <x:c r="T871" s="1" t="str">
        <x:v>INCONCLUSIVE</x:v>
      </x:c>
      <x:c r="U871" s="1" t="str">
        <x:v>Chart_16</x:v>
      </x:c>
      <x:c r="V871" s="6" t="n">
        <x:v>51.32</x:v>
      </x:c>
    </x:row>
    <x:row r="872" ht="22" customHeight="1">
      <x:c r="A872" s="1" t="str">
        <x:v>Round2</x:v>
      </x:c>
      <x:c r="B872" s="1" t="str">
        <x:v>Chart</x:v>
      </x:c>
      <x:c r="C872" s="4" t="n">
        <x:v>17</x:v>
      </x:c>
      <x:c r="D872" s="4" t="n">
        <x:v>20260928</x:v>
      </x:c>
      <x:c r="E872" s="4" t="n">
        <x:v>60</x:v>
      </x:c>
      <x:c r="F872" s="4" t="n">
        <x:v>2688</x:v>
      </x:c>
      <x:c r="G872" s="5" t="n">
        <x:v>0.4183</x:v>
      </x:c>
      <x:c r="H872" s="5" t="n">
        <x:v>0.44439999999999996</x:v>
      </x:c>
      <x:c r="I872" s="5" t="n">
        <x:v>0.3594</x:v>
      </x:c>
      <x:c r="J872" s="4" t="n">
        <x:v>416</x:v>
      </x:c>
      <x:c r="K872" s="4" t="n">
        <x:v>174</x:v>
      </x:c>
      <x:c r="L872" s="4" t="n">
        <x:v>288</x:v>
      </x:c>
      <x:c r="M872" s="4" t="n">
        <x:v>128</x:v>
      </x:c>
      <x:c r="N872" s="4" t="n">
        <x:v>128</x:v>
      </x:c>
      <x:c r="O872" s="4" t="n">
        <x:v>46</x:v>
      </x:c>
      <x:c r="P872" s="1" t="str">
        <x:v>FAIL</x:v>
      </x:c>
      <x:c r="Q872" s="4" t="n">
        <x:v>84</x:v>
      </x:c>
      <x:c r="R872" s="1" t="str">
        <x:v>FAIL</x:v>
      </x:c>
      <x:c r="S872" s="4" t="n">
        <x:v>254</x:v>
      </x:c>
      <x:c r="T872" s="1" t="str">
        <x:v>INCONCLUSIVE</x:v>
      </x:c>
      <x:c r="U872" s="1" t="str">
        <x:v>Chart_17</x:v>
      </x:c>
      <x:c r="V872" s="6" t="n">
        <x:v>43.65</x:v>
      </x:c>
    </x:row>
    <x:row r="873" ht="22" customHeight="1">
      <x:c r="A873" s="1" t="str">
        <x:v>Round2</x:v>
      </x:c>
      <x:c r="B873" s="1" t="str">
        <x:v>Chart</x:v>
      </x:c>
      <x:c r="C873" s="4" t="n">
        <x:v>18</x:v>
      </x:c>
      <x:c r="D873" s="4" t="n">
        <x:v>20260928</x:v>
      </x:c>
      <x:c r="E873" s="4" t="n">
        <x:v>60</x:v>
      </x:c>
      <x:c r="F873" s="4" t="n">
        <x:v>3138</x:v>
      </x:c>
      <x:c r="G873" s="5" t="n">
        <x:v>0.8170000000000001</x:v>
      </x:c>
      <x:c r="H873" s="5" t="n">
        <x:v>0.8495999999999999</x:v>
      </x:c>
      <x:c r="I873" s="5" t="n">
        <x:v>0.7459</x:v>
      </x:c>
      <x:c r="J873" s="4" t="n">
        <x:v>388</x:v>
      </x:c>
      <x:c r="K873" s="4" t="n">
        <x:v>317</x:v>
      </x:c>
      <x:c r="L873" s="4" t="n">
        <x:v>266</x:v>
      </x:c>
      <x:c r="M873" s="4" t="n">
        <x:v>226</x:v>
      </x:c>
      <x:c r="N873" s="4" t="n">
        <x:v>122</x:v>
      </x:c>
      <x:c r="O873" s="4" t="n">
        <x:v>91</x:v>
      </x:c>
      <x:c r="P873" s="1" t="str">
        <x:v>PASS</x:v>
      </x:c>
      <x:c r="Q873" s="4" t="n">
        <x:v>0</x:v>
      </x:c>
      <x:c r="R873" s="1" t="str">
        <x:v>FAIL</x:v>
      </x:c>
      <x:c r="S873" s="4" t="n">
        <x:v>2166</x:v>
      </x:c>
      <x:c r="T873" s="1" t="str">
        <x:v>INCONCLUSIVE</x:v>
      </x:c>
      <x:c r="U873" s="1" t="str">
        <x:v>Chart_18</x:v>
      </x:c>
      <x:c r="V873" s="6" t="n">
        <x:v>45.68</x:v>
      </x:c>
    </x:row>
    <x:row r="874" ht="22" customHeight="1">
      <x:c r="A874" s="1" t="str">
        <x:v>Round2</x:v>
      </x:c>
      <x:c r="B874" s="1" t="str">
        <x:v>Chart</x:v>
      </x:c>
      <x:c r="C874" s="4" t="n">
        <x:v>19</x:v>
      </x:c>
      <x:c r="D874" s="4" t="n">
        <x:v>20260928</x:v>
      </x:c>
      <x:c r="E874" s="4" t="n">
        <x:v>60</x:v>
      </x:c>
      <x:c r="F874" s="4" t="n">
        <x:v>0</x:v>
      </x:c>
      <x:c r="G874" s="5"/>
      <x:c r="H874" s="5"/>
      <x:c r="I874" s="5"/>
      <x:c r="J874" s="4" t="n">
        <x:v>0</x:v>
      </x:c>
      <x:c r="K874" s="4" t="n">
        <x:v>0</x:v>
      </x:c>
      <x:c r="L874" s="4" t="n">
        <x:v>0</x:v>
      </x:c>
      <x:c r="M874" s="4" t="n">
        <x:v>0</x:v>
      </x:c>
      <x:c r="N874" s="4" t="n">
        <x:v>0</x:v>
      </x:c>
      <x:c r="O874" s="4" t="n">
        <x:v>0</x:v>
      </x:c>
      <x:c r="P874" s="1" t="str">
        <x:v>NOT_RUN</x:v>
      </x:c>
      <x:c r="Q874" s="4"/>
      <x:c r="R874" s="1" t="str">
        <x:v>NOT_RUN</x:v>
      </x:c>
      <x:c r="S874" s="4"/>
      <x:c r="T874" s="1" t="str">
        <x:v>FAIL</x:v>
      </x:c>
      <x:c r="U874" s="1" t="str">
        <x:v>Chart_19</x:v>
      </x:c>
      <x:c r="V874" s="6"/>
    </x:row>
    <x:row r="875" ht="22" customHeight="1">
      <x:c r="A875" s="1" t="str">
        <x:v>Round2</x:v>
      </x:c>
      <x:c r="B875" s="1" t="str">
        <x:v>Chart</x:v>
      </x:c>
      <x:c r="C875" s="4" t="n">
        <x:v>20</x:v>
      </x:c>
      <x:c r="D875" s="4" t="n">
        <x:v>20260928</x:v>
      </x:c>
      <x:c r="E875" s="4" t="n">
        <x:v>60</x:v>
      </x:c>
      <x:c r="F875" s="4" t="n">
        <x:v>3786</x:v>
      </x:c>
      <x:c r="G875" s="5" t="n">
        <x:v>0.8667</x:v>
      </x:c>
      <x:c r="H875" s="5" t="n">
        <x:v>0.9091</x:v>
      </x:c>
      <x:c r="I875" s="5" t="n">
        <x:v>0.75</x:v>
      </x:c>
      <x:c r="J875" s="4" t="n">
        <x:v>30</x:v>
      </x:c>
      <x:c r="K875" s="4" t="n">
        <x:v>26</x:v>
      </x:c>
      <x:c r="L875" s="4" t="n">
        <x:v>22</x:v>
      </x:c>
      <x:c r="M875" s="4" t="n">
        <x:v>20</x:v>
      </x:c>
      <x:c r="N875" s="4" t="n">
        <x:v>8</x:v>
      </x:c>
      <x:c r="O875" s="4" t="n">
        <x:v>6</x:v>
      </x:c>
      <x:c r="P875" s="1" t="str">
        <x:v>FAIL</x:v>
      </x:c>
      <x:c r="Q875" s="4" t="n">
        <x:v>2908</x:v>
      </x:c>
      <x:c r="R875" s="1" t="str">
        <x:v>FAIL</x:v>
      </x:c>
      <x:c r="S875" s="4" t="n">
        <x:v>2908</x:v>
      </x:c>
      <x:c r="T875" s="1" t="str">
        <x:v>INCONCLUSIVE</x:v>
      </x:c>
      <x:c r="U875" s="1" t="str">
        <x:v>Chart_20</x:v>
      </x:c>
      <x:c r="V875" s="6" t="n">
        <x:v>49.58</x:v>
      </x:c>
    </x:row>
    <x:row r="876" ht="22" customHeight="1">
      <x:c r="A876" s="1" t="str">
        <x:v>Round2</x:v>
      </x:c>
      <x:c r="B876" s="1" t="str">
        <x:v>Chart</x:v>
      </x:c>
      <x:c r="C876" s="4" t="n">
        <x:v>21</x:v>
      </x:c>
      <x:c r="D876" s="4" t="n">
        <x:v>20260928</x:v>
      </x:c>
      <x:c r="E876" s="4" t="n">
        <x:v>60</x:v>
      </x:c>
      <x:c r="F876" s="4" t="n">
        <x:v>3578</x:v>
      </x:c>
      <x:c r="G876" s="5" t="n">
        <x:v>0.4525</x:v>
      </x:c>
      <x:c r="H876" s="5" t="n">
        <x:v>0.5652</x:v>
      </x:c>
      <x:c r="I876" s="5" t="n">
        <x:v>0.15</x:v>
      </x:c>
      <x:c r="J876" s="4" t="n">
        <x:v>221</x:v>
      </x:c>
      <x:c r="K876" s="4" t="n">
        <x:v>100</x:v>
      </x:c>
      <x:c r="L876" s="4" t="n">
        <x:v>161</x:v>
      </x:c>
      <x:c r="M876" s="4" t="n">
        <x:v>91</x:v>
      </x:c>
      <x:c r="N876" s="4" t="n">
        <x:v>60</x:v>
      </x:c>
      <x:c r="O876" s="4" t="n">
        <x:v>9</x:v>
      </x:c>
      <x:c r="P876" s="1" t="str">
        <x:v>FAIL</x:v>
      </x:c>
      <x:c r="Q876" s="4" t="n">
        <x:v>732</x:v>
      </x:c>
      <x:c r="R876" s="1" t="str">
        <x:v>FAIL</x:v>
      </x:c>
      <x:c r="S876" s="4" t="n">
        <x:v>732</x:v>
      </x:c>
      <x:c r="T876" s="1" t="str">
        <x:v>INCONCLUSIVE</x:v>
      </x:c>
      <x:c r="U876" s="1" t="str">
        <x:v>Chart_21</x:v>
      </x:c>
      <x:c r="V876" s="6" t="n">
        <x:v>45.3</x:v>
      </x:c>
    </x:row>
    <x:row r="877" ht="22" customHeight="1">
      <x:c r="A877" s="1" t="str">
        <x:v>Round2</x:v>
      </x:c>
      <x:c r="B877" s="1" t="str">
        <x:v>Chart</x:v>
      </x:c>
      <x:c r="C877" s="4" t="n">
        <x:v>22</x:v>
      </x:c>
      <x:c r="D877" s="4" t="n">
        <x:v>20260928</x:v>
      </x:c>
      <x:c r="E877" s="4" t="n">
        <x:v>60</x:v>
      </x:c>
      <x:c r="F877" s="4" t="n">
        <x:v>3676</x:v>
      </x:c>
      <x:c r="G877" s="5" t="n">
        <x:v>0.9066</x:v>
      </x:c>
      <x:c r="H877" s="5" t="n">
        <x:v>0.9355</x:v>
      </x:c>
      <x:c r="I877" s="5" t="n">
        <x:v>0.8448</x:v>
      </x:c>
      <x:c r="J877" s="4" t="n">
        <x:v>182</x:v>
      </x:c>
      <x:c r="K877" s="4" t="n">
        <x:v>165</x:v>
      </x:c>
      <x:c r="L877" s="4" t="n">
        <x:v>124</x:v>
      </x:c>
      <x:c r="M877" s="4" t="n">
        <x:v>116</x:v>
      </x:c>
      <x:c r="N877" s="4" t="n">
        <x:v>58</x:v>
      </x:c>
      <x:c r="O877" s="4" t="n">
        <x:v>49</x:v>
      </x:c>
      <x:c r="P877" s="1" t="str">
        <x:v>FAIL</x:v>
      </x:c>
      <x:c r="Q877" s="4" t="n">
        <x:v>408</x:v>
      </x:c>
      <x:c r="R877" s="1" t="str">
        <x:v>FAIL</x:v>
      </x:c>
      <x:c r="S877" s="4" t="n">
        <x:v>1914</x:v>
      </x:c>
      <x:c r="T877" s="1" t="str">
        <x:v>INCONCLUSIVE</x:v>
      </x:c>
      <x:c r="U877" s="1" t="str">
        <x:v>Chart_22</x:v>
      </x:c>
      <x:c r="V877" s="6" t="n">
        <x:v>50.85</x:v>
      </x:c>
    </x:row>
    <x:row r="878" ht="22" customHeight="1">
      <x:c r="A878" s="1" t="str">
        <x:v>Round2</x:v>
      </x:c>
      <x:c r="B878" s="1" t="str">
        <x:v>Chart</x:v>
      </x:c>
      <x:c r="C878" s="4" t="n">
        <x:v>23</x:v>
      </x:c>
      <x:c r="D878" s="4" t="n">
        <x:v>20260928</x:v>
      </x:c>
      <x:c r="E878" s="4" t="n">
        <x:v>60</x:v>
      </x:c>
      <x:c r="F878" s="4" t="n">
        <x:v>1939</x:v>
      </x:c>
      <x:c r="G878" s="5" t="n">
        <x:v>0.33159999999999995</x:v>
      </x:c>
      <x:c r="H878" s="5" t="n">
        <x:v>0.36810000000000004</x:v>
      </x:c>
      <x:c r="I878" s="5" t="n">
        <x:v>0.21739999999999998</x:v>
      </x:c>
      <x:c r="J878" s="4" t="n">
        <x:v>190</x:v>
      </x:c>
      <x:c r="K878" s="4" t="n">
        <x:v>63</x:v>
      </x:c>
      <x:c r="L878" s="4" t="n">
        <x:v>144</x:v>
      </x:c>
      <x:c r="M878" s="4" t="n">
        <x:v>53</x:v>
      </x:c>
      <x:c r="N878" s="4" t="n">
        <x:v>46</x:v>
      </x:c>
      <x:c r="O878" s="4" t="n">
        <x:v>10</x:v>
      </x:c>
      <x:c r="P878" s="1" t="str">
        <x:v>FAIL</x:v>
      </x:c>
      <x:c r="Q878" s="4" t="n">
        <x:v>866</x:v>
      </x:c>
      <x:c r="R878" s="1" t="str">
        <x:v>FAIL</x:v>
      </x:c>
      <x:c r="S878" s="4" t="n">
        <x:v>860</x:v>
      </x:c>
      <x:c r="T878" s="1" t="str">
        <x:v>INCONCLUSIVE</x:v>
      </x:c>
      <x:c r="U878" s="1" t="str">
        <x:v>Chart_23</x:v>
      </x:c>
      <x:c r="V878" s="6" t="n">
        <x:v>43.84</x:v>
      </x:c>
    </x:row>
    <x:row r="879" ht="22" customHeight="1">
      <x:c r="A879" s="1" t="str">
        <x:v>Round2</x:v>
      </x:c>
      <x:c r="B879" s="1" t="str">
        <x:v>Chart</x:v>
      </x:c>
      <x:c r="C879" s="4" t="n">
        <x:v>24</x:v>
      </x:c>
      <x:c r="D879" s="4" t="n">
        <x:v>20260928</x:v>
      </x:c>
      <x:c r="E879" s="4" t="n">
        <x:v>60</x:v>
      </x:c>
      <x:c r="F879" s="4" t="n">
        <x:v>4464</x:v>
      </x:c>
      <x:c r="G879" s="5" t="n">
        <x:v>0.9429000000000001</x:v>
      </x:c>
      <x:c r="H879" s="5" t="n">
        <x:v>0.96</x:v>
      </x:c>
      <x:c r="I879" s="5" t="n">
        <x:v>0.9</x:v>
      </x:c>
      <x:c r="J879" s="4" t="n">
        <x:v>35</x:v>
      </x:c>
      <x:c r="K879" s="4" t="n">
        <x:v>33</x:v>
      </x:c>
      <x:c r="L879" s="4" t="n">
        <x:v>25</x:v>
      </x:c>
      <x:c r="M879" s="4" t="n">
        <x:v>24</x:v>
      </x:c>
      <x:c r="N879" s="4" t="n">
        <x:v>10</x:v>
      </x:c>
      <x:c r="O879" s="4" t="n">
        <x:v>9</x:v>
      </x:c>
      <x:c r="P879" s="1" t="str">
        <x:v>FAIL</x:v>
      </x:c>
      <x:c r="Q879" s="4" t="n">
        <x:v>2914</x:v>
      </x:c>
      <x:c r="R879" s="1" t="str">
        <x:v>FAIL</x:v>
      </x:c>
      <x:c r="S879" s="4" t="n">
        <x:v>4160</x:v>
      </x:c>
      <x:c r="T879" s="1" t="str">
        <x:v>INCONCLUSIVE</x:v>
      </x:c>
      <x:c r="U879" s="1" t="str">
        <x:v>Chart_24</x:v>
      </x:c>
      <x:c r="V879" s="6" t="n">
        <x:v>50.34</x:v>
      </x:c>
    </x:row>
    <x:row r="880" ht="22" customHeight="1">
      <x:c r="A880" s="1" t="str">
        <x:v>Round2</x:v>
      </x:c>
      <x:c r="B880" s="1" t="str">
        <x:v>Chart</x:v>
      </x:c>
      <x:c r="C880" s="4" t="n">
        <x:v>25</x:v>
      </x:c>
      <x:c r="D880" s="4" t="n">
        <x:v>20260928</x:v>
      </x:c>
      <x:c r="E880" s="4" t="n">
        <x:v>60</x:v>
      </x:c>
      <x:c r="F880" s="4" t="n">
        <x:v>1950</x:v>
      </x:c>
      <x:c r="G880" s="5" t="n">
        <x:v>0.1211</x:v>
      </x:c>
      <x:c r="H880" s="5" t="n">
        <x:v>0.1379</x:v>
      </x:c>
      <x:c r="I880" s="5" t="n">
        <x:v>0.08539999999999999</x:v>
      </x:c>
      <x:c r="J880" s="4" t="n">
        <x:v>256</x:v>
      </x:c>
      <x:c r="K880" s="4" t="n">
        <x:v>31</x:v>
      </x:c>
      <x:c r="L880" s="4" t="n">
        <x:v>174</x:v>
      </x:c>
      <x:c r="M880" s="4" t="n">
        <x:v>24</x:v>
      </x:c>
      <x:c r="N880" s="4" t="n">
        <x:v>82</x:v>
      </x:c>
      <x:c r="O880" s="4" t="n">
        <x:v>7</x:v>
      </x:c>
      <x:c r="P880" s="1" t="str">
        <x:v>FAIL</x:v>
      </x:c>
      <x:c r="Q880" s="4" t="n">
        <x:v>504</x:v>
      </x:c>
      <x:c r="R880" s="1" t="str">
        <x:v>FAIL</x:v>
      </x:c>
      <x:c r="S880" s="4" t="n">
        <x:v>504</x:v>
      </x:c>
      <x:c r="T880" s="1" t="str">
        <x:v>INCONCLUSIVE</x:v>
      </x:c>
      <x:c r="U880" s="1" t="str">
        <x:v>Chart_25</x:v>
      </x:c>
      <x:c r="V880" s="6" t="n">
        <x:v>48.41</x:v>
      </x:c>
    </x:row>
    <x:row r="881" ht="22" customHeight="1">
      <x:c r="A881" s="1" t="str">
        <x:v>Round2</x:v>
      </x:c>
      <x:c r="B881" s="1" t="str">
        <x:v>Chart</x:v>
      </x:c>
      <x:c r="C881" s="4" t="n">
        <x:v>26</x:v>
      </x:c>
      <x:c r="D881" s="4" t="n">
        <x:v>20260928</x:v>
      </x:c>
      <x:c r="E881" s="4" t="n">
        <x:v>60</x:v>
      </x:c>
      <x:c r="F881" s="4" t="n">
        <x:v>16</x:v>
      </x:c>
      <x:c r="G881" s="5" t="n">
        <x:v>0.0209</x:v>
      </x:c>
      <x:c r="H881" s="5" t="n">
        <x:v>0.0286</x:v>
      </x:c>
      <x:c r="I881" s="5" t="n">
        <x:v>0</x:v>
      </x:c>
      <x:c r="J881" s="4" t="n">
        <x:v>478</x:v>
      </x:c>
      <x:c r="K881" s="4" t="n">
        <x:v>10</x:v>
      </x:c>
      <x:c r="L881" s="4" t="n">
        <x:v>350</x:v>
      </x:c>
      <x:c r="M881" s="4" t="n">
        <x:v>10</x:v>
      </x:c>
      <x:c r="N881" s="4" t="n">
        <x:v>128</x:v>
      </x:c>
      <x:c r="O881" s="4" t="n">
        <x:v>0</x:v>
      </x:c>
      <x:c r="P881" s="1" t="str">
        <x:v>PASS</x:v>
      </x:c>
      <x:c r="Q881" s="4" t="n">
        <x:v>0</x:v>
      </x:c>
      <x:c r="R881" s="1" t="str">
        <x:v>PASS</x:v>
      </x:c>
      <x:c r="S881" s="4" t="n">
        <x:v>0</x:v>
      </x:c>
      <x:c r="T881" s="1" t="str">
        <x:v>NOT_REVEALING</x:v>
      </x:c>
      <x:c r="U881" s="1" t="str">
        <x:v>Chart_26</x:v>
      </x:c>
      <x:c r="V881" s="6" t="n">
        <x:v>32.15</x:v>
      </x:c>
    </x:row>
    <x:row r="882" ht="22" customHeight="1">
      <x:c r="A882" s="1" t="str">
        <x:v>Round2</x:v>
      </x:c>
      <x:c r="B882" s="1" t="str">
        <x:v>Cli</x:v>
      </x:c>
      <x:c r="C882" s="4" t="n">
        <x:v>1</x:v>
      </x:c>
      <x:c r="D882" s="4" t="n">
        <x:v>20260928</x:v>
      </x:c>
      <x:c r="E882" s="4" t="n">
        <x:v>60</x:v>
      </x:c>
      <x:c r="F882" s="4" t="n">
        <x:v>4737</x:v>
      </x:c>
      <x:c r="G882" s="5" t="n">
        <x:v>0</x:v>
      </x:c>
      <x:c r="H882" s="5" t="n">
        <x:v>0</x:v>
      </x:c>
      <x:c r="I882" s="5" t="n">
        <x:v>0</x:v>
      </x:c>
      <x:c r="J882" s="4" t="n">
        <x:v>59</x:v>
      </x:c>
      <x:c r="K882" s="4" t="n">
        <x:v>0</x:v>
      </x:c>
      <x:c r="L882" s="4" t="n">
        <x:v>45</x:v>
      </x:c>
      <x:c r="M882" s="4" t="n">
        <x:v>0</x:v>
      </x:c>
      <x:c r="N882" s="4" t="n">
        <x:v>14</x:v>
      </x:c>
      <x:c r="O882" s="4" t="n">
        <x:v>0</x:v>
      </x:c>
      <x:c r="P882" s="1" t="str">
        <x:v>FAIL</x:v>
      </x:c>
      <x:c r="Q882" s="4" t="n">
        <x:v>11</x:v>
      </x:c>
      <x:c r="R882" s="1" t="str">
        <x:v>FAIL</x:v>
      </x:c>
      <x:c r="S882" s="4" t="n">
        <x:v>11</x:v>
      </x:c>
      <x:c r="T882" s="1" t="str">
        <x:v>INCONCLUSIVE</x:v>
      </x:c>
      <x:c r="U882" s="1" t="str">
        <x:v>Cli_1</x:v>
      </x:c>
      <x:c r="V882" s="6" t="n">
        <x:v>35.14</x:v>
      </x:c>
    </x:row>
    <x:row r="883" ht="22" customHeight="1">
      <x:c r="A883" s="1" t="str">
        <x:v>Round2</x:v>
      </x:c>
      <x:c r="B883" s="1" t="str">
        <x:v>Cli</x:v>
      </x:c>
      <x:c r="C883" s="4" t="n">
        <x:v>2</x:v>
      </x:c>
      <x:c r="D883" s="4" t="n">
        <x:v>20260928</x:v>
      </x:c>
      <x:c r="E883" s="4" t="n">
        <x:v>60</x:v>
      </x:c>
      <x:c r="F883" s="4" t="n">
        <x:v>4426</x:v>
      </x:c>
      <x:c r="G883" s="5" t="n">
        <x:v>0</x:v>
      </x:c>
      <x:c r="H883" s="5" t="n">
        <x:v>0</x:v>
      </x:c>
      <x:c r="I883" s="5" t="n">
        <x:v>0</x:v>
      </x:c>
      <x:c r="J883" s="4" t="n">
        <x:v>110</x:v>
      </x:c>
      <x:c r="K883" s="4" t="n">
        <x:v>0</x:v>
      </x:c>
      <x:c r="L883" s="4" t="n">
        <x:v>68</x:v>
      </x:c>
      <x:c r="M883" s="4" t="n">
        <x:v>0</x:v>
      </x:c>
      <x:c r="N883" s="4" t="n">
        <x:v>42</x:v>
      </x:c>
      <x:c r="O883" s="4" t="n">
        <x:v>0</x:v>
      </x:c>
      <x:c r="P883" s="1" t="str">
        <x:v>FAIL</x:v>
      </x:c>
      <x:c r="Q883" s="4" t="n">
        <x:v>12</x:v>
      </x:c>
      <x:c r="R883" s="1" t="str">
        <x:v>FAIL</x:v>
      </x:c>
      <x:c r="S883" s="4" t="n">
        <x:v>12</x:v>
      </x:c>
      <x:c r="T883" s="1" t="str">
        <x:v>INCONCLUSIVE</x:v>
      </x:c>
      <x:c r="U883" s="1" t="str">
        <x:v>Cli_2</x:v>
      </x:c>
      <x:c r="V883" s="6" t="n">
        <x:v>50.21</x:v>
      </x:c>
    </x:row>
    <x:row r="884" ht="22" customHeight="1">
      <x:c r="A884" s="1" t="str">
        <x:v>Round2</x:v>
      </x:c>
      <x:c r="B884" s="1" t="str">
        <x:v>Cli</x:v>
      </x:c>
      <x:c r="C884" s="4" t="n">
        <x:v>3</x:v>
      </x:c>
      <x:c r="D884" s="4" t="n">
        <x:v>20260928</x:v>
      </x:c>
      <x:c r="E884" s="4" t="n">
        <x:v>60</x:v>
      </x:c>
      <x:c r="F884" s="4" t="n">
        <x:v>2942</x:v>
      </x:c>
      <x:c r="G884" s="5" t="n">
        <x:v>0</x:v>
      </x:c>
      <x:c r="H884" s="5" t="n">
        <x:v>0</x:v>
      </x:c>
      <x:c r="I884" s="5" t="n">
        <x:v>0</x:v>
      </x:c>
      <x:c r="J884" s="4" t="n">
        <x:v>75</x:v>
      </x:c>
      <x:c r="K884" s="4" t="n">
        <x:v>0</x:v>
      </x:c>
      <x:c r="L884" s="4" t="n">
        <x:v>55</x:v>
      </x:c>
      <x:c r="M884" s="4" t="n">
        <x:v>0</x:v>
      </x:c>
      <x:c r="N884" s="4" t="n">
        <x:v>20</x:v>
      </x:c>
      <x:c r="O884" s="4" t="n">
        <x:v>0</x:v>
      </x:c>
      <x:c r="P884" s="1" t="str">
        <x:v>FAIL</x:v>
      </x:c>
      <x:c r="Q884" s="4" t="n">
        <x:v>7</x:v>
      </x:c>
      <x:c r="R884" s="1" t="str">
        <x:v>FAIL</x:v>
      </x:c>
      <x:c r="S884" s="4" t="n">
        <x:v>7</x:v>
      </x:c>
      <x:c r="T884" s="1" t="str">
        <x:v>INCONCLUSIVE</x:v>
      </x:c>
      <x:c r="U884" s="1" t="str">
        <x:v>Cli_3</x:v>
      </x:c>
      <x:c r="V884" s="6" t="n">
        <x:v>47.44</x:v>
      </x:c>
    </x:row>
    <x:row r="885" ht="22" customHeight="1">
      <x:c r="A885" s="1" t="str">
        <x:v>Round2</x:v>
      </x:c>
      <x:c r="B885" s="1" t="str">
        <x:v>Cli</x:v>
      </x:c>
      <x:c r="C885" s="4" t="n">
        <x:v>4</x:v>
      </x:c>
      <x:c r="D885" s="4" t="n">
        <x:v>20260928</x:v>
      </x:c>
      <x:c r="E885" s="4" t="n">
        <x:v>60</x:v>
      </x:c>
      <x:c r="F885" s="4" t="n">
        <x:v>1</x:v>
      </x:c>
      <x:c r="G885" s="5" t="n">
        <x:v>0</x:v>
      </x:c>
      <x:c r="H885" s="5" t="n">
        <x:v>0</x:v>
      </x:c>
      <x:c r="I885" s="5" t="n">
        <x:v>0</x:v>
      </x:c>
      <x:c r="J885" s="4" t="n">
        <x:v>167</x:v>
      </x:c>
      <x:c r="K885" s="4" t="n">
        <x:v>0</x:v>
      </x:c>
      <x:c r="L885" s="4" t="n">
        <x:v>99</x:v>
      </x:c>
      <x:c r="M885" s="4" t="n">
        <x:v>0</x:v>
      </x:c>
      <x:c r="N885" s="4" t="n">
        <x:v>68</x:v>
      </x:c>
      <x:c r="O885" s="4" t="n">
        <x:v>0</x:v>
      </x:c>
      <x:c r="P885" s="1" t="str">
        <x:v>FAIL</x:v>
      </x:c>
      <x:c r="Q885" s="4" t="n">
        <x:v>2</x:v>
      </x:c>
      <x:c r="R885" s="1" t="str">
        <x:v>FAIL</x:v>
      </x:c>
      <x:c r="S885" s="4" t="n">
        <x:v>2</x:v>
      </x:c>
      <x:c r="T885" s="1" t="str">
        <x:v>INCONCLUSIVE</x:v>
      </x:c>
      <x:c r="U885" s="1" t="str">
        <x:v>Cli_4</x:v>
      </x:c>
      <x:c r="V885" s="6" t="n">
        <x:v>16.14</x:v>
      </x:c>
    </x:row>
    <x:row r="886" ht="22" customHeight="1">
      <x:c r="A886" s="1" t="str">
        <x:v>Round2</x:v>
      </x:c>
      <x:c r="B886" s="1" t="str">
        <x:v>Cli</x:v>
      </x:c>
      <x:c r="C886" s="4" t="n">
        <x:v>5</x:v>
      </x:c>
      <x:c r="D886" s="4" t="n">
        <x:v>20260928</x:v>
      </x:c>
      <x:c r="E886" s="4" t="n">
        <x:v>60</x:v>
      </x:c>
      <x:c r="F886" s="4" t="n">
        <x:v>6</x:v>
      </x:c>
      <x:c r="G886" s="5" t="n">
        <x:v>0</x:v>
      </x:c>
      <x:c r="H886" s="5" t="n">
        <x:v>0</x:v>
      </x:c>
      <x:c r="I886" s="5" t="n">
        <x:v>0</x:v>
      </x:c>
      <x:c r="J886" s="4" t="n">
        <x:v>19</x:v>
      </x:c>
      <x:c r="K886" s="4" t="n">
        <x:v>0</x:v>
      </x:c>
      <x:c r="L886" s="4" t="n">
        <x:v>11</x:v>
      </x:c>
      <x:c r="M886" s="4" t="n">
        <x:v>0</x:v>
      </x:c>
      <x:c r="N886" s="4" t="n">
        <x:v>8</x:v>
      </x:c>
      <x:c r="O886" s="4" t="n">
        <x:v>0</x:v>
      </x:c>
      <x:c r="P886" s="1" t="str">
        <x:v>FAIL</x:v>
      </x:c>
      <x:c r="Q886" s="4" t="n">
        <x:v>2</x:v>
      </x:c>
      <x:c r="R886" s="1" t="str">
        <x:v>FAIL</x:v>
      </x:c>
      <x:c r="S886" s="4" t="n">
        <x:v>2</x:v>
      </x:c>
      <x:c r="T886" s="1" t="str">
        <x:v>INCONCLUSIVE</x:v>
      </x:c>
      <x:c r="U886" s="1" t="str">
        <x:v>Cli_5</x:v>
      </x:c>
      <x:c r="V886" s="6" t="n">
        <x:v>16.6</x:v>
      </x:c>
    </x:row>
    <x:row r="887" ht="22" customHeight="1">
      <x:c r="A887" s="1" t="str">
        <x:v>Round2</x:v>
      </x:c>
      <x:c r="B887" s="1" t="str">
        <x:v>Cli</x:v>
      </x:c>
      <x:c r="C887" s="4" t="n">
        <x:v>7</x:v>
      </x:c>
      <x:c r="D887" s="4" t="n">
        <x:v>20260928</x:v>
      </x:c>
      <x:c r="E887" s="4" t="n">
        <x:v>60</x:v>
      </x:c>
      <x:c r="F887" s="4" t="n">
        <x:v>6272</x:v>
      </x:c>
      <x:c r="G887" s="5" t="n">
        <x:v>0</x:v>
      </x:c>
      <x:c r="H887" s="5" t="n">
        <x:v>0</x:v>
      </x:c>
      <x:c r="I887" s="5" t="n">
        <x:v>0</x:v>
      </x:c>
      <x:c r="J887" s="4" t="n">
        <x:v>95</x:v>
      </x:c>
      <x:c r="K887" s="4" t="n">
        <x:v>0</x:v>
      </x:c>
      <x:c r="L887" s="4" t="n">
        <x:v>68</x:v>
      </x:c>
      <x:c r="M887" s="4" t="n">
        <x:v>0</x:v>
      </x:c>
      <x:c r="N887" s="4" t="n">
        <x:v>27</x:v>
      </x:c>
      <x:c r="O887" s="4" t="n">
        <x:v>0</x:v>
      </x:c>
      <x:c r="P887" s="1" t="str">
        <x:v>FAIL</x:v>
      </x:c>
      <x:c r="Q887" s="4" t="n">
        <x:v>15</x:v>
      </x:c>
      <x:c r="R887" s="1" t="str">
        <x:v>FAIL</x:v>
      </x:c>
      <x:c r="S887" s="4" t="n">
        <x:v>15</x:v>
      </x:c>
      <x:c r="T887" s="1" t="str">
        <x:v>INCONCLUSIVE</x:v>
      </x:c>
      <x:c r="U887" s="1" t="str">
        <x:v>Cli_7</x:v>
      </x:c>
      <x:c r="V887" s="6" t="n">
        <x:v>31.27</x:v>
      </x:c>
    </x:row>
    <x:row r="888" ht="22" customHeight="1">
      <x:c r="A888" s="1" t="str">
        <x:v>Round2</x:v>
      </x:c>
      <x:c r="B888" s="1" t="str">
        <x:v>Cli</x:v>
      </x:c>
      <x:c r="C888" s="4" t="n">
        <x:v>8</x:v>
      </x:c>
      <x:c r="D888" s="4" t="n">
        <x:v>20260928</x:v>
      </x:c>
      <x:c r="E888" s="4" t="n">
        <x:v>60</x:v>
      </x:c>
      <x:c r="F888" s="4" t="n">
        <x:v>3494</x:v>
      </x:c>
      <x:c r="G888" s="5" t="n">
        <x:v>0</x:v>
      </x:c>
      <x:c r="H888" s="5" t="n">
        <x:v>0</x:v>
      </x:c>
      <x:c r="I888" s="5" t="n">
        <x:v>0</x:v>
      </x:c>
      <x:c r="J888" s="4" t="n">
        <x:v>296</x:v>
      </x:c>
      <x:c r="K888" s="4" t="n">
        <x:v>0</x:v>
      </x:c>
      <x:c r="L888" s="4" t="n">
        <x:v>192</x:v>
      </x:c>
      <x:c r="M888" s="4" t="n">
        <x:v>0</x:v>
      </x:c>
      <x:c r="N888" s="4" t="n">
        <x:v>104</x:v>
      </x:c>
      <x:c r="O888" s="4" t="n">
        <x:v>0</x:v>
      </x:c>
      <x:c r="P888" s="1" t="str">
        <x:v>FAIL</x:v>
      </x:c>
      <x:c r="Q888" s="4" t="n">
        <x:v>8</x:v>
      </x:c>
      <x:c r="R888" s="1" t="str">
        <x:v>FAIL</x:v>
      </x:c>
      <x:c r="S888" s="4" t="n">
        <x:v>8</x:v>
      </x:c>
      <x:c r="T888" s="1" t="str">
        <x:v>INCONCLUSIVE</x:v>
      </x:c>
      <x:c r="U888" s="1" t="str">
        <x:v>Cli_8</x:v>
      </x:c>
      <x:c r="V888" s="6" t="n">
        <x:v>26.96</x:v>
      </x:c>
    </x:row>
    <x:row r="889" ht="22" customHeight="1">
      <x:c r="A889" s="1" t="str">
        <x:v>Round2</x:v>
      </x:c>
      <x:c r="B889" s="1" t="str">
        <x:v>Cli</x:v>
      </x:c>
      <x:c r="C889" s="4" t="n">
        <x:v>9</x:v>
      </x:c>
      <x:c r="D889" s="4" t="n">
        <x:v>20260928</x:v>
      </x:c>
      <x:c r="E889" s="4" t="n">
        <x:v>60</x:v>
      </x:c>
      <x:c r="F889" s="4" t="n">
        <x:v>1</x:v>
      </x:c>
      <x:c r="G889" s="5" t="n">
        <x:v>0</x:v>
      </x:c>
      <x:c r="H889" s="5" t="n">
        <x:v>0</x:v>
      </x:c>
      <x:c r="I889" s="5" t="n">
        <x:v>0</x:v>
      </x:c>
      <x:c r="J889" s="4" t="n">
        <x:v>175</x:v>
      </x:c>
      <x:c r="K889" s="4" t="n">
        <x:v>0</x:v>
      </x:c>
      <x:c r="L889" s="4" t="n">
        <x:v>105</x:v>
      </x:c>
      <x:c r="M889" s="4" t="n">
        <x:v>0</x:v>
      </x:c>
      <x:c r="N889" s="4" t="n">
        <x:v>70</x:v>
      </x:c>
      <x:c r="O889" s="4" t="n">
        <x:v>0</x:v>
      </x:c>
      <x:c r="P889" s="1" t="str">
        <x:v>FAIL</x:v>
      </x:c>
      <x:c r="Q889" s="4" t="n">
        <x:v>2</x:v>
      </x:c>
      <x:c r="R889" s="1" t="str">
        <x:v>FAIL</x:v>
      </x:c>
      <x:c r="S889" s="4" t="n">
        <x:v>2</x:v>
      </x:c>
      <x:c r="T889" s="1" t="str">
        <x:v>INCONCLUSIVE</x:v>
      </x:c>
      <x:c r="U889" s="1" t="str">
        <x:v>Cli_9</x:v>
      </x:c>
      <x:c r="V889" s="6" t="n">
        <x:v>13.85</x:v>
      </x:c>
    </x:row>
    <x:row r="890" ht="22" customHeight="1">
      <x:c r="A890" s="1" t="str">
        <x:v>Round2</x:v>
      </x:c>
      <x:c r="B890" s="1" t="str">
        <x:v>Cli</x:v>
      </x:c>
      <x:c r="C890" s="4" t="n">
        <x:v>10</x:v>
      </x:c>
      <x:c r="D890" s="4" t="n">
        <x:v>20260928</x:v>
      </x:c>
      <x:c r="E890" s="4" t="n">
        <x:v>60</x:v>
      </x:c>
      <x:c r="F890" s="4" t="n">
        <x:v>1</x:v>
      </x:c>
      <x:c r="G890" s="5" t="n">
        <x:v>0</x:v>
      </x:c>
      <x:c r="H890" s="5" t="n">
        <x:v>0</x:v>
      </x:c>
      <x:c r="I890" s="5" t="n">
        <x:v>0</x:v>
      </x:c>
      <x:c r="J890" s="4" t="n">
        <x:v>176</x:v>
      </x:c>
      <x:c r="K890" s="4" t="n">
        <x:v>0</x:v>
      </x:c>
      <x:c r="L890" s="4" t="n">
        <x:v>106</x:v>
      </x:c>
      <x:c r="M890" s="4" t="n">
        <x:v>0</x:v>
      </x:c>
      <x:c r="N890" s="4" t="n">
        <x:v>70</x:v>
      </x:c>
      <x:c r="O890" s="4" t="n">
        <x:v>0</x:v>
      </x:c>
      <x:c r="P890" s="1" t="str">
        <x:v>FAIL</x:v>
      </x:c>
      <x:c r="Q890" s="4" t="n">
        <x:v>2</x:v>
      </x:c>
      <x:c r="R890" s="1" t="str">
        <x:v>FAIL</x:v>
      </x:c>
      <x:c r="S890" s="4" t="n">
        <x:v>2</x:v>
      </x:c>
      <x:c r="T890" s="1" t="str">
        <x:v>INCONCLUSIVE</x:v>
      </x:c>
      <x:c r="U890" s="1" t="str">
        <x:v>Cli_10</x:v>
      </x:c>
      <x:c r="V890" s="6" t="n">
        <x:v>14.21</x:v>
      </x:c>
    </x:row>
    <x:row r="891" ht="22" customHeight="1">
      <x:c r="A891" s="1" t="str">
        <x:v>Round2</x:v>
      </x:c>
      <x:c r="B891" s="1" t="str">
        <x:v>Cli</x:v>
      </x:c>
      <x:c r="C891" s="4" t="n">
        <x:v>11</x:v>
      </x:c>
      <x:c r="D891" s="4" t="n">
        <x:v>20260928</x:v>
      </x:c>
      <x:c r="E891" s="4" t="n">
        <x:v>60</x:v>
      </x:c>
      <x:c r="F891" s="4" t="n">
        <x:v>90</x:v>
      </x:c>
      <x:c r="G891" s="5" t="n">
        <x:v>0</x:v>
      </x:c>
      <x:c r="H891" s="5" t="n">
        <x:v>0</x:v>
      </x:c>
      <x:c r="I891" s="5" t="n">
        <x:v>0</x:v>
      </x:c>
      <x:c r="J891" s="4" t="n">
        <x:v>304</x:v>
      </x:c>
      <x:c r="K891" s="4" t="n">
        <x:v>0</x:v>
      </x:c>
      <x:c r="L891" s="4" t="n">
        <x:v>198</x:v>
      </x:c>
      <x:c r="M891" s="4" t="n">
        <x:v>0</x:v>
      </x:c>
      <x:c r="N891" s="4" t="n">
        <x:v>106</x:v>
      </x:c>
      <x:c r="O891" s="4" t="n">
        <x:v>0</x:v>
      </x:c>
      <x:c r="P891" s="1" t="str">
        <x:v>FAIL</x:v>
      </x:c>
      <x:c r="Q891" s="4" t="n">
        <x:v>2</x:v>
      </x:c>
      <x:c r="R891" s="1" t="str">
        <x:v>FAIL</x:v>
      </x:c>
      <x:c r="S891" s="4" t="n">
        <x:v>2</x:v>
      </x:c>
      <x:c r="T891" s="1" t="str">
        <x:v>INCONCLUSIVE</x:v>
      </x:c>
      <x:c r="U891" s="1" t="str">
        <x:v>Cli_11</x:v>
      </x:c>
      <x:c r="V891" s="6" t="n">
        <x:v>15</x:v>
      </x:c>
    </x:row>
    <x:row r="892" ht="22" customHeight="1">
      <x:c r="A892" s="1" t="str">
        <x:v>Round2</x:v>
      </x:c>
      <x:c r="B892" s="1" t="str">
        <x:v>Cli</x:v>
      </x:c>
      <x:c r="C892" s="4" t="n">
        <x:v>12</x:v>
      </x:c>
      <x:c r="D892" s="4" t="n">
        <x:v>20260928</x:v>
      </x:c>
      <x:c r="E892" s="4" t="n">
        <x:v>60</x:v>
      </x:c>
      <x:c r="F892" s="4" t="n">
        <x:v>4346</x:v>
      </x:c>
      <x:c r="G892" s="5" t="n">
        <x:v>0</x:v>
      </x:c>
      <x:c r="H892" s="5" t="n">
        <x:v>0</x:v>
      </x:c>
      <x:c r="I892" s="5" t="n">
        <x:v>0</x:v>
      </x:c>
      <x:c r="J892" s="4" t="n">
        <x:v>41</x:v>
      </x:c>
      <x:c r="K892" s="4" t="n">
        <x:v>0</x:v>
      </x:c>
      <x:c r="L892" s="4" t="n">
        <x:v>25</x:v>
      </x:c>
      <x:c r="M892" s="4" t="n">
        <x:v>0</x:v>
      </x:c>
      <x:c r="N892" s="4" t="n">
        <x:v>16</x:v>
      </x:c>
      <x:c r="O892" s="4" t="n">
        <x:v>0</x:v>
      </x:c>
      <x:c r="P892" s="1" t="str">
        <x:v>FAIL</x:v>
      </x:c>
      <x:c r="Q892" s="4" t="n">
        <x:v>10</x:v>
      </x:c>
      <x:c r="R892" s="1" t="str">
        <x:v>FAIL</x:v>
      </x:c>
      <x:c r="S892" s="4" t="n">
        <x:v>10</x:v>
      </x:c>
      <x:c r="T892" s="1" t="str">
        <x:v>INCONCLUSIVE</x:v>
      </x:c>
      <x:c r="U892" s="1" t="str">
        <x:v>Cli_12</x:v>
      </x:c>
      <x:c r="V892" s="6" t="n">
        <x:v>63.51</x:v>
      </x:c>
    </x:row>
    <x:row r="893" ht="22" customHeight="1">
      <x:c r="A893" s="1" t="str">
        <x:v>Round2</x:v>
      </x:c>
      <x:c r="B893" s="1" t="str">
        <x:v>Cli</x:v>
      </x:c>
      <x:c r="C893" s="4" t="n">
        <x:v>13</x:v>
      </x:c>
      <x:c r="D893" s="4" t="n">
        <x:v>20260928</x:v>
      </x:c>
      <x:c r="E893" s="4" t="n">
        <x:v>60</x:v>
      </x:c>
      <x:c r="F893" s="4" t="n">
        <x:v>1938</x:v>
      </x:c>
      <x:c r="G893" s="5" t="n">
        <x:v>0</x:v>
      </x:c>
      <x:c r="H893" s="5" t="n">
        <x:v>0</x:v>
      </x:c>
      <x:c r="I893" s="5" t="n">
        <x:v>0</x:v>
      </x:c>
      <x:c r="J893" s="4" t="n">
        <x:v>309</x:v>
      </x:c>
      <x:c r="K893" s="4" t="n">
        <x:v>0</x:v>
      </x:c>
      <x:c r="L893" s="4" t="n">
        <x:v>193</x:v>
      </x:c>
      <x:c r="M893" s="4" t="n">
        <x:v>0</x:v>
      </x:c>
      <x:c r="N893" s="4" t="n">
        <x:v>116</x:v>
      </x:c>
      <x:c r="O893" s="4" t="n">
        <x:v>0</x:v>
      </x:c>
      <x:c r="P893" s="1" t="str">
        <x:v>FAIL</x:v>
      </x:c>
      <x:c r="Q893" s="4" t="n">
        <x:v>5</x:v>
      </x:c>
      <x:c r="R893" s="1" t="str">
        <x:v>FAIL</x:v>
      </x:c>
      <x:c r="S893" s="4" t="n">
        <x:v>5</x:v>
      </x:c>
      <x:c r="T893" s="1" t="str">
        <x:v>INCONCLUSIVE</x:v>
      </x:c>
      <x:c r="U893" s="1" t="str">
        <x:v>Cli_13</x:v>
      </x:c>
      <x:c r="V893" s="6" t="n">
        <x:v>35.67</x:v>
      </x:c>
    </x:row>
    <x:row r="894" ht="22" customHeight="1">
      <x:c r="A894" s="1" t="str">
        <x:v>Round2</x:v>
      </x:c>
      <x:c r="B894" s="1" t="str">
        <x:v>Cli</x:v>
      </x:c>
      <x:c r="C894" s="4" t="n">
        <x:v>14</x:v>
      </x:c>
      <x:c r="D894" s="4" t="n">
        <x:v>20260928</x:v>
      </x:c>
      <x:c r="E894" s="4" t="n">
        <x:v>60</x:v>
      </x:c>
      <x:c r="F894" s="4" t="n">
        <x:v>1445</x:v>
      </x:c>
      <x:c r="G894" s="5" t="n">
        <x:v>0</x:v>
      </x:c>
      <x:c r="H894" s="5" t="n">
        <x:v>0</x:v>
      </x:c>
      <x:c r="I894" s="5" t="n">
        <x:v>0</x:v>
      </x:c>
      <x:c r="J894" s="4" t="n">
        <x:v>317</x:v>
      </x:c>
      <x:c r="K894" s="4" t="n">
        <x:v>0</x:v>
      </x:c>
      <x:c r="L894" s="4" t="n">
        <x:v>189</x:v>
      </x:c>
      <x:c r="M894" s="4" t="n">
        <x:v>0</x:v>
      </x:c>
      <x:c r="N894" s="4" t="n">
        <x:v>128</x:v>
      </x:c>
      <x:c r="O894" s="4" t="n">
        <x:v>0</x:v>
      </x:c>
      <x:c r="P894" s="1" t="str">
        <x:v>FAIL</x:v>
      </x:c>
      <x:c r="Q894" s="4" t="n">
        <x:v>4</x:v>
      </x:c>
      <x:c r="R894" s="1" t="str">
        <x:v>FAIL</x:v>
      </x:c>
      <x:c r="S894" s="4" t="n">
        <x:v>4</x:v>
      </x:c>
      <x:c r="T894" s="1" t="str">
        <x:v>INCONCLUSIVE</x:v>
      </x:c>
      <x:c r="U894" s="1" t="str">
        <x:v>Cli_14</x:v>
      </x:c>
      <x:c r="V894" s="6" t="n">
        <x:v>20.32</x:v>
      </x:c>
    </x:row>
    <x:row r="895" ht="22" customHeight="1">
      <x:c r="A895" s="1" t="str">
        <x:v>Round2</x:v>
      </x:c>
      <x:c r="B895" s="1" t="str">
        <x:v>Cli</x:v>
      </x:c>
      <x:c r="C895" s="4" t="n">
        <x:v>15</x:v>
      </x:c>
      <x:c r="D895" s="4" t="n">
        <x:v>20260928</x:v>
      </x:c>
      <x:c r="E895" s="4" t="n">
        <x:v>60</x:v>
      </x:c>
      <x:c r="F895" s="4" t="n">
        <x:v>2</x:v>
      </x:c>
      <x:c r="G895" s="5" t="n">
        <x:v>0</x:v>
      </x:c>
      <x:c r="H895" s="5" t="n">
        <x:v>0</x:v>
      </x:c>
      <x:c r="I895" s="5" t="n">
        <x:v>0</x:v>
      </x:c>
      <x:c r="J895" s="4" t="n">
        <x:v>139</x:v>
      </x:c>
      <x:c r="K895" s="4" t="n">
        <x:v>0</x:v>
      </x:c>
      <x:c r="L895" s="4" t="n">
        <x:v>93</x:v>
      </x:c>
      <x:c r="M895" s="4" t="n">
        <x:v>0</x:v>
      </x:c>
      <x:c r="N895" s="4" t="n">
        <x:v>46</x:v>
      </x:c>
      <x:c r="O895" s="4" t="n">
        <x:v>0</x:v>
      </x:c>
      <x:c r="P895" s="1" t="str">
        <x:v>FAIL</x:v>
      </x:c>
      <x:c r="Q895" s="4" t="n">
        <x:v>2</x:v>
      </x:c>
      <x:c r="R895" s="1" t="str">
        <x:v>FAIL</x:v>
      </x:c>
      <x:c r="S895" s="4" t="n">
        <x:v>2</x:v>
      </x:c>
      <x:c r="T895" s="1" t="str">
        <x:v>INCONCLUSIVE</x:v>
      </x:c>
      <x:c r="U895" s="1" t="str">
        <x:v>Cli_15</x:v>
      </x:c>
      <x:c r="V895" s="6" t="n">
        <x:v>15.68</x:v>
      </x:c>
    </x:row>
    <x:row r="896" ht="22" customHeight="1">
      <x:c r="A896" s="1" t="str">
        <x:v>Round2</x:v>
      </x:c>
      <x:c r="B896" s="1" t="str">
        <x:v>Cli</x:v>
      </x:c>
      <x:c r="C896" s="4" t="n">
        <x:v>16</x:v>
      </x:c>
      <x:c r="D896" s="4" t="n">
        <x:v>20260928</x:v>
      </x:c>
      <x:c r="E896" s="4" t="n">
        <x:v>60</x:v>
      </x:c>
      <x:c r="F896" s="4" t="n">
        <x:v>1446</x:v>
      </x:c>
      <x:c r="G896" s="5" t="n">
        <x:v>0</x:v>
      </x:c>
      <x:c r="H896" s="5" t="n">
        <x:v>0</x:v>
      </x:c>
      <x:c r="I896" s="5" t="n">
        <x:v>0</x:v>
      </x:c>
      <x:c r="J896" s="4" t="n">
        <x:v>561</x:v>
      </x:c>
      <x:c r="K896" s="4" t="n">
        <x:v>0</x:v>
      </x:c>
      <x:c r="L896" s="4" t="n">
        <x:v>343</x:v>
      </x:c>
      <x:c r="M896" s="4" t="n">
        <x:v>0</x:v>
      </x:c>
      <x:c r="N896" s="4" t="n">
        <x:v>218</x:v>
      </x:c>
      <x:c r="O896" s="4" t="n">
        <x:v>0</x:v>
      </x:c>
      <x:c r="P896" s="1" t="str">
        <x:v>FAIL</x:v>
      </x:c>
      <x:c r="Q896" s="4" t="n">
        <x:v>4</x:v>
      </x:c>
      <x:c r="R896" s="1" t="str">
        <x:v>FAIL</x:v>
      </x:c>
      <x:c r="S896" s="4" t="n">
        <x:v>4</x:v>
      </x:c>
      <x:c r="T896" s="1" t="str">
        <x:v>INCONCLUSIVE</x:v>
      </x:c>
      <x:c r="U896" s="1" t="str">
        <x:v>Cli_16</x:v>
      </x:c>
      <x:c r="V896" s="6" t="n">
        <x:v>18.28</x:v>
      </x:c>
    </x:row>
    <x:row r="897" ht="22" customHeight="1">
      <x:c r="A897" s="1" t="str">
        <x:v>Round2</x:v>
      </x:c>
      <x:c r="B897" s="1" t="str">
        <x:v>Cli</x:v>
      </x:c>
      <x:c r="C897" s="4" t="n">
        <x:v>17</x:v>
      </x:c>
      <x:c r="D897" s="4" t="n">
        <x:v>20260928</x:v>
      </x:c>
      <x:c r="E897" s="4" t="n">
        <x:v>60</x:v>
      </x:c>
      <x:c r="F897" s="4" t="n">
        <x:v>4347</x:v>
      </x:c>
      <x:c r="G897" s="5" t="n">
        <x:v>0</x:v>
      </x:c>
      <x:c r="H897" s="5" t="n">
        <x:v>0</x:v>
      </x:c>
      <x:c r="I897" s="5" t="n">
        <x:v>0</x:v>
      </x:c>
      <x:c r="J897" s="4" t="n">
        <x:v>109</x:v>
      </x:c>
      <x:c r="K897" s="4" t="n">
        <x:v>0</x:v>
      </x:c>
      <x:c r="L897" s="4" t="n">
        <x:v>67</x:v>
      </x:c>
      <x:c r="M897" s="4" t="n">
        <x:v>0</x:v>
      </x:c>
      <x:c r="N897" s="4" t="n">
        <x:v>42</x:v>
      </x:c>
      <x:c r="O897" s="4" t="n">
        <x:v>0</x:v>
      </x:c>
      <x:c r="P897" s="1" t="str">
        <x:v>FAIL</x:v>
      </x:c>
      <x:c r="Q897" s="4" t="n">
        <x:v>12</x:v>
      </x:c>
      <x:c r="R897" s="1" t="str">
        <x:v>FAIL</x:v>
      </x:c>
      <x:c r="S897" s="4" t="n">
        <x:v>12</x:v>
      </x:c>
      <x:c r="T897" s="1" t="str">
        <x:v>INCONCLUSIVE</x:v>
      </x:c>
      <x:c r="U897" s="1" t="str">
        <x:v>Cli_17</x:v>
      </x:c>
      <x:c r="V897" s="6" t="n">
        <x:v>51.67</x:v>
      </x:c>
    </x:row>
    <x:row r="898" ht="22" customHeight="1">
      <x:c r="A898" s="1" t="str">
        <x:v>Round2</x:v>
      </x:c>
      <x:c r="B898" s="1" t="str">
        <x:v>Cli</x:v>
      </x:c>
      <x:c r="C898" s="4" t="n">
        <x:v>18</x:v>
      </x:c>
      <x:c r="D898" s="4" t="n">
        <x:v>20260928</x:v>
      </x:c>
      <x:c r="E898" s="4" t="n">
        <x:v>60</x:v>
      </x:c>
      <x:c r="F898" s="4" t="n">
        <x:v>4753</x:v>
      </x:c>
      <x:c r="G898" s="5" t="n">
        <x:v>0</x:v>
      </x:c>
      <x:c r="H898" s="5" t="n">
        <x:v>0</x:v>
      </x:c>
      <x:c r="I898" s="5" t="n">
        <x:v>0</x:v>
      </x:c>
      <x:c r="J898" s="4" t="n">
        <x:v>108</x:v>
      </x:c>
      <x:c r="K898" s="4" t="n">
        <x:v>0</x:v>
      </x:c>
      <x:c r="L898" s="4" t="n">
        <x:v>66</x:v>
      </x:c>
      <x:c r="M898" s="4" t="n">
        <x:v>0</x:v>
      </x:c>
      <x:c r="N898" s="4" t="n">
        <x:v>42</x:v>
      </x:c>
      <x:c r="O898" s="4" t="n">
        <x:v>0</x:v>
      </x:c>
      <x:c r="P898" s="1" t="str">
        <x:v>FAIL</x:v>
      </x:c>
      <x:c r="Q898" s="4" t="n">
        <x:v>13</x:v>
      </x:c>
      <x:c r="R898" s="1" t="str">
        <x:v>FAIL</x:v>
      </x:c>
      <x:c r="S898" s="4" t="n">
        <x:v>13</x:v>
      </x:c>
      <x:c r="T898" s="1" t="str">
        <x:v>INCONCLUSIVE</x:v>
      </x:c>
      <x:c r="U898" s="1" t="str">
        <x:v>Cli_18</x:v>
      </x:c>
      <x:c r="V898" s="6" t="n">
        <x:v>54.58</x:v>
      </x:c>
    </x:row>
    <x:row r="899" ht="22" customHeight="1">
      <x:c r="A899" s="1" t="str">
        <x:v>Round2</x:v>
      </x:c>
      <x:c r="B899" s="1" t="str">
        <x:v>Cli</x:v>
      </x:c>
      <x:c r="C899" s="4" t="n">
        <x:v>19</x:v>
      </x:c>
      <x:c r="D899" s="4" t="n">
        <x:v>20260928</x:v>
      </x:c>
      <x:c r="E899" s="4" t="n">
        <x:v>60</x:v>
      </x:c>
      <x:c r="F899" s="4" t="n">
        <x:v>5019</x:v>
      </x:c>
      <x:c r="G899" s="5" t="n">
        <x:v>0</x:v>
      </x:c>
      <x:c r="H899" s="5" t="n">
        <x:v>0</x:v>
      </x:c>
      <x:c r="I899" s="5" t="n">
        <x:v>0</x:v>
      </x:c>
      <x:c r="J899" s="4" t="n">
        <x:v>107</x:v>
      </x:c>
      <x:c r="K899" s="4" t="n">
        <x:v>0</x:v>
      </x:c>
      <x:c r="L899" s="4" t="n">
        <x:v>65</x:v>
      </x:c>
      <x:c r="M899" s="4" t="n">
        <x:v>0</x:v>
      </x:c>
      <x:c r="N899" s="4" t="n">
        <x:v>42</x:v>
      </x:c>
      <x:c r="O899" s="4" t="n">
        <x:v>0</x:v>
      </x:c>
      <x:c r="P899" s="1" t="str">
        <x:v>FAIL</x:v>
      </x:c>
      <x:c r="Q899" s="4" t="n">
        <x:v>14</x:v>
      </x:c>
      <x:c r="R899" s="1" t="str">
        <x:v>FAIL</x:v>
      </x:c>
      <x:c r="S899" s="4" t="n">
        <x:v>14</x:v>
      </x:c>
      <x:c r="T899" s="1" t="str">
        <x:v>INCONCLUSIVE</x:v>
      </x:c>
      <x:c r="U899" s="1" t="str">
        <x:v>Cli_19</x:v>
      </x:c>
      <x:c r="V899" s="6" t="n">
        <x:v>56.37</x:v>
      </x:c>
    </x:row>
    <x:row r="900" ht="22" customHeight="1">
      <x:c r="A900" s="1" t="str">
        <x:v>Round2</x:v>
      </x:c>
      <x:c r="B900" s="1" t="str">
        <x:v>Cli</x:v>
      </x:c>
      <x:c r="C900" s="4" t="n">
        <x:v>20</x:v>
      </x:c>
      <x:c r="D900" s="4" t="n">
        <x:v>20260928</x:v>
      </x:c>
      <x:c r="E900" s="4" t="n">
        <x:v>60</x:v>
      </x:c>
      <x:c r="F900" s="4" t="n">
        <x:v>5125</x:v>
      </x:c>
      <x:c r="G900" s="5" t="n">
        <x:v>0</x:v>
      </x:c>
      <x:c r="H900" s="5" t="n">
        <x:v>0</x:v>
      </x:c>
      <x:c r="I900" s="5" t="n">
        <x:v>0</x:v>
      </x:c>
      <x:c r="J900" s="4" t="n">
        <x:v>106</x:v>
      </x:c>
      <x:c r="K900" s="4" t="n">
        <x:v>0</x:v>
      </x:c>
      <x:c r="L900" s="4" t="n">
        <x:v>64</x:v>
      </x:c>
      <x:c r="M900" s="4" t="n">
        <x:v>0</x:v>
      </x:c>
      <x:c r="N900" s="4" t="n">
        <x:v>42</x:v>
      </x:c>
      <x:c r="O900" s="4" t="n">
        <x:v>0</x:v>
      </x:c>
      <x:c r="P900" s="1" t="str">
        <x:v>FAIL</x:v>
      </x:c>
      <x:c r="Q900" s="4" t="n">
        <x:v>14</x:v>
      </x:c>
      <x:c r="R900" s="1" t="str">
        <x:v>FAIL</x:v>
      </x:c>
      <x:c r="S900" s="4" t="n">
        <x:v>14</x:v>
      </x:c>
      <x:c r="T900" s="1" t="str">
        <x:v>INCONCLUSIVE</x:v>
      </x:c>
      <x:c r="U900" s="1" t="str">
        <x:v>Cli_20</x:v>
      </x:c>
      <x:c r="V900" s="6" t="n">
        <x:v>57.51</x:v>
      </x:c>
    </x:row>
    <x:row r="901" ht="22" customHeight="1">
      <x:c r="A901" s="1" t="str">
        <x:v>Round2</x:v>
      </x:c>
      <x:c r="B901" s="1" t="str">
        <x:v>Cli</x:v>
      </x:c>
      <x:c r="C901" s="4" t="n">
        <x:v>21</x:v>
      </x:c>
      <x:c r="D901" s="4" t="n">
        <x:v>20260928</x:v>
      </x:c>
      <x:c r="E901" s="4" t="n">
        <x:v>60</x:v>
      </x:c>
      <x:c r="F901" s="4" t="n">
        <x:v>2888</x:v>
      </x:c>
      <x:c r="G901" s="5" t="n">
        <x:v>0</x:v>
      </x:c>
      <x:c r="H901" s="5" t="n">
        <x:v>0</x:v>
      </x:c>
      <x:c r="I901" s="5" t="n">
        <x:v>0</x:v>
      </x:c>
      <x:c r="J901" s="4" t="n">
        <x:v>482</x:v>
      </x:c>
      <x:c r="K901" s="4" t="n">
        <x:v>0</x:v>
      </x:c>
      <x:c r="L901" s="4" t="n">
        <x:v>294</x:v>
      </x:c>
      <x:c r="M901" s="4" t="n">
        <x:v>0</x:v>
      </x:c>
      <x:c r="N901" s="4" t="n">
        <x:v>188</x:v>
      </x:c>
      <x:c r="O901" s="4" t="n">
        <x:v>0</x:v>
      </x:c>
      <x:c r="P901" s="1" t="str">
        <x:v>FAIL</x:v>
      </x:c>
      <x:c r="Q901" s="4" t="n">
        <x:v>7</x:v>
      </x:c>
      <x:c r="R901" s="1" t="str">
        <x:v>FAIL</x:v>
      </x:c>
      <x:c r="S901" s="4" t="n">
        <x:v>7</x:v>
      </x:c>
      <x:c r="T901" s="1" t="str">
        <x:v>INCONCLUSIVE</x:v>
      </x:c>
      <x:c r="U901" s="1" t="str">
        <x:v>Cli_21</x:v>
      </x:c>
      <x:c r="V901" s="6" t="n">
        <x:v>23.81</x:v>
      </x:c>
    </x:row>
    <x:row r="902" ht="22" customHeight="1">
      <x:c r="A902" s="1" t="str">
        <x:v>Round2</x:v>
      </x:c>
      <x:c r="B902" s="1" t="str">
        <x:v>Cli</x:v>
      </x:c>
      <x:c r="C902" s="4" t="n">
        <x:v>22</x:v>
      </x:c>
      <x:c r="D902" s="4" t="n">
        <x:v>20260928</x:v>
      </x:c>
      <x:c r="E902" s="4" t="n">
        <x:v>60</x:v>
      </x:c>
      <x:c r="F902" s="4" t="n">
        <x:v>4986</x:v>
      </x:c>
      <x:c r="G902" s="5" t="n">
        <x:v>0</x:v>
      </x:c>
      <x:c r="H902" s="5" t="n">
        <x:v>0</x:v>
      </x:c>
      <x:c r="I902" s="5" t="n">
        <x:v>0</x:v>
      </x:c>
      <x:c r="J902" s="4" t="n">
        <x:v>95</x:v>
      </x:c>
      <x:c r="K902" s="4" t="n">
        <x:v>0</x:v>
      </x:c>
      <x:c r="L902" s="4" t="n">
        <x:v>57</x:v>
      </x:c>
      <x:c r="M902" s="4" t="n">
        <x:v>0</x:v>
      </x:c>
      <x:c r="N902" s="4" t="n">
        <x:v>38</x:v>
      </x:c>
      <x:c r="O902" s="4" t="n">
        <x:v>0</x:v>
      </x:c>
      <x:c r="P902" s="1" t="str">
        <x:v>FAIL</x:v>
      </x:c>
      <x:c r="Q902" s="4" t="n">
        <x:v>13</x:v>
      </x:c>
      <x:c r="R902" s="1" t="str">
        <x:v>FAIL</x:v>
      </x:c>
      <x:c r="S902" s="4" t="n">
        <x:v>13</x:v>
      </x:c>
      <x:c r="T902" s="1" t="str">
        <x:v>INCONCLUSIVE</x:v>
      </x:c>
      <x:c r="U902" s="1" t="str">
        <x:v>Cli_22</x:v>
      </x:c>
      <x:c r="V902" s="6" t="n">
        <x:v>54.52</x:v>
      </x:c>
    </x:row>
    <x:row r="903" ht="22" customHeight="1">
      <x:c r="A903" s="1" t="str">
        <x:v>Round2</x:v>
      </x:c>
      <x:c r="B903" s="1" t="str">
        <x:v>Cli</x:v>
      </x:c>
      <x:c r="C903" s="4" t="n">
        <x:v>23</x:v>
      </x:c>
      <x:c r="D903" s="4" t="n">
        <x:v>20260928</x:v>
      </x:c>
      <x:c r="E903" s="4" t="n">
        <x:v>60</x:v>
      </x:c>
      <x:c r="F903" s="4" t="n">
        <x:v>3367</x:v>
      </x:c>
      <x:c r="G903" s="5" t="n">
        <x:v>0</x:v>
      </x:c>
      <x:c r="H903" s="5" t="n">
        <x:v>0</x:v>
      </x:c>
      <x:c r="I903" s="5" t="n">
        <x:v>0</x:v>
      </x:c>
      <x:c r="J903" s="4" t="n">
        <x:v>306</x:v>
      </x:c>
      <x:c r="K903" s="4" t="n">
        <x:v>0</x:v>
      </x:c>
      <x:c r="L903" s="4" t="n">
        <x:v>198</x:v>
      </x:c>
      <x:c r="M903" s="4" t="n">
        <x:v>0</x:v>
      </x:c>
      <x:c r="N903" s="4" t="n">
        <x:v>108</x:v>
      </x:c>
      <x:c r="O903" s="4" t="n">
        <x:v>0</x:v>
      </x:c>
      <x:c r="P903" s="1" t="str">
        <x:v>FAIL</x:v>
      </x:c>
      <x:c r="Q903" s="4" t="n">
        <x:v>8</x:v>
      </x:c>
      <x:c r="R903" s="1" t="str">
        <x:v>FAIL</x:v>
      </x:c>
      <x:c r="S903" s="4" t="n">
        <x:v>8</x:v>
      </x:c>
      <x:c r="T903" s="1" t="str">
        <x:v>INCONCLUSIVE</x:v>
      </x:c>
      <x:c r="U903" s="1" t="str">
        <x:v>Cli_23</x:v>
      </x:c>
      <x:c r="V903" s="6" t="n">
        <x:v>30.4</x:v>
      </x:c>
    </x:row>
    <x:row r="904" ht="22" customHeight="1">
      <x:c r="A904" s="1" t="str">
        <x:v>Round2</x:v>
      </x:c>
      <x:c r="B904" s="1" t="str">
        <x:v>Cli</x:v>
      </x:c>
      <x:c r="C904" s="4" t="n">
        <x:v>24</x:v>
      </x:c>
      <x:c r="D904" s="4" t="n">
        <x:v>20260928</x:v>
      </x:c>
      <x:c r="E904" s="4" t="n">
        <x:v>60</x:v>
      </x:c>
      <x:c r="F904" s="4" t="n">
        <x:v>2911</x:v>
      </x:c>
      <x:c r="G904" s="5" t="n">
        <x:v>0</x:v>
      </x:c>
      <x:c r="H904" s="5" t="n">
        <x:v>0</x:v>
      </x:c>
      <x:c r="I904" s="5" t="n">
        <x:v>0</x:v>
      </x:c>
      <x:c r="J904" s="4" t="n">
        <x:v>310</x:v>
      </x:c>
      <x:c r="K904" s="4" t="n">
        <x:v>0</x:v>
      </x:c>
      <x:c r="L904" s="4" t="n">
        <x:v>198</x:v>
      </x:c>
      <x:c r="M904" s="4" t="n">
        <x:v>0</x:v>
      </x:c>
      <x:c r="N904" s="4" t="n">
        <x:v>112</x:v>
      </x:c>
      <x:c r="O904" s="4" t="n">
        <x:v>0</x:v>
      </x:c>
      <x:c r="P904" s="1" t="str">
        <x:v>FAIL</x:v>
      </x:c>
      <x:c r="Q904" s="4" t="n">
        <x:v>7</x:v>
      </x:c>
      <x:c r="R904" s="1" t="str">
        <x:v>FAIL</x:v>
      </x:c>
      <x:c r="S904" s="4" t="n">
        <x:v>7</x:v>
      </x:c>
      <x:c r="T904" s="1" t="str">
        <x:v>INCONCLUSIVE</x:v>
      </x:c>
      <x:c r="U904" s="1" t="str">
        <x:v>Cli_24</x:v>
      </x:c>
      <x:c r="V904" s="6" t="n">
        <x:v>26.57</x:v>
      </x:c>
    </x:row>
    <x:row r="905" ht="22" customHeight="1">
      <x:c r="A905" s="1" t="str">
        <x:v>Round2</x:v>
      </x:c>
      <x:c r="B905" s="1" t="str">
        <x:v>Cli</x:v>
      </x:c>
      <x:c r="C905" s="4" t="n">
        <x:v>25</x:v>
      </x:c>
      <x:c r="D905" s="4" t="n">
        <x:v>20260928</x:v>
      </x:c>
      <x:c r="E905" s="4" t="n">
        <x:v>60</x:v>
      </x:c>
      <x:c r="F905" s="4" t="n">
        <x:v>3337</x:v>
      </x:c>
      <x:c r="G905" s="5" t="n">
        <x:v>0</x:v>
      </x:c>
      <x:c r="H905" s="5" t="n">
        <x:v>0</x:v>
      </x:c>
      <x:c r="I905" s="5" t="n">
        <x:v>0</x:v>
      </x:c>
      <x:c r="J905" s="4" t="n">
        <x:v>310</x:v>
      </x:c>
      <x:c r="K905" s="4" t="n">
        <x:v>0</x:v>
      </x:c>
      <x:c r="L905" s="4" t="n">
        <x:v>198</x:v>
      </x:c>
      <x:c r="M905" s="4" t="n">
        <x:v>0</x:v>
      </x:c>
      <x:c r="N905" s="4" t="n">
        <x:v>112</x:v>
      </x:c>
      <x:c r="O905" s="4" t="n">
        <x:v>0</x:v>
      </x:c>
      <x:c r="P905" s="1" t="str">
        <x:v>FAIL</x:v>
      </x:c>
      <x:c r="Q905" s="4" t="n">
        <x:v>8</x:v>
      </x:c>
      <x:c r="R905" s="1" t="str">
        <x:v>FAIL</x:v>
      </x:c>
      <x:c r="S905" s="4" t="n">
        <x:v>8</x:v>
      </x:c>
      <x:c r="T905" s="1" t="str">
        <x:v>INCONCLUSIVE</x:v>
      </x:c>
      <x:c r="U905" s="1" t="str">
        <x:v>Cli_25</x:v>
      </x:c>
      <x:c r="V905" s="6" t="n">
        <x:v>29.01</x:v>
      </x:c>
    </x:row>
    <x:row r="906" ht="22" customHeight="1">
      <x:c r="A906" s="1" t="str">
        <x:v>Round2</x:v>
      </x:c>
      <x:c r="B906" s="1" t="str">
        <x:v>Cli</x:v>
      </x:c>
      <x:c r="C906" s="4" t="n">
        <x:v>26</x:v>
      </x:c>
      <x:c r="D906" s="4" t="n">
        <x:v>20260928</x:v>
      </x:c>
      <x:c r="E906" s="4" t="n">
        <x:v>60</x:v>
      </x:c>
      <x:c r="F906" s="4" t="n">
        <x:v>3813</x:v>
      </x:c>
      <x:c r="G906" s="5" t="n">
        <x:v>0</x:v>
      </x:c>
      <x:c r="H906" s="5" t="n">
        <x:v>0</x:v>
      </x:c>
      <x:c r="I906" s="5" t="n">
        <x:v>0</x:v>
      </x:c>
      <x:c r="J906" s="4" t="n">
        <x:v>65</x:v>
      </x:c>
      <x:c r="K906" s="4" t="n">
        <x:v>0</x:v>
      </x:c>
      <x:c r="L906" s="4" t="n">
        <x:v>61</x:v>
      </x:c>
      <x:c r="M906" s="4" t="n">
        <x:v>0</x:v>
      </x:c>
      <x:c r="N906" s="4" t="n">
        <x:v>4</x:v>
      </x:c>
      <x:c r="O906" s="4" t="n">
        <x:v>0</x:v>
      </x:c>
      <x:c r="P906" s="1" t="str">
        <x:v>FAIL</x:v>
      </x:c>
      <x:c r="Q906" s="4" t="n">
        <x:v>9</x:v>
      </x:c>
      <x:c r="R906" s="1" t="str">
        <x:v>FAIL</x:v>
      </x:c>
      <x:c r="S906" s="4" t="n">
        <x:v>9</x:v>
      </x:c>
      <x:c r="T906" s="1" t="str">
        <x:v>INCONCLUSIVE</x:v>
      </x:c>
      <x:c r="U906" s="1" t="str">
        <x:v>Cli_26</x:v>
      </x:c>
      <x:c r="V906" s="6" t="n">
        <x:v>28.38</x:v>
      </x:c>
    </x:row>
    <x:row r="907" ht="22" customHeight="1">
      <x:c r="A907" s="1" t="str">
        <x:v>Round2</x:v>
      </x:c>
      <x:c r="B907" s="1" t="str">
        <x:v>Cli</x:v>
      </x:c>
      <x:c r="C907" s="4" t="n">
        <x:v>27</x:v>
      </x:c>
      <x:c r="D907" s="4" t="n">
        <x:v>20260928</x:v>
      </x:c>
      <x:c r="E907" s="4" t="n">
        <x:v>60</x:v>
      </x:c>
      <x:c r="F907" s="4" t="n">
        <x:v>4477</x:v>
      </x:c>
      <x:c r="G907" s="5" t="n">
        <x:v>0</x:v>
      </x:c>
      <x:c r="H907" s="5" t="n">
        <x:v>0</x:v>
      </x:c>
      <x:c r="I907" s="5" t="n">
        <x:v>0</x:v>
      </x:c>
      <x:c r="J907" s="4" t="n">
        <x:v>46</x:v>
      </x:c>
      <x:c r="K907" s="4" t="n">
        <x:v>0</x:v>
      </x:c>
      <x:c r="L907" s="4" t="n">
        <x:v>34</x:v>
      </x:c>
      <x:c r="M907" s="4" t="n">
        <x:v>0</x:v>
      </x:c>
      <x:c r="N907" s="4" t="n">
        <x:v>12</x:v>
      </x:c>
      <x:c r="O907" s="4" t="n">
        <x:v>0</x:v>
      </x:c>
      <x:c r="P907" s="1" t="str">
        <x:v>FAIL</x:v>
      </x:c>
      <x:c r="Q907" s="4" t="n">
        <x:v>10</x:v>
      </x:c>
      <x:c r="R907" s="1" t="str">
        <x:v>FAIL</x:v>
      </x:c>
      <x:c r="S907" s="4" t="n">
        <x:v>10</x:v>
      </x:c>
      <x:c r="T907" s="1" t="str">
        <x:v>INCONCLUSIVE</x:v>
      </x:c>
      <x:c r="U907" s="1" t="str">
        <x:v>Cli_27</x:v>
      </x:c>
      <x:c r="V907" s="6" t="n">
        <x:v>29.43</x:v>
      </x:c>
    </x:row>
    <x:row r="908" ht="22" customHeight="1">
      <x:c r="A908" s="1" t="str">
        <x:v>Round2</x:v>
      </x:c>
      <x:c r="B908" s="1" t="str">
        <x:v>Cli</x:v>
      </x:c>
      <x:c r="C908" s="4" t="n">
        <x:v>28</x:v>
      </x:c>
      <x:c r="D908" s="4" t="n">
        <x:v>20260928</x:v>
      </x:c>
      <x:c r="E908" s="4" t="n">
        <x:v>60</x:v>
      </x:c>
      <x:c r="F908" s="4" t="n">
        <x:v>1</x:v>
      </x:c>
      <x:c r="G908" s="5" t="n">
        <x:v>0</x:v>
      </x:c>
      <x:c r="H908" s="5" t="n">
        <x:v>0</x:v>
      </x:c>
      <x:c r="I908" s="5" t="n">
        <x:v>0</x:v>
      </x:c>
      <x:c r="J908" s="4" t="n">
        <x:v>169</x:v>
      </x:c>
      <x:c r="K908" s="4" t="n">
        <x:v>0</x:v>
      </x:c>
      <x:c r="L908" s="4" t="n">
        <x:v>101</x:v>
      </x:c>
      <x:c r="M908" s="4" t="n">
        <x:v>0</x:v>
      </x:c>
      <x:c r="N908" s="4" t="n">
        <x:v>68</x:v>
      </x:c>
      <x:c r="O908" s="4" t="n">
        <x:v>0</x:v>
      </x:c>
      <x:c r="P908" s="1" t="str">
        <x:v>FAIL</x:v>
      </x:c>
      <x:c r="Q908" s="4" t="n">
        <x:v>2</x:v>
      </x:c>
      <x:c r="R908" s="1" t="str">
        <x:v>FAIL</x:v>
      </x:c>
      <x:c r="S908" s="4" t="n">
        <x:v>2</x:v>
      </x:c>
      <x:c r="T908" s="1" t="str">
        <x:v>INCONCLUSIVE</x:v>
      </x:c>
      <x:c r="U908" s="1" t="str">
        <x:v>Cli_28</x:v>
      </x:c>
      <x:c r="V908" s="6" t="n">
        <x:v>14.51</x:v>
      </x:c>
    </x:row>
    <x:row r="909" ht="22" customHeight="1">
      <x:c r="A909" s="1" t="str">
        <x:v>Round2</x:v>
      </x:c>
      <x:c r="B909" s="1" t="str">
        <x:v>Cli</x:v>
      </x:c>
      <x:c r="C909" s="4" t="n">
        <x:v>29</x:v>
      </x:c>
      <x:c r="D909" s="4" t="n">
        <x:v>20260928</x:v>
      </x:c>
      <x:c r="E909" s="4" t="n">
        <x:v>60</x:v>
      </x:c>
      <x:c r="F909" s="4" t="n">
        <x:v>6</x:v>
      </x:c>
      <x:c r="G909" s="5" t="n">
        <x:v>0</x:v>
      </x:c>
      <x:c r="H909" s="5" t="n">
        <x:v>0</x:v>
      </x:c>
      <x:c r="I909" s="5" t="n">
        <x:v>0</x:v>
      </x:c>
      <x:c r="J909" s="4" t="n">
        <x:v>24</x:v>
      </x:c>
      <x:c r="K909" s="4" t="n">
        <x:v>0</x:v>
      </x:c>
      <x:c r="L909" s="4" t="n">
        <x:v>14</x:v>
      </x:c>
      <x:c r="M909" s="4" t="n">
        <x:v>0</x:v>
      </x:c>
      <x:c r="N909" s="4" t="n">
        <x:v>10</x:v>
      </x:c>
      <x:c r="O909" s="4" t="n">
        <x:v>0</x:v>
      </x:c>
      <x:c r="P909" s="1" t="str">
        <x:v>FAIL</x:v>
      </x:c>
      <x:c r="Q909" s="4" t="n">
        <x:v>2</x:v>
      </x:c>
      <x:c r="R909" s="1" t="str">
        <x:v>FAIL</x:v>
      </x:c>
      <x:c r="S909" s="4" t="n">
        <x:v>2</x:v>
      </x:c>
      <x:c r="T909" s="1" t="str">
        <x:v>INCONCLUSIVE</x:v>
      </x:c>
      <x:c r="U909" s="1" t="str">
        <x:v>Cli_29</x:v>
      </x:c>
      <x:c r="V909" s="6" t="n">
        <x:v>12.91</x:v>
      </x:c>
    </x:row>
    <x:row r="910" ht="22" customHeight="1">
      <x:c r="A910" s="1" t="str">
        <x:v>Round2</x:v>
      </x:c>
      <x:c r="B910" s="1" t="str">
        <x:v>Cli</x:v>
      </x:c>
      <x:c r="C910" s="4" t="n">
        <x:v>30</x:v>
      </x:c>
      <x:c r="D910" s="4" t="n">
        <x:v>20260928</x:v>
      </x:c>
      <x:c r="E910" s="4" t="n">
        <x:v>60</x:v>
      </x:c>
      <x:c r="F910" s="4" t="n">
        <x:v>3166</x:v>
      </x:c>
      <x:c r="G910" s="5" t="n">
        <x:v>0</x:v>
      </x:c>
      <x:c r="H910" s="5" t="n">
        <x:v>0</x:v>
      </x:c>
      <x:c r="I910" s="5" t="n">
        <x:v>0</x:v>
      </x:c>
      <x:c r="J910" s="4" t="n">
        <x:v>506</x:v>
      </x:c>
      <x:c r="K910" s="4" t="n">
        <x:v>0</x:v>
      </x:c>
      <x:c r="L910" s="4" t="n">
        <x:v>288</x:v>
      </x:c>
      <x:c r="M910" s="4" t="n">
        <x:v>0</x:v>
      </x:c>
      <x:c r="N910" s="4" t="n">
        <x:v>218</x:v>
      </x:c>
      <x:c r="O910" s="4" t="n">
        <x:v>0</x:v>
      </x:c>
      <x:c r="P910" s="1" t="str">
        <x:v>FAIL</x:v>
      </x:c>
      <x:c r="Q910" s="4" t="n">
        <x:v>10</x:v>
      </x:c>
      <x:c r="R910" s="1" t="str">
        <x:v>FAIL</x:v>
      </x:c>
      <x:c r="S910" s="4" t="n">
        <x:v>10</x:v>
      </x:c>
      <x:c r="T910" s="1" t="str">
        <x:v>INCONCLUSIVE</x:v>
      </x:c>
      <x:c r="U910" s="1" t="str">
        <x:v>Cli_30</x:v>
      </x:c>
      <x:c r="V910" s="6" t="n">
        <x:v>27.33</x:v>
      </x:c>
    </x:row>
    <x:row r="911" ht="22" customHeight="1">
      <x:c r="A911" s="1" t="str">
        <x:v>Round2</x:v>
      </x:c>
      <x:c r="B911" s="1" t="str">
        <x:v>Cli</x:v>
      </x:c>
      <x:c r="C911" s="4" t="n">
        <x:v>31</x:v>
      </x:c>
      <x:c r="D911" s="4" t="n">
        <x:v>20260928</x:v>
      </x:c>
      <x:c r="E911" s="4" t="n">
        <x:v>60</x:v>
      </x:c>
      <x:c r="F911" s="4" t="n">
        <x:v>56</x:v>
      </x:c>
      <x:c r="G911" s="5" t="n">
        <x:v>0</x:v>
      </x:c>
      <x:c r="H911" s="5" t="n">
        <x:v>0</x:v>
      </x:c>
      <x:c r="I911" s="5" t="n">
        <x:v>0</x:v>
      </x:c>
      <x:c r="J911" s="4" t="n">
        <x:v>594</x:v>
      </x:c>
      <x:c r="K911" s="4" t="n">
        <x:v>0</x:v>
      </x:c>
      <x:c r="L911" s="4" t="n">
        <x:v>386</x:v>
      </x:c>
      <x:c r="M911" s="4" t="n">
        <x:v>0</x:v>
      </x:c>
      <x:c r="N911" s="4" t="n">
        <x:v>208</x:v>
      </x:c>
      <x:c r="O911" s="4" t="n">
        <x:v>0</x:v>
      </x:c>
      <x:c r="P911" s="1" t="str">
        <x:v>FAIL</x:v>
      </x:c>
      <x:c r="Q911" s="4" t="n">
        <x:v>2</x:v>
      </x:c>
      <x:c r="R911" s="1" t="str">
        <x:v>FAIL</x:v>
      </x:c>
      <x:c r="S911" s="4" t="n">
        <x:v>2</x:v>
      </x:c>
      <x:c r="T911" s="1" t="str">
        <x:v>INCONCLUSIVE</x:v>
      </x:c>
      <x:c r="U911" s="1" t="str">
        <x:v>Cli_31</x:v>
      </x:c>
      <x:c r="V911" s="6" t="n">
        <x:v>15.63</x:v>
      </x:c>
    </x:row>
    <x:row r="912" ht="22" customHeight="1">
      <x:c r="A912" s="1" t="str">
        <x:v>Round2</x:v>
      </x:c>
      <x:c r="B912" s="1" t="str">
        <x:v>Cli</x:v>
      </x:c>
      <x:c r="C912" s="4" t="n">
        <x:v>32</x:v>
      </x:c>
      <x:c r="D912" s="4" t="n">
        <x:v>20260928</x:v>
      </x:c>
      <x:c r="E912" s="4" t="n">
        <x:v>60</x:v>
      </x:c>
      <x:c r="F912" s="4" t="n">
        <x:v>80</x:v>
      </x:c>
      <x:c r="G912" s="5" t="n">
        <x:v>0</x:v>
      </x:c>
      <x:c r="H912" s="5" t="n">
        <x:v>0</x:v>
      </x:c>
      <x:c r="I912" s="5" t="n">
        <x:v>0</x:v>
      </x:c>
      <x:c r="J912" s="4" t="n">
        <x:v>325</x:v>
      </x:c>
      <x:c r="K912" s="4" t="n">
        <x:v>0</x:v>
      </x:c>
      <x:c r="L912" s="4" t="n">
        <x:v>203</x:v>
      </x:c>
      <x:c r="M912" s="4" t="n">
        <x:v>0</x:v>
      </x:c>
      <x:c r="N912" s="4" t="n">
        <x:v>122</x:v>
      </x:c>
      <x:c r="O912" s="4" t="n">
        <x:v>0</x:v>
      </x:c>
      <x:c r="P912" s="1" t="str">
        <x:v>FAIL</x:v>
      </x:c>
      <x:c r="Q912" s="4" t="n">
        <x:v>2</x:v>
      </x:c>
      <x:c r="R912" s="1" t="str">
        <x:v>FAIL</x:v>
      </x:c>
      <x:c r="S912" s="4" t="n">
        <x:v>2</x:v>
      </x:c>
      <x:c r="T912" s="1" t="str">
        <x:v>INCONCLUSIVE</x:v>
      </x:c>
      <x:c r="U912" s="1" t="str">
        <x:v>Cli_32</x:v>
      </x:c>
      <x:c r="V912" s="6" t="n">
        <x:v>15.24</x:v>
      </x:c>
    </x:row>
    <x:row r="913" ht="22" customHeight="1">
      <x:c r="A913" s="1" t="str">
        <x:v>Round2</x:v>
      </x:c>
      <x:c r="B913" s="1" t="str">
        <x:v>Cli</x:v>
      </x:c>
      <x:c r="C913" s="4" t="n">
        <x:v>33</x:v>
      </x:c>
      <x:c r="D913" s="4" t="n">
        <x:v>20260928</x:v>
      </x:c>
      <x:c r="E913" s="4" t="n">
        <x:v>60</x:v>
      </x:c>
      <x:c r="F913" s="4" t="n">
        <x:v>64</x:v>
      </x:c>
      <x:c r="G913" s="5" t="n">
        <x:v>0</x:v>
      </x:c>
      <x:c r="H913" s="5" t="n">
        <x:v>0</x:v>
      </x:c>
      <x:c r="I913" s="5" t="n">
        <x:v>0</x:v>
      </x:c>
      <x:c r="J913" s="4" t="n">
        <x:v>315</x:v>
      </x:c>
      <x:c r="K913" s="4" t="n">
        <x:v>0</x:v>
      </x:c>
      <x:c r="L913" s="4" t="n">
        <x:v>201</x:v>
      </x:c>
      <x:c r="M913" s="4" t="n">
        <x:v>0</x:v>
      </x:c>
      <x:c r="N913" s="4" t="n">
        <x:v>114</x:v>
      </x:c>
      <x:c r="O913" s="4" t="n">
        <x:v>0</x:v>
      </x:c>
      <x:c r="P913" s="1" t="str">
        <x:v>FAIL</x:v>
      </x:c>
      <x:c r="Q913" s="4" t="n">
        <x:v>2</x:v>
      </x:c>
      <x:c r="R913" s="1" t="str">
        <x:v>FAIL</x:v>
      </x:c>
      <x:c r="S913" s="4" t="n">
        <x:v>2</x:v>
      </x:c>
      <x:c r="T913" s="1" t="str">
        <x:v>INCONCLUSIVE</x:v>
      </x:c>
      <x:c r="U913" s="1" t="str">
        <x:v>Cli_33</x:v>
      </x:c>
      <x:c r="V913" s="6" t="n">
        <x:v>15.37</x:v>
      </x:c>
    </x:row>
    <x:row r="914" ht="22" customHeight="1">
      <x:c r="A914" s="1" t="str">
        <x:v>Round2</x:v>
      </x:c>
      <x:c r="B914" s="1" t="str">
        <x:v>Cli</x:v>
      </x:c>
      <x:c r="C914" s="4" t="n">
        <x:v>34</x:v>
      </x:c>
      <x:c r="D914" s="4" t="n">
        <x:v>20260928</x:v>
      </x:c>
      <x:c r="E914" s="4" t="n">
        <x:v>60</x:v>
      </x:c>
      <x:c r="F914" s="4" t="n">
        <x:v>0</x:v>
      </x:c>
      <x:c r="G914" s="5"/>
      <x:c r="H914" s="5"/>
      <x:c r="I914" s="5"/>
      <x:c r="J914" s="4" t="n">
        <x:v>0</x:v>
      </x:c>
      <x:c r="K914" s="4" t="n">
        <x:v>0</x:v>
      </x:c>
      <x:c r="L914" s="4" t="n">
        <x:v>0</x:v>
      </x:c>
      <x:c r="M914" s="4" t="n">
        <x:v>0</x:v>
      </x:c>
      <x:c r="N914" s="4" t="n">
        <x:v>0</x:v>
      </x:c>
      <x:c r="O914" s="4" t="n">
        <x:v>0</x:v>
      </x:c>
      <x:c r="P914" s="1" t="str">
        <x:v>NOT_RUN</x:v>
      </x:c>
      <x:c r="Q914" s="4"/>
      <x:c r="R914" s="1" t="str">
        <x:v>NOT_RUN</x:v>
      </x:c>
      <x:c r="S914" s="4"/>
      <x:c r="T914" s="1" t="str">
        <x:v>FAIL</x:v>
      </x:c>
      <x:c r="U914" s="1" t="str">
        <x:v>Cli_34</x:v>
      </x:c>
      <x:c r="V914" s="6"/>
    </x:row>
    <x:row r="915" ht="22" customHeight="1">
      <x:c r="A915" s="1" t="str">
        <x:v>Round2</x:v>
      </x:c>
      <x:c r="B915" s="1" t="str">
        <x:v>Cli</x:v>
      </x:c>
      <x:c r="C915" s="4" t="n">
        <x:v>35</x:v>
      </x:c>
      <x:c r="D915" s="4" t="n">
        <x:v>20260928</x:v>
      </x:c>
      <x:c r="E915" s="4" t="n">
        <x:v>60</x:v>
      </x:c>
      <x:c r="F915" s="4" t="n">
        <x:v>3675</x:v>
      </x:c>
      <x:c r="G915" s="5" t="n">
        <x:v>0.7662</x:v>
      </x:c>
      <x:c r="H915" s="5" t="n">
        <x:v>0.8245999999999999</x:v>
      </x:c>
      <x:c r="I915" s="5" t="n">
        <x:v>0.6</x:v>
      </x:c>
      <x:c r="J915" s="4" t="n">
        <x:v>77</x:v>
      </x:c>
      <x:c r="K915" s="4" t="n">
        <x:v>59</x:v>
      </x:c>
      <x:c r="L915" s="4" t="n">
        <x:v>57</x:v>
      </x:c>
      <x:c r="M915" s="4" t="n">
        <x:v>47</x:v>
      </x:c>
      <x:c r="N915" s="4" t="n">
        <x:v>20</x:v>
      </x:c>
      <x:c r="O915" s="4" t="n">
        <x:v>12</x:v>
      </x:c>
      <x:c r="P915" s="1" t="str">
        <x:v>PASS</x:v>
      </x:c>
      <x:c r="Q915" s="4" t="n">
        <x:v>0</x:v>
      </x:c>
      <x:c r="R915" s="1" t="str">
        <x:v>PASS</x:v>
      </x:c>
      <x:c r="S915" s="4" t="n">
        <x:v>0</x:v>
      </x:c>
      <x:c r="T915" s="1" t="str">
        <x:v>NOT_REVEALING</x:v>
      </x:c>
      <x:c r="U915" s="1" t="str">
        <x:v>Cli_35</x:v>
      </x:c>
      <x:c r="V915" s="6" t="n">
        <x:v>44.91</x:v>
      </x:c>
    </x:row>
    <x:row r="916" ht="22" customHeight="1">
      <x:c r="A916" s="1" t="str">
        <x:v>Round2</x:v>
      </x:c>
      <x:c r="B916" s="1" t="str">
        <x:v>Cli</x:v>
      </x:c>
      <x:c r="C916" s="4" t="n">
        <x:v>36</x:v>
      </x:c>
      <x:c r="D916" s="4" t="n">
        <x:v>20260928</x:v>
      </x:c>
      <x:c r="E916" s="4" t="n">
        <x:v>60</x:v>
      </x:c>
      <x:c r="F916" s="4" t="n">
        <x:v>2503</x:v>
      </x:c>
      <x:c r="G916" s="5" t="n">
        <x:v>0.8692</x:v>
      </x:c>
      <x:c r="H916" s="5" t="n">
        <x:v>0.9148999999999999</x:v>
      </x:c>
      <x:c r="I916" s="5" t="n">
        <x:v>0.75</x:v>
      </x:c>
      <x:c r="J916" s="4" t="n">
        <x:v>130</x:v>
      </x:c>
      <x:c r="K916" s="4" t="n">
        <x:v>113</x:v>
      </x:c>
      <x:c r="L916" s="4" t="n">
        <x:v>94</x:v>
      </x:c>
      <x:c r="M916" s="4" t="n">
        <x:v>86</x:v>
      </x:c>
      <x:c r="N916" s="4" t="n">
        <x:v>36</x:v>
      </x:c>
      <x:c r="O916" s="4" t="n">
        <x:v>27</x:v>
      </x:c>
      <x:c r="P916" s="1" t="str">
        <x:v>PASS</x:v>
      </x:c>
      <x:c r="Q916" s="4" t="n">
        <x:v>0</x:v>
      </x:c>
      <x:c r="R916" s="1" t="str">
        <x:v>PASS</x:v>
      </x:c>
      <x:c r="S916" s="4" t="n">
        <x:v>0</x:v>
      </x:c>
      <x:c r="T916" s="1" t="str">
        <x:v>NOT_REVEALING</x:v>
      </x:c>
      <x:c r="U916" s="1" t="str">
        <x:v>Cli_36</x:v>
      </x:c>
      <x:c r="V916" s="6" t="n">
        <x:v>38.75</x:v>
      </x:c>
    </x:row>
    <x:row r="917" ht="22" customHeight="1">
      <x:c r="A917" s="1" t="str">
        <x:v>Round2</x:v>
      </x:c>
      <x:c r="B917" s="1" t="str">
        <x:v>Cli</x:v>
      </x:c>
      <x:c r="C917" s="4" t="n">
        <x:v>37</x:v>
      </x:c>
      <x:c r="D917" s="4" t="n">
        <x:v>20260928</x:v>
      </x:c>
      <x:c r="E917" s="4" t="n">
        <x:v>60</x:v>
      </x:c>
      <x:c r="F917" s="4" t="n">
        <x:v>3202</x:v>
      </x:c>
      <x:c r="G917" s="5" t="n">
        <x:v>0.0435</x:v>
      </x:c>
      <x:c r="H917" s="5" t="n">
        <x:v>0.0695</x:v>
      </x:c>
      <x:c r="I917" s="5" t="n">
        <x:v>0.0127</x:v>
      </x:c>
      <x:c r="J917" s="4" t="n">
        <x:v>345</x:v>
      </x:c>
      <x:c r="K917" s="4" t="n">
        <x:v>15</x:v>
      </x:c>
      <x:c r="L917" s="4" t="n">
        <x:v>187</x:v>
      </x:c>
      <x:c r="M917" s="4" t="n">
        <x:v>13</x:v>
      </x:c>
      <x:c r="N917" s="4" t="n">
        <x:v>158</x:v>
      </x:c>
      <x:c r="O917" s="4" t="n">
        <x:v>2</x:v>
      </x:c>
      <x:c r="P917" s="1" t="str">
        <x:v>FAIL</x:v>
      </x:c>
      <x:c r="Q917" s="4" t="n">
        <x:v>34</x:v>
      </x:c>
      <x:c r="R917" s="1" t="str">
        <x:v>FAIL</x:v>
      </x:c>
      <x:c r="S917" s="4" t="n">
        <x:v>34</x:v>
      </x:c>
      <x:c r="T917" s="1" t="str">
        <x:v>INCONCLUSIVE</x:v>
      </x:c>
      <x:c r="U917" s="1" t="str">
        <x:v>Cli_37</x:v>
      </x:c>
      <x:c r="V917" s="6" t="n">
        <x:v>29.57</x:v>
      </x:c>
    </x:row>
    <x:row r="918" ht="22" customHeight="1">
      <x:c r="A918" s="1" t="str">
        <x:v>Round2</x:v>
      </x:c>
      <x:c r="B918" s="1" t="str">
        <x:v>Cli</x:v>
      </x:c>
      <x:c r="C918" s="4" t="n">
        <x:v>38</x:v>
      </x:c>
      <x:c r="D918" s="4" t="n">
        <x:v>20260928</x:v>
      </x:c>
      <x:c r="E918" s="4" t="n">
        <x:v>60</x:v>
      </x:c>
      <x:c r="F918" s="4" t="n">
        <x:v>3283</x:v>
      </x:c>
      <x:c r="G918" s="5" t="n">
        <x:v>0.043</x:v>
      </x:c>
      <x:c r="H918" s="5" t="n">
        <x:v>0.0681</x:v>
      </x:c>
      <x:c r="I918" s="5" t="n">
        <x:v>0.0127</x:v>
      </x:c>
      <x:c r="J918" s="4" t="n">
        <x:v>349</x:v>
      </x:c>
      <x:c r="K918" s="4" t="n">
        <x:v>15</x:v>
      </x:c>
      <x:c r="L918" s="4" t="n">
        <x:v>191</x:v>
      </x:c>
      <x:c r="M918" s="4" t="n">
        <x:v>13</x:v>
      </x:c>
      <x:c r="N918" s="4" t="n">
        <x:v>158</x:v>
      </x:c>
      <x:c r="O918" s="4" t="n">
        <x:v>2</x:v>
      </x:c>
      <x:c r="P918" s="1" t="str">
        <x:v>FAIL</x:v>
      </x:c>
      <x:c r="Q918" s="4" t="n">
        <x:v>36</x:v>
      </x:c>
      <x:c r="R918" s="1" t="str">
        <x:v>FAIL</x:v>
      </x:c>
      <x:c r="S918" s="4" t="n">
        <x:v>36</x:v>
      </x:c>
      <x:c r="T918" s="1" t="str">
        <x:v>INCONCLUSIVE</x:v>
      </x:c>
      <x:c r="U918" s="1" t="str">
        <x:v>Cli_38</x:v>
      </x:c>
      <x:c r="V918" s="6" t="n">
        <x:v>30.94</x:v>
      </x:c>
    </x:row>
    <x:row r="919" ht="22" customHeight="1">
      <x:c r="A919" s="1" t="str">
        <x:v>Round2</x:v>
      </x:c>
      <x:c r="B919" s="1" t="str">
        <x:v>Cli</x:v>
      </x:c>
      <x:c r="C919" s="4" t="n">
        <x:v>39</x:v>
      </x:c>
      <x:c r="D919" s="4" t="n">
        <x:v>20260928</x:v>
      </x:c>
      <x:c r="E919" s="4" t="n">
        <x:v>60</x:v>
      </x:c>
      <x:c r="F919" s="4" t="n">
        <x:v>100</x:v>
      </x:c>
      <x:c r="G919" s="5" t="n">
        <x:v>0.6452</x:v>
      </x:c>
      <x:c r="H919" s="5" t="n">
        <x:v>0.6905</x:v>
      </x:c>
      <x:c r="I919" s="5" t="n">
        <x:v>0.55</x:v>
      </x:c>
      <x:c r="J919" s="4" t="n">
        <x:v>62</x:v>
      </x:c>
      <x:c r="K919" s="4" t="n">
        <x:v>40</x:v>
      </x:c>
      <x:c r="L919" s="4" t="n">
        <x:v>42</x:v>
      </x:c>
      <x:c r="M919" s="4" t="n">
        <x:v>29</x:v>
      </x:c>
      <x:c r="N919" s="4" t="n">
        <x:v>20</x:v>
      </x:c>
      <x:c r="O919" s="4" t="n">
        <x:v>11</x:v>
      </x:c>
      <x:c r="P919" s="1" t="str">
        <x:v>PASS</x:v>
      </x:c>
      <x:c r="Q919" s="4" t="n">
        <x:v>0</x:v>
      </x:c>
      <x:c r="R919" s="1" t="str">
        <x:v>PASS</x:v>
      </x:c>
      <x:c r="S919" s="4" t="n">
        <x:v>0</x:v>
      </x:c>
      <x:c r="T919" s="1" t="str">
        <x:v>NOT_REVEALING</x:v>
      </x:c>
      <x:c r="U919" s="1" t="str">
        <x:v>Cli_39</x:v>
      </x:c>
      <x:c r="V919" s="6" t="n">
        <x:v>18.67</x:v>
      </x:c>
    </x:row>
    <x:row r="920" ht="22" customHeight="1">
      <x:c r="A920" s="1" t="str">
        <x:v>Round2</x:v>
      </x:c>
      <x:c r="B920" s="1" t="str">
        <x:v>Cli</x:v>
      </x:c>
      <x:c r="C920" s="4" t="n">
        <x:v>40</x:v>
      </x:c>
      <x:c r="D920" s="4" t="n">
        <x:v>20260928</x:v>
      </x:c>
      <x:c r="E920" s="4" t="n">
        <x:v>60</x:v>
      </x:c>
      <x:c r="F920" s="4" t="n">
        <x:v>3452</x:v>
      </x:c>
      <x:c r="G920" s="5" t="n">
        <x:v>0.6923</x:v>
      </x:c>
      <x:c r="H920" s="5" t="n">
        <x:v>0.7333</x:v>
      </x:c>
      <x:c r="I920" s="5" t="n">
        <x:v>0.6</x:v>
      </x:c>
      <x:c r="J920" s="4" t="n">
        <x:v>65</x:v>
      </x:c>
      <x:c r="K920" s="4" t="n">
        <x:v>45</x:v>
      </x:c>
      <x:c r="L920" s="4" t="n">
        <x:v>45</x:v>
      </x:c>
      <x:c r="M920" s="4" t="n">
        <x:v>33</x:v>
      </x:c>
      <x:c r="N920" s="4" t="n">
        <x:v>20</x:v>
      </x:c>
      <x:c r="O920" s="4" t="n">
        <x:v>12</x:v>
      </x:c>
      <x:c r="P920" s="1" t="str">
        <x:v>PASS</x:v>
      </x:c>
      <x:c r="Q920" s="4" t="n">
        <x:v>0</x:v>
      </x:c>
      <x:c r="R920" s="1" t="str">
        <x:v>FAIL</x:v>
      </x:c>
      <x:c r="S920" s="4" t="n">
        <x:v>42</x:v>
      </x:c>
      <x:c r="T920" s="1" t="str">
        <x:v>INCONCLUSIVE</x:v>
      </x:c>
      <x:c r="U920" s="1" t="str">
        <x:v>Cli_40</x:v>
      </x:c>
      <x:c r="V920" s="6" t="n">
        <x:v>51.23</x:v>
      </x:c>
    </x:row>
    <x:row r="921" ht="22" customHeight="1">
      <x:c r="A921" s="1" t="str">
        <x:v>Round2</x:v>
      </x:c>
      <x:c r="B921" s="1" t="str">
        <x:v>Closure</x:v>
      </x:c>
      <x:c r="C921" s="4" t="n">
        <x:v>1</x:v>
      </x:c>
      <x:c r="D921" s="4" t="n">
        <x:v>20260928</x:v>
      </x:c>
      <x:c r="E921" s="4" t="n">
        <x:v>60</x:v>
      </x:c>
      <x:c r="F921" s="4" t="n">
        <x:v>9</x:v>
      </x:c>
      <x:c r="G921" s="5" t="n">
        <x:v>0.019299999999999998</x:v>
      </x:c>
      <x:c r="H921" s="5" t="n">
        <x:v>0.0333</x:v>
      </x:c>
      <x:c r="I921" s="5" t="n">
        <x:v>0</x:v>
      </x:c>
      <x:c r="J921" s="4" t="n">
        <x:v>675</x:v>
      </x:c>
      <x:c r="K921" s="4" t="n">
        <x:v>13</x:v>
      </x:c>
      <x:c r="L921" s="4" t="n">
        <x:v>390</x:v>
      </x:c>
      <x:c r="M921" s="4" t="n">
        <x:v>13</x:v>
      </x:c>
      <x:c r="N921" s="4" t="n">
        <x:v>285</x:v>
      </x:c>
      <x:c r="O921" s="4" t="n">
        <x:v>0</x:v>
      </x:c>
      <x:c r="P921" s="1" t="str">
        <x:v>PASS</x:v>
      </x:c>
      <x:c r="Q921" s="4" t="n">
        <x:v>0</x:v>
      </x:c>
      <x:c r="R921" s="1" t="str">
        <x:v>PASS</x:v>
      </x:c>
      <x:c r="S921" s="4" t="n">
        <x:v>0</x:v>
      </x:c>
      <x:c r="T921" s="1" t="str">
        <x:v>NOT_REVEALING</x:v>
      </x:c>
      <x:c r="U921" s="1" t="str">
        <x:v>Closure_1</x:v>
      </x:c>
      <x:c r="V921" s="6" t="n">
        <x:v>63.11</x:v>
      </x:c>
    </x:row>
    <x:row r="922" ht="22" customHeight="1">
      <x:c r="A922" s="1" t="str">
        <x:v>Round2</x:v>
      </x:c>
      <x:c r="B922" s="1" t="str">
        <x:v>Closure</x:v>
      </x:c>
      <x:c r="C922" s="4" t="n">
        <x:v>2</x:v>
      </x:c>
      <x:c r="D922" s="4" t="n">
        <x:v>20260928</x:v>
      </x:c>
      <x:c r="E922" s="4" t="n">
        <x:v>60</x:v>
      </x:c>
      <x:c r="F922" s="4" t="n">
        <x:v>39</x:v>
      </x:c>
      <x:c r="G922" s="5" t="n">
        <x:v>0.0538</x:v>
      </x:c>
      <x:c r="H922" s="5" t="n">
        <x:v>0.0915</x:v>
      </x:c>
      <x:c r="I922" s="5" t="n">
        <x:v>0</x:v>
      </x:c>
      <x:c r="J922" s="4" t="n">
        <x:v>1394</x:v>
      </x:c>
      <x:c r="K922" s="4" t="n">
        <x:v>75</x:v>
      </x:c>
      <x:c r="L922" s="4" t="n">
        <x:v>820</x:v>
      </x:c>
      <x:c r="M922" s="4" t="n">
        <x:v>75</x:v>
      </x:c>
      <x:c r="N922" s="4" t="n">
        <x:v>574</x:v>
      </x:c>
      <x:c r="O922" s="4" t="n">
        <x:v>0</x:v>
      </x:c>
      <x:c r="P922" s="1" t="str">
        <x:v>PASS</x:v>
      </x:c>
      <x:c r="Q922" s="4" t="n">
        <x:v>0</x:v>
      </x:c>
      <x:c r="R922" s="1" t="str">
        <x:v>PASS</x:v>
      </x:c>
      <x:c r="S922" s="4" t="n">
        <x:v>0</x:v>
      </x:c>
      <x:c r="T922" s="1" t="str">
        <x:v>NOT_REVEALING</x:v>
      </x:c>
      <x:c r="U922" s="1" t="str">
        <x:v>Closure_2</x:v>
      </x:c>
      <x:c r="V922" s="6" t="n">
        <x:v>66.35</x:v>
      </x:c>
    </x:row>
    <x:row r="923" ht="22" customHeight="1">
      <x:c r="A923" s="1" t="str">
        <x:v>Round2</x:v>
      </x:c>
      <x:c r="B923" s="1" t="str">
        <x:v>Closure</x:v>
      </x:c>
      <x:c r="C923" s="4" t="n">
        <x:v>3</x:v>
      </x:c>
      <x:c r="D923" s="4" t="n">
        <x:v>20260928</x:v>
      </x:c>
      <x:c r="E923" s="4" t="n">
        <x:v>60</x:v>
      </x:c>
      <x:c r="F923" s="4" t="n">
        <x:v>1994</x:v>
      </x:c>
      <x:c r="G923" s="5" t="n">
        <x:v>0.033</x:v>
      </x:c>
      <x:c r="H923" s="5" t="n">
        <x:v>0.056799999999999996</x:v>
      </x:c>
      <x:c r="I923" s="5" t="n">
        <x:v>0</x:v>
      </x:c>
      <x:c r="J923" s="4" t="n">
        <x:v>303</x:v>
      </x:c>
      <x:c r="K923" s="4" t="n">
        <x:v>10</x:v>
      </x:c>
      <x:c r="L923" s="4" t="n">
        <x:v>176</x:v>
      </x:c>
      <x:c r="M923" s="4" t="n">
        <x:v>10</x:v>
      </x:c>
      <x:c r="N923" s="4" t="n">
        <x:v>127</x:v>
      </x:c>
      <x:c r="O923" s="4" t="n">
        <x:v>0</x:v>
      </x:c>
      <x:c r="P923" s="1" t="str">
        <x:v>PASS</x:v>
      </x:c>
      <x:c r="Q923" s="4" t="n">
        <x:v>0</x:v>
      </x:c>
      <x:c r="R923" s="1" t="str">
        <x:v>PASS</x:v>
      </x:c>
      <x:c r="S923" s="4" t="n">
        <x:v>0</x:v>
      </x:c>
      <x:c r="T923" s="1" t="str">
        <x:v>NOT_REVEALING</x:v>
      </x:c>
      <x:c r="U923" s="1" t="str">
        <x:v>Closure_3</x:v>
      </x:c>
      <x:c r="V923" s="6" t="n">
        <x:v>67.95</x:v>
      </x:c>
    </x:row>
    <x:row r="924" ht="22" customHeight="1">
      <x:c r="A924" s="1" t="str">
        <x:v>Round2</x:v>
      </x:c>
      <x:c r="B924" s="1" t="str">
        <x:v>Closure</x:v>
      </x:c>
      <x:c r="C924" s="4" t="n">
        <x:v>4</x:v>
      </x:c>
      <x:c r="D924" s="4" t="n">
        <x:v>20260928</x:v>
      </x:c>
      <x:c r="E924" s="4" t="n">
        <x:v>60</x:v>
      </x:c>
      <x:c r="F924" s="4" t="n">
        <x:v>7183</x:v>
      </x:c>
      <x:c r="G924" s="5" t="n">
        <x:v>0.0046</x:v>
      </x:c>
      <x:c r="H924" s="5" t="n">
        <x:v>0.0076</x:v>
      </x:c>
      <x:c r="I924" s="5" t="n">
        <x:v>0</x:v>
      </x:c>
      <x:c r="J924" s="4" t="n">
        <x:v>218</x:v>
      </x:c>
      <x:c r="K924" s="4" t="n">
        <x:v>1</x:v>
      </x:c>
      <x:c r="L924" s="4" t="n">
        <x:v>132</x:v>
      </x:c>
      <x:c r="M924" s="4" t="n">
        <x:v>1</x:v>
      </x:c>
      <x:c r="N924" s="4" t="n">
        <x:v>86</x:v>
      </x:c>
      <x:c r="O924" s="4" t="n">
        <x:v>0</x:v>
      </x:c>
      <x:c r="P924" s="1" t="str">
        <x:v>PASS</x:v>
      </x:c>
      <x:c r="Q924" s="4" t="n">
        <x:v>0</x:v>
      </x:c>
      <x:c r="R924" s="1" t="str">
        <x:v>PASS</x:v>
      </x:c>
      <x:c r="S924" s="4" t="n">
        <x:v>0</x:v>
      </x:c>
      <x:c r="T924" s="1" t="str">
        <x:v>NOT_REVEALING</x:v>
      </x:c>
      <x:c r="U924" s="1" t="str">
        <x:v>Closure_4</x:v>
      </x:c>
      <x:c r="V924" s="6" t="n">
        <x:v>69.03</x:v>
      </x:c>
    </x:row>
    <x:row r="925" ht="22" customHeight="1">
      <x:c r="A925" s="1" t="str">
        <x:v>Round2</x:v>
      </x:c>
      <x:c r="B925" s="1" t="str">
        <x:v>Closure</x:v>
      </x:c>
      <x:c r="C925" s="4" t="n">
        <x:v>5</x:v>
      </x:c>
      <x:c r="D925" s="4" t="n">
        <x:v>20260928</x:v>
      </x:c>
      <x:c r="E925" s="4" t="n">
        <x:v>60</x:v>
      </x:c>
      <x:c r="F925" s="4" t="n">
        <x:v>4</x:v>
      </x:c>
      <x:c r="G925" s="5" t="n">
        <x:v>0.0277</x:v>
      </x:c>
      <x:c r="H925" s="5" t="n">
        <x:v>0.044199999999999996</x:v>
      </x:c>
      <x:c r="I925" s="5" t="n">
        <x:v>0</x:v>
      </x:c>
      <x:c r="J925" s="4" t="n">
        <x:v>289</x:v>
      </x:c>
      <x:c r="K925" s="4" t="n">
        <x:v>8</x:v>
      </x:c>
      <x:c r="L925" s="4" t="n">
        <x:v>181</x:v>
      </x:c>
      <x:c r="M925" s="4" t="n">
        <x:v>8</x:v>
      </x:c>
      <x:c r="N925" s="4" t="n">
        <x:v>108</x:v>
      </x:c>
      <x:c r="O925" s="4" t="n">
        <x:v>0</x:v>
      </x:c>
      <x:c r="P925" s="1" t="str">
        <x:v>PASS</x:v>
      </x:c>
      <x:c r="Q925" s="4" t="n">
        <x:v>0</x:v>
      </x:c>
      <x:c r="R925" s="1" t="str">
        <x:v>PASS</x:v>
      </x:c>
      <x:c r="S925" s="4" t="n">
        <x:v>0</x:v>
      </x:c>
      <x:c r="T925" s="1" t="str">
        <x:v>NOT_REVEALING</x:v>
      </x:c>
      <x:c r="U925" s="1" t="str">
        <x:v>Closure_5</x:v>
      </x:c>
      <x:c r="V925" s="6" t="n">
        <x:v>53.2</x:v>
      </x:c>
    </x:row>
    <x:row r="926" ht="22" customHeight="1">
      <x:c r="A926" s="1" t="str">
        <x:v>Round2</x:v>
      </x:c>
      <x:c r="B926" s="1" t="str">
        <x:v>Closure</x:v>
      </x:c>
      <x:c r="C926" s="4" t="n">
        <x:v>6</x:v>
      </x:c>
      <x:c r="D926" s="4" t="n">
        <x:v>20260928</x:v>
      </x:c>
      <x:c r="E926" s="4" t="n">
        <x:v>60</x:v>
      </x:c>
      <x:c r="F926" s="4" t="n">
        <x:v>12</x:v>
      </x:c>
      <x:c r="G926" s="5" t="n">
        <x:v>0.04769999999999999</x:v>
      </x:c>
      <x:c r="H926" s="5" t="n">
        <x:v>0.0848</x:v>
      </x:c>
      <x:c r="I926" s="5" t="n">
        <x:v>0</x:v>
      </x:c>
      <x:c r="J926" s="4" t="n">
        <x:v>503</x:v>
      </x:c>
      <x:c r="K926" s="4" t="n">
        <x:v>24</x:v>
      </x:c>
      <x:c r="L926" s="4" t="n">
        <x:v>283</x:v>
      </x:c>
      <x:c r="M926" s="4" t="n">
        <x:v>24</x:v>
      </x:c>
      <x:c r="N926" s="4" t="n">
        <x:v>220</x:v>
      </x:c>
      <x:c r="O926" s="4" t="n">
        <x:v>0</x:v>
      </x:c>
      <x:c r="P926" s="1" t="str">
        <x:v>PASS</x:v>
      </x:c>
      <x:c r="Q926" s="4" t="n">
        <x:v>0</x:v>
      </x:c>
      <x:c r="R926" s="1" t="str">
        <x:v>PASS</x:v>
      </x:c>
      <x:c r="S926" s="4" t="n">
        <x:v>0</x:v>
      </x:c>
      <x:c r="T926" s="1" t="str">
        <x:v>NOT_REVEALING</x:v>
      </x:c>
      <x:c r="U926" s="1" t="str">
        <x:v>Closure_6</x:v>
      </x:c>
      <x:c r="V926" s="6" t="n">
        <x:v>51.85</x:v>
      </x:c>
    </x:row>
    <x:row r="927" ht="22" customHeight="1">
      <x:c r="A927" s="1" t="str">
        <x:v>Round2</x:v>
      </x:c>
      <x:c r="B927" s="1" t="str">
        <x:v>Closure</x:v>
      </x:c>
      <x:c r="C927" s="4" t="n">
        <x:v>7</x:v>
      </x:c>
      <x:c r="D927" s="4" t="n">
        <x:v>20260928</x:v>
      </x:c>
      <x:c r="E927" s="4" t="n">
        <x:v>60</x:v>
      </x:c>
      <x:c r="F927" s="4" t="n">
        <x:v>1</x:v>
      </x:c>
      <x:c r="G927" s="5" t="n">
        <x:v>0</x:v>
      </x:c>
      <x:c r="H927" s="5" t="n">
        <x:v>0</x:v>
      </x:c>
      <x:c r="I927" s="5" t="n">
        <x:v>0</x:v>
      </x:c>
      <x:c r="J927" s="4" t="n">
        <x:v>269</x:v>
      </x:c>
      <x:c r="K927" s="4" t="n">
        <x:v>0</x:v>
      </x:c>
      <x:c r="L927" s="4" t="n">
        <x:v>174</x:v>
      </x:c>
      <x:c r="M927" s="4" t="n">
        <x:v>0</x:v>
      </x:c>
      <x:c r="N927" s="4" t="n">
        <x:v>95</x:v>
      </x:c>
      <x:c r="O927" s="4" t="n">
        <x:v>0</x:v>
      </x:c>
      <x:c r="P927" s="1" t="str">
        <x:v>PASS</x:v>
      </x:c>
      <x:c r="Q927" s="4" t="n">
        <x:v>0</x:v>
      </x:c>
      <x:c r="R927" s="1" t="str">
        <x:v>PASS</x:v>
      </x:c>
      <x:c r="S927" s="4" t="n">
        <x:v>0</x:v>
      </x:c>
      <x:c r="T927" s="1" t="str">
        <x:v>NOT_REVEALING</x:v>
      </x:c>
      <x:c r="U927" s="1" t="str">
        <x:v>Closure_7</x:v>
      </x:c>
      <x:c r="V927" s="6" t="n">
        <x:v>55.27</x:v>
      </x:c>
    </x:row>
    <x:row r="928" ht="22" customHeight="1">
      <x:c r="A928" s="1" t="str">
        <x:v>Round2</x:v>
      </x:c>
      <x:c r="B928" s="1" t="str">
        <x:v>Closure</x:v>
      </x:c>
      <x:c r="C928" s="4" t="n">
        <x:v>8</x:v>
      </x:c>
      <x:c r="D928" s="4" t="n">
        <x:v>20260928</x:v>
      </x:c>
      <x:c r="E928" s="4" t="n">
        <x:v>60</x:v>
      </x:c>
      <x:c r="F928" s="4" t="n">
        <x:v>2</x:v>
      </x:c>
      <x:c r="G928" s="5" t="n">
        <x:v>0.0294</x:v>
      </x:c>
      <x:c r="H928" s="5" t="n">
        <x:v>0.047599999999999996</x:v>
      </x:c>
      <x:c r="I928" s="5" t="n">
        <x:v>0</x:v>
      </x:c>
      <x:c r="J928" s="4" t="n">
        <x:v>136</x:v>
      </x:c>
      <x:c r="K928" s="4" t="n">
        <x:v>4</x:v>
      </x:c>
      <x:c r="L928" s="4" t="n">
        <x:v>84</x:v>
      </x:c>
      <x:c r="M928" s="4" t="n">
        <x:v>4</x:v>
      </x:c>
      <x:c r="N928" s="4" t="n">
        <x:v>52</x:v>
      </x:c>
      <x:c r="O928" s="4" t="n">
        <x:v>0</x:v>
      </x:c>
      <x:c r="P928" s="1" t="str">
        <x:v>PASS</x:v>
      </x:c>
      <x:c r="Q928" s="4" t="n">
        <x:v>0</x:v>
      </x:c>
      <x:c r="R928" s="1" t="str">
        <x:v>PASS</x:v>
      </x:c>
      <x:c r="S928" s="4" t="n">
        <x:v>0</x:v>
      </x:c>
      <x:c r="T928" s="1" t="str">
        <x:v>NOT_REVEALING</x:v>
      </x:c>
      <x:c r="U928" s="1" t="str">
        <x:v>Closure_8</x:v>
      </x:c>
      <x:c r="V928" s="6" t="n">
        <x:v>56.49</x:v>
      </x:c>
    </x:row>
    <x:row r="929" ht="22" customHeight="1">
      <x:c r="A929" s="1" t="str">
        <x:v>Round2</x:v>
      </x:c>
      <x:c r="B929" s="1" t="str">
        <x:v>Closure</x:v>
      </x:c>
      <x:c r="C929" s="4" t="n">
        <x:v>9</x:v>
      </x:c>
      <x:c r="D929" s="4" t="n">
        <x:v>20260928</x:v>
      </x:c>
      <x:c r="E929" s="4" t="n">
        <x:v>60</x:v>
      </x:c>
      <x:c r="F929" s="4" t="n">
        <x:v>2293</x:v>
      </x:c>
      <x:c r="G929" s="5" t="n">
        <x:v>0.2318</x:v>
      </x:c>
      <x:c r="H929" s="5" t="n">
        <x:v>0.2661</x:v>
      </x:c>
      <x:c r="I929" s="5" t="n">
        <x:v>0.1429</x:v>
      </x:c>
      <x:c r="J929" s="4" t="n">
        <x:v>151</x:v>
      </x:c>
      <x:c r="K929" s="4" t="n">
        <x:v>35</x:v>
      </x:c>
      <x:c r="L929" s="4" t="n">
        <x:v>109</x:v>
      </x:c>
      <x:c r="M929" s="4" t="n">
        <x:v>29</x:v>
      </x:c>
      <x:c r="N929" s="4" t="n">
        <x:v>42</x:v>
      </x:c>
      <x:c r="O929" s="4" t="n">
        <x:v>6</x:v>
      </x:c>
      <x:c r="P929" s="1" t="str">
        <x:v>PASS</x:v>
      </x:c>
      <x:c r="Q929" s="4" t="n">
        <x:v>0</x:v>
      </x:c>
      <x:c r="R929" s="1" t="str">
        <x:v>PASS</x:v>
      </x:c>
      <x:c r="S929" s="4" t="n">
        <x:v>0</x:v>
      </x:c>
      <x:c r="T929" s="1" t="str">
        <x:v>NOT_REVEALING</x:v>
      </x:c>
      <x:c r="U929" s="1" t="str">
        <x:v>Closure_9</x:v>
      </x:c>
      <x:c r="V929" s="6" t="n">
        <x:v>69.78</x:v>
      </x:c>
    </x:row>
    <x:row r="930" ht="22" customHeight="1">
      <x:c r="A930" s="1" t="str">
        <x:v>Round2</x:v>
      </x:c>
      <x:c r="B930" s="1" t="str">
        <x:v>Closure</x:v>
      </x:c>
      <x:c r="C930" s="4" t="n">
        <x:v>10</x:v>
      </x:c>
      <x:c r="D930" s="4" t="n">
        <x:v>20260928</x:v>
      </x:c>
      <x:c r="E930" s="4" t="n">
        <x:v>60</x:v>
      </x:c>
      <x:c r="F930" s="4" t="n">
        <x:v>1822</x:v>
      </x:c>
      <x:c r="G930" s="5" t="n">
        <x:v>0.385</x:v>
      </x:c>
      <x:c r="H930" s="5" t="n">
        <x:v>0.4671</x:v>
      </x:c>
      <x:c r="I930" s="5" t="n">
        <x:v>0.3025</x:v>
      </x:c>
      <x:c r="J930" s="4" t="n">
        <x:v>2060</x:v>
      </x:c>
      <x:c r="K930" s="4" t="n">
        <x:v>793</x:v>
      </x:c>
      <x:c r="L930" s="4" t="n">
        <x:v>1032</x:v>
      </x:c>
      <x:c r="M930" s="4" t="n">
        <x:v>482</x:v>
      </x:c>
      <x:c r="N930" s="4" t="n">
        <x:v>1028</x:v>
      </x:c>
      <x:c r="O930" s="4" t="n">
        <x:v>311</x:v>
      </x:c>
      <x:c r="P930" s="1" t="str">
        <x:v>FAIL</x:v>
      </x:c>
      <x:c r="Q930" s="4" t="n">
        <x:v>8</x:v>
      </x:c>
      <x:c r="R930" s="1" t="str">
        <x:v>FAIL</x:v>
      </x:c>
      <x:c r="S930" s="4" t="n">
        <x:v>8</x:v>
      </x:c>
      <x:c r="T930" s="1" t="str">
        <x:v>INCONCLUSIVE</x:v>
      </x:c>
      <x:c r="U930" s="1" t="str">
        <x:v>Closure_10</x:v>
      </x:c>
      <x:c r="V930" s="6" t="n">
        <x:v>69.25</x:v>
      </x:c>
    </x:row>
    <x:row r="931" ht="22" customHeight="1">
      <x:c r="A931" s="1" t="str">
        <x:v>Round2</x:v>
      </x:c>
      <x:c r="B931" s="1" t="str">
        <x:v>Closure</x:v>
      </x:c>
      <x:c r="C931" s="4" t="n">
        <x:v>11</x:v>
      </x:c>
      <x:c r="D931" s="4" t="n">
        <x:v>20260928</x:v>
      </x:c>
      <x:c r="E931" s="4" t="n">
        <x:v>60</x:v>
      </x:c>
      <x:c r="F931" s="4" t="n">
        <x:v>36</x:v>
      </x:c>
      <x:c r="G931" s="5" t="n">
        <x:v>0.052000000000000005</x:v>
      </x:c>
      <x:c r="H931" s="5" t="n">
        <x:v>0.08869999999999999</x:v>
      </x:c>
      <x:c r="I931" s="5" t="n">
        <x:v>0</x:v>
      </x:c>
      <x:c r="J931" s="4" t="n">
        <x:v>1327</x:v>
      </x:c>
      <x:c r="K931" s="4" t="n">
        <x:v>69</x:v>
      </x:c>
      <x:c r="L931" s="4" t="n">
        <x:v>778</x:v>
      </x:c>
      <x:c r="M931" s="4" t="n">
        <x:v>69</x:v>
      </x:c>
      <x:c r="N931" s="4" t="n">
        <x:v>549</x:v>
      </x:c>
      <x:c r="O931" s="4" t="n">
        <x:v>0</x:v>
      </x:c>
      <x:c r="P931" s="1" t="str">
        <x:v>PASS</x:v>
      </x:c>
      <x:c r="Q931" s="4" t="n">
        <x:v>0</x:v>
      </x:c>
      <x:c r="R931" s="1" t="str">
        <x:v>PASS</x:v>
      </x:c>
      <x:c r="S931" s="4" t="n">
        <x:v>0</x:v>
      </x:c>
      <x:c r="T931" s="1" t="str">
        <x:v>NOT_REVEALING</x:v>
      </x:c>
      <x:c r="U931" s="1" t="str">
        <x:v>Closure_11</x:v>
      </x:c>
      <x:c r="V931" s="6" t="n">
        <x:v>53.22</x:v>
      </x:c>
    </x:row>
    <x:row r="932" ht="22" customHeight="1">
      <x:c r="A932" s="1" t="str">
        <x:v>Round2</x:v>
      </x:c>
      <x:c r="B932" s="1" t="str">
        <x:v>Closure</x:v>
      </x:c>
      <x:c r="C932" s="4" t="n">
        <x:v>12</x:v>
      </x:c>
      <x:c r="D932" s="4" t="n">
        <x:v>20260928</x:v>
      </x:c>
      <x:c r="E932" s="4" t="n">
        <x:v>60</x:v>
      </x:c>
      <x:c r="F932" s="4" t="n">
        <x:v>1243</x:v>
      </x:c>
      <x:c r="G932" s="5" t="n">
        <x:v>0.10289999999999999</x:v>
      </x:c>
      <x:c r="H932" s="5" t="n">
        <x:v>0.125</x:v>
      </x:c>
      <x:c r="I932" s="5" t="n">
        <x:v>0.0625</x:v>
      </x:c>
      <x:c r="J932" s="4" t="n">
        <x:v>136</x:v>
      </x:c>
      <x:c r="K932" s="4" t="n">
        <x:v>14</x:v>
      </x:c>
      <x:c r="L932" s="4" t="n">
        <x:v>88</x:v>
      </x:c>
      <x:c r="M932" s="4" t="n">
        <x:v>11</x:v>
      </x:c>
      <x:c r="N932" s="4" t="n">
        <x:v>48</x:v>
      </x:c>
      <x:c r="O932" s="4" t="n">
        <x:v>3</x:v>
      </x:c>
      <x:c r="P932" s="1" t="str">
        <x:v>PASS</x:v>
      </x:c>
      <x:c r="Q932" s="4" t="n">
        <x:v>0</x:v>
      </x:c>
      <x:c r="R932" s="1" t="str">
        <x:v>PASS</x:v>
      </x:c>
      <x:c r="S932" s="4" t="n">
        <x:v>0</x:v>
      </x:c>
      <x:c r="T932" s="1" t="str">
        <x:v>NOT_REVEALING</x:v>
      </x:c>
      <x:c r="U932" s="1" t="str">
        <x:v>Closure_12</x:v>
      </x:c>
      <x:c r="V932" s="6" t="n">
        <x:v>68.47</x:v>
      </x:c>
    </x:row>
    <x:row r="933" ht="22" customHeight="1">
      <x:c r="A933" s="1" t="str">
        <x:v>Round2</x:v>
      </x:c>
      <x:c r="B933" s="1" t="str">
        <x:v>Closure</x:v>
      </x:c>
      <x:c r="C933" s="4" t="n">
        <x:v>13</x:v>
      </x:c>
      <x:c r="D933" s="4" t="n">
        <x:v>20260928</x:v>
      </x:c>
      <x:c r="E933" s="4" t="n">
        <x:v>60</x:v>
      </x:c>
      <x:c r="F933" s="4" t="n">
        <x:v>1</x:v>
      </x:c>
      <x:c r="G933" s="5" t="n">
        <x:v>0</x:v>
      </x:c>
      <x:c r="H933" s="5" t="n">
        <x:v>0</x:v>
      </x:c>
      <x:c r="I933" s="5" t="n">
        <x:v>0</x:v>
      </x:c>
      <x:c r="J933" s="4" t="n">
        <x:v>126</x:v>
      </x:c>
      <x:c r="K933" s="4" t="n">
        <x:v>0</x:v>
      </x:c>
      <x:c r="L933" s="4" t="n">
        <x:v>86</x:v>
      </x:c>
      <x:c r="M933" s="4" t="n">
        <x:v>0</x:v>
      </x:c>
      <x:c r="N933" s="4" t="n">
        <x:v>40</x:v>
      </x:c>
      <x:c r="O933" s="4" t="n">
        <x:v>0</x:v>
      </x:c>
      <x:c r="P933" s="1" t="str">
        <x:v>PASS</x:v>
      </x:c>
      <x:c r="Q933" s="4" t="n">
        <x:v>0</x:v>
      </x:c>
      <x:c r="R933" s="1" t="str">
        <x:v>PASS</x:v>
      </x:c>
      <x:c r="S933" s="4" t="n">
        <x:v>0</x:v>
      </x:c>
      <x:c r="T933" s="1" t="str">
        <x:v>NOT_REVEALING</x:v>
      </x:c>
      <x:c r="U933" s="1" t="str">
        <x:v>Closure_13</x:v>
      </x:c>
      <x:c r="V933" s="6" t="n">
        <x:v>57.64</x:v>
      </x:c>
    </x:row>
    <x:row r="934" ht="22" customHeight="1">
      <x:c r="A934" s="1" t="str">
        <x:v>Round2</x:v>
      </x:c>
      <x:c r="B934" s="1" t="str">
        <x:v>Closure</x:v>
      </x:c>
      <x:c r="C934" s="4" t="n">
        <x:v>14</x:v>
      </x:c>
      <x:c r="D934" s="4" t="n">
        <x:v>20260928</x:v>
      </x:c>
      <x:c r="E934" s="4" t="n">
        <x:v>60</x:v>
      </x:c>
      <x:c r="F934" s="4" t="n">
        <x:v>2005</x:v>
      </x:c>
      <x:c r="G934" s="5" t="n">
        <x:v>0.0425</x:v>
      </x:c>
      <x:c r="H934" s="5" t="n">
        <x:v>0.0688</x:v>
      </x:c>
      <x:c r="I934" s="5" t="n">
        <x:v>0.0036</x:v>
      </x:c>
      <x:c r="J934" s="4" t="n">
        <x:v>683</x:v>
      </x:c>
      <x:c r="K934" s="4" t="n">
        <x:v>29</x:v>
      </x:c>
      <x:c r="L934" s="4" t="n">
        <x:v>407</x:v>
      </x:c>
      <x:c r="M934" s="4" t="n">
        <x:v>28</x:v>
      </x:c>
      <x:c r="N934" s="4" t="n">
        <x:v>276</x:v>
      </x:c>
      <x:c r="O934" s="4" t="n">
        <x:v>1</x:v>
      </x:c>
      <x:c r="P934" s="1" t="str">
        <x:v>PASS</x:v>
      </x:c>
      <x:c r="Q934" s="4" t="n">
        <x:v>0</x:v>
      </x:c>
      <x:c r="R934" s="1" t="str">
        <x:v>PASS</x:v>
      </x:c>
      <x:c r="S934" s="4" t="n">
        <x:v>0</x:v>
      </x:c>
      <x:c r="T934" s="1" t="str">
        <x:v>NOT_REVEALING</x:v>
      </x:c>
      <x:c r="U934" s="1" t="str">
        <x:v>Closure_14</x:v>
      </x:c>
      <x:c r="V934" s="6" t="n">
        <x:v>81.25</x:v>
      </x:c>
    </x:row>
    <x:row r="935" ht="22" customHeight="1">
      <x:c r="A935" s="1" t="str">
        <x:v>Round2</x:v>
      </x:c>
      <x:c r="B935" s="1" t="str">
        <x:v>Closure</x:v>
      </x:c>
      <x:c r="C935" s="4" t="n">
        <x:v>15</x:v>
      </x:c>
      <x:c r="D935" s="4" t="n">
        <x:v>20260928</x:v>
      </x:c>
      <x:c r="E935" s="4" t="n">
        <x:v>60</x:v>
      </x:c>
      <x:c r="F935" s="4" t="n">
        <x:v>1997</x:v>
      </x:c>
      <x:c r="G935" s="5" t="n">
        <x:v>0.0316</x:v>
      </x:c>
      <x:c r="H935" s="5" t="n">
        <x:v>0.0542</x:v>
      </x:c>
      <x:c r="I935" s="5" t="n">
        <x:v>0</x:v>
      </x:c>
      <x:c r="J935" s="4" t="n">
        <x:v>285</x:v>
      </x:c>
      <x:c r="K935" s="4" t="n">
        <x:v>9</x:v>
      </x:c>
      <x:c r="L935" s="4" t="n">
        <x:v>166</x:v>
      </x:c>
      <x:c r="M935" s="4" t="n">
        <x:v>9</x:v>
      </x:c>
      <x:c r="N935" s="4" t="n">
        <x:v>119</x:v>
      </x:c>
      <x:c r="O935" s="4" t="n">
        <x:v>0</x:v>
      </x:c>
      <x:c r="P935" s="1" t="str">
        <x:v>PASS</x:v>
      </x:c>
      <x:c r="Q935" s="4" t="n">
        <x:v>0</x:v>
      </x:c>
      <x:c r="R935" s="1" t="str">
        <x:v>PASS</x:v>
      </x:c>
      <x:c r="S935" s="4" t="n">
        <x:v>0</x:v>
      </x:c>
      <x:c r="T935" s="1" t="str">
        <x:v>NOT_REVEALING</x:v>
      </x:c>
      <x:c r="U935" s="1" t="str">
        <x:v>Closure_15</x:v>
      </x:c>
      <x:c r="V935" s="6" t="n">
        <x:v>76.63</x:v>
      </x:c>
    </x:row>
    <x:row r="936" ht="22" customHeight="1">
      <x:c r="A936" s="1" t="str">
        <x:v>Round2</x:v>
      </x:c>
      <x:c r="B936" s="1" t="str">
        <x:v>Closure</x:v>
      </x:c>
      <x:c r="C936" s="4" t="n">
        <x:v>16</x:v>
      </x:c>
      <x:c r="D936" s="4" t="n">
        <x:v>20260928</x:v>
      </x:c>
      <x:c r="E936" s="4" t="n">
        <x:v>60</x:v>
      </x:c>
      <x:c r="F936" s="4" t="n">
        <x:v>12</x:v>
      </x:c>
      <x:c r="G936" s="5" t="n">
        <x:v>0.0767</x:v>
      </x:c>
      <x:c r="H936" s="5" t="n">
        <x:v>0.12380000000000001</x:v>
      </x:c>
      <x:c r="I936" s="5" t="n">
        <x:v>0</x:v>
      </x:c>
      <x:c r="J936" s="4" t="n">
        <x:v>326</x:v>
      </x:c>
      <x:c r="K936" s="4" t="n">
        <x:v>25</x:v>
      </x:c>
      <x:c r="L936" s="4" t="n">
        <x:v>202</x:v>
      </x:c>
      <x:c r="M936" s="4" t="n">
        <x:v>25</x:v>
      </x:c>
      <x:c r="N936" s="4" t="n">
        <x:v>124</x:v>
      </x:c>
      <x:c r="O936" s="4" t="n">
        <x:v>0</x:v>
      </x:c>
      <x:c r="P936" s="1" t="str">
        <x:v>PASS</x:v>
      </x:c>
      <x:c r="Q936" s="4" t="n">
        <x:v>0</x:v>
      </x:c>
      <x:c r="R936" s="1" t="str">
        <x:v>PASS</x:v>
      </x:c>
      <x:c r="S936" s="4" t="n">
        <x:v>0</x:v>
      </x:c>
      <x:c r="T936" s="1" t="str">
        <x:v>NOT_REVEALING</x:v>
      </x:c>
      <x:c r="U936" s="1" t="str">
        <x:v>Closure_16</x:v>
      </x:c>
      <x:c r="V936" s="6" t="n">
        <x:v>60.66</x:v>
      </x:c>
    </x:row>
    <x:row r="937" ht="22" customHeight="1">
      <x:c r="A937" s="1" t="str">
        <x:v>Round2</x:v>
      </x:c>
      <x:c r="B937" s="1" t="str">
        <x:v>Closure</x:v>
      </x:c>
      <x:c r="C937" s="4" t="n">
        <x:v>17</x:v>
      </x:c>
      <x:c r="D937" s="4" t="n">
        <x:v>20260928</x:v>
      </x:c>
      <x:c r="E937" s="4" t="n">
        <x:v>60</x:v>
      </x:c>
      <x:c r="F937" s="4" t="n">
        <x:v>11</x:v>
      </x:c>
      <x:c r="G937" s="5" t="n">
        <x:v>0.016</x:v>
      </x:c>
      <x:c r="H937" s="5" t="n">
        <x:v>0.028399999999999998</x:v>
      </x:c>
      <x:c r="I937" s="5" t="n">
        <x:v>0</x:v>
      </x:c>
      <x:c r="J937" s="4" t="n">
        <x:v>1567</x:v>
      </x:c>
      <x:c r="K937" s="4" t="n">
        <x:v>25</x:v>
      </x:c>
      <x:c r="L937" s="4" t="n">
        <x:v>880</x:v>
      </x:c>
      <x:c r="M937" s="4" t="n">
        <x:v>25</x:v>
      </x:c>
      <x:c r="N937" s="4" t="n">
        <x:v>687</x:v>
      </x:c>
      <x:c r="O937" s="4" t="n">
        <x:v>0</x:v>
      </x:c>
      <x:c r="P937" s="1" t="str">
        <x:v>PASS</x:v>
      </x:c>
      <x:c r="Q937" s="4" t="n">
        <x:v>0</x:v>
      </x:c>
      <x:c r="R937" s="1" t="str">
        <x:v>PASS</x:v>
      </x:c>
      <x:c r="S937" s="4" t="n">
        <x:v>0</x:v>
      </x:c>
      <x:c r="T937" s="1" t="str">
        <x:v>NOT_REVEALING</x:v>
      </x:c>
      <x:c r="U937" s="1" t="str">
        <x:v>Closure_17</x:v>
      </x:c>
      <x:c r="V937" s="6" t="n">
        <x:v>62.83</x:v>
      </x:c>
    </x:row>
    <x:row r="938" ht="22" customHeight="1">
      <x:c r="A938" s="1" t="str">
        <x:v>Round2</x:v>
      </x:c>
      <x:c r="B938" s="1" t="str">
        <x:v>Closure</x:v>
      </x:c>
      <x:c r="C938" s="4" t="n">
        <x:v>18</x:v>
      </x:c>
      <x:c r="D938" s="4" t="n">
        <x:v>20260928</x:v>
      </x:c>
      <x:c r="E938" s="4" t="n">
        <x:v>60</x:v>
      </x:c>
      <x:c r="F938" s="4" t="n">
        <x:v>1945</x:v>
      </x:c>
      <x:c r="G938" s="5" t="n">
        <x:v>0.5949</x:v>
      </x:c>
      <x:c r="H938" s="5" t="n">
        <x:v>0.6501</x:v>
      </x:c>
      <x:c r="I938" s="5" t="n">
        <x:v>0.46149999999999997</x:v>
      </x:c>
      <x:c r="J938" s="4" t="n">
        <x:v>1422</x:v>
      </x:c>
      <x:c r="K938" s="4" t="n">
        <x:v>846</x:v>
      </x:c>
      <x:c r="L938" s="4" t="n">
        <x:v>1006</x:v>
      </x:c>
      <x:c r="M938" s="4" t="n">
        <x:v>654</x:v>
      </x:c>
      <x:c r="N938" s="4" t="n">
        <x:v>416</x:v>
      </x:c>
      <x:c r="O938" s="4" t="n">
        <x:v>192</x:v>
      </x:c>
      <x:c r="P938" s="1" t="str">
        <x:v>FAIL</x:v>
      </x:c>
      <x:c r="Q938" s="4" t="n">
        <x:v>388</x:v>
      </x:c>
      <x:c r="R938" s="1" t="str">
        <x:v>FAIL</x:v>
      </x:c>
      <x:c r="S938" s="4" t="n">
        <x:v>388</x:v>
      </x:c>
      <x:c r="T938" s="1" t="str">
        <x:v>INCONCLUSIVE</x:v>
      </x:c>
      <x:c r="U938" s="1" t="str">
        <x:v>Closure_18</x:v>
      </x:c>
      <x:c r="V938" s="6" t="n">
        <x:v>91.1</x:v>
      </x:c>
    </x:row>
    <x:row r="939" ht="22" customHeight="1">
      <x:c r="A939" s="1" t="str">
        <x:v>Round2</x:v>
      </x:c>
      <x:c r="B939" s="1" t="str">
        <x:v>Closure</x:v>
      </x:c>
      <x:c r="C939" s="4" t="n">
        <x:v>19</x:v>
      </x:c>
      <x:c r="D939" s="4" t="n">
        <x:v>20260928</x:v>
      </x:c>
      <x:c r="E939" s="4" t="n">
        <x:v>60</x:v>
      </x:c>
      <x:c r="F939" s="4" t="n">
        <x:v>1</x:v>
      </x:c>
      <x:c r="G939" s="5" t="n">
        <x:v>0</x:v>
      </x:c>
      <x:c r="H939" s="5" t="n">
        <x:v>0</x:v>
      </x:c>
      <x:c r="I939" s="5" t="n">
        <x:v>0</x:v>
      </x:c>
      <x:c r="J939" s="4" t="n">
        <x:v>265</x:v>
      </x:c>
      <x:c r="K939" s="4" t="n">
        <x:v>0</x:v>
      </x:c>
      <x:c r="L939" s="4" t="n">
        <x:v>171</x:v>
      </x:c>
      <x:c r="M939" s="4" t="n">
        <x:v>0</x:v>
      </x:c>
      <x:c r="N939" s="4" t="n">
        <x:v>94</x:v>
      </x:c>
      <x:c r="O939" s="4" t="n">
        <x:v>0</x:v>
      </x:c>
      <x:c r="P939" s="1" t="str">
        <x:v>PASS</x:v>
      </x:c>
      <x:c r="Q939" s="4" t="n">
        <x:v>0</x:v>
      </x:c>
      <x:c r="R939" s="1" t="str">
        <x:v>PASS</x:v>
      </x:c>
      <x:c r="S939" s="4" t="n">
        <x:v>0</x:v>
      </x:c>
      <x:c r="T939" s="1" t="str">
        <x:v>NOT_REVEALING</x:v>
      </x:c>
      <x:c r="U939" s="1" t="str">
        <x:v>Closure_19</x:v>
      </x:c>
      <x:c r="V939" s="6" t="n">
        <x:v>65.31</x:v>
      </x:c>
    </x:row>
    <x:row r="940" ht="22" customHeight="1">
      <x:c r="A940" s="1" t="str">
        <x:v>Round2</x:v>
      </x:c>
      <x:c r="B940" s="1" t="str">
        <x:v>Closure</x:v>
      </x:c>
      <x:c r="C940" s="4" t="n">
        <x:v>20</x:v>
      </x:c>
      <x:c r="D940" s="4" t="n">
        <x:v>20260928</x:v>
      </x:c>
      <x:c r="E940" s="4" t="n">
        <x:v>60</x:v>
      </x:c>
      <x:c r="F940" s="4" t="n">
        <x:v>2294</x:v>
      </x:c>
      <x:c r="G940" s="5" t="n">
        <x:v>0.021099999999999997</x:v>
      </x:c>
      <x:c r="H940" s="5" t="n">
        <x:v>0.0318</x:v>
      </x:c>
      <x:c r="I940" s="5" t="n">
        <x:v>0.005699999999999999</x:v>
      </x:c>
      <x:c r="J940" s="4" t="n">
        <x:v>1280</x:v>
      </x:c>
      <x:c r="K940" s="4" t="n">
        <x:v>27</x:v>
      </x:c>
      <x:c r="L940" s="4" t="n">
        <x:v>754</x:v>
      </x:c>
      <x:c r="M940" s="4" t="n">
        <x:v>24</x:v>
      </x:c>
      <x:c r="N940" s="4" t="n">
        <x:v>526</x:v>
      </x:c>
      <x:c r="O940" s="4" t="n">
        <x:v>3</x:v>
      </x:c>
      <x:c r="P940" s="1" t="str">
        <x:v>PASS</x:v>
      </x:c>
      <x:c r="Q940" s="4" t="n">
        <x:v>0</x:v>
      </x:c>
      <x:c r="R940" s="1" t="str">
        <x:v>PASS</x:v>
      </x:c>
      <x:c r="S940" s="4" t="n">
        <x:v>0</x:v>
      </x:c>
      <x:c r="T940" s="1" t="str">
        <x:v>NOT_REVEALING</x:v>
      </x:c>
      <x:c r="U940" s="1" t="str">
        <x:v>Closure_20</x:v>
      </x:c>
      <x:c r="V940" s="6" t="n">
        <x:v>81.24</x:v>
      </x:c>
    </x:row>
    <x:row r="941" ht="22" customHeight="1">
      <x:c r="A941" s="1" t="str">
        <x:v>Round2</x:v>
      </x:c>
      <x:c r="B941" s="1" t="str">
        <x:v>Closure</x:v>
      </x:c>
      <x:c r="C941" s="4" t="n">
        <x:v>21</x:v>
      </x:c>
      <x:c r="D941" s="4" t="n">
        <x:v>20260928</x:v>
      </x:c>
      <x:c r="E941" s="4" t="n">
        <x:v>60</x:v>
      </x:c>
      <x:c r="F941" s="4" t="n">
        <x:v>270</x:v>
      </x:c>
      <x:c r="G941" s="5" t="n">
        <x:v>0.10640000000000001</x:v>
      </x:c>
      <x:c r="H941" s="5" t="n">
        <x:v>0.1852</x:v>
      </x:c>
      <x:c r="I941" s="5" t="n">
        <x:v>0</x:v>
      </x:c>
      <x:c r="J941" s="4" t="n">
        <x:v>141</x:v>
      </x:c>
      <x:c r="K941" s="4" t="n">
        <x:v>15</x:v>
      </x:c>
      <x:c r="L941" s="4" t="n">
        <x:v>81</x:v>
      </x:c>
      <x:c r="M941" s="4" t="n">
        <x:v>15</x:v>
      </x:c>
      <x:c r="N941" s="4" t="n">
        <x:v>60</x:v>
      </x:c>
      <x:c r="O941" s="4" t="n">
        <x:v>0</x:v>
      </x:c>
      <x:c r="P941" s="1" t="str">
        <x:v>PASS</x:v>
      </x:c>
      <x:c r="Q941" s="4" t="n">
        <x:v>0</x:v>
      </x:c>
      <x:c r="R941" s="1" t="str">
        <x:v>PASS</x:v>
      </x:c>
      <x:c r="S941" s="4" t="n">
        <x:v>0</x:v>
      </x:c>
      <x:c r="T941" s="1" t="str">
        <x:v>NOT_REVEALING</x:v>
      </x:c>
      <x:c r="U941" s="1" t="str">
        <x:v>Closure_21</x:v>
      </x:c>
      <x:c r="V941" s="6" t="n">
        <x:v>70.27</x:v>
      </x:c>
    </x:row>
    <x:row r="942" ht="22" customHeight="1">
      <x:c r="A942" s="1" t="str">
        <x:v>Round2</x:v>
      </x:c>
      <x:c r="B942" s="1" t="str">
        <x:v>Closure</x:v>
      </x:c>
      <x:c r="C942" s="4" t="n">
        <x:v>22</x:v>
      </x:c>
      <x:c r="D942" s="4" t="n">
        <x:v>20260928</x:v>
      </x:c>
      <x:c r="E942" s="4" t="n">
        <x:v>60</x:v>
      </x:c>
      <x:c r="F942" s="4" t="n">
        <x:v>270</x:v>
      </x:c>
      <x:c r="G942" s="5" t="n">
        <x:v>0.0949</x:v>
      </x:c>
      <x:c r="H942" s="5" t="n">
        <x:v>0.1744</x:v>
      </x:c>
      <x:c r="I942" s="5" t="n">
        <x:v>0</x:v>
      </x:c>
      <x:c r="J942" s="4" t="n">
        <x:v>158</x:v>
      </x:c>
      <x:c r="K942" s="4" t="n">
        <x:v>15</x:v>
      </x:c>
      <x:c r="L942" s="4" t="n">
        <x:v>86</x:v>
      </x:c>
      <x:c r="M942" s="4" t="n">
        <x:v>15</x:v>
      </x:c>
      <x:c r="N942" s="4" t="n">
        <x:v>72</x:v>
      </x:c>
      <x:c r="O942" s="4" t="n">
        <x:v>0</x:v>
      </x:c>
      <x:c r="P942" s="1" t="str">
        <x:v>PASS</x:v>
      </x:c>
      <x:c r="Q942" s="4" t="n">
        <x:v>0</x:v>
      </x:c>
      <x:c r="R942" s="1" t="str">
        <x:v>PASS</x:v>
      </x:c>
      <x:c r="S942" s="4" t="n">
        <x:v>0</x:v>
      </x:c>
      <x:c r="T942" s="1" t="str">
        <x:v>NOT_REVEALING</x:v>
      </x:c>
      <x:c r="U942" s="1" t="str">
        <x:v>Closure_22</x:v>
      </x:c>
      <x:c r="V942" s="6" t="n">
        <x:v>66.17</x:v>
      </x:c>
    </x:row>
    <x:row r="943" ht="22" customHeight="1">
      <x:c r="A943" s="1" t="str">
        <x:v>Round2</x:v>
      </x:c>
      <x:c r="B943" s="1" t="str">
        <x:v>Closure</x:v>
      </x:c>
      <x:c r="C943" s="4" t="n">
        <x:v>23</x:v>
      </x:c>
      <x:c r="D943" s="4" t="n">
        <x:v>20260928</x:v>
      </x:c>
      <x:c r="E943" s="4" t="n">
        <x:v>60</x:v>
      </x:c>
      <x:c r="F943" s="4" t="n">
        <x:v>11</x:v>
      </x:c>
      <x:c r="G943" s="5" t="n">
        <x:v>0.0121</x:v>
      </x:c>
      <x:c r="H943" s="5" t="n">
        <x:v>0.0216</x:v>
      </x:c>
      <x:c r="I943" s="5" t="n">
        <x:v>0</x:v>
      </x:c>
      <x:c r="J943" s="4" t="n">
        <x:v>1238</x:v>
      </x:c>
      <x:c r="K943" s="4" t="n">
        <x:v>15</x:v>
      </x:c>
      <x:c r="L943" s="4" t="n">
        <x:v>695</x:v>
      </x:c>
      <x:c r="M943" s="4" t="n">
        <x:v>15</x:v>
      </x:c>
      <x:c r="N943" s="4" t="n">
        <x:v>543</x:v>
      </x:c>
      <x:c r="O943" s="4" t="n">
        <x:v>0</x:v>
      </x:c>
      <x:c r="P943" s="1" t="str">
        <x:v>PASS</x:v>
      </x:c>
      <x:c r="Q943" s="4" t="n">
        <x:v>0</x:v>
      </x:c>
      <x:c r="R943" s="1" t="str">
        <x:v>PASS</x:v>
      </x:c>
      <x:c r="S943" s="4" t="n">
        <x:v>0</x:v>
      </x:c>
      <x:c r="T943" s="1" t="str">
        <x:v>NOT_REVEALING</x:v>
      </x:c>
      <x:c r="U943" s="1" t="str">
        <x:v>Closure_23</x:v>
      </x:c>
      <x:c r="V943" s="6" t="n">
        <x:v>61.34</x:v>
      </x:c>
    </x:row>
    <x:row r="944" ht="22" customHeight="1">
      <x:c r="A944" s="1" t="str">
        <x:v>Round2</x:v>
      </x:c>
      <x:c r="B944" s="1" t="str">
        <x:v>Closure</x:v>
      </x:c>
      <x:c r="C944" s="4" t="n">
        <x:v>24</x:v>
      </x:c>
      <x:c r="D944" s="4" t="n">
        <x:v>20260928</x:v>
      </x:c>
      <x:c r="E944" s="4" t="n">
        <x:v>60</x:v>
      </x:c>
      <x:c r="F944" s="4" t="n">
        <x:v>12</x:v>
      </x:c>
      <x:c r="G944" s="5" t="n">
        <x:v>0.083</x:v>
      </x:c>
      <x:c r="H944" s="5" t="n">
        <x:v>0.1329</x:v>
      </x:c>
      <x:c r="I944" s="5" t="n">
        <x:v>0</x:v>
      </x:c>
      <x:c r="J944" s="4" t="n">
        <x:v>277</x:v>
      </x:c>
      <x:c r="K944" s="4" t="n">
        <x:v>23</x:v>
      </x:c>
      <x:c r="L944" s="4" t="n">
        <x:v>173</x:v>
      </x:c>
      <x:c r="M944" s="4" t="n">
        <x:v>23</x:v>
      </x:c>
      <x:c r="N944" s="4" t="n">
        <x:v>104</x:v>
      </x:c>
      <x:c r="O944" s="4" t="n">
        <x:v>0</x:v>
      </x:c>
      <x:c r="P944" s="1" t="str">
        <x:v>PASS</x:v>
      </x:c>
      <x:c r="Q944" s="4" t="n">
        <x:v>0</x:v>
      </x:c>
      <x:c r="R944" s="1" t="str">
        <x:v>PASS</x:v>
      </x:c>
      <x:c r="S944" s="4" t="n">
        <x:v>0</x:v>
      </x:c>
      <x:c r="T944" s="1" t="str">
        <x:v>NOT_REVEALING</x:v>
      </x:c>
      <x:c r="U944" s="1" t="str">
        <x:v>Closure_24</x:v>
      </x:c>
      <x:c r="V944" s="6" t="n">
        <x:v>60.38</x:v>
      </x:c>
    </x:row>
    <x:row r="945" ht="22" customHeight="1">
      <x:c r="A945" s="1" t="str">
        <x:v>Round2</x:v>
      </x:c>
      <x:c r="B945" s="1" t="str">
        <x:v>Closure</x:v>
      </x:c>
      <x:c r="C945" s="4" t="n">
        <x:v>25</x:v>
      </x:c>
      <x:c r="D945" s="4" t="n">
        <x:v>20260928</x:v>
      </x:c>
      <x:c r="E945" s="4" t="n">
        <x:v>60</x:v>
      </x:c>
      <x:c r="F945" s="4" t="n">
        <x:v>8</x:v>
      </x:c>
      <x:c r="G945" s="5" t="n">
        <x:v>0.009899999999999999</x:v>
      </x:c>
      <x:c r="H945" s="5" t="n">
        <x:v>0.0132</x:v>
      </x:c>
      <x:c r="I945" s="5" t="n">
        <x:v>0.005</x:v>
      </x:c>
      <x:c r="J945" s="4" t="n">
        <x:v>1012</x:v>
      </x:c>
      <x:c r="K945" s="4" t="n">
        <x:v>10</x:v>
      </x:c>
      <x:c r="L945" s="4" t="n">
        <x:v>608</x:v>
      </x:c>
      <x:c r="M945" s="4" t="n">
        <x:v>8</x:v>
      </x:c>
      <x:c r="N945" s="4" t="n">
        <x:v>404</x:v>
      </x:c>
      <x:c r="O945" s="4" t="n">
        <x:v>2</x:v>
      </x:c>
      <x:c r="P945" s="1" t="str">
        <x:v>PASS</x:v>
      </x:c>
      <x:c r="Q945" s="4" t="n">
        <x:v>0</x:v>
      </x:c>
      <x:c r="R945" s="1" t="str">
        <x:v>PASS</x:v>
      </x:c>
      <x:c r="S945" s="4" t="n">
        <x:v>0</x:v>
      </x:c>
      <x:c r="T945" s="1" t="str">
        <x:v>NOT_REVEALING</x:v>
      </x:c>
      <x:c r="U945" s="1" t="str">
        <x:v>Closure_25</x:v>
      </x:c>
      <x:c r="V945" s="6" t="n">
        <x:v>61.57</x:v>
      </x:c>
    </x:row>
    <x:row r="946" ht="22" customHeight="1">
      <x:c r="A946" s="1" t="str">
        <x:v>Round2</x:v>
      </x:c>
      <x:c r="B946" s="1" t="str">
        <x:v>Closure</x:v>
      </x:c>
      <x:c r="C946" s="4" t="n">
        <x:v>26</x:v>
      </x:c>
      <x:c r="D946" s="4" t="n">
        <x:v>20260928</x:v>
      </x:c>
      <x:c r="E946" s="4" t="n">
        <x:v>60</x:v>
      </x:c>
      <x:c r="F946" s="4" t="n">
        <x:v>2570</x:v>
      </x:c>
      <x:c r="G946" s="5" t="n">
        <x:v>0.23809999999999998</x:v>
      </x:c>
      <x:c r="H946" s="5" t="n">
        <x:v>0.271</x:v>
      </x:c>
      <x:c r="I946" s="5" t="n">
        <x:v>0.15</x:v>
      </x:c>
      <x:c r="J946" s="4" t="n">
        <x:v>147</x:v>
      </x:c>
      <x:c r="K946" s="4" t="n">
        <x:v>35</x:v>
      </x:c>
      <x:c r="L946" s="4" t="n">
        <x:v>107</x:v>
      </x:c>
      <x:c r="M946" s="4" t="n">
        <x:v>29</x:v>
      </x:c>
      <x:c r="N946" s="4" t="n">
        <x:v>40</x:v>
      </x:c>
      <x:c r="O946" s="4" t="n">
        <x:v>6</x:v>
      </x:c>
      <x:c r="P946" s="1" t="str">
        <x:v>PASS</x:v>
      </x:c>
      <x:c r="Q946" s="4" t="n">
        <x:v>0</x:v>
      </x:c>
      <x:c r="R946" s="1" t="str">
        <x:v>PASS</x:v>
      </x:c>
      <x:c r="S946" s="4" t="n">
        <x:v>0</x:v>
      </x:c>
      <x:c r="T946" s="1" t="str">
        <x:v>NOT_REVEALING</x:v>
      </x:c>
      <x:c r="U946" s="1" t="str">
        <x:v>Closure_26</x:v>
      </x:c>
      <x:c r="V946" s="6" t="n">
        <x:v>79.29</x:v>
      </x:c>
    </x:row>
    <x:row r="947" ht="22" customHeight="1">
      <x:c r="A947" s="1" t="str">
        <x:v>Round2</x:v>
      </x:c>
      <x:c r="B947" s="1" t="str">
        <x:v>Closure</x:v>
      </x:c>
      <x:c r="C947" s="4" t="n">
        <x:v>27</x:v>
      </x:c>
      <x:c r="D947" s="4" t="n">
        <x:v>20260928</x:v>
      </x:c>
      <x:c r="E947" s="4" t="n">
        <x:v>60</x:v>
      </x:c>
      <x:c r="F947" s="4" t="n">
        <x:v>4512</x:v>
      </x:c>
      <x:c r="G947" s="5" t="n">
        <x:v>0.7570999999999999</x:v>
      </x:c>
      <x:c r="H947" s="5" t="n">
        <x:v>0.7968000000000001</x:v>
      </x:c>
      <x:c r="I947" s="5" t="n">
        <x:v>0.6333</x:v>
      </x:c>
      <x:c r="J947" s="4" t="n">
        <x:v>247</x:v>
      </x:c>
      <x:c r="K947" s="4" t="n">
        <x:v>187</x:v>
      </x:c>
      <x:c r="L947" s="4" t="n">
        <x:v>187</x:v>
      </x:c>
      <x:c r="M947" s="4" t="n">
        <x:v>149</x:v>
      </x:c>
      <x:c r="N947" s="4" t="n">
        <x:v>60</x:v>
      </x:c>
      <x:c r="O947" s="4" t="n">
        <x:v>38</x:v>
      </x:c>
      <x:c r="P947" s="1" t="str">
        <x:v>PASS</x:v>
      </x:c>
      <x:c r="Q947" s="4" t="n">
        <x:v>0</x:v>
      </x:c>
      <x:c r="R947" s="1" t="str">
        <x:v>FAIL</x:v>
      </x:c>
      <x:c r="S947" s="4" t="n">
        <x:v>4</x:v>
      </x:c>
      <x:c r="T947" s="1" t="str">
        <x:v>INCONCLUSIVE</x:v>
      </x:c>
      <x:c r="U947" s="1" t="str">
        <x:v>Closure_27</x:v>
      </x:c>
      <x:c r="V947" s="6" t="n">
        <x:v>117.87</x:v>
      </x:c>
    </x:row>
    <x:row r="948" ht="22" customHeight="1">
      <x:c r="A948" s="1" t="str">
        <x:v>Round2</x:v>
      </x:c>
      <x:c r="B948" s="1" t="str">
        <x:v>Closure</x:v>
      </x:c>
      <x:c r="C948" s="4" t="n">
        <x:v>28</x:v>
      </x:c>
      <x:c r="D948" s="4" t="n">
        <x:v>20260928</x:v>
      </x:c>
      <x:c r="E948" s="4" t="n">
        <x:v>60</x:v>
      </x:c>
      <x:c r="F948" s="4" t="n">
        <x:v>23</x:v>
      </x:c>
      <x:c r="G948" s="5" t="n">
        <x:v>0.4643</x:v>
      </x:c>
      <x:c r="H948" s="5" t="n">
        <x:v>0.5</x:v>
      </x:c>
      <x:c r="I948" s="5" t="n">
        <x:v>0</x:v>
      </x:c>
      <x:c r="J948" s="4" t="n">
        <x:v>28</x:v>
      </x:c>
      <x:c r="K948" s="4" t="n">
        <x:v>13</x:v>
      </x:c>
      <x:c r="L948" s="4" t="n">
        <x:v>26</x:v>
      </x:c>
      <x:c r="M948" s="4" t="n">
        <x:v>13</x:v>
      </x:c>
      <x:c r="N948" s="4" t="n">
        <x:v>2</x:v>
      </x:c>
      <x:c r="O948" s="4" t="n">
        <x:v>0</x:v>
      </x:c>
      <x:c r="P948" s="1" t="str">
        <x:v>PASS</x:v>
      </x:c>
      <x:c r="Q948" s="4" t="n">
        <x:v>0</x:v>
      </x:c>
      <x:c r="R948" s="1" t="str">
        <x:v>PASS</x:v>
      </x:c>
      <x:c r="S948" s="4" t="n">
        <x:v>0</x:v>
      </x:c>
      <x:c r="T948" s="1" t="str">
        <x:v>NOT_REVEALING</x:v>
      </x:c>
      <x:c r="U948" s="1" t="str">
        <x:v>Closure_28</x:v>
      </x:c>
      <x:c r="V948" s="6" t="n">
        <x:v>63.48</x:v>
      </x:c>
    </x:row>
    <x:row r="949" ht="22" customHeight="1">
      <x:c r="A949" s="1" t="str">
        <x:v>Round2</x:v>
      </x:c>
      <x:c r="B949" s="1" t="str">
        <x:v>Closure</x:v>
      </x:c>
      <x:c r="C949" s="4" t="n">
        <x:v>29</x:v>
      </x:c>
      <x:c r="D949" s="4" t="n">
        <x:v>20260928</x:v>
      </x:c>
      <x:c r="E949" s="4" t="n">
        <x:v>60</x:v>
      </x:c>
      <x:c r="F949" s="4" t="n">
        <x:v>4</x:v>
      </x:c>
      <x:c r="G949" s="5" t="n">
        <x:v>0.0288</x:v>
      </x:c>
      <x:c r="H949" s="5" t="n">
        <x:v>0.046</x:v>
      </x:c>
      <x:c r="I949" s="5" t="n">
        <x:v>0</x:v>
      </x:c>
      <x:c r="J949" s="4" t="n">
        <x:v>278</x:v>
      </x:c>
      <x:c r="K949" s="4" t="n">
        <x:v>8</x:v>
      </x:c>
      <x:c r="L949" s="4" t="n">
        <x:v>174</x:v>
      </x:c>
      <x:c r="M949" s="4" t="n">
        <x:v>8</x:v>
      </x:c>
      <x:c r="N949" s="4" t="n">
        <x:v>104</x:v>
      </x:c>
      <x:c r="O949" s="4" t="n">
        <x:v>0</x:v>
      </x:c>
      <x:c r="P949" s="1" t="str">
        <x:v>PASS</x:v>
      </x:c>
      <x:c r="Q949" s="4" t="n">
        <x:v>0</x:v>
      </x:c>
      <x:c r="R949" s="1" t="str">
        <x:v>PASS</x:v>
      </x:c>
      <x:c r="S949" s="4" t="n">
        <x:v>0</x:v>
      </x:c>
      <x:c r="T949" s="1" t="str">
        <x:v>NOT_REVEALING</x:v>
      </x:c>
      <x:c r="U949" s="1" t="str">
        <x:v>Closure_29</x:v>
      </x:c>
      <x:c r="V949" s="6" t="n">
        <x:v>63.42</x:v>
      </x:c>
    </x:row>
    <x:row r="950" ht="22" customHeight="1">
      <x:c r="A950" s="1" t="str">
        <x:v>Round2</x:v>
      </x:c>
      <x:c r="B950" s="1" t="str">
        <x:v>Closure</x:v>
      </x:c>
      <x:c r="C950" s="4" t="n">
        <x:v>30</x:v>
      </x:c>
      <x:c r="D950" s="4" t="n">
        <x:v>20260928</x:v>
      </x:c>
      <x:c r="E950" s="4" t="n">
        <x:v>60</x:v>
      </x:c>
      <x:c r="F950" s="4" t="n">
        <x:v>1022</x:v>
      </x:c>
      <x:c r="G950" s="5" t="n">
        <x:v>0.0452</x:v>
      </x:c>
      <x:c r="H950" s="5" t="n">
        <x:v>0.0665</x:v>
      </x:c>
      <x:c r="I950" s="5" t="n">
        <x:v>0.013500000000000002</x:v>
      </x:c>
      <x:c r="J950" s="4" t="n">
        <x:v>553</x:v>
      </x:c>
      <x:c r="K950" s="4" t="n">
        <x:v>25</x:v>
      </x:c>
      <x:c r="L950" s="4" t="n">
        <x:v>331</x:v>
      </x:c>
      <x:c r="M950" s="4" t="n">
        <x:v>22</x:v>
      </x:c>
      <x:c r="N950" s="4" t="n">
        <x:v>222</x:v>
      </x:c>
      <x:c r="O950" s="4" t="n">
        <x:v>3</x:v>
      </x:c>
      <x:c r="P950" s="1" t="str">
        <x:v>FAIL</x:v>
      </x:c>
      <x:c r="Q950" s="4" t="n">
        <x:v>30</x:v>
      </x:c>
      <x:c r="R950" s="1" t="str">
        <x:v>FAIL</x:v>
      </x:c>
      <x:c r="S950" s="4" t="n">
        <x:v>30</x:v>
      </x:c>
      <x:c r="T950" s="1" t="str">
        <x:v>INCONCLUSIVE</x:v>
      </x:c>
      <x:c r="U950" s="1" t="str">
        <x:v>Closure_30</x:v>
      </x:c>
      <x:c r="V950" s="6" t="n">
        <x:v>74.66</x:v>
      </x:c>
    </x:row>
    <x:row r="951" ht="22" customHeight="1">
      <x:c r="A951" s="1" t="str">
        <x:v>Round2</x:v>
      </x:c>
      <x:c r="B951" s="1" t="str">
        <x:v>Closure</x:v>
      </x:c>
      <x:c r="C951" s="4" t="n">
        <x:v>31</x:v>
      </x:c>
      <x:c r="D951" s="4" t="n">
        <x:v>20260928</x:v>
      </x:c>
      <x:c r="E951" s="4" t="n">
        <x:v>60</x:v>
      </x:c>
      <x:c r="F951" s="4" t="n">
        <x:v>1806</x:v>
      </x:c>
      <x:c r="G951" s="5" t="n">
        <x:v>0.5579</x:v>
      </x:c>
      <x:c r="H951" s="5" t="n">
        <x:v>0.6141</x:v>
      </x:c>
      <x:c r="I951" s="5" t="n">
        <x:v>0.42</x:v>
      </x:c>
      <x:c r="J951" s="4" t="n">
        <x:v>1382</x:v>
      </x:c>
      <x:c r="K951" s="4" t="n">
        <x:v>771</x:v>
      </x:c>
      <x:c r="L951" s="4" t="n">
        <x:v>982</x:v>
      </x:c>
      <x:c r="M951" s="4" t="n">
        <x:v>603</x:v>
      </x:c>
      <x:c r="N951" s="4" t="n">
        <x:v>400</x:v>
      </x:c>
      <x:c r="O951" s="4" t="n">
        <x:v>168</x:v>
      </x:c>
      <x:c r="P951" s="1" t="str">
        <x:v>FAIL</x:v>
      </x:c>
      <x:c r="Q951" s="4" t="n">
        <x:v>4</x:v>
      </x:c>
      <x:c r="R951" s="1" t="str">
        <x:v>FAIL</x:v>
      </x:c>
      <x:c r="S951" s="4" t="n">
        <x:v>4</x:v>
      </x:c>
      <x:c r="T951" s="1" t="str">
        <x:v>INCONCLUSIVE</x:v>
      </x:c>
      <x:c r="U951" s="1" t="str">
        <x:v>Closure_31</x:v>
      </x:c>
      <x:c r="V951" s="6" t="n">
        <x:v>95.7</x:v>
      </x:c>
    </x:row>
    <x:row r="952" ht="22" customHeight="1">
      <x:c r="A952" s="1" t="str">
        <x:v>Round2</x:v>
      </x:c>
      <x:c r="B952" s="1" t="str">
        <x:v>Closure</x:v>
      </x:c>
      <x:c r="C952" s="4" t="n">
        <x:v>32</x:v>
      </x:c>
      <x:c r="D952" s="4" t="n">
        <x:v>20260928</x:v>
      </x:c>
      <x:c r="E952" s="4" t="n">
        <x:v>60</x:v>
      </x:c>
      <x:c r="F952" s="4" t="n">
        <x:v>5</x:v>
      </x:c>
      <x:c r="G952" s="5" t="n">
        <x:v>0.07139999999999999</x:v>
      </x:c>
      <x:c r="H952" s="5" t="n">
        <x:v>0.08349999999999999</x:v>
      </x:c>
      <x:c r="I952" s="5" t="n">
        <x:v>0.0507</x:v>
      </x:c>
      <x:c r="J952" s="4" t="n">
        <x:v>1653</x:v>
      </x:c>
      <x:c r="K952" s="4" t="n">
        <x:v>118</x:v>
      </x:c>
      <x:c r="L952" s="4" t="n">
        <x:v>1042</x:v>
      </x:c>
      <x:c r="M952" s="4" t="n">
        <x:v>87</x:v>
      </x:c>
      <x:c r="N952" s="4" t="n">
        <x:v>611</x:v>
      </x:c>
      <x:c r="O952" s="4" t="n">
        <x:v>31</x:v>
      </x:c>
      <x:c r="P952" s="1" t="str">
        <x:v>PASS</x:v>
      </x:c>
      <x:c r="Q952" s="4" t="n">
        <x:v>0</x:v>
      </x:c>
      <x:c r="R952" s="1" t="str">
        <x:v>PASS</x:v>
      </x:c>
      <x:c r="S952" s="4" t="n">
        <x:v>0</x:v>
      </x:c>
      <x:c r="T952" s="1" t="str">
        <x:v>NOT_REVEALING</x:v>
      </x:c>
      <x:c r="U952" s="1" t="str">
        <x:v>Closure_32</x:v>
      </x:c>
      <x:c r="V952" s="6" t="n">
        <x:v>63.25</x:v>
      </x:c>
    </x:row>
    <x:row r="953" ht="22" customHeight="1">
      <x:c r="A953" s="1" t="str">
        <x:v>Round2</x:v>
      </x:c>
      <x:c r="B953" s="1" t="str">
        <x:v>Closure</x:v>
      </x:c>
      <x:c r="C953" s="4" t="n">
        <x:v>33</x:v>
      </x:c>
      <x:c r="D953" s="4" t="n">
        <x:v>20260928</x:v>
      </x:c>
      <x:c r="E953" s="4" t="n">
        <x:v>60</x:v>
      </x:c>
      <x:c r="F953" s="4" t="n">
        <x:v>3146</x:v>
      </x:c>
      <x:c r="G953" s="5" t="n">
        <x:v>0.5202</x:v>
      </x:c>
      <x:c r="H953" s="5" t="n">
        <x:v>0.6065</x:v>
      </x:c>
      <x:c r="I953" s="5" t="n">
        <x:v>0.4167</x:v>
      </x:c>
      <x:c r="J953" s="4" t="n">
        <x:v>396</x:v>
      </x:c>
      <x:c r="K953" s="4" t="n">
        <x:v>206</x:v>
      </x:c>
      <x:c r="L953" s="4" t="n">
        <x:v>216</x:v>
      </x:c>
      <x:c r="M953" s="4" t="n">
        <x:v>131</x:v>
      </x:c>
      <x:c r="N953" s="4" t="n">
        <x:v>180</x:v>
      </x:c>
      <x:c r="O953" s="4" t="n">
        <x:v>75</x:v>
      </x:c>
      <x:c r="P953" s="1" t="str">
        <x:v>PASS</x:v>
      </x:c>
      <x:c r="Q953" s="4" t="n">
        <x:v>0</x:v>
      </x:c>
      <x:c r="R953" s="1" t="str">
        <x:v>FAIL</x:v>
      </x:c>
      <x:c r="S953" s="4" t="n">
        <x:v>12</x:v>
      </x:c>
      <x:c r="T953" s="1" t="str">
        <x:v>INCONCLUSIVE</x:v>
      </x:c>
      <x:c r="U953" s="1" t="str">
        <x:v>Closure_33</x:v>
      </x:c>
      <x:c r="V953" s="6" t="n">
        <x:v>96.43</x:v>
      </x:c>
    </x:row>
    <x:row r="954" ht="22" customHeight="1">
      <x:c r="A954" s="1" t="str">
        <x:v>Round2</x:v>
      </x:c>
      <x:c r="B954" s="1" t="str">
        <x:v>Closure</x:v>
      </x:c>
      <x:c r="C954" s="4" t="n">
        <x:v>34</x:v>
      </x:c>
      <x:c r="D954" s="4" t="n">
        <x:v>20260928</x:v>
      </x:c>
      <x:c r="E954" s="4" t="n">
        <x:v>60</x:v>
      </x:c>
      <x:c r="F954" s="4" t="n">
        <x:v>2056</x:v>
      </x:c>
      <x:c r="G954" s="5" t="n">
        <x:v>0.08070000000000001</x:v>
      </x:c>
      <x:c r="H954" s="5" t="n">
        <x:v>0.10779999999999999</x:v>
      </x:c>
      <x:c r="I954" s="5" t="n">
        <x:v>0.04</x:v>
      </x:c>
      <x:c r="J954" s="4" t="n">
        <x:v>1438</x:v>
      </x:c>
      <x:c r="K954" s="4" t="n">
        <x:v>116</x:v>
      </x:c>
      <x:c r="L954" s="4" t="n">
        <x:v>863</x:v>
      </x:c>
      <x:c r="M954" s="4" t="n">
        <x:v>93</x:v>
      </x:c>
      <x:c r="N954" s="4" t="n">
        <x:v>575</x:v>
      </x:c>
      <x:c r="O954" s="4" t="n">
        <x:v>23</x:v>
      </x:c>
      <x:c r="P954" s="1" t="str">
        <x:v>PASS</x:v>
      </x:c>
      <x:c r="Q954" s="4" t="n">
        <x:v>0</x:v>
      </x:c>
      <x:c r="R954" s="1" t="str">
        <x:v>PASS</x:v>
      </x:c>
      <x:c r="S954" s="4" t="n">
        <x:v>0</x:v>
      </x:c>
      <x:c r="T954" s="1" t="str">
        <x:v>NOT_REVEALING</x:v>
      </x:c>
      <x:c r="U954" s="1" t="str">
        <x:v>Closure_34</x:v>
      </x:c>
      <x:c r="V954" s="6" t="n">
        <x:v>69.84</x:v>
      </x:c>
    </x:row>
    <x:row r="955" ht="22" customHeight="1">
      <x:c r="A955" s="1" t="str">
        <x:v>Round2</x:v>
      </x:c>
      <x:c r="B955" s="1" t="str">
        <x:v>Closure</x:v>
      </x:c>
      <x:c r="C955" s="4" t="n">
        <x:v>35</x:v>
      </x:c>
      <x:c r="D955" s="4" t="n">
        <x:v>20260928</x:v>
      </x:c>
      <x:c r="E955" s="4" t="n">
        <x:v>60</x:v>
      </x:c>
      <x:c r="F955" s="4" t="n">
        <x:v>8</x:v>
      </x:c>
      <x:c r="G955" s="5" t="n">
        <x:v>0.0095</x:v>
      </x:c>
      <x:c r="H955" s="5" t="n">
        <x:v>0.0127</x:v>
      </x:c>
      <x:c r="I955" s="5" t="n">
        <x:v>0.004699999999999999</x:v>
      </x:c>
      <x:c r="J955" s="4" t="n">
        <x:v>1050</x:v>
      </x:c>
      <x:c r="K955" s="4" t="n">
        <x:v>10</x:v>
      </x:c>
      <x:c r="L955" s="4" t="n">
        <x:v>628</x:v>
      </x:c>
      <x:c r="M955" s="4" t="n">
        <x:v>8</x:v>
      </x:c>
      <x:c r="N955" s="4" t="n">
        <x:v>422</x:v>
      </x:c>
      <x:c r="O955" s="4" t="n">
        <x:v>2</x:v>
      </x:c>
      <x:c r="P955" s="1" t="str">
        <x:v>PASS</x:v>
      </x:c>
      <x:c r="Q955" s="4" t="n">
        <x:v>0</x:v>
      </x:c>
      <x:c r="R955" s="1" t="str">
        <x:v>PASS</x:v>
      </x:c>
      <x:c r="S955" s="4" t="n">
        <x:v>0</x:v>
      </x:c>
      <x:c r="T955" s="1" t="str">
        <x:v>NOT_REVEALING</x:v>
      </x:c>
      <x:c r="U955" s="1" t="str">
        <x:v>Closure_35</x:v>
      </x:c>
      <x:c r="V955" s="6" t="n">
        <x:v>56.09</x:v>
      </x:c>
    </x:row>
    <x:row r="956" ht="22" customHeight="1">
      <x:c r="A956" s="1" t="str">
        <x:v>Round2</x:v>
      </x:c>
      <x:c r="B956" s="1" t="str">
        <x:v>Closure</x:v>
      </x:c>
      <x:c r="C956" s="4" t="n">
        <x:v>36</x:v>
      </x:c>
      <x:c r="D956" s="4" t="n">
        <x:v>20260928</x:v>
      </x:c>
      <x:c r="E956" s="4" t="n">
        <x:v>60</x:v>
      </x:c>
      <x:c r="F956" s="4" t="n">
        <x:v>2020</x:v>
      </x:c>
      <x:c r="G956" s="5" t="n">
        <x:v>0.0499</x:v>
      </x:c>
      <x:c r="H956" s="5" t="n">
        <x:v>0.0796</x:v>
      </x:c>
      <x:c r="I956" s="5" t="n">
        <x:v>0.0129</x:v>
      </x:c>
      <x:c r="J956" s="4" t="n">
        <x:v>521</x:v>
      </x:c>
      <x:c r="K956" s="4" t="n">
        <x:v>26</x:v>
      </x:c>
      <x:c r="L956" s="4" t="n">
        <x:v>289</x:v>
      </x:c>
      <x:c r="M956" s="4" t="n">
        <x:v>23</x:v>
      </x:c>
      <x:c r="N956" s="4" t="n">
        <x:v>232</x:v>
      </x:c>
      <x:c r="O956" s="4" t="n">
        <x:v>3</x:v>
      </x:c>
      <x:c r="P956" s="1" t="str">
        <x:v>PASS</x:v>
      </x:c>
      <x:c r="Q956" s="4" t="n">
        <x:v>0</x:v>
      </x:c>
      <x:c r="R956" s="1" t="str">
        <x:v>PASS</x:v>
      </x:c>
      <x:c r="S956" s="4" t="n">
        <x:v>0</x:v>
      </x:c>
      <x:c r="T956" s="1" t="str">
        <x:v>NOT_REVEALING</x:v>
      </x:c>
      <x:c r="U956" s="1" t="str">
        <x:v>Closure_36</x:v>
      </x:c>
      <x:c r="V956" s="6" t="n">
        <x:v>69.63</x:v>
      </x:c>
    </x:row>
    <x:row r="957" ht="22" customHeight="1">
      <x:c r="A957" s="1" t="str">
        <x:v>Round2</x:v>
      </x:c>
      <x:c r="B957" s="1" t="str">
        <x:v>Closure</x:v>
      </x:c>
      <x:c r="C957" s="4" t="n">
        <x:v>37</x:v>
      </x:c>
      <x:c r="D957" s="4" t="n">
        <x:v>20260928</x:v>
      </x:c>
      <x:c r="E957" s="4" t="n">
        <x:v>60</x:v>
      </x:c>
      <x:c r="F957" s="4" t="n">
        <x:v>1641</x:v>
      </x:c>
      <x:c r="G957" s="5" t="n">
        <x:v>0.0682</x:v>
      </x:c>
      <x:c r="H957" s="5" t="n">
        <x:v>0.08289999999999999</x:v>
      </x:c>
      <x:c r="I957" s="5" t="n">
        <x:v>0.0364</x:v>
      </x:c>
      <x:c r="J957" s="4" t="n">
        <x:v>1217</x:v>
      </x:c>
      <x:c r="K957" s="4" t="n">
        <x:v>83</x:v>
      </x:c>
      <x:c r="L957" s="4" t="n">
        <x:v>832</x:v>
      </x:c>
      <x:c r="M957" s="4" t="n">
        <x:v>69</x:v>
      </x:c>
      <x:c r="N957" s="4" t="n">
        <x:v>385</x:v>
      </x:c>
      <x:c r="O957" s="4" t="n">
        <x:v>14</x:v>
      </x:c>
      <x:c r="P957" s="1" t="str">
        <x:v>PASS</x:v>
      </x:c>
      <x:c r="Q957" s="4" t="n">
        <x:v>0</x:v>
      </x:c>
      <x:c r="R957" s="1" t="str">
        <x:v>PASS</x:v>
      </x:c>
      <x:c r="S957" s="4" t="n">
        <x:v>0</x:v>
      </x:c>
      <x:c r="T957" s="1" t="str">
        <x:v>NOT_REVEALING</x:v>
      </x:c>
      <x:c r="U957" s="1" t="str">
        <x:v>Closure_37</x:v>
      </x:c>
      <x:c r="V957" s="6" t="n">
        <x:v>75.38</x:v>
      </x:c>
    </x:row>
    <x:row r="958" ht="22" customHeight="1">
      <x:c r="A958" s="1" t="str">
        <x:v>Round2</x:v>
      </x:c>
      <x:c r="B958" s="1" t="str">
        <x:v>Closure</x:v>
      </x:c>
      <x:c r="C958" s="4" t="n">
        <x:v>38</x:v>
      </x:c>
      <x:c r="D958" s="4" t="n">
        <x:v>20260928</x:v>
      </x:c>
      <x:c r="E958" s="4" t="n">
        <x:v>60</x:v>
      </x:c>
      <x:c r="F958" s="4" t="n">
        <x:v>39</x:v>
      </x:c>
      <x:c r="G958" s="5" t="n">
        <x:v>0.056799999999999996</x:v>
      </x:c>
      <x:c r="H958" s="5" t="n">
        <x:v>0.0268</x:v>
      </x:c>
      <x:c r="I958" s="5" t="n">
        <x:v>0.1094</x:v>
      </x:c>
      <x:c r="J958" s="4" t="n">
        <x:v>176</x:v>
      </x:c>
      <x:c r="K958" s="4" t="n">
        <x:v>10</x:v>
      </x:c>
      <x:c r="L958" s="4" t="n">
        <x:v>112</x:v>
      </x:c>
      <x:c r="M958" s="4" t="n">
        <x:v>3</x:v>
      </x:c>
      <x:c r="N958" s="4" t="n">
        <x:v>64</x:v>
      </x:c>
      <x:c r="O958" s="4" t="n">
        <x:v>7</x:v>
      </x:c>
      <x:c r="P958" s="1" t="str">
        <x:v>PASS</x:v>
      </x:c>
      <x:c r="Q958" s="4" t="n">
        <x:v>0</x:v>
      </x:c>
      <x:c r="R958" s="1" t="str">
        <x:v>PASS</x:v>
      </x:c>
      <x:c r="S958" s="4" t="n">
        <x:v>0</x:v>
      </x:c>
      <x:c r="T958" s="1" t="str">
        <x:v>NOT_REVEALING</x:v>
      </x:c>
      <x:c r="U958" s="1" t="str">
        <x:v>Closure_38</x:v>
      </x:c>
      <x:c r="V958" s="6" t="n">
        <x:v>54.51</x:v>
      </x:c>
    </x:row>
    <x:row r="959" ht="22" customHeight="1">
      <x:c r="A959" s="1" t="str">
        <x:v>Round2</x:v>
      </x:c>
      <x:c r="B959" s="1" t="str">
        <x:v>Closure</x:v>
      </x:c>
      <x:c r="C959" s="4" t="n">
        <x:v>39</x:v>
      </x:c>
      <x:c r="D959" s="4" t="n">
        <x:v>20260928</x:v>
      </x:c>
      <x:c r="E959" s="4" t="n">
        <x:v>60</x:v>
      </x:c>
      <x:c r="F959" s="4" t="n">
        <x:v>3221</x:v>
      </x:c>
      <x:c r="G959" s="5" t="n">
        <x:v>0.5442</x:v>
      </x:c>
      <x:c r="H959" s="5" t="n">
        <x:v>0.6293</x:v>
      </x:c>
      <x:c r="I959" s="5" t="n">
        <x:v>0.44049999999999995</x:v>
      </x:c>
      <x:c r="J959" s="4" t="n">
        <x:v>373</x:v>
      </x:c>
      <x:c r="K959" s="4" t="n">
        <x:v>203</x:v>
      </x:c>
      <x:c r="L959" s="4" t="n">
        <x:v>205</x:v>
      </x:c>
      <x:c r="M959" s="4" t="n">
        <x:v>129</x:v>
      </x:c>
      <x:c r="N959" s="4" t="n">
        <x:v>168</x:v>
      </x:c>
      <x:c r="O959" s="4" t="n">
        <x:v>74</x:v>
      </x:c>
      <x:c r="P959" s="1" t="str">
        <x:v>PASS</x:v>
      </x:c>
      <x:c r="Q959" s="4" t="n">
        <x:v>0</x:v>
      </x:c>
      <x:c r="R959" s="1" t="str">
        <x:v>PASS</x:v>
      </x:c>
      <x:c r="S959" s="4" t="n">
        <x:v>0</x:v>
      </x:c>
      <x:c r="T959" s="1" t="str">
        <x:v>NOT_REVEALING</x:v>
      </x:c>
      <x:c r="U959" s="1" t="str">
        <x:v>Closure_39</x:v>
      </x:c>
      <x:c r="V959" s="6" t="n">
        <x:v>81.41</x:v>
      </x:c>
    </x:row>
    <x:row r="960" ht="22" customHeight="1">
      <x:c r="A960" s="1" t="str">
        <x:v>Round2</x:v>
      </x:c>
      <x:c r="B960" s="1" t="str">
        <x:v>Closure</x:v>
      </x:c>
      <x:c r="C960" s="4" t="n">
        <x:v>40</x:v>
      </x:c>
      <x:c r="D960" s="4" t="n">
        <x:v>20260928</x:v>
      </x:c>
      <x:c r="E960" s="4" t="n">
        <x:v>60</x:v>
      </x:c>
      <x:c r="F960" s="4" t="n">
        <x:v>2125</x:v>
      </x:c>
      <x:c r="G960" s="5" t="n">
        <x:v>0.051399999999999994</x:v>
      </x:c>
      <x:c r="H960" s="5" t="n">
        <x:v>0.0787</x:v>
      </x:c>
      <x:c r="I960" s="5" t="n">
        <x:v>0.0069</x:v>
      </x:c>
      <x:c r="J960" s="4" t="n">
        <x:v>1148</x:v>
      </x:c>
      <x:c r="K960" s="4" t="n">
        <x:v>59</x:v>
      </x:c>
      <x:c r="L960" s="4" t="n">
        <x:v>712</x:v>
      </x:c>
      <x:c r="M960" s="4" t="n">
        <x:v>56</x:v>
      </x:c>
      <x:c r="N960" s="4" t="n">
        <x:v>436</x:v>
      </x:c>
      <x:c r="O960" s="4" t="n">
        <x:v>3</x:v>
      </x:c>
      <x:c r="P960" s="1" t="str">
        <x:v>PASS</x:v>
      </x:c>
      <x:c r="Q960" s="4" t="n">
        <x:v>0</x:v>
      </x:c>
      <x:c r="R960" s="1" t="str">
        <x:v>PASS</x:v>
      </x:c>
      <x:c r="S960" s="4" t="n">
        <x:v>0</x:v>
      </x:c>
      <x:c r="T960" s="1" t="str">
        <x:v>NOT_REVEALING</x:v>
      </x:c>
      <x:c r="U960" s="1" t="str">
        <x:v>Closure_40</x:v>
      </x:c>
      <x:c r="V960" s="6" t="n">
        <x:v>66.65</x:v>
      </x:c>
    </x:row>
    <x:row r="961" ht="22" customHeight="1">
      <x:c r="A961" s="1" t="str">
        <x:v>Round2</x:v>
      </x:c>
      <x:c r="B961" s="1" t="str">
        <x:v>Closure</x:v>
      </x:c>
      <x:c r="C961" s="4" t="n">
        <x:v>41</x:v>
      </x:c>
      <x:c r="D961" s="4" t="n">
        <x:v>20260928</x:v>
      </x:c>
      <x:c r="E961" s="4" t="n">
        <x:v>60</x:v>
      </x:c>
      <x:c r="F961" s="4" t="n">
        <x:v>1776</x:v>
      </x:c>
      <x:c r="G961" s="5" t="n">
        <x:v>0.092</x:v>
      </x:c>
      <x:c r="H961" s="5" t="n">
        <x:v>0.1458</x:v>
      </x:c>
      <x:c r="I961" s="5" t="n">
        <x:v>0.0167</x:v>
      </x:c>
      <x:c r="J961" s="4" t="n">
        <x:v>576</x:v>
      </x:c>
      <x:c r="K961" s="4" t="n">
        <x:v>53</x:v>
      </x:c>
      <x:c r="L961" s="4" t="n">
        <x:v>336</x:v>
      </x:c>
      <x:c r="M961" s="4" t="n">
        <x:v>49</x:v>
      </x:c>
      <x:c r="N961" s="4" t="n">
        <x:v>240</x:v>
      </x:c>
      <x:c r="O961" s="4" t="n">
        <x:v>4</x:v>
      </x:c>
      <x:c r="P961" s="1" t="str">
        <x:v>PASS</x:v>
      </x:c>
      <x:c r="Q961" s="4" t="n">
        <x:v>0</x:v>
      </x:c>
      <x:c r="R961" s="1" t="str">
        <x:v>PASS</x:v>
      </x:c>
      <x:c r="S961" s="4" t="n">
        <x:v>0</x:v>
      </x:c>
      <x:c r="T961" s="1" t="str">
        <x:v>NOT_REVEALING</x:v>
      </x:c>
      <x:c r="U961" s="1" t="str">
        <x:v>Closure_41</x:v>
      </x:c>
      <x:c r="V961" s="6" t="n">
        <x:v>61.59</x:v>
      </x:c>
    </x:row>
    <x:row r="962" ht="22" customHeight="1">
      <x:c r="A962" s="1" t="str">
        <x:v>Round2</x:v>
      </x:c>
      <x:c r="B962" s="1" t="str">
        <x:v>Closure</x:v>
      </x:c>
      <x:c r="C962" s="4" t="n">
        <x:v>42</x:v>
      </x:c>
      <x:c r="D962" s="4" t="n">
        <x:v>20260928</x:v>
      </x:c>
      <x:c r="E962" s="4" t="n">
        <x:v>60</x:v>
      </x:c>
      <x:c r="F962" s="4" t="n">
        <x:v>5</x:v>
      </x:c>
      <x:c r="G962" s="5" t="n">
        <x:v>0.0296</x:v>
      </x:c>
      <x:c r="H962" s="5" t="n">
        <x:v>0.0418</x:v>
      </x:c>
      <x:c r="I962" s="5" t="n">
        <x:v>0.0036</x:v>
      </x:c>
      <x:c r="J962" s="4" t="n">
        <x:v>877</x:v>
      </x:c>
      <x:c r="K962" s="4" t="n">
        <x:v>26</x:v>
      </x:c>
      <x:c r="L962" s="4" t="n">
        <x:v>598</x:v>
      </x:c>
      <x:c r="M962" s="4" t="n">
        <x:v>25</x:v>
      </x:c>
      <x:c r="N962" s="4" t="n">
        <x:v>279</x:v>
      </x:c>
      <x:c r="O962" s="4" t="n">
        <x:v>1</x:v>
      </x:c>
      <x:c r="P962" s="1" t="str">
        <x:v>PASS</x:v>
      </x:c>
      <x:c r="Q962" s="4" t="n">
        <x:v>0</x:v>
      </x:c>
      <x:c r="R962" s="1" t="str">
        <x:v>PASS</x:v>
      </x:c>
      <x:c r="S962" s="4" t="n">
        <x:v>0</x:v>
      </x:c>
      <x:c r="T962" s="1" t="str">
        <x:v>NOT_REVEALING</x:v>
      </x:c>
      <x:c r="U962" s="1" t="str">
        <x:v>Closure_42</x:v>
      </x:c>
      <x:c r="V962" s="6" t="n">
        <x:v>52.59</x:v>
      </x:c>
    </x:row>
    <x:row r="963" ht="22" customHeight="1">
      <x:c r="A963" s="1" t="str">
        <x:v>Round2</x:v>
      </x:c>
      <x:c r="B963" s="1" t="str">
        <x:v>Closure</x:v>
      </x:c>
      <x:c r="C963" s="4" t="n">
        <x:v>43</x:v>
      </x:c>
      <x:c r="D963" s="4" t="n">
        <x:v>20260928</x:v>
      </x:c>
      <x:c r="E963" s="4" t="n">
        <x:v>60</x:v>
      </x:c>
      <x:c r="F963" s="4" t="n">
        <x:v>11</x:v>
      </x:c>
      <x:c r="G963" s="5" t="n">
        <x:v>0.0168</x:v>
      </x:c>
      <x:c r="H963" s="5" t="n">
        <x:v>0.0297</x:v>
      </x:c>
      <x:c r="I963" s="5" t="n">
        <x:v>0</x:v>
      </x:c>
      <x:c r="J963" s="4" t="n">
        <x:v>1489</x:v>
      </x:c>
      <x:c r="K963" s="4" t="n">
        <x:v>25</x:v>
      </x:c>
      <x:c r="L963" s="4" t="n">
        <x:v>842</x:v>
      </x:c>
      <x:c r="M963" s="4" t="n">
        <x:v>25</x:v>
      </x:c>
      <x:c r="N963" s="4" t="n">
        <x:v>647</x:v>
      </x:c>
      <x:c r="O963" s="4" t="n">
        <x:v>0</x:v>
      </x:c>
      <x:c r="P963" s="1" t="str">
        <x:v>PASS</x:v>
      </x:c>
      <x:c r="Q963" s="4" t="n">
        <x:v>0</x:v>
      </x:c>
      <x:c r="R963" s="1" t="str">
        <x:v>PASS</x:v>
      </x:c>
      <x:c r="S963" s="4" t="n">
        <x:v>0</x:v>
      </x:c>
      <x:c r="T963" s="1" t="str">
        <x:v>NOT_REVEALING</x:v>
      </x:c>
      <x:c r="U963" s="1" t="str">
        <x:v>Closure_43</x:v>
      </x:c>
      <x:c r="V963" s="6" t="n">
        <x:v>52.17</x:v>
      </x:c>
    </x:row>
    <x:row r="964" ht="22" customHeight="1">
      <x:c r="A964" s="1" t="str">
        <x:v>Round2</x:v>
      </x:c>
      <x:c r="B964" s="1" t="str">
        <x:v>Closure</x:v>
      </x:c>
      <x:c r="C964" s="4" t="n">
        <x:v>44</x:v>
      </x:c>
      <x:c r="D964" s="4" t="n">
        <x:v>20260928</x:v>
      </x:c>
      <x:c r="E964" s="4" t="n">
        <x:v>60</x:v>
      </x:c>
      <x:c r="F964" s="4" t="n">
        <x:v>39</x:v>
      </x:c>
      <x:c r="G964" s="5" t="n">
        <x:v>0.0592</x:v>
      </x:c>
      <x:c r="H964" s="5" t="n">
        <x:v>0.0275</x:v>
      </x:c>
      <x:c r="I964" s="5" t="n">
        <x:v>0.1167</x:v>
      </x:c>
      <x:c r="J964" s="4" t="n">
        <x:v>169</x:v>
      </x:c>
      <x:c r="K964" s="4" t="n">
        <x:v>10</x:v>
      </x:c>
      <x:c r="L964" s="4" t="n">
        <x:v>109</x:v>
      </x:c>
      <x:c r="M964" s="4" t="n">
        <x:v>3</x:v>
      </x:c>
      <x:c r="N964" s="4" t="n">
        <x:v>60</x:v>
      </x:c>
      <x:c r="O964" s="4" t="n">
        <x:v>7</x:v>
      </x:c>
      <x:c r="P964" s="1" t="str">
        <x:v>PASS</x:v>
      </x:c>
      <x:c r="Q964" s="4" t="n">
        <x:v>0</x:v>
      </x:c>
      <x:c r="R964" s="1" t="str">
        <x:v>PASS</x:v>
      </x:c>
      <x:c r="S964" s="4" t="n">
        <x:v>0</x:v>
      </x:c>
      <x:c r="T964" s="1" t="str">
        <x:v>NOT_REVEALING</x:v>
      </x:c>
      <x:c r="U964" s="1" t="str">
        <x:v>Closure_44</x:v>
      </x:c>
      <x:c r="V964" s="6" t="n">
        <x:v>51.94</x:v>
      </x:c>
    </x:row>
    <x:row r="965" ht="22" customHeight="1">
      <x:c r="A965" s="1" t="str">
        <x:v>Round2</x:v>
      </x:c>
      <x:c r="B965" s="1" t="str">
        <x:v>Closure</x:v>
      </x:c>
      <x:c r="C965" s="4" t="n">
        <x:v>45</x:v>
      </x:c>
      <x:c r="D965" s="4" t="n">
        <x:v>20260928</x:v>
      </x:c>
      <x:c r="E965" s="4" t="n">
        <x:v>60</x:v>
      </x:c>
      <x:c r="F965" s="4" t="n">
        <x:v>9</x:v>
      </x:c>
      <x:c r="G965" s="5" t="n">
        <x:v>0.0195</x:v>
      </x:c>
      <x:c r="H965" s="5" t="n">
        <x:v>0.0339</x:v>
      </x:c>
      <x:c r="I965" s="5" t="n">
        <x:v>0</x:v>
      </x:c>
      <x:c r="J965" s="4" t="n">
        <x:v>665</x:v>
      </x:c>
      <x:c r="K965" s="4" t="n">
        <x:v>13</x:v>
      </x:c>
      <x:c r="L965" s="4" t="n">
        <x:v>384</x:v>
      </x:c>
      <x:c r="M965" s="4" t="n">
        <x:v>13</x:v>
      </x:c>
      <x:c r="N965" s="4" t="n">
        <x:v>281</x:v>
      </x:c>
      <x:c r="O965" s="4" t="n">
        <x:v>0</x:v>
      </x:c>
      <x:c r="P965" s="1" t="str">
        <x:v>PASS</x:v>
      </x:c>
      <x:c r="Q965" s="4" t="n">
        <x:v>0</x:v>
      </x:c>
      <x:c r="R965" s="1" t="str">
        <x:v>PASS</x:v>
      </x:c>
      <x:c r="S965" s="4" t="n">
        <x:v>0</x:v>
      </x:c>
      <x:c r="T965" s="1" t="str">
        <x:v>NOT_REVEALING</x:v>
      </x:c>
      <x:c r="U965" s="1" t="str">
        <x:v>Closure_45</x:v>
      </x:c>
      <x:c r="V965" s="6" t="n">
        <x:v>51.89</x:v>
      </x:c>
    </x:row>
    <x:row r="966" ht="22" customHeight="1">
      <x:c r="A966" s="1" t="str">
        <x:v>Round2</x:v>
      </x:c>
      <x:c r="B966" s="1" t="str">
        <x:v>Closure</x:v>
      </x:c>
      <x:c r="C966" s="4" t="n">
        <x:v>46</x:v>
      </x:c>
      <x:c r="D966" s="4" t="n">
        <x:v>20260928</x:v>
      </x:c>
      <x:c r="E966" s="4" t="n">
        <x:v>60</x:v>
      </x:c>
      <x:c r="F966" s="4" t="n">
        <x:v>1117</x:v>
      </x:c>
      <x:c r="G966" s="5" t="n">
        <x:v>0.0106</x:v>
      </x:c>
      <x:c r="H966" s="5" t="n">
        <x:v>0.0183</x:v>
      </x:c>
      <x:c r="I966" s="5" t="n">
        <x:v>0</x:v>
      </x:c>
      <x:c r="J966" s="4" t="n">
        <x:v>189</x:v>
      </x:c>
      <x:c r="K966" s="4" t="n">
        <x:v>2</x:v>
      </x:c>
      <x:c r="L966" s="4" t="n">
        <x:v>109</x:v>
      </x:c>
      <x:c r="M966" s="4" t="n">
        <x:v>2</x:v>
      </x:c>
      <x:c r="N966" s="4" t="n">
        <x:v>80</x:v>
      </x:c>
      <x:c r="O966" s="4" t="n">
        <x:v>0</x:v>
      </x:c>
      <x:c r="P966" s="1" t="str">
        <x:v>PASS</x:v>
      </x:c>
      <x:c r="Q966" s="4" t="n">
        <x:v>0</x:v>
      </x:c>
      <x:c r="R966" s="1" t="str">
        <x:v>PASS</x:v>
      </x:c>
      <x:c r="S966" s="4" t="n">
        <x:v>0</x:v>
      </x:c>
      <x:c r="T966" s="1" t="str">
        <x:v>NOT_REVEALING</x:v>
      </x:c>
      <x:c r="U966" s="1" t="str">
        <x:v>Closure_46</x:v>
      </x:c>
      <x:c r="V966" s="6" t="n">
        <x:v>57.01</x:v>
      </x:c>
    </x:row>
    <x:row r="967" ht="22" customHeight="1">
      <x:c r="A967" s="1" t="str">
        <x:v>Round2</x:v>
      </x:c>
      <x:c r="B967" s="1" t="str">
        <x:v>Closure</x:v>
      </x:c>
      <x:c r="C967" s="4" t="n">
        <x:v>47</x:v>
      </x:c>
      <x:c r="D967" s="4" t="n">
        <x:v>20260928</x:v>
      </x:c>
      <x:c r="E967" s="4" t="n">
        <x:v>60</x:v>
      </x:c>
      <x:c r="F967" s="4" t="n">
        <x:v>2106</x:v>
      </x:c>
      <x:c r="G967" s="5" t="n">
        <x:v>0.13269999999999998</x:v>
      </x:c>
      <x:c r="H967" s="5" t="n">
        <x:v>0.1844</x:v>
      </x:c>
      <x:c r="I967" s="5" t="n">
        <x:v>0.018500000000000003</x:v>
      </x:c>
      <x:c r="J967" s="4" t="n">
        <x:v>520</x:v>
      </x:c>
      <x:c r="K967" s="4" t="n">
        <x:v>69</x:v>
      </x:c>
      <x:c r="L967" s="4" t="n">
        <x:v>358</x:v>
      </x:c>
      <x:c r="M967" s="4" t="n">
        <x:v>66</x:v>
      </x:c>
      <x:c r="N967" s="4" t="n">
        <x:v>162</x:v>
      </x:c>
      <x:c r="O967" s="4" t="n">
        <x:v>3</x:v>
      </x:c>
      <x:c r="P967" s="1" t="str">
        <x:v>FAIL</x:v>
      </x:c>
      <x:c r="Q967" s="4" t="n">
        <x:v>988</x:v>
      </x:c>
      <x:c r="R967" s="1" t="str">
        <x:v>FAIL</x:v>
      </x:c>
      <x:c r="S967" s="4" t="n">
        <x:v>988</x:v>
      </x:c>
      <x:c r="T967" s="1" t="str">
        <x:v>INCONCLUSIVE</x:v>
      </x:c>
      <x:c r="U967" s="1" t="str">
        <x:v>Closure_47</x:v>
      </x:c>
      <x:c r="V967" s="6" t="n">
        <x:v>69.85</x:v>
      </x:c>
    </x:row>
    <x:row r="968" ht="22" customHeight="1">
      <x:c r="A968" s="1" t="str">
        <x:v>Round2</x:v>
      </x:c>
      <x:c r="B968" s="1" t="str">
        <x:v>Closure</x:v>
      </x:c>
      <x:c r="C968" s="4" t="n">
        <x:v>48</x:v>
      </x:c>
      <x:c r="D968" s="4" t="n">
        <x:v>20260928</x:v>
      </x:c>
      <x:c r="E968" s="4" t="n">
        <x:v>60</x:v>
      </x:c>
      <x:c r="F968" s="4" t="n">
        <x:v>11</x:v>
      </x:c>
      <x:c r="G968" s="5" t="n">
        <x:v>0.017</x:v>
      </x:c>
      <x:c r="H968" s="5" t="n">
        <x:v>0.03</x:v>
      </x:c>
      <x:c r="I968" s="5" t="n">
        <x:v>0</x:v>
      </x:c>
      <x:c r="J968" s="4" t="n">
        <x:v>1473</x:v>
      </x:c>
      <x:c r="K968" s="4" t="n">
        <x:v>25</x:v>
      </x:c>
      <x:c r="L968" s="4" t="n">
        <x:v>832</x:v>
      </x:c>
      <x:c r="M968" s="4" t="n">
        <x:v>25</x:v>
      </x:c>
      <x:c r="N968" s="4" t="n">
        <x:v>641</x:v>
      </x:c>
      <x:c r="O968" s="4" t="n">
        <x:v>0</x:v>
      </x:c>
      <x:c r="P968" s="1" t="str">
        <x:v>PASS</x:v>
      </x:c>
      <x:c r="Q968" s="4" t="n">
        <x:v>0</x:v>
      </x:c>
      <x:c r="R968" s="1" t="str">
        <x:v>PASS</x:v>
      </x:c>
      <x:c r="S968" s="4" t="n">
        <x:v>0</x:v>
      </x:c>
      <x:c r="T968" s="1" t="str">
        <x:v>NOT_REVEALING</x:v>
      </x:c>
      <x:c r="U968" s="1" t="str">
        <x:v>Closure_48</x:v>
      </x:c>
      <x:c r="V968" s="6" t="n">
        <x:v>53.4</x:v>
      </x:c>
    </x:row>
    <x:row r="969" ht="22" customHeight="1">
      <x:c r="A969" s="1" t="str">
        <x:v>Round2</x:v>
      </x:c>
      <x:c r="B969" s="1" t="str">
        <x:v>Closure</x:v>
      </x:c>
      <x:c r="C969" s="4" t="n">
        <x:v>49</x:v>
      </x:c>
      <x:c r="D969" s="4" t="n">
        <x:v>20260928</x:v>
      </x:c>
      <x:c r="E969" s="4" t="n">
        <x:v>60</x:v>
      </x:c>
      <x:c r="F969" s="4" t="n">
        <x:v>1794</x:v>
      </x:c>
      <x:c r="G969" s="5" t="n">
        <x:v>0.30870000000000003</x:v>
      </x:c>
      <x:c r="H969" s="5" t="n">
        <x:v>0.3782</x:v>
      </x:c>
      <x:c r="I969" s="5" t="n">
        <x:v>0.18100000000000002</x:v>
      </x:c>
      <x:c r="J969" s="4" t="n">
        <x:v>298</x:v>
      </x:c>
      <x:c r="K969" s="4" t="n">
        <x:v>92</x:v>
      </x:c>
      <x:c r="L969" s="4" t="n">
        <x:v>193</x:v>
      </x:c>
      <x:c r="M969" s="4" t="n">
        <x:v>73</x:v>
      </x:c>
      <x:c r="N969" s="4" t="n">
        <x:v>105</x:v>
      </x:c>
      <x:c r="O969" s="4" t="n">
        <x:v>19</x:v>
      </x:c>
      <x:c r="P969" s="1" t="str">
        <x:v>PASS</x:v>
      </x:c>
      <x:c r="Q969" s="4" t="n">
        <x:v>0</x:v>
      </x:c>
      <x:c r="R969" s="1" t="str">
        <x:v>PASS</x:v>
      </x:c>
      <x:c r="S969" s="4" t="n">
        <x:v>0</x:v>
      </x:c>
      <x:c r="T969" s="1" t="str">
        <x:v>NOT_REVEALING</x:v>
      </x:c>
      <x:c r="U969" s="1" t="str">
        <x:v>Closure_49</x:v>
      </x:c>
      <x:c r="V969" s="6" t="n">
        <x:v>62.87</x:v>
      </x:c>
    </x:row>
    <x:row r="970" ht="22" customHeight="1">
      <x:c r="A970" s="1" t="str">
        <x:v>Round2</x:v>
      </x:c>
      <x:c r="B970" s="1" t="str">
        <x:v>Closure</x:v>
      </x:c>
      <x:c r="C970" s="4" t="n">
        <x:v>50</x:v>
      </x:c>
      <x:c r="D970" s="4" t="n">
        <x:v>20260928</x:v>
      </x:c>
      <x:c r="E970" s="4" t="n">
        <x:v>60</x:v>
      </x:c>
      <x:c r="F970" s="4" t="n">
        <x:v>3</x:v>
      </x:c>
      <x:c r="G970" s="5" t="n">
        <x:v>0.0054</x:v>
      </x:c>
      <x:c r="H970" s="5" t="n">
        <x:v>0.0097</x:v>
      </x:c>
      <x:c r="I970" s="5" t="n">
        <x:v>0</x:v>
      </x:c>
      <x:c r="J970" s="4" t="n">
        <x:v>553</x:v>
      </x:c>
      <x:c r="K970" s="4" t="n">
        <x:v>3</x:v>
      </x:c>
      <x:c r="L970" s="4" t="n">
        <x:v>308</x:v>
      </x:c>
      <x:c r="M970" s="4" t="n">
        <x:v>3</x:v>
      </x:c>
      <x:c r="N970" s="4" t="n">
        <x:v>245</x:v>
      </x:c>
      <x:c r="O970" s="4" t="n">
        <x:v>0</x:v>
      </x:c>
      <x:c r="P970" s="1" t="str">
        <x:v>PASS</x:v>
      </x:c>
      <x:c r="Q970" s="4" t="n">
        <x:v>0</x:v>
      </x:c>
      <x:c r="R970" s="1" t="str">
        <x:v>PASS</x:v>
      </x:c>
      <x:c r="S970" s="4" t="n">
        <x:v>0</x:v>
      </x:c>
      <x:c r="T970" s="1" t="str">
        <x:v>NOT_REVEALING</x:v>
      </x:c>
      <x:c r="U970" s="1" t="str">
        <x:v>Closure_50</x:v>
      </x:c>
      <x:c r="V970" s="6" t="n">
        <x:v>52.51</x:v>
      </x:c>
    </x:row>
    <x:row r="971" ht="22" customHeight="1">
      <x:c r="A971" s="1" t="str">
        <x:v>Round2</x:v>
      </x:c>
      <x:c r="B971" s="1" t="str">
        <x:v>Closure</x:v>
      </x:c>
      <x:c r="C971" s="4" t="n">
        <x:v>51</x:v>
      </x:c>
      <x:c r="D971" s="4" t="n">
        <x:v>20260928</x:v>
      </x:c>
      <x:c r="E971" s="4" t="n">
        <x:v>60</x:v>
      </x:c>
      <x:c r="F971" s="4" t="n">
        <x:v>5</x:v>
      </x:c>
      <x:c r="G971" s="5" t="n">
        <x:v>0.037000000000000005</x:v>
      </x:c>
      <x:c r="H971" s="5" t="n">
        <x:v>0.018500000000000003</x:v>
      </x:c>
      <x:c r="I971" s="5" t="n">
        <x:v>0.0741</x:v>
      </x:c>
      <x:c r="J971" s="4" t="n">
        <x:v>162</x:v>
      </x:c>
      <x:c r="K971" s="4" t="n">
        <x:v>6</x:v>
      </x:c>
      <x:c r="L971" s="4" t="n">
        <x:v>108</x:v>
      </x:c>
      <x:c r="M971" s="4" t="n">
        <x:v>2</x:v>
      </x:c>
      <x:c r="N971" s="4" t="n">
        <x:v>54</x:v>
      </x:c>
      <x:c r="O971" s="4" t="n">
        <x:v>4</x:v>
      </x:c>
      <x:c r="P971" s="1" t="str">
        <x:v>PASS</x:v>
      </x:c>
      <x:c r="Q971" s="4" t="n">
        <x:v>0</x:v>
      </x:c>
      <x:c r="R971" s="1" t="str">
        <x:v>PASS</x:v>
      </x:c>
      <x:c r="S971" s="4" t="n">
        <x:v>0</x:v>
      </x:c>
      <x:c r="T971" s="1" t="str">
        <x:v>NOT_REVEALING</x:v>
      </x:c>
      <x:c r="U971" s="1" t="str">
        <x:v>Closure_51</x:v>
      </x:c>
      <x:c r="V971" s="6" t="n">
        <x:v>54.03</x:v>
      </x:c>
    </x:row>
    <x:row r="972" ht="22" customHeight="1">
      <x:c r="A972" s="1" t="str">
        <x:v>Round2</x:v>
      </x:c>
      <x:c r="B972" s="1" t="str">
        <x:v>Closure</x:v>
      </x:c>
      <x:c r="C972" s="4" t="n">
        <x:v>52</x:v>
      </x:c>
      <x:c r="D972" s="4" t="n">
        <x:v>20260928</x:v>
      </x:c>
      <x:c r="E972" s="4" t="n">
        <x:v>60</x:v>
      </x:c>
      <x:c r="F972" s="4" t="n">
        <x:v>2348</x:v>
      </x:c>
      <x:c r="G972" s="5" t="n">
        <x:v>0.1061</x:v>
      </x:c>
      <x:c r="H972" s="5" t="n">
        <x:v>0.13449999999999998</x:v>
      </x:c>
      <x:c r="I972" s="5" t="n">
        <x:v>0.0687</x:v>
      </x:c>
      <x:c r="J972" s="4" t="n">
        <x:v>1046</x:v>
      </x:c>
      <x:c r="K972" s="4" t="n">
        <x:v>111</x:v>
      </x:c>
      <x:c r="L972" s="4" t="n">
        <x:v>595</x:v>
      </x:c>
      <x:c r="M972" s="4" t="n">
        <x:v>80</x:v>
      </x:c>
      <x:c r="N972" s="4" t="n">
        <x:v>451</x:v>
      </x:c>
      <x:c r="O972" s="4" t="n">
        <x:v>31</x:v>
      </x:c>
      <x:c r="P972" s="1" t="str">
        <x:v>PASS</x:v>
      </x:c>
      <x:c r="Q972" s="4" t="n">
        <x:v>0</x:v>
      </x:c>
      <x:c r="R972" s="1" t="str">
        <x:v>PASS</x:v>
      </x:c>
      <x:c r="S972" s="4" t="n">
        <x:v>0</x:v>
      </x:c>
      <x:c r="T972" s="1" t="str">
        <x:v>NOT_REVEALING</x:v>
      </x:c>
      <x:c r="U972" s="1" t="str">
        <x:v>Closure_52</x:v>
      </x:c>
      <x:c r="V972" s="6" t="n">
        <x:v>67.51</x:v>
      </x:c>
    </x:row>
    <x:row r="973" ht="22" customHeight="1">
      <x:c r="A973" s="1" t="str">
        <x:v>Round2</x:v>
      </x:c>
      <x:c r="B973" s="1" t="str">
        <x:v>Closure</x:v>
      </x:c>
      <x:c r="C973" s="4" t="n">
        <x:v>53</x:v>
      </x:c>
      <x:c r="D973" s="4" t="n">
        <x:v>20260928</x:v>
      </x:c>
      <x:c r="E973" s="4" t="n">
        <x:v>60</x:v>
      </x:c>
      <x:c r="F973" s="4" t="n">
        <x:v>4</x:v>
      </x:c>
      <x:c r="G973" s="5" t="n">
        <x:v>0.028399999999999998</x:v>
      </x:c>
      <x:c r="H973" s="5" t="n">
        <x:v>0.0471</x:v>
      </x:c>
      <x:c r="I973" s="5" t="n">
        <x:v>0</x:v>
      </x:c>
      <x:c r="J973" s="4" t="n">
        <x:v>282</x:v>
      </x:c>
      <x:c r="K973" s="4" t="n">
        <x:v>8</x:v>
      </x:c>
      <x:c r="L973" s="4" t="n">
        <x:v>170</x:v>
      </x:c>
      <x:c r="M973" s="4" t="n">
        <x:v>8</x:v>
      </x:c>
      <x:c r="N973" s="4" t="n">
        <x:v>112</x:v>
      </x:c>
      <x:c r="O973" s="4" t="n">
        <x:v>0</x:v>
      </x:c>
      <x:c r="P973" s="1" t="str">
        <x:v>PASS</x:v>
      </x:c>
      <x:c r="Q973" s="4" t="n">
        <x:v>0</x:v>
      </x:c>
      <x:c r="R973" s="1" t="str">
        <x:v>PASS</x:v>
      </x:c>
      <x:c r="S973" s="4" t="n">
        <x:v>0</x:v>
      </x:c>
      <x:c r="T973" s="1" t="str">
        <x:v>NOT_REVEALING</x:v>
      </x:c>
      <x:c r="U973" s="1" t="str">
        <x:v>Closure_53</x:v>
      </x:c>
      <x:c r="V973" s="6" t="n">
        <x:v>55.67</x:v>
      </x:c>
    </x:row>
    <x:row r="974" ht="22" customHeight="1">
      <x:c r="A974" s="1" t="str">
        <x:v>Round2</x:v>
      </x:c>
      <x:c r="B974" s="1" t="str">
        <x:v>Closure</x:v>
      </x:c>
      <x:c r="C974" s="4" t="n">
        <x:v>54</x:v>
      </x:c>
      <x:c r="D974" s="4" t="n">
        <x:v>20260928</x:v>
      </x:c>
      <x:c r="E974" s="4" t="n">
        <x:v>60</x:v>
      </x:c>
      <x:c r="F974" s="4" t="n">
        <x:v>1726</x:v>
      </x:c>
      <x:c r="G974" s="5" t="n">
        <x:v>0.011899999999999999</x:v>
      </x:c>
      <x:c r="H974" s="5" t="n">
        <x:v>0.021</x:v>
      </x:c>
      <x:c r="I974" s="5" t="n">
        <x:v>0</x:v>
      </x:c>
      <x:c r="J974" s="4" t="n">
        <x:v>2100</x:v>
      </x:c>
      <x:c r="K974" s="4" t="n">
        <x:v>25</x:v>
      </x:c>
      <x:c r="L974" s="4" t="n">
        <x:v>1190</x:v>
      </x:c>
      <x:c r="M974" s="4" t="n">
        <x:v>25</x:v>
      </x:c>
      <x:c r="N974" s="4" t="n">
        <x:v>910</x:v>
      </x:c>
      <x:c r="O974" s="4" t="n">
        <x:v>0</x:v>
      </x:c>
      <x:c r="P974" s="1" t="str">
        <x:v>PASS</x:v>
      </x:c>
      <x:c r="Q974" s="4" t="n">
        <x:v>0</x:v>
      </x:c>
      <x:c r="R974" s="1" t="str">
        <x:v>PASS</x:v>
      </x:c>
      <x:c r="S974" s="4" t="n">
        <x:v>0</x:v>
      </x:c>
      <x:c r="T974" s="1" t="str">
        <x:v>NOT_REVEALING</x:v>
      </x:c>
      <x:c r="U974" s="1" t="str">
        <x:v>Closure_54</x:v>
      </x:c>
      <x:c r="V974" s="6" t="n">
        <x:v>60.4</x:v>
      </x:c>
    </x:row>
    <x:row r="975" ht="22" customHeight="1">
      <x:c r="A975" s="1" t="str">
        <x:v>Round2</x:v>
      </x:c>
      <x:c r="B975" s="1" t="str">
        <x:v>Closure</x:v>
      </x:c>
      <x:c r="C975" s="4" t="n">
        <x:v>55</x:v>
      </x:c>
      <x:c r="D975" s="4" t="n">
        <x:v>20260928</x:v>
      </x:c>
      <x:c r="E975" s="4" t="n">
        <x:v>60</x:v>
      </x:c>
      <x:c r="F975" s="4" t="n">
        <x:v>4</x:v>
      </x:c>
      <x:c r="G975" s="5" t="n">
        <x:v>0.0812</x:v>
      </x:c>
      <x:c r="H975" s="5" t="n">
        <x:v>0.12179999999999999</x:v>
      </x:c>
      <x:c r="I975" s="5" t="n">
        <x:v>0</x:v>
      </x:c>
      <x:c r="J975" s="4" t="n">
        <x:v>234</x:v>
      </x:c>
      <x:c r="K975" s="4" t="n">
        <x:v>19</x:v>
      </x:c>
      <x:c r="L975" s="4" t="n">
        <x:v>156</x:v>
      </x:c>
      <x:c r="M975" s="4" t="n">
        <x:v>19</x:v>
      </x:c>
      <x:c r="N975" s="4" t="n">
        <x:v>78</x:v>
      </x:c>
      <x:c r="O975" s="4" t="n">
        <x:v>0</x:v>
      </x:c>
      <x:c r="P975" s="1" t="str">
        <x:v>PASS</x:v>
      </x:c>
      <x:c r="Q975" s="4" t="n">
        <x:v>0</x:v>
      </x:c>
      <x:c r="R975" s="1" t="str">
        <x:v>PASS</x:v>
      </x:c>
      <x:c r="S975" s="4" t="n">
        <x:v>0</x:v>
      </x:c>
      <x:c r="T975" s="1" t="str">
        <x:v>NOT_REVEALING</x:v>
      </x:c>
      <x:c r="U975" s="1" t="str">
        <x:v>Closure_55</x:v>
      </x:c>
      <x:c r="V975" s="6" t="n">
        <x:v>53.79</x:v>
      </x:c>
    </x:row>
    <x:row r="976" ht="22" customHeight="1">
      <x:c r="A976" s="1" t="str">
        <x:v>Round2</x:v>
      </x:c>
      <x:c r="B976" s="1" t="str">
        <x:v>Closure</x:v>
      </x:c>
      <x:c r="C976" s="4" t="n">
        <x:v>56</x:v>
      </x:c>
      <x:c r="D976" s="4" t="n">
        <x:v>20260928</x:v>
      </x:c>
      <x:c r="E976" s="4" t="n">
        <x:v>60</x:v>
      </x:c>
      <x:c r="F976" s="4" t="n">
        <x:v>1776</x:v>
      </x:c>
      <x:c r="G976" s="5" t="n">
        <x:v>0.8316</x:v>
      </x:c>
      <x:c r="H976" s="5" t="n">
        <x:v>0.8662000000000001</x:v>
      </x:c>
      <x:c r="I976" s="5" t="n">
        <x:v>0.7292000000000001</x:v>
      </x:c>
      <x:c r="J976" s="4" t="n">
        <x:v>190</x:v>
      </x:c>
      <x:c r="K976" s="4" t="n">
        <x:v>158</x:v>
      </x:c>
      <x:c r="L976" s="4" t="n">
        <x:v>142</x:v>
      </x:c>
      <x:c r="M976" s="4" t="n">
        <x:v>123</x:v>
      </x:c>
      <x:c r="N976" s="4" t="n">
        <x:v>48</x:v>
      </x:c>
      <x:c r="O976" s="4" t="n">
        <x:v>35</x:v>
      </x:c>
      <x:c r="P976" s="1" t="str">
        <x:v>FAIL</x:v>
      </x:c>
      <x:c r="Q976" s="4" t="n">
        <x:v>2</x:v>
      </x:c>
      <x:c r="R976" s="1" t="str">
        <x:v>FAIL</x:v>
      </x:c>
      <x:c r="S976" s="4" t="n">
        <x:v>30</x:v>
      </x:c>
      <x:c r="T976" s="1" t="str">
        <x:v>INCONCLUSIVE</x:v>
      </x:c>
      <x:c r="U976" s="1" t="str">
        <x:v>Closure_56</x:v>
      </x:c>
      <x:c r="V976" s="6" t="n">
        <x:v>61.07</x:v>
      </x:c>
    </x:row>
    <x:row r="977" ht="22" customHeight="1">
      <x:c r="A977" s="1" t="str">
        <x:v>Round2</x:v>
      </x:c>
      <x:c r="B977" s="1" t="str">
        <x:v>Closure</x:v>
      </x:c>
      <x:c r="C977" s="4" t="n">
        <x:v>57</x:v>
      </x:c>
      <x:c r="D977" s="4" t="n">
        <x:v>20260928</x:v>
      </x:c>
      <x:c r="E977" s="4" t="n">
        <x:v>60</x:v>
      </x:c>
      <x:c r="F977" s="4" t="n">
        <x:v>1730</x:v>
      </x:c>
      <x:c r="G977" s="5" t="n">
        <x:v>0.113</x:v>
      </x:c>
      <x:c r="H977" s="5" t="n">
        <x:v>0.18710000000000002</x:v>
      </x:c>
      <x:c r="I977" s="5" t="n">
        <x:v>0.01</x:v>
      </x:c>
      <x:c r="J977" s="4" t="n">
        <x:v>239</x:v>
      </x:c>
      <x:c r="K977" s="4" t="n">
        <x:v>27</x:v>
      </x:c>
      <x:c r="L977" s="4" t="n">
        <x:v>139</x:v>
      </x:c>
      <x:c r="M977" s="4" t="n">
        <x:v>26</x:v>
      </x:c>
      <x:c r="N977" s="4" t="n">
        <x:v>100</x:v>
      </x:c>
      <x:c r="O977" s="4" t="n">
        <x:v>1</x:v>
      </x:c>
      <x:c r="P977" s="1" t="str">
        <x:v>PASS</x:v>
      </x:c>
      <x:c r="Q977" s="4" t="n">
        <x:v>0</x:v>
      </x:c>
      <x:c r="R977" s="1" t="str">
        <x:v>PASS</x:v>
      </x:c>
      <x:c r="S977" s="4" t="n">
        <x:v>0</x:v>
      </x:c>
      <x:c r="T977" s="1" t="str">
        <x:v>NOT_REVEALING</x:v>
      </x:c>
      <x:c r="U977" s="1" t="str">
        <x:v>Closure_57</x:v>
      </x:c>
      <x:c r="V977" s="6" t="n">
        <x:v>64.71</x:v>
      </x:c>
    </x:row>
    <x:row r="978" ht="22" customHeight="1">
      <x:c r="A978" s="1" t="str">
        <x:v>Round2</x:v>
      </x:c>
      <x:c r="B978" s="1" t="str">
        <x:v>Closure</x:v>
      </x:c>
      <x:c r="C978" s="4" t="n">
        <x:v>58</x:v>
      </x:c>
      <x:c r="D978" s="4" t="n">
        <x:v>20260928</x:v>
      </x:c>
      <x:c r="E978" s="4" t="n">
        <x:v>60</x:v>
      </x:c>
      <x:c r="F978" s="4" t="n">
        <x:v>4</x:v>
      </x:c>
      <x:c r="G978" s="5" t="n">
        <x:v>0.0192</x:v>
      </x:c>
      <x:c r="H978" s="5" t="n">
        <x:v>0.0288</x:v>
      </x:c>
      <x:c r="I978" s="5" t="n">
        <x:v>0</x:v>
      </x:c>
      <x:c r="J978" s="4" t="n">
        <x:v>156</x:v>
      </x:c>
      <x:c r="K978" s="4" t="n">
        <x:v>3</x:v>
      </x:c>
      <x:c r="L978" s="4" t="n">
        <x:v>104</x:v>
      </x:c>
      <x:c r="M978" s="4" t="n">
        <x:v>3</x:v>
      </x:c>
      <x:c r="N978" s="4" t="n">
        <x:v>52</x:v>
      </x:c>
      <x:c r="O978" s="4" t="n">
        <x:v>0</x:v>
      </x:c>
      <x:c r="P978" s="1" t="str">
        <x:v>PASS</x:v>
      </x:c>
      <x:c r="Q978" s="4" t="n">
        <x:v>0</x:v>
      </x:c>
      <x:c r="R978" s="1" t="str">
        <x:v>PASS</x:v>
      </x:c>
      <x:c r="S978" s="4" t="n">
        <x:v>0</x:v>
      </x:c>
      <x:c r="T978" s="1" t="str">
        <x:v>NOT_REVEALING</x:v>
      </x:c>
      <x:c r="U978" s="1" t="str">
        <x:v>Closure_58</x:v>
      </x:c>
      <x:c r="V978" s="6" t="n">
        <x:v>52.2</x:v>
      </x:c>
    </x:row>
    <x:row r="979" ht="22" customHeight="1">
      <x:c r="A979" s="1" t="str">
        <x:v>Round2</x:v>
      </x:c>
      <x:c r="B979" s="1" t="str">
        <x:v>Closure</x:v>
      </x:c>
      <x:c r="C979" s="4" t="n">
        <x:v>59</x:v>
      </x:c>
      <x:c r="D979" s="4" t="n">
        <x:v>20260928</x:v>
      </x:c>
      <x:c r="E979" s="4" t="n">
        <x:v>60</x:v>
      </x:c>
      <x:c r="F979" s="4" t="n">
        <x:v>1498</x:v>
      </x:c>
      <x:c r="G979" s="5" t="n">
        <x:v>0.40909999999999996</x:v>
      </x:c>
      <x:c r="H979" s="5" t="n">
        <x:v>0.43979999999999997</x:v>
      </x:c>
      <x:c r="I979" s="5" t="n">
        <x:v>0.3333</x:v>
      </x:c>
      <x:c r="J979" s="4" t="n">
        <x:v>1144</x:v>
      </x:c>
      <x:c r="K979" s="4" t="n">
        <x:v>468</x:v>
      </x:c>
      <x:c r="L979" s="4" t="n">
        <x:v>814</x:v>
      </x:c>
      <x:c r="M979" s="4" t="n">
        <x:v>358</x:v>
      </x:c>
      <x:c r="N979" s="4" t="n">
        <x:v>330</x:v>
      </x:c>
      <x:c r="O979" s="4" t="n">
        <x:v>110</x:v>
      </x:c>
      <x:c r="P979" s="1" t="str">
        <x:v>FAIL</x:v>
      </x:c>
      <x:c r="Q979" s="4" t="n">
        <x:v>174</x:v>
      </x:c>
      <x:c r="R979" s="1" t="str">
        <x:v>FAIL</x:v>
      </x:c>
      <x:c r="S979" s="4" t="n">
        <x:v>174</x:v>
      </x:c>
      <x:c r="T979" s="1" t="str">
        <x:v>INCONCLUSIVE</x:v>
      </x:c>
      <x:c r="U979" s="1" t="str">
        <x:v>Closure_59</x:v>
      </x:c>
      <x:c r="V979" s="6" t="n">
        <x:v>70.88</x:v>
      </x:c>
    </x:row>
    <x:row r="980" ht="22" customHeight="1">
      <x:c r="A980" s="1" t="str">
        <x:v>Round2</x:v>
      </x:c>
      <x:c r="B980" s="1" t="str">
        <x:v>Closure</x:v>
      </x:c>
      <x:c r="C980" s="4" t="n">
        <x:v>60</x:v>
      </x:c>
      <x:c r="D980" s="4" t="n">
        <x:v>20260928</x:v>
      </x:c>
      <x:c r="E980" s="4" t="n">
        <x:v>60</x:v>
      </x:c>
      <x:c r="F980" s="4" t="n">
        <x:v>2012</x:v>
      </x:c>
      <x:c r="G980" s="5" t="n">
        <x:v>0.3864</x:v>
      </x:c>
      <x:c r="H980" s="5" t="n">
        <x:v>0.47009999999999996</x:v>
      </x:c>
      <x:c r="I980" s="5" t="n">
        <x:v>0.3016</x:v>
      </x:c>
      <x:c r="J980" s="4" t="n">
        <x:v>1861</x:v>
      </x:c>
      <x:c r="K980" s="4" t="n">
        <x:v>719</x:v>
      </x:c>
      <x:c r="L980" s="4" t="n">
        <x:v>936</x:v>
      </x:c>
      <x:c r="M980" s="4" t="n">
        <x:v>440</x:v>
      </x:c>
      <x:c r="N980" s="4" t="n">
        <x:v>925</x:v>
      </x:c>
      <x:c r="O980" s="4" t="n">
        <x:v>279</x:v>
      </x:c>
      <x:c r="P980" s="1" t="str">
        <x:v>PASS</x:v>
      </x:c>
      <x:c r="Q980" s="4" t="n">
        <x:v>0</x:v>
      </x:c>
      <x:c r="R980" s="1" t="str">
        <x:v>PASS</x:v>
      </x:c>
      <x:c r="S980" s="4" t="n">
        <x:v>0</x:v>
      </x:c>
      <x:c r="T980" s="1" t="str">
        <x:v>NOT_REVEALING</x:v>
      </x:c>
      <x:c r="U980" s="1" t="str">
        <x:v>Closure_60</x:v>
      </x:c>
      <x:c r="V980" s="6" t="n">
        <x:v>71.98</x:v>
      </x:c>
    </x:row>
    <x:row r="981" ht="22" customHeight="1">
      <x:c r="A981" s="1" t="str">
        <x:v>Round2</x:v>
      </x:c>
      <x:c r="B981" s="1" t="str">
        <x:v>Closure</x:v>
      </x:c>
      <x:c r="C981" s="4" t="n">
        <x:v>61</x:v>
      </x:c>
      <x:c r="D981" s="4" t="n">
        <x:v>20260928</x:v>
      </x:c>
      <x:c r="E981" s="4" t="n">
        <x:v>60</x:v>
      </x:c>
      <x:c r="F981" s="4" t="n">
        <x:v>2009</x:v>
      </x:c>
      <x:c r="G981" s="5" t="n">
        <x:v>0.3882</x:v>
      </x:c>
      <x:c r="H981" s="5" t="n">
        <x:v>0.4721</x:v>
      </x:c>
      <x:c r="I981" s="5" t="n">
        <x:v>0.30329999999999996</x:v>
      </x:c>
      <x:c r="J981" s="4" t="n">
        <x:v>1852</x:v>
      </x:c>
      <x:c r="K981" s="4" t="n">
        <x:v>719</x:v>
      </x:c>
      <x:c r="L981" s="4" t="n">
        <x:v>932</x:v>
      </x:c>
      <x:c r="M981" s="4" t="n">
        <x:v>440</x:v>
      </x:c>
      <x:c r="N981" s="4" t="n">
        <x:v>920</x:v>
      </x:c>
      <x:c r="O981" s="4" t="n">
        <x:v>279</x:v>
      </x:c>
      <x:c r="P981" s="1" t="str">
        <x:v>PASS</x:v>
      </x:c>
      <x:c r="Q981" s="4" t="n">
        <x:v>0</x:v>
      </x:c>
      <x:c r="R981" s="1" t="str">
        <x:v>PASS</x:v>
      </x:c>
      <x:c r="S981" s="4" t="n">
        <x:v>0</x:v>
      </x:c>
      <x:c r="T981" s="1" t="str">
        <x:v>NOT_REVEALING</x:v>
      </x:c>
      <x:c r="U981" s="1" t="str">
        <x:v>Closure_61</x:v>
      </x:c>
      <x:c r="V981" s="6" t="n">
        <x:v>73.66</x:v>
      </x:c>
    </x:row>
    <x:row r="982" ht="22" customHeight="1">
      <x:c r="A982" s="1" t="str">
        <x:v>Round2</x:v>
      </x:c>
      <x:c r="B982" s="1" t="str">
        <x:v>Closure</x:v>
      </x:c>
      <x:c r="C982" s="4" t="n">
        <x:v>62</x:v>
      </x:c>
      <x:c r="D982" s="4" t="n">
        <x:v>20260928</x:v>
      </x:c>
      <x:c r="E982" s="4" t="n">
        <x:v>60</x:v>
      </x:c>
      <x:c r="F982" s="4" t="n">
        <x:v>1812</x:v>
      </x:c>
      <x:c r="G982" s="5" t="n">
        <x:v>0.1887</x:v>
      </x:c>
      <x:c r="H982" s="5" t="n">
        <x:v>0.2432</x:v>
      </x:c>
      <x:c r="I982" s="5" t="n">
        <x:v>0.0625</x:v>
      </x:c>
      <x:c r="J982" s="4" t="n">
        <x:v>106</x:v>
      </x:c>
      <x:c r="K982" s="4" t="n">
        <x:v>20</x:v>
      </x:c>
      <x:c r="L982" s="4" t="n">
        <x:v>74</x:v>
      </x:c>
      <x:c r="M982" s="4" t="n">
        <x:v>18</x:v>
      </x:c>
      <x:c r="N982" s="4" t="n">
        <x:v>32</x:v>
      </x:c>
      <x:c r="O982" s="4" t="n">
        <x:v>2</x:v>
      </x:c>
      <x:c r="P982" s="1" t="str">
        <x:v>PASS</x:v>
      </x:c>
      <x:c r="Q982" s="4" t="n">
        <x:v>0</x:v>
      </x:c>
      <x:c r="R982" s="1" t="str">
        <x:v>PASS</x:v>
      </x:c>
      <x:c r="S982" s="4" t="n">
        <x:v>0</x:v>
      </x:c>
      <x:c r="T982" s="1" t="str">
        <x:v>NOT_REVEALING</x:v>
      </x:c>
      <x:c r="U982" s="1" t="str">
        <x:v>Closure_62</x:v>
      </x:c>
      <x:c r="V982" s="6" t="n">
        <x:v>58.38</x:v>
      </x:c>
    </x:row>
    <x:row r="983" ht="22" customHeight="1">
      <x:c r="A983" s="1" t="str">
        <x:v>Round2</x:v>
      </x:c>
      <x:c r="B983" s="1" t="str">
        <x:v>Closure</x:v>
      </x:c>
      <x:c r="C983" s="4" t="n">
        <x:v>64</x:v>
      </x:c>
      <x:c r="D983" s="4" t="n">
        <x:v>20260928</x:v>
      </x:c>
      <x:c r="E983" s="4" t="n">
        <x:v>60</x:v>
      </x:c>
      <x:c r="F983" s="4" t="n">
        <x:v>1705</x:v>
      </x:c>
      <x:c r="G983" s="5" t="n">
        <x:v>0.40700000000000003</x:v>
      </x:c>
      <x:c r="H983" s="5" t="n">
        <x:v>0.4313</x:v>
      </x:c>
      <x:c r="I983" s="5" t="n">
        <x:v>0.3469</x:v>
      </x:c>
      <x:c r="J983" s="4" t="n">
        <x:v>1113</x:v>
      </x:c>
      <x:c r="K983" s="4" t="n">
        <x:v>453</x:v>
      </x:c>
      <x:c r="L983" s="4" t="n">
        <x:v>793</x:v>
      </x:c>
      <x:c r="M983" s="4" t="n">
        <x:v>342</x:v>
      </x:c>
      <x:c r="N983" s="4" t="n">
        <x:v>320</x:v>
      </x:c>
      <x:c r="O983" s="4" t="n">
        <x:v>111</x:v>
      </x:c>
      <x:c r="P983" s="1" t="str">
        <x:v>FAIL</x:v>
      </x:c>
      <x:c r="Q983" s="4" t="n">
        <x:v>276</x:v>
      </x:c>
      <x:c r="R983" s="1" t="str">
        <x:v>FAIL</x:v>
      </x:c>
      <x:c r="S983" s="4" t="n">
        <x:v>276</x:v>
      </x:c>
      <x:c r="T983" s="1" t="str">
        <x:v>INCONCLUSIVE</x:v>
      </x:c>
      <x:c r="U983" s="1" t="str">
        <x:v>Closure_64</x:v>
      </x:c>
      <x:c r="V983" s="6" t="n">
        <x:v>60.88</x:v>
      </x:c>
    </x:row>
    <x:row r="984" ht="22" customHeight="1">
      <x:c r="A984" s="1" t="str">
        <x:v>Round2</x:v>
      </x:c>
      <x:c r="B984" s="1" t="str">
        <x:v>Closure</x:v>
      </x:c>
      <x:c r="C984" s="4" t="n">
        <x:v>65</x:v>
      </x:c>
      <x:c r="D984" s="4" t="n">
        <x:v>20260928</x:v>
      </x:c>
      <x:c r="E984" s="4" t="n">
        <x:v>60</x:v>
      </x:c>
      <x:c r="F984" s="4" t="n">
        <x:v>2459</x:v>
      </x:c>
      <x:c r="G984" s="5" t="n">
        <x:v>0.1061</x:v>
      </x:c>
      <x:c r="H984" s="5" t="n">
        <x:v>0.13449999999999998</x:v>
      </x:c>
      <x:c r="I984" s="5" t="n">
        <x:v>0.0687</x:v>
      </x:c>
      <x:c r="J984" s="4" t="n">
        <x:v>1046</x:v>
      </x:c>
      <x:c r="K984" s="4" t="n">
        <x:v>111</x:v>
      </x:c>
      <x:c r="L984" s="4" t="n">
        <x:v>595</x:v>
      </x:c>
      <x:c r="M984" s="4" t="n">
        <x:v>80</x:v>
      </x:c>
      <x:c r="N984" s="4" t="n">
        <x:v>451</x:v>
      </x:c>
      <x:c r="O984" s="4" t="n">
        <x:v>31</x:v>
      </x:c>
      <x:c r="P984" s="1" t="str">
        <x:v>PASS</x:v>
      </x:c>
      <x:c r="Q984" s="4" t="n">
        <x:v>0</x:v>
      </x:c>
      <x:c r="R984" s="1" t="str">
        <x:v>PASS</x:v>
      </x:c>
      <x:c r="S984" s="4" t="n">
        <x:v>0</x:v>
      </x:c>
      <x:c r="T984" s="1" t="str">
        <x:v>NOT_REVEALING</x:v>
      </x:c>
      <x:c r="U984" s="1" t="str">
        <x:v>Closure_65</x:v>
      </x:c>
      <x:c r="V984" s="6" t="n">
        <x:v>53.13</x:v>
      </x:c>
    </x:row>
    <x:row r="985" ht="22" customHeight="1">
      <x:c r="A985" s="1" t="str">
        <x:v>Round2</x:v>
      </x:c>
      <x:c r="B985" s="1" t="str">
        <x:v>Closure</x:v>
      </x:c>
      <x:c r="C985" s="4" t="n">
        <x:v>66</x:v>
      </x:c>
      <x:c r="D985" s="4" t="n">
        <x:v>20260928</x:v>
      </x:c>
      <x:c r="E985" s="4" t="n">
        <x:v>60</x:v>
      </x:c>
      <x:c r="F985" s="4" t="n">
        <x:v>36</x:v>
      </x:c>
      <x:c r="G985" s="5" t="n">
        <x:v>0.053399999999999996</x:v>
      </x:c>
      <x:c r="H985" s="5" t="n">
        <x:v>0.0882</x:v>
      </x:c>
      <x:c r="I985" s="5" t="n">
        <x:v>0</x:v>
      </x:c>
      <x:c r="J985" s="4" t="n">
        <x:v>1291</x:v>
      </x:c>
      <x:c r="K985" s="4" t="n">
        <x:v>69</x:v>
      </x:c>
      <x:c r="L985" s="4" t="n">
        <x:v>782</x:v>
      </x:c>
      <x:c r="M985" s="4" t="n">
        <x:v>69</x:v>
      </x:c>
      <x:c r="N985" s="4" t="n">
        <x:v>509</x:v>
      </x:c>
      <x:c r="O985" s="4" t="n">
        <x:v>0</x:v>
      </x:c>
      <x:c r="P985" s="1" t="str">
        <x:v>PASS</x:v>
      </x:c>
      <x:c r="Q985" s="4" t="n">
        <x:v>0</x:v>
      </x:c>
      <x:c r="R985" s="1" t="str">
        <x:v>PASS</x:v>
      </x:c>
      <x:c r="S985" s="4" t="n">
        <x:v>0</x:v>
      </x:c>
      <x:c r="T985" s="1" t="str">
        <x:v>NOT_REVEALING</x:v>
      </x:c>
      <x:c r="U985" s="1" t="str">
        <x:v>Closure_66</x:v>
      </x:c>
      <x:c r="V985" s="6" t="n">
        <x:v>42.47</x:v>
      </x:c>
    </x:row>
    <x:row r="986" ht="22" customHeight="1">
      <x:c r="A986" s="1" t="str">
        <x:v>Round2</x:v>
      </x:c>
      <x:c r="B986" s="1" t="str">
        <x:v>Closure</x:v>
      </x:c>
      <x:c r="C986" s="4" t="n">
        <x:v>67</x:v>
      </x:c>
      <x:c r="D986" s="4" t="n">
        <x:v>20260928</x:v>
      </x:c>
      <x:c r="E986" s="4" t="n">
        <x:v>60</x:v>
      </x:c>
      <x:c r="F986" s="4" t="n">
        <x:v>1412</x:v>
      </x:c>
      <x:c r="G986" s="5" t="n">
        <x:v>0.267</x:v>
      </x:c>
      <x:c r="H986" s="5" t="n">
        <x:v>0.377</x:v>
      </x:c>
      <x:c r="I986" s="5" t="n">
        <x:v>0.0759</x:v>
      </x:c>
      <x:c r="J986" s="4" t="n">
        <x:v>397</x:v>
      </x:c>
      <x:c r="K986" s="4" t="n">
        <x:v>106</x:v>
      </x:c>
      <x:c r="L986" s="4" t="n">
        <x:v>252</x:v>
      </x:c>
      <x:c r="M986" s="4" t="n">
        <x:v>95</x:v>
      </x:c>
      <x:c r="N986" s="4" t="n">
        <x:v>145</x:v>
      </x:c>
      <x:c r="O986" s="4" t="n">
        <x:v>11</x:v>
      </x:c>
      <x:c r="P986" s="1" t="str">
        <x:v>PASS</x:v>
      </x:c>
      <x:c r="Q986" s="4" t="n">
        <x:v>0</x:v>
      </x:c>
      <x:c r="R986" s="1" t="str">
        <x:v>PASS</x:v>
      </x:c>
      <x:c r="S986" s="4" t="n">
        <x:v>0</x:v>
      </x:c>
      <x:c r="T986" s="1" t="str">
        <x:v>NOT_REVEALING</x:v>
      </x:c>
      <x:c r="U986" s="1" t="str">
        <x:v>Closure_67</x:v>
      </x:c>
      <x:c r="V986" s="6" t="n">
        <x:v>48.18</x:v>
      </x:c>
    </x:row>
    <x:row r="987" ht="22" customHeight="1">
      <x:c r="A987" s="1" t="str">
        <x:v>Round2</x:v>
      </x:c>
      <x:c r="B987" s="1" t="str">
        <x:v>Closure</x:v>
      </x:c>
      <x:c r="C987" s="4" t="n">
        <x:v>68</x:v>
      </x:c>
      <x:c r="D987" s="4" t="n">
        <x:v>20260928</x:v>
      </x:c>
      <x:c r="E987" s="4" t="n">
        <x:v>60</x:v>
      </x:c>
      <x:c r="F987" s="4" t="n">
        <x:v>5</x:v>
      </x:c>
      <x:c r="G987" s="5" t="n">
        <x:v>0.0643</x:v>
      </x:c>
      <x:c r="H987" s="5" t="n">
        <x:v>0.0751</x:v>
      </x:c>
      <x:c r="I987" s="5" t="n">
        <x:v>0.0458</x:v>
      </x:c>
      <x:c r="J987" s="4" t="n">
        <x:v>1601</x:v>
      </x:c>
      <x:c r="K987" s="4" t="n">
        <x:v>103</x:v>
      </x:c>
      <x:c r="L987" s="4" t="n">
        <x:v>1012</x:v>
      </x:c>
      <x:c r="M987" s="4" t="n">
        <x:v>76</x:v>
      </x:c>
      <x:c r="N987" s="4" t="n">
        <x:v>589</x:v>
      </x:c>
      <x:c r="O987" s="4" t="n">
        <x:v>27</x:v>
      </x:c>
      <x:c r="P987" s="1" t="str">
        <x:v>PASS</x:v>
      </x:c>
      <x:c r="Q987" s="4" t="n">
        <x:v>0</x:v>
      </x:c>
      <x:c r="R987" s="1" t="str">
        <x:v>PASS</x:v>
      </x:c>
      <x:c r="S987" s="4" t="n">
        <x:v>0</x:v>
      </x:c>
      <x:c r="T987" s="1" t="str">
        <x:v>NOT_REVEALING</x:v>
      </x:c>
      <x:c r="U987" s="1" t="str">
        <x:v>Closure_68</x:v>
      </x:c>
      <x:c r="V987" s="6" t="n">
        <x:v>40.87</x:v>
      </x:c>
    </x:row>
    <x:row r="988" ht="22" customHeight="1">
      <x:c r="A988" s="1" t="str">
        <x:v>Round2</x:v>
      </x:c>
      <x:c r="B988" s="1" t="str">
        <x:v>Closure</x:v>
      </x:c>
      <x:c r="C988" s="4" t="n">
        <x:v>69</x:v>
      </x:c>
      <x:c r="D988" s="4" t="n">
        <x:v>20260928</x:v>
      </x:c>
      <x:c r="E988" s="4" t="n">
        <x:v>60</x:v>
      </x:c>
      <x:c r="F988" s="4" t="n">
        <x:v>36</x:v>
      </x:c>
      <x:c r="G988" s="5" t="n">
        <x:v>0.0541</x:v>
      </x:c>
      <x:c r="H988" s="5" t="n">
        <x:v>0.0889</x:v>
      </x:c>
      <x:c r="I988" s="5" t="n">
        <x:v>0</x:v>
      </x:c>
      <x:c r="J988" s="4" t="n">
        <x:v>1275</x:v>
      </x:c>
      <x:c r="K988" s="4" t="n">
        <x:v>69</x:v>
      </x:c>
      <x:c r="L988" s="4" t="n">
        <x:v>776</x:v>
      </x:c>
      <x:c r="M988" s="4" t="n">
        <x:v>69</x:v>
      </x:c>
      <x:c r="N988" s="4" t="n">
        <x:v>499</x:v>
      </x:c>
      <x:c r="O988" s="4" t="n">
        <x:v>0</x:v>
      </x:c>
      <x:c r="P988" s="1" t="str">
        <x:v>PASS</x:v>
      </x:c>
      <x:c r="Q988" s="4" t="n">
        <x:v>0</x:v>
      </x:c>
      <x:c r="R988" s="1" t="str">
        <x:v>PASS</x:v>
      </x:c>
      <x:c r="S988" s="4" t="n">
        <x:v>0</x:v>
      </x:c>
      <x:c r="T988" s="1" t="str">
        <x:v>NOT_REVEALING</x:v>
      </x:c>
      <x:c r="U988" s="1" t="str">
        <x:v>Closure_69</x:v>
      </x:c>
      <x:c r="V988" s="6" t="n">
        <x:v>42.15</x:v>
      </x:c>
    </x:row>
    <x:row r="989" ht="22" customHeight="1">
      <x:c r="A989" s="1" t="str">
        <x:v>Round2</x:v>
      </x:c>
      <x:c r="B989" s="1" t="str">
        <x:v>Closure</x:v>
      </x:c>
      <x:c r="C989" s="4" t="n">
        <x:v>70</x:v>
      </x:c>
      <x:c r="D989" s="4" t="n">
        <x:v>20260928</x:v>
      </x:c>
      <x:c r="E989" s="4" t="n">
        <x:v>60</x:v>
      </x:c>
      <x:c r="F989" s="4" t="n">
        <x:v>12</x:v>
      </x:c>
      <x:c r="G989" s="5" t="n">
        <x:v>0.0154</x:v>
      </x:c>
      <x:c r="H989" s="5" t="n">
        <x:v>0.0273</x:v>
      </x:c>
      <x:c r="I989" s="5" t="n">
        <x:v>0</x:v>
      </x:c>
      <x:c r="J989" s="4" t="n">
        <x:v>1427</x:v>
      </x:c>
      <x:c r="K989" s="4" t="n">
        <x:v>22</x:v>
      </x:c>
      <x:c r="L989" s="4" t="n">
        <x:v>806</x:v>
      </x:c>
      <x:c r="M989" s="4" t="n">
        <x:v>22</x:v>
      </x:c>
      <x:c r="N989" s="4" t="n">
        <x:v>621</x:v>
      </x:c>
      <x:c r="O989" s="4" t="n">
        <x:v>0</x:v>
      </x:c>
      <x:c r="P989" s="1" t="str">
        <x:v>PASS</x:v>
      </x:c>
      <x:c r="Q989" s="4" t="n">
        <x:v>0</x:v>
      </x:c>
      <x:c r="R989" s="1" t="str">
        <x:v>PASS</x:v>
      </x:c>
      <x:c r="S989" s="4" t="n">
        <x:v>0</x:v>
      </x:c>
      <x:c r="T989" s="1" t="str">
        <x:v>NOT_REVEALING</x:v>
      </x:c>
      <x:c r="U989" s="1" t="str">
        <x:v>Closure_70</x:v>
      </x:c>
      <x:c r="V989" s="6" t="n">
        <x:v>41.86</x:v>
      </x:c>
    </x:row>
    <x:row r="990" ht="22" customHeight="1">
      <x:c r="A990" s="1" t="str">
        <x:v>Round2</x:v>
      </x:c>
      <x:c r="B990" s="1" t="str">
        <x:v>Closure</x:v>
      </x:c>
      <x:c r="C990" s="4" t="n">
        <x:v>71</x:v>
      </x:c>
      <x:c r="D990" s="4" t="n">
        <x:v>20260928</x:v>
      </x:c>
      <x:c r="E990" s="4" t="n">
        <x:v>60</x:v>
      </x:c>
      <x:c r="F990" s="4" t="n">
        <x:v>14</x:v>
      </x:c>
      <x:c r="G990" s="5" t="n">
        <x:v>0.049100000000000005</x:v>
      </x:c>
      <x:c r="H990" s="5" t="n">
        <x:v>0.08990000000000001</x:v>
      </x:c>
      <x:c r="I990" s="5" t="n">
        <x:v>0</x:v>
      </x:c>
      <x:c r="J990" s="4" t="n">
        <x:v>489</x:v>
      </x:c>
      <x:c r="K990" s="4" t="n">
        <x:v>24</x:v>
      </x:c>
      <x:c r="L990" s="4" t="n">
        <x:v>267</x:v>
      </x:c>
      <x:c r="M990" s="4" t="n">
        <x:v>24</x:v>
      </x:c>
      <x:c r="N990" s="4" t="n">
        <x:v>222</x:v>
      </x:c>
      <x:c r="O990" s="4" t="n">
        <x:v>0</x:v>
      </x:c>
      <x:c r="P990" s="1" t="str">
        <x:v>PASS</x:v>
      </x:c>
      <x:c r="Q990" s="4" t="n">
        <x:v>0</x:v>
      </x:c>
      <x:c r="R990" s="1" t="str">
        <x:v>PASS</x:v>
      </x:c>
      <x:c r="S990" s="4" t="n">
        <x:v>0</x:v>
      </x:c>
      <x:c r="T990" s="1" t="str">
        <x:v>NOT_REVEALING</x:v>
      </x:c>
      <x:c r="U990" s="1" t="str">
        <x:v>Closure_71</x:v>
      </x:c>
      <x:c r="V990" s="6" t="n">
        <x:v>40.72</x:v>
      </x:c>
    </x:row>
    <x:row r="991" ht="22" customHeight="1">
      <x:c r="A991" s="1" t="str">
        <x:v>Round2</x:v>
      </x:c>
      <x:c r="B991" s="1" t="str">
        <x:v>Closure</x:v>
      </x:c>
      <x:c r="C991" s="4" t="n">
        <x:v>72</x:v>
      </x:c>
      <x:c r="D991" s="4" t="n">
        <x:v>20260928</x:v>
      </x:c>
      <x:c r="E991" s="4" t="n">
        <x:v>60</x:v>
      </x:c>
      <x:c r="F991" s="4" t="n">
        <x:v>1073</x:v>
      </x:c>
      <x:c r="G991" s="5" t="n">
        <x:v>0.1104</x:v>
      </x:c>
      <x:c r="H991" s="5" t="n">
        <x:v>0.162</x:v>
      </x:c>
      <x:c r="I991" s="5" t="n">
        <x:v>0</x:v>
      </x:c>
      <x:c r="J991" s="4" t="n">
        <x:v>317</x:v>
      </x:c>
      <x:c r="K991" s="4" t="n">
        <x:v>35</x:v>
      </x:c>
      <x:c r="L991" s="4" t="n">
        <x:v>216</x:v>
      </x:c>
      <x:c r="M991" s="4" t="n">
        <x:v>35</x:v>
      </x:c>
      <x:c r="N991" s="4" t="n">
        <x:v>101</x:v>
      </x:c>
      <x:c r="O991" s="4" t="n">
        <x:v>0</x:v>
      </x:c>
      <x:c r="P991" s="1" t="str">
        <x:v>PASS</x:v>
      </x:c>
      <x:c r="Q991" s="4" t="n">
        <x:v>0</x:v>
      </x:c>
      <x:c r="R991" s="1" t="str">
        <x:v>PASS</x:v>
      </x:c>
      <x:c r="S991" s="4" t="n">
        <x:v>0</x:v>
      </x:c>
      <x:c r="T991" s="1" t="str">
        <x:v>NOT_REVEALING</x:v>
      </x:c>
      <x:c r="U991" s="1" t="str">
        <x:v>Closure_72</x:v>
      </x:c>
      <x:c r="V991" s="6" t="n">
        <x:v>50.46</x:v>
      </x:c>
    </x:row>
    <x:row r="992" ht="22" customHeight="1">
      <x:c r="A992" s="1" t="str">
        <x:v>Round2</x:v>
      </x:c>
      <x:c r="B992" s="1" t="str">
        <x:v>Closure</x:v>
      </x:c>
      <x:c r="C992" s="4" t="n">
        <x:v>73</x:v>
      </x:c>
      <x:c r="D992" s="4" t="n">
        <x:v>20260928</x:v>
      </x:c>
      <x:c r="E992" s="4" t="n">
        <x:v>60</x:v>
      </x:c>
      <x:c r="F992" s="4" t="n">
        <x:v>2691</x:v>
      </x:c>
      <x:c r="G992" s="5" t="n">
        <x:v>0.1005</x:v>
      </x:c>
      <x:c r="H992" s="5" t="n">
        <x:v>0.1263</x:v>
      </x:c>
      <x:c r="I992" s="5" t="n">
        <x:v>0.0668</x:v>
      </x:c>
      <x:c r="J992" s="4" t="n">
        <x:v>1035</x:v>
      </x:c>
      <x:c r="K992" s="4" t="n">
        <x:v>104</x:v>
      </x:c>
      <x:c r="L992" s="4" t="n">
        <x:v>586</x:v>
      </x:c>
      <x:c r="M992" s="4" t="n">
        <x:v>74</x:v>
      </x:c>
      <x:c r="N992" s="4" t="n">
        <x:v>449</x:v>
      </x:c>
      <x:c r="O992" s="4" t="n">
        <x:v>30</x:v>
      </x:c>
      <x:c r="P992" s="1" t="str">
        <x:v>PASS</x:v>
      </x:c>
      <x:c r="Q992" s="4" t="n">
        <x:v>0</x:v>
      </x:c>
      <x:c r="R992" s="1" t="str">
        <x:v>PASS</x:v>
      </x:c>
      <x:c r="S992" s="4" t="n">
        <x:v>0</x:v>
      </x:c>
      <x:c r="T992" s="1" t="str">
        <x:v>NOT_REVEALING</x:v>
      </x:c>
      <x:c r="U992" s="1" t="str">
        <x:v>Closure_73</x:v>
      </x:c>
      <x:c r="V992" s="6" t="n">
        <x:v>56.79</x:v>
      </x:c>
    </x:row>
    <x:row r="993" ht="22" customHeight="1">
      <x:c r="A993" s="1" t="str">
        <x:v>Round2</x:v>
      </x:c>
      <x:c r="B993" s="1" t="str">
        <x:v>Closure</x:v>
      </x:c>
      <x:c r="C993" s="4" t="n">
        <x:v>74</x:v>
      </x:c>
      <x:c r="D993" s="4" t="n">
        <x:v>20260928</x:v>
      </x:c>
      <x:c r="E993" s="4" t="n">
        <x:v>60</x:v>
      </x:c>
      <x:c r="F993" s="4" t="n">
        <x:v>9</x:v>
      </x:c>
      <x:c r="G993" s="5" t="n">
        <x:v>0.009899999999999999</x:v>
      </x:c>
      <x:c r="H993" s="5" t="n">
        <x:v>0.0175</x:v>
      </x:c>
      <x:c r="I993" s="5" t="n">
        <x:v>0</x:v>
      </x:c>
      <x:c r="J993" s="4" t="n">
        <x:v>1419</x:v>
      </x:c>
      <x:c r="K993" s="4" t="n">
        <x:v>14</x:v>
      </x:c>
      <x:c r="L993" s="4" t="n">
        <x:v>800</x:v>
      </x:c>
      <x:c r="M993" s="4" t="n">
        <x:v>14</x:v>
      </x:c>
      <x:c r="N993" s="4" t="n">
        <x:v>619</x:v>
      </x:c>
      <x:c r="O993" s="4" t="n">
        <x:v>0</x:v>
      </x:c>
      <x:c r="P993" s="1" t="str">
        <x:v>PASS</x:v>
      </x:c>
      <x:c r="Q993" s="4" t="n">
        <x:v>0</x:v>
      </x:c>
      <x:c r="R993" s="1" t="str">
        <x:v>PASS</x:v>
      </x:c>
      <x:c r="S993" s="4" t="n">
        <x:v>0</x:v>
      </x:c>
      <x:c r="T993" s="1" t="str">
        <x:v>NOT_REVEALING</x:v>
      </x:c>
      <x:c r="U993" s="1" t="str">
        <x:v>Closure_74</x:v>
      </x:c>
      <x:c r="V993" s="6" t="n">
        <x:v>43.86</x:v>
      </x:c>
    </x:row>
    <x:row r="994" ht="22" customHeight="1">
      <x:c r="A994" s="1" t="str">
        <x:v>Round2</x:v>
      </x:c>
      <x:c r="B994" s="1" t="str">
        <x:v>Closure</x:v>
      </x:c>
      <x:c r="C994" s="4" t="n">
        <x:v>75</x:v>
      </x:c>
      <x:c r="D994" s="4" t="n">
        <x:v>20260928</x:v>
      </x:c>
      <x:c r="E994" s="4" t="n">
        <x:v>60</x:v>
      </x:c>
      <x:c r="F994" s="4" t="n">
        <x:v>2060</x:v>
      </x:c>
      <x:c r="G994" s="5" t="n">
        <x:v>0.3893</x:v>
      </x:c>
      <x:c r="H994" s="5" t="n">
        <x:v>0.4696</x:v>
      </x:c>
      <x:c r="I994" s="5" t="n">
        <x:v>0.3064</x:v>
      </x:c>
      <x:c r="J994" s="4" t="n">
        <x:v>1811</x:v>
      </x:c>
      <x:c r="K994" s="4" t="n">
        <x:v>705</x:v>
      </x:c>
      <x:c r="L994" s="4" t="n">
        <x:v>920</x:v>
      </x:c>
      <x:c r="M994" s="4" t="n">
        <x:v>432</x:v>
      </x:c>
      <x:c r="N994" s="4" t="n">
        <x:v>891</x:v>
      </x:c>
      <x:c r="O994" s="4" t="n">
        <x:v>273</x:v>
      </x:c>
      <x:c r="P994" s="1" t="str">
        <x:v>PASS</x:v>
      </x:c>
      <x:c r="Q994" s="4" t="n">
        <x:v>0</x:v>
      </x:c>
      <x:c r="R994" s="1" t="str">
        <x:v>PASS</x:v>
      </x:c>
      <x:c r="S994" s="4" t="n">
        <x:v>0</x:v>
      </x:c>
      <x:c r="T994" s="1" t="str">
        <x:v>NOT_REVEALING</x:v>
      </x:c>
      <x:c r="U994" s="1" t="str">
        <x:v>Closure_75</x:v>
      </x:c>
      <x:c r="V994" s="6" t="n">
        <x:v>65.8</x:v>
      </x:c>
    </x:row>
    <x:row r="995" ht="22" customHeight="1">
      <x:c r="A995" s="1" t="str">
        <x:v>Round2</x:v>
      </x:c>
      <x:c r="B995" s="1" t="str">
        <x:v>Closure</x:v>
      </x:c>
      <x:c r="C995" s="4" t="n">
        <x:v>76</x:v>
      </x:c>
      <x:c r="D995" s="4" t="n">
        <x:v>20260928</x:v>
      </x:c>
      <x:c r="E995" s="4" t="n">
        <x:v>60</x:v>
      </x:c>
      <x:c r="F995" s="4" t="n">
        <x:v>2042</x:v>
      </x:c>
      <x:c r="G995" s="5" t="n">
        <x:v>0.034</x:v>
      </x:c>
      <x:c r="H995" s="5" t="n">
        <x:v>0.06</x:v>
      </x:c>
      <x:c r="I995" s="5" t="n">
        <x:v>0</x:v>
      </x:c>
      <x:c r="J995" s="4" t="n">
        <x:v>265</x:v>
      </x:c>
      <x:c r="K995" s="4" t="n">
        <x:v>9</x:v>
      </x:c>
      <x:c r="L995" s="4" t="n">
        <x:v>150</x:v>
      </x:c>
      <x:c r="M995" s="4" t="n">
        <x:v>9</x:v>
      </x:c>
      <x:c r="N995" s="4" t="n">
        <x:v>115</x:v>
      </x:c>
      <x:c r="O995" s="4" t="n">
        <x:v>0</x:v>
      </x:c>
      <x:c r="P995" s="1" t="str">
        <x:v>PASS</x:v>
      </x:c>
      <x:c r="Q995" s="4" t="n">
        <x:v>0</x:v>
      </x:c>
      <x:c r="R995" s="1" t="str">
        <x:v>PASS</x:v>
      </x:c>
      <x:c r="S995" s="4" t="n">
        <x:v>0</x:v>
      </x:c>
      <x:c r="T995" s="1" t="str">
        <x:v>NOT_REVEALING</x:v>
      </x:c>
      <x:c r="U995" s="1" t="str">
        <x:v>Closure_76</x:v>
      </x:c>
      <x:c r="V995" s="6" t="n">
        <x:v>61.25</x:v>
      </x:c>
    </x:row>
    <x:row r="996" ht="22" customHeight="1">
      <x:c r="A996" s="1" t="str">
        <x:v>Round2</x:v>
      </x:c>
      <x:c r="B996" s="1" t="str">
        <x:v>Closure</x:v>
      </x:c>
      <x:c r="C996" s="4" t="n">
        <x:v>77</x:v>
      </x:c>
      <x:c r="D996" s="4" t="n">
        <x:v>20260928</x:v>
      </x:c>
      <x:c r="E996" s="4" t="n">
        <x:v>60</x:v>
      </x:c>
      <x:c r="F996" s="4" t="n">
        <x:v>2786</x:v>
      </x:c>
      <x:c r="G996" s="5" t="n">
        <x:v>0.08779999999999999</x:v>
      </x:c>
      <x:c r="H996" s="5" t="n">
        <x:v>0.1162</x:v>
      </x:c>
      <x:c r="I996" s="5" t="n">
        <x:v>0.0507</x:v>
      </x:c>
      <x:c r="J996" s="4" t="n">
        <x:v>1002</x:v>
      </x:c>
      <x:c r="K996" s="4" t="n">
        <x:v>88</x:v>
      </x:c>
      <x:c r="L996" s="4" t="n">
        <x:v>568</x:v>
      </x:c>
      <x:c r="M996" s="4" t="n">
        <x:v>66</x:v>
      </x:c>
      <x:c r="N996" s="4" t="n">
        <x:v>434</x:v>
      </x:c>
      <x:c r="O996" s="4" t="n">
        <x:v>22</x:v>
      </x:c>
      <x:c r="P996" s="1" t="str">
        <x:v>PASS</x:v>
      </x:c>
      <x:c r="Q996" s="4" t="n">
        <x:v>0</x:v>
      </x:c>
      <x:c r="R996" s="1" t="str">
        <x:v>PASS</x:v>
      </x:c>
      <x:c r="S996" s="4" t="n">
        <x:v>0</x:v>
      </x:c>
      <x:c r="T996" s="1" t="str">
        <x:v>NOT_REVEALING</x:v>
      </x:c>
      <x:c r="U996" s="1" t="str">
        <x:v>Closure_77</x:v>
      </x:c>
      <x:c r="V996" s="6" t="n">
        <x:v>61.42</x:v>
      </x:c>
    </x:row>
    <x:row r="997" ht="22" customHeight="1">
      <x:c r="A997" s="1" t="str">
        <x:v>Round2</x:v>
      </x:c>
      <x:c r="B997" s="1" t="str">
        <x:v>Closure</x:v>
      </x:c>
      <x:c r="C997" s="4" t="n">
        <x:v>78</x:v>
      </x:c>
      <x:c r="D997" s="4" t="n">
        <x:v>20260928</x:v>
      </x:c>
      <x:c r="E997" s="4" t="n">
        <x:v>60</x:v>
      </x:c>
      <x:c r="F997" s="4" t="n">
        <x:v>9</x:v>
      </x:c>
      <x:c r="G997" s="5" t="n">
        <x:v>0.0104</x:v>
      </x:c>
      <x:c r="H997" s="5" t="n">
        <x:v>0.0183</x:v>
      </x:c>
      <x:c r="I997" s="5" t="n">
        <x:v>0</x:v>
      </x:c>
      <x:c r="J997" s="4" t="n">
        <x:v>1344</x:v>
      </x:c>
      <x:c r="K997" s="4" t="n">
        <x:v>14</x:v>
      </x:c>
      <x:c r="L997" s="4" t="n">
        <x:v>764</x:v>
      </x:c>
      <x:c r="M997" s="4" t="n">
        <x:v>14</x:v>
      </x:c>
      <x:c r="N997" s="4" t="n">
        <x:v>580</x:v>
      </x:c>
      <x:c r="O997" s="4" t="n">
        <x:v>0</x:v>
      </x:c>
      <x:c r="P997" s="1" t="str">
        <x:v>PASS</x:v>
      </x:c>
      <x:c r="Q997" s="4" t="n">
        <x:v>0</x:v>
      </x:c>
      <x:c r="R997" s="1" t="str">
        <x:v>PASS</x:v>
      </x:c>
      <x:c r="S997" s="4" t="n">
        <x:v>0</x:v>
      </x:c>
      <x:c r="T997" s="1" t="str">
        <x:v>NOT_REVEALING</x:v>
      </x:c>
      <x:c r="U997" s="1" t="str">
        <x:v>Closure_78</x:v>
      </x:c>
      <x:c r="V997" s="6" t="n">
        <x:v>43.6</x:v>
      </x:c>
    </x:row>
    <x:row r="998" ht="22" customHeight="1">
      <x:c r="A998" s="1" t="str">
        <x:v>Round2</x:v>
      </x:c>
      <x:c r="B998" s="1" t="str">
        <x:v>Closure</x:v>
      </x:c>
      <x:c r="C998" s="4" t="n">
        <x:v>79</x:v>
      </x:c>
      <x:c r="D998" s="4" t="n">
        <x:v>20260928</x:v>
      </x:c>
      <x:c r="E998" s="4" t="n">
        <x:v>60</x:v>
      </x:c>
      <x:c r="F998" s="4" t="n">
        <x:v>323</x:v>
      </x:c>
      <x:c r="G998" s="5" t="n">
        <x:v>0.07629999999999999</x:v>
      </x:c>
      <x:c r="H998" s="5" t="n">
        <x:v>0.12279999999999999</x:v>
      </x:c>
      <x:c r="I998" s="5" t="n">
        <x:v>0</x:v>
      </x:c>
      <x:c r="J998" s="4" t="n">
        <x:v>629</x:v>
      </x:c>
      <x:c r="K998" s="4" t="n">
        <x:v>48</x:v>
      </x:c>
      <x:c r="L998" s="4" t="n">
        <x:v>391</x:v>
      </x:c>
      <x:c r="M998" s="4" t="n">
        <x:v>48</x:v>
      </x:c>
      <x:c r="N998" s="4" t="n">
        <x:v>238</x:v>
      </x:c>
      <x:c r="O998" s="4" t="n">
        <x:v>0</x:v>
      </x:c>
      <x:c r="P998" s="1" t="str">
        <x:v>PASS</x:v>
      </x:c>
      <x:c r="Q998" s="4" t="n">
        <x:v>0</x:v>
      </x:c>
      <x:c r="R998" s="1" t="str">
        <x:v>PASS</x:v>
      </x:c>
      <x:c r="S998" s="4" t="n">
        <x:v>0</x:v>
      </x:c>
      <x:c r="T998" s="1" t="str">
        <x:v>NOT_REVEALING</x:v>
      </x:c>
      <x:c r="U998" s="1" t="str">
        <x:v>Closure_79</x:v>
      </x:c>
      <x:c r="V998" s="6" t="n">
        <x:v>51.54</x:v>
      </x:c>
    </x:row>
    <x:row r="999" ht="22" customHeight="1">
      <x:c r="A999" s="1" t="str">
        <x:v>Round2</x:v>
      </x:c>
      <x:c r="B999" s="1" t="str">
        <x:v>Closure</x:v>
      </x:c>
      <x:c r="C999" s="4" t="n">
        <x:v>80</x:v>
      </x:c>
      <x:c r="D999" s="4" t="n">
        <x:v>20260928</x:v>
      </x:c>
      <x:c r="E999" s="4" t="n">
        <x:v>60</x:v>
      </x:c>
      <x:c r="F999" s="4" t="n">
        <x:v>2119</x:v>
      </x:c>
      <x:c r="G999" s="5" t="n">
        <x:v>0.40509999999999996</x:v>
      </x:c>
      <x:c r="H999" s="5" t="n">
        <x:v>0.4874</x:v>
      </x:c>
      <x:c r="I999" s="5" t="n">
        <x:v>0.32020000000000004</x:v>
      </x:c>
      <x:c r="J999" s="4" t="n">
        <x:v>1802</x:v>
      </x:c>
      <x:c r="K999" s="4" t="n">
        <x:v>730</x:v>
      </x:c>
      <x:c r="L999" s="4" t="n">
        <x:v>915</x:v>
      </x:c>
      <x:c r="M999" s="4" t="n">
        <x:v>446</x:v>
      </x:c>
      <x:c r="N999" s="4" t="n">
        <x:v>887</x:v>
      </x:c>
      <x:c r="O999" s="4" t="n">
        <x:v>284</x:v>
      </x:c>
      <x:c r="P999" s="1" t="str">
        <x:v>PASS</x:v>
      </x:c>
      <x:c r="Q999" s="4" t="n">
        <x:v>0</x:v>
      </x:c>
      <x:c r="R999" s="1" t="str">
        <x:v>PASS</x:v>
      </x:c>
      <x:c r="S999" s="4" t="n">
        <x:v>0</x:v>
      </x:c>
      <x:c r="T999" s="1" t="str">
        <x:v>NOT_REVEALING</x:v>
      </x:c>
      <x:c r="U999" s="1" t="str">
        <x:v>Closure_80</x:v>
      </x:c>
      <x:c r="V999" s="6" t="n">
        <x:v>66.94</x:v>
      </x:c>
    </x:row>
    <x:row r="1000" ht="22" customHeight="1">
      <x:c r="A1000" s="1" t="str">
        <x:v>Round2</x:v>
      </x:c>
      <x:c r="B1000" s="1" t="str">
        <x:v>Closure</x:v>
      </x:c>
      <x:c r="C1000" s="4" t="n">
        <x:v>81</x:v>
      </x:c>
      <x:c r="D1000" s="4" t="n">
        <x:v>20260928</x:v>
      </x:c>
      <x:c r="E1000" s="4" t="n">
        <x:v>60</x:v>
      </x:c>
      <x:c r="F1000" s="4" t="n">
        <x:v>3</x:v>
      </x:c>
      <x:c r="G1000" s="5" t="n">
        <x:v>0.0011</x:v>
      </x:c>
      <x:c r="H1000" s="5" t="n">
        <x:v>0.0017000000000000001</x:v>
      </x:c>
      <x:c r="I1000" s="5" t="n">
        <x:v>0</x:v>
      </x:c>
      <x:c r="J1000" s="4" t="n">
        <x:v>906</x:v>
      </x:c>
      <x:c r="K1000" s="4" t="n">
        <x:v>1</x:v>
      </x:c>
      <x:c r="L1000" s="4" t="n">
        <x:v>587</x:v>
      </x:c>
      <x:c r="M1000" s="4" t="n">
        <x:v>1</x:v>
      </x:c>
      <x:c r="N1000" s="4" t="n">
        <x:v>319</x:v>
      </x:c>
      <x:c r="O1000" s="4" t="n">
        <x:v>0</x:v>
      </x:c>
      <x:c r="P1000" s="1" t="str">
        <x:v>PASS</x:v>
      </x:c>
      <x:c r="Q1000" s="4" t="n">
        <x:v>0</x:v>
      </x:c>
      <x:c r="R1000" s="1" t="str">
        <x:v>PASS</x:v>
      </x:c>
      <x:c r="S1000" s="4" t="n">
        <x:v>0</x:v>
      </x:c>
      <x:c r="T1000" s="1" t="str">
        <x:v>NOT_REVEALING</x:v>
      </x:c>
      <x:c r="U1000" s="1" t="str">
        <x:v>Closure_81</x:v>
      </x:c>
      <x:c r="V1000" s="6" t="n">
        <x:v>41.69</x:v>
      </x:c>
    </x:row>
    <x:row r="1001" ht="22" customHeight="1">
      <x:c r="A1001" s="1" t="str">
        <x:v>Round2</x:v>
      </x:c>
      <x:c r="B1001" s="1" t="str">
        <x:v>Closure</x:v>
      </x:c>
      <x:c r="C1001" s="4" t="n">
        <x:v>82</x:v>
      </x:c>
      <x:c r="D1001" s="4" t="n">
        <x:v>20260928</x:v>
      </x:c>
      <x:c r="E1001" s="4" t="n">
        <x:v>60</x:v>
      </x:c>
      <x:c r="F1001" s="4" t="n">
        <x:v>3947</x:v>
      </x:c>
      <x:c r="G1001" s="5" t="n">
        <x:v>0.0344</x:v>
      </x:c>
      <x:c r="H1001" s="5" t="n">
        <x:v>0.045</x:v>
      </x:c>
      <x:c r="I1001" s="5" t="n">
        <x:v>0.0192</x:v>
      </x:c>
      <x:c r="J1001" s="4" t="n">
        <x:v>378</x:v>
      </x:c>
      <x:c r="K1001" s="4" t="n">
        <x:v>13</x:v>
      </x:c>
      <x:c r="L1001" s="4" t="n">
        <x:v>222</x:v>
      </x:c>
      <x:c r="M1001" s="4" t="n">
        <x:v>10</x:v>
      </x:c>
      <x:c r="N1001" s="4" t="n">
        <x:v>156</x:v>
      </x:c>
      <x:c r="O1001" s="4" t="n">
        <x:v>3</x:v>
      </x:c>
      <x:c r="P1001" s="1" t="str">
        <x:v>PASS</x:v>
      </x:c>
      <x:c r="Q1001" s="4" t="n">
        <x:v>0</x:v>
      </x:c>
      <x:c r="R1001" s="1" t="str">
        <x:v>PASS</x:v>
      </x:c>
      <x:c r="S1001" s="4" t="n">
        <x:v>0</x:v>
      </x:c>
      <x:c r="T1001" s="1" t="str">
        <x:v>NOT_REVEALING</x:v>
      </x:c>
      <x:c r="U1001" s="1" t="str">
        <x:v>Closure_82</x:v>
      </x:c>
      <x:c r="V1001" s="6" t="n">
        <x:v>63.91</x:v>
      </x:c>
    </x:row>
    <x:row r="1002" ht="22" customHeight="1">
      <x:c r="A1002" s="1" t="str">
        <x:v>Round2</x:v>
      </x:c>
      <x:c r="B1002" s="1" t="str">
        <x:v>Closure</x:v>
      </x:c>
      <x:c r="C1002" s="4" t="n">
        <x:v>83</x:v>
      </x:c>
      <x:c r="D1002" s="4" t="n">
        <x:v>20260928</x:v>
      </x:c>
      <x:c r="E1002" s="4" t="n">
        <x:v>60</x:v>
      </x:c>
      <x:c r="F1002" s="4" t="n">
        <x:v>0</x:v>
      </x:c>
      <x:c r="G1002" s="5"/>
      <x:c r="H1002" s="5"/>
      <x:c r="I1002" s="5"/>
      <x:c r="J1002" s="4" t="n">
        <x:v>0</x:v>
      </x:c>
      <x:c r="K1002" s="4" t="n">
        <x:v>0</x:v>
      </x:c>
      <x:c r="L1002" s="4" t="n">
        <x:v>0</x:v>
      </x:c>
      <x:c r="M1002" s="4" t="n">
        <x:v>0</x:v>
      </x:c>
      <x:c r="N1002" s="4" t="n">
        <x:v>0</x:v>
      </x:c>
      <x:c r="O1002" s="4" t="n">
        <x:v>0</x:v>
      </x:c>
      <x:c r="P1002" s="1" t="str">
        <x:v>NOT_RUN</x:v>
      </x:c>
      <x:c r="Q1002" s="4"/>
      <x:c r="R1002" s="1" t="str">
        <x:v>NOT_RUN</x:v>
      </x:c>
      <x:c r="S1002" s="4"/>
      <x:c r="T1002" s="1" t="str">
        <x:v>FAIL</x:v>
      </x:c>
      <x:c r="U1002" s="1" t="str">
        <x:v>Closure_83</x:v>
      </x:c>
      <x:c r="V1002" s="6"/>
    </x:row>
    <x:row r="1003" ht="22" customHeight="1">
      <x:c r="A1003" s="1" t="str">
        <x:v>Round2</x:v>
      </x:c>
      <x:c r="B1003" s="1" t="str">
        <x:v>Closure</x:v>
      </x:c>
      <x:c r="C1003" s="4" t="n">
        <x:v>84</x:v>
      </x:c>
      <x:c r="D1003" s="4" t="n">
        <x:v>20260928</x:v>
      </x:c>
      <x:c r="E1003" s="4" t="n">
        <x:v>60</x:v>
      </x:c>
      <x:c r="F1003" s="4" t="n">
        <x:v>3</x:v>
      </x:c>
      <x:c r="G1003" s="5" t="n">
        <x:v>0.0012</x:v>
      </x:c>
      <x:c r="H1003" s="5" t="n">
        <x:v>0.0018</x:v>
      </x:c>
      <x:c r="I1003" s="5" t="n">
        <x:v>0</x:v>
      </x:c>
      <x:c r="J1003" s="4" t="n">
        <x:v>845</x:v>
      </x:c>
      <x:c r="K1003" s="4" t="n">
        <x:v>1</x:v>
      </x:c>
      <x:c r="L1003" s="4" t="n">
        <x:v>552</x:v>
      </x:c>
      <x:c r="M1003" s="4" t="n">
        <x:v>1</x:v>
      </x:c>
      <x:c r="N1003" s="4" t="n">
        <x:v>293</x:v>
      </x:c>
      <x:c r="O1003" s="4" t="n">
        <x:v>0</x:v>
      </x:c>
      <x:c r="P1003" s="1" t="str">
        <x:v>PASS</x:v>
      </x:c>
      <x:c r="Q1003" s="4" t="n">
        <x:v>0</x:v>
      </x:c>
      <x:c r="R1003" s="1" t="str">
        <x:v>PASS</x:v>
      </x:c>
      <x:c r="S1003" s="4" t="n">
        <x:v>0</x:v>
      </x:c>
      <x:c r="T1003" s="1" t="str">
        <x:v>NOT_REVEALING</x:v>
      </x:c>
      <x:c r="U1003" s="1" t="str">
        <x:v>Closure_84</x:v>
      </x:c>
      <x:c r="V1003" s="6" t="n">
        <x:v>39.17</x:v>
      </x:c>
    </x:row>
    <x:row r="1004" ht="22" customHeight="1">
      <x:c r="A1004" s="1" t="str">
        <x:v>Round2</x:v>
      </x:c>
      <x:c r="B1004" s="1" t="str">
        <x:v>Closure</x:v>
      </x:c>
      <x:c r="C1004" s="4" t="n">
        <x:v>85</x:v>
      </x:c>
      <x:c r="D1004" s="4" t="n">
        <x:v>20260928</x:v>
      </x:c>
      <x:c r="E1004" s="4" t="n">
        <x:v>60</x:v>
      </x:c>
      <x:c r="F1004" s="4" t="n">
        <x:v>1927</x:v>
      </x:c>
      <x:c r="G1004" s="5" t="n">
        <x:v>0.1045</x:v>
      </x:c>
      <x:c r="H1004" s="5" t="n">
        <x:v>0.16670000000000001</x:v>
      </x:c>
      <x:c r="I1004" s="5" t="n">
        <x:v>0.0179</x:v>
      </x:c>
      <x:c r="J1004" s="4" t="n">
        <x:v>134</x:v>
      </x:c>
      <x:c r="K1004" s="4" t="n">
        <x:v>14</x:v>
      </x:c>
      <x:c r="L1004" s="4" t="n">
        <x:v>78</x:v>
      </x:c>
      <x:c r="M1004" s="4" t="n">
        <x:v>13</x:v>
      </x:c>
      <x:c r="N1004" s="4" t="n">
        <x:v>56</x:v>
      </x:c>
      <x:c r="O1004" s="4" t="n">
        <x:v>1</x:v>
      </x:c>
      <x:c r="P1004" s="1" t="str">
        <x:v>PASS</x:v>
      </x:c>
      <x:c r="Q1004" s="4" t="n">
        <x:v>0</x:v>
      </x:c>
      <x:c r="R1004" s="1" t="str">
        <x:v>PASS</x:v>
      </x:c>
      <x:c r="S1004" s="4" t="n">
        <x:v>0</x:v>
      </x:c>
      <x:c r="T1004" s="1" t="str">
        <x:v>NOT_REVEALING</x:v>
      </x:c>
      <x:c r="U1004" s="1" t="str">
        <x:v>Closure_85</x:v>
      </x:c>
      <x:c r="V1004" s="6" t="n">
        <x:v>57.95</x:v>
      </x:c>
    </x:row>
    <x:row r="1005" ht="22" customHeight="1">
      <x:c r="A1005" s="1" t="str">
        <x:v>Round2</x:v>
      </x:c>
      <x:c r="B1005" s="1" t="str">
        <x:v>Closure</x:v>
      </x:c>
      <x:c r="C1005" s="4" t="n">
        <x:v>86</x:v>
      </x:c>
      <x:c r="D1005" s="4" t="n">
        <x:v>20260928</x:v>
      </x:c>
      <x:c r="E1005" s="4" t="n">
        <x:v>60</x:v>
      </x:c>
      <x:c r="F1005" s="4" t="n">
        <x:v>2113</x:v>
      </x:c>
      <x:c r="G1005" s="5" t="n">
        <x:v>0.4127</x:v>
      </x:c>
      <x:c r="H1005" s="5" t="n">
        <x:v>0.4907</x:v>
      </x:c>
      <x:c r="I1005" s="5" t="n">
        <x:v>0.331</x:v>
      </x:c>
      <x:c r="J1005" s="4" t="n">
        <x:v>1478</x:v>
      </x:c>
      <x:c r="K1005" s="4" t="n">
        <x:v>610</x:v>
      </x:c>
      <x:c r="L1005" s="4" t="n">
        <x:v>756</x:v>
      </x:c>
      <x:c r="M1005" s="4" t="n">
        <x:v>371</x:v>
      </x:c>
      <x:c r="N1005" s="4" t="n">
        <x:v>722</x:v>
      </x:c>
      <x:c r="O1005" s="4" t="n">
        <x:v>239</x:v>
      </x:c>
      <x:c r="P1005" s="1" t="str">
        <x:v>PASS</x:v>
      </x:c>
      <x:c r="Q1005" s="4" t="n">
        <x:v>0</x:v>
      </x:c>
      <x:c r="R1005" s="1" t="str">
        <x:v>PASS</x:v>
      </x:c>
      <x:c r="S1005" s="4" t="n">
        <x:v>0</x:v>
      </x:c>
      <x:c r="T1005" s="1" t="str">
        <x:v>NOT_REVEALING</x:v>
      </x:c>
      <x:c r="U1005" s="1" t="str">
        <x:v>Closure_86</x:v>
      </x:c>
      <x:c r="V1005" s="6" t="n">
        <x:v>64.06</x:v>
      </x:c>
    </x:row>
    <x:row r="1006" ht="22" customHeight="1">
      <x:c r="A1006" s="1" t="str">
        <x:v>Round2</x:v>
      </x:c>
      <x:c r="B1006" s="1" t="str">
        <x:v>Closure</x:v>
      </x:c>
      <x:c r="C1006" s="4" t="n">
        <x:v>87</x:v>
      </x:c>
      <x:c r="D1006" s="4" t="n">
        <x:v>20260928</x:v>
      </x:c>
      <x:c r="E1006" s="4" t="n">
        <x:v>60</x:v>
      </x:c>
      <x:c r="F1006" s="4" t="n">
        <x:v>7</x:v>
      </x:c>
      <x:c r="G1006" s="5" t="n">
        <x:v>0.0196</x:v>
      </x:c>
      <x:c r="H1006" s="5" t="n">
        <x:v>0.0308</x:v>
      </x:c>
      <x:c r="I1006" s="5" t="n">
        <x:v>0.0032</x:v>
      </x:c>
      <x:c r="J1006" s="4" t="n">
        <x:v>764</x:v>
      </x:c>
      <x:c r="K1006" s="4" t="n">
        <x:v>15</x:v>
      </x:c>
      <x:c r="L1006" s="4" t="n">
        <x:v>455</x:v>
      </x:c>
      <x:c r="M1006" s="4" t="n">
        <x:v>14</x:v>
      </x:c>
      <x:c r="N1006" s="4" t="n">
        <x:v>309</x:v>
      </x:c>
      <x:c r="O1006" s="4" t="n">
        <x:v>1</x:v>
      </x:c>
      <x:c r="P1006" s="1" t="str">
        <x:v>PASS</x:v>
      </x:c>
      <x:c r="Q1006" s="4" t="n">
        <x:v>0</x:v>
      </x:c>
      <x:c r="R1006" s="1" t="str">
        <x:v>PASS</x:v>
      </x:c>
      <x:c r="S1006" s="4" t="n">
        <x:v>0</x:v>
      </x:c>
      <x:c r="T1006" s="1" t="str">
        <x:v>NOT_REVEALING</x:v>
      </x:c>
      <x:c r="U1006" s="1" t="str">
        <x:v>Closure_87</x:v>
      </x:c>
      <x:c r="V1006" s="6" t="n">
        <x:v>38.06</x:v>
      </x:c>
    </x:row>
    <x:row r="1007" ht="22" customHeight="1">
      <x:c r="A1007" s="1" t="str">
        <x:v>Round2</x:v>
      </x:c>
      <x:c r="B1007" s="1" t="str">
        <x:v>Closure</x:v>
      </x:c>
      <x:c r="C1007" s="4" t="n">
        <x:v>88</x:v>
      </x:c>
      <x:c r="D1007" s="4" t="n">
        <x:v>20260928</x:v>
      </x:c>
      <x:c r="E1007" s="4" t="n">
        <x:v>60</x:v>
      </x:c>
      <x:c r="F1007" s="4" t="n">
        <x:v>1914</x:v>
      </x:c>
      <x:c r="G1007" s="5" t="n">
        <x:v>0.0388</x:v>
      </x:c>
      <x:c r="H1007" s="5" t="n">
        <x:v>0.0682</x:v>
      </x:c>
      <x:c r="I1007" s="5" t="n">
        <x:v>0</x:v>
      </x:c>
      <x:c r="J1007" s="4" t="n">
        <x:v>232</x:v>
      </x:c>
      <x:c r="K1007" s="4" t="n">
        <x:v>9</x:v>
      </x:c>
      <x:c r="L1007" s="4" t="n">
        <x:v>132</x:v>
      </x:c>
      <x:c r="M1007" s="4" t="n">
        <x:v>9</x:v>
      </x:c>
      <x:c r="N1007" s="4" t="n">
        <x:v>100</x:v>
      </x:c>
      <x:c r="O1007" s="4" t="n">
        <x:v>0</x:v>
      </x:c>
      <x:c r="P1007" s="1" t="str">
        <x:v>PASS</x:v>
      </x:c>
      <x:c r="Q1007" s="4" t="n">
        <x:v>0</x:v>
      </x:c>
      <x:c r="R1007" s="1" t="str">
        <x:v>PASS</x:v>
      </x:c>
      <x:c r="S1007" s="4" t="n">
        <x:v>0</x:v>
      </x:c>
      <x:c r="T1007" s="1" t="str">
        <x:v>NOT_REVEALING</x:v>
      </x:c>
      <x:c r="U1007" s="1" t="str">
        <x:v>Closure_88</x:v>
      </x:c>
      <x:c r="V1007" s="6" t="n">
        <x:v>55.75</x:v>
      </x:c>
    </x:row>
    <x:row r="1008" ht="22" customHeight="1">
      <x:c r="A1008" s="1" t="str">
        <x:v>Round2</x:v>
      </x:c>
      <x:c r="B1008" s="1" t="str">
        <x:v>Closure</x:v>
      </x:c>
      <x:c r="C1008" s="4" t="n">
        <x:v>89</x:v>
      </x:c>
      <x:c r="D1008" s="4" t="n">
        <x:v>20260928</x:v>
      </x:c>
      <x:c r="E1008" s="4" t="n">
        <x:v>60</x:v>
      </x:c>
      <x:c r="F1008" s="4" t="n">
        <x:v>1396</x:v>
      </x:c>
      <x:c r="G1008" s="5" t="n">
        <x:v>0.1636</x:v>
      </x:c>
      <x:c r="H1008" s="5" t="n">
        <x:v>0.1975</x:v>
      </x:c>
      <x:c r="I1008" s="5" t="n">
        <x:v>0.11710000000000001</x:v>
      </x:c>
      <x:c r="J1008" s="4" t="n">
        <x:v>1235</x:v>
      </x:c>
      <x:c r="K1008" s="4" t="n">
        <x:v>202</x:v>
      </x:c>
      <x:c r="L1008" s="4" t="n">
        <x:v>714</x:v>
      </x:c>
      <x:c r="M1008" s="4" t="n">
        <x:v>141</x:v>
      </x:c>
      <x:c r="N1008" s="4" t="n">
        <x:v>521</x:v>
      </x:c>
      <x:c r="O1008" s="4" t="n">
        <x:v>61</x:v>
      </x:c>
      <x:c r="P1008" s="1" t="str">
        <x:v>PASS</x:v>
      </x:c>
      <x:c r="Q1008" s="4" t="n">
        <x:v>0</x:v>
      </x:c>
      <x:c r="R1008" s="1" t="str">
        <x:v>PASS</x:v>
      </x:c>
      <x:c r="S1008" s="4" t="n">
        <x:v>0</x:v>
      </x:c>
      <x:c r="T1008" s="1" t="str">
        <x:v>NOT_REVEALING</x:v>
      </x:c>
      <x:c r="U1008" s="1" t="str">
        <x:v>Closure_89</x:v>
      </x:c>
      <x:c r="V1008" s="6" t="n">
        <x:v>53.11</x:v>
      </x:c>
    </x:row>
    <x:row r="1009" ht="22" customHeight="1">
      <x:c r="A1009" s="1" t="str">
        <x:v>Round2</x:v>
      </x:c>
      <x:c r="B1009" s="1" t="str">
        <x:v>Closure</x:v>
      </x:c>
      <x:c r="C1009" s="4" t="n">
        <x:v>90</x:v>
      </x:c>
      <x:c r="D1009" s="4" t="n">
        <x:v>20260928</x:v>
      </x:c>
      <x:c r="E1009" s="4" t="n">
        <x:v>60</x:v>
      </x:c>
      <x:c r="F1009" s="4" t="n">
        <x:v>3129</x:v>
      </x:c>
      <x:c r="G1009" s="5" t="n">
        <x:v>0.022099999999999998</x:v>
      </x:c>
      <x:c r="H1009" s="5" t="n">
        <x:v>0.039599999999999996</x:v>
      </x:c>
      <x:c r="I1009" s="5" t="n">
        <x:v>0</x:v>
      </x:c>
      <x:c r="J1009" s="4" t="n">
        <x:v>1178</x:v>
      </x:c>
      <x:c r="K1009" s="4" t="n">
        <x:v>26</x:v>
      </x:c>
      <x:c r="L1009" s="4" t="n">
        <x:v>656</x:v>
      </x:c>
      <x:c r="M1009" s="4" t="n">
        <x:v>26</x:v>
      </x:c>
      <x:c r="N1009" s="4" t="n">
        <x:v>522</x:v>
      </x:c>
      <x:c r="O1009" s="4" t="n">
        <x:v>0</x:v>
      </x:c>
      <x:c r="P1009" s="1" t="str">
        <x:v>PASS</x:v>
      </x:c>
      <x:c r="Q1009" s="4" t="n">
        <x:v>0</x:v>
      </x:c>
      <x:c r="R1009" s="1" t="str">
        <x:v>PASS</x:v>
      </x:c>
      <x:c r="S1009" s="4" t="n">
        <x:v>0</x:v>
      </x:c>
      <x:c r="T1009" s="1" t="str">
        <x:v>NOT_REVEALING</x:v>
      </x:c>
      <x:c r="U1009" s="1" t="str">
        <x:v>Closure_90</x:v>
      </x:c>
      <x:c r="V1009" s="6" t="n">
        <x:v>45.02</x:v>
      </x:c>
    </x:row>
    <x:row r="1010" ht="22" customHeight="1">
      <x:c r="A1010" s="1" t="str">
        <x:v>Round2</x:v>
      </x:c>
      <x:c r="B1010" s="1" t="str">
        <x:v>Closure</x:v>
      </x:c>
      <x:c r="C1010" s="4" t="n">
        <x:v>91</x:v>
      </x:c>
      <x:c r="D1010" s="4" t="n">
        <x:v>20260928</x:v>
      </x:c>
      <x:c r="E1010" s="4" t="n">
        <x:v>60</x:v>
      </x:c>
      <x:c r="F1010" s="4" t="n">
        <x:v>5</x:v>
      </x:c>
      <x:c r="G1010" s="5" t="n">
        <x:v>0.0684</x:v>
      </x:c>
      <x:c r="H1010" s="5" t="n">
        <x:v>0.15689999999999998</x:v>
      </x:c>
      <x:c r="I1010" s="5" t="n">
        <x:v>0</x:v>
      </x:c>
      <x:c r="J1010" s="4" t="n">
        <x:v>117</x:v>
      </x:c>
      <x:c r="K1010" s="4" t="n">
        <x:v>8</x:v>
      </x:c>
      <x:c r="L1010" s="4" t="n">
        <x:v>51</x:v>
      </x:c>
      <x:c r="M1010" s="4" t="n">
        <x:v>8</x:v>
      </x:c>
      <x:c r="N1010" s="4" t="n">
        <x:v>66</x:v>
      </x:c>
      <x:c r="O1010" s="4" t="n">
        <x:v>0</x:v>
      </x:c>
      <x:c r="P1010" s="1" t="str">
        <x:v>PASS</x:v>
      </x:c>
      <x:c r="Q1010" s="4" t="n">
        <x:v>0</x:v>
      </x:c>
      <x:c r="R1010" s="1" t="str">
        <x:v>PASS</x:v>
      </x:c>
      <x:c r="S1010" s="4" t="n">
        <x:v>0</x:v>
      </x:c>
      <x:c r="T1010" s="1" t="str">
        <x:v>NOT_REVEALING</x:v>
      </x:c>
      <x:c r="U1010" s="1" t="str">
        <x:v>Closure_91</x:v>
      </x:c>
      <x:c r="V1010" s="6" t="n">
        <x:v>34.13</x:v>
      </x:c>
    </x:row>
    <x:row r="1011" ht="22" customHeight="1">
      <x:c r="A1011" s="1" t="str">
        <x:v>Round2</x:v>
      </x:c>
      <x:c r="B1011" s="1" t="str">
        <x:v>Closure</x:v>
      </x:c>
      <x:c r="C1011" s="4" t="n">
        <x:v>92</x:v>
      </x:c>
      <x:c r="D1011" s="4" t="n">
        <x:v>20260928</x:v>
      </x:c>
      <x:c r="E1011" s="4" t="n">
        <x:v>60</x:v>
      </x:c>
      <x:c r="F1011" s="4" t="n">
        <x:v>15</x:v>
      </x:c>
      <x:c r="G1011" s="5" t="n">
        <x:v>0.03</x:v>
      </x:c>
      <x:c r="H1011" s="5" t="n">
        <x:v>0.0489</x:v>
      </x:c>
      <x:c r="I1011" s="5" t="n">
        <x:v>0</x:v>
      </x:c>
      <x:c r="J1011" s="4" t="n">
        <x:v>667</x:v>
      </x:c>
      <x:c r="K1011" s="4" t="n">
        <x:v>20</x:v>
      </x:c>
      <x:c r="L1011" s="4" t="n">
        <x:v>409</x:v>
      </x:c>
      <x:c r="M1011" s="4" t="n">
        <x:v>20</x:v>
      </x:c>
      <x:c r="N1011" s="4" t="n">
        <x:v>258</x:v>
      </x:c>
      <x:c r="O1011" s="4" t="n">
        <x:v>0</x:v>
      </x:c>
      <x:c r="P1011" s="1" t="str">
        <x:v>PASS</x:v>
      </x:c>
      <x:c r="Q1011" s="4" t="n">
        <x:v>0</x:v>
      </x:c>
      <x:c r="R1011" s="1" t="str">
        <x:v>PASS</x:v>
      </x:c>
      <x:c r="S1011" s="4" t="n">
        <x:v>0</x:v>
      </x:c>
      <x:c r="T1011" s="1" t="str">
        <x:v>NOT_REVEALING</x:v>
      </x:c>
      <x:c r="U1011" s="1" t="str">
        <x:v>Closure_92</x:v>
      </x:c>
      <x:c r="V1011" s="6" t="n">
        <x:v>33.07</x:v>
      </x:c>
    </x:row>
    <x:row r="1012" ht="22" customHeight="1">
      <x:c r="A1012" s="1" t="str">
        <x:v>Round2</x:v>
      </x:c>
      <x:c r="B1012" s="1" t="str">
        <x:v>Closure</x:v>
      </x:c>
      <x:c r="C1012" s="4" t="n">
        <x:v>94</x:v>
      </x:c>
      <x:c r="D1012" s="4" t="n">
        <x:v>20260928</x:v>
      </x:c>
      <x:c r="E1012" s="4" t="n">
        <x:v>60</x:v>
      </x:c>
      <x:c r="F1012" s="4" t="n">
        <x:v>1826</x:v>
      </x:c>
      <x:c r="G1012" s="5" t="n">
        <x:v>0.4368</x:v>
      </x:c>
      <x:c r="H1012" s="5" t="n">
        <x:v>0.5153</x:v>
      </x:c>
      <x:c r="I1012" s="5" t="n">
        <x:v>0.3546</x:v>
      </x:c>
      <x:c r="J1012" s="4" t="n">
        <x:v>1344</x:v>
      </x:c>
      <x:c r="K1012" s="4" t="n">
        <x:v>587</x:v>
      </x:c>
      <x:c r="L1012" s="4" t="n">
        <x:v>687</x:v>
      </x:c>
      <x:c r="M1012" s="4" t="n">
        <x:v>354</x:v>
      </x:c>
      <x:c r="N1012" s="4" t="n">
        <x:v>657</x:v>
      </x:c>
      <x:c r="O1012" s="4" t="n">
        <x:v>233</x:v>
      </x:c>
      <x:c r="P1012" s="1" t="str">
        <x:v>FAIL</x:v>
      </x:c>
      <x:c r="Q1012" s="4" t="n">
        <x:v>12</x:v>
      </x:c>
      <x:c r="R1012" s="1" t="str">
        <x:v>FAIL</x:v>
      </x:c>
      <x:c r="S1012" s="4" t="n">
        <x:v>12</x:v>
      </x:c>
      <x:c r="T1012" s="1" t="str">
        <x:v>INCONCLUSIVE</x:v>
      </x:c>
      <x:c r="U1012" s="1" t="str">
        <x:v>Closure_94</x:v>
      </x:c>
      <x:c r="V1012" s="6" t="n">
        <x:v>56.54</x:v>
      </x:c>
    </x:row>
    <x:row r="1013" ht="22" customHeight="1">
      <x:c r="A1013" s="1" t="str">
        <x:v>Round2</x:v>
      </x:c>
      <x:c r="B1013" s="1" t="str">
        <x:v>Closure</x:v>
      </x:c>
      <x:c r="C1013" s="4" t="n">
        <x:v>95</x:v>
      </x:c>
      <x:c r="D1013" s="4" t="n">
        <x:v>20260928</x:v>
      </x:c>
      <x:c r="E1013" s="4" t="n">
        <x:v>60</x:v>
      </x:c>
      <x:c r="F1013" s="4" t="n">
        <x:v>7</x:v>
      </x:c>
      <x:c r="G1013" s="5" t="n">
        <x:v>0.0096</x:v>
      </x:c>
      <x:c r="H1013" s="5" t="n">
        <x:v>0.0166</x:v>
      </x:c>
      <x:c r="I1013" s="5" t="n">
        <x:v>0</x:v>
      </x:c>
      <x:c r="J1013" s="4" t="n">
        <x:v>1150</x:v>
      </x:c>
      <x:c r="K1013" s="4" t="n">
        <x:v>11</x:v>
      </x:c>
      <x:c r="L1013" s="4" t="n">
        <x:v>663</x:v>
      </x:c>
      <x:c r="M1013" s="4" t="n">
        <x:v>11</x:v>
      </x:c>
      <x:c r="N1013" s="4" t="n">
        <x:v>487</x:v>
      </x:c>
      <x:c r="O1013" s="4" t="n">
        <x:v>0</x:v>
      </x:c>
      <x:c r="P1013" s="1" t="str">
        <x:v>PASS</x:v>
      </x:c>
      <x:c r="Q1013" s="4" t="n">
        <x:v>0</x:v>
      </x:c>
      <x:c r="R1013" s="1" t="str">
        <x:v>PASS</x:v>
      </x:c>
      <x:c r="S1013" s="4" t="n">
        <x:v>0</x:v>
      </x:c>
      <x:c r="T1013" s="1" t="str">
        <x:v>NOT_REVEALING</x:v>
      </x:c>
      <x:c r="U1013" s="1" t="str">
        <x:v>Closure_95</x:v>
      </x:c>
      <x:c r="V1013" s="6" t="n">
        <x:v>34.42</x:v>
      </x:c>
    </x:row>
    <x:row r="1014" ht="22" customHeight="1">
      <x:c r="A1014" s="1" t="str">
        <x:v>Round2</x:v>
      </x:c>
      <x:c r="B1014" s="1" t="str">
        <x:v>Closure</x:v>
      </x:c>
      <x:c r="C1014" s="4" t="n">
        <x:v>96</x:v>
      </x:c>
      <x:c r="D1014" s="4" t="n">
        <x:v>20260928</x:v>
      </x:c>
      <x:c r="E1014" s="4" t="n">
        <x:v>60</x:v>
      </x:c>
      <x:c r="F1014" s="4" t="n">
        <x:v>34</x:v>
      </x:c>
      <x:c r="G1014" s="5" t="n">
        <x:v>0.058600000000000006</x:v>
      </x:c>
      <x:c r="H1014" s="5" t="n">
        <x:v>0.0953</x:v>
      </x:c>
      <x:c r="I1014" s="5" t="n">
        <x:v>0</x:v>
      </x:c>
      <x:c r="J1014" s="4" t="n">
        <x:v>1110</x:v>
      </x:c>
      <x:c r="K1014" s="4" t="n">
        <x:v>65</x:v>
      </x:c>
      <x:c r="L1014" s="4" t="n">
        <x:v>682</x:v>
      </x:c>
      <x:c r="M1014" s="4" t="n">
        <x:v>65</x:v>
      </x:c>
      <x:c r="N1014" s="4" t="n">
        <x:v>428</x:v>
      </x:c>
      <x:c r="O1014" s="4" t="n">
        <x:v>0</x:v>
      </x:c>
      <x:c r="P1014" s="1" t="str">
        <x:v>PASS</x:v>
      </x:c>
      <x:c r="Q1014" s="4" t="n">
        <x:v>0</x:v>
      </x:c>
      <x:c r="R1014" s="1" t="str">
        <x:v>PASS</x:v>
      </x:c>
      <x:c r="S1014" s="4" t="n">
        <x:v>0</x:v>
      </x:c>
      <x:c r="T1014" s="1" t="str">
        <x:v>NOT_REVEALING</x:v>
      </x:c>
      <x:c r="U1014" s="1" t="str">
        <x:v>Closure_96</x:v>
      </x:c>
      <x:c r="V1014" s="6" t="n">
        <x:v>33.54</x:v>
      </x:c>
    </x:row>
    <x:row r="1015" ht="22" customHeight="1">
      <x:c r="A1015" s="1" t="str">
        <x:v>Round2</x:v>
      </x:c>
      <x:c r="B1015" s="1" t="str">
        <x:v>Closure</x:v>
      </x:c>
      <x:c r="C1015" s="4" t="n">
        <x:v>97</x:v>
      </x:c>
      <x:c r="D1015" s="4" t="n">
        <x:v>20260928</x:v>
      </x:c>
      <x:c r="E1015" s="4" t="n">
        <x:v>60</x:v>
      </x:c>
      <x:c r="F1015" s="4" t="n">
        <x:v>10</x:v>
      </x:c>
      <x:c r="G1015" s="5" t="n">
        <x:v>0.0141</x:v>
      </x:c>
      <x:c r="H1015" s="5" t="n">
        <x:v>0.0252</x:v>
      </x:c>
      <x:c r="I1015" s="5" t="n">
        <x:v>0</x:v>
      </x:c>
      <x:c r="J1015" s="4" t="n">
        <x:v>992</x:v>
      </x:c>
      <x:c r="K1015" s="4" t="n">
        <x:v>14</x:v>
      </x:c>
      <x:c r="L1015" s="4" t="n">
        <x:v>555</x:v>
      </x:c>
      <x:c r="M1015" s="4" t="n">
        <x:v>14</x:v>
      </x:c>
      <x:c r="N1015" s="4" t="n">
        <x:v>437</x:v>
      </x:c>
      <x:c r="O1015" s="4" t="n">
        <x:v>0</x:v>
      </x:c>
      <x:c r="P1015" s="1" t="str">
        <x:v>PASS</x:v>
      </x:c>
      <x:c r="Q1015" s="4" t="n">
        <x:v>0</x:v>
      </x:c>
      <x:c r="R1015" s="1" t="str">
        <x:v>PASS</x:v>
      </x:c>
      <x:c r="S1015" s="4" t="n">
        <x:v>0</x:v>
      </x:c>
      <x:c r="T1015" s="1" t="str">
        <x:v>NOT_REVEALING</x:v>
      </x:c>
      <x:c r="U1015" s="1" t="str">
        <x:v>Closure_97</x:v>
      </x:c>
      <x:c r="V1015" s="6" t="n">
        <x:v>31.6</x:v>
      </x:c>
    </x:row>
    <x:row r="1016" ht="22" customHeight="1">
      <x:c r="A1016" s="1" t="str">
        <x:v>Round2</x:v>
      </x:c>
      <x:c r="B1016" s="1" t="str">
        <x:v>Closure</x:v>
      </x:c>
      <x:c r="C1016" s="4" t="n">
        <x:v>98</x:v>
      </x:c>
      <x:c r="D1016" s="4" t="n">
        <x:v>20260928</x:v>
      </x:c>
      <x:c r="E1016" s="4" t="n">
        <x:v>60</x:v>
      </x:c>
      <x:c r="F1016" s="4" t="n">
        <x:v>1939</x:v>
      </x:c>
      <x:c r="G1016" s="5" t="n">
        <x:v>0.2712</x:v>
      </x:c>
      <x:c r="H1016" s="5" t="n">
        <x:v>0.38689999999999997</x:v>
      </x:c>
      <x:c r="I1016" s="5" t="n">
        <x:v>0.11810000000000001</x:v>
      </x:c>
      <x:c r="J1016" s="4" t="n">
        <x:v>295</x:v>
      </x:c>
      <x:c r="K1016" s="4" t="n">
        <x:v>80</x:v>
      </x:c>
      <x:c r="L1016" s="4" t="n">
        <x:v>168</x:v>
      </x:c>
      <x:c r="M1016" s="4" t="n">
        <x:v>65</x:v>
      </x:c>
      <x:c r="N1016" s="4" t="n">
        <x:v>127</x:v>
      </x:c>
      <x:c r="O1016" s="4" t="n">
        <x:v>15</x:v>
      </x:c>
      <x:c r="P1016" s="1" t="str">
        <x:v>PASS</x:v>
      </x:c>
      <x:c r="Q1016" s="4" t="n">
        <x:v>0</x:v>
      </x:c>
      <x:c r="R1016" s="1" t="str">
        <x:v>PASS</x:v>
      </x:c>
      <x:c r="S1016" s="4" t="n">
        <x:v>0</x:v>
      </x:c>
      <x:c r="T1016" s="1" t="str">
        <x:v>NOT_REVEALING</x:v>
      </x:c>
      <x:c r="U1016" s="1" t="str">
        <x:v>Closure_98</x:v>
      </x:c>
      <x:c r="V1016" s="6" t="n">
        <x:v>48.31</x:v>
      </x:c>
    </x:row>
    <x:row r="1017" ht="22" customHeight="1">
      <x:c r="A1017" s="1" t="str">
        <x:v>Round2</x:v>
      </x:c>
      <x:c r="B1017" s="1" t="str">
        <x:v>Closure</x:v>
      </x:c>
      <x:c r="C1017" s="4" t="n">
        <x:v>99</x:v>
      </x:c>
      <x:c r="D1017" s="4" t="n">
        <x:v>20260928</x:v>
      </x:c>
      <x:c r="E1017" s="4" t="n">
        <x:v>60</x:v>
      </x:c>
      <x:c r="F1017" s="4" t="n">
        <x:v>5</x:v>
      </x:c>
      <x:c r="G1017" s="5" t="n">
        <x:v>0.0762</x:v>
      </x:c>
      <x:c r="H1017" s="5" t="n">
        <x:v>0.1702</x:v>
      </x:c>
      <x:c r="I1017" s="5" t="n">
        <x:v>0</x:v>
      </x:c>
      <x:c r="J1017" s="4" t="n">
        <x:v>105</x:v>
      </x:c>
      <x:c r="K1017" s="4" t="n">
        <x:v>8</x:v>
      </x:c>
      <x:c r="L1017" s="4" t="n">
        <x:v>47</x:v>
      </x:c>
      <x:c r="M1017" s="4" t="n">
        <x:v>8</x:v>
      </x:c>
      <x:c r="N1017" s="4" t="n">
        <x:v>58</x:v>
      </x:c>
      <x:c r="O1017" s="4" t="n">
        <x:v>0</x:v>
      </x:c>
      <x:c r="P1017" s="1" t="str">
        <x:v>PASS</x:v>
      </x:c>
      <x:c r="Q1017" s="4" t="n">
        <x:v>0</x:v>
      </x:c>
      <x:c r="R1017" s="1" t="str">
        <x:v>PASS</x:v>
      </x:c>
      <x:c r="S1017" s="4" t="n">
        <x:v>0</x:v>
      </x:c>
      <x:c r="T1017" s="1" t="str">
        <x:v>NOT_REVEALING</x:v>
      </x:c>
      <x:c r="U1017" s="1" t="str">
        <x:v>Closure_99</x:v>
      </x:c>
      <x:c r="V1017" s="6" t="n">
        <x:v>31.12</x:v>
      </x:c>
    </x:row>
    <x:row r="1018" ht="22" customHeight="1">
      <x:c r="A1018" s="1" t="str">
        <x:v>Round2</x:v>
      </x:c>
      <x:c r="B1018" s="1" t="str">
        <x:v>Closure</x:v>
      </x:c>
      <x:c r="C1018" s="4" t="n">
        <x:v>100</x:v>
      </x:c>
      <x:c r="D1018" s="4" t="n">
        <x:v>20260928</x:v>
      </x:c>
      <x:c r="E1018" s="4" t="n">
        <x:v>60</x:v>
      </x:c>
      <x:c r="F1018" s="4" t="n">
        <x:v>5</x:v>
      </x:c>
      <x:c r="G1018" s="5" t="n">
        <x:v>0.09300000000000001</x:v>
      </x:c>
      <x:c r="H1018" s="5" t="n">
        <x:v>0.1905</x:v>
      </x:c>
      <x:c r="I1018" s="5" t="n">
        <x:v>0</x:v>
      </x:c>
      <x:c r="J1018" s="4" t="n">
        <x:v>86</x:v>
      </x:c>
      <x:c r="K1018" s="4" t="n">
        <x:v>8</x:v>
      </x:c>
      <x:c r="L1018" s="4" t="n">
        <x:v>42</x:v>
      </x:c>
      <x:c r="M1018" s="4" t="n">
        <x:v>8</x:v>
      </x:c>
      <x:c r="N1018" s="4" t="n">
        <x:v>44</x:v>
      </x:c>
      <x:c r="O1018" s="4" t="n">
        <x:v>0</x:v>
      </x:c>
      <x:c r="P1018" s="1" t="str">
        <x:v>PASS</x:v>
      </x:c>
      <x:c r="Q1018" s="4" t="n">
        <x:v>0</x:v>
      </x:c>
      <x:c r="R1018" s="1" t="str">
        <x:v>PASS</x:v>
      </x:c>
      <x:c r="S1018" s="4" t="n">
        <x:v>0</x:v>
      </x:c>
      <x:c r="T1018" s="1" t="str">
        <x:v>NOT_REVEALING</x:v>
      </x:c>
      <x:c r="U1018" s="1" t="str">
        <x:v>Closure_100</x:v>
      </x:c>
      <x:c r="V1018" s="6" t="n">
        <x:v>24.56</x:v>
      </x:c>
    </x:row>
    <x:row r="1019" ht="22" customHeight="1">
      <x:c r="A1019" s="1" t="str">
        <x:v>Round2</x:v>
      </x:c>
      <x:c r="B1019" s="1" t="str">
        <x:v>Closure</x:v>
      </x:c>
      <x:c r="C1019" s="4" t="n">
        <x:v>101</x:v>
      </x:c>
      <x:c r="D1019" s="4" t="n">
        <x:v>20260928</x:v>
      </x:c>
      <x:c r="E1019" s="4" t="n">
        <x:v>60</x:v>
      </x:c>
      <x:c r="F1019" s="4" t="n">
        <x:v>0</x:v>
      </x:c>
      <x:c r="G1019" s="5"/>
      <x:c r="H1019" s="5"/>
      <x:c r="I1019" s="5"/>
      <x:c r="J1019" s="4" t="n">
        <x:v>0</x:v>
      </x:c>
      <x:c r="K1019" s="4" t="n">
        <x:v>0</x:v>
      </x:c>
      <x:c r="L1019" s="4" t="n">
        <x:v>0</x:v>
      </x:c>
      <x:c r="M1019" s="4" t="n">
        <x:v>0</x:v>
      </x:c>
      <x:c r="N1019" s="4" t="n">
        <x:v>0</x:v>
      </x:c>
      <x:c r="O1019" s="4" t="n">
        <x:v>0</x:v>
      </x:c>
      <x:c r="P1019" s="1" t="str">
        <x:v>NOT_RUN</x:v>
      </x:c>
      <x:c r="Q1019" s="4"/>
      <x:c r="R1019" s="1" t="str">
        <x:v>NOT_RUN</x:v>
      </x:c>
      <x:c r="S1019" s="4"/>
      <x:c r="T1019" s="1" t="str">
        <x:v>FAIL</x:v>
      </x:c>
      <x:c r="U1019" s="1" t="str">
        <x:v>Closure_101</x:v>
      </x:c>
      <x:c r="V1019" s="6"/>
    </x:row>
    <x:row r="1020" ht="22" customHeight="1">
      <x:c r="A1020" s="1" t="str">
        <x:v>Round2</x:v>
      </x:c>
      <x:c r="B1020" s="1" t="str">
        <x:v>Closure</x:v>
      </x:c>
      <x:c r="C1020" s="4" t="n">
        <x:v>102</x:v>
      </x:c>
      <x:c r="D1020" s="4" t="n">
        <x:v>20260928</x:v>
      </x:c>
      <x:c r="E1020" s="4" t="n">
        <x:v>60</x:v>
      </x:c>
      <x:c r="F1020" s="4" t="n">
        <x:v>302</x:v>
      </x:c>
      <x:c r="G1020" s="5" t="n">
        <x:v>0.0712</x:v>
      </x:c>
      <x:c r="H1020" s="5" t="n">
        <x:v>0.11289999999999999</x:v>
      </x:c>
      <x:c r="I1020" s="5" t="n">
        <x:v>0</x:v>
      </x:c>
      <x:c r="J1020" s="4" t="n">
        <x:v>295</x:v>
      </x:c>
      <x:c r="K1020" s="4" t="n">
        <x:v>21</x:v>
      </x:c>
      <x:c r="L1020" s="4" t="n">
        <x:v>186</x:v>
      </x:c>
      <x:c r="M1020" s="4" t="n">
        <x:v>21</x:v>
      </x:c>
      <x:c r="N1020" s="4" t="n">
        <x:v>109</x:v>
      </x:c>
      <x:c r="O1020" s="4" t="n">
        <x:v>0</x:v>
      </x:c>
      <x:c r="P1020" s="1" t="str">
        <x:v>PASS</x:v>
      </x:c>
      <x:c r="Q1020" s="4" t="n">
        <x:v>0</x:v>
      </x:c>
      <x:c r="R1020" s="1" t="str">
        <x:v>PASS</x:v>
      </x:c>
      <x:c r="S1020" s="4" t="n">
        <x:v>0</x:v>
      </x:c>
      <x:c r="T1020" s="1" t="str">
        <x:v>NOT_REVEALING</x:v>
      </x:c>
      <x:c r="U1020" s="1" t="str">
        <x:v>Closure_102</x:v>
      </x:c>
      <x:c r="V1020" s="6" t="n">
        <x:v>29.24</x:v>
      </x:c>
    </x:row>
    <x:row r="1021" ht="22" customHeight="1">
      <x:c r="A1021" s="1" t="str">
        <x:v>Round2</x:v>
      </x:c>
      <x:c r="B1021" s="1" t="str">
        <x:v>Closure</x:v>
      </x:c>
      <x:c r="C1021" s="4" t="n">
        <x:v>103</x:v>
      </x:c>
      <x:c r="D1021" s="4" t="n">
        <x:v>20260928</x:v>
      </x:c>
      <x:c r="E1021" s="4" t="n">
        <x:v>60</x:v>
      </x:c>
      <x:c r="F1021" s="4" t="n">
        <x:v>961</x:v>
      </x:c>
      <x:c r="G1021" s="5" t="n">
        <x:v>0.0212</x:v>
      </x:c>
      <x:c r="H1021" s="5" t="n">
        <x:v>0.0355</x:v>
      </x:c>
      <x:c r="I1021" s="5" t="n">
        <x:v>0</x:v>
      </x:c>
      <x:c r="J1021" s="4" t="n">
        <x:v>1276</x:v>
      </x:c>
      <x:c r="K1021" s="4" t="n">
        <x:v>27</x:v>
      </x:c>
      <x:c r="L1021" s="4" t="n">
        <x:v>760</x:v>
      </x:c>
      <x:c r="M1021" s="4" t="n">
        <x:v>27</x:v>
      </x:c>
      <x:c r="N1021" s="4" t="n">
        <x:v>516</x:v>
      </x:c>
      <x:c r="O1021" s="4" t="n">
        <x:v>0</x:v>
      </x:c>
      <x:c r="P1021" s="1" t="str">
        <x:v>PASS</x:v>
      </x:c>
      <x:c r="Q1021" s="4" t="n">
        <x:v>0</x:v>
      </x:c>
      <x:c r="R1021" s="1" t="str">
        <x:v>PASS</x:v>
      </x:c>
      <x:c r="S1021" s="4" t="n">
        <x:v>0</x:v>
      </x:c>
      <x:c r="T1021" s="1" t="str">
        <x:v>NOT_REVEALING</x:v>
      </x:c>
      <x:c r="U1021" s="1" t="str">
        <x:v>Closure_103</x:v>
      </x:c>
      <x:c r="V1021" s="6" t="n">
        <x:v>42.87</x:v>
      </x:c>
    </x:row>
    <x:row r="1022" ht="22" customHeight="1">
      <x:c r="A1022" s="1" t="str">
        <x:v>Round2</x:v>
      </x:c>
      <x:c r="B1022" s="1" t="str">
        <x:v>Closure</x:v>
      </x:c>
      <x:c r="C1022" s="4" t="n">
        <x:v>104</x:v>
      </x:c>
      <x:c r="D1022" s="4" t="n">
        <x:v>20260928</x:v>
      </x:c>
      <x:c r="E1022" s="4" t="n">
        <x:v>60</x:v>
      </x:c>
      <x:c r="F1022" s="4" t="n">
        <x:v>2582</x:v>
      </x:c>
      <x:c r="G1022" s="5" t="n">
        <x:v>0.5918</x:v>
      </x:c>
      <x:c r="H1022" s="5" t="n">
        <x:v>0.6562</x:v>
      </x:c>
      <x:c r="I1022" s="5" t="n">
        <x:v>0.4919</x:v>
      </x:c>
      <x:c r="J1022" s="4" t="n">
        <x:v>316</x:v>
      </x:c>
      <x:c r="K1022" s="4" t="n">
        <x:v>187</x:v>
      </x:c>
      <x:c r="L1022" s="4" t="n">
        <x:v>192</x:v>
      </x:c>
      <x:c r="M1022" s="4" t="n">
        <x:v>126</x:v>
      </x:c>
      <x:c r="N1022" s="4" t="n">
        <x:v>124</x:v>
      </x:c>
      <x:c r="O1022" s="4" t="n">
        <x:v>61</x:v>
      </x:c>
      <x:c r="P1022" s="1" t="str">
        <x:v>PASS</x:v>
      </x:c>
      <x:c r="Q1022" s="4" t="n">
        <x:v>0</x:v>
      </x:c>
      <x:c r="R1022" s="1" t="str">
        <x:v>PASS</x:v>
      </x:c>
      <x:c r="S1022" s="4" t="n">
        <x:v>0</x:v>
      </x:c>
      <x:c r="T1022" s="1" t="str">
        <x:v>NOT_REVEALING</x:v>
      </x:c>
      <x:c r="U1022" s="1" t="str">
        <x:v>Closure_104</x:v>
      </x:c>
      <x:c r="V1022" s="6" t="n">
        <x:v>62.63</x:v>
      </x:c>
    </x:row>
    <x:row r="1023" ht="22" customHeight="1">
      <x:c r="A1023" s="1" t="str">
        <x:v>Round2</x:v>
      </x:c>
      <x:c r="B1023" s="1" t="str">
        <x:v>Closure</x:v>
      </x:c>
      <x:c r="C1023" s="4" t="n">
        <x:v>105</x:v>
      </x:c>
      <x:c r="D1023" s="4" t="n">
        <x:v>20260928</x:v>
      </x:c>
      <x:c r="E1023" s="4" t="n">
        <x:v>60</x:v>
      </x:c>
      <x:c r="F1023" s="4" t="n">
        <x:v>1477</x:v>
      </x:c>
      <x:c r="G1023" s="5" t="n">
        <x:v>0.0092</x:v>
      </x:c>
      <x:c r="H1023" s="5" t="n">
        <x:v>0.0161</x:v>
      </x:c>
      <x:c r="I1023" s="5" t="n">
        <x:v>0</x:v>
      </x:c>
      <x:c r="J1023" s="4" t="n">
        <x:v>1732</x:v>
      </x:c>
      <x:c r="K1023" s="4" t="n">
        <x:v>16</x:v>
      </x:c>
      <x:c r="L1023" s="4" t="n">
        <x:v>993</x:v>
      </x:c>
      <x:c r="M1023" s="4" t="n">
        <x:v>16</x:v>
      </x:c>
      <x:c r="N1023" s="4" t="n">
        <x:v>739</x:v>
      </x:c>
      <x:c r="O1023" s="4" t="n">
        <x:v>0</x:v>
      </x:c>
      <x:c r="P1023" s="1" t="str">
        <x:v>PASS</x:v>
      </x:c>
      <x:c r="Q1023" s="4" t="n">
        <x:v>0</x:v>
      </x:c>
      <x:c r="R1023" s="1" t="str">
        <x:v>PASS</x:v>
      </x:c>
      <x:c r="S1023" s="4" t="n">
        <x:v>0</x:v>
      </x:c>
      <x:c r="T1023" s="1" t="str">
        <x:v>NOT_REVEALING</x:v>
      </x:c>
      <x:c r="U1023" s="1" t="str">
        <x:v>Closure_105</x:v>
      </x:c>
      <x:c r="V1023" s="6" t="n">
        <x:v>43.57</x:v>
      </x:c>
    </x:row>
    <x:row r="1024" ht="22" customHeight="1">
      <x:c r="A1024" s="1" t="str">
        <x:v>Round2</x:v>
      </x:c>
      <x:c r="B1024" s="1" t="str">
        <x:v>Closure</x:v>
      </x:c>
      <x:c r="C1024" s="4" t="n">
        <x:v>106</x:v>
      </x:c>
      <x:c r="D1024" s="4" t="n">
        <x:v>20260928</x:v>
      </x:c>
      <x:c r="E1024" s="4" t="n">
        <x:v>60</x:v>
      </x:c>
      <x:c r="F1024" s="4" t="n">
        <x:v>1925</x:v>
      </x:c>
      <x:c r="G1024" s="5" t="n">
        <x:v>0.3942</x:v>
      </x:c>
      <x:c r="H1024" s="5" t="n">
        <x:v>0.4682</x:v>
      </x:c>
      <x:c r="I1024" s="5" t="n">
        <x:v>0.2874</x:v>
      </x:c>
      <x:c r="J1024" s="4" t="n">
        <x:v>1063</x:v>
      </x:c>
      <x:c r="K1024" s="4" t="n">
        <x:v>419</x:v>
      </x:c>
      <x:c r="L1024" s="4" t="n">
        <x:v>628</x:v>
      </x:c>
      <x:c r="M1024" s="4" t="n">
        <x:v>294</x:v>
      </x:c>
      <x:c r="N1024" s="4" t="n">
        <x:v>435</x:v>
      </x:c>
      <x:c r="O1024" s="4" t="n">
        <x:v>125</x:v>
      </x:c>
      <x:c r="P1024" s="1" t="str">
        <x:v>PASS</x:v>
      </x:c>
      <x:c r="Q1024" s="4" t="n">
        <x:v>0</x:v>
      </x:c>
      <x:c r="R1024" s="1" t="str">
        <x:v>FAIL</x:v>
      </x:c>
      <x:c r="S1024" s="4" t="n">
        <x:v>2</x:v>
      </x:c>
      <x:c r="T1024" s="1" t="str">
        <x:v>INCONCLUSIVE</x:v>
      </x:c>
      <x:c r="U1024" s="1" t="str">
        <x:v>Closure_106</x:v>
      </x:c>
      <x:c r="V1024" s="6" t="n">
        <x:v>42.98</x:v>
      </x:c>
    </x:row>
    <x:row r="1025" ht="22" customHeight="1">
      <x:c r="A1025" s="1" t="str">
        <x:v>Round2</x:v>
      </x:c>
      <x:c r="B1025" s="1" t="str">
        <x:v>Closure</x:v>
      </x:c>
      <x:c r="C1025" s="4" t="n">
        <x:v>107</x:v>
      </x:c>
      <x:c r="D1025" s="4" t="n">
        <x:v>20260928</x:v>
      </x:c>
      <x:c r="E1025" s="4" t="n">
        <x:v>60</x:v>
      </x:c>
      <x:c r="F1025" s="4" t="n">
        <x:v>0</x:v>
      </x:c>
      <x:c r="G1025" s="5"/>
      <x:c r="H1025" s="5"/>
      <x:c r="I1025" s="5"/>
      <x:c r="J1025" s="4" t="n">
        <x:v>0</x:v>
      </x:c>
      <x:c r="K1025" s="4" t="n">
        <x:v>0</x:v>
      </x:c>
      <x:c r="L1025" s="4" t="n">
        <x:v>0</x:v>
      </x:c>
      <x:c r="M1025" s="4" t="n">
        <x:v>0</x:v>
      </x:c>
      <x:c r="N1025" s="4" t="n">
        <x:v>0</x:v>
      </x:c>
      <x:c r="O1025" s="4" t="n">
        <x:v>0</x:v>
      </x:c>
      <x:c r="P1025" s="1" t="str">
        <x:v>NOT_RUN</x:v>
      </x:c>
      <x:c r="Q1025" s="4"/>
      <x:c r="R1025" s="1" t="str">
        <x:v>NOT_RUN</x:v>
      </x:c>
      <x:c r="S1025" s="4"/>
      <x:c r="T1025" s="1" t="str">
        <x:v>FAIL</x:v>
      </x:c>
      <x:c r="U1025" s="1" t="str">
        <x:v>Closure_107</x:v>
      </x:c>
      <x:c r="V1025" s="6"/>
    </x:row>
    <x:row r="1026" ht="22" customHeight="1">
      <x:c r="A1026" s="1" t="str">
        <x:v>Round2</x:v>
      </x:c>
      <x:c r="B1026" s="1" t="str">
        <x:v>Closure</x:v>
      </x:c>
      <x:c r="C1026" s="4" t="n">
        <x:v>108</x:v>
      </x:c>
      <x:c r="D1026" s="4" t="n">
        <x:v>20260928</x:v>
      </x:c>
      <x:c r="E1026" s="4" t="n">
        <x:v>60</x:v>
      </x:c>
      <x:c r="F1026" s="4" t="n">
        <x:v>13</x:v>
      </x:c>
      <x:c r="G1026" s="5" t="n">
        <x:v>0.0644</x:v>
      </x:c>
      <x:c r="H1026" s="5" t="n">
        <x:v>0.10039999999999999</x:v>
      </x:c>
      <x:c r="I1026" s="5" t="n">
        <x:v>0</x:v>
      </x:c>
      <x:c r="J1026" s="4" t="n">
        <x:v>419</x:v>
      </x:c>
      <x:c r="K1026" s="4" t="n">
        <x:v>27</x:v>
      </x:c>
      <x:c r="L1026" s="4" t="n">
        <x:v>269</x:v>
      </x:c>
      <x:c r="M1026" s="4" t="n">
        <x:v>27</x:v>
      </x:c>
      <x:c r="N1026" s="4" t="n">
        <x:v>150</x:v>
      </x:c>
      <x:c r="O1026" s="4" t="n">
        <x:v>0</x:v>
      </x:c>
      <x:c r="P1026" s="1" t="str">
        <x:v>PASS</x:v>
      </x:c>
      <x:c r="Q1026" s="4" t="n">
        <x:v>0</x:v>
      </x:c>
      <x:c r="R1026" s="1" t="str">
        <x:v>PASS</x:v>
      </x:c>
      <x:c r="S1026" s="4" t="n">
        <x:v>0</x:v>
      </x:c>
      <x:c r="T1026" s="1" t="str">
        <x:v>NOT_REVEALING</x:v>
      </x:c>
      <x:c r="U1026" s="1" t="str">
        <x:v>Closure_108</x:v>
      </x:c>
      <x:c r="V1026" s="6" t="n">
        <x:v>52.59</x:v>
      </x:c>
    </x:row>
    <x:row r="1027" ht="22" customHeight="1">
      <x:c r="A1027" s="1" t="str">
        <x:v>Round2</x:v>
      </x:c>
      <x:c r="B1027" s="1" t="str">
        <x:v>Closure</x:v>
      </x:c>
      <x:c r="C1027" s="4" t="n">
        <x:v>109</x:v>
      </x:c>
      <x:c r="D1027" s="4" t="n">
        <x:v>20260928</x:v>
      </x:c>
      <x:c r="E1027" s="4" t="n">
        <x:v>60</x:v>
      </x:c>
      <x:c r="F1027" s="4" t="n">
        <x:v>5</x:v>
      </x:c>
      <x:c r="G1027" s="5" t="n">
        <x:v>0.06480000000000001</x:v>
      </x:c>
      <x:c r="H1027" s="5" t="n">
        <x:v>0.07769999999999999</x:v>
      </x:c>
      <x:c r="I1027" s="5" t="n">
        <x:v>0.0438</x:v>
      </x:c>
      <x:c r="J1027" s="4" t="n">
        <x:v>1853</x:v>
      </x:c>
      <x:c r="K1027" s="4" t="n">
        <x:v>120</x:v>
      </x:c>
      <x:c r="L1027" s="4" t="n">
        <x:v>1146</x:v>
      </x:c>
      <x:c r="M1027" s="4" t="n">
        <x:v>89</x:v>
      </x:c>
      <x:c r="N1027" s="4" t="n">
        <x:v>707</x:v>
      </x:c>
      <x:c r="O1027" s="4" t="n">
        <x:v>31</x:v>
      </x:c>
      <x:c r="P1027" s="1" t="str">
        <x:v>PASS</x:v>
      </x:c>
      <x:c r="Q1027" s="4" t="n">
        <x:v>0</x:v>
      </x:c>
      <x:c r="R1027" s="1" t="str">
        <x:v>PASS</x:v>
      </x:c>
      <x:c r="S1027" s="4" t="n">
        <x:v>0</x:v>
      </x:c>
      <x:c r="T1027" s="1" t="str">
        <x:v>NOT_REVEALING</x:v>
      </x:c>
      <x:c r="U1027" s="1" t="str">
        <x:v>Closure_109</x:v>
      </x:c>
      <x:c r="V1027" s="6" t="n">
        <x:v>53.88</x:v>
      </x:c>
    </x:row>
    <x:row r="1028" ht="22" customHeight="1">
      <x:c r="A1028" s="1" t="str">
        <x:v>Round2</x:v>
      </x:c>
      <x:c r="B1028" s="1" t="str">
        <x:v>Closure</x:v>
      </x:c>
      <x:c r="C1028" s="4" t="n">
        <x:v>110</x:v>
      </x:c>
      <x:c r="D1028" s="4" t="n">
        <x:v>20260928</x:v>
      </x:c>
      <x:c r="E1028" s="4" t="n">
        <x:v>60</x:v>
      </x:c>
      <x:c r="F1028" s="4" t="n">
        <x:v>1825</x:v>
      </x:c>
      <x:c r="G1028" s="5" t="n">
        <x:v>0.5655</x:v>
      </x:c>
      <x:c r="H1028" s="5" t="n">
        <x:v>0.6369</x:v>
      </x:c>
      <x:c r="I1028" s="5" t="n">
        <x:v>0.45049999999999996</x:v>
      </x:c>
      <x:c r="J1028" s="4" t="n">
        <x:v>1818</x:v>
      </x:c>
      <x:c r="K1028" s="4" t="n">
        <x:v>1028</x:v>
      </x:c>
      <x:c r="L1028" s="4" t="n">
        <x:v>1121</x:v>
      </x:c>
      <x:c r="M1028" s="4" t="n">
        <x:v>714</x:v>
      </x:c>
      <x:c r="N1028" s="4" t="n">
        <x:v>697</x:v>
      </x:c>
      <x:c r="O1028" s="4" t="n">
        <x:v>314</x:v>
      </x:c>
      <x:c r="P1028" s="1" t="str">
        <x:v>FAIL</x:v>
      </x:c>
      <x:c r="Q1028" s="4" t="n">
        <x:v>72</x:v>
      </x:c>
      <x:c r="R1028" s="1" t="str">
        <x:v>FAIL</x:v>
      </x:c>
      <x:c r="S1028" s="4" t="n">
        <x:v>82</x:v>
      </x:c>
      <x:c r="T1028" s="1" t="str">
        <x:v>INCONCLUSIVE</x:v>
      </x:c>
      <x:c r="U1028" s="1" t="str">
        <x:v>Closure_110</x:v>
      </x:c>
      <x:c r="V1028" s="6" t="n">
        <x:v>71.05</x:v>
      </x:c>
    </x:row>
    <x:row r="1029" ht="22" customHeight="1">
      <x:c r="A1029" s="1" t="str">
        <x:v>Round2</x:v>
      </x:c>
      <x:c r="B1029" s="1" t="str">
        <x:v>Closure</x:v>
      </x:c>
      <x:c r="C1029" s="4" t="n">
        <x:v>111</x:v>
      </x:c>
      <x:c r="D1029" s="4" t="n">
        <x:v>20260928</x:v>
      </x:c>
      <x:c r="E1029" s="4" t="n">
        <x:v>60</x:v>
      </x:c>
      <x:c r="F1029" s="4" t="n">
        <x:v>2</x:v>
      </x:c>
      <x:c r="G1029" s="5" t="n">
        <x:v>0.0070999999999999995</x:v>
      </x:c>
      <x:c r="H1029" s="5" t="n">
        <x:v>0.0106</x:v>
      </x:c>
      <x:c r="I1029" s="5" t="n">
        <x:v>0</x:v>
      </x:c>
      <x:c r="J1029" s="4" t="n">
        <x:v>140</x:v>
      </x:c>
      <x:c r="K1029" s="4" t="n">
        <x:v>1</x:v>
      </x:c>
      <x:c r="L1029" s="4" t="n">
        <x:v>94</x:v>
      </x:c>
      <x:c r="M1029" s="4" t="n">
        <x:v>1</x:v>
      </x:c>
      <x:c r="N1029" s="4" t="n">
        <x:v>46</x:v>
      </x:c>
      <x:c r="O1029" s="4" t="n">
        <x:v>0</x:v>
      </x:c>
      <x:c r="P1029" s="1" t="str">
        <x:v>PASS</x:v>
      </x:c>
      <x:c r="Q1029" s="4" t="n">
        <x:v>0</x:v>
      </x:c>
      <x:c r="R1029" s="1" t="str">
        <x:v>PASS</x:v>
      </x:c>
      <x:c r="S1029" s="4" t="n">
        <x:v>0</x:v>
      </x:c>
      <x:c r="T1029" s="1" t="str">
        <x:v>NOT_REVEALING</x:v>
      </x:c>
      <x:c r="U1029" s="1" t="str">
        <x:v>Closure_111</x:v>
      </x:c>
      <x:c r="V1029" s="6" t="n">
        <x:v>54.51</x:v>
      </x:c>
    </x:row>
    <x:row r="1030" ht="22" customHeight="1">
      <x:c r="A1030" s="1" t="str">
        <x:v>Round2</x:v>
      </x:c>
      <x:c r="B1030" s="1" t="str">
        <x:v>Closure</x:v>
      </x:c>
      <x:c r="C1030" s="4" t="n">
        <x:v>112</x:v>
      </x:c>
      <x:c r="D1030" s="4" t="n">
        <x:v>20260928</x:v>
      </x:c>
      <x:c r="E1030" s="4" t="n">
        <x:v>60</x:v>
      </x:c>
      <x:c r="F1030" s="4" t="n">
        <x:v>6</x:v>
      </x:c>
      <x:c r="G1030" s="5" t="n">
        <x:v>0.0051</x:v>
      </x:c>
      <x:c r="H1030" s="5" t="n">
        <x:v>0.005600000000000001</x:v>
      </x:c>
      <x:c r="I1030" s="5" t="n">
        <x:v>0.0043</x:v>
      </x:c>
      <x:c r="J1030" s="4" t="n">
        <x:v>1178</x:v>
      </x:c>
      <x:c r="K1030" s="4" t="n">
        <x:v>6</x:v>
      </x:c>
      <x:c r="L1030" s="4" t="n">
        <x:v>713</x:v>
      </x:c>
      <x:c r="M1030" s="4" t="n">
        <x:v>4</x:v>
      </x:c>
      <x:c r="N1030" s="4" t="n">
        <x:v>465</x:v>
      </x:c>
      <x:c r="O1030" s="4" t="n">
        <x:v>2</x:v>
      </x:c>
      <x:c r="P1030" s="1" t="str">
        <x:v>PASS</x:v>
      </x:c>
      <x:c r="Q1030" s="4" t="n">
        <x:v>0</x:v>
      </x:c>
      <x:c r="R1030" s="1" t="str">
        <x:v>PASS</x:v>
      </x:c>
      <x:c r="S1030" s="4" t="n">
        <x:v>0</x:v>
      </x:c>
      <x:c r="T1030" s="1" t="str">
        <x:v>NOT_REVEALING</x:v>
      </x:c>
      <x:c r="U1030" s="1" t="str">
        <x:v>Closure_112</x:v>
      </x:c>
      <x:c r="V1030" s="6" t="n">
        <x:v>54.23</x:v>
      </x:c>
    </x:row>
    <x:row r="1031" ht="22" customHeight="1">
      <x:c r="A1031" s="1" t="str">
        <x:v>Round2</x:v>
      </x:c>
      <x:c r="B1031" s="1" t="str">
        <x:v>Closure</x:v>
      </x:c>
      <x:c r="C1031" s="4" t="n">
        <x:v>113</x:v>
      </x:c>
      <x:c r="D1031" s="4" t="n">
        <x:v>20260928</x:v>
      </x:c>
      <x:c r="E1031" s="4" t="n">
        <x:v>60</x:v>
      </x:c>
      <x:c r="F1031" s="4" t="n">
        <x:v>20</x:v>
      </x:c>
      <x:c r="G1031" s="5" t="n">
        <x:v>0.0315</x:v>
      </x:c>
      <x:c r="H1031" s="5" t="n">
        <x:v>0.0495</x:v>
      </x:c>
      <x:c r="I1031" s="5" t="n">
        <x:v>0</x:v>
      </x:c>
      <x:c r="J1031" s="4" t="n">
        <x:v>890</x:v>
      </x:c>
      <x:c r="K1031" s="4" t="n">
        <x:v>28</x:v>
      </x:c>
      <x:c r="L1031" s="4" t="n">
        <x:v>566</x:v>
      </x:c>
      <x:c r="M1031" s="4" t="n">
        <x:v>28</x:v>
      </x:c>
      <x:c r="N1031" s="4" t="n">
        <x:v>324</x:v>
      </x:c>
      <x:c r="O1031" s="4" t="n">
        <x:v>0</x:v>
      </x:c>
      <x:c r="P1031" s="1" t="str">
        <x:v>PASS</x:v>
      </x:c>
      <x:c r="Q1031" s="4" t="n">
        <x:v>0</x:v>
      </x:c>
      <x:c r="R1031" s="1" t="str">
        <x:v>PASS</x:v>
      </x:c>
      <x:c r="S1031" s="4" t="n">
        <x:v>0</x:v>
      </x:c>
      <x:c r="T1031" s="1" t="str">
        <x:v>NOT_REVEALING</x:v>
      </x:c>
      <x:c r="U1031" s="1" t="str">
        <x:v>Closure_113</x:v>
      </x:c>
      <x:c r="V1031" s="6" t="n">
        <x:v>53.76</x:v>
      </x:c>
    </x:row>
    <x:row r="1032" ht="22" customHeight="1">
      <x:c r="A1032" s="1" t="str">
        <x:v>Round2</x:v>
      </x:c>
      <x:c r="B1032" s="1" t="str">
        <x:v>Closure</x:v>
      </x:c>
      <x:c r="C1032" s="4" t="n">
        <x:v>114</x:v>
      </x:c>
      <x:c r="D1032" s="4" t="n">
        <x:v>20260928</x:v>
      </x:c>
      <x:c r="E1032" s="4" t="n">
        <x:v>60</x:v>
      </x:c>
      <x:c r="F1032" s="4" t="n">
        <x:v>1607</x:v>
      </x:c>
      <x:c r="G1032" s="5" t="n">
        <x:v>0.0493</x:v>
      </x:c>
      <x:c r="H1032" s="5" t="n">
        <x:v>0.0759</x:v>
      </x:c>
      <x:c r="I1032" s="5" t="n">
        <x:v>0.006500000000000001</x:v>
      </x:c>
      <x:c r="J1032" s="4" t="n">
        <x:v>1216</x:v>
      </x:c>
      <x:c r="K1032" s="4" t="n">
        <x:v>60</x:v>
      </x:c>
      <x:c r="L1032" s="4" t="n">
        <x:v>751</x:v>
      </x:c>
      <x:c r="M1032" s="4" t="n">
        <x:v>57</x:v>
      </x:c>
      <x:c r="N1032" s="4" t="n">
        <x:v>465</x:v>
      </x:c>
      <x:c r="O1032" s="4" t="n">
        <x:v>3</x:v>
      </x:c>
      <x:c r="P1032" s="1" t="str">
        <x:v>PASS</x:v>
      </x:c>
      <x:c r="Q1032" s="4" t="n">
        <x:v>0</x:v>
      </x:c>
      <x:c r="R1032" s="1" t="str">
        <x:v>PASS</x:v>
      </x:c>
      <x:c r="S1032" s="4" t="n">
        <x:v>0</x:v>
      </x:c>
      <x:c r="T1032" s="1" t="str">
        <x:v>NOT_REVEALING</x:v>
      </x:c>
      <x:c r="U1032" s="1" t="str">
        <x:v>Closure_114</x:v>
      </x:c>
      <x:c r="V1032" s="6" t="n">
        <x:v>63.06</x:v>
      </x:c>
    </x:row>
    <x:row r="1033" ht="22" customHeight="1">
      <x:c r="A1033" s="1" t="str">
        <x:v>Round2</x:v>
      </x:c>
      <x:c r="B1033" s="1" t="str">
        <x:v>Closure</x:v>
      </x:c>
      <x:c r="C1033" s="4" t="n">
        <x:v>115</x:v>
      </x:c>
      <x:c r="D1033" s="4" t="n">
        <x:v>20260928</x:v>
      </x:c>
      <x:c r="E1033" s="4" t="n">
        <x:v>60</x:v>
      </x:c>
      <x:c r="F1033" s="4" t="n">
        <x:v>1534</x:v>
      </x:c>
      <x:c r="G1033" s="5" t="n">
        <x:v>0.0317</x:v>
      </x:c>
      <x:c r="H1033" s="5" t="n">
        <x:v>0.0547</x:v>
      </x:c>
      <x:c r="I1033" s="5" t="n">
        <x:v>0</x:v>
      </x:c>
      <x:c r="J1033" s="4" t="n">
        <x:v>537</x:v>
      </x:c>
      <x:c r="K1033" s="4" t="n">
        <x:v>17</x:v>
      </x:c>
      <x:c r="L1033" s="4" t="n">
        <x:v>311</x:v>
      </x:c>
      <x:c r="M1033" s="4" t="n">
        <x:v>17</x:v>
      </x:c>
      <x:c r="N1033" s="4" t="n">
        <x:v>226</x:v>
      </x:c>
      <x:c r="O1033" s="4" t="n">
        <x:v>0</x:v>
      </x:c>
      <x:c r="P1033" s="1" t="str">
        <x:v>PASS</x:v>
      </x:c>
      <x:c r="Q1033" s="4" t="n">
        <x:v>0</x:v>
      </x:c>
      <x:c r="R1033" s="1" t="str">
        <x:v>PASS</x:v>
      </x:c>
      <x:c r="S1033" s="4" t="n">
        <x:v>0</x:v>
      </x:c>
      <x:c r="T1033" s="1" t="str">
        <x:v>NOT_REVEALING</x:v>
      </x:c>
      <x:c r="U1033" s="1" t="str">
        <x:v>Closure_115</x:v>
      </x:c>
      <x:c r="V1033" s="6" t="n">
        <x:v>63.34</x:v>
      </x:c>
    </x:row>
    <x:row r="1034" ht="22" customHeight="1">
      <x:c r="A1034" s="1" t="str">
        <x:v>Round2</x:v>
      </x:c>
      <x:c r="B1034" s="1" t="str">
        <x:v>Closure</x:v>
      </x:c>
      <x:c r="C1034" s="4" t="n">
        <x:v>116</x:v>
      </x:c>
      <x:c r="D1034" s="4" t="n">
        <x:v>20260928</x:v>
      </x:c>
      <x:c r="E1034" s="4" t="n">
        <x:v>60</x:v>
      </x:c>
      <x:c r="F1034" s="4" t="n">
        <x:v>1464</x:v>
      </x:c>
      <x:c r="G1034" s="5" t="n">
        <x:v>0.0326</x:v>
      </x:c>
      <x:c r="H1034" s="5" t="n">
        <x:v>0.056100000000000004</x:v>
      </x:c>
      <x:c r="I1034" s="5" t="n">
        <x:v>0</x:v>
      </x:c>
      <x:c r="J1034" s="4" t="n">
        <x:v>521</x:v>
      </x:c>
      <x:c r="K1034" s="4" t="n">
        <x:v>17</x:v>
      </x:c>
      <x:c r="L1034" s="4" t="n">
        <x:v>303</x:v>
      </x:c>
      <x:c r="M1034" s="4" t="n">
        <x:v>17</x:v>
      </x:c>
      <x:c r="N1034" s="4" t="n">
        <x:v>218</x:v>
      </x:c>
      <x:c r="O1034" s="4" t="n">
        <x:v>0</x:v>
      </x:c>
      <x:c r="P1034" s="1" t="str">
        <x:v>PASS</x:v>
      </x:c>
      <x:c r="Q1034" s="4" t="n">
        <x:v>0</x:v>
      </x:c>
      <x:c r="R1034" s="1" t="str">
        <x:v>PASS</x:v>
      </x:c>
      <x:c r="S1034" s="4" t="n">
        <x:v>0</x:v>
      </x:c>
      <x:c r="T1034" s="1" t="str">
        <x:v>NOT_REVEALING</x:v>
      </x:c>
      <x:c r="U1034" s="1" t="str">
        <x:v>Closure_116</x:v>
      </x:c>
      <x:c r="V1034" s="6" t="n">
        <x:v>61.35</x:v>
      </x:c>
    </x:row>
    <x:row r="1035" ht="22" customHeight="1">
      <x:c r="A1035" s="1" t="str">
        <x:v>Round2</x:v>
      </x:c>
      <x:c r="B1035" s="1" t="str">
        <x:v>Closure</x:v>
      </x:c>
      <x:c r="C1035" s="4" t="n">
        <x:v>117</x:v>
      </x:c>
      <x:c r="D1035" s="4" t="n">
        <x:v>20260928</x:v>
      </x:c>
      <x:c r="E1035" s="4" t="n">
        <x:v>60</x:v>
      </x:c>
      <x:c r="F1035" s="4" t="n">
        <x:v>12</x:v>
      </x:c>
      <x:c r="G1035" s="5" t="n">
        <x:v>0.048499999999999995</x:v>
      </x:c>
      <x:c r="H1035" s="5" t="n">
        <x:v>0.0836</x:v>
      </x:c>
      <x:c r="I1035" s="5" t="n">
        <x:v>0</x:v>
      </x:c>
      <x:c r="J1035" s="4" t="n">
        <x:v>495</x:v>
      </x:c>
      <x:c r="K1035" s="4" t="n">
        <x:v>24</x:v>
      </x:c>
      <x:c r="L1035" s="4" t="n">
        <x:v>287</x:v>
      </x:c>
      <x:c r="M1035" s="4" t="n">
        <x:v>24</x:v>
      </x:c>
      <x:c r="N1035" s="4" t="n">
        <x:v>208</x:v>
      </x:c>
      <x:c r="O1035" s="4" t="n">
        <x:v>0</x:v>
      </x:c>
      <x:c r="P1035" s="1" t="str">
        <x:v>PASS</x:v>
      </x:c>
      <x:c r="Q1035" s="4" t="n">
        <x:v>0</x:v>
      </x:c>
      <x:c r="R1035" s="1" t="str">
        <x:v>PASS</x:v>
      </x:c>
      <x:c r="S1035" s="4" t="n">
        <x:v>0</x:v>
      </x:c>
      <x:c r="T1035" s="1" t="str">
        <x:v>NOT_REVEALING</x:v>
      </x:c>
      <x:c r="U1035" s="1" t="str">
        <x:v>Closure_117</x:v>
      </x:c>
      <x:c r="V1035" s="6" t="n">
        <x:v>50.95</x:v>
      </x:c>
    </x:row>
    <x:row r="1036" ht="22" customHeight="1">
      <x:c r="A1036" s="1" t="str">
        <x:v>Round2</x:v>
      </x:c>
      <x:c r="B1036" s="1" t="str">
        <x:v>Closure</x:v>
      </x:c>
      <x:c r="C1036" s="4" t="n">
        <x:v>118</x:v>
      </x:c>
      <x:c r="D1036" s="4" t="n">
        <x:v>20260928</x:v>
      </x:c>
      <x:c r="E1036" s="4" t="n">
        <x:v>60</x:v>
      </x:c>
      <x:c r="F1036" s="4" t="n">
        <x:v>6</x:v>
      </x:c>
      <x:c r="G1036" s="5" t="n">
        <x:v>0.013999999999999999</x:v>
      </x:c>
      <x:c r="H1036" s="5" t="n">
        <x:v>0.023799999999999998</x:v>
      </x:c>
      <x:c r="I1036" s="5" t="n">
        <x:v>0</x:v>
      </x:c>
      <x:c r="J1036" s="4" t="n">
        <x:v>788</x:v>
      </x:c>
      <x:c r="K1036" s="4" t="n">
        <x:v>11</x:v>
      </x:c>
      <x:c r="L1036" s="4" t="n">
        <x:v>462</x:v>
      </x:c>
      <x:c r="M1036" s="4" t="n">
        <x:v>11</x:v>
      </x:c>
      <x:c r="N1036" s="4" t="n">
        <x:v>326</x:v>
      </x:c>
      <x:c r="O1036" s="4" t="n">
        <x:v>0</x:v>
      </x:c>
      <x:c r="P1036" s="1" t="str">
        <x:v>PASS</x:v>
      </x:c>
      <x:c r="Q1036" s="4" t="n">
        <x:v>0</x:v>
      </x:c>
      <x:c r="R1036" s="1" t="str">
        <x:v>PASS</x:v>
      </x:c>
      <x:c r="S1036" s="4" t="n">
        <x:v>0</x:v>
      </x:c>
      <x:c r="T1036" s="1" t="str">
        <x:v>NOT_REVEALING</x:v>
      </x:c>
      <x:c r="U1036" s="1" t="str">
        <x:v>Closure_118</x:v>
      </x:c>
      <x:c r="V1036" s="6" t="n">
        <x:v>53.43</x:v>
      </x:c>
    </x:row>
    <x:row r="1037" ht="22" customHeight="1">
      <x:c r="A1037" s="1" t="str">
        <x:v>Round2</x:v>
      </x:c>
      <x:c r="B1037" s="1" t="str">
        <x:v>Closure</x:v>
      </x:c>
      <x:c r="C1037" s="4" t="n">
        <x:v>119</x:v>
      </x:c>
      <x:c r="D1037" s="4" t="n">
        <x:v>20260928</x:v>
      </x:c>
      <x:c r="E1037" s="4" t="n">
        <x:v>60</x:v>
      </x:c>
      <x:c r="F1037" s="4" t="n">
        <x:v>1383</x:v>
      </x:c>
      <x:c r="G1037" s="5" t="n">
        <x:v>0.2672</x:v>
      </x:c>
      <x:c r="H1037" s="5" t="n">
        <x:v>0.3286</x:v>
      </x:c>
      <x:c r="I1037" s="5" t="n">
        <x:v>0.17920000000000003</x:v>
      </x:c>
      <x:c r="J1037" s="4" t="n">
        <x:v>842</x:v>
      </x:c>
      <x:c r="K1037" s="4" t="n">
        <x:v>225</x:v>
      </x:c>
      <x:c r="L1037" s="4" t="n">
        <x:v>496</x:v>
      </x:c>
      <x:c r="M1037" s="4" t="n">
        <x:v>163</x:v>
      </x:c>
      <x:c r="N1037" s="4" t="n">
        <x:v>346</x:v>
      </x:c>
      <x:c r="O1037" s="4" t="n">
        <x:v>62</x:v>
      </x:c>
      <x:c r="P1037" s="1" t="str">
        <x:v>PASS</x:v>
      </x:c>
      <x:c r="Q1037" s="4" t="n">
        <x:v>0</x:v>
      </x:c>
      <x:c r="R1037" s="1" t="str">
        <x:v>PASS</x:v>
      </x:c>
      <x:c r="S1037" s="4" t="n">
        <x:v>0</x:v>
      </x:c>
      <x:c r="T1037" s="1" t="str">
        <x:v>NOT_REVEALING</x:v>
      </x:c>
      <x:c r="U1037" s="1" t="str">
        <x:v>Closure_119</x:v>
      </x:c>
      <x:c r="V1037" s="6" t="n">
        <x:v>62.8</x:v>
      </x:c>
    </x:row>
    <x:row r="1038" ht="22" customHeight="1">
      <x:c r="A1038" s="1" t="str">
        <x:v>Round2</x:v>
      </x:c>
      <x:c r="B1038" s="1" t="str">
        <x:v>Closure</x:v>
      </x:c>
      <x:c r="C1038" s="4" t="n">
        <x:v>120</x:v>
      </x:c>
      <x:c r="D1038" s="4" t="n">
        <x:v>20260928</x:v>
      </x:c>
      <x:c r="E1038" s="4" t="n">
        <x:v>60</x:v>
      </x:c>
      <x:c r="F1038" s="4" t="n">
        <x:v>1783</x:v>
      </x:c>
      <x:c r="G1038" s="5" t="n">
        <x:v>0.2444</x:v>
      </x:c>
      <x:c r="H1038" s="5" t="n">
        <x:v>0.34600000000000003</x:v>
      </x:c>
      <x:c r="I1038" s="5" t="n">
        <x:v>0.1007</x:v>
      </x:c>
      <x:c r="J1038" s="4" t="n">
        <x:v>360</x:v>
      </x:c>
      <x:c r="K1038" s="4" t="n">
        <x:v>88</x:v>
      </x:c>
      <x:c r="L1038" s="4" t="n">
        <x:v>211</x:v>
      </x:c>
      <x:c r="M1038" s="4" t="n">
        <x:v>73</x:v>
      </x:c>
      <x:c r="N1038" s="4" t="n">
        <x:v>149</x:v>
      </x:c>
      <x:c r="O1038" s="4" t="n">
        <x:v>15</x:v>
      </x:c>
      <x:c r="P1038" s="1" t="str">
        <x:v>PASS</x:v>
      </x:c>
      <x:c r="Q1038" s="4" t="n">
        <x:v>0</x:v>
      </x:c>
      <x:c r="R1038" s="1" t="str">
        <x:v>PASS</x:v>
      </x:c>
      <x:c r="S1038" s="4" t="n">
        <x:v>0</x:v>
      </x:c>
      <x:c r="T1038" s="1" t="str">
        <x:v>NOT_REVEALING</x:v>
      </x:c>
      <x:c r="U1038" s="1" t="str">
        <x:v>Closure_120</x:v>
      </x:c>
      <x:c r="V1038" s="6" t="n">
        <x:v>63.47</x:v>
      </x:c>
    </x:row>
    <x:row r="1039" ht="22" customHeight="1">
      <x:c r="A1039" s="1" t="str">
        <x:v>Round2</x:v>
      </x:c>
      <x:c r="B1039" s="1" t="str">
        <x:v>Closure</x:v>
      </x:c>
      <x:c r="C1039" s="4" t="n">
        <x:v>121</x:v>
      </x:c>
      <x:c r="D1039" s="4" t="n">
        <x:v>20260928</x:v>
      </x:c>
      <x:c r="E1039" s="4" t="n">
        <x:v>60</x:v>
      </x:c>
      <x:c r="F1039" s="4" t="n">
        <x:v>2010</x:v>
      </x:c>
      <x:c r="G1039" s="5" t="n">
        <x:v>0.048799999999999996</x:v>
      </x:c>
      <x:c r="H1039" s="5" t="n">
        <x:v>0.0774</x:v>
      </x:c>
      <x:c r="I1039" s="5" t="n">
        <x:v>0.0127</x:v>
      </x:c>
      <x:c r="J1039" s="4" t="n">
        <x:v>533</x:v>
      </x:c>
      <x:c r="K1039" s="4" t="n">
        <x:v>26</x:v>
      </x:c>
      <x:c r="L1039" s="4" t="n">
        <x:v>297</x:v>
      </x:c>
      <x:c r="M1039" s="4" t="n">
        <x:v>23</x:v>
      </x:c>
      <x:c r="N1039" s="4" t="n">
        <x:v>236</x:v>
      </x:c>
      <x:c r="O1039" s="4" t="n">
        <x:v>3</x:v>
      </x:c>
      <x:c r="P1039" s="1" t="str">
        <x:v>PASS</x:v>
      </x:c>
      <x:c r="Q1039" s="4" t="n">
        <x:v>0</x:v>
      </x:c>
      <x:c r="R1039" s="1" t="str">
        <x:v>PASS</x:v>
      </x:c>
      <x:c r="S1039" s="4" t="n">
        <x:v>0</x:v>
      </x:c>
      <x:c r="T1039" s="1" t="str">
        <x:v>NOT_REVEALING</x:v>
      </x:c>
      <x:c r="U1039" s="1" t="str">
        <x:v>Closure_121</x:v>
      </x:c>
      <x:c r="V1039" s="6" t="n">
        <x:v>65.92</x:v>
      </x:c>
    </x:row>
    <x:row r="1040" ht="22" customHeight="1">
      <x:c r="A1040" s="1" t="str">
        <x:v>Round2</x:v>
      </x:c>
      <x:c r="B1040" s="1" t="str">
        <x:v>Closure</x:v>
      </x:c>
      <x:c r="C1040" s="4" t="n">
        <x:v>122</x:v>
      </x:c>
      <x:c r="D1040" s="4" t="n">
        <x:v>20260928</x:v>
      </x:c>
      <x:c r="E1040" s="4" t="n">
        <x:v>60</x:v>
      </x:c>
      <x:c r="F1040" s="4" t="n">
        <x:v>13</x:v>
      </x:c>
      <x:c r="G1040" s="5" t="n">
        <x:v>0.025699999999999997</x:v>
      </x:c>
      <x:c r="H1040" s="5" t="n">
        <x:v>0.037599999999999995</x:v>
      </x:c>
      <x:c r="I1040" s="5" t="n">
        <x:v>0.0028000000000000004</x:v>
      </x:c>
      <x:c r="J1040" s="4" t="n">
        <x:v>1049</x:v>
      </x:c>
      <x:c r="K1040" s="4" t="n">
        <x:v>27</x:v>
      </x:c>
      <x:c r="L1040" s="4" t="n">
        <x:v>691</x:v>
      </x:c>
      <x:c r="M1040" s="4" t="n">
        <x:v>26</x:v>
      </x:c>
      <x:c r="N1040" s="4" t="n">
        <x:v>358</x:v>
      </x:c>
      <x:c r="O1040" s="4" t="n">
        <x:v>1</x:v>
      </x:c>
      <x:c r="P1040" s="1" t="str">
        <x:v>PASS</x:v>
      </x:c>
      <x:c r="Q1040" s="4" t="n">
        <x:v>0</x:v>
      </x:c>
      <x:c r="R1040" s="1" t="str">
        <x:v>PASS</x:v>
      </x:c>
      <x:c r="S1040" s="4" t="n">
        <x:v>0</x:v>
      </x:c>
      <x:c r="T1040" s="1" t="str">
        <x:v>NOT_REVEALING</x:v>
      </x:c>
      <x:c r="U1040" s="1" t="str">
        <x:v>Closure_122</x:v>
      </x:c>
      <x:c r="V1040" s="6" t="n">
        <x:v>55.44</x:v>
      </x:c>
    </x:row>
    <x:row r="1041" ht="22" customHeight="1">
      <x:c r="A1041" s="1" t="str">
        <x:v>Round2</x:v>
      </x:c>
      <x:c r="B1041" s="1" t="str">
        <x:v>Closure</x:v>
      </x:c>
      <x:c r="C1041" s="4" t="n">
        <x:v>123</x:v>
      </x:c>
      <x:c r="D1041" s="4" t="n">
        <x:v>20260928</x:v>
      </x:c>
      <x:c r="E1041" s="4" t="n">
        <x:v>60</x:v>
      </x:c>
      <x:c r="F1041" s="4" t="n">
        <x:v>2083</x:v>
      </x:c>
      <x:c r="G1041" s="5" t="n">
        <x:v>0.0731</x:v>
      </x:c>
      <x:c r="H1041" s="5" t="n">
        <x:v>0.0969</x:v>
      </x:c>
      <x:c r="I1041" s="5" t="n">
        <x:v>0.0412</x:v>
      </x:c>
      <x:c r="J1041" s="4" t="n">
        <x:v>1135</x:v>
      </x:c>
      <x:c r="K1041" s="4" t="n">
        <x:v>83</x:v>
      </x:c>
      <x:c r="L1041" s="4" t="n">
        <x:v>650</x:v>
      </x:c>
      <x:c r="M1041" s="4" t="n">
        <x:v>63</x:v>
      </x:c>
      <x:c r="N1041" s="4" t="n">
        <x:v>485</x:v>
      </x:c>
      <x:c r="O1041" s="4" t="n">
        <x:v>20</x:v>
      </x:c>
      <x:c r="P1041" s="1" t="str">
        <x:v>PASS</x:v>
      </x:c>
      <x:c r="Q1041" s="4" t="n">
        <x:v>0</x:v>
      </x:c>
      <x:c r="R1041" s="1" t="str">
        <x:v>PASS</x:v>
      </x:c>
      <x:c r="S1041" s="4" t="n">
        <x:v>0</x:v>
      </x:c>
      <x:c r="T1041" s="1" t="str">
        <x:v>NOT_REVEALING</x:v>
      </x:c>
      <x:c r="U1041" s="1" t="str">
        <x:v>Closure_123</x:v>
      </x:c>
      <x:c r="V1041" s="6" t="n">
        <x:v>63.74</x:v>
      </x:c>
    </x:row>
    <x:row r="1042" ht="22" customHeight="1">
      <x:c r="A1042" s="1" t="str">
        <x:v>Round2</x:v>
      </x:c>
      <x:c r="B1042" s="1" t="str">
        <x:v>Closure</x:v>
      </x:c>
      <x:c r="C1042" s="4" t="n">
        <x:v>124</x:v>
      </x:c>
      <x:c r="D1042" s="4" t="n">
        <x:v>20260928</x:v>
      </x:c>
      <x:c r="E1042" s="4" t="n">
        <x:v>60</x:v>
      </x:c>
      <x:c r="F1042" s="4" t="n">
        <x:v>3</x:v>
      </x:c>
      <x:c r="G1042" s="5" t="n">
        <x:v>0.0137</x:v>
      </x:c>
      <x:c r="H1042" s="5" t="n">
        <x:v>0.025</x:v>
      </x:c>
      <x:c r="I1042" s="5" t="n">
        <x:v>0</x:v>
      </x:c>
      <x:c r="J1042" s="4" t="n">
        <x:v>146</x:v>
      </x:c>
      <x:c r="K1042" s="4" t="n">
        <x:v>2</x:v>
      </x:c>
      <x:c r="L1042" s="4" t="n">
        <x:v>80</x:v>
      </x:c>
      <x:c r="M1042" s="4" t="n">
        <x:v>2</x:v>
      </x:c>
      <x:c r="N1042" s="4" t="n">
        <x:v>66</x:v>
      </x:c>
      <x:c r="O1042" s="4" t="n">
        <x:v>0</x:v>
      </x:c>
      <x:c r="P1042" s="1" t="str">
        <x:v>PASS</x:v>
      </x:c>
      <x:c r="Q1042" s="4" t="n">
        <x:v>0</x:v>
      </x:c>
      <x:c r="R1042" s="1" t="str">
        <x:v>PASS</x:v>
      </x:c>
      <x:c r="S1042" s="4" t="n">
        <x:v>0</x:v>
      </x:c>
      <x:c r="T1042" s="1" t="str">
        <x:v>NOT_REVEALING</x:v>
      </x:c>
      <x:c r="U1042" s="1" t="str">
        <x:v>Closure_124</x:v>
      </x:c>
      <x:c r="V1042" s="6" t="n">
        <x:v>49.59</x:v>
      </x:c>
    </x:row>
    <x:row r="1043" ht="22" customHeight="1">
      <x:c r="A1043" s="1" t="str">
        <x:v>Round2</x:v>
      </x:c>
      <x:c r="B1043" s="1" t="str">
        <x:v>Closure</x:v>
      </x:c>
      <x:c r="C1043" s="4" t="n">
        <x:v>125</x:v>
      </x:c>
      <x:c r="D1043" s="4" t="n">
        <x:v>20260928</x:v>
      </x:c>
      <x:c r="E1043" s="4" t="n">
        <x:v>60</x:v>
      </x:c>
      <x:c r="F1043" s="4" t="n">
        <x:v>39</x:v>
      </x:c>
      <x:c r="G1043" s="5" t="n">
        <x:v>0.0495</x:v>
      </x:c>
      <x:c r="H1043" s="5" t="n">
        <x:v>0.08439999999999999</x:v>
      </x:c>
      <x:c r="I1043" s="5" t="n">
        <x:v>0</x:v>
      </x:c>
      <x:c r="J1043" s="4" t="n">
        <x:v>1516</x:v>
      </x:c>
      <x:c r="K1043" s="4" t="n">
        <x:v>75</x:v>
      </x:c>
      <x:c r="L1043" s="4" t="n">
        <x:v>889</x:v>
      </x:c>
      <x:c r="M1043" s="4" t="n">
        <x:v>75</x:v>
      </x:c>
      <x:c r="N1043" s="4" t="n">
        <x:v>627</x:v>
      </x:c>
      <x:c r="O1043" s="4" t="n">
        <x:v>0</x:v>
      </x:c>
      <x:c r="P1043" s="1" t="str">
        <x:v>PASS</x:v>
      </x:c>
      <x:c r="Q1043" s="4" t="n">
        <x:v>0</x:v>
      </x:c>
      <x:c r="R1043" s="1" t="str">
        <x:v>PASS</x:v>
      </x:c>
      <x:c r="S1043" s="4" t="n">
        <x:v>0</x:v>
      </x:c>
      <x:c r="T1043" s="1" t="str">
        <x:v>NOT_REVEALING</x:v>
      </x:c>
      <x:c r="U1043" s="1" t="str">
        <x:v>Closure_125</x:v>
      </x:c>
      <x:c r="V1043" s="6" t="n">
        <x:v>52.54</x:v>
      </x:c>
    </x:row>
    <x:row r="1044" ht="22" customHeight="1">
      <x:c r="A1044" s="1" t="str">
        <x:v>Round2</x:v>
      </x:c>
      <x:c r="B1044" s="1" t="str">
        <x:v>Closure</x:v>
      </x:c>
      <x:c r="C1044" s="4" t="n">
        <x:v>126</x:v>
      </x:c>
      <x:c r="D1044" s="4" t="n">
        <x:v>20260928</x:v>
      </x:c>
      <x:c r="E1044" s="4" t="n">
        <x:v>60</x:v>
      </x:c>
      <x:c r="F1044" s="4" t="n">
        <x:v>2047</x:v>
      </x:c>
      <x:c r="G1044" s="5" t="n">
        <x:v>0.0409</x:v>
      </x:c>
      <x:c r="H1044" s="5" t="n">
        <x:v>0.06860000000000001</x:v>
      </x:c>
      <x:c r="I1044" s="5" t="n">
        <x:v>0</x:v>
      </x:c>
      <x:c r="J1044" s="4" t="n">
        <x:v>171</x:v>
      </x:c>
      <x:c r="K1044" s="4" t="n">
        <x:v>7</x:v>
      </x:c>
      <x:c r="L1044" s="4" t="n">
        <x:v>102</x:v>
      </x:c>
      <x:c r="M1044" s="4" t="n">
        <x:v>7</x:v>
      </x:c>
      <x:c r="N1044" s="4" t="n">
        <x:v>69</x:v>
      </x:c>
      <x:c r="O1044" s="4" t="n">
        <x:v>0</x:v>
      </x:c>
      <x:c r="P1044" s="1" t="str">
        <x:v>PASS</x:v>
      </x:c>
      <x:c r="Q1044" s="4" t="n">
        <x:v>0</x:v>
      </x:c>
      <x:c r="R1044" s="1" t="str">
        <x:v>PASS</x:v>
      </x:c>
      <x:c r="S1044" s="4" t="n">
        <x:v>0</x:v>
      </x:c>
      <x:c r="T1044" s="1" t="str">
        <x:v>NOT_REVEALING</x:v>
      </x:c>
      <x:c r="U1044" s="1" t="str">
        <x:v>Closure_126</x:v>
      </x:c>
      <x:c r="V1044" s="6" t="n">
        <x:v>65.63</x:v>
      </x:c>
    </x:row>
    <x:row r="1045" ht="22" customHeight="1">
      <x:c r="A1045" s="1" t="str">
        <x:v>Round2</x:v>
      </x:c>
      <x:c r="B1045" s="1" t="str">
        <x:v>Closure</x:v>
      </x:c>
      <x:c r="C1045" s="4" t="n">
        <x:v>127</x:v>
      </x:c>
      <x:c r="D1045" s="4" t="n">
        <x:v>20260928</x:v>
      </x:c>
      <x:c r="E1045" s="4" t="n">
        <x:v>60</x:v>
      </x:c>
      <x:c r="F1045" s="4" t="n">
        <x:v>5</x:v>
      </x:c>
      <x:c r="G1045" s="5" t="n">
        <x:v>0.054400000000000004</x:v>
      </x:c>
      <x:c r="H1045" s="5" t="n">
        <x:v>0.09759999999999999</x:v>
      </x:c>
      <x:c r="I1045" s="5" t="n">
        <x:v>0</x:v>
      </x:c>
      <x:c r="J1045" s="4" t="n">
        <x:v>147</x:v>
      </x:c>
      <x:c r="K1045" s="4" t="n">
        <x:v>8</x:v>
      </x:c>
      <x:c r="L1045" s="4" t="n">
        <x:v>82</x:v>
      </x:c>
      <x:c r="M1045" s="4" t="n">
        <x:v>8</x:v>
      </x:c>
      <x:c r="N1045" s="4" t="n">
        <x:v>65</x:v>
      </x:c>
      <x:c r="O1045" s="4" t="n">
        <x:v>0</x:v>
      </x:c>
      <x:c r="P1045" s="1" t="str">
        <x:v>PASS</x:v>
      </x:c>
      <x:c r="Q1045" s="4" t="n">
        <x:v>0</x:v>
      </x:c>
      <x:c r="R1045" s="1" t="str">
        <x:v>PASS</x:v>
      </x:c>
      <x:c r="S1045" s="4" t="n">
        <x:v>0</x:v>
      </x:c>
      <x:c r="T1045" s="1" t="str">
        <x:v>NOT_REVEALING</x:v>
      </x:c>
      <x:c r="U1045" s="1" t="str">
        <x:v>Closure_127</x:v>
      </x:c>
      <x:c r="V1045" s="6" t="n">
        <x:v>51.97</x:v>
      </x:c>
    </x:row>
    <x:row r="1046" ht="22" customHeight="1">
      <x:c r="A1046" s="1" t="str">
        <x:v>Round2</x:v>
      </x:c>
      <x:c r="B1046" s="1" t="str">
        <x:v>Closure</x:v>
      </x:c>
      <x:c r="C1046" s="4" t="n">
        <x:v>128</x:v>
      </x:c>
      <x:c r="D1046" s="4" t="n">
        <x:v>20260928</x:v>
      </x:c>
      <x:c r="E1046" s="4" t="n">
        <x:v>60</x:v>
      </x:c>
      <x:c r="F1046" s="4" t="n">
        <x:v>1921</x:v>
      </x:c>
      <x:c r="G1046" s="5" t="n">
        <x:v>0.0726</x:v>
      </x:c>
      <x:c r="H1046" s="5" t="n">
        <x:v>0.0956</x:v>
      </x:c>
      <x:c r="I1046" s="5" t="n">
        <x:v>0.04190000000000001</x:v>
      </x:c>
      <x:c r="J1046" s="4" t="n">
        <x:v>1115</x:v>
      </x:c>
      <x:c r="K1046" s="4" t="n">
        <x:v>81</x:v>
      </x:c>
      <x:c r="L1046" s="4" t="n">
        <x:v>638</x:v>
      </x:c>
      <x:c r="M1046" s="4" t="n">
        <x:v>61</x:v>
      </x:c>
      <x:c r="N1046" s="4" t="n">
        <x:v>477</x:v>
      </x:c>
      <x:c r="O1046" s="4" t="n">
        <x:v>20</x:v>
      </x:c>
      <x:c r="P1046" s="1" t="str">
        <x:v>PASS</x:v>
      </x:c>
      <x:c r="Q1046" s="4" t="n">
        <x:v>0</x:v>
      </x:c>
      <x:c r="R1046" s="1" t="str">
        <x:v>PASS</x:v>
      </x:c>
      <x:c r="S1046" s="4" t="n">
        <x:v>0</x:v>
      </x:c>
      <x:c r="T1046" s="1" t="str">
        <x:v>NOT_REVEALING</x:v>
      </x:c>
      <x:c r="U1046" s="1" t="str">
        <x:v>Closure_128</x:v>
      </x:c>
      <x:c r="V1046" s="6" t="n">
        <x:v>61.37</x:v>
      </x:c>
    </x:row>
    <x:row r="1047" ht="22" customHeight="1">
      <x:c r="A1047" s="1" t="str">
        <x:v>Round2</x:v>
      </x:c>
      <x:c r="B1047" s="1" t="str">
        <x:v>Closure</x:v>
      </x:c>
      <x:c r="C1047" s="4" t="n">
        <x:v>129</x:v>
      </x:c>
      <x:c r="D1047" s="4" t="n">
        <x:v>20260928</x:v>
      </x:c>
      <x:c r="E1047" s="4" t="n">
        <x:v>60</x:v>
      </x:c>
      <x:c r="F1047" s="4" t="n">
        <x:v>72</x:v>
      </x:c>
      <x:c r="G1047" s="5" t="n">
        <x:v>0.1707</x:v>
      </x:c>
      <x:c r="H1047" s="5" t="n">
        <x:v>0.2361</x:v>
      </x:c>
      <x:c r="I1047" s="5" t="n">
        <x:v>0.0784</x:v>
      </x:c>
      <x:c r="J1047" s="4" t="n">
        <x:v>123</x:v>
      </x:c>
      <x:c r="K1047" s="4" t="n">
        <x:v>21</x:v>
      </x:c>
      <x:c r="L1047" s="4" t="n">
        <x:v>72</x:v>
      </x:c>
      <x:c r="M1047" s="4" t="n">
        <x:v>17</x:v>
      </x:c>
      <x:c r="N1047" s="4" t="n">
        <x:v>51</x:v>
      </x:c>
      <x:c r="O1047" s="4" t="n">
        <x:v>4</x:v>
      </x:c>
      <x:c r="P1047" s="1" t="str">
        <x:v>PASS</x:v>
      </x:c>
      <x:c r="Q1047" s="4" t="n">
        <x:v>0</x:v>
      </x:c>
      <x:c r="R1047" s="1" t="str">
        <x:v>PASS</x:v>
      </x:c>
      <x:c r="S1047" s="4" t="n">
        <x:v>0</x:v>
      </x:c>
      <x:c r="T1047" s="1" t="str">
        <x:v>NOT_REVEALING</x:v>
      </x:c>
      <x:c r="U1047" s="1" t="str">
        <x:v>Closure_129</x:v>
      </x:c>
      <x:c r="V1047" s="6" t="n">
        <x:v>52.85</x:v>
      </x:c>
    </x:row>
    <x:row r="1048" ht="22" customHeight="1">
      <x:c r="A1048" s="1" t="str">
        <x:v>Round2</x:v>
      </x:c>
      <x:c r="B1048" s="1" t="str">
        <x:v>Closure</x:v>
      </x:c>
      <x:c r="C1048" s="4" t="n">
        <x:v>130</x:v>
      </x:c>
      <x:c r="D1048" s="4" t="n">
        <x:v>20260928</x:v>
      </x:c>
      <x:c r="E1048" s="4" t="n">
        <x:v>60</x:v>
      </x:c>
      <x:c r="F1048" s="4" t="n">
        <x:v>12</x:v>
      </x:c>
      <x:c r="G1048" s="5" t="n">
        <x:v>0.0331</x:v>
      </x:c>
      <x:c r="H1048" s="5" t="n">
        <x:v>0.0458</x:v>
      </x:c>
      <x:c r="I1048" s="5" t="n">
        <x:v>0.0152</x:v>
      </x:c>
      <x:c r="J1048" s="4" t="n">
        <x:v>635</x:v>
      </x:c>
      <x:c r="K1048" s="4" t="n">
        <x:v>21</x:v>
      </x:c>
      <x:c r="L1048" s="4" t="n">
        <x:v>371</x:v>
      </x:c>
      <x:c r="M1048" s="4" t="n">
        <x:v>17</x:v>
      </x:c>
      <x:c r="N1048" s="4" t="n">
        <x:v>264</x:v>
      </x:c>
      <x:c r="O1048" s="4" t="n">
        <x:v>4</x:v>
      </x:c>
      <x:c r="P1048" s="1" t="str">
        <x:v>PASS</x:v>
      </x:c>
      <x:c r="Q1048" s="4" t="n">
        <x:v>0</x:v>
      </x:c>
      <x:c r="R1048" s="1" t="str">
        <x:v>PASS</x:v>
      </x:c>
      <x:c r="S1048" s="4" t="n">
        <x:v>0</x:v>
      </x:c>
      <x:c r="T1048" s="1" t="str">
        <x:v>NOT_REVEALING</x:v>
      </x:c>
      <x:c r="U1048" s="1" t="str">
        <x:v>Closure_130</x:v>
      </x:c>
      <x:c r="V1048" s="6" t="n">
        <x:v>51.93</x:v>
      </x:c>
    </x:row>
    <x:row r="1049" ht="22" customHeight="1">
      <x:c r="A1049" s="1" t="str">
        <x:v>Round2</x:v>
      </x:c>
      <x:c r="B1049" s="1" t="str">
        <x:v>Closure</x:v>
      </x:c>
      <x:c r="C1049" s="4" t="n">
        <x:v>131</x:v>
      </x:c>
      <x:c r="D1049" s="4" t="n">
        <x:v>20260928</x:v>
      </x:c>
      <x:c r="E1049" s="4" t="n">
        <x:v>60</x:v>
      </x:c>
      <x:c r="F1049" s="4" t="n">
        <x:v>6</x:v>
      </x:c>
      <x:c r="G1049" s="5" t="n">
        <x:v>0.0971</x:v>
      </x:c>
      <x:c r="H1049" s="5" t="n">
        <x:v>0.15039999999999998</x:v>
      </x:c>
      <x:c r="I1049" s="5" t="n">
        <x:v>0.060599999999999994</x:v>
      </x:c>
      <x:c r="J1049" s="4" t="n">
        <x:v>278</x:v>
      </x:c>
      <x:c r="K1049" s="4" t="n">
        <x:v>27</x:v>
      </x:c>
      <x:c r="L1049" s="4" t="n">
        <x:v>113</x:v>
      </x:c>
      <x:c r="M1049" s="4" t="n">
        <x:v>17</x:v>
      </x:c>
      <x:c r="N1049" s="4" t="n">
        <x:v>165</x:v>
      </x:c>
      <x:c r="O1049" s="4" t="n">
        <x:v>10</x:v>
      </x:c>
      <x:c r="P1049" s="1" t="str">
        <x:v>PASS</x:v>
      </x:c>
      <x:c r="Q1049" s="4" t="n">
        <x:v>0</x:v>
      </x:c>
      <x:c r="R1049" s="1" t="str">
        <x:v>PASS</x:v>
      </x:c>
      <x:c r="S1049" s="4" t="n">
        <x:v>0</x:v>
      </x:c>
      <x:c r="T1049" s="1" t="str">
        <x:v>NOT_REVEALING</x:v>
      </x:c>
      <x:c r="U1049" s="1" t="str">
        <x:v>Closure_131</x:v>
      </x:c>
      <x:c r="V1049" s="6" t="n">
        <x:v>53.77</x:v>
      </x:c>
    </x:row>
    <x:row r="1050" ht="22" customHeight="1">
      <x:c r="A1050" s="1" t="str">
        <x:v>Round2</x:v>
      </x:c>
      <x:c r="B1050" s="1" t="str">
        <x:v>Closure</x:v>
      </x:c>
      <x:c r="C1050" s="4" t="n">
        <x:v>132</x:v>
      </x:c>
      <x:c r="D1050" s="4" t="n">
        <x:v>20260928</x:v>
      </x:c>
      <x:c r="E1050" s="4" t="n">
        <x:v>60</x:v>
      </x:c>
      <x:c r="F1050" s="4" t="n">
        <x:v>2147</x:v>
      </x:c>
      <x:c r="G1050" s="5" t="n">
        <x:v>0.0225</x:v>
      </x:c>
      <x:c r="H1050" s="5" t="n">
        <x:v>0.034300000000000004</x:v>
      </x:c>
      <x:c r="I1050" s="5" t="n">
        <x:v>0.005699999999999999</x:v>
      </x:c>
      <x:c r="J1050" s="4" t="n">
        <x:v>1287</x:v>
      </x:c>
      <x:c r="K1050" s="4" t="n">
        <x:v>29</x:v>
      </x:c>
      <x:c r="L1050" s="4" t="n">
        <x:v>757</x:v>
      </x:c>
      <x:c r="M1050" s="4" t="n">
        <x:v>26</x:v>
      </x:c>
      <x:c r="N1050" s="4" t="n">
        <x:v>530</x:v>
      </x:c>
      <x:c r="O1050" s="4" t="n">
        <x:v>3</x:v>
      </x:c>
      <x:c r="P1050" s="1" t="str">
        <x:v>PASS</x:v>
      </x:c>
      <x:c r="Q1050" s="4" t="n">
        <x:v>0</x:v>
      </x:c>
      <x:c r="R1050" s="1" t="str">
        <x:v>PASS</x:v>
      </x:c>
      <x:c r="S1050" s="4" t="n">
        <x:v>0</x:v>
      </x:c>
      <x:c r="T1050" s="1" t="str">
        <x:v>NOT_REVEALING</x:v>
      </x:c>
      <x:c r="U1050" s="1" t="str">
        <x:v>Closure_132</x:v>
      </x:c>
      <x:c r="V1050" s="6" t="n">
        <x:v>70.07</x:v>
      </x:c>
    </x:row>
    <x:row r="1051" ht="22" customHeight="1">
      <x:c r="A1051" s="1" t="str">
        <x:v>Round2</x:v>
      </x:c>
      <x:c r="B1051" s="1" t="str">
        <x:v>Closure</x:v>
      </x:c>
      <x:c r="C1051" s="4" t="n">
        <x:v>133</x:v>
      </x:c>
      <x:c r="D1051" s="4" t="n">
        <x:v>20260928</x:v>
      </x:c>
      <x:c r="E1051" s="4" t="n">
        <x:v>60</x:v>
      </x:c>
      <x:c r="F1051" s="4" t="n">
        <x:v>5</x:v>
      </x:c>
      <x:c r="G1051" s="5" t="n">
        <x:v>0.0677</x:v>
      </x:c>
      <x:c r="H1051" s="5" t="n">
        <x:v>0.0799</x:v>
      </x:c>
      <x:c r="I1051" s="5" t="n">
        <x:v>0.0473</x:v>
      </x:c>
      <x:c r="J1051" s="4" t="n">
        <x:v>1744</x:v>
      </x:c>
      <x:c r="K1051" s="4" t="n">
        <x:v>118</x:v>
      </x:c>
      <x:c r="L1051" s="4" t="n">
        <x:v>1089</x:v>
      </x:c>
      <x:c r="M1051" s="4" t="n">
        <x:v>87</x:v>
      </x:c>
      <x:c r="N1051" s="4" t="n">
        <x:v>655</x:v>
      </x:c>
      <x:c r="O1051" s="4" t="n">
        <x:v>31</x:v>
      </x:c>
      <x:c r="P1051" s="1" t="str">
        <x:v>PASS</x:v>
      </x:c>
      <x:c r="Q1051" s="4" t="n">
        <x:v>0</x:v>
      </x:c>
      <x:c r="R1051" s="1" t="str">
        <x:v>PASS</x:v>
      </x:c>
      <x:c r="S1051" s="4" t="n">
        <x:v>0</x:v>
      </x:c>
      <x:c r="T1051" s="1" t="str">
        <x:v>NOT_REVEALING</x:v>
      </x:c>
      <x:c r="U1051" s="1" t="str">
        <x:v>Closure_133</x:v>
      </x:c>
      <x:c r="V1051" s="6" t="n">
        <x:v>51.92</x:v>
      </x:c>
    </x:row>
    <x:row r="1052" ht="22" customHeight="1">
      <x:c r="A1052" s="1" t="str">
        <x:v>Round2</x:v>
      </x:c>
      <x:c r="B1052" s="1" t="str">
        <x:v>Closure</x:v>
      </x:c>
      <x:c r="C1052" s="4" t="n">
        <x:v>134</x:v>
      </x:c>
      <x:c r="D1052" s="4" t="n">
        <x:v>20260928</x:v>
      </x:c>
      <x:c r="E1052" s="4" t="n">
        <x:v>60</x:v>
      </x:c>
      <x:c r="F1052" s="4" t="n">
        <x:v>3878</x:v>
      </x:c>
      <x:c r="G1052" s="5" t="n">
        <x:v>0.0191</x:v>
      </x:c>
      <x:c r="H1052" s="5" t="n">
        <x:v>0.0319</x:v>
      </x:c>
      <x:c r="I1052" s="5" t="n">
        <x:v>0</x:v>
      </x:c>
      <x:c r="J1052" s="4" t="n">
        <x:v>1415</x:v>
      </x:c>
      <x:c r="K1052" s="4" t="n">
        <x:v>27</x:v>
      </x:c>
      <x:c r="L1052" s="4" t="n">
        <x:v>846</x:v>
      </x:c>
      <x:c r="M1052" s="4" t="n">
        <x:v>27</x:v>
      </x:c>
      <x:c r="N1052" s="4" t="n">
        <x:v>569</x:v>
      </x:c>
      <x:c r="O1052" s="4" t="n">
        <x:v>0</x:v>
      </x:c>
      <x:c r="P1052" s="1" t="str">
        <x:v>PASS</x:v>
      </x:c>
      <x:c r="Q1052" s="4" t="n">
        <x:v>0</x:v>
      </x:c>
      <x:c r="R1052" s="1" t="str">
        <x:v>PASS</x:v>
      </x:c>
      <x:c r="S1052" s="4" t="n">
        <x:v>0</x:v>
      </x:c>
      <x:c r="T1052" s="1" t="str">
        <x:v>NOT_REVEALING</x:v>
      </x:c>
      <x:c r="U1052" s="1" t="str">
        <x:v>Closure_134</x:v>
      </x:c>
      <x:c r="V1052" s="6" t="n">
        <x:v>40.31</x:v>
      </x:c>
    </x:row>
    <x:row r="1053" ht="22" customHeight="1">
      <x:c r="A1053" s="1" t="str">
        <x:v>Round2</x:v>
      </x:c>
      <x:c r="B1053" s="1" t="str">
        <x:v>Closure</x:v>
      </x:c>
      <x:c r="C1053" s="4" t="n">
        <x:v>135</x:v>
      </x:c>
      <x:c r="D1053" s="4" t="n">
        <x:v>20260928</x:v>
      </x:c>
      <x:c r="E1053" s="4" t="n">
        <x:v>60</x:v>
      </x:c>
      <x:c r="F1053" s="4" t="n">
        <x:v>58</x:v>
      </x:c>
      <x:c r="G1053" s="5" t="n">
        <x:v>0.013500000000000002</x:v>
      </x:c>
      <x:c r="H1053" s="5" t="n">
        <x:v>0.0236</x:v>
      </x:c>
      <x:c r="I1053" s="5" t="n">
        <x:v>0</x:v>
      </x:c>
      <x:c r="J1053" s="4" t="n">
        <x:v>742</x:v>
      </x:c>
      <x:c r="K1053" s="4" t="n">
        <x:v>10</x:v>
      </x:c>
      <x:c r="L1053" s="4" t="n">
        <x:v>424</x:v>
      </x:c>
      <x:c r="M1053" s="4" t="n">
        <x:v>10</x:v>
      </x:c>
      <x:c r="N1053" s="4" t="n">
        <x:v>318</x:v>
      </x:c>
      <x:c r="O1053" s="4" t="n">
        <x:v>0</x:v>
      </x:c>
      <x:c r="P1053" s="1" t="str">
        <x:v>PASS</x:v>
      </x:c>
      <x:c r="Q1053" s="4" t="n">
        <x:v>0</x:v>
      </x:c>
      <x:c r="R1053" s="1" t="str">
        <x:v>PASS</x:v>
      </x:c>
      <x:c r="S1053" s="4" t="n">
        <x:v>0</x:v>
      </x:c>
      <x:c r="T1053" s="1" t="str">
        <x:v>NOT_REVEALING</x:v>
      </x:c>
      <x:c r="U1053" s="1" t="str">
        <x:v>Closure_135</x:v>
      </x:c>
      <x:c r="V1053" s="6" t="n">
        <x:v>31.8</x:v>
      </x:c>
    </x:row>
    <x:row r="1054" ht="22" customHeight="1">
      <x:c r="A1054" s="1" t="str">
        <x:v>Round2</x:v>
      </x:c>
      <x:c r="B1054" s="1" t="str">
        <x:v>Closure</x:v>
      </x:c>
      <x:c r="C1054" s="4" t="n">
        <x:v>136</x:v>
      </x:c>
      <x:c r="D1054" s="4" t="n">
        <x:v>20260928</x:v>
      </x:c>
      <x:c r="E1054" s="4" t="n">
        <x:v>60</x:v>
      </x:c>
      <x:c r="F1054" s="4" t="n">
        <x:v>271</x:v>
      </x:c>
      <x:c r="G1054" s="5" t="n">
        <x:v>0.1308</x:v>
      </x:c>
      <x:c r="H1054" s="5" t="n">
        <x:v>0.17739999999999997</x:v>
      </x:c>
      <x:c r="I1054" s="5" t="n">
        <x:v>0.0473</x:v>
      </x:c>
      <x:c r="J1054" s="4" t="n">
        <x:v>413</x:v>
      </x:c>
      <x:c r="K1054" s="4" t="n">
        <x:v>54</x:v>
      </x:c>
      <x:c r="L1054" s="4" t="n">
        <x:v>265</x:v>
      </x:c>
      <x:c r="M1054" s="4" t="n">
        <x:v>47</x:v>
      </x:c>
      <x:c r="N1054" s="4" t="n">
        <x:v>148</x:v>
      </x:c>
      <x:c r="O1054" s="4" t="n">
        <x:v>7</x:v>
      </x:c>
      <x:c r="P1054" s="1" t="str">
        <x:v>PASS</x:v>
      </x:c>
      <x:c r="Q1054" s="4" t="n">
        <x:v>0</x:v>
      </x:c>
      <x:c r="R1054" s="1" t="str">
        <x:v>PASS</x:v>
      </x:c>
      <x:c r="S1054" s="4" t="n">
        <x:v>0</x:v>
      </x:c>
      <x:c r="T1054" s="1" t="str">
        <x:v>NOT_REVEALING</x:v>
      </x:c>
      <x:c r="U1054" s="1" t="str">
        <x:v>Closure_136</x:v>
      </x:c>
      <x:c r="V1054" s="6" t="n">
        <x:v>36.2</x:v>
      </x:c>
    </x:row>
    <x:row r="1055" ht="22" customHeight="1">
      <x:c r="A1055" s="1" t="str">
        <x:v>Round2</x:v>
      </x:c>
      <x:c r="B1055" s="1" t="str">
        <x:v>Closure</x:v>
      </x:c>
      <x:c r="C1055" s="4" t="n">
        <x:v>137</x:v>
      </x:c>
      <x:c r="D1055" s="4" t="n">
        <x:v>20260928</x:v>
      </x:c>
      <x:c r="E1055" s="4" t="n">
        <x:v>60</x:v>
      </x:c>
      <x:c r="F1055" s="4" t="n">
        <x:v>2246</x:v>
      </x:c>
      <x:c r="G1055" s="5" t="n">
        <x:v>0.4113</x:v>
      </x:c>
      <x:c r="H1055" s="5" t="n">
        <x:v>0.47259999999999996</x:v>
      </x:c>
      <x:c r="I1055" s="5" t="n">
        <x:v>0.3329</x:v>
      </x:c>
      <x:c r="J1055" s="4" t="n">
        <x:v>1624</x:v>
      </x:c>
      <x:c r="K1055" s="4" t="n">
        <x:v>668</x:v>
      </x:c>
      <x:c r="L1055" s="4" t="n">
        <x:v>912</x:v>
      </x:c>
      <x:c r="M1055" s="4" t="n">
        <x:v>431</x:v>
      </x:c>
      <x:c r="N1055" s="4" t="n">
        <x:v>712</x:v>
      </x:c>
      <x:c r="O1055" s="4" t="n">
        <x:v>237</x:v>
      </x:c>
      <x:c r="P1055" s="1" t="str">
        <x:v>FAIL</x:v>
      </x:c>
      <x:c r="Q1055" s="4" t="n">
        <x:v>8</x:v>
      </x:c>
      <x:c r="R1055" s="1" t="str">
        <x:v>FAIL</x:v>
      </x:c>
      <x:c r="S1055" s="4" t="n">
        <x:v>8</x:v>
      </x:c>
      <x:c r="T1055" s="1" t="str">
        <x:v>INCONCLUSIVE</x:v>
      </x:c>
      <x:c r="U1055" s="1" t="str">
        <x:v>Closure_137</x:v>
      </x:c>
      <x:c r="V1055" s="6" t="n">
        <x:v>54.49</x:v>
      </x:c>
    </x:row>
    <x:row r="1056" ht="22" customHeight="1">
      <x:c r="A1056" s="1" t="str">
        <x:v>Round2</x:v>
      </x:c>
      <x:c r="B1056" s="1" t="str">
        <x:v>Closure</x:v>
      </x:c>
      <x:c r="C1056" s="4" t="n">
        <x:v>138</x:v>
      </x:c>
      <x:c r="D1056" s="4" t="n">
        <x:v>20260928</x:v>
      </x:c>
      <x:c r="E1056" s="4" t="n">
        <x:v>60</x:v>
      </x:c>
      <x:c r="F1056" s="4" t="n">
        <x:v>2</x:v>
      </x:c>
      <x:c r="G1056" s="5" t="n">
        <x:v>0.001</x:v>
      </x:c>
      <x:c r="H1056" s="5" t="n">
        <x:v>0.0017000000000000001</x:v>
      </x:c>
      <x:c r="I1056" s="5" t="n">
        <x:v>0</x:v>
      </x:c>
      <x:c r="J1056" s="4" t="n">
        <x:v>978</x:v>
      </x:c>
      <x:c r="K1056" s="4" t="n">
        <x:v>1</x:v>
      </x:c>
      <x:c r="L1056" s="4" t="n">
        <x:v>605</x:v>
      </x:c>
      <x:c r="M1056" s="4" t="n">
        <x:v>1</x:v>
      </x:c>
      <x:c r="N1056" s="4" t="n">
        <x:v>373</x:v>
      </x:c>
      <x:c r="O1056" s="4" t="n">
        <x:v>0</x:v>
      </x:c>
      <x:c r="P1056" s="1" t="str">
        <x:v>PASS</x:v>
      </x:c>
      <x:c r="Q1056" s="4" t="n">
        <x:v>0</x:v>
      </x:c>
      <x:c r="R1056" s="1" t="str">
        <x:v>PASS</x:v>
      </x:c>
      <x:c r="S1056" s="4" t="n">
        <x:v>0</x:v>
      </x:c>
      <x:c r="T1056" s="1" t="str">
        <x:v>NOT_REVEALING</x:v>
      </x:c>
      <x:c r="U1056" s="1" t="str">
        <x:v>Closure_138</x:v>
      </x:c>
      <x:c r="V1056" s="6" t="n">
        <x:v>32.59</x:v>
      </x:c>
    </x:row>
    <x:row r="1057" ht="22" customHeight="1">
      <x:c r="A1057" s="1" t="str">
        <x:v>Round2</x:v>
      </x:c>
      <x:c r="B1057" s="1" t="str">
        <x:v>Closure</x:v>
      </x:c>
      <x:c r="C1057" s="4" t="n">
        <x:v>139</x:v>
      </x:c>
      <x:c r="D1057" s="4" t="n">
        <x:v>20260928</x:v>
      </x:c>
      <x:c r="E1057" s="4" t="n">
        <x:v>60</x:v>
      </x:c>
      <x:c r="F1057" s="4" t="n">
        <x:v>304</x:v>
      </x:c>
      <x:c r="G1057" s="5" t="n">
        <x:v>0.0812</x:v>
      </x:c>
      <x:c r="H1057" s="5" t="n">
        <x:v>0.12689999999999999</x:v>
      </x:c>
      <x:c r="I1057" s="5" t="n">
        <x:v>0</x:v>
      </x:c>
      <x:c r="J1057" s="4" t="n">
        <x:v>308</x:v>
      </x:c>
      <x:c r="K1057" s="4" t="n">
        <x:v>25</x:v>
      </x:c>
      <x:c r="L1057" s="4" t="n">
        <x:v>197</x:v>
      </x:c>
      <x:c r="M1057" s="4" t="n">
        <x:v>25</x:v>
      </x:c>
      <x:c r="N1057" s="4" t="n">
        <x:v>111</x:v>
      </x:c>
      <x:c r="O1057" s="4" t="n">
        <x:v>0</x:v>
      </x:c>
      <x:c r="P1057" s="1" t="str">
        <x:v>PASS</x:v>
      </x:c>
      <x:c r="Q1057" s="4" t="n">
        <x:v>0</x:v>
      </x:c>
      <x:c r="R1057" s="1" t="str">
        <x:v>PASS</x:v>
      </x:c>
      <x:c r="S1057" s="4" t="n">
        <x:v>0</x:v>
      </x:c>
      <x:c r="T1057" s="1" t="str">
        <x:v>NOT_REVEALING</x:v>
      </x:c>
      <x:c r="U1057" s="1" t="str">
        <x:v>Closure_139</x:v>
      </x:c>
      <x:c r="V1057" s="6" t="n">
        <x:v>40.34</x:v>
      </x:c>
    </x:row>
    <x:row r="1058" ht="22" customHeight="1">
      <x:c r="A1058" s="1" t="str">
        <x:v>Round2</x:v>
      </x:c>
      <x:c r="B1058" s="1" t="str">
        <x:v>Closure</x:v>
      </x:c>
      <x:c r="C1058" s="4" t="n">
        <x:v>140</x:v>
      </x:c>
      <x:c r="D1058" s="4" t="n">
        <x:v>20260928</x:v>
      </x:c>
      <x:c r="E1058" s="4" t="n">
        <x:v>60</x:v>
      </x:c>
      <x:c r="F1058" s="4" t="n">
        <x:v>1939</x:v>
      </x:c>
      <x:c r="G1058" s="5" t="n">
        <x:v>0.3818</x:v>
      </x:c>
      <x:c r="H1058" s="5" t="n">
        <x:v>0.4155</x:v>
      </x:c>
      <x:c r="I1058" s="5" t="n">
        <x:v>0.29100000000000004</x:v>
      </x:c>
      <x:c r="J1058" s="4" t="n">
        <x:v>901</x:v>
      </x:c>
      <x:c r="K1058" s="4" t="n">
        <x:v>344</x:v>
      </x:c>
      <x:c r="L1058" s="4" t="n">
        <x:v>657</x:v>
      </x:c>
      <x:c r="M1058" s="4" t="n">
        <x:v>273</x:v>
      </x:c>
      <x:c r="N1058" s="4" t="n">
        <x:v>244</x:v>
      </x:c>
      <x:c r="O1058" s="4" t="n">
        <x:v>71</x:v>
      </x:c>
      <x:c r="P1058" s="1" t="str">
        <x:v>FAIL</x:v>
      </x:c>
      <x:c r="Q1058" s="4" t="n">
        <x:v>4</x:v>
      </x:c>
      <x:c r="R1058" s="1" t="str">
        <x:v>FAIL</x:v>
      </x:c>
      <x:c r="S1058" s="4" t="n">
        <x:v>4</x:v>
      </x:c>
      <x:c r="T1058" s="1" t="str">
        <x:v>INCONCLUSIVE</x:v>
      </x:c>
      <x:c r="U1058" s="1" t="str">
        <x:v>Closure_140</x:v>
      </x:c>
      <x:c r="V1058" s="6" t="n">
        <x:v>58.75</x:v>
      </x:c>
    </x:row>
    <x:row r="1059" ht="22" customHeight="1">
      <x:c r="A1059" s="1" t="str">
        <x:v>Round2</x:v>
      </x:c>
      <x:c r="B1059" s="1" t="str">
        <x:v>Closure</x:v>
      </x:c>
      <x:c r="C1059" s="4" t="n">
        <x:v>141</x:v>
      </x:c>
      <x:c r="D1059" s="4" t="n">
        <x:v>20260928</x:v>
      </x:c>
      <x:c r="E1059" s="4" t="n">
        <x:v>60</x:v>
      </x:c>
      <x:c r="F1059" s="4" t="n">
        <x:v>2239</x:v>
      </x:c>
      <x:c r="G1059" s="5" t="n">
        <x:v>0.3669</x:v>
      </x:c>
      <x:c r="H1059" s="5" t="n">
        <x:v>0.4267</x:v>
      </x:c>
      <x:c r="I1059" s="5" t="n">
        <x:v>0.2965</x:v>
      </x:c>
      <x:c r="J1059" s="4" t="n">
        <x:v>1537</x:v>
      </x:c>
      <x:c r="K1059" s="4" t="n">
        <x:v>564</x:v>
      </x:c>
      <x:c r="L1059" s="4" t="n">
        <x:v>832</x:v>
      </x:c>
      <x:c r="M1059" s="4" t="n">
        <x:v>355</x:v>
      </x:c>
      <x:c r="N1059" s="4" t="n">
        <x:v>705</x:v>
      </x:c>
      <x:c r="O1059" s="4" t="n">
        <x:v>209</x:v>
      </x:c>
      <x:c r="P1059" s="1" t="str">
        <x:v>FAIL</x:v>
      </x:c>
      <x:c r="Q1059" s="4" t="n">
        <x:v>18</x:v>
      </x:c>
      <x:c r="R1059" s="1" t="str">
        <x:v>FAIL</x:v>
      </x:c>
      <x:c r="S1059" s="4" t="n">
        <x:v>18</x:v>
      </x:c>
      <x:c r="T1059" s="1" t="str">
        <x:v>INCONCLUSIVE</x:v>
      </x:c>
      <x:c r="U1059" s="1" t="str">
        <x:v>Closure_141</x:v>
      </x:c>
      <x:c r="V1059" s="6" t="n">
        <x:v>59.08</x:v>
      </x:c>
    </x:row>
    <x:row r="1060" ht="22" customHeight="1">
      <x:c r="A1060" s="1" t="str">
        <x:v>Round2</x:v>
      </x:c>
      <x:c r="B1060" s="1" t="str">
        <x:v>Closure</x:v>
      </x:c>
      <x:c r="C1060" s="4" t="n">
        <x:v>142</x:v>
      </x:c>
      <x:c r="D1060" s="4" t="n">
        <x:v>20260928</x:v>
      </x:c>
      <x:c r="E1060" s="4" t="n">
        <x:v>60</x:v>
      </x:c>
      <x:c r="F1060" s="4" t="n">
        <x:v>2243</x:v>
      </x:c>
      <x:c r="G1060" s="5" t="n">
        <x:v>0.061</x:v>
      </x:c>
      <x:c r="H1060" s="5" t="n">
        <x:v>0.0731</x:v>
      </x:c>
      <x:c r="I1060" s="5" t="n">
        <x:v>0.041100000000000005</x:v>
      </x:c>
      <x:c r="J1060" s="4" t="n">
        <x:v>1672</x:v>
      </x:c>
      <x:c r="K1060" s="4" t="n">
        <x:v>102</x:v>
      </x:c>
      <x:c r="L1060" s="4" t="n">
        <x:v>1039</x:v>
      </x:c>
      <x:c r="M1060" s="4" t="n">
        <x:v>76</x:v>
      </x:c>
      <x:c r="N1060" s="4" t="n">
        <x:v>633</x:v>
      </x:c>
      <x:c r="O1060" s="4" t="n">
        <x:v>26</x:v>
      </x:c>
      <x:c r="P1060" s="1" t="str">
        <x:v>PASS</x:v>
      </x:c>
      <x:c r="Q1060" s="4" t="n">
        <x:v>0</x:v>
      </x:c>
      <x:c r="R1060" s="1" t="str">
        <x:v>PASS</x:v>
      </x:c>
      <x:c r="S1060" s="4" t="n">
        <x:v>0</x:v>
      </x:c>
      <x:c r="T1060" s="1" t="str">
        <x:v>NOT_REVEALING</x:v>
      </x:c>
      <x:c r="U1060" s="1" t="str">
        <x:v>Closure_142</x:v>
      </x:c>
      <x:c r="V1060" s="6" t="n">
        <x:v>65.7</x:v>
      </x:c>
    </x:row>
    <x:row r="1061" ht="22" customHeight="1">
      <x:c r="A1061" s="1" t="str">
        <x:v>Round2</x:v>
      </x:c>
      <x:c r="B1061" s="1" t="str">
        <x:v>Closure</x:v>
      </x:c>
      <x:c r="C1061" s="4" t="n">
        <x:v>143</x:v>
      </x:c>
      <x:c r="D1061" s="4" t="n">
        <x:v>20260928</x:v>
      </x:c>
      <x:c r="E1061" s="4" t="n">
        <x:v>60</x:v>
      </x:c>
      <x:c r="F1061" s="4" t="n">
        <x:v>1809</x:v>
      </x:c>
      <x:c r="G1061" s="5" t="n">
        <x:v>0.24719999999999998</x:v>
      </x:c>
      <x:c r="H1061" s="5" t="n">
        <x:v>0.2968</x:v>
      </x:c>
      <x:c r="I1061" s="5" t="n">
        <x:v>0.12619999999999998</x:v>
      </x:c>
      <x:c r="J1061" s="4" t="n">
        <x:v>708</x:v>
      </x:c>
      <x:c r="K1061" s="4" t="n">
        <x:v>175</x:v>
      </x:c>
      <x:c r="L1061" s="4" t="n">
        <x:v>502</x:v>
      </x:c>
      <x:c r="M1061" s="4" t="n">
        <x:v>149</x:v>
      </x:c>
      <x:c r="N1061" s="4" t="n">
        <x:v>206</x:v>
      </x:c>
      <x:c r="O1061" s="4" t="n">
        <x:v>26</x:v>
      </x:c>
      <x:c r="P1061" s="1" t="str">
        <x:v>PASS</x:v>
      </x:c>
      <x:c r="Q1061" s="4" t="n">
        <x:v>0</x:v>
      </x:c>
      <x:c r="R1061" s="1" t="str">
        <x:v>PASS</x:v>
      </x:c>
      <x:c r="S1061" s="4" t="n">
        <x:v>0</x:v>
      </x:c>
      <x:c r="T1061" s="1" t="str">
        <x:v>NOT_REVEALING</x:v>
      </x:c>
      <x:c r="U1061" s="1" t="str">
        <x:v>Closure_143</x:v>
      </x:c>
      <x:c r="V1061" s="6" t="n">
        <x:v>58.66</x:v>
      </x:c>
    </x:row>
    <x:row r="1062" ht="22" customHeight="1">
      <x:c r="A1062" s="1" t="str">
        <x:v>Round2</x:v>
      </x:c>
      <x:c r="B1062" s="1" t="str">
        <x:v>Closure</x:v>
      </x:c>
      <x:c r="C1062" s="4" t="n">
        <x:v>144</x:v>
      </x:c>
      <x:c r="D1062" s="4" t="n">
        <x:v>20260928</x:v>
      </x:c>
      <x:c r="E1062" s="4" t="n">
        <x:v>60</x:v>
      </x:c>
      <x:c r="F1062" s="4" t="n">
        <x:v>2249</x:v>
      </x:c>
      <x:c r="G1062" s="5" t="n">
        <x:v>0.030600000000000002</x:v>
      </x:c>
      <x:c r="H1062" s="5" t="n">
        <x:v>0.053200000000000004</x:v>
      </x:c>
      <x:c r="I1062" s="5" t="n">
        <x:v>0</x:v>
      </x:c>
      <x:c r="J1062" s="4" t="n">
        <x:v>2121</x:v>
      </x:c>
      <x:c r="K1062" s="4" t="n">
        <x:v>65</x:v>
      </x:c>
      <x:c r="L1062" s="4" t="n">
        <x:v>1221</x:v>
      </x:c>
      <x:c r="M1062" s="4" t="n">
        <x:v>65</x:v>
      </x:c>
      <x:c r="N1062" s="4" t="n">
        <x:v>900</x:v>
      </x:c>
      <x:c r="O1062" s="4" t="n">
        <x:v>0</x:v>
      </x:c>
      <x:c r="P1062" s="1" t="str">
        <x:v>PASS</x:v>
      </x:c>
      <x:c r="Q1062" s="4" t="n">
        <x:v>0</x:v>
      </x:c>
      <x:c r="R1062" s="1" t="str">
        <x:v>PASS</x:v>
      </x:c>
      <x:c r="S1062" s="4" t="n">
        <x:v>0</x:v>
      </x:c>
      <x:c r="T1062" s="1" t="str">
        <x:v>NOT_REVEALING</x:v>
      </x:c>
      <x:c r="U1062" s="1" t="str">
        <x:v>Closure_144</x:v>
      </x:c>
      <x:c r="V1062" s="6" t="n">
        <x:v>48.22</x:v>
      </x:c>
    </x:row>
    <x:row r="1063" ht="22" customHeight="1">
      <x:c r="A1063" s="1" t="str">
        <x:v>Round2</x:v>
      </x:c>
      <x:c r="B1063" s="1" t="str">
        <x:v>Closure</x:v>
      </x:c>
      <x:c r="C1063" s="4" t="n">
        <x:v>145</x:v>
      </x:c>
      <x:c r="D1063" s="4" t="n">
        <x:v>20260928</x:v>
      </x:c>
      <x:c r="E1063" s="4" t="n">
        <x:v>60</x:v>
      </x:c>
      <x:c r="F1063" s="4" t="n">
        <x:v>2700</x:v>
      </x:c>
      <x:c r="G1063" s="5" t="n">
        <x:v>0.0967</x:v>
      </x:c>
      <x:c r="H1063" s="5" t="n">
        <x:v>0.1267</x:v>
      </x:c>
      <x:c r="I1063" s="5" t="n">
        <x:v>0.0559</x:v>
      </x:c>
      <x:c r="J1063" s="4" t="n">
        <x:v>889</x:v>
      </x:c>
      <x:c r="K1063" s="4" t="n">
        <x:v>86</x:v>
      </x:c>
      <x:c r="L1063" s="4" t="n">
        <x:v>513</x:v>
      </x:c>
      <x:c r="M1063" s="4" t="n">
        <x:v>65</x:v>
      </x:c>
      <x:c r="N1063" s="4" t="n">
        <x:v>376</x:v>
      </x:c>
      <x:c r="O1063" s="4" t="n">
        <x:v>21</x:v>
      </x:c>
      <x:c r="P1063" s="1" t="str">
        <x:v>PASS</x:v>
      </x:c>
      <x:c r="Q1063" s="4" t="n">
        <x:v>0</x:v>
      </x:c>
      <x:c r="R1063" s="1" t="str">
        <x:v>PASS</x:v>
      </x:c>
      <x:c r="S1063" s="4" t="n">
        <x:v>0</x:v>
      </x:c>
      <x:c r="T1063" s="1" t="str">
        <x:v>NOT_REVEALING</x:v>
      </x:c>
      <x:c r="U1063" s="1" t="str">
        <x:v>Closure_145</x:v>
      </x:c>
      <x:c r="V1063" s="6" t="n">
        <x:v>50.21</x:v>
      </x:c>
    </x:row>
    <x:row r="1064" ht="22" customHeight="1">
      <x:c r="A1064" s="1" t="str">
        <x:v>Round2</x:v>
      </x:c>
      <x:c r="B1064" s="1" t="str">
        <x:v>Closure</x:v>
      </x:c>
      <x:c r="C1064" s="4" t="n">
        <x:v>146</x:v>
      </x:c>
      <x:c r="D1064" s="4" t="n">
        <x:v>20260928</x:v>
      </x:c>
      <x:c r="E1064" s="4" t="n">
        <x:v>60</x:v>
      </x:c>
      <x:c r="F1064" s="4" t="n">
        <x:v>3701</x:v>
      </x:c>
      <x:c r="G1064" s="5" t="n">
        <x:v>0.0385</x:v>
      </x:c>
      <x:c r="H1064" s="5" t="n">
        <x:v>0.047400000000000005</x:v>
      </x:c>
      <x:c r="I1064" s="5" t="n">
        <x:v>0.0246</x:v>
      </x:c>
      <x:c r="J1064" s="4" t="n">
        <x:v>312</x:v>
      </x:c>
      <x:c r="K1064" s="4" t="n">
        <x:v>12</x:v>
      </x:c>
      <x:c r="L1064" s="4" t="n">
        <x:v>190</x:v>
      </x:c>
      <x:c r="M1064" s="4" t="n">
        <x:v>9</x:v>
      </x:c>
      <x:c r="N1064" s="4" t="n">
        <x:v>122</x:v>
      </x:c>
      <x:c r="O1064" s="4" t="n">
        <x:v>3</x:v>
      </x:c>
      <x:c r="P1064" s="1" t="str">
        <x:v>PASS</x:v>
      </x:c>
      <x:c r="Q1064" s="4" t="n">
        <x:v>0</x:v>
      </x:c>
      <x:c r="R1064" s="1" t="str">
        <x:v>PASS</x:v>
      </x:c>
      <x:c r="S1064" s="4" t="n">
        <x:v>0</x:v>
      </x:c>
      <x:c r="T1064" s="1" t="str">
        <x:v>NOT_REVEALING</x:v>
      </x:c>
      <x:c r="U1064" s="1" t="str">
        <x:v>Closure_146</x:v>
      </x:c>
      <x:c r="V1064" s="6" t="n">
        <x:v>50.51</x:v>
      </x:c>
    </x:row>
    <x:row r="1065" ht="22" customHeight="1">
      <x:c r="A1065" s="1" t="str">
        <x:v>Round2</x:v>
      </x:c>
      <x:c r="B1065" s="1" t="str">
        <x:v>Closure</x:v>
      </x:c>
      <x:c r="C1065" s="4" t="n">
        <x:v>147</x:v>
      </x:c>
      <x:c r="D1065" s="4" t="n">
        <x:v>20260928</x:v>
      </x:c>
      <x:c r="E1065" s="4" t="n">
        <x:v>60</x:v>
      </x:c>
      <x:c r="F1065" s="4" t="n">
        <x:v>11</x:v>
      </x:c>
      <x:c r="G1065" s="5" t="n">
        <x:v>0.0739</x:v>
      </x:c>
      <x:c r="H1065" s="5" t="n">
        <x:v>0.11789999999999999</x:v>
      </x:c>
      <x:c r="I1065" s="5" t="n">
        <x:v>0.0070999999999999995</x:v>
      </x:c>
      <x:c r="J1065" s="4" t="n">
        <x:v>352</x:v>
      </x:c>
      <x:c r="K1065" s="4" t="n">
        <x:v>26</x:v>
      </x:c>
      <x:c r="L1065" s="4" t="n">
        <x:v>212</x:v>
      </x:c>
      <x:c r="M1065" s="4" t="n">
        <x:v>25</x:v>
      </x:c>
      <x:c r="N1065" s="4" t="n">
        <x:v>140</x:v>
      </x:c>
      <x:c r="O1065" s="4" t="n">
        <x:v>1</x:v>
      </x:c>
      <x:c r="P1065" s="1" t="str">
        <x:v>PASS</x:v>
      </x:c>
      <x:c r="Q1065" s="4" t="n">
        <x:v>0</x:v>
      </x:c>
      <x:c r="R1065" s="1" t="str">
        <x:v>PASS</x:v>
      </x:c>
      <x:c r="S1065" s="4" t="n">
        <x:v>0</x:v>
      </x:c>
      <x:c r="T1065" s="1" t="str">
        <x:v>NOT_REVEALING</x:v>
      </x:c>
      <x:c r="U1065" s="1" t="str">
        <x:v>Closure_147</x:v>
      </x:c>
      <x:c r="V1065" s="6" t="n">
        <x:v>32.14</x:v>
      </x:c>
    </x:row>
    <x:row r="1066" ht="22" customHeight="1">
      <x:c r="A1066" s="1" t="str">
        <x:v>Round2</x:v>
      </x:c>
      <x:c r="B1066" s="1" t="str">
        <x:v>Closure</x:v>
      </x:c>
      <x:c r="C1066" s="4" t="n">
        <x:v>148</x:v>
      </x:c>
      <x:c r="D1066" s="4" t="n">
        <x:v>20260928</x:v>
      </x:c>
      <x:c r="E1066" s="4" t="n">
        <x:v>60</x:v>
      </x:c>
      <x:c r="F1066" s="4" t="n">
        <x:v>1890</x:v>
      </x:c>
      <x:c r="G1066" s="5" t="n">
        <x:v>0.037200000000000004</x:v>
      </x:c>
      <x:c r="H1066" s="5" t="n">
        <x:v>0.0582</x:v>
      </x:c>
      <x:c r="I1066" s="5" t="n">
        <x:v>0.0079</x:v>
      </x:c>
      <x:c r="J1066" s="4" t="n">
        <x:v>1211</x:v>
      </x:c>
      <x:c r="K1066" s="4" t="n">
        <x:v>45</x:v>
      </x:c>
      <x:c r="L1066" s="4" t="n">
        <x:v>705</x:v>
      </x:c>
      <x:c r="M1066" s="4" t="n">
        <x:v>41</x:v>
      </x:c>
      <x:c r="N1066" s="4" t="n">
        <x:v>506</x:v>
      </x:c>
      <x:c r="O1066" s="4" t="n">
        <x:v>4</x:v>
      </x:c>
      <x:c r="P1066" s="1" t="str">
        <x:v>PASS</x:v>
      </x:c>
      <x:c r="Q1066" s="4" t="n">
        <x:v>0</x:v>
      </x:c>
      <x:c r="R1066" s="1" t="str">
        <x:v>NOT_RUN</x:v>
      </x:c>
      <x:c r="S1066" s="4"/>
      <x:c r="T1066" s="1" t="str">
        <x:v>NOT_AVAILABLE</x:v>
      </x:c>
      <x:c r="U1066" s="1" t="str">
        <x:v>Closure_148</x:v>
      </x:c>
      <x:c r="V1066" s="6" t="n">
        <x:v>37.69</x:v>
      </x:c>
    </x:row>
    <x:row r="1067" ht="22" customHeight="1">
      <x:c r="A1067" s="1" t="str">
        <x:v>Round2</x:v>
      </x:c>
      <x:c r="B1067" s="1" t="str">
        <x:v>Closure</x:v>
      </x:c>
      <x:c r="C1067" s="4" t="n">
        <x:v>149</x:v>
      </x:c>
      <x:c r="D1067" s="4" t="n">
        <x:v>20260928</x:v>
      </x:c>
      <x:c r="E1067" s="4" t="n">
        <x:v>60</x:v>
      </x:c>
      <x:c r="F1067" s="4" t="n">
        <x:v>0</x:v>
      </x:c>
      <x:c r="G1067" s="5"/>
      <x:c r="H1067" s="5"/>
      <x:c r="I1067" s="5"/>
      <x:c r="J1067" s="4" t="n">
        <x:v>0</x:v>
      </x:c>
      <x:c r="K1067" s="4" t="n">
        <x:v>0</x:v>
      </x:c>
      <x:c r="L1067" s="4" t="n">
        <x:v>0</x:v>
      </x:c>
      <x:c r="M1067" s="4" t="n">
        <x:v>0</x:v>
      </x:c>
      <x:c r="N1067" s="4" t="n">
        <x:v>0</x:v>
      </x:c>
      <x:c r="O1067" s="4" t="n">
        <x:v>0</x:v>
      </x:c>
      <x:c r="P1067" s="1" t="str">
        <x:v>NOT_RUN</x:v>
      </x:c>
      <x:c r="Q1067" s="4"/>
      <x:c r="R1067" s="1" t="str">
        <x:v>NOT_RUN</x:v>
      </x:c>
      <x:c r="S1067" s="4"/>
      <x:c r="T1067" s="1" t="str">
        <x:v>FAIL</x:v>
      </x:c>
      <x:c r="U1067" s="1" t="str">
        <x:v>Closure_149</x:v>
      </x:c>
      <x:c r="V1067" s="6"/>
    </x:row>
    <x:row r="1068" ht="22" customHeight="1">
      <x:c r="A1068" s="1" t="str">
        <x:v>Round2</x:v>
      </x:c>
      <x:c r="B1068" s="1" t="str">
        <x:v>Closure</x:v>
      </x:c>
      <x:c r="C1068" s="4" t="n">
        <x:v>150</x:v>
      </x:c>
      <x:c r="D1068" s="4" t="n">
        <x:v>20260928</x:v>
      </x:c>
      <x:c r="E1068" s="4" t="n">
        <x:v>60</x:v>
      </x:c>
      <x:c r="F1068" s="4" t="n">
        <x:v>7</x:v>
      </x:c>
      <x:c r="G1068" s="5" t="n">
        <x:v>0.0095</x:v>
      </x:c>
      <x:c r="H1068" s="5" t="n">
        <x:v>0.0167</x:v>
      </x:c>
      <x:c r="I1068" s="5" t="n">
        <x:v>0</x:v>
      </x:c>
      <x:c r="J1068" s="4" t="n">
        <x:v>1152</x:v>
      </x:c>
      <x:c r="K1068" s="4" t="n">
        <x:v>11</x:v>
      </x:c>
      <x:c r="L1068" s="4" t="n">
        <x:v>660</x:v>
      </x:c>
      <x:c r="M1068" s="4" t="n">
        <x:v>11</x:v>
      </x:c>
      <x:c r="N1068" s="4" t="n">
        <x:v>492</x:v>
      </x:c>
      <x:c r="O1068" s="4" t="n">
        <x:v>0</x:v>
      </x:c>
      <x:c r="P1068" s="1" t="str">
        <x:v>PASS</x:v>
      </x:c>
      <x:c r="Q1068" s="4" t="n">
        <x:v>0</x:v>
      </x:c>
      <x:c r="R1068" s="1" t="str">
        <x:v>PASS</x:v>
      </x:c>
      <x:c r="S1068" s="4" t="n">
        <x:v>0</x:v>
      </x:c>
      <x:c r="T1068" s="1" t="str">
        <x:v>NOT_REVEALING</x:v>
      </x:c>
      <x:c r="U1068" s="1" t="str">
        <x:v>Closure_150</x:v>
      </x:c>
      <x:c r="V1068" s="6" t="n">
        <x:v>32.75</x:v>
      </x:c>
    </x:row>
    <x:row r="1069" ht="22" customHeight="1">
      <x:c r="A1069" s="1" t="str">
        <x:v>Round2</x:v>
      </x:c>
      <x:c r="B1069" s="1" t="str">
        <x:v>Closure</x:v>
      </x:c>
      <x:c r="C1069" s="4" t="n">
        <x:v>151</x:v>
      </x:c>
      <x:c r="D1069" s="4" t="n">
        <x:v>20260928</x:v>
      </x:c>
      <x:c r="E1069" s="4" t="n">
        <x:v>60</x:v>
      </x:c>
      <x:c r="F1069" s="4" t="n">
        <x:v>0</x:v>
      </x:c>
      <x:c r="G1069" s="5"/>
      <x:c r="H1069" s="5"/>
      <x:c r="I1069" s="5"/>
      <x:c r="J1069" s="4" t="n">
        <x:v>0</x:v>
      </x:c>
      <x:c r="K1069" s="4" t="n">
        <x:v>0</x:v>
      </x:c>
      <x:c r="L1069" s="4" t="n">
        <x:v>0</x:v>
      </x:c>
      <x:c r="M1069" s="4" t="n">
        <x:v>0</x:v>
      </x:c>
      <x:c r="N1069" s="4" t="n">
        <x:v>0</x:v>
      </x:c>
      <x:c r="O1069" s="4" t="n">
        <x:v>0</x:v>
      </x:c>
      <x:c r="P1069" s="1" t="str">
        <x:v>NOT_RUN</x:v>
      </x:c>
      <x:c r="Q1069" s="4"/>
      <x:c r="R1069" s="1" t="str">
        <x:v>NOT_RUN</x:v>
      </x:c>
      <x:c r="S1069" s="4"/>
      <x:c r="T1069" s="1" t="str">
        <x:v>FAIL</x:v>
      </x:c>
      <x:c r="U1069" s="1" t="str">
        <x:v>Closure_151</x:v>
      </x:c>
      <x:c r="V1069" s="6"/>
    </x:row>
    <x:row r="1070" ht="22" customHeight="1">
      <x:c r="A1070" s="1" t="str">
        <x:v>Round2</x:v>
      </x:c>
      <x:c r="B1070" s="1" t="str">
        <x:v>Closure</x:v>
      </x:c>
      <x:c r="C1070" s="4" t="n">
        <x:v>152</x:v>
      </x:c>
      <x:c r="D1070" s="4" t="n">
        <x:v>20260928</x:v>
      </x:c>
      <x:c r="E1070" s="4" t="n">
        <x:v>60</x:v>
      </x:c>
      <x:c r="F1070" s="4" t="n">
        <x:v>6849</x:v>
      </x:c>
      <x:c r="G1070" s="5" t="n">
        <x:v>0.0079</x:v>
      </x:c>
      <x:c r="H1070" s="5" t="n">
        <x:v>0.014199999999999999</x:v>
      </x:c>
      <x:c r="I1070" s="5" t="n">
        <x:v>0</x:v>
      </x:c>
      <x:c r="J1070" s="4" t="n">
        <x:v>633</x:v>
      </x:c>
      <x:c r="K1070" s="4" t="n">
        <x:v>5</x:v>
      </x:c>
      <x:c r="L1070" s="4" t="n">
        <x:v>351</x:v>
      </x:c>
      <x:c r="M1070" s="4" t="n">
        <x:v>5</x:v>
      </x:c>
      <x:c r="N1070" s="4" t="n">
        <x:v>282</x:v>
      </x:c>
      <x:c r="O1070" s="4" t="n">
        <x:v>0</x:v>
      </x:c>
      <x:c r="P1070" s="1" t="str">
        <x:v>PASS</x:v>
      </x:c>
      <x:c r="Q1070" s="4" t="n">
        <x:v>0</x:v>
      </x:c>
      <x:c r="R1070" s="1" t="str">
        <x:v>PASS</x:v>
      </x:c>
      <x:c r="S1070" s="4" t="n">
        <x:v>0</x:v>
      </x:c>
      <x:c r="T1070" s="1" t="str">
        <x:v>NOT_REVEALING</x:v>
      </x:c>
      <x:c r="U1070" s="1" t="str">
        <x:v>Closure_152</x:v>
      </x:c>
      <x:c r="V1070" s="6" t="n">
        <x:v>50.3</x:v>
      </x:c>
    </x:row>
    <x:row r="1071" ht="22" customHeight="1">
      <x:c r="A1071" s="1" t="str">
        <x:v>Round2</x:v>
      </x:c>
      <x:c r="B1071" s="1" t="str">
        <x:v>Closure</x:v>
      </x:c>
      <x:c r="C1071" s="4" t="n">
        <x:v>153</x:v>
      </x:c>
      <x:c r="D1071" s="4" t="n">
        <x:v>20260928</x:v>
      </x:c>
      <x:c r="E1071" s="4" t="n">
        <x:v>60</x:v>
      </x:c>
      <x:c r="F1071" s="4" t="n">
        <x:v>319</x:v>
      </x:c>
      <x:c r="G1071" s="5" t="n">
        <x:v>0.07719999999999999</x:v>
      </x:c>
      <x:c r="H1071" s="5" t="n">
        <x:v>0.1197</x:v>
      </x:c>
      <x:c r="I1071" s="5" t="n">
        <x:v>0.0045000000000000005</x:v>
      </x:c>
      <x:c r="J1071" s="4" t="n">
        <x:v>596</x:v>
      </x:c>
      <x:c r="K1071" s="4" t="n">
        <x:v>46</x:v>
      </x:c>
      <x:c r="L1071" s="4" t="n">
        <x:v>376</x:v>
      </x:c>
      <x:c r="M1071" s="4" t="n">
        <x:v>45</x:v>
      </x:c>
      <x:c r="N1071" s="4" t="n">
        <x:v>220</x:v>
      </x:c>
      <x:c r="O1071" s="4" t="n">
        <x:v>1</x:v>
      </x:c>
      <x:c r="P1071" s="1" t="str">
        <x:v>PASS</x:v>
      </x:c>
      <x:c r="Q1071" s="4" t="n">
        <x:v>0</x:v>
      </x:c>
      <x:c r="R1071" s="1" t="str">
        <x:v>PASS</x:v>
      </x:c>
      <x:c r="S1071" s="4" t="n">
        <x:v>0</x:v>
      </x:c>
      <x:c r="T1071" s="1" t="str">
        <x:v>NOT_REVEALING</x:v>
      </x:c>
      <x:c r="U1071" s="1" t="str">
        <x:v>Closure_153</x:v>
      </x:c>
      <x:c r="V1071" s="6" t="n">
        <x:v>44.1</x:v>
      </x:c>
    </x:row>
    <x:row r="1072" ht="22" customHeight="1">
      <x:c r="A1072" s="1" t="str">
        <x:v>Round2</x:v>
      </x:c>
      <x:c r="B1072" s="1" t="str">
        <x:v>Closure</x:v>
      </x:c>
      <x:c r="C1072" s="4" t="n">
        <x:v>154</x:v>
      </x:c>
      <x:c r="D1072" s="4" t="n">
        <x:v>20260928</x:v>
      </x:c>
      <x:c r="E1072" s="4" t="n">
        <x:v>60</x:v>
      </x:c>
      <x:c r="F1072" s="4" t="n">
        <x:v>42</x:v>
      </x:c>
      <x:c r="G1072" s="5" t="n">
        <x:v>0.0509</x:v>
      </x:c>
      <x:c r="H1072" s="5" t="n">
        <x:v>0.0858</x:v>
      </x:c>
      <x:c r="I1072" s="5" t="n">
        <x:v>0</x:v>
      </x:c>
      <x:c r="J1072" s="4" t="n">
        <x:v>1630</x:v>
      </x:c>
      <x:c r="K1072" s="4" t="n">
        <x:v>83</x:v>
      </x:c>
      <x:c r="L1072" s="4" t="n">
        <x:v>967</x:v>
      </x:c>
      <x:c r="M1072" s="4" t="n">
        <x:v>83</x:v>
      </x:c>
      <x:c r="N1072" s="4" t="n">
        <x:v>663</x:v>
      </x:c>
      <x:c r="O1072" s="4" t="n">
        <x:v>0</x:v>
      </x:c>
      <x:c r="P1072" s="1" t="str">
        <x:v>PASS</x:v>
      </x:c>
      <x:c r="Q1072" s="4" t="n">
        <x:v>0</x:v>
      </x:c>
      <x:c r="R1072" s="1" t="str">
        <x:v>NOT_RUN</x:v>
      </x:c>
      <x:c r="S1072" s="4"/>
      <x:c r="T1072" s="1" t="str">
        <x:v>NOT_AVAILABLE</x:v>
      </x:c>
      <x:c r="U1072" s="1" t="str">
        <x:v>Closure_154</x:v>
      </x:c>
      <x:c r="V1072" s="6" t="n">
        <x:v>41.65</x:v>
      </x:c>
    </x:row>
    <x:row r="1073" ht="22" customHeight="1">
      <x:c r="A1073" s="1" t="str">
        <x:v>Round2</x:v>
      </x:c>
      <x:c r="B1073" s="1" t="str">
        <x:v>Closure</x:v>
      </x:c>
      <x:c r="C1073" s="4" t="n">
        <x:v>155</x:v>
      </x:c>
      <x:c r="D1073" s="4" t="n">
        <x:v>20260928</x:v>
      </x:c>
      <x:c r="E1073" s="4" t="n">
        <x:v>60</x:v>
      </x:c>
      <x:c r="F1073" s="4" t="n">
        <x:v>1904</x:v>
      </x:c>
      <x:c r="G1073" s="5" t="n">
        <x:v>0.1883</x:v>
      </x:c>
      <x:c r="H1073" s="5" t="n">
        <x:v>0.26890000000000003</x:v>
      </x:c>
      <x:c r="I1073" s="5" t="n">
        <x:v>0.0788</x:v>
      </x:c>
      <x:c r="J1073" s="4" t="n">
        <x:v>988</x:v>
      </x:c>
      <x:c r="K1073" s="4" t="n">
        <x:v>186</x:v>
      </x:c>
      <x:c r="L1073" s="4" t="n">
        <x:v>569</x:v>
      </x:c>
      <x:c r="M1073" s="4" t="n">
        <x:v>153</x:v>
      </x:c>
      <x:c r="N1073" s="4" t="n">
        <x:v>419</x:v>
      </x:c>
      <x:c r="O1073" s="4" t="n">
        <x:v>33</x:v>
      </x:c>
      <x:c r="P1073" s="1" t="str">
        <x:v>FAIL</x:v>
      </x:c>
      <x:c r="Q1073" s="4" t="n">
        <x:v>31</x:v>
      </x:c>
      <x:c r="R1073" s="1" t="str">
        <x:v>FAIL</x:v>
      </x:c>
      <x:c r="S1073" s="4" t="n">
        <x:v>31</x:v>
      </x:c>
      <x:c r="T1073" s="1" t="str">
        <x:v>INCONCLUSIVE</x:v>
      </x:c>
      <x:c r="U1073" s="1" t="str">
        <x:v>Closure_155</x:v>
      </x:c>
      <x:c r="V1073" s="6" t="n">
        <x:v>55.8</x:v>
      </x:c>
    </x:row>
    <x:row r="1074" ht="22" customHeight="1">
      <x:c r="A1074" s="1" t="str">
        <x:v>Round2</x:v>
      </x:c>
      <x:c r="B1074" s="1" t="str">
        <x:v>Closure</x:v>
      </x:c>
      <x:c r="C1074" s="4" t="n">
        <x:v>156</x:v>
      </x:c>
      <x:c r="D1074" s="4" t="n">
        <x:v>20260928</x:v>
      </x:c>
      <x:c r="E1074" s="4" t="n">
        <x:v>60</x:v>
      </x:c>
      <x:c r="F1074" s="4" t="n">
        <x:v>12</x:v>
      </x:c>
      <x:c r="G1074" s="5" t="n">
        <x:v>0.0365</x:v>
      </x:c>
      <x:c r="H1074" s="5" t="n">
        <x:v>0.0507</x:v>
      </x:c>
      <x:c r="I1074" s="5" t="n">
        <x:v>0.0167</x:v>
      </x:c>
      <x:c r="J1074" s="4" t="n">
        <x:v>575</x:v>
      </x:c>
      <x:c r="K1074" s="4" t="n">
        <x:v>21</x:v>
      </x:c>
      <x:c r="L1074" s="4" t="n">
        <x:v>335</x:v>
      </x:c>
      <x:c r="M1074" s="4" t="n">
        <x:v>17</x:v>
      </x:c>
      <x:c r="N1074" s="4" t="n">
        <x:v>240</x:v>
      </x:c>
      <x:c r="O1074" s="4" t="n">
        <x:v>4</x:v>
      </x:c>
      <x:c r="P1074" s="1" t="str">
        <x:v>PASS</x:v>
      </x:c>
      <x:c r="Q1074" s="4" t="n">
        <x:v>0</x:v>
      </x:c>
      <x:c r="R1074" s="1" t="str">
        <x:v>PASS</x:v>
      </x:c>
      <x:c r="S1074" s="4" t="n">
        <x:v>0</x:v>
      </x:c>
      <x:c r="T1074" s="1" t="str">
        <x:v>NOT_REVEALING</x:v>
      </x:c>
      <x:c r="U1074" s="1" t="str">
        <x:v>Closure_156</x:v>
      </x:c>
      <x:c r="V1074" s="6" t="n">
        <x:v>41.95</x:v>
      </x:c>
    </x:row>
    <x:row r="1075" ht="22" customHeight="1">
      <x:c r="A1075" s="1" t="str">
        <x:v>Round2</x:v>
      </x:c>
      <x:c r="B1075" s="1" t="str">
        <x:v>Closure</x:v>
      </x:c>
      <x:c r="C1075" s="4" t="n">
        <x:v>157</x:v>
      </x:c>
      <x:c r="D1075" s="4" t="n">
        <x:v>20260928</x:v>
      </x:c>
      <x:c r="E1075" s="4" t="n">
        <x:v>60</x:v>
      </x:c>
      <x:c r="F1075" s="4" t="n">
        <x:v>2942</x:v>
      </x:c>
      <x:c r="G1075" s="5" t="n">
        <x:v>0.0508</x:v>
      </x:c>
      <x:c r="H1075" s="5" t="n">
        <x:v>0.0664</x:v>
      </x:c>
      <x:c r="I1075" s="5" t="n">
        <x:v>0.026699999999999998</x:v>
      </x:c>
      <x:c r="J1075" s="4" t="n">
        <x:v>2187</x:v>
      </x:c>
      <x:c r="K1075" s="4" t="n">
        <x:v>111</x:v>
      </x:c>
      <x:c r="L1075" s="4" t="n">
        <x:v>1325</x:v>
      </x:c>
      <x:c r="M1075" s="4" t="n">
        <x:v>88</x:v>
      </x:c>
      <x:c r="N1075" s="4" t="n">
        <x:v>862</x:v>
      </x:c>
      <x:c r="O1075" s="4" t="n">
        <x:v>23</x:v>
      </x:c>
      <x:c r="P1075" s="1" t="str">
        <x:v>PASS</x:v>
      </x:c>
      <x:c r="Q1075" s="4" t="n">
        <x:v>0</x:v>
      </x:c>
      <x:c r="R1075" s="1" t="str">
        <x:v>PASS</x:v>
      </x:c>
      <x:c r="S1075" s="4" t="n">
        <x:v>0</x:v>
      </x:c>
      <x:c r="T1075" s="1" t="str">
        <x:v>NOT_REVEALING</x:v>
      </x:c>
      <x:c r="U1075" s="1" t="str">
        <x:v>Closure_157</x:v>
      </x:c>
      <x:c r="V1075" s="6" t="n">
        <x:v>56.51</x:v>
      </x:c>
    </x:row>
    <x:row r="1076" ht="22" customHeight="1">
      <x:c r="A1076" s="1" t="str">
        <x:v>Round2</x:v>
      </x:c>
      <x:c r="B1076" s="1" t="str">
        <x:v>Closure</x:v>
      </x:c>
      <x:c r="C1076" s="4" t="n">
        <x:v>158</x:v>
      </x:c>
      <x:c r="D1076" s="4" t="n">
        <x:v>20260928</x:v>
      </x:c>
      <x:c r="E1076" s="4" t="n">
        <x:v>60</x:v>
      </x:c>
      <x:c r="F1076" s="4" t="n">
        <x:v>0</x:v>
      </x:c>
      <x:c r="G1076" s="5"/>
      <x:c r="H1076" s="5"/>
      <x:c r="I1076" s="5"/>
      <x:c r="J1076" s="4" t="n">
        <x:v>0</x:v>
      </x:c>
      <x:c r="K1076" s="4" t="n">
        <x:v>0</x:v>
      </x:c>
      <x:c r="L1076" s="4" t="n">
        <x:v>0</x:v>
      </x:c>
      <x:c r="M1076" s="4" t="n">
        <x:v>0</x:v>
      </x:c>
      <x:c r="N1076" s="4" t="n">
        <x:v>0</x:v>
      </x:c>
      <x:c r="O1076" s="4" t="n">
        <x:v>0</x:v>
      </x:c>
      <x:c r="P1076" s="1" t="str">
        <x:v>NOT_RUN</x:v>
      </x:c>
      <x:c r="Q1076" s="4"/>
      <x:c r="R1076" s="1" t="str">
        <x:v>NOT_RUN</x:v>
      </x:c>
      <x:c r="S1076" s="4"/>
      <x:c r="T1076" s="1" t="str">
        <x:v>FAIL</x:v>
      </x:c>
      <x:c r="U1076" s="1" t="str">
        <x:v>Closure_158</x:v>
      </x:c>
      <x:c r="V1076" s="6"/>
    </x:row>
    <x:row r="1077" ht="22" customHeight="1">
      <x:c r="A1077" s="1" t="str">
        <x:v>Round2</x:v>
      </x:c>
      <x:c r="B1077" s="1" t="str">
        <x:v>Closure</x:v>
      </x:c>
      <x:c r="C1077" s="4" t="n">
        <x:v>159</x:v>
      </x:c>
      <x:c r="D1077" s="4" t="n">
        <x:v>20260928</x:v>
      </x:c>
      <x:c r="E1077" s="4" t="n">
        <x:v>60</x:v>
      </x:c>
      <x:c r="F1077" s="4" t="n">
        <x:v>12</x:v>
      </x:c>
      <x:c r="G1077" s="5" t="n">
        <x:v>0.0088</x:v>
      </x:c>
      <x:c r="H1077" s="5" t="n">
        <x:v>0.0121</x:v>
      </x:c>
      <x:c r="I1077" s="5" t="n">
        <x:v>0.0038</x:v>
      </x:c>
      <x:c r="J1077" s="4" t="n">
        <x:v>678</x:v>
      </x:c>
      <x:c r="K1077" s="4" t="n">
        <x:v>6</x:v>
      </x:c>
      <x:c r="L1077" s="4" t="n">
        <x:v>413</x:v>
      </x:c>
      <x:c r="M1077" s="4" t="n">
        <x:v>5</x:v>
      </x:c>
      <x:c r="N1077" s="4" t="n">
        <x:v>265</x:v>
      </x:c>
      <x:c r="O1077" s="4" t="n">
        <x:v>1</x:v>
      </x:c>
      <x:c r="P1077" s="1" t="str">
        <x:v>PASS</x:v>
      </x:c>
      <x:c r="Q1077" s="4" t="n">
        <x:v>0</x:v>
      </x:c>
      <x:c r="R1077" s="1" t="str">
        <x:v>PASS</x:v>
      </x:c>
      <x:c r="S1077" s="4" t="n">
        <x:v>0</x:v>
      </x:c>
      <x:c r="T1077" s="1" t="str">
        <x:v>NOT_REVEALING</x:v>
      </x:c>
      <x:c r="U1077" s="1" t="str">
        <x:v>Closure_159</x:v>
      </x:c>
      <x:c r="V1077" s="6" t="n">
        <x:v>41.9</x:v>
      </x:c>
    </x:row>
    <x:row r="1078" ht="22" customHeight="1">
      <x:c r="A1078" s="1" t="str">
        <x:v>Round2</x:v>
      </x:c>
      <x:c r="B1078" s="1" t="str">
        <x:v>Closure</x:v>
      </x:c>
      <x:c r="C1078" s="4" t="n">
        <x:v>160</x:v>
      </x:c>
      <x:c r="D1078" s="4" t="n">
        <x:v>20260928</x:v>
      </x:c>
      <x:c r="E1078" s="4" t="n">
        <x:v>60</x:v>
      </x:c>
      <x:c r="F1078" s="4" t="n">
        <x:v>1660</x:v>
      </x:c>
      <x:c r="G1078" s="5" t="n">
        <x:v>0.40840000000000004</x:v>
      </x:c>
      <x:c r="H1078" s="5" t="n">
        <x:v>0.43060000000000004</x:v>
      </x:c>
      <x:c r="I1078" s="5" t="n">
        <x:v>0.354</x:v>
      </x:c>
      <x:c r="J1078" s="4" t="n">
        <x:v>1114</x:v>
      </x:c>
      <x:c r="K1078" s="4" t="n">
        <x:v>455</x:v>
      </x:c>
      <x:c r="L1078" s="4" t="n">
        <x:v>792</x:v>
      </x:c>
      <x:c r="M1078" s="4" t="n">
        <x:v>341</x:v>
      </x:c>
      <x:c r="N1078" s="4" t="n">
        <x:v>322</x:v>
      </x:c>
      <x:c r="O1078" s="4" t="n">
        <x:v>114</x:v>
      </x:c>
      <x:c r="P1078" s="1" t="str">
        <x:v>FAIL</x:v>
      </x:c>
      <x:c r="Q1078" s="4" t="n">
        <x:v>270</x:v>
      </x:c>
      <x:c r="R1078" s="1" t="str">
        <x:v>FAIL</x:v>
      </x:c>
      <x:c r="S1078" s="4" t="n">
        <x:v>270</x:v>
      </x:c>
      <x:c r="T1078" s="1" t="str">
        <x:v>INCONCLUSIVE</x:v>
      </x:c>
      <x:c r="U1078" s="1" t="str">
        <x:v>Closure_160</x:v>
      </x:c>
      <x:c r="V1078" s="6" t="n">
        <x:v>71.17</x:v>
      </x:c>
    </x:row>
    <x:row r="1079" ht="22" customHeight="1">
      <x:c r="A1079" s="1" t="str">
        <x:v>Round2</x:v>
      </x:c>
      <x:c r="B1079" s="1" t="str">
        <x:v>Closure</x:v>
      </x:c>
      <x:c r="C1079" s="4" t="n">
        <x:v>161</x:v>
      </x:c>
      <x:c r="D1079" s="4" t="n">
        <x:v>20260928</x:v>
      </x:c>
      <x:c r="E1079" s="4" t="n">
        <x:v>60</x:v>
      </x:c>
      <x:c r="F1079" s="4" t="n">
        <x:v>9</x:v>
      </x:c>
      <x:c r="G1079" s="5" t="n">
        <x:v>0.0115</x:v>
      </x:c>
      <x:c r="H1079" s="5" t="n">
        <x:v>0.0204</x:v>
      </x:c>
      <x:c r="I1079" s="5" t="n">
        <x:v>0</x:v>
      </x:c>
      <x:c r="J1079" s="4" t="n">
        <x:v>1134</x:v>
      </x:c>
      <x:c r="K1079" s="4" t="n">
        <x:v>13</x:v>
      </x:c>
      <x:c r="L1079" s="4" t="n">
        <x:v>636</x:v>
      </x:c>
      <x:c r="M1079" s="4" t="n">
        <x:v>13</x:v>
      </x:c>
      <x:c r="N1079" s="4" t="n">
        <x:v>498</x:v>
      </x:c>
      <x:c r="O1079" s="4" t="n">
        <x:v>0</x:v>
      </x:c>
      <x:c r="P1079" s="1" t="str">
        <x:v>PASS</x:v>
      </x:c>
      <x:c r="Q1079" s="4" t="n">
        <x:v>0</x:v>
      </x:c>
      <x:c r="R1079" s="1" t="str">
        <x:v>PASS</x:v>
      </x:c>
      <x:c r="S1079" s="4" t="n">
        <x:v>0</x:v>
      </x:c>
      <x:c r="T1079" s="1" t="str">
        <x:v>NOT_REVEALING</x:v>
      </x:c>
      <x:c r="U1079" s="1" t="str">
        <x:v>Closure_161</x:v>
      </x:c>
      <x:c r="V1079" s="6" t="n">
        <x:v>58.36</x:v>
      </x:c>
    </x:row>
    <x:row r="1080" ht="22" customHeight="1">
      <x:c r="A1080" s="1" t="str">
        <x:v>Round2</x:v>
      </x:c>
      <x:c r="B1080" s="1" t="str">
        <x:v>Closure</x:v>
      </x:c>
      <x:c r="C1080" s="4" t="n">
        <x:v>162</x:v>
      </x:c>
      <x:c r="D1080" s="4" t="n">
        <x:v>20260928</x:v>
      </x:c>
      <x:c r="E1080" s="4" t="n">
        <x:v>60</x:v>
      </x:c>
      <x:c r="F1080" s="4" t="n">
        <x:v>1522</x:v>
      </x:c>
      <x:c r="G1080" s="5" t="n">
        <x:v>0.3354</x:v>
      </x:c>
      <x:c r="H1080" s="5" t="n">
        <x:v>0.4346</x:v>
      </x:c>
      <x:c r="I1080" s="5" t="n">
        <x:v>0.16670000000000001</x:v>
      </x:c>
      <x:c r="J1080" s="4" t="n">
        <x:v>486</x:v>
      </x:c>
      <x:c r="K1080" s="4" t="n">
        <x:v>163</x:v>
      </x:c>
      <x:c r="L1080" s="4" t="n">
        <x:v>306</x:v>
      </x:c>
      <x:c r="M1080" s="4" t="n">
        <x:v>133</x:v>
      </x:c>
      <x:c r="N1080" s="4" t="n">
        <x:v>180</x:v>
      </x:c>
      <x:c r="O1080" s="4" t="n">
        <x:v>30</x:v>
      </x:c>
      <x:c r="P1080" s="1" t="str">
        <x:v>FAIL</x:v>
      </x:c>
      <x:c r="Q1080" s="4" t="n">
        <x:v>488</x:v>
      </x:c>
      <x:c r="R1080" s="1" t="str">
        <x:v>FAIL</x:v>
      </x:c>
      <x:c r="S1080" s="4" t="n">
        <x:v>488</x:v>
      </x:c>
      <x:c r="T1080" s="1" t="str">
        <x:v>INCONCLUSIVE</x:v>
      </x:c>
      <x:c r="U1080" s="1" t="str">
        <x:v>Closure_162</x:v>
      </x:c>
      <x:c r="V1080" s="6" t="n">
        <x:v>69.9</x:v>
      </x:c>
    </x:row>
    <x:row r="1081" ht="22" customHeight="1">
      <x:c r="A1081" s="1" t="str">
        <x:v>Round2</x:v>
      </x:c>
      <x:c r="B1081" s="1" t="str">
        <x:v>Closure</x:v>
      </x:c>
      <x:c r="C1081" s="4" t="n">
        <x:v>163</x:v>
      </x:c>
      <x:c r="D1081" s="4" t="n">
        <x:v>20260928</x:v>
      </x:c>
      <x:c r="E1081" s="4" t="n">
        <x:v>60</x:v>
      </x:c>
      <x:c r="F1081" s="4" t="n">
        <x:v>1300</x:v>
      </x:c>
      <x:c r="G1081" s="5" t="n">
        <x:v>0.2394</x:v>
      </x:c>
      <x:c r="H1081" s="5" t="n">
        <x:v>0.3272</x:v>
      </x:c>
      <x:c r="I1081" s="5" t="n">
        <x:v>0.0751</x:v>
      </x:c>
      <x:c r="J1081" s="4" t="n">
        <x:v>497</x:v>
      </x:c>
      <x:c r="K1081" s="4" t="n">
        <x:v>119</x:v>
      </x:c>
      <x:c r="L1081" s="4" t="n">
        <x:v>324</x:v>
      </x:c>
      <x:c r="M1081" s="4" t="n">
        <x:v>106</x:v>
      </x:c>
      <x:c r="N1081" s="4" t="n">
        <x:v>173</x:v>
      </x:c>
      <x:c r="O1081" s="4" t="n">
        <x:v>13</x:v>
      </x:c>
      <x:c r="P1081" s="1" t="str">
        <x:v>PASS</x:v>
      </x:c>
      <x:c r="Q1081" s="4" t="n">
        <x:v>0</x:v>
      </x:c>
      <x:c r="R1081" s="1" t="str">
        <x:v>NOT_RUN</x:v>
      </x:c>
      <x:c r="S1081" s="4"/>
      <x:c r="T1081" s="1" t="str">
        <x:v>NOT_AVAILABLE</x:v>
      </x:c>
      <x:c r="U1081" s="1" t="str">
        <x:v>Closure_163</x:v>
      </x:c>
      <x:c r="V1081" s="6" t="n">
        <x:v>61.34</x:v>
      </x:c>
    </x:row>
    <x:row r="1082" ht="22" customHeight="1">
      <x:c r="A1082" s="1" t="str">
        <x:v>Round2</x:v>
      </x:c>
      <x:c r="B1082" s="1" t="str">
        <x:v>Closure</x:v>
      </x:c>
      <x:c r="C1082" s="4" t="n">
        <x:v>164</x:v>
      </x:c>
      <x:c r="D1082" s="4" t="n">
        <x:v>20260928</x:v>
      </x:c>
      <x:c r="E1082" s="4" t="n">
        <x:v>60</x:v>
      </x:c>
      <x:c r="F1082" s="4" t="n">
        <x:v>11</x:v>
      </x:c>
      <x:c r="G1082" s="5" t="n">
        <x:v>0.031400000000000004</x:v>
      </x:c>
      <x:c r="H1082" s="5" t="n">
        <x:v>0.0449</x:v>
      </x:c>
      <x:c r="I1082" s="5" t="n">
        <x:v>0.0143</x:v>
      </x:c>
      <x:c r="J1082" s="4" t="n">
        <x:v>159</x:v>
      </x:c>
      <x:c r="K1082" s="4" t="n">
        <x:v>5</x:v>
      </x:c>
      <x:c r="L1082" s="4" t="n">
        <x:v>89</x:v>
      </x:c>
      <x:c r="M1082" s="4" t="n">
        <x:v>4</x:v>
      </x:c>
      <x:c r="N1082" s="4" t="n">
        <x:v>70</x:v>
      </x:c>
      <x:c r="O1082" s="4" t="n">
        <x:v>1</x:v>
      </x:c>
      <x:c r="P1082" s="1" t="str">
        <x:v>PASS</x:v>
      </x:c>
      <x:c r="Q1082" s="4" t="n">
        <x:v>0</x:v>
      </x:c>
      <x:c r="R1082" s="1" t="str">
        <x:v>PASS</x:v>
      </x:c>
      <x:c r="S1082" s="4" t="n">
        <x:v>0</x:v>
      </x:c>
      <x:c r="T1082" s="1" t="str">
        <x:v>NOT_REVEALING</x:v>
      </x:c>
      <x:c r="U1082" s="1" t="str">
        <x:v>Closure_164</x:v>
      </x:c>
      <x:c r="V1082" s="6" t="n">
        <x:v>56.78</x:v>
      </x:c>
    </x:row>
    <x:row r="1083" ht="22" customHeight="1">
      <x:c r="A1083" s="1" t="str">
        <x:v>Round2</x:v>
      </x:c>
      <x:c r="B1083" s="1" t="str">
        <x:v>Closure</x:v>
      </x:c>
      <x:c r="C1083" s="4" t="n">
        <x:v>165</x:v>
      </x:c>
      <x:c r="D1083" s="4" t="n">
        <x:v>20260928</x:v>
      </x:c>
      <x:c r="E1083" s="4" t="n">
        <x:v>60</x:v>
      </x:c>
      <x:c r="F1083" s="4" t="n">
        <x:v>2102</x:v>
      </x:c>
      <x:c r="G1083" s="5" t="n">
        <x:v>0.6052000000000001</x:v>
      </x:c>
      <x:c r="H1083" s="5" t="n">
        <x:v>0.6770999999999999</x:v>
      </x:c>
      <x:c r="I1083" s="5" t="n">
        <x:v>0.3972</x:v>
      </x:c>
      <x:c r="J1083" s="4" t="n">
        <x:v>1117</x:v>
      </x:c>
      <x:c r="K1083" s="4" t="n">
        <x:v>676</x:v>
      </x:c>
      <x:c r="L1083" s="4" t="n">
        <x:v>830</x:v>
      </x:c>
      <x:c r="M1083" s="4" t="n">
        <x:v>562</x:v>
      </x:c>
      <x:c r="N1083" s="4" t="n">
        <x:v>287</x:v>
      </x:c>
      <x:c r="O1083" s="4" t="n">
        <x:v>114</x:v>
      </x:c>
      <x:c r="P1083" s="1" t="str">
        <x:v>PASS</x:v>
      </x:c>
      <x:c r="Q1083" s="4" t="n">
        <x:v>0</x:v>
      </x:c>
      <x:c r="R1083" s="1" t="str">
        <x:v>PASS</x:v>
      </x:c>
      <x:c r="S1083" s="4" t="n">
        <x:v>0</x:v>
      </x:c>
      <x:c r="T1083" s="1" t="str">
        <x:v>NOT_REVEALING</x:v>
      </x:c>
      <x:c r="U1083" s="1" t="str">
        <x:v>Closure_165</x:v>
      </x:c>
      <x:c r="V1083" s="6" t="n">
        <x:v>98.75</x:v>
      </x:c>
    </x:row>
    <x:row r="1084" ht="22" customHeight="1">
      <x:c r="A1084" s="1" t="str">
        <x:v>Round2</x:v>
      </x:c>
      <x:c r="B1084" s="1" t="str">
        <x:v>Closure</x:v>
      </x:c>
      <x:c r="C1084" s="4" t="n">
        <x:v>166</x:v>
      </x:c>
      <x:c r="D1084" s="4" t="n">
        <x:v>20260928</x:v>
      </x:c>
      <x:c r="E1084" s="4" t="n">
        <x:v>60</x:v>
      </x:c>
      <x:c r="F1084" s="4" t="n">
        <x:v>3252</x:v>
      </x:c>
      <x:c r="G1084" s="5" t="n">
        <x:v>0.5299</x:v>
      </x:c>
      <x:c r="H1084" s="5" t="n">
        <x:v>0.6136</x:v>
      </x:c>
      <x:c r="I1084" s="5" t="n">
        <x:v>0.4286</x:v>
      </x:c>
      <x:c r="J1084" s="4" t="n">
        <x:v>402</x:v>
      </x:c>
      <x:c r="K1084" s="4" t="n">
        <x:v>213</x:v>
      </x:c>
      <x:c r="L1084" s="4" t="n">
        <x:v>220</x:v>
      </x:c>
      <x:c r="M1084" s="4" t="n">
        <x:v>135</x:v>
      </x:c>
      <x:c r="N1084" s="4" t="n">
        <x:v>182</x:v>
      </x:c>
      <x:c r="O1084" s="4" t="n">
        <x:v>78</x:v>
      </x:c>
      <x:c r="P1084" s="1" t="str">
        <x:v>PASS</x:v>
      </x:c>
      <x:c r="Q1084" s="4" t="n">
        <x:v>0</x:v>
      </x:c>
      <x:c r="R1084" s="1" t="str">
        <x:v>PASS</x:v>
      </x:c>
      <x:c r="S1084" s="4" t="n">
        <x:v>0</x:v>
      </x:c>
      <x:c r="T1084" s="1" t="str">
        <x:v>NOT_REVEALING</x:v>
      </x:c>
      <x:c r="U1084" s="1" t="str">
        <x:v>Closure_166</x:v>
      </x:c>
      <x:c r="V1084" s="6" t="n">
        <x:v>98.92</x:v>
      </x:c>
    </x:row>
    <x:row r="1085" ht="22" customHeight="1">
      <x:c r="A1085" s="1" t="str">
        <x:v>Round2</x:v>
      </x:c>
      <x:c r="B1085" s="1" t="str">
        <x:v>Closure</x:v>
      </x:c>
      <x:c r="C1085" s="4" t="n">
        <x:v>167</x:v>
      </x:c>
      <x:c r="D1085" s="4" t="n">
        <x:v>20260928</x:v>
      </x:c>
      <x:c r="E1085" s="4" t="n">
        <x:v>60</x:v>
      </x:c>
      <x:c r="F1085" s="4" t="n">
        <x:v>3860</x:v>
      </x:c>
      <x:c r="G1085" s="5" t="n">
        <x:v>0.026000000000000002</x:v>
      </x:c>
      <x:c r="H1085" s="5" t="n">
        <x:v>0.0392</x:v>
      </x:c>
      <x:c r="I1085" s="5" t="n">
        <x:v>0.008</x:v>
      </x:c>
      <x:c r="J1085" s="4" t="n">
        <x:v>886</x:v>
      </x:c>
      <x:c r="K1085" s="4" t="n">
        <x:v>23</x:v>
      </x:c>
      <x:c r="L1085" s="4" t="n">
        <x:v>510</x:v>
      </x:c>
      <x:c r="M1085" s="4" t="n">
        <x:v>20</x:v>
      </x:c>
      <x:c r="N1085" s="4" t="n">
        <x:v>376</x:v>
      </x:c>
      <x:c r="O1085" s="4" t="n">
        <x:v>3</x:v>
      </x:c>
      <x:c r="P1085" s="1" t="str">
        <x:v>PASS</x:v>
      </x:c>
      <x:c r="Q1085" s="4" t="n">
        <x:v>0</x:v>
      </x:c>
      <x:c r="R1085" s="1" t="str">
        <x:v>PASS</x:v>
      </x:c>
      <x:c r="S1085" s="4" t="n">
        <x:v>0</x:v>
      </x:c>
      <x:c r="T1085" s="1" t="str">
        <x:v>NOT_REVEALING</x:v>
      </x:c>
      <x:c r="U1085" s="1" t="str">
        <x:v>Closure_167</x:v>
      </x:c>
      <x:c r="V1085" s="6" t="n">
        <x:v>90.74</x:v>
      </x:c>
    </x:row>
    <x:row r="1086" ht="22" customHeight="1">
      <x:c r="A1086" s="1" t="str">
        <x:v>Round2</x:v>
      </x:c>
      <x:c r="B1086" s="1" t="str">
        <x:v>Closure</x:v>
      </x:c>
      <x:c r="C1086" s="4" t="n">
        <x:v>168</x:v>
      </x:c>
      <x:c r="D1086" s="4" t="n">
        <x:v>20260928</x:v>
      </x:c>
      <x:c r="E1086" s="4" t="n">
        <x:v>60</x:v>
      </x:c>
      <x:c r="F1086" s="4" t="n">
        <x:v>11</x:v>
      </x:c>
      <x:c r="G1086" s="5" t="n">
        <x:v>0.015600000000000001</x:v>
      </x:c>
      <x:c r="H1086" s="5" t="n">
        <x:v>0.0279</x:v>
      </x:c>
      <x:c r="I1086" s="5" t="n">
        <x:v>0</x:v>
      </x:c>
      <x:c r="J1086" s="4" t="n">
        <x:v>1598</x:v>
      </x:c>
      <x:c r="K1086" s="4" t="n">
        <x:v>25</x:v>
      </x:c>
      <x:c r="L1086" s="4" t="n">
        <x:v>895</x:v>
      </x:c>
      <x:c r="M1086" s="4" t="n">
        <x:v>25</x:v>
      </x:c>
      <x:c r="N1086" s="4" t="n">
        <x:v>703</x:v>
      </x:c>
      <x:c r="O1086" s="4" t="n">
        <x:v>0</x:v>
      </x:c>
      <x:c r="P1086" s="1" t="str">
        <x:v>PASS</x:v>
      </x:c>
      <x:c r="Q1086" s="4" t="n">
        <x:v>0</x:v>
      </x:c>
      <x:c r="R1086" s="1" t="str">
        <x:v>PASS</x:v>
      </x:c>
      <x:c r="S1086" s="4" t="n">
        <x:v>0</x:v>
      </x:c>
      <x:c r="T1086" s="1" t="str">
        <x:v>NOT_REVEALING</x:v>
      </x:c>
      <x:c r="U1086" s="1" t="str">
        <x:v>Closure_168</x:v>
      </x:c>
      <x:c r="V1086" s="6" t="n">
        <x:v>66.56</x:v>
      </x:c>
    </x:row>
    <x:row r="1087" ht="22" customHeight="1">
      <x:c r="A1087" s="1" t="str">
        <x:v>Round2</x:v>
      </x:c>
      <x:c r="B1087" s="1" t="str">
        <x:v>Closure</x:v>
      </x:c>
      <x:c r="C1087" s="4" t="n">
        <x:v>169</x:v>
      </x:c>
      <x:c r="D1087" s="4" t="n">
        <x:v>20260928</x:v>
      </x:c>
      <x:c r="E1087" s="4" t="n">
        <x:v>60</x:v>
      </x:c>
      <x:c r="F1087" s="4" t="n">
        <x:v>43</x:v>
      </x:c>
      <x:c r="G1087" s="5" t="n">
        <x:v>0.0664</x:v>
      </x:c>
      <x:c r="H1087" s="5" t="n">
        <x:v>0.09119999999999999</x:v>
      </x:c>
      <x:c r="I1087" s="5" t="n">
        <x:v>0.0348</x:v>
      </x:c>
      <x:c r="J1087" s="4" t="n">
        <x:v>2289</x:v>
      </x:c>
      <x:c r="K1087" s="4" t="n">
        <x:v>152</x:v>
      </x:c>
      <x:c r="L1087" s="4" t="n">
        <x:v>1283</x:v>
      </x:c>
      <x:c r="M1087" s="4" t="n">
        <x:v>117</x:v>
      </x:c>
      <x:c r="N1087" s="4" t="n">
        <x:v>1006</x:v>
      </x:c>
      <x:c r="O1087" s="4" t="n">
        <x:v>35</x:v>
      </x:c>
      <x:c r="P1087" s="1" t="str">
        <x:v>PASS</x:v>
      </x:c>
      <x:c r="Q1087" s="4" t="n">
        <x:v>0</x:v>
      </x:c>
      <x:c r="R1087" s="1" t="str">
        <x:v>PASS</x:v>
      </x:c>
      <x:c r="S1087" s="4" t="n">
        <x:v>0</x:v>
      </x:c>
      <x:c r="T1087" s="1" t="str">
        <x:v>NOT_REVEALING</x:v>
      </x:c>
      <x:c r="U1087" s="1" t="str">
        <x:v>Closure_169</x:v>
      </x:c>
      <x:c r="V1087" s="6" t="n">
        <x:v>61.72</x:v>
      </x:c>
    </x:row>
    <x:row r="1088" ht="22" customHeight="1">
      <x:c r="A1088" s="1" t="str">
        <x:v>Round2</x:v>
      </x:c>
      <x:c r="B1088" s="1" t="str">
        <x:v>Closure</x:v>
      </x:c>
      <x:c r="C1088" s="4" t="n">
        <x:v>170</x:v>
      </x:c>
      <x:c r="D1088" s="4" t="n">
        <x:v>20260928</x:v>
      </x:c>
      <x:c r="E1088" s="4" t="n">
        <x:v>60</x:v>
      </x:c>
      <x:c r="F1088" s="4" t="n">
        <x:v>1879</x:v>
      </x:c>
      <x:c r="G1088" s="5" t="n">
        <x:v>0.0322</x:v>
      </x:c>
      <x:c r="H1088" s="5" t="n">
        <x:v>0.0559</x:v>
      </x:c>
      <x:c r="I1088" s="5" t="n">
        <x:v>0</x:v>
      </x:c>
      <x:c r="J1088" s="4" t="n">
        <x:v>311</x:v>
      </x:c>
      <x:c r="K1088" s="4" t="n">
        <x:v>10</x:v>
      </x:c>
      <x:c r="L1088" s="4" t="n">
        <x:v>179</x:v>
      </x:c>
      <x:c r="M1088" s="4" t="n">
        <x:v>10</x:v>
      </x:c>
      <x:c r="N1088" s="4" t="n">
        <x:v>132</x:v>
      </x:c>
      <x:c r="O1088" s="4" t="n">
        <x:v>0</x:v>
      </x:c>
      <x:c r="P1088" s="1" t="str">
        <x:v>PASS</x:v>
      </x:c>
      <x:c r="Q1088" s="4" t="n">
        <x:v>0</x:v>
      </x:c>
      <x:c r="R1088" s="1" t="str">
        <x:v>PASS</x:v>
      </x:c>
      <x:c r="S1088" s="4" t="n">
        <x:v>0</x:v>
      </x:c>
      <x:c r="T1088" s="1" t="str">
        <x:v>NOT_REVEALING</x:v>
      </x:c>
      <x:c r="U1088" s="1" t="str">
        <x:v>Closure_170</x:v>
      </x:c>
      <x:c r="V1088" s="6" t="n">
        <x:v>83.6</x:v>
      </x:c>
    </x:row>
    <x:row r="1089" ht="22" customHeight="1">
      <x:c r="A1089" s="1" t="str">
        <x:v>Round2</x:v>
      </x:c>
      <x:c r="B1089" s="1" t="str">
        <x:v>Closure</x:v>
      </x:c>
      <x:c r="C1089" s="4" t="n">
        <x:v>171</x:v>
      </x:c>
      <x:c r="D1089" s="4" t="n">
        <x:v>20260928</x:v>
      </x:c>
      <x:c r="E1089" s="4" t="n">
        <x:v>60</x:v>
      </x:c>
      <x:c r="F1089" s="4" t="n">
        <x:v>16</x:v>
      </x:c>
      <x:c r="G1089" s="5" t="n">
        <x:v>0.0108</x:v>
      </x:c>
      <x:c r="H1089" s="5" t="n">
        <x:v>0.0176</x:v>
      </x:c>
      <x:c r="I1089" s="5" t="n">
        <x:v>0.0016</x:v>
      </x:c>
      <x:c r="J1089" s="4" t="n">
        <x:v>2869</x:v>
      </x:c>
      <x:c r="K1089" s="4" t="n">
        <x:v>31</x:v>
      </x:c>
      <x:c r="L1089" s="4" t="n">
        <x:v>1652</x:v>
      </x:c>
      <x:c r="M1089" s="4" t="n">
        <x:v>29</x:v>
      </x:c>
      <x:c r="N1089" s="4" t="n">
        <x:v>1217</x:v>
      </x:c>
      <x:c r="O1089" s="4" t="n">
        <x:v>2</x:v>
      </x:c>
      <x:c r="P1089" s="1" t="str">
        <x:v>PASS</x:v>
      </x:c>
      <x:c r="Q1089" s="4" t="n">
        <x:v>0</x:v>
      </x:c>
      <x:c r="R1089" s="1" t="str">
        <x:v>PASS</x:v>
      </x:c>
      <x:c r="S1089" s="4" t="n">
        <x:v>0</x:v>
      </x:c>
      <x:c r="T1089" s="1" t="str">
        <x:v>NOT_REVEALING</x:v>
      </x:c>
      <x:c r="U1089" s="1" t="str">
        <x:v>Closure_171</x:v>
      </x:c>
      <x:c r="V1089" s="6" t="n">
        <x:v>63.7</x:v>
      </x:c>
    </x:row>
    <x:row r="1090" ht="22" customHeight="1">
      <x:c r="A1090" s="1" t="str">
        <x:v>Round2</x:v>
      </x:c>
      <x:c r="B1090" s="1" t="str">
        <x:v>Closure</x:v>
      </x:c>
      <x:c r="C1090" s="4" t="n">
        <x:v>172</x:v>
      </x:c>
      <x:c r="D1090" s="4" t="n">
        <x:v>20260928</x:v>
      </x:c>
      <x:c r="E1090" s="4" t="n">
        <x:v>60</x:v>
      </x:c>
      <x:c r="F1090" s="4" t="n">
        <x:v>11</x:v>
      </x:c>
      <x:c r="G1090" s="5" t="n">
        <x:v>0.0146</x:v>
      </x:c>
      <x:c r="H1090" s="5" t="n">
        <x:v>0.0263</x:v>
      </x:c>
      <x:c r="I1090" s="5" t="n">
        <x:v>0</x:v>
      </x:c>
      <x:c r="J1090" s="4" t="n">
        <x:v>1713</x:v>
      </x:c>
      <x:c r="K1090" s="4" t="n">
        <x:v>25</x:v>
      </x:c>
      <x:c r="L1090" s="4" t="n">
        <x:v>951</x:v>
      </x:c>
      <x:c r="M1090" s="4" t="n">
        <x:v>25</x:v>
      </x:c>
      <x:c r="N1090" s="4" t="n">
        <x:v>762</x:v>
      </x:c>
      <x:c r="O1090" s="4" t="n">
        <x:v>0</x:v>
      </x:c>
      <x:c r="P1090" s="1" t="str">
        <x:v>PASS</x:v>
      </x:c>
      <x:c r="Q1090" s="4" t="n">
        <x:v>0</x:v>
      </x:c>
      <x:c r="R1090" s="1" t="str">
        <x:v>PASS</x:v>
      </x:c>
      <x:c r="S1090" s="4" t="n">
        <x:v>0</x:v>
      </x:c>
      <x:c r="T1090" s="1" t="str">
        <x:v>NOT_REVEALING</x:v>
      </x:c>
      <x:c r="U1090" s="1" t="str">
        <x:v>Closure_172</x:v>
      </x:c>
      <x:c r="V1090" s="6" t="n">
        <x:v>64.15</x:v>
      </x:c>
    </x:row>
    <x:row r="1091" ht="22" customHeight="1">
      <x:c r="A1091" s="1" t="str">
        <x:v>Round2</x:v>
      </x:c>
      <x:c r="B1091" s="1" t="str">
        <x:v>Closure</x:v>
      </x:c>
      <x:c r="C1091" s="4" t="n">
        <x:v>173</x:v>
      </x:c>
      <x:c r="D1091" s="4" t="n">
        <x:v>20260928</x:v>
      </x:c>
      <x:c r="E1091" s="4" t="n">
        <x:v>60</x:v>
      </x:c>
      <x:c r="F1091" s="4" t="n">
        <x:v>1936</x:v>
      </x:c>
      <x:c r="G1091" s="5" t="n">
        <x:v>0.061799999999999994</x:v>
      </x:c>
      <x:c r="H1091" s="5" t="n">
        <x:v>0.0851</x:v>
      </x:c>
      <x:c r="I1091" s="5" t="n">
        <x:v>0.030699999999999998</x:v>
      </x:c>
      <x:c r="J1091" s="4" t="n">
        <x:v>1602</x:v>
      </x:c>
      <x:c r="K1091" s="4" t="n">
        <x:v>99</x:v>
      </x:c>
      <x:c r="L1091" s="4" t="n">
        <x:v>917</x:v>
      </x:c>
      <x:c r="M1091" s="4" t="n">
        <x:v>78</x:v>
      </x:c>
      <x:c r="N1091" s="4" t="n">
        <x:v>685</x:v>
      </x:c>
      <x:c r="O1091" s="4" t="n">
        <x:v>21</x:v>
      </x:c>
      <x:c r="P1091" s="1" t="str">
        <x:v>PASS</x:v>
      </x:c>
      <x:c r="Q1091" s="4" t="n">
        <x:v>0</x:v>
      </x:c>
      <x:c r="R1091" s="1" t="str">
        <x:v>PASS</x:v>
      </x:c>
      <x:c r="S1091" s="4" t="n">
        <x:v>0</x:v>
      </x:c>
      <x:c r="T1091" s="1" t="str">
        <x:v>NOT_REVEALING</x:v>
      </x:c>
      <x:c r="U1091" s="1" t="str">
        <x:v>Closure_173</x:v>
      </x:c>
      <x:c r="V1091" s="6" t="n">
        <x:v>80.95</x:v>
      </x:c>
    </x:row>
    <x:row r="1092" ht="22" customHeight="1">
      <x:c r="A1092" s="1" t="str">
        <x:v>Round2</x:v>
      </x:c>
      <x:c r="B1092" s="1" t="str">
        <x:v>Closure</x:v>
      </x:c>
      <x:c r="C1092" s="4" t="n">
        <x:v>174</x:v>
      </x:c>
      <x:c r="D1092" s="4" t="n">
        <x:v>20260928</x:v>
      </x:c>
      <x:c r="E1092" s="4" t="n">
        <x:v>60</x:v>
      </x:c>
      <x:c r="F1092" s="4" t="n">
        <x:v>1965</x:v>
      </x:c>
      <x:c r="G1092" s="5" t="n">
        <x:v>0.3446</x:v>
      </x:c>
      <x:c r="H1092" s="5" t="n">
        <x:v>0.4072</x:v>
      </x:c>
      <x:c r="I1092" s="5" t="n">
        <x:v>0.2749</x:v>
      </x:c>
      <x:c r="J1092" s="4" t="n">
        <x:v>2629</x:v>
      </x:c>
      <x:c r="K1092" s="4" t="n">
        <x:v>906</x:v>
      </x:c>
      <x:c r="L1092" s="4" t="n">
        <x:v>1385</x:v>
      </x:c>
      <x:c r="M1092" s="4" t="n">
        <x:v>564</x:v>
      </x:c>
      <x:c r="N1092" s="4" t="n">
        <x:v>1244</x:v>
      </x:c>
      <x:c r="O1092" s="4" t="n">
        <x:v>342</x:v>
      </x:c>
      <x:c r="P1092" s="1" t="str">
        <x:v>PASS</x:v>
      </x:c>
      <x:c r="Q1092" s="4" t="n">
        <x:v>0</x:v>
      </x:c>
      <x:c r="R1092" s="1" t="str">
        <x:v>PASS</x:v>
      </x:c>
      <x:c r="S1092" s="4" t="n">
        <x:v>0</x:v>
      </x:c>
      <x:c r="T1092" s="1" t="str">
        <x:v>NOT_REVEALING</x:v>
      </x:c>
      <x:c r="U1092" s="1" t="str">
        <x:v>Closure_174</x:v>
      </x:c>
      <x:c r="V1092" s="6" t="n">
        <x:v>86.37</x:v>
      </x:c>
    </x:row>
    <x:row r="1093" ht="22" customHeight="1">
      <x:c r="A1093" s="1" t="str">
        <x:v>Round2</x:v>
      </x:c>
      <x:c r="B1093" s="1" t="str">
        <x:v>Closure</x:v>
      </x:c>
      <x:c r="C1093" s="4" t="n">
        <x:v>175</x:v>
      </x:c>
      <x:c r="D1093" s="4" t="n">
        <x:v>20260928</x:v>
      </x:c>
      <x:c r="E1093" s="4" t="n">
        <x:v>60</x:v>
      </x:c>
      <x:c r="F1093" s="4" t="n">
        <x:v>4</x:v>
      </x:c>
      <x:c r="G1093" s="5" t="n">
        <x:v>0.023</x:v>
      </x:c>
      <x:c r="H1093" s="5" t="n">
        <x:v>0.039599999999999996</x:v>
      </x:c>
      <x:c r="I1093" s="5" t="n">
        <x:v>0</x:v>
      </x:c>
      <x:c r="J1093" s="4" t="n">
        <x:v>521</x:v>
      </x:c>
      <x:c r="K1093" s="4" t="n">
        <x:v>12</x:v>
      </x:c>
      <x:c r="L1093" s="4" t="n">
        <x:v>303</x:v>
      </x:c>
      <x:c r="M1093" s="4" t="n">
        <x:v>12</x:v>
      </x:c>
      <x:c r="N1093" s="4" t="n">
        <x:v>218</x:v>
      </x:c>
      <x:c r="O1093" s="4" t="n">
        <x:v>0</x:v>
      </x:c>
      <x:c r="P1093" s="1" t="str">
        <x:v>PASS</x:v>
      </x:c>
      <x:c r="Q1093" s="4" t="n">
        <x:v>0</x:v>
      </x:c>
      <x:c r="R1093" s="1" t="str">
        <x:v>PASS</x:v>
      </x:c>
      <x:c r="S1093" s="4" t="n">
        <x:v>0</x:v>
      </x:c>
      <x:c r="T1093" s="1" t="str">
        <x:v>NOT_REVEALING</x:v>
      </x:c>
      <x:c r="U1093" s="1" t="str">
        <x:v>Closure_175</x:v>
      </x:c>
      <x:c r="V1093" s="6" t="n">
        <x:v>62.86</x:v>
      </x:c>
    </x:row>
    <x:row r="1094" ht="22" customHeight="1">
      <x:c r="A1094" s="1" t="str">
        <x:v>Round2</x:v>
      </x:c>
      <x:c r="B1094" s="1" t="str">
        <x:v>Closure</x:v>
      </x:c>
      <x:c r="C1094" s="4" t="n">
        <x:v>176</x:v>
      </x:c>
      <x:c r="D1094" s="4" t="n">
        <x:v>20260928</x:v>
      </x:c>
      <x:c r="E1094" s="4" t="n">
        <x:v>60</x:v>
      </x:c>
      <x:c r="F1094" s="4" t="n">
        <x:v>5</x:v>
      </x:c>
      <x:c r="G1094" s="5" t="n">
        <x:v>0.0049</x:v>
      </x:c>
      <x:c r="H1094" s="5" t="n">
        <x:v>0.0055000000000000005</x:v>
      </x:c>
      <x:c r="I1094" s="5" t="n">
        <x:v>0.0040999999999999995</x:v>
      </x:c>
      <x:c r="J1094" s="4" t="n">
        <x:v>1217</x:v>
      </x:c>
      <x:c r="K1094" s="4" t="n">
        <x:v>6</x:v>
      </x:c>
      <x:c r="L1094" s="4" t="n">
        <x:v>732</x:v>
      </x:c>
      <x:c r="M1094" s="4" t="n">
        <x:v>4</x:v>
      </x:c>
      <x:c r="N1094" s="4" t="n">
        <x:v>485</x:v>
      </x:c>
      <x:c r="O1094" s="4" t="n">
        <x:v>2</x:v>
      </x:c>
      <x:c r="P1094" s="1" t="str">
        <x:v>PASS</x:v>
      </x:c>
      <x:c r="Q1094" s="4" t="n">
        <x:v>0</x:v>
      </x:c>
      <x:c r="R1094" s="1" t="str">
        <x:v>PASS</x:v>
      </x:c>
      <x:c r="S1094" s="4" t="n">
        <x:v>0</x:v>
      </x:c>
      <x:c r="T1094" s="1" t="str">
        <x:v>NOT_REVEALING</x:v>
      </x:c>
      <x:c r="U1094" s="1" t="str">
        <x:v>Closure_176</x:v>
      </x:c>
      <x:c r="V1094" s="6" t="n">
        <x:v>57.46</x:v>
      </x:c>
    </x:row>
    <x:row r="1095" ht="22" customHeight="1">
      <x:c r="A1095" s="1" t="str">
        <x:v>Round2</x:v>
      </x:c>
      <x:c r="B1095" s="1" t="str">
        <x:v>Codec</x:v>
      </x:c>
      <x:c r="C1095" s="4" t="n">
        <x:v>1</x:v>
      </x:c>
      <x:c r="D1095" s="4" t="n">
        <x:v>20260928</x:v>
      </x:c>
      <x:c r="E1095" s="4" t="n">
        <x:v>60</x:v>
      </x:c>
      <x:c r="F1095" s="4" t="n">
        <x:v>2795</x:v>
      </x:c>
      <x:c r="G1095" s="5" t="n">
        <x:v>0.4545</x:v>
      </x:c>
      <x:c r="H1095" s="5" t="n">
        <x:v>0.5429999999999999</x:v>
      </x:c>
      <x:c r="I1095" s="5" t="n">
        <x:v>0.33149999999999996</x:v>
      </x:c>
      <x:c r="J1095" s="4" t="n">
        <x:v>440</x:v>
      </x:c>
      <x:c r="K1095" s="4" t="n">
        <x:v>200</x:v>
      </x:c>
      <x:c r="L1095" s="4" t="n">
        <x:v>256</x:v>
      </x:c>
      <x:c r="M1095" s="4" t="n">
        <x:v>139</x:v>
      </x:c>
      <x:c r="N1095" s="4" t="n">
        <x:v>184</x:v>
      </x:c>
      <x:c r="O1095" s="4" t="n">
        <x:v>61</x:v>
      </x:c>
      <x:c r="P1095" s="1" t="str">
        <x:v>FAIL</x:v>
      </x:c>
      <x:c r="Q1095" s="4" t="n">
        <x:v>40</x:v>
      </x:c>
      <x:c r="R1095" s="1" t="str">
        <x:v>FAIL</x:v>
      </x:c>
      <x:c r="S1095" s="4" t="n">
        <x:v>40</x:v>
      </x:c>
      <x:c r="T1095" s="1" t="str">
        <x:v>INCONCLUSIVE</x:v>
      </x:c>
      <x:c r="U1095" s="1" t="str">
        <x:v>Codec_1</x:v>
      </x:c>
      <x:c r="V1095" s="6" t="n">
        <x:v>23.75</x:v>
      </x:c>
    </x:row>
    <x:row r="1096" ht="22" customHeight="1">
      <x:c r="A1096" s="1" t="str">
        <x:v>Round2</x:v>
      </x:c>
      <x:c r="B1096" s="1" t="str">
        <x:v>Codec</x:v>
      </x:c>
      <x:c r="C1096" s="4" t="n">
        <x:v>2</x:v>
      </x:c>
      <x:c r="D1096" s="4" t="n">
        <x:v>20260928</x:v>
      </x:c>
      <x:c r="E1096" s="4" t="n">
        <x:v>60</x:v>
      </x:c>
      <x:c r="F1096" s="4" t="n">
        <x:v>1759</x:v>
      </x:c>
      <x:c r="G1096" s="5" t="n">
        <x:v>0.9472</x:v>
      </x:c>
      <x:c r="H1096" s="5" t="n">
        <x:v>0.9673</x:v>
      </x:c>
      <x:c r="I1096" s="5" t="n">
        <x:v>0.9178000000000001</x:v>
      </x:c>
      <x:c r="J1096" s="4" t="n">
        <x:v>360</x:v>
      </x:c>
      <x:c r="K1096" s="4" t="n">
        <x:v>341</x:v>
      </x:c>
      <x:c r="L1096" s="4" t="n">
        <x:v>214</x:v>
      </x:c>
      <x:c r="M1096" s="4" t="n">
        <x:v>207</x:v>
      </x:c>
      <x:c r="N1096" s="4" t="n">
        <x:v>146</x:v>
      </x:c>
      <x:c r="O1096" s="4" t="n">
        <x:v>134</x:v>
      </x:c>
      <x:c r="P1096" s="1" t="str">
        <x:v>PASS</x:v>
      </x:c>
      <x:c r="Q1096" s="4" t="n">
        <x:v>0</x:v>
      </x:c>
      <x:c r="R1096" s="1" t="str">
        <x:v>FAIL</x:v>
      </x:c>
      <x:c r="S1096" s="4" t="n">
        <x:v>2</x:v>
      </x:c>
      <x:c r="T1096" s="1" t="str">
        <x:v>INCONCLUSIVE</x:v>
      </x:c>
      <x:c r="U1096" s="1" t="str">
        <x:v>Codec_2</x:v>
      </x:c>
      <x:c r="V1096" s="6" t="n">
        <x:v>23.72</x:v>
      </x:c>
    </x:row>
    <x:row r="1097" ht="22" customHeight="1">
      <x:c r="A1097" s="1" t="str">
        <x:v>Round2</x:v>
      </x:c>
      <x:c r="B1097" s="1" t="str">
        <x:v>Codec</x:v>
      </x:c>
      <x:c r="C1097" s="4" t="n">
        <x:v>3</x:v>
      </x:c>
      <x:c r="D1097" s="4" t="n">
        <x:v>20260928</x:v>
      </x:c>
      <x:c r="E1097" s="4" t="n">
        <x:v>60</x:v>
      </x:c>
      <x:c r="F1097" s="4" t="n">
        <x:v>3206</x:v>
      </x:c>
      <x:c r="G1097" s="5" t="n">
        <x:v>0.1772</x:v>
      </x:c>
      <x:c r="H1097" s="5" t="n">
        <x:v>0.22519999999999998</x:v>
      </x:c>
      <x:c r="I1097" s="5" t="n">
        <x:v>0.12890000000000001</x:v>
      </x:c>
      <x:c r="J1097" s="4" t="n">
        <x:v>903</x:v>
      </x:c>
      <x:c r="K1097" s="4" t="n">
        <x:v>160</x:v>
      </x:c>
      <x:c r="L1097" s="4" t="n">
        <x:v>453</x:v>
      </x:c>
      <x:c r="M1097" s="4" t="n">
        <x:v>102</x:v>
      </x:c>
      <x:c r="N1097" s="4" t="n">
        <x:v>450</x:v>
      </x:c>
      <x:c r="O1097" s="4" t="n">
        <x:v>58</x:v>
      </x:c>
      <x:c r="P1097" s="1" t="str">
        <x:v>FAIL</x:v>
      </x:c>
      <x:c r="Q1097" s="4" t="n">
        <x:v>124</x:v>
      </x:c>
      <x:c r="R1097" s="1" t="str">
        <x:v>FAIL</x:v>
      </x:c>
      <x:c r="S1097" s="4" t="n">
        <x:v>124</x:v>
      </x:c>
      <x:c r="T1097" s="1" t="str">
        <x:v>INCONCLUSIVE</x:v>
      </x:c>
      <x:c r="U1097" s="1" t="str">
        <x:v>Codec_3</x:v>
      </x:c>
      <x:c r="V1097" s="6" t="n">
        <x:v>23.28</x:v>
      </x:c>
    </x:row>
    <x:row r="1098" ht="22" customHeight="1">
      <x:c r="A1098" s="1" t="str">
        <x:v>Round2</x:v>
      </x:c>
      <x:c r="B1098" s="1" t="str">
        <x:v>Codec</x:v>
      </x:c>
      <x:c r="C1098" s="4" t="n">
        <x:v>4</x:v>
      </x:c>
      <x:c r="D1098" s="4" t="n">
        <x:v>20260928</x:v>
      </x:c>
      <x:c r="E1098" s="4" t="n">
        <x:v>60</x:v>
      </x:c>
      <x:c r="F1098" s="4" t="n">
        <x:v>2190</x:v>
      </x:c>
      <x:c r="G1098" s="5" t="n">
        <x:v>0.9743</x:v>
      </x:c>
      <x:c r="H1098" s="5" t="n">
        <x:v>0.987</x:v>
      </x:c>
      <x:c r="I1098" s="5" t="n">
        <x:v>0.9556999999999999</x:v>
      </x:c>
      <x:c r="J1098" s="4" t="n">
        <x:v>389</x:v>
      </x:c>
      <x:c r="K1098" s="4" t="n">
        <x:v>379</x:v>
      </x:c>
      <x:c r="L1098" s="4" t="n">
        <x:v>231</x:v>
      </x:c>
      <x:c r="M1098" s="4" t="n">
        <x:v>228</x:v>
      </x:c>
      <x:c r="N1098" s="4" t="n">
        <x:v>158</x:v>
      </x:c>
      <x:c r="O1098" s="4" t="n">
        <x:v>151</x:v>
      </x:c>
      <x:c r="P1098" s="1" t="str">
        <x:v>PASS</x:v>
      </x:c>
      <x:c r="Q1098" s="4" t="n">
        <x:v>0</x:v>
      </x:c>
      <x:c r="R1098" s="1" t="str">
        <x:v>FAIL</x:v>
      </x:c>
      <x:c r="S1098" s="4" t="n">
        <x:v>2</x:v>
      </x:c>
      <x:c r="T1098" s="1" t="str">
        <x:v>INCONCLUSIVE</x:v>
      </x:c>
      <x:c r="U1098" s="1" t="str">
        <x:v>Codec_4</x:v>
      </x:c>
      <x:c r="V1098" s="6" t="n">
        <x:v>24.98</x:v>
      </x:c>
    </x:row>
    <x:row r="1099" ht="22" customHeight="1">
      <x:c r="A1099" s="1" t="str">
        <x:v>Round2</x:v>
      </x:c>
      <x:c r="B1099" s="1" t="str">
        <x:v>Codec</x:v>
      </x:c>
      <x:c r="C1099" s="4" t="n">
        <x:v>5</x:v>
      </x:c>
      <x:c r="D1099" s="4" t="n">
        <x:v>20260928</x:v>
      </x:c>
      <x:c r="E1099" s="4" t="n">
        <x:v>60</x:v>
      </x:c>
      <x:c r="F1099" s="4" t="n">
        <x:v>2301</x:v>
      </x:c>
      <x:c r="G1099" s="5" t="n">
        <x:v>0.9692000000000001</x:v>
      </x:c>
      <x:c r="H1099" s="5" t="n">
        <x:v>0.9826999999999999</x:v>
      </x:c>
      <x:c r="I1099" s="5" t="n">
        <x:v>0.9494</x:v>
      </x:c>
      <x:c r="J1099" s="4" t="n">
        <x:v>389</x:v>
      </x:c>
      <x:c r="K1099" s="4" t="n">
        <x:v>377</x:v>
      </x:c>
      <x:c r="L1099" s="4" t="n">
        <x:v>231</x:v>
      </x:c>
      <x:c r="M1099" s="4" t="n">
        <x:v>227</x:v>
      </x:c>
      <x:c r="N1099" s="4" t="n">
        <x:v>158</x:v>
      </x:c>
      <x:c r="O1099" s="4" t="n">
        <x:v>150</x:v>
      </x:c>
      <x:c r="P1099" s="1" t="str">
        <x:v>PASS</x:v>
      </x:c>
      <x:c r="Q1099" s="4" t="n">
        <x:v>0</x:v>
      </x:c>
      <x:c r="R1099" s="1" t="str">
        <x:v>PASS</x:v>
      </x:c>
      <x:c r="S1099" s="4" t="n">
        <x:v>0</x:v>
      </x:c>
      <x:c r="T1099" s="1" t="str">
        <x:v>NOT_REVEALING</x:v>
      </x:c>
      <x:c r="U1099" s="1" t="str">
        <x:v>Codec_5</x:v>
      </x:c>
      <x:c r="V1099" s="6" t="n">
        <x:v>27.15</x:v>
      </x:c>
    </x:row>
    <x:row r="1100" ht="22" customHeight="1">
      <x:c r="A1100" s="1" t="str">
        <x:v>Round2</x:v>
      </x:c>
      <x:c r="B1100" s="1" t="str">
        <x:v>Codec</x:v>
      </x:c>
      <x:c r="C1100" s="4" t="n">
        <x:v>6</x:v>
      </x:c>
      <x:c r="D1100" s="4" t="n">
        <x:v>20260928</x:v>
      </x:c>
      <x:c r="E1100" s="4" t="n">
        <x:v>60</x:v>
      </x:c>
      <x:c r="F1100" s="4" t="n">
        <x:v>4422</x:v>
      </x:c>
      <x:c r="G1100" s="5" t="n">
        <x:v>0.8571</x:v>
      </x:c>
      <x:c r="H1100" s="5" t="n">
        <x:v>0.9429000000000001</x:v>
      </x:c>
      <x:c r="I1100" s="5" t="n">
        <x:v>0.75</x:v>
      </x:c>
      <x:c r="J1100" s="4" t="n">
        <x:v>63</x:v>
      </x:c>
      <x:c r="K1100" s="4" t="n">
        <x:v>54</x:v>
      </x:c>
      <x:c r="L1100" s="4" t="n">
        <x:v>35</x:v>
      </x:c>
      <x:c r="M1100" s="4" t="n">
        <x:v>33</x:v>
      </x:c>
      <x:c r="N1100" s="4" t="n">
        <x:v>28</x:v>
      </x:c>
      <x:c r="O1100" s="4" t="n">
        <x:v>21</x:v>
      </x:c>
      <x:c r="P1100" s="1" t="str">
        <x:v>PASS</x:v>
      </x:c>
      <x:c r="Q1100" s="4" t="n">
        <x:v>0</x:v>
      </x:c>
      <x:c r="R1100" s="1" t="str">
        <x:v>FAIL</x:v>
      </x:c>
      <x:c r="S1100" s="4" t="n">
        <x:v>56</x:v>
      </x:c>
      <x:c r="T1100" s="1" t="str">
        <x:v>INCONCLUSIVE</x:v>
      </x:c>
      <x:c r="U1100" s="1" t="str">
        <x:v>Codec_6</x:v>
      </x:c>
      <x:c r="V1100" s="6" t="n">
        <x:v>39.43</x:v>
      </x:c>
    </x:row>
    <x:row r="1101" ht="22" customHeight="1">
      <x:c r="A1101" s="1" t="str">
        <x:v>Round2</x:v>
      </x:c>
      <x:c r="B1101" s="1" t="str">
        <x:v>Codec</x:v>
      </x:c>
      <x:c r="C1101" s="4" t="n">
        <x:v>7</x:v>
      </x:c>
      <x:c r="D1101" s="4" t="n">
        <x:v>20260928</x:v>
      </x:c>
      <x:c r="E1101" s="4" t="n">
        <x:v>60</x:v>
      </x:c>
      <x:c r="F1101" s="4" t="n">
        <x:v>2300</x:v>
      </x:c>
      <x:c r="G1101" s="5" t="n">
        <x:v>0.9671</x:v>
      </x:c>
      <x:c r="H1101" s="5" t="n">
        <x:v>0.9828</x:v>
      </x:c>
      <x:c r="I1101" s="5" t="n">
        <x:v>0.9444</x:v>
      </x:c>
      <x:c r="J1101" s="4" t="n">
        <x:v>395</x:v>
      </x:c>
      <x:c r="K1101" s="4" t="n">
        <x:v>382</x:v>
      </x:c>
      <x:c r="L1101" s="4" t="n">
        <x:v>233</x:v>
      </x:c>
      <x:c r="M1101" s="4" t="n">
        <x:v>229</x:v>
      </x:c>
      <x:c r="N1101" s="4" t="n">
        <x:v>162</x:v>
      </x:c>
      <x:c r="O1101" s="4" t="n">
        <x:v>153</x:v>
      </x:c>
      <x:c r="P1101" s="1" t="str">
        <x:v>PASS</x:v>
      </x:c>
      <x:c r="Q1101" s="4" t="n">
        <x:v>0</x:v>
      </x:c>
      <x:c r="R1101" s="1" t="str">
        <x:v>FAIL</x:v>
      </x:c>
      <x:c r="S1101" s="4" t="n">
        <x:v>2670</x:v>
      </x:c>
      <x:c r="T1101" s="1" t="str">
        <x:v>INCONCLUSIVE</x:v>
      </x:c>
      <x:c r="U1101" s="1" t="str">
        <x:v>Codec_7</x:v>
      </x:c>
      <x:c r="V1101" s="6" t="n">
        <x:v>27.62</x:v>
      </x:c>
    </x:row>
    <x:row r="1102" ht="22" customHeight="1">
      <x:c r="A1102" s="1" t="str">
        <x:v>Round2</x:v>
      </x:c>
      <x:c r="B1102" s="1" t="str">
        <x:v>Codec</x:v>
      </x:c>
      <x:c r="C1102" s="4" t="n">
        <x:v>8</x:v>
      </x:c>
      <x:c r="D1102" s="4" t="n">
        <x:v>20260928</x:v>
      </x:c>
      <x:c r="E1102" s="4" t="n">
        <x:v>60</x:v>
      </x:c>
      <x:c r="F1102" s="4" t="n">
        <x:v>2874</x:v>
      </x:c>
      <x:c r="G1102" s="5" t="n">
        <x:v>0.9262</x:v>
      </x:c>
      <x:c r="H1102" s="5" t="n">
        <x:v>0.9655</x:v>
      </x:c>
      <x:c r="I1102" s="5" t="n">
        <x:v>0.871</x:v>
      </x:c>
      <x:c r="J1102" s="4" t="n">
        <x:v>447</x:v>
      </x:c>
      <x:c r="K1102" s="4" t="n">
        <x:v>414</x:v>
      </x:c>
      <x:c r="L1102" s="4" t="n">
        <x:v>261</x:v>
      </x:c>
      <x:c r="M1102" s="4" t="n">
        <x:v>252</x:v>
      </x:c>
      <x:c r="N1102" s="4" t="n">
        <x:v>186</x:v>
      </x:c>
      <x:c r="O1102" s="4" t="n">
        <x:v>162</x:v>
      </x:c>
      <x:c r="P1102" s="1" t="str">
        <x:v>PASS</x:v>
      </x:c>
      <x:c r="Q1102" s="4" t="n">
        <x:v>0</x:v>
      </x:c>
      <x:c r="R1102" s="1" t="str">
        <x:v>NOT_RUN</x:v>
      </x:c>
      <x:c r="S1102" s="4"/>
      <x:c r="T1102" s="1" t="str">
        <x:v>NOT_AVAILABLE</x:v>
      </x:c>
      <x:c r="U1102" s="1" t="str">
        <x:v>Codec_8</x:v>
      </x:c>
      <x:c r="V1102" s="6" t="n">
        <x:v>23.8</x:v>
      </x:c>
    </x:row>
    <x:row r="1103" ht="22" customHeight="1">
      <x:c r="A1103" s="1" t="str">
        <x:v>Round2</x:v>
      </x:c>
      <x:c r="B1103" s="1" t="str">
        <x:v>Codec</x:v>
      </x:c>
      <x:c r="C1103" s="4" t="n">
        <x:v>9</x:v>
      </x:c>
      <x:c r="D1103" s="4" t="n">
        <x:v>20260928</x:v>
      </x:c>
      <x:c r="E1103" s="4" t="n">
        <x:v>60</x:v>
      </x:c>
      <x:c r="F1103" s="4" t="n">
        <x:v>2299</x:v>
      </x:c>
      <x:c r="G1103" s="5" t="n">
        <x:v>0.9381999999999999</x:v>
      </x:c>
      <x:c r="H1103" s="5" t="n">
        <x:v>0.9727</x:v>
      </x:c>
      <x:c r="I1103" s="5" t="n">
        <x:v>0.8881999999999999</x:v>
      </x:c>
      <x:c r="J1103" s="4" t="n">
        <x:v>372</x:v>
      </x:c>
      <x:c r="K1103" s="4" t="n">
        <x:v>349</x:v>
      </x:c>
      <x:c r="L1103" s="4" t="n">
        <x:v>220</x:v>
      </x:c>
      <x:c r="M1103" s="4" t="n">
        <x:v>214</x:v>
      </x:c>
      <x:c r="N1103" s="4" t="n">
        <x:v>152</x:v>
      </x:c>
      <x:c r="O1103" s="4" t="n">
        <x:v>135</x:v>
      </x:c>
      <x:c r="P1103" s="1" t="str">
        <x:v>PASS</x:v>
      </x:c>
      <x:c r="Q1103" s="4" t="n">
        <x:v>0</x:v>
      </x:c>
      <x:c r="R1103" s="1" t="str">
        <x:v>PASS</x:v>
      </x:c>
      <x:c r="S1103" s="4" t="n">
        <x:v>0</x:v>
      </x:c>
      <x:c r="T1103" s="1" t="str">
        <x:v>NOT_REVEALING</x:v>
      </x:c>
      <x:c r="U1103" s="1" t="str">
        <x:v>Codec_9</x:v>
      </x:c>
      <x:c r="V1103" s="6" t="n">
        <x:v>26.98</x:v>
      </x:c>
    </x:row>
    <x:row r="1104" ht="22" customHeight="1">
      <x:c r="A1104" s="1" t="str">
        <x:v>Round2</x:v>
      </x:c>
      <x:c r="B1104" s="1" t="str">
        <x:v>Codec</x:v>
      </x:c>
      <x:c r="C1104" s="4" t="n">
        <x:v>10</x:v>
      </x:c>
      <x:c r="D1104" s="4" t="n">
        <x:v>20260928</x:v>
      </x:c>
      <x:c r="E1104" s="4" t="n">
        <x:v>60</x:v>
      </x:c>
      <x:c r="F1104" s="4" t="n">
        <x:v>4042</x:v>
      </x:c>
      <x:c r="G1104" s="5" t="n">
        <x:v>0.9867</x:v>
      </x:c>
      <x:c r="H1104" s="5" t="n">
        <x:v>1</x:v>
      </x:c>
      <x:c r="I1104" s="5" t="n">
        <x:v>0.8332999999999999</x:v>
      </x:c>
      <x:c r="J1104" s="4" t="n">
        <x:v>75</x:v>
      </x:c>
      <x:c r="K1104" s="4" t="n">
        <x:v>74</x:v>
      </x:c>
      <x:c r="L1104" s="4" t="n">
        <x:v>69</x:v>
      </x:c>
      <x:c r="M1104" s="4" t="n">
        <x:v>69</x:v>
      </x:c>
      <x:c r="N1104" s="4" t="n">
        <x:v>6</x:v>
      </x:c>
      <x:c r="O1104" s="4" t="n">
        <x:v>5</x:v>
      </x:c>
      <x:c r="P1104" s="1" t="str">
        <x:v>PASS</x:v>
      </x:c>
      <x:c r="Q1104" s="4" t="n">
        <x:v>0</x:v>
      </x:c>
      <x:c r="R1104" s="1" t="str">
        <x:v>PASS</x:v>
      </x:c>
      <x:c r="S1104" s="4" t="n">
        <x:v>0</x:v>
      </x:c>
      <x:c r="T1104" s="1" t="str">
        <x:v>NOT_REVEALING</x:v>
      </x:c>
      <x:c r="U1104" s="1" t="str">
        <x:v>Codec_10</x:v>
      </x:c>
      <x:c r="V1104" s="6" t="n">
        <x:v>36.57</x:v>
      </x:c>
    </x:row>
    <x:row r="1105" ht="22" customHeight="1">
      <x:c r="A1105" s="1" t="str">
        <x:v>Round2</x:v>
      </x:c>
      <x:c r="B1105" s="1" t="str">
        <x:v>Codec</x:v>
      </x:c>
      <x:c r="C1105" s="4" t="n">
        <x:v>11</x:v>
      </x:c>
      <x:c r="D1105" s="4" t="n">
        <x:v>20260928</x:v>
      </x:c>
      <x:c r="E1105" s="4" t="n">
        <x:v>60</x:v>
      </x:c>
      <x:c r="F1105" s="4" t="n">
        <x:v>1010</x:v>
      </x:c>
      <x:c r="G1105" s="5" t="n">
        <x:v>0.8974</x:v>
      </x:c>
      <x:c r="H1105" s="5" t="n">
        <x:v>0.9136</x:v>
      </x:c>
      <x:c r="I1105" s="5" t="n">
        <x:v>0.8611</x:v>
      </x:c>
      <x:c r="J1105" s="4" t="n">
        <x:v>117</x:v>
      </x:c>
      <x:c r="K1105" s="4" t="n">
        <x:v>105</x:v>
      </x:c>
      <x:c r="L1105" s="4" t="n">
        <x:v>81</x:v>
      </x:c>
      <x:c r="M1105" s="4" t="n">
        <x:v>74</x:v>
      </x:c>
      <x:c r="N1105" s="4" t="n">
        <x:v>36</x:v>
      </x:c>
      <x:c r="O1105" s="4" t="n">
        <x:v>31</x:v>
      </x:c>
      <x:c r="P1105" s="1" t="str">
        <x:v>PASS</x:v>
      </x:c>
      <x:c r="Q1105" s="4" t="n">
        <x:v>0</x:v>
      </x:c>
      <x:c r="R1105" s="1" t="str">
        <x:v>FAIL</x:v>
      </x:c>
      <x:c r="S1105" s="4" t="n">
        <x:v>604</x:v>
      </x:c>
      <x:c r="T1105" s="1" t="str">
        <x:v>INCONCLUSIVE</x:v>
      </x:c>
      <x:c r="U1105" s="1" t="str">
        <x:v>Codec_11</x:v>
      </x:c>
      <x:c r="V1105" s="6" t="n">
        <x:v>21.07</x:v>
      </x:c>
    </x:row>
    <x:row r="1106" ht="22" customHeight="1">
      <x:c r="A1106" s="1" t="str">
        <x:v>Round2</x:v>
      </x:c>
      <x:c r="B1106" s="1" t="str">
        <x:v>Codec</x:v>
      </x:c>
      <x:c r="C1106" s="4" t="n">
        <x:v>12</x:v>
      </x:c>
      <x:c r="D1106" s="4" t="n">
        <x:v>20260928</x:v>
      </x:c>
      <x:c r="E1106" s="4" t="n">
        <x:v>60</x:v>
      </x:c>
      <x:c r="F1106" s="4" t="n">
        <x:v>5448</x:v>
      </x:c>
      <x:c r="G1106" s="5" t="n">
        <x:v>0.5439</x:v>
      </x:c>
      <x:c r="H1106" s="5" t="n">
        <x:v>0.5806</x:v>
      </x:c>
      <x:c r="I1106" s="5" t="n">
        <x:v>0.5</x:v>
      </x:c>
      <x:c r="J1106" s="4" t="n">
        <x:v>57</x:v>
      </x:c>
      <x:c r="K1106" s="4" t="n">
        <x:v>31</x:v>
      </x:c>
      <x:c r="L1106" s="4" t="n">
        <x:v>31</x:v>
      </x:c>
      <x:c r="M1106" s="4" t="n">
        <x:v>18</x:v>
      </x:c>
      <x:c r="N1106" s="4" t="n">
        <x:v>26</x:v>
      </x:c>
      <x:c r="O1106" s="4" t="n">
        <x:v>13</x:v>
      </x:c>
      <x:c r="P1106" s="1" t="str">
        <x:v>PASS</x:v>
      </x:c>
      <x:c r="Q1106" s="4" t="n">
        <x:v>0</x:v>
      </x:c>
      <x:c r="R1106" s="1" t="str">
        <x:v>FAIL</x:v>
      </x:c>
      <x:c r="S1106" s="4" t="n">
        <x:v>7788</x:v>
      </x:c>
      <x:c r="T1106" s="1" t="str">
        <x:v>INCONCLUSIVE</x:v>
      </x:c>
      <x:c r="U1106" s="1" t="str">
        <x:v>Codec_12</x:v>
      </x:c>
      <x:c r="V1106" s="6" t="n">
        <x:v>36.12</x:v>
      </x:c>
    </x:row>
    <x:row r="1107" ht="22" customHeight="1">
      <x:c r="A1107" s="1" t="str">
        <x:v>Round2</x:v>
      </x:c>
      <x:c r="B1107" s="1" t="str">
        <x:v>Codec</x:v>
      </x:c>
      <x:c r="C1107" s="4" t="n">
        <x:v>13</x:v>
      </x:c>
      <x:c r="D1107" s="4" t="n">
        <x:v>20260928</x:v>
      </x:c>
      <x:c r="E1107" s="4" t="n">
        <x:v>60</x:v>
      </x:c>
      <x:c r="F1107" s="4" t="n">
        <x:v>3079</x:v>
      </x:c>
      <x:c r="G1107" s="5" t="n">
        <x:v>0.2279</x:v>
      </x:c>
      <x:c r="H1107" s="5" t="n">
        <x:v>0.2952</x:v>
      </x:c>
      <x:c r="I1107" s="5" t="n">
        <x:v>0.1572</x:v>
      </x:c>
      <x:c r="J1107" s="4" t="n">
        <x:v>939</x:v>
      </x:c>
      <x:c r="K1107" s="4" t="n">
        <x:v>214</x:v>
      </x:c>
      <x:c r="L1107" s="4" t="n">
        <x:v>481</x:v>
      </x:c>
      <x:c r="M1107" s="4" t="n">
        <x:v>142</x:v>
      </x:c>
      <x:c r="N1107" s="4" t="n">
        <x:v>458</x:v>
      </x:c>
      <x:c r="O1107" s="4" t="n">
        <x:v>72</x:v>
      </x:c>
      <x:c r="P1107" s="1" t="str">
        <x:v>FAIL</x:v>
      </x:c>
      <x:c r="Q1107" s="4" t="n">
        <x:v>48</x:v>
      </x:c>
      <x:c r="R1107" s="1" t="str">
        <x:v>PASS</x:v>
      </x:c>
      <x:c r="S1107" s="4" t="n">
        <x:v>0</x:v>
      </x:c>
      <x:c r="T1107" s="1" t="str">
        <x:v>REVEALING</x:v>
      </x:c>
      <x:c r="U1107" s="1" t="str">
        <x:v>Codec_13</x:v>
      </x:c>
      <x:c r="V1107" s="6" t="n">
        <x:v>20.52</x:v>
      </x:c>
    </x:row>
    <x:row r="1108" ht="22" customHeight="1">
      <x:c r="A1108" s="1" t="str">
        <x:v>Round2</x:v>
      </x:c>
      <x:c r="B1108" s="1" t="str">
        <x:v>Codec</x:v>
      </x:c>
      <x:c r="C1108" s="4" t="n">
        <x:v>14</x:v>
      </x:c>
      <x:c r="D1108" s="4" t="n">
        <x:v>20260928</x:v>
      </x:c>
      <x:c r="E1108" s="4" t="n">
        <x:v>60</x:v>
      </x:c>
      <x:c r="F1108" s="4" t="n">
        <x:v>0</x:v>
      </x:c>
      <x:c r="G1108" s="5"/>
      <x:c r="H1108" s="5"/>
      <x:c r="I1108" s="5"/>
      <x:c r="J1108" s="4" t="n">
        <x:v>0</x:v>
      </x:c>
      <x:c r="K1108" s="4" t="n">
        <x:v>0</x:v>
      </x:c>
      <x:c r="L1108" s="4" t="n">
        <x:v>0</x:v>
      </x:c>
      <x:c r="M1108" s="4" t="n">
        <x:v>0</x:v>
      </x:c>
      <x:c r="N1108" s="4" t="n">
        <x:v>0</x:v>
      </x:c>
      <x:c r="O1108" s="4" t="n">
        <x:v>0</x:v>
      </x:c>
      <x:c r="P1108" s="1" t="str">
        <x:v>NOT_RUN</x:v>
      </x:c>
      <x:c r="Q1108" s="4"/>
      <x:c r="R1108" s="1" t="str">
        <x:v>NOT_RUN</x:v>
      </x:c>
      <x:c r="S1108" s="4"/>
      <x:c r="T1108" s="1" t="str">
        <x:v>FAIL</x:v>
      </x:c>
      <x:c r="U1108" s="1" t="str">
        <x:v>Codec_14</x:v>
      </x:c>
      <x:c r="V1108" s="6"/>
    </x:row>
    <x:row r="1109" ht="22" customHeight="1">
      <x:c r="A1109" s="1" t="str">
        <x:v>Round2</x:v>
      </x:c>
      <x:c r="B1109" s="1" t="str">
        <x:v>Codec</x:v>
      </x:c>
      <x:c r="C1109" s="4" t="n">
        <x:v>15</x:v>
      </x:c>
      <x:c r="D1109" s="4" t="n">
        <x:v>20260928</x:v>
      </x:c>
      <x:c r="E1109" s="4" t="n">
        <x:v>60</x:v>
      </x:c>
      <x:c r="F1109" s="4" t="n">
        <x:v>4248</x:v>
      </x:c>
      <x:c r="G1109" s="5" t="n">
        <x:v>0.6706</x:v>
      </x:c>
      <x:c r="H1109" s="5" t="n">
        <x:v>0.8431000000000001</x:v>
      </x:c>
      <x:c r="I1109" s="5" t="n">
        <x:v>0.4118</x:v>
      </x:c>
      <x:c r="J1109" s="4" t="n">
        <x:v>85</x:v>
      </x:c>
      <x:c r="K1109" s="4" t="n">
        <x:v>57</x:v>
      </x:c>
      <x:c r="L1109" s="4" t="n">
        <x:v>51</x:v>
      </x:c>
      <x:c r="M1109" s="4" t="n">
        <x:v>43</x:v>
      </x:c>
      <x:c r="N1109" s="4" t="n">
        <x:v>34</x:v>
      </x:c>
      <x:c r="O1109" s="4" t="n">
        <x:v>14</x:v>
      </x:c>
      <x:c r="P1109" s="1" t="str">
        <x:v>PASS</x:v>
      </x:c>
      <x:c r="Q1109" s="4" t="n">
        <x:v>0</x:v>
      </x:c>
      <x:c r="R1109" s="1" t="str">
        <x:v>PASS</x:v>
      </x:c>
      <x:c r="S1109" s="4" t="n">
        <x:v>0</x:v>
      </x:c>
      <x:c r="T1109" s="1" t="str">
        <x:v>NOT_REVEALING</x:v>
      </x:c>
      <x:c r="U1109" s="1" t="str">
        <x:v>Codec_15</x:v>
      </x:c>
      <x:c r="V1109" s="6" t="n">
        <x:v>26.2</x:v>
      </x:c>
    </x:row>
    <x:row r="1110" ht="22" customHeight="1">
      <x:c r="A1110" s="1" t="str">
        <x:v>Round2</x:v>
      </x:c>
      <x:c r="B1110" s="1" t="str">
        <x:v>Codec</x:v>
      </x:c>
      <x:c r="C1110" s="4" t="n">
        <x:v>16</x:v>
      </x:c>
      <x:c r="D1110" s="4" t="n">
        <x:v>20260928</x:v>
      </x:c>
      <x:c r="E1110" s="4" t="n">
        <x:v>60</x:v>
      </x:c>
      <x:c r="F1110" s="4" t="n">
        <x:v>2012</x:v>
      </x:c>
      <x:c r="G1110" s="5" t="n">
        <x:v>0.9668000000000001</x:v>
      </x:c>
      <x:c r="H1110" s="5" t="n">
        <x:v>0.9819</x:v>
      </x:c>
      <x:c r="I1110" s="5" t="n">
        <x:v>0.9333</x:v>
      </x:c>
      <x:c r="J1110" s="4" t="n">
        <x:v>241</x:v>
      </x:c>
      <x:c r="K1110" s="4" t="n">
        <x:v>233</x:v>
      </x:c>
      <x:c r="L1110" s="4" t="n">
        <x:v>166</x:v>
      </x:c>
      <x:c r="M1110" s="4" t="n">
        <x:v>163</x:v>
      </x:c>
      <x:c r="N1110" s="4" t="n">
        <x:v>75</x:v>
      </x:c>
      <x:c r="O1110" s="4" t="n">
        <x:v>70</x:v>
      </x:c>
      <x:c r="P1110" s="1" t="str">
        <x:v>PASS</x:v>
      </x:c>
      <x:c r="Q1110" s="4" t="n">
        <x:v>0</x:v>
      </x:c>
      <x:c r="R1110" s="1" t="str">
        <x:v>FAIL</x:v>
      </x:c>
      <x:c r="S1110" s="4" t="n">
        <x:v>22</x:v>
      </x:c>
      <x:c r="T1110" s="1" t="str">
        <x:v>INCONCLUSIVE</x:v>
      </x:c>
      <x:c r="U1110" s="1" t="str">
        <x:v>Codec_16</x:v>
      </x:c>
      <x:c r="V1110" s="6" t="n">
        <x:v>26.53</x:v>
      </x:c>
    </x:row>
    <x:row r="1111" ht="22" customHeight="1">
      <x:c r="A1111" s="1" t="str">
        <x:v>Round2</x:v>
      </x:c>
      <x:c r="B1111" s="1" t="str">
        <x:v>Codec</x:v>
      </x:c>
      <x:c r="C1111" s="4" t="n">
        <x:v>17</x:v>
      </x:c>
      <x:c r="D1111" s="4" t="n">
        <x:v>20260928</x:v>
      </x:c>
      <x:c r="E1111" s="4" t="n">
        <x:v>60</x:v>
      </x:c>
      <x:c r="F1111" s="4" t="n">
        <x:v>5804</x:v>
      </x:c>
      <x:c r="G1111" s="5" t="n">
        <x:v>0.8475</x:v>
      </x:c>
      <x:c r="H1111" s="5" t="n">
        <x:v>0.8974</x:v>
      </x:c>
      <x:c r="I1111" s="5" t="n">
        <x:v>0.75</x:v>
      </x:c>
      <x:c r="J1111" s="4" t="n">
        <x:v>59</x:v>
      </x:c>
      <x:c r="K1111" s="4" t="n">
        <x:v>50</x:v>
      </x:c>
      <x:c r="L1111" s="4" t="n">
        <x:v>39</x:v>
      </x:c>
      <x:c r="M1111" s="4" t="n">
        <x:v>35</x:v>
      </x:c>
      <x:c r="N1111" s="4" t="n">
        <x:v>20</x:v>
      </x:c>
      <x:c r="O1111" s="4" t="n">
        <x:v>15</x:v>
      </x:c>
      <x:c r="P1111" s="1" t="str">
        <x:v>PASS</x:v>
      </x:c>
      <x:c r="Q1111" s="4" t="n">
        <x:v>0</x:v>
      </x:c>
      <x:c r="R1111" s="1" t="str">
        <x:v>FAIL</x:v>
      </x:c>
      <x:c r="S1111" s="4" t="n">
        <x:v>2</x:v>
      </x:c>
      <x:c r="T1111" s="1" t="str">
        <x:v>INCONCLUSIVE</x:v>
      </x:c>
      <x:c r="U1111" s="1" t="str">
        <x:v>Codec_17</x:v>
      </x:c>
      <x:c r="V1111" s="6" t="n">
        <x:v>23.54</x:v>
      </x:c>
    </x:row>
    <x:row r="1112" ht="22" customHeight="1">
      <x:c r="A1112" s="1" t="str">
        <x:v>Round2</x:v>
      </x:c>
      <x:c r="B1112" s="1" t="str">
        <x:v>Codec</x:v>
      </x:c>
      <x:c r="C1112" s="4" t="n">
        <x:v>18</x:v>
      </x:c>
      <x:c r="D1112" s="4" t="n">
        <x:v>20260928</x:v>
      </x:c>
      <x:c r="E1112" s="4" t="n">
        <x:v>60</x:v>
      </x:c>
      <x:c r="F1112" s="4" t="n">
        <x:v>5981</x:v>
      </x:c>
      <x:c r="G1112" s="5" t="n">
        <x:v>0.8475</x:v>
      </x:c>
      <x:c r="H1112" s="5" t="n">
        <x:v>0.8974</x:v>
      </x:c>
      <x:c r="I1112" s="5" t="n">
        <x:v>0.75</x:v>
      </x:c>
      <x:c r="J1112" s="4" t="n">
        <x:v>59</x:v>
      </x:c>
      <x:c r="K1112" s="4" t="n">
        <x:v>50</x:v>
      </x:c>
      <x:c r="L1112" s="4" t="n">
        <x:v>39</x:v>
      </x:c>
      <x:c r="M1112" s="4" t="n">
        <x:v>35</x:v>
      </x:c>
      <x:c r="N1112" s="4" t="n">
        <x:v>20</x:v>
      </x:c>
      <x:c r="O1112" s="4" t="n">
        <x:v>15</x:v>
      </x:c>
      <x:c r="P1112" s="1" t="str">
        <x:v>PASS</x:v>
      </x:c>
      <x:c r="Q1112" s="4" t="n">
        <x:v>0</x:v>
      </x:c>
      <x:c r="R1112" s="1" t="str">
        <x:v>PASS</x:v>
      </x:c>
      <x:c r="S1112" s="4" t="n">
        <x:v>0</x:v>
      </x:c>
      <x:c r="T1112" s="1" t="str">
        <x:v>NOT_REVEALING</x:v>
      </x:c>
      <x:c r="U1112" s="1" t="str">
        <x:v>Codec_18</x:v>
      </x:c>
      <x:c r="V1112" s="6" t="n">
        <x:v>23.63</x:v>
      </x:c>
    </x:row>
    <x:row r="1113" ht="22" customHeight="1">
      <x:c r="A1113" s="1" t="str">
        <x:v>Round2</x:v>
      </x:c>
      <x:c r="B1113" s="1" t="str">
        <x:v>Collections</x:v>
      </x:c>
      <x:c r="C1113" s="4" t="n">
        <x:v>1</x:v>
      </x:c>
      <x:c r="D1113" s="4" t="n">
        <x:v>20260928</x:v>
      </x:c>
      <x:c r="E1113" s="4" t="n">
        <x:v>60</x:v>
      </x:c>
      <x:c r="F1113" s="4" t="n">
        <x:v>1663</x:v>
      </x:c>
      <x:c r="G1113" s="5" t="n">
        <x:v>0.4556</x:v>
      </x:c>
      <x:c r="H1113" s="5" t="n">
        <x:v>0.49079999999999996</x:v>
      </x:c>
      <x:c r="I1113" s="5" t="n">
        <x:v>0.4096</x:v>
      </x:c>
      <x:c r="J1113" s="4" t="n">
        <x:v>867</x:v>
      </x:c>
      <x:c r="K1113" s="4" t="n">
        <x:v>395</x:v>
      </x:c>
      <x:c r="L1113" s="4" t="n">
        <x:v>491</x:v>
      </x:c>
      <x:c r="M1113" s="4" t="n">
        <x:v>241</x:v>
      </x:c>
      <x:c r="N1113" s="4" t="n">
        <x:v>376</x:v>
      </x:c>
      <x:c r="O1113" s="4" t="n">
        <x:v>154</x:v>
      </x:c>
      <x:c r="P1113" s="1" t="str">
        <x:v>FAIL</x:v>
      </x:c>
      <x:c r="Q1113" s="4" t="n">
        <x:v>434</x:v>
      </x:c>
      <x:c r="R1113" s="1" t="str">
        <x:v>FAIL</x:v>
      </x:c>
      <x:c r="S1113" s="4" t="n">
        <x:v>434</x:v>
      </x:c>
      <x:c r="T1113" s="1" t="str">
        <x:v>INCONCLUSIVE</x:v>
      </x:c>
      <x:c r="U1113" s="1" t="str">
        <x:v>Collections_1</x:v>
      </x:c>
      <x:c r="V1113" s="6" t="n">
        <x:v>54.2</x:v>
      </x:c>
    </x:row>
    <x:row r="1114" ht="22" customHeight="1">
      <x:c r="A1114" s="1" t="str">
        <x:v>Round2</x:v>
      </x:c>
      <x:c r="B1114" s="1" t="str">
        <x:v>Collections</x:v>
      </x:c>
      <x:c r="C1114" s="4" t="n">
        <x:v>2</x:v>
      </x:c>
      <x:c r="D1114" s="4" t="n">
        <x:v>20260928</x:v>
      </x:c>
      <x:c r="E1114" s="4" t="n">
        <x:v>60</x:v>
      </x:c>
      <x:c r="F1114" s="4" t="n">
        <x:v>3306</x:v>
      </x:c>
      <x:c r="G1114" s="5" t="n">
        <x:v>0.5607</x:v>
      </x:c>
      <x:c r="H1114" s="5" t="n">
        <x:v>0.5935</x:v>
      </x:c>
      <x:c r="I1114" s="5" t="n">
        <x:v>0.5036999999999999</x:v>
      </x:c>
      <x:c r="J1114" s="4" t="n">
        <x:v>733</x:v>
      </x:c>
      <x:c r="K1114" s="4" t="n">
        <x:v>411</x:v>
      </x:c>
      <x:c r="L1114" s="4" t="n">
        <x:v>465</x:v>
      </x:c>
      <x:c r="M1114" s="4" t="n">
        <x:v>276</x:v>
      </x:c>
      <x:c r="N1114" s="4" t="n">
        <x:v>268</x:v>
      </x:c>
      <x:c r="O1114" s="4" t="n">
        <x:v>135</x:v>
      </x:c>
      <x:c r="P1114" s="1" t="str">
        <x:v>PASS</x:v>
      </x:c>
      <x:c r="Q1114" s="4" t="n">
        <x:v>0</x:v>
      </x:c>
      <x:c r="R1114" s="1" t="str">
        <x:v>FAIL</x:v>
      </x:c>
      <x:c r="S1114" s="4" t="n">
        <x:v>94</x:v>
      </x:c>
      <x:c r="T1114" s="1" t="str">
        <x:v>INCONCLUSIVE</x:v>
      </x:c>
      <x:c r="U1114" s="1" t="str">
        <x:v>Collections_2</x:v>
      </x:c>
      <x:c r="V1114" s="6" t="n">
        <x:v>49.95</x:v>
      </x:c>
    </x:row>
    <x:row r="1115" ht="22" customHeight="1">
      <x:c r="A1115" s="1" t="str">
        <x:v>Round2</x:v>
      </x:c>
      <x:c r="B1115" s="1" t="str">
        <x:v>Collections</x:v>
      </x:c>
      <x:c r="C1115" s="4" t="n">
        <x:v>3</x:v>
      </x:c>
      <x:c r="D1115" s="4" t="n">
        <x:v>20260928</x:v>
      </x:c>
      <x:c r="E1115" s="4" t="n">
        <x:v>60</x:v>
      </x:c>
      <x:c r="F1115" s="4" t="n">
        <x:v>3867</x:v>
      </x:c>
      <x:c r="G1115" s="5" t="n">
        <x:v>0.5672</x:v>
      </x:c>
      <x:c r="H1115" s="5" t="n">
        <x:v>0.617</x:v>
      </x:c>
      <x:c r="I1115" s="5" t="n">
        <x:v>0.5</x:v>
      </x:c>
      <x:c r="J1115" s="4" t="n">
        <x:v>573</x:v>
      </x:c>
      <x:c r="K1115" s="4" t="n">
        <x:v>325</x:v>
      </x:c>
      <x:c r="L1115" s="4" t="n">
        <x:v>329</x:v>
      </x:c>
      <x:c r="M1115" s="4" t="n">
        <x:v>203</x:v>
      </x:c>
      <x:c r="N1115" s="4" t="n">
        <x:v>244</x:v>
      </x:c>
      <x:c r="O1115" s="4" t="n">
        <x:v>122</x:v>
      </x:c>
      <x:c r="P1115" s="1" t="str">
        <x:v>FAIL</x:v>
      </x:c>
      <x:c r="Q1115" s="4" t="n">
        <x:v>4034</x:v>
      </x:c>
      <x:c r="R1115" s="1" t="str">
        <x:v>FAIL</x:v>
      </x:c>
      <x:c r="S1115" s="4" t="n">
        <x:v>4038</x:v>
      </x:c>
      <x:c r="T1115" s="1" t="str">
        <x:v>INCONCLUSIVE</x:v>
      </x:c>
      <x:c r="U1115" s="1" t="str">
        <x:v>Collections_3</x:v>
      </x:c>
      <x:c r="V1115" s="6" t="n">
        <x:v>73.2</x:v>
      </x:c>
    </x:row>
    <x:row r="1116" ht="22" customHeight="1">
      <x:c r="A1116" s="1" t="str">
        <x:v>Round2</x:v>
      </x:c>
      <x:c r="B1116" s="1" t="str">
        <x:v>Collections</x:v>
      </x:c>
      <x:c r="C1116" s="4" t="n">
        <x:v>4</x:v>
      </x:c>
      <x:c r="D1116" s="4" t="n">
        <x:v>20260928</x:v>
      </x:c>
      <x:c r="E1116" s="4" t="n">
        <x:v>60</x:v>
      </x:c>
      <x:c r="F1116" s="4" t="n">
        <x:v>1355</x:v>
      </x:c>
      <x:c r="G1116" s="5" t="n">
        <x:v>0.805</x:v>
      </x:c>
      <x:c r="H1116" s="5" t="n">
        <x:v>0.8468000000000001</x:v>
      </x:c>
      <x:c r="I1116" s="5" t="n">
        <x:v>0.7082999999999999</x:v>
      </x:c>
      <x:c r="J1116" s="4" t="n">
        <x:v>159</x:v>
      </x:c>
      <x:c r="K1116" s="4" t="n">
        <x:v>128</x:v>
      </x:c>
      <x:c r="L1116" s="4" t="n">
        <x:v>111</x:v>
      </x:c>
      <x:c r="M1116" s="4" t="n">
        <x:v>94</x:v>
      </x:c>
      <x:c r="N1116" s="4" t="n">
        <x:v>48</x:v>
      </x:c>
      <x:c r="O1116" s="4" t="n">
        <x:v>34</x:v>
      </x:c>
      <x:c r="P1116" s="1" t="str">
        <x:v>FAIL</x:v>
      </x:c>
      <x:c r="Q1116" s="4" t="n">
        <x:v>2</x:v>
      </x:c>
      <x:c r="R1116" s="1" t="str">
        <x:v>FAIL</x:v>
      </x:c>
      <x:c r="S1116" s="4" t="n">
        <x:v>1212</x:v>
      </x:c>
      <x:c r="T1116" s="1" t="str">
        <x:v>INCONCLUSIVE</x:v>
      </x:c>
      <x:c r="U1116" s="1" t="str">
        <x:v>Collections_4</x:v>
      </x:c>
      <x:c r="V1116" s="6" t="n">
        <x:v>53.26</x:v>
      </x:c>
    </x:row>
    <x:row r="1117" ht="22" customHeight="1">
      <x:c r="A1117" s="1" t="str">
        <x:v>Round2</x:v>
      </x:c>
      <x:c r="B1117" s="1" t="str">
        <x:v>Collections</x:v>
      </x:c>
      <x:c r="C1117" s="4" t="n">
        <x:v>5</x:v>
      </x:c>
      <x:c r="D1117" s="4" t="n">
        <x:v>20260928</x:v>
      </x:c>
      <x:c r="E1117" s="4" t="n">
        <x:v>60</x:v>
      </x:c>
      <x:c r="F1117" s="4" t="n">
        <x:v>5</x:v>
      </x:c>
      <x:c r="G1117" s="5" t="n">
        <x:v>0.0588</x:v>
      </x:c>
      <x:c r="H1117" s="5" t="n">
        <x:v>0.061</x:v>
      </x:c>
      <x:c r="I1117" s="5" t="n">
        <x:v>0.05</x:v>
      </x:c>
      <x:c r="J1117" s="4" t="n">
        <x:v>102</x:v>
      </x:c>
      <x:c r="K1117" s="4" t="n">
        <x:v>6</x:v>
      </x:c>
      <x:c r="L1117" s="4" t="n">
        <x:v>82</x:v>
      </x:c>
      <x:c r="M1117" s="4" t="n">
        <x:v>5</x:v>
      </x:c>
      <x:c r="N1117" s="4" t="n">
        <x:v>20</x:v>
      </x:c>
      <x:c r="O1117" s="4" t="n">
        <x:v>1</x:v>
      </x:c>
      <x:c r="P1117" s="1" t="str">
        <x:v>PASS</x:v>
      </x:c>
      <x:c r="Q1117" s="4" t="n">
        <x:v>0</x:v>
      </x:c>
      <x:c r="R1117" s="1" t="str">
        <x:v>PASS</x:v>
      </x:c>
      <x:c r="S1117" s="4" t="n">
        <x:v>0</x:v>
      </x:c>
      <x:c r="T1117" s="1" t="str">
        <x:v>NOT_REVEALING</x:v>
      </x:c>
      <x:c r="U1117" s="1" t="str">
        <x:v>Collections_5</x:v>
      </x:c>
      <x:c r="V1117" s="6" t="n">
        <x:v>25.85</x:v>
      </x:c>
    </x:row>
    <x:row r="1118" ht="22" customHeight="1">
      <x:c r="A1118" s="1" t="str">
        <x:v>Round2</x:v>
      </x:c>
      <x:c r="B1118" s="1" t="str">
        <x:v>Collections</x:v>
      </x:c>
      <x:c r="C1118" s="4" t="n">
        <x:v>6</x:v>
      </x:c>
      <x:c r="D1118" s="4" t="n">
        <x:v>20260928</x:v>
      </x:c>
      <x:c r="E1118" s="4" t="n">
        <x:v>60</x:v>
      </x:c>
      <x:c r="F1118" s="4" t="n">
        <x:v>1793</x:v>
      </x:c>
      <x:c r="G1118" s="5" t="n">
        <x:v>0.4604</x:v>
      </x:c>
      <x:c r="H1118" s="5" t="n">
        <x:v>0.4949</x:v>
      </x:c>
      <x:c r="I1118" s="5" t="n">
        <x:v>0.41490000000000005</x:v>
      </x:c>
      <x:c r="J1118" s="4" t="n">
        <x:v>871</x:v>
      </x:c>
      <x:c r="K1118" s="4" t="n">
        <x:v>401</x:v>
      </x:c>
      <x:c r="L1118" s="4" t="n">
        <x:v>495</x:v>
      </x:c>
      <x:c r="M1118" s="4" t="n">
        <x:v>245</x:v>
      </x:c>
      <x:c r="N1118" s="4" t="n">
        <x:v>376</x:v>
      </x:c>
      <x:c r="O1118" s="4" t="n">
        <x:v>156</x:v>
      </x:c>
      <x:c r="P1118" s="1" t="str">
        <x:v>FAIL</x:v>
      </x:c>
      <x:c r="Q1118" s="4" t="n">
        <x:v>462</x:v>
      </x:c>
      <x:c r="R1118" s="1" t="str">
        <x:v>FAIL</x:v>
      </x:c>
      <x:c r="S1118" s="4" t="n">
        <x:v>462</x:v>
      </x:c>
      <x:c r="T1118" s="1" t="str">
        <x:v>INCONCLUSIVE</x:v>
      </x:c>
      <x:c r="U1118" s="1" t="str">
        <x:v>Collections_6</x:v>
      </x:c>
      <x:c r="V1118" s="6" t="n">
        <x:v>53.13</x:v>
      </x:c>
    </x:row>
    <x:row r="1119" ht="22" customHeight="1">
      <x:c r="A1119" s="1" t="str">
        <x:v>Round2</x:v>
      </x:c>
      <x:c r="B1119" s="1" t="str">
        <x:v>Collections</x:v>
      </x:c>
      <x:c r="C1119" s="4" t="n">
        <x:v>7</x:v>
      </x:c>
      <x:c r="D1119" s="4" t="n">
        <x:v>20260928</x:v>
      </x:c>
      <x:c r="E1119" s="4" t="n">
        <x:v>60</x:v>
      </x:c>
      <x:c r="F1119" s="4" t="n">
        <x:v>3128</x:v>
      </x:c>
      <x:c r="G1119" s="5" t="n">
        <x:v>0.5465</x:v>
      </x:c>
      <x:c r="H1119" s="5" t="n">
        <x:v>0.5797</x:v>
      </x:c>
      <x:c r="I1119" s="5" t="n">
        <x:v>0.4893</x:v>
      </x:c>
      <x:c r="J1119" s="4" t="n">
        <x:v>763</x:v>
      </x:c>
      <x:c r="K1119" s="4" t="n">
        <x:v>417</x:v>
      </x:c>
      <x:c r="L1119" s="4" t="n">
        <x:v>483</x:v>
      </x:c>
      <x:c r="M1119" s="4" t="n">
        <x:v>280</x:v>
      </x:c>
      <x:c r="N1119" s="4" t="n">
        <x:v>280</x:v>
      </x:c>
      <x:c r="O1119" s="4" t="n">
        <x:v>137</x:v>
      </x:c>
      <x:c r="P1119" s="1" t="str">
        <x:v>FAIL</x:v>
      </x:c>
      <x:c r="Q1119" s="4" t="n">
        <x:v>1</x:v>
      </x:c>
      <x:c r="R1119" s="1" t="str">
        <x:v>FAIL</x:v>
      </x:c>
      <x:c r="S1119" s="4" t="n">
        <x:v>1</x:v>
      </x:c>
      <x:c r="T1119" s="1" t="str">
        <x:v>INCONCLUSIVE</x:v>
      </x:c>
      <x:c r="U1119" s="1" t="str">
        <x:v>Collections_7</x:v>
      </x:c>
      <x:c r="V1119" s="6" t="n">
        <x:v>53.59</x:v>
      </x:c>
    </x:row>
    <x:row r="1120" ht="22" customHeight="1">
      <x:c r="A1120" s="1" t="str">
        <x:v>Round2</x:v>
      </x:c>
      <x:c r="B1120" s="1" t="str">
        <x:v>Collections</x:v>
      </x:c>
      <x:c r="C1120" s="4" t="n">
        <x:v>8</x:v>
      </x:c>
      <x:c r="D1120" s="4" t="n">
        <x:v>20260928</x:v>
      </x:c>
      <x:c r="E1120" s="4" t="n">
        <x:v>60</x:v>
      </x:c>
      <x:c r="F1120" s="4" t="n">
        <x:v>267</x:v>
      </x:c>
      <x:c r="G1120" s="5" t="n">
        <x:v>0.6129</x:v>
      </x:c>
      <x:c r="H1120" s="5" t="n">
        <x:v>0.6136</x:v>
      </x:c>
      <x:c r="I1120" s="5" t="n">
        <x:v>0.6111</x:v>
      </x:c>
      <x:c r="J1120" s="4" t="n">
        <x:v>124</x:v>
      </x:c>
      <x:c r="K1120" s="4" t="n">
        <x:v>76</x:v>
      </x:c>
      <x:c r="L1120" s="4" t="n">
        <x:v>88</x:v>
      </x:c>
      <x:c r="M1120" s="4" t="n">
        <x:v>54</x:v>
      </x:c>
      <x:c r="N1120" s="4" t="n">
        <x:v>36</x:v>
      </x:c>
      <x:c r="O1120" s="4" t="n">
        <x:v>22</x:v>
      </x:c>
      <x:c r="P1120" s="1" t="str">
        <x:v>PASS</x:v>
      </x:c>
      <x:c r="Q1120" s="4" t="n">
        <x:v>0</x:v>
      </x:c>
      <x:c r="R1120" s="1" t="str">
        <x:v>PASS</x:v>
      </x:c>
      <x:c r="S1120" s="4" t="n">
        <x:v>0</x:v>
      </x:c>
      <x:c r="T1120" s="1" t="str">
        <x:v>NOT_REVEALING</x:v>
      </x:c>
      <x:c r="U1120" s="1" t="str">
        <x:v>Collections_8</x:v>
      </x:c>
      <x:c r="V1120" s="6" t="n">
        <x:v>29.81</x:v>
      </x:c>
    </x:row>
    <x:row r="1121" ht="22" customHeight="1">
      <x:c r="A1121" s="1" t="str">
        <x:v>Round2</x:v>
      </x:c>
      <x:c r="B1121" s="1" t="str">
        <x:v>Collections</x:v>
      </x:c>
      <x:c r="C1121" s="4" t="n">
        <x:v>9</x:v>
      </x:c>
      <x:c r="D1121" s="4" t="n">
        <x:v>20260928</x:v>
      </x:c>
      <x:c r="E1121" s="4" t="n">
        <x:v>60</x:v>
      </x:c>
      <x:c r="F1121" s="4" t="n">
        <x:v>3174</x:v>
      </x:c>
      <x:c r="G1121" s="5" t="n">
        <x:v>0.546</x:v>
      </x:c>
      <x:c r="H1121" s="5" t="n">
        <x:v>0.5804</x:v>
      </x:c>
      <x:c r="I1121" s="5" t="n">
        <x:v>0.4857</x:v>
      </x:c>
      <x:c r="J1121" s="4" t="n">
        <x:v>771</x:v>
      </x:c>
      <x:c r="K1121" s="4" t="n">
        <x:v>421</x:v>
      </x:c>
      <x:c r="L1121" s="4" t="n">
        <x:v>491</x:v>
      </x:c>
      <x:c r="M1121" s="4" t="n">
        <x:v>285</x:v>
      </x:c>
      <x:c r="N1121" s="4" t="n">
        <x:v>280</x:v>
      </x:c>
      <x:c r="O1121" s="4" t="n">
        <x:v>136</x:v>
      </x:c>
      <x:c r="P1121" s="1" t="str">
        <x:v>PASS</x:v>
      </x:c>
      <x:c r="Q1121" s="4" t="n">
        <x:v>0</x:v>
      </x:c>
      <x:c r="R1121" s="1" t="str">
        <x:v>PASS</x:v>
      </x:c>
      <x:c r="S1121" s="4" t="n">
        <x:v>0</x:v>
      </x:c>
      <x:c r="T1121" s="1" t="str">
        <x:v>NOT_REVEALING</x:v>
      </x:c>
      <x:c r="U1121" s="1" t="str">
        <x:v>Collections_9</x:v>
      </x:c>
      <x:c r="V1121" s="6" t="n">
        <x:v>39.88</x:v>
      </x:c>
    </x:row>
    <x:row r="1122" ht="22" customHeight="1">
      <x:c r="A1122" s="1" t="str">
        <x:v>Round2</x:v>
      </x:c>
      <x:c r="B1122" s="1" t="str">
        <x:v>Collections</x:v>
      </x:c>
      <x:c r="C1122" s="4" t="n">
        <x:v>10</x:v>
      </x:c>
      <x:c r="D1122" s="4" t="n">
        <x:v>20260928</x:v>
      </x:c>
      <x:c r="E1122" s="4" t="n">
        <x:v>60</x:v>
      </x:c>
      <x:c r="F1122" s="4" t="n">
        <x:v>1277</x:v>
      </x:c>
      <x:c r="G1122" s="5" t="n">
        <x:v>0.7844</x:v>
      </x:c>
      <x:c r="H1122" s="5" t="n">
        <x:v>0.8151</x:v>
      </x:c>
      <x:c r="I1122" s="5" t="n">
        <x:v>0.7082999999999999</x:v>
      </x:c>
      <x:c r="J1122" s="4" t="n">
        <x:v>167</x:v>
      </x:c>
      <x:c r="K1122" s="4" t="n">
        <x:v>131</x:v>
      </x:c>
      <x:c r="L1122" s="4" t="n">
        <x:v>119</x:v>
      </x:c>
      <x:c r="M1122" s="4" t="n">
        <x:v>97</x:v>
      </x:c>
      <x:c r="N1122" s="4" t="n">
        <x:v>48</x:v>
      </x:c>
      <x:c r="O1122" s="4" t="n">
        <x:v>34</x:v>
      </x:c>
      <x:c r="P1122" s="1" t="str">
        <x:v>PASS</x:v>
      </x:c>
      <x:c r="Q1122" s="4" t="n">
        <x:v>0</x:v>
      </x:c>
      <x:c r="R1122" s="1" t="str">
        <x:v>PASS</x:v>
      </x:c>
      <x:c r="S1122" s="4" t="n">
        <x:v>0</x:v>
      </x:c>
      <x:c r="T1122" s="1" t="str">
        <x:v>NOT_REVEALING</x:v>
      </x:c>
      <x:c r="U1122" s="1" t="str">
        <x:v>Collections_10</x:v>
      </x:c>
      <x:c r="V1122" s="6" t="n">
        <x:v>57.84</x:v>
      </x:c>
    </x:row>
    <x:row r="1123" ht="22" customHeight="1">
      <x:c r="A1123" s="1" t="str">
        <x:v>Round2</x:v>
      </x:c>
      <x:c r="B1123" s="1" t="str">
        <x:v>Collections</x:v>
      </x:c>
      <x:c r="C1123" s="4" t="n">
        <x:v>11</x:v>
      </x:c>
      <x:c r="D1123" s="4" t="n">
        <x:v>20260928</x:v>
      </x:c>
      <x:c r="E1123" s="4" t="n">
        <x:v>60</x:v>
      </x:c>
      <x:c r="F1123" s="4" t="n">
        <x:v>1888</x:v>
      </x:c>
      <x:c r="G1123" s="5" t="n">
        <x:v>0.9573999999999999</x:v>
      </x:c>
      <x:c r="H1123" s="5" t="n">
        <x:v>0.9714</x:v>
      </x:c>
      <x:c r="I1123" s="5" t="n">
        <x:v>0.9167000000000001</x:v>
      </x:c>
      <x:c r="J1123" s="4" t="n">
        <x:v>47</x:v>
      </x:c>
      <x:c r="K1123" s="4" t="n">
        <x:v>45</x:v>
      </x:c>
      <x:c r="L1123" s="4" t="n">
        <x:v>35</x:v>
      </x:c>
      <x:c r="M1123" s="4" t="n">
        <x:v>34</x:v>
      </x:c>
      <x:c r="N1123" s="4" t="n">
        <x:v>12</x:v>
      </x:c>
      <x:c r="O1123" s="4" t="n">
        <x:v>11</x:v>
      </x:c>
      <x:c r="P1123" s="1" t="str">
        <x:v>PASS</x:v>
      </x:c>
      <x:c r="Q1123" s="4" t="n">
        <x:v>0</x:v>
      </x:c>
      <x:c r="R1123" s="1" t="str">
        <x:v>PASS</x:v>
      </x:c>
      <x:c r="S1123" s="4" t="n">
        <x:v>0</x:v>
      </x:c>
      <x:c r="T1123" s="1" t="str">
        <x:v>NOT_REVEALING</x:v>
      </x:c>
      <x:c r="U1123" s="1" t="str">
        <x:v>Collections_11</x:v>
      </x:c>
      <x:c r="V1123" s="6" t="n">
        <x:v>59.09</x:v>
      </x:c>
    </x:row>
    <x:row r="1124" ht="22" customHeight="1">
      <x:c r="A1124" s="1" t="str">
        <x:v>Round2</x:v>
      </x:c>
      <x:c r="B1124" s="1" t="str">
        <x:v>Collections</x:v>
      </x:c>
      <x:c r="C1124" s="4" t="n">
        <x:v>12</x:v>
      </x:c>
      <x:c r="D1124" s="4" t="n">
        <x:v>20260928</x:v>
      </x:c>
      <x:c r="E1124" s="4" t="n">
        <x:v>60</x:v>
      </x:c>
      <x:c r="F1124" s="4" t="n">
        <x:v>3000</x:v>
      </x:c>
      <x:c r="G1124" s="5" t="n">
        <x:v>0.5463</x:v>
      </x:c>
      <x:c r="H1124" s="5" t="n">
        <x:v>0.5808</x:v>
      </x:c>
      <x:c r="I1124" s="5" t="n">
        <x:v>0.48560000000000003</x:v>
      </x:c>
      <x:c r="J1124" s="4" t="n">
        <x:v>767</x:v>
      </x:c>
      <x:c r="K1124" s="4" t="n">
        <x:v>419</x:v>
      </x:c>
      <x:c r="L1124" s="4" t="n">
        <x:v>489</x:v>
      </x:c>
      <x:c r="M1124" s="4" t="n">
        <x:v>284</x:v>
      </x:c>
      <x:c r="N1124" s="4" t="n">
        <x:v>278</x:v>
      </x:c>
      <x:c r="O1124" s="4" t="n">
        <x:v>135</x:v>
      </x:c>
      <x:c r="P1124" s="1" t="str">
        <x:v>PASS</x:v>
      </x:c>
      <x:c r="Q1124" s="4" t="n">
        <x:v>0</x:v>
      </x:c>
      <x:c r="R1124" s="1" t="str">
        <x:v>PASS</x:v>
      </x:c>
      <x:c r="S1124" s="4" t="n">
        <x:v>0</x:v>
      </x:c>
      <x:c r="T1124" s="1" t="str">
        <x:v>NOT_REVEALING</x:v>
      </x:c>
      <x:c r="U1124" s="1" t="str">
        <x:v>Collections_12</x:v>
      </x:c>
      <x:c r="V1124" s="6" t="n">
        <x:v>53.2</x:v>
      </x:c>
    </x:row>
    <x:row r="1125" ht="22" customHeight="1">
      <x:c r="A1125" s="1" t="str">
        <x:v>Round2</x:v>
      </x:c>
      <x:c r="B1125" s="1" t="str">
        <x:v>Collections</x:v>
      </x:c>
      <x:c r="C1125" s="4" t="n">
        <x:v>13</x:v>
      </x:c>
      <x:c r="D1125" s="4" t="n">
        <x:v>20260928</x:v>
      </x:c>
      <x:c r="E1125" s="4" t="n">
        <x:v>60</x:v>
      </x:c>
      <x:c r="F1125" s="4" t="n">
        <x:v>3153</x:v>
      </x:c>
      <x:c r="G1125" s="5" t="n">
        <x:v>0.5495</x:v>
      </x:c>
      <x:c r="H1125" s="5" t="n">
        <x:v>0.5837</x:v>
      </x:c>
      <x:c r="I1125" s="5" t="n">
        <x:v>0.4892</x:v>
      </x:c>
      <x:c r="J1125" s="4" t="n">
        <x:v>768</x:v>
      </x:c>
      <x:c r="K1125" s="4" t="n">
        <x:v>422</x:v>
      </x:c>
      <x:c r="L1125" s="4" t="n">
        <x:v>490</x:v>
      </x:c>
      <x:c r="M1125" s="4" t="n">
        <x:v>286</x:v>
      </x:c>
      <x:c r="N1125" s="4" t="n">
        <x:v>278</x:v>
      </x:c>
      <x:c r="O1125" s="4" t="n">
        <x:v>136</x:v>
      </x:c>
      <x:c r="P1125" s="1" t="str">
        <x:v>PASS</x:v>
      </x:c>
      <x:c r="Q1125" s="4" t="n">
        <x:v>0</x:v>
      </x:c>
      <x:c r="R1125" s="1" t="str">
        <x:v>PASS</x:v>
      </x:c>
      <x:c r="S1125" s="4" t="n">
        <x:v>0</x:v>
      </x:c>
      <x:c r="T1125" s="1" t="str">
        <x:v>NOT_REVEALING</x:v>
      </x:c>
      <x:c r="U1125" s="1" t="str">
        <x:v>Collections_13</x:v>
      </x:c>
      <x:c r="V1125" s="6" t="n">
        <x:v>54.67</x:v>
      </x:c>
    </x:row>
    <x:row r="1126" ht="22" customHeight="1">
      <x:c r="A1126" s="1" t="str">
        <x:v>Round2</x:v>
      </x:c>
      <x:c r="B1126" s="1" t="str">
        <x:v>Collections</x:v>
      </x:c>
      <x:c r="C1126" s="4" t="n">
        <x:v>14</x:v>
      </x:c>
      <x:c r="D1126" s="4" t="n">
        <x:v>20260928</x:v>
      </x:c>
      <x:c r="E1126" s="4" t="n">
        <x:v>60</x:v>
      </x:c>
      <x:c r="F1126" s="4" t="n">
        <x:v>2114</x:v>
      </x:c>
      <x:c r="G1126" s="5" t="n">
        <x:v>0.7</x:v>
      </x:c>
      <x:c r="H1126" s="5" t="n">
        <x:v>0.6667000000000001</x:v>
      </x:c>
      <x:c r="I1126" s="5" t="n">
        <x:v>1</x:v>
      </x:c>
      <x:c r="J1126" s="4" t="n">
        <x:v>20</x:v>
      </x:c>
      <x:c r="K1126" s="4" t="n">
        <x:v>14</x:v>
      </x:c>
      <x:c r="L1126" s="4" t="n">
        <x:v>18</x:v>
      </x:c>
      <x:c r="M1126" s="4" t="n">
        <x:v>12</x:v>
      </x:c>
      <x:c r="N1126" s="4" t="n">
        <x:v>2</x:v>
      </x:c>
      <x:c r="O1126" s="4" t="n">
        <x:v>2</x:v>
      </x:c>
      <x:c r="P1126" s="1" t="str">
        <x:v>PASS</x:v>
      </x:c>
      <x:c r="Q1126" s="4" t="n">
        <x:v>0</x:v>
      </x:c>
      <x:c r="R1126" s="1" t="str">
        <x:v>PASS</x:v>
      </x:c>
      <x:c r="S1126" s="4" t="n">
        <x:v>0</x:v>
      </x:c>
      <x:c r="T1126" s="1" t="str">
        <x:v>NOT_REVEALING</x:v>
      </x:c>
      <x:c r="U1126" s="1" t="str">
        <x:v>Collections_14</x:v>
      </x:c>
      <x:c r="V1126" s="6" t="n">
        <x:v>60.34</x:v>
      </x:c>
    </x:row>
    <x:row r="1127" ht="22" customHeight="1">
      <x:c r="A1127" s="1" t="str">
        <x:v>Round2</x:v>
      </x:c>
      <x:c r="B1127" s="1" t="str">
        <x:v>Collections</x:v>
      </x:c>
      <x:c r="C1127" s="4" t="n">
        <x:v>15</x:v>
      </x:c>
      <x:c r="D1127" s="4" t="n">
        <x:v>20260928</x:v>
      </x:c>
      <x:c r="E1127" s="4" t="n">
        <x:v>60</x:v>
      </x:c>
      <x:c r="F1127" s="4" t="n">
        <x:v>5</x:v>
      </x:c>
      <x:c r="G1127" s="5" t="n">
        <x:v>0.0556</x:v>
      </x:c>
      <x:c r="H1127" s="5" t="n">
        <x:v>0.0581</x:v>
      </x:c>
      <x:c r="I1127" s="5" t="n">
        <x:v>0.0455</x:v>
      </x:c>
      <x:c r="J1127" s="4" t="n">
        <x:v>108</x:v>
      </x:c>
      <x:c r="K1127" s="4" t="n">
        <x:v>6</x:v>
      </x:c>
      <x:c r="L1127" s="4" t="n">
        <x:v>86</x:v>
      </x:c>
      <x:c r="M1127" s="4" t="n">
        <x:v>5</x:v>
      </x:c>
      <x:c r="N1127" s="4" t="n">
        <x:v>22</x:v>
      </x:c>
      <x:c r="O1127" s="4" t="n">
        <x:v>1</x:v>
      </x:c>
      <x:c r="P1127" s="1" t="str">
        <x:v>PASS</x:v>
      </x:c>
      <x:c r="Q1127" s="4" t="n">
        <x:v>0</x:v>
      </x:c>
      <x:c r="R1127" s="1" t="str">
        <x:v>PASS</x:v>
      </x:c>
      <x:c r="S1127" s="4" t="n">
        <x:v>0</x:v>
      </x:c>
      <x:c r="T1127" s="1" t="str">
        <x:v>NOT_REVEALING</x:v>
      </x:c>
      <x:c r="U1127" s="1" t="str">
        <x:v>Collections_15</x:v>
      </x:c>
      <x:c r="V1127" s="6" t="n">
        <x:v>25.25</x:v>
      </x:c>
    </x:row>
    <x:row r="1128" ht="22" customHeight="1">
      <x:c r="A1128" s="1" t="str">
        <x:v>Round2</x:v>
      </x:c>
      <x:c r="B1128" s="1" t="str">
        <x:v>Collections</x:v>
      </x:c>
      <x:c r="C1128" s="4" t="n">
        <x:v>16</x:v>
      </x:c>
      <x:c r="D1128" s="4" t="n">
        <x:v>20260928</x:v>
      </x:c>
      <x:c r="E1128" s="4" t="n">
        <x:v>60</x:v>
      </x:c>
      <x:c r="F1128" s="4" t="n">
        <x:v>5</x:v>
      </x:c>
      <x:c r="G1128" s="5" t="n">
        <x:v>0.0556</x:v>
      </x:c>
      <x:c r="H1128" s="5" t="n">
        <x:v>0.0581</x:v>
      </x:c>
      <x:c r="I1128" s="5" t="n">
        <x:v>0.0455</x:v>
      </x:c>
      <x:c r="J1128" s="4" t="n">
        <x:v>108</x:v>
      </x:c>
      <x:c r="K1128" s="4" t="n">
        <x:v>6</x:v>
      </x:c>
      <x:c r="L1128" s="4" t="n">
        <x:v>86</x:v>
      </x:c>
      <x:c r="M1128" s="4" t="n">
        <x:v>5</x:v>
      </x:c>
      <x:c r="N1128" s="4" t="n">
        <x:v>22</x:v>
      </x:c>
      <x:c r="O1128" s="4" t="n">
        <x:v>1</x:v>
      </x:c>
      <x:c r="P1128" s="1" t="str">
        <x:v>PASS</x:v>
      </x:c>
      <x:c r="Q1128" s="4" t="n">
        <x:v>0</x:v>
      </x:c>
      <x:c r="R1128" s="1" t="str">
        <x:v>PASS</x:v>
      </x:c>
      <x:c r="S1128" s="4" t="n">
        <x:v>0</x:v>
      </x:c>
      <x:c r="T1128" s="1" t="str">
        <x:v>NOT_REVEALING</x:v>
      </x:c>
      <x:c r="U1128" s="1" t="str">
        <x:v>Collections_16</x:v>
      </x:c>
      <x:c r="V1128" s="6" t="n">
        <x:v>25.24</x:v>
      </x:c>
    </x:row>
    <x:row r="1129" ht="22" customHeight="1">
      <x:c r="A1129" s="1" t="str">
        <x:v>Round2</x:v>
      </x:c>
      <x:c r="B1129" s="1" t="str">
        <x:v>Collections</x:v>
      </x:c>
      <x:c r="C1129" s="4" t="n">
        <x:v>17</x:v>
      </x:c>
      <x:c r="D1129" s="4" t="n">
        <x:v>20260928</x:v>
      </x:c>
      <x:c r="E1129" s="4" t="n">
        <x:v>60</x:v>
      </x:c>
      <x:c r="F1129" s="4" t="n">
        <x:v>3455</x:v>
      </x:c>
      <x:c r="G1129" s="5" t="n">
        <x:v>0.7222</x:v>
      </x:c>
      <x:c r="H1129" s="5" t="n">
        <x:v>0.7857</x:v>
      </x:c>
      <x:c r="I1129" s="5" t="n">
        <x:v>0.5</x:v>
      </x:c>
      <x:c r="J1129" s="4" t="n">
        <x:v>18</x:v>
      </x:c>
      <x:c r="K1129" s="4" t="n">
        <x:v>13</x:v>
      </x:c>
      <x:c r="L1129" s="4" t="n">
        <x:v>14</x:v>
      </x:c>
      <x:c r="M1129" s="4" t="n">
        <x:v>11</x:v>
      </x:c>
      <x:c r="N1129" s="4" t="n">
        <x:v>4</x:v>
      </x:c>
      <x:c r="O1129" s="4" t="n">
        <x:v>2</x:v>
      </x:c>
      <x:c r="P1129" s="1" t="str">
        <x:v>PASS</x:v>
      </x:c>
      <x:c r="Q1129" s="4" t="n">
        <x:v>0</x:v>
      </x:c>
      <x:c r="R1129" s="1" t="str">
        <x:v>FAIL</x:v>
      </x:c>
      <x:c r="S1129" s="4" t="n">
        <x:v>172</x:v>
      </x:c>
      <x:c r="T1129" s="1" t="str">
        <x:v>INCONCLUSIVE</x:v>
      </x:c>
      <x:c r="U1129" s="1" t="str">
        <x:v>Collections_17</x:v>
      </x:c>
      <x:c r="V1129" s="6" t="n">
        <x:v>59.5</x:v>
      </x:c>
    </x:row>
    <x:row r="1130" ht="22" customHeight="1">
      <x:c r="A1130" s="1" t="str">
        <x:v>Round2</x:v>
      </x:c>
      <x:c r="B1130" s="1" t="str">
        <x:v>Collections</x:v>
      </x:c>
      <x:c r="C1130" s="4" t="n">
        <x:v>18</x:v>
      </x:c>
      <x:c r="D1130" s="4" t="n">
        <x:v>20260928</x:v>
      </x:c>
      <x:c r="E1130" s="4" t="n">
        <x:v>60</x:v>
      </x:c>
      <x:c r="F1130" s="4" t="n">
        <x:v>1152</x:v>
      </x:c>
      <x:c r="G1130" s="5" t="n">
        <x:v>0.9457</x:v>
      </x:c>
      <x:c r="H1130" s="5" t="n">
        <x:v>0.9247</x:v>
      </x:c>
      <x:c r="I1130" s="5" t="n">
        <x:v>1</x:v>
      </x:c>
      <x:c r="J1130" s="4" t="n">
        <x:v>129</x:v>
      </x:c>
      <x:c r="K1130" s="4" t="n">
        <x:v>122</x:v>
      </x:c>
      <x:c r="L1130" s="4" t="n">
        <x:v>93</x:v>
      </x:c>
      <x:c r="M1130" s="4" t="n">
        <x:v>86</x:v>
      </x:c>
      <x:c r="N1130" s="4" t="n">
        <x:v>36</x:v>
      </x:c>
      <x:c r="O1130" s="4" t="n">
        <x:v>36</x:v>
      </x:c>
      <x:c r="P1130" s="1" t="str">
        <x:v>FAIL</x:v>
      </x:c>
      <x:c r="Q1130" s="4" t="n">
        <x:v>90</x:v>
      </x:c>
      <x:c r="R1130" s="1" t="str">
        <x:v>FAIL</x:v>
      </x:c>
      <x:c r="S1130" s="4" t="n">
        <x:v>90</x:v>
      </x:c>
      <x:c r="T1130" s="1" t="str">
        <x:v>INCONCLUSIVE</x:v>
      </x:c>
      <x:c r="U1130" s="1" t="str">
        <x:v>Collections_18</x:v>
      </x:c>
      <x:c r="V1130" s="6" t="n">
        <x:v>58.96</x:v>
      </x:c>
    </x:row>
    <x:row r="1131" ht="22" customHeight="1">
      <x:c r="A1131" s="1" t="str">
        <x:v>Round2</x:v>
      </x:c>
      <x:c r="B1131" s="1" t="str">
        <x:v>Collections</x:v>
      </x:c>
      <x:c r="C1131" s="4" t="n">
        <x:v>19</x:v>
      </x:c>
      <x:c r="D1131" s="4" t="n">
        <x:v>20260928</x:v>
      </x:c>
      <x:c r="E1131" s="4" t="n">
        <x:v>60</x:v>
      </x:c>
      <x:c r="F1131" s="4" t="n">
        <x:v>1611</x:v>
      </x:c>
      <x:c r="G1131" s="5" t="n">
        <x:v>0.8912</x:v>
      </x:c>
      <x:c r="H1131" s="5" t="n">
        <x:v>0.9174</x:v>
      </x:c>
      <x:c r="I1131" s="5" t="n">
        <x:v>0.8158</x:v>
      </x:c>
      <x:c r="J1131" s="4" t="n">
        <x:v>147</x:v>
      </x:c>
      <x:c r="K1131" s="4" t="n">
        <x:v>131</x:v>
      </x:c>
      <x:c r="L1131" s="4" t="n">
        <x:v>109</x:v>
      </x:c>
      <x:c r="M1131" s="4" t="n">
        <x:v>100</x:v>
      </x:c>
      <x:c r="N1131" s="4" t="n">
        <x:v>38</x:v>
      </x:c>
      <x:c r="O1131" s="4" t="n">
        <x:v>31</x:v>
      </x:c>
      <x:c r="P1131" s="1" t="str">
        <x:v>PASS</x:v>
      </x:c>
      <x:c r="Q1131" s="4" t="n">
        <x:v>0</x:v>
      </x:c>
      <x:c r="R1131" s="1" t="str">
        <x:v>PASS</x:v>
      </x:c>
      <x:c r="S1131" s="4" t="n">
        <x:v>0</x:v>
      </x:c>
      <x:c r="T1131" s="1" t="str">
        <x:v>NOT_REVEALING</x:v>
      </x:c>
      <x:c r="U1131" s="1" t="str">
        <x:v>Collections_19</x:v>
      </x:c>
      <x:c r="V1131" s="6" t="n">
        <x:v>61.62</x:v>
      </x:c>
    </x:row>
    <x:row r="1132" ht="22" customHeight="1">
      <x:c r="A1132" s="1" t="str">
        <x:v>Round2</x:v>
      </x:c>
      <x:c r="B1132" s="1" t="str">
        <x:v>Collections</x:v>
      </x:c>
      <x:c r="C1132" s="4" t="n">
        <x:v>20</x:v>
      </x:c>
      <x:c r="D1132" s="4" t="n">
        <x:v>20260928</x:v>
      </x:c>
      <x:c r="E1132" s="4" t="n">
        <x:v>60</x:v>
      </x:c>
      <x:c r="F1132" s="4" t="n">
        <x:v>2200</x:v>
      </x:c>
      <x:c r="G1132" s="5" t="n">
        <x:v>0.9083</x:v>
      </x:c>
      <x:c r="H1132" s="5" t="n">
        <x:v>0.9454</x:v>
      </x:c>
      <x:c r="I1132" s="5" t="n">
        <x:v>0.8377</x:v>
      </x:c>
      <x:c r="J1132" s="4" t="n">
        <x:v>447</x:v>
      </x:c>
      <x:c r="K1132" s="4" t="n">
        <x:v>406</x:v>
      </x:c>
      <x:c r="L1132" s="4" t="n">
        <x:v>293</x:v>
      </x:c>
      <x:c r="M1132" s="4" t="n">
        <x:v>277</x:v>
      </x:c>
      <x:c r="N1132" s="4" t="n">
        <x:v>154</x:v>
      </x:c>
      <x:c r="O1132" s="4" t="n">
        <x:v>129</x:v>
      </x:c>
      <x:c r="P1132" s="1" t="str">
        <x:v>FAIL</x:v>
      </x:c>
      <x:c r="Q1132" s="4" t="n">
        <x:v>128</x:v>
      </x:c>
      <x:c r="R1132" s="1" t="str">
        <x:v>FAIL</x:v>
      </x:c>
      <x:c r="S1132" s="4" t="n">
        <x:v>128</x:v>
      </x:c>
      <x:c r="T1132" s="1" t="str">
        <x:v>INCONCLUSIVE</x:v>
      </x:c>
      <x:c r="U1132" s="1" t="str">
        <x:v>Collections_20</x:v>
      </x:c>
      <x:c r="V1132" s="6" t="n">
        <x:v>67.22</x:v>
      </x:c>
    </x:row>
    <x:row r="1133" ht="22" customHeight="1">
      <x:c r="A1133" s="1" t="str">
        <x:v>Round2</x:v>
      </x:c>
      <x:c r="B1133" s="1" t="str">
        <x:v>Collections</x:v>
      </x:c>
      <x:c r="C1133" s="4" t="n">
        <x:v>21</x:v>
      </x:c>
      <x:c r="D1133" s="4" t="n">
        <x:v>20260928</x:v>
      </x:c>
      <x:c r="E1133" s="4" t="n">
        <x:v>60</x:v>
      </x:c>
      <x:c r="F1133" s="4" t="n">
        <x:v>1585</x:v>
      </x:c>
      <x:c r="G1133" s="5" t="n">
        <x:v>0.8912</x:v>
      </x:c>
      <x:c r="H1133" s="5" t="n">
        <x:v>0.9174</x:v>
      </x:c>
      <x:c r="I1133" s="5" t="n">
        <x:v>0.8158</x:v>
      </x:c>
      <x:c r="J1133" s="4" t="n">
        <x:v>147</x:v>
      </x:c>
      <x:c r="K1133" s="4" t="n">
        <x:v>131</x:v>
      </x:c>
      <x:c r="L1133" s="4" t="n">
        <x:v>109</x:v>
      </x:c>
      <x:c r="M1133" s="4" t="n">
        <x:v>100</x:v>
      </x:c>
      <x:c r="N1133" s="4" t="n">
        <x:v>38</x:v>
      </x:c>
      <x:c r="O1133" s="4" t="n">
        <x:v>31</x:v>
      </x:c>
      <x:c r="P1133" s="1" t="str">
        <x:v>PASS</x:v>
      </x:c>
      <x:c r="Q1133" s="4" t="n">
        <x:v>0</x:v>
      </x:c>
      <x:c r="R1133" s="1" t="str">
        <x:v>PASS</x:v>
      </x:c>
      <x:c r="S1133" s="4" t="n">
        <x:v>0</x:v>
      </x:c>
      <x:c r="T1133" s="1" t="str">
        <x:v>NOT_REVEALING</x:v>
      </x:c>
      <x:c r="U1133" s="1" t="str">
        <x:v>Collections_21</x:v>
      </x:c>
      <x:c r="V1133" s="6" t="n">
        <x:v>62.63</x:v>
      </x:c>
    </x:row>
    <x:row r="1134" ht="22" customHeight="1">
      <x:c r="A1134" s="1" t="str">
        <x:v>Round2</x:v>
      </x:c>
      <x:c r="B1134" s="1" t="str">
        <x:v>Collections</x:v>
      </x:c>
      <x:c r="C1134" s="4" t="n">
        <x:v>22</x:v>
      </x:c>
      <x:c r="D1134" s="4" t="n">
        <x:v>20260928</x:v>
      </x:c>
      <x:c r="E1134" s="4" t="n">
        <x:v>60</x:v>
      </x:c>
      <x:c r="F1134" s="4" t="n">
        <x:v>1632</x:v>
      </x:c>
      <x:c r="G1134" s="5" t="n">
        <x:v>0.4534</x:v>
      </x:c>
      <x:c r="H1134" s="5" t="n">
        <x:v>0.5128</x:v>
      </x:c>
      <x:c r="I1134" s="5" t="n">
        <x:v>0.23079999999999998</x:v>
      </x:c>
      <x:c r="J1134" s="4" t="n">
        <x:v>247</x:v>
      </x:c>
      <x:c r="K1134" s="4" t="n">
        <x:v>112</x:v>
      </x:c>
      <x:c r="L1134" s="4" t="n">
        <x:v>195</x:v>
      </x:c>
      <x:c r="M1134" s="4" t="n">
        <x:v>100</x:v>
      </x:c>
      <x:c r="N1134" s="4" t="n">
        <x:v>52</x:v>
      </x:c>
      <x:c r="O1134" s="4" t="n">
        <x:v>12</x:v>
      </x:c>
      <x:c r="P1134" s="1" t="str">
        <x:v>PASS</x:v>
      </x:c>
      <x:c r="Q1134" s="4" t="n">
        <x:v>0</x:v>
      </x:c>
      <x:c r="R1134" s="1" t="str">
        <x:v>PASS</x:v>
      </x:c>
      <x:c r="S1134" s="4" t="n">
        <x:v>0</x:v>
      </x:c>
      <x:c r="T1134" s="1" t="str">
        <x:v>NOT_REVEALING</x:v>
      </x:c>
      <x:c r="U1134" s="1" t="str">
        <x:v>Collections_22</x:v>
      </x:c>
      <x:c r="V1134" s="6" t="n">
        <x:v>63.09</x:v>
      </x:c>
    </x:row>
    <x:row r="1135" ht="22" customHeight="1">
      <x:c r="A1135" s="1" t="str">
        <x:v>Round2</x:v>
      </x:c>
      <x:c r="B1135" s="1" t="str">
        <x:v>Collections</x:v>
      </x:c>
      <x:c r="C1135" s="4" t="n">
        <x:v>23</x:v>
      </x:c>
      <x:c r="D1135" s="4" t="n">
        <x:v>20260928</x:v>
      </x:c>
      <x:c r="E1135" s="4" t="n">
        <x:v>60</x:v>
      </x:c>
      <x:c r="F1135" s="4" t="n">
        <x:v>1</x:v>
      </x:c>
      <x:c r="G1135" s="5" t="n">
        <x:v>0</x:v>
      </x:c>
      <x:c r="H1135" s="5" t="n">
        <x:v>0</x:v>
      </x:c>
      <x:c r="I1135" s="5" t="n">
        <x:v>0</x:v>
      </x:c>
      <x:c r="J1135" s="4" t="n">
        <x:v>36</x:v>
      </x:c>
      <x:c r="K1135" s="4" t="n">
        <x:v>0</x:v>
      </x:c>
      <x:c r="L1135" s="4" t="n">
        <x:v>34</x:v>
      </x:c>
      <x:c r="M1135" s="4" t="n">
        <x:v>0</x:v>
      </x:c>
      <x:c r="N1135" s="4" t="n">
        <x:v>2</x:v>
      </x:c>
      <x:c r="O1135" s="4" t="n">
        <x:v>0</x:v>
      </x:c>
      <x:c r="P1135" s="1" t="str">
        <x:v>PASS</x:v>
      </x:c>
      <x:c r="Q1135" s="4" t="n">
        <x:v>0</x:v>
      </x:c>
      <x:c r="R1135" s="1" t="str">
        <x:v>PASS</x:v>
      </x:c>
      <x:c r="S1135" s="4" t="n">
        <x:v>0</x:v>
      </x:c>
      <x:c r="T1135" s="1" t="str">
        <x:v>NOT_REVEALING</x:v>
      </x:c>
      <x:c r="U1135" s="1" t="str">
        <x:v>Collections_23</x:v>
      </x:c>
      <x:c r="V1135" s="6" t="n">
        <x:v>28.13</x:v>
      </x:c>
    </x:row>
    <x:row r="1136" ht="22" customHeight="1">
      <x:c r="A1136" s="1" t="str">
        <x:v>Round2</x:v>
      </x:c>
      <x:c r="B1136" s="1" t="str">
        <x:v>Collections</x:v>
      </x:c>
      <x:c r="C1136" s="4" t="n">
        <x:v>24</x:v>
      </x:c>
      <x:c r="D1136" s="4" t="n">
        <x:v>20260928</x:v>
      </x:c>
      <x:c r="E1136" s="4" t="n">
        <x:v>60</x:v>
      </x:c>
      <x:c r="F1136" s="4" t="n">
        <x:v>1</x:v>
      </x:c>
      <x:c r="G1136" s="5" t="n">
        <x:v>0</x:v>
      </x:c>
      <x:c r="H1136" s="5" t="n">
        <x:v>0</x:v>
      </x:c>
      <x:c r="I1136" s="5" t="n">
        <x:v>0</x:v>
      </x:c>
      <x:c r="J1136" s="4" t="n">
        <x:v>38</x:v>
      </x:c>
      <x:c r="K1136" s="4" t="n">
        <x:v>0</x:v>
      </x:c>
      <x:c r="L1136" s="4" t="n">
        <x:v>26</x:v>
      </x:c>
      <x:c r="M1136" s="4" t="n">
        <x:v>0</x:v>
      </x:c>
      <x:c r="N1136" s="4" t="n">
        <x:v>12</x:v>
      </x:c>
      <x:c r="O1136" s="4" t="n">
        <x:v>0</x:v>
      </x:c>
      <x:c r="P1136" s="1" t="str">
        <x:v>PASS</x:v>
      </x:c>
      <x:c r="Q1136" s="4" t="n">
        <x:v>0</x:v>
      </x:c>
      <x:c r="R1136" s="1" t="str">
        <x:v>PASS</x:v>
      </x:c>
      <x:c r="S1136" s="4" t="n">
        <x:v>0</x:v>
      </x:c>
      <x:c r="T1136" s="1" t="str">
        <x:v>NOT_REVEALING</x:v>
      </x:c>
      <x:c r="U1136" s="1" t="str">
        <x:v>Collections_24</x:v>
      </x:c>
      <x:c r="V1136" s="6" t="n">
        <x:v>25.61</x:v>
      </x:c>
    </x:row>
    <x:row r="1137" ht="22" customHeight="1">
      <x:c r="A1137" s="1" t="str">
        <x:v>Round2</x:v>
      </x:c>
      <x:c r="B1137" s="1" t="str">
        <x:v>Collections</x:v>
      </x:c>
      <x:c r="C1137" s="4" t="n">
        <x:v>25</x:v>
      </x:c>
      <x:c r="D1137" s="4" t="n">
        <x:v>20260928</x:v>
      </x:c>
      <x:c r="E1137" s="4" t="n">
        <x:v>60</x:v>
      </x:c>
      <x:c r="F1137" s="4" t="n">
        <x:v>4247</x:v>
      </x:c>
      <x:c r="G1137" s="5" t="n">
        <x:v>0.1888</x:v>
      </x:c>
      <x:c r="H1137" s="5" t="n">
        <x:v>0.23</x:v>
      </x:c>
      <x:c r="I1137" s="5" t="n">
        <x:v>0.11900000000000001</x:v>
      </x:c>
      <x:c r="J1137" s="4" t="n">
        <x:v>339</x:v>
      </x:c>
      <x:c r="K1137" s="4" t="n">
        <x:v>64</x:v>
      </x:c>
      <x:c r="L1137" s="4" t="n">
        <x:v>213</x:v>
      </x:c>
      <x:c r="M1137" s="4" t="n">
        <x:v>49</x:v>
      </x:c>
      <x:c r="N1137" s="4" t="n">
        <x:v>126</x:v>
      </x:c>
      <x:c r="O1137" s="4" t="n">
        <x:v>15</x:v>
      </x:c>
      <x:c r="P1137" s="1" t="str">
        <x:v>PASS</x:v>
      </x:c>
      <x:c r="Q1137" s="4" t="n">
        <x:v>0</x:v>
      </x:c>
      <x:c r="R1137" s="1" t="str">
        <x:v>PASS</x:v>
      </x:c>
      <x:c r="S1137" s="4" t="n">
        <x:v>0</x:v>
      </x:c>
      <x:c r="T1137" s="1" t="str">
        <x:v>NOT_REVEALING</x:v>
      </x:c>
      <x:c r="U1137" s="1" t="str">
        <x:v>Collections_25</x:v>
      </x:c>
      <x:c r="V1137" s="6" t="n">
        <x:v>70.94</x:v>
      </x:c>
    </x:row>
    <x:row r="1138" ht="22" customHeight="1">
      <x:c r="A1138" s="1" t="str">
        <x:v>Round2</x:v>
      </x:c>
      <x:c r="B1138" s="1" t="str">
        <x:v>Collections</x:v>
      </x:c>
      <x:c r="C1138" s="4" t="n">
        <x:v>26</x:v>
      </x:c>
      <x:c r="D1138" s="4" t="n">
        <x:v>20260928</x:v>
      </x:c>
      <x:c r="E1138" s="4" t="n">
        <x:v>60</x:v>
      </x:c>
      <x:c r="F1138" s="4" t="n">
        <x:v>2634</x:v>
      </x:c>
      <x:c r="G1138" s="5" t="n">
        <x:v>0.9184</x:v>
      </x:c>
      <x:c r="H1138" s="5" t="n">
        <x:v>0.9189</x:v>
      </x:c>
      <x:c r="I1138" s="5" t="n">
        <x:v>0.9167000000000001</x:v>
      </x:c>
      <x:c r="J1138" s="4" t="n">
        <x:v>49</x:v>
      </x:c>
      <x:c r="K1138" s="4" t="n">
        <x:v>45</x:v>
      </x:c>
      <x:c r="L1138" s="4" t="n">
        <x:v>37</x:v>
      </x:c>
      <x:c r="M1138" s="4" t="n">
        <x:v>34</x:v>
      </x:c>
      <x:c r="N1138" s="4" t="n">
        <x:v>12</x:v>
      </x:c>
      <x:c r="O1138" s="4" t="n">
        <x:v>11</x:v>
      </x:c>
      <x:c r="P1138" s="1" t="str">
        <x:v>PASS</x:v>
      </x:c>
      <x:c r="Q1138" s="4" t="n">
        <x:v>0</x:v>
      </x:c>
      <x:c r="R1138" s="1" t="str">
        <x:v>PASS</x:v>
      </x:c>
      <x:c r="S1138" s="4" t="n">
        <x:v>0</x:v>
      </x:c>
      <x:c r="T1138" s="1" t="str">
        <x:v>NOT_REVEALING</x:v>
      </x:c>
      <x:c r="U1138" s="1" t="str">
        <x:v>Collections_26</x:v>
      </x:c>
      <x:c r="V1138" s="6" t="n">
        <x:v>55.98</x:v>
      </x:c>
    </x:row>
    <x:row r="1139" ht="22" customHeight="1">
      <x:c r="A1139" s="1" t="str">
        <x:v>Round2</x:v>
      </x:c>
      <x:c r="B1139" s="1" t="str">
        <x:v>Collections</x:v>
      </x:c>
      <x:c r="C1139" s="4" t="n">
        <x:v>27</x:v>
      </x:c>
      <x:c r="D1139" s="4" t="n">
        <x:v>20260928</x:v>
      </x:c>
      <x:c r="E1139" s="4" t="n">
        <x:v>60</x:v>
      </x:c>
      <x:c r="F1139" s="4" t="n">
        <x:v>808</x:v>
      </x:c>
      <x:c r="G1139" s="5" t="n">
        <x:v>0.6836</x:v>
      </x:c>
      <x:c r="H1139" s="5" t="n">
        <x:v>0.6929000000000001</x:v>
      </x:c>
      <x:c r="I1139" s="5" t="n">
        <x:v>0.66</x:v>
      </x:c>
      <x:c r="J1139" s="4" t="n">
        <x:v>177</x:v>
      </x:c>
      <x:c r="K1139" s="4" t="n">
        <x:v>121</x:v>
      </x:c>
      <x:c r="L1139" s="4" t="n">
        <x:v>127</x:v>
      </x:c>
      <x:c r="M1139" s="4" t="n">
        <x:v>88</x:v>
      </x:c>
      <x:c r="N1139" s="4" t="n">
        <x:v>50</x:v>
      </x:c>
      <x:c r="O1139" s="4" t="n">
        <x:v>33</x:v>
      </x:c>
      <x:c r="P1139" s="1" t="str">
        <x:v>PASS</x:v>
      </x:c>
      <x:c r="Q1139" s="4" t="n">
        <x:v>0</x:v>
      </x:c>
      <x:c r="R1139" s="1" t="str">
        <x:v>PASS</x:v>
      </x:c>
      <x:c r="S1139" s="4" t="n">
        <x:v>0</x:v>
      </x:c>
      <x:c r="T1139" s="1" t="str">
        <x:v>NOT_REVEALING</x:v>
      </x:c>
      <x:c r="U1139" s="1" t="str">
        <x:v>Collections_27</x:v>
      </x:c>
      <x:c r="V1139" s="6" t="n">
        <x:v>54.72</x:v>
      </x:c>
    </x:row>
    <x:row r="1140" ht="22" customHeight="1">
      <x:c r="A1140" s="1" t="str">
        <x:v>Round2</x:v>
      </x:c>
      <x:c r="B1140" s="1" t="str">
        <x:v>Collections</x:v>
      </x:c>
      <x:c r="C1140" s="4" t="n">
        <x:v>28</x:v>
      </x:c>
      <x:c r="D1140" s="4" t="n">
        <x:v>20260928</x:v>
      </x:c>
      <x:c r="E1140" s="4" t="n">
        <x:v>60</x:v>
      </x:c>
      <x:c r="F1140" s="4" t="n">
        <x:v>3109</x:v>
      </x:c>
      <x:c r="G1140" s="5" t="n">
        <x:v>0.0432</x:v>
      </x:c>
      <x:c r="H1140" s="5" t="n">
        <x:v>0.0462</x:v>
      </x:c>
      <x:c r="I1140" s="5" t="n">
        <x:v>0.0387</x:v>
      </x:c>
      <x:c r="J1140" s="4" t="n">
        <x:v>1365</x:v>
      </x:c>
      <x:c r="K1140" s="4" t="n">
        <x:v>59</x:v>
      </x:c>
      <x:c r="L1140" s="4" t="n">
        <x:v>823</x:v>
      </x:c>
      <x:c r="M1140" s="4" t="n">
        <x:v>38</x:v>
      </x:c>
      <x:c r="N1140" s="4" t="n">
        <x:v>542</x:v>
      </x:c>
      <x:c r="O1140" s="4" t="n">
        <x:v>21</x:v>
      </x:c>
      <x:c r="P1140" s="1" t="str">
        <x:v>PASS</x:v>
      </x:c>
      <x:c r="Q1140" s="4" t="n">
        <x:v>0</x:v>
      </x:c>
      <x:c r="R1140" s="1" t="str">
        <x:v>PASS</x:v>
      </x:c>
      <x:c r="S1140" s="4" t="n">
        <x:v>0</x:v>
      </x:c>
      <x:c r="T1140" s="1" t="str">
        <x:v>NOT_REVEALING</x:v>
      </x:c>
      <x:c r="U1140" s="1" t="str">
        <x:v>Collections_28</x:v>
      </x:c>
      <x:c r="V1140" s="6" t="n">
        <x:v>75.94</x:v>
      </x:c>
    </x:row>
    <x:row r="1141" ht="22" customHeight="1">
      <x:c r="A1141" s="1" t="str">
        <x:v>Round2</x:v>
      </x:c>
      <x:c r="B1141" s="1" t="str">
        <x:v>Compress</x:v>
      </x:c>
      <x:c r="C1141" s="4" t="n">
        <x:v>1</x:v>
      </x:c>
      <x:c r="D1141" s="4" t="n">
        <x:v>20260928</x:v>
      </x:c>
      <x:c r="E1141" s="4" t="n">
        <x:v>60</x:v>
      </x:c>
      <x:c r="F1141" s="4" t="n">
        <x:v>6227</x:v>
      </x:c>
      <x:c r="G1141" s="5" t="n">
        <x:v>0.7981999999999999</x:v>
      </x:c>
      <x:c r="H1141" s="5" t="n">
        <x:v>0.8476</x:v>
      </x:c>
      <x:c r="I1141" s="5" t="n">
        <x:v>0.6609999999999999</x:v>
      </x:c>
      <x:c r="J1141" s="4" t="n">
        <x:v>223</x:v>
      </x:c>
      <x:c r="K1141" s="4" t="n">
        <x:v>178</x:v>
      </x:c>
      <x:c r="L1141" s="4" t="n">
        <x:v>164</x:v>
      </x:c>
      <x:c r="M1141" s="4" t="n">
        <x:v>139</x:v>
      </x:c>
      <x:c r="N1141" s="4" t="n">
        <x:v>59</x:v>
      </x:c>
      <x:c r="O1141" s="4" t="n">
        <x:v>39</x:v>
      </x:c>
      <x:c r="P1141" s="1" t="str">
        <x:v>FAIL</x:v>
      </x:c>
      <x:c r="Q1141" s="4" t="n">
        <x:v>1062</x:v>
      </x:c>
      <x:c r="R1141" s="1" t="str">
        <x:v>FAIL</x:v>
      </x:c>
      <x:c r="S1141" s="4" t="n">
        <x:v>1072</x:v>
      </x:c>
      <x:c r="T1141" s="1" t="str">
        <x:v>INCONCLUSIVE</x:v>
      </x:c>
      <x:c r="U1141" s="1" t="str">
        <x:v>Compress_1</x:v>
      </x:c>
      <x:c r="V1141" s="6" t="n">
        <x:v>44.52</x:v>
      </x:c>
    </x:row>
    <x:row r="1142" ht="22" customHeight="1">
      <x:c r="A1142" s="1" t="str">
        <x:v>Round2</x:v>
      </x:c>
      <x:c r="B1142" s="1" t="str">
        <x:v>Compress</x:v>
      </x:c>
      <x:c r="C1142" s="4" t="n">
        <x:v>2</x:v>
      </x:c>
      <x:c r="D1142" s="4" t="n">
        <x:v>20260928</x:v>
      </x:c>
      <x:c r="E1142" s="4" t="n">
        <x:v>60</x:v>
      </x:c>
      <x:c r="F1142" s="4" t="n">
        <x:v>4428</x:v>
      </x:c>
      <x:c r="G1142" s="5" t="n">
        <x:v>0.32170000000000004</x:v>
      </x:c>
      <x:c r="H1142" s="5" t="n">
        <x:v>0.3836</x:v>
      </x:c>
      <x:c r="I1142" s="5" t="n">
        <x:v>0.2143</x:v>
      </x:c>
      <x:c r="J1142" s="4" t="n">
        <x:v>115</x:v>
      </x:c>
      <x:c r="K1142" s="4" t="n">
        <x:v>37</x:v>
      </x:c>
      <x:c r="L1142" s="4" t="n">
        <x:v>73</x:v>
      </x:c>
      <x:c r="M1142" s="4" t="n">
        <x:v>28</x:v>
      </x:c>
      <x:c r="N1142" s="4" t="n">
        <x:v>42</x:v>
      </x:c>
      <x:c r="O1142" s="4" t="n">
        <x:v>9</x:v>
      </x:c>
      <x:c r="P1142" s="1" t="str">
        <x:v>PASS</x:v>
      </x:c>
      <x:c r="Q1142" s="4" t="n">
        <x:v>0</x:v>
      </x:c>
      <x:c r="R1142" s="1" t="str">
        <x:v>PASS</x:v>
      </x:c>
      <x:c r="S1142" s="4" t="n">
        <x:v>0</x:v>
      </x:c>
      <x:c r="T1142" s="1" t="str">
        <x:v>NOT_REVEALING</x:v>
      </x:c>
      <x:c r="U1142" s="1" t="str">
        <x:v>Compress_2</x:v>
      </x:c>
      <x:c r="V1142" s="6" t="n">
        <x:v>71.4</x:v>
      </x:c>
    </x:row>
    <x:row r="1143" ht="22" customHeight="1">
      <x:c r="A1143" s="1" t="str">
        <x:v>Round2</x:v>
      </x:c>
      <x:c r="B1143" s="1" t="str">
        <x:v>Compress</x:v>
      </x:c>
      <x:c r="C1143" s="4" t="n">
        <x:v>3</x:v>
      </x:c>
      <x:c r="D1143" s="4" t="n">
        <x:v>20260928</x:v>
      </x:c>
      <x:c r="E1143" s="4" t="n">
        <x:v>60</x:v>
      </x:c>
      <x:c r="F1143" s="4" t="n">
        <x:v>3694</x:v>
      </x:c>
      <x:c r="G1143" s="5" t="n">
        <x:v>0.4322</x:v>
      </x:c>
      <x:c r="H1143" s="5" t="n">
        <x:v>0.4667</x:v>
      </x:c>
      <x:c r="I1143" s="5" t="n">
        <x:v>0.3214</x:v>
      </x:c>
      <x:c r="J1143" s="4" t="n">
        <x:v>118</x:v>
      </x:c>
      <x:c r="K1143" s="4" t="n">
        <x:v>51</x:v>
      </x:c>
      <x:c r="L1143" s="4" t="n">
        <x:v>90</x:v>
      </x:c>
      <x:c r="M1143" s="4" t="n">
        <x:v>42</x:v>
      </x:c>
      <x:c r="N1143" s="4" t="n">
        <x:v>28</x:v>
      </x:c>
      <x:c r="O1143" s="4" t="n">
        <x:v>9</x:v>
      </x:c>
      <x:c r="P1143" s="1" t="str">
        <x:v>PASS</x:v>
      </x:c>
      <x:c r="Q1143" s="4" t="n">
        <x:v>0</x:v>
      </x:c>
      <x:c r="R1143" s="1" t="str">
        <x:v>PASS</x:v>
      </x:c>
      <x:c r="S1143" s="4" t="n">
        <x:v>0</x:v>
      </x:c>
      <x:c r="T1143" s="1" t="str">
        <x:v>NOT_REVEALING</x:v>
      </x:c>
      <x:c r="U1143" s="1" t="str">
        <x:v>Compress_3</x:v>
      </x:c>
      <x:c r="V1143" s="6" t="n">
        <x:v>49.56</x:v>
      </x:c>
    </x:row>
    <x:row r="1144" ht="22" customHeight="1">
      <x:c r="A1144" s="1" t="str">
        <x:v>Round2</x:v>
      </x:c>
      <x:c r="B1144" s="1" t="str">
        <x:v>Compress</x:v>
      </x:c>
      <x:c r="C1144" s="4" t="n">
        <x:v>4</x:v>
      </x:c>
      <x:c r="D1144" s="4" t="n">
        <x:v>20260928</x:v>
      </x:c>
      <x:c r="E1144" s="4" t="n">
        <x:v>60</x:v>
      </x:c>
      <x:c r="F1144" s="4" t="n">
        <x:v>5814</x:v>
      </x:c>
      <x:c r="G1144" s="5" t="n">
        <x:v>0.2532</x:v>
      </x:c>
      <x:c r="H1144" s="5" t="n">
        <x:v>0.2841</x:v>
      </x:c>
      <x:c r="I1144" s="5" t="n">
        <x:v>0.1779</x:v>
      </x:c>
      <x:c r="J1144" s="4" t="n">
        <x:v>869</x:v>
      </x:c>
      <x:c r="K1144" s="4" t="n">
        <x:v>220</x:v>
      </x:c>
      <x:c r="L1144" s="4" t="n">
        <x:v>616</x:v>
      </x:c>
      <x:c r="M1144" s="4" t="n">
        <x:v>175</x:v>
      </x:c>
      <x:c r="N1144" s="4" t="n">
        <x:v>253</x:v>
      </x:c>
      <x:c r="O1144" s="4" t="n">
        <x:v>45</x:v>
      </x:c>
      <x:c r="P1144" s="1" t="str">
        <x:v>PASS</x:v>
      </x:c>
      <x:c r="Q1144" s="4" t="n">
        <x:v>0</x:v>
      </x:c>
      <x:c r="R1144" s="1" t="str">
        <x:v>FAIL</x:v>
      </x:c>
      <x:c r="S1144" s="4" t="n">
        <x:v>688</x:v>
      </x:c>
      <x:c r="T1144" s="1" t="str">
        <x:v>INCONCLUSIVE</x:v>
      </x:c>
      <x:c r="U1144" s="1" t="str">
        <x:v>Compress_4</x:v>
      </x:c>
      <x:c r="V1144" s="6" t="n">
        <x:v>72.26</x:v>
      </x:c>
    </x:row>
    <x:row r="1145" ht="22" customHeight="1">
      <x:c r="A1145" s="1" t="str">
        <x:v>Round2</x:v>
      </x:c>
      <x:c r="B1145" s="1" t="str">
        <x:v>Compress</x:v>
      </x:c>
      <x:c r="C1145" s="4" t="n">
        <x:v>5</x:v>
      </x:c>
      <x:c r="D1145" s="4" t="n">
        <x:v>20260928</x:v>
      </x:c>
      <x:c r="E1145" s="4" t="n">
        <x:v>60</x:v>
      </x:c>
      <x:c r="F1145" s="4" t="n">
        <x:v>2903</x:v>
      </x:c>
      <x:c r="G1145" s="5" t="n">
        <x:v>0.3098</x:v>
      </x:c>
      <x:c r="H1145" s="5" t="n">
        <x:v>0.34159999999999996</x:v>
      </x:c>
      <x:c r="I1145" s="5" t="n">
        <x:v>0.2553</x:v>
      </x:c>
      <x:c r="J1145" s="4" t="n">
        <x:v>255</x:v>
      </x:c>
      <x:c r="K1145" s="4" t="n">
        <x:v>79</x:v>
      </x:c>
      <x:c r="L1145" s="4" t="n">
        <x:v>161</x:v>
      </x:c>
      <x:c r="M1145" s="4" t="n">
        <x:v>55</x:v>
      </x:c>
      <x:c r="N1145" s="4" t="n">
        <x:v>94</x:v>
      </x:c>
      <x:c r="O1145" s="4" t="n">
        <x:v>24</x:v>
      </x:c>
      <x:c r="P1145" s="1" t="str">
        <x:v>PASS</x:v>
      </x:c>
      <x:c r="Q1145" s="4" t="n">
        <x:v>0</x:v>
      </x:c>
      <x:c r="R1145" s="1" t="str">
        <x:v>PASS</x:v>
      </x:c>
      <x:c r="S1145" s="4" t="n">
        <x:v>0</x:v>
      </x:c>
      <x:c r="T1145" s="1" t="str">
        <x:v>NOT_REVEALING</x:v>
      </x:c>
      <x:c r="U1145" s="1" t="str">
        <x:v>Compress_5</x:v>
      </x:c>
      <x:c r="V1145" s="6" t="n">
        <x:v>52.51</x:v>
      </x:c>
    </x:row>
    <x:row r="1146" ht="22" customHeight="1">
      <x:c r="A1146" s="1" t="str">
        <x:v>Round2</x:v>
      </x:c>
      <x:c r="B1146" s="1" t="str">
        <x:v>Compress</x:v>
      </x:c>
      <x:c r="C1146" s="4" t="n">
        <x:v>6</x:v>
      </x:c>
      <x:c r="D1146" s="4" t="n">
        <x:v>20260928</x:v>
      </x:c>
      <x:c r="E1146" s="4" t="n">
        <x:v>60</x:v>
      </x:c>
      <x:c r="F1146" s="4" t="n">
        <x:v>3614</x:v>
      </x:c>
      <x:c r="G1146" s="5" t="n">
        <x:v>0.7704000000000001</x:v>
      </x:c>
      <x:c r="H1146" s="5" t="n">
        <x:v>0.8015000000000001</x:v>
      </x:c>
      <x:c r="I1146" s="5" t="n">
        <x:v>0.7</x:v>
      </x:c>
      <x:c r="J1146" s="4" t="n">
        <x:v>196</x:v>
      </x:c>
      <x:c r="K1146" s="4" t="n">
        <x:v>151</x:v>
      </x:c>
      <x:c r="L1146" s="4" t="n">
        <x:v>136</x:v>
      </x:c>
      <x:c r="M1146" s="4" t="n">
        <x:v>109</x:v>
      </x:c>
      <x:c r="N1146" s="4" t="n">
        <x:v>60</x:v>
      </x:c>
      <x:c r="O1146" s="4" t="n">
        <x:v>42</x:v>
      </x:c>
      <x:c r="P1146" s="1" t="str">
        <x:v>FAIL</x:v>
      </x:c>
      <x:c r="Q1146" s="4" t="n">
        <x:v>1964</x:v>
      </x:c>
      <x:c r="R1146" s="1" t="str">
        <x:v>FAIL</x:v>
      </x:c>
      <x:c r="S1146" s="4" t="n">
        <x:v>1994</x:v>
      </x:c>
      <x:c r="T1146" s="1" t="str">
        <x:v>INCONCLUSIVE</x:v>
      </x:c>
      <x:c r="U1146" s="1" t="str">
        <x:v>Compress_6</x:v>
      </x:c>
      <x:c r="V1146" s="6" t="n">
        <x:v>57.96</x:v>
      </x:c>
    </x:row>
    <x:row r="1147" ht="22" customHeight="1">
      <x:c r="A1147" s="1" t="str">
        <x:v>Round2</x:v>
      </x:c>
      <x:c r="B1147" s="1" t="str">
        <x:v>Compress</x:v>
      </x:c>
      <x:c r="C1147" s="4" t="n">
        <x:v>7</x:v>
      </x:c>
      <x:c r="D1147" s="4" t="n">
        <x:v>20260928</x:v>
      </x:c>
      <x:c r="E1147" s="4" t="n">
        <x:v>60</x:v>
      </x:c>
      <x:c r="F1147" s="4" t="n">
        <x:v>5234</x:v>
      </x:c>
      <x:c r="G1147" s="5" t="n">
        <x:v>0.9109</x:v>
      </x:c>
      <x:c r="H1147" s="5" t="n">
        <x:v>0.9206</x:v>
      </x:c>
      <x:c r="I1147" s="5" t="n">
        <x:v>0.8946999999999999</x:v>
      </x:c>
      <x:c r="J1147" s="4" t="n">
        <x:v>101</x:v>
      </x:c>
      <x:c r="K1147" s="4" t="n">
        <x:v>92</x:v>
      </x:c>
      <x:c r="L1147" s="4" t="n">
        <x:v>63</x:v>
      </x:c>
      <x:c r="M1147" s="4" t="n">
        <x:v>58</x:v>
      </x:c>
      <x:c r="N1147" s="4" t="n">
        <x:v>38</x:v>
      </x:c>
      <x:c r="O1147" s="4" t="n">
        <x:v>34</x:v>
      </x:c>
      <x:c r="P1147" s="1" t="str">
        <x:v>PASS</x:v>
      </x:c>
      <x:c r="Q1147" s="4" t="n">
        <x:v>0</x:v>
      </x:c>
      <x:c r="R1147" s="1" t="str">
        <x:v>FAIL</x:v>
      </x:c>
      <x:c r="S1147" s="4" t="n">
        <x:v>1798</x:v>
      </x:c>
      <x:c r="T1147" s="1" t="str">
        <x:v>INCONCLUSIVE</x:v>
      </x:c>
      <x:c r="U1147" s="1" t="str">
        <x:v>Compress_7</x:v>
      </x:c>
      <x:c r="V1147" s="6" t="n">
        <x:v>55.25</x:v>
      </x:c>
    </x:row>
    <x:row r="1148" ht="22" customHeight="1">
      <x:c r="A1148" s="1" t="str">
        <x:v>Round2</x:v>
      </x:c>
      <x:c r="B1148" s="1" t="str">
        <x:v>Compress</x:v>
      </x:c>
      <x:c r="C1148" s="4" t="n">
        <x:v>8</x:v>
      </x:c>
      <x:c r="D1148" s="4" t="n">
        <x:v>20260928</x:v>
      </x:c>
      <x:c r="E1148" s="4" t="n">
        <x:v>60</x:v>
      </x:c>
      <x:c r="F1148" s="4" t="n">
        <x:v>5587</x:v>
      </x:c>
      <x:c r="G1148" s="5" t="n">
        <x:v>0.9167000000000001</x:v>
      </x:c>
      <x:c r="H1148" s="5" t="n">
        <x:v>0.9286</x:v>
      </x:c>
      <x:c r="I1148" s="5" t="n">
        <x:v>0.8946999999999999</x:v>
      </x:c>
      <x:c r="J1148" s="4" t="n">
        <x:v>108</x:v>
      </x:c>
      <x:c r="K1148" s="4" t="n">
        <x:v>99</x:v>
      </x:c>
      <x:c r="L1148" s="4" t="n">
        <x:v>70</x:v>
      </x:c>
      <x:c r="M1148" s="4" t="n">
        <x:v>65</x:v>
      </x:c>
      <x:c r="N1148" s="4" t="n">
        <x:v>38</x:v>
      </x:c>
      <x:c r="O1148" s="4" t="n">
        <x:v>34</x:v>
      </x:c>
      <x:c r="P1148" s="1" t="str">
        <x:v>PASS</x:v>
      </x:c>
      <x:c r="Q1148" s="4" t="n">
        <x:v>0</x:v>
      </x:c>
      <x:c r="R1148" s="1" t="str">
        <x:v>FAIL</x:v>
      </x:c>
      <x:c r="S1148" s="4" t="n">
        <x:v>7346</x:v>
      </x:c>
      <x:c r="T1148" s="1" t="str">
        <x:v>INCONCLUSIVE</x:v>
      </x:c>
      <x:c r="U1148" s="1" t="str">
        <x:v>Compress_8</x:v>
      </x:c>
      <x:c r="V1148" s="6" t="n">
        <x:v>58.94</x:v>
      </x:c>
    </x:row>
    <x:row r="1149" ht="22" customHeight="1">
      <x:c r="A1149" s="1" t="str">
        <x:v>Round2</x:v>
      </x:c>
      <x:c r="B1149" s="1" t="str">
        <x:v>Compress</x:v>
      </x:c>
      <x:c r="C1149" s="4" t="n">
        <x:v>9</x:v>
      </x:c>
      <x:c r="D1149" s="4" t="n">
        <x:v>20260928</x:v>
      </x:c>
      <x:c r="E1149" s="4" t="n">
        <x:v>60</x:v>
      </x:c>
      <x:c r="F1149" s="4" t="n">
        <x:v>5407</x:v>
      </x:c>
      <x:c r="G1149" s="5" t="n">
        <x:v>0.43420000000000003</x:v>
      </x:c>
      <x:c r="H1149" s="5" t="n">
        <x:v>0.4727</x:v>
      </x:c>
      <x:c r="I1149" s="5" t="n">
        <x:v>0.3333</x:v>
      </x:c>
      <x:c r="J1149" s="4" t="n">
        <x:v>152</x:v>
      </x:c>
      <x:c r="K1149" s="4" t="n">
        <x:v>66</x:v>
      </x:c>
      <x:c r="L1149" s="4" t="n">
        <x:v>110</x:v>
      </x:c>
      <x:c r="M1149" s="4" t="n">
        <x:v>52</x:v>
      </x:c>
      <x:c r="N1149" s="4" t="n">
        <x:v>42</x:v>
      </x:c>
      <x:c r="O1149" s="4" t="n">
        <x:v>14</x:v>
      </x:c>
      <x:c r="P1149" s="1" t="str">
        <x:v>PASS</x:v>
      </x:c>
      <x:c r="Q1149" s="4" t="n">
        <x:v>0</x:v>
      </x:c>
      <x:c r="R1149" s="1" t="str">
        <x:v>FAIL</x:v>
      </x:c>
      <x:c r="S1149" s="4" t="n">
        <x:v>2</x:v>
      </x:c>
      <x:c r="T1149" s="1" t="str">
        <x:v>INCONCLUSIVE</x:v>
      </x:c>
      <x:c r="U1149" s="1" t="str">
        <x:v>Compress_9</x:v>
      </x:c>
      <x:c r="V1149" s="6" t="n">
        <x:v>60.99</x:v>
      </x:c>
    </x:row>
    <x:row r="1150" ht="22" customHeight="1">
      <x:c r="A1150" s="1" t="str">
        <x:v>Round2</x:v>
      </x:c>
      <x:c r="B1150" s="1" t="str">
        <x:v>Compress</x:v>
      </x:c>
      <x:c r="C1150" s="4" t="n">
        <x:v>10</x:v>
      </x:c>
      <x:c r="D1150" s="4" t="n">
        <x:v>20260928</x:v>
      </x:c>
      <x:c r="E1150" s="4" t="n">
        <x:v>60</x:v>
      </x:c>
      <x:c r="F1150" s="4" t="n">
        <x:v>17</x:v>
      </x:c>
      <x:c r="G1150" s="5" t="n">
        <x:v>0.045599999999999995</x:v>
      </x:c>
      <x:c r="H1150" s="5" t="n">
        <x:v>0.0592</x:v>
      </x:c>
      <x:c r="I1150" s="5" t="n">
        <x:v>0.0088</x:v>
      </x:c>
      <x:c r="J1150" s="4" t="n">
        <x:v>417</x:v>
      </x:c>
      <x:c r="K1150" s="4" t="n">
        <x:v>19</x:v>
      </x:c>
      <x:c r="L1150" s="4" t="n">
        <x:v>304</x:v>
      </x:c>
      <x:c r="M1150" s="4" t="n">
        <x:v>18</x:v>
      </x:c>
      <x:c r="N1150" s="4" t="n">
        <x:v>113</x:v>
      </x:c>
      <x:c r="O1150" s="4" t="n">
        <x:v>1</x:v>
      </x:c>
      <x:c r="P1150" s="1" t="str">
        <x:v>PASS</x:v>
      </x:c>
      <x:c r="Q1150" s="4" t="n">
        <x:v>0</x:v>
      </x:c>
      <x:c r="R1150" s="1" t="str">
        <x:v>PASS</x:v>
      </x:c>
      <x:c r="S1150" s="4" t="n">
        <x:v>0</x:v>
      </x:c>
      <x:c r="T1150" s="1" t="str">
        <x:v>NOT_REVEALING</x:v>
      </x:c>
      <x:c r="U1150" s="1" t="str">
        <x:v>Compress_10</x:v>
      </x:c>
      <x:c r="V1150" s="6" t="n">
        <x:v>17.24</x:v>
      </x:c>
    </x:row>
    <x:row r="1151" ht="22" customHeight="1">
      <x:c r="A1151" s="1" t="str">
        <x:v>Round2</x:v>
      </x:c>
      <x:c r="B1151" s="1" t="str">
        <x:v>Compress</x:v>
      </x:c>
      <x:c r="C1151" s="4" t="n">
        <x:v>11</x:v>
      </x:c>
      <x:c r="D1151" s="4" t="n">
        <x:v>20260928</x:v>
      </x:c>
      <x:c r="E1151" s="4" t="n">
        <x:v>60</x:v>
      </x:c>
      <x:c r="F1151" s="4" t="n">
        <x:v>25</x:v>
      </x:c>
      <x:c r="G1151" s="5" t="n">
        <x:v>0.1217</x:v>
      </x:c>
      <x:c r="H1151" s="5" t="n">
        <x:v>0.1304</x:v>
      </x:c>
      <x:c r="I1151" s="5" t="n">
        <x:v>0.10869999999999999</x:v>
      </x:c>
      <x:c r="J1151" s="4" t="n">
        <x:v>115</x:v>
      </x:c>
      <x:c r="K1151" s="4" t="n">
        <x:v>14</x:v>
      </x:c>
      <x:c r="L1151" s="4" t="n">
        <x:v>69</x:v>
      </x:c>
      <x:c r="M1151" s="4" t="n">
        <x:v>9</x:v>
      </x:c>
      <x:c r="N1151" s="4" t="n">
        <x:v>46</x:v>
      </x:c>
      <x:c r="O1151" s="4" t="n">
        <x:v>5</x:v>
      </x:c>
      <x:c r="P1151" s="1" t="str">
        <x:v>PASS</x:v>
      </x:c>
      <x:c r="Q1151" s="4" t="n">
        <x:v>0</x:v>
      </x:c>
      <x:c r="R1151" s="1" t="str">
        <x:v>PASS</x:v>
      </x:c>
      <x:c r="S1151" s="4" t="n">
        <x:v>0</x:v>
      </x:c>
      <x:c r="T1151" s="1" t="str">
        <x:v>NOT_REVEALING</x:v>
      </x:c>
      <x:c r="U1151" s="1" t="str">
        <x:v>Compress_11</x:v>
      </x:c>
      <x:c r="V1151" s="6" t="n">
        <x:v>17.22</x:v>
      </x:c>
    </x:row>
    <x:row r="1152" ht="22" customHeight="1">
      <x:c r="A1152" s="1" t="str">
        <x:v>Round2</x:v>
      </x:c>
      <x:c r="B1152" s="1" t="str">
        <x:v>Compress</x:v>
      </x:c>
      <x:c r="C1152" s="4" t="n">
        <x:v>12</x:v>
      </x:c>
      <x:c r="D1152" s="4" t="n">
        <x:v>20260928</x:v>
      </x:c>
      <x:c r="E1152" s="4" t="n">
        <x:v>60</x:v>
      </x:c>
      <x:c r="F1152" s="4" t="n">
        <x:v>3940</x:v>
      </x:c>
      <x:c r="G1152" s="5" t="n">
        <x:v>0.22949999999999998</x:v>
      </x:c>
      <x:c r="H1152" s="5" t="n">
        <x:v>0.27690000000000003</x:v>
      </x:c>
      <x:c r="I1152" s="5" t="n">
        <x:v>0.14550000000000002</x:v>
      </x:c>
      <x:c r="J1152" s="4" t="n">
        <x:v>305</x:v>
      </x:c>
      <x:c r="K1152" s="4" t="n">
        <x:v>70</x:v>
      </x:c>
      <x:c r="L1152" s="4" t="n">
        <x:v>195</x:v>
      </x:c>
      <x:c r="M1152" s="4" t="n">
        <x:v>54</x:v>
      </x:c>
      <x:c r="N1152" s="4" t="n">
        <x:v>110</x:v>
      </x:c>
      <x:c r="O1152" s="4" t="n">
        <x:v>16</x:v>
      </x:c>
      <x:c r="P1152" s="1" t="str">
        <x:v>PASS</x:v>
      </x:c>
      <x:c r="Q1152" s="4" t="n">
        <x:v>0</x:v>
      </x:c>
      <x:c r="R1152" s="1" t="str">
        <x:v>PASS</x:v>
      </x:c>
      <x:c r="S1152" s="4" t="n">
        <x:v>0</x:v>
      </x:c>
      <x:c r="T1152" s="1" t="str">
        <x:v>NOT_REVEALING</x:v>
      </x:c>
      <x:c r="U1152" s="1" t="str">
        <x:v>Compress_12</x:v>
      </x:c>
      <x:c r="V1152" s="6" t="n">
        <x:v>42.19</x:v>
      </x:c>
    </x:row>
    <x:row r="1153" ht="22" customHeight="1">
      <x:c r="A1153" s="1" t="str">
        <x:v>Round2</x:v>
      </x:c>
      <x:c r="B1153" s="1" t="str">
        <x:v>Compress</x:v>
      </x:c>
      <x:c r="C1153" s="4" t="n">
        <x:v>13</x:v>
      </x:c>
      <x:c r="D1153" s="4" t="n">
        <x:v>20260928</x:v>
      </x:c>
      <x:c r="E1153" s="4" t="n">
        <x:v>60</x:v>
      </x:c>
      <x:c r="F1153" s="4" t="n">
        <x:v>2709</x:v>
      </x:c>
      <x:c r="G1153" s="5" t="n">
        <x:v>0.8487</x:v>
      </x:c>
      <x:c r="H1153" s="5" t="n">
        <x:v>0.885</x:v>
      </x:c>
      <x:c r="I1153" s="5" t="n">
        <x:v>0.7787999999999999</x:v>
      </x:c>
      <x:c r="J1153" s="4" t="n">
        <x:v>304</x:v>
      </x:c>
      <x:c r="K1153" s="4" t="n">
        <x:v>258</x:v>
      </x:c>
      <x:c r="L1153" s="4" t="n">
        <x:v>200</x:v>
      </x:c>
      <x:c r="M1153" s="4" t="n">
        <x:v>177</x:v>
      </x:c>
      <x:c r="N1153" s="4" t="n">
        <x:v>104</x:v>
      </x:c>
      <x:c r="O1153" s="4" t="n">
        <x:v>81</x:v>
      </x:c>
      <x:c r="P1153" s="1" t="str">
        <x:v>FAIL</x:v>
      </x:c>
      <x:c r="Q1153" s="4" t="n">
        <x:v>3500</x:v>
      </x:c>
      <x:c r="R1153" s="1" t="str">
        <x:v>FAIL</x:v>
      </x:c>
      <x:c r="S1153" s="4" t="n">
        <x:v>3500</x:v>
      </x:c>
      <x:c r="T1153" s="1" t="str">
        <x:v>INCONCLUSIVE</x:v>
      </x:c>
      <x:c r="U1153" s="1" t="str">
        <x:v>Compress_13</x:v>
      </x:c>
      <x:c r="V1153" s="6" t="n">
        <x:v>37.08</x:v>
      </x:c>
    </x:row>
    <x:row r="1154" ht="22" customHeight="1">
      <x:c r="A1154" s="1" t="str">
        <x:v>Round2</x:v>
      </x:c>
      <x:c r="B1154" s="1" t="str">
        <x:v>Compress</x:v>
      </x:c>
      <x:c r="C1154" s="4" t="n">
        <x:v>14</x:v>
      </x:c>
      <x:c r="D1154" s="4" t="n">
        <x:v>20260928</x:v>
      </x:c>
      <x:c r="E1154" s="4" t="n">
        <x:v>60</x:v>
      </x:c>
      <x:c r="F1154" s="4" t="n">
        <x:v>8112</x:v>
      </x:c>
      <x:c r="G1154" s="5" t="n">
        <x:v>0.8683</x:v>
      </x:c>
      <x:c r="H1154" s="5" t="n">
        <x:v>0.8812000000000001</x:v>
      </x:c>
      <x:c r="I1154" s="5" t="n">
        <x:v>0.8484999999999999</x:v>
      </x:c>
      <x:c r="J1154" s="4" t="n">
        <x:v>167</x:v>
      </x:c>
      <x:c r="K1154" s="4" t="n">
        <x:v>145</x:v>
      </x:c>
      <x:c r="L1154" s="4" t="n">
        <x:v>101</x:v>
      </x:c>
      <x:c r="M1154" s="4" t="n">
        <x:v>89</x:v>
      </x:c>
      <x:c r="N1154" s="4" t="n">
        <x:v>66</x:v>
      </x:c>
      <x:c r="O1154" s="4" t="n">
        <x:v>56</x:v>
      </x:c>
      <x:c r="P1154" s="1" t="str">
        <x:v>PASS</x:v>
      </x:c>
      <x:c r="Q1154" s="4" t="n">
        <x:v>0</x:v>
      </x:c>
      <x:c r="R1154" s="1" t="str">
        <x:v>FAIL</x:v>
      </x:c>
      <x:c r="S1154" s="4" t="n">
        <x:v>82</x:v>
      </x:c>
      <x:c r="T1154" s="1" t="str">
        <x:v>INCONCLUSIVE</x:v>
      </x:c>
      <x:c r="U1154" s="1" t="str">
        <x:v>Compress_14</x:v>
      </x:c>
      <x:c r="V1154" s="6" t="n">
        <x:v>48.42</x:v>
      </x:c>
    </x:row>
    <x:row r="1155" ht="22" customHeight="1">
      <x:c r="A1155" s="1" t="str">
        <x:v>Round2</x:v>
      </x:c>
      <x:c r="B1155" s="1" t="str">
        <x:v>Compress</x:v>
      </x:c>
      <x:c r="C1155" s="4" t="n">
        <x:v>15</x:v>
      </x:c>
      <x:c r="D1155" s="4" t="n">
        <x:v>20260928</x:v>
      </x:c>
      <x:c r="E1155" s="4" t="n">
        <x:v>60</x:v>
      </x:c>
      <x:c r="F1155" s="4" t="n">
        <x:v>3260</x:v>
      </x:c>
      <x:c r="G1155" s="5" t="n">
        <x:v>0.8498</x:v>
      </x:c>
      <x:c r="H1155" s="5" t="n">
        <x:v>0.8867</x:v>
      </x:c>
      <x:c r="I1155" s="5" t="n">
        <x:v>0.7818</x:v>
      </x:c>
      <x:c r="J1155" s="4" t="n">
        <x:v>313</x:v>
      </x:c>
      <x:c r="K1155" s="4" t="n">
        <x:v>266</x:v>
      </x:c>
      <x:c r="L1155" s="4" t="n">
        <x:v>203</x:v>
      </x:c>
      <x:c r="M1155" s="4" t="n">
        <x:v>180</x:v>
      </x:c>
      <x:c r="N1155" s="4" t="n">
        <x:v>110</x:v>
      </x:c>
      <x:c r="O1155" s="4" t="n">
        <x:v>86</x:v>
      </x:c>
      <x:c r="P1155" s="1" t="str">
        <x:v>FAIL</x:v>
      </x:c>
      <x:c r="Q1155" s="4" t="n">
        <x:v>4306</x:v>
      </x:c>
      <x:c r="R1155" s="1" t="str">
        <x:v>FAIL</x:v>
      </x:c>
      <x:c r="S1155" s="4" t="n">
        <x:v>4306</x:v>
      </x:c>
      <x:c r="T1155" s="1" t="str">
        <x:v>INCONCLUSIVE</x:v>
      </x:c>
      <x:c r="U1155" s="1" t="str">
        <x:v>Compress_15</x:v>
      </x:c>
      <x:c r="V1155" s="6" t="n">
        <x:v>43.65</x:v>
      </x:c>
    </x:row>
    <x:row r="1156" ht="22" customHeight="1">
      <x:c r="A1156" s="1" t="str">
        <x:v>Round2</x:v>
      </x:c>
      <x:c r="B1156" s="1" t="str">
        <x:v>Compress</x:v>
      </x:c>
      <x:c r="C1156" s="4" t="n">
        <x:v>16</x:v>
      </x:c>
      <x:c r="D1156" s="4" t="n">
        <x:v>20260928</x:v>
      </x:c>
      <x:c r="E1156" s="4" t="n">
        <x:v>60</x:v>
      </x:c>
      <x:c r="F1156" s="4" t="n">
        <x:v>25</x:v>
      </x:c>
      <x:c r="G1156" s="5" t="n">
        <x:v>0.1186</x:v>
      </x:c>
      <x:c r="H1156" s="5" t="n">
        <x:v>0.1286</x:v>
      </x:c>
      <x:c r="I1156" s="5" t="n">
        <x:v>0.1042</x:v>
      </x:c>
      <x:c r="J1156" s="4" t="n">
        <x:v>118</x:v>
      </x:c>
      <x:c r="K1156" s="4" t="n">
        <x:v>14</x:v>
      </x:c>
      <x:c r="L1156" s="4" t="n">
        <x:v>70</x:v>
      </x:c>
      <x:c r="M1156" s="4" t="n">
        <x:v>9</x:v>
      </x:c>
      <x:c r="N1156" s="4" t="n">
        <x:v>48</x:v>
      </x:c>
      <x:c r="O1156" s="4" t="n">
        <x:v>5</x:v>
      </x:c>
      <x:c r="P1156" s="1" t="str">
        <x:v>PASS</x:v>
      </x:c>
      <x:c r="Q1156" s="4" t="n">
        <x:v>0</x:v>
      </x:c>
      <x:c r="R1156" s="1" t="str">
        <x:v>PASS</x:v>
      </x:c>
      <x:c r="S1156" s="4" t="n">
        <x:v>0</x:v>
      </x:c>
      <x:c r="T1156" s="1" t="str">
        <x:v>NOT_REVEALING</x:v>
      </x:c>
      <x:c r="U1156" s="1" t="str">
        <x:v>Compress_16</x:v>
      </x:c>
      <x:c r="V1156" s="6" t="n">
        <x:v>19.51</x:v>
      </x:c>
    </x:row>
    <x:row r="1157" ht="22" customHeight="1">
      <x:c r="A1157" s="1" t="str">
        <x:v>Round2</x:v>
      </x:c>
      <x:c r="B1157" s="1" t="str">
        <x:v>Compress</x:v>
      </x:c>
      <x:c r="C1157" s="4" t="n">
        <x:v>17</x:v>
      </x:c>
      <x:c r="D1157" s="4" t="n">
        <x:v>20260928</x:v>
      </x:c>
      <x:c r="E1157" s="4" t="n">
        <x:v>60</x:v>
      </x:c>
      <x:c r="F1157" s="4" t="n">
        <x:v>4699</x:v>
      </x:c>
      <x:c r="G1157" s="5" t="n">
        <x:v>0.7424</x:v>
      </x:c>
      <x:c r="H1157" s="5" t="n">
        <x:v>0.8045</x:v>
      </x:c>
      <x:c r="I1157" s="5" t="n">
        <x:v>0.6466</x:v>
      </x:c>
      <x:c r="J1157" s="4" t="n">
        <x:v>295</x:v>
      </x:c>
      <x:c r="K1157" s="4" t="n">
        <x:v>219</x:v>
      </x:c>
      <x:c r="L1157" s="4" t="n">
        <x:v>179</x:v>
      </x:c>
      <x:c r="M1157" s="4" t="n">
        <x:v>144</x:v>
      </x:c>
      <x:c r="N1157" s="4" t="n">
        <x:v>116</x:v>
      </x:c>
      <x:c r="O1157" s="4" t="n">
        <x:v>75</x:v>
      </x:c>
      <x:c r="P1157" s="1" t="str">
        <x:v>PASS</x:v>
      </x:c>
      <x:c r="Q1157" s="4" t="n">
        <x:v>0</x:v>
      </x:c>
      <x:c r="R1157" s="1" t="str">
        <x:v>PASS</x:v>
      </x:c>
      <x:c r="S1157" s="4" t="n">
        <x:v>0</x:v>
      </x:c>
      <x:c r="T1157" s="1" t="str">
        <x:v>NOT_REVEALING</x:v>
      </x:c>
      <x:c r="U1157" s="1" t="str">
        <x:v>Compress_17</x:v>
      </x:c>
      <x:c r="V1157" s="6" t="n">
        <x:v>46.41</x:v>
      </x:c>
    </x:row>
    <x:row r="1158" ht="22" customHeight="1">
      <x:c r="A1158" s="1" t="str">
        <x:v>Round2</x:v>
      </x:c>
      <x:c r="B1158" s="1" t="str">
        <x:v>Compress</x:v>
      </x:c>
      <x:c r="C1158" s="4" t="n">
        <x:v>18</x:v>
      </x:c>
      <x:c r="D1158" s="4" t="n">
        <x:v>20260928</x:v>
      </x:c>
      <x:c r="E1158" s="4" t="n">
        <x:v>60</x:v>
      </x:c>
      <x:c r="F1158" s="4" t="n">
        <x:v>5252</x:v>
      </x:c>
      <x:c r="G1158" s="5" t="n">
        <x:v>0.3077</x:v>
      </x:c>
      <x:c r="H1158" s="5" t="n">
        <x:v>0.3515</x:v>
      </x:c>
      <x:c r="I1158" s="5" t="n">
        <x:v>0.2024</x:v>
      </x:c>
      <x:c r="J1158" s="4" t="n">
        <x:v>286</x:v>
      </x:c>
      <x:c r="K1158" s="4" t="n">
        <x:v>88</x:v>
      </x:c>
      <x:c r="L1158" s="4" t="n">
        <x:v>202</x:v>
      </x:c>
      <x:c r="M1158" s="4" t="n">
        <x:v>71</x:v>
      </x:c>
      <x:c r="N1158" s="4" t="n">
        <x:v>84</x:v>
      </x:c>
      <x:c r="O1158" s="4" t="n">
        <x:v>17</x:v>
      </x:c>
      <x:c r="P1158" s="1" t="str">
        <x:v>PASS</x:v>
      </x:c>
      <x:c r="Q1158" s="4" t="n">
        <x:v>0</x:v>
      </x:c>
      <x:c r="R1158" s="1" t="str">
        <x:v>PASS</x:v>
      </x:c>
      <x:c r="S1158" s="4" t="n">
        <x:v>0</x:v>
      </x:c>
      <x:c r="T1158" s="1" t="str">
        <x:v>NOT_REVEALING</x:v>
      </x:c>
      <x:c r="U1158" s="1" t="str">
        <x:v>Compress_18</x:v>
      </x:c>
      <x:c r="V1158" s="6" t="n">
        <x:v>49.49</x:v>
      </x:c>
    </x:row>
    <x:row r="1159" ht="22" customHeight="1">
      <x:c r="A1159" s="1" t="str">
        <x:v>Round2</x:v>
      </x:c>
      <x:c r="B1159" s="1" t="str">
        <x:v>Compress</x:v>
      </x:c>
      <x:c r="C1159" s="4" t="n">
        <x:v>19</x:v>
      </x:c>
      <x:c r="D1159" s="4" t="n">
        <x:v>20260928</x:v>
      </x:c>
      <x:c r="E1159" s="4" t="n">
        <x:v>60</x:v>
      </x:c>
      <x:c r="F1159" s="4" t="n">
        <x:v>4366</x:v>
      </x:c>
      <x:c r="G1159" s="5" t="n">
        <x:v>0.5879</x:v>
      </x:c>
      <x:c r="H1159" s="5" t="n">
        <x:v>0.6095</x:v>
      </x:c>
      <x:c r="I1159" s="5" t="n">
        <x:v>0.55</x:v>
      </x:c>
      <x:c r="J1159" s="4" t="n">
        <x:v>165</x:v>
      </x:c>
      <x:c r="K1159" s="4" t="n">
        <x:v>97</x:v>
      </x:c>
      <x:c r="L1159" s="4" t="n">
        <x:v>105</x:v>
      </x:c>
      <x:c r="M1159" s="4" t="n">
        <x:v>64</x:v>
      </x:c>
      <x:c r="N1159" s="4" t="n">
        <x:v>60</x:v>
      </x:c>
      <x:c r="O1159" s="4" t="n">
        <x:v>33</x:v>
      </x:c>
      <x:c r="P1159" s="1" t="str">
        <x:v>PASS</x:v>
      </x:c>
      <x:c r="Q1159" s="4" t="n">
        <x:v>0</x:v>
      </x:c>
      <x:c r="R1159" s="1" t="str">
        <x:v>PASS</x:v>
      </x:c>
      <x:c r="S1159" s="4" t="n">
        <x:v>0</x:v>
      </x:c>
      <x:c r="T1159" s="1" t="str">
        <x:v>NOT_REVEALING</x:v>
      </x:c>
      <x:c r="U1159" s="1" t="str">
        <x:v>Compress_19</x:v>
      </x:c>
      <x:c r="V1159" s="6" t="n">
        <x:v>41.02</x:v>
      </x:c>
    </x:row>
    <x:row r="1160" ht="22" customHeight="1">
      <x:c r="A1160" s="1" t="str">
        <x:v>Round2</x:v>
      </x:c>
      <x:c r="B1160" s="1" t="str">
        <x:v>Compress</x:v>
      </x:c>
      <x:c r="C1160" s="4" t="n">
        <x:v>20</x:v>
      </x:c>
      <x:c r="D1160" s="4" t="n">
        <x:v>20260928</x:v>
      </x:c>
      <x:c r="E1160" s="4" t="n">
        <x:v>60</x:v>
      </x:c>
      <x:c r="F1160" s="4" t="n">
        <x:v>5213</x:v>
      </x:c>
      <x:c r="G1160" s="5" t="n">
        <x:v>0.2774</x:v>
      </x:c>
      <x:c r="H1160" s="5" t="n">
        <x:v>0.2897</x:v>
      </x:c>
      <x:c r="I1160" s="5" t="n">
        <x:v>0.2544</x:v>
      </x:c>
      <x:c r="J1160" s="4" t="n">
        <x:v>328</x:v>
      </x:c>
      <x:c r="K1160" s="4" t="n">
        <x:v>91</x:v>
      </x:c>
      <x:c r="L1160" s="4" t="n">
        <x:v>214</x:v>
      </x:c>
      <x:c r="M1160" s="4" t="n">
        <x:v>62</x:v>
      </x:c>
      <x:c r="N1160" s="4" t="n">
        <x:v>114</x:v>
      </x:c>
      <x:c r="O1160" s="4" t="n">
        <x:v>29</x:v>
      </x:c>
      <x:c r="P1160" s="1" t="str">
        <x:v>PASS</x:v>
      </x:c>
      <x:c r="Q1160" s="4" t="n">
        <x:v>0</x:v>
      </x:c>
      <x:c r="R1160" s="1" t="str">
        <x:v>PASS</x:v>
      </x:c>
      <x:c r="S1160" s="4" t="n">
        <x:v>0</x:v>
      </x:c>
      <x:c r="T1160" s="1" t="str">
        <x:v>NOT_REVEALING</x:v>
      </x:c>
      <x:c r="U1160" s="1" t="str">
        <x:v>Compress_20</x:v>
      </x:c>
      <x:c r="V1160" s="6" t="n">
        <x:v>51.04</x:v>
      </x:c>
    </x:row>
    <x:row r="1161" ht="22" customHeight="1">
      <x:c r="A1161" s="1" t="str">
        <x:v>Round2</x:v>
      </x:c>
      <x:c r="B1161" s="1" t="str">
        <x:v>Compress</x:v>
      </x:c>
      <x:c r="C1161" s="4" t="n">
        <x:v>21</x:v>
      </x:c>
      <x:c r="D1161" s="4" t="n">
        <x:v>20260928</x:v>
      </x:c>
      <x:c r="E1161" s="4" t="n">
        <x:v>60</x:v>
      </x:c>
      <x:c r="F1161" s="4" t="n">
        <x:v>2</x:v>
      </x:c>
      <x:c r="G1161" s="5" t="n">
        <x:v>0.0171</x:v>
      </x:c>
      <x:c r="H1161" s="5" t="n">
        <x:v>0.0231</x:v>
      </x:c>
      <x:c r="I1161" s="5" t="n">
        <x:v>0</x:v>
      </x:c>
      <x:c r="J1161" s="4" t="n">
        <x:v>526</x:v>
      </x:c>
      <x:c r="K1161" s="4" t="n">
        <x:v>9</x:v>
      </x:c>
      <x:c r="L1161" s="4" t="n">
        <x:v>390</x:v>
      </x:c>
      <x:c r="M1161" s="4" t="n">
        <x:v>9</x:v>
      </x:c>
      <x:c r="N1161" s="4" t="n">
        <x:v>136</x:v>
      </x:c>
      <x:c r="O1161" s="4" t="n">
        <x:v>0</x:v>
      </x:c>
      <x:c r="P1161" s="1" t="str">
        <x:v>PASS</x:v>
      </x:c>
      <x:c r="Q1161" s="4" t="n">
        <x:v>0</x:v>
      </x:c>
      <x:c r="R1161" s="1" t="str">
        <x:v>PASS</x:v>
      </x:c>
      <x:c r="S1161" s="4" t="n">
        <x:v>0</x:v>
      </x:c>
      <x:c r="T1161" s="1" t="str">
        <x:v>NOT_REVEALING</x:v>
      </x:c>
      <x:c r="U1161" s="1" t="str">
        <x:v>Compress_21</x:v>
      </x:c>
      <x:c r="V1161" s="6" t="n">
        <x:v>23.32</x:v>
      </x:c>
    </x:row>
    <x:row r="1162" ht="22" customHeight="1">
      <x:c r="A1162" s="1" t="str">
        <x:v>Round2</x:v>
      </x:c>
      <x:c r="B1162" s="1" t="str">
        <x:v>Compress</x:v>
      </x:c>
      <x:c r="C1162" s="4" t="n">
        <x:v>22</x:v>
      </x:c>
      <x:c r="D1162" s="4" t="n">
        <x:v>20260928</x:v>
      </x:c>
      <x:c r="E1162" s="4" t="n">
        <x:v>60</x:v>
      </x:c>
      <x:c r="F1162" s="4" t="n">
        <x:v>6385</x:v>
      </x:c>
      <x:c r="G1162" s="5" t="n">
        <x:v>0.0391</x:v>
      </x:c>
      <x:c r="H1162" s="5" t="n">
        <x:v>0.0418</x:v>
      </x:c>
      <x:c r="I1162" s="5" t="n">
        <x:v>0.034</x:v>
      </x:c>
      <x:c r="J1162" s="4" t="n">
        <x:v>767</x:v>
      </x:c>
      <x:c r="K1162" s="4" t="n">
        <x:v>30</x:v>
      </x:c>
      <x:c r="L1162" s="4" t="n">
        <x:v>502</x:v>
      </x:c>
      <x:c r="M1162" s="4" t="n">
        <x:v>21</x:v>
      </x:c>
      <x:c r="N1162" s="4" t="n">
        <x:v>265</x:v>
      </x:c>
      <x:c r="O1162" s="4" t="n">
        <x:v>9</x:v>
      </x:c>
      <x:c r="P1162" s="1" t="str">
        <x:v>PASS</x:v>
      </x:c>
      <x:c r="Q1162" s="4" t="n">
        <x:v>0</x:v>
      </x:c>
      <x:c r="R1162" s="1" t="str">
        <x:v>PASS</x:v>
      </x:c>
      <x:c r="S1162" s="4" t="n">
        <x:v>0</x:v>
      </x:c>
      <x:c r="T1162" s="1" t="str">
        <x:v>NOT_REVEALING</x:v>
      </x:c>
      <x:c r="U1162" s="1" t="str">
        <x:v>Compress_22</x:v>
      </x:c>
      <x:c r="V1162" s="6" t="n">
        <x:v>70.68</x:v>
      </x:c>
    </x:row>
    <x:row r="1163" ht="22" customHeight="1">
      <x:c r="A1163" s="1" t="str">
        <x:v>Round2</x:v>
      </x:c>
      <x:c r="B1163" s="1" t="str">
        <x:v>Compress</x:v>
      </x:c>
      <x:c r="C1163" s="4" t="n">
        <x:v>23</x:v>
      </x:c>
      <x:c r="D1163" s="4" t="n">
        <x:v>20260928</x:v>
      </x:c>
      <x:c r="E1163" s="4" t="n">
        <x:v>60</x:v>
      </x:c>
      <x:c r="F1163" s="4" t="n">
        <x:v>3325</x:v>
      </x:c>
      <x:c r="G1163" s="5" t="n">
        <x:v>0.3285</x:v>
      </x:c>
      <x:c r="H1163" s="5" t="n">
        <x:v>0.3786</x:v>
      </x:c>
      <x:c r="I1163" s="5" t="n">
        <x:v>0.1765</x:v>
      </x:c>
      <x:c r="J1163" s="4" t="n">
        <x:v>137</x:v>
      </x:c>
      <x:c r="K1163" s="4" t="n">
        <x:v>45</x:v>
      </x:c>
      <x:c r="L1163" s="4" t="n">
        <x:v>103</x:v>
      </x:c>
      <x:c r="M1163" s="4" t="n">
        <x:v>39</x:v>
      </x:c>
      <x:c r="N1163" s="4" t="n">
        <x:v>34</x:v>
      </x:c>
      <x:c r="O1163" s="4" t="n">
        <x:v>6</x:v>
      </x:c>
      <x:c r="P1163" s="1" t="str">
        <x:v>FAIL</x:v>
      </x:c>
      <x:c r="Q1163" s="4" t="n">
        <x:v>2</x:v>
      </x:c>
      <x:c r="R1163" s="1" t="str">
        <x:v>FAIL</x:v>
      </x:c>
      <x:c r="S1163" s="4" t="n">
        <x:v>2</x:v>
      </x:c>
      <x:c r="T1163" s="1" t="str">
        <x:v>INCONCLUSIVE</x:v>
      </x:c>
      <x:c r="U1163" s="1" t="str">
        <x:v>Compress_23</x:v>
      </x:c>
      <x:c r="V1163" s="6" t="n">
        <x:v>61.39</x:v>
      </x:c>
    </x:row>
    <x:row r="1164" ht="22" customHeight="1">
      <x:c r="A1164" s="1" t="str">
        <x:v>Round2</x:v>
      </x:c>
      <x:c r="B1164" s="1" t="str">
        <x:v>Compress</x:v>
      </x:c>
      <x:c r="C1164" s="4" t="n">
        <x:v>24</x:v>
      </x:c>
      <x:c r="D1164" s="4" t="n">
        <x:v>20260928</x:v>
      </x:c>
      <x:c r="E1164" s="4" t="n">
        <x:v>60</x:v>
      </x:c>
      <x:c r="F1164" s="4" t="n">
        <x:v>7507</x:v>
      </x:c>
      <x:c r="G1164" s="5" t="n">
        <x:v>0.7415999999999999</x:v>
      </x:c>
      <x:c r="H1164" s="5" t="n">
        <x:v>0.8056</x:v>
      </x:c>
      <x:c r="I1164" s="5" t="n">
        <x:v>0.6441</x:v>
      </x:c>
      <x:c r="J1164" s="4" t="n">
        <x:v>298</x:v>
      </x:c>
      <x:c r="K1164" s="4" t="n">
        <x:v>221</x:v>
      </x:c>
      <x:c r="L1164" s="4" t="n">
        <x:v>180</x:v>
      </x:c>
      <x:c r="M1164" s="4" t="n">
        <x:v>145</x:v>
      </x:c>
      <x:c r="N1164" s="4" t="n">
        <x:v>118</x:v>
      </x:c>
      <x:c r="O1164" s="4" t="n">
        <x:v>76</x:v>
      </x:c>
      <x:c r="P1164" s="1" t="str">
        <x:v>PASS</x:v>
      </x:c>
      <x:c r="Q1164" s="4" t="n">
        <x:v>0</x:v>
      </x:c>
      <x:c r="R1164" s="1" t="str">
        <x:v>PASS</x:v>
      </x:c>
      <x:c r="S1164" s="4" t="n">
        <x:v>0</x:v>
      </x:c>
      <x:c r="T1164" s="1" t="str">
        <x:v>NOT_REVEALING</x:v>
      </x:c>
      <x:c r="U1164" s="1" t="str">
        <x:v>Compress_24</x:v>
      </x:c>
      <x:c r="V1164" s="6" t="n">
        <x:v>93</x:v>
      </x:c>
    </x:row>
    <x:row r="1165" ht="22" customHeight="1">
      <x:c r="A1165" s="1" t="str">
        <x:v>Round2</x:v>
      </x:c>
      <x:c r="B1165" s="1" t="str">
        <x:v>Compress</x:v>
      </x:c>
      <x:c r="C1165" s="4" t="n">
        <x:v>25</x:v>
      </x:c>
      <x:c r="D1165" s="4" t="n">
        <x:v>20260928</x:v>
      </x:c>
      <x:c r="E1165" s="4" t="n">
        <x:v>60</x:v>
      </x:c>
      <x:c r="F1165" s="4" t="n">
        <x:v>5794</x:v>
      </x:c>
      <x:c r="G1165" s="5" t="n">
        <x:v>0.1485</x:v>
      </x:c>
      <x:c r="H1165" s="5" t="n">
        <x:v>0.1771</x:v>
      </x:c>
      <x:c r="I1165" s="5" t="n">
        <x:v>0.1032</x:v>
      </x:c>
      <x:c r="J1165" s="4" t="n">
        <x:v>653</x:v>
      </x:c>
      <x:c r="K1165" s="4" t="n">
        <x:v>97</x:v>
      </x:c>
      <x:c r="L1165" s="4" t="n">
        <x:v>401</x:v>
      </x:c>
      <x:c r="M1165" s="4" t="n">
        <x:v>71</x:v>
      </x:c>
      <x:c r="N1165" s="4" t="n">
        <x:v>252</x:v>
      </x:c>
      <x:c r="O1165" s="4" t="n">
        <x:v>26</x:v>
      </x:c>
      <x:c r="P1165" s="1" t="str">
        <x:v>PASS</x:v>
      </x:c>
      <x:c r="Q1165" s="4" t="n">
        <x:v>0</x:v>
      </x:c>
      <x:c r="R1165" s="1" t="str">
        <x:v>PASS</x:v>
      </x:c>
      <x:c r="S1165" s="4" t="n">
        <x:v>0</x:v>
      </x:c>
      <x:c r="T1165" s="1" t="str">
        <x:v>NOT_REVEALING</x:v>
      </x:c>
      <x:c r="U1165" s="1" t="str">
        <x:v>Compress_25</x:v>
      </x:c>
      <x:c r="V1165" s="6" t="n">
        <x:v>77.64</x:v>
      </x:c>
    </x:row>
    <x:row r="1166" ht="22" customHeight="1">
      <x:c r="A1166" s="1" t="str">
        <x:v>Round2</x:v>
      </x:c>
      <x:c r="B1166" s="1" t="str">
        <x:v>Compress</x:v>
      </x:c>
      <x:c r="C1166" s="4" t="n">
        <x:v>26</x:v>
      </x:c>
      <x:c r="D1166" s="4" t="n">
        <x:v>20260928</x:v>
      </x:c>
      <x:c r="E1166" s="4" t="n">
        <x:v>60</x:v>
      </x:c>
      <x:c r="F1166" s="4" t="n">
        <x:v>5062</x:v>
      </x:c>
      <x:c r="G1166" s="5" t="n">
        <x:v>0.5740999999999999</x:v>
      </x:c>
      <x:c r="H1166" s="5" t="n">
        <x:v>0.5556</x:v>
      </x:c>
      <x:c r="I1166" s="5" t="n">
        <x:v>0.6111</x:v>
      </x:c>
      <x:c r="J1166" s="4" t="n">
        <x:v>54</x:v>
      </x:c>
      <x:c r="K1166" s="4" t="n">
        <x:v>31</x:v>
      </x:c>
      <x:c r="L1166" s="4" t="n">
        <x:v>36</x:v>
      </x:c>
      <x:c r="M1166" s="4" t="n">
        <x:v>20</x:v>
      </x:c>
      <x:c r="N1166" s="4" t="n">
        <x:v>18</x:v>
      </x:c>
      <x:c r="O1166" s="4" t="n">
        <x:v>11</x:v>
      </x:c>
      <x:c r="P1166" s="1" t="str">
        <x:v>PASS</x:v>
      </x:c>
      <x:c r="Q1166" s="4" t="n">
        <x:v>0</x:v>
      </x:c>
      <x:c r="R1166" s="1" t="str">
        <x:v>PASS</x:v>
      </x:c>
      <x:c r="S1166" s="4" t="n">
        <x:v>0</x:v>
      </x:c>
      <x:c r="T1166" s="1" t="str">
        <x:v>NOT_REVEALING</x:v>
      </x:c>
      <x:c r="U1166" s="1" t="str">
        <x:v>Compress_26</x:v>
      </x:c>
      <x:c r="V1166" s="6" t="n">
        <x:v>87.11</x:v>
      </x:c>
    </x:row>
    <x:row r="1167" ht="22" customHeight="1">
      <x:c r="A1167" s="1" t="str">
        <x:v>Round2</x:v>
      </x:c>
      <x:c r="B1167" s="1" t="str">
        <x:v>Compress</x:v>
      </x:c>
      <x:c r="C1167" s="4" t="n">
        <x:v>27</x:v>
      </x:c>
      <x:c r="D1167" s="4" t="n">
        <x:v>20260928</x:v>
      </x:c>
      <x:c r="E1167" s="4" t="n">
        <x:v>60</x:v>
      </x:c>
      <x:c r="F1167" s="4" t="n">
        <x:v>6731</x:v>
      </x:c>
      <x:c r="G1167" s="5" t="n">
        <x:v>0.7925</x:v>
      </x:c>
      <x:c r="H1167" s="5" t="n">
        <x:v>0.8427</x:v>
      </x:c>
      <x:c r="I1167" s="5" t="n">
        <x:v>0.7155</x:v>
      </x:c>
      <x:c r="J1167" s="4" t="n">
        <x:v>294</x:v>
      </x:c>
      <x:c r="K1167" s="4" t="n">
        <x:v>233</x:v>
      </x:c>
      <x:c r="L1167" s="4" t="n">
        <x:v>178</x:v>
      </x:c>
      <x:c r="M1167" s="4" t="n">
        <x:v>150</x:v>
      </x:c>
      <x:c r="N1167" s="4" t="n">
        <x:v>116</x:v>
      </x:c>
      <x:c r="O1167" s="4" t="n">
        <x:v>83</x:v>
      </x:c>
      <x:c r="P1167" s="1" t="str">
        <x:v>PASS</x:v>
      </x:c>
      <x:c r="Q1167" s="4" t="n">
        <x:v>0</x:v>
      </x:c>
      <x:c r="R1167" s="1" t="str">
        <x:v>PASS</x:v>
      </x:c>
      <x:c r="S1167" s="4" t="n">
        <x:v>0</x:v>
      </x:c>
      <x:c r="T1167" s="1" t="str">
        <x:v>NOT_REVEALING</x:v>
      </x:c>
      <x:c r="U1167" s="1" t="str">
        <x:v>Compress_27</x:v>
      </x:c>
      <x:c r="V1167" s="6" t="n">
        <x:v>93.66</x:v>
      </x:c>
    </x:row>
    <x:row r="1168" ht="22" customHeight="1">
      <x:c r="A1168" s="1" t="str">
        <x:v>Round2</x:v>
      </x:c>
      <x:c r="B1168" s="1" t="str">
        <x:v>Compress</x:v>
      </x:c>
      <x:c r="C1168" s="4" t="n">
        <x:v>28</x:v>
      </x:c>
      <x:c r="D1168" s="4" t="n">
        <x:v>20260928</x:v>
      </x:c>
      <x:c r="E1168" s="4" t="n">
        <x:v>60</x:v>
      </x:c>
      <x:c r="F1168" s="4" t="n">
        <x:v>4423</x:v>
      </x:c>
      <x:c r="G1168" s="5" t="n">
        <x:v>0.3373</x:v>
      </x:c>
      <x:c r="H1168" s="5" t="n">
        <x:v>0.39909999999999995</x:v>
      </x:c>
      <x:c r="I1168" s="5" t="n">
        <x:v>0.22949999999999998</x:v>
      </x:c>
      <x:c r="J1168" s="4" t="n">
        <x:v>335</x:v>
      </x:c>
      <x:c r="K1168" s="4" t="n">
        <x:v>113</x:v>
      </x:c>
      <x:c r="L1168" s="4" t="n">
        <x:v>213</x:v>
      </x:c>
      <x:c r="M1168" s="4" t="n">
        <x:v>85</x:v>
      </x:c>
      <x:c r="N1168" s="4" t="n">
        <x:v>122</x:v>
      </x:c>
      <x:c r="O1168" s="4" t="n">
        <x:v>28</x:v>
      </x:c>
      <x:c r="P1168" s="1" t="str">
        <x:v>PASS</x:v>
      </x:c>
      <x:c r="Q1168" s="4" t="n">
        <x:v>0</x:v>
      </x:c>
      <x:c r="R1168" s="1" t="str">
        <x:v>PASS</x:v>
      </x:c>
      <x:c r="S1168" s="4" t="n">
        <x:v>0</x:v>
      </x:c>
      <x:c r="T1168" s="1" t="str">
        <x:v>NOT_REVEALING</x:v>
      </x:c>
      <x:c r="U1168" s="1" t="str">
        <x:v>Compress_28</x:v>
      </x:c>
      <x:c r="V1168" s="6" t="n">
        <x:v>79.82</x:v>
      </x:c>
    </x:row>
    <x:row r="1169" ht="22" customHeight="1">
      <x:c r="A1169" s="1" t="str">
        <x:v>Round2</x:v>
      </x:c>
      <x:c r="B1169" s="1" t="str">
        <x:v>Compress</x:v>
      </x:c>
      <x:c r="C1169" s="4" t="n">
        <x:v>29</x:v>
      </x:c>
      <x:c r="D1169" s="4" t="n">
        <x:v>20260928</x:v>
      </x:c>
      <x:c r="E1169" s="4" t="n">
        <x:v>60</x:v>
      </x:c>
      <x:c r="F1169" s="4" t="n">
        <x:v>5412</x:v>
      </x:c>
      <x:c r="G1169" s="5" t="n">
        <x:v>0.2859</x:v>
      </x:c>
      <x:c r="H1169" s="5" t="n">
        <x:v>0.3226</x:v>
      </x:c>
      <x:c r="I1169" s="5" t="n">
        <x:v>0.2192</x:v>
      </x:c>
      <x:c r="J1169" s="4" t="n">
        <x:v>2494</x:v>
      </x:c>
      <x:c r="K1169" s="4" t="n">
        <x:v>713</x:v>
      </x:c>
      <x:c r="L1169" s="4" t="n">
        <x:v>1609</x:v>
      </x:c>
      <x:c r="M1169" s="4" t="n">
        <x:v>519</x:v>
      </x:c>
      <x:c r="N1169" s="4" t="n">
        <x:v>885</x:v>
      </x:c>
      <x:c r="O1169" s="4" t="n">
        <x:v>194</x:v>
      </x:c>
      <x:c r="P1169" s="1" t="str">
        <x:v>PASS</x:v>
      </x:c>
      <x:c r="Q1169" s="4" t="n">
        <x:v>0</x:v>
      </x:c>
      <x:c r="R1169" s="1" t="str">
        <x:v>PASS</x:v>
      </x:c>
      <x:c r="S1169" s="4" t="n">
        <x:v>0</x:v>
      </x:c>
      <x:c r="T1169" s="1" t="str">
        <x:v>NOT_REVEALING</x:v>
      </x:c>
      <x:c r="U1169" s="1" t="str">
        <x:v>Compress_29</x:v>
      </x:c>
      <x:c r="V1169" s="6" t="n">
        <x:v>95.09</x:v>
      </x:c>
    </x:row>
    <x:row r="1170" ht="22" customHeight="1">
      <x:c r="A1170" s="1" t="str">
        <x:v>Round2</x:v>
      </x:c>
      <x:c r="B1170" s="1" t="str">
        <x:v>Compress</x:v>
      </x:c>
      <x:c r="C1170" s="4" t="n">
        <x:v>30</x:v>
      </x:c>
      <x:c r="D1170" s="4" t="n">
        <x:v>20260928</x:v>
      </x:c>
      <x:c r="E1170" s="4" t="n">
        <x:v>60</x:v>
      </x:c>
      <x:c r="F1170" s="4" t="n">
        <x:v>6355</x:v>
      </x:c>
      <x:c r="G1170" s="5" t="n">
        <x:v>0.0384</x:v>
      </x:c>
      <x:c r="H1170" s="5" t="n">
        <x:v>0.0408</x:v>
      </x:c>
      <x:c r="I1170" s="5" t="n">
        <x:v>0.034</x:v>
      </x:c>
      <x:c r="J1170" s="4" t="n">
        <x:v>755</x:v>
      </x:c>
      <x:c r="K1170" s="4" t="n">
        <x:v>29</x:v>
      </x:c>
      <x:c r="L1170" s="4" t="n">
        <x:v>490</x:v>
      </x:c>
      <x:c r="M1170" s="4" t="n">
        <x:v>20</x:v>
      </x:c>
      <x:c r="N1170" s="4" t="n">
        <x:v>265</x:v>
      </x:c>
      <x:c r="O1170" s="4" t="n">
        <x:v>9</x:v>
      </x:c>
      <x:c r="P1170" s="1" t="str">
        <x:v>PASS</x:v>
      </x:c>
      <x:c r="Q1170" s="4" t="n">
        <x:v>0</x:v>
      </x:c>
      <x:c r="R1170" s="1" t="str">
        <x:v>PASS</x:v>
      </x:c>
      <x:c r="S1170" s="4" t="n">
        <x:v>0</x:v>
      </x:c>
      <x:c r="T1170" s="1" t="str">
        <x:v>NOT_REVEALING</x:v>
      </x:c>
      <x:c r="U1170" s="1" t="str">
        <x:v>Compress_30</x:v>
      </x:c>
      <x:c r="V1170" s="6" t="n">
        <x:v>87.56</x:v>
      </x:c>
    </x:row>
    <x:row r="1171" ht="22" customHeight="1">
      <x:c r="A1171" s="1" t="str">
        <x:v>Round2</x:v>
      </x:c>
      <x:c r="B1171" s="1" t="str">
        <x:v>Compress</x:v>
      </x:c>
      <x:c r="C1171" s="4" t="n">
        <x:v>31</x:v>
      </x:c>
      <x:c r="D1171" s="4" t="n">
        <x:v>20260928</x:v>
      </x:c>
      <x:c r="E1171" s="4" t="n">
        <x:v>60</x:v>
      </x:c>
      <x:c r="F1171" s="4" t="n">
        <x:v>4780</x:v>
      </x:c>
      <x:c r="G1171" s="5" t="n">
        <x:v>0.7877</x:v>
      </x:c>
      <x:c r="H1171" s="5" t="n">
        <x:v>0.8409</x:v>
      </x:c>
      <x:c r="I1171" s="5" t="n">
        <x:v>0.7069</x:v>
      </x:c>
      <x:c r="J1171" s="4" t="n">
        <x:v>292</x:v>
      </x:c>
      <x:c r="K1171" s="4" t="n">
        <x:v>230</x:v>
      </x:c>
      <x:c r="L1171" s="4" t="n">
        <x:v>176</x:v>
      </x:c>
      <x:c r="M1171" s="4" t="n">
        <x:v>148</x:v>
      </x:c>
      <x:c r="N1171" s="4" t="n">
        <x:v>116</x:v>
      </x:c>
      <x:c r="O1171" s="4" t="n">
        <x:v>82</x:v>
      </x:c>
      <x:c r="P1171" s="1" t="str">
        <x:v>PASS</x:v>
      </x:c>
      <x:c r="Q1171" s="4" t="n">
        <x:v>0</x:v>
      </x:c>
      <x:c r="R1171" s="1" t="str">
        <x:v>PASS</x:v>
      </x:c>
      <x:c r="S1171" s="4" t="n">
        <x:v>0</x:v>
      </x:c>
      <x:c r="T1171" s="1" t="str">
        <x:v>NOT_REVEALING</x:v>
      </x:c>
      <x:c r="U1171" s="1" t="str">
        <x:v>Compress_31</x:v>
      </x:c>
      <x:c r="V1171" s="6" t="n">
        <x:v>72.89</x:v>
      </x:c>
    </x:row>
    <x:row r="1172" ht="22" customHeight="1">
      <x:c r="A1172" s="1" t="str">
        <x:v>Round2</x:v>
      </x:c>
      <x:c r="B1172" s="1" t="str">
        <x:v>Compress</x:v>
      </x:c>
      <x:c r="C1172" s="4" t="n">
        <x:v>32</x:v>
      </x:c>
      <x:c r="D1172" s="4" t="n">
        <x:v>20260928</x:v>
      </x:c>
      <x:c r="E1172" s="4" t="n">
        <x:v>60</x:v>
      </x:c>
      <x:c r="F1172" s="4" t="n">
        <x:v>5257</x:v>
      </x:c>
      <x:c r="G1172" s="5" t="n">
        <x:v>0.3439</x:v>
      </x:c>
      <x:c r="H1172" s="5" t="n">
        <x:v>0.4045</x:v>
      </x:c>
      <x:c r="I1172" s="5" t="n">
        <x:v>0.23809999999999998</x:v>
      </x:c>
      <x:c r="J1172" s="4" t="n">
        <x:v>346</x:v>
      </x:c>
      <x:c r="K1172" s="4" t="n">
        <x:v>119</x:v>
      </x:c>
      <x:c r="L1172" s="4" t="n">
        <x:v>220</x:v>
      </x:c>
      <x:c r="M1172" s="4" t="n">
        <x:v>89</x:v>
      </x:c>
      <x:c r="N1172" s="4" t="n">
        <x:v>126</x:v>
      </x:c>
      <x:c r="O1172" s="4" t="n">
        <x:v>30</x:v>
      </x:c>
      <x:c r="P1172" s="1" t="str">
        <x:v>PASS</x:v>
      </x:c>
      <x:c r="Q1172" s="4" t="n">
        <x:v>0</x:v>
      </x:c>
      <x:c r="R1172" s="1" t="str">
        <x:v>PASS</x:v>
      </x:c>
      <x:c r="S1172" s="4" t="n">
        <x:v>0</x:v>
      </x:c>
      <x:c r="T1172" s="1" t="str">
        <x:v>NOT_REVEALING</x:v>
      </x:c>
      <x:c r="U1172" s="1" t="str">
        <x:v>Compress_32</x:v>
      </x:c>
      <x:c r="V1172" s="6" t="n">
        <x:v>70.87</x:v>
      </x:c>
    </x:row>
    <x:row r="1173" ht="22" customHeight="1">
      <x:c r="A1173" s="1" t="str">
        <x:v>Round2</x:v>
      </x:c>
      <x:c r="B1173" s="1" t="str">
        <x:v>Compress</x:v>
      </x:c>
      <x:c r="C1173" s="4" t="n">
        <x:v>33</x:v>
      </x:c>
      <x:c r="D1173" s="4" t="n">
        <x:v>20260928</x:v>
      </x:c>
      <x:c r="E1173" s="4" t="n">
        <x:v>60</x:v>
      </x:c>
      <x:c r="F1173" s="4" t="n">
        <x:v>6006</x:v>
      </x:c>
      <x:c r="G1173" s="5" t="n">
        <x:v>0.4875</x:v>
      </x:c>
      <x:c r="H1173" s="5" t="n">
        <x:v>0.5207999999999999</x:v>
      </x:c>
      <x:c r="I1173" s="5" t="n">
        <x:v>0.4375</x:v>
      </x:c>
      <x:c r="J1173" s="4" t="n">
        <x:v>160</x:v>
      </x:c>
      <x:c r="K1173" s="4" t="n">
        <x:v>78</x:v>
      </x:c>
      <x:c r="L1173" s="4" t="n">
        <x:v>96</x:v>
      </x:c>
      <x:c r="M1173" s="4" t="n">
        <x:v>50</x:v>
      </x:c>
      <x:c r="N1173" s="4" t="n">
        <x:v>64</x:v>
      </x:c>
      <x:c r="O1173" s="4" t="n">
        <x:v>28</x:v>
      </x:c>
      <x:c r="P1173" s="1" t="str">
        <x:v>PASS</x:v>
      </x:c>
      <x:c r="Q1173" s="4" t="n">
        <x:v>0</x:v>
      </x:c>
      <x:c r="R1173" s="1" t="str">
        <x:v>PASS</x:v>
      </x:c>
      <x:c r="S1173" s="4" t="n">
        <x:v>0</x:v>
      </x:c>
      <x:c r="T1173" s="1" t="str">
        <x:v>NOT_REVEALING</x:v>
      </x:c>
      <x:c r="U1173" s="1" t="str">
        <x:v>Compress_33</x:v>
      </x:c>
      <x:c r="V1173" s="6" t="n">
        <x:v>67.81</x:v>
      </x:c>
    </x:row>
    <x:row r="1174" ht="22" customHeight="1">
      <x:c r="A1174" s="1" t="str">
        <x:v>Round2</x:v>
      </x:c>
      <x:c r="B1174" s="1" t="str">
        <x:v>Compress</x:v>
      </x:c>
      <x:c r="C1174" s="4" t="n">
        <x:v>34</x:v>
      </x:c>
      <x:c r="D1174" s="4" t="n">
        <x:v>20260928</x:v>
      </x:c>
      <x:c r="E1174" s="4" t="n">
        <x:v>60</x:v>
      </x:c>
      <x:c r="F1174" s="4" t="n">
        <x:v>2924</x:v>
      </x:c>
      <x:c r="G1174" s="5" t="n">
        <x:v>0.9405</x:v>
      </x:c>
      <x:c r="H1174" s="5" t="n">
        <x:v>0.9429000000000001</x:v>
      </x:c>
      <x:c r="I1174" s="5" t="n">
        <x:v>0.9286</x:v>
      </x:c>
      <x:c r="J1174" s="4" t="n">
        <x:v>84</x:v>
      </x:c>
      <x:c r="K1174" s="4" t="n">
        <x:v>79</x:v>
      </x:c>
      <x:c r="L1174" s="4" t="n">
        <x:v>70</x:v>
      </x:c>
      <x:c r="M1174" s="4" t="n">
        <x:v>66</x:v>
      </x:c>
      <x:c r="N1174" s="4" t="n">
        <x:v>14</x:v>
      </x:c>
      <x:c r="O1174" s="4" t="n">
        <x:v>13</x:v>
      </x:c>
      <x:c r="P1174" s="1" t="str">
        <x:v>PASS</x:v>
      </x:c>
      <x:c r="Q1174" s="4" t="n">
        <x:v>0</x:v>
      </x:c>
      <x:c r="R1174" s="1" t="str">
        <x:v>PASS</x:v>
      </x:c>
      <x:c r="S1174" s="4" t="n">
        <x:v>0</x:v>
      </x:c>
      <x:c r="T1174" s="1" t="str">
        <x:v>NOT_REVEALING</x:v>
      </x:c>
      <x:c r="U1174" s="1" t="str">
        <x:v>Compress_34</x:v>
      </x:c>
      <x:c r="V1174" s="6" t="n">
        <x:v>53.26</x:v>
      </x:c>
    </x:row>
    <x:row r="1175" ht="22" customHeight="1">
      <x:c r="A1175" s="1" t="str">
        <x:v>Round2</x:v>
      </x:c>
      <x:c r="B1175" s="1" t="str">
        <x:v>Compress</x:v>
      </x:c>
      <x:c r="C1175" s="4" t="n">
        <x:v>35</x:v>
      </x:c>
      <x:c r="D1175" s="4" t="n">
        <x:v>20260928</x:v>
      </x:c>
      <x:c r="E1175" s="4" t="n">
        <x:v>60</x:v>
      </x:c>
      <x:c r="F1175" s="4" t="n">
        <x:v>5186</x:v>
      </x:c>
      <x:c r="G1175" s="5" t="n">
        <x:v>0.7937000000000001</x:v>
      </x:c>
      <x:c r="H1175" s="5" t="n">
        <x:v>0.8448</x:v>
      </x:c>
      <x:c r="I1175" s="5" t="n">
        <x:v>0.7143</x:v>
      </x:c>
      <x:c r="J1175" s="4" t="n">
        <x:v>286</x:v>
      </x:c>
      <x:c r="K1175" s="4" t="n">
        <x:v>227</x:v>
      </x:c>
      <x:c r="L1175" s="4" t="n">
        <x:v>174</x:v>
      </x:c>
      <x:c r="M1175" s="4" t="n">
        <x:v>147</x:v>
      </x:c>
      <x:c r="N1175" s="4" t="n">
        <x:v>112</x:v>
      </x:c>
      <x:c r="O1175" s="4" t="n">
        <x:v>80</x:v>
      </x:c>
      <x:c r="P1175" s="1" t="str">
        <x:v>PASS</x:v>
      </x:c>
      <x:c r="Q1175" s="4" t="n">
        <x:v>0</x:v>
      </x:c>
      <x:c r="R1175" s="1" t="str">
        <x:v>FAIL</x:v>
      </x:c>
      <x:c r="S1175" s="4" t="n">
        <x:v>8918</x:v>
      </x:c>
      <x:c r="T1175" s="1" t="str">
        <x:v>INCONCLUSIVE</x:v>
      </x:c>
      <x:c r="U1175" s="1" t="str">
        <x:v>Compress_35</x:v>
      </x:c>
      <x:c r="V1175" s="6" t="n">
        <x:v>67.27</x:v>
      </x:c>
    </x:row>
    <x:row r="1176" ht="22" customHeight="1">
      <x:c r="A1176" s="1" t="str">
        <x:v>Round2</x:v>
      </x:c>
      <x:c r="B1176" s="1" t="str">
        <x:v>Compress</x:v>
      </x:c>
      <x:c r="C1176" s="4" t="n">
        <x:v>36</x:v>
      </x:c>
      <x:c r="D1176" s="4" t="n">
        <x:v>20260928</x:v>
      </x:c>
      <x:c r="E1176" s="4" t="n">
        <x:v>60</x:v>
      </x:c>
      <x:c r="F1176" s="4" t="n">
        <x:v>6016</x:v>
      </x:c>
      <x:c r="G1176" s="5" t="n">
        <x:v>0.025099999999999997</x:v>
      </x:c>
      <x:c r="H1176" s="5" t="n">
        <x:v>0.0281</x:v>
      </x:c>
      <x:c r="I1176" s="5" t="n">
        <x:v>0.019799999999999998</x:v>
      </x:c>
      <x:c r="J1176" s="4" t="n">
        <x:v>836</x:v>
      </x:c>
      <x:c r="K1176" s="4" t="n">
        <x:v>21</x:v>
      </x:c>
      <x:c r="L1176" s="4" t="n">
        <x:v>533</x:v>
      </x:c>
      <x:c r="M1176" s="4" t="n">
        <x:v>15</x:v>
      </x:c>
      <x:c r="N1176" s="4" t="n">
        <x:v>303</x:v>
      </x:c>
      <x:c r="O1176" s="4" t="n">
        <x:v>6</x:v>
      </x:c>
      <x:c r="P1176" s="1" t="str">
        <x:v>PASS</x:v>
      </x:c>
      <x:c r="Q1176" s="4" t="n">
        <x:v>0</x:v>
      </x:c>
      <x:c r="R1176" s="1" t="str">
        <x:v>PASS</x:v>
      </x:c>
      <x:c r="S1176" s="4" t="n">
        <x:v>0</x:v>
      </x:c>
      <x:c r="T1176" s="1" t="str">
        <x:v>NOT_REVEALING</x:v>
      </x:c>
      <x:c r="U1176" s="1" t="str">
        <x:v>Compress_36</x:v>
      </x:c>
      <x:c r="V1176" s="6" t="n">
        <x:v>60.87</x:v>
      </x:c>
    </x:row>
    <x:row r="1177" ht="22" customHeight="1">
      <x:c r="A1177" s="1" t="str">
        <x:v>Round2</x:v>
      </x:c>
      <x:c r="B1177" s="1" t="str">
        <x:v>Compress</x:v>
      </x:c>
      <x:c r="C1177" s="4" t="n">
        <x:v>37</x:v>
      </x:c>
      <x:c r="D1177" s="4" t="n">
        <x:v>20260928</x:v>
      </x:c>
      <x:c r="E1177" s="4" t="n">
        <x:v>60</x:v>
      </x:c>
      <x:c r="F1177" s="4" t="n">
        <x:v>5199</x:v>
      </x:c>
      <x:c r="G1177" s="5" t="n">
        <x:v>0.3239</x:v>
      </x:c>
      <x:c r="H1177" s="5" t="n">
        <x:v>0.3882</x:v>
      </x:c>
      <x:c r="I1177" s="5" t="n">
        <x:v>0.2237</x:v>
      </x:c>
      <x:c r="J1177" s="4" t="n">
        <x:v>389</x:v>
      </x:c>
      <x:c r="K1177" s="4" t="n">
        <x:v>126</x:v>
      </x:c>
      <x:c r="L1177" s="4" t="n">
        <x:v>237</x:v>
      </x:c>
      <x:c r="M1177" s="4" t="n">
        <x:v>92</x:v>
      </x:c>
      <x:c r="N1177" s="4" t="n">
        <x:v>152</x:v>
      </x:c>
      <x:c r="O1177" s="4" t="n">
        <x:v>34</x:v>
      </x:c>
      <x:c r="P1177" s="1" t="str">
        <x:v>PASS</x:v>
      </x:c>
      <x:c r="Q1177" s="4" t="n">
        <x:v>0</x:v>
      </x:c>
      <x:c r="R1177" s="1" t="str">
        <x:v>PASS</x:v>
      </x:c>
      <x:c r="S1177" s="4" t="n">
        <x:v>0</x:v>
      </x:c>
      <x:c r="T1177" s="1" t="str">
        <x:v>NOT_REVEALING</x:v>
      </x:c>
      <x:c r="U1177" s="1" t="str">
        <x:v>Compress_37</x:v>
      </x:c>
      <x:c r="V1177" s="6" t="n">
        <x:v>68.72</x:v>
      </x:c>
    </x:row>
    <x:row r="1178" ht="22" customHeight="1">
      <x:c r="A1178" s="1" t="str">
        <x:v>Round2</x:v>
      </x:c>
      <x:c r="B1178" s="1" t="str">
        <x:v>Compress</x:v>
      </x:c>
      <x:c r="C1178" s="4" t="n">
        <x:v>38</x:v>
      </x:c>
      <x:c r="D1178" s="4" t="n">
        <x:v>20260928</x:v>
      </x:c>
      <x:c r="E1178" s="4" t="n">
        <x:v>60</x:v>
      </x:c>
      <x:c r="F1178" s="4" t="n">
        <x:v>5663</x:v>
      </x:c>
      <x:c r="G1178" s="5" t="n">
        <x:v>0.4631</x:v>
      </x:c>
      <x:c r="H1178" s="5" t="n">
        <x:v>0.5065999999999999</x:v>
      </x:c>
      <x:c r="I1178" s="5" t="n">
        <x:v>0.37060000000000004</x:v>
      </x:c>
      <x:c r="J1178" s="4" t="n">
        <x:v>447</x:v>
      </x:c>
      <x:c r="K1178" s="4" t="n">
        <x:v>207</x:v>
      </x:c>
      <x:c r="L1178" s="4" t="n">
        <x:v>304</x:v>
      </x:c>
      <x:c r="M1178" s="4" t="n">
        <x:v>154</x:v>
      </x:c>
      <x:c r="N1178" s="4" t="n">
        <x:v>143</x:v>
      </x:c>
      <x:c r="O1178" s="4" t="n">
        <x:v>53</x:v>
      </x:c>
      <x:c r="P1178" s="1" t="str">
        <x:v>FAIL</x:v>
      </x:c>
      <x:c r="Q1178" s="4" t="n">
        <x:v>42</x:v>
      </x:c>
      <x:c r="R1178" s="1" t="str">
        <x:v>FAIL</x:v>
      </x:c>
      <x:c r="S1178" s="4" t="n">
        <x:v>42</x:v>
      </x:c>
      <x:c r="T1178" s="1" t="str">
        <x:v>INCONCLUSIVE</x:v>
      </x:c>
      <x:c r="U1178" s="1" t="str">
        <x:v>Compress_38</x:v>
      </x:c>
      <x:c r="V1178" s="6" t="n">
        <x:v>53.83</x:v>
      </x:c>
    </x:row>
    <x:row r="1179" ht="22" customHeight="1">
      <x:c r="A1179" s="1" t="str">
        <x:v>Round2</x:v>
      </x:c>
      <x:c r="B1179" s="1" t="str">
        <x:v>Compress</x:v>
      </x:c>
      <x:c r="C1179" s="4" t="n">
        <x:v>39</x:v>
      </x:c>
      <x:c r="D1179" s="4" t="n">
        <x:v>20260928</x:v>
      </x:c>
      <x:c r="E1179" s="4" t="n">
        <x:v>60</x:v>
      </x:c>
      <x:c r="F1179" s="4" t="n">
        <x:v>3271</x:v>
      </x:c>
      <x:c r="G1179" s="5" t="n">
        <x:v>0.7653</x:v>
      </x:c>
      <x:c r="H1179" s="5" t="n">
        <x:v>0.7258</x:v>
      </x:c>
      <x:c r="I1179" s="5" t="n">
        <x:v>0.8332999999999999</x:v>
      </x:c>
      <x:c r="J1179" s="4" t="n">
        <x:v>98</x:v>
      </x:c>
      <x:c r="K1179" s="4" t="n">
        <x:v>75</x:v>
      </x:c>
      <x:c r="L1179" s="4" t="n">
        <x:v>62</x:v>
      </x:c>
      <x:c r="M1179" s="4" t="n">
        <x:v>45</x:v>
      </x:c>
      <x:c r="N1179" s="4" t="n">
        <x:v>36</x:v>
      </x:c>
      <x:c r="O1179" s="4" t="n">
        <x:v>30</x:v>
      </x:c>
      <x:c r="P1179" s="1" t="str">
        <x:v>PASS</x:v>
      </x:c>
      <x:c r="Q1179" s="4" t="n">
        <x:v>0</x:v>
      </x:c>
      <x:c r="R1179" s="1" t="str">
        <x:v>PASS</x:v>
      </x:c>
      <x:c r="S1179" s="4" t="n">
        <x:v>0</x:v>
      </x:c>
      <x:c r="T1179" s="1" t="str">
        <x:v>NOT_REVEALING</x:v>
      </x:c>
      <x:c r="U1179" s="1" t="str">
        <x:v>Compress_39</x:v>
      </x:c>
      <x:c r="V1179" s="6" t="n">
        <x:v>67.93</x:v>
      </x:c>
    </x:row>
    <x:row r="1180" ht="22" customHeight="1">
      <x:c r="A1180" s="1" t="str">
        <x:v>Round2</x:v>
      </x:c>
      <x:c r="B1180" s="1" t="str">
        <x:v>Compress</x:v>
      </x:c>
      <x:c r="C1180" s="4" t="n">
        <x:v>40</x:v>
      </x:c>
      <x:c r="D1180" s="4" t="n">
        <x:v>20260928</x:v>
      </x:c>
      <x:c r="E1180" s="4" t="n">
        <x:v>60</x:v>
      </x:c>
      <x:c r="F1180" s="4" t="n">
        <x:v>7559</x:v>
      </x:c>
      <x:c r="G1180" s="5" t="n">
        <x:v>0.6444</x:v>
      </x:c>
      <x:c r="H1180" s="5" t="n">
        <x:v>0.6667000000000001</x:v>
      </x:c>
      <x:c r="I1180" s="5" t="n">
        <x:v>0.5832999999999999</x:v>
      </x:c>
      <x:c r="J1180" s="4" t="n">
        <x:v>45</x:v>
      </x:c>
      <x:c r="K1180" s="4" t="n">
        <x:v>29</x:v>
      </x:c>
      <x:c r="L1180" s="4" t="n">
        <x:v>33</x:v>
      </x:c>
      <x:c r="M1180" s="4" t="n">
        <x:v>22</x:v>
      </x:c>
      <x:c r="N1180" s="4" t="n">
        <x:v>12</x:v>
      </x:c>
      <x:c r="O1180" s="4" t="n">
        <x:v>7</x:v>
      </x:c>
      <x:c r="P1180" s="1" t="str">
        <x:v>PASS</x:v>
      </x:c>
      <x:c r="Q1180" s="4" t="n">
        <x:v>0</x:v>
      </x:c>
      <x:c r="R1180" s="1" t="str">
        <x:v>PASS</x:v>
      </x:c>
      <x:c r="S1180" s="4" t="n">
        <x:v>0</x:v>
      </x:c>
      <x:c r="T1180" s="1" t="str">
        <x:v>NOT_REVEALING</x:v>
      </x:c>
      <x:c r="U1180" s="1" t="str">
        <x:v>Compress_40</x:v>
      </x:c>
      <x:c r="V1180" s="6" t="n">
        <x:v>56.81</x:v>
      </x:c>
    </x:row>
    <x:row r="1181" ht="22" customHeight="1">
      <x:c r="A1181" s="1" t="str">
        <x:v>Round2</x:v>
      </x:c>
      <x:c r="B1181" s="1" t="str">
        <x:v>Compress</x:v>
      </x:c>
      <x:c r="C1181" s="4" t="n">
        <x:v>41</x:v>
      </x:c>
      <x:c r="D1181" s="4" t="n">
        <x:v>20260928</x:v>
      </x:c>
      <x:c r="E1181" s="4" t="n">
        <x:v>60</x:v>
      </x:c>
      <x:c r="F1181" s="4" t="n">
        <x:v>4289</x:v>
      </x:c>
      <x:c r="G1181" s="5" t="n">
        <x:v>0.14880000000000002</x:v>
      </x:c>
      <x:c r="H1181" s="5" t="n">
        <x:v>0.1796</x:v>
      </x:c>
      <x:c r="I1181" s="5" t="n">
        <x:v>0.1</x:v>
      </x:c>
      <x:c r="J1181" s="4" t="n">
        <x:v>672</x:v>
      </x:c>
      <x:c r="K1181" s="4" t="n">
        <x:v>100</x:v>
      </x:c>
      <x:c r="L1181" s="4" t="n">
        <x:v>412</x:v>
      </x:c>
      <x:c r="M1181" s="4" t="n">
        <x:v>74</x:v>
      </x:c>
      <x:c r="N1181" s="4" t="n">
        <x:v>260</x:v>
      </x:c>
      <x:c r="O1181" s="4" t="n">
        <x:v>26</x:v>
      </x:c>
      <x:c r="P1181" s="1" t="str">
        <x:v>PASS</x:v>
      </x:c>
      <x:c r="Q1181" s="4" t="n">
        <x:v>0</x:v>
      </x:c>
      <x:c r="R1181" s="1" t="str">
        <x:v>PASS</x:v>
      </x:c>
      <x:c r="S1181" s="4" t="n">
        <x:v>0</x:v>
      </x:c>
      <x:c r="T1181" s="1" t="str">
        <x:v>NOT_REVEALING</x:v>
      </x:c>
      <x:c r="U1181" s="1" t="str">
        <x:v>Compress_41</x:v>
      </x:c>
      <x:c r="V1181" s="6" t="n">
        <x:v>69.41</x:v>
      </x:c>
    </x:row>
    <x:row r="1182" ht="22" customHeight="1">
      <x:c r="A1182" s="1" t="str">
        <x:v>Round2</x:v>
      </x:c>
      <x:c r="B1182" s="1" t="str">
        <x:v>Compress</x:v>
      </x:c>
      <x:c r="C1182" s="4" t="n">
        <x:v>42</x:v>
      </x:c>
      <x:c r="D1182" s="4" t="n">
        <x:v>20260928</x:v>
      </x:c>
      <x:c r="E1182" s="4" t="n">
        <x:v>60</x:v>
      </x:c>
      <x:c r="F1182" s="4" t="n">
        <x:v>3993</x:v>
      </x:c>
      <x:c r="G1182" s="5" t="n">
        <x:v>0.8005</x:v>
      </x:c>
      <x:c r="H1182" s="5" t="n">
        <x:v>0.8525</x:v>
      </x:c>
      <x:c r="I1182" s="5" t="n">
        <x:v>0.7045</x:v>
      </x:c>
      <x:c r="J1182" s="4" t="n">
        <x:v>376</x:v>
      </x:c>
      <x:c r="K1182" s="4" t="n">
        <x:v>301</x:v>
      </x:c>
      <x:c r="L1182" s="4" t="n">
        <x:v>244</x:v>
      </x:c>
      <x:c r="M1182" s="4" t="n">
        <x:v>208</x:v>
      </x:c>
      <x:c r="N1182" s="4" t="n">
        <x:v>132</x:v>
      </x:c>
      <x:c r="O1182" s="4" t="n">
        <x:v>93</x:v>
      </x:c>
      <x:c r="P1182" s="1" t="str">
        <x:v>FAIL</x:v>
      </x:c>
      <x:c r="Q1182" s="4" t="n">
        <x:v>1524</x:v>
      </x:c>
      <x:c r="R1182" s="1" t="str">
        <x:v>FAIL</x:v>
      </x:c>
      <x:c r="S1182" s="4" t="n">
        <x:v>1526</x:v>
      </x:c>
      <x:c r="T1182" s="1" t="str">
        <x:v>INCONCLUSIVE</x:v>
      </x:c>
      <x:c r="U1182" s="1" t="str">
        <x:v>Compress_42</x:v>
      </x:c>
      <x:c r="V1182" s="6" t="n">
        <x:v>63.51</x:v>
      </x:c>
    </x:row>
    <x:row r="1183" ht="22" customHeight="1">
      <x:c r="A1183" s="1" t="str">
        <x:v>Round2</x:v>
      </x:c>
      <x:c r="B1183" s="1" t="str">
        <x:v>Compress</x:v>
      </x:c>
      <x:c r="C1183" s="4" t="n">
        <x:v>43</x:v>
      </x:c>
      <x:c r="D1183" s="4" t="n">
        <x:v>20260928</x:v>
      </x:c>
      <x:c r="E1183" s="4" t="n">
        <x:v>60</x:v>
      </x:c>
      <x:c r="F1183" s="4" t="n">
        <x:v>5609</x:v>
      </x:c>
      <x:c r="G1183" s="5" t="n">
        <x:v>0.1777</x:v>
      </x:c>
      <x:c r="H1183" s="5" t="n">
        <x:v>0.21760000000000002</x:v>
      </x:c>
      <x:c r="I1183" s="5" t="n">
        <x:v>0.1067</x:v>
      </x:c>
      <x:c r="J1183" s="4" t="n">
        <x:v>833</x:v>
      </x:c>
      <x:c r="K1183" s="4" t="n">
        <x:v>148</x:v>
      </x:c>
      <x:c r="L1183" s="4" t="n">
        <x:v>533</x:v>
      </x:c>
      <x:c r="M1183" s="4" t="n">
        <x:v>116</x:v>
      </x:c>
      <x:c r="N1183" s="4" t="n">
        <x:v>300</x:v>
      </x:c>
      <x:c r="O1183" s="4" t="n">
        <x:v>32</x:v>
      </x:c>
      <x:c r="P1183" s="1" t="str">
        <x:v>PASS</x:v>
      </x:c>
      <x:c r="Q1183" s="4" t="n">
        <x:v>0</x:v>
      </x:c>
      <x:c r="R1183" s="1" t="str">
        <x:v>PASS</x:v>
      </x:c>
      <x:c r="S1183" s="4" t="n">
        <x:v>0</x:v>
      </x:c>
      <x:c r="T1183" s="1" t="str">
        <x:v>NOT_REVEALING</x:v>
      </x:c>
      <x:c r="U1183" s="1" t="str">
        <x:v>Compress_43</x:v>
      </x:c>
      <x:c r="V1183" s="6" t="n">
        <x:v>55.79</x:v>
      </x:c>
    </x:row>
    <x:row r="1184" ht="22" customHeight="1">
      <x:c r="A1184" s="1" t="str">
        <x:v>Round2</x:v>
      </x:c>
      <x:c r="B1184" s="1" t="str">
        <x:v>Compress</x:v>
      </x:c>
      <x:c r="C1184" s="4" t="n">
        <x:v>44</x:v>
      </x:c>
      <x:c r="D1184" s="4" t="n">
        <x:v>20260928</x:v>
      </x:c>
      <x:c r="E1184" s="4" t="n">
        <x:v>60</x:v>
      </x:c>
      <x:c r="F1184" s="4" t="n">
        <x:v>6093</x:v>
      </x:c>
      <x:c r="G1184" s="5" t="n">
        <x:v>0.8261</x:v>
      </x:c>
      <x:c r="H1184" s="5" t="n">
        <x:v>0.8824</x:v>
      </x:c>
      <x:c r="I1184" s="5" t="n">
        <x:v>0.6667000000000001</x:v>
      </x:c>
      <x:c r="J1184" s="4" t="n">
        <x:v>23</x:v>
      </x:c>
      <x:c r="K1184" s="4" t="n">
        <x:v>19</x:v>
      </x:c>
      <x:c r="L1184" s="4" t="n">
        <x:v>17</x:v>
      </x:c>
      <x:c r="M1184" s="4" t="n">
        <x:v>15</x:v>
      </x:c>
      <x:c r="N1184" s="4" t="n">
        <x:v>6</x:v>
      </x:c>
      <x:c r="O1184" s="4" t="n">
        <x:v>4</x:v>
      </x:c>
      <x:c r="P1184" s="1" t="str">
        <x:v>PASS</x:v>
      </x:c>
      <x:c r="Q1184" s="4" t="n">
        <x:v>0</x:v>
      </x:c>
      <x:c r="R1184" s="1" t="str">
        <x:v>FAIL</x:v>
      </x:c>
      <x:c r="S1184" s="4" t="n">
        <x:v>11184</x:v>
      </x:c>
      <x:c r="T1184" s="1" t="str">
        <x:v>INCONCLUSIVE</x:v>
      </x:c>
      <x:c r="U1184" s="1" t="str">
        <x:v>Compress_44</x:v>
      </x:c>
      <x:c r="V1184" s="6" t="n">
        <x:v>72.89</x:v>
      </x:c>
    </x:row>
    <x:row r="1185" ht="22" customHeight="1">
      <x:c r="A1185" s="1" t="str">
        <x:v>Round2</x:v>
      </x:c>
      <x:c r="B1185" s="1" t="str">
        <x:v>Compress</x:v>
      </x:c>
      <x:c r="C1185" s="4" t="n">
        <x:v>45</x:v>
      </x:c>
      <x:c r="D1185" s="4" t="n">
        <x:v>20260928</x:v>
      </x:c>
      <x:c r="E1185" s="4" t="n">
        <x:v>60</x:v>
      </x:c>
      <x:c r="F1185" s="4" t="n">
        <x:v>5180</x:v>
      </x:c>
      <x:c r="G1185" s="5" t="n">
        <x:v>0.7598999999999999</x:v>
      </x:c>
      <x:c r="H1185" s="5" t="n">
        <x:v>0.8012</x:v>
      </x:c>
      <x:c r="I1185" s="5" t="n">
        <x:v>0.6944</x:v>
      </x:c>
      <x:c r="J1185" s="4" t="n">
        <x:v>279</x:v>
      </x:c>
      <x:c r="K1185" s="4" t="n">
        <x:v>212</x:v>
      </x:c>
      <x:c r="L1185" s="4" t="n">
        <x:v>171</x:v>
      </x:c>
      <x:c r="M1185" s="4" t="n">
        <x:v>137</x:v>
      </x:c>
      <x:c r="N1185" s="4" t="n">
        <x:v>108</x:v>
      </x:c>
      <x:c r="O1185" s="4" t="n">
        <x:v>75</x:v>
      </x:c>
      <x:c r="P1185" s="1" t="str">
        <x:v>PASS</x:v>
      </x:c>
      <x:c r="Q1185" s="4" t="n">
        <x:v>0</x:v>
      </x:c>
      <x:c r="R1185" s="1" t="str">
        <x:v>FAIL</x:v>
      </x:c>
      <x:c r="S1185" s="4" t="n">
        <x:v>16</x:v>
      </x:c>
      <x:c r="T1185" s="1" t="str">
        <x:v>INCONCLUSIVE</x:v>
      </x:c>
      <x:c r="U1185" s="1" t="str">
        <x:v>Compress_45</x:v>
      </x:c>
      <x:c r="V1185" s="6" t="n">
        <x:v>72.98</x:v>
      </x:c>
    </x:row>
    <x:row r="1186" ht="22" customHeight="1">
      <x:c r="A1186" s="1" t="str">
        <x:v>Round2</x:v>
      </x:c>
      <x:c r="B1186" s="1" t="str">
        <x:v>Compress</x:v>
      </x:c>
      <x:c r="C1186" s="4" t="n">
        <x:v>46</x:v>
      </x:c>
      <x:c r="D1186" s="4" t="n">
        <x:v>20260928</x:v>
      </x:c>
      <x:c r="E1186" s="4" t="n">
        <x:v>60</x:v>
      </x:c>
      <x:c r="F1186" s="4" t="n">
        <x:v>2873</x:v>
      </x:c>
      <x:c r="G1186" s="5" t="n">
        <x:v>0.6372</x:v>
      </x:c>
      <x:c r="H1186" s="5" t="n">
        <x:v>0.7143</x:v>
      </x:c>
      <x:c r="I1186" s="5" t="n">
        <x:v>0.5417000000000001</x:v>
      </x:c>
      <x:c r="J1186" s="4" t="n">
        <x:v>215</x:v>
      </x:c>
      <x:c r="K1186" s="4" t="n">
        <x:v>137</x:v>
      </x:c>
      <x:c r="L1186" s="4" t="n">
        <x:v>119</x:v>
      </x:c>
      <x:c r="M1186" s="4" t="n">
        <x:v>85</x:v>
      </x:c>
      <x:c r="N1186" s="4" t="n">
        <x:v>96</x:v>
      </x:c>
      <x:c r="O1186" s="4" t="n">
        <x:v>52</x:v>
      </x:c>
      <x:c r="P1186" s="1" t="str">
        <x:v>FAIL</x:v>
      </x:c>
      <x:c r="Q1186" s="4" t="n">
        <x:v>2</x:v>
      </x:c>
      <x:c r="R1186" s="1" t="str">
        <x:v>FAIL</x:v>
      </x:c>
      <x:c r="S1186" s="4" t="n">
        <x:v>2</x:v>
      </x:c>
      <x:c r="T1186" s="1" t="str">
        <x:v>INCONCLUSIVE</x:v>
      </x:c>
      <x:c r="U1186" s="1" t="str">
        <x:v>Compress_46</x:v>
      </x:c>
      <x:c r="V1186" s="6" t="n">
        <x:v>51.92</x:v>
      </x:c>
    </x:row>
    <x:row r="1187" ht="22" customHeight="1">
      <x:c r="A1187" s="1" t="str">
        <x:v>Round2</x:v>
      </x:c>
      <x:c r="B1187" s="1" t="str">
        <x:v>Compress</x:v>
      </x:c>
      <x:c r="C1187" s="4" t="n">
        <x:v>47</x:v>
      </x:c>
      <x:c r="D1187" s="4" t="n">
        <x:v>20260928</x:v>
      </x:c>
      <x:c r="E1187" s="4" t="n">
        <x:v>60</x:v>
      </x:c>
      <x:c r="F1187" s="4" t="n">
        <x:v>4625</x:v>
      </x:c>
      <x:c r="G1187" s="5" t="n">
        <x:v>0.1437</x:v>
      </x:c>
      <x:c r="H1187" s="5" t="n">
        <x:v>0.1744</x:v>
      </x:c>
      <x:c r="I1187" s="5" t="n">
        <x:v>0.09519999999999999</x:v>
      </x:c>
      <x:c r="J1187" s="4" t="n">
        <x:v>703</x:v>
      </x:c>
      <x:c r="K1187" s="4" t="n">
        <x:v>101</x:v>
      </x:c>
      <x:c r="L1187" s="4" t="n">
        <x:v>430</x:v>
      </x:c>
      <x:c r="M1187" s="4" t="n">
        <x:v>75</x:v>
      </x:c>
      <x:c r="N1187" s="4" t="n">
        <x:v>273</x:v>
      </x:c>
      <x:c r="O1187" s="4" t="n">
        <x:v>26</x:v>
      </x:c>
      <x:c r="P1187" s="1" t="str">
        <x:v>PASS</x:v>
      </x:c>
      <x:c r="Q1187" s="4" t="n">
        <x:v>0</x:v>
      </x:c>
      <x:c r="R1187" s="1" t="str">
        <x:v>PASS</x:v>
      </x:c>
      <x:c r="S1187" s="4" t="n">
        <x:v>0</x:v>
      </x:c>
      <x:c r="T1187" s="1" t="str">
        <x:v>NOT_REVEALING</x:v>
      </x:c>
      <x:c r="U1187" s="1" t="str">
        <x:v>Compress_47</x:v>
      </x:c>
      <x:c r="V1187" s="6" t="n">
        <x:v>74.37</x:v>
      </x:c>
    </x:row>
    <x:row r="1188" ht="22" customHeight="1">
      <x:c r="A1188" s="1" t="str">
        <x:v>Round2</x:v>
      </x:c>
      <x:c r="B1188" s="1" t="str">
        <x:v>Csv</x:v>
      </x:c>
      <x:c r="C1188" s="4" t="n">
        <x:v>1</x:v>
      </x:c>
      <x:c r="D1188" s="4" t="n">
        <x:v>20260928</x:v>
      </x:c>
      <x:c r="E1188" s="4" t="n">
        <x:v>60</x:v>
      </x:c>
      <x:c r="F1188" s="4" t="n">
        <x:v>4692</x:v>
      </x:c>
      <x:c r="G1188" s="5" t="n">
        <x:v>0.5254</x:v>
      </x:c>
      <x:c r="H1188" s="5" t="n">
        <x:v>0.6757</x:v>
      </x:c>
      <x:c r="I1188" s="5" t="n">
        <x:v>0.2727</x:v>
      </x:c>
      <x:c r="J1188" s="4" t="n">
        <x:v>59</x:v>
      </x:c>
      <x:c r="K1188" s="4" t="n">
        <x:v>31</x:v>
      </x:c>
      <x:c r="L1188" s="4" t="n">
        <x:v>37</x:v>
      </x:c>
      <x:c r="M1188" s="4" t="n">
        <x:v>25</x:v>
      </x:c>
      <x:c r="N1188" s="4" t="n">
        <x:v>22</x:v>
      </x:c>
      <x:c r="O1188" s="4" t="n">
        <x:v>6</x:v>
      </x:c>
      <x:c r="P1188" s="1" t="str">
        <x:v>PASS</x:v>
      </x:c>
      <x:c r="Q1188" s="4" t="n">
        <x:v>0</x:v>
      </x:c>
      <x:c r="R1188" s="1" t="str">
        <x:v>PASS</x:v>
      </x:c>
      <x:c r="S1188" s="4" t="n">
        <x:v>0</x:v>
      </x:c>
      <x:c r="T1188" s="1" t="str">
        <x:v>NOT_REVEALING</x:v>
      </x:c>
      <x:c r="U1188" s="1" t="str">
        <x:v>Csv_1</x:v>
      </x:c>
      <x:c r="V1188" s="6" t="n">
        <x:v>56.07</x:v>
      </x:c>
    </x:row>
    <x:row r="1189" ht="22" customHeight="1">
      <x:c r="A1189" s="1" t="str">
        <x:v>Round2</x:v>
      </x:c>
      <x:c r="B1189" s="1" t="str">
        <x:v>Csv</x:v>
      </x:c>
      <x:c r="C1189" s="4" t="n">
        <x:v>2</x:v>
      </x:c>
      <x:c r="D1189" s="4" t="n">
        <x:v>20260928</x:v>
      </x:c>
      <x:c r="E1189" s="4" t="n">
        <x:v>60</x:v>
      </x:c>
      <x:c r="F1189" s="4" t="n">
        <x:v>4812</x:v>
      </x:c>
      <x:c r="G1189" s="5" t="n">
        <x:v>0.6757</x:v>
      </x:c>
      <x:c r="H1189" s="5" t="n">
        <x:v>0.9048</x:v>
      </x:c>
      <x:c r="I1189" s="5" t="n">
        <x:v>0.375</x:v>
      </x:c>
      <x:c r="J1189" s="4" t="n">
        <x:v>37</x:v>
      </x:c>
      <x:c r="K1189" s="4" t="n">
        <x:v>25</x:v>
      </x:c>
      <x:c r="L1189" s="4" t="n">
        <x:v>21</x:v>
      </x:c>
      <x:c r="M1189" s="4" t="n">
        <x:v>19</x:v>
      </x:c>
      <x:c r="N1189" s="4" t="n">
        <x:v>16</x:v>
      </x:c>
      <x:c r="O1189" s="4" t="n">
        <x:v>6</x:v>
      </x:c>
      <x:c r="P1189" s="1" t="str">
        <x:v>PASS</x:v>
      </x:c>
      <x:c r="Q1189" s="4" t="n">
        <x:v>0</x:v>
      </x:c>
      <x:c r="R1189" s="1" t="str">
        <x:v>PASS</x:v>
      </x:c>
      <x:c r="S1189" s="4" t="n">
        <x:v>0</x:v>
      </x:c>
      <x:c r="T1189" s="1" t="str">
        <x:v>NOT_REVEALING</x:v>
      </x:c>
      <x:c r="U1189" s="1" t="str">
        <x:v>Csv_2</x:v>
      </x:c>
      <x:c r="V1189" s="6" t="n">
        <x:v>49.09</x:v>
      </x:c>
    </x:row>
    <x:row r="1190" ht="22" customHeight="1">
      <x:c r="A1190" s="1" t="str">
        <x:v>Round2</x:v>
      </x:c>
      <x:c r="B1190" s="1" t="str">
        <x:v>Csv</x:v>
      </x:c>
      <x:c r="C1190" s="4" t="n">
        <x:v>3</x:v>
      </x:c>
      <x:c r="D1190" s="4" t="n">
        <x:v>20260928</x:v>
      </x:c>
      <x:c r="E1190" s="4" t="n">
        <x:v>60</x:v>
      </x:c>
      <x:c r="F1190" s="4" t="n">
        <x:v>1</x:v>
      </x:c>
      <x:c r="G1190" s="5" t="n">
        <x:v>0</x:v>
      </x:c>
      <x:c r="H1190" s="5" t="n">
        <x:v>0</x:v>
      </x:c>
      <x:c r="I1190" s="5" t="n">
        <x:v>0</x:v>
      </x:c>
      <x:c r="J1190" s="4" t="n">
        <x:v>82</x:v>
      </x:c>
      <x:c r="K1190" s="4" t="n">
        <x:v>0</x:v>
      </x:c>
      <x:c r="L1190" s="4" t="n">
        <x:v>38</x:v>
      </x:c>
      <x:c r="M1190" s="4" t="n">
        <x:v>0</x:v>
      </x:c>
      <x:c r="N1190" s="4" t="n">
        <x:v>44</x:v>
      </x:c>
      <x:c r="O1190" s="4" t="n">
        <x:v>0</x:v>
      </x:c>
      <x:c r="P1190" s="1" t="str">
        <x:v>PASS</x:v>
      </x:c>
      <x:c r="Q1190" s="4" t="n">
        <x:v>0</x:v>
      </x:c>
      <x:c r="R1190" s="1" t="str">
        <x:v>PASS</x:v>
      </x:c>
      <x:c r="S1190" s="4" t="n">
        <x:v>0</x:v>
      </x:c>
      <x:c r="T1190" s="1" t="str">
        <x:v>NOT_REVEALING</x:v>
      </x:c>
      <x:c r="U1190" s="1" t="str">
        <x:v>Csv_3</x:v>
      </x:c>
      <x:c r="V1190" s="6" t="n">
        <x:v>15.31</x:v>
      </x:c>
    </x:row>
    <x:row r="1191" ht="22" customHeight="1">
      <x:c r="A1191" s="1" t="str">
        <x:v>Round2</x:v>
      </x:c>
      <x:c r="B1191" s="1" t="str">
        <x:v>Csv</x:v>
      </x:c>
      <x:c r="C1191" s="4" t="n">
        <x:v>4</x:v>
      </x:c>
      <x:c r="D1191" s="4" t="n">
        <x:v>20260928</x:v>
      </x:c>
      <x:c r="E1191" s="4" t="n">
        <x:v>60</x:v>
      </x:c>
      <x:c r="F1191" s="4" t="n">
        <x:v>6</x:v>
      </x:c>
      <x:c r="G1191" s="5" t="n">
        <x:v>0.026699999999999998</x:v>
      </x:c>
      <x:c r="H1191" s="5" t="n">
        <x:v>0.04</x:v>
      </x:c>
      <x:c r="I1191" s="5" t="n">
        <x:v>0</x:v>
      </x:c>
      <x:c r="J1191" s="4" t="n">
        <x:v>150</x:v>
      </x:c>
      <x:c r="K1191" s="4" t="n">
        <x:v>4</x:v>
      </x:c>
      <x:c r="L1191" s="4" t="n">
        <x:v>100</x:v>
      </x:c>
      <x:c r="M1191" s="4" t="n">
        <x:v>4</x:v>
      </x:c>
      <x:c r="N1191" s="4" t="n">
        <x:v>50</x:v>
      </x:c>
      <x:c r="O1191" s="4" t="n">
        <x:v>0</x:v>
      </x:c>
      <x:c r="P1191" s="1" t="str">
        <x:v>PASS</x:v>
      </x:c>
      <x:c r="Q1191" s="4" t="n">
        <x:v>0</x:v>
      </x:c>
      <x:c r="R1191" s="1" t="str">
        <x:v>PASS</x:v>
      </x:c>
      <x:c r="S1191" s="4" t="n">
        <x:v>0</x:v>
      </x:c>
      <x:c r="T1191" s="1" t="str">
        <x:v>NOT_REVEALING</x:v>
      </x:c>
      <x:c r="U1191" s="1" t="str">
        <x:v>Csv_4</x:v>
      </x:c>
      <x:c r="V1191" s="6" t="n">
        <x:v>18.65</x:v>
      </x:c>
    </x:row>
    <x:row r="1192" ht="22" customHeight="1">
      <x:c r="A1192" s="1" t="str">
        <x:v>Round2</x:v>
      </x:c>
      <x:c r="B1192" s="1" t="str">
        <x:v>Csv</x:v>
      </x:c>
      <x:c r="C1192" s="4" t="n">
        <x:v>5</x:v>
      </x:c>
      <x:c r="D1192" s="4" t="n">
        <x:v>20260928</x:v>
      </x:c>
      <x:c r="E1192" s="4" t="n">
        <x:v>60</x:v>
      </x:c>
      <x:c r="F1192" s="4" t="n">
        <x:v>2</x:v>
      </x:c>
      <x:c r="G1192" s="5" t="n">
        <x:v>0.011000000000000001</x:v>
      </x:c>
      <x:c r="H1192" s="5" t="n">
        <x:v>0.019</x:v>
      </x:c>
      <x:c r="I1192" s="5" t="n">
        <x:v>0</x:v>
      </x:c>
      <x:c r="J1192" s="4" t="n">
        <x:v>273</x:v>
      </x:c>
      <x:c r="K1192" s="4" t="n">
        <x:v>3</x:v>
      </x:c>
      <x:c r="L1192" s="4" t="n">
        <x:v>158</x:v>
      </x:c>
      <x:c r="M1192" s="4" t="n">
        <x:v>3</x:v>
      </x:c>
      <x:c r="N1192" s="4" t="n">
        <x:v>115</x:v>
      </x:c>
      <x:c r="O1192" s="4" t="n">
        <x:v>0</x:v>
      </x:c>
      <x:c r="P1192" s="1" t="str">
        <x:v>PASS</x:v>
      </x:c>
      <x:c r="Q1192" s="4" t="n">
        <x:v>0</x:v>
      </x:c>
      <x:c r="R1192" s="1" t="str">
        <x:v>PASS</x:v>
      </x:c>
      <x:c r="S1192" s="4" t="n">
        <x:v>0</x:v>
      </x:c>
      <x:c r="T1192" s="1" t="str">
        <x:v>NOT_REVEALING</x:v>
      </x:c>
      <x:c r="U1192" s="1" t="str">
        <x:v>Csv_5</x:v>
      </x:c>
      <x:c r="V1192" s="6" t="n">
        <x:v>20.6</x:v>
      </x:c>
    </x:row>
    <x:row r="1193" ht="22" customHeight="1">
      <x:c r="A1193" s="1" t="str">
        <x:v>Round2</x:v>
      </x:c>
      <x:c r="B1193" s="1" t="str">
        <x:v>Csv</x:v>
      </x:c>
      <x:c r="C1193" s="4" t="n">
        <x:v>6</x:v>
      </x:c>
      <x:c r="D1193" s="4" t="n">
        <x:v>20260928</x:v>
      </x:c>
      <x:c r="E1193" s="4" t="n">
        <x:v>60</x:v>
      </x:c>
      <x:c r="F1193" s="4" t="n">
        <x:v>5281</x:v>
      </x:c>
      <x:c r="G1193" s="5" t="n">
        <x:v>0.5283</x:v>
      </x:c>
      <x:c r="H1193" s="5" t="n">
        <x:v>0.6286</x:v>
      </x:c>
      <x:c r="I1193" s="5" t="n">
        <x:v>0.3333</x:v>
      </x:c>
      <x:c r="J1193" s="4" t="n">
        <x:v>53</x:v>
      </x:c>
      <x:c r="K1193" s="4" t="n">
        <x:v>28</x:v>
      </x:c>
      <x:c r="L1193" s="4" t="n">
        <x:v>35</x:v>
      </x:c>
      <x:c r="M1193" s="4" t="n">
        <x:v>22</x:v>
      </x:c>
      <x:c r="N1193" s="4" t="n">
        <x:v>18</x:v>
      </x:c>
      <x:c r="O1193" s="4" t="n">
        <x:v>6</x:v>
      </x:c>
      <x:c r="P1193" s="1" t="str">
        <x:v>PASS</x:v>
      </x:c>
      <x:c r="Q1193" s="4" t="n">
        <x:v>0</x:v>
      </x:c>
      <x:c r="R1193" s="1" t="str">
        <x:v>PASS</x:v>
      </x:c>
      <x:c r="S1193" s="4" t="n">
        <x:v>0</x:v>
      </x:c>
      <x:c r="T1193" s="1" t="str">
        <x:v>NOT_REVEALING</x:v>
      </x:c>
      <x:c r="U1193" s="1" t="str">
        <x:v>Csv_6</x:v>
      </x:c>
      <x:c r="V1193" s="6" t="n">
        <x:v>51.85</x:v>
      </x:c>
    </x:row>
    <x:row r="1194" ht="22" customHeight="1">
      <x:c r="A1194" s="1" t="str">
        <x:v>Round2</x:v>
      </x:c>
      <x:c r="B1194" s="1" t="str">
        <x:v>Csv</x:v>
      </x:c>
      <x:c r="C1194" s="4" t="n">
        <x:v>7</x:v>
      </x:c>
      <x:c r="D1194" s="4" t="n">
        <x:v>20260928</x:v>
      </x:c>
      <x:c r="E1194" s="4" t="n">
        <x:v>60</x:v>
      </x:c>
      <x:c r="F1194" s="4" t="n">
        <x:v>6</x:v>
      </x:c>
      <x:c r="G1194" s="5" t="n">
        <x:v>0.053</x:v>
      </x:c>
      <x:c r="H1194" s="5" t="n">
        <x:v>0.07919999999999999</x:v>
      </x:c>
      <x:c r="I1194" s="5" t="n">
        <x:v>0</x:v>
      </x:c>
      <x:c r="J1194" s="4" t="n">
        <x:v>151</x:v>
      </x:c>
      <x:c r="K1194" s="4" t="n">
        <x:v>8</x:v>
      </x:c>
      <x:c r="L1194" s="4" t="n">
        <x:v>101</x:v>
      </x:c>
      <x:c r="M1194" s="4" t="n">
        <x:v>8</x:v>
      </x:c>
      <x:c r="N1194" s="4" t="n">
        <x:v>50</x:v>
      </x:c>
      <x:c r="O1194" s="4" t="n">
        <x:v>0</x:v>
      </x:c>
      <x:c r="P1194" s="1" t="str">
        <x:v>PASS</x:v>
      </x:c>
      <x:c r="Q1194" s="4" t="n">
        <x:v>0</x:v>
      </x:c>
      <x:c r="R1194" s="1" t="str">
        <x:v>PASS</x:v>
      </x:c>
      <x:c r="S1194" s="4" t="n">
        <x:v>0</x:v>
      </x:c>
      <x:c r="T1194" s="1" t="str">
        <x:v>NOT_REVEALING</x:v>
      </x:c>
      <x:c r="U1194" s="1" t="str">
        <x:v>Csv_7</x:v>
      </x:c>
      <x:c r="V1194" s="6" t="n">
        <x:v>21.76</x:v>
      </x:c>
    </x:row>
    <x:row r="1195" ht="22" customHeight="1">
      <x:c r="A1195" s="1" t="str">
        <x:v>Round2</x:v>
      </x:c>
      <x:c r="B1195" s="1" t="str">
        <x:v>Csv</x:v>
      </x:c>
      <x:c r="C1195" s="4" t="n">
        <x:v>8</x:v>
      </x:c>
      <x:c r="D1195" s="4" t="n">
        <x:v>20260928</x:v>
      </x:c>
      <x:c r="E1195" s="4" t="n">
        <x:v>60</x:v>
      </x:c>
      <x:c r="F1195" s="4" t="n">
        <x:v>4741</x:v>
      </x:c>
      <x:c r="G1195" s="5" t="n">
        <x:v>0.7743000000000001</x:v>
      </x:c>
      <x:c r="H1195" s="5" t="n">
        <x:v>0.8212</x:v>
      </x:c>
      <x:c r="I1195" s="5" t="n">
        <x:v>0.7143</x:v>
      </x:c>
      <x:c r="J1195" s="4" t="n">
        <x:v>319</x:v>
      </x:c>
      <x:c r="K1195" s="4" t="n">
        <x:v>247</x:v>
      </x:c>
      <x:c r="L1195" s="4" t="n">
        <x:v>179</x:v>
      </x:c>
      <x:c r="M1195" s="4" t="n">
        <x:v>147</x:v>
      </x:c>
      <x:c r="N1195" s="4" t="n">
        <x:v>140</x:v>
      </x:c>
      <x:c r="O1195" s="4" t="n">
        <x:v>100</x:v>
      </x:c>
      <x:c r="P1195" s="1" t="str">
        <x:v>PASS</x:v>
      </x:c>
      <x:c r="Q1195" s="4" t="n">
        <x:v>0</x:v>
      </x:c>
      <x:c r="R1195" s="1" t="str">
        <x:v>PASS</x:v>
      </x:c>
      <x:c r="S1195" s="4" t="n">
        <x:v>0</x:v>
      </x:c>
      <x:c r="T1195" s="1" t="str">
        <x:v>NOT_REVEALING</x:v>
      </x:c>
      <x:c r="U1195" s="1" t="str">
        <x:v>Csv_8</x:v>
      </x:c>
      <x:c r="V1195" s="6" t="n">
        <x:v>57.38</x:v>
      </x:c>
    </x:row>
    <x:row r="1196" ht="22" customHeight="1">
      <x:c r="A1196" s="1" t="str">
        <x:v>Round2</x:v>
      </x:c>
      <x:c r="B1196" s="1" t="str">
        <x:v>Csv</x:v>
      </x:c>
      <x:c r="C1196" s="4" t="n">
        <x:v>9</x:v>
      </x:c>
      <x:c r="D1196" s="4" t="n">
        <x:v>20260928</x:v>
      </x:c>
      <x:c r="E1196" s="4" t="n">
        <x:v>60</x:v>
      </x:c>
      <x:c r="F1196" s="4" t="n">
        <x:v>5224</x:v>
      </x:c>
      <x:c r="G1196" s="5" t="n">
        <x:v>0.4828</x:v>
      </x:c>
      <x:c r="H1196" s="5" t="n">
        <x:v>0.6111</x:v>
      </x:c>
      <x:c r="I1196" s="5" t="n">
        <x:v>0.2727</x:v>
      </x:c>
      <x:c r="J1196" s="4" t="n">
        <x:v>58</x:v>
      </x:c>
      <x:c r="K1196" s="4" t="n">
        <x:v>28</x:v>
      </x:c>
      <x:c r="L1196" s="4" t="n">
        <x:v>36</x:v>
      </x:c>
      <x:c r="M1196" s="4" t="n">
        <x:v>22</x:v>
      </x:c>
      <x:c r="N1196" s="4" t="n">
        <x:v>22</x:v>
      </x:c>
      <x:c r="O1196" s="4" t="n">
        <x:v>6</x:v>
      </x:c>
      <x:c r="P1196" s="1" t="str">
        <x:v>PASS</x:v>
      </x:c>
      <x:c r="Q1196" s="4" t="n">
        <x:v>0</x:v>
      </x:c>
      <x:c r="R1196" s="1" t="str">
        <x:v>FAIL</x:v>
      </x:c>
      <x:c r="S1196" s="4" t="n">
        <x:v>1220</x:v>
      </x:c>
      <x:c r="T1196" s="1" t="str">
        <x:v>INCONCLUSIVE</x:v>
      </x:c>
      <x:c r="U1196" s="1" t="str">
        <x:v>Csv_9</x:v>
      </x:c>
      <x:c r="V1196" s="6" t="n">
        <x:v>54.28</x:v>
      </x:c>
    </x:row>
    <x:row r="1197" ht="22" customHeight="1">
      <x:c r="A1197" s="1" t="str">
        <x:v>Round2</x:v>
      </x:c>
      <x:c r="B1197" s="1" t="str">
        <x:v>Csv</x:v>
      </x:c>
      <x:c r="C1197" s="4" t="n">
        <x:v>10</x:v>
      </x:c>
      <x:c r="D1197" s="4" t="n">
        <x:v>20260928</x:v>
      </x:c>
      <x:c r="E1197" s="4" t="n">
        <x:v>60</x:v>
      </x:c>
      <x:c r="F1197" s="4" t="n">
        <x:v>2</x:v>
      </x:c>
      <x:c r="G1197" s="5" t="n">
        <x:v>0.0108</x:v>
      </x:c>
      <x:c r="H1197" s="5" t="n">
        <x:v>0.018799999999999997</x:v>
      </x:c>
      <x:c r="I1197" s="5" t="n">
        <x:v>0</x:v>
      </x:c>
      <x:c r="J1197" s="4" t="n">
        <x:v>277</x:v>
      </x:c>
      <x:c r="K1197" s="4" t="n">
        <x:v>3</x:v>
      </x:c>
      <x:c r="L1197" s="4" t="n">
        <x:v>160</x:v>
      </x:c>
      <x:c r="M1197" s="4" t="n">
        <x:v>3</x:v>
      </x:c>
      <x:c r="N1197" s="4" t="n">
        <x:v>117</x:v>
      </x:c>
      <x:c r="O1197" s="4" t="n">
        <x:v>0</x:v>
      </x:c>
      <x:c r="P1197" s="1" t="str">
        <x:v>PASS</x:v>
      </x:c>
      <x:c r="Q1197" s="4" t="n">
        <x:v>0</x:v>
      </x:c>
      <x:c r="R1197" s="1" t="str">
        <x:v>PASS</x:v>
      </x:c>
      <x:c r="S1197" s="4" t="n">
        <x:v>0</x:v>
      </x:c>
      <x:c r="T1197" s="1" t="str">
        <x:v>NOT_REVEALING</x:v>
      </x:c>
      <x:c r="U1197" s="1" t="str">
        <x:v>Csv_10</x:v>
      </x:c>
      <x:c r="V1197" s="6" t="n">
        <x:v>20.86</x:v>
      </x:c>
    </x:row>
    <x:row r="1198" ht="22" customHeight="1">
      <x:c r="A1198" s="1" t="str">
        <x:v>Round2</x:v>
      </x:c>
      <x:c r="B1198" s="1" t="str">
        <x:v>Csv</x:v>
      </x:c>
      <x:c r="C1198" s="4" t="n">
        <x:v>11</x:v>
      </x:c>
      <x:c r="D1198" s="4" t="n">
        <x:v>20260928</x:v>
      </x:c>
      <x:c r="E1198" s="4" t="n">
        <x:v>60</x:v>
      </x:c>
      <x:c r="F1198" s="4" t="n">
        <x:v>6</x:v>
      </x:c>
      <x:c r="G1198" s="5" t="n">
        <x:v>0.048799999999999996</x:v>
      </x:c>
      <x:c r="H1198" s="5" t="n">
        <x:v>0.0755</x:v>
      </x:c>
      <x:c r="I1198" s="5" t="n">
        <x:v>0</x:v>
      </x:c>
      <x:c r="J1198" s="4" t="n">
        <x:v>164</x:v>
      </x:c>
      <x:c r="K1198" s="4" t="n">
        <x:v>8</x:v>
      </x:c>
      <x:c r="L1198" s="4" t="n">
        <x:v>106</x:v>
      </x:c>
      <x:c r="M1198" s="4" t="n">
        <x:v>8</x:v>
      </x:c>
      <x:c r="N1198" s="4" t="n">
        <x:v>58</x:v>
      </x:c>
      <x:c r="O1198" s="4" t="n">
        <x:v>0</x:v>
      </x:c>
      <x:c r="P1198" s="1" t="str">
        <x:v>PASS</x:v>
      </x:c>
      <x:c r="Q1198" s="4" t="n">
        <x:v>0</x:v>
      </x:c>
      <x:c r="R1198" s="1" t="str">
        <x:v>PASS</x:v>
      </x:c>
      <x:c r="S1198" s="4" t="n">
        <x:v>0</x:v>
      </x:c>
      <x:c r="T1198" s="1" t="str">
        <x:v>NOT_REVEALING</x:v>
      </x:c>
      <x:c r="U1198" s="1" t="str">
        <x:v>Csv_11</x:v>
      </x:c>
      <x:c r="V1198" s="6" t="n">
        <x:v>21.57</x:v>
      </x:c>
    </x:row>
    <x:row r="1199" ht="22" customHeight="1">
      <x:c r="A1199" s="1" t="str">
        <x:v>Round2</x:v>
      </x:c>
      <x:c r="B1199" s="1" t="str">
        <x:v>Csv</x:v>
      </x:c>
      <x:c r="C1199" s="4" t="n">
        <x:v>12</x:v>
      </x:c>
      <x:c r="D1199" s="4" t="n">
        <x:v>20260928</x:v>
      </x:c>
      <x:c r="E1199" s="4" t="n">
        <x:v>60</x:v>
      </x:c>
      <x:c r="F1199" s="4" t="n">
        <x:v>4932</x:v>
      </x:c>
      <x:c r="G1199" s="5" t="n">
        <x:v>0.784</x:v>
      </x:c>
      <x:c r="H1199" s="5" t="n">
        <x:v>0.8370000000000001</x:v>
      </x:c>
      <x:c r="I1199" s="5" t="n">
        <x:v>0.7143</x:v>
      </x:c>
      <x:c r="J1199" s="4" t="n">
        <x:v>324</x:v>
      </x:c>
      <x:c r="K1199" s="4" t="n">
        <x:v>254</x:v>
      </x:c>
      <x:c r="L1199" s="4" t="n">
        <x:v>184</x:v>
      </x:c>
      <x:c r="M1199" s="4" t="n">
        <x:v>154</x:v>
      </x:c>
      <x:c r="N1199" s="4" t="n">
        <x:v>140</x:v>
      </x:c>
      <x:c r="O1199" s="4" t="n">
        <x:v>100</x:v>
      </x:c>
      <x:c r="P1199" s="1" t="str">
        <x:v>PASS</x:v>
      </x:c>
      <x:c r="Q1199" s="4" t="n">
        <x:v>0</x:v>
      </x:c>
      <x:c r="R1199" s="1" t="str">
        <x:v>FAIL</x:v>
      </x:c>
      <x:c r="S1199" s="4" t="n">
        <x:v>52</x:v>
      </x:c>
      <x:c r="T1199" s="1" t="str">
        <x:v>INCONCLUSIVE</x:v>
      </x:c>
      <x:c r="U1199" s="1" t="str">
        <x:v>Csv_12</x:v>
      </x:c>
      <x:c r="V1199" s="6" t="n">
        <x:v>54.61</x:v>
      </x:c>
    </x:row>
    <x:row r="1200" ht="22" customHeight="1">
      <x:c r="A1200" s="1" t="str">
        <x:v>Round2</x:v>
      </x:c>
      <x:c r="B1200" s="1" t="str">
        <x:v>Csv</x:v>
      </x:c>
      <x:c r="C1200" s="4" t="n">
        <x:v>13</x:v>
      </x:c>
      <x:c r="D1200" s="4" t="n">
        <x:v>20260928</x:v>
      </x:c>
      <x:c r="E1200" s="4" t="n">
        <x:v>60</x:v>
      </x:c>
      <x:c r="F1200" s="4" t="n">
        <x:v>4834</x:v>
      </x:c>
      <x:c r="G1200" s="5" t="n">
        <x:v>0.7552</x:v>
      </x:c>
      <x:c r="H1200" s="5" t="n">
        <x:v>0.7844</x:v>
      </x:c>
      <x:c r="I1200" s="5" t="n">
        <x:v>0.7162999999999999</x:v>
      </x:c>
      <x:c r="J1200" s="4" t="n">
        <x:v>674</x:v>
      </x:c>
      <x:c r="K1200" s="4" t="n">
        <x:v>509</x:v>
      </x:c>
      <x:c r="L1200" s="4" t="n">
        <x:v>385</x:v>
      </x:c>
      <x:c r="M1200" s="4" t="n">
        <x:v>302</x:v>
      </x:c>
      <x:c r="N1200" s="4" t="n">
        <x:v>289</x:v>
      </x:c>
      <x:c r="O1200" s="4" t="n">
        <x:v>207</x:v>
      </x:c>
      <x:c r="P1200" s="1" t="str">
        <x:v>FAIL</x:v>
      </x:c>
      <x:c r="Q1200" s="4" t="n">
        <x:v>724</x:v>
      </x:c>
      <x:c r="R1200" s="1" t="str">
        <x:v>FAIL</x:v>
      </x:c>
      <x:c r="S1200" s="4" t="n">
        <x:v>754</x:v>
      </x:c>
      <x:c r="T1200" s="1" t="str">
        <x:v>INCONCLUSIVE</x:v>
      </x:c>
      <x:c r="U1200" s="1" t="str">
        <x:v>Csv_13</x:v>
      </x:c>
      <x:c r="V1200" s="6" t="n">
        <x:v>55.67</x:v>
      </x:c>
    </x:row>
    <x:row r="1201" ht="22" customHeight="1">
      <x:c r="A1201" s="1" t="str">
        <x:v>Round2</x:v>
      </x:c>
      <x:c r="B1201" s="1" t="str">
        <x:v>Csv</x:v>
      </x:c>
      <x:c r="C1201" s="4" t="n">
        <x:v>14</x:v>
      </x:c>
      <x:c r="D1201" s="4" t="n">
        <x:v>20260928</x:v>
      </x:c>
      <x:c r="E1201" s="4" t="n">
        <x:v>60</x:v>
      </x:c>
      <x:c r="F1201" s="4" t="n">
        <x:v>5332</x:v>
      </x:c>
      <x:c r="G1201" s="5" t="n">
        <x:v>0.8551000000000001</x:v>
      </x:c>
      <x:c r="H1201" s="5" t="n">
        <x:v>0.8848</x:v>
      </x:c>
      <x:c r="I1201" s="5" t="n">
        <x:v>0.8162</x:v>
      </x:c>
      <x:c r="J1201" s="4" t="n">
        <x:v>628</x:v>
      </x:c>
      <x:c r="K1201" s="4" t="n">
        <x:v>537</x:v>
      </x:c>
      <x:c r="L1201" s="4" t="n">
        <x:v>356</x:v>
      </x:c>
      <x:c r="M1201" s="4" t="n">
        <x:v>315</x:v>
      </x:c>
      <x:c r="N1201" s="4" t="n">
        <x:v>272</x:v>
      </x:c>
      <x:c r="O1201" s="4" t="n">
        <x:v>222</x:v>
      </x:c>
      <x:c r="P1201" s="1" t="str">
        <x:v>FAIL</x:v>
      </x:c>
      <x:c r="Q1201" s="4" t="n">
        <x:v>598</x:v>
      </x:c>
      <x:c r="R1201" s="1" t="str">
        <x:v>FAIL</x:v>
      </x:c>
      <x:c r="S1201" s="4" t="n">
        <x:v>598</x:v>
      </x:c>
      <x:c r="T1201" s="1" t="str">
        <x:v>INCONCLUSIVE</x:v>
      </x:c>
      <x:c r="U1201" s="1" t="str">
        <x:v>Csv_14</x:v>
      </x:c>
      <x:c r="V1201" s="6" t="n">
        <x:v>56.3</x:v>
      </x:c>
    </x:row>
    <x:row r="1202" ht="22" customHeight="1">
      <x:c r="A1202" s="1" t="str">
        <x:v>Round2</x:v>
      </x:c>
      <x:c r="B1202" s="1" t="str">
        <x:v>Csv</x:v>
      </x:c>
      <x:c r="C1202" s="4" t="n">
        <x:v>15</x:v>
      </x:c>
      <x:c r="D1202" s="4" t="n">
        <x:v>20260928</x:v>
      </x:c>
      <x:c r="E1202" s="4" t="n">
        <x:v>60</x:v>
      </x:c>
      <x:c r="F1202" s="4" t="n">
        <x:v>5004</x:v>
      </x:c>
      <x:c r="G1202" s="5" t="n">
        <x:v>0.872</x:v>
      </x:c>
      <x:c r="H1202" s="5" t="n">
        <x:v>0.9043000000000001</x:v>
      </x:c>
      <x:c r="I1202" s="5" t="n">
        <x:v>0.8255</x:v>
      </x:c>
      <x:c r="J1202" s="4" t="n">
        <x:v>672</x:v>
      </x:c>
      <x:c r="K1202" s="4" t="n">
        <x:v>586</x:v>
      </x:c>
      <x:c r="L1202" s="4" t="n">
        <x:v>397</x:v>
      </x:c>
      <x:c r="M1202" s="4" t="n">
        <x:v>359</x:v>
      </x:c>
      <x:c r="N1202" s="4" t="n">
        <x:v>275</x:v>
      </x:c>
      <x:c r="O1202" s="4" t="n">
        <x:v>227</x:v>
      </x:c>
      <x:c r="P1202" s="1" t="str">
        <x:v>FAIL</x:v>
      </x:c>
      <x:c r="Q1202" s="4" t="n">
        <x:v>518</x:v>
      </x:c>
      <x:c r="R1202" s="1" t="str">
        <x:v>FAIL</x:v>
      </x:c>
      <x:c r="S1202" s="4" t="n">
        <x:v>518</x:v>
      </x:c>
      <x:c r="T1202" s="1" t="str">
        <x:v>INCONCLUSIVE</x:v>
      </x:c>
      <x:c r="U1202" s="1" t="str">
        <x:v>Csv_15</x:v>
      </x:c>
      <x:c r="V1202" s="6" t="n">
        <x:v>51.86</x:v>
      </x:c>
    </x:row>
    <x:row r="1203" ht="22" customHeight="1">
      <x:c r="A1203" s="1" t="str">
        <x:v>Round2</x:v>
      </x:c>
      <x:c r="B1203" s="1" t="str">
        <x:v>Csv</x:v>
      </x:c>
      <x:c r="C1203" s="4" t="n">
        <x:v>16</x:v>
      </x:c>
      <x:c r="D1203" s="4" t="n">
        <x:v>20260928</x:v>
      </x:c>
      <x:c r="E1203" s="4" t="n">
        <x:v>60</x:v>
      </x:c>
      <x:c r="F1203" s="4" t="n">
        <x:v>585</x:v>
      </x:c>
      <x:c r="G1203" s="5" t="n">
        <x:v>0.06280000000000001</x:v>
      </x:c>
      <x:c r="H1203" s="5" t="n">
        <x:v>0.09759999999999999</x:v>
      </x:c>
      <x:c r="I1203" s="5" t="n">
        <x:v>0</x:v>
      </x:c>
      <x:c r="J1203" s="4" t="n">
        <x:v>191</x:v>
      </x:c>
      <x:c r="K1203" s="4" t="n">
        <x:v>12</x:v>
      </x:c>
      <x:c r="L1203" s="4" t="n">
        <x:v>123</x:v>
      </x:c>
      <x:c r="M1203" s="4" t="n">
        <x:v>12</x:v>
      </x:c>
      <x:c r="N1203" s="4" t="n">
        <x:v>68</x:v>
      </x:c>
      <x:c r="O1203" s="4" t="n">
        <x:v>0</x:v>
      </x:c>
      <x:c r="P1203" s="1" t="str">
        <x:v>PASS</x:v>
      </x:c>
      <x:c r="Q1203" s="4" t="n">
        <x:v>0</x:v>
      </x:c>
      <x:c r="R1203" s="1" t="str">
        <x:v>PASS</x:v>
      </x:c>
      <x:c r="S1203" s="4" t="n">
        <x:v>0</x:v>
      </x:c>
      <x:c r="T1203" s="1" t="str">
        <x:v>NOT_REVEALING</x:v>
      </x:c>
      <x:c r="U1203" s="1" t="str">
        <x:v>Csv_16</x:v>
      </x:c>
      <x:c r="V1203" s="6" t="n">
        <x:v>24.9</x:v>
      </x:c>
    </x:row>
    <x:row r="1204" ht="22" customHeight="1">
      <x:c r="A1204" s="1" t="str">
        <x:v>Round2</x:v>
      </x:c>
      <x:c r="B1204" s="1" t="str">
        <x:v>Gson</x:v>
      </x:c>
      <x:c r="C1204" s="4" t="n">
        <x:v>1</x:v>
      </x:c>
      <x:c r="D1204" s="4" t="n">
        <x:v>20260928</x:v>
      </x:c>
      <x:c r="E1204" s="4" t="n">
        <x:v>60</x:v>
      </x:c>
      <x:c r="F1204" s="4" t="n">
        <x:v>4</x:v>
      </x:c>
      <x:c r="G1204" s="5" t="n">
        <x:v>0.0429</x:v>
      </x:c>
      <x:c r="H1204" s="5" t="n">
        <x:v>0.0625</x:v>
      </x:c>
      <x:c r="I1204" s="5" t="n">
        <x:v>0</x:v>
      </x:c>
      <x:c r="J1204" s="4" t="n">
        <x:v>70</x:v>
      </x:c>
      <x:c r="K1204" s="4" t="n">
        <x:v>3</x:v>
      </x:c>
      <x:c r="L1204" s="4" t="n">
        <x:v>48</x:v>
      </x:c>
      <x:c r="M1204" s="4" t="n">
        <x:v>3</x:v>
      </x:c>
      <x:c r="N1204" s="4" t="n">
        <x:v>22</x:v>
      </x:c>
      <x:c r="O1204" s="4" t="n">
        <x:v>0</x:v>
      </x:c>
      <x:c r="P1204" s="1" t="str">
        <x:v>PASS</x:v>
      </x:c>
      <x:c r="Q1204" s="4" t="n">
        <x:v>0</x:v>
      </x:c>
      <x:c r="R1204" s="1" t="str">
        <x:v>PASS</x:v>
      </x:c>
      <x:c r="S1204" s="4" t="n">
        <x:v>0</x:v>
      </x:c>
      <x:c r="T1204" s="1" t="str">
        <x:v>NOT_REVEALING</x:v>
      </x:c>
      <x:c r="U1204" s="1" t="str">
        <x:v>Gson_1</x:v>
      </x:c>
      <x:c r="V1204" s="6" t="n">
        <x:v>21.06</x:v>
      </x:c>
    </x:row>
    <x:row r="1205" ht="22" customHeight="1">
      <x:c r="A1205" s="1" t="str">
        <x:v>Round2</x:v>
      </x:c>
      <x:c r="B1205" s="1" t="str">
        <x:v>Gson</x:v>
      </x:c>
      <x:c r="C1205" s="4" t="n">
        <x:v>2</x:v>
      </x:c>
      <x:c r="D1205" s="4" t="n">
        <x:v>20260928</x:v>
      </x:c>
      <x:c r="E1205" s="4" t="n">
        <x:v>60</x:v>
      </x:c>
      <x:c r="F1205" s="4" t="n">
        <x:v>45</x:v>
      </x:c>
      <x:c r="G1205" s="5" t="n">
        <x:v>0.1388</x:v>
      </x:c>
      <x:c r="H1205" s="5" t="n">
        <x:v>0.1973</x:v>
      </x:c>
      <x:c r="I1205" s="5" t="n">
        <x:v>0</x:v>
      </x:c>
      <x:c r="J1205" s="4" t="n">
        <x:v>634</x:v>
      </x:c>
      <x:c r="K1205" s="4" t="n">
        <x:v>88</x:v>
      </x:c>
      <x:c r="L1205" s="4" t="n">
        <x:v>446</x:v>
      </x:c>
      <x:c r="M1205" s="4" t="n">
        <x:v>88</x:v>
      </x:c>
      <x:c r="N1205" s="4" t="n">
        <x:v>188</x:v>
      </x:c>
      <x:c r="O1205" s="4" t="n">
        <x:v>0</x:v>
      </x:c>
      <x:c r="P1205" s="1" t="str">
        <x:v>PASS</x:v>
      </x:c>
      <x:c r="Q1205" s="4" t="n">
        <x:v>0</x:v>
      </x:c>
      <x:c r="R1205" s="1" t="str">
        <x:v>PASS</x:v>
      </x:c>
      <x:c r="S1205" s="4" t="n">
        <x:v>0</x:v>
      </x:c>
      <x:c r="T1205" s="1" t="str">
        <x:v>NOT_REVEALING</x:v>
      </x:c>
      <x:c r="U1205" s="1" t="str">
        <x:v>Gson_2</x:v>
      </x:c>
      <x:c r="V1205" s="6" t="n">
        <x:v>20.11</x:v>
      </x:c>
    </x:row>
    <x:row r="1206" ht="22" customHeight="1">
      <x:c r="A1206" s="1" t="str">
        <x:v>Round2</x:v>
      </x:c>
      <x:c r="B1206" s="1" t="str">
        <x:v>Gson</x:v>
      </x:c>
      <x:c r="C1206" s="4" t="n">
        <x:v>3</x:v>
      </x:c>
      <x:c r="D1206" s="4" t="n">
        <x:v>20260928</x:v>
      </x:c>
      <x:c r="E1206" s="4" t="n">
        <x:v>60</x:v>
      </x:c>
      <x:c r="F1206" s="4" t="n">
        <x:v>1</x:v>
      </x:c>
      <x:c r="G1206" s="5" t="n">
        <x:v>0</x:v>
      </x:c>
      <x:c r="H1206" s="5" t="n">
        <x:v>0</x:v>
      </x:c>
      <x:c r="I1206" s="5" t="n">
        <x:v>0</x:v>
      </x:c>
      <x:c r="J1206" s="4" t="n">
        <x:v>118</x:v>
      </x:c>
      <x:c r="K1206" s="4" t="n">
        <x:v>0</x:v>
      </x:c>
      <x:c r="L1206" s="4" t="n">
        <x:v>86</x:v>
      </x:c>
      <x:c r="M1206" s="4" t="n">
        <x:v>0</x:v>
      </x:c>
      <x:c r="N1206" s="4" t="n">
        <x:v>32</x:v>
      </x:c>
      <x:c r="O1206" s="4" t="n">
        <x:v>0</x:v>
      </x:c>
      <x:c r="P1206" s="1" t="str">
        <x:v>PASS</x:v>
      </x:c>
      <x:c r="Q1206" s="4" t="n">
        <x:v>0</x:v>
      </x:c>
      <x:c r="R1206" s="1" t="str">
        <x:v>PASS</x:v>
      </x:c>
      <x:c r="S1206" s="4" t="n">
        <x:v>0</x:v>
      </x:c>
      <x:c r="T1206" s="1" t="str">
        <x:v>NOT_REVEALING</x:v>
      </x:c>
      <x:c r="U1206" s="1" t="str">
        <x:v>Gson_3</x:v>
      </x:c>
      <x:c r="V1206" s="6" t="n">
        <x:v>18.29</x:v>
      </x:c>
    </x:row>
    <x:row r="1207" ht="22" customHeight="1">
      <x:c r="A1207" s="1" t="str">
        <x:v>Round2</x:v>
      </x:c>
      <x:c r="B1207" s="1" t="str">
        <x:v>Gson</x:v>
      </x:c>
      <x:c r="C1207" s="4" t="n">
        <x:v>4</x:v>
      </x:c>
      <x:c r="D1207" s="4" t="n">
        <x:v>20260928</x:v>
      </x:c>
      <x:c r="E1207" s="4" t="n">
        <x:v>60</x:v>
      </x:c>
      <x:c r="F1207" s="4" t="n">
        <x:v>3</x:v>
      </x:c>
      <x:c r="G1207" s="5" t="n">
        <x:v>0.0346</x:v>
      </x:c>
      <x:c r="H1207" s="5" t="n">
        <x:v>0.0533</x:v>
      </x:c>
      <x:c r="I1207" s="5" t="n">
        <x:v>0.0053</x:v>
      </x:c>
      <x:c r="J1207" s="4" t="n">
        <x:v>1447</x:v>
      </x:c>
      <x:c r="K1207" s="4" t="n">
        <x:v>50</x:v>
      </x:c>
      <x:c r="L1207" s="4" t="n">
        <x:v>882</x:v>
      </x:c>
      <x:c r="M1207" s="4" t="n">
        <x:v>47</x:v>
      </x:c>
      <x:c r="N1207" s="4" t="n">
        <x:v>565</x:v>
      </x:c>
      <x:c r="O1207" s="4" t="n">
        <x:v>3</x:v>
      </x:c>
      <x:c r="P1207" s="1" t="str">
        <x:v>PASS</x:v>
      </x:c>
      <x:c r="Q1207" s="4" t="n">
        <x:v>0</x:v>
      </x:c>
      <x:c r="R1207" s="1" t="str">
        <x:v>PASS</x:v>
      </x:c>
      <x:c r="S1207" s="4" t="n">
        <x:v>0</x:v>
      </x:c>
      <x:c r="T1207" s="1" t="str">
        <x:v>NOT_REVEALING</x:v>
      </x:c>
      <x:c r="U1207" s="1" t="str">
        <x:v>Gson_4</x:v>
      </x:c>
      <x:c r="V1207" s="6" t="n">
        <x:v>19.83</x:v>
      </x:c>
    </x:row>
    <x:row r="1208" ht="22" customHeight="1">
      <x:c r="A1208" s="1" t="str">
        <x:v>Round2</x:v>
      </x:c>
      <x:c r="B1208" s="1" t="str">
        <x:v>Gson</x:v>
      </x:c>
      <x:c r="C1208" s="4" t="n">
        <x:v>5</x:v>
      </x:c>
      <x:c r="D1208" s="4" t="n">
        <x:v>20260928</x:v>
      </x:c>
      <x:c r="E1208" s="4" t="n">
        <x:v>60</x:v>
      </x:c>
      <x:c r="F1208" s="4" t="n">
        <x:v>9</x:v>
      </x:c>
      <x:c r="G1208" s="5" t="n">
        <x:v>0.0335</x:v>
      </x:c>
      <x:c r="H1208" s="5" t="n">
        <x:v>0.0533</x:v>
      </x:c>
      <x:c r="I1208" s="5" t="n">
        <x:v>0</x:v>
      </x:c>
      <x:c r="J1208" s="4" t="n">
        <x:v>239</x:v>
      </x:c>
      <x:c r="K1208" s="4" t="n">
        <x:v>8</x:v>
      </x:c>
      <x:c r="L1208" s="4" t="n">
        <x:v>150</x:v>
      </x:c>
      <x:c r="M1208" s="4" t="n">
        <x:v>8</x:v>
      </x:c>
      <x:c r="N1208" s="4" t="n">
        <x:v>89</x:v>
      </x:c>
      <x:c r="O1208" s="4" t="n">
        <x:v>0</x:v>
      </x:c>
      <x:c r="P1208" s="1" t="str">
        <x:v>PASS</x:v>
      </x:c>
      <x:c r="Q1208" s="4" t="n">
        <x:v>0</x:v>
      </x:c>
      <x:c r="R1208" s="1" t="str">
        <x:v>PASS</x:v>
      </x:c>
      <x:c r="S1208" s="4" t="n">
        <x:v>0</x:v>
      </x:c>
      <x:c r="T1208" s="1" t="str">
        <x:v>NOT_REVEALING</x:v>
      </x:c>
      <x:c r="U1208" s="1" t="str">
        <x:v>Gson_5</x:v>
      </x:c>
      <x:c r="V1208" s="6" t="n">
        <x:v>19.78</x:v>
      </x:c>
    </x:row>
    <x:row r="1209" ht="22" customHeight="1">
      <x:c r="A1209" s="1" t="str">
        <x:v>Round2</x:v>
      </x:c>
      <x:c r="B1209" s="1" t="str">
        <x:v>Gson</x:v>
      </x:c>
      <x:c r="C1209" s="4" t="n">
        <x:v>6</x:v>
      </x:c>
      <x:c r="D1209" s="4" t="n">
        <x:v>20260928</x:v>
      </x:c>
      <x:c r="E1209" s="4" t="n">
        <x:v>60</x:v>
      </x:c>
      <x:c r="F1209" s="4" t="n">
        <x:v>2</x:v>
      </x:c>
      <x:c r="G1209" s="5" t="n">
        <x:v>0.11539999999999999</x:v>
      </x:c>
      <x:c r="H1209" s="5" t="n">
        <x:v>0.15</x:v>
      </x:c>
      <x:c r="I1209" s="5" t="n">
        <x:v>0</x:v>
      </x:c>
      <x:c r="J1209" s="4" t="n">
        <x:v>26</x:v>
      </x:c>
      <x:c r="K1209" s="4" t="n">
        <x:v>3</x:v>
      </x:c>
      <x:c r="L1209" s="4" t="n">
        <x:v>20</x:v>
      </x:c>
      <x:c r="M1209" s="4" t="n">
        <x:v>3</x:v>
      </x:c>
      <x:c r="N1209" s="4" t="n">
        <x:v>6</x:v>
      </x:c>
      <x:c r="O1209" s="4" t="n">
        <x:v>0</x:v>
      </x:c>
      <x:c r="P1209" s="1" t="str">
        <x:v>PASS</x:v>
      </x:c>
      <x:c r="Q1209" s="4" t="n">
        <x:v>0</x:v>
      </x:c>
      <x:c r="R1209" s="1" t="str">
        <x:v>PASS</x:v>
      </x:c>
      <x:c r="S1209" s="4" t="n">
        <x:v>0</x:v>
      </x:c>
      <x:c r="T1209" s="1" t="str">
        <x:v>NOT_REVEALING</x:v>
      </x:c>
      <x:c r="U1209" s="1" t="str">
        <x:v>Gson_6</x:v>
      </x:c>
      <x:c r="V1209" s="6" t="n">
        <x:v>19.61</x:v>
      </x:c>
    </x:row>
    <x:row r="1210" ht="22" customHeight="1">
      <x:c r="A1210" s="1" t="str">
        <x:v>Round2</x:v>
      </x:c>
      <x:c r="B1210" s="1" t="str">
        <x:v>Gson</x:v>
      </x:c>
      <x:c r="C1210" s="4" t="n">
        <x:v>7</x:v>
      </x:c>
      <x:c r="D1210" s="4" t="n">
        <x:v>20260928</x:v>
      </x:c>
      <x:c r="E1210" s="4" t="n">
        <x:v>60</x:v>
      </x:c>
      <x:c r="F1210" s="4" t="n">
        <x:v>2</x:v>
      </x:c>
      <x:c r="G1210" s="5" t="n">
        <x:v>0.0173</x:v>
      </x:c>
      <x:c r="H1210" s="5" t="n">
        <x:v>0.0278</x:v>
      </x:c>
      <x:c r="I1210" s="5" t="n">
        <x:v>0.0021</x:v>
      </x:c>
      <x:c r="J1210" s="4" t="n">
        <x:v>1153</x:v>
      </x:c>
      <x:c r="K1210" s="4" t="n">
        <x:v>20</x:v>
      </x:c>
      <x:c r="L1210" s="4" t="n">
        <x:v>684</x:v>
      </x:c>
      <x:c r="M1210" s="4" t="n">
        <x:v>19</x:v>
      </x:c>
      <x:c r="N1210" s="4" t="n">
        <x:v>469</x:v>
      </x:c>
      <x:c r="O1210" s="4" t="n">
        <x:v>1</x:v>
      </x:c>
      <x:c r="P1210" s="1" t="str">
        <x:v>PASS</x:v>
      </x:c>
      <x:c r="Q1210" s="4" t="n">
        <x:v>0</x:v>
      </x:c>
      <x:c r="R1210" s="1" t="str">
        <x:v>PASS</x:v>
      </x:c>
      <x:c r="S1210" s="4" t="n">
        <x:v>0</x:v>
      </x:c>
      <x:c r="T1210" s="1" t="str">
        <x:v>NOT_REVEALING</x:v>
      </x:c>
      <x:c r="U1210" s="1" t="str">
        <x:v>Gson_7</x:v>
      </x:c>
      <x:c r="V1210" s="6" t="n">
        <x:v>19.54</x:v>
      </x:c>
    </x:row>
    <x:row r="1211" ht="22" customHeight="1">
      <x:c r="A1211" s="1" t="str">
        <x:v>Round2</x:v>
      </x:c>
      <x:c r="B1211" s="1" t="str">
        <x:v>Gson</x:v>
      </x:c>
      <x:c r="C1211" s="4" t="n">
        <x:v>8</x:v>
      </x:c>
      <x:c r="D1211" s="4" t="n">
        <x:v>20260928</x:v>
      </x:c>
      <x:c r="E1211" s="4" t="n">
        <x:v>60</x:v>
      </x:c>
      <x:c r="F1211" s="4" t="n">
        <x:v>2</x:v>
      </x:c>
      <x:c r="G1211" s="5" t="n">
        <x:v>0.2581</x:v>
      </x:c>
      <x:c r="H1211" s="5" t="n">
        <x:v>0.2581</x:v>
      </x:c>
      <x:c r="I1211" s="5" t="n">
        <x:v>0</x:v>
      </x:c>
      <x:c r="J1211" s="4" t="n">
        <x:v>31</x:v>
      </x:c>
      <x:c r="K1211" s="4" t="n">
        <x:v>8</x:v>
      </x:c>
      <x:c r="L1211" s="4" t="n">
        <x:v>31</x:v>
      </x:c>
      <x:c r="M1211" s="4" t="n">
        <x:v>8</x:v>
      </x:c>
      <x:c r="N1211" s="4" t="n">
        <x:v>0</x:v>
      </x:c>
      <x:c r="O1211" s="4" t="n">
        <x:v>0</x:v>
      </x:c>
      <x:c r="P1211" s="1" t="str">
        <x:v>PASS</x:v>
      </x:c>
      <x:c r="Q1211" s="4" t="n">
        <x:v>0</x:v>
      </x:c>
      <x:c r="R1211" s="1" t="str">
        <x:v>PASS</x:v>
      </x:c>
      <x:c r="S1211" s="4" t="n">
        <x:v>0</x:v>
      </x:c>
      <x:c r="T1211" s="1" t="str">
        <x:v>NOT_REVEALING</x:v>
      </x:c>
      <x:c r="U1211" s="1" t="str">
        <x:v>Gson_8</x:v>
      </x:c>
      <x:c r="V1211" s="6" t="n">
        <x:v>21.28</x:v>
      </x:c>
    </x:row>
    <x:row r="1212" ht="22" customHeight="1">
      <x:c r="A1212" s="1" t="str">
        <x:v>Round2</x:v>
      </x:c>
      <x:c r="B1212" s="1" t="str">
        <x:v>Gson</x:v>
      </x:c>
      <x:c r="C1212" s="4" t="n">
        <x:v>9</x:v>
      </x:c>
      <x:c r="D1212" s="4" t="n">
        <x:v>20260928</x:v>
      </x:c>
      <x:c r="E1212" s="4" t="n">
        <x:v>60</x:v>
      </x:c>
      <x:c r="F1212" s="4" t="n">
        <x:v>3536</x:v>
      </x:c>
      <x:c r="G1212" s="5" t="n">
        <x:v>0.3987</x:v>
      </x:c>
      <x:c r="H1212" s="5" t="n">
        <x:v>0.444</x:v>
      </x:c>
      <x:c r="I1212" s="5" t="n">
        <x:v>0.2934</x:v>
      </x:c>
      <x:c r="J1212" s="4" t="n">
        <x:v>1111</x:v>
      </x:c>
      <x:c r="K1212" s="4" t="n">
        <x:v>443</x:v>
      </x:c>
      <x:c r="L1212" s="4" t="n">
        <x:v>777</x:v>
      </x:c>
      <x:c r="M1212" s="4" t="n">
        <x:v>345</x:v>
      </x:c>
      <x:c r="N1212" s="4" t="n">
        <x:v>334</x:v>
      </x:c>
      <x:c r="O1212" s="4" t="n">
        <x:v>98</x:v>
      </x:c>
      <x:c r="P1212" s="1" t="str">
        <x:v>FAIL</x:v>
      </x:c>
      <x:c r="Q1212" s="4" t="n">
        <x:v>356</x:v>
      </x:c>
      <x:c r="R1212" s="1" t="str">
        <x:v>FAIL</x:v>
      </x:c>
      <x:c r="S1212" s="4" t="n">
        <x:v>356</x:v>
      </x:c>
      <x:c r="T1212" s="1" t="str">
        <x:v>INCONCLUSIVE</x:v>
      </x:c>
      <x:c r="U1212" s="1" t="str">
        <x:v>Gson_9</x:v>
      </x:c>
      <x:c r="V1212" s="6" t="n">
        <x:v>37.09</x:v>
      </x:c>
    </x:row>
    <x:row r="1213" ht="22" customHeight="1">
      <x:c r="A1213" s="1" t="str">
        <x:v>Round2</x:v>
      </x:c>
      <x:c r="B1213" s="1" t="str">
        <x:v>Gson</x:v>
      </x:c>
      <x:c r="C1213" s="4" t="n">
        <x:v>10</x:v>
      </x:c>
      <x:c r="D1213" s="4" t="n">
        <x:v>20260928</x:v>
      </x:c>
      <x:c r="E1213" s="4" t="n">
        <x:v>60</x:v>
      </x:c>
      <x:c r="F1213" s="4" t="n">
        <x:v>2620</x:v>
      </x:c>
      <x:c r="G1213" s="5" t="n">
        <x:v>0.1257</x:v>
      </x:c>
      <x:c r="H1213" s="5" t="n">
        <x:v>0.1624</x:v>
      </x:c>
      <x:c r="I1213" s="5" t="n">
        <x:v>0.051699999999999996</x:v>
      </x:c>
      <x:c r="J1213" s="4" t="n">
        <x:v>175</x:v>
      </x:c>
      <x:c r="K1213" s="4" t="n">
        <x:v>22</x:v>
      </x:c>
      <x:c r="L1213" s="4" t="n">
        <x:v>117</x:v>
      </x:c>
      <x:c r="M1213" s="4" t="n">
        <x:v>19</x:v>
      </x:c>
      <x:c r="N1213" s="4" t="n">
        <x:v>58</x:v>
      </x:c>
      <x:c r="O1213" s="4" t="n">
        <x:v>3</x:v>
      </x:c>
      <x:c r="P1213" s="1" t="str">
        <x:v>FAIL</x:v>
      </x:c>
      <x:c r="Q1213" s="4" t="n">
        <x:v>44</x:v>
      </x:c>
      <x:c r="R1213" s="1" t="str">
        <x:v>FAIL</x:v>
      </x:c>
      <x:c r="S1213" s="4" t="n">
        <x:v>44</x:v>
      </x:c>
      <x:c r="T1213" s="1" t="str">
        <x:v>INCONCLUSIVE</x:v>
      </x:c>
      <x:c r="U1213" s="1" t="str">
        <x:v>Gson_10</x:v>
      </x:c>
      <x:c r="V1213" s="6" t="n">
        <x:v>57.27</x:v>
      </x:c>
    </x:row>
    <x:row r="1214" ht="22" customHeight="1">
      <x:c r="A1214" s="1" t="str">
        <x:v>Round2</x:v>
      </x:c>
      <x:c r="B1214" s="1" t="str">
        <x:v>Gson</x:v>
      </x:c>
      <x:c r="C1214" s="4" t="n">
        <x:v>11</x:v>
      </x:c>
      <x:c r="D1214" s="4" t="n">
        <x:v>20260928</x:v>
      </x:c>
      <x:c r="E1214" s="4" t="n">
        <x:v>60</x:v>
      </x:c>
      <x:c r="F1214" s="4" t="n">
        <x:v>53</x:v>
      </x:c>
      <x:c r="G1214" s="5" t="n">
        <x:v>0.1537</x:v>
      </x:c>
      <x:c r="H1214" s="5" t="n">
        <x:v>0.214</x:v>
      </x:c>
      <x:c r="I1214" s="5" t="n">
        <x:v>0</x:v>
      </x:c>
      <x:c r="J1214" s="4" t="n">
        <x:v>696</x:v>
      </x:c>
      <x:c r="K1214" s="4" t="n">
        <x:v>107</x:v>
      </x:c>
      <x:c r="L1214" s="4" t="n">
        <x:v>500</x:v>
      </x:c>
      <x:c r="M1214" s="4" t="n">
        <x:v>107</x:v>
      </x:c>
      <x:c r="N1214" s="4" t="n">
        <x:v>196</x:v>
      </x:c>
      <x:c r="O1214" s="4" t="n">
        <x:v>0</x:v>
      </x:c>
      <x:c r="P1214" s="1" t="str">
        <x:v>PASS</x:v>
      </x:c>
      <x:c r="Q1214" s="4" t="n">
        <x:v>0</x:v>
      </x:c>
      <x:c r="R1214" s="1" t="str">
        <x:v>PASS</x:v>
      </x:c>
      <x:c r="S1214" s="4" t="n">
        <x:v>0</x:v>
      </x:c>
      <x:c r="T1214" s="1" t="str">
        <x:v>NOT_REVEALING</x:v>
      </x:c>
      <x:c r="U1214" s="1" t="str">
        <x:v>Gson_11</x:v>
      </x:c>
      <x:c r="V1214" s="6" t="n">
        <x:v>21.65</x:v>
      </x:c>
    </x:row>
    <x:row r="1215" ht="22" customHeight="1">
      <x:c r="A1215" s="1" t="str">
        <x:v>Round2</x:v>
      </x:c>
      <x:c r="B1215" s="1" t="str">
        <x:v>Gson</x:v>
      </x:c>
      <x:c r="C1215" s="4" t="n">
        <x:v>12</x:v>
      </x:c>
      <x:c r="D1215" s="4" t="n">
        <x:v>20260928</x:v>
      </x:c>
      <x:c r="E1215" s="4" t="n">
        <x:v>60</x:v>
      </x:c>
      <x:c r="F1215" s="4" t="n">
        <x:v>5019</x:v>
      </x:c>
      <x:c r="G1215" s="5" t="n">
        <x:v>0.2402</x:v>
      </x:c>
      <x:c r="H1215" s="5" t="n">
        <x:v>0.2857</x:v>
      </x:c>
      <x:c r="I1215" s="5" t="n">
        <x:v>0.1512</x:v>
      </x:c>
      <x:c r="J1215" s="4" t="n">
        <x:v>254</x:v>
      </x:c>
      <x:c r="K1215" s="4" t="n">
        <x:v>61</x:v>
      </x:c>
      <x:c r="L1215" s="4" t="n">
        <x:v>168</x:v>
      </x:c>
      <x:c r="M1215" s="4" t="n">
        <x:v>48</x:v>
      </x:c>
      <x:c r="N1215" s="4" t="n">
        <x:v>86</x:v>
      </x:c>
      <x:c r="O1215" s="4" t="n">
        <x:v>13</x:v>
      </x:c>
      <x:c r="P1215" s="1" t="str">
        <x:v>FAIL</x:v>
      </x:c>
      <x:c r="Q1215" s="4" t="n">
        <x:v>2246</x:v>
      </x:c>
      <x:c r="R1215" s="1" t="str">
        <x:v>FAIL</x:v>
      </x:c>
      <x:c r="S1215" s="4" t="n">
        <x:v>2246</x:v>
      </x:c>
      <x:c r="T1215" s="1" t="str">
        <x:v>INCONCLUSIVE</x:v>
      </x:c>
      <x:c r="U1215" s="1" t="str">
        <x:v>Gson_12</x:v>
      </x:c>
      <x:c r="V1215" s="6" t="n">
        <x:v>38.63</x:v>
      </x:c>
    </x:row>
    <x:row r="1216" ht="22" customHeight="1">
      <x:c r="A1216" s="1" t="str">
        <x:v>Round2</x:v>
      </x:c>
      <x:c r="B1216" s="1" t="str">
        <x:v>Gson</x:v>
      </x:c>
      <x:c r="C1216" s="4" t="n">
        <x:v>13</x:v>
      </x:c>
      <x:c r="D1216" s="4" t="n">
        <x:v>20260928</x:v>
      </x:c>
      <x:c r="E1216" s="4" t="n">
        <x:v>60</x:v>
      </x:c>
      <x:c r="F1216" s="4" t="n">
        <x:v>2</x:v>
      </x:c>
      <x:c r="G1216" s="5" t="n">
        <x:v>0.0171</x:v>
      </x:c>
      <x:c r="H1216" s="5" t="n">
        <x:v>0.0278</x:v>
      </x:c>
      <x:c r="I1216" s="5" t="n">
        <x:v>0.0021</x:v>
      </x:c>
      <x:c r="J1216" s="4" t="n">
        <x:v>1167</x:v>
      </x:c>
      <x:c r="K1216" s="4" t="n">
        <x:v>20</x:v>
      </x:c>
      <x:c r="L1216" s="4" t="n">
        <x:v>683</x:v>
      </x:c>
      <x:c r="M1216" s="4" t="n">
        <x:v>19</x:v>
      </x:c>
      <x:c r="N1216" s="4" t="n">
        <x:v>484</x:v>
      </x:c>
      <x:c r="O1216" s="4" t="n">
        <x:v>1</x:v>
      </x:c>
      <x:c r="P1216" s="1" t="str">
        <x:v>PASS</x:v>
      </x:c>
      <x:c r="Q1216" s="4" t="n">
        <x:v>0</x:v>
      </x:c>
      <x:c r="R1216" s="1" t="str">
        <x:v>PASS</x:v>
      </x:c>
      <x:c r="S1216" s="4" t="n">
        <x:v>0</x:v>
      </x:c>
      <x:c r="T1216" s="1" t="str">
        <x:v>NOT_REVEALING</x:v>
      </x:c>
      <x:c r="U1216" s="1" t="str">
        <x:v>Gson_13</x:v>
      </x:c>
      <x:c r="V1216" s="6" t="n">
        <x:v>20.15</x:v>
      </x:c>
    </x:row>
    <x:row r="1217" ht="22" customHeight="1">
      <x:c r="A1217" s="1" t="str">
        <x:v>Round2</x:v>
      </x:c>
      <x:c r="B1217" s="1" t="str">
        <x:v>Gson</x:v>
      </x:c>
      <x:c r="C1217" s="4" t="n">
        <x:v>14</x:v>
      </x:c>
      <x:c r="D1217" s="4" t="n">
        <x:v>20260928</x:v>
      </x:c>
      <x:c r="E1217" s="4" t="n">
        <x:v>60</x:v>
      </x:c>
      <x:c r="F1217" s="4" t="n">
        <x:v>2</x:v>
      </x:c>
      <x:c r="G1217" s="5" t="n">
        <x:v>0.0023</x:v>
      </x:c>
      <x:c r="H1217" s="5" t="n">
        <x:v>0.0040999999999999995</x:v>
      </x:c>
      <x:c r="I1217" s="5" t="n">
        <x:v>0</x:v>
      </x:c>
      <x:c r="J1217" s="4" t="n">
        <x:v>433</x:v>
      </x:c>
      <x:c r="K1217" s="4" t="n">
        <x:v>1</x:v>
      </x:c>
      <x:c r="L1217" s="4" t="n">
        <x:v>243</x:v>
      </x:c>
      <x:c r="M1217" s="4" t="n">
        <x:v>1</x:v>
      </x:c>
      <x:c r="N1217" s="4" t="n">
        <x:v>190</x:v>
      </x:c>
      <x:c r="O1217" s="4" t="n">
        <x:v>0</x:v>
      </x:c>
      <x:c r="P1217" s="1" t="str">
        <x:v>PASS</x:v>
      </x:c>
      <x:c r="Q1217" s="4" t="n">
        <x:v>0</x:v>
      </x:c>
      <x:c r="R1217" s="1" t="str">
        <x:v>PASS</x:v>
      </x:c>
      <x:c r="S1217" s="4" t="n">
        <x:v>0</x:v>
      </x:c>
      <x:c r="T1217" s="1" t="str">
        <x:v>NOT_REVEALING</x:v>
      </x:c>
      <x:c r="U1217" s="1" t="str">
        <x:v>Gson_14</x:v>
      </x:c>
      <x:c r="V1217" s="6" t="n">
        <x:v>19.7</x:v>
      </x:c>
    </x:row>
    <x:row r="1218" ht="22" customHeight="1">
      <x:c r="A1218" s="1" t="str">
        <x:v>Round2</x:v>
      </x:c>
      <x:c r="B1218" s="1" t="str">
        <x:v>Gson</x:v>
      </x:c>
      <x:c r="C1218" s="4" t="n">
        <x:v>15</x:v>
      </x:c>
      <x:c r="D1218" s="4" t="n">
        <x:v>20260928</x:v>
      </x:c>
      <x:c r="E1218" s="4" t="n">
        <x:v>60</x:v>
      </x:c>
      <x:c r="F1218" s="4" t="n">
        <x:v>2</x:v>
      </x:c>
      <x:c r="G1218" s="5" t="n">
        <x:v>0.10339999999999999</x:v>
      </x:c>
      <x:c r="H1218" s="5" t="n">
        <x:v>0.1414</x:v>
      </x:c>
      <x:c r="I1218" s="5" t="n">
        <x:v>0.0217</x:v>
      </x:c>
      <x:c r="J1218" s="4" t="n">
        <x:v>290</x:v>
      </x:c>
      <x:c r="K1218" s="4" t="n">
        <x:v>30</x:v>
      </x:c>
      <x:c r="L1218" s="4" t="n">
        <x:v>198</x:v>
      </x:c>
      <x:c r="M1218" s="4" t="n">
        <x:v>28</x:v>
      </x:c>
      <x:c r="N1218" s="4" t="n">
        <x:v>92</x:v>
      </x:c>
      <x:c r="O1218" s="4" t="n">
        <x:v>2</x:v>
      </x:c>
      <x:c r="P1218" s="1" t="str">
        <x:v>PASS</x:v>
      </x:c>
      <x:c r="Q1218" s="4" t="n">
        <x:v>0</x:v>
      </x:c>
      <x:c r="R1218" s="1" t="str">
        <x:v>PASS</x:v>
      </x:c>
      <x:c r="S1218" s="4" t="n">
        <x:v>0</x:v>
      </x:c>
      <x:c r="T1218" s="1" t="str">
        <x:v>NOT_REVEALING</x:v>
      </x:c>
      <x:c r="U1218" s="1" t="str">
        <x:v>Gson_15</x:v>
      </x:c>
      <x:c r="V1218" s="6" t="n">
        <x:v>19.41</x:v>
      </x:c>
    </x:row>
    <x:row r="1219" ht="22" customHeight="1">
      <x:c r="A1219" s="1" t="str">
        <x:v>Round2</x:v>
      </x:c>
      <x:c r="B1219" s="1" t="str">
        <x:v>Gson</x:v>
      </x:c>
      <x:c r="C1219" s="4" t="n">
        <x:v>16</x:v>
      </x:c>
      <x:c r="D1219" s="4" t="n">
        <x:v>20260928</x:v>
      </x:c>
      <x:c r="E1219" s="4" t="n">
        <x:v>60</x:v>
      </x:c>
      <x:c r="F1219" s="4" t="n">
        <x:v>2</x:v>
      </x:c>
      <x:c r="G1219" s="5" t="n">
        <x:v>0.0023</x:v>
      </x:c>
      <x:c r="H1219" s="5" t="n">
        <x:v>0.004</x:v>
      </x:c>
      <x:c r="I1219" s="5" t="n">
        <x:v>0</x:v>
      </x:c>
      <x:c r="J1219" s="4" t="n">
        <x:v>442</x:v>
      </x:c>
      <x:c r="K1219" s="4" t="n">
        <x:v>1</x:v>
      </x:c>
      <x:c r="L1219" s="4" t="n">
        <x:v>248</x:v>
      </x:c>
      <x:c r="M1219" s="4" t="n">
        <x:v>1</x:v>
      </x:c>
      <x:c r="N1219" s="4" t="n">
        <x:v>194</x:v>
      </x:c>
      <x:c r="O1219" s="4" t="n">
        <x:v>0</x:v>
      </x:c>
      <x:c r="P1219" s="1" t="str">
        <x:v>PASS</x:v>
      </x:c>
      <x:c r="Q1219" s="4" t="n">
        <x:v>0</x:v>
      </x:c>
      <x:c r="R1219" s="1" t="str">
        <x:v>PASS</x:v>
      </x:c>
      <x:c r="S1219" s="4" t="n">
        <x:v>0</x:v>
      </x:c>
      <x:c r="T1219" s="1" t="str">
        <x:v>NOT_REVEALING</x:v>
      </x:c>
      <x:c r="U1219" s="1" t="str">
        <x:v>Gson_16</x:v>
      </x:c>
      <x:c r="V1219" s="6" t="n">
        <x:v>20.53</x:v>
      </x:c>
    </x:row>
    <x:row r="1220" ht="22" customHeight="1">
      <x:c r="A1220" s="1" t="str">
        <x:v>Round2</x:v>
      </x:c>
      <x:c r="B1220" s="1" t="str">
        <x:v>Gson</x:v>
      </x:c>
      <x:c r="C1220" s="4" t="n">
        <x:v>17</x:v>
      </x:c>
      <x:c r="D1220" s="4" t="n">
        <x:v>20260928</x:v>
      </x:c>
      <x:c r="E1220" s="4" t="n">
        <x:v>60</x:v>
      </x:c>
      <x:c r="F1220" s="4" t="n">
        <x:v>5479</x:v>
      </x:c>
      <x:c r="G1220" s="5" t="n">
        <x:v>0.3239</x:v>
      </x:c>
      <x:c r="H1220" s="5" t="n">
        <x:v>0.3636</x:v>
      </x:c>
      <x:c r="I1220" s="5" t="n">
        <x:v>0.1875</x:v>
      </x:c>
      <x:c r="J1220" s="4" t="n">
        <x:v>71</x:v>
      </x:c>
      <x:c r="K1220" s="4" t="n">
        <x:v>23</x:v>
      </x:c>
      <x:c r="L1220" s="4" t="n">
        <x:v>55</x:v>
      </x:c>
      <x:c r="M1220" s="4" t="n">
        <x:v>20</x:v>
      </x:c>
      <x:c r="N1220" s="4" t="n">
        <x:v>16</x:v>
      </x:c>
      <x:c r="O1220" s="4" t="n">
        <x:v>3</x:v>
      </x:c>
      <x:c r="P1220" s="1" t="str">
        <x:v>FAIL</x:v>
      </x:c>
      <x:c r="Q1220" s="4" t="n">
        <x:v>74</x:v>
      </x:c>
      <x:c r="R1220" s="1" t="str">
        <x:v>FAIL</x:v>
      </x:c>
      <x:c r="S1220" s="4" t="n">
        <x:v>876</x:v>
      </x:c>
      <x:c r="T1220" s="1" t="str">
        <x:v>INCONCLUSIVE</x:v>
      </x:c>
      <x:c r="U1220" s="1" t="str">
        <x:v>Gson_17</x:v>
      </x:c>
      <x:c r="V1220" s="6" t="n">
        <x:v>52.01</x:v>
      </x:c>
    </x:row>
    <x:row r="1221" ht="22" customHeight="1">
      <x:c r="A1221" s="1" t="str">
        <x:v>Round2</x:v>
      </x:c>
      <x:c r="B1221" s="1" t="str">
        <x:v>Gson</x:v>
      </x:c>
      <x:c r="C1221" s="4" t="n">
        <x:v>18</x:v>
      </x:c>
      <x:c r="D1221" s="4" t="n">
        <x:v>20260928</x:v>
      </x:c>
      <x:c r="E1221" s="4" t="n">
        <x:v>60</x:v>
      </x:c>
      <x:c r="F1221" s="4" t="n">
        <x:v>2</x:v>
      </x:c>
      <x:c r="G1221" s="5" t="n">
        <x:v>0.0022</x:v>
      </x:c>
      <x:c r="H1221" s="5" t="n">
        <x:v>0.004</x:v>
      </x:c>
      <x:c r="I1221" s="5" t="n">
        <x:v>0</x:v>
      </x:c>
      <x:c r="J1221" s="4" t="n">
        <x:v>447</x:v>
      </x:c>
      <x:c r="K1221" s="4" t="n">
        <x:v>1</x:v>
      </x:c>
      <x:c r="L1221" s="4" t="n">
        <x:v>251</x:v>
      </x:c>
      <x:c r="M1221" s="4" t="n">
        <x:v>1</x:v>
      </x:c>
      <x:c r="N1221" s="4" t="n">
        <x:v>196</x:v>
      </x:c>
      <x:c r="O1221" s="4" t="n">
        <x:v>0</x:v>
      </x:c>
      <x:c r="P1221" s="1" t="str">
        <x:v>PASS</x:v>
      </x:c>
      <x:c r="Q1221" s="4" t="n">
        <x:v>0</x:v>
      </x:c>
      <x:c r="R1221" s="1" t="str">
        <x:v>PASS</x:v>
      </x:c>
      <x:c r="S1221" s="4" t="n">
        <x:v>0</x:v>
      </x:c>
      <x:c r="T1221" s="1" t="str">
        <x:v>NOT_REVEALING</x:v>
      </x:c>
      <x:c r="U1221" s="1" t="str">
        <x:v>Gson_18</x:v>
      </x:c>
      <x:c r="V1221" s="6" t="n">
        <x:v>21</x:v>
      </x:c>
    </x:row>
    <x:row r="1222" ht="22" customHeight="1">
      <x:c r="A1222" s="1" t="str">
        <x:v>Round2</x:v>
      </x:c>
      <x:c r="B1222" s="1" t="str">
        <x:v>JacksonCore</x:v>
      </x:c>
      <x:c r="C1222" s="4" t="n">
        <x:v>1</x:v>
      </x:c>
      <x:c r="D1222" s="4" t="n">
        <x:v>20260928</x:v>
      </x:c>
      <x:c r="E1222" s="4" t="n">
        <x:v>60</x:v>
      </x:c>
      <x:c r="F1222" s="4" t="n">
        <x:v>4549</x:v>
      </x:c>
      <x:c r="G1222" s="5" t="n">
        <x:v>0.7186</x:v>
      </x:c>
      <x:c r="H1222" s="5" t="n">
        <x:v>0.7613</x:v>
      </x:c>
      <x:c r="I1222" s="5" t="n">
        <x:v>0.6470999999999999</x:v>
      </x:c>
      <x:c r="J1222" s="4" t="n">
        <x:v>636</x:v>
      </x:c>
      <x:c r="K1222" s="4" t="n">
        <x:v>457</x:v>
      </x:c>
      <x:c r="L1222" s="4" t="n">
        <x:v>398</x:v>
      </x:c>
      <x:c r="M1222" s="4" t="n">
        <x:v>303</x:v>
      </x:c>
      <x:c r="N1222" s="4" t="n">
        <x:v>238</x:v>
      </x:c>
      <x:c r="O1222" s="4" t="n">
        <x:v>154</x:v>
      </x:c>
      <x:c r="P1222" s="1" t="str">
        <x:v>PASS</x:v>
      </x:c>
      <x:c r="Q1222" s="4" t="n">
        <x:v>0</x:v>
      </x:c>
      <x:c r="R1222" s="1" t="str">
        <x:v>FAIL</x:v>
      </x:c>
      <x:c r="S1222" s="4" t="n">
        <x:v>414</x:v>
      </x:c>
      <x:c r="T1222" s="1" t="str">
        <x:v>INCONCLUSIVE</x:v>
      </x:c>
      <x:c r="U1222" s="1" t="str">
        <x:v>JacksonCore_1</x:v>
      </x:c>
      <x:c r="V1222" s="6" t="n">
        <x:v>51.7</x:v>
      </x:c>
    </x:row>
    <x:row r="1223" ht="22" customHeight="1">
      <x:c r="A1223" s="1" t="str">
        <x:v>Round2</x:v>
      </x:c>
      <x:c r="B1223" s="1" t="str">
        <x:v>JacksonCore</x:v>
      </x:c>
      <x:c r="C1223" s="4" t="n">
        <x:v>2</x:v>
      </x:c>
      <x:c r="D1223" s="4" t="n">
        <x:v>20260928</x:v>
      </x:c>
      <x:c r="E1223" s="4" t="n">
        <x:v>60</x:v>
      </x:c>
      <x:c r="F1223" s="4" t="n">
        <x:v>4382</x:v>
      </x:c>
      <x:c r="G1223" s="5" t="n">
        <x:v>0.0029</x:v>
      </x:c>
      <x:c r="H1223" s="5" t="n">
        <x:v>0.0040999999999999995</x:v>
      </x:c>
      <x:c r="I1223" s="5" t="n">
        <x:v>0.0012</x:v>
      </x:c>
      <x:c r="J1223" s="4" t="n">
        <x:v>4161</x:v>
      </x:c>
      <x:c r="K1223" s="4" t="n">
        <x:v>12</x:v>
      </x:c>
      <x:c r="L1223" s="4" t="n">
        <x:v>2463</x:v>
      </x:c>
      <x:c r="M1223" s="4" t="n">
        <x:v>10</x:v>
      </x:c>
      <x:c r="N1223" s="4" t="n">
        <x:v>1698</x:v>
      </x:c>
      <x:c r="O1223" s="4" t="n">
        <x:v>2</x:v>
      </x:c>
      <x:c r="P1223" s="1" t="str">
        <x:v>PASS</x:v>
      </x:c>
      <x:c r="Q1223" s="4" t="n">
        <x:v>0</x:v>
      </x:c>
      <x:c r="R1223" s="1" t="str">
        <x:v>PASS</x:v>
      </x:c>
      <x:c r="S1223" s="4" t="n">
        <x:v>0</x:v>
      </x:c>
      <x:c r="T1223" s="1" t="str">
        <x:v>NOT_REVEALING</x:v>
      </x:c>
      <x:c r="U1223" s="1" t="str">
        <x:v>JacksonCore_2</x:v>
      </x:c>
      <x:c r="V1223" s="6" t="n">
        <x:v>39.61</x:v>
      </x:c>
    </x:row>
    <x:row r="1224" ht="22" customHeight="1">
      <x:c r="A1224" s="1" t="str">
        <x:v>Round2</x:v>
      </x:c>
      <x:c r="B1224" s="1" t="str">
        <x:v>JacksonCore</x:v>
      </x:c>
      <x:c r="C1224" s="4" t="n">
        <x:v>3</x:v>
      </x:c>
      <x:c r="D1224" s="4" t="n">
        <x:v>20260928</x:v>
      </x:c>
      <x:c r="E1224" s="4" t="n">
        <x:v>60</x:v>
      </x:c>
      <x:c r="F1224" s="4" t="n">
        <x:v>4935</x:v>
      </x:c>
      <x:c r="G1224" s="5" t="n">
        <x:v>0.0034999999999999996</x:v>
      </x:c>
      <x:c r="H1224" s="5" t="n">
        <x:v>0.0046</x:v>
      </x:c>
      <x:c r="I1224" s="5" t="n">
        <x:v>0.002</x:v>
      </x:c>
      <x:c r="J1224" s="4" t="n">
        <x:v>2554</x:v>
      </x:c>
      <x:c r="K1224" s="4" t="n">
        <x:v>9</x:v>
      </x:c>
      <x:c r="L1224" s="4" t="n">
        <x:v>1538</x:v>
      </x:c>
      <x:c r="M1224" s="4" t="n">
        <x:v>7</x:v>
      </x:c>
      <x:c r="N1224" s="4" t="n">
        <x:v>1016</x:v>
      </x:c>
      <x:c r="O1224" s="4" t="n">
        <x:v>2</x:v>
      </x:c>
      <x:c r="P1224" s="1" t="str">
        <x:v>PASS</x:v>
      </x:c>
      <x:c r="Q1224" s="4" t="n">
        <x:v>0</x:v>
      </x:c>
      <x:c r="R1224" s="1" t="str">
        <x:v>PASS</x:v>
      </x:c>
      <x:c r="S1224" s="4" t="n">
        <x:v>0</x:v>
      </x:c>
      <x:c r="T1224" s="1" t="str">
        <x:v>NOT_REVEALING</x:v>
      </x:c>
      <x:c r="U1224" s="1" t="str">
        <x:v>JacksonCore_3</x:v>
      </x:c>
      <x:c r="V1224" s="6" t="n">
        <x:v>45.3</x:v>
      </x:c>
    </x:row>
    <x:row r="1225" ht="22" customHeight="1">
      <x:c r="A1225" s="1" t="str">
        <x:v>Round2</x:v>
      </x:c>
      <x:c r="B1225" s="1" t="str">
        <x:v>JacksonCore</x:v>
      </x:c>
      <x:c r="C1225" s="4" t="n">
        <x:v>4</x:v>
      </x:c>
      <x:c r="D1225" s="4" t="n">
        <x:v>20260928</x:v>
      </x:c>
      <x:c r="E1225" s="4" t="n">
        <x:v>60</x:v>
      </x:c>
      <x:c r="F1225" s="4" t="n">
        <x:v>4171</x:v>
      </x:c>
      <x:c r="G1225" s="5" t="n">
        <x:v>0.8258</x:v>
      </x:c>
      <x:c r="H1225" s="5" t="n">
        <x:v>0.8434999999999999</x:v>
      </x:c>
      <x:c r="I1225" s="5" t="n">
        <x:v>0.7909999999999999</x:v>
      </x:c>
      <x:c r="J1225" s="4" t="n">
        <x:v>396</x:v>
      </x:c>
      <x:c r="K1225" s="4" t="n">
        <x:v>327</x:v>
      </x:c>
      <x:c r="L1225" s="4" t="n">
        <x:v>262</x:v>
      </x:c>
      <x:c r="M1225" s="4" t="n">
        <x:v>221</x:v>
      </x:c>
      <x:c r="N1225" s="4" t="n">
        <x:v>134</x:v>
      </x:c>
      <x:c r="O1225" s="4" t="n">
        <x:v>106</x:v>
      </x:c>
      <x:c r="P1225" s="1" t="str">
        <x:v>PASS</x:v>
      </x:c>
      <x:c r="Q1225" s="4" t="n">
        <x:v>0</x:v>
      </x:c>
      <x:c r="R1225" s="1" t="str">
        <x:v>PASS</x:v>
      </x:c>
      <x:c r="S1225" s="4" t="n">
        <x:v>0</x:v>
      </x:c>
      <x:c r="T1225" s="1" t="str">
        <x:v>NOT_REVEALING</x:v>
      </x:c>
      <x:c r="U1225" s="1" t="str">
        <x:v>JacksonCore_4</x:v>
      </x:c>
      <x:c r="V1225" s="6" t="n">
        <x:v>46.91</x:v>
      </x:c>
    </x:row>
    <x:row r="1226" ht="22" customHeight="1">
      <x:c r="A1226" s="1" t="str">
        <x:v>Round2</x:v>
      </x:c>
      <x:c r="B1226" s="1" t="str">
        <x:v>JacksonCore</x:v>
      </x:c>
      <x:c r="C1226" s="4" t="n">
        <x:v>5</x:v>
      </x:c>
      <x:c r="D1226" s="4" t="n">
        <x:v>20260928</x:v>
      </x:c>
      <x:c r="E1226" s="4" t="n">
        <x:v>60</x:v>
      </x:c>
      <x:c r="F1226" s="4" t="n">
        <x:v>3633</x:v>
      </x:c>
      <x:c r="G1226" s="5" t="n">
        <x:v>0.7329000000000001</x:v>
      </x:c>
      <x:c r="H1226" s="5" t="n">
        <x:v>0.7976000000000001</x:v>
      </x:c>
      <x:c r="I1226" s="5" t="n">
        <x:v>0.6452</x:v>
      </x:c>
      <x:c r="J1226" s="4" t="n">
        <x:v>146</x:v>
      </x:c>
      <x:c r="K1226" s="4" t="n">
        <x:v>107</x:v>
      </x:c>
      <x:c r="L1226" s="4" t="n">
        <x:v>84</x:v>
      </x:c>
      <x:c r="M1226" s="4" t="n">
        <x:v>67</x:v>
      </x:c>
      <x:c r="N1226" s="4" t="n">
        <x:v>62</x:v>
      </x:c>
      <x:c r="O1226" s="4" t="n">
        <x:v>40</x:v>
      </x:c>
      <x:c r="P1226" s="1" t="str">
        <x:v>PASS</x:v>
      </x:c>
      <x:c r="Q1226" s="4" t="n">
        <x:v>0</x:v>
      </x:c>
      <x:c r="R1226" s="1" t="str">
        <x:v>PASS</x:v>
      </x:c>
      <x:c r="S1226" s="4" t="n">
        <x:v>0</x:v>
      </x:c>
      <x:c r="T1226" s="1" t="str">
        <x:v>NOT_REVEALING</x:v>
      </x:c>
      <x:c r="U1226" s="1" t="str">
        <x:v>JacksonCore_5</x:v>
      </x:c>
      <x:c r="V1226" s="6" t="n">
        <x:v>47.92</x:v>
      </x:c>
    </x:row>
    <x:row r="1227" ht="22" customHeight="1">
      <x:c r="A1227" s="1" t="str">
        <x:v>Round2</x:v>
      </x:c>
      <x:c r="B1227" s="1" t="str">
        <x:v>JacksonCore</x:v>
      </x:c>
      <x:c r="C1227" s="4" t="n">
        <x:v>6</x:v>
      </x:c>
      <x:c r="D1227" s="4" t="n">
        <x:v>20260928</x:v>
      </x:c>
      <x:c r="E1227" s="4" t="n">
        <x:v>60</x:v>
      </x:c>
      <x:c r="F1227" s="4" t="n">
        <x:v>3295</x:v>
      </x:c>
      <x:c r="G1227" s="5" t="n">
        <x:v>0.7329000000000001</x:v>
      </x:c>
      <x:c r="H1227" s="5" t="n">
        <x:v>0.7976000000000001</x:v>
      </x:c>
      <x:c r="I1227" s="5" t="n">
        <x:v>0.6452</x:v>
      </x:c>
      <x:c r="J1227" s="4" t="n">
        <x:v>146</x:v>
      </x:c>
      <x:c r="K1227" s="4" t="n">
        <x:v>107</x:v>
      </x:c>
      <x:c r="L1227" s="4" t="n">
        <x:v>84</x:v>
      </x:c>
      <x:c r="M1227" s="4" t="n">
        <x:v>67</x:v>
      </x:c>
      <x:c r="N1227" s="4" t="n">
        <x:v>62</x:v>
      </x:c>
      <x:c r="O1227" s="4" t="n">
        <x:v>40</x:v>
      </x:c>
      <x:c r="P1227" s="1" t="str">
        <x:v>PASS</x:v>
      </x:c>
      <x:c r="Q1227" s="4" t="n">
        <x:v>0</x:v>
      </x:c>
      <x:c r="R1227" s="1" t="str">
        <x:v>PASS</x:v>
      </x:c>
      <x:c r="S1227" s="4" t="n">
        <x:v>0</x:v>
      </x:c>
      <x:c r="T1227" s="1" t="str">
        <x:v>NOT_REVEALING</x:v>
      </x:c>
      <x:c r="U1227" s="1" t="str">
        <x:v>JacksonCore_6</x:v>
      </x:c>
      <x:c r="V1227" s="6" t="n">
        <x:v>44.32</x:v>
      </x:c>
    </x:row>
    <x:row r="1228" ht="22" customHeight="1">
      <x:c r="A1228" s="1" t="str">
        <x:v>Round2</x:v>
      </x:c>
      <x:c r="B1228" s="1" t="str">
        <x:v>JacksonCore</x:v>
      </x:c>
      <x:c r="C1228" s="4" t="n">
        <x:v>7</x:v>
      </x:c>
      <x:c r="D1228" s="4" t="n">
        <x:v>20260928</x:v>
      </x:c>
      <x:c r="E1228" s="4" t="n">
        <x:v>60</x:v>
      </x:c>
      <x:c r="F1228" s="4" t="n">
        <x:v>3416</x:v>
      </x:c>
      <x:c r="G1228" s="5" t="n">
        <x:v>0.4706</x:v>
      </x:c>
      <x:c r="H1228" s="5" t="n">
        <x:v>0.6570999999999999</x:v>
      </x:c>
      <x:c r="I1228" s="5" t="n">
        <x:v>0.0625</x:v>
      </x:c>
      <x:c r="J1228" s="4" t="n">
        <x:v>102</x:v>
      </x:c>
      <x:c r="K1228" s="4" t="n">
        <x:v>48</x:v>
      </x:c>
      <x:c r="L1228" s="4" t="n">
        <x:v>70</x:v>
      </x:c>
      <x:c r="M1228" s="4" t="n">
        <x:v>46</x:v>
      </x:c>
      <x:c r="N1228" s="4" t="n">
        <x:v>32</x:v>
      </x:c>
      <x:c r="O1228" s="4" t="n">
        <x:v>2</x:v>
      </x:c>
      <x:c r="P1228" s="1" t="str">
        <x:v>PASS</x:v>
      </x:c>
      <x:c r="Q1228" s="4" t="n">
        <x:v>0</x:v>
      </x:c>
      <x:c r="R1228" s="1" t="str">
        <x:v>FAIL</x:v>
      </x:c>
      <x:c r="S1228" s="4" t="n">
        <x:v>32</x:v>
      </x:c>
      <x:c r="T1228" s="1" t="str">
        <x:v>INCONCLUSIVE</x:v>
      </x:c>
      <x:c r="U1228" s="1" t="str">
        <x:v>JacksonCore_7</x:v>
      </x:c>
      <x:c r="V1228" s="6" t="n">
        <x:v>51.52</x:v>
      </x:c>
    </x:row>
    <x:row r="1229" ht="22" customHeight="1">
      <x:c r="A1229" s="1" t="str">
        <x:v>Round2</x:v>
      </x:c>
      <x:c r="B1229" s="1" t="str">
        <x:v>JacksonCore</x:v>
      </x:c>
      <x:c r="C1229" s="4" t="n">
        <x:v>8</x:v>
      </x:c>
      <x:c r="D1229" s="4" t="n">
        <x:v>20260928</x:v>
      </x:c>
      <x:c r="E1229" s="4" t="n">
        <x:v>60</x:v>
      </x:c>
      <x:c r="F1229" s="4" t="n">
        <x:v>4353</x:v>
      </x:c>
      <x:c r="G1229" s="5" t="n">
        <x:v>0.7628</x:v>
      </x:c>
      <x:c r="H1229" s="5" t="n">
        <x:v>0.7786</x:v>
      </x:c>
      <x:c r="I1229" s="5" t="n">
        <x:v>0.7319</x:v>
      </x:c>
      <x:c r="J1229" s="4" t="n">
        <x:v>409</x:v>
      </x:c>
      <x:c r="K1229" s="4" t="n">
        <x:v>312</x:v>
      </x:c>
      <x:c r="L1229" s="4" t="n">
        <x:v>271</x:v>
      </x:c>
      <x:c r="M1229" s="4" t="n">
        <x:v>211</x:v>
      </x:c>
      <x:c r="N1229" s="4" t="n">
        <x:v>138</x:v>
      </x:c>
      <x:c r="O1229" s="4" t="n">
        <x:v>101</x:v>
      </x:c>
      <x:c r="P1229" s="1" t="str">
        <x:v>PASS</x:v>
      </x:c>
      <x:c r="Q1229" s="4" t="n">
        <x:v>0</x:v>
      </x:c>
      <x:c r="R1229" s="1" t="str">
        <x:v>FAIL</x:v>
      </x:c>
      <x:c r="S1229" s="4" t="n">
        <x:v>76</x:v>
      </x:c>
      <x:c r="T1229" s="1" t="str">
        <x:v>INCONCLUSIVE</x:v>
      </x:c>
      <x:c r="U1229" s="1" t="str">
        <x:v>JacksonCore_8</x:v>
      </x:c>
      <x:c r="V1229" s="6" t="n">
        <x:v>52.91</x:v>
      </x:c>
    </x:row>
    <x:row r="1230" ht="22" customHeight="1">
      <x:c r="A1230" s="1" t="str">
        <x:v>Round2</x:v>
      </x:c>
      <x:c r="B1230" s="1" t="str">
        <x:v>JacksonCore</x:v>
      </x:c>
      <x:c r="C1230" s="4" t="n">
        <x:v>9</x:v>
      </x:c>
      <x:c r="D1230" s="4" t="n">
        <x:v>20260928</x:v>
      </x:c>
      <x:c r="E1230" s="4" t="n">
        <x:v>60</x:v>
      </x:c>
      <x:c r="F1230" s="4" t="n">
        <x:v>4500</x:v>
      </x:c>
      <x:c r="G1230" s="5" t="n">
        <x:v>0.0022</x:v>
      </x:c>
      <x:c r="H1230" s="5" t="n">
        <x:v>0.0032</x:v>
      </x:c>
      <x:c r="I1230" s="5" t="n">
        <x:v>0.0009</x:v>
      </x:c>
      <x:c r="J1230" s="4" t="n">
        <x:v>5373</x:v>
      </x:c>
      <x:c r="K1230" s="4" t="n">
        <x:v>12</x:v>
      </x:c>
      <x:c r="L1230" s="4" t="n">
        <x:v>3116</x:v>
      </x:c>
      <x:c r="M1230" s="4" t="n">
        <x:v>10</x:v>
      </x:c>
      <x:c r="N1230" s="4" t="n">
        <x:v>2257</x:v>
      </x:c>
      <x:c r="O1230" s="4" t="n">
        <x:v>2</x:v>
      </x:c>
      <x:c r="P1230" s="1" t="str">
        <x:v>PASS</x:v>
      </x:c>
      <x:c r="Q1230" s="4" t="n">
        <x:v>0</x:v>
      </x:c>
      <x:c r="R1230" s="1" t="str">
        <x:v>PASS</x:v>
      </x:c>
      <x:c r="S1230" s="4" t="n">
        <x:v>0</x:v>
      </x:c>
      <x:c r="T1230" s="1" t="str">
        <x:v>NOT_REVEALING</x:v>
      </x:c>
      <x:c r="U1230" s="1" t="str">
        <x:v>JacksonCore_9</x:v>
      </x:c>
      <x:c r="V1230" s="6" t="n">
        <x:v>39.53</x:v>
      </x:c>
    </x:row>
    <x:row r="1231" ht="22" customHeight="1">
      <x:c r="A1231" s="1" t="str">
        <x:v>Round2</x:v>
      </x:c>
      <x:c r="B1231" s="1" t="str">
        <x:v>JacksonCore</x:v>
      </x:c>
      <x:c r="C1231" s="4" t="n">
        <x:v>10</x:v>
      </x:c>
      <x:c r="D1231" s="4" t="n">
        <x:v>20260928</x:v>
      </x:c>
      <x:c r="E1231" s="4" t="n">
        <x:v>60</x:v>
      </x:c>
      <x:c r="F1231" s="4" t="n">
        <x:v>3009</x:v>
      </x:c>
      <x:c r="G1231" s="5" t="n">
        <x:v>0.3953</x:v>
      </x:c>
      <x:c r="H1231" s="5" t="n">
        <x:v>0.4903</x:v>
      </x:c>
      <x:c r="I1231" s="5" t="n">
        <x:v>0.2293</x:v>
      </x:c>
      <x:c r="J1231" s="4" t="n">
        <x:v>731</x:v>
      </x:c>
      <x:c r="K1231" s="4" t="n">
        <x:v>289</x:v>
      </x:c>
      <x:c r="L1231" s="4" t="n">
        <x:v>465</x:v>
      </x:c>
      <x:c r="M1231" s="4" t="n">
        <x:v>228</x:v>
      </x:c>
      <x:c r="N1231" s="4" t="n">
        <x:v>266</x:v>
      </x:c>
      <x:c r="O1231" s="4" t="n">
        <x:v>61</x:v>
      </x:c>
      <x:c r="P1231" s="1" t="str">
        <x:v>FAIL</x:v>
      </x:c>
      <x:c r="Q1231" s="4" t="n">
        <x:v>1302</x:v>
      </x:c>
      <x:c r="R1231" s="1" t="str">
        <x:v>FAIL</x:v>
      </x:c>
      <x:c r="S1231" s="4" t="n">
        <x:v>1360</x:v>
      </x:c>
      <x:c r="T1231" s="1" t="str">
        <x:v>INCONCLUSIVE</x:v>
      </x:c>
      <x:c r="U1231" s="1" t="str">
        <x:v>JacksonCore_10</x:v>
      </x:c>
      <x:c r="V1231" s="6" t="n">
        <x:v>41.64</x:v>
      </x:c>
    </x:row>
    <x:row r="1232" ht="22" customHeight="1">
      <x:c r="A1232" s="1" t="str">
        <x:v>Round2</x:v>
      </x:c>
      <x:c r="B1232" s="1" t="str">
        <x:v>JacksonCore</x:v>
      </x:c>
      <x:c r="C1232" s="4" t="n">
        <x:v>11</x:v>
      </x:c>
      <x:c r="D1232" s="4" t="n">
        <x:v>20260928</x:v>
      </x:c>
      <x:c r="E1232" s="4" t="n">
        <x:v>60</x:v>
      </x:c>
      <x:c r="F1232" s="4" t="n">
        <x:v>2922</x:v>
      </x:c>
      <x:c r="G1232" s="5" t="n">
        <x:v>0.3995</x:v>
      </x:c>
      <x:c r="H1232" s="5" t="n">
        <x:v>0.4936</x:v>
      </x:c>
      <x:c r="I1232" s="5" t="n">
        <x:v>0.2351</x:v>
      </x:c>
      <x:c r="J1232" s="4" t="n">
        <x:v>736</x:v>
      </x:c>
      <x:c r="K1232" s="4" t="n">
        <x:v>294</x:v>
      </x:c>
      <x:c r="L1232" s="4" t="n">
        <x:v>468</x:v>
      </x:c>
      <x:c r="M1232" s="4" t="n">
        <x:v>231</x:v>
      </x:c>
      <x:c r="N1232" s="4" t="n">
        <x:v>268</x:v>
      </x:c>
      <x:c r="O1232" s="4" t="n">
        <x:v>63</x:v>
      </x:c>
      <x:c r="P1232" s="1" t="str">
        <x:v>FAIL</x:v>
      </x:c>
      <x:c r="Q1232" s="4" t="n">
        <x:v>1156</x:v>
      </x:c>
      <x:c r="R1232" s="1" t="str">
        <x:v>FAIL</x:v>
      </x:c>
      <x:c r="S1232" s="4" t="n">
        <x:v>1156</x:v>
      </x:c>
      <x:c r="T1232" s="1" t="str">
        <x:v>INCONCLUSIVE</x:v>
      </x:c>
      <x:c r="U1232" s="1" t="str">
        <x:v>JacksonCore_11</x:v>
      </x:c>
      <x:c r="V1232" s="6" t="n">
        <x:v>41.49</x:v>
      </x:c>
    </x:row>
    <x:row r="1233" ht="22" customHeight="1">
      <x:c r="A1233" s="1" t="str">
        <x:v>Round2</x:v>
      </x:c>
      <x:c r="B1233" s="1" t="str">
        <x:v>JacksonCore</x:v>
      </x:c>
      <x:c r="C1233" s="4" t="n">
        <x:v>12</x:v>
      </x:c>
      <x:c r="D1233" s="4" t="n">
        <x:v>20260928</x:v>
      </x:c>
      <x:c r="E1233" s="4" t="n">
        <x:v>60</x:v>
      </x:c>
      <x:c r="F1233" s="4" t="n">
        <x:v>4863</x:v>
      </x:c>
      <x:c r="G1233" s="5" t="n">
        <x:v>0.002</x:v>
      </x:c>
      <x:c r="H1233" s="5" t="n">
        <x:v>0.0028000000000000004</x:v>
      </x:c>
      <x:c r="I1233" s="5" t="n">
        <x:v>0.0009</x:v>
      </x:c>
      <x:c r="J1233" s="4" t="n">
        <x:v>5445</x:v>
      </x:c>
      <x:c r="K1233" s="4" t="n">
        <x:v>11</x:v>
      </x:c>
      <x:c r="L1233" s="4" t="n">
        <x:v>3187</x:v>
      </x:c>
      <x:c r="M1233" s="4" t="n">
        <x:v>9</x:v>
      </x:c>
      <x:c r="N1233" s="4" t="n">
        <x:v>2258</x:v>
      </x:c>
      <x:c r="O1233" s="4" t="n">
        <x:v>2</x:v>
      </x:c>
      <x:c r="P1233" s="1" t="str">
        <x:v>PASS</x:v>
      </x:c>
      <x:c r="Q1233" s="4" t="n">
        <x:v>0</x:v>
      </x:c>
      <x:c r="R1233" s="1" t="str">
        <x:v>PASS</x:v>
      </x:c>
      <x:c r="S1233" s="4" t="n">
        <x:v>0</x:v>
      </x:c>
      <x:c r="T1233" s="1" t="str">
        <x:v>NOT_REVEALING</x:v>
      </x:c>
      <x:c r="U1233" s="1" t="str">
        <x:v>JacksonCore_12</x:v>
      </x:c>
      <x:c r="V1233" s="6" t="n">
        <x:v>39.31</x:v>
      </x:c>
    </x:row>
    <x:row r="1234" ht="22" customHeight="1">
      <x:c r="A1234" s="1" t="str">
        <x:v>Round2</x:v>
      </x:c>
      <x:c r="B1234" s="1" t="str">
        <x:v>JacksonCore</x:v>
      </x:c>
      <x:c r="C1234" s="4" t="n">
        <x:v>13</x:v>
      </x:c>
      <x:c r="D1234" s="4" t="n">
        <x:v>20260928</x:v>
      </x:c>
      <x:c r="E1234" s="4" t="n">
        <x:v>60</x:v>
      </x:c>
      <x:c r="F1234" s="4" t="n">
        <x:v>6</x:v>
      </x:c>
      <x:c r="G1234" s="5" t="n">
        <x:v>0.0233</x:v>
      </x:c>
      <x:c r="H1234" s="5" t="n">
        <x:v>0.0323</x:v>
      </x:c>
      <x:c r="I1234" s="5" t="n">
        <x:v>0</x:v>
      </x:c>
      <x:c r="J1234" s="4" t="n">
        <x:v>43</x:v>
      </x:c>
      <x:c r="K1234" s="4" t="n">
        <x:v>1</x:v>
      </x:c>
      <x:c r="L1234" s="4" t="n">
        <x:v>31</x:v>
      </x:c>
      <x:c r="M1234" s="4" t="n">
        <x:v>1</x:v>
      </x:c>
      <x:c r="N1234" s="4" t="n">
        <x:v>12</x:v>
      </x:c>
      <x:c r="O1234" s="4" t="n">
        <x:v>0</x:v>
      </x:c>
      <x:c r="P1234" s="1" t="str">
        <x:v>PASS</x:v>
      </x:c>
      <x:c r="Q1234" s="4" t="n">
        <x:v>0</x:v>
      </x:c>
      <x:c r="R1234" s="1" t="str">
        <x:v>PASS</x:v>
      </x:c>
      <x:c r="S1234" s="4" t="n">
        <x:v>0</x:v>
      </x:c>
      <x:c r="T1234" s="1" t="str">
        <x:v>NOT_REVEALING</x:v>
      </x:c>
      <x:c r="U1234" s="1" t="str">
        <x:v>JacksonCore_13</x:v>
      </x:c>
      <x:c r="V1234" s="6" t="n">
        <x:v>21.89</x:v>
      </x:c>
    </x:row>
    <x:row r="1235" ht="22" customHeight="1">
      <x:c r="A1235" s="1" t="str">
        <x:v>Round2</x:v>
      </x:c>
      <x:c r="B1235" s="1" t="str">
        <x:v>JacksonCore</x:v>
      </x:c>
      <x:c r="C1235" s="4" t="n">
        <x:v>14</x:v>
      </x:c>
      <x:c r="D1235" s="4" t="n">
        <x:v>20260928</x:v>
      </x:c>
      <x:c r="E1235" s="4" t="n">
        <x:v>60</x:v>
      </x:c>
      <x:c r="F1235" s="4" t="n">
        <x:v>3759</x:v>
      </x:c>
      <x:c r="G1235" s="5" t="n">
        <x:v>0.9111</x:v>
      </x:c>
      <x:c r="H1235" s="5" t="n">
        <x:v>0.9118</x:v>
      </x:c>
      <x:c r="I1235" s="5" t="n">
        <x:v>0.9091</x:v>
      </x:c>
      <x:c r="J1235" s="4" t="n">
        <x:v>90</x:v>
      </x:c>
      <x:c r="K1235" s="4" t="n">
        <x:v>82</x:v>
      </x:c>
      <x:c r="L1235" s="4" t="n">
        <x:v>68</x:v>
      </x:c>
      <x:c r="M1235" s="4" t="n">
        <x:v>62</x:v>
      </x:c>
      <x:c r="N1235" s="4" t="n">
        <x:v>22</x:v>
      </x:c>
      <x:c r="O1235" s="4" t="n">
        <x:v>20</x:v>
      </x:c>
      <x:c r="P1235" s="1" t="str">
        <x:v>PASS</x:v>
      </x:c>
      <x:c r="Q1235" s="4" t="n">
        <x:v>0</x:v>
      </x:c>
      <x:c r="R1235" s="1" t="str">
        <x:v>FAIL</x:v>
      </x:c>
      <x:c r="S1235" s="4" t="n">
        <x:v>76</x:v>
      </x:c>
      <x:c r="T1235" s="1" t="str">
        <x:v>INCONCLUSIVE</x:v>
      </x:c>
      <x:c r="U1235" s="1" t="str">
        <x:v>JacksonCore_14</x:v>
      </x:c>
      <x:c r="V1235" s="6" t="n">
        <x:v>54.71</x:v>
      </x:c>
    </x:row>
    <x:row r="1236" ht="22" customHeight="1">
      <x:c r="A1236" s="1" t="str">
        <x:v>Round2</x:v>
      </x:c>
      <x:c r="B1236" s="1" t="str">
        <x:v>JacksonCore</x:v>
      </x:c>
      <x:c r="C1236" s="4" t="n">
        <x:v>15</x:v>
      </x:c>
      <x:c r="D1236" s="4" t="n">
        <x:v>20260928</x:v>
      </x:c>
      <x:c r="E1236" s="4" t="n">
        <x:v>60</x:v>
      </x:c>
      <x:c r="F1236" s="4" t="n">
        <x:v>4602</x:v>
      </x:c>
      <x:c r="G1236" s="5" t="n">
        <x:v>0.15380000000000002</x:v>
      </x:c>
      <x:c r="H1236" s="5" t="n">
        <x:v>0.20379999999999998</x:v>
      </x:c>
      <x:c r="I1236" s="5" t="n">
        <x:v>0.0797</x:v>
      </x:c>
      <x:c r="J1236" s="4" t="n">
        <x:v>624</x:v>
      </x:c>
      <x:c r="K1236" s="4" t="n">
        <x:v>96</x:v>
      </x:c>
      <x:c r="L1236" s="4" t="n">
        <x:v>373</x:v>
      </x:c>
      <x:c r="M1236" s="4" t="n">
        <x:v>76</x:v>
      </x:c>
      <x:c r="N1236" s="4" t="n">
        <x:v>251</x:v>
      </x:c>
      <x:c r="O1236" s="4" t="n">
        <x:v>20</x:v>
      </x:c>
      <x:c r="P1236" s="1" t="str">
        <x:v>PASS</x:v>
      </x:c>
      <x:c r="Q1236" s="4" t="n">
        <x:v>0</x:v>
      </x:c>
      <x:c r="R1236" s="1" t="str">
        <x:v>PASS</x:v>
      </x:c>
      <x:c r="S1236" s="4" t="n">
        <x:v>0</x:v>
      </x:c>
      <x:c r="T1236" s="1" t="str">
        <x:v>NOT_REVEALING</x:v>
      </x:c>
      <x:c r="U1236" s="1" t="str">
        <x:v>JacksonCore_15</x:v>
      </x:c>
      <x:c r="V1236" s="6" t="n">
        <x:v>48.79</x:v>
      </x:c>
    </x:row>
    <x:row r="1237" ht="22" customHeight="1">
      <x:c r="A1237" s="1" t="str">
        <x:v>Round2</x:v>
      </x:c>
      <x:c r="B1237" s="1" t="str">
        <x:v>JacksonCore</x:v>
      </x:c>
      <x:c r="C1237" s="4" t="n">
        <x:v>16</x:v>
      </x:c>
      <x:c r="D1237" s="4" t="n">
        <x:v>20260928</x:v>
      </x:c>
      <x:c r="E1237" s="4" t="n">
        <x:v>60</x:v>
      </x:c>
      <x:c r="F1237" s="4" t="n">
        <x:v>5277</x:v>
      </x:c>
      <x:c r="G1237" s="5" t="n">
        <x:v>0.7091</x:v>
      </x:c>
      <x:c r="H1237" s="5" t="n">
        <x:v>0.7879</x:v>
      </x:c>
      <x:c r="I1237" s="5" t="n">
        <x:v>0.5909</x:v>
      </x:c>
      <x:c r="J1237" s="4" t="n">
        <x:v>55</x:v>
      </x:c>
      <x:c r="K1237" s="4" t="n">
        <x:v>39</x:v>
      </x:c>
      <x:c r="L1237" s="4" t="n">
        <x:v>33</x:v>
      </x:c>
      <x:c r="M1237" s="4" t="n">
        <x:v>26</x:v>
      </x:c>
      <x:c r="N1237" s="4" t="n">
        <x:v>22</x:v>
      </x:c>
      <x:c r="O1237" s="4" t="n">
        <x:v>13</x:v>
      </x:c>
      <x:c r="P1237" s="1" t="str">
        <x:v>PASS</x:v>
      </x:c>
      <x:c r="Q1237" s="4" t="n">
        <x:v>0</x:v>
      </x:c>
      <x:c r="R1237" s="1" t="str">
        <x:v>FAIL</x:v>
      </x:c>
      <x:c r="S1237" s="4" t="n">
        <x:v>10552</x:v>
      </x:c>
      <x:c r="T1237" s="1" t="str">
        <x:v>INCONCLUSIVE</x:v>
      </x:c>
      <x:c r="U1237" s="1" t="str">
        <x:v>JacksonCore_16</x:v>
      </x:c>
      <x:c r="V1237" s="6" t="n">
        <x:v>84.07</x:v>
      </x:c>
    </x:row>
    <x:row r="1238" ht="22" customHeight="1">
      <x:c r="A1238" s="1" t="str">
        <x:v>Round2</x:v>
      </x:c>
      <x:c r="B1238" s="1" t="str">
        <x:v>JacksonCore</x:v>
      </x:c>
      <x:c r="C1238" s="4" t="n">
        <x:v>17</x:v>
      </x:c>
      <x:c r="D1238" s="4" t="n">
        <x:v>20260928</x:v>
      </x:c>
      <x:c r="E1238" s="4" t="n">
        <x:v>60</x:v>
      </x:c>
      <x:c r="F1238" s="4" t="n">
        <x:v>6183</x:v>
      </x:c>
      <x:c r="G1238" s="5" t="n">
        <x:v>0.0106</x:v>
      </x:c>
      <x:c r="H1238" s="5" t="n">
        <x:v>0.0161</x:v>
      </x:c>
      <x:c r="I1238" s="5" t="n">
        <x:v>0</x:v>
      </x:c>
      <x:c r="J1238" s="4" t="n">
        <x:v>1514</x:v>
      </x:c>
      <x:c r="K1238" s="4" t="n">
        <x:v>16</x:v>
      </x:c>
      <x:c r="L1238" s="4" t="n">
        <x:v>991</x:v>
      </x:c>
      <x:c r="M1238" s="4" t="n">
        <x:v>16</x:v>
      </x:c>
      <x:c r="N1238" s="4" t="n">
        <x:v>523</x:v>
      </x:c>
      <x:c r="O1238" s="4" t="n">
        <x:v>0</x:v>
      </x:c>
      <x:c r="P1238" s="1" t="str">
        <x:v>PASS</x:v>
      </x:c>
      <x:c r="Q1238" s="4" t="n">
        <x:v>0</x:v>
      </x:c>
      <x:c r="R1238" s="1" t="str">
        <x:v>PASS</x:v>
      </x:c>
      <x:c r="S1238" s="4" t="n">
        <x:v>0</x:v>
      </x:c>
      <x:c r="T1238" s="1" t="str">
        <x:v>NOT_REVEALING</x:v>
      </x:c>
      <x:c r="U1238" s="1" t="str">
        <x:v>JacksonCore_17</x:v>
      </x:c>
      <x:c r="V1238" s="6" t="n">
        <x:v>42.42</x:v>
      </x:c>
    </x:row>
    <x:row r="1239" ht="22" customHeight="1">
      <x:c r="A1239" s="1" t="str">
        <x:v>Round2</x:v>
      </x:c>
      <x:c r="B1239" s="1" t="str">
        <x:v>JacksonCore</x:v>
      </x:c>
      <x:c r="C1239" s="4" t="n">
        <x:v>18</x:v>
      </x:c>
      <x:c r="D1239" s="4" t="n">
        <x:v>20260928</x:v>
      </x:c>
      <x:c r="E1239" s="4" t="n">
        <x:v>60</x:v>
      </x:c>
      <x:c r="F1239" s="4" t="n">
        <x:v>5798</x:v>
      </x:c>
      <x:c r="G1239" s="5" t="n">
        <x:v>0.0106</x:v>
      </x:c>
      <x:c r="H1239" s="5" t="n">
        <x:v>0.0151</x:v>
      </x:c>
      <x:c r="I1239" s="5" t="n">
        <x:v>0.0018</x:v>
      </x:c>
      <x:c r="J1239" s="4" t="n">
        <x:v>3197</x:v>
      </x:c>
      <x:c r="K1239" s="4" t="n">
        <x:v>34</x:v>
      </x:c>
      <x:c r="L1239" s="4" t="n">
        <x:v>2113</x:v>
      </x:c>
      <x:c r="M1239" s="4" t="n">
        <x:v>32</x:v>
      </x:c>
      <x:c r="N1239" s="4" t="n">
        <x:v>1084</x:v>
      </x:c>
      <x:c r="O1239" s="4" t="n">
        <x:v>2</x:v>
      </x:c>
      <x:c r="P1239" s="1" t="str">
        <x:v>PASS</x:v>
      </x:c>
      <x:c r="Q1239" s="4" t="n">
        <x:v>0</x:v>
      </x:c>
      <x:c r="R1239" s="1" t="str">
        <x:v>PASS</x:v>
      </x:c>
      <x:c r="S1239" s="4" t="n">
        <x:v>0</x:v>
      </x:c>
      <x:c r="T1239" s="1" t="str">
        <x:v>NOT_REVEALING</x:v>
      </x:c>
      <x:c r="U1239" s="1" t="str">
        <x:v>JacksonCore_18</x:v>
      </x:c>
      <x:c r="V1239" s="6" t="n">
        <x:v>40.79</x:v>
      </x:c>
    </x:row>
    <x:row r="1240" ht="22" customHeight="1">
      <x:c r="A1240" s="1" t="str">
        <x:v>Round2</x:v>
      </x:c>
      <x:c r="B1240" s="1" t="str">
        <x:v>JacksonCore</x:v>
      </x:c>
      <x:c r="C1240" s="4" t="n">
        <x:v>19</x:v>
      </x:c>
      <x:c r="D1240" s="4" t="n">
        <x:v>20260928</x:v>
      </x:c>
      <x:c r="E1240" s="4" t="n">
        <x:v>60</x:v>
      </x:c>
      <x:c r="F1240" s="4" t="n">
        <x:v>4864</x:v>
      </x:c>
      <x:c r="G1240" s="5" t="n">
        <x:v>0.002</x:v>
      </x:c>
      <x:c r="H1240" s="5" t="n">
        <x:v>0.0028000000000000004</x:v>
      </x:c>
      <x:c r="I1240" s="5" t="n">
        <x:v>0.0009</x:v>
      </x:c>
      <x:c r="J1240" s="4" t="n">
        <x:v>5451</x:v>
      </x:c>
      <x:c r="K1240" s="4" t="n">
        <x:v>11</x:v>
      </x:c>
      <x:c r="L1240" s="4" t="n">
        <x:v>3197</x:v>
      </x:c>
      <x:c r="M1240" s="4" t="n">
        <x:v>9</x:v>
      </x:c>
      <x:c r="N1240" s="4" t="n">
        <x:v>2254</x:v>
      </x:c>
      <x:c r="O1240" s="4" t="n">
        <x:v>2</x:v>
      </x:c>
      <x:c r="P1240" s="1" t="str">
        <x:v>PASS</x:v>
      </x:c>
      <x:c r="Q1240" s="4" t="n">
        <x:v>0</x:v>
      </x:c>
      <x:c r="R1240" s="1" t="str">
        <x:v>PASS</x:v>
      </x:c>
      <x:c r="S1240" s="4" t="n">
        <x:v>0</x:v>
      </x:c>
      <x:c r="T1240" s="1" t="str">
        <x:v>NOT_REVEALING</x:v>
      </x:c>
      <x:c r="U1240" s="1" t="str">
        <x:v>JacksonCore_19</x:v>
      </x:c>
      <x:c r="V1240" s="6" t="n">
        <x:v>40.78</x:v>
      </x:c>
    </x:row>
    <x:row r="1241" ht="22" customHeight="1">
      <x:c r="A1241" s="1" t="str">
        <x:v>Round2</x:v>
      </x:c>
      <x:c r="B1241" s="1" t="str">
        <x:v>JacksonCore</x:v>
      </x:c>
      <x:c r="C1241" s="4" t="n">
        <x:v>20</x:v>
      </x:c>
      <x:c r="D1241" s="4" t="n">
        <x:v>20260928</x:v>
      </x:c>
      <x:c r="E1241" s="4" t="n">
        <x:v>60</x:v>
      </x:c>
      <x:c r="F1241" s="4" t="n">
        <x:v>3492</x:v>
      </x:c>
      <x:c r="G1241" s="5" t="n">
        <x:v>0.0815</x:v>
      </x:c>
      <x:c r="H1241" s="5" t="n">
        <x:v>0.0888</x:v>
      </x:c>
      <x:c r="I1241" s="5" t="n">
        <x:v>0.061900000000000004</x:v>
      </x:c>
      <x:c r="J1241" s="4" t="n">
        <x:v>356</x:v>
      </x:c>
      <x:c r="K1241" s="4" t="n">
        <x:v>29</x:v>
      </x:c>
      <x:c r="L1241" s="4" t="n">
        <x:v>259</x:v>
      </x:c>
      <x:c r="M1241" s="4" t="n">
        <x:v>23</x:v>
      </x:c>
      <x:c r="N1241" s="4" t="n">
        <x:v>97</x:v>
      </x:c>
      <x:c r="O1241" s="4" t="n">
        <x:v>6</x:v>
      </x:c>
      <x:c r="P1241" s="1" t="str">
        <x:v>PASS</x:v>
      </x:c>
      <x:c r="Q1241" s="4" t="n">
        <x:v>0</x:v>
      </x:c>
      <x:c r="R1241" s="1" t="str">
        <x:v>PASS</x:v>
      </x:c>
      <x:c r="S1241" s="4" t="n">
        <x:v>0</x:v>
      </x:c>
      <x:c r="T1241" s="1" t="str">
        <x:v>NOT_REVEALING</x:v>
      </x:c>
      <x:c r="U1241" s="1" t="str">
        <x:v>JacksonCore_20</x:v>
      </x:c>
      <x:c r="V1241" s="6" t="n">
        <x:v>48.44</x:v>
      </x:c>
    </x:row>
    <x:row r="1242" ht="22" customHeight="1">
      <x:c r="A1242" s="1" t="str">
        <x:v>Round2</x:v>
      </x:c>
      <x:c r="B1242" s="1" t="str">
        <x:v>JacksonCore</x:v>
      </x:c>
      <x:c r="C1242" s="4" t="n">
        <x:v>21</x:v>
      </x:c>
      <x:c r="D1242" s="4" t="n">
        <x:v>20260928</x:v>
      </x:c>
      <x:c r="E1242" s="4" t="n">
        <x:v>60</x:v>
      </x:c>
      <x:c r="F1242" s="4" t="n">
        <x:v>4212</x:v>
      </x:c>
      <x:c r="G1242" s="5" t="n">
        <x:v>0.159</x:v>
      </x:c>
      <x:c r="H1242" s="5" t="n">
        <x:v>0.2078</x:v>
      </x:c>
      <x:c r="I1242" s="5" t="n">
        <x:v>0.0892</x:v>
      </x:c>
      <x:c r="J1242" s="4" t="n">
        <x:v>654</x:v>
      </x:c>
      <x:c r="K1242" s="4" t="n">
        <x:v>104</x:v>
      </x:c>
      <x:c r="L1242" s="4" t="n">
        <x:v>385</x:v>
      </x:c>
      <x:c r="M1242" s="4" t="n">
        <x:v>80</x:v>
      </x:c>
      <x:c r="N1242" s="4" t="n">
        <x:v>269</x:v>
      </x:c>
      <x:c r="O1242" s="4" t="n">
        <x:v>24</x:v>
      </x:c>
      <x:c r="P1242" s="1" t="str">
        <x:v>PASS</x:v>
      </x:c>
      <x:c r="Q1242" s="4" t="n">
        <x:v>0</x:v>
      </x:c>
      <x:c r="R1242" s="1" t="str">
        <x:v>PASS</x:v>
      </x:c>
      <x:c r="S1242" s="4" t="n">
        <x:v>0</x:v>
      </x:c>
      <x:c r="T1242" s="1" t="str">
        <x:v>NOT_REVEALING</x:v>
      </x:c>
      <x:c r="U1242" s="1" t="str">
        <x:v>JacksonCore_21</x:v>
      </x:c>
      <x:c r="V1242" s="6" t="n">
        <x:v>52.67</x:v>
      </x:c>
    </x:row>
    <x:row r="1243" ht="22" customHeight="1">
      <x:c r="A1243" s="1" t="str">
        <x:v>Round2</x:v>
      </x:c>
      <x:c r="B1243" s="1" t="str">
        <x:v>JacksonCore</x:v>
      </x:c>
      <x:c r="C1243" s="4" t="n">
        <x:v>22</x:v>
      </x:c>
      <x:c r="D1243" s="4" t="n">
        <x:v>20260928</x:v>
      </x:c>
      <x:c r="E1243" s="4" t="n">
        <x:v>60</x:v>
      </x:c>
      <x:c r="F1243" s="4" t="n">
        <x:v>4416</x:v>
      </x:c>
      <x:c r="G1243" s="5" t="n">
        <x:v>0.1605</x:v>
      </x:c>
      <x:c r="H1243" s="5" t="n">
        <x:v>0.21</x:v>
      </x:c>
      <x:c r="I1243" s="5" t="n">
        <x:v>0.08990000000000001</x:v>
      </x:c>
      <x:c r="J1243" s="4" t="n">
        <x:v>648</x:v>
      </x:c>
      <x:c r="K1243" s="4" t="n">
        <x:v>104</x:v>
      </x:c>
      <x:c r="L1243" s="4" t="n">
        <x:v>381</x:v>
      </x:c>
      <x:c r="M1243" s="4" t="n">
        <x:v>80</x:v>
      </x:c>
      <x:c r="N1243" s="4" t="n">
        <x:v>267</x:v>
      </x:c>
      <x:c r="O1243" s="4" t="n">
        <x:v>24</x:v>
      </x:c>
      <x:c r="P1243" s="1" t="str">
        <x:v>PASS</x:v>
      </x:c>
      <x:c r="Q1243" s="4" t="n">
        <x:v>0</x:v>
      </x:c>
      <x:c r="R1243" s="1" t="str">
        <x:v>PASS</x:v>
      </x:c>
      <x:c r="S1243" s="4" t="n">
        <x:v>0</x:v>
      </x:c>
      <x:c r="T1243" s="1" t="str">
        <x:v>NOT_REVEALING</x:v>
      </x:c>
      <x:c r="U1243" s="1" t="str">
        <x:v>JacksonCore_22</x:v>
      </x:c>
      <x:c r="V1243" s="6" t="n">
        <x:v>51.87</x:v>
      </x:c>
    </x:row>
    <x:row r="1244" ht="22" customHeight="1">
      <x:c r="A1244" s="1" t="str">
        <x:v>Round2</x:v>
      </x:c>
      <x:c r="B1244" s="1" t="str">
        <x:v>JacksonCore</x:v>
      </x:c>
      <x:c r="C1244" s="4" t="n">
        <x:v>23</x:v>
      </x:c>
      <x:c r="D1244" s="4" t="n">
        <x:v>20260928</x:v>
      </x:c>
      <x:c r="E1244" s="4" t="n">
        <x:v>60</x:v>
      </x:c>
      <x:c r="F1244" s="4" t="n">
        <x:v>1860</x:v>
      </x:c>
      <x:c r="G1244" s="5" t="n">
        <x:v>0.8835999999999999</x:v>
      </x:c>
      <x:c r="H1244" s="5" t="n">
        <x:v>0.8774</x:v>
      </x:c>
      <x:c r="I1244" s="5" t="n">
        <x:v>0.9</x:v>
      </x:c>
      <x:c r="J1244" s="4" t="n">
        <x:v>146</x:v>
      </x:c>
      <x:c r="K1244" s="4" t="n">
        <x:v>129</x:v>
      </x:c>
      <x:c r="L1244" s="4" t="n">
        <x:v>106</x:v>
      </x:c>
      <x:c r="M1244" s="4" t="n">
        <x:v>93</x:v>
      </x:c>
      <x:c r="N1244" s="4" t="n">
        <x:v>40</x:v>
      </x:c>
      <x:c r="O1244" s="4" t="n">
        <x:v>36</x:v>
      </x:c>
      <x:c r="P1244" s="1" t="str">
        <x:v>PASS</x:v>
      </x:c>
      <x:c r="Q1244" s="4" t="n">
        <x:v>0</x:v>
      </x:c>
      <x:c r="R1244" s="1" t="str">
        <x:v>PASS</x:v>
      </x:c>
      <x:c r="S1244" s="4" t="n">
        <x:v>0</x:v>
      </x:c>
      <x:c r="T1244" s="1" t="str">
        <x:v>NOT_REVEALING</x:v>
      </x:c>
      <x:c r="U1244" s="1" t="str">
        <x:v>JacksonCore_23</x:v>
      </x:c>
      <x:c r="V1244" s="6" t="n">
        <x:v>49.64</x:v>
      </x:c>
    </x:row>
    <x:row r="1245" ht="22" customHeight="1">
      <x:c r="A1245" s="1" t="str">
        <x:v>Round2</x:v>
      </x:c>
      <x:c r="B1245" s="1" t="str">
        <x:v>JacksonCore</x:v>
      </x:c>
      <x:c r="C1245" s="4" t="n">
        <x:v>24</x:v>
      </x:c>
      <x:c r="D1245" s="4" t="n">
        <x:v>20260928</x:v>
      </x:c>
      <x:c r="E1245" s="4" t="n">
        <x:v>60</x:v>
      </x:c>
      <x:c r="F1245" s="4" t="n">
        <x:v>3029</x:v>
      </x:c>
      <x:c r="G1245" s="5" t="n">
        <x:v>0.031400000000000004</x:v>
      </x:c>
      <x:c r="H1245" s="5" t="n">
        <x:v>0.0395</x:v>
      </x:c>
      <x:c r="I1245" s="5" t="n">
        <x:v>0.0195</x:v>
      </x:c>
      <x:c r="J1245" s="4" t="n">
        <x:v>1018</x:v>
      </x:c>
      <x:c r="K1245" s="4" t="n">
        <x:v>32</x:v>
      </x:c>
      <x:c r="L1245" s="4" t="n">
        <x:v>607</x:v>
      </x:c>
      <x:c r="M1245" s="4" t="n">
        <x:v>24</x:v>
      </x:c>
      <x:c r="N1245" s="4" t="n">
        <x:v>411</x:v>
      </x:c>
      <x:c r="O1245" s="4" t="n">
        <x:v>8</x:v>
      </x:c>
      <x:c r="P1245" s="1" t="str">
        <x:v>PASS</x:v>
      </x:c>
      <x:c r="Q1245" s="4" t="n">
        <x:v>0</x:v>
      </x:c>
      <x:c r="R1245" s="1" t="str">
        <x:v>PASS</x:v>
      </x:c>
      <x:c r="S1245" s="4" t="n">
        <x:v>0</x:v>
      </x:c>
      <x:c r="T1245" s="1" t="str">
        <x:v>NOT_REVEALING</x:v>
      </x:c>
      <x:c r="U1245" s="1" t="str">
        <x:v>JacksonCore_24</x:v>
      </x:c>
      <x:c r="V1245" s="6" t="n">
        <x:v>44.13</x:v>
      </x:c>
    </x:row>
    <x:row r="1246" ht="22" customHeight="1">
      <x:c r="A1246" s="1" t="str">
        <x:v>Round2</x:v>
      </x:c>
      <x:c r="B1246" s="1" t="str">
        <x:v>JacksonCore</x:v>
      </x:c>
      <x:c r="C1246" s="4" t="n">
        <x:v>25</x:v>
      </x:c>
      <x:c r="D1246" s="4" t="n">
        <x:v>20260928</x:v>
      </x:c>
      <x:c r="E1246" s="4" t="n">
        <x:v>60</x:v>
      </x:c>
      <x:c r="F1246" s="4" t="n">
        <x:v>5664</x:v>
      </x:c>
      <x:c r="G1246" s="5" t="n">
        <x:v>0.0016</x:v>
      </x:c>
      <x:c r="H1246" s="5" t="n">
        <x:v>0.0028000000000000004</x:v>
      </x:c>
      <x:c r="I1246" s="5" t="n">
        <x:v>0</x:v>
      </x:c>
      <x:c r="J1246" s="4" t="n">
        <x:v>2522</x:v>
      </x:c>
      <x:c r="K1246" s="4" t="n">
        <x:v>4</x:v>
      </x:c>
      <x:c r="L1246" s="4" t="n">
        <x:v>1438</x:v>
      </x:c>
      <x:c r="M1246" s="4" t="n">
        <x:v>4</x:v>
      </x:c>
      <x:c r="N1246" s="4" t="n">
        <x:v>1084</x:v>
      </x:c>
      <x:c r="O1246" s="4" t="n">
        <x:v>0</x:v>
      </x:c>
      <x:c r="P1246" s="1" t="str">
        <x:v>PASS</x:v>
      </x:c>
      <x:c r="Q1246" s="4" t="n">
        <x:v>0</x:v>
      </x:c>
      <x:c r="R1246" s="1" t="str">
        <x:v>PASS</x:v>
      </x:c>
      <x:c r="S1246" s="4" t="n">
        <x:v>0</x:v>
      </x:c>
      <x:c r="T1246" s="1" t="str">
        <x:v>NOT_REVEALING</x:v>
      </x:c>
      <x:c r="U1246" s="1" t="str">
        <x:v>JacksonCore_25</x:v>
      </x:c>
      <x:c r="V1246" s="6" t="n">
        <x:v>45.13</x:v>
      </x:c>
    </x:row>
    <x:row r="1247" ht="22" customHeight="1">
      <x:c r="A1247" s="1" t="str">
        <x:v>Round2</x:v>
      </x:c>
      <x:c r="B1247" s="1" t="str">
        <x:v>JacksonCore</x:v>
      </x:c>
      <x:c r="C1247" s="4" t="n">
        <x:v>26</x:v>
      </x:c>
      <x:c r="D1247" s="4" t="n">
        <x:v>20260928</x:v>
      </x:c>
      <x:c r="E1247" s="4" t="n">
        <x:v>60</x:v>
      </x:c>
      <x:c r="F1247" s="4" t="n">
        <x:v>21</x:v>
      </x:c>
      <x:c r="G1247" s="5" t="n">
        <x:v>0.0040999999999999995</x:v>
      </x:c>
      <x:c r="H1247" s="5" t="n">
        <x:v>0.0067</x:v>
      </x:c>
      <x:c r="I1247" s="5" t="n">
        <x:v>0</x:v>
      </x:c>
      <x:c r="J1247" s="4" t="n">
        <x:v>2433</x:v>
      </x:c>
      <x:c r="K1247" s="4" t="n">
        <x:v>10</x:v>
      </x:c>
      <x:c r="L1247" s="4" t="n">
        <x:v>1482</x:v>
      </x:c>
      <x:c r="M1247" s="4" t="n">
        <x:v>10</x:v>
      </x:c>
      <x:c r="N1247" s="4" t="n">
        <x:v>951</x:v>
      </x:c>
      <x:c r="O1247" s="4" t="n">
        <x:v>0</x:v>
      </x:c>
      <x:c r="P1247" s="1" t="str">
        <x:v>PASS</x:v>
      </x:c>
      <x:c r="Q1247" s="4" t="n">
        <x:v>0</x:v>
      </x:c>
      <x:c r="R1247" s="1" t="str">
        <x:v>PASS</x:v>
      </x:c>
      <x:c r="S1247" s="4" t="n">
        <x:v>0</x:v>
      </x:c>
      <x:c r="T1247" s="1" t="str">
        <x:v>NOT_REVEALING</x:v>
      </x:c>
      <x:c r="U1247" s="1" t="str">
        <x:v>JacksonCore_26</x:v>
      </x:c>
      <x:c r="V1247" s="6" t="n">
        <x:v>27.59</x:v>
      </x:c>
    </x:row>
    <x:row r="1248" ht="22" customHeight="1">
      <x:c r="A1248" s="1" t="str">
        <x:v>Round2</x:v>
      </x:c>
      <x:c r="B1248" s="1" t="str">
        <x:v>JacksonDatabind</x:v>
      </x:c>
      <x:c r="C1248" s="4" t="n">
        <x:v>1</x:v>
      </x:c>
      <x:c r="D1248" s="4" t="n">
        <x:v>20260928</x:v>
      </x:c>
      <x:c r="E1248" s="4" t="n">
        <x:v>60</x:v>
      </x:c>
      <x:c r="F1248" s="4" t="n">
        <x:v>4</x:v>
      </x:c>
      <x:c r="G1248" s="5" t="n">
        <x:v>0.0167</x:v>
      </x:c>
      <x:c r="H1248" s="5" t="n">
        <x:v>0.0256</x:v>
      </x:c>
      <x:c r="I1248" s="5" t="n">
        <x:v>0</x:v>
      </x:c>
      <x:c r="J1248" s="4" t="n">
        <x:v>299</x:v>
      </x:c>
      <x:c r="K1248" s="4" t="n">
        <x:v>5</x:v>
      </x:c>
      <x:c r="L1248" s="4" t="n">
        <x:v>195</x:v>
      </x:c>
      <x:c r="M1248" s="4" t="n">
        <x:v>5</x:v>
      </x:c>
      <x:c r="N1248" s="4" t="n">
        <x:v>104</x:v>
      </x:c>
      <x:c r="O1248" s="4" t="n">
        <x:v>0</x:v>
      </x:c>
      <x:c r="P1248" s="1" t="str">
        <x:v>PASS</x:v>
      </x:c>
      <x:c r="Q1248" s="4" t="n">
        <x:v>0</x:v>
      </x:c>
      <x:c r="R1248" s="1" t="str">
        <x:v>PASS</x:v>
      </x:c>
      <x:c r="S1248" s="4" t="n">
        <x:v>0</x:v>
      </x:c>
      <x:c r="T1248" s="1" t="str">
        <x:v>NOT_REVEALING</x:v>
      </x:c>
      <x:c r="U1248" s="1" t="str">
        <x:v>JacksonDatabind_1</x:v>
      </x:c>
      <x:c r="V1248" s="6" t="n">
        <x:v>51.77</x:v>
      </x:c>
    </x:row>
    <x:row r="1249" ht="22" customHeight="1">
      <x:c r="A1249" s="1" t="str">
        <x:v>Round2</x:v>
      </x:c>
      <x:c r="B1249" s="1" t="str">
        <x:v>JacksonDatabind</x:v>
      </x:c>
      <x:c r="C1249" s="4" t="n">
        <x:v>2</x:v>
      </x:c>
      <x:c r="D1249" s="4" t="n">
        <x:v>20260928</x:v>
      </x:c>
      <x:c r="E1249" s="4" t="n">
        <x:v>60</x:v>
      </x:c>
      <x:c r="F1249" s="4" t="n">
        <x:v>4005</x:v>
      </x:c>
      <x:c r="G1249" s="5" t="n">
        <x:v>0.7698</x:v>
      </x:c>
      <x:c r="H1249" s="5" t="n">
        <x:v>0.8081999999999999</x:v>
      </x:c>
      <x:c r="I1249" s="5" t="n">
        <x:v>0.6912999999999999</x:v>
      </x:c>
      <x:c r="J1249" s="4" t="n">
        <x:v>908</x:v>
      </x:c>
      <x:c r="K1249" s="4" t="n">
        <x:v>699</x:v>
      </x:c>
      <x:c r="L1249" s="4" t="n">
        <x:v>610</x:v>
      </x:c>
      <x:c r="M1249" s="4" t="n">
        <x:v>493</x:v>
      </x:c>
      <x:c r="N1249" s="4" t="n">
        <x:v>298</x:v>
      </x:c>
      <x:c r="O1249" s="4" t="n">
        <x:v>206</x:v>
      </x:c>
      <x:c r="P1249" s="1" t="str">
        <x:v>PASS</x:v>
      </x:c>
      <x:c r="Q1249" s="4" t="n">
        <x:v>0</x:v>
      </x:c>
      <x:c r="R1249" s="1" t="str">
        <x:v>FAIL</x:v>
      </x:c>
      <x:c r="S1249" s="4" t="n">
        <x:v>4</x:v>
      </x:c>
      <x:c r="T1249" s="1" t="str">
        <x:v>INCONCLUSIVE</x:v>
      </x:c>
      <x:c r="U1249" s="1" t="str">
        <x:v>JacksonDatabind_2</x:v>
      </x:c>
      <x:c r="V1249" s="6" t="n">
        <x:v>84.96</x:v>
      </x:c>
    </x:row>
    <x:row r="1250" ht="22" customHeight="1">
      <x:c r="A1250" s="1" t="str">
        <x:v>Round2</x:v>
      </x:c>
      <x:c r="B1250" s="1" t="str">
        <x:v>JacksonDatabind</x:v>
      </x:c>
      <x:c r="C1250" s="4" t="n">
        <x:v>3</x:v>
      </x:c>
      <x:c r="D1250" s="4" t="n">
        <x:v>20260928</x:v>
      </x:c>
      <x:c r="E1250" s="4" t="n">
        <x:v>60</x:v>
      </x:c>
      <x:c r="F1250" s="4" t="n">
        <x:v>3407</x:v>
      </x:c>
      <x:c r="G1250" s="5" t="n">
        <x:v>0.12240000000000001</x:v>
      </x:c>
      <x:c r="H1250" s="5" t="n">
        <x:v>0.1935</x:v>
      </x:c>
      <x:c r="I1250" s="5" t="n">
        <x:v>0</x:v>
      </x:c>
      <x:c r="J1250" s="4" t="n">
        <x:v>98</x:v>
      </x:c>
      <x:c r="K1250" s="4" t="n">
        <x:v>12</x:v>
      </x:c>
      <x:c r="L1250" s="4" t="n">
        <x:v>62</x:v>
      </x:c>
      <x:c r="M1250" s="4" t="n">
        <x:v>12</x:v>
      </x:c>
      <x:c r="N1250" s="4" t="n">
        <x:v>36</x:v>
      </x:c>
      <x:c r="O1250" s="4" t="n">
        <x:v>0</x:v>
      </x:c>
      <x:c r="P1250" s="1" t="str">
        <x:v>FAIL</x:v>
      </x:c>
      <x:c r="Q1250" s="4" t="n">
        <x:v>5</x:v>
      </x:c>
      <x:c r="R1250" s="1" t="str">
        <x:v>FAIL</x:v>
      </x:c>
      <x:c r="S1250" s="4" t="n">
        <x:v>5</x:v>
      </x:c>
      <x:c r="T1250" s="1" t="str">
        <x:v>INCONCLUSIVE</x:v>
      </x:c>
      <x:c r="U1250" s="1" t="str">
        <x:v>JacksonDatabind_3</x:v>
      </x:c>
      <x:c r="V1250" s="6" t="n">
        <x:v>78.66</x:v>
      </x:c>
    </x:row>
    <x:row r="1251" ht="22" customHeight="1">
      <x:c r="A1251" s="1" t="str">
        <x:v>Round2</x:v>
      </x:c>
      <x:c r="B1251" s="1" t="str">
        <x:v>JacksonDatabind</x:v>
      </x:c>
      <x:c r="C1251" s="4" t="n">
        <x:v>4</x:v>
      </x:c>
      <x:c r="D1251" s="4" t="n">
        <x:v>20260928</x:v>
      </x:c>
      <x:c r="E1251" s="4" t="n">
        <x:v>60</x:v>
      </x:c>
      <x:c r="F1251" s="4" t="n">
        <x:v>3539</x:v>
      </x:c>
      <x:c r="G1251" s="5" t="n">
        <x:v>0.12240000000000001</x:v>
      </x:c>
      <x:c r="H1251" s="5" t="n">
        <x:v>0.1935</x:v>
      </x:c>
      <x:c r="I1251" s="5" t="n">
        <x:v>0</x:v>
      </x:c>
      <x:c r="J1251" s="4" t="n">
        <x:v>98</x:v>
      </x:c>
      <x:c r="K1251" s="4" t="n">
        <x:v>12</x:v>
      </x:c>
      <x:c r="L1251" s="4" t="n">
        <x:v>62</x:v>
      </x:c>
      <x:c r="M1251" s="4" t="n">
        <x:v>12</x:v>
      </x:c>
      <x:c r="N1251" s="4" t="n">
        <x:v>36</x:v>
      </x:c>
      <x:c r="O1251" s="4" t="n">
        <x:v>0</x:v>
      </x:c>
      <x:c r="P1251" s="1" t="str">
        <x:v>FAIL</x:v>
      </x:c>
      <x:c r="Q1251" s="4" t="n">
        <x:v>5</x:v>
      </x:c>
      <x:c r="R1251" s="1" t="str">
        <x:v>FAIL</x:v>
      </x:c>
      <x:c r="S1251" s="4" t="n">
        <x:v>5</x:v>
      </x:c>
      <x:c r="T1251" s="1" t="str">
        <x:v>INCONCLUSIVE</x:v>
      </x:c>
      <x:c r="U1251" s="1" t="str">
        <x:v>JacksonDatabind_4</x:v>
      </x:c>
      <x:c r="V1251" s="6" t="n">
        <x:v>82.11</x:v>
      </x:c>
    </x:row>
    <x:row r="1252" ht="22" customHeight="1">
      <x:c r="A1252" s="1" t="str">
        <x:v>Round2</x:v>
      </x:c>
      <x:c r="B1252" s="1" t="str">
        <x:v>JacksonDatabind</x:v>
      </x:c>
      <x:c r="C1252" s="4" t="n">
        <x:v>5</x:v>
      </x:c>
      <x:c r="D1252" s="4" t="n">
        <x:v>20260928</x:v>
      </x:c>
      <x:c r="E1252" s="4" t="n">
        <x:v>60</x:v>
      </x:c>
      <x:c r="F1252" s="4" t="n">
        <x:v>1</x:v>
      </x:c>
      <x:c r="G1252" s="5" t="n">
        <x:v>0</x:v>
      </x:c>
      <x:c r="H1252" s="5" t="n">
        <x:v>0</x:v>
      </x:c>
      <x:c r="I1252" s="5" t="n">
        <x:v>0</x:v>
      </x:c>
      <x:c r="J1252" s="4" t="n">
        <x:v>637</x:v>
      </x:c>
      <x:c r="K1252" s="4" t="n">
        <x:v>0</x:v>
      </x:c>
      <x:c r="L1252" s="4" t="n">
        <x:v>365</x:v>
      </x:c>
      <x:c r="M1252" s="4" t="n">
        <x:v>0</x:v>
      </x:c>
      <x:c r="N1252" s="4" t="n">
        <x:v>272</x:v>
      </x:c>
      <x:c r="O1252" s="4" t="n">
        <x:v>0</x:v>
      </x:c>
      <x:c r="P1252" s="1" t="str">
        <x:v>PASS</x:v>
      </x:c>
      <x:c r="Q1252" s="4" t="n">
        <x:v>0</x:v>
      </x:c>
      <x:c r="R1252" s="1" t="str">
        <x:v>PASS</x:v>
      </x:c>
      <x:c r="S1252" s="4" t="n">
        <x:v>0</x:v>
      </x:c>
      <x:c r="T1252" s="1" t="str">
        <x:v>NOT_REVEALING</x:v>
      </x:c>
      <x:c r="U1252" s="1" t="str">
        <x:v>JacksonDatabind_5</x:v>
      </x:c>
      <x:c r="V1252" s="6" t="n">
        <x:v>54.35</x:v>
      </x:c>
    </x:row>
    <x:row r="1253" ht="22" customHeight="1">
      <x:c r="A1253" s="1" t="str">
        <x:v>Round2</x:v>
      </x:c>
      <x:c r="B1253" s="1" t="str">
        <x:v>JacksonDatabind</x:v>
      </x:c>
      <x:c r="C1253" s="4" t="n">
        <x:v>6</x:v>
      </x:c>
      <x:c r="D1253" s="4" t="n">
        <x:v>20260928</x:v>
      </x:c>
      <x:c r="E1253" s="4" t="n">
        <x:v>60</x:v>
      </x:c>
      <x:c r="F1253" s="4" t="n">
        <x:v>4350</x:v>
      </x:c>
      <x:c r="G1253" s="5" t="n">
        <x:v>0.8519</x:v>
      </x:c>
      <x:c r="H1253" s="5" t="n">
        <x:v>0.8859</x:v>
      </x:c>
      <x:c r="I1253" s="5" t="n">
        <x:v>0.7979</x:v>
      </x:c>
      <x:c r="J1253" s="4" t="n">
        <x:v>243</x:v>
      </x:c>
      <x:c r="K1253" s="4" t="n">
        <x:v>207</x:v>
      </x:c>
      <x:c r="L1253" s="4" t="n">
        <x:v>149</x:v>
      </x:c>
      <x:c r="M1253" s="4" t="n">
        <x:v>132</x:v>
      </x:c>
      <x:c r="N1253" s="4" t="n">
        <x:v>94</x:v>
      </x:c>
      <x:c r="O1253" s="4" t="n">
        <x:v>75</x:v>
      </x:c>
      <x:c r="P1253" s="1" t="str">
        <x:v>FAIL</x:v>
      </x:c>
      <x:c r="Q1253" s="4" t="n">
        <x:v>7242</x:v>
      </x:c>
      <x:c r="R1253" s="1" t="str">
        <x:v>FAIL</x:v>
      </x:c>
      <x:c r="S1253" s="4" t="n">
        <x:v>7243</x:v>
      </x:c>
      <x:c r="T1253" s="1" t="str">
        <x:v>INCONCLUSIVE</x:v>
      </x:c>
      <x:c r="U1253" s="1" t="str">
        <x:v>JacksonDatabind_6</x:v>
      </x:c>
      <x:c r="V1253" s="6" t="n">
        <x:v>94.29</x:v>
      </x:c>
    </x:row>
    <x:row r="1254" ht="22" customHeight="1">
      <x:c r="A1254" s="1" t="str">
        <x:v>Round2</x:v>
      </x:c>
      <x:c r="B1254" s="1" t="str">
        <x:v>JacksonDatabind</x:v>
      </x:c>
      <x:c r="C1254" s="4" t="n">
        <x:v>7</x:v>
      </x:c>
      <x:c r="D1254" s="4" t="n">
        <x:v>20260928</x:v>
      </x:c>
      <x:c r="E1254" s="4" t="n">
        <x:v>60</x:v>
      </x:c>
      <x:c r="F1254" s="4" t="n">
        <x:v>4232</x:v>
      </x:c>
      <x:c r="G1254" s="5" t="n">
        <x:v>0.7661</x:v>
      </x:c>
      <x:c r="H1254" s="5" t="n">
        <x:v>0.8045</x:v>
      </x:c>
      <x:c r="I1254" s="5" t="n">
        <x:v>0.6883</x:v>
      </x:c>
      <x:c r="J1254" s="4" t="n">
        <x:v>932</x:v>
      </x:c>
      <x:c r="K1254" s="4" t="n">
        <x:v>714</x:v>
      </x:c>
      <x:c r="L1254" s="4" t="n">
        <x:v>624</x:v>
      </x:c>
      <x:c r="M1254" s="4" t="n">
        <x:v>502</x:v>
      </x:c>
      <x:c r="N1254" s="4" t="n">
        <x:v>308</x:v>
      </x:c>
      <x:c r="O1254" s="4" t="n">
        <x:v>212</x:v>
      </x:c>
      <x:c r="P1254" s="1" t="str">
        <x:v>PASS</x:v>
      </x:c>
      <x:c r="Q1254" s="4" t="n">
        <x:v>0</x:v>
      </x:c>
      <x:c r="R1254" s="1" t="str">
        <x:v>PASS</x:v>
      </x:c>
      <x:c r="S1254" s="4" t="n">
        <x:v>0</x:v>
      </x:c>
      <x:c r="T1254" s="1" t="str">
        <x:v>NOT_REVEALING</x:v>
      </x:c>
      <x:c r="U1254" s="1" t="str">
        <x:v>JacksonDatabind_7</x:v>
      </x:c>
      <x:c r="V1254" s="6" t="n">
        <x:v>83.89</x:v>
      </x:c>
    </x:row>
    <x:row r="1255" ht="22" customHeight="1">
      <x:c r="A1255" s="1" t="str">
        <x:v>Round2</x:v>
      </x:c>
      <x:c r="B1255" s="1" t="str">
        <x:v>JacksonDatabind</x:v>
      </x:c>
      <x:c r="C1255" s="4" t="n">
        <x:v>8</x:v>
      </x:c>
      <x:c r="D1255" s="4" t="n">
        <x:v>20260928</x:v>
      </x:c>
      <x:c r="E1255" s="4" t="n">
        <x:v>60</x:v>
      </x:c>
      <x:c r="F1255" s="4" t="n">
        <x:v>3417</x:v>
      </x:c>
      <x:c r="G1255" s="5" t="n">
        <x:v>0.5222</x:v>
      </x:c>
      <x:c r="H1255" s="5" t="n">
        <x:v>0.6466</x:v>
      </x:c>
      <x:c r="I1255" s="5" t="n">
        <x:v>0.2969</x:v>
      </x:c>
      <x:c r="J1255" s="4" t="n">
        <x:v>180</x:v>
      </x:c>
      <x:c r="K1255" s="4" t="n">
        <x:v>94</x:v>
      </x:c>
      <x:c r="L1255" s="4" t="n">
        <x:v>116</x:v>
      </x:c>
      <x:c r="M1255" s="4" t="n">
        <x:v>75</x:v>
      </x:c>
      <x:c r="N1255" s="4" t="n">
        <x:v>64</x:v>
      </x:c>
      <x:c r="O1255" s="4" t="n">
        <x:v>19</x:v>
      </x:c>
      <x:c r="P1255" s="1" t="str">
        <x:v>PASS</x:v>
      </x:c>
      <x:c r="Q1255" s="4" t="n">
        <x:v>0</x:v>
      </x:c>
      <x:c r="R1255" s="1" t="str">
        <x:v>PASS</x:v>
      </x:c>
      <x:c r="S1255" s="4" t="n">
        <x:v>0</x:v>
      </x:c>
      <x:c r="T1255" s="1" t="str">
        <x:v>NOT_REVEALING</x:v>
      </x:c>
      <x:c r="U1255" s="1" t="str">
        <x:v>JacksonDatabind_8</x:v>
      </x:c>
      <x:c r="V1255" s="6" t="n">
        <x:v>84.78</x:v>
      </x:c>
    </x:row>
    <x:row r="1256" ht="22" customHeight="1">
      <x:c r="A1256" s="1" t="str">
        <x:v>Round2</x:v>
      </x:c>
      <x:c r="B1256" s="1" t="str">
        <x:v>JacksonDatabind</x:v>
      </x:c>
      <x:c r="C1256" s="4" t="n">
        <x:v>9</x:v>
      </x:c>
      <x:c r="D1256" s="4" t="n">
        <x:v>20260928</x:v>
      </x:c>
      <x:c r="E1256" s="4" t="n">
        <x:v>60</x:v>
      </x:c>
      <x:c r="F1256" s="4" t="n">
        <x:v>2704</x:v>
      </x:c>
      <x:c r="G1256" s="5" t="n">
        <x:v>0.5832999999999999</x:v>
      </x:c>
      <x:c r="H1256" s="5" t="n">
        <x:v>0.6</x:v>
      </x:c>
      <x:c r="I1256" s="5" t="n">
        <x:v>0.5</x:v>
      </x:c>
      <x:c r="J1256" s="4" t="n">
        <x:v>12</x:v>
      </x:c>
      <x:c r="K1256" s="4" t="n">
        <x:v>7</x:v>
      </x:c>
      <x:c r="L1256" s="4" t="n">
        <x:v>10</x:v>
      </x:c>
      <x:c r="M1256" s="4" t="n">
        <x:v>6</x:v>
      </x:c>
      <x:c r="N1256" s="4" t="n">
        <x:v>2</x:v>
      </x:c>
      <x:c r="O1256" s="4" t="n">
        <x:v>1</x:v>
      </x:c>
      <x:c r="P1256" s="1" t="str">
        <x:v>PASS</x:v>
      </x:c>
      <x:c r="Q1256" s="4" t="n">
        <x:v>0</x:v>
      </x:c>
      <x:c r="R1256" s="1" t="str">
        <x:v>PASS</x:v>
      </x:c>
      <x:c r="S1256" s="4" t="n">
        <x:v>0</x:v>
      </x:c>
      <x:c r="T1256" s="1" t="str">
        <x:v>NOT_REVEALING</x:v>
      </x:c>
      <x:c r="U1256" s="1" t="str">
        <x:v>JacksonDatabind_9</x:v>
      </x:c>
      <x:c r="V1256" s="6" t="n">
        <x:v>104.25</x:v>
      </x:c>
    </x:row>
    <x:row r="1257" ht="22" customHeight="1">
      <x:c r="A1257" s="1" t="str">
        <x:v>Round2</x:v>
      </x:c>
      <x:c r="B1257" s="1" t="str">
        <x:v>JacksonDatabind</x:v>
      </x:c>
      <x:c r="C1257" s="4" t="n">
        <x:v>10</x:v>
      </x:c>
      <x:c r="D1257" s="4" t="n">
        <x:v>20260928</x:v>
      </x:c>
      <x:c r="E1257" s="4" t="n">
        <x:v>60</x:v>
      </x:c>
      <x:c r="F1257" s="4" t="n">
        <x:v>2761</x:v>
      </x:c>
      <x:c r="G1257" s="5" t="n">
        <x:v>0.0888</x:v>
      </x:c>
      <x:c r="H1257" s="5" t="n">
        <x:v>0.1273</x:v>
      </x:c>
      <x:c r="I1257" s="5" t="n">
        <x:v>0.024399999999999998</x:v>
      </x:c>
      <x:c r="J1257" s="4" t="n">
        <x:v>439</x:v>
      </x:c>
      <x:c r="K1257" s="4" t="n">
        <x:v>39</x:v>
      </x:c>
      <x:c r="L1257" s="4" t="n">
        <x:v>275</x:v>
      </x:c>
      <x:c r="M1257" s="4" t="n">
        <x:v>35</x:v>
      </x:c>
      <x:c r="N1257" s="4" t="n">
        <x:v>164</x:v>
      </x:c>
      <x:c r="O1257" s="4" t="n">
        <x:v>4</x:v>
      </x:c>
      <x:c r="P1257" s="1" t="str">
        <x:v>PASS</x:v>
      </x:c>
      <x:c r="Q1257" s="4" t="n">
        <x:v>0</x:v>
      </x:c>
      <x:c r="R1257" s="1" t="str">
        <x:v>FAIL</x:v>
      </x:c>
      <x:c r="S1257" s="4" t="n">
        <x:v>248</x:v>
      </x:c>
      <x:c r="T1257" s="1" t="str">
        <x:v>INCONCLUSIVE</x:v>
      </x:c>
      <x:c r="U1257" s="1" t="str">
        <x:v>JacksonDatabind_10</x:v>
      </x:c>
      <x:c r="V1257" s="6" t="n">
        <x:v>84.49</x:v>
      </x:c>
    </x:row>
    <x:row r="1258" ht="22" customHeight="1">
      <x:c r="A1258" s="1" t="str">
        <x:v>Round2</x:v>
      </x:c>
      <x:c r="B1258" s="1" t="str">
        <x:v>JacksonDatabind</x:v>
      </x:c>
      <x:c r="C1258" s="4" t="n">
        <x:v>11</x:v>
      </x:c>
      <x:c r="D1258" s="4" t="n">
        <x:v>20260928</x:v>
      </x:c>
      <x:c r="E1258" s="4" t="n">
        <x:v>60</x:v>
      </x:c>
      <x:c r="F1258" s="4" t="n">
        <x:v>357</x:v>
      </x:c>
      <x:c r="G1258" s="5" t="n">
        <x:v>0.1911</x:v>
      </x:c>
      <x:c r="H1258" s="5" t="n">
        <x:v>0.2125</x:v>
      </x:c>
      <x:c r="I1258" s="5" t="n">
        <x:v>0.1566</x:v>
      </x:c>
      <x:c r="J1258" s="4" t="n">
        <x:v>518</x:v>
      </x:c>
      <x:c r="K1258" s="4" t="n">
        <x:v>99</x:v>
      </x:c>
      <x:c r="L1258" s="4" t="n">
        <x:v>320</x:v>
      </x:c>
      <x:c r="M1258" s="4" t="n">
        <x:v>68</x:v>
      </x:c>
      <x:c r="N1258" s="4" t="n">
        <x:v>198</x:v>
      </x:c>
      <x:c r="O1258" s="4" t="n">
        <x:v>31</x:v>
      </x:c>
      <x:c r="P1258" s="1" t="str">
        <x:v>PASS</x:v>
      </x:c>
      <x:c r="Q1258" s="4" t="n">
        <x:v>0</x:v>
      </x:c>
      <x:c r="R1258" s="1" t="str">
        <x:v>PASS</x:v>
      </x:c>
      <x:c r="S1258" s="4" t="n">
        <x:v>0</x:v>
      </x:c>
      <x:c r="T1258" s="1" t="str">
        <x:v>NOT_REVEALING</x:v>
      </x:c>
      <x:c r="U1258" s="1" t="str">
        <x:v>JacksonDatabind_11</x:v>
      </x:c>
      <x:c r="V1258" s="6" t="n">
        <x:v>61.13</x:v>
      </x:c>
    </x:row>
    <x:row r="1259" ht="22" customHeight="1">
      <x:c r="A1259" s="1" t="str">
        <x:v>Round2</x:v>
      </x:c>
      <x:c r="B1259" s="1" t="str">
        <x:v>JacksonDatabind</x:v>
      </x:c>
      <x:c r="C1259" s="4" t="n">
        <x:v>12</x:v>
      </x:c>
      <x:c r="D1259" s="4" t="n">
        <x:v>20260928</x:v>
      </x:c>
      <x:c r="E1259" s="4" t="n">
        <x:v>60</x:v>
      </x:c>
      <x:c r="F1259" s="4" t="n">
        <x:v>10</x:v>
      </x:c>
      <x:c r="G1259" s="5" t="n">
        <x:v>0.0223</x:v>
      </x:c>
      <x:c r="H1259" s="5" t="n">
        <x:v>0.0344</x:v>
      </x:c>
      <x:c r="I1259" s="5" t="n">
        <x:v>0</x:v>
      </x:c>
      <x:c r="J1259" s="4" t="n">
        <x:v>404</x:v>
      </x:c>
      <x:c r="K1259" s="4" t="n">
        <x:v>9</x:v>
      </x:c>
      <x:c r="L1259" s="4" t="n">
        <x:v>262</x:v>
      </x:c>
      <x:c r="M1259" s="4" t="n">
        <x:v>9</x:v>
      </x:c>
      <x:c r="N1259" s="4" t="n">
        <x:v>142</x:v>
      </x:c>
      <x:c r="O1259" s="4" t="n">
        <x:v>0</x:v>
      </x:c>
      <x:c r="P1259" s="1" t="str">
        <x:v>PASS</x:v>
      </x:c>
      <x:c r="Q1259" s="4" t="n">
        <x:v>0</x:v>
      </x:c>
      <x:c r="R1259" s="1" t="str">
        <x:v>PASS</x:v>
      </x:c>
      <x:c r="S1259" s="4" t="n">
        <x:v>0</x:v>
      </x:c>
      <x:c r="T1259" s="1" t="str">
        <x:v>NOT_REVEALING</x:v>
      </x:c>
      <x:c r="U1259" s="1" t="str">
        <x:v>JacksonDatabind_12</x:v>
      </x:c>
      <x:c r="V1259" s="6" t="n">
        <x:v>56.4</x:v>
      </x:c>
    </x:row>
    <x:row r="1260" ht="22" customHeight="1">
      <x:c r="A1260" s="1" t="str">
        <x:v>Round2</x:v>
      </x:c>
      <x:c r="B1260" s="1" t="str">
        <x:v>JacksonDatabind</x:v>
      </x:c>
      <x:c r="C1260" s="4" t="n">
        <x:v>13</x:v>
      </x:c>
      <x:c r="D1260" s="4" t="n">
        <x:v>20260928</x:v>
      </x:c>
      <x:c r="E1260" s="4" t="n">
        <x:v>60</x:v>
      </x:c>
      <x:c r="F1260" s="4" t="n">
        <x:v>6</x:v>
      </x:c>
      <x:c r="G1260" s="5" t="n">
        <x:v>0.045</x:v>
      </x:c>
      <x:c r="H1260" s="5" t="n">
        <x:v>0.0682</x:v>
      </x:c>
      <x:c r="I1260" s="5" t="n">
        <x:v>0</x:v>
      </x:c>
      <x:c r="J1260" s="4" t="n">
        <x:v>200</x:v>
      </x:c>
      <x:c r="K1260" s="4" t="n">
        <x:v>9</x:v>
      </x:c>
      <x:c r="L1260" s="4" t="n">
        <x:v>132</x:v>
      </x:c>
      <x:c r="M1260" s="4" t="n">
        <x:v>9</x:v>
      </x:c>
      <x:c r="N1260" s="4" t="n">
        <x:v>68</x:v>
      </x:c>
      <x:c r="O1260" s="4" t="n">
        <x:v>0</x:v>
      </x:c>
      <x:c r="P1260" s="1" t="str">
        <x:v>PASS</x:v>
      </x:c>
      <x:c r="Q1260" s="4" t="n">
        <x:v>0</x:v>
      </x:c>
      <x:c r="R1260" s="1" t="str">
        <x:v>PASS</x:v>
      </x:c>
      <x:c r="S1260" s="4" t="n">
        <x:v>0</x:v>
      </x:c>
      <x:c r="T1260" s="1" t="str">
        <x:v>NOT_REVEALING</x:v>
      </x:c>
      <x:c r="U1260" s="1" t="str">
        <x:v>JacksonDatabind_13</x:v>
      </x:c>
      <x:c r="V1260" s="6" t="n">
        <x:v>54.42</x:v>
      </x:c>
    </x:row>
    <x:row r="1261" ht="22" customHeight="1">
      <x:c r="A1261" s="1" t="str">
        <x:v>Round2</x:v>
      </x:c>
      <x:c r="B1261" s="1" t="str">
        <x:v>JacksonDatabind</x:v>
      </x:c>
      <x:c r="C1261" s="4" t="n">
        <x:v>14</x:v>
      </x:c>
      <x:c r="D1261" s="4" t="n">
        <x:v>20260928</x:v>
      </x:c>
      <x:c r="E1261" s="4" t="n">
        <x:v>60</x:v>
      </x:c>
      <x:c r="F1261" s="4" t="n">
        <x:v>87</x:v>
      </x:c>
      <x:c r="G1261" s="5" t="n">
        <x:v>0.024399999999999998</x:v>
      </x:c>
      <x:c r="H1261" s="5" t="n">
        <x:v>0.034</x:v>
      </x:c>
      <x:c r="I1261" s="5" t="n">
        <x:v>0</x:v>
      </x:c>
      <x:c r="J1261" s="4" t="n">
        <x:v>532</x:v>
      </x:c>
      <x:c r="K1261" s="4" t="n">
        <x:v>13</x:v>
      </x:c>
      <x:c r="L1261" s="4" t="n">
        <x:v>382</x:v>
      </x:c>
      <x:c r="M1261" s="4" t="n">
        <x:v>13</x:v>
      </x:c>
      <x:c r="N1261" s="4" t="n">
        <x:v>150</x:v>
      </x:c>
      <x:c r="O1261" s="4" t="n">
        <x:v>0</x:v>
      </x:c>
      <x:c r="P1261" s="1" t="str">
        <x:v>PASS</x:v>
      </x:c>
      <x:c r="Q1261" s="4" t="n">
        <x:v>0</x:v>
      </x:c>
      <x:c r="R1261" s="1" t="str">
        <x:v>PASS</x:v>
      </x:c>
      <x:c r="S1261" s="4" t="n">
        <x:v>0</x:v>
      </x:c>
      <x:c r="T1261" s="1" t="str">
        <x:v>NOT_REVEALING</x:v>
      </x:c>
      <x:c r="U1261" s="1" t="str">
        <x:v>JacksonDatabind_14</x:v>
      </x:c>
      <x:c r="V1261" s="6" t="n">
        <x:v>56.01</x:v>
      </x:c>
    </x:row>
    <x:row r="1262" ht="22" customHeight="1">
      <x:c r="A1262" s="1" t="str">
        <x:v>Round2</x:v>
      </x:c>
      <x:c r="B1262" s="1" t="str">
        <x:v>JacksonDatabind</x:v>
      </x:c>
      <x:c r="C1262" s="4" t="n">
        <x:v>15</x:v>
      </x:c>
      <x:c r="D1262" s="4" t="n">
        <x:v>20260928</x:v>
      </x:c>
      <x:c r="E1262" s="4" t="n">
        <x:v>60</x:v>
      </x:c>
      <x:c r="F1262" s="4" t="n">
        <x:v>957</x:v>
      </x:c>
      <x:c r="G1262" s="5" t="n">
        <x:v>0.0479</x:v>
      </x:c>
      <x:c r="H1262" s="5" t="n">
        <x:v>0.055</x:v>
      </x:c>
      <x:c r="I1262" s="5" t="n">
        <x:v>0.0363</x:v>
      </x:c>
      <x:c r="J1262" s="4" t="n">
        <x:v>1231</x:v>
      </x:c>
      <x:c r="K1262" s="4" t="n">
        <x:v>59</x:v>
      </x:c>
      <x:c r="L1262" s="4" t="n">
        <x:v>763</x:v>
      </x:c>
      <x:c r="M1262" s="4" t="n">
        <x:v>42</x:v>
      </x:c>
      <x:c r="N1262" s="4" t="n">
        <x:v>468</x:v>
      </x:c>
      <x:c r="O1262" s="4" t="n">
        <x:v>17</x:v>
      </x:c>
      <x:c r="P1262" s="1" t="str">
        <x:v>PASS</x:v>
      </x:c>
      <x:c r="Q1262" s="4" t="n">
        <x:v>0</x:v>
      </x:c>
      <x:c r="R1262" s="1" t="str">
        <x:v>PASS</x:v>
      </x:c>
      <x:c r="S1262" s="4" t="n">
        <x:v>0</x:v>
      </x:c>
      <x:c r="T1262" s="1" t="str">
        <x:v>NOT_REVEALING</x:v>
      </x:c>
      <x:c r="U1262" s="1" t="str">
        <x:v>JacksonDatabind_15</x:v>
      </x:c>
      <x:c r="V1262" s="6" t="n">
        <x:v>72.27</x:v>
      </x:c>
    </x:row>
    <x:row r="1263" ht="22" customHeight="1">
      <x:c r="A1263" s="1" t="str">
        <x:v>Round2</x:v>
      </x:c>
      <x:c r="B1263" s="1" t="str">
        <x:v>JacksonDatabind</x:v>
      </x:c>
      <x:c r="C1263" s="4" t="n">
        <x:v>16</x:v>
      </x:c>
      <x:c r="D1263" s="4" t="n">
        <x:v>20260928</x:v>
      </x:c>
      <x:c r="E1263" s="4" t="n">
        <x:v>60</x:v>
      </x:c>
      <x:c r="F1263" s="4" t="n">
        <x:v>3434</x:v>
      </x:c>
      <x:c r="G1263" s="5" t="n">
        <x:v>0.3099</x:v>
      </x:c>
      <x:c r="H1263" s="5" t="n">
        <x:v>0.4</x:v>
      </x:c>
      <x:c r="I1263" s="5" t="n">
        <x:v>0.22219999999999998</x:v>
      </x:c>
      <x:c r="J1263" s="4" t="n">
        <x:v>71</x:v>
      </x:c>
      <x:c r="K1263" s="4" t="n">
        <x:v>22</x:v>
      </x:c>
      <x:c r="L1263" s="4" t="n">
        <x:v>35</x:v>
      </x:c>
      <x:c r="M1263" s="4" t="n">
        <x:v>14</x:v>
      </x:c>
      <x:c r="N1263" s="4" t="n">
        <x:v>36</x:v>
      </x:c>
      <x:c r="O1263" s="4" t="n">
        <x:v>8</x:v>
      </x:c>
      <x:c r="P1263" s="1" t="str">
        <x:v>PASS</x:v>
      </x:c>
      <x:c r="Q1263" s="4" t="n">
        <x:v>0</x:v>
      </x:c>
      <x:c r="R1263" s="1" t="str">
        <x:v>PASS</x:v>
      </x:c>
      <x:c r="S1263" s="4" t="n">
        <x:v>0</x:v>
      </x:c>
      <x:c r="T1263" s="1" t="str">
        <x:v>NOT_REVEALING</x:v>
      </x:c>
      <x:c r="U1263" s="1" t="str">
        <x:v>JacksonDatabind_16</x:v>
      </x:c>
      <x:c r="V1263" s="6" t="n">
        <x:v>96.22</x:v>
      </x:c>
    </x:row>
    <x:row r="1264" ht="22" customHeight="1">
      <x:c r="A1264" s="1" t="str">
        <x:v>Round2</x:v>
      </x:c>
      <x:c r="B1264" s="1" t="str">
        <x:v>JacksonDatabind</x:v>
      </x:c>
      <x:c r="C1264" s="4" t="n">
        <x:v>17</x:v>
      </x:c>
      <x:c r="D1264" s="4" t="n">
        <x:v>20260928</x:v>
      </x:c>
      <x:c r="E1264" s="4" t="n">
        <x:v>60</x:v>
      </x:c>
      <x:c r="F1264" s="4" t="n">
        <x:v>1018</x:v>
      </x:c>
      <x:c r="G1264" s="5" t="n">
        <x:v>0.5169</x:v>
      </x:c>
      <x:c r="H1264" s="5" t="n">
        <x:v>0.5658</x:v>
      </x:c>
      <x:c r="I1264" s="5" t="n">
        <x:v>0.3542</x:v>
      </x:c>
      <x:c r="J1264" s="4" t="n">
        <x:v>830</x:v>
      </x:c>
      <x:c r="K1264" s="4" t="n">
        <x:v>429</x:v>
      </x:c>
      <x:c r="L1264" s="4" t="n">
        <x:v>638</x:v>
      </x:c>
      <x:c r="M1264" s="4" t="n">
        <x:v>361</x:v>
      </x:c>
      <x:c r="N1264" s="4" t="n">
        <x:v>192</x:v>
      </x:c>
      <x:c r="O1264" s="4" t="n">
        <x:v>68</x:v>
      </x:c>
      <x:c r="P1264" s="1" t="str">
        <x:v>FAIL</x:v>
      </x:c>
      <x:c r="Q1264" s="4" t="n">
        <x:v>14</x:v>
      </x:c>
      <x:c r="R1264" s="1" t="str">
        <x:v>FAIL</x:v>
      </x:c>
      <x:c r="S1264" s="4" t="n">
        <x:v>24</x:v>
      </x:c>
      <x:c r="T1264" s="1" t="str">
        <x:v>INCONCLUSIVE</x:v>
      </x:c>
      <x:c r="U1264" s="1" t="str">
        <x:v>JacksonDatabind_17</x:v>
      </x:c>
      <x:c r="V1264" s="6" t="n">
        <x:v>69.41</x:v>
      </x:c>
    </x:row>
    <x:row r="1265" ht="22" customHeight="1">
      <x:c r="A1265" s="1" t="str">
        <x:v>Round2</x:v>
      </x:c>
      <x:c r="B1265" s="1" t="str">
        <x:v>JacksonDatabind</x:v>
      </x:c>
      <x:c r="C1265" s="4" t="n">
        <x:v>18</x:v>
      </x:c>
      <x:c r="D1265" s="4" t="n">
        <x:v>20260928</x:v>
      </x:c>
      <x:c r="E1265" s="4" t="n">
        <x:v>60</x:v>
      </x:c>
      <x:c r="F1265" s="4" t="n">
        <x:v>183</x:v>
      </x:c>
      <x:c r="G1265" s="5" t="n">
        <x:v>0.1373</x:v>
      </x:c>
      <x:c r="H1265" s="5" t="n">
        <x:v>0.1765</x:v>
      </x:c>
      <x:c r="I1265" s="5" t="n">
        <x:v>0.0588</x:v>
      </x:c>
      <x:c r="J1265" s="4" t="n">
        <x:v>102</x:v>
      </x:c>
      <x:c r="K1265" s="4" t="n">
        <x:v>14</x:v>
      </x:c>
      <x:c r="L1265" s="4" t="n">
        <x:v>68</x:v>
      </x:c>
      <x:c r="M1265" s="4" t="n">
        <x:v>12</x:v>
      </x:c>
      <x:c r="N1265" s="4" t="n">
        <x:v>34</x:v>
      </x:c>
      <x:c r="O1265" s="4" t="n">
        <x:v>2</x:v>
      </x:c>
      <x:c r="P1265" s="1" t="str">
        <x:v>PASS</x:v>
      </x:c>
      <x:c r="Q1265" s="4" t="n">
        <x:v>0</x:v>
      </x:c>
      <x:c r="R1265" s="1" t="str">
        <x:v>PASS</x:v>
      </x:c>
      <x:c r="S1265" s="4" t="n">
        <x:v>0</x:v>
      </x:c>
      <x:c r="T1265" s="1" t="str">
        <x:v>NOT_REVEALING</x:v>
      </x:c>
      <x:c r="U1265" s="1" t="str">
        <x:v>JacksonDatabind_18</x:v>
      </x:c>
      <x:c r="V1265" s="6" t="n">
        <x:v>56.67</x:v>
      </x:c>
    </x:row>
    <x:row r="1266" ht="22" customHeight="1">
      <x:c r="A1266" s="1" t="str">
        <x:v>Round2</x:v>
      </x:c>
      <x:c r="B1266" s="1" t="str">
        <x:v>JacksonDatabind</x:v>
      </x:c>
      <x:c r="C1266" s="4" t="n">
        <x:v>19</x:v>
      </x:c>
      <x:c r="D1266" s="4" t="n">
        <x:v>20260928</x:v>
      </x:c>
      <x:c r="E1266" s="4" t="n">
        <x:v>60</x:v>
      </x:c>
      <x:c r="F1266" s="4" t="n">
        <x:v>93</x:v>
      </x:c>
      <x:c r="G1266" s="5" t="n">
        <x:v>0.1404</x:v>
      </x:c>
      <x:c r="H1266" s="5" t="n">
        <x:v>0.1671</x:v>
      </x:c>
      <x:c r="I1266" s="5" t="n">
        <x:v>0.1</x:v>
      </x:c>
      <x:c r="J1266" s="4" t="n">
        <x:v>577</x:v>
      </x:c>
      <x:c r="K1266" s="4" t="n">
        <x:v>81</x:v>
      </x:c>
      <x:c r="L1266" s="4" t="n">
        <x:v>347</x:v>
      </x:c>
      <x:c r="M1266" s="4" t="n">
        <x:v>58</x:v>
      </x:c>
      <x:c r="N1266" s="4" t="n">
        <x:v>230</x:v>
      </x:c>
      <x:c r="O1266" s="4" t="n">
        <x:v>23</x:v>
      </x:c>
      <x:c r="P1266" s="1" t="str">
        <x:v>PASS</x:v>
      </x:c>
      <x:c r="Q1266" s="4" t="n">
        <x:v>0</x:v>
      </x:c>
      <x:c r="R1266" s="1" t="str">
        <x:v>PASS</x:v>
      </x:c>
      <x:c r="S1266" s="4" t="n">
        <x:v>0</x:v>
      </x:c>
      <x:c r="T1266" s="1" t="str">
        <x:v>NOT_REVEALING</x:v>
      </x:c>
      <x:c r="U1266" s="1" t="str">
        <x:v>JacksonDatabind_19</x:v>
      </x:c>
      <x:c r="V1266" s="6" t="n">
        <x:v>55.77</x:v>
      </x:c>
    </x:row>
    <x:row r="1267" ht="22" customHeight="1">
      <x:c r="A1267" s="1" t="str">
        <x:v>Round2</x:v>
      </x:c>
      <x:c r="B1267" s="1" t="str">
        <x:v>JacksonDatabind</x:v>
      </x:c>
      <x:c r="C1267" s="4" t="n">
        <x:v>20</x:v>
      </x:c>
      <x:c r="D1267" s="4" t="n">
        <x:v>20260928</x:v>
      </x:c>
      <x:c r="E1267" s="4" t="n">
        <x:v>60</x:v>
      </x:c>
      <x:c r="F1267" s="4" t="n">
        <x:v>3635</x:v>
      </x:c>
      <x:c r="G1267" s="5" t="n">
        <x:v>0.8370000000000001</x:v>
      </x:c>
      <x:c r="H1267" s="5" t="n">
        <x:v>0.8548</x:v>
      </x:c>
      <x:c r="I1267" s="5" t="n">
        <x:v>0.7976000000000001</x:v>
      </x:c>
      <x:c r="J1267" s="4" t="n">
        <x:v>270</x:v>
      </x:c>
      <x:c r="K1267" s="4" t="n">
        <x:v>226</x:v>
      </x:c>
      <x:c r="L1267" s="4" t="n">
        <x:v>186</x:v>
      </x:c>
      <x:c r="M1267" s="4" t="n">
        <x:v>159</x:v>
      </x:c>
      <x:c r="N1267" s="4" t="n">
        <x:v>84</x:v>
      </x:c>
      <x:c r="O1267" s="4" t="n">
        <x:v>67</x:v>
      </x:c>
      <x:c r="P1267" s="1" t="str">
        <x:v>PASS</x:v>
      </x:c>
      <x:c r="Q1267" s="4" t="n">
        <x:v>0</x:v>
      </x:c>
      <x:c r="R1267" s="1" t="str">
        <x:v>PASS</x:v>
      </x:c>
      <x:c r="S1267" s="4" t="n">
        <x:v>0</x:v>
      </x:c>
      <x:c r="T1267" s="1" t="str">
        <x:v>NOT_REVEALING</x:v>
      </x:c>
      <x:c r="U1267" s="1" t="str">
        <x:v>JacksonDatabind_20</x:v>
      </x:c>
      <x:c r="V1267" s="6" t="n">
        <x:v>98.41</x:v>
      </x:c>
    </x:row>
    <x:row r="1268" ht="22" customHeight="1">
      <x:c r="A1268" s="1" t="str">
        <x:v>Round2</x:v>
      </x:c>
      <x:c r="B1268" s="1" t="str">
        <x:v>JacksonDatabind</x:v>
      </x:c>
      <x:c r="C1268" s="4" t="n">
        <x:v>21</x:v>
      </x:c>
      <x:c r="D1268" s="4" t="n">
        <x:v>20260928</x:v>
      </x:c>
      <x:c r="E1268" s="4" t="n">
        <x:v>60</x:v>
      </x:c>
      <x:c r="F1268" s="4" t="n">
        <x:v>2584</x:v>
      </x:c>
      <x:c r="G1268" s="5" t="n">
        <x:v>0.1323</x:v>
      </x:c>
      <x:c r="H1268" s="5" t="n">
        <x:v>0.2162</x:v>
      </x:c>
      <x:c r="I1268" s="5" t="n">
        <x:v>0.020099999999999996</x:v>
      </x:c>
      <x:c r="J1268" s="4" t="n">
        <x:v>582</x:v>
      </x:c>
      <x:c r="K1268" s="4" t="n">
        <x:v>77</x:v>
      </x:c>
      <x:c r="L1268" s="4" t="n">
        <x:v>333</x:v>
      </x:c>
      <x:c r="M1268" s="4" t="n">
        <x:v>72</x:v>
      </x:c>
      <x:c r="N1268" s="4" t="n">
        <x:v>249</x:v>
      </x:c>
      <x:c r="O1268" s="4" t="n">
        <x:v>5</x:v>
      </x:c>
      <x:c r="P1268" s="1" t="str">
        <x:v>PASS</x:v>
      </x:c>
      <x:c r="Q1268" s="4" t="n">
        <x:v>0</x:v>
      </x:c>
      <x:c r="R1268" s="1" t="str">
        <x:v>PASS</x:v>
      </x:c>
      <x:c r="S1268" s="4" t="n">
        <x:v>0</x:v>
      </x:c>
      <x:c r="T1268" s="1" t="str">
        <x:v>NOT_REVEALING</x:v>
      </x:c>
      <x:c r="U1268" s="1" t="str">
        <x:v>JacksonDatabind_21</x:v>
      </x:c>
      <x:c r="V1268" s="6" t="n">
        <x:v>87.78</x:v>
      </x:c>
    </x:row>
    <x:row r="1269" ht="22" customHeight="1">
      <x:c r="A1269" s="1" t="str">
        <x:v>Round2</x:v>
      </x:c>
      <x:c r="B1269" s="1" t="str">
        <x:v>JacksonDatabind</x:v>
      </x:c>
      <x:c r="C1269" s="4" t="n">
        <x:v>22</x:v>
      </x:c>
      <x:c r="D1269" s="4" t="n">
        <x:v>20260928</x:v>
      </x:c>
      <x:c r="E1269" s="4" t="n">
        <x:v>60</x:v>
      </x:c>
      <x:c r="F1269" s="4" t="n">
        <x:v>2267</x:v>
      </x:c>
      <x:c r="G1269" s="5" t="n">
        <x:v>0.1127</x:v>
      </x:c>
      <x:c r="H1269" s="5" t="n">
        <x:v>0.163</x:v>
      </x:c>
      <x:c r="I1269" s="5" t="n">
        <x:v>0.0342</x:v>
      </x:c>
      <x:c r="J1269" s="4" t="n">
        <x:v>1047</x:v>
      </x:c>
      <x:c r="K1269" s="4" t="n">
        <x:v>118</x:v>
      </x:c>
      <x:c r="L1269" s="4" t="n">
        <x:v>638</x:v>
      </x:c>
      <x:c r="M1269" s="4" t="n">
        <x:v>104</x:v>
      </x:c>
      <x:c r="N1269" s="4" t="n">
        <x:v>409</x:v>
      </x:c>
      <x:c r="O1269" s="4" t="n">
        <x:v>14</x:v>
      </x:c>
      <x:c r="P1269" s="1" t="str">
        <x:v>PASS</x:v>
      </x:c>
      <x:c r="Q1269" s="4" t="n">
        <x:v>0</x:v>
      </x:c>
      <x:c r="R1269" s="1" t="str">
        <x:v>NOT_RUN</x:v>
      </x:c>
      <x:c r="S1269" s="4"/>
      <x:c r="T1269" s="1" t="str">
        <x:v>NOT_AVAILABLE</x:v>
      </x:c>
      <x:c r="U1269" s="1" t="str">
        <x:v>JacksonDatabind_22</x:v>
      </x:c>
      <x:c r="V1269" s="6" t="n">
        <x:v>77.86</x:v>
      </x:c>
    </x:row>
    <x:row r="1270" ht="22" customHeight="1">
      <x:c r="A1270" s="1" t="str">
        <x:v>Round2</x:v>
      </x:c>
      <x:c r="B1270" s="1" t="str">
        <x:v>JacksonDatabind</x:v>
      </x:c>
      <x:c r="C1270" s="4" t="n">
        <x:v>23</x:v>
      </x:c>
      <x:c r="D1270" s="4" t="n">
        <x:v>20260928</x:v>
      </x:c>
      <x:c r="E1270" s="4" t="n">
        <x:v>60</x:v>
      </x:c>
      <x:c r="F1270" s="4" t="n">
        <x:v>3078</x:v>
      </x:c>
      <x:c r="G1270" s="5" t="n">
        <x:v>0.4946</x:v>
      </x:c>
      <x:c r="H1270" s="5" t="n">
        <x:v>0.5205</x:v>
      </x:c>
      <x:c r="I1270" s="5" t="n">
        <x:v>0.4</x:v>
      </x:c>
      <x:c r="J1270" s="4" t="n">
        <x:v>93</x:v>
      </x:c>
      <x:c r="K1270" s="4" t="n">
        <x:v>46</x:v>
      </x:c>
      <x:c r="L1270" s="4" t="n">
        <x:v>73</x:v>
      </x:c>
      <x:c r="M1270" s="4" t="n">
        <x:v>38</x:v>
      </x:c>
      <x:c r="N1270" s="4" t="n">
        <x:v>20</x:v>
      </x:c>
      <x:c r="O1270" s="4" t="n">
        <x:v>8</x:v>
      </x:c>
      <x:c r="P1270" s="1" t="str">
        <x:v>PASS</x:v>
      </x:c>
      <x:c r="Q1270" s="4" t="n">
        <x:v>0</x:v>
      </x:c>
      <x:c r="R1270" s="1" t="str">
        <x:v>FAIL</x:v>
      </x:c>
      <x:c r="S1270" s="4" t="n">
        <x:v>3106</x:v>
      </x:c>
      <x:c r="T1270" s="1" t="str">
        <x:v>INCONCLUSIVE</x:v>
      </x:c>
      <x:c r="U1270" s="1" t="str">
        <x:v>JacksonDatabind_23</x:v>
      </x:c>
      <x:c r="V1270" s="6" t="n">
        <x:v>93</x:v>
      </x:c>
    </x:row>
    <x:row r="1271" ht="22" customHeight="1">
      <x:c r="A1271" s="1" t="str">
        <x:v>Round2</x:v>
      </x:c>
      <x:c r="B1271" s="1" t="str">
        <x:v>JacksonDatabind</x:v>
      </x:c>
      <x:c r="C1271" s="4" t="n">
        <x:v>24</x:v>
      </x:c>
      <x:c r="D1271" s="4" t="n">
        <x:v>20260928</x:v>
      </x:c>
      <x:c r="E1271" s="4" t="n">
        <x:v>60</x:v>
      </x:c>
      <x:c r="F1271" s="4" t="n">
        <x:v>1</x:v>
      </x:c>
      <x:c r="G1271" s="5" t="n">
        <x:v>0</x:v>
      </x:c>
      <x:c r="H1271" s="5" t="n">
        <x:v>0</x:v>
      </x:c>
      <x:c r="I1271" s="5" t="n">
        <x:v>0</x:v>
      </x:c>
      <x:c r="J1271" s="4" t="n">
        <x:v>93</x:v>
      </x:c>
      <x:c r="K1271" s="4" t="n">
        <x:v>0</x:v>
      </x:c>
      <x:c r="L1271" s="4" t="n">
        <x:v>67</x:v>
      </x:c>
      <x:c r="M1271" s="4" t="n">
        <x:v>0</x:v>
      </x:c>
      <x:c r="N1271" s="4" t="n">
        <x:v>26</x:v>
      </x:c>
      <x:c r="O1271" s="4" t="n">
        <x:v>0</x:v>
      </x:c>
      <x:c r="P1271" s="1" t="str">
        <x:v>PASS</x:v>
      </x:c>
      <x:c r="Q1271" s="4" t="n">
        <x:v>0</x:v>
      </x:c>
      <x:c r="R1271" s="1" t="str">
        <x:v>PASS</x:v>
      </x:c>
      <x:c r="S1271" s="4" t="n">
        <x:v>0</x:v>
      </x:c>
      <x:c r="T1271" s="1" t="str">
        <x:v>NOT_REVEALING</x:v>
      </x:c>
      <x:c r="U1271" s="1" t="str">
        <x:v>JacksonDatabind_24</x:v>
      </x:c>
      <x:c r="V1271" s="6" t="n">
        <x:v>60.43</x:v>
      </x:c>
    </x:row>
    <x:row r="1272" ht="22" customHeight="1">
      <x:c r="A1272" s="1" t="str">
        <x:v>Round2</x:v>
      </x:c>
      <x:c r="B1272" s="1" t="str">
        <x:v>JacksonDatabind</x:v>
      </x:c>
      <x:c r="C1272" s="4" t="n">
        <x:v>25</x:v>
      </x:c>
      <x:c r="D1272" s="4" t="n">
        <x:v>20260928</x:v>
      </x:c>
      <x:c r="E1272" s="4" t="n">
        <x:v>60</x:v>
      </x:c>
      <x:c r="F1272" s="4" t="n">
        <x:v>4764</x:v>
      </x:c>
      <x:c r="G1272" s="5" t="n">
        <x:v>0.0274</x:v>
      </x:c>
      <x:c r="H1272" s="5" t="n">
        <x:v>0.0463</x:v>
      </x:c>
      <x:c r="I1272" s="5" t="n">
        <x:v>0.0013</x:v>
      </x:c>
      <x:c r="J1272" s="4" t="n">
        <x:v>1828</x:v>
      </x:c>
      <x:c r="K1272" s="4" t="n">
        <x:v>50</x:v>
      </x:c>
      <x:c r="L1272" s="4" t="n">
        <x:v>1058</x:v>
      </x:c>
      <x:c r="M1272" s="4" t="n">
        <x:v>49</x:v>
      </x:c>
      <x:c r="N1272" s="4" t="n">
        <x:v>770</x:v>
      </x:c>
      <x:c r="O1272" s="4" t="n">
        <x:v>1</x:v>
      </x:c>
      <x:c r="P1272" s="1" t="str">
        <x:v>PASS</x:v>
      </x:c>
      <x:c r="Q1272" s="4" t="n">
        <x:v>0</x:v>
      </x:c>
      <x:c r="R1272" s="1" t="str">
        <x:v>PASS</x:v>
      </x:c>
      <x:c r="S1272" s="4" t="n">
        <x:v>0</x:v>
      </x:c>
      <x:c r="T1272" s="1" t="str">
        <x:v>NOT_REVEALING</x:v>
      </x:c>
      <x:c r="U1272" s="1" t="str">
        <x:v>JacksonDatabind_25</x:v>
      </x:c>
      <x:c r="V1272" s="6" t="n">
        <x:v>79.32</x:v>
      </x:c>
    </x:row>
    <x:row r="1273" ht="22" customHeight="1">
      <x:c r="A1273" s="1" t="str">
        <x:v>Round2</x:v>
      </x:c>
      <x:c r="B1273" s="1" t="str">
        <x:v>JacksonDatabind</x:v>
      </x:c>
      <x:c r="C1273" s="4" t="n">
        <x:v>26</x:v>
      </x:c>
      <x:c r="D1273" s="4" t="n">
        <x:v>20260928</x:v>
      </x:c>
      <x:c r="E1273" s="4" t="n">
        <x:v>60</x:v>
      </x:c>
      <x:c r="F1273" s="4" t="n">
        <x:v>3161</x:v>
      </x:c>
      <x:c r="G1273" s="5" t="n">
        <x:v>0.36869999999999997</x:v>
      </x:c>
      <x:c r="H1273" s="5" t="n">
        <x:v>0.44189999999999996</x:v>
      </x:c>
      <x:c r="I1273" s="5" t="n">
        <x:v>0.2365</x:v>
      </x:c>
      <x:c r="J1273" s="4" t="n">
        <x:v>415</x:v>
      </x:c>
      <x:c r="K1273" s="4" t="n">
        <x:v>153</x:v>
      </x:c>
      <x:c r="L1273" s="4" t="n">
        <x:v>267</x:v>
      </x:c>
      <x:c r="M1273" s="4" t="n">
        <x:v>118</x:v>
      </x:c>
      <x:c r="N1273" s="4" t="n">
        <x:v>148</x:v>
      </x:c>
      <x:c r="O1273" s="4" t="n">
        <x:v>35</x:v>
      </x:c>
      <x:c r="P1273" s="1" t="str">
        <x:v>FAIL</x:v>
      </x:c>
      <x:c r="Q1273" s="4" t="n">
        <x:v>44</x:v>
      </x:c>
      <x:c r="R1273" s="1" t="str">
        <x:v>FAIL</x:v>
      </x:c>
      <x:c r="S1273" s="4" t="n">
        <x:v>44</x:v>
      </x:c>
      <x:c r="T1273" s="1" t="str">
        <x:v>INCONCLUSIVE</x:v>
      </x:c>
      <x:c r="U1273" s="1" t="str">
        <x:v>JacksonDatabind_26</x:v>
      </x:c>
      <x:c r="V1273" s="6" t="n">
        <x:v>78.66</x:v>
      </x:c>
    </x:row>
    <x:row r="1274" ht="22" customHeight="1">
      <x:c r="A1274" s="1" t="str">
        <x:v>Round2</x:v>
      </x:c>
      <x:c r="B1274" s="1" t="str">
        <x:v>JacksonDatabind</x:v>
      </x:c>
      <x:c r="C1274" s="4" t="n">
        <x:v>27</x:v>
      </x:c>
      <x:c r="D1274" s="4" t="n">
        <x:v>20260928</x:v>
      </x:c>
      <x:c r="E1274" s="4" t="n">
        <x:v>60</x:v>
      </x:c>
      <x:c r="F1274" s="4" t="n">
        <x:v>41</x:v>
      </x:c>
      <x:c r="G1274" s="5" t="n">
        <x:v>0.0098</x:v>
      </x:c>
      <x:c r="H1274" s="5" t="n">
        <x:v>0.015300000000000001</x:v>
      </x:c>
      <x:c r="I1274" s="5" t="n">
        <x:v>0</x:v>
      </x:c>
      <x:c r="J1274" s="4" t="n">
        <x:v>614</x:v>
      </x:c>
      <x:c r="K1274" s="4" t="n">
        <x:v>6</x:v>
      </x:c>
      <x:c r="L1274" s="4" t="n">
        <x:v>392</x:v>
      </x:c>
      <x:c r="M1274" s="4" t="n">
        <x:v>6</x:v>
      </x:c>
      <x:c r="N1274" s="4" t="n">
        <x:v>222</x:v>
      </x:c>
      <x:c r="O1274" s="4" t="n">
        <x:v>0</x:v>
      </x:c>
      <x:c r="P1274" s="1" t="str">
        <x:v>PASS</x:v>
      </x:c>
      <x:c r="Q1274" s="4" t="n">
        <x:v>0</x:v>
      </x:c>
      <x:c r="R1274" s="1" t="str">
        <x:v>PASS</x:v>
      </x:c>
      <x:c r="S1274" s="4" t="n">
        <x:v>0</x:v>
      </x:c>
      <x:c r="T1274" s="1" t="str">
        <x:v>NOT_REVEALING</x:v>
      </x:c>
      <x:c r="U1274" s="1" t="str">
        <x:v>JacksonDatabind_27</x:v>
      </x:c>
      <x:c r="V1274" s="6" t="n">
        <x:v>57.99</x:v>
      </x:c>
    </x:row>
    <x:row r="1275" ht="22" customHeight="1">
      <x:c r="A1275" s="1" t="str">
        <x:v>Round2</x:v>
      </x:c>
      <x:c r="B1275" s="1" t="str">
        <x:v>JacksonDatabind</x:v>
      </x:c>
      <x:c r="C1275" s="4" t="n">
        <x:v>28</x:v>
      </x:c>
      <x:c r="D1275" s="4" t="n">
        <x:v>20260928</x:v>
      </x:c>
      <x:c r="E1275" s="4" t="n">
        <x:v>60</x:v>
      </x:c>
      <x:c r="F1275" s="4" t="n">
        <x:v>3270</x:v>
      </x:c>
      <x:c r="G1275" s="5" t="n">
        <x:v>0.3182</x:v>
      </x:c>
      <x:c r="H1275" s="5" t="n">
        <x:v>0.45159999999999995</x:v>
      </x:c>
      <x:c r="I1275" s="5" t="n">
        <x:v>0</x:v>
      </x:c>
      <x:c r="J1275" s="4" t="n">
        <x:v>44</x:v>
      </x:c>
      <x:c r="K1275" s="4" t="n">
        <x:v>14</x:v>
      </x:c>
      <x:c r="L1275" s="4" t="n">
        <x:v>31</x:v>
      </x:c>
      <x:c r="M1275" s="4" t="n">
        <x:v>14</x:v>
      </x:c>
      <x:c r="N1275" s="4" t="n">
        <x:v>13</x:v>
      </x:c>
      <x:c r="O1275" s="4" t="n">
        <x:v>0</x:v>
      </x:c>
      <x:c r="P1275" s="1" t="str">
        <x:v>PASS</x:v>
      </x:c>
      <x:c r="Q1275" s="4" t="n">
        <x:v>0</x:v>
      </x:c>
      <x:c r="R1275" s="1" t="str">
        <x:v>PASS</x:v>
      </x:c>
      <x:c r="S1275" s="4" t="n">
        <x:v>0</x:v>
      </x:c>
      <x:c r="T1275" s="1" t="str">
        <x:v>NOT_REVEALING</x:v>
      </x:c>
      <x:c r="U1275" s="1" t="str">
        <x:v>JacksonDatabind_28</x:v>
      </x:c>
      <x:c r="V1275" s="6" t="n">
        <x:v>76.38</x:v>
      </x:c>
    </x:row>
    <x:row r="1276" ht="22" customHeight="1">
      <x:c r="A1276" s="1" t="str">
        <x:v>Round2</x:v>
      </x:c>
      <x:c r="B1276" s="1" t="str">
        <x:v>JacksonDatabind</x:v>
      </x:c>
      <x:c r="C1276" s="4" t="n">
        <x:v>29</x:v>
      </x:c>
      <x:c r="D1276" s="4" t="n">
        <x:v>20260928</x:v>
      </x:c>
      <x:c r="E1276" s="4" t="n">
        <x:v>60</x:v>
      </x:c>
      <x:c r="F1276" s="4" t="n">
        <x:v>2499</x:v>
      </x:c>
      <x:c r="G1276" s="5" t="n">
        <x:v>0.2167</x:v>
      </x:c>
      <x:c r="H1276" s="5" t="n">
        <x:v>0.2766</x:v>
      </x:c>
      <x:c r="I1276" s="5" t="n">
        <x:v>0.0806</x:v>
      </x:c>
      <x:c r="J1276" s="4" t="n">
        <x:v>203</x:v>
      </x:c>
      <x:c r="K1276" s="4" t="n">
        <x:v>44</x:v>
      </x:c>
      <x:c r="L1276" s="4" t="n">
        <x:v>141</x:v>
      </x:c>
      <x:c r="M1276" s="4" t="n">
        <x:v>39</x:v>
      </x:c>
      <x:c r="N1276" s="4" t="n">
        <x:v>62</x:v>
      </x:c>
      <x:c r="O1276" s="4" t="n">
        <x:v>5</x:v>
      </x:c>
      <x:c r="P1276" s="1" t="str">
        <x:v>PASS</x:v>
      </x:c>
      <x:c r="Q1276" s="4" t="n">
        <x:v>0</x:v>
      </x:c>
      <x:c r="R1276" s="1" t="str">
        <x:v>PASS</x:v>
      </x:c>
      <x:c r="S1276" s="4" t="n">
        <x:v>0</x:v>
      </x:c>
      <x:c r="T1276" s="1" t="str">
        <x:v>NOT_REVEALING</x:v>
      </x:c>
      <x:c r="U1276" s="1" t="str">
        <x:v>JacksonDatabind_29</x:v>
      </x:c>
      <x:c r="V1276" s="6" t="n">
        <x:v>96.31</x:v>
      </x:c>
    </x:row>
    <x:row r="1277" ht="22" customHeight="1">
      <x:c r="A1277" s="1" t="str">
        <x:v>Round2</x:v>
      </x:c>
      <x:c r="B1277" s="1" t="str">
        <x:v>JacksonDatabind</x:v>
      </x:c>
      <x:c r="C1277" s="4" t="n">
        <x:v>30</x:v>
      </x:c>
      <x:c r="D1277" s="4" t="n">
        <x:v>20260928</x:v>
      </x:c>
      <x:c r="E1277" s="4" t="n">
        <x:v>60</x:v>
      </x:c>
      <x:c r="F1277" s="4" t="n">
        <x:v>834</x:v>
      </x:c>
      <x:c r="G1277" s="5" t="n">
        <x:v>0.4989</x:v>
      </x:c>
      <x:c r="H1277" s="5" t="n">
        <x:v>0.5479999999999999</x:v>
      </x:c>
      <x:c r="I1277" s="5" t="n">
        <x:v>0.37689999999999996</x:v>
      </x:c>
      <x:c r="J1277" s="4" t="n">
        <x:v>1868</x:v>
      </x:c>
      <x:c r="K1277" s="4" t="n">
        <x:v>932</x:v>
      </x:c>
      <x:c r="L1277" s="4" t="n">
        <x:v>1332</x:v>
      </x:c>
      <x:c r="M1277" s="4" t="n">
        <x:v>730</x:v>
      </x:c>
      <x:c r="N1277" s="4" t="n">
        <x:v>536</x:v>
      </x:c>
      <x:c r="O1277" s="4" t="n">
        <x:v>202</x:v>
      </x:c>
      <x:c r="P1277" s="1" t="str">
        <x:v>FAIL</x:v>
      </x:c>
      <x:c r="Q1277" s="4" t="n">
        <x:v>4</x:v>
      </x:c>
      <x:c r="R1277" s="1" t="str">
        <x:v>FAIL</x:v>
      </x:c>
      <x:c r="S1277" s="4" t="n">
        <x:v>4</x:v>
      </x:c>
      <x:c r="T1277" s="1" t="str">
        <x:v>INCONCLUSIVE</x:v>
      </x:c>
      <x:c r="U1277" s="1" t="str">
        <x:v>JacksonDatabind_30</x:v>
      </x:c>
      <x:c r="V1277" s="6" t="n">
        <x:v>73.37</x:v>
      </x:c>
    </x:row>
    <x:row r="1278" ht="22" customHeight="1">
      <x:c r="A1278" s="1" t="str">
        <x:v>Round2</x:v>
      </x:c>
      <x:c r="B1278" s="1" t="str">
        <x:v>JacksonDatabind</x:v>
      </x:c>
      <x:c r="C1278" s="4" t="n">
        <x:v>31</x:v>
      </x:c>
      <x:c r="D1278" s="4" t="n">
        <x:v>20260928</x:v>
      </x:c>
      <x:c r="E1278" s="4" t="n">
        <x:v>60</x:v>
      </x:c>
      <x:c r="F1278" s="4" t="n">
        <x:v>3528</x:v>
      </x:c>
      <x:c r="G1278" s="5" t="n">
        <x:v>0.6840999999999999</x:v>
      </x:c>
      <x:c r="H1278" s="5" t="n">
        <x:v>0.7404999999999999</x:v>
      </x:c>
      <x:c r="I1278" s="5" t="n">
        <x:v>0.5760000000000001</x:v>
      </x:c>
      <x:c r="J1278" s="4" t="n">
        <x:v>997</x:v>
      </x:c>
      <x:c r="K1278" s="4" t="n">
        <x:v>682</x:v>
      </x:c>
      <x:c r="L1278" s="4" t="n">
        <x:v>655</x:v>
      </x:c>
      <x:c r="M1278" s="4" t="n">
        <x:v>485</x:v>
      </x:c>
      <x:c r="N1278" s="4" t="n">
        <x:v>342</x:v>
      </x:c>
      <x:c r="O1278" s="4" t="n">
        <x:v>197</x:v>
      </x:c>
      <x:c r="P1278" s="1" t="str">
        <x:v>PASS</x:v>
      </x:c>
      <x:c r="Q1278" s="4" t="n">
        <x:v>0</x:v>
      </x:c>
      <x:c r="R1278" s="1" t="str">
        <x:v>FAIL</x:v>
      </x:c>
      <x:c r="S1278" s="4" t="n">
        <x:v>2030</x:v>
      </x:c>
      <x:c r="T1278" s="1" t="str">
        <x:v>INCONCLUSIVE</x:v>
      </x:c>
      <x:c r="U1278" s="1" t="str">
        <x:v>JacksonDatabind_31</x:v>
      </x:c>
      <x:c r="V1278" s="6" t="n">
        <x:v>84.46</x:v>
      </x:c>
    </x:row>
    <x:row r="1279" ht="22" customHeight="1">
      <x:c r="A1279" s="1" t="str">
        <x:v>Round2</x:v>
      </x:c>
      <x:c r="B1279" s="1" t="str">
        <x:v>JacksonDatabind</x:v>
      </x:c>
      <x:c r="C1279" s="4" t="n">
        <x:v>32</x:v>
      </x:c>
      <x:c r="D1279" s="4" t="n">
        <x:v>20260928</x:v>
      </x:c>
      <x:c r="E1279" s="4" t="n">
        <x:v>60</x:v>
      </x:c>
      <x:c r="F1279" s="4" t="n">
        <x:v>480</x:v>
      </x:c>
      <x:c r="G1279" s="5" t="n">
        <x:v>0.0934</x:v>
      </x:c>
      <x:c r="H1279" s="5" t="n">
        <x:v>0.1069</x:v>
      </x:c>
      <x:c r="I1279" s="5" t="n">
        <x:v>0.069</x:v>
      </x:c>
      <x:c r="J1279" s="4" t="n">
        <x:v>407</x:v>
      </x:c>
      <x:c r="K1279" s="4" t="n">
        <x:v>38</x:v>
      </x:c>
      <x:c r="L1279" s="4" t="n">
        <x:v>262</x:v>
      </x:c>
      <x:c r="M1279" s="4" t="n">
        <x:v>28</x:v>
      </x:c>
      <x:c r="N1279" s="4" t="n">
        <x:v>145</x:v>
      </x:c>
      <x:c r="O1279" s="4" t="n">
        <x:v>10</x:v>
      </x:c>
      <x:c r="P1279" s="1" t="str">
        <x:v>FAIL</x:v>
      </x:c>
      <x:c r="Q1279" s="4" t="n">
        <x:v>2</x:v>
      </x:c>
      <x:c r="R1279" s="1" t="str">
        <x:v>FAIL</x:v>
      </x:c>
      <x:c r="S1279" s="4" t="n">
        <x:v>2</x:v>
      </x:c>
      <x:c r="T1279" s="1" t="str">
        <x:v>INCONCLUSIVE</x:v>
      </x:c>
      <x:c r="U1279" s="1" t="str">
        <x:v>JacksonDatabind_32</x:v>
      </x:c>
      <x:c r="V1279" s="6" t="n">
        <x:v>65.43</x:v>
      </x:c>
    </x:row>
    <x:row r="1280" ht="22" customHeight="1">
      <x:c r="A1280" s="1" t="str">
        <x:v>Round2</x:v>
      </x:c>
      <x:c r="B1280" s="1" t="str">
        <x:v>JacksonDatabind</x:v>
      </x:c>
      <x:c r="C1280" s="4" t="n">
        <x:v>33</x:v>
      </x:c>
      <x:c r="D1280" s="4" t="n">
        <x:v>20260928</x:v>
      </x:c>
      <x:c r="E1280" s="4" t="n">
        <x:v>60</x:v>
      </x:c>
      <x:c r="F1280" s="4" t="n">
        <x:v>929</x:v>
      </x:c>
      <x:c r="G1280" s="5" t="n">
        <x:v>0.11960000000000001</x:v>
      </x:c>
      <x:c r="H1280" s="5" t="n">
        <x:v>0.1957</x:v>
      </x:c>
      <x:c r="I1280" s="5" t="n">
        <x:v>0.0181</x:v>
      </x:c>
      <x:c r="J1280" s="4" t="n">
        <x:v>644</x:v>
      </x:c>
      <x:c r="K1280" s="4" t="n">
        <x:v>77</x:v>
      </x:c>
      <x:c r="L1280" s="4" t="n">
        <x:v>368</x:v>
      </x:c>
      <x:c r="M1280" s="4" t="n">
        <x:v>72</x:v>
      </x:c>
      <x:c r="N1280" s="4" t="n">
        <x:v>276</x:v>
      </x:c>
      <x:c r="O1280" s="4" t="n">
        <x:v>5</x:v>
      </x:c>
      <x:c r="P1280" s="1" t="str">
        <x:v>PASS</x:v>
      </x:c>
      <x:c r="Q1280" s="4" t="n">
        <x:v>0</x:v>
      </x:c>
      <x:c r="R1280" s="1" t="str">
        <x:v>PASS</x:v>
      </x:c>
      <x:c r="S1280" s="4" t="n">
        <x:v>0</x:v>
      </x:c>
      <x:c r="T1280" s="1" t="str">
        <x:v>NOT_REVEALING</x:v>
      </x:c>
      <x:c r="U1280" s="1" t="str">
        <x:v>JacksonDatabind_33</x:v>
      </x:c>
      <x:c r="V1280" s="6" t="n">
        <x:v>63.3</x:v>
      </x:c>
    </x:row>
    <x:row r="1281" ht="22" customHeight="1">
      <x:c r="A1281" s="1" t="str">
        <x:v>Round2</x:v>
      </x:c>
      <x:c r="B1281" s="1" t="str">
        <x:v>JacksonDatabind</x:v>
      </x:c>
      <x:c r="C1281" s="4" t="n">
        <x:v>34</x:v>
      </x:c>
      <x:c r="D1281" s="4" t="n">
        <x:v>20260928</x:v>
      </x:c>
      <x:c r="E1281" s="4" t="n">
        <x:v>60</x:v>
      </x:c>
      <x:c r="F1281" s="4" t="n">
        <x:v>2877</x:v>
      </x:c>
      <x:c r="G1281" s="5" t="n">
        <x:v>0.7547</x:v>
      </x:c>
      <x:c r="H1281" s="5" t="n">
        <x:v>0.7585999999999999</x:v>
      </x:c>
      <x:c r="I1281" s="5" t="n">
        <x:v>0.75</x:v>
      </x:c>
      <x:c r="J1281" s="4" t="n">
        <x:v>53</x:v>
      </x:c>
      <x:c r="K1281" s="4" t="n">
        <x:v>40</x:v>
      </x:c>
      <x:c r="L1281" s="4" t="n">
        <x:v>29</x:v>
      </x:c>
      <x:c r="M1281" s="4" t="n">
        <x:v>22</x:v>
      </x:c>
      <x:c r="N1281" s="4" t="n">
        <x:v>24</x:v>
      </x:c>
      <x:c r="O1281" s="4" t="n">
        <x:v>18</x:v>
      </x:c>
      <x:c r="P1281" s="1" t="str">
        <x:v>PASS</x:v>
      </x:c>
      <x:c r="Q1281" s="4" t="n">
        <x:v>0</x:v>
      </x:c>
      <x:c r="R1281" s="1" t="str">
        <x:v>PASS</x:v>
      </x:c>
      <x:c r="S1281" s="4" t="n">
        <x:v>0</x:v>
      </x:c>
      <x:c r="T1281" s="1" t="str">
        <x:v>NOT_REVEALING</x:v>
      </x:c>
      <x:c r="U1281" s="1" t="str">
        <x:v>JacksonDatabind_34</x:v>
      </x:c>
      <x:c r="V1281" s="6" t="n">
        <x:v>86.56</x:v>
      </x:c>
    </x:row>
    <x:row r="1282" ht="22" customHeight="1">
      <x:c r="A1282" s="1" t="str">
        <x:v>Round2</x:v>
      </x:c>
      <x:c r="B1282" s="1" t="str">
        <x:v>JacksonDatabind</x:v>
      </x:c>
      <x:c r="C1282" s="4" t="n">
        <x:v>35</x:v>
      </x:c>
      <x:c r="D1282" s="4" t="n">
        <x:v>20260928</x:v>
      </x:c>
      <x:c r="E1282" s="4" t="n">
        <x:v>60</x:v>
      </x:c>
      <x:c r="F1282" s="4" t="n">
        <x:v>3</x:v>
      </x:c>
      <x:c r="G1282" s="5" t="n">
        <x:v>0.02</x:v>
      </x:c>
      <x:c r="H1282" s="5" t="n">
        <x:v>0.0294</x:v>
      </x:c>
      <x:c r="I1282" s="5" t="n">
        <x:v>0</x:v>
      </x:c>
      <x:c r="J1282" s="4" t="n">
        <x:v>50</x:v>
      </x:c>
      <x:c r="K1282" s="4" t="n">
        <x:v>1</x:v>
      </x:c>
      <x:c r="L1282" s="4" t="n">
        <x:v>34</x:v>
      </x:c>
      <x:c r="M1282" s="4" t="n">
        <x:v>1</x:v>
      </x:c>
      <x:c r="N1282" s="4" t="n">
        <x:v>16</x:v>
      </x:c>
      <x:c r="O1282" s="4" t="n">
        <x:v>0</x:v>
      </x:c>
      <x:c r="P1282" s="1" t="str">
        <x:v>PASS</x:v>
      </x:c>
      <x:c r="Q1282" s="4" t="n">
        <x:v>0</x:v>
      </x:c>
      <x:c r="R1282" s="1" t="str">
        <x:v>PASS</x:v>
      </x:c>
      <x:c r="S1282" s="4" t="n">
        <x:v>0</x:v>
      </x:c>
      <x:c r="T1282" s="1" t="str">
        <x:v>NOT_REVEALING</x:v>
      </x:c>
      <x:c r="U1282" s="1" t="str">
        <x:v>JacksonDatabind_35</x:v>
      </x:c>
      <x:c r="V1282" s="6" t="n">
        <x:v>55.51</x:v>
      </x:c>
    </x:row>
    <x:row r="1283" ht="22" customHeight="1">
      <x:c r="A1283" s="1" t="str">
        <x:v>Round2</x:v>
      </x:c>
      <x:c r="B1283" s="1" t="str">
        <x:v>JacksonDatabind</x:v>
      </x:c>
      <x:c r="C1283" s="4" t="n">
        <x:v>36</x:v>
      </x:c>
      <x:c r="D1283" s="4" t="n">
        <x:v>20260928</x:v>
      </x:c>
      <x:c r="E1283" s="4" t="n">
        <x:v>60</x:v>
      </x:c>
      <x:c r="F1283" s="4" t="n">
        <x:v>4954</x:v>
      </x:c>
      <x:c r="G1283" s="5" t="n">
        <x:v>0.8482999999999999</x:v>
      </x:c>
      <x:c r="H1283" s="5" t="n">
        <x:v>0.8912</x:v>
      </x:c>
      <x:c r="I1283" s="5" t="n">
        <x:v>0.7846</x:v>
      </x:c>
      <x:c r="J1283" s="4" t="n">
        <x:v>323</x:v>
      </x:c>
      <x:c r="K1283" s="4" t="n">
        <x:v>274</x:v>
      </x:c>
      <x:c r="L1283" s="4" t="n">
        <x:v>193</x:v>
      </x:c>
      <x:c r="M1283" s="4" t="n">
        <x:v>172</x:v>
      </x:c>
      <x:c r="N1283" s="4" t="n">
        <x:v>130</x:v>
      </x:c>
      <x:c r="O1283" s="4" t="n">
        <x:v>102</x:v>
      </x:c>
      <x:c r="P1283" s="1" t="str">
        <x:v>FAIL</x:v>
      </x:c>
      <x:c r="Q1283" s="4" t="n">
        <x:v>3835</x:v>
      </x:c>
      <x:c r="R1283" s="1" t="str">
        <x:v>FAIL</x:v>
      </x:c>
      <x:c r="S1283" s="4" t="n">
        <x:v>3763</x:v>
      </x:c>
      <x:c r="T1283" s="1" t="str">
        <x:v>INCONCLUSIVE</x:v>
      </x:c>
      <x:c r="U1283" s="1" t="str">
        <x:v>JacksonDatabind_36</x:v>
      </x:c>
      <x:c r="V1283" s="6" t="n">
        <x:v>84.04</x:v>
      </x:c>
    </x:row>
    <x:row r="1284" ht="22" customHeight="1">
      <x:c r="A1284" s="1" t="str">
        <x:v>Round2</x:v>
      </x:c>
      <x:c r="B1284" s="1" t="str">
        <x:v>JacksonDatabind</x:v>
      </x:c>
      <x:c r="C1284" s="4" t="n">
        <x:v>37</x:v>
      </x:c>
      <x:c r="D1284" s="4" t="n">
        <x:v>20260928</x:v>
      </x:c>
      <x:c r="E1284" s="4" t="n">
        <x:v>60</x:v>
      </x:c>
      <x:c r="F1284" s="4" t="n">
        <x:v>2</x:v>
      </x:c>
      <x:c r="G1284" s="5" t="n">
        <x:v>0.0101</x:v>
      </x:c>
      <x:c r="H1284" s="5" t="n">
        <x:v>0.0149</x:v>
      </x:c>
      <x:c r="I1284" s="5" t="n">
        <x:v>0</x:v>
      </x:c>
      <x:c r="J1284" s="4" t="n">
        <x:v>99</x:v>
      </x:c>
      <x:c r="K1284" s="4" t="n">
        <x:v>1</x:v>
      </x:c>
      <x:c r="L1284" s="4" t="n">
        <x:v>67</x:v>
      </x:c>
      <x:c r="M1284" s="4" t="n">
        <x:v>1</x:v>
      </x:c>
      <x:c r="N1284" s="4" t="n">
        <x:v>32</x:v>
      </x:c>
      <x:c r="O1284" s="4" t="n">
        <x:v>0</x:v>
      </x:c>
      <x:c r="P1284" s="1" t="str">
        <x:v>PASS</x:v>
      </x:c>
      <x:c r="Q1284" s="4" t="n">
        <x:v>0</x:v>
      </x:c>
      <x:c r="R1284" s="1" t="str">
        <x:v>PASS</x:v>
      </x:c>
      <x:c r="S1284" s="4" t="n">
        <x:v>0</x:v>
      </x:c>
      <x:c r="T1284" s="1" t="str">
        <x:v>NOT_REVEALING</x:v>
      </x:c>
      <x:c r="U1284" s="1" t="str">
        <x:v>JacksonDatabind_37</x:v>
      </x:c>
      <x:c r="V1284" s="6" t="n">
        <x:v>58.55</x:v>
      </x:c>
    </x:row>
    <x:row r="1285" ht="22" customHeight="1">
      <x:c r="A1285" s="1" t="str">
        <x:v>Round2</x:v>
      </x:c>
      <x:c r="B1285" s="1" t="str">
        <x:v>JacksonDatabind</x:v>
      </x:c>
      <x:c r="C1285" s="4" t="n">
        <x:v>38</x:v>
      </x:c>
      <x:c r="D1285" s="4" t="n">
        <x:v>20260928</x:v>
      </x:c>
      <x:c r="E1285" s="4" t="n">
        <x:v>60</x:v>
      </x:c>
      <x:c r="F1285" s="4" t="n">
        <x:v>5</x:v>
      </x:c>
      <x:c r="G1285" s="5" t="n">
        <x:v>0.0183</x:v>
      </x:c>
      <x:c r="H1285" s="5" t="n">
        <x:v>0.0246</x:v>
      </x:c>
      <x:c r="I1285" s="5" t="n">
        <x:v>0</x:v>
      </x:c>
      <x:c r="J1285" s="4" t="n">
        <x:v>164</x:v>
      </x:c>
      <x:c r="K1285" s="4" t="n">
        <x:v>3</x:v>
      </x:c>
      <x:c r="L1285" s="4" t="n">
        <x:v>122</x:v>
      </x:c>
      <x:c r="M1285" s="4" t="n">
        <x:v>3</x:v>
      </x:c>
      <x:c r="N1285" s="4" t="n">
        <x:v>42</x:v>
      </x:c>
      <x:c r="O1285" s="4" t="n">
        <x:v>0</x:v>
      </x:c>
      <x:c r="P1285" s="1" t="str">
        <x:v>PASS</x:v>
      </x:c>
      <x:c r="Q1285" s="4" t="n">
        <x:v>0</x:v>
      </x:c>
      <x:c r="R1285" s="1" t="str">
        <x:v>PASS</x:v>
      </x:c>
      <x:c r="S1285" s="4" t="n">
        <x:v>0</x:v>
      </x:c>
      <x:c r="T1285" s="1" t="str">
        <x:v>NOT_REVEALING</x:v>
      </x:c>
      <x:c r="U1285" s="1" t="str">
        <x:v>JacksonDatabind_38</x:v>
      </x:c>
      <x:c r="V1285" s="6" t="n">
        <x:v>56.38</x:v>
      </x:c>
    </x:row>
    <x:row r="1286" ht="22" customHeight="1">
      <x:c r="A1286" s="1" t="str">
        <x:v>Round2</x:v>
      </x:c>
      <x:c r="B1286" s="1" t="str">
        <x:v>JacksonDatabind</x:v>
      </x:c>
      <x:c r="C1286" s="4" t="n">
        <x:v>39</x:v>
      </x:c>
      <x:c r="D1286" s="4" t="n">
        <x:v>20260928</x:v>
      </x:c>
      <x:c r="E1286" s="4" t="n">
        <x:v>60</x:v>
      </x:c>
      <x:c r="F1286" s="4" t="n">
        <x:v>3149</x:v>
      </x:c>
      <x:c r="G1286" s="5" t="n">
        <x:v>0.44439999999999996</x:v>
      </x:c>
      <x:c r="H1286" s="5" t="n">
        <x:v>0.5714</x:v>
      </x:c>
      <x:c r="I1286" s="5" t="n">
        <x:v>0</x:v>
      </x:c>
      <x:c r="J1286" s="4" t="n">
        <x:v>9</x:v>
      </x:c>
      <x:c r="K1286" s="4" t="n">
        <x:v>4</x:v>
      </x:c>
      <x:c r="L1286" s="4" t="n">
        <x:v>7</x:v>
      </x:c>
      <x:c r="M1286" s="4" t="n">
        <x:v>4</x:v>
      </x:c>
      <x:c r="N1286" s="4" t="n">
        <x:v>2</x:v>
      </x:c>
      <x:c r="O1286" s="4" t="n">
        <x:v>0</x:v>
      </x:c>
      <x:c r="P1286" s="1" t="str">
        <x:v>PASS</x:v>
      </x:c>
      <x:c r="Q1286" s="4" t="n">
        <x:v>0</x:v>
      </x:c>
      <x:c r="R1286" s="1" t="str">
        <x:v>PASS</x:v>
      </x:c>
      <x:c r="S1286" s="4" t="n">
        <x:v>0</x:v>
      </x:c>
      <x:c r="T1286" s="1" t="str">
        <x:v>NOT_REVEALING</x:v>
      </x:c>
      <x:c r="U1286" s="1" t="str">
        <x:v>JacksonDatabind_39</x:v>
      </x:c>
      <x:c r="V1286" s="6" t="n">
        <x:v>71.59</x:v>
      </x:c>
    </x:row>
    <x:row r="1287" ht="22" customHeight="1">
      <x:c r="A1287" s="1" t="str">
        <x:v>Round2</x:v>
      </x:c>
      <x:c r="B1287" s="1" t="str">
        <x:v>JacksonDatabind</x:v>
      </x:c>
      <x:c r="C1287" s="4" t="n">
        <x:v>40</x:v>
      </x:c>
      <x:c r="D1287" s="4" t="n">
        <x:v>20260928</x:v>
      </x:c>
      <x:c r="E1287" s="4" t="n">
        <x:v>60</x:v>
      </x:c>
      <x:c r="F1287" s="4" t="n">
        <x:v>3703</x:v>
      </x:c>
      <x:c r="G1287" s="5" t="n">
        <x:v>0.20629999999999998</x:v>
      </x:c>
      <x:c r="H1287" s="5" t="n">
        <x:v>0.3196</x:v>
      </x:c>
      <x:c r="I1287" s="5" t="n">
        <x:v>0.0154</x:v>
      </x:c>
      <x:c r="J1287" s="4" t="n">
        <x:v>349</x:v>
      </x:c>
      <x:c r="K1287" s="4" t="n">
        <x:v>72</x:v>
      </x:c>
      <x:c r="L1287" s="4" t="n">
        <x:v>219</x:v>
      </x:c>
      <x:c r="M1287" s="4" t="n">
        <x:v>70</x:v>
      </x:c>
      <x:c r="N1287" s="4" t="n">
        <x:v>130</x:v>
      </x:c>
      <x:c r="O1287" s="4" t="n">
        <x:v>2</x:v>
      </x:c>
      <x:c r="P1287" s="1" t="str">
        <x:v>PASS</x:v>
      </x:c>
      <x:c r="Q1287" s="4" t="n">
        <x:v>0</x:v>
      </x:c>
      <x:c r="R1287" s="1" t="str">
        <x:v>FAIL</x:v>
      </x:c>
      <x:c r="S1287" s="4" t="n">
        <x:v>746</x:v>
      </x:c>
      <x:c r="T1287" s="1" t="str">
        <x:v>INCONCLUSIVE</x:v>
      </x:c>
      <x:c r="U1287" s="1" t="str">
        <x:v>JacksonDatabind_40</x:v>
      </x:c>
      <x:c r="V1287" s="6" t="n">
        <x:v>77.59</x:v>
      </x:c>
    </x:row>
    <x:row r="1288" ht="22" customHeight="1">
      <x:c r="A1288" s="1" t="str">
        <x:v>Round2</x:v>
      </x:c>
      <x:c r="B1288" s="1" t="str">
        <x:v>JacksonDatabind</x:v>
      </x:c>
      <x:c r="C1288" s="4" t="n">
        <x:v>41</x:v>
      </x:c>
      <x:c r="D1288" s="4" t="n">
        <x:v>20260928</x:v>
      </x:c>
      <x:c r="E1288" s="4" t="n">
        <x:v>60</x:v>
      </x:c>
      <x:c r="F1288" s="4" t="n">
        <x:v>862</x:v>
      </x:c>
      <x:c r="G1288" s="5" t="n">
        <x:v>0.4257</x:v>
      </x:c>
      <x:c r="H1288" s="5" t="n">
        <x:v>0.47490000000000004</x:v>
      </x:c>
      <x:c r="I1288" s="5" t="n">
        <x:v>0.34740000000000004</x:v>
      </x:c>
      <x:c r="J1288" s="4" t="n">
        <x:v>552</x:v>
      </x:c>
      <x:c r="K1288" s="4" t="n">
        <x:v>235</x:v>
      </x:c>
      <x:c r="L1288" s="4" t="n">
        <x:v>339</x:v>
      </x:c>
      <x:c r="M1288" s="4" t="n">
        <x:v>161</x:v>
      </x:c>
      <x:c r="N1288" s="4" t="n">
        <x:v>213</x:v>
      </x:c>
      <x:c r="O1288" s="4" t="n">
        <x:v>74</x:v>
      </x:c>
      <x:c r="P1288" s="1" t="str">
        <x:v>PASS</x:v>
      </x:c>
      <x:c r="Q1288" s="4" t="n">
        <x:v>0</x:v>
      </x:c>
      <x:c r="R1288" s="1" t="str">
        <x:v>FAIL</x:v>
      </x:c>
      <x:c r="S1288" s="4" t="n">
        <x:v>6</x:v>
      </x:c>
      <x:c r="T1288" s="1" t="str">
        <x:v>INCONCLUSIVE</x:v>
      </x:c>
      <x:c r="U1288" s="1" t="str">
        <x:v>JacksonDatabind_41</x:v>
      </x:c>
      <x:c r="V1288" s="6" t="n">
        <x:v>69.14</x:v>
      </x:c>
    </x:row>
    <x:row r="1289" ht="22" customHeight="1">
      <x:c r="A1289" s="1" t="str">
        <x:v>Round2</x:v>
      </x:c>
      <x:c r="B1289" s="1" t="str">
        <x:v>JacksonDatabind</x:v>
      </x:c>
      <x:c r="C1289" s="4" t="n">
        <x:v>42</x:v>
      </x:c>
      <x:c r="D1289" s="4" t="n">
        <x:v>20260928</x:v>
      </x:c>
      <x:c r="E1289" s="4" t="n">
        <x:v>60</x:v>
      </x:c>
      <x:c r="F1289" s="4" t="n">
        <x:v>15</x:v>
      </x:c>
      <x:c r="G1289" s="5" t="n">
        <x:v>0.0053</x:v>
      </x:c>
      <x:c r="H1289" s="5" t="n">
        <x:v>0.0091</x:v>
      </x:c>
      <x:c r="I1289" s="5" t="n">
        <x:v>0</x:v>
      </x:c>
      <x:c r="J1289" s="4" t="n">
        <x:v>189</x:v>
      </x:c>
      <x:c r="K1289" s="4" t="n">
        <x:v>1</x:v>
      </x:c>
      <x:c r="L1289" s="4" t="n">
        <x:v>110</x:v>
      </x:c>
      <x:c r="M1289" s="4" t="n">
        <x:v>1</x:v>
      </x:c>
      <x:c r="N1289" s="4" t="n">
        <x:v>79</x:v>
      </x:c>
      <x:c r="O1289" s="4" t="n">
        <x:v>0</x:v>
      </x:c>
      <x:c r="P1289" s="1" t="str">
        <x:v>PASS</x:v>
      </x:c>
      <x:c r="Q1289" s="4" t="n">
        <x:v>0</x:v>
      </x:c>
      <x:c r="R1289" s="1" t="str">
        <x:v>PASS</x:v>
      </x:c>
      <x:c r="S1289" s="4" t="n">
        <x:v>0</x:v>
      </x:c>
      <x:c r="T1289" s="1" t="str">
        <x:v>NOT_REVEALING</x:v>
      </x:c>
      <x:c r="U1289" s="1" t="str">
        <x:v>JacksonDatabind_42</x:v>
      </x:c>
      <x:c r="V1289" s="6" t="n">
        <x:v>58.78</x:v>
      </x:c>
    </x:row>
    <x:row r="1290" ht="22" customHeight="1">
      <x:c r="A1290" s="1" t="str">
        <x:v>Round2</x:v>
      </x:c>
      <x:c r="B1290" s="1" t="str">
        <x:v>JacksonDatabind</x:v>
      </x:c>
      <x:c r="C1290" s="4" t="n">
        <x:v>43</x:v>
      </x:c>
      <x:c r="D1290" s="4" t="n">
        <x:v>20260928</x:v>
      </x:c>
      <x:c r="E1290" s="4" t="n">
        <x:v>60</x:v>
      </x:c>
      <x:c r="F1290" s="4" t="n">
        <x:v>5</x:v>
      </x:c>
      <x:c r="G1290" s="5" t="n">
        <x:v>0.0526</x:v>
      </x:c>
      <x:c r="H1290" s="5" t="n">
        <x:v>0.0625</x:v>
      </x:c>
      <x:c r="I1290" s="5" t="n">
        <x:v>0</x:v>
      </x:c>
      <x:c r="J1290" s="4" t="n">
        <x:v>38</x:v>
      </x:c>
      <x:c r="K1290" s="4" t="n">
        <x:v>2</x:v>
      </x:c>
      <x:c r="L1290" s="4" t="n">
        <x:v>32</x:v>
      </x:c>
      <x:c r="M1290" s="4" t="n">
        <x:v>2</x:v>
      </x:c>
      <x:c r="N1290" s="4" t="n">
        <x:v>6</x:v>
      </x:c>
      <x:c r="O1290" s="4" t="n">
        <x:v>0</x:v>
      </x:c>
      <x:c r="P1290" s="1" t="str">
        <x:v>PASS</x:v>
      </x:c>
      <x:c r="Q1290" s="4" t="n">
        <x:v>0</x:v>
      </x:c>
      <x:c r="R1290" s="1" t="str">
        <x:v>PASS</x:v>
      </x:c>
      <x:c r="S1290" s="4" t="n">
        <x:v>0</x:v>
      </x:c>
      <x:c r="T1290" s="1" t="str">
        <x:v>NOT_REVEALING</x:v>
      </x:c>
      <x:c r="U1290" s="1" t="str">
        <x:v>JacksonDatabind_43</x:v>
      </x:c>
      <x:c r="V1290" s="6" t="n">
        <x:v>54.69</x:v>
      </x:c>
    </x:row>
    <x:row r="1291" ht="22" customHeight="1">
      <x:c r="A1291" s="1" t="str">
        <x:v>Round2</x:v>
      </x:c>
      <x:c r="B1291" s="1" t="str">
        <x:v>JacksonDatabind</x:v>
      </x:c>
      <x:c r="C1291" s="4" t="n">
        <x:v>44</x:v>
      </x:c>
      <x:c r="D1291" s="4" t="n">
        <x:v>20260928</x:v>
      </x:c>
      <x:c r="E1291" s="4" t="n">
        <x:v>60</x:v>
      </x:c>
      <x:c r="F1291" s="4" t="n">
        <x:v>2</x:v>
      </x:c>
      <x:c r="G1291" s="5" t="n">
        <x:v>0.009000000000000001</x:v>
      </x:c>
      <x:c r="H1291" s="5" t="n">
        <x:v>0.013300000000000001</x:v>
      </x:c>
      <x:c r="I1291" s="5" t="n">
        <x:v>0</x:v>
      </x:c>
      <x:c r="J1291" s="4" t="n">
        <x:v>111</x:v>
      </x:c>
      <x:c r="K1291" s="4" t="n">
        <x:v>1</x:v>
      </x:c>
      <x:c r="L1291" s="4" t="n">
        <x:v>75</x:v>
      </x:c>
      <x:c r="M1291" s="4" t="n">
        <x:v>1</x:v>
      </x:c>
      <x:c r="N1291" s="4" t="n">
        <x:v>36</x:v>
      </x:c>
      <x:c r="O1291" s="4" t="n">
        <x:v>0</x:v>
      </x:c>
      <x:c r="P1291" s="1" t="str">
        <x:v>PASS</x:v>
      </x:c>
      <x:c r="Q1291" s="4" t="n">
        <x:v>0</x:v>
      </x:c>
      <x:c r="R1291" s="1" t="str">
        <x:v>PASS</x:v>
      </x:c>
      <x:c r="S1291" s="4" t="n">
        <x:v>0</x:v>
      </x:c>
      <x:c r="T1291" s="1" t="str">
        <x:v>NOT_REVEALING</x:v>
      </x:c>
      <x:c r="U1291" s="1" t="str">
        <x:v>JacksonDatabind_44</x:v>
      </x:c>
      <x:c r="V1291" s="6" t="n">
        <x:v>55.77</x:v>
      </x:c>
    </x:row>
    <x:row r="1292" ht="22" customHeight="1">
      <x:c r="A1292" s="1" t="str">
        <x:v>Round2</x:v>
      </x:c>
      <x:c r="B1292" s="1" t="str">
        <x:v>JacksonDatabind</x:v>
      </x:c>
      <x:c r="C1292" s="4" t="n">
        <x:v>45</x:v>
      </x:c>
      <x:c r="D1292" s="4" t="n">
        <x:v>20260928</x:v>
      </x:c>
      <x:c r="E1292" s="4" t="n">
        <x:v>60</x:v>
      </x:c>
      <x:c r="F1292" s="4" t="n">
        <x:v>1</x:v>
      </x:c>
      <x:c r="G1292" s="5" t="n">
        <x:v>0</x:v>
      </x:c>
      <x:c r="H1292" s="5" t="n">
        <x:v>0</x:v>
      </x:c>
      <x:c r="I1292" s="5" t="n">
        <x:v>0</x:v>
      </x:c>
      <x:c r="J1292" s="4" t="n">
        <x:v>72</x:v>
      </x:c>
      <x:c r="K1292" s="4" t="n">
        <x:v>0</x:v>
      </x:c>
      <x:c r="L1292" s="4" t="n">
        <x:v>40</x:v>
      </x:c>
      <x:c r="M1292" s="4" t="n">
        <x:v>0</x:v>
      </x:c>
      <x:c r="N1292" s="4" t="n">
        <x:v>32</x:v>
      </x:c>
      <x:c r="O1292" s="4" t="n">
        <x:v>0</x:v>
      </x:c>
      <x:c r="P1292" s="1" t="str">
        <x:v>PASS</x:v>
      </x:c>
      <x:c r="Q1292" s="4" t="n">
        <x:v>0</x:v>
      </x:c>
      <x:c r="R1292" s="1" t="str">
        <x:v>PASS</x:v>
      </x:c>
      <x:c r="S1292" s="4" t="n">
        <x:v>0</x:v>
      </x:c>
      <x:c r="T1292" s="1" t="str">
        <x:v>NOT_REVEALING</x:v>
      </x:c>
      <x:c r="U1292" s="1" t="str">
        <x:v>JacksonDatabind_45</x:v>
      </x:c>
      <x:c r="V1292" s="6" t="n">
        <x:v>54.45</x:v>
      </x:c>
    </x:row>
    <x:row r="1293" ht="22" customHeight="1">
      <x:c r="A1293" s="1" t="str">
        <x:v>Round2</x:v>
      </x:c>
      <x:c r="B1293" s="1" t="str">
        <x:v>JacksonDatabind</x:v>
      </x:c>
      <x:c r="C1293" s="4" t="n">
        <x:v>46</x:v>
      </x:c>
      <x:c r="D1293" s="4" t="n">
        <x:v>20260928</x:v>
      </x:c>
      <x:c r="E1293" s="4" t="n">
        <x:v>60</x:v>
      </x:c>
      <x:c r="F1293" s="4" t="n">
        <x:v>1</x:v>
      </x:c>
      <x:c r="G1293" s="5" t="n">
        <x:v>0</x:v>
      </x:c>
      <x:c r="H1293" s="5" t="n">
        <x:v>0</x:v>
      </x:c>
      <x:c r="I1293" s="5" t="n">
        <x:v>0</x:v>
      </x:c>
      <x:c r="J1293" s="4" t="n">
        <x:v>74</x:v>
      </x:c>
      <x:c r="K1293" s="4" t="n">
        <x:v>0</x:v>
      </x:c>
      <x:c r="L1293" s="4" t="n">
        <x:v>52</x:v>
      </x:c>
      <x:c r="M1293" s="4" t="n">
        <x:v>0</x:v>
      </x:c>
      <x:c r="N1293" s="4" t="n">
        <x:v>22</x:v>
      </x:c>
      <x:c r="O1293" s="4" t="n">
        <x:v>0</x:v>
      </x:c>
      <x:c r="P1293" s="1" t="str">
        <x:v>PASS</x:v>
      </x:c>
      <x:c r="Q1293" s="4" t="n">
        <x:v>0</x:v>
      </x:c>
      <x:c r="R1293" s="1" t="str">
        <x:v>PASS</x:v>
      </x:c>
      <x:c r="S1293" s="4" t="n">
        <x:v>0</x:v>
      </x:c>
      <x:c r="T1293" s="1" t="str">
        <x:v>NOT_REVEALING</x:v>
      </x:c>
      <x:c r="U1293" s="1" t="str">
        <x:v>JacksonDatabind_46</x:v>
      </x:c>
      <x:c r="V1293" s="6" t="n">
        <x:v>54.12</x:v>
      </x:c>
    </x:row>
    <x:row r="1294" ht="22" customHeight="1">
      <x:c r="A1294" s="1" t="str">
        <x:v>Round2</x:v>
      </x:c>
      <x:c r="B1294" s="1" t="str">
        <x:v>JacksonDatabind</x:v>
      </x:c>
      <x:c r="C1294" s="4" t="n">
        <x:v>47</x:v>
      </x:c>
      <x:c r="D1294" s="4" t="n">
        <x:v>20260928</x:v>
      </x:c>
      <x:c r="E1294" s="4" t="n">
        <x:v>60</x:v>
      </x:c>
      <x:c r="F1294" s="4" t="n">
        <x:v>0</x:v>
      </x:c>
      <x:c r="G1294" s="5"/>
      <x:c r="H1294" s="5"/>
      <x:c r="I1294" s="5"/>
      <x:c r="J1294" s="4" t="n">
        <x:v>0</x:v>
      </x:c>
      <x:c r="K1294" s="4" t="n">
        <x:v>0</x:v>
      </x:c>
      <x:c r="L1294" s="4" t="n">
        <x:v>0</x:v>
      </x:c>
      <x:c r="M1294" s="4" t="n">
        <x:v>0</x:v>
      </x:c>
      <x:c r="N1294" s="4" t="n">
        <x:v>0</x:v>
      </x:c>
      <x:c r="O1294" s="4" t="n">
        <x:v>0</x:v>
      </x:c>
      <x:c r="P1294" s="1" t="str">
        <x:v>NOT_RUN</x:v>
      </x:c>
      <x:c r="Q1294" s="4"/>
      <x:c r="R1294" s="1" t="str">
        <x:v>NOT_RUN</x:v>
      </x:c>
      <x:c r="S1294" s="4"/>
      <x:c r="T1294" s="1" t="str">
        <x:v>FAIL</x:v>
      </x:c>
      <x:c r="U1294" s="1" t="str">
        <x:v>JacksonDatabind_47</x:v>
      </x:c>
      <x:c r="V1294" s="6"/>
    </x:row>
    <x:row r="1295" ht="22" customHeight="1">
      <x:c r="A1295" s="1" t="str">
        <x:v>Round2</x:v>
      </x:c>
      <x:c r="B1295" s="1" t="str">
        <x:v>JacksonDatabind</x:v>
      </x:c>
      <x:c r="C1295" s="4" t="n">
        <x:v>48</x:v>
      </x:c>
      <x:c r="D1295" s="4" t="n">
        <x:v>20260928</x:v>
      </x:c>
      <x:c r="E1295" s="4" t="n">
        <x:v>60</x:v>
      </x:c>
      <x:c r="F1295" s="4" t="n">
        <x:v>2365</x:v>
      </x:c>
      <x:c r="G1295" s="5" t="n">
        <x:v>0.49700000000000005</x:v>
      </x:c>
      <x:c r="H1295" s="5" t="n">
        <x:v>0.5501</x:v>
      </x:c>
      <x:c r="I1295" s="5" t="n">
        <x:v>0.37799999999999995</x:v>
      </x:c>
      <x:c r="J1295" s="4" t="n">
        <x:v>823</x:v>
      </x:c>
      <x:c r="K1295" s="4" t="n">
        <x:v>409</x:v>
      </x:c>
      <x:c r="L1295" s="4" t="n">
        <x:v>569</x:v>
      </x:c>
      <x:c r="M1295" s="4" t="n">
        <x:v>313</x:v>
      </x:c>
      <x:c r="N1295" s="4" t="n">
        <x:v>254</x:v>
      </x:c>
      <x:c r="O1295" s="4" t="n">
        <x:v>96</x:v>
      </x:c>
      <x:c r="P1295" s="1" t="str">
        <x:v>PASS</x:v>
      </x:c>
      <x:c r="Q1295" s="4" t="n">
        <x:v>0</x:v>
      </x:c>
      <x:c r="R1295" s="1" t="str">
        <x:v>PASS</x:v>
      </x:c>
      <x:c r="S1295" s="4" t="n">
        <x:v>0</x:v>
      </x:c>
      <x:c r="T1295" s="1" t="str">
        <x:v>NOT_REVEALING</x:v>
      </x:c>
      <x:c r="U1295" s="1" t="str">
        <x:v>JacksonDatabind_48</x:v>
      </x:c>
      <x:c r="V1295" s="6" t="n">
        <x:v>84.03</x:v>
      </x:c>
    </x:row>
    <x:row r="1296" ht="22" customHeight="1">
      <x:c r="A1296" s="1" t="str">
        <x:v>Round2</x:v>
      </x:c>
      <x:c r="B1296" s="1" t="str">
        <x:v>JacksonDatabind</x:v>
      </x:c>
      <x:c r="C1296" s="4" t="n">
        <x:v>49</x:v>
      </x:c>
      <x:c r="D1296" s="4" t="n">
        <x:v>20260928</x:v>
      </x:c>
      <x:c r="E1296" s="4" t="n">
        <x:v>60</x:v>
      </x:c>
      <x:c r="F1296" s="4" t="n">
        <x:v>1</x:v>
      </x:c>
      <x:c r="G1296" s="5" t="n">
        <x:v>0</x:v>
      </x:c>
      <x:c r="H1296" s="5" t="n">
        <x:v>0</x:v>
      </x:c>
      <x:c r="I1296" s="5" t="n">
        <x:v>0</x:v>
      </x:c>
      <x:c r="J1296" s="4" t="n">
        <x:v>33</x:v>
      </x:c>
      <x:c r="K1296" s="4" t="n">
        <x:v>0</x:v>
      </x:c>
      <x:c r="L1296" s="4" t="n">
        <x:v>21</x:v>
      </x:c>
      <x:c r="M1296" s="4" t="n">
        <x:v>0</x:v>
      </x:c>
      <x:c r="N1296" s="4" t="n">
        <x:v>12</x:v>
      </x:c>
      <x:c r="O1296" s="4" t="n">
        <x:v>0</x:v>
      </x:c>
      <x:c r="P1296" s="1" t="str">
        <x:v>PASS</x:v>
      </x:c>
      <x:c r="Q1296" s="4" t="n">
        <x:v>0</x:v>
      </x:c>
      <x:c r="R1296" s="1" t="str">
        <x:v>PASS</x:v>
      </x:c>
      <x:c r="S1296" s="4" t="n">
        <x:v>0</x:v>
      </x:c>
      <x:c r="T1296" s="1" t="str">
        <x:v>NOT_REVEALING</x:v>
      </x:c>
      <x:c r="U1296" s="1" t="str">
        <x:v>JacksonDatabind_49</x:v>
      </x:c>
      <x:c r="V1296" s="6" t="n">
        <x:v>56.41</x:v>
      </x:c>
    </x:row>
    <x:row r="1297" ht="22" customHeight="1">
      <x:c r="A1297" s="1" t="str">
        <x:v>Round2</x:v>
      </x:c>
      <x:c r="B1297" s="1" t="str">
        <x:v>JacksonDatabind</x:v>
      </x:c>
      <x:c r="C1297" s="4" t="n">
        <x:v>50</x:v>
      </x:c>
      <x:c r="D1297" s="4" t="n">
        <x:v>20260928</x:v>
      </x:c>
      <x:c r="E1297" s="4" t="n">
        <x:v>60</x:v>
      </x:c>
      <x:c r="F1297" s="4" t="n">
        <x:v>42</x:v>
      </x:c>
      <x:c r="G1297" s="5" t="n">
        <x:v>0.0109</x:v>
      </x:c>
      <x:c r="H1297" s="5" t="n">
        <x:v>0.017</x:v>
      </x:c>
      <x:c r="I1297" s="5" t="n">
        <x:v>0</x:v>
      </x:c>
      <x:c r="J1297" s="4" t="n">
        <x:v>642</x:v>
      </x:c>
      <x:c r="K1297" s="4" t="n">
        <x:v>7</x:v>
      </x:c>
      <x:c r="L1297" s="4" t="n">
        <x:v>411</x:v>
      </x:c>
      <x:c r="M1297" s="4" t="n">
        <x:v>7</x:v>
      </x:c>
      <x:c r="N1297" s="4" t="n">
        <x:v>231</x:v>
      </x:c>
      <x:c r="O1297" s="4" t="n">
        <x:v>0</x:v>
      </x:c>
      <x:c r="P1297" s="1" t="str">
        <x:v>PASS</x:v>
      </x:c>
      <x:c r="Q1297" s="4" t="n">
        <x:v>0</x:v>
      </x:c>
      <x:c r="R1297" s="1" t="str">
        <x:v>PASS</x:v>
      </x:c>
      <x:c r="S1297" s="4" t="n">
        <x:v>0</x:v>
      </x:c>
      <x:c r="T1297" s="1" t="str">
        <x:v>NOT_REVEALING</x:v>
      </x:c>
      <x:c r="U1297" s="1" t="str">
        <x:v>JacksonDatabind_50</x:v>
      </x:c>
      <x:c r="V1297" s="6" t="n">
        <x:v>65.58</x:v>
      </x:c>
    </x:row>
    <x:row r="1298" ht="22" customHeight="1">
      <x:c r="A1298" s="1" t="str">
        <x:v>Round2</x:v>
      </x:c>
      <x:c r="B1298" s="1" t="str">
        <x:v>JacksonDatabind</x:v>
      </x:c>
      <x:c r="C1298" s="4" t="n">
        <x:v>51</x:v>
      </x:c>
      <x:c r="D1298" s="4" t="n">
        <x:v>20260928</x:v>
      </x:c>
      <x:c r="E1298" s="4" t="n">
        <x:v>60</x:v>
      </x:c>
      <x:c r="F1298" s="4" t="n">
        <x:v>2</x:v>
      </x:c>
      <x:c r="G1298" s="5" t="n">
        <x:v>0</x:v>
      </x:c>
      <x:c r="H1298" s="5" t="n">
        <x:v>0</x:v>
      </x:c>
      <x:c r="I1298" s="5" t="n">
        <x:v>0</x:v>
      </x:c>
      <x:c r="J1298" s="4" t="n">
        <x:v>108</x:v>
      </x:c>
      <x:c r="K1298" s="4" t="n">
        <x:v>0</x:v>
      </x:c>
      <x:c r="L1298" s="4" t="n">
        <x:v>74</x:v>
      </x:c>
      <x:c r="M1298" s="4" t="n">
        <x:v>0</x:v>
      </x:c>
      <x:c r="N1298" s="4" t="n">
        <x:v>34</x:v>
      </x:c>
      <x:c r="O1298" s="4" t="n">
        <x:v>0</x:v>
      </x:c>
      <x:c r="P1298" s="1" t="str">
        <x:v>PASS</x:v>
      </x:c>
      <x:c r="Q1298" s="4" t="n">
        <x:v>0</x:v>
      </x:c>
      <x:c r="R1298" s="1" t="str">
        <x:v>PASS</x:v>
      </x:c>
      <x:c r="S1298" s="4" t="n">
        <x:v>0</x:v>
      </x:c>
      <x:c r="T1298" s="1" t="str">
        <x:v>NOT_REVEALING</x:v>
      </x:c>
      <x:c r="U1298" s="1" t="str">
        <x:v>JacksonDatabind_51</x:v>
      </x:c>
      <x:c r="V1298" s="6" t="n">
        <x:v>60.84</x:v>
      </x:c>
    </x:row>
    <x:row r="1299" ht="22" customHeight="1">
      <x:c r="A1299" s="1" t="str">
        <x:v>Round2</x:v>
      </x:c>
      <x:c r="B1299" s="1" t="str">
        <x:v>JacksonDatabind</x:v>
      </x:c>
      <x:c r="C1299" s="4" t="n">
        <x:v>52</x:v>
      </x:c>
      <x:c r="D1299" s="4" t="n">
        <x:v>20260928</x:v>
      </x:c>
      <x:c r="E1299" s="4" t="n">
        <x:v>60</x:v>
      </x:c>
      <x:c r="F1299" s="4" t="n">
        <x:v>2469</x:v>
      </x:c>
      <x:c r="G1299" s="5" t="n">
        <x:v>0.035</x:v>
      </x:c>
      <x:c r="H1299" s="5" t="n">
        <x:v>0.0501</x:v>
      </x:c>
      <x:c r="I1299" s="5" t="n">
        <x:v>0.0092</x:v>
      </x:c>
      <x:c r="J1299" s="4" t="n">
        <x:v>1173</x:v>
      </x:c>
      <x:c r="K1299" s="4" t="n">
        <x:v>41</x:v>
      </x:c>
      <x:c r="L1299" s="4" t="n">
        <x:v>738</x:v>
      </x:c>
      <x:c r="M1299" s="4" t="n">
        <x:v>37</x:v>
      </x:c>
      <x:c r="N1299" s="4" t="n">
        <x:v>435</x:v>
      </x:c>
      <x:c r="O1299" s="4" t="n">
        <x:v>4</x:v>
      </x:c>
      <x:c r="P1299" s="1" t="str">
        <x:v>PASS</x:v>
      </x:c>
      <x:c r="Q1299" s="4" t="n">
        <x:v>0</x:v>
      </x:c>
      <x:c r="R1299" s="1" t="str">
        <x:v>PASS</x:v>
      </x:c>
      <x:c r="S1299" s="4" t="n">
        <x:v>0</x:v>
      </x:c>
      <x:c r="T1299" s="1" t="str">
        <x:v>NOT_REVEALING</x:v>
      </x:c>
      <x:c r="U1299" s="1" t="str">
        <x:v>JacksonDatabind_52</x:v>
      </x:c>
      <x:c r="V1299" s="6" t="n">
        <x:v>95.79</x:v>
      </x:c>
    </x:row>
    <x:row r="1300" ht="22" customHeight="1">
      <x:c r="A1300" s="1" t="str">
        <x:v>Round2</x:v>
      </x:c>
      <x:c r="B1300" s="1" t="str">
        <x:v>JacksonDatabind</x:v>
      </x:c>
      <x:c r="C1300" s="4" t="n">
        <x:v>53</x:v>
      </x:c>
      <x:c r="D1300" s="4" t="n">
        <x:v>20260928</x:v>
      </x:c>
      <x:c r="E1300" s="4" t="n">
        <x:v>60</x:v>
      </x:c>
      <x:c r="F1300" s="4" t="n">
        <x:v>654</x:v>
      </x:c>
      <x:c r="G1300" s="5" t="n">
        <x:v>0.3619</x:v>
      </x:c>
      <x:c r="H1300" s="5" t="n">
        <x:v>0.40990000000000004</x:v>
      </x:c>
      <x:c r="I1300" s="5" t="n">
        <x:v>0.2919</x:v>
      </x:c>
      <x:c r="J1300" s="4" t="n">
        <x:v>851</x:v>
      </x:c>
      <x:c r="K1300" s="4" t="n">
        <x:v>308</x:v>
      </x:c>
      <x:c r="L1300" s="4" t="n">
        <x:v>505</x:v>
      </x:c>
      <x:c r="M1300" s="4" t="n">
        <x:v>207</x:v>
      </x:c>
      <x:c r="N1300" s="4" t="n">
        <x:v>346</x:v>
      </x:c>
      <x:c r="O1300" s="4" t="n">
        <x:v>101</x:v>
      </x:c>
      <x:c r="P1300" s="1" t="str">
        <x:v>PASS</x:v>
      </x:c>
      <x:c r="Q1300" s="4" t="n">
        <x:v>0</x:v>
      </x:c>
      <x:c r="R1300" s="1" t="str">
        <x:v>NOT_RUN</x:v>
      </x:c>
      <x:c r="S1300" s="4"/>
      <x:c r="T1300" s="1" t="str">
        <x:v>NOT_AVAILABLE</x:v>
      </x:c>
      <x:c r="U1300" s="1" t="str">
        <x:v>JacksonDatabind_53</x:v>
      </x:c>
      <x:c r="V1300" s="6" t="n">
        <x:v>66.68</x:v>
      </x:c>
    </x:row>
    <x:row r="1301" ht="22" customHeight="1">
      <x:c r="A1301" s="1" t="str">
        <x:v>Round2</x:v>
      </x:c>
      <x:c r="B1301" s="1" t="str">
        <x:v>JacksonDatabind</x:v>
      </x:c>
      <x:c r="C1301" s="4" t="n">
        <x:v>54</x:v>
      </x:c>
      <x:c r="D1301" s="4" t="n">
        <x:v>20260928</x:v>
      </x:c>
      <x:c r="E1301" s="4" t="n">
        <x:v>60</x:v>
      </x:c>
      <x:c r="F1301" s="4" t="n">
        <x:v>2</x:v>
      </x:c>
      <x:c r="G1301" s="5" t="n">
        <x:v>0.0366</x:v>
      </x:c>
      <x:c r="H1301" s="5" t="n">
        <x:v>0.061900000000000004</x:v>
      </x:c>
      <x:c r="I1301" s="5" t="n">
        <x:v>0</x:v>
      </x:c>
      <x:c r="J1301" s="4" t="n">
        <x:v>164</x:v>
      </x:c>
      <x:c r="K1301" s="4" t="n">
        <x:v>6</x:v>
      </x:c>
      <x:c r="L1301" s="4" t="n">
        <x:v>97</x:v>
      </x:c>
      <x:c r="M1301" s="4" t="n">
        <x:v>6</x:v>
      </x:c>
      <x:c r="N1301" s="4" t="n">
        <x:v>67</x:v>
      </x:c>
      <x:c r="O1301" s="4" t="n">
        <x:v>0</x:v>
      </x:c>
      <x:c r="P1301" s="1" t="str">
        <x:v>PASS</x:v>
      </x:c>
      <x:c r="Q1301" s="4" t="n">
        <x:v>0</x:v>
      </x:c>
      <x:c r="R1301" s="1" t="str">
        <x:v>PASS</x:v>
      </x:c>
      <x:c r="S1301" s="4" t="n">
        <x:v>0</x:v>
      </x:c>
      <x:c r="T1301" s="1" t="str">
        <x:v>NOT_REVEALING</x:v>
      </x:c>
      <x:c r="U1301" s="1" t="str">
        <x:v>JacksonDatabind_54</x:v>
      </x:c>
      <x:c r="V1301" s="6" t="n">
        <x:v>60.92</x:v>
      </x:c>
    </x:row>
    <x:row r="1302" ht="22" customHeight="1">
      <x:c r="A1302" s="1" t="str">
        <x:v>Round2</x:v>
      </x:c>
      <x:c r="B1302" s="1" t="str">
        <x:v>JacksonDatabind</x:v>
      </x:c>
      <x:c r="C1302" s="4" t="n">
        <x:v>55</x:v>
      </x:c>
      <x:c r="D1302" s="4" t="n">
        <x:v>20260928</x:v>
      </x:c>
      <x:c r="E1302" s="4" t="n">
        <x:v>60</x:v>
      </x:c>
      <x:c r="F1302" s="4" t="n">
        <x:v>218</x:v>
      </x:c>
      <x:c r="G1302" s="5" t="n">
        <x:v>0.1837</x:v>
      </x:c>
      <x:c r="H1302" s="5" t="n">
        <x:v>0.2787</x:v>
      </x:c>
      <x:c r="I1302" s="5" t="n">
        <x:v>0.027000000000000003</x:v>
      </x:c>
      <x:c r="J1302" s="4" t="n">
        <x:v>98</x:v>
      </x:c>
      <x:c r="K1302" s="4" t="n">
        <x:v>18</x:v>
      </x:c>
      <x:c r="L1302" s="4" t="n">
        <x:v>61</x:v>
      </x:c>
      <x:c r="M1302" s="4" t="n">
        <x:v>17</x:v>
      </x:c>
      <x:c r="N1302" s="4" t="n">
        <x:v>37</x:v>
      </x:c>
      <x:c r="O1302" s="4" t="n">
        <x:v>1</x:v>
      </x:c>
      <x:c r="P1302" s="1" t="str">
        <x:v>PASS</x:v>
      </x:c>
      <x:c r="Q1302" s="4" t="n">
        <x:v>0</x:v>
      </x:c>
      <x:c r="R1302" s="1" t="str">
        <x:v>PASS</x:v>
      </x:c>
      <x:c r="S1302" s="4" t="n">
        <x:v>0</x:v>
      </x:c>
      <x:c r="T1302" s="1" t="str">
        <x:v>NOT_REVEALING</x:v>
      </x:c>
      <x:c r="U1302" s="1" t="str">
        <x:v>JacksonDatabind_55</x:v>
      </x:c>
      <x:c r="V1302" s="6" t="n">
        <x:v>60.47</x:v>
      </x:c>
    </x:row>
    <x:row r="1303" ht="22" customHeight="1">
      <x:c r="A1303" s="1" t="str">
        <x:v>Round2</x:v>
      </x:c>
      <x:c r="B1303" s="1" t="str">
        <x:v>JacksonDatabind</x:v>
      </x:c>
      <x:c r="C1303" s="4" t="n">
        <x:v>56</x:v>
      </x:c>
      <x:c r="D1303" s="4" t="n">
        <x:v>20260928</x:v>
      </x:c>
      <x:c r="E1303" s="4" t="n">
        <x:v>60</x:v>
      </x:c>
      <x:c r="F1303" s="4" t="n">
        <x:v>15</x:v>
      </x:c>
      <x:c r="G1303" s="5" t="n">
        <x:v>0.0052</x:v>
      </x:c>
      <x:c r="H1303" s="5" t="n">
        <x:v>0.0089</x:v>
      </x:c>
      <x:c r="I1303" s="5" t="n">
        <x:v>0</x:v>
      </x:c>
      <x:c r="J1303" s="4" t="n">
        <x:v>193</x:v>
      </x:c>
      <x:c r="K1303" s="4" t="n">
        <x:v>1</x:v>
      </x:c>
      <x:c r="L1303" s="4" t="n">
        <x:v>112</x:v>
      </x:c>
      <x:c r="M1303" s="4" t="n">
        <x:v>1</x:v>
      </x:c>
      <x:c r="N1303" s="4" t="n">
        <x:v>81</x:v>
      </x:c>
      <x:c r="O1303" s="4" t="n">
        <x:v>0</x:v>
      </x:c>
      <x:c r="P1303" s="1" t="str">
        <x:v>PASS</x:v>
      </x:c>
      <x:c r="Q1303" s="4" t="n">
        <x:v>0</x:v>
      </x:c>
      <x:c r="R1303" s="1" t="str">
        <x:v>PASS</x:v>
      </x:c>
      <x:c r="S1303" s="4" t="n">
        <x:v>0</x:v>
      </x:c>
      <x:c r="T1303" s="1" t="str">
        <x:v>NOT_REVEALING</x:v>
      </x:c>
      <x:c r="U1303" s="1" t="str">
        <x:v>JacksonDatabind_56</x:v>
      </x:c>
      <x:c r="V1303" s="6" t="n">
        <x:v>59.38</x:v>
      </x:c>
    </x:row>
    <x:row r="1304" ht="22" customHeight="1">
      <x:c r="A1304" s="1" t="str">
        <x:v>Round2</x:v>
      </x:c>
      <x:c r="B1304" s="1" t="str">
        <x:v>JacksonDatabind</x:v>
      </x:c>
      <x:c r="C1304" s="4" t="n">
        <x:v>57</x:v>
      </x:c>
      <x:c r="D1304" s="4" t="n">
        <x:v>20260928</x:v>
      </x:c>
      <x:c r="E1304" s="4" t="n">
        <x:v>60</x:v>
      </x:c>
      <x:c r="F1304" s="4" t="n">
        <x:v>88</x:v>
      </x:c>
      <x:c r="G1304" s="5" t="n">
        <x:v>0.026600000000000002</x:v>
      </x:c>
      <x:c r="H1304" s="5" t="n">
        <x:v>0.0368</x:v>
      </x:c>
      <x:c r="I1304" s="5" t="n">
        <x:v>0</x:v>
      </x:c>
      <x:c r="J1304" s="4" t="n">
        <x:v>564</x:v>
      </x:c>
      <x:c r="K1304" s="4" t="n">
        <x:v>15</x:v>
      </x:c>
      <x:c r="L1304" s="4" t="n">
        <x:v>408</x:v>
      </x:c>
      <x:c r="M1304" s="4" t="n">
        <x:v>15</x:v>
      </x:c>
      <x:c r="N1304" s="4" t="n">
        <x:v>156</x:v>
      </x:c>
      <x:c r="O1304" s="4" t="n">
        <x:v>0</x:v>
      </x:c>
      <x:c r="P1304" s="1" t="str">
        <x:v>PASS</x:v>
      </x:c>
      <x:c r="Q1304" s="4" t="n">
        <x:v>0</x:v>
      </x:c>
      <x:c r="R1304" s="1" t="str">
        <x:v>PASS</x:v>
      </x:c>
      <x:c r="S1304" s="4" t="n">
        <x:v>0</x:v>
      </x:c>
      <x:c r="T1304" s="1" t="str">
        <x:v>NOT_REVEALING</x:v>
      </x:c>
      <x:c r="U1304" s="1" t="str">
        <x:v>JacksonDatabind_57</x:v>
      </x:c>
      <x:c r="V1304" s="6" t="n">
        <x:v>63.05</x:v>
      </x:c>
    </x:row>
    <x:row r="1305" ht="22" customHeight="1">
      <x:c r="A1305" s="1" t="str">
        <x:v>Round2</x:v>
      </x:c>
      <x:c r="B1305" s="1" t="str">
        <x:v>JacksonDatabind</x:v>
      </x:c>
      <x:c r="C1305" s="4" t="n">
        <x:v>58</x:v>
      </x:c>
      <x:c r="D1305" s="4" t="n">
        <x:v>20260928</x:v>
      </x:c>
      <x:c r="E1305" s="4" t="n">
        <x:v>60</x:v>
      </x:c>
      <x:c r="F1305" s="4" t="n">
        <x:v>2888</x:v>
      </x:c>
      <x:c r="G1305" s="5" t="n">
        <x:v>0.0677</x:v>
      </x:c>
      <x:c r="H1305" s="5" t="n">
        <x:v>0.0935</x:v>
      </x:c>
      <x:c r="I1305" s="5" t="n">
        <x:v>0.0255</x:v>
      </x:c>
      <x:c r="J1305" s="4" t="n">
        <x:v>517</x:v>
      </x:c>
      <x:c r="K1305" s="4" t="n">
        <x:v>35</x:v>
      </x:c>
      <x:c r="L1305" s="4" t="n">
        <x:v>321</x:v>
      </x:c>
      <x:c r="M1305" s="4" t="n">
        <x:v>30</x:v>
      </x:c>
      <x:c r="N1305" s="4" t="n">
        <x:v>196</x:v>
      </x:c>
      <x:c r="O1305" s="4" t="n">
        <x:v>5</x:v>
      </x:c>
      <x:c r="P1305" s="1" t="str">
        <x:v>PASS</x:v>
      </x:c>
      <x:c r="Q1305" s="4" t="n">
        <x:v>0</x:v>
      </x:c>
      <x:c r="R1305" s="1" t="str">
        <x:v>PASS</x:v>
      </x:c>
      <x:c r="S1305" s="4" t="n">
        <x:v>0</x:v>
      </x:c>
      <x:c r="T1305" s="1" t="str">
        <x:v>NOT_REVEALING</x:v>
      </x:c>
      <x:c r="U1305" s="1" t="str">
        <x:v>JacksonDatabind_58</x:v>
      </x:c>
      <x:c r="V1305" s="6" t="n">
        <x:v>105.05</x:v>
      </x:c>
    </x:row>
    <x:row r="1306" ht="22" customHeight="1">
      <x:c r="A1306" s="1" t="str">
        <x:v>Round2</x:v>
      </x:c>
      <x:c r="B1306" s="1" t="str">
        <x:v>JacksonDatabind</x:v>
      </x:c>
      <x:c r="C1306" s="4" t="n">
        <x:v>59</x:v>
      </x:c>
      <x:c r="D1306" s="4" t="n">
        <x:v>20260928</x:v>
      </x:c>
      <x:c r="E1306" s="4" t="n">
        <x:v>60</x:v>
      </x:c>
      <x:c r="F1306" s="4" t="n">
        <x:v>1368</x:v>
      </x:c>
      <x:c r="G1306" s="5" t="n">
        <x:v>0.5357999999999999</x:v>
      </x:c>
      <x:c r="H1306" s="5" t="n">
        <x:v>0.5968</x:v>
      </x:c>
      <x:c r="I1306" s="5" t="n">
        <x:v>0.4249</x:v>
      </x:c>
      <x:c r="J1306" s="4" t="n">
        <x:v>881</x:v>
      </x:c>
      <x:c r="K1306" s="4" t="n">
        <x:v>472</x:v>
      </x:c>
      <x:c r="L1306" s="4" t="n">
        <x:v>568</x:v>
      </x:c>
      <x:c r="M1306" s="4" t="n">
        <x:v>339</x:v>
      </x:c>
      <x:c r="N1306" s="4" t="n">
        <x:v>313</x:v>
      </x:c>
      <x:c r="O1306" s="4" t="n">
        <x:v>133</x:v>
      </x:c>
      <x:c r="P1306" s="1" t="str">
        <x:v>FAIL</x:v>
      </x:c>
      <x:c r="Q1306" s="4" t="n">
        <x:v>348</x:v>
      </x:c>
      <x:c r="R1306" s="1" t="str">
        <x:v>FAIL</x:v>
      </x:c>
      <x:c r="S1306" s="4" t="n">
        <x:v>348</x:v>
      </x:c>
      <x:c r="T1306" s="1" t="str">
        <x:v>INCONCLUSIVE</x:v>
      </x:c>
      <x:c r="U1306" s="1" t="str">
        <x:v>JacksonDatabind_59</x:v>
      </x:c>
      <x:c r="V1306" s="6" t="n">
        <x:v>81.82</x:v>
      </x:c>
    </x:row>
    <x:row r="1307" ht="22" customHeight="1">
      <x:c r="A1307" s="1" t="str">
        <x:v>Round2</x:v>
      </x:c>
      <x:c r="B1307" s="1" t="str">
        <x:v>JacksonDatabind</x:v>
      </x:c>
      <x:c r="C1307" s="4" t="n">
        <x:v>60</x:v>
      </x:c>
      <x:c r="D1307" s="4" t="n">
        <x:v>20260928</x:v>
      </x:c>
      <x:c r="E1307" s="4" t="n">
        <x:v>60</x:v>
      </x:c>
      <x:c r="F1307" s="4" t="n">
        <x:v>1</x:v>
      </x:c>
      <x:c r="G1307" s="5" t="n">
        <x:v>0</x:v>
      </x:c>
      <x:c r="H1307" s="5" t="n">
        <x:v>0</x:v>
      </x:c>
      <x:c r="I1307" s="5" t="n">
        <x:v>0</x:v>
      </x:c>
      <x:c r="J1307" s="4" t="n">
        <x:v>184</x:v>
      </x:c>
      <x:c r="K1307" s="4" t="n">
        <x:v>0</x:v>
      </x:c>
      <x:c r="L1307" s="4" t="n">
        <x:v>110</x:v>
      </x:c>
      <x:c r="M1307" s="4" t="n">
        <x:v>0</x:v>
      </x:c>
      <x:c r="N1307" s="4" t="n">
        <x:v>74</x:v>
      </x:c>
      <x:c r="O1307" s="4" t="n">
        <x:v>0</x:v>
      </x:c>
      <x:c r="P1307" s="1" t="str">
        <x:v>PASS</x:v>
      </x:c>
      <x:c r="Q1307" s="4" t="n">
        <x:v>0</x:v>
      </x:c>
      <x:c r="R1307" s="1" t="str">
        <x:v>PASS</x:v>
      </x:c>
      <x:c r="S1307" s="4" t="n">
        <x:v>0</x:v>
      </x:c>
      <x:c r="T1307" s="1" t="str">
        <x:v>NOT_REVEALING</x:v>
      </x:c>
      <x:c r="U1307" s="1" t="str">
        <x:v>JacksonDatabind_60</x:v>
      </x:c>
      <x:c r="V1307" s="6" t="n">
        <x:v>55.95</x:v>
      </x:c>
    </x:row>
    <x:row r="1308" ht="22" customHeight="1">
      <x:c r="A1308" s="1" t="str">
        <x:v>Round2</x:v>
      </x:c>
      <x:c r="B1308" s="1" t="str">
        <x:v>JacksonDatabind</x:v>
      </x:c>
      <x:c r="C1308" s="4" t="n">
        <x:v>61</x:v>
      </x:c>
      <x:c r="D1308" s="4" t="n">
        <x:v>20260928</x:v>
      </x:c>
      <x:c r="E1308" s="4" t="n">
        <x:v>60</x:v>
      </x:c>
      <x:c r="F1308" s="4" t="n">
        <x:v>1902</x:v>
      </x:c>
      <x:c r="G1308" s="5" t="n">
        <x:v>0.5271</x:v>
      </x:c>
      <x:c r="H1308" s="5" t="n">
        <x:v>0.5834</x:v>
      </x:c>
      <x:c r="I1308" s="5" t="n">
        <x:v>0.3554</x:v>
      </x:c>
      <x:c r="J1308" s="4" t="n">
        <x:v>979</x:v>
      </x:c>
      <x:c r="K1308" s="4" t="n">
        <x:v>516</x:v>
      </x:c>
      <x:c r="L1308" s="4" t="n">
        <x:v>737</x:v>
      </x:c>
      <x:c r="M1308" s="4" t="n">
        <x:v>430</x:v>
      </x:c>
      <x:c r="N1308" s="4" t="n">
        <x:v>242</x:v>
      </x:c>
      <x:c r="O1308" s="4" t="n">
        <x:v>86</x:v>
      </x:c>
      <x:c r="P1308" s="1" t="str">
        <x:v>PASS</x:v>
      </x:c>
      <x:c r="Q1308" s="4" t="n">
        <x:v>0</x:v>
      </x:c>
      <x:c r="R1308" s="1" t="str">
        <x:v>PASS</x:v>
      </x:c>
      <x:c r="S1308" s="4" t="n">
        <x:v>0</x:v>
      </x:c>
      <x:c r="T1308" s="1" t="str">
        <x:v>NOT_REVEALING</x:v>
      </x:c>
      <x:c r="U1308" s="1" t="str">
        <x:v>JacksonDatabind_61</x:v>
      </x:c>
      <x:c r="V1308" s="6" t="n">
        <x:v>84.77</x:v>
      </x:c>
    </x:row>
    <x:row r="1309" ht="22" customHeight="1">
      <x:c r="A1309" s="1" t="str">
        <x:v>Round2</x:v>
      </x:c>
      <x:c r="B1309" s="1" t="str">
        <x:v>JacksonDatabind</x:v>
      </x:c>
      <x:c r="C1309" s="4" t="n">
        <x:v>62</x:v>
      </x:c>
      <x:c r="D1309" s="4" t="n">
        <x:v>20260928</x:v>
      </x:c>
      <x:c r="E1309" s="4" t="n">
        <x:v>60</x:v>
      </x:c>
      <x:c r="F1309" s="4" t="n">
        <x:v>2316</x:v>
      </x:c>
      <x:c r="G1309" s="5" t="n">
        <x:v>0.2736</x:v>
      </x:c>
      <x:c r="H1309" s="5" t="n">
        <x:v>0.3053</x:v>
      </x:c>
      <x:c r="I1309" s="5" t="n">
        <x:v>0.2143</x:v>
      </x:c>
      <x:c r="J1309" s="4" t="n">
        <x:v>201</x:v>
      </x:c>
      <x:c r="K1309" s="4" t="n">
        <x:v>55</x:v>
      </x:c>
      <x:c r="L1309" s="4" t="n">
        <x:v>131</x:v>
      </x:c>
      <x:c r="M1309" s="4" t="n">
        <x:v>40</x:v>
      </x:c>
      <x:c r="N1309" s="4" t="n">
        <x:v>70</x:v>
      </x:c>
      <x:c r="O1309" s="4" t="n">
        <x:v>15</x:v>
      </x:c>
      <x:c r="P1309" s="1" t="str">
        <x:v>PASS</x:v>
      </x:c>
      <x:c r="Q1309" s="4" t="n">
        <x:v>0</x:v>
      </x:c>
      <x:c r="R1309" s="1" t="str">
        <x:v>PASS</x:v>
      </x:c>
      <x:c r="S1309" s="4" t="n">
        <x:v>0</x:v>
      </x:c>
      <x:c r="T1309" s="1" t="str">
        <x:v>NOT_REVEALING</x:v>
      </x:c>
      <x:c r="U1309" s="1" t="str">
        <x:v>JacksonDatabind_62</x:v>
      </x:c>
      <x:c r="V1309" s="6" t="n">
        <x:v>91.1</x:v>
      </x:c>
    </x:row>
    <x:row r="1310" ht="22" customHeight="1">
      <x:c r="A1310" s="1" t="str">
        <x:v>Round2</x:v>
      </x:c>
      <x:c r="B1310" s="1" t="str">
        <x:v>JacksonDatabind</x:v>
      </x:c>
      <x:c r="C1310" s="4" t="n">
        <x:v>63</x:v>
      </x:c>
      <x:c r="D1310" s="4" t="n">
        <x:v>20260928</x:v>
      </x:c>
      <x:c r="E1310" s="4" t="n">
        <x:v>60</x:v>
      </x:c>
      <x:c r="F1310" s="4" t="n">
        <x:v>3422</x:v>
      </x:c>
      <x:c r="G1310" s="5" t="n">
        <x:v>0.8503000000000001</x:v>
      </x:c>
      <x:c r="H1310" s="5" t="n">
        <x:v>0.9024</x:v>
      </x:c>
      <x:c r="I1310" s="5" t="n">
        <x:v>0.7045</x:v>
      </x:c>
      <x:c r="J1310" s="4" t="n">
        <x:v>167</x:v>
      </x:c>
      <x:c r="K1310" s="4" t="n">
        <x:v>142</x:v>
      </x:c>
      <x:c r="L1310" s="4" t="n">
        <x:v>123</x:v>
      </x:c>
      <x:c r="M1310" s="4" t="n">
        <x:v>111</x:v>
      </x:c>
      <x:c r="N1310" s="4" t="n">
        <x:v>44</x:v>
      </x:c>
      <x:c r="O1310" s="4" t="n">
        <x:v>31</x:v>
      </x:c>
      <x:c r="P1310" s="1" t="str">
        <x:v>PASS</x:v>
      </x:c>
      <x:c r="Q1310" s="4" t="n">
        <x:v>0</x:v>
      </x:c>
      <x:c r="R1310" s="1" t="str">
        <x:v>FAIL</x:v>
      </x:c>
      <x:c r="S1310" s="4" t="n">
        <x:v>112</x:v>
      </x:c>
      <x:c r="T1310" s="1" t="str">
        <x:v>INCONCLUSIVE</x:v>
      </x:c>
      <x:c r="U1310" s="1" t="str">
        <x:v>JacksonDatabind_63</x:v>
      </x:c>
      <x:c r="V1310" s="6" t="n">
        <x:v>85.74</x:v>
      </x:c>
    </x:row>
    <x:row r="1311" ht="22" customHeight="1">
      <x:c r="A1311" s="1" t="str">
        <x:v>Round2</x:v>
      </x:c>
      <x:c r="B1311" s="1" t="str">
        <x:v>JacksonDatabind</x:v>
      </x:c>
      <x:c r="C1311" s="4" t="n">
        <x:v>64</x:v>
      </x:c>
      <x:c r="D1311" s="4" t="n">
        <x:v>20260928</x:v>
      </x:c>
      <x:c r="E1311" s="4" t="n">
        <x:v>60</x:v>
      </x:c>
      <x:c r="F1311" s="4" t="n">
        <x:v>2</x:v>
      </x:c>
      <x:c r="G1311" s="5" t="n">
        <x:v>0.0337</x:v>
      </x:c>
      <x:c r="H1311" s="5" t="n">
        <x:v>0.056100000000000004</x:v>
      </x:c>
      <x:c r="I1311" s="5" t="n">
        <x:v>0</x:v>
      </x:c>
      <x:c r="J1311" s="4" t="n">
        <x:v>178</x:v>
      </x:c>
      <x:c r="K1311" s="4" t="n">
        <x:v>6</x:v>
      </x:c>
      <x:c r="L1311" s="4" t="n">
        <x:v>107</x:v>
      </x:c>
      <x:c r="M1311" s="4" t="n">
        <x:v>6</x:v>
      </x:c>
      <x:c r="N1311" s="4" t="n">
        <x:v>71</x:v>
      </x:c>
      <x:c r="O1311" s="4" t="n">
        <x:v>0</x:v>
      </x:c>
      <x:c r="P1311" s="1" t="str">
        <x:v>PASS</x:v>
      </x:c>
      <x:c r="Q1311" s="4" t="n">
        <x:v>0</x:v>
      </x:c>
      <x:c r="R1311" s="1" t="str">
        <x:v>PASS</x:v>
      </x:c>
      <x:c r="S1311" s="4" t="n">
        <x:v>0</x:v>
      </x:c>
      <x:c r="T1311" s="1" t="str">
        <x:v>NOT_REVEALING</x:v>
      </x:c>
      <x:c r="U1311" s="1" t="str">
        <x:v>JacksonDatabind_64</x:v>
      </x:c>
      <x:c r="V1311" s="6" t="n">
        <x:v>62.78</x:v>
      </x:c>
    </x:row>
    <x:row r="1312" ht="22" customHeight="1">
      <x:c r="A1312" s="1" t="str">
        <x:v>Round2</x:v>
      </x:c>
      <x:c r="B1312" s="1" t="str">
        <x:v>JacksonDatabind</x:v>
      </x:c>
      <x:c r="C1312" s="4" t="n">
        <x:v>66</x:v>
      </x:c>
      <x:c r="D1312" s="4" t="n">
        <x:v>20260928</x:v>
      </x:c>
      <x:c r="E1312" s="4" t="n">
        <x:v>60</x:v>
      </x:c>
      <x:c r="F1312" s="4" t="n">
        <x:v>19</x:v>
      </x:c>
      <x:c r="G1312" s="5" t="n">
        <x:v>0.008</x:v>
      </x:c>
      <x:c r="H1312" s="5" t="n">
        <x:v>0.0128</x:v>
      </x:c>
      <x:c r="I1312" s="5" t="n">
        <x:v>0</x:v>
      </x:c>
      <x:c r="J1312" s="4" t="n">
        <x:v>251</x:v>
      </x:c>
      <x:c r="K1312" s="4" t="n">
        <x:v>2</x:v>
      </x:c>
      <x:c r="L1312" s="4" t="n">
        <x:v>156</x:v>
      </x:c>
      <x:c r="M1312" s="4" t="n">
        <x:v>2</x:v>
      </x:c>
      <x:c r="N1312" s="4" t="n">
        <x:v>95</x:v>
      </x:c>
      <x:c r="O1312" s="4" t="n">
        <x:v>0</x:v>
      </x:c>
      <x:c r="P1312" s="1" t="str">
        <x:v>PASS</x:v>
      </x:c>
      <x:c r="Q1312" s="4" t="n">
        <x:v>0</x:v>
      </x:c>
      <x:c r="R1312" s="1" t="str">
        <x:v>PASS</x:v>
      </x:c>
      <x:c r="S1312" s="4" t="n">
        <x:v>0</x:v>
      </x:c>
      <x:c r="T1312" s="1" t="str">
        <x:v>NOT_REVEALING</x:v>
      </x:c>
      <x:c r="U1312" s="1" t="str">
        <x:v>JacksonDatabind_66</x:v>
      </x:c>
      <x:c r="V1312" s="6" t="n">
        <x:v>59.51</x:v>
      </x:c>
    </x:row>
    <x:row r="1313" ht="22" customHeight="1">
      <x:c r="A1313" s="1" t="str">
        <x:v>Round2</x:v>
      </x:c>
      <x:c r="B1313" s="1" t="str">
        <x:v>JacksonDatabind</x:v>
      </x:c>
      <x:c r="C1313" s="4" t="n">
        <x:v>67</x:v>
      </x:c>
      <x:c r="D1313" s="4" t="n">
        <x:v>20260928</x:v>
      </x:c>
      <x:c r="E1313" s="4" t="n">
        <x:v>60</x:v>
      </x:c>
      <x:c r="F1313" s="4" t="n">
        <x:v>4</x:v>
      </x:c>
      <x:c r="G1313" s="5" t="n">
        <x:v>0.0149</x:v>
      </x:c>
      <x:c r="H1313" s="5" t="n">
        <x:v>0.0265</x:v>
      </x:c>
      <x:c r="I1313" s="5" t="n">
        <x:v>0</x:v>
      </x:c>
      <x:c r="J1313" s="4" t="n">
        <x:v>1405</x:v>
      </x:c>
      <x:c r="K1313" s="4" t="n">
        <x:v>21</x:v>
      </x:c>
      <x:c r="L1313" s="4" t="n">
        <x:v>793</x:v>
      </x:c>
      <x:c r="M1313" s="4" t="n">
        <x:v>21</x:v>
      </x:c>
      <x:c r="N1313" s="4" t="n">
        <x:v>612</x:v>
      </x:c>
      <x:c r="O1313" s="4" t="n">
        <x:v>0</x:v>
      </x:c>
      <x:c r="P1313" s="1" t="str">
        <x:v>PASS</x:v>
      </x:c>
      <x:c r="Q1313" s="4" t="n">
        <x:v>0</x:v>
      </x:c>
      <x:c r="R1313" s="1" t="str">
        <x:v>PASS</x:v>
      </x:c>
      <x:c r="S1313" s="4" t="n">
        <x:v>0</x:v>
      </x:c>
      <x:c r="T1313" s="1" t="str">
        <x:v>NOT_REVEALING</x:v>
      </x:c>
      <x:c r="U1313" s="1" t="str">
        <x:v>JacksonDatabind_67</x:v>
      </x:c>
      <x:c r="V1313" s="6" t="n">
        <x:v>60.12</x:v>
      </x:c>
    </x:row>
    <x:row r="1314" ht="22" customHeight="1">
      <x:c r="A1314" s="1" t="str">
        <x:v>Round2</x:v>
      </x:c>
      <x:c r="B1314" s="1" t="str">
        <x:v>JacksonDatabind</x:v>
      </x:c>
      <x:c r="C1314" s="4" t="n">
        <x:v>68</x:v>
      </x:c>
      <x:c r="D1314" s="4" t="n">
        <x:v>20260928</x:v>
      </x:c>
      <x:c r="E1314" s="4" t="n">
        <x:v>60</x:v>
      </x:c>
      <x:c r="F1314" s="4" t="n">
        <x:v>2</x:v>
      </x:c>
      <x:c r="G1314" s="5" t="n">
        <x:v>0.001</x:v>
      </x:c>
      <x:c r="H1314" s="5" t="n">
        <x:v>0.0017000000000000001</x:v>
      </x:c>
      <x:c r="I1314" s="5" t="n">
        <x:v>0</x:v>
      </x:c>
      <x:c r="J1314" s="4" t="n">
        <x:v>961</x:v>
      </x:c>
      <x:c r="K1314" s="4" t="n">
        <x:v>1</x:v>
      </x:c>
      <x:c r="L1314" s="4" t="n">
        <x:v>592</x:v>
      </x:c>
      <x:c r="M1314" s="4" t="n">
        <x:v>1</x:v>
      </x:c>
      <x:c r="N1314" s="4" t="n">
        <x:v>369</x:v>
      </x:c>
      <x:c r="O1314" s="4" t="n">
        <x:v>0</x:v>
      </x:c>
      <x:c r="P1314" s="1" t="str">
        <x:v>PASS</x:v>
      </x:c>
      <x:c r="Q1314" s="4" t="n">
        <x:v>0</x:v>
      </x:c>
      <x:c r="R1314" s="1" t="str">
        <x:v>PASS</x:v>
      </x:c>
      <x:c r="S1314" s="4" t="n">
        <x:v>0</x:v>
      </x:c>
      <x:c r="T1314" s="1" t="str">
        <x:v>NOT_REVEALING</x:v>
      </x:c>
      <x:c r="U1314" s="1" t="str">
        <x:v>JacksonDatabind_68</x:v>
      </x:c>
      <x:c r="V1314" s="6" t="n">
        <x:v>63</x:v>
      </x:c>
    </x:row>
    <x:row r="1315" ht="22" customHeight="1">
      <x:c r="A1315" s="1" t="str">
        <x:v>Round2</x:v>
      </x:c>
      <x:c r="B1315" s="1" t="str">
        <x:v>JacksonDatabind</x:v>
      </x:c>
      <x:c r="C1315" s="4" t="n">
        <x:v>69</x:v>
      </x:c>
      <x:c r="D1315" s="4" t="n">
        <x:v>20260928</x:v>
      </x:c>
      <x:c r="E1315" s="4" t="n">
        <x:v>60</x:v>
      </x:c>
      <x:c r="F1315" s="4" t="n">
        <x:v>4164</x:v>
      </x:c>
      <x:c r="G1315" s="5" t="n">
        <x:v>0.09949999999999999</x:v>
      </x:c>
      <x:c r="H1315" s="5" t="n">
        <x:v>0.11019999999999999</x:v>
      </x:c>
      <x:c r="I1315" s="5" t="n">
        <x:v>0.08109999999999999</x:v>
      </x:c>
      <x:c r="J1315" s="4" t="n">
        <x:v>201</x:v>
      </x:c>
      <x:c r="K1315" s="4" t="n">
        <x:v>20</x:v>
      </x:c>
      <x:c r="L1315" s="4" t="n">
        <x:v>127</x:v>
      </x:c>
      <x:c r="M1315" s="4" t="n">
        <x:v>14</x:v>
      </x:c>
      <x:c r="N1315" s="4" t="n">
        <x:v>74</x:v>
      </x:c>
      <x:c r="O1315" s="4" t="n">
        <x:v>6</x:v>
      </x:c>
      <x:c r="P1315" s="1" t="str">
        <x:v>PASS</x:v>
      </x:c>
      <x:c r="Q1315" s="4" t="n">
        <x:v>0</x:v>
      </x:c>
      <x:c r="R1315" s="1" t="str">
        <x:v>PASS</x:v>
      </x:c>
      <x:c r="S1315" s="4" t="n">
        <x:v>0</x:v>
      </x:c>
      <x:c r="T1315" s="1" t="str">
        <x:v>NOT_REVEALING</x:v>
      </x:c>
      <x:c r="U1315" s="1" t="str">
        <x:v>JacksonDatabind_69</x:v>
      </x:c>
      <x:c r="V1315" s="6" t="n">
        <x:v>78.58</x:v>
      </x:c>
    </x:row>
    <x:row r="1316" ht="22" customHeight="1">
      <x:c r="A1316" s="1" t="str">
        <x:v>Round2</x:v>
      </x:c>
      <x:c r="B1316" s="1" t="str">
        <x:v>JacksonDatabind</x:v>
      </x:c>
      <x:c r="C1316" s="4" t="n">
        <x:v>70</x:v>
      </x:c>
      <x:c r="D1316" s="4" t="n">
        <x:v>20260928</x:v>
      </x:c>
      <x:c r="E1316" s="4" t="n">
        <x:v>60</x:v>
      </x:c>
      <x:c r="F1316" s="4" t="n">
        <x:v>2303</x:v>
      </x:c>
      <x:c r="G1316" s="5" t="n">
        <x:v>0.3159</x:v>
      </x:c>
      <x:c r="H1316" s="5" t="n">
        <x:v>0.36729999999999996</x:v>
      </x:c>
      <x:c r="I1316" s="5" t="n">
        <x:v>0.23190000000000002</x:v>
      </x:c>
      <x:c r="J1316" s="4" t="n">
        <x:v>364</x:v>
      </x:c>
      <x:c r="K1316" s="4" t="n">
        <x:v>115</x:v>
      </x:c>
      <x:c r="L1316" s="4" t="n">
        <x:v>226</x:v>
      </x:c>
      <x:c r="M1316" s="4" t="n">
        <x:v>83</x:v>
      </x:c>
      <x:c r="N1316" s="4" t="n">
        <x:v>138</x:v>
      </x:c>
      <x:c r="O1316" s="4" t="n">
        <x:v>32</x:v>
      </x:c>
      <x:c r="P1316" s="1" t="str">
        <x:v>PASS</x:v>
      </x:c>
      <x:c r="Q1316" s="4" t="n">
        <x:v>0</x:v>
      </x:c>
      <x:c r="R1316" s="1" t="str">
        <x:v>PASS</x:v>
      </x:c>
      <x:c r="S1316" s="4" t="n">
        <x:v>0</x:v>
      </x:c>
      <x:c r="T1316" s="1" t="str">
        <x:v>NOT_REVEALING</x:v>
      </x:c>
      <x:c r="U1316" s="1" t="str">
        <x:v>JacksonDatabind_70</x:v>
      </x:c>
      <x:c r="V1316" s="6" t="n">
        <x:v>95.99</x:v>
      </x:c>
    </x:row>
    <x:row r="1317" ht="22" customHeight="1">
      <x:c r="A1317" s="1" t="str">
        <x:v>Round2</x:v>
      </x:c>
      <x:c r="B1317" s="1" t="str">
        <x:v>JacksonDatabind</x:v>
      </x:c>
      <x:c r="C1317" s="4" t="n">
        <x:v>71</x:v>
      </x:c>
      <x:c r="D1317" s="4" t="n">
        <x:v>20260928</x:v>
      </x:c>
      <x:c r="E1317" s="4" t="n">
        <x:v>60</x:v>
      </x:c>
      <x:c r="F1317" s="4" t="n">
        <x:v>19</x:v>
      </x:c>
      <x:c r="G1317" s="5" t="n">
        <x:v>0.008199999999999999</x:v>
      </x:c>
      <x:c r="H1317" s="5" t="n">
        <x:v>0.0134</x:v>
      </x:c>
      <x:c r="I1317" s="5" t="n">
        <x:v>0</x:v>
      </x:c>
      <x:c r="J1317" s="4" t="n">
        <x:v>244</x:v>
      </x:c>
      <x:c r="K1317" s="4" t="n">
        <x:v>2</x:v>
      </x:c>
      <x:c r="L1317" s="4" t="n">
        <x:v>149</x:v>
      </x:c>
      <x:c r="M1317" s="4" t="n">
        <x:v>2</x:v>
      </x:c>
      <x:c r="N1317" s="4" t="n">
        <x:v>95</x:v>
      </x:c>
      <x:c r="O1317" s="4" t="n">
        <x:v>0</x:v>
      </x:c>
      <x:c r="P1317" s="1" t="str">
        <x:v>PASS</x:v>
      </x:c>
      <x:c r="Q1317" s="4" t="n">
        <x:v>0</x:v>
      </x:c>
      <x:c r="R1317" s="1" t="str">
        <x:v>PASS</x:v>
      </x:c>
      <x:c r="S1317" s="4" t="n">
        <x:v>0</x:v>
      </x:c>
      <x:c r="T1317" s="1" t="str">
        <x:v>NOT_REVEALING</x:v>
      </x:c>
      <x:c r="U1317" s="1" t="str">
        <x:v>JacksonDatabind_71</x:v>
      </x:c>
      <x:c r="V1317" s="6" t="n">
        <x:v>62.95</x:v>
      </x:c>
    </x:row>
    <x:row r="1318" ht="22" customHeight="1">
      <x:c r="A1318" s="1" t="str">
        <x:v>Round2</x:v>
      </x:c>
      <x:c r="B1318" s="1" t="str">
        <x:v>JacksonDatabind</x:v>
      </x:c>
      <x:c r="C1318" s="4" t="n">
        <x:v>72</x:v>
      </x:c>
      <x:c r="D1318" s="4" t="n">
        <x:v>20260928</x:v>
      </x:c>
      <x:c r="E1318" s="4" t="n">
        <x:v>60</x:v>
      </x:c>
      <x:c r="F1318" s="4" t="n">
        <x:v>5</x:v>
      </x:c>
      <x:c r="G1318" s="5" t="n">
        <x:v>0.0351</x:v>
      </x:c>
      <x:c r="H1318" s="5" t="n">
        <x:v>0.0426</x:v>
      </x:c>
      <x:c r="I1318" s="5" t="n">
        <x:v>0</x:v>
      </x:c>
      <x:c r="J1318" s="4" t="n">
        <x:v>57</x:v>
      </x:c>
      <x:c r="K1318" s="4" t="n">
        <x:v>2</x:v>
      </x:c>
      <x:c r="L1318" s="4" t="n">
        <x:v>47</x:v>
      </x:c>
      <x:c r="M1318" s="4" t="n">
        <x:v>2</x:v>
      </x:c>
      <x:c r="N1318" s="4" t="n">
        <x:v>10</x:v>
      </x:c>
      <x:c r="O1318" s="4" t="n">
        <x:v>0</x:v>
      </x:c>
      <x:c r="P1318" s="1" t="str">
        <x:v>PASS</x:v>
      </x:c>
      <x:c r="Q1318" s="4" t="n">
        <x:v>0</x:v>
      </x:c>
      <x:c r="R1318" s="1" t="str">
        <x:v>PASS</x:v>
      </x:c>
      <x:c r="S1318" s="4" t="n">
        <x:v>0</x:v>
      </x:c>
      <x:c r="T1318" s="1" t="str">
        <x:v>NOT_REVEALING</x:v>
      </x:c>
      <x:c r="U1318" s="1" t="str">
        <x:v>JacksonDatabind_72</x:v>
      </x:c>
      <x:c r="V1318" s="6" t="n">
        <x:v>57.62</x:v>
      </x:c>
    </x:row>
    <x:row r="1319" ht="22" customHeight="1">
      <x:c r="A1319" s="1" t="str">
        <x:v>Round2</x:v>
      </x:c>
      <x:c r="B1319" s="1" t="str">
        <x:v>JacksonDatabind</x:v>
      </x:c>
      <x:c r="C1319" s="4" t="n">
        <x:v>73</x:v>
      </x:c>
      <x:c r="D1319" s="4" t="n">
        <x:v>20260928</x:v>
      </x:c>
      <x:c r="E1319" s="4" t="n">
        <x:v>60</x:v>
      </x:c>
      <x:c r="F1319" s="4" t="n">
        <x:v>2542</x:v>
      </x:c>
      <x:c r="G1319" s="5" t="n">
        <x:v>0.046799999999999994</x:v>
      </x:c>
      <x:c r="H1319" s="5" t="n">
        <x:v>0.048499999999999995</x:v>
      </x:c>
      <x:c r="I1319" s="5" t="n">
        <x:v>0.0447</x:v>
      </x:c>
      <x:c r="J1319" s="4" t="n">
        <x:v>1644</x:v>
      </x:c>
      <x:c r="K1319" s="4" t="n">
        <x:v>77</x:v>
      </x:c>
      <x:c r="L1319" s="4" t="n">
        <x:v>928</x:v>
      </x:c>
      <x:c r="M1319" s="4" t="n">
        <x:v>45</x:v>
      </x:c>
      <x:c r="N1319" s="4" t="n">
        <x:v>716</x:v>
      </x:c>
      <x:c r="O1319" s="4" t="n">
        <x:v>32</x:v>
      </x:c>
      <x:c r="P1319" s="1" t="str">
        <x:v>PASS</x:v>
      </x:c>
      <x:c r="Q1319" s="4" t="n">
        <x:v>0</x:v>
      </x:c>
      <x:c r="R1319" s="1" t="str">
        <x:v>PASS</x:v>
      </x:c>
      <x:c r="S1319" s="4" t="n">
        <x:v>0</x:v>
      </x:c>
      <x:c r="T1319" s="1" t="str">
        <x:v>NOT_REVEALING</x:v>
      </x:c>
      <x:c r="U1319" s="1" t="str">
        <x:v>JacksonDatabind_73</x:v>
      </x:c>
      <x:c r="V1319" s="6" t="n">
        <x:v>102.06</x:v>
      </x:c>
    </x:row>
    <x:row r="1320" ht="22" customHeight="1">
      <x:c r="A1320" s="1" t="str">
        <x:v>Round2</x:v>
      </x:c>
      <x:c r="B1320" s="1" t="str">
        <x:v>JacksonDatabind</x:v>
      </x:c>
      <x:c r="C1320" s="4" t="n">
        <x:v>74</x:v>
      </x:c>
      <x:c r="D1320" s="4" t="n">
        <x:v>20260928</x:v>
      </x:c>
      <x:c r="E1320" s="4" t="n">
        <x:v>60</x:v>
      </x:c>
      <x:c r="F1320" s="4" t="n">
        <x:v>3928</x:v>
      </x:c>
      <x:c r="G1320" s="5" t="n">
        <x:v>0.163</x:v>
      </x:c>
      <x:c r="H1320" s="5" t="n">
        <x:v>0.23329999999999998</x:v>
      </x:c>
      <x:c r="I1320" s="5" t="n">
        <x:v>0.031200000000000002</x:v>
      </x:c>
      <x:c r="J1320" s="4" t="n">
        <x:v>92</x:v>
      </x:c>
      <x:c r="K1320" s="4" t="n">
        <x:v>15</x:v>
      </x:c>
      <x:c r="L1320" s="4" t="n">
        <x:v>60</x:v>
      </x:c>
      <x:c r="M1320" s="4" t="n">
        <x:v>14</x:v>
      </x:c>
      <x:c r="N1320" s="4" t="n">
        <x:v>32</x:v>
      </x:c>
      <x:c r="O1320" s="4" t="n">
        <x:v>1</x:v>
      </x:c>
      <x:c r="P1320" s="1" t="str">
        <x:v>PASS</x:v>
      </x:c>
      <x:c r="Q1320" s="4" t="n">
        <x:v>0</x:v>
      </x:c>
      <x:c r="R1320" s="1" t="str">
        <x:v>PASS</x:v>
      </x:c>
      <x:c r="S1320" s="4" t="n">
        <x:v>0</x:v>
      </x:c>
      <x:c r="T1320" s="1" t="str">
        <x:v>NOT_REVEALING</x:v>
      </x:c>
      <x:c r="U1320" s="1" t="str">
        <x:v>JacksonDatabind_74</x:v>
      </x:c>
      <x:c r="V1320" s="6" t="n">
        <x:v>95.62</x:v>
      </x:c>
    </x:row>
    <x:row r="1321" ht="22" customHeight="1">
      <x:c r="A1321" s="1" t="str">
        <x:v>Round2</x:v>
      </x:c>
      <x:c r="B1321" s="1" t="str">
        <x:v>JacksonDatabind</x:v>
      </x:c>
      <x:c r="C1321" s="4" t="n">
        <x:v>75</x:v>
      </x:c>
      <x:c r="D1321" s="4" t="n">
        <x:v>20260928</x:v>
      </x:c>
      <x:c r="E1321" s="4" t="n">
        <x:v>60</x:v>
      </x:c>
      <x:c r="F1321" s="4" t="n">
        <x:v>4</x:v>
      </x:c>
      <x:c r="G1321" s="5" t="n">
        <x:v>0.0168</x:v>
      </x:c>
      <x:c r="H1321" s="5" t="n">
        <x:v>0.028999999999999998</x:v>
      </x:c>
      <x:c r="I1321" s="5" t="n">
        <x:v>0</x:v>
      </x:c>
      <x:c r="J1321" s="4" t="n">
        <x:v>119</x:v>
      </x:c>
      <x:c r="K1321" s="4" t="n">
        <x:v>2</x:v>
      </x:c>
      <x:c r="L1321" s="4" t="n">
        <x:v>69</x:v>
      </x:c>
      <x:c r="M1321" s="4" t="n">
        <x:v>2</x:v>
      </x:c>
      <x:c r="N1321" s="4" t="n">
        <x:v>50</x:v>
      </x:c>
      <x:c r="O1321" s="4" t="n">
        <x:v>0</x:v>
      </x:c>
      <x:c r="P1321" s="1" t="str">
        <x:v>PASS</x:v>
      </x:c>
      <x:c r="Q1321" s="4" t="n">
        <x:v>0</x:v>
      </x:c>
      <x:c r="R1321" s="1" t="str">
        <x:v>PASS</x:v>
      </x:c>
      <x:c r="S1321" s="4" t="n">
        <x:v>0</x:v>
      </x:c>
      <x:c r="T1321" s="1" t="str">
        <x:v>NOT_REVEALING</x:v>
      </x:c>
      <x:c r="U1321" s="1" t="str">
        <x:v>JacksonDatabind_75</x:v>
      </x:c>
      <x:c r="V1321" s="6" t="n">
        <x:v>61.19</x:v>
      </x:c>
    </x:row>
    <x:row r="1322" ht="22" customHeight="1">
      <x:c r="A1322" s="1" t="str">
        <x:v>Round2</x:v>
      </x:c>
      <x:c r="B1322" s="1" t="str">
        <x:v>JacksonDatabind</x:v>
      </x:c>
      <x:c r="C1322" s="4" t="n">
        <x:v>76</x:v>
      </x:c>
      <x:c r="D1322" s="4" t="n">
        <x:v>20260928</x:v>
      </x:c>
      <x:c r="E1322" s="4" t="n">
        <x:v>60</x:v>
      </x:c>
      <x:c r="F1322" s="4" t="n">
        <x:v>42</x:v>
      </x:c>
      <x:c r="G1322" s="5" t="n">
        <x:v>0.0143</x:v>
      </x:c>
      <x:c r="H1322" s="5" t="n">
        <x:v>0.0219</x:v>
      </x:c>
      <x:c r="I1322" s="5" t="n">
        <x:v>0</x:v>
      </x:c>
      <x:c r="J1322" s="4" t="n">
        <x:v>488</x:v>
      </x:c>
      <x:c r="K1322" s="4" t="n">
        <x:v>7</x:v>
      </x:c>
      <x:c r="L1322" s="4" t="n">
        <x:v>320</x:v>
      </x:c>
      <x:c r="M1322" s="4" t="n">
        <x:v>7</x:v>
      </x:c>
      <x:c r="N1322" s="4" t="n">
        <x:v>168</x:v>
      </x:c>
      <x:c r="O1322" s="4" t="n">
        <x:v>0</x:v>
      </x:c>
      <x:c r="P1322" s="1" t="str">
        <x:v>PASS</x:v>
      </x:c>
      <x:c r="Q1322" s="4" t="n">
        <x:v>0</x:v>
      </x:c>
      <x:c r="R1322" s="1" t="str">
        <x:v>PASS</x:v>
      </x:c>
      <x:c r="S1322" s="4" t="n">
        <x:v>0</x:v>
      </x:c>
      <x:c r="T1322" s="1" t="str">
        <x:v>NOT_REVEALING</x:v>
      </x:c>
      <x:c r="U1322" s="1" t="str">
        <x:v>JacksonDatabind_76</x:v>
      </x:c>
      <x:c r="V1322" s="6" t="n">
        <x:v>60.26</x:v>
      </x:c>
    </x:row>
    <x:row r="1323" ht="22" customHeight="1">
      <x:c r="A1323" s="1" t="str">
        <x:v>Round2</x:v>
      </x:c>
      <x:c r="B1323" s="1" t="str">
        <x:v>JacksonDatabind</x:v>
      </x:c>
      <x:c r="C1323" s="4" t="n">
        <x:v>77</x:v>
      </x:c>
      <x:c r="D1323" s="4" t="n">
        <x:v>20260928</x:v>
      </x:c>
      <x:c r="E1323" s="4" t="n">
        <x:v>60</x:v>
      </x:c>
      <x:c r="F1323" s="4" t="n">
        <x:v>2845</x:v>
      </x:c>
      <x:c r="G1323" s="5" t="n">
        <x:v>0.0665</x:v>
      </x:c>
      <x:c r="H1323" s="5" t="n">
        <x:v>0.0926</x:v>
      </x:c>
      <x:c r="I1323" s="5" t="n">
        <x:v>0.0248</x:v>
      </x:c>
      <x:c r="J1323" s="4" t="n">
        <x:v>526</x:v>
      </x:c>
      <x:c r="K1323" s="4" t="n">
        <x:v>35</x:v>
      </x:c>
      <x:c r="L1323" s="4" t="n">
        <x:v>324</x:v>
      </x:c>
      <x:c r="M1323" s="4" t="n">
        <x:v>30</x:v>
      </x:c>
      <x:c r="N1323" s="4" t="n">
        <x:v>202</x:v>
      </x:c>
      <x:c r="O1323" s="4" t="n">
        <x:v>5</x:v>
      </x:c>
      <x:c r="P1323" s="1" t="str">
        <x:v>PASS</x:v>
      </x:c>
      <x:c r="Q1323" s="4" t="n">
        <x:v>0</x:v>
      </x:c>
      <x:c r="R1323" s="1" t="str">
        <x:v>PASS</x:v>
      </x:c>
      <x:c r="S1323" s="4" t="n">
        <x:v>0</x:v>
      </x:c>
      <x:c r="T1323" s="1" t="str">
        <x:v>NOT_REVEALING</x:v>
      </x:c>
      <x:c r="U1323" s="1" t="str">
        <x:v>JacksonDatabind_77</x:v>
      </x:c>
      <x:c r="V1323" s="6" t="n">
        <x:v>105.64</x:v>
      </x:c>
    </x:row>
    <x:row r="1324" ht="22" customHeight="1">
      <x:c r="A1324" s="1" t="str">
        <x:v>Round2</x:v>
      </x:c>
      <x:c r="B1324" s="1" t="str">
        <x:v>JacksonDatabind</x:v>
      </x:c>
      <x:c r="C1324" s="4" t="n">
        <x:v>78</x:v>
      </x:c>
      <x:c r="D1324" s="4" t="n">
        <x:v>20260928</x:v>
      </x:c>
      <x:c r="E1324" s="4" t="n">
        <x:v>60</x:v>
      </x:c>
      <x:c r="F1324" s="4" t="n">
        <x:v>2909</x:v>
      </x:c>
      <x:c r="G1324" s="5" t="n">
        <x:v>0.0712</x:v>
      </x:c>
      <x:c r="H1324" s="5" t="n">
        <x:v>0.0947</x:v>
      </x:c>
      <x:c r="I1324" s="5" t="n">
        <x:v>0.0333</x:v>
      </x:c>
      <x:c r="J1324" s="4" t="n">
        <x:v>548</x:v>
      </x:c>
      <x:c r="K1324" s="4" t="n">
        <x:v>39</x:v>
      </x:c>
      <x:c r="L1324" s="4" t="n">
        <x:v>338</x:v>
      </x:c>
      <x:c r="M1324" s="4" t="n">
        <x:v>32</x:v>
      </x:c>
      <x:c r="N1324" s="4" t="n">
        <x:v>210</x:v>
      </x:c>
      <x:c r="O1324" s="4" t="n">
        <x:v>7</x:v>
      </x:c>
      <x:c r="P1324" s="1" t="str">
        <x:v>PASS</x:v>
      </x:c>
      <x:c r="Q1324" s="4" t="n">
        <x:v>0</x:v>
      </x:c>
      <x:c r="R1324" s="1" t="str">
        <x:v>PASS</x:v>
      </x:c>
      <x:c r="S1324" s="4" t="n">
        <x:v>0</x:v>
      </x:c>
      <x:c r="T1324" s="1" t="str">
        <x:v>NOT_REVEALING</x:v>
      </x:c>
      <x:c r="U1324" s="1" t="str">
        <x:v>JacksonDatabind_78</x:v>
      </x:c>
      <x:c r="V1324" s="6" t="n">
        <x:v>108.92</x:v>
      </x:c>
    </x:row>
    <x:row r="1325" ht="22" customHeight="1">
      <x:c r="A1325" s="1" t="str">
        <x:v>Round2</x:v>
      </x:c>
      <x:c r="B1325" s="1" t="str">
        <x:v>JacksonDatabind</x:v>
      </x:c>
      <x:c r="C1325" s="4" t="n">
        <x:v>79</x:v>
      </x:c>
      <x:c r="D1325" s="4" t="n">
        <x:v>20260928</x:v>
      </x:c>
      <x:c r="E1325" s="4" t="n">
        <x:v>60</x:v>
      </x:c>
      <x:c r="F1325" s="4" t="n">
        <x:v>475</x:v>
      </x:c>
      <x:c r="G1325" s="5" t="n">
        <x:v>0.07139999999999999</x:v>
      </x:c>
      <x:c r="H1325" s="5" t="n">
        <x:v>0.10980000000000001</x:v>
      </x:c>
      <x:c r="I1325" s="5" t="n">
        <x:v>0.0143</x:v>
      </x:c>
      <x:c r="J1325" s="4" t="n">
        <x:v>1387</x:v>
      </x:c>
      <x:c r="K1325" s="4" t="n">
        <x:v>99</x:v>
      </x:c>
      <x:c r="L1325" s="4" t="n">
        <x:v>829</x:v>
      </x:c>
      <x:c r="M1325" s="4" t="n">
        <x:v>91</x:v>
      </x:c>
      <x:c r="N1325" s="4" t="n">
        <x:v>558</x:v>
      </x:c>
      <x:c r="O1325" s="4" t="n">
        <x:v>8</x:v>
      </x:c>
      <x:c r="P1325" s="1" t="str">
        <x:v>PASS</x:v>
      </x:c>
      <x:c r="Q1325" s="4" t="n">
        <x:v>0</x:v>
      </x:c>
      <x:c r="R1325" s="1" t="str">
        <x:v>PASS</x:v>
      </x:c>
      <x:c r="S1325" s="4" t="n">
        <x:v>0</x:v>
      </x:c>
      <x:c r="T1325" s="1" t="str">
        <x:v>NOT_REVEALING</x:v>
      </x:c>
      <x:c r="U1325" s="1" t="str">
        <x:v>JacksonDatabind_79</x:v>
      </x:c>
      <x:c r="V1325" s="6" t="n">
        <x:v>65.62</x:v>
      </x:c>
    </x:row>
    <x:row r="1326" ht="22" customHeight="1">
      <x:c r="A1326" s="1" t="str">
        <x:v>Round2</x:v>
      </x:c>
      <x:c r="B1326" s="1" t="str">
        <x:v>JacksonDatabind</x:v>
      </x:c>
      <x:c r="C1326" s="4" t="n">
        <x:v>80</x:v>
      </x:c>
      <x:c r="D1326" s="4" t="n">
        <x:v>20260928</x:v>
      </x:c>
      <x:c r="E1326" s="4" t="n">
        <x:v>60</x:v>
      </x:c>
      <x:c r="F1326" s="4" t="n">
        <x:v>1640</x:v>
      </x:c>
      <x:c r="G1326" s="5" t="n">
        <x:v>0.0842</x:v>
      </x:c>
      <x:c r="H1326" s="5" t="n">
        <x:v>0.08869999999999999</x:v>
      </x:c>
      <x:c r="I1326" s="5" t="n">
        <x:v>0.07690000000000001</x:v>
      </x:c>
      <x:c r="J1326" s="4" t="n">
        <x:v>202</x:v>
      </x:c>
      <x:c r="K1326" s="4" t="n">
        <x:v>17</x:v>
      </x:c>
      <x:c r="L1326" s="4" t="n">
        <x:v>124</x:v>
      </x:c>
      <x:c r="M1326" s="4" t="n">
        <x:v>11</x:v>
      </x:c>
      <x:c r="N1326" s="4" t="n">
        <x:v>78</x:v>
      </x:c>
      <x:c r="O1326" s="4" t="n">
        <x:v>6</x:v>
      </x:c>
      <x:c r="P1326" s="1" t="str">
        <x:v>PASS</x:v>
      </x:c>
      <x:c r="Q1326" s="4" t="n">
        <x:v>0</x:v>
      </x:c>
      <x:c r="R1326" s="1" t="str">
        <x:v>PASS</x:v>
      </x:c>
      <x:c r="S1326" s="4" t="n">
        <x:v>0</x:v>
      </x:c>
      <x:c r="T1326" s="1" t="str">
        <x:v>NOT_REVEALING</x:v>
      </x:c>
      <x:c r="U1326" s="1" t="str">
        <x:v>JacksonDatabind_80</x:v>
      </x:c>
      <x:c r="V1326" s="6" t="n">
        <x:v>103.12</x:v>
      </x:c>
    </x:row>
    <x:row r="1327" ht="22" customHeight="1">
      <x:c r="A1327" s="1" t="str">
        <x:v>Round2</x:v>
      </x:c>
      <x:c r="B1327" s="1" t="str">
        <x:v>JacksonDatabind</x:v>
      </x:c>
      <x:c r="C1327" s="4" t="n">
        <x:v>81</x:v>
      </x:c>
      <x:c r="D1327" s="4" t="n">
        <x:v>20260928</x:v>
      </x:c>
      <x:c r="E1327" s="4" t="n">
        <x:v>60</x:v>
      </x:c>
      <x:c r="F1327" s="4" t="n">
        <x:v>3379</x:v>
      </x:c>
      <x:c r="G1327" s="5" t="n">
        <x:v>0.1081</x:v>
      </x:c>
      <x:c r="H1327" s="5" t="n">
        <x:v>0.1673</x:v>
      </x:c>
      <x:c r="I1327" s="5" t="n">
        <x:v>0.0219</x:v>
      </x:c>
      <x:c r="J1327" s="4" t="n">
        <x:v>897</x:v>
      </x:c>
      <x:c r="K1327" s="4" t="n">
        <x:v>97</x:v>
      </x:c>
      <x:c r="L1327" s="4" t="n">
        <x:v>532</x:v>
      </x:c>
      <x:c r="M1327" s="4" t="n">
        <x:v>89</x:v>
      </x:c>
      <x:c r="N1327" s="4" t="n">
        <x:v>365</x:v>
      </x:c>
      <x:c r="O1327" s="4" t="n">
        <x:v>8</x:v>
      </x:c>
      <x:c r="P1327" s="1" t="str">
        <x:v>PASS</x:v>
      </x:c>
      <x:c r="Q1327" s="4" t="n">
        <x:v>0</x:v>
      </x:c>
      <x:c r="R1327" s="1" t="str">
        <x:v>PASS</x:v>
      </x:c>
      <x:c r="S1327" s="4" t="n">
        <x:v>0</x:v>
      </x:c>
      <x:c r="T1327" s="1" t="str">
        <x:v>NOT_REVEALING</x:v>
      </x:c>
      <x:c r="U1327" s="1" t="str">
        <x:v>JacksonDatabind_81</x:v>
      </x:c>
      <x:c r="V1327" s="6" t="n">
        <x:v>86.57</x:v>
      </x:c>
    </x:row>
    <x:row r="1328" ht="22" customHeight="1">
      <x:c r="A1328" s="1" t="str">
        <x:v>Round2</x:v>
      </x:c>
      <x:c r="B1328" s="1" t="str">
        <x:v>JacksonDatabind</x:v>
      </x:c>
      <x:c r="C1328" s="4" t="n">
        <x:v>82</x:v>
      </x:c>
      <x:c r="D1328" s="4" t="n">
        <x:v>20260928</x:v>
      </x:c>
      <x:c r="E1328" s="4" t="n">
        <x:v>60</x:v>
      </x:c>
      <x:c r="F1328" s="4" t="n">
        <x:v>2834</x:v>
      </x:c>
      <x:c r="G1328" s="5" t="n">
        <x:v>0.0917</x:v>
      </x:c>
      <x:c r="H1328" s="5" t="n">
        <x:v>0.1268</x:v>
      </x:c>
      <x:c r="I1328" s="5" t="n">
        <x:v>0.033</x:v>
      </x:c>
      <x:c r="J1328" s="4" t="n">
        <x:v>567</x:v>
      </x:c>
      <x:c r="K1328" s="4" t="n">
        <x:v>52</x:v>
      </x:c>
      <x:c r="L1328" s="4" t="n">
        <x:v>355</x:v>
      </x:c>
      <x:c r="M1328" s="4" t="n">
        <x:v>45</x:v>
      </x:c>
      <x:c r="N1328" s="4" t="n">
        <x:v>212</x:v>
      </x:c>
      <x:c r="O1328" s="4" t="n">
        <x:v>7</x:v>
      </x:c>
      <x:c r="P1328" s="1" t="str">
        <x:v>PASS</x:v>
      </x:c>
      <x:c r="Q1328" s="4" t="n">
        <x:v>0</x:v>
      </x:c>
      <x:c r="R1328" s="1" t="str">
        <x:v>PASS</x:v>
      </x:c>
      <x:c r="S1328" s="4" t="n">
        <x:v>0</x:v>
      </x:c>
      <x:c r="T1328" s="1" t="str">
        <x:v>NOT_REVEALING</x:v>
      </x:c>
      <x:c r="U1328" s="1" t="str">
        <x:v>JacksonDatabind_82</x:v>
      </x:c>
      <x:c r="V1328" s="6" t="n">
        <x:v>98.34</x:v>
      </x:c>
    </x:row>
    <x:row r="1329" ht="22" customHeight="1">
      <x:c r="A1329" s="1" t="str">
        <x:v>Round2</x:v>
      </x:c>
      <x:c r="B1329" s="1" t="str">
        <x:v>JacksonDatabind</x:v>
      </x:c>
      <x:c r="C1329" s="4" t="n">
        <x:v>83</x:v>
      </x:c>
      <x:c r="D1329" s="4" t="n">
        <x:v>20260928</x:v>
      </x:c>
      <x:c r="E1329" s="4" t="n">
        <x:v>60</x:v>
      </x:c>
      <x:c r="F1329" s="4" t="n">
        <x:v>16</x:v>
      </x:c>
      <x:c r="G1329" s="5" t="n">
        <x:v>0.0048</x:v>
      </x:c>
      <x:c r="H1329" s="5" t="n">
        <x:v>0.008199999999999999</x:v>
      </x:c>
      <x:c r="I1329" s="5" t="n">
        <x:v>0</x:v>
      </x:c>
      <x:c r="J1329" s="4" t="n">
        <x:v>210</x:v>
      </x:c>
      <x:c r="K1329" s="4" t="n">
        <x:v>1</x:v>
      </x:c>
      <x:c r="L1329" s="4" t="n">
        <x:v>122</x:v>
      </x:c>
      <x:c r="M1329" s="4" t="n">
        <x:v>1</x:v>
      </x:c>
      <x:c r="N1329" s="4" t="n">
        <x:v>88</x:v>
      </x:c>
      <x:c r="O1329" s="4" t="n">
        <x:v>0</x:v>
      </x:c>
      <x:c r="P1329" s="1" t="str">
        <x:v>PASS</x:v>
      </x:c>
      <x:c r="Q1329" s="4" t="n">
        <x:v>0</x:v>
      </x:c>
      <x:c r="R1329" s="1" t="str">
        <x:v>PASS</x:v>
      </x:c>
      <x:c r="S1329" s="4" t="n">
        <x:v>0</x:v>
      </x:c>
      <x:c r="T1329" s="1" t="str">
        <x:v>NOT_REVEALING</x:v>
      </x:c>
      <x:c r="U1329" s="1" t="str">
        <x:v>JacksonDatabind_83</x:v>
      </x:c>
      <x:c r="V1329" s="6" t="n">
        <x:v>60.1</x:v>
      </x:c>
    </x:row>
    <x:row r="1330" ht="22" customHeight="1">
      <x:c r="A1330" s="1" t="str">
        <x:v>Round2</x:v>
      </x:c>
      <x:c r="B1330" s="1" t="str">
        <x:v>JacksonDatabind</x:v>
      </x:c>
      <x:c r="C1330" s="4" t="n">
        <x:v>84</x:v>
      </x:c>
      <x:c r="D1330" s="4" t="n">
        <x:v>20260928</x:v>
      </x:c>
      <x:c r="E1330" s="4" t="n">
        <x:v>60</x:v>
      </x:c>
      <x:c r="F1330" s="4" t="n">
        <x:v>1</x:v>
      </x:c>
      <x:c r="G1330" s="5" t="n">
        <x:v>0</x:v>
      </x:c>
      <x:c r="H1330" s="5" t="n">
        <x:v>0</x:v>
      </x:c>
      <x:c r="I1330" s="5" t="n">
        <x:v>0</x:v>
      </x:c>
      <x:c r="J1330" s="4" t="n">
        <x:v>44</x:v>
      </x:c>
      <x:c r="K1330" s="4" t="n">
        <x:v>0</x:v>
      </x:c>
      <x:c r="L1330" s="4" t="n">
        <x:v>30</x:v>
      </x:c>
      <x:c r="M1330" s="4" t="n">
        <x:v>0</x:v>
      </x:c>
      <x:c r="N1330" s="4" t="n">
        <x:v>14</x:v>
      </x:c>
      <x:c r="O1330" s="4" t="n">
        <x:v>0</x:v>
      </x:c>
      <x:c r="P1330" s="1" t="str">
        <x:v>PASS</x:v>
      </x:c>
      <x:c r="Q1330" s="4" t="n">
        <x:v>0</x:v>
      </x:c>
      <x:c r="R1330" s="1" t="str">
        <x:v>PASS</x:v>
      </x:c>
      <x:c r="S1330" s="4" t="n">
        <x:v>0</x:v>
      </x:c>
      <x:c r="T1330" s="1" t="str">
        <x:v>NOT_REVEALING</x:v>
      </x:c>
      <x:c r="U1330" s="1" t="str">
        <x:v>JacksonDatabind_84</x:v>
      </x:c>
      <x:c r="V1330" s="6" t="n">
        <x:v>59.36</x:v>
      </x:c>
    </x:row>
    <x:row r="1331" ht="22" customHeight="1">
      <x:c r="A1331" s="1" t="str">
        <x:v>Round2</x:v>
      </x:c>
      <x:c r="B1331" s="1" t="str">
        <x:v>JacksonDatabind</x:v>
      </x:c>
      <x:c r="C1331" s="4" t="n">
        <x:v>85</x:v>
      </x:c>
      <x:c r="D1331" s="4" t="n">
        <x:v>20260928</x:v>
      </x:c>
      <x:c r="E1331" s="4" t="n">
        <x:v>60</x:v>
      </x:c>
      <x:c r="F1331" s="4" t="n">
        <x:v>1</x:v>
      </x:c>
      <x:c r="G1331" s="5" t="n">
        <x:v>0</x:v>
      </x:c>
      <x:c r="H1331" s="5" t="n">
        <x:v>0</x:v>
      </x:c>
      <x:c r="I1331" s="5" t="n">
        <x:v>0</x:v>
      </x:c>
      <x:c r="J1331" s="4" t="n">
        <x:v>81</x:v>
      </x:c>
      <x:c r="K1331" s="4" t="n">
        <x:v>0</x:v>
      </x:c>
      <x:c r="L1331" s="4" t="n">
        <x:v>43</x:v>
      </x:c>
      <x:c r="M1331" s="4" t="n">
        <x:v>0</x:v>
      </x:c>
      <x:c r="N1331" s="4" t="n">
        <x:v>38</x:v>
      </x:c>
      <x:c r="O1331" s="4" t="n">
        <x:v>0</x:v>
      </x:c>
      <x:c r="P1331" s="1" t="str">
        <x:v>PASS</x:v>
      </x:c>
      <x:c r="Q1331" s="4" t="n">
        <x:v>0</x:v>
      </x:c>
      <x:c r="R1331" s="1" t="str">
        <x:v>PASS</x:v>
      </x:c>
      <x:c r="S1331" s="4" t="n">
        <x:v>0</x:v>
      </x:c>
      <x:c r="T1331" s="1" t="str">
        <x:v>NOT_REVEALING</x:v>
      </x:c>
      <x:c r="U1331" s="1" t="str">
        <x:v>JacksonDatabind_85</x:v>
      </x:c>
      <x:c r="V1331" s="6" t="n">
        <x:v>57.92</x:v>
      </x:c>
    </x:row>
    <x:row r="1332" ht="22" customHeight="1">
      <x:c r="A1332" s="1" t="str">
        <x:v>Round2</x:v>
      </x:c>
      <x:c r="B1332" s="1" t="str">
        <x:v>JacksonDatabind</x:v>
      </x:c>
      <x:c r="C1332" s="4" t="n">
        <x:v>86</x:v>
      </x:c>
      <x:c r="D1332" s="4" t="n">
        <x:v>20260928</x:v>
      </x:c>
      <x:c r="E1332" s="4" t="n">
        <x:v>60</x:v>
      </x:c>
      <x:c r="F1332" s="4" t="n">
        <x:v>1</x:v>
      </x:c>
      <x:c r="G1332" s="5" t="n">
        <x:v>0</x:v>
      </x:c>
      <x:c r="H1332" s="5" t="n">
        <x:v>0</x:v>
      </x:c>
      <x:c r="I1332" s="5" t="n">
        <x:v>0</x:v>
      </x:c>
      <x:c r="J1332" s="4" t="n">
        <x:v>44</x:v>
      </x:c>
      <x:c r="K1332" s="4" t="n">
        <x:v>0</x:v>
      </x:c>
      <x:c r="L1332" s="4" t="n">
        <x:v>30</x:v>
      </x:c>
      <x:c r="M1332" s="4" t="n">
        <x:v>0</x:v>
      </x:c>
      <x:c r="N1332" s="4" t="n">
        <x:v>14</x:v>
      </x:c>
      <x:c r="O1332" s="4" t="n">
        <x:v>0</x:v>
      </x:c>
      <x:c r="P1332" s="1" t="str">
        <x:v>PASS</x:v>
      </x:c>
      <x:c r="Q1332" s="4" t="n">
        <x:v>0</x:v>
      </x:c>
      <x:c r="R1332" s="1" t="str">
        <x:v>PASS</x:v>
      </x:c>
      <x:c r="S1332" s="4" t="n">
        <x:v>0</x:v>
      </x:c>
      <x:c r="T1332" s="1" t="str">
        <x:v>NOT_REVEALING</x:v>
      </x:c>
      <x:c r="U1332" s="1" t="str">
        <x:v>JacksonDatabind_86</x:v>
      </x:c>
      <x:c r="V1332" s="6" t="n">
        <x:v>58.17</x:v>
      </x:c>
    </x:row>
    <x:row r="1333" ht="22" customHeight="1">
      <x:c r="A1333" s="1" t="str">
        <x:v>Round2</x:v>
      </x:c>
      <x:c r="B1333" s="1" t="str">
        <x:v>JacksonDatabind</x:v>
      </x:c>
      <x:c r="C1333" s="4" t="n">
        <x:v>87</x:v>
      </x:c>
      <x:c r="D1333" s="4" t="n">
        <x:v>20260928</x:v>
      </x:c>
      <x:c r="E1333" s="4" t="n">
        <x:v>60</x:v>
      </x:c>
      <x:c r="F1333" s="4" t="n">
        <x:v>0</x:v>
      </x:c>
      <x:c r="G1333" s="5"/>
      <x:c r="H1333" s="5"/>
      <x:c r="I1333" s="5"/>
      <x:c r="J1333" s="4" t="n">
        <x:v>0</x:v>
      </x:c>
      <x:c r="K1333" s="4" t="n">
        <x:v>0</x:v>
      </x:c>
      <x:c r="L1333" s="4" t="n">
        <x:v>0</x:v>
      </x:c>
      <x:c r="M1333" s="4" t="n">
        <x:v>0</x:v>
      </x:c>
      <x:c r="N1333" s="4" t="n">
        <x:v>0</x:v>
      </x:c>
      <x:c r="O1333" s="4" t="n">
        <x:v>0</x:v>
      </x:c>
      <x:c r="P1333" s="1" t="str">
        <x:v>NOT_RUN</x:v>
      </x:c>
      <x:c r="Q1333" s="4"/>
      <x:c r="R1333" s="1" t="str">
        <x:v>NOT_RUN</x:v>
      </x:c>
      <x:c r="S1333" s="4"/>
      <x:c r="T1333" s="1" t="str">
        <x:v>FAIL</x:v>
      </x:c>
      <x:c r="U1333" s="1" t="str">
        <x:v>JacksonDatabind_87</x:v>
      </x:c>
      <x:c r="V1333" s="6"/>
    </x:row>
    <x:row r="1334" ht="22" customHeight="1">
      <x:c r="A1334" s="1" t="str">
        <x:v>Round2</x:v>
      </x:c>
      <x:c r="B1334" s="1" t="str">
        <x:v>JacksonDatabind</x:v>
      </x:c>
      <x:c r="C1334" s="4" t="n">
        <x:v>88</x:v>
      </x:c>
      <x:c r="D1334" s="4" t="n">
        <x:v>20260928</x:v>
      </x:c>
      <x:c r="E1334" s="4" t="n">
        <x:v>60</x:v>
      </x:c>
      <x:c r="F1334" s="4" t="n">
        <x:v>312</x:v>
      </x:c>
      <x:c r="G1334" s="5" t="n">
        <x:v>0.2973</x:v>
      </x:c>
      <x:c r="H1334" s="5" t="n">
        <x:v>0.3125</x:v>
      </x:c>
      <x:c r="I1334" s="5" t="n">
        <x:v>0.2692</x:v>
      </x:c>
      <x:c r="J1334" s="4" t="n">
        <x:v>74</x:v>
      </x:c>
      <x:c r="K1334" s="4" t="n">
        <x:v>22</x:v>
      </x:c>
      <x:c r="L1334" s="4" t="n">
        <x:v>48</x:v>
      </x:c>
      <x:c r="M1334" s="4" t="n">
        <x:v>15</x:v>
      </x:c>
      <x:c r="N1334" s="4" t="n">
        <x:v>26</x:v>
      </x:c>
      <x:c r="O1334" s="4" t="n">
        <x:v>7</x:v>
      </x:c>
      <x:c r="P1334" s="1" t="str">
        <x:v>PASS</x:v>
      </x:c>
      <x:c r="Q1334" s="4" t="n">
        <x:v>0</x:v>
      </x:c>
      <x:c r="R1334" s="1" t="str">
        <x:v>PASS</x:v>
      </x:c>
      <x:c r="S1334" s="4" t="n">
        <x:v>0</x:v>
      </x:c>
      <x:c r="T1334" s="1" t="str">
        <x:v>NOT_REVEALING</x:v>
      </x:c>
      <x:c r="U1334" s="1" t="str">
        <x:v>JacksonDatabind_88</x:v>
      </x:c>
      <x:c r="V1334" s="6" t="n">
        <x:v>64.67</x:v>
      </x:c>
    </x:row>
    <x:row r="1335" ht="22" customHeight="1">
      <x:c r="A1335" s="1" t="str">
        <x:v>Round2</x:v>
      </x:c>
      <x:c r="B1335" s="1" t="str">
        <x:v>JacksonDatabind</x:v>
      </x:c>
      <x:c r="C1335" s="4" t="n">
        <x:v>90</x:v>
      </x:c>
      <x:c r="D1335" s="4" t="n">
        <x:v>20260928</x:v>
      </x:c>
      <x:c r="E1335" s="4" t="n">
        <x:v>60</x:v>
      </x:c>
      <x:c r="F1335" s="4" t="n">
        <x:v>2610</x:v>
      </x:c>
      <x:c r="G1335" s="5" t="n">
        <x:v>0.38079999999999997</x:v>
      </x:c>
      <x:c r="H1335" s="5" t="n">
        <x:v>0.4018</x:v>
      </x:c>
      <x:c r="I1335" s="5" t="n">
        <x:v>0.33649999999999997</x:v>
      </x:c>
      <x:c r="J1335" s="4" t="n">
        <x:v>323</x:v>
      </x:c>
      <x:c r="K1335" s="4" t="n">
        <x:v>123</x:v>
      </x:c>
      <x:c r="L1335" s="4" t="n">
        <x:v>219</x:v>
      </x:c>
      <x:c r="M1335" s="4" t="n">
        <x:v>88</x:v>
      </x:c>
      <x:c r="N1335" s="4" t="n">
        <x:v>104</x:v>
      </x:c>
      <x:c r="O1335" s="4" t="n">
        <x:v>35</x:v>
      </x:c>
      <x:c r="P1335" s="1" t="str">
        <x:v>PASS</x:v>
      </x:c>
      <x:c r="Q1335" s="4" t="n">
        <x:v>0</x:v>
      </x:c>
      <x:c r="R1335" s="1" t="str">
        <x:v>PASS</x:v>
      </x:c>
      <x:c r="S1335" s="4" t="n">
        <x:v>0</x:v>
      </x:c>
      <x:c r="T1335" s="1" t="str">
        <x:v>NOT_REVEALING</x:v>
      </x:c>
      <x:c r="U1335" s="1" t="str">
        <x:v>JacksonDatabind_90</x:v>
      </x:c>
      <x:c r="V1335" s="6" t="n">
        <x:v>82.96</x:v>
      </x:c>
    </x:row>
    <x:row r="1336" ht="22" customHeight="1">
      <x:c r="A1336" s="1" t="str">
        <x:v>Round2</x:v>
      </x:c>
      <x:c r="B1336" s="1" t="str">
        <x:v>JacksonDatabind</x:v>
      </x:c>
      <x:c r="C1336" s="4" t="n">
        <x:v>91</x:v>
      </x:c>
      <x:c r="D1336" s="4" t="n">
        <x:v>20260928</x:v>
      </x:c>
      <x:c r="E1336" s="4" t="n">
        <x:v>60</x:v>
      </x:c>
      <x:c r="F1336" s="4" t="n">
        <x:v>5226</x:v>
      </x:c>
      <x:c r="G1336" s="5" t="n">
        <x:v>0.0874</x:v>
      </x:c>
      <x:c r="H1336" s="5" t="n">
        <x:v>0.1463</x:v>
      </x:c>
      <x:c r="I1336" s="5" t="n">
        <x:v>0.008199999999999999</x:v>
      </x:c>
      <x:c r="J1336" s="4" t="n">
        <x:v>286</x:v>
      </x:c>
      <x:c r="K1336" s="4" t="n">
        <x:v>25</x:v>
      </x:c>
      <x:c r="L1336" s="4" t="n">
        <x:v>164</x:v>
      </x:c>
      <x:c r="M1336" s="4" t="n">
        <x:v>24</x:v>
      </x:c>
      <x:c r="N1336" s="4" t="n">
        <x:v>122</x:v>
      </x:c>
      <x:c r="O1336" s="4" t="n">
        <x:v>1</x:v>
      </x:c>
      <x:c r="P1336" s="1" t="str">
        <x:v>PASS</x:v>
      </x:c>
      <x:c r="Q1336" s="4" t="n">
        <x:v>0</x:v>
      </x:c>
      <x:c r="R1336" s="1" t="str">
        <x:v>PASS</x:v>
      </x:c>
      <x:c r="S1336" s="4" t="n">
        <x:v>0</x:v>
      </x:c>
      <x:c r="T1336" s="1" t="str">
        <x:v>NOT_REVEALING</x:v>
      </x:c>
      <x:c r="U1336" s="1" t="str">
        <x:v>JacksonDatabind_91</x:v>
      </x:c>
      <x:c r="V1336" s="6" t="n">
        <x:v>87.2</x:v>
      </x:c>
    </x:row>
    <x:row r="1337" ht="22" customHeight="1">
      <x:c r="A1337" s="1" t="str">
        <x:v>Round2</x:v>
      </x:c>
      <x:c r="B1337" s="1" t="str">
        <x:v>JacksonDatabind</x:v>
      </x:c>
      <x:c r="C1337" s="4" t="n">
        <x:v>92</x:v>
      </x:c>
      <x:c r="D1337" s="4" t="n">
        <x:v>20260928</x:v>
      </x:c>
      <x:c r="E1337" s="4" t="n">
        <x:v>60</x:v>
      </x:c>
      <x:c r="F1337" s="4" t="n">
        <x:v>2776</x:v>
      </x:c>
      <x:c r="G1337" s="5" t="n">
        <x:v>0.08960000000000001</x:v>
      </x:c>
      <x:c r="H1337" s="5" t="n">
        <x:v>0.1283</x:v>
      </x:c>
      <x:c r="I1337" s="5" t="n">
        <x:v>0.0245</x:v>
      </x:c>
      <x:c r="J1337" s="4" t="n">
        <x:v>547</x:v>
      </x:c>
      <x:c r="K1337" s="4" t="n">
        <x:v>49</x:v>
      </x:c>
      <x:c r="L1337" s="4" t="n">
        <x:v>343</x:v>
      </x:c>
      <x:c r="M1337" s="4" t="n">
        <x:v>44</x:v>
      </x:c>
      <x:c r="N1337" s="4" t="n">
        <x:v>204</x:v>
      </x:c>
      <x:c r="O1337" s="4" t="n">
        <x:v>5</x:v>
      </x:c>
      <x:c r="P1337" s="1" t="str">
        <x:v>PASS</x:v>
      </x:c>
      <x:c r="Q1337" s="4" t="n">
        <x:v>0</x:v>
      </x:c>
      <x:c r="R1337" s="1" t="str">
        <x:v>PASS</x:v>
      </x:c>
      <x:c r="S1337" s="4" t="n">
        <x:v>0</x:v>
      </x:c>
      <x:c r="T1337" s="1" t="str">
        <x:v>NOT_REVEALING</x:v>
      </x:c>
      <x:c r="U1337" s="1" t="str">
        <x:v>JacksonDatabind_92</x:v>
      </x:c>
      <x:c r="V1337" s="6" t="n">
        <x:v>103.8</x:v>
      </x:c>
    </x:row>
    <x:row r="1338" ht="22" customHeight="1">
      <x:c r="A1338" s="1" t="str">
        <x:v>Round2</x:v>
      </x:c>
      <x:c r="B1338" s="1" t="str">
        <x:v>JacksonDatabind</x:v>
      </x:c>
      <x:c r="C1338" s="4" t="n">
        <x:v>93</x:v>
      </x:c>
      <x:c r="D1338" s="4" t="n">
        <x:v>20260928</x:v>
      </x:c>
      <x:c r="E1338" s="4" t="n">
        <x:v>60</x:v>
      </x:c>
      <x:c r="F1338" s="4" t="n">
        <x:v>3269</x:v>
      </x:c>
      <x:c r="G1338" s="5" t="n">
        <x:v>0.5217</x:v>
      </x:c>
      <x:c r="H1338" s="5" t="n">
        <x:v>0.6667000000000001</x:v>
      </x:c>
      <x:c r="I1338" s="5" t="n">
        <x:v>0</x:v>
      </x:c>
      <x:c r="J1338" s="4" t="n">
        <x:v>46</x:v>
      </x:c>
      <x:c r="K1338" s="4" t="n">
        <x:v>24</x:v>
      </x:c>
      <x:c r="L1338" s="4" t="n">
        <x:v>36</x:v>
      </x:c>
      <x:c r="M1338" s="4" t="n">
        <x:v>24</x:v>
      </x:c>
      <x:c r="N1338" s="4" t="n">
        <x:v>10</x:v>
      </x:c>
      <x:c r="O1338" s="4" t="n">
        <x:v>0</x:v>
      </x:c>
      <x:c r="P1338" s="1" t="str">
        <x:v>PASS</x:v>
      </x:c>
      <x:c r="Q1338" s="4" t="n">
        <x:v>0</x:v>
      </x:c>
      <x:c r="R1338" s="1" t="str">
        <x:v>PASS</x:v>
      </x:c>
      <x:c r="S1338" s="4" t="n">
        <x:v>0</x:v>
      </x:c>
      <x:c r="T1338" s="1" t="str">
        <x:v>NOT_REVEALING</x:v>
      </x:c>
      <x:c r="U1338" s="1" t="str">
        <x:v>JacksonDatabind_93</x:v>
      </x:c>
      <x:c r="V1338" s="6" t="n">
        <x:v>105.38</x:v>
      </x:c>
    </x:row>
    <x:row r="1339" ht="22" customHeight="1">
      <x:c r="A1339" s="1" t="str">
        <x:v>Round2</x:v>
      </x:c>
      <x:c r="B1339" s="1" t="str">
        <x:v>JacksonDatabind</x:v>
      </x:c>
      <x:c r="C1339" s="4" t="n">
        <x:v>94</x:v>
      </x:c>
      <x:c r="D1339" s="4" t="n">
        <x:v>20260928</x:v>
      </x:c>
      <x:c r="E1339" s="4" t="n">
        <x:v>60</x:v>
      </x:c>
      <x:c r="F1339" s="4" t="n">
        <x:v>3272</x:v>
      </x:c>
      <x:c r="G1339" s="5" t="n">
        <x:v>0.449</x:v>
      </x:c>
      <x:c r="H1339" s="5" t="n">
        <x:v>0.6286</x:v>
      </x:c>
      <x:c r="I1339" s="5" t="n">
        <x:v>0</x:v>
      </x:c>
      <x:c r="J1339" s="4" t="n">
        <x:v>49</x:v>
      </x:c>
      <x:c r="K1339" s="4" t="n">
        <x:v>22</x:v>
      </x:c>
      <x:c r="L1339" s="4" t="n">
        <x:v>35</x:v>
      </x:c>
      <x:c r="M1339" s="4" t="n">
        <x:v>22</x:v>
      </x:c>
      <x:c r="N1339" s="4" t="n">
        <x:v>14</x:v>
      </x:c>
      <x:c r="O1339" s="4" t="n">
        <x:v>0</x:v>
      </x:c>
      <x:c r="P1339" s="1" t="str">
        <x:v>PASS</x:v>
      </x:c>
      <x:c r="Q1339" s="4" t="n">
        <x:v>0</x:v>
      </x:c>
      <x:c r="R1339" s="1" t="str">
        <x:v>PASS</x:v>
      </x:c>
      <x:c r="S1339" s="4" t="n">
        <x:v>0</x:v>
      </x:c>
      <x:c r="T1339" s="1" t="str">
        <x:v>NOT_REVEALING</x:v>
      </x:c>
      <x:c r="U1339" s="1" t="str">
        <x:v>JacksonDatabind_94</x:v>
      </x:c>
      <x:c r="V1339" s="6" t="n">
        <x:v>104.75</x:v>
      </x:c>
    </x:row>
    <x:row r="1340" ht="22" customHeight="1">
      <x:c r="A1340" s="1" t="str">
        <x:v>Round2</x:v>
      </x:c>
      <x:c r="B1340" s="1" t="str">
        <x:v>JacksonDatabind</x:v>
      </x:c>
      <x:c r="C1340" s="4" t="n">
        <x:v>95</x:v>
      </x:c>
      <x:c r="D1340" s="4" t="n">
        <x:v>20260928</x:v>
      </x:c>
      <x:c r="E1340" s="4" t="n">
        <x:v>60</x:v>
      </x:c>
      <x:c r="F1340" s="4" t="n">
        <x:v>968</x:v>
      </x:c>
      <x:c r="G1340" s="5" t="n">
        <x:v>0.4205</x:v>
      </x:c>
      <x:c r="H1340" s="5" t="n">
        <x:v>0.46409999999999996</x:v>
      </x:c>
      <x:c r="I1340" s="5" t="n">
        <x:v>0.3469</x:v>
      </x:c>
      <x:c r="J1340" s="4" t="n">
        <x:v>730</x:v>
      </x:c>
      <x:c r="K1340" s="4" t="n">
        <x:v>307</x:v>
      </x:c>
      <x:c r="L1340" s="4" t="n">
        <x:v>459</x:v>
      </x:c>
      <x:c r="M1340" s="4" t="n">
        <x:v>213</x:v>
      </x:c>
      <x:c r="N1340" s="4" t="n">
        <x:v>271</x:v>
      </x:c>
      <x:c r="O1340" s="4" t="n">
        <x:v>94</x:v>
      </x:c>
      <x:c r="P1340" s="1" t="str">
        <x:v>PASS</x:v>
      </x:c>
      <x:c r="Q1340" s="4" t="n">
        <x:v>0</x:v>
      </x:c>
      <x:c r="R1340" s="1" t="str">
        <x:v>PASS</x:v>
      </x:c>
      <x:c r="S1340" s="4" t="n">
        <x:v>0</x:v>
      </x:c>
      <x:c r="T1340" s="1" t="str">
        <x:v>NOT_REVEALING</x:v>
      </x:c>
      <x:c r="U1340" s="1" t="str">
        <x:v>JacksonDatabind_95</x:v>
      </x:c>
      <x:c r="V1340" s="6" t="n">
        <x:v>69.31</x:v>
      </x:c>
    </x:row>
    <x:row r="1341" ht="22" customHeight="1">
      <x:c r="A1341" s="1" t="str">
        <x:v>Round2</x:v>
      </x:c>
      <x:c r="B1341" s="1" t="str">
        <x:v>JacksonDatabind</x:v>
      </x:c>
      <x:c r="C1341" s="4" t="n">
        <x:v>96</x:v>
      </x:c>
      <x:c r="D1341" s="4" t="n">
        <x:v>20260928</x:v>
      </x:c>
      <x:c r="E1341" s="4" t="n">
        <x:v>60</x:v>
      </x:c>
      <x:c r="F1341" s="4" t="n">
        <x:v>4</x:v>
      </x:c>
      <x:c r="G1341" s="5" t="n">
        <x:v>0.013999999999999999</x:v>
      </x:c>
      <x:c r="H1341" s="5" t="n">
        <x:v>0.0236</x:v>
      </x:c>
      <x:c r="I1341" s="5" t="n">
        <x:v>0</x:v>
      </x:c>
      <x:c r="J1341" s="4" t="n">
        <x:v>1503</x:v>
      </x:c>
      <x:c r="K1341" s="4" t="n">
        <x:v>21</x:v>
      </x:c>
      <x:c r="L1341" s="4" t="n">
        <x:v>889</x:v>
      </x:c>
      <x:c r="M1341" s="4" t="n">
        <x:v>21</x:v>
      </x:c>
      <x:c r="N1341" s="4" t="n">
        <x:v>614</x:v>
      </x:c>
      <x:c r="O1341" s="4" t="n">
        <x:v>0</x:v>
      </x:c>
      <x:c r="P1341" s="1" t="str">
        <x:v>PASS</x:v>
      </x:c>
      <x:c r="Q1341" s="4" t="n">
        <x:v>0</x:v>
      </x:c>
      <x:c r="R1341" s="1" t="str">
        <x:v>PASS</x:v>
      </x:c>
      <x:c r="S1341" s="4" t="n">
        <x:v>0</x:v>
      </x:c>
      <x:c r="T1341" s="1" t="str">
        <x:v>NOT_REVEALING</x:v>
      </x:c>
      <x:c r="U1341" s="1" t="str">
        <x:v>JacksonDatabind_96</x:v>
      </x:c>
      <x:c r="V1341" s="6" t="n">
        <x:v>61.13</x:v>
      </x:c>
    </x:row>
    <x:row r="1342" ht="22" customHeight="1">
      <x:c r="A1342" s="1" t="str">
        <x:v>Round2</x:v>
      </x:c>
      <x:c r="B1342" s="1" t="str">
        <x:v>JacksonDatabind</x:v>
      </x:c>
      <x:c r="C1342" s="4" t="n">
        <x:v>97</x:v>
      </x:c>
      <x:c r="D1342" s="4" t="n">
        <x:v>20260928</x:v>
      </x:c>
      <x:c r="E1342" s="4" t="n">
        <x:v>60</x:v>
      </x:c>
      <x:c r="F1342" s="4" t="n">
        <x:v>3501</x:v>
      </x:c>
      <x:c r="G1342" s="5" t="n">
        <x:v>0.7333</x:v>
      </x:c>
      <x:c r="H1342" s="5" t="n">
        <x:v>0.8049</x:v>
      </x:c>
      <x:c r="I1342" s="5" t="n">
        <x:v>0.6470999999999999</x:v>
      </x:c>
      <x:c r="J1342" s="4" t="n">
        <x:v>75</x:v>
      </x:c>
      <x:c r="K1342" s="4" t="n">
        <x:v>55</x:v>
      </x:c>
      <x:c r="L1342" s="4" t="n">
        <x:v>41</x:v>
      </x:c>
      <x:c r="M1342" s="4" t="n">
        <x:v>33</x:v>
      </x:c>
      <x:c r="N1342" s="4" t="n">
        <x:v>34</x:v>
      </x:c>
      <x:c r="O1342" s="4" t="n">
        <x:v>22</x:v>
      </x:c>
      <x:c r="P1342" s="1" t="str">
        <x:v>PASS</x:v>
      </x:c>
      <x:c r="Q1342" s="4" t="n">
        <x:v>0</x:v>
      </x:c>
      <x:c r="R1342" s="1" t="str">
        <x:v>PASS</x:v>
      </x:c>
      <x:c r="S1342" s="4" t="n">
        <x:v>0</x:v>
      </x:c>
      <x:c r="T1342" s="1" t="str">
        <x:v>NOT_REVEALING</x:v>
      </x:c>
      <x:c r="U1342" s="1" t="str">
        <x:v>JacksonDatabind_97</x:v>
      </x:c>
      <x:c r="V1342" s="6" t="n">
        <x:v>88.02</x:v>
      </x:c>
    </x:row>
    <x:row r="1343" ht="22" customHeight="1">
      <x:c r="A1343" s="1" t="str">
        <x:v>Round2</x:v>
      </x:c>
      <x:c r="B1343" s="1" t="str">
        <x:v>JacksonDatabind</x:v>
      </x:c>
      <x:c r="C1343" s="4" t="n">
        <x:v>98</x:v>
      </x:c>
      <x:c r="D1343" s="4" t="n">
        <x:v>20260928</x:v>
      </x:c>
      <x:c r="E1343" s="4" t="n">
        <x:v>60</x:v>
      </x:c>
      <x:c r="F1343" s="4" t="n">
        <x:v>2870</x:v>
      </x:c>
      <x:c r="G1343" s="5" t="n">
        <x:v>0.17059999999999997</x:v>
      </x:c>
      <x:c r="H1343" s="5" t="n">
        <x:v>0.22219999999999998</x:v>
      </x:c>
      <x:c r="I1343" s="5" t="n">
        <x:v>0.054299999999999994</x:v>
      </x:c>
      <x:c r="J1343" s="4" t="n">
        <x:v>299</x:v>
      </x:c>
      <x:c r="K1343" s="4" t="n">
        <x:v>51</x:v>
      </x:c>
      <x:c r="L1343" s="4" t="n">
        <x:v>207</x:v>
      </x:c>
      <x:c r="M1343" s="4" t="n">
        <x:v>46</x:v>
      </x:c>
      <x:c r="N1343" s="4" t="n">
        <x:v>92</x:v>
      </x:c>
      <x:c r="O1343" s="4" t="n">
        <x:v>5</x:v>
      </x:c>
      <x:c r="P1343" s="1" t="str">
        <x:v>PASS</x:v>
      </x:c>
      <x:c r="Q1343" s="4" t="n">
        <x:v>0</x:v>
      </x:c>
      <x:c r="R1343" s="1" t="str">
        <x:v>PASS</x:v>
      </x:c>
      <x:c r="S1343" s="4" t="n">
        <x:v>0</x:v>
      </x:c>
      <x:c r="T1343" s="1" t="str">
        <x:v>NOT_REVEALING</x:v>
      </x:c>
      <x:c r="U1343" s="1" t="str">
        <x:v>JacksonDatabind_98</x:v>
      </x:c>
      <x:c r="V1343" s="6" t="n">
        <x:v>102.66</x:v>
      </x:c>
    </x:row>
    <x:row r="1344" ht="22" customHeight="1">
      <x:c r="A1344" s="1" t="str">
        <x:v>Round2</x:v>
      </x:c>
      <x:c r="B1344" s="1" t="str">
        <x:v>JacksonDatabind</x:v>
      </x:c>
      <x:c r="C1344" s="4" t="n">
        <x:v>99</x:v>
      </x:c>
      <x:c r="D1344" s="4" t="n">
        <x:v>20260928</x:v>
      </x:c>
      <x:c r="E1344" s="4" t="n">
        <x:v>60</x:v>
      </x:c>
      <x:c r="F1344" s="4" t="n">
        <x:v>2</x:v>
      </x:c>
      <x:c r="G1344" s="5" t="n">
        <x:v>0.0102</x:v>
      </x:c>
      <x:c r="H1344" s="5" t="n">
        <x:v>0.0143</x:v>
      </x:c>
      <x:c r="I1344" s="5" t="n">
        <x:v>0</x:v>
      </x:c>
      <x:c r="J1344" s="4" t="n">
        <x:v>98</x:v>
      </x:c>
      <x:c r="K1344" s="4" t="n">
        <x:v>1</x:v>
      </x:c>
      <x:c r="L1344" s="4" t="n">
        <x:v>70</x:v>
      </x:c>
      <x:c r="M1344" s="4" t="n">
        <x:v>1</x:v>
      </x:c>
      <x:c r="N1344" s="4" t="n">
        <x:v>28</x:v>
      </x:c>
      <x:c r="O1344" s="4" t="n">
        <x:v>0</x:v>
      </x:c>
      <x:c r="P1344" s="1" t="str">
        <x:v>PASS</x:v>
      </x:c>
      <x:c r="Q1344" s="4" t="n">
        <x:v>0</x:v>
      </x:c>
      <x:c r="R1344" s="1" t="str">
        <x:v>PASS</x:v>
      </x:c>
      <x:c r="S1344" s="4" t="n">
        <x:v>0</x:v>
      </x:c>
      <x:c r="T1344" s="1" t="str">
        <x:v>NOT_REVEALING</x:v>
      </x:c>
      <x:c r="U1344" s="1" t="str">
        <x:v>JacksonDatabind_99</x:v>
      </x:c>
      <x:c r="V1344" s="6" t="n">
        <x:v>60.91</x:v>
      </x:c>
    </x:row>
    <x:row r="1345" ht="22" customHeight="1">
      <x:c r="A1345" s="1" t="str">
        <x:v>Round2</x:v>
      </x:c>
      <x:c r="B1345" s="1" t="str">
        <x:v>JacksonDatabind</x:v>
      </x:c>
      <x:c r="C1345" s="4" t="n">
        <x:v>100</x:v>
      </x:c>
      <x:c r="D1345" s="4" t="n">
        <x:v>20260928</x:v>
      </x:c>
      <x:c r="E1345" s="4" t="n">
        <x:v>60</x:v>
      </x:c>
      <x:c r="F1345" s="4" t="n">
        <x:v>3</x:v>
      </x:c>
      <x:c r="G1345" s="5" t="n">
        <x:v>0.0196</x:v>
      </x:c>
      <x:c r="H1345" s="5" t="n">
        <x:v>0.0325</x:v>
      </x:c>
      <x:c r="I1345" s="5" t="n">
        <x:v>0</x:v>
      </x:c>
      <x:c r="J1345" s="4" t="n">
        <x:v>204</x:v>
      </x:c>
      <x:c r="K1345" s="4" t="n">
        <x:v>4</x:v>
      </x:c>
      <x:c r="L1345" s="4" t="n">
        <x:v>123</x:v>
      </x:c>
      <x:c r="M1345" s="4" t="n">
        <x:v>4</x:v>
      </x:c>
      <x:c r="N1345" s="4" t="n">
        <x:v>81</x:v>
      </x:c>
      <x:c r="O1345" s="4" t="n">
        <x:v>0</x:v>
      </x:c>
      <x:c r="P1345" s="1" t="str">
        <x:v>PASS</x:v>
      </x:c>
      <x:c r="Q1345" s="4" t="n">
        <x:v>0</x:v>
      </x:c>
      <x:c r="R1345" s="1" t="str">
        <x:v>PASS</x:v>
      </x:c>
      <x:c r="S1345" s="4" t="n">
        <x:v>0</x:v>
      </x:c>
      <x:c r="T1345" s="1" t="str">
        <x:v>NOT_REVEALING</x:v>
      </x:c>
      <x:c r="U1345" s="1" t="str">
        <x:v>JacksonDatabind_100</x:v>
      </x:c>
      <x:c r="V1345" s="6" t="n">
        <x:v>64.33</x:v>
      </x:c>
    </x:row>
    <x:row r="1346" ht="22" customHeight="1">
      <x:c r="A1346" s="1" t="str">
        <x:v>Round2</x:v>
      </x:c>
      <x:c r="B1346" s="1" t="str">
        <x:v>JacksonDatabind</x:v>
      </x:c>
      <x:c r="C1346" s="4" t="n">
        <x:v>101</x:v>
      </x:c>
      <x:c r="D1346" s="4" t="n">
        <x:v>20260928</x:v>
      </x:c>
      <x:c r="E1346" s="4" t="n">
        <x:v>60</x:v>
      </x:c>
      <x:c r="F1346" s="4" t="n">
        <x:v>43</x:v>
      </x:c>
      <x:c r="G1346" s="5" t="n">
        <x:v>0.011200000000000002</x:v>
      </x:c>
      <x:c r="H1346" s="5" t="n">
        <x:v>0.0173</x:v>
      </x:c>
      <x:c r="I1346" s="5" t="n">
        <x:v>0</x:v>
      </x:c>
      <x:c r="J1346" s="4" t="n">
        <x:v>712</x:v>
      </x:c>
      <x:c r="K1346" s="4" t="n">
        <x:v>8</x:v>
      </x:c>
      <x:c r="L1346" s="4" t="n">
        <x:v>463</x:v>
      </x:c>
      <x:c r="M1346" s="4" t="n">
        <x:v>8</x:v>
      </x:c>
      <x:c r="N1346" s="4" t="n">
        <x:v>249</x:v>
      </x:c>
      <x:c r="O1346" s="4" t="n">
        <x:v>0</x:v>
      </x:c>
      <x:c r="P1346" s="1" t="str">
        <x:v>PASS</x:v>
      </x:c>
      <x:c r="Q1346" s="4" t="n">
        <x:v>0</x:v>
      </x:c>
      <x:c r="R1346" s="1" t="str">
        <x:v>PASS</x:v>
      </x:c>
      <x:c r="S1346" s="4" t="n">
        <x:v>0</x:v>
      </x:c>
      <x:c r="T1346" s="1" t="str">
        <x:v>NOT_REVEALING</x:v>
      </x:c>
      <x:c r="U1346" s="1" t="str">
        <x:v>JacksonDatabind_101</x:v>
      </x:c>
      <x:c r="V1346" s="6" t="n">
        <x:v>66.94</x:v>
      </x:c>
    </x:row>
    <x:row r="1347" ht="22" customHeight="1">
      <x:c r="A1347" s="1" t="str">
        <x:v>Round2</x:v>
      </x:c>
      <x:c r="B1347" s="1" t="str">
        <x:v>JacksonDatabind</x:v>
      </x:c>
      <x:c r="C1347" s="4" t="n">
        <x:v>102</x:v>
      </x:c>
      <x:c r="D1347" s="4" t="n">
        <x:v>20260928</x:v>
      </x:c>
      <x:c r="E1347" s="4" t="n">
        <x:v>60</x:v>
      </x:c>
      <x:c r="F1347" s="4" t="n">
        <x:v>1</x:v>
      </x:c>
      <x:c r="G1347" s="5" t="n">
        <x:v>0</x:v>
      </x:c>
      <x:c r="H1347" s="5" t="n">
        <x:v>0</x:v>
      </x:c>
      <x:c r="I1347" s="5" t="n">
        <x:v>0</x:v>
      </x:c>
      <x:c r="J1347" s="4" t="n">
        <x:v>123</x:v>
      </x:c>
      <x:c r="K1347" s="4" t="n">
        <x:v>0</x:v>
      </x:c>
      <x:c r="L1347" s="4" t="n">
        <x:v>71</x:v>
      </x:c>
      <x:c r="M1347" s="4" t="n">
        <x:v>0</x:v>
      </x:c>
      <x:c r="N1347" s="4" t="n">
        <x:v>52</x:v>
      </x:c>
      <x:c r="O1347" s="4" t="n">
        <x:v>0</x:v>
      </x:c>
      <x:c r="P1347" s="1" t="str">
        <x:v>PASS</x:v>
      </x:c>
      <x:c r="Q1347" s="4" t="n">
        <x:v>0</x:v>
      </x:c>
      <x:c r="R1347" s="1" t="str">
        <x:v>PASS</x:v>
      </x:c>
      <x:c r="S1347" s="4" t="n">
        <x:v>0</x:v>
      </x:c>
      <x:c r="T1347" s="1" t="str">
        <x:v>NOT_REVEALING</x:v>
      </x:c>
      <x:c r="U1347" s="1" t="str">
        <x:v>JacksonDatabind_102</x:v>
      </x:c>
      <x:c r="V1347" s="6" t="n">
        <x:v>63.55</x:v>
      </x:c>
    </x:row>
    <x:row r="1348" ht="22" customHeight="1">
      <x:c r="A1348" s="1" t="str">
        <x:v>Round2</x:v>
      </x:c>
      <x:c r="B1348" s="1" t="str">
        <x:v>JacksonDatabind</x:v>
      </x:c>
      <x:c r="C1348" s="4" t="n">
        <x:v>103</x:v>
      </x:c>
      <x:c r="D1348" s="4" t="n">
        <x:v>20260928</x:v>
      </x:c>
      <x:c r="E1348" s="4" t="n">
        <x:v>60</x:v>
      </x:c>
      <x:c r="F1348" s="4" t="n">
        <x:v>1971</x:v>
      </x:c>
      <x:c r="G1348" s="5" t="n">
        <x:v>0.1215</x:v>
      </x:c>
      <x:c r="H1348" s="5" t="n">
        <x:v>0.1516</x:v>
      </x:c>
      <x:c r="I1348" s="5" t="n">
        <x:v>0.071</x:v>
      </x:c>
      <x:c r="J1348" s="4" t="n">
        <x:v>6791</x:v>
      </x:c>
      <x:c r="K1348" s="4" t="n">
        <x:v>825</x:v>
      </x:c>
      <x:c r="L1348" s="4" t="n">
        <x:v>4256</x:v>
      </x:c>
      <x:c r="M1348" s="4" t="n">
        <x:v>645</x:v>
      </x:c>
      <x:c r="N1348" s="4" t="n">
        <x:v>2535</x:v>
      </x:c>
      <x:c r="O1348" s="4" t="n">
        <x:v>180</x:v>
      </x:c>
      <x:c r="P1348" s="1" t="str">
        <x:v>FAIL</x:v>
      </x:c>
      <x:c r="Q1348" s="4" t="n">
        <x:v>40</x:v>
      </x:c>
      <x:c r="R1348" s="1" t="str">
        <x:v>FAIL</x:v>
      </x:c>
      <x:c r="S1348" s="4" t="n">
        <x:v>40</x:v>
      </x:c>
      <x:c r="T1348" s="1" t="str">
        <x:v>INCONCLUSIVE</x:v>
      </x:c>
      <x:c r="U1348" s="1" t="str">
        <x:v>JacksonDatabind_103</x:v>
      </x:c>
      <x:c r="V1348" s="6" t="n">
        <x:v>82.54</x:v>
      </x:c>
    </x:row>
    <x:row r="1349" ht="22" customHeight="1">
      <x:c r="A1349" s="1" t="str">
        <x:v>Round2</x:v>
      </x:c>
      <x:c r="B1349" s="1" t="str">
        <x:v>JacksonDatabind</x:v>
      </x:c>
      <x:c r="C1349" s="4" t="n">
        <x:v>104</x:v>
      </x:c>
      <x:c r="D1349" s="4" t="n">
        <x:v>20260928</x:v>
      </x:c>
      <x:c r="E1349" s="4" t="n">
        <x:v>60</x:v>
      </x:c>
      <x:c r="F1349" s="4" t="n">
        <x:v>3309</x:v>
      </x:c>
      <x:c r="G1349" s="5" t="n">
        <x:v>0.8127</x:v>
      </x:c>
      <x:c r="H1349" s="5" t="n">
        <x:v>0.8493</x:v>
      </x:c>
      <x:c r="I1349" s="5" t="n">
        <x:v>0.7317</x:v>
      </x:c>
      <x:c r="J1349" s="4" t="n">
        <x:v>395</x:v>
      </x:c>
      <x:c r="K1349" s="4" t="n">
        <x:v>321</x:v>
      </x:c>
      <x:c r="L1349" s="4" t="n">
        <x:v>272</x:v>
      </x:c>
      <x:c r="M1349" s="4" t="n">
        <x:v>231</x:v>
      </x:c>
      <x:c r="N1349" s="4" t="n">
        <x:v>123</x:v>
      </x:c>
      <x:c r="O1349" s="4" t="n">
        <x:v>90</x:v>
      </x:c>
      <x:c r="P1349" s="1" t="str">
        <x:v>FAIL</x:v>
      </x:c>
      <x:c r="Q1349" s="4" t="n">
        <x:v>4065</x:v>
      </x:c>
      <x:c r="R1349" s="1" t="str">
        <x:v>FAIL</x:v>
      </x:c>
      <x:c r="S1349" s="4" t="n">
        <x:v>4065</x:v>
      </x:c>
      <x:c r="T1349" s="1" t="str">
        <x:v>INCONCLUSIVE</x:v>
      </x:c>
      <x:c r="U1349" s="1" t="str">
        <x:v>JacksonDatabind_104</x:v>
      </x:c>
      <x:c r="V1349" s="6" t="n">
        <x:v>91.38</x:v>
      </x:c>
    </x:row>
    <x:row r="1350" ht="22" customHeight="1">
      <x:c r="A1350" s="1" t="str">
        <x:v>Round2</x:v>
      </x:c>
      <x:c r="B1350" s="1" t="str">
        <x:v>JacksonDatabind</x:v>
      </x:c>
      <x:c r="C1350" s="4" t="n">
        <x:v>105</x:v>
      </x:c>
      <x:c r="D1350" s="4" t="n">
        <x:v>20260928</x:v>
      </x:c>
      <x:c r="E1350" s="4" t="n">
        <x:v>60</x:v>
      </x:c>
      <x:c r="F1350" s="4" t="n">
        <x:v>2</x:v>
      </x:c>
      <x:c r="G1350" s="5" t="n">
        <x:v>0.1935</x:v>
      </x:c>
      <x:c r="H1350" s="5" t="n">
        <x:v>0.31579999999999997</x:v>
      </x:c>
      <x:c r="I1350" s="5" t="n">
        <x:v>0</x:v>
      </x:c>
      <x:c r="J1350" s="4" t="n">
        <x:v>31</x:v>
      </x:c>
      <x:c r="K1350" s="4" t="n">
        <x:v>6</x:v>
      </x:c>
      <x:c r="L1350" s="4" t="n">
        <x:v>19</x:v>
      </x:c>
      <x:c r="M1350" s="4" t="n">
        <x:v>6</x:v>
      </x:c>
      <x:c r="N1350" s="4" t="n">
        <x:v>12</x:v>
      </x:c>
      <x:c r="O1350" s="4" t="n">
        <x:v>0</x:v>
      </x:c>
      <x:c r="P1350" s="1" t="str">
        <x:v>PASS</x:v>
      </x:c>
      <x:c r="Q1350" s="4" t="n">
        <x:v>0</x:v>
      </x:c>
      <x:c r="R1350" s="1" t="str">
        <x:v>PASS</x:v>
      </x:c>
      <x:c r="S1350" s="4" t="n">
        <x:v>0</x:v>
      </x:c>
      <x:c r="T1350" s="1" t="str">
        <x:v>NOT_REVEALING</x:v>
      </x:c>
      <x:c r="U1350" s="1" t="str">
        <x:v>JacksonDatabind_105</x:v>
      </x:c>
      <x:c r="V1350" s="6" t="n">
        <x:v>61.37</x:v>
      </x:c>
    </x:row>
    <x:row r="1351" ht="22" customHeight="1">
      <x:c r="A1351" s="1" t="str">
        <x:v>Round2</x:v>
      </x:c>
      <x:c r="B1351" s="1" t="str">
        <x:v>JacksonDatabind</x:v>
      </x:c>
      <x:c r="C1351" s="4" t="n">
        <x:v>106</x:v>
      </x:c>
      <x:c r="D1351" s="4" t="n">
        <x:v>20260928</x:v>
      </x:c>
      <x:c r="E1351" s="4" t="n">
        <x:v>60</x:v>
      </x:c>
      <x:c r="F1351" s="4" t="n">
        <x:v>3</x:v>
      </x:c>
      <x:c r="G1351" s="5" t="n">
        <x:v>0.0202</x:v>
      </x:c>
      <x:c r="H1351" s="5" t="n">
        <x:v>0.0331</x:v>
      </x:c>
      <x:c r="I1351" s="5" t="n">
        <x:v>0</x:v>
      </x:c>
      <x:c r="J1351" s="4" t="n">
        <x:v>198</x:v>
      </x:c>
      <x:c r="K1351" s="4" t="n">
        <x:v>4</x:v>
      </x:c>
      <x:c r="L1351" s="4" t="n">
        <x:v>121</x:v>
      </x:c>
      <x:c r="M1351" s="4" t="n">
        <x:v>4</x:v>
      </x:c>
      <x:c r="N1351" s="4" t="n">
        <x:v>77</x:v>
      </x:c>
      <x:c r="O1351" s="4" t="n">
        <x:v>0</x:v>
      </x:c>
      <x:c r="P1351" s="1" t="str">
        <x:v>PASS</x:v>
      </x:c>
      <x:c r="Q1351" s="4" t="n">
        <x:v>0</x:v>
      </x:c>
      <x:c r="R1351" s="1" t="str">
        <x:v>PASS</x:v>
      </x:c>
      <x:c r="S1351" s="4" t="n">
        <x:v>0</x:v>
      </x:c>
      <x:c r="T1351" s="1" t="str">
        <x:v>NOT_REVEALING</x:v>
      </x:c>
      <x:c r="U1351" s="1" t="str">
        <x:v>JacksonDatabind_106</x:v>
      </x:c>
      <x:c r="V1351" s="6" t="n">
        <x:v>58.08</x:v>
      </x:c>
    </x:row>
    <x:row r="1352" ht="22" customHeight="1">
      <x:c r="A1352" s="1" t="str">
        <x:v>Round2</x:v>
      </x:c>
      <x:c r="B1352" s="1" t="str">
        <x:v>JacksonDatabind</x:v>
      </x:c>
      <x:c r="C1352" s="4" t="n">
        <x:v>107</x:v>
      </x:c>
      <x:c r="D1352" s="4" t="n">
        <x:v>20260928</x:v>
      </x:c>
      <x:c r="E1352" s="4" t="n">
        <x:v>60</x:v>
      </x:c>
      <x:c r="F1352" s="4" t="n">
        <x:v>2</x:v>
      </x:c>
      <x:c r="G1352" s="5" t="n">
        <x:v>0</x:v>
      </x:c>
      <x:c r="H1352" s="5" t="n">
        <x:v>0</x:v>
      </x:c>
      <x:c r="I1352" s="5" t="n">
        <x:v>0</x:v>
      </x:c>
      <x:c r="J1352" s="4" t="n">
        <x:v>109</x:v>
      </x:c>
      <x:c r="K1352" s="4" t="n">
        <x:v>0</x:v>
      </x:c>
      <x:c r="L1352" s="4" t="n">
        <x:v>77</x:v>
      </x:c>
      <x:c r="M1352" s="4" t="n">
        <x:v>0</x:v>
      </x:c>
      <x:c r="N1352" s="4" t="n">
        <x:v>32</x:v>
      </x:c>
      <x:c r="O1352" s="4" t="n">
        <x:v>0</x:v>
      </x:c>
      <x:c r="P1352" s="1" t="str">
        <x:v>PASS</x:v>
      </x:c>
      <x:c r="Q1352" s="4" t="n">
        <x:v>0</x:v>
      </x:c>
      <x:c r="R1352" s="1" t="str">
        <x:v>PASS</x:v>
      </x:c>
      <x:c r="S1352" s="4" t="n">
        <x:v>0</x:v>
      </x:c>
      <x:c r="T1352" s="1" t="str">
        <x:v>NOT_REVEALING</x:v>
      </x:c>
      <x:c r="U1352" s="1" t="str">
        <x:v>JacksonDatabind_107</x:v>
      </x:c>
      <x:c r="V1352" s="6" t="n">
        <x:v>57.21</x:v>
      </x:c>
    </x:row>
    <x:row r="1353" ht="22" customHeight="1">
      <x:c r="A1353" s="1" t="str">
        <x:v>Round2</x:v>
      </x:c>
      <x:c r="B1353" s="1" t="str">
        <x:v>JacksonDatabind</x:v>
      </x:c>
      <x:c r="C1353" s="4" t="n">
        <x:v>108</x:v>
      </x:c>
      <x:c r="D1353" s="4" t="n">
        <x:v>20260928</x:v>
      </x:c>
      <x:c r="E1353" s="4" t="n">
        <x:v>60</x:v>
      </x:c>
      <x:c r="F1353" s="4" t="n">
        <x:v>88</x:v>
      </x:c>
      <x:c r="G1353" s="5" t="n">
        <x:v>0.024399999999999998</x:v>
      </x:c>
      <x:c r="H1353" s="5" t="n">
        <x:v>0.0346</x:v>
      </x:c>
      <x:c r="I1353" s="5" t="n">
        <x:v>0</x:v>
      </x:c>
      <x:c r="J1353" s="4" t="n">
        <x:v>615</x:v>
      </x:c>
      <x:c r="K1353" s="4" t="n">
        <x:v>15</x:v>
      </x:c>
      <x:c r="L1353" s="4" t="n">
        <x:v>433</x:v>
      </x:c>
      <x:c r="M1353" s="4" t="n">
        <x:v>15</x:v>
      </x:c>
      <x:c r="N1353" s="4" t="n">
        <x:v>182</x:v>
      </x:c>
      <x:c r="O1353" s="4" t="n">
        <x:v>0</x:v>
      </x:c>
      <x:c r="P1353" s="1" t="str">
        <x:v>PASS</x:v>
      </x:c>
      <x:c r="Q1353" s="4" t="n">
        <x:v>0</x:v>
      </x:c>
      <x:c r="R1353" s="1" t="str">
        <x:v>PASS</x:v>
      </x:c>
      <x:c r="S1353" s="4" t="n">
        <x:v>0</x:v>
      </x:c>
      <x:c r="T1353" s="1" t="str">
        <x:v>NOT_REVEALING</x:v>
      </x:c>
      <x:c r="U1353" s="1" t="str">
        <x:v>JacksonDatabind_108</x:v>
      </x:c>
      <x:c r="V1353" s="6" t="n">
        <x:v>58.97</x:v>
      </x:c>
    </x:row>
    <x:row r="1354" ht="22" customHeight="1">
      <x:c r="A1354" s="1" t="str">
        <x:v>Round2</x:v>
      </x:c>
      <x:c r="B1354" s="1" t="str">
        <x:v>JacksonDatabind</x:v>
      </x:c>
      <x:c r="C1354" s="4" t="n">
        <x:v>109</x:v>
      </x:c>
      <x:c r="D1354" s="4" t="n">
        <x:v>20260928</x:v>
      </x:c>
      <x:c r="E1354" s="4" t="n">
        <x:v>60</x:v>
      </x:c>
      <x:c r="F1354" s="4" t="n">
        <x:v>682</x:v>
      </x:c>
      <x:c r="G1354" s="5" t="n">
        <x:v>0.5038</x:v>
      </x:c>
      <x:c r="H1354" s="5" t="n">
        <x:v>0.46240000000000003</x:v>
      </x:c>
      <x:c r="I1354" s="5" t="n">
        <x:v>0.6</x:v>
      </x:c>
      <x:c r="J1354" s="4" t="n">
        <x:v>133</x:v>
      </x:c>
      <x:c r="K1354" s="4" t="n">
        <x:v>67</x:v>
      </x:c>
      <x:c r="L1354" s="4" t="n">
        <x:v>93</x:v>
      </x:c>
      <x:c r="M1354" s="4" t="n">
        <x:v>43</x:v>
      </x:c>
      <x:c r="N1354" s="4" t="n">
        <x:v>40</x:v>
      </x:c>
      <x:c r="O1354" s="4" t="n">
        <x:v>24</x:v>
      </x:c>
      <x:c r="P1354" s="1" t="str">
        <x:v>PASS</x:v>
      </x:c>
      <x:c r="Q1354" s="4" t="n">
        <x:v>0</x:v>
      </x:c>
      <x:c r="R1354" s="1" t="str">
        <x:v>PASS</x:v>
      </x:c>
      <x:c r="S1354" s="4" t="n">
        <x:v>0</x:v>
      </x:c>
      <x:c r="T1354" s="1" t="str">
        <x:v>NOT_REVEALING</x:v>
      </x:c>
      <x:c r="U1354" s="1" t="str">
        <x:v>JacksonDatabind_109</x:v>
      </x:c>
      <x:c r="V1354" s="6" t="n">
        <x:v>64.47</x:v>
      </x:c>
    </x:row>
    <x:row r="1355" ht="22" customHeight="1">
      <x:c r="A1355" s="1" t="str">
        <x:v>Round2</x:v>
      </x:c>
      <x:c r="B1355" s="1" t="str">
        <x:v>JacksonDatabind</x:v>
      </x:c>
      <x:c r="C1355" s="4" t="n">
        <x:v>110</x:v>
      </x:c>
      <x:c r="D1355" s="4" t="n">
        <x:v>20260928</x:v>
      </x:c>
      <x:c r="E1355" s="4" t="n">
        <x:v>60</x:v>
      </x:c>
      <x:c r="F1355" s="4" t="n">
        <x:v>4</x:v>
      </x:c>
      <x:c r="G1355" s="5" t="n">
        <x:v>0.1566</x:v>
      </x:c>
      <x:c r="H1355" s="5" t="n">
        <x:v>0.2241</x:v>
      </x:c>
      <x:c r="I1355" s="5" t="n">
        <x:v>0</x:v>
      </x:c>
      <x:c r="J1355" s="4" t="n">
        <x:v>83</x:v>
      </x:c>
      <x:c r="K1355" s="4" t="n">
        <x:v>13</x:v>
      </x:c>
      <x:c r="L1355" s="4" t="n">
        <x:v>58</x:v>
      </x:c>
      <x:c r="M1355" s="4" t="n">
        <x:v>13</x:v>
      </x:c>
      <x:c r="N1355" s="4" t="n">
        <x:v>25</x:v>
      </x:c>
      <x:c r="O1355" s="4" t="n">
        <x:v>0</x:v>
      </x:c>
      <x:c r="P1355" s="1" t="str">
        <x:v>PASS</x:v>
      </x:c>
      <x:c r="Q1355" s="4" t="n">
        <x:v>0</x:v>
      </x:c>
      <x:c r="R1355" s="1" t="str">
        <x:v>PASS</x:v>
      </x:c>
      <x:c r="S1355" s="4" t="n">
        <x:v>0</x:v>
      </x:c>
      <x:c r="T1355" s="1" t="str">
        <x:v>NOT_REVEALING</x:v>
      </x:c>
      <x:c r="U1355" s="1" t="str">
        <x:v>JacksonDatabind_110</x:v>
      </x:c>
      <x:c r="V1355" s="6" t="n">
        <x:v>56.54</x:v>
      </x:c>
    </x:row>
    <x:row r="1356" ht="22" customHeight="1">
      <x:c r="A1356" s="1" t="str">
        <x:v>Round2</x:v>
      </x:c>
      <x:c r="B1356" s="1" t="str">
        <x:v>JacksonDatabind</x:v>
      </x:c>
      <x:c r="C1356" s="4" t="n">
        <x:v>111</x:v>
      </x:c>
      <x:c r="D1356" s="4" t="n">
        <x:v>20260928</x:v>
      </x:c>
      <x:c r="E1356" s="4" t="n">
        <x:v>60</x:v>
      </x:c>
      <x:c r="F1356" s="4" t="n">
        <x:v>2312</x:v>
      </x:c>
      <x:c r="G1356" s="5" t="n">
        <x:v>0.2073</x:v>
      </x:c>
      <x:c r="H1356" s="5" t="n">
        <x:v>0.24350000000000002</x:v>
      </x:c>
      <x:c r="I1356" s="5" t="n">
        <x:v>0.0745</x:v>
      </x:c>
      <x:c r="J1356" s="4" t="n">
        <x:v>439</x:v>
      </x:c>
      <x:c r="K1356" s="4" t="n">
        <x:v>91</x:v>
      </x:c>
      <x:c r="L1356" s="4" t="n">
        <x:v>345</x:v>
      </x:c>
      <x:c r="M1356" s="4" t="n">
        <x:v>84</x:v>
      </x:c>
      <x:c r="N1356" s="4" t="n">
        <x:v>94</x:v>
      </x:c>
      <x:c r="O1356" s="4" t="n">
        <x:v>7</x:v>
      </x:c>
      <x:c r="P1356" s="1" t="str">
        <x:v>PASS</x:v>
      </x:c>
      <x:c r="Q1356" s="4" t="n">
        <x:v>0</x:v>
      </x:c>
      <x:c r="R1356" s="1" t="str">
        <x:v>PASS</x:v>
      </x:c>
      <x:c r="S1356" s="4" t="n">
        <x:v>0</x:v>
      </x:c>
      <x:c r="T1356" s="1" t="str">
        <x:v>NOT_REVEALING</x:v>
      </x:c>
      <x:c r="U1356" s="1" t="str">
        <x:v>JacksonDatabind_111</x:v>
      </x:c>
      <x:c r="V1356" s="6" t="n">
        <x:v>86.2</x:v>
      </x:c>
    </x:row>
    <x:row r="1357" ht="22" customHeight="1">
      <x:c r="A1357" s="1" t="str">
        <x:v>Round2</x:v>
      </x:c>
      <x:c r="B1357" s="1" t="str">
        <x:v>JacksonDatabind</x:v>
      </x:c>
      <x:c r="C1357" s="4" t="n">
        <x:v>112</x:v>
      </x:c>
      <x:c r="D1357" s="4" t="n">
        <x:v>20260928</x:v>
      </x:c>
      <x:c r="E1357" s="4" t="n">
        <x:v>60</x:v>
      </x:c>
      <x:c r="F1357" s="4" t="n">
        <x:v>1</x:v>
      </x:c>
      <x:c r="G1357" s="5" t="n">
        <x:v>0</x:v>
      </x:c>
      <x:c r="H1357" s="5" t="n">
        <x:v>0</x:v>
      </x:c>
      <x:c r="I1357" s="5" t="n">
        <x:v>0</x:v>
      </x:c>
      <x:c r="J1357" s="4" t="n">
        <x:v>146</x:v>
      </x:c>
      <x:c r="K1357" s="4" t="n">
        <x:v>0</x:v>
      </x:c>
      <x:c r="L1357" s="4" t="n">
        <x:v>88</x:v>
      </x:c>
      <x:c r="M1357" s="4" t="n">
        <x:v>0</x:v>
      </x:c>
      <x:c r="N1357" s="4" t="n">
        <x:v>58</x:v>
      </x:c>
      <x:c r="O1357" s="4" t="n">
        <x:v>0</x:v>
      </x:c>
      <x:c r="P1357" s="1" t="str">
        <x:v>PASS</x:v>
      </x:c>
      <x:c r="Q1357" s="4" t="n">
        <x:v>0</x:v>
      </x:c>
      <x:c r="R1357" s="1" t="str">
        <x:v>PASS</x:v>
      </x:c>
      <x:c r="S1357" s="4" t="n">
        <x:v>0</x:v>
      </x:c>
      <x:c r="T1357" s="1" t="str">
        <x:v>NOT_REVEALING</x:v>
      </x:c>
      <x:c r="U1357" s="1" t="str">
        <x:v>JacksonDatabind_112</x:v>
      </x:c>
      <x:c r="V1357" s="6" t="n">
        <x:v>60.79</x:v>
      </x:c>
    </x:row>
    <x:row r="1358" ht="22" customHeight="1">
      <x:c r="A1358" s="1" t="str">
        <x:v>Round2</x:v>
      </x:c>
      <x:c r="B1358" s="1" t="str">
        <x:v>JacksonXml</x:v>
      </x:c>
      <x:c r="C1358" s="4" t="n">
        <x:v>1</x:v>
      </x:c>
      <x:c r="D1358" s="4" t="n">
        <x:v>20260928</x:v>
      </x:c>
      <x:c r="E1358" s="4" t="n">
        <x:v>60</x:v>
      </x:c>
      <x:c r="F1358" s="4" t="n">
        <x:v>364</x:v>
      </x:c>
      <x:c r="G1358" s="5" t="n">
        <x:v>0.0317</x:v>
      </x:c>
      <x:c r="H1358" s="5" t="n">
        <x:v>0.044199999999999996</x:v>
      </x:c>
      <x:c r="I1358" s="5" t="n">
        <x:v>0.0068000000000000005</x:v>
      </x:c>
      <x:c r="J1358" s="4" t="n">
        <x:v>441</x:v>
      </x:c>
      <x:c r="K1358" s="4" t="n">
        <x:v>14</x:v>
      </x:c>
      <x:c r="L1358" s="4" t="n">
        <x:v>294</x:v>
      </x:c>
      <x:c r="M1358" s="4" t="n">
        <x:v>13</x:v>
      </x:c>
      <x:c r="N1358" s="4" t="n">
        <x:v>147</x:v>
      </x:c>
      <x:c r="O1358" s="4" t="n">
        <x:v>1</x:v>
      </x:c>
      <x:c r="P1358" s="1" t="str">
        <x:v>PASS</x:v>
      </x:c>
      <x:c r="Q1358" s="4" t="n">
        <x:v>0</x:v>
      </x:c>
      <x:c r="R1358" s="1" t="str">
        <x:v>PASS</x:v>
      </x:c>
      <x:c r="S1358" s="4" t="n">
        <x:v>0</x:v>
      </x:c>
      <x:c r="T1358" s="1" t="str">
        <x:v>NOT_REVEALING</x:v>
      </x:c>
      <x:c r="U1358" s="1" t="str">
        <x:v>JacksonXml_1</x:v>
      </x:c>
      <x:c r="V1358" s="6" t="n">
        <x:v>23.13</x:v>
      </x:c>
    </x:row>
    <x:row r="1359" ht="22" customHeight="1">
      <x:c r="A1359" s="1" t="str">
        <x:v>Round2</x:v>
      </x:c>
      <x:c r="B1359" s="1" t="str">
        <x:v>JacksonXml</x:v>
      </x:c>
      <x:c r="C1359" s="4" t="n">
        <x:v>2</x:v>
      </x:c>
      <x:c r="D1359" s="4" t="n">
        <x:v>20260928</x:v>
      </x:c>
      <x:c r="E1359" s="4" t="n">
        <x:v>60</x:v>
      </x:c>
      <x:c r="F1359" s="4" t="n">
        <x:v>53</x:v>
      </x:c>
      <x:c r="G1359" s="5" t="n">
        <x:v>0.016399999999999998</x:v>
      </x:c>
      <x:c r="H1359" s="5" t="n">
        <x:v>0.0235</x:v>
      </x:c>
      <x:c r="I1359" s="5" t="n">
        <x:v>0</x:v>
      </x:c>
      <x:c r="J1359" s="4" t="n">
        <x:v>244</x:v>
      </x:c>
      <x:c r="K1359" s="4" t="n">
        <x:v>4</x:v>
      </x:c>
      <x:c r="L1359" s="4" t="n">
        <x:v>170</x:v>
      </x:c>
      <x:c r="M1359" s="4" t="n">
        <x:v>4</x:v>
      </x:c>
      <x:c r="N1359" s="4" t="n">
        <x:v>74</x:v>
      </x:c>
      <x:c r="O1359" s="4" t="n">
        <x:v>0</x:v>
      </x:c>
      <x:c r="P1359" s="1" t="str">
        <x:v>PASS</x:v>
      </x:c>
      <x:c r="Q1359" s="4" t="n">
        <x:v>0</x:v>
      </x:c>
      <x:c r="R1359" s="1" t="str">
        <x:v>PASS</x:v>
      </x:c>
      <x:c r="S1359" s="4" t="n">
        <x:v>0</x:v>
      </x:c>
      <x:c r="T1359" s="1" t="str">
        <x:v>NOT_REVEALING</x:v>
      </x:c>
      <x:c r="U1359" s="1" t="str">
        <x:v>JacksonXml_2</x:v>
      </x:c>
      <x:c r="V1359" s="6" t="n">
        <x:v>22.2</x:v>
      </x:c>
    </x:row>
    <x:row r="1360" ht="22" customHeight="1">
      <x:c r="A1360" s="1" t="str">
        <x:v>Round2</x:v>
      </x:c>
      <x:c r="B1360" s="1" t="str">
        <x:v>JacksonXml</x:v>
      </x:c>
      <x:c r="C1360" s="4" t="n">
        <x:v>3</x:v>
      </x:c>
      <x:c r="D1360" s="4" t="n">
        <x:v>20260928</x:v>
      </x:c>
      <x:c r="E1360" s="4" t="n">
        <x:v>60</x:v>
      </x:c>
      <x:c r="F1360" s="4" t="n">
        <x:v>364</x:v>
      </x:c>
      <x:c r="G1360" s="5" t="n">
        <x:v>0.031400000000000004</x:v>
      </x:c>
      <x:c r="H1360" s="5" t="n">
        <x:v>0.0441</x:v>
      </x:c>
      <x:c r="I1360" s="5" t="n">
        <x:v>0.0066</x:v>
      </x:c>
      <x:c r="J1360" s="4" t="n">
        <x:v>446</x:v>
      </x:c>
      <x:c r="K1360" s="4" t="n">
        <x:v>14</x:v>
      </x:c>
      <x:c r="L1360" s="4" t="n">
        <x:v>295</x:v>
      </x:c>
      <x:c r="M1360" s="4" t="n">
        <x:v>13</x:v>
      </x:c>
      <x:c r="N1360" s="4" t="n">
        <x:v>151</x:v>
      </x:c>
      <x:c r="O1360" s="4" t="n">
        <x:v>1</x:v>
      </x:c>
      <x:c r="P1360" s="1" t="str">
        <x:v>PASS</x:v>
      </x:c>
      <x:c r="Q1360" s="4" t="n">
        <x:v>0</x:v>
      </x:c>
      <x:c r="R1360" s="1" t="str">
        <x:v>PASS</x:v>
      </x:c>
      <x:c r="S1360" s="4" t="n">
        <x:v>0</x:v>
      </x:c>
      <x:c r="T1360" s="1" t="str">
        <x:v>NOT_REVEALING</x:v>
      </x:c>
      <x:c r="U1360" s="1" t="str">
        <x:v>JacksonXml_3</x:v>
      </x:c>
      <x:c r="V1360" s="6" t="n">
        <x:v>20</x:v>
      </x:c>
    </x:row>
    <x:row r="1361" ht="22" customHeight="1">
      <x:c r="A1361" s="1" t="str">
        <x:v>Round2</x:v>
      </x:c>
      <x:c r="B1361" s="1" t="str">
        <x:v>JacksonXml</x:v>
      </x:c>
      <x:c r="C1361" s="4" t="n">
        <x:v>4</x:v>
      </x:c>
      <x:c r="D1361" s="4" t="n">
        <x:v>20260928</x:v>
      </x:c>
      <x:c r="E1361" s="4" t="n">
        <x:v>60</x:v>
      </x:c>
      <x:c r="F1361" s="4" t="n">
        <x:v>2490</x:v>
      </x:c>
      <x:c r="G1361" s="5" t="n">
        <x:v>0.19210000000000002</x:v>
      </x:c>
      <x:c r="H1361" s="5" t="n">
        <x:v>0.2101</x:v>
      </x:c>
      <x:c r="I1361" s="5" t="n">
        <x:v>0.1552</x:v>
      </x:c>
      <x:c r="J1361" s="4" t="n">
        <x:v>177</x:v>
      </x:c>
      <x:c r="K1361" s="4" t="n">
        <x:v>34</x:v>
      </x:c>
      <x:c r="L1361" s="4" t="n">
        <x:v>119</x:v>
      </x:c>
      <x:c r="M1361" s="4" t="n">
        <x:v>25</x:v>
      </x:c>
      <x:c r="N1361" s="4" t="n">
        <x:v>58</x:v>
      </x:c>
      <x:c r="O1361" s="4" t="n">
        <x:v>9</x:v>
      </x:c>
      <x:c r="P1361" s="1" t="str">
        <x:v>PASS</x:v>
      </x:c>
      <x:c r="Q1361" s="4" t="n">
        <x:v>0</x:v>
      </x:c>
      <x:c r="R1361" s="1" t="str">
        <x:v>FAIL</x:v>
      </x:c>
      <x:c r="S1361" s="4" t="n">
        <x:v>202</x:v>
      </x:c>
      <x:c r="T1361" s="1" t="str">
        <x:v>INCONCLUSIVE</x:v>
      </x:c>
      <x:c r="U1361" s="1" t="str">
        <x:v>JacksonXml_4</x:v>
      </x:c>
      <x:c r="V1361" s="6" t="n">
        <x:v>53.08</x:v>
      </x:c>
    </x:row>
    <x:row r="1362" ht="22" customHeight="1">
      <x:c r="A1362" s="1" t="str">
        <x:v>Round2</x:v>
      </x:c>
      <x:c r="B1362" s="1" t="str">
        <x:v>JacksonXml</x:v>
      </x:c>
      <x:c r="C1362" s="4" t="n">
        <x:v>5</x:v>
      </x:c>
      <x:c r="D1362" s="4" t="n">
        <x:v>20260928</x:v>
      </x:c>
      <x:c r="E1362" s="4" t="n">
        <x:v>60</x:v>
      </x:c>
      <x:c r="F1362" s="4" t="n">
        <x:v>1833</x:v>
      </x:c>
      <x:c r="G1362" s="5" t="n">
        <x:v>0.25</x:v>
      </x:c>
      <x:c r="H1362" s="5" t="n">
        <x:v>0.2917</x:v>
      </x:c>
      <x:c r="I1362" s="5" t="n">
        <x:v>0.16670000000000001</x:v>
      </x:c>
      <x:c r="J1362" s="4" t="n">
        <x:v>144</x:v>
      </x:c>
      <x:c r="K1362" s="4" t="n">
        <x:v>36</x:v>
      </x:c>
      <x:c r="L1362" s="4" t="n">
        <x:v>96</x:v>
      </x:c>
      <x:c r="M1362" s="4" t="n">
        <x:v>28</x:v>
      </x:c>
      <x:c r="N1362" s="4" t="n">
        <x:v>48</x:v>
      </x:c>
      <x:c r="O1362" s="4" t="n">
        <x:v>8</x:v>
      </x:c>
      <x:c r="P1362" s="1" t="str">
        <x:v>PASS</x:v>
      </x:c>
      <x:c r="Q1362" s="4" t="n">
        <x:v>0</x:v>
      </x:c>
      <x:c r="R1362" s="1" t="str">
        <x:v>FAIL</x:v>
      </x:c>
      <x:c r="S1362" s="4" t="n">
        <x:v>28</x:v>
      </x:c>
      <x:c r="T1362" s="1" t="str">
        <x:v>INCONCLUSIVE</x:v>
      </x:c>
      <x:c r="U1362" s="1" t="str">
        <x:v>JacksonXml_5</x:v>
      </x:c>
      <x:c r="V1362" s="6" t="n">
        <x:v>43.55</x:v>
      </x:c>
    </x:row>
    <x:row r="1363" ht="22" customHeight="1">
      <x:c r="A1363" s="1" t="str">
        <x:v>Round2</x:v>
      </x:c>
      <x:c r="B1363" s="1" t="str">
        <x:v>JacksonXml</x:v>
      </x:c>
      <x:c r="C1363" s="4" t="n">
        <x:v>6</x:v>
      </x:c>
      <x:c r="D1363" s="4" t="n">
        <x:v>20260928</x:v>
      </x:c>
      <x:c r="E1363" s="4" t="n">
        <x:v>60</x:v>
      </x:c>
      <x:c r="F1363" s="4" t="n">
        <x:v>4277</x:v>
      </x:c>
      <x:c r="G1363" s="5" t="n">
        <x:v>0.040999999999999995</x:v>
      </x:c>
      <x:c r="H1363" s="5" t="n">
        <x:v>0.0495</x:v>
      </x:c>
      <x:c r="I1363" s="5" t="n">
        <x:v>0.0225</x:v>
      </x:c>
      <x:c r="J1363" s="4" t="n">
        <x:v>707</x:v>
      </x:c>
      <x:c r="K1363" s="4" t="n">
        <x:v>29</x:v>
      </x:c>
      <x:c r="L1363" s="4" t="n">
        <x:v>485</x:v>
      </x:c>
      <x:c r="M1363" s="4" t="n">
        <x:v>24</x:v>
      </x:c>
      <x:c r="N1363" s="4" t="n">
        <x:v>222</x:v>
      </x:c>
      <x:c r="O1363" s="4" t="n">
        <x:v>5</x:v>
      </x:c>
      <x:c r="P1363" s="1" t="str">
        <x:v>PASS</x:v>
      </x:c>
      <x:c r="Q1363" s="4" t="n">
        <x:v>0</x:v>
      </x:c>
      <x:c r="R1363" s="1" t="str">
        <x:v>PASS</x:v>
      </x:c>
      <x:c r="S1363" s="4" t="n">
        <x:v>0</x:v>
      </x:c>
      <x:c r="T1363" s="1" t="str">
        <x:v>NOT_REVEALING</x:v>
      </x:c>
      <x:c r="U1363" s="1" t="str">
        <x:v>JacksonXml_6</x:v>
      </x:c>
      <x:c r="V1363" s="6" t="n">
        <x:v>37.72</x:v>
      </x:c>
    </x:row>
    <x:row r="1364" ht="22" customHeight="1">
      <x:c r="A1364" s="1" t="str">
        <x:v>Round2</x:v>
      </x:c>
      <x:c r="B1364" s="1" t="str">
        <x:v>Jsoup</x:v>
      </x:c>
      <x:c r="C1364" s="4" t="n">
        <x:v>1</x:v>
      </x:c>
      <x:c r="D1364" s="4" t="n">
        <x:v>20260928</x:v>
      </x:c>
      <x:c r="E1364" s="4" t="n">
        <x:v>60</x:v>
      </x:c>
      <x:c r="F1364" s="4" t="n">
        <x:v>4480</x:v>
      </x:c>
      <x:c r="G1364" s="5" t="n">
        <x:v>1</x:v>
      </x:c>
      <x:c r="H1364" s="5" t="n">
        <x:v>1</x:v>
      </x:c>
      <x:c r="I1364" s="5" t="n">
        <x:v>1</x:v>
      </x:c>
      <x:c r="J1364" s="4" t="n">
        <x:v>64</x:v>
      </x:c>
      <x:c r="K1364" s="4" t="n">
        <x:v>64</x:v>
      </x:c>
      <x:c r="L1364" s="4" t="n">
        <x:v>46</x:v>
      </x:c>
      <x:c r="M1364" s="4" t="n">
        <x:v>46</x:v>
      </x:c>
      <x:c r="N1364" s="4" t="n">
        <x:v>18</x:v>
      </x:c>
      <x:c r="O1364" s="4" t="n">
        <x:v>18</x:v>
      </x:c>
      <x:c r="P1364" s="1" t="str">
        <x:v>FAIL</x:v>
      </x:c>
      <x:c r="Q1364" s="4" t="n">
        <x:v>1240</x:v>
      </x:c>
      <x:c r="R1364" s="1" t="str">
        <x:v>FAIL</x:v>
      </x:c>
      <x:c r="S1364" s="4" t="n">
        <x:v>1244</x:v>
      </x:c>
      <x:c r="T1364" s="1" t="str">
        <x:v>INCONCLUSIVE</x:v>
      </x:c>
      <x:c r="U1364" s="1" t="str">
        <x:v>Jsoup_1</x:v>
      </x:c>
      <x:c r="V1364" s="6" t="n">
        <x:v>40.02</x:v>
      </x:c>
    </x:row>
    <x:row r="1365" ht="22" customHeight="1">
      <x:c r="A1365" s="1" t="str">
        <x:v>Round2</x:v>
      </x:c>
      <x:c r="B1365" s="1" t="str">
        <x:v>Jsoup</x:v>
      </x:c>
      <x:c r="C1365" s="4" t="n">
        <x:v>2</x:v>
      </x:c>
      <x:c r="D1365" s="4" t="n">
        <x:v>20260928</x:v>
      </x:c>
      <x:c r="E1365" s="4" t="n">
        <x:v>60</x:v>
      </x:c>
      <x:c r="F1365" s="4" t="n">
        <x:v>9</x:v>
      </x:c>
      <x:c r="G1365" s="5" t="n">
        <x:v>0.17739999999999997</x:v>
      </x:c>
      <x:c r="H1365" s="5" t="n">
        <x:v>0.20989999999999998</x:v>
      </x:c>
      <x:c r="I1365" s="5" t="n">
        <x:v>0.11630000000000001</x:v>
      </x:c>
      <x:c r="J1365" s="4" t="n">
        <x:v>248</x:v>
      </x:c>
      <x:c r="K1365" s="4" t="n">
        <x:v>44</x:v>
      </x:c>
      <x:c r="L1365" s="4" t="n">
        <x:v>162</x:v>
      </x:c>
      <x:c r="M1365" s="4" t="n">
        <x:v>34</x:v>
      </x:c>
      <x:c r="N1365" s="4" t="n">
        <x:v>86</x:v>
      </x:c>
      <x:c r="O1365" s="4" t="n">
        <x:v>10</x:v>
      </x:c>
      <x:c r="P1365" s="1" t="str">
        <x:v>PASS</x:v>
      </x:c>
      <x:c r="Q1365" s="4" t="n">
        <x:v>0</x:v>
      </x:c>
      <x:c r="R1365" s="1" t="str">
        <x:v>PASS</x:v>
      </x:c>
      <x:c r="S1365" s="4" t="n">
        <x:v>0</x:v>
      </x:c>
      <x:c r="T1365" s="1" t="str">
        <x:v>NOT_REVEALING</x:v>
      </x:c>
      <x:c r="U1365" s="1" t="str">
        <x:v>Jsoup_2</x:v>
      </x:c>
      <x:c r="V1365" s="6" t="n">
        <x:v>18.46</x:v>
      </x:c>
    </x:row>
    <x:row r="1366" ht="22" customHeight="1">
      <x:c r="A1366" s="1" t="str">
        <x:v>Round2</x:v>
      </x:c>
      <x:c r="B1366" s="1" t="str">
        <x:v>Jsoup</x:v>
      </x:c>
      <x:c r="C1366" s="4" t="n">
        <x:v>3</x:v>
      </x:c>
      <x:c r="D1366" s="4" t="n">
        <x:v>20260928</x:v>
      </x:c>
      <x:c r="E1366" s="4" t="n">
        <x:v>60</x:v>
      </x:c>
      <x:c r="F1366" s="4" t="n">
        <x:v>5156</x:v>
      </x:c>
      <x:c r="G1366" s="5" t="n">
        <x:v>0.8162</x:v>
      </x:c>
      <x:c r="H1366" s="5" t="n">
        <x:v>0.8904000000000001</x:v>
      </x:c>
      <x:c r="I1366" s="5" t="n">
        <x:v>0.6667000000000001</x:v>
      </x:c>
      <x:c r="J1366" s="4" t="n">
        <x:v>887</x:v>
      </x:c>
      <x:c r="K1366" s="4" t="n">
        <x:v>724</x:v>
      </x:c>
      <x:c r="L1366" s="4" t="n">
        <x:v>593</x:v>
      </x:c>
      <x:c r="M1366" s="4" t="n">
        <x:v>528</x:v>
      </x:c>
      <x:c r="N1366" s="4" t="n">
        <x:v>294</x:v>
      </x:c>
      <x:c r="O1366" s="4" t="n">
        <x:v>196</x:v>
      </x:c>
      <x:c r="P1366" s="1" t="str">
        <x:v>FAIL</x:v>
      </x:c>
      <x:c r="Q1366" s="4" t="n">
        <x:v>1624</x:v>
      </x:c>
      <x:c r="R1366" s="1" t="str">
        <x:v>FAIL</x:v>
      </x:c>
      <x:c r="S1366" s="4" t="n">
        <x:v>1872</x:v>
      </x:c>
      <x:c r="T1366" s="1" t="str">
        <x:v>INCONCLUSIVE</x:v>
      </x:c>
      <x:c r="U1366" s="1" t="str">
        <x:v>Jsoup_3</x:v>
      </x:c>
      <x:c r="V1366" s="6" t="n">
        <x:v>46.72</x:v>
      </x:c>
    </x:row>
    <x:row r="1367" ht="22" customHeight="1">
      <x:c r="A1367" s="1" t="str">
        <x:v>Round2</x:v>
      </x:c>
      <x:c r="B1367" s="1" t="str">
        <x:v>Jsoup</x:v>
      </x:c>
      <x:c r="C1367" s="4" t="n">
        <x:v>4</x:v>
      </x:c>
      <x:c r="D1367" s="4" t="n">
        <x:v>20260928</x:v>
      </x:c>
      <x:c r="E1367" s="4" t="n">
        <x:v>60</x:v>
      </x:c>
      <x:c r="F1367" s="4" t="n">
        <x:v>142</x:v>
      </x:c>
      <x:c r="G1367" s="5"/>
      <x:c r="H1367" s="5"/>
      <x:c r="I1367" s="5"/>
      <x:c r="J1367" s="4" t="n">
        <x:v>0</x:v>
      </x:c>
      <x:c r="K1367" s="4" t="n">
        <x:v>0</x:v>
      </x:c>
      <x:c r="L1367" s="4" t="n">
        <x:v>0</x:v>
      </x:c>
      <x:c r="M1367" s="4" t="n">
        <x:v>0</x:v>
      </x:c>
      <x:c r="N1367" s="4" t="n">
        <x:v>0</x:v>
      </x:c>
      <x:c r="O1367" s="4" t="n">
        <x:v>0</x:v>
      </x:c>
      <x:c r="P1367" s="1" t="str">
        <x:v>PASS</x:v>
      </x:c>
      <x:c r="Q1367" s="4" t="n">
        <x:v>0</x:v>
      </x:c>
      <x:c r="R1367" s="1" t="str">
        <x:v>PASS</x:v>
      </x:c>
      <x:c r="S1367" s="4" t="n">
        <x:v>0</x:v>
      </x:c>
      <x:c r="T1367" s="1" t="str">
        <x:v>NOT_REVEALING</x:v>
      </x:c>
      <x:c r="U1367" s="1" t="str">
        <x:v>Jsoup_4</x:v>
      </x:c>
      <x:c r="V1367" s="6" t="n">
        <x:v>16.05</x:v>
      </x:c>
    </x:row>
    <x:row r="1368" ht="22" customHeight="1">
      <x:c r="A1368" s="1" t="str">
        <x:v>Round2</x:v>
      </x:c>
      <x:c r="B1368" s="1" t="str">
        <x:v>Jsoup</x:v>
      </x:c>
      <x:c r="C1368" s="4" t="n">
        <x:v>5</x:v>
      </x:c>
      <x:c r="D1368" s="4" t="n">
        <x:v>20260928</x:v>
      </x:c>
      <x:c r="E1368" s="4" t="n">
        <x:v>60</x:v>
      </x:c>
      <x:c r="F1368" s="4" t="n">
        <x:v>13</x:v>
      </x:c>
      <x:c r="G1368" s="5" t="n">
        <x:v>0.1894</x:v>
      </x:c>
      <x:c r="H1368" s="5" t="n">
        <x:v>0.2267</x:v>
      </x:c>
      <x:c r="I1368" s="5" t="n">
        <x:v>0.11960000000000001</x:v>
      </x:c>
      <x:c r="J1368" s="4" t="n">
        <x:v>264</x:v>
      </x:c>
      <x:c r="K1368" s="4" t="n">
        <x:v>50</x:v>
      </x:c>
      <x:c r="L1368" s="4" t="n">
        <x:v>172</x:v>
      </x:c>
      <x:c r="M1368" s="4" t="n">
        <x:v>39</x:v>
      </x:c>
      <x:c r="N1368" s="4" t="n">
        <x:v>92</x:v>
      </x:c>
      <x:c r="O1368" s="4" t="n">
        <x:v>11</x:v>
      </x:c>
      <x:c r="P1368" s="1" t="str">
        <x:v>PASS</x:v>
      </x:c>
      <x:c r="Q1368" s="4" t="n">
        <x:v>0</x:v>
      </x:c>
      <x:c r="R1368" s="1" t="str">
        <x:v>PASS</x:v>
      </x:c>
      <x:c r="S1368" s="4" t="n">
        <x:v>0</x:v>
      </x:c>
      <x:c r="T1368" s="1" t="str">
        <x:v>NOT_REVEALING</x:v>
      </x:c>
      <x:c r="U1368" s="1" t="str">
        <x:v>Jsoup_5</x:v>
      </x:c>
      <x:c r="V1368" s="6" t="n">
        <x:v>18.93</x:v>
      </x:c>
    </x:row>
    <x:row r="1369" ht="22" customHeight="1">
      <x:c r="A1369" s="1" t="str">
        <x:v>Round2</x:v>
      </x:c>
      <x:c r="B1369" s="1" t="str">
        <x:v>Jsoup</x:v>
      </x:c>
      <x:c r="C1369" s="4" t="n">
        <x:v>6</x:v>
      </x:c>
      <x:c r="D1369" s="4" t="n">
        <x:v>20260928</x:v>
      </x:c>
      <x:c r="E1369" s="4" t="n">
        <x:v>60</x:v>
      </x:c>
      <x:c r="F1369" s="4" t="n">
        <x:v>142</x:v>
      </x:c>
      <x:c r="G1369" s="5"/>
      <x:c r="H1369" s="5"/>
      <x:c r="I1369" s="5"/>
      <x:c r="J1369" s="4" t="n">
        <x:v>0</x:v>
      </x:c>
      <x:c r="K1369" s="4" t="n">
        <x:v>0</x:v>
      </x:c>
      <x:c r="L1369" s="4" t="n">
        <x:v>0</x:v>
      </x:c>
      <x:c r="M1369" s="4" t="n">
        <x:v>0</x:v>
      </x:c>
      <x:c r="N1369" s="4" t="n">
        <x:v>0</x:v>
      </x:c>
      <x:c r="O1369" s="4" t="n">
        <x:v>0</x:v>
      </x:c>
      <x:c r="P1369" s="1" t="str">
        <x:v>PASS</x:v>
      </x:c>
      <x:c r="Q1369" s="4" t="n">
        <x:v>0</x:v>
      </x:c>
      <x:c r="R1369" s="1" t="str">
        <x:v>PASS</x:v>
      </x:c>
      <x:c r="S1369" s="4" t="n">
        <x:v>0</x:v>
      </x:c>
      <x:c r="T1369" s="1" t="str">
        <x:v>NOT_REVEALING</x:v>
      </x:c>
      <x:c r="U1369" s="1" t="str">
        <x:v>Jsoup_6</x:v>
      </x:c>
      <x:c r="V1369" s="6" t="n">
        <x:v>17.53</x:v>
      </x:c>
    </x:row>
    <x:row r="1370" ht="22" customHeight="1">
      <x:c r="A1370" s="1" t="str">
        <x:v>Round2</x:v>
      </x:c>
      <x:c r="B1370" s="1" t="str">
        <x:v>Jsoup</x:v>
      </x:c>
      <x:c r="C1370" s="4" t="n">
        <x:v>7</x:v>
      </x:c>
      <x:c r="D1370" s="4" t="n">
        <x:v>20260928</x:v>
      </x:c>
      <x:c r="E1370" s="4" t="n">
        <x:v>60</x:v>
      </x:c>
      <x:c r="F1370" s="4" t="n">
        <x:v>4022</x:v>
      </x:c>
      <x:c r="G1370" s="5" t="n">
        <x:v>0.9906</x:v>
      </x:c>
      <x:c r="H1370" s="5" t="n">
        <x:v>0.9875</x:v>
      </x:c>
      <x:c r="I1370" s="5" t="n">
        <x:v>1</x:v>
      </x:c>
      <x:c r="J1370" s="4" t="n">
        <x:v>106</x:v>
      </x:c>
      <x:c r="K1370" s="4" t="n">
        <x:v>105</x:v>
      </x:c>
      <x:c r="L1370" s="4" t="n">
        <x:v>80</x:v>
      </x:c>
      <x:c r="M1370" s="4" t="n">
        <x:v>79</x:v>
      </x:c>
      <x:c r="N1370" s="4" t="n">
        <x:v>26</x:v>
      </x:c>
      <x:c r="O1370" s="4" t="n">
        <x:v>26</x:v>
      </x:c>
      <x:c r="P1370" s="1" t="str">
        <x:v>FAIL</x:v>
      </x:c>
      <x:c r="Q1370" s="4" t="n">
        <x:v>250</x:v>
      </x:c>
      <x:c r="R1370" s="1" t="str">
        <x:v>FAIL</x:v>
      </x:c>
      <x:c r="S1370" s="4" t="n">
        <x:v>376</x:v>
      </x:c>
      <x:c r="T1370" s="1" t="str">
        <x:v>INCONCLUSIVE</x:v>
      </x:c>
      <x:c r="U1370" s="1" t="str">
        <x:v>Jsoup_7</x:v>
      </x:c>
      <x:c r="V1370" s="6" t="n">
        <x:v>41.17</x:v>
      </x:c>
    </x:row>
    <x:row r="1371" ht="22" customHeight="1">
      <x:c r="A1371" s="1" t="str">
        <x:v>Round2</x:v>
      </x:c>
      <x:c r="B1371" s="1" t="str">
        <x:v>Jsoup</x:v>
      </x:c>
      <x:c r="C1371" s="4" t="n">
        <x:v>8</x:v>
      </x:c>
      <x:c r="D1371" s="4" t="n">
        <x:v>20260928</x:v>
      </x:c>
      <x:c r="E1371" s="4" t="n">
        <x:v>60</x:v>
      </x:c>
      <x:c r="F1371" s="4" t="n">
        <x:v>1</x:v>
      </x:c>
      <x:c r="G1371" s="5" t="n">
        <x:v>0</x:v>
      </x:c>
      <x:c r="H1371" s="5" t="n">
        <x:v>0</x:v>
      </x:c>
      <x:c r="I1371" s="5" t="n">
        <x:v>0</x:v>
      </x:c>
      <x:c r="J1371" s="4" t="n">
        <x:v>179</x:v>
      </x:c>
      <x:c r="K1371" s="4" t="n">
        <x:v>0</x:v>
      </x:c>
      <x:c r="L1371" s="4" t="n">
        <x:v>139</x:v>
      </x:c>
      <x:c r="M1371" s="4" t="n">
        <x:v>0</x:v>
      </x:c>
      <x:c r="N1371" s="4" t="n">
        <x:v>40</x:v>
      </x:c>
      <x:c r="O1371" s="4" t="n">
        <x:v>0</x:v>
      </x:c>
      <x:c r="P1371" s="1" t="str">
        <x:v>PASS</x:v>
      </x:c>
      <x:c r="Q1371" s="4" t="n">
        <x:v>0</x:v>
      </x:c>
      <x:c r="R1371" s="1" t="str">
        <x:v>PASS</x:v>
      </x:c>
      <x:c r="S1371" s="4" t="n">
        <x:v>0</x:v>
      </x:c>
      <x:c r="T1371" s="1" t="str">
        <x:v>NOT_REVEALING</x:v>
      </x:c>
      <x:c r="U1371" s="1" t="str">
        <x:v>Jsoup_8</x:v>
      </x:c>
      <x:c r="V1371" s="6" t="n">
        <x:v>17.3</x:v>
      </x:c>
    </x:row>
    <x:row r="1372" ht="22" customHeight="1">
      <x:c r="A1372" s="1" t="str">
        <x:v>Round2</x:v>
      </x:c>
      <x:c r="B1372" s="1" t="str">
        <x:v>Jsoup</x:v>
      </x:c>
      <x:c r="C1372" s="4" t="n">
        <x:v>9</x:v>
      </x:c>
      <x:c r="D1372" s="4" t="n">
        <x:v>20260928</x:v>
      </x:c>
      <x:c r="E1372" s="4" t="n">
        <x:v>60</x:v>
      </x:c>
      <x:c r="F1372" s="4" t="n">
        <x:v>5450</x:v>
      </x:c>
      <x:c r="G1372" s="5"/>
      <x:c r="H1372" s="5"/>
      <x:c r="I1372" s="5"/>
      <x:c r="J1372" s="4" t="n">
        <x:v>0</x:v>
      </x:c>
      <x:c r="K1372" s="4" t="n">
        <x:v>0</x:v>
      </x:c>
      <x:c r="L1372" s="4" t="n">
        <x:v>0</x:v>
      </x:c>
      <x:c r="M1372" s="4" t="n">
        <x:v>0</x:v>
      </x:c>
      <x:c r="N1372" s="4" t="n">
        <x:v>0</x:v>
      </x:c>
      <x:c r="O1372" s="4" t="n">
        <x:v>0</x:v>
      </x:c>
      <x:c r="P1372" s="1" t="str">
        <x:v>PASS</x:v>
      </x:c>
      <x:c r="Q1372" s="4" t="n">
        <x:v>0</x:v>
      </x:c>
      <x:c r="R1372" s="1" t="str">
        <x:v>PASS</x:v>
      </x:c>
      <x:c r="S1372" s="4" t="n">
        <x:v>0</x:v>
      </x:c>
      <x:c r="T1372" s="1" t="str">
        <x:v>NOT_REVEALING</x:v>
      </x:c>
      <x:c r="U1372" s="1" t="str">
        <x:v>Jsoup_9</x:v>
      </x:c>
      <x:c r="V1372" s="6" t="n">
        <x:v>41.35</x:v>
      </x:c>
    </x:row>
    <x:row r="1373" ht="22" customHeight="1">
      <x:c r="A1373" s="1" t="str">
        <x:v>Round2</x:v>
      </x:c>
      <x:c r="B1373" s="1" t="str">
        <x:v>Jsoup</x:v>
      </x:c>
      <x:c r="C1373" s="4" t="n">
        <x:v>10</x:v>
      </x:c>
      <x:c r="D1373" s="4" t="n">
        <x:v>20260928</x:v>
      </x:c>
      <x:c r="E1373" s="4" t="n">
        <x:v>60</x:v>
      </x:c>
      <x:c r="F1373" s="4" t="n">
        <x:v>1</x:v>
      </x:c>
      <x:c r="G1373" s="5" t="n">
        <x:v>0</x:v>
      </x:c>
      <x:c r="H1373" s="5" t="n">
        <x:v>0</x:v>
      </x:c>
      <x:c r="I1373" s="5" t="n">
        <x:v>0</x:v>
      </x:c>
      <x:c r="J1373" s="4" t="n">
        <x:v>202</x:v>
      </x:c>
      <x:c r="K1373" s="4" t="n">
        <x:v>0</x:v>
      </x:c>
      <x:c r="L1373" s="4" t="n">
        <x:v>154</x:v>
      </x:c>
      <x:c r="M1373" s="4" t="n">
        <x:v>0</x:v>
      </x:c>
      <x:c r="N1373" s="4" t="n">
        <x:v>48</x:v>
      </x:c>
      <x:c r="O1373" s="4" t="n">
        <x:v>0</x:v>
      </x:c>
      <x:c r="P1373" s="1" t="str">
        <x:v>PASS</x:v>
      </x:c>
      <x:c r="Q1373" s="4" t="n">
        <x:v>0</x:v>
      </x:c>
      <x:c r="R1373" s="1" t="str">
        <x:v>PASS</x:v>
      </x:c>
      <x:c r="S1373" s="4" t="n">
        <x:v>0</x:v>
      </x:c>
      <x:c r="T1373" s="1" t="str">
        <x:v>NOT_REVEALING</x:v>
      </x:c>
      <x:c r="U1373" s="1" t="str">
        <x:v>Jsoup_10</x:v>
      </x:c>
      <x:c r="V1373" s="6" t="n">
        <x:v>14.14</x:v>
      </x:c>
    </x:row>
    <x:row r="1374" ht="22" customHeight="1">
      <x:c r="A1374" s="1" t="str">
        <x:v>Round2</x:v>
      </x:c>
      <x:c r="B1374" s="1" t="str">
        <x:v>Jsoup</x:v>
      </x:c>
      <x:c r="C1374" s="4" t="n">
        <x:v>11</x:v>
      </x:c>
      <x:c r="D1374" s="4" t="n">
        <x:v>20260928</x:v>
      </x:c>
      <x:c r="E1374" s="4" t="n">
        <x:v>60</x:v>
      </x:c>
      <x:c r="F1374" s="4" t="n">
        <x:v>4429</x:v>
      </x:c>
      <x:c r="G1374" s="5" t="n">
        <x:v>0.0346</x:v>
      </x:c>
      <x:c r="H1374" s="5" t="n">
        <x:v>0.0556</x:v>
      </x:c>
      <x:c r="I1374" s="5" t="n">
        <x:v>0</x:v>
      </x:c>
      <x:c r="J1374" s="4" t="n">
        <x:v>318</x:v>
      </x:c>
      <x:c r="K1374" s="4" t="n">
        <x:v>11</x:v>
      </x:c>
      <x:c r="L1374" s="4" t="n">
        <x:v>198</x:v>
      </x:c>
      <x:c r="M1374" s="4" t="n">
        <x:v>11</x:v>
      </x:c>
      <x:c r="N1374" s="4" t="n">
        <x:v>120</x:v>
      </x:c>
      <x:c r="O1374" s="4" t="n">
        <x:v>0</x:v>
      </x:c>
      <x:c r="P1374" s="1" t="str">
        <x:v>PASS</x:v>
      </x:c>
      <x:c r="Q1374" s="4" t="n">
        <x:v>0</x:v>
      </x:c>
      <x:c r="R1374" s="1" t="str">
        <x:v>PASS</x:v>
      </x:c>
      <x:c r="S1374" s="4" t="n">
        <x:v>0</x:v>
      </x:c>
      <x:c r="T1374" s="1" t="str">
        <x:v>NOT_REVEALING</x:v>
      </x:c>
      <x:c r="U1374" s="1" t="str">
        <x:v>Jsoup_11</x:v>
      </x:c>
      <x:c r="V1374" s="6" t="n">
        <x:v>45.29</x:v>
      </x:c>
    </x:row>
    <x:row r="1375" ht="22" customHeight="1">
      <x:c r="A1375" s="1" t="str">
        <x:v>Round2</x:v>
      </x:c>
      <x:c r="B1375" s="1" t="str">
        <x:v>Jsoup</x:v>
      </x:c>
      <x:c r="C1375" s="4" t="n">
        <x:v>12</x:v>
      </x:c>
      <x:c r="D1375" s="4" t="n">
        <x:v>20260928</x:v>
      </x:c>
      <x:c r="E1375" s="4" t="n">
        <x:v>60</x:v>
      </x:c>
      <x:c r="F1375" s="4" t="n">
        <x:v>2175</x:v>
      </x:c>
      <x:c r="G1375" s="5" t="n">
        <x:v>0.054299999999999994</x:v>
      </x:c>
      <x:c r="H1375" s="5" t="n">
        <x:v>0.078</x:v>
      </x:c>
      <x:c r="I1375" s="5" t="n">
        <x:v>0.0152</x:v>
      </x:c>
      <x:c r="J1375" s="4" t="n">
        <x:v>350</x:v>
      </x:c>
      <x:c r="K1375" s="4" t="n">
        <x:v>19</x:v>
      </x:c>
      <x:c r="L1375" s="4" t="n">
        <x:v>218</x:v>
      </x:c>
      <x:c r="M1375" s="4" t="n">
        <x:v>17</x:v>
      </x:c>
      <x:c r="N1375" s="4" t="n">
        <x:v>132</x:v>
      </x:c>
      <x:c r="O1375" s="4" t="n">
        <x:v>2</x:v>
      </x:c>
      <x:c r="P1375" s="1" t="str">
        <x:v>PASS</x:v>
      </x:c>
      <x:c r="Q1375" s="4" t="n">
        <x:v>0</x:v>
      </x:c>
      <x:c r="R1375" s="1" t="str">
        <x:v>PASS</x:v>
      </x:c>
      <x:c r="S1375" s="4" t="n">
        <x:v>0</x:v>
      </x:c>
      <x:c r="T1375" s="1" t="str">
        <x:v>NOT_REVEALING</x:v>
      </x:c>
      <x:c r="U1375" s="1" t="str">
        <x:v>Jsoup_12</x:v>
      </x:c>
      <x:c r="V1375" s="6" t="n">
        <x:v>44.19</x:v>
      </x:c>
    </x:row>
    <x:row r="1376" ht="22" customHeight="1">
      <x:c r="A1376" s="1" t="str">
        <x:v>Round2</x:v>
      </x:c>
      <x:c r="B1376" s="1" t="str">
        <x:v>Jsoup</x:v>
      </x:c>
      <x:c r="C1376" s="4" t="n">
        <x:v>13</x:v>
      </x:c>
      <x:c r="D1376" s="4" t="n">
        <x:v>20260928</x:v>
      </x:c>
      <x:c r="E1376" s="4" t="n">
        <x:v>60</x:v>
      </x:c>
      <x:c r="F1376" s="4" t="n">
        <x:v>1</x:v>
      </x:c>
      <x:c r="G1376" s="5" t="n">
        <x:v>0</x:v>
      </x:c>
      <x:c r="H1376" s="5" t="n">
        <x:v>0</x:v>
      </x:c>
      <x:c r="I1376" s="5" t="n">
        <x:v>0</x:v>
      </x:c>
      <x:c r="J1376" s="4" t="n">
        <x:v>258</x:v>
      </x:c>
      <x:c r="K1376" s="4" t="n">
        <x:v>0</x:v>
      </x:c>
      <x:c r="L1376" s="4" t="n">
        <x:v>194</x:v>
      </x:c>
      <x:c r="M1376" s="4" t="n">
        <x:v>0</x:v>
      </x:c>
      <x:c r="N1376" s="4" t="n">
        <x:v>64</x:v>
      </x:c>
      <x:c r="O1376" s="4" t="n">
        <x:v>0</x:v>
      </x:c>
      <x:c r="P1376" s="1" t="str">
        <x:v>PASS</x:v>
      </x:c>
      <x:c r="Q1376" s="4" t="n">
        <x:v>0</x:v>
      </x:c>
      <x:c r="R1376" s="1" t="str">
        <x:v>PASS</x:v>
      </x:c>
      <x:c r="S1376" s="4" t="n">
        <x:v>0</x:v>
      </x:c>
      <x:c r="T1376" s="1" t="str">
        <x:v>NOT_REVEALING</x:v>
      </x:c>
      <x:c r="U1376" s="1" t="str">
        <x:v>Jsoup_13</x:v>
      </x:c>
      <x:c r="V1376" s="6" t="n">
        <x:v>15.43</x:v>
      </x:c>
    </x:row>
    <x:row r="1377" ht="22" customHeight="1">
      <x:c r="A1377" s="1" t="str">
        <x:v>Round2</x:v>
      </x:c>
      <x:c r="B1377" s="1" t="str">
        <x:v>Jsoup</x:v>
      </x:c>
      <x:c r="C1377" s="4" t="n">
        <x:v>14</x:v>
      </x:c>
      <x:c r="D1377" s="4" t="n">
        <x:v>20260928</x:v>
      </x:c>
      <x:c r="E1377" s="4" t="n">
        <x:v>60</x:v>
      </x:c>
      <x:c r="F1377" s="4" t="n">
        <x:v>4670</x:v>
      </x:c>
      <x:c r="G1377" s="5" t="n">
        <x:v>0.1561</x:v>
      </x:c>
      <x:c r="H1377" s="5" t="n">
        <x:v>0.1942</x:v>
      </x:c>
      <x:c r="I1377" s="5" t="n">
        <x:v>0.0395</x:v>
      </x:c>
      <x:c r="J1377" s="4" t="n">
        <x:v>1743</x:v>
      </x:c>
      <x:c r="K1377" s="4" t="n">
        <x:v>272</x:v>
      </x:c>
      <x:c r="L1377" s="4" t="n">
        <x:v>1313</x:v>
      </x:c>
      <x:c r="M1377" s="4" t="n">
        <x:v>255</x:v>
      </x:c>
      <x:c r="N1377" s="4" t="n">
        <x:v>430</x:v>
      </x:c>
      <x:c r="O1377" s="4" t="n">
        <x:v>17</x:v>
      </x:c>
      <x:c r="P1377" s="1" t="str">
        <x:v>PASS</x:v>
      </x:c>
      <x:c r="Q1377" s="4" t="n">
        <x:v>0</x:v>
      </x:c>
      <x:c r="R1377" s="1" t="str">
        <x:v>PASS</x:v>
      </x:c>
      <x:c r="S1377" s="4" t="n">
        <x:v>0</x:v>
      </x:c>
      <x:c r="T1377" s="1" t="str">
        <x:v>NOT_REVEALING</x:v>
      </x:c>
      <x:c r="U1377" s="1" t="str">
        <x:v>Jsoup_14</x:v>
      </x:c>
      <x:c r="V1377" s="6" t="n">
        <x:v>35.95</x:v>
      </x:c>
    </x:row>
    <x:row r="1378" ht="22" customHeight="1">
      <x:c r="A1378" s="1" t="str">
        <x:v>Round2</x:v>
      </x:c>
      <x:c r="B1378" s="1" t="str">
        <x:v>Jsoup</x:v>
      </x:c>
      <x:c r="C1378" s="4" t="n">
        <x:v>15</x:v>
      </x:c>
      <x:c r="D1378" s="4" t="n">
        <x:v>20260928</x:v>
      </x:c>
      <x:c r="E1378" s="4" t="n">
        <x:v>60</x:v>
      </x:c>
      <x:c r="F1378" s="4" t="n">
        <x:v>23</x:v>
      </x:c>
      <x:c r="G1378" s="5" t="n">
        <x:v>0.04</x:v>
      </x:c>
      <x:c r="H1378" s="5" t="n">
        <x:v>0.0677</x:v>
      </x:c>
      <x:c r="I1378" s="5" t="n">
        <x:v>0</x:v>
      </x:c>
      <x:c r="J1378" s="4" t="n">
        <x:v>1826</x:v>
      </x:c>
      <x:c r="K1378" s="4" t="n">
        <x:v>73</x:v>
      </x:c>
      <x:c r="L1378" s="4" t="n">
        <x:v>1079</x:v>
      </x:c>
      <x:c r="M1378" s="4" t="n">
        <x:v>73</x:v>
      </x:c>
      <x:c r="N1378" s="4" t="n">
        <x:v>747</x:v>
      </x:c>
      <x:c r="O1378" s="4" t="n">
        <x:v>0</x:v>
      </x:c>
      <x:c r="P1378" s="1" t="str">
        <x:v>PASS</x:v>
      </x:c>
      <x:c r="Q1378" s="4" t="n">
        <x:v>0</x:v>
      </x:c>
      <x:c r="R1378" s="1" t="str">
        <x:v>PASS</x:v>
      </x:c>
      <x:c r="S1378" s="4" t="n">
        <x:v>0</x:v>
      </x:c>
      <x:c r="T1378" s="1" t="str">
        <x:v>NOT_REVEALING</x:v>
      </x:c>
      <x:c r="U1378" s="1" t="str">
        <x:v>Jsoup_15</x:v>
      </x:c>
      <x:c r="V1378" s="6" t="n">
        <x:v>18.11</x:v>
      </x:c>
    </x:row>
    <x:row r="1379" ht="22" customHeight="1">
      <x:c r="A1379" s="1" t="str">
        <x:v>Round2</x:v>
      </x:c>
      <x:c r="B1379" s="1" t="str">
        <x:v>Jsoup</x:v>
      </x:c>
      <x:c r="C1379" s="4" t="n">
        <x:v>16</x:v>
      </x:c>
      <x:c r="D1379" s="4" t="n">
        <x:v>20260928</x:v>
      </x:c>
      <x:c r="E1379" s="4" t="n">
        <x:v>60</x:v>
      </x:c>
      <x:c r="F1379" s="4" t="n">
        <x:v>6457</x:v>
      </x:c>
      <x:c r="G1379" s="5" t="n">
        <x:v>1</x:v>
      </x:c>
      <x:c r="H1379" s="5" t="n">
        <x:v>1</x:v>
      </x:c>
      <x:c r="I1379" s="5" t="n">
        <x:v>1</x:v>
      </x:c>
      <x:c r="J1379" s="4" t="n">
        <x:v>18</x:v>
      </x:c>
      <x:c r="K1379" s="4" t="n">
        <x:v>18</x:v>
      </x:c>
      <x:c r="L1379" s="4" t="n">
        <x:v>14</x:v>
      </x:c>
      <x:c r="M1379" s="4" t="n">
        <x:v>14</x:v>
      </x:c>
      <x:c r="N1379" s="4" t="n">
        <x:v>4</x:v>
      </x:c>
      <x:c r="O1379" s="4" t="n">
        <x:v>4</x:v>
      </x:c>
      <x:c r="P1379" s="1" t="str">
        <x:v>FAIL</x:v>
      </x:c>
      <x:c r="Q1379" s="4" t="n">
        <x:v>930</x:v>
      </x:c>
      <x:c r="R1379" s="1" t="str">
        <x:v>FAIL</x:v>
      </x:c>
      <x:c r="S1379" s="4" t="n">
        <x:v>11690</x:v>
      </x:c>
      <x:c r="T1379" s="1" t="str">
        <x:v>INCONCLUSIVE</x:v>
      </x:c>
      <x:c r="U1379" s="1" t="str">
        <x:v>Jsoup_16</x:v>
      </x:c>
      <x:c r="V1379" s="6" t="n">
        <x:v>39.05</x:v>
      </x:c>
    </x:row>
    <x:row r="1380" ht="22" customHeight="1">
      <x:c r="A1380" s="1" t="str">
        <x:v>Round2</x:v>
      </x:c>
      <x:c r="B1380" s="1" t="str">
        <x:v>Jsoup</x:v>
      </x:c>
      <x:c r="C1380" s="4" t="n">
        <x:v>17</x:v>
      </x:c>
      <x:c r="D1380" s="4" t="n">
        <x:v>20260928</x:v>
      </x:c>
      <x:c r="E1380" s="4" t="n">
        <x:v>60</x:v>
      </x:c>
      <x:c r="F1380" s="4" t="n">
        <x:v>23</x:v>
      </x:c>
      <x:c r="G1380" s="5" t="n">
        <x:v>0.04</x:v>
      </x:c>
      <x:c r="H1380" s="5" t="n">
        <x:v>0.0677</x:v>
      </x:c>
      <x:c r="I1380" s="5" t="n">
        <x:v>0</x:v>
      </x:c>
      <x:c r="J1380" s="4" t="n">
        <x:v>1826</x:v>
      </x:c>
      <x:c r="K1380" s="4" t="n">
        <x:v>73</x:v>
      </x:c>
      <x:c r="L1380" s="4" t="n">
        <x:v>1079</x:v>
      </x:c>
      <x:c r="M1380" s="4" t="n">
        <x:v>73</x:v>
      </x:c>
      <x:c r="N1380" s="4" t="n">
        <x:v>747</x:v>
      </x:c>
      <x:c r="O1380" s="4" t="n">
        <x:v>0</x:v>
      </x:c>
      <x:c r="P1380" s="1" t="str">
        <x:v>PASS</x:v>
      </x:c>
      <x:c r="Q1380" s="4" t="n">
        <x:v>0</x:v>
      </x:c>
      <x:c r="R1380" s="1" t="str">
        <x:v>PASS</x:v>
      </x:c>
      <x:c r="S1380" s="4" t="n">
        <x:v>0</x:v>
      </x:c>
      <x:c r="T1380" s="1" t="str">
        <x:v>NOT_REVEALING</x:v>
      </x:c>
      <x:c r="U1380" s="1" t="str">
        <x:v>Jsoup_17</x:v>
      </x:c>
      <x:c r="V1380" s="6" t="n">
        <x:v>18.37</x:v>
      </x:c>
    </x:row>
    <x:row r="1381" ht="22" customHeight="1">
      <x:c r="A1381" s="1" t="str">
        <x:v>Round2</x:v>
      </x:c>
      <x:c r="B1381" s="1" t="str">
        <x:v>Jsoup</x:v>
      </x:c>
      <x:c r="C1381" s="4" t="n">
        <x:v>18</x:v>
      </x:c>
      <x:c r="D1381" s="4" t="n">
        <x:v>20260928</x:v>
      </x:c>
      <x:c r="E1381" s="4" t="n">
        <x:v>60</x:v>
      </x:c>
      <x:c r="F1381" s="4" t="n">
        <x:v>3890</x:v>
      </x:c>
      <x:c r="G1381" s="5" t="n">
        <x:v>0.6816</x:v>
      </x:c>
      <x:c r="H1381" s="5" t="n">
        <x:v>0.8144</x:v>
      </x:c>
      <x:c r="I1381" s="5" t="n">
        <x:v>0.5244</x:v>
      </x:c>
      <x:c r="J1381" s="4" t="n">
        <x:v>179</x:v>
      </x:c>
      <x:c r="K1381" s="4" t="n">
        <x:v>122</x:v>
      </x:c>
      <x:c r="L1381" s="4" t="n">
        <x:v>97</x:v>
      </x:c>
      <x:c r="M1381" s="4" t="n">
        <x:v>79</x:v>
      </x:c>
      <x:c r="N1381" s="4" t="n">
        <x:v>82</x:v>
      </x:c>
      <x:c r="O1381" s="4" t="n">
        <x:v>43</x:v>
      </x:c>
      <x:c r="P1381" s="1" t="str">
        <x:v>PASS</x:v>
      </x:c>
      <x:c r="Q1381" s="4" t="n">
        <x:v>0</x:v>
      </x:c>
      <x:c r="R1381" s="1" t="str">
        <x:v>FAIL</x:v>
      </x:c>
      <x:c r="S1381" s="4" t="n">
        <x:v>898</x:v>
      </x:c>
      <x:c r="T1381" s="1" t="str">
        <x:v>INCONCLUSIVE</x:v>
      </x:c>
      <x:c r="U1381" s="1" t="str">
        <x:v>Jsoup_18</x:v>
      </x:c>
      <x:c r="V1381" s="6" t="n">
        <x:v>40.57</x:v>
      </x:c>
    </x:row>
    <x:row r="1382" ht="22" customHeight="1">
      <x:c r="A1382" s="1" t="str">
        <x:v>Round2</x:v>
      </x:c>
      <x:c r="B1382" s="1" t="str">
        <x:v>Jsoup</x:v>
      </x:c>
      <x:c r="C1382" s="4" t="n">
        <x:v>19</x:v>
      </x:c>
      <x:c r="D1382" s="4" t="n">
        <x:v>20260928</x:v>
      </x:c>
      <x:c r="E1382" s="4" t="n">
        <x:v>60</x:v>
      </x:c>
      <x:c r="F1382" s="4" t="n">
        <x:v>3979</x:v>
      </x:c>
      <x:c r="G1382" s="5" t="n">
        <x:v>0.7839</x:v>
      </x:c>
      <x:c r="H1382" s="5" t="n">
        <x:v>0.8776</x:v>
      </x:c>
      <x:c r="I1382" s="5" t="n">
        <x:v>0.5192</x:v>
      </x:c>
      <x:c r="J1382" s="4" t="n">
        <x:v>199</x:v>
      </x:c>
      <x:c r="K1382" s="4" t="n">
        <x:v>156</x:v>
      </x:c>
      <x:c r="L1382" s="4" t="n">
        <x:v>147</x:v>
      </x:c>
      <x:c r="M1382" s="4" t="n">
        <x:v>129</x:v>
      </x:c>
      <x:c r="N1382" s="4" t="n">
        <x:v>52</x:v>
      </x:c>
      <x:c r="O1382" s="4" t="n">
        <x:v>27</x:v>
      </x:c>
      <x:c r="P1382" s="1" t="str">
        <x:v>PASS</x:v>
      </x:c>
      <x:c r="Q1382" s="4" t="n">
        <x:v>0</x:v>
      </x:c>
      <x:c r="R1382" s="1" t="str">
        <x:v>PASS</x:v>
      </x:c>
      <x:c r="S1382" s="4" t="n">
        <x:v>0</x:v>
      </x:c>
      <x:c r="T1382" s="1" t="str">
        <x:v>NOT_REVEALING</x:v>
      </x:c>
      <x:c r="U1382" s="1" t="str">
        <x:v>Jsoup_19</x:v>
      </x:c>
      <x:c r="V1382" s="6" t="n">
        <x:v>51.25</x:v>
      </x:c>
    </x:row>
    <x:row r="1383" ht="22" customHeight="1">
      <x:c r="A1383" s="1" t="str">
        <x:v>Round2</x:v>
      </x:c>
      <x:c r="B1383" s="1" t="str">
        <x:v>Jsoup</x:v>
      </x:c>
      <x:c r="C1383" s="4" t="n">
        <x:v>20</x:v>
      </x:c>
      <x:c r="D1383" s="4" t="n">
        <x:v>20260928</x:v>
      </x:c>
      <x:c r="E1383" s="4" t="n">
        <x:v>60</x:v>
      </x:c>
      <x:c r="F1383" s="4" t="n">
        <x:v>42</x:v>
      </x:c>
      <x:c r="G1383" s="5" t="n">
        <x:v>0.3182</x:v>
      </x:c>
      <x:c r="H1383" s="5" t="n">
        <x:v>0.40909999999999996</x:v>
      </x:c>
      <x:c r="I1383" s="5" t="n">
        <x:v>0.1364</x:v>
      </x:c>
      <x:c r="J1383" s="4" t="n">
        <x:v>66</x:v>
      </x:c>
      <x:c r="K1383" s="4" t="n">
        <x:v>21</x:v>
      </x:c>
      <x:c r="L1383" s="4" t="n">
        <x:v>44</x:v>
      </x:c>
      <x:c r="M1383" s="4" t="n">
        <x:v>18</x:v>
      </x:c>
      <x:c r="N1383" s="4" t="n">
        <x:v>22</x:v>
      </x:c>
      <x:c r="O1383" s="4" t="n">
        <x:v>3</x:v>
      </x:c>
      <x:c r="P1383" s="1" t="str">
        <x:v>PASS</x:v>
      </x:c>
      <x:c r="Q1383" s="4" t="n">
        <x:v>0</x:v>
      </x:c>
      <x:c r="R1383" s="1" t="str">
        <x:v>PASS</x:v>
      </x:c>
      <x:c r="S1383" s="4" t="n">
        <x:v>0</x:v>
      </x:c>
      <x:c r="T1383" s="1" t="str">
        <x:v>NOT_REVEALING</x:v>
      </x:c>
      <x:c r="U1383" s="1" t="str">
        <x:v>Jsoup_20</x:v>
      </x:c>
      <x:c r="V1383" s="6" t="n">
        <x:v>17.48</x:v>
      </x:c>
    </x:row>
    <x:row r="1384" ht="22" customHeight="1">
      <x:c r="A1384" s="1" t="str">
        <x:v>Round2</x:v>
      </x:c>
      <x:c r="B1384" s="1" t="str">
        <x:v>Jsoup</x:v>
      </x:c>
      <x:c r="C1384" s="4" t="n">
        <x:v>21</x:v>
      </x:c>
      <x:c r="D1384" s="4" t="n">
        <x:v>20260928</x:v>
      </x:c>
      <x:c r="E1384" s="4" t="n">
        <x:v>60</x:v>
      </x:c>
      <x:c r="F1384" s="4" t="n">
        <x:v>1272</x:v>
      </x:c>
      <x:c r="G1384" s="5" t="n">
        <x:v>0.3368</x:v>
      </x:c>
      <x:c r="H1384" s="5" t="n">
        <x:v>0.3492</x:v>
      </x:c>
      <x:c r="I1384" s="5" t="n">
        <x:v>0.3125</x:v>
      </x:c>
      <x:c r="J1384" s="4" t="n">
        <x:v>285</x:v>
      </x:c>
      <x:c r="K1384" s="4" t="n">
        <x:v>96</x:v>
      </x:c>
      <x:c r="L1384" s="4" t="n">
        <x:v>189</x:v>
      </x:c>
      <x:c r="M1384" s="4" t="n">
        <x:v>66</x:v>
      </x:c>
      <x:c r="N1384" s="4" t="n">
        <x:v>96</x:v>
      </x:c>
      <x:c r="O1384" s="4" t="n">
        <x:v>30</x:v>
      </x:c>
      <x:c r="P1384" s="1" t="str">
        <x:v>PASS</x:v>
      </x:c>
      <x:c r="Q1384" s="4" t="n">
        <x:v>0</x:v>
      </x:c>
      <x:c r="R1384" s="1" t="str">
        <x:v>PASS</x:v>
      </x:c>
      <x:c r="S1384" s="4" t="n">
        <x:v>0</x:v>
      </x:c>
      <x:c r="T1384" s="1" t="str">
        <x:v>NOT_REVEALING</x:v>
      </x:c>
      <x:c r="U1384" s="1" t="str">
        <x:v>Jsoup_21</x:v>
      </x:c>
      <x:c r="V1384" s="6" t="n">
        <x:v>53.17</x:v>
      </x:c>
    </x:row>
    <x:row r="1385" ht="22" customHeight="1">
      <x:c r="A1385" s="1" t="str">
        <x:v>Round2</x:v>
      </x:c>
      <x:c r="B1385" s="1" t="str">
        <x:v>Jsoup</x:v>
      </x:c>
      <x:c r="C1385" s="4" t="n">
        <x:v>22</x:v>
      </x:c>
      <x:c r="D1385" s="4" t="n">
        <x:v>20260928</x:v>
      </x:c>
      <x:c r="E1385" s="4" t="n">
        <x:v>60</x:v>
      </x:c>
      <x:c r="F1385" s="4" t="n">
        <x:v>3298</x:v>
      </x:c>
      <x:c r="G1385" s="5" t="n">
        <x:v>0.2162</x:v>
      </x:c>
      <x:c r="H1385" s="5" t="n">
        <x:v>0.21289999999999998</x:v>
      </x:c>
      <x:c r="I1385" s="5" t="n">
        <x:v>0.2243</x:v>
      </x:c>
      <x:c r="J1385" s="4" t="n">
        <x:v>939</x:v>
      </x:c>
      <x:c r="K1385" s="4" t="n">
        <x:v>203</x:v>
      </x:c>
      <x:c r="L1385" s="4" t="n">
        <x:v>667</x:v>
      </x:c>
      <x:c r="M1385" s="4" t="n">
        <x:v>142</x:v>
      </x:c>
      <x:c r="N1385" s="4" t="n">
        <x:v>272</x:v>
      </x:c>
      <x:c r="O1385" s="4" t="n">
        <x:v>61</x:v>
      </x:c>
      <x:c r="P1385" s="1" t="str">
        <x:v>PASS</x:v>
      </x:c>
      <x:c r="Q1385" s="4" t="n">
        <x:v>0</x:v>
      </x:c>
      <x:c r="R1385" s="1" t="str">
        <x:v>PASS</x:v>
      </x:c>
      <x:c r="S1385" s="4" t="n">
        <x:v>0</x:v>
      </x:c>
      <x:c r="T1385" s="1" t="str">
        <x:v>NOT_REVEALING</x:v>
      </x:c>
      <x:c r="U1385" s="1" t="str">
        <x:v>Jsoup_22</x:v>
      </x:c>
      <x:c r="V1385" s="6" t="n">
        <x:v>57.48</x:v>
      </x:c>
    </x:row>
    <x:row r="1386" ht="22" customHeight="1">
      <x:c r="A1386" s="1" t="str">
        <x:v>Round2</x:v>
      </x:c>
      <x:c r="B1386" s="1" t="str">
        <x:v>Jsoup</x:v>
      </x:c>
      <x:c r="C1386" s="4" t="n">
        <x:v>23</x:v>
      </x:c>
      <x:c r="D1386" s="4" t="n">
        <x:v>20260928</x:v>
      </x:c>
      <x:c r="E1386" s="4" t="n">
        <x:v>60</x:v>
      </x:c>
      <x:c r="F1386" s="4" t="n">
        <x:v>4628</x:v>
      </x:c>
      <x:c r="G1386" s="5" t="n">
        <x:v>0.6206</x:v>
      </x:c>
      <x:c r="H1386" s="5" t="n">
        <x:v>0.7005</x:v>
      </x:c>
      <x:c r="I1386" s="5" t="n">
        <x:v>0.5065999999999999</x:v>
      </x:c>
      <x:c r="J1386" s="4" t="n">
        <x:v>369</x:v>
      </x:c>
      <x:c r="K1386" s="4" t="n">
        <x:v>229</x:v>
      </x:c>
      <x:c r="L1386" s="4" t="n">
        <x:v>217</x:v>
      </x:c>
      <x:c r="M1386" s="4" t="n">
        <x:v>152</x:v>
      </x:c>
      <x:c r="N1386" s="4" t="n">
        <x:v>152</x:v>
      </x:c>
      <x:c r="O1386" s="4" t="n">
        <x:v>77</x:v>
      </x:c>
      <x:c r="P1386" s="1" t="str">
        <x:v>PASS</x:v>
      </x:c>
      <x:c r="Q1386" s="4" t="n">
        <x:v>0</x:v>
      </x:c>
      <x:c r="R1386" s="1" t="str">
        <x:v>PASS</x:v>
      </x:c>
      <x:c r="S1386" s="4" t="n">
        <x:v>0</x:v>
      </x:c>
      <x:c r="T1386" s="1" t="str">
        <x:v>NOT_REVEALING</x:v>
      </x:c>
      <x:c r="U1386" s="1" t="str">
        <x:v>Jsoup_23</x:v>
      </x:c>
      <x:c r="V1386" s="6" t="n">
        <x:v>44.9</x:v>
      </x:c>
    </x:row>
    <x:row r="1387" ht="22" customHeight="1">
      <x:c r="A1387" s="1" t="str">
        <x:v>Round2</x:v>
      </x:c>
      <x:c r="B1387" s="1" t="str">
        <x:v>Jsoup</x:v>
      </x:c>
      <x:c r="C1387" s="4" t="n">
        <x:v>24</x:v>
      </x:c>
      <x:c r="D1387" s="4" t="n">
        <x:v>20260928</x:v>
      </x:c>
      <x:c r="E1387" s="4" t="n">
        <x:v>60</x:v>
      </x:c>
      <x:c r="F1387" s="4" t="n">
        <x:v>67</x:v>
      </x:c>
      <x:c r="G1387" s="5" t="n">
        <x:v>0.1311</x:v>
      </x:c>
      <x:c r="H1387" s="5" t="n">
        <x:v>0.1699</x:v>
      </x:c>
      <x:c r="I1387" s="5" t="n">
        <x:v>0</x:v>
      </x:c>
      <x:c r="J1387" s="4" t="n">
        <x:v>1549</x:v>
      </x:c>
      <x:c r="K1387" s="4" t="n">
        <x:v>203</x:v>
      </x:c>
      <x:c r="L1387" s="4" t="n">
        <x:v>1195</x:v>
      </x:c>
      <x:c r="M1387" s="4" t="n">
        <x:v>203</x:v>
      </x:c>
      <x:c r="N1387" s="4" t="n">
        <x:v>354</x:v>
      </x:c>
      <x:c r="O1387" s="4" t="n">
        <x:v>0</x:v>
      </x:c>
      <x:c r="P1387" s="1" t="str">
        <x:v>PASS</x:v>
      </x:c>
      <x:c r="Q1387" s="4" t="n">
        <x:v>0</x:v>
      </x:c>
      <x:c r="R1387" s="1" t="str">
        <x:v>PASS</x:v>
      </x:c>
      <x:c r="S1387" s="4" t="n">
        <x:v>0</x:v>
      </x:c>
      <x:c r="T1387" s="1" t="str">
        <x:v>NOT_REVEALING</x:v>
      </x:c>
      <x:c r="U1387" s="1" t="str">
        <x:v>Jsoup_24</x:v>
      </x:c>
      <x:c r="V1387" s="6" t="n">
        <x:v>19.66</x:v>
      </x:c>
    </x:row>
    <x:row r="1388" ht="22" customHeight="1">
      <x:c r="A1388" s="1" t="str">
        <x:v>Round2</x:v>
      </x:c>
      <x:c r="B1388" s="1" t="str">
        <x:v>Jsoup</x:v>
      </x:c>
      <x:c r="C1388" s="4" t="n">
        <x:v>25</x:v>
      </x:c>
      <x:c r="D1388" s="4" t="n">
        <x:v>20260928</x:v>
      </x:c>
      <x:c r="E1388" s="4" t="n">
        <x:v>60</x:v>
      </x:c>
      <x:c r="F1388" s="4" t="n">
        <x:v>4454</x:v>
      </x:c>
      <x:c r="G1388" s="5" t="n">
        <x:v>0.7206</x:v>
      </x:c>
      <x:c r="H1388" s="5" t="n">
        <x:v>0.8889</x:v>
      </x:c>
      <x:c r="I1388" s="5" t="n">
        <x:v>0.39130000000000004</x:v>
      </x:c>
      <x:c r="J1388" s="4" t="n">
        <x:v>136</x:v>
      </x:c>
      <x:c r="K1388" s="4" t="n">
        <x:v>98</x:v>
      </x:c>
      <x:c r="L1388" s="4" t="n">
        <x:v>90</x:v>
      </x:c>
      <x:c r="M1388" s="4" t="n">
        <x:v>80</x:v>
      </x:c>
      <x:c r="N1388" s="4" t="n">
        <x:v>46</x:v>
      </x:c>
      <x:c r="O1388" s="4" t="n">
        <x:v>18</x:v>
      </x:c>
      <x:c r="P1388" s="1" t="str">
        <x:v>PASS</x:v>
      </x:c>
      <x:c r="Q1388" s="4" t="n">
        <x:v>0</x:v>
      </x:c>
      <x:c r="R1388" s="1" t="str">
        <x:v>PASS</x:v>
      </x:c>
      <x:c r="S1388" s="4" t="n">
        <x:v>0</x:v>
      </x:c>
      <x:c r="T1388" s="1" t="str">
        <x:v>NOT_REVEALING</x:v>
      </x:c>
      <x:c r="U1388" s="1" t="str">
        <x:v>Jsoup_25</x:v>
      </x:c>
      <x:c r="V1388" s="6" t="n">
        <x:v>43.51</x:v>
      </x:c>
    </x:row>
    <x:row r="1389" ht="22" customHeight="1">
      <x:c r="A1389" s="1" t="str">
        <x:v>Round2</x:v>
      </x:c>
      <x:c r="B1389" s="1" t="str">
        <x:v>Jsoup</x:v>
      </x:c>
      <x:c r="C1389" s="4" t="n">
        <x:v>26</x:v>
      </x:c>
      <x:c r="D1389" s="4" t="n">
        <x:v>20260928</x:v>
      </x:c>
      <x:c r="E1389" s="4" t="n">
        <x:v>60</x:v>
      </x:c>
      <x:c r="F1389" s="4" t="n">
        <x:v>2</x:v>
      </x:c>
      <x:c r="G1389" s="5" t="n">
        <x:v>0.0317</x:v>
      </x:c>
      <x:c r="H1389" s="5" t="n">
        <x:v>0.0408</x:v>
      </x:c>
      <x:c r="I1389" s="5" t="n">
        <x:v>0</x:v>
      </x:c>
      <x:c r="J1389" s="4" t="n">
        <x:v>63</x:v>
      </x:c>
      <x:c r="K1389" s="4" t="n">
        <x:v>2</x:v>
      </x:c>
      <x:c r="L1389" s="4" t="n">
        <x:v>49</x:v>
      </x:c>
      <x:c r="M1389" s="4" t="n">
        <x:v>2</x:v>
      </x:c>
      <x:c r="N1389" s="4" t="n">
        <x:v>14</x:v>
      </x:c>
      <x:c r="O1389" s="4" t="n">
        <x:v>0</x:v>
      </x:c>
      <x:c r="P1389" s="1" t="str">
        <x:v>PASS</x:v>
      </x:c>
      <x:c r="Q1389" s="4" t="n">
        <x:v>0</x:v>
      </x:c>
      <x:c r="R1389" s="1" t="str">
        <x:v>PASS</x:v>
      </x:c>
      <x:c r="S1389" s="4" t="n">
        <x:v>0</x:v>
      </x:c>
      <x:c r="T1389" s="1" t="str">
        <x:v>NOT_REVEALING</x:v>
      </x:c>
      <x:c r="U1389" s="1" t="str">
        <x:v>Jsoup_26</x:v>
      </x:c>
      <x:c r="V1389" s="6" t="n">
        <x:v>17.01</x:v>
      </x:c>
    </x:row>
    <x:row r="1390" ht="22" customHeight="1">
      <x:c r="A1390" s="1" t="str">
        <x:v>Round2</x:v>
      </x:c>
      <x:c r="B1390" s="1" t="str">
        <x:v>Jsoup</x:v>
      </x:c>
      <x:c r="C1390" s="4" t="n">
        <x:v>27</x:v>
      </x:c>
      <x:c r="D1390" s="4" t="n">
        <x:v>20260928</x:v>
      </x:c>
      <x:c r="E1390" s="4" t="n">
        <x:v>60</x:v>
      </x:c>
      <x:c r="F1390" s="4" t="n">
        <x:v>42</x:v>
      </x:c>
      <x:c r="G1390" s="5" t="n">
        <x:v>0.2917</x:v>
      </x:c>
      <x:c r="H1390" s="5" t="n">
        <x:v>0.375</x:v>
      </x:c>
      <x:c r="I1390" s="5" t="n">
        <x:v>0.125</x:v>
      </x:c>
      <x:c r="J1390" s="4" t="n">
        <x:v>72</x:v>
      </x:c>
      <x:c r="K1390" s="4" t="n">
        <x:v>21</x:v>
      </x:c>
      <x:c r="L1390" s="4" t="n">
        <x:v>48</x:v>
      </x:c>
      <x:c r="M1390" s="4" t="n">
        <x:v>18</x:v>
      </x:c>
      <x:c r="N1390" s="4" t="n">
        <x:v>24</x:v>
      </x:c>
      <x:c r="O1390" s="4" t="n">
        <x:v>3</x:v>
      </x:c>
      <x:c r="P1390" s="1" t="str">
        <x:v>PASS</x:v>
      </x:c>
      <x:c r="Q1390" s="4" t="n">
        <x:v>0</x:v>
      </x:c>
      <x:c r="R1390" s="1" t="str">
        <x:v>PASS</x:v>
      </x:c>
      <x:c r="S1390" s="4" t="n">
        <x:v>0</x:v>
      </x:c>
      <x:c r="T1390" s="1" t="str">
        <x:v>NOT_REVEALING</x:v>
      </x:c>
      <x:c r="U1390" s="1" t="str">
        <x:v>Jsoup_27</x:v>
      </x:c>
      <x:c r="V1390" s="6" t="n">
        <x:v>18.9</x:v>
      </x:c>
    </x:row>
    <x:row r="1391" ht="22" customHeight="1">
      <x:c r="A1391" s="1" t="str">
        <x:v>Round2</x:v>
      </x:c>
      <x:c r="B1391" s="1" t="str">
        <x:v>Jsoup</x:v>
      </x:c>
      <x:c r="C1391" s="4" t="n">
        <x:v>28</x:v>
      </x:c>
      <x:c r="D1391" s="4" t="n">
        <x:v>20260928</x:v>
      </x:c>
      <x:c r="E1391" s="4" t="n">
        <x:v>60</x:v>
      </x:c>
      <x:c r="F1391" s="4" t="n">
        <x:v>3946</x:v>
      </x:c>
      <x:c r="G1391" s="5" t="n">
        <x:v>0.48700000000000004</x:v>
      </x:c>
      <x:c r="H1391" s="5" t="n">
        <x:v>0.5865</x:v>
      </x:c>
      <x:c r="I1391" s="5" t="n">
        <x:v>0.2685</x:v>
      </x:c>
      <x:c r="J1391" s="4" t="n">
        <x:v>345</x:v>
      </x:c>
      <x:c r="K1391" s="4" t="n">
        <x:v>168</x:v>
      </x:c>
      <x:c r="L1391" s="4" t="n">
        <x:v>237</x:v>
      </x:c>
      <x:c r="M1391" s="4" t="n">
        <x:v>139</x:v>
      </x:c>
      <x:c r="N1391" s="4" t="n">
        <x:v>108</x:v>
      </x:c>
      <x:c r="O1391" s="4" t="n">
        <x:v>29</x:v>
      </x:c>
      <x:c r="P1391" s="1" t="str">
        <x:v>PASS</x:v>
      </x:c>
      <x:c r="Q1391" s="4" t="n">
        <x:v>0</x:v>
      </x:c>
      <x:c r="R1391" s="1" t="str">
        <x:v>PASS</x:v>
      </x:c>
      <x:c r="S1391" s="4" t="n">
        <x:v>0</x:v>
      </x:c>
      <x:c r="T1391" s="1" t="str">
        <x:v>NOT_REVEALING</x:v>
      </x:c>
      <x:c r="U1391" s="1" t="str">
        <x:v>Jsoup_28</x:v>
      </x:c>
      <x:c r="V1391" s="6" t="n">
        <x:v>43.22</x:v>
      </x:c>
    </x:row>
    <x:row r="1392" ht="22" customHeight="1">
      <x:c r="A1392" s="1" t="str">
        <x:v>Round2</x:v>
      </x:c>
      <x:c r="B1392" s="1" t="str">
        <x:v>Jsoup</x:v>
      </x:c>
      <x:c r="C1392" s="4" t="n">
        <x:v>29</x:v>
      </x:c>
      <x:c r="D1392" s="4" t="n">
        <x:v>20260928</x:v>
      </x:c>
      <x:c r="E1392" s="4" t="n">
        <x:v>60</x:v>
      </x:c>
      <x:c r="F1392" s="4" t="n">
        <x:v>4205</x:v>
      </x:c>
      <x:c r="G1392" s="5" t="n">
        <x:v>0.8431000000000001</x:v>
      </x:c>
      <x:c r="H1392" s="5" t="n">
        <x:v>0.8803</x:v>
      </x:c>
      <x:c r="I1392" s="5" t="n">
        <x:v>0.7222</x:v>
      </x:c>
      <x:c r="J1392" s="4" t="n">
        <x:v>153</x:v>
      </x:c>
      <x:c r="K1392" s="4" t="n">
        <x:v>129</x:v>
      </x:c>
      <x:c r="L1392" s="4" t="n">
        <x:v>117</x:v>
      </x:c>
      <x:c r="M1392" s="4" t="n">
        <x:v>103</x:v>
      </x:c>
      <x:c r="N1392" s="4" t="n">
        <x:v>36</x:v>
      </x:c>
      <x:c r="O1392" s="4" t="n">
        <x:v>26</x:v>
      </x:c>
      <x:c r="P1392" s="1" t="str">
        <x:v>FAIL</x:v>
      </x:c>
      <x:c r="Q1392" s="4" t="n">
        <x:v>434</x:v>
      </x:c>
      <x:c r="R1392" s="1" t="str">
        <x:v>FAIL</x:v>
      </x:c>
      <x:c r="S1392" s="4" t="n">
        <x:v>434</x:v>
      </x:c>
      <x:c r="T1392" s="1" t="str">
        <x:v>INCONCLUSIVE</x:v>
      </x:c>
      <x:c r="U1392" s="1" t="str">
        <x:v>Jsoup_29</x:v>
      </x:c>
      <x:c r="V1392" s="6" t="n">
        <x:v>45.09</x:v>
      </x:c>
    </x:row>
    <x:row r="1393" ht="22" customHeight="1">
      <x:c r="A1393" s="1" t="str">
        <x:v>Round2</x:v>
      </x:c>
      <x:c r="B1393" s="1" t="str">
        <x:v>Jsoup</x:v>
      </x:c>
      <x:c r="C1393" s="4" t="n">
        <x:v>30</x:v>
      </x:c>
      <x:c r="D1393" s="4" t="n">
        <x:v>20260928</x:v>
      </x:c>
      <x:c r="E1393" s="4" t="n">
        <x:v>60</x:v>
      </x:c>
      <x:c r="F1393" s="4" t="n">
        <x:v>2</x:v>
      </x:c>
      <x:c r="G1393" s="5" t="n">
        <x:v>0.030299999999999997</x:v>
      </x:c>
      <x:c r="H1393" s="5" t="n">
        <x:v>0.04</x:v>
      </x:c>
      <x:c r="I1393" s="5" t="n">
        <x:v>0</x:v>
      </x:c>
      <x:c r="J1393" s="4" t="n">
        <x:v>66</x:v>
      </x:c>
      <x:c r="K1393" s="4" t="n">
        <x:v>2</x:v>
      </x:c>
      <x:c r="L1393" s="4" t="n">
        <x:v>50</x:v>
      </x:c>
      <x:c r="M1393" s="4" t="n">
        <x:v>2</x:v>
      </x:c>
      <x:c r="N1393" s="4" t="n">
        <x:v>16</x:v>
      </x:c>
      <x:c r="O1393" s="4" t="n">
        <x:v>0</x:v>
      </x:c>
      <x:c r="P1393" s="1" t="str">
        <x:v>PASS</x:v>
      </x:c>
      <x:c r="Q1393" s="4" t="n">
        <x:v>0</x:v>
      </x:c>
      <x:c r="R1393" s="1" t="str">
        <x:v>PASS</x:v>
      </x:c>
      <x:c r="S1393" s="4" t="n">
        <x:v>0</x:v>
      </x:c>
      <x:c r="T1393" s="1" t="str">
        <x:v>NOT_REVEALING</x:v>
      </x:c>
      <x:c r="U1393" s="1" t="str">
        <x:v>Jsoup_30</x:v>
      </x:c>
      <x:c r="V1393" s="6" t="n">
        <x:v>15.8</x:v>
      </x:c>
    </x:row>
    <x:row r="1394" ht="22" customHeight="1">
      <x:c r="A1394" s="1" t="str">
        <x:v>Round2</x:v>
      </x:c>
      <x:c r="B1394" s="1" t="str">
        <x:v>Jsoup</x:v>
      </x:c>
      <x:c r="C1394" s="4" t="n">
        <x:v>31</x:v>
      </x:c>
      <x:c r="D1394" s="4" t="n">
        <x:v>20260928</x:v>
      </x:c>
      <x:c r="E1394" s="4" t="n">
        <x:v>60</x:v>
      </x:c>
      <x:c r="F1394" s="4" t="n">
        <x:v>4278</x:v>
      </x:c>
      <x:c r="G1394" s="5" t="n">
        <x:v>0.231</x:v>
      </x:c>
      <x:c r="H1394" s="5" t="n">
        <x:v>0.2623</x:v>
      </x:c>
      <x:c r="I1394" s="5" t="n">
        <x:v>0.12710000000000002</x:v>
      </x:c>
      <x:c r="J1394" s="4" t="n">
        <x:v>1766</x:v>
      </x:c>
      <x:c r="K1394" s="4" t="n">
        <x:v>408</x:v>
      </x:c>
      <x:c r="L1394" s="4" t="n">
        <x:v>1357</x:v>
      </x:c>
      <x:c r="M1394" s="4" t="n">
        <x:v>356</x:v>
      </x:c>
      <x:c r="N1394" s="4" t="n">
        <x:v>409</x:v>
      </x:c>
      <x:c r="O1394" s="4" t="n">
        <x:v>52</x:v>
      </x:c>
      <x:c r="P1394" s="1" t="str">
        <x:v>FAIL</x:v>
      </x:c>
      <x:c r="Q1394" s="4" t="n">
        <x:v>38</x:v>
      </x:c>
      <x:c r="R1394" s="1" t="str">
        <x:v>FAIL</x:v>
      </x:c>
      <x:c r="S1394" s="4" t="n">
        <x:v>38</x:v>
      </x:c>
      <x:c r="T1394" s="1" t="str">
        <x:v>INCONCLUSIVE</x:v>
      </x:c>
      <x:c r="U1394" s="1" t="str">
        <x:v>Jsoup_31</x:v>
      </x:c>
      <x:c r="V1394" s="6" t="n">
        <x:v>38.4</x:v>
      </x:c>
    </x:row>
    <x:row r="1395" ht="22" customHeight="1">
      <x:c r="A1395" s="1" t="str">
        <x:v>Round2</x:v>
      </x:c>
      <x:c r="B1395" s="1" t="str">
        <x:v>Jsoup</x:v>
      </x:c>
      <x:c r="C1395" s="4" t="n">
        <x:v>32</x:v>
      </x:c>
      <x:c r="D1395" s="4" t="n">
        <x:v>20260928</x:v>
      </x:c>
      <x:c r="E1395" s="4" t="n">
        <x:v>60</x:v>
      </x:c>
      <x:c r="F1395" s="4" t="n">
        <x:v>5</x:v>
      </x:c>
      <x:c r="G1395" s="5" t="n">
        <x:v>0.0068000000000000005</x:v>
      </x:c>
      <x:c r="H1395" s="5" t="n">
        <x:v>0.009899999999999999</x:v>
      </x:c>
      <x:c r="I1395" s="5" t="n">
        <x:v>0</x:v>
      </x:c>
      <x:c r="J1395" s="4" t="n">
        <x:v>443</x:v>
      </x:c>
      <x:c r="K1395" s="4" t="n">
        <x:v>3</x:v>
      </x:c>
      <x:c r="L1395" s="4" t="n">
        <x:v>303</x:v>
      </x:c>
      <x:c r="M1395" s="4" t="n">
        <x:v>3</x:v>
      </x:c>
      <x:c r="N1395" s="4" t="n">
        <x:v>140</x:v>
      </x:c>
      <x:c r="O1395" s="4" t="n">
        <x:v>0</x:v>
      </x:c>
      <x:c r="P1395" s="1" t="str">
        <x:v>PASS</x:v>
      </x:c>
      <x:c r="Q1395" s="4" t="n">
        <x:v>0</x:v>
      </x:c>
      <x:c r="R1395" s="1" t="str">
        <x:v>PASS</x:v>
      </x:c>
      <x:c r="S1395" s="4" t="n">
        <x:v>0</x:v>
      </x:c>
      <x:c r="T1395" s="1" t="str">
        <x:v>NOT_REVEALING</x:v>
      </x:c>
      <x:c r="U1395" s="1" t="str">
        <x:v>Jsoup_32</x:v>
      </x:c>
      <x:c r="V1395" s="6" t="n">
        <x:v>19</x:v>
      </x:c>
    </x:row>
    <x:row r="1396" ht="22" customHeight="1">
      <x:c r="A1396" s="1" t="str">
        <x:v>Round2</x:v>
      </x:c>
      <x:c r="B1396" s="1" t="str">
        <x:v>Jsoup</x:v>
      </x:c>
      <x:c r="C1396" s="4" t="n">
        <x:v>33</x:v>
      </x:c>
      <x:c r="D1396" s="4" t="n">
        <x:v>20260928</x:v>
      </x:c>
      <x:c r="E1396" s="4" t="n">
        <x:v>60</x:v>
      </x:c>
      <x:c r="F1396" s="4" t="n">
        <x:v>4192</x:v>
      </x:c>
      <x:c r="G1396" s="5" t="n">
        <x:v>0.716</x:v>
      </x:c>
      <x:c r="H1396" s="5" t="n">
        <x:v>0.7608</x:v>
      </x:c>
      <x:c r="I1396" s="5" t="n">
        <x:v>0.6286999999999999</x:v>
      </x:c>
      <x:c r="J1396" s="4" t="n">
        <x:v>595</x:v>
      </x:c>
      <x:c r="K1396" s="4" t="n">
        <x:v>426</x:v>
      </x:c>
      <x:c r="L1396" s="4" t="n">
        <x:v>393</x:v>
      </x:c>
      <x:c r="M1396" s="4" t="n">
        <x:v>299</x:v>
      </x:c>
      <x:c r="N1396" s="4" t="n">
        <x:v>202</x:v>
      </x:c>
      <x:c r="O1396" s="4" t="n">
        <x:v>127</x:v>
      </x:c>
      <x:c r="P1396" s="1" t="str">
        <x:v>FAIL</x:v>
      </x:c>
      <x:c r="Q1396" s="4" t="n">
        <x:v>42</x:v>
      </x:c>
      <x:c r="R1396" s="1" t="str">
        <x:v>FAIL</x:v>
      </x:c>
      <x:c r="S1396" s="4" t="n">
        <x:v>42</x:v>
      </x:c>
      <x:c r="T1396" s="1" t="str">
        <x:v>INCONCLUSIVE</x:v>
      </x:c>
      <x:c r="U1396" s="1" t="str">
        <x:v>Jsoup_33</x:v>
      </x:c>
      <x:c r="V1396" s="6" t="n">
        <x:v>50.67</x:v>
      </x:c>
    </x:row>
    <x:row r="1397" ht="22" customHeight="1">
      <x:c r="A1397" s="1" t="str">
        <x:v>Round2</x:v>
      </x:c>
      <x:c r="B1397" s="1" t="str">
        <x:v>Jsoup</x:v>
      </x:c>
      <x:c r="C1397" s="4" t="n">
        <x:v>34</x:v>
      </x:c>
      <x:c r="D1397" s="4" t="n">
        <x:v>20260928</x:v>
      </x:c>
      <x:c r="E1397" s="4" t="n">
        <x:v>60</x:v>
      </x:c>
      <x:c r="F1397" s="4" t="n">
        <x:v>4907</x:v>
      </x:c>
      <x:c r="G1397" s="5" t="n">
        <x:v>0.8985</x:v>
      </x:c>
      <x:c r="H1397" s="5" t="n">
        <x:v>0.9412</x:v>
      </x:c>
      <x:c r="I1397" s="5" t="n">
        <x:v>0.8538</x:v>
      </x:c>
      <x:c r="J1397" s="4" t="n">
        <x:v>266</x:v>
      </x:c>
      <x:c r="K1397" s="4" t="n">
        <x:v>239</x:v>
      </x:c>
      <x:c r="L1397" s="4" t="n">
        <x:v>136</x:v>
      </x:c>
      <x:c r="M1397" s="4" t="n">
        <x:v>128</x:v>
      </x:c>
      <x:c r="N1397" s="4" t="n">
        <x:v>130</x:v>
      </x:c>
      <x:c r="O1397" s="4" t="n">
        <x:v>111</x:v>
      </x:c>
      <x:c r="P1397" s="1" t="str">
        <x:v>PASS</x:v>
      </x:c>
      <x:c r="Q1397" s="4" t="n">
        <x:v>0</x:v>
      </x:c>
      <x:c r="R1397" s="1" t="str">
        <x:v>PASS</x:v>
      </x:c>
      <x:c r="S1397" s="4" t="n">
        <x:v>0</x:v>
      </x:c>
      <x:c r="T1397" s="1" t="str">
        <x:v>NOT_REVEALING</x:v>
      </x:c>
      <x:c r="U1397" s="1" t="str">
        <x:v>Jsoup_34</x:v>
      </x:c>
      <x:c r="V1397" s="6" t="n">
        <x:v>48.61</x:v>
      </x:c>
    </x:row>
    <x:row r="1398" ht="22" customHeight="1">
      <x:c r="A1398" s="1" t="str">
        <x:v>Round2</x:v>
      </x:c>
      <x:c r="B1398" s="1" t="str">
        <x:v>Jsoup</x:v>
      </x:c>
      <x:c r="C1398" s="4" t="n">
        <x:v>35</x:v>
      </x:c>
      <x:c r="D1398" s="4" t="n">
        <x:v>20260928</x:v>
      </x:c>
      <x:c r="E1398" s="4" t="n">
        <x:v>60</x:v>
      </x:c>
      <x:c r="F1398" s="4" t="n">
        <x:v>23</x:v>
      </x:c>
      <x:c r="G1398" s="5" t="n">
        <x:v>0.04</x:v>
      </x:c>
      <x:c r="H1398" s="5" t="n">
        <x:v>0.0677</x:v>
      </x:c>
      <x:c r="I1398" s="5" t="n">
        <x:v>0</x:v>
      </x:c>
      <x:c r="J1398" s="4" t="n">
        <x:v>1827</x:v>
      </x:c>
      <x:c r="K1398" s="4" t="n">
        <x:v>73</x:v>
      </x:c>
      <x:c r="L1398" s="4" t="n">
        <x:v>1078</x:v>
      </x:c>
      <x:c r="M1398" s="4" t="n">
        <x:v>73</x:v>
      </x:c>
      <x:c r="N1398" s="4" t="n">
        <x:v>749</x:v>
      </x:c>
      <x:c r="O1398" s="4" t="n">
        <x:v>0</x:v>
      </x:c>
      <x:c r="P1398" s="1" t="str">
        <x:v>PASS</x:v>
      </x:c>
      <x:c r="Q1398" s="4" t="n">
        <x:v>0</x:v>
      </x:c>
      <x:c r="R1398" s="1" t="str">
        <x:v>PASS</x:v>
      </x:c>
      <x:c r="S1398" s="4" t="n">
        <x:v>0</x:v>
      </x:c>
      <x:c r="T1398" s="1" t="str">
        <x:v>NOT_REVEALING</x:v>
      </x:c>
      <x:c r="U1398" s="1" t="str">
        <x:v>Jsoup_35</x:v>
      </x:c>
      <x:c r="V1398" s="6" t="n">
        <x:v>20.11</x:v>
      </x:c>
    </x:row>
    <x:row r="1399" ht="22" customHeight="1">
      <x:c r="A1399" s="1" t="str">
        <x:v>Round2</x:v>
      </x:c>
      <x:c r="B1399" s="1" t="str">
        <x:v>Jsoup</x:v>
      </x:c>
      <x:c r="C1399" s="4" t="n">
        <x:v>36</x:v>
      </x:c>
      <x:c r="D1399" s="4" t="n">
        <x:v>20260928</x:v>
      </x:c>
      <x:c r="E1399" s="4" t="n">
        <x:v>60</x:v>
      </x:c>
      <x:c r="F1399" s="4" t="n">
        <x:v>61</x:v>
      </x:c>
      <x:c r="G1399" s="5" t="n">
        <x:v>0.2959</x:v>
      </x:c>
      <x:c r="H1399" s="5" t="n">
        <x:v>0.3667</x:v>
      </x:c>
      <x:c r="I1399" s="5" t="n">
        <x:v>0.18420000000000003</x:v>
      </x:c>
      <x:c r="J1399" s="4" t="n">
        <x:v>98</x:v>
      </x:c>
      <x:c r="K1399" s="4" t="n">
        <x:v>29</x:v>
      </x:c>
      <x:c r="L1399" s="4" t="n">
        <x:v>60</x:v>
      </x:c>
      <x:c r="M1399" s="4" t="n">
        <x:v>22</x:v>
      </x:c>
      <x:c r="N1399" s="4" t="n">
        <x:v>38</x:v>
      </x:c>
      <x:c r="O1399" s="4" t="n">
        <x:v>7</x:v>
      </x:c>
      <x:c r="P1399" s="1" t="str">
        <x:v>PASS</x:v>
      </x:c>
      <x:c r="Q1399" s="4" t="n">
        <x:v>0</x:v>
      </x:c>
      <x:c r="R1399" s="1" t="str">
        <x:v>PASS</x:v>
      </x:c>
      <x:c r="S1399" s="4" t="n">
        <x:v>0</x:v>
      </x:c>
      <x:c r="T1399" s="1" t="str">
        <x:v>NOT_REVEALING</x:v>
      </x:c>
      <x:c r="U1399" s="1" t="str">
        <x:v>Jsoup_36</x:v>
      </x:c>
      <x:c r="V1399" s="6" t="n">
        <x:v>17.28</x:v>
      </x:c>
    </x:row>
    <x:row r="1400" ht="22" customHeight="1">
      <x:c r="A1400" s="1" t="str">
        <x:v>Round2</x:v>
      </x:c>
      <x:c r="B1400" s="1" t="str">
        <x:v>Jsoup</x:v>
      </x:c>
      <x:c r="C1400" s="4" t="n">
        <x:v>37</x:v>
      </x:c>
      <x:c r="D1400" s="4" t="n">
        <x:v>20260928</x:v>
      </x:c>
      <x:c r="E1400" s="4" t="n">
        <x:v>60</x:v>
      </x:c>
      <x:c r="F1400" s="4" t="n">
        <x:v>6</x:v>
      </x:c>
      <x:c r="G1400" s="5" t="n">
        <x:v>0.0131</x:v>
      </x:c>
      <x:c r="H1400" s="5" t="n">
        <x:v>0.0163</x:v>
      </x:c>
      <x:c r="I1400" s="5" t="n">
        <x:v>0.0066</x:v>
      </x:c>
      <x:c r="J1400" s="4" t="n">
        <x:v>459</x:v>
      </x:c>
      <x:c r="K1400" s="4" t="n">
        <x:v>6</x:v>
      </x:c>
      <x:c r="L1400" s="4" t="n">
        <x:v>307</x:v>
      </x:c>
      <x:c r="M1400" s="4" t="n">
        <x:v>5</x:v>
      </x:c>
      <x:c r="N1400" s="4" t="n">
        <x:v>152</x:v>
      </x:c>
      <x:c r="O1400" s="4" t="n">
        <x:v>1</x:v>
      </x:c>
      <x:c r="P1400" s="1" t="str">
        <x:v>PASS</x:v>
      </x:c>
      <x:c r="Q1400" s="4" t="n">
        <x:v>0</x:v>
      </x:c>
      <x:c r="R1400" s="1" t="str">
        <x:v>PASS</x:v>
      </x:c>
      <x:c r="S1400" s="4" t="n">
        <x:v>0</x:v>
      </x:c>
      <x:c r="T1400" s="1" t="str">
        <x:v>NOT_REVEALING</x:v>
      </x:c>
      <x:c r="U1400" s="1" t="str">
        <x:v>Jsoup_37</x:v>
      </x:c>
      <x:c r="V1400" s="6" t="n">
        <x:v>16.92</x:v>
      </x:c>
    </x:row>
    <x:row r="1401" ht="22" customHeight="1">
      <x:c r="A1401" s="1" t="str">
        <x:v>Round2</x:v>
      </x:c>
      <x:c r="B1401" s="1" t="str">
        <x:v>Jsoup</x:v>
      </x:c>
      <x:c r="C1401" s="4" t="n">
        <x:v>38</x:v>
      </x:c>
      <x:c r="D1401" s="4" t="n">
        <x:v>20260928</x:v>
      </x:c>
      <x:c r="E1401" s="4" t="n">
        <x:v>60</x:v>
      </x:c>
      <x:c r="F1401" s="4" t="n">
        <x:v>23</x:v>
      </x:c>
      <x:c r="G1401" s="5" t="n">
        <x:v>0.0395</x:v>
      </x:c>
      <x:c r="H1401" s="5" t="n">
        <x:v>0.0665</x:v>
      </x:c>
      <x:c r="I1401" s="5" t="n">
        <x:v>0</x:v>
      </x:c>
      <x:c r="J1401" s="4" t="n">
        <x:v>1846</x:v>
      </x:c>
      <x:c r="K1401" s="4" t="n">
        <x:v>73</x:v>
      </x:c>
      <x:c r="L1401" s="4" t="n">
        <x:v>1097</x:v>
      </x:c>
      <x:c r="M1401" s="4" t="n">
        <x:v>73</x:v>
      </x:c>
      <x:c r="N1401" s="4" t="n">
        <x:v>749</x:v>
      </x:c>
      <x:c r="O1401" s="4" t="n">
        <x:v>0</x:v>
      </x:c>
      <x:c r="P1401" s="1" t="str">
        <x:v>PASS</x:v>
      </x:c>
      <x:c r="Q1401" s="4" t="n">
        <x:v>0</x:v>
      </x:c>
      <x:c r="R1401" s="1" t="str">
        <x:v>PASS</x:v>
      </x:c>
      <x:c r="S1401" s="4" t="n">
        <x:v>0</x:v>
      </x:c>
      <x:c r="T1401" s="1" t="str">
        <x:v>NOT_REVEALING</x:v>
      </x:c>
      <x:c r="U1401" s="1" t="str">
        <x:v>Jsoup_38</x:v>
      </x:c>
      <x:c r="V1401" s="6" t="n">
        <x:v>17.47</x:v>
      </x:c>
    </x:row>
    <x:row r="1402" ht="22" customHeight="1">
      <x:c r="A1402" s="1" t="str">
        <x:v>Round2</x:v>
      </x:c>
      <x:c r="B1402" s="1" t="str">
        <x:v>Jsoup</x:v>
      </x:c>
      <x:c r="C1402" s="4" t="n">
        <x:v>39</x:v>
      </x:c>
      <x:c r="D1402" s="4" t="n">
        <x:v>20260928</x:v>
      </x:c>
      <x:c r="E1402" s="4" t="n">
        <x:v>60</x:v>
      </x:c>
      <x:c r="F1402" s="4" t="n">
        <x:v>61</x:v>
      </x:c>
      <x:c r="G1402" s="5" t="n">
        <x:v>0.2397</x:v>
      </x:c>
      <x:c r="H1402" s="5" t="n">
        <x:v>0.2933</x:v>
      </x:c>
      <x:c r="I1402" s="5" t="n">
        <x:v>0.1522</x:v>
      </x:c>
      <x:c r="J1402" s="4" t="n">
        <x:v>121</x:v>
      </x:c>
      <x:c r="K1402" s="4" t="n">
        <x:v>29</x:v>
      </x:c>
      <x:c r="L1402" s="4" t="n">
        <x:v>75</x:v>
      </x:c>
      <x:c r="M1402" s="4" t="n">
        <x:v>22</x:v>
      </x:c>
      <x:c r="N1402" s="4" t="n">
        <x:v>46</x:v>
      </x:c>
      <x:c r="O1402" s="4" t="n">
        <x:v>7</x:v>
      </x:c>
      <x:c r="P1402" s="1" t="str">
        <x:v>PASS</x:v>
      </x:c>
      <x:c r="Q1402" s="4" t="n">
        <x:v>0</x:v>
      </x:c>
      <x:c r="R1402" s="1" t="str">
        <x:v>PASS</x:v>
      </x:c>
      <x:c r="S1402" s="4" t="n">
        <x:v>0</x:v>
      </x:c>
      <x:c r="T1402" s="1" t="str">
        <x:v>NOT_REVEALING</x:v>
      </x:c>
      <x:c r="U1402" s="1" t="str">
        <x:v>Jsoup_39</x:v>
      </x:c>
      <x:c r="V1402" s="6" t="n">
        <x:v>18.07</x:v>
      </x:c>
    </x:row>
    <x:row r="1403" ht="22" customHeight="1">
      <x:c r="A1403" s="1" t="str">
        <x:v>Round2</x:v>
      </x:c>
      <x:c r="B1403" s="1" t="str">
        <x:v>Jsoup</x:v>
      </x:c>
      <x:c r="C1403" s="4" t="n">
        <x:v>40</x:v>
      </x:c>
      <x:c r="D1403" s="4" t="n">
        <x:v>20260928</x:v>
      </x:c>
      <x:c r="E1403" s="4" t="n">
        <x:v>60</x:v>
      </x:c>
      <x:c r="F1403" s="4" t="n">
        <x:v>5268</x:v>
      </x:c>
      <x:c r="G1403" s="5" t="n">
        <x:v>0.9565</x:v>
      </x:c>
      <x:c r="H1403" s="5" t="n">
        <x:v>1</x:v>
      </x:c>
      <x:c r="I1403" s="5" t="n">
        <x:v>0.8332999999999999</x:v>
      </x:c>
      <x:c r="J1403" s="4" t="n">
        <x:v>23</x:v>
      </x:c>
      <x:c r="K1403" s="4" t="n">
        <x:v>22</x:v>
      </x:c>
      <x:c r="L1403" s="4" t="n">
        <x:v>17</x:v>
      </x:c>
      <x:c r="M1403" s="4" t="n">
        <x:v>17</x:v>
      </x:c>
      <x:c r="N1403" s="4" t="n">
        <x:v>6</x:v>
      </x:c>
      <x:c r="O1403" s="4" t="n">
        <x:v>5</x:v>
      </x:c>
      <x:c r="P1403" s="1" t="str">
        <x:v>FAIL</x:v>
      </x:c>
      <x:c r="Q1403" s="4" t="n">
        <x:v>82</x:v>
      </x:c>
      <x:c r="R1403" s="1" t="str">
        <x:v>FAIL</x:v>
      </x:c>
      <x:c r="S1403" s="4" t="n">
        <x:v>168</x:v>
      </x:c>
      <x:c r="T1403" s="1" t="str">
        <x:v>INCONCLUSIVE</x:v>
      </x:c>
      <x:c r="U1403" s="1" t="str">
        <x:v>Jsoup_40</x:v>
      </x:c>
      <x:c r="V1403" s="6" t="n">
        <x:v>43.38</x:v>
      </x:c>
    </x:row>
    <x:row r="1404" ht="22" customHeight="1">
      <x:c r="A1404" s="1" t="str">
        <x:v>Round2</x:v>
      </x:c>
      <x:c r="B1404" s="1" t="str">
        <x:v>Jsoup</x:v>
      </x:c>
      <x:c r="C1404" s="4" t="n">
        <x:v>41</x:v>
      </x:c>
      <x:c r="D1404" s="4" t="n">
        <x:v>20260928</x:v>
      </x:c>
      <x:c r="E1404" s="4" t="n">
        <x:v>60</x:v>
      </x:c>
      <x:c r="F1404" s="4" t="n">
        <x:v>6</x:v>
      </x:c>
      <x:c r="G1404" s="5" t="n">
        <x:v>0.012</x:v>
      </x:c>
      <x:c r="H1404" s="5" t="n">
        <x:v>0.015300000000000001</x:v>
      </x:c>
      <x:c r="I1404" s="5" t="n">
        <x:v>0.005699999999999999</x:v>
      </x:c>
      <x:c r="J1404" s="4" t="n">
        <x:v>500</x:v>
      </x:c>
      <x:c r="K1404" s="4" t="n">
        <x:v>6</x:v>
      </x:c>
      <x:c r="L1404" s="4" t="n">
        <x:v>326</x:v>
      </x:c>
      <x:c r="M1404" s="4" t="n">
        <x:v>5</x:v>
      </x:c>
      <x:c r="N1404" s="4" t="n">
        <x:v>174</x:v>
      </x:c>
      <x:c r="O1404" s="4" t="n">
        <x:v>1</x:v>
      </x:c>
      <x:c r="P1404" s="1" t="str">
        <x:v>PASS</x:v>
      </x:c>
      <x:c r="Q1404" s="4" t="n">
        <x:v>0</x:v>
      </x:c>
      <x:c r="R1404" s="1" t="str">
        <x:v>PASS</x:v>
      </x:c>
      <x:c r="S1404" s="4" t="n">
        <x:v>0</x:v>
      </x:c>
      <x:c r="T1404" s="1" t="str">
        <x:v>NOT_REVEALING</x:v>
      </x:c>
      <x:c r="U1404" s="1" t="str">
        <x:v>Jsoup_41</x:v>
      </x:c>
      <x:c r="V1404" s="6" t="n">
        <x:v>19.32</x:v>
      </x:c>
    </x:row>
    <x:row r="1405" ht="22" customHeight="1">
      <x:c r="A1405" s="1" t="str">
        <x:v>Round2</x:v>
      </x:c>
      <x:c r="B1405" s="1" t="str">
        <x:v>Jsoup</x:v>
      </x:c>
      <x:c r="C1405" s="4" t="n">
        <x:v>42</x:v>
      </x:c>
      <x:c r="D1405" s="4" t="n">
        <x:v>20260928</x:v>
      </x:c>
      <x:c r="E1405" s="4" t="n">
        <x:v>60</x:v>
      </x:c>
      <x:c r="F1405" s="4" t="n">
        <x:v>3</x:v>
      </x:c>
      <x:c r="G1405" s="5" t="n">
        <x:v>0.015600000000000001</x:v>
      </x:c>
      <x:c r="H1405" s="5" t="n">
        <x:v>0.025</x:v>
      </x:c>
      <x:c r="I1405" s="5" t="n">
        <x:v>0</x:v>
      </x:c>
      <x:c r="J1405" s="4" t="n">
        <x:v>64</x:v>
      </x:c>
      <x:c r="K1405" s="4" t="n">
        <x:v>1</x:v>
      </x:c>
      <x:c r="L1405" s="4" t="n">
        <x:v>40</x:v>
      </x:c>
      <x:c r="M1405" s="4" t="n">
        <x:v>1</x:v>
      </x:c>
      <x:c r="N1405" s="4" t="n">
        <x:v>24</x:v>
      </x:c>
      <x:c r="O1405" s="4" t="n">
        <x:v>0</x:v>
      </x:c>
      <x:c r="P1405" s="1" t="str">
        <x:v>PASS</x:v>
      </x:c>
      <x:c r="Q1405" s="4" t="n">
        <x:v>0</x:v>
      </x:c>
      <x:c r="R1405" s="1" t="str">
        <x:v>PASS</x:v>
      </x:c>
      <x:c r="S1405" s="4" t="n">
        <x:v>0</x:v>
      </x:c>
      <x:c r="T1405" s="1" t="str">
        <x:v>NOT_REVEALING</x:v>
      </x:c>
      <x:c r="U1405" s="1" t="str">
        <x:v>Jsoup_42</x:v>
      </x:c>
      <x:c r="V1405" s="6" t="n">
        <x:v>18.38</x:v>
      </x:c>
    </x:row>
    <x:row r="1406" ht="22" customHeight="1">
      <x:c r="A1406" s="1" t="str">
        <x:v>Round2</x:v>
      </x:c>
      <x:c r="B1406" s="1" t="str">
        <x:v>Jsoup</x:v>
      </x:c>
      <x:c r="C1406" s="4" t="n">
        <x:v>43</x:v>
      </x:c>
      <x:c r="D1406" s="4" t="n">
        <x:v>20260928</x:v>
      </x:c>
      <x:c r="E1406" s="4" t="n">
        <x:v>60</x:v>
      </x:c>
      <x:c r="F1406" s="4" t="n">
        <x:v>6</x:v>
      </x:c>
      <x:c r="G1406" s="5" t="n">
        <x:v>0.0139</x:v>
      </x:c>
      <x:c r="H1406" s="5" t="n">
        <x:v>0.0183</x:v>
      </x:c>
      <x:c r="I1406" s="5" t="n">
        <x:v>0.005699999999999999</x:v>
      </x:c>
      <x:c r="J1406" s="4" t="n">
        <x:v>502</x:v>
      </x:c>
      <x:c r="K1406" s="4" t="n">
        <x:v>7</x:v>
      </x:c>
      <x:c r="L1406" s="4" t="n">
        <x:v>328</x:v>
      </x:c>
      <x:c r="M1406" s="4" t="n">
        <x:v>6</x:v>
      </x:c>
      <x:c r="N1406" s="4" t="n">
        <x:v>174</x:v>
      </x:c>
      <x:c r="O1406" s="4" t="n">
        <x:v>1</x:v>
      </x:c>
      <x:c r="P1406" s="1" t="str">
        <x:v>PASS</x:v>
      </x:c>
      <x:c r="Q1406" s="4" t="n">
        <x:v>0</x:v>
      </x:c>
      <x:c r="R1406" s="1" t="str">
        <x:v>PASS</x:v>
      </x:c>
      <x:c r="S1406" s="4" t="n">
        <x:v>0</x:v>
      </x:c>
      <x:c r="T1406" s="1" t="str">
        <x:v>NOT_REVEALING</x:v>
      </x:c>
      <x:c r="U1406" s="1" t="str">
        <x:v>Jsoup_43</x:v>
      </x:c>
      <x:c r="V1406" s="6" t="n">
        <x:v>18.59</x:v>
      </x:c>
    </x:row>
    <x:row r="1407" ht="22" customHeight="1">
      <x:c r="A1407" s="1" t="str">
        <x:v>Round2</x:v>
      </x:c>
      <x:c r="B1407" s="1" t="str">
        <x:v>Jsoup</x:v>
      </x:c>
      <x:c r="C1407" s="4" t="n">
        <x:v>44</x:v>
      </x:c>
      <x:c r="D1407" s="4" t="n">
        <x:v>20260928</x:v>
      </x:c>
      <x:c r="E1407" s="4" t="n">
        <x:v>60</x:v>
      </x:c>
      <x:c r="F1407" s="4" t="n">
        <x:v>1</x:v>
      </x:c>
      <x:c r="G1407" s="5" t="n">
        <x:v>0</x:v>
      </x:c>
      <x:c r="H1407" s="5" t="n">
        <x:v>0</x:v>
      </x:c>
      <x:c r="I1407" s="5" t="n">
        <x:v>0</x:v>
      </x:c>
      <x:c r="J1407" s="4" t="n">
        <x:v>34</x:v>
      </x:c>
      <x:c r="K1407" s="4" t="n">
        <x:v>0</x:v>
      </x:c>
      <x:c r="L1407" s="4" t="n">
        <x:v>30</x:v>
      </x:c>
      <x:c r="M1407" s="4" t="n">
        <x:v>0</x:v>
      </x:c>
      <x:c r="N1407" s="4" t="n">
        <x:v>4</x:v>
      </x:c>
      <x:c r="O1407" s="4" t="n">
        <x:v>0</x:v>
      </x:c>
      <x:c r="P1407" s="1" t="str">
        <x:v>PASS</x:v>
      </x:c>
      <x:c r="Q1407" s="4" t="n">
        <x:v>0</x:v>
      </x:c>
      <x:c r="R1407" s="1" t="str">
        <x:v>PASS</x:v>
      </x:c>
      <x:c r="S1407" s="4" t="n">
        <x:v>0</x:v>
      </x:c>
      <x:c r="T1407" s="1" t="str">
        <x:v>NOT_REVEALING</x:v>
      </x:c>
      <x:c r="U1407" s="1" t="str">
        <x:v>Jsoup_44</x:v>
      </x:c>
      <x:c r="V1407" s="6" t="n">
        <x:v>17.3</x:v>
      </x:c>
    </x:row>
    <x:row r="1408" ht="22" customHeight="1">
      <x:c r="A1408" s="1" t="str">
        <x:v>Round2</x:v>
      </x:c>
      <x:c r="B1408" s="1" t="str">
        <x:v>Jsoup</x:v>
      </x:c>
      <x:c r="C1408" s="4" t="n">
        <x:v>45</x:v>
      </x:c>
      <x:c r="D1408" s="4" t="n">
        <x:v>20260928</x:v>
      </x:c>
      <x:c r="E1408" s="4" t="n">
        <x:v>60</x:v>
      </x:c>
      <x:c r="F1408" s="4" t="n">
        <x:v>4038</x:v>
      </x:c>
      <x:c r="G1408" s="5" t="n">
        <x:v>0.7561</x:v>
      </x:c>
      <x:c r="H1408" s="5" t="n">
        <x:v>0.7951999999999999</x:v>
      </x:c>
      <x:c r="I1408" s="5" t="n">
        <x:v>0.6831999999999999</x:v>
      </x:c>
      <x:c r="J1408" s="4" t="n">
        <x:v>578</x:v>
      </x:c>
      <x:c r="K1408" s="4" t="n">
        <x:v>437</x:v>
      </x:c>
      <x:c r="L1408" s="4" t="n">
        <x:v>376</x:v>
      </x:c>
      <x:c r="M1408" s="4" t="n">
        <x:v>299</x:v>
      </x:c>
      <x:c r="N1408" s="4" t="n">
        <x:v>202</x:v>
      </x:c>
      <x:c r="O1408" s="4" t="n">
        <x:v>138</x:v>
      </x:c>
      <x:c r="P1408" s="1" t="str">
        <x:v>FAIL</x:v>
      </x:c>
      <x:c r="Q1408" s="4" t="n">
        <x:v>192</x:v>
      </x:c>
      <x:c r="R1408" s="1" t="str">
        <x:v>FAIL</x:v>
      </x:c>
      <x:c r="S1408" s="4" t="n">
        <x:v>192</x:v>
      </x:c>
      <x:c r="T1408" s="1" t="str">
        <x:v>INCONCLUSIVE</x:v>
      </x:c>
      <x:c r="U1408" s="1" t="str">
        <x:v>Jsoup_45</x:v>
      </x:c>
      <x:c r="V1408" s="6" t="n">
        <x:v>50.44</x:v>
      </x:c>
    </x:row>
    <x:row r="1409" ht="22" customHeight="1">
      <x:c r="A1409" s="1" t="str">
        <x:v>Round2</x:v>
      </x:c>
      <x:c r="B1409" s="1" t="str">
        <x:v>Jsoup</x:v>
      </x:c>
      <x:c r="C1409" s="4" t="n">
        <x:v>46</x:v>
      </x:c>
      <x:c r="D1409" s="4" t="n">
        <x:v>20260928</x:v>
      </x:c>
      <x:c r="E1409" s="4" t="n">
        <x:v>60</x:v>
      </x:c>
      <x:c r="F1409" s="4" t="n">
        <x:v>625</x:v>
      </x:c>
      <x:c r="G1409" s="5" t="n">
        <x:v>0.3846</x:v>
      </x:c>
      <x:c r="H1409" s="5" t="n">
        <x:v>0.48310000000000003</x:v>
      </x:c>
      <x:c r="I1409" s="5" t="n">
        <x:v>0.15689999999999998</x:v>
      </x:c>
      <x:c r="J1409" s="4" t="n">
        <x:v>169</x:v>
      </x:c>
      <x:c r="K1409" s="4" t="n">
        <x:v>65</x:v>
      </x:c>
      <x:c r="L1409" s="4" t="n">
        <x:v>118</x:v>
      </x:c>
      <x:c r="M1409" s="4" t="n">
        <x:v>57</x:v>
      </x:c>
      <x:c r="N1409" s="4" t="n">
        <x:v>51</x:v>
      </x:c>
      <x:c r="O1409" s="4" t="n">
        <x:v>8</x:v>
      </x:c>
      <x:c r="P1409" s="1" t="str">
        <x:v>PASS</x:v>
      </x:c>
      <x:c r="Q1409" s="4" t="n">
        <x:v>0</x:v>
      </x:c>
      <x:c r="R1409" s="1" t="str">
        <x:v>PASS</x:v>
      </x:c>
      <x:c r="S1409" s="4" t="n">
        <x:v>0</x:v>
      </x:c>
      <x:c r="T1409" s="1" t="str">
        <x:v>NOT_REVEALING</x:v>
      </x:c>
      <x:c r="U1409" s="1" t="str">
        <x:v>Jsoup_46</x:v>
      </x:c>
      <x:c r="V1409" s="6" t="n">
        <x:v>34.85</x:v>
      </x:c>
    </x:row>
    <x:row r="1410" ht="22" customHeight="1">
      <x:c r="A1410" s="1" t="str">
        <x:v>Round2</x:v>
      </x:c>
      <x:c r="B1410" s="1" t="str">
        <x:v>Jsoup</x:v>
      </x:c>
      <x:c r="C1410" s="4" t="n">
        <x:v>47</x:v>
      </x:c>
      <x:c r="D1410" s="4" t="n">
        <x:v>20260928</x:v>
      </x:c>
      <x:c r="E1410" s="4" t="n">
        <x:v>60</x:v>
      </x:c>
      <x:c r="F1410" s="4" t="n">
        <x:v>625</x:v>
      </x:c>
      <x:c r="G1410" s="5" t="n">
        <x:v>0.3846</x:v>
      </x:c>
      <x:c r="H1410" s="5" t="n">
        <x:v>0.48310000000000003</x:v>
      </x:c>
      <x:c r="I1410" s="5" t="n">
        <x:v>0.15689999999999998</x:v>
      </x:c>
      <x:c r="J1410" s="4" t="n">
        <x:v>169</x:v>
      </x:c>
      <x:c r="K1410" s="4" t="n">
        <x:v>65</x:v>
      </x:c>
      <x:c r="L1410" s="4" t="n">
        <x:v>118</x:v>
      </x:c>
      <x:c r="M1410" s="4" t="n">
        <x:v>57</x:v>
      </x:c>
      <x:c r="N1410" s="4" t="n">
        <x:v>51</x:v>
      </x:c>
      <x:c r="O1410" s="4" t="n">
        <x:v>8</x:v>
      </x:c>
      <x:c r="P1410" s="1" t="str">
        <x:v>PASS</x:v>
      </x:c>
      <x:c r="Q1410" s="4" t="n">
        <x:v>0</x:v>
      </x:c>
      <x:c r="R1410" s="1" t="str">
        <x:v>PASS</x:v>
      </x:c>
      <x:c r="S1410" s="4" t="n">
        <x:v>0</x:v>
      </x:c>
      <x:c r="T1410" s="1" t="str">
        <x:v>NOT_REVEALING</x:v>
      </x:c>
      <x:c r="U1410" s="1" t="str">
        <x:v>Jsoup_47</x:v>
      </x:c>
      <x:c r="V1410" s="6" t="n">
        <x:v>35.29</x:v>
      </x:c>
    </x:row>
    <x:row r="1411" ht="22" customHeight="1">
      <x:c r="A1411" s="1" t="str">
        <x:v>Round2</x:v>
      </x:c>
      <x:c r="B1411" s="1" t="str">
        <x:v>Jsoup</x:v>
      </x:c>
      <x:c r="C1411" s="4" t="n">
        <x:v>48</x:v>
      </x:c>
      <x:c r="D1411" s="4" t="n">
        <x:v>20260928</x:v>
      </x:c>
      <x:c r="E1411" s="4" t="n">
        <x:v>60</x:v>
      </x:c>
      <x:c r="F1411" s="4" t="n">
        <x:v>5878</x:v>
      </x:c>
      <x:c r="G1411" s="5" t="n">
        <x:v>0.2191</x:v>
      </x:c>
      <x:c r="H1411" s="5" t="n">
        <x:v>0.2516</x:v>
      </x:c>
      <x:c r="I1411" s="5" t="n">
        <x:v>0.1294</x:v>
      </x:c>
      <x:c r="J1411" s="4" t="n">
        <x:v>639</x:v>
      </x:c>
      <x:c r="K1411" s="4" t="n">
        <x:v>140</x:v>
      </x:c>
      <x:c r="L1411" s="4" t="n">
        <x:v>469</x:v>
      </x:c>
      <x:c r="M1411" s="4" t="n">
        <x:v>118</x:v>
      </x:c>
      <x:c r="N1411" s="4" t="n">
        <x:v>170</x:v>
      </x:c>
      <x:c r="O1411" s="4" t="n">
        <x:v>22</x:v>
      </x:c>
      <x:c r="P1411" s="1" t="str">
        <x:v>PASS</x:v>
      </x:c>
      <x:c r="Q1411" s="4" t="n">
        <x:v>0</x:v>
      </x:c>
      <x:c r="R1411" s="1" t="str">
        <x:v>PASS</x:v>
      </x:c>
      <x:c r="S1411" s="4" t="n">
        <x:v>0</x:v>
      </x:c>
      <x:c r="T1411" s="1" t="str">
        <x:v>NOT_REVEALING</x:v>
      </x:c>
      <x:c r="U1411" s="1" t="str">
        <x:v>Jsoup_48</x:v>
      </x:c>
      <x:c r="V1411" s="6" t="n">
        <x:v>41.76</x:v>
      </x:c>
    </x:row>
    <x:row r="1412" ht="22" customHeight="1">
      <x:c r="A1412" s="1" t="str">
        <x:v>Round2</x:v>
      </x:c>
      <x:c r="B1412" s="1" t="str">
        <x:v>Jsoup</x:v>
      </x:c>
      <x:c r="C1412" s="4" t="n">
        <x:v>49</x:v>
      </x:c>
      <x:c r="D1412" s="4" t="n">
        <x:v>20260928</x:v>
      </x:c>
      <x:c r="E1412" s="4" t="n">
        <x:v>60</x:v>
      </x:c>
      <x:c r="F1412" s="4" t="n">
        <x:v>1</x:v>
      </x:c>
      <x:c r="G1412" s="5" t="n">
        <x:v>0</x:v>
      </x:c>
      <x:c r="H1412" s="5" t="n">
        <x:v>0</x:v>
      </x:c>
      <x:c r="I1412" s="5" t="n">
        <x:v>0</x:v>
      </x:c>
      <x:c r="J1412" s="4" t="n">
        <x:v>333</x:v>
      </x:c>
      <x:c r="K1412" s="4" t="n">
        <x:v>0</x:v>
      </x:c>
      <x:c r="L1412" s="4" t="n">
        <x:v>231</x:v>
      </x:c>
      <x:c r="M1412" s="4" t="n">
        <x:v>0</x:v>
      </x:c>
      <x:c r="N1412" s="4" t="n">
        <x:v>102</x:v>
      </x:c>
      <x:c r="O1412" s="4" t="n">
        <x:v>0</x:v>
      </x:c>
      <x:c r="P1412" s="1" t="str">
        <x:v>PASS</x:v>
      </x:c>
      <x:c r="Q1412" s="4" t="n">
        <x:v>0</x:v>
      </x:c>
      <x:c r="R1412" s="1" t="str">
        <x:v>PASS</x:v>
      </x:c>
      <x:c r="S1412" s="4" t="n">
        <x:v>0</x:v>
      </x:c>
      <x:c r="T1412" s="1" t="str">
        <x:v>NOT_REVEALING</x:v>
      </x:c>
      <x:c r="U1412" s="1" t="str">
        <x:v>Jsoup_49</x:v>
      </x:c>
      <x:c r="V1412" s="6" t="n">
        <x:v>19.16</x:v>
      </x:c>
    </x:row>
    <x:row r="1413" ht="22" customHeight="1">
      <x:c r="A1413" s="1" t="str">
        <x:v>Round2</x:v>
      </x:c>
      <x:c r="B1413" s="1" t="str">
        <x:v>Jsoup</x:v>
      </x:c>
      <x:c r="C1413" s="4" t="n">
        <x:v>50</x:v>
      </x:c>
      <x:c r="D1413" s="4" t="n">
        <x:v>20260928</x:v>
      </x:c>
      <x:c r="E1413" s="4" t="n">
        <x:v>60</x:v>
      </x:c>
      <x:c r="F1413" s="4" t="n">
        <x:v>112</x:v>
      </x:c>
      <x:c r="G1413" s="5" t="n">
        <x:v>0.3357</x:v>
      </x:c>
      <x:c r="H1413" s="5" t="n">
        <x:v>0.4</x:v>
      </x:c>
      <x:c r="I1413" s="5" t="n">
        <x:v>0.22</x:v>
      </x:c>
      <x:c r="J1413" s="4" t="n">
        <x:v>140</x:v>
      </x:c>
      <x:c r="K1413" s="4" t="n">
        <x:v>47</x:v>
      </x:c>
      <x:c r="L1413" s="4" t="n">
        <x:v>90</x:v>
      </x:c>
      <x:c r="M1413" s="4" t="n">
        <x:v>36</x:v>
      </x:c>
      <x:c r="N1413" s="4" t="n">
        <x:v>50</x:v>
      </x:c>
      <x:c r="O1413" s="4" t="n">
        <x:v>11</x:v>
      </x:c>
      <x:c r="P1413" s="1" t="str">
        <x:v>PASS</x:v>
      </x:c>
      <x:c r="Q1413" s="4" t="n">
        <x:v>0</x:v>
      </x:c>
      <x:c r="R1413" s="1" t="str">
        <x:v>FAIL</x:v>
      </x:c>
      <x:c r="S1413" s="4" t="n">
        <x:v>56</x:v>
      </x:c>
      <x:c r="T1413" s="1" t="str">
        <x:v>INCONCLUSIVE</x:v>
      </x:c>
      <x:c r="U1413" s="1" t="str">
        <x:v>Jsoup_50</x:v>
      </x:c>
      <x:c r="V1413" s="6" t="n">
        <x:v>21.06</x:v>
      </x:c>
    </x:row>
    <x:row r="1414" ht="22" customHeight="1">
      <x:c r="A1414" s="1" t="str">
        <x:v>Round2</x:v>
      </x:c>
      <x:c r="B1414" s="1" t="str">
        <x:v>Jsoup</x:v>
      </x:c>
      <x:c r="C1414" s="4" t="n">
        <x:v>51</x:v>
      </x:c>
      <x:c r="D1414" s="4" t="n">
        <x:v>20260928</x:v>
      </x:c>
      <x:c r="E1414" s="4" t="n">
        <x:v>60</x:v>
      </x:c>
      <x:c r="F1414" s="4" t="n">
        <x:v>4137</x:v>
      </x:c>
      <x:c r="G1414" s="5" t="n">
        <x:v>0.8793000000000001</x:v>
      </x:c>
      <x:c r="H1414" s="5" t="n">
        <x:v>0.9333</x:v>
      </x:c>
      <x:c r="I1414" s="5" t="n">
        <x:v>0.8226</x:v>
      </x:c>
      <x:c r="J1414" s="4" t="n">
        <x:v>381</x:v>
      </x:c>
      <x:c r="K1414" s="4" t="n">
        <x:v>335</x:v>
      </x:c>
      <x:c r="L1414" s="4" t="n">
        <x:v>195</x:v>
      </x:c>
      <x:c r="M1414" s="4" t="n">
        <x:v>182</x:v>
      </x:c>
      <x:c r="N1414" s="4" t="n">
        <x:v>186</x:v>
      </x:c>
      <x:c r="O1414" s="4" t="n">
        <x:v>153</x:v>
      </x:c>
      <x:c r="P1414" s="1" t="str">
        <x:v>PASS</x:v>
      </x:c>
      <x:c r="Q1414" s="4" t="n">
        <x:v>0</x:v>
      </x:c>
      <x:c r="R1414" s="1" t="str">
        <x:v>PASS</x:v>
      </x:c>
      <x:c r="S1414" s="4" t="n">
        <x:v>0</x:v>
      </x:c>
      <x:c r="T1414" s="1" t="str">
        <x:v>NOT_REVEALING</x:v>
      </x:c>
      <x:c r="U1414" s="1" t="str">
        <x:v>Jsoup_51</x:v>
      </x:c>
      <x:c r="V1414" s="6" t="n">
        <x:v>55.91</x:v>
      </x:c>
    </x:row>
    <x:row r="1415" ht="22" customHeight="1">
      <x:c r="A1415" s="1" t="str">
        <x:v>Round2</x:v>
      </x:c>
      <x:c r="B1415" s="1" t="str">
        <x:v>Jsoup</x:v>
      </x:c>
      <x:c r="C1415" s="4" t="n">
        <x:v>52</x:v>
      </x:c>
      <x:c r="D1415" s="4" t="n">
        <x:v>20260928</x:v>
      </x:c>
      <x:c r="E1415" s="4" t="n">
        <x:v>60</x:v>
      </x:c>
      <x:c r="F1415" s="4" t="n">
        <x:v>6010</x:v>
      </x:c>
      <x:c r="G1415" s="5" t="n">
        <x:v>0.1478</x:v>
      </x:c>
      <x:c r="H1415" s="5" t="n">
        <x:v>0.21030000000000001</x:v>
      </x:c>
      <x:c r="I1415" s="5" t="n">
        <x:v>0.048799999999999996</x:v>
      </x:c>
      <x:c r="J1415" s="4" t="n">
        <x:v>318</x:v>
      </x:c>
      <x:c r="K1415" s="4" t="n">
        <x:v>47</x:v>
      </x:c>
      <x:c r="L1415" s="4" t="n">
        <x:v>195</x:v>
      </x:c>
      <x:c r="M1415" s="4" t="n">
        <x:v>41</x:v>
      </x:c>
      <x:c r="N1415" s="4" t="n">
        <x:v>123</x:v>
      </x:c>
      <x:c r="O1415" s="4" t="n">
        <x:v>6</x:v>
      </x:c>
      <x:c r="P1415" s="1" t="str">
        <x:v>FAIL</x:v>
      </x:c>
      <x:c r="Q1415" s="4" t="n">
        <x:v>50</x:v>
      </x:c>
      <x:c r="R1415" s="1" t="str">
        <x:v>FAIL</x:v>
      </x:c>
      <x:c r="S1415" s="4" t="n">
        <x:v>5698</x:v>
      </x:c>
      <x:c r="T1415" s="1" t="str">
        <x:v>INCONCLUSIVE</x:v>
      </x:c>
      <x:c r="U1415" s="1" t="str">
        <x:v>Jsoup_52</x:v>
      </x:c>
      <x:c r="V1415" s="6" t="n">
        <x:v>52.99</x:v>
      </x:c>
    </x:row>
    <x:row r="1416" ht="22" customHeight="1">
      <x:c r="A1416" s="1" t="str">
        <x:v>Round2</x:v>
      </x:c>
      <x:c r="B1416" s="1" t="str">
        <x:v>Jsoup</x:v>
      </x:c>
      <x:c r="C1416" s="4" t="n">
        <x:v>53</x:v>
      </x:c>
      <x:c r="D1416" s="4" t="n">
        <x:v>20260928</x:v>
      </x:c>
      <x:c r="E1416" s="4" t="n">
        <x:v>60</x:v>
      </x:c>
      <x:c r="F1416" s="4" t="n">
        <x:v>4321</x:v>
      </x:c>
      <x:c r="G1416" s="5" t="n">
        <x:v>0.9244</x:v>
      </x:c>
      <x:c r="H1416" s="5" t="n">
        <x:v>0.9769</x:v>
      </x:c>
      <x:c r="I1416" s="5" t="n">
        <x:v>0.8611</x:v>
      </x:c>
      <x:c r="J1416" s="4" t="n">
        <x:v>238</x:v>
      </x:c>
      <x:c r="K1416" s="4" t="n">
        <x:v>220</x:v>
      </x:c>
      <x:c r="L1416" s="4" t="n">
        <x:v>130</x:v>
      </x:c>
      <x:c r="M1416" s="4" t="n">
        <x:v>127</x:v>
      </x:c>
      <x:c r="N1416" s="4" t="n">
        <x:v>108</x:v>
      </x:c>
      <x:c r="O1416" s="4" t="n">
        <x:v>93</x:v>
      </x:c>
      <x:c r="P1416" s="1" t="str">
        <x:v>PASS</x:v>
      </x:c>
      <x:c r="Q1416" s="4" t="n">
        <x:v>0</x:v>
      </x:c>
      <x:c r="R1416" s="1" t="str">
        <x:v>PASS</x:v>
      </x:c>
      <x:c r="S1416" s="4" t="n">
        <x:v>0</x:v>
      </x:c>
      <x:c r="T1416" s="1" t="str">
        <x:v>NOT_REVEALING</x:v>
      </x:c>
      <x:c r="U1416" s="1" t="str">
        <x:v>Jsoup_53</x:v>
      </x:c>
      <x:c r="V1416" s="6" t="n">
        <x:v>52.85</x:v>
      </x:c>
    </x:row>
    <x:row r="1417" ht="22" customHeight="1">
      <x:c r="A1417" s="1" t="str">
        <x:v>Round2</x:v>
      </x:c>
      <x:c r="B1417" s="1" t="str">
        <x:v>Jsoup</x:v>
      </x:c>
      <x:c r="C1417" s="4" t="n">
        <x:v>54</x:v>
      </x:c>
      <x:c r="D1417" s="4" t="n">
        <x:v>20260928</x:v>
      </x:c>
      <x:c r="E1417" s="4" t="n">
        <x:v>60</x:v>
      </x:c>
      <x:c r="F1417" s="4" t="n">
        <x:v>4274</x:v>
      </x:c>
      <x:c r="G1417" s="5" t="n">
        <x:v>0.24739999999999998</x:v>
      </x:c>
      <x:c r="H1417" s="5" t="n">
        <x:v>0.2676</x:v>
      </x:c>
      <x:c r="I1417" s="5" t="n">
        <x:v>0.1923</x:v>
      </x:c>
      <x:c r="J1417" s="4" t="n">
        <x:v>97</x:v>
      </x:c>
      <x:c r="K1417" s="4" t="n">
        <x:v>24</x:v>
      </x:c>
      <x:c r="L1417" s="4" t="n">
        <x:v>71</x:v>
      </x:c>
      <x:c r="M1417" s="4" t="n">
        <x:v>19</x:v>
      </x:c>
      <x:c r="N1417" s="4" t="n">
        <x:v>26</x:v>
      </x:c>
      <x:c r="O1417" s="4" t="n">
        <x:v>5</x:v>
      </x:c>
      <x:c r="P1417" s="1" t="str">
        <x:v>PASS</x:v>
      </x:c>
      <x:c r="Q1417" s="4" t="n">
        <x:v>0</x:v>
      </x:c>
      <x:c r="R1417" s="1" t="str">
        <x:v>PASS</x:v>
      </x:c>
      <x:c r="S1417" s="4" t="n">
        <x:v>0</x:v>
      </x:c>
      <x:c r="T1417" s="1" t="str">
        <x:v>NOT_REVEALING</x:v>
      </x:c>
      <x:c r="U1417" s="1" t="str">
        <x:v>Jsoup_54</x:v>
      </x:c>
      <x:c r="V1417" s="6" t="n">
        <x:v>73.78</x:v>
      </x:c>
    </x:row>
    <x:row r="1418" ht="22" customHeight="1">
      <x:c r="A1418" s="1" t="str">
        <x:v>Round2</x:v>
      </x:c>
      <x:c r="B1418" s="1" t="str">
        <x:v>Jsoup</x:v>
      </x:c>
      <x:c r="C1418" s="4" t="n">
        <x:v>55</x:v>
      </x:c>
      <x:c r="D1418" s="4" t="n">
        <x:v>20260928</x:v>
      </x:c>
      <x:c r="E1418" s="4" t="n">
        <x:v>60</x:v>
      </x:c>
      <x:c r="F1418" s="4" t="n">
        <x:v>67</x:v>
      </x:c>
      <x:c r="G1418" s="5" t="n">
        <x:v>0.14730000000000001</x:v>
      </x:c>
      <x:c r="H1418" s="5" t="n">
        <x:v>0.18899999999999997</x:v>
      </x:c>
      <x:c r="I1418" s="5" t="n">
        <x:v>0</x:v>
      </x:c>
      <x:c r="J1418" s="4" t="n">
        <x:v>1473</x:v>
      </x:c>
      <x:c r="K1418" s="4" t="n">
        <x:v>217</x:v>
      </x:c>
      <x:c r="L1418" s="4" t="n">
        <x:v>1148</x:v>
      </x:c>
      <x:c r="M1418" s="4" t="n">
        <x:v>217</x:v>
      </x:c>
      <x:c r="N1418" s="4" t="n">
        <x:v>325</x:v>
      </x:c>
      <x:c r="O1418" s="4" t="n">
        <x:v>0</x:v>
      </x:c>
      <x:c r="P1418" s="1" t="str">
        <x:v>PASS</x:v>
      </x:c>
      <x:c r="Q1418" s="4" t="n">
        <x:v>0</x:v>
      </x:c>
      <x:c r="R1418" s="1" t="str">
        <x:v>PASS</x:v>
      </x:c>
      <x:c r="S1418" s="4" t="n">
        <x:v>0</x:v>
      </x:c>
      <x:c r="T1418" s="1" t="str">
        <x:v>NOT_REVEALING</x:v>
      </x:c>
      <x:c r="U1418" s="1" t="str">
        <x:v>Jsoup_55</x:v>
      </x:c>
      <x:c r="V1418" s="6" t="n">
        <x:v>21.42</x:v>
      </x:c>
    </x:row>
    <x:row r="1419" ht="22" customHeight="1">
      <x:c r="A1419" s="1" t="str">
        <x:v>Round2</x:v>
      </x:c>
      <x:c r="B1419" s="1" t="str">
        <x:v>Jsoup</x:v>
      </x:c>
      <x:c r="C1419" s="4" t="n">
        <x:v>56</x:v>
      </x:c>
      <x:c r="D1419" s="4" t="n">
        <x:v>20260928</x:v>
      </x:c>
      <x:c r="E1419" s="4" t="n">
        <x:v>60</x:v>
      </x:c>
      <x:c r="F1419" s="4" t="n">
        <x:v>4225</x:v>
      </x:c>
      <x:c r="G1419" s="5" t="n">
        <x:v>0.324</x:v>
      </x:c>
      <x:c r="H1419" s="5" t="n">
        <x:v>0.3531</x:v>
      </x:c>
      <x:c r="I1419" s="5" t="n">
        <x:v>0.2618</x:v>
      </x:c>
      <x:c r="J1419" s="4" t="n">
        <x:v>3664</x:v>
      </x:c>
      <x:c r="K1419" s="4" t="n">
        <x:v>1187</x:v>
      </x:c>
      <x:c r="L1419" s="4" t="n">
        <x:v>2495</x:v>
      </x:c>
      <x:c r="M1419" s="4" t="n">
        <x:v>881</x:v>
      </x:c>
      <x:c r="N1419" s="4" t="n">
        <x:v>1169</x:v>
      </x:c>
      <x:c r="O1419" s="4" t="n">
        <x:v>306</x:v>
      </x:c>
      <x:c r="P1419" s="1" t="str">
        <x:v>FAIL</x:v>
      </x:c>
      <x:c r="Q1419" s="4" t="n">
        <x:v>88</x:v>
      </x:c>
      <x:c r="R1419" s="1" t="str">
        <x:v>FAIL</x:v>
      </x:c>
      <x:c r="S1419" s="4" t="n">
        <x:v>148</x:v>
      </x:c>
      <x:c r="T1419" s="1" t="str">
        <x:v>INCONCLUSIVE</x:v>
      </x:c>
      <x:c r="U1419" s="1" t="str">
        <x:v>Jsoup_56</x:v>
      </x:c>
      <x:c r="V1419" s="6" t="n">
        <x:v>44.91</x:v>
      </x:c>
    </x:row>
    <x:row r="1420" ht="22" customHeight="1">
      <x:c r="A1420" s="1" t="str">
        <x:v>Round2</x:v>
      </x:c>
      <x:c r="B1420" s="1" t="str">
        <x:v>Jsoup</x:v>
      </x:c>
      <x:c r="C1420" s="4" t="n">
        <x:v>57</x:v>
      </x:c>
      <x:c r="D1420" s="4" t="n">
        <x:v>20260928</x:v>
      </x:c>
      <x:c r="E1420" s="4" t="n">
        <x:v>60</x:v>
      </x:c>
      <x:c r="F1420" s="4" t="n">
        <x:v>4975</x:v>
      </x:c>
      <x:c r="G1420" s="5" t="n">
        <x:v>0.8079000000000001</x:v>
      </x:c>
      <x:c r="H1420" s="5" t="n">
        <x:v>0.7795000000000001</x:v>
      </x:c>
      <x:c r="I1420" s="5" t="n">
        <x:v>0.8553000000000001</x:v>
      </x:c>
      <x:c r="J1420" s="4" t="n">
        <x:v>203</x:v>
      </x:c>
      <x:c r="K1420" s="4" t="n">
        <x:v>164</x:v>
      </x:c>
      <x:c r="L1420" s="4" t="n">
        <x:v>127</x:v>
      </x:c>
      <x:c r="M1420" s="4" t="n">
        <x:v>99</x:v>
      </x:c>
      <x:c r="N1420" s="4" t="n">
        <x:v>76</x:v>
      </x:c>
      <x:c r="O1420" s="4" t="n">
        <x:v>65</x:v>
      </x:c>
      <x:c r="P1420" s="1" t="str">
        <x:v>PASS</x:v>
      </x:c>
      <x:c r="Q1420" s="4" t="n">
        <x:v>0</x:v>
      </x:c>
      <x:c r="R1420" s="1" t="str">
        <x:v>PASS</x:v>
      </x:c>
      <x:c r="S1420" s="4" t="n">
        <x:v>0</x:v>
      </x:c>
      <x:c r="T1420" s="1" t="str">
        <x:v>NOT_REVEALING</x:v>
      </x:c>
      <x:c r="U1420" s="1" t="str">
        <x:v>Jsoup_57</x:v>
      </x:c>
      <x:c r="V1420" s="6" t="n">
        <x:v>51.04</x:v>
      </x:c>
    </x:row>
    <x:row r="1421" ht="22" customHeight="1">
      <x:c r="A1421" s="1" t="str">
        <x:v>Round2</x:v>
      </x:c>
      <x:c r="B1421" s="1" t="str">
        <x:v>Jsoup</x:v>
      </x:c>
      <x:c r="C1421" s="4" t="n">
        <x:v>58</x:v>
      </x:c>
      <x:c r="D1421" s="4" t="n">
        <x:v>20260928</x:v>
      </x:c>
      <x:c r="E1421" s="4" t="n">
        <x:v>60</x:v>
      </x:c>
      <x:c r="F1421" s="4" t="n">
        <x:v>3763</x:v>
      </x:c>
      <x:c r="G1421" s="5" t="n">
        <x:v>0.3711</x:v>
      </x:c>
      <x:c r="H1421" s="5" t="n">
        <x:v>0.4094</x:v>
      </x:c>
      <x:c r="I1421" s="5" t="n">
        <x:v>0.2188</x:v>
      </x:c>
      <x:c r="J1421" s="4" t="n">
        <x:v>159</x:v>
      </x:c>
      <x:c r="K1421" s="4" t="n">
        <x:v>59</x:v>
      </x:c>
      <x:c r="L1421" s="4" t="n">
        <x:v>127</x:v>
      </x:c>
      <x:c r="M1421" s="4" t="n">
        <x:v>52</x:v>
      </x:c>
      <x:c r="N1421" s="4" t="n">
        <x:v>32</x:v>
      </x:c>
      <x:c r="O1421" s="4" t="n">
        <x:v>7</x:v>
      </x:c>
      <x:c r="P1421" s="1" t="str">
        <x:v>PASS</x:v>
      </x:c>
      <x:c r="Q1421" s="4" t="n">
        <x:v>0</x:v>
      </x:c>
      <x:c r="R1421" s="1" t="str">
        <x:v>PASS</x:v>
      </x:c>
      <x:c r="S1421" s="4" t="n">
        <x:v>0</x:v>
      </x:c>
      <x:c r="T1421" s="1" t="str">
        <x:v>NOT_REVEALING</x:v>
      </x:c>
      <x:c r="U1421" s="1" t="str">
        <x:v>Jsoup_58</x:v>
      </x:c>
      <x:c r="V1421" s="6" t="n">
        <x:v>47.75</x:v>
      </x:c>
    </x:row>
    <x:row r="1422" ht="22" customHeight="1">
      <x:c r="A1422" s="1" t="str">
        <x:v>Round2</x:v>
      </x:c>
      <x:c r="B1422" s="1" t="str">
        <x:v>Jsoup</x:v>
      </x:c>
      <x:c r="C1422" s="4" t="n">
        <x:v>59</x:v>
      </x:c>
      <x:c r="D1422" s="4" t="n">
        <x:v>20260928</x:v>
      </x:c>
      <x:c r="E1422" s="4" t="n">
        <x:v>60</x:v>
      </x:c>
      <x:c r="F1422" s="4" t="n">
        <x:v>4409</x:v>
      </x:c>
      <x:c r="G1422" s="5" t="n">
        <x:v>0.9754999999999999</x:v>
      </x:c>
      <x:c r="H1422" s="5" t="n">
        <x:v>0.9812000000000001</x:v>
      </x:c>
      <x:c r="I1422" s="5" t="n">
        <x:v>0.9545</x:v>
      </x:c>
      <x:c r="J1422" s="4" t="n">
        <x:v>204</x:v>
      </x:c>
      <x:c r="K1422" s="4" t="n">
        <x:v>199</x:v>
      </x:c>
      <x:c r="L1422" s="4" t="n">
        <x:v>160</x:v>
      </x:c>
      <x:c r="M1422" s="4" t="n">
        <x:v>157</x:v>
      </x:c>
      <x:c r="N1422" s="4" t="n">
        <x:v>44</x:v>
      </x:c>
      <x:c r="O1422" s="4" t="n">
        <x:v>42</x:v>
      </x:c>
      <x:c r="P1422" s="1" t="str">
        <x:v>PASS</x:v>
      </x:c>
      <x:c r="Q1422" s="4" t="n">
        <x:v>0</x:v>
      </x:c>
      <x:c r="R1422" s="1" t="str">
        <x:v>FAIL</x:v>
      </x:c>
      <x:c r="S1422" s="4" t="n">
        <x:v>16</x:v>
      </x:c>
      <x:c r="T1422" s="1" t="str">
        <x:v>INCONCLUSIVE</x:v>
      </x:c>
      <x:c r="U1422" s="1" t="str">
        <x:v>Jsoup_59</x:v>
      </x:c>
      <x:c r="V1422" s="6" t="n">
        <x:v>46.62</x:v>
      </x:c>
    </x:row>
    <x:row r="1423" ht="22" customHeight="1">
      <x:c r="A1423" s="1" t="str">
        <x:v>Round2</x:v>
      </x:c>
      <x:c r="B1423" s="1" t="str">
        <x:v>Jsoup</x:v>
      </x:c>
      <x:c r="C1423" s="4" t="n">
        <x:v>60</x:v>
      </x:c>
      <x:c r="D1423" s="4" t="n">
        <x:v>20260928</x:v>
      </x:c>
      <x:c r="E1423" s="4" t="n">
        <x:v>60</x:v>
      </x:c>
      <x:c r="F1423" s="4" t="n">
        <x:v>4461</x:v>
      </x:c>
      <x:c r="G1423" s="5" t="n">
        <x:v>0.5586</x:v>
      </x:c>
      <x:c r="H1423" s="5" t="n">
        <x:v>0.5644</x:v>
      </x:c>
      <x:c r="I1423" s="5" t="n">
        <x:v>0.5504</x:v>
      </x:c>
      <x:c r="J1423" s="4" t="n">
        <x:v>623</x:v>
      </x:c>
      <x:c r="K1423" s="4" t="n">
        <x:v>348</x:v>
      </x:c>
      <x:c r="L1423" s="4" t="n">
        <x:v>365</x:v>
      </x:c>
      <x:c r="M1423" s="4" t="n">
        <x:v>206</x:v>
      </x:c>
      <x:c r="N1423" s="4" t="n">
        <x:v>258</x:v>
      </x:c>
      <x:c r="O1423" s="4" t="n">
        <x:v>142</x:v>
      </x:c>
      <x:c r="P1423" s="1" t="str">
        <x:v>PASS</x:v>
      </x:c>
      <x:c r="Q1423" s="4" t="n">
        <x:v>0</x:v>
      </x:c>
      <x:c r="R1423" s="1" t="str">
        <x:v>FAIL</x:v>
      </x:c>
      <x:c r="S1423" s="4" t="n">
        <x:v>36</x:v>
      </x:c>
      <x:c r="T1423" s="1" t="str">
        <x:v>INCONCLUSIVE</x:v>
      </x:c>
      <x:c r="U1423" s="1" t="str">
        <x:v>Jsoup_60</x:v>
      </x:c>
      <x:c r="V1423" s="6" t="n">
        <x:v>54.07</x:v>
      </x:c>
    </x:row>
    <x:row r="1424" ht="22" customHeight="1">
      <x:c r="A1424" s="1" t="str">
        <x:v>Round2</x:v>
      </x:c>
      <x:c r="B1424" s="1" t="str">
        <x:v>Jsoup</x:v>
      </x:c>
      <x:c r="C1424" s="4" t="n">
        <x:v>61</x:v>
      </x:c>
      <x:c r="D1424" s="4" t="n">
        <x:v>20260928</x:v>
      </x:c>
      <x:c r="E1424" s="4" t="n">
        <x:v>60</x:v>
      </x:c>
      <x:c r="F1424" s="4" t="n">
        <x:v>4800</x:v>
      </x:c>
      <x:c r="G1424" s="5" t="n">
        <x:v>0.8321</x:v>
      </x:c>
      <x:c r="H1424" s="5" t="n">
        <x:v>0.9091</x:v>
      </x:c>
      <x:c r="I1424" s="5" t="n">
        <x:v>0.6848000000000001</x:v>
      </x:c>
      <x:c r="J1424" s="4" t="n">
        <x:v>536</x:v>
      </x:c>
      <x:c r="K1424" s="4" t="n">
        <x:v>446</x:v>
      </x:c>
      <x:c r="L1424" s="4" t="n">
        <x:v>352</x:v>
      </x:c>
      <x:c r="M1424" s="4" t="n">
        <x:v>320</x:v>
      </x:c>
      <x:c r="N1424" s="4" t="n">
        <x:v>184</x:v>
      </x:c>
      <x:c r="O1424" s="4" t="n">
        <x:v>126</x:v>
      </x:c>
      <x:c r="P1424" s="1" t="str">
        <x:v>FAIL</x:v>
      </x:c>
      <x:c r="Q1424" s="4" t="n">
        <x:v>406</x:v>
      </x:c>
      <x:c r="R1424" s="1" t="str">
        <x:v>FAIL</x:v>
      </x:c>
      <x:c r="S1424" s="4" t="n">
        <x:v>406</x:v>
      </x:c>
      <x:c r="T1424" s="1" t="str">
        <x:v>INCONCLUSIVE</x:v>
      </x:c>
      <x:c r="U1424" s="1" t="str">
        <x:v>Jsoup_61</x:v>
      </x:c>
      <x:c r="V1424" s="6" t="n">
        <x:v>50.53</x:v>
      </x:c>
    </x:row>
    <x:row r="1425" ht="22" customHeight="1">
      <x:c r="A1425" s="1" t="str">
        <x:v>Round2</x:v>
      </x:c>
      <x:c r="B1425" s="1" t="str">
        <x:v>Jsoup</x:v>
      </x:c>
      <x:c r="C1425" s="4" t="n">
        <x:v>62</x:v>
      </x:c>
      <x:c r="D1425" s="4" t="n">
        <x:v>20260928</x:v>
      </x:c>
      <x:c r="E1425" s="4" t="n">
        <x:v>60</x:v>
      </x:c>
      <x:c r="F1425" s="4" t="n">
        <x:v>23</x:v>
      </x:c>
      <x:c r="G1425" s="5" t="n">
        <x:v>0.0392</x:v>
      </x:c>
      <x:c r="H1425" s="5" t="n">
        <x:v>0.0662</x:v>
      </x:c>
      <x:c r="I1425" s="5" t="n">
        <x:v>0</x:v>
      </x:c>
      <x:c r="J1425" s="4" t="n">
        <x:v>1860</x:v>
      </x:c>
      <x:c r="K1425" s="4" t="n">
        <x:v>73</x:v>
      </x:c>
      <x:c r="L1425" s="4" t="n">
        <x:v>1103</x:v>
      </x:c>
      <x:c r="M1425" s="4" t="n">
        <x:v>73</x:v>
      </x:c>
      <x:c r="N1425" s="4" t="n">
        <x:v>757</x:v>
      </x:c>
      <x:c r="O1425" s="4" t="n">
        <x:v>0</x:v>
      </x:c>
      <x:c r="P1425" s="1" t="str">
        <x:v>PASS</x:v>
      </x:c>
      <x:c r="Q1425" s="4" t="n">
        <x:v>0</x:v>
      </x:c>
      <x:c r="R1425" s="1" t="str">
        <x:v>PASS</x:v>
      </x:c>
      <x:c r="S1425" s="4" t="n">
        <x:v>0</x:v>
      </x:c>
      <x:c r="T1425" s="1" t="str">
        <x:v>NOT_REVEALING</x:v>
      </x:c>
      <x:c r="U1425" s="1" t="str">
        <x:v>Jsoup_62</x:v>
      </x:c>
      <x:c r="V1425" s="6" t="n">
        <x:v>23.94</x:v>
      </x:c>
    </x:row>
    <x:row r="1426" ht="22" customHeight="1">
      <x:c r="A1426" s="1" t="str">
        <x:v>Round2</x:v>
      </x:c>
      <x:c r="B1426" s="1" t="str">
        <x:v>Jsoup</x:v>
      </x:c>
      <x:c r="C1426" s="4" t="n">
        <x:v>63</x:v>
      </x:c>
      <x:c r="D1426" s="4" t="n">
        <x:v>20260928</x:v>
      </x:c>
      <x:c r="E1426" s="4" t="n">
        <x:v>60</x:v>
      </x:c>
      <x:c r="F1426" s="4" t="n">
        <x:v>4334</x:v>
      </x:c>
      <x:c r="G1426" s="5" t="n">
        <x:v>0.5793</x:v>
      </x:c>
      <x:c r="H1426" s="5" t="n">
        <x:v>0.6629999999999999</x:v>
      </x:c>
      <x:c r="I1426" s="5" t="n">
        <x:v>0.4257</x:v>
      </x:c>
      <x:c r="J1426" s="4" t="n">
        <x:v>839</x:v>
      </x:c>
      <x:c r="K1426" s="4" t="n">
        <x:v>486</x:v>
      </x:c>
      <x:c r="L1426" s="4" t="n">
        <x:v>543</x:v>
      </x:c>
      <x:c r="M1426" s="4" t="n">
        <x:v>360</x:v>
      </x:c>
      <x:c r="N1426" s="4" t="n">
        <x:v>296</x:v>
      </x:c>
      <x:c r="O1426" s="4" t="n">
        <x:v>126</x:v>
      </x:c>
      <x:c r="P1426" s="1" t="str">
        <x:v>FAIL</x:v>
      </x:c>
      <x:c r="Q1426" s="4" t="n">
        <x:v>804</x:v>
      </x:c>
      <x:c r="R1426" s="1" t="str">
        <x:v>NOT_RUN</x:v>
      </x:c>
      <x:c r="S1426" s="4"/>
      <x:c r="T1426" s="1" t="str">
        <x:v>NOT_AVAILABLE</x:v>
      </x:c>
      <x:c r="U1426" s="1" t="str">
        <x:v>Jsoup_63</x:v>
      </x:c>
      <x:c r="V1426" s="6" t="n">
        <x:v>42.06</x:v>
      </x:c>
    </x:row>
    <x:row r="1427" ht="22" customHeight="1">
      <x:c r="A1427" s="1" t="str">
        <x:v>Round2</x:v>
      </x:c>
      <x:c r="B1427" s="1" t="str">
        <x:v>Jsoup</x:v>
      </x:c>
      <x:c r="C1427" s="4" t="n">
        <x:v>64</x:v>
      </x:c>
      <x:c r="D1427" s="4" t="n">
        <x:v>20260928</x:v>
      </x:c>
      <x:c r="E1427" s="4" t="n">
        <x:v>60</x:v>
      </x:c>
      <x:c r="F1427" s="4" t="n">
        <x:v>23</x:v>
      </x:c>
      <x:c r="G1427" s="5" t="n">
        <x:v>0.0388</x:v>
      </x:c>
      <x:c r="H1427" s="5" t="n">
        <x:v>0.0664</x:v>
      </x:c>
      <x:c r="I1427" s="5" t="n">
        <x:v>0</x:v>
      </x:c>
      <x:c r="J1427" s="4" t="n">
        <x:v>1883</x:v>
      </x:c>
      <x:c r="K1427" s="4" t="n">
        <x:v>73</x:v>
      </x:c>
      <x:c r="L1427" s="4" t="n">
        <x:v>1100</x:v>
      </x:c>
      <x:c r="M1427" s="4" t="n">
        <x:v>73</x:v>
      </x:c>
      <x:c r="N1427" s="4" t="n">
        <x:v>783</x:v>
      </x:c>
      <x:c r="O1427" s="4" t="n">
        <x:v>0</x:v>
      </x:c>
      <x:c r="P1427" s="1" t="str">
        <x:v>PASS</x:v>
      </x:c>
      <x:c r="Q1427" s="4" t="n">
        <x:v>0</x:v>
      </x:c>
      <x:c r="R1427" s="1" t="str">
        <x:v>PASS</x:v>
      </x:c>
      <x:c r="S1427" s="4" t="n">
        <x:v>0</x:v>
      </x:c>
      <x:c r="T1427" s="1" t="str">
        <x:v>NOT_REVEALING</x:v>
      </x:c>
      <x:c r="U1427" s="1" t="str">
        <x:v>Jsoup_64</x:v>
      </x:c>
      <x:c r="V1427" s="6" t="n">
        <x:v>22.85</x:v>
      </x:c>
    </x:row>
    <x:row r="1428" ht="22" customHeight="1">
      <x:c r="A1428" s="1" t="str">
        <x:v>Round2</x:v>
      </x:c>
      <x:c r="B1428" s="1" t="str">
        <x:v>Jsoup</x:v>
      </x:c>
      <x:c r="C1428" s="4" t="n">
        <x:v>65</x:v>
      </x:c>
      <x:c r="D1428" s="4" t="n">
        <x:v>20260928</x:v>
      </x:c>
      <x:c r="E1428" s="4" t="n">
        <x:v>60</x:v>
      </x:c>
      <x:c r="F1428" s="4" t="n">
        <x:v>3922</x:v>
      </x:c>
      <x:c r="G1428" s="5" t="n">
        <x:v>0.2955</x:v>
      </x:c>
      <x:c r="H1428" s="5" t="n">
        <x:v>0.3356</x:v>
      </x:c>
      <x:c r="I1428" s="5" t="n">
        <x:v>0.235</x:v>
      </x:c>
      <x:c r="J1428" s="4" t="n">
        <x:v>2464</x:v>
      </x:c>
      <x:c r="K1428" s="4" t="n">
        <x:v>728</x:v>
      </x:c>
      <x:c r="L1428" s="4" t="n">
        <x:v>1481</x:v>
      </x:c>
      <x:c r="M1428" s="4" t="n">
        <x:v>497</x:v>
      </x:c>
      <x:c r="N1428" s="4" t="n">
        <x:v>983</x:v>
      </x:c>
      <x:c r="O1428" s="4" t="n">
        <x:v>231</x:v>
      </x:c>
      <x:c r="P1428" s="1" t="str">
        <x:v>FAIL</x:v>
      </x:c>
      <x:c r="Q1428" s="4" t="n">
        <x:v>162</x:v>
      </x:c>
      <x:c r="R1428" s="1" t="str">
        <x:v>FAIL</x:v>
      </x:c>
      <x:c r="S1428" s="4" t="n">
        <x:v>162</x:v>
      </x:c>
      <x:c r="T1428" s="1" t="str">
        <x:v>INCONCLUSIVE</x:v>
      </x:c>
      <x:c r="U1428" s="1" t="str">
        <x:v>Jsoup_65</x:v>
      </x:c>
      <x:c r="V1428" s="6" t="n">
        <x:v>49.34</x:v>
      </x:c>
    </x:row>
    <x:row r="1429" ht="22" customHeight="1">
      <x:c r="A1429" s="1" t="str">
        <x:v>Round2</x:v>
      </x:c>
      <x:c r="B1429" s="1" t="str">
        <x:v>Jsoup</x:v>
      </x:c>
      <x:c r="C1429" s="4" t="n">
        <x:v>66</x:v>
      </x:c>
      <x:c r="D1429" s="4" t="n">
        <x:v>20260928</x:v>
      </x:c>
      <x:c r="E1429" s="4" t="n">
        <x:v>60</x:v>
      </x:c>
      <x:c r="F1429" s="4" t="n">
        <x:v>4155</x:v>
      </x:c>
      <x:c r="G1429" s="5" t="n">
        <x:v>0.8484999999999999</x:v>
      </x:c>
      <x:c r="H1429" s="5" t="n">
        <x:v>0.9205</x:v>
      </x:c>
      <x:c r="I1429" s="5" t="n">
        <x:v>0.7108</x:v>
      </x:c>
      <x:c r="J1429" s="4" t="n">
        <x:v>594</x:v>
      </x:c>
      <x:c r="K1429" s="4" t="n">
        <x:v>504</x:v>
      </x:c>
      <x:c r="L1429" s="4" t="n">
        <x:v>390</x:v>
      </x:c>
      <x:c r="M1429" s="4" t="n">
        <x:v>359</x:v>
      </x:c>
      <x:c r="N1429" s="4" t="n">
        <x:v>204</x:v>
      </x:c>
      <x:c r="O1429" s="4" t="n">
        <x:v>145</x:v>
      </x:c>
      <x:c r="P1429" s="1" t="str">
        <x:v>FAIL</x:v>
      </x:c>
      <x:c r="Q1429" s="4" t="n">
        <x:v>232</x:v>
      </x:c>
      <x:c r="R1429" s="1" t="str">
        <x:v>FAIL</x:v>
      </x:c>
      <x:c r="S1429" s="4" t="n">
        <x:v>298</x:v>
      </x:c>
      <x:c r="T1429" s="1" t="str">
        <x:v>INCONCLUSIVE</x:v>
      </x:c>
      <x:c r="U1429" s="1" t="str">
        <x:v>Jsoup_66</x:v>
      </x:c>
      <x:c r="V1429" s="6" t="n">
        <x:v>48.16</x:v>
      </x:c>
    </x:row>
    <x:row r="1430" ht="22" customHeight="1">
      <x:c r="A1430" s="1" t="str">
        <x:v>Round2</x:v>
      </x:c>
      <x:c r="B1430" s="1" t="str">
        <x:v>Jsoup</x:v>
      </x:c>
      <x:c r="C1430" s="4" t="n">
        <x:v>67</x:v>
      </x:c>
      <x:c r="D1430" s="4" t="n">
        <x:v>20260928</x:v>
      </x:c>
      <x:c r="E1430" s="4" t="n">
        <x:v>60</x:v>
      </x:c>
      <x:c r="F1430" s="4" t="n">
        <x:v>3816</x:v>
      </x:c>
      <x:c r="G1430" s="5" t="n">
        <x:v>0.7108</x:v>
      </x:c>
      <x:c r="H1430" s="5" t="n">
        <x:v>0.7612000000000001</x:v>
      </x:c>
      <x:c r="I1430" s="5" t="n">
        <x:v>0.615</x:v>
      </x:c>
      <x:c r="J1430" s="4" t="n">
        <x:v>581</x:v>
      </x:c>
      <x:c r="K1430" s="4" t="n">
        <x:v>413</x:v>
      </x:c>
      <x:c r="L1430" s="4" t="n">
        <x:v>381</x:v>
      </x:c>
      <x:c r="M1430" s="4" t="n">
        <x:v>290</x:v>
      </x:c>
      <x:c r="N1430" s="4" t="n">
        <x:v>200</x:v>
      </x:c>
      <x:c r="O1430" s="4" t="n">
        <x:v>123</x:v>
      </x:c>
      <x:c r="P1430" s="1" t="str">
        <x:v>FAIL</x:v>
      </x:c>
      <x:c r="Q1430" s="4" t="n">
        <x:v>898</x:v>
      </x:c>
      <x:c r="R1430" s="1" t="str">
        <x:v>FAIL</x:v>
      </x:c>
      <x:c r="S1430" s="4" t="n">
        <x:v>898</x:v>
      </x:c>
      <x:c r="T1430" s="1" t="str">
        <x:v>INCONCLUSIVE</x:v>
      </x:c>
      <x:c r="U1430" s="1" t="str">
        <x:v>Jsoup_67</x:v>
      </x:c>
      <x:c r="V1430" s="6" t="n">
        <x:v>48.8</x:v>
      </x:c>
    </x:row>
    <x:row r="1431" ht="22" customHeight="1">
      <x:c r="A1431" s="1" t="str">
        <x:v>Round2</x:v>
      </x:c>
      <x:c r="B1431" s="1" t="str">
        <x:v>Jsoup</x:v>
      </x:c>
      <x:c r="C1431" s="4" t="n">
        <x:v>68</x:v>
      </x:c>
      <x:c r="D1431" s="4" t="n">
        <x:v>20260928</x:v>
      </x:c>
      <x:c r="E1431" s="4" t="n">
        <x:v>60</x:v>
      </x:c>
      <x:c r="F1431" s="4" t="n">
        <x:v>3895</x:v>
      </x:c>
      <x:c r="G1431" s="5" t="n">
        <x:v>0.7014</x:v>
      </x:c>
      <x:c r="H1431" s="5" t="n">
        <x:v>0.7565000000000001</x:v>
      </x:c>
      <x:c r="I1431" s="5" t="n">
        <x:v>0.598</x:v>
      </x:c>
      <x:c r="J1431" s="4" t="n">
        <x:v>586</x:v>
      </x:c>
      <x:c r="K1431" s="4" t="n">
        <x:v>411</x:v>
      </x:c>
      <x:c r="L1431" s="4" t="n">
        <x:v>382</x:v>
      </x:c>
      <x:c r="M1431" s="4" t="n">
        <x:v>289</x:v>
      </x:c>
      <x:c r="N1431" s="4" t="n">
        <x:v>204</x:v>
      </x:c>
      <x:c r="O1431" s="4" t="n">
        <x:v>122</x:v>
      </x:c>
      <x:c r="P1431" s="1" t="str">
        <x:v>FAIL</x:v>
      </x:c>
      <x:c r="Q1431" s="4" t="n">
        <x:v>894</x:v>
      </x:c>
      <x:c r="R1431" s="1" t="str">
        <x:v>FAIL</x:v>
      </x:c>
      <x:c r="S1431" s="4" t="n">
        <x:v>894</x:v>
      </x:c>
      <x:c r="T1431" s="1" t="str">
        <x:v>INCONCLUSIVE</x:v>
      </x:c>
      <x:c r="U1431" s="1" t="str">
        <x:v>Jsoup_68</x:v>
      </x:c>
      <x:c r="V1431" s="6" t="n">
        <x:v>50.7</x:v>
      </x:c>
    </x:row>
    <x:row r="1432" ht="22" customHeight="1">
      <x:c r="A1432" s="1" t="str">
        <x:v>Round2</x:v>
      </x:c>
      <x:c r="B1432" s="1" t="str">
        <x:v>Jsoup</x:v>
      </x:c>
      <x:c r="C1432" s="4" t="n">
        <x:v>69</x:v>
      </x:c>
      <x:c r="D1432" s="4" t="n">
        <x:v>20260928</x:v>
      </x:c>
      <x:c r="E1432" s="4" t="n">
        <x:v>60</x:v>
      </x:c>
      <x:c r="F1432" s="4" t="n">
        <x:v>3</x:v>
      </x:c>
      <x:c r="G1432" s="5" t="n">
        <x:v>0.0149</x:v>
      </x:c>
      <x:c r="H1432" s="5" t="n">
        <x:v>0.0256</x:v>
      </x:c>
      <x:c r="I1432" s="5" t="n">
        <x:v>0</x:v>
      </x:c>
      <x:c r="J1432" s="4" t="n">
        <x:v>67</x:v>
      </x:c>
      <x:c r="K1432" s="4" t="n">
        <x:v>1</x:v>
      </x:c>
      <x:c r="L1432" s="4" t="n">
        <x:v>39</x:v>
      </x:c>
      <x:c r="M1432" s="4" t="n">
        <x:v>1</x:v>
      </x:c>
      <x:c r="N1432" s="4" t="n">
        <x:v>28</x:v>
      </x:c>
      <x:c r="O1432" s="4" t="n">
        <x:v>0</x:v>
      </x:c>
      <x:c r="P1432" s="1" t="str">
        <x:v>PASS</x:v>
      </x:c>
      <x:c r="Q1432" s="4" t="n">
        <x:v>0</x:v>
      </x:c>
      <x:c r="R1432" s="1" t="str">
        <x:v>PASS</x:v>
      </x:c>
      <x:c r="S1432" s="4" t="n">
        <x:v>0</x:v>
      </x:c>
      <x:c r="T1432" s="1" t="str">
        <x:v>NOT_REVEALING</x:v>
      </x:c>
      <x:c r="U1432" s="1" t="str">
        <x:v>Jsoup_69</x:v>
      </x:c>
      <x:c r="V1432" s="6" t="n">
        <x:v>18.71</x:v>
      </x:c>
    </x:row>
    <x:row r="1433" ht="22" customHeight="1">
      <x:c r="A1433" s="1" t="str">
        <x:v>Round2</x:v>
      </x:c>
      <x:c r="B1433" s="1" t="str">
        <x:v>Jsoup</x:v>
      </x:c>
      <x:c r="C1433" s="4" t="n">
        <x:v>70</x:v>
      </x:c>
      <x:c r="D1433" s="4" t="n">
        <x:v>20260928</x:v>
      </x:c>
      <x:c r="E1433" s="4" t="n">
        <x:v>60</x:v>
      </x:c>
      <x:c r="F1433" s="4" t="n">
        <x:v>4377</x:v>
      </x:c>
      <x:c r="G1433" s="5" t="n">
        <x:v>0.835</x:v>
      </x:c>
      <x:c r="H1433" s="5" t="n">
        <x:v>0.9061</x:v>
      </x:c>
      <x:c r="I1433" s="5" t="n">
        <x:v>0.6990000000000001</x:v>
      </x:c>
      <x:c r="J1433" s="4" t="n">
        <x:v>600</x:v>
      </x:c>
      <x:c r="K1433" s="4" t="n">
        <x:v>501</x:v>
      </x:c>
      <x:c r="L1433" s="4" t="n">
        <x:v>394</x:v>
      </x:c>
      <x:c r="M1433" s="4" t="n">
        <x:v>357</x:v>
      </x:c>
      <x:c r="N1433" s="4" t="n">
        <x:v>206</x:v>
      </x:c>
      <x:c r="O1433" s="4" t="n">
        <x:v>144</x:v>
      </x:c>
      <x:c r="P1433" s="1" t="str">
        <x:v>FAIL</x:v>
      </x:c>
      <x:c r="Q1433" s="4" t="n">
        <x:v>294</x:v>
      </x:c>
      <x:c r="R1433" s="1" t="str">
        <x:v>FAIL</x:v>
      </x:c>
      <x:c r="S1433" s="4" t="n">
        <x:v>294</x:v>
      </x:c>
      <x:c r="T1433" s="1" t="str">
        <x:v>INCONCLUSIVE</x:v>
      </x:c>
      <x:c r="U1433" s="1" t="str">
        <x:v>Jsoup_70</x:v>
      </x:c>
      <x:c r="V1433" s="6" t="n">
        <x:v>49.13</x:v>
      </x:c>
    </x:row>
    <x:row r="1434" ht="22" customHeight="1">
      <x:c r="A1434" s="1" t="str">
        <x:v>Round2</x:v>
      </x:c>
      <x:c r="B1434" s="1" t="str">
        <x:v>Jsoup</x:v>
      </x:c>
      <x:c r="C1434" s="4" t="n">
        <x:v>71</x:v>
      </x:c>
      <x:c r="D1434" s="4" t="n">
        <x:v>20260928</x:v>
      </x:c>
      <x:c r="E1434" s="4" t="n">
        <x:v>60</x:v>
      </x:c>
      <x:c r="F1434" s="4" t="n">
        <x:v>6084</x:v>
      </x:c>
      <x:c r="G1434" s="5" t="n">
        <x:v>0.615</x:v>
      </x:c>
      <x:c r="H1434" s="5" t="n">
        <x:v>0.7349</x:v>
      </x:c>
      <x:c r="I1434" s="5" t="n">
        <x:v>0.4073</x:v>
      </x:c>
      <x:c r="J1434" s="4" t="n">
        <x:v>678</x:v>
      </x:c>
      <x:c r="K1434" s="4" t="n">
        <x:v>417</x:v>
      </x:c>
      <x:c r="L1434" s="4" t="n">
        <x:v>430</x:v>
      </x:c>
      <x:c r="M1434" s="4" t="n">
        <x:v>316</x:v>
      </x:c>
      <x:c r="N1434" s="4" t="n">
        <x:v>248</x:v>
      </x:c>
      <x:c r="O1434" s="4" t="n">
        <x:v>101</x:v>
      </x:c>
      <x:c r="P1434" s="1" t="str">
        <x:v>PASS</x:v>
      </x:c>
      <x:c r="Q1434" s="4" t="n">
        <x:v>0</x:v>
      </x:c>
      <x:c r="R1434" s="1" t="str">
        <x:v>PASS</x:v>
      </x:c>
      <x:c r="S1434" s="4" t="n">
        <x:v>0</x:v>
      </x:c>
      <x:c r="T1434" s="1" t="str">
        <x:v>NOT_REVEALING</x:v>
      </x:c>
      <x:c r="U1434" s="1" t="str">
        <x:v>Jsoup_71</x:v>
      </x:c>
      <x:c r="V1434" s="6" t="n">
        <x:v>37.63</x:v>
      </x:c>
    </x:row>
    <x:row r="1435" ht="22" customHeight="1">
      <x:c r="A1435" s="1" t="str">
        <x:v>Round2</x:v>
      </x:c>
      <x:c r="B1435" s="1" t="str">
        <x:v>Jsoup</x:v>
      </x:c>
      <x:c r="C1435" s="4" t="n">
        <x:v>72</x:v>
      </x:c>
      <x:c r="D1435" s="4" t="n">
        <x:v>20260928</x:v>
      </x:c>
      <x:c r="E1435" s="4" t="n">
        <x:v>60</x:v>
      </x:c>
      <x:c r="F1435" s="4" t="n">
        <x:v>4220</x:v>
      </x:c>
      <x:c r="G1435" s="5" t="n">
        <x:v>0.8684999999999999</x:v>
      </x:c>
      <x:c r="H1435" s="5" t="n">
        <x:v>0.9298000000000001</x:v>
      </x:c>
      <x:c r="I1435" s="5" t="n">
        <x:v>0.7979999999999999</x:v>
      </x:c>
      <x:c r="J1435" s="4" t="n">
        <x:v>426</x:v>
      </x:c>
      <x:c r="K1435" s="4" t="n">
        <x:v>370</x:v>
      </x:c>
      <x:c r="L1435" s="4" t="n">
        <x:v>228</x:v>
      </x:c>
      <x:c r="M1435" s="4" t="n">
        <x:v>212</x:v>
      </x:c>
      <x:c r="N1435" s="4" t="n">
        <x:v>198</x:v>
      </x:c>
      <x:c r="O1435" s="4" t="n">
        <x:v>158</x:v>
      </x:c>
      <x:c r="P1435" s="1" t="str">
        <x:v>PASS</x:v>
      </x:c>
      <x:c r="Q1435" s="4" t="n">
        <x:v>0</x:v>
      </x:c>
      <x:c r="R1435" s="1" t="str">
        <x:v>FAIL</x:v>
      </x:c>
      <x:c r="S1435" s="4" t="n">
        <x:v>130</x:v>
      </x:c>
      <x:c r="T1435" s="1" t="str">
        <x:v>INCONCLUSIVE</x:v>
      </x:c>
      <x:c r="U1435" s="1" t="str">
        <x:v>Jsoup_72</x:v>
      </x:c>
      <x:c r="V1435" s="6" t="n">
        <x:v>52.63</x:v>
      </x:c>
    </x:row>
    <x:row r="1436" ht="22" customHeight="1">
      <x:c r="A1436" s="1" t="str">
        <x:v>Round2</x:v>
      </x:c>
      <x:c r="B1436" s="1" t="str">
        <x:v>Jsoup</x:v>
      </x:c>
      <x:c r="C1436" s="4" t="n">
        <x:v>73</x:v>
      </x:c>
      <x:c r="D1436" s="4" t="n">
        <x:v>20260928</x:v>
      </x:c>
      <x:c r="E1436" s="4" t="n">
        <x:v>60</x:v>
      </x:c>
      <x:c r="F1436" s="4" t="n">
        <x:v>4201</x:v>
      </x:c>
      <x:c r="G1436" s="5" t="n">
        <x:v>0.24239999999999998</x:v>
      </x:c>
      <x:c r="H1436" s="5" t="n">
        <x:v>0.2676</x:v>
      </x:c>
      <x:c r="I1436" s="5" t="n">
        <x:v>0.17859999999999998</x:v>
      </x:c>
      <x:c r="J1436" s="4" t="n">
        <x:v>99</x:v>
      </x:c>
      <x:c r="K1436" s="4" t="n">
        <x:v>24</x:v>
      </x:c>
      <x:c r="L1436" s="4" t="n">
        <x:v>71</x:v>
      </x:c>
      <x:c r="M1436" s="4" t="n">
        <x:v>19</x:v>
      </x:c>
      <x:c r="N1436" s="4" t="n">
        <x:v>28</x:v>
      </x:c>
      <x:c r="O1436" s="4" t="n">
        <x:v>5</x:v>
      </x:c>
      <x:c r="P1436" s="1" t="str">
        <x:v>PASS</x:v>
      </x:c>
      <x:c r="Q1436" s="4" t="n">
        <x:v>0</x:v>
      </x:c>
      <x:c r="R1436" s="1" t="str">
        <x:v>FAIL</x:v>
      </x:c>
      <x:c r="S1436" s="4" t="n">
        <x:v>2000</x:v>
      </x:c>
      <x:c r="T1436" s="1" t="str">
        <x:v>INCONCLUSIVE</x:v>
      </x:c>
      <x:c r="U1436" s="1" t="str">
        <x:v>Jsoup_73</x:v>
      </x:c>
      <x:c r="V1436" s="6" t="n">
        <x:v>76.06</x:v>
      </x:c>
    </x:row>
    <x:row r="1437" ht="22" customHeight="1">
      <x:c r="A1437" s="1" t="str">
        <x:v>Round2</x:v>
      </x:c>
      <x:c r="B1437" s="1" t="str">
        <x:v>Jsoup</x:v>
      </x:c>
      <x:c r="C1437" s="4" t="n">
        <x:v>74</x:v>
      </x:c>
      <x:c r="D1437" s="4" t="n">
        <x:v>20260928</x:v>
      </x:c>
      <x:c r="E1437" s="4" t="n">
        <x:v>60</x:v>
      </x:c>
      <x:c r="F1437" s="4" t="n">
        <x:v>7027</x:v>
      </x:c>
      <x:c r="G1437" s="5" t="n">
        <x:v>0.8344</x:v>
      </x:c>
      <x:c r="H1437" s="5" t="n">
        <x:v>0.8916</x:v>
      </x:c>
      <x:c r="I1437" s="5" t="n">
        <x:v>0.7703</x:v>
      </x:c>
      <x:c r="J1437" s="4" t="n">
        <x:v>157</x:v>
      </x:c>
      <x:c r="K1437" s="4" t="n">
        <x:v>131</x:v>
      </x:c>
      <x:c r="L1437" s="4" t="n">
        <x:v>83</x:v>
      </x:c>
      <x:c r="M1437" s="4" t="n">
        <x:v>74</x:v>
      </x:c>
      <x:c r="N1437" s="4" t="n">
        <x:v>74</x:v>
      </x:c>
      <x:c r="O1437" s="4" t="n">
        <x:v>57</x:v>
      </x:c>
      <x:c r="P1437" s="1" t="str">
        <x:v>PASS</x:v>
      </x:c>
      <x:c r="Q1437" s="4" t="n">
        <x:v>0</x:v>
      </x:c>
      <x:c r="R1437" s="1" t="str">
        <x:v>PASS</x:v>
      </x:c>
      <x:c r="S1437" s="4" t="n">
        <x:v>0</x:v>
      </x:c>
      <x:c r="T1437" s="1" t="str">
        <x:v>NOT_REVEALING</x:v>
      </x:c>
      <x:c r="U1437" s="1" t="str">
        <x:v>Jsoup_74</x:v>
      </x:c>
      <x:c r="V1437" s="6" t="n">
        <x:v>47.54</x:v>
      </x:c>
    </x:row>
    <x:row r="1438" ht="22" customHeight="1">
      <x:c r="A1438" s="1" t="str">
        <x:v>Round2</x:v>
      </x:c>
      <x:c r="B1438" s="1" t="str">
        <x:v>Jsoup</x:v>
      </x:c>
      <x:c r="C1438" s="4" t="n">
        <x:v>75</x:v>
      </x:c>
      <x:c r="D1438" s="4" t="n">
        <x:v>20260928</x:v>
      </x:c>
      <x:c r="E1438" s="4" t="n">
        <x:v>60</x:v>
      </x:c>
      <x:c r="F1438" s="4" t="n">
        <x:v>4387</x:v>
      </x:c>
      <x:c r="G1438" s="5" t="n">
        <x:v>0.8095</x:v>
      </x:c>
      <x:c r="H1438" s="5" t="n">
        <x:v>0.8036</x:v>
      </x:c>
      <x:c r="I1438" s="5" t="n">
        <x:v>0.8214</x:v>
      </x:c>
      <x:c r="J1438" s="4" t="n">
        <x:v>252</x:v>
      </x:c>
      <x:c r="K1438" s="4" t="n">
        <x:v>204</x:v>
      </x:c>
      <x:c r="L1438" s="4" t="n">
        <x:v>168</x:v>
      </x:c>
      <x:c r="M1438" s="4" t="n">
        <x:v>135</x:v>
      </x:c>
      <x:c r="N1438" s="4" t="n">
        <x:v>84</x:v>
      </x:c>
      <x:c r="O1438" s="4" t="n">
        <x:v>69</x:v>
      </x:c>
      <x:c r="P1438" s="1" t="str">
        <x:v>PASS</x:v>
      </x:c>
      <x:c r="Q1438" s="4" t="n">
        <x:v>0</x:v>
      </x:c>
      <x:c r="R1438" s="1" t="str">
        <x:v>FAIL</x:v>
      </x:c>
      <x:c r="S1438" s="4" t="n">
        <x:v>4</x:v>
      </x:c>
      <x:c r="T1438" s="1" t="str">
        <x:v>INCONCLUSIVE</x:v>
      </x:c>
      <x:c r="U1438" s="1" t="str">
        <x:v>Jsoup_75</x:v>
      </x:c>
      <x:c r="V1438" s="6" t="n">
        <x:v>51.47</x:v>
      </x:c>
    </x:row>
    <x:row r="1439" ht="22" customHeight="1">
      <x:c r="A1439" s="1" t="str">
        <x:v>Round2</x:v>
      </x:c>
      <x:c r="B1439" s="1" t="str">
        <x:v>Jsoup</x:v>
      </x:c>
      <x:c r="C1439" s="4" t="n">
        <x:v>76</x:v>
      </x:c>
      <x:c r="D1439" s="4" t="n">
        <x:v>20260928</x:v>
      </x:c>
      <x:c r="E1439" s="4" t="n">
        <x:v>60</x:v>
      </x:c>
      <x:c r="F1439" s="4" t="n">
        <x:v>23</x:v>
      </x:c>
      <x:c r="G1439" s="5" t="n">
        <x:v>0.038599999999999995</x:v>
      </x:c>
      <x:c r="H1439" s="5" t="n">
        <x:v>0.0661</x:v>
      </x:c>
      <x:c r="I1439" s="5" t="n">
        <x:v>0</x:v>
      </x:c>
      <x:c r="J1439" s="4" t="n">
        <x:v>1892</x:v>
      </x:c>
      <x:c r="K1439" s="4" t="n">
        <x:v>73</x:v>
      </x:c>
      <x:c r="L1439" s="4" t="n">
        <x:v>1105</x:v>
      </x:c>
      <x:c r="M1439" s="4" t="n">
        <x:v>73</x:v>
      </x:c>
      <x:c r="N1439" s="4" t="n">
        <x:v>787</x:v>
      </x:c>
      <x:c r="O1439" s="4" t="n">
        <x:v>0</x:v>
      </x:c>
      <x:c r="P1439" s="1" t="str">
        <x:v>PASS</x:v>
      </x:c>
      <x:c r="Q1439" s="4" t="n">
        <x:v>0</x:v>
      </x:c>
      <x:c r="R1439" s="1" t="str">
        <x:v>PASS</x:v>
      </x:c>
      <x:c r="S1439" s="4" t="n">
        <x:v>0</x:v>
      </x:c>
      <x:c r="T1439" s="1" t="str">
        <x:v>NOT_REVEALING</x:v>
      </x:c>
      <x:c r="U1439" s="1" t="str">
        <x:v>Jsoup_76</x:v>
      </x:c>
      <x:c r="V1439" s="6" t="n">
        <x:v>20.88</x:v>
      </x:c>
    </x:row>
    <x:row r="1440" ht="22" customHeight="1">
      <x:c r="A1440" s="1" t="str">
        <x:v>Round2</x:v>
      </x:c>
      <x:c r="B1440" s="1" t="str">
        <x:v>Jsoup</x:v>
      </x:c>
      <x:c r="C1440" s="4" t="n">
        <x:v>77</x:v>
      </x:c>
      <x:c r="D1440" s="4" t="n">
        <x:v>20260928</x:v>
      </x:c>
      <x:c r="E1440" s="4" t="n">
        <x:v>60</x:v>
      </x:c>
      <x:c r="F1440" s="4" t="n">
        <x:v>4043</x:v>
      </x:c>
      <x:c r="G1440" s="5" t="n">
        <x:v>0.37</x:v>
      </x:c>
      <x:c r="H1440" s="5" t="n">
        <x:v>0.46380000000000005</x:v>
      </x:c>
      <x:c r="I1440" s="5" t="n">
        <x:v>0.1613</x:v>
      </x:c>
      <x:c r="J1440" s="4" t="n">
        <x:v>100</x:v>
      </x:c>
      <x:c r="K1440" s="4" t="n">
        <x:v>37</x:v>
      </x:c>
      <x:c r="L1440" s="4" t="n">
        <x:v>69</x:v>
      </x:c>
      <x:c r="M1440" s="4" t="n">
        <x:v>32</x:v>
      </x:c>
      <x:c r="N1440" s="4" t="n">
        <x:v>31</x:v>
      </x:c>
      <x:c r="O1440" s="4" t="n">
        <x:v>5</x:v>
      </x:c>
      <x:c r="P1440" s="1" t="str">
        <x:v>PASS</x:v>
      </x:c>
      <x:c r="Q1440" s="4" t="n">
        <x:v>0</x:v>
      </x:c>
      <x:c r="R1440" s="1" t="str">
        <x:v>PASS</x:v>
      </x:c>
      <x:c r="S1440" s="4" t="n">
        <x:v>0</x:v>
      </x:c>
      <x:c r="T1440" s="1" t="str">
        <x:v>NOT_REVEALING</x:v>
      </x:c>
      <x:c r="U1440" s="1" t="str">
        <x:v>Jsoup_77</x:v>
      </x:c>
      <x:c r="V1440" s="6" t="n">
        <x:v>48.81</x:v>
      </x:c>
    </x:row>
    <x:row r="1441" ht="22" customHeight="1">
      <x:c r="A1441" s="1" t="str">
        <x:v>Round2</x:v>
      </x:c>
      <x:c r="B1441" s="1" t="str">
        <x:v>Jsoup</x:v>
      </x:c>
      <x:c r="C1441" s="4" t="n">
        <x:v>78</x:v>
      </x:c>
      <x:c r="D1441" s="4" t="n">
        <x:v>20260928</x:v>
      </x:c>
      <x:c r="E1441" s="4" t="n">
        <x:v>60</x:v>
      </x:c>
      <x:c r="F1441" s="4" t="n">
        <x:v>98</x:v>
      </x:c>
      <x:c r="G1441" s="5" t="n">
        <x:v>0.1777</x:v>
      </x:c>
      <x:c r="H1441" s="5" t="n">
        <x:v>0.2569</x:v>
      </x:c>
      <x:c r="I1441" s="5" t="n">
        <x:v>0.0795</x:v>
      </x:c>
      <x:c r="J1441" s="4" t="n">
        <x:v>197</x:v>
      </x:c>
      <x:c r="K1441" s="4" t="n">
        <x:v>35</x:v>
      </x:c>
      <x:c r="L1441" s="4" t="n">
        <x:v>109</x:v>
      </x:c>
      <x:c r="M1441" s="4" t="n">
        <x:v>28</x:v>
      </x:c>
      <x:c r="N1441" s="4" t="n">
        <x:v>88</x:v>
      </x:c>
      <x:c r="O1441" s="4" t="n">
        <x:v>7</x:v>
      </x:c>
      <x:c r="P1441" s="1" t="str">
        <x:v>PASS</x:v>
      </x:c>
      <x:c r="Q1441" s="4" t="n">
        <x:v>0</x:v>
      </x:c>
      <x:c r="R1441" s="1" t="str">
        <x:v>PASS</x:v>
      </x:c>
      <x:c r="S1441" s="4" t="n">
        <x:v>0</x:v>
      </x:c>
      <x:c r="T1441" s="1" t="str">
        <x:v>NOT_REVEALING</x:v>
      </x:c>
      <x:c r="U1441" s="1" t="str">
        <x:v>Jsoup_78</x:v>
      </x:c>
      <x:c r="V1441" s="6" t="n">
        <x:v>20.36</x:v>
      </x:c>
    </x:row>
    <x:row r="1442" ht="22" customHeight="1">
      <x:c r="A1442" s="1" t="str">
        <x:v>Round2</x:v>
      </x:c>
      <x:c r="B1442" s="1" t="str">
        <x:v>Jsoup</x:v>
      </x:c>
      <x:c r="C1442" s="4" t="n">
        <x:v>79</x:v>
      </x:c>
      <x:c r="D1442" s="4" t="n">
        <x:v>20260928</x:v>
      </x:c>
      <x:c r="E1442" s="4" t="n">
        <x:v>60</x:v>
      </x:c>
      <x:c r="F1442" s="4" t="n">
        <x:v>1</x:v>
      </x:c>
      <x:c r="G1442" s="5" t="n">
        <x:v>0</x:v>
      </x:c>
      <x:c r="H1442" s="5" t="n">
        <x:v>0</x:v>
      </x:c>
      <x:c r="I1442" s="5" t="n">
        <x:v>0</x:v>
      </x:c>
      <x:c r="J1442" s="4" t="n">
        <x:v>47</x:v>
      </x:c>
      <x:c r="K1442" s="4" t="n">
        <x:v>0</x:v>
      </x:c>
      <x:c r="L1442" s="4" t="n">
        <x:v>33</x:v>
      </x:c>
      <x:c r="M1442" s="4" t="n">
        <x:v>0</x:v>
      </x:c>
      <x:c r="N1442" s="4" t="n">
        <x:v>14</x:v>
      </x:c>
      <x:c r="O1442" s="4" t="n">
        <x:v>0</x:v>
      </x:c>
      <x:c r="P1442" s="1" t="str">
        <x:v>PASS</x:v>
      </x:c>
      <x:c r="Q1442" s="4" t="n">
        <x:v>0</x:v>
      </x:c>
      <x:c r="R1442" s="1" t="str">
        <x:v>PASS</x:v>
      </x:c>
      <x:c r="S1442" s="4" t="n">
        <x:v>0</x:v>
      </x:c>
      <x:c r="T1442" s="1" t="str">
        <x:v>NOT_REVEALING</x:v>
      </x:c>
      <x:c r="U1442" s="1" t="str">
        <x:v>Jsoup_79</x:v>
      </x:c>
      <x:c r="V1442" s="6" t="n">
        <x:v>19.13</x:v>
      </x:c>
    </x:row>
    <x:row r="1443" ht="22" customHeight="1">
      <x:c r="A1443" s="1" t="str">
        <x:v>Round2</x:v>
      </x:c>
      <x:c r="B1443" s="1" t="str">
        <x:v>Jsoup</x:v>
      </x:c>
      <x:c r="C1443" s="4" t="n">
        <x:v>80</x:v>
      </x:c>
      <x:c r="D1443" s="4" t="n">
        <x:v>20260928</x:v>
      </x:c>
      <x:c r="E1443" s="4" t="n">
        <x:v>60</x:v>
      </x:c>
      <x:c r="F1443" s="4" t="n">
        <x:v>4380</x:v>
      </x:c>
      <x:c r="G1443" s="5" t="n">
        <x:v>0.37</x:v>
      </x:c>
      <x:c r="H1443" s="5" t="n">
        <x:v>0.46380000000000005</x:v>
      </x:c>
      <x:c r="I1443" s="5" t="n">
        <x:v>0.1613</x:v>
      </x:c>
      <x:c r="J1443" s="4" t="n">
        <x:v>100</x:v>
      </x:c>
      <x:c r="K1443" s="4" t="n">
        <x:v>37</x:v>
      </x:c>
      <x:c r="L1443" s="4" t="n">
        <x:v>69</x:v>
      </x:c>
      <x:c r="M1443" s="4" t="n">
        <x:v>32</x:v>
      </x:c>
      <x:c r="N1443" s="4" t="n">
        <x:v>31</x:v>
      </x:c>
      <x:c r="O1443" s="4" t="n">
        <x:v>5</x:v>
      </x:c>
      <x:c r="P1443" s="1" t="str">
        <x:v>PASS</x:v>
      </x:c>
      <x:c r="Q1443" s="4" t="n">
        <x:v>0</x:v>
      </x:c>
      <x:c r="R1443" s="1" t="str">
        <x:v>PASS</x:v>
      </x:c>
      <x:c r="S1443" s="4" t="n">
        <x:v>0</x:v>
      </x:c>
      <x:c r="T1443" s="1" t="str">
        <x:v>NOT_REVEALING</x:v>
      </x:c>
      <x:c r="U1443" s="1" t="str">
        <x:v>Jsoup_80</x:v>
      </x:c>
      <x:c r="V1443" s="6" t="n">
        <x:v>51.22</x:v>
      </x:c>
    </x:row>
    <x:row r="1444" ht="22" customHeight="1">
      <x:c r="A1444" s="1" t="str">
        <x:v>Round2</x:v>
      </x:c>
      <x:c r="B1444" s="1" t="str">
        <x:v>Jsoup</x:v>
      </x:c>
      <x:c r="C1444" s="4" t="n">
        <x:v>81</x:v>
      </x:c>
      <x:c r="D1444" s="4" t="n">
        <x:v>20260928</x:v>
      </x:c>
      <x:c r="E1444" s="4" t="n">
        <x:v>60</x:v>
      </x:c>
      <x:c r="F1444" s="4" t="n">
        <x:v>98</x:v>
      </x:c>
      <x:c r="G1444" s="5" t="n">
        <x:v>0.1659</x:v>
      </x:c>
      <x:c r="H1444" s="5" t="n">
        <x:v>0.23929999999999998</x:v>
      </x:c>
      <x:c r="I1444" s="5" t="n">
        <x:v>0.0745</x:v>
      </x:c>
      <x:c r="J1444" s="4" t="n">
        <x:v>211</x:v>
      </x:c>
      <x:c r="K1444" s="4" t="n">
        <x:v>35</x:v>
      </x:c>
      <x:c r="L1444" s="4" t="n">
        <x:v>117</x:v>
      </x:c>
      <x:c r="M1444" s="4" t="n">
        <x:v>28</x:v>
      </x:c>
      <x:c r="N1444" s="4" t="n">
        <x:v>94</x:v>
      </x:c>
      <x:c r="O1444" s="4" t="n">
        <x:v>7</x:v>
      </x:c>
      <x:c r="P1444" s="1" t="str">
        <x:v>PASS</x:v>
      </x:c>
      <x:c r="Q1444" s="4" t="n">
        <x:v>0</x:v>
      </x:c>
      <x:c r="R1444" s="1" t="str">
        <x:v>PASS</x:v>
      </x:c>
      <x:c r="S1444" s="4" t="n">
        <x:v>0</x:v>
      </x:c>
      <x:c r="T1444" s="1" t="str">
        <x:v>NOT_REVEALING</x:v>
      </x:c>
      <x:c r="U1444" s="1" t="str">
        <x:v>Jsoup_81</x:v>
      </x:c>
      <x:c r="V1444" s="6" t="n">
        <x:v>20.84</x:v>
      </x:c>
    </x:row>
    <x:row r="1445" ht="22" customHeight="1">
      <x:c r="A1445" s="1" t="str">
        <x:v>Round2</x:v>
      </x:c>
      <x:c r="B1445" s="1" t="str">
        <x:v>Jsoup</x:v>
      </x:c>
      <x:c r="C1445" s="4" t="n">
        <x:v>82</x:v>
      </x:c>
      <x:c r="D1445" s="4" t="n">
        <x:v>20260928</x:v>
      </x:c>
      <x:c r="E1445" s="4" t="n">
        <x:v>60</x:v>
      </x:c>
      <x:c r="F1445" s="4" t="n">
        <x:v>96</x:v>
      </x:c>
      <x:c r="G1445" s="5" t="n">
        <x:v>0.1435</x:v>
      </x:c>
      <x:c r="H1445" s="5" t="n">
        <x:v>0.20350000000000001</x:v>
      </x:c>
      <x:c r="I1445" s="5" t="n">
        <x:v>0.0729</x:v>
      </x:c>
      <x:c r="J1445" s="4" t="n">
        <x:v>209</x:v>
      </x:c>
      <x:c r="K1445" s="4" t="n">
        <x:v>30</x:v>
      </x:c>
      <x:c r="L1445" s="4" t="n">
        <x:v>113</x:v>
      </x:c>
      <x:c r="M1445" s="4" t="n">
        <x:v>23</x:v>
      </x:c>
      <x:c r="N1445" s="4" t="n">
        <x:v>96</x:v>
      </x:c>
      <x:c r="O1445" s="4" t="n">
        <x:v>7</x:v>
      </x:c>
      <x:c r="P1445" s="1" t="str">
        <x:v>PASS</x:v>
      </x:c>
      <x:c r="Q1445" s="4" t="n">
        <x:v>0</x:v>
      </x:c>
      <x:c r="R1445" s="1" t="str">
        <x:v>PASS</x:v>
      </x:c>
      <x:c r="S1445" s="4" t="n">
        <x:v>0</x:v>
      </x:c>
      <x:c r="T1445" s="1" t="str">
        <x:v>NOT_REVEALING</x:v>
      </x:c>
      <x:c r="U1445" s="1" t="str">
        <x:v>Jsoup_82</x:v>
      </x:c>
      <x:c r="V1445" s="6" t="n">
        <x:v>21.51</x:v>
      </x:c>
    </x:row>
    <x:row r="1446" ht="22" customHeight="1">
      <x:c r="A1446" s="1" t="str">
        <x:v>Round2</x:v>
      </x:c>
      <x:c r="B1446" s="1" t="str">
        <x:v>Jsoup</x:v>
      </x:c>
      <x:c r="C1446" s="4" t="n">
        <x:v>83</x:v>
      </x:c>
      <x:c r="D1446" s="4" t="n">
        <x:v>20260928</x:v>
      </x:c>
      <x:c r="E1446" s="4" t="n">
        <x:v>60</x:v>
      </x:c>
      <x:c r="F1446" s="4" t="n">
        <x:v>4554</x:v>
      </x:c>
      <x:c r="G1446" s="5" t="n">
        <x:v>0.4325</x:v>
      </x:c>
      <x:c r="H1446" s="5" t="n">
        <x:v>0.40850000000000003</x:v>
      </x:c>
      <x:c r="I1446" s="5" t="n">
        <x:v>0.4953</x:v>
      </x:c>
      <x:c r="J1446" s="4" t="n">
        <x:v>1926</x:v>
      </x:c>
      <x:c r="K1446" s="4" t="n">
        <x:v>833</x:v>
      </x:c>
      <x:c r="L1446" s="4" t="n">
        <x:v>1393</x:v>
      </x:c>
      <x:c r="M1446" s="4" t="n">
        <x:v>569</x:v>
      </x:c>
      <x:c r="N1446" s="4" t="n">
        <x:v>533</x:v>
      </x:c>
      <x:c r="O1446" s="4" t="n">
        <x:v>264</x:v>
      </x:c>
      <x:c r="P1446" s="1" t="str">
        <x:v>PASS</x:v>
      </x:c>
      <x:c r="Q1446" s="4" t="n">
        <x:v>0</x:v>
      </x:c>
      <x:c r="R1446" s="1" t="str">
        <x:v>PASS</x:v>
      </x:c>
      <x:c r="S1446" s="4" t="n">
        <x:v>0</x:v>
      </x:c>
      <x:c r="T1446" s="1" t="str">
        <x:v>NOT_REVEALING</x:v>
      </x:c>
      <x:c r="U1446" s="1" t="str">
        <x:v>Jsoup_83</x:v>
      </x:c>
      <x:c r="V1446" s="6" t="n">
        <x:v>50.49</x:v>
      </x:c>
    </x:row>
    <x:row r="1447" ht="22" customHeight="1">
      <x:c r="A1447" s="1" t="str">
        <x:v>Round2</x:v>
      </x:c>
      <x:c r="B1447" s="1" t="str">
        <x:v>Jsoup</x:v>
      </x:c>
      <x:c r="C1447" s="4" t="n">
        <x:v>84</x:v>
      </x:c>
      <x:c r="D1447" s="4" t="n">
        <x:v>20260928</x:v>
      </x:c>
      <x:c r="E1447" s="4" t="n">
        <x:v>60</x:v>
      </x:c>
      <x:c r="F1447" s="4" t="n">
        <x:v>4275</x:v>
      </x:c>
      <x:c r="G1447" s="5" t="n">
        <x:v>0.2596</x:v>
      </x:c>
      <x:c r="H1447" s="5" t="n">
        <x:v>0.2895</x:v>
      </x:c>
      <x:c r="I1447" s="5" t="n">
        <x:v>0.17859999999999998</x:v>
      </x:c>
      <x:c r="J1447" s="4" t="n">
        <x:v>104</x:v>
      </x:c>
      <x:c r="K1447" s="4" t="n">
        <x:v>27</x:v>
      </x:c>
      <x:c r="L1447" s="4" t="n">
        <x:v>76</x:v>
      </x:c>
      <x:c r="M1447" s="4" t="n">
        <x:v>22</x:v>
      </x:c>
      <x:c r="N1447" s="4" t="n">
        <x:v>28</x:v>
      </x:c>
      <x:c r="O1447" s="4" t="n">
        <x:v>5</x:v>
      </x:c>
      <x:c r="P1447" s="1" t="str">
        <x:v>PASS</x:v>
      </x:c>
      <x:c r="Q1447" s="4" t="n">
        <x:v>0</x:v>
      </x:c>
      <x:c r="R1447" s="1" t="str">
        <x:v>PASS</x:v>
      </x:c>
      <x:c r="S1447" s="4" t="n">
        <x:v>0</x:v>
      </x:c>
      <x:c r="T1447" s="1" t="str">
        <x:v>NOT_REVEALING</x:v>
      </x:c>
      <x:c r="U1447" s="1" t="str">
        <x:v>Jsoup_84</x:v>
      </x:c>
      <x:c r="V1447" s="6" t="n">
        <x:v>76.98</x:v>
      </x:c>
    </x:row>
    <x:row r="1448" ht="22" customHeight="1">
      <x:c r="A1448" s="1" t="str">
        <x:v>Round2</x:v>
      </x:c>
      <x:c r="B1448" s="1" t="str">
        <x:v>Jsoup</x:v>
      </x:c>
      <x:c r="C1448" s="4" t="n">
        <x:v>85</x:v>
      </x:c>
      <x:c r="D1448" s="4" t="n">
        <x:v>20260928</x:v>
      </x:c>
      <x:c r="E1448" s="4" t="n">
        <x:v>60</x:v>
      </x:c>
      <x:c r="F1448" s="4" t="n">
        <x:v>6985</x:v>
      </x:c>
      <x:c r="G1448" s="5" t="n">
        <x:v>0.6087</x:v>
      </x:c>
      <x:c r="H1448" s="5" t="n">
        <x:v>0.7384999999999999</x:v>
      </x:c>
      <x:c r="I1448" s="5" t="n">
        <x:v>0.44</x:v>
      </x:c>
      <x:c r="J1448" s="4" t="n">
        <x:v>115</x:v>
      </x:c>
      <x:c r="K1448" s="4" t="n">
        <x:v>70</x:v>
      </x:c>
      <x:c r="L1448" s="4" t="n">
        <x:v>65</x:v>
      </x:c>
      <x:c r="M1448" s="4" t="n">
        <x:v>48</x:v>
      </x:c>
      <x:c r="N1448" s="4" t="n">
        <x:v>50</x:v>
      </x:c>
      <x:c r="O1448" s="4" t="n">
        <x:v>22</x:v>
      </x:c>
      <x:c r="P1448" s="1" t="str">
        <x:v>FAIL</x:v>
      </x:c>
      <x:c r="Q1448" s="4" t="n">
        <x:v>452</x:v>
      </x:c>
      <x:c r="R1448" s="1" t="str">
        <x:v>FAIL</x:v>
      </x:c>
      <x:c r="S1448" s="4" t="n">
        <x:v>452</x:v>
      </x:c>
      <x:c r="T1448" s="1" t="str">
        <x:v>INCONCLUSIVE</x:v>
      </x:c>
      <x:c r="U1448" s="1" t="str">
        <x:v>Jsoup_85</x:v>
      </x:c>
      <x:c r="V1448" s="6" t="n">
        <x:v>41.08</x:v>
      </x:c>
    </x:row>
    <x:row r="1449" ht="22" customHeight="1">
      <x:c r="A1449" s="1" t="str">
        <x:v>Round2</x:v>
      </x:c>
      <x:c r="B1449" s="1" t="str">
        <x:v>Jsoup</x:v>
      </x:c>
      <x:c r="C1449" s="4" t="n">
        <x:v>86</x:v>
      </x:c>
      <x:c r="D1449" s="4" t="n">
        <x:v>20260928</x:v>
      </x:c>
      <x:c r="E1449" s="4" t="n">
        <x:v>60</x:v>
      </x:c>
      <x:c r="F1449" s="4" t="n">
        <x:v>4797</x:v>
      </x:c>
      <x:c r="G1449" s="5" t="n">
        <x:v>0.8919</x:v>
      </x:c>
      <x:c r="H1449" s="5" t="n">
        <x:v>1</x:v>
      </x:c>
      <x:c r="I1449" s="5" t="n">
        <x:v>0.6</x:v>
      </x:c>
      <x:c r="J1449" s="4" t="n">
        <x:v>37</x:v>
      </x:c>
      <x:c r="K1449" s="4" t="n">
        <x:v>33</x:v>
      </x:c>
      <x:c r="L1449" s="4" t="n">
        <x:v>27</x:v>
      </x:c>
      <x:c r="M1449" s="4" t="n">
        <x:v>27</x:v>
      </x:c>
      <x:c r="N1449" s="4" t="n">
        <x:v>10</x:v>
      </x:c>
      <x:c r="O1449" s="4" t="n">
        <x:v>6</x:v>
      </x:c>
      <x:c r="P1449" s="1" t="str">
        <x:v>FAIL</x:v>
      </x:c>
      <x:c r="Q1449" s="4" t="n">
        <x:v>56</x:v>
      </x:c>
      <x:c r="R1449" s="1" t="str">
        <x:v>FAIL</x:v>
      </x:c>
      <x:c r="S1449" s="4" t="n">
        <x:v>80</x:v>
      </x:c>
      <x:c r="T1449" s="1" t="str">
        <x:v>INCONCLUSIVE</x:v>
      </x:c>
      <x:c r="U1449" s="1" t="str">
        <x:v>Jsoup_86</x:v>
      </x:c>
      <x:c r="V1449" s="6" t="n">
        <x:v>44.5</x:v>
      </x:c>
    </x:row>
    <x:row r="1450" ht="22" customHeight="1">
      <x:c r="A1450" s="1" t="str">
        <x:v>Round2</x:v>
      </x:c>
      <x:c r="B1450" s="1" t="str">
        <x:v>Jsoup</x:v>
      </x:c>
      <x:c r="C1450" s="4" t="n">
        <x:v>87</x:v>
      </x:c>
      <x:c r="D1450" s="4" t="n">
        <x:v>20260928</x:v>
      </x:c>
      <x:c r="E1450" s="4" t="n">
        <x:v>60</x:v>
      </x:c>
      <x:c r="F1450" s="4" t="n">
        <x:v>4154</x:v>
      </x:c>
      <x:c r="G1450" s="5" t="n">
        <x:v>0.37520000000000003</x:v>
      </x:c>
      <x:c r="H1450" s="5" t="n">
        <x:v>0.44420000000000004</x:v>
      </x:c>
      <x:c r="I1450" s="5" t="n">
        <x:v>0.26530000000000004</x:v>
      </x:c>
      <x:c r="J1450" s="4" t="n">
        <x:v>3265</x:v>
      </x:c>
      <x:c r="K1450" s="4" t="n">
        <x:v>1225</x:v>
      </x:c>
      <x:c r="L1450" s="4" t="n">
        <x:v>2006</x:v>
      </x:c>
      <x:c r="M1450" s="4" t="n">
        <x:v>891</x:v>
      </x:c>
      <x:c r="N1450" s="4" t="n">
        <x:v>1259</x:v>
      </x:c>
      <x:c r="O1450" s="4" t="n">
        <x:v>334</x:v>
      </x:c>
      <x:c r="P1450" s="1" t="str">
        <x:v>FAIL</x:v>
      </x:c>
      <x:c r="Q1450" s="4" t="n">
        <x:v>1132</x:v>
      </x:c>
      <x:c r="R1450" s="1" t="str">
        <x:v>FAIL</x:v>
      </x:c>
      <x:c r="S1450" s="4" t="n">
        <x:v>1132</x:v>
      </x:c>
      <x:c r="T1450" s="1" t="str">
        <x:v>INCONCLUSIVE</x:v>
      </x:c>
      <x:c r="U1450" s="1" t="str">
        <x:v>Jsoup_87</x:v>
      </x:c>
      <x:c r="V1450" s="6" t="n">
        <x:v>58.78</x:v>
      </x:c>
    </x:row>
    <x:row r="1451" ht="22" customHeight="1">
      <x:c r="A1451" s="1" t="str">
        <x:v>Round2</x:v>
      </x:c>
      <x:c r="B1451" s="1" t="str">
        <x:v>Jsoup</x:v>
      </x:c>
      <x:c r="C1451" s="4" t="n">
        <x:v>88</x:v>
      </x:c>
      <x:c r="D1451" s="4" t="n">
        <x:v>20260928</x:v>
      </x:c>
      <x:c r="E1451" s="4" t="n">
        <x:v>60</x:v>
      </x:c>
      <x:c r="F1451" s="4" t="n">
        <x:v>7193</x:v>
      </x:c>
      <x:c r="G1451" s="5" t="n">
        <x:v>0.6121</x:v>
      </x:c>
      <x:c r="H1451" s="5" t="n">
        <x:v>0.7424</x:v>
      </x:c>
      <x:c r="I1451" s="5" t="n">
        <x:v>0.44</x:v>
      </x:c>
      <x:c r="J1451" s="4" t="n">
        <x:v>116</x:v>
      </x:c>
      <x:c r="K1451" s="4" t="n">
        <x:v>71</x:v>
      </x:c>
      <x:c r="L1451" s="4" t="n">
        <x:v>66</x:v>
      </x:c>
      <x:c r="M1451" s="4" t="n">
        <x:v>49</x:v>
      </x:c>
      <x:c r="N1451" s="4" t="n">
        <x:v>50</x:v>
      </x:c>
      <x:c r="O1451" s="4" t="n">
        <x:v>22</x:v>
      </x:c>
      <x:c r="P1451" s="1" t="str">
        <x:v>FAIL</x:v>
      </x:c>
      <x:c r="Q1451" s="4" t="n">
        <x:v>468</x:v>
      </x:c>
      <x:c r="R1451" s="1" t="str">
        <x:v>FAIL</x:v>
      </x:c>
      <x:c r="S1451" s="4" t="n">
        <x:v>468</x:v>
      </x:c>
      <x:c r="T1451" s="1" t="str">
        <x:v>INCONCLUSIVE</x:v>
      </x:c>
      <x:c r="U1451" s="1" t="str">
        <x:v>Jsoup_88</x:v>
      </x:c>
      <x:c r="V1451" s="6" t="n">
        <x:v>46.37</x:v>
      </x:c>
    </x:row>
    <x:row r="1452" ht="22" customHeight="1">
      <x:c r="A1452" s="1" t="str">
        <x:v>Round2</x:v>
      </x:c>
      <x:c r="B1452" s="1" t="str">
        <x:v>Jsoup</x:v>
      </x:c>
      <x:c r="C1452" s="4" t="n">
        <x:v>89</x:v>
      </x:c>
      <x:c r="D1452" s="4" t="n">
        <x:v>20260928</x:v>
      </x:c>
      <x:c r="E1452" s="4" t="n">
        <x:v>60</x:v>
      </x:c>
      <x:c r="F1452" s="4" t="n">
        <x:v>7115</x:v>
      </x:c>
      <x:c r="G1452" s="5" t="n">
        <x:v>0.6121</x:v>
      </x:c>
      <x:c r="H1452" s="5" t="n">
        <x:v>0.7424</x:v>
      </x:c>
      <x:c r="I1452" s="5" t="n">
        <x:v>0.44</x:v>
      </x:c>
      <x:c r="J1452" s="4" t="n">
        <x:v>116</x:v>
      </x:c>
      <x:c r="K1452" s="4" t="n">
        <x:v>71</x:v>
      </x:c>
      <x:c r="L1452" s="4" t="n">
        <x:v>66</x:v>
      </x:c>
      <x:c r="M1452" s="4" t="n">
        <x:v>49</x:v>
      </x:c>
      <x:c r="N1452" s="4" t="n">
        <x:v>50</x:v>
      </x:c>
      <x:c r="O1452" s="4" t="n">
        <x:v>22</x:v>
      </x:c>
      <x:c r="P1452" s="1" t="str">
        <x:v>FAIL</x:v>
      </x:c>
      <x:c r="Q1452" s="4" t="n">
        <x:v>466</x:v>
      </x:c>
      <x:c r="R1452" s="1" t="str">
        <x:v>FAIL</x:v>
      </x:c>
      <x:c r="S1452" s="4" t="n">
        <x:v>612</x:v>
      </x:c>
      <x:c r="T1452" s="1" t="str">
        <x:v>INCONCLUSIVE</x:v>
      </x:c>
      <x:c r="U1452" s="1" t="str">
        <x:v>Jsoup_89</x:v>
      </x:c>
      <x:c r="V1452" s="6" t="n">
        <x:v>43.87</x:v>
      </x:c>
    </x:row>
    <x:row r="1453" ht="22" customHeight="1">
      <x:c r="A1453" s="1" t="str">
        <x:v>Round2</x:v>
      </x:c>
      <x:c r="B1453" s="1" t="str">
        <x:v>Jsoup</x:v>
      </x:c>
      <x:c r="C1453" s="4" t="n">
        <x:v>90</x:v>
      </x:c>
      <x:c r="D1453" s="4" t="n">
        <x:v>20260928</x:v>
      </x:c>
      <x:c r="E1453" s="4" t="n">
        <x:v>60</x:v>
      </x:c>
      <x:c r="F1453" s="4" t="n">
        <x:v>4612</x:v>
      </x:c>
      <x:c r="G1453" s="5" t="n">
        <x:v>0.4325</x:v>
      </x:c>
      <x:c r="H1453" s="5" t="n">
        <x:v>0.505</x:v>
      </x:c>
      <x:c r="I1453" s="5" t="n">
        <x:v>0.24789999999999998</x:v>
      </x:c>
      <x:c r="J1453" s="4" t="n">
        <x:v>830</x:v>
      </x:c>
      <x:c r="K1453" s="4" t="n">
        <x:v>359</x:v>
      </x:c>
      <x:c r="L1453" s="4" t="n">
        <x:v>596</x:v>
      </x:c>
      <x:c r="M1453" s="4" t="n">
        <x:v>301</x:v>
      </x:c>
      <x:c r="N1453" s="4" t="n">
        <x:v>234</x:v>
      </x:c>
      <x:c r="O1453" s="4" t="n">
        <x:v>58</x:v>
      </x:c>
      <x:c r="P1453" s="1" t="str">
        <x:v>PASS</x:v>
      </x:c>
      <x:c r="Q1453" s="4" t="n">
        <x:v>0</x:v>
      </x:c>
      <x:c r="R1453" s="1" t="str">
        <x:v>PASS</x:v>
      </x:c>
      <x:c r="S1453" s="4" t="n">
        <x:v>0</x:v>
      </x:c>
      <x:c r="T1453" s="1" t="str">
        <x:v>NOT_REVEALING</x:v>
      </x:c>
      <x:c r="U1453" s="1" t="str">
        <x:v>Jsoup_90</x:v>
      </x:c>
      <x:c r="V1453" s="6" t="n">
        <x:v>48.65</x:v>
      </x:c>
    </x:row>
    <x:row r="1454" ht="22" customHeight="1">
      <x:c r="A1454" s="1" t="str">
        <x:v>Round2</x:v>
      </x:c>
      <x:c r="B1454" s="1" t="str">
        <x:v>Jsoup</x:v>
      </x:c>
      <x:c r="C1454" s="4" t="n">
        <x:v>91</x:v>
      </x:c>
      <x:c r="D1454" s="4" t="n">
        <x:v>20260928</x:v>
      </x:c>
      <x:c r="E1454" s="4" t="n">
        <x:v>60</x:v>
      </x:c>
      <x:c r="F1454" s="4" t="n">
        <x:v>4163</x:v>
      </x:c>
      <x:c r="G1454" s="5" t="n">
        <x:v>0.2597</x:v>
      </x:c>
      <x:c r="H1454" s="5" t="n">
        <x:v>0.32530000000000003</x:v>
      </x:c>
      <x:c r="I1454" s="5" t="n">
        <x:v>0.17370000000000002</x:v>
      </x:c>
      <x:c r="J1454" s="4" t="n">
        <x:v>439</x:v>
      </x:c>
      <x:c r="K1454" s="4" t="n">
        <x:v>114</x:v>
      </x:c>
      <x:c r="L1454" s="4" t="n">
        <x:v>249</x:v>
      </x:c>
      <x:c r="M1454" s="4" t="n">
        <x:v>81</x:v>
      </x:c>
      <x:c r="N1454" s="4" t="n">
        <x:v>190</x:v>
      </x:c>
      <x:c r="O1454" s="4" t="n">
        <x:v>33</x:v>
      </x:c>
      <x:c r="P1454" s="1" t="str">
        <x:v>PASS</x:v>
      </x:c>
      <x:c r="Q1454" s="4" t="n">
        <x:v>0</x:v>
      </x:c>
      <x:c r="R1454" s="1" t="str">
        <x:v>PASS</x:v>
      </x:c>
      <x:c r="S1454" s="4" t="n">
        <x:v>0</x:v>
      </x:c>
      <x:c r="T1454" s="1" t="str">
        <x:v>NOT_REVEALING</x:v>
      </x:c>
      <x:c r="U1454" s="1" t="str">
        <x:v>Jsoup_91</x:v>
      </x:c>
      <x:c r="V1454" s="6" t="n">
        <x:v>61.02</x:v>
      </x:c>
    </x:row>
    <x:row r="1455" ht="22" customHeight="1">
      <x:c r="A1455" s="1" t="str">
        <x:v>Round2</x:v>
      </x:c>
      <x:c r="B1455" s="1" t="str">
        <x:v>Jsoup</x:v>
      </x:c>
      <x:c r="C1455" s="4" t="n">
        <x:v>92</x:v>
      </x:c>
      <x:c r="D1455" s="4" t="n">
        <x:v>20260928</x:v>
      </x:c>
      <x:c r="E1455" s="4" t="n">
        <x:v>60</x:v>
      </x:c>
      <x:c r="F1455" s="4" t="n">
        <x:v>4739</x:v>
      </x:c>
      <x:c r="G1455" s="5" t="n">
        <x:v>0.5172</x:v>
      </x:c>
      <x:c r="H1455" s="5" t="n">
        <x:v>0.5895</x:v>
      </x:c>
      <x:c r="I1455" s="5" t="n">
        <x:v>0.35810000000000003</x:v>
      </x:c>
      <x:c r="J1455" s="4" t="n">
        <x:v>1162</x:v>
      </x:c>
      <x:c r="K1455" s="4" t="n">
        <x:v>601</x:v>
      </x:c>
      <x:c r="L1455" s="4" t="n">
        <x:v>799</x:v>
      </x:c>
      <x:c r="M1455" s="4" t="n">
        <x:v>471</x:v>
      </x:c>
      <x:c r="N1455" s="4" t="n">
        <x:v>363</x:v>
      </x:c>
      <x:c r="O1455" s="4" t="n">
        <x:v>130</x:v>
      </x:c>
      <x:c r="P1455" s="1" t="str">
        <x:v>FAIL</x:v>
      </x:c>
      <x:c r="Q1455" s="4" t="n">
        <x:v>584</x:v>
      </x:c>
      <x:c r="R1455" s="1" t="str">
        <x:v>FAIL</x:v>
      </x:c>
      <x:c r="S1455" s="4" t="n">
        <x:v>590</x:v>
      </x:c>
      <x:c r="T1455" s="1" t="str">
        <x:v>INCONCLUSIVE</x:v>
      </x:c>
      <x:c r="U1455" s="1" t="str">
        <x:v>Jsoup_92</x:v>
      </x:c>
      <x:c r="V1455" s="6" t="n">
        <x:v>46.16</x:v>
      </x:c>
    </x:row>
    <x:row r="1456" ht="22" customHeight="1">
      <x:c r="A1456" s="1" t="str">
        <x:v>Round2</x:v>
      </x:c>
      <x:c r="B1456" s="1" t="str">
        <x:v>Jsoup</x:v>
      </x:c>
      <x:c r="C1456" s="4" t="n">
        <x:v>93</x:v>
      </x:c>
      <x:c r="D1456" s="4" t="n">
        <x:v>20260928</x:v>
      </x:c>
      <x:c r="E1456" s="4" t="n">
        <x:v>60</x:v>
      </x:c>
      <x:c r="F1456" s="4" t="n">
        <x:v>3</x:v>
      </x:c>
      <x:c r="G1456" s="5" t="n">
        <x:v>0.0143</x:v>
      </x:c>
      <x:c r="H1456" s="5" t="n">
        <x:v>0.023799999999999998</x:v>
      </x:c>
      <x:c r="I1456" s="5" t="n">
        <x:v>0</x:v>
      </x:c>
      <x:c r="J1456" s="4" t="n">
        <x:v>70</x:v>
      </x:c>
      <x:c r="K1456" s="4" t="n">
        <x:v>1</x:v>
      </x:c>
      <x:c r="L1456" s="4" t="n">
        <x:v>42</x:v>
      </x:c>
      <x:c r="M1456" s="4" t="n">
        <x:v>1</x:v>
      </x:c>
      <x:c r="N1456" s="4" t="n">
        <x:v>28</x:v>
      </x:c>
      <x:c r="O1456" s="4" t="n">
        <x:v>0</x:v>
      </x:c>
      <x:c r="P1456" s="1" t="str">
        <x:v>PASS</x:v>
      </x:c>
      <x:c r="Q1456" s="4" t="n">
        <x:v>0</x:v>
      </x:c>
      <x:c r="R1456" s="1" t="str">
        <x:v>PASS</x:v>
      </x:c>
      <x:c r="S1456" s="4" t="n">
        <x:v>0</x:v>
      </x:c>
      <x:c r="T1456" s="1" t="str">
        <x:v>NOT_REVEALING</x:v>
      </x:c>
      <x:c r="U1456" s="1" t="str">
        <x:v>Jsoup_93</x:v>
      </x:c>
      <x:c r="V1456" s="6" t="n">
        <x:v>19.61</x:v>
      </x:c>
    </x:row>
    <x:row r="1457" ht="22" customHeight="1">
      <x:c r="A1457" s="1" t="str">
        <x:v>Round2</x:v>
      </x:c>
      <x:c r="B1457" s="1" t="str">
        <x:v>JxPath</x:v>
      </x:c>
      <x:c r="C1457" s="4" t="n">
        <x:v>1</x:v>
      </x:c>
      <x:c r="D1457" s="4" t="n">
        <x:v>20260928</x:v>
      </x:c>
      <x:c r="E1457" s="4" t="n">
        <x:v>60</x:v>
      </x:c>
      <x:c r="F1457" s="4" t="n">
        <x:v>3813</x:v>
      </x:c>
      <x:c r="G1457" s="5" t="n">
        <x:v>0.225</x:v>
      </x:c>
      <x:c r="H1457" s="5" t="n">
        <x:v>0.26780000000000004</x:v>
      </x:c>
      <x:c r="I1457" s="5" t="n">
        <x:v>0.1655</x:v>
      </x:c>
      <x:c r="J1457" s="4" t="n">
        <x:v>1329</x:v>
      </x:c>
      <x:c r="K1457" s="4" t="n">
        <x:v>299</x:v>
      </x:c>
      <x:c r="L1457" s="4" t="n">
        <x:v>773</x:v>
      </x:c>
      <x:c r="M1457" s="4" t="n">
        <x:v>207</x:v>
      </x:c>
      <x:c r="N1457" s="4" t="n">
        <x:v>556</x:v>
      </x:c>
      <x:c r="O1457" s="4" t="n">
        <x:v>92</x:v>
      </x:c>
      <x:c r="P1457" s="1" t="str">
        <x:v>PASS</x:v>
      </x:c>
      <x:c r="Q1457" s="4" t="n">
        <x:v>0</x:v>
      </x:c>
      <x:c r="R1457" s="1" t="str">
        <x:v>PASS</x:v>
      </x:c>
      <x:c r="S1457" s="4" t="n">
        <x:v>0</x:v>
      </x:c>
      <x:c r="T1457" s="1" t="str">
        <x:v>NOT_REVEALING</x:v>
      </x:c>
      <x:c r="U1457" s="1" t="str">
        <x:v>JxPath_1</x:v>
      </x:c>
      <x:c r="V1457" s="6" t="n">
        <x:v>49.1</x:v>
      </x:c>
    </x:row>
    <x:row r="1458" ht="22" customHeight="1">
      <x:c r="A1458" s="1" t="str">
        <x:v>Round2</x:v>
      </x:c>
      <x:c r="B1458" s="1" t="str">
        <x:v>JxPath</x:v>
      </x:c>
      <x:c r="C1458" s="4" t="n">
        <x:v>2</x:v>
      </x:c>
      <x:c r="D1458" s="4" t="n">
        <x:v>20260928</x:v>
      </x:c>
      <x:c r="E1458" s="4" t="n">
        <x:v>60</x:v>
      </x:c>
      <x:c r="F1458" s="4" t="n">
        <x:v>4187</x:v>
      </x:c>
      <x:c r="G1458" s="5" t="n">
        <x:v>0.34</x:v>
      </x:c>
      <x:c r="H1458" s="5" t="n">
        <x:v>0.4474</x:v>
      </x:c>
      <x:c r="I1458" s="5" t="n">
        <x:v>0</x:v>
      </x:c>
      <x:c r="J1458" s="4" t="n">
        <x:v>50</x:v>
      </x:c>
      <x:c r="K1458" s="4" t="n">
        <x:v>17</x:v>
      </x:c>
      <x:c r="L1458" s="4" t="n">
        <x:v>38</x:v>
      </x:c>
      <x:c r="M1458" s="4" t="n">
        <x:v>17</x:v>
      </x:c>
      <x:c r="N1458" s="4" t="n">
        <x:v>12</x:v>
      </x:c>
      <x:c r="O1458" s="4" t="n">
        <x:v>0</x:v>
      </x:c>
      <x:c r="P1458" s="1" t="str">
        <x:v>PASS</x:v>
      </x:c>
      <x:c r="Q1458" s="4" t="n">
        <x:v>0</x:v>
      </x:c>
      <x:c r="R1458" s="1" t="str">
        <x:v>PASS</x:v>
      </x:c>
      <x:c r="S1458" s="4" t="n">
        <x:v>0</x:v>
      </x:c>
      <x:c r="T1458" s="1" t="str">
        <x:v>NOT_REVEALING</x:v>
      </x:c>
      <x:c r="U1458" s="1" t="str">
        <x:v>JxPath_2</x:v>
      </x:c>
      <x:c r="V1458" s="6" t="n">
        <x:v>42.11</x:v>
      </x:c>
    </x:row>
    <x:row r="1459" ht="22" customHeight="1">
      <x:c r="A1459" s="1" t="str">
        <x:v>Round2</x:v>
      </x:c>
      <x:c r="B1459" s="1" t="str">
        <x:v>JxPath</x:v>
      </x:c>
      <x:c r="C1459" s="4" t="n">
        <x:v>3</x:v>
      </x:c>
      <x:c r="D1459" s="4" t="n">
        <x:v>20260928</x:v>
      </x:c>
      <x:c r="E1459" s="4" t="n">
        <x:v>60</x:v>
      </x:c>
      <x:c r="F1459" s="4" t="n">
        <x:v>2407</x:v>
      </x:c>
      <x:c r="G1459" s="5" t="n">
        <x:v>0.8251999999999999</x:v>
      </x:c>
      <x:c r="H1459" s="5" t="n">
        <x:v>0.8442000000000001</x:v>
      </x:c>
      <x:c r="I1459" s="5" t="n">
        <x:v>0.7692</x:v>
      </x:c>
      <x:c r="J1459" s="4" t="n">
        <x:v>103</x:v>
      </x:c>
      <x:c r="K1459" s="4" t="n">
        <x:v>85</x:v>
      </x:c>
      <x:c r="L1459" s="4" t="n">
        <x:v>77</x:v>
      </x:c>
      <x:c r="M1459" s="4" t="n">
        <x:v>65</x:v>
      </x:c>
      <x:c r="N1459" s="4" t="n">
        <x:v>26</x:v>
      </x:c>
      <x:c r="O1459" s="4" t="n">
        <x:v>20</x:v>
      </x:c>
      <x:c r="P1459" s="1" t="str">
        <x:v>FAIL</x:v>
      </x:c>
      <x:c r="Q1459" s="4" t="n">
        <x:v>28</x:v>
      </x:c>
      <x:c r="R1459" s="1" t="str">
        <x:v>FAIL</x:v>
      </x:c>
      <x:c r="S1459" s="4" t="n">
        <x:v>28</x:v>
      </x:c>
      <x:c r="T1459" s="1" t="str">
        <x:v>INCONCLUSIVE</x:v>
      </x:c>
      <x:c r="U1459" s="1" t="str">
        <x:v>JxPath_3</x:v>
      </x:c>
      <x:c r="V1459" s="6" t="n">
        <x:v>42.72</x:v>
      </x:c>
    </x:row>
    <x:row r="1460" ht="22" customHeight="1">
      <x:c r="A1460" s="1" t="str">
        <x:v>Round2</x:v>
      </x:c>
      <x:c r="B1460" s="1" t="str">
        <x:v>JxPath</x:v>
      </x:c>
      <x:c r="C1460" s="4" t="n">
        <x:v>4</x:v>
      </x:c>
      <x:c r="D1460" s="4" t="n">
        <x:v>20260928</x:v>
      </x:c>
      <x:c r="E1460" s="4" t="n">
        <x:v>60</x:v>
      </x:c>
      <x:c r="F1460" s="4" t="n">
        <x:v>4093</x:v>
      </x:c>
      <x:c r="G1460" s="5" t="n">
        <x:v>0.22690000000000002</x:v>
      </x:c>
      <x:c r="H1460" s="5" t="n">
        <x:v>0.268</x:v>
      </x:c>
      <x:c r="I1460" s="5" t="n">
        <x:v>0.1703</x:v>
      </x:c>
      <x:c r="J1460" s="4" t="n">
        <x:v>1296</x:v>
      </x:c>
      <x:c r="K1460" s="4" t="n">
        <x:v>294</x:v>
      </x:c>
      <x:c r="L1460" s="4" t="n">
        <x:v>750</x:v>
      </x:c>
      <x:c r="M1460" s="4" t="n">
        <x:v>201</x:v>
      </x:c>
      <x:c r="N1460" s="4" t="n">
        <x:v>546</x:v>
      </x:c>
      <x:c r="O1460" s="4" t="n">
        <x:v>93</x:v>
      </x:c>
      <x:c r="P1460" s="1" t="str">
        <x:v>PASS</x:v>
      </x:c>
      <x:c r="Q1460" s="4" t="n">
        <x:v>0</x:v>
      </x:c>
      <x:c r="R1460" s="1" t="str">
        <x:v>PASS</x:v>
      </x:c>
      <x:c r="S1460" s="4" t="n">
        <x:v>0</x:v>
      </x:c>
      <x:c r="T1460" s="1" t="str">
        <x:v>NOT_REVEALING</x:v>
      </x:c>
      <x:c r="U1460" s="1" t="str">
        <x:v>JxPath_4</x:v>
      </x:c>
      <x:c r="V1460" s="6" t="n">
        <x:v>52.09</x:v>
      </x:c>
    </x:row>
    <x:row r="1461" ht="22" customHeight="1">
      <x:c r="A1461" s="1" t="str">
        <x:v>Round2</x:v>
      </x:c>
      <x:c r="B1461" s="1" t="str">
        <x:v>JxPath</x:v>
      </x:c>
      <x:c r="C1461" s="4" t="n">
        <x:v>5</x:v>
      </x:c>
      <x:c r="D1461" s="4" t="n">
        <x:v>20260928</x:v>
      </x:c>
      <x:c r="E1461" s="4" t="n">
        <x:v>60</x:v>
      </x:c>
      <x:c r="F1461" s="4" t="n">
        <x:v>3055</x:v>
      </x:c>
      <x:c r="G1461" s="5" t="n">
        <x:v>0.657</x:v>
      </x:c>
      <x:c r="H1461" s="5" t="n">
        <x:v>0.7373999999999999</x:v>
      </x:c>
      <x:c r="I1461" s="5" t="n">
        <x:v>0.5462</x:v>
      </x:c>
      <x:c r="J1461" s="4" t="n">
        <x:v>309</x:v>
      </x:c>
      <x:c r="K1461" s="4" t="n">
        <x:v>203</x:v>
      </x:c>
      <x:c r="L1461" s="4" t="n">
        <x:v>179</x:v>
      </x:c>
      <x:c r="M1461" s="4" t="n">
        <x:v>132</x:v>
      </x:c>
      <x:c r="N1461" s="4" t="n">
        <x:v>130</x:v>
      </x:c>
      <x:c r="O1461" s="4" t="n">
        <x:v>71</x:v>
      </x:c>
      <x:c r="P1461" s="1" t="str">
        <x:v>PASS</x:v>
      </x:c>
      <x:c r="Q1461" s="4" t="n">
        <x:v>0</x:v>
      </x:c>
      <x:c r="R1461" s="1" t="str">
        <x:v>FAIL</x:v>
      </x:c>
      <x:c r="S1461" s="4" t="n">
        <x:v>4</x:v>
      </x:c>
      <x:c r="T1461" s="1" t="str">
        <x:v>INCONCLUSIVE</x:v>
      </x:c>
      <x:c r="U1461" s="1" t="str">
        <x:v>JxPath_5</x:v>
      </x:c>
      <x:c r="V1461" s="6" t="n">
        <x:v>46.16</x:v>
      </x:c>
    </x:row>
    <x:row r="1462" ht="22" customHeight="1">
      <x:c r="A1462" s="1" t="str">
        <x:v>Round2</x:v>
      </x:c>
      <x:c r="B1462" s="1" t="str">
        <x:v>JxPath</x:v>
      </x:c>
      <x:c r="C1462" s="4" t="n">
        <x:v>6</x:v>
      </x:c>
      <x:c r="D1462" s="4" t="n">
        <x:v>20260928</x:v>
      </x:c>
      <x:c r="E1462" s="4" t="n">
        <x:v>60</x:v>
      </x:c>
      <x:c r="F1462" s="4" t="n">
        <x:v>1</x:v>
      </x:c>
      <x:c r="G1462" s="5" t="n">
        <x:v>0</x:v>
      </x:c>
      <x:c r="H1462" s="5" t="n">
        <x:v>0</x:v>
      </x:c>
      <x:c r="I1462" s="5" t="n">
        <x:v>0</x:v>
      </x:c>
      <x:c r="J1462" s="4" t="n">
        <x:v>115</x:v>
      </x:c>
      <x:c r="K1462" s="4" t="n">
        <x:v>0</x:v>
      </x:c>
      <x:c r="L1462" s="4" t="n">
        <x:v>49</x:v>
      </x:c>
      <x:c r="M1462" s="4" t="n">
        <x:v>0</x:v>
      </x:c>
      <x:c r="N1462" s="4" t="n">
        <x:v>66</x:v>
      </x:c>
      <x:c r="O1462" s="4" t="n">
        <x:v>0</x:v>
      </x:c>
      <x:c r="P1462" s="1" t="str">
        <x:v>PASS</x:v>
      </x:c>
      <x:c r="Q1462" s="4" t="n">
        <x:v>0</x:v>
      </x:c>
      <x:c r="R1462" s="1" t="str">
        <x:v>PASS</x:v>
      </x:c>
      <x:c r="S1462" s="4" t="n">
        <x:v>0</x:v>
      </x:c>
      <x:c r="T1462" s="1" t="str">
        <x:v>NOT_REVEALING</x:v>
      </x:c>
      <x:c r="U1462" s="1" t="str">
        <x:v>JxPath_6</x:v>
      </x:c>
      <x:c r="V1462" s="6" t="n">
        <x:v>16.2</x:v>
      </x:c>
    </x:row>
    <x:row r="1463" ht="22" customHeight="1">
      <x:c r="A1463" s="1" t="str">
        <x:v>Round2</x:v>
      </x:c>
      <x:c r="B1463" s="1" t="str">
        <x:v>JxPath</x:v>
      </x:c>
      <x:c r="C1463" s="4" t="n">
        <x:v>7</x:v>
      </x:c>
      <x:c r="D1463" s="4" t="n">
        <x:v>20260928</x:v>
      </x:c>
      <x:c r="E1463" s="4" t="n">
        <x:v>60</x:v>
      </x:c>
      <x:c r="F1463" s="4" t="n">
        <x:v>2035</x:v>
      </x:c>
      <x:c r="G1463" s="5" t="n">
        <x:v>0.5556</x:v>
      </x:c>
      <x:c r="H1463" s="5" t="n">
        <x:v>0.7143</x:v>
      </x:c>
      <x:c r="I1463" s="5" t="n">
        <x:v>0</x:v>
      </x:c>
      <x:c r="J1463" s="4" t="n">
        <x:v>36</x:v>
      </x:c>
      <x:c r="K1463" s="4" t="n">
        <x:v>20</x:v>
      </x:c>
      <x:c r="L1463" s="4" t="n">
        <x:v>28</x:v>
      </x:c>
      <x:c r="M1463" s="4" t="n">
        <x:v>20</x:v>
      </x:c>
      <x:c r="N1463" s="4" t="n">
        <x:v>8</x:v>
      </x:c>
      <x:c r="O1463" s="4" t="n">
        <x:v>0</x:v>
      </x:c>
      <x:c r="P1463" s="1" t="str">
        <x:v>PASS</x:v>
      </x:c>
      <x:c r="Q1463" s="4" t="n">
        <x:v>0</x:v>
      </x:c>
      <x:c r="R1463" s="1" t="str">
        <x:v>PASS</x:v>
      </x:c>
      <x:c r="S1463" s="4" t="n">
        <x:v>0</x:v>
      </x:c>
      <x:c r="T1463" s="1" t="str">
        <x:v>NOT_REVEALING</x:v>
      </x:c>
      <x:c r="U1463" s="1" t="str">
        <x:v>JxPath_7</x:v>
      </x:c>
      <x:c r="V1463" s="6" t="n">
        <x:v>50.02</x:v>
      </x:c>
    </x:row>
    <x:row r="1464" ht="22" customHeight="1">
      <x:c r="A1464" s="1" t="str">
        <x:v>Round2</x:v>
      </x:c>
      <x:c r="B1464" s="1" t="str">
        <x:v>JxPath</x:v>
      </x:c>
      <x:c r="C1464" s="4" t="n">
        <x:v>8</x:v>
      </x:c>
      <x:c r="D1464" s="4" t="n">
        <x:v>20260928</x:v>
      </x:c>
      <x:c r="E1464" s="4" t="n">
        <x:v>60</x:v>
      </x:c>
      <x:c r="F1464" s="4" t="n">
        <x:v>1</x:v>
      </x:c>
      <x:c r="G1464" s="5" t="n">
        <x:v>0</x:v>
      </x:c>
      <x:c r="H1464" s="5" t="n">
        <x:v>0</x:v>
      </x:c>
      <x:c r="I1464" s="5" t="n">
        <x:v>0</x:v>
      </x:c>
      <x:c r="J1464" s="4" t="n">
        <x:v>71</x:v>
      </x:c>
      <x:c r="K1464" s="4" t="n">
        <x:v>0</x:v>
      </x:c>
      <x:c r="L1464" s="4" t="n">
        <x:v>39</x:v>
      </x:c>
      <x:c r="M1464" s="4" t="n">
        <x:v>0</x:v>
      </x:c>
      <x:c r="N1464" s="4" t="n">
        <x:v>32</x:v>
      </x:c>
      <x:c r="O1464" s="4" t="n">
        <x:v>0</x:v>
      </x:c>
      <x:c r="P1464" s="1" t="str">
        <x:v>PASS</x:v>
      </x:c>
      <x:c r="Q1464" s="4" t="n">
        <x:v>0</x:v>
      </x:c>
      <x:c r="R1464" s="1" t="str">
        <x:v>PASS</x:v>
      </x:c>
      <x:c r="S1464" s="4" t="n">
        <x:v>0</x:v>
      </x:c>
      <x:c r="T1464" s="1" t="str">
        <x:v>NOT_REVEALING</x:v>
      </x:c>
      <x:c r="U1464" s="1" t="str">
        <x:v>JxPath_8</x:v>
      </x:c>
      <x:c r="V1464" s="6" t="n">
        <x:v>16.59</x:v>
      </x:c>
    </x:row>
    <x:row r="1465" ht="22" customHeight="1">
      <x:c r="A1465" s="1" t="str">
        <x:v>Round2</x:v>
      </x:c>
      <x:c r="B1465" s="1" t="str">
        <x:v>JxPath</x:v>
      </x:c>
      <x:c r="C1465" s="4" t="n">
        <x:v>9</x:v>
      </x:c>
      <x:c r="D1465" s="4" t="n">
        <x:v>20260928</x:v>
      </x:c>
      <x:c r="E1465" s="4" t="n">
        <x:v>60</x:v>
      </x:c>
      <x:c r="F1465" s="4" t="n">
        <x:v>2583</x:v>
      </x:c>
      <x:c r="G1465" s="5" t="n">
        <x:v>0.3876</x:v>
      </x:c>
      <x:c r="H1465" s="5" t="n">
        <x:v>0.44439999999999996</x:v>
      </x:c>
      <x:c r="I1465" s="5" t="n">
        <x:v>0.3333</x:v>
      </x:c>
      <x:c r="J1465" s="4" t="n">
        <x:v>129</x:v>
      </x:c>
      <x:c r="K1465" s="4" t="n">
        <x:v>50</x:v>
      </x:c>
      <x:c r="L1465" s="4" t="n">
        <x:v>63</x:v>
      </x:c>
      <x:c r="M1465" s="4" t="n">
        <x:v>28</x:v>
      </x:c>
      <x:c r="N1465" s="4" t="n">
        <x:v>66</x:v>
      </x:c>
      <x:c r="O1465" s="4" t="n">
        <x:v>22</x:v>
      </x:c>
      <x:c r="P1465" s="1" t="str">
        <x:v>PASS</x:v>
      </x:c>
      <x:c r="Q1465" s="4" t="n">
        <x:v>0</x:v>
      </x:c>
      <x:c r="R1465" s="1" t="str">
        <x:v>FAIL</x:v>
      </x:c>
      <x:c r="S1465" s="4" t="n">
        <x:v>878</x:v>
      </x:c>
      <x:c r="T1465" s="1" t="str">
        <x:v>INCONCLUSIVE</x:v>
      </x:c>
      <x:c r="U1465" s="1" t="str">
        <x:v>JxPath_9</x:v>
      </x:c>
      <x:c r="V1465" s="6" t="n">
        <x:v>54.48</x:v>
      </x:c>
    </x:row>
    <x:row r="1466" ht="22" customHeight="1">
      <x:c r="A1466" s="1" t="str">
        <x:v>Round2</x:v>
      </x:c>
      <x:c r="B1466" s="1" t="str">
        <x:v>JxPath</x:v>
      </x:c>
      <x:c r="C1466" s="4" t="n">
        <x:v>10</x:v>
      </x:c>
      <x:c r="D1466" s="4" t="n">
        <x:v>20260928</x:v>
      </x:c>
      <x:c r="E1466" s="4" t="n">
        <x:v>60</x:v>
      </x:c>
      <x:c r="F1466" s="4" t="n">
        <x:v>1</x:v>
      </x:c>
      <x:c r="G1466" s="5" t="n">
        <x:v>0</x:v>
      </x:c>
      <x:c r="H1466" s="5" t="n">
        <x:v>0</x:v>
      </x:c>
      <x:c r="I1466" s="5" t="n">
        <x:v>0</x:v>
      </x:c>
      <x:c r="J1466" s="4" t="n">
        <x:v>79</x:v>
      </x:c>
      <x:c r="K1466" s="4" t="n">
        <x:v>0</x:v>
      </x:c>
      <x:c r="L1466" s="4" t="n">
        <x:v>43</x:v>
      </x:c>
      <x:c r="M1466" s="4" t="n">
        <x:v>0</x:v>
      </x:c>
      <x:c r="N1466" s="4" t="n">
        <x:v>36</x:v>
      </x:c>
      <x:c r="O1466" s="4" t="n">
        <x:v>0</x:v>
      </x:c>
      <x:c r="P1466" s="1" t="str">
        <x:v>PASS</x:v>
      </x:c>
      <x:c r="Q1466" s="4" t="n">
        <x:v>0</x:v>
      </x:c>
      <x:c r="R1466" s="1" t="str">
        <x:v>PASS</x:v>
      </x:c>
      <x:c r="S1466" s="4" t="n">
        <x:v>0</x:v>
      </x:c>
      <x:c r="T1466" s="1" t="str">
        <x:v>NOT_REVEALING</x:v>
      </x:c>
      <x:c r="U1466" s="1" t="str">
        <x:v>JxPath_10</x:v>
      </x:c>
      <x:c r="V1466" s="6" t="n">
        <x:v>16.6</x:v>
      </x:c>
    </x:row>
    <x:row r="1467" ht="22" customHeight="1">
      <x:c r="A1467" s="1" t="str">
        <x:v>Round2</x:v>
      </x:c>
      <x:c r="B1467" s="1" t="str">
        <x:v>JxPath</x:v>
      </x:c>
      <x:c r="C1467" s="4" t="n">
        <x:v>11</x:v>
      </x:c>
      <x:c r="D1467" s="4" t="n">
        <x:v>20260928</x:v>
      </x:c>
      <x:c r="E1467" s="4" t="n">
        <x:v>60</x:v>
      </x:c>
      <x:c r="F1467" s="4" t="n">
        <x:v>3</x:v>
      </x:c>
      <x:c r="G1467" s="5" t="n">
        <x:v>0.051500000000000004</x:v>
      </x:c>
      <x:c r="H1467" s="5" t="n">
        <x:v>0.0909</x:v>
      </x:c>
      <x:c r="I1467" s="5" t="n">
        <x:v>0</x:v>
      </x:c>
      <x:c r="J1467" s="4" t="n">
        <x:v>194</x:v>
      </x:c>
      <x:c r="K1467" s="4" t="n">
        <x:v>10</x:v>
      </x:c>
      <x:c r="L1467" s="4" t="n">
        <x:v>110</x:v>
      </x:c>
      <x:c r="M1467" s="4" t="n">
        <x:v>10</x:v>
      </x:c>
      <x:c r="N1467" s="4" t="n">
        <x:v>84</x:v>
      </x:c>
      <x:c r="O1467" s="4" t="n">
        <x:v>0</x:v>
      </x:c>
      <x:c r="P1467" s="1" t="str">
        <x:v>PASS</x:v>
      </x:c>
      <x:c r="Q1467" s="4" t="n">
        <x:v>0</x:v>
      </x:c>
      <x:c r="R1467" s="1" t="str">
        <x:v>PASS</x:v>
      </x:c>
      <x:c r="S1467" s="4" t="n">
        <x:v>0</x:v>
      </x:c>
      <x:c r="T1467" s="1" t="str">
        <x:v>NOT_REVEALING</x:v>
      </x:c>
      <x:c r="U1467" s="1" t="str">
        <x:v>JxPath_11</x:v>
      </x:c>
      <x:c r="V1467" s="6" t="n">
        <x:v>17.49</x:v>
      </x:c>
    </x:row>
    <x:row r="1468" ht="22" customHeight="1">
      <x:c r="A1468" s="1" t="str">
        <x:v>Round2</x:v>
      </x:c>
      <x:c r="B1468" s="1" t="str">
        <x:v>JxPath</x:v>
      </x:c>
      <x:c r="C1468" s="4" t="n">
        <x:v>12</x:v>
      </x:c>
      <x:c r="D1468" s="4" t="n">
        <x:v>20260928</x:v>
      </x:c>
      <x:c r="E1468" s="4" t="n">
        <x:v>60</x:v>
      </x:c>
      <x:c r="F1468" s="4" t="n">
        <x:v>2734</x:v>
      </x:c>
      <x:c r="G1468" s="5" t="n">
        <x:v>0.2134</x:v>
      </x:c>
      <x:c r="H1468" s="5" t="n">
        <x:v>0.2632</x:v>
      </x:c>
      <x:c r="I1468" s="5" t="n">
        <x:v>0.1461</x:v>
      </x:c>
      <x:c r="J1468" s="4" t="n">
        <x:v>628</x:v>
      </x:c>
      <x:c r="K1468" s="4" t="n">
        <x:v>134</x:v>
      </x:c>
      <x:c r="L1468" s="4" t="n">
        <x:v>361</x:v>
      </x:c>
      <x:c r="M1468" s="4" t="n">
        <x:v>95</x:v>
      </x:c>
      <x:c r="N1468" s="4" t="n">
        <x:v>267</x:v>
      </x:c>
      <x:c r="O1468" s="4" t="n">
        <x:v>39</x:v>
      </x:c>
      <x:c r="P1468" s="1" t="str">
        <x:v>PASS</x:v>
      </x:c>
      <x:c r="Q1468" s="4" t="n">
        <x:v>0</x:v>
      </x:c>
      <x:c r="R1468" s="1" t="str">
        <x:v>PASS</x:v>
      </x:c>
      <x:c r="S1468" s="4" t="n">
        <x:v>0</x:v>
      </x:c>
      <x:c r="T1468" s="1" t="str">
        <x:v>NOT_REVEALING</x:v>
      </x:c>
      <x:c r="U1468" s="1" t="str">
        <x:v>JxPath_12</x:v>
      </x:c>
      <x:c r="V1468" s="6" t="n">
        <x:v>46.8</x:v>
      </x:c>
    </x:row>
    <x:row r="1469" ht="22" customHeight="1">
      <x:c r="A1469" s="1" t="str">
        <x:v>Round2</x:v>
      </x:c>
      <x:c r="B1469" s="1" t="str">
        <x:v>JxPath</x:v>
      </x:c>
      <x:c r="C1469" s="4" t="n">
        <x:v>13</x:v>
      </x:c>
      <x:c r="D1469" s="4" t="n">
        <x:v>20260928</x:v>
      </x:c>
      <x:c r="E1469" s="4" t="n">
        <x:v>60</x:v>
      </x:c>
      <x:c r="F1469" s="4" t="n">
        <x:v>3762</x:v>
      </x:c>
      <x:c r="G1469" s="5" t="n">
        <x:v>0.2762</x:v>
      </x:c>
      <x:c r="H1469" s="5" t="n">
        <x:v>0.3333</x:v>
      </x:c>
      <x:c r="I1469" s="5" t="n">
        <x:v>0.198</x:v>
      </x:c>
      <x:c r="J1469" s="4" t="n">
        <x:v>717</x:v>
      </x:c>
      <x:c r="K1469" s="4" t="n">
        <x:v>198</x:v>
      </x:c>
      <x:c r="L1469" s="4" t="n">
        <x:v>414</x:v>
      </x:c>
      <x:c r="M1469" s="4" t="n">
        <x:v>138</x:v>
      </x:c>
      <x:c r="N1469" s="4" t="n">
        <x:v>303</x:v>
      </x:c>
      <x:c r="O1469" s="4" t="n">
        <x:v>60</x:v>
      </x:c>
      <x:c r="P1469" s="1" t="str">
        <x:v>FAIL</x:v>
      </x:c>
      <x:c r="Q1469" s="4" t="n">
        <x:v>36</x:v>
      </x:c>
      <x:c r="R1469" s="1" t="str">
        <x:v>FAIL</x:v>
      </x:c>
      <x:c r="S1469" s="4" t="n">
        <x:v>880</x:v>
      </x:c>
      <x:c r="T1469" s="1" t="str">
        <x:v>INCONCLUSIVE</x:v>
      </x:c>
      <x:c r="U1469" s="1" t="str">
        <x:v>JxPath_13</x:v>
      </x:c>
      <x:c r="V1469" s="6" t="n">
        <x:v>50.5</x:v>
      </x:c>
    </x:row>
    <x:row r="1470" ht="22" customHeight="1">
      <x:c r="A1470" s="1" t="str">
        <x:v>Round2</x:v>
      </x:c>
      <x:c r="B1470" s="1" t="str">
        <x:v>JxPath</x:v>
      </x:c>
      <x:c r="C1470" s="4" t="n">
        <x:v>14</x:v>
      </x:c>
      <x:c r="D1470" s="4" t="n">
        <x:v>20260928</x:v>
      </x:c>
      <x:c r="E1470" s="4" t="n">
        <x:v>60</x:v>
      </x:c>
      <x:c r="F1470" s="4" t="n">
        <x:v>3448</x:v>
      </x:c>
      <x:c r="G1470" s="5" t="n">
        <x:v>0.3175</x:v>
      </x:c>
      <x:c r="H1470" s="5" t="n">
        <x:v>0.36060000000000003</x:v>
      </x:c>
      <x:c r="I1470" s="5" t="n">
        <x:v>0.24530000000000002</x:v>
      </x:c>
      <x:c r="J1470" s="4" t="n">
        <x:v>567</x:v>
      </x:c>
      <x:c r="K1470" s="4" t="n">
        <x:v>180</x:v>
      </x:c>
      <x:c r="L1470" s="4" t="n">
        <x:v>355</x:v>
      </x:c>
      <x:c r="M1470" s="4" t="n">
        <x:v>128</x:v>
      </x:c>
      <x:c r="N1470" s="4" t="n">
        <x:v>212</x:v>
      </x:c>
      <x:c r="O1470" s="4" t="n">
        <x:v>52</x:v>
      </x:c>
      <x:c r="P1470" s="1" t="str">
        <x:v>PASS</x:v>
      </x:c>
      <x:c r="Q1470" s="4" t="n">
        <x:v>0</x:v>
      </x:c>
      <x:c r="R1470" s="1" t="str">
        <x:v>PASS</x:v>
      </x:c>
      <x:c r="S1470" s="4" t="n">
        <x:v>0</x:v>
      </x:c>
      <x:c r="T1470" s="1" t="str">
        <x:v>NOT_REVEALING</x:v>
      </x:c>
      <x:c r="U1470" s="1" t="str">
        <x:v>JxPath_14</x:v>
      </x:c>
      <x:c r="V1470" s="6" t="n">
        <x:v>42.49</x:v>
      </x:c>
    </x:row>
    <x:row r="1471" ht="22" customHeight="1">
      <x:c r="A1471" s="1" t="str">
        <x:v>Round2</x:v>
      </x:c>
      <x:c r="B1471" s="1" t="str">
        <x:v>JxPath</x:v>
      </x:c>
      <x:c r="C1471" s="4" t="n">
        <x:v>15</x:v>
      </x:c>
      <x:c r="D1471" s="4" t="n">
        <x:v>20260928</x:v>
      </x:c>
      <x:c r="E1471" s="4" t="n">
        <x:v>60</x:v>
      </x:c>
      <x:c r="F1471" s="4" t="n">
        <x:v>3693</x:v>
      </x:c>
      <x:c r="G1471" s="5" t="n">
        <x:v>0.7333</x:v>
      </x:c>
      <x:c r="H1471" s="5" t="n">
        <x:v>0.7222</x:v>
      </x:c>
      <x:c r="I1471" s="5" t="n">
        <x:v>0.75</x:v>
      </x:c>
      <x:c r="J1471" s="4" t="n">
        <x:v>30</x:v>
      </x:c>
      <x:c r="K1471" s="4" t="n">
        <x:v>22</x:v>
      </x:c>
      <x:c r="L1471" s="4" t="n">
        <x:v>18</x:v>
      </x:c>
      <x:c r="M1471" s="4" t="n">
        <x:v>13</x:v>
      </x:c>
      <x:c r="N1471" s="4" t="n">
        <x:v>12</x:v>
      </x:c>
      <x:c r="O1471" s="4" t="n">
        <x:v>9</x:v>
      </x:c>
      <x:c r="P1471" s="1" t="str">
        <x:v>PASS</x:v>
      </x:c>
      <x:c r="Q1471" s="4" t="n">
        <x:v>0</x:v>
      </x:c>
      <x:c r="R1471" s="1" t="str">
        <x:v>PASS</x:v>
      </x:c>
      <x:c r="S1471" s="4" t="n">
        <x:v>0</x:v>
      </x:c>
      <x:c r="T1471" s="1" t="str">
        <x:v>NOT_REVEALING</x:v>
      </x:c>
      <x:c r="U1471" s="1" t="str">
        <x:v>JxPath_15</x:v>
      </x:c>
      <x:c r="V1471" s="6" t="n">
        <x:v>57.89</x:v>
      </x:c>
    </x:row>
    <x:row r="1472" ht="22" customHeight="1">
      <x:c r="A1472" s="1" t="str">
        <x:v>Round2</x:v>
      </x:c>
      <x:c r="B1472" s="1" t="str">
        <x:v>JxPath</x:v>
      </x:c>
      <x:c r="C1472" s="4" t="n">
        <x:v>16</x:v>
      </x:c>
      <x:c r="D1472" s="4" t="n">
        <x:v>20260928</x:v>
      </x:c>
      <x:c r="E1472" s="4" t="n">
        <x:v>60</x:v>
      </x:c>
      <x:c r="F1472" s="4" t="n">
        <x:v>3120</x:v>
      </x:c>
      <x:c r="G1472" s="5" t="n">
        <x:v>0.2465</x:v>
      </x:c>
      <x:c r="H1472" s="5" t="n">
        <x:v>0.2894</x:v>
      </x:c>
      <x:c r="I1472" s="5" t="n">
        <x:v>0.1909</x:v>
      </x:c>
      <x:c r="J1472" s="4" t="n">
        <x:v>1359</x:v>
      </x:c>
      <x:c r="K1472" s="4" t="n">
        <x:v>335</x:v>
      </x:c>
      <x:c r="L1472" s="4" t="n">
        <x:v>767</x:v>
      </x:c>
      <x:c r="M1472" s="4" t="n">
        <x:v>222</x:v>
      </x:c>
      <x:c r="N1472" s="4" t="n">
        <x:v>592</x:v>
      </x:c>
      <x:c r="O1472" s="4" t="n">
        <x:v>113</x:v>
      </x:c>
      <x:c r="P1472" s="1" t="str">
        <x:v>PASS</x:v>
      </x:c>
      <x:c r="Q1472" s="4" t="n">
        <x:v>0</x:v>
      </x:c>
      <x:c r="R1472" s="1" t="str">
        <x:v>PASS</x:v>
      </x:c>
      <x:c r="S1472" s="4" t="n">
        <x:v>0</x:v>
      </x:c>
      <x:c r="T1472" s="1" t="str">
        <x:v>NOT_REVEALING</x:v>
      </x:c>
      <x:c r="U1472" s="1" t="str">
        <x:v>JxPath_16</x:v>
      </x:c>
      <x:c r="V1472" s="6" t="n">
        <x:v>56.39</x:v>
      </x:c>
    </x:row>
    <x:row r="1473" ht="22" customHeight="1">
      <x:c r="A1473" s="1" t="str">
        <x:v>Round2</x:v>
      </x:c>
      <x:c r="B1473" s="1" t="str">
        <x:v>JxPath</x:v>
      </x:c>
      <x:c r="C1473" s="4" t="n">
        <x:v>17</x:v>
      </x:c>
      <x:c r="D1473" s="4" t="n">
        <x:v>20260928</x:v>
      </x:c>
      <x:c r="E1473" s="4" t="n">
        <x:v>60</x:v>
      </x:c>
      <x:c r="F1473" s="4" t="n">
        <x:v>3</x:v>
      </x:c>
      <x:c r="G1473" s="5" t="n">
        <x:v>0.050300000000000004</x:v>
      </x:c>
      <x:c r="H1473" s="5" t="n">
        <x:v>0.0885</x:v>
      </x:c>
      <x:c r="I1473" s="5" t="n">
        <x:v>0</x:v>
      </x:c>
      <x:c r="J1473" s="4" t="n">
        <x:v>199</x:v>
      </x:c>
      <x:c r="K1473" s="4" t="n">
        <x:v>10</x:v>
      </x:c>
      <x:c r="L1473" s="4" t="n">
        <x:v>113</x:v>
      </x:c>
      <x:c r="M1473" s="4" t="n">
        <x:v>10</x:v>
      </x:c>
      <x:c r="N1473" s="4" t="n">
        <x:v>86</x:v>
      </x:c>
      <x:c r="O1473" s="4" t="n">
        <x:v>0</x:v>
      </x:c>
      <x:c r="P1473" s="1" t="str">
        <x:v>PASS</x:v>
      </x:c>
      <x:c r="Q1473" s="4" t="n">
        <x:v>0</x:v>
      </x:c>
      <x:c r="R1473" s="1" t="str">
        <x:v>PASS</x:v>
      </x:c>
      <x:c r="S1473" s="4" t="n">
        <x:v>0</x:v>
      </x:c>
      <x:c r="T1473" s="1" t="str">
        <x:v>NOT_REVEALING</x:v>
      </x:c>
      <x:c r="U1473" s="1" t="str">
        <x:v>JxPath_17</x:v>
      </x:c>
      <x:c r="V1473" s="6" t="n">
        <x:v>16.84</x:v>
      </x:c>
    </x:row>
    <x:row r="1474" ht="22" customHeight="1">
      <x:c r="A1474" s="1" t="str">
        <x:v>Round2</x:v>
      </x:c>
      <x:c r="B1474" s="1" t="str">
        <x:v>JxPath</x:v>
      </x:c>
      <x:c r="C1474" s="4" t="n">
        <x:v>18</x:v>
      </x:c>
      <x:c r="D1474" s="4" t="n">
        <x:v>20260928</x:v>
      </x:c>
      <x:c r="E1474" s="4" t="n">
        <x:v>60</x:v>
      </x:c>
      <x:c r="F1474" s="4" t="n">
        <x:v>3995</x:v>
      </x:c>
      <x:c r="G1474" s="5" t="n">
        <x:v>0.7209</x:v>
      </x:c>
      <x:c r="H1474" s="5" t="n">
        <x:v>0.7585999999999999</x:v>
      </x:c>
      <x:c r="I1474" s="5" t="n">
        <x:v>0.6429</x:v>
      </x:c>
      <x:c r="J1474" s="4" t="n">
        <x:v>43</x:v>
      </x:c>
      <x:c r="K1474" s="4" t="n">
        <x:v>31</x:v>
      </x:c>
      <x:c r="L1474" s="4" t="n">
        <x:v>29</x:v>
      </x:c>
      <x:c r="M1474" s="4" t="n">
        <x:v>22</x:v>
      </x:c>
      <x:c r="N1474" s="4" t="n">
        <x:v>14</x:v>
      </x:c>
      <x:c r="O1474" s="4" t="n">
        <x:v>9</x:v>
      </x:c>
      <x:c r="P1474" s="1" t="str">
        <x:v>PASS</x:v>
      </x:c>
      <x:c r="Q1474" s="4" t="n">
        <x:v>0</x:v>
      </x:c>
      <x:c r="R1474" s="1" t="str">
        <x:v>PASS</x:v>
      </x:c>
      <x:c r="S1474" s="4" t="n">
        <x:v>0</x:v>
      </x:c>
      <x:c r="T1474" s="1" t="str">
        <x:v>NOT_REVEALING</x:v>
      </x:c>
      <x:c r="U1474" s="1" t="str">
        <x:v>JxPath_18</x:v>
      </x:c>
      <x:c r="V1474" s="6" t="n">
        <x:v>40.26</x:v>
      </x:c>
    </x:row>
    <x:row r="1475" ht="22" customHeight="1">
      <x:c r="A1475" s="1" t="str">
        <x:v>Round2</x:v>
      </x:c>
      <x:c r="B1475" s="1" t="str">
        <x:v>JxPath</x:v>
      </x:c>
      <x:c r="C1475" s="4" t="n">
        <x:v>19</x:v>
      </x:c>
      <x:c r="D1475" s="4" t="n">
        <x:v>20260928</x:v>
      </x:c>
      <x:c r="E1475" s="4" t="n">
        <x:v>60</x:v>
      </x:c>
      <x:c r="F1475" s="4" t="n">
        <x:v>3607</x:v>
      </x:c>
      <x:c r="G1475" s="5" t="n">
        <x:v>0.17300000000000001</x:v>
      </x:c>
      <x:c r="H1475" s="5" t="n">
        <x:v>0.2143</x:v>
      </x:c>
      <x:c r="I1475" s="5" t="n">
        <x:v>0.11939999999999999</x:v>
      </x:c>
      <x:c r="J1475" s="4" t="n">
        <x:v>1289</x:v>
      </x:c>
      <x:c r="K1475" s="4" t="n">
        <x:v>223</x:v>
      </x:c>
      <x:c r="L1475" s="4" t="n">
        <x:v>728</x:v>
      </x:c>
      <x:c r="M1475" s="4" t="n">
        <x:v>156</x:v>
      </x:c>
      <x:c r="N1475" s="4" t="n">
        <x:v>561</x:v>
      </x:c>
      <x:c r="O1475" s="4" t="n">
        <x:v>67</x:v>
      </x:c>
      <x:c r="P1475" s="1" t="str">
        <x:v>PASS</x:v>
      </x:c>
      <x:c r="Q1475" s="4" t="n">
        <x:v>0</x:v>
      </x:c>
      <x:c r="R1475" s="1" t="str">
        <x:v>PASS</x:v>
      </x:c>
      <x:c r="S1475" s="4" t="n">
        <x:v>0</x:v>
      </x:c>
      <x:c r="T1475" s="1" t="str">
        <x:v>NOT_REVEALING</x:v>
      </x:c>
      <x:c r="U1475" s="1" t="str">
        <x:v>JxPath_19</x:v>
      </x:c>
      <x:c r="V1475" s="6" t="n">
        <x:v>57.4</x:v>
      </x:c>
    </x:row>
    <x:row r="1476" ht="22" customHeight="1">
      <x:c r="A1476" s="1" t="str">
        <x:v>Round2</x:v>
      </x:c>
      <x:c r="B1476" s="1" t="str">
        <x:v>JxPath</x:v>
      </x:c>
      <x:c r="C1476" s="4" t="n">
        <x:v>20</x:v>
      </x:c>
      <x:c r="D1476" s="4" t="n">
        <x:v>20260928</x:v>
      </x:c>
      <x:c r="E1476" s="4" t="n">
        <x:v>60</x:v>
      </x:c>
      <x:c r="F1476" s="4" t="n">
        <x:v>1</x:v>
      </x:c>
      <x:c r="G1476" s="5" t="n">
        <x:v>0</x:v>
      </x:c>
      <x:c r="H1476" s="5" t="n">
        <x:v>0</x:v>
      </x:c>
      <x:c r="I1476" s="5" t="n">
        <x:v>0</x:v>
      </x:c>
      <x:c r="J1476" s="4" t="n">
        <x:v>79</x:v>
      </x:c>
      <x:c r="K1476" s="4" t="n">
        <x:v>0</x:v>
      </x:c>
      <x:c r="L1476" s="4" t="n">
        <x:v>43</x:v>
      </x:c>
      <x:c r="M1476" s="4" t="n">
        <x:v>0</x:v>
      </x:c>
      <x:c r="N1476" s="4" t="n">
        <x:v>36</x:v>
      </x:c>
      <x:c r="O1476" s="4" t="n">
        <x:v>0</x:v>
      </x:c>
      <x:c r="P1476" s="1" t="str">
        <x:v>PASS</x:v>
      </x:c>
      <x:c r="Q1476" s="4" t="n">
        <x:v>0</x:v>
      </x:c>
      <x:c r="R1476" s="1" t="str">
        <x:v>PASS</x:v>
      </x:c>
      <x:c r="S1476" s="4" t="n">
        <x:v>0</x:v>
      </x:c>
      <x:c r="T1476" s="1" t="str">
        <x:v>NOT_REVEALING</x:v>
      </x:c>
      <x:c r="U1476" s="1" t="str">
        <x:v>JxPath_20</x:v>
      </x:c>
      <x:c r="V1476" s="6" t="n">
        <x:v>16.85</x:v>
      </x:c>
    </x:row>
    <x:row r="1477" ht="22" customHeight="1">
      <x:c r="A1477" s="1" t="str">
        <x:v>Round2</x:v>
      </x:c>
      <x:c r="B1477" s="1" t="str">
        <x:v>JxPath</x:v>
      </x:c>
      <x:c r="C1477" s="4" t="n">
        <x:v>21</x:v>
      </x:c>
      <x:c r="D1477" s="4" t="n">
        <x:v>20260928</x:v>
      </x:c>
      <x:c r="E1477" s="4" t="n">
        <x:v>60</x:v>
      </x:c>
      <x:c r="F1477" s="4" t="n">
        <x:v>2500</x:v>
      </x:c>
      <x:c r="G1477" s="5" t="n">
        <x:v>0.040999999999999995</x:v>
      </x:c>
      <x:c r="H1477" s="5" t="n">
        <x:v>0.07139999999999999</x:v>
      </x:c>
      <x:c r="I1477" s="5" t="n">
        <x:v>0</x:v>
      </x:c>
      <x:c r="J1477" s="4" t="n">
        <x:v>122</x:v>
      </x:c>
      <x:c r="K1477" s="4" t="n">
        <x:v>5</x:v>
      </x:c>
      <x:c r="L1477" s="4" t="n">
        <x:v>70</x:v>
      </x:c>
      <x:c r="M1477" s="4" t="n">
        <x:v>5</x:v>
      </x:c>
      <x:c r="N1477" s="4" t="n">
        <x:v>52</x:v>
      </x:c>
      <x:c r="O1477" s="4" t="n">
        <x:v>0</x:v>
      </x:c>
      <x:c r="P1477" s="1" t="str">
        <x:v>PASS</x:v>
      </x:c>
      <x:c r="Q1477" s="4" t="n">
        <x:v>0</x:v>
      </x:c>
      <x:c r="R1477" s="1" t="str">
        <x:v>PASS</x:v>
      </x:c>
      <x:c r="S1477" s="4" t="n">
        <x:v>0</x:v>
      </x:c>
      <x:c r="T1477" s="1" t="str">
        <x:v>NOT_REVEALING</x:v>
      </x:c>
      <x:c r="U1477" s="1" t="str">
        <x:v>JxPath_21</x:v>
      </x:c>
      <x:c r="V1477" s="6" t="n">
        <x:v>41.48</x:v>
      </x:c>
    </x:row>
    <x:row r="1478" ht="22" customHeight="1">
      <x:c r="A1478" s="1" t="str">
        <x:v>Round2</x:v>
      </x:c>
      <x:c r="B1478" s="1" t="str">
        <x:v>JxPath</x:v>
      </x:c>
      <x:c r="C1478" s="4" t="n">
        <x:v>22</x:v>
      </x:c>
      <x:c r="D1478" s="4" t="n">
        <x:v>20260928</x:v>
      </x:c>
      <x:c r="E1478" s="4" t="n">
        <x:v>60</x:v>
      </x:c>
      <x:c r="F1478" s="4" t="n">
        <x:v>3664</x:v>
      </x:c>
      <x:c r="G1478" s="5" t="n">
        <x:v>0.0987</x:v>
      </x:c>
      <x:c r="H1478" s="5" t="n">
        <x:v>0.1441</x:v>
      </x:c>
      <x:c r="I1478" s="5" t="n">
        <x:v>0.0401</x:v>
      </x:c>
      <x:c r="J1478" s="4" t="n">
        <x:v>628</x:v>
      </x:c>
      <x:c r="K1478" s="4" t="n">
        <x:v>62</x:v>
      </x:c>
      <x:c r="L1478" s="4" t="n">
        <x:v>354</x:v>
      </x:c>
      <x:c r="M1478" s="4" t="n">
        <x:v>51</x:v>
      </x:c>
      <x:c r="N1478" s="4" t="n">
        <x:v>274</x:v>
      </x:c>
      <x:c r="O1478" s="4" t="n">
        <x:v>11</x:v>
      </x:c>
      <x:c r="P1478" s="1" t="str">
        <x:v>PASS</x:v>
      </x:c>
      <x:c r="Q1478" s="4" t="n">
        <x:v>0</x:v>
      </x:c>
      <x:c r="R1478" s="1" t="str">
        <x:v>PASS</x:v>
      </x:c>
      <x:c r="S1478" s="4" t="n">
        <x:v>0</x:v>
      </x:c>
      <x:c r="T1478" s="1" t="str">
        <x:v>NOT_REVEALING</x:v>
      </x:c>
      <x:c r="U1478" s="1" t="str">
        <x:v>JxPath_22</x:v>
      </x:c>
      <x:c r="V1478" s="6" t="n">
        <x:v>48.55</x:v>
      </x:c>
    </x:row>
    <x:row r="1479" ht="22" customHeight="1">
      <x:c r="A1479" s="1" t="str">
        <x:v>Round2</x:v>
      </x:c>
      <x:c r="B1479" s="1" t="str">
        <x:v>Lang</x:v>
      </x:c>
      <x:c r="C1479" s="4" t="n">
        <x:v>1</x:v>
      </x:c>
      <x:c r="D1479" s="4" t="n">
        <x:v>20260928</x:v>
      </x:c>
      <x:c r="E1479" s="4" t="n">
        <x:v>60</x:v>
      </x:c>
      <x:c r="F1479" s="4" t="n">
        <x:v>3647</x:v>
      </x:c>
      <x:c r="G1479" s="5" t="n">
        <x:v>0.5428000000000001</x:v>
      </x:c>
      <x:c r="H1479" s="5" t="n">
        <x:v>0.6559999999999999</x:v>
      </x:c>
      <x:c r="I1479" s="5" t="n">
        <x:v>0.4172</x:v>
      </x:c>
      <x:c r="J1479" s="4" t="n">
        <x:v>713</x:v>
      </x:c>
      <x:c r="K1479" s="4" t="n">
        <x:v>387</x:v>
      </x:c>
      <x:c r="L1479" s="4" t="n">
        <x:v>375</x:v>
      </x:c>
      <x:c r="M1479" s="4" t="n">
        <x:v>246</x:v>
      </x:c>
      <x:c r="N1479" s="4" t="n">
        <x:v>338</x:v>
      </x:c>
      <x:c r="O1479" s="4" t="n">
        <x:v>141</x:v>
      </x:c>
      <x:c r="P1479" s="1" t="str">
        <x:v>PASS</x:v>
      </x:c>
      <x:c r="Q1479" s="4" t="n">
        <x:v>0</x:v>
      </x:c>
      <x:c r="R1479" s="1" t="str">
        <x:v>PASS</x:v>
      </x:c>
      <x:c r="S1479" s="4" t="n">
        <x:v>0</x:v>
      </x:c>
      <x:c r="T1479" s="1" t="str">
        <x:v>NOT_REVEALING</x:v>
      </x:c>
      <x:c r="U1479" s="1" t="str">
        <x:v>Lang_1</x:v>
      </x:c>
      <x:c r="V1479" s="6" t="n">
        <x:v>40.11</x:v>
      </x:c>
    </x:row>
    <x:row r="1480" ht="22" customHeight="1">
      <x:c r="A1480" s="1" t="str">
        <x:v>Round2</x:v>
      </x:c>
      <x:c r="B1480" s="1" t="str">
        <x:v>Lang</x:v>
      </x:c>
      <x:c r="C1480" s="4" t="n">
        <x:v>3</x:v>
      </x:c>
      <x:c r="D1480" s="4" t="n">
        <x:v>20260928</x:v>
      </x:c>
      <x:c r="E1480" s="4" t="n">
        <x:v>60</x:v>
      </x:c>
      <x:c r="F1480" s="4" t="n">
        <x:v>4602</x:v>
      </x:c>
      <x:c r="G1480" s="5" t="n">
        <x:v>0.5474</x:v>
      </x:c>
      <x:c r="H1480" s="5" t="n">
        <x:v>0.6595</x:v>
      </x:c>
      <x:c r="I1480" s="5" t="n">
        <x:v>0.42219999999999996</x:v>
      </x:c>
      <x:c r="J1480" s="4" t="n">
        <x:v>707</x:v>
      </x:c>
      <x:c r="K1480" s="4" t="n">
        <x:v>387</x:v>
      </x:c>
      <x:c r="L1480" s="4" t="n">
        <x:v>373</x:v>
      </x:c>
      <x:c r="M1480" s="4" t="n">
        <x:v>246</x:v>
      </x:c>
      <x:c r="N1480" s="4" t="n">
        <x:v>334</x:v>
      </x:c>
      <x:c r="O1480" s="4" t="n">
        <x:v>141</x:v>
      </x:c>
      <x:c r="P1480" s="1" t="str">
        <x:v>PASS</x:v>
      </x:c>
      <x:c r="Q1480" s="4" t="n">
        <x:v>0</x:v>
      </x:c>
      <x:c r="R1480" s="1" t="str">
        <x:v>PASS</x:v>
      </x:c>
      <x:c r="S1480" s="4" t="n">
        <x:v>0</x:v>
      </x:c>
      <x:c r="T1480" s="1" t="str">
        <x:v>NOT_REVEALING</x:v>
      </x:c>
      <x:c r="U1480" s="1" t="str">
        <x:v>Lang_3</x:v>
      </x:c>
      <x:c r="V1480" s="6" t="n">
        <x:v>44.67</x:v>
      </x:c>
    </x:row>
    <x:row r="1481" ht="22" customHeight="1">
      <x:c r="A1481" s="1" t="str">
        <x:v>Round2</x:v>
      </x:c>
      <x:c r="B1481" s="1" t="str">
        <x:v>Lang</x:v>
      </x:c>
      <x:c r="C1481" s="4" t="n">
        <x:v>4</x:v>
      </x:c>
      <x:c r="D1481" s="4" t="n">
        <x:v>20260928</x:v>
      </x:c>
      <x:c r="E1481" s="4" t="n">
        <x:v>60</x:v>
      </x:c>
      <x:c r="F1481" s="4" t="n">
        <x:v>4958</x:v>
      </x:c>
      <x:c r="G1481" s="5" t="n">
        <x:v>1</x:v>
      </x:c>
      <x:c r="H1481" s="5" t="n">
        <x:v>1</x:v>
      </x:c>
      <x:c r="I1481" s="5" t="n">
        <x:v>1</x:v>
      </x:c>
      <x:c r="J1481" s="4" t="n">
        <x:v>39</x:v>
      </x:c>
      <x:c r="K1481" s="4" t="n">
        <x:v>39</x:v>
      </x:c>
      <x:c r="L1481" s="4" t="n">
        <x:v>25</x:v>
      </x:c>
      <x:c r="M1481" s="4" t="n">
        <x:v>25</x:v>
      </x:c>
      <x:c r="N1481" s="4" t="n">
        <x:v>14</x:v>
      </x:c>
      <x:c r="O1481" s="4" t="n">
        <x:v>14</x:v>
      </x:c>
      <x:c r="P1481" s="1" t="str">
        <x:v>PASS</x:v>
      </x:c>
      <x:c r="Q1481" s="4" t="n">
        <x:v>0</x:v>
      </x:c>
      <x:c r="R1481" s="1" t="str">
        <x:v>PASS</x:v>
      </x:c>
      <x:c r="S1481" s="4" t="n">
        <x:v>0</x:v>
      </x:c>
      <x:c r="T1481" s="1" t="str">
        <x:v>NOT_REVEALING</x:v>
      </x:c>
      <x:c r="U1481" s="1" t="str">
        <x:v>Lang_4</x:v>
      </x:c>
      <x:c r="V1481" s="6" t="n">
        <x:v>59.03</x:v>
      </x:c>
    </x:row>
    <x:row r="1482" ht="22" customHeight="1">
      <x:c r="A1482" s="1" t="str">
        <x:v>Round2</x:v>
      </x:c>
      <x:c r="B1482" s="1" t="str">
        <x:v>Lang</x:v>
      </x:c>
      <x:c r="C1482" s="4" t="n">
        <x:v>5</x:v>
      </x:c>
      <x:c r="D1482" s="4" t="n">
        <x:v>20260928</x:v>
      </x:c>
      <x:c r="E1482" s="4" t="n">
        <x:v>60</x:v>
      </x:c>
      <x:c r="F1482" s="4" t="n">
        <x:v>14</x:v>
      </x:c>
      <x:c r="G1482" s="5" t="n">
        <x:v>0.5579999999999999</x:v>
      </x:c>
      <x:c r="H1482" s="5" t="n">
        <x:v>0.6463</x:v>
      </x:c>
      <x:c r="I1482" s="5" t="n">
        <x:v>0.4286</x:v>
      </x:c>
      <x:c r="J1482" s="4" t="n">
        <x:v>138</x:v>
      </x:c>
      <x:c r="K1482" s="4" t="n">
        <x:v>77</x:v>
      </x:c>
      <x:c r="L1482" s="4" t="n">
        <x:v>82</x:v>
      </x:c>
      <x:c r="M1482" s="4" t="n">
        <x:v>53</x:v>
      </x:c>
      <x:c r="N1482" s="4" t="n">
        <x:v>56</x:v>
      </x:c>
      <x:c r="O1482" s="4" t="n">
        <x:v>24</x:v>
      </x:c>
      <x:c r="P1482" s="1" t="str">
        <x:v>PASS</x:v>
      </x:c>
      <x:c r="Q1482" s="4" t="n">
        <x:v>0</x:v>
      </x:c>
      <x:c r="R1482" s="1" t="str">
        <x:v>PASS</x:v>
      </x:c>
      <x:c r="S1482" s="4" t="n">
        <x:v>0</x:v>
      </x:c>
      <x:c r="T1482" s="1" t="str">
        <x:v>NOT_REVEALING</x:v>
      </x:c>
      <x:c r="U1482" s="1" t="str">
        <x:v>Lang_5</x:v>
      </x:c>
      <x:c r="V1482" s="6" t="n">
        <x:v>28.24</x:v>
      </x:c>
    </x:row>
    <x:row r="1483" ht="22" customHeight="1">
      <x:c r="A1483" s="1" t="str">
        <x:v>Round2</x:v>
      </x:c>
      <x:c r="B1483" s="1" t="str">
        <x:v>Lang</x:v>
      </x:c>
      <x:c r="C1483" s="4" t="n">
        <x:v>6</x:v>
      </x:c>
      <x:c r="D1483" s="4" t="n">
        <x:v>20260928</x:v>
      </x:c>
      <x:c r="E1483" s="4" t="n">
        <x:v>60</x:v>
      </x:c>
      <x:c r="F1483" s="4" t="n">
        <x:v>20</x:v>
      </x:c>
      <x:c r="G1483" s="5" t="n">
        <x:v>0.023799999999999998</x:v>
      </x:c>
      <x:c r="H1483" s="5" t="n">
        <x:v>0.0333</x:v>
      </x:c>
      <x:c r="I1483" s="5" t="n">
        <x:v>0</x:v>
      </x:c>
      <x:c r="J1483" s="4" t="n">
        <x:v>42</x:v>
      </x:c>
      <x:c r="K1483" s="4" t="n">
        <x:v>1</x:v>
      </x:c>
      <x:c r="L1483" s="4" t="n">
        <x:v>30</x:v>
      </x:c>
      <x:c r="M1483" s="4" t="n">
        <x:v>1</x:v>
      </x:c>
      <x:c r="N1483" s="4" t="n">
        <x:v>12</x:v>
      </x:c>
      <x:c r="O1483" s="4" t="n">
        <x:v>0</x:v>
      </x:c>
      <x:c r="P1483" s="1" t="str">
        <x:v>PASS</x:v>
      </x:c>
      <x:c r="Q1483" s="4" t="n">
        <x:v>0</x:v>
      </x:c>
      <x:c r="R1483" s="1" t="str">
        <x:v>PASS</x:v>
      </x:c>
      <x:c r="S1483" s="4" t="n">
        <x:v>0</x:v>
      </x:c>
      <x:c r="T1483" s="1" t="str">
        <x:v>NOT_REVEALING</x:v>
      </x:c>
      <x:c r="U1483" s="1" t="str">
        <x:v>Lang_6</x:v>
      </x:c>
      <x:c r="V1483" s="6" t="n">
        <x:v>27.6</x:v>
      </x:c>
    </x:row>
    <x:row r="1484" ht="22" customHeight="1">
      <x:c r="A1484" s="1" t="str">
        <x:v>Round2</x:v>
      </x:c>
      <x:c r="B1484" s="1" t="str">
        <x:v>Lang</x:v>
      </x:c>
      <x:c r="C1484" s="4" t="n">
        <x:v>7</x:v>
      </x:c>
      <x:c r="D1484" s="4" t="n">
        <x:v>20260928</x:v>
      </x:c>
      <x:c r="E1484" s="4" t="n">
        <x:v>60</x:v>
      </x:c>
      <x:c r="F1484" s="4" t="n">
        <x:v>4763</x:v>
      </x:c>
      <x:c r="G1484" s="5" t="n">
        <x:v>0.5777</x:v>
      </x:c>
      <x:c r="H1484" s="5" t="n">
        <x:v>0.6789000000000001</x:v>
      </x:c>
      <x:c r="I1484" s="5" t="n">
        <x:v>0.4727</x:v>
      </x:c>
      <x:c r="J1484" s="4" t="n">
        <x:v>746</x:v>
      </x:c>
      <x:c r="K1484" s="4" t="n">
        <x:v>431</x:v>
      </x:c>
      <x:c r="L1484" s="4" t="n">
        <x:v>380</x:v>
      </x:c>
      <x:c r="M1484" s="4" t="n">
        <x:v>258</x:v>
      </x:c>
      <x:c r="N1484" s="4" t="n">
        <x:v>366</x:v>
      </x:c>
      <x:c r="O1484" s="4" t="n">
        <x:v>173</x:v>
      </x:c>
      <x:c r="P1484" s="1" t="str">
        <x:v>PASS</x:v>
      </x:c>
      <x:c r="Q1484" s="4" t="n">
        <x:v>0</x:v>
      </x:c>
      <x:c r="R1484" s="1" t="str">
        <x:v>PASS</x:v>
      </x:c>
      <x:c r="S1484" s="4" t="n">
        <x:v>0</x:v>
      </x:c>
      <x:c r="T1484" s="1" t="str">
        <x:v>NOT_REVEALING</x:v>
      </x:c>
      <x:c r="U1484" s="1" t="str">
        <x:v>Lang_7</x:v>
      </x:c>
      <x:c r="V1484" s="6" t="n">
        <x:v>41.41</x:v>
      </x:c>
    </x:row>
    <x:row r="1485" ht="22" customHeight="1">
      <x:c r="A1485" s="1" t="str">
        <x:v>Round2</x:v>
      </x:c>
      <x:c r="B1485" s="1" t="str">
        <x:v>Lang</x:v>
      </x:c>
      <x:c r="C1485" s="4" t="n">
        <x:v>8</x:v>
      </x:c>
      <x:c r="D1485" s="4" t="n">
        <x:v>20260928</x:v>
      </x:c>
      <x:c r="E1485" s="4" t="n">
        <x:v>60</x:v>
      </x:c>
      <x:c r="F1485" s="4" t="n">
        <x:v>49</x:v>
      </x:c>
      <x:c r="G1485" s="5" t="n">
        <x:v>0.041100000000000005</x:v>
      </x:c>
      <x:c r="H1485" s="5" t="n">
        <x:v>0.053399999999999996</x:v>
      </x:c>
      <x:c r="I1485" s="5" t="n">
        <x:v>0.013300000000000001</x:v>
      </x:c>
      <x:c r="J1485" s="4" t="n">
        <x:v>487</x:v>
      </x:c>
      <x:c r="K1485" s="4" t="n">
        <x:v>20</x:v>
      </x:c>
      <x:c r="L1485" s="4" t="n">
        <x:v>337</x:v>
      </x:c>
      <x:c r="M1485" s="4" t="n">
        <x:v>18</x:v>
      </x:c>
      <x:c r="N1485" s="4" t="n">
        <x:v>150</x:v>
      </x:c>
      <x:c r="O1485" s="4" t="n">
        <x:v>2</x:v>
      </x:c>
      <x:c r="P1485" s="1" t="str">
        <x:v>PASS</x:v>
      </x:c>
      <x:c r="Q1485" s="4" t="n">
        <x:v>0</x:v>
      </x:c>
      <x:c r="R1485" s="1" t="str">
        <x:v>PASS</x:v>
      </x:c>
      <x:c r="S1485" s="4" t="n">
        <x:v>0</x:v>
      </x:c>
      <x:c r="T1485" s="1" t="str">
        <x:v>NOT_REVEALING</x:v>
      </x:c>
      <x:c r="U1485" s="1" t="str">
        <x:v>Lang_8</x:v>
      </x:c>
      <x:c r="V1485" s="6" t="n">
        <x:v>28.02</x:v>
      </x:c>
    </x:row>
    <x:row r="1486" ht="22" customHeight="1">
      <x:c r="A1486" s="1" t="str">
        <x:v>Round2</x:v>
      </x:c>
      <x:c r="B1486" s="1" t="str">
        <x:v>Lang</x:v>
      </x:c>
      <x:c r="C1486" s="4" t="n">
        <x:v>9</x:v>
      </x:c>
      <x:c r="D1486" s="4" t="n">
        <x:v>20260928</x:v>
      </x:c>
      <x:c r="E1486" s="4" t="n">
        <x:v>60</x:v>
      </x:c>
      <x:c r="F1486" s="4" t="n">
        <x:v>6</x:v>
      </x:c>
      <x:c r="G1486" s="5" t="n">
        <x:v>0.10099999999999999</x:v>
      </x:c>
      <x:c r="H1486" s="5" t="n">
        <x:v>0.1465</x:v>
      </x:c>
      <x:c r="I1486" s="5" t="n">
        <x:v>0</x:v>
      </x:c>
      <x:c r="J1486" s="4" t="n">
        <x:v>396</x:v>
      </x:c>
      <x:c r="K1486" s="4" t="n">
        <x:v>40</x:v>
      </x:c>
      <x:c r="L1486" s="4" t="n">
        <x:v>273</x:v>
      </x:c>
      <x:c r="M1486" s="4" t="n">
        <x:v>40</x:v>
      </x:c>
      <x:c r="N1486" s="4" t="n">
        <x:v>123</x:v>
      </x:c>
      <x:c r="O1486" s="4" t="n">
        <x:v>0</x:v>
      </x:c>
      <x:c r="P1486" s="1" t="str">
        <x:v>PASS</x:v>
      </x:c>
      <x:c r="Q1486" s="4" t="n">
        <x:v>0</x:v>
      </x:c>
      <x:c r="R1486" s="1" t="str">
        <x:v>PASS</x:v>
      </x:c>
      <x:c r="S1486" s="4" t="n">
        <x:v>0</x:v>
      </x:c>
      <x:c r="T1486" s="1" t="str">
        <x:v>NOT_REVEALING</x:v>
      </x:c>
      <x:c r="U1486" s="1" t="str">
        <x:v>Lang_9</x:v>
      </x:c>
      <x:c r="V1486" s="6" t="n">
        <x:v>27.43</x:v>
      </x:c>
    </x:row>
    <x:row r="1487" ht="22" customHeight="1">
      <x:c r="A1487" s="1" t="str">
        <x:v>Round2</x:v>
      </x:c>
      <x:c r="B1487" s="1" t="str">
        <x:v>Lang</x:v>
      </x:c>
      <x:c r="C1487" s="4" t="n">
        <x:v>10</x:v>
      </x:c>
      <x:c r="D1487" s="4" t="n">
        <x:v>20260928</x:v>
      </x:c>
      <x:c r="E1487" s="4" t="n">
        <x:v>60</x:v>
      </x:c>
      <x:c r="F1487" s="4" t="n">
        <x:v>6</x:v>
      </x:c>
      <x:c r="G1487" s="5" t="n">
        <x:v>0.09849999999999999</x:v>
      </x:c>
      <x:c r="H1487" s="5" t="n">
        <x:v>0.1434</x:v>
      </x:c>
      <x:c r="I1487" s="5" t="n">
        <x:v>0</x:v>
      </x:c>
      <x:c r="J1487" s="4" t="n">
        <x:v>406</x:v>
      </x:c>
      <x:c r="K1487" s="4" t="n">
        <x:v>40</x:v>
      </x:c>
      <x:c r="L1487" s="4" t="n">
        <x:v>279</x:v>
      </x:c>
      <x:c r="M1487" s="4" t="n">
        <x:v>40</x:v>
      </x:c>
      <x:c r="N1487" s="4" t="n">
        <x:v>127</x:v>
      </x:c>
      <x:c r="O1487" s="4" t="n">
        <x:v>0</x:v>
      </x:c>
      <x:c r="P1487" s="1" t="str">
        <x:v>PASS</x:v>
      </x:c>
      <x:c r="Q1487" s="4" t="n">
        <x:v>0</x:v>
      </x:c>
      <x:c r="R1487" s="1" t="str">
        <x:v>PASS</x:v>
      </x:c>
      <x:c r="S1487" s="4" t="n">
        <x:v>0</x:v>
      </x:c>
      <x:c r="T1487" s="1" t="str">
        <x:v>NOT_REVEALING</x:v>
      </x:c>
      <x:c r="U1487" s="1" t="str">
        <x:v>Lang_10</x:v>
      </x:c>
      <x:c r="V1487" s="6" t="n">
        <x:v>27.21</x:v>
      </x:c>
    </x:row>
    <x:row r="1488" ht="22" customHeight="1">
      <x:c r="A1488" s="1" t="str">
        <x:v>Round2</x:v>
      </x:c>
      <x:c r="B1488" s="1" t="str">
        <x:v>Lang</x:v>
      </x:c>
      <x:c r="C1488" s="4" t="n">
        <x:v>11</x:v>
      </x:c>
      <x:c r="D1488" s="4" t="n">
        <x:v>20260928</x:v>
      </x:c>
      <x:c r="E1488" s="4" t="n">
        <x:v>60</x:v>
      </x:c>
      <x:c r="F1488" s="4" t="n">
        <x:v>0</x:v>
      </x:c>
      <x:c r="G1488" s="5"/>
      <x:c r="H1488" s="5"/>
      <x:c r="I1488" s="5"/>
      <x:c r="J1488" s="4" t="n">
        <x:v>0</x:v>
      </x:c>
      <x:c r="K1488" s="4" t="n">
        <x:v>0</x:v>
      </x:c>
      <x:c r="L1488" s="4" t="n">
        <x:v>0</x:v>
      </x:c>
      <x:c r="M1488" s="4" t="n">
        <x:v>0</x:v>
      </x:c>
      <x:c r="N1488" s="4" t="n">
        <x:v>0</x:v>
      </x:c>
      <x:c r="O1488" s="4" t="n">
        <x:v>0</x:v>
      </x:c>
      <x:c r="P1488" s="1" t="str">
        <x:v>NOT_RUN</x:v>
      </x:c>
      <x:c r="Q1488" s="4"/>
      <x:c r="R1488" s="1" t="str">
        <x:v>NOT_RUN</x:v>
      </x:c>
      <x:c r="S1488" s="4"/>
      <x:c r="T1488" s="1" t="str">
        <x:v>FAIL</x:v>
      </x:c>
      <x:c r="U1488" s="1" t="str">
        <x:v>Lang_11</x:v>
      </x:c>
      <x:c r="V1488" s="6"/>
    </x:row>
    <x:row r="1489" ht="22" customHeight="1">
      <x:c r="A1489" s="1" t="str">
        <x:v>Round2</x:v>
      </x:c>
      <x:c r="B1489" s="1" t="str">
        <x:v>Lang</x:v>
      </x:c>
      <x:c r="C1489" s="4" t="n">
        <x:v>12</x:v>
      </x:c>
      <x:c r="D1489" s="4" t="n">
        <x:v>20260928</x:v>
      </x:c>
      <x:c r="E1489" s="4" t="n">
        <x:v>60</x:v>
      </x:c>
      <x:c r="F1489" s="4" t="n">
        <x:v>0</x:v>
      </x:c>
      <x:c r="G1489" s="5"/>
      <x:c r="H1489" s="5"/>
      <x:c r="I1489" s="5"/>
      <x:c r="J1489" s="4" t="n">
        <x:v>0</x:v>
      </x:c>
      <x:c r="K1489" s="4" t="n">
        <x:v>0</x:v>
      </x:c>
      <x:c r="L1489" s="4" t="n">
        <x:v>0</x:v>
      </x:c>
      <x:c r="M1489" s="4" t="n">
        <x:v>0</x:v>
      </x:c>
      <x:c r="N1489" s="4" t="n">
        <x:v>0</x:v>
      </x:c>
      <x:c r="O1489" s="4" t="n">
        <x:v>0</x:v>
      </x:c>
      <x:c r="P1489" s="1" t="str">
        <x:v>NOT_RUN</x:v>
      </x:c>
      <x:c r="Q1489" s="4"/>
      <x:c r="R1489" s="1" t="str">
        <x:v>NOT_RUN</x:v>
      </x:c>
      <x:c r="S1489" s="4"/>
      <x:c r="T1489" s="1" t="str">
        <x:v>FAIL</x:v>
      </x:c>
      <x:c r="U1489" s="1" t="str">
        <x:v>Lang_12</x:v>
      </x:c>
      <x:c r="V1489" s="6"/>
    </x:row>
    <x:row r="1490" ht="22" customHeight="1">
      <x:c r="A1490" s="1" t="str">
        <x:v>Round2</x:v>
      </x:c>
      <x:c r="B1490" s="1" t="str">
        <x:v>Lang</x:v>
      </x:c>
      <x:c r="C1490" s="4" t="n">
        <x:v>13</x:v>
      </x:c>
      <x:c r="D1490" s="4" t="n">
        <x:v>20260928</x:v>
      </x:c>
      <x:c r="E1490" s="4" t="n">
        <x:v>60</x:v>
      </x:c>
      <x:c r="F1490" s="4" t="n">
        <x:v>4742</x:v>
      </x:c>
      <x:c r="G1490" s="5" t="n">
        <x:v>0.7436</x:v>
      </x:c>
      <x:c r="H1490" s="5" t="n">
        <x:v>0.7188</x:v>
      </x:c>
      <x:c r="I1490" s="5" t="n">
        <x:v>0.8571</x:v>
      </x:c>
      <x:c r="J1490" s="4" t="n">
        <x:v>78</x:v>
      </x:c>
      <x:c r="K1490" s="4" t="n">
        <x:v>58</x:v>
      </x:c>
      <x:c r="L1490" s="4" t="n">
        <x:v>64</x:v>
      </x:c>
      <x:c r="M1490" s="4" t="n">
        <x:v>46</x:v>
      </x:c>
      <x:c r="N1490" s="4" t="n">
        <x:v>14</x:v>
      </x:c>
      <x:c r="O1490" s="4" t="n">
        <x:v>12</x:v>
      </x:c>
      <x:c r="P1490" s="1" t="str">
        <x:v>PASS</x:v>
      </x:c>
      <x:c r="Q1490" s="4" t="n">
        <x:v>0</x:v>
      </x:c>
      <x:c r="R1490" s="1" t="str">
        <x:v>PASS</x:v>
      </x:c>
      <x:c r="S1490" s="4" t="n">
        <x:v>0</x:v>
      </x:c>
      <x:c r="T1490" s="1" t="str">
        <x:v>NOT_REVEALING</x:v>
      </x:c>
      <x:c r="U1490" s="1" t="str">
        <x:v>Lang_13</x:v>
      </x:c>
      <x:c r="V1490" s="6" t="n">
        <x:v>62.79</x:v>
      </x:c>
    </x:row>
    <x:row r="1491" ht="22" customHeight="1">
      <x:c r="A1491" s="1" t="str">
        <x:v>Round2</x:v>
      </x:c>
      <x:c r="B1491" s="1" t="str">
        <x:v>Lang</x:v>
      </x:c>
      <x:c r="C1491" s="4" t="n">
        <x:v>14</x:v>
      </x:c>
      <x:c r="D1491" s="4" t="n">
        <x:v>20260928</x:v>
      </x:c>
      <x:c r="E1491" s="4" t="n">
        <x:v>60</x:v>
      </x:c>
      <x:c r="F1491" s="4" t="n">
        <x:v>11314</x:v>
      </x:c>
      <x:c r="G1491" s="5" t="n">
        <x:v>0.8504</x:v>
      </x:c>
      <x:c r="H1491" s="5" t="n">
        <x:v>0.8723000000000001</x:v>
      </x:c>
      <x:c r="I1491" s="5" t="n">
        <x:v>0.8256</x:v>
      </x:c>
      <x:c r="J1491" s="4" t="n">
        <x:v>2433</x:v>
      </x:c>
      <x:c r="K1491" s="4" t="n">
        <x:v>2069</x:v>
      </x:c>
      <x:c r="L1491" s="4" t="n">
        <x:v>1292</x:v>
      </x:c>
      <x:c r="M1491" s="4" t="n">
        <x:v>1127</x:v>
      </x:c>
      <x:c r="N1491" s="4" t="n">
        <x:v>1141</x:v>
      </x:c>
      <x:c r="O1491" s="4" t="n">
        <x:v>942</x:v>
      </x:c>
      <x:c r="P1491" s="1" t="str">
        <x:v>PASS</x:v>
      </x:c>
      <x:c r="Q1491" s="4" t="n">
        <x:v>0</x:v>
      </x:c>
      <x:c r="R1491" s="1" t="str">
        <x:v>PASS</x:v>
      </x:c>
      <x:c r="S1491" s="4" t="n">
        <x:v>0</x:v>
      </x:c>
      <x:c r="T1491" s="1" t="str">
        <x:v>NOT_REVEALING</x:v>
      </x:c>
      <x:c r="U1491" s="1" t="str">
        <x:v>Lang_14</x:v>
      </x:c>
      <x:c r="V1491" s="6" t="n">
        <x:v>54.09</x:v>
      </x:c>
    </x:row>
    <x:row r="1492" ht="22" customHeight="1">
      <x:c r="A1492" s="1" t="str">
        <x:v>Round2</x:v>
      </x:c>
      <x:c r="B1492" s="1" t="str">
        <x:v>Lang</x:v>
      </x:c>
      <x:c r="C1492" s="4" t="n">
        <x:v>15</x:v>
      </x:c>
      <x:c r="D1492" s="4" t="n">
        <x:v>20260928</x:v>
      </x:c>
      <x:c r="E1492" s="4" t="n">
        <x:v>60</x:v>
      </x:c>
      <x:c r="F1492" s="4" t="n">
        <x:v>39</x:v>
      </x:c>
      <x:c r="G1492" s="5" t="n">
        <x:v>0.1166</x:v>
      </x:c>
      <x:c r="H1492" s="5" t="n">
        <x:v>0.11710000000000001</x:v>
      </x:c>
      <x:c r="I1492" s="5" t="n">
        <x:v>0.1162</x:v>
      </x:c>
      <x:c r="J1492" s="4" t="n">
        <x:v>583</x:v>
      </x:c>
      <x:c r="K1492" s="4" t="n">
        <x:v>68</x:v>
      </x:c>
      <x:c r="L1492" s="4" t="n">
        <x:v>299</x:v>
      </x:c>
      <x:c r="M1492" s="4" t="n">
        <x:v>35</x:v>
      </x:c>
      <x:c r="N1492" s="4" t="n">
        <x:v>284</x:v>
      </x:c>
      <x:c r="O1492" s="4" t="n">
        <x:v>33</x:v>
      </x:c>
      <x:c r="P1492" s="1" t="str">
        <x:v>PASS</x:v>
      </x:c>
      <x:c r="Q1492" s="4" t="n">
        <x:v>0</x:v>
      </x:c>
      <x:c r="R1492" s="1" t="str">
        <x:v>PASS</x:v>
      </x:c>
      <x:c r="S1492" s="4" t="n">
        <x:v>0</x:v>
      </x:c>
      <x:c r="T1492" s="1" t="str">
        <x:v>NOT_REVEALING</x:v>
      </x:c>
      <x:c r="U1492" s="1" t="str">
        <x:v>Lang_15</x:v>
      </x:c>
      <x:c r="V1492" s="6" t="n">
        <x:v>27.61</x:v>
      </x:c>
    </x:row>
    <x:row r="1493" ht="22" customHeight="1">
      <x:c r="A1493" s="1" t="str">
        <x:v>Round2</x:v>
      </x:c>
      <x:c r="B1493" s="1" t="str">
        <x:v>Lang</x:v>
      </x:c>
      <x:c r="C1493" s="4" t="n">
        <x:v>16</x:v>
      </x:c>
      <x:c r="D1493" s="4" t="n">
        <x:v>20260928</x:v>
      </x:c>
      <x:c r="E1493" s="4" t="n">
        <x:v>60</x:v>
      </x:c>
      <x:c r="F1493" s="4" t="n">
        <x:v>4658</x:v>
      </x:c>
      <x:c r="G1493" s="5" t="n">
        <x:v>0.5853</x:v>
      </x:c>
      <x:c r="H1493" s="5" t="n">
        <x:v>0.688</x:v>
      </x:c>
      <x:c r="I1493" s="5" t="n">
        <x:v>0.4777</x:v>
      </x:c>
      <x:c r="J1493" s="4" t="n">
        <x:v>733</x:v>
      </x:c>
      <x:c r="K1493" s="4" t="n">
        <x:v>429</x:v>
      </x:c>
      <x:c r="L1493" s="4" t="n">
        <x:v>375</x:v>
      </x:c>
      <x:c r="M1493" s="4" t="n">
        <x:v>258</x:v>
      </x:c>
      <x:c r="N1493" s="4" t="n">
        <x:v>358</x:v>
      </x:c>
      <x:c r="O1493" s="4" t="n">
        <x:v>171</x:v>
      </x:c>
      <x:c r="P1493" s="1" t="str">
        <x:v>PASS</x:v>
      </x:c>
      <x:c r="Q1493" s="4" t="n">
        <x:v>0</x:v>
      </x:c>
      <x:c r="R1493" s="1" t="str">
        <x:v>PASS</x:v>
      </x:c>
      <x:c r="S1493" s="4" t="n">
        <x:v>0</x:v>
      </x:c>
      <x:c r="T1493" s="1" t="str">
        <x:v>NOT_REVEALING</x:v>
      </x:c>
      <x:c r="U1493" s="1" t="str">
        <x:v>Lang_16</x:v>
      </x:c>
      <x:c r="V1493" s="6" t="n">
        <x:v>38.87</x:v>
      </x:c>
    </x:row>
    <x:row r="1494" ht="22" customHeight="1">
      <x:c r="A1494" s="1" t="str">
        <x:v>Round2</x:v>
      </x:c>
      <x:c r="B1494" s="1" t="str">
        <x:v>Lang</x:v>
      </x:c>
      <x:c r="C1494" s="4" t="n">
        <x:v>17</x:v>
      </x:c>
      <x:c r="D1494" s="4" t="n">
        <x:v>20260928</x:v>
      </x:c>
      <x:c r="E1494" s="4" t="n">
        <x:v>60</x:v>
      </x:c>
      <x:c r="F1494" s="4" t="n">
        <x:v>20</x:v>
      </x:c>
      <x:c r="G1494" s="5" t="n">
        <x:v>0.0213</x:v>
      </x:c>
      <x:c r="H1494" s="5" t="n">
        <x:v>0.030299999999999997</x:v>
      </x:c>
      <x:c r="I1494" s="5" t="n">
        <x:v>0</x:v>
      </x:c>
      <x:c r="J1494" s="4" t="n">
        <x:v>47</x:v>
      </x:c>
      <x:c r="K1494" s="4" t="n">
        <x:v>1</x:v>
      </x:c>
      <x:c r="L1494" s="4" t="n">
        <x:v>33</x:v>
      </x:c>
      <x:c r="M1494" s="4" t="n">
        <x:v>1</x:v>
      </x:c>
      <x:c r="N1494" s="4" t="n">
        <x:v>14</x:v>
      </x:c>
      <x:c r="O1494" s="4" t="n">
        <x:v>0</x:v>
      </x:c>
      <x:c r="P1494" s="1" t="str">
        <x:v>PASS</x:v>
      </x:c>
      <x:c r="Q1494" s="4" t="n">
        <x:v>0</x:v>
      </x:c>
      <x:c r="R1494" s="1" t="str">
        <x:v>PASS</x:v>
      </x:c>
      <x:c r="S1494" s="4" t="n">
        <x:v>0</x:v>
      </x:c>
      <x:c r="T1494" s="1" t="str">
        <x:v>NOT_REVEALING</x:v>
      </x:c>
      <x:c r="U1494" s="1" t="str">
        <x:v>Lang_17</x:v>
      </x:c>
      <x:c r="V1494" s="6" t="n">
        <x:v>27.39</x:v>
      </x:c>
    </x:row>
    <x:row r="1495" ht="22" customHeight="1">
      <x:c r="A1495" s="1" t="str">
        <x:v>Round2</x:v>
      </x:c>
      <x:c r="B1495" s="1" t="str">
        <x:v>Lang</x:v>
      </x:c>
      <x:c r="C1495" s="4" t="n">
        <x:v>19</x:v>
      </x:c>
      <x:c r="D1495" s="4" t="n">
        <x:v>20260928</x:v>
      </x:c>
      <x:c r="E1495" s="4" t="n">
        <x:v>60</x:v>
      </x:c>
      <x:c r="F1495" s="4" t="n">
        <x:v>3830</x:v>
      </x:c>
      <x:c r="G1495" s="5" t="n">
        <x:v>0.11109999999999999</x:v>
      </x:c>
      <x:c r="H1495" s="5" t="n">
        <x:v>0.1481</x:v>
      </x:c>
      <x:c r="I1495" s="5" t="n">
        <x:v>0.0556</x:v>
      </x:c>
      <x:c r="J1495" s="4" t="n">
        <x:v>45</x:v>
      </x:c>
      <x:c r="K1495" s="4" t="n">
        <x:v>5</x:v>
      </x:c>
      <x:c r="L1495" s="4" t="n">
        <x:v>27</x:v>
      </x:c>
      <x:c r="M1495" s="4" t="n">
        <x:v>4</x:v>
      </x:c>
      <x:c r="N1495" s="4" t="n">
        <x:v>18</x:v>
      </x:c>
      <x:c r="O1495" s="4" t="n">
        <x:v>1</x:v>
      </x:c>
      <x:c r="P1495" s="1" t="str">
        <x:v>PASS</x:v>
      </x:c>
      <x:c r="Q1495" s="4" t="n">
        <x:v>0</x:v>
      </x:c>
      <x:c r="R1495" s="1" t="str">
        <x:v>PASS</x:v>
      </x:c>
      <x:c r="S1495" s="4" t="n">
        <x:v>0</x:v>
      </x:c>
      <x:c r="T1495" s="1" t="str">
        <x:v>NOT_REVEALING</x:v>
      </x:c>
      <x:c r="U1495" s="1" t="str">
        <x:v>Lang_19</x:v>
      </x:c>
      <x:c r="V1495" s="6" t="n">
        <x:v>80.34</x:v>
      </x:c>
    </x:row>
    <x:row r="1496" ht="22" customHeight="1">
      <x:c r="A1496" s="1" t="str">
        <x:v>Round2</x:v>
      </x:c>
      <x:c r="B1496" s="1" t="str">
        <x:v>Lang</x:v>
      </x:c>
      <x:c r="C1496" s="4" t="n">
        <x:v>20</x:v>
      </x:c>
      <x:c r="D1496" s="4" t="n">
        <x:v>20260928</x:v>
      </x:c>
      <x:c r="E1496" s="4" t="n">
        <x:v>60</x:v>
      </x:c>
      <x:c r="F1496" s="4" t="n">
        <x:v>11632</x:v>
      </x:c>
      <x:c r="G1496" s="5" t="n">
        <x:v>0.8549</x:v>
      </x:c>
      <x:c r="H1496" s="5" t="n">
        <x:v>0.8775</x:v>
      </x:c>
      <x:c r="I1496" s="5" t="n">
        <x:v>0.8294</x:v>
      </x:c>
      <x:c r="J1496" s="4" t="n">
        <x:v>2447</x:v>
      </x:c>
      <x:c r="K1496" s="4" t="n">
        <x:v>2092</x:v>
      </x:c>
      <x:c r="L1496" s="4" t="n">
        <x:v>1298</x:v>
      </x:c>
      <x:c r="M1496" s="4" t="n">
        <x:v>1139</x:v>
      </x:c>
      <x:c r="N1496" s="4" t="n">
        <x:v>1149</x:v>
      </x:c>
      <x:c r="O1496" s="4" t="n">
        <x:v>953</x:v>
      </x:c>
      <x:c r="P1496" s="1" t="str">
        <x:v>PASS</x:v>
      </x:c>
      <x:c r="Q1496" s="4" t="n">
        <x:v>0</x:v>
      </x:c>
      <x:c r="R1496" s="1" t="str">
        <x:v>PASS</x:v>
      </x:c>
      <x:c r="S1496" s="4" t="n">
        <x:v>0</x:v>
      </x:c>
      <x:c r="T1496" s="1" t="str">
        <x:v>NOT_REVEALING</x:v>
      </x:c>
      <x:c r="U1496" s="1" t="str">
        <x:v>Lang_20</x:v>
      </x:c>
      <x:c r="V1496" s="6" t="n">
        <x:v>53.65</x:v>
      </x:c>
    </x:row>
    <x:row r="1497" ht="22" customHeight="1">
      <x:c r="A1497" s="1" t="str">
        <x:v>Round2</x:v>
      </x:c>
      <x:c r="B1497" s="1" t="str">
        <x:v>Lang</x:v>
      </x:c>
      <x:c r="C1497" s="4" t="n">
        <x:v>21</x:v>
      </x:c>
      <x:c r="D1497" s="4" t="n">
        <x:v>20260928</x:v>
      </x:c>
      <x:c r="E1497" s="4" t="n">
        <x:v>60</x:v>
      </x:c>
      <x:c r="F1497" s="4" t="n">
        <x:v>2835</x:v>
      </x:c>
      <x:c r="G1497" s="5" t="n">
        <x:v>0.9013</x:v>
      </x:c>
      <x:c r="H1497" s="5" t="n">
        <x:v>0.9342</x:v>
      </x:c>
      <x:c r="I1497" s="5" t="n">
        <x:v>0.8532</x:v>
      </x:c>
      <x:c r="J1497" s="4" t="n">
        <x:v>537</x:v>
      </x:c>
      <x:c r="K1497" s="4" t="n">
        <x:v>484</x:v>
      </x:c>
      <x:c r="L1497" s="4" t="n">
        <x:v>319</x:v>
      </x:c>
      <x:c r="M1497" s="4" t="n">
        <x:v>298</x:v>
      </x:c>
      <x:c r="N1497" s="4" t="n">
        <x:v>218</x:v>
      </x:c>
      <x:c r="O1497" s="4" t="n">
        <x:v>186</x:v>
      </x:c>
      <x:c r="P1497" s="1" t="str">
        <x:v>FAIL</x:v>
      </x:c>
      <x:c r="Q1497" s="4" t="n">
        <x:v>5084</x:v>
      </x:c>
      <x:c r="R1497" s="1" t="str">
        <x:v>FAIL</x:v>
      </x:c>
      <x:c r="S1497" s="4" t="n">
        <x:v>5084</x:v>
      </x:c>
      <x:c r="T1497" s="1" t="str">
        <x:v>INCONCLUSIVE</x:v>
      </x:c>
      <x:c r="U1497" s="1" t="str">
        <x:v>Lang_21</x:v>
      </x:c>
      <x:c r="V1497" s="6" t="n">
        <x:v>60.87</x:v>
      </x:c>
    </x:row>
    <x:row r="1498" ht="22" customHeight="1">
      <x:c r="A1498" s="1" t="str">
        <x:v>Round2</x:v>
      </x:c>
      <x:c r="B1498" s="1" t="str">
        <x:v>Lang</x:v>
      </x:c>
      <x:c r="C1498" s="4" t="n">
        <x:v>22</x:v>
      </x:c>
      <x:c r="D1498" s="4" t="n">
        <x:v>20260928</x:v>
      </x:c>
      <x:c r="E1498" s="4" t="n">
        <x:v>60</x:v>
      </x:c>
      <x:c r="F1498" s="4" t="n">
        <x:v>2586</x:v>
      </x:c>
      <x:c r="G1498" s="5" t="n">
        <x:v>0.8884000000000001</x:v>
      </x:c>
      <x:c r="H1498" s="5" t="n">
        <x:v>0.9281</x:v>
      </x:c>
      <x:c r="I1498" s="5" t="n">
        <x:v>0.8298000000000001</x:v>
      </x:c>
      <x:c r="J1498" s="4" t="n">
        <x:v>466</x:v>
      </x:c>
      <x:c r="K1498" s="4" t="n">
        <x:v>414</x:v>
      </x:c>
      <x:c r="L1498" s="4" t="n">
        <x:v>278</x:v>
      </x:c>
      <x:c r="M1498" s="4" t="n">
        <x:v>258</x:v>
      </x:c>
      <x:c r="N1498" s="4" t="n">
        <x:v>188</x:v>
      </x:c>
      <x:c r="O1498" s="4" t="n">
        <x:v>156</x:v>
      </x:c>
      <x:c r="P1498" s="1" t="str">
        <x:v>FAIL</x:v>
      </x:c>
      <x:c r="Q1498" s="4" t="n">
        <x:v>248</x:v>
      </x:c>
      <x:c r="R1498" s="1" t="str">
        <x:v>FAIL</x:v>
      </x:c>
      <x:c r="S1498" s="4" t="n">
        <x:v>248</x:v>
      </x:c>
      <x:c r="T1498" s="1" t="str">
        <x:v>INCONCLUSIVE</x:v>
      </x:c>
      <x:c r="U1498" s="1" t="str">
        <x:v>Lang_22</x:v>
      </x:c>
      <x:c r="V1498" s="6" t="n">
        <x:v>46.74</x:v>
      </x:c>
    </x:row>
    <x:row r="1499" ht="22" customHeight="1">
      <x:c r="A1499" s="1" t="str">
        <x:v>Round2</x:v>
      </x:c>
      <x:c r="B1499" s="1" t="str">
        <x:v>Lang</x:v>
      </x:c>
      <x:c r="C1499" s="4" t="n">
        <x:v>23</x:v>
      </x:c>
      <x:c r="D1499" s="4" t="n">
        <x:v>20260928</x:v>
      </x:c>
      <x:c r="E1499" s="4" t="n">
        <x:v>60</x:v>
      </x:c>
      <x:c r="F1499" s="4" t="n">
        <x:v>1725</x:v>
      </x:c>
      <x:c r="G1499" s="5" t="n">
        <x:v>0.07139999999999999</x:v>
      </x:c>
      <x:c r="H1499" s="5" t="n">
        <x:v>0.10779999999999999</x:v>
      </x:c>
      <x:c r="I1499" s="5" t="n">
        <x:v>0.0101</x:v>
      </x:c>
      <x:c r="J1499" s="4" t="n">
        <x:v>266</x:v>
      </x:c>
      <x:c r="K1499" s="4" t="n">
        <x:v>19</x:v>
      </x:c>
      <x:c r="L1499" s="4" t="n">
        <x:v>167</x:v>
      </x:c>
      <x:c r="M1499" s="4" t="n">
        <x:v>18</x:v>
      </x:c>
      <x:c r="N1499" s="4" t="n">
        <x:v>99</x:v>
      </x:c>
      <x:c r="O1499" s="4" t="n">
        <x:v>1</x:v>
      </x:c>
      <x:c r="P1499" s="1" t="str">
        <x:v>PASS</x:v>
      </x:c>
      <x:c r="Q1499" s="4" t="n">
        <x:v>0</x:v>
      </x:c>
      <x:c r="R1499" s="1" t="str">
        <x:v>PASS</x:v>
      </x:c>
      <x:c r="S1499" s="4" t="n">
        <x:v>0</x:v>
      </x:c>
      <x:c r="T1499" s="1" t="str">
        <x:v>NOT_REVEALING</x:v>
      </x:c>
      <x:c r="U1499" s="1" t="str">
        <x:v>Lang_23</x:v>
      </x:c>
      <x:c r="V1499" s="6" t="n">
        <x:v>42.82</x:v>
      </x:c>
    </x:row>
    <x:row r="1500" ht="22" customHeight="1">
      <x:c r="A1500" s="1" t="str">
        <x:v>Round2</x:v>
      </x:c>
      <x:c r="B1500" s="1" t="str">
        <x:v>Lang</x:v>
      </x:c>
      <x:c r="C1500" s="4" t="n">
        <x:v>24</x:v>
      </x:c>
      <x:c r="D1500" s="4" t="n">
        <x:v>20260928</x:v>
      </x:c>
      <x:c r="E1500" s="4" t="n">
        <x:v>60</x:v>
      </x:c>
      <x:c r="F1500" s="4" t="n">
        <x:v>4712</x:v>
      </x:c>
      <x:c r="G1500" s="5" t="n">
        <x:v>0.5874</x:v>
      </x:c>
      <x:c r="H1500" s="5" t="n">
        <x:v>0.6888</x:v>
      </x:c>
      <x:c r="I1500" s="5" t="n">
        <x:v>0.4803</x:v>
      </x:c>
      <x:c r="J1500" s="4" t="n">
        <x:v>732</x:v>
      </x:c>
      <x:c r="K1500" s="4" t="n">
        <x:v>430</x:v>
      </x:c>
      <x:c r="L1500" s="4" t="n">
        <x:v>376</x:v>
      </x:c>
      <x:c r="M1500" s="4" t="n">
        <x:v>259</x:v>
      </x:c>
      <x:c r="N1500" s="4" t="n">
        <x:v>356</x:v>
      </x:c>
      <x:c r="O1500" s="4" t="n">
        <x:v>171</x:v>
      </x:c>
      <x:c r="P1500" s="1" t="str">
        <x:v>PASS</x:v>
      </x:c>
      <x:c r="Q1500" s="4" t="n">
        <x:v>0</x:v>
      </x:c>
      <x:c r="R1500" s="1" t="str">
        <x:v>PASS</x:v>
      </x:c>
      <x:c r="S1500" s="4" t="n">
        <x:v>0</x:v>
      </x:c>
      <x:c r="T1500" s="1" t="str">
        <x:v>NOT_REVEALING</x:v>
      </x:c>
      <x:c r="U1500" s="1" t="str">
        <x:v>Lang_24</x:v>
      </x:c>
      <x:c r="V1500" s="6" t="n">
        <x:v>41.83</x:v>
      </x:c>
    </x:row>
    <x:row r="1501" ht="22" customHeight="1">
      <x:c r="A1501" s="1" t="str">
        <x:v>Round2</x:v>
      </x:c>
      <x:c r="B1501" s="1" t="str">
        <x:v>Lang</x:v>
      </x:c>
      <x:c r="C1501" s="4" t="n">
        <x:v>26</x:v>
      </x:c>
      <x:c r="D1501" s="4" t="n">
        <x:v>20260928</x:v>
      </x:c>
      <x:c r="E1501" s="4" t="n">
        <x:v>60</x:v>
      </x:c>
      <x:c r="F1501" s="4" t="n">
        <x:v>2161</x:v>
      </x:c>
      <x:c r="G1501" s="5" t="n">
        <x:v>0.7215</x:v>
      </x:c>
      <x:c r="H1501" s="5" t="n">
        <x:v>0.7441</x:v>
      </x:c>
      <x:c r="I1501" s="5" t="n">
        <x:v>0.6754000000000001</x:v>
      </x:c>
      <x:c r="J1501" s="4" t="n">
        <x:v>693</x:v>
      </x:c>
      <x:c r="K1501" s="4" t="n">
        <x:v>500</x:v>
      </x:c>
      <x:c r="L1501" s="4" t="n">
        <x:v>465</x:v>
      </x:c>
      <x:c r="M1501" s="4" t="n">
        <x:v>346</x:v>
      </x:c>
      <x:c r="N1501" s="4" t="n">
        <x:v>228</x:v>
      </x:c>
      <x:c r="O1501" s="4" t="n">
        <x:v>154</x:v>
      </x:c>
      <x:c r="P1501" s="1" t="str">
        <x:v>FAIL</x:v>
      </x:c>
      <x:c r="Q1501" s="4" t="n">
        <x:v>3084</x:v>
      </x:c>
      <x:c r="R1501" s="1" t="str">
        <x:v>FAIL</x:v>
      </x:c>
      <x:c r="S1501" s="4" t="n">
        <x:v>3084</x:v>
      </x:c>
      <x:c r="T1501" s="1" t="str">
        <x:v>INCONCLUSIVE</x:v>
      </x:c>
      <x:c r="U1501" s="1" t="str">
        <x:v>Lang_26</x:v>
      </x:c>
      <x:c r="V1501" s="6" t="n">
        <x:v>50.09</x:v>
      </x:c>
    </x:row>
    <x:row r="1502" ht="22" customHeight="1">
      <x:c r="A1502" s="1" t="str">
        <x:v>Round2</x:v>
      </x:c>
      <x:c r="B1502" s="1" t="str">
        <x:v>Lang</x:v>
      </x:c>
      <x:c r="C1502" s="4" t="n">
        <x:v>27</x:v>
      </x:c>
      <x:c r="D1502" s="4" t="n">
        <x:v>20260928</x:v>
      </x:c>
      <x:c r="E1502" s="4" t="n">
        <x:v>60</x:v>
      </x:c>
      <x:c r="F1502" s="4" t="n">
        <x:v>4946</x:v>
      </x:c>
      <x:c r="G1502" s="5" t="n">
        <x:v>0.5922999999999999</x:v>
      </x:c>
      <x:c r="H1502" s="5" t="n">
        <x:v>0.6925</x:v>
      </x:c>
      <x:c r="I1502" s="5" t="n">
        <x:v>0.4858</x:v>
      </x:c>
      <x:c r="J1502" s="4" t="n">
        <x:v>726</x:v>
      </x:c>
      <x:c r="K1502" s="4" t="n">
        <x:v>430</x:v>
      </x:c>
      <x:c r="L1502" s="4" t="n">
        <x:v>374</x:v>
      </x:c>
      <x:c r="M1502" s="4" t="n">
        <x:v>259</x:v>
      </x:c>
      <x:c r="N1502" s="4" t="n">
        <x:v>352</x:v>
      </x:c>
      <x:c r="O1502" s="4" t="n">
        <x:v>171</x:v>
      </x:c>
      <x:c r="P1502" s="1" t="str">
        <x:v>PASS</x:v>
      </x:c>
      <x:c r="Q1502" s="4" t="n">
        <x:v>0</x:v>
      </x:c>
      <x:c r="R1502" s="1" t="str">
        <x:v>PASS</x:v>
      </x:c>
      <x:c r="S1502" s="4" t="n">
        <x:v>0</x:v>
      </x:c>
      <x:c r="T1502" s="1" t="str">
        <x:v>NOT_REVEALING</x:v>
      </x:c>
      <x:c r="U1502" s="1" t="str">
        <x:v>Lang_27</x:v>
      </x:c>
      <x:c r="V1502" s="6" t="n">
        <x:v>42.42</x:v>
      </x:c>
    </x:row>
    <x:row r="1503" ht="22" customHeight="1">
      <x:c r="A1503" s="1" t="str">
        <x:v>Round2</x:v>
      </x:c>
      <x:c r="B1503" s="1" t="str">
        <x:v>Lang</x:v>
      </x:c>
      <x:c r="C1503" s="4" t="n">
        <x:v>28</x:v>
      </x:c>
      <x:c r="D1503" s="4" t="n">
        <x:v>20260928</x:v>
      </x:c>
      <x:c r="E1503" s="4" t="n">
        <x:v>60</x:v>
      </x:c>
      <x:c r="F1503" s="4" t="n">
        <x:v>3490</x:v>
      </x:c>
      <x:c r="G1503" s="5" t="n">
        <x:v>0.1176</x:v>
      </x:c>
      <x:c r="H1503" s="5" t="n">
        <x:v>0.15</x:v>
      </x:c>
      <x:c r="I1503" s="5" t="n">
        <x:v>0.07139999999999999</x:v>
      </x:c>
      <x:c r="J1503" s="4" t="n">
        <x:v>34</x:v>
      </x:c>
      <x:c r="K1503" s="4" t="n">
        <x:v>4</x:v>
      </x:c>
      <x:c r="L1503" s="4" t="n">
        <x:v>20</x:v>
      </x:c>
      <x:c r="M1503" s="4" t="n">
        <x:v>3</x:v>
      </x:c>
      <x:c r="N1503" s="4" t="n">
        <x:v>14</x:v>
      </x:c>
      <x:c r="O1503" s="4" t="n">
        <x:v>1</x:v>
      </x:c>
      <x:c r="P1503" s="1" t="str">
        <x:v>PASS</x:v>
      </x:c>
      <x:c r="Q1503" s="4" t="n">
        <x:v>0</x:v>
      </x:c>
      <x:c r="R1503" s="1" t="str">
        <x:v>PASS</x:v>
      </x:c>
      <x:c r="S1503" s="4" t="n">
        <x:v>0</x:v>
      </x:c>
      <x:c r="T1503" s="1" t="str">
        <x:v>NOT_REVEALING</x:v>
      </x:c>
      <x:c r="U1503" s="1" t="str">
        <x:v>Lang_28</x:v>
      </x:c>
      <x:c r="V1503" s="6" t="n">
        <x:v>76.63</x:v>
      </x:c>
    </x:row>
    <x:row r="1504" ht="22" customHeight="1">
      <x:c r="A1504" s="1" t="str">
        <x:v>Round2</x:v>
      </x:c>
      <x:c r="B1504" s="1" t="str">
        <x:v>Lang</x:v>
      </x:c>
      <x:c r="C1504" s="4" t="n">
        <x:v>29</x:v>
      </x:c>
      <x:c r="D1504" s="4" t="n">
        <x:v>20260928</x:v>
      </x:c>
      <x:c r="E1504" s="4" t="n">
        <x:v>60</x:v>
      </x:c>
      <x:c r="F1504" s="4" t="n">
        <x:v>7674</x:v>
      </x:c>
      <x:c r="G1504" s="5" t="n">
        <x:v>0.8743000000000001</x:v>
      </x:c>
      <x:c r="H1504" s="5" t="n">
        <x:v>0.922</x:v>
      </x:c>
      <x:c r="I1504" s="5" t="n">
        <x:v>0.74</x:v>
      </x:c>
      <x:c r="J1504" s="4" t="n">
        <x:v>191</x:v>
      </x:c>
      <x:c r="K1504" s="4" t="n">
        <x:v>167</x:v>
      </x:c>
      <x:c r="L1504" s="4" t="n">
        <x:v>141</x:v>
      </x:c>
      <x:c r="M1504" s="4" t="n">
        <x:v>130</x:v>
      </x:c>
      <x:c r="N1504" s="4" t="n">
        <x:v>50</x:v>
      </x:c>
      <x:c r="O1504" s="4" t="n">
        <x:v>37</x:v>
      </x:c>
      <x:c r="P1504" s="1" t="str">
        <x:v>PASS</x:v>
      </x:c>
      <x:c r="Q1504" s="4" t="n">
        <x:v>0</x:v>
      </x:c>
      <x:c r="R1504" s="1" t="str">
        <x:v>PASS</x:v>
      </x:c>
      <x:c r="S1504" s="4" t="n">
        <x:v>0</x:v>
      </x:c>
      <x:c r="T1504" s="1" t="str">
        <x:v>NOT_REVEALING</x:v>
      </x:c>
      <x:c r="U1504" s="1" t="str">
        <x:v>Lang_29</x:v>
      </x:c>
      <x:c r="V1504" s="6" t="n">
        <x:v>40.95</x:v>
      </x:c>
    </x:row>
    <x:row r="1505" ht="22" customHeight="1">
      <x:c r="A1505" s="1" t="str">
        <x:v>Round2</x:v>
      </x:c>
      <x:c r="B1505" s="1" t="str">
        <x:v>Lang</x:v>
      </x:c>
      <x:c r="C1505" s="4" t="n">
        <x:v>30</x:v>
      </x:c>
      <x:c r="D1505" s="4" t="n">
        <x:v>20260928</x:v>
      </x:c>
      <x:c r="E1505" s="4" t="n">
        <x:v>60</x:v>
      </x:c>
      <x:c r="F1505" s="4" t="n">
        <x:v>11342</x:v>
      </x:c>
      <x:c r="G1505" s="5" t="n">
        <x:v>0.8391</x:v>
      </x:c>
      <x:c r="H1505" s="5" t="n">
        <x:v>0.8654000000000001</x:v>
      </x:c>
      <x:c r="I1505" s="5" t="n">
        <x:v>0.8095</x:v>
      </x:c>
      <x:c r="J1505" s="4" t="n">
        <x:v>2244</x:v>
      </x:c>
      <x:c r="K1505" s="4" t="n">
        <x:v>1883</x:v>
      </x:c>
      <x:c r="L1505" s="4" t="n">
        <x:v>1189</x:v>
      </x:c>
      <x:c r="M1505" s="4" t="n">
        <x:v>1029</x:v>
      </x:c>
      <x:c r="N1505" s="4" t="n">
        <x:v>1055</x:v>
      </x:c>
      <x:c r="O1505" s="4" t="n">
        <x:v>854</x:v>
      </x:c>
      <x:c r="P1505" s="1" t="str">
        <x:v>PASS</x:v>
      </x:c>
      <x:c r="Q1505" s="4" t="n">
        <x:v>0</x:v>
      </x:c>
      <x:c r="R1505" s="1" t="str">
        <x:v>NOT_RUN</x:v>
      </x:c>
      <x:c r="S1505" s="4"/>
      <x:c r="T1505" s="1" t="str">
        <x:v>NOT_AVAILABLE</x:v>
      </x:c>
      <x:c r="U1505" s="1" t="str">
        <x:v>Lang_30</x:v>
      </x:c>
      <x:c r="V1505" s="6" t="n">
        <x:v>43.76</x:v>
      </x:c>
    </x:row>
    <x:row r="1506" ht="22" customHeight="1">
      <x:c r="A1506" s="1" t="str">
        <x:v>Round2</x:v>
      </x:c>
      <x:c r="B1506" s="1" t="str">
        <x:v>Lang</x:v>
      </x:c>
      <x:c r="C1506" s="4" t="n">
        <x:v>31</x:v>
      </x:c>
      <x:c r="D1506" s="4" t="n">
        <x:v>20260928</x:v>
      </x:c>
      <x:c r="E1506" s="4" t="n">
        <x:v>60</x:v>
      </x:c>
      <x:c r="F1506" s="4" t="n">
        <x:v>11652</x:v>
      </x:c>
      <x:c r="G1506" s="5" t="n">
        <x:v>0.8381000000000001</x:v>
      </x:c>
      <x:c r="H1506" s="5" t="n">
        <x:v>0.8615999999999999</x:v>
      </x:c>
      <x:c r="I1506" s="5" t="n">
        <x:v>0.8115000000000001</x:v>
      </x:c>
      <x:c r="J1506" s="4" t="n">
        <x:v>2223</x:v>
      </x:c>
      <x:c r="K1506" s="4" t="n">
        <x:v>1863</x:v>
      </x:c>
      <x:c r="L1506" s="4" t="n">
        <x:v>1178</x:v>
      </x:c>
      <x:c r="M1506" s="4" t="n">
        <x:v>1015</x:v>
      </x:c>
      <x:c r="N1506" s="4" t="n">
        <x:v>1045</x:v>
      </x:c>
      <x:c r="O1506" s="4" t="n">
        <x:v>848</x:v>
      </x:c>
      <x:c r="P1506" s="1" t="str">
        <x:v>PASS</x:v>
      </x:c>
      <x:c r="Q1506" s="4" t="n">
        <x:v>0</x:v>
      </x:c>
      <x:c r="R1506" s="1" t="str">
        <x:v>PASS</x:v>
      </x:c>
      <x:c r="S1506" s="4" t="n">
        <x:v>0</x:v>
      </x:c>
      <x:c r="T1506" s="1" t="str">
        <x:v>NOT_REVEALING</x:v>
      </x:c>
      <x:c r="U1506" s="1" t="str">
        <x:v>Lang_31</x:v>
      </x:c>
      <x:c r="V1506" s="6" t="n">
        <x:v>50.08</x:v>
      </x:c>
    </x:row>
    <x:row r="1507" ht="22" customHeight="1">
      <x:c r="A1507" s="1" t="str">
        <x:v>Round2</x:v>
      </x:c>
      <x:c r="B1507" s="1" t="str">
        <x:v>Lang</x:v>
      </x:c>
      <x:c r="C1507" s="4" t="n">
        <x:v>32</x:v>
      </x:c>
      <x:c r="D1507" s="4" t="n">
        <x:v>20260928</x:v>
      </x:c>
      <x:c r="E1507" s="4" t="n">
        <x:v>60</x:v>
      </x:c>
      <x:c r="F1507" s="4" t="n">
        <x:v>1915</x:v>
      </x:c>
      <x:c r="G1507" s="5" t="n">
        <x:v>0.9267</x:v>
      </x:c>
      <x:c r="H1507" s="5" t="n">
        <x:v>0.9384</x:v>
      </x:c>
      <x:c r="I1507" s="5" t="n">
        <x:v>0.907</x:v>
      </x:c>
      <x:c r="J1507" s="4" t="n">
        <x:v>232</x:v>
      </x:c>
      <x:c r="K1507" s="4" t="n">
        <x:v>215</x:v>
      </x:c>
      <x:c r="L1507" s="4" t="n">
        <x:v>146</x:v>
      </x:c>
      <x:c r="M1507" s="4" t="n">
        <x:v>137</x:v>
      </x:c>
      <x:c r="N1507" s="4" t="n">
        <x:v>86</x:v>
      </x:c>
      <x:c r="O1507" s="4" t="n">
        <x:v>78</x:v>
      </x:c>
      <x:c r="P1507" s="1" t="str">
        <x:v>FAIL</x:v>
      </x:c>
      <x:c r="Q1507" s="4" t="n">
        <x:v>8</x:v>
      </x:c>
      <x:c r="R1507" s="1" t="str">
        <x:v>FAIL</x:v>
      </x:c>
      <x:c r="S1507" s="4" t="n">
        <x:v>9</x:v>
      </x:c>
      <x:c r="T1507" s="1" t="str">
        <x:v>INCONCLUSIVE</x:v>
      </x:c>
      <x:c r="U1507" s="1" t="str">
        <x:v>Lang_32</x:v>
      </x:c>
      <x:c r="V1507" s="6" t="n">
        <x:v>57.8</x:v>
      </x:c>
    </x:row>
    <x:row r="1508" ht="22" customHeight="1">
      <x:c r="A1508" s="1" t="str">
        <x:v>Round2</x:v>
      </x:c>
      <x:c r="B1508" s="1" t="str">
        <x:v>Lang</x:v>
      </x:c>
      <x:c r="C1508" s="4" t="n">
        <x:v>33</x:v>
      </x:c>
      <x:c r="D1508" s="4" t="n">
        <x:v>20260928</x:v>
      </x:c>
      <x:c r="E1508" s="4" t="n">
        <x:v>60</x:v>
      </x:c>
      <x:c r="F1508" s="4" t="n">
        <x:v>706</x:v>
      </x:c>
      <x:c r="G1508" s="5" t="n">
        <x:v>0.4622</x:v>
      </x:c>
      <x:c r="H1508" s="5" t="n">
        <x:v>0.542</x:v>
      </x:c>
      <x:c r="I1508" s="5" t="n">
        <x:v>0.3565</x:v>
      </x:c>
      <x:c r="J1508" s="4" t="n">
        <x:v>502</x:v>
      </x:c>
      <x:c r="K1508" s="4" t="n">
        <x:v>232</x:v>
      </x:c>
      <x:c r="L1508" s="4" t="n">
        <x:v>286</x:v>
      </x:c>
      <x:c r="M1508" s="4" t="n">
        <x:v>155</x:v>
      </x:c>
      <x:c r="N1508" s="4" t="n">
        <x:v>216</x:v>
      </x:c>
      <x:c r="O1508" s="4" t="n">
        <x:v>77</x:v>
      </x:c>
      <x:c r="P1508" s="1" t="str">
        <x:v>PASS</x:v>
      </x:c>
      <x:c r="Q1508" s="4" t="n">
        <x:v>0</x:v>
      </x:c>
      <x:c r="R1508" s="1" t="str">
        <x:v>FAIL</x:v>
      </x:c>
      <x:c r="S1508" s="4" t="n">
        <x:v>4</x:v>
      </x:c>
      <x:c r="T1508" s="1" t="str">
        <x:v>INCONCLUSIVE</x:v>
      </x:c>
      <x:c r="U1508" s="1" t="str">
        <x:v>Lang_33</x:v>
      </x:c>
      <x:c r="V1508" s="6" t="n">
        <x:v>42.21</x:v>
      </x:c>
    </x:row>
    <x:row r="1509" ht="22" customHeight="1">
      <x:c r="A1509" s="1" t="str">
        <x:v>Round2</x:v>
      </x:c>
      <x:c r="B1509" s="1" t="str">
        <x:v>Lang</x:v>
      </x:c>
      <x:c r="C1509" s="4" t="n">
        <x:v>34</x:v>
      </x:c>
      <x:c r="D1509" s="4" t="n">
        <x:v>20260928</x:v>
      </x:c>
      <x:c r="E1509" s="4" t="n">
        <x:v>60</x:v>
      </x:c>
      <x:c r="F1509" s="4" t="n">
        <x:v>4390</x:v>
      </x:c>
      <x:c r="G1509" s="5" t="n">
        <x:v>0.5581</x:v>
      </x:c>
      <x:c r="H1509" s="5" t="n">
        <x:v>0.5922</x:v>
      </x:c>
      <x:c r="I1509" s="5" t="n">
        <x:v>0.4769</x:v>
      </x:c>
      <x:c r="J1509" s="4" t="n">
        <x:v>731</x:v>
      </x:c>
      <x:c r="K1509" s="4" t="n">
        <x:v>408</x:v>
      </x:c>
      <x:c r="L1509" s="4" t="n">
        <x:v>515</x:v>
      </x:c>
      <x:c r="M1509" s="4" t="n">
        <x:v>305</x:v>
      </x:c>
      <x:c r="N1509" s="4" t="n">
        <x:v>216</x:v>
      </x:c>
      <x:c r="O1509" s="4" t="n">
        <x:v>103</x:v>
      </x:c>
      <x:c r="P1509" s="1" t="str">
        <x:v>FAIL</x:v>
      </x:c>
      <x:c r="Q1509" s="4" t="n">
        <x:v>325</x:v>
      </x:c>
      <x:c r="R1509" s="1" t="str">
        <x:v>FAIL</x:v>
      </x:c>
      <x:c r="S1509" s="4" t="n">
        <x:v>325</x:v>
      </x:c>
      <x:c r="T1509" s="1" t="str">
        <x:v>INCONCLUSIVE</x:v>
      </x:c>
      <x:c r="U1509" s="1" t="str">
        <x:v>Lang_34</x:v>
      </x:c>
      <x:c r="V1509" s="6" t="n">
        <x:v>48.31</x:v>
      </x:c>
    </x:row>
    <x:row r="1510" ht="22" customHeight="1">
      <x:c r="A1510" s="1" t="str">
        <x:v>Round2</x:v>
      </x:c>
      <x:c r="B1510" s="1" t="str">
        <x:v>Lang</x:v>
      </x:c>
      <x:c r="C1510" s="4" t="n">
        <x:v>35</x:v>
      </x:c>
      <x:c r="D1510" s="4" t="n">
        <x:v>20260928</x:v>
      </x:c>
      <x:c r="E1510" s="4" t="n">
        <x:v>60</x:v>
      </x:c>
      <x:c r="F1510" s="4" t="n">
        <x:v>4471</x:v>
      </x:c>
      <x:c r="G1510" s="5" t="n">
        <x:v>0.9537</x:v>
      </x:c>
      <x:c r="H1510" s="5" t="n">
        <x:v>0.9834</x:v>
      </x:c>
      <x:c r="I1510" s="5" t="n">
        <x:v>0.9181</x:v>
      </x:c>
      <x:c r="J1510" s="4" t="n">
        <x:v>1770</x:v>
      </x:c>
      <x:c r="K1510" s="4" t="n">
        <x:v>1688</x:v>
      </x:c>
      <x:c r="L1510" s="4" t="n">
        <x:v>964</x:v>
      </x:c>
      <x:c r="M1510" s="4" t="n">
        <x:v>948</x:v>
      </x:c>
      <x:c r="N1510" s="4" t="n">
        <x:v>806</x:v>
      </x:c>
      <x:c r="O1510" s="4" t="n">
        <x:v>740</x:v>
      </x:c>
      <x:c r="P1510" s="1" t="str">
        <x:v>PASS</x:v>
      </x:c>
      <x:c r="Q1510" s="4" t="n">
        <x:v>0</x:v>
      </x:c>
      <x:c r="R1510" s="1" t="str">
        <x:v>PASS</x:v>
      </x:c>
      <x:c r="S1510" s="4" t="n">
        <x:v>0</x:v>
      </x:c>
      <x:c r="T1510" s="1" t="str">
        <x:v>NOT_REVEALING</x:v>
      </x:c>
      <x:c r="U1510" s="1" t="str">
        <x:v>Lang_35</x:v>
      </x:c>
      <x:c r="V1510" s="6" t="n">
        <x:v>63.46</x:v>
      </x:c>
    </x:row>
    <x:row r="1511" ht="22" customHeight="1">
      <x:c r="A1511" s="1" t="str">
        <x:v>Round2</x:v>
      </x:c>
      <x:c r="B1511" s="1" t="str">
        <x:v>Lang</x:v>
      </x:c>
      <x:c r="C1511" s="4" t="n">
        <x:v>36</x:v>
      </x:c>
      <x:c r="D1511" s="4" t="n">
        <x:v>20260928</x:v>
      </x:c>
      <x:c r="E1511" s="4" t="n">
        <x:v>60</x:v>
      </x:c>
      <x:c r="F1511" s="4" t="n">
        <x:v>4748</x:v>
      </x:c>
      <x:c r="G1511" s="5" t="n">
        <x:v>0.6008</x:v>
      </x:c>
      <x:c r="H1511" s="5" t="n">
        <x:v>0.7</x:v>
      </x:c>
      <x:c r="I1511" s="5" t="n">
        <x:v>0.49420000000000003</x:v>
      </x:c>
      <x:c r="J1511" s="4" t="n">
        <x:v>714</x:v>
      </x:c>
      <x:c r="K1511" s="4" t="n">
        <x:v>429</x:v>
      </x:c>
      <x:c r="L1511" s="4" t="n">
        <x:v>370</x:v>
      </x:c>
      <x:c r="M1511" s="4" t="n">
        <x:v>259</x:v>
      </x:c>
      <x:c r="N1511" s="4" t="n">
        <x:v>344</x:v>
      </x:c>
      <x:c r="O1511" s="4" t="n">
        <x:v>170</x:v>
      </x:c>
      <x:c r="P1511" s="1" t="str">
        <x:v>PASS</x:v>
      </x:c>
      <x:c r="Q1511" s="4" t="n">
        <x:v>0</x:v>
      </x:c>
      <x:c r="R1511" s="1" t="str">
        <x:v>PASS</x:v>
      </x:c>
      <x:c r="S1511" s="4" t="n">
        <x:v>0</x:v>
      </x:c>
      <x:c r="T1511" s="1" t="str">
        <x:v>NOT_REVEALING</x:v>
      </x:c>
      <x:c r="U1511" s="1" t="str">
        <x:v>Lang_36</x:v>
      </x:c>
      <x:c r="V1511" s="6" t="n">
        <x:v>41.11</x:v>
      </x:c>
    </x:row>
    <x:row r="1512" ht="22" customHeight="1">
      <x:c r="A1512" s="1" t="str">
        <x:v>Round2</x:v>
      </x:c>
      <x:c r="B1512" s="1" t="str">
        <x:v>Lang</x:v>
      </x:c>
      <x:c r="C1512" s="4" t="n">
        <x:v>37</x:v>
      </x:c>
      <x:c r="D1512" s="4" t="n">
        <x:v>20260928</x:v>
      </x:c>
      <x:c r="E1512" s="4" t="n">
        <x:v>60</x:v>
      </x:c>
      <x:c r="F1512" s="4" t="n">
        <x:v>3963</x:v>
      </x:c>
      <x:c r="G1512" s="5" t="n">
        <x:v>0.9641</x:v>
      </x:c>
      <x:c r="H1512" s="5" t="n">
        <x:v>0.9863</x:v>
      </x:c>
      <x:c r="I1512" s="5" t="n">
        <x:v>0.9378</x:v>
      </x:c>
      <x:c r="J1512" s="4" t="n">
        <x:v>1755</x:v>
      </x:c>
      <x:c r="K1512" s="4" t="n">
        <x:v>1692</x:v>
      </x:c>
      <x:c r="L1512" s="4" t="n">
        <x:v>951</x:v>
      </x:c>
      <x:c r="M1512" s="4" t="n">
        <x:v>938</x:v>
      </x:c>
      <x:c r="N1512" s="4" t="n">
        <x:v>804</x:v>
      </x:c>
      <x:c r="O1512" s="4" t="n">
        <x:v>754</x:v>
      </x:c>
      <x:c r="P1512" s="1" t="str">
        <x:v>PASS</x:v>
      </x:c>
      <x:c r="Q1512" s="4" t="n">
        <x:v>0</x:v>
      </x:c>
      <x:c r="R1512" s="1" t="str">
        <x:v>FAIL</x:v>
      </x:c>
      <x:c r="S1512" s="4" t="n">
        <x:v>2</x:v>
      </x:c>
      <x:c r="T1512" s="1" t="str">
        <x:v>INCONCLUSIVE</x:v>
      </x:c>
      <x:c r="U1512" s="1" t="str">
        <x:v>Lang_37</x:v>
      </x:c>
      <x:c r="V1512" s="6" t="n">
        <x:v>63.63</x:v>
      </x:c>
    </x:row>
    <x:row r="1513" ht="22" customHeight="1">
      <x:c r="A1513" s="1" t="str">
        <x:v>Round2</x:v>
      </x:c>
      <x:c r="B1513" s="1" t="str">
        <x:v>Lang</x:v>
      </x:c>
      <x:c r="C1513" s="4" t="n">
        <x:v>38</x:v>
      </x:c>
      <x:c r="D1513" s="4" t="n">
        <x:v>20260928</x:v>
      </x:c>
      <x:c r="E1513" s="4" t="n">
        <x:v>60</x:v>
      </x:c>
      <x:c r="F1513" s="4" t="n">
        <x:v>2327</x:v>
      </x:c>
      <x:c r="G1513" s="5" t="n">
        <x:v>0.7225</x:v>
      </x:c>
      <x:c r="H1513" s="5" t="n">
        <x:v>0.7456999999999999</x:v>
      </x:c>
      <x:c r="I1513" s="5" t="n">
        <x:v>0.6754000000000001</x:v>
      </x:c>
      <x:c r="J1513" s="4" t="n">
        <x:v>692</x:v>
      </x:c>
      <x:c r="K1513" s="4" t="n">
        <x:v>500</x:v>
      </x:c>
      <x:c r="L1513" s="4" t="n">
        <x:v>464</x:v>
      </x:c>
      <x:c r="M1513" s="4" t="n">
        <x:v>346</x:v>
      </x:c>
      <x:c r="N1513" s="4" t="n">
        <x:v>228</x:v>
      </x:c>
      <x:c r="O1513" s="4" t="n">
        <x:v>154</x:v>
      </x:c>
      <x:c r="P1513" s="1" t="str">
        <x:v>FAIL</x:v>
      </x:c>
      <x:c r="Q1513" s="4" t="n">
        <x:v>3346</x:v>
      </x:c>
      <x:c r="R1513" s="1" t="str">
        <x:v>FAIL</x:v>
      </x:c>
      <x:c r="S1513" s="4" t="n">
        <x:v>3346</x:v>
      </x:c>
      <x:c r="T1513" s="1" t="str">
        <x:v>INCONCLUSIVE</x:v>
      </x:c>
      <x:c r="U1513" s="1" t="str">
        <x:v>Lang_38</x:v>
      </x:c>
      <x:c r="V1513" s="6" t="n">
        <x:v>54.14</x:v>
      </x:c>
    </x:row>
    <x:row r="1514" ht="22" customHeight="1">
      <x:c r="A1514" s="1" t="str">
        <x:v>Round2</x:v>
      </x:c>
      <x:c r="B1514" s="1" t="str">
        <x:v>Lang</x:v>
      </x:c>
      <x:c r="C1514" s="4" t="n">
        <x:v>39</x:v>
      </x:c>
      <x:c r="D1514" s="4" t="n">
        <x:v>20260928</x:v>
      </x:c>
      <x:c r="E1514" s="4" t="n">
        <x:v>60</x:v>
      </x:c>
      <x:c r="F1514" s="4" t="n">
        <x:v>11603</x:v>
      </x:c>
      <x:c r="G1514" s="5" t="n">
        <x:v>0.8240000000000001</x:v>
      </x:c>
      <x:c r="H1514" s="5" t="n">
        <x:v>0.8517</x:v>
      </x:c>
      <x:c r="I1514" s="5" t="n">
        <x:v>0.7929999999999999</x:v>
      </x:c>
      <x:c r="J1514" s="4" t="n">
        <x:v>2131</x:v>
      </x:c>
      <x:c r="K1514" s="4" t="n">
        <x:v>1756</x:v>
      </x:c>
      <x:c r="L1514" s="4" t="n">
        <x:v>1126</x:v>
      </x:c>
      <x:c r="M1514" s="4" t="n">
        <x:v>959</x:v>
      </x:c>
      <x:c r="N1514" s="4" t="n">
        <x:v>1005</x:v>
      </x:c>
      <x:c r="O1514" s="4" t="n">
        <x:v>797</x:v>
      </x:c>
      <x:c r="P1514" s="1" t="str">
        <x:v>PASS</x:v>
      </x:c>
      <x:c r="Q1514" s="4" t="n">
        <x:v>0</x:v>
      </x:c>
      <x:c r="R1514" s="1" t="str">
        <x:v>PASS</x:v>
      </x:c>
      <x:c r="S1514" s="4" t="n">
        <x:v>0</x:v>
      </x:c>
      <x:c r="T1514" s="1" t="str">
        <x:v>NOT_REVEALING</x:v>
      </x:c>
      <x:c r="U1514" s="1" t="str">
        <x:v>Lang_39</x:v>
      </x:c>
      <x:c r="V1514" s="6" t="n">
        <x:v>49.08</x:v>
      </x:c>
    </x:row>
    <x:row r="1515" ht="22" customHeight="1">
      <x:c r="A1515" s="1" t="str">
        <x:v>Round2</x:v>
      </x:c>
      <x:c r="B1515" s="1" t="str">
        <x:v>Lang</x:v>
      </x:c>
      <x:c r="C1515" s="4" t="n">
        <x:v>40</x:v>
      </x:c>
      <x:c r="D1515" s="4" t="n">
        <x:v>20260928</x:v>
      </x:c>
      <x:c r="E1515" s="4" t="n">
        <x:v>60</x:v>
      </x:c>
      <x:c r="F1515" s="4" t="n">
        <x:v>11849</x:v>
      </x:c>
      <x:c r="G1515" s="5" t="n">
        <x:v>0.8366</x:v>
      </x:c>
      <x:c r="H1515" s="5" t="n">
        <x:v>0.8759</x:v>
      </x:c>
      <x:c r="I1515" s="5" t="n">
        <x:v>0.7934</x:v>
      </x:c>
      <x:c r="J1515" s="4" t="n">
        <x:v>2093</x:v>
      </x:c>
      <x:c r="K1515" s="4" t="n">
        <x:v>1751</x:v>
      </x:c>
      <x:c r="L1515" s="4" t="n">
        <x:v>1096</x:v>
      </x:c>
      <x:c r="M1515" s="4" t="n">
        <x:v>960</x:v>
      </x:c>
      <x:c r="N1515" s="4" t="n">
        <x:v>997</x:v>
      </x:c>
      <x:c r="O1515" s="4" t="n">
        <x:v>791</x:v>
      </x:c>
      <x:c r="P1515" s="1" t="str">
        <x:v>PASS</x:v>
      </x:c>
      <x:c r="Q1515" s="4" t="n">
        <x:v>0</x:v>
      </x:c>
      <x:c r="R1515" s="1" t="str">
        <x:v>PASS</x:v>
      </x:c>
      <x:c r="S1515" s="4" t="n">
        <x:v>0</x:v>
      </x:c>
      <x:c r="T1515" s="1" t="str">
        <x:v>NOT_REVEALING</x:v>
      </x:c>
      <x:c r="U1515" s="1" t="str">
        <x:v>Lang_40</x:v>
      </x:c>
      <x:c r="V1515" s="6" t="n">
        <x:v>47.34</x:v>
      </x:c>
    </x:row>
    <x:row r="1516" ht="22" customHeight="1">
      <x:c r="A1516" s="1" t="str">
        <x:v>Round2</x:v>
      </x:c>
      <x:c r="B1516" s="1" t="str">
        <x:v>Lang</x:v>
      </x:c>
      <x:c r="C1516" s="4" t="n">
        <x:v>41</x:v>
      </x:c>
      <x:c r="D1516" s="4" t="n">
        <x:v>20260928</x:v>
      </x:c>
      <x:c r="E1516" s="4" t="n">
        <x:v>60</x:v>
      </x:c>
      <x:c r="F1516" s="4" t="n">
        <x:v>774</x:v>
      </x:c>
      <x:c r="G1516" s="5" t="n">
        <x:v>0.45649999999999996</x:v>
      </x:c>
      <x:c r="H1516" s="5" t="n">
        <x:v>0.5421</x:v>
      </x:c>
      <x:c r="I1516" s="5" t="n">
        <x:v>0.33840000000000003</x:v>
      </x:c>
      <x:c r="J1516" s="4" t="n">
        <x:v>471</x:v>
      </x:c>
      <x:c r="K1516" s="4" t="n">
        <x:v>215</x:v>
      </x:c>
      <x:c r="L1516" s="4" t="n">
        <x:v>273</x:v>
      </x:c>
      <x:c r="M1516" s="4" t="n">
        <x:v>148</x:v>
      </x:c>
      <x:c r="N1516" s="4" t="n">
        <x:v>198</x:v>
      </x:c>
      <x:c r="O1516" s="4" t="n">
        <x:v>67</x:v>
      </x:c>
      <x:c r="P1516" s="1" t="str">
        <x:v>PASS</x:v>
      </x:c>
      <x:c r="Q1516" s="4" t="n">
        <x:v>0</x:v>
      </x:c>
      <x:c r="R1516" s="1" t="str">
        <x:v>FAIL</x:v>
      </x:c>
      <x:c r="S1516" s="4" t="n">
        <x:v>396</x:v>
      </x:c>
      <x:c r="T1516" s="1" t="str">
        <x:v>INCONCLUSIVE</x:v>
      </x:c>
      <x:c r="U1516" s="1" t="str">
        <x:v>Lang_41</x:v>
      </x:c>
      <x:c r="V1516" s="6" t="n">
        <x:v>39.02</x:v>
      </x:c>
    </x:row>
    <x:row r="1517" ht="22" customHeight="1">
      <x:c r="A1517" s="1" t="str">
        <x:v>Round2</x:v>
      </x:c>
      <x:c r="B1517" s="1" t="str">
        <x:v>Lang</x:v>
      </x:c>
      <x:c r="C1517" s="4" t="n">
        <x:v>42</x:v>
      </x:c>
      <x:c r="D1517" s="4" t="n">
        <x:v>20260928</x:v>
      </x:c>
      <x:c r="E1517" s="4" t="n">
        <x:v>60</x:v>
      </x:c>
      <x:c r="F1517" s="4" t="n">
        <x:v>3100</x:v>
      </x:c>
      <x:c r="G1517" s="5" t="n">
        <x:v>0.6827</x:v>
      </x:c>
      <x:c r="H1517" s="5" t="n">
        <x:v>0.715</x:v>
      </x:c>
      <x:c r="I1517" s="5" t="n">
        <x:v>0.5781000000000001</x:v>
      </x:c>
      <x:c r="J1517" s="4" t="n">
        <x:v>271</x:v>
      </x:c>
      <x:c r="K1517" s="4" t="n">
        <x:v>185</x:v>
      </x:c>
      <x:c r="L1517" s="4" t="n">
        <x:v>207</x:v>
      </x:c>
      <x:c r="M1517" s="4" t="n">
        <x:v>148</x:v>
      </x:c>
      <x:c r="N1517" s="4" t="n">
        <x:v>64</x:v>
      </x:c>
      <x:c r="O1517" s="4" t="n">
        <x:v>37</x:v>
      </x:c>
      <x:c r="P1517" s="1" t="str">
        <x:v>FAIL</x:v>
      </x:c>
      <x:c r="Q1517" s="4" t="n">
        <x:v>54</x:v>
      </x:c>
      <x:c r="R1517" s="1" t="str">
        <x:v>FAIL</x:v>
      </x:c>
      <x:c r="S1517" s="4" t="n">
        <x:v>54</x:v>
      </x:c>
      <x:c r="T1517" s="1" t="str">
        <x:v>INCONCLUSIVE</x:v>
      </x:c>
      <x:c r="U1517" s="1" t="str">
        <x:v>Lang_42</x:v>
      </x:c>
      <x:c r="V1517" s="6" t="n">
        <x:v>42.97</x:v>
      </x:c>
    </x:row>
    <x:row r="1518" ht="22" customHeight="1">
      <x:c r="A1518" s="1" t="str">
        <x:v>Round2</x:v>
      </x:c>
      <x:c r="B1518" s="1" t="str">
        <x:v>Lang</x:v>
      </x:c>
      <x:c r="C1518" s="4" t="n">
        <x:v>43</x:v>
      </x:c>
      <x:c r="D1518" s="4" t="n">
        <x:v>20260928</x:v>
      </x:c>
      <x:c r="E1518" s="4" t="n">
        <x:v>60</x:v>
      </x:c>
      <x:c r="F1518" s="4" t="n">
        <x:v>723</x:v>
      </x:c>
      <x:c r="G1518" s="5" t="n">
        <x:v>0.07919999999999999</x:v>
      </x:c>
      <x:c r="H1518" s="5" t="n">
        <x:v>0.12050000000000001</x:v>
      </x:c>
      <x:c r="I1518" s="5" t="n">
        <x:v>0.0101</x:v>
      </x:c>
      <x:c r="J1518" s="4" t="n">
        <x:v>265</x:v>
      </x:c>
      <x:c r="K1518" s="4" t="n">
        <x:v>21</x:v>
      </x:c>
      <x:c r="L1518" s="4" t="n">
        <x:v>166</x:v>
      </x:c>
      <x:c r="M1518" s="4" t="n">
        <x:v>20</x:v>
      </x:c>
      <x:c r="N1518" s="4" t="n">
        <x:v>99</x:v>
      </x:c>
      <x:c r="O1518" s="4" t="n">
        <x:v>1</x:v>
      </x:c>
      <x:c r="P1518" s="1" t="str">
        <x:v>PASS</x:v>
      </x:c>
      <x:c r="Q1518" s="4" t="n">
        <x:v>0</x:v>
      </x:c>
      <x:c r="R1518" s="1" t="str">
        <x:v>PASS</x:v>
      </x:c>
      <x:c r="S1518" s="4" t="n">
        <x:v>0</x:v>
      </x:c>
      <x:c r="T1518" s="1" t="str">
        <x:v>NOT_REVEALING</x:v>
      </x:c>
      <x:c r="U1518" s="1" t="str">
        <x:v>Lang_43</x:v>
      </x:c>
      <x:c r="V1518" s="6" t="n">
        <x:v>36.01</x:v>
      </x:c>
    </x:row>
    <x:row r="1519" ht="22" customHeight="1">
      <x:c r="A1519" s="1" t="str">
        <x:v>Round2</x:v>
      </x:c>
      <x:c r="B1519" s="1" t="str">
        <x:v>Lang</x:v>
      </x:c>
      <x:c r="C1519" s="4" t="n">
        <x:v>44</x:v>
      </x:c>
      <x:c r="D1519" s="4" t="n">
        <x:v>20260928</x:v>
      </x:c>
      <x:c r="E1519" s="4" t="n">
        <x:v>60</x:v>
      </x:c>
      <x:c r="F1519" s="4" t="n">
        <x:v>5154</x:v>
      </x:c>
      <x:c r="G1519" s="5" t="n">
        <x:v>0.37929999999999997</x:v>
      </x:c>
      <x:c r="H1519" s="5" t="n">
        <x:v>0.5</x:v>
      </x:c>
      <x:c r="I1519" s="5" t="n">
        <x:v>0.2731</x:v>
      </x:c>
      <x:c r="J1519" s="4" t="n">
        <x:v>406</x:v>
      </x:c>
      <x:c r="K1519" s="4" t="n">
        <x:v>154</x:v>
      </x:c>
      <x:c r="L1519" s="4" t="n">
        <x:v>190</x:v>
      </x:c>
      <x:c r="M1519" s="4" t="n">
        <x:v>95</x:v>
      </x:c>
      <x:c r="N1519" s="4" t="n">
        <x:v>216</x:v>
      </x:c>
      <x:c r="O1519" s="4" t="n">
        <x:v>59</x:v>
      </x:c>
      <x:c r="P1519" s="1" t="str">
        <x:v>PASS</x:v>
      </x:c>
      <x:c r="Q1519" s="4" t="n">
        <x:v>0</x:v>
      </x:c>
      <x:c r="R1519" s="1" t="str">
        <x:v>PASS</x:v>
      </x:c>
      <x:c r="S1519" s="4" t="n">
        <x:v>0</x:v>
      </x:c>
      <x:c r="T1519" s="1" t="str">
        <x:v>NOT_REVEALING</x:v>
      </x:c>
      <x:c r="U1519" s="1" t="str">
        <x:v>Lang_44</x:v>
      </x:c>
      <x:c r="V1519" s="6" t="n">
        <x:v>37.62</x:v>
      </x:c>
    </x:row>
    <x:row r="1520" ht="22" customHeight="1">
      <x:c r="A1520" s="1" t="str">
        <x:v>Round2</x:v>
      </x:c>
      <x:c r="B1520" s="1" t="str">
        <x:v>Lang</x:v>
      </x:c>
      <x:c r="C1520" s="4" t="n">
        <x:v>45</x:v>
      </x:c>
      <x:c r="D1520" s="4" t="n">
        <x:v>20260928</x:v>
      </x:c>
      <x:c r="E1520" s="4" t="n">
        <x:v>60</x:v>
      </x:c>
      <x:c r="F1520" s="4" t="n">
        <x:v>3548</x:v>
      </x:c>
      <x:c r="G1520" s="5" t="n">
        <x:v>0.8125</x:v>
      </x:c>
      <x:c r="H1520" s="5" t="n">
        <x:v>0.8332999999999999</x:v>
      </x:c>
      <x:c r="I1520" s="5" t="n">
        <x:v>0.7843000000000001</x:v>
      </x:c>
      <x:c r="J1520" s="4" t="n">
        <x:v>240</x:v>
      </x:c>
      <x:c r="K1520" s="4" t="n">
        <x:v>195</x:v>
      </x:c>
      <x:c r="L1520" s="4" t="n">
        <x:v>138</x:v>
      </x:c>
      <x:c r="M1520" s="4" t="n">
        <x:v>115</x:v>
      </x:c>
      <x:c r="N1520" s="4" t="n">
        <x:v>102</x:v>
      </x:c>
      <x:c r="O1520" s="4" t="n">
        <x:v>80</x:v>
      </x:c>
      <x:c r="P1520" s="1" t="str">
        <x:v>PASS</x:v>
      </x:c>
      <x:c r="Q1520" s="4" t="n">
        <x:v>0</x:v>
      </x:c>
      <x:c r="R1520" s="1" t="str">
        <x:v>FAIL</x:v>
      </x:c>
      <x:c r="S1520" s="4" t="n">
        <x:v>110</x:v>
      </x:c>
      <x:c r="T1520" s="1" t="str">
        <x:v>INCONCLUSIVE</x:v>
      </x:c>
      <x:c r="U1520" s="1" t="str">
        <x:v>Lang_45</x:v>
      </x:c>
      <x:c r="V1520" s="6" t="n">
        <x:v>41.23</x:v>
      </x:c>
    </x:row>
    <x:row r="1521" ht="22" customHeight="1">
      <x:c r="A1521" s="1" t="str">
        <x:v>Round2</x:v>
      </x:c>
      <x:c r="B1521" s="1" t="str">
        <x:v>Lang</x:v>
      </x:c>
      <x:c r="C1521" s="4" t="n">
        <x:v>46</x:v>
      </x:c>
      <x:c r="D1521" s="4" t="n">
        <x:v>20260928</x:v>
      </x:c>
      <x:c r="E1521" s="4" t="n">
        <x:v>60</x:v>
      </x:c>
      <x:c r="F1521" s="4" t="n">
        <x:v>44</x:v>
      </x:c>
      <x:c r="G1521" s="5" t="n">
        <x:v>0.40240000000000004</x:v>
      </x:c>
      <x:c r="H1521" s="5" t="n">
        <x:v>0.4072</x:v>
      </x:c>
      <x:c r="I1521" s="5" t="n">
        <x:v>0.3925</x:v>
      </x:c>
      <x:c r="J1521" s="4" t="n">
        <x:v>328</x:v>
      </x:c>
      <x:c r="K1521" s="4" t="n">
        <x:v>132</x:v>
      </x:c>
      <x:c r="L1521" s="4" t="n">
        <x:v>221</x:v>
      </x:c>
      <x:c r="M1521" s="4" t="n">
        <x:v>90</x:v>
      </x:c>
      <x:c r="N1521" s="4" t="n">
        <x:v>107</x:v>
      </x:c>
      <x:c r="O1521" s="4" t="n">
        <x:v>42</x:v>
      </x:c>
      <x:c r="P1521" s="1" t="str">
        <x:v>PASS</x:v>
      </x:c>
      <x:c r="Q1521" s="4" t="n">
        <x:v>0</x:v>
      </x:c>
      <x:c r="R1521" s="1" t="str">
        <x:v>PASS</x:v>
      </x:c>
      <x:c r="S1521" s="4" t="n">
        <x:v>0</x:v>
      </x:c>
      <x:c r="T1521" s="1" t="str">
        <x:v>NOT_REVEALING</x:v>
      </x:c>
      <x:c r="U1521" s="1" t="str">
        <x:v>Lang_46</x:v>
      </x:c>
      <x:c r="V1521" s="6" t="n">
        <x:v>28.09</x:v>
      </x:c>
    </x:row>
    <x:row r="1522" ht="22" customHeight="1">
      <x:c r="A1522" s="1" t="str">
        <x:v>Round2</x:v>
      </x:c>
      <x:c r="B1522" s="1" t="str">
        <x:v>Lang</x:v>
      </x:c>
      <x:c r="C1522" s="4" t="n">
        <x:v>47</x:v>
      </x:c>
      <x:c r="D1522" s="4" t="n">
        <x:v>20260928</x:v>
      </x:c>
      <x:c r="E1522" s="4" t="n">
        <x:v>60</x:v>
      </x:c>
      <x:c r="F1522" s="4" t="n">
        <x:v>3108</x:v>
      </x:c>
      <x:c r="G1522" s="5" t="n">
        <x:v>0.9377</x:v>
      </x:c>
      <x:c r="H1522" s="5" t="n">
        <x:v>0.9626</x:v>
      </x:c>
      <x:c r="I1522" s="5" t="n">
        <x:v>0.9024</x:v>
      </x:c>
      <x:c r="J1522" s="4" t="n">
        <x:v>1188</x:v>
      </x:c>
      <x:c r="K1522" s="4" t="n">
        <x:v>1114</x:v>
      </x:c>
      <x:c r="L1522" s="4" t="n">
        <x:v>696</x:v>
      </x:c>
      <x:c r="M1522" s="4" t="n">
        <x:v>670</x:v>
      </x:c>
      <x:c r="N1522" s="4" t="n">
        <x:v>492</x:v>
      </x:c>
      <x:c r="O1522" s="4" t="n">
        <x:v>444</x:v>
      </x:c>
      <x:c r="P1522" s="1" t="str">
        <x:v>FAIL</x:v>
      </x:c>
      <x:c r="Q1522" s="4" t="n">
        <x:v>6</x:v>
      </x:c>
      <x:c r="R1522" s="1" t="str">
        <x:v>FAIL</x:v>
      </x:c>
      <x:c r="S1522" s="4" t="n">
        <x:v>6</x:v>
      </x:c>
      <x:c r="T1522" s="1" t="str">
        <x:v>INCONCLUSIVE</x:v>
      </x:c>
      <x:c r="U1522" s="1" t="str">
        <x:v>Lang_47</x:v>
      </x:c>
      <x:c r="V1522" s="6" t="n">
        <x:v>58.82</x:v>
      </x:c>
    </x:row>
    <x:row r="1523" ht="22" customHeight="1">
      <x:c r="A1523" s="1" t="str">
        <x:v>Round2</x:v>
      </x:c>
      <x:c r="B1523" s="1" t="str">
        <x:v>Lang</x:v>
      </x:c>
      <x:c r="C1523" s="4" t="n">
        <x:v>49</x:v>
      </x:c>
      <x:c r="D1523" s="4" t="n">
        <x:v>20260928</x:v>
      </x:c>
      <x:c r="E1523" s="4" t="n">
        <x:v>60</x:v>
      </x:c>
      <x:c r="F1523" s="4" t="n">
        <x:v>3354</x:v>
      </x:c>
      <x:c r="G1523" s="5" t="n">
        <x:v>0.8913</x:v>
      </x:c>
      <x:c r="H1523" s="5" t="n">
        <x:v>0.9312</x:v>
      </x:c>
      <x:c r="I1523" s="5" t="n">
        <x:v>0.8315</x:v>
      </x:c>
      <x:c r="J1523" s="4" t="n">
        <x:v>460</x:v>
      </x:c>
      <x:c r="K1523" s="4" t="n">
        <x:v>410</x:v>
      </x:c>
      <x:c r="L1523" s="4" t="n">
        <x:v>276</x:v>
      </x:c>
      <x:c r="M1523" s="4" t="n">
        <x:v>257</x:v>
      </x:c>
      <x:c r="N1523" s="4" t="n">
        <x:v>184</x:v>
      </x:c>
      <x:c r="O1523" s="4" t="n">
        <x:v>153</x:v>
      </x:c>
      <x:c r="P1523" s="1" t="str">
        <x:v>PASS</x:v>
      </x:c>
      <x:c r="Q1523" s="4" t="n">
        <x:v>0</x:v>
      </x:c>
      <x:c r="R1523" s="1" t="str">
        <x:v>PASS</x:v>
      </x:c>
      <x:c r="S1523" s="4" t="n">
        <x:v>0</x:v>
      </x:c>
      <x:c r="T1523" s="1" t="str">
        <x:v>NOT_REVEALING</x:v>
      </x:c>
      <x:c r="U1523" s="1" t="str">
        <x:v>Lang_49</x:v>
      </x:c>
      <x:c r="V1523" s="6" t="n">
        <x:v>55.8</x:v>
      </x:c>
    </x:row>
    <x:row r="1524" ht="22" customHeight="1">
      <x:c r="A1524" s="1" t="str">
        <x:v>Round2</x:v>
      </x:c>
      <x:c r="B1524" s="1" t="str">
        <x:v>Lang</x:v>
      </x:c>
      <x:c r="C1524" s="4" t="n">
        <x:v>50</x:v>
      </x:c>
      <x:c r="D1524" s="4" t="n">
        <x:v>20260928</x:v>
      </x:c>
      <x:c r="E1524" s="4" t="n">
        <x:v>60</x:v>
      </x:c>
      <x:c r="F1524" s="4" t="n">
        <x:v>2777</x:v>
      </x:c>
      <x:c r="G1524" s="5" t="n">
        <x:v>0.7353000000000001</x:v>
      </x:c>
      <x:c r="H1524" s="5" t="n">
        <x:v>0.7495</x:v>
      </x:c>
      <x:c r="I1524" s="5" t="n">
        <x:v>0.7069</x:v>
      </x:c>
      <x:c r="J1524" s="4" t="n">
        <x:v>699</x:v>
      </x:c>
      <x:c r="K1524" s="4" t="n">
        <x:v>514</x:v>
      </x:c>
      <x:c r="L1524" s="4" t="n">
        <x:v>467</x:v>
      </x:c>
      <x:c r="M1524" s="4" t="n">
        <x:v>350</x:v>
      </x:c>
      <x:c r="N1524" s="4" t="n">
        <x:v>232</x:v>
      </x:c>
      <x:c r="O1524" s="4" t="n">
        <x:v>164</x:v>
      </x:c>
      <x:c r="P1524" s="1" t="str">
        <x:v>FAIL</x:v>
      </x:c>
      <x:c r="Q1524" s="4" t="n">
        <x:v>4230</x:v>
      </x:c>
      <x:c r="R1524" s="1" t="str">
        <x:v>FAIL</x:v>
      </x:c>
      <x:c r="S1524" s="4" t="n">
        <x:v>4230</x:v>
      </x:c>
      <x:c r="T1524" s="1" t="str">
        <x:v>INCONCLUSIVE</x:v>
      </x:c>
      <x:c r="U1524" s="1" t="str">
        <x:v>Lang_50</x:v>
      </x:c>
      <x:c r="V1524" s="6" t="n">
        <x:v>55.29</x:v>
      </x:c>
    </x:row>
    <x:row r="1525" ht="22" customHeight="1">
      <x:c r="A1525" s="1" t="str">
        <x:v>Round2</x:v>
      </x:c>
      <x:c r="B1525" s="1" t="str">
        <x:v>Lang</x:v>
      </x:c>
      <x:c r="C1525" s="4" t="n">
        <x:v>51</x:v>
      </x:c>
      <x:c r="D1525" s="4" t="n">
        <x:v>20260928</x:v>
      </x:c>
      <x:c r="E1525" s="4" t="n">
        <x:v>60</x:v>
      </x:c>
      <x:c r="F1525" s="4" t="n">
        <x:v>6915</x:v>
      </x:c>
      <x:c r="G1525" s="5" t="n">
        <x:v>0.6736</x:v>
      </x:c>
      <x:c r="H1525" s="5" t="n">
        <x:v>0.7426999999999999</x:v>
      </x:c>
      <x:c r="I1525" s="5" t="n">
        <x:v>0.6179</x:v>
      </x:c>
      <x:c r="J1525" s="4" t="n">
        <x:v>383</x:v>
      </x:c>
      <x:c r="K1525" s="4" t="n">
        <x:v>258</x:v>
      </x:c>
      <x:c r="L1525" s="4" t="n">
        <x:v>171</x:v>
      </x:c>
      <x:c r="M1525" s="4" t="n">
        <x:v>127</x:v>
      </x:c>
      <x:c r="N1525" s="4" t="n">
        <x:v>212</x:v>
      </x:c>
      <x:c r="O1525" s="4" t="n">
        <x:v>131</x:v>
      </x:c>
      <x:c r="P1525" s="1" t="str">
        <x:v>PASS</x:v>
      </x:c>
      <x:c r="Q1525" s="4" t="n">
        <x:v>0</x:v>
      </x:c>
      <x:c r="R1525" s="1" t="str">
        <x:v>PASS</x:v>
      </x:c>
      <x:c r="S1525" s="4" t="n">
        <x:v>0</x:v>
      </x:c>
      <x:c r="T1525" s="1" t="str">
        <x:v>NOT_REVEALING</x:v>
      </x:c>
      <x:c r="U1525" s="1" t="str">
        <x:v>Lang_51</x:v>
      </x:c>
      <x:c r="V1525" s="6" t="n">
        <x:v>40.9</x:v>
      </x:c>
    </x:row>
    <x:row r="1526" ht="22" customHeight="1">
      <x:c r="A1526" s="1" t="str">
        <x:v>Round2</x:v>
      </x:c>
      <x:c r="B1526" s="1" t="str">
        <x:v>Lang</x:v>
      </x:c>
      <x:c r="C1526" s="4" t="n">
        <x:v>52</x:v>
      </x:c>
      <x:c r="D1526" s="4" t="n">
        <x:v>20260928</x:v>
      </x:c>
      <x:c r="E1526" s="4" t="n">
        <x:v>60</x:v>
      </x:c>
      <x:c r="F1526" s="4" t="n">
        <x:v>36</x:v>
      </x:c>
      <x:c r="G1526" s="5" t="n">
        <x:v>0.4093</x:v>
      </x:c>
      <x:c r="H1526" s="5" t="n">
        <x:v>0.4114</x:v>
      </x:c>
      <x:c r="I1526" s="5" t="n">
        <x:v>0.4048</x:v>
      </x:c>
      <x:c r="J1526" s="4" t="n">
        <x:v>259</x:v>
      </x:c>
      <x:c r="K1526" s="4" t="n">
        <x:v>106</x:v>
      </x:c>
      <x:c r="L1526" s="4" t="n">
        <x:v>175</x:v>
      </x:c>
      <x:c r="M1526" s="4" t="n">
        <x:v>72</x:v>
      </x:c>
      <x:c r="N1526" s="4" t="n">
        <x:v>84</x:v>
      </x:c>
      <x:c r="O1526" s="4" t="n">
        <x:v>34</x:v>
      </x:c>
      <x:c r="P1526" s="1" t="str">
        <x:v>PASS</x:v>
      </x:c>
      <x:c r="Q1526" s="4" t="n">
        <x:v>0</x:v>
      </x:c>
      <x:c r="R1526" s="1" t="str">
        <x:v>PASS</x:v>
      </x:c>
      <x:c r="S1526" s="4" t="n">
        <x:v>0</x:v>
      </x:c>
      <x:c r="T1526" s="1" t="str">
        <x:v>NOT_REVEALING</x:v>
      </x:c>
      <x:c r="U1526" s="1" t="str">
        <x:v>Lang_52</x:v>
      </x:c>
      <x:c r="V1526" s="6" t="n">
        <x:v>26.73</x:v>
      </x:c>
    </x:row>
    <x:row r="1527" ht="22" customHeight="1">
      <x:c r="A1527" s="1" t="str">
        <x:v>Round2</x:v>
      </x:c>
      <x:c r="B1527" s="1" t="str">
        <x:v>Lang</x:v>
      </x:c>
      <x:c r="C1527" s="4" t="n">
        <x:v>53</x:v>
      </x:c>
      <x:c r="D1527" s="4" t="n">
        <x:v>20260928</x:v>
      </x:c>
      <x:c r="E1527" s="4" t="n">
        <x:v>60</x:v>
      </x:c>
      <x:c r="F1527" s="4" t="n">
        <x:v>1956</x:v>
      </x:c>
      <x:c r="G1527" s="5" t="n">
        <x:v>0.7831999999999999</x:v>
      </x:c>
      <x:c r="H1527" s="5" t="n">
        <x:v>0.8432999999999999</x:v>
      </x:c>
      <x:c r="I1527" s="5" t="n">
        <x:v>0.7086</x:v>
      </x:c>
      <x:c r="J1527" s="4" t="n">
        <x:v>392</x:v>
      </x:c>
      <x:c r="K1527" s="4" t="n">
        <x:v>307</x:v>
      </x:c>
      <x:c r="L1527" s="4" t="n">
        <x:v>217</x:v>
      </x:c>
      <x:c r="M1527" s="4" t="n">
        <x:v>183</x:v>
      </x:c>
      <x:c r="N1527" s="4" t="n">
        <x:v>175</x:v>
      </x:c>
      <x:c r="O1527" s="4" t="n">
        <x:v>124</x:v>
      </x:c>
      <x:c r="P1527" s="1" t="str">
        <x:v>FAIL</x:v>
      </x:c>
      <x:c r="Q1527" s="4" t="n">
        <x:v>3322</x:v>
      </x:c>
      <x:c r="R1527" s="1" t="str">
        <x:v>FAIL</x:v>
      </x:c>
      <x:c r="S1527" s="4" t="n">
        <x:v>3322</x:v>
      </x:c>
      <x:c r="T1527" s="1" t="str">
        <x:v>INCONCLUSIVE</x:v>
      </x:c>
      <x:c r="U1527" s="1" t="str">
        <x:v>Lang_53</x:v>
      </x:c>
      <x:c r="V1527" s="6" t="n">
        <x:v>46.21</x:v>
      </x:c>
    </x:row>
    <x:row r="1528" ht="22" customHeight="1">
      <x:c r="A1528" s="1" t="str">
        <x:v>Round2</x:v>
      </x:c>
      <x:c r="B1528" s="1" t="str">
        <x:v>Lang</x:v>
      </x:c>
      <x:c r="C1528" s="4" t="n">
        <x:v>54</x:v>
      </x:c>
      <x:c r="D1528" s="4" t="n">
        <x:v>20260928</x:v>
      </x:c>
      <x:c r="E1528" s="4" t="n">
        <x:v>60</x:v>
      </x:c>
      <x:c r="F1528" s="4" t="n">
        <x:v>13</x:v>
      </x:c>
      <x:c r="G1528" s="5" t="n">
        <x:v>0.5105</x:v>
      </x:c>
      <x:c r="H1528" s="5" t="n">
        <x:v>0.6329</x:v>
      </x:c>
      <x:c r="I1528" s="5" t="n">
        <x:v>0.3594</x:v>
      </x:c>
      <x:c r="J1528" s="4" t="n">
        <x:v>143</x:v>
      </x:c>
      <x:c r="K1528" s="4" t="n">
        <x:v>73</x:v>
      </x:c>
      <x:c r="L1528" s="4" t="n">
        <x:v>79</x:v>
      </x:c>
      <x:c r="M1528" s="4" t="n">
        <x:v>50</x:v>
      </x:c>
      <x:c r="N1528" s="4" t="n">
        <x:v>64</x:v>
      </x:c>
      <x:c r="O1528" s="4" t="n">
        <x:v>23</x:v>
      </x:c>
      <x:c r="P1528" s="1" t="str">
        <x:v>PASS</x:v>
      </x:c>
      <x:c r="Q1528" s="4" t="n">
        <x:v>0</x:v>
      </x:c>
      <x:c r="R1528" s="1" t="str">
        <x:v>PASS</x:v>
      </x:c>
      <x:c r="S1528" s="4" t="n">
        <x:v>0</x:v>
      </x:c>
      <x:c r="T1528" s="1" t="str">
        <x:v>NOT_REVEALING</x:v>
      </x:c>
      <x:c r="U1528" s="1" t="str">
        <x:v>Lang_54</x:v>
      </x:c>
      <x:c r="V1528" s="6" t="n">
        <x:v>27.35</x:v>
      </x:c>
    </x:row>
    <x:row r="1529" ht="22" customHeight="1">
      <x:c r="A1529" s="1" t="str">
        <x:v>Round2</x:v>
      </x:c>
      <x:c r="B1529" s="1" t="str">
        <x:v>Lang</x:v>
      </x:c>
      <x:c r="C1529" s="4" t="n">
        <x:v>55</x:v>
      </x:c>
      <x:c r="D1529" s="4" t="n">
        <x:v>20260928</x:v>
      </x:c>
      <x:c r="E1529" s="4" t="n">
        <x:v>60</x:v>
      </x:c>
      <x:c r="F1529" s="4" t="n">
        <x:v>5756</x:v>
      </x:c>
      <x:c r="G1529" s="5" t="n">
        <x:v>0.9759</x:v>
      </x:c>
      <x:c r="H1529" s="5" t="n">
        <x:v>0.9825</x:v>
      </x:c>
      <x:c r="I1529" s="5" t="n">
        <x:v>0.9615</x:v>
      </x:c>
      <x:c r="J1529" s="4" t="n">
        <x:v>83</x:v>
      </x:c>
      <x:c r="K1529" s="4" t="n">
        <x:v>81</x:v>
      </x:c>
      <x:c r="L1529" s="4" t="n">
        <x:v>57</x:v>
      </x:c>
      <x:c r="M1529" s="4" t="n">
        <x:v>56</x:v>
      </x:c>
      <x:c r="N1529" s="4" t="n">
        <x:v>26</x:v>
      </x:c>
      <x:c r="O1529" s="4" t="n">
        <x:v>25</x:v>
      </x:c>
      <x:c r="P1529" s="1" t="str">
        <x:v>FAIL</x:v>
      </x:c>
      <x:c r="Q1529" s="4" t="n">
        <x:v>5</x:v>
      </x:c>
      <x:c r="R1529" s="1" t="str">
        <x:v>FAIL</x:v>
      </x:c>
      <x:c r="S1529" s="4" t="n">
        <x:v>5</x:v>
      </x:c>
      <x:c r="T1529" s="1" t="str">
        <x:v>INCONCLUSIVE</x:v>
      </x:c>
      <x:c r="U1529" s="1" t="str">
        <x:v>Lang_55</x:v>
      </x:c>
      <x:c r="V1529" s="6" t="n">
        <x:v>50.08</x:v>
      </x:c>
    </x:row>
    <x:row r="1530" ht="22" customHeight="1">
      <x:c r="A1530" s="1" t="str">
        <x:v>Round2</x:v>
      </x:c>
      <x:c r="B1530" s="1" t="str">
        <x:v>Lang</x:v>
      </x:c>
      <x:c r="C1530" s="4" t="n">
        <x:v>56</x:v>
      </x:c>
      <x:c r="D1530" s="4" t="n">
        <x:v>20260928</x:v>
      </x:c>
      <x:c r="E1530" s="4" t="n">
        <x:v>60</x:v>
      </x:c>
      <x:c r="F1530" s="4" t="n">
        <x:v>3054</x:v>
      </x:c>
      <x:c r="G1530" s="5" t="n">
        <x:v>0.7384999999999999</x:v>
      </x:c>
      <x:c r="H1530" s="5" t="n">
        <x:v>0.7543000000000001</x:v>
      </x:c>
      <x:c r="I1530" s="5" t="n">
        <x:v>0.7069</x:v>
      </x:c>
      <x:c r="J1530" s="4" t="n">
        <x:v>696</x:v>
      </x:c>
      <x:c r="K1530" s="4" t="n">
        <x:v>514</x:v>
      </x:c>
      <x:c r="L1530" s="4" t="n">
        <x:v>464</x:v>
      </x:c>
      <x:c r="M1530" s="4" t="n">
        <x:v>350</x:v>
      </x:c>
      <x:c r="N1530" s="4" t="n">
        <x:v>232</x:v>
      </x:c>
      <x:c r="O1530" s="4" t="n">
        <x:v>164</x:v>
      </x:c>
      <x:c r="P1530" s="1" t="str">
        <x:v>FAIL</x:v>
      </x:c>
      <x:c r="Q1530" s="4" t="n">
        <x:v>4690</x:v>
      </x:c>
      <x:c r="R1530" s="1" t="str">
        <x:v>FAIL</x:v>
      </x:c>
      <x:c r="S1530" s="4" t="n">
        <x:v>4690</x:v>
      </x:c>
      <x:c r="T1530" s="1" t="str">
        <x:v>INCONCLUSIVE</x:v>
      </x:c>
      <x:c r="U1530" s="1" t="str">
        <x:v>Lang_56</x:v>
      </x:c>
      <x:c r="V1530" s="6" t="n">
        <x:v>56.66</x:v>
      </x:c>
    </x:row>
    <x:row r="1531" ht="22" customHeight="1">
      <x:c r="A1531" s="1" t="str">
        <x:v>Round2</x:v>
      </x:c>
      <x:c r="B1531" s="1" t="str">
        <x:v>Lang</x:v>
      </x:c>
      <x:c r="C1531" s="4" t="n">
        <x:v>57</x:v>
      </x:c>
      <x:c r="D1531" s="4" t="n">
        <x:v>20260928</x:v>
      </x:c>
      <x:c r="E1531" s="4" t="n">
        <x:v>60</x:v>
      </x:c>
      <x:c r="F1531" s="4" t="n">
        <x:v>13</x:v>
      </x:c>
      <x:c r="G1531" s="5" t="n">
        <x:v>0.5105</x:v>
      </x:c>
      <x:c r="H1531" s="5" t="n">
        <x:v>0.6329</x:v>
      </x:c>
      <x:c r="I1531" s="5" t="n">
        <x:v>0.3594</x:v>
      </x:c>
      <x:c r="J1531" s="4" t="n">
        <x:v>143</x:v>
      </x:c>
      <x:c r="K1531" s="4" t="n">
        <x:v>73</x:v>
      </x:c>
      <x:c r="L1531" s="4" t="n">
        <x:v>79</x:v>
      </x:c>
      <x:c r="M1531" s="4" t="n">
        <x:v>50</x:v>
      </x:c>
      <x:c r="N1531" s="4" t="n">
        <x:v>64</x:v>
      </x:c>
      <x:c r="O1531" s="4" t="n">
        <x:v>23</x:v>
      </x:c>
      <x:c r="P1531" s="1" t="str">
        <x:v>FAIL</x:v>
      </x:c>
      <x:c r="Q1531" s="4" t="n">
        <x:v>1</x:v>
      </x:c>
      <x:c r="R1531" s="1" t="str">
        <x:v>FAIL</x:v>
      </x:c>
      <x:c r="S1531" s="4" t="n">
        <x:v>2</x:v>
      </x:c>
      <x:c r="T1531" s="1" t="str">
        <x:v>INCONCLUSIVE</x:v>
      </x:c>
      <x:c r="U1531" s="1" t="str">
        <x:v>Lang_57</x:v>
      </x:c>
      <x:c r="V1531" s="6" t="n">
        <x:v>25.93</x:v>
      </x:c>
    </x:row>
    <x:row r="1532" ht="22" customHeight="1">
      <x:c r="A1532" s="1" t="str">
        <x:v>Round2</x:v>
      </x:c>
      <x:c r="B1532" s="1" t="str">
        <x:v>Lang</x:v>
      </x:c>
      <x:c r="C1532" s="4" t="n">
        <x:v>58</x:v>
      </x:c>
      <x:c r="D1532" s="4" t="n">
        <x:v>20260928</x:v>
      </x:c>
      <x:c r="E1532" s="4" t="n">
        <x:v>60</x:v>
      </x:c>
      <x:c r="F1532" s="4" t="n">
        <x:v>3015</x:v>
      </x:c>
      <x:c r="G1532" s="5" t="n">
        <x:v>0.6607999999999999</x:v>
      </x:c>
      <x:c r="H1532" s="5" t="n">
        <x:v>0.7379000000000001</x:v>
      </x:c>
      <x:c r="I1532" s="5" t="n">
        <x:v>0.581</x:v>
      </x:c>
      <x:c r="J1532" s="4" t="n">
        <x:v>855</x:v>
      </x:c>
      <x:c r="K1532" s="4" t="n">
        <x:v>565</x:v>
      </x:c>
      <x:c r="L1532" s="4" t="n">
        <x:v>435</x:v>
      </x:c>
      <x:c r="M1532" s="4" t="n">
        <x:v>321</x:v>
      </x:c>
      <x:c r="N1532" s="4" t="n">
        <x:v>420</x:v>
      </x:c>
      <x:c r="O1532" s="4" t="n">
        <x:v>244</x:v>
      </x:c>
      <x:c r="P1532" s="1" t="str">
        <x:v>PASS</x:v>
      </x:c>
      <x:c r="Q1532" s="4" t="n">
        <x:v>0</x:v>
      </x:c>
      <x:c r="R1532" s="1" t="str">
        <x:v>PASS</x:v>
      </x:c>
      <x:c r="S1532" s="4" t="n">
        <x:v>0</x:v>
      </x:c>
      <x:c r="T1532" s="1" t="str">
        <x:v>NOT_REVEALING</x:v>
      </x:c>
      <x:c r="U1532" s="1" t="str">
        <x:v>Lang_58</x:v>
      </x:c>
      <x:c r="V1532" s="6" t="n">
        <x:v>46.86</x:v>
      </x:c>
    </x:row>
    <x:row r="1533" ht="22" customHeight="1">
      <x:c r="A1533" s="1" t="str">
        <x:v>Round2</x:v>
      </x:c>
      <x:c r="B1533" s="1" t="str">
        <x:v>Lang</x:v>
      </x:c>
      <x:c r="C1533" s="4" t="n">
        <x:v>59</x:v>
      </x:c>
      <x:c r="D1533" s="4" t="n">
        <x:v>20260928</x:v>
      </x:c>
      <x:c r="E1533" s="4" t="n">
        <x:v>60</x:v>
      </x:c>
      <x:c r="F1533" s="4" t="n">
        <x:v>3590</x:v>
      </x:c>
      <x:c r="G1533" s="5" t="n">
        <x:v>0.9240999999999999</x:v>
      </x:c>
      <x:c r="H1533" s="5" t="n">
        <x:v>0.9527</x:v>
      </x:c>
      <x:c r="I1533" s="5" t="n">
        <x:v>0.8835999999999999</x:v>
      </x:c>
      <x:c r="J1533" s="4" t="n">
        <x:v>1120</x:v>
      </x:c>
      <x:c r="K1533" s="4" t="n">
        <x:v>1035</x:v>
      </x:c>
      <x:c r="L1533" s="4" t="n">
        <x:v>656</x:v>
      </x:c>
      <x:c r="M1533" s="4" t="n">
        <x:v>625</x:v>
      </x:c>
      <x:c r="N1533" s="4" t="n">
        <x:v>464</x:v>
      </x:c>
      <x:c r="O1533" s="4" t="n">
        <x:v>410</x:v>
      </x:c>
      <x:c r="P1533" s="1" t="str">
        <x:v>FAIL</x:v>
      </x:c>
      <x:c r="Q1533" s="4" t="n">
        <x:v>5</x:v>
      </x:c>
      <x:c r="R1533" s="1" t="str">
        <x:v>FAIL</x:v>
      </x:c>
      <x:c r="S1533" s="4" t="n">
        <x:v>17</x:v>
      </x:c>
      <x:c r="T1533" s="1" t="str">
        <x:v>INCONCLUSIVE</x:v>
      </x:c>
      <x:c r="U1533" s="1" t="str">
        <x:v>Lang_59</x:v>
      </x:c>
      <x:c r="V1533" s="6" t="n">
        <x:v>58.97</x:v>
      </x:c>
    </x:row>
    <x:row r="1534" ht="22" customHeight="1">
      <x:c r="A1534" s="1" t="str">
        <x:v>Round2</x:v>
      </x:c>
      <x:c r="B1534" s="1" t="str">
        <x:v>Lang</x:v>
      </x:c>
      <x:c r="C1534" s="4" t="n">
        <x:v>60</x:v>
      </x:c>
      <x:c r="D1534" s="4" t="n">
        <x:v>20260928</x:v>
      </x:c>
      <x:c r="E1534" s="4" t="n">
        <x:v>60</x:v>
      </x:c>
      <x:c r="F1534" s="4" t="n">
        <x:v>3544</x:v>
      </x:c>
      <x:c r="G1534" s="5" t="n">
        <x:v>0.9259000000000001</x:v>
      </x:c>
      <x:c r="H1534" s="5" t="n">
        <x:v>0.9527</x:v>
      </x:c>
      <x:c r="I1534" s="5" t="n">
        <x:v>0.8879</x:v>
      </x:c>
      <x:c r="J1534" s="4" t="n">
        <x:v>1120</x:v>
      </x:c>
      <x:c r="K1534" s="4" t="n">
        <x:v>1037</x:v>
      </x:c>
      <x:c r="L1534" s="4" t="n">
        <x:v>656</x:v>
      </x:c>
      <x:c r="M1534" s="4" t="n">
        <x:v>625</x:v>
      </x:c>
      <x:c r="N1534" s="4" t="n">
        <x:v>464</x:v>
      </x:c>
      <x:c r="O1534" s="4" t="n">
        <x:v>412</x:v>
      </x:c>
      <x:c r="P1534" s="1" t="str">
        <x:v>FAIL</x:v>
      </x:c>
      <x:c r="Q1534" s="4" t="n">
        <x:v>6</x:v>
      </x:c>
      <x:c r="R1534" s="1" t="str">
        <x:v>FAIL</x:v>
      </x:c>
      <x:c r="S1534" s="4" t="n">
        <x:v>11</x:v>
      </x:c>
      <x:c r="T1534" s="1" t="str">
        <x:v>INCONCLUSIVE</x:v>
      </x:c>
      <x:c r="U1534" s="1" t="str">
        <x:v>Lang_60</x:v>
      </x:c>
      <x:c r="V1534" s="6" t="n">
        <x:v>56.96</x:v>
      </x:c>
    </x:row>
    <x:row r="1535" ht="22" customHeight="1">
      <x:c r="A1535" s="1" t="str">
        <x:v>Round2</x:v>
      </x:c>
      <x:c r="B1535" s="1" t="str">
        <x:v>Lang</x:v>
      </x:c>
      <x:c r="C1535" s="4" t="n">
        <x:v>61</x:v>
      </x:c>
      <x:c r="D1535" s="4" t="n">
        <x:v>20260928</x:v>
      </x:c>
      <x:c r="E1535" s="4" t="n">
        <x:v>60</x:v>
      </x:c>
      <x:c r="F1535" s="4" t="n">
        <x:v>3569</x:v>
      </x:c>
      <x:c r="G1535" s="5" t="n">
        <x:v>0.9429000000000001</x:v>
      </x:c>
      <x:c r="H1535" s="5" t="n">
        <x:v>0.968</x:v>
      </x:c>
      <x:c r="I1535" s="5" t="n">
        <x:v>0.9073</x:v>
      </x:c>
      <x:c r="J1535" s="4" t="n">
        <x:v>1120</x:v>
      </x:c>
      <x:c r="K1535" s="4" t="n">
        <x:v>1056</x:v>
      </x:c>
      <x:c r="L1535" s="4" t="n">
        <x:v>656</x:v>
      </x:c>
      <x:c r="M1535" s="4" t="n">
        <x:v>635</x:v>
      </x:c>
      <x:c r="N1535" s="4" t="n">
        <x:v>464</x:v>
      </x:c>
      <x:c r="O1535" s="4" t="n">
        <x:v>421</x:v>
      </x:c>
      <x:c r="P1535" s="1" t="str">
        <x:v>FAIL</x:v>
      </x:c>
      <x:c r="Q1535" s="4" t="n">
        <x:v>7</x:v>
      </x:c>
      <x:c r="R1535" s="1" t="str">
        <x:v>FAIL</x:v>
      </x:c>
      <x:c r="S1535" s="4" t="n">
        <x:v>7</x:v>
      </x:c>
      <x:c r="T1535" s="1" t="str">
        <x:v>INCONCLUSIVE</x:v>
      </x:c>
      <x:c r="U1535" s="1" t="str">
        <x:v>Lang_61</x:v>
      </x:c>
      <x:c r="V1535" s="6" t="n">
        <x:v>59.39</x:v>
      </x:c>
    </x:row>
    <x:row r="1536" ht="22" customHeight="1">
      <x:c r="A1536" s="1" t="str">
        <x:v>Round2</x:v>
      </x:c>
      <x:c r="B1536" s="1" t="str">
        <x:v>Lang</x:v>
      </x:c>
      <x:c r="C1536" s="4" t="n">
        <x:v>62</x:v>
      </x:c>
      <x:c r="D1536" s="4" t="n">
        <x:v>20260928</x:v>
      </x:c>
      <x:c r="E1536" s="4" t="n">
        <x:v>60</x:v>
      </x:c>
      <x:c r="F1536" s="4" t="n">
        <x:v>2773</x:v>
      </x:c>
      <x:c r="G1536" s="5" t="n">
        <x:v>0.5801</x:v>
      </x:c>
      <x:c r="H1536" s="5" t="n">
        <x:v>0.6265999999999999</x:v>
      </x:c>
      <x:c r="I1536" s="5" t="n">
        <x:v>0.4556</x:v>
      </x:c>
      <x:c r="J1536" s="4" t="n">
        <x:v>331</x:v>
      </x:c>
      <x:c r="K1536" s="4" t="n">
        <x:v>192</x:v>
      </x:c>
      <x:c r="L1536" s="4" t="n">
        <x:v>241</x:v>
      </x:c>
      <x:c r="M1536" s="4" t="n">
        <x:v>151</x:v>
      </x:c>
      <x:c r="N1536" s="4" t="n">
        <x:v>90</x:v>
      </x:c>
      <x:c r="O1536" s="4" t="n">
        <x:v>41</x:v>
      </x:c>
      <x:c r="P1536" s="1" t="str">
        <x:v>FAIL</x:v>
      </x:c>
      <x:c r="Q1536" s="4" t="n">
        <x:v>54</x:v>
      </x:c>
      <x:c r="R1536" s="1" t="str">
        <x:v>FAIL</x:v>
      </x:c>
      <x:c r="S1536" s="4" t="n">
        <x:v>54</x:v>
      </x:c>
      <x:c r="T1536" s="1" t="str">
        <x:v>INCONCLUSIVE</x:v>
      </x:c>
      <x:c r="U1536" s="1" t="str">
        <x:v>Lang_62</x:v>
      </x:c>
      <x:c r="V1536" s="6" t="n">
        <x:v>42.04</x:v>
      </x:c>
    </x:row>
    <x:row r="1537" ht="22" customHeight="1">
      <x:c r="A1537" s="1" t="str">
        <x:v>Round2</x:v>
      </x:c>
      <x:c r="B1537" s="1" t="str">
        <x:v>Lang</x:v>
      </x:c>
      <x:c r="C1537" s="4" t="n">
        <x:v>63</x:v>
      </x:c>
      <x:c r="D1537" s="4" t="n">
        <x:v>20260928</x:v>
      </x:c>
      <x:c r="E1537" s="4" t="n">
        <x:v>60</x:v>
      </x:c>
      <x:c r="F1537" s="4" t="n">
        <x:v>3232</x:v>
      </x:c>
      <x:c r="G1537" s="5" t="n">
        <x:v>0.7261</x:v>
      </x:c>
      <x:c r="H1537" s="5" t="n">
        <x:v>0.7262000000000001</x:v>
      </x:c>
      <x:c r="I1537" s="5" t="n">
        <x:v>0.7259</x:v>
      </x:c>
      <x:c r="J1537" s="4" t="n">
        <x:v>387</x:v>
      </x:c>
      <x:c r="K1537" s="4" t="n">
        <x:v>281</x:v>
      </x:c>
      <x:c r="L1537" s="4" t="n">
        <x:v>252</x:v>
      </x:c>
      <x:c r="M1537" s="4" t="n">
        <x:v>183</x:v>
      </x:c>
      <x:c r="N1537" s="4" t="n">
        <x:v>135</x:v>
      </x:c>
      <x:c r="O1537" s="4" t="n">
        <x:v>98</x:v>
      </x:c>
      <x:c r="P1537" s="1" t="str">
        <x:v>PASS</x:v>
      </x:c>
      <x:c r="Q1537" s="4" t="n">
        <x:v>0</x:v>
      </x:c>
      <x:c r="R1537" s="1" t="str">
        <x:v>NOT_RUN</x:v>
      </x:c>
      <x:c r="S1537" s="4"/>
      <x:c r="T1537" s="1" t="str">
        <x:v>NOT_AVAILABLE</x:v>
      </x:c>
      <x:c r="U1537" s="1" t="str">
        <x:v>Lang_63</x:v>
      </x:c>
      <x:c r="V1537" s="6" t="n">
        <x:v>34.26</x:v>
      </x:c>
    </x:row>
    <x:row r="1538" ht="22" customHeight="1">
      <x:c r="A1538" s="1" t="str">
        <x:v>Round2</x:v>
      </x:c>
      <x:c r="B1538" s="1" t="str">
        <x:v>Lang</x:v>
      </x:c>
      <x:c r="C1538" s="4" t="n">
        <x:v>64</x:v>
      </x:c>
      <x:c r="D1538" s="4" t="n">
        <x:v>20260928</x:v>
      </x:c>
      <x:c r="E1538" s="4" t="n">
        <x:v>60</x:v>
      </x:c>
      <x:c r="F1538" s="4" t="n">
        <x:v>38</x:v>
      </x:c>
      <x:c r="G1538" s="5" t="n">
        <x:v>0.1923</x:v>
      </x:c>
      <x:c r="H1538" s="5" t="n">
        <x:v>0.16670000000000001</x:v>
      </x:c>
      <x:c r="I1538" s="5" t="n">
        <x:v>0.25</x:v>
      </x:c>
      <x:c r="J1538" s="4" t="n">
        <x:v>26</x:v>
      </x:c>
      <x:c r="K1538" s="4" t="n">
        <x:v>5</x:v>
      </x:c>
      <x:c r="L1538" s="4" t="n">
        <x:v>18</x:v>
      </x:c>
      <x:c r="M1538" s="4" t="n">
        <x:v>3</x:v>
      </x:c>
      <x:c r="N1538" s="4" t="n">
        <x:v>8</x:v>
      </x:c>
      <x:c r="O1538" s="4" t="n">
        <x:v>2</x:v>
      </x:c>
      <x:c r="P1538" s="1" t="str">
        <x:v>PASS</x:v>
      </x:c>
      <x:c r="Q1538" s="4" t="n">
        <x:v>0</x:v>
      </x:c>
      <x:c r="R1538" s="1" t="str">
        <x:v>PASS</x:v>
      </x:c>
      <x:c r="S1538" s="4" t="n">
        <x:v>0</x:v>
      </x:c>
      <x:c r="T1538" s="1" t="str">
        <x:v>NOT_REVEALING</x:v>
      </x:c>
      <x:c r="U1538" s="1" t="str">
        <x:v>Lang_64</x:v>
      </x:c>
      <x:c r="V1538" s="6" t="n">
        <x:v>27.2</x:v>
      </x:c>
    </x:row>
    <x:row r="1539" ht="22" customHeight="1">
      <x:c r="A1539" s="1" t="str">
        <x:v>Round2</x:v>
      </x:c>
      <x:c r="B1539" s="1" t="str">
        <x:v>Lang</x:v>
      </x:c>
      <x:c r="C1539" s="4" t="n">
        <x:v>65</x:v>
      </x:c>
      <x:c r="D1539" s="4" t="n">
        <x:v>20260928</x:v>
      </x:c>
      <x:c r="E1539" s="4" t="n">
        <x:v>60</x:v>
      </x:c>
      <x:c r="F1539" s="4" t="n">
        <x:v>2225</x:v>
      </x:c>
      <x:c r="G1539" s="5" t="n">
        <x:v>0.7791</x:v>
      </x:c>
      <x:c r="H1539" s="5" t="n">
        <x:v>0.841</x:v>
      </x:c>
      <x:c r="I1539" s="5" t="n">
        <x:v>0.698</x:v>
      </x:c>
      <x:c r="J1539" s="4" t="n">
        <x:v>344</x:v>
      </x:c>
      <x:c r="K1539" s="4" t="n">
        <x:v>268</x:v>
      </x:c>
      <x:c r="L1539" s="4" t="n">
        <x:v>195</x:v>
      </x:c>
      <x:c r="M1539" s="4" t="n">
        <x:v>164</x:v>
      </x:c>
      <x:c r="N1539" s="4" t="n">
        <x:v>149</x:v>
      </x:c>
      <x:c r="O1539" s="4" t="n">
        <x:v>104</x:v>
      </x:c>
      <x:c r="P1539" s="1" t="str">
        <x:v>FAIL</x:v>
      </x:c>
      <x:c r="Q1539" s="4" t="n">
        <x:v>3826</x:v>
      </x:c>
      <x:c r="R1539" s="1" t="str">
        <x:v>FAIL</x:v>
      </x:c>
      <x:c r="S1539" s="4" t="n">
        <x:v>3826</x:v>
      </x:c>
      <x:c r="T1539" s="1" t="str">
        <x:v>INCONCLUSIVE</x:v>
      </x:c>
      <x:c r="U1539" s="1" t="str">
        <x:v>Lang_65</x:v>
      </x:c>
      <x:c r="V1539" s="6" t="n">
        <x:v>47.8</x:v>
      </x:c>
    </x:row>
    <x:row r="1540" ht="22" customHeight="1">
      <x:c r="A1540" s="1" t="str">
        <x:v>Round2</x:v>
      </x:c>
      <x:c r="B1540" s="1" t="str">
        <x:v>Math</x:v>
      </x:c>
      <x:c r="C1540" s="4" t="n">
        <x:v>1</x:v>
      </x:c>
      <x:c r="D1540" s="4" t="n">
        <x:v>20260928</x:v>
      </x:c>
      <x:c r="E1540" s="4" t="n">
        <x:v>60</x:v>
      </x:c>
      <x:c r="F1540" s="4" t="n">
        <x:v>849</x:v>
      </x:c>
      <x:c r="G1540" s="5" t="n">
        <x:v>0.8606</x:v>
      </x:c>
      <x:c r="H1540" s="5" t="n">
        <x:v>0.8941</x:v>
      </x:c>
      <x:c r="I1540" s="5" t="n">
        <x:v>0.7865000000000001</x:v>
      </x:c>
      <x:c r="J1540" s="4" t="n">
        <x:v>617</x:v>
      </x:c>
      <x:c r="K1540" s="4" t="n">
        <x:v>531</x:v>
      </x:c>
      <x:c r="L1540" s="4" t="n">
        <x:v>425</x:v>
      </x:c>
      <x:c r="M1540" s="4" t="n">
        <x:v>380</x:v>
      </x:c>
      <x:c r="N1540" s="4" t="n">
        <x:v>192</x:v>
      </x:c>
      <x:c r="O1540" s="4" t="n">
        <x:v>151</x:v>
      </x:c>
      <x:c r="P1540" s="1" t="str">
        <x:v>PASS</x:v>
      </x:c>
      <x:c r="Q1540" s="4" t="n">
        <x:v>0</x:v>
      </x:c>
      <x:c r="R1540" s="1" t="str">
        <x:v>FAIL</x:v>
      </x:c>
      <x:c r="S1540" s="4" t="n">
        <x:v>36</x:v>
      </x:c>
      <x:c r="T1540" s="1" t="str">
        <x:v>INCONCLUSIVE</x:v>
      </x:c>
      <x:c r="U1540" s="1" t="str">
        <x:v>Math_1</x:v>
      </x:c>
      <x:c r="V1540" s="6" t="n">
        <x:v>50.13</x:v>
      </x:c>
    </x:row>
    <x:row r="1541" ht="22" customHeight="1">
      <x:c r="A1541" s="1" t="str">
        <x:v>Round2</x:v>
      </x:c>
      <x:c r="B1541" s="1" t="str">
        <x:v>Math</x:v>
      </x:c>
      <x:c r="C1541" s="4" t="n">
        <x:v>2</x:v>
      </x:c>
      <x:c r="D1541" s="4" t="n">
        <x:v>20260928</x:v>
      </x:c>
      <x:c r="E1541" s="4" t="n">
        <x:v>60</x:v>
      </x:c>
      <x:c r="F1541" s="4" t="n">
        <x:v>3115</x:v>
      </x:c>
      <x:c r="G1541" s="5" t="n">
        <x:v>1</x:v>
      </x:c>
      <x:c r="H1541" s="5" t="n">
        <x:v>1</x:v>
      </x:c>
      <x:c r="I1541" s="5" t="n">
        <x:v>1</x:v>
      </x:c>
      <x:c r="J1541" s="4" t="n">
        <x:v>100</x:v>
      </x:c>
      <x:c r="K1541" s="4" t="n">
        <x:v>100</x:v>
      </x:c>
      <x:c r="L1541" s="4" t="n">
        <x:v>74</x:v>
      </x:c>
      <x:c r="M1541" s="4" t="n">
        <x:v>74</x:v>
      </x:c>
      <x:c r="N1541" s="4" t="n">
        <x:v>26</x:v>
      </x:c>
      <x:c r="O1541" s="4" t="n">
        <x:v>26</x:v>
      </x:c>
      <x:c r="P1541" s="1" t="str">
        <x:v>PASS</x:v>
      </x:c>
      <x:c r="Q1541" s="4" t="n">
        <x:v>0</x:v>
      </x:c>
      <x:c r="R1541" s="1" t="str">
        <x:v>FAIL</x:v>
      </x:c>
      <x:c r="S1541" s="4" t="n">
        <x:v>1612</x:v>
      </x:c>
      <x:c r="T1541" s="1" t="str">
        <x:v>INCONCLUSIVE</x:v>
      </x:c>
      <x:c r="U1541" s="1" t="str">
        <x:v>Math_2</x:v>
      </x:c>
      <x:c r="V1541" s="6" t="n">
        <x:v>57.38</x:v>
      </x:c>
    </x:row>
    <x:row r="1542" ht="22" customHeight="1">
      <x:c r="A1542" s="1" t="str">
        <x:v>Round2</x:v>
      </x:c>
      <x:c r="B1542" s="1" t="str">
        <x:v>Math</x:v>
      </x:c>
      <x:c r="C1542" s="4" t="n">
        <x:v>3</x:v>
      </x:c>
      <x:c r="D1542" s="4" t="n">
        <x:v>20260928</x:v>
      </x:c>
      <x:c r="E1542" s="4" t="n">
        <x:v>60</x:v>
      </x:c>
      <x:c r="F1542" s="4" t="n">
        <x:v>4256</x:v>
      </x:c>
      <x:c r="G1542" s="5" t="n">
        <x:v>0.8595</x:v>
      </x:c>
      <x:c r="H1542" s="5" t="n">
        <x:v>0.8504</x:v>
      </x:c>
      <x:c r="I1542" s="5" t="n">
        <x:v>0.8761</x:v>
      </x:c>
      <x:c r="J1542" s="4" t="n">
        <x:v>655</x:v>
      </x:c>
      <x:c r="K1542" s="4" t="n">
        <x:v>563</x:v>
      </x:c>
      <x:c r="L1542" s="4" t="n">
        <x:v>421</x:v>
      </x:c>
      <x:c r="M1542" s="4" t="n">
        <x:v>358</x:v>
      </x:c>
      <x:c r="N1542" s="4" t="n">
        <x:v>234</x:v>
      </x:c>
      <x:c r="O1542" s="4" t="n">
        <x:v>205</x:v>
      </x:c>
      <x:c r="P1542" s="1" t="str">
        <x:v>PASS</x:v>
      </x:c>
      <x:c r="Q1542" s="4" t="n">
        <x:v>0</x:v>
      </x:c>
      <x:c r="R1542" s="1" t="str">
        <x:v>PASS</x:v>
      </x:c>
      <x:c r="S1542" s="4" t="n">
        <x:v>0</x:v>
      </x:c>
      <x:c r="T1542" s="1" t="str">
        <x:v>NOT_REVEALING</x:v>
      </x:c>
      <x:c r="U1542" s="1" t="str">
        <x:v>Math_3</x:v>
      </x:c>
      <x:c r="V1542" s="6" t="n">
        <x:v>80.48</x:v>
      </x:c>
    </x:row>
    <x:row r="1543" ht="22" customHeight="1">
      <x:c r="A1543" s="1" t="str">
        <x:v>Round2</x:v>
      </x:c>
      <x:c r="B1543" s="1" t="str">
        <x:v>Math</x:v>
      </x:c>
      <x:c r="C1543" s="4" t="n">
        <x:v>4</x:v>
      </x:c>
      <x:c r="D1543" s="4" t="n">
        <x:v>20260928</x:v>
      </x:c>
      <x:c r="E1543" s="4" t="n">
        <x:v>60</x:v>
      </x:c>
      <x:c r="F1543" s="4" t="n">
        <x:v>2978</x:v>
      </x:c>
      <x:c r="G1543" s="5" t="n">
        <x:v>0.1875</x:v>
      </x:c>
      <x:c r="H1543" s="5" t="n">
        <x:v>0.2857</x:v>
      </x:c>
      <x:c r="I1543" s="5" t="n">
        <x:v>0</x:v>
      </x:c>
      <x:c r="J1543" s="4" t="n">
        <x:v>128</x:v>
      </x:c>
      <x:c r="K1543" s="4" t="n">
        <x:v>24</x:v>
      </x:c>
      <x:c r="L1543" s="4" t="n">
        <x:v>84</x:v>
      </x:c>
      <x:c r="M1543" s="4" t="n">
        <x:v>24</x:v>
      </x:c>
      <x:c r="N1543" s="4" t="n">
        <x:v>44</x:v>
      </x:c>
      <x:c r="O1543" s="4" t="n">
        <x:v>0</x:v>
      </x:c>
      <x:c r="P1543" s="1" t="str">
        <x:v>PASS</x:v>
      </x:c>
      <x:c r="Q1543" s="4" t="n">
        <x:v>0</x:v>
      </x:c>
      <x:c r="R1543" s="1" t="str">
        <x:v>PASS</x:v>
      </x:c>
      <x:c r="S1543" s="4" t="n">
        <x:v>0</x:v>
      </x:c>
      <x:c r="T1543" s="1" t="str">
        <x:v>NOT_REVEALING</x:v>
      </x:c>
      <x:c r="U1543" s="1" t="str">
        <x:v>Math_4</x:v>
      </x:c>
      <x:c r="V1543" s="6" t="n">
        <x:v>62.32</x:v>
      </x:c>
    </x:row>
    <x:row r="1544" ht="22" customHeight="1">
      <x:c r="A1544" s="1" t="str">
        <x:v>Round2</x:v>
      </x:c>
      <x:c r="B1544" s="1" t="str">
        <x:v>Math</x:v>
      </x:c>
      <x:c r="C1544" s="4" t="n">
        <x:v>5</x:v>
      </x:c>
      <x:c r="D1544" s="4" t="n">
        <x:v>20260928</x:v>
      </x:c>
      <x:c r="E1544" s="4" t="n">
        <x:v>60</x:v>
      </x:c>
      <x:c r="F1544" s="4" t="n">
        <x:v>3629</x:v>
      </x:c>
      <x:c r="G1544" s="5" t="n">
        <x:v>0.9722</x:v>
      </x:c>
      <x:c r="H1544" s="5" t="n">
        <x:v>0.9867</x:v>
      </x:c>
      <x:c r="I1544" s="5" t="n">
        <x:v>0.9529000000000001</x:v>
      </x:c>
      <x:c r="J1544" s="4" t="n">
        <x:v>396</x:v>
      </x:c>
      <x:c r="K1544" s="4" t="n">
        <x:v>385</x:v>
      </x:c>
      <x:c r="L1544" s="4" t="n">
        <x:v>226</x:v>
      </x:c>
      <x:c r="M1544" s="4" t="n">
        <x:v>223</x:v>
      </x:c>
      <x:c r="N1544" s="4" t="n">
        <x:v>170</x:v>
      </x:c>
      <x:c r="O1544" s="4" t="n">
        <x:v>162</x:v>
      </x:c>
      <x:c r="P1544" s="1" t="str">
        <x:v>FAIL</x:v>
      </x:c>
      <x:c r="Q1544" s="4" t="n">
        <x:v>344</x:v>
      </x:c>
      <x:c r="R1544" s="1" t="str">
        <x:v>FAIL</x:v>
      </x:c>
      <x:c r="S1544" s="4" t="n">
        <x:v>350</x:v>
      </x:c>
      <x:c r="T1544" s="1" t="str">
        <x:v>INCONCLUSIVE</x:v>
      </x:c>
      <x:c r="U1544" s="1" t="str">
        <x:v>Math_5</x:v>
      </x:c>
      <x:c r="V1544" s="6" t="n">
        <x:v>67.44</x:v>
      </x:c>
    </x:row>
    <x:row r="1545" ht="22" customHeight="1">
      <x:c r="A1545" s="1" t="str">
        <x:v>Round2</x:v>
      </x:c>
      <x:c r="B1545" s="1" t="str">
        <x:v>Math</x:v>
      </x:c>
      <x:c r="C1545" s="4" t="n">
        <x:v>6</x:v>
      </x:c>
      <x:c r="D1545" s="4" t="n">
        <x:v>20260928</x:v>
      </x:c>
      <x:c r="E1545" s="4" t="n">
        <x:v>60</x:v>
      </x:c>
      <x:c r="F1545" s="4" t="n">
        <x:v>4405</x:v>
      </x:c>
      <x:c r="G1545" s="5" t="n">
        <x:v>0.12119999999999999</x:v>
      </x:c>
      <x:c r="H1545" s="5" t="n">
        <x:v>0.1495</x:v>
      </x:c>
      <x:c r="I1545" s="5" t="n">
        <x:v>0.063</x:v>
      </x:c>
      <x:c r="J1545" s="4" t="n">
        <x:v>1791</x:v>
      </x:c>
      <x:c r="K1545" s="4" t="n">
        <x:v>217</x:v>
      </x:c>
      <x:c r="L1545" s="4" t="n">
        <x:v>1204</x:v>
      </x:c>
      <x:c r="M1545" s="4" t="n">
        <x:v>180</x:v>
      </x:c>
      <x:c r="N1545" s="4" t="n">
        <x:v>587</x:v>
      </x:c>
      <x:c r="O1545" s="4" t="n">
        <x:v>37</x:v>
      </x:c>
      <x:c r="P1545" s="1" t="str">
        <x:v>FAIL</x:v>
      </x:c>
      <x:c r="Q1545" s="4" t="n">
        <x:v>876</x:v>
      </x:c>
      <x:c r="R1545" s="1" t="str">
        <x:v>FAIL</x:v>
      </x:c>
      <x:c r="S1545" s="4" t="n">
        <x:v>2414</x:v>
      </x:c>
      <x:c r="T1545" s="1" t="str">
        <x:v>INCONCLUSIVE</x:v>
      </x:c>
      <x:c r="U1545" s="1" t="str">
        <x:v>Math_6</x:v>
      </x:c>
      <x:c r="V1545" s="6" t="n">
        <x:v>75.39</x:v>
      </x:c>
    </x:row>
    <x:row r="1546" ht="22" customHeight="1">
      <x:c r="A1546" s="1" t="str">
        <x:v>Round2</x:v>
      </x:c>
      <x:c r="B1546" s="1" t="str">
        <x:v>Math</x:v>
      </x:c>
      <x:c r="C1546" s="4" t="n">
        <x:v>7</x:v>
      </x:c>
      <x:c r="D1546" s="4" t="n">
        <x:v>20260928</x:v>
      </x:c>
      <x:c r="E1546" s="4" t="n">
        <x:v>60</x:v>
      </x:c>
      <x:c r="F1546" s="4" t="n">
        <x:v>1</x:v>
      </x:c>
      <x:c r="G1546" s="5" t="n">
        <x:v>0</x:v>
      </x:c>
      <x:c r="H1546" s="5" t="n">
        <x:v>0</x:v>
      </x:c>
      <x:c r="I1546" s="5" t="n">
        <x:v>0</x:v>
      </x:c>
      <x:c r="J1546" s="4" t="n">
        <x:v>180</x:v>
      </x:c>
      <x:c r="K1546" s="4" t="n">
        <x:v>0</x:v>
      </x:c>
      <x:c r="L1546" s="4" t="n">
        <x:v>130</x:v>
      </x:c>
      <x:c r="M1546" s="4" t="n">
        <x:v>0</x:v>
      </x:c>
      <x:c r="N1546" s="4" t="n">
        <x:v>50</x:v>
      </x:c>
      <x:c r="O1546" s="4" t="n">
        <x:v>0</x:v>
      </x:c>
      <x:c r="P1546" s="1" t="str">
        <x:v>PASS</x:v>
      </x:c>
      <x:c r="Q1546" s="4" t="n">
        <x:v>0</x:v>
      </x:c>
      <x:c r="R1546" s="1" t="str">
        <x:v>PASS</x:v>
      </x:c>
      <x:c r="S1546" s="4" t="n">
        <x:v>0</x:v>
      </x:c>
      <x:c r="T1546" s="1" t="str">
        <x:v>NOT_REVEALING</x:v>
      </x:c>
      <x:c r="U1546" s="1" t="str">
        <x:v>Math_7</x:v>
      </x:c>
      <x:c r="V1546" s="6" t="n">
        <x:v>31.44</x:v>
      </x:c>
    </x:row>
    <x:row r="1547" ht="22" customHeight="1">
      <x:c r="A1547" s="1" t="str">
        <x:v>Round2</x:v>
      </x:c>
      <x:c r="B1547" s="1" t="str">
        <x:v>Math</x:v>
      </x:c>
      <x:c r="C1547" s="4" t="n">
        <x:v>8</x:v>
      </x:c>
      <x:c r="D1547" s="4" t="n">
        <x:v>20260928</x:v>
      </x:c>
      <x:c r="E1547" s="4" t="n">
        <x:v>60</x:v>
      </x:c>
      <x:c r="F1547" s="4" t="n">
        <x:v>33</x:v>
      </x:c>
      <x:c r="G1547" s="5" t="n">
        <x:v>0.125</x:v>
      </x:c>
      <x:c r="H1547" s="5" t="n">
        <x:v>0.175</x:v>
      </x:c>
      <x:c r="I1547" s="5" t="n">
        <x:v>0.0417</x:v>
      </x:c>
      <x:c r="J1547" s="4" t="n">
        <x:v>64</x:v>
      </x:c>
      <x:c r="K1547" s="4" t="n">
        <x:v>8</x:v>
      </x:c>
      <x:c r="L1547" s="4" t="n">
        <x:v>40</x:v>
      </x:c>
      <x:c r="M1547" s="4" t="n">
        <x:v>7</x:v>
      </x:c>
      <x:c r="N1547" s="4" t="n">
        <x:v>24</x:v>
      </x:c>
      <x:c r="O1547" s="4" t="n">
        <x:v>1</x:v>
      </x:c>
      <x:c r="P1547" s="1" t="str">
        <x:v>PASS</x:v>
      </x:c>
      <x:c r="Q1547" s="4" t="n">
        <x:v>0</x:v>
      </x:c>
      <x:c r="R1547" s="1" t="str">
        <x:v>PASS</x:v>
      </x:c>
      <x:c r="S1547" s="4" t="n">
        <x:v>0</x:v>
      </x:c>
      <x:c r="T1547" s="1" t="str">
        <x:v>NOT_REVEALING</x:v>
      </x:c>
      <x:c r="U1547" s="1" t="str">
        <x:v>Math_8</x:v>
      </x:c>
      <x:c r="V1547" s="6" t="n">
        <x:v>31.96</x:v>
      </x:c>
    </x:row>
    <x:row r="1548" ht="22" customHeight="1">
      <x:c r="A1548" s="1" t="str">
        <x:v>Round2</x:v>
      </x:c>
      <x:c r="B1548" s="1" t="str">
        <x:v>Math</x:v>
      </x:c>
      <x:c r="C1548" s="4" t="n">
        <x:v>9</x:v>
      </x:c>
      <x:c r="D1548" s="4" t="n">
        <x:v>20260928</x:v>
      </x:c>
      <x:c r="E1548" s="4" t="n">
        <x:v>60</x:v>
      </x:c>
      <x:c r="F1548" s="4" t="n">
        <x:v>3</x:v>
      </x:c>
      <x:c r="G1548" s="5" t="n">
        <x:v>0.0806</x:v>
      </x:c>
      <x:c r="H1548" s="5" t="n">
        <x:v>0.10869999999999999</x:v>
      </x:c>
      <x:c r="I1548" s="5" t="n">
        <x:v>0</x:v>
      </x:c>
      <x:c r="J1548" s="4" t="n">
        <x:v>62</x:v>
      </x:c>
      <x:c r="K1548" s="4" t="n">
        <x:v>5</x:v>
      </x:c>
      <x:c r="L1548" s="4" t="n">
        <x:v>46</x:v>
      </x:c>
      <x:c r="M1548" s="4" t="n">
        <x:v>5</x:v>
      </x:c>
      <x:c r="N1548" s="4" t="n">
        <x:v>16</x:v>
      </x:c>
      <x:c r="O1548" s="4" t="n">
        <x:v>0</x:v>
      </x:c>
      <x:c r="P1548" s="1" t="str">
        <x:v>PASS</x:v>
      </x:c>
      <x:c r="Q1548" s="4" t="n">
        <x:v>0</x:v>
      </x:c>
      <x:c r="R1548" s="1" t="str">
        <x:v>PASS</x:v>
      </x:c>
      <x:c r="S1548" s="4" t="n">
        <x:v>0</x:v>
      </x:c>
      <x:c r="T1548" s="1" t="str">
        <x:v>NOT_REVEALING</x:v>
      </x:c>
      <x:c r="U1548" s="1" t="str">
        <x:v>Math_9</x:v>
      </x:c>
      <x:c r="V1548" s="6" t="n">
        <x:v>29.03</x:v>
      </x:c>
    </x:row>
    <x:row r="1549" ht="22" customHeight="1">
      <x:c r="A1549" s="1" t="str">
        <x:v>Round2</x:v>
      </x:c>
      <x:c r="B1549" s="1" t="str">
        <x:v>Math</x:v>
      </x:c>
      <x:c r="C1549" s="4" t="n">
        <x:v>10</x:v>
      </x:c>
      <x:c r="D1549" s="4" t="n">
        <x:v>20260928</x:v>
      </x:c>
      <x:c r="E1549" s="4" t="n">
        <x:v>60</x:v>
      </x:c>
      <x:c r="F1549" s="4" t="n">
        <x:v>99</x:v>
      </x:c>
      <x:c r="G1549" s="5" t="n">
        <x:v>0.6031</x:v>
      </x:c>
      <x:c r="H1549" s="5" t="n">
        <x:v>0.6221</x:v>
      </x:c>
      <x:c r="I1549" s="5" t="n">
        <x:v>0.5664</x:v>
      </x:c>
      <x:c r="J1549" s="4" t="n">
        <x:v>839</x:v>
      </x:c>
      <x:c r="K1549" s="4" t="n">
        <x:v>506</x:v>
      </x:c>
      <x:c r="L1549" s="4" t="n">
        <x:v>553</x:v>
      </x:c>
      <x:c r="M1549" s="4" t="n">
        <x:v>344</x:v>
      </x:c>
      <x:c r="N1549" s="4" t="n">
        <x:v>286</x:v>
      </x:c>
      <x:c r="O1549" s="4" t="n">
        <x:v>162</x:v>
      </x:c>
      <x:c r="P1549" s="1" t="str">
        <x:v>PASS</x:v>
      </x:c>
      <x:c r="Q1549" s="4" t="n">
        <x:v>0</x:v>
      </x:c>
      <x:c r="R1549" s="1" t="str">
        <x:v>PASS</x:v>
      </x:c>
      <x:c r="S1549" s="4" t="n">
        <x:v>0</x:v>
      </x:c>
      <x:c r="T1549" s="1" t="str">
        <x:v>NOT_REVEALING</x:v>
      </x:c>
      <x:c r="U1549" s="1" t="str">
        <x:v>Math_10</x:v>
      </x:c>
      <x:c r="V1549" s="6" t="n">
        <x:v>41.55</x:v>
      </x:c>
    </x:row>
    <x:row r="1550" ht="22" customHeight="1">
      <x:c r="A1550" s="1" t="str">
        <x:v>Round2</x:v>
      </x:c>
      <x:c r="B1550" s="1" t="str">
        <x:v>Math</x:v>
      </x:c>
      <x:c r="C1550" s="4" t="n">
        <x:v>11</x:v>
      </x:c>
      <x:c r="D1550" s="4" t="n">
        <x:v>20260928</x:v>
      </x:c>
      <x:c r="E1550" s="4" t="n">
        <x:v>60</x:v>
      </x:c>
      <x:c r="F1550" s="4" t="n">
        <x:v>1505</x:v>
      </x:c>
      <x:c r="G1550" s="5" t="n">
        <x:v>1</x:v>
      </x:c>
      <x:c r="H1550" s="5" t="n">
        <x:v>1</x:v>
      </x:c>
      <x:c r="I1550" s="5" t="n">
        <x:v>1</x:v>
      </x:c>
      <x:c r="J1550" s="4" t="n">
        <x:v>87</x:v>
      </x:c>
      <x:c r="K1550" s="4" t="n">
        <x:v>87</x:v>
      </x:c>
      <x:c r="L1550" s="4" t="n">
        <x:v>59</x:v>
      </x:c>
      <x:c r="M1550" s="4" t="n">
        <x:v>59</x:v>
      </x:c>
      <x:c r="N1550" s="4" t="n">
        <x:v>28</x:v>
      </x:c>
      <x:c r="O1550" s="4" t="n">
        <x:v>28</x:v>
      </x:c>
      <x:c r="P1550" s="1" t="str">
        <x:v>PASS</x:v>
      </x:c>
      <x:c r="Q1550" s="4" t="n">
        <x:v>0</x:v>
      </x:c>
      <x:c r="R1550" s="1" t="str">
        <x:v>FAIL</x:v>
      </x:c>
      <x:c r="S1550" s="4" t="n">
        <x:v>1036</x:v>
      </x:c>
      <x:c r="T1550" s="1" t="str">
        <x:v>INCONCLUSIVE</x:v>
      </x:c>
      <x:c r="U1550" s="1" t="str">
        <x:v>Math_11</x:v>
      </x:c>
      <x:c r="V1550" s="6" t="n">
        <x:v>57.91</x:v>
      </x:c>
    </x:row>
    <x:row r="1551" ht="22" customHeight="1">
      <x:c r="A1551" s="1" t="str">
        <x:v>Round2</x:v>
      </x:c>
      <x:c r="B1551" s="1" t="str">
        <x:v>Math</x:v>
      </x:c>
      <x:c r="C1551" s="4" t="n">
        <x:v>12</x:v>
      </x:c>
      <x:c r="D1551" s="4" t="n">
        <x:v>20260928</x:v>
      </x:c>
      <x:c r="E1551" s="4" t="n">
        <x:v>60</x:v>
      </x:c>
      <x:c r="F1551" s="4" t="n">
        <x:v>1</x:v>
      </x:c>
      <x:c r="G1551" s="5" t="n">
        <x:v>0</x:v>
      </x:c>
      <x:c r="H1551" s="5" t="n">
        <x:v>0</x:v>
      </x:c>
      <x:c r="I1551" s="5" t="n">
        <x:v>0</x:v>
      </x:c>
      <x:c r="J1551" s="4" t="n">
        <x:v>62</x:v>
      </x:c>
      <x:c r="K1551" s="4" t="n">
        <x:v>0</x:v>
      </x:c>
      <x:c r="L1551" s="4" t="n">
        <x:v>48</x:v>
      </x:c>
      <x:c r="M1551" s="4" t="n">
        <x:v>0</x:v>
      </x:c>
      <x:c r="N1551" s="4" t="n">
        <x:v>14</x:v>
      </x:c>
      <x:c r="O1551" s="4" t="n">
        <x:v>0</x:v>
      </x:c>
      <x:c r="P1551" s="1" t="str">
        <x:v>PASS</x:v>
      </x:c>
      <x:c r="Q1551" s="4" t="n">
        <x:v>0</x:v>
      </x:c>
      <x:c r="R1551" s="1" t="str">
        <x:v>PASS</x:v>
      </x:c>
      <x:c r="S1551" s="4" t="n">
        <x:v>0</x:v>
      </x:c>
      <x:c r="T1551" s="1" t="str">
        <x:v>NOT_REVEALING</x:v>
      </x:c>
      <x:c r="U1551" s="1" t="str">
        <x:v>Math_12</x:v>
      </x:c>
      <x:c r="V1551" s="6" t="n">
        <x:v>37.2</x:v>
      </x:c>
    </x:row>
    <x:row r="1552" ht="22" customHeight="1">
      <x:c r="A1552" s="1" t="str">
        <x:v>Round2</x:v>
      </x:c>
      <x:c r="B1552" s="1" t="str">
        <x:v>Math</x:v>
      </x:c>
      <x:c r="C1552" s="4" t="n">
        <x:v>13</x:v>
      </x:c>
      <x:c r="D1552" s="4" t="n">
        <x:v>20260928</x:v>
      </x:c>
      <x:c r="E1552" s="4" t="n">
        <x:v>60</x:v>
      </x:c>
      <x:c r="F1552" s="4" t="n">
        <x:v>1</x:v>
      </x:c>
      <x:c r="G1552" s="5" t="n">
        <x:v>0</x:v>
      </x:c>
      <x:c r="H1552" s="5" t="n">
        <x:v>0</x:v>
      </x:c>
      <x:c r="I1552" s="5" t="n">
        <x:v>0</x:v>
      </x:c>
      <x:c r="J1552" s="4" t="n">
        <x:v>99</x:v>
      </x:c>
      <x:c r="K1552" s="4" t="n">
        <x:v>0</x:v>
      </x:c>
      <x:c r="L1552" s="4" t="n">
        <x:v>81</x:v>
      </x:c>
      <x:c r="M1552" s="4" t="n">
        <x:v>0</x:v>
      </x:c>
      <x:c r="N1552" s="4" t="n">
        <x:v>18</x:v>
      </x:c>
      <x:c r="O1552" s="4" t="n">
        <x:v>0</x:v>
      </x:c>
      <x:c r="P1552" s="1" t="str">
        <x:v>PASS</x:v>
      </x:c>
      <x:c r="Q1552" s="4" t="n">
        <x:v>0</x:v>
      </x:c>
      <x:c r="R1552" s="1" t="str">
        <x:v>PASS</x:v>
      </x:c>
      <x:c r="S1552" s="4" t="n">
        <x:v>0</x:v>
      </x:c>
      <x:c r="T1552" s="1" t="str">
        <x:v>NOT_REVEALING</x:v>
      </x:c>
      <x:c r="U1552" s="1" t="str">
        <x:v>Math_13</x:v>
      </x:c>
      <x:c r="V1552" s="6" t="n">
        <x:v>36.76</x:v>
      </x:c>
    </x:row>
    <x:row r="1553" ht="22" customHeight="1">
      <x:c r="A1553" s="1" t="str">
        <x:v>Round2</x:v>
      </x:c>
      <x:c r="B1553" s="1" t="str">
        <x:v>Math</x:v>
      </x:c>
      <x:c r="C1553" s="4" t="n">
        <x:v>14</x:v>
      </x:c>
      <x:c r="D1553" s="4" t="n">
        <x:v>20260928</x:v>
      </x:c>
      <x:c r="E1553" s="4" t="n">
        <x:v>60</x:v>
      </x:c>
      <x:c r="F1553" s="4" t="n">
        <x:v>2337</x:v>
      </x:c>
      <x:c r="G1553" s="5" t="n">
        <x:v>0.21539999999999998</x:v>
      </x:c>
      <x:c r="H1553" s="5" t="n">
        <x:v>0.2157</x:v>
      </x:c>
      <x:c r="I1553" s="5" t="n">
        <x:v>0.2143</x:v>
      </x:c>
      <x:c r="J1553" s="4" t="n">
        <x:v>65</x:v>
      </x:c>
      <x:c r="K1553" s="4" t="n">
        <x:v>14</x:v>
      </x:c>
      <x:c r="L1553" s="4" t="n">
        <x:v>51</x:v>
      </x:c>
      <x:c r="M1553" s="4" t="n">
        <x:v>11</x:v>
      </x:c>
      <x:c r="N1553" s="4" t="n">
        <x:v>14</x:v>
      </x:c>
      <x:c r="O1553" s="4" t="n">
        <x:v>3</x:v>
      </x:c>
      <x:c r="P1553" s="1" t="str">
        <x:v>PASS</x:v>
      </x:c>
      <x:c r="Q1553" s="4" t="n">
        <x:v>0</x:v>
      </x:c>
      <x:c r="R1553" s="1" t="str">
        <x:v>FAIL</x:v>
      </x:c>
      <x:c r="S1553" s="4" t="n">
        <x:v>2</x:v>
      </x:c>
      <x:c r="T1553" s="1" t="str">
        <x:v>INCONCLUSIVE</x:v>
      </x:c>
      <x:c r="U1553" s="1" t="str">
        <x:v>Math_14</x:v>
      </x:c>
      <x:c r="V1553" s="6" t="n">
        <x:v>53.72</x:v>
      </x:c>
    </x:row>
    <x:row r="1554" ht="22" customHeight="1">
      <x:c r="A1554" s="1" t="str">
        <x:v>Round2</x:v>
      </x:c>
      <x:c r="B1554" s="1" t="str">
        <x:v>Math</x:v>
      </x:c>
      <x:c r="C1554" s="4" t="n">
        <x:v>15</x:v>
      </x:c>
      <x:c r="D1554" s="4" t="n">
        <x:v>20260928</x:v>
      </x:c>
      <x:c r="E1554" s="4" t="n">
        <x:v>60</x:v>
      </x:c>
      <x:c r="F1554" s="4" t="n">
        <x:v>0</x:v>
      </x:c>
      <x:c r="G1554" s="5"/>
      <x:c r="H1554" s="5"/>
      <x:c r="I1554" s="5"/>
      <x:c r="J1554" s="4" t="n">
        <x:v>0</x:v>
      </x:c>
      <x:c r="K1554" s="4" t="n">
        <x:v>0</x:v>
      </x:c>
      <x:c r="L1554" s="4" t="n">
        <x:v>0</x:v>
      </x:c>
      <x:c r="M1554" s="4" t="n">
        <x:v>0</x:v>
      </x:c>
      <x:c r="N1554" s="4" t="n">
        <x:v>0</x:v>
      </x:c>
      <x:c r="O1554" s="4" t="n">
        <x:v>0</x:v>
      </x:c>
      <x:c r="P1554" s="1" t="str">
        <x:v>NOT_RUN</x:v>
      </x:c>
      <x:c r="Q1554" s="4"/>
      <x:c r="R1554" s="1" t="str">
        <x:v>NOT_RUN</x:v>
      </x:c>
      <x:c r="S1554" s="4"/>
      <x:c r="T1554" s="1" t="str">
        <x:v>FAIL</x:v>
      </x:c>
      <x:c r="U1554" s="1" t="str">
        <x:v>Math_15</x:v>
      </x:c>
      <x:c r="V1554" s="6"/>
    </x:row>
    <x:row r="1555" ht="22" customHeight="1">
      <x:c r="A1555" s="1" t="str">
        <x:v>Round2</x:v>
      </x:c>
      <x:c r="B1555" s="1" t="str">
        <x:v>Math</x:v>
      </x:c>
      <x:c r="C1555" s="4" t="n">
        <x:v>16</x:v>
      </x:c>
      <x:c r="D1555" s="4" t="n">
        <x:v>20260928</x:v>
      </x:c>
      <x:c r="E1555" s="4" t="n">
        <x:v>60</x:v>
      </x:c>
      <x:c r="F1555" s="4" t="n">
        <x:v>11628</x:v>
      </x:c>
      <x:c r="G1555" s="5" t="n">
        <x:v>0.85</x:v>
      </x:c>
      <x:c r="H1555" s="5" t="n">
        <x:v>0.8976000000000001</x:v>
      </x:c>
      <x:c r="I1555" s="5" t="n">
        <x:v>0.7608</x:v>
      </x:c>
      <x:c r="J1555" s="4" t="n">
        <x:v>2274</x:v>
      </x:c>
      <x:c r="K1555" s="4" t="n">
        <x:v>1933</x:v>
      </x:c>
      <x:c r="L1555" s="4" t="n">
        <x:v>1484</x:v>
      </x:c>
      <x:c r="M1555" s="4" t="n">
        <x:v>1332</x:v>
      </x:c>
      <x:c r="N1555" s="4" t="n">
        <x:v>790</x:v>
      </x:c>
      <x:c r="O1555" s="4" t="n">
        <x:v>601</x:v>
      </x:c>
      <x:c r="P1555" s="1" t="str">
        <x:v>PASS</x:v>
      </x:c>
      <x:c r="Q1555" s="4" t="n">
        <x:v>0</x:v>
      </x:c>
      <x:c r="R1555" s="1" t="str">
        <x:v>PASS</x:v>
      </x:c>
      <x:c r="S1555" s="4" t="n">
        <x:v>0</x:v>
      </x:c>
      <x:c r="T1555" s="1" t="str">
        <x:v>NOT_REVEALING</x:v>
      </x:c>
      <x:c r="U1555" s="1" t="str">
        <x:v>Math_16</x:v>
      </x:c>
      <x:c r="V1555" s="6" t="n">
        <x:v>59.21</x:v>
      </x:c>
    </x:row>
    <x:row r="1556" ht="22" customHeight="1">
      <x:c r="A1556" s="1" t="str">
        <x:v>Round2</x:v>
      </x:c>
      <x:c r="B1556" s="1" t="str">
        <x:v>Math</x:v>
      </x:c>
      <x:c r="C1556" s="4" t="n">
        <x:v>17</x:v>
      </x:c>
      <x:c r="D1556" s="4" t="n">
        <x:v>20260928</x:v>
      </x:c>
      <x:c r="E1556" s="4" t="n">
        <x:v>60</x:v>
      </x:c>
      <x:c r="F1556" s="4" t="n">
        <x:v>165</x:v>
      </x:c>
      <x:c r="G1556" s="5" t="n">
        <x:v>0.0091</x:v>
      </x:c>
      <x:c r="H1556" s="5" t="n">
        <x:v>0.0155</x:v>
      </x:c>
      <x:c r="I1556" s="5" t="n">
        <x:v>0</x:v>
      </x:c>
      <x:c r="J1556" s="4" t="n">
        <x:v>1767</x:v>
      </x:c>
      <x:c r="K1556" s="4" t="n">
        <x:v>16</x:v>
      </x:c>
      <x:c r="L1556" s="4" t="n">
        <x:v>1029</x:v>
      </x:c>
      <x:c r="M1556" s="4" t="n">
        <x:v>16</x:v>
      </x:c>
      <x:c r="N1556" s="4" t="n">
        <x:v>738</x:v>
      </x:c>
      <x:c r="O1556" s="4" t="n">
        <x:v>0</x:v>
      </x:c>
      <x:c r="P1556" s="1" t="str">
        <x:v>PASS</x:v>
      </x:c>
      <x:c r="Q1556" s="4" t="n">
        <x:v>0</x:v>
      </x:c>
      <x:c r="R1556" s="1" t="str">
        <x:v>PASS</x:v>
      </x:c>
      <x:c r="S1556" s="4" t="n">
        <x:v>0</x:v>
      </x:c>
      <x:c r="T1556" s="1" t="str">
        <x:v>NOT_REVEALING</x:v>
      </x:c>
      <x:c r="U1556" s="1" t="str">
        <x:v>Math_17</x:v>
      </x:c>
      <x:c r="V1556" s="6" t="n">
        <x:v>40.49</x:v>
      </x:c>
    </x:row>
    <x:row r="1557" ht="22" customHeight="1">
      <x:c r="A1557" s="1" t="str">
        <x:v>Round2</x:v>
      </x:c>
      <x:c r="B1557" s="1" t="str">
        <x:v>Math</x:v>
      </x:c>
      <x:c r="C1557" s="4" t="n">
        <x:v>18</x:v>
      </x:c>
      <x:c r="D1557" s="4" t="n">
        <x:v>20260928</x:v>
      </x:c>
      <x:c r="E1557" s="4" t="n">
        <x:v>60</x:v>
      </x:c>
      <x:c r="F1557" s="4" t="n">
        <x:v>5018</x:v>
      </x:c>
      <x:c r="G1557" s="5" t="n">
        <x:v>0.044500000000000005</x:v>
      </x:c>
      <x:c r="H1557" s="5" t="n">
        <x:v>0.0647</x:v>
      </x:c>
      <x:c r="I1557" s="5" t="n">
        <x:v>0.0072</x:v>
      </x:c>
      <x:c r="J1557" s="4" t="n">
        <x:v>786</x:v>
      </x:c>
      <x:c r="K1557" s="4" t="n">
        <x:v>35</x:v>
      </x:c>
      <x:c r="L1557" s="4" t="n">
        <x:v>510</x:v>
      </x:c>
      <x:c r="M1557" s="4" t="n">
        <x:v>33</x:v>
      </x:c>
      <x:c r="N1557" s="4" t="n">
        <x:v>276</x:v>
      </x:c>
      <x:c r="O1557" s="4" t="n">
        <x:v>2</x:v>
      </x:c>
      <x:c r="P1557" s="1" t="str">
        <x:v>FAIL</x:v>
      </x:c>
      <x:c r="Q1557" s="4" t="n">
        <x:v>3858</x:v>
      </x:c>
      <x:c r="R1557" s="1" t="str">
        <x:v>FAIL</x:v>
      </x:c>
      <x:c r="S1557" s="4" t="n">
        <x:v>3858</x:v>
      </x:c>
      <x:c r="T1557" s="1" t="str">
        <x:v>INCONCLUSIVE</x:v>
      </x:c>
      <x:c r="U1557" s="1" t="str">
        <x:v>Math_18</x:v>
      </x:c>
      <x:c r="V1557" s="6" t="n">
        <x:v>72.65</x:v>
      </x:c>
    </x:row>
    <x:row r="1558" ht="22" customHeight="1">
      <x:c r="A1558" s="1" t="str">
        <x:v>Round2</x:v>
      </x:c>
      <x:c r="B1558" s="1" t="str">
        <x:v>Math</x:v>
      </x:c>
      <x:c r="C1558" s="4" t="n">
        <x:v>19</x:v>
      </x:c>
      <x:c r="D1558" s="4" t="n">
        <x:v>20260928</x:v>
      </x:c>
      <x:c r="E1558" s="4" t="n">
        <x:v>60</x:v>
      </x:c>
      <x:c r="F1558" s="4" t="n">
        <x:v>5032</x:v>
      </x:c>
      <x:c r="G1558" s="5" t="n">
        <x:v>0.0453</x:v>
      </x:c>
      <x:c r="H1558" s="5" t="n">
        <x:v>0.0659</x:v>
      </x:c>
      <x:c r="I1558" s="5" t="n">
        <x:v>0.0074</x:v>
      </x:c>
      <x:c r="J1558" s="4" t="n">
        <x:v>773</x:v>
      </x:c>
      <x:c r="K1558" s="4" t="n">
        <x:v>35</x:v>
      </x:c>
      <x:c r="L1558" s="4" t="n">
        <x:v>501</x:v>
      </x:c>
      <x:c r="M1558" s="4" t="n">
        <x:v>33</x:v>
      </x:c>
      <x:c r="N1558" s="4" t="n">
        <x:v>272</x:v>
      </x:c>
      <x:c r="O1558" s="4" t="n">
        <x:v>2</x:v>
      </x:c>
      <x:c r="P1558" s="1" t="str">
        <x:v>FAIL</x:v>
      </x:c>
      <x:c r="Q1558" s="4" t="n">
        <x:v>3872</x:v>
      </x:c>
      <x:c r="R1558" s="1" t="str">
        <x:v>FAIL</x:v>
      </x:c>
      <x:c r="S1558" s="4" t="n">
        <x:v>3872</x:v>
      </x:c>
      <x:c r="T1558" s="1" t="str">
        <x:v>INCONCLUSIVE</x:v>
      </x:c>
      <x:c r="U1558" s="1" t="str">
        <x:v>Math_19</x:v>
      </x:c>
      <x:c r="V1558" s="6" t="n">
        <x:v>73.15</x:v>
      </x:c>
    </x:row>
    <x:row r="1559" ht="22" customHeight="1">
      <x:c r="A1559" s="1" t="str">
        <x:v>Round2</x:v>
      </x:c>
      <x:c r="B1559" s="1" t="str">
        <x:v>Math</x:v>
      </x:c>
      <x:c r="C1559" s="4" t="n">
        <x:v>20</x:v>
      </x:c>
      <x:c r="D1559" s="4" t="n">
        <x:v>20260928</x:v>
      </x:c>
      <x:c r="E1559" s="4" t="n">
        <x:v>60</x:v>
      </x:c>
      <x:c r="F1559" s="4" t="n">
        <x:v>5010</x:v>
      </x:c>
      <x:c r="G1559" s="5" t="n">
        <x:v>0.045599999999999995</x:v>
      </x:c>
      <x:c r="H1559" s="5" t="n">
        <x:v>0.066</x:v>
      </x:c>
      <x:c r="I1559" s="5" t="n">
        <x:v>0.0075</x:v>
      </x:c>
      <x:c r="J1559" s="4" t="n">
        <x:v>768</x:v>
      </x:c>
      <x:c r="K1559" s="4" t="n">
        <x:v>35</x:v>
      </x:c>
      <x:c r="L1559" s="4" t="n">
        <x:v>500</x:v>
      </x:c>
      <x:c r="M1559" s="4" t="n">
        <x:v>33</x:v>
      </x:c>
      <x:c r="N1559" s="4" t="n">
        <x:v>268</x:v>
      </x:c>
      <x:c r="O1559" s="4" t="n">
        <x:v>2</x:v>
      </x:c>
      <x:c r="P1559" s="1" t="str">
        <x:v>FAIL</x:v>
      </x:c>
      <x:c r="Q1559" s="4" t="n">
        <x:v>3854</x:v>
      </x:c>
      <x:c r="R1559" s="1" t="str">
        <x:v>FAIL</x:v>
      </x:c>
      <x:c r="S1559" s="4" t="n">
        <x:v>3854</x:v>
      </x:c>
      <x:c r="T1559" s="1" t="str">
        <x:v>INCONCLUSIVE</x:v>
      </x:c>
      <x:c r="U1559" s="1" t="str">
        <x:v>Math_20</x:v>
      </x:c>
      <x:c r="V1559" s="6" t="n">
        <x:v>70.62</x:v>
      </x:c>
    </x:row>
    <x:row r="1560" ht="22" customHeight="1">
      <x:c r="A1560" s="1" t="str">
        <x:v>Round2</x:v>
      </x:c>
      <x:c r="B1560" s="1" t="str">
        <x:v>Math</x:v>
      </x:c>
      <x:c r="C1560" s="4" t="n">
        <x:v>21</x:v>
      </x:c>
      <x:c r="D1560" s="4" t="n">
        <x:v>20260928</x:v>
      </x:c>
      <x:c r="E1560" s="4" t="n">
        <x:v>60</x:v>
      </x:c>
      <x:c r="F1560" s="4" t="n">
        <x:v>35</x:v>
      </x:c>
      <x:c r="G1560" s="5" t="n">
        <x:v>0.025</x:v>
      </x:c>
      <x:c r="H1560" s="5" t="n">
        <x:v>0.0385</x:v>
      </x:c>
      <x:c r="I1560" s="5" t="n">
        <x:v>0</x:v>
      </x:c>
      <x:c r="J1560" s="4" t="n">
        <x:v>80</x:v>
      </x:c>
      <x:c r="K1560" s="4" t="n">
        <x:v>2</x:v>
      </x:c>
      <x:c r="L1560" s="4" t="n">
        <x:v>52</x:v>
      </x:c>
      <x:c r="M1560" s="4" t="n">
        <x:v>2</x:v>
      </x:c>
      <x:c r="N1560" s="4" t="n">
        <x:v>28</x:v>
      </x:c>
      <x:c r="O1560" s="4" t="n">
        <x:v>0</x:v>
      </x:c>
      <x:c r="P1560" s="1" t="str">
        <x:v>PASS</x:v>
      </x:c>
      <x:c r="Q1560" s="4" t="n">
        <x:v>0</x:v>
      </x:c>
      <x:c r="R1560" s="1" t="str">
        <x:v>PASS</x:v>
      </x:c>
      <x:c r="S1560" s="4" t="n">
        <x:v>0</x:v>
      </x:c>
      <x:c r="T1560" s="1" t="str">
        <x:v>NOT_REVEALING</x:v>
      </x:c>
      <x:c r="U1560" s="1" t="str">
        <x:v>Math_21</x:v>
      </x:c>
      <x:c r="V1560" s="6" t="n">
        <x:v>39.81</x:v>
      </x:c>
    </x:row>
    <x:row r="1561" ht="22" customHeight="1">
      <x:c r="A1561" s="1" t="str">
        <x:v>Round2</x:v>
      </x:c>
      <x:c r="B1561" s="1" t="str">
        <x:v>Math</x:v>
      </x:c>
      <x:c r="C1561" s="4" t="n">
        <x:v>22</x:v>
      </x:c>
      <x:c r="D1561" s="4" t="n">
        <x:v>20260928</x:v>
      </x:c>
      <x:c r="E1561" s="4" t="n">
        <x:v>60</x:v>
      </x:c>
      <x:c r="F1561" s="4" t="n">
        <x:v>0</x:v>
      </x:c>
      <x:c r="G1561" s="5"/>
      <x:c r="H1561" s="5"/>
      <x:c r="I1561" s="5"/>
      <x:c r="J1561" s="4" t="n">
        <x:v>0</x:v>
      </x:c>
      <x:c r="K1561" s="4" t="n">
        <x:v>0</x:v>
      </x:c>
      <x:c r="L1561" s="4" t="n">
        <x:v>0</x:v>
      </x:c>
      <x:c r="M1561" s="4" t="n">
        <x:v>0</x:v>
      </x:c>
      <x:c r="N1561" s="4" t="n">
        <x:v>0</x:v>
      </x:c>
      <x:c r="O1561" s="4" t="n">
        <x:v>0</x:v>
      </x:c>
      <x:c r="P1561" s="1" t="str">
        <x:v>NOT_RUN</x:v>
      </x:c>
      <x:c r="Q1561" s="4"/>
      <x:c r="R1561" s="1" t="str">
        <x:v>NOT_RUN</x:v>
      </x:c>
      <x:c r="S1561" s="4"/>
      <x:c r="T1561" s="1" t="str">
        <x:v>FAIL</x:v>
      </x:c>
      <x:c r="U1561" s="1" t="str">
        <x:v>Math_22</x:v>
      </x:c>
      <x:c r="V1561" s="6"/>
    </x:row>
    <x:row r="1562" ht="22" customHeight="1">
      <x:c r="A1562" s="1" t="str">
        <x:v>Round2</x:v>
      </x:c>
      <x:c r="B1562" s="1" t="str">
        <x:v>Math</x:v>
      </x:c>
      <x:c r="C1562" s="4" t="n">
        <x:v>23</x:v>
      </x:c>
      <x:c r="D1562" s="4" t="n">
        <x:v>20260928</x:v>
      </x:c>
      <x:c r="E1562" s="4" t="n">
        <x:v>60</x:v>
      </x:c>
      <x:c r="F1562" s="4" t="n">
        <x:v>3590</x:v>
      </x:c>
      <x:c r="G1562" s="5" t="n">
        <x:v>0.16920000000000002</x:v>
      </x:c>
      <x:c r="H1562" s="5" t="n">
        <x:v>0.2231</x:v>
      </x:c>
      <x:c r="I1562" s="5" t="n">
        <x:v>0.08109999999999999</x:v>
      </x:c>
      <x:c r="J1562" s="4" t="n">
        <x:v>195</x:v>
      </x:c>
      <x:c r="K1562" s="4" t="n">
        <x:v>33</x:v>
      </x:c>
      <x:c r="L1562" s="4" t="n">
        <x:v>121</x:v>
      </x:c>
      <x:c r="M1562" s="4" t="n">
        <x:v>27</x:v>
      </x:c>
      <x:c r="N1562" s="4" t="n">
        <x:v>74</x:v>
      </x:c>
      <x:c r="O1562" s="4" t="n">
        <x:v>6</x:v>
      </x:c>
      <x:c r="P1562" s="1" t="str">
        <x:v>PASS</x:v>
      </x:c>
      <x:c r="Q1562" s="4" t="n">
        <x:v>0</x:v>
      </x:c>
      <x:c r="R1562" s="1" t="str">
        <x:v>PASS</x:v>
      </x:c>
      <x:c r="S1562" s="4" t="n">
        <x:v>0</x:v>
      </x:c>
      <x:c r="T1562" s="1" t="str">
        <x:v>NOT_REVEALING</x:v>
      </x:c>
      <x:c r="U1562" s="1" t="str">
        <x:v>Math_23</x:v>
      </x:c>
      <x:c r="V1562" s="6" t="n">
        <x:v>53.12</x:v>
      </x:c>
    </x:row>
    <x:row r="1563" ht="22" customHeight="1">
      <x:c r="A1563" s="1" t="str">
        <x:v>Round2</x:v>
      </x:c>
      <x:c r="B1563" s="1" t="str">
        <x:v>Math</x:v>
      </x:c>
      <x:c r="C1563" s="4" t="n">
        <x:v>24</x:v>
      </x:c>
      <x:c r="D1563" s="4" t="n">
        <x:v>20260928</x:v>
      </x:c>
      <x:c r="E1563" s="4" t="n">
        <x:v>60</x:v>
      </x:c>
      <x:c r="F1563" s="4" t="n">
        <x:v>3338</x:v>
      </x:c>
      <x:c r="G1563" s="5" t="n">
        <x:v>0.17010000000000003</x:v>
      </x:c>
      <x:c r="H1563" s="5" t="n">
        <x:v>0.225</x:v>
      </x:c>
      <x:c r="I1563" s="5" t="n">
        <x:v>0.08109999999999999</x:v>
      </x:c>
      <x:c r="J1563" s="4" t="n">
        <x:v>194</x:v>
      </x:c>
      <x:c r="K1563" s="4" t="n">
        <x:v>33</x:v>
      </x:c>
      <x:c r="L1563" s="4" t="n">
        <x:v>120</x:v>
      </x:c>
      <x:c r="M1563" s="4" t="n">
        <x:v>27</x:v>
      </x:c>
      <x:c r="N1563" s="4" t="n">
        <x:v>74</x:v>
      </x:c>
      <x:c r="O1563" s="4" t="n">
        <x:v>6</x:v>
      </x:c>
      <x:c r="P1563" s="1" t="str">
        <x:v>PASS</x:v>
      </x:c>
      <x:c r="Q1563" s="4" t="n">
        <x:v>0</x:v>
      </x:c>
      <x:c r="R1563" s="1" t="str">
        <x:v>PASS</x:v>
      </x:c>
      <x:c r="S1563" s="4" t="n">
        <x:v>0</x:v>
      </x:c>
      <x:c r="T1563" s="1" t="str">
        <x:v>NOT_REVEALING</x:v>
      </x:c>
      <x:c r="U1563" s="1" t="str">
        <x:v>Math_24</x:v>
      </x:c>
      <x:c r="V1563" s="6" t="n">
        <x:v>52.33</x:v>
      </x:c>
    </x:row>
    <x:row r="1564" ht="22" customHeight="1">
      <x:c r="A1564" s="1" t="str">
        <x:v>Round2</x:v>
      </x:c>
      <x:c r="B1564" s="1" t="str">
        <x:v>Math</x:v>
      </x:c>
      <x:c r="C1564" s="4" t="n">
        <x:v>25</x:v>
      </x:c>
      <x:c r="D1564" s="4" t="n">
        <x:v>20260928</x:v>
      </x:c>
      <x:c r="E1564" s="4" t="n">
        <x:v>60</x:v>
      </x:c>
      <x:c r="F1564" s="4" t="n">
        <x:v>2255</x:v>
      </x:c>
      <x:c r="G1564" s="5" t="n">
        <x:v>0.9672</x:v>
      </x:c>
      <x:c r="H1564" s="5" t="n">
        <x:v>0.9894</x:v>
      </x:c>
      <x:c r="I1564" s="5" t="n">
        <x:v>0.8929</x:v>
      </x:c>
      <x:c r="J1564" s="4" t="n">
        <x:v>122</x:v>
      </x:c>
      <x:c r="K1564" s="4" t="n">
        <x:v>118</x:v>
      </x:c>
      <x:c r="L1564" s="4" t="n">
        <x:v>94</x:v>
      </x:c>
      <x:c r="M1564" s="4" t="n">
        <x:v>93</x:v>
      </x:c>
      <x:c r="N1564" s="4" t="n">
        <x:v>28</x:v>
      </x:c>
      <x:c r="O1564" s="4" t="n">
        <x:v>25</x:v>
      </x:c>
      <x:c r="P1564" s="1" t="str">
        <x:v>PASS</x:v>
      </x:c>
      <x:c r="Q1564" s="4" t="n">
        <x:v>0</x:v>
      </x:c>
      <x:c r="R1564" s="1" t="str">
        <x:v>PASS</x:v>
      </x:c>
      <x:c r="S1564" s="4" t="n">
        <x:v>0</x:v>
      </x:c>
      <x:c r="T1564" s="1" t="str">
        <x:v>NOT_REVEALING</x:v>
      </x:c>
      <x:c r="U1564" s="1" t="str">
        <x:v>Math_25</x:v>
      </x:c>
      <x:c r="V1564" s="6" t="n">
        <x:v>52.4</x:v>
      </x:c>
    </x:row>
    <x:row r="1565" ht="22" customHeight="1">
      <x:c r="A1565" s="1" t="str">
        <x:v>Round2</x:v>
      </x:c>
      <x:c r="B1565" s="1" t="str">
        <x:v>Math</x:v>
      </x:c>
      <x:c r="C1565" s="4" t="n">
        <x:v>26</x:v>
      </x:c>
      <x:c r="D1565" s="4" t="n">
        <x:v>20260928</x:v>
      </x:c>
      <x:c r="E1565" s="4" t="n">
        <x:v>60</x:v>
      </x:c>
      <x:c r="F1565" s="4" t="n">
        <x:v>3685</x:v>
      </x:c>
      <x:c r="G1565" s="5" t="n">
        <x:v>0.9097</x:v>
      </x:c>
      <x:c r="H1565" s="5" t="n">
        <x:v>0.929</x:v>
      </x:c>
      <x:c r="I1565" s="5" t="n">
        <x:v>0.8723000000000001</x:v>
      </x:c>
      <x:c r="J1565" s="4" t="n">
        <x:v>277</x:v>
      </x:c>
      <x:c r="K1565" s="4" t="n">
        <x:v>252</x:v>
      </x:c>
      <x:c r="L1565" s="4" t="n">
        <x:v>183</x:v>
      </x:c>
      <x:c r="M1565" s="4" t="n">
        <x:v>170</x:v>
      </x:c>
      <x:c r="N1565" s="4" t="n">
        <x:v>94</x:v>
      </x:c>
      <x:c r="O1565" s="4" t="n">
        <x:v>82</x:v>
      </x:c>
      <x:c r="P1565" s="1" t="str">
        <x:v>PASS</x:v>
      </x:c>
      <x:c r="Q1565" s="4" t="n">
        <x:v>0</x:v>
      </x:c>
      <x:c r="R1565" s="1" t="str">
        <x:v>PASS</x:v>
      </x:c>
      <x:c r="S1565" s="4" t="n">
        <x:v>0</x:v>
      </x:c>
      <x:c r="T1565" s="1" t="str">
        <x:v>NOT_REVEALING</x:v>
      </x:c>
      <x:c r="U1565" s="1" t="str">
        <x:v>Math_26</x:v>
      </x:c>
      <x:c r="V1565" s="6" t="n">
        <x:v>60.61</x:v>
      </x:c>
    </x:row>
    <x:row r="1566" ht="22" customHeight="1">
      <x:c r="A1566" s="1" t="str">
        <x:v>Round2</x:v>
      </x:c>
      <x:c r="B1566" s="1" t="str">
        <x:v>Math</x:v>
      </x:c>
      <x:c r="C1566" s="4" t="n">
        <x:v>27</x:v>
      </x:c>
      <x:c r="D1566" s="4" t="n">
        <x:v>20260928</x:v>
      </x:c>
      <x:c r="E1566" s="4" t="n">
        <x:v>60</x:v>
      </x:c>
      <x:c r="F1566" s="4" t="n">
        <x:v>3673</x:v>
      </x:c>
      <x:c r="G1566" s="5" t="n">
        <x:v>0.9025</x:v>
      </x:c>
      <x:c r="H1566" s="5" t="n">
        <x:v>0.9235</x:v>
      </x:c>
      <x:c r="I1566" s="5" t="n">
        <x:v>0.8617</x:v>
      </x:c>
      <x:c r="J1566" s="4" t="n">
        <x:v>277</x:v>
      </x:c>
      <x:c r="K1566" s="4" t="n">
        <x:v>250</x:v>
      </x:c>
      <x:c r="L1566" s="4" t="n">
        <x:v>183</x:v>
      </x:c>
      <x:c r="M1566" s="4" t="n">
        <x:v>169</x:v>
      </x:c>
      <x:c r="N1566" s="4" t="n">
        <x:v>94</x:v>
      </x:c>
      <x:c r="O1566" s="4" t="n">
        <x:v>81</x:v>
      </x:c>
      <x:c r="P1566" s="1" t="str">
        <x:v>PASS</x:v>
      </x:c>
      <x:c r="Q1566" s="4" t="n">
        <x:v>0</x:v>
      </x:c>
      <x:c r="R1566" s="1" t="str">
        <x:v>FAIL</x:v>
      </x:c>
      <x:c r="S1566" s="4" t="n">
        <x:v>100</x:v>
      </x:c>
      <x:c r="T1566" s="1" t="str">
        <x:v>INCONCLUSIVE</x:v>
      </x:c>
      <x:c r="U1566" s="1" t="str">
        <x:v>Math_27</x:v>
      </x:c>
      <x:c r="V1566" s="6" t="n">
        <x:v>59.42</x:v>
      </x:c>
    </x:row>
    <x:row r="1567" ht="22" customHeight="1">
      <x:c r="A1567" s="1" t="str">
        <x:v>Round2</x:v>
      </x:c>
      <x:c r="B1567" s="1" t="str">
        <x:v>Math</x:v>
      </x:c>
      <x:c r="C1567" s="4" t="n">
        <x:v>28</x:v>
      </x:c>
      <x:c r="D1567" s="4" t="n">
        <x:v>20260928</x:v>
      </x:c>
      <x:c r="E1567" s="4" t="n">
        <x:v>60</x:v>
      </x:c>
      <x:c r="F1567" s="4" t="n">
        <x:v>2688</x:v>
      </x:c>
      <x:c r="G1567" s="5" t="n">
        <x:v>0.13390000000000002</x:v>
      </x:c>
      <x:c r="H1567" s="5" t="n">
        <x:v>0.2152</x:v>
      </x:c>
      <x:c r="I1567" s="5" t="n">
        <x:v>0</x:v>
      </x:c>
      <x:c r="J1567" s="4" t="n">
        <x:v>127</x:v>
      </x:c>
      <x:c r="K1567" s="4" t="n">
        <x:v>17</x:v>
      </x:c>
      <x:c r="L1567" s="4" t="n">
        <x:v>79</x:v>
      </x:c>
      <x:c r="M1567" s="4" t="n">
        <x:v>17</x:v>
      </x:c>
      <x:c r="N1567" s="4" t="n">
        <x:v>48</x:v>
      </x:c>
      <x:c r="O1567" s="4" t="n">
        <x:v>0</x:v>
      </x:c>
      <x:c r="P1567" s="1" t="str">
        <x:v>FAIL</x:v>
      </x:c>
      <x:c r="Q1567" s="4" t="n">
        <x:v>840</x:v>
      </x:c>
      <x:c r="R1567" s="1" t="str">
        <x:v>FAIL</x:v>
      </x:c>
      <x:c r="S1567" s="4" t="n">
        <x:v>840</x:v>
      </x:c>
      <x:c r="T1567" s="1" t="str">
        <x:v>INCONCLUSIVE</x:v>
      </x:c>
      <x:c r="U1567" s="1" t="str">
        <x:v>Math_28</x:v>
      </x:c>
      <x:c r="V1567" s="6" t="n">
        <x:v>47.57</x:v>
      </x:c>
    </x:row>
    <x:row r="1568" ht="22" customHeight="1">
      <x:c r="A1568" s="1" t="str">
        <x:v>Round2</x:v>
      </x:c>
      <x:c r="B1568" s="1" t="str">
        <x:v>Math</x:v>
      </x:c>
      <x:c r="C1568" s="4" t="n">
        <x:v>29</x:v>
      </x:c>
      <x:c r="D1568" s="4" t="n">
        <x:v>20260928</x:v>
      </x:c>
      <x:c r="E1568" s="4" t="n">
        <x:v>60</x:v>
      </x:c>
      <x:c r="F1568" s="4" t="n">
        <x:v>3779</x:v>
      </x:c>
      <x:c r="G1568" s="5" t="n">
        <x:v>0.9692000000000001</x:v>
      </x:c>
      <x:c r="H1568" s="5" t="n">
        <x:v>0.9782</x:v>
      </x:c>
      <x:c r="I1568" s="5" t="n">
        <x:v>0.9478</x:v>
      </x:c>
      <x:c r="J1568" s="4" t="n">
        <x:v>455</x:v>
      </x:c>
      <x:c r="K1568" s="4" t="n">
        <x:v>441</x:v>
      </x:c>
      <x:c r="L1568" s="4" t="n">
        <x:v>321</x:v>
      </x:c>
      <x:c r="M1568" s="4" t="n">
        <x:v>314</x:v>
      </x:c>
      <x:c r="N1568" s="4" t="n">
        <x:v>134</x:v>
      </x:c>
      <x:c r="O1568" s="4" t="n">
        <x:v>127</x:v>
      </x:c>
      <x:c r="P1568" s="1" t="str">
        <x:v>FAIL</x:v>
      </x:c>
      <x:c r="Q1568" s="4" t="n">
        <x:v>116</x:v>
      </x:c>
      <x:c r="R1568" s="1" t="str">
        <x:v>FAIL</x:v>
      </x:c>
      <x:c r="S1568" s="4" t="n">
        <x:v>204</x:v>
      </x:c>
      <x:c r="T1568" s="1" t="str">
        <x:v>INCONCLUSIVE</x:v>
      </x:c>
      <x:c r="U1568" s="1" t="str">
        <x:v>Math_29</x:v>
      </x:c>
      <x:c r="V1568" s="6" t="n">
        <x:v>72.77</x:v>
      </x:c>
    </x:row>
    <x:row r="1569" ht="22" customHeight="1">
      <x:c r="A1569" s="1" t="str">
        <x:v>Round2</x:v>
      </x:c>
      <x:c r="B1569" s="1" t="str">
        <x:v>Math</x:v>
      </x:c>
      <x:c r="C1569" s="4" t="n">
        <x:v>30</x:v>
      </x:c>
      <x:c r="D1569" s="4" t="n">
        <x:v>20260928</x:v>
      </x:c>
      <x:c r="E1569" s="4" t="n">
        <x:v>60</x:v>
      </x:c>
      <x:c r="F1569" s="4" t="n">
        <x:v>2061</x:v>
      </x:c>
      <x:c r="G1569" s="5" t="n">
        <x:v>1</x:v>
      </x:c>
      <x:c r="H1569" s="5" t="n">
        <x:v>1</x:v>
      </x:c>
      <x:c r="I1569" s="5" t="n">
        <x:v>1</x:v>
      </x:c>
      <x:c r="J1569" s="4" t="n">
        <x:v>44</x:v>
      </x:c>
      <x:c r="K1569" s="4" t="n">
        <x:v>44</x:v>
      </x:c>
      <x:c r="L1569" s="4" t="n">
        <x:v>34</x:v>
      </x:c>
      <x:c r="M1569" s="4" t="n">
        <x:v>34</x:v>
      </x:c>
      <x:c r="N1569" s="4" t="n">
        <x:v>10</x:v>
      </x:c>
      <x:c r="O1569" s="4" t="n">
        <x:v>10</x:v>
      </x:c>
      <x:c r="P1569" s="1" t="str">
        <x:v>PASS</x:v>
      </x:c>
      <x:c r="Q1569" s="4" t="n">
        <x:v>0</x:v>
      </x:c>
      <x:c r="R1569" s="1" t="str">
        <x:v>PASS</x:v>
      </x:c>
      <x:c r="S1569" s="4" t="n">
        <x:v>0</x:v>
      </x:c>
      <x:c r="T1569" s="1" t="str">
        <x:v>NOT_REVEALING</x:v>
      </x:c>
      <x:c r="U1569" s="1" t="str">
        <x:v>Math_30</x:v>
      </x:c>
      <x:c r="V1569" s="6" t="n">
        <x:v>64.36</x:v>
      </x:c>
    </x:row>
    <x:row r="1570" ht="22" customHeight="1">
      <x:c r="A1570" s="1" t="str">
        <x:v>Round2</x:v>
      </x:c>
      <x:c r="B1570" s="1" t="str">
        <x:v>Math</x:v>
      </x:c>
      <x:c r="C1570" s="4" t="n">
        <x:v>31</x:v>
      </x:c>
      <x:c r="D1570" s="4" t="n">
        <x:v>20260928</x:v>
      </x:c>
      <x:c r="E1570" s="4" t="n">
        <x:v>60</x:v>
      </x:c>
      <x:c r="F1570" s="4" t="n">
        <x:v>1</x:v>
      </x:c>
      <x:c r="G1570" s="5" t="n">
        <x:v>0</x:v>
      </x:c>
      <x:c r="H1570" s="5" t="n">
        <x:v>0</x:v>
      </x:c>
      <x:c r="I1570" s="5" t="n">
        <x:v>0</x:v>
      </x:c>
      <x:c r="J1570" s="4" t="n">
        <x:v>89</x:v>
      </x:c>
      <x:c r="K1570" s="4" t="n">
        <x:v>0</x:v>
      </x:c>
      <x:c r="L1570" s="4" t="n">
        <x:v>59</x:v>
      </x:c>
      <x:c r="M1570" s="4" t="n">
        <x:v>0</x:v>
      </x:c>
      <x:c r="N1570" s="4" t="n">
        <x:v>30</x:v>
      </x:c>
      <x:c r="O1570" s="4" t="n">
        <x:v>0</x:v>
      </x:c>
      <x:c r="P1570" s="1" t="str">
        <x:v>PASS</x:v>
      </x:c>
      <x:c r="Q1570" s="4" t="n">
        <x:v>0</x:v>
      </x:c>
      <x:c r="R1570" s="1" t="str">
        <x:v>PASS</x:v>
      </x:c>
      <x:c r="S1570" s="4" t="n">
        <x:v>0</x:v>
      </x:c>
      <x:c r="T1570" s="1" t="str">
        <x:v>NOT_REVEALING</x:v>
      </x:c>
      <x:c r="U1570" s="1" t="str">
        <x:v>Math_31</x:v>
      </x:c>
      <x:c r="V1570" s="6" t="n">
        <x:v>36.64</x:v>
      </x:c>
    </x:row>
    <x:row r="1571" ht="22" customHeight="1">
      <x:c r="A1571" s="1" t="str">
        <x:v>Round2</x:v>
      </x:c>
      <x:c r="B1571" s="1" t="str">
        <x:v>Math</x:v>
      </x:c>
      <x:c r="C1571" s="4" t="n">
        <x:v>32</x:v>
      </x:c>
      <x:c r="D1571" s="4" t="n">
        <x:v>20260928</x:v>
      </x:c>
      <x:c r="E1571" s="4" t="n">
        <x:v>60</x:v>
      </x:c>
      <x:c r="F1571" s="4" t="n">
        <x:v>2215</x:v>
      </x:c>
      <x:c r="G1571" s="5" t="n">
        <x:v>0.6827</x:v>
      </x:c>
      <x:c r="H1571" s="5" t="n">
        <x:v>0.7456</x:v>
      </x:c>
      <x:c r="I1571" s="5" t="n">
        <x:v>0.55</x:v>
      </x:c>
      <x:c r="J1571" s="4" t="n">
        <x:v>249</x:v>
      </x:c>
      <x:c r="K1571" s="4" t="n">
        <x:v>170</x:v>
      </x:c>
      <x:c r="L1571" s="4" t="n">
        <x:v>169</x:v>
      </x:c>
      <x:c r="M1571" s="4" t="n">
        <x:v>126</x:v>
      </x:c>
      <x:c r="N1571" s="4" t="n">
        <x:v>80</x:v>
      </x:c>
      <x:c r="O1571" s="4" t="n">
        <x:v>44</x:v>
      </x:c>
      <x:c r="P1571" s="1" t="str">
        <x:v>FAIL</x:v>
      </x:c>
      <x:c r="Q1571" s="4" t="n">
        <x:v>272</x:v>
      </x:c>
      <x:c r="R1571" s="1" t="str">
        <x:v>FAIL</x:v>
      </x:c>
      <x:c r="S1571" s="4" t="n">
        <x:v>272</x:v>
      </x:c>
      <x:c r="T1571" s="1" t="str">
        <x:v>INCONCLUSIVE</x:v>
      </x:c>
      <x:c r="U1571" s="1" t="str">
        <x:v>Math_32</x:v>
      </x:c>
      <x:c r="V1571" s="6" t="n">
        <x:v>74.34</x:v>
      </x:c>
    </x:row>
    <x:row r="1572" ht="22" customHeight="1">
      <x:c r="A1572" s="1" t="str">
        <x:v>Round2</x:v>
      </x:c>
      <x:c r="B1572" s="1" t="str">
        <x:v>Math</x:v>
      </x:c>
      <x:c r="C1572" s="4" t="n">
        <x:v>33</x:v>
      </x:c>
      <x:c r="D1572" s="4" t="n">
        <x:v>20260928</x:v>
      </x:c>
      <x:c r="E1572" s="4" t="n">
        <x:v>60</x:v>
      </x:c>
      <x:c r="F1572" s="4" t="n">
        <x:v>2722</x:v>
      </x:c>
      <x:c r="G1572" s="5" t="n">
        <x:v>0.048499999999999995</x:v>
      </x:c>
      <x:c r="H1572" s="5" t="n">
        <x:v>0.0757</x:v>
      </x:c>
      <x:c r="I1572" s="5" t="n">
        <x:v>0.008100000000000001</x:v>
      </x:c>
      <x:c r="J1572" s="4" t="n">
        <x:v>309</x:v>
      </x:c>
      <x:c r="K1572" s="4" t="n">
        <x:v>15</x:v>
      </x:c>
      <x:c r="L1572" s="4" t="n">
        <x:v>185</x:v>
      </x:c>
      <x:c r="M1572" s="4" t="n">
        <x:v>14</x:v>
      </x:c>
      <x:c r="N1572" s="4" t="n">
        <x:v>124</x:v>
      </x:c>
      <x:c r="O1572" s="4" t="n">
        <x:v>1</x:v>
      </x:c>
      <x:c r="P1572" s="1" t="str">
        <x:v>PASS</x:v>
      </x:c>
      <x:c r="Q1572" s="4" t="n">
        <x:v>0</x:v>
      </x:c>
      <x:c r="R1572" s="1" t="str">
        <x:v>PASS</x:v>
      </x:c>
      <x:c r="S1572" s="4" t="n">
        <x:v>0</x:v>
      </x:c>
      <x:c r="T1572" s="1" t="str">
        <x:v>NOT_REVEALING</x:v>
      </x:c>
      <x:c r="U1572" s="1" t="str">
        <x:v>Math_33</x:v>
      </x:c>
      <x:c r="V1572" s="6" t="n">
        <x:v>49.84</x:v>
      </x:c>
    </x:row>
    <x:row r="1573" ht="22" customHeight="1">
      <x:c r="A1573" s="1" t="str">
        <x:v>Round2</x:v>
      </x:c>
      <x:c r="B1573" s="1" t="str">
        <x:v>Math</x:v>
      </x:c>
      <x:c r="C1573" s="4" t="n">
        <x:v>34</x:v>
      </x:c>
      <x:c r="D1573" s="4" t="n">
        <x:v>20260928</x:v>
      </x:c>
      <x:c r="E1573" s="4" t="n">
        <x:v>60</x:v>
      </x:c>
      <x:c r="F1573" s="4" t="n">
        <x:v>1</x:v>
      </x:c>
      <x:c r="G1573" s="5" t="n">
        <x:v>0</x:v>
      </x:c>
      <x:c r="H1573" s="5" t="n">
        <x:v>0</x:v>
      </x:c>
      <x:c r="I1573" s="5" t="n">
        <x:v>0</x:v>
      </x:c>
      <x:c r="J1573" s="4" t="n">
        <x:v>72</x:v>
      </x:c>
      <x:c r="K1573" s="4" t="n">
        <x:v>0</x:v>
      </x:c>
      <x:c r="L1573" s="4" t="n">
        <x:v>50</x:v>
      </x:c>
      <x:c r="M1573" s="4" t="n">
        <x:v>0</x:v>
      </x:c>
      <x:c r="N1573" s="4" t="n">
        <x:v>22</x:v>
      </x:c>
      <x:c r="O1573" s="4" t="n">
        <x:v>0</x:v>
      </x:c>
      <x:c r="P1573" s="1" t="str">
        <x:v>PASS</x:v>
      </x:c>
      <x:c r="Q1573" s="4" t="n">
        <x:v>0</x:v>
      </x:c>
      <x:c r="R1573" s="1" t="str">
        <x:v>PASS</x:v>
      </x:c>
      <x:c r="S1573" s="4" t="n">
        <x:v>0</x:v>
      </x:c>
      <x:c r="T1573" s="1" t="str">
        <x:v>NOT_REVEALING</x:v>
      </x:c>
      <x:c r="U1573" s="1" t="str">
        <x:v>Math_34</x:v>
      </x:c>
      <x:c r="V1573" s="6" t="n">
        <x:v>35.99</x:v>
      </x:c>
    </x:row>
    <x:row r="1574" ht="22" customHeight="1">
      <x:c r="A1574" s="1" t="str">
        <x:v>Round2</x:v>
      </x:c>
      <x:c r="B1574" s="1" t="str">
        <x:v>Math</x:v>
      </x:c>
      <x:c r="C1574" s="4" t="n">
        <x:v>35</x:v>
      </x:c>
      <x:c r="D1574" s="4" t="n">
        <x:v>20260928</x:v>
      </x:c>
      <x:c r="E1574" s="4" t="n">
        <x:v>60</x:v>
      </x:c>
      <x:c r="F1574" s="4" t="n">
        <x:v>4297</x:v>
      </x:c>
      <x:c r="G1574" s="5" t="n">
        <x:v>1</x:v>
      </x:c>
      <x:c r="H1574" s="5" t="n">
        <x:v>1</x:v>
      </x:c>
      <x:c r="I1574" s="5" t="n">
        <x:v>1</x:v>
      </x:c>
      <x:c r="J1574" s="4" t="n">
        <x:v>25</x:v>
      </x:c>
      <x:c r="K1574" s="4" t="n">
        <x:v>25</x:v>
      </x:c>
      <x:c r="L1574" s="4" t="n">
        <x:v>19</x:v>
      </x:c>
      <x:c r="M1574" s="4" t="n">
        <x:v>19</x:v>
      </x:c>
      <x:c r="N1574" s="4" t="n">
        <x:v>6</x:v>
      </x:c>
      <x:c r="O1574" s="4" t="n">
        <x:v>6</x:v>
      </x:c>
      <x:c r="P1574" s="1" t="str">
        <x:v>PASS</x:v>
      </x:c>
      <x:c r="Q1574" s="4" t="n">
        <x:v>0</x:v>
      </x:c>
      <x:c r="R1574" s="1" t="str">
        <x:v>FAIL</x:v>
      </x:c>
      <x:c r="S1574" s="4" t="n">
        <x:v>7622</x:v>
      </x:c>
      <x:c r="T1574" s="1" t="str">
        <x:v>INCONCLUSIVE</x:v>
      </x:c>
      <x:c r="U1574" s="1" t="str">
        <x:v>Math_35</x:v>
      </x:c>
      <x:c r="V1574" s="6" t="n">
        <x:v>62.73</x:v>
      </x:c>
    </x:row>
    <x:row r="1575" ht="22" customHeight="1">
      <x:c r="A1575" s="1" t="str">
        <x:v>Round2</x:v>
      </x:c>
      <x:c r="B1575" s="1" t="str">
        <x:v>Math</x:v>
      </x:c>
      <x:c r="C1575" s="4" t="n">
        <x:v>36</x:v>
      </x:c>
      <x:c r="D1575" s="4" t="n">
        <x:v>20260928</x:v>
      </x:c>
      <x:c r="E1575" s="4" t="n">
        <x:v>60</x:v>
      </x:c>
      <x:c r="F1575" s="4" t="n">
        <x:v>184</x:v>
      </x:c>
      <x:c r="G1575" s="5" t="n">
        <x:v>0.7888</x:v>
      </x:c>
      <x:c r="H1575" s="5" t="n">
        <x:v>0.8304</x:v>
      </x:c>
      <x:c r="I1575" s="5" t="n">
        <x:v>0.6848000000000001</x:v>
      </x:c>
      <x:c r="J1575" s="4" t="n">
        <x:v>322</x:v>
      </x:c>
      <x:c r="K1575" s="4" t="n">
        <x:v>254</x:v>
      </x:c>
      <x:c r="L1575" s="4" t="n">
        <x:v>230</x:v>
      </x:c>
      <x:c r="M1575" s="4" t="n">
        <x:v>191</x:v>
      </x:c>
      <x:c r="N1575" s="4" t="n">
        <x:v>92</x:v>
      </x:c>
      <x:c r="O1575" s="4" t="n">
        <x:v>63</x:v>
      </x:c>
      <x:c r="P1575" s="1" t="str">
        <x:v>FAIL</x:v>
      </x:c>
      <x:c r="Q1575" s="4" t="n">
        <x:v>12</x:v>
      </x:c>
      <x:c r="R1575" s="1" t="str">
        <x:v>FAIL</x:v>
      </x:c>
      <x:c r="S1575" s="4" t="n">
        <x:v>12</x:v>
      </x:c>
      <x:c r="T1575" s="1" t="str">
        <x:v>INCONCLUSIVE</x:v>
      </x:c>
      <x:c r="U1575" s="1" t="str">
        <x:v>Math_36</x:v>
      </x:c>
      <x:c r="V1575" s="6" t="n">
        <x:v>584.05</x:v>
      </x:c>
    </x:row>
    <x:row r="1576" ht="22" customHeight="1">
      <x:c r="A1576" s="1" t="str">
        <x:v>Round2</x:v>
      </x:c>
      <x:c r="B1576" s="1" t="str">
        <x:v>Math</x:v>
      </x:c>
      <x:c r="C1576" s="4" t="n">
        <x:v>37</x:v>
      </x:c>
      <x:c r="D1576" s="4" t="n">
        <x:v>20260928</x:v>
      </x:c>
      <x:c r="E1576" s="4" t="n">
        <x:v>60</x:v>
      </x:c>
      <x:c r="F1576" s="4" t="n">
        <x:v>3688</x:v>
      </x:c>
      <x:c r="G1576" s="5" t="n">
        <x:v>0.9682999999999999</x:v>
      </x:c>
      <x:c r="H1576" s="5" t="n">
        <x:v>0.9818000000000001</x:v>
      </x:c>
      <x:c r="I1576" s="5" t="n">
        <x:v>0.9494</x:v>
      </x:c>
      <x:c r="J1576" s="4" t="n">
        <x:v>378</x:v>
      </x:c>
      <x:c r="K1576" s="4" t="n">
        <x:v>366</x:v>
      </x:c>
      <x:c r="L1576" s="4" t="n">
        <x:v>220</x:v>
      </x:c>
      <x:c r="M1576" s="4" t="n">
        <x:v>216</x:v>
      </x:c>
      <x:c r="N1576" s="4" t="n">
        <x:v>158</x:v>
      </x:c>
      <x:c r="O1576" s="4" t="n">
        <x:v>150</x:v>
      </x:c>
      <x:c r="P1576" s="1" t="str">
        <x:v>FAIL</x:v>
      </x:c>
      <x:c r="Q1576" s="4" t="n">
        <x:v>276</x:v>
      </x:c>
      <x:c r="R1576" s="1" t="str">
        <x:v>FAIL</x:v>
      </x:c>
      <x:c r="S1576" s="4" t="n">
        <x:v>404</x:v>
      </x:c>
      <x:c r="T1576" s="1" t="str">
        <x:v>INCONCLUSIVE</x:v>
      </x:c>
      <x:c r="U1576" s="1" t="str">
        <x:v>Math_37</x:v>
      </x:c>
      <x:c r="V1576" s="6" t="n">
        <x:v>56.23</x:v>
      </x:c>
    </x:row>
    <x:row r="1577" ht="22" customHeight="1">
      <x:c r="A1577" s="1" t="str">
        <x:v>Round2</x:v>
      </x:c>
      <x:c r="B1577" s="1" t="str">
        <x:v>Math</x:v>
      </x:c>
      <x:c r="C1577" s="4" t="n">
        <x:v>38</x:v>
      </x:c>
      <x:c r="D1577" s="4" t="n">
        <x:v>20260928</x:v>
      </x:c>
      <x:c r="E1577" s="4" t="n">
        <x:v>60</x:v>
      </x:c>
      <x:c r="F1577" s="4" t="n">
        <x:v>6994</x:v>
      </x:c>
      <x:c r="G1577" s="5" t="n">
        <x:v>0.0044</x:v>
      </x:c>
      <x:c r="H1577" s="5" t="n">
        <x:v>0.0067</x:v>
      </x:c>
      <x:c r="I1577" s="5" t="n">
        <x:v>0</x:v>
      </x:c>
      <x:c r="J1577" s="4" t="n">
        <x:v>1824</x:v>
      </x:c>
      <x:c r="K1577" s="4" t="n">
        <x:v>8</x:v>
      </x:c>
      <x:c r="L1577" s="4" t="n">
        <x:v>1200</x:v>
      </x:c>
      <x:c r="M1577" s="4" t="n">
        <x:v>8</x:v>
      </x:c>
      <x:c r="N1577" s="4" t="n">
        <x:v>624</x:v>
      </x:c>
      <x:c r="O1577" s="4" t="n">
        <x:v>0</x:v>
      </x:c>
      <x:c r="P1577" s="1" t="str">
        <x:v>FAIL</x:v>
      </x:c>
      <x:c r="Q1577" s="4" t="n">
        <x:v>5998</x:v>
      </x:c>
      <x:c r="R1577" s="1" t="str">
        <x:v>FAIL</x:v>
      </x:c>
      <x:c r="S1577" s="4" t="n">
        <x:v>5998</x:v>
      </x:c>
      <x:c r="T1577" s="1" t="str">
        <x:v>INCONCLUSIVE</x:v>
      </x:c>
      <x:c r="U1577" s="1" t="str">
        <x:v>Math_38</x:v>
      </x:c>
      <x:c r="V1577" s="6" t="n">
        <x:v>53.28</x:v>
      </x:c>
    </x:row>
    <x:row r="1578" ht="22" customHeight="1">
      <x:c r="A1578" s="1" t="str">
        <x:v>Round2</x:v>
      </x:c>
      <x:c r="B1578" s="1" t="str">
        <x:v>Math</x:v>
      </x:c>
      <x:c r="C1578" s="4" t="n">
        <x:v>39</x:v>
      </x:c>
      <x:c r="D1578" s="4" t="n">
        <x:v>20260928</x:v>
      </x:c>
      <x:c r="E1578" s="4" t="n">
        <x:v>60</x:v>
      </x:c>
      <x:c r="F1578" s="4" t="n">
        <x:v>1</x:v>
      </x:c>
      <x:c r="G1578" s="5" t="n">
        <x:v>0</x:v>
      </x:c>
      <x:c r="H1578" s="5" t="n">
        <x:v>0</x:v>
      </x:c>
      <x:c r="I1578" s="5" t="n">
        <x:v>0</x:v>
      </x:c>
      <x:c r="J1578" s="4" t="n">
        <x:v>155</x:v>
      </x:c>
      <x:c r="K1578" s="4" t="n">
        <x:v>0</x:v>
      </x:c>
      <x:c r="L1578" s="4" t="n">
        <x:v>107</x:v>
      </x:c>
      <x:c r="M1578" s="4" t="n">
        <x:v>0</x:v>
      </x:c>
      <x:c r="N1578" s="4" t="n">
        <x:v>48</x:v>
      </x:c>
      <x:c r="O1578" s="4" t="n">
        <x:v>0</x:v>
      </x:c>
      <x:c r="P1578" s="1" t="str">
        <x:v>PASS</x:v>
      </x:c>
      <x:c r="Q1578" s="4" t="n">
        <x:v>0</x:v>
      </x:c>
      <x:c r="R1578" s="1" t="str">
        <x:v>PASS</x:v>
      </x:c>
      <x:c r="S1578" s="4" t="n">
        <x:v>0</x:v>
      </x:c>
      <x:c r="T1578" s="1" t="str">
        <x:v>NOT_REVEALING</x:v>
      </x:c>
      <x:c r="U1578" s="1" t="str">
        <x:v>Math_39</x:v>
      </x:c>
      <x:c r="V1578" s="6" t="n">
        <x:v>30.23</x:v>
      </x:c>
    </x:row>
    <x:row r="1579" ht="22" customHeight="1">
      <x:c r="A1579" s="1" t="str">
        <x:v>Round2</x:v>
      </x:c>
      <x:c r="B1579" s="1" t="str">
        <x:v>Math</x:v>
      </x:c>
      <x:c r="C1579" s="4" t="n">
        <x:v>40</x:v>
      </x:c>
      <x:c r="D1579" s="4" t="n">
        <x:v>20260928</x:v>
      </x:c>
      <x:c r="E1579" s="4" t="n">
        <x:v>60</x:v>
      </x:c>
      <x:c r="F1579" s="4" t="n">
        <x:v>2851</x:v>
      </x:c>
      <x:c r="G1579" s="5" t="n">
        <x:v>0.19269999999999998</x:v>
      </x:c>
      <x:c r="H1579" s="5" t="n">
        <x:v>0.24600000000000002</x:v>
      </x:c>
      <x:c r="I1579" s="5" t="n">
        <x:v>0.0909</x:v>
      </x:c>
      <x:c r="J1579" s="4" t="n">
        <x:v>192</x:v>
      </x:c>
      <x:c r="K1579" s="4" t="n">
        <x:v>37</x:v>
      </x:c>
      <x:c r="L1579" s="4" t="n">
        <x:v>126</x:v>
      </x:c>
      <x:c r="M1579" s="4" t="n">
        <x:v>31</x:v>
      </x:c>
      <x:c r="N1579" s="4" t="n">
        <x:v>66</x:v>
      </x:c>
      <x:c r="O1579" s="4" t="n">
        <x:v>6</x:v>
      </x:c>
      <x:c r="P1579" s="1" t="str">
        <x:v>PASS</x:v>
      </x:c>
      <x:c r="Q1579" s="4" t="n">
        <x:v>0</x:v>
      </x:c>
      <x:c r="R1579" s="1" t="str">
        <x:v>PASS</x:v>
      </x:c>
      <x:c r="S1579" s="4" t="n">
        <x:v>0</x:v>
      </x:c>
      <x:c r="T1579" s="1" t="str">
        <x:v>NOT_REVEALING</x:v>
      </x:c>
      <x:c r="U1579" s="1" t="str">
        <x:v>Math_40</x:v>
      </x:c>
      <x:c r="V1579" s="6" t="n">
        <x:v>43.16</x:v>
      </x:c>
    </x:row>
    <x:row r="1580" ht="22" customHeight="1">
      <x:c r="A1580" s="1" t="str">
        <x:v>Round2</x:v>
      </x:c>
      <x:c r="B1580" s="1" t="str">
        <x:v>Math</x:v>
      </x:c>
      <x:c r="C1580" s="4" t="n">
        <x:v>41</x:v>
      </x:c>
      <x:c r="D1580" s="4" t="n">
        <x:v>20260928</x:v>
      </x:c>
      <x:c r="E1580" s="4" t="n">
        <x:v>60</x:v>
      </x:c>
      <x:c r="F1580" s="4" t="n">
        <x:v>3821</x:v>
      </x:c>
      <x:c r="G1580" s="5" t="n">
        <x:v>0.7468</x:v>
      </x:c>
      <x:c r="H1580" s="5" t="n">
        <x:v>0.8036</x:v>
      </x:c>
      <x:c r="I1580" s="5" t="n">
        <x:v>0.6087</x:v>
      </x:c>
      <x:c r="J1580" s="4" t="n">
        <x:v>158</x:v>
      </x:c>
      <x:c r="K1580" s="4" t="n">
        <x:v>118</x:v>
      </x:c>
      <x:c r="L1580" s="4" t="n">
        <x:v>112</x:v>
      </x:c>
      <x:c r="M1580" s="4" t="n">
        <x:v>90</x:v>
      </x:c>
      <x:c r="N1580" s="4" t="n">
        <x:v>46</x:v>
      </x:c>
      <x:c r="O1580" s="4" t="n">
        <x:v>28</x:v>
      </x:c>
      <x:c r="P1580" s="1" t="str">
        <x:v>PASS</x:v>
      </x:c>
      <x:c r="Q1580" s="4" t="n">
        <x:v>0</x:v>
      </x:c>
      <x:c r="R1580" s="1" t="str">
        <x:v>PASS</x:v>
      </x:c>
      <x:c r="S1580" s="4" t="n">
        <x:v>0</x:v>
      </x:c>
      <x:c r="T1580" s="1" t="str">
        <x:v>NOT_REVEALING</x:v>
      </x:c>
      <x:c r="U1580" s="1" t="str">
        <x:v>Math_41</x:v>
      </x:c>
      <x:c r="V1580" s="6" t="n">
        <x:v>64.85</x:v>
      </x:c>
    </x:row>
    <x:row r="1581" ht="22" customHeight="1">
      <x:c r="A1581" s="1" t="str">
        <x:v>Round2</x:v>
      </x:c>
      <x:c r="B1581" s="1" t="str">
        <x:v>Math</x:v>
      </x:c>
      <x:c r="C1581" s="4" t="n">
        <x:v>42</x:v>
      </x:c>
      <x:c r="D1581" s="4" t="n">
        <x:v>20260928</x:v>
      </x:c>
      <x:c r="E1581" s="4" t="n">
        <x:v>60</x:v>
      </x:c>
      <x:c r="F1581" s="4" t="n">
        <x:v>2722</x:v>
      </x:c>
      <x:c r="G1581" s="5" t="n">
        <x:v>0.0495</x:v>
      </x:c>
      <x:c r="H1581" s="5" t="n">
        <x:v>0.0765</x:v>
      </x:c>
      <x:c r="I1581" s="5" t="n">
        <x:v>0.0083</x:v>
      </x:c>
      <x:c r="J1581" s="4" t="n">
        <x:v>303</x:v>
      </x:c>
      <x:c r="K1581" s="4" t="n">
        <x:v>15</x:v>
      </x:c>
      <x:c r="L1581" s="4" t="n">
        <x:v>183</x:v>
      </x:c>
      <x:c r="M1581" s="4" t="n">
        <x:v>14</x:v>
      </x:c>
      <x:c r="N1581" s="4" t="n">
        <x:v>120</x:v>
      </x:c>
      <x:c r="O1581" s="4" t="n">
        <x:v>1</x:v>
      </x:c>
      <x:c r="P1581" s="1" t="str">
        <x:v>PASS</x:v>
      </x:c>
      <x:c r="Q1581" s="4" t="n">
        <x:v>0</x:v>
      </x:c>
      <x:c r="R1581" s="1" t="str">
        <x:v>PASS</x:v>
      </x:c>
      <x:c r="S1581" s="4" t="n">
        <x:v>0</x:v>
      </x:c>
      <x:c r="T1581" s="1" t="str">
        <x:v>NOT_REVEALING</x:v>
      </x:c>
      <x:c r="U1581" s="1" t="str">
        <x:v>Math_42</x:v>
      </x:c>
      <x:c r="V1581" s="6" t="n">
        <x:v>45.47</x:v>
      </x:c>
    </x:row>
    <x:row r="1582" ht="22" customHeight="1">
      <x:c r="A1582" s="1" t="str">
        <x:v>Round2</x:v>
      </x:c>
      <x:c r="B1582" s="1" t="str">
        <x:v>Math</x:v>
      </x:c>
      <x:c r="C1582" s="4" t="n">
        <x:v>43</x:v>
      </x:c>
      <x:c r="D1582" s="4" t="n">
        <x:v>20260928</x:v>
      </x:c>
      <x:c r="E1582" s="4" t="n">
        <x:v>60</x:v>
      </x:c>
      <x:c r="F1582" s="4" t="n">
        <x:v>2854</x:v>
      </x:c>
      <x:c r="G1582" s="5" t="n">
        <x:v>0.9440000000000001</x:v>
      </x:c>
      <x:c r="H1582" s="5" t="n">
        <x:v>0.9427</x:v>
      </x:c>
      <x:c r="I1582" s="5" t="n">
        <x:v>0.9483</x:v>
      </x:c>
      <x:c r="J1582" s="4" t="n">
        <x:v>250</x:v>
      </x:c>
      <x:c r="K1582" s="4" t="n">
        <x:v>236</x:v>
      </x:c>
      <x:c r="L1582" s="4" t="n">
        <x:v>192</x:v>
      </x:c>
      <x:c r="M1582" s="4" t="n">
        <x:v>181</x:v>
      </x:c>
      <x:c r="N1582" s="4" t="n">
        <x:v>58</x:v>
      </x:c>
      <x:c r="O1582" s="4" t="n">
        <x:v>55</x:v>
      </x:c>
      <x:c r="P1582" s="1" t="str">
        <x:v>FAIL</x:v>
      </x:c>
      <x:c r="Q1582" s="4" t="n">
        <x:v>100</x:v>
      </x:c>
      <x:c r="R1582" s="1" t="str">
        <x:v>FAIL</x:v>
      </x:c>
      <x:c r="S1582" s="4" t="n">
        <x:v>102</x:v>
      </x:c>
      <x:c r="T1582" s="1" t="str">
        <x:v>INCONCLUSIVE</x:v>
      </x:c>
      <x:c r="U1582" s="1" t="str">
        <x:v>Math_43</x:v>
      </x:c>
      <x:c r="V1582" s="6" t="n">
        <x:v>56.31</x:v>
      </x:c>
    </x:row>
    <x:row r="1583" ht="22" customHeight="1">
      <x:c r="A1583" s="1" t="str">
        <x:v>Round2</x:v>
      </x:c>
      <x:c r="B1583" s="1" t="str">
        <x:v>Math</x:v>
      </x:c>
      <x:c r="C1583" s="4" t="n">
        <x:v>44</x:v>
      </x:c>
      <x:c r="D1583" s="4" t="n">
        <x:v>20260928</x:v>
      </x:c>
      <x:c r="E1583" s="4" t="n">
        <x:v>60</x:v>
      </x:c>
      <x:c r="F1583" s="4" t="n">
        <x:v>1</x:v>
      </x:c>
      <x:c r="G1583" s="5" t="n">
        <x:v>0</x:v>
      </x:c>
      <x:c r="H1583" s="5" t="n">
        <x:v>0</x:v>
      </x:c>
      <x:c r="I1583" s="5" t="n">
        <x:v>0</x:v>
      </x:c>
      <x:c r="J1583" s="4" t="n">
        <x:v>159</x:v>
      </x:c>
      <x:c r="K1583" s="4" t="n">
        <x:v>0</x:v>
      </x:c>
      <x:c r="L1583" s="4" t="n">
        <x:v>117</x:v>
      </x:c>
      <x:c r="M1583" s="4" t="n">
        <x:v>0</x:v>
      </x:c>
      <x:c r="N1583" s="4" t="n">
        <x:v>42</x:v>
      </x:c>
      <x:c r="O1583" s="4" t="n">
        <x:v>0</x:v>
      </x:c>
      <x:c r="P1583" s="1" t="str">
        <x:v>PASS</x:v>
      </x:c>
      <x:c r="Q1583" s="4" t="n">
        <x:v>0</x:v>
      </x:c>
      <x:c r="R1583" s="1" t="str">
        <x:v>PASS</x:v>
      </x:c>
      <x:c r="S1583" s="4" t="n">
        <x:v>0</x:v>
      </x:c>
      <x:c r="T1583" s="1" t="str">
        <x:v>NOT_REVEALING</x:v>
      </x:c>
      <x:c r="U1583" s="1" t="str">
        <x:v>Math_44</x:v>
      </x:c>
      <x:c r="V1583" s="6" t="n">
        <x:v>30.48</x:v>
      </x:c>
    </x:row>
    <x:row r="1584" ht="22" customHeight="1">
      <x:c r="A1584" s="1" t="str">
        <x:v>Round2</x:v>
      </x:c>
      <x:c r="B1584" s="1" t="str">
        <x:v>Math</x:v>
      </x:c>
      <x:c r="C1584" s="4" t="n">
        <x:v>45</x:v>
      </x:c>
      <x:c r="D1584" s="4" t="n">
        <x:v>20260928</x:v>
      </x:c>
      <x:c r="E1584" s="4" t="n">
        <x:v>60</x:v>
      </x:c>
      <x:c r="F1584" s="4" t="n">
        <x:v>389</x:v>
      </x:c>
      <x:c r="G1584" s="5" t="n">
        <x:v>0.4706</x:v>
      </x:c>
      <x:c r="H1584" s="5" t="n">
        <x:v>0.5155</x:v>
      </x:c>
      <x:c r="I1584" s="5" t="n">
        <x:v>0.2727</x:v>
      </x:c>
      <x:c r="J1584" s="4" t="n">
        <x:v>119</x:v>
      </x:c>
      <x:c r="K1584" s="4" t="n">
        <x:v>56</x:v>
      </x:c>
      <x:c r="L1584" s="4" t="n">
        <x:v>97</x:v>
      </x:c>
      <x:c r="M1584" s="4" t="n">
        <x:v>50</x:v>
      </x:c>
      <x:c r="N1584" s="4" t="n">
        <x:v>22</x:v>
      </x:c>
      <x:c r="O1584" s="4" t="n">
        <x:v>6</x:v>
      </x:c>
      <x:c r="P1584" s="1" t="str">
        <x:v>PASS</x:v>
      </x:c>
      <x:c r="Q1584" s="4" t="n">
        <x:v>0</x:v>
      </x:c>
      <x:c r="R1584" s="1" t="str">
        <x:v>PASS</x:v>
      </x:c>
      <x:c r="S1584" s="4" t="n">
        <x:v>0</x:v>
      </x:c>
      <x:c r="T1584" s="1" t="str">
        <x:v>NOT_REVEALING</x:v>
      </x:c>
      <x:c r="U1584" s="1" t="str">
        <x:v>Math_45</x:v>
      </x:c>
      <x:c r="V1584" s="6" t="n">
        <x:v>36.87</x:v>
      </x:c>
    </x:row>
    <x:row r="1585" ht="22" customHeight="1">
      <x:c r="A1585" s="1" t="str">
        <x:v>Round2</x:v>
      </x:c>
      <x:c r="B1585" s="1" t="str">
        <x:v>Math</x:v>
      </x:c>
      <x:c r="C1585" s="4" t="n">
        <x:v>46</x:v>
      </x:c>
      <x:c r="D1585" s="4" t="n">
        <x:v>20260928</x:v>
      </x:c>
      <x:c r="E1585" s="4" t="n">
        <x:v>60</x:v>
      </x:c>
      <x:c r="F1585" s="4" t="n">
        <x:v>4415</x:v>
      </x:c>
      <x:c r="G1585" s="5" t="n">
        <x:v>0.9543</x:v>
      </x:c>
      <x:c r="H1585" s="5" t="n">
        <x:v>0.9752</x:v>
      </x:c>
      <x:c r="I1585" s="5" t="n">
        <x:v>0.9257</x:v>
      </x:c>
      <x:c r="J1585" s="4" t="n">
        <x:v>350</x:v>
      </x:c>
      <x:c r="K1585" s="4" t="n">
        <x:v>334</x:v>
      </x:c>
      <x:c r="L1585" s="4" t="n">
        <x:v>202</x:v>
      </x:c>
      <x:c r="M1585" s="4" t="n">
        <x:v>197</x:v>
      </x:c>
      <x:c r="N1585" s="4" t="n">
        <x:v>148</x:v>
      </x:c>
      <x:c r="O1585" s="4" t="n">
        <x:v>137</x:v>
      </x:c>
      <x:c r="P1585" s="1" t="str">
        <x:v>FAIL</x:v>
      </x:c>
      <x:c r="Q1585" s="4" t="n">
        <x:v>344</x:v>
      </x:c>
      <x:c r="R1585" s="1" t="str">
        <x:v>FAIL</x:v>
      </x:c>
      <x:c r="S1585" s="4" t="n">
        <x:v>344</x:v>
      </x:c>
      <x:c r="T1585" s="1" t="str">
        <x:v>INCONCLUSIVE</x:v>
      </x:c>
      <x:c r="U1585" s="1" t="str">
        <x:v>Math_46</x:v>
      </x:c>
      <x:c r="V1585" s="6" t="n">
        <x:v>52.26</x:v>
      </x:c>
    </x:row>
    <x:row r="1586" ht="22" customHeight="1">
      <x:c r="A1586" s="1" t="str">
        <x:v>Round2</x:v>
      </x:c>
      <x:c r="B1586" s="1" t="str">
        <x:v>Math</x:v>
      </x:c>
      <x:c r="C1586" s="4" t="n">
        <x:v>47</x:v>
      </x:c>
      <x:c r="D1586" s="4" t="n">
        <x:v>20260928</x:v>
      </x:c>
      <x:c r="E1586" s="4" t="n">
        <x:v>60</x:v>
      </x:c>
      <x:c r="F1586" s="4" t="n">
        <x:v>4393</x:v>
      </x:c>
      <x:c r="G1586" s="5" t="n">
        <x:v>0.9562999999999999</x:v>
      </x:c>
      <x:c r="H1586" s="5" t="n">
        <x:v>0.9801000000000001</x:v>
      </x:c>
      <x:c r="I1586" s="5" t="n">
        <x:v>0.9225</x:v>
      </x:c>
      <x:c r="J1586" s="4" t="n">
        <x:v>343</x:v>
      </x:c>
      <x:c r="K1586" s="4" t="n">
        <x:v>328</x:v>
      </x:c>
      <x:c r="L1586" s="4" t="n">
        <x:v>201</x:v>
      </x:c>
      <x:c r="M1586" s="4" t="n">
        <x:v>197</x:v>
      </x:c>
      <x:c r="N1586" s="4" t="n">
        <x:v>142</x:v>
      </x:c>
      <x:c r="O1586" s="4" t="n">
        <x:v>131</x:v>
      </x:c>
      <x:c r="P1586" s="1" t="str">
        <x:v>FAIL</x:v>
      </x:c>
      <x:c r="Q1586" s="4" t="n">
        <x:v>342</x:v>
      </x:c>
      <x:c r="R1586" s="1" t="str">
        <x:v>FAIL</x:v>
      </x:c>
      <x:c r="S1586" s="4" t="n">
        <x:v>342</x:v>
      </x:c>
      <x:c r="T1586" s="1" t="str">
        <x:v>INCONCLUSIVE</x:v>
      </x:c>
      <x:c r="U1586" s="1" t="str">
        <x:v>Math_47</x:v>
      </x:c>
      <x:c r="V1586" s="6" t="n">
        <x:v>58.01</x:v>
      </x:c>
    </x:row>
    <x:row r="1587" ht="22" customHeight="1">
      <x:c r="A1587" s="1" t="str">
        <x:v>Round2</x:v>
      </x:c>
      <x:c r="B1587" s="1" t="str">
        <x:v>Math</x:v>
      </x:c>
      <x:c r="C1587" s="4" t="n">
        <x:v>48</x:v>
      </x:c>
      <x:c r="D1587" s="4" t="n">
        <x:v>20260928</x:v>
      </x:c>
      <x:c r="E1587" s="4" t="n">
        <x:v>60</x:v>
      </x:c>
      <x:c r="F1587" s="4" t="n">
        <x:v>5</x:v>
      </x:c>
      <x:c r="G1587" s="5" t="n">
        <x:v>0.0336</x:v>
      </x:c>
      <x:c r="H1587" s="5" t="n">
        <x:v>0.0548</x:v>
      </x:c>
      <x:c r="I1587" s="5" t="n">
        <x:v>0</x:v>
      </x:c>
      <x:c r="J1587" s="4" t="n">
        <x:v>119</x:v>
      </x:c>
      <x:c r="K1587" s="4" t="n">
        <x:v>4</x:v>
      </x:c>
      <x:c r="L1587" s="4" t="n">
        <x:v>73</x:v>
      </x:c>
      <x:c r="M1587" s="4" t="n">
        <x:v>4</x:v>
      </x:c>
      <x:c r="N1587" s="4" t="n">
        <x:v>46</x:v>
      </x:c>
      <x:c r="O1587" s="4" t="n">
        <x:v>0</x:v>
      </x:c>
      <x:c r="P1587" s="1" t="str">
        <x:v>PASS</x:v>
      </x:c>
      <x:c r="Q1587" s="4" t="n">
        <x:v>0</x:v>
      </x:c>
      <x:c r="R1587" s="1" t="str">
        <x:v>PASS</x:v>
      </x:c>
      <x:c r="S1587" s="4" t="n">
        <x:v>0</x:v>
      </x:c>
      <x:c r="T1587" s="1" t="str">
        <x:v>NOT_REVEALING</x:v>
      </x:c>
      <x:c r="U1587" s="1" t="str">
        <x:v>Math_48</x:v>
      </x:c>
      <x:c r="V1587" s="6" t="n">
        <x:v>35.93</x:v>
      </x:c>
    </x:row>
    <x:row r="1588" ht="22" customHeight="1">
      <x:c r="A1588" s="1" t="str">
        <x:v>Round2</x:v>
      </x:c>
      <x:c r="B1588" s="1" t="str">
        <x:v>Math</x:v>
      </x:c>
      <x:c r="C1588" s="4" t="n">
        <x:v>49</x:v>
      </x:c>
      <x:c r="D1588" s="4" t="n">
        <x:v>20260928</x:v>
      </x:c>
      <x:c r="E1588" s="4" t="n">
        <x:v>60</x:v>
      </x:c>
      <x:c r="F1588" s="4" t="n">
        <x:v>1971</x:v>
      </x:c>
      <x:c r="G1588" s="5" t="n">
        <x:v>0.7679</x:v>
      </x:c>
      <x:c r="H1588" s="5" t="n">
        <x:v>0.8175</x:v>
      </x:c>
      <x:c r="I1588" s="5" t="n">
        <x:v>0.6446999999999999</x:v>
      </x:c>
      <x:c r="J1588" s="4" t="n">
        <x:v>530</x:v>
      </x:c>
      <x:c r="K1588" s="4" t="n">
        <x:v>407</x:v>
      </x:c>
      <x:c r="L1588" s="4" t="n">
        <x:v>378</x:v>
      </x:c>
      <x:c r="M1588" s="4" t="n">
        <x:v>309</x:v>
      </x:c>
      <x:c r="N1588" s="4" t="n">
        <x:v>152</x:v>
      </x:c>
      <x:c r="O1588" s="4" t="n">
        <x:v>98</x:v>
      </x:c>
      <x:c r="P1588" s="1" t="str">
        <x:v>FAIL</x:v>
      </x:c>
      <x:c r="Q1588" s="4" t="n">
        <x:v>36</x:v>
      </x:c>
      <x:c r="R1588" s="1" t="str">
        <x:v>FAIL</x:v>
      </x:c>
      <x:c r="S1588" s="4" t="n">
        <x:v>36</x:v>
      </x:c>
      <x:c r="T1588" s="1" t="str">
        <x:v>INCONCLUSIVE</x:v>
      </x:c>
      <x:c r="U1588" s="1" t="str">
        <x:v>Math_49</x:v>
      </x:c>
      <x:c r="V1588" s="6" t="n">
        <x:v>62.25</x:v>
      </x:c>
    </x:row>
    <x:row r="1589" ht="22" customHeight="1">
      <x:c r="A1589" s="1" t="str">
        <x:v>Round2</x:v>
      </x:c>
      <x:c r="B1589" s="1" t="str">
        <x:v>Math</x:v>
      </x:c>
      <x:c r="C1589" s="4" t="n">
        <x:v>50</x:v>
      </x:c>
      <x:c r="D1589" s="4" t="n">
        <x:v>20260928</x:v>
      </x:c>
      <x:c r="E1589" s="4" t="n">
        <x:v>60</x:v>
      </x:c>
      <x:c r="F1589" s="4" t="n">
        <x:v>5</x:v>
      </x:c>
      <x:c r="G1589" s="5" t="n">
        <x:v>0.0325</x:v>
      </x:c>
      <x:c r="H1589" s="5" t="n">
        <x:v>0.0533</x:v>
      </x:c>
      <x:c r="I1589" s="5" t="n">
        <x:v>0</x:v>
      </x:c>
      <x:c r="J1589" s="4" t="n">
        <x:v>123</x:v>
      </x:c>
      <x:c r="K1589" s="4" t="n">
        <x:v>4</x:v>
      </x:c>
      <x:c r="L1589" s="4" t="n">
        <x:v>75</x:v>
      </x:c>
      <x:c r="M1589" s="4" t="n">
        <x:v>4</x:v>
      </x:c>
      <x:c r="N1589" s="4" t="n">
        <x:v>48</x:v>
      </x:c>
      <x:c r="O1589" s="4" t="n">
        <x:v>0</x:v>
      </x:c>
      <x:c r="P1589" s="1" t="str">
        <x:v>PASS</x:v>
      </x:c>
      <x:c r="Q1589" s="4" t="n">
        <x:v>0</x:v>
      </x:c>
      <x:c r="R1589" s="1" t="str">
        <x:v>PASS</x:v>
      </x:c>
      <x:c r="S1589" s="4" t="n">
        <x:v>0</x:v>
      </x:c>
      <x:c r="T1589" s="1" t="str">
        <x:v>NOT_REVEALING</x:v>
      </x:c>
      <x:c r="U1589" s="1" t="str">
        <x:v>Math_50</x:v>
      </x:c>
      <x:c r="V1589" s="6" t="n">
        <x:v>36.01</x:v>
      </x:c>
    </x:row>
    <x:row r="1590" ht="22" customHeight="1">
      <x:c r="A1590" s="1" t="str">
        <x:v>Round2</x:v>
      </x:c>
      <x:c r="B1590" s="1" t="str">
        <x:v>Math</x:v>
      </x:c>
      <x:c r="C1590" s="4" t="n">
        <x:v>51</x:v>
      </x:c>
      <x:c r="D1590" s="4" t="n">
        <x:v>20260928</x:v>
      </x:c>
      <x:c r="E1590" s="4" t="n">
        <x:v>60</x:v>
      </x:c>
      <x:c r="F1590" s="4" t="n">
        <x:v>5</x:v>
      </x:c>
      <x:c r="G1590" s="5" t="n">
        <x:v>0.0345</x:v>
      </x:c>
      <x:c r="H1590" s="5" t="n">
        <x:v>0.056299999999999996</x:v>
      </x:c>
      <x:c r="I1590" s="5" t="n">
        <x:v>0</x:v>
      </x:c>
      <x:c r="J1590" s="4" t="n">
        <x:v>116</x:v>
      </x:c>
      <x:c r="K1590" s="4" t="n">
        <x:v>4</x:v>
      </x:c>
      <x:c r="L1590" s="4" t="n">
        <x:v>71</x:v>
      </x:c>
      <x:c r="M1590" s="4" t="n">
        <x:v>4</x:v>
      </x:c>
      <x:c r="N1590" s="4" t="n">
        <x:v>45</x:v>
      </x:c>
      <x:c r="O1590" s="4" t="n">
        <x:v>0</x:v>
      </x:c>
      <x:c r="P1590" s="1" t="str">
        <x:v>PASS</x:v>
      </x:c>
      <x:c r="Q1590" s="4" t="n">
        <x:v>0</x:v>
      </x:c>
      <x:c r="R1590" s="1" t="str">
        <x:v>PASS</x:v>
      </x:c>
      <x:c r="S1590" s="4" t="n">
        <x:v>0</x:v>
      </x:c>
      <x:c r="T1590" s="1" t="str">
        <x:v>NOT_REVEALING</x:v>
      </x:c>
      <x:c r="U1590" s="1" t="str">
        <x:v>Math_51</x:v>
      </x:c>
      <x:c r="V1590" s="6" t="n">
        <x:v>34.14</x:v>
      </x:c>
    </x:row>
    <x:row r="1591" ht="22" customHeight="1">
      <x:c r="A1591" s="1" t="str">
        <x:v>Round2</x:v>
      </x:c>
      <x:c r="B1591" s="1" t="str">
        <x:v>Math</x:v>
      </x:c>
      <x:c r="C1591" s="4" t="n">
        <x:v>52</x:v>
      </x:c>
      <x:c r="D1591" s="4" t="n">
        <x:v>20260928</x:v>
      </x:c>
      <x:c r="E1591" s="4" t="n">
        <x:v>60</x:v>
      </x:c>
      <x:c r="F1591" s="4" t="n">
        <x:v>3029</x:v>
      </x:c>
      <x:c r="G1591" s="5" t="n">
        <x:v>0.6175999999999999</x:v>
      </x:c>
      <x:c r="H1591" s="5" t="n">
        <x:v>0.6812</x:v>
      </x:c>
      <x:c r="I1591" s="5" t="n">
        <x:v>0.42619999999999997</x:v>
      </x:c>
      <x:c r="J1591" s="4" t="n">
        <x:v>489</x:v>
      </x:c>
      <x:c r="K1591" s="4" t="n">
        <x:v>302</x:v>
      </x:c>
      <x:c r="L1591" s="4" t="n">
        <x:v>367</x:v>
      </x:c>
      <x:c r="M1591" s="4" t="n">
        <x:v>250</x:v>
      </x:c>
      <x:c r="N1591" s="4" t="n">
        <x:v>122</x:v>
      </x:c>
      <x:c r="O1591" s="4" t="n">
        <x:v>52</x:v>
      </x:c>
      <x:c r="P1591" s="1" t="str">
        <x:v>FAIL</x:v>
      </x:c>
      <x:c r="Q1591" s="4" t="n">
        <x:v>4</x:v>
      </x:c>
      <x:c r="R1591" s="1" t="str">
        <x:v>FAIL</x:v>
      </x:c>
      <x:c r="S1591" s="4" t="n">
        <x:v>4</x:v>
      </x:c>
      <x:c r="T1591" s="1" t="str">
        <x:v>INCONCLUSIVE</x:v>
      </x:c>
      <x:c r="U1591" s="1" t="str">
        <x:v>Math_52</x:v>
      </x:c>
      <x:c r="V1591" s="6" t="n">
        <x:v>73.02</x:v>
      </x:c>
    </x:row>
    <x:row r="1592" ht="22" customHeight="1">
      <x:c r="A1592" s="1" t="str">
        <x:v>Round2</x:v>
      </x:c>
      <x:c r="B1592" s="1" t="str">
        <x:v>Math</x:v>
      </x:c>
      <x:c r="C1592" s="4" t="n">
        <x:v>53</x:v>
      </x:c>
      <x:c r="D1592" s="4" t="n">
        <x:v>20260928</x:v>
      </x:c>
      <x:c r="E1592" s="4" t="n">
        <x:v>60</x:v>
      </x:c>
      <x:c r="F1592" s="4" t="n">
        <x:v>3836</x:v>
      </x:c>
      <x:c r="G1592" s="5" t="n">
        <x:v>0.9789</x:v>
      </x:c>
      <x:c r="H1592" s="5" t="n">
        <x:v>0.9823999999999999</x:v>
      </x:c>
      <x:c r="I1592" s="5" t="n">
        <x:v>0.9737</x:v>
      </x:c>
      <x:c r="J1592" s="4" t="n">
        <x:v>284</x:v>
      </x:c>
      <x:c r="K1592" s="4" t="n">
        <x:v>278</x:v>
      </x:c>
      <x:c r="L1592" s="4" t="n">
        <x:v>170</x:v>
      </x:c>
      <x:c r="M1592" s="4" t="n">
        <x:v>167</x:v>
      </x:c>
      <x:c r="N1592" s="4" t="n">
        <x:v>114</x:v>
      </x:c>
      <x:c r="O1592" s="4" t="n">
        <x:v>111</x:v>
      </x:c>
      <x:c r="P1592" s="1" t="str">
        <x:v>FAIL</x:v>
      </x:c>
      <x:c r="Q1592" s="4" t="n">
        <x:v>318</x:v>
      </x:c>
      <x:c r="R1592" s="1" t="str">
        <x:v>FAIL</x:v>
      </x:c>
      <x:c r="S1592" s="4" t="n">
        <x:v>324</x:v>
      </x:c>
      <x:c r="T1592" s="1" t="str">
        <x:v>INCONCLUSIVE</x:v>
      </x:c>
      <x:c r="U1592" s="1" t="str">
        <x:v>Math_53</x:v>
      </x:c>
      <x:c r="V1592" s="6" t="n">
        <x:v>63.13</x:v>
      </x:c>
    </x:row>
    <x:row r="1593" ht="22" customHeight="1">
      <x:c r="A1593" s="1" t="str">
        <x:v>Round2</x:v>
      </x:c>
      <x:c r="B1593" s="1" t="str">
        <x:v>Math</x:v>
      </x:c>
      <x:c r="C1593" s="4" t="n">
        <x:v>54</x:v>
      </x:c>
      <x:c r="D1593" s="4" t="n">
        <x:v>20260928</x:v>
      </x:c>
      <x:c r="E1593" s="4" t="n">
        <x:v>60</x:v>
      </x:c>
      <x:c r="F1593" s="4" t="n">
        <x:v>165</x:v>
      </x:c>
      <x:c r="G1593" s="5" t="n">
        <x:v>0.0095</x:v>
      </x:c>
      <x:c r="H1593" s="5" t="n">
        <x:v>0.0161</x:v>
      </x:c>
      <x:c r="I1593" s="5" t="n">
        <x:v>0</x:v>
      </x:c>
      <x:c r="J1593" s="4" t="n">
        <x:v>1690</x:v>
      </x:c>
      <x:c r="K1593" s="4" t="n">
        <x:v>16</x:v>
      </x:c>
      <x:c r="L1593" s="4" t="n">
        <x:v>996</x:v>
      </x:c>
      <x:c r="M1593" s="4" t="n">
        <x:v>16</x:v>
      </x:c>
      <x:c r="N1593" s="4" t="n">
        <x:v>694</x:v>
      </x:c>
      <x:c r="O1593" s="4" t="n">
        <x:v>0</x:v>
      </x:c>
      <x:c r="P1593" s="1" t="str">
        <x:v>PASS</x:v>
      </x:c>
      <x:c r="Q1593" s="4" t="n">
        <x:v>0</x:v>
      </x:c>
      <x:c r="R1593" s="1" t="str">
        <x:v>PASS</x:v>
      </x:c>
      <x:c r="S1593" s="4" t="n">
        <x:v>0</x:v>
      </x:c>
      <x:c r="T1593" s="1" t="str">
        <x:v>NOT_REVEALING</x:v>
      </x:c>
      <x:c r="U1593" s="1" t="str">
        <x:v>Math_54</x:v>
      </x:c>
      <x:c r="V1593" s="6" t="n">
        <x:v>35.54</x:v>
      </x:c>
    </x:row>
    <x:row r="1594" ht="22" customHeight="1">
      <x:c r="A1594" s="1" t="str">
        <x:v>Round2</x:v>
      </x:c>
      <x:c r="B1594" s="1" t="str">
        <x:v>Math</x:v>
      </x:c>
      <x:c r="C1594" s="4" t="n">
        <x:v>55</x:v>
      </x:c>
      <x:c r="D1594" s="4" t="n">
        <x:v>20260928</x:v>
      </x:c>
      <x:c r="E1594" s="4" t="n">
        <x:v>60</x:v>
      </x:c>
      <x:c r="F1594" s="4" t="n">
        <x:v>2918</x:v>
      </x:c>
      <x:c r="G1594" s="5" t="n">
        <x:v>0.9390000000000001</x:v>
      </x:c>
      <x:c r="H1594" s="5" t="n">
        <x:v>0.9741</x:v>
      </x:c>
      <x:c r="I1594" s="5" t="n">
        <x:v>0.8542000000000001</x:v>
      </x:c>
      <x:c r="J1594" s="4" t="n">
        <x:v>164</x:v>
      </x:c>
      <x:c r="K1594" s="4" t="n">
        <x:v>154</x:v>
      </x:c>
      <x:c r="L1594" s="4" t="n">
        <x:v>116</x:v>
      </x:c>
      <x:c r="M1594" s="4" t="n">
        <x:v>113</x:v>
      </x:c>
      <x:c r="N1594" s="4" t="n">
        <x:v>48</x:v>
      </x:c>
      <x:c r="O1594" s="4" t="n">
        <x:v>41</x:v>
      </x:c>
      <x:c r="P1594" s="1" t="str">
        <x:v>FAIL</x:v>
      </x:c>
      <x:c r="Q1594" s="4" t="n">
        <x:v>26</x:v>
      </x:c>
      <x:c r="R1594" s="1" t="str">
        <x:v>FAIL</x:v>
      </x:c>
      <x:c r="S1594" s="4" t="n">
        <x:v>26</x:v>
      </x:c>
      <x:c r="T1594" s="1" t="str">
        <x:v>INCONCLUSIVE</x:v>
      </x:c>
      <x:c r="U1594" s="1" t="str">
        <x:v>Math_55</x:v>
      </x:c>
      <x:c r="V1594" s="6" t="n">
        <x:v>68.46</x:v>
      </x:c>
    </x:row>
    <x:row r="1595" ht="22" customHeight="1">
      <x:c r="A1595" s="1" t="str">
        <x:v>Round2</x:v>
      </x:c>
      <x:c r="B1595" s="1" t="str">
        <x:v>Math</x:v>
      </x:c>
      <x:c r="C1595" s="4" t="n">
        <x:v>56</x:v>
      </x:c>
      <x:c r="D1595" s="4" t="n">
        <x:v>20260928</x:v>
      </x:c>
      <x:c r="E1595" s="4" t="n">
        <x:v>60</x:v>
      </x:c>
      <x:c r="F1595" s="4" t="n">
        <x:v>1082</x:v>
      </x:c>
      <x:c r="G1595" s="5" t="n">
        <x:v>0.9174</x:v>
      </x:c>
      <x:c r="H1595" s="5" t="n">
        <x:v>0.9467</x:v>
      </x:c>
      <x:c r="I1595" s="5" t="n">
        <x:v>0.8529000000000001</x:v>
      </x:c>
      <x:c r="J1595" s="4" t="n">
        <x:v>109</x:v>
      </x:c>
      <x:c r="K1595" s="4" t="n">
        <x:v>100</x:v>
      </x:c>
      <x:c r="L1595" s="4" t="n">
        <x:v>75</x:v>
      </x:c>
      <x:c r="M1595" s="4" t="n">
        <x:v>71</x:v>
      </x:c>
      <x:c r="N1595" s="4" t="n">
        <x:v>34</x:v>
      </x:c>
      <x:c r="O1595" s="4" t="n">
        <x:v>29</x:v>
      </x:c>
      <x:c r="P1595" s="1" t="str">
        <x:v>PASS</x:v>
      </x:c>
      <x:c r="Q1595" s="4" t="n">
        <x:v>0</x:v>
      </x:c>
      <x:c r="R1595" s="1" t="str">
        <x:v>FAIL</x:v>
      </x:c>
      <x:c r="S1595" s="4" t="n">
        <x:v>1096</x:v>
      </x:c>
      <x:c r="T1595" s="1" t="str">
        <x:v>INCONCLUSIVE</x:v>
      </x:c>
      <x:c r="U1595" s="1" t="str">
        <x:v>Math_56</x:v>
      </x:c>
      <x:c r="V1595" s="6" t="n">
        <x:v>44.9</x:v>
      </x:c>
    </x:row>
    <x:row r="1596" ht="22" customHeight="1">
      <x:c r="A1596" s="1" t="str">
        <x:v>Round2</x:v>
      </x:c>
      <x:c r="B1596" s="1" t="str">
        <x:v>Math</x:v>
      </x:c>
      <x:c r="C1596" s="4" t="n">
        <x:v>57</x:v>
      </x:c>
      <x:c r="D1596" s="4" t="n">
        <x:v>20260928</x:v>
      </x:c>
      <x:c r="E1596" s="4" t="n">
        <x:v>60</x:v>
      </x:c>
      <x:c r="F1596" s="4" t="n">
        <x:v>5</x:v>
      </x:c>
      <x:c r="G1596" s="5" t="n">
        <x:v>0.0287</x:v>
      </x:c>
      <x:c r="H1596" s="5" t="n">
        <x:v>0.0417</x:v>
      </x:c>
      <x:c r="I1596" s="5" t="n">
        <x:v>0</x:v>
      </x:c>
      <x:c r="J1596" s="4" t="n">
        <x:v>174</x:v>
      </x:c>
      <x:c r="K1596" s="4" t="n">
        <x:v>5</x:v>
      </x:c>
      <x:c r="L1596" s="4" t="n">
        <x:v>120</x:v>
      </x:c>
      <x:c r="M1596" s="4" t="n">
        <x:v>5</x:v>
      </x:c>
      <x:c r="N1596" s="4" t="n">
        <x:v>54</x:v>
      </x:c>
      <x:c r="O1596" s="4" t="n">
        <x:v>0</x:v>
      </x:c>
      <x:c r="P1596" s="1" t="str">
        <x:v>PASS</x:v>
      </x:c>
      <x:c r="Q1596" s="4" t="n">
        <x:v>0</x:v>
      </x:c>
      <x:c r="R1596" s="1" t="str">
        <x:v>PASS</x:v>
      </x:c>
      <x:c r="S1596" s="4" t="n">
        <x:v>0</x:v>
      </x:c>
      <x:c r="T1596" s="1" t="str">
        <x:v>NOT_REVEALING</x:v>
      </x:c>
      <x:c r="U1596" s="1" t="str">
        <x:v>Math_57</x:v>
      </x:c>
      <x:c r="V1596" s="6" t="n">
        <x:v>35.29</x:v>
      </x:c>
    </x:row>
    <x:row r="1597" ht="22" customHeight="1">
      <x:c r="A1597" s="1" t="str">
        <x:v>Round2</x:v>
      </x:c>
      <x:c r="B1597" s="1" t="str">
        <x:v>Math</x:v>
      </x:c>
      <x:c r="C1597" s="4" t="n">
        <x:v>58</x:v>
      </x:c>
      <x:c r="D1597" s="4" t="n">
        <x:v>20260928</x:v>
      </x:c>
      <x:c r="E1597" s="4" t="n">
        <x:v>60</x:v>
      </x:c>
      <x:c r="F1597" s="4" t="n">
        <x:v>3252</x:v>
      </x:c>
      <x:c r="G1597" s="5" t="n">
        <x:v>0.9091</x:v>
      </x:c>
      <x:c r="H1597" s="5" t="n">
        <x:v>0.875</x:v>
      </x:c>
      <x:c r="I1597" s="5" t="n">
        <x:v>0.9655</x:v>
      </x:c>
      <x:c r="J1597" s="4" t="n">
        <x:v>154</x:v>
      </x:c>
      <x:c r="K1597" s="4" t="n">
        <x:v>140</x:v>
      </x:c>
      <x:c r="L1597" s="4" t="n">
        <x:v>96</x:v>
      </x:c>
      <x:c r="M1597" s="4" t="n">
        <x:v>84</x:v>
      </x:c>
      <x:c r="N1597" s="4" t="n">
        <x:v>58</x:v>
      </x:c>
      <x:c r="O1597" s="4" t="n">
        <x:v>56</x:v>
      </x:c>
      <x:c r="P1597" s="1" t="str">
        <x:v>PASS</x:v>
      </x:c>
      <x:c r="Q1597" s="4" t="n">
        <x:v>0</x:v>
      </x:c>
      <x:c r="R1597" s="1" t="str">
        <x:v>PASS</x:v>
      </x:c>
      <x:c r="S1597" s="4" t="n">
        <x:v>0</x:v>
      </x:c>
      <x:c r="T1597" s="1" t="str">
        <x:v>NOT_REVEALING</x:v>
      </x:c>
      <x:c r="U1597" s="1" t="str">
        <x:v>Math_58</x:v>
      </x:c>
      <x:c r="V1597" s="6" t="n">
        <x:v>52.41</x:v>
      </x:c>
    </x:row>
    <x:row r="1598" ht="22" customHeight="1">
      <x:c r="A1598" s="1" t="str">
        <x:v>Round2</x:v>
      </x:c>
      <x:c r="B1598" s="1" t="str">
        <x:v>Math</x:v>
      </x:c>
      <x:c r="C1598" s="4" t="n">
        <x:v>59</x:v>
      </x:c>
      <x:c r="D1598" s="4" t="n">
        <x:v>20260928</x:v>
      </x:c>
      <x:c r="E1598" s="4" t="n">
        <x:v>60</x:v>
      </x:c>
      <x:c r="F1598" s="4" t="n">
        <x:v>12835</x:v>
      </x:c>
      <x:c r="G1598" s="5" t="n">
        <x:v>0.8919</x:v>
      </x:c>
      <x:c r="H1598" s="5" t="n">
        <x:v>0.9367</x:v>
      </x:c>
      <x:c r="I1598" s="5" t="n">
        <x:v>0.7853</x:v>
      </x:c>
      <x:c r="J1598" s="4" t="n">
        <x:v>2201</x:v>
      </x:c>
      <x:c r="K1598" s="4" t="n">
        <x:v>1963</x:v>
      </x:c>
      <x:c r="L1598" s="4" t="n">
        <x:v>1549</x:v>
      </x:c>
      <x:c r="M1598" s="4" t="n">
        <x:v>1451</x:v>
      </x:c>
      <x:c r="N1598" s="4" t="n">
        <x:v>652</x:v>
      </x:c>
      <x:c r="O1598" s="4" t="n">
        <x:v>512</x:v>
      </x:c>
      <x:c r="P1598" s="1" t="str">
        <x:v>PASS</x:v>
      </x:c>
      <x:c r="Q1598" s="4" t="n">
        <x:v>0</x:v>
      </x:c>
      <x:c r="R1598" s="1" t="str">
        <x:v>FAIL</x:v>
      </x:c>
      <x:c r="S1598" s="4" t="n">
        <x:v>322</x:v>
      </x:c>
      <x:c r="T1598" s="1" t="str">
        <x:v>INCONCLUSIVE</x:v>
      </x:c>
      <x:c r="U1598" s="1" t="str">
        <x:v>Math_59</x:v>
      </x:c>
      <x:c r="V1598" s="6" t="n">
        <x:v>57.12</x:v>
      </x:c>
    </x:row>
    <x:row r="1599" ht="22" customHeight="1">
      <x:c r="A1599" s="1" t="str">
        <x:v>Round2</x:v>
      </x:c>
      <x:c r="B1599" s="1" t="str">
        <x:v>Math</x:v>
      </x:c>
      <x:c r="C1599" s="4" t="n">
        <x:v>60</x:v>
      </x:c>
      <x:c r="D1599" s="4" t="n">
        <x:v>20260928</x:v>
      </x:c>
      <x:c r="E1599" s="4" t="n">
        <x:v>60</x:v>
      </x:c>
      <x:c r="F1599" s="4" t="n">
        <x:v>0</x:v>
      </x:c>
      <x:c r="G1599" s="5"/>
      <x:c r="H1599" s="5"/>
      <x:c r="I1599" s="5"/>
      <x:c r="J1599" s="4" t="n">
        <x:v>0</x:v>
      </x:c>
      <x:c r="K1599" s="4" t="n">
        <x:v>0</x:v>
      </x:c>
      <x:c r="L1599" s="4" t="n">
        <x:v>0</x:v>
      </x:c>
      <x:c r="M1599" s="4" t="n">
        <x:v>0</x:v>
      </x:c>
      <x:c r="N1599" s="4" t="n">
        <x:v>0</x:v>
      </x:c>
      <x:c r="O1599" s="4" t="n">
        <x:v>0</x:v>
      </x:c>
      <x:c r="P1599" s="1" t="str">
        <x:v>NOT_RUN</x:v>
      </x:c>
      <x:c r="Q1599" s="4"/>
      <x:c r="R1599" s="1" t="str">
        <x:v>NOT_RUN</x:v>
      </x:c>
      <x:c r="S1599" s="4"/>
      <x:c r="T1599" s="1" t="str">
        <x:v>FAIL</x:v>
      </x:c>
      <x:c r="U1599" s="1" t="str">
        <x:v>Math_60</x:v>
      </x:c>
      <x:c r="V1599" s="6"/>
    </x:row>
    <x:row r="1600" ht="22" customHeight="1">
      <x:c r="A1600" s="1" t="str">
        <x:v>Round2</x:v>
      </x:c>
      <x:c r="B1600" s="1" t="str">
        <x:v>Math</x:v>
      </x:c>
      <x:c r="C1600" s="4" t="n">
        <x:v>61</x:v>
      </x:c>
      <x:c r="D1600" s="4" t="n">
        <x:v>20260928</x:v>
      </x:c>
      <x:c r="E1600" s="4" t="n">
        <x:v>60</x:v>
      </x:c>
      <x:c r="F1600" s="4" t="n">
        <x:v>2718</x:v>
      </x:c>
      <x:c r="G1600" s="5" t="n">
        <x:v>1</x:v>
      </x:c>
      <x:c r="H1600" s="5" t="n">
        <x:v>1</x:v>
      </x:c>
      <x:c r="I1600" s="5" t="n">
        <x:v>1</x:v>
      </x:c>
      <x:c r="J1600" s="4" t="n">
        <x:v>46</x:v>
      </x:c>
      <x:c r="K1600" s="4" t="n">
        <x:v>46</x:v>
      </x:c>
      <x:c r="L1600" s="4" t="n">
        <x:v>34</x:v>
      </x:c>
      <x:c r="M1600" s="4" t="n">
        <x:v>34</x:v>
      </x:c>
      <x:c r="N1600" s="4" t="n">
        <x:v>12</x:v>
      </x:c>
      <x:c r="O1600" s="4" t="n">
        <x:v>12</x:v>
      </x:c>
      <x:c r="P1600" s="1" t="str">
        <x:v>FAIL</x:v>
      </x:c>
      <x:c r="Q1600" s="4" t="n">
        <x:v>5</x:v>
      </x:c>
      <x:c r="R1600" s="1" t="str">
        <x:v>FAIL</x:v>
      </x:c>
      <x:c r="S1600" s="4" t="n">
        <x:v>183</x:v>
      </x:c>
      <x:c r="T1600" s="1" t="str">
        <x:v>INCONCLUSIVE</x:v>
      </x:c>
      <x:c r="U1600" s="1" t="str">
        <x:v>Math_61</x:v>
      </x:c>
      <x:c r="V1600" s="6" t="n">
        <x:v>46.27</x:v>
      </x:c>
    </x:row>
    <x:row r="1601" ht="22" customHeight="1">
      <x:c r="A1601" s="1" t="str">
        <x:v>Round2</x:v>
      </x:c>
      <x:c r="B1601" s="1" t="str">
        <x:v>Math</x:v>
      </x:c>
      <x:c r="C1601" s="4" t="n">
        <x:v>62</x:v>
      </x:c>
      <x:c r="D1601" s="4" t="n">
        <x:v>20260928</x:v>
      </x:c>
      <x:c r="E1601" s="4" t="n">
        <x:v>60</x:v>
      </x:c>
      <x:c r="F1601" s="4" t="n">
        <x:v>1</x:v>
      </x:c>
      <x:c r="G1601" s="5" t="n">
        <x:v>0</x:v>
      </x:c>
      <x:c r="H1601" s="5" t="n">
        <x:v>0</x:v>
      </x:c>
      <x:c r="I1601" s="5" t="n">
        <x:v>0</x:v>
      </x:c>
      <x:c r="J1601" s="4" t="n">
        <x:v>65</x:v>
      </x:c>
      <x:c r="K1601" s="4" t="n">
        <x:v>0</x:v>
      </x:c>
      <x:c r="L1601" s="4" t="n">
        <x:v>47</x:v>
      </x:c>
      <x:c r="M1601" s="4" t="n">
        <x:v>0</x:v>
      </x:c>
      <x:c r="N1601" s="4" t="n">
        <x:v>18</x:v>
      </x:c>
      <x:c r="O1601" s="4" t="n">
        <x:v>0</x:v>
      </x:c>
      <x:c r="P1601" s="1" t="str">
        <x:v>PASS</x:v>
      </x:c>
      <x:c r="Q1601" s="4" t="n">
        <x:v>0</x:v>
      </x:c>
      <x:c r="R1601" s="1" t="str">
        <x:v>PASS</x:v>
      </x:c>
      <x:c r="S1601" s="4" t="n">
        <x:v>0</x:v>
      </x:c>
      <x:c r="T1601" s="1" t="str">
        <x:v>NOT_REVEALING</x:v>
      </x:c>
      <x:c r="U1601" s="1" t="str">
        <x:v>Math_62</x:v>
      </x:c>
      <x:c r="V1601" s="6" t="n">
        <x:v>32.81</x:v>
      </x:c>
    </x:row>
    <x:row r="1602" ht="22" customHeight="1">
      <x:c r="A1602" s="1" t="str">
        <x:v>Round2</x:v>
      </x:c>
      <x:c r="B1602" s="1" t="str">
        <x:v>Math</x:v>
      </x:c>
      <x:c r="C1602" s="4" t="n">
        <x:v>63</x:v>
      </x:c>
      <x:c r="D1602" s="4" t="n">
        <x:v>20260928</x:v>
      </x:c>
      <x:c r="E1602" s="4" t="n">
        <x:v>60</x:v>
      </x:c>
      <x:c r="F1602" s="4" t="n">
        <x:v>0</x:v>
      </x:c>
      <x:c r="G1602" s="5"/>
      <x:c r="H1602" s="5"/>
      <x:c r="I1602" s="5"/>
      <x:c r="J1602" s="4" t="n">
        <x:v>0</x:v>
      </x:c>
      <x:c r="K1602" s="4" t="n">
        <x:v>0</x:v>
      </x:c>
      <x:c r="L1602" s="4" t="n">
        <x:v>0</x:v>
      </x:c>
      <x:c r="M1602" s="4" t="n">
        <x:v>0</x:v>
      </x:c>
      <x:c r="N1602" s="4" t="n">
        <x:v>0</x:v>
      </x:c>
      <x:c r="O1602" s="4" t="n">
        <x:v>0</x:v>
      </x:c>
      <x:c r="P1602" s="1" t="str">
        <x:v>NOT_RUN</x:v>
      </x:c>
      <x:c r="Q1602" s="4"/>
      <x:c r="R1602" s="1" t="str">
        <x:v>NOT_RUN</x:v>
      </x:c>
      <x:c r="S1602" s="4"/>
      <x:c r="T1602" s="1" t="str">
        <x:v>FAIL</x:v>
      </x:c>
      <x:c r="U1602" s="1" t="str">
        <x:v>Math_63</x:v>
      </x:c>
      <x:c r="V1602" s="6"/>
    </x:row>
    <x:row r="1603" ht="22" customHeight="1">
      <x:c r="A1603" s="1" t="str">
        <x:v>Round2</x:v>
      </x:c>
      <x:c r="B1603" s="1" t="str">
        <x:v>Math</x:v>
      </x:c>
      <x:c r="C1603" s="4" t="n">
        <x:v>64</x:v>
      </x:c>
      <x:c r="D1603" s="4" t="n">
        <x:v>20260928</x:v>
      </x:c>
      <x:c r="E1603" s="4" t="n">
        <x:v>60</x:v>
      </x:c>
      <x:c r="F1603" s="4" t="n">
        <x:v>6198</x:v>
      </x:c>
      <x:c r="G1603" s="5" t="n">
        <x:v>0.06269999999999999</x:v>
      </x:c>
      <x:c r="H1603" s="5" t="n">
        <x:v>0.09939999999999999</x:v>
      </x:c>
      <x:c r="I1603" s="5" t="n">
        <x:v>0</x:v>
      </x:c>
      <x:c r="J1603" s="4" t="n">
        <x:v>542</x:v>
      </x:c>
      <x:c r="K1603" s="4" t="n">
        <x:v>34</x:v>
      </x:c>
      <x:c r="L1603" s="4" t="n">
        <x:v>342</x:v>
      </x:c>
      <x:c r="M1603" s="4" t="n">
        <x:v>34</x:v>
      </x:c>
      <x:c r="N1603" s="4" t="n">
        <x:v>200</x:v>
      </x:c>
      <x:c r="O1603" s="4" t="n">
        <x:v>0</x:v>
      </x:c>
      <x:c r="P1603" s="1" t="str">
        <x:v>FAIL</x:v>
      </x:c>
      <x:c r="Q1603" s="4" t="n">
        <x:v>666</x:v>
      </x:c>
      <x:c r="R1603" s="1" t="str">
        <x:v>FAIL</x:v>
      </x:c>
      <x:c r="S1603" s="4" t="n">
        <x:v>666</x:v>
      </x:c>
      <x:c r="T1603" s="1" t="str">
        <x:v>INCONCLUSIVE</x:v>
      </x:c>
      <x:c r="U1603" s="1" t="str">
        <x:v>Math_64</x:v>
      </x:c>
      <x:c r="V1603" s="6" t="n">
        <x:v>55.72</x:v>
      </x:c>
    </x:row>
    <x:row r="1604" ht="22" customHeight="1">
      <x:c r="A1604" s="1" t="str">
        <x:v>Round2</x:v>
      </x:c>
      <x:c r="B1604" s="1" t="str">
        <x:v>Math</x:v>
      </x:c>
      <x:c r="C1604" s="4" t="n">
        <x:v>65</x:v>
      </x:c>
      <x:c r="D1604" s="4" t="n">
        <x:v>20260928</x:v>
      </x:c>
      <x:c r="E1604" s="4" t="n">
        <x:v>60</x:v>
      </x:c>
      <x:c r="F1604" s="4" t="n">
        <x:v>2</x:v>
      </x:c>
      <x:c r="G1604" s="5" t="n">
        <x:v>0</x:v>
      </x:c>
      <x:c r="H1604" s="5" t="n">
        <x:v>0</x:v>
      </x:c>
      <x:c r="I1604" s="5" t="n">
        <x:v>0</x:v>
      </x:c>
      <x:c r="J1604" s="4" t="n">
        <x:v>126</x:v>
      </x:c>
      <x:c r="K1604" s="4" t="n">
        <x:v>0</x:v>
      </x:c>
      <x:c r="L1604" s="4" t="n">
        <x:v>96</x:v>
      </x:c>
      <x:c r="M1604" s="4" t="n">
        <x:v>0</x:v>
      </x:c>
      <x:c r="N1604" s="4" t="n">
        <x:v>30</x:v>
      </x:c>
      <x:c r="O1604" s="4" t="n">
        <x:v>0</x:v>
      </x:c>
      <x:c r="P1604" s="1" t="str">
        <x:v>PASS</x:v>
      </x:c>
      <x:c r="Q1604" s="4" t="n">
        <x:v>0</x:v>
      </x:c>
      <x:c r="R1604" s="1" t="str">
        <x:v>PASS</x:v>
      </x:c>
      <x:c r="S1604" s="4" t="n">
        <x:v>0</x:v>
      </x:c>
      <x:c r="T1604" s="1" t="str">
        <x:v>NOT_REVEALING</x:v>
      </x:c>
      <x:c r="U1604" s="1" t="str">
        <x:v>Math_65</x:v>
      </x:c>
      <x:c r="V1604" s="6" t="n">
        <x:v>34.42</x:v>
      </x:c>
    </x:row>
    <x:row r="1605" ht="22" customHeight="1">
      <x:c r="A1605" s="1" t="str">
        <x:v>Round2</x:v>
      </x:c>
      <x:c r="B1605" s="1" t="str">
        <x:v>Math</x:v>
      </x:c>
      <x:c r="C1605" s="4" t="n">
        <x:v>66</x:v>
      </x:c>
      <x:c r="D1605" s="4" t="n">
        <x:v>20260928</x:v>
      </x:c>
      <x:c r="E1605" s="4" t="n">
        <x:v>60</x:v>
      </x:c>
      <x:c r="F1605" s="4" t="n">
        <x:v>2966</x:v>
      </x:c>
      <x:c r="G1605" s="5" t="n">
        <x:v>0.2125</x:v>
      </x:c>
      <x:c r="H1605" s="5" t="n">
        <x:v>0.2647</x:v>
      </x:c>
      <x:c r="I1605" s="5" t="n">
        <x:v>0.1207</x:v>
      </x:c>
      <x:c r="J1605" s="4" t="n">
        <x:v>160</x:v>
      </x:c>
      <x:c r="K1605" s="4" t="n">
        <x:v>34</x:v>
      </x:c>
      <x:c r="L1605" s="4" t="n">
        <x:v>102</x:v>
      </x:c>
      <x:c r="M1605" s="4" t="n">
        <x:v>27</x:v>
      </x:c>
      <x:c r="N1605" s="4" t="n">
        <x:v>58</x:v>
      </x:c>
      <x:c r="O1605" s="4" t="n">
        <x:v>7</x:v>
      </x:c>
      <x:c r="P1605" s="1" t="str">
        <x:v>PASS</x:v>
      </x:c>
      <x:c r="Q1605" s="4" t="n">
        <x:v>0</x:v>
      </x:c>
      <x:c r="R1605" s="1" t="str">
        <x:v>FAIL</x:v>
      </x:c>
      <x:c r="S1605" s="4" t="n">
        <x:v>3990</x:v>
      </x:c>
      <x:c r="T1605" s="1" t="str">
        <x:v>INCONCLUSIVE</x:v>
      </x:c>
      <x:c r="U1605" s="1" t="str">
        <x:v>Math_66</x:v>
      </x:c>
      <x:c r="V1605" s="6" t="n">
        <x:v>49.59</x:v>
      </x:c>
    </x:row>
    <x:row r="1606" ht="22" customHeight="1">
      <x:c r="A1606" s="1" t="str">
        <x:v>Round2</x:v>
      </x:c>
      <x:c r="B1606" s="1" t="str">
        <x:v>Math</x:v>
      </x:c>
      <x:c r="C1606" s="4" t="n">
        <x:v>67</x:v>
      </x:c>
      <x:c r="D1606" s="4" t="n">
        <x:v>20260928</x:v>
      </x:c>
      <x:c r="E1606" s="4" t="n">
        <x:v>60</x:v>
      </x:c>
      <x:c r="F1606" s="4" t="n">
        <x:v>4162</x:v>
      </x:c>
      <x:c r="G1606" s="5" t="n">
        <x:v>0.41729999999999995</x:v>
      </x:c>
      <x:c r="H1606" s="5" t="n">
        <x:v>0.4946</x:v>
      </x:c>
      <x:c r="I1606" s="5" t="n">
        <x:v>0.2059</x:v>
      </x:c>
      <x:c r="J1606" s="4" t="n">
        <x:v>127</x:v>
      </x:c>
      <x:c r="K1606" s="4" t="n">
        <x:v>53</x:v>
      </x:c>
      <x:c r="L1606" s="4" t="n">
        <x:v>93</x:v>
      </x:c>
      <x:c r="M1606" s="4" t="n">
        <x:v>46</x:v>
      </x:c>
      <x:c r="N1606" s="4" t="n">
        <x:v>34</x:v>
      </x:c>
      <x:c r="O1606" s="4" t="n">
        <x:v>7</x:v>
      </x:c>
      <x:c r="P1606" s="1" t="str">
        <x:v>PASS</x:v>
      </x:c>
      <x:c r="Q1606" s="4" t="n">
        <x:v>0</x:v>
      </x:c>
      <x:c r="R1606" s="1" t="str">
        <x:v>PASS</x:v>
      </x:c>
      <x:c r="S1606" s="4" t="n">
        <x:v>0</x:v>
      </x:c>
      <x:c r="T1606" s="1" t="str">
        <x:v>NOT_REVEALING</x:v>
      </x:c>
      <x:c r="U1606" s="1" t="str">
        <x:v>Math_67</x:v>
      </x:c>
      <x:c r="V1606" s="6" t="n">
        <x:v>54.37</x:v>
      </x:c>
    </x:row>
    <x:row r="1607" ht="22" customHeight="1">
      <x:c r="A1607" s="1" t="str">
        <x:v>Round2</x:v>
      </x:c>
      <x:c r="B1607" s="1" t="str">
        <x:v>Math</x:v>
      </x:c>
      <x:c r="C1607" s="4" t="n">
        <x:v>68</x:v>
      </x:c>
      <x:c r="D1607" s="4" t="n">
        <x:v>20260928</x:v>
      </x:c>
      <x:c r="E1607" s="4" t="n">
        <x:v>60</x:v>
      </x:c>
      <x:c r="F1607" s="4" t="n">
        <x:v>6022</x:v>
      </x:c>
      <x:c r="G1607" s="5" t="n">
        <x:v>0.056799999999999996</x:v>
      </x:c>
      <x:c r="H1607" s="5" t="n">
        <x:v>0.0904</x:v>
      </x:c>
      <x:c r="I1607" s="5" t="n">
        <x:v>0</x:v>
      </x:c>
      <x:c r="J1607" s="4" t="n">
        <x:v>528</x:v>
      </x:c>
      <x:c r="K1607" s="4" t="n">
        <x:v>30</x:v>
      </x:c>
      <x:c r="L1607" s="4" t="n">
        <x:v>332</x:v>
      </x:c>
      <x:c r="M1607" s="4" t="n">
        <x:v>30</x:v>
      </x:c>
      <x:c r="N1607" s="4" t="n">
        <x:v>196</x:v>
      </x:c>
      <x:c r="O1607" s="4" t="n">
        <x:v>0</x:v>
      </x:c>
      <x:c r="P1607" s="1" t="str">
        <x:v>FAIL</x:v>
      </x:c>
      <x:c r="Q1607" s="4" t="n">
        <x:v>1960</x:v>
      </x:c>
      <x:c r="R1607" s="1" t="str">
        <x:v>FAIL</x:v>
      </x:c>
      <x:c r="S1607" s="4" t="n">
        <x:v>9732</x:v>
      </x:c>
      <x:c r="T1607" s="1" t="str">
        <x:v>INCONCLUSIVE</x:v>
      </x:c>
      <x:c r="U1607" s="1" t="str">
        <x:v>Math_68</x:v>
      </x:c>
      <x:c r="V1607" s="6" t="n">
        <x:v>63.58</x:v>
      </x:c>
    </x:row>
    <x:row r="1608" ht="22" customHeight="1">
      <x:c r="A1608" s="1" t="str">
        <x:v>Round2</x:v>
      </x:c>
      <x:c r="B1608" s="1" t="str">
        <x:v>Math</x:v>
      </x:c>
      <x:c r="C1608" s="4" t="n">
        <x:v>69</x:v>
      </x:c>
      <x:c r="D1608" s="4" t="n">
        <x:v>20260928</x:v>
      </x:c>
      <x:c r="E1608" s="4" t="n">
        <x:v>60</x:v>
      </x:c>
      <x:c r="F1608" s="4" t="n">
        <x:v>2065</x:v>
      </x:c>
      <x:c r="G1608" s="5" t="n">
        <x:v>0.9333</x:v>
      </x:c>
      <x:c r="H1608" s="5" t="n">
        <x:v>0.9333</x:v>
      </x:c>
      <x:c r="I1608" s="5" t="n">
        <x:v>0.9333</x:v>
      </x:c>
      <x:c r="J1608" s="4" t="n">
        <x:v>105</x:v>
      </x:c>
      <x:c r="K1608" s="4" t="n">
        <x:v>98</x:v>
      </x:c>
      <x:c r="L1608" s="4" t="n">
        <x:v>75</x:v>
      </x:c>
      <x:c r="M1608" s="4" t="n">
        <x:v>70</x:v>
      </x:c>
      <x:c r="N1608" s="4" t="n">
        <x:v>30</x:v>
      </x:c>
      <x:c r="O1608" s="4" t="n">
        <x:v>28</x:v>
      </x:c>
      <x:c r="P1608" s="1" t="str">
        <x:v>FAIL</x:v>
      </x:c>
      <x:c r="Q1608" s="4" t="n">
        <x:v>2</x:v>
      </x:c>
      <x:c r="R1608" s="1" t="str">
        <x:v>FAIL</x:v>
      </x:c>
      <x:c r="S1608" s="4" t="n">
        <x:v>2</x:v>
      </x:c>
      <x:c r="T1608" s="1" t="str">
        <x:v>INCONCLUSIVE</x:v>
      </x:c>
      <x:c r="U1608" s="1" t="str">
        <x:v>Math_69</x:v>
      </x:c>
      <x:c r="V1608" s="6" t="n">
        <x:v>58.54</x:v>
      </x:c>
    </x:row>
    <x:row r="1609" ht="22" customHeight="1">
      <x:c r="A1609" s="1" t="str">
        <x:v>Round2</x:v>
      </x:c>
      <x:c r="B1609" s="1" t="str">
        <x:v>Math</x:v>
      </x:c>
      <x:c r="C1609" s="4" t="n">
        <x:v>70</x:v>
      </x:c>
      <x:c r="D1609" s="4" t="n">
        <x:v>20260928</x:v>
      </x:c>
      <x:c r="E1609" s="4" t="n">
        <x:v>60</x:v>
      </x:c>
      <x:c r="F1609" s="4" t="n">
        <x:v>5514</x:v>
      </x:c>
      <x:c r="G1609" s="5" t="n">
        <x:v>0.5172</x:v>
      </x:c>
      <x:c r="H1609" s="5" t="n">
        <x:v>0.5652</x:v>
      </x:c>
      <x:c r="I1609" s="5" t="n">
        <x:v>0.3333</x:v>
      </x:c>
      <x:c r="J1609" s="4" t="n">
        <x:v>29</x:v>
      </x:c>
      <x:c r="K1609" s="4" t="n">
        <x:v>15</x:v>
      </x:c>
      <x:c r="L1609" s="4" t="n">
        <x:v>23</x:v>
      </x:c>
      <x:c r="M1609" s="4" t="n">
        <x:v>13</x:v>
      </x:c>
      <x:c r="N1609" s="4" t="n">
        <x:v>6</x:v>
      </x:c>
      <x:c r="O1609" s="4" t="n">
        <x:v>2</x:v>
      </x:c>
      <x:c r="P1609" s="1" t="str">
        <x:v>FAIL</x:v>
      </x:c>
      <x:c r="Q1609" s="4" t="n">
        <x:v>830</x:v>
      </x:c>
      <x:c r="R1609" s="1" t="str">
        <x:v>FAIL</x:v>
      </x:c>
      <x:c r="S1609" s="4" t="n">
        <x:v>830</x:v>
      </x:c>
      <x:c r="T1609" s="1" t="str">
        <x:v>INCONCLUSIVE</x:v>
      </x:c>
      <x:c r="U1609" s="1" t="str">
        <x:v>Math_70</x:v>
      </x:c>
      <x:c r="V1609" s="6" t="n">
        <x:v>55.47</x:v>
      </x:c>
    </x:row>
    <x:row r="1610" ht="22" customHeight="1">
      <x:c r="A1610" s="1" t="str">
        <x:v>Round2</x:v>
      </x:c>
      <x:c r="B1610" s="1" t="str">
        <x:v>Math</x:v>
      </x:c>
      <x:c r="C1610" s="4" t="n">
        <x:v>71</x:v>
      </x:c>
      <x:c r="D1610" s="4" t="n">
        <x:v>20260928</x:v>
      </x:c>
      <x:c r="E1610" s="4" t="n">
        <x:v>60</x:v>
      </x:c>
      <x:c r="F1610" s="4" t="n">
        <x:v>1</x:v>
      </x:c>
      <x:c r="G1610" s="5" t="n">
        <x:v>0</x:v>
      </x:c>
      <x:c r="H1610" s="5" t="n">
        <x:v>0</x:v>
      </x:c>
      <x:c r="I1610" s="5" t="n">
        <x:v>0</x:v>
      </x:c>
      <x:c r="J1610" s="4" t="n">
        <x:v>295</x:v>
      </x:c>
      <x:c r="K1610" s="4" t="n">
        <x:v>0</x:v>
      </x:c>
      <x:c r="L1610" s="4" t="n">
        <x:v>197</x:v>
      </x:c>
      <x:c r="M1610" s="4" t="n">
        <x:v>0</x:v>
      </x:c>
      <x:c r="N1610" s="4" t="n">
        <x:v>98</x:v>
      </x:c>
      <x:c r="O1610" s="4" t="n">
        <x:v>0</x:v>
      </x:c>
      <x:c r="P1610" s="1" t="str">
        <x:v>PASS</x:v>
      </x:c>
      <x:c r="Q1610" s="4" t="n">
        <x:v>0</x:v>
      </x:c>
      <x:c r="R1610" s="1" t="str">
        <x:v>PASS</x:v>
      </x:c>
      <x:c r="S1610" s="4" t="n">
        <x:v>0</x:v>
      </x:c>
      <x:c r="T1610" s="1" t="str">
        <x:v>NOT_REVEALING</x:v>
      </x:c>
      <x:c r="U1610" s="1" t="str">
        <x:v>Math_71</x:v>
      </x:c>
      <x:c r="V1610" s="6" t="n">
        <x:v>34.66</x:v>
      </x:c>
    </x:row>
    <x:row r="1611" ht="22" customHeight="1">
      <x:c r="A1611" s="1" t="str">
        <x:v>Round2</x:v>
      </x:c>
      <x:c r="B1611" s="1" t="str">
        <x:v>Math</x:v>
      </x:c>
      <x:c r="C1611" s="4" t="n">
        <x:v>72</x:v>
      </x:c>
      <x:c r="D1611" s="4" t="n">
        <x:v>20260928</x:v>
      </x:c>
      <x:c r="E1611" s="4" t="n">
        <x:v>60</x:v>
      </x:c>
      <x:c r="F1611" s="4" t="n">
        <x:v>3304</x:v>
      </x:c>
      <x:c r="G1611" s="5" t="n">
        <x:v>0.0745</x:v>
      </x:c>
      <x:c r="H1611" s="5" t="n">
        <x:v>0.1121</x:v>
      </x:c>
      <x:c r="I1611" s="5" t="n">
        <x:v>0</x:v>
      </x:c>
      <x:c r="J1611" s="4" t="n">
        <x:v>161</x:v>
      </x:c>
      <x:c r="K1611" s="4" t="n">
        <x:v>12</x:v>
      </x:c>
      <x:c r="L1611" s="4" t="n">
        <x:v>107</x:v>
      </x:c>
      <x:c r="M1611" s="4" t="n">
        <x:v>12</x:v>
      </x:c>
      <x:c r="N1611" s="4" t="n">
        <x:v>54</x:v>
      </x:c>
      <x:c r="O1611" s="4" t="n">
        <x:v>0</x:v>
      </x:c>
      <x:c r="P1611" s="1" t="str">
        <x:v>FAIL</x:v>
      </x:c>
      <x:c r="Q1611" s="4" t="n">
        <x:v>318</x:v>
      </x:c>
      <x:c r="R1611" s="1" t="str">
        <x:v>FAIL</x:v>
      </x:c>
      <x:c r="S1611" s="4" t="n">
        <x:v>318</x:v>
      </x:c>
      <x:c r="T1611" s="1" t="str">
        <x:v>INCONCLUSIVE</x:v>
      </x:c>
      <x:c r="U1611" s="1" t="str">
        <x:v>Math_72</x:v>
      </x:c>
      <x:c r="V1611" s="6" t="n">
        <x:v>48.24</x:v>
      </x:c>
    </x:row>
    <x:row r="1612" ht="22" customHeight="1">
      <x:c r="A1612" s="1" t="str">
        <x:v>Round2</x:v>
      </x:c>
      <x:c r="B1612" s="1" t="str">
        <x:v>Math</x:v>
      </x:c>
      <x:c r="C1612" s="4" t="n">
        <x:v>73</x:v>
      </x:c>
      <x:c r="D1612" s="4" t="n">
        <x:v>20260928</x:v>
      </x:c>
      <x:c r="E1612" s="4" t="n">
        <x:v>60</x:v>
      </x:c>
      <x:c r="F1612" s="4" t="n">
        <x:v>4214</x:v>
      </x:c>
      <x:c r="G1612" s="5" t="n">
        <x:v>0.07690000000000001</x:v>
      </x:c>
      <x:c r="H1612" s="5" t="n">
        <x:v>0.11539999999999999</x:v>
      </x:c>
      <x:c r="I1612" s="5" t="n">
        <x:v>0</x:v>
      </x:c>
      <x:c r="J1612" s="4" t="n">
        <x:v>156</x:v>
      </x:c>
      <x:c r="K1612" s="4" t="n">
        <x:v>12</x:v>
      </x:c>
      <x:c r="L1612" s="4" t="n">
        <x:v>104</x:v>
      </x:c>
      <x:c r="M1612" s="4" t="n">
        <x:v>12</x:v>
      </x:c>
      <x:c r="N1612" s="4" t="n">
        <x:v>52</x:v>
      </x:c>
      <x:c r="O1612" s="4" t="n">
        <x:v>0</x:v>
      </x:c>
      <x:c r="P1612" s="1" t="str">
        <x:v>FAIL</x:v>
      </x:c>
      <x:c r="Q1612" s="4" t="n">
        <x:v>424</x:v>
      </x:c>
      <x:c r="R1612" s="1" t="str">
        <x:v>FAIL</x:v>
      </x:c>
      <x:c r="S1612" s="4" t="n">
        <x:v>424</x:v>
      </x:c>
      <x:c r="T1612" s="1" t="str">
        <x:v>INCONCLUSIVE</x:v>
      </x:c>
      <x:c r="U1612" s="1" t="str">
        <x:v>Math_73</x:v>
      </x:c>
      <x:c r="V1612" s="6" t="n">
        <x:v>51.11</x:v>
      </x:c>
    </x:row>
    <x:row r="1613" ht="22" customHeight="1">
      <x:c r="A1613" s="1" t="str">
        <x:v>Round2</x:v>
      </x:c>
      <x:c r="B1613" s="1" t="str">
        <x:v>Math</x:v>
      </x:c>
      <x:c r="C1613" s="4" t="n">
        <x:v>74</x:v>
      </x:c>
      <x:c r="D1613" s="4" t="n">
        <x:v>20260928</x:v>
      </x:c>
      <x:c r="E1613" s="4" t="n">
        <x:v>60</x:v>
      </x:c>
      <x:c r="F1613" s="4" t="n">
        <x:v>1</x:v>
      </x:c>
      <x:c r="G1613" s="5" t="n">
        <x:v>0</x:v>
      </x:c>
      <x:c r="H1613" s="5" t="n">
        <x:v>0</x:v>
      </x:c>
      <x:c r="I1613" s="5" t="n">
        <x:v>0</x:v>
      </x:c>
      <x:c r="J1613" s="4" t="n">
        <x:v>176</x:v>
      </x:c>
      <x:c r="K1613" s="4" t="n">
        <x:v>0</x:v>
      </x:c>
      <x:c r="L1613" s="4" t="n">
        <x:v>122</x:v>
      </x:c>
      <x:c r="M1613" s="4" t="n">
        <x:v>0</x:v>
      </x:c>
      <x:c r="N1613" s="4" t="n">
        <x:v>54</x:v>
      </x:c>
      <x:c r="O1613" s="4" t="n">
        <x:v>0</x:v>
      </x:c>
      <x:c r="P1613" s="1" t="str">
        <x:v>PASS</x:v>
      </x:c>
      <x:c r="Q1613" s="4" t="n">
        <x:v>0</x:v>
      </x:c>
      <x:c r="R1613" s="1" t="str">
        <x:v>PASS</x:v>
      </x:c>
      <x:c r="S1613" s="4" t="n">
        <x:v>0</x:v>
      </x:c>
      <x:c r="T1613" s="1" t="str">
        <x:v>NOT_REVEALING</x:v>
      </x:c>
      <x:c r="U1613" s="1" t="str">
        <x:v>Math_74</x:v>
      </x:c>
      <x:c r="V1613" s="6" t="n">
        <x:v>32.51</x:v>
      </x:c>
    </x:row>
    <x:row r="1614" ht="22" customHeight="1">
      <x:c r="A1614" s="1" t="str">
        <x:v>Round2</x:v>
      </x:c>
      <x:c r="B1614" s="1" t="str">
        <x:v>Math</x:v>
      </x:c>
      <x:c r="C1614" s="4" t="n">
        <x:v>75</x:v>
      </x:c>
      <x:c r="D1614" s="4" t="n">
        <x:v>20260928</x:v>
      </x:c>
      <x:c r="E1614" s="4" t="n">
        <x:v>60</x:v>
      </x:c>
      <x:c r="F1614" s="4" t="n">
        <x:v>5179</x:v>
      </x:c>
      <x:c r="G1614" s="5" t="n">
        <x:v>0.8901</x:v>
      </x:c>
      <x:c r="H1614" s="5" t="n">
        <x:v>0.9104000000000001</x:v>
      </x:c>
      <x:c r="I1614" s="5" t="n">
        <x:v>0.8332999999999999</x:v>
      </x:c>
      <x:c r="J1614" s="4" t="n">
        <x:v>182</x:v>
      </x:c>
      <x:c r="K1614" s="4" t="n">
        <x:v>162</x:v>
      </x:c>
      <x:c r="L1614" s="4" t="n">
        <x:v>134</x:v>
      </x:c>
      <x:c r="M1614" s="4" t="n">
        <x:v>122</x:v>
      </x:c>
      <x:c r="N1614" s="4" t="n">
        <x:v>48</x:v>
      </x:c>
      <x:c r="O1614" s="4" t="n">
        <x:v>40</x:v>
      </x:c>
      <x:c r="P1614" s="1" t="str">
        <x:v>PASS</x:v>
      </x:c>
      <x:c r="Q1614" s="4" t="n">
        <x:v>0</x:v>
      </x:c>
      <x:c r="R1614" s="1" t="str">
        <x:v>FAIL</x:v>
      </x:c>
      <x:c r="S1614" s="4" t="n">
        <x:v>186</x:v>
      </x:c>
      <x:c r="T1614" s="1" t="str">
        <x:v>INCONCLUSIVE</x:v>
      </x:c>
      <x:c r="U1614" s="1" t="str">
        <x:v>Math_75</x:v>
      </x:c>
      <x:c r="V1614" s="6" t="n">
        <x:v>70</x:v>
      </x:c>
    </x:row>
    <x:row r="1615" ht="22" customHeight="1">
      <x:c r="A1615" s="1" t="str">
        <x:v>Round2</x:v>
      </x:c>
      <x:c r="B1615" s="1" t="str">
        <x:v>Math</x:v>
      </x:c>
      <x:c r="C1615" s="4" t="n">
        <x:v>76</x:v>
      </x:c>
      <x:c r="D1615" s="4" t="n">
        <x:v>20260928</x:v>
      </x:c>
      <x:c r="E1615" s="4" t="n">
        <x:v>60</x:v>
      </x:c>
      <x:c r="F1615" s="4" t="n">
        <x:v>21</x:v>
      </x:c>
      <x:c r="G1615" s="5" t="n">
        <x:v>0.016</x:v>
      </x:c>
      <x:c r="H1615" s="5" t="n">
        <x:v>0.022400000000000003</x:v>
      </x:c>
      <x:c r="I1615" s="5" t="n">
        <x:v>0</x:v>
      </x:c>
      <x:c r="J1615" s="4" t="n">
        <x:v>188</x:v>
      </x:c>
      <x:c r="K1615" s="4" t="n">
        <x:v>3</x:v>
      </x:c>
      <x:c r="L1615" s="4" t="n">
        <x:v>134</x:v>
      </x:c>
      <x:c r="M1615" s="4" t="n">
        <x:v>3</x:v>
      </x:c>
      <x:c r="N1615" s="4" t="n">
        <x:v>54</x:v>
      </x:c>
      <x:c r="O1615" s="4" t="n">
        <x:v>0</x:v>
      </x:c>
      <x:c r="P1615" s="1" t="str">
        <x:v>PASS</x:v>
      </x:c>
      <x:c r="Q1615" s="4" t="n">
        <x:v>0</x:v>
      </x:c>
      <x:c r="R1615" s="1" t="str">
        <x:v>PASS</x:v>
      </x:c>
      <x:c r="S1615" s="4" t="n">
        <x:v>0</x:v>
      </x:c>
      <x:c r="T1615" s="1" t="str">
        <x:v>NOT_REVEALING</x:v>
      </x:c>
      <x:c r="U1615" s="1" t="str">
        <x:v>Math_76</x:v>
      </x:c>
      <x:c r="V1615" s="6" t="n">
        <x:v>33.83</x:v>
      </x:c>
    </x:row>
    <x:row r="1616" ht="22" customHeight="1">
      <x:c r="A1616" s="1" t="str">
        <x:v>Round2</x:v>
      </x:c>
      <x:c r="B1616" s="1" t="str">
        <x:v>Math</x:v>
      </x:c>
      <x:c r="C1616" s="4" t="n">
        <x:v>77</x:v>
      </x:c>
      <x:c r="D1616" s="4" t="n">
        <x:v>20260928</x:v>
      </x:c>
      <x:c r="E1616" s="4" t="n">
        <x:v>60</x:v>
      </x:c>
      <x:c r="F1616" s="4" t="n">
        <x:v>3431</x:v>
      </x:c>
      <x:c r="G1616" s="5" t="n">
        <x:v>0.7845</x:v>
      </x:c>
      <x:c r="H1616" s="5" t="n">
        <x:v>0.8184999999999999</x:v>
      </x:c>
      <x:c r="I1616" s="5" t="n">
        <x:v>0.7041</x:v>
      </x:c>
      <x:c r="J1616" s="4" t="n">
        <x:v>1137</x:v>
      </x:c>
      <x:c r="K1616" s="4" t="n">
        <x:v>892</x:v>
      </x:c>
      <x:c r="L1616" s="4" t="n">
        <x:v>799</x:v>
      </x:c>
      <x:c r="M1616" s="4" t="n">
        <x:v>654</x:v>
      </x:c>
      <x:c r="N1616" s="4" t="n">
        <x:v>338</x:v>
      </x:c>
      <x:c r="O1616" s="4" t="n">
        <x:v>238</x:v>
      </x:c>
      <x:c r="P1616" s="1" t="str">
        <x:v>FAIL</x:v>
      </x:c>
      <x:c r="Q1616" s="4" t="n">
        <x:v>284</x:v>
      </x:c>
      <x:c r="R1616" s="1" t="str">
        <x:v>FAIL</x:v>
      </x:c>
      <x:c r="S1616" s="4" t="n">
        <x:v>292</x:v>
      </x:c>
      <x:c r="T1616" s="1" t="str">
        <x:v>INCONCLUSIVE</x:v>
      </x:c>
      <x:c r="U1616" s="1" t="str">
        <x:v>Math_77</x:v>
      </x:c>
      <x:c r="V1616" s="6" t="n">
        <x:v>69.82</x:v>
      </x:c>
    </x:row>
    <x:row r="1617" ht="22" customHeight="1">
      <x:c r="A1617" s="1" t="str">
        <x:v>Round2</x:v>
      </x:c>
      <x:c r="B1617" s="1" t="str">
        <x:v>Math</x:v>
      </x:c>
      <x:c r="C1617" s="4" t="n">
        <x:v>78</x:v>
      </x:c>
      <x:c r="D1617" s="4" t="n">
        <x:v>20260928</x:v>
      </x:c>
      <x:c r="E1617" s="4" t="n">
        <x:v>60</x:v>
      </x:c>
      <x:c r="F1617" s="4" t="n">
        <x:v>2873</x:v>
      </x:c>
      <x:c r="G1617" s="5" t="n">
        <x:v>0.2071</x:v>
      </x:c>
      <x:c r="H1617" s="5" t="n">
        <x:v>0.3</x:v>
      </x:c>
      <x:c r="I1617" s="5" t="n">
        <x:v>0.04</x:v>
      </x:c>
      <x:c r="J1617" s="4" t="n">
        <x:v>140</x:v>
      </x:c>
      <x:c r="K1617" s="4" t="n">
        <x:v>29</x:v>
      </x:c>
      <x:c r="L1617" s="4" t="n">
        <x:v>90</x:v>
      </x:c>
      <x:c r="M1617" s="4" t="n">
        <x:v>27</x:v>
      </x:c>
      <x:c r="N1617" s="4" t="n">
        <x:v>50</x:v>
      </x:c>
      <x:c r="O1617" s="4" t="n">
        <x:v>2</x:v>
      </x:c>
      <x:c r="P1617" s="1" t="str">
        <x:v>PASS</x:v>
      </x:c>
      <x:c r="Q1617" s="4" t="n">
        <x:v>0</x:v>
      </x:c>
      <x:c r="R1617" s="1" t="str">
        <x:v>PASS</x:v>
      </x:c>
      <x:c r="S1617" s="4" t="n">
        <x:v>0</x:v>
      </x:c>
      <x:c r="T1617" s="1" t="str">
        <x:v>NOT_REVEALING</x:v>
      </x:c>
      <x:c r="U1617" s="1" t="str">
        <x:v>Math_78</x:v>
      </x:c>
      <x:c r="V1617" s="6" t="n">
        <x:v>56.32</x:v>
      </x:c>
    </x:row>
    <x:row r="1618" ht="22" customHeight="1">
      <x:c r="A1618" s="1" t="str">
        <x:v>Round2</x:v>
      </x:c>
      <x:c r="B1618" s="1" t="str">
        <x:v>Math</x:v>
      </x:c>
      <x:c r="C1618" s="4" t="n">
        <x:v>79</x:v>
      </x:c>
      <x:c r="D1618" s="4" t="n">
        <x:v>20260928</x:v>
      </x:c>
      <x:c r="E1618" s="4" t="n">
        <x:v>60</x:v>
      </x:c>
      <x:c r="F1618" s="4" t="n">
        <x:v>524</x:v>
      </x:c>
      <x:c r="G1618" s="5" t="n">
        <x:v>0.7765000000000001</x:v>
      </x:c>
      <x:c r="H1618" s="5" t="n">
        <x:v>0.8119</x:v>
      </x:c>
      <x:c r="I1618" s="5" t="n">
        <x:v>0.7333</x:v>
      </x:c>
      <x:c r="J1618" s="4" t="n">
        <x:v>765</x:v>
      </x:c>
      <x:c r="K1618" s="4" t="n">
        <x:v>594</x:v>
      </x:c>
      <x:c r="L1618" s="4" t="n">
        <x:v>420</x:v>
      </x:c>
      <x:c r="M1618" s="4" t="n">
        <x:v>341</x:v>
      </x:c>
      <x:c r="N1618" s="4" t="n">
        <x:v>345</x:v>
      </x:c>
      <x:c r="O1618" s="4" t="n">
        <x:v>253</x:v>
      </x:c>
      <x:c r="P1618" s="1" t="str">
        <x:v>PASS</x:v>
      </x:c>
      <x:c r="Q1618" s="4" t="n">
        <x:v>0</x:v>
      </x:c>
      <x:c r="R1618" s="1" t="str">
        <x:v>PASS</x:v>
      </x:c>
      <x:c r="S1618" s="4" t="n">
        <x:v>0</x:v>
      </x:c>
      <x:c r="T1618" s="1" t="str">
        <x:v>NOT_REVEALING</x:v>
      </x:c>
      <x:c r="U1618" s="1" t="str">
        <x:v>Math_79</x:v>
      </x:c>
      <x:c r="V1618" s="6" t="n">
        <x:v>564.1</x:v>
      </x:c>
    </x:row>
    <x:row r="1619" ht="22" customHeight="1">
      <x:c r="A1619" s="1" t="str">
        <x:v>Round2</x:v>
      </x:c>
      <x:c r="B1619" s="1" t="str">
        <x:v>Math</x:v>
      </x:c>
      <x:c r="C1619" s="4" t="n">
        <x:v>80</x:v>
      </x:c>
      <x:c r="D1619" s="4" t="n">
        <x:v>20260928</x:v>
      </x:c>
      <x:c r="E1619" s="4" t="n">
        <x:v>60</x:v>
      </x:c>
      <x:c r="F1619" s="4" t="n">
        <x:v>5394</x:v>
      </x:c>
      <x:c r="G1619" s="5" t="n">
        <x:v>0.2254</x:v>
      </x:c>
      <x:c r="H1619" s="5" t="n">
        <x:v>0.262</x:v>
      </x:c>
      <x:c r="I1619" s="5" t="n">
        <x:v>0.14980000000000002</x:v>
      </x:c>
      <x:c r="J1619" s="4" t="n">
        <x:v>1269</x:v>
      </x:c>
      <x:c r="K1619" s="4" t="n">
        <x:v>286</x:v>
      </x:c>
      <x:c r="L1619" s="4" t="n">
        <x:v>855</x:v>
      </x:c>
      <x:c r="M1619" s="4" t="n">
        <x:v>224</x:v>
      </x:c>
      <x:c r="N1619" s="4" t="n">
        <x:v>414</x:v>
      </x:c>
      <x:c r="O1619" s="4" t="n">
        <x:v>62</x:v>
      </x:c>
      <x:c r="P1619" s="1" t="str">
        <x:v>PASS</x:v>
      </x:c>
      <x:c r="Q1619" s="4" t="n">
        <x:v>0</x:v>
      </x:c>
      <x:c r="R1619" s="1" t="str">
        <x:v>PASS</x:v>
      </x:c>
      <x:c r="S1619" s="4" t="n">
        <x:v>0</x:v>
      </x:c>
      <x:c r="T1619" s="1" t="str">
        <x:v>NOT_REVEALING</x:v>
      </x:c>
      <x:c r="U1619" s="1" t="str">
        <x:v>Math_80</x:v>
      </x:c>
      <x:c r="V1619" s="6" t="n">
        <x:v>50.75</x:v>
      </x:c>
    </x:row>
    <x:row r="1620" ht="22" customHeight="1">
      <x:c r="A1620" s="1" t="str">
        <x:v>Round2</x:v>
      </x:c>
      <x:c r="B1620" s="1" t="str">
        <x:v>Math</x:v>
      </x:c>
      <x:c r="C1620" s="4" t="n">
        <x:v>81</x:v>
      </x:c>
      <x:c r="D1620" s="4" t="n">
        <x:v>20260928</x:v>
      </x:c>
      <x:c r="E1620" s="4" t="n">
        <x:v>60</x:v>
      </x:c>
      <x:c r="F1620" s="4" t="n">
        <x:v>5360</x:v>
      </x:c>
      <x:c r="G1620" s="5" t="n">
        <x:v>0.2248</x:v>
      </x:c>
      <x:c r="H1620" s="5" t="n">
        <x:v>0.2611</x:v>
      </x:c>
      <x:c r="I1620" s="5" t="n">
        <x:v>0.14980000000000002</x:v>
      </x:c>
      <x:c r="J1620" s="4" t="n">
        <x:v>1268</x:v>
      </x:c>
      <x:c r="K1620" s="4" t="n">
        <x:v>285</x:v>
      </x:c>
      <x:c r="L1620" s="4" t="n">
        <x:v>854</x:v>
      </x:c>
      <x:c r="M1620" s="4" t="n">
        <x:v>223</x:v>
      </x:c>
      <x:c r="N1620" s="4" t="n">
        <x:v>414</x:v>
      </x:c>
      <x:c r="O1620" s="4" t="n">
        <x:v>62</x:v>
      </x:c>
      <x:c r="P1620" s="1" t="str">
        <x:v>PASS</x:v>
      </x:c>
      <x:c r="Q1620" s="4" t="n">
        <x:v>0</x:v>
      </x:c>
      <x:c r="R1620" s="1" t="str">
        <x:v>PASS</x:v>
      </x:c>
      <x:c r="S1620" s="4" t="n">
        <x:v>0</x:v>
      </x:c>
      <x:c r="T1620" s="1" t="str">
        <x:v>NOT_REVEALING</x:v>
      </x:c>
      <x:c r="U1620" s="1" t="str">
        <x:v>Math_81</x:v>
      </x:c>
      <x:c r="V1620" s="6" t="n">
        <x:v>51.13</x:v>
      </x:c>
    </x:row>
    <x:row r="1621" ht="22" customHeight="1">
      <x:c r="A1621" s="1" t="str">
        <x:v>Round2</x:v>
      </x:c>
      <x:c r="B1621" s="1" t="str">
        <x:v>Math</x:v>
      </x:c>
      <x:c r="C1621" s="4" t="n">
        <x:v>82</x:v>
      </x:c>
      <x:c r="D1621" s="4" t="n">
        <x:v>20260928</x:v>
      </x:c>
      <x:c r="E1621" s="4" t="n">
        <x:v>60</x:v>
      </x:c>
      <x:c r="F1621" s="4" t="n">
        <x:v>5864</x:v>
      </x:c>
      <x:c r="G1621" s="5" t="n">
        <x:v>0.1354</x:v>
      </x:c>
      <x:c r="H1621" s="5" t="n">
        <x:v>0.2167</x:v>
      </x:c>
      <x:c r="I1621" s="5" t="n">
        <x:v>0</x:v>
      </x:c>
      <x:c r="J1621" s="4" t="n">
        <x:v>96</x:v>
      </x:c>
      <x:c r="K1621" s="4" t="n">
        <x:v>13</x:v>
      </x:c>
      <x:c r="L1621" s="4" t="n">
        <x:v>60</x:v>
      </x:c>
      <x:c r="M1621" s="4" t="n">
        <x:v>13</x:v>
      </x:c>
      <x:c r="N1621" s="4" t="n">
        <x:v>36</x:v>
      </x:c>
      <x:c r="O1621" s="4" t="n">
        <x:v>0</x:v>
      </x:c>
      <x:c r="P1621" s="1" t="str">
        <x:v>FAIL</x:v>
      </x:c>
      <x:c r="Q1621" s="4" t="n">
        <x:v>1646</x:v>
      </x:c>
      <x:c r="R1621" s="1" t="str">
        <x:v>FAIL</x:v>
      </x:c>
      <x:c r="S1621" s="4" t="n">
        <x:v>1646</x:v>
      </x:c>
      <x:c r="T1621" s="1" t="str">
        <x:v>INCONCLUSIVE</x:v>
      </x:c>
      <x:c r="U1621" s="1" t="str">
        <x:v>Math_82</x:v>
      </x:c>
      <x:c r="V1621" s="6" t="n">
        <x:v>47.1</x:v>
      </x:c>
    </x:row>
    <x:row r="1622" ht="22" customHeight="1">
      <x:c r="A1622" s="1" t="str">
        <x:v>Round2</x:v>
      </x:c>
      <x:c r="B1622" s="1" t="str">
        <x:v>Math</x:v>
      </x:c>
      <x:c r="C1622" s="4" t="n">
        <x:v>83</x:v>
      </x:c>
      <x:c r="D1622" s="4" t="n">
        <x:v>20260928</x:v>
      </x:c>
      <x:c r="E1622" s="4" t="n">
        <x:v>60</x:v>
      </x:c>
      <x:c r="F1622" s="4" t="n">
        <x:v>138</x:v>
      </x:c>
      <x:c r="G1622" s="5" t="n">
        <x:v>0.024300000000000002</x:v>
      </x:c>
      <x:c r="H1622" s="5" t="n">
        <x:v>0.0387</x:v>
      </x:c>
      <x:c r="I1622" s="5" t="n">
        <x:v>0</x:v>
      </x:c>
      <x:c r="J1622" s="4" t="n">
        <x:v>247</x:v>
      </x:c>
      <x:c r="K1622" s="4" t="n">
        <x:v>6</x:v>
      </x:c>
      <x:c r="L1622" s="4" t="n">
        <x:v>155</x:v>
      </x:c>
      <x:c r="M1622" s="4" t="n">
        <x:v>6</x:v>
      </x:c>
      <x:c r="N1622" s="4" t="n">
        <x:v>92</x:v>
      </x:c>
      <x:c r="O1622" s="4" t="n">
        <x:v>0</x:v>
      </x:c>
      <x:c r="P1622" s="1" t="str">
        <x:v>PASS</x:v>
      </x:c>
      <x:c r="Q1622" s="4" t="n">
        <x:v>0</x:v>
      </x:c>
      <x:c r="R1622" s="1" t="str">
        <x:v>PASS</x:v>
      </x:c>
      <x:c r="S1622" s="4" t="n">
        <x:v>0</x:v>
      </x:c>
      <x:c r="T1622" s="1" t="str">
        <x:v>NOT_REVEALING</x:v>
      </x:c>
      <x:c r="U1622" s="1" t="str">
        <x:v>Math_83</x:v>
      </x:c>
      <x:c r="V1622" s="6" t="n">
        <x:v>30.06</x:v>
      </x:c>
    </x:row>
    <x:row r="1623" ht="22" customHeight="1">
      <x:c r="A1623" s="1" t="str">
        <x:v>Round2</x:v>
      </x:c>
      <x:c r="B1623" s="1" t="str">
        <x:v>Math</x:v>
      </x:c>
      <x:c r="C1623" s="4" t="n">
        <x:v>84</x:v>
      </x:c>
      <x:c r="D1623" s="4" t="n">
        <x:v>20260928</x:v>
      </x:c>
      <x:c r="E1623" s="4" t="n">
        <x:v>60</x:v>
      </x:c>
      <x:c r="F1623" s="4" t="n">
        <x:v>3721</x:v>
      </x:c>
      <x:c r="G1623" s="5" t="n">
        <x:v>0.25</x:v>
      </x:c>
      <x:c r="H1623" s="5" t="n">
        <x:v>0.3235</x:v>
      </x:c>
      <x:c r="I1623" s="5" t="n">
        <x:v>0</x:v>
      </x:c>
      <x:c r="J1623" s="4" t="n">
        <x:v>44</x:v>
      </x:c>
      <x:c r="K1623" s="4" t="n">
        <x:v>11</x:v>
      </x:c>
      <x:c r="L1623" s="4" t="n">
        <x:v>34</x:v>
      </x:c>
      <x:c r="M1623" s="4" t="n">
        <x:v>11</x:v>
      </x:c>
      <x:c r="N1623" s="4" t="n">
        <x:v>10</x:v>
      </x:c>
      <x:c r="O1623" s="4" t="n">
        <x:v>0</x:v>
      </x:c>
      <x:c r="P1623" s="1" t="str">
        <x:v>PASS</x:v>
      </x:c>
      <x:c r="Q1623" s="4" t="n">
        <x:v>0</x:v>
      </x:c>
      <x:c r="R1623" s="1" t="str">
        <x:v>PASS</x:v>
      </x:c>
      <x:c r="S1623" s="4" t="n">
        <x:v>0</x:v>
      </x:c>
      <x:c r="T1623" s="1" t="str">
        <x:v>NOT_REVEALING</x:v>
      </x:c>
      <x:c r="U1623" s="1" t="str">
        <x:v>Math_84</x:v>
      </x:c>
      <x:c r="V1623" s="6" t="n">
        <x:v>49.88</x:v>
      </x:c>
    </x:row>
    <x:row r="1624" ht="22" customHeight="1">
      <x:c r="A1624" s="1" t="str">
        <x:v>Round2</x:v>
      </x:c>
      <x:c r="B1624" s="1" t="str">
        <x:v>Math</x:v>
      </x:c>
      <x:c r="C1624" s="4" t="n">
        <x:v>85</x:v>
      </x:c>
      <x:c r="D1624" s="4" t="n">
        <x:v>20260928</x:v>
      </x:c>
      <x:c r="E1624" s="4" t="n">
        <x:v>60</x:v>
      </x:c>
      <x:c r="F1624" s="4" t="n">
        <x:v>4641</x:v>
      </x:c>
      <x:c r="G1624" s="5" t="n">
        <x:v>0.16670000000000001</x:v>
      </x:c>
      <x:c r="H1624" s="5" t="n">
        <x:v>0.21050000000000002</x:v>
      </x:c>
      <x:c r="I1624" s="5" t="n">
        <x:v>0.0909</x:v>
      </x:c>
      <x:c r="J1624" s="4" t="n">
        <x:v>60</x:v>
      </x:c>
      <x:c r="K1624" s="4" t="n">
        <x:v>10</x:v>
      </x:c>
      <x:c r="L1624" s="4" t="n">
        <x:v>38</x:v>
      </x:c>
      <x:c r="M1624" s="4" t="n">
        <x:v>8</x:v>
      </x:c>
      <x:c r="N1624" s="4" t="n">
        <x:v>22</x:v>
      </x:c>
      <x:c r="O1624" s="4" t="n">
        <x:v>2</x:v>
      </x:c>
      <x:c r="P1624" s="1" t="str">
        <x:v>PASS</x:v>
      </x:c>
      <x:c r="Q1624" s="4" t="n">
        <x:v>0</x:v>
      </x:c>
      <x:c r="R1624" s="1" t="str">
        <x:v>PASS</x:v>
      </x:c>
      <x:c r="S1624" s="4" t="n">
        <x:v>0</x:v>
      </x:c>
      <x:c r="T1624" s="1" t="str">
        <x:v>NOT_REVEALING</x:v>
      </x:c>
      <x:c r="U1624" s="1" t="str">
        <x:v>Math_85</x:v>
      </x:c>
      <x:c r="V1624" s="6" t="n">
        <x:v>37.5</x:v>
      </x:c>
    </x:row>
    <x:row r="1625" ht="22" customHeight="1">
      <x:c r="A1625" s="1" t="str">
        <x:v>Round2</x:v>
      </x:c>
      <x:c r="B1625" s="1" t="str">
        <x:v>Math</x:v>
      </x:c>
      <x:c r="C1625" s="4" t="n">
        <x:v>86</x:v>
      </x:c>
      <x:c r="D1625" s="4" t="n">
        <x:v>20260928</x:v>
      </x:c>
      <x:c r="E1625" s="4" t="n">
        <x:v>60</x:v>
      </x:c>
      <x:c r="F1625" s="4" t="n">
        <x:v>1300</x:v>
      </x:c>
      <x:c r="G1625" s="5" t="n">
        <x:v>0.017</x:v>
      </x:c>
      <x:c r="H1625" s="5" t="n">
        <x:v>0.0259</x:v>
      </x:c>
      <x:c r="I1625" s="5" t="n">
        <x:v>0</x:v>
      </x:c>
      <x:c r="J1625" s="4" t="n">
        <x:v>176</x:v>
      </x:c>
      <x:c r="K1625" s="4" t="n">
        <x:v>3</x:v>
      </x:c>
      <x:c r="L1625" s="4" t="n">
        <x:v>116</x:v>
      </x:c>
      <x:c r="M1625" s="4" t="n">
        <x:v>3</x:v>
      </x:c>
      <x:c r="N1625" s="4" t="n">
        <x:v>60</x:v>
      </x:c>
      <x:c r="O1625" s="4" t="n">
        <x:v>0</x:v>
      </x:c>
      <x:c r="P1625" s="1" t="str">
        <x:v>PASS</x:v>
      </x:c>
      <x:c r="Q1625" s="4" t="n">
        <x:v>0</x:v>
      </x:c>
      <x:c r="R1625" s="1" t="str">
        <x:v>PASS</x:v>
      </x:c>
      <x:c r="S1625" s="4" t="n">
        <x:v>0</x:v>
      </x:c>
      <x:c r="T1625" s="1" t="str">
        <x:v>NOT_REVEALING</x:v>
      </x:c>
      <x:c r="U1625" s="1" t="str">
        <x:v>Math_86</x:v>
      </x:c>
      <x:c r="V1625" s="6" t="n">
        <x:v>31.13</x:v>
      </x:c>
    </x:row>
    <x:row r="1626" ht="22" customHeight="1">
      <x:c r="A1626" s="1" t="str">
        <x:v>Round2</x:v>
      </x:c>
      <x:c r="B1626" s="1" t="str">
        <x:v>Math</x:v>
      </x:c>
      <x:c r="C1626" s="4" t="n">
        <x:v>87</x:v>
      </x:c>
      <x:c r="D1626" s="4" t="n">
        <x:v>20260928</x:v>
      </x:c>
      <x:c r="E1626" s="4" t="n">
        <x:v>60</x:v>
      </x:c>
      <x:c r="F1626" s="4" t="n">
        <x:v>138</x:v>
      </x:c>
      <x:c r="G1626" s="5" t="n">
        <x:v>0.0248</x:v>
      </x:c>
      <x:c r="H1626" s="5" t="n">
        <x:v>0.0395</x:v>
      </x:c>
      <x:c r="I1626" s="5" t="n">
        <x:v>0</x:v>
      </x:c>
      <x:c r="J1626" s="4" t="n">
        <x:v>242</x:v>
      </x:c>
      <x:c r="K1626" s="4" t="n">
        <x:v>6</x:v>
      </x:c>
      <x:c r="L1626" s="4" t="n">
        <x:v>152</x:v>
      </x:c>
      <x:c r="M1626" s="4" t="n">
        <x:v>6</x:v>
      </x:c>
      <x:c r="N1626" s="4" t="n">
        <x:v>90</x:v>
      </x:c>
      <x:c r="O1626" s="4" t="n">
        <x:v>0</x:v>
      </x:c>
      <x:c r="P1626" s="1" t="str">
        <x:v>PASS</x:v>
      </x:c>
      <x:c r="Q1626" s="4" t="n">
        <x:v>0</x:v>
      </x:c>
      <x:c r="R1626" s="1" t="str">
        <x:v>PASS</x:v>
      </x:c>
      <x:c r="S1626" s="4" t="n">
        <x:v>0</x:v>
      </x:c>
      <x:c r="T1626" s="1" t="str">
        <x:v>NOT_REVEALING</x:v>
      </x:c>
      <x:c r="U1626" s="1" t="str">
        <x:v>Math_87</x:v>
      </x:c>
      <x:c r="V1626" s="6" t="n">
        <x:v>28.14</x:v>
      </x:c>
    </x:row>
    <x:row r="1627" ht="22" customHeight="1">
      <x:c r="A1627" s="1" t="str">
        <x:v>Round2</x:v>
      </x:c>
      <x:c r="B1627" s="1" t="str">
        <x:v>Math</x:v>
      </x:c>
      <x:c r="C1627" s="4" t="n">
        <x:v>88</x:v>
      </x:c>
      <x:c r="D1627" s="4" t="n">
        <x:v>20260928</x:v>
      </x:c>
      <x:c r="E1627" s="4" t="n">
        <x:v>60</x:v>
      </x:c>
      <x:c r="F1627" s="4" t="n">
        <x:v>138</x:v>
      </x:c>
      <x:c r="G1627" s="5" t="n">
        <x:v>0.024399999999999998</x:v>
      </x:c>
      <x:c r="H1627" s="5" t="n">
        <x:v>0.0395</x:v>
      </x:c>
      <x:c r="I1627" s="5" t="n">
        <x:v>0</x:v>
      </x:c>
      <x:c r="J1627" s="4" t="n">
        <x:v>246</x:v>
      </x:c>
      <x:c r="K1627" s="4" t="n">
        <x:v>6</x:v>
      </x:c>
      <x:c r="L1627" s="4" t="n">
        <x:v>152</x:v>
      </x:c>
      <x:c r="M1627" s="4" t="n">
        <x:v>6</x:v>
      </x:c>
      <x:c r="N1627" s="4" t="n">
        <x:v>94</x:v>
      </x:c>
      <x:c r="O1627" s="4" t="n">
        <x:v>0</x:v>
      </x:c>
      <x:c r="P1627" s="1" t="str">
        <x:v>PASS</x:v>
      </x:c>
      <x:c r="Q1627" s="4" t="n">
        <x:v>0</x:v>
      </x:c>
      <x:c r="R1627" s="1" t="str">
        <x:v>PASS</x:v>
      </x:c>
      <x:c r="S1627" s="4" t="n">
        <x:v>0</x:v>
      </x:c>
      <x:c r="T1627" s="1" t="str">
        <x:v>NOT_REVEALING</x:v>
      </x:c>
      <x:c r="U1627" s="1" t="str">
        <x:v>Math_88</x:v>
      </x:c>
      <x:c r="V1627" s="6" t="n">
        <x:v>31.05</x:v>
      </x:c>
    </x:row>
    <x:row r="1628" ht="22" customHeight="1">
      <x:c r="A1628" s="1" t="str">
        <x:v>Round2</x:v>
      </x:c>
      <x:c r="B1628" s="1" t="str">
        <x:v>Math</x:v>
      </x:c>
      <x:c r="C1628" s="4" t="n">
        <x:v>89</x:v>
      </x:c>
      <x:c r="D1628" s="4" t="n">
        <x:v>20260928</x:v>
      </x:c>
      <x:c r="E1628" s="4" t="n">
        <x:v>60</x:v>
      </x:c>
      <x:c r="F1628" s="4" t="n">
        <x:v>2780</x:v>
      </x:c>
      <x:c r="G1628" s="5" t="n">
        <x:v>0.9786</x:v>
      </x:c>
      <x:c r="H1628" s="5" t="n">
        <x:v>0.9906999999999999</x:v>
      </x:c>
      <x:c r="I1628" s="5" t="n">
        <x:v>0.9375</x:v>
      </x:c>
      <x:c r="J1628" s="4" t="n">
        <x:v>140</x:v>
      </x:c>
      <x:c r="K1628" s="4" t="n">
        <x:v>137</x:v>
      </x:c>
      <x:c r="L1628" s="4" t="n">
        <x:v>108</x:v>
      </x:c>
      <x:c r="M1628" s="4" t="n">
        <x:v>107</x:v>
      </x:c>
      <x:c r="N1628" s="4" t="n">
        <x:v>32</x:v>
      </x:c>
      <x:c r="O1628" s="4" t="n">
        <x:v>30</x:v>
      </x:c>
      <x:c r="P1628" s="1" t="str">
        <x:v>PASS</x:v>
      </x:c>
      <x:c r="Q1628" s="4" t="n">
        <x:v>0</x:v>
      </x:c>
      <x:c r="R1628" s="1" t="str">
        <x:v>FAIL</x:v>
      </x:c>
      <x:c r="S1628" s="4" t="n">
        <x:v>196</x:v>
      </x:c>
      <x:c r="T1628" s="1" t="str">
        <x:v>INCONCLUSIVE</x:v>
      </x:c>
      <x:c r="U1628" s="1" t="str">
        <x:v>Math_89</x:v>
      </x:c>
      <x:c r="V1628" s="6" t="n">
        <x:v>47.19</x:v>
      </x:c>
    </x:row>
    <x:row r="1629" ht="22" customHeight="1">
      <x:c r="A1629" s="1" t="str">
        <x:v>Round2</x:v>
      </x:c>
      <x:c r="B1629" s="1" t="str">
        <x:v>Math</x:v>
      </x:c>
      <x:c r="C1629" s="4" t="n">
        <x:v>90</x:v>
      </x:c>
      <x:c r="D1629" s="4" t="n">
        <x:v>20260928</x:v>
      </x:c>
      <x:c r="E1629" s="4" t="n">
        <x:v>60</x:v>
      </x:c>
      <x:c r="F1629" s="4" t="n">
        <x:v>2833</x:v>
      </x:c>
      <x:c r="G1629" s="5" t="n">
        <x:v>0.9783</x:v>
      </x:c>
      <x:c r="H1629" s="5" t="n">
        <x:v>0.9906</x:v>
      </x:c>
      <x:c r="I1629" s="5" t="n">
        <x:v>0.9375</x:v>
      </x:c>
      <x:c r="J1629" s="4" t="n">
        <x:v>138</x:v>
      </x:c>
      <x:c r="K1629" s="4" t="n">
        <x:v>135</x:v>
      </x:c>
      <x:c r="L1629" s="4" t="n">
        <x:v>106</x:v>
      </x:c>
      <x:c r="M1629" s="4" t="n">
        <x:v>105</x:v>
      </x:c>
      <x:c r="N1629" s="4" t="n">
        <x:v>32</x:v>
      </x:c>
      <x:c r="O1629" s="4" t="n">
        <x:v>30</x:v>
      </x:c>
      <x:c r="P1629" s="1" t="str">
        <x:v>PASS</x:v>
      </x:c>
      <x:c r="Q1629" s="4" t="n">
        <x:v>0</x:v>
      </x:c>
      <x:c r="R1629" s="1" t="str">
        <x:v>FAIL</x:v>
      </x:c>
      <x:c r="S1629" s="4" t="n">
        <x:v>214</x:v>
      </x:c>
      <x:c r="T1629" s="1" t="str">
        <x:v>INCONCLUSIVE</x:v>
      </x:c>
      <x:c r="U1629" s="1" t="str">
        <x:v>Math_90</x:v>
      </x:c>
      <x:c r="V1629" s="6" t="n">
        <x:v>47.4</x:v>
      </x:c>
    </x:row>
    <x:row r="1630" ht="22" customHeight="1">
      <x:c r="A1630" s="1" t="str">
        <x:v>Round2</x:v>
      </x:c>
      <x:c r="B1630" s="1" t="str">
        <x:v>Math</x:v>
      </x:c>
      <x:c r="C1630" s="4" t="n">
        <x:v>91</x:v>
      </x:c>
      <x:c r="D1630" s="4" t="n">
        <x:v>20260928</x:v>
      </x:c>
      <x:c r="E1630" s="4" t="n">
        <x:v>60</x:v>
      </x:c>
      <x:c r="F1630" s="4" t="n">
        <x:v>3388</x:v>
      </x:c>
      <x:c r="G1630" s="5" t="n">
        <x:v>0.9051</x:v>
      </x:c>
      <x:c r="H1630" s="5" t="n">
        <x:v>0.9201999999999999</x:v>
      </x:c>
      <x:c r="I1630" s="5" t="n">
        <x:v>0.8778</x:v>
      </x:c>
      <x:c r="J1630" s="4" t="n">
        <x:v>253</x:v>
      </x:c>
      <x:c r="K1630" s="4" t="n">
        <x:v>229</x:v>
      </x:c>
      <x:c r="L1630" s="4" t="n">
        <x:v>163</x:v>
      </x:c>
      <x:c r="M1630" s="4" t="n">
        <x:v>150</x:v>
      </x:c>
      <x:c r="N1630" s="4" t="n">
        <x:v>90</x:v>
      </x:c>
      <x:c r="O1630" s="4" t="n">
        <x:v>79</x:v>
      </x:c>
      <x:c r="P1630" s="1" t="str">
        <x:v>PASS</x:v>
      </x:c>
      <x:c r="Q1630" s="4" t="n">
        <x:v>0</x:v>
      </x:c>
      <x:c r="R1630" s="1" t="str">
        <x:v>PASS</x:v>
      </x:c>
      <x:c r="S1630" s="4" t="n">
        <x:v>0</x:v>
      </x:c>
      <x:c r="T1630" s="1" t="str">
        <x:v>NOT_REVEALING</x:v>
      </x:c>
      <x:c r="U1630" s="1" t="str">
        <x:v>Math_91</x:v>
      </x:c>
      <x:c r="V1630" s="6" t="n">
        <x:v>47.02</x:v>
      </x:c>
    </x:row>
    <x:row r="1631" ht="22" customHeight="1">
      <x:c r="A1631" s="1" t="str">
        <x:v>Round2</x:v>
      </x:c>
      <x:c r="B1631" s="1" t="str">
        <x:v>Math</x:v>
      </x:c>
      <x:c r="C1631" s="4" t="n">
        <x:v>92</x:v>
      </x:c>
      <x:c r="D1631" s="4" t="n">
        <x:v>20260928</x:v>
      </x:c>
      <x:c r="E1631" s="4" t="n">
        <x:v>60</x:v>
      </x:c>
      <x:c r="F1631" s="4" t="n">
        <x:v>167</x:v>
      </x:c>
      <x:c r="G1631" s="5" t="n">
        <x:v>0.6211</x:v>
      </x:c>
      <x:c r="H1631" s="5" t="n">
        <x:v>0.6623</x:v>
      </x:c>
      <x:c r="I1631" s="5" t="n">
        <x:v>0.5785</x:v>
      </x:c>
      <x:c r="J1631" s="4" t="n">
        <x:v>454</x:v>
      </x:c>
      <x:c r="K1631" s="4" t="n">
        <x:v>282</x:v>
      </x:c>
      <x:c r="L1631" s="4" t="n">
        <x:v>231</x:v>
      </x:c>
      <x:c r="M1631" s="4" t="n">
        <x:v>153</x:v>
      </x:c>
      <x:c r="N1631" s="4" t="n">
        <x:v>223</x:v>
      </x:c>
      <x:c r="O1631" s="4" t="n">
        <x:v>129</x:v>
      </x:c>
      <x:c r="P1631" s="1" t="str">
        <x:v>PASS</x:v>
      </x:c>
      <x:c r="Q1631" s="4" t="n">
        <x:v>0</x:v>
      </x:c>
      <x:c r="R1631" s="1" t="str">
        <x:v>PASS</x:v>
      </x:c>
      <x:c r="S1631" s="4" t="n">
        <x:v>0</x:v>
      </x:c>
      <x:c r="T1631" s="1" t="str">
        <x:v>NOT_REVEALING</x:v>
      </x:c>
      <x:c r="U1631" s="1" t="str">
        <x:v>Math_92</x:v>
      </x:c>
      <x:c r="V1631" s="6" t="n">
        <x:v>461.24</x:v>
      </x:c>
    </x:row>
    <x:row r="1632" ht="22" customHeight="1">
      <x:c r="A1632" s="1" t="str">
        <x:v>Round2</x:v>
      </x:c>
      <x:c r="B1632" s="1" t="str">
        <x:v>Math</x:v>
      </x:c>
      <x:c r="C1632" s="4" t="n">
        <x:v>93</x:v>
      </x:c>
      <x:c r="D1632" s="4" t="n">
        <x:v>20260928</x:v>
      </x:c>
      <x:c r="E1632" s="4" t="n">
        <x:v>60</x:v>
      </x:c>
      <x:c r="F1632" s="4" t="n">
        <x:v>167</x:v>
      </x:c>
      <x:c r="G1632" s="5" t="n">
        <x:v>0.6163000000000001</x:v>
      </x:c>
      <x:c r="H1632" s="5" t="n">
        <x:v>0.6593000000000001</x:v>
      </x:c>
      <x:c r="I1632" s="5" t="n">
        <x:v>0.5714</x:v>
      </x:c>
      <x:c r="J1632" s="4" t="n">
        <x:v>443</x:v>
      </x:c>
      <x:c r="K1632" s="4" t="n">
        <x:v>273</x:v>
      </x:c>
      <x:c r="L1632" s="4" t="n">
        <x:v>226</x:v>
      </x:c>
      <x:c r="M1632" s="4" t="n">
        <x:v>149</x:v>
      </x:c>
      <x:c r="N1632" s="4" t="n">
        <x:v>217</x:v>
      </x:c>
      <x:c r="O1632" s="4" t="n">
        <x:v>124</x:v>
      </x:c>
      <x:c r="P1632" s="1" t="str">
        <x:v>PASS</x:v>
      </x:c>
      <x:c r="Q1632" s="4" t="n">
        <x:v>0</x:v>
      </x:c>
      <x:c r="R1632" s="1" t="str">
        <x:v>PASS</x:v>
      </x:c>
      <x:c r="S1632" s="4" t="n">
        <x:v>0</x:v>
      </x:c>
      <x:c r="T1632" s="1" t="str">
        <x:v>NOT_REVEALING</x:v>
      </x:c>
      <x:c r="U1632" s="1" t="str">
        <x:v>Math_93</x:v>
      </x:c>
      <x:c r="V1632" s="6" t="n">
        <x:v>457.53</x:v>
      </x:c>
    </x:row>
    <x:row r="1633" ht="22" customHeight="1">
      <x:c r="A1633" s="1" t="str">
        <x:v>Round2</x:v>
      </x:c>
      <x:c r="B1633" s="1" t="str">
        <x:v>Math</x:v>
      </x:c>
      <x:c r="C1633" s="4" t="n">
        <x:v>94</x:v>
      </x:c>
      <x:c r="D1633" s="4" t="n">
        <x:v>20260928</x:v>
      </x:c>
      <x:c r="E1633" s="4" t="n">
        <x:v>60</x:v>
      </x:c>
      <x:c r="F1633" s="4" t="n">
        <x:v>167</x:v>
      </x:c>
      <x:c r="G1633" s="5" t="n">
        <x:v>0.6136</x:v>
      </x:c>
      <x:c r="H1633" s="5" t="n">
        <x:v>0.6578</x:v>
      </x:c>
      <x:c r="I1633" s="5" t="n">
        <x:v>0.5674</x:v>
      </x:c>
      <x:c r="J1633" s="4" t="n">
        <x:v>440</x:v>
      </x:c>
      <x:c r="K1633" s="4" t="n">
        <x:v>270</x:v>
      </x:c>
      <x:c r="L1633" s="4" t="n">
        <x:v>225</x:v>
      </x:c>
      <x:c r="M1633" s="4" t="n">
        <x:v>148</x:v>
      </x:c>
      <x:c r="N1633" s="4" t="n">
        <x:v>215</x:v>
      </x:c>
      <x:c r="O1633" s="4" t="n">
        <x:v>122</x:v>
      </x:c>
      <x:c r="P1633" s="1" t="str">
        <x:v>PASS</x:v>
      </x:c>
      <x:c r="Q1633" s="4" t="n">
        <x:v>0</x:v>
      </x:c>
      <x:c r="R1633" s="1" t="str">
        <x:v>PASS</x:v>
      </x:c>
      <x:c r="S1633" s="4" t="n">
        <x:v>0</x:v>
      </x:c>
      <x:c r="T1633" s="1" t="str">
        <x:v>NOT_REVEALING</x:v>
      </x:c>
      <x:c r="U1633" s="1" t="str">
        <x:v>Math_94</x:v>
      </x:c>
      <x:c r="V1633" s="6" t="n">
        <x:v>458.47</x:v>
      </x:c>
    </x:row>
    <x:row r="1634" ht="22" customHeight="1">
      <x:c r="A1634" s="1" t="str">
        <x:v>Round2</x:v>
      </x:c>
      <x:c r="B1634" s="1" t="str">
        <x:v>Math</x:v>
      </x:c>
      <x:c r="C1634" s="4" t="n">
        <x:v>95</x:v>
      </x:c>
      <x:c r="D1634" s="4" t="n">
        <x:v>20260928</x:v>
      </x:c>
      <x:c r="E1634" s="4" t="n">
        <x:v>60</x:v>
      </x:c>
      <x:c r="F1634" s="4" t="n">
        <x:v>5538</x:v>
      </x:c>
      <x:c r="G1634" s="5" t="n">
        <x:v>1</x:v>
      </x:c>
      <x:c r="H1634" s="5" t="n">
        <x:v>1</x:v>
      </x:c>
      <x:c r="I1634" s="5" t="n">
        <x:v>1</x:v>
      </x:c>
      <x:c r="J1634" s="4" t="n">
        <x:v>40</x:v>
      </x:c>
      <x:c r="K1634" s="4" t="n">
        <x:v>40</x:v>
      </x:c>
      <x:c r="L1634" s="4" t="n">
        <x:v>30</x:v>
      </x:c>
      <x:c r="M1634" s="4" t="n">
        <x:v>30</x:v>
      </x:c>
      <x:c r="N1634" s="4" t="n">
        <x:v>10</x:v>
      </x:c>
      <x:c r="O1634" s="4" t="n">
        <x:v>10</x:v>
      </x:c>
      <x:c r="P1634" s="1" t="str">
        <x:v>PASS</x:v>
      </x:c>
      <x:c r="Q1634" s="4" t="n">
        <x:v>0</x:v>
      </x:c>
      <x:c r="R1634" s="1" t="str">
        <x:v>NOT_RUN</x:v>
      </x:c>
      <x:c r="S1634" s="4"/>
      <x:c r="T1634" s="1" t="str">
        <x:v>NOT_AVAILABLE</x:v>
      </x:c>
      <x:c r="U1634" s="1" t="str">
        <x:v>Math_95</x:v>
      </x:c>
      <x:c r="V1634" s="6" t="n">
        <x:v>631.31</x:v>
      </x:c>
    </x:row>
    <x:row r="1635" ht="22" customHeight="1">
      <x:c r="A1635" s="1" t="str">
        <x:v>Round2</x:v>
      </x:c>
      <x:c r="B1635" s="1" t="str">
        <x:v>Math</x:v>
      </x:c>
      <x:c r="C1635" s="4" t="n">
        <x:v>96</x:v>
      </x:c>
      <x:c r="D1635" s="4" t="n">
        <x:v>20260928</x:v>
      </x:c>
      <x:c r="E1635" s="4" t="n">
        <x:v>60</x:v>
      </x:c>
      <x:c r="F1635" s="4" t="n">
        <x:v>3729</x:v>
      </x:c>
      <x:c r="G1635" s="5" t="n">
        <x:v>0.9426000000000001</x:v>
      </x:c>
      <x:c r="H1635" s="5" t="n">
        <x:v>0.9506999999999999</x:v>
      </x:c>
      <x:c r="I1635" s="5" t="n">
        <x:v>0.9314</x:v>
      </x:c>
      <x:c r="J1635" s="4" t="n">
        <x:v>244</x:v>
      </x:c>
      <x:c r="K1635" s="4" t="n">
        <x:v>230</x:v>
      </x:c>
      <x:c r="L1635" s="4" t="n">
        <x:v>142</x:v>
      </x:c>
      <x:c r="M1635" s="4" t="n">
        <x:v>135</x:v>
      </x:c>
      <x:c r="N1635" s="4" t="n">
        <x:v>102</x:v>
      </x:c>
      <x:c r="O1635" s="4" t="n">
        <x:v>95</x:v>
      </x:c>
      <x:c r="P1635" s="1" t="str">
        <x:v>PASS</x:v>
      </x:c>
      <x:c r="Q1635" s="4" t="n">
        <x:v>0</x:v>
      </x:c>
      <x:c r="R1635" s="1" t="str">
        <x:v>PASS</x:v>
      </x:c>
      <x:c r="S1635" s="4" t="n">
        <x:v>0</x:v>
      </x:c>
      <x:c r="T1635" s="1" t="str">
        <x:v>NOT_REVEALING</x:v>
      </x:c>
      <x:c r="U1635" s="1" t="str">
        <x:v>Math_96</x:v>
      </x:c>
      <x:c r="V1635" s="6" t="n">
        <x:v>47.97</x:v>
      </x:c>
    </x:row>
    <x:row r="1636" ht="22" customHeight="1">
      <x:c r="A1636" s="1" t="str">
        <x:v>Round2</x:v>
      </x:c>
      <x:c r="B1636" s="1" t="str">
        <x:v>Math</x:v>
      </x:c>
      <x:c r="C1636" s="4" t="n">
        <x:v>97</x:v>
      </x:c>
      <x:c r="D1636" s="4" t="n">
        <x:v>20260928</x:v>
      </x:c>
      <x:c r="E1636" s="4" t="n">
        <x:v>60</x:v>
      </x:c>
      <x:c r="F1636" s="4" t="n">
        <x:v>2</x:v>
      </x:c>
      <x:c r="G1636" s="5" t="n">
        <x:v>0.0074</x:v>
      </x:c>
      <x:c r="H1636" s="5" t="n">
        <x:v>0.011200000000000002</x:v>
      </x:c>
      <x:c r="I1636" s="5" t="n">
        <x:v>0</x:v>
      </x:c>
      <x:c r="J1636" s="4" t="n">
        <x:v>135</x:v>
      </x:c>
      <x:c r="K1636" s="4" t="n">
        <x:v>1</x:v>
      </x:c>
      <x:c r="L1636" s="4" t="n">
        <x:v>89</x:v>
      </x:c>
      <x:c r="M1636" s="4" t="n">
        <x:v>1</x:v>
      </x:c>
      <x:c r="N1636" s="4" t="n">
        <x:v>46</x:v>
      </x:c>
      <x:c r="O1636" s="4" t="n">
        <x:v>0</x:v>
      </x:c>
      <x:c r="P1636" s="1" t="str">
        <x:v>PASS</x:v>
      </x:c>
      <x:c r="Q1636" s="4" t="n">
        <x:v>0</x:v>
      </x:c>
      <x:c r="R1636" s="1" t="str">
        <x:v>PASS</x:v>
      </x:c>
      <x:c r="S1636" s="4" t="n">
        <x:v>0</x:v>
      </x:c>
      <x:c r="T1636" s="1" t="str">
        <x:v>NOT_REVEALING</x:v>
      </x:c>
      <x:c r="U1636" s="1" t="str">
        <x:v>Math_97</x:v>
      </x:c>
      <x:c r="V1636" s="6" t="n">
        <x:v>23.64</x:v>
      </x:c>
    </x:row>
    <x:row r="1637" ht="22" customHeight="1">
      <x:c r="A1637" s="1" t="str">
        <x:v>Round2</x:v>
      </x:c>
      <x:c r="B1637" s="1" t="str">
        <x:v>Math</x:v>
      </x:c>
      <x:c r="C1637" s="4" t="n">
        <x:v>98</x:v>
      </x:c>
      <x:c r="D1637" s="4" t="n">
        <x:v>20260928</x:v>
      </x:c>
      <x:c r="E1637" s="4" t="n">
        <x:v>60</x:v>
      </x:c>
      <x:c r="F1637" s="4" t="n">
        <x:v>4192</x:v>
      </x:c>
      <x:c r="G1637" s="5" t="n">
        <x:v>0.7140000000000001</x:v>
      </x:c>
      <x:c r="H1637" s="5" t="n">
        <x:v>0.7298</x:v>
      </x:c>
      <x:c r="I1637" s="5" t="n">
        <x:v>0.6877</x:v>
      </x:c>
      <x:c r="J1637" s="4" t="n">
        <x:v>1472</x:v>
      </x:c>
      <x:c r="K1637" s="4" t="n">
        <x:v>1051</x:v>
      </x:c>
      <x:c r="L1637" s="4" t="n">
        <x:v>918</x:v>
      </x:c>
      <x:c r="M1637" s="4" t="n">
        <x:v>670</x:v>
      </x:c>
      <x:c r="N1637" s="4" t="n">
        <x:v>554</x:v>
      </x:c>
      <x:c r="O1637" s="4" t="n">
        <x:v>381</x:v>
      </x:c>
      <x:c r="P1637" s="1" t="str">
        <x:v>FAIL</x:v>
      </x:c>
      <x:c r="Q1637" s="4" t="n">
        <x:v>380</x:v>
      </x:c>
      <x:c r="R1637" s="1" t="str">
        <x:v>FAIL</x:v>
      </x:c>
      <x:c r="S1637" s="4" t="n">
        <x:v>386</x:v>
      </x:c>
      <x:c r="T1637" s="1" t="str">
        <x:v>INCONCLUSIVE</x:v>
      </x:c>
      <x:c r="U1637" s="1" t="str">
        <x:v>Math_98</x:v>
      </x:c>
      <x:c r="V1637" s="6" t="n">
        <x:v>54</x:v>
      </x:c>
    </x:row>
    <x:row r="1638" ht="22" customHeight="1">
      <x:c r="A1638" s="1" t="str">
        <x:v>Round2</x:v>
      </x:c>
      <x:c r="B1638" s="1" t="str">
        <x:v>Math</x:v>
      </x:c>
      <x:c r="C1638" s="4" t="n">
        <x:v>99</x:v>
      </x:c>
      <x:c r="D1638" s="4" t="n">
        <x:v>20260928</x:v>
      </x:c>
      <x:c r="E1638" s="4" t="n">
        <x:v>60</x:v>
      </x:c>
      <x:c r="F1638" s="4" t="n">
        <x:v>712</x:v>
      </x:c>
      <x:c r="G1638" s="5" t="n">
        <x:v>0.7593000000000001</x:v>
      </x:c>
      <x:c r="H1638" s="5" t="n">
        <x:v>0.7620999999999999</x:v>
      </x:c>
      <x:c r="I1638" s="5" t="n">
        <x:v>0.7565000000000001</x:v>
      </x:c>
      <x:c r="J1638" s="4" t="n">
        <x:v>540</x:v>
      </x:c>
      <x:c r="K1638" s="4" t="n">
        <x:v>410</x:v>
      </x:c>
      <x:c r="L1638" s="4" t="n">
        <x:v>269</x:v>
      </x:c>
      <x:c r="M1638" s="4" t="n">
        <x:v>205</x:v>
      </x:c>
      <x:c r="N1638" s="4" t="n">
        <x:v>271</x:v>
      </x:c>
      <x:c r="O1638" s="4" t="n">
        <x:v>205</x:v>
      </x:c>
      <x:c r="P1638" s="1" t="str">
        <x:v>PASS</x:v>
      </x:c>
      <x:c r="Q1638" s="4" t="n">
        <x:v>0</x:v>
      </x:c>
      <x:c r="R1638" s="1" t="str">
        <x:v>PASS</x:v>
      </x:c>
      <x:c r="S1638" s="4" t="n">
        <x:v>0</x:v>
      </x:c>
      <x:c r="T1638" s="1" t="str">
        <x:v>NOT_REVEALING</x:v>
      </x:c>
      <x:c r="U1638" s="1" t="str">
        <x:v>Math_99</x:v>
      </x:c>
      <x:c r="V1638" s="6" t="n">
        <x:v>576.05</x:v>
      </x:c>
    </x:row>
    <x:row r="1639" ht="22" customHeight="1">
      <x:c r="A1639" s="1" t="str">
        <x:v>Round2</x:v>
      </x:c>
      <x:c r="B1639" s="1" t="str">
        <x:v>Math</x:v>
      </x:c>
      <x:c r="C1639" s="4" t="n">
        <x:v>100</x:v>
      </x:c>
      <x:c r="D1639" s="4" t="n">
        <x:v>20260928</x:v>
      </x:c>
      <x:c r="E1639" s="4" t="n">
        <x:v>60</x:v>
      </x:c>
      <x:c r="F1639" s="4" t="n">
        <x:v>1</x:v>
      </x:c>
      <x:c r="G1639" s="5" t="n">
        <x:v>0</x:v>
      </x:c>
      <x:c r="H1639" s="5" t="n">
        <x:v>0</x:v>
      </x:c>
      <x:c r="I1639" s="5" t="n">
        <x:v>0</x:v>
      </x:c>
      <x:c r="J1639" s="4" t="n">
        <x:v>95</x:v>
      </x:c>
      <x:c r="K1639" s="4" t="n">
        <x:v>0</x:v>
      </x:c>
      <x:c r="L1639" s="4" t="n">
        <x:v>73</x:v>
      </x:c>
      <x:c r="M1639" s="4" t="n">
        <x:v>0</x:v>
      </x:c>
      <x:c r="N1639" s="4" t="n">
        <x:v>22</x:v>
      </x:c>
      <x:c r="O1639" s="4" t="n">
        <x:v>0</x:v>
      </x:c>
      <x:c r="P1639" s="1" t="str">
        <x:v>PASS</x:v>
      </x:c>
      <x:c r="Q1639" s="4" t="n">
        <x:v>0</x:v>
      </x:c>
      <x:c r="R1639" s="1" t="str">
        <x:v>PASS</x:v>
      </x:c>
      <x:c r="S1639" s="4" t="n">
        <x:v>0</x:v>
      </x:c>
      <x:c r="T1639" s="1" t="str">
        <x:v>NOT_REVEALING</x:v>
      </x:c>
      <x:c r="U1639" s="1" t="str">
        <x:v>Math_100</x:v>
      </x:c>
      <x:c r="V1639" s="6" t="n">
        <x:v>30.21</x:v>
      </x:c>
    </x:row>
    <x:row r="1640" ht="22" customHeight="1">
      <x:c r="A1640" s="1" t="str">
        <x:v>Round2</x:v>
      </x:c>
      <x:c r="B1640" s="1" t="str">
        <x:v>Math</x:v>
      </x:c>
      <x:c r="C1640" s="4" t="n">
        <x:v>101</x:v>
      </x:c>
      <x:c r="D1640" s="4" t="n">
        <x:v>20260928</x:v>
      </x:c>
      <x:c r="E1640" s="4" t="n">
        <x:v>60</x:v>
      </x:c>
      <x:c r="F1640" s="4" t="n">
        <x:v>3472</x:v>
      </x:c>
      <x:c r="G1640" s="5" t="n">
        <x:v>0.7077</x:v>
      </x:c>
      <x:c r="H1640" s="5" t="n">
        <x:v>0.7413</x:v>
      </x:c>
      <x:c r="I1640" s="5" t="n">
        <x:v>0.6154</x:v>
      </x:c>
      <x:c r="J1640" s="4" t="n">
        <x:v>195</x:v>
      </x:c>
      <x:c r="K1640" s="4" t="n">
        <x:v>138</x:v>
      </x:c>
      <x:c r="L1640" s="4" t="n">
        <x:v>143</x:v>
      </x:c>
      <x:c r="M1640" s="4" t="n">
        <x:v>106</x:v>
      </x:c>
      <x:c r="N1640" s="4" t="n">
        <x:v>52</x:v>
      </x:c>
      <x:c r="O1640" s="4" t="n">
        <x:v>32</x:v>
      </x:c>
      <x:c r="P1640" s="1" t="str">
        <x:v>PASS</x:v>
      </x:c>
      <x:c r="Q1640" s="4" t="n">
        <x:v>0</x:v>
      </x:c>
      <x:c r="R1640" s="1" t="str">
        <x:v>PASS</x:v>
      </x:c>
      <x:c r="S1640" s="4" t="n">
        <x:v>0</x:v>
      </x:c>
      <x:c r="T1640" s="1" t="str">
        <x:v>NOT_REVEALING</x:v>
      </x:c>
      <x:c r="U1640" s="1" t="str">
        <x:v>Math_101</x:v>
      </x:c>
      <x:c r="V1640" s="6" t="n">
        <x:v>70.27</x:v>
      </x:c>
    </x:row>
    <x:row r="1641" ht="22" customHeight="1">
      <x:c r="A1641" s="1" t="str">
        <x:v>Round2</x:v>
      </x:c>
      <x:c r="B1641" s="1" t="str">
        <x:v>Math</x:v>
      </x:c>
      <x:c r="C1641" s="4" t="n">
        <x:v>102</x:v>
      </x:c>
      <x:c r="D1641" s="4" t="n">
        <x:v>20260928</x:v>
      </x:c>
      <x:c r="E1641" s="4" t="n">
        <x:v>60</x:v>
      </x:c>
      <x:c r="F1641" s="4" t="n">
        <x:v>2527</x:v>
      </x:c>
      <x:c r="G1641" s="5" t="n">
        <x:v>0.934</x:v>
      </x:c>
      <x:c r="H1641" s="5" t="n">
        <x:v>0.973</x:v>
      </x:c>
      <x:c r="I1641" s="5" t="n">
        <x:v>0.8837</x:v>
      </x:c>
      <x:c r="J1641" s="4" t="n">
        <x:v>197</x:v>
      </x:c>
      <x:c r="K1641" s="4" t="n">
        <x:v>184</x:v>
      </x:c>
      <x:c r="L1641" s="4" t="n">
        <x:v>111</x:v>
      </x:c>
      <x:c r="M1641" s="4" t="n">
        <x:v>108</x:v>
      </x:c>
      <x:c r="N1641" s="4" t="n">
        <x:v>86</x:v>
      </x:c>
      <x:c r="O1641" s="4" t="n">
        <x:v>76</x:v>
      </x:c>
      <x:c r="P1641" s="1" t="str">
        <x:v>PASS</x:v>
      </x:c>
      <x:c r="Q1641" s="4" t="n">
        <x:v>0</x:v>
      </x:c>
      <x:c r="R1641" s="1" t="str">
        <x:v>FAIL</x:v>
      </x:c>
      <x:c r="S1641" s="4" t="n">
        <x:v>58</x:v>
      </x:c>
      <x:c r="T1641" s="1" t="str">
        <x:v>INCONCLUSIVE</x:v>
      </x:c>
      <x:c r="U1641" s="1" t="str">
        <x:v>Math_102</x:v>
      </x:c>
      <x:c r="V1641" s="6" t="n">
        <x:v>57.27</x:v>
      </x:c>
    </x:row>
    <x:row r="1642" ht="22" customHeight="1">
      <x:c r="A1642" s="1" t="str">
        <x:v>Round2</x:v>
      </x:c>
      <x:c r="B1642" s="1" t="str">
        <x:v>Math</x:v>
      </x:c>
      <x:c r="C1642" s="4" t="n">
        <x:v>103</x:v>
      </x:c>
      <x:c r="D1642" s="4" t="n">
        <x:v>20260928</x:v>
      </x:c>
      <x:c r="E1642" s="4" t="n">
        <x:v>60</x:v>
      </x:c>
      <x:c r="F1642" s="4" t="n">
        <x:v>3661</x:v>
      </x:c>
      <x:c r="G1642" s="5" t="n">
        <x:v>1</x:v>
      </x:c>
      <x:c r="H1642" s="5" t="n">
        <x:v>1</x:v>
      </x:c>
      <x:c r="I1642" s="5" t="n">
        <x:v>1</x:v>
      </x:c>
      <x:c r="J1642" s="4" t="n">
        <x:v>51</x:v>
      </x:c>
      <x:c r="K1642" s="4" t="n">
        <x:v>51</x:v>
      </x:c>
      <x:c r="L1642" s="4" t="n">
        <x:v>37</x:v>
      </x:c>
      <x:c r="M1642" s="4" t="n">
        <x:v>37</x:v>
      </x:c>
      <x:c r="N1642" s="4" t="n">
        <x:v>14</x:v>
      </x:c>
      <x:c r="O1642" s="4" t="n">
        <x:v>14</x:v>
      </x:c>
      <x:c r="P1642" s="1" t="str">
        <x:v>PASS</x:v>
      </x:c>
      <x:c r="Q1642" s="4" t="n">
        <x:v>0</x:v>
      </x:c>
      <x:c r="R1642" s="1" t="str">
        <x:v>FAIL</x:v>
      </x:c>
      <x:c r="S1642" s="4" t="n">
        <x:v>348</x:v>
      </x:c>
      <x:c r="T1642" s="1" t="str">
        <x:v>INCONCLUSIVE</x:v>
      </x:c>
      <x:c r="U1642" s="1" t="str">
        <x:v>Math_103</x:v>
      </x:c>
      <x:c r="V1642" s="6" t="n">
        <x:v>126.26</x:v>
      </x:c>
    </x:row>
    <x:row r="1643" ht="22" customHeight="1">
      <x:c r="A1643" s="1" t="str">
        <x:v>Round2</x:v>
      </x:c>
      <x:c r="B1643" s="1" t="str">
        <x:v>Math</x:v>
      </x:c>
      <x:c r="C1643" s="4" t="n">
        <x:v>104</x:v>
      </x:c>
      <x:c r="D1643" s="4" t="n">
        <x:v>20260928</x:v>
      </x:c>
      <x:c r="E1643" s="4" t="n">
        <x:v>60</x:v>
      </x:c>
      <x:c r="F1643" s="4" t="n">
        <x:v>3046</x:v>
      </x:c>
      <x:c r="G1643" s="5" t="n">
        <x:v>0.977</x:v>
      </x:c>
      <x:c r="H1643" s="5" t="n">
        <x:v>0.9573999999999999</x:v>
      </x:c>
      <x:c r="I1643" s="5" t="n">
        <x:v>1</x:v>
      </x:c>
      <x:c r="J1643" s="4" t="n">
        <x:v>87</x:v>
      </x:c>
      <x:c r="K1643" s="4" t="n">
        <x:v>85</x:v>
      </x:c>
      <x:c r="L1643" s="4" t="n">
        <x:v>47</x:v>
      </x:c>
      <x:c r="M1643" s="4" t="n">
        <x:v>45</x:v>
      </x:c>
      <x:c r="N1643" s="4" t="n">
        <x:v>40</x:v>
      </x:c>
      <x:c r="O1643" s="4" t="n">
        <x:v>40</x:v>
      </x:c>
      <x:c r="P1643" s="1" t="str">
        <x:v>PASS</x:v>
      </x:c>
      <x:c r="Q1643" s="4" t="n">
        <x:v>0</x:v>
      </x:c>
      <x:c r="R1643" s="1" t="str">
        <x:v>FAIL</x:v>
      </x:c>
      <x:c r="S1643" s="4" t="n">
        <x:v>878</x:v>
      </x:c>
      <x:c r="T1643" s="1" t="str">
        <x:v>INCONCLUSIVE</x:v>
      </x:c>
      <x:c r="U1643" s="1" t="str">
        <x:v>Math_104</x:v>
      </x:c>
      <x:c r="V1643" s="6" t="n">
        <x:v>139.72</x:v>
      </x:c>
    </x:row>
    <x:row r="1644" ht="22" customHeight="1">
      <x:c r="A1644" s="1" t="str">
        <x:v>Round2</x:v>
      </x:c>
      <x:c r="B1644" s="1" t="str">
        <x:v>Math</x:v>
      </x:c>
      <x:c r="C1644" s="4" t="n">
        <x:v>105</x:v>
      </x:c>
      <x:c r="D1644" s="4" t="n">
        <x:v>20260928</x:v>
      </x:c>
      <x:c r="E1644" s="4" t="n">
        <x:v>60</x:v>
      </x:c>
      <x:c r="F1644" s="4" t="n">
        <x:v>2329</x:v>
      </x:c>
      <x:c r="G1644" s="5" t="n">
        <x:v>1</x:v>
      </x:c>
      <x:c r="H1644" s="5" t="n">
        <x:v>1</x:v>
      </x:c>
      <x:c r="I1644" s="5" t="n">
        <x:v>1</x:v>
      </x:c>
      <x:c r="J1644" s="4" t="n">
        <x:v>89</x:v>
      </x:c>
      <x:c r="K1644" s="4" t="n">
        <x:v>89</x:v>
      </x:c>
      <x:c r="L1644" s="4" t="n">
        <x:v>71</x:v>
      </x:c>
      <x:c r="M1644" s="4" t="n">
        <x:v>71</x:v>
      </x:c>
      <x:c r="N1644" s="4" t="n">
        <x:v>18</x:v>
      </x:c>
      <x:c r="O1644" s="4" t="n">
        <x:v>18</x:v>
      </x:c>
      <x:c r="P1644" s="1" t="str">
        <x:v>PASS</x:v>
      </x:c>
      <x:c r="Q1644" s="4" t="n">
        <x:v>0</x:v>
      </x:c>
      <x:c r="R1644" s="1" t="str">
        <x:v>FAIL</x:v>
      </x:c>
      <x:c r="S1644" s="4" t="n">
        <x:v>44</x:v>
      </x:c>
      <x:c r="T1644" s="1" t="str">
        <x:v>INCONCLUSIVE</x:v>
      </x:c>
      <x:c r="U1644" s="1" t="str">
        <x:v>Math_105</x:v>
      </x:c>
      <x:c r="V1644" s="6" t="n">
        <x:v>53.06</x:v>
      </x:c>
    </x:row>
    <x:row r="1645" ht="22" customHeight="1">
      <x:c r="A1645" s="1" t="str">
        <x:v>Round2</x:v>
      </x:c>
      <x:c r="B1645" s="1" t="str">
        <x:v>Math</x:v>
      </x:c>
      <x:c r="C1645" s="4" t="n">
        <x:v>106</x:v>
      </x:c>
      <x:c r="D1645" s="4" t="n">
        <x:v>20260928</x:v>
      </x:c>
      <x:c r="E1645" s="4" t="n">
        <x:v>60</x:v>
      </x:c>
      <x:c r="F1645" s="4" t="n">
        <x:v>2638</x:v>
      </x:c>
      <x:c r="G1645" s="5" t="n">
        <x:v>0.8194</x:v>
      </x:c>
      <x:c r="H1645" s="5" t="n">
        <x:v>0.8595999999999999</x:v>
      </x:c>
      <x:c r="I1645" s="5" t="n">
        <x:v>0.6667000000000001</x:v>
      </x:c>
      <x:c r="J1645" s="4" t="n">
        <x:v>72</x:v>
      </x:c>
      <x:c r="K1645" s="4" t="n">
        <x:v>59</x:v>
      </x:c>
      <x:c r="L1645" s="4" t="n">
        <x:v>57</x:v>
      </x:c>
      <x:c r="M1645" s="4" t="n">
        <x:v>49</x:v>
      </x:c>
      <x:c r="N1645" s="4" t="n">
        <x:v>15</x:v>
      </x:c>
      <x:c r="O1645" s="4" t="n">
        <x:v>10</x:v>
      </x:c>
      <x:c r="P1645" s="1" t="str">
        <x:v>PASS</x:v>
      </x:c>
      <x:c r="Q1645" s="4" t="n">
        <x:v>0</x:v>
      </x:c>
      <x:c r="R1645" s="1" t="str">
        <x:v>PASS</x:v>
      </x:c>
      <x:c r="S1645" s="4" t="n">
        <x:v>0</x:v>
      </x:c>
      <x:c r="T1645" s="1" t="str">
        <x:v>NOT_REVEALING</x:v>
      </x:c>
      <x:c r="U1645" s="1" t="str">
        <x:v>Math_106</x:v>
      </x:c>
      <x:c r="V1645" s="6" t="n">
        <x:v>56.8</x:v>
      </x:c>
    </x:row>
    <x:row r="1646" ht="22" customHeight="1">
      <x:c r="A1646" s="1" t="str">
        <x:v>Round2</x:v>
      </x:c>
      <x:c r="B1646" s="1" t="str">
        <x:v>Mockito</x:v>
      </x:c>
      <x:c r="C1646" s="4" t="n">
        <x:v>1</x:v>
      </x:c>
      <x:c r="D1646" s="4" t="n">
        <x:v>20260928</x:v>
      </x:c>
      <x:c r="E1646" s="4" t="n">
        <x:v>60</x:v>
      </x:c>
      <x:c r="F1646" s="4" t="n">
        <x:v>0</x:v>
      </x:c>
      <x:c r="G1646" s="5"/>
      <x:c r="H1646" s="5"/>
      <x:c r="I1646" s="5"/>
      <x:c r="J1646" s="4" t="n">
        <x:v>0</x:v>
      </x:c>
      <x:c r="K1646" s="4" t="n">
        <x:v>0</x:v>
      </x:c>
      <x:c r="L1646" s="4" t="n">
        <x:v>0</x:v>
      </x:c>
      <x:c r="M1646" s="4" t="n">
        <x:v>0</x:v>
      </x:c>
      <x:c r="N1646" s="4" t="n">
        <x:v>0</x:v>
      </x:c>
      <x:c r="O1646" s="4" t="n">
        <x:v>0</x:v>
      </x:c>
      <x:c r="P1646" s="1" t="str">
        <x:v>NOT_RUN</x:v>
      </x:c>
      <x:c r="Q1646" s="4"/>
      <x:c r="R1646" s="1" t="str">
        <x:v>NOT_RUN</x:v>
      </x:c>
      <x:c r="S1646" s="4"/>
      <x:c r="T1646" s="1" t="str">
        <x:v>FAIL</x:v>
      </x:c>
      <x:c r="U1646" s="1" t="str">
        <x:v>Mockito_1</x:v>
      </x:c>
      <x:c r="V1646" s="6"/>
    </x:row>
    <x:row r="1647" ht="22" customHeight="1">
      <x:c r="A1647" s="1" t="str">
        <x:v>Round2</x:v>
      </x:c>
      <x:c r="B1647" s="1" t="str">
        <x:v>Mockito</x:v>
      </x:c>
      <x:c r="C1647" s="4" t="n">
        <x:v>2</x:v>
      </x:c>
      <x:c r="D1647" s="4" t="n">
        <x:v>20260928</x:v>
      </x:c>
      <x:c r="E1647" s="4" t="n">
        <x:v>60</x:v>
      </x:c>
      <x:c r="F1647" s="4" t="n">
        <x:v>5942</x:v>
      </x:c>
      <x:c r="G1647" s="5"/>
      <x:c r="H1647" s="5"/>
      <x:c r="I1647" s="5"/>
      <x:c r="J1647" s="4" t="n">
        <x:v>0</x:v>
      </x:c>
      <x:c r="K1647" s="4" t="n">
        <x:v>0</x:v>
      </x:c>
      <x:c r="L1647" s="4" t="n">
        <x:v>0</x:v>
      </x:c>
      <x:c r="M1647" s="4" t="n">
        <x:v>0</x:v>
      </x:c>
      <x:c r="N1647" s="4" t="n">
        <x:v>0</x:v>
      </x:c>
      <x:c r="O1647" s="4" t="n">
        <x:v>0</x:v>
      </x:c>
      <x:c r="P1647" s="1" t="str">
        <x:v>NOT_RUN</x:v>
      </x:c>
      <x:c r="Q1647" s="4"/>
      <x:c r="R1647" s="1" t="str">
        <x:v>NOT_RUN</x:v>
      </x:c>
      <x:c r="S1647" s="4"/>
      <x:c r="T1647" s="1" t="str">
        <x:v>NOT_AVAILABLE</x:v>
      </x:c>
      <x:c r="U1647" s="1" t="str">
        <x:v>Mockito_2</x:v>
      </x:c>
      <x:c r="V1647" s="6" t="n">
        <x:v>38.14</x:v>
      </x:c>
    </x:row>
    <x:row r="1648" ht="22" customHeight="1">
      <x:c r="A1648" s="1" t="str">
        <x:v>Round2</x:v>
      </x:c>
      <x:c r="B1648" s="1" t="str">
        <x:v>Mockito</x:v>
      </x:c>
      <x:c r="C1648" s="4" t="n">
        <x:v>3</x:v>
      </x:c>
      <x:c r="D1648" s="4" t="n">
        <x:v>20260928</x:v>
      </x:c>
      <x:c r="E1648" s="4" t="n">
        <x:v>60</x:v>
      </x:c>
      <x:c r="F1648" s="4" t="n">
        <x:v>0</x:v>
      </x:c>
      <x:c r="G1648" s="5"/>
      <x:c r="H1648" s="5"/>
      <x:c r="I1648" s="5"/>
      <x:c r="J1648" s="4" t="n">
        <x:v>0</x:v>
      </x:c>
      <x:c r="K1648" s="4" t="n">
        <x:v>0</x:v>
      </x:c>
      <x:c r="L1648" s="4" t="n">
        <x:v>0</x:v>
      </x:c>
      <x:c r="M1648" s="4" t="n">
        <x:v>0</x:v>
      </x:c>
      <x:c r="N1648" s="4" t="n">
        <x:v>0</x:v>
      </x:c>
      <x:c r="O1648" s="4" t="n">
        <x:v>0</x:v>
      </x:c>
      <x:c r="P1648" s="1" t="str">
        <x:v>NOT_RUN</x:v>
      </x:c>
      <x:c r="Q1648" s="4"/>
      <x:c r="R1648" s="1" t="str">
        <x:v>NOT_RUN</x:v>
      </x:c>
      <x:c r="S1648" s="4"/>
      <x:c r="T1648" s="1" t="str">
        <x:v>FAIL</x:v>
      </x:c>
      <x:c r="U1648" s="1" t="str">
        <x:v>Mockito_3</x:v>
      </x:c>
      <x:c r="V1648" s="6"/>
    </x:row>
    <x:row r="1649" ht="22" customHeight="1">
      <x:c r="A1649" s="1" t="str">
        <x:v>Round2</x:v>
      </x:c>
      <x:c r="B1649" s="1" t="str">
        <x:v>Mockito</x:v>
      </x:c>
      <x:c r="C1649" s="4" t="n">
        <x:v>4</x:v>
      </x:c>
      <x:c r="D1649" s="4" t="n">
        <x:v>20260928</x:v>
      </x:c>
      <x:c r="E1649" s="4" t="n">
        <x:v>60</x:v>
      </x:c>
      <x:c r="F1649" s="4" t="n">
        <x:v>0</x:v>
      </x:c>
      <x:c r="G1649" s="5"/>
      <x:c r="H1649" s="5"/>
      <x:c r="I1649" s="5"/>
      <x:c r="J1649" s="4" t="n">
        <x:v>0</x:v>
      </x:c>
      <x:c r="K1649" s="4" t="n">
        <x:v>0</x:v>
      </x:c>
      <x:c r="L1649" s="4" t="n">
        <x:v>0</x:v>
      </x:c>
      <x:c r="M1649" s="4" t="n">
        <x:v>0</x:v>
      </x:c>
      <x:c r="N1649" s="4" t="n">
        <x:v>0</x:v>
      </x:c>
      <x:c r="O1649" s="4" t="n">
        <x:v>0</x:v>
      </x:c>
      <x:c r="P1649" s="1" t="str">
        <x:v>NOT_RUN</x:v>
      </x:c>
      <x:c r="Q1649" s="4"/>
      <x:c r="R1649" s="1" t="str">
        <x:v>NOT_RUN</x:v>
      </x:c>
      <x:c r="S1649" s="4"/>
      <x:c r="T1649" s="1" t="str">
        <x:v>FAIL</x:v>
      </x:c>
      <x:c r="U1649" s="1" t="str">
        <x:v>Mockito_4</x:v>
      </x:c>
      <x:c r="V1649" s="6"/>
    </x:row>
    <x:row r="1650" ht="22" customHeight="1">
      <x:c r="A1650" s="1" t="str">
        <x:v>Round2</x:v>
      </x:c>
      <x:c r="B1650" s="1" t="str">
        <x:v>Mockito</x:v>
      </x:c>
      <x:c r="C1650" s="4" t="n">
        <x:v>5</x:v>
      </x:c>
      <x:c r="D1650" s="4" t="n">
        <x:v>20260928</x:v>
      </x:c>
      <x:c r="E1650" s="4" t="n">
        <x:v>60</x:v>
      </x:c>
      <x:c r="F1650" s="4" t="n">
        <x:v>0</x:v>
      </x:c>
      <x:c r="G1650" s="5"/>
      <x:c r="H1650" s="5"/>
      <x:c r="I1650" s="5"/>
      <x:c r="J1650" s="4" t="n">
        <x:v>0</x:v>
      </x:c>
      <x:c r="K1650" s="4" t="n">
        <x:v>0</x:v>
      </x:c>
      <x:c r="L1650" s="4" t="n">
        <x:v>0</x:v>
      </x:c>
      <x:c r="M1650" s="4" t="n">
        <x:v>0</x:v>
      </x:c>
      <x:c r="N1650" s="4" t="n">
        <x:v>0</x:v>
      </x:c>
      <x:c r="O1650" s="4" t="n">
        <x:v>0</x:v>
      </x:c>
      <x:c r="P1650" s="1" t="str">
        <x:v>NOT_RUN</x:v>
      </x:c>
      <x:c r="Q1650" s="4"/>
      <x:c r="R1650" s="1" t="str">
        <x:v>NOT_RUN</x:v>
      </x:c>
      <x:c r="S1650" s="4"/>
      <x:c r="T1650" s="1" t="str">
        <x:v>FAIL</x:v>
      </x:c>
      <x:c r="U1650" s="1" t="str">
        <x:v>Mockito_5</x:v>
      </x:c>
      <x:c r="V1650" s="6"/>
    </x:row>
    <x:row r="1651" ht="22" customHeight="1">
      <x:c r="A1651" s="1" t="str">
        <x:v>Round2</x:v>
      </x:c>
      <x:c r="B1651" s="1" t="str">
        <x:v>Mockito</x:v>
      </x:c>
      <x:c r="C1651" s="4" t="n">
        <x:v>6</x:v>
      </x:c>
      <x:c r="D1651" s="4" t="n">
        <x:v>20260928</x:v>
      </x:c>
      <x:c r="E1651" s="4" t="n">
        <x:v>60</x:v>
      </x:c>
      <x:c r="F1651" s="4" t="n">
        <x:v>0</x:v>
      </x:c>
      <x:c r="G1651" s="5"/>
      <x:c r="H1651" s="5"/>
      <x:c r="I1651" s="5"/>
      <x:c r="J1651" s="4" t="n">
        <x:v>0</x:v>
      </x:c>
      <x:c r="K1651" s="4" t="n">
        <x:v>0</x:v>
      </x:c>
      <x:c r="L1651" s="4" t="n">
        <x:v>0</x:v>
      </x:c>
      <x:c r="M1651" s="4" t="n">
        <x:v>0</x:v>
      </x:c>
      <x:c r="N1651" s="4" t="n">
        <x:v>0</x:v>
      </x:c>
      <x:c r="O1651" s="4" t="n">
        <x:v>0</x:v>
      </x:c>
      <x:c r="P1651" s="1" t="str">
        <x:v>NOT_RUN</x:v>
      </x:c>
      <x:c r="Q1651" s="4"/>
      <x:c r="R1651" s="1" t="str">
        <x:v>NOT_RUN</x:v>
      </x:c>
      <x:c r="S1651" s="4"/>
      <x:c r="T1651" s="1" t="str">
        <x:v>FAIL</x:v>
      </x:c>
      <x:c r="U1651" s="1" t="str">
        <x:v>Mockito_6</x:v>
      </x:c>
      <x:c r="V1651" s="6"/>
    </x:row>
    <x:row r="1652" ht="22" customHeight="1">
      <x:c r="A1652" s="1" t="str">
        <x:v>Round2</x:v>
      </x:c>
      <x:c r="B1652" s="1" t="str">
        <x:v>Mockito</x:v>
      </x:c>
      <x:c r="C1652" s="4" t="n">
        <x:v>7</x:v>
      </x:c>
      <x:c r="D1652" s="4" t="n">
        <x:v>20260928</x:v>
      </x:c>
      <x:c r="E1652" s="4" t="n">
        <x:v>60</x:v>
      </x:c>
      <x:c r="F1652" s="4" t="n">
        <x:v>0</x:v>
      </x:c>
      <x:c r="G1652" s="5"/>
      <x:c r="H1652" s="5"/>
      <x:c r="I1652" s="5"/>
      <x:c r="J1652" s="4" t="n">
        <x:v>0</x:v>
      </x:c>
      <x:c r="K1652" s="4" t="n">
        <x:v>0</x:v>
      </x:c>
      <x:c r="L1652" s="4" t="n">
        <x:v>0</x:v>
      </x:c>
      <x:c r="M1652" s="4" t="n">
        <x:v>0</x:v>
      </x:c>
      <x:c r="N1652" s="4" t="n">
        <x:v>0</x:v>
      </x:c>
      <x:c r="O1652" s="4" t="n">
        <x:v>0</x:v>
      </x:c>
      <x:c r="P1652" s="1" t="str">
        <x:v>NOT_RUN</x:v>
      </x:c>
      <x:c r="Q1652" s="4"/>
      <x:c r="R1652" s="1" t="str">
        <x:v>NOT_RUN</x:v>
      </x:c>
      <x:c r="S1652" s="4"/>
      <x:c r="T1652" s="1" t="str">
        <x:v>FAIL</x:v>
      </x:c>
      <x:c r="U1652" s="1" t="str">
        <x:v>Mockito_7</x:v>
      </x:c>
      <x:c r="V1652" s="6"/>
    </x:row>
    <x:row r="1653" ht="22" customHeight="1">
      <x:c r="A1653" s="1" t="str">
        <x:v>Round2</x:v>
      </x:c>
      <x:c r="B1653" s="1" t="str">
        <x:v>Mockito</x:v>
      </x:c>
      <x:c r="C1653" s="4" t="n">
        <x:v>8</x:v>
      </x:c>
      <x:c r="D1653" s="4" t="n">
        <x:v>20260928</x:v>
      </x:c>
      <x:c r="E1653" s="4" t="n">
        <x:v>60</x:v>
      </x:c>
      <x:c r="F1653" s="4" t="n">
        <x:v>0</x:v>
      </x:c>
      <x:c r="G1653" s="5"/>
      <x:c r="H1653" s="5"/>
      <x:c r="I1653" s="5"/>
      <x:c r="J1653" s="4" t="n">
        <x:v>0</x:v>
      </x:c>
      <x:c r="K1653" s="4" t="n">
        <x:v>0</x:v>
      </x:c>
      <x:c r="L1653" s="4" t="n">
        <x:v>0</x:v>
      </x:c>
      <x:c r="M1653" s="4" t="n">
        <x:v>0</x:v>
      </x:c>
      <x:c r="N1653" s="4" t="n">
        <x:v>0</x:v>
      </x:c>
      <x:c r="O1653" s="4" t="n">
        <x:v>0</x:v>
      </x:c>
      <x:c r="P1653" s="1" t="str">
        <x:v>NOT_RUN</x:v>
      </x:c>
      <x:c r="Q1653" s="4"/>
      <x:c r="R1653" s="1" t="str">
        <x:v>NOT_RUN</x:v>
      </x:c>
      <x:c r="S1653" s="4"/>
      <x:c r="T1653" s="1" t="str">
        <x:v>FAIL</x:v>
      </x:c>
      <x:c r="U1653" s="1" t="str">
        <x:v>Mockito_8</x:v>
      </x:c>
      <x:c r="V1653" s="6"/>
    </x:row>
    <x:row r="1654" ht="22" customHeight="1">
      <x:c r="A1654" s="1" t="str">
        <x:v>Round2</x:v>
      </x:c>
      <x:c r="B1654" s="1" t="str">
        <x:v>Mockito</x:v>
      </x:c>
      <x:c r="C1654" s="4" t="n">
        <x:v>9</x:v>
      </x:c>
      <x:c r="D1654" s="4" t="n">
        <x:v>20260928</x:v>
      </x:c>
      <x:c r="E1654" s="4" t="n">
        <x:v>60</x:v>
      </x:c>
      <x:c r="F1654" s="4" t="n">
        <x:v>0</x:v>
      </x:c>
      <x:c r="G1654" s="5"/>
      <x:c r="H1654" s="5"/>
      <x:c r="I1654" s="5"/>
      <x:c r="J1654" s="4" t="n">
        <x:v>0</x:v>
      </x:c>
      <x:c r="K1654" s="4" t="n">
        <x:v>0</x:v>
      </x:c>
      <x:c r="L1654" s="4" t="n">
        <x:v>0</x:v>
      </x:c>
      <x:c r="M1654" s="4" t="n">
        <x:v>0</x:v>
      </x:c>
      <x:c r="N1654" s="4" t="n">
        <x:v>0</x:v>
      </x:c>
      <x:c r="O1654" s="4" t="n">
        <x:v>0</x:v>
      </x:c>
      <x:c r="P1654" s="1" t="str">
        <x:v>NOT_RUN</x:v>
      </x:c>
      <x:c r="Q1654" s="4"/>
      <x:c r="R1654" s="1" t="str">
        <x:v>NOT_RUN</x:v>
      </x:c>
      <x:c r="S1654" s="4"/>
      <x:c r="T1654" s="1" t="str">
        <x:v>FAIL</x:v>
      </x:c>
      <x:c r="U1654" s="1" t="str">
        <x:v>Mockito_9</x:v>
      </x:c>
      <x:c r="V1654" s="6"/>
    </x:row>
    <x:row r="1655" ht="22" customHeight="1">
      <x:c r="A1655" s="1" t="str">
        <x:v>Round2</x:v>
      </x:c>
      <x:c r="B1655" s="1" t="str">
        <x:v>Mockito</x:v>
      </x:c>
      <x:c r="C1655" s="4" t="n">
        <x:v>10</x:v>
      </x:c>
      <x:c r="D1655" s="4" t="n">
        <x:v>20260928</x:v>
      </x:c>
      <x:c r="E1655" s="4" t="n">
        <x:v>60</x:v>
      </x:c>
      <x:c r="F1655" s="4" t="n">
        <x:v>46</x:v>
      </x:c>
      <x:c r="G1655" s="5" t="n">
        <x:v>0.08</x:v>
      </x:c>
      <x:c r="H1655" s="5" t="n">
        <x:v>0.09519999999999999</x:v>
      </x:c>
      <x:c r="I1655" s="5" t="n">
        <x:v>0</x:v>
      </x:c>
      <x:c r="J1655" s="4" t="n">
        <x:v>50</x:v>
      </x:c>
      <x:c r="K1655" s="4" t="n">
        <x:v>4</x:v>
      </x:c>
      <x:c r="L1655" s="4" t="n">
        <x:v>42</x:v>
      </x:c>
      <x:c r="M1655" s="4" t="n">
        <x:v>4</x:v>
      </x:c>
      <x:c r="N1655" s="4" t="n">
        <x:v>8</x:v>
      </x:c>
      <x:c r="O1655" s="4" t="n">
        <x:v>0</x:v>
      </x:c>
      <x:c r="P1655" s="1" t="str">
        <x:v>PASS</x:v>
      </x:c>
      <x:c r="Q1655" s="4" t="n">
        <x:v>0</x:v>
      </x:c>
      <x:c r="R1655" s="1" t="str">
        <x:v>PASS</x:v>
      </x:c>
      <x:c r="S1655" s="4" t="n">
        <x:v>0</x:v>
      </x:c>
      <x:c r="T1655" s="1" t="str">
        <x:v>NOT_REVEALING</x:v>
      </x:c>
      <x:c r="U1655" s="1" t="str">
        <x:v>Mockito_10</x:v>
      </x:c>
      <x:c r="V1655" s="6" t="n">
        <x:v>122.42</x:v>
      </x:c>
    </x:row>
    <x:row r="1656" ht="22" customHeight="1">
      <x:c r="A1656" s="1" t="str">
        <x:v>Round2</x:v>
      </x:c>
      <x:c r="B1656" s="1" t="str">
        <x:v>Mockito</x:v>
      </x:c>
      <x:c r="C1656" s="4" t="n">
        <x:v>11</x:v>
      </x:c>
      <x:c r="D1656" s="4" t="n">
        <x:v>20260928</x:v>
      </x:c>
      <x:c r="E1656" s="4" t="n">
        <x:v>60</x:v>
      </x:c>
      <x:c r="F1656" s="4" t="n">
        <x:v>1</x:v>
      </x:c>
      <x:c r="G1656" s="5" t="n">
        <x:v>0</x:v>
      </x:c>
      <x:c r="H1656" s="5" t="n">
        <x:v>0</x:v>
      </x:c>
      <x:c r="I1656" s="5" t="n">
        <x:v>0</x:v>
      </x:c>
      <x:c r="J1656" s="4" t="n">
        <x:v>20</x:v>
      </x:c>
      <x:c r="K1656" s="4" t="n">
        <x:v>0</x:v>
      </x:c>
      <x:c r="L1656" s="4" t="n">
        <x:v>14</x:v>
      </x:c>
      <x:c r="M1656" s="4" t="n">
        <x:v>0</x:v>
      </x:c>
      <x:c r="N1656" s="4" t="n">
        <x:v>6</x:v>
      </x:c>
      <x:c r="O1656" s="4" t="n">
        <x:v>0</x:v>
      </x:c>
      <x:c r="P1656" s="1" t="str">
        <x:v>PASS</x:v>
      </x:c>
      <x:c r="Q1656" s="4" t="n">
        <x:v>0</x:v>
      </x:c>
      <x:c r="R1656" s="1" t="str">
        <x:v>PASS</x:v>
      </x:c>
      <x:c r="S1656" s="4" t="n">
        <x:v>0</x:v>
      </x:c>
      <x:c r="T1656" s="1" t="str">
        <x:v>NOT_REVEALING</x:v>
      </x:c>
      <x:c r="U1656" s="1" t="str">
        <x:v>Mockito_11</x:v>
      </x:c>
      <x:c r="V1656" s="6" t="n">
        <x:v>129.74</x:v>
      </x:c>
    </x:row>
    <x:row r="1657" ht="22" customHeight="1">
      <x:c r="A1657" s="1" t="str">
        <x:v>Round2</x:v>
      </x:c>
      <x:c r="B1657" s="1" t="str">
        <x:v>Mockito</x:v>
      </x:c>
      <x:c r="C1657" s="4" t="n">
        <x:v>12</x:v>
      </x:c>
      <x:c r="D1657" s="4" t="n">
        <x:v>20260928</x:v>
      </x:c>
      <x:c r="E1657" s="4" t="n">
        <x:v>60</x:v>
      </x:c>
      <x:c r="F1657" s="4" t="n">
        <x:v>3</x:v>
      </x:c>
      <x:c r="G1657" s="5" t="n">
        <x:v>0.2</x:v>
      </x:c>
      <x:c r="H1657" s="5" t="n">
        <x:v>0.3333</x:v>
      </x:c>
      <x:c r="I1657" s="5" t="n">
        <x:v>0</x:v>
      </x:c>
      <x:c r="J1657" s="4" t="n">
        <x:v>10</x:v>
      </x:c>
      <x:c r="K1657" s="4" t="n">
        <x:v>2</x:v>
      </x:c>
      <x:c r="L1657" s="4" t="n">
        <x:v>6</x:v>
      </x:c>
      <x:c r="M1657" s="4" t="n">
        <x:v>2</x:v>
      </x:c>
      <x:c r="N1657" s="4" t="n">
        <x:v>4</x:v>
      </x:c>
      <x:c r="O1657" s="4" t="n">
        <x:v>0</x:v>
      </x:c>
      <x:c r="P1657" s="1" t="str">
        <x:v>PASS</x:v>
      </x:c>
      <x:c r="Q1657" s="4" t="n">
        <x:v>0</x:v>
      </x:c>
      <x:c r="R1657" s="1" t="str">
        <x:v>PASS</x:v>
      </x:c>
      <x:c r="S1657" s="4" t="n">
        <x:v>0</x:v>
      </x:c>
      <x:c r="T1657" s="1" t="str">
        <x:v>NOT_REVEALING</x:v>
      </x:c>
      <x:c r="U1657" s="1" t="str">
        <x:v>Mockito_12</x:v>
      </x:c>
      <x:c r="V1657" s="6" t="n">
        <x:v>36.66</x:v>
      </x:c>
    </x:row>
    <x:row r="1658" ht="22" customHeight="1">
      <x:c r="A1658" s="1" t="str">
        <x:v>Round2</x:v>
      </x:c>
      <x:c r="B1658" s="1" t="str">
        <x:v>Mockito</x:v>
      </x:c>
      <x:c r="C1658" s="4" t="n">
        <x:v>13</x:v>
      </x:c>
      <x:c r="D1658" s="4" t="n">
        <x:v>20260928</x:v>
      </x:c>
      <x:c r="E1658" s="4" t="n">
        <x:v>60</x:v>
      </x:c>
      <x:c r="F1658" s="4" t="n">
        <x:v>1778</x:v>
      </x:c>
      <x:c r="G1658" s="5" t="n">
        <x:v>0.42</x:v>
      </x:c>
      <x:c r="H1658" s="5" t="n">
        <x:v>0.5</x:v>
      </x:c>
      <x:c r="I1658" s="5" t="n">
        <x:v>0.1</x:v>
      </x:c>
      <x:c r="J1658" s="4" t="n">
        <x:v>50</x:v>
      </x:c>
      <x:c r="K1658" s="4" t="n">
        <x:v>21</x:v>
      </x:c>
      <x:c r="L1658" s="4" t="n">
        <x:v>40</x:v>
      </x:c>
      <x:c r="M1658" s="4" t="n">
        <x:v>20</x:v>
      </x:c>
      <x:c r="N1658" s="4" t="n">
        <x:v>10</x:v>
      </x:c>
      <x:c r="O1658" s="4" t="n">
        <x:v>1</x:v>
      </x:c>
      <x:c r="P1658" s="1" t="str">
        <x:v>PASS</x:v>
      </x:c>
      <x:c r="Q1658" s="4" t="n">
        <x:v>0</x:v>
      </x:c>
      <x:c r="R1658" s="1" t="str">
        <x:v>PASS</x:v>
      </x:c>
      <x:c r="S1658" s="4" t="n">
        <x:v>0</x:v>
      </x:c>
      <x:c r="T1658" s="1" t="str">
        <x:v>NOT_REVEALING</x:v>
      </x:c>
      <x:c r="U1658" s="1" t="str">
        <x:v>Mockito_13</x:v>
      </x:c>
      <x:c r="V1658" s="6" t="n">
        <x:v>52.45</x:v>
      </x:c>
    </x:row>
    <x:row r="1659" ht="22" customHeight="1">
      <x:c r="A1659" s="1" t="str">
        <x:v>Round2</x:v>
      </x:c>
      <x:c r="B1659" s="1" t="str">
        <x:v>Mockito</x:v>
      </x:c>
      <x:c r="C1659" s="4" t="n">
        <x:v>14</x:v>
      </x:c>
      <x:c r="D1659" s="4" t="n">
        <x:v>20260928</x:v>
      </x:c>
      <x:c r="E1659" s="4" t="n">
        <x:v>60</x:v>
      </x:c>
      <x:c r="F1659" s="4" t="n">
        <x:v>0</x:v>
      </x:c>
      <x:c r="G1659" s="5"/>
      <x:c r="H1659" s="5"/>
      <x:c r="I1659" s="5"/>
      <x:c r="J1659" s="4" t="n">
        <x:v>0</x:v>
      </x:c>
      <x:c r="K1659" s="4" t="n">
        <x:v>0</x:v>
      </x:c>
      <x:c r="L1659" s="4" t="n">
        <x:v>0</x:v>
      </x:c>
      <x:c r="M1659" s="4" t="n">
        <x:v>0</x:v>
      </x:c>
      <x:c r="N1659" s="4" t="n">
        <x:v>0</x:v>
      </x:c>
      <x:c r="O1659" s="4" t="n">
        <x:v>0</x:v>
      </x:c>
      <x:c r="P1659" s="1" t="str">
        <x:v>NOT_RUN</x:v>
      </x:c>
      <x:c r="Q1659" s="4"/>
      <x:c r="R1659" s="1" t="str">
        <x:v>NOT_RUN</x:v>
      </x:c>
      <x:c r="S1659" s="4"/>
      <x:c r="T1659" s="1" t="str">
        <x:v>FAIL</x:v>
      </x:c>
      <x:c r="U1659" s="1" t="str">
        <x:v>Mockito_14</x:v>
      </x:c>
      <x:c r="V1659" s="6"/>
    </x:row>
    <x:row r="1660" ht="22" customHeight="1">
      <x:c r="A1660" s="1" t="str">
        <x:v>Round2</x:v>
      </x:c>
      <x:c r="B1660" s="1" t="str">
        <x:v>Mockito</x:v>
      </x:c>
      <x:c r="C1660" s="4" t="n">
        <x:v>15</x:v>
      </x:c>
      <x:c r="D1660" s="4" t="n">
        <x:v>20260928</x:v>
      </x:c>
      <x:c r="E1660" s="4" t="n">
        <x:v>60</x:v>
      </x:c>
      <x:c r="F1660" s="4" t="n">
        <x:v>1047</x:v>
      </x:c>
      <x:c r="G1660" s="5" t="n">
        <x:v>0.3333</x:v>
      </x:c>
      <x:c r="H1660" s="5" t="n">
        <x:v>0.3077</x:v>
      </x:c>
      <x:c r="I1660" s="5" t="n">
        <x:v>0.5</x:v>
      </x:c>
      <x:c r="J1660" s="4" t="n">
        <x:v>15</x:v>
      </x:c>
      <x:c r="K1660" s="4" t="n">
        <x:v>5</x:v>
      </x:c>
      <x:c r="L1660" s="4" t="n">
        <x:v>13</x:v>
      </x:c>
      <x:c r="M1660" s="4" t="n">
        <x:v>4</x:v>
      </x:c>
      <x:c r="N1660" s="4" t="n">
        <x:v>2</x:v>
      </x:c>
      <x:c r="O1660" s="4" t="n">
        <x:v>1</x:v>
      </x:c>
      <x:c r="P1660" s="1" t="str">
        <x:v>PASS</x:v>
      </x:c>
      <x:c r="Q1660" s="4" t="n">
        <x:v>0</x:v>
      </x:c>
      <x:c r="R1660" s="1" t="str">
        <x:v>PASS</x:v>
      </x:c>
      <x:c r="S1660" s="4" t="n">
        <x:v>0</x:v>
      </x:c>
      <x:c r="T1660" s="1" t="str">
        <x:v>NOT_REVEALING</x:v>
      </x:c>
      <x:c r="U1660" s="1" t="str">
        <x:v>Mockito_15</x:v>
      </x:c>
      <x:c r="V1660" s="6" t="n">
        <x:v>49.96</x:v>
      </x:c>
    </x:row>
    <x:row r="1661" ht="22" customHeight="1">
      <x:c r="A1661" s="1" t="str">
        <x:v>Round2</x:v>
      </x:c>
      <x:c r="B1661" s="1" t="str">
        <x:v>Mockito</x:v>
      </x:c>
      <x:c r="C1661" s="4" t="n">
        <x:v>16</x:v>
      </x:c>
      <x:c r="D1661" s="4" t="n">
        <x:v>20260928</x:v>
      </x:c>
      <x:c r="E1661" s="4" t="n">
        <x:v>60</x:v>
      </x:c>
      <x:c r="F1661" s="4" t="n">
        <x:v>0</x:v>
      </x:c>
      <x:c r="G1661" s="5"/>
      <x:c r="H1661" s="5"/>
      <x:c r="I1661" s="5"/>
      <x:c r="J1661" s="4" t="n">
        <x:v>0</x:v>
      </x:c>
      <x:c r="K1661" s="4" t="n">
        <x:v>0</x:v>
      </x:c>
      <x:c r="L1661" s="4" t="n">
        <x:v>0</x:v>
      </x:c>
      <x:c r="M1661" s="4" t="n">
        <x:v>0</x:v>
      </x:c>
      <x:c r="N1661" s="4" t="n">
        <x:v>0</x:v>
      </x:c>
      <x:c r="O1661" s="4" t="n">
        <x:v>0</x:v>
      </x:c>
      <x:c r="P1661" s="1" t="str">
        <x:v>NOT_RUN</x:v>
      </x:c>
      <x:c r="Q1661" s="4"/>
      <x:c r="R1661" s="1" t="str">
        <x:v>NOT_RUN</x:v>
      </x:c>
      <x:c r="S1661" s="4"/>
      <x:c r="T1661" s="1" t="str">
        <x:v>FAIL</x:v>
      </x:c>
      <x:c r="U1661" s="1" t="str">
        <x:v>Mockito_16</x:v>
      </x:c>
      <x:c r="V1661" s="6"/>
    </x:row>
    <x:row r="1662" ht="22" customHeight="1">
      <x:c r="A1662" s="1" t="str">
        <x:v>Round2</x:v>
      </x:c>
      <x:c r="B1662" s="1" t="str">
        <x:v>Mockito</x:v>
      </x:c>
      <x:c r="C1662" s="4" t="n">
        <x:v>17</x:v>
      </x:c>
      <x:c r="D1662" s="4" t="n">
        <x:v>20260928</x:v>
      </x:c>
      <x:c r="E1662" s="4" t="n">
        <x:v>60</x:v>
      </x:c>
      <x:c r="F1662" s="4" t="n">
        <x:v>2703</x:v>
      </x:c>
      <x:c r="G1662" s="5" t="n">
        <x:v>0.5914</x:v>
      </x:c>
      <x:c r="H1662" s="5" t="n">
        <x:v>0.5902000000000001</x:v>
      </x:c>
      <x:c r="I1662" s="5" t="n">
        <x:v>0.5938</x:v>
      </x:c>
      <x:c r="J1662" s="4" t="n">
        <x:v>93</x:v>
      </x:c>
      <x:c r="K1662" s="4" t="n">
        <x:v>55</x:v>
      </x:c>
      <x:c r="L1662" s="4" t="n">
        <x:v>61</x:v>
      </x:c>
      <x:c r="M1662" s="4" t="n">
        <x:v>36</x:v>
      </x:c>
      <x:c r="N1662" s="4" t="n">
        <x:v>32</x:v>
      </x:c>
      <x:c r="O1662" s="4" t="n">
        <x:v>19</x:v>
      </x:c>
      <x:c r="P1662" s="1" t="str">
        <x:v>PASS</x:v>
      </x:c>
      <x:c r="Q1662" s="4" t="n">
        <x:v>0</x:v>
      </x:c>
      <x:c r="R1662" s="1" t="str">
        <x:v>FAIL</x:v>
      </x:c>
      <x:c r="S1662" s="4" t="n">
        <x:v>1538</x:v>
      </x:c>
      <x:c r="T1662" s="1" t="str">
        <x:v>INCONCLUSIVE</x:v>
      </x:c>
      <x:c r="U1662" s="1" t="str">
        <x:v>Mockito_17</x:v>
      </x:c>
      <x:c r="V1662" s="6" t="n">
        <x:v>61.68</x:v>
      </x:c>
    </x:row>
    <x:row r="1663" ht="22" customHeight="1">
      <x:c r="A1663" s="1" t="str">
        <x:v>Round2</x:v>
      </x:c>
      <x:c r="B1663" s="1" t="str">
        <x:v>Mockito</x:v>
      </x:c>
      <x:c r="C1663" s="4" t="n">
        <x:v>18</x:v>
      </x:c>
      <x:c r="D1663" s="4" t="n">
        <x:v>20260928</x:v>
      </x:c>
      <x:c r="E1663" s="4" t="n">
        <x:v>60</x:v>
      </x:c>
      <x:c r="F1663" s="4" t="n">
        <x:v>0</x:v>
      </x:c>
      <x:c r="G1663" s="5"/>
      <x:c r="H1663" s="5"/>
      <x:c r="I1663" s="5"/>
      <x:c r="J1663" s="4" t="n">
        <x:v>0</x:v>
      </x:c>
      <x:c r="K1663" s="4" t="n">
        <x:v>0</x:v>
      </x:c>
      <x:c r="L1663" s="4" t="n">
        <x:v>0</x:v>
      </x:c>
      <x:c r="M1663" s="4" t="n">
        <x:v>0</x:v>
      </x:c>
      <x:c r="N1663" s="4" t="n">
        <x:v>0</x:v>
      </x:c>
      <x:c r="O1663" s="4" t="n">
        <x:v>0</x:v>
      </x:c>
      <x:c r="P1663" s="1" t="str">
        <x:v>NOT_RUN</x:v>
      </x:c>
      <x:c r="Q1663" s="4"/>
      <x:c r="R1663" s="1" t="str">
        <x:v>NOT_RUN</x:v>
      </x:c>
      <x:c r="S1663" s="4"/>
      <x:c r="T1663" s="1" t="str">
        <x:v>FAIL</x:v>
      </x:c>
      <x:c r="U1663" s="1" t="str">
        <x:v>Mockito_18</x:v>
      </x:c>
      <x:c r="V1663" s="6"/>
    </x:row>
    <x:row r="1664" ht="22" customHeight="1">
      <x:c r="A1664" s="1" t="str">
        <x:v>Round2</x:v>
      </x:c>
      <x:c r="B1664" s="1" t="str">
        <x:v>Mockito</x:v>
      </x:c>
      <x:c r="C1664" s="4" t="n">
        <x:v>19</x:v>
      </x:c>
      <x:c r="D1664" s="4" t="n">
        <x:v>20260928</x:v>
      </x:c>
      <x:c r="E1664" s="4" t="n">
        <x:v>60</x:v>
      </x:c>
      <x:c r="F1664" s="4" t="n">
        <x:v>0</x:v>
      </x:c>
      <x:c r="G1664" s="5"/>
      <x:c r="H1664" s="5"/>
      <x:c r="I1664" s="5"/>
      <x:c r="J1664" s="4" t="n">
        <x:v>0</x:v>
      </x:c>
      <x:c r="K1664" s="4" t="n">
        <x:v>0</x:v>
      </x:c>
      <x:c r="L1664" s="4" t="n">
        <x:v>0</x:v>
      </x:c>
      <x:c r="M1664" s="4" t="n">
        <x:v>0</x:v>
      </x:c>
      <x:c r="N1664" s="4" t="n">
        <x:v>0</x:v>
      </x:c>
      <x:c r="O1664" s="4" t="n">
        <x:v>0</x:v>
      </x:c>
      <x:c r="P1664" s="1" t="str">
        <x:v>NOT_RUN</x:v>
      </x:c>
      <x:c r="Q1664" s="4"/>
      <x:c r="R1664" s="1" t="str">
        <x:v>NOT_RUN</x:v>
      </x:c>
      <x:c r="S1664" s="4"/>
      <x:c r="T1664" s="1" t="str">
        <x:v>FAIL</x:v>
      </x:c>
      <x:c r="U1664" s="1" t="str">
        <x:v>Mockito_19</x:v>
      </x:c>
      <x:c r="V1664" s="6"/>
    </x:row>
    <x:row r="1665" ht="22" customHeight="1">
      <x:c r="A1665" s="1" t="str">
        <x:v>Round2</x:v>
      </x:c>
      <x:c r="B1665" s="1" t="str">
        <x:v>Mockito</x:v>
      </x:c>
      <x:c r="C1665" s="4" t="n">
        <x:v>20</x:v>
      </x:c>
      <x:c r="D1665" s="4" t="n">
        <x:v>20260928</x:v>
      </x:c>
      <x:c r="E1665" s="4" t="n">
        <x:v>60</x:v>
      </x:c>
      <x:c r="F1665" s="4" t="n">
        <x:v>0</x:v>
      </x:c>
      <x:c r="G1665" s="5"/>
      <x:c r="H1665" s="5"/>
      <x:c r="I1665" s="5"/>
      <x:c r="J1665" s="4" t="n">
        <x:v>0</x:v>
      </x:c>
      <x:c r="K1665" s="4" t="n">
        <x:v>0</x:v>
      </x:c>
      <x:c r="L1665" s="4" t="n">
        <x:v>0</x:v>
      </x:c>
      <x:c r="M1665" s="4" t="n">
        <x:v>0</x:v>
      </x:c>
      <x:c r="N1665" s="4" t="n">
        <x:v>0</x:v>
      </x:c>
      <x:c r="O1665" s="4" t="n">
        <x:v>0</x:v>
      </x:c>
      <x:c r="P1665" s="1" t="str">
        <x:v>NOT_RUN</x:v>
      </x:c>
      <x:c r="Q1665" s="4"/>
      <x:c r="R1665" s="1" t="str">
        <x:v>NOT_RUN</x:v>
      </x:c>
      <x:c r="S1665" s="4"/>
      <x:c r="T1665" s="1" t="str">
        <x:v>FAIL</x:v>
      </x:c>
      <x:c r="U1665" s="1" t="str">
        <x:v>Mockito_20</x:v>
      </x:c>
      <x:c r="V1665" s="6"/>
    </x:row>
    <x:row r="1666" ht="22" customHeight="1">
      <x:c r="A1666" s="1" t="str">
        <x:v>Round2</x:v>
      </x:c>
      <x:c r="B1666" s="1" t="str">
        <x:v>Mockito</x:v>
      </x:c>
      <x:c r="C1666" s="4" t="n">
        <x:v>21</x:v>
      </x:c>
      <x:c r="D1666" s="4" t="n">
        <x:v>20260928</x:v>
      </x:c>
      <x:c r="E1666" s="4" t="n">
        <x:v>60</x:v>
      </x:c>
      <x:c r="F1666" s="4" t="n">
        <x:v>2451</x:v>
      </x:c>
      <x:c r="G1666" s="5" t="n">
        <x:v>0.16670000000000001</x:v>
      </x:c>
      <x:c r="H1666" s="5" t="n">
        <x:v>0.1875</x:v>
      </x:c>
      <x:c r="I1666" s="5" t="n">
        <x:v>0</x:v>
      </x:c>
      <x:c r="J1666" s="4" t="n">
        <x:v>18</x:v>
      </x:c>
      <x:c r="K1666" s="4" t="n">
        <x:v>3</x:v>
      </x:c>
      <x:c r="L1666" s="4" t="n">
        <x:v>16</x:v>
      </x:c>
      <x:c r="M1666" s="4" t="n">
        <x:v>3</x:v>
      </x:c>
      <x:c r="N1666" s="4" t="n">
        <x:v>2</x:v>
      </x:c>
      <x:c r="O1666" s="4" t="n">
        <x:v>0</x:v>
      </x:c>
      <x:c r="P1666" s="1" t="str">
        <x:v>PASS</x:v>
      </x:c>
      <x:c r="Q1666" s="4" t="n">
        <x:v>0</x:v>
      </x:c>
      <x:c r="R1666" s="1" t="str">
        <x:v>PASS</x:v>
      </x:c>
      <x:c r="S1666" s="4" t="n">
        <x:v>0</x:v>
      </x:c>
      <x:c r="T1666" s="1" t="str">
        <x:v>NOT_REVEALING</x:v>
      </x:c>
      <x:c r="U1666" s="1" t="str">
        <x:v>Mockito_21</x:v>
      </x:c>
      <x:c r="V1666" s="6" t="n">
        <x:v>172.25</x:v>
      </x:c>
    </x:row>
    <x:row r="1667" ht="22" customHeight="1">
      <x:c r="A1667" s="1" t="str">
        <x:v>Round2</x:v>
      </x:c>
      <x:c r="B1667" s="1" t="str">
        <x:v>Mockito</x:v>
      </x:c>
      <x:c r="C1667" s="4" t="n">
        <x:v>22</x:v>
      </x:c>
      <x:c r="D1667" s="4" t="n">
        <x:v>20260928</x:v>
      </x:c>
      <x:c r="E1667" s="4" t="n">
        <x:v>60</x:v>
      </x:c>
      <x:c r="F1667" s="4" t="n">
        <x:v>4208</x:v>
      </x:c>
      <x:c r="G1667" s="5" t="n">
        <x:v>0.4865</x:v>
      </x:c>
      <x:c r="H1667" s="5" t="n">
        <x:v>0.6923</x:v>
      </x:c>
      <x:c r="I1667" s="5" t="n">
        <x:v>0.375</x:v>
      </x:c>
      <x:c r="J1667" s="4" t="n">
        <x:v>37</x:v>
      </x:c>
      <x:c r="K1667" s="4" t="n">
        <x:v>18</x:v>
      </x:c>
      <x:c r="L1667" s="4" t="n">
        <x:v>13</x:v>
      </x:c>
      <x:c r="M1667" s="4" t="n">
        <x:v>9</x:v>
      </x:c>
      <x:c r="N1667" s="4" t="n">
        <x:v>24</x:v>
      </x:c>
      <x:c r="O1667" s="4" t="n">
        <x:v>9</x:v>
      </x:c>
      <x:c r="P1667" s="1" t="str">
        <x:v>PASS</x:v>
      </x:c>
      <x:c r="Q1667" s="4" t="n">
        <x:v>0</x:v>
      </x:c>
      <x:c r="R1667" s="1" t="str">
        <x:v>PASS</x:v>
      </x:c>
      <x:c r="S1667" s="4" t="n">
        <x:v>0</x:v>
      </x:c>
      <x:c r="T1667" s="1" t="str">
        <x:v>NOT_REVEALING</x:v>
      </x:c>
      <x:c r="U1667" s="1" t="str">
        <x:v>Mockito_22</x:v>
      </x:c>
      <x:c r="V1667" s="6" t="n">
        <x:v>137.63</x:v>
      </x:c>
    </x:row>
    <x:row r="1668" ht="22" customHeight="1">
      <x:c r="A1668" s="1" t="str">
        <x:v>Round2</x:v>
      </x:c>
      <x:c r="B1668" s="1" t="str">
        <x:v>Mockito</x:v>
      </x:c>
      <x:c r="C1668" s="4" t="n">
        <x:v>23</x:v>
      </x:c>
      <x:c r="D1668" s="4" t="n">
        <x:v>20260928</x:v>
      </x:c>
      <x:c r="E1668" s="4" t="n">
        <x:v>60</x:v>
      </x:c>
      <x:c r="F1668" s="4" t="n">
        <x:v>46</x:v>
      </x:c>
      <x:c r="G1668" s="5" t="n">
        <x:v>0.1463</x:v>
      </x:c>
      <x:c r="H1668" s="5" t="n">
        <x:v>0.1818</x:v>
      </x:c>
      <x:c r="I1668" s="5" t="n">
        <x:v>0</x:v>
      </x:c>
      <x:c r="J1668" s="4" t="n">
        <x:v>41</x:v>
      </x:c>
      <x:c r="K1668" s="4" t="n">
        <x:v>6</x:v>
      </x:c>
      <x:c r="L1668" s="4" t="n">
        <x:v>33</x:v>
      </x:c>
      <x:c r="M1668" s="4" t="n">
        <x:v>6</x:v>
      </x:c>
      <x:c r="N1668" s="4" t="n">
        <x:v>8</x:v>
      </x:c>
      <x:c r="O1668" s="4" t="n">
        <x:v>0</x:v>
      </x:c>
      <x:c r="P1668" s="1" t="str">
        <x:v>PASS</x:v>
      </x:c>
      <x:c r="Q1668" s="4" t="n">
        <x:v>0</x:v>
      </x:c>
      <x:c r="R1668" s="1" t="str">
        <x:v>PASS</x:v>
      </x:c>
      <x:c r="S1668" s="4" t="n">
        <x:v>0</x:v>
      </x:c>
      <x:c r="T1668" s="1" t="str">
        <x:v>NOT_REVEALING</x:v>
      </x:c>
      <x:c r="U1668" s="1" t="str">
        <x:v>Mockito_23</x:v>
      </x:c>
      <x:c r="V1668" s="6" t="n">
        <x:v>84.07</x:v>
      </x:c>
    </x:row>
    <x:row r="1669" ht="22" customHeight="1">
      <x:c r="A1669" s="1" t="str">
        <x:v>Round2</x:v>
      </x:c>
      <x:c r="B1669" s="1" t="str">
        <x:v>Mockito</x:v>
      </x:c>
      <x:c r="C1669" s="4" t="n">
        <x:v>24</x:v>
      </x:c>
      <x:c r="D1669" s="4" t="n">
        <x:v>20260928</x:v>
      </x:c>
      <x:c r="E1669" s="4" t="n">
        <x:v>60</x:v>
      </x:c>
      <x:c r="F1669" s="4" t="n">
        <x:v>441</x:v>
      </x:c>
      <x:c r="G1669" s="5" t="n">
        <x:v>0.05</x:v>
      </x:c>
      <x:c r="H1669" s="5" t="n">
        <x:v>0.0909</x:v>
      </x:c>
      <x:c r="I1669" s="5" t="n">
        <x:v>0</x:v>
      </x:c>
      <x:c r="J1669" s="4" t="n">
        <x:v>80</x:v>
      </x:c>
      <x:c r="K1669" s="4" t="n">
        <x:v>4</x:v>
      </x:c>
      <x:c r="L1669" s="4" t="n">
        <x:v>44</x:v>
      </x:c>
      <x:c r="M1669" s="4" t="n">
        <x:v>4</x:v>
      </x:c>
      <x:c r="N1669" s="4" t="n">
        <x:v>36</x:v>
      </x:c>
      <x:c r="O1669" s="4" t="n">
        <x:v>0</x:v>
      </x:c>
      <x:c r="P1669" s="1" t="str">
        <x:v>PASS</x:v>
      </x:c>
      <x:c r="Q1669" s="4" t="n">
        <x:v>0</x:v>
      </x:c>
      <x:c r="R1669" s="1" t="str">
        <x:v>PASS</x:v>
      </x:c>
      <x:c r="S1669" s="4" t="n">
        <x:v>0</x:v>
      </x:c>
      <x:c r="T1669" s="1" t="str">
        <x:v>NOT_REVEALING</x:v>
      </x:c>
      <x:c r="U1669" s="1" t="str">
        <x:v>Mockito_24</x:v>
      </x:c>
      <x:c r="V1669" s="6" t="n">
        <x:v>88.08</x:v>
      </x:c>
    </x:row>
    <x:row r="1670" ht="22" customHeight="1">
      <x:c r="A1670" s="1" t="str">
        <x:v>Round2</x:v>
      </x:c>
      <x:c r="B1670" s="1" t="str">
        <x:v>Mockito</x:v>
      </x:c>
      <x:c r="C1670" s="4" t="n">
        <x:v>25</x:v>
      </x:c>
      <x:c r="D1670" s="4" t="n">
        <x:v>20260928</x:v>
      </x:c>
      <x:c r="E1670" s="4" t="n">
        <x:v>60</x:v>
      </x:c>
      <x:c r="F1670" s="4" t="n">
        <x:v>46</x:v>
      </x:c>
      <x:c r="G1670" s="5" t="n">
        <x:v>0.1724</x:v>
      </x:c>
      <x:c r="H1670" s="5" t="n">
        <x:v>0.21739999999999998</x:v>
      </x:c>
      <x:c r="I1670" s="5" t="n">
        <x:v>0</x:v>
      </x:c>
      <x:c r="J1670" s="4" t="n">
        <x:v>29</x:v>
      </x:c>
      <x:c r="K1670" s="4" t="n">
        <x:v>5</x:v>
      </x:c>
      <x:c r="L1670" s="4" t="n">
        <x:v>23</x:v>
      </x:c>
      <x:c r="M1670" s="4" t="n">
        <x:v>5</x:v>
      </x:c>
      <x:c r="N1670" s="4" t="n">
        <x:v>6</x:v>
      </x:c>
      <x:c r="O1670" s="4" t="n">
        <x:v>0</x:v>
      </x:c>
      <x:c r="P1670" s="1" t="str">
        <x:v>PASS</x:v>
      </x:c>
      <x:c r="Q1670" s="4" t="n">
        <x:v>0</x:v>
      </x:c>
      <x:c r="R1670" s="1" t="str">
        <x:v>PASS</x:v>
      </x:c>
      <x:c r="S1670" s="4" t="n">
        <x:v>0</x:v>
      </x:c>
      <x:c r="T1670" s="1" t="str">
        <x:v>NOT_REVEALING</x:v>
      </x:c>
      <x:c r="U1670" s="1" t="str">
        <x:v>Mockito_25</x:v>
      </x:c>
      <x:c r="V1670" s="6" t="n">
        <x:v>68.35</x:v>
      </x:c>
    </x:row>
    <x:row r="1671" ht="22" customHeight="1">
      <x:c r="A1671" s="1" t="str">
        <x:v>Round2</x:v>
      </x:c>
      <x:c r="B1671" s="1" t="str">
        <x:v>Mockito</x:v>
      </x:c>
      <x:c r="C1671" s="4" t="n">
        <x:v>26</x:v>
      </x:c>
      <x:c r="D1671" s="4" t="n">
        <x:v>20260928</x:v>
      </x:c>
      <x:c r="E1671" s="4" t="n">
        <x:v>60</x:v>
      </x:c>
      <x:c r="F1671" s="4" t="n">
        <x:v>2</x:v>
      </x:c>
      <x:c r="G1671" s="5" t="n">
        <x:v>0.7895</x:v>
      </x:c>
      <x:c r="H1671" s="5" t="n">
        <x:v>0.8332999999999999</x:v>
      </x:c>
      <x:c r="I1671" s="5" t="n">
        <x:v>0</x:v>
      </x:c>
      <x:c r="J1671" s="4" t="n">
        <x:v>38</x:v>
      </x:c>
      <x:c r="K1671" s="4" t="n">
        <x:v>30</x:v>
      </x:c>
      <x:c r="L1671" s="4" t="n">
        <x:v>36</x:v>
      </x:c>
      <x:c r="M1671" s="4" t="n">
        <x:v>30</x:v>
      </x:c>
      <x:c r="N1671" s="4" t="n">
        <x:v>2</x:v>
      </x:c>
      <x:c r="O1671" s="4" t="n">
        <x:v>0</x:v>
      </x:c>
      <x:c r="P1671" s="1" t="str">
        <x:v>PASS</x:v>
      </x:c>
      <x:c r="Q1671" s="4" t="n">
        <x:v>0</x:v>
      </x:c>
      <x:c r="R1671" s="1" t="str">
        <x:v>PASS</x:v>
      </x:c>
      <x:c r="S1671" s="4" t="n">
        <x:v>0</x:v>
      </x:c>
      <x:c r="T1671" s="1" t="str">
        <x:v>NOT_REVEALING</x:v>
      </x:c>
      <x:c r="U1671" s="1" t="str">
        <x:v>Mockito_26</x:v>
      </x:c>
      <x:c r="V1671" s="6" t="n">
        <x:v>68.31</x:v>
      </x:c>
    </x:row>
    <x:row r="1672" ht="22" customHeight="1">
      <x:c r="A1672" s="1" t="str">
        <x:v>Round2</x:v>
      </x:c>
      <x:c r="B1672" s="1" t="str">
        <x:v>Mockito</x:v>
      </x:c>
      <x:c r="C1672" s="4" t="n">
        <x:v>27</x:v>
      </x:c>
      <x:c r="D1672" s="4" t="n">
        <x:v>20260928</x:v>
      </x:c>
      <x:c r="E1672" s="4" t="n">
        <x:v>60</x:v>
      </x:c>
      <x:c r="F1672" s="4" t="n">
        <x:v>3749</x:v>
      </x:c>
      <x:c r="G1672" s="5" t="n">
        <x:v>0.3594</x:v>
      </x:c>
      <x:c r="H1672" s="5" t="n">
        <x:v>0.35710000000000003</x:v>
      </x:c>
      <x:c r="I1672" s="5" t="n">
        <x:v>0.3636</x:v>
      </x:c>
      <x:c r="J1672" s="4" t="n">
        <x:v>64</x:v>
      </x:c>
      <x:c r="K1672" s="4" t="n">
        <x:v>23</x:v>
      </x:c>
      <x:c r="L1672" s="4" t="n">
        <x:v>42</x:v>
      </x:c>
      <x:c r="M1672" s="4" t="n">
        <x:v>15</x:v>
      </x:c>
      <x:c r="N1672" s="4" t="n">
        <x:v>22</x:v>
      </x:c>
      <x:c r="O1672" s="4" t="n">
        <x:v>8</x:v>
      </x:c>
      <x:c r="P1672" s="1" t="str">
        <x:v>PASS</x:v>
      </x:c>
      <x:c r="Q1672" s="4" t="n">
        <x:v>0</x:v>
      </x:c>
      <x:c r="R1672" s="1" t="str">
        <x:v>PASS</x:v>
      </x:c>
      <x:c r="S1672" s="4" t="n">
        <x:v>0</x:v>
      </x:c>
      <x:c r="T1672" s="1" t="str">
        <x:v>NOT_REVEALING</x:v>
      </x:c>
      <x:c r="U1672" s="1" t="str">
        <x:v>Mockito_27</x:v>
      </x:c>
      <x:c r="V1672" s="6" t="n">
        <x:v>102.71</x:v>
      </x:c>
    </x:row>
    <x:row r="1673" ht="22" customHeight="1">
      <x:c r="A1673" s="1" t="str">
        <x:v>Round2</x:v>
      </x:c>
      <x:c r="B1673" s="1" t="str">
        <x:v>Mockito</x:v>
      </x:c>
      <x:c r="C1673" s="4" t="n">
        <x:v>28</x:v>
      </x:c>
      <x:c r="D1673" s="4" t="n">
        <x:v>20260928</x:v>
      </x:c>
      <x:c r="E1673" s="4" t="n">
        <x:v>60</x:v>
      </x:c>
      <x:c r="F1673" s="4" t="n">
        <x:v>466</x:v>
      </x:c>
      <x:c r="G1673" s="5" t="n">
        <x:v>0.175</x:v>
      </x:c>
      <x:c r="H1673" s="5" t="n">
        <x:v>0.2</x:v>
      </x:c>
      <x:c r="I1673" s="5" t="n">
        <x:v>0.1</x:v>
      </x:c>
      <x:c r="J1673" s="4" t="n">
        <x:v>40</x:v>
      </x:c>
      <x:c r="K1673" s="4" t="n">
        <x:v>7</x:v>
      </x:c>
      <x:c r="L1673" s="4" t="n">
        <x:v>30</x:v>
      </x:c>
      <x:c r="M1673" s="4" t="n">
        <x:v>6</x:v>
      </x:c>
      <x:c r="N1673" s="4" t="n">
        <x:v>10</x:v>
      </x:c>
      <x:c r="O1673" s="4" t="n">
        <x:v>1</x:v>
      </x:c>
      <x:c r="P1673" s="1" t="str">
        <x:v>PASS</x:v>
      </x:c>
      <x:c r="Q1673" s="4" t="n">
        <x:v>0</x:v>
      </x:c>
      <x:c r="R1673" s="1" t="str">
        <x:v>PASS</x:v>
      </x:c>
      <x:c r="S1673" s="4" t="n">
        <x:v>0</x:v>
      </x:c>
      <x:c r="T1673" s="1" t="str">
        <x:v>NOT_REVEALING</x:v>
      </x:c>
      <x:c r="U1673" s="1" t="str">
        <x:v>Mockito_28</x:v>
      </x:c>
      <x:c r="V1673" s="6" t="n">
        <x:v>63.89</x:v>
      </x:c>
    </x:row>
    <x:row r="1674" ht="22" customHeight="1">
      <x:c r="A1674" s="1" t="str">
        <x:v>Round2</x:v>
      </x:c>
      <x:c r="B1674" s="1" t="str">
        <x:v>Mockito</x:v>
      </x:c>
      <x:c r="C1674" s="4" t="n">
        <x:v>29</x:v>
      </x:c>
      <x:c r="D1674" s="4" t="n">
        <x:v>20260928</x:v>
      </x:c>
      <x:c r="E1674" s="4" t="n">
        <x:v>60</x:v>
      </x:c>
      <x:c r="F1674" s="4" t="n">
        <x:v>3160</x:v>
      </x:c>
      <x:c r="G1674" s="5" t="n">
        <x:v>1</x:v>
      </x:c>
      <x:c r="H1674" s="5" t="n">
        <x:v>1</x:v>
      </x:c>
      <x:c r="I1674" s="5" t="n">
        <x:v>1</x:v>
      </x:c>
      <x:c r="J1674" s="4" t="n">
        <x:v>21</x:v>
      </x:c>
      <x:c r="K1674" s="4" t="n">
        <x:v>21</x:v>
      </x:c>
      <x:c r="L1674" s="4" t="n">
        <x:v>15</x:v>
      </x:c>
      <x:c r="M1674" s="4" t="n">
        <x:v>15</x:v>
      </x:c>
      <x:c r="N1674" s="4" t="n">
        <x:v>6</x:v>
      </x:c>
      <x:c r="O1674" s="4" t="n">
        <x:v>6</x:v>
      </x:c>
      <x:c r="P1674" s="1" t="str">
        <x:v>PASS</x:v>
      </x:c>
      <x:c r="Q1674" s="4" t="n">
        <x:v>0</x:v>
      </x:c>
      <x:c r="R1674" s="1" t="str">
        <x:v>FAIL</x:v>
      </x:c>
      <x:c r="S1674" s="4" t="n">
        <x:v>4</x:v>
      </x:c>
      <x:c r="T1674" s="1" t="str">
        <x:v>INCONCLUSIVE</x:v>
      </x:c>
      <x:c r="U1674" s="1" t="str">
        <x:v>Mockito_29</x:v>
      </x:c>
      <x:c r="V1674" s="6" t="n">
        <x:v>76.58</x:v>
      </x:c>
    </x:row>
    <x:row r="1675" ht="22" customHeight="1">
      <x:c r="A1675" s="1" t="str">
        <x:v>Round2</x:v>
      </x:c>
      <x:c r="B1675" s="1" t="str">
        <x:v>Mockito</x:v>
      </x:c>
      <x:c r="C1675" s="4" t="n">
        <x:v>30</x:v>
      </x:c>
      <x:c r="D1675" s="4" t="n">
        <x:v>20260928</x:v>
      </x:c>
      <x:c r="E1675" s="4" t="n">
        <x:v>60</x:v>
      </x:c>
      <x:c r="F1675" s="4" t="n">
        <x:v>1476</x:v>
      </x:c>
      <x:c r="G1675" s="5" t="n">
        <x:v>0.5</x:v>
      </x:c>
      <x:c r="H1675" s="5" t="n">
        <x:v>0.5536</x:v>
      </x:c>
      <x:c r="I1675" s="5" t="n">
        <x:v>0.07139999999999999</x:v>
      </x:c>
      <x:c r="J1675" s="4" t="n">
        <x:v>126</x:v>
      </x:c>
      <x:c r="K1675" s="4" t="n">
        <x:v>63</x:v>
      </x:c>
      <x:c r="L1675" s="4" t="n">
        <x:v>112</x:v>
      </x:c>
      <x:c r="M1675" s="4" t="n">
        <x:v>62</x:v>
      </x:c>
      <x:c r="N1675" s="4" t="n">
        <x:v>14</x:v>
      </x:c>
      <x:c r="O1675" s="4" t="n">
        <x:v>1</x:v>
      </x:c>
      <x:c r="P1675" s="1" t="str">
        <x:v>FAIL</x:v>
      </x:c>
      <x:c r="Q1675" s="4" t="n">
        <x:v>712</x:v>
      </x:c>
      <x:c r="R1675" s="1" t="str">
        <x:v>NOT_RUN</x:v>
      </x:c>
      <x:c r="S1675" s="4"/>
      <x:c r="T1675" s="1" t="str">
        <x:v>NOT_AVAILABLE</x:v>
      </x:c>
      <x:c r="U1675" s="1" t="str">
        <x:v>Mockito_30</x:v>
      </x:c>
      <x:c r="V1675" s="6" t="n">
        <x:v>42.7</x:v>
      </x:c>
    </x:row>
    <x:row r="1676" ht="22" customHeight="1">
      <x:c r="A1676" s="1" t="str">
        <x:v>Round2</x:v>
      </x:c>
      <x:c r="B1676" s="1" t="str">
        <x:v>Mockito</x:v>
      </x:c>
      <x:c r="C1676" s="4" t="n">
        <x:v>31</x:v>
      </x:c>
      <x:c r="D1676" s="4" t="n">
        <x:v>20260928</x:v>
      </x:c>
      <x:c r="E1676" s="4" t="n">
        <x:v>60</x:v>
      </x:c>
      <x:c r="F1676" s="4" t="n">
        <x:v>3</x:v>
      </x:c>
      <x:c r="G1676" s="5" t="n">
        <x:v>0.12</x:v>
      </x:c>
      <x:c r="H1676" s="5" t="n">
        <x:v>0.15789999999999998</x:v>
      </x:c>
      <x:c r="I1676" s="5" t="n">
        <x:v>0</x:v>
      </x:c>
      <x:c r="J1676" s="4" t="n">
        <x:v>25</x:v>
      </x:c>
      <x:c r="K1676" s="4" t="n">
        <x:v>3</x:v>
      </x:c>
      <x:c r="L1676" s="4" t="n">
        <x:v>19</x:v>
      </x:c>
      <x:c r="M1676" s="4" t="n">
        <x:v>3</x:v>
      </x:c>
      <x:c r="N1676" s="4" t="n">
        <x:v>6</x:v>
      </x:c>
      <x:c r="O1676" s="4" t="n">
        <x:v>0</x:v>
      </x:c>
      <x:c r="P1676" s="1" t="str">
        <x:v>PASS</x:v>
      </x:c>
      <x:c r="Q1676" s="4" t="n">
        <x:v>0</x:v>
      </x:c>
      <x:c r="R1676" s="1" t="str">
        <x:v>PASS</x:v>
      </x:c>
      <x:c r="S1676" s="4" t="n">
        <x:v>0</x:v>
      </x:c>
      <x:c r="T1676" s="1" t="str">
        <x:v>NOT_REVEALING</x:v>
      </x:c>
      <x:c r="U1676" s="1" t="str">
        <x:v>Mockito_31</x:v>
      </x:c>
      <x:c r="V1676" s="6" t="n">
        <x:v>44.2</x:v>
      </x:c>
    </x:row>
    <x:row r="1677" ht="22" customHeight="1">
      <x:c r="A1677" s="1" t="str">
        <x:v>Round2</x:v>
      </x:c>
      <x:c r="B1677" s="1" t="str">
        <x:v>Mockito</x:v>
      </x:c>
      <x:c r="C1677" s="4" t="n">
        <x:v>32</x:v>
      </x:c>
      <x:c r="D1677" s="4" t="n">
        <x:v>20260928</x:v>
      </x:c>
      <x:c r="E1677" s="4" t="n">
        <x:v>60</x:v>
      </x:c>
      <x:c r="F1677" s="4" t="n">
        <x:v>45</x:v>
      </x:c>
      <x:c r="G1677" s="5" t="n">
        <x:v>0.0571</x:v>
      </x:c>
      <x:c r="H1677" s="5" t="n">
        <x:v>0.087</x:v>
      </x:c>
      <x:c r="I1677" s="5" t="n">
        <x:v>0</x:v>
      </x:c>
      <x:c r="J1677" s="4" t="n">
        <x:v>35</x:v>
      </x:c>
      <x:c r="K1677" s="4" t="n">
        <x:v>2</x:v>
      </x:c>
      <x:c r="L1677" s="4" t="n">
        <x:v>23</x:v>
      </x:c>
      <x:c r="M1677" s="4" t="n">
        <x:v>2</x:v>
      </x:c>
      <x:c r="N1677" s="4" t="n">
        <x:v>12</x:v>
      </x:c>
      <x:c r="O1677" s="4" t="n">
        <x:v>0</x:v>
      </x:c>
      <x:c r="P1677" s="1" t="str">
        <x:v>PASS</x:v>
      </x:c>
      <x:c r="Q1677" s="4" t="n">
        <x:v>0</x:v>
      </x:c>
      <x:c r="R1677" s="1" t="str">
        <x:v>PASS</x:v>
      </x:c>
      <x:c r="S1677" s="4" t="n">
        <x:v>0</x:v>
      </x:c>
      <x:c r="T1677" s="1" t="str">
        <x:v>NOT_REVEALING</x:v>
      </x:c>
      <x:c r="U1677" s="1" t="str">
        <x:v>Mockito_32</x:v>
      </x:c>
      <x:c r="V1677" s="6" t="n">
        <x:v>44.34</x:v>
      </x:c>
    </x:row>
    <x:row r="1678" ht="22" customHeight="1">
      <x:c r="A1678" s="1" t="str">
        <x:v>Round2</x:v>
      </x:c>
      <x:c r="B1678" s="1" t="str">
        <x:v>Mockito</x:v>
      </x:c>
      <x:c r="C1678" s="4" t="n">
        <x:v>33</x:v>
      </x:c>
      <x:c r="D1678" s="4" t="n">
        <x:v>20260928</x:v>
      </x:c>
      <x:c r="E1678" s="4" t="n">
        <x:v>60</x:v>
      </x:c>
      <x:c r="F1678" s="4" t="n">
        <x:v>198</x:v>
      </x:c>
      <x:c r="G1678" s="5" t="n">
        <x:v>0.12990000000000002</x:v>
      </x:c>
      <x:c r="H1678" s="5" t="n">
        <x:v>0.1778</x:v>
      </x:c>
      <x:c r="I1678" s="5" t="n">
        <x:v>0.0625</x:v>
      </x:c>
      <x:c r="J1678" s="4" t="n">
        <x:v>77</x:v>
      </x:c>
      <x:c r="K1678" s="4" t="n">
        <x:v>10</x:v>
      </x:c>
      <x:c r="L1678" s="4" t="n">
        <x:v>45</x:v>
      </x:c>
      <x:c r="M1678" s="4" t="n">
        <x:v>8</x:v>
      </x:c>
      <x:c r="N1678" s="4" t="n">
        <x:v>32</x:v>
      </x:c>
      <x:c r="O1678" s="4" t="n">
        <x:v>2</x:v>
      </x:c>
      <x:c r="P1678" s="1" t="str">
        <x:v>PASS</x:v>
      </x:c>
      <x:c r="Q1678" s="4" t="n">
        <x:v>0</x:v>
      </x:c>
      <x:c r="R1678" s="1" t="str">
        <x:v>PASS</x:v>
      </x:c>
      <x:c r="S1678" s="4" t="n">
        <x:v>0</x:v>
      </x:c>
      <x:c r="T1678" s="1" t="str">
        <x:v>NOT_REVEALING</x:v>
      </x:c>
      <x:c r="U1678" s="1" t="str">
        <x:v>Mockito_33</x:v>
      </x:c>
      <x:c r="V1678" s="6" t="n">
        <x:v>52.49</x:v>
      </x:c>
    </x:row>
    <x:row r="1679" ht="22" customHeight="1">
      <x:c r="A1679" s="1" t="str">
        <x:v>Round2</x:v>
      </x:c>
      <x:c r="B1679" s="1" t="str">
        <x:v>Mockito</x:v>
      </x:c>
      <x:c r="C1679" s="4" t="n">
        <x:v>34</x:v>
      </x:c>
      <x:c r="D1679" s="4" t="n">
        <x:v>20260928</x:v>
      </x:c>
      <x:c r="E1679" s="4" t="n">
        <x:v>60</x:v>
      </x:c>
      <x:c r="F1679" s="4" t="n">
        <x:v>4</x:v>
      </x:c>
      <x:c r="G1679" s="5" t="n">
        <x:v>0.0909</x:v>
      </x:c>
      <x:c r="H1679" s="5" t="n">
        <x:v>0.1316</x:v>
      </x:c>
      <x:c r="I1679" s="5" t="n">
        <x:v>0.035699999999999996</x:v>
      </x:c>
      <x:c r="J1679" s="4" t="n">
        <x:v>66</x:v>
      </x:c>
      <x:c r="K1679" s="4" t="n">
        <x:v>6</x:v>
      </x:c>
      <x:c r="L1679" s="4" t="n">
        <x:v>38</x:v>
      </x:c>
      <x:c r="M1679" s="4" t="n">
        <x:v>5</x:v>
      </x:c>
      <x:c r="N1679" s="4" t="n">
        <x:v>28</x:v>
      </x:c>
      <x:c r="O1679" s="4" t="n">
        <x:v>1</x:v>
      </x:c>
      <x:c r="P1679" s="1" t="str">
        <x:v>PASS</x:v>
      </x:c>
      <x:c r="Q1679" s="4" t="n">
        <x:v>0</x:v>
      </x:c>
      <x:c r="R1679" s="1" t="str">
        <x:v>PASS</x:v>
      </x:c>
      <x:c r="S1679" s="4" t="n">
        <x:v>0</x:v>
      </x:c>
      <x:c r="T1679" s="1" t="str">
        <x:v>NOT_REVEALING</x:v>
      </x:c>
      <x:c r="U1679" s="1" t="str">
        <x:v>Mockito_34</x:v>
      </x:c>
      <x:c r="V1679" s="6" t="n">
        <x:v>44.36</x:v>
      </x:c>
    </x:row>
    <x:row r="1680" ht="22" customHeight="1">
      <x:c r="A1680" s="1" t="str">
        <x:v>Round2</x:v>
      </x:c>
      <x:c r="B1680" s="1" t="str">
        <x:v>Mockito</x:v>
      </x:c>
      <x:c r="C1680" s="4" t="n">
        <x:v>35</x:v>
      </x:c>
      <x:c r="D1680" s="4" t="n">
        <x:v>20260928</x:v>
      </x:c>
      <x:c r="E1680" s="4" t="n">
        <x:v>60</x:v>
      </x:c>
      <x:c r="F1680" s="4" t="n">
        <x:v>3015</x:v>
      </x:c>
      <x:c r="G1680" s="5" t="n">
        <x:v>0.8824</x:v>
      </x:c>
      <x:c r="H1680" s="5" t="n">
        <x:v>0.8824</x:v>
      </x:c>
      <x:c r="I1680" s="5" t="n">
        <x:v>0</x:v>
      </x:c>
      <x:c r="J1680" s="4" t="n">
        <x:v>51</x:v>
      </x:c>
      <x:c r="K1680" s="4" t="n">
        <x:v>45</x:v>
      </x:c>
      <x:c r="L1680" s="4" t="n">
        <x:v>51</x:v>
      </x:c>
      <x:c r="M1680" s="4" t="n">
        <x:v>45</x:v>
      </x:c>
      <x:c r="N1680" s="4" t="n">
        <x:v>0</x:v>
      </x:c>
      <x:c r="O1680" s="4" t="n">
        <x:v>0</x:v>
      </x:c>
      <x:c r="P1680" s="1" t="str">
        <x:v>PASS</x:v>
      </x:c>
      <x:c r="Q1680" s="4" t="n">
        <x:v>0</x:v>
      </x:c>
      <x:c r="R1680" s="1" t="str">
        <x:v>FAIL</x:v>
      </x:c>
      <x:c r="S1680" s="4" t="n">
        <x:v>1304</x:v>
      </x:c>
      <x:c r="T1680" s="1" t="str">
        <x:v>INCONCLUSIVE</x:v>
      </x:c>
      <x:c r="U1680" s="1" t="str">
        <x:v>Mockito_35</x:v>
      </x:c>
      <x:c r="V1680" s="6" t="n">
        <x:v>84.58</x:v>
      </x:c>
    </x:row>
    <x:row r="1681" ht="22" customHeight="1">
      <x:c r="A1681" s="1" t="str">
        <x:v>Round2</x:v>
      </x:c>
      <x:c r="B1681" s="1" t="str">
        <x:v>Mockito</x:v>
      </x:c>
      <x:c r="C1681" s="4" t="n">
        <x:v>36</x:v>
      </x:c>
      <x:c r="D1681" s="4" t="n">
        <x:v>20260928</x:v>
      </x:c>
      <x:c r="E1681" s="4" t="n">
        <x:v>60</x:v>
      </x:c>
      <x:c r="F1681" s="4" t="n">
        <x:v>7191</x:v>
      </x:c>
      <x:c r="G1681" s="5" t="n">
        <x:v>0.0536</x:v>
      </x:c>
      <x:c r="H1681" s="5" t="n">
        <x:v>0.0857</x:v>
      </x:c>
      <x:c r="I1681" s="5" t="n">
        <x:v>0</x:v>
      </x:c>
      <x:c r="J1681" s="4" t="n">
        <x:v>112</x:v>
      </x:c>
      <x:c r="K1681" s="4" t="n">
        <x:v>6</x:v>
      </x:c>
      <x:c r="L1681" s="4" t="n">
        <x:v>70</x:v>
      </x:c>
      <x:c r="M1681" s="4" t="n">
        <x:v>6</x:v>
      </x:c>
      <x:c r="N1681" s="4" t="n">
        <x:v>42</x:v>
      </x:c>
      <x:c r="O1681" s="4" t="n">
        <x:v>0</x:v>
      </x:c>
      <x:c r="P1681" s="1" t="str">
        <x:v>PASS</x:v>
      </x:c>
      <x:c r="Q1681" s="4" t="n">
        <x:v>0</x:v>
      </x:c>
      <x:c r="R1681" s="1" t="str">
        <x:v>PASS</x:v>
      </x:c>
      <x:c r="S1681" s="4" t="n">
        <x:v>0</x:v>
      </x:c>
      <x:c r="T1681" s="1" t="str">
        <x:v>NOT_REVEALING</x:v>
      </x:c>
      <x:c r="U1681" s="1" t="str">
        <x:v>Mockito_36</x:v>
      </x:c>
      <x:c r="V1681" s="6" t="n">
        <x:v>70.17</x:v>
      </x:c>
    </x:row>
    <x:row r="1682" ht="22" customHeight="1">
      <x:c r="A1682" s="1" t="str">
        <x:v>Round2</x:v>
      </x:c>
      <x:c r="B1682" s="1" t="str">
        <x:v>Mockito</x:v>
      </x:c>
      <x:c r="C1682" s="4" t="n">
        <x:v>37</x:v>
      </x:c>
      <x:c r="D1682" s="4" t="n">
        <x:v>20260928</x:v>
      </x:c>
      <x:c r="E1682" s="4" t="n">
        <x:v>60</x:v>
      </x:c>
      <x:c r="F1682" s="4" t="n">
        <x:v>2</x:v>
      </x:c>
      <x:c r="G1682" s="5" t="n">
        <x:v>0.0377</x:v>
      </x:c>
      <x:c r="H1682" s="5" t="n">
        <x:v>0.0741</x:v>
      </x:c>
      <x:c r="I1682" s="5" t="n">
        <x:v>0</x:v>
      </x:c>
      <x:c r="J1682" s="4" t="n">
        <x:v>53</x:v>
      </x:c>
      <x:c r="K1682" s="4" t="n">
        <x:v>2</x:v>
      </x:c>
      <x:c r="L1682" s="4" t="n">
        <x:v>27</x:v>
      </x:c>
      <x:c r="M1682" s="4" t="n">
        <x:v>2</x:v>
      </x:c>
      <x:c r="N1682" s="4" t="n">
        <x:v>26</x:v>
      </x:c>
      <x:c r="O1682" s="4" t="n">
        <x:v>0</x:v>
      </x:c>
      <x:c r="P1682" s="1" t="str">
        <x:v>PASS</x:v>
      </x:c>
      <x:c r="Q1682" s="4" t="n">
        <x:v>0</x:v>
      </x:c>
      <x:c r="R1682" s="1" t="str">
        <x:v>PASS</x:v>
      </x:c>
      <x:c r="S1682" s="4" t="n">
        <x:v>0</x:v>
      </x:c>
      <x:c r="T1682" s="1" t="str">
        <x:v>NOT_REVEALING</x:v>
      </x:c>
      <x:c r="U1682" s="1" t="str">
        <x:v>Mockito_37</x:v>
      </x:c>
      <x:c r="V1682" s="6" t="n">
        <x:v>45.3</x:v>
      </x:c>
    </x:row>
    <x:row r="1683" ht="22" customHeight="1">
      <x:c r="A1683" s="1" t="str">
        <x:v>Round2</x:v>
      </x:c>
      <x:c r="B1683" s="1" t="str">
        <x:v>Mockito</x:v>
      </x:c>
      <x:c r="C1683" s="4" t="n">
        <x:v>38</x:v>
      </x:c>
      <x:c r="D1683" s="4" t="n">
        <x:v>20260928</x:v>
      </x:c>
      <x:c r="E1683" s="4" t="n">
        <x:v>60</x:v>
      </x:c>
      <x:c r="F1683" s="4" t="n">
        <x:v>1033</x:v>
      </x:c>
      <x:c r="G1683" s="5" t="n">
        <x:v>0.3333</x:v>
      </x:c>
      <x:c r="H1683" s="5" t="n">
        <x:v>0.3889</x:v>
      </x:c>
      <x:c r="I1683" s="5" t="n">
        <x:v>0.25</x:v>
      </x:c>
      <x:c r="J1683" s="4" t="n">
        <x:v>30</x:v>
      </x:c>
      <x:c r="K1683" s="4" t="n">
        <x:v>10</x:v>
      </x:c>
      <x:c r="L1683" s="4" t="n">
        <x:v>18</x:v>
      </x:c>
      <x:c r="M1683" s="4" t="n">
        <x:v>7</x:v>
      </x:c>
      <x:c r="N1683" s="4" t="n">
        <x:v>12</x:v>
      </x:c>
      <x:c r="O1683" s="4" t="n">
        <x:v>3</x:v>
      </x:c>
      <x:c r="P1683" s="1" t="str">
        <x:v>PASS</x:v>
      </x:c>
      <x:c r="Q1683" s="4" t="n">
        <x:v>0</x:v>
      </x:c>
      <x:c r="R1683" s="1" t="str">
        <x:v>PASS</x:v>
      </x:c>
      <x:c r="S1683" s="4" t="n">
        <x:v>0</x:v>
      </x:c>
      <x:c r="T1683" s="1" t="str">
        <x:v>NOT_REVEALING</x:v>
      </x:c>
      <x:c r="U1683" s="1" t="str">
        <x:v>Mockito_38</x:v>
      </x:c>
      <x:c r="V1683" s="6" t="n">
        <x:v>79.72</x:v>
      </x:c>
    </x:row>
    <x:row r="1684" ht="22" customHeight="1">
      <x:c r="A1684" s="1" t="str">
        <x:v>Round2</x:v>
      </x:c>
      <x:c r="B1684" s="1" t="str">
        <x:v>Time</x:v>
      </x:c>
      <x:c r="C1684" s="4" t="n">
        <x:v>1</x:v>
      </x:c>
      <x:c r="D1684" s="4" t="n">
        <x:v>20260928</x:v>
      </x:c>
      <x:c r="E1684" s="4" t="n">
        <x:v>60</x:v>
      </x:c>
      <x:c r="F1684" s="4" t="n">
        <x:v>4350</x:v>
      </x:c>
      <x:c r="G1684" s="5" t="n">
        <x:v>0.4153</x:v>
      </x:c>
      <x:c r="H1684" s="5" t="n">
        <x:v>0.47840000000000005</x:v>
      </x:c>
      <x:c r="I1684" s="5" t="n">
        <x:v>0.25420000000000004</x:v>
      </x:c>
      <x:c r="J1684" s="4" t="n">
        <x:v>419</x:v>
      </x:c>
      <x:c r="K1684" s="4" t="n">
        <x:v>174</x:v>
      </x:c>
      <x:c r="L1684" s="4" t="n">
        <x:v>301</x:v>
      </x:c>
      <x:c r="M1684" s="4" t="n">
        <x:v>144</x:v>
      </x:c>
      <x:c r="N1684" s="4" t="n">
        <x:v>118</x:v>
      </x:c>
      <x:c r="O1684" s="4" t="n">
        <x:v>30</x:v>
      </x:c>
      <x:c r="P1684" s="1" t="str">
        <x:v>FAIL</x:v>
      </x:c>
      <x:c r="Q1684" s="4" t="n">
        <x:v>2</x:v>
      </x:c>
      <x:c r="R1684" s="1" t="str">
        <x:v>FAIL</x:v>
      </x:c>
      <x:c r="S1684" s="4" t="n">
        <x:v>4</x:v>
      </x:c>
      <x:c r="T1684" s="1" t="str">
        <x:v>INCONCLUSIVE</x:v>
      </x:c>
      <x:c r="U1684" s="1" t="str">
        <x:v>Time_1</x:v>
      </x:c>
      <x:c r="V1684" s="6" t="n">
        <x:v>99.13</x:v>
      </x:c>
    </x:row>
    <x:row r="1685" ht="22" customHeight="1">
      <x:c r="A1685" s="1" t="str">
        <x:v>Round2</x:v>
      </x:c>
      <x:c r="B1685" s="1" t="str">
        <x:v>Time</x:v>
      </x:c>
      <x:c r="C1685" s="4" t="n">
        <x:v>2</x:v>
      </x:c>
      <x:c r="D1685" s="4" t="n">
        <x:v>20260928</x:v>
      </x:c>
      <x:c r="E1685" s="4" t="n">
        <x:v>60</x:v>
      </x:c>
      <x:c r="F1685" s="4" t="n">
        <x:v>4385</x:v>
      </x:c>
      <x:c r="G1685" s="5" t="n">
        <x:v>0.4169</x:v>
      </x:c>
      <x:c r="H1685" s="5" t="n">
        <x:v>0.4815</x:v>
      </x:c>
      <x:c r="I1685" s="5" t="n">
        <x:v>0.25420000000000004</x:v>
      </x:c>
      <x:c r="J1685" s="4" t="n">
        <x:v>415</x:v>
      </x:c>
      <x:c r="K1685" s="4" t="n">
        <x:v>173</x:v>
      </x:c>
      <x:c r="L1685" s="4" t="n">
        <x:v>297</x:v>
      </x:c>
      <x:c r="M1685" s="4" t="n">
        <x:v>143</x:v>
      </x:c>
      <x:c r="N1685" s="4" t="n">
        <x:v>118</x:v>
      </x:c>
      <x:c r="O1685" s="4" t="n">
        <x:v>30</x:v>
      </x:c>
      <x:c r="P1685" s="1" t="str">
        <x:v>FAIL</x:v>
      </x:c>
      <x:c r="Q1685" s="4" t="n">
        <x:v>2</x:v>
      </x:c>
      <x:c r="R1685" s="1" t="str">
        <x:v>FAIL</x:v>
      </x:c>
      <x:c r="S1685" s="4" t="n">
        <x:v>2</x:v>
      </x:c>
      <x:c r="T1685" s="1" t="str">
        <x:v>INCONCLUSIVE</x:v>
      </x:c>
      <x:c r="U1685" s="1" t="str">
        <x:v>Time_2</x:v>
      </x:c>
      <x:c r="V1685" s="6" t="n">
        <x:v>103.23</x:v>
      </x:c>
    </x:row>
    <x:row r="1686" ht="22" customHeight="1">
      <x:c r="A1686" s="1" t="str">
        <x:v>Round2</x:v>
      </x:c>
      <x:c r="B1686" s="1" t="str">
        <x:v>Time</x:v>
      </x:c>
      <x:c r="C1686" s="4" t="n">
        <x:v>3</x:v>
      </x:c>
      <x:c r="D1686" s="4" t="n">
        <x:v>20260928</x:v>
      </x:c>
      <x:c r="E1686" s="4" t="n">
        <x:v>60</x:v>
      </x:c>
      <x:c r="F1686" s="4" t="n">
        <x:v>3258</x:v>
      </x:c>
      <x:c r="G1686" s="5" t="n">
        <x:v>0.8826</x:v>
      </x:c>
      <x:c r="H1686" s="5" t="n">
        <x:v>0.9034</x:v>
      </x:c>
      <x:c r="I1686" s="5" t="n">
        <x:v>0.7674</x:v>
      </x:c>
      <x:c r="J1686" s="4" t="n">
        <x:v>281</x:v>
      </x:c>
      <x:c r="K1686" s="4" t="n">
        <x:v>248</x:v>
      </x:c>
      <x:c r="L1686" s="4" t="n">
        <x:v>238</x:v>
      </x:c>
      <x:c r="M1686" s="4" t="n">
        <x:v>215</x:v>
      </x:c>
      <x:c r="N1686" s="4" t="n">
        <x:v>43</x:v>
      </x:c>
      <x:c r="O1686" s="4" t="n">
        <x:v>33</x:v>
      </x:c>
      <x:c r="P1686" s="1" t="str">
        <x:v>FAIL</x:v>
      </x:c>
      <x:c r="Q1686" s="4" t="n">
        <x:v>4584</x:v>
      </x:c>
      <x:c r="R1686" s="1" t="str">
        <x:v>FAIL</x:v>
      </x:c>
      <x:c r="S1686" s="4" t="n">
        <x:v>4584</x:v>
      </x:c>
      <x:c r="T1686" s="1" t="str">
        <x:v>INCONCLUSIVE</x:v>
      </x:c>
      <x:c r="U1686" s="1" t="str">
        <x:v>Time_3</x:v>
      </x:c>
      <x:c r="V1686" s="6" t="n">
        <x:v>78.16</x:v>
      </x:c>
    </x:row>
    <x:row r="1687" ht="22" customHeight="1">
      <x:c r="A1687" s="1" t="str">
        <x:v>Round2</x:v>
      </x:c>
      <x:c r="B1687" s="1" t="str">
        <x:v>Time</x:v>
      </x:c>
      <x:c r="C1687" s="4" t="n">
        <x:v>4</x:v>
      </x:c>
      <x:c r="D1687" s="4" t="n">
        <x:v>20260928</x:v>
      </x:c>
      <x:c r="E1687" s="4" t="n">
        <x:v>60</x:v>
      </x:c>
      <x:c r="F1687" s="4" t="n">
        <x:v>3991</x:v>
      </x:c>
      <x:c r="G1687" s="5" t="n">
        <x:v>0.4819</x:v>
      </x:c>
      <x:c r="H1687" s="5" t="n">
        <x:v>0.5494</x:v>
      </x:c>
      <x:c r="I1687" s="5" t="n">
        <x:v>0.3208</x:v>
      </x:c>
      <x:c r="J1687" s="4" t="n">
        <x:v>359</x:v>
      </x:c>
      <x:c r="K1687" s="4" t="n">
        <x:v>173</x:v>
      </x:c>
      <x:c r="L1687" s="4" t="n">
        <x:v>253</x:v>
      </x:c>
      <x:c r="M1687" s="4" t="n">
        <x:v>139</x:v>
      </x:c>
      <x:c r="N1687" s="4" t="n">
        <x:v>106</x:v>
      </x:c>
      <x:c r="O1687" s="4" t="n">
        <x:v>34</x:v>
      </x:c>
      <x:c r="P1687" s="1" t="str">
        <x:v>FAIL</x:v>
      </x:c>
      <x:c r="Q1687" s="4" t="n">
        <x:v>14</x:v>
      </x:c>
      <x:c r="R1687" s="1" t="str">
        <x:v>FAIL</x:v>
      </x:c>
      <x:c r="S1687" s="4" t="n">
        <x:v>14</x:v>
      </x:c>
      <x:c r="T1687" s="1" t="str">
        <x:v>INCONCLUSIVE</x:v>
      </x:c>
      <x:c r="U1687" s="1" t="str">
        <x:v>Time_4</x:v>
      </x:c>
      <x:c r="V1687" s="6" t="n">
        <x:v>89.86</x:v>
      </x:c>
    </x:row>
    <x:row r="1688" ht="22" customHeight="1">
      <x:c r="A1688" s="1" t="str">
        <x:v>Round2</x:v>
      </x:c>
      <x:c r="B1688" s="1" t="str">
        <x:v>Time</x:v>
      </x:c>
      <x:c r="C1688" s="4" t="n">
        <x:v>5</x:v>
      </x:c>
      <x:c r="D1688" s="4" t="n">
        <x:v>20260928</x:v>
      </x:c>
      <x:c r="E1688" s="4" t="n">
        <x:v>60</x:v>
      </x:c>
      <x:c r="F1688" s="4" t="n">
        <x:v>4073</x:v>
      </x:c>
      <x:c r="G1688" s="5" t="n">
        <x:v>0.9159</x:v>
      </x:c>
      <x:c r="H1688" s="5" t="n">
        <x:v>0.9470000000000001</x:v>
      </x:c>
      <x:c r="I1688" s="5" t="n">
        <x:v>0.7742</x:v>
      </x:c>
      <x:c r="J1688" s="4" t="n">
        <x:v>345</x:v>
      </x:c>
      <x:c r="K1688" s="4" t="n">
        <x:v>316</x:v>
      </x:c>
      <x:c r="L1688" s="4" t="n">
        <x:v>283</x:v>
      </x:c>
      <x:c r="M1688" s="4" t="n">
        <x:v>268</x:v>
      </x:c>
      <x:c r="N1688" s="4" t="n">
        <x:v>62</x:v>
      </x:c>
      <x:c r="O1688" s="4" t="n">
        <x:v>48</x:v>
      </x:c>
      <x:c r="P1688" s="1" t="str">
        <x:v>FAIL</x:v>
      </x:c>
      <x:c r="Q1688" s="4" t="n">
        <x:v>4</x:v>
      </x:c>
      <x:c r="R1688" s="1" t="str">
        <x:v>FAIL</x:v>
      </x:c>
      <x:c r="S1688" s="4" t="n">
        <x:v>4</x:v>
      </x:c>
      <x:c r="T1688" s="1" t="str">
        <x:v>INCONCLUSIVE</x:v>
      </x:c>
      <x:c r="U1688" s="1" t="str">
        <x:v>Time_5</x:v>
      </x:c>
      <x:c r="V1688" s="6" t="n">
        <x:v>73.47</x:v>
      </x:c>
    </x:row>
    <x:row r="1689" ht="22" customHeight="1">
      <x:c r="A1689" s="1" t="str">
        <x:v>Round2</x:v>
      </x:c>
      <x:c r="B1689" s="1" t="str">
        <x:v>Time</x:v>
      </x:c>
      <x:c r="C1689" s="4" t="n">
        <x:v>6</x:v>
      </x:c>
      <x:c r="D1689" s="4" t="n">
        <x:v>20260928</x:v>
      </x:c>
      <x:c r="E1689" s="4" t="n">
        <x:v>60</x:v>
      </x:c>
      <x:c r="F1689" s="4" t="n">
        <x:v>5029</x:v>
      </x:c>
      <x:c r="G1689" s="5" t="n">
        <x:v>0.4915</x:v>
      </x:c>
      <x:c r="H1689" s="5" t="n">
        <x:v>0.5623</x:v>
      </x:c>
      <x:c r="I1689" s="5" t="n">
        <x:v>0.3393</x:v>
      </x:c>
      <x:c r="J1689" s="4" t="n">
        <x:v>529</x:v>
      </x:c>
      <x:c r="K1689" s="4" t="n">
        <x:v>260</x:v>
      </x:c>
      <x:c r="L1689" s="4" t="n">
        <x:v>361</x:v>
      </x:c>
      <x:c r="M1689" s="4" t="n">
        <x:v>203</x:v>
      </x:c>
      <x:c r="N1689" s="4" t="n">
        <x:v>168</x:v>
      </x:c>
      <x:c r="O1689" s="4" t="n">
        <x:v>57</x:v>
      </x:c>
      <x:c r="P1689" s="1" t="str">
        <x:v>FAIL</x:v>
      </x:c>
      <x:c r="Q1689" s="4" t="n">
        <x:v>640</x:v>
      </x:c>
      <x:c r="R1689" s="1" t="str">
        <x:v>FAIL</x:v>
      </x:c>
      <x:c r="S1689" s="4" t="n">
        <x:v>642</x:v>
      </x:c>
      <x:c r="T1689" s="1" t="str">
        <x:v>INCONCLUSIVE</x:v>
      </x:c>
      <x:c r="U1689" s="1" t="str">
        <x:v>Time_6</x:v>
      </x:c>
      <x:c r="V1689" s="6" t="n">
        <x:v>81.13</x:v>
      </x:c>
    </x:row>
    <x:row r="1690" ht="22" customHeight="1">
      <x:c r="A1690" s="1" t="str">
        <x:v>Round2</x:v>
      </x:c>
      <x:c r="B1690" s="1" t="str">
        <x:v>Time</x:v>
      </x:c>
      <x:c r="C1690" s="4" t="n">
        <x:v>7</x:v>
      </x:c>
      <x:c r="D1690" s="4" t="n">
        <x:v>20260928</x:v>
      </x:c>
      <x:c r="E1690" s="4" t="n">
        <x:v>60</x:v>
      </x:c>
      <x:c r="F1690" s="4" t="n">
        <x:v>6026</x:v>
      </x:c>
      <x:c r="G1690" s="5" t="n">
        <x:v>0.3176</x:v>
      </x:c>
      <x:c r="H1690" s="5" t="n">
        <x:v>0.375</x:v>
      </x:c>
      <x:c r="I1690" s="5" t="n">
        <x:v>0.1818</x:v>
      </x:c>
      <x:c r="J1690" s="4" t="n">
        <x:v>296</x:v>
      </x:c>
      <x:c r="K1690" s="4" t="n">
        <x:v>94</x:v>
      </x:c>
      <x:c r="L1690" s="4" t="n">
        <x:v>208</x:v>
      </x:c>
      <x:c r="M1690" s="4" t="n">
        <x:v>78</x:v>
      </x:c>
      <x:c r="N1690" s="4" t="n">
        <x:v>88</x:v>
      </x:c>
      <x:c r="O1690" s="4" t="n">
        <x:v>16</x:v>
      </x:c>
      <x:c r="P1690" s="1" t="str">
        <x:v>PASS</x:v>
      </x:c>
      <x:c r="Q1690" s="4" t="n">
        <x:v>0</x:v>
      </x:c>
      <x:c r="R1690" s="1" t="str">
        <x:v>PASS</x:v>
      </x:c>
      <x:c r="S1690" s="4" t="n">
        <x:v>0</x:v>
      </x:c>
      <x:c r="T1690" s="1" t="str">
        <x:v>NOT_REVEALING</x:v>
      </x:c>
      <x:c r="U1690" s="1" t="str">
        <x:v>Time_7</x:v>
      </x:c>
      <x:c r="V1690" s="6" t="n">
        <x:v>91.07</x:v>
      </x:c>
    </x:row>
    <x:row r="1691" ht="22" customHeight="1">
      <x:c r="A1691" s="1" t="str">
        <x:v>Round2</x:v>
      </x:c>
      <x:c r="B1691" s="1" t="str">
        <x:v>Time</x:v>
      </x:c>
      <x:c r="C1691" s="4" t="n">
        <x:v>8</x:v>
      </x:c>
      <x:c r="D1691" s="4" t="n">
        <x:v>20260928</x:v>
      </x:c>
      <x:c r="E1691" s="4" t="n">
        <x:v>60</x:v>
      </x:c>
      <x:c r="F1691" s="4" t="n">
        <x:v>5133</x:v>
      </x:c>
      <x:c r="G1691" s="5" t="n">
        <x:v>0.7336</x:v>
      </x:c>
      <x:c r="H1691" s="5" t="n">
        <x:v>0.7831</x:v>
      </x:c>
      <x:c r="I1691" s="5" t="n">
        <x:v>0.6347999999999999</x:v>
      </x:c>
      <x:c r="J1691" s="4" t="n">
        <x:v>533</x:v>
      </x:c>
      <x:c r="K1691" s="4" t="n">
        <x:v>391</x:v>
      </x:c>
      <x:c r="L1691" s="4" t="n">
        <x:v>355</x:v>
      </x:c>
      <x:c r="M1691" s="4" t="n">
        <x:v>278</x:v>
      </x:c>
      <x:c r="N1691" s="4" t="n">
        <x:v>178</x:v>
      </x:c>
      <x:c r="O1691" s="4" t="n">
        <x:v>113</x:v>
      </x:c>
      <x:c r="P1691" s="1" t="str">
        <x:v>FAIL</x:v>
      </x:c>
      <x:c r="Q1691" s="4" t="n">
        <x:v>27</x:v>
      </x:c>
      <x:c r="R1691" s="1" t="str">
        <x:v>FAIL</x:v>
      </x:c>
      <x:c r="S1691" s="4" t="n">
        <x:v>41</x:v>
      </x:c>
      <x:c r="T1691" s="1" t="str">
        <x:v>INCONCLUSIVE</x:v>
      </x:c>
      <x:c r="U1691" s="1" t="str">
        <x:v>Time_8</x:v>
      </x:c>
      <x:c r="V1691" s="6" t="n">
        <x:v>83.5</x:v>
      </x:c>
    </x:row>
    <x:row r="1692" ht="22" customHeight="1">
      <x:c r="A1692" s="1" t="str">
        <x:v>Round2</x:v>
      </x:c>
      <x:c r="B1692" s="1" t="str">
        <x:v>Time</x:v>
      </x:c>
      <x:c r="C1692" s="4" t="n">
        <x:v>9</x:v>
      </x:c>
      <x:c r="D1692" s="4" t="n">
        <x:v>20260928</x:v>
      </x:c>
      <x:c r="E1692" s="4" t="n">
        <x:v>60</x:v>
      </x:c>
      <x:c r="F1692" s="4" t="n">
        <x:v>5274</x:v>
      </x:c>
      <x:c r="G1692" s="5" t="n">
        <x:v>0.7198</x:v>
      </x:c>
      <x:c r="H1692" s="5" t="n">
        <x:v>0.7720999999999999</x:v>
      </x:c>
      <x:c r="I1692" s="5" t="n">
        <x:v>0.6118</x:v>
      </x:c>
      <x:c r="J1692" s="4" t="n">
        <x:v>521</x:v>
      </x:c>
      <x:c r="K1692" s="4" t="n">
        <x:v>375</x:v>
      </x:c>
      <x:c r="L1692" s="4" t="n">
        <x:v>351</x:v>
      </x:c>
      <x:c r="M1692" s="4" t="n">
        <x:v>271</x:v>
      </x:c>
      <x:c r="N1692" s="4" t="n">
        <x:v>170</x:v>
      </x:c>
      <x:c r="O1692" s="4" t="n">
        <x:v>104</x:v>
      </x:c>
      <x:c r="P1692" s="1" t="str">
        <x:v>FAIL</x:v>
      </x:c>
      <x:c r="Q1692" s="4" t="n">
        <x:v>6</x:v>
      </x:c>
      <x:c r="R1692" s="1" t="str">
        <x:v>FAIL</x:v>
      </x:c>
      <x:c r="S1692" s="4" t="n">
        <x:v>1250</x:v>
      </x:c>
      <x:c r="T1692" s="1" t="str">
        <x:v>INCONCLUSIVE</x:v>
      </x:c>
      <x:c r="U1692" s="1" t="str">
        <x:v>Time_9</x:v>
      </x:c>
      <x:c r="V1692" s="6" t="n">
        <x:v>75.91</x:v>
      </x:c>
    </x:row>
    <x:row r="1693" ht="22" customHeight="1">
      <x:c r="A1693" s="1" t="str">
        <x:v>Round2</x:v>
      </x:c>
      <x:c r="B1693" s="1" t="str">
        <x:v>Time</x:v>
      </x:c>
      <x:c r="C1693" s="4" t="n">
        <x:v>10</x:v>
      </x:c>
      <x:c r="D1693" s="4" t="n">
        <x:v>20260928</x:v>
      </x:c>
      <x:c r="E1693" s="4" t="n">
        <x:v>60</x:v>
      </x:c>
      <x:c r="F1693" s="4" t="n">
        <x:v>27</x:v>
      </x:c>
      <x:c r="G1693" s="5" t="n">
        <x:v>0.07690000000000001</x:v>
      </x:c>
      <x:c r="H1693" s="5" t="n">
        <x:v>0.08449999999999999</x:v>
      </x:c>
      <x:c r="I1693" s="5" t="n">
        <x:v>0.0652</x:v>
      </x:c>
      <x:c r="J1693" s="4" t="n">
        <x:v>117</x:v>
      </x:c>
      <x:c r="K1693" s="4" t="n">
        <x:v>9</x:v>
      </x:c>
      <x:c r="L1693" s="4" t="n">
        <x:v>71</x:v>
      </x:c>
      <x:c r="M1693" s="4" t="n">
        <x:v>6</x:v>
      </x:c>
      <x:c r="N1693" s="4" t="n">
        <x:v>46</x:v>
      </x:c>
      <x:c r="O1693" s="4" t="n">
        <x:v>3</x:v>
      </x:c>
      <x:c r="P1693" s="1" t="str">
        <x:v>PASS</x:v>
      </x:c>
      <x:c r="Q1693" s="4" t="n">
        <x:v>0</x:v>
      </x:c>
      <x:c r="R1693" s="1" t="str">
        <x:v>PASS</x:v>
      </x:c>
      <x:c r="S1693" s="4" t="n">
        <x:v>0</x:v>
      </x:c>
      <x:c r="T1693" s="1" t="str">
        <x:v>NOT_REVEALING</x:v>
      </x:c>
      <x:c r="U1693" s="1" t="str">
        <x:v>Time_10</x:v>
      </x:c>
      <x:c r="V1693" s="6" t="n">
        <x:v>45.29</x:v>
      </x:c>
    </x:row>
    <x:row r="1694" ht="22" customHeight="1">
      <x:c r="A1694" s="1" t="str">
        <x:v>Round2</x:v>
      </x:c>
      <x:c r="B1694" s="1" t="str">
        <x:v>Time</x:v>
      </x:c>
      <x:c r="C1694" s="4" t="n">
        <x:v>11</x:v>
      </x:c>
      <x:c r="D1694" s="4" t="n">
        <x:v>20260928</x:v>
      </x:c>
      <x:c r="E1694" s="4" t="n">
        <x:v>60</x:v>
      </x:c>
      <x:c r="F1694" s="4" t="n">
        <x:v>5466</x:v>
      </x:c>
      <x:c r="G1694" s="5" t="n">
        <x:v>0.1638</x:v>
      </x:c>
      <x:c r="H1694" s="5" t="n">
        <x:v>0.1832</x:v>
      </x:c>
      <x:c r="I1694" s="5" t="n">
        <x:v>0.1244</x:v>
      </x:c>
      <x:c r="J1694" s="4" t="n">
        <x:v>586</x:v>
      </x:c>
      <x:c r="K1694" s="4" t="n">
        <x:v>96</x:v>
      </x:c>
      <x:c r="L1694" s="4" t="n">
        <x:v>393</x:v>
      </x:c>
      <x:c r="M1694" s="4" t="n">
        <x:v>72</x:v>
      </x:c>
      <x:c r="N1694" s="4" t="n">
        <x:v>193</x:v>
      </x:c>
      <x:c r="O1694" s="4" t="n">
        <x:v>24</x:v>
      </x:c>
      <x:c r="P1694" s="1" t="str">
        <x:v>PASS</x:v>
      </x:c>
      <x:c r="Q1694" s="4" t="n">
        <x:v>0</x:v>
      </x:c>
      <x:c r="R1694" s="1" t="str">
        <x:v>PASS</x:v>
      </x:c>
      <x:c r="S1694" s="4" t="n">
        <x:v>0</x:v>
      </x:c>
      <x:c r="T1694" s="1" t="str">
        <x:v>NOT_REVEALING</x:v>
      </x:c>
      <x:c r="U1694" s="1" t="str">
        <x:v>Time_11</x:v>
      </x:c>
      <x:c r="V1694" s="6" t="n">
        <x:v>82.14</x:v>
      </x:c>
    </x:row>
    <x:row r="1695" ht="22" customHeight="1">
      <x:c r="A1695" s="1" t="str">
        <x:v>Round2</x:v>
      </x:c>
      <x:c r="B1695" s="1" t="str">
        <x:v>Time</x:v>
      </x:c>
      <x:c r="C1695" s="4" t="n">
        <x:v>12</x:v>
      </x:c>
      <x:c r="D1695" s="4" t="n">
        <x:v>20260928</x:v>
      </x:c>
      <x:c r="E1695" s="4" t="n">
        <x:v>60</x:v>
      </x:c>
      <x:c r="F1695" s="4" t="n">
        <x:v>4715</x:v>
      </x:c>
      <x:c r="G1695" s="5" t="n">
        <x:v>0.7911</x:v>
      </x:c>
      <x:c r="H1695" s="5" t="n">
        <x:v>0.8358</x:v>
      </x:c>
      <x:c r="I1695" s="5" t="n">
        <x:v>0.6653</x:v>
      </x:c>
      <x:c r="J1695" s="4" t="n">
        <x:v>900</x:v>
      </x:c>
      <x:c r="K1695" s="4" t="n">
        <x:v>712</x:v>
      </x:c>
      <x:c r="L1695" s="4" t="n">
        <x:v>664</x:v>
      </x:c>
      <x:c r="M1695" s="4" t="n">
        <x:v>555</x:v>
      </x:c>
      <x:c r="N1695" s="4" t="n">
        <x:v>236</x:v>
      </x:c>
      <x:c r="O1695" s="4" t="n">
        <x:v>157</x:v>
      </x:c>
      <x:c r="P1695" s="1" t="str">
        <x:v>FAIL</x:v>
      </x:c>
      <x:c r="Q1695" s="4" t="n">
        <x:v>5498</x:v>
      </x:c>
      <x:c r="R1695" s="1" t="str">
        <x:v>FAIL</x:v>
      </x:c>
      <x:c r="S1695" s="4" t="n">
        <x:v>5498</x:v>
      </x:c>
      <x:c r="T1695" s="1" t="str">
        <x:v>INCONCLUSIVE</x:v>
      </x:c>
      <x:c r="U1695" s="1" t="str">
        <x:v>Time_12</x:v>
      </x:c>
      <x:c r="V1695" s="6" t="n">
        <x:v>78.53</x:v>
      </x:c>
    </x:row>
    <x:row r="1696" ht="22" customHeight="1">
      <x:c r="A1696" s="1" t="str">
        <x:v>Round2</x:v>
      </x:c>
      <x:c r="B1696" s="1" t="str">
        <x:v>Time</x:v>
      </x:c>
      <x:c r="C1696" s="4" t="n">
        <x:v>13</x:v>
      </x:c>
      <x:c r="D1696" s="4" t="n">
        <x:v>20260928</x:v>
      </x:c>
      <x:c r="E1696" s="4" t="n">
        <x:v>60</x:v>
      </x:c>
      <x:c r="F1696" s="4" t="n">
        <x:v>5043</x:v>
      </x:c>
      <x:c r="G1696" s="5" t="n">
        <x:v>0.4929</x:v>
      </x:c>
      <x:c r="H1696" s="5" t="n">
        <x:v>0.5789</x:v>
      </x:c>
      <x:c r="I1696" s="5" t="n">
        <x:v>0.365</x:v>
      </x:c>
      <x:c r="J1696" s="4" t="n">
        <x:v>1124</x:v>
      </x:c>
      <x:c r="K1696" s="4" t="n">
        <x:v>554</x:v>
      </x:c>
      <x:c r="L1696" s="4" t="n">
        <x:v>672</x:v>
      </x:c>
      <x:c r="M1696" s="4" t="n">
        <x:v>389</x:v>
      </x:c>
      <x:c r="N1696" s="4" t="n">
        <x:v>452</x:v>
      </x:c>
      <x:c r="O1696" s="4" t="n">
        <x:v>165</x:v>
      </x:c>
      <x:c r="P1696" s="1" t="str">
        <x:v>PASS</x:v>
      </x:c>
      <x:c r="Q1696" s="4" t="n">
        <x:v>0</x:v>
      </x:c>
      <x:c r="R1696" s="1" t="str">
        <x:v>PASS</x:v>
      </x:c>
      <x:c r="S1696" s="4" t="n">
        <x:v>0</x:v>
      </x:c>
      <x:c r="T1696" s="1" t="str">
        <x:v>NOT_REVEALING</x:v>
      </x:c>
      <x:c r="U1696" s="1" t="str">
        <x:v>Time_13</x:v>
      </x:c>
      <x:c r="V1696" s="6" t="n">
        <x:v>85.94</x:v>
      </x:c>
    </x:row>
    <x:row r="1697" ht="22" customHeight="1">
      <x:c r="A1697" s="1" t="str">
        <x:v>Round2</x:v>
      </x:c>
      <x:c r="B1697" s="1" t="str">
        <x:v>Time</x:v>
      </x:c>
      <x:c r="C1697" s="4" t="n">
        <x:v>14</x:v>
      </x:c>
      <x:c r="D1697" s="4" t="n">
        <x:v>20260928</x:v>
      </x:c>
      <x:c r="E1697" s="4" t="n">
        <x:v>60</x:v>
      </x:c>
      <x:c r="F1697" s="4" t="n">
        <x:v>20</x:v>
      </x:c>
      <x:c r="G1697" s="5" t="n">
        <x:v>0.0062</x:v>
      </x:c>
      <x:c r="H1697" s="5" t="n">
        <x:v>0.0088</x:v>
      </x:c>
      <x:c r="I1697" s="5" t="n">
        <x:v>0</x:v>
      </x:c>
      <x:c r="J1697" s="4" t="n">
        <x:v>160</x:v>
      </x:c>
      <x:c r="K1697" s="4" t="n">
        <x:v>1</x:v>
      </x:c>
      <x:c r="L1697" s="4" t="n">
        <x:v>114</x:v>
      </x:c>
      <x:c r="M1697" s="4" t="n">
        <x:v>1</x:v>
      </x:c>
      <x:c r="N1697" s="4" t="n">
        <x:v>46</x:v>
      </x:c>
      <x:c r="O1697" s="4" t="n">
        <x:v>0</x:v>
      </x:c>
      <x:c r="P1697" s="1" t="str">
        <x:v>PASS</x:v>
      </x:c>
      <x:c r="Q1697" s="4" t="n">
        <x:v>0</x:v>
      </x:c>
      <x:c r="R1697" s="1" t="str">
        <x:v>PASS</x:v>
      </x:c>
      <x:c r="S1697" s="4" t="n">
        <x:v>0</x:v>
      </x:c>
      <x:c r="T1697" s="1" t="str">
        <x:v>NOT_REVEALING</x:v>
      </x:c>
      <x:c r="U1697" s="1" t="str">
        <x:v>Time_14</x:v>
      </x:c>
      <x:c r="V1697" s="6" t="n">
        <x:v>46.91</x:v>
      </x:c>
    </x:row>
    <x:row r="1698" ht="22" customHeight="1">
      <x:c r="A1698" s="1" t="str">
        <x:v>Round2</x:v>
      </x:c>
      <x:c r="B1698" s="1" t="str">
        <x:v>Time</x:v>
      </x:c>
      <x:c r="C1698" s="4" t="n">
        <x:v>15</x:v>
      </x:c>
      <x:c r="D1698" s="4" t="n">
        <x:v>20260928</x:v>
      </x:c>
      <x:c r="E1698" s="4" t="n">
        <x:v>60</x:v>
      </x:c>
      <x:c r="F1698" s="4" t="n">
        <x:v>11470</x:v>
      </x:c>
      <x:c r="G1698" s="5" t="n">
        <x:v>0.8828</x:v>
      </x:c>
      <x:c r="H1698" s="5" t="n">
        <x:v>0.9067000000000001</x:v>
      </x:c>
      <x:c r="I1698" s="5" t="n">
        <x:v>0.8571</x:v>
      </x:c>
      <x:c r="J1698" s="4" t="n">
        <x:v>145</x:v>
      </x:c>
      <x:c r="K1698" s="4" t="n">
        <x:v>128</x:v>
      </x:c>
      <x:c r="L1698" s="4" t="n">
        <x:v>75</x:v>
      </x:c>
      <x:c r="M1698" s="4" t="n">
        <x:v>68</x:v>
      </x:c>
      <x:c r="N1698" s="4" t="n">
        <x:v>70</x:v>
      </x:c>
      <x:c r="O1698" s="4" t="n">
        <x:v>60</x:v>
      </x:c>
      <x:c r="P1698" s="1" t="str">
        <x:v>PASS</x:v>
      </x:c>
      <x:c r="Q1698" s="4" t="n">
        <x:v>0</x:v>
      </x:c>
      <x:c r="R1698" s="1" t="str">
        <x:v>PASS</x:v>
      </x:c>
      <x:c r="S1698" s="4" t="n">
        <x:v>0</x:v>
      </x:c>
      <x:c r="T1698" s="1" t="str">
        <x:v>NOT_REVEALING</x:v>
      </x:c>
      <x:c r="U1698" s="1" t="str">
        <x:v>Time_15</x:v>
      </x:c>
      <x:c r="V1698" s="6" t="n">
        <x:v>71.29</x:v>
      </x:c>
    </x:row>
    <x:row r="1699" ht="22" customHeight="1">
      <x:c r="A1699" s="1" t="str">
        <x:v>Round2</x:v>
      </x:c>
      <x:c r="B1699" s="1" t="str">
        <x:v>Time</x:v>
      </x:c>
      <x:c r="C1699" s="4" t="n">
        <x:v>16</x:v>
      </x:c>
      <x:c r="D1699" s="4" t="n">
        <x:v>20260928</x:v>
      </x:c>
      <x:c r="E1699" s="4" t="n">
        <x:v>60</x:v>
      </x:c>
      <x:c r="F1699" s="4" t="n">
        <x:v>5860</x:v>
      </x:c>
      <x:c r="G1699" s="5" t="n">
        <x:v>0.3186</x:v>
      </x:c>
      <x:c r="H1699" s="5" t="n">
        <x:v>0.3768</x:v>
      </x:c>
      <x:c r="I1699" s="5" t="n">
        <x:v>0.1818</x:v>
      </x:c>
      <x:c r="J1699" s="4" t="n">
        <x:v>295</x:v>
      </x:c>
      <x:c r="K1699" s="4" t="n">
        <x:v>94</x:v>
      </x:c>
      <x:c r="L1699" s="4" t="n">
        <x:v>207</x:v>
      </x:c>
      <x:c r="M1699" s="4" t="n">
        <x:v>78</x:v>
      </x:c>
      <x:c r="N1699" s="4" t="n">
        <x:v>88</x:v>
      </x:c>
      <x:c r="O1699" s="4" t="n">
        <x:v>16</x:v>
      </x:c>
      <x:c r="P1699" s="1" t="str">
        <x:v>PASS</x:v>
      </x:c>
      <x:c r="Q1699" s="4" t="n">
        <x:v>0</x:v>
      </x:c>
      <x:c r="R1699" s="1" t="str">
        <x:v>PASS</x:v>
      </x:c>
      <x:c r="S1699" s="4" t="n">
        <x:v>0</x:v>
      </x:c>
      <x:c r="T1699" s="1" t="str">
        <x:v>NOT_REVEALING</x:v>
      </x:c>
      <x:c r="U1699" s="1" t="str">
        <x:v>Time_16</x:v>
      </x:c>
      <x:c r="V1699" s="6" t="n">
        <x:v>87.85</x:v>
      </x:c>
    </x:row>
    <x:row r="1700" ht="22" customHeight="1">
      <x:c r="A1700" s="1" t="str">
        <x:v>Round2</x:v>
      </x:c>
      <x:c r="B1700" s="1" t="str">
        <x:v>Time</x:v>
      </x:c>
      <x:c r="C1700" s="4" t="n">
        <x:v>17</x:v>
      </x:c>
      <x:c r="D1700" s="4" t="n">
        <x:v>20260928</x:v>
      </x:c>
      <x:c r="E1700" s="4" t="n">
        <x:v>60</x:v>
      </x:c>
      <x:c r="F1700" s="4" t="n">
        <x:v>4949</x:v>
      </x:c>
      <x:c r="G1700" s="5" t="n">
        <x:v>0.7484999999999999</x:v>
      </x:c>
      <x:c r="H1700" s="5" t="n">
        <x:v>0.7901</x:v>
      </x:c>
      <x:c r="I1700" s="5" t="n">
        <x:v>0.6605</x:v>
      </x:c>
      <x:c r="J1700" s="4" t="n">
        <x:v>505</x:v>
      </x:c>
      <x:c r="K1700" s="4" t="n">
        <x:v>378</x:v>
      </x:c>
      <x:c r="L1700" s="4" t="n">
        <x:v>343</x:v>
      </x:c>
      <x:c r="M1700" s="4" t="n">
        <x:v>271</x:v>
      </x:c>
      <x:c r="N1700" s="4" t="n">
        <x:v>162</x:v>
      </x:c>
      <x:c r="O1700" s="4" t="n">
        <x:v>107</x:v>
      </x:c>
      <x:c r="P1700" s="1" t="str">
        <x:v>FAIL</x:v>
      </x:c>
      <x:c r="Q1700" s="4" t="n">
        <x:v>13</x:v>
      </x:c>
      <x:c r="R1700" s="1" t="str">
        <x:v>FAIL</x:v>
      </x:c>
      <x:c r="S1700" s="4" t="n">
        <x:v>13</x:v>
      </x:c>
      <x:c r="T1700" s="1" t="str">
        <x:v>INCONCLUSIVE</x:v>
      </x:c>
      <x:c r="U1700" s="1" t="str">
        <x:v>Time_17</x:v>
      </x:c>
      <x:c r="V1700" s="6" t="n">
        <x:v>79.45</x:v>
      </x:c>
    </x:row>
    <x:row r="1701" ht="22" customHeight="1">
      <x:c r="A1701" s="1" t="str">
        <x:v>Round2</x:v>
      </x:c>
      <x:c r="B1701" s="1" t="str">
        <x:v>Time</x:v>
      </x:c>
      <x:c r="C1701" s="4" t="n">
        <x:v>18</x:v>
      </x:c>
      <x:c r="D1701" s="4" t="n">
        <x:v>20260928</x:v>
      </x:c>
      <x:c r="E1701" s="4" t="n">
        <x:v>60</x:v>
      </x:c>
      <x:c r="F1701" s="4" t="n">
        <x:v>5038</x:v>
      </x:c>
      <x:c r="G1701" s="5" t="n">
        <x:v>0.4778</x:v>
      </x:c>
      <x:c r="H1701" s="5" t="n">
        <x:v>0.5523</x:v>
      </x:c>
      <x:c r="I1701" s="5" t="n">
        <x:v>0.30920000000000003</x:v>
      </x:c>
      <x:c r="J1701" s="4" t="n">
        <x:v>496</x:v>
      </x:c>
      <x:c r="K1701" s="4" t="n">
        <x:v>237</x:v>
      </x:c>
      <x:c r="L1701" s="4" t="n">
        <x:v>344</x:v>
      </x:c>
      <x:c r="M1701" s="4" t="n">
        <x:v>190</x:v>
      </x:c>
      <x:c r="N1701" s="4" t="n">
        <x:v>152</x:v>
      </x:c>
      <x:c r="O1701" s="4" t="n">
        <x:v>47</x:v>
      </x:c>
      <x:c r="P1701" s="1" t="str">
        <x:v>FAIL</x:v>
      </x:c>
      <x:c r="Q1701" s="4" t="n">
        <x:v>640</x:v>
      </x:c>
      <x:c r="R1701" s="1" t="str">
        <x:v>FAIL</x:v>
      </x:c>
      <x:c r="S1701" s="4" t="n">
        <x:v>640</x:v>
      </x:c>
      <x:c r="T1701" s="1" t="str">
        <x:v>INCONCLUSIVE</x:v>
      </x:c>
      <x:c r="U1701" s="1" t="str">
        <x:v>Time_18</x:v>
      </x:c>
      <x:c r="V1701" s="6" t="n">
        <x:v>81.49</x:v>
      </x:c>
    </x:row>
    <x:row r="1702" ht="22" customHeight="1">
      <x:c r="A1702" s="1" t="str">
        <x:v>Round2</x:v>
      </x:c>
      <x:c r="B1702" s="1" t="str">
        <x:v>Time</x:v>
      </x:c>
      <x:c r="C1702" s="4" t="n">
        <x:v>19</x:v>
      </x:c>
      <x:c r="D1702" s="4" t="n">
        <x:v>20260928</x:v>
      </x:c>
      <x:c r="E1702" s="4" t="n">
        <x:v>60</x:v>
      </x:c>
      <x:c r="F1702" s="4" t="n">
        <x:v>5057</x:v>
      </x:c>
      <x:c r="G1702" s="5" t="n">
        <x:v>0.7484999999999999</x:v>
      </x:c>
      <x:c r="H1702" s="5" t="n">
        <x:v>0.7901</x:v>
      </x:c>
      <x:c r="I1702" s="5" t="n">
        <x:v>0.6605</x:v>
      </x:c>
      <x:c r="J1702" s="4" t="n">
        <x:v>505</x:v>
      </x:c>
      <x:c r="K1702" s="4" t="n">
        <x:v>378</x:v>
      </x:c>
      <x:c r="L1702" s="4" t="n">
        <x:v>343</x:v>
      </x:c>
      <x:c r="M1702" s="4" t="n">
        <x:v>271</x:v>
      </x:c>
      <x:c r="N1702" s="4" t="n">
        <x:v>162</x:v>
      </x:c>
      <x:c r="O1702" s="4" t="n">
        <x:v>107</x:v>
      </x:c>
      <x:c r="P1702" s="1" t="str">
        <x:v>FAIL</x:v>
      </x:c>
      <x:c r="Q1702" s="4" t="n">
        <x:v>9</x:v>
      </x:c>
      <x:c r="R1702" s="1" t="str">
        <x:v>FAIL</x:v>
      </x:c>
      <x:c r="S1702" s="4" t="n">
        <x:v>9</x:v>
      </x:c>
      <x:c r="T1702" s="1" t="str">
        <x:v>INCONCLUSIVE</x:v>
      </x:c>
      <x:c r="U1702" s="1" t="str">
        <x:v>Time_19</x:v>
      </x:c>
      <x:c r="V1702" s="6" t="n">
        <x:v>79.74</x:v>
      </x:c>
    </x:row>
    <x:row r="1703" ht="22" customHeight="1">
      <x:c r="A1703" s="1" t="str">
        <x:v>Round2</x:v>
      </x:c>
      <x:c r="B1703" s="1" t="str">
        <x:v>Time</x:v>
      </x:c>
      <x:c r="C1703" s="4" t="n">
        <x:v>20</x:v>
      </x:c>
      <x:c r="D1703" s="4" t="n">
        <x:v>20260928</x:v>
      </x:c>
      <x:c r="E1703" s="4" t="n">
        <x:v>60</x:v>
      </x:c>
      <x:c r="F1703" s="4" t="n">
        <x:v>5831</x:v>
      </x:c>
      <x:c r="G1703" s="5" t="n">
        <x:v>0.41490000000000005</x:v>
      </x:c>
      <x:c r="H1703" s="5" t="n">
        <x:v>0.4647</x:v>
      </x:c>
      <x:c r="I1703" s="5" t="n">
        <x:v>0.32770000000000005</x:v>
      </x:c>
      <x:c r="J1703" s="4" t="n">
        <x:v>1622</x:v>
      </x:c>
      <x:c r="K1703" s="4" t="n">
        <x:v>673</x:v>
      </x:c>
      <x:c r="L1703" s="4" t="n">
        <x:v>1033</x:v>
      </x:c>
      <x:c r="M1703" s="4" t="n">
        <x:v>480</x:v>
      </x:c>
      <x:c r="N1703" s="4" t="n">
        <x:v>589</x:v>
      </x:c>
      <x:c r="O1703" s="4" t="n">
        <x:v>193</x:v>
      </x:c>
      <x:c r="P1703" s="1" t="str">
        <x:v>PASS</x:v>
      </x:c>
      <x:c r="Q1703" s="4" t="n">
        <x:v>0</x:v>
      </x:c>
      <x:c r="R1703" s="1" t="str">
        <x:v>PASS</x:v>
      </x:c>
      <x:c r="S1703" s="4" t="n">
        <x:v>0</x:v>
      </x:c>
      <x:c r="T1703" s="1" t="str">
        <x:v>NOT_REVEALING</x:v>
      </x:c>
      <x:c r="U1703" s="1" t="str">
        <x:v>Time_20</x:v>
      </x:c>
      <x:c r="V1703" s="6" t="n">
        <x:v>79.91</x:v>
      </x:c>
    </x:row>
    <x:row r="1704" ht="22" customHeight="1">
      <x:c r="A1704" s="1" t="str">
        <x:v>Round2</x:v>
      </x:c>
      <x:c r="B1704" s="1" t="str">
        <x:v>Time</x:v>
      </x:c>
      <x:c r="C1704" s="4" t="n">
        <x:v>22</x:v>
      </x:c>
      <x:c r="D1704" s="4" t="n">
        <x:v>20260928</x:v>
      </x:c>
      <x:c r="E1704" s="4" t="n">
        <x:v>60</x:v>
      </x:c>
      <x:c r="F1704" s="4" t="n">
        <x:v>1</x:v>
      </x:c>
      <x:c r="G1704" s="5" t="n">
        <x:v>0</x:v>
      </x:c>
      <x:c r="H1704" s="5" t="n">
        <x:v>0</x:v>
      </x:c>
      <x:c r="I1704" s="5" t="n">
        <x:v>0</x:v>
      </x:c>
      <x:c r="J1704" s="4" t="n">
        <x:v>229</x:v>
      </x:c>
      <x:c r="K1704" s="4" t="n">
        <x:v>0</x:v>
      </x:c>
      <x:c r="L1704" s="4" t="n">
        <x:v>171</x:v>
      </x:c>
      <x:c r="M1704" s="4" t="n">
        <x:v>0</x:v>
      </x:c>
      <x:c r="N1704" s="4" t="n">
        <x:v>58</x:v>
      </x:c>
      <x:c r="O1704" s="4" t="n">
        <x:v>0</x:v>
      </x:c>
      <x:c r="P1704" s="1" t="str">
        <x:v>PASS</x:v>
      </x:c>
      <x:c r="Q1704" s="4" t="n">
        <x:v>0</x:v>
      </x:c>
      <x:c r="R1704" s="1" t="str">
        <x:v>PASS</x:v>
      </x:c>
      <x:c r="S1704" s="4" t="n">
        <x:v>0</x:v>
      </x:c>
      <x:c r="T1704" s="1" t="str">
        <x:v>NOT_REVEALING</x:v>
      </x:c>
      <x:c r="U1704" s="1" t="str">
        <x:v>Time_22</x:v>
      </x:c>
      <x:c r="V1704" s="6" t="n">
        <x:v>48.19</x:v>
      </x:c>
    </x:row>
    <x:row r="1705" ht="22" customHeight="1">
      <x:c r="A1705" s="1" t="str">
        <x:v>Round2</x:v>
      </x:c>
      <x:c r="B1705" s="1" t="str">
        <x:v>Time</x:v>
      </x:c>
      <x:c r="C1705" s="4" t="n">
        <x:v>23</x:v>
      </x:c>
      <x:c r="D1705" s="4" t="n">
        <x:v>20260928</x:v>
      </x:c>
      <x:c r="E1705" s="4" t="n">
        <x:v>60</x:v>
      </x:c>
      <x:c r="F1705" s="4" t="n">
        <x:v>5278</x:v>
      </x:c>
      <x:c r="G1705" s="5" t="n">
        <x:v>0.748</x:v>
      </x:c>
      <x:c r="H1705" s="5" t="n">
        <x:v>0.7895</x:v>
      </x:c>
      <x:c r="I1705" s="5" t="n">
        <x:v>0.6605</x:v>
      </x:c>
      <x:c r="J1705" s="4" t="n">
        <x:v>504</x:v>
      </x:c>
      <x:c r="K1705" s="4" t="n">
        <x:v>377</x:v>
      </x:c>
      <x:c r="L1705" s="4" t="n">
        <x:v>342</x:v>
      </x:c>
      <x:c r="M1705" s="4" t="n">
        <x:v>270</x:v>
      </x:c>
      <x:c r="N1705" s="4" t="n">
        <x:v>162</x:v>
      </x:c>
      <x:c r="O1705" s="4" t="n">
        <x:v>107</x:v>
      </x:c>
      <x:c r="P1705" s="1" t="str">
        <x:v>FAIL</x:v>
      </x:c>
      <x:c r="Q1705" s="4" t="n">
        <x:v>9</x:v>
      </x:c>
      <x:c r="R1705" s="1" t="str">
        <x:v>FAIL</x:v>
      </x:c>
      <x:c r="S1705" s="4" t="n">
        <x:v>9</x:v>
      </x:c>
      <x:c r="T1705" s="1" t="str">
        <x:v>INCONCLUSIVE</x:v>
      </x:c>
      <x:c r="U1705" s="1" t="str">
        <x:v>Time_23</x:v>
      </x:c>
      <x:c r="V1705" s="6" t="n">
        <x:v>81.79</x:v>
      </x:c>
    </x:row>
    <x:row r="1706" ht="22" customHeight="1">
      <x:c r="A1706" s="1" t="str">
        <x:v>Round2</x:v>
      </x:c>
      <x:c r="B1706" s="1" t="str">
        <x:v>Time</x:v>
      </x:c>
      <x:c r="C1706" s="4" t="n">
        <x:v>24</x:v>
      </x:c>
      <x:c r="D1706" s="4" t="n">
        <x:v>20260928</x:v>
      </x:c>
      <x:c r="E1706" s="4" t="n">
        <x:v>60</x:v>
      </x:c>
      <x:c r="F1706" s="4" t="n">
        <x:v>1122</x:v>
      </x:c>
      <x:c r="G1706" s="5" t="n">
        <x:v>0.5577000000000001</x:v>
      </x:c>
      <x:c r="H1706" s="5" t="n">
        <x:v>0.625</x:v>
      </x:c>
      <x:c r="I1706" s="5" t="n">
        <x:v>0.40619999999999995</x:v>
      </x:c>
      <x:c r="J1706" s="4" t="n">
        <x:v>208</x:v>
      </x:c>
      <x:c r="K1706" s="4" t="n">
        <x:v>116</x:v>
      </x:c>
      <x:c r="L1706" s="4" t="n">
        <x:v>144</x:v>
      </x:c>
      <x:c r="M1706" s="4" t="n">
        <x:v>90</x:v>
      </x:c>
      <x:c r="N1706" s="4" t="n">
        <x:v>64</x:v>
      </x:c>
      <x:c r="O1706" s="4" t="n">
        <x:v>26</x:v>
      </x:c>
      <x:c r="P1706" s="1" t="str">
        <x:v>FAIL</x:v>
      </x:c>
      <x:c r="Q1706" s="4" t="n">
        <x:v>1098</x:v>
      </x:c>
      <x:c r="R1706" s="1" t="str">
        <x:v>FAIL</x:v>
      </x:c>
      <x:c r="S1706" s="4" t="n">
        <x:v>1098</x:v>
      </x:c>
      <x:c r="T1706" s="1" t="str">
        <x:v>INCONCLUSIVE</x:v>
      </x:c>
      <x:c r="U1706" s="1" t="str">
        <x:v>Time_24</x:v>
      </x:c>
      <x:c r="V1706" s="6" t="n">
        <x:v>63.54</x:v>
      </x:c>
    </x:row>
    <x:row r="1707" ht="22" customHeight="1">
      <x:c r="A1707" s="1" t="str">
        <x:v>Round2</x:v>
      </x:c>
      <x:c r="B1707" s="1" t="str">
        <x:v>Time</x:v>
      </x:c>
      <x:c r="C1707" s="4" t="n">
        <x:v>25</x:v>
      </x:c>
      <x:c r="D1707" s="4" t="n">
        <x:v>20260928</x:v>
      </x:c>
      <x:c r="E1707" s="4" t="n">
        <x:v>60</x:v>
      </x:c>
      <x:c r="F1707" s="4" t="n">
        <x:v>5068</x:v>
      </x:c>
      <x:c r="G1707" s="5" t="n">
        <x:v>0.7021</x:v>
      </x:c>
      <x:c r="H1707" s="5" t="n">
        <x:v>0.7378</x:v>
      </x:c>
      <x:c r="I1707" s="5" t="n">
        <x:v>0.625</x:v>
      </x:c>
      <x:c r="J1707" s="4" t="n">
        <x:v>480</x:v>
      </x:c>
      <x:c r="K1707" s="4" t="n">
        <x:v>337</x:v>
      </x:c>
      <x:c r="L1707" s="4" t="n">
        <x:v>328</x:v>
      </x:c>
      <x:c r="M1707" s="4" t="n">
        <x:v>242</x:v>
      </x:c>
      <x:c r="N1707" s="4" t="n">
        <x:v>152</x:v>
      </x:c>
      <x:c r="O1707" s="4" t="n">
        <x:v>95</x:v>
      </x:c>
      <x:c r="P1707" s="1" t="str">
        <x:v>PASS</x:v>
      </x:c>
      <x:c r="Q1707" s="4" t="n">
        <x:v>0</x:v>
      </x:c>
      <x:c r="R1707" s="1" t="str">
        <x:v>PASS</x:v>
      </x:c>
      <x:c r="S1707" s="4" t="n">
        <x:v>0</x:v>
      </x:c>
      <x:c r="T1707" s="1" t="str">
        <x:v>NOT_REVEALING</x:v>
      </x:c>
      <x:c r="U1707" s="1" t="str">
        <x:v>Time_25</x:v>
      </x:c>
      <x:c r="V1707" s="6" t="n">
        <x:v>85.49</x:v>
      </x:c>
    </x:row>
    <x:row r="1708" ht="22" customHeight="1">
      <x:c r="A1708" s="1" t="str">
        <x:v>Round2</x:v>
      </x:c>
      <x:c r="B1708" s="1" t="str">
        <x:v>Time</x:v>
      </x:c>
      <x:c r="C1708" s="4" t="n">
        <x:v>26</x:v>
      </x:c>
      <x:c r="D1708" s="4" t="n">
        <x:v>20260928</x:v>
      </x:c>
      <x:c r="E1708" s="4" t="n">
        <x:v>60</x:v>
      </x:c>
      <x:c r="F1708" s="4" t="n">
        <x:v>5256</x:v>
      </x:c>
      <x:c r="G1708" s="5" t="n">
        <x:v>0.4498</x:v>
      </x:c>
      <x:c r="H1708" s="5" t="n">
        <x:v>0.4603</x:v>
      </x:c>
      <x:c r="I1708" s="5" t="n">
        <x:v>0.425</x:v>
      </x:c>
      <x:c r="J1708" s="4" t="n">
        <x:v>807</x:v>
      </x:c>
      <x:c r="K1708" s="4" t="n">
        <x:v>363</x:v>
      </x:c>
      <x:c r="L1708" s="4" t="n">
        <x:v>567</x:v>
      </x:c>
      <x:c r="M1708" s="4" t="n">
        <x:v>261</x:v>
      </x:c>
      <x:c r="N1708" s="4" t="n">
        <x:v>240</x:v>
      </x:c>
      <x:c r="O1708" s="4" t="n">
        <x:v>102</x:v>
      </x:c>
      <x:c r="P1708" s="1" t="str">
        <x:v>FAIL</x:v>
      </x:c>
      <x:c r="Q1708" s="4" t="n">
        <x:v>4</x:v>
      </x:c>
      <x:c r="R1708" s="1" t="str">
        <x:v>FAIL</x:v>
      </x:c>
      <x:c r="S1708" s="4" t="n">
        <x:v>4</x:v>
      </x:c>
      <x:c r="T1708" s="1" t="str">
        <x:v>INCONCLUSIVE</x:v>
      </x:c>
      <x:c r="U1708" s="1" t="str">
        <x:v>Time_26</x:v>
      </x:c>
      <x:c r="V1708" s="6" t="n">
        <x:v>86.65</x:v>
      </x:c>
    </x:row>
    <x:row r="1709" ht="22" customHeight="1">
      <x:c r="A1709" s="1" t="str">
        <x:v>Round2</x:v>
      </x:c>
      <x:c r="B1709" s="1" t="str">
        <x:v>Time</x:v>
      </x:c>
      <x:c r="C1709" s="4" t="n">
        <x:v>27</x:v>
      </x:c>
      <x:c r="D1709" s="4" t="n">
        <x:v>20260928</x:v>
      </x:c>
      <x:c r="E1709" s="4" t="n">
        <x:v>60</x:v>
      </x:c>
      <x:c r="F1709" s="4" t="n">
        <x:v>4922</x:v>
      </x:c>
      <x:c r="G1709" s="5" t="n">
        <x:v>0.491</x:v>
      </x:c>
      <x:c r="H1709" s="5" t="n">
        <x:v>0.5776</x:v>
      </x:c>
      <x:c r="I1709" s="5" t="n">
        <x:v>0.361</x:v>
      </x:c>
      <x:c r="J1709" s="4" t="n">
        <x:v>1116</x:v>
      </x:c>
      <x:c r="K1709" s="4" t="n">
        <x:v>548</x:v>
      </x:c>
      <x:c r="L1709" s="4" t="n">
        <x:v>670</x:v>
      </x:c>
      <x:c r="M1709" s="4" t="n">
        <x:v>387</x:v>
      </x:c>
      <x:c r="N1709" s="4" t="n">
        <x:v>446</x:v>
      </x:c>
      <x:c r="O1709" s="4" t="n">
        <x:v>161</x:v>
      </x:c>
      <x:c r="P1709" s="1" t="str">
        <x:v>PASS</x:v>
      </x:c>
      <x:c r="Q1709" s="4" t="n">
        <x:v>0</x:v>
      </x:c>
      <x:c r="R1709" s="1" t="str">
        <x:v>PASS</x:v>
      </x:c>
      <x:c r="S1709" s="4" t="n">
        <x:v>0</x:v>
      </x:c>
      <x:c r="T1709" s="1" t="str">
        <x:v>NOT_REVEALING</x:v>
      </x:c>
      <x:c r="U1709" s="1" t="str">
        <x:v>Time_27</x:v>
      </x:c>
      <x:c r="V1709" s="6" t="n">
        <x:v>90.64</x:v>
      </x:c>
    </x:row>
  </x:sheetData>
  <x:pageMargins left="0.7" right="0.7" top="0.75" bottom="0.75" header="0.3" footer="0.3"/>
  <x:tableParts count="1">
    <x:tablePart xmlns:r="http://schemas.openxmlformats.org/officeDocument/2006/relationships" r:id="R85a4c0b1012b46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40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</x:cols>
  <x:sheetData>
    <x:row r="2">
      <x:c r="B2" t="str">
        <x:v>Resoucre inventory checked before summary</x:v>
      </x:c>
    </x:row>
    <x:row r="3">
      <x:c r="B3" t="str">
        <x:v>Only Resoucre targets are counted. Extra saved results are preserved but excluded. Each bug/round counts separately.</x:v>
      </x:c>
    </x:row>
    <x:row r="6" ht="42" customHeight="1">
      <x:c r="B6" s="20" t="str">
        <x:v>Round</x:v>
      </x:c>
      <x:c r="C6" s="20" t="str">
        <x:v>Resource targets</x:v>
      </x:c>
      <x:c r="D6" s="20" t="str">
        <x:v>Saved results</x:v>
      </x:c>
      <x:c r="E6" s="20" t="str">
        <x:v>Java test folders</x:v>
      </x:c>
      <x:c r="F6" s="20" t="str">
        <x:v>Missing results</x:v>
      </x:c>
      <x:c r="G6" s="20" t="str">
        <x:v>Extra results</x:v>
      </x:c>
      <x:c r="H6" s="20" t="str">
        <x:v>Missing tests</x:v>
      </x:c>
      <x:c r="I6" s="20" t="str">
        <x:v>Extra tests</x:v>
      </x:c>
      <x:c r="J6" s="20" t="str">
        <x:v>Check</x:v>
      </x:c>
    </x:row>
    <x:row r="7" ht="23" customHeight="1">
      <x:c r="B7" s="17" t="str">
        <x:v>Round1</x:v>
      </x:c>
      <x:c r="C7" s="17" t="n">
        <x:v>854</x:v>
      </x:c>
      <x:c r="D7" s="17" t="n">
        <x:v>854</x:v>
      </x:c>
      <x:c r="E7" s="17" t="n">
        <x:v>849</x:v>
      </x:c>
      <x:c r="F7" s="21" t="str">
        <x:v>—</x:v>
      </x:c>
      <x:c r="G7" s="21" t="str">
        <x:v>—</x:v>
      </x:c>
      <x:c r="H7" s="21" t="str">
        <x:v>Codec_14, JacksonDatabind_30, JacksonDatabind_47, Lang_11, Lang_12</x:v>
      </x:c>
      <x:c r="I7" s="21" t="str">
        <x:v>—</x:v>
      </x:c>
      <x:c r="J7" s="21" t="str">
        <x:v>Complete reference results</x:v>
      </x:c>
    </x:row>
    <x:row r="8" ht="23" customHeight="1">
      <x:c r="B8" s="17" t="str">
        <x:v>Round2</x:v>
      </x:c>
      <x:c r="C8" s="17" t="n">
        <x:v>854</x:v>
      </x:c>
      <x:c r="D8" s="17" t="n">
        <x:v>854</x:v>
      </x:c>
      <x:c r="E8" s="17" t="n">
        <x:v>824</x:v>
      </x:c>
      <x:c r="F8" s="21" t="str">
        <x:v>—</x:v>
      </x:c>
      <x:c r="G8" s="21" t="str">
        <x:v>—</x:v>
      </x:c>
      <x:c r="H8" s="21" t="str">
        <x:v>Chart_19, Cli_34, Closure_101, Closure_107, Closure_149, Closure_151, Closure_158, Closure_83, Codec_14, JacksonDatabind_47, JacksonDatabind_87, Lang_11, Lang_12, Math_15, Math_22, Math_60, Math_63, Mockito_1, Mockito_14, Mockito_16, Mockito_18, Mockito_19, Mockito_20, Mockito_3, Mockito_4, Mockito_5, Mockito_6, Mockito_7, Mockito_8, Mockito_9</x:v>
      </x:c>
      <x:c r="I8" s="21" t="str">
        <x:v>—</x:v>
      </x:c>
      <x:c r="J8" s="21" t="str">
        <x:v>Complete reference results</x:v>
      </x:c>
    </x:row>
  </x:sheetData>
  <x:mergeCells>
    <x:mergeCell ref="B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9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70" hidden="0" customWidth="1"/>
    <x:col min="14" max="14" width="70" hidden="0" customWidth="1"/>
    <x:col min="15" max="15" width="70" hidden="0" customWidth="1"/>
    <x:col min="16" max="16" width="28" hidden="0" customWidth="1"/>
    <x:col min="17" max="17" width="55" hidden="0" customWidth="1"/>
    <x:col min="18" max="18" width="55" hidden="0" customWidth="1"/>
    <x:col min="19" max="19" width="55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44" customHeight="1">
      <x:c r="A1" s="20" t="str">
        <x:v>project</x:v>
      </x:c>
      <x:c r="B1" s="20" t="str">
        <x:v>bug_id</x:v>
      </x:c>
      <x:c r="C1" s="20" t="str">
        <x:v>round</x:v>
      </x:c>
      <x:c r="D1" s="20" t="str">
        <x:v>status</x:v>
      </x:c>
      <x:c r="E1" s="20" t="str">
        <x:v>partial_generation</x:v>
      </x:c>
      <x:c r="F1" s="20" t="str">
        <x:v>notes</x:v>
      </x:c>
      <x:c r="G1" s="20" t="str">
        <x:v>partial_generation_known</x:v>
      </x:c>
      <x:c r="H1" s="20" t="str">
        <x:v>previous_status</x:v>
      </x:c>
      <x:c r="I1" s="20" t="str">
        <x:v>buggy_result</x:v>
      </x:c>
      <x:c r="J1" s="20" t="str">
        <x:v>fixed_result</x:v>
      </x:c>
      <x:c r="K1" s="20" t="str">
        <x:v>java_files</x:v>
      </x:c>
      <x:c r="L1" s="20" t="str">
        <x:v>latest_generation_failed</x:v>
      </x:c>
      <x:c r="M1" s="20" t="str">
        <x:v>generation_source</x:v>
      </x:c>
      <x:c r="N1" s="20" t="str">
        <x:v>validation_source</x:v>
      </x:c>
      <x:c r="O1" s="20" t="str">
        <x:v>coverage_source</x:v>
      </x:c>
      <x:c r="P1" s="20" t="str">
        <x:v>not_available_cause</x:v>
      </x:c>
      <x:c r="Q1" s="28" t="str">
        <x:v>generation_failed_tasks</x:v>
      </x:c>
      <x:c r="R1" s="28" t="str">
        <x:v>failed_generation_classes</x:v>
      </x:c>
      <x:c r="S1" s="28" t="str">
        <x:v>missing_generation_classes</x:v>
      </x:c>
      <x:c r="T1" s="28" t="str">
        <x:v>stale_generation_failure</x:v>
      </x:c>
      <x:c r="U1" s="28" t="str">
        <x:v>has_test_methods</x:v>
      </x:c>
      <x:c r="V1" s="28" t="str">
        <x:v>status_changed</x:v>
      </x:c>
    </x:row>
    <x:row r="2" ht="80" customHeight="1">
      <x:c r="A2" s="25" t="str">
        <x:v>Chart</x:v>
      </x:c>
      <x:c r="B2" s="25" t="n">
        <x:v>1</x:v>
      </x:c>
      <x:c r="C2" s="25" t="str">
        <x:v>Round1</x:v>
      </x:c>
      <x:c r="D2" s="25" t="str">
        <x:v>NOT_REVEALING</x:v>
      </x:c>
      <x:c r="E2" s="25" t="str">
        <x:v>N/A</x:v>
      </x:c>
      <x:c r="F2" s="26" t="str">
        <x:v>Same saved validation suite passed on buggy and fixed</x:v>
      </x:c>
      <x:c r="G2" s="25" t="str">
        <x:v>true</x:v>
      </x:c>
      <x:c r="H2" s="25" t="str">
        <x:v>NOT_REVEALING</x:v>
      </x:c>
      <x:c r="I2" s="25" t="str">
        <x:v>PASS</x:v>
      </x:c>
      <x:c r="J2" s="25" t="str">
        <x:v>PASS</x:v>
      </x:c>
      <x:c r="K2" s="25" t="n">
        <x:v>2</x:v>
      </x:c>
      <x:c r="L2" s="27" t="b">
        <x:v>0</x:v>
      </x:c>
      <x:c r="M2" s="25" t="str">
        <x:v>Feedback-Directed Random Test Generation/rounds/Round1/state/Chart.json</x:v>
      </x:c>
      <x:c r="N2" s="25" t="str">
        <x:v>Feedback-Directed Random Test Generation/Result/Chart_1/result.json</x:v>
      </x:c>
      <x:c r="O2" s="25" t="str">
        <x:v>Feedback-Directed Random Test Generation/Result/Chart_1/result.json</x:v>
      </x:c>
      <x:c r="P2"/>
      <x:c r="Q2" s="21" t="str"/>
      <x:c r="R2" s="21" t="str"/>
      <x:c r="S2" s="21" t="str"/>
      <x:c r="T2" s="17" t="str">
        <x:v>false</x:v>
      </x:c>
      <x:c r="U2" s="17" t="str">
        <x:v>true</x:v>
      </x:c>
      <x:c r="V2" s="17" t="str">
        <x:v>false</x:v>
      </x:c>
    </x:row>
    <x:row r="3" ht="80" customHeight="1">
      <x:c r="A3" s="25" t="str">
        <x:v>Chart</x:v>
      </x:c>
      <x:c r="B3" s="25" t="n">
        <x:v>2</x:v>
      </x:c>
      <x:c r="C3" s="25" t="str">
        <x:v>Round1</x:v>
      </x:c>
      <x:c r="D3" s="25" t="str">
        <x:v>INCONCLUSIVE</x:v>
      </x:c>
      <x:c r="E3" s="25" t="str">
        <x:v>N/A</x:v>
      </x:c>
      <x:c r="F3" s="26" t="str">
        <x:v>Fixed also failed; assertion failure cannot be attributed to this bug; Assertions failed with measured coverage; paired execution and stage checks determine status</x:v>
      </x:c>
      <x:c r="G3" s="25" t="str">
        <x:v>true</x:v>
      </x:c>
      <x:c r="H3" s="25" t="str">
        <x:v>INCONCLUSIVE</x:v>
      </x:c>
      <x:c r="I3" s="25" t="str">
        <x:v>FAIL</x:v>
      </x:c>
      <x:c r="J3" s="25" t="str">
        <x:v>FAIL</x:v>
      </x:c>
      <x:c r="K3" s="25" t="n">
        <x:v>11</x:v>
      </x:c>
      <x:c r="L3" s="27" t="b">
        <x:v>0</x:v>
      </x:c>
      <x:c r="M3" s="25" t="str">
        <x:v>Feedback-Directed Random Test Generation/rounds/Round1/state/Chart.json</x:v>
      </x:c>
      <x:c r="N3" s="25" t="str">
        <x:v>Feedback-Directed Random Test Generation/Result/Chart_2/result.json</x:v>
      </x:c>
      <x:c r="O3" s="25" t="str">
        <x:v>Feedback-Directed Random Test Generation/Result/Chart_2/result.json</x:v>
      </x:c>
      <x:c r="P3"/>
      <x:c r="Q3" s="21" t="str"/>
      <x:c r="R3" s="21" t="str"/>
      <x:c r="S3" s="21" t="str"/>
      <x:c r="T3" s="17" t="str">
        <x:v>false</x:v>
      </x:c>
      <x:c r="U3" s="17" t="str">
        <x:v>true</x:v>
      </x:c>
      <x:c r="V3" s="17" t="str">
        <x:v>false</x:v>
      </x:c>
    </x:row>
    <x:row r="4" ht="80" customHeight="1">
      <x:c r="A4" s="25" t="str">
        <x:v>Chart</x:v>
      </x:c>
      <x:c r="B4" s="25" t="n">
        <x:v>3</x:v>
      </x:c>
      <x:c r="C4" s="25" t="str">
        <x:v>Round1</x:v>
      </x:c>
      <x:c r="D4" s="25" t="str">
        <x:v>NOT_REVEALING</x:v>
      </x:c>
      <x:c r="E4" s="25" t="str">
        <x:v>N/A</x:v>
      </x:c>
      <x:c r="F4" s="26" t="str">
        <x:v>Same saved validation suite passed on buggy and fixed</x:v>
      </x:c>
      <x:c r="G4" s="25" t="str">
        <x:v>true</x:v>
      </x:c>
      <x:c r="H4" s="25" t="str">
        <x:v>NOT_REVEALING</x:v>
      </x:c>
      <x:c r="I4" s="25" t="str">
        <x:v>PASS</x:v>
      </x:c>
      <x:c r="J4" s="25" t="str">
        <x:v>PASS</x:v>
      </x:c>
      <x:c r="K4" s="25" t="n">
        <x:v>9</x:v>
      </x:c>
      <x:c r="L4" s="27" t="b">
        <x:v>0</x:v>
      </x:c>
      <x:c r="M4" s="25" t="str">
        <x:v>Feedback-Directed Random Test Generation/rounds/Round1/state/Chart.json</x:v>
      </x:c>
      <x:c r="N4" s="25" t="str">
        <x:v>Feedback-Directed Random Test Generation/Result/Chart_3/result.json</x:v>
      </x:c>
      <x:c r="O4" s="25" t="str">
        <x:v>Feedback-Directed Random Test Generation/Result/Chart_3/result.json</x:v>
      </x:c>
      <x:c r="P4"/>
      <x:c r="Q4" s="21" t="str"/>
      <x:c r="R4" s="21" t="str"/>
      <x:c r="S4" s="21" t="str"/>
      <x:c r="T4" s="17" t="str">
        <x:v>false</x:v>
      </x:c>
      <x:c r="U4" s="17" t="str">
        <x:v>true</x:v>
      </x:c>
      <x:c r="V4" s="17" t="str">
        <x:v>false</x:v>
      </x:c>
    </x:row>
    <x:row r="5" ht="80" customHeight="1">
      <x:c r="A5" s="25" t="str">
        <x:v>Chart</x:v>
      </x:c>
      <x:c r="B5" s="25" t="n">
        <x:v>4</x:v>
      </x:c>
      <x:c r="C5" s="25" t="str">
        <x:v>Round1</x:v>
      </x:c>
      <x:c r="D5" s="25" t="str">
        <x:v>INCONCLUSIVE</x:v>
      </x:c>
      <x:c r="E5" s="25" t="str">
        <x:v>N/A</x:v>
      </x:c>
      <x:c r="F5" s="26" t="str">
        <x:v>Fixed also failed; assertion failure cannot be attributed to this bug; Assertions failed with measured coverage; paired execution and stage checks determine status</x:v>
      </x:c>
      <x:c r="G5" s="25" t="str">
        <x:v>true</x:v>
      </x:c>
      <x:c r="H5" s="25" t="str">
        <x:v>INCONCLUSIVE</x:v>
      </x:c>
      <x:c r="I5" s="25" t="str">
        <x:v>FAIL</x:v>
      </x:c>
      <x:c r="J5" s="25" t="str">
        <x:v>FAIL</x:v>
      </x:c>
      <x:c r="K5" s="25" t="n">
        <x:v>9</x:v>
      </x:c>
      <x:c r="L5" s="27" t="b">
        <x:v>0</x:v>
      </x:c>
      <x:c r="M5" s="25" t="str">
        <x:v>Feedback-Directed Random Test Generation/rounds/Round1/state/Chart.json</x:v>
      </x:c>
      <x:c r="N5" s="25" t="str">
        <x:v>Feedback-Directed Random Test Generation/Result/Chart_4/result.json</x:v>
      </x:c>
      <x:c r="O5" s="25" t="str">
        <x:v>Feedback-Directed Random Test Generation/Result/Chart_4/result.json</x:v>
      </x:c>
      <x:c r="P5"/>
      <x:c r="Q5" s="21" t="str"/>
      <x:c r="R5" s="21" t="str"/>
      <x:c r="S5" s="21" t="str"/>
      <x:c r="T5" s="17" t="str">
        <x:v>false</x:v>
      </x:c>
      <x:c r="U5" s="17" t="str">
        <x:v>true</x:v>
      </x:c>
      <x:c r="V5" s="17" t="str">
        <x:v>false</x:v>
      </x:c>
    </x:row>
    <x:row r="6" ht="80" customHeight="1">
      <x:c r="A6" s="25" t="str">
        <x:v>Chart</x:v>
      </x:c>
      <x:c r="B6" s="25" t="n">
        <x:v>5</x:v>
      </x:c>
      <x:c r="C6" s="25" t="str">
        <x:v>Round1</x:v>
      </x:c>
      <x:c r="D6" s="25" t="str">
        <x:v>INCONCLUSIVE</x:v>
      </x:c>
      <x:c r="E6" s="25" t="str">
        <x:v>N/A</x:v>
      </x:c>
      <x:c r="F6" s="26" t="str">
        <x:v>Fixed also failed; assertion failure cannot be attributed to this bug</x:v>
      </x:c>
      <x:c r="G6" s="25" t="str">
        <x:v>true</x:v>
      </x:c>
      <x:c r="H6" s="25" t="str">
        <x:v>INCONCLUSIVE</x:v>
      </x:c>
      <x:c r="I6" s="25" t="str">
        <x:v>PASS</x:v>
      </x:c>
      <x:c r="J6" s="25" t="str">
        <x:v>FAIL</x:v>
      </x:c>
      <x:c r="K6" s="25" t="n">
        <x:v>7</x:v>
      </x:c>
      <x:c r="L6" s="27" t="b">
        <x:v>0</x:v>
      </x:c>
      <x:c r="M6" s="25" t="str">
        <x:v>Feedback-Directed Random Test Generation/rounds/Round1/state/Chart.json</x:v>
      </x:c>
      <x:c r="N6" s="25" t="str">
        <x:v>Feedback-Directed Random Test Generation/Result/Chart_5/result.json</x:v>
      </x:c>
      <x:c r="O6" s="25" t="str">
        <x:v>Feedback-Directed Random Test Generation/Result/Chart_5/result.json</x:v>
      </x:c>
      <x:c r="P6"/>
      <x:c r="Q6" s="21" t="str"/>
      <x:c r="R6" s="21" t="str"/>
      <x:c r="S6" s="21" t="str"/>
      <x:c r="T6" s="17" t="str">
        <x:v>false</x:v>
      </x:c>
      <x:c r="U6" s="17" t="str">
        <x:v>true</x:v>
      </x:c>
      <x:c r="V6" s="17" t="str">
        <x:v>false</x:v>
      </x:c>
    </x:row>
    <x:row r="7" ht="80" customHeight="1">
      <x:c r="A7" s="25" t="str">
        <x:v>Chart</x:v>
      </x:c>
      <x:c r="B7" s="25" t="n">
        <x:v>6</x:v>
      </x:c>
      <x:c r="C7" s="25" t="str">
        <x:v>Round1</x:v>
      </x:c>
      <x:c r="D7" s="25" t="str">
        <x:v>INCONCLUSIVE</x:v>
      </x:c>
      <x:c r="E7" s="25" t="str">
        <x:v>N/A</x:v>
      </x:c>
      <x:c r="F7" s="26" t="str">
        <x:v>Fixed also failed; assertion failure cannot be attributed to this bug; Assertions failed with measured coverage; paired execution and stage checks determine status</x:v>
      </x:c>
      <x:c r="G7" s="25" t="str">
        <x:v>true</x:v>
      </x:c>
      <x:c r="H7" s="25" t="str">
        <x:v>INCONCLUSIVE</x:v>
      </x:c>
      <x:c r="I7" s="25" t="str">
        <x:v>FAIL</x:v>
      </x:c>
      <x:c r="J7" s="25" t="str">
        <x:v>FAIL</x:v>
      </x:c>
      <x:c r="K7" s="25" t="n">
        <x:v>9</x:v>
      </x:c>
      <x:c r="L7" s="27" t="b">
        <x:v>0</x:v>
      </x:c>
      <x:c r="M7" s="25" t="str">
        <x:v>Feedback-Directed Random Test Generation/rounds/Round1/state/Chart.json</x:v>
      </x:c>
      <x:c r="N7" s="25" t="str">
        <x:v>Feedback-Directed Random Test Generation/Result/Chart_6/result.json</x:v>
      </x:c>
      <x:c r="O7" s="25" t="str">
        <x:v>Feedback-Directed Random Test Generation/Result/Chart_6/result.json</x:v>
      </x:c>
      <x:c r="P7"/>
      <x:c r="Q7" s="21" t="str"/>
      <x:c r="R7" s="21" t="str"/>
      <x:c r="S7" s="21" t="str"/>
      <x:c r="T7" s="17" t="str">
        <x:v>false</x:v>
      </x:c>
      <x:c r="U7" s="17" t="str">
        <x:v>true</x:v>
      </x:c>
      <x:c r="V7" s="17" t="str">
        <x:v>false</x:v>
      </x:c>
    </x:row>
    <x:row r="8" ht="80" customHeight="1">
      <x:c r="A8" s="25" t="str">
        <x:v>Chart</x:v>
      </x:c>
      <x:c r="B8" s="25" t="n">
        <x:v>7</x:v>
      </x:c>
      <x:c r="C8" s="25" t="str">
        <x:v>Round1</x:v>
      </x:c>
      <x:c r="D8" s="25" t="str">
        <x:v>NOT_REVEALING</x:v>
      </x:c>
      <x:c r="E8" s="25" t="str">
        <x:v>N/A</x:v>
      </x:c>
      <x:c r="F8" s="26" t="str">
        <x:v>Same saved validation suite passed on buggy and fixed</x:v>
      </x:c>
      <x:c r="G8" s="25" t="str">
        <x:v>true</x:v>
      </x:c>
      <x:c r="H8" s="25" t="str">
        <x:v>NOT_REVEALING</x:v>
      </x:c>
      <x:c r="I8" s="25" t="str">
        <x:v>PASS</x:v>
      </x:c>
      <x:c r="J8" s="25" t="str">
        <x:v>PASS</x:v>
      </x:c>
      <x:c r="K8" s="25" t="n">
        <x:v>9</x:v>
      </x:c>
      <x:c r="L8" s="27" t="b">
        <x:v>0</x:v>
      </x:c>
      <x:c r="M8" s="25" t="str">
        <x:v>Feedback-Directed Random Test Generation/rounds/Round1/state/Chart.json</x:v>
      </x:c>
      <x:c r="N8" s="25" t="str">
        <x:v>Feedback-Directed Random Test Generation/Result/Chart_7/result.json</x:v>
      </x:c>
      <x:c r="O8" s="25" t="str">
        <x:v>Feedback-Directed Random Test Generation/Result/Chart_7/result.json</x:v>
      </x:c>
      <x:c r="P8"/>
      <x:c r="Q8" s="21" t="str"/>
      <x:c r="R8" s="21" t="str"/>
      <x:c r="S8" s="21" t="str"/>
      <x:c r="T8" s="17" t="str">
        <x:v>false</x:v>
      </x:c>
      <x:c r="U8" s="17" t="str">
        <x:v>true</x:v>
      </x:c>
      <x:c r="V8" s="17" t="str">
        <x:v>false</x:v>
      </x:c>
    </x:row>
    <x:row r="9" ht="80" customHeight="1">
      <x:c r="A9" s="25" t="str">
        <x:v>Chart</x:v>
      </x:c>
      <x:c r="B9" s="25" t="n">
        <x:v>8</x:v>
      </x:c>
      <x:c r="C9" s="25" t="str">
        <x:v>Round1</x:v>
      </x:c>
      <x:c r="D9" s="25" t="str">
        <x:v>INCONCLUSIVE</x:v>
      </x:c>
      <x:c r="E9" s="25" t="str">
        <x:v>N/A</x:v>
      </x:c>
      <x:c r="F9" s="26" t="str">
        <x:v>Fixed also failed; assertion failure cannot be attributed to this bug; Assertions failed with measured coverage; paired execution and stage checks determine status</x:v>
      </x:c>
      <x:c r="G9" s="25" t="str">
        <x:v>true</x:v>
      </x:c>
      <x:c r="H9" s="25" t="str">
        <x:v>INCONCLUSIVE</x:v>
      </x:c>
      <x:c r="I9" s="25" t="str">
        <x:v>FAIL</x:v>
      </x:c>
      <x:c r="J9" s="25" t="str">
        <x:v>FAIL</x:v>
      </x:c>
      <x:c r="K9" s="25" t="n">
        <x:v>5</x:v>
      </x:c>
      <x:c r="L9" s="27" t="b">
        <x:v>0</x:v>
      </x:c>
      <x:c r="M9" s="25" t="str">
        <x:v>Feedback-Directed Random Test Generation/rounds/Round1/state/Chart.json</x:v>
      </x:c>
      <x:c r="N9" s="25" t="str">
        <x:v>Feedback-Directed Random Test Generation/Result/Chart_8/result.json</x:v>
      </x:c>
      <x:c r="O9" s="25" t="str">
        <x:v>Feedback-Directed Random Test Generation/Result/Chart_8/result.json</x:v>
      </x:c>
      <x:c r="P9"/>
      <x:c r="Q9" s="21" t="str"/>
      <x:c r="R9" s="21" t="str"/>
      <x:c r="S9" s="21" t="str"/>
      <x:c r="T9" s="17" t="str">
        <x:v>false</x:v>
      </x:c>
      <x:c r="U9" s="17" t="str">
        <x:v>true</x:v>
      </x:c>
      <x:c r="V9" s="17" t="str">
        <x:v>false</x:v>
      </x:c>
    </x:row>
    <x:row r="10" ht="80" customHeight="1">
      <x:c r="A10" s="25" t="str">
        <x:v>Chart</x:v>
      </x:c>
      <x:c r="B10" s="25" t="n">
        <x:v>9</x:v>
      </x:c>
      <x:c r="C10" s="25" t="str">
        <x:v>Round1</x:v>
      </x:c>
      <x:c r="D10" s="25" t="str">
        <x:v>INCONCLUSIVE</x:v>
      </x:c>
      <x:c r="E10" s="25" t="str">
        <x:v>N/A</x:v>
      </x:c>
      <x:c r="F10" s="26" t="str">
        <x:v>Fixed also failed; assertion failure cannot be attributed to this bug; Assertions failed with measured coverage; paired execution and stage checks determine status</x:v>
      </x:c>
      <x:c r="G10" s="25" t="str">
        <x:v>true</x:v>
      </x:c>
      <x:c r="H10" s="25" t="str">
        <x:v>INCONCLUSIVE</x:v>
      </x:c>
      <x:c r="I10" s="25" t="str">
        <x:v>FAIL</x:v>
      </x:c>
      <x:c r="J10" s="25" t="str">
        <x:v>FAIL</x:v>
      </x:c>
      <x:c r="K10" s="25" t="n">
        <x:v>9</x:v>
      </x:c>
      <x:c r="L10" s="27" t="b">
        <x:v>0</x:v>
      </x:c>
      <x:c r="M10" s="25" t="str">
        <x:v>Feedback-Directed Random Test Generation/rounds/Round1/state/Chart.json</x:v>
      </x:c>
      <x:c r="N10" s="25" t="str">
        <x:v>Feedback-Directed Random Test Generation/Result/Chart_9/result.json</x:v>
      </x:c>
      <x:c r="O10" s="25" t="str">
        <x:v>Feedback-Directed Random Test Generation/Result/Chart_9/result.json</x:v>
      </x:c>
      <x:c r="P10"/>
      <x:c r="Q10" s="21" t="str"/>
      <x:c r="R10" s="21" t="str"/>
      <x:c r="S10" s="21" t="str"/>
      <x:c r="T10" s="17" t="str">
        <x:v>false</x:v>
      </x:c>
      <x:c r="U10" s="17" t="str">
        <x:v>true</x:v>
      </x:c>
      <x:c r="V10" s="17" t="str">
        <x:v>false</x:v>
      </x:c>
    </x:row>
    <x:row r="11" ht="80" customHeight="1">
      <x:c r="A11" s="25" t="str">
        <x:v>Chart</x:v>
      </x:c>
      <x:c r="B11" s="25" t="n">
        <x:v>10</x:v>
      </x:c>
      <x:c r="C11" s="25" t="str">
        <x:v>Round1</x:v>
      </x:c>
      <x:c r="D11" s="25" t="str">
        <x:v>INCONCLUSIVE</x:v>
      </x:c>
      <x:c r="E11" s="25" t="str">
        <x:v>N/A</x:v>
      </x:c>
      <x:c r="F11" s="26" t="str">
        <x:v>Fixed also failed; assertion failure cannot be attributed to this bug</x:v>
      </x:c>
      <x:c r="G11" s="25" t="str">
        <x:v>true</x:v>
      </x:c>
      <x:c r="H11" s="25" t="str">
        <x:v>INCONCLUSIVE</x:v>
      </x:c>
      <x:c r="I11" s="25" t="str">
        <x:v>PASS</x:v>
      </x:c>
      <x:c r="J11" s="25" t="str">
        <x:v>FAIL</x:v>
      </x:c>
      <x:c r="K11" s="25" t="n">
        <x:v>8</x:v>
      </x:c>
      <x:c r="L11" s="27" t="b">
        <x:v>0</x:v>
      </x:c>
      <x:c r="M11" s="25" t="str">
        <x:v>Feedback-Directed Random Test Generation/rounds/Round1/state/Chart.json</x:v>
      </x:c>
      <x:c r="N11" s="25" t="str">
        <x:v>Feedback-Directed Random Test Generation/Result/Chart_10/result.json</x:v>
      </x:c>
      <x:c r="O11" s="25" t="str">
        <x:v>Feedback-Directed Random Test Generation/Result/Chart_10/result.json</x:v>
      </x:c>
      <x:c r="P11"/>
      <x:c r="Q11" s="21" t="str"/>
      <x:c r="R11" s="21" t="str"/>
      <x:c r="S11" s="21" t="str"/>
      <x:c r="T11" s="17" t="str">
        <x:v>false</x:v>
      </x:c>
      <x:c r="U11" s="17" t="str">
        <x:v>true</x:v>
      </x:c>
      <x:c r="V11" s="17" t="str">
        <x:v>false</x:v>
      </x:c>
    </x:row>
    <x:row r="12" ht="80" customHeight="1">
      <x:c r="A12" s="25" t="str">
        <x:v>Chart</x:v>
      </x:c>
      <x:c r="B12" s="25" t="n">
        <x:v>11</x:v>
      </x:c>
      <x:c r="C12" s="25" t="str">
        <x:v>Round1</x:v>
      </x:c>
      <x:c r="D12" s="25" t="str">
        <x:v>INCONCLUSIVE</x:v>
      </x:c>
      <x:c r="E12" s="25" t="str">
        <x:v>N/A</x:v>
      </x:c>
      <x:c r="F12" s="26" t="str">
        <x:v>Fixed also failed; assertion failure cannot be attributed to this bug</x:v>
      </x:c>
      <x:c r="G12" s="25" t="str">
        <x:v>true</x:v>
      </x:c>
      <x:c r="H12" s="25" t="str">
        <x:v>INCONCLUSIVE</x:v>
      </x:c>
      <x:c r="I12" s="25" t="str">
        <x:v>PASS</x:v>
      </x:c>
      <x:c r="J12" s="25" t="str">
        <x:v>FAIL</x:v>
      </x:c>
      <x:c r="K12" s="25" t="n">
        <x:v>9</x:v>
      </x:c>
      <x:c r="L12" s="27" t="b">
        <x:v>0</x:v>
      </x:c>
      <x:c r="M12" s="25" t="str">
        <x:v>Feedback-Directed Random Test Generation/rounds/Round1/state/Chart.json</x:v>
      </x:c>
      <x:c r="N12" s="25" t="str">
        <x:v>Feedback-Directed Random Test Generation/Result/Chart_11/result.json</x:v>
      </x:c>
      <x:c r="O12" s="25" t="str">
        <x:v>Feedback-Directed Random Test Generation/Result/Chart_11/result.json</x:v>
      </x:c>
      <x:c r="P12"/>
      <x:c r="Q12" s="21" t="str"/>
      <x:c r="R12" s="21" t="str"/>
      <x:c r="S12" s="21" t="str"/>
      <x:c r="T12" s="17" t="str">
        <x:v>false</x:v>
      </x:c>
      <x:c r="U12" s="17" t="str">
        <x:v>true</x:v>
      </x:c>
      <x:c r="V12" s="17" t="str">
        <x:v>false</x:v>
      </x:c>
    </x:row>
    <x:row r="13" ht="80" customHeight="1">
      <x:c r="A13" s="25" t="str">
        <x:v>Chart</x:v>
      </x:c>
      <x:c r="B13" s="25" t="n">
        <x:v>12</x:v>
      </x:c>
      <x:c r="C13" s="25" t="str">
        <x:v>Round1</x:v>
      </x:c>
      <x:c r="D13" s="25" t="str">
        <x:v>INCONCLUSIVE</x:v>
      </x:c>
      <x:c r="E13" s="25" t="str">
        <x:v>N/A</x:v>
      </x:c>
      <x:c r="F13" s="26" t="str">
        <x:v>Fixed also failed; assertion failure cannot be attributed to this bug; Assertions failed with measured coverage; paired execution and stage checks determine status</x:v>
      </x:c>
      <x:c r="G13" s="25" t="str">
        <x:v>true</x:v>
      </x:c>
      <x:c r="H13" s="25" t="str">
        <x:v>INCONCLUSIVE</x:v>
      </x:c>
      <x:c r="I13" s="25" t="str">
        <x:v>FAIL</x:v>
      </x:c>
      <x:c r="J13" s="25" t="str">
        <x:v>FAIL</x:v>
      </x:c>
      <x:c r="K13" s="25" t="n">
        <x:v>9</x:v>
      </x:c>
      <x:c r="L13" s="27" t="b">
        <x:v>0</x:v>
      </x:c>
      <x:c r="M13" s="25" t="str">
        <x:v>Feedback-Directed Random Test Generation/rounds/Round1/state/Chart.json</x:v>
      </x:c>
      <x:c r="N13" s="25" t="str">
        <x:v>Feedback-Directed Random Test Generation/Result/Chart_12/result.json</x:v>
      </x:c>
      <x:c r="O13" s="25" t="str">
        <x:v>Feedback-Directed Random Test Generation/Result/Chart_12/result.json</x:v>
      </x:c>
      <x:c r="P13"/>
      <x:c r="Q13" s="21" t="str"/>
      <x:c r="R13" s="21" t="str"/>
      <x:c r="S13" s="21" t="str"/>
      <x:c r="T13" s="17" t="str">
        <x:v>false</x:v>
      </x:c>
      <x:c r="U13" s="17" t="str">
        <x:v>true</x:v>
      </x:c>
      <x:c r="V13" s="17" t="str">
        <x:v>false</x:v>
      </x:c>
    </x:row>
    <x:row r="14" ht="80" customHeight="1">
      <x:c r="A14" s="25" t="str">
        <x:v>Chart</x:v>
      </x:c>
      <x:c r="B14" s="25" t="n">
        <x:v>13</x:v>
      </x:c>
      <x:c r="C14" s="25" t="str">
        <x:v>Round1</x:v>
      </x:c>
      <x:c r="D14" s="25" t="str">
        <x:v>INCONCLUSIVE</x:v>
      </x:c>
      <x:c r="E14" s="25" t="str">
        <x:v>N/A</x:v>
      </x:c>
      <x:c r="F14" s="26" t="str">
        <x:v>Fixed also failed; assertion failure cannot be attributed to this bug; Assertions failed with measured coverage; paired execution and stage checks determine status</x:v>
      </x:c>
      <x:c r="G14" s="25" t="str">
        <x:v>true</x:v>
      </x:c>
      <x:c r="H14" s="25" t="str">
        <x:v>INCONCLUSIVE</x:v>
      </x:c>
      <x:c r="I14" s="25" t="str">
        <x:v>FAIL</x:v>
      </x:c>
      <x:c r="J14" s="25" t="str">
        <x:v>FAIL</x:v>
      </x:c>
      <x:c r="K14" s="25" t="n">
        <x:v>14</x:v>
      </x:c>
      <x:c r="L14" s="27" t="b">
        <x:v>0</x:v>
      </x:c>
      <x:c r="M14" s="25" t="str">
        <x:v>Feedback-Directed Random Test Generation/rounds/Round1/state/Chart.json</x:v>
      </x:c>
      <x:c r="N14" s="25" t="str">
        <x:v>Feedback-Directed Random Test Generation/Result/Chart_13/result.json</x:v>
      </x:c>
      <x:c r="O14" s="25" t="str">
        <x:v>Feedback-Directed Random Test Generation/Result/Chart_13/result.json</x:v>
      </x:c>
      <x:c r="P14"/>
      <x:c r="Q14" s="21" t="str"/>
      <x:c r="R14" s="21" t="str"/>
      <x:c r="S14" s="21" t="str"/>
      <x:c r="T14" s="17" t="str">
        <x:v>false</x:v>
      </x:c>
      <x:c r="U14" s="17" t="str">
        <x:v>true</x:v>
      </x:c>
      <x:c r="V14" s="17" t="str">
        <x:v>false</x:v>
      </x:c>
    </x:row>
    <x:row r="15" ht="80" customHeight="1">
      <x:c r="A15" s="25" t="str">
        <x:v>Chart</x:v>
      </x:c>
      <x:c r="B15" s="25" t="n">
        <x:v>14</x:v>
      </x:c>
      <x:c r="C15" s="25" t="str">
        <x:v>Round1</x:v>
      </x:c>
      <x:c r="D15" s="25" t="str">
        <x:v>INCONCLUSIVE</x:v>
      </x:c>
      <x:c r="E15" s="25" t="str">
        <x:v>N/A</x:v>
      </x:c>
      <x:c r="F15" s="26" t="str">
        <x:v>Fixed also failed; assertion failure cannot be attributed to this bug; Assertions failed with measured coverage; paired execution and stage checks determine status</x:v>
      </x:c>
      <x:c r="G15" s="25" t="str">
        <x:v>true</x:v>
      </x:c>
      <x:c r="H15" s="25" t="str">
        <x:v>INCONCLUSIVE</x:v>
      </x:c>
      <x:c r="I15" s="25" t="str">
        <x:v>FAIL</x:v>
      </x:c>
      <x:c r="J15" s="25" t="str">
        <x:v>FAIL</x:v>
      </x:c>
      <x:c r="K15" s="25" t="n">
        <x:v>8</x:v>
      </x:c>
      <x:c r="L15" s="27" t="b">
        <x:v>0</x:v>
      </x:c>
      <x:c r="M15" s="25" t="str">
        <x:v>Feedback-Directed Random Test Generation/rounds/Round1/state/Chart.json</x:v>
      </x:c>
      <x:c r="N15" s="25" t="str">
        <x:v>Feedback-Directed Random Test Generation/Result/Chart_14/result.json</x:v>
      </x:c>
      <x:c r="O15" s="25" t="str">
        <x:v>Feedback-Directed Random Test Generation/Result/Chart_14/result.json</x:v>
      </x:c>
      <x:c r="P15"/>
      <x:c r="Q15" s="21" t="str"/>
      <x:c r="R15" s="21" t="str"/>
      <x:c r="S15" s="21" t="str"/>
      <x:c r="T15" s="17" t="str">
        <x:v>false</x:v>
      </x:c>
      <x:c r="U15" s="17" t="str">
        <x:v>true</x:v>
      </x:c>
      <x:c r="V15" s="17" t="str">
        <x:v>false</x:v>
      </x:c>
    </x:row>
    <x:row r="16" ht="80" customHeight="1">
      <x:c r="A16" s="25" t="str">
        <x:v>Chart</x:v>
      </x:c>
      <x:c r="B16" s="25" t="n">
        <x:v>15</x:v>
      </x:c>
      <x:c r="C16" s="25" t="str">
        <x:v>Round1</x:v>
      </x:c>
      <x:c r="D16" s="25" t="str">
        <x:v>INCONCLUSIVE</x:v>
      </x:c>
      <x:c r="E16" s="25" t="str">
        <x:v>N/A</x:v>
      </x:c>
      <x:c r="F16" s="26" t="str">
        <x:v>Fixed also failed; assertion failure cannot be attributed to this bug; Assertions failed with measured coverage; paired execution and stage checks determine status</x:v>
      </x:c>
      <x:c r="G16" s="25" t="str">
        <x:v>true</x:v>
      </x:c>
      <x:c r="H16" s="25" t="str">
        <x:v>INCONCLUSIVE</x:v>
      </x:c>
      <x:c r="I16" s="25" t="str">
        <x:v>FAIL</x:v>
      </x:c>
      <x:c r="J16" s="25" t="str">
        <x:v>FAIL</x:v>
      </x:c>
      <x:c r="K16" s="25" t="n">
        <x:v>8</x:v>
      </x:c>
      <x:c r="L16" s="27" t="b">
        <x:v>0</x:v>
      </x:c>
      <x:c r="M16" s="25" t="str">
        <x:v>Feedback-Directed Random Test Generation/rounds/Round1/state/Chart.json</x:v>
      </x:c>
      <x:c r="N16" s="25" t="str">
        <x:v>Feedback-Directed Random Test Generation/Result/Chart_15/result.json</x:v>
      </x:c>
      <x:c r="O16" s="25" t="str">
        <x:v>Feedback-Directed Random Test Generation/Result/Chart_15/result.json</x:v>
      </x:c>
      <x:c r="P16"/>
      <x:c r="Q16" s="21" t="str"/>
      <x:c r="R16" s="21" t="str"/>
      <x:c r="S16" s="21" t="str"/>
      <x:c r="T16" s="17" t="str">
        <x:v>false</x:v>
      </x:c>
      <x:c r="U16" s="17" t="str">
        <x:v>true</x:v>
      </x:c>
      <x:c r="V16" s="17" t="str">
        <x:v>false</x:v>
      </x:c>
    </x:row>
    <x:row r="17" ht="80" customHeight="1">
      <x:c r="A17" s="25" t="str">
        <x:v>Chart</x:v>
      </x:c>
      <x:c r="B17" s="25" t="n">
        <x:v>16</x:v>
      </x:c>
      <x:c r="C17" s="25" t="str">
        <x:v>Round1</x:v>
      </x:c>
      <x:c r="D17" s="25" t="str">
        <x:v>INCONCLUSIVE</x:v>
      </x:c>
      <x:c r="E17" s="25" t="str">
        <x:v>N/A</x:v>
      </x:c>
      <x:c r="F17" s="26" t="str">
        <x:v>Fixed also failed; assertion failure cannot be attributed to this bug; Assertions failed with measured coverage; paired execution and stage checks determine status</x:v>
      </x:c>
      <x:c r="G17" s="25" t="str">
        <x:v>true</x:v>
      </x:c>
      <x:c r="H17" s="25" t="str">
        <x:v>INCONCLUSIVE</x:v>
      </x:c>
      <x:c r="I17" s="25" t="str">
        <x:v>FAIL</x:v>
      </x:c>
      <x:c r="J17" s="25" t="str">
        <x:v>FAIL</x:v>
      </x:c>
      <x:c r="K17" s="25" t="n">
        <x:v>12</x:v>
      </x:c>
      <x:c r="L17" s="27" t="b">
        <x:v>0</x:v>
      </x:c>
      <x:c r="M17" s="25" t="str">
        <x:v>Feedback-Directed Random Test Generation/rounds/Round1/state/Chart.json</x:v>
      </x:c>
      <x:c r="N17" s="25" t="str">
        <x:v>Feedback-Directed Random Test Generation/Result/Chart_16/result.json</x:v>
      </x:c>
      <x:c r="O17" s="25" t="str">
        <x:v>Feedback-Directed Random Test Generation/Result/Chart_16/result.json</x:v>
      </x:c>
      <x:c r="P17"/>
      <x:c r="Q17" s="21" t="str"/>
      <x:c r="R17" s="21" t="str"/>
      <x:c r="S17" s="21" t="str"/>
      <x:c r="T17" s="17" t="str">
        <x:v>false</x:v>
      </x:c>
      <x:c r="U17" s="17" t="str">
        <x:v>true</x:v>
      </x:c>
      <x:c r="V17" s="17" t="str">
        <x:v>false</x:v>
      </x:c>
    </x:row>
    <x:row r="18" ht="80" customHeight="1">
      <x:c r="A18" s="25" t="str">
        <x:v>Chart</x:v>
      </x:c>
      <x:c r="B18" s="25" t="n">
        <x:v>17</x:v>
      </x:c>
      <x:c r="C18" s="25" t="str">
        <x:v>Round1</x:v>
      </x:c>
      <x:c r="D18" s="25" t="str">
        <x:v>INCONCLUSIVE</x:v>
      </x:c>
      <x:c r="E18" s="25" t="str">
        <x:v>N/A</x:v>
      </x:c>
      <x:c r="F18" s="26" t="str">
        <x:v>Fixed also failed; assertion failure cannot be attributed to this bug; Assertions failed with measured coverage; paired execution and stage checks determine status</x:v>
      </x:c>
      <x:c r="G18" s="25" t="str">
        <x:v>true</x:v>
      </x:c>
      <x:c r="H18" s="25" t="str">
        <x:v>INCONCLUSIVE</x:v>
      </x:c>
      <x:c r="I18" s="25" t="str">
        <x:v>FAIL</x:v>
      </x:c>
      <x:c r="J18" s="25" t="str">
        <x:v>FAIL</x:v>
      </x:c>
      <x:c r="K18" s="25" t="n">
        <x:v>11</x:v>
      </x:c>
      <x:c r="L18" s="27" t="b">
        <x:v>0</x:v>
      </x:c>
      <x:c r="M18" s="25" t="str">
        <x:v>Feedback-Directed Random Test Generation/rounds/Round1/state/Chart.json</x:v>
      </x:c>
      <x:c r="N18" s="25" t="str">
        <x:v>Feedback-Directed Random Test Generation/Result/Chart_17/result.json</x:v>
      </x:c>
      <x:c r="O18" s="25" t="str">
        <x:v>Feedback-Directed Random Test Generation/Result/Chart_17/result.json</x:v>
      </x:c>
      <x:c r="P18"/>
      <x:c r="Q18" s="21" t="str"/>
      <x:c r="R18" s="21" t="str"/>
      <x:c r="S18" s="21" t="str"/>
      <x:c r="T18" s="17" t="str">
        <x:v>false</x:v>
      </x:c>
      <x:c r="U18" s="17" t="str">
        <x:v>true</x:v>
      </x:c>
      <x:c r="V18" s="17" t="str">
        <x:v>false</x:v>
      </x:c>
    </x:row>
    <x:row r="19" ht="80" customHeight="1">
      <x:c r="A19" s="25" t="str">
        <x:v>Chart</x:v>
      </x:c>
      <x:c r="B19" s="25" t="n">
        <x:v>18</x:v>
      </x:c>
      <x:c r="C19" s="25" t="str">
        <x:v>Round1</x:v>
      </x:c>
      <x:c r="D19" s="25" t="str">
        <x:v>INCONCLUSIVE</x:v>
      </x:c>
      <x:c r="E19" s="25" t="str">
        <x:v>N/A</x:v>
      </x:c>
      <x:c r="F19" s="26" t="str">
        <x:v>Fixed also failed; assertion failure cannot be attributed to this bug</x:v>
      </x:c>
      <x:c r="G19" s="25" t="str">
        <x:v>true</x:v>
      </x:c>
      <x:c r="H19" s="25" t="str">
        <x:v>INCONCLUSIVE</x:v>
      </x:c>
      <x:c r="I19" s="25" t="str">
        <x:v>PASS</x:v>
      </x:c>
      <x:c r="J19" s="25" t="str">
        <x:v>FAIL</x:v>
      </x:c>
      <x:c r="K19" s="25" t="n">
        <x:v>9</x:v>
      </x:c>
      <x:c r="L19" s="27" t="b">
        <x:v>0</x:v>
      </x:c>
      <x:c r="M19" s="25" t="str">
        <x:v>Feedback-Directed Random Test Generation/rounds/Round1/state/Chart.json</x:v>
      </x:c>
      <x:c r="N19" s="25" t="str">
        <x:v>Feedback-Directed Random Test Generation/Result/Chart_18/result.json</x:v>
      </x:c>
      <x:c r="O19" s="25" t="str">
        <x:v>Feedback-Directed Random Test Generation/Result/Chart_18/result.json</x:v>
      </x:c>
      <x:c r="P19"/>
      <x:c r="Q19" s="21" t="str"/>
      <x:c r="R19" s="21" t="str"/>
      <x:c r="S19" s="21" t="str"/>
      <x:c r="T19" s="17" t="str">
        <x:v>false</x:v>
      </x:c>
      <x:c r="U19" s="17" t="str">
        <x:v>true</x:v>
      </x:c>
      <x:c r="V19" s="17" t="str">
        <x:v>false</x:v>
      </x:c>
    </x:row>
    <x:row r="20" ht="80" customHeight="1">
      <x:c r="A20" s="25" t="str">
        <x:v>Chart</x:v>
      </x:c>
      <x:c r="B20" s="25" t="n">
        <x:v>19</x:v>
      </x:c>
      <x:c r="C20" s="25" t="str">
        <x:v>Round1</x:v>
      </x:c>
      <x:c r="D20" s="25" t="str">
        <x:v>INCONCLUSIVE</x:v>
      </x:c>
      <x:c r="E20" s="25" t="str">
        <x:v>N/A</x:v>
      </x:c>
      <x:c r="F20" s="26" t="str">
        <x:v>Fixed also failed; assertion failure cannot be attributed to this bug; Assertions failed with measured coverage; paired execution and stage checks determine status</x:v>
      </x:c>
      <x:c r="G20" s="25" t="str">
        <x:v>true</x:v>
      </x:c>
      <x:c r="H20" s="25" t="str">
        <x:v>INCONCLUSIVE</x:v>
      </x:c>
      <x:c r="I20" s="25" t="str">
        <x:v>FAIL</x:v>
      </x:c>
      <x:c r="J20" s="25" t="str">
        <x:v>FAIL</x:v>
      </x:c>
      <x:c r="K20" s="25" t="n">
        <x:v>8</x:v>
      </x:c>
      <x:c r="L20" s="27" t="b">
        <x:v>0</x:v>
      </x:c>
      <x:c r="M20" s="25" t="str">
        <x:v>Feedback-Directed Random Test Generation/rounds/Round1/state/Chart.json</x:v>
      </x:c>
      <x:c r="N20" s="25" t="str">
        <x:v>Feedback-Directed Random Test Generation/Result/Chart_19/result.json</x:v>
      </x:c>
      <x:c r="O20" s="25" t="str">
        <x:v>Feedback-Directed Random Test Generation/Result/Chart_19/result.json</x:v>
      </x:c>
      <x:c r="P20"/>
      <x:c r="Q20" s="21" t="str"/>
      <x:c r="R20" s="21" t="str"/>
      <x:c r="S20" s="21" t="str"/>
      <x:c r="T20" s="17" t="str">
        <x:v>false</x:v>
      </x:c>
      <x:c r="U20" s="17" t="str">
        <x:v>true</x:v>
      </x:c>
      <x:c r="V20" s="17" t="str">
        <x:v>false</x:v>
      </x:c>
    </x:row>
    <x:row r="21" ht="80" customHeight="1">
      <x:c r="A21" s="25" t="str">
        <x:v>Chart</x:v>
      </x:c>
      <x:c r="B21" s="25" t="n">
        <x:v>20</x:v>
      </x:c>
      <x:c r="C21" s="25" t="str">
        <x:v>Round1</x:v>
      </x:c>
      <x:c r="D21" s="25" t="str">
        <x:v>INCONCLUSIVE</x:v>
      </x:c>
      <x:c r="E21" s="25" t="str">
        <x:v>N/A</x:v>
      </x:c>
      <x:c r="F21" s="26" t="str">
        <x:v>Fixed also failed; assertion failure cannot be attributed to this bug; Assertions failed with measured coverage; paired execution and stage checks determine status</x:v>
      </x:c>
      <x:c r="G21" s="25" t="str">
        <x:v>true</x:v>
      </x:c>
      <x:c r="H21" s="25" t="str">
        <x:v>INCONCLUSIVE</x:v>
      </x:c>
      <x:c r="I21" s="25" t="str">
        <x:v>FAIL</x:v>
      </x:c>
      <x:c r="J21" s="25" t="str">
        <x:v>FAIL</x:v>
      </x:c>
      <x:c r="K21" s="25" t="n">
        <x:v>10</x:v>
      </x:c>
      <x:c r="L21" s="27" t="b">
        <x:v>0</x:v>
      </x:c>
      <x:c r="M21" s="25" t="str">
        <x:v>Feedback-Directed Random Test Generation/rounds/Round1/state/Chart.json</x:v>
      </x:c>
      <x:c r="N21" s="25" t="str">
        <x:v>Feedback-Directed Random Test Generation/Result/Chart_20/result.json</x:v>
      </x:c>
      <x:c r="O21" s="25" t="str">
        <x:v>Feedback-Directed Random Test Generation/Result/Chart_20/result.json</x:v>
      </x:c>
      <x:c r="P21"/>
      <x:c r="Q21" s="21" t="str"/>
      <x:c r="R21" s="21" t="str"/>
      <x:c r="S21" s="21" t="str"/>
      <x:c r="T21" s="17" t="str">
        <x:v>false</x:v>
      </x:c>
      <x:c r="U21" s="17" t="str">
        <x:v>true</x:v>
      </x:c>
      <x:c r="V21" s="17" t="str">
        <x:v>false</x:v>
      </x:c>
    </x:row>
    <x:row r="22" ht="80" customHeight="1">
      <x:c r="A22" s="25" t="str">
        <x:v>Chart</x:v>
      </x:c>
      <x:c r="B22" s="25" t="n">
        <x:v>21</x:v>
      </x:c>
      <x:c r="C22" s="25" t="str">
        <x:v>Round1</x:v>
      </x:c>
      <x:c r="D22" s="25" t="str">
        <x:v>INCONCLUSIVE</x:v>
      </x:c>
      <x:c r="E22" s="25" t="str">
        <x:v>N/A</x:v>
      </x:c>
      <x:c r="F22" s="26" t="str">
        <x:v>Fixed also failed; assertion failure cannot be attributed to this bug; Assertions failed with measured coverage; paired execution and stage checks determine status</x:v>
      </x:c>
      <x:c r="G22" s="25" t="str">
        <x:v>true</x:v>
      </x:c>
      <x:c r="H22" s="25" t="str">
        <x:v>INCONCLUSIVE</x:v>
      </x:c>
      <x:c r="I22" s="25" t="str">
        <x:v>FAIL</x:v>
      </x:c>
      <x:c r="J22" s="25" t="str">
        <x:v>FAIL</x:v>
      </x:c>
      <x:c r="K22" s="25" t="n">
        <x:v>12</x:v>
      </x:c>
      <x:c r="L22" s="27" t="b">
        <x:v>0</x:v>
      </x:c>
      <x:c r="M22" s="25" t="str">
        <x:v>Feedback-Directed Random Test Generation/rounds/Round1/state/Chart.json</x:v>
      </x:c>
      <x:c r="N22" s="25" t="str">
        <x:v>Feedback-Directed Random Test Generation/Result/Chart_21/result.json</x:v>
      </x:c>
      <x:c r="O22" s="25" t="str">
        <x:v>Feedback-Directed Random Test Generation/Result/Chart_21/result.json</x:v>
      </x:c>
      <x:c r="P22"/>
      <x:c r="Q22" s="21" t="str"/>
      <x:c r="R22" s="21" t="str"/>
      <x:c r="S22" s="21" t="str"/>
      <x:c r="T22" s="17" t="str">
        <x:v>false</x:v>
      </x:c>
      <x:c r="U22" s="17" t="str">
        <x:v>true</x:v>
      </x:c>
      <x:c r="V22" s="17" t="str">
        <x:v>false</x:v>
      </x:c>
    </x:row>
    <x:row r="23" ht="80" customHeight="1">
      <x:c r="A23" s="25" t="str">
        <x:v>Chart</x:v>
      </x:c>
      <x:c r="B23" s="25" t="n">
        <x:v>22</x:v>
      </x:c>
      <x:c r="C23" s="25" t="str">
        <x:v>Round1</x:v>
      </x:c>
      <x:c r="D23" s="25" t="str">
        <x:v>INCONCLUSIVE</x:v>
      </x:c>
      <x:c r="E23" s="25" t="str">
        <x:v>N/A</x:v>
      </x:c>
      <x:c r="F23" s="26" t="str">
        <x:v>Fixed also failed; assertion failure cannot be attributed to this bug; Assertions failed with measured coverage; paired execution and stage checks determine status</x:v>
      </x:c>
      <x:c r="G23" s="25" t="str">
        <x:v>true</x:v>
      </x:c>
      <x:c r="H23" s="25" t="str">
        <x:v>INCONCLUSIVE</x:v>
      </x:c>
      <x:c r="I23" s="25" t="str">
        <x:v>FAIL</x:v>
      </x:c>
      <x:c r="J23" s="25" t="str">
        <x:v>FAIL</x:v>
      </x:c>
      <x:c r="K23" s="25" t="n">
        <x:v>10</x:v>
      </x:c>
      <x:c r="L23" s="27" t="b">
        <x:v>0</x:v>
      </x:c>
      <x:c r="M23" s="25" t="str">
        <x:v>Feedback-Directed Random Test Generation/rounds/Round1/state/Chart.json</x:v>
      </x:c>
      <x:c r="N23" s="25" t="str">
        <x:v>Feedback-Directed Random Test Generation/Result/Chart_22/result.json</x:v>
      </x:c>
      <x:c r="O23" s="25" t="str">
        <x:v>Feedback-Directed Random Test Generation/Result/Chart_22/result.json</x:v>
      </x:c>
      <x:c r="P23"/>
      <x:c r="Q23" s="21" t="str"/>
      <x:c r="R23" s="21" t="str"/>
      <x:c r="S23" s="21" t="str"/>
      <x:c r="T23" s="17" t="str">
        <x:v>false</x:v>
      </x:c>
      <x:c r="U23" s="17" t="str">
        <x:v>true</x:v>
      </x:c>
      <x:c r="V23" s="17" t="str">
        <x:v>false</x:v>
      </x:c>
    </x:row>
    <x:row r="24" ht="80" customHeight="1">
      <x:c r="A24" s="25" t="str">
        <x:v>Chart</x:v>
      </x:c>
      <x:c r="B24" s="25" t="n">
        <x:v>23</x:v>
      </x:c>
      <x:c r="C24" s="25" t="str">
        <x:v>Round1</x:v>
      </x:c>
      <x:c r="D24" s="25" t="str">
        <x:v>INCONCLUSIVE</x:v>
      </x:c>
      <x:c r="E24" s="25" t="str">
        <x:v>N/A</x:v>
      </x:c>
      <x:c r="F24" s="26" t="str">
        <x:v>Fixed also failed; assertion failure cannot be attributed to this bug; Assertions failed with measured coverage; paired execution and stage checks determine status</x:v>
      </x:c>
      <x:c r="G24" s="25" t="str">
        <x:v>true</x:v>
      </x:c>
      <x:c r="H24" s="25" t="str">
        <x:v>INCONCLUSIVE</x:v>
      </x:c>
      <x:c r="I24" s="25" t="str">
        <x:v>FAIL</x:v>
      </x:c>
      <x:c r="J24" s="25" t="str">
        <x:v>FAIL</x:v>
      </x:c>
      <x:c r="K24" s="25" t="n">
        <x:v>8</x:v>
      </x:c>
      <x:c r="L24" s="27" t="b">
        <x:v>0</x:v>
      </x:c>
      <x:c r="M24" s="25" t="str">
        <x:v>Feedback-Directed Random Test Generation/rounds/Round1/state/Chart.json</x:v>
      </x:c>
      <x:c r="N24" s="25" t="str">
        <x:v>Feedback-Directed Random Test Generation/Result/Chart_23/result.json</x:v>
      </x:c>
      <x:c r="O24" s="25" t="str">
        <x:v>Feedback-Directed Random Test Generation/Result/Chart_23/result.json</x:v>
      </x:c>
      <x:c r="P24"/>
      <x:c r="Q24" s="21" t="str"/>
      <x:c r="R24" s="21" t="str"/>
      <x:c r="S24" s="21" t="str"/>
      <x:c r="T24" s="17" t="str">
        <x:v>false</x:v>
      </x:c>
      <x:c r="U24" s="17" t="str">
        <x:v>true</x:v>
      </x:c>
      <x:c r="V24" s="17" t="str">
        <x:v>false</x:v>
      </x:c>
    </x:row>
    <x:row r="25" ht="80" customHeight="1">
      <x:c r="A25" s="25" t="str">
        <x:v>Chart</x:v>
      </x:c>
      <x:c r="B25" s="25" t="n">
        <x:v>24</x:v>
      </x:c>
      <x:c r="C25" s="25" t="str">
        <x:v>Round1</x:v>
      </x:c>
      <x:c r="D25" s="25" t="str">
        <x:v>INCONCLUSIVE</x:v>
      </x:c>
      <x:c r="E25" s="25" t="str">
        <x:v>N/A</x:v>
      </x:c>
      <x:c r="F25" s="26" t="str">
        <x:v>Fixed also failed; assertion failure cannot be attributed to this bug; Assertions failed with measured coverage; paired execution and stage checks determine status</x:v>
      </x:c>
      <x:c r="G25" s="25" t="str">
        <x:v>true</x:v>
      </x:c>
      <x:c r="H25" s="25" t="str">
        <x:v>INCONCLUSIVE</x:v>
      </x:c>
      <x:c r="I25" s="25" t="str">
        <x:v>FAIL</x:v>
      </x:c>
      <x:c r="J25" s="25" t="str">
        <x:v>FAIL</x:v>
      </x:c>
      <x:c r="K25" s="25" t="n">
        <x:v>11</x:v>
      </x:c>
      <x:c r="L25" s="27" t="b">
        <x:v>0</x:v>
      </x:c>
      <x:c r="M25" s="25" t="str">
        <x:v>Feedback-Directed Random Test Generation/rounds/Round1/state/Chart.json</x:v>
      </x:c>
      <x:c r="N25" s="25" t="str">
        <x:v>Feedback-Directed Random Test Generation/Result/Chart_24/result.json</x:v>
      </x:c>
      <x:c r="O25" s="25" t="str">
        <x:v>Feedback-Directed Random Test Generation/Result/Chart_24/result.json</x:v>
      </x:c>
      <x:c r="P25"/>
      <x:c r="Q25" s="21" t="str"/>
      <x:c r="R25" s="21" t="str"/>
      <x:c r="S25" s="21" t="str"/>
      <x:c r="T25" s="17" t="str">
        <x:v>false</x:v>
      </x:c>
      <x:c r="U25" s="17" t="str">
        <x:v>true</x:v>
      </x:c>
      <x:c r="V25" s="17" t="str">
        <x:v>false</x:v>
      </x:c>
    </x:row>
    <x:row r="26" ht="80" customHeight="1">
      <x:c r="A26" s="25" t="str">
        <x:v>Chart</x:v>
      </x:c>
      <x:c r="B26" s="25" t="n">
        <x:v>25</x:v>
      </x:c>
      <x:c r="C26" s="25" t="str">
        <x:v>Round1</x:v>
      </x:c>
      <x:c r="D26" s="25" t="str">
        <x:v>INCONCLUSIVE</x:v>
      </x:c>
      <x:c r="E26" s="25" t="str">
        <x:v>N/A</x:v>
      </x:c>
      <x:c r="F26" s="26" t="str">
        <x:v>Fixed also failed; assertion failure cannot be attributed to this bug; Assertions failed with measured coverage; paired execution and stage checks determine status</x:v>
      </x:c>
      <x:c r="G26" s="25" t="str">
        <x:v>true</x:v>
      </x:c>
      <x:c r="H26" s="25" t="str">
        <x:v>INCONCLUSIVE</x:v>
      </x:c>
      <x:c r="I26" s="25" t="str">
        <x:v>FAIL</x:v>
      </x:c>
      <x:c r="J26" s="25" t="str">
        <x:v>FAIL</x:v>
      </x:c>
      <x:c r="K26" s="25" t="n">
        <x:v>8</x:v>
      </x:c>
      <x:c r="L26" s="27" t="b">
        <x:v>0</x:v>
      </x:c>
      <x:c r="M26" s="25" t="str">
        <x:v>Feedback-Directed Random Test Generation/rounds/Round1/state/Chart.json</x:v>
      </x:c>
      <x:c r="N26" s="25" t="str">
        <x:v>Feedback-Directed Random Test Generation/Result/Chart_25/result.json</x:v>
      </x:c>
      <x:c r="O26" s="25" t="str">
        <x:v>Feedback-Directed Random Test Generation/Result/Chart_25/result.json</x:v>
      </x:c>
      <x:c r="P26"/>
      <x:c r="Q26" s="21" t="str"/>
      <x:c r="R26" s="21" t="str"/>
      <x:c r="S26" s="21" t="str"/>
      <x:c r="T26" s="17" t="str">
        <x:v>false</x:v>
      </x:c>
      <x:c r="U26" s="17" t="str">
        <x:v>true</x:v>
      </x:c>
      <x:c r="V26" s="17" t="str">
        <x:v>false</x:v>
      </x:c>
    </x:row>
    <x:row r="27" ht="80" customHeight="1">
      <x:c r="A27" s="25" t="str">
        <x:v>Chart</x:v>
      </x:c>
      <x:c r="B27" s="25" t="n">
        <x:v>26</x:v>
      </x:c>
      <x:c r="C27" s="25" t="str">
        <x:v>Round1</x:v>
      </x:c>
      <x:c r="D27" s="25" t="str">
        <x:v>NOT_REVEALING</x:v>
      </x:c>
      <x:c r="E27" s="25" t="str">
        <x:v>N/A</x:v>
      </x:c>
      <x:c r="F27" s="26" t="str">
        <x:v>Same saved validation suite passed on buggy and fixed</x:v>
      </x:c>
      <x:c r="G27" s="25" t="str">
        <x:v>true</x:v>
      </x:c>
      <x:c r="H27" s="25" t="str">
        <x:v>NOT_REVEALING</x:v>
      </x:c>
      <x:c r="I27" s="25" t="str">
        <x:v>PASS</x:v>
      </x:c>
      <x:c r="J27" s="25" t="str">
        <x:v>PASS</x:v>
      </x:c>
      <x:c r="K27" s="25" t="n">
        <x:v>2</x:v>
      </x:c>
      <x:c r="L27" s="27" t="b">
        <x:v>0</x:v>
      </x:c>
      <x:c r="M27" s="25" t="str">
        <x:v>Feedback-Directed Random Test Generation/rounds/Round1/state/Chart.json</x:v>
      </x:c>
      <x:c r="N27" s="25" t="str">
        <x:v>Feedback-Directed Random Test Generation/Result/Chart_26/result.json</x:v>
      </x:c>
      <x:c r="O27" s="25" t="str">
        <x:v>Feedback-Directed Random Test Generation/Result/Chart_26/result.json</x:v>
      </x:c>
      <x:c r="P27"/>
      <x:c r="Q27" s="21" t="str"/>
      <x:c r="R27" s="21" t="str"/>
      <x:c r="S27" s="21" t="str"/>
      <x:c r="T27" s="17" t="str">
        <x:v>false</x:v>
      </x:c>
      <x:c r="U27" s="17" t="str">
        <x:v>true</x:v>
      </x:c>
      <x:c r="V27" s="17" t="str">
        <x:v>false</x:v>
      </x:c>
    </x:row>
    <x:row r="28" ht="80" customHeight="1">
      <x:c r="A28" s="25" t="str">
        <x:v>Cli</x:v>
      </x:c>
      <x:c r="B28" s="25" t="n">
        <x:v>1</x:v>
      </x:c>
      <x:c r="C28" s="25" t="str">
        <x:v>Round1</x:v>
      </x:c>
      <x:c r="D28" s="25" t="str">
        <x:v>INCONCLUSIVE</x:v>
      </x:c>
      <x:c r="E28" s="25" t="str">
        <x:v>N/A</x:v>
      </x:c>
      <x:c r="F28" s="26" t="str">
        <x:v>Fixed also failed; assertion failure cannot be attributed to this bug; Assertions failed with measured coverage; paired execution and stage checks determine status</x:v>
      </x:c>
      <x:c r="G28" s="25" t="str">
        <x:v>true</x:v>
      </x:c>
      <x:c r="H28" s="25" t="str">
        <x:v>INCONCLUSIVE</x:v>
      </x:c>
      <x:c r="I28" s="25" t="str">
        <x:v>FAIL</x:v>
      </x:c>
      <x:c r="J28" s="25" t="str">
        <x:v>FAIL</x:v>
      </x:c>
      <x:c r="K28" s="25" t="n">
        <x:v>14</x:v>
      </x:c>
      <x:c r="L28" s="27" t="b">
        <x:v>0</x:v>
      </x:c>
      <x:c r="M28" s="25" t="str">
        <x:v>Feedback-Directed Random Test Generation/rounds/Round1/state/Cli.json</x:v>
      </x:c>
      <x:c r="N28" s="25" t="str">
        <x:v>Feedback-Directed Random Test Generation/Result/Cli_1/result.json</x:v>
      </x:c>
      <x:c r="O28" s="25" t="str">
        <x:v>Feedback-Directed Random Test Generation/Result/Cli_1/result.json</x:v>
      </x:c>
      <x:c r="P28"/>
      <x:c r="Q28" s="21" t="str"/>
      <x:c r="R28" s="21" t="str"/>
      <x:c r="S28" s="21" t="str"/>
      <x:c r="T28" s="17" t="str">
        <x:v>false</x:v>
      </x:c>
      <x:c r="U28" s="17" t="str">
        <x:v>true</x:v>
      </x:c>
      <x:c r="V28" s="17" t="str">
        <x:v>false</x:v>
      </x:c>
    </x:row>
    <x:row r="29" ht="80" customHeight="1">
      <x:c r="A29" s="25" t="str">
        <x:v>Cli</x:v>
      </x:c>
      <x:c r="B29" s="25" t="n">
        <x:v>2</x:v>
      </x:c>
      <x:c r="C29" s="25" t="str">
        <x:v>Round1</x:v>
      </x:c>
      <x:c r="D29" s="25" t="str">
        <x:v>INCONCLUSIVE</x:v>
      </x:c>
      <x:c r="E29" s="25" t="str">
        <x:v>N/A</x:v>
      </x:c>
      <x:c r="F29" s="26" t="str">
        <x:v>Fixed also failed; assertion failure cannot be attributed to this bug; Assertions failed with measured coverage; paired execution and stage checks determine status</x:v>
      </x:c>
      <x:c r="G29" s="25" t="str">
        <x:v>true</x:v>
      </x:c>
      <x:c r="H29" s="25" t="str">
        <x:v>INCONCLUSIVE</x:v>
      </x:c>
      <x:c r="I29" s="25" t="str">
        <x:v>FAIL</x:v>
      </x:c>
      <x:c r="J29" s="25" t="str">
        <x:v>FAIL</x:v>
      </x:c>
      <x:c r="K29" s="25" t="n">
        <x:v>17</x:v>
      </x:c>
      <x:c r="L29" s="27" t="b">
        <x:v>0</x:v>
      </x:c>
      <x:c r="M29" s="25" t="str">
        <x:v>Feedback-Directed Random Test Generation/rounds/Round1/state/Cli.json</x:v>
      </x:c>
      <x:c r="N29" s="25" t="str">
        <x:v>Feedback-Directed Random Test Generation/Result/Cli_2/result.json</x:v>
      </x:c>
      <x:c r="O29" s="25" t="str">
        <x:v>Feedback-Directed Random Test Generation/Result/Cli_2/result.json</x:v>
      </x:c>
      <x:c r="P29"/>
      <x:c r="Q29" s="21" t="str"/>
      <x:c r="R29" s="21" t="str"/>
      <x:c r="S29" s="21" t="str"/>
      <x:c r="T29" s="17" t="str">
        <x:v>false</x:v>
      </x:c>
      <x:c r="U29" s="17" t="str">
        <x:v>true</x:v>
      </x:c>
      <x:c r="V29" s="17" t="str">
        <x:v>false</x:v>
      </x:c>
    </x:row>
    <x:row r="30" ht="80" customHeight="1">
      <x:c r="A30" s="25" t="str">
        <x:v>Cli</x:v>
      </x:c>
      <x:c r="B30" s="25" t="n">
        <x:v>3</x:v>
      </x:c>
      <x:c r="C30" s="25" t="str">
        <x:v>Round1</x:v>
      </x:c>
      <x:c r="D30" s="25" t="str">
        <x:v>INCONCLUSIVE</x:v>
      </x:c>
      <x:c r="E30" s="25" t="str">
        <x:v>N/A</x:v>
      </x:c>
      <x:c r="F30" s="26" t="str">
        <x:v>Fixed also failed; assertion failure cannot be attributed to this bug; Assertions failed with measured coverage; paired execution and stage checks determine status</x:v>
      </x:c>
      <x:c r="G30" s="25" t="str">
        <x:v>true</x:v>
      </x:c>
      <x:c r="H30" s="25" t="str">
        <x:v>INCONCLUSIVE</x:v>
      </x:c>
      <x:c r="I30" s="25" t="str">
        <x:v>FAIL</x:v>
      </x:c>
      <x:c r="J30" s="25" t="str">
        <x:v>FAIL</x:v>
      </x:c>
      <x:c r="K30" s="25" t="n">
        <x:v>10</x:v>
      </x:c>
      <x:c r="L30" s="27" t="b">
        <x:v>0</x:v>
      </x:c>
      <x:c r="M30" s="25" t="str">
        <x:v>Feedback-Directed Random Test Generation/rounds/Round1/state/Cli.json</x:v>
      </x:c>
      <x:c r="N30" s="25" t="str">
        <x:v>Feedback-Directed Random Test Generation/Result/Cli_3/result.json</x:v>
      </x:c>
      <x:c r="O30" s="25" t="str">
        <x:v>Feedback-Directed Random Test Generation/Result/Cli_3/result.json</x:v>
      </x:c>
      <x:c r="P30"/>
      <x:c r="Q30" s="21" t="str"/>
      <x:c r="R30" s="21" t="str"/>
      <x:c r="S30" s="21" t="str"/>
      <x:c r="T30" s="17" t="str">
        <x:v>false</x:v>
      </x:c>
      <x:c r="U30" s="17" t="str">
        <x:v>true</x:v>
      </x:c>
      <x:c r="V30" s="17" t="str">
        <x:v>false</x:v>
      </x:c>
    </x:row>
    <x:row r="31" ht="80" customHeight="1">
      <x:c r="A31" s="25" t="str">
        <x:v>Cli</x:v>
      </x:c>
      <x:c r="B31" s="25" t="n">
        <x:v>4</x:v>
      </x:c>
      <x:c r="C31" s="25" t="str">
        <x:v>Round1</x:v>
      </x:c>
      <x:c r="D31" s="25" t="str">
        <x:v>INCONCLUSIVE</x:v>
      </x:c>
      <x:c r="E31" s="25" t="str">
        <x:v>N/A</x:v>
      </x:c>
      <x:c r="F31" s="26" t="str">
        <x:v>Fixed also failed; assertion failure cannot be attributed to this bug; Assertions failed with measured coverage; paired execution and stage checks determine status</x:v>
      </x:c>
      <x:c r="G31" s="25" t="str">
        <x:v>true</x:v>
      </x:c>
      <x:c r="H31" s="25" t="str">
        <x:v>INCONCLUSIVE</x:v>
      </x:c>
      <x:c r="I31" s="25" t="str">
        <x:v>FAIL</x:v>
      </x:c>
      <x:c r="J31" s="25" t="str">
        <x:v>FAIL</x:v>
      </x:c>
      <x:c r="K31" s="25" t="n">
        <x:v>2</x:v>
      </x:c>
      <x:c r="L31" s="27" t="b">
        <x:v>0</x:v>
      </x:c>
      <x:c r="M31" s="25" t="str">
        <x:v>Feedback-Directed Random Test Generation/rounds/Round1/state/Cli.json</x:v>
      </x:c>
      <x:c r="N31" s="25" t="str">
        <x:v>Feedback-Directed Random Test Generation/Result/Cli_4/result.json</x:v>
      </x:c>
      <x:c r="O31" s="25" t="str">
        <x:v>Feedback-Directed Random Test Generation/Result/Cli_4/result.json</x:v>
      </x:c>
      <x:c r="P31"/>
      <x:c r="Q31" s="21" t="str"/>
      <x:c r="R31" s="21" t="str"/>
      <x:c r="S31" s="21" t="str"/>
      <x:c r="T31" s="17" t="str">
        <x:v>false</x:v>
      </x:c>
      <x:c r="U31" s="17" t="str">
        <x:v>true</x:v>
      </x:c>
      <x:c r="V31" s="17" t="str">
        <x:v>false</x:v>
      </x:c>
    </x:row>
    <x:row r="32" ht="80" customHeight="1">
      <x:c r="A32" s="25" t="str">
        <x:v>Cli</x:v>
      </x:c>
      <x:c r="B32" s="25" t="n">
        <x:v>5</x:v>
      </x:c>
      <x:c r="C32" s="25" t="str">
        <x:v>Round1</x:v>
      </x:c>
      <x:c r="D32" s="25" t="str">
        <x:v>INCONCLUSIVE</x:v>
      </x:c>
      <x:c r="E32" s="25" t="str">
        <x:v>N/A</x:v>
      </x:c>
      <x:c r="F32" s="26" t="str">
        <x:v>Fixed also failed; assertion failure cannot be attributed to this bug; Assertions failed with measured coverage; paired execution and stage checks determine status</x:v>
      </x:c>
      <x:c r="G32" s="25" t="str">
        <x:v>true</x:v>
      </x:c>
      <x:c r="H32" s="25" t="str">
        <x:v>INCONCLUSIVE</x:v>
      </x:c>
      <x:c r="I32" s="25" t="str">
        <x:v>FAIL</x:v>
      </x:c>
      <x:c r="J32" s="25" t="str">
        <x:v>FAIL</x:v>
      </x:c>
      <x:c r="K32" s="25" t="n">
        <x:v>2</x:v>
      </x:c>
      <x:c r="L32" s="27" t="b">
        <x:v>0</x:v>
      </x:c>
      <x:c r="M32" s="25" t="str">
        <x:v>Feedback-Directed Random Test Generation/rounds/Round1/state/Cli.json</x:v>
      </x:c>
      <x:c r="N32" s="25" t="str">
        <x:v>Feedback-Directed Random Test Generation/Result/Cli_5/result.json</x:v>
      </x:c>
      <x:c r="O32" s="25" t="str">
        <x:v>Feedback-Directed Random Test Generation/Result/Cli_5/result.json</x:v>
      </x:c>
      <x:c r="P32"/>
      <x:c r="Q32" s="21" t="str"/>
      <x:c r="R32" s="21" t="str"/>
      <x:c r="S32" s="21" t="str"/>
      <x:c r="T32" s="17" t="str">
        <x:v>false</x:v>
      </x:c>
      <x:c r="U32" s="17" t="str">
        <x:v>true</x:v>
      </x:c>
      <x:c r="V32" s="17" t="str">
        <x:v>false</x:v>
      </x:c>
    </x:row>
    <x:row r="33" ht="80" customHeight="1">
      <x:c r="A33" s="25" t="str">
        <x:v>Cli</x:v>
      </x:c>
      <x:c r="B33" s="25" t="n">
        <x:v>7</x:v>
      </x:c>
      <x:c r="C33" s="25" t="str">
        <x:v>Round1</x:v>
      </x:c>
      <x:c r="D33" s="25" t="str">
        <x:v>INCONCLUSIVE</x:v>
      </x:c>
      <x:c r="E33" s="25" t="str">
        <x:v>N/A</x:v>
      </x:c>
      <x:c r="F33" s="26" t="str">
        <x:v>Fixed also failed; assertion failure cannot be attributed to this bug; Assertions failed with measured coverage; paired execution and stage checks determine status</x:v>
      </x:c>
      <x:c r="G33" s="25" t="str">
        <x:v>true</x:v>
      </x:c>
      <x:c r="H33" s="25" t="str">
        <x:v>INCONCLUSIVE</x:v>
      </x:c>
      <x:c r="I33" s="25" t="str">
        <x:v>FAIL</x:v>
      </x:c>
      <x:c r="J33" s="25" t="str">
        <x:v>FAIL</x:v>
      </x:c>
      <x:c r="K33" s="25" t="n">
        <x:v>17</x:v>
      </x:c>
      <x:c r="L33" s="27" t="b">
        <x:v>0</x:v>
      </x:c>
      <x:c r="M33" s="25" t="str">
        <x:v>Feedback-Directed Random Test Generation/rounds/Round1/state/Cli.json</x:v>
      </x:c>
      <x:c r="N33" s="25" t="str">
        <x:v>Feedback-Directed Random Test Generation/Result/Cli_7/result.json</x:v>
      </x:c>
      <x:c r="O33" s="25" t="str">
        <x:v>Feedback-Directed Random Test Generation/Result/Cli_7/result.json</x:v>
      </x:c>
      <x:c r="P33"/>
      <x:c r="Q33" s="21" t="str"/>
      <x:c r="R33" s="21" t="str"/>
      <x:c r="S33" s="21" t="str"/>
      <x:c r="T33" s="17" t="str">
        <x:v>false</x:v>
      </x:c>
      <x:c r="U33" s="17" t="str">
        <x:v>true</x:v>
      </x:c>
      <x:c r="V33" s="17" t="str">
        <x:v>false</x:v>
      </x:c>
    </x:row>
    <x:row r="34" ht="80" customHeight="1">
      <x:c r="A34" s="25" t="str">
        <x:v>Cli</x:v>
      </x:c>
      <x:c r="B34" s="25" t="n">
        <x:v>8</x:v>
      </x:c>
      <x:c r="C34" s="25" t="str">
        <x:v>Round1</x:v>
      </x:c>
      <x:c r="D34" s="25" t="str">
        <x:v>INCONCLUSIVE</x:v>
      </x:c>
      <x:c r="E34" s="25" t="str">
        <x:v>N/A</x:v>
      </x:c>
      <x:c r="F34" s="26" t="str">
        <x:v>Fixed also failed; assertion failure cannot be attributed to this bug; Assertions failed with measured coverage; paired execution and stage checks determine status</x:v>
      </x:c>
      <x:c r="G34" s="25" t="str">
        <x:v>true</x:v>
      </x:c>
      <x:c r="H34" s="25" t="str">
        <x:v>INCONCLUSIVE</x:v>
      </x:c>
      <x:c r="I34" s="25" t="str">
        <x:v>FAIL</x:v>
      </x:c>
      <x:c r="J34" s="25" t="str">
        <x:v>FAIL</x:v>
      </x:c>
      <x:c r="K34" s="25" t="n">
        <x:v>12</x:v>
      </x:c>
      <x:c r="L34" s="27" t="b">
        <x:v>0</x:v>
      </x:c>
      <x:c r="M34" s="25" t="str">
        <x:v>Feedback-Directed Random Test Generation/rounds/Round1/state/Cli.json</x:v>
      </x:c>
      <x:c r="N34" s="25" t="str">
        <x:v>Feedback-Directed Random Test Generation/Result/Cli_8/result.json</x:v>
      </x:c>
      <x:c r="O34" s="25" t="str">
        <x:v>Feedback-Directed Random Test Generation/Result/Cli_8/result.json</x:v>
      </x:c>
      <x:c r="P34"/>
      <x:c r="Q34" s="21" t="str"/>
      <x:c r="R34" s="21" t="str"/>
      <x:c r="S34" s="21" t="str"/>
      <x:c r="T34" s="17" t="str">
        <x:v>false</x:v>
      </x:c>
      <x:c r="U34" s="17" t="str">
        <x:v>true</x:v>
      </x:c>
      <x:c r="V34" s="17" t="str">
        <x:v>false</x:v>
      </x:c>
    </x:row>
    <x:row r="35" ht="80" customHeight="1">
      <x:c r="A35" s="25" t="str">
        <x:v>Cli</x:v>
      </x:c>
      <x:c r="B35" s="25" t="n">
        <x:v>9</x:v>
      </x:c>
      <x:c r="C35" s="25" t="str">
        <x:v>Round1</x:v>
      </x:c>
      <x:c r="D35" s="25" t="str">
        <x:v>INCONCLUSIVE</x:v>
      </x:c>
      <x:c r="E35" s="25" t="str">
        <x:v>N/A</x:v>
      </x:c>
      <x:c r="F35" s="26" t="str">
        <x:v>Fixed also failed; assertion failure cannot be attributed to this bug; Assertions failed with measured coverage; paired execution and stage checks determine status</x:v>
      </x:c>
      <x:c r="G35" s="25" t="str">
        <x:v>true</x:v>
      </x:c>
      <x:c r="H35" s="25" t="str">
        <x:v>INCONCLUSIVE</x:v>
      </x:c>
      <x:c r="I35" s="25" t="str">
        <x:v>FAIL</x:v>
      </x:c>
      <x:c r="J35" s="25" t="str">
        <x:v>FAIL</x:v>
      </x:c>
      <x:c r="K35" s="25" t="n">
        <x:v>2</x:v>
      </x:c>
      <x:c r="L35" s="27" t="b">
        <x:v>0</x:v>
      </x:c>
      <x:c r="M35" s="25" t="str">
        <x:v>Feedback-Directed Random Test Generation/rounds/Round1/state/Cli.json</x:v>
      </x:c>
      <x:c r="N35" s="25" t="str">
        <x:v>Feedback-Directed Random Test Generation/Result/Cli_9/result.json</x:v>
      </x:c>
      <x:c r="O35" s="25" t="str">
        <x:v>Feedback-Directed Random Test Generation/Result/Cli_9/result.json</x:v>
      </x:c>
      <x:c r="P35"/>
      <x:c r="Q35" s="21" t="str"/>
      <x:c r="R35" s="21" t="str"/>
      <x:c r="S35" s="21" t="str"/>
      <x:c r="T35" s="17" t="str">
        <x:v>false</x:v>
      </x:c>
      <x:c r="U35" s="17" t="str">
        <x:v>true</x:v>
      </x:c>
      <x:c r="V35" s="17" t="str">
        <x:v>false</x:v>
      </x:c>
    </x:row>
    <x:row r="36" ht="80" customHeight="1">
      <x:c r="A36" s="25" t="str">
        <x:v>Cli</x:v>
      </x:c>
      <x:c r="B36" s="25" t="n">
        <x:v>10</x:v>
      </x:c>
      <x:c r="C36" s="25" t="str">
        <x:v>Round1</x:v>
      </x:c>
      <x:c r="D36" s="25" t="str">
        <x:v>INCONCLUSIVE</x:v>
      </x:c>
      <x:c r="E36" s="25" t="str">
        <x:v>N/A</x:v>
      </x:c>
      <x:c r="F36" s="26" t="str">
        <x:v>Fixed also failed; assertion failure cannot be attributed to this bug; Assertions failed with measured coverage; paired execution and stage checks determine status</x:v>
      </x:c>
      <x:c r="G36" s="25" t="str">
        <x:v>true</x:v>
      </x:c>
      <x:c r="H36" s="25" t="str">
        <x:v>INCONCLUSIVE</x:v>
      </x:c>
      <x:c r="I36" s="25" t="str">
        <x:v>FAIL</x:v>
      </x:c>
      <x:c r="J36" s="25" t="str">
        <x:v>FAIL</x:v>
      </x:c>
      <x:c r="K36" s="25" t="n">
        <x:v>2</x:v>
      </x:c>
      <x:c r="L36" s="27" t="b">
        <x:v>0</x:v>
      </x:c>
      <x:c r="M36" s="25" t="str">
        <x:v>Feedback-Directed Random Test Generation/rounds/Round1/state/Cli.json</x:v>
      </x:c>
      <x:c r="N36" s="25" t="str">
        <x:v>Feedback-Directed Random Test Generation/Result/Cli_10/result.json</x:v>
      </x:c>
      <x:c r="O36" s="25" t="str">
        <x:v>Feedback-Directed Random Test Generation/Result/Cli_10/result.json</x:v>
      </x:c>
      <x:c r="P36"/>
      <x:c r="Q36" s="21" t="str"/>
      <x:c r="R36" s="21" t="str"/>
      <x:c r="S36" s="21" t="str"/>
      <x:c r="T36" s="17" t="str">
        <x:v>false</x:v>
      </x:c>
      <x:c r="U36" s="17" t="str">
        <x:v>true</x:v>
      </x:c>
      <x:c r="V36" s="17" t="str">
        <x:v>false</x:v>
      </x:c>
    </x:row>
    <x:row r="37" ht="80" customHeight="1">
      <x:c r="A37" s="25" t="str">
        <x:v>Cli</x:v>
      </x:c>
      <x:c r="B37" s="25" t="n">
        <x:v>11</x:v>
      </x:c>
      <x:c r="C37" s="25" t="str">
        <x:v>Round1</x:v>
      </x:c>
      <x:c r="D37" s="25" t="str">
        <x:v>INCONCLUSIVE</x:v>
      </x:c>
      <x:c r="E37" s="25" t="str">
        <x:v>N/A</x:v>
      </x:c>
      <x:c r="F37" s="26" t="str">
        <x:v>Fixed also failed; assertion failure cannot be attributed to this bug; Assertions failed with measured coverage; paired execution and stage checks determine status</x:v>
      </x:c>
      <x:c r="G37" s="25" t="str">
        <x:v>true</x:v>
      </x:c>
      <x:c r="H37" s="25" t="str">
        <x:v>INCONCLUSIVE</x:v>
      </x:c>
      <x:c r="I37" s="25" t="str">
        <x:v>FAIL</x:v>
      </x:c>
      <x:c r="J37" s="25" t="str">
        <x:v>FAIL</x:v>
      </x:c>
      <x:c r="K37" s="25" t="n">
        <x:v>2</x:v>
      </x:c>
      <x:c r="L37" s="27" t="b">
        <x:v>0</x:v>
      </x:c>
      <x:c r="M37" s="25" t="str">
        <x:v>Feedback-Directed Random Test Generation/rounds/Round1/state/Cli.json</x:v>
      </x:c>
      <x:c r="N37" s="25" t="str">
        <x:v>Feedback-Directed Random Test Generation/Result/Cli_11/result.json</x:v>
      </x:c>
      <x:c r="O37" s="25" t="str">
        <x:v>Feedback-Directed Random Test Generation/Result/Cli_11/result.json</x:v>
      </x:c>
      <x:c r="P37"/>
      <x:c r="Q37" s="21" t="str"/>
      <x:c r="R37" s="21" t="str"/>
      <x:c r="S37" s="21" t="str"/>
      <x:c r="T37" s="17" t="str">
        <x:v>false</x:v>
      </x:c>
      <x:c r="U37" s="17" t="str">
        <x:v>true</x:v>
      </x:c>
      <x:c r="V37" s="17" t="str">
        <x:v>false</x:v>
      </x:c>
    </x:row>
    <x:row r="38" ht="80" customHeight="1">
      <x:c r="A38" s="25" t="str">
        <x:v>Cli</x:v>
      </x:c>
      <x:c r="B38" s="25" t="n">
        <x:v>12</x:v>
      </x:c>
      <x:c r="C38" s="25" t="str">
        <x:v>Round1</x:v>
      </x:c>
      <x:c r="D38" s="25" t="str">
        <x:v>INCONCLUSIVE</x:v>
      </x:c>
      <x:c r="E38" s="25" t="str">
        <x:v>N/A</x:v>
      </x:c>
      <x:c r="F38" s="26" t="str">
        <x:v>Fixed also failed; assertion failure cannot be attributed to this bug; Assertions failed with measured coverage; paired execution and stage checks determine status</x:v>
      </x:c>
      <x:c r="G38" s="25" t="str">
        <x:v>true</x:v>
      </x:c>
      <x:c r="H38" s="25" t="str">
        <x:v>INCONCLUSIVE</x:v>
      </x:c>
      <x:c r="I38" s="25" t="str">
        <x:v>FAIL</x:v>
      </x:c>
      <x:c r="J38" s="25" t="str">
        <x:v>FAIL</x:v>
      </x:c>
      <x:c r="K38" s="25" t="n">
        <x:v>11</x:v>
      </x:c>
      <x:c r="L38" s="27" t="b">
        <x:v>0</x:v>
      </x:c>
      <x:c r="M38" s="25" t="str">
        <x:v>Feedback-Directed Random Test Generation/rounds/Round1/state/Cli.json</x:v>
      </x:c>
      <x:c r="N38" s="25" t="str">
        <x:v>Feedback-Directed Random Test Generation/Result/Cli_12/result.json</x:v>
      </x:c>
      <x:c r="O38" s="25" t="str">
        <x:v>Feedback-Directed Random Test Generation/Result/Cli_12/result.json</x:v>
      </x:c>
      <x:c r="P38"/>
      <x:c r="Q38" s="21" t="str"/>
      <x:c r="R38" s="21" t="str"/>
      <x:c r="S38" s="21" t="str"/>
      <x:c r="T38" s="17" t="str">
        <x:v>false</x:v>
      </x:c>
      <x:c r="U38" s="17" t="str">
        <x:v>true</x:v>
      </x:c>
      <x:c r="V38" s="17" t="str">
        <x:v>false</x:v>
      </x:c>
    </x:row>
    <x:row r="39" ht="80" customHeight="1">
      <x:c r="A39" s="25" t="str">
        <x:v>Cli</x:v>
      </x:c>
      <x:c r="B39" s="25" t="n">
        <x:v>13</x:v>
      </x:c>
      <x:c r="C39" s="25" t="str">
        <x:v>Round1</x:v>
      </x:c>
      <x:c r="D39" s="25" t="str">
        <x:v>INCONCLUSIVE</x:v>
      </x:c>
      <x:c r="E39" s="25" t="str">
        <x:v>N/A</x:v>
      </x:c>
      <x:c r="F39" s="26" t="str">
        <x:v>Fixed also failed; assertion failure cannot be attributed to this bug; Assertions failed with measured coverage; paired execution and stage checks determine status</x:v>
      </x:c>
      <x:c r="G39" s="25" t="str">
        <x:v>true</x:v>
      </x:c>
      <x:c r="H39" s="25" t="str">
        <x:v>INCONCLUSIVE</x:v>
      </x:c>
      <x:c r="I39" s="25" t="str">
        <x:v>FAIL</x:v>
      </x:c>
      <x:c r="J39" s="25" t="str">
        <x:v>FAIL</x:v>
      </x:c>
      <x:c r="K39" s="25" t="n">
        <x:v>8</x:v>
      </x:c>
      <x:c r="L39" s="27" t="b">
        <x:v>0</x:v>
      </x:c>
      <x:c r="M39" s="25" t="str">
        <x:v>Feedback-Directed Random Test Generation/rounds/Round1/state/Cli.json</x:v>
      </x:c>
      <x:c r="N39" s="25" t="str">
        <x:v>Feedback-Directed Random Test Generation/Result/Cli_13/result.json</x:v>
      </x:c>
      <x:c r="O39" s="25" t="str">
        <x:v>Feedback-Directed Random Test Generation/Result/Cli_13/result.json</x:v>
      </x:c>
      <x:c r="P39"/>
      <x:c r="Q39" s="21" t="str"/>
      <x:c r="R39" s="21" t="str"/>
      <x:c r="S39" s="21" t="str"/>
      <x:c r="T39" s="17" t="str">
        <x:v>false</x:v>
      </x:c>
      <x:c r="U39" s="17" t="str">
        <x:v>true</x:v>
      </x:c>
      <x:c r="V39" s="17" t="str">
        <x:v>false</x:v>
      </x:c>
    </x:row>
    <x:row r="40" ht="80" customHeight="1">
      <x:c r="A40" s="25" t="str">
        <x:v>Cli</x:v>
      </x:c>
      <x:c r="B40" s="25" t="n">
        <x:v>14</x:v>
      </x:c>
      <x:c r="C40" s="25" t="str">
        <x:v>Round1</x:v>
      </x:c>
      <x:c r="D40" s="25" t="str">
        <x:v>INCONCLUSIVE</x:v>
      </x:c>
      <x:c r="E40" s="25" t="str">
        <x:v>N/A</x:v>
      </x:c>
      <x:c r="F40" s="26" t="str">
        <x:v>Fixed also failed; assertion failure cannot be attributed to this bug; Assertions failed with measured coverage; paired execution and stage checks determine status</x:v>
      </x:c>
      <x:c r="G40" s="25" t="str">
        <x:v>true</x:v>
      </x:c>
      <x:c r="H40" s="25" t="str">
        <x:v>INCONCLUSIVE</x:v>
      </x:c>
      <x:c r="I40" s="25" t="str">
        <x:v>FAIL</x:v>
      </x:c>
      <x:c r="J40" s="25" t="str">
        <x:v>FAIL</x:v>
      </x:c>
      <x:c r="K40" s="25" t="n">
        <x:v>4</x:v>
      </x:c>
      <x:c r="L40" s="27" t="b">
        <x:v>0</x:v>
      </x:c>
      <x:c r="M40" s="25" t="str">
        <x:v>Feedback-Directed Random Test Generation/rounds/Round1/state/Cli.json</x:v>
      </x:c>
      <x:c r="N40" s="25" t="str">
        <x:v>Feedback-Directed Random Test Generation/Result/Cli_14/result.json</x:v>
      </x:c>
      <x:c r="O40" s="25" t="str">
        <x:v>Feedback-Directed Random Test Generation/Result/Cli_14/result.json</x:v>
      </x:c>
      <x:c r="P40"/>
      <x:c r="Q40" s="21" t="str"/>
      <x:c r="R40" s="21" t="str"/>
      <x:c r="S40" s="21" t="str"/>
      <x:c r="T40" s="17" t="str">
        <x:v>false</x:v>
      </x:c>
      <x:c r="U40" s="17" t="str">
        <x:v>true</x:v>
      </x:c>
      <x:c r="V40" s="17" t="str">
        <x:v>false</x:v>
      </x:c>
    </x:row>
    <x:row r="41" ht="80" customHeight="1">
      <x:c r="A41" s="25" t="str">
        <x:v>Cli</x:v>
      </x:c>
      <x:c r="B41" s="25" t="n">
        <x:v>15</x:v>
      </x:c>
      <x:c r="C41" s="25" t="str">
        <x:v>Round1</x:v>
      </x:c>
      <x:c r="D41" s="25" t="str">
        <x:v>INCONCLUSIVE</x:v>
      </x:c>
      <x:c r="E41" s="25" t="str">
        <x:v>N/A</x:v>
      </x:c>
      <x:c r="F41" s="26" t="str">
        <x:v>Fixed also failed; assertion failure cannot be attributed to this bug; Assertions failed with measured coverage; paired execution and stage checks determine status</x:v>
      </x:c>
      <x:c r="G41" s="25" t="str">
        <x:v>true</x:v>
      </x:c>
      <x:c r="H41" s="25" t="str">
        <x:v>INCONCLUSIVE</x:v>
      </x:c>
      <x:c r="I41" s="25" t="str">
        <x:v>FAIL</x:v>
      </x:c>
      <x:c r="J41" s="25" t="str">
        <x:v>FAIL</x:v>
      </x:c>
      <x:c r="K41" s="25" t="n">
        <x:v>2</x:v>
      </x:c>
      <x:c r="L41" s="27" t="b">
        <x:v>0</x:v>
      </x:c>
      <x:c r="M41" s="25" t="str">
        <x:v>Feedback-Directed Random Test Generation/rounds/Round1/state/Cli.json</x:v>
      </x:c>
      <x:c r="N41" s="25" t="str">
        <x:v>Feedback-Directed Random Test Generation/Result/Cli_15/result.json</x:v>
      </x:c>
      <x:c r="O41" s="25" t="str">
        <x:v>Feedback-Directed Random Test Generation/Result/Cli_15/result.json</x:v>
      </x:c>
      <x:c r="P41"/>
      <x:c r="Q41" s="21" t="str"/>
      <x:c r="R41" s="21" t="str"/>
      <x:c r="S41" s="21" t="str"/>
      <x:c r="T41" s="17" t="str">
        <x:v>false</x:v>
      </x:c>
      <x:c r="U41" s="17" t="str">
        <x:v>true</x:v>
      </x:c>
      <x:c r="V41" s="17" t="str">
        <x:v>false</x:v>
      </x:c>
    </x:row>
    <x:row r="42" ht="80" customHeight="1">
      <x:c r="A42" s="25" t="str">
        <x:v>Cli</x:v>
      </x:c>
      <x:c r="B42" s="25" t="n">
        <x:v>16</x:v>
      </x:c>
      <x:c r="C42" s="25" t="str">
        <x:v>Round1</x:v>
      </x:c>
      <x:c r="D42" s="25" t="str">
        <x:v>INCONCLUSIVE</x:v>
      </x:c>
      <x:c r="E42" s="25" t="str">
        <x:v>N/A</x:v>
      </x:c>
      <x:c r="F42" s="26" t="str">
        <x:v>Fixed also failed; assertion failure cannot be attributed to this bug; Assertions failed with measured coverage; paired execution and stage checks determine status</x:v>
      </x:c>
      <x:c r="G42" s="25" t="str">
        <x:v>true</x:v>
      </x:c>
      <x:c r="H42" s="25" t="str">
        <x:v>INCONCLUSIVE</x:v>
      </x:c>
      <x:c r="I42" s="25" t="str">
        <x:v>FAIL</x:v>
      </x:c>
      <x:c r="J42" s="25" t="str">
        <x:v>FAIL</x:v>
      </x:c>
      <x:c r="K42" s="25" t="n">
        <x:v>4</x:v>
      </x:c>
      <x:c r="L42" s="27" t="b">
        <x:v>0</x:v>
      </x:c>
      <x:c r="M42" s="25" t="str">
        <x:v>Feedback-Directed Random Test Generation/rounds/Round1/state/Cli.json</x:v>
      </x:c>
      <x:c r="N42" s="25" t="str">
        <x:v>Feedback-Directed Random Test Generation/Result/Cli_16/result.json</x:v>
      </x:c>
      <x:c r="O42" s="25" t="str">
        <x:v>Feedback-Directed Random Test Generation/Result/Cli_16/result.json</x:v>
      </x:c>
      <x:c r="P42"/>
      <x:c r="Q42" s="21" t="str"/>
      <x:c r="R42" s="21" t="str"/>
      <x:c r="S42" s="21" t="str"/>
      <x:c r="T42" s="17" t="str">
        <x:v>false</x:v>
      </x:c>
      <x:c r="U42" s="17" t="str">
        <x:v>true</x:v>
      </x:c>
      <x:c r="V42" s="17" t="str">
        <x:v>false</x:v>
      </x:c>
    </x:row>
    <x:row r="43" ht="80" customHeight="1">
      <x:c r="A43" s="25" t="str">
        <x:v>Cli</x:v>
      </x:c>
      <x:c r="B43" s="25" t="n">
        <x:v>17</x:v>
      </x:c>
      <x:c r="C43" s="25" t="str">
        <x:v>Round1</x:v>
      </x:c>
      <x:c r="D43" s="25" t="str">
        <x:v>INCONCLUSIVE</x:v>
      </x:c>
      <x:c r="E43" s="25" t="str">
        <x:v>N/A</x:v>
      </x:c>
      <x:c r="F43" s="26" t="str">
        <x:v>Fixed also failed; assertion failure cannot be attributed to this bug; Assertions failed with measured coverage; paired execution and stage checks determine status</x:v>
      </x:c>
      <x:c r="G43" s="25" t="str">
        <x:v>true</x:v>
      </x:c>
      <x:c r="H43" s="25" t="str">
        <x:v>INCONCLUSIVE</x:v>
      </x:c>
      <x:c r="I43" s="25" t="str">
        <x:v>FAIL</x:v>
      </x:c>
      <x:c r="J43" s="25" t="str">
        <x:v>FAIL</x:v>
      </x:c>
      <x:c r="K43" s="25" t="n">
        <x:v>14</x:v>
      </x:c>
      <x:c r="L43" s="27" t="b">
        <x:v>0</x:v>
      </x:c>
      <x:c r="M43" s="25" t="str">
        <x:v>Feedback-Directed Random Test Generation/rounds/Round1/state/Cli.json</x:v>
      </x:c>
      <x:c r="N43" s="25" t="str">
        <x:v>Feedback-Directed Random Test Generation/Result/Cli_17/result.json</x:v>
      </x:c>
      <x:c r="O43" s="25" t="str">
        <x:v>Feedback-Directed Random Test Generation/Result/Cli_17/result.json</x:v>
      </x:c>
      <x:c r="P43"/>
      <x:c r="Q43" s="21" t="str"/>
      <x:c r="R43" s="21" t="str"/>
      <x:c r="S43" s="21" t="str"/>
      <x:c r="T43" s="17" t="str">
        <x:v>false</x:v>
      </x:c>
      <x:c r="U43" s="17" t="str">
        <x:v>true</x:v>
      </x:c>
      <x:c r="V43" s="17" t="str">
        <x:v>false</x:v>
      </x:c>
    </x:row>
    <x:row r="44" ht="80" customHeight="1">
      <x:c r="A44" s="25" t="str">
        <x:v>Cli</x:v>
      </x:c>
      <x:c r="B44" s="25" t="n">
        <x:v>18</x:v>
      </x:c>
      <x:c r="C44" s="25" t="str">
        <x:v>Round1</x:v>
      </x:c>
      <x:c r="D44" s="25" t="str">
        <x:v>INCONCLUSIVE</x:v>
      </x:c>
      <x:c r="E44" s="25" t="str">
        <x:v>N/A</x:v>
      </x:c>
      <x:c r="F44" s="26" t="str">
        <x:v>Fixed also failed; assertion failure cannot be attributed to this bug; Assertions failed with measured coverage; paired execution and stage checks determine status</x:v>
      </x:c>
      <x:c r="G44" s="25" t="str">
        <x:v>true</x:v>
      </x:c>
      <x:c r="H44" s="25" t="str">
        <x:v>INCONCLUSIVE</x:v>
      </x:c>
      <x:c r="I44" s="25" t="str">
        <x:v>FAIL</x:v>
      </x:c>
      <x:c r="J44" s="25" t="str">
        <x:v>FAIL</x:v>
      </x:c>
      <x:c r="K44" s="25" t="n">
        <x:v>14</x:v>
      </x:c>
      <x:c r="L44" s="27" t="b">
        <x:v>0</x:v>
      </x:c>
      <x:c r="M44" s="25" t="str">
        <x:v>Feedback-Directed Random Test Generation/rounds/Round1/state/Cli.json</x:v>
      </x:c>
      <x:c r="N44" s="25" t="str">
        <x:v>Feedback-Directed Random Test Generation/Result/Cli_18/result.json</x:v>
      </x:c>
      <x:c r="O44" s="25" t="str">
        <x:v>Feedback-Directed Random Test Generation/Result/Cli_18/result.json</x:v>
      </x:c>
      <x:c r="P44"/>
      <x:c r="Q44" s="21" t="str"/>
      <x:c r="R44" s="21" t="str"/>
      <x:c r="S44" s="21" t="str"/>
      <x:c r="T44" s="17" t="str">
        <x:v>false</x:v>
      </x:c>
      <x:c r="U44" s="17" t="str">
        <x:v>true</x:v>
      </x:c>
      <x:c r="V44" s="17" t="str">
        <x:v>false</x:v>
      </x:c>
    </x:row>
    <x:row r="45" ht="80" customHeight="1">
      <x:c r="A45" s="25" t="str">
        <x:v>Cli</x:v>
      </x:c>
      <x:c r="B45" s="25" t="n">
        <x:v>19</x:v>
      </x:c>
      <x:c r="C45" s="25" t="str">
        <x:v>Round1</x:v>
      </x:c>
      <x:c r="D45" s="25" t="str">
        <x:v>INCONCLUSIVE</x:v>
      </x:c>
      <x:c r="E45" s="25" t="str">
        <x:v>N/A</x:v>
      </x:c>
      <x:c r="F45" s="26" t="str">
        <x:v>Fixed also failed; assertion failure cannot be attributed to this bug; Assertions failed with measured coverage; paired execution and stage checks determine status</x:v>
      </x:c>
      <x:c r="G45" s="25" t="str">
        <x:v>true</x:v>
      </x:c>
      <x:c r="H45" s="25" t="str">
        <x:v>INCONCLUSIVE</x:v>
      </x:c>
      <x:c r="I45" s="25" t="str">
        <x:v>FAIL</x:v>
      </x:c>
      <x:c r="J45" s="25" t="str">
        <x:v>FAIL</x:v>
      </x:c>
      <x:c r="K45" s="25" t="n">
        <x:v>13</x:v>
      </x:c>
      <x:c r="L45" s="27" t="b">
        <x:v>0</x:v>
      </x:c>
      <x:c r="M45" s="25" t="str">
        <x:v>Feedback-Directed Random Test Generation/rounds/Round1/state/Cli.json</x:v>
      </x:c>
      <x:c r="N45" s="25" t="str">
        <x:v>Feedback-Directed Random Test Generation/Result/Cli_19/result.json</x:v>
      </x:c>
      <x:c r="O45" s="25" t="str">
        <x:v>Feedback-Directed Random Test Generation/Result/Cli_19/result.json</x:v>
      </x:c>
      <x:c r="P45"/>
      <x:c r="Q45" s="21" t="str"/>
      <x:c r="R45" s="21" t="str"/>
      <x:c r="S45" s="21" t="str"/>
      <x:c r="T45" s="17" t="str">
        <x:v>false</x:v>
      </x:c>
      <x:c r="U45" s="17" t="str">
        <x:v>true</x:v>
      </x:c>
      <x:c r="V45" s="17" t="str">
        <x:v>false</x:v>
      </x:c>
    </x:row>
    <x:row r="46" ht="80" customHeight="1">
      <x:c r="A46" s="25" t="str">
        <x:v>Cli</x:v>
      </x:c>
      <x:c r="B46" s="25" t="n">
        <x:v>20</x:v>
      </x:c>
      <x:c r="C46" s="25" t="str">
        <x:v>Round1</x:v>
      </x:c>
      <x:c r="D46" s="25" t="str">
        <x:v>INCONCLUSIVE</x:v>
      </x:c>
      <x:c r="E46" s="25" t="str">
        <x:v>N/A</x:v>
      </x:c>
      <x:c r="F46" s="26" t="str">
        <x:v>Fixed also failed; assertion failure cannot be attributed to this bug; Assertions failed with measured coverage; paired execution and stage checks determine status</x:v>
      </x:c>
      <x:c r="G46" s="25" t="str">
        <x:v>true</x:v>
      </x:c>
      <x:c r="H46" s="25" t="str">
        <x:v>INCONCLUSIVE</x:v>
      </x:c>
      <x:c r="I46" s="25" t="str">
        <x:v>FAIL</x:v>
      </x:c>
      <x:c r="J46" s="25" t="str">
        <x:v>FAIL</x:v>
      </x:c>
      <x:c r="K46" s="25" t="n">
        <x:v>12</x:v>
      </x:c>
      <x:c r="L46" s="27" t="b">
        <x:v>0</x:v>
      </x:c>
      <x:c r="M46" s="25" t="str">
        <x:v>Feedback-Directed Random Test Generation/rounds/Round1/state/Cli.json</x:v>
      </x:c>
      <x:c r="N46" s="25" t="str">
        <x:v>Feedback-Directed Random Test Generation/Result/Cli_20/result.json</x:v>
      </x:c>
      <x:c r="O46" s="25" t="str">
        <x:v>Feedback-Directed Random Test Generation/Result/Cli_20/result.json</x:v>
      </x:c>
      <x:c r="P46"/>
      <x:c r="Q46" s="21" t="str"/>
      <x:c r="R46" s="21" t="str"/>
      <x:c r="S46" s="21" t="str"/>
      <x:c r="T46" s="17" t="str">
        <x:v>false</x:v>
      </x:c>
      <x:c r="U46" s="17" t="str">
        <x:v>true</x:v>
      </x:c>
      <x:c r="V46" s="17" t="str">
        <x:v>false</x:v>
      </x:c>
    </x:row>
    <x:row r="47" ht="80" customHeight="1">
      <x:c r="A47" s="25" t="str">
        <x:v>Cli</x:v>
      </x:c>
      <x:c r="B47" s="25" t="n">
        <x:v>21</x:v>
      </x:c>
      <x:c r="C47" s="25" t="str">
        <x:v>Round1</x:v>
      </x:c>
      <x:c r="D47" s="25" t="str">
        <x:v>INCONCLUSIVE</x:v>
      </x:c>
      <x:c r="E47" s="25" t="str">
        <x:v>N/A</x:v>
      </x:c>
      <x:c r="F47" s="26" t="str">
        <x:v>Fixed also failed; assertion failure cannot be attributed to this bug; Assertions failed with measured coverage; paired execution and stage checks determine status</x:v>
      </x:c>
      <x:c r="G47" s="25" t="str">
        <x:v>true</x:v>
      </x:c>
      <x:c r="H47" s="25" t="str">
        <x:v>INCONCLUSIVE</x:v>
      </x:c>
      <x:c r="I47" s="25" t="str">
        <x:v>FAIL</x:v>
      </x:c>
      <x:c r="J47" s="25" t="str">
        <x:v>FAIL</x:v>
      </x:c>
      <x:c r="K47" s="25" t="n">
        <x:v>7</x:v>
      </x:c>
      <x:c r="L47" s="27" t="b">
        <x:v>0</x:v>
      </x:c>
      <x:c r="M47" s="25" t="str">
        <x:v>Feedback-Directed Random Test Generation/rounds/Round1/state/Cli.json</x:v>
      </x:c>
      <x:c r="N47" s="25" t="str">
        <x:v>Feedback-Directed Random Test Generation/Result/Cli_21/result.json</x:v>
      </x:c>
      <x:c r="O47" s="25" t="str">
        <x:v>Feedback-Directed Random Test Generation/Result/Cli_21/result.json</x:v>
      </x:c>
      <x:c r="P47"/>
      <x:c r="Q47" s="21" t="str"/>
      <x:c r="R47" s="21" t="str"/>
      <x:c r="S47" s="21" t="str"/>
      <x:c r="T47" s="17" t="str">
        <x:v>false</x:v>
      </x:c>
      <x:c r="U47" s="17" t="str">
        <x:v>true</x:v>
      </x:c>
      <x:c r="V47" s="17" t="str">
        <x:v>false</x:v>
      </x:c>
    </x:row>
    <x:row r="48" ht="80" customHeight="1">
      <x:c r="A48" s="25" t="str">
        <x:v>Cli</x:v>
      </x:c>
      <x:c r="B48" s="25" t="n">
        <x:v>22</x:v>
      </x:c>
      <x:c r="C48" s="25" t="str">
        <x:v>Round1</x:v>
      </x:c>
      <x:c r="D48" s="25" t="str">
        <x:v>INCONCLUSIVE</x:v>
      </x:c>
      <x:c r="E48" s="25" t="str">
        <x:v>N/A</x:v>
      </x:c>
      <x:c r="F48" s="26" t="str">
        <x:v>Fixed also failed; assertion failure cannot be attributed to this bug; Assertions failed with measured coverage; paired execution and stage checks determine status</x:v>
      </x:c>
      <x:c r="G48" s="25" t="str">
        <x:v>true</x:v>
      </x:c>
      <x:c r="H48" s="25" t="str">
        <x:v>INCONCLUSIVE</x:v>
      </x:c>
      <x:c r="I48" s="25" t="str">
        <x:v>FAIL</x:v>
      </x:c>
      <x:c r="J48" s="25" t="str">
        <x:v>FAIL</x:v>
      </x:c>
      <x:c r="K48" s="25" t="n">
        <x:v>13</x:v>
      </x:c>
      <x:c r="L48" s="27" t="b">
        <x:v>0</x:v>
      </x:c>
      <x:c r="M48" s="25" t="str">
        <x:v>Feedback-Directed Random Test Generation/rounds/Round1/state/Cli.json</x:v>
      </x:c>
      <x:c r="N48" s="25" t="str">
        <x:v>Feedback-Directed Random Test Generation/Result/Cli_22/result.json</x:v>
      </x:c>
      <x:c r="O48" s="25" t="str">
        <x:v>Feedback-Directed Random Test Generation/Result/Cli_22/result.json</x:v>
      </x:c>
      <x:c r="P48"/>
      <x:c r="Q48" s="21" t="str"/>
      <x:c r="R48" s="21" t="str"/>
      <x:c r="S48" s="21" t="str"/>
      <x:c r="T48" s="17" t="str">
        <x:v>false</x:v>
      </x:c>
      <x:c r="U48" s="17" t="str">
        <x:v>true</x:v>
      </x:c>
      <x:c r="V48" s="17" t="str">
        <x:v>false</x:v>
      </x:c>
    </x:row>
    <x:row r="49" ht="80" customHeight="1">
      <x:c r="A49" s="25" t="str">
        <x:v>Cli</x:v>
      </x:c>
      <x:c r="B49" s="25" t="n">
        <x:v>23</x:v>
      </x:c>
      <x:c r="C49" s="25" t="str">
        <x:v>Round1</x:v>
      </x:c>
      <x:c r="D49" s="25" t="str">
        <x:v>INCONCLUSIVE</x:v>
      </x:c>
      <x:c r="E49" s="25" t="str">
        <x:v>N/A</x:v>
      </x:c>
      <x:c r="F49" s="26" t="str">
        <x:v>Fixed also failed; assertion failure cannot be attributed to this bug; Assertions failed with measured coverage; paired execution and stage checks determine status</x:v>
      </x:c>
      <x:c r="G49" s="25" t="str">
        <x:v>true</x:v>
      </x:c>
      <x:c r="H49" s="25" t="str">
        <x:v>INCONCLUSIVE</x:v>
      </x:c>
      <x:c r="I49" s="25" t="str">
        <x:v>FAIL</x:v>
      </x:c>
      <x:c r="J49" s="25" t="str">
        <x:v>FAIL</x:v>
      </x:c>
      <x:c r="K49" s="25" t="n">
        <x:v>11</x:v>
      </x:c>
      <x:c r="L49" s="27" t="b">
        <x:v>0</x:v>
      </x:c>
      <x:c r="M49" s="25" t="str">
        <x:v>Feedback-Directed Random Test Generation/rounds/Round1/state/Cli.json</x:v>
      </x:c>
      <x:c r="N49" s="25" t="str">
        <x:v>Feedback-Directed Random Test Generation/Result/Cli_23/result.json</x:v>
      </x:c>
      <x:c r="O49" s="25" t="str">
        <x:v>Feedback-Directed Random Test Generation/Result/Cli_23/result.json</x:v>
      </x:c>
      <x:c r="P49"/>
      <x:c r="Q49" s="21" t="str"/>
      <x:c r="R49" s="21" t="str"/>
      <x:c r="S49" s="21" t="str"/>
      <x:c r="T49" s="17" t="str">
        <x:v>false</x:v>
      </x:c>
      <x:c r="U49" s="17" t="str">
        <x:v>true</x:v>
      </x:c>
      <x:c r="V49" s="17" t="str">
        <x:v>false</x:v>
      </x:c>
    </x:row>
    <x:row r="50" ht="80" customHeight="1">
      <x:c r="A50" s="25" t="str">
        <x:v>Cli</x:v>
      </x:c>
      <x:c r="B50" s="25" t="n">
        <x:v>24</x:v>
      </x:c>
      <x:c r="C50" s="25" t="str">
        <x:v>Round1</x:v>
      </x:c>
      <x:c r="D50" s="25" t="str">
        <x:v>INCONCLUSIVE</x:v>
      </x:c>
      <x:c r="E50" s="25" t="str">
        <x:v>N/A</x:v>
      </x:c>
      <x:c r="F50" s="26" t="str">
        <x:v>Fixed also failed; assertion failure cannot be attributed to this bug; Assertions failed with measured coverage; paired execution and stage checks determine status</x:v>
      </x:c>
      <x:c r="G50" s="25" t="str">
        <x:v>true</x:v>
      </x:c>
      <x:c r="H50" s="25" t="str">
        <x:v>INCONCLUSIVE</x:v>
      </x:c>
      <x:c r="I50" s="25" t="str">
        <x:v>FAIL</x:v>
      </x:c>
      <x:c r="J50" s="25" t="str">
        <x:v>FAIL</x:v>
      </x:c>
      <x:c r="K50" s="25" t="n">
        <x:v>12</x:v>
      </x:c>
      <x:c r="L50" s="27" t="b">
        <x:v>0</x:v>
      </x:c>
      <x:c r="M50" s="25" t="str">
        <x:v>Feedback-Directed Random Test Generation/rounds/Round1/state/Cli.json</x:v>
      </x:c>
      <x:c r="N50" s="25" t="str">
        <x:v>Feedback-Directed Random Test Generation/Result/Cli_24/result.json</x:v>
      </x:c>
      <x:c r="O50" s="25" t="str">
        <x:v>Feedback-Directed Random Test Generation/Result/Cli_24/result.json</x:v>
      </x:c>
      <x:c r="P50"/>
      <x:c r="Q50" s="21" t="str"/>
      <x:c r="R50" s="21" t="str"/>
      <x:c r="S50" s="21" t="str"/>
      <x:c r="T50" s="17" t="str">
        <x:v>false</x:v>
      </x:c>
      <x:c r="U50" s="17" t="str">
        <x:v>true</x:v>
      </x:c>
      <x:c r="V50" s="17" t="str">
        <x:v>false</x:v>
      </x:c>
    </x:row>
    <x:row r="51" ht="80" customHeight="1">
      <x:c r="A51" s="25" t="str">
        <x:v>Cli</x:v>
      </x:c>
      <x:c r="B51" s="25" t="n">
        <x:v>25</x:v>
      </x:c>
      <x:c r="C51" s="25" t="str">
        <x:v>Round1</x:v>
      </x:c>
      <x:c r="D51" s="25" t="str">
        <x:v>INCONCLUSIVE</x:v>
      </x:c>
      <x:c r="E51" s="25" t="str">
        <x:v>N/A</x:v>
      </x:c>
      <x:c r="F51" s="26" t="str">
        <x:v>Fixed also failed; assertion failure cannot be attributed to this bug; Assertions failed with measured coverage; paired execution and stage checks determine status</x:v>
      </x:c>
      <x:c r="G51" s="25" t="str">
        <x:v>true</x:v>
      </x:c>
      <x:c r="H51" s="25" t="str">
        <x:v>INCONCLUSIVE</x:v>
      </x:c>
      <x:c r="I51" s="25" t="str">
        <x:v>FAIL</x:v>
      </x:c>
      <x:c r="J51" s="25" t="str">
        <x:v>FAIL</x:v>
      </x:c>
      <x:c r="K51" s="25" t="n">
        <x:v>11</x:v>
      </x:c>
      <x:c r="L51" s="27" t="b">
        <x:v>0</x:v>
      </x:c>
      <x:c r="M51" s="25" t="str">
        <x:v>Feedback-Directed Random Test Generation/rounds/Round1/state/Cli.json</x:v>
      </x:c>
      <x:c r="N51" s="25" t="str">
        <x:v>Feedback-Directed Random Test Generation/Result/Cli_25/result.json</x:v>
      </x:c>
      <x:c r="O51" s="25" t="str">
        <x:v>Feedback-Directed Random Test Generation/Result/Cli_25/result.json</x:v>
      </x:c>
      <x:c r="P51"/>
      <x:c r="Q51" s="21" t="str"/>
      <x:c r="R51" s="21" t="str"/>
      <x:c r="S51" s="21" t="str"/>
      <x:c r="T51" s="17" t="str">
        <x:v>false</x:v>
      </x:c>
      <x:c r="U51" s="17" t="str">
        <x:v>true</x:v>
      </x:c>
      <x:c r="V51" s="17" t="str">
        <x:v>false</x:v>
      </x:c>
    </x:row>
    <x:row r="52" ht="80" customHeight="1">
      <x:c r="A52" s="25" t="str">
        <x:v>Cli</x:v>
      </x:c>
      <x:c r="B52" s="25" t="n">
        <x:v>26</x:v>
      </x:c>
      <x:c r="C52" s="25" t="str">
        <x:v>Round1</x:v>
      </x:c>
      <x:c r="D52" s="25" t="str">
        <x:v>INCONCLUSIVE</x:v>
      </x:c>
      <x:c r="E52" s="25" t="str">
        <x:v>N/A</x:v>
      </x:c>
      <x:c r="F52" s="26" t="str">
        <x:v>Fixed also failed; assertion failure cannot be attributed to this bug; Assertions failed with measured coverage; paired execution and stage checks determine status</x:v>
      </x:c>
      <x:c r="G52" s="25" t="str">
        <x:v>true</x:v>
      </x:c>
      <x:c r="H52" s="25" t="str">
        <x:v>INCONCLUSIVE</x:v>
      </x:c>
      <x:c r="I52" s="25" t="str">
        <x:v>FAIL</x:v>
      </x:c>
      <x:c r="J52" s="25" t="str">
        <x:v>FAIL</x:v>
      </x:c>
      <x:c r="K52" s="25" t="n">
        <x:v>8</x:v>
      </x:c>
      <x:c r="L52" s="27" t="b">
        <x:v>0</x:v>
      </x:c>
      <x:c r="M52" s="25" t="str">
        <x:v>Feedback-Directed Random Test Generation/rounds/Round1/state/Cli.json</x:v>
      </x:c>
      <x:c r="N52" s="25" t="str">
        <x:v>Feedback-Directed Random Test Generation/Result/Cli_26/result.json</x:v>
      </x:c>
      <x:c r="O52" s="25" t="str">
        <x:v>Feedback-Directed Random Test Generation/Result/Cli_26/result.json</x:v>
      </x:c>
      <x:c r="P52"/>
      <x:c r="Q52" s="21" t="str"/>
      <x:c r="R52" s="21" t="str"/>
      <x:c r="S52" s="21" t="str"/>
      <x:c r="T52" s="17" t="str">
        <x:v>false</x:v>
      </x:c>
      <x:c r="U52" s="17" t="str">
        <x:v>true</x:v>
      </x:c>
      <x:c r="V52" s="17" t="str">
        <x:v>false</x:v>
      </x:c>
    </x:row>
    <x:row r="53" ht="80" customHeight="1">
      <x:c r="A53" s="25" t="str">
        <x:v>Cli</x:v>
      </x:c>
      <x:c r="B53" s="25" t="n">
        <x:v>27</x:v>
      </x:c>
      <x:c r="C53" s="25" t="str">
        <x:v>Round1</x:v>
      </x:c>
      <x:c r="D53" s="25" t="str">
        <x:v>INCONCLUSIVE</x:v>
      </x:c>
      <x:c r="E53" s="25" t="str">
        <x:v>N/A</x:v>
      </x:c>
      <x:c r="F53" s="26" t="str">
        <x:v>Fixed also failed; assertion failure cannot be attributed to this bug; Assertions failed with measured coverage; paired execution and stage checks determine status</x:v>
      </x:c>
      <x:c r="G53" s="25" t="str">
        <x:v>true</x:v>
      </x:c>
      <x:c r="H53" s="25" t="str">
        <x:v>INCONCLUSIVE</x:v>
      </x:c>
      <x:c r="I53" s="25" t="str">
        <x:v>FAIL</x:v>
      </x:c>
      <x:c r="J53" s="25" t="str">
        <x:v>FAIL</x:v>
      </x:c>
      <x:c r="K53" s="25" t="n">
        <x:v>10</x:v>
      </x:c>
      <x:c r="L53" s="27" t="b">
        <x:v>0</x:v>
      </x:c>
      <x:c r="M53" s="25" t="str">
        <x:v>Feedback-Directed Random Test Generation/rounds/Round1/state/Cli.json</x:v>
      </x:c>
      <x:c r="N53" s="25" t="str">
        <x:v>Feedback-Directed Random Test Generation/Result/Cli_27/result.json</x:v>
      </x:c>
      <x:c r="O53" s="25" t="str">
        <x:v>Feedback-Directed Random Test Generation/Result/Cli_27/result.json</x:v>
      </x:c>
      <x:c r="P53"/>
      <x:c r="Q53" s="21" t="str"/>
      <x:c r="R53" s="21" t="str"/>
      <x:c r="S53" s="21" t="str"/>
      <x:c r="T53" s="17" t="str">
        <x:v>false</x:v>
      </x:c>
      <x:c r="U53" s="17" t="str">
        <x:v>true</x:v>
      </x:c>
      <x:c r="V53" s="17" t="str">
        <x:v>false</x:v>
      </x:c>
    </x:row>
    <x:row r="54" ht="80" customHeight="1">
      <x:c r="A54" s="25" t="str">
        <x:v>Cli</x:v>
      </x:c>
      <x:c r="B54" s="25" t="n">
        <x:v>28</x:v>
      </x:c>
      <x:c r="C54" s="25" t="str">
        <x:v>Round1</x:v>
      </x:c>
      <x:c r="D54" s="25" t="str">
        <x:v>INCONCLUSIVE</x:v>
      </x:c>
      <x:c r="E54" s="25" t="str">
        <x:v>N/A</x:v>
      </x:c>
      <x:c r="F54" s="26" t="str">
        <x:v>Fixed also failed; assertion failure cannot be attributed to this bug; Assertions failed with measured coverage; paired execution and stage checks determine status</x:v>
      </x:c>
      <x:c r="G54" s="25" t="str">
        <x:v>true</x:v>
      </x:c>
      <x:c r="H54" s="25" t="str">
        <x:v>INCONCLUSIVE</x:v>
      </x:c>
      <x:c r="I54" s="25" t="str">
        <x:v>FAIL</x:v>
      </x:c>
      <x:c r="J54" s="25" t="str">
        <x:v>FAIL</x:v>
      </x:c>
      <x:c r="K54" s="25" t="n">
        <x:v>2</x:v>
      </x:c>
      <x:c r="L54" s="27" t="b">
        <x:v>0</x:v>
      </x:c>
      <x:c r="M54" s="25" t="str">
        <x:v>Feedback-Directed Random Test Generation/rounds/Round1/state/Cli.json</x:v>
      </x:c>
      <x:c r="N54" s="25" t="str">
        <x:v>Feedback-Directed Random Test Generation/Result/Cli_28/result.json</x:v>
      </x:c>
      <x:c r="O54" s="25" t="str">
        <x:v>Feedback-Directed Random Test Generation/Result/Cli_28/result.json</x:v>
      </x:c>
      <x:c r="P54"/>
      <x:c r="Q54" s="21" t="str"/>
      <x:c r="R54" s="21" t="str"/>
      <x:c r="S54" s="21" t="str"/>
      <x:c r="T54" s="17" t="str">
        <x:v>false</x:v>
      </x:c>
      <x:c r="U54" s="17" t="str">
        <x:v>true</x:v>
      </x:c>
      <x:c r="V54" s="17" t="str">
        <x:v>false</x:v>
      </x:c>
    </x:row>
    <x:row r="55" ht="80" customHeight="1">
      <x:c r="A55" s="25" t="str">
        <x:v>Cli</x:v>
      </x:c>
      <x:c r="B55" s="25" t="n">
        <x:v>29</x:v>
      </x:c>
      <x:c r="C55" s="25" t="str">
        <x:v>Round1</x:v>
      </x:c>
      <x:c r="D55" s="25" t="str">
        <x:v>INCONCLUSIVE</x:v>
      </x:c>
      <x:c r="E55" s="25" t="str">
        <x:v>N/A</x:v>
      </x:c>
      <x:c r="F55" s="26" t="str">
        <x:v>Fixed also failed; assertion failure cannot be attributed to this bug; Assertions failed with measured coverage; paired execution and stage checks determine status</x:v>
      </x:c>
      <x:c r="G55" s="25" t="str">
        <x:v>true</x:v>
      </x:c>
      <x:c r="H55" s="25" t="str">
        <x:v>INCONCLUSIVE</x:v>
      </x:c>
      <x:c r="I55" s="25" t="str">
        <x:v>FAIL</x:v>
      </x:c>
      <x:c r="J55" s="25" t="str">
        <x:v>FAIL</x:v>
      </x:c>
      <x:c r="K55" s="25" t="n">
        <x:v>2</x:v>
      </x:c>
      <x:c r="L55" s="27" t="b">
        <x:v>0</x:v>
      </x:c>
      <x:c r="M55" s="25" t="str">
        <x:v>Feedback-Directed Random Test Generation/rounds/Round1/state/Cli.json</x:v>
      </x:c>
      <x:c r="N55" s="25" t="str">
        <x:v>Feedback-Directed Random Test Generation/Result/Cli_29/result.json</x:v>
      </x:c>
      <x:c r="O55" s="25" t="str">
        <x:v>Feedback-Directed Random Test Generation/Result/Cli_29/result.json</x:v>
      </x:c>
      <x:c r="P55"/>
      <x:c r="Q55" s="21" t="str"/>
      <x:c r="R55" s="21" t="str"/>
      <x:c r="S55" s="21" t="str"/>
      <x:c r="T55" s="17" t="str">
        <x:v>false</x:v>
      </x:c>
      <x:c r="U55" s="17" t="str">
        <x:v>true</x:v>
      </x:c>
      <x:c r="V55" s="17" t="str">
        <x:v>false</x:v>
      </x:c>
    </x:row>
    <x:row r="56" ht="80" customHeight="1">
      <x:c r="A56" s="25" t="str">
        <x:v>Cli</x:v>
      </x:c>
      <x:c r="B56" s="25" t="n">
        <x:v>30</x:v>
      </x:c>
      <x:c r="C56" s="25" t="str">
        <x:v>Round1</x:v>
      </x:c>
      <x:c r="D56" s="25" t="str">
        <x:v>INCONCLUSIVE</x:v>
      </x:c>
      <x:c r="E56" s="25" t="str">
        <x:v>N/A</x:v>
      </x:c>
      <x:c r="F56" s="26" t="str">
        <x:v>Fixed also failed; assertion failure cannot be attributed to this bug; Assertions failed with measured coverage; paired execution and stage checks determine status</x:v>
      </x:c>
      <x:c r="G56" s="25" t="str">
        <x:v>true</x:v>
      </x:c>
      <x:c r="H56" s="25" t="str">
        <x:v>INCONCLUSIVE</x:v>
      </x:c>
      <x:c r="I56" s="25" t="str">
        <x:v>FAIL</x:v>
      </x:c>
      <x:c r="J56" s="25" t="str">
        <x:v>FAIL</x:v>
      </x:c>
      <x:c r="K56" s="25" t="n">
        <x:v>13</x:v>
      </x:c>
      <x:c r="L56" s="27" t="b">
        <x:v>0</x:v>
      </x:c>
      <x:c r="M56" s="25" t="str">
        <x:v>Feedback-Directed Random Test Generation/rounds/Round1/state/Cli.json</x:v>
      </x:c>
      <x:c r="N56" s="25" t="str">
        <x:v>Feedback-Directed Random Test Generation/Result/Cli_30/result.json</x:v>
      </x:c>
      <x:c r="O56" s="25" t="str">
        <x:v>Feedback-Directed Random Test Generation/Result/Cli_30/result.json</x:v>
      </x:c>
      <x:c r="P56"/>
      <x:c r="Q56" s="21" t="str"/>
      <x:c r="R56" s="21" t="str"/>
      <x:c r="S56" s="21" t="str"/>
      <x:c r="T56" s="17" t="str">
        <x:v>false</x:v>
      </x:c>
      <x:c r="U56" s="17" t="str">
        <x:v>true</x:v>
      </x:c>
      <x:c r="V56" s="17" t="str">
        <x:v>false</x:v>
      </x:c>
    </x:row>
    <x:row r="57" ht="80" customHeight="1">
      <x:c r="A57" s="25" t="str">
        <x:v>Cli</x:v>
      </x:c>
      <x:c r="B57" s="25" t="n">
        <x:v>31</x:v>
      </x:c>
      <x:c r="C57" s="25" t="str">
        <x:v>Round1</x:v>
      </x:c>
      <x:c r="D57" s="25" t="str">
        <x:v>INCONCLUSIVE</x:v>
      </x:c>
      <x:c r="E57" s="25" t="str">
        <x:v>N/A</x:v>
      </x:c>
      <x:c r="F57" s="26" t="str">
        <x:v>Fixed also failed; assertion failure cannot be attributed to this bug; Assertions failed with measured coverage; paired execution and stage checks determine status</x:v>
      </x:c>
      <x:c r="G57" s="25" t="str">
        <x:v>true</x:v>
      </x:c>
      <x:c r="H57" s="25" t="str">
        <x:v>INCONCLUSIVE</x:v>
      </x:c>
      <x:c r="I57" s="25" t="str">
        <x:v>FAIL</x:v>
      </x:c>
      <x:c r="J57" s="25" t="str">
        <x:v>FAIL</x:v>
      </x:c>
      <x:c r="K57" s="25" t="n">
        <x:v>2</x:v>
      </x:c>
      <x:c r="L57" s="27" t="b">
        <x:v>0</x:v>
      </x:c>
      <x:c r="M57" s="25" t="str">
        <x:v>Feedback-Directed Random Test Generation/rounds/Round1/state/Cli.json</x:v>
      </x:c>
      <x:c r="N57" s="25" t="str">
        <x:v>Feedback-Directed Random Test Generation/Result/Cli_31/result.json</x:v>
      </x:c>
      <x:c r="O57" s="25" t="str">
        <x:v>Feedback-Directed Random Test Generation/Result/Cli_31/result.json</x:v>
      </x:c>
      <x:c r="P57"/>
      <x:c r="Q57" s="21" t="str"/>
      <x:c r="R57" s="21" t="str"/>
      <x:c r="S57" s="21" t="str"/>
      <x:c r="T57" s="17" t="str">
        <x:v>false</x:v>
      </x:c>
      <x:c r="U57" s="17" t="str">
        <x:v>true</x:v>
      </x:c>
      <x:c r="V57" s="17" t="str">
        <x:v>false</x:v>
      </x:c>
    </x:row>
    <x:row r="58" ht="80" customHeight="1">
      <x:c r="A58" s="25" t="str">
        <x:v>Cli</x:v>
      </x:c>
      <x:c r="B58" s="25" t="n">
        <x:v>32</x:v>
      </x:c>
      <x:c r="C58" s="25" t="str">
        <x:v>Round1</x:v>
      </x:c>
      <x:c r="D58" s="25" t="str">
        <x:v>INCONCLUSIVE</x:v>
      </x:c>
      <x:c r="E58" s="25" t="str">
        <x:v>N/A</x:v>
      </x:c>
      <x:c r="F58" s="26" t="str">
        <x:v>Fixed also failed; assertion failure cannot be attributed to this bug; Assertions failed with measured coverage; paired execution and stage checks determine status</x:v>
      </x:c>
      <x:c r="G58" s="25" t="str">
        <x:v>true</x:v>
      </x:c>
      <x:c r="H58" s="25" t="str">
        <x:v>INCONCLUSIVE</x:v>
      </x:c>
      <x:c r="I58" s="25" t="str">
        <x:v>FAIL</x:v>
      </x:c>
      <x:c r="J58" s="25" t="str">
        <x:v>FAIL</x:v>
      </x:c>
      <x:c r="K58" s="25" t="n">
        <x:v>2</x:v>
      </x:c>
      <x:c r="L58" s="27" t="b">
        <x:v>0</x:v>
      </x:c>
      <x:c r="M58" s="25" t="str">
        <x:v>Feedback-Directed Random Test Generation/rounds/Round1/state/Cli.json</x:v>
      </x:c>
      <x:c r="N58" s="25" t="str">
        <x:v>Feedback-Directed Random Test Generation/Result/Cli_32/result.json</x:v>
      </x:c>
      <x:c r="O58" s="25" t="str">
        <x:v>Feedback-Directed Random Test Generation/Result/Cli_32/result.json</x:v>
      </x:c>
      <x:c r="P58"/>
      <x:c r="Q58" s="21" t="str"/>
      <x:c r="R58" s="21" t="str"/>
      <x:c r="S58" s="21" t="str"/>
      <x:c r="T58" s="17" t="str">
        <x:v>false</x:v>
      </x:c>
      <x:c r="U58" s="17" t="str">
        <x:v>true</x:v>
      </x:c>
      <x:c r="V58" s="17" t="str">
        <x:v>false</x:v>
      </x:c>
    </x:row>
    <x:row r="59" ht="80" customHeight="1">
      <x:c r="A59" s="25" t="str">
        <x:v>Cli</x:v>
      </x:c>
      <x:c r="B59" s="25" t="n">
        <x:v>33</x:v>
      </x:c>
      <x:c r="C59" s="25" t="str">
        <x:v>Round1</x:v>
      </x:c>
      <x:c r="D59" s="25" t="str">
        <x:v>INCONCLUSIVE</x:v>
      </x:c>
      <x:c r="E59" s="25" t="str">
        <x:v>N/A</x:v>
      </x:c>
      <x:c r="F59" s="26" t="str">
        <x:v>Fixed also failed; assertion failure cannot be attributed to this bug; Assertions failed with measured coverage; paired execution and stage checks determine status</x:v>
      </x:c>
      <x:c r="G59" s="25" t="str">
        <x:v>true</x:v>
      </x:c>
      <x:c r="H59" s="25" t="str">
        <x:v>INCONCLUSIVE</x:v>
      </x:c>
      <x:c r="I59" s="25" t="str">
        <x:v>FAIL</x:v>
      </x:c>
      <x:c r="J59" s="25" t="str">
        <x:v>FAIL</x:v>
      </x:c>
      <x:c r="K59" s="25" t="n">
        <x:v>2</x:v>
      </x:c>
      <x:c r="L59" s="27" t="b">
        <x:v>0</x:v>
      </x:c>
      <x:c r="M59" s="25" t="str">
        <x:v>Feedback-Directed Random Test Generation/rounds/Round1/state/Cli.json</x:v>
      </x:c>
      <x:c r="N59" s="25" t="str">
        <x:v>Feedback-Directed Random Test Generation/Result/Cli_33/result.json</x:v>
      </x:c>
      <x:c r="O59" s="25" t="str">
        <x:v>Feedback-Directed Random Test Generation/Result/Cli_33/result.json</x:v>
      </x:c>
      <x:c r="P59"/>
      <x:c r="Q59" s="21" t="str"/>
      <x:c r="R59" s="21" t="str"/>
      <x:c r="S59" s="21" t="str"/>
      <x:c r="T59" s="17" t="str">
        <x:v>false</x:v>
      </x:c>
      <x:c r="U59" s="17" t="str">
        <x:v>true</x:v>
      </x:c>
      <x:c r="V59" s="17" t="str">
        <x:v>false</x:v>
      </x:c>
    </x:row>
    <x:row r="60" ht="80" customHeight="1">
      <x:c r="A60" s="25" t="str">
        <x:v>Cli</x:v>
      </x:c>
      <x:c r="B60" s="25" t="n">
        <x:v>34</x:v>
      </x:c>
      <x:c r="C60" s="25" t="str">
        <x:v>Round1</x:v>
      </x:c>
      <x:c r="D60" s="25" t="str">
        <x:v>INCONCLUSIVE</x:v>
      </x:c>
      <x:c r="E60" s="25" t="str">
        <x:v>N/A</x:v>
      </x:c>
      <x:c r="F60" s="26" t="str">
        <x:v>Fixed also failed; assertion failure cannot be attributed to this bug; Assertions failed with measured coverage; paired execution and stage checks determine status</x:v>
      </x:c>
      <x:c r="G60" s="25" t="str">
        <x:v>true</x:v>
      </x:c>
      <x:c r="H60" s="25" t="str">
        <x:v>INCONCLUSIVE</x:v>
      </x:c>
      <x:c r="I60" s="25" t="str">
        <x:v>FAIL</x:v>
      </x:c>
      <x:c r="J60" s="25" t="str">
        <x:v>FAIL</x:v>
      </x:c>
      <x:c r="K60" s="25" t="n">
        <x:v>11</x:v>
      </x:c>
      <x:c r="L60" s="27" t="b">
        <x:v>0</x:v>
      </x:c>
      <x:c r="M60" s="25" t="str">
        <x:v>Feedback-Directed Random Test Generation/rounds/Round1/state/Cli.json</x:v>
      </x:c>
      <x:c r="N60" s="25" t="str">
        <x:v>Feedback-Directed Random Test Generation/Result/Cli_34/result.json</x:v>
      </x:c>
      <x:c r="O60" s="25" t="str">
        <x:v>Feedback-Directed Random Test Generation/Result/Cli_34/result.json</x:v>
      </x:c>
      <x:c r="P60"/>
      <x:c r="Q60" s="21" t="str"/>
      <x:c r="R60" s="21" t="str"/>
      <x:c r="S60" s="21" t="str"/>
      <x:c r="T60" s="17" t="str">
        <x:v>false</x:v>
      </x:c>
      <x:c r="U60" s="17" t="str">
        <x:v>true</x:v>
      </x:c>
      <x:c r="V60" s="17" t="str">
        <x:v>false</x:v>
      </x:c>
    </x:row>
    <x:row r="61" ht="80" customHeight="1">
      <x:c r="A61" s="25" t="str">
        <x:v>Cli</x:v>
      </x:c>
      <x:c r="B61" s="25" t="n">
        <x:v>35</x:v>
      </x:c>
      <x:c r="C61" s="25" t="str">
        <x:v>Round1</x:v>
      </x:c>
      <x:c r="D61" s="25" t="str">
        <x:v>NOT_REVEALING</x:v>
      </x:c>
      <x:c r="E61" s="25" t="str">
        <x:v>N/A</x:v>
      </x:c>
      <x:c r="F61" s="26" t="str">
        <x:v>Same saved validation suite passed on buggy and fixed</x:v>
      </x:c>
      <x:c r="G61" s="25" t="str">
        <x:v>true</x:v>
      </x:c>
      <x:c r="H61" s="25" t="str">
        <x:v>NOT_REVEALING</x:v>
      </x:c>
      <x:c r="I61" s="25" t="str">
        <x:v>PASS</x:v>
      </x:c>
      <x:c r="J61" s="25" t="str">
        <x:v>PASS</x:v>
      </x:c>
      <x:c r="K61" s="25" t="n">
        <x:v>10</x:v>
      </x:c>
      <x:c r="L61" s="27" t="b">
        <x:v>0</x:v>
      </x:c>
      <x:c r="M61" s="25" t="str">
        <x:v>Feedback-Directed Random Test Generation/rounds/Round1/state/Cli.json</x:v>
      </x:c>
      <x:c r="N61" s="25" t="str">
        <x:v>Feedback-Directed Random Test Generation/Result/Cli_35/result.json</x:v>
      </x:c>
      <x:c r="O61" s="25" t="str">
        <x:v>Feedback-Directed Random Test Generation/Result/Cli_35/result.json</x:v>
      </x:c>
      <x:c r="P61"/>
      <x:c r="Q61" s="21" t="str"/>
      <x:c r="R61" s="21" t="str"/>
      <x:c r="S61" s="21" t="str"/>
      <x:c r="T61" s="17" t="str">
        <x:v>false</x:v>
      </x:c>
      <x:c r="U61" s="17" t="str">
        <x:v>true</x:v>
      </x:c>
      <x:c r="V61" s="17" t="str">
        <x:v>false</x:v>
      </x:c>
    </x:row>
    <x:row r="62" ht="80" customHeight="1">
      <x:c r="A62" s="25" t="str">
        <x:v>Cli</x:v>
      </x:c>
      <x:c r="B62" s="25" t="n">
        <x:v>36</x:v>
      </x:c>
      <x:c r="C62" s="25" t="str">
        <x:v>Round1</x:v>
      </x:c>
      <x:c r="D62" s="25" t="str">
        <x:v>NOT_REVEALING</x:v>
      </x:c>
      <x:c r="E62" s="25" t="str">
        <x:v>N/A</x:v>
      </x:c>
      <x:c r="F62" s="26" t="str">
        <x:v>Same saved validation suite passed on buggy and fixed</x:v>
      </x:c>
      <x:c r="G62" s="25" t="str">
        <x:v>true</x:v>
      </x:c>
      <x:c r="H62" s="25" t="str">
        <x:v>NOT_REVEALING</x:v>
      </x:c>
      <x:c r="I62" s="25" t="str">
        <x:v>PASS</x:v>
      </x:c>
      <x:c r="J62" s="25" t="str">
        <x:v>PASS</x:v>
      </x:c>
      <x:c r="K62" s="25" t="n">
        <x:v>9</x:v>
      </x:c>
      <x:c r="L62" s="27" t="b">
        <x:v>0</x:v>
      </x:c>
      <x:c r="M62" s="25" t="str">
        <x:v>Feedback-Directed Random Test Generation/rounds/Round1/state/Cli.json</x:v>
      </x:c>
      <x:c r="N62" s="25" t="str">
        <x:v>Feedback-Directed Random Test Generation/Result/Cli_36/result.json</x:v>
      </x:c>
      <x:c r="O62" s="25" t="str">
        <x:v>Feedback-Directed Random Test Generation/Result/Cli_36/result.json</x:v>
      </x:c>
      <x:c r="P62"/>
      <x:c r="Q62" s="21" t="str"/>
      <x:c r="R62" s="21" t="str"/>
      <x:c r="S62" s="21" t="str"/>
      <x:c r="T62" s="17" t="str">
        <x:v>false</x:v>
      </x:c>
      <x:c r="U62" s="17" t="str">
        <x:v>true</x:v>
      </x:c>
      <x:c r="V62" s="17" t="str">
        <x:v>false</x:v>
      </x:c>
    </x:row>
    <x:row r="63" ht="80" customHeight="1">
      <x:c r="A63" s="25" t="str">
        <x:v>Cli</x:v>
      </x:c>
      <x:c r="B63" s="25" t="n">
        <x:v>37</x:v>
      </x:c>
      <x:c r="C63" s="25" t="str">
        <x:v>Round1</x:v>
      </x:c>
      <x:c r="D63" s="25" t="str">
        <x:v>INCONCLUSIVE</x:v>
      </x:c>
      <x:c r="E63" s="25" t="str">
        <x:v>N/A</x:v>
      </x:c>
      <x:c r="F63" s="26" t="str">
        <x:v>Fixed also failed; assertion failure cannot be attributed to this bug; Assertions failed with measured coverage; paired execution and stage checks determine status</x:v>
      </x:c>
      <x:c r="G63" s="25" t="str">
        <x:v>true</x:v>
      </x:c>
      <x:c r="H63" s="25" t="str">
        <x:v>INCONCLUSIVE</x:v>
      </x:c>
      <x:c r="I63" s="25" t="str">
        <x:v>FAIL</x:v>
      </x:c>
      <x:c r="J63" s="25" t="str">
        <x:v>FAIL</x:v>
      </x:c>
      <x:c r="K63" s="25" t="n">
        <x:v>14</x:v>
      </x:c>
      <x:c r="L63" s="27" t="b">
        <x:v>0</x:v>
      </x:c>
      <x:c r="M63" s="25" t="str">
        <x:v>Feedback-Directed Random Test Generation/rounds/Round1/state/Cli.json</x:v>
      </x:c>
      <x:c r="N63" s="25" t="str">
        <x:v>Feedback-Directed Random Test Generation/Result/Cli_37/result.json</x:v>
      </x:c>
      <x:c r="O63" s="25" t="str">
        <x:v>Feedback-Directed Random Test Generation/Result/Cli_37/result.json</x:v>
      </x:c>
      <x:c r="P63"/>
      <x:c r="Q63" s="21" t="str"/>
      <x:c r="R63" s="21" t="str"/>
      <x:c r="S63" s="21" t="str"/>
      <x:c r="T63" s="17" t="str">
        <x:v>false</x:v>
      </x:c>
      <x:c r="U63" s="17" t="str">
        <x:v>true</x:v>
      </x:c>
      <x:c r="V63" s="17" t="str">
        <x:v>false</x:v>
      </x:c>
    </x:row>
    <x:row r="64" ht="80" customHeight="1">
      <x:c r="A64" s="25" t="str">
        <x:v>Cli</x:v>
      </x:c>
      <x:c r="B64" s="25" t="n">
        <x:v>38</x:v>
      </x:c>
      <x:c r="C64" s="25" t="str">
        <x:v>Round1</x:v>
      </x:c>
      <x:c r="D64" s="25" t="str">
        <x:v>INCONCLUSIVE</x:v>
      </x:c>
      <x:c r="E64" s="25" t="str">
        <x:v>N/A</x:v>
      </x:c>
      <x:c r="F64" s="26" t="str">
        <x:v>Fixed also failed; assertion failure cannot be attributed to this bug; Assertions failed with measured coverage; paired execution and stage checks determine status</x:v>
      </x:c>
      <x:c r="G64" s="25" t="str">
        <x:v>true</x:v>
      </x:c>
      <x:c r="H64" s="25" t="str">
        <x:v>INCONCLUSIVE</x:v>
      </x:c>
      <x:c r="I64" s="25" t="str">
        <x:v>FAIL</x:v>
      </x:c>
      <x:c r="J64" s="25" t="str">
        <x:v>FAIL</x:v>
      </x:c>
      <x:c r="K64" s="25" t="n">
        <x:v>14</x:v>
      </x:c>
      <x:c r="L64" s="27" t="b">
        <x:v>0</x:v>
      </x:c>
      <x:c r="M64" s="25" t="str">
        <x:v>Feedback-Directed Random Test Generation/rounds/Round1/state/Cli.json</x:v>
      </x:c>
      <x:c r="N64" s="25" t="str">
        <x:v>Feedback-Directed Random Test Generation/Result/Cli_38/result.json</x:v>
      </x:c>
      <x:c r="O64" s="25" t="str">
        <x:v>Feedback-Directed Random Test Generation/Result/Cli_38/result.json</x:v>
      </x:c>
      <x:c r="P64"/>
      <x:c r="Q64" s="21" t="str"/>
      <x:c r="R64" s="21" t="str"/>
      <x:c r="S64" s="21" t="str"/>
      <x:c r="T64" s="17" t="str">
        <x:v>false</x:v>
      </x:c>
      <x:c r="U64" s="17" t="str">
        <x:v>true</x:v>
      </x:c>
      <x:c r="V64" s="17" t="str">
        <x:v>false</x:v>
      </x:c>
    </x:row>
    <x:row r="65" ht="80" customHeight="1">
      <x:c r="A65" s="25" t="str">
        <x:v>Cli</x:v>
      </x:c>
      <x:c r="B65" s="25" t="n">
        <x:v>39</x:v>
      </x:c>
      <x:c r="C65" s="25" t="str">
        <x:v>Round1</x:v>
      </x:c>
      <x:c r="D65" s="25" t="str">
        <x:v>NOT_REVEALING</x:v>
      </x:c>
      <x:c r="E65" s="25" t="str">
        <x:v>N/A</x:v>
      </x:c>
      <x:c r="F65" s="26" t="str">
        <x:v>Same saved validation suite passed on buggy and fixed</x:v>
      </x:c>
      <x:c r="G65" s="25" t="str">
        <x:v>true</x:v>
      </x:c>
      <x:c r="H65" s="25" t="str">
        <x:v>NOT_REVEALING</x:v>
      </x:c>
      <x:c r="I65" s="25" t="str">
        <x:v>PASS</x:v>
      </x:c>
      <x:c r="J65" s="25" t="str">
        <x:v>PASS</x:v>
      </x:c>
      <x:c r="K65" s="25" t="n">
        <x:v>2</x:v>
      </x:c>
      <x:c r="L65" s="27" t="b">
        <x:v>0</x:v>
      </x:c>
      <x:c r="M65" s="25" t="str">
        <x:v>Feedback-Directed Random Test Generation/rounds/Round1/state/Cli.json</x:v>
      </x:c>
      <x:c r="N65" s="25" t="str">
        <x:v>Feedback-Directed Random Test Generation/Result/Cli_39/result.json</x:v>
      </x:c>
      <x:c r="O65" s="25" t="str">
        <x:v>Feedback-Directed Random Test Generation/Result/Cli_39/result.json</x:v>
      </x:c>
      <x:c r="P65"/>
      <x:c r="Q65" s="21" t="str"/>
      <x:c r="R65" s="21" t="str"/>
      <x:c r="S65" s="21" t="str"/>
      <x:c r="T65" s="17" t="str">
        <x:v>false</x:v>
      </x:c>
      <x:c r="U65" s="17" t="str">
        <x:v>true</x:v>
      </x:c>
      <x:c r="V65" s="17" t="str">
        <x:v>false</x:v>
      </x:c>
    </x:row>
    <x:row r="66" ht="80" customHeight="1">
      <x:c r="A66" s="25" t="str">
        <x:v>Cli</x:v>
      </x:c>
      <x:c r="B66" s="25" t="n">
        <x:v>40</x:v>
      </x:c>
      <x:c r="C66" s="25" t="str">
        <x:v>Round1</x:v>
      </x:c>
      <x:c r="D66" s="25" t="str">
        <x:v>INCONCLUSIVE</x:v>
      </x:c>
      <x:c r="E66" s="25" t="str">
        <x:v>N/A</x:v>
      </x:c>
      <x:c r="F66" s="26" t="str">
        <x:v>Fixed also failed; assertion failure cannot be attributed to this bug</x:v>
      </x:c>
      <x:c r="G66" s="25" t="str">
        <x:v>true</x:v>
      </x:c>
      <x:c r="H66" s="25" t="str">
        <x:v>INCONCLUSIVE</x:v>
      </x:c>
      <x:c r="I66" s="25" t="str">
        <x:v>PASS</x:v>
      </x:c>
      <x:c r="J66" s="25" t="str">
        <x:v>FAIL</x:v>
      </x:c>
      <x:c r="K66" s="25" t="n">
        <x:v>9</x:v>
      </x:c>
      <x:c r="L66" s="27" t="b">
        <x:v>0</x:v>
      </x:c>
      <x:c r="M66" s="25" t="str">
        <x:v>Feedback-Directed Random Test Generation/rounds/Round1/state/Cli.json</x:v>
      </x:c>
      <x:c r="N66" s="25" t="str">
        <x:v>Feedback-Directed Random Test Generation/Result/Cli_40/result.json</x:v>
      </x:c>
      <x:c r="O66" s="25" t="str">
        <x:v>Feedback-Directed Random Test Generation/Result/Cli_40/result.json</x:v>
      </x:c>
      <x:c r="P66"/>
      <x:c r="Q66" s="21" t="str"/>
      <x:c r="R66" s="21" t="str"/>
      <x:c r="S66" s="21" t="str"/>
      <x:c r="T66" s="17" t="str">
        <x:v>false</x:v>
      </x:c>
      <x:c r="U66" s="17" t="str">
        <x:v>true</x:v>
      </x:c>
      <x:c r="V66" s="17" t="str">
        <x:v>false</x:v>
      </x:c>
    </x:row>
    <x:row r="67" ht="80" customHeight="1">
      <x:c r="A67" s="25" t="str">
        <x:v>Closure</x:v>
      </x:c>
      <x:c r="B67" s="25" t="n">
        <x:v>1</x:v>
      </x:c>
      <x:c r="C67" s="25" t="str">
        <x:v>Round1</x:v>
      </x:c>
      <x:c r="D67" s="25" t="str">
        <x:v>NOT_REVEALING</x:v>
      </x:c>
      <x:c r="E67" s="25" t="str">
        <x:v>N/A</x:v>
      </x:c>
      <x:c r="F67" s="26" t="str">
        <x:v>Same saved validation suite passed on buggy and fixed</x:v>
      </x:c>
      <x:c r="G67" s="25" t="str">
        <x:v>true</x:v>
      </x:c>
      <x:c r="H67" s="25" t="str">
        <x:v>NOT_REVEALING</x:v>
      </x:c>
      <x:c r="I67" s="25" t="str">
        <x:v>PASS</x:v>
      </x:c>
      <x:c r="J67" s="25" t="str">
        <x:v>PASS</x:v>
      </x:c>
      <x:c r="K67" s="25" t="n">
        <x:v>2</x:v>
      </x:c>
      <x:c r="L67" s="27" t="b">
        <x:v>0</x:v>
      </x:c>
      <x:c r="M67" s="25" t="str">
        <x:v>Feedback-Directed Random Test Generation/rounds/Round1/state/Closure.json</x:v>
      </x:c>
      <x:c r="N67" s="25" t="str">
        <x:v>Feedback-Directed Random Test Generation/Result/Closure_1/result.json</x:v>
      </x:c>
      <x:c r="O67" s="25" t="str">
        <x:v>Feedback-Directed Random Test Generation/Result/Closure_1/result.json</x:v>
      </x:c>
      <x:c r="P67"/>
      <x:c r="Q67" s="21" t="str"/>
      <x:c r="R67" s="21" t="str"/>
      <x:c r="S67" s="21" t="str"/>
      <x:c r="T67" s="17" t="str">
        <x:v>false</x:v>
      </x:c>
      <x:c r="U67" s="17" t="str">
        <x:v>true</x:v>
      </x:c>
      <x:c r="V67" s="17" t="str">
        <x:v>false</x:v>
      </x:c>
    </x:row>
    <x:row r="68" ht="80" customHeight="1">
      <x:c r="A68" s="25" t="str">
        <x:v>Closure</x:v>
      </x:c>
      <x:c r="B68" s="25" t="n">
        <x:v>2</x:v>
      </x:c>
      <x:c r="C68" s="25" t="str">
        <x:v>Round1</x:v>
      </x:c>
      <x:c r="D68" s="25" t="str">
        <x:v>NOT_REVEALING</x:v>
      </x:c>
      <x:c r="E68" s="25" t="str">
        <x:v>N/A</x:v>
      </x:c>
      <x:c r="F68" s="26" t="str">
        <x:v>Same saved validation suite passed on buggy and fixed</x:v>
      </x:c>
      <x:c r="G68" s="25" t="str">
        <x:v>true</x:v>
      </x:c>
      <x:c r="H68" s="25" t="str">
        <x:v>NOT_REVEALING</x:v>
      </x:c>
      <x:c r="I68" s="25" t="str">
        <x:v>PASS</x:v>
      </x:c>
      <x:c r="J68" s="25" t="str">
        <x:v>PASS</x:v>
      </x:c>
      <x:c r="K68" s="25" t="n">
        <x:v>2</x:v>
      </x:c>
      <x:c r="L68" s="27" t="b">
        <x:v>0</x:v>
      </x:c>
      <x:c r="M68" s="25" t="str">
        <x:v>Feedback-Directed Random Test Generation/rounds/Round1/state/Closure.json</x:v>
      </x:c>
      <x:c r="N68" s="25" t="str">
        <x:v>Feedback-Directed Random Test Generation/Result/Closure_2/result.json</x:v>
      </x:c>
      <x:c r="O68" s="25" t="str">
        <x:v>Feedback-Directed Random Test Generation/Result/Closure_2/result.json</x:v>
      </x:c>
      <x:c r="P68"/>
      <x:c r="Q68" s="21" t="str"/>
      <x:c r="R68" s="21" t="str"/>
      <x:c r="S68" s="21" t="str"/>
      <x:c r="T68" s="17" t="str">
        <x:v>false</x:v>
      </x:c>
      <x:c r="U68" s="17" t="str">
        <x:v>true</x:v>
      </x:c>
      <x:c r="V68" s="17" t="str">
        <x:v>false</x:v>
      </x:c>
    </x:row>
    <x:row r="69" ht="80" customHeight="1">
      <x:c r="A69" s="25" t="str">
        <x:v>Closure</x:v>
      </x:c>
      <x:c r="B69" s="25" t="n">
        <x:v>3</x:v>
      </x:c>
      <x:c r="C69" s="25" t="str">
        <x:v>Round1</x:v>
      </x:c>
      <x:c r="D69" s="25" t="str">
        <x:v>NOT_REVEALING</x:v>
      </x:c>
      <x:c r="E69" s="25" t="str">
        <x:v>N/A</x:v>
      </x:c>
      <x:c r="F69" s="26" t="str">
        <x:v>Same saved validation suite passed on buggy and fixed</x:v>
      </x:c>
      <x:c r="G69" s="25" t="str">
        <x:v>true</x:v>
      </x:c>
      <x:c r="H69" s="25" t="str">
        <x:v>NOT_REVEALING</x:v>
      </x:c>
      <x:c r="I69" s="25" t="str">
        <x:v>PASS</x:v>
      </x:c>
      <x:c r="J69" s="25" t="str">
        <x:v>PASS</x:v>
      </x:c>
      <x:c r="K69" s="25" t="n">
        <x:v>4</x:v>
      </x:c>
      <x:c r="L69" s="27" t="b">
        <x:v>0</x:v>
      </x:c>
      <x:c r="M69" s="25" t="str">
        <x:v>Feedback-Directed Random Test Generation/rounds/Round1/state/Closure.json</x:v>
      </x:c>
      <x:c r="N69" s="25" t="str">
        <x:v>Feedback-Directed Random Test Generation/Result/Closure_3/result.json</x:v>
      </x:c>
      <x:c r="O69" s="25" t="str">
        <x:v>Feedback-Directed Random Test Generation/Result/Closure_3/result.json</x:v>
      </x:c>
      <x:c r="P69"/>
      <x:c r="Q69" s="21" t="str"/>
      <x:c r="R69" s="21" t="str"/>
      <x:c r="S69" s="21" t="str"/>
      <x:c r="T69" s="17" t="str">
        <x:v>false</x:v>
      </x:c>
      <x:c r="U69" s="17" t="str">
        <x:v>true</x:v>
      </x:c>
      <x:c r="V69" s="17" t="str">
        <x:v>false</x:v>
      </x:c>
    </x:row>
    <x:row r="70" ht="80" customHeight="1">
      <x:c r="A70" s="25" t="str">
        <x:v>Closure</x:v>
      </x:c>
      <x:c r="B70" s="25" t="n">
        <x:v>4</x:v>
      </x:c>
      <x:c r="C70" s="25" t="str">
        <x:v>Round1</x:v>
      </x:c>
      <x:c r="D70" s="25" t="str">
        <x:v>NOT_REVEALING</x:v>
      </x:c>
      <x:c r="E70" s="25" t="str">
        <x:v>N/A</x:v>
      </x:c>
      <x:c r="F70" s="26" t="str">
        <x:v>Same saved validation suite passed on buggy and fixed</x:v>
      </x:c>
      <x:c r="G70" s="25" t="str">
        <x:v>true</x:v>
      </x:c>
      <x:c r="H70" s="25" t="str">
        <x:v>NOT_REVEALING</x:v>
      </x:c>
      <x:c r="I70" s="25" t="str">
        <x:v>PASS</x:v>
      </x:c>
      <x:c r="J70" s="25" t="str">
        <x:v>PASS</x:v>
      </x:c>
      <x:c r="K70" s="25" t="n">
        <x:v>13</x:v>
      </x:c>
      <x:c r="L70" s="27" t="b">
        <x:v>0</x:v>
      </x:c>
      <x:c r="M70" s="25" t="str">
        <x:v>Feedback-Directed Random Test Generation/rounds/Round1/state/Closure.json</x:v>
      </x:c>
      <x:c r="N70" s="25" t="str">
        <x:v>Feedback-Directed Random Test Generation/Result/Closure_4/result.json</x:v>
      </x:c>
      <x:c r="O70" s="25" t="str">
        <x:v>Feedback-Directed Random Test Generation/Result/Closure_4/result.json</x:v>
      </x:c>
      <x:c r="P70"/>
      <x:c r="Q70" s="21" t="str"/>
      <x:c r="R70" s="21" t="str"/>
      <x:c r="S70" s="21" t="str"/>
      <x:c r="T70" s="17" t="str">
        <x:v>false</x:v>
      </x:c>
      <x:c r="U70" s="17" t="str">
        <x:v>true</x:v>
      </x:c>
      <x:c r="V70" s="17" t="str">
        <x:v>false</x:v>
      </x:c>
    </x:row>
    <x:row r="71" ht="80" customHeight="1">
      <x:c r="A71" s="25" t="str">
        <x:v>Closure</x:v>
      </x:c>
      <x:c r="B71" s="25" t="n">
        <x:v>5</x:v>
      </x:c>
      <x:c r="C71" s="25" t="str">
        <x:v>Round1</x:v>
      </x:c>
      <x:c r="D71" s="25" t="str">
        <x:v>NOT_REVEALING</x:v>
      </x:c>
      <x:c r="E71" s="25" t="str">
        <x:v>N/A</x:v>
      </x:c>
      <x:c r="F71" s="26" t="str">
        <x:v>Same saved validation suite passed on buggy and fixed</x:v>
      </x:c>
      <x:c r="G71" s="25" t="str">
        <x:v>true</x:v>
      </x:c>
      <x:c r="H71" s="25" t="str">
        <x:v>NOT_REVEALING</x:v>
      </x:c>
      <x:c r="I71" s="25" t="str">
        <x:v>PASS</x:v>
      </x:c>
      <x:c r="J71" s="25" t="str">
        <x:v>PASS</x:v>
      </x:c>
      <x:c r="K71" s="25" t="n">
        <x:v>2</x:v>
      </x:c>
      <x:c r="L71" s="27" t="b">
        <x:v>0</x:v>
      </x:c>
      <x:c r="M71" s="25" t="str">
        <x:v>Feedback-Directed Random Test Generation/rounds/Round1/state/Closure.json</x:v>
      </x:c>
      <x:c r="N71" s="25" t="str">
        <x:v>Feedback-Directed Random Test Generation/Result/Closure_5/result.json</x:v>
      </x:c>
      <x:c r="O71" s="25" t="str">
        <x:v>Feedback-Directed Random Test Generation/Result/Closure_5/result.json</x:v>
      </x:c>
      <x:c r="P71"/>
      <x:c r="Q71" s="21" t="str"/>
      <x:c r="R71" s="21" t="str"/>
      <x:c r="S71" s="21" t="str"/>
      <x:c r="T71" s="17" t="str">
        <x:v>false</x:v>
      </x:c>
      <x:c r="U71" s="17" t="str">
        <x:v>true</x:v>
      </x:c>
      <x:c r="V71" s="17" t="str">
        <x:v>false</x:v>
      </x:c>
    </x:row>
    <x:row r="72" ht="80" customHeight="1">
      <x:c r="A72" s="25" t="str">
        <x:v>Closure</x:v>
      </x:c>
      <x:c r="B72" s="25" t="n">
        <x:v>6</x:v>
      </x:c>
      <x:c r="C72" s="25" t="str">
        <x:v>Round1</x:v>
      </x:c>
      <x:c r="D72" s="25" t="str">
        <x:v>NOT_REVEALING</x:v>
      </x:c>
      <x:c r="E72" s="25" t="str">
        <x:v>N/A</x:v>
      </x:c>
      <x:c r="F72" s="26" t="str">
        <x:v>Same saved validation suite passed on buggy and fixed</x:v>
      </x:c>
      <x:c r="G72" s="25" t="str">
        <x:v>true</x:v>
      </x:c>
      <x:c r="H72" s="25" t="str">
        <x:v>NOT_REVEALING</x:v>
      </x:c>
      <x:c r="I72" s="25" t="str">
        <x:v>PASS</x:v>
      </x:c>
      <x:c r="J72" s="25" t="str">
        <x:v>PASS</x:v>
      </x:c>
      <x:c r="K72" s="25" t="n">
        <x:v>2</x:v>
      </x:c>
      <x:c r="L72" s="27" t="b">
        <x:v>0</x:v>
      </x:c>
      <x:c r="M72" s="25" t="str">
        <x:v>Feedback-Directed Random Test Generation/rounds/Round1/state/Closure.json</x:v>
      </x:c>
      <x:c r="N72" s="25" t="str">
        <x:v>Feedback-Directed Random Test Generation/Result/Closure_6/result.json</x:v>
      </x:c>
      <x:c r="O72" s="25" t="str">
        <x:v>Feedback-Directed Random Test Generation/Result/Closure_6/result.json</x:v>
      </x:c>
      <x:c r="P72"/>
      <x:c r="Q72" s="21" t="str"/>
      <x:c r="R72" s="21" t="str"/>
      <x:c r="S72" s="21" t="str"/>
      <x:c r="T72" s="17" t="str">
        <x:v>false</x:v>
      </x:c>
      <x:c r="U72" s="17" t="str">
        <x:v>true</x:v>
      </x:c>
      <x:c r="V72" s="17" t="str">
        <x:v>false</x:v>
      </x:c>
    </x:row>
    <x:row r="73" ht="80" customHeight="1">
      <x:c r="A73" s="25" t="str">
        <x:v>Closure</x:v>
      </x:c>
      <x:c r="B73" s="25" t="n">
        <x:v>7</x:v>
      </x:c>
      <x:c r="C73" s="25" t="str">
        <x:v>Round1</x:v>
      </x:c>
      <x:c r="D73" s="25" t="str">
        <x:v>NOT_REVEALING</x:v>
      </x:c>
      <x:c r="E73" s="25" t="str">
        <x:v>N/A</x:v>
      </x:c>
      <x:c r="F73" s="26" t="str">
        <x:v>Same saved validation suite passed on buggy and fixed</x:v>
      </x:c>
      <x:c r="G73" s="25" t="str">
        <x:v>true</x:v>
      </x:c>
      <x:c r="H73" s="25" t="str">
        <x:v>NOT_REVEALING</x:v>
      </x:c>
      <x:c r="I73" s="25" t="str">
        <x:v>PASS</x:v>
      </x:c>
      <x:c r="J73" s="25" t="str">
        <x:v>PASS</x:v>
      </x:c>
      <x:c r="K73" s="25" t="n">
        <x:v>2</x:v>
      </x:c>
      <x:c r="L73" s="27" t="b">
        <x:v>0</x:v>
      </x:c>
      <x:c r="M73" s="25" t="str">
        <x:v>Feedback-Directed Random Test Generation/rounds/Round1/state/Closure.json</x:v>
      </x:c>
      <x:c r="N73" s="25" t="str">
        <x:v>Feedback-Directed Random Test Generation/Result/Closure_7/result.json</x:v>
      </x:c>
      <x:c r="O73" s="25" t="str">
        <x:v>Feedback-Directed Random Test Generation/Result/Closure_7/result.json</x:v>
      </x:c>
      <x:c r="P73"/>
      <x:c r="Q73" s="21" t="str"/>
      <x:c r="R73" s="21" t="str"/>
      <x:c r="S73" s="21" t="str"/>
      <x:c r="T73" s="17" t="str">
        <x:v>false</x:v>
      </x:c>
      <x:c r="U73" s="17" t="str">
        <x:v>true</x:v>
      </x:c>
      <x:c r="V73" s="17" t="str">
        <x:v>false</x:v>
      </x:c>
    </x:row>
    <x:row r="74" ht="80" customHeight="1">
      <x:c r="A74" s="25" t="str">
        <x:v>Closure</x:v>
      </x:c>
      <x:c r="B74" s="25" t="n">
        <x:v>8</x:v>
      </x:c>
      <x:c r="C74" s="25" t="str">
        <x:v>Round1</x:v>
      </x:c>
      <x:c r="D74" s="25" t="str">
        <x:v>NOT_REVEALING</x:v>
      </x:c>
      <x:c r="E74" s="25" t="str">
        <x:v>N/A</x:v>
      </x:c>
      <x:c r="F74" s="26" t="str">
        <x:v>Same saved validation suite passed on buggy and fixed</x:v>
      </x:c>
      <x:c r="G74" s="25" t="str">
        <x:v>true</x:v>
      </x:c>
      <x:c r="H74" s="25" t="str">
        <x:v>NOT_REVEALING</x:v>
      </x:c>
      <x:c r="I74" s="25" t="str">
        <x:v>PASS</x:v>
      </x:c>
      <x:c r="J74" s="25" t="str">
        <x:v>PASS</x:v>
      </x:c>
      <x:c r="K74" s="25" t="n">
        <x:v>2</x:v>
      </x:c>
      <x:c r="L74" s="27" t="b">
        <x:v>0</x:v>
      </x:c>
      <x:c r="M74" s="25" t="str">
        <x:v>Feedback-Directed Random Test Generation/rounds/Round1/state/Closure.json</x:v>
      </x:c>
      <x:c r="N74" s="25" t="str">
        <x:v>Feedback-Directed Random Test Generation/Result/Closure_8/result.json</x:v>
      </x:c>
      <x:c r="O74" s="25" t="str">
        <x:v>Feedback-Directed Random Test Generation/Result/Closure_8/result.json</x:v>
      </x:c>
      <x:c r="P74"/>
      <x:c r="Q74" s="21" t="str"/>
      <x:c r="R74" s="21" t="str"/>
      <x:c r="S74" s="21" t="str"/>
      <x:c r="T74" s="17" t="str">
        <x:v>false</x:v>
      </x:c>
      <x:c r="U74" s="17" t="str">
        <x:v>true</x:v>
      </x:c>
      <x:c r="V74" s="17" t="str">
        <x:v>false</x:v>
      </x:c>
    </x:row>
    <x:row r="75" ht="80" customHeight="1">
      <x:c r="A75" s="25" t="str">
        <x:v>Closure</x:v>
      </x:c>
      <x:c r="B75" s="25" t="n">
        <x:v>9</x:v>
      </x:c>
      <x:c r="C75" s="25" t="str">
        <x:v>Round1</x:v>
      </x:c>
      <x:c r="D75" s="25" t="str">
        <x:v>NOT_REVEALING</x:v>
      </x:c>
      <x:c r="E75" s="25" t="str">
        <x:v>N/A</x:v>
      </x:c>
      <x:c r="F75" s="26" t="str">
        <x:v>Same saved validation suite passed on buggy and fixed</x:v>
      </x:c>
      <x:c r="G75" s="25" t="str">
        <x:v>true</x:v>
      </x:c>
      <x:c r="H75" s="25" t="str">
        <x:v>NOT_REVEALING</x:v>
      </x:c>
      <x:c r="I75" s="25" t="str">
        <x:v>PASS</x:v>
      </x:c>
      <x:c r="J75" s="25" t="str">
        <x:v>PASS</x:v>
      </x:c>
      <x:c r="K75" s="25" t="n">
        <x:v>5</x:v>
      </x:c>
      <x:c r="L75" s="27" t="b">
        <x:v>0</x:v>
      </x:c>
      <x:c r="M75" s="25" t="str">
        <x:v>Feedback-Directed Random Test Generation/rounds/Round1/state/Closure.json</x:v>
      </x:c>
      <x:c r="N75" s="25" t="str">
        <x:v>Feedback-Directed Random Test Generation/Result/Closure_9/result.json</x:v>
      </x:c>
      <x:c r="O75" s="25" t="str">
        <x:v>Feedback-Directed Random Test Generation/Result/Closure_9/result.json</x:v>
      </x:c>
      <x:c r="P75"/>
      <x:c r="Q75" s="21" t="str"/>
      <x:c r="R75" s="21" t="str"/>
      <x:c r="S75" s="21" t="str"/>
      <x:c r="T75" s="17" t="str">
        <x:v>false</x:v>
      </x:c>
      <x:c r="U75" s="17" t="str">
        <x:v>true</x:v>
      </x:c>
      <x:c r="V75" s="17" t="str">
        <x:v>false</x:v>
      </x:c>
    </x:row>
    <x:row r="76" ht="80" customHeight="1">
      <x:c r="A76" s="25" t="str">
        <x:v>Closure</x:v>
      </x:c>
      <x:c r="B76" s="25" t="n">
        <x:v>10</x:v>
      </x:c>
      <x:c r="C76" s="25" t="str">
        <x:v>Round1</x:v>
      </x:c>
      <x:c r="D76" s="25" t="str">
        <x:v>INCONCLUSIVE</x:v>
      </x:c>
      <x:c r="E76" s="25" t="str">
        <x:v>N/A</x:v>
      </x:c>
      <x:c r="F76" s="26" t="str">
        <x:v>Fixed also failed; assertion failure cannot be attributed to this bug; Assertions failed with measured coverage; paired execution and stage checks determine status</x:v>
      </x:c>
      <x:c r="G76" s="25" t="str">
        <x:v>true</x:v>
      </x:c>
      <x:c r="H76" s="25" t="str">
        <x:v>INCONCLUSIVE</x:v>
      </x:c>
      <x:c r="I76" s="25" t="str">
        <x:v>FAIL</x:v>
      </x:c>
      <x:c r="J76" s="25" t="str">
        <x:v>FAIL</x:v>
      </x:c>
      <x:c r="K76" s="25" t="n">
        <x:v>6</x:v>
      </x:c>
      <x:c r="L76" s="27" t="b">
        <x:v>0</x:v>
      </x:c>
      <x:c r="M76" s="25" t="str">
        <x:v>Feedback-Directed Random Test Generation/rounds/Round1/state/Closure.json</x:v>
      </x:c>
      <x:c r="N76" s="25" t="str">
        <x:v>Feedback-Directed Random Test Generation/Result/Closure_10/result.json</x:v>
      </x:c>
      <x:c r="O76" s="25" t="str">
        <x:v>Feedback-Directed Random Test Generation/Result/Closure_10/result.json</x:v>
      </x:c>
      <x:c r="P76"/>
      <x:c r="Q76" s="21" t="str"/>
      <x:c r="R76" s="21" t="str"/>
      <x:c r="S76" s="21" t="str"/>
      <x:c r="T76" s="17" t="str">
        <x:v>false</x:v>
      </x:c>
      <x:c r="U76" s="17" t="str">
        <x:v>true</x:v>
      </x:c>
      <x:c r="V76" s="17" t="str">
        <x:v>false</x:v>
      </x:c>
    </x:row>
    <x:row r="77" ht="80" customHeight="1">
      <x:c r="A77" s="25" t="str">
        <x:v>Closure</x:v>
      </x:c>
      <x:c r="B77" s="25" t="n">
        <x:v>11</x:v>
      </x:c>
      <x:c r="C77" s="25" t="str">
        <x:v>Round1</x:v>
      </x:c>
      <x:c r="D77" s="25" t="str">
        <x:v>NOT_REVEALING</x:v>
      </x:c>
      <x:c r="E77" s="25" t="str">
        <x:v>N/A</x:v>
      </x:c>
      <x:c r="F77" s="26" t="str">
        <x:v>Same saved validation suite passed on buggy and fixed</x:v>
      </x:c>
      <x:c r="G77" s="25" t="str">
        <x:v>true</x:v>
      </x:c>
      <x:c r="H77" s="25" t="str">
        <x:v>NOT_REVEALING</x:v>
      </x:c>
      <x:c r="I77" s="25" t="str">
        <x:v>PASS</x:v>
      </x:c>
      <x:c r="J77" s="25" t="str">
        <x:v>PASS</x:v>
      </x:c>
      <x:c r="K77" s="25" t="n">
        <x:v>2</x:v>
      </x:c>
      <x:c r="L77" s="27" t="b">
        <x:v>0</x:v>
      </x:c>
      <x:c r="M77" s="25" t="str">
        <x:v>Feedback-Directed Random Test Generation/rounds/Round1/state/Closure.json</x:v>
      </x:c>
      <x:c r="N77" s="25" t="str">
        <x:v>Feedback-Directed Random Test Generation/Result/Closure_11/result.json</x:v>
      </x:c>
      <x:c r="O77" s="25" t="str">
        <x:v>Feedback-Directed Random Test Generation/Result/Closure_11/result.json</x:v>
      </x:c>
      <x:c r="P77"/>
      <x:c r="Q77" s="21" t="str"/>
      <x:c r="R77" s="21" t="str"/>
      <x:c r="S77" s="21" t="str"/>
      <x:c r="T77" s="17" t="str">
        <x:v>false</x:v>
      </x:c>
      <x:c r="U77" s="17" t="str">
        <x:v>true</x:v>
      </x:c>
      <x:c r="V77" s="17" t="str">
        <x:v>false</x:v>
      </x:c>
    </x:row>
    <x:row r="78" ht="80" customHeight="1">
      <x:c r="A78" s="25" t="str">
        <x:v>Closure</x:v>
      </x:c>
      <x:c r="B78" s="25" t="n">
        <x:v>12</x:v>
      </x:c>
      <x:c r="C78" s="25" t="str">
        <x:v>Round1</x:v>
      </x:c>
      <x:c r="D78" s="25" t="str">
        <x:v>NOT_REVEALING</x:v>
      </x:c>
      <x:c r="E78" s="25" t="str">
        <x:v>N/A</x:v>
      </x:c>
      <x:c r="F78" s="26" t="str">
        <x:v>Same saved validation suite passed on buggy and fixed</x:v>
      </x:c>
      <x:c r="G78" s="25" t="str">
        <x:v>true</x:v>
      </x:c>
      <x:c r="H78" s="25" t="str">
        <x:v>NOT_REVEALING</x:v>
      </x:c>
      <x:c r="I78" s="25" t="str">
        <x:v>PASS</x:v>
      </x:c>
      <x:c r="J78" s="25" t="str">
        <x:v>PASS</x:v>
      </x:c>
      <x:c r="K78" s="25" t="n">
        <x:v>3</x:v>
      </x:c>
      <x:c r="L78" s="27" t="b">
        <x:v>0</x:v>
      </x:c>
      <x:c r="M78" s="25" t="str">
        <x:v>Feedback-Directed Random Test Generation/rounds/Round1/state/Closure.json</x:v>
      </x:c>
      <x:c r="N78" s="25" t="str">
        <x:v>Feedback-Directed Random Test Generation/Result/Closure_12/result.json</x:v>
      </x:c>
      <x:c r="O78" s="25" t="str">
        <x:v>Feedback-Directed Random Test Generation/Result/Closure_12/result.json</x:v>
      </x:c>
      <x:c r="P78"/>
      <x:c r="Q78" s="21" t="str"/>
      <x:c r="R78" s="21" t="str"/>
      <x:c r="S78" s="21" t="str"/>
      <x:c r="T78" s="17" t="str">
        <x:v>false</x:v>
      </x:c>
      <x:c r="U78" s="17" t="str">
        <x:v>true</x:v>
      </x:c>
      <x:c r="V78" s="17" t="str">
        <x:v>false</x:v>
      </x:c>
    </x:row>
    <x:row r="79" ht="80" customHeight="1">
      <x:c r="A79" s="25" t="str">
        <x:v>Closure</x:v>
      </x:c>
      <x:c r="B79" s="25" t="n">
        <x:v>13</x:v>
      </x:c>
      <x:c r="C79" s="25" t="str">
        <x:v>Round1</x:v>
      </x:c>
      <x:c r="D79" s="25" t="str">
        <x:v>NOT_REVEALING</x:v>
      </x:c>
      <x:c r="E79" s="25" t="str">
        <x:v>N/A</x:v>
      </x:c>
      <x:c r="F79" s="26" t="str">
        <x:v>Same saved validation suite passed on buggy and fixed</x:v>
      </x:c>
      <x:c r="G79" s="25" t="str">
        <x:v>true</x:v>
      </x:c>
      <x:c r="H79" s="25" t="str">
        <x:v>NOT_REVEALING</x:v>
      </x:c>
      <x:c r="I79" s="25" t="str">
        <x:v>PASS</x:v>
      </x:c>
      <x:c r="J79" s="25" t="str">
        <x:v>PASS</x:v>
      </x:c>
      <x:c r="K79" s="25" t="n">
        <x:v>2</x:v>
      </x:c>
      <x:c r="L79" s="27" t="b">
        <x:v>0</x:v>
      </x:c>
      <x:c r="M79" s="25" t="str">
        <x:v>Feedback-Directed Random Test Generation/rounds/Round1/state/Closure.json</x:v>
      </x:c>
      <x:c r="N79" s="25" t="str">
        <x:v>Feedback-Directed Random Test Generation/Result/Closure_13/result.json</x:v>
      </x:c>
      <x:c r="O79" s="25" t="str">
        <x:v>Feedback-Directed Random Test Generation/Result/Closure_13/result.json</x:v>
      </x:c>
      <x:c r="P79"/>
      <x:c r="Q79" s="21" t="str"/>
      <x:c r="R79" s="21" t="str"/>
      <x:c r="S79" s="21" t="str"/>
      <x:c r="T79" s="17" t="str">
        <x:v>false</x:v>
      </x:c>
      <x:c r="U79" s="17" t="str">
        <x:v>true</x:v>
      </x:c>
      <x:c r="V79" s="17" t="str">
        <x:v>false</x:v>
      </x:c>
    </x:row>
    <x:row r="80" ht="80" customHeight="1">
      <x:c r="A80" s="25" t="str">
        <x:v>Closure</x:v>
      </x:c>
      <x:c r="B80" s="25" t="n">
        <x:v>14</x:v>
      </x:c>
      <x:c r="C80" s="25" t="str">
        <x:v>Round1</x:v>
      </x:c>
      <x:c r="D80" s="25" t="str">
        <x:v>NOT_REVEALING</x:v>
      </x:c>
      <x:c r="E80" s="25" t="str">
        <x:v>N/A</x:v>
      </x:c>
      <x:c r="F80" s="26" t="str">
        <x:v>Same saved validation suite passed on buggy and fixed</x:v>
      </x:c>
      <x:c r="G80" s="25" t="str">
        <x:v>true</x:v>
      </x:c>
      <x:c r="H80" s="25" t="str">
        <x:v>NOT_REVEALING</x:v>
      </x:c>
      <x:c r="I80" s="25" t="str">
        <x:v>PASS</x:v>
      </x:c>
      <x:c r="J80" s="25" t="str">
        <x:v>PASS</x:v>
      </x:c>
      <x:c r="K80" s="25" t="n">
        <x:v>5</x:v>
      </x:c>
      <x:c r="L80" s="27" t="b">
        <x:v>0</x:v>
      </x:c>
      <x:c r="M80" s="25" t="str">
        <x:v>Feedback-Directed Random Test Generation/rounds/Round1/state/Closure.json</x:v>
      </x:c>
      <x:c r="N80" s="25" t="str">
        <x:v>Feedback-Directed Random Test Generation/Result/Closure_14/result.json</x:v>
      </x:c>
      <x:c r="O80" s="25" t="str">
        <x:v>Feedback-Directed Random Test Generation/Result/Closure_14/result.json</x:v>
      </x:c>
      <x:c r="P80"/>
      <x:c r="Q80" s="21" t="str"/>
      <x:c r="R80" s="21" t="str"/>
      <x:c r="S80" s="21" t="str"/>
      <x:c r="T80" s="17" t="str">
        <x:v>false</x:v>
      </x:c>
      <x:c r="U80" s="17" t="str">
        <x:v>true</x:v>
      </x:c>
      <x:c r="V80" s="17" t="str">
        <x:v>false</x:v>
      </x:c>
    </x:row>
    <x:row r="81" ht="80" customHeight="1">
      <x:c r="A81" s="25" t="str">
        <x:v>Closure</x:v>
      </x:c>
      <x:c r="B81" s="25" t="n">
        <x:v>15</x:v>
      </x:c>
      <x:c r="C81" s="25" t="str">
        <x:v>Round1</x:v>
      </x:c>
      <x:c r="D81" s="25" t="str">
        <x:v>NOT_REVEALING</x:v>
      </x:c>
      <x:c r="E81" s="25" t="str">
        <x:v>N/A</x:v>
      </x:c>
      <x:c r="F81" s="26" t="str">
        <x:v>Same saved validation suite passed on buggy and fixed</x:v>
      </x:c>
      <x:c r="G81" s="25" t="str">
        <x:v>true</x:v>
      </x:c>
      <x:c r="H81" s="25" t="str">
        <x:v>NOT_REVEALING</x:v>
      </x:c>
      <x:c r="I81" s="25" t="str">
        <x:v>PASS</x:v>
      </x:c>
      <x:c r="J81" s="25" t="str">
        <x:v>PASS</x:v>
      </x:c>
      <x:c r="K81" s="25" t="n">
        <x:v>5</x:v>
      </x:c>
      <x:c r="L81" s="27" t="b">
        <x:v>0</x:v>
      </x:c>
      <x:c r="M81" s="25" t="str">
        <x:v>Feedback-Directed Random Test Generation/rounds/Round1/state/Closure.json</x:v>
      </x:c>
      <x:c r="N81" s="25" t="str">
        <x:v>Feedback-Directed Random Test Generation/Result/Closure_15/result.json</x:v>
      </x:c>
      <x:c r="O81" s="25" t="str">
        <x:v>Feedback-Directed Random Test Generation/Result/Closure_15/result.json</x:v>
      </x:c>
      <x:c r="P81"/>
      <x:c r="Q81" s="21" t="str"/>
      <x:c r="R81" s="21" t="str"/>
      <x:c r="S81" s="21" t="str"/>
      <x:c r="T81" s="17" t="str">
        <x:v>false</x:v>
      </x:c>
      <x:c r="U81" s="17" t="str">
        <x:v>true</x:v>
      </x:c>
      <x:c r="V81" s="17" t="str">
        <x:v>false</x:v>
      </x:c>
    </x:row>
    <x:row r="82" ht="80" customHeight="1">
      <x:c r="A82" s="25" t="str">
        <x:v>Closure</x:v>
      </x:c>
      <x:c r="B82" s="25" t="n">
        <x:v>16</x:v>
      </x:c>
      <x:c r="C82" s="25" t="str">
        <x:v>Round1</x:v>
      </x:c>
      <x:c r="D82" s="25" t="str">
        <x:v>NOT_REVEALING</x:v>
      </x:c>
      <x:c r="E82" s="25" t="str">
        <x:v>N/A</x:v>
      </x:c>
      <x:c r="F82" s="26" t="str">
        <x:v>Same saved validation suite passed on buggy and fixed</x:v>
      </x:c>
      <x:c r="G82" s="25" t="str">
        <x:v>true</x:v>
      </x:c>
      <x:c r="H82" s="25" t="str">
        <x:v>NOT_REVEALING</x:v>
      </x:c>
      <x:c r="I82" s="25" t="str">
        <x:v>PASS</x:v>
      </x:c>
      <x:c r="J82" s="25" t="str">
        <x:v>PASS</x:v>
      </x:c>
      <x:c r="K82" s="25" t="n">
        <x:v>2</x:v>
      </x:c>
      <x:c r="L82" s="27" t="b">
        <x:v>0</x:v>
      </x:c>
      <x:c r="M82" s="25" t="str">
        <x:v>Feedback-Directed Random Test Generation/rounds/Round1/state/Closure.json</x:v>
      </x:c>
      <x:c r="N82" s="25" t="str">
        <x:v>Feedback-Directed Random Test Generation/Result/Closure_16/result.json</x:v>
      </x:c>
      <x:c r="O82" s="25" t="str">
        <x:v>Feedback-Directed Random Test Generation/Result/Closure_16/result.json</x:v>
      </x:c>
      <x:c r="P82"/>
      <x:c r="Q82" s="21" t="str"/>
      <x:c r="R82" s="21" t="str"/>
      <x:c r="S82" s="21" t="str"/>
      <x:c r="T82" s="17" t="str">
        <x:v>false</x:v>
      </x:c>
      <x:c r="U82" s="17" t="str">
        <x:v>true</x:v>
      </x:c>
      <x:c r="V82" s="17" t="str">
        <x:v>false</x:v>
      </x:c>
    </x:row>
    <x:row r="83" ht="80" customHeight="1">
      <x:c r="A83" s="25" t="str">
        <x:v>Closure</x:v>
      </x:c>
      <x:c r="B83" s="25" t="n">
        <x:v>17</x:v>
      </x:c>
      <x:c r="C83" s="25" t="str">
        <x:v>Round1</x:v>
      </x:c>
      <x:c r="D83" s="25" t="str">
        <x:v>NOT_REVEALING</x:v>
      </x:c>
      <x:c r="E83" s="25" t="str">
        <x:v>N/A</x:v>
      </x:c>
      <x:c r="F83" s="26" t="str">
        <x:v>Same saved validation suite passed on buggy and fixed</x:v>
      </x:c>
      <x:c r="G83" s="25" t="str">
        <x:v>true</x:v>
      </x:c>
      <x:c r="H83" s="25" t="str">
        <x:v>NOT_REVEALING</x:v>
      </x:c>
      <x:c r="I83" s="25" t="str">
        <x:v>PASS</x:v>
      </x:c>
      <x:c r="J83" s="25" t="str">
        <x:v>PASS</x:v>
      </x:c>
      <x:c r="K83" s="25" t="n">
        <x:v>2</x:v>
      </x:c>
      <x:c r="L83" s="27" t="b">
        <x:v>0</x:v>
      </x:c>
      <x:c r="M83" s="25" t="str">
        <x:v>Feedback-Directed Random Test Generation/rounds/Round1/state/Closure.json</x:v>
      </x:c>
      <x:c r="N83" s="25" t="str">
        <x:v>Feedback-Directed Random Test Generation/Result/Closure_17/result.json</x:v>
      </x:c>
      <x:c r="O83" s="25" t="str">
        <x:v>Feedback-Directed Random Test Generation/Result/Closure_17/result.json</x:v>
      </x:c>
      <x:c r="P83"/>
      <x:c r="Q83" s="21" t="str"/>
      <x:c r="R83" s="21" t="str"/>
      <x:c r="S83" s="21" t="str"/>
      <x:c r="T83" s="17" t="str">
        <x:v>false</x:v>
      </x:c>
      <x:c r="U83" s="17" t="str">
        <x:v>true</x:v>
      </x:c>
      <x:c r="V83" s="17" t="str">
        <x:v>false</x:v>
      </x:c>
    </x:row>
    <x:row r="84" ht="80" customHeight="1">
      <x:c r="A84" s="25" t="str">
        <x:v>Closure</x:v>
      </x:c>
      <x:c r="B84" s="25" t="n">
        <x:v>18</x:v>
      </x:c>
      <x:c r="C84" s="25" t="str">
        <x:v>Round1</x:v>
      </x:c>
      <x:c r="D84" s="25" t="str">
        <x:v>INCONCLUSIVE</x:v>
      </x:c>
      <x:c r="E84" s="25" t="str">
        <x:v>N/A</x:v>
      </x:c>
      <x:c r="F84" s="26" t="str">
        <x:v>Fixed also failed; assertion failure cannot be attributed to this bug; Assertions failed with measured coverage; paired execution and stage checks determine status</x:v>
      </x:c>
      <x:c r="G84" s="25" t="str">
        <x:v>true</x:v>
      </x:c>
      <x:c r="H84" s="25" t="str">
        <x:v>INCONCLUSIVE</x:v>
      </x:c>
      <x:c r="I84" s="25" t="str">
        <x:v>FAIL</x:v>
      </x:c>
      <x:c r="J84" s="25" t="str">
        <x:v>FAIL</x:v>
      </x:c>
      <x:c r="K84" s="25" t="n">
        <x:v>6</x:v>
      </x:c>
      <x:c r="L84" s="27" t="b">
        <x:v>0</x:v>
      </x:c>
      <x:c r="M84" s="25" t="str">
        <x:v>Feedback-Directed Random Test Generation/rounds/Round1/state/Closure.json</x:v>
      </x:c>
      <x:c r="N84" s="25" t="str">
        <x:v>Feedback-Directed Random Test Generation/Result/Closure_18/result.json</x:v>
      </x:c>
      <x:c r="O84" s="25" t="str">
        <x:v>Feedback-Directed Random Test Generation/Result/Closure_18/result.json</x:v>
      </x:c>
      <x:c r="P84"/>
      <x:c r="Q84" s="21" t="str"/>
      <x:c r="R84" s="21" t="str"/>
      <x:c r="S84" s="21" t="str"/>
      <x:c r="T84" s="17" t="str">
        <x:v>false</x:v>
      </x:c>
      <x:c r="U84" s="17" t="str">
        <x:v>true</x:v>
      </x:c>
      <x:c r="V84" s="17" t="str">
        <x:v>false</x:v>
      </x:c>
    </x:row>
    <x:row r="85" ht="80" customHeight="1">
      <x:c r="A85" s="25" t="str">
        <x:v>Closure</x:v>
      </x:c>
      <x:c r="B85" s="25" t="n">
        <x:v>19</x:v>
      </x:c>
      <x:c r="C85" s="25" t="str">
        <x:v>Round1</x:v>
      </x:c>
      <x:c r="D85" s="25" t="str">
        <x:v>NOT_REVEALING</x:v>
      </x:c>
      <x:c r="E85" s="25" t="str">
        <x:v>N/A</x:v>
      </x:c>
      <x:c r="F85" s="26" t="str">
        <x:v>Same saved validation suite passed on buggy and fixed</x:v>
      </x:c>
      <x:c r="G85" s="25" t="str">
        <x:v>true</x:v>
      </x:c>
      <x:c r="H85" s="25" t="str">
        <x:v>NOT_REVEALING</x:v>
      </x:c>
      <x:c r="I85" s="25" t="str">
        <x:v>PASS</x:v>
      </x:c>
      <x:c r="J85" s="25" t="str">
        <x:v>PASS</x:v>
      </x:c>
      <x:c r="K85" s="25" t="n">
        <x:v>2</x:v>
      </x:c>
      <x:c r="L85" s="27" t="b">
        <x:v>0</x:v>
      </x:c>
      <x:c r="M85" s="25" t="str">
        <x:v>Feedback-Directed Random Test Generation/rounds/Round1/state/Closure.json</x:v>
      </x:c>
      <x:c r="N85" s="25" t="str">
        <x:v>Feedback-Directed Random Test Generation/Result/Closure_19/result.json</x:v>
      </x:c>
      <x:c r="O85" s="25" t="str">
        <x:v>Feedback-Directed Random Test Generation/Result/Closure_19/result.json</x:v>
      </x:c>
      <x:c r="P85"/>
      <x:c r="Q85" s="21" t="str"/>
      <x:c r="R85" s="21" t="str"/>
      <x:c r="S85" s="21" t="str"/>
      <x:c r="T85" s="17" t="str">
        <x:v>false</x:v>
      </x:c>
      <x:c r="U85" s="17" t="str">
        <x:v>true</x:v>
      </x:c>
      <x:c r="V85" s="17" t="str">
        <x:v>false</x:v>
      </x:c>
    </x:row>
    <x:row r="86" ht="80" customHeight="1">
      <x:c r="A86" s="25" t="str">
        <x:v>Closure</x:v>
      </x:c>
      <x:c r="B86" s="25" t="n">
        <x:v>20</x:v>
      </x:c>
      <x:c r="C86" s="25" t="str">
        <x:v>Round1</x:v>
      </x:c>
      <x:c r="D86" s="25" t="str">
        <x:v>NOT_REVEALING</x:v>
      </x:c>
      <x:c r="E86" s="25" t="str">
        <x:v>N/A</x:v>
      </x:c>
      <x:c r="F86" s="26" t="str">
        <x:v>Same saved validation suite passed on buggy and fixed</x:v>
      </x:c>
      <x:c r="G86" s="25" t="str">
        <x:v>true</x:v>
      </x:c>
      <x:c r="H86" s="25" t="str">
        <x:v>NOT_REVEALING</x:v>
      </x:c>
      <x:c r="I86" s="25" t="str">
        <x:v>PASS</x:v>
      </x:c>
      <x:c r="J86" s="25" t="str">
        <x:v>PASS</x:v>
      </x:c>
      <x:c r="K86" s="25" t="n">
        <x:v>5</x:v>
      </x:c>
      <x:c r="L86" s="27" t="b">
        <x:v>0</x:v>
      </x:c>
      <x:c r="M86" s="25" t="str">
        <x:v>Feedback-Directed Random Test Generation/rounds/Round1/state/Closure.json</x:v>
      </x:c>
      <x:c r="N86" s="25" t="str">
        <x:v>Feedback-Directed Random Test Generation/Result/Closure_20/result.json</x:v>
      </x:c>
      <x:c r="O86" s="25" t="str">
        <x:v>Feedback-Directed Random Test Generation/Result/Closure_20/result.json</x:v>
      </x:c>
      <x:c r="P86"/>
      <x:c r="Q86" s="21" t="str"/>
      <x:c r="R86" s="21" t="str"/>
      <x:c r="S86" s="21" t="str"/>
      <x:c r="T86" s="17" t="str">
        <x:v>false</x:v>
      </x:c>
      <x:c r="U86" s="17" t="str">
        <x:v>true</x:v>
      </x:c>
      <x:c r="V86" s="17" t="str">
        <x:v>false</x:v>
      </x:c>
    </x:row>
    <x:row r="87" ht="80" customHeight="1">
      <x:c r="A87" s="25" t="str">
        <x:v>Closure</x:v>
      </x:c>
      <x:c r="B87" s="25" t="n">
        <x:v>21</x:v>
      </x:c>
      <x:c r="C87" s="25" t="str">
        <x:v>Round1</x:v>
      </x:c>
      <x:c r="D87" s="25" t="str">
        <x:v>NOT_REVEALING</x:v>
      </x:c>
      <x:c r="E87" s="25" t="str">
        <x:v>N/A</x:v>
      </x:c>
      <x:c r="F87" s="26" t="str">
        <x:v>Same saved validation suite passed on buggy and fixed</x:v>
      </x:c>
      <x:c r="G87" s="25" t="str">
        <x:v>true</x:v>
      </x:c>
      <x:c r="H87" s="25" t="str">
        <x:v>NOT_REVEALING</x:v>
      </x:c>
      <x:c r="I87" s="25" t="str">
        <x:v>PASS</x:v>
      </x:c>
      <x:c r="J87" s="25" t="str">
        <x:v>PASS</x:v>
      </x:c>
      <x:c r="K87" s="25" t="n">
        <x:v>2</x:v>
      </x:c>
      <x:c r="L87" s="27" t="b">
        <x:v>0</x:v>
      </x:c>
      <x:c r="M87" s="25" t="str">
        <x:v>Feedback-Directed Random Test Generation/rounds/Round1/state/Closure.json</x:v>
      </x:c>
      <x:c r="N87" s="25" t="str">
        <x:v>Feedback-Directed Random Test Generation/Result/Closure_21/result.json</x:v>
      </x:c>
      <x:c r="O87" s="25" t="str">
        <x:v>Feedback-Directed Random Test Generation/Result/Closure_21/result.json</x:v>
      </x:c>
      <x:c r="P87"/>
      <x:c r="Q87" s="21" t="str"/>
      <x:c r="R87" s="21" t="str"/>
      <x:c r="S87" s="21" t="str"/>
      <x:c r="T87" s="17" t="str">
        <x:v>false</x:v>
      </x:c>
      <x:c r="U87" s="17" t="str">
        <x:v>true</x:v>
      </x:c>
      <x:c r="V87" s="17" t="str">
        <x:v>false</x:v>
      </x:c>
    </x:row>
    <x:row r="88" ht="80" customHeight="1">
      <x:c r="A88" s="25" t="str">
        <x:v>Closure</x:v>
      </x:c>
      <x:c r="B88" s="25" t="n">
        <x:v>22</x:v>
      </x:c>
      <x:c r="C88" s="25" t="str">
        <x:v>Round1</x:v>
      </x:c>
      <x:c r="D88" s="25" t="str">
        <x:v>NOT_REVEALING</x:v>
      </x:c>
      <x:c r="E88" s="25" t="str">
        <x:v>N/A</x:v>
      </x:c>
      <x:c r="F88" s="26" t="str">
        <x:v>Same saved validation suite passed on buggy and fixed</x:v>
      </x:c>
      <x:c r="G88" s="25" t="str">
        <x:v>true</x:v>
      </x:c>
      <x:c r="H88" s="25" t="str">
        <x:v>NOT_REVEALING</x:v>
      </x:c>
      <x:c r="I88" s="25" t="str">
        <x:v>PASS</x:v>
      </x:c>
      <x:c r="J88" s="25" t="str">
        <x:v>PASS</x:v>
      </x:c>
      <x:c r="K88" s="25" t="n">
        <x:v>2</x:v>
      </x:c>
      <x:c r="L88" s="27" t="b">
        <x:v>0</x:v>
      </x:c>
      <x:c r="M88" s="25" t="str">
        <x:v>Feedback-Directed Random Test Generation/rounds/Round1/state/Closure.json</x:v>
      </x:c>
      <x:c r="N88" s="25" t="str">
        <x:v>Feedback-Directed Random Test Generation/Result/Closure_22/result.json</x:v>
      </x:c>
      <x:c r="O88" s="25" t="str">
        <x:v>Feedback-Directed Random Test Generation/Result/Closure_22/result.json</x:v>
      </x:c>
      <x:c r="P88"/>
      <x:c r="Q88" s="21" t="str"/>
      <x:c r="R88" s="21" t="str"/>
      <x:c r="S88" s="21" t="str"/>
      <x:c r="T88" s="17" t="str">
        <x:v>false</x:v>
      </x:c>
      <x:c r="U88" s="17" t="str">
        <x:v>true</x:v>
      </x:c>
      <x:c r="V88" s="17" t="str">
        <x:v>false</x:v>
      </x:c>
    </x:row>
    <x:row r="89" ht="80" customHeight="1">
      <x:c r="A89" s="25" t="str">
        <x:v>Closure</x:v>
      </x:c>
      <x:c r="B89" s="25" t="n">
        <x:v>23</x:v>
      </x:c>
      <x:c r="C89" s="25" t="str">
        <x:v>Round1</x:v>
      </x:c>
      <x:c r="D89" s="25" t="str">
        <x:v>NOT_REVEALING</x:v>
      </x:c>
      <x:c r="E89" s="25" t="str">
        <x:v>N/A</x:v>
      </x:c>
      <x:c r="F89" s="26" t="str">
        <x:v>Same saved validation suite passed on buggy and fixed</x:v>
      </x:c>
      <x:c r="G89" s="25" t="str">
        <x:v>true</x:v>
      </x:c>
      <x:c r="H89" s="25" t="str">
        <x:v>NOT_REVEALING</x:v>
      </x:c>
      <x:c r="I89" s="25" t="str">
        <x:v>PASS</x:v>
      </x:c>
      <x:c r="J89" s="25" t="str">
        <x:v>PASS</x:v>
      </x:c>
      <x:c r="K89" s="25" t="n">
        <x:v>2</x:v>
      </x:c>
      <x:c r="L89" s="27" t="b">
        <x:v>0</x:v>
      </x:c>
      <x:c r="M89" s="25" t="str">
        <x:v>Feedback-Directed Random Test Generation/rounds/Round1/state/Closure.json</x:v>
      </x:c>
      <x:c r="N89" s="25" t="str">
        <x:v>Feedback-Directed Random Test Generation/Result/Closure_23/result.json</x:v>
      </x:c>
      <x:c r="O89" s="25" t="str">
        <x:v>Feedback-Directed Random Test Generation/Result/Closure_23/result.json</x:v>
      </x:c>
      <x:c r="P89"/>
      <x:c r="Q89" s="21" t="str"/>
      <x:c r="R89" s="21" t="str"/>
      <x:c r="S89" s="21" t="str"/>
      <x:c r="T89" s="17" t="str">
        <x:v>false</x:v>
      </x:c>
      <x:c r="U89" s="17" t="str">
        <x:v>true</x:v>
      </x:c>
      <x:c r="V89" s="17" t="str">
        <x:v>false</x:v>
      </x:c>
    </x:row>
    <x:row r="90" ht="80" customHeight="1">
      <x:c r="A90" s="25" t="str">
        <x:v>Closure</x:v>
      </x:c>
      <x:c r="B90" s="25" t="n">
        <x:v>24</x:v>
      </x:c>
      <x:c r="C90" s="25" t="str">
        <x:v>Round1</x:v>
      </x:c>
      <x:c r="D90" s="25" t="str">
        <x:v>NOT_REVEALING</x:v>
      </x:c>
      <x:c r="E90" s="25" t="str">
        <x:v>N/A</x:v>
      </x:c>
      <x:c r="F90" s="26" t="str">
        <x:v>Same saved validation suite passed on buggy and fixed</x:v>
      </x:c>
      <x:c r="G90" s="25" t="str">
        <x:v>true</x:v>
      </x:c>
      <x:c r="H90" s="25" t="str">
        <x:v>NOT_REVEALING</x:v>
      </x:c>
      <x:c r="I90" s="25" t="str">
        <x:v>PASS</x:v>
      </x:c>
      <x:c r="J90" s="25" t="str">
        <x:v>PASS</x:v>
      </x:c>
      <x:c r="K90" s="25" t="n">
        <x:v>2</x:v>
      </x:c>
      <x:c r="L90" s="27" t="b">
        <x:v>0</x:v>
      </x:c>
      <x:c r="M90" s="25" t="str">
        <x:v>Feedback-Directed Random Test Generation/rounds/Round1/state/Closure.json</x:v>
      </x:c>
      <x:c r="N90" s="25" t="str">
        <x:v>Feedback-Directed Random Test Generation/Result/Closure_24/result.json</x:v>
      </x:c>
      <x:c r="O90" s="25" t="str">
        <x:v>Feedback-Directed Random Test Generation/Result/Closure_24/result.json</x:v>
      </x:c>
      <x:c r="P90"/>
      <x:c r="Q90" s="21" t="str"/>
      <x:c r="R90" s="21" t="str"/>
      <x:c r="S90" s="21" t="str"/>
      <x:c r="T90" s="17" t="str">
        <x:v>false</x:v>
      </x:c>
      <x:c r="U90" s="17" t="str">
        <x:v>true</x:v>
      </x:c>
      <x:c r="V90" s="17" t="str">
        <x:v>false</x:v>
      </x:c>
    </x:row>
    <x:row r="91" ht="80" customHeight="1">
      <x:c r="A91" s="25" t="str">
        <x:v>Closure</x:v>
      </x:c>
      <x:c r="B91" s="25" t="n">
        <x:v>25</x:v>
      </x:c>
      <x:c r="C91" s="25" t="str">
        <x:v>Round1</x:v>
      </x:c>
      <x:c r="D91" s="25" t="str">
        <x:v>NOT_REVEALING</x:v>
      </x:c>
      <x:c r="E91" s="25" t="str">
        <x:v>N/A</x:v>
      </x:c>
      <x:c r="F91" s="26" t="str">
        <x:v>Same saved validation suite passed on buggy and fixed</x:v>
      </x:c>
      <x:c r="G91" s="25" t="str">
        <x:v>true</x:v>
      </x:c>
      <x:c r="H91" s="25" t="str">
        <x:v>NOT_REVEALING</x:v>
      </x:c>
      <x:c r="I91" s="25" t="str">
        <x:v>PASS</x:v>
      </x:c>
      <x:c r="J91" s="25" t="str">
        <x:v>PASS</x:v>
      </x:c>
      <x:c r="K91" s="25" t="n">
        <x:v>2</x:v>
      </x:c>
      <x:c r="L91" s="27" t="b">
        <x:v>0</x:v>
      </x:c>
      <x:c r="M91" s="25" t="str">
        <x:v>Feedback-Directed Random Test Generation/rounds/Round1/state/Closure.json</x:v>
      </x:c>
      <x:c r="N91" s="25" t="str">
        <x:v>Feedback-Directed Random Test Generation/Result/Closure_25/result.json</x:v>
      </x:c>
      <x:c r="O91" s="25" t="str">
        <x:v>Feedback-Directed Random Test Generation/Result/Closure_25/result.json</x:v>
      </x:c>
      <x:c r="P91"/>
      <x:c r="Q91" s="21" t="str"/>
      <x:c r="R91" s="21" t="str"/>
      <x:c r="S91" s="21" t="str"/>
      <x:c r="T91" s="17" t="str">
        <x:v>false</x:v>
      </x:c>
      <x:c r="U91" s="17" t="str">
        <x:v>true</x:v>
      </x:c>
      <x:c r="V91" s="17" t="str">
        <x:v>false</x:v>
      </x:c>
    </x:row>
    <x:row r="92" ht="80" customHeight="1">
      <x:c r="A92" s="25" t="str">
        <x:v>Closure</x:v>
      </x:c>
      <x:c r="B92" s="25" t="n">
        <x:v>26</x:v>
      </x:c>
      <x:c r="C92" s="25" t="str">
        <x:v>Round1</x:v>
      </x:c>
      <x:c r="D92" s="25" t="str">
        <x:v>NOT_REVEALING</x:v>
      </x:c>
      <x:c r="E92" s="25" t="str">
        <x:v>N/A</x:v>
      </x:c>
      <x:c r="F92" s="26" t="str">
        <x:v>Same saved validation suite passed on buggy and fixed</x:v>
      </x:c>
      <x:c r="G92" s="25" t="str">
        <x:v>true</x:v>
      </x:c>
      <x:c r="H92" s="25" t="str">
        <x:v>NOT_REVEALING</x:v>
      </x:c>
      <x:c r="I92" s="25" t="str">
        <x:v>PASS</x:v>
      </x:c>
      <x:c r="J92" s="25" t="str">
        <x:v>PASS</x:v>
      </x:c>
      <x:c r="K92" s="25" t="n">
        <x:v>5</x:v>
      </x:c>
      <x:c r="L92" s="27" t="b">
        <x:v>0</x:v>
      </x:c>
      <x:c r="M92" s="25" t="str">
        <x:v>Feedback-Directed Random Test Generation/rounds/Round1/state/Closure.json</x:v>
      </x:c>
      <x:c r="N92" s="25" t="str">
        <x:v>Feedback-Directed Random Test Generation/Result/Closure_26/result.json</x:v>
      </x:c>
      <x:c r="O92" s="25" t="str">
        <x:v>Feedback-Directed Random Test Generation/Result/Closure_26/result.json</x:v>
      </x:c>
      <x:c r="P92"/>
      <x:c r="Q92" s="21" t="str"/>
      <x:c r="R92" s="21" t="str"/>
      <x:c r="S92" s="21" t="str"/>
      <x:c r="T92" s="17" t="str">
        <x:v>false</x:v>
      </x:c>
      <x:c r="U92" s="17" t="str">
        <x:v>true</x:v>
      </x:c>
      <x:c r="V92" s="17" t="str">
        <x:v>false</x:v>
      </x:c>
    </x:row>
    <x:row r="93" ht="80" customHeight="1">
      <x:c r="A93" s="25" t="str">
        <x:v>Closure</x:v>
      </x:c>
      <x:c r="B93" s="25" t="n">
        <x:v>27</x:v>
      </x:c>
      <x:c r="C93" s="25" t="str">
        <x:v>Round1</x:v>
      </x:c>
      <x:c r="D93" s="25" t="str">
        <x:v>INCONCLUSIVE</x:v>
      </x:c>
      <x:c r="E93" s="25" t="str">
        <x:v>N/A</x:v>
      </x:c>
      <x:c r="F93" s="26" t="str">
        <x:v>Fixed also failed; assertion failure cannot be attributed to this bug</x:v>
      </x:c>
      <x:c r="G93" s="25" t="str">
        <x:v>true</x:v>
      </x:c>
      <x:c r="H93" s="25" t="str">
        <x:v>INCONCLUSIVE</x:v>
      </x:c>
      <x:c r="I93" s="25" t="str">
        <x:v>PASS</x:v>
      </x:c>
      <x:c r="J93" s="25" t="str">
        <x:v>FAIL</x:v>
      </x:c>
      <x:c r="K93" s="25" t="n">
        <x:v>9</x:v>
      </x:c>
      <x:c r="L93" s="27" t="b">
        <x:v>0</x:v>
      </x:c>
      <x:c r="M93" s="25" t="str">
        <x:v>Feedback-Directed Random Test Generation/rounds/Round1/state/Closure.json</x:v>
      </x:c>
      <x:c r="N93" s="25" t="str">
        <x:v>Feedback-Directed Random Test Generation/Result/Closure_27/result.json</x:v>
      </x:c>
      <x:c r="O93" s="25" t="str">
        <x:v>Feedback-Directed Random Test Generation/Result/Closure_27/result.json</x:v>
      </x:c>
      <x:c r="P93"/>
      <x:c r="Q93" s="21" t="str"/>
      <x:c r="R93" s="21" t="str"/>
      <x:c r="S93" s="21" t="str"/>
      <x:c r="T93" s="17" t="str">
        <x:v>false</x:v>
      </x:c>
      <x:c r="U93" s="17" t="str">
        <x:v>true</x:v>
      </x:c>
      <x:c r="V93" s="17" t="str">
        <x:v>false</x:v>
      </x:c>
    </x:row>
    <x:row r="94" ht="80" customHeight="1">
      <x:c r="A94" s="25" t="str">
        <x:v>Closure</x:v>
      </x:c>
      <x:c r="B94" s="25" t="n">
        <x:v>28</x:v>
      </x:c>
      <x:c r="C94" s="25" t="str">
        <x:v>Round1</x:v>
      </x:c>
      <x:c r="D94" s="25" t="str">
        <x:v>NOT_REVEALING</x:v>
      </x:c>
      <x:c r="E94" s="25" t="str">
        <x:v>N/A</x:v>
      </x:c>
      <x:c r="F94" s="26" t="str">
        <x:v>Same saved validation suite passed on buggy and fixed</x:v>
      </x:c>
      <x:c r="G94" s="25" t="str">
        <x:v>true</x:v>
      </x:c>
      <x:c r="H94" s="25" t="str">
        <x:v>NOT_REVEALING</x:v>
      </x:c>
      <x:c r="I94" s="25" t="str">
        <x:v>PASS</x:v>
      </x:c>
      <x:c r="J94" s="25" t="str">
        <x:v>PASS</x:v>
      </x:c>
      <x:c r="K94" s="25" t="n">
        <x:v>2</x:v>
      </x:c>
      <x:c r="L94" s="27" t="b">
        <x:v>0</x:v>
      </x:c>
      <x:c r="M94" s="25" t="str">
        <x:v>Feedback-Directed Random Test Generation/rounds/Round1/state/Closure.json</x:v>
      </x:c>
      <x:c r="N94" s="25" t="str">
        <x:v>Feedback-Directed Random Test Generation/Result/Closure_28/result.json</x:v>
      </x:c>
      <x:c r="O94" s="25" t="str">
        <x:v>Feedback-Directed Random Test Generation/Result/Closure_28/result.json</x:v>
      </x:c>
      <x:c r="P94"/>
      <x:c r="Q94" s="21" t="str"/>
      <x:c r="R94" s="21" t="str"/>
      <x:c r="S94" s="21" t="str"/>
      <x:c r="T94" s="17" t="str">
        <x:v>false</x:v>
      </x:c>
      <x:c r="U94" s="17" t="str">
        <x:v>true</x:v>
      </x:c>
      <x:c r="V94" s="17" t="str">
        <x:v>false</x:v>
      </x:c>
    </x:row>
    <x:row r="95" ht="80" customHeight="1">
      <x:c r="A95" s="25" t="str">
        <x:v>Closure</x:v>
      </x:c>
      <x:c r="B95" s="25" t="n">
        <x:v>29</x:v>
      </x:c>
      <x:c r="C95" s="25" t="str">
        <x:v>Round1</x:v>
      </x:c>
      <x:c r="D95" s="25" t="str">
        <x:v>NOT_REVEALING</x:v>
      </x:c>
      <x:c r="E95" s="25" t="str">
        <x:v>N/A</x:v>
      </x:c>
      <x:c r="F95" s="26" t="str">
        <x:v>Same saved validation suite passed on buggy and fixed</x:v>
      </x:c>
      <x:c r="G95" s="25" t="str">
        <x:v>true</x:v>
      </x:c>
      <x:c r="H95" s="25" t="str">
        <x:v>NOT_REVEALING</x:v>
      </x:c>
      <x:c r="I95" s="25" t="str">
        <x:v>PASS</x:v>
      </x:c>
      <x:c r="J95" s="25" t="str">
        <x:v>PASS</x:v>
      </x:c>
      <x:c r="K95" s="25" t="n">
        <x:v>2</x:v>
      </x:c>
      <x:c r="L95" s="27" t="b">
        <x:v>0</x:v>
      </x:c>
      <x:c r="M95" s="25" t="str">
        <x:v>Feedback-Directed Random Test Generation/rounds/Round1/state/Closure.json</x:v>
      </x:c>
      <x:c r="N95" s="25" t="str">
        <x:v>Feedback-Directed Random Test Generation/Result/Closure_29/result.json</x:v>
      </x:c>
      <x:c r="O95" s="25" t="str">
        <x:v>Feedback-Directed Random Test Generation/Result/Closure_29/result.json</x:v>
      </x:c>
      <x:c r="P95"/>
      <x:c r="Q95" s="21" t="str"/>
      <x:c r="R95" s="21" t="str"/>
      <x:c r="S95" s="21" t="str"/>
      <x:c r="T95" s="17" t="str">
        <x:v>false</x:v>
      </x:c>
      <x:c r="U95" s="17" t="str">
        <x:v>true</x:v>
      </x:c>
      <x:c r="V95" s="17" t="str">
        <x:v>false</x:v>
      </x:c>
    </x:row>
    <x:row r="96" ht="80" customHeight="1">
      <x:c r="A96" s="25" t="str">
        <x:v>Closure</x:v>
      </x:c>
      <x:c r="B96" s="25" t="n">
        <x:v>30</x:v>
      </x:c>
      <x:c r="C96" s="25" t="str">
        <x:v>Round1</x:v>
      </x:c>
      <x:c r="D96" s="25" t="str">
        <x:v>INCONCLUSIVE</x:v>
      </x:c>
      <x:c r="E96" s="25" t="str">
        <x:v>N/A</x:v>
      </x:c>
      <x:c r="F96" s="26" t="str">
        <x:v>Fixed also failed; assertion failure cannot be attributed to this bug; Assertions failed with measured coverage; paired execution and stage checks determine status</x:v>
      </x:c>
      <x:c r="G96" s="25" t="str">
        <x:v>true</x:v>
      </x:c>
      <x:c r="H96" s="25" t="str">
        <x:v>INCONCLUSIVE</x:v>
      </x:c>
      <x:c r="I96" s="25" t="str">
        <x:v>FAIL</x:v>
      </x:c>
      <x:c r="J96" s="25" t="str">
        <x:v>FAIL</x:v>
      </x:c>
      <x:c r="K96" s="25" t="n">
        <x:v>5</x:v>
      </x:c>
      <x:c r="L96" s="27" t="b">
        <x:v>0</x:v>
      </x:c>
      <x:c r="M96" s="25" t="str">
        <x:v>Feedback-Directed Random Test Generation/rounds/Round1/state/Closure.json</x:v>
      </x:c>
      <x:c r="N96" s="25" t="str">
        <x:v>Feedback-Directed Random Test Generation/Result/Closure_30/result.json</x:v>
      </x:c>
      <x:c r="O96" s="25" t="str">
        <x:v>Feedback-Directed Random Test Generation/Result/Closure_30/result.json</x:v>
      </x:c>
      <x:c r="P96"/>
      <x:c r="Q96" s="21" t="str"/>
      <x:c r="R96" s="21" t="str"/>
      <x:c r="S96" s="21" t="str"/>
      <x:c r="T96" s="17" t="str">
        <x:v>false</x:v>
      </x:c>
      <x:c r="U96" s="17" t="str">
        <x:v>true</x:v>
      </x:c>
      <x:c r="V96" s="17" t="str">
        <x:v>false</x:v>
      </x:c>
    </x:row>
    <x:row r="97" ht="80" customHeight="1">
      <x:c r="A97" s="25" t="str">
        <x:v>Closure</x:v>
      </x:c>
      <x:c r="B97" s="25" t="n">
        <x:v>31</x:v>
      </x:c>
      <x:c r="C97" s="25" t="str">
        <x:v>Round1</x:v>
      </x:c>
      <x:c r="D97" s="25" t="str">
        <x:v>INCONCLUSIVE</x:v>
      </x:c>
      <x:c r="E97" s="25" t="str">
        <x:v>N/A</x:v>
      </x:c>
      <x:c r="F97" s="26" t="str">
        <x:v>Fixed also failed; assertion failure cannot be attributed to this bug; Assertions failed with measured coverage; paired execution and stage checks determine status</x:v>
      </x:c>
      <x:c r="G97" s="25" t="str">
        <x:v>true</x:v>
      </x:c>
      <x:c r="H97" s="25" t="str">
        <x:v>INCONCLUSIVE</x:v>
      </x:c>
      <x:c r="I97" s="25" t="str">
        <x:v>FAIL</x:v>
      </x:c>
      <x:c r="J97" s="25" t="str">
        <x:v>FAIL</x:v>
      </x:c>
      <x:c r="K97" s="25" t="n">
        <x:v>6</x:v>
      </x:c>
      <x:c r="L97" s="27" t="b">
        <x:v>0</x:v>
      </x:c>
      <x:c r="M97" s="25" t="str">
        <x:v>Feedback-Directed Random Test Generation/rounds/Round1/state/Closure.json</x:v>
      </x:c>
      <x:c r="N97" s="25" t="str">
        <x:v>Feedback-Directed Random Test Generation/Result/Closure_31/result.json</x:v>
      </x:c>
      <x:c r="O97" s="25" t="str">
        <x:v>Feedback-Directed Random Test Generation/Result/Closure_31/result.json</x:v>
      </x:c>
      <x:c r="P97"/>
      <x:c r="Q97" s="21" t="str"/>
      <x:c r="R97" s="21" t="str"/>
      <x:c r="S97" s="21" t="str"/>
      <x:c r="T97" s="17" t="str">
        <x:v>false</x:v>
      </x:c>
      <x:c r="U97" s="17" t="str">
        <x:v>true</x:v>
      </x:c>
      <x:c r="V97" s="17" t="str">
        <x:v>false</x:v>
      </x:c>
    </x:row>
    <x:row r="98" ht="80" customHeight="1">
      <x:c r="A98" s="25" t="str">
        <x:v>Closure</x:v>
      </x:c>
      <x:c r="B98" s="25" t="n">
        <x:v>32</x:v>
      </x:c>
      <x:c r="C98" s="25" t="str">
        <x:v>Round1</x:v>
      </x:c>
      <x:c r="D98" s="25" t="str">
        <x:v>NOT_REVEALING</x:v>
      </x:c>
      <x:c r="E98" s="25" t="str">
        <x:v>N/A</x:v>
      </x:c>
      <x:c r="F98" s="26" t="str">
        <x:v>Same saved validation suite passed on buggy and fixed</x:v>
      </x:c>
      <x:c r="G98" s="25" t="str">
        <x:v>true</x:v>
      </x:c>
      <x:c r="H98" s="25" t="str">
        <x:v>NOT_REVEALING</x:v>
      </x:c>
      <x:c r="I98" s="25" t="str">
        <x:v>PASS</x:v>
      </x:c>
      <x:c r="J98" s="25" t="str">
        <x:v>PASS</x:v>
      </x:c>
      <x:c r="K98" s="25" t="n">
        <x:v>2</x:v>
      </x:c>
      <x:c r="L98" s="27" t="b">
        <x:v>0</x:v>
      </x:c>
      <x:c r="M98" s="25" t="str">
        <x:v>Feedback-Directed Random Test Generation/rounds/Round1/state/Closure.json</x:v>
      </x:c>
      <x:c r="N98" s="25" t="str">
        <x:v>Feedback-Directed Random Test Generation/Result/Closure_32/result.json</x:v>
      </x:c>
      <x:c r="O98" s="25" t="str">
        <x:v>Feedback-Directed Random Test Generation/Result/Closure_32/result.json</x:v>
      </x:c>
      <x:c r="P98"/>
      <x:c r="Q98" s="21" t="str"/>
      <x:c r="R98" s="21" t="str"/>
      <x:c r="S98" s="21" t="str"/>
      <x:c r="T98" s="17" t="str">
        <x:v>false</x:v>
      </x:c>
      <x:c r="U98" s="17" t="str">
        <x:v>true</x:v>
      </x:c>
      <x:c r="V98" s="17" t="str">
        <x:v>false</x:v>
      </x:c>
    </x:row>
    <x:row r="99" ht="80" customHeight="1">
      <x:c r="A99" s="25" t="str">
        <x:v>Closure</x:v>
      </x:c>
      <x:c r="B99" s="25" t="n">
        <x:v>33</x:v>
      </x:c>
      <x:c r="C99" s="25" t="str">
        <x:v>Round1</x:v>
      </x:c>
      <x:c r="D99" s="25" t="str">
        <x:v>INCONCLUSIVE</x:v>
      </x:c>
      <x:c r="E99" s="25" t="str">
        <x:v>N/A</x:v>
      </x:c>
      <x:c r="F99" s="26" t="str">
        <x:v>Fixed also failed; assertion failure cannot be attributed to this bug</x:v>
      </x:c>
      <x:c r="G99" s="25" t="str">
        <x:v>true</x:v>
      </x:c>
      <x:c r="H99" s="25" t="str">
        <x:v>INCONCLUSIVE</x:v>
      </x:c>
      <x:c r="I99" s="25" t="str">
        <x:v>PASS</x:v>
      </x:c>
      <x:c r="J99" s="25" t="str">
        <x:v>FAIL</x:v>
      </x:c>
      <x:c r="K99" s="25" t="n">
        <x:v>6</x:v>
      </x:c>
      <x:c r="L99" s="27" t="b">
        <x:v>0</x:v>
      </x:c>
      <x:c r="M99" s="25" t="str">
        <x:v>Feedback-Directed Random Test Generation/rounds/Round1/state/Closure.json</x:v>
      </x:c>
      <x:c r="N99" s="25" t="str">
        <x:v>Feedback-Directed Random Test Generation/Result/Closure_33/result.json</x:v>
      </x:c>
      <x:c r="O99" s="25" t="str">
        <x:v>Feedback-Directed Random Test Generation/Result/Closure_33/result.json</x:v>
      </x:c>
      <x:c r="P99"/>
      <x:c r="Q99" s="21" t="str"/>
      <x:c r="R99" s="21" t="str"/>
      <x:c r="S99" s="21" t="str"/>
      <x:c r="T99" s="17" t="str">
        <x:v>false</x:v>
      </x:c>
      <x:c r="U99" s="17" t="str">
        <x:v>true</x:v>
      </x:c>
      <x:c r="V99" s="17" t="str">
        <x:v>false</x:v>
      </x:c>
    </x:row>
    <x:row r="100" ht="80" customHeight="1">
      <x:c r="A100" s="25" t="str">
        <x:v>Closure</x:v>
      </x:c>
      <x:c r="B100" s="25" t="n">
        <x:v>34</x:v>
      </x:c>
      <x:c r="C100" s="25" t="str">
        <x:v>Round1</x:v>
      </x:c>
      <x:c r="D100" s="25" t="str">
        <x:v>NOT_REVEALING</x:v>
      </x:c>
      <x:c r="E100" s="25" t="str">
        <x:v>N/A</x:v>
      </x:c>
      <x:c r="F100" s="26" t="str">
        <x:v>Same saved validation suite passed on buggy and fixed</x:v>
      </x:c>
      <x:c r="G100" s="25" t="str">
        <x:v>true</x:v>
      </x:c>
      <x:c r="H100" s="25" t="str">
        <x:v>NOT_REVEALING</x:v>
      </x:c>
      <x:c r="I100" s="25" t="str">
        <x:v>PASS</x:v>
      </x:c>
      <x:c r="J100" s="25" t="str">
        <x:v>PASS</x:v>
      </x:c>
      <x:c r="K100" s="25" t="n">
        <x:v>4</x:v>
      </x:c>
      <x:c r="L100" s="27" t="b">
        <x:v>0</x:v>
      </x:c>
      <x:c r="M100" s="25" t="str">
        <x:v>Feedback-Directed Random Test Generation/rounds/Round1/state/Closure.json</x:v>
      </x:c>
      <x:c r="N100" s="25" t="str">
        <x:v>Feedback-Directed Random Test Generation/Result/Closure_34/result.json</x:v>
      </x:c>
      <x:c r="O100" s="25" t="str">
        <x:v>Feedback-Directed Random Test Generation/Result/Closure_34/result.json</x:v>
      </x:c>
      <x:c r="P100"/>
      <x:c r="Q100" s="21" t="str"/>
      <x:c r="R100" s="21" t="str"/>
      <x:c r="S100" s="21" t="str"/>
      <x:c r="T100" s="17" t="str">
        <x:v>false</x:v>
      </x:c>
      <x:c r="U100" s="17" t="str">
        <x:v>true</x:v>
      </x:c>
      <x:c r="V100" s="17" t="str">
        <x:v>false</x:v>
      </x:c>
    </x:row>
    <x:row r="101" ht="80" customHeight="1">
      <x:c r="A101" s="25" t="str">
        <x:v>Closure</x:v>
      </x:c>
      <x:c r="B101" s="25" t="n">
        <x:v>35</x:v>
      </x:c>
      <x:c r="C101" s="25" t="str">
        <x:v>Round1</x:v>
      </x:c>
      <x:c r="D101" s="25" t="str">
        <x:v>NOT_REVEALING</x:v>
      </x:c>
      <x:c r="E101" s="25" t="str">
        <x:v>N/A</x:v>
      </x:c>
      <x:c r="F101" s="26" t="str">
        <x:v>Same saved validation suite passed on buggy and fixed</x:v>
      </x:c>
      <x:c r="G101" s="25" t="str">
        <x:v>true</x:v>
      </x:c>
      <x:c r="H101" s="25" t="str">
        <x:v>NOT_REVEALING</x:v>
      </x:c>
      <x:c r="I101" s="25" t="str">
        <x:v>PASS</x:v>
      </x:c>
      <x:c r="J101" s="25" t="str">
        <x:v>PASS</x:v>
      </x:c>
      <x:c r="K101" s="25" t="n">
        <x:v>2</x:v>
      </x:c>
      <x:c r="L101" s="27" t="b">
        <x:v>0</x:v>
      </x:c>
      <x:c r="M101" s="25" t="str">
        <x:v>Feedback-Directed Random Test Generation/rounds/Round1/state/Closure.json</x:v>
      </x:c>
      <x:c r="N101" s="25" t="str">
        <x:v>Feedback-Directed Random Test Generation/Result/Closure_35/result.json</x:v>
      </x:c>
      <x:c r="O101" s="25" t="str">
        <x:v>Feedback-Directed Random Test Generation/Result/Closure_35/result.json</x:v>
      </x:c>
      <x:c r="P101"/>
      <x:c r="Q101" s="21" t="str"/>
      <x:c r="R101" s="21" t="str"/>
      <x:c r="S101" s="21" t="str"/>
      <x:c r="T101" s="17" t="str">
        <x:v>false</x:v>
      </x:c>
      <x:c r="U101" s="17" t="str">
        <x:v>true</x:v>
      </x:c>
      <x:c r="V101" s="17" t="str">
        <x:v>false</x:v>
      </x:c>
    </x:row>
    <x:row r="102" ht="80" customHeight="1">
      <x:c r="A102" s="25" t="str">
        <x:v>Closure</x:v>
      </x:c>
      <x:c r="B102" s="25" t="n">
        <x:v>36</x:v>
      </x:c>
      <x:c r="C102" s="25" t="str">
        <x:v>Round1</x:v>
      </x:c>
      <x:c r="D102" s="25" t="str">
        <x:v>NOT_REVEALING</x:v>
      </x:c>
      <x:c r="E102" s="25" t="str">
        <x:v>N/A</x:v>
      </x:c>
      <x:c r="F102" s="26" t="str">
        <x:v>Same saved validation suite passed on buggy and fixed</x:v>
      </x:c>
      <x:c r="G102" s="25" t="str">
        <x:v>true</x:v>
      </x:c>
      <x:c r="H102" s="25" t="str">
        <x:v>NOT_REVEALING</x:v>
      </x:c>
      <x:c r="I102" s="25" t="str">
        <x:v>PASS</x:v>
      </x:c>
      <x:c r="J102" s="25" t="str">
        <x:v>PASS</x:v>
      </x:c>
      <x:c r="K102" s="25" t="n">
        <x:v>4</x:v>
      </x:c>
      <x:c r="L102" s="27" t="b">
        <x:v>0</x:v>
      </x:c>
      <x:c r="M102" s="25" t="str">
        <x:v>Feedback-Directed Random Test Generation/rounds/Round1/state/Closure.json</x:v>
      </x:c>
      <x:c r="N102" s="25" t="str">
        <x:v>Feedback-Directed Random Test Generation/Result/Closure_36/result.json</x:v>
      </x:c>
      <x:c r="O102" s="25" t="str">
        <x:v>Feedback-Directed Random Test Generation/Result/Closure_36/result.json</x:v>
      </x:c>
      <x:c r="P102"/>
      <x:c r="Q102" s="21" t="str"/>
      <x:c r="R102" s="21" t="str"/>
      <x:c r="S102" s="21" t="str"/>
      <x:c r="T102" s="17" t="str">
        <x:v>false</x:v>
      </x:c>
      <x:c r="U102" s="17" t="str">
        <x:v>true</x:v>
      </x:c>
      <x:c r="V102" s="17" t="str">
        <x:v>false</x:v>
      </x:c>
    </x:row>
    <x:row r="103" ht="80" customHeight="1">
      <x:c r="A103" s="25" t="str">
        <x:v>Closure</x:v>
      </x:c>
      <x:c r="B103" s="25" t="n">
        <x:v>37</x:v>
      </x:c>
      <x:c r="C103" s="25" t="str">
        <x:v>Round1</x:v>
      </x:c>
      <x:c r="D103" s="25" t="str">
        <x:v>NOT_REVEALING</x:v>
      </x:c>
      <x:c r="E103" s="25" t="str">
        <x:v>N/A</x:v>
      </x:c>
      <x:c r="F103" s="26" t="str">
        <x:v>Same saved validation suite passed on buggy and fixed</x:v>
      </x:c>
      <x:c r="G103" s="25" t="str">
        <x:v>true</x:v>
      </x:c>
      <x:c r="H103" s="25" t="str">
        <x:v>NOT_REVEALING</x:v>
      </x:c>
      <x:c r="I103" s="25" t="str">
        <x:v>PASS</x:v>
      </x:c>
      <x:c r="J103" s="25" t="str">
        <x:v>PASS</x:v>
      </x:c>
      <x:c r="K103" s="25" t="n">
        <x:v>4</x:v>
      </x:c>
      <x:c r="L103" s="27" t="b">
        <x:v>0</x:v>
      </x:c>
      <x:c r="M103" s="25" t="str">
        <x:v>Feedback-Directed Random Test Generation/rounds/Round1/state/Closure.json</x:v>
      </x:c>
      <x:c r="N103" s="25" t="str">
        <x:v>Feedback-Directed Random Test Generation/Result/Closure_37/result.json</x:v>
      </x:c>
      <x:c r="O103" s="25" t="str">
        <x:v>Feedback-Directed Random Test Generation/Result/Closure_37/result.json</x:v>
      </x:c>
      <x:c r="P103"/>
      <x:c r="Q103" s="21" t="str"/>
      <x:c r="R103" s="21" t="str"/>
      <x:c r="S103" s="21" t="str"/>
      <x:c r="T103" s="17" t="str">
        <x:v>false</x:v>
      </x:c>
      <x:c r="U103" s="17" t="str">
        <x:v>true</x:v>
      </x:c>
      <x:c r="V103" s="17" t="str">
        <x:v>false</x:v>
      </x:c>
    </x:row>
    <x:row r="104" ht="80" customHeight="1">
      <x:c r="A104" s="25" t="str">
        <x:v>Closure</x:v>
      </x:c>
      <x:c r="B104" s="25" t="n">
        <x:v>38</x:v>
      </x:c>
      <x:c r="C104" s="25" t="str">
        <x:v>Round1</x:v>
      </x:c>
      <x:c r="D104" s="25" t="str">
        <x:v>NOT_REVEALING</x:v>
      </x:c>
      <x:c r="E104" s="25" t="str">
        <x:v>N/A</x:v>
      </x:c>
      <x:c r="F104" s="26" t="str">
        <x:v>Same saved validation suite passed on buggy and fixed</x:v>
      </x:c>
      <x:c r="G104" s="25" t="str">
        <x:v>true</x:v>
      </x:c>
      <x:c r="H104" s="25" t="str">
        <x:v>NOT_REVEALING</x:v>
      </x:c>
      <x:c r="I104" s="25" t="str">
        <x:v>PASS</x:v>
      </x:c>
      <x:c r="J104" s="25" t="str">
        <x:v>PASS</x:v>
      </x:c>
      <x:c r="K104" s="25" t="n">
        <x:v>2</x:v>
      </x:c>
      <x:c r="L104" s="27" t="b">
        <x:v>0</x:v>
      </x:c>
      <x:c r="M104" s="25" t="str">
        <x:v>Feedback-Directed Random Test Generation/rounds/Round1/state/Closure.json</x:v>
      </x:c>
      <x:c r="N104" s="25" t="str">
        <x:v>Feedback-Directed Random Test Generation/Result/Closure_38/result.json</x:v>
      </x:c>
      <x:c r="O104" s="25" t="str">
        <x:v>Feedback-Directed Random Test Generation/Result/Closure_38/result.json</x:v>
      </x:c>
      <x:c r="P104"/>
      <x:c r="Q104" s="21" t="str"/>
      <x:c r="R104" s="21" t="str"/>
      <x:c r="S104" s="21" t="str"/>
      <x:c r="T104" s="17" t="str">
        <x:v>false</x:v>
      </x:c>
      <x:c r="U104" s="17" t="str">
        <x:v>true</x:v>
      </x:c>
      <x:c r="V104" s="17" t="str">
        <x:v>false</x:v>
      </x:c>
    </x:row>
    <x:row r="105" ht="80" customHeight="1">
      <x:c r="A105" s="25" t="str">
        <x:v>Closure</x:v>
      </x:c>
      <x:c r="B105" s="25" t="n">
        <x:v>39</x:v>
      </x:c>
      <x:c r="C105" s="25" t="str">
        <x:v>Round1</x:v>
      </x:c>
      <x:c r="D105" s="25" t="str">
        <x:v>NOT_REVEALING</x:v>
      </x:c>
      <x:c r="E105" s="25" t="str">
        <x:v>N/A</x:v>
      </x:c>
      <x:c r="F105" s="26" t="str">
        <x:v>Same saved validation suite passed on buggy and fixed</x:v>
      </x:c>
      <x:c r="G105" s="25" t="str">
        <x:v>true</x:v>
      </x:c>
      <x:c r="H105" s="25" t="str">
        <x:v>NOT_REVEALING</x:v>
      </x:c>
      <x:c r="I105" s="25" t="str">
        <x:v>PASS</x:v>
      </x:c>
      <x:c r="J105" s="25" t="str">
        <x:v>PASS</x:v>
      </x:c>
      <x:c r="K105" s="25" t="n">
        <x:v>6</x:v>
      </x:c>
      <x:c r="L105" s="27" t="b">
        <x:v>0</x:v>
      </x:c>
      <x:c r="M105" s="25" t="str">
        <x:v>Feedback-Directed Random Test Generation/rounds/Round1/state/Closure.json</x:v>
      </x:c>
      <x:c r="N105" s="25" t="str">
        <x:v>Feedback-Directed Random Test Generation/Result/Closure_39/result.json</x:v>
      </x:c>
      <x:c r="O105" s="25" t="str">
        <x:v>Feedback-Directed Random Test Generation/Result/Closure_39/result.json</x:v>
      </x:c>
      <x:c r="P105"/>
      <x:c r="Q105" s="21" t="str"/>
      <x:c r="R105" s="21" t="str"/>
      <x:c r="S105" s="21" t="str"/>
      <x:c r="T105" s="17" t="str">
        <x:v>false</x:v>
      </x:c>
      <x:c r="U105" s="17" t="str">
        <x:v>true</x:v>
      </x:c>
      <x:c r="V105" s="17" t="str">
        <x:v>false</x:v>
      </x:c>
    </x:row>
    <x:row r="106" ht="80" customHeight="1">
      <x:c r="A106" s="25" t="str">
        <x:v>Closure</x:v>
      </x:c>
      <x:c r="B106" s="25" t="n">
        <x:v>40</x:v>
      </x:c>
      <x:c r="C106" s="25" t="str">
        <x:v>Round1</x:v>
      </x:c>
      <x:c r="D106" s="25" t="str">
        <x:v>NOT_REVEALING</x:v>
      </x:c>
      <x:c r="E106" s="25" t="str">
        <x:v>N/A</x:v>
      </x:c>
      <x:c r="F106" s="26" t="str">
        <x:v>Same saved validation suite passed on buggy and fixed</x:v>
      </x:c>
      <x:c r="G106" s="25" t="str">
        <x:v>true</x:v>
      </x:c>
      <x:c r="H106" s="25" t="str">
        <x:v>NOT_REVEALING</x:v>
      </x:c>
      <x:c r="I106" s="25" t="str">
        <x:v>PASS</x:v>
      </x:c>
      <x:c r="J106" s="25" t="str">
        <x:v>PASS</x:v>
      </x:c>
      <x:c r="K106" s="25" t="n">
        <x:v>4</x:v>
      </x:c>
      <x:c r="L106" s="27" t="b">
        <x:v>0</x:v>
      </x:c>
      <x:c r="M106" s="25" t="str">
        <x:v>Feedback-Directed Random Test Generation/rounds/Round1/state/Closure.json</x:v>
      </x:c>
      <x:c r="N106" s="25" t="str">
        <x:v>Feedback-Directed Random Test Generation/Result/Closure_40/result.json</x:v>
      </x:c>
      <x:c r="O106" s="25" t="str">
        <x:v>Feedback-Directed Random Test Generation/Result/Closure_40/result.json</x:v>
      </x:c>
      <x:c r="P106"/>
      <x:c r="Q106" s="21" t="str"/>
      <x:c r="R106" s="21" t="str"/>
      <x:c r="S106" s="21" t="str"/>
      <x:c r="T106" s="17" t="str">
        <x:v>false</x:v>
      </x:c>
      <x:c r="U106" s="17" t="str">
        <x:v>true</x:v>
      </x:c>
      <x:c r="V106" s="17" t="str">
        <x:v>false</x:v>
      </x:c>
    </x:row>
    <x:row r="107" ht="80" customHeight="1">
      <x:c r="A107" s="25" t="str">
        <x:v>Closure</x:v>
      </x:c>
      <x:c r="B107" s="25" t="n">
        <x:v>41</x:v>
      </x:c>
      <x:c r="C107" s="25" t="str">
        <x:v>Round1</x:v>
      </x:c>
      <x:c r="D107" s="25" t="str">
        <x:v>NOT_REVEALING</x:v>
      </x:c>
      <x:c r="E107" s="25" t="str">
        <x:v>N/A</x:v>
      </x:c>
      <x:c r="F107" s="26" t="str">
        <x:v>Same saved validation suite passed on buggy and fixed</x:v>
      </x:c>
      <x:c r="G107" s="25" t="str">
        <x:v>true</x:v>
      </x:c>
      <x:c r="H107" s="25" t="str">
        <x:v>NOT_REVEALING</x:v>
      </x:c>
      <x:c r="I107" s="25" t="str">
        <x:v>PASS</x:v>
      </x:c>
      <x:c r="J107" s="25" t="str">
        <x:v>PASS</x:v>
      </x:c>
      <x:c r="K107" s="25" t="n">
        <x:v>5</x:v>
      </x:c>
      <x:c r="L107" s="27" t="b">
        <x:v>0</x:v>
      </x:c>
      <x:c r="M107" s="25" t="str">
        <x:v>Feedback-Directed Random Test Generation/rounds/Round1/state/Closure.json</x:v>
      </x:c>
      <x:c r="N107" s="25" t="str">
        <x:v>Feedback-Directed Random Test Generation/Result/Closure_41/result.json</x:v>
      </x:c>
      <x:c r="O107" s="25" t="str">
        <x:v>Feedback-Directed Random Test Generation/Result/Closure_41/result.json</x:v>
      </x:c>
      <x:c r="P107"/>
      <x:c r="Q107" s="21" t="str"/>
      <x:c r="R107" s="21" t="str"/>
      <x:c r="S107" s="21" t="str"/>
      <x:c r="T107" s="17" t="str">
        <x:v>false</x:v>
      </x:c>
      <x:c r="U107" s="17" t="str">
        <x:v>true</x:v>
      </x:c>
      <x:c r="V107" s="17" t="str">
        <x:v>false</x:v>
      </x:c>
    </x:row>
    <x:row r="108" ht="80" customHeight="1">
      <x:c r="A108" s="25" t="str">
        <x:v>Closure</x:v>
      </x:c>
      <x:c r="B108" s="25" t="n">
        <x:v>42</x:v>
      </x:c>
      <x:c r="C108" s="25" t="str">
        <x:v>Round1</x:v>
      </x:c>
      <x:c r="D108" s="25" t="str">
        <x:v>NOT_REVEALING</x:v>
      </x:c>
      <x:c r="E108" s="25" t="str">
        <x:v>N/A</x:v>
      </x:c>
      <x:c r="F108" s="26" t="str">
        <x:v>Same saved validation suite passed on buggy and fixed</x:v>
      </x:c>
      <x:c r="G108" s="25" t="str">
        <x:v>true</x:v>
      </x:c>
      <x:c r="H108" s="25" t="str">
        <x:v>NOT_REVEALING</x:v>
      </x:c>
      <x:c r="I108" s="25" t="str">
        <x:v>PASS</x:v>
      </x:c>
      <x:c r="J108" s="25" t="str">
        <x:v>PASS</x:v>
      </x:c>
      <x:c r="K108" s="25" t="n">
        <x:v>2</x:v>
      </x:c>
      <x:c r="L108" s="27" t="b">
        <x:v>0</x:v>
      </x:c>
      <x:c r="M108" s="25" t="str">
        <x:v>Feedback-Directed Random Test Generation/rounds/Round1/state/Closure.json</x:v>
      </x:c>
      <x:c r="N108" s="25" t="str">
        <x:v>Feedback-Directed Random Test Generation/Result/Closure_42/result.json</x:v>
      </x:c>
      <x:c r="O108" s="25" t="str">
        <x:v>Feedback-Directed Random Test Generation/Result/Closure_42/result.json</x:v>
      </x:c>
      <x:c r="P108"/>
      <x:c r="Q108" s="21" t="str"/>
      <x:c r="R108" s="21" t="str"/>
      <x:c r="S108" s="21" t="str"/>
      <x:c r="T108" s="17" t="str">
        <x:v>false</x:v>
      </x:c>
      <x:c r="U108" s="17" t="str">
        <x:v>true</x:v>
      </x:c>
      <x:c r="V108" s="17" t="str">
        <x:v>false</x:v>
      </x:c>
    </x:row>
    <x:row r="109" ht="80" customHeight="1">
      <x:c r="A109" s="25" t="str">
        <x:v>Closure</x:v>
      </x:c>
      <x:c r="B109" s="25" t="n">
        <x:v>43</x:v>
      </x:c>
      <x:c r="C109" s="25" t="str">
        <x:v>Round1</x:v>
      </x:c>
      <x:c r="D109" s="25" t="str">
        <x:v>NOT_REVEALING</x:v>
      </x:c>
      <x:c r="E109" s="25" t="str">
        <x:v>N/A</x:v>
      </x:c>
      <x:c r="F109" s="26" t="str">
        <x:v>Same saved validation suite passed on buggy and fixed</x:v>
      </x:c>
      <x:c r="G109" s="25" t="str">
        <x:v>true</x:v>
      </x:c>
      <x:c r="H109" s="25" t="str">
        <x:v>NOT_REVEALING</x:v>
      </x:c>
      <x:c r="I109" s="25" t="str">
        <x:v>PASS</x:v>
      </x:c>
      <x:c r="J109" s="25" t="str">
        <x:v>PASS</x:v>
      </x:c>
      <x:c r="K109" s="25" t="n">
        <x:v>2</x:v>
      </x:c>
      <x:c r="L109" s="27" t="b">
        <x:v>0</x:v>
      </x:c>
      <x:c r="M109" s="25" t="str">
        <x:v>Feedback-Directed Random Test Generation/rounds/Round1/state/Closure.json</x:v>
      </x:c>
      <x:c r="N109" s="25" t="str">
        <x:v>Feedback-Directed Random Test Generation/Result/Closure_43/result.json</x:v>
      </x:c>
      <x:c r="O109" s="25" t="str">
        <x:v>Feedback-Directed Random Test Generation/Result/Closure_43/result.json</x:v>
      </x:c>
      <x:c r="P109"/>
      <x:c r="Q109" s="21" t="str"/>
      <x:c r="R109" s="21" t="str"/>
      <x:c r="S109" s="21" t="str"/>
      <x:c r="T109" s="17" t="str">
        <x:v>false</x:v>
      </x:c>
      <x:c r="U109" s="17" t="str">
        <x:v>true</x:v>
      </x:c>
      <x:c r="V109" s="17" t="str">
        <x:v>false</x:v>
      </x:c>
    </x:row>
    <x:row r="110" ht="80" customHeight="1">
      <x:c r="A110" s="25" t="str">
        <x:v>Closure</x:v>
      </x:c>
      <x:c r="B110" s="25" t="n">
        <x:v>44</x:v>
      </x:c>
      <x:c r="C110" s="25" t="str">
        <x:v>Round1</x:v>
      </x:c>
      <x:c r="D110" s="25" t="str">
        <x:v>NOT_REVEALING</x:v>
      </x:c>
      <x:c r="E110" s="25" t="str">
        <x:v>N/A</x:v>
      </x:c>
      <x:c r="F110" s="26" t="str">
        <x:v>Same saved validation suite passed on buggy and fixed</x:v>
      </x:c>
      <x:c r="G110" s="25" t="str">
        <x:v>true</x:v>
      </x:c>
      <x:c r="H110" s="25" t="str">
        <x:v>NOT_REVEALING</x:v>
      </x:c>
      <x:c r="I110" s="25" t="str">
        <x:v>PASS</x:v>
      </x:c>
      <x:c r="J110" s="25" t="str">
        <x:v>PASS</x:v>
      </x:c>
      <x:c r="K110" s="25" t="n">
        <x:v>2</x:v>
      </x:c>
      <x:c r="L110" s="27" t="b">
        <x:v>0</x:v>
      </x:c>
      <x:c r="M110" s="25" t="str">
        <x:v>Feedback-Directed Random Test Generation/rounds/Round1/state/Closure.json</x:v>
      </x:c>
      <x:c r="N110" s="25" t="str">
        <x:v>Feedback-Directed Random Test Generation/Result/Closure_44/result.json</x:v>
      </x:c>
      <x:c r="O110" s="25" t="str">
        <x:v>Feedback-Directed Random Test Generation/Result/Closure_44/result.json</x:v>
      </x:c>
      <x:c r="P110"/>
      <x:c r="Q110" s="21" t="str"/>
      <x:c r="R110" s="21" t="str"/>
      <x:c r="S110" s="21" t="str"/>
      <x:c r="T110" s="17" t="str">
        <x:v>false</x:v>
      </x:c>
      <x:c r="U110" s="17" t="str">
        <x:v>true</x:v>
      </x:c>
      <x:c r="V110" s="17" t="str">
        <x:v>false</x:v>
      </x:c>
    </x:row>
    <x:row r="111" ht="80" customHeight="1">
      <x:c r="A111" s="25" t="str">
        <x:v>Closure</x:v>
      </x:c>
      <x:c r="B111" s="25" t="n">
        <x:v>45</x:v>
      </x:c>
      <x:c r="C111" s="25" t="str">
        <x:v>Round1</x:v>
      </x:c>
      <x:c r="D111" s="25" t="str">
        <x:v>NOT_REVEALING</x:v>
      </x:c>
      <x:c r="E111" s="25" t="str">
        <x:v>N/A</x:v>
      </x:c>
      <x:c r="F111" s="26" t="str">
        <x:v>Same saved validation suite passed on buggy and fixed</x:v>
      </x:c>
      <x:c r="G111" s="25" t="str">
        <x:v>true</x:v>
      </x:c>
      <x:c r="H111" s="25" t="str">
        <x:v>NOT_REVEALING</x:v>
      </x:c>
      <x:c r="I111" s="25" t="str">
        <x:v>PASS</x:v>
      </x:c>
      <x:c r="J111" s="25" t="str">
        <x:v>PASS</x:v>
      </x:c>
      <x:c r="K111" s="25" t="n">
        <x:v>2</x:v>
      </x:c>
      <x:c r="L111" s="27" t="b">
        <x:v>0</x:v>
      </x:c>
      <x:c r="M111" s="25" t="str">
        <x:v>Feedback-Directed Random Test Generation/rounds/Round1/state/Closure.json</x:v>
      </x:c>
      <x:c r="N111" s="25" t="str">
        <x:v>Feedback-Directed Random Test Generation/Result/Closure_45/result.json</x:v>
      </x:c>
      <x:c r="O111" s="25" t="str">
        <x:v>Feedback-Directed Random Test Generation/Result/Closure_45/result.json</x:v>
      </x:c>
      <x:c r="P111"/>
      <x:c r="Q111" s="21" t="str"/>
      <x:c r="R111" s="21" t="str"/>
      <x:c r="S111" s="21" t="str"/>
      <x:c r="T111" s="17" t="str">
        <x:v>false</x:v>
      </x:c>
      <x:c r="U111" s="17" t="str">
        <x:v>true</x:v>
      </x:c>
      <x:c r="V111" s="17" t="str">
        <x:v>false</x:v>
      </x:c>
    </x:row>
    <x:row r="112" ht="80" customHeight="1">
      <x:c r="A112" s="25" t="str">
        <x:v>Closure</x:v>
      </x:c>
      <x:c r="B112" s="25" t="n">
        <x:v>46</x:v>
      </x:c>
      <x:c r="C112" s="25" t="str">
        <x:v>Round1</x:v>
      </x:c>
      <x:c r="D112" s="25" t="str">
        <x:v>NOT_REVEALING</x:v>
      </x:c>
      <x:c r="E112" s="25" t="str">
        <x:v>N/A</x:v>
      </x:c>
      <x:c r="F112" s="26" t="str">
        <x:v>Same saved validation suite passed on buggy and fixed</x:v>
      </x:c>
      <x:c r="G112" s="25" t="str">
        <x:v>true</x:v>
      </x:c>
      <x:c r="H112" s="25" t="str">
        <x:v>NOT_REVEALING</x:v>
      </x:c>
      <x:c r="I112" s="25" t="str">
        <x:v>PASS</x:v>
      </x:c>
      <x:c r="J112" s="25" t="str">
        <x:v>PASS</x:v>
      </x:c>
      <x:c r="K112" s="25" t="n">
        <x:v>4</x:v>
      </x:c>
      <x:c r="L112" s="27" t="b">
        <x:v>0</x:v>
      </x:c>
      <x:c r="M112" s="25" t="str">
        <x:v>Feedback-Directed Random Test Generation/rounds/Round1/state/Closure.json</x:v>
      </x:c>
      <x:c r="N112" s="25" t="str">
        <x:v>Feedback-Directed Random Test Generation/Result/Closure_46/result.json</x:v>
      </x:c>
      <x:c r="O112" s="25" t="str">
        <x:v>Feedback-Directed Random Test Generation/Result/Closure_46/result.json</x:v>
      </x:c>
      <x:c r="P112"/>
      <x:c r="Q112" s="21" t="str"/>
      <x:c r="R112" s="21" t="str"/>
      <x:c r="S112" s="21" t="str"/>
      <x:c r="T112" s="17" t="str">
        <x:v>false</x:v>
      </x:c>
      <x:c r="U112" s="17" t="str">
        <x:v>true</x:v>
      </x:c>
      <x:c r="V112" s="17" t="str">
        <x:v>false</x:v>
      </x:c>
    </x:row>
    <x:row r="113" ht="80" customHeight="1">
      <x:c r="A113" s="25" t="str">
        <x:v>Closure</x:v>
      </x:c>
      <x:c r="B113" s="25" t="n">
        <x:v>47</x:v>
      </x:c>
      <x:c r="C113" s="25" t="str">
        <x:v>Round1</x:v>
      </x:c>
      <x:c r="D113" s="25" t="str">
        <x:v>INCONCLUSIVE</x:v>
      </x:c>
      <x:c r="E113" s="25" t="str">
        <x:v>N/A</x:v>
      </x:c>
      <x:c r="F113" s="26" t="str">
        <x:v>Fixed also failed; assertion failure cannot be attributed to this bug; Assertions failed with measured coverage; paired execution and stage checks determine status</x:v>
      </x:c>
      <x:c r="G113" s="25" t="str">
        <x:v>true</x:v>
      </x:c>
      <x:c r="H113" s="25" t="str">
        <x:v>INCONCLUSIVE</x:v>
      </x:c>
      <x:c r="I113" s="25" t="str">
        <x:v>FAIL</x:v>
      </x:c>
      <x:c r="J113" s="25" t="str">
        <x:v>FAIL</x:v>
      </x:c>
      <x:c r="K113" s="25" t="n">
        <x:v>8</x:v>
      </x:c>
      <x:c r="L113" s="27" t="b">
        <x:v>0</x:v>
      </x:c>
      <x:c r="M113" s="25" t="str">
        <x:v>Feedback-Directed Random Test Generation/rounds/Round1/state/Closure.json</x:v>
      </x:c>
      <x:c r="N113" s="25" t="str">
        <x:v>Feedback-Directed Random Test Generation/Result/Closure_47/result.json</x:v>
      </x:c>
      <x:c r="O113" s="25" t="str">
        <x:v>Feedback-Directed Random Test Generation/Result/Closure_47/result.json</x:v>
      </x:c>
      <x:c r="P113"/>
      <x:c r="Q113" s="21" t="str"/>
      <x:c r="R113" s="21" t="str"/>
      <x:c r="S113" s="21" t="str"/>
      <x:c r="T113" s="17" t="str">
        <x:v>false</x:v>
      </x:c>
      <x:c r="U113" s="17" t="str">
        <x:v>true</x:v>
      </x:c>
      <x:c r="V113" s="17" t="str">
        <x:v>false</x:v>
      </x:c>
    </x:row>
    <x:row r="114" ht="80" customHeight="1">
      <x:c r="A114" s="25" t="str">
        <x:v>Closure</x:v>
      </x:c>
      <x:c r="B114" s="25" t="n">
        <x:v>48</x:v>
      </x:c>
      <x:c r="C114" s="25" t="str">
        <x:v>Round1</x:v>
      </x:c>
      <x:c r="D114" s="25" t="str">
        <x:v>NOT_REVEALING</x:v>
      </x:c>
      <x:c r="E114" s="25" t="str">
        <x:v>N/A</x:v>
      </x:c>
      <x:c r="F114" s="26" t="str">
        <x:v>Same saved validation suite passed on buggy and fixed</x:v>
      </x:c>
      <x:c r="G114" s="25" t="str">
        <x:v>true</x:v>
      </x:c>
      <x:c r="H114" s="25" t="str">
        <x:v>NOT_REVEALING</x:v>
      </x:c>
      <x:c r="I114" s="25" t="str">
        <x:v>PASS</x:v>
      </x:c>
      <x:c r="J114" s="25" t="str">
        <x:v>PASS</x:v>
      </x:c>
      <x:c r="K114" s="25" t="n">
        <x:v>2</x:v>
      </x:c>
      <x:c r="L114" s="27" t="b">
        <x:v>0</x:v>
      </x:c>
      <x:c r="M114" s="25" t="str">
        <x:v>Feedback-Directed Random Test Generation/rounds/Round1/state/Closure.json</x:v>
      </x:c>
      <x:c r="N114" s="25" t="str">
        <x:v>Feedback-Directed Random Test Generation/Result/Closure_48/result.json</x:v>
      </x:c>
      <x:c r="O114" s="25" t="str">
        <x:v>Feedback-Directed Random Test Generation/Result/Closure_48/result.json</x:v>
      </x:c>
      <x:c r="P114"/>
      <x:c r="Q114" s="21" t="str"/>
      <x:c r="R114" s="21" t="str"/>
      <x:c r="S114" s="21" t="str"/>
      <x:c r="T114" s="17" t="str">
        <x:v>false</x:v>
      </x:c>
      <x:c r="U114" s="17" t="str">
        <x:v>true</x:v>
      </x:c>
      <x:c r="V114" s="17" t="str">
        <x:v>false</x:v>
      </x:c>
    </x:row>
    <x:row r="115" ht="80" customHeight="1">
      <x:c r="A115" s="25" t="str">
        <x:v>Closure</x:v>
      </x:c>
      <x:c r="B115" s="25" t="n">
        <x:v>49</x:v>
      </x:c>
      <x:c r="C115" s="25" t="str">
        <x:v>Round1</x:v>
      </x:c>
      <x:c r="D115" s="25" t="str">
        <x:v>NOT_REVEALING</x:v>
      </x:c>
      <x:c r="E115" s="25" t="str">
        <x:v>N/A</x:v>
      </x:c>
      <x:c r="F115" s="26" t="str">
        <x:v>Same saved validation suite passed on buggy and fixed</x:v>
      </x:c>
      <x:c r="G115" s="25" t="str">
        <x:v>true</x:v>
      </x:c>
      <x:c r="H115" s="25" t="str">
        <x:v>NOT_REVEALING</x:v>
      </x:c>
      <x:c r="I115" s="25" t="str">
        <x:v>PASS</x:v>
      </x:c>
      <x:c r="J115" s="25" t="str">
        <x:v>PASS</x:v>
      </x:c>
      <x:c r="K115" s="25" t="n">
        <x:v>6</x:v>
      </x:c>
      <x:c r="L115" s="27" t="b">
        <x:v>0</x:v>
      </x:c>
      <x:c r="M115" s="25" t="str">
        <x:v>Feedback-Directed Random Test Generation/rounds/Round1/state/Closure.json</x:v>
      </x:c>
      <x:c r="N115" s="25" t="str">
        <x:v>Feedback-Directed Random Test Generation/Result/Closure_49/result.json</x:v>
      </x:c>
      <x:c r="O115" s="25" t="str">
        <x:v>Feedback-Directed Random Test Generation/Result/Closure_49/result.json</x:v>
      </x:c>
      <x:c r="P115"/>
      <x:c r="Q115" s="21" t="str"/>
      <x:c r="R115" s="21" t="str"/>
      <x:c r="S115" s="21" t="str"/>
      <x:c r="T115" s="17" t="str">
        <x:v>false</x:v>
      </x:c>
      <x:c r="U115" s="17" t="str">
        <x:v>true</x:v>
      </x:c>
      <x:c r="V115" s="17" t="str">
        <x:v>false</x:v>
      </x:c>
    </x:row>
    <x:row r="116" ht="80" customHeight="1">
      <x:c r="A116" s="25" t="str">
        <x:v>Closure</x:v>
      </x:c>
      <x:c r="B116" s="25" t="n">
        <x:v>50</x:v>
      </x:c>
      <x:c r="C116" s="25" t="str">
        <x:v>Round1</x:v>
      </x:c>
      <x:c r="D116" s="25" t="str">
        <x:v>NOT_REVEALING</x:v>
      </x:c>
      <x:c r="E116" s="25" t="str">
        <x:v>N/A</x:v>
      </x:c>
      <x:c r="F116" s="26" t="str">
        <x:v>Same saved validation suite passed on buggy and fixed</x:v>
      </x:c>
      <x:c r="G116" s="25" t="str">
        <x:v>true</x:v>
      </x:c>
      <x:c r="H116" s="25" t="str">
        <x:v>NOT_REVEALING</x:v>
      </x:c>
      <x:c r="I116" s="25" t="str">
        <x:v>PASS</x:v>
      </x:c>
      <x:c r="J116" s="25" t="str">
        <x:v>PASS</x:v>
      </x:c>
      <x:c r="K116" s="25" t="n">
        <x:v>2</x:v>
      </x:c>
      <x:c r="L116" s="27" t="b">
        <x:v>0</x:v>
      </x:c>
      <x:c r="M116" s="25" t="str">
        <x:v>Feedback-Directed Random Test Generation/rounds/Round1/state/Closure.json</x:v>
      </x:c>
      <x:c r="N116" s="25" t="str">
        <x:v>Feedback-Directed Random Test Generation/Result/Closure_50/result.json</x:v>
      </x:c>
      <x:c r="O116" s="25" t="str">
        <x:v>Feedback-Directed Random Test Generation/Result/Closure_50/result.json</x:v>
      </x:c>
      <x:c r="P116"/>
      <x:c r="Q116" s="21" t="str"/>
      <x:c r="R116" s="21" t="str"/>
      <x:c r="S116" s="21" t="str"/>
      <x:c r="T116" s="17" t="str">
        <x:v>false</x:v>
      </x:c>
      <x:c r="U116" s="17" t="str">
        <x:v>true</x:v>
      </x:c>
      <x:c r="V116" s="17" t="str">
        <x:v>false</x:v>
      </x:c>
    </x:row>
    <x:row r="117" ht="80" customHeight="1">
      <x:c r="A117" s="25" t="str">
        <x:v>Closure</x:v>
      </x:c>
      <x:c r="B117" s="25" t="n">
        <x:v>51</x:v>
      </x:c>
      <x:c r="C117" s="25" t="str">
        <x:v>Round1</x:v>
      </x:c>
      <x:c r="D117" s="25" t="str">
        <x:v>NOT_REVEALING</x:v>
      </x:c>
      <x:c r="E117" s="25" t="str">
        <x:v>N/A</x:v>
      </x:c>
      <x:c r="F117" s="26" t="str">
        <x:v>Same saved validation suite passed on buggy and fixed</x:v>
      </x:c>
      <x:c r="G117" s="25" t="str">
        <x:v>true</x:v>
      </x:c>
      <x:c r="H117" s="25" t="str">
        <x:v>NOT_REVEALING</x:v>
      </x:c>
      <x:c r="I117" s="25" t="str">
        <x:v>PASS</x:v>
      </x:c>
      <x:c r="J117" s="25" t="str">
        <x:v>PASS</x:v>
      </x:c>
      <x:c r="K117" s="25" t="n">
        <x:v>2</x:v>
      </x:c>
      <x:c r="L117" s="27" t="b">
        <x:v>0</x:v>
      </x:c>
      <x:c r="M117" s="25" t="str">
        <x:v>Feedback-Directed Random Test Generation/rounds/Round1/state/Closure.json</x:v>
      </x:c>
      <x:c r="N117" s="25" t="str">
        <x:v>Feedback-Directed Random Test Generation/Result/Closure_51/result.json</x:v>
      </x:c>
      <x:c r="O117" s="25" t="str">
        <x:v>Feedback-Directed Random Test Generation/Result/Closure_51/result.json</x:v>
      </x:c>
      <x:c r="P117"/>
      <x:c r="Q117" s="21" t="str"/>
      <x:c r="R117" s="21" t="str"/>
      <x:c r="S117" s="21" t="str"/>
      <x:c r="T117" s="17" t="str">
        <x:v>false</x:v>
      </x:c>
      <x:c r="U117" s="17" t="str">
        <x:v>true</x:v>
      </x:c>
      <x:c r="V117" s="17" t="str">
        <x:v>false</x:v>
      </x:c>
    </x:row>
    <x:row r="118" ht="80" customHeight="1">
      <x:c r="A118" s="25" t="str">
        <x:v>Closure</x:v>
      </x:c>
      <x:c r="B118" s="25" t="n">
        <x:v>52</x:v>
      </x:c>
      <x:c r="C118" s="25" t="str">
        <x:v>Round1</x:v>
      </x:c>
      <x:c r="D118" s="25" t="str">
        <x:v>NOT_REVEALING</x:v>
      </x:c>
      <x:c r="E118" s="25" t="str">
        <x:v>N/A</x:v>
      </x:c>
      <x:c r="F118" s="26" t="str">
        <x:v>Same saved validation suite passed on buggy and fixed</x:v>
      </x:c>
      <x:c r="G118" s="25" t="str">
        <x:v>true</x:v>
      </x:c>
      <x:c r="H118" s="25" t="str">
        <x:v>NOT_REVEALING</x:v>
      </x:c>
      <x:c r="I118" s="25" t="str">
        <x:v>PASS</x:v>
      </x:c>
      <x:c r="J118" s="25" t="str">
        <x:v>PASS</x:v>
      </x:c>
      <x:c r="K118" s="25" t="n">
        <x:v>6</x:v>
      </x:c>
      <x:c r="L118" s="27" t="b">
        <x:v>0</x:v>
      </x:c>
      <x:c r="M118" s="25" t="str">
        <x:v>Feedback-Directed Random Test Generation/rounds/Round1/state/Closure.json</x:v>
      </x:c>
      <x:c r="N118" s="25" t="str">
        <x:v>Feedback-Directed Random Test Generation/Result/Closure_52/result.json</x:v>
      </x:c>
      <x:c r="O118" s="25" t="str">
        <x:v>Feedback-Directed Random Test Generation/Result/Closure_52/result.json</x:v>
      </x:c>
      <x:c r="P118"/>
      <x:c r="Q118" s="21" t="str"/>
      <x:c r="R118" s="21" t="str"/>
      <x:c r="S118" s="21" t="str"/>
      <x:c r="T118" s="17" t="str">
        <x:v>false</x:v>
      </x:c>
      <x:c r="U118" s="17" t="str">
        <x:v>true</x:v>
      </x:c>
      <x:c r="V118" s="17" t="str">
        <x:v>false</x:v>
      </x:c>
    </x:row>
    <x:row r="119" ht="80" customHeight="1">
      <x:c r="A119" s="25" t="str">
        <x:v>Closure</x:v>
      </x:c>
      <x:c r="B119" s="25" t="n">
        <x:v>53</x:v>
      </x:c>
      <x:c r="C119" s="25" t="str">
        <x:v>Round1</x:v>
      </x:c>
      <x:c r="D119" s="25" t="str">
        <x:v>NOT_REVEALING</x:v>
      </x:c>
      <x:c r="E119" s="25" t="str">
        <x:v>N/A</x:v>
      </x:c>
      <x:c r="F119" s="26" t="str">
        <x:v>Same saved validation suite passed on buggy and fixed</x:v>
      </x:c>
      <x:c r="G119" s="25" t="str">
        <x:v>true</x:v>
      </x:c>
      <x:c r="H119" s="25" t="str">
        <x:v>NOT_REVEALING</x:v>
      </x:c>
      <x:c r="I119" s="25" t="str">
        <x:v>PASS</x:v>
      </x:c>
      <x:c r="J119" s="25" t="str">
        <x:v>PASS</x:v>
      </x:c>
      <x:c r="K119" s="25" t="n">
        <x:v>2</x:v>
      </x:c>
      <x:c r="L119" s="27" t="b">
        <x:v>0</x:v>
      </x:c>
      <x:c r="M119" s="25" t="str">
        <x:v>Feedback-Directed Random Test Generation/rounds/Round1/state/Closure.json</x:v>
      </x:c>
      <x:c r="N119" s="25" t="str">
        <x:v>Feedback-Directed Random Test Generation/Result/Closure_53/result.json</x:v>
      </x:c>
      <x:c r="O119" s="25" t="str">
        <x:v>Feedback-Directed Random Test Generation/Result/Closure_53/result.json</x:v>
      </x:c>
      <x:c r="P119"/>
      <x:c r="Q119" s="21" t="str"/>
      <x:c r="R119" s="21" t="str"/>
      <x:c r="S119" s="21" t="str"/>
      <x:c r="T119" s="17" t="str">
        <x:v>false</x:v>
      </x:c>
      <x:c r="U119" s="17" t="str">
        <x:v>true</x:v>
      </x:c>
      <x:c r="V119" s="17" t="str">
        <x:v>false</x:v>
      </x:c>
    </x:row>
    <x:row r="120" ht="80" customHeight="1">
      <x:c r="A120" s="25" t="str">
        <x:v>Closure</x:v>
      </x:c>
      <x:c r="B120" s="25" t="n">
        <x:v>54</x:v>
      </x:c>
      <x:c r="C120" s="25" t="str">
        <x:v>Round1</x:v>
      </x:c>
      <x:c r="D120" s="25" t="str">
        <x:v>NOT_REVEALING</x:v>
      </x:c>
      <x:c r="E120" s="25" t="str">
        <x:v>N/A</x:v>
      </x:c>
      <x:c r="F120" s="26" t="str">
        <x:v>Same saved validation suite passed on buggy and fixed</x:v>
      </x:c>
      <x:c r="G120" s="25" t="str">
        <x:v>true</x:v>
      </x:c>
      <x:c r="H120" s="25" t="str">
        <x:v>NOT_REVEALING</x:v>
      </x:c>
      <x:c r="I120" s="25" t="str">
        <x:v>PASS</x:v>
      </x:c>
      <x:c r="J120" s="25" t="str">
        <x:v>PASS</x:v>
      </x:c>
      <x:c r="K120" s="25" t="n">
        <x:v>5</x:v>
      </x:c>
      <x:c r="L120" s="27" t="b">
        <x:v>0</x:v>
      </x:c>
      <x:c r="M120" s="25" t="str">
        <x:v>Feedback-Directed Random Test Generation/rounds/Round1/state/Closure.json</x:v>
      </x:c>
      <x:c r="N120" s="25" t="str">
        <x:v>Feedback-Directed Random Test Generation/Result/Closure_54/result.json</x:v>
      </x:c>
      <x:c r="O120" s="25" t="str">
        <x:v>Feedback-Directed Random Test Generation/Result/Closure_54/result.json</x:v>
      </x:c>
      <x:c r="P120"/>
      <x:c r="Q120" s="21" t="str"/>
      <x:c r="R120" s="21" t="str"/>
      <x:c r="S120" s="21" t="str"/>
      <x:c r="T120" s="17" t="str">
        <x:v>false</x:v>
      </x:c>
      <x:c r="U120" s="17" t="str">
        <x:v>true</x:v>
      </x:c>
      <x:c r="V120" s="17" t="str">
        <x:v>false</x:v>
      </x:c>
    </x:row>
    <x:row r="121" ht="80" customHeight="1">
      <x:c r="A121" s="25" t="str">
        <x:v>Closure</x:v>
      </x:c>
      <x:c r="B121" s="25" t="n">
        <x:v>55</x:v>
      </x:c>
      <x:c r="C121" s="25" t="str">
        <x:v>Round1</x:v>
      </x:c>
      <x:c r="D121" s="25" t="str">
        <x:v>NOT_REVEALING</x:v>
      </x:c>
      <x:c r="E121" s="25" t="str">
        <x:v>N/A</x:v>
      </x:c>
      <x:c r="F121" s="26" t="str">
        <x:v>Same saved validation suite passed on buggy and fixed</x:v>
      </x:c>
      <x:c r="G121" s="25" t="str">
        <x:v>true</x:v>
      </x:c>
      <x:c r="H121" s="25" t="str">
        <x:v>NOT_REVEALING</x:v>
      </x:c>
      <x:c r="I121" s="25" t="str">
        <x:v>PASS</x:v>
      </x:c>
      <x:c r="J121" s="25" t="str">
        <x:v>PASS</x:v>
      </x:c>
      <x:c r="K121" s="25" t="n">
        <x:v>2</x:v>
      </x:c>
      <x:c r="L121" s="27" t="b">
        <x:v>0</x:v>
      </x:c>
      <x:c r="M121" s="25" t="str">
        <x:v>Feedback-Directed Random Test Generation/rounds/Round1/state/Closure.json</x:v>
      </x:c>
      <x:c r="N121" s="25" t="str">
        <x:v>Feedback-Directed Random Test Generation/Result/Closure_55/result.json</x:v>
      </x:c>
      <x:c r="O121" s="25" t="str">
        <x:v>Feedback-Directed Random Test Generation/Result/Closure_55/result.json</x:v>
      </x:c>
      <x:c r="P121"/>
      <x:c r="Q121" s="21" t="str"/>
      <x:c r="R121" s="21" t="str"/>
      <x:c r="S121" s="21" t="str"/>
      <x:c r="T121" s="17" t="str">
        <x:v>false</x:v>
      </x:c>
      <x:c r="U121" s="17" t="str">
        <x:v>true</x:v>
      </x:c>
      <x:c r="V121" s="17" t="str">
        <x:v>false</x:v>
      </x:c>
    </x:row>
    <x:row r="122" ht="80" customHeight="1">
      <x:c r="A122" s="25" t="str">
        <x:v>Closure</x:v>
      </x:c>
      <x:c r="B122" s="25" t="n">
        <x:v>56</x:v>
      </x:c>
      <x:c r="C122" s="25" t="str">
        <x:v>Round1</x:v>
      </x:c>
      <x:c r="D122" s="25" t="str">
        <x:v>INCONCLUSIVE</x:v>
      </x:c>
      <x:c r="E122" s="25" t="str">
        <x:v>N/A</x:v>
      </x:c>
      <x:c r="F122" s="26" t="str">
        <x:v>Fixed also failed; assertion failure cannot be attributed to this bug; Assertions failed with measured coverage; paired execution and stage checks determine status</x:v>
      </x:c>
      <x:c r="G122" s="25" t="str">
        <x:v>true</x:v>
      </x:c>
      <x:c r="H122" s="25" t="str">
        <x:v>INCONCLUSIVE</x:v>
      </x:c>
      <x:c r="I122" s="25" t="str">
        <x:v>FAIL</x:v>
      </x:c>
      <x:c r="J122" s="25" t="str">
        <x:v>FAIL</x:v>
      </x:c>
      <x:c r="K122" s="25" t="n">
        <x:v>7</x:v>
      </x:c>
      <x:c r="L122" s="27" t="b">
        <x:v>0</x:v>
      </x:c>
      <x:c r="M122" s="25" t="str">
        <x:v>Feedback-Directed Random Test Generation/rounds/Round1/state/Closure.json</x:v>
      </x:c>
      <x:c r="N122" s="25" t="str">
        <x:v>Feedback-Directed Random Test Generation/Result/Closure_56/result.json</x:v>
      </x:c>
      <x:c r="O122" s="25" t="str">
        <x:v>Feedback-Directed Random Test Generation/Result/Closure_56/result.json</x:v>
      </x:c>
      <x:c r="P122"/>
      <x:c r="Q122" s="21" t="str"/>
      <x:c r="R122" s="21" t="str"/>
      <x:c r="S122" s="21" t="str"/>
      <x:c r="T122" s="17" t="str">
        <x:v>false</x:v>
      </x:c>
      <x:c r="U122" s="17" t="str">
        <x:v>true</x:v>
      </x:c>
      <x:c r="V122" s="17" t="str">
        <x:v>false</x:v>
      </x:c>
    </x:row>
    <x:row r="123" ht="80" customHeight="1">
      <x:c r="A123" s="25" t="str">
        <x:v>Closure</x:v>
      </x:c>
      <x:c r="B123" s="25" t="n">
        <x:v>57</x:v>
      </x:c>
      <x:c r="C123" s="25" t="str">
        <x:v>Round1</x:v>
      </x:c>
      <x:c r="D123" s="25" t="str">
        <x:v>NOT_REVEALING</x:v>
      </x:c>
      <x:c r="E123" s="25" t="str">
        <x:v>N/A</x:v>
      </x:c>
      <x:c r="F123" s="26" t="str">
        <x:v>Same saved validation suite passed on buggy and fixed</x:v>
      </x:c>
      <x:c r="G123" s="25" t="str">
        <x:v>true</x:v>
      </x:c>
      <x:c r="H123" s="25" t="str">
        <x:v>NOT_REVEALING</x:v>
      </x:c>
      <x:c r="I123" s="25" t="str">
        <x:v>PASS</x:v>
      </x:c>
      <x:c r="J123" s="25" t="str">
        <x:v>PASS</x:v>
      </x:c>
      <x:c r="K123" s="25" t="n">
        <x:v>5</x:v>
      </x:c>
      <x:c r="L123" s="27" t="b">
        <x:v>0</x:v>
      </x:c>
      <x:c r="M123" s="25" t="str">
        <x:v>Feedback-Directed Random Test Generation/rounds/Round1/state/Closure.json</x:v>
      </x:c>
      <x:c r="N123" s="25" t="str">
        <x:v>Feedback-Directed Random Test Generation/Result/Closure_57/result.json</x:v>
      </x:c>
      <x:c r="O123" s="25" t="str">
        <x:v>Feedback-Directed Random Test Generation/Result/Closure_57/result.json</x:v>
      </x:c>
      <x:c r="P123"/>
      <x:c r="Q123" s="21" t="str"/>
      <x:c r="R123" s="21" t="str"/>
      <x:c r="S123" s="21" t="str"/>
      <x:c r="T123" s="17" t="str">
        <x:v>false</x:v>
      </x:c>
      <x:c r="U123" s="17" t="str">
        <x:v>true</x:v>
      </x:c>
      <x:c r="V123" s="17" t="str">
        <x:v>false</x:v>
      </x:c>
    </x:row>
    <x:row r="124" ht="80" customHeight="1">
      <x:c r="A124" s="25" t="str">
        <x:v>Closure</x:v>
      </x:c>
      <x:c r="B124" s="25" t="n">
        <x:v>58</x:v>
      </x:c>
      <x:c r="C124" s="25" t="str">
        <x:v>Round1</x:v>
      </x:c>
      <x:c r="D124" s="25" t="str">
        <x:v>NOT_REVEALING</x:v>
      </x:c>
      <x:c r="E124" s="25" t="str">
        <x:v>N/A</x:v>
      </x:c>
      <x:c r="F124" s="26" t="str">
        <x:v>Same saved validation suite passed on buggy and fixed</x:v>
      </x:c>
      <x:c r="G124" s="25" t="str">
        <x:v>true</x:v>
      </x:c>
      <x:c r="H124" s="25" t="str">
        <x:v>NOT_REVEALING</x:v>
      </x:c>
      <x:c r="I124" s="25" t="str">
        <x:v>PASS</x:v>
      </x:c>
      <x:c r="J124" s="25" t="str">
        <x:v>PASS</x:v>
      </x:c>
      <x:c r="K124" s="25" t="n">
        <x:v>2</x:v>
      </x:c>
      <x:c r="L124" s="27" t="b">
        <x:v>0</x:v>
      </x:c>
      <x:c r="M124" s="25" t="str">
        <x:v>Feedback-Directed Random Test Generation/rounds/Round1/state/Closure.json</x:v>
      </x:c>
      <x:c r="N124" s="25" t="str">
        <x:v>Feedback-Directed Random Test Generation/Result/Closure_58/result.json</x:v>
      </x:c>
      <x:c r="O124" s="25" t="str">
        <x:v>Feedback-Directed Random Test Generation/Result/Closure_58/result.json</x:v>
      </x:c>
      <x:c r="P124"/>
      <x:c r="Q124" s="21" t="str"/>
      <x:c r="R124" s="21" t="str"/>
      <x:c r="S124" s="21" t="str"/>
      <x:c r="T124" s="17" t="str">
        <x:v>false</x:v>
      </x:c>
      <x:c r="U124" s="17" t="str">
        <x:v>true</x:v>
      </x:c>
      <x:c r="V124" s="17" t="str">
        <x:v>false</x:v>
      </x:c>
    </x:row>
    <x:row r="125" ht="80" customHeight="1">
      <x:c r="A125" s="25" t="str">
        <x:v>Closure</x:v>
      </x:c>
      <x:c r="B125" s="25" t="n">
        <x:v>59</x:v>
      </x:c>
      <x:c r="C125" s="25" t="str">
        <x:v>Round1</x:v>
      </x:c>
      <x:c r="D125" s="25" t="str">
        <x:v>INCONCLUSIVE</x:v>
      </x:c>
      <x:c r="E125" s="25" t="str">
        <x:v>N/A</x:v>
      </x:c>
      <x:c r="F125" s="26" t="str">
        <x:v>Fixed also failed; assertion failure cannot be attributed to this bug; Assertions failed with measured coverage; paired execution and stage checks determine status</x:v>
      </x:c>
      <x:c r="G125" s="25" t="str">
        <x:v>true</x:v>
      </x:c>
      <x:c r="H125" s="25" t="str">
        <x:v>INCONCLUSIVE</x:v>
      </x:c>
      <x:c r="I125" s="25" t="str">
        <x:v>FAIL</x:v>
      </x:c>
      <x:c r="J125" s="25" t="str">
        <x:v>FAIL</x:v>
      </x:c>
      <x:c r="K125" s="25" t="n">
        <x:v>7</x:v>
      </x:c>
      <x:c r="L125" s="27" t="b">
        <x:v>0</x:v>
      </x:c>
      <x:c r="M125" s="25" t="str">
        <x:v>Feedback-Directed Random Test Generation/rounds/Round1/state/Closure.json</x:v>
      </x:c>
      <x:c r="N125" s="25" t="str">
        <x:v>Feedback-Directed Random Test Generation/Result/Closure_59/result.json</x:v>
      </x:c>
      <x:c r="O125" s="25" t="str">
        <x:v>Feedback-Directed Random Test Generation/Result/Closure_59/result.json</x:v>
      </x:c>
      <x:c r="P125"/>
      <x:c r="Q125" s="21" t="str"/>
      <x:c r="R125" s="21" t="str"/>
      <x:c r="S125" s="21" t="str"/>
      <x:c r="T125" s="17" t="str">
        <x:v>false</x:v>
      </x:c>
      <x:c r="U125" s="17" t="str">
        <x:v>true</x:v>
      </x:c>
      <x:c r="V125" s="17" t="str">
        <x:v>false</x:v>
      </x:c>
    </x:row>
    <x:row r="126" ht="80" customHeight="1">
      <x:c r="A126" s="25" t="str">
        <x:v>Closure</x:v>
      </x:c>
      <x:c r="B126" s="25" t="n">
        <x:v>60</x:v>
      </x:c>
      <x:c r="C126" s="25" t="str">
        <x:v>Round1</x:v>
      </x:c>
      <x:c r="D126" s="25" t="str">
        <x:v>NOT_REVEALING</x:v>
      </x:c>
      <x:c r="E126" s="25" t="str">
        <x:v>N/A</x:v>
      </x:c>
      <x:c r="F126" s="26" t="str">
        <x:v>Same saved validation suite passed on buggy and fixed</x:v>
      </x:c>
      <x:c r="G126" s="25" t="str">
        <x:v>true</x:v>
      </x:c>
      <x:c r="H126" s="25" t="str">
        <x:v>NOT_REVEALING</x:v>
      </x:c>
      <x:c r="I126" s="25" t="str">
        <x:v>PASS</x:v>
      </x:c>
      <x:c r="J126" s="25" t="str">
        <x:v>PASS</x:v>
      </x:c>
      <x:c r="K126" s="25" t="n">
        <x:v>5</x:v>
      </x:c>
      <x:c r="L126" s="27" t="b">
        <x:v>0</x:v>
      </x:c>
      <x:c r="M126" s="25" t="str">
        <x:v>Feedback-Directed Random Test Generation/rounds/Round1/state/Closure.json</x:v>
      </x:c>
      <x:c r="N126" s="25" t="str">
        <x:v>Feedback-Directed Random Test Generation/Result/Closure_60/result.json</x:v>
      </x:c>
      <x:c r="O126" s="25" t="str">
        <x:v>Feedback-Directed Random Test Generation/Result/Closure_60/result.json</x:v>
      </x:c>
      <x:c r="P126"/>
      <x:c r="Q126" s="21" t="str"/>
      <x:c r="R126" s="21" t="str"/>
      <x:c r="S126" s="21" t="str"/>
      <x:c r="T126" s="17" t="str">
        <x:v>false</x:v>
      </x:c>
      <x:c r="U126" s="17" t="str">
        <x:v>true</x:v>
      </x:c>
      <x:c r="V126" s="17" t="str">
        <x:v>false</x:v>
      </x:c>
    </x:row>
    <x:row r="127" ht="80" customHeight="1">
      <x:c r="A127" s="25" t="str">
        <x:v>Closure</x:v>
      </x:c>
      <x:c r="B127" s="25" t="n">
        <x:v>61</x:v>
      </x:c>
      <x:c r="C127" s="25" t="str">
        <x:v>Round1</x:v>
      </x:c>
      <x:c r="D127" s="25" t="str">
        <x:v>NOT_REVEALING</x:v>
      </x:c>
      <x:c r="E127" s="25" t="str">
        <x:v>N/A</x:v>
      </x:c>
      <x:c r="F127" s="26" t="str">
        <x:v>Same saved validation suite passed on buggy and fixed</x:v>
      </x:c>
      <x:c r="G127" s="25" t="str">
        <x:v>true</x:v>
      </x:c>
      <x:c r="H127" s="25" t="str">
        <x:v>NOT_REVEALING</x:v>
      </x:c>
      <x:c r="I127" s="25" t="str">
        <x:v>PASS</x:v>
      </x:c>
      <x:c r="J127" s="25" t="str">
        <x:v>PASS</x:v>
      </x:c>
      <x:c r="K127" s="25" t="n">
        <x:v>5</x:v>
      </x:c>
      <x:c r="L127" s="27" t="b">
        <x:v>0</x:v>
      </x:c>
      <x:c r="M127" s="25" t="str">
        <x:v>Feedback-Directed Random Test Generation/rounds/Round1/state/Closure.json</x:v>
      </x:c>
      <x:c r="N127" s="25" t="str">
        <x:v>Feedback-Directed Random Test Generation/Result/Closure_61/result.json</x:v>
      </x:c>
      <x:c r="O127" s="25" t="str">
        <x:v>Feedback-Directed Random Test Generation/Result/Closure_61/result.json</x:v>
      </x:c>
      <x:c r="P127"/>
      <x:c r="Q127" s="21" t="str"/>
      <x:c r="R127" s="21" t="str"/>
      <x:c r="S127" s="21" t="str"/>
      <x:c r="T127" s="17" t="str">
        <x:v>false</x:v>
      </x:c>
      <x:c r="U127" s="17" t="str">
        <x:v>true</x:v>
      </x:c>
      <x:c r="V127" s="17" t="str">
        <x:v>false</x:v>
      </x:c>
    </x:row>
    <x:row r="128" ht="80" customHeight="1">
      <x:c r="A128" s="25" t="str">
        <x:v>Closure</x:v>
      </x:c>
      <x:c r="B128" s="25" t="n">
        <x:v>62</x:v>
      </x:c>
      <x:c r="C128" s="25" t="str">
        <x:v>Round1</x:v>
      </x:c>
      <x:c r="D128" s="25" t="str">
        <x:v>NOT_REVEALING</x:v>
      </x:c>
      <x:c r="E128" s="25" t="str">
        <x:v>N/A</x:v>
      </x:c>
      <x:c r="F128" s="26" t="str">
        <x:v>Same saved validation suite passed on buggy and fixed</x:v>
      </x:c>
      <x:c r="G128" s="25" t="str">
        <x:v>true</x:v>
      </x:c>
      <x:c r="H128" s="25" t="str">
        <x:v>NOT_REVEALING</x:v>
      </x:c>
      <x:c r="I128" s="25" t="str">
        <x:v>PASS</x:v>
      </x:c>
      <x:c r="J128" s="25" t="str">
        <x:v>PASS</x:v>
      </x:c>
      <x:c r="K128" s="25" t="n">
        <x:v>6</x:v>
      </x:c>
      <x:c r="L128" s="27" t="b">
        <x:v>0</x:v>
      </x:c>
      <x:c r="M128" s="25" t="str">
        <x:v>Feedback-Directed Random Test Generation/rounds/Round1/state/Closure.json</x:v>
      </x:c>
      <x:c r="N128" s="25" t="str">
        <x:v>Feedback-Directed Random Test Generation/Result/Closure_62/result.json</x:v>
      </x:c>
      <x:c r="O128" s="25" t="str">
        <x:v>Feedback-Directed Random Test Generation/Result/Closure_62/result.json</x:v>
      </x:c>
      <x:c r="P128"/>
      <x:c r="Q128" s="21" t="str"/>
      <x:c r="R128" s="21" t="str"/>
      <x:c r="S128" s="21" t="str"/>
      <x:c r="T128" s="17" t="str">
        <x:v>false</x:v>
      </x:c>
      <x:c r="U128" s="17" t="str">
        <x:v>true</x:v>
      </x:c>
      <x:c r="V128" s="17" t="str">
        <x:v>false</x:v>
      </x:c>
    </x:row>
    <x:row r="129" ht="80" customHeight="1">
      <x:c r="A129" s="25" t="str">
        <x:v>Closure</x:v>
      </x:c>
      <x:c r="B129" s="25" t="n">
        <x:v>64</x:v>
      </x:c>
      <x:c r="C129" s="25" t="str">
        <x:v>Round1</x:v>
      </x:c>
      <x:c r="D129" s="25" t="str">
        <x:v>INCONCLUSIVE</x:v>
      </x:c>
      <x:c r="E129" s="25" t="str">
        <x:v>N/A</x:v>
      </x:c>
      <x:c r="F129" s="26" t="str">
        <x:v>Fixed also failed; assertion failure cannot be attributed to this bug; Assertions failed with measured coverage; paired execution and stage checks determine status</x:v>
      </x:c>
      <x:c r="G129" s="25" t="str">
        <x:v>true</x:v>
      </x:c>
      <x:c r="H129" s="25" t="str">
        <x:v>INCONCLUSIVE</x:v>
      </x:c>
      <x:c r="I129" s="25" t="str">
        <x:v>FAIL</x:v>
      </x:c>
      <x:c r="J129" s="25" t="str">
        <x:v>FAIL</x:v>
      </x:c>
      <x:c r="K129" s="25" t="n">
        <x:v>7</x:v>
      </x:c>
      <x:c r="L129" s="27" t="b">
        <x:v>0</x:v>
      </x:c>
      <x:c r="M129" s="25" t="str">
        <x:v>Feedback-Directed Random Test Generation/rounds/Round1/state/Closure.json</x:v>
      </x:c>
      <x:c r="N129" s="25" t="str">
        <x:v>Feedback-Directed Random Test Generation/Result/Closure_64/result.json</x:v>
      </x:c>
      <x:c r="O129" s="25" t="str">
        <x:v>Feedback-Directed Random Test Generation/Result/Closure_64/result.json</x:v>
      </x:c>
      <x:c r="P129"/>
      <x:c r="Q129" s="21" t="str"/>
      <x:c r="R129" s="21" t="str"/>
      <x:c r="S129" s="21" t="str"/>
      <x:c r="T129" s="17" t="str">
        <x:v>false</x:v>
      </x:c>
      <x:c r="U129" s="17" t="str">
        <x:v>true</x:v>
      </x:c>
      <x:c r="V129" s="17" t="str">
        <x:v>false</x:v>
      </x:c>
    </x:row>
    <x:row r="130" ht="80" customHeight="1">
      <x:c r="A130" s="25" t="str">
        <x:v>Closure</x:v>
      </x:c>
      <x:c r="B130" s="25" t="n">
        <x:v>65</x:v>
      </x:c>
      <x:c r="C130" s="25" t="str">
        <x:v>Round1</x:v>
      </x:c>
      <x:c r="D130" s="25" t="str">
        <x:v>NOT_REVEALING</x:v>
      </x:c>
      <x:c r="E130" s="25" t="str">
        <x:v>N/A</x:v>
      </x:c>
      <x:c r="F130" s="26" t="str">
        <x:v>Same saved validation suite passed on buggy and fixed</x:v>
      </x:c>
      <x:c r="G130" s="25" t="str">
        <x:v>true</x:v>
      </x:c>
      <x:c r="H130" s="25" t="str">
        <x:v>NOT_REVEALING</x:v>
      </x:c>
      <x:c r="I130" s="25" t="str">
        <x:v>PASS</x:v>
      </x:c>
      <x:c r="J130" s="25" t="str">
        <x:v>PASS</x:v>
      </x:c>
      <x:c r="K130" s="25" t="n">
        <x:v>7</x:v>
      </x:c>
      <x:c r="L130" s="27" t="b">
        <x:v>0</x:v>
      </x:c>
      <x:c r="M130" s="25" t="str">
        <x:v>Feedback-Directed Random Test Generation/rounds/Round1/state/Closure.json</x:v>
      </x:c>
      <x:c r="N130" s="25" t="str">
        <x:v>Feedback-Directed Random Test Generation/Result/Closure_65/result.json</x:v>
      </x:c>
      <x:c r="O130" s="25" t="str">
        <x:v>Feedback-Directed Random Test Generation/Result/Closure_65/result.json</x:v>
      </x:c>
      <x:c r="P130"/>
      <x:c r="Q130" s="21" t="str"/>
      <x:c r="R130" s="21" t="str"/>
      <x:c r="S130" s="21" t="str"/>
      <x:c r="T130" s="17" t="str">
        <x:v>false</x:v>
      </x:c>
      <x:c r="U130" s="17" t="str">
        <x:v>true</x:v>
      </x:c>
      <x:c r="V130" s="17" t="str">
        <x:v>false</x:v>
      </x:c>
    </x:row>
    <x:row r="131" ht="80" customHeight="1">
      <x:c r="A131" s="25" t="str">
        <x:v>Closure</x:v>
      </x:c>
      <x:c r="B131" s="25" t="n">
        <x:v>66</x:v>
      </x:c>
      <x:c r="C131" s="25" t="str">
        <x:v>Round1</x:v>
      </x:c>
      <x:c r="D131" s="25" t="str">
        <x:v>NOT_REVEALING</x:v>
      </x:c>
      <x:c r="E131" s="25" t="str">
        <x:v>N/A</x:v>
      </x:c>
      <x:c r="F131" s="26" t="str">
        <x:v>Same saved validation suite passed on buggy and fixed</x:v>
      </x:c>
      <x:c r="G131" s="25" t="str">
        <x:v>true</x:v>
      </x:c>
      <x:c r="H131" s="25" t="str">
        <x:v>NOT_REVEALING</x:v>
      </x:c>
      <x:c r="I131" s="25" t="str">
        <x:v>PASS</x:v>
      </x:c>
      <x:c r="J131" s="25" t="str">
        <x:v>PASS</x:v>
      </x:c>
      <x:c r="K131" s="25" t="n">
        <x:v>2</x:v>
      </x:c>
      <x:c r="L131" s="27" t="b">
        <x:v>0</x:v>
      </x:c>
      <x:c r="M131" s="25" t="str">
        <x:v>Feedback-Directed Random Test Generation/rounds/Round1/state/Closure.json</x:v>
      </x:c>
      <x:c r="N131" s="25" t="str">
        <x:v>Feedback-Directed Random Test Generation/Result/Closure_66/result.json</x:v>
      </x:c>
      <x:c r="O131" s="25" t="str">
        <x:v>Feedback-Directed Random Test Generation/Result/Closure_66/result.json</x:v>
      </x:c>
      <x:c r="P131"/>
      <x:c r="Q131" s="21" t="str"/>
      <x:c r="R131" s="21" t="str"/>
      <x:c r="S131" s="21" t="str"/>
      <x:c r="T131" s="17" t="str">
        <x:v>false</x:v>
      </x:c>
      <x:c r="U131" s="17" t="str">
        <x:v>true</x:v>
      </x:c>
      <x:c r="V131" s="17" t="str">
        <x:v>false</x:v>
      </x:c>
    </x:row>
    <x:row r="132" ht="80" customHeight="1">
      <x:c r="A132" s="25" t="str">
        <x:v>Closure</x:v>
      </x:c>
      <x:c r="B132" s="25" t="n">
        <x:v>67</x:v>
      </x:c>
      <x:c r="C132" s="25" t="str">
        <x:v>Round1</x:v>
      </x:c>
      <x:c r="D132" s="25" t="str">
        <x:v>NOT_REVEALING</x:v>
      </x:c>
      <x:c r="E132" s="25" t="str">
        <x:v>N/A</x:v>
      </x:c>
      <x:c r="F132" s="26" t="str">
        <x:v>Same saved validation suite passed on buggy and fixed</x:v>
      </x:c>
      <x:c r="G132" s="25" t="str">
        <x:v>true</x:v>
      </x:c>
      <x:c r="H132" s="25" t="str">
        <x:v>NOT_REVEALING</x:v>
      </x:c>
      <x:c r="I132" s="25" t="str">
        <x:v>PASS</x:v>
      </x:c>
      <x:c r="J132" s="25" t="str">
        <x:v>PASS</x:v>
      </x:c>
      <x:c r="K132" s="25" t="n">
        <x:v>5</x:v>
      </x:c>
      <x:c r="L132" s="27" t="b">
        <x:v>0</x:v>
      </x:c>
      <x:c r="M132" s="25" t="str">
        <x:v>Feedback-Directed Random Test Generation/rounds/Round1/state/Closure.json</x:v>
      </x:c>
      <x:c r="N132" s="25" t="str">
        <x:v>Feedback-Directed Random Test Generation/Result/Closure_67/result.json</x:v>
      </x:c>
      <x:c r="O132" s="25" t="str">
        <x:v>Feedback-Directed Random Test Generation/Result/Closure_67/result.json</x:v>
      </x:c>
      <x:c r="P132"/>
      <x:c r="Q132" s="21" t="str"/>
      <x:c r="R132" s="21" t="str"/>
      <x:c r="S132" s="21" t="str"/>
      <x:c r="T132" s="17" t="str">
        <x:v>false</x:v>
      </x:c>
      <x:c r="U132" s="17" t="str">
        <x:v>true</x:v>
      </x:c>
      <x:c r="V132" s="17" t="str">
        <x:v>false</x:v>
      </x:c>
    </x:row>
    <x:row r="133" ht="80" customHeight="1">
      <x:c r="A133" s="25" t="str">
        <x:v>Closure</x:v>
      </x:c>
      <x:c r="B133" s="25" t="n">
        <x:v>68</x:v>
      </x:c>
      <x:c r="C133" s="25" t="str">
        <x:v>Round1</x:v>
      </x:c>
      <x:c r="D133" s="25" t="str">
        <x:v>NOT_REVEALING</x:v>
      </x:c>
      <x:c r="E133" s="25" t="str">
        <x:v>N/A</x:v>
      </x:c>
      <x:c r="F133" s="26" t="str">
        <x:v>Same saved validation suite passed on buggy and fixed</x:v>
      </x:c>
      <x:c r="G133" s="25" t="str">
        <x:v>true</x:v>
      </x:c>
      <x:c r="H133" s="25" t="str">
        <x:v>NOT_REVEALING</x:v>
      </x:c>
      <x:c r="I133" s="25" t="str">
        <x:v>PASS</x:v>
      </x:c>
      <x:c r="J133" s="25" t="str">
        <x:v>PASS</x:v>
      </x:c>
      <x:c r="K133" s="25" t="n">
        <x:v>2</x:v>
      </x:c>
      <x:c r="L133" s="27" t="b">
        <x:v>0</x:v>
      </x:c>
      <x:c r="M133" s="25" t="str">
        <x:v>Feedback-Directed Random Test Generation/rounds/Round1/state/Closure.json</x:v>
      </x:c>
      <x:c r="N133" s="25" t="str">
        <x:v>Feedback-Directed Random Test Generation/Result/Closure_68/result.json</x:v>
      </x:c>
      <x:c r="O133" s="25" t="str">
        <x:v>Feedback-Directed Random Test Generation/Result/Closure_68/result.json</x:v>
      </x:c>
      <x:c r="P133"/>
      <x:c r="Q133" s="21" t="str"/>
      <x:c r="R133" s="21" t="str"/>
      <x:c r="S133" s="21" t="str"/>
      <x:c r="T133" s="17" t="str">
        <x:v>false</x:v>
      </x:c>
      <x:c r="U133" s="17" t="str">
        <x:v>true</x:v>
      </x:c>
      <x:c r="V133" s="17" t="str">
        <x:v>false</x:v>
      </x:c>
    </x:row>
    <x:row r="134" ht="80" customHeight="1">
      <x:c r="A134" s="25" t="str">
        <x:v>Closure</x:v>
      </x:c>
      <x:c r="B134" s="25" t="n">
        <x:v>69</x:v>
      </x:c>
      <x:c r="C134" s="25" t="str">
        <x:v>Round1</x:v>
      </x:c>
      <x:c r="D134" s="25" t="str">
        <x:v>NOT_REVEALING</x:v>
      </x:c>
      <x:c r="E134" s="25" t="str">
        <x:v>N/A</x:v>
      </x:c>
      <x:c r="F134" s="26" t="str">
        <x:v>Same saved validation suite passed on buggy and fixed</x:v>
      </x:c>
      <x:c r="G134" s="25" t="str">
        <x:v>true</x:v>
      </x:c>
      <x:c r="H134" s="25" t="str">
        <x:v>NOT_REVEALING</x:v>
      </x:c>
      <x:c r="I134" s="25" t="str">
        <x:v>PASS</x:v>
      </x:c>
      <x:c r="J134" s="25" t="str">
        <x:v>PASS</x:v>
      </x:c>
      <x:c r="K134" s="25" t="n">
        <x:v>2</x:v>
      </x:c>
      <x:c r="L134" s="27" t="b">
        <x:v>0</x:v>
      </x:c>
      <x:c r="M134" s="25" t="str">
        <x:v>Feedback-Directed Random Test Generation/rounds/Round1/state/Closure.json</x:v>
      </x:c>
      <x:c r="N134" s="25" t="str">
        <x:v>Feedback-Directed Random Test Generation/Result/Closure_69/result.json</x:v>
      </x:c>
      <x:c r="O134" s="25" t="str">
        <x:v>Feedback-Directed Random Test Generation/Result/Closure_69/result.json</x:v>
      </x:c>
      <x:c r="P134"/>
      <x:c r="Q134" s="21" t="str"/>
      <x:c r="R134" s="21" t="str"/>
      <x:c r="S134" s="21" t="str"/>
      <x:c r="T134" s="17" t="str">
        <x:v>false</x:v>
      </x:c>
      <x:c r="U134" s="17" t="str">
        <x:v>true</x:v>
      </x:c>
      <x:c r="V134" s="17" t="str">
        <x:v>false</x:v>
      </x:c>
    </x:row>
    <x:row r="135" ht="80" customHeight="1">
      <x:c r="A135" s="25" t="str">
        <x:v>Closure</x:v>
      </x:c>
      <x:c r="B135" s="25" t="n">
        <x:v>70</x:v>
      </x:c>
      <x:c r="C135" s="25" t="str">
        <x:v>Round1</x:v>
      </x:c>
      <x:c r="D135" s="25" t="str">
        <x:v>NOT_REVEALING</x:v>
      </x:c>
      <x:c r="E135" s="25" t="str">
        <x:v>N/A</x:v>
      </x:c>
      <x:c r="F135" s="26" t="str">
        <x:v>Same saved validation suite passed on buggy and fixed</x:v>
      </x:c>
      <x:c r="G135" s="25" t="str">
        <x:v>true</x:v>
      </x:c>
      <x:c r="H135" s="25" t="str">
        <x:v>NOT_REVEALING</x:v>
      </x:c>
      <x:c r="I135" s="25" t="str">
        <x:v>PASS</x:v>
      </x:c>
      <x:c r="J135" s="25" t="str">
        <x:v>PASS</x:v>
      </x:c>
      <x:c r="K135" s="25" t="n">
        <x:v>2</x:v>
      </x:c>
      <x:c r="L135" s="27" t="b">
        <x:v>0</x:v>
      </x:c>
      <x:c r="M135" s="25" t="str">
        <x:v>Feedback-Directed Random Test Generation/rounds/Round1/state/Closure.json</x:v>
      </x:c>
      <x:c r="N135" s="25" t="str">
        <x:v>Feedback-Directed Random Test Generation/Result/Closure_70/result.json</x:v>
      </x:c>
      <x:c r="O135" s="25" t="str">
        <x:v>Feedback-Directed Random Test Generation/Result/Closure_70/result.json</x:v>
      </x:c>
      <x:c r="P135"/>
      <x:c r="Q135" s="21" t="str"/>
      <x:c r="R135" s="21" t="str"/>
      <x:c r="S135" s="21" t="str"/>
      <x:c r="T135" s="17" t="str">
        <x:v>false</x:v>
      </x:c>
      <x:c r="U135" s="17" t="str">
        <x:v>true</x:v>
      </x:c>
      <x:c r="V135" s="17" t="str">
        <x:v>false</x:v>
      </x:c>
    </x:row>
    <x:row r="136" ht="80" customHeight="1">
      <x:c r="A136" s="25" t="str">
        <x:v>Closure</x:v>
      </x:c>
      <x:c r="B136" s="25" t="n">
        <x:v>71</x:v>
      </x:c>
      <x:c r="C136" s="25" t="str">
        <x:v>Round1</x:v>
      </x:c>
      <x:c r="D136" s="25" t="str">
        <x:v>NOT_REVEALING</x:v>
      </x:c>
      <x:c r="E136" s="25" t="str">
        <x:v>N/A</x:v>
      </x:c>
      <x:c r="F136" s="26" t="str">
        <x:v>Same saved validation suite passed on buggy and fixed</x:v>
      </x:c>
      <x:c r="G136" s="25" t="str">
        <x:v>true</x:v>
      </x:c>
      <x:c r="H136" s="25" t="str">
        <x:v>NOT_REVEALING</x:v>
      </x:c>
      <x:c r="I136" s="25" t="str">
        <x:v>PASS</x:v>
      </x:c>
      <x:c r="J136" s="25" t="str">
        <x:v>PASS</x:v>
      </x:c>
      <x:c r="K136" s="25" t="n">
        <x:v>2</x:v>
      </x:c>
      <x:c r="L136" s="27" t="b">
        <x:v>0</x:v>
      </x:c>
      <x:c r="M136" s="25" t="str">
        <x:v>Feedback-Directed Random Test Generation/rounds/Round1/state/Closure.json</x:v>
      </x:c>
      <x:c r="N136" s="25" t="str">
        <x:v>Feedback-Directed Random Test Generation/Result/Closure_71/result.json</x:v>
      </x:c>
      <x:c r="O136" s="25" t="str">
        <x:v>Feedback-Directed Random Test Generation/Result/Closure_71/result.json</x:v>
      </x:c>
      <x:c r="P136"/>
      <x:c r="Q136" s="21" t="str"/>
      <x:c r="R136" s="21" t="str"/>
      <x:c r="S136" s="21" t="str"/>
      <x:c r="T136" s="17" t="str">
        <x:v>false</x:v>
      </x:c>
      <x:c r="U136" s="17" t="str">
        <x:v>true</x:v>
      </x:c>
      <x:c r="V136" s="17" t="str">
        <x:v>false</x:v>
      </x:c>
    </x:row>
    <x:row r="137" ht="80" customHeight="1">
      <x:c r="A137" s="25" t="str">
        <x:v>Closure</x:v>
      </x:c>
      <x:c r="B137" s="25" t="n">
        <x:v>72</x:v>
      </x:c>
      <x:c r="C137" s="25" t="str">
        <x:v>Round1</x:v>
      </x:c>
      <x:c r="D137" s="25" t="str">
        <x:v>NOT_REVEALING</x:v>
      </x:c>
      <x:c r="E137" s="25" t="str">
        <x:v>N/A</x:v>
      </x:c>
      <x:c r="F137" s="26" t="str">
        <x:v>Same saved validation suite passed on buggy and fixed</x:v>
      </x:c>
      <x:c r="G137" s="25" t="str">
        <x:v>true</x:v>
      </x:c>
      <x:c r="H137" s="25" t="str">
        <x:v>NOT_REVEALING</x:v>
      </x:c>
      <x:c r="I137" s="25" t="str">
        <x:v>PASS</x:v>
      </x:c>
      <x:c r="J137" s="25" t="str">
        <x:v>PASS</x:v>
      </x:c>
      <x:c r="K137" s="25" t="n">
        <x:v>4</x:v>
      </x:c>
      <x:c r="L137" s="27" t="b">
        <x:v>0</x:v>
      </x:c>
      <x:c r="M137" s="25" t="str">
        <x:v>Feedback-Directed Random Test Generation/rounds/Round1/state/Closure.json</x:v>
      </x:c>
      <x:c r="N137" s="25" t="str">
        <x:v>Feedback-Directed Random Test Generation/Result/Closure_72/result.json</x:v>
      </x:c>
      <x:c r="O137" s="25" t="str">
        <x:v>Feedback-Directed Random Test Generation/Result/Closure_72/result.json</x:v>
      </x:c>
      <x:c r="P137"/>
      <x:c r="Q137" s="21" t="str"/>
      <x:c r="R137" s="21" t="str"/>
      <x:c r="S137" s="21" t="str"/>
      <x:c r="T137" s="17" t="str">
        <x:v>false</x:v>
      </x:c>
      <x:c r="U137" s="17" t="str">
        <x:v>true</x:v>
      </x:c>
      <x:c r="V137" s="17" t="str">
        <x:v>false</x:v>
      </x:c>
    </x:row>
    <x:row r="138" ht="80" customHeight="1">
      <x:c r="A138" s="25" t="str">
        <x:v>Closure</x:v>
      </x:c>
      <x:c r="B138" s="25" t="n">
        <x:v>73</x:v>
      </x:c>
      <x:c r="C138" s="25" t="str">
        <x:v>Round1</x:v>
      </x:c>
      <x:c r="D138" s="25" t="str">
        <x:v>NOT_REVEALING</x:v>
      </x:c>
      <x:c r="E138" s="25" t="str">
        <x:v>N/A</x:v>
      </x:c>
      <x:c r="F138" s="26" t="str">
        <x:v>Same saved validation suite passed on buggy and fixed</x:v>
      </x:c>
      <x:c r="G138" s="25" t="str">
        <x:v>true</x:v>
      </x:c>
      <x:c r="H138" s="25" t="str">
        <x:v>NOT_REVEALING</x:v>
      </x:c>
      <x:c r="I138" s="25" t="str">
        <x:v>PASS</x:v>
      </x:c>
      <x:c r="J138" s="25" t="str">
        <x:v>PASS</x:v>
      </x:c>
      <x:c r="K138" s="25" t="n">
        <x:v>7</x:v>
      </x:c>
      <x:c r="L138" s="27" t="b">
        <x:v>0</x:v>
      </x:c>
      <x:c r="M138" s="25" t="str">
        <x:v>Feedback-Directed Random Test Generation/rounds/Round1/state/Closure.json</x:v>
      </x:c>
      <x:c r="N138" s="25" t="str">
        <x:v>Feedback-Directed Random Test Generation/Result/Closure_73/result.json</x:v>
      </x:c>
      <x:c r="O138" s="25" t="str">
        <x:v>Feedback-Directed Random Test Generation/Result/Closure_73/result.json</x:v>
      </x:c>
      <x:c r="P138"/>
      <x:c r="Q138" s="21" t="str"/>
      <x:c r="R138" s="21" t="str"/>
      <x:c r="S138" s="21" t="str"/>
      <x:c r="T138" s="17" t="str">
        <x:v>false</x:v>
      </x:c>
      <x:c r="U138" s="17" t="str">
        <x:v>true</x:v>
      </x:c>
      <x:c r="V138" s="17" t="str">
        <x:v>false</x:v>
      </x:c>
    </x:row>
    <x:row r="139" ht="80" customHeight="1">
      <x:c r="A139" s="25" t="str">
        <x:v>Closure</x:v>
      </x:c>
      <x:c r="B139" s="25" t="n">
        <x:v>74</x:v>
      </x:c>
      <x:c r="C139" s="25" t="str">
        <x:v>Round1</x:v>
      </x:c>
      <x:c r="D139" s="25" t="str">
        <x:v>NOT_REVEALING</x:v>
      </x:c>
      <x:c r="E139" s="25" t="str">
        <x:v>N/A</x:v>
      </x:c>
      <x:c r="F139" s="26" t="str">
        <x:v>Same saved validation suite passed on buggy and fixed</x:v>
      </x:c>
      <x:c r="G139" s="25" t="str">
        <x:v>true</x:v>
      </x:c>
      <x:c r="H139" s="25" t="str">
        <x:v>NOT_REVEALING</x:v>
      </x:c>
      <x:c r="I139" s="25" t="str">
        <x:v>PASS</x:v>
      </x:c>
      <x:c r="J139" s="25" t="str">
        <x:v>PASS</x:v>
      </x:c>
      <x:c r="K139" s="25" t="n">
        <x:v>2</x:v>
      </x:c>
      <x:c r="L139" s="27" t="b">
        <x:v>0</x:v>
      </x:c>
      <x:c r="M139" s="25" t="str">
        <x:v>Feedback-Directed Random Test Generation/rounds/Round1/state/Closure.json</x:v>
      </x:c>
      <x:c r="N139" s="25" t="str">
        <x:v>Feedback-Directed Random Test Generation/Result/Closure_74/result.json</x:v>
      </x:c>
      <x:c r="O139" s="25" t="str">
        <x:v>Feedback-Directed Random Test Generation/Result/Closure_74/result.json</x:v>
      </x:c>
      <x:c r="P139"/>
      <x:c r="Q139" s="21" t="str"/>
      <x:c r="R139" s="21" t="str"/>
      <x:c r="S139" s="21" t="str"/>
      <x:c r="T139" s="17" t="str">
        <x:v>false</x:v>
      </x:c>
      <x:c r="U139" s="17" t="str">
        <x:v>true</x:v>
      </x:c>
      <x:c r="V139" s="17" t="str">
        <x:v>false</x:v>
      </x:c>
    </x:row>
    <x:row r="140" ht="80" customHeight="1">
      <x:c r="A140" s="25" t="str">
        <x:v>Closure</x:v>
      </x:c>
      <x:c r="B140" s="25" t="n">
        <x:v>75</x:v>
      </x:c>
      <x:c r="C140" s="25" t="str">
        <x:v>Round1</x:v>
      </x:c>
      <x:c r="D140" s="25" t="str">
        <x:v>NOT_REVEALING</x:v>
      </x:c>
      <x:c r="E140" s="25" t="str">
        <x:v>N/A</x:v>
      </x:c>
      <x:c r="F140" s="26" t="str">
        <x:v>Same saved validation suite passed on buggy and fixed</x:v>
      </x:c>
      <x:c r="G140" s="25" t="str">
        <x:v>true</x:v>
      </x:c>
      <x:c r="H140" s="25" t="str">
        <x:v>NOT_REVEALING</x:v>
      </x:c>
      <x:c r="I140" s="25" t="str">
        <x:v>PASS</x:v>
      </x:c>
      <x:c r="J140" s="25" t="str">
        <x:v>PASS</x:v>
      </x:c>
      <x:c r="K140" s="25" t="n">
        <x:v>5</x:v>
      </x:c>
      <x:c r="L140" s="27" t="b">
        <x:v>0</x:v>
      </x:c>
      <x:c r="M140" s="25" t="str">
        <x:v>Feedback-Directed Random Test Generation/rounds/Round1/state/Closure.json</x:v>
      </x:c>
      <x:c r="N140" s="25" t="str">
        <x:v>Feedback-Directed Random Test Generation/Result/Closure_75/result.json</x:v>
      </x:c>
      <x:c r="O140" s="25" t="str">
        <x:v>Feedback-Directed Random Test Generation/Result/Closure_75/result.json</x:v>
      </x:c>
      <x:c r="P140"/>
      <x:c r="Q140" s="21" t="str"/>
      <x:c r="R140" s="21" t="str"/>
      <x:c r="S140" s="21" t="str"/>
      <x:c r="T140" s="17" t="str">
        <x:v>false</x:v>
      </x:c>
      <x:c r="U140" s="17" t="str">
        <x:v>true</x:v>
      </x:c>
      <x:c r="V140" s="17" t="str">
        <x:v>false</x:v>
      </x:c>
    </x:row>
    <x:row r="141" ht="80" customHeight="1">
      <x:c r="A141" s="25" t="str">
        <x:v>Closure</x:v>
      </x:c>
      <x:c r="B141" s="25" t="n">
        <x:v>76</x:v>
      </x:c>
      <x:c r="C141" s="25" t="str">
        <x:v>Round1</x:v>
      </x:c>
      <x:c r="D141" s="25" t="str">
        <x:v>NOT_REVEALING</x:v>
      </x:c>
      <x:c r="E141" s="25" t="str">
        <x:v>N/A</x:v>
      </x:c>
      <x:c r="F141" s="26" t="str">
        <x:v>Same saved validation suite passed on buggy and fixed</x:v>
      </x:c>
      <x:c r="G141" s="25" t="str">
        <x:v>true</x:v>
      </x:c>
      <x:c r="H141" s="25" t="str">
        <x:v>NOT_REVEALING</x:v>
      </x:c>
      <x:c r="I141" s="25" t="str">
        <x:v>PASS</x:v>
      </x:c>
      <x:c r="J141" s="25" t="str">
        <x:v>PASS</x:v>
      </x:c>
      <x:c r="K141" s="25" t="n">
        <x:v>5</x:v>
      </x:c>
      <x:c r="L141" s="27" t="b">
        <x:v>0</x:v>
      </x:c>
      <x:c r="M141" s="25" t="str">
        <x:v>Feedback-Directed Random Test Generation/rounds/Round1/state/Closure.json</x:v>
      </x:c>
      <x:c r="N141" s="25" t="str">
        <x:v>Feedback-Directed Random Test Generation/Result/Closure_76/result.json</x:v>
      </x:c>
      <x:c r="O141" s="25" t="str">
        <x:v>Feedback-Directed Random Test Generation/Result/Closure_76/result.json</x:v>
      </x:c>
      <x:c r="P141"/>
      <x:c r="Q141" s="21" t="str"/>
      <x:c r="R141" s="21" t="str"/>
      <x:c r="S141" s="21" t="str"/>
      <x:c r="T141" s="17" t="str">
        <x:v>false</x:v>
      </x:c>
      <x:c r="U141" s="17" t="str">
        <x:v>true</x:v>
      </x:c>
      <x:c r="V141" s="17" t="str">
        <x:v>false</x:v>
      </x:c>
    </x:row>
    <x:row r="142" ht="80" customHeight="1">
      <x:c r="A142" s="25" t="str">
        <x:v>Closure</x:v>
      </x:c>
      <x:c r="B142" s="25" t="n">
        <x:v>77</x:v>
      </x:c>
      <x:c r="C142" s="25" t="str">
        <x:v>Round1</x:v>
      </x:c>
      <x:c r="D142" s="25" t="str">
        <x:v>NOT_REVEALING</x:v>
      </x:c>
      <x:c r="E142" s="25" t="str">
        <x:v>N/A</x:v>
      </x:c>
      <x:c r="F142" s="26" t="str">
        <x:v>Same saved validation suite passed on buggy and fixed</x:v>
      </x:c>
      <x:c r="G142" s="25" t="str">
        <x:v>true</x:v>
      </x:c>
      <x:c r="H142" s="25" t="str">
        <x:v>NOT_REVEALING</x:v>
      </x:c>
      <x:c r="I142" s="25" t="str">
        <x:v>PASS</x:v>
      </x:c>
      <x:c r="J142" s="25" t="str">
        <x:v>PASS</x:v>
      </x:c>
      <x:c r="K142" s="25" t="n">
        <x:v>6</x:v>
      </x:c>
      <x:c r="L142" s="27" t="b">
        <x:v>0</x:v>
      </x:c>
      <x:c r="M142" s="25" t="str">
        <x:v>Feedback-Directed Random Test Generation/rounds/Round1/state/Closure.json</x:v>
      </x:c>
      <x:c r="N142" s="25" t="str">
        <x:v>Feedback-Directed Random Test Generation/Result/Closure_77/result.json</x:v>
      </x:c>
      <x:c r="O142" s="25" t="str">
        <x:v>Feedback-Directed Random Test Generation/Result/Closure_77/result.json</x:v>
      </x:c>
      <x:c r="P142"/>
      <x:c r="Q142" s="21" t="str"/>
      <x:c r="R142" s="21" t="str"/>
      <x:c r="S142" s="21" t="str"/>
      <x:c r="T142" s="17" t="str">
        <x:v>false</x:v>
      </x:c>
      <x:c r="U142" s="17" t="str">
        <x:v>true</x:v>
      </x:c>
      <x:c r="V142" s="17" t="str">
        <x:v>false</x:v>
      </x:c>
    </x:row>
    <x:row r="143" ht="80" customHeight="1">
      <x:c r="A143" s="25" t="str">
        <x:v>Closure</x:v>
      </x:c>
      <x:c r="B143" s="25" t="n">
        <x:v>78</x:v>
      </x:c>
      <x:c r="C143" s="25" t="str">
        <x:v>Round1</x:v>
      </x:c>
      <x:c r="D143" s="25" t="str">
        <x:v>NOT_REVEALING</x:v>
      </x:c>
      <x:c r="E143" s="25" t="str">
        <x:v>N/A</x:v>
      </x:c>
      <x:c r="F143" s="26" t="str">
        <x:v>Same saved validation suite passed on buggy and fixed</x:v>
      </x:c>
      <x:c r="G143" s="25" t="str">
        <x:v>true</x:v>
      </x:c>
      <x:c r="H143" s="25" t="str">
        <x:v>NOT_REVEALING</x:v>
      </x:c>
      <x:c r="I143" s="25" t="str">
        <x:v>PASS</x:v>
      </x:c>
      <x:c r="J143" s="25" t="str">
        <x:v>PASS</x:v>
      </x:c>
      <x:c r="K143" s="25" t="n">
        <x:v>2</x:v>
      </x:c>
      <x:c r="L143" s="27" t="b">
        <x:v>0</x:v>
      </x:c>
      <x:c r="M143" s="25" t="str">
        <x:v>Feedback-Directed Random Test Generation/rounds/Round1/state/Closure.json</x:v>
      </x:c>
      <x:c r="N143" s="25" t="str">
        <x:v>Feedback-Directed Random Test Generation/Result/Closure_78/result.json</x:v>
      </x:c>
      <x:c r="O143" s="25" t="str">
        <x:v>Feedback-Directed Random Test Generation/Result/Closure_78/result.json</x:v>
      </x:c>
      <x:c r="P143"/>
      <x:c r="Q143" s="21" t="str"/>
      <x:c r="R143" s="21" t="str"/>
      <x:c r="S143" s="21" t="str"/>
      <x:c r="T143" s="17" t="str">
        <x:v>false</x:v>
      </x:c>
      <x:c r="U143" s="17" t="str">
        <x:v>true</x:v>
      </x:c>
      <x:c r="V143" s="17" t="str">
        <x:v>false</x:v>
      </x:c>
    </x:row>
    <x:row r="144" ht="80" customHeight="1">
      <x:c r="A144" s="25" t="str">
        <x:v>Closure</x:v>
      </x:c>
      <x:c r="B144" s="25" t="n">
        <x:v>79</x:v>
      </x:c>
      <x:c r="C144" s="25" t="str">
        <x:v>Round1</x:v>
      </x:c>
      <x:c r="D144" s="25" t="str">
        <x:v>NOT_REVEALING</x:v>
      </x:c>
      <x:c r="E144" s="25" t="str">
        <x:v>N/A</x:v>
      </x:c>
      <x:c r="F144" s="26" t="str">
        <x:v>Same saved validation suite passed on buggy and fixed</x:v>
      </x:c>
      <x:c r="G144" s="25" t="str">
        <x:v>true</x:v>
      </x:c>
      <x:c r="H144" s="25" t="str">
        <x:v>NOT_REVEALING</x:v>
      </x:c>
      <x:c r="I144" s="25" t="str">
        <x:v>PASS</x:v>
      </x:c>
      <x:c r="J144" s="25" t="str">
        <x:v>PASS</x:v>
      </x:c>
      <x:c r="K144" s="25" t="n">
        <x:v>2</x:v>
      </x:c>
      <x:c r="L144" s="27" t="b">
        <x:v>0</x:v>
      </x:c>
      <x:c r="M144" s="25" t="str">
        <x:v>Feedback-Directed Random Test Generation/rounds/Round1/state/Closure.json</x:v>
      </x:c>
      <x:c r="N144" s="25" t="str">
        <x:v>Feedback-Directed Random Test Generation/Result/Closure_79/result.json</x:v>
      </x:c>
      <x:c r="O144" s="25" t="str">
        <x:v>Feedback-Directed Random Test Generation/Result/Closure_79/result.json</x:v>
      </x:c>
      <x:c r="P144"/>
      <x:c r="Q144" s="21" t="str"/>
      <x:c r="R144" s="21" t="str"/>
      <x:c r="S144" s="21" t="str"/>
      <x:c r="T144" s="17" t="str">
        <x:v>false</x:v>
      </x:c>
      <x:c r="U144" s="17" t="str">
        <x:v>true</x:v>
      </x:c>
      <x:c r="V144" s="17" t="str">
        <x:v>false</x:v>
      </x:c>
    </x:row>
    <x:row r="145" ht="80" customHeight="1">
      <x:c r="A145" s="25" t="str">
        <x:v>Closure</x:v>
      </x:c>
      <x:c r="B145" s="25" t="n">
        <x:v>80</x:v>
      </x:c>
      <x:c r="C145" s="25" t="str">
        <x:v>Round1</x:v>
      </x:c>
      <x:c r="D145" s="25" t="str">
        <x:v>NOT_REVEALING</x:v>
      </x:c>
      <x:c r="E145" s="25" t="str">
        <x:v>N/A</x:v>
      </x:c>
      <x:c r="F145" s="26" t="str">
        <x:v>Same saved validation suite passed on buggy and fixed</x:v>
      </x:c>
      <x:c r="G145" s="25" t="str">
        <x:v>true</x:v>
      </x:c>
      <x:c r="H145" s="25" t="str">
        <x:v>NOT_REVEALING</x:v>
      </x:c>
      <x:c r="I145" s="25" t="str">
        <x:v>PASS</x:v>
      </x:c>
      <x:c r="J145" s="25" t="str">
        <x:v>PASS</x:v>
      </x:c>
      <x:c r="K145" s="25" t="n">
        <x:v>5</x:v>
      </x:c>
      <x:c r="L145" s="27" t="b">
        <x:v>0</x:v>
      </x:c>
      <x:c r="M145" s="25" t="str">
        <x:v>Feedback-Directed Random Test Generation/rounds/Round1/state/Closure.json</x:v>
      </x:c>
      <x:c r="N145" s="25" t="str">
        <x:v>Feedback-Directed Random Test Generation/Result/Closure_80/result.json</x:v>
      </x:c>
      <x:c r="O145" s="25" t="str">
        <x:v>Feedback-Directed Random Test Generation/Result/Closure_80/result.json</x:v>
      </x:c>
      <x:c r="P145"/>
      <x:c r="Q145" s="21" t="str"/>
      <x:c r="R145" s="21" t="str"/>
      <x:c r="S145" s="21" t="str"/>
      <x:c r="T145" s="17" t="str">
        <x:v>false</x:v>
      </x:c>
      <x:c r="U145" s="17" t="str">
        <x:v>true</x:v>
      </x:c>
      <x:c r="V145" s="17" t="str">
        <x:v>false</x:v>
      </x:c>
    </x:row>
    <x:row r="146" ht="80" customHeight="1">
      <x:c r="A146" s="25" t="str">
        <x:v>Closure</x:v>
      </x:c>
      <x:c r="B146" s="25" t="n">
        <x:v>81</x:v>
      </x:c>
      <x:c r="C146" s="25" t="str">
        <x:v>Round1</x:v>
      </x:c>
      <x:c r="D146" s="25" t="str">
        <x:v>NOT_REVEALING</x:v>
      </x:c>
      <x:c r="E146" s="25" t="str">
        <x:v>N/A</x:v>
      </x:c>
      <x:c r="F146" s="26" t="str">
        <x:v>Same saved validation suite passed on buggy and fixed</x:v>
      </x:c>
      <x:c r="G146" s="25" t="str">
        <x:v>true</x:v>
      </x:c>
      <x:c r="H146" s="25" t="str">
        <x:v>NOT_REVEALING</x:v>
      </x:c>
      <x:c r="I146" s="25" t="str">
        <x:v>PASS</x:v>
      </x:c>
      <x:c r="J146" s="25" t="str">
        <x:v>PASS</x:v>
      </x:c>
      <x:c r="K146" s="25" t="n">
        <x:v>2</x:v>
      </x:c>
      <x:c r="L146" s="27" t="b">
        <x:v>0</x:v>
      </x:c>
      <x:c r="M146" s="25" t="str">
        <x:v>Feedback-Directed Random Test Generation/rounds/Round1/state/Closure.json</x:v>
      </x:c>
      <x:c r="N146" s="25" t="str">
        <x:v>Feedback-Directed Random Test Generation/Result/Closure_81/result.json</x:v>
      </x:c>
      <x:c r="O146" s="25" t="str">
        <x:v>Feedback-Directed Random Test Generation/Result/Closure_81/result.json</x:v>
      </x:c>
      <x:c r="P146"/>
      <x:c r="Q146" s="21" t="str"/>
      <x:c r="R146" s="21" t="str"/>
      <x:c r="S146" s="21" t="str"/>
      <x:c r="T146" s="17" t="str">
        <x:v>false</x:v>
      </x:c>
      <x:c r="U146" s="17" t="str">
        <x:v>true</x:v>
      </x:c>
      <x:c r="V146" s="17" t="str">
        <x:v>false</x:v>
      </x:c>
    </x:row>
    <x:row r="147" ht="80" customHeight="1">
      <x:c r="A147" s="25" t="str">
        <x:v>Closure</x:v>
      </x:c>
      <x:c r="B147" s="25" t="n">
        <x:v>82</x:v>
      </x:c>
      <x:c r="C147" s="25" t="str">
        <x:v>Round1</x:v>
      </x:c>
      <x:c r="D147" s="25" t="str">
        <x:v>NOT_REVEALING</x:v>
      </x:c>
      <x:c r="E147" s="25" t="str">
        <x:v>N/A</x:v>
      </x:c>
      <x:c r="F147" s="26" t="str">
        <x:v>Same saved validation suite passed on buggy and fixed</x:v>
      </x:c>
      <x:c r="G147" s="25" t="str">
        <x:v>true</x:v>
      </x:c>
      <x:c r="H147" s="25" t="str">
        <x:v>NOT_REVEALING</x:v>
      </x:c>
      <x:c r="I147" s="25" t="str">
        <x:v>PASS</x:v>
      </x:c>
      <x:c r="J147" s="25" t="str">
        <x:v>PASS</x:v>
      </x:c>
      <x:c r="K147" s="25" t="n">
        <x:v>11</x:v>
      </x:c>
      <x:c r="L147" s="27" t="b">
        <x:v>0</x:v>
      </x:c>
      <x:c r="M147" s="25" t="str">
        <x:v>Feedback-Directed Random Test Generation/rounds/Round1/state/Closure.json</x:v>
      </x:c>
      <x:c r="N147" s="25" t="str">
        <x:v>Feedback-Directed Random Test Generation/Result/Closure_82/result.json</x:v>
      </x:c>
      <x:c r="O147" s="25" t="str">
        <x:v>Feedback-Directed Random Test Generation/Result/Closure_82/result.json</x:v>
      </x:c>
      <x:c r="P147"/>
      <x:c r="Q147" s="21" t="str"/>
      <x:c r="R147" s="21" t="str"/>
      <x:c r="S147" s="21" t="str"/>
      <x:c r="T147" s="17" t="str">
        <x:v>false</x:v>
      </x:c>
      <x:c r="U147" s="17" t="str">
        <x:v>true</x:v>
      </x:c>
      <x:c r="V147" s="17" t="str">
        <x:v>false</x:v>
      </x:c>
    </x:row>
    <x:row r="148" ht="80" customHeight="1">
      <x:c r="A148" s="25" t="str">
        <x:v>Closure</x:v>
      </x:c>
      <x:c r="B148" s="25" t="n">
        <x:v>83</x:v>
      </x:c>
      <x:c r="C148" s="25" t="str">
        <x:v>Round1</x:v>
      </x:c>
      <x:c r="D148" s="25" t="str">
        <x:v>INCONCLUSIVE</x:v>
      </x:c>
      <x:c r="E148" s="25" t="str">
        <x:v>N/A</x:v>
      </x:c>
      <x:c r="F148" s="26" t="str">
        <x:v>Fixed also failed; assertion failure cannot be attributed to this bug; Assertions failed with measured coverage; paired execution and stage checks determine status</x:v>
      </x:c>
      <x:c r="G148" s="25" t="str">
        <x:v>true</x:v>
      </x:c>
      <x:c r="H148" s="25" t="str">
        <x:v>INCONCLUSIVE</x:v>
      </x:c>
      <x:c r="I148" s="25" t="str">
        <x:v>FAIL</x:v>
      </x:c>
      <x:c r="J148" s="25" t="str">
        <x:v>FAIL</x:v>
      </x:c>
      <x:c r="K148" s="25" t="n">
        <x:v>4</x:v>
      </x:c>
      <x:c r="L148" s="27" t="b">
        <x:v>0</x:v>
      </x:c>
      <x:c r="M148" s="25" t="str">
        <x:v>Feedback-Directed Random Test Generation/rounds/Round1/state/Closure.json</x:v>
      </x:c>
      <x:c r="N148" s="25" t="str">
        <x:v>Feedback-Directed Random Test Generation/Result/Closure_83/result.json</x:v>
      </x:c>
      <x:c r="O148" s="25" t="str">
        <x:v>Feedback-Directed Random Test Generation/Result/Closure_83/result.json</x:v>
      </x:c>
      <x:c r="P148"/>
      <x:c r="Q148" s="21" t="str"/>
      <x:c r="R148" s="21" t="str"/>
      <x:c r="S148" s="21" t="str"/>
      <x:c r="T148" s="17" t="str">
        <x:v>false</x:v>
      </x:c>
      <x:c r="U148" s="17" t="str">
        <x:v>true</x:v>
      </x:c>
      <x:c r="V148" s="17" t="str">
        <x:v>false</x:v>
      </x:c>
    </x:row>
    <x:row r="149" ht="80" customHeight="1">
      <x:c r="A149" s="25" t="str">
        <x:v>Closure</x:v>
      </x:c>
      <x:c r="B149" s="25" t="n">
        <x:v>84</x:v>
      </x:c>
      <x:c r="C149" s="25" t="str">
        <x:v>Round1</x:v>
      </x:c>
      <x:c r="D149" s="25" t="str">
        <x:v>NOT_REVEALING</x:v>
      </x:c>
      <x:c r="E149" s="25" t="str">
        <x:v>N/A</x:v>
      </x:c>
      <x:c r="F149" s="26" t="str">
        <x:v>Same saved validation suite passed on buggy and fixed</x:v>
      </x:c>
      <x:c r="G149" s="25" t="str">
        <x:v>true</x:v>
      </x:c>
      <x:c r="H149" s="25" t="str">
        <x:v>NOT_REVEALING</x:v>
      </x:c>
      <x:c r="I149" s="25" t="str">
        <x:v>PASS</x:v>
      </x:c>
      <x:c r="J149" s="25" t="str">
        <x:v>PASS</x:v>
      </x:c>
      <x:c r="K149" s="25" t="n">
        <x:v>2</x:v>
      </x:c>
      <x:c r="L149" s="27" t="b">
        <x:v>0</x:v>
      </x:c>
      <x:c r="M149" s="25" t="str">
        <x:v>Feedback-Directed Random Test Generation/rounds/Round1/state/Closure.json</x:v>
      </x:c>
      <x:c r="N149" s="25" t="str">
        <x:v>Feedback-Directed Random Test Generation/Result/Closure_84/result.json</x:v>
      </x:c>
      <x:c r="O149" s="25" t="str">
        <x:v>Feedback-Directed Random Test Generation/Result/Closure_84/result.json</x:v>
      </x:c>
      <x:c r="P149"/>
      <x:c r="Q149" s="21" t="str"/>
      <x:c r="R149" s="21" t="str"/>
      <x:c r="S149" s="21" t="str"/>
      <x:c r="T149" s="17" t="str">
        <x:v>false</x:v>
      </x:c>
      <x:c r="U149" s="17" t="str">
        <x:v>true</x:v>
      </x:c>
      <x:c r="V149" s="17" t="str">
        <x:v>false</x:v>
      </x:c>
    </x:row>
    <x:row r="150" ht="80" customHeight="1">
      <x:c r="A150" s="25" t="str">
        <x:v>Closure</x:v>
      </x:c>
      <x:c r="B150" s="25" t="n">
        <x:v>85</x:v>
      </x:c>
      <x:c r="C150" s="25" t="str">
        <x:v>Round1</x:v>
      </x:c>
      <x:c r="D150" s="25" t="str">
        <x:v>NOT_REVEALING</x:v>
      </x:c>
      <x:c r="E150" s="25" t="str">
        <x:v>N/A</x:v>
      </x:c>
      <x:c r="F150" s="26" t="str">
        <x:v>Same saved validation suite passed on buggy and fixed</x:v>
      </x:c>
      <x:c r="G150" s="25" t="str">
        <x:v>true</x:v>
      </x:c>
      <x:c r="H150" s="25" t="str">
        <x:v>NOT_REVEALING</x:v>
      </x:c>
      <x:c r="I150" s="25" t="str">
        <x:v>PASS</x:v>
      </x:c>
      <x:c r="J150" s="25" t="str">
        <x:v>PASS</x:v>
      </x:c>
      <x:c r="K150" s="25" t="n">
        <x:v>5</x:v>
      </x:c>
      <x:c r="L150" s="27" t="b">
        <x:v>0</x:v>
      </x:c>
      <x:c r="M150" s="25" t="str">
        <x:v>Feedback-Directed Random Test Generation/rounds/Round1/state/Closure.json</x:v>
      </x:c>
      <x:c r="N150" s="25" t="str">
        <x:v>Feedback-Directed Random Test Generation/Result/Closure_85/result.json</x:v>
      </x:c>
      <x:c r="O150" s="25" t="str">
        <x:v>Feedback-Directed Random Test Generation/Result/Closure_85/result.json</x:v>
      </x:c>
      <x:c r="P150"/>
      <x:c r="Q150" s="21" t="str"/>
      <x:c r="R150" s="21" t="str"/>
      <x:c r="S150" s="21" t="str"/>
      <x:c r="T150" s="17" t="str">
        <x:v>false</x:v>
      </x:c>
      <x:c r="U150" s="17" t="str">
        <x:v>true</x:v>
      </x:c>
      <x:c r="V150" s="17" t="str">
        <x:v>false</x:v>
      </x:c>
    </x:row>
    <x:row r="151" ht="80" customHeight="1">
      <x:c r="A151" s="25" t="str">
        <x:v>Closure</x:v>
      </x:c>
      <x:c r="B151" s="25" t="n">
        <x:v>86</x:v>
      </x:c>
      <x:c r="C151" s="25" t="str">
        <x:v>Round1</x:v>
      </x:c>
      <x:c r="D151" s="25" t="str">
        <x:v>NOT_REVEALING</x:v>
      </x:c>
      <x:c r="E151" s="25" t="str">
        <x:v>N/A</x:v>
      </x:c>
      <x:c r="F151" s="26" t="str">
        <x:v>Same saved validation suite passed on buggy and fixed</x:v>
      </x:c>
      <x:c r="G151" s="25" t="str">
        <x:v>true</x:v>
      </x:c>
      <x:c r="H151" s="25" t="str">
        <x:v>NOT_REVEALING</x:v>
      </x:c>
      <x:c r="I151" s="25" t="str">
        <x:v>PASS</x:v>
      </x:c>
      <x:c r="J151" s="25" t="str">
        <x:v>PASS</x:v>
      </x:c>
      <x:c r="K151" s="25" t="n">
        <x:v>5</x:v>
      </x:c>
      <x:c r="L151" s="27" t="b">
        <x:v>0</x:v>
      </x:c>
      <x:c r="M151" s="25" t="str">
        <x:v>Feedback-Directed Random Test Generation/rounds/Round1/state/Closure.json</x:v>
      </x:c>
      <x:c r="N151" s="25" t="str">
        <x:v>Feedback-Directed Random Test Generation/Result/Closure_86/result.json</x:v>
      </x:c>
      <x:c r="O151" s="25" t="str">
        <x:v>Feedback-Directed Random Test Generation/Result/Closure_86/result.json</x:v>
      </x:c>
      <x:c r="P151"/>
      <x:c r="Q151" s="21" t="str"/>
      <x:c r="R151" s="21" t="str"/>
      <x:c r="S151" s="21" t="str"/>
      <x:c r="T151" s="17" t="str">
        <x:v>false</x:v>
      </x:c>
      <x:c r="U151" s="17" t="str">
        <x:v>true</x:v>
      </x:c>
      <x:c r="V151" s="17" t="str">
        <x:v>false</x:v>
      </x:c>
    </x:row>
    <x:row r="152" ht="80" customHeight="1">
      <x:c r="A152" s="25" t="str">
        <x:v>Closure</x:v>
      </x:c>
      <x:c r="B152" s="25" t="n">
        <x:v>87</x:v>
      </x:c>
      <x:c r="C152" s="25" t="str">
        <x:v>Round1</x:v>
      </x:c>
      <x:c r="D152" s="25" t="str">
        <x:v>NOT_REVEALING</x:v>
      </x:c>
      <x:c r="E152" s="25" t="str">
        <x:v>N/A</x:v>
      </x:c>
      <x:c r="F152" s="26" t="str">
        <x:v>Same saved validation suite passed on buggy and fixed</x:v>
      </x:c>
      <x:c r="G152" s="25" t="str">
        <x:v>true</x:v>
      </x:c>
      <x:c r="H152" s="25" t="str">
        <x:v>NOT_REVEALING</x:v>
      </x:c>
      <x:c r="I152" s="25" t="str">
        <x:v>PASS</x:v>
      </x:c>
      <x:c r="J152" s="25" t="str">
        <x:v>PASS</x:v>
      </x:c>
      <x:c r="K152" s="25" t="n">
        <x:v>2</x:v>
      </x:c>
      <x:c r="L152" s="27" t="b">
        <x:v>0</x:v>
      </x:c>
      <x:c r="M152" s="25" t="str">
        <x:v>Feedback-Directed Random Test Generation/rounds/Round1/state/Closure.json</x:v>
      </x:c>
      <x:c r="N152" s="25" t="str">
        <x:v>Feedback-Directed Random Test Generation/Result/Closure_87/result.json</x:v>
      </x:c>
      <x:c r="O152" s="25" t="str">
        <x:v>Feedback-Directed Random Test Generation/Result/Closure_87/result.json</x:v>
      </x:c>
      <x:c r="P152"/>
      <x:c r="Q152" s="21" t="str"/>
      <x:c r="R152" s="21" t="str"/>
      <x:c r="S152" s="21" t="str"/>
      <x:c r="T152" s="17" t="str">
        <x:v>false</x:v>
      </x:c>
      <x:c r="U152" s="17" t="str">
        <x:v>true</x:v>
      </x:c>
      <x:c r="V152" s="17" t="str">
        <x:v>false</x:v>
      </x:c>
    </x:row>
    <x:row r="153" ht="80" customHeight="1">
      <x:c r="A153" s="25" t="str">
        <x:v>Closure</x:v>
      </x:c>
      <x:c r="B153" s="25" t="n">
        <x:v>88</x:v>
      </x:c>
      <x:c r="C153" s="25" t="str">
        <x:v>Round1</x:v>
      </x:c>
      <x:c r="D153" s="25" t="str">
        <x:v>NOT_REVEALING</x:v>
      </x:c>
      <x:c r="E153" s="25" t="str">
        <x:v>N/A</x:v>
      </x:c>
      <x:c r="F153" s="26" t="str">
        <x:v>Same saved validation suite passed on buggy and fixed</x:v>
      </x:c>
      <x:c r="G153" s="25" t="str">
        <x:v>true</x:v>
      </x:c>
      <x:c r="H153" s="25" t="str">
        <x:v>NOT_REVEALING</x:v>
      </x:c>
      <x:c r="I153" s="25" t="str">
        <x:v>PASS</x:v>
      </x:c>
      <x:c r="J153" s="25" t="str">
        <x:v>PASS</x:v>
      </x:c>
      <x:c r="K153" s="25" t="n">
        <x:v>5</x:v>
      </x:c>
      <x:c r="L153" s="27" t="b">
        <x:v>0</x:v>
      </x:c>
      <x:c r="M153" s="25" t="str">
        <x:v>Feedback-Directed Random Test Generation/rounds/Round1/state/Closure.json</x:v>
      </x:c>
      <x:c r="N153" s="25" t="str">
        <x:v>Feedback-Directed Random Test Generation/Result/Closure_88/result.json</x:v>
      </x:c>
      <x:c r="O153" s="25" t="str">
        <x:v>Feedback-Directed Random Test Generation/Result/Closure_88/result.json</x:v>
      </x:c>
      <x:c r="P153"/>
      <x:c r="Q153" s="21" t="str"/>
      <x:c r="R153" s="21" t="str"/>
      <x:c r="S153" s="21" t="str"/>
      <x:c r="T153" s="17" t="str">
        <x:v>false</x:v>
      </x:c>
      <x:c r="U153" s="17" t="str">
        <x:v>true</x:v>
      </x:c>
      <x:c r="V153" s="17" t="str">
        <x:v>false</x:v>
      </x:c>
    </x:row>
    <x:row r="154" ht="80" customHeight="1">
      <x:c r="A154" s="25" t="str">
        <x:v>Closure</x:v>
      </x:c>
      <x:c r="B154" s="25" t="n">
        <x:v>89</x:v>
      </x:c>
      <x:c r="C154" s="25" t="str">
        <x:v>Round1</x:v>
      </x:c>
      <x:c r="D154" s="25" t="str">
        <x:v>NOT_REVEALING</x:v>
      </x:c>
      <x:c r="E154" s="25" t="str">
        <x:v>N/A</x:v>
      </x:c>
      <x:c r="F154" s="26" t="str">
        <x:v>Same saved validation suite passed on buggy and fixed</x:v>
      </x:c>
      <x:c r="G154" s="25" t="str">
        <x:v>true</x:v>
      </x:c>
      <x:c r="H154" s="25" t="str">
        <x:v>NOT_REVEALING</x:v>
      </x:c>
      <x:c r="I154" s="25" t="str">
        <x:v>PASS</x:v>
      </x:c>
      <x:c r="J154" s="25" t="str">
        <x:v>PASS</x:v>
      </x:c>
      <x:c r="K154" s="25" t="n">
        <x:v>4</x:v>
      </x:c>
      <x:c r="L154" s="27" t="b">
        <x:v>0</x:v>
      </x:c>
      <x:c r="M154" s="25" t="str">
        <x:v>Feedback-Directed Random Test Generation/rounds/Round1/state/Closure.json</x:v>
      </x:c>
      <x:c r="N154" s="25" t="str">
        <x:v>Feedback-Directed Random Test Generation/Result/Closure_89/result.json</x:v>
      </x:c>
      <x:c r="O154" s="25" t="str">
        <x:v>Feedback-Directed Random Test Generation/Result/Closure_89/result.json</x:v>
      </x:c>
      <x:c r="P154"/>
      <x:c r="Q154" s="21" t="str"/>
      <x:c r="R154" s="21" t="str"/>
      <x:c r="S154" s="21" t="str"/>
      <x:c r="T154" s="17" t="str">
        <x:v>false</x:v>
      </x:c>
      <x:c r="U154" s="17" t="str">
        <x:v>true</x:v>
      </x:c>
      <x:c r="V154" s="17" t="str">
        <x:v>false</x:v>
      </x:c>
    </x:row>
    <x:row r="155" ht="80" customHeight="1">
      <x:c r="A155" s="25" t="str">
        <x:v>Closure</x:v>
      </x:c>
      <x:c r="B155" s="25" t="n">
        <x:v>90</x:v>
      </x:c>
      <x:c r="C155" s="25" t="str">
        <x:v>Round1</x:v>
      </x:c>
      <x:c r="D155" s="25" t="str">
        <x:v>NOT_REVEALING</x:v>
      </x:c>
      <x:c r="E155" s="25" t="str">
        <x:v>N/A</x:v>
      </x:c>
      <x:c r="F155" s="26" t="str">
        <x:v>Same saved validation suite passed on buggy and fixed</x:v>
      </x:c>
      <x:c r="G155" s="25" t="str">
        <x:v>true</x:v>
      </x:c>
      <x:c r="H155" s="25" t="str">
        <x:v>NOT_REVEALING</x:v>
      </x:c>
      <x:c r="I155" s="25" t="str">
        <x:v>PASS</x:v>
      </x:c>
      <x:c r="J155" s="25" t="str">
        <x:v>PASS</x:v>
      </x:c>
      <x:c r="K155" s="25" t="n">
        <x:v>8</x:v>
      </x:c>
      <x:c r="L155" s="27" t="b">
        <x:v>0</x:v>
      </x:c>
      <x:c r="M155" s="25" t="str">
        <x:v>Feedback-Directed Random Test Generation/rounds/Round1/state/Closure.json</x:v>
      </x:c>
      <x:c r="N155" s="25" t="str">
        <x:v>Feedback-Directed Random Test Generation/Result/Closure_90/result.json</x:v>
      </x:c>
      <x:c r="O155" s="25" t="str">
        <x:v>Feedback-Directed Random Test Generation/Result/Closure_90/result.json</x:v>
      </x:c>
      <x:c r="P155"/>
      <x:c r="Q155" s="21" t="str"/>
      <x:c r="R155" s="21" t="str"/>
      <x:c r="S155" s="21" t="str"/>
      <x:c r="T155" s="17" t="str">
        <x:v>false</x:v>
      </x:c>
      <x:c r="U155" s="17" t="str">
        <x:v>true</x:v>
      </x:c>
      <x:c r="V155" s="17" t="str">
        <x:v>false</x:v>
      </x:c>
    </x:row>
    <x:row r="156" ht="80" customHeight="1">
      <x:c r="A156" s="25" t="str">
        <x:v>Closure</x:v>
      </x:c>
      <x:c r="B156" s="25" t="n">
        <x:v>91</x:v>
      </x:c>
      <x:c r="C156" s="25" t="str">
        <x:v>Round1</x:v>
      </x:c>
      <x:c r="D156" s="25" t="str">
        <x:v>NOT_REVEALING</x:v>
      </x:c>
      <x:c r="E156" s="25" t="str">
        <x:v>N/A</x:v>
      </x:c>
      <x:c r="F156" s="26" t="str">
        <x:v>Same saved validation suite passed on buggy and fixed</x:v>
      </x:c>
      <x:c r="G156" s="25" t="str">
        <x:v>true</x:v>
      </x:c>
      <x:c r="H156" s="25" t="str">
        <x:v>NOT_REVEALING</x:v>
      </x:c>
      <x:c r="I156" s="25" t="str">
        <x:v>PASS</x:v>
      </x:c>
      <x:c r="J156" s="25" t="str">
        <x:v>PASS</x:v>
      </x:c>
      <x:c r="K156" s="25" t="n">
        <x:v>2</x:v>
      </x:c>
      <x:c r="L156" s="27" t="b">
        <x:v>0</x:v>
      </x:c>
      <x:c r="M156" s="25" t="str">
        <x:v>Feedback-Directed Random Test Generation/rounds/Round1/state/Closure.json</x:v>
      </x:c>
      <x:c r="N156" s="25" t="str">
        <x:v>Feedback-Directed Random Test Generation/Result/Closure_91/result.json</x:v>
      </x:c>
      <x:c r="O156" s="25" t="str">
        <x:v>Feedback-Directed Random Test Generation/Result/Closure_91/result.json</x:v>
      </x:c>
      <x:c r="P156"/>
      <x:c r="Q156" s="21" t="str"/>
      <x:c r="R156" s="21" t="str"/>
      <x:c r="S156" s="21" t="str"/>
      <x:c r="T156" s="17" t="str">
        <x:v>false</x:v>
      </x:c>
      <x:c r="U156" s="17" t="str">
        <x:v>true</x:v>
      </x:c>
      <x:c r="V156" s="17" t="str">
        <x:v>false</x:v>
      </x:c>
    </x:row>
    <x:row r="157" ht="80" customHeight="1">
      <x:c r="A157" s="25" t="str">
        <x:v>Closure</x:v>
      </x:c>
      <x:c r="B157" s="25" t="n">
        <x:v>92</x:v>
      </x:c>
      <x:c r="C157" s="25" t="str">
        <x:v>Round1</x:v>
      </x:c>
      <x:c r="D157" s="25" t="str">
        <x:v>NOT_REVEALING</x:v>
      </x:c>
      <x:c r="E157" s="25" t="str">
        <x:v>N/A</x:v>
      </x:c>
      <x:c r="F157" s="26" t="str">
        <x:v>Same saved validation suite passed on buggy and fixed</x:v>
      </x:c>
      <x:c r="G157" s="25" t="str">
        <x:v>true</x:v>
      </x:c>
      <x:c r="H157" s="25" t="str">
        <x:v>NOT_REVEALING</x:v>
      </x:c>
      <x:c r="I157" s="25" t="str">
        <x:v>PASS</x:v>
      </x:c>
      <x:c r="J157" s="25" t="str">
        <x:v>PASS</x:v>
      </x:c>
      <x:c r="K157" s="25" t="n">
        <x:v>2</x:v>
      </x:c>
      <x:c r="L157" s="27" t="b">
        <x:v>0</x:v>
      </x:c>
      <x:c r="M157" s="25" t="str">
        <x:v>Feedback-Directed Random Test Generation/rounds/Round1/state/Closure.json</x:v>
      </x:c>
      <x:c r="N157" s="25" t="str">
        <x:v>Feedback-Directed Random Test Generation/Result/Closure_92/result.json</x:v>
      </x:c>
      <x:c r="O157" s="25" t="str">
        <x:v>Feedback-Directed Random Test Generation/Result/Closure_92/result.json</x:v>
      </x:c>
      <x:c r="P157"/>
      <x:c r="Q157" s="21" t="str"/>
      <x:c r="R157" s="21" t="str"/>
      <x:c r="S157" s="21" t="str"/>
      <x:c r="T157" s="17" t="str">
        <x:v>false</x:v>
      </x:c>
      <x:c r="U157" s="17" t="str">
        <x:v>true</x:v>
      </x:c>
      <x:c r="V157" s="17" t="str">
        <x:v>false</x:v>
      </x:c>
    </x:row>
    <x:row r="158" ht="80" customHeight="1">
      <x:c r="A158" s="25" t="str">
        <x:v>Closure</x:v>
      </x:c>
      <x:c r="B158" s="25" t="n">
        <x:v>94</x:v>
      </x:c>
      <x:c r="C158" s="25" t="str">
        <x:v>Round1</x:v>
      </x:c>
      <x:c r="D158" s="25" t="str">
        <x:v>INCONCLUSIVE</x:v>
      </x:c>
      <x:c r="E158" s="25" t="str">
        <x:v>N/A</x:v>
      </x:c>
      <x:c r="F158" s="26" t="str">
        <x:v>Fixed also failed; assertion failure cannot be attributed to this bug; Assertions failed with measured coverage; paired execution and stage checks determine status</x:v>
      </x:c>
      <x:c r="G158" s="25" t="str">
        <x:v>true</x:v>
      </x:c>
      <x:c r="H158" s="25" t="str">
        <x:v>INCONCLUSIVE</x:v>
      </x:c>
      <x:c r="I158" s="25" t="str">
        <x:v>FAIL</x:v>
      </x:c>
      <x:c r="J158" s="25" t="str">
        <x:v>FAIL</x:v>
      </x:c>
      <x:c r="K158" s="25" t="n">
        <x:v>7</x:v>
      </x:c>
      <x:c r="L158" s="27" t="b">
        <x:v>0</x:v>
      </x:c>
      <x:c r="M158" s="25" t="str">
        <x:v>Feedback-Directed Random Test Generation/rounds/Round1/state/Closure.json</x:v>
      </x:c>
      <x:c r="N158" s="25" t="str">
        <x:v>Feedback-Directed Random Test Generation/Result/Closure_94/result.json</x:v>
      </x:c>
      <x:c r="O158" s="25" t="str">
        <x:v>Feedback-Directed Random Test Generation/Result/Closure_94/result.json</x:v>
      </x:c>
      <x:c r="P158"/>
      <x:c r="Q158" s="21" t="str"/>
      <x:c r="R158" s="21" t="str"/>
      <x:c r="S158" s="21" t="str"/>
      <x:c r="T158" s="17" t="str">
        <x:v>false</x:v>
      </x:c>
      <x:c r="U158" s="17" t="str">
        <x:v>true</x:v>
      </x:c>
      <x:c r="V158" s="17" t="str">
        <x:v>false</x:v>
      </x:c>
    </x:row>
    <x:row r="159" ht="80" customHeight="1">
      <x:c r="A159" s="25" t="str">
        <x:v>Closure</x:v>
      </x:c>
      <x:c r="B159" s="25" t="n">
        <x:v>95</x:v>
      </x:c>
      <x:c r="C159" s="25" t="str">
        <x:v>Round1</x:v>
      </x:c>
      <x:c r="D159" s="25" t="str">
        <x:v>NOT_REVEALING</x:v>
      </x:c>
      <x:c r="E159" s="25" t="str">
        <x:v>N/A</x:v>
      </x:c>
      <x:c r="F159" s="26" t="str">
        <x:v>Same saved validation suite passed on buggy and fixed</x:v>
      </x:c>
      <x:c r="G159" s="25" t="str">
        <x:v>true</x:v>
      </x:c>
      <x:c r="H159" s="25" t="str">
        <x:v>NOT_REVEALING</x:v>
      </x:c>
      <x:c r="I159" s="25" t="str">
        <x:v>PASS</x:v>
      </x:c>
      <x:c r="J159" s="25" t="str">
        <x:v>PASS</x:v>
      </x:c>
      <x:c r="K159" s="25" t="n">
        <x:v>2</x:v>
      </x:c>
      <x:c r="L159" s="27" t="b">
        <x:v>0</x:v>
      </x:c>
      <x:c r="M159" s="25" t="str">
        <x:v>Feedback-Directed Random Test Generation/rounds/Round1/state/Closure.json</x:v>
      </x:c>
      <x:c r="N159" s="25" t="str">
        <x:v>Feedback-Directed Random Test Generation/Result/Closure_95/result.json</x:v>
      </x:c>
      <x:c r="O159" s="25" t="str">
        <x:v>Feedback-Directed Random Test Generation/Result/Closure_95/result.json</x:v>
      </x:c>
      <x:c r="P159"/>
      <x:c r="Q159" s="21" t="str"/>
      <x:c r="R159" s="21" t="str"/>
      <x:c r="S159" s="21" t="str"/>
      <x:c r="T159" s="17" t="str">
        <x:v>false</x:v>
      </x:c>
      <x:c r="U159" s="17" t="str">
        <x:v>true</x:v>
      </x:c>
      <x:c r="V159" s="17" t="str">
        <x:v>false</x:v>
      </x:c>
    </x:row>
    <x:row r="160" ht="80" customHeight="1">
      <x:c r="A160" s="25" t="str">
        <x:v>Closure</x:v>
      </x:c>
      <x:c r="B160" s="25" t="n">
        <x:v>96</x:v>
      </x:c>
      <x:c r="C160" s="25" t="str">
        <x:v>Round1</x:v>
      </x:c>
      <x:c r="D160" s="25" t="str">
        <x:v>NOT_REVEALING</x:v>
      </x:c>
      <x:c r="E160" s="25" t="str">
        <x:v>N/A</x:v>
      </x:c>
      <x:c r="F160" s="26" t="str">
        <x:v>Same saved validation suite passed on buggy and fixed</x:v>
      </x:c>
      <x:c r="G160" s="25" t="str">
        <x:v>true</x:v>
      </x:c>
      <x:c r="H160" s="25" t="str">
        <x:v>NOT_REVEALING</x:v>
      </x:c>
      <x:c r="I160" s="25" t="str">
        <x:v>PASS</x:v>
      </x:c>
      <x:c r="J160" s="25" t="str">
        <x:v>PASS</x:v>
      </x:c>
      <x:c r="K160" s="25" t="n">
        <x:v>2</x:v>
      </x:c>
      <x:c r="L160" s="27" t="b">
        <x:v>0</x:v>
      </x:c>
      <x:c r="M160" s="25" t="str">
        <x:v>Feedback-Directed Random Test Generation/rounds/Round1/state/Closure.json</x:v>
      </x:c>
      <x:c r="N160" s="25" t="str">
        <x:v>Feedback-Directed Random Test Generation/Result/Closure_96/result.json</x:v>
      </x:c>
      <x:c r="O160" s="25" t="str">
        <x:v>Feedback-Directed Random Test Generation/Result/Closure_96/result.json</x:v>
      </x:c>
      <x:c r="P160"/>
      <x:c r="Q160" s="21" t="str"/>
      <x:c r="R160" s="21" t="str"/>
      <x:c r="S160" s="21" t="str"/>
      <x:c r="T160" s="17" t="str">
        <x:v>false</x:v>
      </x:c>
      <x:c r="U160" s="17" t="str">
        <x:v>true</x:v>
      </x:c>
      <x:c r="V160" s="17" t="str">
        <x:v>false</x:v>
      </x:c>
    </x:row>
    <x:row r="161" ht="80" customHeight="1">
      <x:c r="A161" s="25" t="str">
        <x:v>Closure</x:v>
      </x:c>
      <x:c r="B161" s="25" t="n">
        <x:v>97</x:v>
      </x:c>
      <x:c r="C161" s="25" t="str">
        <x:v>Round1</x:v>
      </x:c>
      <x:c r="D161" s="25" t="str">
        <x:v>NOT_REVEALING</x:v>
      </x:c>
      <x:c r="E161" s="25" t="str">
        <x:v>N/A</x:v>
      </x:c>
      <x:c r="F161" s="26" t="str">
        <x:v>Same saved validation suite passed on buggy and fixed</x:v>
      </x:c>
      <x:c r="G161" s="25" t="str">
        <x:v>true</x:v>
      </x:c>
      <x:c r="H161" s="25" t="str">
        <x:v>NOT_REVEALING</x:v>
      </x:c>
      <x:c r="I161" s="25" t="str">
        <x:v>PASS</x:v>
      </x:c>
      <x:c r="J161" s="25" t="str">
        <x:v>PASS</x:v>
      </x:c>
      <x:c r="K161" s="25" t="n">
        <x:v>2</x:v>
      </x:c>
      <x:c r="L161" s="27" t="b">
        <x:v>0</x:v>
      </x:c>
      <x:c r="M161" s="25" t="str">
        <x:v>Feedback-Directed Random Test Generation/rounds/Round1/state/Closure.json</x:v>
      </x:c>
      <x:c r="N161" s="25" t="str">
        <x:v>Feedback-Directed Random Test Generation/Result/Closure_97/result.json</x:v>
      </x:c>
      <x:c r="O161" s="25" t="str">
        <x:v>Feedback-Directed Random Test Generation/Result/Closure_97/result.json</x:v>
      </x:c>
      <x:c r="P161"/>
      <x:c r="Q161" s="21" t="str"/>
      <x:c r="R161" s="21" t="str"/>
      <x:c r="S161" s="21" t="str"/>
      <x:c r="T161" s="17" t="str">
        <x:v>false</x:v>
      </x:c>
      <x:c r="U161" s="17" t="str">
        <x:v>true</x:v>
      </x:c>
      <x:c r="V161" s="17" t="str">
        <x:v>false</x:v>
      </x:c>
    </x:row>
    <x:row r="162" ht="80" customHeight="1">
      <x:c r="A162" s="25" t="str">
        <x:v>Closure</x:v>
      </x:c>
      <x:c r="B162" s="25" t="n">
        <x:v>98</x:v>
      </x:c>
      <x:c r="C162" s="25" t="str">
        <x:v>Round1</x:v>
      </x:c>
      <x:c r="D162" s="25" t="str">
        <x:v>NOT_REVEALING</x:v>
      </x:c>
      <x:c r="E162" s="25" t="str">
        <x:v>N/A</x:v>
      </x:c>
      <x:c r="F162" s="26" t="str">
        <x:v>Same saved validation suite passed on buggy and fixed</x:v>
      </x:c>
      <x:c r="G162" s="25" t="str">
        <x:v>true</x:v>
      </x:c>
      <x:c r="H162" s="25" t="str">
        <x:v>NOT_REVEALING</x:v>
      </x:c>
      <x:c r="I162" s="25" t="str">
        <x:v>PASS</x:v>
      </x:c>
      <x:c r="J162" s="25" t="str">
        <x:v>PASS</x:v>
      </x:c>
      <x:c r="K162" s="25" t="n">
        <x:v>5</x:v>
      </x:c>
      <x:c r="L162" s="27" t="b">
        <x:v>0</x:v>
      </x:c>
      <x:c r="M162" s="25" t="str">
        <x:v>Feedback-Directed Random Test Generation/rounds/Round1/state/Closure.json</x:v>
      </x:c>
      <x:c r="N162" s="25" t="str">
        <x:v>Feedback-Directed Random Test Generation/Result/Closure_98/result.json</x:v>
      </x:c>
      <x:c r="O162" s="25" t="str">
        <x:v>Feedback-Directed Random Test Generation/Result/Closure_98/result.json</x:v>
      </x:c>
      <x:c r="P162"/>
      <x:c r="Q162" s="21" t="str"/>
      <x:c r="R162" s="21" t="str"/>
      <x:c r="S162" s="21" t="str"/>
      <x:c r="T162" s="17" t="str">
        <x:v>false</x:v>
      </x:c>
      <x:c r="U162" s="17" t="str">
        <x:v>true</x:v>
      </x:c>
      <x:c r="V162" s="17" t="str">
        <x:v>false</x:v>
      </x:c>
    </x:row>
    <x:row r="163" ht="80" customHeight="1">
      <x:c r="A163" s="25" t="str">
        <x:v>Closure</x:v>
      </x:c>
      <x:c r="B163" s="25" t="n">
        <x:v>99</x:v>
      </x:c>
      <x:c r="C163" s="25" t="str">
        <x:v>Round1</x:v>
      </x:c>
      <x:c r="D163" s="25" t="str">
        <x:v>NOT_REVEALING</x:v>
      </x:c>
      <x:c r="E163" s="25" t="str">
        <x:v>N/A</x:v>
      </x:c>
      <x:c r="F163" s="26" t="str">
        <x:v>Same saved validation suite passed on buggy and fixed</x:v>
      </x:c>
      <x:c r="G163" s="25" t="str">
        <x:v>true</x:v>
      </x:c>
      <x:c r="H163" s="25" t="str">
        <x:v>NOT_REVEALING</x:v>
      </x:c>
      <x:c r="I163" s="25" t="str">
        <x:v>PASS</x:v>
      </x:c>
      <x:c r="J163" s="25" t="str">
        <x:v>PASS</x:v>
      </x:c>
      <x:c r="K163" s="25" t="n">
        <x:v>2</x:v>
      </x:c>
      <x:c r="L163" s="27" t="b">
        <x:v>0</x:v>
      </x:c>
      <x:c r="M163" s="25" t="str">
        <x:v>Feedback-Directed Random Test Generation/rounds/Round1/state/Closure.json</x:v>
      </x:c>
      <x:c r="N163" s="25" t="str">
        <x:v>Feedback-Directed Random Test Generation/Result/Closure_99/result.json</x:v>
      </x:c>
      <x:c r="O163" s="25" t="str">
        <x:v>Feedback-Directed Random Test Generation/Result/Closure_99/result.json</x:v>
      </x:c>
      <x:c r="P163"/>
      <x:c r="Q163" s="21" t="str"/>
      <x:c r="R163" s="21" t="str"/>
      <x:c r="S163" s="21" t="str"/>
      <x:c r="T163" s="17" t="str">
        <x:v>false</x:v>
      </x:c>
      <x:c r="U163" s="17" t="str">
        <x:v>true</x:v>
      </x:c>
      <x:c r="V163" s="17" t="str">
        <x:v>false</x:v>
      </x:c>
    </x:row>
    <x:row r="164" ht="80" customHeight="1">
      <x:c r="A164" s="25" t="str">
        <x:v>Closure</x:v>
      </x:c>
      <x:c r="B164" s="25" t="n">
        <x:v>100</x:v>
      </x:c>
      <x:c r="C164" s="25" t="str">
        <x:v>Round1</x:v>
      </x:c>
      <x:c r="D164" s="25" t="str">
        <x:v>NOT_REVEALING</x:v>
      </x:c>
      <x:c r="E164" s="25" t="str">
        <x:v>N/A</x:v>
      </x:c>
      <x:c r="F164" s="26" t="str">
        <x:v>Same saved validation suite passed on buggy and fixed</x:v>
      </x:c>
      <x:c r="G164" s="25" t="str">
        <x:v>true</x:v>
      </x:c>
      <x:c r="H164" s="25" t="str">
        <x:v>NOT_REVEALING</x:v>
      </x:c>
      <x:c r="I164" s="25" t="str">
        <x:v>PASS</x:v>
      </x:c>
      <x:c r="J164" s="25" t="str">
        <x:v>PASS</x:v>
      </x:c>
      <x:c r="K164" s="25" t="n">
        <x:v>2</x:v>
      </x:c>
      <x:c r="L164" s="27" t="b">
        <x:v>0</x:v>
      </x:c>
      <x:c r="M164" s="25" t="str">
        <x:v>Feedback-Directed Random Test Generation/rounds/Round1/state/Closure.json</x:v>
      </x:c>
      <x:c r="N164" s="25" t="str">
        <x:v>Feedback-Directed Random Test Generation/Result/Closure_100/result.json</x:v>
      </x:c>
      <x:c r="O164" s="25" t="str">
        <x:v>Feedback-Directed Random Test Generation/Result/Closure_100/result.json</x:v>
      </x:c>
      <x:c r="P164"/>
      <x:c r="Q164" s="21" t="str"/>
      <x:c r="R164" s="21" t="str"/>
      <x:c r="S164" s="21" t="str"/>
      <x:c r="T164" s="17" t="str">
        <x:v>false</x:v>
      </x:c>
      <x:c r="U164" s="17" t="str">
        <x:v>true</x:v>
      </x:c>
      <x:c r="V164" s="17" t="str">
        <x:v>false</x:v>
      </x:c>
    </x:row>
    <x:row r="165" ht="80" customHeight="1">
      <x:c r="A165" s="25" t="str">
        <x:v>Closure</x:v>
      </x:c>
      <x:c r="B165" s="25" t="n">
        <x:v>101</x:v>
      </x:c>
      <x:c r="C165" s="25" t="str">
        <x:v>Round1</x:v>
      </x:c>
      <x:c r="D165" s="25" t="str">
        <x:v>NOT_REVEALING</x:v>
      </x:c>
      <x:c r="E165" s="25" t="str">
        <x:v>N/A</x:v>
      </x:c>
      <x:c r="F165" s="26" t="str">
        <x:v>Same saved validation suite passed on buggy and fixed</x:v>
      </x:c>
      <x:c r="G165" s="25" t="str">
        <x:v>true</x:v>
      </x:c>
      <x:c r="H165" s="25" t="str">
        <x:v>NOT_REVEALING</x:v>
      </x:c>
      <x:c r="I165" s="25" t="str">
        <x:v>PASS</x:v>
      </x:c>
      <x:c r="J165" s="25" t="str">
        <x:v>PASS</x:v>
      </x:c>
      <x:c r="K165" s="25" t="n">
        <x:v>2</x:v>
      </x:c>
      <x:c r="L165" s="27" t="b">
        <x:v>0</x:v>
      </x:c>
      <x:c r="M165" s="25" t="str">
        <x:v>Feedback-Directed Random Test Generation/rounds/Round1/state/Closure.json</x:v>
      </x:c>
      <x:c r="N165" s="25" t="str">
        <x:v>Feedback-Directed Random Test Generation/Result/Closure_101/result.json</x:v>
      </x:c>
      <x:c r="O165" s="25" t="str">
        <x:v>Feedback-Directed Random Test Generation/Result/Closure_101/result.json</x:v>
      </x:c>
      <x:c r="P165"/>
      <x:c r="Q165" s="21" t="str"/>
      <x:c r="R165" s="21" t="str"/>
      <x:c r="S165" s="21" t="str"/>
      <x:c r="T165" s="17" t="str">
        <x:v>false</x:v>
      </x:c>
      <x:c r="U165" s="17" t="str">
        <x:v>true</x:v>
      </x:c>
      <x:c r="V165" s="17" t="str">
        <x:v>false</x:v>
      </x:c>
    </x:row>
    <x:row r="166" ht="80" customHeight="1">
      <x:c r="A166" s="25" t="str">
        <x:v>Closure</x:v>
      </x:c>
      <x:c r="B166" s="25" t="n">
        <x:v>102</x:v>
      </x:c>
      <x:c r="C166" s="25" t="str">
        <x:v>Round1</x:v>
      </x:c>
      <x:c r="D166" s="25" t="str">
        <x:v>NOT_REVEALING</x:v>
      </x:c>
      <x:c r="E166" s="25" t="str">
        <x:v>N/A</x:v>
      </x:c>
      <x:c r="F166" s="26" t="str">
        <x:v>Same saved validation suite passed on buggy and fixed</x:v>
      </x:c>
      <x:c r="G166" s="25" t="str">
        <x:v>true</x:v>
      </x:c>
      <x:c r="H166" s="25" t="str">
        <x:v>NOT_REVEALING</x:v>
      </x:c>
      <x:c r="I166" s="25" t="str">
        <x:v>PASS</x:v>
      </x:c>
      <x:c r="J166" s="25" t="str">
        <x:v>PASS</x:v>
      </x:c>
      <x:c r="K166" s="25" t="n">
        <x:v>2</x:v>
      </x:c>
      <x:c r="L166" s="27" t="b">
        <x:v>0</x:v>
      </x:c>
      <x:c r="M166" s="25" t="str">
        <x:v>Feedback-Directed Random Test Generation/rounds/Round1/state/Closure.json</x:v>
      </x:c>
      <x:c r="N166" s="25" t="str">
        <x:v>Feedback-Directed Random Test Generation/Result/Closure_102/result.json</x:v>
      </x:c>
      <x:c r="O166" s="25" t="str">
        <x:v>Feedback-Directed Random Test Generation/Result/Closure_102/result.json</x:v>
      </x:c>
      <x:c r="P166"/>
      <x:c r="Q166" s="21" t="str"/>
      <x:c r="R166" s="21" t="str"/>
      <x:c r="S166" s="21" t="str"/>
      <x:c r="T166" s="17" t="str">
        <x:v>false</x:v>
      </x:c>
      <x:c r="U166" s="17" t="str">
        <x:v>true</x:v>
      </x:c>
      <x:c r="V166" s="17" t="str">
        <x:v>false</x:v>
      </x:c>
    </x:row>
    <x:row r="167" ht="80" customHeight="1">
      <x:c r="A167" s="25" t="str">
        <x:v>Closure</x:v>
      </x:c>
      <x:c r="B167" s="25" t="n">
        <x:v>103</x:v>
      </x:c>
      <x:c r="C167" s="25" t="str">
        <x:v>Round1</x:v>
      </x:c>
      <x:c r="D167" s="25" t="str">
        <x:v>NOT_REVEALING</x:v>
      </x:c>
      <x:c r="E167" s="25" t="str">
        <x:v>N/A</x:v>
      </x:c>
      <x:c r="F167" s="26" t="str">
        <x:v>Same saved validation suite passed on buggy and fixed</x:v>
      </x:c>
      <x:c r="G167" s="25" t="str">
        <x:v>true</x:v>
      </x:c>
      <x:c r="H167" s="25" t="str">
        <x:v>NOT_REVEALING</x:v>
      </x:c>
      <x:c r="I167" s="25" t="str">
        <x:v>PASS</x:v>
      </x:c>
      <x:c r="J167" s="25" t="str">
        <x:v>PASS</x:v>
      </x:c>
      <x:c r="K167" s="25" t="n">
        <x:v>3</x:v>
      </x:c>
      <x:c r="L167" s="27" t="b">
        <x:v>0</x:v>
      </x:c>
      <x:c r="M167" s="25" t="str">
        <x:v>Feedback-Directed Random Test Generation/rounds/Round1/state/Closure.json</x:v>
      </x:c>
      <x:c r="N167" s="25" t="str">
        <x:v>Feedback-Directed Random Test Generation/Result/Closure_103/result.json</x:v>
      </x:c>
      <x:c r="O167" s="25" t="str">
        <x:v>Feedback-Directed Random Test Generation/Result/Closure_103/result.json</x:v>
      </x:c>
      <x:c r="P167"/>
      <x:c r="Q167" s="21" t="str"/>
      <x:c r="R167" s="21" t="str"/>
      <x:c r="S167" s="21" t="str"/>
      <x:c r="T167" s="17" t="str">
        <x:v>false</x:v>
      </x:c>
      <x:c r="U167" s="17" t="str">
        <x:v>true</x:v>
      </x:c>
      <x:c r="V167" s="17" t="str">
        <x:v>false</x:v>
      </x:c>
    </x:row>
    <x:row r="168" ht="80" customHeight="1">
      <x:c r="A168" s="25" t="str">
        <x:v>Closure</x:v>
      </x:c>
      <x:c r="B168" s="25" t="n">
        <x:v>104</x:v>
      </x:c>
      <x:c r="C168" s="25" t="str">
        <x:v>Round1</x:v>
      </x:c>
      <x:c r="D168" s="25" t="str">
        <x:v>NOT_REVEALING</x:v>
      </x:c>
      <x:c r="E168" s="25" t="str">
        <x:v>N/A</x:v>
      </x:c>
      <x:c r="F168" s="26" t="str">
        <x:v>Same saved validation suite passed on buggy and fixed</x:v>
      </x:c>
      <x:c r="G168" s="25" t="str">
        <x:v>true</x:v>
      </x:c>
      <x:c r="H168" s="25" t="str">
        <x:v>NOT_REVEALING</x:v>
      </x:c>
      <x:c r="I168" s="25" t="str">
        <x:v>PASS</x:v>
      </x:c>
      <x:c r="J168" s="25" t="str">
        <x:v>PASS</x:v>
      </x:c>
      <x:c r="K168" s="25" t="n">
        <x:v>6</x:v>
      </x:c>
      <x:c r="L168" s="27" t="b">
        <x:v>0</x:v>
      </x:c>
      <x:c r="M168" s="25" t="str">
        <x:v>Feedback-Directed Random Test Generation/rounds/Round1/state/Closure.json</x:v>
      </x:c>
      <x:c r="N168" s="25" t="str">
        <x:v>Feedback-Directed Random Test Generation/Result/Closure_104/result.json</x:v>
      </x:c>
      <x:c r="O168" s="25" t="str">
        <x:v>Feedback-Directed Random Test Generation/Result/Closure_104/result.json</x:v>
      </x:c>
      <x:c r="P168"/>
      <x:c r="Q168" s="21" t="str"/>
      <x:c r="R168" s="21" t="str"/>
      <x:c r="S168" s="21" t="str"/>
      <x:c r="T168" s="17" t="str">
        <x:v>false</x:v>
      </x:c>
      <x:c r="U168" s="17" t="str">
        <x:v>true</x:v>
      </x:c>
      <x:c r="V168" s="17" t="str">
        <x:v>false</x:v>
      </x:c>
    </x:row>
    <x:row r="169" ht="80" customHeight="1">
      <x:c r="A169" s="25" t="str">
        <x:v>Closure</x:v>
      </x:c>
      <x:c r="B169" s="25" t="n">
        <x:v>105</x:v>
      </x:c>
      <x:c r="C169" s="25" t="str">
        <x:v>Round1</x:v>
      </x:c>
      <x:c r="D169" s="25" t="str">
        <x:v>NOT_REVEALING</x:v>
      </x:c>
      <x:c r="E169" s="25" t="str">
        <x:v>N/A</x:v>
      </x:c>
      <x:c r="F169" s="26" t="str">
        <x:v>Same saved validation suite passed on buggy and fixed</x:v>
      </x:c>
      <x:c r="G169" s="25" t="str">
        <x:v>true</x:v>
      </x:c>
      <x:c r="H169" s="25" t="str">
        <x:v>NOT_REVEALING</x:v>
      </x:c>
      <x:c r="I169" s="25" t="str">
        <x:v>PASS</x:v>
      </x:c>
      <x:c r="J169" s="25" t="str">
        <x:v>PASS</x:v>
      </x:c>
      <x:c r="K169" s="25" t="n">
        <x:v>4</x:v>
      </x:c>
      <x:c r="L169" s="27" t="b">
        <x:v>0</x:v>
      </x:c>
      <x:c r="M169" s="25" t="str">
        <x:v>Feedback-Directed Random Test Generation/rounds/Round1/state/Closure.json</x:v>
      </x:c>
      <x:c r="N169" s="25" t="str">
        <x:v>Feedback-Directed Random Test Generation/Result/Closure_105/result.json</x:v>
      </x:c>
      <x:c r="O169" s="25" t="str">
        <x:v>Feedback-Directed Random Test Generation/Result/Closure_105/result.json</x:v>
      </x:c>
      <x:c r="P169"/>
      <x:c r="Q169" s="21" t="str"/>
      <x:c r="R169" s="21" t="str"/>
      <x:c r="S169" s="21" t="str"/>
      <x:c r="T169" s="17" t="str">
        <x:v>false</x:v>
      </x:c>
      <x:c r="U169" s="17" t="str">
        <x:v>true</x:v>
      </x:c>
      <x:c r="V169" s="17" t="str">
        <x:v>false</x:v>
      </x:c>
    </x:row>
    <x:row r="170" ht="80" customHeight="1">
      <x:c r="A170" s="25" t="str">
        <x:v>Closure</x:v>
      </x:c>
      <x:c r="B170" s="25" t="n">
        <x:v>106</x:v>
      </x:c>
      <x:c r="C170" s="25" t="str">
        <x:v>Round1</x:v>
      </x:c>
      <x:c r="D170" s="25" t="str">
        <x:v>NOT_REVEALING</x:v>
      </x:c>
      <x:c r="E170" s="25" t="str">
        <x:v>N/A</x:v>
      </x:c>
      <x:c r="F170" s="26" t="str">
        <x:v>Same saved validation suite passed on buggy and fixed</x:v>
      </x:c>
      <x:c r="G170" s="25" t="str">
        <x:v>true</x:v>
      </x:c>
      <x:c r="H170" s="25" t="str">
        <x:v>NOT_REVEALING</x:v>
      </x:c>
      <x:c r="I170" s="25" t="str">
        <x:v>PASS</x:v>
      </x:c>
      <x:c r="J170" s="25" t="str">
        <x:v>PASS</x:v>
      </x:c>
      <x:c r="K170" s="25" t="n">
        <x:v>5</x:v>
      </x:c>
      <x:c r="L170" s="27" t="b">
        <x:v>0</x:v>
      </x:c>
      <x:c r="M170" s="25" t="str">
        <x:v>Feedback-Directed Random Test Generation/rounds/Round1/state/Closure.json</x:v>
      </x:c>
      <x:c r="N170" s="25" t="str">
        <x:v>Feedback-Directed Random Test Generation/Result/Closure_106/result.json</x:v>
      </x:c>
      <x:c r="O170" s="25" t="str">
        <x:v>Feedback-Directed Random Test Generation/Result/Closure_106/result.json</x:v>
      </x:c>
      <x:c r="P170"/>
      <x:c r="Q170" s="21" t="str"/>
      <x:c r="R170" s="21" t="str"/>
      <x:c r="S170" s="21" t="str"/>
      <x:c r="T170" s="17" t="str">
        <x:v>false</x:v>
      </x:c>
      <x:c r="U170" s="17" t="str">
        <x:v>true</x:v>
      </x:c>
      <x:c r="V170" s="17" t="str">
        <x:v>false</x:v>
      </x:c>
    </x:row>
    <x:row r="171" ht="80" customHeight="1">
      <x:c r="A171" s="25" t="str">
        <x:v>Closure</x:v>
      </x:c>
      <x:c r="B171" s="25" t="n">
        <x:v>107</x:v>
      </x:c>
      <x:c r="C171" s="25" t="str">
        <x:v>Round1</x:v>
      </x:c>
      <x:c r="D171" s="25" t="str">
        <x:v>INCONCLUSIVE</x:v>
      </x:c>
      <x:c r="E171" s="25" t="str">
        <x:v>N/A</x:v>
      </x:c>
      <x:c r="F171" s="26" t="str">
        <x:v>Fixed also failed; assertion failure cannot be attributed to this bug; Assertions failed with measured coverage; paired execution and stage checks determine status</x:v>
      </x:c>
      <x:c r="G171" s="25" t="str">
        <x:v>true</x:v>
      </x:c>
      <x:c r="H171" s="25" t="str">
        <x:v>INCONCLUSIVE</x:v>
      </x:c>
      <x:c r="I171" s="25" t="str">
        <x:v>FAIL</x:v>
      </x:c>
      <x:c r="J171" s="25" t="str">
        <x:v>FAIL</x:v>
      </x:c>
      <x:c r="K171" s="25" t="n">
        <x:v>4</x:v>
      </x:c>
      <x:c r="L171" s="27" t="b">
        <x:v>0</x:v>
      </x:c>
      <x:c r="M171" s="25" t="str">
        <x:v>Feedback-Directed Random Test Generation/rounds/Round1/state/Closure.json</x:v>
      </x:c>
      <x:c r="N171" s="25" t="str">
        <x:v>Feedback-Directed Random Test Generation/Result/Closure_107/result.json</x:v>
      </x:c>
      <x:c r="O171" s="25" t="str">
        <x:v>Feedback-Directed Random Test Generation/Result/Closure_107/result.json</x:v>
      </x:c>
      <x:c r="P171"/>
      <x:c r="Q171" s="21" t="str"/>
      <x:c r="R171" s="21" t="str"/>
      <x:c r="S171" s="21" t="str"/>
      <x:c r="T171" s="17" t="str">
        <x:v>false</x:v>
      </x:c>
      <x:c r="U171" s="17" t="str">
        <x:v>true</x:v>
      </x:c>
      <x:c r="V171" s="17" t="str">
        <x:v>false</x:v>
      </x:c>
    </x:row>
    <x:row r="172" ht="80" customHeight="1">
      <x:c r="A172" s="25" t="str">
        <x:v>Closure</x:v>
      </x:c>
      <x:c r="B172" s="25" t="n">
        <x:v>108</x:v>
      </x:c>
      <x:c r="C172" s="25" t="str">
        <x:v>Round1</x:v>
      </x:c>
      <x:c r="D172" s="25" t="str">
        <x:v>NOT_REVEALING</x:v>
      </x:c>
      <x:c r="E172" s="25" t="str">
        <x:v>N/A</x:v>
      </x:c>
      <x:c r="F172" s="26" t="str">
        <x:v>Same saved validation suite passed on buggy and fixed</x:v>
      </x:c>
      <x:c r="G172" s="25" t="str">
        <x:v>true</x:v>
      </x:c>
      <x:c r="H172" s="25" t="str">
        <x:v>NOT_REVEALING</x:v>
      </x:c>
      <x:c r="I172" s="25" t="str">
        <x:v>PASS</x:v>
      </x:c>
      <x:c r="J172" s="25" t="str">
        <x:v>PASS</x:v>
      </x:c>
      <x:c r="K172" s="25" t="n">
        <x:v>2</x:v>
      </x:c>
      <x:c r="L172" s="27" t="b">
        <x:v>0</x:v>
      </x:c>
      <x:c r="M172" s="25" t="str">
        <x:v>Feedback-Directed Random Test Generation/rounds/Round1/state/Closure.json</x:v>
      </x:c>
      <x:c r="N172" s="25" t="str">
        <x:v>Feedback-Directed Random Test Generation/Result/Closure_108/result.json</x:v>
      </x:c>
      <x:c r="O172" s="25" t="str">
        <x:v>Feedback-Directed Random Test Generation/Result/Closure_108/result.json</x:v>
      </x:c>
      <x:c r="P172"/>
      <x:c r="Q172" s="21" t="str"/>
      <x:c r="R172" s="21" t="str"/>
      <x:c r="S172" s="21" t="str"/>
      <x:c r="T172" s="17" t="str">
        <x:v>false</x:v>
      </x:c>
      <x:c r="U172" s="17" t="str">
        <x:v>true</x:v>
      </x:c>
      <x:c r="V172" s="17" t="str">
        <x:v>false</x:v>
      </x:c>
    </x:row>
    <x:row r="173" ht="80" customHeight="1">
      <x:c r="A173" s="25" t="str">
        <x:v>Closure</x:v>
      </x:c>
      <x:c r="B173" s="25" t="n">
        <x:v>109</x:v>
      </x:c>
      <x:c r="C173" s="25" t="str">
        <x:v>Round1</x:v>
      </x:c>
      <x:c r="D173" s="25" t="str">
        <x:v>NOT_REVEALING</x:v>
      </x:c>
      <x:c r="E173" s="25" t="str">
        <x:v>N/A</x:v>
      </x:c>
      <x:c r="F173" s="26" t="str">
        <x:v>Same saved validation suite passed on buggy and fixed</x:v>
      </x:c>
      <x:c r="G173" s="25" t="str">
        <x:v>true</x:v>
      </x:c>
      <x:c r="H173" s="25" t="str">
        <x:v>NOT_REVEALING</x:v>
      </x:c>
      <x:c r="I173" s="25" t="str">
        <x:v>PASS</x:v>
      </x:c>
      <x:c r="J173" s="25" t="str">
        <x:v>PASS</x:v>
      </x:c>
      <x:c r="K173" s="25" t="n">
        <x:v>2</x:v>
      </x:c>
      <x:c r="L173" s="27" t="b">
        <x:v>0</x:v>
      </x:c>
      <x:c r="M173" s="25" t="str">
        <x:v>Feedback-Directed Random Test Generation/rounds/Round1/state/Closure.json</x:v>
      </x:c>
      <x:c r="N173" s="25" t="str">
        <x:v>Feedback-Directed Random Test Generation/Result/Closure_109/result.json</x:v>
      </x:c>
      <x:c r="O173" s="25" t="str">
        <x:v>Feedback-Directed Random Test Generation/Result/Closure_109/result.json</x:v>
      </x:c>
      <x:c r="P173"/>
      <x:c r="Q173" s="21" t="str"/>
      <x:c r="R173" s="21" t="str"/>
      <x:c r="S173" s="21" t="str"/>
      <x:c r="T173" s="17" t="str">
        <x:v>false</x:v>
      </x:c>
      <x:c r="U173" s="17" t="str">
        <x:v>true</x:v>
      </x:c>
      <x:c r="V173" s="17" t="str">
        <x:v>false</x:v>
      </x:c>
    </x:row>
    <x:row r="174" ht="80" customHeight="1">
      <x:c r="A174" s="25" t="str">
        <x:v>Closure</x:v>
      </x:c>
      <x:c r="B174" s="25" t="n">
        <x:v>110</x:v>
      </x:c>
      <x:c r="C174" s="25" t="str">
        <x:v>Round1</x:v>
      </x:c>
      <x:c r="D174" s="25" t="str">
        <x:v>INCONCLUSIVE</x:v>
      </x:c>
      <x:c r="E174" s="25" t="str">
        <x:v>N/A</x:v>
      </x:c>
      <x:c r="F174" s="26" t="str">
        <x:v>Fixed also failed; assertion failure cannot be attributed to this bug; Assertions failed with measured coverage; paired execution and stage checks determine status</x:v>
      </x:c>
      <x:c r="G174" s="25" t="str">
        <x:v>true</x:v>
      </x:c>
      <x:c r="H174" s="25" t="str">
        <x:v>INCONCLUSIVE</x:v>
      </x:c>
      <x:c r="I174" s="25" t="str">
        <x:v>FAIL</x:v>
      </x:c>
      <x:c r="J174" s="25" t="str">
        <x:v>FAIL</x:v>
      </x:c>
      <x:c r="K174" s="25" t="n">
        <x:v>7</x:v>
      </x:c>
      <x:c r="L174" s="27" t="b">
        <x:v>0</x:v>
      </x:c>
      <x:c r="M174" s="25" t="str">
        <x:v>Feedback-Directed Random Test Generation/rounds/Round1/state/Closure.json</x:v>
      </x:c>
      <x:c r="N174" s="25" t="str">
        <x:v>Feedback-Directed Random Test Generation/Result/Closure_110/result.json</x:v>
      </x:c>
      <x:c r="O174" s="25" t="str">
        <x:v>Feedback-Directed Random Test Generation/Result/Closure_110/result.json</x:v>
      </x:c>
      <x:c r="P174"/>
      <x:c r="Q174" s="21" t="str"/>
      <x:c r="R174" s="21" t="str"/>
      <x:c r="S174" s="21" t="str"/>
      <x:c r="T174" s="17" t="str">
        <x:v>false</x:v>
      </x:c>
      <x:c r="U174" s="17" t="str">
        <x:v>true</x:v>
      </x:c>
      <x:c r="V174" s="17" t="str">
        <x:v>false</x:v>
      </x:c>
    </x:row>
    <x:row r="175" ht="80" customHeight="1">
      <x:c r="A175" s="25" t="str">
        <x:v>Closure</x:v>
      </x:c>
      <x:c r="B175" s="25" t="n">
        <x:v>111</x:v>
      </x:c>
      <x:c r="C175" s="25" t="str">
        <x:v>Round1</x:v>
      </x:c>
      <x:c r="D175" s="25" t="str">
        <x:v>NOT_REVEALING</x:v>
      </x:c>
      <x:c r="E175" s="25" t="str">
        <x:v>N/A</x:v>
      </x:c>
      <x:c r="F175" s="26" t="str">
        <x:v>Same saved validation suite passed on buggy and fixed</x:v>
      </x:c>
      <x:c r="G175" s="25" t="str">
        <x:v>true</x:v>
      </x:c>
      <x:c r="H175" s="25" t="str">
        <x:v>NOT_REVEALING</x:v>
      </x:c>
      <x:c r="I175" s="25" t="str">
        <x:v>PASS</x:v>
      </x:c>
      <x:c r="J175" s="25" t="str">
        <x:v>PASS</x:v>
      </x:c>
      <x:c r="K175" s="25" t="n">
        <x:v>2</x:v>
      </x:c>
      <x:c r="L175" s="27" t="b">
        <x:v>0</x:v>
      </x:c>
      <x:c r="M175" s="25" t="str">
        <x:v>Feedback-Directed Random Test Generation/rounds/Round1/state/Closure.json</x:v>
      </x:c>
      <x:c r="N175" s="25" t="str">
        <x:v>Feedback-Directed Random Test Generation/Result/Closure_111/result.json</x:v>
      </x:c>
      <x:c r="O175" s="25" t="str">
        <x:v>Feedback-Directed Random Test Generation/Result/Closure_111/result.json</x:v>
      </x:c>
      <x:c r="P175"/>
      <x:c r="Q175" s="21" t="str"/>
      <x:c r="R175" s="21" t="str"/>
      <x:c r="S175" s="21" t="str"/>
      <x:c r="T175" s="17" t="str">
        <x:v>false</x:v>
      </x:c>
      <x:c r="U175" s="17" t="str">
        <x:v>true</x:v>
      </x:c>
      <x:c r="V175" s="17" t="str">
        <x:v>false</x:v>
      </x:c>
    </x:row>
    <x:row r="176" ht="80" customHeight="1">
      <x:c r="A176" s="25" t="str">
        <x:v>Closure</x:v>
      </x:c>
      <x:c r="B176" s="25" t="n">
        <x:v>112</x:v>
      </x:c>
      <x:c r="C176" s="25" t="str">
        <x:v>Round1</x:v>
      </x:c>
      <x:c r="D176" s="25" t="str">
        <x:v>NOT_REVEALING</x:v>
      </x:c>
      <x:c r="E176" s="25" t="str">
        <x:v>N/A</x:v>
      </x:c>
      <x:c r="F176" s="26" t="str">
        <x:v>Same saved validation suite passed on buggy and fixed</x:v>
      </x:c>
      <x:c r="G176" s="25" t="str">
        <x:v>true</x:v>
      </x:c>
      <x:c r="H176" s="25" t="str">
        <x:v>NOT_REVEALING</x:v>
      </x:c>
      <x:c r="I176" s="25" t="str">
        <x:v>PASS</x:v>
      </x:c>
      <x:c r="J176" s="25" t="str">
        <x:v>PASS</x:v>
      </x:c>
      <x:c r="K176" s="25" t="n">
        <x:v>2</x:v>
      </x:c>
      <x:c r="L176" s="27" t="b">
        <x:v>0</x:v>
      </x:c>
      <x:c r="M176" s="25" t="str">
        <x:v>Feedback-Directed Random Test Generation/rounds/Round1/state/Closure.json</x:v>
      </x:c>
      <x:c r="N176" s="25" t="str">
        <x:v>Feedback-Directed Random Test Generation/Result/Closure_112/result.json</x:v>
      </x:c>
      <x:c r="O176" s="25" t="str">
        <x:v>Feedback-Directed Random Test Generation/Result/Closure_112/result.json</x:v>
      </x:c>
      <x:c r="P176"/>
      <x:c r="Q176" s="21" t="str"/>
      <x:c r="R176" s="21" t="str"/>
      <x:c r="S176" s="21" t="str"/>
      <x:c r="T176" s="17" t="str">
        <x:v>false</x:v>
      </x:c>
      <x:c r="U176" s="17" t="str">
        <x:v>true</x:v>
      </x:c>
      <x:c r="V176" s="17" t="str">
        <x:v>false</x:v>
      </x:c>
    </x:row>
    <x:row r="177" ht="80" customHeight="1">
      <x:c r="A177" s="25" t="str">
        <x:v>Closure</x:v>
      </x:c>
      <x:c r="B177" s="25" t="n">
        <x:v>113</x:v>
      </x:c>
      <x:c r="C177" s="25" t="str">
        <x:v>Round1</x:v>
      </x:c>
      <x:c r="D177" s="25" t="str">
        <x:v>NOT_REVEALING</x:v>
      </x:c>
      <x:c r="E177" s="25" t="str">
        <x:v>N/A</x:v>
      </x:c>
      <x:c r="F177" s="26" t="str">
        <x:v>Same saved validation suite passed on buggy and fixed</x:v>
      </x:c>
      <x:c r="G177" s="25" t="str">
        <x:v>true</x:v>
      </x:c>
      <x:c r="H177" s="25" t="str">
        <x:v>NOT_REVEALING</x:v>
      </x:c>
      <x:c r="I177" s="25" t="str">
        <x:v>PASS</x:v>
      </x:c>
      <x:c r="J177" s="25" t="str">
        <x:v>PASS</x:v>
      </x:c>
      <x:c r="K177" s="25" t="n">
        <x:v>2</x:v>
      </x:c>
      <x:c r="L177" s="27" t="b">
        <x:v>0</x:v>
      </x:c>
      <x:c r="M177" s="25" t="str">
        <x:v>Feedback-Directed Random Test Generation/rounds/Round1/state/Closure.json</x:v>
      </x:c>
      <x:c r="N177" s="25" t="str">
        <x:v>Feedback-Directed Random Test Generation/Result/Closure_113/result.json</x:v>
      </x:c>
      <x:c r="O177" s="25" t="str">
        <x:v>Feedback-Directed Random Test Generation/Result/Closure_113/result.json</x:v>
      </x:c>
      <x:c r="P177"/>
      <x:c r="Q177" s="21" t="str"/>
      <x:c r="R177" s="21" t="str"/>
      <x:c r="S177" s="21" t="str"/>
      <x:c r="T177" s="17" t="str">
        <x:v>false</x:v>
      </x:c>
      <x:c r="U177" s="17" t="str">
        <x:v>true</x:v>
      </x:c>
      <x:c r="V177" s="17" t="str">
        <x:v>false</x:v>
      </x:c>
    </x:row>
    <x:row r="178" ht="80" customHeight="1">
      <x:c r="A178" s="25" t="str">
        <x:v>Closure</x:v>
      </x:c>
      <x:c r="B178" s="25" t="n">
        <x:v>114</x:v>
      </x:c>
      <x:c r="C178" s="25" t="str">
        <x:v>Round1</x:v>
      </x:c>
      <x:c r="D178" s="25" t="str">
        <x:v>NOT_REVEALING</x:v>
      </x:c>
      <x:c r="E178" s="25" t="str">
        <x:v>N/A</x:v>
      </x:c>
      <x:c r="F178" s="26" t="str">
        <x:v>Same saved validation suite passed on buggy and fixed</x:v>
      </x:c>
      <x:c r="G178" s="25" t="str">
        <x:v>true</x:v>
      </x:c>
      <x:c r="H178" s="25" t="str">
        <x:v>NOT_REVEALING</x:v>
      </x:c>
      <x:c r="I178" s="25" t="str">
        <x:v>PASS</x:v>
      </x:c>
      <x:c r="J178" s="25" t="str">
        <x:v>PASS</x:v>
      </x:c>
      <x:c r="K178" s="25" t="n">
        <x:v>5</x:v>
      </x:c>
      <x:c r="L178" s="27" t="b">
        <x:v>0</x:v>
      </x:c>
      <x:c r="M178" s="25" t="str">
        <x:v>Feedback-Directed Random Test Generation/rounds/Round1/state/Closure.json</x:v>
      </x:c>
      <x:c r="N178" s="25" t="str">
        <x:v>Feedback-Directed Random Test Generation/Result/Closure_114/result.json</x:v>
      </x:c>
      <x:c r="O178" s="25" t="str">
        <x:v>Feedback-Directed Random Test Generation/Result/Closure_114/result.json</x:v>
      </x:c>
      <x:c r="P178"/>
      <x:c r="Q178" s="21" t="str"/>
      <x:c r="R178" s="21" t="str"/>
      <x:c r="S178" s="21" t="str"/>
      <x:c r="T178" s="17" t="str">
        <x:v>false</x:v>
      </x:c>
      <x:c r="U178" s="17" t="str">
        <x:v>true</x:v>
      </x:c>
      <x:c r="V178" s="17" t="str">
        <x:v>false</x:v>
      </x:c>
    </x:row>
    <x:row r="179" ht="80" customHeight="1">
      <x:c r="A179" s="25" t="str">
        <x:v>Closure</x:v>
      </x:c>
      <x:c r="B179" s="25" t="n">
        <x:v>115</x:v>
      </x:c>
      <x:c r="C179" s="25" t="str">
        <x:v>Round1</x:v>
      </x:c>
      <x:c r="D179" s="25" t="str">
        <x:v>NOT_REVEALING</x:v>
      </x:c>
      <x:c r="E179" s="25" t="str">
        <x:v>N/A</x:v>
      </x:c>
      <x:c r="F179" s="26" t="str">
        <x:v>Same saved validation suite passed on buggy and fixed</x:v>
      </x:c>
      <x:c r="G179" s="25" t="str">
        <x:v>true</x:v>
      </x:c>
      <x:c r="H179" s="25" t="str">
        <x:v>NOT_REVEALING</x:v>
      </x:c>
      <x:c r="I179" s="25" t="str">
        <x:v>PASS</x:v>
      </x:c>
      <x:c r="J179" s="25" t="str">
        <x:v>PASS</x:v>
      </x:c>
      <x:c r="K179" s="25" t="n">
        <x:v>4</x:v>
      </x:c>
      <x:c r="L179" s="27" t="b">
        <x:v>0</x:v>
      </x:c>
      <x:c r="M179" s="25" t="str">
        <x:v>Feedback-Directed Random Test Generation/rounds/Round1/state/Closure.json</x:v>
      </x:c>
      <x:c r="N179" s="25" t="str">
        <x:v>Feedback-Directed Random Test Generation/Result/Closure_115/result.json</x:v>
      </x:c>
      <x:c r="O179" s="25" t="str">
        <x:v>Feedback-Directed Random Test Generation/Result/Closure_115/result.json</x:v>
      </x:c>
      <x:c r="P179"/>
      <x:c r="Q179" s="21" t="str"/>
      <x:c r="R179" s="21" t="str"/>
      <x:c r="S179" s="21" t="str"/>
      <x:c r="T179" s="17" t="str">
        <x:v>false</x:v>
      </x:c>
      <x:c r="U179" s="17" t="str">
        <x:v>true</x:v>
      </x:c>
      <x:c r="V179" s="17" t="str">
        <x:v>false</x:v>
      </x:c>
    </x:row>
    <x:row r="180" ht="80" customHeight="1">
      <x:c r="A180" s="25" t="str">
        <x:v>Closure</x:v>
      </x:c>
      <x:c r="B180" s="25" t="n">
        <x:v>116</x:v>
      </x:c>
      <x:c r="C180" s="25" t="str">
        <x:v>Round1</x:v>
      </x:c>
      <x:c r="D180" s="25" t="str">
        <x:v>NOT_REVEALING</x:v>
      </x:c>
      <x:c r="E180" s="25" t="str">
        <x:v>N/A</x:v>
      </x:c>
      <x:c r="F180" s="26" t="str">
        <x:v>Same saved validation suite passed on buggy and fixed</x:v>
      </x:c>
      <x:c r="G180" s="25" t="str">
        <x:v>true</x:v>
      </x:c>
      <x:c r="H180" s="25" t="str">
        <x:v>NOT_REVEALING</x:v>
      </x:c>
      <x:c r="I180" s="25" t="str">
        <x:v>PASS</x:v>
      </x:c>
      <x:c r="J180" s="25" t="str">
        <x:v>PASS</x:v>
      </x:c>
      <x:c r="K180" s="25" t="n">
        <x:v>4</x:v>
      </x:c>
      <x:c r="L180" s="27" t="b">
        <x:v>0</x:v>
      </x:c>
      <x:c r="M180" s="25" t="str">
        <x:v>Feedback-Directed Random Test Generation/rounds/Round1/state/Closure.json</x:v>
      </x:c>
      <x:c r="N180" s="25" t="str">
        <x:v>Feedback-Directed Random Test Generation/Result/Closure_116/result.json</x:v>
      </x:c>
      <x:c r="O180" s="25" t="str">
        <x:v>Feedback-Directed Random Test Generation/Result/Closure_116/result.json</x:v>
      </x:c>
      <x:c r="P180"/>
      <x:c r="Q180" s="21" t="str"/>
      <x:c r="R180" s="21" t="str"/>
      <x:c r="S180" s="21" t="str"/>
      <x:c r="T180" s="17" t="str">
        <x:v>false</x:v>
      </x:c>
      <x:c r="U180" s="17" t="str">
        <x:v>true</x:v>
      </x:c>
      <x:c r="V180" s="17" t="str">
        <x:v>false</x:v>
      </x:c>
    </x:row>
    <x:row r="181" ht="80" customHeight="1">
      <x:c r="A181" s="25" t="str">
        <x:v>Closure</x:v>
      </x:c>
      <x:c r="B181" s="25" t="n">
        <x:v>117</x:v>
      </x:c>
      <x:c r="C181" s="25" t="str">
        <x:v>Round1</x:v>
      </x:c>
      <x:c r="D181" s="25" t="str">
        <x:v>NOT_REVEALING</x:v>
      </x:c>
      <x:c r="E181" s="25" t="str">
        <x:v>N/A</x:v>
      </x:c>
      <x:c r="F181" s="26" t="str">
        <x:v>Same saved validation suite passed on buggy and fixed</x:v>
      </x:c>
      <x:c r="G181" s="25" t="str">
        <x:v>true</x:v>
      </x:c>
      <x:c r="H181" s="25" t="str">
        <x:v>NOT_REVEALING</x:v>
      </x:c>
      <x:c r="I181" s="25" t="str">
        <x:v>PASS</x:v>
      </x:c>
      <x:c r="J181" s="25" t="str">
        <x:v>PASS</x:v>
      </x:c>
      <x:c r="K181" s="25" t="n">
        <x:v>2</x:v>
      </x:c>
      <x:c r="L181" s="27" t="b">
        <x:v>0</x:v>
      </x:c>
      <x:c r="M181" s="25" t="str">
        <x:v>Feedback-Directed Random Test Generation/rounds/Round1/state/Closure.json</x:v>
      </x:c>
      <x:c r="N181" s="25" t="str">
        <x:v>Feedback-Directed Random Test Generation/Result/Closure_117/result.json</x:v>
      </x:c>
      <x:c r="O181" s="25" t="str">
        <x:v>Feedback-Directed Random Test Generation/Result/Closure_117/result.json</x:v>
      </x:c>
      <x:c r="P181"/>
      <x:c r="Q181" s="21" t="str"/>
      <x:c r="R181" s="21" t="str"/>
      <x:c r="S181" s="21" t="str"/>
      <x:c r="T181" s="17" t="str">
        <x:v>false</x:v>
      </x:c>
      <x:c r="U181" s="17" t="str">
        <x:v>true</x:v>
      </x:c>
      <x:c r="V181" s="17" t="str">
        <x:v>false</x:v>
      </x:c>
    </x:row>
    <x:row r="182" ht="80" customHeight="1">
      <x:c r="A182" s="25" t="str">
        <x:v>Closure</x:v>
      </x:c>
      <x:c r="B182" s="25" t="n">
        <x:v>118</x:v>
      </x:c>
      <x:c r="C182" s="25" t="str">
        <x:v>Round1</x:v>
      </x:c>
      <x:c r="D182" s="25" t="str">
        <x:v>NOT_REVEALING</x:v>
      </x:c>
      <x:c r="E182" s="25" t="str">
        <x:v>N/A</x:v>
      </x:c>
      <x:c r="F182" s="26" t="str">
        <x:v>Same saved validation suite passed on buggy and fixed</x:v>
      </x:c>
      <x:c r="G182" s="25" t="str">
        <x:v>true</x:v>
      </x:c>
      <x:c r="H182" s="25" t="str">
        <x:v>NOT_REVEALING</x:v>
      </x:c>
      <x:c r="I182" s="25" t="str">
        <x:v>PASS</x:v>
      </x:c>
      <x:c r="J182" s="25" t="str">
        <x:v>PASS</x:v>
      </x:c>
      <x:c r="K182" s="25" t="n">
        <x:v>2</x:v>
      </x:c>
      <x:c r="L182" s="27" t="b">
        <x:v>0</x:v>
      </x:c>
      <x:c r="M182" s="25" t="str">
        <x:v>Feedback-Directed Random Test Generation/rounds/Round1/state/Closure.json</x:v>
      </x:c>
      <x:c r="N182" s="25" t="str">
        <x:v>Feedback-Directed Random Test Generation/Result/Closure_118/result.json</x:v>
      </x:c>
      <x:c r="O182" s="25" t="str">
        <x:v>Feedback-Directed Random Test Generation/Result/Closure_118/result.json</x:v>
      </x:c>
      <x:c r="P182"/>
      <x:c r="Q182" s="21" t="str"/>
      <x:c r="R182" s="21" t="str"/>
      <x:c r="S182" s="21" t="str"/>
      <x:c r="T182" s="17" t="str">
        <x:v>false</x:v>
      </x:c>
      <x:c r="U182" s="17" t="str">
        <x:v>true</x:v>
      </x:c>
      <x:c r="V182" s="17" t="str">
        <x:v>false</x:v>
      </x:c>
    </x:row>
    <x:row r="183" ht="80" customHeight="1">
      <x:c r="A183" s="25" t="str">
        <x:v>Closure</x:v>
      </x:c>
      <x:c r="B183" s="25" t="n">
        <x:v>119</x:v>
      </x:c>
      <x:c r="C183" s="25" t="str">
        <x:v>Round1</x:v>
      </x:c>
      <x:c r="D183" s="25" t="str">
        <x:v>NOT_REVEALING</x:v>
      </x:c>
      <x:c r="E183" s="25" t="str">
        <x:v>N/A</x:v>
      </x:c>
      <x:c r="F183" s="26" t="str">
        <x:v>Same saved validation suite passed on buggy and fixed</x:v>
      </x:c>
      <x:c r="G183" s="25" t="str">
        <x:v>true</x:v>
      </x:c>
      <x:c r="H183" s="25" t="str">
        <x:v>NOT_REVEALING</x:v>
      </x:c>
      <x:c r="I183" s="25" t="str">
        <x:v>PASS</x:v>
      </x:c>
      <x:c r="J183" s="25" t="str">
        <x:v>PASS</x:v>
      </x:c>
      <x:c r="K183" s="25" t="n">
        <x:v>4</x:v>
      </x:c>
      <x:c r="L183" s="27" t="b">
        <x:v>0</x:v>
      </x:c>
      <x:c r="M183" s="25" t="str">
        <x:v>Feedback-Directed Random Test Generation/rounds/Round1/state/Closure.json</x:v>
      </x:c>
      <x:c r="N183" s="25" t="str">
        <x:v>Feedback-Directed Random Test Generation/Result/Closure_119/result.json</x:v>
      </x:c>
      <x:c r="O183" s="25" t="str">
        <x:v>Feedback-Directed Random Test Generation/Result/Closure_119/result.json</x:v>
      </x:c>
      <x:c r="P183"/>
      <x:c r="Q183" s="21" t="str"/>
      <x:c r="R183" s="21" t="str"/>
      <x:c r="S183" s="21" t="str"/>
      <x:c r="T183" s="17" t="str">
        <x:v>false</x:v>
      </x:c>
      <x:c r="U183" s="17" t="str">
        <x:v>true</x:v>
      </x:c>
      <x:c r="V183" s="17" t="str">
        <x:v>false</x:v>
      </x:c>
    </x:row>
    <x:row r="184" ht="80" customHeight="1">
      <x:c r="A184" s="25" t="str">
        <x:v>Closure</x:v>
      </x:c>
      <x:c r="B184" s="25" t="n">
        <x:v>120</x:v>
      </x:c>
      <x:c r="C184" s="25" t="str">
        <x:v>Round1</x:v>
      </x:c>
      <x:c r="D184" s="25" t="str">
        <x:v>NOT_REVEALING</x:v>
      </x:c>
      <x:c r="E184" s="25" t="str">
        <x:v>N/A</x:v>
      </x:c>
      <x:c r="F184" s="26" t="str">
        <x:v>Same saved validation suite passed on buggy and fixed</x:v>
      </x:c>
      <x:c r="G184" s="25" t="str">
        <x:v>true</x:v>
      </x:c>
      <x:c r="H184" s="25" t="str">
        <x:v>NOT_REVEALING</x:v>
      </x:c>
      <x:c r="I184" s="25" t="str">
        <x:v>PASS</x:v>
      </x:c>
      <x:c r="J184" s="25" t="str">
        <x:v>PASS</x:v>
      </x:c>
      <x:c r="K184" s="25" t="n">
        <x:v>5</x:v>
      </x:c>
      <x:c r="L184" s="27" t="b">
        <x:v>0</x:v>
      </x:c>
      <x:c r="M184" s="25" t="str">
        <x:v>Feedback-Directed Random Test Generation/rounds/Round1/state/Closure.json</x:v>
      </x:c>
      <x:c r="N184" s="25" t="str">
        <x:v>Feedback-Directed Random Test Generation/Result/Closure_120/result.json</x:v>
      </x:c>
      <x:c r="O184" s="25" t="str">
        <x:v>Feedback-Directed Random Test Generation/Result/Closure_120/result.json</x:v>
      </x:c>
      <x:c r="P184"/>
      <x:c r="Q184" s="21" t="str"/>
      <x:c r="R184" s="21" t="str"/>
      <x:c r="S184" s="21" t="str"/>
      <x:c r="T184" s="17" t="str">
        <x:v>false</x:v>
      </x:c>
      <x:c r="U184" s="17" t="str">
        <x:v>true</x:v>
      </x:c>
      <x:c r="V184" s="17" t="str">
        <x:v>false</x:v>
      </x:c>
    </x:row>
    <x:row r="185" ht="80" customHeight="1">
      <x:c r="A185" s="25" t="str">
        <x:v>Closure</x:v>
      </x:c>
      <x:c r="B185" s="25" t="n">
        <x:v>121</x:v>
      </x:c>
      <x:c r="C185" s="25" t="str">
        <x:v>Round1</x:v>
      </x:c>
      <x:c r="D185" s="25" t="str">
        <x:v>NOT_REVEALING</x:v>
      </x:c>
      <x:c r="E185" s="25" t="str">
        <x:v>N/A</x:v>
      </x:c>
      <x:c r="F185" s="26" t="str">
        <x:v>Same saved validation suite passed on buggy and fixed</x:v>
      </x:c>
      <x:c r="G185" s="25" t="str">
        <x:v>true</x:v>
      </x:c>
      <x:c r="H185" s="25" t="str">
        <x:v>NOT_REVEALING</x:v>
      </x:c>
      <x:c r="I185" s="25" t="str">
        <x:v>PASS</x:v>
      </x:c>
      <x:c r="J185" s="25" t="str">
        <x:v>PASS</x:v>
      </x:c>
      <x:c r="K185" s="25" t="n">
        <x:v>6</x:v>
      </x:c>
      <x:c r="L185" s="27" t="b">
        <x:v>0</x:v>
      </x:c>
      <x:c r="M185" s="25" t="str">
        <x:v>Feedback-Directed Random Test Generation/rounds/Round1/state/Closure.json</x:v>
      </x:c>
      <x:c r="N185" s="25" t="str">
        <x:v>Feedback-Directed Random Test Generation/Result/Closure_121/result.json</x:v>
      </x:c>
      <x:c r="O185" s="25" t="str">
        <x:v>Feedback-Directed Random Test Generation/Result/Closure_121/result.json</x:v>
      </x:c>
      <x:c r="P185"/>
      <x:c r="Q185" s="21" t="str"/>
      <x:c r="R185" s="21" t="str"/>
      <x:c r="S185" s="21" t="str"/>
      <x:c r="T185" s="17" t="str">
        <x:v>false</x:v>
      </x:c>
      <x:c r="U185" s="17" t="str">
        <x:v>true</x:v>
      </x:c>
      <x:c r="V185" s="17" t="str">
        <x:v>false</x:v>
      </x:c>
    </x:row>
    <x:row r="186" ht="80" customHeight="1">
      <x:c r="A186" s="25" t="str">
        <x:v>Closure</x:v>
      </x:c>
      <x:c r="B186" s="25" t="n">
        <x:v>122</x:v>
      </x:c>
      <x:c r="C186" s="25" t="str">
        <x:v>Round1</x:v>
      </x:c>
      <x:c r="D186" s="25" t="str">
        <x:v>NOT_REVEALING</x:v>
      </x:c>
      <x:c r="E186" s="25" t="str">
        <x:v>N/A</x:v>
      </x:c>
      <x:c r="F186" s="26" t="str">
        <x:v>Same saved validation suite passed on buggy and fixed</x:v>
      </x:c>
      <x:c r="G186" s="25" t="str">
        <x:v>true</x:v>
      </x:c>
      <x:c r="H186" s="25" t="str">
        <x:v>NOT_REVEALING</x:v>
      </x:c>
      <x:c r="I186" s="25" t="str">
        <x:v>PASS</x:v>
      </x:c>
      <x:c r="J186" s="25" t="str">
        <x:v>PASS</x:v>
      </x:c>
      <x:c r="K186" s="25" t="n">
        <x:v>2</x:v>
      </x:c>
      <x:c r="L186" s="27" t="b">
        <x:v>0</x:v>
      </x:c>
      <x:c r="M186" s="25" t="str">
        <x:v>Feedback-Directed Random Test Generation/rounds/Round1/state/Closure.json</x:v>
      </x:c>
      <x:c r="N186" s="25" t="str">
        <x:v>Feedback-Directed Random Test Generation/Result/Closure_122/result.json</x:v>
      </x:c>
      <x:c r="O186" s="25" t="str">
        <x:v>Feedback-Directed Random Test Generation/Result/Closure_122/result.json</x:v>
      </x:c>
      <x:c r="P186"/>
      <x:c r="Q186" s="21" t="str"/>
      <x:c r="R186" s="21" t="str"/>
      <x:c r="S186" s="21" t="str"/>
      <x:c r="T186" s="17" t="str">
        <x:v>false</x:v>
      </x:c>
      <x:c r="U186" s="17" t="str">
        <x:v>true</x:v>
      </x:c>
      <x:c r="V186" s="17" t="str">
        <x:v>false</x:v>
      </x:c>
    </x:row>
    <x:row r="187" ht="80" customHeight="1">
      <x:c r="A187" s="25" t="str">
        <x:v>Closure</x:v>
      </x:c>
      <x:c r="B187" s="25" t="n">
        <x:v>123</x:v>
      </x:c>
      <x:c r="C187" s="25" t="str">
        <x:v>Round1</x:v>
      </x:c>
      <x:c r="D187" s="25" t="str">
        <x:v>NOT_REVEALING</x:v>
      </x:c>
      <x:c r="E187" s="25" t="str">
        <x:v>N/A</x:v>
      </x:c>
      <x:c r="F187" s="26" t="str">
        <x:v>Same saved validation suite passed on buggy and fixed</x:v>
      </x:c>
      <x:c r="G187" s="25" t="str">
        <x:v>true</x:v>
      </x:c>
      <x:c r="H187" s="25" t="str">
        <x:v>NOT_REVEALING</x:v>
      </x:c>
      <x:c r="I187" s="25" t="str">
        <x:v>PASS</x:v>
      </x:c>
      <x:c r="J187" s="25" t="str">
        <x:v>PASS</x:v>
      </x:c>
      <x:c r="K187" s="25" t="n">
        <x:v>5</x:v>
      </x:c>
      <x:c r="L187" s="27" t="b">
        <x:v>0</x:v>
      </x:c>
      <x:c r="M187" s="25" t="str">
        <x:v>Feedback-Directed Random Test Generation/rounds/Round1/state/Closure.json</x:v>
      </x:c>
      <x:c r="N187" s="25" t="str">
        <x:v>Feedback-Directed Random Test Generation/Result/Closure_123/result.json</x:v>
      </x:c>
      <x:c r="O187" s="25" t="str">
        <x:v>Feedback-Directed Random Test Generation/Result/Closure_123/result.json</x:v>
      </x:c>
      <x:c r="P187"/>
      <x:c r="Q187" s="21" t="str"/>
      <x:c r="R187" s="21" t="str"/>
      <x:c r="S187" s="21" t="str"/>
      <x:c r="T187" s="17" t="str">
        <x:v>false</x:v>
      </x:c>
      <x:c r="U187" s="17" t="str">
        <x:v>true</x:v>
      </x:c>
      <x:c r="V187" s="17" t="str">
        <x:v>false</x:v>
      </x:c>
    </x:row>
    <x:row r="188" ht="80" customHeight="1">
      <x:c r="A188" s="25" t="str">
        <x:v>Closure</x:v>
      </x:c>
      <x:c r="B188" s="25" t="n">
        <x:v>124</x:v>
      </x:c>
      <x:c r="C188" s="25" t="str">
        <x:v>Round1</x:v>
      </x:c>
      <x:c r="D188" s="25" t="str">
        <x:v>NOT_REVEALING</x:v>
      </x:c>
      <x:c r="E188" s="25" t="str">
        <x:v>N/A</x:v>
      </x:c>
      <x:c r="F188" s="26" t="str">
        <x:v>Same saved validation suite passed on buggy and fixed</x:v>
      </x:c>
      <x:c r="G188" s="25" t="str">
        <x:v>true</x:v>
      </x:c>
      <x:c r="H188" s="25" t="str">
        <x:v>NOT_REVEALING</x:v>
      </x:c>
      <x:c r="I188" s="25" t="str">
        <x:v>PASS</x:v>
      </x:c>
      <x:c r="J188" s="25" t="str">
        <x:v>PASS</x:v>
      </x:c>
      <x:c r="K188" s="25" t="n">
        <x:v>2</x:v>
      </x:c>
      <x:c r="L188" s="27" t="b">
        <x:v>0</x:v>
      </x:c>
      <x:c r="M188" s="25" t="str">
        <x:v>Feedback-Directed Random Test Generation/rounds/Round1/state/Closure.json</x:v>
      </x:c>
      <x:c r="N188" s="25" t="str">
        <x:v>Feedback-Directed Random Test Generation/Result/Closure_124/result.json</x:v>
      </x:c>
      <x:c r="O188" s="25" t="str">
        <x:v>Feedback-Directed Random Test Generation/Result/Closure_124/result.json</x:v>
      </x:c>
      <x:c r="P188"/>
      <x:c r="Q188" s="21" t="str"/>
      <x:c r="R188" s="21" t="str"/>
      <x:c r="S188" s="21" t="str"/>
      <x:c r="T188" s="17" t="str">
        <x:v>false</x:v>
      </x:c>
      <x:c r="U188" s="17" t="str">
        <x:v>true</x:v>
      </x:c>
      <x:c r="V188" s="17" t="str">
        <x:v>false</x:v>
      </x:c>
    </x:row>
    <x:row r="189" ht="80" customHeight="1">
      <x:c r="A189" s="25" t="str">
        <x:v>Closure</x:v>
      </x:c>
      <x:c r="B189" s="25" t="n">
        <x:v>125</x:v>
      </x:c>
      <x:c r="C189" s="25" t="str">
        <x:v>Round1</x:v>
      </x:c>
      <x:c r="D189" s="25" t="str">
        <x:v>NOT_REVEALING</x:v>
      </x:c>
      <x:c r="E189" s="25" t="str">
        <x:v>N/A</x:v>
      </x:c>
      <x:c r="F189" s="26" t="str">
        <x:v>Same saved validation suite passed on buggy and fixed</x:v>
      </x:c>
      <x:c r="G189" s="25" t="str">
        <x:v>true</x:v>
      </x:c>
      <x:c r="H189" s="25" t="str">
        <x:v>NOT_REVEALING</x:v>
      </x:c>
      <x:c r="I189" s="25" t="str">
        <x:v>PASS</x:v>
      </x:c>
      <x:c r="J189" s="25" t="str">
        <x:v>PASS</x:v>
      </x:c>
      <x:c r="K189" s="25" t="n">
        <x:v>2</x:v>
      </x:c>
      <x:c r="L189" s="27" t="b">
        <x:v>0</x:v>
      </x:c>
      <x:c r="M189" s="25" t="str">
        <x:v>Feedback-Directed Random Test Generation/rounds/Round1/state/Closure.json</x:v>
      </x:c>
      <x:c r="N189" s="25" t="str">
        <x:v>Feedback-Directed Random Test Generation/Result/Closure_125/result.json</x:v>
      </x:c>
      <x:c r="O189" s="25" t="str">
        <x:v>Feedback-Directed Random Test Generation/Result/Closure_125/result.json</x:v>
      </x:c>
      <x:c r="P189"/>
      <x:c r="Q189" s="21" t="str"/>
      <x:c r="R189" s="21" t="str"/>
      <x:c r="S189" s="21" t="str"/>
      <x:c r="T189" s="17" t="str">
        <x:v>false</x:v>
      </x:c>
      <x:c r="U189" s="17" t="str">
        <x:v>true</x:v>
      </x:c>
      <x:c r="V189" s="17" t="str">
        <x:v>false</x:v>
      </x:c>
    </x:row>
    <x:row r="190" ht="80" customHeight="1">
      <x:c r="A190" s="25" t="str">
        <x:v>Closure</x:v>
      </x:c>
      <x:c r="B190" s="25" t="n">
        <x:v>126</x:v>
      </x:c>
      <x:c r="C190" s="25" t="str">
        <x:v>Round1</x:v>
      </x:c>
      <x:c r="D190" s="25" t="str">
        <x:v>NOT_REVEALING</x:v>
      </x:c>
      <x:c r="E190" s="25" t="str">
        <x:v>N/A</x:v>
      </x:c>
      <x:c r="F190" s="26" t="str">
        <x:v>Same saved validation suite passed on buggy and fixed</x:v>
      </x:c>
      <x:c r="G190" s="25" t="str">
        <x:v>true</x:v>
      </x:c>
      <x:c r="H190" s="25" t="str">
        <x:v>NOT_REVEALING</x:v>
      </x:c>
      <x:c r="I190" s="25" t="str">
        <x:v>PASS</x:v>
      </x:c>
      <x:c r="J190" s="25" t="str">
        <x:v>PASS</x:v>
      </x:c>
      <x:c r="K190" s="25" t="n">
        <x:v>5</x:v>
      </x:c>
      <x:c r="L190" s="27" t="b">
        <x:v>0</x:v>
      </x:c>
      <x:c r="M190" s="25" t="str">
        <x:v>Feedback-Directed Random Test Generation/rounds/Round1/state/Closure.json</x:v>
      </x:c>
      <x:c r="N190" s="25" t="str">
        <x:v>Feedback-Directed Random Test Generation/Result/Closure_126/result.json</x:v>
      </x:c>
      <x:c r="O190" s="25" t="str">
        <x:v>Feedback-Directed Random Test Generation/Result/Closure_126/result.json</x:v>
      </x:c>
      <x:c r="P190"/>
      <x:c r="Q190" s="21" t="str"/>
      <x:c r="R190" s="21" t="str"/>
      <x:c r="S190" s="21" t="str"/>
      <x:c r="T190" s="17" t="str">
        <x:v>false</x:v>
      </x:c>
      <x:c r="U190" s="17" t="str">
        <x:v>true</x:v>
      </x:c>
      <x:c r="V190" s="17" t="str">
        <x:v>false</x:v>
      </x:c>
    </x:row>
    <x:row r="191" ht="80" customHeight="1">
      <x:c r="A191" s="25" t="str">
        <x:v>Closure</x:v>
      </x:c>
      <x:c r="B191" s="25" t="n">
        <x:v>127</x:v>
      </x:c>
      <x:c r="C191" s="25" t="str">
        <x:v>Round1</x:v>
      </x:c>
      <x:c r="D191" s="25" t="str">
        <x:v>NOT_REVEALING</x:v>
      </x:c>
      <x:c r="E191" s="25" t="str">
        <x:v>N/A</x:v>
      </x:c>
      <x:c r="F191" s="26" t="str">
        <x:v>Same saved validation suite passed on buggy and fixed</x:v>
      </x:c>
      <x:c r="G191" s="25" t="str">
        <x:v>true</x:v>
      </x:c>
      <x:c r="H191" s="25" t="str">
        <x:v>NOT_REVEALING</x:v>
      </x:c>
      <x:c r="I191" s="25" t="str">
        <x:v>PASS</x:v>
      </x:c>
      <x:c r="J191" s="25" t="str">
        <x:v>PASS</x:v>
      </x:c>
      <x:c r="K191" s="25" t="n">
        <x:v>2</x:v>
      </x:c>
      <x:c r="L191" s="27" t="b">
        <x:v>0</x:v>
      </x:c>
      <x:c r="M191" s="25" t="str">
        <x:v>Feedback-Directed Random Test Generation/rounds/Round1/state/Closure.json</x:v>
      </x:c>
      <x:c r="N191" s="25" t="str">
        <x:v>Feedback-Directed Random Test Generation/Result/Closure_127/result.json</x:v>
      </x:c>
      <x:c r="O191" s="25" t="str">
        <x:v>Feedback-Directed Random Test Generation/Result/Closure_127/result.json</x:v>
      </x:c>
      <x:c r="P191"/>
      <x:c r="Q191" s="21" t="str"/>
      <x:c r="R191" s="21" t="str"/>
      <x:c r="S191" s="21" t="str"/>
      <x:c r="T191" s="17" t="str">
        <x:v>false</x:v>
      </x:c>
      <x:c r="U191" s="17" t="str">
        <x:v>true</x:v>
      </x:c>
      <x:c r="V191" s="17" t="str">
        <x:v>false</x:v>
      </x:c>
    </x:row>
    <x:row r="192" ht="80" customHeight="1">
      <x:c r="A192" s="25" t="str">
        <x:v>Closure</x:v>
      </x:c>
      <x:c r="B192" s="25" t="n">
        <x:v>128</x:v>
      </x:c>
      <x:c r="C192" s="25" t="str">
        <x:v>Round1</x:v>
      </x:c>
      <x:c r="D192" s="25" t="str">
        <x:v>NOT_REVEALING</x:v>
      </x:c>
      <x:c r="E192" s="25" t="str">
        <x:v>N/A</x:v>
      </x:c>
      <x:c r="F192" s="26" t="str">
        <x:v>Same saved validation suite passed on buggy and fixed</x:v>
      </x:c>
      <x:c r="G192" s="25" t="str">
        <x:v>true</x:v>
      </x:c>
      <x:c r="H192" s="25" t="str">
        <x:v>NOT_REVEALING</x:v>
      </x:c>
      <x:c r="I192" s="25" t="str">
        <x:v>PASS</x:v>
      </x:c>
      <x:c r="J192" s="25" t="str">
        <x:v>PASS</x:v>
      </x:c>
      <x:c r="K192" s="25" t="n">
        <x:v>5</x:v>
      </x:c>
      <x:c r="L192" s="27" t="b">
        <x:v>0</x:v>
      </x:c>
      <x:c r="M192" s="25" t="str">
        <x:v>Feedback-Directed Random Test Generation/rounds/Round1/state/Closure.json</x:v>
      </x:c>
      <x:c r="N192" s="25" t="str">
        <x:v>Feedback-Directed Random Test Generation/Result/Closure_128/result.json</x:v>
      </x:c>
      <x:c r="O192" s="25" t="str">
        <x:v>Feedback-Directed Random Test Generation/Result/Closure_128/result.json</x:v>
      </x:c>
      <x:c r="P192"/>
      <x:c r="Q192" s="21" t="str"/>
      <x:c r="R192" s="21" t="str"/>
      <x:c r="S192" s="21" t="str"/>
      <x:c r="T192" s="17" t="str">
        <x:v>false</x:v>
      </x:c>
      <x:c r="U192" s="17" t="str">
        <x:v>true</x:v>
      </x:c>
      <x:c r="V192" s="17" t="str">
        <x:v>false</x:v>
      </x:c>
    </x:row>
    <x:row r="193" ht="80" customHeight="1">
      <x:c r="A193" s="25" t="str">
        <x:v>Closure</x:v>
      </x:c>
      <x:c r="B193" s="25" t="n">
        <x:v>129</x:v>
      </x:c>
      <x:c r="C193" s="25" t="str">
        <x:v>Round1</x:v>
      </x:c>
      <x:c r="D193" s="25" t="str">
        <x:v>NOT_REVEALING</x:v>
      </x:c>
      <x:c r="E193" s="25" t="str">
        <x:v>N/A</x:v>
      </x:c>
      <x:c r="F193" s="26" t="str">
        <x:v>Same saved validation suite passed on buggy and fixed</x:v>
      </x:c>
      <x:c r="G193" s="25" t="str">
        <x:v>true</x:v>
      </x:c>
      <x:c r="H193" s="25" t="str">
        <x:v>NOT_REVEALING</x:v>
      </x:c>
      <x:c r="I193" s="25" t="str">
        <x:v>PASS</x:v>
      </x:c>
      <x:c r="J193" s="25" t="str">
        <x:v>PASS</x:v>
      </x:c>
      <x:c r="K193" s="25" t="n">
        <x:v>2</x:v>
      </x:c>
      <x:c r="L193" s="27" t="b">
        <x:v>0</x:v>
      </x:c>
      <x:c r="M193" s="25" t="str">
        <x:v>Feedback-Directed Random Test Generation/rounds/Round1/state/Closure.json</x:v>
      </x:c>
      <x:c r="N193" s="25" t="str">
        <x:v>Feedback-Directed Random Test Generation/Result/Closure_129/result.json</x:v>
      </x:c>
      <x:c r="O193" s="25" t="str">
        <x:v>Feedback-Directed Random Test Generation/Result/Closure_129/result.json</x:v>
      </x:c>
      <x:c r="P193"/>
      <x:c r="Q193" s="21" t="str"/>
      <x:c r="R193" s="21" t="str"/>
      <x:c r="S193" s="21" t="str"/>
      <x:c r="T193" s="17" t="str">
        <x:v>false</x:v>
      </x:c>
      <x:c r="U193" s="17" t="str">
        <x:v>true</x:v>
      </x:c>
      <x:c r="V193" s="17" t="str">
        <x:v>false</x:v>
      </x:c>
    </x:row>
    <x:row r="194" ht="80" customHeight="1">
      <x:c r="A194" s="25" t="str">
        <x:v>Closure</x:v>
      </x:c>
      <x:c r="B194" s="25" t="n">
        <x:v>130</x:v>
      </x:c>
      <x:c r="C194" s="25" t="str">
        <x:v>Round1</x:v>
      </x:c>
      <x:c r="D194" s="25" t="str">
        <x:v>NOT_REVEALING</x:v>
      </x:c>
      <x:c r="E194" s="25" t="str">
        <x:v>N/A</x:v>
      </x:c>
      <x:c r="F194" s="26" t="str">
        <x:v>Same saved validation suite passed on buggy and fixed</x:v>
      </x:c>
      <x:c r="G194" s="25" t="str">
        <x:v>true</x:v>
      </x:c>
      <x:c r="H194" s="25" t="str">
        <x:v>NOT_REVEALING</x:v>
      </x:c>
      <x:c r="I194" s="25" t="str">
        <x:v>PASS</x:v>
      </x:c>
      <x:c r="J194" s="25" t="str">
        <x:v>PASS</x:v>
      </x:c>
      <x:c r="K194" s="25" t="n">
        <x:v>2</x:v>
      </x:c>
      <x:c r="L194" s="27" t="b">
        <x:v>0</x:v>
      </x:c>
      <x:c r="M194" s="25" t="str">
        <x:v>Feedback-Directed Random Test Generation/rounds/Round1/state/Closure.json</x:v>
      </x:c>
      <x:c r="N194" s="25" t="str">
        <x:v>Feedback-Directed Random Test Generation/Result/Closure_130/result.json</x:v>
      </x:c>
      <x:c r="O194" s="25" t="str">
        <x:v>Feedback-Directed Random Test Generation/Result/Closure_130/result.json</x:v>
      </x:c>
      <x:c r="P194"/>
      <x:c r="Q194" s="21" t="str"/>
      <x:c r="R194" s="21" t="str"/>
      <x:c r="S194" s="21" t="str"/>
      <x:c r="T194" s="17" t="str">
        <x:v>false</x:v>
      </x:c>
      <x:c r="U194" s="17" t="str">
        <x:v>true</x:v>
      </x:c>
      <x:c r="V194" s="17" t="str">
        <x:v>false</x:v>
      </x:c>
    </x:row>
    <x:row r="195" ht="80" customHeight="1">
      <x:c r="A195" s="25" t="str">
        <x:v>Closure</x:v>
      </x:c>
      <x:c r="B195" s="25" t="n">
        <x:v>131</x:v>
      </x:c>
      <x:c r="C195" s="25" t="str">
        <x:v>Round1</x:v>
      </x:c>
      <x:c r="D195" s="25" t="str">
        <x:v>NOT_REVEALING</x:v>
      </x:c>
      <x:c r="E195" s="25" t="str">
        <x:v>N/A</x:v>
      </x:c>
      <x:c r="F195" s="26" t="str">
        <x:v>Same saved validation suite passed on buggy and fixed</x:v>
      </x:c>
      <x:c r="G195" s="25" t="str">
        <x:v>true</x:v>
      </x:c>
      <x:c r="H195" s="25" t="str">
        <x:v>NOT_REVEALING</x:v>
      </x:c>
      <x:c r="I195" s="25" t="str">
        <x:v>PASS</x:v>
      </x:c>
      <x:c r="J195" s="25" t="str">
        <x:v>PASS</x:v>
      </x:c>
      <x:c r="K195" s="25" t="n">
        <x:v>2</x:v>
      </x:c>
      <x:c r="L195" s="27" t="b">
        <x:v>0</x:v>
      </x:c>
      <x:c r="M195" s="25" t="str">
        <x:v>Feedback-Directed Random Test Generation/rounds/Round1/state/Closure.json</x:v>
      </x:c>
      <x:c r="N195" s="25" t="str">
        <x:v>Feedback-Directed Random Test Generation/Result/Closure_131/result.json</x:v>
      </x:c>
      <x:c r="O195" s="25" t="str">
        <x:v>Feedback-Directed Random Test Generation/Result/Closure_131/result.json</x:v>
      </x:c>
      <x:c r="P195"/>
      <x:c r="Q195" s="21" t="str"/>
      <x:c r="R195" s="21" t="str"/>
      <x:c r="S195" s="21" t="str"/>
      <x:c r="T195" s="17" t="str">
        <x:v>false</x:v>
      </x:c>
      <x:c r="U195" s="17" t="str">
        <x:v>true</x:v>
      </x:c>
      <x:c r="V195" s="17" t="str">
        <x:v>false</x:v>
      </x:c>
    </x:row>
    <x:row r="196" ht="80" customHeight="1">
      <x:c r="A196" s="25" t="str">
        <x:v>Closure</x:v>
      </x:c>
      <x:c r="B196" s="25" t="n">
        <x:v>132</x:v>
      </x:c>
      <x:c r="C196" s="25" t="str">
        <x:v>Round1</x:v>
      </x:c>
      <x:c r="D196" s="25" t="str">
        <x:v>NOT_REVEALING</x:v>
      </x:c>
      <x:c r="E196" s="25" t="str">
        <x:v>N/A</x:v>
      </x:c>
      <x:c r="F196" s="26" t="str">
        <x:v>Same saved validation suite passed on buggy and fixed</x:v>
      </x:c>
      <x:c r="G196" s="25" t="str">
        <x:v>true</x:v>
      </x:c>
      <x:c r="H196" s="25" t="str">
        <x:v>NOT_REVEALING</x:v>
      </x:c>
      <x:c r="I196" s="25" t="str">
        <x:v>PASS</x:v>
      </x:c>
      <x:c r="J196" s="25" t="str">
        <x:v>PASS</x:v>
      </x:c>
      <x:c r="K196" s="25" t="n">
        <x:v>6</x:v>
      </x:c>
      <x:c r="L196" s="27" t="b">
        <x:v>0</x:v>
      </x:c>
      <x:c r="M196" s="25" t="str">
        <x:v>Feedback-Directed Random Test Generation/rounds/Round1/state/Closure.json</x:v>
      </x:c>
      <x:c r="N196" s="25" t="str">
        <x:v>Feedback-Directed Random Test Generation/Result/Closure_132/result.json</x:v>
      </x:c>
      <x:c r="O196" s="25" t="str">
        <x:v>Feedback-Directed Random Test Generation/Result/Closure_132/result.json</x:v>
      </x:c>
      <x:c r="P196"/>
      <x:c r="Q196" s="21" t="str"/>
      <x:c r="R196" s="21" t="str"/>
      <x:c r="S196" s="21" t="str"/>
      <x:c r="T196" s="17" t="str">
        <x:v>false</x:v>
      </x:c>
      <x:c r="U196" s="17" t="str">
        <x:v>true</x:v>
      </x:c>
      <x:c r="V196" s="17" t="str">
        <x:v>false</x:v>
      </x:c>
    </x:row>
    <x:row r="197" ht="80" customHeight="1">
      <x:c r="A197" s="25" t="str">
        <x:v>Closure</x:v>
      </x:c>
      <x:c r="B197" s="25" t="n">
        <x:v>133</x:v>
      </x:c>
      <x:c r="C197" s="25" t="str">
        <x:v>Round1</x:v>
      </x:c>
      <x:c r="D197" s="25" t="str">
        <x:v>NOT_REVEALING</x:v>
      </x:c>
      <x:c r="E197" s="25" t="str">
        <x:v>N/A</x:v>
      </x:c>
      <x:c r="F197" s="26" t="str">
        <x:v>Same saved validation suite passed on buggy and fixed</x:v>
      </x:c>
      <x:c r="G197" s="25" t="str">
        <x:v>true</x:v>
      </x:c>
      <x:c r="H197" s="25" t="str">
        <x:v>NOT_REVEALING</x:v>
      </x:c>
      <x:c r="I197" s="25" t="str">
        <x:v>PASS</x:v>
      </x:c>
      <x:c r="J197" s="25" t="str">
        <x:v>PASS</x:v>
      </x:c>
      <x:c r="K197" s="25" t="n">
        <x:v>2</x:v>
      </x:c>
      <x:c r="L197" s="27" t="b">
        <x:v>0</x:v>
      </x:c>
      <x:c r="M197" s="25" t="str">
        <x:v>Feedback-Directed Random Test Generation/rounds/Round1/state/Closure.json</x:v>
      </x:c>
      <x:c r="N197" s="25" t="str">
        <x:v>Feedback-Directed Random Test Generation/Result/Closure_133/result.json</x:v>
      </x:c>
      <x:c r="O197" s="25" t="str">
        <x:v>Feedback-Directed Random Test Generation/Result/Closure_133/result.json</x:v>
      </x:c>
      <x:c r="P197"/>
      <x:c r="Q197" s="21" t="str"/>
      <x:c r="R197" s="21" t="str"/>
      <x:c r="S197" s="21" t="str"/>
      <x:c r="T197" s="17" t="str">
        <x:v>false</x:v>
      </x:c>
      <x:c r="U197" s="17" t="str">
        <x:v>true</x:v>
      </x:c>
      <x:c r="V197" s="17" t="str">
        <x:v>false</x:v>
      </x:c>
    </x:row>
    <x:row r="198" ht="80" customHeight="1">
      <x:c r="A198" s="25" t="str">
        <x:v>Closure</x:v>
      </x:c>
      <x:c r="B198" s="25" t="n">
        <x:v>134</x:v>
      </x:c>
      <x:c r="C198" s="25" t="str">
        <x:v>Round1</x:v>
      </x:c>
      <x:c r="D198" s="25" t="str">
        <x:v>NOT_REVEALING</x:v>
      </x:c>
      <x:c r="E198" s="25" t="str">
        <x:v>N/A</x:v>
      </x:c>
      <x:c r="F198" s="26" t="str">
        <x:v>Same saved validation suite passed on buggy and fixed</x:v>
      </x:c>
      <x:c r="G198" s="25" t="str">
        <x:v>true</x:v>
      </x:c>
      <x:c r="H198" s="25" t="str">
        <x:v>NOT_REVEALING</x:v>
      </x:c>
      <x:c r="I198" s="25" t="str">
        <x:v>PASS</x:v>
      </x:c>
      <x:c r="J198" s="25" t="str">
        <x:v>PASS</x:v>
      </x:c>
      <x:c r="K198" s="25" t="n">
        <x:v>9</x:v>
      </x:c>
      <x:c r="L198" s="27" t="b">
        <x:v>0</x:v>
      </x:c>
      <x:c r="M198" s="25" t="str">
        <x:v>Feedback-Directed Random Test Generation/rounds/Round1/state/Closure.json</x:v>
      </x:c>
      <x:c r="N198" s="25" t="str">
        <x:v>Feedback-Directed Random Test Generation/Result/Closure_134/result.json</x:v>
      </x:c>
      <x:c r="O198" s="25" t="str">
        <x:v>Feedback-Directed Random Test Generation/Result/Closure_134/result.json</x:v>
      </x:c>
      <x:c r="P198"/>
      <x:c r="Q198" s="21" t="str"/>
      <x:c r="R198" s="21" t="str"/>
      <x:c r="S198" s="21" t="str"/>
      <x:c r="T198" s="17" t="str">
        <x:v>false</x:v>
      </x:c>
      <x:c r="U198" s="17" t="str">
        <x:v>true</x:v>
      </x:c>
      <x:c r="V198" s="17" t="str">
        <x:v>false</x:v>
      </x:c>
    </x:row>
    <x:row r="199" ht="80" customHeight="1">
      <x:c r="A199" s="25" t="str">
        <x:v>Closure</x:v>
      </x:c>
      <x:c r="B199" s="25" t="n">
        <x:v>135</x:v>
      </x:c>
      <x:c r="C199" s="25" t="str">
        <x:v>Round1</x:v>
      </x:c>
      <x:c r="D199" s="25" t="str">
        <x:v>NOT_REVEALING</x:v>
      </x:c>
      <x:c r="E199" s="25" t="str">
        <x:v>N/A</x:v>
      </x:c>
      <x:c r="F199" s="26" t="str">
        <x:v>Same saved validation suite passed on buggy and fixed</x:v>
      </x:c>
      <x:c r="G199" s="25" t="str">
        <x:v>true</x:v>
      </x:c>
      <x:c r="H199" s="25" t="str">
        <x:v>NOT_REVEALING</x:v>
      </x:c>
      <x:c r="I199" s="25" t="str">
        <x:v>PASS</x:v>
      </x:c>
      <x:c r="J199" s="25" t="str">
        <x:v>PASS</x:v>
      </x:c>
      <x:c r="K199" s="25" t="n">
        <x:v>2</x:v>
      </x:c>
      <x:c r="L199" s="27" t="b">
        <x:v>0</x:v>
      </x:c>
      <x:c r="M199" s="25" t="str">
        <x:v>Feedback-Directed Random Test Generation/rounds/Round1/state/Closure.json</x:v>
      </x:c>
      <x:c r="N199" s="25" t="str">
        <x:v>Feedback-Directed Random Test Generation/Result/Closure_135/result.json</x:v>
      </x:c>
      <x:c r="O199" s="25" t="str">
        <x:v>Feedback-Directed Random Test Generation/Result/Closure_135/result.json</x:v>
      </x:c>
      <x:c r="P199"/>
      <x:c r="Q199" s="21" t="str"/>
      <x:c r="R199" s="21" t="str"/>
      <x:c r="S199" s="21" t="str"/>
      <x:c r="T199" s="17" t="str">
        <x:v>false</x:v>
      </x:c>
      <x:c r="U199" s="17" t="str">
        <x:v>true</x:v>
      </x:c>
      <x:c r="V199" s="17" t="str">
        <x:v>false</x:v>
      </x:c>
    </x:row>
    <x:row r="200" ht="80" customHeight="1">
      <x:c r="A200" s="25" t="str">
        <x:v>Closure</x:v>
      </x:c>
      <x:c r="B200" s="25" t="n">
        <x:v>136</x:v>
      </x:c>
      <x:c r="C200" s="25" t="str">
        <x:v>Round1</x:v>
      </x:c>
      <x:c r="D200" s="25" t="str">
        <x:v>NOT_REVEALING</x:v>
      </x:c>
      <x:c r="E200" s="25" t="str">
        <x:v>N/A</x:v>
      </x:c>
      <x:c r="F200" s="26" t="str">
        <x:v>Same saved validation suite passed on buggy and fixed</x:v>
      </x:c>
      <x:c r="G200" s="25" t="str">
        <x:v>true</x:v>
      </x:c>
      <x:c r="H200" s="25" t="str">
        <x:v>NOT_REVEALING</x:v>
      </x:c>
      <x:c r="I200" s="25" t="str">
        <x:v>PASS</x:v>
      </x:c>
      <x:c r="J200" s="25" t="str">
        <x:v>PASS</x:v>
      </x:c>
      <x:c r="K200" s="25" t="n">
        <x:v>3</x:v>
      </x:c>
      <x:c r="L200" s="27" t="b">
        <x:v>0</x:v>
      </x:c>
      <x:c r="M200" s="25" t="str">
        <x:v>Feedback-Directed Random Test Generation/rounds/Round1/state/Closure.json</x:v>
      </x:c>
      <x:c r="N200" s="25" t="str">
        <x:v>Feedback-Directed Random Test Generation/Result/Closure_136/result.json</x:v>
      </x:c>
      <x:c r="O200" s="25" t="str">
        <x:v>Feedback-Directed Random Test Generation/Result/Closure_136/result.json</x:v>
      </x:c>
      <x:c r="P200"/>
      <x:c r="Q200" s="21" t="str"/>
      <x:c r="R200" s="21" t="str"/>
      <x:c r="S200" s="21" t="str"/>
      <x:c r="T200" s="17" t="str">
        <x:v>false</x:v>
      </x:c>
      <x:c r="U200" s="17" t="str">
        <x:v>true</x:v>
      </x:c>
      <x:c r="V200" s="17" t="str">
        <x:v>false</x:v>
      </x:c>
    </x:row>
    <x:row r="201" ht="80" customHeight="1">
      <x:c r="A201" s="25" t="str">
        <x:v>Closure</x:v>
      </x:c>
      <x:c r="B201" s="25" t="n">
        <x:v>137</x:v>
      </x:c>
      <x:c r="C201" s="25" t="str">
        <x:v>Round1</x:v>
      </x:c>
      <x:c r="D201" s="25" t="str">
        <x:v>INCONCLUSIVE</x:v>
      </x:c>
      <x:c r="E201" s="25" t="str">
        <x:v>N/A</x:v>
      </x:c>
      <x:c r="F201" s="26" t="str">
        <x:v>Fixed also failed; assertion failure cannot be attributed to this bug; Assertions failed with measured coverage; paired execution and stage checks determine status</x:v>
      </x:c>
      <x:c r="G201" s="25" t="str">
        <x:v>true</x:v>
      </x:c>
      <x:c r="H201" s="25" t="str">
        <x:v>INCONCLUSIVE</x:v>
      </x:c>
      <x:c r="I201" s="25" t="str">
        <x:v>FAIL</x:v>
      </x:c>
      <x:c r="J201" s="25" t="str">
        <x:v>FAIL</x:v>
      </x:c>
      <x:c r="K201" s="25" t="n">
        <x:v>7</x:v>
      </x:c>
      <x:c r="L201" s="27" t="b">
        <x:v>0</x:v>
      </x:c>
      <x:c r="M201" s="25" t="str">
        <x:v>Feedback-Directed Random Test Generation/rounds/Round1/state/Closure.json</x:v>
      </x:c>
      <x:c r="N201" s="25" t="str">
        <x:v>Feedback-Directed Random Test Generation/Result/Closure_137/result.json</x:v>
      </x:c>
      <x:c r="O201" s="25" t="str">
        <x:v>Feedback-Directed Random Test Generation/Result/Closure_137/result.json</x:v>
      </x:c>
      <x:c r="P201"/>
      <x:c r="Q201" s="21" t="str"/>
      <x:c r="R201" s="21" t="str"/>
      <x:c r="S201" s="21" t="str"/>
      <x:c r="T201" s="17" t="str">
        <x:v>false</x:v>
      </x:c>
      <x:c r="U201" s="17" t="str">
        <x:v>true</x:v>
      </x:c>
      <x:c r="V201" s="17" t="str">
        <x:v>false</x:v>
      </x:c>
    </x:row>
    <x:row r="202" ht="80" customHeight="1">
      <x:c r="A202" s="25" t="str">
        <x:v>Closure</x:v>
      </x:c>
      <x:c r="B202" s="25" t="n">
        <x:v>138</x:v>
      </x:c>
      <x:c r="C202" s="25" t="str">
        <x:v>Round1</x:v>
      </x:c>
      <x:c r="D202" s="25" t="str">
        <x:v>NOT_REVEALING</x:v>
      </x:c>
      <x:c r="E202" s="25" t="str">
        <x:v>N/A</x:v>
      </x:c>
      <x:c r="F202" s="26" t="str">
        <x:v>Same saved validation suite passed on buggy and fixed</x:v>
      </x:c>
      <x:c r="G202" s="25" t="str">
        <x:v>true</x:v>
      </x:c>
      <x:c r="H202" s="25" t="str">
        <x:v>NOT_REVEALING</x:v>
      </x:c>
      <x:c r="I202" s="25" t="str">
        <x:v>PASS</x:v>
      </x:c>
      <x:c r="J202" s="25" t="str">
        <x:v>PASS</x:v>
      </x:c>
      <x:c r="K202" s="25" t="n">
        <x:v>2</x:v>
      </x:c>
      <x:c r="L202" s="27" t="b">
        <x:v>0</x:v>
      </x:c>
      <x:c r="M202" s="25" t="str">
        <x:v>Feedback-Directed Random Test Generation/rounds/Round1/state/Closure.json</x:v>
      </x:c>
      <x:c r="N202" s="25" t="str">
        <x:v>Feedback-Directed Random Test Generation/Result/Closure_138/result.json</x:v>
      </x:c>
      <x:c r="O202" s="25" t="str">
        <x:v>Feedback-Directed Random Test Generation/Result/Closure_138/result.json</x:v>
      </x:c>
      <x:c r="P202"/>
      <x:c r="Q202" s="21" t="str"/>
      <x:c r="R202" s="21" t="str"/>
      <x:c r="S202" s="21" t="str"/>
      <x:c r="T202" s="17" t="str">
        <x:v>false</x:v>
      </x:c>
      <x:c r="U202" s="17" t="str">
        <x:v>true</x:v>
      </x:c>
      <x:c r="V202" s="17" t="str">
        <x:v>false</x:v>
      </x:c>
    </x:row>
    <x:row r="203" ht="80" customHeight="1">
      <x:c r="A203" s="25" t="str">
        <x:v>Closure</x:v>
      </x:c>
      <x:c r="B203" s="25" t="n">
        <x:v>139</x:v>
      </x:c>
      <x:c r="C203" s="25" t="str">
        <x:v>Round1</x:v>
      </x:c>
      <x:c r="D203" s="25" t="str">
        <x:v>NOT_REVEALING</x:v>
      </x:c>
      <x:c r="E203" s="25" t="str">
        <x:v>N/A</x:v>
      </x:c>
      <x:c r="F203" s="26" t="str">
        <x:v>Same saved validation suite passed on buggy and fixed</x:v>
      </x:c>
      <x:c r="G203" s="25" t="str">
        <x:v>true</x:v>
      </x:c>
      <x:c r="H203" s="25" t="str">
        <x:v>NOT_REVEALING</x:v>
      </x:c>
      <x:c r="I203" s="25" t="str">
        <x:v>PASS</x:v>
      </x:c>
      <x:c r="J203" s="25" t="str">
        <x:v>PASS</x:v>
      </x:c>
      <x:c r="K203" s="25" t="n">
        <x:v>2</x:v>
      </x:c>
      <x:c r="L203" s="27" t="b">
        <x:v>0</x:v>
      </x:c>
      <x:c r="M203" s="25" t="str">
        <x:v>Feedback-Directed Random Test Generation/rounds/Round1/state/Closure.json</x:v>
      </x:c>
      <x:c r="N203" s="25" t="str">
        <x:v>Feedback-Directed Random Test Generation/Result/Closure_139/result.json</x:v>
      </x:c>
      <x:c r="O203" s="25" t="str">
        <x:v>Feedback-Directed Random Test Generation/Result/Closure_139/result.json</x:v>
      </x:c>
      <x:c r="P203"/>
      <x:c r="Q203" s="21" t="str"/>
      <x:c r="R203" s="21" t="str"/>
      <x:c r="S203" s="21" t="str"/>
      <x:c r="T203" s="17" t="str">
        <x:v>false</x:v>
      </x:c>
      <x:c r="U203" s="17" t="str">
        <x:v>true</x:v>
      </x:c>
      <x:c r="V203" s="17" t="str">
        <x:v>false</x:v>
      </x:c>
    </x:row>
    <x:row r="204" ht="80" customHeight="1">
      <x:c r="A204" s="25" t="str">
        <x:v>Closure</x:v>
      </x:c>
      <x:c r="B204" s="25" t="n">
        <x:v>140</x:v>
      </x:c>
      <x:c r="C204" s="25" t="str">
        <x:v>Round1</x:v>
      </x:c>
      <x:c r="D204" s="25" t="str">
        <x:v>INCONCLUSIVE</x:v>
      </x:c>
      <x:c r="E204" s="25" t="str">
        <x:v>N/A</x:v>
      </x:c>
      <x:c r="F204" s="26" t="str">
        <x:v>Fixed also failed; assertion failure cannot be attributed to this bug; Assertions failed with measured coverage; paired execution and stage checks determine status</x:v>
      </x:c>
      <x:c r="G204" s="25" t="str">
        <x:v>true</x:v>
      </x:c>
      <x:c r="H204" s="25" t="str">
        <x:v>INCONCLUSIVE</x:v>
      </x:c>
      <x:c r="I204" s="25" t="str">
        <x:v>FAIL</x:v>
      </x:c>
      <x:c r="J204" s="25" t="str">
        <x:v>FAIL</x:v>
      </x:c>
      <x:c r="K204" s="25" t="n">
        <x:v>7</x:v>
      </x:c>
      <x:c r="L204" s="27" t="b">
        <x:v>0</x:v>
      </x:c>
      <x:c r="M204" s="25" t="str">
        <x:v>Feedback-Directed Random Test Generation/rounds/Round1/state/Closure.json</x:v>
      </x:c>
      <x:c r="N204" s="25" t="str">
        <x:v>Feedback-Directed Random Test Generation/Result/Closure_140/result.json</x:v>
      </x:c>
      <x:c r="O204" s="25" t="str">
        <x:v>Feedback-Directed Random Test Generation/Result/Closure_140/result.json</x:v>
      </x:c>
      <x:c r="P204"/>
      <x:c r="Q204" s="21" t="str"/>
      <x:c r="R204" s="21" t="str"/>
      <x:c r="S204" s="21" t="str"/>
      <x:c r="T204" s="17" t="str">
        <x:v>false</x:v>
      </x:c>
      <x:c r="U204" s="17" t="str">
        <x:v>true</x:v>
      </x:c>
      <x:c r="V204" s="17" t="str">
        <x:v>false</x:v>
      </x:c>
    </x:row>
    <x:row r="205" ht="80" customHeight="1">
      <x:c r="A205" s="25" t="str">
        <x:v>Closure</x:v>
      </x:c>
      <x:c r="B205" s="25" t="n">
        <x:v>141</x:v>
      </x:c>
      <x:c r="C205" s="25" t="str">
        <x:v>Round1</x:v>
      </x:c>
      <x:c r="D205" s="25" t="str">
        <x:v>INCONCLUSIVE</x:v>
      </x:c>
      <x:c r="E205" s="25" t="str">
        <x:v>N/A</x:v>
      </x:c>
      <x:c r="F205" s="26" t="str">
        <x:v>Fixed also failed; assertion failure cannot be attributed to this bug; Assertions failed with measured coverage; paired execution and stage checks determine status</x:v>
      </x:c>
      <x:c r="G205" s="25" t="str">
        <x:v>true</x:v>
      </x:c>
      <x:c r="H205" s="25" t="str">
        <x:v>INCONCLUSIVE</x:v>
      </x:c>
      <x:c r="I205" s="25" t="str">
        <x:v>FAIL</x:v>
      </x:c>
      <x:c r="J205" s="25" t="str">
        <x:v>FAIL</x:v>
      </x:c>
      <x:c r="K205" s="25" t="n">
        <x:v>7</x:v>
      </x:c>
      <x:c r="L205" s="27" t="b">
        <x:v>0</x:v>
      </x:c>
      <x:c r="M205" s="25" t="str">
        <x:v>Feedback-Directed Random Test Generation/rounds/Round1/state/Closure.json</x:v>
      </x:c>
      <x:c r="N205" s="25" t="str">
        <x:v>Feedback-Directed Random Test Generation/Result/Closure_141/result.json</x:v>
      </x:c>
      <x:c r="O205" s="25" t="str">
        <x:v>Feedback-Directed Random Test Generation/Result/Closure_141/result.json</x:v>
      </x:c>
      <x:c r="P205"/>
      <x:c r="Q205" s="21" t="str"/>
      <x:c r="R205" s="21" t="str"/>
      <x:c r="S205" s="21" t="str"/>
      <x:c r="T205" s="17" t="str">
        <x:v>false</x:v>
      </x:c>
      <x:c r="U205" s="17" t="str">
        <x:v>true</x:v>
      </x:c>
      <x:c r="V205" s="17" t="str">
        <x:v>false</x:v>
      </x:c>
    </x:row>
    <x:row r="206" ht="80" customHeight="1">
      <x:c r="A206" s="25" t="str">
        <x:v>Closure</x:v>
      </x:c>
      <x:c r="B206" s="25" t="n">
        <x:v>142</x:v>
      </x:c>
      <x:c r="C206" s="25" t="str">
        <x:v>Round1</x:v>
      </x:c>
      <x:c r="D206" s="25" t="str">
        <x:v>NOT_REVEALING</x:v>
      </x:c>
      <x:c r="E206" s="25" t="str">
        <x:v>N/A</x:v>
      </x:c>
      <x:c r="F206" s="26" t="str">
        <x:v>Same saved validation suite passed on buggy and fixed</x:v>
      </x:c>
      <x:c r="G206" s="25" t="str">
        <x:v>true</x:v>
      </x:c>
      <x:c r="H206" s="25" t="str">
        <x:v>NOT_REVEALING</x:v>
      </x:c>
      <x:c r="I206" s="25" t="str">
        <x:v>PASS</x:v>
      </x:c>
      <x:c r="J206" s="25" t="str">
        <x:v>PASS</x:v>
      </x:c>
      <x:c r="K206" s="25" t="n">
        <x:v>6</x:v>
      </x:c>
      <x:c r="L206" s="27" t="b">
        <x:v>0</x:v>
      </x:c>
      <x:c r="M206" s="25" t="str">
        <x:v>Feedback-Directed Random Test Generation/rounds/Round1/state/Closure.json</x:v>
      </x:c>
      <x:c r="N206" s="25" t="str">
        <x:v>Feedback-Directed Random Test Generation/Result/Closure_142/result.json</x:v>
      </x:c>
      <x:c r="O206" s="25" t="str">
        <x:v>Feedback-Directed Random Test Generation/Result/Closure_142/result.json</x:v>
      </x:c>
      <x:c r="P206"/>
      <x:c r="Q206" s="21" t="str"/>
      <x:c r="R206" s="21" t="str"/>
      <x:c r="S206" s="21" t="str"/>
      <x:c r="T206" s="17" t="str">
        <x:v>false</x:v>
      </x:c>
      <x:c r="U206" s="17" t="str">
        <x:v>true</x:v>
      </x:c>
      <x:c r="V206" s="17" t="str">
        <x:v>false</x:v>
      </x:c>
    </x:row>
    <x:row r="207" ht="80" customHeight="1">
      <x:c r="A207" s="25" t="str">
        <x:v>Closure</x:v>
      </x:c>
      <x:c r="B207" s="25" t="n">
        <x:v>143</x:v>
      </x:c>
      <x:c r="C207" s="25" t="str">
        <x:v>Round1</x:v>
      </x:c>
      <x:c r="D207" s="25" t="str">
        <x:v>NOT_REVEALING</x:v>
      </x:c>
      <x:c r="E207" s="25" t="str">
        <x:v>N/A</x:v>
      </x:c>
      <x:c r="F207" s="26" t="str">
        <x:v>Same saved validation suite passed on buggy and fixed</x:v>
      </x:c>
      <x:c r="G207" s="25" t="str">
        <x:v>true</x:v>
      </x:c>
      <x:c r="H207" s="25" t="str">
        <x:v>NOT_REVEALING</x:v>
      </x:c>
      <x:c r="I207" s="25" t="str">
        <x:v>PASS</x:v>
      </x:c>
      <x:c r="J207" s="25" t="str">
        <x:v>PASS</x:v>
      </x:c>
      <x:c r="K207" s="25" t="n">
        <x:v>5</x:v>
      </x:c>
      <x:c r="L207" s="27" t="b">
        <x:v>0</x:v>
      </x:c>
      <x:c r="M207" s="25" t="str">
        <x:v>Feedback-Directed Random Test Generation/rounds/Round1/state/Closure.json</x:v>
      </x:c>
      <x:c r="N207" s="25" t="str">
        <x:v>Feedback-Directed Random Test Generation/Result/Closure_143/result.json</x:v>
      </x:c>
      <x:c r="O207" s="25" t="str">
        <x:v>Feedback-Directed Random Test Generation/Result/Closure_143/result.json</x:v>
      </x:c>
      <x:c r="P207"/>
      <x:c r="Q207" s="21" t="str"/>
      <x:c r="R207" s="21" t="str"/>
      <x:c r="S207" s="21" t="str"/>
      <x:c r="T207" s="17" t="str">
        <x:v>false</x:v>
      </x:c>
      <x:c r="U207" s="17" t="str">
        <x:v>true</x:v>
      </x:c>
      <x:c r="V207" s="17" t="str">
        <x:v>false</x:v>
      </x:c>
    </x:row>
    <x:row r="208" ht="80" customHeight="1">
      <x:c r="A208" s="25" t="str">
        <x:v>Closure</x:v>
      </x:c>
      <x:c r="B208" s="25" t="n">
        <x:v>144</x:v>
      </x:c>
      <x:c r="C208" s="25" t="str">
        <x:v>Round1</x:v>
      </x:c>
      <x:c r="D208" s="25" t="str">
        <x:v>NOT_REVEALING</x:v>
      </x:c>
      <x:c r="E208" s="25" t="str">
        <x:v>N/A</x:v>
      </x:c>
      <x:c r="F208" s="26" t="str">
        <x:v>Same saved validation suite passed on buggy and fixed</x:v>
      </x:c>
      <x:c r="G208" s="25" t="str">
        <x:v>true</x:v>
      </x:c>
      <x:c r="H208" s="25" t="str">
        <x:v>NOT_REVEALING</x:v>
      </x:c>
      <x:c r="I208" s="25" t="str">
        <x:v>PASS</x:v>
      </x:c>
      <x:c r="J208" s="25" t="str">
        <x:v>PASS</x:v>
      </x:c>
      <x:c r="K208" s="25" t="n">
        <x:v>5</x:v>
      </x:c>
      <x:c r="L208" s="27" t="b">
        <x:v>0</x:v>
      </x:c>
      <x:c r="M208" s="25" t="str">
        <x:v>Feedback-Directed Random Test Generation/rounds/Round1/state/Closure.json</x:v>
      </x:c>
      <x:c r="N208" s="25" t="str">
        <x:v>Feedback-Directed Random Test Generation/Result/Closure_144/result.json</x:v>
      </x:c>
      <x:c r="O208" s="25" t="str">
        <x:v>Feedback-Directed Random Test Generation/Result/Closure_144/result.json</x:v>
      </x:c>
      <x:c r="P208"/>
      <x:c r="Q208" s="21" t="str"/>
      <x:c r="R208" s="21" t="str"/>
      <x:c r="S208" s="21" t="str"/>
      <x:c r="T208" s="17" t="str">
        <x:v>false</x:v>
      </x:c>
      <x:c r="U208" s="17" t="str">
        <x:v>true</x:v>
      </x:c>
      <x:c r="V208" s="17" t="str">
        <x:v>false</x:v>
      </x:c>
    </x:row>
    <x:row r="209" ht="80" customHeight="1">
      <x:c r="A209" s="25" t="str">
        <x:v>Closure</x:v>
      </x:c>
      <x:c r="B209" s="25" t="n">
        <x:v>145</x:v>
      </x:c>
      <x:c r="C209" s="25" t="str">
        <x:v>Round1</x:v>
      </x:c>
      <x:c r="D209" s="25" t="str">
        <x:v>NOT_REVEALING</x:v>
      </x:c>
      <x:c r="E209" s="25" t="str">
        <x:v>N/A</x:v>
      </x:c>
      <x:c r="F209" s="26" t="str">
        <x:v>Same saved validation suite passed on buggy and fixed</x:v>
      </x:c>
      <x:c r="G209" s="25" t="str">
        <x:v>true</x:v>
      </x:c>
      <x:c r="H209" s="25" t="str">
        <x:v>NOT_REVEALING</x:v>
      </x:c>
      <x:c r="I209" s="25" t="str">
        <x:v>PASS</x:v>
      </x:c>
      <x:c r="J209" s="25" t="str">
        <x:v>PASS</x:v>
      </x:c>
      <x:c r="K209" s="25" t="n">
        <x:v>7</x:v>
      </x:c>
      <x:c r="L209" s="27" t="b">
        <x:v>0</x:v>
      </x:c>
      <x:c r="M209" s="25" t="str">
        <x:v>Feedback-Directed Random Test Generation/rounds/Round1/state/Closure.json</x:v>
      </x:c>
      <x:c r="N209" s="25" t="str">
        <x:v>Feedback-Directed Random Test Generation/Result/Closure_145/result.json</x:v>
      </x:c>
      <x:c r="O209" s="25" t="str">
        <x:v>Feedback-Directed Random Test Generation/Result/Closure_145/result.json</x:v>
      </x:c>
      <x:c r="P209"/>
      <x:c r="Q209" s="21" t="str"/>
      <x:c r="R209" s="21" t="str"/>
      <x:c r="S209" s="21" t="str"/>
      <x:c r="T209" s="17" t="str">
        <x:v>false</x:v>
      </x:c>
      <x:c r="U209" s="17" t="str">
        <x:v>true</x:v>
      </x:c>
      <x:c r="V209" s="17" t="str">
        <x:v>false</x:v>
      </x:c>
    </x:row>
    <x:row r="210" ht="80" customHeight="1">
      <x:c r="A210" s="25" t="str">
        <x:v>Closure</x:v>
      </x:c>
      <x:c r="B210" s="25" t="n">
        <x:v>146</x:v>
      </x:c>
      <x:c r="C210" s="25" t="str">
        <x:v>Round1</x:v>
      </x:c>
      <x:c r="D210" s="25" t="str">
        <x:v>NOT_REVEALING</x:v>
      </x:c>
      <x:c r="E210" s="25" t="str">
        <x:v>N/A</x:v>
      </x:c>
      <x:c r="F210" s="26" t="str">
        <x:v>Same saved validation suite passed on buggy and fixed</x:v>
      </x:c>
      <x:c r="G210" s="25" t="str">
        <x:v>true</x:v>
      </x:c>
      <x:c r="H210" s="25" t="str">
        <x:v>NOT_REVEALING</x:v>
      </x:c>
      <x:c r="I210" s="25" t="str">
        <x:v>PASS</x:v>
      </x:c>
      <x:c r="J210" s="25" t="str">
        <x:v>PASS</x:v>
      </x:c>
      <x:c r="K210" s="25" t="n">
        <x:v>7</x:v>
      </x:c>
      <x:c r="L210" s="27" t="b">
        <x:v>0</x:v>
      </x:c>
      <x:c r="M210" s="25" t="str">
        <x:v>Feedback-Directed Random Test Generation/rounds/Round1/state/Closure.json</x:v>
      </x:c>
      <x:c r="N210" s="25" t="str">
        <x:v>Feedback-Directed Random Test Generation/Result/Closure_146/result.json</x:v>
      </x:c>
      <x:c r="O210" s="25" t="str">
        <x:v>Feedback-Directed Random Test Generation/Result/Closure_146/result.json</x:v>
      </x:c>
      <x:c r="P210"/>
      <x:c r="Q210" s="21" t="str"/>
      <x:c r="R210" s="21" t="str"/>
      <x:c r="S210" s="21" t="str"/>
      <x:c r="T210" s="17" t="str">
        <x:v>false</x:v>
      </x:c>
      <x:c r="U210" s="17" t="str">
        <x:v>true</x:v>
      </x:c>
      <x:c r="V210" s="17" t="str">
        <x:v>false</x:v>
      </x:c>
    </x:row>
    <x:row r="211" ht="80" customHeight="1">
      <x:c r="A211" s="25" t="str">
        <x:v>Closure</x:v>
      </x:c>
      <x:c r="B211" s="25" t="n">
        <x:v>147</x:v>
      </x:c>
      <x:c r="C211" s="25" t="str">
        <x:v>Round1</x:v>
      </x:c>
      <x:c r="D211" s="25" t="str">
        <x:v>NOT_REVEALING</x:v>
      </x:c>
      <x:c r="E211" s="25" t="str">
        <x:v>N/A</x:v>
      </x:c>
      <x:c r="F211" s="26" t="str">
        <x:v>Same saved validation suite passed on buggy and fixed</x:v>
      </x:c>
      <x:c r="G211" s="25" t="str">
        <x:v>true</x:v>
      </x:c>
      <x:c r="H211" s="25" t="str">
        <x:v>NOT_REVEALING</x:v>
      </x:c>
      <x:c r="I211" s="25" t="str">
        <x:v>PASS</x:v>
      </x:c>
      <x:c r="J211" s="25" t="str">
        <x:v>PASS</x:v>
      </x:c>
      <x:c r="K211" s="25" t="n">
        <x:v>2</x:v>
      </x:c>
      <x:c r="L211" s="27" t="b">
        <x:v>0</x:v>
      </x:c>
      <x:c r="M211" s="25" t="str">
        <x:v>Feedback-Directed Random Test Generation/rounds/Round1/state/Closure.json</x:v>
      </x:c>
      <x:c r="N211" s="25" t="str">
        <x:v>Feedback-Directed Random Test Generation/Result/Closure_147/result.json</x:v>
      </x:c>
      <x:c r="O211" s="25" t="str">
        <x:v>Feedback-Directed Random Test Generation/Result/Closure_147/result.json</x:v>
      </x:c>
      <x:c r="P211"/>
      <x:c r="Q211" s="21" t="str"/>
      <x:c r="R211" s="21" t="str"/>
      <x:c r="S211" s="21" t="str"/>
      <x:c r="T211" s="17" t="str">
        <x:v>false</x:v>
      </x:c>
      <x:c r="U211" s="17" t="str">
        <x:v>true</x:v>
      </x:c>
      <x:c r="V211" s="17" t="str">
        <x:v>false</x:v>
      </x:c>
    </x:row>
    <x:row r="212" ht="80" customHeight="1">
      <x:c r="A212" s="25" t="str">
        <x:v>Closure</x:v>
      </x:c>
      <x:c r="B212" s="25" t="n">
        <x:v>148</x:v>
      </x:c>
      <x:c r="C212" s="25" t="str">
        <x:v>Round1</x:v>
      </x:c>
      <x:c r="D212" s="25" t="str">
        <x:v>NOT_AVAILABLE</x:v>
      </x:c>
      <x:c r="E212" s="25" t="str">
        <x:v>N/A</x:v>
      </x:c>
      <x:c r="F212" s="26" t="str">
        <x:v>fixed test_compile=FAIL</x:v>
      </x:c>
      <x:c r="G212" s="25" t="str">
        <x:v>true</x:v>
      </x:c>
      <x:c r="H212" s="25" t="str">
        <x:v>NOT_AVAILABLE</x:v>
      </x:c>
      <x:c r="I212" s="25" t="str">
        <x:v>PASS</x:v>
      </x:c>
      <x:c r="J212" s="25" t="str">
        <x:v>NOT_RUN</x:v>
      </x:c>
      <x:c r="K212" s="25" t="n">
        <x:v>5</x:v>
      </x:c>
      <x:c r="L212" s="27" t="b">
        <x:v>0</x:v>
      </x:c>
      <x:c r="M212" s="25" t="str">
        <x:v>Feedback-Directed Random Test Generation/rounds/Round1/state/Closure.json</x:v>
      </x:c>
      <x:c r="N212" s="25" t="str">
        <x:v>Feedback-Directed Random Test Generation/Result/Closure_148/result.json</x:v>
      </x:c>
      <x:c r="O212" s="25" t="str">
        <x:v>Feedback-Directed Random Test Generation/Result/Closure_148/result.json</x:v>
      </x:c>
      <x:c r="P212" t="str">
        <x:v>FIXED_NOT_RUN</x:v>
      </x:c>
      <x:c r="Q212" s="21" t="str"/>
      <x:c r="R212" s="21" t="str"/>
      <x:c r="S212" s="21" t="str"/>
      <x:c r="T212" s="17" t="str">
        <x:v>false</x:v>
      </x:c>
      <x:c r="U212" s="17" t="str">
        <x:v>true</x:v>
      </x:c>
      <x:c r="V212" s="17" t="str">
        <x:v>false</x:v>
      </x:c>
    </x:row>
    <x:row r="213" ht="80" customHeight="1">
      <x:c r="A213" s="25" t="str">
        <x:v>Closure</x:v>
      </x:c>
      <x:c r="B213" s="25" t="n">
        <x:v>149</x:v>
      </x:c>
      <x:c r="C213" s="25" t="str">
        <x:v>Round1</x:v>
      </x:c>
      <x:c r="D213" s="25" t="str">
        <x:v>INCONCLUSIVE</x:v>
      </x:c>
      <x:c r="E213" s="25" t="str">
        <x:v>N/A</x:v>
      </x:c>
      <x:c r="F213" s="26" t="str">
        <x:v>Fixed also failed; assertion failure cannot be attributed to this bug; Assertions failed with measured coverage; paired execution and stage checks determine status</x:v>
      </x:c>
      <x:c r="G213" s="25" t="str">
        <x:v>true</x:v>
      </x:c>
      <x:c r="H213" s="25" t="str">
        <x:v>INCONCLUSIVE</x:v>
      </x:c>
      <x:c r="I213" s="25" t="str">
        <x:v>FAIL</x:v>
      </x:c>
      <x:c r="J213" s="25" t="str">
        <x:v>FAIL</x:v>
      </x:c>
      <x:c r="K213" s="25" t="n">
        <x:v>4</x:v>
      </x:c>
      <x:c r="L213" s="27" t="b">
        <x:v>0</x:v>
      </x:c>
      <x:c r="M213" s="25" t="str">
        <x:v>Feedback-Directed Random Test Generation/rounds/Round1/state/Closure.json</x:v>
      </x:c>
      <x:c r="N213" s="25" t="str">
        <x:v>Feedback-Directed Random Test Generation/Result/Closure_149/result.json</x:v>
      </x:c>
      <x:c r="O213" s="25" t="str">
        <x:v>Feedback-Directed Random Test Generation/Result/Closure_149/result.json</x:v>
      </x:c>
      <x:c r="P213"/>
      <x:c r="Q213" s="21" t="str"/>
      <x:c r="R213" s="21" t="str"/>
      <x:c r="S213" s="21" t="str"/>
      <x:c r="T213" s="17" t="str">
        <x:v>false</x:v>
      </x:c>
      <x:c r="U213" s="17" t="str">
        <x:v>true</x:v>
      </x:c>
      <x:c r="V213" s="17" t="str">
        <x:v>false</x:v>
      </x:c>
    </x:row>
    <x:row r="214" ht="80" customHeight="1">
      <x:c r="A214" s="25" t="str">
        <x:v>Closure</x:v>
      </x:c>
      <x:c r="B214" s="25" t="n">
        <x:v>150</x:v>
      </x:c>
      <x:c r="C214" s="25" t="str">
        <x:v>Round1</x:v>
      </x:c>
      <x:c r="D214" s="25" t="str">
        <x:v>NOT_REVEALING</x:v>
      </x:c>
      <x:c r="E214" s="25" t="str">
        <x:v>N/A</x:v>
      </x:c>
      <x:c r="F214" s="26" t="str">
        <x:v>Same saved validation suite passed on buggy and fixed</x:v>
      </x:c>
      <x:c r="G214" s="25" t="str">
        <x:v>true</x:v>
      </x:c>
      <x:c r="H214" s="25" t="str">
        <x:v>NOT_REVEALING</x:v>
      </x:c>
      <x:c r="I214" s="25" t="str">
        <x:v>PASS</x:v>
      </x:c>
      <x:c r="J214" s="25" t="str">
        <x:v>PASS</x:v>
      </x:c>
      <x:c r="K214" s="25" t="n">
        <x:v>2</x:v>
      </x:c>
      <x:c r="L214" s="27" t="b">
        <x:v>0</x:v>
      </x:c>
      <x:c r="M214" s="25" t="str">
        <x:v>Feedback-Directed Random Test Generation/rounds/Round1/state/Closure.json</x:v>
      </x:c>
      <x:c r="N214" s="25" t="str">
        <x:v>Feedback-Directed Random Test Generation/Result/Closure_150/result.json</x:v>
      </x:c>
      <x:c r="O214" s="25" t="str">
        <x:v>Feedback-Directed Random Test Generation/Result/Closure_150/result.json</x:v>
      </x:c>
      <x:c r="P214"/>
      <x:c r="Q214" s="21" t="str"/>
      <x:c r="R214" s="21" t="str"/>
      <x:c r="S214" s="21" t="str"/>
      <x:c r="T214" s="17" t="str">
        <x:v>false</x:v>
      </x:c>
      <x:c r="U214" s="17" t="str">
        <x:v>true</x:v>
      </x:c>
      <x:c r="V214" s="17" t="str">
        <x:v>false</x:v>
      </x:c>
    </x:row>
    <x:row r="215" ht="80" customHeight="1">
      <x:c r="A215" s="25" t="str">
        <x:v>Closure</x:v>
      </x:c>
      <x:c r="B215" s="25" t="n">
        <x:v>151</x:v>
      </x:c>
      <x:c r="C215" s="25" t="str">
        <x:v>Round1</x:v>
      </x:c>
      <x:c r="D215" s="25" t="str">
        <x:v>INCONCLUSIVE</x:v>
      </x:c>
      <x:c r="E215" s="25" t="str">
        <x:v>N/A</x:v>
      </x:c>
      <x:c r="F215" s="26" t="str">
        <x:v>Fixed also failed; assertion failure cannot be attributed to this bug; Assertions failed with measured coverage; paired execution and stage checks determine status</x:v>
      </x:c>
      <x:c r="G215" s="25" t="str">
        <x:v>true</x:v>
      </x:c>
      <x:c r="H215" s="25" t="str">
        <x:v>INCONCLUSIVE</x:v>
      </x:c>
      <x:c r="I215" s="25" t="str">
        <x:v>FAIL</x:v>
      </x:c>
      <x:c r="J215" s="25" t="str">
        <x:v>FAIL</x:v>
      </x:c>
      <x:c r="K215" s="25" t="n">
        <x:v>4</x:v>
      </x:c>
      <x:c r="L215" s="27" t="b">
        <x:v>0</x:v>
      </x:c>
      <x:c r="M215" s="25" t="str">
        <x:v>Feedback-Directed Random Test Generation/rounds/Round1/state/Closure.json</x:v>
      </x:c>
      <x:c r="N215" s="25" t="str">
        <x:v>Feedback-Directed Random Test Generation/Result/Closure_151/result.json</x:v>
      </x:c>
      <x:c r="O215" s="25" t="str">
        <x:v>Feedback-Directed Random Test Generation/Result/Closure_151/result.json</x:v>
      </x:c>
      <x:c r="P215"/>
      <x:c r="Q215" s="21" t="str"/>
      <x:c r="R215" s="21" t="str"/>
      <x:c r="S215" s="21" t="str"/>
      <x:c r="T215" s="17" t="str">
        <x:v>false</x:v>
      </x:c>
      <x:c r="U215" s="17" t="str">
        <x:v>true</x:v>
      </x:c>
      <x:c r="V215" s="17" t="str">
        <x:v>false</x:v>
      </x:c>
    </x:row>
    <x:row r="216" ht="80" customHeight="1">
      <x:c r="A216" s="25" t="str">
        <x:v>Closure</x:v>
      </x:c>
      <x:c r="B216" s="25" t="n">
        <x:v>152</x:v>
      </x:c>
      <x:c r="C216" s="25" t="str">
        <x:v>Round1</x:v>
      </x:c>
      <x:c r="D216" s="25" t="str">
        <x:v>NOT_REVEALING</x:v>
      </x:c>
      <x:c r="E216" s="25" t="str">
        <x:v>N/A</x:v>
      </x:c>
      <x:c r="F216" s="26" t="str">
        <x:v>Same saved validation suite passed on buggy and fixed</x:v>
      </x:c>
      <x:c r="G216" s="25" t="str">
        <x:v>true</x:v>
      </x:c>
      <x:c r="H216" s="25" t="str">
        <x:v>NOT_REVEALING</x:v>
      </x:c>
      <x:c r="I216" s="25" t="str">
        <x:v>PASS</x:v>
      </x:c>
      <x:c r="J216" s="25" t="str">
        <x:v>PASS</x:v>
      </x:c>
      <x:c r="K216" s="25" t="n">
        <x:v>14</x:v>
      </x:c>
      <x:c r="L216" s="27" t="b">
        <x:v>0</x:v>
      </x:c>
      <x:c r="M216" s="25" t="str">
        <x:v>Feedback-Directed Random Test Generation/rounds/Round1/state/Closure.json</x:v>
      </x:c>
      <x:c r="N216" s="25" t="str">
        <x:v>Feedback-Directed Random Test Generation/Result/Closure_152/result.json</x:v>
      </x:c>
      <x:c r="O216" s="25" t="str">
        <x:v>Feedback-Directed Random Test Generation/Result/Closure_152/result.json</x:v>
      </x:c>
      <x:c r="P216"/>
      <x:c r="Q216" s="21" t="str"/>
      <x:c r="R216" s="21" t="str"/>
      <x:c r="S216" s="21" t="str"/>
      <x:c r="T216" s="17" t="str">
        <x:v>false</x:v>
      </x:c>
      <x:c r="U216" s="17" t="str">
        <x:v>true</x:v>
      </x:c>
      <x:c r="V216" s="17" t="str">
        <x:v>false</x:v>
      </x:c>
    </x:row>
    <x:row r="217" ht="80" customHeight="1">
      <x:c r="A217" s="25" t="str">
        <x:v>Closure</x:v>
      </x:c>
      <x:c r="B217" s="25" t="n">
        <x:v>153</x:v>
      </x:c>
      <x:c r="C217" s="25" t="str">
        <x:v>Round1</x:v>
      </x:c>
      <x:c r="D217" s="25" t="str">
        <x:v>NOT_REVEALING</x:v>
      </x:c>
      <x:c r="E217" s="25" t="str">
        <x:v>N/A</x:v>
      </x:c>
      <x:c r="F217" s="26" t="str">
        <x:v>Same saved validation suite passed on buggy and fixed</x:v>
      </x:c>
      <x:c r="G217" s="25" t="str">
        <x:v>true</x:v>
      </x:c>
      <x:c r="H217" s="25" t="str">
        <x:v>NOT_REVEALING</x:v>
      </x:c>
      <x:c r="I217" s="25" t="str">
        <x:v>PASS</x:v>
      </x:c>
      <x:c r="J217" s="25" t="str">
        <x:v>PASS</x:v>
      </x:c>
      <x:c r="K217" s="25" t="n">
        <x:v>2</x:v>
      </x:c>
      <x:c r="L217" s="27" t="b">
        <x:v>0</x:v>
      </x:c>
      <x:c r="M217" s="25" t="str">
        <x:v>Feedback-Directed Random Test Generation/rounds/Round1/state/Closure.json</x:v>
      </x:c>
      <x:c r="N217" s="25" t="str">
        <x:v>Feedback-Directed Random Test Generation/Result/Closure_153/result.json</x:v>
      </x:c>
      <x:c r="O217" s="25" t="str">
        <x:v>Feedback-Directed Random Test Generation/Result/Closure_153/result.json</x:v>
      </x:c>
      <x:c r="P217"/>
      <x:c r="Q217" s="21" t="str"/>
      <x:c r="R217" s="21" t="str"/>
      <x:c r="S217" s="21" t="str"/>
      <x:c r="T217" s="17" t="str">
        <x:v>false</x:v>
      </x:c>
      <x:c r="U217" s="17" t="str">
        <x:v>true</x:v>
      </x:c>
      <x:c r="V217" s="17" t="str">
        <x:v>false</x:v>
      </x:c>
    </x:row>
    <x:row r="218" ht="80" customHeight="1">
      <x:c r="A218" s="25" t="str">
        <x:v>Closure</x:v>
      </x:c>
      <x:c r="B218" s="25" t="n">
        <x:v>154</x:v>
      </x:c>
      <x:c r="C218" s="25" t="str">
        <x:v>Round1</x:v>
      </x:c>
      <x:c r="D218" s="25" t="str">
        <x:v>NOT_AVAILABLE</x:v>
      </x:c>
      <x:c r="E218" s="25" t="str">
        <x:v>N/A</x:v>
      </x:c>
      <x:c r="F218" s="26" t="str">
        <x:v>fixed test_compile=FAIL</x:v>
      </x:c>
      <x:c r="G218" s="25" t="str">
        <x:v>true</x:v>
      </x:c>
      <x:c r="H218" s="25" t="str">
        <x:v>NOT_AVAILABLE</x:v>
      </x:c>
      <x:c r="I218" s="25" t="str">
        <x:v>PASS</x:v>
      </x:c>
      <x:c r="J218" s="25" t="str">
        <x:v>NOT_RUN</x:v>
      </x:c>
      <x:c r="K218" s="25" t="n">
        <x:v>2</x:v>
      </x:c>
      <x:c r="L218" s="27" t="b">
        <x:v>0</x:v>
      </x:c>
      <x:c r="M218" s="25" t="str">
        <x:v>Feedback-Directed Random Test Generation/rounds/Round1/state/Closure.json</x:v>
      </x:c>
      <x:c r="N218" s="25" t="str">
        <x:v>Feedback-Directed Random Test Generation/Result/Closure_154/result.json</x:v>
      </x:c>
      <x:c r="O218" s="25" t="str">
        <x:v>Feedback-Directed Random Test Generation/Result/Closure_154/result.json</x:v>
      </x:c>
      <x:c r="P218" t="str">
        <x:v>FIXED_NOT_RUN</x:v>
      </x:c>
      <x:c r="Q218" s="21" t="str"/>
      <x:c r="R218" s="21" t="str"/>
      <x:c r="S218" s="21" t="str"/>
      <x:c r="T218" s="17" t="str">
        <x:v>false</x:v>
      </x:c>
      <x:c r="U218" s="17" t="str">
        <x:v>true</x:v>
      </x:c>
      <x:c r="V218" s="17" t="str">
        <x:v>false</x:v>
      </x:c>
    </x:row>
    <x:row r="219" ht="80" customHeight="1">
      <x:c r="A219" s="25" t="str">
        <x:v>Closure</x:v>
      </x:c>
      <x:c r="B219" s="25" t="n">
        <x:v>155</x:v>
      </x:c>
      <x:c r="C219" s="25" t="str">
        <x:v>Round1</x:v>
      </x:c>
      <x:c r="D219" s="25" t="str">
        <x:v>INCONCLUSIVE</x:v>
      </x:c>
      <x:c r="E219" s="25" t="str">
        <x:v>N/A</x:v>
      </x:c>
      <x:c r="F219" s="26" t="str">
        <x:v>Fixed also failed; assertion failure cannot be attributed to this bug; Assertions failed with measured coverage; paired execution and stage checks determine status</x:v>
      </x:c>
      <x:c r="G219" s="25" t="str">
        <x:v>true</x:v>
      </x:c>
      <x:c r="H219" s="25" t="str">
        <x:v>INCONCLUSIVE</x:v>
      </x:c>
      <x:c r="I219" s="25" t="str">
        <x:v>FAIL</x:v>
      </x:c>
      <x:c r="J219" s="25" t="str">
        <x:v>FAIL</x:v>
      </x:c>
      <x:c r="K219" s="25" t="n">
        <x:v>4</x:v>
      </x:c>
      <x:c r="L219" s="27" t="b">
        <x:v>0</x:v>
      </x:c>
      <x:c r="M219" s="25" t="str">
        <x:v>Feedback-Directed Random Test Generation/rounds/Round1/state/Closure.json</x:v>
      </x:c>
      <x:c r="N219" s="25" t="str">
        <x:v>Feedback-Directed Random Test Generation/Result/Closure_155/result.json</x:v>
      </x:c>
      <x:c r="O219" s="25" t="str">
        <x:v>Feedback-Directed Random Test Generation/Result/Closure_155/result.json</x:v>
      </x:c>
      <x:c r="P219"/>
      <x:c r="Q219" s="21" t="str"/>
      <x:c r="R219" s="21" t="str"/>
      <x:c r="S219" s="21" t="str"/>
      <x:c r="T219" s="17" t="str">
        <x:v>false</x:v>
      </x:c>
      <x:c r="U219" s="17" t="str">
        <x:v>true</x:v>
      </x:c>
      <x:c r="V219" s="17" t="str">
        <x:v>false</x:v>
      </x:c>
    </x:row>
    <x:row r="220" ht="80" customHeight="1">
      <x:c r="A220" s="25" t="str">
        <x:v>Closure</x:v>
      </x:c>
      <x:c r="B220" s="25" t="n">
        <x:v>156</x:v>
      </x:c>
      <x:c r="C220" s="25" t="str">
        <x:v>Round1</x:v>
      </x:c>
      <x:c r="D220" s="25" t="str">
        <x:v>NOT_REVEALING</x:v>
      </x:c>
      <x:c r="E220" s="25" t="str">
        <x:v>N/A</x:v>
      </x:c>
      <x:c r="F220" s="26" t="str">
        <x:v>Same saved validation suite passed on buggy and fixed</x:v>
      </x:c>
      <x:c r="G220" s="25" t="str">
        <x:v>true</x:v>
      </x:c>
      <x:c r="H220" s="25" t="str">
        <x:v>NOT_REVEALING</x:v>
      </x:c>
      <x:c r="I220" s="25" t="str">
        <x:v>PASS</x:v>
      </x:c>
      <x:c r="J220" s="25" t="str">
        <x:v>PASS</x:v>
      </x:c>
      <x:c r="K220" s="25" t="n">
        <x:v>2</x:v>
      </x:c>
      <x:c r="L220" s="27" t="b">
        <x:v>0</x:v>
      </x:c>
      <x:c r="M220" s="25" t="str">
        <x:v>Feedback-Directed Random Test Generation/rounds/Round1/state/Closure.json</x:v>
      </x:c>
      <x:c r="N220" s="25" t="str">
        <x:v>Feedback-Directed Random Test Generation/Result/Closure_156/result.json</x:v>
      </x:c>
      <x:c r="O220" s="25" t="str">
        <x:v>Feedback-Directed Random Test Generation/Result/Closure_156/result.json</x:v>
      </x:c>
      <x:c r="P220"/>
      <x:c r="Q220" s="21" t="str"/>
      <x:c r="R220" s="21" t="str"/>
      <x:c r="S220" s="21" t="str"/>
      <x:c r="T220" s="17" t="str">
        <x:v>false</x:v>
      </x:c>
      <x:c r="U220" s="17" t="str">
        <x:v>true</x:v>
      </x:c>
      <x:c r="V220" s="17" t="str">
        <x:v>false</x:v>
      </x:c>
    </x:row>
    <x:row r="221" ht="80" customHeight="1">
      <x:c r="A221" s="25" t="str">
        <x:v>Closure</x:v>
      </x:c>
      <x:c r="B221" s="25" t="n">
        <x:v>157</x:v>
      </x:c>
      <x:c r="C221" s="25" t="str">
        <x:v>Round1</x:v>
      </x:c>
      <x:c r="D221" s="25" t="str">
        <x:v>NOT_REVEALING</x:v>
      </x:c>
      <x:c r="E221" s="25" t="str">
        <x:v>N/A</x:v>
      </x:c>
      <x:c r="F221" s="26" t="str">
        <x:v>Same saved validation suite passed on buggy and fixed</x:v>
      </x:c>
      <x:c r="G221" s="25" t="str">
        <x:v>true</x:v>
      </x:c>
      <x:c r="H221" s="25" t="str">
        <x:v>NOT_REVEALING</x:v>
      </x:c>
      <x:c r="I221" s="25" t="str">
        <x:v>PASS</x:v>
      </x:c>
      <x:c r="J221" s="25" t="str">
        <x:v>PASS</x:v>
      </x:c>
      <x:c r="K221" s="25" t="n">
        <x:v>6</x:v>
      </x:c>
      <x:c r="L221" s="27" t="b">
        <x:v>0</x:v>
      </x:c>
      <x:c r="M221" s="25" t="str">
        <x:v>Feedback-Directed Random Test Generation/rounds/Round1/state/Closure.json</x:v>
      </x:c>
      <x:c r="N221" s="25" t="str">
        <x:v>Feedback-Directed Random Test Generation/Result/Closure_157/result.json</x:v>
      </x:c>
      <x:c r="O221" s="25" t="str">
        <x:v>Feedback-Directed Random Test Generation/Result/Closure_157/result.json</x:v>
      </x:c>
      <x:c r="P221"/>
      <x:c r="Q221" s="21" t="str"/>
      <x:c r="R221" s="21" t="str"/>
      <x:c r="S221" s="21" t="str"/>
      <x:c r="T221" s="17" t="str">
        <x:v>false</x:v>
      </x:c>
      <x:c r="U221" s="17" t="str">
        <x:v>true</x:v>
      </x:c>
      <x:c r="V221" s="17" t="str">
        <x:v>false</x:v>
      </x:c>
    </x:row>
    <x:row r="222" ht="80" customHeight="1">
      <x:c r="A222" s="25" t="str">
        <x:v>Closure</x:v>
      </x:c>
      <x:c r="B222" s="25" t="n">
        <x:v>158</x:v>
      </x:c>
      <x:c r="C222" s="25" t="str">
        <x:v>Round1</x:v>
      </x:c>
      <x:c r="D222" s="25" t="str">
        <x:v>NOT_REVEALING</x:v>
      </x:c>
      <x:c r="E222" s="25" t="str">
        <x:v>N/A</x:v>
      </x:c>
      <x:c r="F222" s="26" t="str">
        <x:v>Same saved validation suite passed on buggy and fixed</x:v>
      </x:c>
      <x:c r="G222" s="25" t="str">
        <x:v>true</x:v>
      </x:c>
      <x:c r="H222" s="25" t="str">
        <x:v>NOT_REVEALING</x:v>
      </x:c>
      <x:c r="I222" s="25" t="str">
        <x:v>PASS</x:v>
      </x:c>
      <x:c r="J222" s="25" t="str">
        <x:v>PASS</x:v>
      </x:c>
      <x:c r="K222" s="25" t="n">
        <x:v>2</x:v>
      </x:c>
      <x:c r="L222" s="27" t="b">
        <x:v>0</x:v>
      </x:c>
      <x:c r="M222" s="25" t="str">
        <x:v>Feedback-Directed Random Test Generation/rounds/Round1/state/Closure.json</x:v>
      </x:c>
      <x:c r="N222" s="25" t="str">
        <x:v>Feedback-Directed Random Test Generation/Result/Closure_158/result.json</x:v>
      </x:c>
      <x:c r="O222" s="25" t="str">
        <x:v>Feedback-Directed Random Test Generation/Result/Closure_158/result.json</x:v>
      </x:c>
      <x:c r="P222"/>
      <x:c r="Q222" s="21" t="str"/>
      <x:c r="R222" s="21" t="str"/>
      <x:c r="S222" s="21" t="str"/>
      <x:c r="T222" s="17" t="str">
        <x:v>false</x:v>
      </x:c>
      <x:c r="U222" s="17" t="str">
        <x:v>true</x:v>
      </x:c>
      <x:c r="V222" s="17" t="str">
        <x:v>false</x:v>
      </x:c>
    </x:row>
    <x:row r="223" ht="80" customHeight="1">
      <x:c r="A223" s="25" t="str">
        <x:v>Closure</x:v>
      </x:c>
      <x:c r="B223" s="25" t="n">
        <x:v>159</x:v>
      </x:c>
      <x:c r="C223" s="25" t="str">
        <x:v>Round1</x:v>
      </x:c>
      <x:c r="D223" s="25" t="str">
        <x:v>NOT_REVEALING</x:v>
      </x:c>
      <x:c r="E223" s="25" t="str">
        <x:v>N/A</x:v>
      </x:c>
      <x:c r="F223" s="26" t="str">
        <x:v>Same saved validation suite passed on buggy and fixed</x:v>
      </x:c>
      <x:c r="G223" s="25" t="str">
        <x:v>true</x:v>
      </x:c>
      <x:c r="H223" s="25" t="str">
        <x:v>NOT_REVEALING</x:v>
      </x:c>
      <x:c r="I223" s="25" t="str">
        <x:v>PASS</x:v>
      </x:c>
      <x:c r="J223" s="25" t="str">
        <x:v>PASS</x:v>
      </x:c>
      <x:c r="K223" s="25" t="n">
        <x:v>2</x:v>
      </x:c>
      <x:c r="L223" s="27" t="b">
        <x:v>0</x:v>
      </x:c>
      <x:c r="M223" s="25" t="str">
        <x:v>Feedback-Directed Random Test Generation/rounds/Round1/state/Closure.json</x:v>
      </x:c>
      <x:c r="N223" s="25" t="str">
        <x:v>Feedback-Directed Random Test Generation/Result/Closure_159/result.json</x:v>
      </x:c>
      <x:c r="O223" s="25" t="str">
        <x:v>Feedback-Directed Random Test Generation/Result/Closure_159/result.json</x:v>
      </x:c>
      <x:c r="P223"/>
      <x:c r="Q223" s="21" t="str"/>
      <x:c r="R223" s="21" t="str"/>
      <x:c r="S223" s="21" t="str"/>
      <x:c r="T223" s="17" t="str">
        <x:v>false</x:v>
      </x:c>
      <x:c r="U223" s="17" t="str">
        <x:v>true</x:v>
      </x:c>
      <x:c r="V223" s="17" t="str">
        <x:v>false</x:v>
      </x:c>
    </x:row>
    <x:row r="224" ht="80" customHeight="1">
      <x:c r="A224" s="25" t="str">
        <x:v>Closure</x:v>
      </x:c>
      <x:c r="B224" s="25" t="n">
        <x:v>160</x:v>
      </x:c>
      <x:c r="C224" s="25" t="str">
        <x:v>Round1</x:v>
      </x:c>
      <x:c r="D224" s="25" t="str">
        <x:v>INCONCLUSIVE</x:v>
      </x:c>
      <x:c r="E224" s="25" t="str">
        <x:v>N/A</x:v>
      </x:c>
      <x:c r="F224" s="26" t="str">
        <x:v>Fixed also failed; assertion failure cannot be attributed to this bug; Assertions failed with measured coverage; paired execution and stage checks determine status</x:v>
      </x:c>
      <x:c r="G224" s="25" t="str">
        <x:v>true</x:v>
      </x:c>
      <x:c r="H224" s="25" t="str">
        <x:v>INCONCLUSIVE</x:v>
      </x:c>
      <x:c r="I224" s="25" t="str">
        <x:v>FAIL</x:v>
      </x:c>
      <x:c r="J224" s="25" t="str">
        <x:v>FAIL</x:v>
      </x:c>
      <x:c r="K224" s="25" t="n">
        <x:v>6</x:v>
      </x:c>
      <x:c r="L224" s="27" t="b">
        <x:v>0</x:v>
      </x:c>
      <x:c r="M224" s="25" t="str">
        <x:v>Feedback-Directed Random Test Generation/rounds/Round1/state/Closure.json</x:v>
      </x:c>
      <x:c r="N224" s="25" t="str">
        <x:v>Feedback-Directed Random Test Generation/Result/Closure_160/result.json</x:v>
      </x:c>
      <x:c r="O224" s="25" t="str">
        <x:v>Feedback-Directed Random Test Generation/Result/Closure_160/result.json</x:v>
      </x:c>
      <x:c r="P224"/>
      <x:c r="Q224" s="21" t="str"/>
      <x:c r="R224" s="21" t="str"/>
      <x:c r="S224" s="21" t="str"/>
      <x:c r="T224" s="17" t="str">
        <x:v>false</x:v>
      </x:c>
      <x:c r="U224" s="17" t="str">
        <x:v>true</x:v>
      </x:c>
      <x:c r="V224" s="17" t="str">
        <x:v>false</x:v>
      </x:c>
    </x:row>
    <x:row r="225" ht="80" customHeight="1">
      <x:c r="A225" s="25" t="str">
        <x:v>Closure</x:v>
      </x:c>
      <x:c r="B225" s="25" t="n">
        <x:v>161</x:v>
      </x:c>
      <x:c r="C225" s="25" t="str">
        <x:v>Round1</x:v>
      </x:c>
      <x:c r="D225" s="25" t="str">
        <x:v>NOT_REVEALING</x:v>
      </x:c>
      <x:c r="E225" s="25" t="str">
        <x:v>N/A</x:v>
      </x:c>
      <x:c r="F225" s="26" t="str">
        <x:v>Same saved validation suite passed on buggy and fixed</x:v>
      </x:c>
      <x:c r="G225" s="25" t="str">
        <x:v>true</x:v>
      </x:c>
      <x:c r="H225" s="25" t="str">
        <x:v>NOT_REVEALING</x:v>
      </x:c>
      <x:c r="I225" s="25" t="str">
        <x:v>PASS</x:v>
      </x:c>
      <x:c r="J225" s="25" t="str">
        <x:v>PASS</x:v>
      </x:c>
      <x:c r="K225" s="25" t="n">
        <x:v>2</x:v>
      </x:c>
      <x:c r="L225" s="27" t="b">
        <x:v>0</x:v>
      </x:c>
      <x:c r="M225" s="25" t="str">
        <x:v>Feedback-Directed Random Test Generation/rounds/Round1/state/Closure.json</x:v>
      </x:c>
      <x:c r="N225" s="25" t="str">
        <x:v>Feedback-Directed Random Test Generation/Result/Closure_161/result.json</x:v>
      </x:c>
      <x:c r="O225" s="25" t="str">
        <x:v>Feedback-Directed Random Test Generation/Result/Closure_161/result.json</x:v>
      </x:c>
      <x:c r="P225"/>
      <x:c r="Q225" s="21" t="str"/>
      <x:c r="R225" s="21" t="str"/>
      <x:c r="S225" s="21" t="str"/>
      <x:c r="T225" s="17" t="str">
        <x:v>false</x:v>
      </x:c>
      <x:c r="U225" s="17" t="str">
        <x:v>true</x:v>
      </x:c>
      <x:c r="V225" s="17" t="str">
        <x:v>false</x:v>
      </x:c>
    </x:row>
    <x:row r="226" ht="80" customHeight="1">
      <x:c r="A226" s="25" t="str">
        <x:v>Closure</x:v>
      </x:c>
      <x:c r="B226" s="25" t="n">
        <x:v>162</x:v>
      </x:c>
      <x:c r="C226" s="25" t="str">
        <x:v>Round1</x:v>
      </x:c>
      <x:c r="D226" s="25" t="str">
        <x:v>INCONCLUSIVE</x:v>
      </x:c>
      <x:c r="E226" s="25" t="str">
        <x:v>N/A</x:v>
      </x:c>
      <x:c r="F226" s="26" t="str">
        <x:v>Fixed also failed; assertion failure cannot be attributed to this bug; Assertions failed with measured coverage; paired execution and stage checks determine status</x:v>
      </x:c>
      <x:c r="G226" s="25" t="str">
        <x:v>true</x:v>
      </x:c>
      <x:c r="H226" s="25" t="str">
        <x:v>INCONCLUSIVE</x:v>
      </x:c>
      <x:c r="I226" s="25" t="str">
        <x:v>FAIL</x:v>
      </x:c>
      <x:c r="J226" s="25" t="str">
        <x:v>FAIL</x:v>
      </x:c>
      <x:c r="K226" s="25" t="n">
        <x:v>7</x:v>
      </x:c>
      <x:c r="L226" s="27" t="b">
        <x:v>0</x:v>
      </x:c>
      <x:c r="M226" s="25" t="str">
        <x:v>Feedback-Directed Random Test Generation/rounds/Round1/state/Closure.json</x:v>
      </x:c>
      <x:c r="N226" s="25" t="str">
        <x:v>Feedback-Directed Random Test Generation/Result/Closure_162/result.json</x:v>
      </x:c>
      <x:c r="O226" s="25" t="str">
        <x:v>Feedback-Directed Random Test Generation/Result/Closure_162/result.json</x:v>
      </x:c>
      <x:c r="P226"/>
      <x:c r="Q226" s="21" t="str"/>
      <x:c r="R226" s="21" t="str"/>
      <x:c r="S226" s="21" t="str"/>
      <x:c r="T226" s="17" t="str">
        <x:v>false</x:v>
      </x:c>
      <x:c r="U226" s="17" t="str">
        <x:v>true</x:v>
      </x:c>
      <x:c r="V226" s="17" t="str">
        <x:v>false</x:v>
      </x:c>
    </x:row>
    <x:row r="227" ht="80" customHeight="1">
      <x:c r="A227" s="25" t="str">
        <x:v>Closure</x:v>
      </x:c>
      <x:c r="B227" s="25" t="n">
        <x:v>163</x:v>
      </x:c>
      <x:c r="C227" s="25" t="str">
        <x:v>Round1</x:v>
      </x:c>
      <x:c r="D227" s="25" t="str">
        <x:v>NOT_AVAILABLE</x:v>
      </x:c>
      <x:c r="E227" s="25" t="str">
        <x:v>N/A</x:v>
      </x:c>
      <x:c r="F227" s="26" t="str">
        <x:v>fixed test_compile=FAIL</x:v>
      </x:c>
      <x:c r="G227" s="25" t="str">
        <x:v>true</x:v>
      </x:c>
      <x:c r="H227" s="25" t="str">
        <x:v>NOT_AVAILABLE</x:v>
      </x:c>
      <x:c r="I227" s="25" t="str">
        <x:v>PASS</x:v>
      </x:c>
      <x:c r="J227" s="25" t="str">
        <x:v>NOT_RUN</x:v>
      </x:c>
      <x:c r="K227" s="25" t="n">
        <x:v>4</x:v>
      </x:c>
      <x:c r="L227" s="27" t="b">
        <x:v>0</x:v>
      </x:c>
      <x:c r="M227" s="25" t="str">
        <x:v>Feedback-Directed Random Test Generation/rounds/Round1/state/Closure.json</x:v>
      </x:c>
      <x:c r="N227" s="25" t="str">
        <x:v>Feedback-Directed Random Test Generation/Result/Closure_163/result.json</x:v>
      </x:c>
      <x:c r="O227" s="25" t="str">
        <x:v>Feedback-Directed Random Test Generation/Result/Closure_163/result.json</x:v>
      </x:c>
      <x:c r="P227" t="str">
        <x:v>FIXED_NOT_RUN</x:v>
      </x:c>
      <x:c r="Q227" s="21" t="str"/>
      <x:c r="R227" s="21" t="str"/>
      <x:c r="S227" s="21" t="str"/>
      <x:c r="T227" s="17" t="str">
        <x:v>false</x:v>
      </x:c>
      <x:c r="U227" s="17" t="str">
        <x:v>true</x:v>
      </x:c>
      <x:c r="V227" s="17" t="str">
        <x:v>false</x:v>
      </x:c>
    </x:row>
    <x:row r="228" ht="80" customHeight="1">
      <x:c r="A228" s="25" t="str">
        <x:v>Closure</x:v>
      </x:c>
      <x:c r="B228" s="25" t="n">
        <x:v>164</x:v>
      </x:c>
      <x:c r="C228" s="25" t="str">
        <x:v>Round1</x:v>
      </x:c>
      <x:c r="D228" s="25" t="str">
        <x:v>NOT_REVEALING</x:v>
      </x:c>
      <x:c r="E228" s="25" t="str">
        <x:v>N/A</x:v>
      </x:c>
      <x:c r="F228" s="26" t="str">
        <x:v>Same saved validation suite passed on buggy and fixed</x:v>
      </x:c>
      <x:c r="G228" s="25" t="str">
        <x:v>true</x:v>
      </x:c>
      <x:c r="H228" s="25" t="str">
        <x:v>NOT_REVEALING</x:v>
      </x:c>
      <x:c r="I228" s="25" t="str">
        <x:v>PASS</x:v>
      </x:c>
      <x:c r="J228" s="25" t="str">
        <x:v>PASS</x:v>
      </x:c>
      <x:c r="K228" s="25" t="n">
        <x:v>2</x:v>
      </x:c>
      <x:c r="L228" s="27" t="b">
        <x:v>0</x:v>
      </x:c>
      <x:c r="M228" s="25" t="str">
        <x:v>Feedback-Directed Random Test Generation/rounds/Round1/state/Closure.json</x:v>
      </x:c>
      <x:c r="N228" s="25" t="str">
        <x:v>Feedback-Directed Random Test Generation/Result/Closure_164/result.json</x:v>
      </x:c>
      <x:c r="O228" s="25" t="str">
        <x:v>Feedback-Directed Random Test Generation/Result/Closure_164/result.json</x:v>
      </x:c>
      <x:c r="P228"/>
      <x:c r="Q228" s="21" t="str"/>
      <x:c r="R228" s="21" t="str"/>
      <x:c r="S228" s="21" t="str"/>
      <x:c r="T228" s="17" t="str">
        <x:v>false</x:v>
      </x:c>
      <x:c r="U228" s="17" t="str">
        <x:v>true</x:v>
      </x:c>
      <x:c r="V228" s="17" t="str">
        <x:v>false</x:v>
      </x:c>
    </x:row>
    <x:row r="229" ht="80" customHeight="1">
      <x:c r="A229" s="25" t="str">
        <x:v>Closure</x:v>
      </x:c>
      <x:c r="B229" s="25" t="n">
        <x:v>165</x:v>
      </x:c>
      <x:c r="C229" s="25" t="str">
        <x:v>Round1</x:v>
      </x:c>
      <x:c r="D229" s="25" t="str">
        <x:v>NOT_REVEALING</x:v>
      </x:c>
      <x:c r="E229" s="25" t="str">
        <x:v>N/A</x:v>
      </x:c>
      <x:c r="F229" s="26" t="str">
        <x:v>Same saved validation suite passed on buggy and fixed</x:v>
      </x:c>
      <x:c r="G229" s="25" t="str">
        <x:v>true</x:v>
      </x:c>
      <x:c r="H229" s="25" t="str">
        <x:v>NOT_REVEALING</x:v>
      </x:c>
      <x:c r="I229" s="25" t="str">
        <x:v>PASS</x:v>
      </x:c>
      <x:c r="J229" s="25" t="str">
        <x:v>PASS</x:v>
      </x:c>
      <x:c r="K229" s="25" t="n">
        <x:v>6</x:v>
      </x:c>
      <x:c r="L229" s="27" t="b">
        <x:v>0</x:v>
      </x:c>
      <x:c r="M229" s="25" t="str">
        <x:v>Feedback-Directed Random Test Generation/rounds/Round1/state/Closure.json</x:v>
      </x:c>
      <x:c r="N229" s="25" t="str">
        <x:v>Feedback-Directed Random Test Generation/Result/Closure_165/result.json</x:v>
      </x:c>
      <x:c r="O229" s="25" t="str">
        <x:v>Feedback-Directed Random Test Generation/Result/Closure_165/result.json</x:v>
      </x:c>
      <x:c r="P229"/>
      <x:c r="Q229" s="21" t="str"/>
      <x:c r="R229" s="21" t="str"/>
      <x:c r="S229" s="21" t="str"/>
      <x:c r="T229" s="17" t="str">
        <x:v>false</x:v>
      </x:c>
      <x:c r="U229" s="17" t="str">
        <x:v>true</x:v>
      </x:c>
      <x:c r="V229" s="17" t="str">
        <x:v>false</x:v>
      </x:c>
    </x:row>
    <x:row r="230" ht="80" customHeight="1">
      <x:c r="A230" s="25" t="str">
        <x:v>Closure</x:v>
      </x:c>
      <x:c r="B230" s="25" t="n">
        <x:v>166</x:v>
      </x:c>
      <x:c r="C230" s="25" t="str">
        <x:v>Round1</x:v>
      </x:c>
      <x:c r="D230" s="25" t="str">
        <x:v>NOT_REVEALING</x:v>
      </x:c>
      <x:c r="E230" s="25" t="str">
        <x:v>N/A</x:v>
      </x:c>
      <x:c r="F230" s="26" t="str">
        <x:v>Same saved validation suite passed on buggy and fixed</x:v>
      </x:c>
      <x:c r="G230" s="25" t="str">
        <x:v>true</x:v>
      </x:c>
      <x:c r="H230" s="25" t="str">
        <x:v>NOT_REVEALING</x:v>
      </x:c>
      <x:c r="I230" s="25" t="str">
        <x:v>PASS</x:v>
      </x:c>
      <x:c r="J230" s="25" t="str">
        <x:v>PASS</x:v>
      </x:c>
      <x:c r="K230" s="25" t="n">
        <x:v>9</x:v>
      </x:c>
      <x:c r="L230" s="27" t="b">
        <x:v>0</x:v>
      </x:c>
      <x:c r="M230" s="25" t="str">
        <x:v>Feedback-Directed Random Test Generation/rounds/Round1/state/Closure.json</x:v>
      </x:c>
      <x:c r="N230" s="25" t="str">
        <x:v>Feedback-Directed Random Test Generation/Result/Closure_166/result.json</x:v>
      </x:c>
      <x:c r="O230" s="25" t="str">
        <x:v>Feedback-Directed Random Test Generation/Result/Closure_166/result.json</x:v>
      </x:c>
      <x:c r="P230"/>
      <x:c r="Q230" s="21" t="str"/>
      <x:c r="R230" s="21" t="str"/>
      <x:c r="S230" s="21" t="str"/>
      <x:c r="T230" s="17" t="str">
        <x:v>false</x:v>
      </x:c>
      <x:c r="U230" s="17" t="str">
        <x:v>true</x:v>
      </x:c>
      <x:c r="V230" s="17" t="str">
        <x:v>false</x:v>
      </x:c>
    </x:row>
    <x:row r="231" ht="80" customHeight="1">
      <x:c r="A231" s="25" t="str">
        <x:v>Closure</x:v>
      </x:c>
      <x:c r="B231" s="25" t="n">
        <x:v>167</x:v>
      </x:c>
      <x:c r="C231" s="25" t="str">
        <x:v>Round1</x:v>
      </x:c>
      <x:c r="D231" s="25" t="str">
        <x:v>NOT_REVEALING</x:v>
      </x:c>
      <x:c r="E231" s="25" t="str">
        <x:v>N/A</x:v>
      </x:c>
      <x:c r="F231" s="26" t="str">
        <x:v>Same saved validation suite passed on buggy and fixed</x:v>
      </x:c>
      <x:c r="G231" s="25" t="str">
        <x:v>true</x:v>
      </x:c>
      <x:c r="H231" s="25" t="str">
        <x:v>NOT_REVEALING</x:v>
      </x:c>
      <x:c r="I231" s="25" t="str">
        <x:v>PASS</x:v>
      </x:c>
      <x:c r="J231" s="25" t="str">
        <x:v>PASS</x:v>
      </x:c>
      <x:c r="K231" s="25" t="n">
        <x:v>11</x:v>
      </x:c>
      <x:c r="L231" s="27" t="b">
        <x:v>0</x:v>
      </x:c>
      <x:c r="M231" s="25" t="str">
        <x:v>Feedback-Directed Random Test Generation/rounds/Round1/state/Closure.json</x:v>
      </x:c>
      <x:c r="N231" s="25" t="str">
        <x:v>Feedback-Directed Random Test Generation/Result/Closure_167/result.json</x:v>
      </x:c>
      <x:c r="O231" s="25" t="str">
        <x:v>Feedback-Directed Random Test Generation/Result/Closure_167/result.json</x:v>
      </x:c>
      <x:c r="P231"/>
      <x:c r="Q231" s="21" t="str"/>
      <x:c r="R231" s="21" t="str"/>
      <x:c r="S231" s="21" t="str"/>
      <x:c r="T231" s="17" t="str">
        <x:v>false</x:v>
      </x:c>
      <x:c r="U231" s="17" t="str">
        <x:v>true</x:v>
      </x:c>
      <x:c r="V231" s="17" t="str">
        <x:v>false</x:v>
      </x:c>
    </x:row>
    <x:row r="232" ht="80" customHeight="1">
      <x:c r="A232" s="25" t="str">
        <x:v>Closure</x:v>
      </x:c>
      <x:c r="B232" s="25" t="n">
        <x:v>168</x:v>
      </x:c>
      <x:c r="C232" s="25" t="str">
        <x:v>Round1</x:v>
      </x:c>
      <x:c r="D232" s="25" t="str">
        <x:v>NOT_REVEALING</x:v>
      </x:c>
      <x:c r="E232" s="25" t="str">
        <x:v>N/A</x:v>
      </x:c>
      <x:c r="F232" s="26" t="str">
        <x:v>Same saved validation suite passed on buggy and fixed</x:v>
      </x:c>
      <x:c r="G232" s="25" t="str">
        <x:v>true</x:v>
      </x:c>
      <x:c r="H232" s="25" t="str">
        <x:v>NOT_REVEALING</x:v>
      </x:c>
      <x:c r="I232" s="25" t="str">
        <x:v>PASS</x:v>
      </x:c>
      <x:c r="J232" s="25" t="str">
        <x:v>PASS</x:v>
      </x:c>
      <x:c r="K232" s="25" t="n">
        <x:v>2</x:v>
      </x:c>
      <x:c r="L232" s="27" t="b">
        <x:v>0</x:v>
      </x:c>
      <x:c r="M232" s="25" t="str">
        <x:v>Feedback-Directed Random Test Generation/rounds/Round1/state/Closure.json</x:v>
      </x:c>
      <x:c r="N232" s="25" t="str">
        <x:v>Feedback-Directed Random Test Generation/Result/Closure_168/result.json</x:v>
      </x:c>
      <x:c r="O232" s="25" t="str">
        <x:v>Feedback-Directed Random Test Generation/Result/Closure_168/result.json</x:v>
      </x:c>
      <x:c r="P232"/>
      <x:c r="Q232" s="21" t="str"/>
      <x:c r="R232" s="21" t="str"/>
      <x:c r="S232" s="21" t="str"/>
      <x:c r="T232" s="17" t="str">
        <x:v>false</x:v>
      </x:c>
      <x:c r="U232" s="17" t="str">
        <x:v>true</x:v>
      </x:c>
      <x:c r="V232" s="17" t="str">
        <x:v>false</x:v>
      </x:c>
    </x:row>
    <x:row r="233" ht="80" customHeight="1">
      <x:c r="A233" s="25" t="str">
        <x:v>Closure</x:v>
      </x:c>
      <x:c r="B233" s="25" t="n">
        <x:v>169</x:v>
      </x:c>
      <x:c r="C233" s="25" t="str">
        <x:v>Round1</x:v>
      </x:c>
      <x:c r="D233" s="25" t="str">
        <x:v>NOT_REVEALING</x:v>
      </x:c>
      <x:c r="E233" s="25" t="str">
        <x:v>N/A</x:v>
      </x:c>
      <x:c r="F233" s="26" t="str">
        <x:v>Same saved validation suite passed on buggy and fixed</x:v>
      </x:c>
      <x:c r="G233" s="25" t="str">
        <x:v>true</x:v>
      </x:c>
      <x:c r="H233" s="25" t="str">
        <x:v>NOT_REVEALING</x:v>
      </x:c>
      <x:c r="I233" s="25" t="str">
        <x:v>PASS</x:v>
      </x:c>
      <x:c r="J233" s="25" t="str">
        <x:v>PASS</x:v>
      </x:c>
      <x:c r="K233" s="25" t="n">
        <x:v>2</x:v>
      </x:c>
      <x:c r="L233" s="27" t="b">
        <x:v>0</x:v>
      </x:c>
      <x:c r="M233" s="25" t="str">
        <x:v>Feedback-Directed Random Test Generation/rounds/Round1/state/Closure.json</x:v>
      </x:c>
      <x:c r="N233" s="25" t="str">
        <x:v>Feedback-Directed Random Test Generation/Result/Closure_169/result.json</x:v>
      </x:c>
      <x:c r="O233" s="25" t="str">
        <x:v>Feedback-Directed Random Test Generation/Result/Closure_169/result.json</x:v>
      </x:c>
      <x:c r="P233"/>
      <x:c r="Q233" s="21" t="str"/>
      <x:c r="R233" s="21" t="str"/>
      <x:c r="S233" s="21" t="str"/>
      <x:c r="T233" s="17" t="str">
        <x:v>false</x:v>
      </x:c>
      <x:c r="U233" s="17" t="str">
        <x:v>true</x:v>
      </x:c>
      <x:c r="V233" s="17" t="str">
        <x:v>false</x:v>
      </x:c>
    </x:row>
    <x:row r="234" ht="80" customHeight="1">
      <x:c r="A234" s="25" t="str">
        <x:v>Closure</x:v>
      </x:c>
      <x:c r="B234" s="25" t="n">
        <x:v>170</x:v>
      </x:c>
      <x:c r="C234" s="25" t="str">
        <x:v>Round1</x:v>
      </x:c>
      <x:c r="D234" s="25" t="str">
        <x:v>NOT_REVEALING</x:v>
      </x:c>
      <x:c r="E234" s="25" t="str">
        <x:v>N/A</x:v>
      </x:c>
      <x:c r="F234" s="26" t="str">
        <x:v>Same saved validation suite passed on buggy and fixed</x:v>
      </x:c>
      <x:c r="G234" s="25" t="str">
        <x:v>true</x:v>
      </x:c>
      <x:c r="H234" s="25" t="str">
        <x:v>NOT_REVEALING</x:v>
      </x:c>
      <x:c r="I234" s="25" t="str">
        <x:v>PASS</x:v>
      </x:c>
      <x:c r="J234" s="25" t="str">
        <x:v>PASS</x:v>
      </x:c>
      <x:c r="K234" s="25" t="n">
        <x:v>6</x:v>
      </x:c>
      <x:c r="L234" s="27" t="b">
        <x:v>0</x:v>
      </x:c>
      <x:c r="M234" s="25" t="str">
        <x:v>Feedback-Directed Random Test Generation/rounds/Round1/state/Closure.json</x:v>
      </x:c>
      <x:c r="N234" s="25" t="str">
        <x:v>Feedback-Directed Random Test Generation/Result/Closure_170/result.json</x:v>
      </x:c>
      <x:c r="O234" s="25" t="str">
        <x:v>Feedback-Directed Random Test Generation/Result/Closure_170/result.json</x:v>
      </x:c>
      <x:c r="P234"/>
      <x:c r="Q234" s="21" t="str"/>
      <x:c r="R234" s="21" t="str"/>
      <x:c r="S234" s="21" t="str"/>
      <x:c r="T234" s="17" t="str">
        <x:v>false</x:v>
      </x:c>
      <x:c r="U234" s="17" t="str">
        <x:v>true</x:v>
      </x:c>
      <x:c r="V234" s="17" t="str">
        <x:v>false</x:v>
      </x:c>
    </x:row>
    <x:row r="235" ht="80" customHeight="1">
      <x:c r="A235" s="25" t="str">
        <x:v>Closure</x:v>
      </x:c>
      <x:c r="B235" s="25" t="n">
        <x:v>171</x:v>
      </x:c>
      <x:c r="C235" s="25" t="str">
        <x:v>Round1</x:v>
      </x:c>
      <x:c r="D235" s="25" t="str">
        <x:v>NOT_REVEALING</x:v>
      </x:c>
      <x:c r="E235" s="25" t="str">
        <x:v>N/A</x:v>
      </x:c>
      <x:c r="F235" s="26" t="str">
        <x:v>Same saved validation suite passed on buggy and fixed</x:v>
      </x:c>
      <x:c r="G235" s="25" t="str">
        <x:v>true</x:v>
      </x:c>
      <x:c r="H235" s="25" t="str">
        <x:v>NOT_REVEALING</x:v>
      </x:c>
      <x:c r="I235" s="25" t="str">
        <x:v>PASS</x:v>
      </x:c>
      <x:c r="J235" s="25" t="str">
        <x:v>PASS</x:v>
      </x:c>
      <x:c r="K235" s="25" t="n">
        <x:v>2</x:v>
      </x:c>
      <x:c r="L235" s="27" t="b">
        <x:v>0</x:v>
      </x:c>
      <x:c r="M235" s="25" t="str">
        <x:v>Feedback-Directed Random Test Generation/rounds/Round1/state/Closure.json</x:v>
      </x:c>
      <x:c r="N235" s="25" t="str">
        <x:v>Feedback-Directed Random Test Generation/Result/Closure_171/result.json</x:v>
      </x:c>
      <x:c r="O235" s="25" t="str">
        <x:v>Feedback-Directed Random Test Generation/Result/Closure_171/result.json</x:v>
      </x:c>
      <x:c r="P235"/>
      <x:c r="Q235" s="21" t="str"/>
      <x:c r="R235" s="21" t="str"/>
      <x:c r="S235" s="21" t="str"/>
      <x:c r="T235" s="17" t="str">
        <x:v>false</x:v>
      </x:c>
      <x:c r="U235" s="17" t="str">
        <x:v>true</x:v>
      </x:c>
      <x:c r="V235" s="17" t="str">
        <x:v>false</x:v>
      </x:c>
    </x:row>
    <x:row r="236" ht="80" customHeight="1">
      <x:c r="A236" s="25" t="str">
        <x:v>Closure</x:v>
      </x:c>
      <x:c r="B236" s="25" t="n">
        <x:v>172</x:v>
      </x:c>
      <x:c r="C236" s="25" t="str">
        <x:v>Round1</x:v>
      </x:c>
      <x:c r="D236" s="25" t="str">
        <x:v>NOT_REVEALING</x:v>
      </x:c>
      <x:c r="E236" s="25" t="str">
        <x:v>N/A</x:v>
      </x:c>
      <x:c r="F236" s="26" t="str">
        <x:v>Same saved validation suite passed on buggy and fixed</x:v>
      </x:c>
      <x:c r="G236" s="25" t="str">
        <x:v>true</x:v>
      </x:c>
      <x:c r="H236" s="25" t="str">
        <x:v>NOT_REVEALING</x:v>
      </x:c>
      <x:c r="I236" s="25" t="str">
        <x:v>PASS</x:v>
      </x:c>
      <x:c r="J236" s="25" t="str">
        <x:v>PASS</x:v>
      </x:c>
      <x:c r="K236" s="25" t="n">
        <x:v>2</x:v>
      </x:c>
      <x:c r="L236" s="27" t="b">
        <x:v>0</x:v>
      </x:c>
      <x:c r="M236" s="25" t="str">
        <x:v>Feedback-Directed Random Test Generation/rounds/Round1/state/Closure.json</x:v>
      </x:c>
      <x:c r="N236" s="25" t="str">
        <x:v>Feedback-Directed Random Test Generation/Result/Closure_172/result.json</x:v>
      </x:c>
      <x:c r="O236" s="25" t="str">
        <x:v>Feedback-Directed Random Test Generation/Result/Closure_172/result.json</x:v>
      </x:c>
      <x:c r="P236"/>
      <x:c r="Q236" s="21" t="str"/>
      <x:c r="R236" s="21" t="str"/>
      <x:c r="S236" s="21" t="str"/>
      <x:c r="T236" s="17" t="str">
        <x:v>false</x:v>
      </x:c>
      <x:c r="U236" s="17" t="str">
        <x:v>true</x:v>
      </x:c>
      <x:c r="V236" s="17" t="str">
        <x:v>false</x:v>
      </x:c>
    </x:row>
    <x:row r="237" ht="80" customHeight="1">
      <x:c r="A237" s="25" t="str">
        <x:v>Closure</x:v>
      </x:c>
      <x:c r="B237" s="25" t="n">
        <x:v>173</x:v>
      </x:c>
      <x:c r="C237" s="25" t="str">
        <x:v>Round1</x:v>
      </x:c>
      <x:c r="D237" s="25" t="str">
        <x:v>NOT_REVEALING</x:v>
      </x:c>
      <x:c r="E237" s="25" t="str">
        <x:v>N/A</x:v>
      </x:c>
      <x:c r="F237" s="26" t="str">
        <x:v>Same saved validation suite passed on buggy and fixed</x:v>
      </x:c>
      <x:c r="G237" s="25" t="str">
        <x:v>true</x:v>
      </x:c>
      <x:c r="H237" s="25" t="str">
        <x:v>NOT_REVEALING</x:v>
      </x:c>
      <x:c r="I237" s="25" t="str">
        <x:v>PASS</x:v>
      </x:c>
      <x:c r="J237" s="25" t="str">
        <x:v>PASS</x:v>
      </x:c>
      <x:c r="K237" s="25" t="n">
        <x:v>6</x:v>
      </x:c>
      <x:c r="L237" s="27" t="b">
        <x:v>0</x:v>
      </x:c>
      <x:c r="M237" s="25" t="str">
        <x:v>Feedback-Directed Random Test Generation/rounds/Round1/state/Closure.json</x:v>
      </x:c>
      <x:c r="N237" s="25" t="str">
        <x:v>Feedback-Directed Random Test Generation/Result/Closure_173/result.json</x:v>
      </x:c>
      <x:c r="O237" s="25" t="str">
        <x:v>Feedback-Directed Random Test Generation/Result/Closure_173/result.json</x:v>
      </x:c>
      <x:c r="P237"/>
      <x:c r="Q237" s="21" t="str"/>
      <x:c r="R237" s="21" t="str"/>
      <x:c r="S237" s="21" t="str"/>
      <x:c r="T237" s="17" t="str">
        <x:v>false</x:v>
      </x:c>
      <x:c r="U237" s="17" t="str">
        <x:v>true</x:v>
      </x:c>
      <x:c r="V237" s="17" t="str">
        <x:v>false</x:v>
      </x:c>
    </x:row>
    <x:row r="238" ht="80" customHeight="1">
      <x:c r="A238" s="25" t="str">
        <x:v>Closure</x:v>
      </x:c>
      <x:c r="B238" s="25" t="n">
        <x:v>174</x:v>
      </x:c>
      <x:c r="C238" s="25" t="str">
        <x:v>Round1</x:v>
      </x:c>
      <x:c r="D238" s="25" t="str">
        <x:v>INCONCLUSIVE</x:v>
      </x:c>
      <x:c r="E238" s="25" t="str">
        <x:v>N/A</x:v>
      </x:c>
      <x:c r="F238" s="26" t="str">
        <x:v>Fixed also failed; assertion failure cannot be attributed to this bug; Assertions failed with measured coverage; paired execution and stage checks determine status</x:v>
      </x:c>
      <x:c r="G238" s="25" t="str">
        <x:v>true</x:v>
      </x:c>
      <x:c r="H238" s="25" t="str">
        <x:v>INCONCLUSIVE</x:v>
      </x:c>
      <x:c r="I238" s="25" t="str">
        <x:v>FAIL</x:v>
      </x:c>
      <x:c r="J238" s="25" t="str">
        <x:v>FAIL</x:v>
      </x:c>
      <x:c r="K238" s="25" t="n">
        <x:v>7</x:v>
      </x:c>
      <x:c r="L238" s="27" t="b">
        <x:v>0</x:v>
      </x:c>
      <x:c r="M238" s="25" t="str">
        <x:v>Feedback-Directed Random Test Generation/rounds/Round1/state/Closure.json</x:v>
      </x:c>
      <x:c r="N238" s="25" t="str">
        <x:v>Feedback-Directed Random Test Generation/Result/Closure_174/result.json</x:v>
      </x:c>
      <x:c r="O238" s="25" t="str">
        <x:v>Feedback-Directed Random Test Generation/Result/Closure_174/result.json</x:v>
      </x:c>
      <x:c r="P238"/>
      <x:c r="Q238" s="21" t="str"/>
      <x:c r="R238" s="21" t="str"/>
      <x:c r="S238" s="21" t="str"/>
      <x:c r="T238" s="17" t="str">
        <x:v>false</x:v>
      </x:c>
      <x:c r="U238" s="17" t="str">
        <x:v>true</x:v>
      </x:c>
      <x:c r="V238" s="17" t="str">
        <x:v>false</x:v>
      </x:c>
    </x:row>
    <x:row r="239" ht="80" customHeight="1">
      <x:c r="A239" s="25" t="str">
        <x:v>Closure</x:v>
      </x:c>
      <x:c r="B239" s="25" t="n">
        <x:v>175</x:v>
      </x:c>
      <x:c r="C239" s="25" t="str">
        <x:v>Round1</x:v>
      </x:c>
      <x:c r="D239" s="25" t="str">
        <x:v>NOT_REVEALING</x:v>
      </x:c>
      <x:c r="E239" s="25" t="str">
        <x:v>N/A</x:v>
      </x:c>
      <x:c r="F239" s="26" t="str">
        <x:v>Same saved validation suite passed on buggy and fixed</x:v>
      </x:c>
      <x:c r="G239" s="25" t="str">
        <x:v>true</x:v>
      </x:c>
      <x:c r="H239" s="25" t="str">
        <x:v>NOT_REVEALING</x:v>
      </x:c>
      <x:c r="I239" s="25" t="str">
        <x:v>PASS</x:v>
      </x:c>
      <x:c r="J239" s="25" t="str">
        <x:v>PASS</x:v>
      </x:c>
      <x:c r="K239" s="25" t="n">
        <x:v>2</x:v>
      </x:c>
      <x:c r="L239" s="27" t="b">
        <x:v>0</x:v>
      </x:c>
      <x:c r="M239" s="25" t="str">
        <x:v>Feedback-Directed Random Test Generation/rounds/Round1/state/Closure.json</x:v>
      </x:c>
      <x:c r="N239" s="25" t="str">
        <x:v>Feedback-Directed Random Test Generation/Result/Closure_175/result.json</x:v>
      </x:c>
      <x:c r="O239" s="25" t="str">
        <x:v>Feedback-Directed Random Test Generation/Result/Closure_175/result.json</x:v>
      </x:c>
      <x:c r="P239"/>
      <x:c r="Q239" s="21" t="str"/>
      <x:c r="R239" s="21" t="str"/>
      <x:c r="S239" s="21" t="str"/>
      <x:c r="T239" s="17" t="str">
        <x:v>false</x:v>
      </x:c>
      <x:c r="U239" s="17" t="str">
        <x:v>true</x:v>
      </x:c>
      <x:c r="V239" s="17" t="str">
        <x:v>false</x:v>
      </x:c>
    </x:row>
    <x:row r="240" ht="80" customHeight="1">
      <x:c r="A240" s="25" t="str">
        <x:v>Closure</x:v>
      </x:c>
      <x:c r="B240" s="25" t="n">
        <x:v>176</x:v>
      </x:c>
      <x:c r="C240" s="25" t="str">
        <x:v>Round1</x:v>
      </x:c>
      <x:c r="D240" s="25" t="str">
        <x:v>NOT_REVEALING</x:v>
      </x:c>
      <x:c r="E240" s="25" t="str">
        <x:v>N/A</x:v>
      </x:c>
      <x:c r="F240" s="26" t="str">
        <x:v>Same saved validation suite passed on buggy and fixed</x:v>
      </x:c>
      <x:c r="G240" s="25" t="str">
        <x:v>true</x:v>
      </x:c>
      <x:c r="H240" s="25" t="str">
        <x:v>NOT_REVEALING</x:v>
      </x:c>
      <x:c r="I240" s="25" t="str">
        <x:v>PASS</x:v>
      </x:c>
      <x:c r="J240" s="25" t="str">
        <x:v>PASS</x:v>
      </x:c>
      <x:c r="K240" s="25" t="n">
        <x:v>2</x:v>
      </x:c>
      <x:c r="L240" s="27" t="b">
        <x:v>0</x:v>
      </x:c>
      <x:c r="M240" s="25" t="str">
        <x:v>Feedback-Directed Random Test Generation/rounds/Round1/state/Closure.json</x:v>
      </x:c>
      <x:c r="N240" s="25" t="str">
        <x:v>Feedback-Directed Random Test Generation/Result/Closure_176/result.json</x:v>
      </x:c>
      <x:c r="O240" s="25" t="str">
        <x:v>Feedback-Directed Random Test Generation/Result/Closure_176/result.json</x:v>
      </x:c>
      <x:c r="P240"/>
      <x:c r="Q240" s="21" t="str"/>
      <x:c r="R240" s="21" t="str"/>
      <x:c r="S240" s="21" t="str"/>
      <x:c r="T240" s="17" t="str">
        <x:v>false</x:v>
      </x:c>
      <x:c r="U240" s="17" t="str">
        <x:v>true</x:v>
      </x:c>
      <x:c r="V240" s="17" t="str">
        <x:v>false</x:v>
      </x:c>
    </x:row>
    <x:row r="241" ht="80" customHeight="1">
      <x:c r="A241" s="25" t="str">
        <x:v>Codec</x:v>
      </x:c>
      <x:c r="B241" s="25" t="n">
        <x:v>1</x:v>
      </x:c>
      <x:c r="C241" s="25" t="str">
        <x:v>Round1</x:v>
      </x:c>
      <x:c r="D241" s="25" t="str">
        <x:v>INCONCLUSIVE</x:v>
      </x:c>
      <x:c r="E241" s="25" t="str">
        <x:v>N/A</x:v>
      </x:c>
      <x:c r="F241" s="26" t="str">
        <x:v>Fixed also failed; assertion failure cannot be attributed to this bug; Assertions failed with measured coverage; paired execution and stage checks determine status</x:v>
      </x:c>
      <x:c r="G241" s="25" t="str">
        <x:v>true</x:v>
      </x:c>
      <x:c r="H241" s="25" t="str">
        <x:v>INCONCLUSIVE</x:v>
      </x:c>
      <x:c r="I241" s="25" t="str">
        <x:v>FAIL</x:v>
      </x:c>
      <x:c r="J241" s="25" t="str">
        <x:v>FAIL</x:v>
      </x:c>
      <x:c r="K241" s="25" t="n">
        <x:v>4</x:v>
      </x:c>
      <x:c r="L241" s="27" t="b">
        <x:v>0</x:v>
      </x:c>
      <x:c r="M241" s="25" t="str">
        <x:v>Feedback-Directed Random Test Generation/rounds/Round1/state/Codec.json</x:v>
      </x:c>
      <x:c r="N241" s="25" t="str">
        <x:v>Feedback-Directed Random Test Generation/Result/Codec_1/result.json</x:v>
      </x:c>
      <x:c r="O241" s="25" t="str">
        <x:v>Feedback-Directed Random Test Generation/Result/Codec_1/result.json</x:v>
      </x:c>
      <x:c r="P241"/>
      <x:c r="Q241" s="21" t="str"/>
      <x:c r="R241" s="21" t="str"/>
      <x:c r="S241" s="21" t="str"/>
      <x:c r="T241" s="17" t="str">
        <x:v>false</x:v>
      </x:c>
      <x:c r="U241" s="17" t="str">
        <x:v>true</x:v>
      </x:c>
      <x:c r="V241" s="17" t="str">
        <x:v>false</x:v>
      </x:c>
    </x:row>
    <x:row r="242" ht="80" customHeight="1">
      <x:c r="A242" s="25" t="str">
        <x:v>Codec</x:v>
      </x:c>
      <x:c r="B242" s="25" t="n">
        <x:v>2</x:v>
      </x:c>
      <x:c r="C242" s="25" t="str">
        <x:v>Round1</x:v>
      </x:c>
      <x:c r="D242" s="25" t="str">
        <x:v>NOT_REVEALING</x:v>
      </x:c>
      <x:c r="E242" s="25" t="str">
        <x:v>N/A</x:v>
      </x:c>
      <x:c r="F242" s="26" t="str">
        <x:v>Same saved validation suite passed on buggy and fixed</x:v>
      </x:c>
      <x:c r="G242" s="25" t="str">
        <x:v>true</x:v>
      </x:c>
      <x:c r="H242" s="25" t="str">
        <x:v>NOT_REVEALING</x:v>
      </x:c>
      <x:c r="I242" s="25" t="str">
        <x:v>PASS</x:v>
      </x:c>
      <x:c r="J242" s="25" t="str">
        <x:v>PASS</x:v>
      </x:c>
      <x:c r="K242" s="25" t="n">
        <x:v>2</x:v>
      </x:c>
      <x:c r="L242" s="27" t="b">
        <x:v>0</x:v>
      </x:c>
      <x:c r="M242" s="25" t="str">
        <x:v>Feedback-Directed Random Test Generation/rounds/Round1/state/Codec.json</x:v>
      </x:c>
      <x:c r="N242" s="25" t="str">
        <x:v>Feedback-Directed Random Test Generation/Result/Codec_2/result.json</x:v>
      </x:c>
      <x:c r="O242" s="25" t="str">
        <x:v>Feedback-Directed Random Test Generation/Result/Codec_2/result.json</x:v>
      </x:c>
      <x:c r="P242"/>
      <x:c r="Q242" s="21" t="str"/>
      <x:c r="R242" s="21" t="str"/>
      <x:c r="S242" s="21" t="str"/>
      <x:c r="T242" s="17" t="str">
        <x:v>false</x:v>
      </x:c>
      <x:c r="U242" s="17" t="str">
        <x:v>true</x:v>
      </x:c>
      <x:c r="V242" s="17" t="str">
        <x:v>false</x:v>
      </x:c>
    </x:row>
    <x:row r="243" ht="80" customHeight="1">
      <x:c r="A243" s="25" t="str">
        <x:v>Codec</x:v>
      </x:c>
      <x:c r="B243" s="25" t="n">
        <x:v>3</x:v>
      </x:c>
      <x:c r="C243" s="25" t="str">
        <x:v>Round1</x:v>
      </x:c>
      <x:c r="D243" s="25" t="str">
        <x:v>INCONCLUSIVE</x:v>
      </x:c>
      <x:c r="E243" s="25" t="str">
        <x:v>N/A</x:v>
      </x:c>
      <x:c r="F243" s="26" t="str">
        <x:v>Fixed also failed; assertion failure cannot be attributed to this bug; Assertions failed with measured coverage; paired execution and stage checks determine status</x:v>
      </x:c>
      <x:c r="G243" s="25" t="str">
        <x:v>true</x:v>
      </x:c>
      <x:c r="H243" s="25" t="str">
        <x:v>INCONCLUSIVE</x:v>
      </x:c>
      <x:c r="I243" s="25" t="str">
        <x:v>FAIL</x:v>
      </x:c>
      <x:c r="J243" s="25" t="str">
        <x:v>FAIL</x:v>
      </x:c>
      <x:c r="K243" s="25" t="n">
        <x:v>4</x:v>
      </x:c>
      <x:c r="L243" s="27" t="b">
        <x:v>0</x:v>
      </x:c>
      <x:c r="M243" s="25" t="str">
        <x:v>Feedback-Directed Random Test Generation/rounds/Round1/state/Codec.json</x:v>
      </x:c>
      <x:c r="N243" s="25" t="str">
        <x:v>Feedback-Directed Random Test Generation/Result/Codec_3/result.json</x:v>
      </x:c>
      <x:c r="O243" s="25" t="str">
        <x:v>Feedback-Directed Random Test Generation/Result/Codec_3/result.json</x:v>
      </x:c>
      <x:c r="P243"/>
      <x:c r="Q243" s="21" t="str"/>
      <x:c r="R243" s="21" t="str"/>
      <x:c r="S243" s="21" t="str"/>
      <x:c r="T243" s="17" t="str">
        <x:v>false</x:v>
      </x:c>
      <x:c r="U243" s="17" t="str">
        <x:v>true</x:v>
      </x:c>
      <x:c r="V243" s="17" t="str">
        <x:v>false</x:v>
      </x:c>
    </x:row>
    <x:row r="244" ht="80" customHeight="1">
      <x:c r="A244" s="25" t="str">
        <x:v>Codec</x:v>
      </x:c>
      <x:c r="B244" s="25" t="n">
        <x:v>4</x:v>
      </x:c>
      <x:c r="C244" s="25" t="str">
        <x:v>Round1</x:v>
      </x:c>
      <x:c r="D244" s="25" t="str">
        <x:v>INCONCLUSIVE</x:v>
      </x:c>
      <x:c r="E244" s="25" t="str">
        <x:v>N/A</x:v>
      </x:c>
      <x:c r="F244" s="26" t="str">
        <x:v>Fixed also failed; assertion failure cannot be attributed to this bug</x:v>
      </x:c>
      <x:c r="G244" s="25" t="str">
        <x:v>true</x:v>
      </x:c>
      <x:c r="H244" s="25" t="str">
        <x:v>INCONCLUSIVE</x:v>
      </x:c>
      <x:c r="I244" s="25" t="str">
        <x:v>PASS</x:v>
      </x:c>
      <x:c r="J244" s="25" t="str">
        <x:v>FAIL</x:v>
      </x:c>
      <x:c r="K244" s="25" t="n">
        <x:v>2</x:v>
      </x:c>
      <x:c r="L244" s="27" t="b">
        <x:v>0</x:v>
      </x:c>
      <x:c r="M244" s="25" t="str">
        <x:v>Feedback-Directed Random Test Generation/rounds/Round1/state/Codec.json</x:v>
      </x:c>
      <x:c r="N244" s="25" t="str">
        <x:v>Feedback-Directed Random Test Generation/Result/Codec_4/result.json</x:v>
      </x:c>
      <x:c r="O244" s="25" t="str">
        <x:v>Feedback-Directed Random Test Generation/Result/Codec_4/result.json</x:v>
      </x:c>
      <x:c r="P244"/>
      <x:c r="Q244" s="21" t="str"/>
      <x:c r="R244" s="21" t="str"/>
      <x:c r="S244" s="21" t="str"/>
      <x:c r="T244" s="17" t="str">
        <x:v>false</x:v>
      </x:c>
      <x:c r="U244" s="17" t="str">
        <x:v>true</x:v>
      </x:c>
      <x:c r="V244" s="17" t="str">
        <x:v>false</x:v>
      </x:c>
    </x:row>
    <x:row r="245" ht="80" customHeight="1">
      <x:c r="A245" s="25" t="str">
        <x:v>Codec</x:v>
      </x:c>
      <x:c r="B245" s="25" t="n">
        <x:v>5</x:v>
      </x:c>
      <x:c r="C245" s="25" t="str">
        <x:v>Round1</x:v>
      </x:c>
      <x:c r="D245" s="25" t="str">
        <x:v>NOT_REVEALING</x:v>
      </x:c>
      <x:c r="E245" s="25" t="str">
        <x:v>N/A</x:v>
      </x:c>
      <x:c r="F245" s="26" t="str">
        <x:v>Same saved validation suite passed on buggy and fixed</x:v>
      </x:c>
      <x:c r="G245" s="25" t="str">
        <x:v>true</x:v>
      </x:c>
      <x:c r="H245" s="25" t="str">
        <x:v>NOT_REVEALING</x:v>
      </x:c>
      <x:c r="I245" s="25" t="str">
        <x:v>PASS</x:v>
      </x:c>
      <x:c r="J245" s="25" t="str">
        <x:v>PASS</x:v>
      </x:c>
      <x:c r="K245" s="25" t="n">
        <x:v>2</x:v>
      </x:c>
      <x:c r="L245" s="27" t="b">
        <x:v>0</x:v>
      </x:c>
      <x:c r="M245" s="25" t="str">
        <x:v>Feedback-Directed Random Test Generation/rounds/Round1/state/Codec.json</x:v>
      </x:c>
      <x:c r="N245" s="25" t="str">
        <x:v>Feedback-Directed Random Test Generation/Result/Codec_5/result.json</x:v>
      </x:c>
      <x:c r="O245" s="25" t="str">
        <x:v>Feedback-Directed Random Test Generation/Result/Codec_5/result.json</x:v>
      </x:c>
      <x:c r="P245"/>
      <x:c r="Q245" s="21" t="str"/>
      <x:c r="R245" s="21" t="str"/>
      <x:c r="S245" s="21" t="str"/>
      <x:c r="T245" s="17" t="str">
        <x:v>false</x:v>
      </x:c>
      <x:c r="U245" s="17" t="str">
        <x:v>true</x:v>
      </x:c>
      <x:c r="V245" s="17" t="str">
        <x:v>false</x:v>
      </x:c>
    </x:row>
    <x:row r="246" ht="80" customHeight="1">
      <x:c r="A246" s="25" t="str">
        <x:v>Codec</x:v>
      </x:c>
      <x:c r="B246" s="25" t="n">
        <x:v>6</x:v>
      </x:c>
      <x:c r="C246" s="25" t="str">
        <x:v>Round1</x:v>
      </x:c>
      <x:c r="D246" s="25" t="str">
        <x:v>NOT_REVEALING</x:v>
      </x:c>
      <x:c r="E246" s="25" t="str">
        <x:v>N/A</x:v>
      </x:c>
      <x:c r="F246" s="26" t="str">
        <x:v>Same saved validation suite passed on buggy and fixed</x:v>
      </x:c>
      <x:c r="G246" s="25" t="str">
        <x:v>true</x:v>
      </x:c>
      <x:c r="H246" s="25" t="str">
        <x:v>NOT_REVEALING</x:v>
      </x:c>
      <x:c r="I246" s="25" t="str">
        <x:v>PASS</x:v>
      </x:c>
      <x:c r="J246" s="25" t="str">
        <x:v>PASS</x:v>
      </x:c>
      <x:c r="K246" s="25" t="n">
        <x:v>2</x:v>
      </x:c>
      <x:c r="L246" s="27" t="b">
        <x:v>0</x:v>
      </x:c>
      <x:c r="M246" s="25" t="str">
        <x:v>Feedback-Directed Random Test Generation/rounds/Round1/state/Codec.json</x:v>
      </x:c>
      <x:c r="N246" s="25" t="str">
        <x:v>Feedback-Directed Random Test Generation/Result/Codec_6/result.json</x:v>
      </x:c>
      <x:c r="O246" s="25" t="str">
        <x:v>Feedback-Directed Random Test Generation/Result/Codec_6/result.json</x:v>
      </x:c>
      <x:c r="P246"/>
      <x:c r="Q246" s="21" t="str"/>
      <x:c r="R246" s="21" t="str"/>
      <x:c r="S246" s="21" t="str"/>
      <x:c r="T246" s="17" t="str">
        <x:v>false</x:v>
      </x:c>
      <x:c r="U246" s="17" t="str">
        <x:v>true</x:v>
      </x:c>
      <x:c r="V246" s="17" t="str">
        <x:v>false</x:v>
      </x:c>
    </x:row>
    <x:row r="247" ht="80" customHeight="1">
      <x:c r="A247" s="25" t="str">
        <x:v>Codec</x:v>
      </x:c>
      <x:c r="B247" s="25" t="n">
        <x:v>7</x:v>
      </x:c>
      <x:c r="C247" s="25" t="str">
        <x:v>Round1</x:v>
      </x:c>
      <x:c r="D247" s="25" t="str">
        <x:v>INCONCLUSIVE</x:v>
      </x:c>
      <x:c r="E247" s="25" t="str">
        <x:v>N/A</x:v>
      </x:c>
      <x:c r="F247" s="26" t="str">
        <x:v>Fixed also failed; assertion failure cannot be attributed to this bug</x:v>
      </x:c>
      <x:c r="G247" s="25" t="str">
        <x:v>true</x:v>
      </x:c>
      <x:c r="H247" s="25" t="str">
        <x:v>INCONCLUSIVE</x:v>
      </x:c>
      <x:c r="I247" s="25" t="str">
        <x:v>PASS</x:v>
      </x:c>
      <x:c r="J247" s="25" t="str">
        <x:v>FAIL</x:v>
      </x:c>
      <x:c r="K247" s="25" t="n">
        <x:v>2</x:v>
      </x:c>
      <x:c r="L247" s="27" t="b">
        <x:v>0</x:v>
      </x:c>
      <x:c r="M247" s="25" t="str">
        <x:v>Feedback-Directed Random Test Generation/rounds/Round1/state/Codec.json</x:v>
      </x:c>
      <x:c r="N247" s="25" t="str">
        <x:v>Feedback-Directed Random Test Generation/Result/Codec_7/result.json</x:v>
      </x:c>
      <x:c r="O247" s="25" t="str">
        <x:v>Feedback-Directed Random Test Generation/Result/Codec_7/result.json</x:v>
      </x:c>
      <x:c r="P247"/>
      <x:c r="Q247" s="21" t="str"/>
      <x:c r="R247" s="21" t="str"/>
      <x:c r="S247" s="21" t="str"/>
      <x:c r="T247" s="17" t="str">
        <x:v>false</x:v>
      </x:c>
      <x:c r="U247" s="17" t="str">
        <x:v>true</x:v>
      </x:c>
      <x:c r="V247" s="17" t="str">
        <x:v>false</x:v>
      </x:c>
    </x:row>
    <x:row r="248" ht="80" customHeight="1">
      <x:c r="A248" s="25" t="str">
        <x:v>Codec</x:v>
      </x:c>
      <x:c r="B248" s="25" t="n">
        <x:v>8</x:v>
      </x:c>
      <x:c r="C248" s="25" t="str">
        <x:v>Round1</x:v>
      </x:c>
      <x:c r="D248" s="25" t="str">
        <x:v>NOT_AVAILABLE</x:v>
      </x:c>
      <x:c r="E248" s="25" t="str">
        <x:v>N/A</x:v>
      </x:c>
      <x:c r="F248" s="26" t="str">
        <x:v>fixed test_compile=FAIL</x:v>
      </x:c>
      <x:c r="G248" s="25" t="str">
        <x:v>true</x:v>
      </x:c>
      <x:c r="H248" s="25" t="str">
        <x:v>NOT_AVAILABLE</x:v>
      </x:c>
      <x:c r="I248" s="25" t="str">
        <x:v>PASS</x:v>
      </x:c>
      <x:c r="J248" s="25" t="str">
        <x:v>NOT_RUN</x:v>
      </x:c>
      <x:c r="K248" s="25" t="n">
        <x:v>2</x:v>
      </x:c>
      <x:c r="L248" s="27" t="b">
        <x:v>0</x:v>
      </x:c>
      <x:c r="M248" s="25" t="str">
        <x:v>Feedback-Directed Random Test Generation/rounds/Round1/state/Codec.json</x:v>
      </x:c>
      <x:c r="N248" s="25" t="str">
        <x:v>Feedback-Directed Random Test Generation/Result/Codec_8/result.json</x:v>
      </x:c>
      <x:c r="O248" s="25" t="str">
        <x:v>Feedback-Directed Random Test Generation/Result/Codec_8/result.json</x:v>
      </x:c>
      <x:c r="P248" t="str">
        <x:v>FIXED_NOT_RUN</x:v>
      </x:c>
      <x:c r="Q248" s="21" t="str"/>
      <x:c r="R248" s="21" t="str"/>
      <x:c r="S248" s="21" t="str"/>
      <x:c r="T248" s="17" t="str">
        <x:v>false</x:v>
      </x:c>
      <x:c r="U248" s="17" t="str">
        <x:v>true</x:v>
      </x:c>
      <x:c r="V248" s="17" t="str">
        <x:v>false</x:v>
      </x:c>
    </x:row>
    <x:row r="249" ht="80" customHeight="1">
      <x:c r="A249" s="25" t="str">
        <x:v>Codec</x:v>
      </x:c>
      <x:c r="B249" s="25" t="n">
        <x:v>9</x:v>
      </x:c>
      <x:c r="C249" s="25" t="str">
        <x:v>Round1</x:v>
      </x:c>
      <x:c r="D249" s="25" t="str">
        <x:v>NOT_REVEALING</x:v>
      </x:c>
      <x:c r="E249" s="25" t="str">
        <x:v>N/A</x:v>
      </x:c>
      <x:c r="F249" s="26" t="str">
        <x:v>Same saved validation suite passed on buggy and fixed</x:v>
      </x:c>
      <x:c r="G249" s="25" t="str">
        <x:v>true</x:v>
      </x:c>
      <x:c r="H249" s="25" t="str">
        <x:v>NOT_REVEALING</x:v>
      </x:c>
      <x:c r="I249" s="25" t="str">
        <x:v>PASS</x:v>
      </x:c>
      <x:c r="J249" s="25" t="str">
        <x:v>PASS</x:v>
      </x:c>
      <x:c r="K249" s="25" t="n">
        <x:v>2</x:v>
      </x:c>
      <x:c r="L249" s="27" t="b">
        <x:v>0</x:v>
      </x:c>
      <x:c r="M249" s="25" t="str">
        <x:v>Feedback-Directed Random Test Generation/rounds/Round1/state/Codec.json</x:v>
      </x:c>
      <x:c r="N249" s="25" t="str">
        <x:v>Feedback-Directed Random Test Generation/Result/Codec_9/result.json</x:v>
      </x:c>
      <x:c r="O249" s="25" t="str">
        <x:v>Feedback-Directed Random Test Generation/Result/Codec_9/result.json</x:v>
      </x:c>
      <x:c r="P249"/>
      <x:c r="Q249" s="21" t="str"/>
      <x:c r="R249" s="21" t="str"/>
      <x:c r="S249" s="21" t="str"/>
      <x:c r="T249" s="17" t="str">
        <x:v>false</x:v>
      </x:c>
      <x:c r="U249" s="17" t="str">
        <x:v>true</x:v>
      </x:c>
      <x:c r="V249" s="17" t="str">
        <x:v>false</x:v>
      </x:c>
    </x:row>
    <x:row r="250" ht="80" customHeight="1">
      <x:c r="A250" s="25" t="str">
        <x:v>Codec</x:v>
      </x:c>
      <x:c r="B250" s="25" t="n">
        <x:v>10</x:v>
      </x:c>
      <x:c r="C250" s="25" t="str">
        <x:v>Round1</x:v>
      </x:c>
      <x:c r="D250" s="25" t="str">
        <x:v>NOT_REVEALING</x:v>
      </x:c>
      <x:c r="E250" s="25" t="str">
        <x:v>N/A</x:v>
      </x:c>
      <x:c r="F250" s="26" t="str">
        <x:v>Same saved validation suite passed on buggy and fixed</x:v>
      </x:c>
      <x:c r="G250" s="25" t="str">
        <x:v>true</x:v>
      </x:c>
      <x:c r="H250" s="25" t="str">
        <x:v>NOT_REVEALING</x:v>
      </x:c>
      <x:c r="I250" s="25" t="str">
        <x:v>PASS</x:v>
      </x:c>
      <x:c r="J250" s="25" t="str">
        <x:v>PASS</x:v>
      </x:c>
      <x:c r="K250" s="25" t="n">
        <x:v>2</x:v>
      </x:c>
      <x:c r="L250" s="27" t="b">
        <x:v>0</x:v>
      </x:c>
      <x:c r="M250" s="25" t="str">
        <x:v>Feedback-Directed Random Test Generation/rounds/Round1/state/Codec.json</x:v>
      </x:c>
      <x:c r="N250" s="25" t="str">
        <x:v>Feedback-Directed Random Test Generation/Result/Codec_10/result.json</x:v>
      </x:c>
      <x:c r="O250" s="25" t="str">
        <x:v>Feedback-Directed Random Test Generation/Result/Codec_10/result.json</x:v>
      </x:c>
      <x:c r="P250"/>
      <x:c r="Q250" s="21" t="str"/>
      <x:c r="R250" s="21" t="str"/>
      <x:c r="S250" s="21" t="str"/>
      <x:c r="T250" s="17" t="str">
        <x:v>false</x:v>
      </x:c>
      <x:c r="U250" s="17" t="str">
        <x:v>true</x:v>
      </x:c>
      <x:c r="V250" s="17" t="str">
        <x:v>false</x:v>
      </x:c>
    </x:row>
    <x:row r="251" ht="80" customHeight="1">
      <x:c r="A251" s="25" t="str">
        <x:v>Codec</x:v>
      </x:c>
      <x:c r="B251" s="25" t="n">
        <x:v>11</x:v>
      </x:c>
      <x:c r="C251" s="25" t="str">
        <x:v>Round1</x:v>
      </x:c>
      <x:c r="D251" s="25" t="str">
        <x:v>INCONCLUSIVE</x:v>
      </x:c>
      <x:c r="E251" s="25" t="str">
        <x:v>N/A</x:v>
      </x:c>
      <x:c r="F251" s="26" t="str">
        <x:v>Fixed also failed; assertion failure cannot be attributed to this bug</x:v>
      </x:c>
      <x:c r="G251" s="25" t="str">
        <x:v>true</x:v>
      </x:c>
      <x:c r="H251" s="25" t="str">
        <x:v>INCONCLUSIVE</x:v>
      </x:c>
      <x:c r="I251" s="25" t="str">
        <x:v>PASS</x:v>
      </x:c>
      <x:c r="J251" s="25" t="str">
        <x:v>FAIL</x:v>
      </x:c>
      <x:c r="K251" s="25" t="n">
        <x:v>2</x:v>
      </x:c>
      <x:c r="L251" s="27" t="b">
        <x:v>0</x:v>
      </x:c>
      <x:c r="M251" s="25" t="str">
        <x:v>Feedback-Directed Random Test Generation/rounds/Round1/state/Codec.json</x:v>
      </x:c>
      <x:c r="N251" s="25" t="str">
        <x:v>Feedback-Directed Random Test Generation/Result/Codec_11/result.json</x:v>
      </x:c>
      <x:c r="O251" s="25" t="str">
        <x:v>Feedback-Directed Random Test Generation/Result/Codec_11/result.json</x:v>
      </x:c>
      <x:c r="P251"/>
      <x:c r="Q251" s="21" t="str"/>
      <x:c r="R251" s="21" t="str"/>
      <x:c r="S251" s="21" t="str"/>
      <x:c r="T251" s="17" t="str">
        <x:v>false</x:v>
      </x:c>
      <x:c r="U251" s="17" t="str">
        <x:v>true</x:v>
      </x:c>
      <x:c r="V251" s="17" t="str">
        <x:v>false</x:v>
      </x:c>
    </x:row>
    <x:row r="252" ht="80" customHeight="1">
      <x:c r="A252" s="25" t="str">
        <x:v>Codec</x:v>
      </x:c>
      <x:c r="B252" s="25" t="n">
        <x:v>12</x:v>
      </x:c>
      <x:c r="C252" s="25" t="str">
        <x:v>Round1</x:v>
      </x:c>
      <x:c r="D252" s="25" t="str">
        <x:v>INCONCLUSIVE</x:v>
      </x:c>
      <x:c r="E252" s="25" t="str">
        <x:v>N/A</x:v>
      </x:c>
      <x:c r="F252" s="26" t="str">
        <x:v>Fixed also failed; assertion failure cannot be attributed to this bug</x:v>
      </x:c>
      <x:c r="G252" s="25" t="str">
        <x:v>true</x:v>
      </x:c>
      <x:c r="H252" s="25" t="str">
        <x:v>INCONCLUSIVE</x:v>
      </x:c>
      <x:c r="I252" s="25" t="str">
        <x:v>PASS</x:v>
      </x:c>
      <x:c r="J252" s="25" t="str">
        <x:v>FAIL</x:v>
      </x:c>
      <x:c r="K252" s="25" t="n">
        <x:v>2</x:v>
      </x:c>
      <x:c r="L252" s="27" t="b">
        <x:v>0</x:v>
      </x:c>
      <x:c r="M252" s="25" t="str">
        <x:v>Feedback-Directed Random Test Generation/rounds/Round1/state/Codec.json</x:v>
      </x:c>
      <x:c r="N252" s="25" t="str">
        <x:v>Feedback-Directed Random Test Generation/Result/Codec_12/result.json</x:v>
      </x:c>
      <x:c r="O252" s="25" t="str">
        <x:v>Feedback-Directed Random Test Generation/Result/Codec_12/result.json</x:v>
      </x:c>
      <x:c r="P252"/>
      <x:c r="Q252" s="21" t="str"/>
      <x:c r="R252" s="21" t="str"/>
      <x:c r="S252" s="21" t="str"/>
      <x:c r="T252" s="17" t="str">
        <x:v>false</x:v>
      </x:c>
      <x:c r="U252" s="17" t="str">
        <x:v>true</x:v>
      </x:c>
      <x:c r="V252" s="17" t="str">
        <x:v>false</x:v>
      </x:c>
    </x:row>
    <x:row r="253" ht="80" customHeight="1">
      <x:c r="A253" s="25" t="str">
        <x:v>Codec</x:v>
      </x:c>
      <x:c r="B253" s="25" t="n">
        <x:v>13</x:v>
      </x:c>
      <x:c r="C253" s="25" t="str">
        <x:v>Round1</x:v>
      </x:c>
      <x:c r="D253" s="25" t="str">
        <x:v>REVEALING</x:v>
      </x:c>
      <x:c r="E253" s="25" t="str">
        <x:v>N/A</x:v>
      </x:c>
      <x:c r="F253" s="26" t="str">
        <x:v>Same saved validation suite failed on buggy and passed on fixed; Assertions failed with measured coverage; paired execution and stage checks determine status</x:v>
      </x:c>
      <x:c r="G253" s="25" t="str">
        <x:v>true</x:v>
      </x:c>
      <x:c r="H253" s="25" t="str">
        <x:v>REVEALING</x:v>
      </x:c>
      <x:c r="I253" s="25" t="str">
        <x:v>FAIL</x:v>
      </x:c>
      <x:c r="J253" s="25" t="str">
        <x:v>PASS</x:v>
      </x:c>
      <x:c r="K253" s="25" t="n">
        <x:v>4</x:v>
      </x:c>
      <x:c r="L253" s="27" t="b">
        <x:v>0</x:v>
      </x:c>
      <x:c r="M253" s="25" t="str">
        <x:v>Feedback-Directed Random Test Generation/rounds/Round1/state/Codec.json</x:v>
      </x:c>
      <x:c r="N253" s="25" t="str">
        <x:v>Feedback-Directed Random Test Generation/Result/Codec_13/result.json</x:v>
      </x:c>
      <x:c r="O253" s="25" t="str">
        <x:v>Feedback-Directed Random Test Generation/Result/Codec_13/result.json</x:v>
      </x:c>
      <x:c r="P253"/>
      <x:c r="Q253" s="21" t="str"/>
      <x:c r="R253" s="21" t="str"/>
      <x:c r="S253" s="21" t="str"/>
      <x:c r="T253" s="17" t="str">
        <x:v>false</x:v>
      </x:c>
      <x:c r="U253" s="17" t="str">
        <x:v>true</x:v>
      </x:c>
      <x:c r="V253" s="17" t="str">
        <x:v>false</x:v>
      </x:c>
    </x:row>
    <x:row r="254" ht="80" customHeight="1">
      <x:c r="A254" s="25" t="str">
        <x:v>Codec</x:v>
      </x:c>
      <x:c r="B254" s="25" t="n">
        <x:v>14</x:v>
      </x:c>
      <x:c r="C254" s="25" t="str">
        <x:v>Round1</x:v>
      </x:c>
      <x:c r="D254" s="25" t="str">
        <x:v>FAIL</x:v>
      </x:c>
      <x:c r="E254" s="25" t="str">
        <x:v>N/A</x:v>
      </x:c>
      <x:c r="F254" s="26" t="str">
        <x:v>Latest same-round generation failed; older files/results are excluded</x:v>
      </x:c>
      <x:c r="G254" s="25" t="str">
        <x:v>true</x:v>
      </x:c>
      <x:c r="H254" s="25" t="str">
        <x:v>FAIL</x:v>
      </x:c>
      <x:c r="I254" s="25"/>
      <x:c r="J254" s="25"/>
      <x:c r="K254" s="25" t="n">
        <x:v>0</x:v>
      </x:c>
      <x:c r="L254" s="27" t="b">
        <x:v>1</x:v>
      </x:c>
      <x:c r="M254" s="25" t="str">
        <x:v>Feedback-Directed Random Test Generation/rounds/Round1/state/Codec.json</x:v>
      </x:c>
      <x:c r="N254" s="25"/>
      <x:c r="O254" s="25" t="str">
        <x:v>Feedback-Directed Random Test Generation/Result/Codec_14/result.json</x:v>
      </x:c>
      <x:c r="P254"/>
      <x:c r="Q254" s="21" t="str"/>
      <x:c r="R254" s="21" t="str"/>
      <x:c r="S254" s="21" t="str"/>
      <x:c r="T254" s="17" t="str">
        <x:v>false</x:v>
      </x:c>
      <x:c r="U254" s="17" t="str">
        <x:v>false</x:v>
      </x:c>
      <x:c r="V254" s="17" t="str">
        <x:v>false</x:v>
      </x:c>
    </x:row>
    <x:row r="255" ht="80" customHeight="1">
      <x:c r="A255" s="25" t="str">
        <x:v>Codec</x:v>
      </x:c>
      <x:c r="B255" s="25" t="n">
        <x:v>15</x:v>
      </x:c>
      <x:c r="C255" s="25" t="str">
        <x:v>Round1</x:v>
      </x:c>
      <x:c r="D255" s="25" t="str">
        <x:v>NOT_REVEALING</x:v>
      </x:c>
      <x:c r="E255" s="25" t="str">
        <x:v>N/A</x:v>
      </x:c>
      <x:c r="F255" s="26" t="str">
        <x:v>Same saved validation suite passed on buggy and fixed</x:v>
      </x:c>
      <x:c r="G255" s="25" t="str">
        <x:v>true</x:v>
      </x:c>
      <x:c r="H255" s="25" t="str">
        <x:v>NOT_REVEALING</x:v>
      </x:c>
      <x:c r="I255" s="25" t="str">
        <x:v>PASS</x:v>
      </x:c>
      <x:c r="J255" s="25" t="str">
        <x:v>PASS</x:v>
      </x:c>
      <x:c r="K255" s="25" t="n">
        <x:v>2</x:v>
      </x:c>
      <x:c r="L255" s="27" t="b">
        <x:v>0</x:v>
      </x:c>
      <x:c r="M255" s="25" t="str">
        <x:v>Feedback-Directed Random Test Generation/rounds/Round1/state/Codec.json</x:v>
      </x:c>
      <x:c r="N255" s="25" t="str">
        <x:v>Feedback-Directed Random Test Generation/Result/Codec_15/result.json</x:v>
      </x:c>
      <x:c r="O255" s="25" t="str">
        <x:v>Feedback-Directed Random Test Generation/Result/Codec_15/result.json</x:v>
      </x:c>
      <x:c r="P255"/>
      <x:c r="Q255" s="21" t="str"/>
      <x:c r="R255" s="21" t="str"/>
      <x:c r="S255" s="21" t="str"/>
      <x:c r="T255" s="17" t="str">
        <x:v>false</x:v>
      </x:c>
      <x:c r="U255" s="17" t="str">
        <x:v>true</x:v>
      </x:c>
      <x:c r="V255" s="17" t="str">
        <x:v>false</x:v>
      </x:c>
    </x:row>
    <x:row r="256" ht="80" customHeight="1">
      <x:c r="A256" s="25" t="str">
        <x:v>Codec</x:v>
      </x:c>
      <x:c r="B256" s="25" t="n">
        <x:v>16</x:v>
      </x:c>
      <x:c r="C256" s="25" t="str">
        <x:v>Round1</x:v>
      </x:c>
      <x:c r="D256" s="25" t="str">
        <x:v>NOT_REVEALING</x:v>
      </x:c>
      <x:c r="E256" s="25" t="str">
        <x:v>N/A</x:v>
      </x:c>
      <x:c r="F256" s="26" t="str">
        <x:v>Same saved validation suite passed on buggy and fixed</x:v>
      </x:c>
      <x:c r="G256" s="25" t="str">
        <x:v>true</x:v>
      </x:c>
      <x:c r="H256" s="25" t="str">
        <x:v>NOT_REVEALING</x:v>
      </x:c>
      <x:c r="I256" s="25" t="str">
        <x:v>PASS</x:v>
      </x:c>
      <x:c r="J256" s="25" t="str">
        <x:v>PASS</x:v>
      </x:c>
      <x:c r="K256" s="25" t="n">
        <x:v>2</x:v>
      </x:c>
      <x:c r="L256" s="27" t="b">
        <x:v>0</x:v>
      </x:c>
      <x:c r="M256" s="25" t="str">
        <x:v>Feedback-Directed Random Test Generation/rounds/Round1/state/Codec.json</x:v>
      </x:c>
      <x:c r="N256" s="25" t="str">
        <x:v>Feedback-Directed Random Test Generation/Result/Codec_16/result.json</x:v>
      </x:c>
      <x:c r="O256" s="25" t="str">
        <x:v>Feedback-Directed Random Test Generation/Result/Codec_16/result.json</x:v>
      </x:c>
      <x:c r="P256"/>
      <x:c r="Q256" s="21" t="str"/>
      <x:c r="R256" s="21" t="str"/>
      <x:c r="S256" s="21" t="str"/>
      <x:c r="T256" s="17" t="str">
        <x:v>false</x:v>
      </x:c>
      <x:c r="U256" s="17" t="str">
        <x:v>true</x:v>
      </x:c>
      <x:c r="V256" s="17" t="str">
        <x:v>false</x:v>
      </x:c>
    </x:row>
    <x:row r="257" ht="80" customHeight="1">
      <x:c r="A257" s="25" t="str">
        <x:v>Codec</x:v>
      </x:c>
      <x:c r="B257" s="25" t="n">
        <x:v>17</x:v>
      </x:c>
      <x:c r="C257" s="25" t="str">
        <x:v>Round1</x:v>
      </x:c>
      <x:c r="D257" s="25" t="str">
        <x:v>INCONCLUSIVE</x:v>
      </x:c>
      <x:c r="E257" s="25" t="str">
        <x:v>N/A</x:v>
      </x:c>
      <x:c r="F257" s="26" t="str">
        <x:v>Fixed also failed; assertion failure cannot be attributed to this bug</x:v>
      </x:c>
      <x:c r="G257" s="25" t="str">
        <x:v>true</x:v>
      </x:c>
      <x:c r="H257" s="25" t="str">
        <x:v>INCONCLUSIVE</x:v>
      </x:c>
      <x:c r="I257" s="25" t="str">
        <x:v>PASS</x:v>
      </x:c>
      <x:c r="J257" s="25" t="str">
        <x:v>FAIL</x:v>
      </x:c>
      <x:c r="K257" s="25" t="n">
        <x:v>2</x:v>
      </x:c>
      <x:c r="L257" s="27" t="b">
        <x:v>0</x:v>
      </x:c>
      <x:c r="M257" s="25" t="str">
        <x:v>Feedback-Directed Random Test Generation/rounds/Round1/state/Codec.json</x:v>
      </x:c>
      <x:c r="N257" s="25" t="str">
        <x:v>Feedback-Directed Random Test Generation/Result/Codec_17/result.json</x:v>
      </x:c>
      <x:c r="O257" s="25" t="str">
        <x:v>Feedback-Directed Random Test Generation/Result/Codec_17/result.json</x:v>
      </x:c>
      <x:c r="P257"/>
      <x:c r="Q257" s="21" t="str"/>
      <x:c r="R257" s="21" t="str"/>
      <x:c r="S257" s="21" t="str"/>
      <x:c r="T257" s="17" t="str">
        <x:v>false</x:v>
      </x:c>
      <x:c r="U257" s="17" t="str">
        <x:v>true</x:v>
      </x:c>
      <x:c r="V257" s="17" t="str">
        <x:v>false</x:v>
      </x:c>
    </x:row>
    <x:row r="258" ht="80" customHeight="1">
      <x:c r="A258" s="25" t="str">
        <x:v>Codec</x:v>
      </x:c>
      <x:c r="B258" s="25" t="n">
        <x:v>18</x:v>
      </x:c>
      <x:c r="C258" s="25" t="str">
        <x:v>Round1</x:v>
      </x:c>
      <x:c r="D258" s="25" t="str">
        <x:v>NOT_REVEALING</x:v>
      </x:c>
      <x:c r="E258" s="25" t="str">
        <x:v>N/A</x:v>
      </x:c>
      <x:c r="F258" s="26" t="str">
        <x:v>Same saved validation suite passed on buggy and fixed</x:v>
      </x:c>
      <x:c r="G258" s="25" t="str">
        <x:v>true</x:v>
      </x:c>
      <x:c r="H258" s="25" t="str">
        <x:v>NOT_REVEALING</x:v>
      </x:c>
      <x:c r="I258" s="25" t="str">
        <x:v>PASS</x:v>
      </x:c>
      <x:c r="J258" s="25" t="str">
        <x:v>PASS</x:v>
      </x:c>
      <x:c r="K258" s="25" t="n">
        <x:v>2</x:v>
      </x:c>
      <x:c r="L258" s="27" t="b">
        <x:v>0</x:v>
      </x:c>
      <x:c r="M258" s="25" t="str">
        <x:v>Feedback-Directed Random Test Generation/rounds/Round1/state/Codec.json</x:v>
      </x:c>
      <x:c r="N258" s="25" t="str">
        <x:v>Feedback-Directed Random Test Generation/Result/Codec_18/result.json</x:v>
      </x:c>
      <x:c r="O258" s="25" t="str">
        <x:v>Feedback-Directed Random Test Generation/Result/Codec_18/result.json</x:v>
      </x:c>
      <x:c r="P258"/>
      <x:c r="Q258" s="21" t="str"/>
      <x:c r="R258" s="21" t="str"/>
      <x:c r="S258" s="21" t="str"/>
      <x:c r="T258" s="17" t="str">
        <x:v>false</x:v>
      </x:c>
      <x:c r="U258" s="17" t="str">
        <x:v>true</x:v>
      </x:c>
      <x:c r="V258" s="17" t="str">
        <x:v>false</x:v>
      </x:c>
    </x:row>
    <x:row r="259" ht="80" customHeight="1">
      <x:c r="A259" s="25" t="str">
        <x:v>Collections</x:v>
      </x:c>
      <x:c r="B259" s="25" t="n">
        <x:v>1</x:v>
      </x:c>
      <x:c r="C259" s="25" t="str">
        <x:v>Round1</x:v>
      </x:c>
      <x:c r="D259" s="25" t="str">
        <x:v>INCONCLUSIVE</x:v>
      </x:c>
      <x:c r="E259" s="25" t="str">
        <x:v>N/A</x:v>
      </x:c>
      <x:c r="F259" s="26" t="str">
        <x:v>Fixed also failed; assertion failure cannot be attributed to this bug; Assertions failed with measured coverage; paired execution and stage checks determine status</x:v>
      </x:c>
      <x:c r="G259" s="25" t="str">
        <x:v>true</x:v>
      </x:c>
      <x:c r="H259" s="25" t="str">
        <x:v>INCONCLUSIVE</x:v>
      </x:c>
      <x:c r="I259" s="25" t="str">
        <x:v>FAIL</x:v>
      </x:c>
      <x:c r="J259" s="25" t="str">
        <x:v>FAIL</x:v>
      </x:c>
      <x:c r="K259" s="25" t="n">
        <x:v>4</x:v>
      </x:c>
      <x:c r="L259" s="27" t="b">
        <x:v>0</x:v>
      </x:c>
      <x:c r="M259" s="25" t="str">
        <x:v>Feedback-Directed Random Test Generation/rounds/Round1/state/Collections.json</x:v>
      </x:c>
      <x:c r="N259" s="25" t="str">
        <x:v>Feedback-Directed Random Test Generation/Result/Collections_1/result.json</x:v>
      </x:c>
      <x:c r="O259" s="25" t="str">
        <x:v>Feedback-Directed Random Test Generation/Result/Collections_1/result.json</x:v>
      </x:c>
      <x:c r="P259"/>
      <x:c r="Q259" s="21" t="str"/>
      <x:c r="R259" s="21" t="str"/>
      <x:c r="S259" s="21" t="str"/>
      <x:c r="T259" s="17" t="str">
        <x:v>false</x:v>
      </x:c>
      <x:c r="U259" s="17" t="str">
        <x:v>true</x:v>
      </x:c>
      <x:c r="V259" s="17" t="str">
        <x:v>false</x:v>
      </x:c>
    </x:row>
    <x:row r="260" ht="80" customHeight="1">
      <x:c r="A260" s="25" t="str">
        <x:v>Collections</x:v>
      </x:c>
      <x:c r="B260" s="25" t="n">
        <x:v>2</x:v>
      </x:c>
      <x:c r="C260" s="25" t="str">
        <x:v>Round1</x:v>
      </x:c>
      <x:c r="D260" s="25" t="str">
        <x:v>INCONCLUSIVE</x:v>
      </x:c>
      <x:c r="E260" s="25" t="str">
        <x:v>N/A</x:v>
      </x:c>
      <x:c r="F260" s="26" t="str">
        <x:v>Fixed also failed; assertion failure cannot be attributed to this bug</x:v>
      </x:c>
      <x:c r="G260" s="25" t="str">
        <x:v>true</x:v>
      </x:c>
      <x:c r="H260" s="25" t="str">
        <x:v>INCONCLUSIVE</x:v>
      </x:c>
      <x:c r="I260" s="25" t="str">
        <x:v>PASS</x:v>
      </x:c>
      <x:c r="J260" s="25" t="str">
        <x:v>FAIL</x:v>
      </x:c>
      <x:c r="K260" s="25" t="n">
        <x:v>2</x:v>
      </x:c>
      <x:c r="L260" s="27" t="b">
        <x:v>0</x:v>
      </x:c>
      <x:c r="M260" s="25" t="str">
        <x:v>Feedback-Directed Random Test Generation/rounds/Round1/state/Collections.json</x:v>
      </x:c>
      <x:c r="N260" s="25" t="str">
        <x:v>Feedback-Directed Random Test Generation/Result/Collections_2/result.json</x:v>
      </x:c>
      <x:c r="O260" s="25" t="str">
        <x:v>Feedback-Directed Random Test Generation/Result/Collections_2/result.json</x:v>
      </x:c>
      <x:c r="P260"/>
      <x:c r="Q260" s="21" t="str"/>
      <x:c r="R260" s="21" t="str"/>
      <x:c r="S260" s="21" t="str"/>
      <x:c r="T260" s="17" t="str">
        <x:v>false</x:v>
      </x:c>
      <x:c r="U260" s="17" t="str">
        <x:v>true</x:v>
      </x:c>
      <x:c r="V260" s="17" t="str">
        <x:v>false</x:v>
      </x:c>
    </x:row>
    <x:row r="261" ht="80" customHeight="1">
      <x:c r="A261" s="25" t="str">
        <x:v>Collections</x:v>
      </x:c>
      <x:c r="B261" s="25" t="n">
        <x:v>3</x:v>
      </x:c>
      <x:c r="C261" s="25" t="str">
        <x:v>Round1</x:v>
      </x:c>
      <x:c r="D261" s="25" t="str">
        <x:v>INCONCLUSIVE</x:v>
      </x:c>
      <x:c r="E261" s="25" t="str">
        <x:v>N/A</x:v>
      </x:c>
      <x:c r="F261" s="26" t="str">
        <x:v>Fixed also failed; assertion failure cannot be attributed to this bug; Assertions failed with measured coverage; paired execution and stage checks determine status</x:v>
      </x:c>
      <x:c r="G261" s="25" t="str">
        <x:v>true</x:v>
      </x:c>
      <x:c r="H261" s="25" t="str">
        <x:v>INCONCLUSIVE</x:v>
      </x:c>
      <x:c r="I261" s="25" t="str">
        <x:v>FAIL</x:v>
      </x:c>
      <x:c r="J261" s="25" t="str">
        <x:v>FAIL</x:v>
      </x:c>
      <x:c r="K261" s="25" t="n">
        <x:v>4</x:v>
      </x:c>
      <x:c r="L261" s="27" t="b">
        <x:v>0</x:v>
      </x:c>
      <x:c r="M261" s="25" t="str">
        <x:v>Feedback-Directed Random Test Generation/rounds/Round1/state/Collections.json</x:v>
      </x:c>
      <x:c r="N261" s="25" t="str">
        <x:v>Feedback-Directed Random Test Generation/Result/Collections_3/result.json</x:v>
      </x:c>
      <x:c r="O261" s="25" t="str">
        <x:v>Feedback-Directed Random Test Generation/Result/Collections_3/result.json</x:v>
      </x:c>
      <x:c r="P261"/>
      <x:c r="Q261" s="21" t="str"/>
      <x:c r="R261" s="21" t="str"/>
      <x:c r="S261" s="21" t="str"/>
      <x:c r="T261" s="17" t="str">
        <x:v>false</x:v>
      </x:c>
      <x:c r="U261" s="17" t="str">
        <x:v>true</x:v>
      </x:c>
      <x:c r="V261" s="17" t="str">
        <x:v>false</x:v>
      </x:c>
    </x:row>
    <x:row r="262" ht="80" customHeight="1">
      <x:c r="A262" s="25" t="str">
        <x:v>Collections</x:v>
      </x:c>
      <x:c r="B262" s="25" t="n">
        <x:v>4</x:v>
      </x:c>
      <x:c r="C262" s="25" t="str">
        <x:v>Round1</x:v>
      </x:c>
      <x:c r="D262" s="25" t="str">
        <x:v>NOT_REVEALING</x:v>
      </x:c>
      <x:c r="E262" s="25" t="str">
        <x:v>N/A</x:v>
      </x:c>
      <x:c r="F262" s="26" t="str">
        <x:v>Same saved validation suite passed on buggy and fixed</x:v>
      </x:c>
      <x:c r="G262" s="25" t="str">
        <x:v>true</x:v>
      </x:c>
      <x:c r="H262" s="25" t="str">
        <x:v>NOT_REVEALING</x:v>
      </x:c>
      <x:c r="I262" s="25" t="str">
        <x:v>PASS</x:v>
      </x:c>
      <x:c r="J262" s="25" t="str">
        <x:v>PASS</x:v>
      </x:c>
      <x:c r="K262" s="25" t="n">
        <x:v>2</x:v>
      </x:c>
      <x:c r="L262" s="27" t="b">
        <x:v>0</x:v>
      </x:c>
      <x:c r="M262" s="25" t="str">
        <x:v>Feedback-Directed Random Test Generation/rounds/Round1/state/Collections.json</x:v>
      </x:c>
      <x:c r="N262" s="25" t="str">
        <x:v>Feedback-Directed Random Test Generation/Result/Collections_4/result.json</x:v>
      </x:c>
      <x:c r="O262" s="25" t="str">
        <x:v>Feedback-Directed Random Test Generation/Result/Collections_4/result.json</x:v>
      </x:c>
      <x:c r="P262"/>
      <x:c r="Q262" s="21" t="str"/>
      <x:c r="R262" s="21" t="str"/>
      <x:c r="S262" s="21" t="str"/>
      <x:c r="T262" s="17" t="str">
        <x:v>false</x:v>
      </x:c>
      <x:c r="U262" s="17" t="str">
        <x:v>true</x:v>
      </x:c>
      <x:c r="V262" s="17" t="str">
        <x:v>false</x:v>
      </x:c>
    </x:row>
    <x:row r="263" ht="80" customHeight="1">
      <x:c r="A263" s="25" t="str">
        <x:v>Collections</x:v>
      </x:c>
      <x:c r="B263" s="25" t="n">
        <x:v>5</x:v>
      </x:c>
      <x:c r="C263" s="25" t="str">
        <x:v>Round1</x:v>
      </x:c>
      <x:c r="D263" s="25" t="str">
        <x:v>NOT_REVEALING</x:v>
      </x:c>
      <x:c r="E263" s="25" t="str">
        <x:v>N/A</x:v>
      </x:c>
      <x:c r="F263" s="26" t="str">
        <x:v>Same saved validation suite passed on buggy and fixed</x:v>
      </x:c>
      <x:c r="G263" s="25" t="str">
        <x:v>true</x:v>
      </x:c>
      <x:c r="H263" s="25" t="str">
        <x:v>NOT_REVEALING</x:v>
      </x:c>
      <x:c r="I263" s="25" t="str">
        <x:v>PASS</x:v>
      </x:c>
      <x:c r="J263" s="25" t="str">
        <x:v>PASS</x:v>
      </x:c>
      <x:c r="K263" s="25" t="n">
        <x:v>2</x:v>
      </x:c>
      <x:c r="L263" s="27" t="b">
        <x:v>0</x:v>
      </x:c>
      <x:c r="M263" s="25" t="str">
        <x:v>Feedback-Directed Random Test Generation/rounds/Round1/state/Collections.json</x:v>
      </x:c>
      <x:c r="N263" s="25" t="str">
        <x:v>Feedback-Directed Random Test Generation/Result/Collections_5/result.json</x:v>
      </x:c>
      <x:c r="O263" s="25" t="str">
        <x:v>Feedback-Directed Random Test Generation/Result/Collections_5/result.json</x:v>
      </x:c>
      <x:c r="P263"/>
      <x:c r="Q263" s="21" t="str"/>
      <x:c r="R263" s="21" t="str"/>
      <x:c r="S263" s="21" t="str"/>
      <x:c r="T263" s="17" t="str">
        <x:v>false</x:v>
      </x:c>
      <x:c r="U263" s="17" t="str">
        <x:v>true</x:v>
      </x:c>
      <x:c r="V263" s="17" t="str">
        <x:v>false</x:v>
      </x:c>
    </x:row>
    <x:row r="264" ht="80" customHeight="1">
      <x:c r="A264" s="25" t="str">
        <x:v>Collections</x:v>
      </x:c>
      <x:c r="B264" s="25" t="n">
        <x:v>6</x:v>
      </x:c>
      <x:c r="C264" s="25" t="str">
        <x:v>Round1</x:v>
      </x:c>
      <x:c r="D264" s="25" t="str">
        <x:v>INCONCLUSIVE</x:v>
      </x:c>
      <x:c r="E264" s="25" t="str">
        <x:v>N/A</x:v>
      </x:c>
      <x:c r="F264" s="26" t="str">
        <x:v>Fixed also failed; assertion failure cannot be attributed to this bug; Assertions failed with measured coverage; paired execution and stage checks determine status</x:v>
      </x:c>
      <x:c r="G264" s="25" t="str">
        <x:v>true</x:v>
      </x:c>
      <x:c r="H264" s="25" t="str">
        <x:v>INCONCLUSIVE</x:v>
      </x:c>
      <x:c r="I264" s="25" t="str">
        <x:v>FAIL</x:v>
      </x:c>
      <x:c r="J264" s="25" t="str">
        <x:v>FAIL</x:v>
      </x:c>
      <x:c r="K264" s="25" t="n">
        <x:v>4</x:v>
      </x:c>
      <x:c r="L264" s="27" t="b">
        <x:v>0</x:v>
      </x:c>
      <x:c r="M264" s="25" t="str">
        <x:v>Feedback-Directed Random Test Generation/rounds/Round1/state/Collections.json</x:v>
      </x:c>
      <x:c r="N264" s="25" t="str">
        <x:v>Feedback-Directed Random Test Generation/Result/Collections_6/result.json</x:v>
      </x:c>
      <x:c r="O264" s="25" t="str">
        <x:v>Feedback-Directed Random Test Generation/Result/Collections_6/result.json</x:v>
      </x:c>
      <x:c r="P264"/>
      <x:c r="Q264" s="21" t="str"/>
      <x:c r="R264" s="21" t="str"/>
      <x:c r="S264" s="21" t="str"/>
      <x:c r="T264" s="17" t="str">
        <x:v>false</x:v>
      </x:c>
      <x:c r="U264" s="17" t="str">
        <x:v>true</x:v>
      </x:c>
      <x:c r="V264" s="17" t="str">
        <x:v>false</x:v>
      </x:c>
    </x:row>
    <x:row r="265" ht="80" customHeight="1">
      <x:c r="A265" s="25" t="str">
        <x:v>Collections</x:v>
      </x:c>
      <x:c r="B265" s="25" t="n">
        <x:v>7</x:v>
      </x:c>
      <x:c r="C265" s="25" t="str">
        <x:v>Round1</x:v>
      </x:c>
      <x:c r="D265" s="25" t="str">
        <x:v>NOT_REVEALING</x:v>
      </x:c>
      <x:c r="E265" s="25" t="str">
        <x:v>N/A</x:v>
      </x:c>
      <x:c r="F265" s="26" t="str">
        <x:v>Same saved validation suite passed on buggy and fixed</x:v>
      </x:c>
      <x:c r="G265" s="25" t="str">
        <x:v>true</x:v>
      </x:c>
      <x:c r="H265" s="25" t="str">
        <x:v>NOT_REVEALING</x:v>
      </x:c>
      <x:c r="I265" s="25" t="str">
        <x:v>PASS</x:v>
      </x:c>
      <x:c r="J265" s="25" t="str">
        <x:v>PASS</x:v>
      </x:c>
      <x:c r="K265" s="25" t="n">
        <x:v>2</x:v>
      </x:c>
      <x:c r="L265" s="27" t="b">
        <x:v>0</x:v>
      </x:c>
      <x:c r="M265" s="25" t="str">
        <x:v>Feedback-Directed Random Test Generation/rounds/Round1/state/Collections.json</x:v>
      </x:c>
      <x:c r="N265" s="25" t="str">
        <x:v>Feedback-Directed Random Test Generation/Result/Collections_7/result.json</x:v>
      </x:c>
      <x:c r="O265" s="25" t="str">
        <x:v>Feedback-Directed Random Test Generation/Result/Collections_7/result.json</x:v>
      </x:c>
      <x:c r="P265"/>
      <x:c r="Q265" s="21" t="str"/>
      <x:c r="R265" s="21" t="str"/>
      <x:c r="S265" s="21" t="str"/>
      <x:c r="T265" s="17" t="str">
        <x:v>false</x:v>
      </x:c>
      <x:c r="U265" s="17" t="str">
        <x:v>true</x:v>
      </x:c>
      <x:c r="V265" s="17" t="str">
        <x:v>false</x:v>
      </x:c>
    </x:row>
    <x:row r="266" ht="80" customHeight="1">
      <x:c r="A266" s="25" t="str">
        <x:v>Collections</x:v>
      </x:c>
      <x:c r="B266" s="25" t="n">
        <x:v>8</x:v>
      </x:c>
      <x:c r="C266" s="25" t="str">
        <x:v>Round1</x:v>
      </x:c>
      <x:c r="D266" s="25" t="str">
        <x:v>NOT_REVEALING</x:v>
      </x:c>
      <x:c r="E266" s="25" t="str">
        <x:v>N/A</x:v>
      </x:c>
      <x:c r="F266" s="26" t="str">
        <x:v>Same saved validation suite passed on buggy and fixed</x:v>
      </x:c>
      <x:c r="G266" s="25" t="str">
        <x:v>true</x:v>
      </x:c>
      <x:c r="H266" s="25" t="str">
        <x:v>NOT_REVEALING</x:v>
      </x:c>
      <x:c r="I266" s="25" t="str">
        <x:v>PASS</x:v>
      </x:c>
      <x:c r="J266" s="25" t="str">
        <x:v>PASS</x:v>
      </x:c>
      <x:c r="K266" s="25" t="n">
        <x:v>2</x:v>
      </x:c>
      <x:c r="L266" s="27" t="b">
        <x:v>0</x:v>
      </x:c>
      <x:c r="M266" s="25" t="str">
        <x:v>Feedback-Directed Random Test Generation/rounds/Round1/state/Collections.json</x:v>
      </x:c>
      <x:c r="N266" s="25" t="str">
        <x:v>Feedback-Directed Random Test Generation/Result/Collections_8/result.json</x:v>
      </x:c>
      <x:c r="O266" s="25" t="str">
        <x:v>Feedback-Directed Random Test Generation/Result/Collections_8/result.json</x:v>
      </x:c>
      <x:c r="P266"/>
      <x:c r="Q266" s="21" t="str"/>
      <x:c r="R266" s="21" t="str"/>
      <x:c r="S266" s="21" t="str"/>
      <x:c r="T266" s="17" t="str">
        <x:v>false</x:v>
      </x:c>
      <x:c r="U266" s="17" t="str">
        <x:v>true</x:v>
      </x:c>
      <x:c r="V266" s="17" t="str">
        <x:v>false</x:v>
      </x:c>
    </x:row>
    <x:row r="267" ht="80" customHeight="1">
      <x:c r="A267" s="25" t="str">
        <x:v>Collections</x:v>
      </x:c>
      <x:c r="B267" s="25" t="n">
        <x:v>9</x:v>
      </x:c>
      <x:c r="C267" s="25" t="str">
        <x:v>Round1</x:v>
      </x:c>
      <x:c r="D267" s="25" t="str">
        <x:v>NOT_REVEALING</x:v>
      </x:c>
      <x:c r="E267" s="25" t="str">
        <x:v>N/A</x:v>
      </x:c>
      <x:c r="F267" s="26" t="str">
        <x:v>Same saved validation suite passed on buggy and fixed</x:v>
      </x:c>
      <x:c r="G267" s="25" t="str">
        <x:v>true</x:v>
      </x:c>
      <x:c r="H267" s="25" t="str">
        <x:v>NOT_REVEALING</x:v>
      </x:c>
      <x:c r="I267" s="25" t="str">
        <x:v>PASS</x:v>
      </x:c>
      <x:c r="J267" s="25" t="str">
        <x:v>PASS</x:v>
      </x:c>
      <x:c r="K267" s="25" t="n">
        <x:v>2</x:v>
      </x:c>
      <x:c r="L267" s="27" t="b">
        <x:v>0</x:v>
      </x:c>
      <x:c r="M267" s="25" t="str">
        <x:v>Feedback-Directed Random Test Generation/rounds/Round1/state/Collections.json</x:v>
      </x:c>
      <x:c r="N267" s="25" t="str">
        <x:v>Feedback-Directed Random Test Generation/Result/Collections_9/result.json</x:v>
      </x:c>
      <x:c r="O267" s="25" t="str">
        <x:v>Feedback-Directed Random Test Generation/Result/Collections_9/result.json</x:v>
      </x:c>
      <x:c r="P267"/>
      <x:c r="Q267" s="21" t="str"/>
      <x:c r="R267" s="21" t="str"/>
      <x:c r="S267" s="21" t="str"/>
      <x:c r="T267" s="17" t="str">
        <x:v>false</x:v>
      </x:c>
      <x:c r="U267" s="17" t="str">
        <x:v>true</x:v>
      </x:c>
      <x:c r="V267" s="17" t="str">
        <x:v>false</x:v>
      </x:c>
    </x:row>
    <x:row r="268" ht="80" customHeight="1">
      <x:c r="A268" s="25" t="str">
        <x:v>Collections</x:v>
      </x:c>
      <x:c r="B268" s="25" t="n">
        <x:v>10</x:v>
      </x:c>
      <x:c r="C268" s="25" t="str">
        <x:v>Round1</x:v>
      </x:c>
      <x:c r="D268" s="25" t="str">
        <x:v>NOT_REVEALING</x:v>
      </x:c>
      <x:c r="E268" s="25" t="str">
        <x:v>N/A</x:v>
      </x:c>
      <x:c r="F268" s="26" t="str">
        <x:v>Same saved validation suite passed on buggy and fixed</x:v>
      </x:c>
      <x:c r="G268" s="25" t="str">
        <x:v>true</x:v>
      </x:c>
      <x:c r="H268" s="25" t="str">
        <x:v>NOT_REVEALING</x:v>
      </x:c>
      <x:c r="I268" s="25" t="str">
        <x:v>PASS</x:v>
      </x:c>
      <x:c r="J268" s="25" t="str">
        <x:v>PASS</x:v>
      </x:c>
      <x:c r="K268" s="25" t="n">
        <x:v>2</x:v>
      </x:c>
      <x:c r="L268" s="27" t="b">
        <x:v>0</x:v>
      </x:c>
      <x:c r="M268" s="25" t="str">
        <x:v>Feedback-Directed Random Test Generation/rounds/Round1/state/Collections.json</x:v>
      </x:c>
      <x:c r="N268" s="25" t="str">
        <x:v>Feedback-Directed Random Test Generation/Result/Collections_10/result.json</x:v>
      </x:c>
      <x:c r="O268" s="25" t="str">
        <x:v>Feedback-Directed Random Test Generation/Result/Collections_10/result.json</x:v>
      </x:c>
      <x:c r="P268"/>
      <x:c r="Q268" s="21" t="str"/>
      <x:c r="R268" s="21" t="str"/>
      <x:c r="S268" s="21" t="str"/>
      <x:c r="T268" s="17" t="str">
        <x:v>false</x:v>
      </x:c>
      <x:c r="U268" s="17" t="str">
        <x:v>true</x:v>
      </x:c>
      <x:c r="V268" s="17" t="str">
        <x:v>false</x:v>
      </x:c>
    </x:row>
    <x:row r="269" ht="80" customHeight="1">
      <x:c r="A269" s="25" t="str">
        <x:v>Collections</x:v>
      </x:c>
      <x:c r="B269" s="25" t="n">
        <x:v>11</x:v>
      </x:c>
      <x:c r="C269" s="25" t="str">
        <x:v>Round1</x:v>
      </x:c>
      <x:c r="D269" s="25" t="str">
        <x:v>NOT_REVEALING</x:v>
      </x:c>
      <x:c r="E269" s="25" t="str">
        <x:v>N/A</x:v>
      </x:c>
      <x:c r="F269" s="26" t="str">
        <x:v>Same saved validation suite passed on buggy and fixed</x:v>
      </x:c>
      <x:c r="G269" s="25" t="str">
        <x:v>true</x:v>
      </x:c>
      <x:c r="H269" s="25" t="str">
        <x:v>NOT_REVEALING</x:v>
      </x:c>
      <x:c r="I269" s="25" t="str">
        <x:v>PASS</x:v>
      </x:c>
      <x:c r="J269" s="25" t="str">
        <x:v>PASS</x:v>
      </x:c>
      <x:c r="K269" s="25" t="n">
        <x:v>2</x:v>
      </x:c>
      <x:c r="L269" s="27" t="b">
        <x:v>0</x:v>
      </x:c>
      <x:c r="M269" s="25" t="str">
        <x:v>Feedback-Directed Random Test Generation/rounds/Round1/state/Collections.json</x:v>
      </x:c>
      <x:c r="N269" s="25" t="str">
        <x:v>Feedback-Directed Random Test Generation/Result/Collections_11/result.json</x:v>
      </x:c>
      <x:c r="O269" s="25" t="str">
        <x:v>Feedback-Directed Random Test Generation/Result/Collections_11/result.json</x:v>
      </x:c>
      <x:c r="P269"/>
      <x:c r="Q269" s="21" t="str"/>
      <x:c r="R269" s="21" t="str"/>
      <x:c r="S269" s="21" t="str"/>
      <x:c r="T269" s="17" t="str">
        <x:v>false</x:v>
      </x:c>
      <x:c r="U269" s="17" t="str">
        <x:v>true</x:v>
      </x:c>
      <x:c r="V269" s="17" t="str">
        <x:v>false</x:v>
      </x:c>
    </x:row>
    <x:row r="270" ht="80" customHeight="1">
      <x:c r="A270" s="25" t="str">
        <x:v>Collections</x:v>
      </x:c>
      <x:c r="B270" s="25" t="n">
        <x:v>12</x:v>
      </x:c>
      <x:c r="C270" s="25" t="str">
        <x:v>Round1</x:v>
      </x:c>
      <x:c r="D270" s="25" t="str">
        <x:v>NOT_REVEALING</x:v>
      </x:c>
      <x:c r="E270" s="25" t="str">
        <x:v>N/A</x:v>
      </x:c>
      <x:c r="F270" s="26" t="str">
        <x:v>Same saved validation suite passed on buggy and fixed</x:v>
      </x:c>
      <x:c r="G270" s="25" t="str">
        <x:v>true</x:v>
      </x:c>
      <x:c r="H270" s="25" t="str">
        <x:v>NOT_REVEALING</x:v>
      </x:c>
      <x:c r="I270" s="25" t="str">
        <x:v>PASS</x:v>
      </x:c>
      <x:c r="J270" s="25" t="str">
        <x:v>PASS</x:v>
      </x:c>
      <x:c r="K270" s="25" t="n">
        <x:v>2</x:v>
      </x:c>
      <x:c r="L270" s="27" t="b">
        <x:v>0</x:v>
      </x:c>
      <x:c r="M270" s="25" t="str">
        <x:v>Feedback-Directed Random Test Generation/rounds/Round1/state/Collections.json</x:v>
      </x:c>
      <x:c r="N270" s="25" t="str">
        <x:v>Feedback-Directed Random Test Generation/Result/Collections_12/result.json</x:v>
      </x:c>
      <x:c r="O270" s="25" t="str">
        <x:v>Feedback-Directed Random Test Generation/Result/Collections_12/result.json</x:v>
      </x:c>
      <x:c r="P270"/>
      <x:c r="Q270" s="21" t="str"/>
      <x:c r="R270" s="21" t="str"/>
      <x:c r="S270" s="21" t="str"/>
      <x:c r="T270" s="17" t="str">
        <x:v>false</x:v>
      </x:c>
      <x:c r="U270" s="17" t="str">
        <x:v>true</x:v>
      </x:c>
      <x:c r="V270" s="17" t="str">
        <x:v>false</x:v>
      </x:c>
    </x:row>
    <x:row r="271" ht="80" customHeight="1">
      <x:c r="A271" s="25" t="str">
        <x:v>Collections</x:v>
      </x:c>
      <x:c r="B271" s="25" t="n">
        <x:v>13</x:v>
      </x:c>
      <x:c r="C271" s="25" t="str">
        <x:v>Round1</x:v>
      </x:c>
      <x:c r="D271" s="25" t="str">
        <x:v>NOT_REVEALING</x:v>
      </x:c>
      <x:c r="E271" s="25" t="str">
        <x:v>N/A</x:v>
      </x:c>
      <x:c r="F271" s="26" t="str">
        <x:v>Same saved validation suite passed on buggy and fixed</x:v>
      </x:c>
      <x:c r="G271" s="25" t="str">
        <x:v>true</x:v>
      </x:c>
      <x:c r="H271" s="25" t="str">
        <x:v>NOT_REVEALING</x:v>
      </x:c>
      <x:c r="I271" s="25" t="str">
        <x:v>PASS</x:v>
      </x:c>
      <x:c r="J271" s="25" t="str">
        <x:v>PASS</x:v>
      </x:c>
      <x:c r="K271" s="25" t="n">
        <x:v>2</x:v>
      </x:c>
      <x:c r="L271" s="27" t="b">
        <x:v>0</x:v>
      </x:c>
      <x:c r="M271" s="25" t="str">
        <x:v>Feedback-Directed Random Test Generation/rounds/Round1/state/Collections.json</x:v>
      </x:c>
      <x:c r="N271" s="25" t="str">
        <x:v>Feedback-Directed Random Test Generation/Result/Collections_13/result.json</x:v>
      </x:c>
      <x:c r="O271" s="25" t="str">
        <x:v>Feedback-Directed Random Test Generation/Result/Collections_13/result.json</x:v>
      </x:c>
      <x:c r="P271"/>
      <x:c r="Q271" s="21" t="str"/>
      <x:c r="R271" s="21" t="str"/>
      <x:c r="S271" s="21" t="str"/>
      <x:c r="T271" s="17" t="str">
        <x:v>false</x:v>
      </x:c>
      <x:c r="U271" s="17" t="str">
        <x:v>true</x:v>
      </x:c>
      <x:c r="V271" s="17" t="str">
        <x:v>false</x:v>
      </x:c>
    </x:row>
    <x:row r="272" ht="80" customHeight="1">
      <x:c r="A272" s="25" t="str">
        <x:v>Collections</x:v>
      </x:c>
      <x:c r="B272" s="25" t="n">
        <x:v>14</x:v>
      </x:c>
      <x:c r="C272" s="25" t="str">
        <x:v>Round1</x:v>
      </x:c>
      <x:c r="D272" s="25" t="str">
        <x:v>NOT_REVEALING</x:v>
      </x:c>
      <x:c r="E272" s="25" t="str">
        <x:v>N/A</x:v>
      </x:c>
      <x:c r="F272" s="26" t="str">
        <x:v>Same saved validation suite passed on buggy and fixed</x:v>
      </x:c>
      <x:c r="G272" s="25" t="str">
        <x:v>true</x:v>
      </x:c>
      <x:c r="H272" s="25" t="str">
        <x:v>NOT_REVEALING</x:v>
      </x:c>
      <x:c r="I272" s="25" t="str">
        <x:v>PASS</x:v>
      </x:c>
      <x:c r="J272" s="25" t="str">
        <x:v>PASS</x:v>
      </x:c>
      <x:c r="K272" s="25" t="n">
        <x:v>2</x:v>
      </x:c>
      <x:c r="L272" s="27" t="b">
        <x:v>0</x:v>
      </x:c>
      <x:c r="M272" s="25" t="str">
        <x:v>Feedback-Directed Random Test Generation/rounds/Round1/state/Collections.json</x:v>
      </x:c>
      <x:c r="N272" s="25" t="str">
        <x:v>Feedback-Directed Random Test Generation/Result/Collections_14/result.json</x:v>
      </x:c>
      <x:c r="O272" s="25" t="str">
        <x:v>Feedback-Directed Random Test Generation/Result/Collections_14/result.json</x:v>
      </x:c>
      <x:c r="P272"/>
      <x:c r="Q272" s="21" t="str"/>
      <x:c r="R272" s="21" t="str"/>
      <x:c r="S272" s="21" t="str"/>
      <x:c r="T272" s="17" t="str">
        <x:v>false</x:v>
      </x:c>
      <x:c r="U272" s="17" t="str">
        <x:v>true</x:v>
      </x:c>
      <x:c r="V272" s="17" t="str">
        <x:v>false</x:v>
      </x:c>
    </x:row>
    <x:row r="273" ht="80" customHeight="1">
      <x:c r="A273" s="25" t="str">
        <x:v>Collections</x:v>
      </x:c>
      <x:c r="B273" s="25" t="n">
        <x:v>15</x:v>
      </x:c>
      <x:c r="C273" s="25" t="str">
        <x:v>Round1</x:v>
      </x:c>
      <x:c r="D273" s="25" t="str">
        <x:v>NOT_REVEALING</x:v>
      </x:c>
      <x:c r="E273" s="25" t="str">
        <x:v>N/A</x:v>
      </x:c>
      <x:c r="F273" s="26" t="str">
        <x:v>Same saved validation suite passed on buggy and fixed</x:v>
      </x:c>
      <x:c r="G273" s="25" t="str">
        <x:v>true</x:v>
      </x:c>
      <x:c r="H273" s="25" t="str">
        <x:v>NOT_REVEALING</x:v>
      </x:c>
      <x:c r="I273" s="25" t="str">
        <x:v>PASS</x:v>
      </x:c>
      <x:c r="J273" s="25" t="str">
        <x:v>PASS</x:v>
      </x:c>
      <x:c r="K273" s="25" t="n">
        <x:v>2</x:v>
      </x:c>
      <x:c r="L273" s="27" t="b">
        <x:v>0</x:v>
      </x:c>
      <x:c r="M273" s="25" t="str">
        <x:v>Feedback-Directed Random Test Generation/rounds/Round1/state/Collections.json</x:v>
      </x:c>
      <x:c r="N273" s="25" t="str">
        <x:v>Feedback-Directed Random Test Generation/Result/Collections_15/result.json</x:v>
      </x:c>
      <x:c r="O273" s="25" t="str">
        <x:v>Feedback-Directed Random Test Generation/Result/Collections_15/result.json</x:v>
      </x:c>
      <x:c r="P273"/>
      <x:c r="Q273" s="21" t="str"/>
      <x:c r="R273" s="21" t="str"/>
      <x:c r="S273" s="21" t="str"/>
      <x:c r="T273" s="17" t="str">
        <x:v>false</x:v>
      </x:c>
      <x:c r="U273" s="17" t="str">
        <x:v>true</x:v>
      </x:c>
      <x:c r="V273" s="17" t="str">
        <x:v>false</x:v>
      </x:c>
    </x:row>
    <x:row r="274" ht="80" customHeight="1">
      <x:c r="A274" s="25" t="str">
        <x:v>Collections</x:v>
      </x:c>
      <x:c r="B274" s="25" t="n">
        <x:v>16</x:v>
      </x:c>
      <x:c r="C274" s="25" t="str">
        <x:v>Round1</x:v>
      </x:c>
      <x:c r="D274" s="25" t="str">
        <x:v>NOT_REVEALING</x:v>
      </x:c>
      <x:c r="E274" s="25" t="str">
        <x:v>N/A</x:v>
      </x:c>
      <x:c r="F274" s="26" t="str">
        <x:v>Same saved validation suite passed on buggy and fixed</x:v>
      </x:c>
      <x:c r="G274" s="25" t="str">
        <x:v>true</x:v>
      </x:c>
      <x:c r="H274" s="25" t="str">
        <x:v>NOT_REVEALING</x:v>
      </x:c>
      <x:c r="I274" s="25" t="str">
        <x:v>PASS</x:v>
      </x:c>
      <x:c r="J274" s="25" t="str">
        <x:v>PASS</x:v>
      </x:c>
      <x:c r="K274" s="25" t="n">
        <x:v>2</x:v>
      </x:c>
      <x:c r="L274" s="27" t="b">
        <x:v>0</x:v>
      </x:c>
      <x:c r="M274" s="25" t="str">
        <x:v>Feedback-Directed Random Test Generation/rounds/Round1/state/Collections.json</x:v>
      </x:c>
      <x:c r="N274" s="25" t="str">
        <x:v>Feedback-Directed Random Test Generation/Result/Collections_16/result.json</x:v>
      </x:c>
      <x:c r="O274" s="25" t="str">
        <x:v>Feedback-Directed Random Test Generation/Result/Collections_16/result.json</x:v>
      </x:c>
      <x:c r="P274"/>
      <x:c r="Q274" s="21" t="str"/>
      <x:c r="R274" s="21" t="str"/>
      <x:c r="S274" s="21" t="str"/>
      <x:c r="T274" s="17" t="str">
        <x:v>false</x:v>
      </x:c>
      <x:c r="U274" s="17" t="str">
        <x:v>true</x:v>
      </x:c>
      <x:c r="V274" s="17" t="str">
        <x:v>false</x:v>
      </x:c>
    </x:row>
    <x:row r="275" ht="80" customHeight="1">
      <x:c r="A275" s="25" t="str">
        <x:v>Collections</x:v>
      </x:c>
      <x:c r="B275" s="25" t="n">
        <x:v>17</x:v>
      </x:c>
      <x:c r="C275" s="25" t="str">
        <x:v>Round1</x:v>
      </x:c>
      <x:c r="D275" s="25" t="str">
        <x:v>INCONCLUSIVE</x:v>
      </x:c>
      <x:c r="E275" s="25" t="str">
        <x:v>N/A</x:v>
      </x:c>
      <x:c r="F275" s="26" t="str">
        <x:v>Fixed also failed; assertion failure cannot be attributed to this bug</x:v>
      </x:c>
      <x:c r="G275" s="25" t="str">
        <x:v>true</x:v>
      </x:c>
      <x:c r="H275" s="25" t="str">
        <x:v>INCONCLUSIVE</x:v>
      </x:c>
      <x:c r="I275" s="25" t="str">
        <x:v>PASS</x:v>
      </x:c>
      <x:c r="J275" s="25" t="str">
        <x:v>FAIL</x:v>
      </x:c>
      <x:c r="K275" s="25" t="n">
        <x:v>2</x:v>
      </x:c>
      <x:c r="L275" s="27" t="b">
        <x:v>0</x:v>
      </x:c>
      <x:c r="M275" s="25" t="str">
        <x:v>Feedback-Directed Random Test Generation/rounds/Round1/state/Collections.json</x:v>
      </x:c>
      <x:c r="N275" s="25" t="str">
        <x:v>Feedback-Directed Random Test Generation/Result/Collections_17/result.json</x:v>
      </x:c>
      <x:c r="O275" s="25" t="str">
        <x:v>Feedback-Directed Random Test Generation/Result/Collections_17/result.json</x:v>
      </x:c>
      <x:c r="P275"/>
      <x:c r="Q275" s="21" t="str"/>
      <x:c r="R275" s="21" t="str"/>
      <x:c r="S275" s="21" t="str"/>
      <x:c r="T275" s="17" t="str">
        <x:v>false</x:v>
      </x:c>
      <x:c r="U275" s="17" t="str">
        <x:v>true</x:v>
      </x:c>
      <x:c r="V275" s="17" t="str">
        <x:v>false</x:v>
      </x:c>
    </x:row>
    <x:row r="276" ht="80" customHeight="1">
      <x:c r="A276" s="25" t="str">
        <x:v>Collections</x:v>
      </x:c>
      <x:c r="B276" s="25" t="n">
        <x:v>18</x:v>
      </x:c>
      <x:c r="C276" s="25" t="str">
        <x:v>Round1</x:v>
      </x:c>
      <x:c r="D276" s="25" t="str">
        <x:v>INCONCLUSIVE</x:v>
      </x:c>
      <x:c r="E276" s="25" t="str">
        <x:v>N/A</x:v>
      </x:c>
      <x:c r="F276" s="26" t="str">
        <x:v>Fixed also failed; assertion failure cannot be attributed to this bug; Assertions failed with measured coverage; paired execution and stage checks determine status</x:v>
      </x:c>
      <x:c r="G276" s="25" t="str">
        <x:v>true</x:v>
      </x:c>
      <x:c r="H276" s="25" t="str">
        <x:v>INCONCLUSIVE</x:v>
      </x:c>
      <x:c r="I276" s="25" t="str">
        <x:v>FAIL</x:v>
      </x:c>
      <x:c r="J276" s="25" t="str">
        <x:v>FAIL</x:v>
      </x:c>
      <x:c r="K276" s="25" t="n">
        <x:v>4</x:v>
      </x:c>
      <x:c r="L276" s="27" t="b">
        <x:v>0</x:v>
      </x:c>
      <x:c r="M276" s="25" t="str">
        <x:v>Feedback-Directed Random Test Generation/rounds/Round1/state/Collections.json</x:v>
      </x:c>
      <x:c r="N276" s="25" t="str">
        <x:v>Feedback-Directed Random Test Generation/Result/Collections_18/result.json</x:v>
      </x:c>
      <x:c r="O276" s="25" t="str">
        <x:v>Feedback-Directed Random Test Generation/Result/Collections_18/result.json</x:v>
      </x:c>
      <x:c r="P276"/>
      <x:c r="Q276" s="21" t="str"/>
      <x:c r="R276" s="21" t="str"/>
      <x:c r="S276" s="21" t="str"/>
      <x:c r="T276" s="17" t="str">
        <x:v>false</x:v>
      </x:c>
      <x:c r="U276" s="17" t="str">
        <x:v>true</x:v>
      </x:c>
      <x:c r="V276" s="17" t="str">
        <x:v>false</x:v>
      </x:c>
    </x:row>
    <x:row r="277" ht="80" customHeight="1">
      <x:c r="A277" s="25" t="str">
        <x:v>Collections</x:v>
      </x:c>
      <x:c r="B277" s="25" t="n">
        <x:v>19</x:v>
      </x:c>
      <x:c r="C277" s="25" t="str">
        <x:v>Round1</x:v>
      </x:c>
      <x:c r="D277" s="25" t="str">
        <x:v>NOT_REVEALING</x:v>
      </x:c>
      <x:c r="E277" s="25" t="str">
        <x:v>N/A</x:v>
      </x:c>
      <x:c r="F277" s="26" t="str">
        <x:v>Same saved validation suite passed on buggy and fixed</x:v>
      </x:c>
      <x:c r="G277" s="25" t="str">
        <x:v>true</x:v>
      </x:c>
      <x:c r="H277" s="25" t="str">
        <x:v>NOT_REVEALING</x:v>
      </x:c>
      <x:c r="I277" s="25" t="str">
        <x:v>PASS</x:v>
      </x:c>
      <x:c r="J277" s="25" t="str">
        <x:v>PASS</x:v>
      </x:c>
      <x:c r="K277" s="25" t="n">
        <x:v>2</x:v>
      </x:c>
      <x:c r="L277" s="27" t="b">
        <x:v>0</x:v>
      </x:c>
      <x:c r="M277" s="25" t="str">
        <x:v>Feedback-Directed Random Test Generation/rounds/Round1/state/Collections.json</x:v>
      </x:c>
      <x:c r="N277" s="25" t="str">
        <x:v>Feedback-Directed Random Test Generation/Result/Collections_19/result.json</x:v>
      </x:c>
      <x:c r="O277" s="25" t="str">
        <x:v>Feedback-Directed Random Test Generation/Result/Collections_19/result.json</x:v>
      </x:c>
      <x:c r="P277"/>
      <x:c r="Q277" s="21" t="str"/>
      <x:c r="R277" s="21" t="str"/>
      <x:c r="S277" s="21" t="str"/>
      <x:c r="T277" s="17" t="str">
        <x:v>false</x:v>
      </x:c>
      <x:c r="U277" s="17" t="str">
        <x:v>true</x:v>
      </x:c>
      <x:c r="V277" s="17" t="str">
        <x:v>false</x:v>
      </x:c>
    </x:row>
    <x:row r="278" ht="80" customHeight="1">
      <x:c r="A278" s="25" t="str">
        <x:v>Collections</x:v>
      </x:c>
      <x:c r="B278" s="25" t="n">
        <x:v>20</x:v>
      </x:c>
      <x:c r="C278" s="25" t="str">
        <x:v>Round1</x:v>
      </x:c>
      <x:c r="D278" s="25" t="str">
        <x:v>NOT_REVEALING</x:v>
      </x:c>
      <x:c r="E278" s="25" t="str">
        <x:v>N/A</x:v>
      </x:c>
      <x:c r="F278" s="26" t="str">
        <x:v>Same saved validation suite passed on buggy and fixed</x:v>
      </x:c>
      <x:c r="G278" s="25" t="str">
        <x:v>true</x:v>
      </x:c>
      <x:c r="H278" s="25" t="str">
        <x:v>NOT_REVEALING</x:v>
      </x:c>
      <x:c r="I278" s="25" t="str">
        <x:v>PASS</x:v>
      </x:c>
      <x:c r="J278" s="25" t="str">
        <x:v>PASS</x:v>
      </x:c>
      <x:c r="K278" s="25" t="n">
        <x:v>2</x:v>
      </x:c>
      <x:c r="L278" s="27" t="b">
        <x:v>0</x:v>
      </x:c>
      <x:c r="M278" s="25" t="str">
        <x:v>Feedback-Directed Random Test Generation/rounds/Round1/state/Collections.json</x:v>
      </x:c>
      <x:c r="N278" s="25" t="str">
        <x:v>Feedback-Directed Random Test Generation/Result/Collections_20/result.json</x:v>
      </x:c>
      <x:c r="O278" s="25" t="str">
        <x:v>Feedback-Directed Random Test Generation/Result/Collections_20/result.json</x:v>
      </x:c>
      <x:c r="P278"/>
      <x:c r="Q278" s="21" t="str"/>
      <x:c r="R278" s="21" t="str"/>
      <x:c r="S278" s="21" t="str"/>
      <x:c r="T278" s="17" t="str">
        <x:v>false</x:v>
      </x:c>
      <x:c r="U278" s="17" t="str">
        <x:v>true</x:v>
      </x:c>
      <x:c r="V278" s="17" t="str">
        <x:v>false</x:v>
      </x:c>
    </x:row>
    <x:row r="279" ht="80" customHeight="1">
      <x:c r="A279" s="25" t="str">
        <x:v>Collections</x:v>
      </x:c>
      <x:c r="B279" s="25" t="n">
        <x:v>21</x:v>
      </x:c>
      <x:c r="C279" s="25" t="str">
        <x:v>Round1</x:v>
      </x:c>
      <x:c r="D279" s="25" t="str">
        <x:v>NOT_REVEALING</x:v>
      </x:c>
      <x:c r="E279" s="25" t="str">
        <x:v>N/A</x:v>
      </x:c>
      <x:c r="F279" s="26" t="str">
        <x:v>Same saved validation suite passed on buggy and fixed</x:v>
      </x:c>
      <x:c r="G279" s="25" t="str">
        <x:v>true</x:v>
      </x:c>
      <x:c r="H279" s="25" t="str">
        <x:v>NOT_REVEALING</x:v>
      </x:c>
      <x:c r="I279" s="25" t="str">
        <x:v>PASS</x:v>
      </x:c>
      <x:c r="J279" s="25" t="str">
        <x:v>PASS</x:v>
      </x:c>
      <x:c r="K279" s="25" t="n">
        <x:v>2</x:v>
      </x:c>
      <x:c r="L279" s="27" t="b">
        <x:v>0</x:v>
      </x:c>
      <x:c r="M279" s="25" t="str">
        <x:v>Feedback-Directed Random Test Generation/rounds/Round1/state/Collections.json</x:v>
      </x:c>
      <x:c r="N279" s="25" t="str">
        <x:v>Feedback-Directed Random Test Generation/Result/Collections_21/result.json</x:v>
      </x:c>
      <x:c r="O279" s="25" t="str">
        <x:v>Feedback-Directed Random Test Generation/Result/Collections_21/result.json</x:v>
      </x:c>
      <x:c r="P279"/>
      <x:c r="Q279" s="21" t="str"/>
      <x:c r="R279" s="21" t="str"/>
      <x:c r="S279" s="21" t="str"/>
      <x:c r="T279" s="17" t="str">
        <x:v>false</x:v>
      </x:c>
      <x:c r="U279" s="17" t="str">
        <x:v>true</x:v>
      </x:c>
      <x:c r="V279" s="17" t="str">
        <x:v>false</x:v>
      </x:c>
    </x:row>
    <x:row r="280" ht="80" customHeight="1">
      <x:c r="A280" s="25" t="str">
        <x:v>Collections</x:v>
      </x:c>
      <x:c r="B280" s="25" t="n">
        <x:v>22</x:v>
      </x:c>
      <x:c r="C280" s="25" t="str">
        <x:v>Round1</x:v>
      </x:c>
      <x:c r="D280" s="25" t="str">
        <x:v>INCONCLUSIVE</x:v>
      </x:c>
      <x:c r="E280" s="25" t="str">
        <x:v>N/A</x:v>
      </x:c>
      <x:c r="F280" s="26" t="str">
        <x:v>Fixed also failed; assertion failure cannot be attributed to this bug; Assertions failed with measured coverage; paired execution and stage checks determine status</x:v>
      </x:c>
      <x:c r="G280" s="25" t="str">
        <x:v>true</x:v>
      </x:c>
      <x:c r="H280" s="25" t="str">
        <x:v>INCONCLUSIVE</x:v>
      </x:c>
      <x:c r="I280" s="25" t="str">
        <x:v>FAIL</x:v>
      </x:c>
      <x:c r="J280" s="25" t="str">
        <x:v>FAIL</x:v>
      </x:c>
      <x:c r="K280" s="25" t="n">
        <x:v>2</x:v>
      </x:c>
      <x:c r="L280" s="27" t="b">
        <x:v>0</x:v>
      </x:c>
      <x:c r="M280" s="25" t="str">
        <x:v>Feedback-Directed Random Test Generation/rounds/Round1/state/Collections.json</x:v>
      </x:c>
      <x:c r="N280" s="25" t="str">
        <x:v>Feedback-Directed Random Test Generation/Result/Collections_22/result.json</x:v>
      </x:c>
      <x:c r="O280" s="25" t="str">
        <x:v>Feedback-Directed Random Test Generation/Result/Collections_22/result.json</x:v>
      </x:c>
      <x:c r="P280"/>
      <x:c r="Q280" s="21" t="str"/>
      <x:c r="R280" s="21" t="str"/>
      <x:c r="S280" s="21" t="str"/>
      <x:c r="T280" s="17" t="str">
        <x:v>false</x:v>
      </x:c>
      <x:c r="U280" s="17" t="str">
        <x:v>true</x:v>
      </x:c>
      <x:c r="V280" s="17" t="str">
        <x:v>false</x:v>
      </x:c>
    </x:row>
    <x:row r="281" ht="80" customHeight="1">
      <x:c r="A281" s="25" t="str">
        <x:v>Collections</x:v>
      </x:c>
      <x:c r="B281" s="25" t="n">
        <x:v>23</x:v>
      </x:c>
      <x:c r="C281" s="25" t="str">
        <x:v>Round1</x:v>
      </x:c>
      <x:c r="D281" s="25" t="str">
        <x:v>NOT_REVEALING</x:v>
      </x:c>
      <x:c r="E281" s="25" t="str">
        <x:v>N/A</x:v>
      </x:c>
      <x:c r="F281" s="26" t="str">
        <x:v>Same saved validation suite passed on buggy and fixed</x:v>
      </x:c>
      <x:c r="G281" s="25" t="str">
        <x:v>true</x:v>
      </x:c>
      <x:c r="H281" s="25" t="str">
        <x:v>NOT_REVEALING</x:v>
      </x:c>
      <x:c r="I281" s="25" t="str">
        <x:v>PASS</x:v>
      </x:c>
      <x:c r="J281" s="25" t="str">
        <x:v>PASS</x:v>
      </x:c>
      <x:c r="K281" s="25" t="n">
        <x:v>2</x:v>
      </x:c>
      <x:c r="L281" s="27" t="b">
        <x:v>0</x:v>
      </x:c>
      <x:c r="M281" s="25" t="str">
        <x:v>Feedback-Directed Random Test Generation/rounds/Round1/state/Collections.json</x:v>
      </x:c>
      <x:c r="N281" s="25" t="str">
        <x:v>Feedback-Directed Random Test Generation/Result/Collections_23/result.json</x:v>
      </x:c>
      <x:c r="O281" s="25" t="str">
        <x:v>Feedback-Directed Random Test Generation/Result/Collections_23/result.json</x:v>
      </x:c>
      <x:c r="P281"/>
      <x:c r="Q281" s="21" t="str"/>
      <x:c r="R281" s="21" t="str"/>
      <x:c r="S281" s="21" t="str"/>
      <x:c r="T281" s="17" t="str">
        <x:v>false</x:v>
      </x:c>
      <x:c r="U281" s="17" t="str">
        <x:v>true</x:v>
      </x:c>
      <x:c r="V281" s="17" t="str">
        <x:v>false</x:v>
      </x:c>
    </x:row>
    <x:row r="282" ht="80" customHeight="1">
      <x:c r="A282" s="25" t="str">
        <x:v>Collections</x:v>
      </x:c>
      <x:c r="B282" s="25" t="n">
        <x:v>24</x:v>
      </x:c>
      <x:c r="C282" s="25" t="str">
        <x:v>Round1</x:v>
      </x:c>
      <x:c r="D282" s="25" t="str">
        <x:v>NOT_REVEALING</x:v>
      </x:c>
      <x:c r="E282" s="25" t="str">
        <x:v>N/A</x:v>
      </x:c>
      <x:c r="F282" s="26" t="str">
        <x:v>Same saved validation suite passed on buggy and fixed</x:v>
      </x:c>
      <x:c r="G282" s="25" t="str">
        <x:v>true</x:v>
      </x:c>
      <x:c r="H282" s="25" t="str">
        <x:v>NOT_REVEALING</x:v>
      </x:c>
      <x:c r="I282" s="25" t="str">
        <x:v>PASS</x:v>
      </x:c>
      <x:c r="J282" s="25" t="str">
        <x:v>PASS</x:v>
      </x:c>
      <x:c r="K282" s="25" t="n">
        <x:v>2</x:v>
      </x:c>
      <x:c r="L282" s="27" t="b">
        <x:v>0</x:v>
      </x:c>
      <x:c r="M282" s="25" t="str">
        <x:v>Feedback-Directed Random Test Generation/rounds/Round1/state/Collections.json</x:v>
      </x:c>
      <x:c r="N282" s="25" t="str">
        <x:v>Feedback-Directed Random Test Generation/Result/Collections_24/result.json</x:v>
      </x:c>
      <x:c r="O282" s="25" t="str">
        <x:v>Feedback-Directed Random Test Generation/Result/Collections_24/result.json</x:v>
      </x:c>
      <x:c r="P282"/>
      <x:c r="Q282" s="21" t="str"/>
      <x:c r="R282" s="21" t="str"/>
      <x:c r="S282" s="21" t="str"/>
      <x:c r="T282" s="17" t="str">
        <x:v>false</x:v>
      </x:c>
      <x:c r="U282" s="17" t="str">
        <x:v>true</x:v>
      </x:c>
      <x:c r="V282" s="17" t="str">
        <x:v>false</x:v>
      </x:c>
    </x:row>
    <x:row r="283" ht="80" customHeight="1">
      <x:c r="A283" s="25" t="str">
        <x:v>Collections</x:v>
      </x:c>
      <x:c r="B283" s="25" t="n">
        <x:v>25</x:v>
      </x:c>
      <x:c r="C283" s="25" t="str">
        <x:v>Round1</x:v>
      </x:c>
      <x:c r="D283" s="25" t="str">
        <x:v>NOT_REVEALING</x:v>
      </x:c>
      <x:c r="E283" s="25" t="str">
        <x:v>N/A</x:v>
      </x:c>
      <x:c r="F283" s="26" t="str">
        <x:v>Same saved validation suite passed on buggy and fixed</x:v>
      </x:c>
      <x:c r="G283" s="25" t="str">
        <x:v>true</x:v>
      </x:c>
      <x:c r="H283" s="25" t="str">
        <x:v>NOT_REVEALING</x:v>
      </x:c>
      <x:c r="I283" s="25" t="str">
        <x:v>PASS</x:v>
      </x:c>
      <x:c r="J283" s="25" t="str">
        <x:v>PASS</x:v>
      </x:c>
      <x:c r="K283" s="25" t="n">
        <x:v>2</x:v>
      </x:c>
      <x:c r="L283" s="27" t="b">
        <x:v>0</x:v>
      </x:c>
      <x:c r="M283" s="25" t="str">
        <x:v>Feedback-Directed Random Test Generation/rounds/Round1/state/Collections.json</x:v>
      </x:c>
      <x:c r="N283" s="25" t="str">
        <x:v>Feedback-Directed Random Test Generation/Result/Collections_25/result.json</x:v>
      </x:c>
      <x:c r="O283" s="25" t="str">
        <x:v>Feedback-Directed Random Test Generation/Result/Collections_25/result.json</x:v>
      </x:c>
      <x:c r="P283"/>
      <x:c r="Q283" s="21" t="str"/>
      <x:c r="R283" s="21" t="str"/>
      <x:c r="S283" s="21" t="str"/>
      <x:c r="T283" s="17" t="str">
        <x:v>false</x:v>
      </x:c>
      <x:c r="U283" s="17" t="str">
        <x:v>true</x:v>
      </x:c>
      <x:c r="V283" s="17" t="str">
        <x:v>false</x:v>
      </x:c>
    </x:row>
    <x:row r="284" ht="80" customHeight="1">
      <x:c r="A284" s="25" t="str">
        <x:v>Collections</x:v>
      </x:c>
      <x:c r="B284" s="25" t="n">
        <x:v>26</x:v>
      </x:c>
      <x:c r="C284" s="25" t="str">
        <x:v>Round1</x:v>
      </x:c>
      <x:c r="D284" s="25" t="str">
        <x:v>NOT_REVEALING</x:v>
      </x:c>
      <x:c r="E284" s="25" t="str">
        <x:v>N/A</x:v>
      </x:c>
      <x:c r="F284" s="26" t="str">
        <x:v>Same saved validation suite passed on buggy and fixed</x:v>
      </x:c>
      <x:c r="G284" s="25" t="str">
        <x:v>true</x:v>
      </x:c>
      <x:c r="H284" s="25" t="str">
        <x:v>NOT_REVEALING</x:v>
      </x:c>
      <x:c r="I284" s="25" t="str">
        <x:v>PASS</x:v>
      </x:c>
      <x:c r="J284" s="25" t="str">
        <x:v>PASS</x:v>
      </x:c>
      <x:c r="K284" s="25" t="n">
        <x:v>2</x:v>
      </x:c>
      <x:c r="L284" s="27" t="b">
        <x:v>0</x:v>
      </x:c>
      <x:c r="M284" s="25" t="str">
        <x:v>Feedback-Directed Random Test Generation/rounds/Round1/state/Collections.json</x:v>
      </x:c>
      <x:c r="N284" s="25" t="str">
        <x:v>Feedback-Directed Random Test Generation/Result/Collections_26/result.json</x:v>
      </x:c>
      <x:c r="O284" s="25" t="str">
        <x:v>Feedback-Directed Random Test Generation/Result/Collections_26/result.json</x:v>
      </x:c>
      <x:c r="P284"/>
      <x:c r="Q284" s="21" t="str"/>
      <x:c r="R284" s="21" t="str"/>
      <x:c r="S284" s="21" t="str"/>
      <x:c r="T284" s="17" t="str">
        <x:v>false</x:v>
      </x:c>
      <x:c r="U284" s="17" t="str">
        <x:v>true</x:v>
      </x:c>
      <x:c r="V284" s="17" t="str">
        <x:v>false</x:v>
      </x:c>
    </x:row>
    <x:row r="285" ht="80" customHeight="1">
      <x:c r="A285" s="25" t="str">
        <x:v>Collections</x:v>
      </x:c>
      <x:c r="B285" s="25" t="n">
        <x:v>27</x:v>
      </x:c>
      <x:c r="C285" s="25" t="str">
        <x:v>Round1</x:v>
      </x:c>
      <x:c r="D285" s="25" t="str">
        <x:v>NOT_REVEALING</x:v>
      </x:c>
      <x:c r="E285" s="25" t="str">
        <x:v>N/A</x:v>
      </x:c>
      <x:c r="F285" s="26" t="str">
        <x:v>Same saved validation suite passed on buggy and fixed</x:v>
      </x:c>
      <x:c r="G285" s="25" t="str">
        <x:v>true</x:v>
      </x:c>
      <x:c r="H285" s="25" t="str">
        <x:v>NOT_REVEALING</x:v>
      </x:c>
      <x:c r="I285" s="25" t="str">
        <x:v>PASS</x:v>
      </x:c>
      <x:c r="J285" s="25" t="str">
        <x:v>PASS</x:v>
      </x:c>
      <x:c r="K285" s="25" t="n">
        <x:v>2</x:v>
      </x:c>
      <x:c r="L285" s="27" t="b">
        <x:v>0</x:v>
      </x:c>
      <x:c r="M285" s="25" t="str">
        <x:v>Feedback-Directed Random Test Generation/rounds/Round1/state/Collections.json</x:v>
      </x:c>
      <x:c r="N285" s="25" t="str">
        <x:v>Feedback-Directed Random Test Generation/Result/Collections_27/result.json</x:v>
      </x:c>
      <x:c r="O285" s="25" t="str">
        <x:v>Feedback-Directed Random Test Generation/Result/Collections_27/result.json</x:v>
      </x:c>
      <x:c r="P285"/>
      <x:c r="Q285" s="21" t="str"/>
      <x:c r="R285" s="21" t="str"/>
      <x:c r="S285" s="21" t="str"/>
      <x:c r="T285" s="17" t="str">
        <x:v>false</x:v>
      </x:c>
      <x:c r="U285" s="17" t="str">
        <x:v>true</x:v>
      </x:c>
      <x:c r="V285" s="17" t="str">
        <x:v>false</x:v>
      </x:c>
    </x:row>
    <x:row r="286" ht="80" customHeight="1">
      <x:c r="A286" s="25" t="str">
        <x:v>Collections</x:v>
      </x:c>
      <x:c r="B286" s="25" t="n">
        <x:v>28</x:v>
      </x:c>
      <x:c r="C286" s="25" t="str">
        <x:v>Round1</x:v>
      </x:c>
      <x:c r="D286" s="25" t="str">
        <x:v>NOT_REVEALING</x:v>
      </x:c>
      <x:c r="E286" s="25" t="str">
        <x:v>N/A</x:v>
      </x:c>
      <x:c r="F286" s="26" t="str">
        <x:v>Same saved validation suite passed on buggy and fixed</x:v>
      </x:c>
      <x:c r="G286" s="25" t="str">
        <x:v>true</x:v>
      </x:c>
      <x:c r="H286" s="25" t="str">
        <x:v>NOT_REVEALING</x:v>
      </x:c>
      <x:c r="I286" s="25" t="str">
        <x:v>PASS</x:v>
      </x:c>
      <x:c r="J286" s="25" t="str">
        <x:v>PASS</x:v>
      </x:c>
      <x:c r="K286" s="25" t="n">
        <x:v>2</x:v>
      </x:c>
      <x:c r="L286" s="27" t="b">
        <x:v>0</x:v>
      </x:c>
      <x:c r="M286" s="25" t="str">
        <x:v>Feedback-Directed Random Test Generation/rounds/Round1/state/Collections.json</x:v>
      </x:c>
      <x:c r="N286" s="25" t="str">
        <x:v>Feedback-Directed Random Test Generation/Result/Collections_28/result.json</x:v>
      </x:c>
      <x:c r="O286" s="25" t="str">
        <x:v>Feedback-Directed Random Test Generation/Result/Collections_28/result.json</x:v>
      </x:c>
      <x:c r="P286"/>
      <x:c r="Q286" s="21" t="str"/>
      <x:c r="R286" s="21" t="str"/>
      <x:c r="S286" s="21" t="str"/>
      <x:c r="T286" s="17" t="str">
        <x:v>false</x:v>
      </x:c>
      <x:c r="U286" s="17" t="str">
        <x:v>true</x:v>
      </x:c>
      <x:c r="V286" s="17" t="str">
        <x:v>false</x:v>
      </x:c>
    </x:row>
    <x:row r="287" ht="80" customHeight="1">
      <x:c r="A287" s="25" t="str">
        <x:v>Compress</x:v>
      </x:c>
      <x:c r="B287" s="25" t="n">
        <x:v>1</x:v>
      </x:c>
      <x:c r="C287" s="25" t="str">
        <x:v>Round1</x:v>
      </x:c>
      <x:c r="D287" s="25" t="str">
        <x:v>INCONCLUSIVE</x:v>
      </x:c>
      <x:c r="E287" s="25" t="str">
        <x:v>N/A</x:v>
      </x:c>
      <x:c r="F287" s="26" t="str">
        <x:v>Fixed also failed; assertion failure cannot be attributed to this bug</x:v>
      </x:c>
      <x:c r="G287" s="25" t="str">
        <x:v>true</x:v>
      </x:c>
      <x:c r="H287" s="25" t="str">
        <x:v>INCONCLUSIVE</x:v>
      </x:c>
      <x:c r="I287" s="25" t="str">
        <x:v>PASS</x:v>
      </x:c>
      <x:c r="J287" s="25" t="str">
        <x:v>FAIL</x:v>
      </x:c>
      <x:c r="K287" s="25" t="n">
        <x:v>2</x:v>
      </x:c>
      <x:c r="L287" s="27" t="b">
        <x:v>0</x:v>
      </x:c>
      <x:c r="M287" s="25" t="str">
        <x:v>Feedback-Directed Random Test Generation/rounds/Round1/state/Compress.json</x:v>
      </x:c>
      <x:c r="N287" s="25" t="str">
        <x:v>Feedback-Directed Random Test Generation/Result/Compress_1/result.json</x:v>
      </x:c>
      <x:c r="O287" s="25" t="str">
        <x:v>Feedback-Directed Random Test Generation/Result/Compress_1/result.json</x:v>
      </x:c>
      <x:c r="P287"/>
      <x:c r="Q287" s="21" t="str"/>
      <x:c r="R287" s="21" t="str"/>
      <x:c r="S287" s="21" t="str"/>
      <x:c r="T287" s="17" t="str">
        <x:v>false</x:v>
      </x:c>
      <x:c r="U287" s="17" t="str">
        <x:v>true</x:v>
      </x:c>
      <x:c r="V287" s="17" t="str">
        <x:v>false</x:v>
      </x:c>
    </x:row>
    <x:row r="288" ht="80" customHeight="1">
      <x:c r="A288" s="25" t="str">
        <x:v>Compress</x:v>
      </x:c>
      <x:c r="B288" s="25" t="n">
        <x:v>2</x:v>
      </x:c>
      <x:c r="C288" s="25" t="str">
        <x:v>Round1</x:v>
      </x:c>
      <x:c r="D288" s="25" t="str">
        <x:v>NOT_REVEALING</x:v>
      </x:c>
      <x:c r="E288" s="25" t="str">
        <x:v>N/A</x:v>
      </x:c>
      <x:c r="F288" s="26" t="str">
        <x:v>Same saved validation suite passed on buggy and fixed</x:v>
      </x:c>
      <x:c r="G288" s="25" t="str">
        <x:v>true</x:v>
      </x:c>
      <x:c r="H288" s="25" t="str">
        <x:v>NOT_REVEALING</x:v>
      </x:c>
      <x:c r="I288" s="25" t="str">
        <x:v>PASS</x:v>
      </x:c>
      <x:c r="J288" s="25" t="str">
        <x:v>PASS</x:v>
      </x:c>
      <x:c r="K288" s="25" t="n">
        <x:v>2</x:v>
      </x:c>
      <x:c r="L288" s="27" t="b">
        <x:v>0</x:v>
      </x:c>
      <x:c r="M288" s="25" t="str">
        <x:v>Feedback-Directed Random Test Generation/rounds/Round1/state/Compress.json</x:v>
      </x:c>
      <x:c r="N288" s="25" t="str">
        <x:v>Feedback-Directed Random Test Generation/Result/Compress_2/result.json</x:v>
      </x:c>
      <x:c r="O288" s="25" t="str">
        <x:v>Feedback-Directed Random Test Generation/Result/Compress_2/result.json</x:v>
      </x:c>
      <x:c r="P288"/>
      <x:c r="Q288" s="21" t="str"/>
      <x:c r="R288" s="21" t="str"/>
      <x:c r="S288" s="21" t="str"/>
      <x:c r="T288" s="17" t="str">
        <x:v>false</x:v>
      </x:c>
      <x:c r="U288" s="17" t="str">
        <x:v>true</x:v>
      </x:c>
      <x:c r="V288" s="17" t="str">
        <x:v>false</x:v>
      </x:c>
    </x:row>
    <x:row r="289" ht="80" customHeight="1">
      <x:c r="A289" s="25" t="str">
        <x:v>Compress</x:v>
      </x:c>
      <x:c r="B289" s="25" t="n">
        <x:v>3</x:v>
      </x:c>
      <x:c r="C289" s="25" t="str">
        <x:v>Round1</x:v>
      </x:c>
      <x:c r="D289" s="25" t="str">
        <x:v>NOT_REVEALING</x:v>
      </x:c>
      <x:c r="E289" s="25" t="str">
        <x:v>N/A</x:v>
      </x:c>
      <x:c r="F289" s="26" t="str">
        <x:v>Same saved validation suite passed on buggy and fixed</x:v>
      </x:c>
      <x:c r="G289" s="25" t="str">
        <x:v>true</x:v>
      </x:c>
      <x:c r="H289" s="25" t="str">
        <x:v>NOT_REVEALING</x:v>
      </x:c>
      <x:c r="I289" s="25" t="str">
        <x:v>PASS</x:v>
      </x:c>
      <x:c r="J289" s="25" t="str">
        <x:v>PASS</x:v>
      </x:c>
      <x:c r="K289" s="25" t="n">
        <x:v>2</x:v>
      </x:c>
      <x:c r="L289" s="27" t="b">
        <x:v>0</x:v>
      </x:c>
      <x:c r="M289" s="25" t="str">
        <x:v>Feedback-Directed Random Test Generation/rounds/Round1/state/Compress.json</x:v>
      </x:c>
      <x:c r="N289" s="25" t="str">
        <x:v>Feedback-Directed Random Test Generation/Result/Compress_3/result.json</x:v>
      </x:c>
      <x:c r="O289" s="25" t="str">
        <x:v>Feedback-Directed Random Test Generation/Result/Compress_3/result.json</x:v>
      </x:c>
      <x:c r="P289"/>
      <x:c r="Q289" s="21" t="str"/>
      <x:c r="R289" s="21" t="str"/>
      <x:c r="S289" s="21" t="str"/>
      <x:c r="T289" s="17" t="str">
        <x:v>false</x:v>
      </x:c>
      <x:c r="U289" s="17" t="str">
        <x:v>true</x:v>
      </x:c>
      <x:c r="V289" s="17" t="str">
        <x:v>false</x:v>
      </x:c>
    </x:row>
    <x:row r="290" ht="80" customHeight="1">
      <x:c r="A290" s="25" t="str">
        <x:v>Compress</x:v>
      </x:c>
      <x:c r="B290" s="25" t="n">
        <x:v>4</x:v>
      </x:c>
      <x:c r="C290" s="25" t="str">
        <x:v>Round1</x:v>
      </x:c>
      <x:c r="D290" s="25" t="str">
        <x:v>INCONCLUSIVE</x:v>
      </x:c>
      <x:c r="E290" s="25" t="str">
        <x:v>N/A</x:v>
      </x:c>
      <x:c r="F290" s="26" t="str">
        <x:v>Fixed also failed; assertion failure cannot be attributed to this bug</x:v>
      </x:c>
      <x:c r="G290" s="25" t="str">
        <x:v>true</x:v>
      </x:c>
      <x:c r="H290" s="25" t="str">
        <x:v>INCONCLUSIVE</x:v>
      </x:c>
      <x:c r="I290" s="25" t="str">
        <x:v>PASS</x:v>
      </x:c>
      <x:c r="J290" s="25" t="str">
        <x:v>FAIL</x:v>
      </x:c>
      <x:c r="K290" s="25" t="n">
        <x:v>2</x:v>
      </x:c>
      <x:c r="L290" s="27" t="b">
        <x:v>0</x:v>
      </x:c>
      <x:c r="M290" s="25" t="str">
        <x:v>Feedback-Directed Random Test Generation/rounds/Round1/state/Compress.json</x:v>
      </x:c>
      <x:c r="N290" s="25" t="str">
        <x:v>Feedback-Directed Random Test Generation/Result/Compress_4/result.json</x:v>
      </x:c>
      <x:c r="O290" s="25" t="str">
        <x:v>Feedback-Directed Random Test Generation/Result/Compress_4/result.json</x:v>
      </x:c>
      <x:c r="P290"/>
      <x:c r="Q290" s="21" t="str"/>
      <x:c r="R290" s="21" t="str"/>
      <x:c r="S290" s="21" t="str"/>
      <x:c r="T290" s="17" t="str">
        <x:v>false</x:v>
      </x:c>
      <x:c r="U290" s="17" t="str">
        <x:v>true</x:v>
      </x:c>
      <x:c r="V290" s="17" t="str">
        <x:v>false</x:v>
      </x:c>
    </x:row>
    <x:row r="291" ht="80" customHeight="1">
      <x:c r="A291" s="25" t="str">
        <x:v>Compress</x:v>
      </x:c>
      <x:c r="B291" s="25" t="n">
        <x:v>5</x:v>
      </x:c>
      <x:c r="C291" s="25" t="str">
        <x:v>Round1</x:v>
      </x:c>
      <x:c r="D291" s="25" t="str">
        <x:v>NOT_REVEALING</x:v>
      </x:c>
      <x:c r="E291" s="25" t="str">
        <x:v>N/A</x:v>
      </x:c>
      <x:c r="F291" s="26" t="str">
        <x:v>Same saved validation suite passed on buggy and fixed</x:v>
      </x:c>
      <x:c r="G291" s="25" t="str">
        <x:v>true</x:v>
      </x:c>
      <x:c r="H291" s="25" t="str">
        <x:v>NOT_REVEALING</x:v>
      </x:c>
      <x:c r="I291" s="25" t="str">
        <x:v>PASS</x:v>
      </x:c>
      <x:c r="J291" s="25" t="str">
        <x:v>PASS</x:v>
      </x:c>
      <x:c r="K291" s="25" t="n">
        <x:v>2</x:v>
      </x:c>
      <x:c r="L291" s="27" t="b">
        <x:v>0</x:v>
      </x:c>
      <x:c r="M291" s="25" t="str">
        <x:v>Feedback-Directed Random Test Generation/rounds/Round1/state/Compress.json</x:v>
      </x:c>
      <x:c r="N291" s="25" t="str">
        <x:v>Feedback-Directed Random Test Generation/Result/Compress_5/result.json</x:v>
      </x:c>
      <x:c r="O291" s="25" t="str">
        <x:v>Feedback-Directed Random Test Generation/Result/Compress_5/result.json</x:v>
      </x:c>
      <x:c r="P291"/>
      <x:c r="Q291" s="21" t="str"/>
      <x:c r="R291" s="21" t="str"/>
      <x:c r="S291" s="21" t="str"/>
      <x:c r="T291" s="17" t="str">
        <x:v>false</x:v>
      </x:c>
      <x:c r="U291" s="17" t="str">
        <x:v>true</x:v>
      </x:c>
      <x:c r="V291" s="17" t="str">
        <x:v>false</x:v>
      </x:c>
    </x:row>
    <x:row r="292" ht="80" customHeight="1">
      <x:c r="A292" s="25" t="str">
        <x:v>Compress</x:v>
      </x:c>
      <x:c r="B292" s="25" t="n">
        <x:v>6</x:v>
      </x:c>
      <x:c r="C292" s="25" t="str">
        <x:v>Round1</x:v>
      </x:c>
      <x:c r="D292" s="25" t="str">
        <x:v>INCONCLUSIVE</x:v>
      </x:c>
      <x:c r="E292" s="25" t="str">
        <x:v>N/A</x:v>
      </x:c>
      <x:c r="F292" s="26" t="str">
        <x:v>Fixed also failed; assertion failure cannot be attributed to this bug; Assertions failed with measured coverage; paired execution and stage checks determine status</x:v>
      </x:c>
      <x:c r="G292" s="25" t="str">
        <x:v>true</x:v>
      </x:c>
      <x:c r="H292" s="25" t="str">
        <x:v>INCONCLUSIVE</x:v>
      </x:c>
      <x:c r="I292" s="25" t="str">
        <x:v>FAIL</x:v>
      </x:c>
      <x:c r="J292" s="25" t="str">
        <x:v>FAIL</x:v>
      </x:c>
      <x:c r="K292" s="25" t="n">
        <x:v>2</x:v>
      </x:c>
      <x:c r="L292" s="27" t="b">
        <x:v>0</x:v>
      </x:c>
      <x:c r="M292" s="25" t="str">
        <x:v>Feedback-Directed Random Test Generation/rounds/Round1/state/Compress.json</x:v>
      </x:c>
      <x:c r="N292" s="25" t="str">
        <x:v>Feedback-Directed Random Test Generation/Result/Compress_6/result.json</x:v>
      </x:c>
      <x:c r="O292" s="25" t="str">
        <x:v>Feedback-Directed Random Test Generation/Result/Compress_6/result.json</x:v>
      </x:c>
      <x:c r="P292"/>
      <x:c r="Q292" s="21" t="str"/>
      <x:c r="R292" s="21" t="str"/>
      <x:c r="S292" s="21" t="str"/>
      <x:c r="T292" s="17" t="str">
        <x:v>false</x:v>
      </x:c>
      <x:c r="U292" s="17" t="str">
        <x:v>true</x:v>
      </x:c>
      <x:c r="V292" s="17" t="str">
        <x:v>false</x:v>
      </x:c>
    </x:row>
    <x:row r="293" ht="80" customHeight="1">
      <x:c r="A293" s="25" t="str">
        <x:v>Compress</x:v>
      </x:c>
      <x:c r="B293" s="25" t="n">
        <x:v>7</x:v>
      </x:c>
      <x:c r="C293" s="25" t="str">
        <x:v>Round1</x:v>
      </x:c>
      <x:c r="D293" s="25" t="str">
        <x:v>INCONCLUSIVE</x:v>
      </x:c>
      <x:c r="E293" s="25" t="str">
        <x:v>N/A</x:v>
      </x:c>
      <x:c r="F293" s="26" t="str">
        <x:v>Fixed also failed; assertion failure cannot be attributed to this bug</x:v>
      </x:c>
      <x:c r="G293" s="25" t="str">
        <x:v>true</x:v>
      </x:c>
      <x:c r="H293" s="25" t="str">
        <x:v>INCONCLUSIVE</x:v>
      </x:c>
      <x:c r="I293" s="25" t="str">
        <x:v>PASS</x:v>
      </x:c>
      <x:c r="J293" s="25" t="str">
        <x:v>FAIL</x:v>
      </x:c>
      <x:c r="K293" s="25" t="n">
        <x:v>2</x:v>
      </x:c>
      <x:c r="L293" s="27" t="b">
        <x:v>0</x:v>
      </x:c>
      <x:c r="M293" s="25" t="str">
        <x:v>Feedback-Directed Random Test Generation/rounds/Round1/state/Compress.json</x:v>
      </x:c>
      <x:c r="N293" s="25" t="str">
        <x:v>Feedback-Directed Random Test Generation/Result/Compress_7/result.json</x:v>
      </x:c>
      <x:c r="O293" s="25" t="str">
        <x:v>Feedback-Directed Random Test Generation/Result/Compress_7/result.json</x:v>
      </x:c>
      <x:c r="P293"/>
      <x:c r="Q293" s="21" t="str"/>
      <x:c r="R293" s="21" t="str"/>
      <x:c r="S293" s="21" t="str"/>
      <x:c r="T293" s="17" t="str">
        <x:v>false</x:v>
      </x:c>
      <x:c r="U293" s="17" t="str">
        <x:v>true</x:v>
      </x:c>
      <x:c r="V293" s="17" t="str">
        <x:v>false</x:v>
      </x:c>
    </x:row>
    <x:row r="294" ht="80" customHeight="1">
      <x:c r="A294" s="25" t="str">
        <x:v>Compress</x:v>
      </x:c>
      <x:c r="B294" s="25" t="n">
        <x:v>8</x:v>
      </x:c>
      <x:c r="C294" s="25" t="str">
        <x:v>Round1</x:v>
      </x:c>
      <x:c r="D294" s="25" t="str">
        <x:v>INCONCLUSIVE</x:v>
      </x:c>
      <x:c r="E294" s="25" t="str">
        <x:v>N/A</x:v>
      </x:c>
      <x:c r="F294" s="26" t="str">
        <x:v>Fixed also failed; assertion failure cannot be attributed to this bug</x:v>
      </x:c>
      <x:c r="G294" s="25" t="str">
        <x:v>true</x:v>
      </x:c>
      <x:c r="H294" s="25" t="str">
        <x:v>INCONCLUSIVE</x:v>
      </x:c>
      <x:c r="I294" s="25" t="str">
        <x:v>PASS</x:v>
      </x:c>
      <x:c r="J294" s="25" t="str">
        <x:v>FAIL</x:v>
      </x:c>
      <x:c r="K294" s="25" t="n">
        <x:v>2</x:v>
      </x:c>
      <x:c r="L294" s="27" t="b">
        <x:v>0</x:v>
      </x:c>
      <x:c r="M294" s="25" t="str">
        <x:v>Feedback-Directed Random Test Generation/rounds/Round1/state/Compress.json</x:v>
      </x:c>
      <x:c r="N294" s="25" t="str">
        <x:v>Feedback-Directed Random Test Generation/Result/Compress_8/result.json</x:v>
      </x:c>
      <x:c r="O294" s="25" t="str">
        <x:v>Feedback-Directed Random Test Generation/Result/Compress_8/result.json</x:v>
      </x:c>
      <x:c r="P294"/>
      <x:c r="Q294" s="21" t="str"/>
      <x:c r="R294" s="21" t="str"/>
      <x:c r="S294" s="21" t="str"/>
      <x:c r="T294" s="17" t="str">
        <x:v>false</x:v>
      </x:c>
      <x:c r="U294" s="17" t="str">
        <x:v>true</x:v>
      </x:c>
      <x:c r="V294" s="17" t="str">
        <x:v>false</x:v>
      </x:c>
    </x:row>
    <x:row r="295" ht="80" customHeight="1">
      <x:c r="A295" s="25" t="str">
        <x:v>Compress</x:v>
      </x:c>
      <x:c r="B295" s="25" t="n">
        <x:v>9</x:v>
      </x:c>
      <x:c r="C295" s="25" t="str">
        <x:v>Round1</x:v>
      </x:c>
      <x:c r="D295" s="25" t="str">
        <x:v>NOT_REVEALING</x:v>
      </x:c>
      <x:c r="E295" s="25" t="str">
        <x:v>N/A</x:v>
      </x:c>
      <x:c r="F295" s="26" t="str">
        <x:v>Same saved validation suite passed on buggy and fixed</x:v>
      </x:c>
      <x:c r="G295" s="25" t="str">
        <x:v>true</x:v>
      </x:c>
      <x:c r="H295" s="25" t="str">
        <x:v>NOT_REVEALING</x:v>
      </x:c>
      <x:c r="I295" s="25" t="str">
        <x:v>PASS</x:v>
      </x:c>
      <x:c r="J295" s="25" t="str">
        <x:v>PASS</x:v>
      </x:c>
      <x:c r="K295" s="25" t="n">
        <x:v>2</x:v>
      </x:c>
      <x:c r="L295" s="27" t="b">
        <x:v>0</x:v>
      </x:c>
      <x:c r="M295" s="25" t="str">
        <x:v>Feedback-Directed Random Test Generation/rounds/Round1/state/Compress.json</x:v>
      </x:c>
      <x:c r="N295" s="25" t="str">
        <x:v>Feedback-Directed Random Test Generation/Result/Compress_9/result.json</x:v>
      </x:c>
      <x:c r="O295" s="25" t="str">
        <x:v>Feedback-Directed Random Test Generation/Result/Compress_9/result.json</x:v>
      </x:c>
      <x:c r="P295"/>
      <x:c r="Q295" s="21" t="str"/>
      <x:c r="R295" s="21" t="str"/>
      <x:c r="S295" s="21" t="str"/>
      <x:c r="T295" s="17" t="str">
        <x:v>false</x:v>
      </x:c>
      <x:c r="U295" s="17" t="str">
        <x:v>true</x:v>
      </x:c>
      <x:c r="V295" s="17" t="str">
        <x:v>false</x:v>
      </x:c>
    </x:row>
    <x:row r="296" ht="80" customHeight="1">
      <x:c r="A296" s="25" t="str">
        <x:v>Compress</x:v>
      </x:c>
      <x:c r="B296" s="25" t="n">
        <x:v>10</x:v>
      </x:c>
      <x:c r="C296" s="25" t="str">
        <x:v>Round1</x:v>
      </x:c>
      <x:c r="D296" s="25" t="str">
        <x:v>NOT_REVEALING</x:v>
      </x:c>
      <x:c r="E296" s="25" t="str">
        <x:v>N/A</x:v>
      </x:c>
      <x:c r="F296" s="26" t="str">
        <x:v>Same saved validation suite passed on buggy and fixed</x:v>
      </x:c>
      <x:c r="G296" s="25" t="str">
        <x:v>true</x:v>
      </x:c>
      <x:c r="H296" s="25" t="str">
        <x:v>NOT_REVEALING</x:v>
      </x:c>
      <x:c r="I296" s="25" t="str">
        <x:v>PASS</x:v>
      </x:c>
      <x:c r="J296" s="25" t="str">
        <x:v>PASS</x:v>
      </x:c>
      <x:c r="K296" s="25" t="n">
        <x:v>2</x:v>
      </x:c>
      <x:c r="L296" s="27" t="b">
        <x:v>0</x:v>
      </x:c>
      <x:c r="M296" s="25" t="str">
        <x:v>Feedback-Directed Random Test Generation/rounds/Round1/state/Compress.json</x:v>
      </x:c>
      <x:c r="N296" s="25" t="str">
        <x:v>Feedback-Directed Random Test Generation/Result/Compress_10/result.json</x:v>
      </x:c>
      <x:c r="O296" s="25" t="str">
        <x:v>Feedback-Directed Random Test Generation/Result/Compress_10/result.json</x:v>
      </x:c>
      <x:c r="P296"/>
      <x:c r="Q296" s="21" t="str"/>
      <x:c r="R296" s="21" t="str"/>
      <x:c r="S296" s="21" t="str"/>
      <x:c r="T296" s="17" t="str">
        <x:v>false</x:v>
      </x:c>
      <x:c r="U296" s="17" t="str">
        <x:v>true</x:v>
      </x:c>
      <x:c r="V296" s="17" t="str">
        <x:v>false</x:v>
      </x:c>
    </x:row>
    <x:row r="297" ht="80" customHeight="1">
      <x:c r="A297" s="25" t="str">
        <x:v>Compress</x:v>
      </x:c>
      <x:c r="B297" s="25" t="n">
        <x:v>11</x:v>
      </x:c>
      <x:c r="C297" s="25" t="str">
        <x:v>Round1</x:v>
      </x:c>
      <x:c r="D297" s="25" t="str">
        <x:v>NOT_REVEALING</x:v>
      </x:c>
      <x:c r="E297" s="25" t="str">
        <x:v>N/A</x:v>
      </x:c>
      <x:c r="F297" s="26" t="str">
        <x:v>Same saved validation suite passed on buggy and fixed</x:v>
      </x:c>
      <x:c r="G297" s="25" t="str">
        <x:v>true</x:v>
      </x:c>
      <x:c r="H297" s="25" t="str">
        <x:v>NOT_REVEALING</x:v>
      </x:c>
      <x:c r="I297" s="25" t="str">
        <x:v>PASS</x:v>
      </x:c>
      <x:c r="J297" s="25" t="str">
        <x:v>PASS</x:v>
      </x:c>
      <x:c r="K297" s="25" t="n">
        <x:v>2</x:v>
      </x:c>
      <x:c r="L297" s="27" t="b">
        <x:v>0</x:v>
      </x:c>
      <x:c r="M297" s="25" t="str">
        <x:v>Feedback-Directed Random Test Generation/rounds/Round1/state/Compress.json</x:v>
      </x:c>
      <x:c r="N297" s="25" t="str">
        <x:v>Feedback-Directed Random Test Generation/Result/Compress_11/result.json</x:v>
      </x:c>
      <x:c r="O297" s="25" t="str">
        <x:v>Feedback-Directed Random Test Generation/Result/Compress_11/result.json</x:v>
      </x:c>
      <x:c r="P297"/>
      <x:c r="Q297" s="21" t="str"/>
      <x:c r="R297" s="21" t="str"/>
      <x:c r="S297" s="21" t="str"/>
      <x:c r="T297" s="17" t="str">
        <x:v>false</x:v>
      </x:c>
      <x:c r="U297" s="17" t="str">
        <x:v>true</x:v>
      </x:c>
      <x:c r="V297" s="17" t="str">
        <x:v>false</x:v>
      </x:c>
    </x:row>
    <x:row r="298" ht="80" customHeight="1">
      <x:c r="A298" s="25" t="str">
        <x:v>Compress</x:v>
      </x:c>
      <x:c r="B298" s="25" t="n">
        <x:v>12</x:v>
      </x:c>
      <x:c r="C298" s="25" t="str">
        <x:v>Round1</x:v>
      </x:c>
      <x:c r="D298" s="25" t="str">
        <x:v>NOT_REVEALING</x:v>
      </x:c>
      <x:c r="E298" s="25" t="str">
        <x:v>N/A</x:v>
      </x:c>
      <x:c r="F298" s="26" t="str">
        <x:v>Same saved validation suite passed on buggy and fixed</x:v>
      </x:c>
      <x:c r="G298" s="25" t="str">
        <x:v>true</x:v>
      </x:c>
      <x:c r="H298" s="25" t="str">
        <x:v>NOT_REVEALING</x:v>
      </x:c>
      <x:c r="I298" s="25" t="str">
        <x:v>PASS</x:v>
      </x:c>
      <x:c r="J298" s="25" t="str">
        <x:v>PASS</x:v>
      </x:c>
      <x:c r="K298" s="25" t="n">
        <x:v>2</x:v>
      </x:c>
      <x:c r="L298" s="27" t="b">
        <x:v>0</x:v>
      </x:c>
      <x:c r="M298" s="25" t="str">
        <x:v>Feedback-Directed Random Test Generation/rounds/Round1/state/Compress.json</x:v>
      </x:c>
      <x:c r="N298" s="25" t="str">
        <x:v>Feedback-Directed Random Test Generation/Result/Compress_12/result.json</x:v>
      </x:c>
      <x:c r="O298" s="25" t="str">
        <x:v>Feedback-Directed Random Test Generation/Result/Compress_12/result.json</x:v>
      </x:c>
      <x:c r="P298"/>
      <x:c r="Q298" s="21" t="str"/>
      <x:c r="R298" s="21" t="str"/>
      <x:c r="S298" s="21" t="str"/>
      <x:c r="T298" s="17" t="str">
        <x:v>false</x:v>
      </x:c>
      <x:c r="U298" s="17" t="str">
        <x:v>true</x:v>
      </x:c>
      <x:c r="V298" s="17" t="str">
        <x:v>false</x:v>
      </x:c>
    </x:row>
    <x:row r="299" ht="80" customHeight="1">
      <x:c r="A299" s="25" t="str">
        <x:v>Compress</x:v>
      </x:c>
      <x:c r="B299" s="25" t="n">
        <x:v>13</x:v>
      </x:c>
      <x:c r="C299" s="25" t="str">
        <x:v>Round1</x:v>
      </x:c>
      <x:c r="D299" s="25" t="str">
        <x:v>NOT_REVEALING</x:v>
      </x:c>
      <x:c r="E299" s="25" t="str">
        <x:v>N/A</x:v>
      </x:c>
      <x:c r="F299" s="26" t="str">
        <x:v>Same saved validation suite passed on buggy and fixed</x:v>
      </x:c>
      <x:c r="G299" s="25" t="str">
        <x:v>true</x:v>
      </x:c>
      <x:c r="H299" s="25" t="str">
        <x:v>NOT_REVEALING</x:v>
      </x:c>
      <x:c r="I299" s="25" t="str">
        <x:v>PASS</x:v>
      </x:c>
      <x:c r="J299" s="25" t="str">
        <x:v>PASS</x:v>
      </x:c>
      <x:c r="K299" s="25" t="n">
        <x:v>2</x:v>
      </x:c>
      <x:c r="L299" s="27" t="b">
        <x:v>0</x:v>
      </x:c>
      <x:c r="M299" s="25" t="str">
        <x:v>Feedback-Directed Random Test Generation/rounds/Round1/state/Compress.json</x:v>
      </x:c>
      <x:c r="N299" s="25" t="str">
        <x:v>Feedback-Directed Random Test Generation/Result/Compress_13/result.json</x:v>
      </x:c>
      <x:c r="O299" s="25" t="str">
        <x:v>Feedback-Directed Random Test Generation/Result/Compress_13/result.json</x:v>
      </x:c>
      <x:c r="P299"/>
      <x:c r="Q299" s="21" t="str"/>
      <x:c r="R299" s="21" t="str"/>
      <x:c r="S299" s="21" t="str"/>
      <x:c r="T299" s="17" t="str">
        <x:v>false</x:v>
      </x:c>
      <x:c r="U299" s="17" t="str">
        <x:v>true</x:v>
      </x:c>
      <x:c r="V299" s="17" t="str">
        <x:v>false</x:v>
      </x:c>
    </x:row>
    <x:row r="300" ht="80" customHeight="1">
      <x:c r="A300" s="25" t="str">
        <x:v>Compress</x:v>
      </x:c>
      <x:c r="B300" s="25" t="n">
        <x:v>14</x:v>
      </x:c>
      <x:c r="C300" s="25" t="str">
        <x:v>Round1</x:v>
      </x:c>
      <x:c r="D300" s="25" t="str">
        <x:v>NOT_REVEALING</x:v>
      </x:c>
      <x:c r="E300" s="25" t="str">
        <x:v>N/A</x:v>
      </x:c>
      <x:c r="F300" s="26" t="str">
        <x:v>Same saved validation suite passed on buggy and fixed</x:v>
      </x:c>
      <x:c r="G300" s="25" t="str">
        <x:v>true</x:v>
      </x:c>
      <x:c r="H300" s="25" t="str">
        <x:v>NOT_REVEALING</x:v>
      </x:c>
      <x:c r="I300" s="25" t="str">
        <x:v>PASS</x:v>
      </x:c>
      <x:c r="J300" s="25" t="str">
        <x:v>PASS</x:v>
      </x:c>
      <x:c r="K300" s="25" t="n">
        <x:v>2</x:v>
      </x:c>
      <x:c r="L300" s="27" t="b">
        <x:v>0</x:v>
      </x:c>
      <x:c r="M300" s="25" t="str">
        <x:v>Feedback-Directed Random Test Generation/rounds/Round1/state/Compress.json</x:v>
      </x:c>
      <x:c r="N300" s="25" t="str">
        <x:v>Feedback-Directed Random Test Generation/Result/Compress_14/result.json</x:v>
      </x:c>
      <x:c r="O300" s="25" t="str">
        <x:v>Feedback-Directed Random Test Generation/Result/Compress_14/result.json</x:v>
      </x:c>
      <x:c r="P300"/>
      <x:c r="Q300" s="21" t="str"/>
      <x:c r="R300" s="21" t="str"/>
      <x:c r="S300" s="21" t="str"/>
      <x:c r="T300" s="17" t="str">
        <x:v>false</x:v>
      </x:c>
      <x:c r="U300" s="17" t="str">
        <x:v>true</x:v>
      </x:c>
      <x:c r="V300" s="17" t="str">
        <x:v>false</x:v>
      </x:c>
    </x:row>
    <x:row r="301" ht="80" customHeight="1">
      <x:c r="A301" s="25" t="str">
        <x:v>Compress</x:v>
      </x:c>
      <x:c r="B301" s="25" t="n">
        <x:v>15</x:v>
      </x:c>
      <x:c r="C301" s="25" t="str">
        <x:v>Round1</x:v>
      </x:c>
      <x:c r="D301" s="25" t="str">
        <x:v>NOT_REVEALING</x:v>
      </x:c>
      <x:c r="E301" s="25" t="str">
        <x:v>N/A</x:v>
      </x:c>
      <x:c r="F301" s="26" t="str">
        <x:v>Same saved validation suite passed on buggy and fixed</x:v>
      </x:c>
      <x:c r="G301" s="25" t="str">
        <x:v>true</x:v>
      </x:c>
      <x:c r="H301" s="25" t="str">
        <x:v>NOT_REVEALING</x:v>
      </x:c>
      <x:c r="I301" s="25" t="str">
        <x:v>PASS</x:v>
      </x:c>
      <x:c r="J301" s="25" t="str">
        <x:v>PASS</x:v>
      </x:c>
      <x:c r="K301" s="25" t="n">
        <x:v>2</x:v>
      </x:c>
      <x:c r="L301" s="27" t="b">
        <x:v>0</x:v>
      </x:c>
      <x:c r="M301" s="25" t="str">
        <x:v>Feedback-Directed Random Test Generation/rounds/Round1/state/Compress.json</x:v>
      </x:c>
      <x:c r="N301" s="25" t="str">
        <x:v>Feedback-Directed Random Test Generation/Result/Compress_15/result.json</x:v>
      </x:c>
      <x:c r="O301" s="25" t="str">
        <x:v>Feedback-Directed Random Test Generation/Result/Compress_15/result.json</x:v>
      </x:c>
      <x:c r="P301"/>
      <x:c r="Q301" s="21" t="str"/>
      <x:c r="R301" s="21" t="str"/>
      <x:c r="S301" s="21" t="str"/>
      <x:c r="T301" s="17" t="str">
        <x:v>false</x:v>
      </x:c>
      <x:c r="U301" s="17" t="str">
        <x:v>true</x:v>
      </x:c>
      <x:c r="V301" s="17" t="str">
        <x:v>false</x:v>
      </x:c>
    </x:row>
    <x:row r="302" ht="80" customHeight="1">
      <x:c r="A302" s="25" t="str">
        <x:v>Compress</x:v>
      </x:c>
      <x:c r="B302" s="25" t="n">
        <x:v>16</x:v>
      </x:c>
      <x:c r="C302" s="25" t="str">
        <x:v>Round1</x:v>
      </x:c>
      <x:c r="D302" s="25" t="str">
        <x:v>NOT_REVEALING</x:v>
      </x:c>
      <x:c r="E302" s="25" t="str">
        <x:v>N/A</x:v>
      </x:c>
      <x:c r="F302" s="26" t="str">
        <x:v>Same saved validation suite passed on buggy and fixed</x:v>
      </x:c>
      <x:c r="G302" s="25" t="str">
        <x:v>true</x:v>
      </x:c>
      <x:c r="H302" s="25" t="str">
        <x:v>NOT_REVEALING</x:v>
      </x:c>
      <x:c r="I302" s="25" t="str">
        <x:v>PASS</x:v>
      </x:c>
      <x:c r="J302" s="25" t="str">
        <x:v>PASS</x:v>
      </x:c>
      <x:c r="K302" s="25" t="n">
        <x:v>2</x:v>
      </x:c>
      <x:c r="L302" s="27" t="b">
        <x:v>0</x:v>
      </x:c>
      <x:c r="M302" s="25" t="str">
        <x:v>Feedback-Directed Random Test Generation/rounds/Round1/state/Compress.json</x:v>
      </x:c>
      <x:c r="N302" s="25" t="str">
        <x:v>Feedback-Directed Random Test Generation/Result/Compress_16/result.json</x:v>
      </x:c>
      <x:c r="O302" s="25" t="str">
        <x:v>Feedback-Directed Random Test Generation/Result/Compress_16/result.json</x:v>
      </x:c>
      <x:c r="P302"/>
      <x:c r="Q302" s="21" t="str"/>
      <x:c r="R302" s="21" t="str"/>
      <x:c r="S302" s="21" t="str"/>
      <x:c r="T302" s="17" t="str">
        <x:v>false</x:v>
      </x:c>
      <x:c r="U302" s="17" t="str">
        <x:v>true</x:v>
      </x:c>
      <x:c r="V302" s="17" t="str">
        <x:v>false</x:v>
      </x:c>
    </x:row>
    <x:row r="303" ht="80" customHeight="1">
      <x:c r="A303" s="25" t="str">
        <x:v>Compress</x:v>
      </x:c>
      <x:c r="B303" s="25" t="n">
        <x:v>17</x:v>
      </x:c>
      <x:c r="C303" s="25" t="str">
        <x:v>Round1</x:v>
      </x:c>
      <x:c r="D303" s="25" t="str">
        <x:v>NOT_REVEALING</x:v>
      </x:c>
      <x:c r="E303" s="25" t="str">
        <x:v>N/A</x:v>
      </x:c>
      <x:c r="F303" s="26" t="str">
        <x:v>Same saved validation suite passed on buggy and fixed</x:v>
      </x:c>
      <x:c r="G303" s="25" t="str">
        <x:v>true</x:v>
      </x:c>
      <x:c r="H303" s="25" t="str">
        <x:v>NOT_REVEALING</x:v>
      </x:c>
      <x:c r="I303" s="25" t="str">
        <x:v>PASS</x:v>
      </x:c>
      <x:c r="J303" s="25" t="str">
        <x:v>PASS</x:v>
      </x:c>
      <x:c r="K303" s="25" t="n">
        <x:v>2</x:v>
      </x:c>
      <x:c r="L303" s="27" t="b">
        <x:v>0</x:v>
      </x:c>
      <x:c r="M303" s="25" t="str">
        <x:v>Feedback-Directed Random Test Generation/rounds/Round1/state/Compress.json</x:v>
      </x:c>
      <x:c r="N303" s="25" t="str">
        <x:v>Feedback-Directed Random Test Generation/Result/Compress_17/result.json</x:v>
      </x:c>
      <x:c r="O303" s="25" t="str">
        <x:v>Feedback-Directed Random Test Generation/Result/Compress_17/result.json</x:v>
      </x:c>
      <x:c r="P303"/>
      <x:c r="Q303" s="21" t="str"/>
      <x:c r="R303" s="21" t="str"/>
      <x:c r="S303" s="21" t="str"/>
      <x:c r="T303" s="17" t="str">
        <x:v>false</x:v>
      </x:c>
      <x:c r="U303" s="17" t="str">
        <x:v>true</x:v>
      </x:c>
      <x:c r="V303" s="17" t="str">
        <x:v>false</x:v>
      </x:c>
    </x:row>
    <x:row r="304" ht="80" customHeight="1">
      <x:c r="A304" s="25" t="str">
        <x:v>Compress</x:v>
      </x:c>
      <x:c r="B304" s="25" t="n">
        <x:v>18</x:v>
      </x:c>
      <x:c r="C304" s="25" t="str">
        <x:v>Round1</x:v>
      </x:c>
      <x:c r="D304" s="25" t="str">
        <x:v>NOT_REVEALING</x:v>
      </x:c>
      <x:c r="E304" s="25" t="str">
        <x:v>N/A</x:v>
      </x:c>
      <x:c r="F304" s="26" t="str">
        <x:v>Same saved validation suite passed on buggy and fixed</x:v>
      </x:c>
      <x:c r="G304" s="25" t="str">
        <x:v>true</x:v>
      </x:c>
      <x:c r="H304" s="25" t="str">
        <x:v>NOT_REVEALING</x:v>
      </x:c>
      <x:c r="I304" s="25" t="str">
        <x:v>PASS</x:v>
      </x:c>
      <x:c r="J304" s="25" t="str">
        <x:v>PASS</x:v>
      </x:c>
      <x:c r="K304" s="25" t="n">
        <x:v>2</x:v>
      </x:c>
      <x:c r="L304" s="27" t="b">
        <x:v>0</x:v>
      </x:c>
      <x:c r="M304" s="25" t="str">
        <x:v>Feedback-Directed Random Test Generation/rounds/Round1/state/Compress.json</x:v>
      </x:c>
      <x:c r="N304" s="25" t="str">
        <x:v>Feedback-Directed Random Test Generation/Result/Compress_18/result.json</x:v>
      </x:c>
      <x:c r="O304" s="25" t="str">
        <x:v>Feedback-Directed Random Test Generation/Result/Compress_18/result.json</x:v>
      </x:c>
      <x:c r="P304"/>
      <x:c r="Q304" s="21" t="str"/>
      <x:c r="R304" s="21" t="str"/>
      <x:c r="S304" s="21" t="str"/>
      <x:c r="T304" s="17" t="str">
        <x:v>false</x:v>
      </x:c>
      <x:c r="U304" s="17" t="str">
        <x:v>true</x:v>
      </x:c>
      <x:c r="V304" s="17" t="str">
        <x:v>false</x:v>
      </x:c>
    </x:row>
    <x:row r="305" ht="80" customHeight="1">
      <x:c r="A305" s="25" t="str">
        <x:v>Compress</x:v>
      </x:c>
      <x:c r="B305" s="25" t="n">
        <x:v>19</x:v>
      </x:c>
      <x:c r="C305" s="25" t="str">
        <x:v>Round1</x:v>
      </x:c>
      <x:c r="D305" s="25" t="str">
        <x:v>NOT_REVEALING</x:v>
      </x:c>
      <x:c r="E305" s="25" t="str">
        <x:v>N/A</x:v>
      </x:c>
      <x:c r="F305" s="26" t="str">
        <x:v>Same saved validation suite passed on buggy and fixed</x:v>
      </x:c>
      <x:c r="G305" s="25" t="str">
        <x:v>true</x:v>
      </x:c>
      <x:c r="H305" s="25" t="str">
        <x:v>NOT_REVEALING</x:v>
      </x:c>
      <x:c r="I305" s="25" t="str">
        <x:v>PASS</x:v>
      </x:c>
      <x:c r="J305" s="25" t="str">
        <x:v>PASS</x:v>
      </x:c>
      <x:c r="K305" s="25" t="n">
        <x:v>2</x:v>
      </x:c>
      <x:c r="L305" s="27" t="b">
        <x:v>0</x:v>
      </x:c>
      <x:c r="M305" s="25" t="str">
        <x:v>Feedback-Directed Random Test Generation/rounds/Round1/state/Compress.json</x:v>
      </x:c>
      <x:c r="N305" s="25" t="str">
        <x:v>Feedback-Directed Random Test Generation/Result/Compress_19/result.json</x:v>
      </x:c>
      <x:c r="O305" s="25" t="str">
        <x:v>Feedback-Directed Random Test Generation/Result/Compress_19/result.json</x:v>
      </x:c>
      <x:c r="P305"/>
      <x:c r="Q305" s="21" t="str"/>
      <x:c r="R305" s="21" t="str"/>
      <x:c r="S305" s="21" t="str"/>
      <x:c r="T305" s="17" t="str">
        <x:v>false</x:v>
      </x:c>
      <x:c r="U305" s="17" t="str">
        <x:v>true</x:v>
      </x:c>
      <x:c r="V305" s="17" t="str">
        <x:v>false</x:v>
      </x:c>
    </x:row>
    <x:row r="306" ht="80" customHeight="1">
      <x:c r="A306" s="25" t="str">
        <x:v>Compress</x:v>
      </x:c>
      <x:c r="B306" s="25" t="n">
        <x:v>20</x:v>
      </x:c>
      <x:c r="C306" s="25" t="str">
        <x:v>Round1</x:v>
      </x:c>
      <x:c r="D306" s="25" t="str">
        <x:v>NOT_REVEALING</x:v>
      </x:c>
      <x:c r="E306" s="25" t="str">
        <x:v>N/A</x:v>
      </x:c>
      <x:c r="F306" s="26" t="str">
        <x:v>Same saved validation suite passed on buggy and fixed</x:v>
      </x:c>
      <x:c r="G306" s="25" t="str">
        <x:v>true</x:v>
      </x:c>
      <x:c r="H306" s="25" t="str">
        <x:v>NOT_REVEALING</x:v>
      </x:c>
      <x:c r="I306" s="25" t="str">
        <x:v>PASS</x:v>
      </x:c>
      <x:c r="J306" s="25" t="str">
        <x:v>PASS</x:v>
      </x:c>
      <x:c r="K306" s="25" t="n">
        <x:v>2</x:v>
      </x:c>
      <x:c r="L306" s="27" t="b">
        <x:v>0</x:v>
      </x:c>
      <x:c r="M306" s="25" t="str">
        <x:v>Feedback-Directed Random Test Generation/rounds/Round1/state/Compress.json</x:v>
      </x:c>
      <x:c r="N306" s="25" t="str">
        <x:v>Feedback-Directed Random Test Generation/Result/Compress_20/result.json</x:v>
      </x:c>
      <x:c r="O306" s="25" t="str">
        <x:v>Feedback-Directed Random Test Generation/Result/Compress_20/result.json</x:v>
      </x:c>
      <x:c r="P306"/>
      <x:c r="Q306" s="21" t="str"/>
      <x:c r="R306" s="21" t="str"/>
      <x:c r="S306" s="21" t="str"/>
      <x:c r="T306" s="17" t="str">
        <x:v>false</x:v>
      </x:c>
      <x:c r="U306" s="17" t="str">
        <x:v>true</x:v>
      </x:c>
      <x:c r="V306" s="17" t="str">
        <x:v>false</x:v>
      </x:c>
    </x:row>
    <x:row r="307" ht="80" customHeight="1">
      <x:c r="A307" s="25" t="str">
        <x:v>Compress</x:v>
      </x:c>
      <x:c r="B307" s="25" t="n">
        <x:v>21</x:v>
      </x:c>
      <x:c r="C307" s="25" t="str">
        <x:v>Round1</x:v>
      </x:c>
      <x:c r="D307" s="25" t="str">
        <x:v>NOT_REVEALING</x:v>
      </x:c>
      <x:c r="E307" s="25" t="str">
        <x:v>N/A</x:v>
      </x:c>
      <x:c r="F307" s="26" t="str">
        <x:v>Same saved validation suite passed on buggy and fixed</x:v>
      </x:c>
      <x:c r="G307" s="25" t="str">
        <x:v>true</x:v>
      </x:c>
      <x:c r="H307" s="25" t="str">
        <x:v>NOT_REVEALING</x:v>
      </x:c>
      <x:c r="I307" s="25" t="str">
        <x:v>PASS</x:v>
      </x:c>
      <x:c r="J307" s="25" t="str">
        <x:v>PASS</x:v>
      </x:c>
      <x:c r="K307" s="25" t="n">
        <x:v>2</x:v>
      </x:c>
      <x:c r="L307" s="27" t="b">
        <x:v>0</x:v>
      </x:c>
      <x:c r="M307" s="25" t="str">
        <x:v>Feedback-Directed Random Test Generation/rounds/Round1/state/Compress.json</x:v>
      </x:c>
      <x:c r="N307" s="25" t="str">
        <x:v>Feedback-Directed Random Test Generation/Result/Compress_21/result.json</x:v>
      </x:c>
      <x:c r="O307" s="25" t="str">
        <x:v>Feedback-Directed Random Test Generation/Result/Compress_21/result.json</x:v>
      </x:c>
      <x:c r="P307"/>
      <x:c r="Q307" s="21" t="str"/>
      <x:c r="R307" s="21" t="str"/>
      <x:c r="S307" s="21" t="str"/>
      <x:c r="T307" s="17" t="str">
        <x:v>false</x:v>
      </x:c>
      <x:c r="U307" s="17" t="str">
        <x:v>true</x:v>
      </x:c>
      <x:c r="V307" s="17" t="str">
        <x:v>false</x:v>
      </x:c>
    </x:row>
    <x:row r="308" ht="80" customHeight="1">
      <x:c r="A308" s="25" t="str">
        <x:v>Compress</x:v>
      </x:c>
      <x:c r="B308" s="25" t="n">
        <x:v>22</x:v>
      </x:c>
      <x:c r="C308" s="25" t="str">
        <x:v>Round1</x:v>
      </x:c>
      <x:c r="D308" s="25" t="str">
        <x:v>NOT_REVEALING</x:v>
      </x:c>
      <x:c r="E308" s="25" t="str">
        <x:v>N/A</x:v>
      </x:c>
      <x:c r="F308" s="26" t="str">
        <x:v>Same saved validation suite passed on buggy and fixed</x:v>
      </x:c>
      <x:c r="G308" s="25" t="str">
        <x:v>true</x:v>
      </x:c>
      <x:c r="H308" s="25" t="str">
        <x:v>NOT_REVEALING</x:v>
      </x:c>
      <x:c r="I308" s="25" t="str">
        <x:v>PASS</x:v>
      </x:c>
      <x:c r="J308" s="25" t="str">
        <x:v>PASS</x:v>
      </x:c>
      <x:c r="K308" s="25" t="n">
        <x:v>2</x:v>
      </x:c>
      <x:c r="L308" s="27" t="b">
        <x:v>0</x:v>
      </x:c>
      <x:c r="M308" s="25" t="str">
        <x:v>Feedback-Directed Random Test Generation/rounds/Round1/state/Compress.json</x:v>
      </x:c>
      <x:c r="N308" s="25" t="str">
        <x:v>Feedback-Directed Random Test Generation/Result/Compress_22/result.json</x:v>
      </x:c>
      <x:c r="O308" s="25" t="str">
        <x:v>Feedback-Directed Random Test Generation/Result/Compress_22/result.json</x:v>
      </x:c>
      <x:c r="P308"/>
      <x:c r="Q308" s="21" t="str"/>
      <x:c r="R308" s="21" t="str"/>
      <x:c r="S308" s="21" t="str"/>
      <x:c r="T308" s="17" t="str">
        <x:v>false</x:v>
      </x:c>
      <x:c r="U308" s="17" t="str">
        <x:v>true</x:v>
      </x:c>
      <x:c r="V308" s="17" t="str">
        <x:v>false</x:v>
      </x:c>
    </x:row>
    <x:row r="309" ht="80" customHeight="1">
      <x:c r="A309" s="25" t="str">
        <x:v>Compress</x:v>
      </x:c>
      <x:c r="B309" s="25" t="n">
        <x:v>23</x:v>
      </x:c>
      <x:c r="C309" s="25" t="str">
        <x:v>Round1</x:v>
      </x:c>
      <x:c r="D309" s="25" t="str">
        <x:v>INCONCLUSIVE</x:v>
      </x:c>
      <x:c r="E309" s="25" t="str">
        <x:v>N/A</x:v>
      </x:c>
      <x:c r="F309" s="26" t="str">
        <x:v>Fixed also failed; assertion failure cannot be attributed to this bug; Assertions failed with measured coverage; paired execution and stage checks determine status</x:v>
      </x:c>
      <x:c r="G309" s="25" t="str">
        <x:v>true</x:v>
      </x:c>
      <x:c r="H309" s="25" t="str">
        <x:v>INCONCLUSIVE</x:v>
      </x:c>
      <x:c r="I309" s="25" t="str">
        <x:v>FAIL</x:v>
      </x:c>
      <x:c r="J309" s="25" t="str">
        <x:v>FAIL</x:v>
      </x:c>
      <x:c r="K309" s="25" t="n">
        <x:v>2</x:v>
      </x:c>
      <x:c r="L309" s="27" t="b">
        <x:v>0</x:v>
      </x:c>
      <x:c r="M309" s="25" t="str">
        <x:v>Feedback-Directed Random Test Generation/rounds/Round1/state/Compress.json</x:v>
      </x:c>
      <x:c r="N309" s="25" t="str">
        <x:v>Feedback-Directed Random Test Generation/Result/Compress_23/result.json</x:v>
      </x:c>
      <x:c r="O309" s="25" t="str">
        <x:v>Feedback-Directed Random Test Generation/Result/Compress_23/result.json</x:v>
      </x:c>
      <x:c r="P309"/>
      <x:c r="Q309" s="21" t="str"/>
      <x:c r="R309" s="21" t="str"/>
      <x:c r="S309" s="21" t="str"/>
      <x:c r="T309" s="17" t="str">
        <x:v>false</x:v>
      </x:c>
      <x:c r="U309" s="17" t="str">
        <x:v>true</x:v>
      </x:c>
      <x:c r="V309" s="17" t="str">
        <x:v>false</x:v>
      </x:c>
    </x:row>
    <x:row r="310" ht="80" customHeight="1">
      <x:c r="A310" s="25" t="str">
        <x:v>Compress</x:v>
      </x:c>
      <x:c r="B310" s="25" t="n">
        <x:v>24</x:v>
      </x:c>
      <x:c r="C310" s="25" t="str">
        <x:v>Round1</x:v>
      </x:c>
      <x:c r="D310" s="25" t="str">
        <x:v>NOT_REVEALING</x:v>
      </x:c>
      <x:c r="E310" s="25" t="str">
        <x:v>N/A</x:v>
      </x:c>
      <x:c r="F310" s="26" t="str">
        <x:v>Same saved validation suite passed on buggy and fixed</x:v>
      </x:c>
      <x:c r="G310" s="25" t="str">
        <x:v>true</x:v>
      </x:c>
      <x:c r="H310" s="25" t="str">
        <x:v>NOT_REVEALING</x:v>
      </x:c>
      <x:c r="I310" s="25" t="str">
        <x:v>PASS</x:v>
      </x:c>
      <x:c r="J310" s="25" t="str">
        <x:v>PASS</x:v>
      </x:c>
      <x:c r="K310" s="25" t="n">
        <x:v>2</x:v>
      </x:c>
      <x:c r="L310" s="27" t="b">
        <x:v>0</x:v>
      </x:c>
      <x:c r="M310" s="25" t="str">
        <x:v>Feedback-Directed Random Test Generation/rounds/Round1/state/Compress.json</x:v>
      </x:c>
      <x:c r="N310" s="25" t="str">
        <x:v>Feedback-Directed Random Test Generation/Result/Compress_24/result.json</x:v>
      </x:c>
      <x:c r="O310" s="25" t="str">
        <x:v>Feedback-Directed Random Test Generation/Result/Compress_24/result.json</x:v>
      </x:c>
      <x:c r="P310"/>
      <x:c r="Q310" s="21" t="str"/>
      <x:c r="R310" s="21" t="str"/>
      <x:c r="S310" s="21" t="str"/>
      <x:c r="T310" s="17" t="str">
        <x:v>false</x:v>
      </x:c>
      <x:c r="U310" s="17" t="str">
        <x:v>true</x:v>
      </x:c>
      <x:c r="V310" s="17" t="str">
        <x:v>false</x:v>
      </x:c>
    </x:row>
    <x:row r="311" ht="80" customHeight="1">
      <x:c r="A311" s="25" t="str">
        <x:v>Compress</x:v>
      </x:c>
      <x:c r="B311" s="25" t="n">
        <x:v>25</x:v>
      </x:c>
      <x:c r="C311" s="25" t="str">
        <x:v>Round1</x:v>
      </x:c>
      <x:c r="D311" s="25" t="str">
        <x:v>NOT_REVEALING</x:v>
      </x:c>
      <x:c r="E311" s="25" t="str">
        <x:v>N/A</x:v>
      </x:c>
      <x:c r="F311" s="26" t="str">
        <x:v>Same saved validation suite passed on buggy and fixed</x:v>
      </x:c>
      <x:c r="G311" s="25" t="str">
        <x:v>true</x:v>
      </x:c>
      <x:c r="H311" s="25" t="str">
        <x:v>NOT_REVEALING</x:v>
      </x:c>
      <x:c r="I311" s="25" t="str">
        <x:v>PASS</x:v>
      </x:c>
      <x:c r="J311" s="25" t="str">
        <x:v>PASS</x:v>
      </x:c>
      <x:c r="K311" s="25" t="n">
        <x:v>2</x:v>
      </x:c>
      <x:c r="L311" s="27" t="b">
        <x:v>0</x:v>
      </x:c>
      <x:c r="M311" s="25" t="str">
        <x:v>Feedback-Directed Random Test Generation/rounds/Round1/state/Compress.json</x:v>
      </x:c>
      <x:c r="N311" s="25" t="str">
        <x:v>Feedback-Directed Random Test Generation/Result/Compress_25/result.json</x:v>
      </x:c>
      <x:c r="O311" s="25" t="str">
        <x:v>Feedback-Directed Random Test Generation/Result/Compress_25/result.json</x:v>
      </x:c>
      <x:c r="P311"/>
      <x:c r="Q311" s="21" t="str"/>
      <x:c r="R311" s="21" t="str"/>
      <x:c r="S311" s="21" t="str"/>
      <x:c r="T311" s="17" t="str">
        <x:v>false</x:v>
      </x:c>
      <x:c r="U311" s="17" t="str">
        <x:v>true</x:v>
      </x:c>
      <x:c r="V311" s="17" t="str">
        <x:v>false</x:v>
      </x:c>
    </x:row>
    <x:row r="312" ht="80" customHeight="1">
      <x:c r="A312" s="25" t="str">
        <x:v>Compress</x:v>
      </x:c>
      <x:c r="B312" s="25" t="n">
        <x:v>26</x:v>
      </x:c>
      <x:c r="C312" s="25" t="str">
        <x:v>Round1</x:v>
      </x:c>
      <x:c r="D312" s="25" t="str">
        <x:v>NOT_REVEALING</x:v>
      </x:c>
      <x:c r="E312" s="25" t="str">
        <x:v>N/A</x:v>
      </x:c>
      <x:c r="F312" s="26" t="str">
        <x:v>Same saved validation suite passed on buggy and fixed</x:v>
      </x:c>
      <x:c r="G312" s="25" t="str">
        <x:v>true</x:v>
      </x:c>
      <x:c r="H312" s="25" t="str">
        <x:v>NOT_REVEALING</x:v>
      </x:c>
      <x:c r="I312" s="25" t="str">
        <x:v>PASS</x:v>
      </x:c>
      <x:c r="J312" s="25" t="str">
        <x:v>PASS</x:v>
      </x:c>
      <x:c r="K312" s="25" t="n">
        <x:v>2</x:v>
      </x:c>
      <x:c r="L312" s="27" t="b">
        <x:v>0</x:v>
      </x:c>
      <x:c r="M312" s="25" t="str">
        <x:v>Feedback-Directed Random Test Generation/rounds/Round1/state/Compress.json</x:v>
      </x:c>
      <x:c r="N312" s="25" t="str">
        <x:v>Feedback-Directed Random Test Generation/Result/Compress_26/result.json</x:v>
      </x:c>
      <x:c r="O312" s="25" t="str">
        <x:v>Feedback-Directed Random Test Generation/Result/Compress_26/result.json</x:v>
      </x:c>
      <x:c r="P312"/>
      <x:c r="Q312" s="21" t="str"/>
      <x:c r="R312" s="21" t="str"/>
      <x:c r="S312" s="21" t="str"/>
      <x:c r="T312" s="17" t="str">
        <x:v>false</x:v>
      </x:c>
      <x:c r="U312" s="17" t="str">
        <x:v>true</x:v>
      </x:c>
      <x:c r="V312" s="17" t="str">
        <x:v>false</x:v>
      </x:c>
    </x:row>
    <x:row r="313" ht="80" customHeight="1">
      <x:c r="A313" s="25" t="str">
        <x:v>Compress</x:v>
      </x:c>
      <x:c r="B313" s="25" t="n">
        <x:v>27</x:v>
      </x:c>
      <x:c r="C313" s="25" t="str">
        <x:v>Round1</x:v>
      </x:c>
      <x:c r="D313" s="25" t="str">
        <x:v>NOT_REVEALING</x:v>
      </x:c>
      <x:c r="E313" s="25" t="str">
        <x:v>N/A</x:v>
      </x:c>
      <x:c r="F313" s="26" t="str">
        <x:v>Same saved validation suite passed on buggy and fixed</x:v>
      </x:c>
      <x:c r="G313" s="25" t="str">
        <x:v>true</x:v>
      </x:c>
      <x:c r="H313" s="25" t="str">
        <x:v>NOT_REVEALING</x:v>
      </x:c>
      <x:c r="I313" s="25" t="str">
        <x:v>PASS</x:v>
      </x:c>
      <x:c r="J313" s="25" t="str">
        <x:v>PASS</x:v>
      </x:c>
      <x:c r="K313" s="25" t="n">
        <x:v>2</x:v>
      </x:c>
      <x:c r="L313" s="27" t="b">
        <x:v>0</x:v>
      </x:c>
      <x:c r="M313" s="25" t="str">
        <x:v>Feedback-Directed Random Test Generation/rounds/Round1/state/Compress.json</x:v>
      </x:c>
      <x:c r="N313" s="25" t="str">
        <x:v>Feedback-Directed Random Test Generation/Result/Compress_27/result.json</x:v>
      </x:c>
      <x:c r="O313" s="25" t="str">
        <x:v>Feedback-Directed Random Test Generation/Result/Compress_27/result.json</x:v>
      </x:c>
      <x:c r="P313"/>
      <x:c r="Q313" s="21" t="str"/>
      <x:c r="R313" s="21" t="str"/>
      <x:c r="S313" s="21" t="str"/>
      <x:c r="T313" s="17" t="str">
        <x:v>false</x:v>
      </x:c>
      <x:c r="U313" s="17" t="str">
        <x:v>true</x:v>
      </x:c>
      <x:c r="V313" s="17" t="str">
        <x:v>false</x:v>
      </x:c>
    </x:row>
    <x:row r="314" ht="80" customHeight="1">
      <x:c r="A314" s="25" t="str">
        <x:v>Compress</x:v>
      </x:c>
      <x:c r="B314" s="25" t="n">
        <x:v>28</x:v>
      </x:c>
      <x:c r="C314" s="25" t="str">
        <x:v>Round1</x:v>
      </x:c>
      <x:c r="D314" s="25" t="str">
        <x:v>NOT_REVEALING</x:v>
      </x:c>
      <x:c r="E314" s="25" t="str">
        <x:v>N/A</x:v>
      </x:c>
      <x:c r="F314" s="26" t="str">
        <x:v>Same saved validation suite passed on buggy and fixed</x:v>
      </x:c>
      <x:c r="G314" s="25" t="str">
        <x:v>true</x:v>
      </x:c>
      <x:c r="H314" s="25" t="str">
        <x:v>NOT_REVEALING</x:v>
      </x:c>
      <x:c r="I314" s="25" t="str">
        <x:v>PASS</x:v>
      </x:c>
      <x:c r="J314" s="25" t="str">
        <x:v>PASS</x:v>
      </x:c>
      <x:c r="K314" s="25" t="n">
        <x:v>2</x:v>
      </x:c>
      <x:c r="L314" s="27" t="b">
        <x:v>0</x:v>
      </x:c>
      <x:c r="M314" s="25" t="str">
        <x:v>Feedback-Directed Random Test Generation/rounds/Round1/state/Compress.json</x:v>
      </x:c>
      <x:c r="N314" s="25" t="str">
        <x:v>Feedback-Directed Random Test Generation/Result/Compress_28/result.json</x:v>
      </x:c>
      <x:c r="O314" s="25" t="str">
        <x:v>Feedback-Directed Random Test Generation/Result/Compress_28/result.json</x:v>
      </x:c>
      <x:c r="P314"/>
      <x:c r="Q314" s="21" t="str"/>
      <x:c r="R314" s="21" t="str"/>
      <x:c r="S314" s="21" t="str"/>
      <x:c r="T314" s="17" t="str">
        <x:v>false</x:v>
      </x:c>
      <x:c r="U314" s="17" t="str">
        <x:v>true</x:v>
      </x:c>
      <x:c r="V314" s="17" t="str">
        <x:v>false</x:v>
      </x:c>
    </x:row>
    <x:row r="315" ht="80" customHeight="1">
      <x:c r="A315" s="25" t="str">
        <x:v>Compress</x:v>
      </x:c>
      <x:c r="B315" s="25" t="n">
        <x:v>29</x:v>
      </x:c>
      <x:c r="C315" s="25" t="str">
        <x:v>Round1</x:v>
      </x:c>
      <x:c r="D315" s="25" t="str">
        <x:v>NOT_REVEALING</x:v>
      </x:c>
      <x:c r="E315" s="25" t="str">
        <x:v>N/A</x:v>
      </x:c>
      <x:c r="F315" s="26" t="str">
        <x:v>Same saved validation suite passed on buggy and fixed</x:v>
      </x:c>
      <x:c r="G315" s="25" t="str">
        <x:v>true</x:v>
      </x:c>
      <x:c r="H315" s="25" t="str">
        <x:v>NOT_REVEALING</x:v>
      </x:c>
      <x:c r="I315" s="25" t="str">
        <x:v>PASS</x:v>
      </x:c>
      <x:c r="J315" s="25" t="str">
        <x:v>PASS</x:v>
      </x:c>
      <x:c r="K315" s="25" t="n">
        <x:v>2</x:v>
      </x:c>
      <x:c r="L315" s="27" t="b">
        <x:v>0</x:v>
      </x:c>
      <x:c r="M315" s="25" t="str">
        <x:v>Feedback-Directed Random Test Generation/rounds/Round1/state/Compress.json</x:v>
      </x:c>
      <x:c r="N315" s="25" t="str">
        <x:v>Feedback-Directed Random Test Generation/Result/Compress_29/result.json</x:v>
      </x:c>
      <x:c r="O315" s="25" t="str">
        <x:v>Feedback-Directed Random Test Generation/Result/Compress_29/result.json</x:v>
      </x:c>
      <x:c r="P315"/>
      <x:c r="Q315" s="21" t="str"/>
      <x:c r="R315" s="21" t="str"/>
      <x:c r="S315" s="21" t="str"/>
      <x:c r="T315" s="17" t="str">
        <x:v>false</x:v>
      </x:c>
      <x:c r="U315" s="17" t="str">
        <x:v>true</x:v>
      </x:c>
      <x:c r="V315" s="17" t="str">
        <x:v>false</x:v>
      </x:c>
    </x:row>
    <x:row r="316" ht="80" customHeight="1">
      <x:c r="A316" s="25" t="str">
        <x:v>Compress</x:v>
      </x:c>
      <x:c r="B316" s="25" t="n">
        <x:v>30</x:v>
      </x:c>
      <x:c r="C316" s="25" t="str">
        <x:v>Round1</x:v>
      </x:c>
      <x:c r="D316" s="25" t="str">
        <x:v>NOT_REVEALING</x:v>
      </x:c>
      <x:c r="E316" s="25" t="str">
        <x:v>N/A</x:v>
      </x:c>
      <x:c r="F316" s="26" t="str">
        <x:v>Same saved validation suite passed on buggy and fixed</x:v>
      </x:c>
      <x:c r="G316" s="25" t="str">
        <x:v>true</x:v>
      </x:c>
      <x:c r="H316" s="25" t="str">
        <x:v>NOT_REVEALING</x:v>
      </x:c>
      <x:c r="I316" s="25" t="str">
        <x:v>PASS</x:v>
      </x:c>
      <x:c r="J316" s="25" t="str">
        <x:v>PASS</x:v>
      </x:c>
      <x:c r="K316" s="25" t="n">
        <x:v>2</x:v>
      </x:c>
      <x:c r="L316" s="27" t="b">
        <x:v>0</x:v>
      </x:c>
      <x:c r="M316" s="25" t="str">
        <x:v>Feedback-Directed Random Test Generation/rounds/Round1/state/Compress.json</x:v>
      </x:c>
      <x:c r="N316" s="25" t="str">
        <x:v>Feedback-Directed Random Test Generation/Result/Compress_30/result.json</x:v>
      </x:c>
      <x:c r="O316" s="25" t="str">
        <x:v>Feedback-Directed Random Test Generation/Result/Compress_30/result.json</x:v>
      </x:c>
      <x:c r="P316"/>
      <x:c r="Q316" s="21" t="str"/>
      <x:c r="R316" s="21" t="str"/>
      <x:c r="S316" s="21" t="str"/>
      <x:c r="T316" s="17" t="str">
        <x:v>false</x:v>
      </x:c>
      <x:c r="U316" s="17" t="str">
        <x:v>true</x:v>
      </x:c>
      <x:c r="V316" s="17" t="str">
        <x:v>false</x:v>
      </x:c>
    </x:row>
    <x:row r="317" ht="80" customHeight="1">
      <x:c r="A317" s="25" t="str">
        <x:v>Compress</x:v>
      </x:c>
      <x:c r="B317" s="25" t="n">
        <x:v>31</x:v>
      </x:c>
      <x:c r="C317" s="25" t="str">
        <x:v>Round1</x:v>
      </x:c>
      <x:c r="D317" s="25" t="str">
        <x:v>NOT_REVEALING</x:v>
      </x:c>
      <x:c r="E317" s="25" t="str">
        <x:v>N/A</x:v>
      </x:c>
      <x:c r="F317" s="26" t="str">
        <x:v>Same saved validation suite passed on buggy and fixed</x:v>
      </x:c>
      <x:c r="G317" s="25" t="str">
        <x:v>true</x:v>
      </x:c>
      <x:c r="H317" s="25" t="str">
        <x:v>NOT_REVEALING</x:v>
      </x:c>
      <x:c r="I317" s="25" t="str">
        <x:v>PASS</x:v>
      </x:c>
      <x:c r="J317" s="25" t="str">
        <x:v>PASS</x:v>
      </x:c>
      <x:c r="K317" s="25" t="n">
        <x:v>2</x:v>
      </x:c>
      <x:c r="L317" s="27" t="b">
        <x:v>0</x:v>
      </x:c>
      <x:c r="M317" s="25" t="str">
        <x:v>Feedback-Directed Random Test Generation/rounds/Round1/state/Compress.json</x:v>
      </x:c>
      <x:c r="N317" s="25" t="str">
        <x:v>Feedback-Directed Random Test Generation/Result/Compress_31/result.json</x:v>
      </x:c>
      <x:c r="O317" s="25" t="str">
        <x:v>Feedback-Directed Random Test Generation/Result/Compress_31/result.json</x:v>
      </x:c>
      <x:c r="P317"/>
      <x:c r="Q317" s="21" t="str"/>
      <x:c r="R317" s="21" t="str"/>
      <x:c r="S317" s="21" t="str"/>
      <x:c r="T317" s="17" t="str">
        <x:v>false</x:v>
      </x:c>
      <x:c r="U317" s="17" t="str">
        <x:v>true</x:v>
      </x:c>
      <x:c r="V317" s="17" t="str">
        <x:v>false</x:v>
      </x:c>
    </x:row>
    <x:row r="318" ht="80" customHeight="1">
      <x:c r="A318" s="25" t="str">
        <x:v>Compress</x:v>
      </x:c>
      <x:c r="B318" s="25" t="n">
        <x:v>32</x:v>
      </x:c>
      <x:c r="C318" s="25" t="str">
        <x:v>Round1</x:v>
      </x:c>
      <x:c r="D318" s="25" t="str">
        <x:v>NOT_REVEALING</x:v>
      </x:c>
      <x:c r="E318" s="25" t="str">
        <x:v>N/A</x:v>
      </x:c>
      <x:c r="F318" s="26" t="str">
        <x:v>Same saved validation suite passed on buggy and fixed</x:v>
      </x:c>
      <x:c r="G318" s="25" t="str">
        <x:v>true</x:v>
      </x:c>
      <x:c r="H318" s="25" t="str">
        <x:v>NOT_REVEALING</x:v>
      </x:c>
      <x:c r="I318" s="25" t="str">
        <x:v>PASS</x:v>
      </x:c>
      <x:c r="J318" s="25" t="str">
        <x:v>PASS</x:v>
      </x:c>
      <x:c r="K318" s="25" t="n">
        <x:v>2</x:v>
      </x:c>
      <x:c r="L318" s="27" t="b">
        <x:v>0</x:v>
      </x:c>
      <x:c r="M318" s="25" t="str">
        <x:v>Feedback-Directed Random Test Generation/rounds/Round1/state/Compress.json</x:v>
      </x:c>
      <x:c r="N318" s="25" t="str">
        <x:v>Feedback-Directed Random Test Generation/Result/Compress_32/result.json</x:v>
      </x:c>
      <x:c r="O318" s="25" t="str">
        <x:v>Feedback-Directed Random Test Generation/Result/Compress_32/result.json</x:v>
      </x:c>
      <x:c r="P318"/>
      <x:c r="Q318" s="21" t="str"/>
      <x:c r="R318" s="21" t="str"/>
      <x:c r="S318" s="21" t="str"/>
      <x:c r="T318" s="17" t="str">
        <x:v>false</x:v>
      </x:c>
      <x:c r="U318" s="17" t="str">
        <x:v>true</x:v>
      </x:c>
      <x:c r="V318" s="17" t="str">
        <x:v>false</x:v>
      </x:c>
    </x:row>
    <x:row r="319" ht="80" customHeight="1">
      <x:c r="A319" s="25" t="str">
        <x:v>Compress</x:v>
      </x:c>
      <x:c r="B319" s="25" t="n">
        <x:v>33</x:v>
      </x:c>
      <x:c r="C319" s="25" t="str">
        <x:v>Round1</x:v>
      </x:c>
      <x:c r="D319" s="25" t="str">
        <x:v>NOT_REVEALING</x:v>
      </x:c>
      <x:c r="E319" s="25" t="str">
        <x:v>N/A</x:v>
      </x:c>
      <x:c r="F319" s="26" t="str">
        <x:v>Same saved validation suite passed on buggy and fixed</x:v>
      </x:c>
      <x:c r="G319" s="25" t="str">
        <x:v>true</x:v>
      </x:c>
      <x:c r="H319" s="25" t="str">
        <x:v>NOT_REVEALING</x:v>
      </x:c>
      <x:c r="I319" s="25" t="str">
        <x:v>PASS</x:v>
      </x:c>
      <x:c r="J319" s="25" t="str">
        <x:v>PASS</x:v>
      </x:c>
      <x:c r="K319" s="25" t="n">
        <x:v>2</x:v>
      </x:c>
      <x:c r="L319" s="27" t="b">
        <x:v>0</x:v>
      </x:c>
      <x:c r="M319" s="25" t="str">
        <x:v>Feedback-Directed Random Test Generation/rounds/Round1/state/Compress.json</x:v>
      </x:c>
      <x:c r="N319" s="25" t="str">
        <x:v>Feedback-Directed Random Test Generation/Result/Compress_33/result.json</x:v>
      </x:c>
      <x:c r="O319" s="25" t="str">
        <x:v>Feedback-Directed Random Test Generation/Result/Compress_33/result.json</x:v>
      </x:c>
      <x:c r="P319"/>
      <x:c r="Q319" s="21" t="str"/>
      <x:c r="R319" s="21" t="str"/>
      <x:c r="S319" s="21" t="str"/>
      <x:c r="T319" s="17" t="str">
        <x:v>false</x:v>
      </x:c>
      <x:c r="U319" s="17" t="str">
        <x:v>true</x:v>
      </x:c>
      <x:c r="V319" s="17" t="str">
        <x:v>false</x:v>
      </x:c>
    </x:row>
    <x:row r="320" ht="80" customHeight="1">
      <x:c r="A320" s="25" t="str">
        <x:v>Compress</x:v>
      </x:c>
      <x:c r="B320" s="25" t="n">
        <x:v>34</x:v>
      </x:c>
      <x:c r="C320" s="25" t="str">
        <x:v>Round1</x:v>
      </x:c>
      <x:c r="D320" s="25" t="str">
        <x:v>NOT_REVEALING</x:v>
      </x:c>
      <x:c r="E320" s="25" t="str">
        <x:v>N/A</x:v>
      </x:c>
      <x:c r="F320" s="26" t="str">
        <x:v>Same saved validation suite passed on buggy and fixed</x:v>
      </x:c>
      <x:c r="G320" s="25" t="str">
        <x:v>true</x:v>
      </x:c>
      <x:c r="H320" s="25" t="str">
        <x:v>NOT_REVEALING</x:v>
      </x:c>
      <x:c r="I320" s="25" t="str">
        <x:v>PASS</x:v>
      </x:c>
      <x:c r="J320" s="25" t="str">
        <x:v>PASS</x:v>
      </x:c>
      <x:c r="K320" s="25" t="n">
        <x:v>2</x:v>
      </x:c>
      <x:c r="L320" s="27" t="b">
        <x:v>0</x:v>
      </x:c>
      <x:c r="M320" s="25" t="str">
        <x:v>Feedback-Directed Random Test Generation/rounds/Round1/state/Compress.json</x:v>
      </x:c>
      <x:c r="N320" s="25" t="str">
        <x:v>Feedback-Directed Random Test Generation/Result/Compress_34/result.json</x:v>
      </x:c>
      <x:c r="O320" s="25" t="str">
        <x:v>Feedback-Directed Random Test Generation/Result/Compress_34/result.json</x:v>
      </x:c>
      <x:c r="P320"/>
      <x:c r="Q320" s="21" t="str"/>
      <x:c r="R320" s="21" t="str"/>
      <x:c r="S320" s="21" t="str"/>
      <x:c r="T320" s="17" t="str">
        <x:v>false</x:v>
      </x:c>
      <x:c r="U320" s="17" t="str">
        <x:v>true</x:v>
      </x:c>
      <x:c r="V320" s="17" t="str">
        <x:v>false</x:v>
      </x:c>
    </x:row>
    <x:row r="321" ht="80" customHeight="1">
      <x:c r="A321" s="25" t="str">
        <x:v>Compress</x:v>
      </x:c>
      <x:c r="B321" s="25" t="n">
        <x:v>35</x:v>
      </x:c>
      <x:c r="C321" s="25" t="str">
        <x:v>Round1</x:v>
      </x:c>
      <x:c r="D321" s="25" t="str">
        <x:v>INCONCLUSIVE</x:v>
      </x:c>
      <x:c r="E321" s="25" t="str">
        <x:v>N/A</x:v>
      </x:c>
      <x:c r="F321" s="26" t="str">
        <x:v>Fixed also failed; assertion failure cannot be attributed to this bug</x:v>
      </x:c>
      <x:c r="G321" s="25" t="str">
        <x:v>true</x:v>
      </x:c>
      <x:c r="H321" s="25" t="str">
        <x:v>INCONCLUSIVE</x:v>
      </x:c>
      <x:c r="I321" s="25" t="str">
        <x:v>PASS</x:v>
      </x:c>
      <x:c r="J321" s="25" t="str">
        <x:v>FAIL</x:v>
      </x:c>
      <x:c r="K321" s="25" t="n">
        <x:v>2</x:v>
      </x:c>
      <x:c r="L321" s="27" t="b">
        <x:v>0</x:v>
      </x:c>
      <x:c r="M321" s="25" t="str">
        <x:v>Feedback-Directed Random Test Generation/rounds/Round1/state/Compress.json</x:v>
      </x:c>
      <x:c r="N321" s="25" t="str">
        <x:v>Feedback-Directed Random Test Generation/Result/Compress_35/result.json</x:v>
      </x:c>
      <x:c r="O321" s="25" t="str">
        <x:v>Feedback-Directed Random Test Generation/Result/Compress_35/result.json</x:v>
      </x:c>
      <x:c r="P321"/>
      <x:c r="Q321" s="21" t="str"/>
      <x:c r="R321" s="21" t="str"/>
      <x:c r="S321" s="21" t="str"/>
      <x:c r="T321" s="17" t="str">
        <x:v>false</x:v>
      </x:c>
      <x:c r="U321" s="17" t="str">
        <x:v>true</x:v>
      </x:c>
      <x:c r="V321" s="17" t="str">
        <x:v>false</x:v>
      </x:c>
    </x:row>
    <x:row r="322" ht="80" customHeight="1">
      <x:c r="A322" s="25" t="str">
        <x:v>Compress</x:v>
      </x:c>
      <x:c r="B322" s="25" t="n">
        <x:v>36</x:v>
      </x:c>
      <x:c r="C322" s="25" t="str">
        <x:v>Round1</x:v>
      </x:c>
      <x:c r="D322" s="25" t="str">
        <x:v>NOT_REVEALING</x:v>
      </x:c>
      <x:c r="E322" s="25" t="str">
        <x:v>N/A</x:v>
      </x:c>
      <x:c r="F322" s="26" t="str">
        <x:v>Same saved validation suite passed on buggy and fixed</x:v>
      </x:c>
      <x:c r="G322" s="25" t="str">
        <x:v>true</x:v>
      </x:c>
      <x:c r="H322" s="25" t="str">
        <x:v>NOT_REVEALING</x:v>
      </x:c>
      <x:c r="I322" s="25" t="str">
        <x:v>PASS</x:v>
      </x:c>
      <x:c r="J322" s="25" t="str">
        <x:v>PASS</x:v>
      </x:c>
      <x:c r="K322" s="25" t="n">
        <x:v>2</x:v>
      </x:c>
      <x:c r="L322" s="27" t="b">
        <x:v>0</x:v>
      </x:c>
      <x:c r="M322" s="25" t="str">
        <x:v>Feedback-Directed Random Test Generation/rounds/Round1/state/Compress.json</x:v>
      </x:c>
      <x:c r="N322" s="25" t="str">
        <x:v>Feedback-Directed Random Test Generation/Result/Compress_36/result.json</x:v>
      </x:c>
      <x:c r="O322" s="25" t="str">
        <x:v>Feedback-Directed Random Test Generation/Result/Compress_36/result.json</x:v>
      </x:c>
      <x:c r="P322"/>
      <x:c r="Q322" s="21" t="str"/>
      <x:c r="R322" s="21" t="str"/>
      <x:c r="S322" s="21" t="str"/>
      <x:c r="T322" s="17" t="str">
        <x:v>false</x:v>
      </x:c>
      <x:c r="U322" s="17" t="str">
        <x:v>true</x:v>
      </x:c>
      <x:c r="V322" s="17" t="str">
        <x:v>false</x:v>
      </x:c>
    </x:row>
    <x:row r="323" ht="80" customHeight="1">
      <x:c r="A323" s="25" t="str">
        <x:v>Compress</x:v>
      </x:c>
      <x:c r="B323" s="25" t="n">
        <x:v>37</x:v>
      </x:c>
      <x:c r="C323" s="25" t="str">
        <x:v>Round1</x:v>
      </x:c>
      <x:c r="D323" s="25" t="str">
        <x:v>NOT_REVEALING</x:v>
      </x:c>
      <x:c r="E323" s="25" t="str">
        <x:v>N/A</x:v>
      </x:c>
      <x:c r="F323" s="26" t="str">
        <x:v>Same saved validation suite passed on buggy and fixed</x:v>
      </x:c>
      <x:c r="G323" s="25" t="str">
        <x:v>true</x:v>
      </x:c>
      <x:c r="H323" s="25" t="str">
        <x:v>NOT_REVEALING</x:v>
      </x:c>
      <x:c r="I323" s="25" t="str">
        <x:v>PASS</x:v>
      </x:c>
      <x:c r="J323" s="25" t="str">
        <x:v>PASS</x:v>
      </x:c>
      <x:c r="K323" s="25" t="n">
        <x:v>2</x:v>
      </x:c>
      <x:c r="L323" s="27" t="b">
        <x:v>0</x:v>
      </x:c>
      <x:c r="M323" s="25" t="str">
        <x:v>Feedback-Directed Random Test Generation/rounds/Round1/state/Compress.json</x:v>
      </x:c>
      <x:c r="N323" s="25" t="str">
        <x:v>Feedback-Directed Random Test Generation/Result/Compress_37/result.json</x:v>
      </x:c>
      <x:c r="O323" s="25" t="str">
        <x:v>Feedback-Directed Random Test Generation/Result/Compress_37/result.json</x:v>
      </x:c>
      <x:c r="P323"/>
      <x:c r="Q323" s="21" t="str"/>
      <x:c r="R323" s="21" t="str"/>
      <x:c r="S323" s="21" t="str"/>
      <x:c r="T323" s="17" t="str">
        <x:v>false</x:v>
      </x:c>
      <x:c r="U323" s="17" t="str">
        <x:v>true</x:v>
      </x:c>
      <x:c r="V323" s="17" t="str">
        <x:v>false</x:v>
      </x:c>
    </x:row>
    <x:row r="324" ht="80" customHeight="1">
      <x:c r="A324" s="25" t="str">
        <x:v>Compress</x:v>
      </x:c>
      <x:c r="B324" s="25" t="n">
        <x:v>38</x:v>
      </x:c>
      <x:c r="C324" s="25" t="str">
        <x:v>Round1</x:v>
      </x:c>
      <x:c r="D324" s="25" t="str">
        <x:v>NOT_REVEALING</x:v>
      </x:c>
      <x:c r="E324" s="25" t="str">
        <x:v>N/A</x:v>
      </x:c>
      <x:c r="F324" s="26" t="str">
        <x:v>Same saved validation suite passed on buggy and fixed</x:v>
      </x:c>
      <x:c r="G324" s="25" t="str">
        <x:v>true</x:v>
      </x:c>
      <x:c r="H324" s="25" t="str">
        <x:v>NOT_REVEALING</x:v>
      </x:c>
      <x:c r="I324" s="25" t="str">
        <x:v>PASS</x:v>
      </x:c>
      <x:c r="J324" s="25" t="str">
        <x:v>PASS</x:v>
      </x:c>
      <x:c r="K324" s="25" t="n">
        <x:v>2</x:v>
      </x:c>
      <x:c r="L324" s="27" t="b">
        <x:v>0</x:v>
      </x:c>
      <x:c r="M324" s="25" t="str">
        <x:v>Feedback-Directed Random Test Generation/rounds/Round1/state/Compress.json</x:v>
      </x:c>
      <x:c r="N324" s="25" t="str">
        <x:v>Feedback-Directed Random Test Generation/Result/Compress_38/result.json</x:v>
      </x:c>
      <x:c r="O324" s="25" t="str">
        <x:v>Feedback-Directed Random Test Generation/Result/Compress_38/result.json</x:v>
      </x:c>
      <x:c r="P324"/>
      <x:c r="Q324" s="21" t="str"/>
      <x:c r="R324" s="21" t="str"/>
      <x:c r="S324" s="21" t="str"/>
      <x:c r="T324" s="17" t="str">
        <x:v>false</x:v>
      </x:c>
      <x:c r="U324" s="17" t="str">
        <x:v>true</x:v>
      </x:c>
      <x:c r="V324" s="17" t="str">
        <x:v>false</x:v>
      </x:c>
    </x:row>
    <x:row r="325" ht="80" customHeight="1">
      <x:c r="A325" s="25" t="str">
        <x:v>Compress</x:v>
      </x:c>
      <x:c r="B325" s="25" t="n">
        <x:v>39</x:v>
      </x:c>
      <x:c r="C325" s="25" t="str">
        <x:v>Round1</x:v>
      </x:c>
      <x:c r="D325" s="25" t="str">
        <x:v>INCONCLUSIVE</x:v>
      </x:c>
      <x:c r="E325" s="25" t="str">
        <x:v>N/A</x:v>
      </x:c>
      <x:c r="F325" s="26" t="str">
        <x:v>Fixed also failed; assertion failure cannot be attributed to this bug; Assertions failed with measured coverage; paired execution and stage checks determine status</x:v>
      </x:c>
      <x:c r="G325" s="25" t="str">
        <x:v>true</x:v>
      </x:c>
      <x:c r="H325" s="25" t="str">
        <x:v>INCONCLUSIVE</x:v>
      </x:c>
      <x:c r="I325" s="25" t="str">
        <x:v>FAIL</x:v>
      </x:c>
      <x:c r="J325" s="25" t="str">
        <x:v>FAIL</x:v>
      </x:c>
      <x:c r="K325" s="25" t="n">
        <x:v>2</x:v>
      </x:c>
      <x:c r="L325" s="27" t="b">
        <x:v>0</x:v>
      </x:c>
      <x:c r="M325" s="25" t="str">
        <x:v>Feedback-Directed Random Test Generation/rounds/Round1/state/Compress.json</x:v>
      </x:c>
      <x:c r="N325" s="25" t="str">
        <x:v>Feedback-Directed Random Test Generation/Result/Compress_39/result.json</x:v>
      </x:c>
      <x:c r="O325" s="25" t="str">
        <x:v>Feedback-Directed Random Test Generation/Result/Compress_39/result.json</x:v>
      </x:c>
      <x:c r="P325"/>
      <x:c r="Q325" s="21" t="str"/>
      <x:c r="R325" s="21" t="str"/>
      <x:c r="S325" s="21" t="str"/>
      <x:c r="T325" s="17" t="str">
        <x:v>false</x:v>
      </x:c>
      <x:c r="U325" s="17" t="str">
        <x:v>true</x:v>
      </x:c>
      <x:c r="V325" s="17" t="str">
        <x:v>false</x:v>
      </x:c>
    </x:row>
    <x:row r="326" ht="80" customHeight="1">
      <x:c r="A326" s="25" t="str">
        <x:v>Compress</x:v>
      </x:c>
      <x:c r="B326" s="25" t="n">
        <x:v>40</x:v>
      </x:c>
      <x:c r="C326" s="25" t="str">
        <x:v>Round1</x:v>
      </x:c>
      <x:c r="D326" s="25" t="str">
        <x:v>NOT_REVEALING</x:v>
      </x:c>
      <x:c r="E326" s="25" t="str">
        <x:v>N/A</x:v>
      </x:c>
      <x:c r="F326" s="26" t="str">
        <x:v>Same saved validation suite passed on buggy and fixed</x:v>
      </x:c>
      <x:c r="G326" s="25" t="str">
        <x:v>true</x:v>
      </x:c>
      <x:c r="H326" s="25" t="str">
        <x:v>NOT_REVEALING</x:v>
      </x:c>
      <x:c r="I326" s="25" t="str">
        <x:v>PASS</x:v>
      </x:c>
      <x:c r="J326" s="25" t="str">
        <x:v>PASS</x:v>
      </x:c>
      <x:c r="K326" s="25" t="n">
        <x:v>2</x:v>
      </x:c>
      <x:c r="L326" s="27" t="b">
        <x:v>0</x:v>
      </x:c>
      <x:c r="M326" s="25" t="str">
        <x:v>Feedback-Directed Random Test Generation/rounds/Round1/state/Compress.json</x:v>
      </x:c>
      <x:c r="N326" s="25" t="str">
        <x:v>Feedback-Directed Random Test Generation/Result/Compress_40/result.json</x:v>
      </x:c>
      <x:c r="O326" s="25" t="str">
        <x:v>Feedback-Directed Random Test Generation/Result/Compress_40/result.json</x:v>
      </x:c>
      <x:c r="P326"/>
      <x:c r="Q326" s="21" t="str"/>
      <x:c r="R326" s="21" t="str"/>
      <x:c r="S326" s="21" t="str"/>
      <x:c r="T326" s="17" t="str">
        <x:v>false</x:v>
      </x:c>
      <x:c r="U326" s="17" t="str">
        <x:v>true</x:v>
      </x:c>
      <x:c r="V326" s="17" t="str">
        <x:v>false</x:v>
      </x:c>
    </x:row>
    <x:row r="327" ht="80" customHeight="1">
      <x:c r="A327" s="25" t="str">
        <x:v>Compress</x:v>
      </x:c>
      <x:c r="B327" s="25" t="n">
        <x:v>41</x:v>
      </x:c>
      <x:c r="C327" s="25" t="str">
        <x:v>Round1</x:v>
      </x:c>
      <x:c r="D327" s="25" t="str">
        <x:v>NOT_REVEALING</x:v>
      </x:c>
      <x:c r="E327" s="25" t="str">
        <x:v>N/A</x:v>
      </x:c>
      <x:c r="F327" s="26" t="str">
        <x:v>Same saved validation suite passed on buggy and fixed</x:v>
      </x:c>
      <x:c r="G327" s="25" t="str">
        <x:v>true</x:v>
      </x:c>
      <x:c r="H327" s="25" t="str">
        <x:v>NOT_REVEALING</x:v>
      </x:c>
      <x:c r="I327" s="25" t="str">
        <x:v>PASS</x:v>
      </x:c>
      <x:c r="J327" s="25" t="str">
        <x:v>PASS</x:v>
      </x:c>
      <x:c r="K327" s="25" t="n">
        <x:v>2</x:v>
      </x:c>
      <x:c r="L327" s="27" t="b">
        <x:v>0</x:v>
      </x:c>
      <x:c r="M327" s="25" t="str">
        <x:v>Feedback-Directed Random Test Generation/rounds/Round1/state/Compress.json</x:v>
      </x:c>
      <x:c r="N327" s="25" t="str">
        <x:v>Feedback-Directed Random Test Generation/Result/Compress_41/result.json</x:v>
      </x:c>
      <x:c r="O327" s="25" t="str">
        <x:v>Feedback-Directed Random Test Generation/Result/Compress_41/result.json</x:v>
      </x:c>
      <x:c r="P327"/>
      <x:c r="Q327" s="21" t="str"/>
      <x:c r="R327" s="21" t="str"/>
      <x:c r="S327" s="21" t="str"/>
      <x:c r="T327" s="17" t="str">
        <x:v>false</x:v>
      </x:c>
      <x:c r="U327" s="17" t="str">
        <x:v>true</x:v>
      </x:c>
      <x:c r="V327" s="17" t="str">
        <x:v>false</x:v>
      </x:c>
    </x:row>
    <x:row r="328" ht="80" customHeight="1">
      <x:c r="A328" s="25" t="str">
        <x:v>Compress</x:v>
      </x:c>
      <x:c r="B328" s="25" t="n">
        <x:v>42</x:v>
      </x:c>
      <x:c r="C328" s="25" t="str">
        <x:v>Round1</x:v>
      </x:c>
      <x:c r="D328" s="25" t="str">
        <x:v>NOT_REVEALING</x:v>
      </x:c>
      <x:c r="E328" s="25" t="str">
        <x:v>N/A</x:v>
      </x:c>
      <x:c r="F328" s="26" t="str">
        <x:v>Same saved validation suite passed on buggy and fixed</x:v>
      </x:c>
      <x:c r="G328" s="25" t="str">
        <x:v>true</x:v>
      </x:c>
      <x:c r="H328" s="25" t="str">
        <x:v>NOT_REVEALING</x:v>
      </x:c>
      <x:c r="I328" s="25" t="str">
        <x:v>PASS</x:v>
      </x:c>
      <x:c r="J328" s="25" t="str">
        <x:v>PASS</x:v>
      </x:c>
      <x:c r="K328" s="25" t="n">
        <x:v>2</x:v>
      </x:c>
      <x:c r="L328" s="27" t="b">
        <x:v>0</x:v>
      </x:c>
      <x:c r="M328" s="25" t="str">
        <x:v>Feedback-Directed Random Test Generation/rounds/Round1/state/Compress.json</x:v>
      </x:c>
      <x:c r="N328" s="25" t="str">
        <x:v>Feedback-Directed Random Test Generation/Result/Compress_42/result.json</x:v>
      </x:c>
      <x:c r="O328" s="25" t="str">
        <x:v>Feedback-Directed Random Test Generation/Result/Compress_42/result.json</x:v>
      </x:c>
      <x:c r="P328"/>
      <x:c r="Q328" s="21" t="str"/>
      <x:c r="R328" s="21" t="str"/>
      <x:c r="S328" s="21" t="str"/>
      <x:c r="T328" s="17" t="str">
        <x:v>false</x:v>
      </x:c>
      <x:c r="U328" s="17" t="str">
        <x:v>true</x:v>
      </x:c>
      <x:c r="V328" s="17" t="str">
        <x:v>false</x:v>
      </x:c>
    </x:row>
    <x:row r="329" ht="80" customHeight="1">
      <x:c r="A329" s="25" t="str">
        <x:v>Compress</x:v>
      </x:c>
      <x:c r="B329" s="25" t="n">
        <x:v>43</x:v>
      </x:c>
      <x:c r="C329" s="25" t="str">
        <x:v>Round1</x:v>
      </x:c>
      <x:c r="D329" s="25" t="str">
        <x:v>NOT_REVEALING</x:v>
      </x:c>
      <x:c r="E329" s="25" t="str">
        <x:v>N/A</x:v>
      </x:c>
      <x:c r="F329" s="26" t="str">
        <x:v>Same saved validation suite passed on buggy and fixed</x:v>
      </x:c>
      <x:c r="G329" s="25" t="str">
        <x:v>true</x:v>
      </x:c>
      <x:c r="H329" s="25" t="str">
        <x:v>NOT_REVEALING</x:v>
      </x:c>
      <x:c r="I329" s="25" t="str">
        <x:v>PASS</x:v>
      </x:c>
      <x:c r="J329" s="25" t="str">
        <x:v>PASS</x:v>
      </x:c>
      <x:c r="K329" s="25" t="n">
        <x:v>2</x:v>
      </x:c>
      <x:c r="L329" s="27" t="b">
        <x:v>0</x:v>
      </x:c>
      <x:c r="M329" s="25" t="str">
        <x:v>Feedback-Directed Random Test Generation/rounds/Round1/state/Compress.json</x:v>
      </x:c>
      <x:c r="N329" s="25" t="str">
        <x:v>Feedback-Directed Random Test Generation/Result/Compress_43/result.json</x:v>
      </x:c>
      <x:c r="O329" s="25" t="str">
        <x:v>Feedback-Directed Random Test Generation/Result/Compress_43/result.json</x:v>
      </x:c>
      <x:c r="P329"/>
      <x:c r="Q329" s="21" t="str"/>
      <x:c r="R329" s="21" t="str"/>
      <x:c r="S329" s="21" t="str"/>
      <x:c r="T329" s="17" t="str">
        <x:v>false</x:v>
      </x:c>
      <x:c r="U329" s="17" t="str">
        <x:v>true</x:v>
      </x:c>
      <x:c r="V329" s="17" t="str">
        <x:v>false</x:v>
      </x:c>
    </x:row>
    <x:row r="330" ht="80" customHeight="1">
      <x:c r="A330" s="25" t="str">
        <x:v>Compress</x:v>
      </x:c>
      <x:c r="B330" s="25" t="n">
        <x:v>44</x:v>
      </x:c>
      <x:c r="C330" s="25" t="str">
        <x:v>Round1</x:v>
      </x:c>
      <x:c r="D330" s="25" t="str">
        <x:v>INCONCLUSIVE</x:v>
      </x:c>
      <x:c r="E330" s="25" t="str">
        <x:v>N/A</x:v>
      </x:c>
      <x:c r="F330" s="26" t="str">
        <x:v>Fixed also failed; assertion failure cannot be attributed to this bug</x:v>
      </x:c>
      <x:c r="G330" s="25" t="str">
        <x:v>true</x:v>
      </x:c>
      <x:c r="H330" s="25" t="str">
        <x:v>INCONCLUSIVE</x:v>
      </x:c>
      <x:c r="I330" s="25" t="str">
        <x:v>PASS</x:v>
      </x:c>
      <x:c r="J330" s="25" t="str">
        <x:v>FAIL</x:v>
      </x:c>
      <x:c r="K330" s="25" t="n">
        <x:v>2</x:v>
      </x:c>
      <x:c r="L330" s="27" t="b">
        <x:v>0</x:v>
      </x:c>
      <x:c r="M330" s="25" t="str">
        <x:v>Feedback-Directed Random Test Generation/rounds/Round1/state/Compress.json</x:v>
      </x:c>
      <x:c r="N330" s="25" t="str">
        <x:v>Feedback-Directed Random Test Generation/Result/Compress_44/result.json</x:v>
      </x:c>
      <x:c r="O330" s="25" t="str">
        <x:v>Feedback-Directed Random Test Generation/Result/Compress_44/result.json</x:v>
      </x:c>
      <x:c r="P330"/>
      <x:c r="Q330" s="21" t="str"/>
      <x:c r="R330" s="21" t="str"/>
      <x:c r="S330" s="21" t="str"/>
      <x:c r="T330" s="17" t="str">
        <x:v>false</x:v>
      </x:c>
      <x:c r="U330" s="17" t="str">
        <x:v>true</x:v>
      </x:c>
      <x:c r="V330" s="17" t="str">
        <x:v>false</x:v>
      </x:c>
    </x:row>
    <x:row r="331" ht="80" customHeight="1">
      <x:c r="A331" s="25" t="str">
        <x:v>Compress</x:v>
      </x:c>
      <x:c r="B331" s="25" t="n">
        <x:v>45</x:v>
      </x:c>
      <x:c r="C331" s="25" t="str">
        <x:v>Round1</x:v>
      </x:c>
      <x:c r="D331" s="25" t="str">
        <x:v>INCONCLUSIVE</x:v>
      </x:c>
      <x:c r="E331" s="25" t="str">
        <x:v>N/A</x:v>
      </x:c>
      <x:c r="F331" s="26" t="str">
        <x:v>Fixed also failed; assertion failure cannot be attributed to this bug</x:v>
      </x:c>
      <x:c r="G331" s="25" t="str">
        <x:v>true</x:v>
      </x:c>
      <x:c r="H331" s="25" t="str">
        <x:v>INCONCLUSIVE</x:v>
      </x:c>
      <x:c r="I331" s="25" t="str">
        <x:v>PASS</x:v>
      </x:c>
      <x:c r="J331" s="25" t="str">
        <x:v>FAIL</x:v>
      </x:c>
      <x:c r="K331" s="25" t="n">
        <x:v>2</x:v>
      </x:c>
      <x:c r="L331" s="27" t="b">
        <x:v>0</x:v>
      </x:c>
      <x:c r="M331" s="25" t="str">
        <x:v>Feedback-Directed Random Test Generation/rounds/Round1/state/Compress.json</x:v>
      </x:c>
      <x:c r="N331" s="25" t="str">
        <x:v>Feedback-Directed Random Test Generation/Result/Compress_45/result.json</x:v>
      </x:c>
      <x:c r="O331" s="25" t="str">
        <x:v>Feedback-Directed Random Test Generation/Result/Compress_45/result.json</x:v>
      </x:c>
      <x:c r="P331"/>
      <x:c r="Q331" s="21" t="str"/>
      <x:c r="R331" s="21" t="str"/>
      <x:c r="S331" s="21" t="str"/>
      <x:c r="T331" s="17" t="str">
        <x:v>false</x:v>
      </x:c>
      <x:c r="U331" s="17" t="str">
        <x:v>true</x:v>
      </x:c>
      <x:c r="V331" s="17" t="str">
        <x:v>false</x:v>
      </x:c>
    </x:row>
    <x:row r="332" ht="80" customHeight="1">
      <x:c r="A332" s="25" t="str">
        <x:v>Compress</x:v>
      </x:c>
      <x:c r="B332" s="25" t="n">
        <x:v>46</x:v>
      </x:c>
      <x:c r="C332" s="25" t="str">
        <x:v>Round1</x:v>
      </x:c>
      <x:c r="D332" s="25" t="str">
        <x:v>NOT_REVEALING</x:v>
      </x:c>
      <x:c r="E332" s="25" t="str">
        <x:v>N/A</x:v>
      </x:c>
      <x:c r="F332" s="26" t="str">
        <x:v>Same saved validation suite passed on buggy and fixed</x:v>
      </x:c>
      <x:c r="G332" s="25" t="str">
        <x:v>true</x:v>
      </x:c>
      <x:c r="H332" s="25" t="str">
        <x:v>NOT_REVEALING</x:v>
      </x:c>
      <x:c r="I332" s="25" t="str">
        <x:v>PASS</x:v>
      </x:c>
      <x:c r="J332" s="25" t="str">
        <x:v>PASS</x:v>
      </x:c>
      <x:c r="K332" s="25" t="n">
        <x:v>2</x:v>
      </x:c>
      <x:c r="L332" s="27" t="b">
        <x:v>0</x:v>
      </x:c>
      <x:c r="M332" s="25" t="str">
        <x:v>Feedback-Directed Random Test Generation/rounds/Round1/state/Compress.json</x:v>
      </x:c>
      <x:c r="N332" s="25" t="str">
        <x:v>Feedback-Directed Random Test Generation/Result/Compress_46/result.json</x:v>
      </x:c>
      <x:c r="O332" s="25" t="str">
        <x:v>Feedback-Directed Random Test Generation/Result/Compress_46/result.json</x:v>
      </x:c>
      <x:c r="P332"/>
      <x:c r="Q332" s="21" t="str"/>
      <x:c r="R332" s="21" t="str"/>
      <x:c r="S332" s="21" t="str"/>
      <x:c r="T332" s="17" t="str">
        <x:v>false</x:v>
      </x:c>
      <x:c r="U332" s="17" t="str">
        <x:v>true</x:v>
      </x:c>
      <x:c r="V332" s="17" t="str">
        <x:v>false</x:v>
      </x:c>
    </x:row>
    <x:row r="333" ht="80" customHeight="1">
      <x:c r="A333" s="25" t="str">
        <x:v>Compress</x:v>
      </x:c>
      <x:c r="B333" s="25" t="n">
        <x:v>47</x:v>
      </x:c>
      <x:c r="C333" s="25" t="str">
        <x:v>Round1</x:v>
      </x:c>
      <x:c r="D333" s="25" t="str">
        <x:v>NOT_REVEALING</x:v>
      </x:c>
      <x:c r="E333" s="25" t="str">
        <x:v>N/A</x:v>
      </x:c>
      <x:c r="F333" s="26" t="str">
        <x:v>Same saved validation suite passed on buggy and fixed</x:v>
      </x:c>
      <x:c r="G333" s="25" t="str">
        <x:v>true</x:v>
      </x:c>
      <x:c r="H333" s="25" t="str">
        <x:v>NOT_REVEALING</x:v>
      </x:c>
      <x:c r="I333" s="25" t="str">
        <x:v>PASS</x:v>
      </x:c>
      <x:c r="J333" s="25" t="str">
        <x:v>PASS</x:v>
      </x:c>
      <x:c r="K333" s="25" t="n">
        <x:v>2</x:v>
      </x:c>
      <x:c r="L333" s="27" t="b">
        <x:v>0</x:v>
      </x:c>
      <x:c r="M333" s="25" t="str">
        <x:v>Feedback-Directed Random Test Generation/rounds/Round1/state/Compress.json</x:v>
      </x:c>
      <x:c r="N333" s="25" t="str">
        <x:v>Feedback-Directed Random Test Generation/Result/Compress_47/result.json</x:v>
      </x:c>
      <x:c r="O333" s="25" t="str">
        <x:v>Feedback-Directed Random Test Generation/Result/Compress_47/result.json</x:v>
      </x:c>
      <x:c r="P333"/>
      <x:c r="Q333" s="21" t="str"/>
      <x:c r="R333" s="21" t="str"/>
      <x:c r="S333" s="21" t="str"/>
      <x:c r="T333" s="17" t="str">
        <x:v>false</x:v>
      </x:c>
      <x:c r="U333" s="17" t="str">
        <x:v>true</x:v>
      </x:c>
      <x:c r="V333" s="17" t="str">
        <x:v>false</x:v>
      </x:c>
    </x:row>
    <x:row r="334" ht="80" customHeight="1">
      <x:c r="A334" s="25" t="str">
        <x:v>Csv</x:v>
      </x:c>
      <x:c r="B334" s="25" t="n">
        <x:v>1</x:v>
      </x:c>
      <x:c r="C334" s="25" t="str">
        <x:v>Round1</x:v>
      </x:c>
      <x:c r="D334" s="25" t="str">
        <x:v>NOT_REVEALING</x:v>
      </x:c>
      <x:c r="E334" s="25" t="str">
        <x:v>N/A</x:v>
      </x:c>
      <x:c r="F334" s="26" t="str">
        <x:v>Same saved validation suite passed on buggy and fixed</x:v>
      </x:c>
      <x:c r="G334" s="25" t="str">
        <x:v>true</x:v>
      </x:c>
      <x:c r="H334" s="25" t="str">
        <x:v>NOT_REVEALING</x:v>
      </x:c>
      <x:c r="I334" s="25" t="str">
        <x:v>PASS</x:v>
      </x:c>
      <x:c r="J334" s="25" t="str">
        <x:v>PASS</x:v>
      </x:c>
      <x:c r="K334" s="25" t="n">
        <x:v>2</x:v>
      </x:c>
      <x:c r="L334" s="27" t="b">
        <x:v>0</x:v>
      </x:c>
      <x:c r="M334" s="25" t="str">
        <x:v>Feedback-Directed Random Test Generation/rounds/Round1/state/Csv.json</x:v>
      </x:c>
      <x:c r="N334" s="25" t="str">
        <x:v>Feedback-Directed Random Test Generation/Result/Csv_1/result.json</x:v>
      </x:c>
      <x:c r="O334" s="25" t="str">
        <x:v>Feedback-Directed Random Test Generation/Result/Csv_1/result.json</x:v>
      </x:c>
      <x:c r="P334"/>
      <x:c r="Q334" s="21" t="str"/>
      <x:c r="R334" s="21" t="str"/>
      <x:c r="S334" s="21" t="str"/>
      <x:c r="T334" s="17" t="str">
        <x:v>false</x:v>
      </x:c>
      <x:c r="U334" s="17" t="str">
        <x:v>true</x:v>
      </x:c>
      <x:c r="V334" s="17" t="str">
        <x:v>false</x:v>
      </x:c>
    </x:row>
    <x:row r="335" ht="80" customHeight="1">
      <x:c r="A335" s="25" t="str">
        <x:v>Csv</x:v>
      </x:c>
      <x:c r="B335" s="25" t="n">
        <x:v>2</x:v>
      </x:c>
      <x:c r="C335" s="25" t="str">
        <x:v>Round1</x:v>
      </x:c>
      <x:c r="D335" s="25" t="str">
        <x:v>NOT_REVEALING</x:v>
      </x:c>
      <x:c r="E335" s="25" t="str">
        <x:v>N/A</x:v>
      </x:c>
      <x:c r="F335" s="26" t="str">
        <x:v>Same saved validation suite passed on buggy and fixed</x:v>
      </x:c>
      <x:c r="G335" s="25" t="str">
        <x:v>true</x:v>
      </x:c>
      <x:c r="H335" s="25" t="str">
        <x:v>NOT_REVEALING</x:v>
      </x:c>
      <x:c r="I335" s="25" t="str">
        <x:v>PASS</x:v>
      </x:c>
      <x:c r="J335" s="25" t="str">
        <x:v>PASS</x:v>
      </x:c>
      <x:c r="K335" s="25" t="n">
        <x:v>2</x:v>
      </x:c>
      <x:c r="L335" s="27" t="b">
        <x:v>0</x:v>
      </x:c>
      <x:c r="M335" s="25" t="str">
        <x:v>Feedback-Directed Random Test Generation/rounds/Round1/state/Csv.json</x:v>
      </x:c>
      <x:c r="N335" s="25" t="str">
        <x:v>Feedback-Directed Random Test Generation/Result/Csv_2/result.json</x:v>
      </x:c>
      <x:c r="O335" s="25" t="str">
        <x:v>Feedback-Directed Random Test Generation/Result/Csv_2/result.json</x:v>
      </x:c>
      <x:c r="P335"/>
      <x:c r="Q335" s="21" t="str"/>
      <x:c r="R335" s="21" t="str"/>
      <x:c r="S335" s="21" t="str"/>
      <x:c r="T335" s="17" t="str">
        <x:v>false</x:v>
      </x:c>
      <x:c r="U335" s="17" t="str">
        <x:v>true</x:v>
      </x:c>
      <x:c r="V335" s="17" t="str">
        <x:v>false</x:v>
      </x:c>
    </x:row>
    <x:row r="336" ht="80" customHeight="1">
      <x:c r="A336" s="25" t="str">
        <x:v>Csv</x:v>
      </x:c>
      <x:c r="B336" s="25" t="n">
        <x:v>3</x:v>
      </x:c>
      <x:c r="C336" s="25" t="str">
        <x:v>Round1</x:v>
      </x:c>
      <x:c r="D336" s="25" t="str">
        <x:v>NOT_REVEALING</x:v>
      </x:c>
      <x:c r="E336" s="25" t="str">
        <x:v>N/A</x:v>
      </x:c>
      <x:c r="F336" s="26" t="str">
        <x:v>Same saved validation suite passed on buggy and fixed</x:v>
      </x:c>
      <x:c r="G336" s="25" t="str">
        <x:v>true</x:v>
      </x:c>
      <x:c r="H336" s="25" t="str">
        <x:v>NOT_REVEALING</x:v>
      </x:c>
      <x:c r="I336" s="25" t="str">
        <x:v>PASS</x:v>
      </x:c>
      <x:c r="J336" s="25" t="str">
        <x:v>PASS</x:v>
      </x:c>
      <x:c r="K336" s="25" t="n">
        <x:v>2</x:v>
      </x:c>
      <x:c r="L336" s="27" t="b">
        <x:v>0</x:v>
      </x:c>
      <x:c r="M336" s="25" t="str">
        <x:v>Feedback-Directed Random Test Generation/rounds/Round1/state/Csv.json</x:v>
      </x:c>
      <x:c r="N336" s="25" t="str">
        <x:v>Feedback-Directed Random Test Generation/Result/Csv_3/result.json</x:v>
      </x:c>
      <x:c r="O336" s="25" t="str">
        <x:v>Feedback-Directed Random Test Generation/Result/Csv_3/result.json</x:v>
      </x:c>
      <x:c r="P336"/>
      <x:c r="Q336" s="21" t="str"/>
      <x:c r="R336" s="21" t="str"/>
      <x:c r="S336" s="21" t="str"/>
      <x:c r="T336" s="17" t="str">
        <x:v>false</x:v>
      </x:c>
      <x:c r="U336" s="17" t="str">
        <x:v>true</x:v>
      </x:c>
      <x:c r="V336" s="17" t="str">
        <x:v>false</x:v>
      </x:c>
    </x:row>
    <x:row r="337" ht="80" customHeight="1">
      <x:c r="A337" s="25" t="str">
        <x:v>Csv</x:v>
      </x:c>
      <x:c r="B337" s="25" t="n">
        <x:v>4</x:v>
      </x:c>
      <x:c r="C337" s="25" t="str">
        <x:v>Round1</x:v>
      </x:c>
      <x:c r="D337" s="25" t="str">
        <x:v>NOT_REVEALING</x:v>
      </x:c>
      <x:c r="E337" s="25" t="str">
        <x:v>N/A</x:v>
      </x:c>
      <x:c r="F337" s="26" t="str">
        <x:v>Same saved validation suite passed on buggy and fixed</x:v>
      </x:c>
      <x:c r="G337" s="25" t="str">
        <x:v>true</x:v>
      </x:c>
      <x:c r="H337" s="25" t="str">
        <x:v>NOT_REVEALING</x:v>
      </x:c>
      <x:c r="I337" s="25" t="str">
        <x:v>PASS</x:v>
      </x:c>
      <x:c r="J337" s="25" t="str">
        <x:v>PASS</x:v>
      </x:c>
      <x:c r="K337" s="25" t="n">
        <x:v>2</x:v>
      </x:c>
      <x:c r="L337" s="27" t="b">
        <x:v>0</x:v>
      </x:c>
      <x:c r="M337" s="25" t="str">
        <x:v>Feedback-Directed Random Test Generation/rounds/Round1/state/Csv.json</x:v>
      </x:c>
      <x:c r="N337" s="25" t="str">
        <x:v>Feedback-Directed Random Test Generation/Result/Csv_4/result.json</x:v>
      </x:c>
      <x:c r="O337" s="25" t="str">
        <x:v>Feedback-Directed Random Test Generation/Result/Csv_4/result.json</x:v>
      </x:c>
      <x:c r="P337"/>
      <x:c r="Q337" s="21" t="str"/>
      <x:c r="R337" s="21" t="str"/>
      <x:c r="S337" s="21" t="str"/>
      <x:c r="T337" s="17" t="str">
        <x:v>false</x:v>
      </x:c>
      <x:c r="U337" s="17" t="str">
        <x:v>true</x:v>
      </x:c>
      <x:c r="V337" s="17" t="str">
        <x:v>false</x:v>
      </x:c>
    </x:row>
    <x:row r="338" ht="80" customHeight="1">
      <x:c r="A338" s="25" t="str">
        <x:v>Csv</x:v>
      </x:c>
      <x:c r="B338" s="25" t="n">
        <x:v>5</x:v>
      </x:c>
      <x:c r="C338" s="25" t="str">
        <x:v>Round1</x:v>
      </x:c>
      <x:c r="D338" s="25" t="str">
        <x:v>NOT_REVEALING</x:v>
      </x:c>
      <x:c r="E338" s="25" t="str">
        <x:v>N/A</x:v>
      </x:c>
      <x:c r="F338" s="26" t="str">
        <x:v>Same saved validation suite passed on buggy and fixed</x:v>
      </x:c>
      <x:c r="G338" s="25" t="str">
        <x:v>true</x:v>
      </x:c>
      <x:c r="H338" s="25" t="str">
        <x:v>NOT_REVEALING</x:v>
      </x:c>
      <x:c r="I338" s="25" t="str">
        <x:v>PASS</x:v>
      </x:c>
      <x:c r="J338" s="25" t="str">
        <x:v>PASS</x:v>
      </x:c>
      <x:c r="K338" s="25" t="n">
        <x:v>2</x:v>
      </x:c>
      <x:c r="L338" s="27" t="b">
        <x:v>0</x:v>
      </x:c>
      <x:c r="M338" s="25" t="str">
        <x:v>Feedback-Directed Random Test Generation/rounds/Round1/state/Csv.json</x:v>
      </x:c>
      <x:c r="N338" s="25" t="str">
        <x:v>Feedback-Directed Random Test Generation/Result/Csv_5/result.json</x:v>
      </x:c>
      <x:c r="O338" s="25" t="str">
        <x:v>Feedback-Directed Random Test Generation/Result/Csv_5/result.json</x:v>
      </x:c>
      <x:c r="P338"/>
      <x:c r="Q338" s="21" t="str"/>
      <x:c r="R338" s="21" t="str"/>
      <x:c r="S338" s="21" t="str"/>
      <x:c r="T338" s="17" t="str">
        <x:v>false</x:v>
      </x:c>
      <x:c r="U338" s="17" t="str">
        <x:v>true</x:v>
      </x:c>
      <x:c r="V338" s="17" t="str">
        <x:v>false</x:v>
      </x:c>
    </x:row>
    <x:row r="339" ht="80" customHeight="1">
      <x:c r="A339" s="25" t="str">
        <x:v>Csv</x:v>
      </x:c>
      <x:c r="B339" s="25" t="n">
        <x:v>6</x:v>
      </x:c>
      <x:c r="C339" s="25" t="str">
        <x:v>Round1</x:v>
      </x:c>
      <x:c r="D339" s="25" t="str">
        <x:v>NOT_REVEALING</x:v>
      </x:c>
      <x:c r="E339" s="25" t="str">
        <x:v>N/A</x:v>
      </x:c>
      <x:c r="F339" s="26" t="str">
        <x:v>Same saved validation suite passed on buggy and fixed</x:v>
      </x:c>
      <x:c r="G339" s="25" t="str">
        <x:v>true</x:v>
      </x:c>
      <x:c r="H339" s="25" t="str">
        <x:v>NOT_REVEALING</x:v>
      </x:c>
      <x:c r="I339" s="25" t="str">
        <x:v>PASS</x:v>
      </x:c>
      <x:c r="J339" s="25" t="str">
        <x:v>PASS</x:v>
      </x:c>
      <x:c r="K339" s="25" t="n">
        <x:v>2</x:v>
      </x:c>
      <x:c r="L339" s="27" t="b">
        <x:v>0</x:v>
      </x:c>
      <x:c r="M339" s="25" t="str">
        <x:v>Feedback-Directed Random Test Generation/rounds/Round1/state/Csv.json</x:v>
      </x:c>
      <x:c r="N339" s="25" t="str">
        <x:v>Feedback-Directed Random Test Generation/Result/Csv_6/result.json</x:v>
      </x:c>
      <x:c r="O339" s="25" t="str">
        <x:v>Feedback-Directed Random Test Generation/Result/Csv_6/result.json</x:v>
      </x:c>
      <x:c r="P339"/>
      <x:c r="Q339" s="21" t="str"/>
      <x:c r="R339" s="21" t="str"/>
      <x:c r="S339" s="21" t="str"/>
      <x:c r="T339" s="17" t="str">
        <x:v>false</x:v>
      </x:c>
      <x:c r="U339" s="17" t="str">
        <x:v>true</x:v>
      </x:c>
      <x:c r="V339" s="17" t="str">
        <x:v>false</x:v>
      </x:c>
    </x:row>
    <x:row r="340" ht="80" customHeight="1">
      <x:c r="A340" s="25" t="str">
        <x:v>Csv</x:v>
      </x:c>
      <x:c r="B340" s="25" t="n">
        <x:v>7</x:v>
      </x:c>
      <x:c r="C340" s="25" t="str">
        <x:v>Round1</x:v>
      </x:c>
      <x:c r="D340" s="25" t="str">
        <x:v>NOT_REVEALING</x:v>
      </x:c>
      <x:c r="E340" s="25" t="str">
        <x:v>N/A</x:v>
      </x:c>
      <x:c r="F340" s="26" t="str">
        <x:v>Same saved validation suite passed on buggy and fixed</x:v>
      </x:c>
      <x:c r="G340" s="25" t="str">
        <x:v>true</x:v>
      </x:c>
      <x:c r="H340" s="25" t="str">
        <x:v>NOT_REVEALING</x:v>
      </x:c>
      <x:c r="I340" s="25" t="str">
        <x:v>PASS</x:v>
      </x:c>
      <x:c r="J340" s="25" t="str">
        <x:v>PASS</x:v>
      </x:c>
      <x:c r="K340" s="25" t="n">
        <x:v>2</x:v>
      </x:c>
      <x:c r="L340" s="27" t="b">
        <x:v>0</x:v>
      </x:c>
      <x:c r="M340" s="25" t="str">
        <x:v>Feedback-Directed Random Test Generation/rounds/Round1/state/Csv.json</x:v>
      </x:c>
      <x:c r="N340" s="25" t="str">
        <x:v>Feedback-Directed Random Test Generation/Result/Csv_7/result.json</x:v>
      </x:c>
      <x:c r="O340" s="25" t="str">
        <x:v>Feedback-Directed Random Test Generation/Result/Csv_7/result.json</x:v>
      </x:c>
      <x:c r="P340"/>
      <x:c r="Q340" s="21" t="str"/>
      <x:c r="R340" s="21" t="str"/>
      <x:c r="S340" s="21" t="str"/>
      <x:c r="T340" s="17" t="str">
        <x:v>false</x:v>
      </x:c>
      <x:c r="U340" s="17" t="str">
        <x:v>true</x:v>
      </x:c>
      <x:c r="V340" s="17" t="str">
        <x:v>false</x:v>
      </x:c>
    </x:row>
    <x:row r="341" ht="80" customHeight="1">
      <x:c r="A341" s="25" t="str">
        <x:v>Csv</x:v>
      </x:c>
      <x:c r="B341" s="25" t="n">
        <x:v>8</x:v>
      </x:c>
      <x:c r="C341" s="25" t="str">
        <x:v>Round1</x:v>
      </x:c>
      <x:c r="D341" s="25" t="str">
        <x:v>INCONCLUSIVE</x:v>
      </x:c>
      <x:c r="E341" s="25" t="str">
        <x:v>N/A</x:v>
      </x:c>
      <x:c r="F341" s="26" t="str">
        <x:v>Fixed also failed; assertion failure cannot be attributed to this bug</x:v>
      </x:c>
      <x:c r="G341" s="25" t="str">
        <x:v>true</x:v>
      </x:c>
      <x:c r="H341" s="25" t="str">
        <x:v>INCONCLUSIVE</x:v>
      </x:c>
      <x:c r="I341" s="25" t="str">
        <x:v>PASS</x:v>
      </x:c>
      <x:c r="J341" s="25" t="str">
        <x:v>FAIL</x:v>
      </x:c>
      <x:c r="K341" s="25" t="n">
        <x:v>2</x:v>
      </x:c>
      <x:c r="L341" s="27" t="b">
        <x:v>0</x:v>
      </x:c>
      <x:c r="M341" s="25" t="str">
        <x:v>Feedback-Directed Random Test Generation/rounds/Round1/state/Csv.json</x:v>
      </x:c>
      <x:c r="N341" s="25" t="str">
        <x:v>Feedback-Directed Random Test Generation/Result/Csv_8/result.json</x:v>
      </x:c>
      <x:c r="O341" s="25" t="str">
        <x:v>Feedback-Directed Random Test Generation/Result/Csv_8/result.json</x:v>
      </x:c>
      <x:c r="P341"/>
      <x:c r="Q341" s="21" t="str"/>
      <x:c r="R341" s="21" t="str"/>
      <x:c r="S341" s="21" t="str"/>
      <x:c r="T341" s="17" t="str">
        <x:v>false</x:v>
      </x:c>
      <x:c r="U341" s="17" t="str">
        <x:v>true</x:v>
      </x:c>
      <x:c r="V341" s="17" t="str">
        <x:v>false</x:v>
      </x:c>
    </x:row>
    <x:row r="342" ht="80" customHeight="1">
      <x:c r="A342" s="25" t="str">
        <x:v>Csv</x:v>
      </x:c>
      <x:c r="B342" s="25" t="n">
        <x:v>9</x:v>
      </x:c>
      <x:c r="C342" s="25" t="str">
        <x:v>Round1</x:v>
      </x:c>
      <x:c r="D342" s="25" t="str">
        <x:v>INCONCLUSIVE</x:v>
      </x:c>
      <x:c r="E342" s="25" t="str">
        <x:v>N/A</x:v>
      </x:c>
      <x:c r="F342" s="26" t="str">
        <x:v>Fixed also failed; assertion failure cannot be attributed to this bug</x:v>
      </x:c>
      <x:c r="G342" s="25" t="str">
        <x:v>true</x:v>
      </x:c>
      <x:c r="H342" s="25" t="str">
        <x:v>INCONCLUSIVE</x:v>
      </x:c>
      <x:c r="I342" s="25" t="str">
        <x:v>PASS</x:v>
      </x:c>
      <x:c r="J342" s="25" t="str">
        <x:v>FAIL</x:v>
      </x:c>
      <x:c r="K342" s="25" t="n">
        <x:v>2</x:v>
      </x:c>
      <x:c r="L342" s="27" t="b">
        <x:v>0</x:v>
      </x:c>
      <x:c r="M342" s="25" t="str">
        <x:v>Feedback-Directed Random Test Generation/rounds/Round1/state/Csv.json</x:v>
      </x:c>
      <x:c r="N342" s="25" t="str">
        <x:v>Feedback-Directed Random Test Generation/Result/Csv_9/result.json</x:v>
      </x:c>
      <x:c r="O342" s="25" t="str">
        <x:v>Feedback-Directed Random Test Generation/Result/Csv_9/result.json</x:v>
      </x:c>
      <x:c r="P342"/>
      <x:c r="Q342" s="21" t="str"/>
      <x:c r="R342" s="21" t="str"/>
      <x:c r="S342" s="21" t="str"/>
      <x:c r="T342" s="17" t="str">
        <x:v>false</x:v>
      </x:c>
      <x:c r="U342" s="17" t="str">
        <x:v>true</x:v>
      </x:c>
      <x:c r="V342" s="17" t="str">
        <x:v>false</x:v>
      </x:c>
    </x:row>
    <x:row r="343" ht="80" customHeight="1">
      <x:c r="A343" s="25" t="str">
        <x:v>Csv</x:v>
      </x:c>
      <x:c r="B343" s="25" t="n">
        <x:v>10</x:v>
      </x:c>
      <x:c r="C343" s="25" t="str">
        <x:v>Round1</x:v>
      </x:c>
      <x:c r="D343" s="25" t="str">
        <x:v>NOT_REVEALING</x:v>
      </x:c>
      <x:c r="E343" s="25" t="str">
        <x:v>N/A</x:v>
      </x:c>
      <x:c r="F343" s="26" t="str">
        <x:v>Same saved validation suite passed on buggy and fixed</x:v>
      </x:c>
      <x:c r="G343" s="25" t="str">
        <x:v>true</x:v>
      </x:c>
      <x:c r="H343" s="25" t="str">
        <x:v>NOT_REVEALING</x:v>
      </x:c>
      <x:c r="I343" s="25" t="str">
        <x:v>PASS</x:v>
      </x:c>
      <x:c r="J343" s="25" t="str">
        <x:v>PASS</x:v>
      </x:c>
      <x:c r="K343" s="25" t="n">
        <x:v>2</x:v>
      </x:c>
      <x:c r="L343" s="27" t="b">
        <x:v>0</x:v>
      </x:c>
      <x:c r="M343" s="25" t="str">
        <x:v>Feedback-Directed Random Test Generation/rounds/Round1/state/Csv.json</x:v>
      </x:c>
      <x:c r="N343" s="25" t="str">
        <x:v>Feedback-Directed Random Test Generation/Result/Csv_10/result.json</x:v>
      </x:c>
      <x:c r="O343" s="25" t="str">
        <x:v>Feedback-Directed Random Test Generation/Result/Csv_10/result.json</x:v>
      </x:c>
      <x:c r="P343"/>
      <x:c r="Q343" s="21" t="str"/>
      <x:c r="R343" s="21" t="str"/>
      <x:c r="S343" s="21" t="str"/>
      <x:c r="T343" s="17" t="str">
        <x:v>false</x:v>
      </x:c>
      <x:c r="U343" s="17" t="str">
        <x:v>true</x:v>
      </x:c>
      <x:c r="V343" s="17" t="str">
        <x:v>false</x:v>
      </x:c>
    </x:row>
    <x:row r="344" ht="80" customHeight="1">
      <x:c r="A344" s="25" t="str">
        <x:v>Csv</x:v>
      </x:c>
      <x:c r="B344" s="25" t="n">
        <x:v>11</x:v>
      </x:c>
      <x:c r="C344" s="25" t="str">
        <x:v>Round1</x:v>
      </x:c>
      <x:c r="D344" s="25" t="str">
        <x:v>NOT_REVEALING</x:v>
      </x:c>
      <x:c r="E344" s="25" t="str">
        <x:v>N/A</x:v>
      </x:c>
      <x:c r="F344" s="26" t="str">
        <x:v>Same saved validation suite passed on buggy and fixed</x:v>
      </x:c>
      <x:c r="G344" s="25" t="str">
        <x:v>true</x:v>
      </x:c>
      <x:c r="H344" s="25" t="str">
        <x:v>NOT_REVEALING</x:v>
      </x:c>
      <x:c r="I344" s="25" t="str">
        <x:v>PASS</x:v>
      </x:c>
      <x:c r="J344" s="25" t="str">
        <x:v>PASS</x:v>
      </x:c>
      <x:c r="K344" s="25" t="n">
        <x:v>2</x:v>
      </x:c>
      <x:c r="L344" s="27" t="b">
        <x:v>0</x:v>
      </x:c>
      <x:c r="M344" s="25" t="str">
        <x:v>Feedback-Directed Random Test Generation/rounds/Round1/state/Csv.json</x:v>
      </x:c>
      <x:c r="N344" s="25" t="str">
        <x:v>Feedback-Directed Random Test Generation/Result/Csv_11/result.json</x:v>
      </x:c>
      <x:c r="O344" s="25" t="str">
        <x:v>Feedback-Directed Random Test Generation/Result/Csv_11/result.json</x:v>
      </x:c>
      <x:c r="P344"/>
      <x:c r="Q344" s="21" t="str"/>
      <x:c r="R344" s="21" t="str"/>
      <x:c r="S344" s="21" t="str"/>
      <x:c r="T344" s="17" t="str">
        <x:v>false</x:v>
      </x:c>
      <x:c r="U344" s="17" t="str">
        <x:v>true</x:v>
      </x:c>
      <x:c r="V344" s="17" t="str">
        <x:v>false</x:v>
      </x:c>
    </x:row>
    <x:row r="345" ht="80" customHeight="1">
      <x:c r="A345" s="25" t="str">
        <x:v>Csv</x:v>
      </x:c>
      <x:c r="B345" s="25" t="n">
        <x:v>12</x:v>
      </x:c>
      <x:c r="C345" s="25" t="str">
        <x:v>Round1</x:v>
      </x:c>
      <x:c r="D345" s="25" t="str">
        <x:v>NOT_REVEALING</x:v>
      </x:c>
      <x:c r="E345" s="25" t="str">
        <x:v>N/A</x:v>
      </x:c>
      <x:c r="F345" s="26" t="str">
        <x:v>Same saved validation suite passed on buggy and fixed</x:v>
      </x:c>
      <x:c r="G345" s="25" t="str">
        <x:v>true</x:v>
      </x:c>
      <x:c r="H345" s="25" t="str">
        <x:v>NOT_REVEALING</x:v>
      </x:c>
      <x:c r="I345" s="25" t="str">
        <x:v>PASS</x:v>
      </x:c>
      <x:c r="J345" s="25" t="str">
        <x:v>PASS</x:v>
      </x:c>
      <x:c r="K345" s="25" t="n">
        <x:v>2</x:v>
      </x:c>
      <x:c r="L345" s="27" t="b">
        <x:v>0</x:v>
      </x:c>
      <x:c r="M345" s="25" t="str">
        <x:v>Feedback-Directed Random Test Generation/rounds/Round1/state/Csv.json</x:v>
      </x:c>
      <x:c r="N345" s="25" t="str">
        <x:v>Feedback-Directed Random Test Generation/Result/Csv_12/result.json</x:v>
      </x:c>
      <x:c r="O345" s="25" t="str">
        <x:v>Feedback-Directed Random Test Generation/Result/Csv_12/result.json</x:v>
      </x:c>
      <x:c r="P345"/>
      <x:c r="Q345" s="21" t="str"/>
      <x:c r="R345" s="21" t="str"/>
      <x:c r="S345" s="21" t="str"/>
      <x:c r="T345" s="17" t="str">
        <x:v>false</x:v>
      </x:c>
      <x:c r="U345" s="17" t="str">
        <x:v>true</x:v>
      </x:c>
      <x:c r="V345" s="17" t="str">
        <x:v>false</x:v>
      </x:c>
    </x:row>
    <x:row r="346" ht="80" customHeight="1">
      <x:c r="A346" s="25" t="str">
        <x:v>Csv</x:v>
      </x:c>
      <x:c r="B346" s="25" t="n">
        <x:v>13</x:v>
      </x:c>
      <x:c r="C346" s="25" t="str">
        <x:v>Round1</x:v>
      </x:c>
      <x:c r="D346" s="25" t="str">
        <x:v>INCONCLUSIVE</x:v>
      </x:c>
      <x:c r="E346" s="25" t="str">
        <x:v>N/A</x:v>
      </x:c>
      <x:c r="F346" s="26" t="str">
        <x:v>Fixed also failed; assertion failure cannot be attributed to this bug; Assertions failed with measured coverage; paired execution and stage checks determine status</x:v>
      </x:c>
      <x:c r="G346" s="25" t="str">
        <x:v>true</x:v>
      </x:c>
      <x:c r="H346" s="25" t="str">
        <x:v>INCONCLUSIVE</x:v>
      </x:c>
      <x:c r="I346" s="25" t="str">
        <x:v>FAIL</x:v>
      </x:c>
      <x:c r="J346" s="25" t="str">
        <x:v>FAIL</x:v>
      </x:c>
      <x:c r="K346" s="25" t="n">
        <x:v>4</x:v>
      </x:c>
      <x:c r="L346" s="27" t="b">
        <x:v>0</x:v>
      </x:c>
      <x:c r="M346" s="25" t="str">
        <x:v>Feedback-Directed Random Test Generation/rounds/Round1/state/Csv.json</x:v>
      </x:c>
      <x:c r="N346" s="25" t="str">
        <x:v>Feedback-Directed Random Test Generation/Result/Csv_13/result.json</x:v>
      </x:c>
      <x:c r="O346" s="25" t="str">
        <x:v>Feedback-Directed Random Test Generation/Result/Csv_13/result.json</x:v>
      </x:c>
      <x:c r="P346"/>
      <x:c r="Q346" s="21" t="str"/>
      <x:c r="R346" s="21" t="str"/>
      <x:c r="S346" s="21" t="str"/>
      <x:c r="T346" s="17" t="str">
        <x:v>false</x:v>
      </x:c>
      <x:c r="U346" s="17" t="str">
        <x:v>true</x:v>
      </x:c>
      <x:c r="V346" s="17" t="str">
        <x:v>false</x:v>
      </x:c>
    </x:row>
    <x:row r="347" ht="80" customHeight="1">
      <x:c r="A347" s="25" t="str">
        <x:v>Csv</x:v>
      </x:c>
      <x:c r="B347" s="25" t="n">
        <x:v>14</x:v>
      </x:c>
      <x:c r="C347" s="25" t="str">
        <x:v>Round1</x:v>
      </x:c>
      <x:c r="D347" s="25" t="str">
        <x:v>INCONCLUSIVE</x:v>
      </x:c>
      <x:c r="E347" s="25" t="str">
        <x:v>N/A</x:v>
      </x:c>
      <x:c r="F347" s="26" t="str">
        <x:v>Fixed also failed; assertion failure cannot be attributed to this bug; Assertions failed with measured coverage; paired execution and stage checks determine status</x:v>
      </x:c>
      <x:c r="G347" s="25" t="str">
        <x:v>true</x:v>
      </x:c>
      <x:c r="H347" s="25" t="str">
        <x:v>INCONCLUSIVE</x:v>
      </x:c>
      <x:c r="I347" s="25" t="str">
        <x:v>FAIL</x:v>
      </x:c>
      <x:c r="J347" s="25" t="str">
        <x:v>FAIL</x:v>
      </x:c>
      <x:c r="K347" s="25" t="n">
        <x:v>4</x:v>
      </x:c>
      <x:c r="L347" s="27" t="b">
        <x:v>0</x:v>
      </x:c>
      <x:c r="M347" s="25" t="str">
        <x:v>Feedback-Directed Random Test Generation/rounds/Round1/state/Csv.json</x:v>
      </x:c>
      <x:c r="N347" s="25" t="str">
        <x:v>Feedback-Directed Random Test Generation/Result/Csv_14/result.json</x:v>
      </x:c>
      <x:c r="O347" s="25" t="str">
        <x:v>Feedback-Directed Random Test Generation/Result/Csv_14/result.json</x:v>
      </x:c>
      <x:c r="P347"/>
      <x:c r="Q347" s="21" t="str"/>
      <x:c r="R347" s="21" t="str"/>
      <x:c r="S347" s="21" t="str"/>
      <x:c r="T347" s="17" t="str">
        <x:v>false</x:v>
      </x:c>
      <x:c r="U347" s="17" t="str">
        <x:v>true</x:v>
      </x:c>
      <x:c r="V347" s="17" t="str">
        <x:v>false</x:v>
      </x:c>
    </x:row>
    <x:row r="348" ht="80" customHeight="1">
      <x:c r="A348" s="25" t="str">
        <x:v>Csv</x:v>
      </x:c>
      <x:c r="B348" s="25" t="n">
        <x:v>15</x:v>
      </x:c>
      <x:c r="C348" s="25" t="str">
        <x:v>Round1</x:v>
      </x:c>
      <x:c r="D348" s="25" t="str">
        <x:v>INCONCLUSIVE</x:v>
      </x:c>
      <x:c r="E348" s="25" t="str">
        <x:v>N/A</x:v>
      </x:c>
      <x:c r="F348" s="26" t="str">
        <x:v>Fixed also failed; assertion failure cannot be attributed to this bug; Assertions failed with measured coverage; paired execution and stage checks determine status</x:v>
      </x:c>
      <x:c r="G348" s="25" t="str">
        <x:v>true</x:v>
      </x:c>
      <x:c r="H348" s="25" t="str">
        <x:v>INCONCLUSIVE</x:v>
      </x:c>
      <x:c r="I348" s="25" t="str">
        <x:v>FAIL</x:v>
      </x:c>
      <x:c r="J348" s="25" t="str">
        <x:v>FAIL</x:v>
      </x:c>
      <x:c r="K348" s="25" t="n">
        <x:v>4</x:v>
      </x:c>
      <x:c r="L348" s="27" t="b">
        <x:v>0</x:v>
      </x:c>
      <x:c r="M348" s="25" t="str">
        <x:v>Feedback-Directed Random Test Generation/rounds/Round1/state/Csv.json</x:v>
      </x:c>
      <x:c r="N348" s="25" t="str">
        <x:v>Feedback-Directed Random Test Generation/Result/Csv_15/result.json</x:v>
      </x:c>
      <x:c r="O348" s="25" t="str">
        <x:v>Feedback-Directed Random Test Generation/Result/Csv_15/result.json</x:v>
      </x:c>
      <x:c r="P348"/>
      <x:c r="Q348" s="21" t="str"/>
      <x:c r="R348" s="21" t="str"/>
      <x:c r="S348" s="21" t="str"/>
      <x:c r="T348" s="17" t="str">
        <x:v>false</x:v>
      </x:c>
      <x:c r="U348" s="17" t="str">
        <x:v>true</x:v>
      </x:c>
      <x:c r="V348" s="17" t="str">
        <x:v>false</x:v>
      </x:c>
    </x:row>
    <x:row r="349" ht="80" customHeight="1">
      <x:c r="A349" s="25" t="str">
        <x:v>Csv</x:v>
      </x:c>
      <x:c r="B349" s="25" t="n">
        <x:v>16</x:v>
      </x:c>
      <x:c r="C349" s="25" t="str">
        <x:v>Round1</x:v>
      </x:c>
      <x:c r="D349" s="25" t="str">
        <x:v>NOT_REVEALING</x:v>
      </x:c>
      <x:c r="E349" s="25" t="str">
        <x:v>N/A</x:v>
      </x:c>
      <x:c r="F349" s="26" t="str">
        <x:v>Same saved validation suite passed on buggy and fixed</x:v>
      </x:c>
      <x:c r="G349" s="25" t="str">
        <x:v>true</x:v>
      </x:c>
      <x:c r="H349" s="25" t="str">
        <x:v>NOT_REVEALING</x:v>
      </x:c>
      <x:c r="I349" s="25" t="str">
        <x:v>PASS</x:v>
      </x:c>
      <x:c r="J349" s="25" t="str">
        <x:v>PASS</x:v>
      </x:c>
      <x:c r="K349" s="25" t="n">
        <x:v>2</x:v>
      </x:c>
      <x:c r="L349" s="27" t="b">
        <x:v>0</x:v>
      </x:c>
      <x:c r="M349" s="25" t="str">
        <x:v>Feedback-Directed Random Test Generation/rounds/Round1/state/Csv.json</x:v>
      </x:c>
      <x:c r="N349" s="25" t="str">
        <x:v>Feedback-Directed Random Test Generation/Result/Csv_16/result.json</x:v>
      </x:c>
      <x:c r="O349" s="25" t="str">
        <x:v>Feedback-Directed Random Test Generation/Result/Csv_16/result.json</x:v>
      </x:c>
      <x:c r="P349"/>
      <x:c r="Q349" s="21" t="str"/>
      <x:c r="R349" s="21" t="str"/>
      <x:c r="S349" s="21" t="str"/>
      <x:c r="T349" s="17" t="str">
        <x:v>false</x:v>
      </x:c>
      <x:c r="U349" s="17" t="str">
        <x:v>true</x:v>
      </x:c>
      <x:c r="V349" s="17" t="str">
        <x:v>false</x:v>
      </x:c>
    </x:row>
    <x:row r="350" ht="80" customHeight="1">
      <x:c r="A350" s="25" t="str">
        <x:v>Gson</x:v>
      </x:c>
      <x:c r="B350" s="25" t="n">
        <x:v>1</x:v>
      </x:c>
      <x:c r="C350" s="25" t="str">
        <x:v>Round1</x:v>
      </x:c>
      <x:c r="D350" s="25" t="str">
        <x:v>NOT_REVEALING</x:v>
      </x:c>
      <x:c r="E350" s="25" t="str">
        <x:v>N/A</x:v>
      </x:c>
      <x:c r="F350" s="26" t="str">
        <x:v>Same saved validation suite passed on buggy and fixed</x:v>
      </x:c>
      <x:c r="G350" s="25" t="str">
        <x:v>true</x:v>
      </x:c>
      <x:c r="H350" s="25" t="str">
        <x:v>NOT_REVEALING</x:v>
      </x:c>
      <x:c r="I350" s="25" t="str">
        <x:v>PASS</x:v>
      </x:c>
      <x:c r="J350" s="25" t="str">
        <x:v>PASS</x:v>
      </x:c>
      <x:c r="K350" s="25" t="n">
        <x:v>2</x:v>
      </x:c>
      <x:c r="L350" s="27" t="b">
        <x:v>0</x:v>
      </x:c>
      <x:c r="M350" s="25" t="str">
        <x:v>Feedback-Directed Random Test Generation/rounds/Round1/state/Gson.json</x:v>
      </x:c>
      <x:c r="N350" s="25" t="str">
        <x:v>Feedback-Directed Random Test Generation/Result/Gson_1/result.json</x:v>
      </x:c>
      <x:c r="O350" s="25" t="str">
        <x:v>Feedback-Directed Random Test Generation/Result/Gson_1/result.json</x:v>
      </x:c>
      <x:c r="P350"/>
      <x:c r="Q350" s="21" t="str"/>
      <x:c r="R350" s="21" t="str"/>
      <x:c r="S350" s="21" t="str"/>
      <x:c r="T350" s="17" t="str">
        <x:v>false</x:v>
      </x:c>
      <x:c r="U350" s="17" t="str">
        <x:v>true</x:v>
      </x:c>
      <x:c r="V350" s="17" t="str">
        <x:v>false</x:v>
      </x:c>
    </x:row>
    <x:row r="351" ht="80" customHeight="1">
      <x:c r="A351" s="25" t="str">
        <x:v>Gson</x:v>
      </x:c>
      <x:c r="B351" s="25" t="n">
        <x:v>2</x:v>
      </x:c>
      <x:c r="C351" s="25" t="str">
        <x:v>Round1</x:v>
      </x:c>
      <x:c r="D351" s="25" t="str">
        <x:v>NOT_REVEALING</x:v>
      </x:c>
      <x:c r="E351" s="25" t="str">
        <x:v>N/A</x:v>
      </x:c>
      <x:c r="F351" s="26" t="str">
        <x:v>Same saved validation suite passed on buggy and fixed</x:v>
      </x:c>
      <x:c r="G351" s="25" t="str">
        <x:v>true</x:v>
      </x:c>
      <x:c r="H351" s="25" t="str">
        <x:v>NOT_REVEALING</x:v>
      </x:c>
      <x:c r="I351" s="25" t="str">
        <x:v>PASS</x:v>
      </x:c>
      <x:c r="J351" s="25" t="str">
        <x:v>PASS</x:v>
      </x:c>
      <x:c r="K351" s="25" t="n">
        <x:v>2</x:v>
      </x:c>
      <x:c r="L351" s="27" t="b">
        <x:v>0</x:v>
      </x:c>
      <x:c r="M351" s="25" t="str">
        <x:v>Feedback-Directed Random Test Generation/rounds/Round1/state/Gson.json</x:v>
      </x:c>
      <x:c r="N351" s="25" t="str">
        <x:v>Feedback-Directed Random Test Generation/Result/Gson_2/result.json</x:v>
      </x:c>
      <x:c r="O351" s="25" t="str">
        <x:v>Feedback-Directed Random Test Generation/Result/Gson_2/result.json</x:v>
      </x:c>
      <x:c r="P351"/>
      <x:c r="Q351" s="21" t="str"/>
      <x:c r="R351" s="21" t="str"/>
      <x:c r="S351" s="21" t="str"/>
      <x:c r="T351" s="17" t="str">
        <x:v>false</x:v>
      </x:c>
      <x:c r="U351" s="17" t="str">
        <x:v>true</x:v>
      </x:c>
      <x:c r="V351" s="17" t="str">
        <x:v>false</x:v>
      </x:c>
    </x:row>
    <x:row r="352" ht="80" customHeight="1">
      <x:c r="A352" s="25" t="str">
        <x:v>Gson</x:v>
      </x:c>
      <x:c r="B352" s="25" t="n">
        <x:v>3</x:v>
      </x:c>
      <x:c r="C352" s="25" t="str">
        <x:v>Round1</x:v>
      </x:c>
      <x:c r="D352" s="25" t="str">
        <x:v>NOT_REVEALING</x:v>
      </x:c>
      <x:c r="E352" s="25" t="str">
        <x:v>N/A</x:v>
      </x:c>
      <x:c r="F352" s="26" t="str">
        <x:v>Same saved validation suite passed on buggy and fixed</x:v>
      </x:c>
      <x:c r="G352" s="25" t="str">
        <x:v>true</x:v>
      </x:c>
      <x:c r="H352" s="25" t="str">
        <x:v>NOT_REVEALING</x:v>
      </x:c>
      <x:c r="I352" s="25" t="str">
        <x:v>PASS</x:v>
      </x:c>
      <x:c r="J352" s="25" t="str">
        <x:v>PASS</x:v>
      </x:c>
      <x:c r="K352" s="25" t="n">
        <x:v>2</x:v>
      </x:c>
      <x:c r="L352" s="27" t="b">
        <x:v>0</x:v>
      </x:c>
      <x:c r="M352" s="25" t="str">
        <x:v>Feedback-Directed Random Test Generation/rounds/Round1/state/Gson.json</x:v>
      </x:c>
      <x:c r="N352" s="25" t="str">
        <x:v>Feedback-Directed Random Test Generation/Result/Gson_3/result.json</x:v>
      </x:c>
      <x:c r="O352" s="25" t="str">
        <x:v>Feedback-Directed Random Test Generation/Result/Gson_3/result.json</x:v>
      </x:c>
      <x:c r="P352"/>
      <x:c r="Q352" s="21" t="str"/>
      <x:c r="R352" s="21" t="str"/>
      <x:c r="S352" s="21" t="str"/>
      <x:c r="T352" s="17" t="str">
        <x:v>false</x:v>
      </x:c>
      <x:c r="U352" s="17" t="str">
        <x:v>true</x:v>
      </x:c>
      <x:c r="V352" s="17" t="str">
        <x:v>false</x:v>
      </x:c>
    </x:row>
    <x:row r="353" ht="80" customHeight="1">
      <x:c r="A353" s="25" t="str">
        <x:v>Gson</x:v>
      </x:c>
      <x:c r="B353" s="25" t="n">
        <x:v>4</x:v>
      </x:c>
      <x:c r="C353" s="25" t="str">
        <x:v>Round1</x:v>
      </x:c>
      <x:c r="D353" s="25" t="str">
        <x:v>NOT_REVEALING</x:v>
      </x:c>
      <x:c r="E353" s="25" t="str">
        <x:v>N/A</x:v>
      </x:c>
      <x:c r="F353" s="26" t="str">
        <x:v>Same saved validation suite passed on buggy and fixed</x:v>
      </x:c>
      <x:c r="G353" s="25" t="str">
        <x:v>true</x:v>
      </x:c>
      <x:c r="H353" s="25" t="str">
        <x:v>NOT_REVEALING</x:v>
      </x:c>
      <x:c r="I353" s="25" t="str">
        <x:v>PASS</x:v>
      </x:c>
      <x:c r="J353" s="25" t="str">
        <x:v>PASS</x:v>
      </x:c>
      <x:c r="K353" s="25" t="n">
        <x:v>2</x:v>
      </x:c>
      <x:c r="L353" s="27" t="b">
        <x:v>0</x:v>
      </x:c>
      <x:c r="M353" s="25" t="str">
        <x:v>Feedback-Directed Random Test Generation/rounds/Round1/state/Gson.json</x:v>
      </x:c>
      <x:c r="N353" s="25" t="str">
        <x:v>Feedback-Directed Random Test Generation/Result/Gson_4/result.json</x:v>
      </x:c>
      <x:c r="O353" s="25" t="str">
        <x:v>Feedback-Directed Random Test Generation/Result/Gson_4/result.json</x:v>
      </x:c>
      <x:c r="P353"/>
      <x:c r="Q353" s="21" t="str"/>
      <x:c r="R353" s="21" t="str"/>
      <x:c r="S353" s="21" t="str"/>
      <x:c r="T353" s="17" t="str">
        <x:v>false</x:v>
      </x:c>
      <x:c r="U353" s="17" t="str">
        <x:v>true</x:v>
      </x:c>
      <x:c r="V353" s="17" t="str">
        <x:v>false</x:v>
      </x:c>
    </x:row>
    <x:row r="354" ht="80" customHeight="1">
      <x:c r="A354" s="25" t="str">
        <x:v>Gson</x:v>
      </x:c>
      <x:c r="B354" s="25" t="n">
        <x:v>5</x:v>
      </x:c>
      <x:c r="C354" s="25" t="str">
        <x:v>Round1</x:v>
      </x:c>
      <x:c r="D354" s="25" t="str">
        <x:v>NOT_REVEALING</x:v>
      </x:c>
      <x:c r="E354" s="25" t="str">
        <x:v>N/A</x:v>
      </x:c>
      <x:c r="F354" s="26" t="str">
        <x:v>Same saved validation suite passed on buggy and fixed</x:v>
      </x:c>
      <x:c r="G354" s="25" t="str">
        <x:v>true</x:v>
      </x:c>
      <x:c r="H354" s="25" t="str">
        <x:v>NOT_REVEALING</x:v>
      </x:c>
      <x:c r="I354" s="25" t="str">
        <x:v>PASS</x:v>
      </x:c>
      <x:c r="J354" s="25" t="str">
        <x:v>PASS</x:v>
      </x:c>
      <x:c r="K354" s="25" t="n">
        <x:v>2</x:v>
      </x:c>
      <x:c r="L354" s="27" t="b">
        <x:v>0</x:v>
      </x:c>
      <x:c r="M354" s="25" t="str">
        <x:v>Feedback-Directed Random Test Generation/rounds/Round1/state/Gson.json</x:v>
      </x:c>
      <x:c r="N354" s="25" t="str">
        <x:v>Feedback-Directed Random Test Generation/Result/Gson_5/result.json</x:v>
      </x:c>
      <x:c r="O354" s="25" t="str">
        <x:v>Feedback-Directed Random Test Generation/Result/Gson_5/result.json</x:v>
      </x:c>
      <x:c r="P354"/>
      <x:c r="Q354" s="21" t="str"/>
      <x:c r="R354" s="21" t="str"/>
      <x:c r="S354" s="21" t="str"/>
      <x:c r="T354" s="17" t="str">
        <x:v>false</x:v>
      </x:c>
      <x:c r="U354" s="17" t="str">
        <x:v>true</x:v>
      </x:c>
      <x:c r="V354" s="17" t="str">
        <x:v>false</x:v>
      </x:c>
    </x:row>
    <x:row r="355" ht="80" customHeight="1">
      <x:c r="A355" s="25" t="str">
        <x:v>Gson</x:v>
      </x:c>
      <x:c r="B355" s="25" t="n">
        <x:v>6</x:v>
      </x:c>
      <x:c r="C355" s="25" t="str">
        <x:v>Round1</x:v>
      </x:c>
      <x:c r="D355" s="25" t="str">
        <x:v>NOT_REVEALING</x:v>
      </x:c>
      <x:c r="E355" s="25" t="str">
        <x:v>N/A</x:v>
      </x:c>
      <x:c r="F355" s="26" t="str">
        <x:v>Same saved validation suite passed on buggy and fixed</x:v>
      </x:c>
      <x:c r="G355" s="25" t="str">
        <x:v>true</x:v>
      </x:c>
      <x:c r="H355" s="25" t="str">
        <x:v>NOT_REVEALING</x:v>
      </x:c>
      <x:c r="I355" s="25" t="str">
        <x:v>PASS</x:v>
      </x:c>
      <x:c r="J355" s="25" t="str">
        <x:v>PASS</x:v>
      </x:c>
      <x:c r="K355" s="25" t="n">
        <x:v>2</x:v>
      </x:c>
      <x:c r="L355" s="27" t="b">
        <x:v>0</x:v>
      </x:c>
      <x:c r="M355" s="25" t="str">
        <x:v>Feedback-Directed Random Test Generation/rounds/Round1/state/Gson.json</x:v>
      </x:c>
      <x:c r="N355" s="25" t="str">
        <x:v>Feedback-Directed Random Test Generation/Result/Gson_6/result.json</x:v>
      </x:c>
      <x:c r="O355" s="25" t="str">
        <x:v>Feedback-Directed Random Test Generation/Result/Gson_6/result.json</x:v>
      </x:c>
      <x:c r="P355"/>
      <x:c r="Q355" s="21" t="str"/>
      <x:c r="R355" s="21" t="str"/>
      <x:c r="S355" s="21" t="str"/>
      <x:c r="T355" s="17" t="str">
        <x:v>false</x:v>
      </x:c>
      <x:c r="U355" s="17" t="str">
        <x:v>true</x:v>
      </x:c>
      <x:c r="V355" s="17" t="str">
        <x:v>false</x:v>
      </x:c>
    </x:row>
    <x:row r="356" ht="80" customHeight="1">
      <x:c r="A356" s="25" t="str">
        <x:v>Gson</x:v>
      </x:c>
      <x:c r="B356" s="25" t="n">
        <x:v>7</x:v>
      </x:c>
      <x:c r="C356" s="25" t="str">
        <x:v>Round1</x:v>
      </x:c>
      <x:c r="D356" s="25" t="str">
        <x:v>NOT_REVEALING</x:v>
      </x:c>
      <x:c r="E356" s="25" t="str">
        <x:v>N/A</x:v>
      </x:c>
      <x:c r="F356" s="26" t="str">
        <x:v>Same saved validation suite passed on buggy and fixed</x:v>
      </x:c>
      <x:c r="G356" s="25" t="str">
        <x:v>true</x:v>
      </x:c>
      <x:c r="H356" s="25" t="str">
        <x:v>NOT_REVEALING</x:v>
      </x:c>
      <x:c r="I356" s="25" t="str">
        <x:v>PASS</x:v>
      </x:c>
      <x:c r="J356" s="25" t="str">
        <x:v>PASS</x:v>
      </x:c>
      <x:c r="K356" s="25" t="n">
        <x:v>2</x:v>
      </x:c>
      <x:c r="L356" s="27" t="b">
        <x:v>0</x:v>
      </x:c>
      <x:c r="M356" s="25" t="str">
        <x:v>Feedback-Directed Random Test Generation/rounds/Round1/state/Gson.json</x:v>
      </x:c>
      <x:c r="N356" s="25" t="str">
        <x:v>Feedback-Directed Random Test Generation/Result/Gson_7/result.json</x:v>
      </x:c>
      <x:c r="O356" s="25" t="str">
        <x:v>Feedback-Directed Random Test Generation/Result/Gson_7/result.json</x:v>
      </x:c>
      <x:c r="P356"/>
      <x:c r="Q356" s="21" t="str"/>
      <x:c r="R356" s="21" t="str"/>
      <x:c r="S356" s="21" t="str"/>
      <x:c r="T356" s="17" t="str">
        <x:v>false</x:v>
      </x:c>
      <x:c r="U356" s="17" t="str">
        <x:v>true</x:v>
      </x:c>
      <x:c r="V356" s="17" t="str">
        <x:v>false</x:v>
      </x:c>
    </x:row>
    <x:row r="357" ht="80" customHeight="1">
      <x:c r="A357" s="25" t="str">
        <x:v>Gson</x:v>
      </x:c>
      <x:c r="B357" s="25" t="n">
        <x:v>8</x:v>
      </x:c>
      <x:c r="C357" s="25" t="str">
        <x:v>Round1</x:v>
      </x:c>
      <x:c r="D357" s="25" t="str">
        <x:v>NOT_REVEALING</x:v>
      </x:c>
      <x:c r="E357" s="25" t="str">
        <x:v>N/A</x:v>
      </x:c>
      <x:c r="F357" s="26" t="str">
        <x:v>Same saved validation suite passed on buggy and fixed</x:v>
      </x:c>
      <x:c r="G357" s="25" t="str">
        <x:v>true</x:v>
      </x:c>
      <x:c r="H357" s="25" t="str">
        <x:v>NOT_REVEALING</x:v>
      </x:c>
      <x:c r="I357" s="25" t="str">
        <x:v>PASS</x:v>
      </x:c>
      <x:c r="J357" s="25" t="str">
        <x:v>PASS</x:v>
      </x:c>
      <x:c r="K357" s="25" t="n">
        <x:v>2</x:v>
      </x:c>
      <x:c r="L357" s="27" t="b">
        <x:v>0</x:v>
      </x:c>
      <x:c r="M357" s="25" t="str">
        <x:v>Feedback-Directed Random Test Generation/rounds/Round1/state/Gson.json</x:v>
      </x:c>
      <x:c r="N357" s="25" t="str">
        <x:v>Feedback-Directed Random Test Generation/Result/Gson_8/result.json</x:v>
      </x:c>
      <x:c r="O357" s="25" t="str">
        <x:v>Feedback-Directed Random Test Generation/Result/Gson_8/result.json</x:v>
      </x:c>
      <x:c r="P357"/>
      <x:c r="Q357" s="21" t="str"/>
      <x:c r="R357" s="21" t="str"/>
      <x:c r="S357" s="21" t="str"/>
      <x:c r="T357" s="17" t="str">
        <x:v>false</x:v>
      </x:c>
      <x:c r="U357" s="17" t="str">
        <x:v>true</x:v>
      </x:c>
      <x:c r="V357" s="17" t="str">
        <x:v>false</x:v>
      </x:c>
    </x:row>
    <x:row r="358" ht="80" customHeight="1">
      <x:c r="A358" s="25" t="str">
        <x:v>Gson</x:v>
      </x:c>
      <x:c r="B358" s="25" t="n">
        <x:v>9</x:v>
      </x:c>
      <x:c r="C358" s="25" t="str">
        <x:v>Round1</x:v>
      </x:c>
      <x:c r="D358" s="25" t="str">
        <x:v>NOT_REVEALING</x:v>
      </x:c>
      <x:c r="E358" s="25" t="str">
        <x:v>N/A</x:v>
      </x:c>
      <x:c r="F358" s="26" t="str">
        <x:v>Same saved validation suite passed on buggy and fixed</x:v>
      </x:c>
      <x:c r="G358" s="25" t="str">
        <x:v>true</x:v>
      </x:c>
      <x:c r="H358" s="25" t="str">
        <x:v>NOT_REVEALING</x:v>
      </x:c>
      <x:c r="I358" s="25" t="str">
        <x:v>PASS</x:v>
      </x:c>
      <x:c r="J358" s="25" t="str">
        <x:v>PASS</x:v>
      </x:c>
      <x:c r="K358" s="25" t="n">
        <x:v>2</x:v>
      </x:c>
      <x:c r="L358" s="27" t="b">
        <x:v>0</x:v>
      </x:c>
      <x:c r="M358" s="25" t="str">
        <x:v>Feedback-Directed Random Test Generation/rounds/Round1/state/Gson.json</x:v>
      </x:c>
      <x:c r="N358" s="25" t="str">
        <x:v>Feedback-Directed Random Test Generation/Result/Gson_9/result.json</x:v>
      </x:c>
      <x:c r="O358" s="25" t="str">
        <x:v>Feedback-Directed Random Test Generation/Result/Gson_9/result.json</x:v>
      </x:c>
      <x:c r="P358"/>
      <x:c r="Q358" s="21" t="str"/>
      <x:c r="R358" s="21" t="str"/>
      <x:c r="S358" s="21" t="str"/>
      <x:c r="T358" s="17" t="str">
        <x:v>false</x:v>
      </x:c>
      <x:c r="U358" s="17" t="str">
        <x:v>true</x:v>
      </x:c>
      <x:c r="V358" s="17" t="str">
        <x:v>false</x:v>
      </x:c>
    </x:row>
    <x:row r="359" ht="80" customHeight="1">
      <x:c r="A359" s="25" t="str">
        <x:v>Gson</x:v>
      </x:c>
      <x:c r="B359" s="25" t="n">
        <x:v>10</x:v>
      </x:c>
      <x:c r="C359" s="25" t="str">
        <x:v>Round1</x:v>
      </x:c>
      <x:c r="D359" s="25" t="str">
        <x:v>INCONCLUSIVE</x:v>
      </x:c>
      <x:c r="E359" s="25" t="str">
        <x:v>N/A</x:v>
      </x:c>
      <x:c r="F359" s="26" t="str">
        <x:v>Fixed also failed; assertion failure cannot be attributed to this bug; Assertions failed with measured coverage; paired execution and stage checks determine status</x:v>
      </x:c>
      <x:c r="G359" s="25" t="str">
        <x:v>true</x:v>
      </x:c>
      <x:c r="H359" s="25" t="str">
        <x:v>INCONCLUSIVE</x:v>
      </x:c>
      <x:c r="I359" s="25" t="str">
        <x:v>FAIL</x:v>
      </x:c>
      <x:c r="J359" s="25" t="str">
        <x:v>FAIL</x:v>
      </x:c>
      <x:c r="K359" s="25" t="n">
        <x:v>4</x:v>
      </x:c>
      <x:c r="L359" s="27" t="b">
        <x:v>0</x:v>
      </x:c>
      <x:c r="M359" s="25" t="str">
        <x:v>Feedback-Directed Random Test Generation/rounds/Round1/state/Gson.json</x:v>
      </x:c>
      <x:c r="N359" s="25" t="str">
        <x:v>Feedback-Directed Random Test Generation/Result/Gson_10/result.json</x:v>
      </x:c>
      <x:c r="O359" s="25" t="str">
        <x:v>Feedback-Directed Random Test Generation/Result/Gson_10/result.json</x:v>
      </x:c>
      <x:c r="P359"/>
      <x:c r="Q359" s="21" t="str"/>
      <x:c r="R359" s="21" t="str"/>
      <x:c r="S359" s="21" t="str"/>
      <x:c r="T359" s="17" t="str">
        <x:v>false</x:v>
      </x:c>
      <x:c r="U359" s="17" t="str">
        <x:v>true</x:v>
      </x:c>
      <x:c r="V359" s="17" t="str">
        <x:v>false</x:v>
      </x:c>
    </x:row>
    <x:row r="360" ht="80" customHeight="1">
      <x:c r="A360" s="25" t="str">
        <x:v>Gson</x:v>
      </x:c>
      <x:c r="B360" s="25" t="n">
        <x:v>11</x:v>
      </x:c>
      <x:c r="C360" s="25" t="str">
        <x:v>Round1</x:v>
      </x:c>
      <x:c r="D360" s="25" t="str">
        <x:v>NOT_REVEALING</x:v>
      </x:c>
      <x:c r="E360" s="25" t="str">
        <x:v>N/A</x:v>
      </x:c>
      <x:c r="F360" s="26" t="str">
        <x:v>Same saved validation suite passed on buggy and fixed</x:v>
      </x:c>
      <x:c r="G360" s="25" t="str">
        <x:v>true</x:v>
      </x:c>
      <x:c r="H360" s="25" t="str">
        <x:v>NOT_REVEALING</x:v>
      </x:c>
      <x:c r="I360" s="25" t="str">
        <x:v>PASS</x:v>
      </x:c>
      <x:c r="J360" s="25" t="str">
        <x:v>PASS</x:v>
      </x:c>
      <x:c r="K360" s="25" t="n">
        <x:v>2</x:v>
      </x:c>
      <x:c r="L360" s="27" t="b">
        <x:v>0</x:v>
      </x:c>
      <x:c r="M360" s="25" t="str">
        <x:v>Feedback-Directed Random Test Generation/rounds/Round1/state/Gson.json</x:v>
      </x:c>
      <x:c r="N360" s="25" t="str">
        <x:v>Feedback-Directed Random Test Generation/Result/Gson_11/result.json</x:v>
      </x:c>
      <x:c r="O360" s="25" t="str">
        <x:v>Feedback-Directed Random Test Generation/Result/Gson_11/result.json</x:v>
      </x:c>
      <x:c r="P360"/>
      <x:c r="Q360" s="21" t="str"/>
      <x:c r="R360" s="21" t="str"/>
      <x:c r="S360" s="21" t="str"/>
      <x:c r="T360" s="17" t="str">
        <x:v>false</x:v>
      </x:c>
      <x:c r="U360" s="17" t="str">
        <x:v>true</x:v>
      </x:c>
      <x:c r="V360" s="17" t="str">
        <x:v>false</x:v>
      </x:c>
    </x:row>
    <x:row r="361" ht="80" customHeight="1">
      <x:c r="A361" s="25" t="str">
        <x:v>Gson</x:v>
      </x:c>
      <x:c r="B361" s="25" t="n">
        <x:v>12</x:v>
      </x:c>
      <x:c r="C361" s="25" t="str">
        <x:v>Round1</x:v>
      </x:c>
      <x:c r="D361" s="25" t="str">
        <x:v>INCONCLUSIVE</x:v>
      </x:c>
      <x:c r="E361" s="25" t="str">
        <x:v>N/A</x:v>
      </x:c>
      <x:c r="F361" s="26" t="str">
        <x:v>Fixed also failed; assertion failure cannot be attributed to this bug; Assertions failed with measured coverage; paired execution and stage checks determine status</x:v>
      </x:c>
      <x:c r="G361" s="25" t="str">
        <x:v>true</x:v>
      </x:c>
      <x:c r="H361" s="25" t="str">
        <x:v>INCONCLUSIVE</x:v>
      </x:c>
      <x:c r="I361" s="25" t="str">
        <x:v>FAIL</x:v>
      </x:c>
      <x:c r="J361" s="25" t="str">
        <x:v>FAIL</x:v>
      </x:c>
      <x:c r="K361" s="25" t="n">
        <x:v>4</x:v>
      </x:c>
      <x:c r="L361" s="27" t="b">
        <x:v>0</x:v>
      </x:c>
      <x:c r="M361" s="25" t="str">
        <x:v>Feedback-Directed Random Test Generation/rounds/Round1/state/Gson.json</x:v>
      </x:c>
      <x:c r="N361" s="25" t="str">
        <x:v>Feedback-Directed Random Test Generation/Result/Gson_12/result.json</x:v>
      </x:c>
      <x:c r="O361" s="25" t="str">
        <x:v>Feedback-Directed Random Test Generation/Result/Gson_12/result.json</x:v>
      </x:c>
      <x:c r="P361"/>
      <x:c r="Q361" s="21" t="str"/>
      <x:c r="R361" s="21" t="str"/>
      <x:c r="S361" s="21" t="str"/>
      <x:c r="T361" s="17" t="str">
        <x:v>false</x:v>
      </x:c>
      <x:c r="U361" s="17" t="str">
        <x:v>true</x:v>
      </x:c>
      <x:c r="V361" s="17" t="str">
        <x:v>false</x:v>
      </x:c>
    </x:row>
    <x:row r="362" ht="80" customHeight="1">
      <x:c r="A362" s="25" t="str">
        <x:v>Gson</x:v>
      </x:c>
      <x:c r="B362" s="25" t="n">
        <x:v>13</x:v>
      </x:c>
      <x:c r="C362" s="25" t="str">
        <x:v>Round1</x:v>
      </x:c>
      <x:c r="D362" s="25" t="str">
        <x:v>NOT_REVEALING</x:v>
      </x:c>
      <x:c r="E362" s="25" t="str">
        <x:v>N/A</x:v>
      </x:c>
      <x:c r="F362" s="26" t="str">
        <x:v>Same saved validation suite passed on buggy and fixed</x:v>
      </x:c>
      <x:c r="G362" s="25" t="str">
        <x:v>true</x:v>
      </x:c>
      <x:c r="H362" s="25" t="str">
        <x:v>NOT_REVEALING</x:v>
      </x:c>
      <x:c r="I362" s="25" t="str">
        <x:v>PASS</x:v>
      </x:c>
      <x:c r="J362" s="25" t="str">
        <x:v>PASS</x:v>
      </x:c>
      <x:c r="K362" s="25" t="n">
        <x:v>2</x:v>
      </x:c>
      <x:c r="L362" s="27" t="b">
        <x:v>0</x:v>
      </x:c>
      <x:c r="M362" s="25" t="str">
        <x:v>Feedback-Directed Random Test Generation/rounds/Round1/state/Gson.json</x:v>
      </x:c>
      <x:c r="N362" s="25" t="str">
        <x:v>Feedback-Directed Random Test Generation/Result/Gson_13/result.json</x:v>
      </x:c>
      <x:c r="O362" s="25" t="str">
        <x:v>Feedback-Directed Random Test Generation/Result/Gson_13/result.json</x:v>
      </x:c>
      <x:c r="P362"/>
      <x:c r="Q362" s="21" t="str"/>
      <x:c r="R362" s="21" t="str"/>
      <x:c r="S362" s="21" t="str"/>
      <x:c r="T362" s="17" t="str">
        <x:v>false</x:v>
      </x:c>
      <x:c r="U362" s="17" t="str">
        <x:v>true</x:v>
      </x:c>
      <x:c r="V362" s="17" t="str">
        <x:v>false</x:v>
      </x:c>
    </x:row>
    <x:row r="363" ht="80" customHeight="1">
      <x:c r="A363" s="25" t="str">
        <x:v>Gson</x:v>
      </x:c>
      <x:c r="B363" s="25" t="n">
        <x:v>14</x:v>
      </x:c>
      <x:c r="C363" s="25" t="str">
        <x:v>Round1</x:v>
      </x:c>
      <x:c r="D363" s="25" t="str">
        <x:v>NOT_REVEALING</x:v>
      </x:c>
      <x:c r="E363" s="25" t="str">
        <x:v>N/A</x:v>
      </x:c>
      <x:c r="F363" s="26" t="str">
        <x:v>Same saved validation suite passed on buggy and fixed</x:v>
      </x:c>
      <x:c r="G363" s="25" t="str">
        <x:v>true</x:v>
      </x:c>
      <x:c r="H363" s="25" t="str">
        <x:v>NOT_REVEALING</x:v>
      </x:c>
      <x:c r="I363" s="25" t="str">
        <x:v>PASS</x:v>
      </x:c>
      <x:c r="J363" s="25" t="str">
        <x:v>PASS</x:v>
      </x:c>
      <x:c r="K363" s="25" t="n">
        <x:v>2</x:v>
      </x:c>
      <x:c r="L363" s="27" t="b">
        <x:v>0</x:v>
      </x:c>
      <x:c r="M363" s="25" t="str">
        <x:v>Feedback-Directed Random Test Generation/rounds/Round1/state/Gson.json</x:v>
      </x:c>
      <x:c r="N363" s="25" t="str">
        <x:v>Feedback-Directed Random Test Generation/Result/Gson_14/result.json</x:v>
      </x:c>
      <x:c r="O363" s="25" t="str">
        <x:v>Feedback-Directed Random Test Generation/Result/Gson_14/result.json</x:v>
      </x:c>
      <x:c r="P363"/>
      <x:c r="Q363" s="21" t="str"/>
      <x:c r="R363" s="21" t="str"/>
      <x:c r="S363" s="21" t="str"/>
      <x:c r="T363" s="17" t="str">
        <x:v>false</x:v>
      </x:c>
      <x:c r="U363" s="17" t="str">
        <x:v>true</x:v>
      </x:c>
      <x:c r="V363" s="17" t="str">
        <x:v>false</x:v>
      </x:c>
    </x:row>
    <x:row r="364" ht="80" customHeight="1">
      <x:c r="A364" s="25" t="str">
        <x:v>Gson</x:v>
      </x:c>
      <x:c r="B364" s="25" t="n">
        <x:v>15</x:v>
      </x:c>
      <x:c r="C364" s="25" t="str">
        <x:v>Round1</x:v>
      </x:c>
      <x:c r="D364" s="25" t="str">
        <x:v>NOT_REVEALING</x:v>
      </x:c>
      <x:c r="E364" s="25" t="str">
        <x:v>N/A</x:v>
      </x:c>
      <x:c r="F364" s="26" t="str">
        <x:v>Same saved validation suite passed on buggy and fixed</x:v>
      </x:c>
      <x:c r="G364" s="25" t="str">
        <x:v>true</x:v>
      </x:c>
      <x:c r="H364" s="25" t="str">
        <x:v>NOT_REVEALING</x:v>
      </x:c>
      <x:c r="I364" s="25" t="str">
        <x:v>PASS</x:v>
      </x:c>
      <x:c r="J364" s="25" t="str">
        <x:v>PASS</x:v>
      </x:c>
      <x:c r="K364" s="25" t="n">
        <x:v>2</x:v>
      </x:c>
      <x:c r="L364" s="27" t="b">
        <x:v>0</x:v>
      </x:c>
      <x:c r="M364" s="25" t="str">
        <x:v>Feedback-Directed Random Test Generation/rounds/Round1/state/Gson.json</x:v>
      </x:c>
      <x:c r="N364" s="25" t="str">
        <x:v>Feedback-Directed Random Test Generation/Result/Gson_15/result.json</x:v>
      </x:c>
      <x:c r="O364" s="25" t="str">
        <x:v>Feedback-Directed Random Test Generation/Result/Gson_15/result.json</x:v>
      </x:c>
      <x:c r="P364"/>
      <x:c r="Q364" s="21" t="str"/>
      <x:c r="R364" s="21" t="str"/>
      <x:c r="S364" s="21" t="str"/>
      <x:c r="T364" s="17" t="str">
        <x:v>false</x:v>
      </x:c>
      <x:c r="U364" s="17" t="str">
        <x:v>true</x:v>
      </x:c>
      <x:c r="V364" s="17" t="str">
        <x:v>false</x:v>
      </x:c>
    </x:row>
    <x:row r="365" ht="80" customHeight="1">
      <x:c r="A365" s="25" t="str">
        <x:v>Gson</x:v>
      </x:c>
      <x:c r="B365" s="25" t="n">
        <x:v>16</x:v>
      </x:c>
      <x:c r="C365" s="25" t="str">
        <x:v>Round1</x:v>
      </x:c>
      <x:c r="D365" s="25" t="str">
        <x:v>NOT_REVEALING</x:v>
      </x:c>
      <x:c r="E365" s="25" t="str">
        <x:v>N/A</x:v>
      </x:c>
      <x:c r="F365" s="26" t="str">
        <x:v>Same saved validation suite passed on buggy and fixed</x:v>
      </x:c>
      <x:c r="G365" s="25" t="str">
        <x:v>true</x:v>
      </x:c>
      <x:c r="H365" s="25" t="str">
        <x:v>NOT_REVEALING</x:v>
      </x:c>
      <x:c r="I365" s="25" t="str">
        <x:v>PASS</x:v>
      </x:c>
      <x:c r="J365" s="25" t="str">
        <x:v>PASS</x:v>
      </x:c>
      <x:c r="K365" s="25" t="n">
        <x:v>2</x:v>
      </x:c>
      <x:c r="L365" s="27" t="b">
        <x:v>0</x:v>
      </x:c>
      <x:c r="M365" s="25" t="str">
        <x:v>Feedback-Directed Random Test Generation/rounds/Round1/state/Gson.json</x:v>
      </x:c>
      <x:c r="N365" s="25" t="str">
        <x:v>Feedback-Directed Random Test Generation/Result/Gson_16/result.json</x:v>
      </x:c>
      <x:c r="O365" s="25" t="str">
        <x:v>Feedback-Directed Random Test Generation/Result/Gson_16/result.json</x:v>
      </x:c>
      <x:c r="P365"/>
      <x:c r="Q365" s="21" t="str"/>
      <x:c r="R365" s="21" t="str"/>
      <x:c r="S365" s="21" t="str"/>
      <x:c r="T365" s="17" t="str">
        <x:v>false</x:v>
      </x:c>
      <x:c r="U365" s="17" t="str">
        <x:v>true</x:v>
      </x:c>
      <x:c r="V365" s="17" t="str">
        <x:v>false</x:v>
      </x:c>
    </x:row>
    <x:row r="366" ht="80" customHeight="1">
      <x:c r="A366" s="25" t="str">
        <x:v>Gson</x:v>
      </x:c>
      <x:c r="B366" s="25" t="n">
        <x:v>17</x:v>
      </x:c>
      <x:c r="C366" s="25" t="str">
        <x:v>Round1</x:v>
      </x:c>
      <x:c r="D366" s="25" t="str">
        <x:v>INCONCLUSIVE</x:v>
      </x:c>
      <x:c r="E366" s="25" t="str">
        <x:v>N/A</x:v>
      </x:c>
      <x:c r="F366" s="26" t="str">
        <x:v>Fixed also failed; assertion failure cannot be attributed to this bug</x:v>
      </x:c>
      <x:c r="G366" s="25" t="str">
        <x:v>true</x:v>
      </x:c>
      <x:c r="H366" s="25" t="str">
        <x:v>INCONCLUSIVE</x:v>
      </x:c>
      <x:c r="I366" s="25" t="str">
        <x:v>PASS</x:v>
      </x:c>
      <x:c r="J366" s="25" t="str">
        <x:v>FAIL</x:v>
      </x:c>
      <x:c r="K366" s="25" t="n">
        <x:v>2</x:v>
      </x:c>
      <x:c r="L366" s="27" t="b">
        <x:v>0</x:v>
      </x:c>
      <x:c r="M366" s="25" t="str">
        <x:v>Feedback-Directed Random Test Generation/rounds/Round1/state/Gson.json</x:v>
      </x:c>
      <x:c r="N366" s="25" t="str">
        <x:v>Feedback-Directed Random Test Generation/Result/Gson_17/result.json</x:v>
      </x:c>
      <x:c r="O366" s="25" t="str">
        <x:v>Feedback-Directed Random Test Generation/Result/Gson_17/result.json</x:v>
      </x:c>
      <x:c r="P366"/>
      <x:c r="Q366" s="21" t="str"/>
      <x:c r="R366" s="21" t="str"/>
      <x:c r="S366" s="21" t="str"/>
      <x:c r="T366" s="17" t="str">
        <x:v>false</x:v>
      </x:c>
      <x:c r="U366" s="17" t="str">
        <x:v>true</x:v>
      </x:c>
      <x:c r="V366" s="17" t="str">
        <x:v>false</x:v>
      </x:c>
    </x:row>
    <x:row r="367" ht="80" customHeight="1">
      <x:c r="A367" s="25" t="str">
        <x:v>Gson</x:v>
      </x:c>
      <x:c r="B367" s="25" t="n">
        <x:v>18</x:v>
      </x:c>
      <x:c r="C367" s="25" t="str">
        <x:v>Round1</x:v>
      </x:c>
      <x:c r="D367" s="25" t="str">
        <x:v>NOT_REVEALING</x:v>
      </x:c>
      <x:c r="E367" s="25" t="str">
        <x:v>N/A</x:v>
      </x:c>
      <x:c r="F367" s="26" t="str">
        <x:v>Same saved validation suite passed on buggy and fixed</x:v>
      </x:c>
      <x:c r="G367" s="25" t="str">
        <x:v>true</x:v>
      </x:c>
      <x:c r="H367" s="25" t="str">
        <x:v>NOT_REVEALING</x:v>
      </x:c>
      <x:c r="I367" s="25" t="str">
        <x:v>PASS</x:v>
      </x:c>
      <x:c r="J367" s="25" t="str">
        <x:v>PASS</x:v>
      </x:c>
      <x:c r="K367" s="25" t="n">
        <x:v>2</x:v>
      </x:c>
      <x:c r="L367" s="27" t="b">
        <x:v>0</x:v>
      </x:c>
      <x:c r="M367" s="25" t="str">
        <x:v>Feedback-Directed Random Test Generation/rounds/Round1/state/Gson.json</x:v>
      </x:c>
      <x:c r="N367" s="25" t="str">
        <x:v>Feedback-Directed Random Test Generation/Result/Gson_18/result.json</x:v>
      </x:c>
      <x:c r="O367" s="25" t="str">
        <x:v>Feedback-Directed Random Test Generation/Result/Gson_18/result.json</x:v>
      </x:c>
      <x:c r="P367"/>
      <x:c r="Q367" s="21" t="str"/>
      <x:c r="R367" s="21" t="str"/>
      <x:c r="S367" s="21" t="str"/>
      <x:c r="T367" s="17" t="str">
        <x:v>false</x:v>
      </x:c>
      <x:c r="U367" s="17" t="str">
        <x:v>true</x:v>
      </x:c>
      <x:c r="V367" s="17" t="str">
        <x:v>false</x:v>
      </x:c>
    </x:row>
    <x:row r="368" ht="80" customHeight="1">
      <x:c r="A368" s="25" t="str">
        <x:v>JacksonCore</x:v>
      </x:c>
      <x:c r="B368" s="25" t="n">
        <x:v>1</x:v>
      </x:c>
      <x:c r="C368" s="25" t="str">
        <x:v>Round1</x:v>
      </x:c>
      <x:c r="D368" s="25" t="str">
        <x:v>INCONCLUSIVE</x:v>
      </x:c>
      <x:c r="E368" s="25" t="str">
        <x:v>N/A</x:v>
      </x:c>
      <x:c r="F368" s="26" t="str">
        <x:v>Fixed also failed; assertion failure cannot be attributed to this bug</x:v>
      </x:c>
      <x:c r="G368" s="25" t="str">
        <x:v>true</x:v>
      </x:c>
      <x:c r="H368" s="25" t="str">
        <x:v>INCONCLUSIVE</x:v>
      </x:c>
      <x:c r="I368" s="25" t="str">
        <x:v>PASS</x:v>
      </x:c>
      <x:c r="J368" s="25" t="str">
        <x:v>FAIL</x:v>
      </x:c>
      <x:c r="K368" s="25" t="n">
        <x:v>2</x:v>
      </x:c>
      <x:c r="L368" s="27" t="b">
        <x:v>0</x:v>
      </x:c>
      <x:c r="M368" s="25" t="str">
        <x:v>Feedback-Directed Random Test Generation/rounds/Round1/state/JacksonCore.json</x:v>
      </x:c>
      <x:c r="N368" s="25" t="str">
        <x:v>Feedback-Directed Random Test Generation/Result/JacksonCore_1/result.json</x:v>
      </x:c>
      <x:c r="O368" s="25" t="str">
        <x:v>Feedback-Directed Random Test Generation/Result/JacksonCore_1/result.json</x:v>
      </x:c>
      <x:c r="P368"/>
      <x:c r="Q368" s="21" t="str"/>
      <x:c r="R368" s="21" t="str"/>
      <x:c r="S368" s="21" t="str"/>
      <x:c r="T368" s="17" t="str">
        <x:v>false</x:v>
      </x:c>
      <x:c r="U368" s="17" t="str">
        <x:v>true</x:v>
      </x:c>
      <x:c r="V368" s="17" t="str">
        <x:v>false</x:v>
      </x:c>
    </x:row>
    <x:row r="369" ht="80" customHeight="1">
      <x:c r="A369" s="25" t="str">
        <x:v>JacksonCore</x:v>
      </x:c>
      <x:c r="B369" s="25" t="n">
        <x:v>2</x:v>
      </x:c>
      <x:c r="C369" s="25" t="str">
        <x:v>Round1</x:v>
      </x:c>
      <x:c r="D369" s="25" t="str">
        <x:v>NOT_REVEALING</x:v>
      </x:c>
      <x:c r="E369" s="25" t="str">
        <x:v>N/A</x:v>
      </x:c>
      <x:c r="F369" s="26" t="str">
        <x:v>Same saved validation suite passed on buggy and fixed</x:v>
      </x:c>
      <x:c r="G369" s="25" t="str">
        <x:v>true</x:v>
      </x:c>
      <x:c r="H369" s="25" t="str">
        <x:v>NOT_REVEALING</x:v>
      </x:c>
      <x:c r="I369" s="25" t="str">
        <x:v>PASS</x:v>
      </x:c>
      <x:c r="J369" s="25" t="str">
        <x:v>PASS</x:v>
      </x:c>
      <x:c r="K369" s="25" t="n">
        <x:v>2</x:v>
      </x:c>
      <x:c r="L369" s="27" t="b">
        <x:v>0</x:v>
      </x:c>
      <x:c r="M369" s="25" t="str">
        <x:v>Feedback-Directed Random Test Generation/rounds/Round1/state/JacksonCore.json</x:v>
      </x:c>
      <x:c r="N369" s="25" t="str">
        <x:v>Feedback-Directed Random Test Generation/Result/JacksonCore_2/result.json</x:v>
      </x:c>
      <x:c r="O369" s="25" t="str">
        <x:v>Feedback-Directed Random Test Generation/Result/JacksonCore_2/result.json</x:v>
      </x:c>
      <x:c r="P369"/>
      <x:c r="Q369" s="21" t="str"/>
      <x:c r="R369" s="21" t="str"/>
      <x:c r="S369" s="21" t="str"/>
      <x:c r="T369" s="17" t="str">
        <x:v>false</x:v>
      </x:c>
      <x:c r="U369" s="17" t="str">
        <x:v>true</x:v>
      </x:c>
      <x:c r="V369" s="17" t="str">
        <x:v>false</x:v>
      </x:c>
    </x:row>
    <x:row r="370" ht="80" customHeight="1">
      <x:c r="A370" s="25" t="str">
        <x:v>JacksonCore</x:v>
      </x:c>
      <x:c r="B370" s="25" t="n">
        <x:v>3</x:v>
      </x:c>
      <x:c r="C370" s="25" t="str">
        <x:v>Round1</x:v>
      </x:c>
      <x:c r="D370" s="25" t="str">
        <x:v>NOT_REVEALING</x:v>
      </x:c>
      <x:c r="E370" s="25" t="str">
        <x:v>N/A</x:v>
      </x:c>
      <x:c r="F370" s="26" t="str">
        <x:v>Same saved validation suite passed on buggy and fixed</x:v>
      </x:c>
      <x:c r="G370" s="25" t="str">
        <x:v>true</x:v>
      </x:c>
      <x:c r="H370" s="25" t="str">
        <x:v>NOT_REVEALING</x:v>
      </x:c>
      <x:c r="I370" s="25" t="str">
        <x:v>PASS</x:v>
      </x:c>
      <x:c r="J370" s="25" t="str">
        <x:v>PASS</x:v>
      </x:c>
      <x:c r="K370" s="25" t="n">
        <x:v>2</x:v>
      </x:c>
      <x:c r="L370" s="27" t="b">
        <x:v>0</x:v>
      </x:c>
      <x:c r="M370" s="25" t="str">
        <x:v>Feedback-Directed Random Test Generation/rounds/Round1/state/JacksonCore.json</x:v>
      </x:c>
      <x:c r="N370" s="25" t="str">
        <x:v>Feedback-Directed Random Test Generation/Result/JacksonCore_3/result.json</x:v>
      </x:c>
      <x:c r="O370" s="25" t="str">
        <x:v>Feedback-Directed Random Test Generation/Result/JacksonCore_3/result.json</x:v>
      </x:c>
      <x:c r="P370"/>
      <x:c r="Q370" s="21" t="str"/>
      <x:c r="R370" s="21" t="str"/>
      <x:c r="S370" s="21" t="str"/>
      <x:c r="T370" s="17" t="str">
        <x:v>false</x:v>
      </x:c>
      <x:c r="U370" s="17" t="str">
        <x:v>true</x:v>
      </x:c>
      <x:c r="V370" s="17" t="str">
        <x:v>false</x:v>
      </x:c>
    </x:row>
    <x:row r="371" ht="80" customHeight="1">
      <x:c r="A371" s="25" t="str">
        <x:v>JacksonCore</x:v>
      </x:c>
      <x:c r="B371" s="25" t="n">
        <x:v>4</x:v>
      </x:c>
      <x:c r="C371" s="25" t="str">
        <x:v>Round1</x:v>
      </x:c>
      <x:c r="D371" s="25" t="str">
        <x:v>NOT_REVEALING</x:v>
      </x:c>
      <x:c r="E371" s="25" t="str">
        <x:v>N/A</x:v>
      </x:c>
      <x:c r="F371" s="26" t="str">
        <x:v>Same saved validation suite passed on buggy and fixed</x:v>
      </x:c>
      <x:c r="G371" s="25" t="str">
        <x:v>true</x:v>
      </x:c>
      <x:c r="H371" s="25" t="str">
        <x:v>NOT_REVEALING</x:v>
      </x:c>
      <x:c r="I371" s="25" t="str">
        <x:v>PASS</x:v>
      </x:c>
      <x:c r="J371" s="25" t="str">
        <x:v>PASS</x:v>
      </x:c>
      <x:c r="K371" s="25" t="n">
        <x:v>2</x:v>
      </x:c>
      <x:c r="L371" s="27" t="b">
        <x:v>0</x:v>
      </x:c>
      <x:c r="M371" s="25" t="str">
        <x:v>Feedback-Directed Random Test Generation/rounds/Round1/state/JacksonCore.json</x:v>
      </x:c>
      <x:c r="N371" s="25" t="str">
        <x:v>Feedback-Directed Random Test Generation/Result/JacksonCore_4/result.json</x:v>
      </x:c>
      <x:c r="O371" s="25" t="str">
        <x:v>Feedback-Directed Random Test Generation/Result/JacksonCore_4/result.json</x:v>
      </x:c>
      <x:c r="P371"/>
      <x:c r="Q371" s="21" t="str"/>
      <x:c r="R371" s="21" t="str"/>
      <x:c r="S371" s="21" t="str"/>
      <x:c r="T371" s="17" t="str">
        <x:v>false</x:v>
      </x:c>
      <x:c r="U371" s="17" t="str">
        <x:v>true</x:v>
      </x:c>
      <x:c r="V371" s="17" t="str">
        <x:v>false</x:v>
      </x:c>
    </x:row>
    <x:row r="372" ht="80" customHeight="1">
      <x:c r="A372" s="25" t="str">
        <x:v>JacksonCore</x:v>
      </x:c>
      <x:c r="B372" s="25" t="n">
        <x:v>5</x:v>
      </x:c>
      <x:c r="C372" s="25" t="str">
        <x:v>Round1</x:v>
      </x:c>
      <x:c r="D372" s="25" t="str">
        <x:v>NOT_REVEALING</x:v>
      </x:c>
      <x:c r="E372" s="25" t="str">
        <x:v>N/A</x:v>
      </x:c>
      <x:c r="F372" s="26" t="str">
        <x:v>Same saved validation suite passed on buggy and fixed</x:v>
      </x:c>
      <x:c r="G372" s="25" t="str">
        <x:v>true</x:v>
      </x:c>
      <x:c r="H372" s="25" t="str">
        <x:v>NOT_REVEALING</x:v>
      </x:c>
      <x:c r="I372" s="25" t="str">
        <x:v>PASS</x:v>
      </x:c>
      <x:c r="J372" s="25" t="str">
        <x:v>PASS</x:v>
      </x:c>
      <x:c r="K372" s="25" t="n">
        <x:v>2</x:v>
      </x:c>
      <x:c r="L372" s="27" t="b">
        <x:v>0</x:v>
      </x:c>
      <x:c r="M372" s="25" t="str">
        <x:v>Feedback-Directed Random Test Generation/rounds/Round1/state/JacksonCore.json</x:v>
      </x:c>
      <x:c r="N372" s="25" t="str">
        <x:v>Feedback-Directed Random Test Generation/Result/JacksonCore_5/result.json</x:v>
      </x:c>
      <x:c r="O372" s="25" t="str">
        <x:v>Feedback-Directed Random Test Generation/Result/JacksonCore_5/result.json</x:v>
      </x:c>
      <x:c r="P372"/>
      <x:c r="Q372" s="21" t="str"/>
      <x:c r="R372" s="21" t="str"/>
      <x:c r="S372" s="21" t="str"/>
      <x:c r="T372" s="17" t="str">
        <x:v>false</x:v>
      </x:c>
      <x:c r="U372" s="17" t="str">
        <x:v>true</x:v>
      </x:c>
      <x:c r="V372" s="17" t="str">
        <x:v>false</x:v>
      </x:c>
    </x:row>
    <x:row r="373" ht="80" customHeight="1">
      <x:c r="A373" s="25" t="str">
        <x:v>JacksonCore</x:v>
      </x:c>
      <x:c r="B373" s="25" t="n">
        <x:v>6</x:v>
      </x:c>
      <x:c r="C373" s="25" t="str">
        <x:v>Round1</x:v>
      </x:c>
      <x:c r="D373" s="25" t="str">
        <x:v>NOT_REVEALING</x:v>
      </x:c>
      <x:c r="E373" s="25" t="str">
        <x:v>N/A</x:v>
      </x:c>
      <x:c r="F373" s="26" t="str">
        <x:v>Same saved validation suite passed on buggy and fixed</x:v>
      </x:c>
      <x:c r="G373" s="25" t="str">
        <x:v>true</x:v>
      </x:c>
      <x:c r="H373" s="25" t="str">
        <x:v>NOT_REVEALING</x:v>
      </x:c>
      <x:c r="I373" s="25" t="str">
        <x:v>PASS</x:v>
      </x:c>
      <x:c r="J373" s="25" t="str">
        <x:v>PASS</x:v>
      </x:c>
      <x:c r="K373" s="25" t="n">
        <x:v>2</x:v>
      </x:c>
      <x:c r="L373" s="27" t="b">
        <x:v>0</x:v>
      </x:c>
      <x:c r="M373" s="25" t="str">
        <x:v>Feedback-Directed Random Test Generation/rounds/Round1/state/JacksonCore.json</x:v>
      </x:c>
      <x:c r="N373" s="25" t="str">
        <x:v>Feedback-Directed Random Test Generation/Result/JacksonCore_6/result.json</x:v>
      </x:c>
      <x:c r="O373" s="25" t="str">
        <x:v>Feedback-Directed Random Test Generation/Result/JacksonCore_6/result.json</x:v>
      </x:c>
      <x:c r="P373"/>
      <x:c r="Q373" s="21" t="str"/>
      <x:c r="R373" s="21" t="str"/>
      <x:c r="S373" s="21" t="str"/>
      <x:c r="T373" s="17" t="str">
        <x:v>false</x:v>
      </x:c>
      <x:c r="U373" s="17" t="str">
        <x:v>true</x:v>
      </x:c>
      <x:c r="V373" s="17" t="str">
        <x:v>false</x:v>
      </x:c>
    </x:row>
    <x:row r="374" ht="80" customHeight="1">
      <x:c r="A374" s="25" t="str">
        <x:v>JacksonCore</x:v>
      </x:c>
      <x:c r="B374" s="25" t="n">
        <x:v>7</x:v>
      </x:c>
      <x:c r="C374" s="25" t="str">
        <x:v>Round1</x:v>
      </x:c>
      <x:c r="D374" s="25" t="str">
        <x:v>NOT_REVEALING</x:v>
      </x:c>
      <x:c r="E374" s="25" t="str">
        <x:v>N/A</x:v>
      </x:c>
      <x:c r="F374" s="26" t="str">
        <x:v>Same saved validation suite passed on buggy and fixed</x:v>
      </x:c>
      <x:c r="G374" s="25" t="str">
        <x:v>true</x:v>
      </x:c>
      <x:c r="H374" s="25" t="str">
        <x:v>NOT_REVEALING</x:v>
      </x:c>
      <x:c r="I374" s="25" t="str">
        <x:v>PASS</x:v>
      </x:c>
      <x:c r="J374" s="25" t="str">
        <x:v>PASS</x:v>
      </x:c>
      <x:c r="K374" s="25" t="n">
        <x:v>2</x:v>
      </x:c>
      <x:c r="L374" s="27" t="b">
        <x:v>0</x:v>
      </x:c>
      <x:c r="M374" s="25" t="str">
        <x:v>Feedback-Directed Random Test Generation/rounds/Round1/state/JacksonCore.json</x:v>
      </x:c>
      <x:c r="N374" s="25" t="str">
        <x:v>Feedback-Directed Random Test Generation/Result/JacksonCore_7/result.json</x:v>
      </x:c>
      <x:c r="O374" s="25" t="str">
        <x:v>Feedback-Directed Random Test Generation/Result/JacksonCore_7/result.json</x:v>
      </x:c>
      <x:c r="P374"/>
      <x:c r="Q374" s="21" t="str"/>
      <x:c r="R374" s="21" t="str"/>
      <x:c r="S374" s="21" t="str"/>
      <x:c r="T374" s="17" t="str">
        <x:v>false</x:v>
      </x:c>
      <x:c r="U374" s="17" t="str">
        <x:v>true</x:v>
      </x:c>
      <x:c r="V374" s="17" t="str">
        <x:v>false</x:v>
      </x:c>
    </x:row>
    <x:row r="375" ht="80" customHeight="1">
      <x:c r="A375" s="25" t="str">
        <x:v>JacksonCore</x:v>
      </x:c>
      <x:c r="B375" s="25" t="n">
        <x:v>8</x:v>
      </x:c>
      <x:c r="C375" s="25" t="str">
        <x:v>Round1</x:v>
      </x:c>
      <x:c r="D375" s="25" t="str">
        <x:v>INCONCLUSIVE</x:v>
      </x:c>
      <x:c r="E375" s="25" t="str">
        <x:v>N/A</x:v>
      </x:c>
      <x:c r="F375" s="26" t="str">
        <x:v>Fixed also failed; assertion failure cannot be attributed to this bug; Assertions failed with measured coverage; paired execution and stage checks determine status</x:v>
      </x:c>
      <x:c r="G375" s="25" t="str">
        <x:v>true</x:v>
      </x:c>
      <x:c r="H375" s="25" t="str">
        <x:v>INCONCLUSIVE</x:v>
      </x:c>
      <x:c r="I375" s="25" t="str">
        <x:v>FAIL</x:v>
      </x:c>
      <x:c r="J375" s="25" t="str">
        <x:v>FAIL</x:v>
      </x:c>
      <x:c r="K375" s="25" t="n">
        <x:v>2</x:v>
      </x:c>
      <x:c r="L375" s="27" t="b">
        <x:v>0</x:v>
      </x:c>
      <x:c r="M375" s="25" t="str">
        <x:v>Feedback-Directed Random Test Generation/rounds/Round1/state/JacksonCore.json</x:v>
      </x:c>
      <x:c r="N375" s="25" t="str">
        <x:v>Feedback-Directed Random Test Generation/Result/JacksonCore_8/result.json</x:v>
      </x:c>
      <x:c r="O375" s="25" t="str">
        <x:v>Feedback-Directed Random Test Generation/Result/JacksonCore_8/result.json</x:v>
      </x:c>
      <x:c r="P375"/>
      <x:c r="Q375" s="21" t="str"/>
      <x:c r="R375" s="21" t="str"/>
      <x:c r="S375" s="21" t="str"/>
      <x:c r="T375" s="17" t="str">
        <x:v>false</x:v>
      </x:c>
      <x:c r="U375" s="17" t="str">
        <x:v>true</x:v>
      </x:c>
      <x:c r="V375" s="17" t="str">
        <x:v>false</x:v>
      </x:c>
    </x:row>
    <x:row r="376" ht="80" customHeight="1">
      <x:c r="A376" s="25" t="str">
        <x:v>JacksonCore</x:v>
      </x:c>
      <x:c r="B376" s="25" t="n">
        <x:v>9</x:v>
      </x:c>
      <x:c r="C376" s="25" t="str">
        <x:v>Round1</x:v>
      </x:c>
      <x:c r="D376" s="25" t="str">
        <x:v>NOT_REVEALING</x:v>
      </x:c>
      <x:c r="E376" s="25" t="str">
        <x:v>N/A</x:v>
      </x:c>
      <x:c r="F376" s="26" t="str">
        <x:v>Same saved validation suite passed on buggy and fixed</x:v>
      </x:c>
      <x:c r="G376" s="25" t="str">
        <x:v>true</x:v>
      </x:c>
      <x:c r="H376" s="25" t="str">
        <x:v>NOT_REVEALING</x:v>
      </x:c>
      <x:c r="I376" s="25" t="str">
        <x:v>PASS</x:v>
      </x:c>
      <x:c r="J376" s="25" t="str">
        <x:v>PASS</x:v>
      </x:c>
      <x:c r="K376" s="25" t="n">
        <x:v>2</x:v>
      </x:c>
      <x:c r="L376" s="27" t="b">
        <x:v>0</x:v>
      </x:c>
      <x:c r="M376" s="25" t="str">
        <x:v>Feedback-Directed Random Test Generation/rounds/Round1/state/JacksonCore.json</x:v>
      </x:c>
      <x:c r="N376" s="25" t="str">
        <x:v>Feedback-Directed Random Test Generation/Result/JacksonCore_9/result.json</x:v>
      </x:c>
      <x:c r="O376" s="25" t="str">
        <x:v>Feedback-Directed Random Test Generation/Result/JacksonCore_9/result.json</x:v>
      </x:c>
      <x:c r="P376"/>
      <x:c r="Q376" s="21" t="str"/>
      <x:c r="R376" s="21" t="str"/>
      <x:c r="S376" s="21" t="str"/>
      <x:c r="T376" s="17" t="str">
        <x:v>false</x:v>
      </x:c>
      <x:c r="U376" s="17" t="str">
        <x:v>true</x:v>
      </x:c>
      <x:c r="V376" s="17" t="str">
        <x:v>false</x:v>
      </x:c>
    </x:row>
    <x:row r="377" ht="80" customHeight="1">
      <x:c r="A377" s="25" t="str">
        <x:v>JacksonCore</x:v>
      </x:c>
      <x:c r="B377" s="25" t="n">
        <x:v>10</x:v>
      </x:c>
      <x:c r="C377" s="25" t="str">
        <x:v>Round1</x:v>
      </x:c>
      <x:c r="D377" s="25" t="str">
        <x:v>INCONCLUSIVE</x:v>
      </x:c>
      <x:c r="E377" s="25" t="str">
        <x:v>N/A</x:v>
      </x:c>
      <x:c r="F377" s="26" t="str">
        <x:v>Fixed also failed; assertion failure cannot be attributed to this bug; Assertions failed with measured coverage; paired execution and stage checks determine status</x:v>
      </x:c>
      <x:c r="G377" s="25" t="str">
        <x:v>true</x:v>
      </x:c>
      <x:c r="H377" s="25" t="str">
        <x:v>INCONCLUSIVE</x:v>
      </x:c>
      <x:c r="I377" s="25" t="str">
        <x:v>FAIL</x:v>
      </x:c>
      <x:c r="J377" s="25" t="str">
        <x:v>FAIL</x:v>
      </x:c>
      <x:c r="K377" s="25" t="n">
        <x:v>4</x:v>
      </x:c>
      <x:c r="L377" s="27" t="b">
        <x:v>0</x:v>
      </x:c>
      <x:c r="M377" s="25" t="str">
        <x:v>Feedback-Directed Random Test Generation/rounds/Round1/state/JacksonCore.json</x:v>
      </x:c>
      <x:c r="N377" s="25" t="str">
        <x:v>Feedback-Directed Random Test Generation/Result/JacksonCore_10/result.json</x:v>
      </x:c>
      <x:c r="O377" s="25" t="str">
        <x:v>Feedback-Directed Random Test Generation/Result/JacksonCore_10/result.json</x:v>
      </x:c>
      <x:c r="P377"/>
      <x:c r="Q377" s="21" t="str"/>
      <x:c r="R377" s="21" t="str"/>
      <x:c r="S377" s="21" t="str"/>
      <x:c r="T377" s="17" t="str">
        <x:v>false</x:v>
      </x:c>
      <x:c r="U377" s="17" t="str">
        <x:v>true</x:v>
      </x:c>
      <x:c r="V377" s="17" t="str">
        <x:v>false</x:v>
      </x:c>
    </x:row>
    <x:row r="378" ht="80" customHeight="1">
      <x:c r="A378" s="25" t="str">
        <x:v>JacksonCore</x:v>
      </x:c>
      <x:c r="B378" s="25" t="n">
        <x:v>11</x:v>
      </x:c>
      <x:c r="C378" s="25" t="str">
        <x:v>Round1</x:v>
      </x:c>
      <x:c r="D378" s="25" t="str">
        <x:v>INCONCLUSIVE</x:v>
      </x:c>
      <x:c r="E378" s="25" t="str">
        <x:v>N/A</x:v>
      </x:c>
      <x:c r="F378" s="26" t="str">
        <x:v>Fixed also failed; assertion failure cannot be attributed to this bug; Assertions failed with measured coverage; paired execution and stage checks determine status</x:v>
      </x:c>
      <x:c r="G378" s="25" t="str">
        <x:v>true</x:v>
      </x:c>
      <x:c r="H378" s="25" t="str">
        <x:v>INCONCLUSIVE</x:v>
      </x:c>
      <x:c r="I378" s="25" t="str">
        <x:v>FAIL</x:v>
      </x:c>
      <x:c r="J378" s="25" t="str">
        <x:v>FAIL</x:v>
      </x:c>
      <x:c r="K378" s="25" t="n">
        <x:v>4</x:v>
      </x:c>
      <x:c r="L378" s="27" t="b">
        <x:v>0</x:v>
      </x:c>
      <x:c r="M378" s="25" t="str">
        <x:v>Feedback-Directed Random Test Generation/rounds/Round1/state/JacksonCore.json</x:v>
      </x:c>
      <x:c r="N378" s="25" t="str">
        <x:v>Feedback-Directed Random Test Generation/Result/JacksonCore_11/result.json</x:v>
      </x:c>
      <x:c r="O378" s="25" t="str">
        <x:v>Feedback-Directed Random Test Generation/Result/JacksonCore_11/result.json</x:v>
      </x:c>
      <x:c r="P378"/>
      <x:c r="Q378" s="21" t="str"/>
      <x:c r="R378" s="21" t="str"/>
      <x:c r="S378" s="21" t="str"/>
      <x:c r="T378" s="17" t="str">
        <x:v>false</x:v>
      </x:c>
      <x:c r="U378" s="17" t="str">
        <x:v>true</x:v>
      </x:c>
      <x:c r="V378" s="17" t="str">
        <x:v>false</x:v>
      </x:c>
    </x:row>
    <x:row r="379" ht="80" customHeight="1">
      <x:c r="A379" s="25" t="str">
        <x:v>JacksonCore</x:v>
      </x:c>
      <x:c r="B379" s="25" t="n">
        <x:v>12</x:v>
      </x:c>
      <x:c r="C379" s="25" t="str">
        <x:v>Round1</x:v>
      </x:c>
      <x:c r="D379" s="25" t="str">
        <x:v>NOT_REVEALING</x:v>
      </x:c>
      <x:c r="E379" s="25" t="str">
        <x:v>N/A</x:v>
      </x:c>
      <x:c r="F379" s="26" t="str">
        <x:v>Same saved validation suite passed on buggy and fixed</x:v>
      </x:c>
      <x:c r="G379" s="25" t="str">
        <x:v>true</x:v>
      </x:c>
      <x:c r="H379" s="25" t="str">
        <x:v>NOT_REVEALING</x:v>
      </x:c>
      <x:c r="I379" s="25" t="str">
        <x:v>PASS</x:v>
      </x:c>
      <x:c r="J379" s="25" t="str">
        <x:v>PASS</x:v>
      </x:c>
      <x:c r="K379" s="25" t="n">
        <x:v>2</x:v>
      </x:c>
      <x:c r="L379" s="27" t="b">
        <x:v>0</x:v>
      </x:c>
      <x:c r="M379" s="25" t="str">
        <x:v>Feedback-Directed Random Test Generation/rounds/Round1/state/JacksonCore.json</x:v>
      </x:c>
      <x:c r="N379" s="25" t="str">
        <x:v>Feedback-Directed Random Test Generation/Result/JacksonCore_12/result.json</x:v>
      </x:c>
      <x:c r="O379" s="25" t="str">
        <x:v>Feedback-Directed Random Test Generation/Result/JacksonCore_12/result.json</x:v>
      </x:c>
      <x:c r="P379"/>
      <x:c r="Q379" s="21" t="str"/>
      <x:c r="R379" s="21" t="str"/>
      <x:c r="S379" s="21" t="str"/>
      <x:c r="T379" s="17" t="str">
        <x:v>false</x:v>
      </x:c>
      <x:c r="U379" s="17" t="str">
        <x:v>true</x:v>
      </x:c>
      <x:c r="V379" s="17" t="str">
        <x:v>false</x:v>
      </x:c>
    </x:row>
    <x:row r="380" ht="80" customHeight="1">
      <x:c r="A380" s="25" t="str">
        <x:v>JacksonCore</x:v>
      </x:c>
      <x:c r="B380" s="25" t="n">
        <x:v>13</x:v>
      </x:c>
      <x:c r="C380" s="25" t="str">
        <x:v>Round1</x:v>
      </x:c>
      <x:c r="D380" s="25" t="str">
        <x:v>NOT_REVEALING</x:v>
      </x:c>
      <x:c r="E380" s="25" t="str">
        <x:v>N/A</x:v>
      </x:c>
      <x:c r="F380" s="26" t="str">
        <x:v>Same saved validation suite passed on buggy and fixed</x:v>
      </x:c>
      <x:c r="G380" s="25" t="str">
        <x:v>true</x:v>
      </x:c>
      <x:c r="H380" s="25" t="str">
        <x:v>NOT_REVEALING</x:v>
      </x:c>
      <x:c r="I380" s="25" t="str">
        <x:v>PASS</x:v>
      </x:c>
      <x:c r="J380" s="25" t="str">
        <x:v>PASS</x:v>
      </x:c>
      <x:c r="K380" s="25" t="n">
        <x:v>2</x:v>
      </x:c>
      <x:c r="L380" s="27" t="b">
        <x:v>0</x:v>
      </x:c>
      <x:c r="M380" s="25" t="str">
        <x:v>Feedback-Directed Random Test Generation/rounds/Round1/state/JacksonCore.json</x:v>
      </x:c>
      <x:c r="N380" s="25" t="str">
        <x:v>Feedback-Directed Random Test Generation/Result/JacksonCore_13/result.json</x:v>
      </x:c>
      <x:c r="O380" s="25" t="str">
        <x:v>Feedback-Directed Random Test Generation/Result/JacksonCore_13/result.json</x:v>
      </x:c>
      <x:c r="P380"/>
      <x:c r="Q380" s="21" t="str"/>
      <x:c r="R380" s="21" t="str"/>
      <x:c r="S380" s="21" t="str"/>
      <x:c r="T380" s="17" t="str">
        <x:v>false</x:v>
      </x:c>
      <x:c r="U380" s="17" t="str">
        <x:v>true</x:v>
      </x:c>
      <x:c r="V380" s="17" t="str">
        <x:v>false</x:v>
      </x:c>
    </x:row>
    <x:row r="381" ht="80" customHeight="1">
      <x:c r="A381" s="25" t="str">
        <x:v>JacksonCore</x:v>
      </x:c>
      <x:c r="B381" s="25" t="n">
        <x:v>14</x:v>
      </x:c>
      <x:c r="C381" s="25" t="str">
        <x:v>Round1</x:v>
      </x:c>
      <x:c r="D381" s="25" t="str">
        <x:v>NOT_REVEALING</x:v>
      </x:c>
      <x:c r="E381" s="25" t="str">
        <x:v>N/A</x:v>
      </x:c>
      <x:c r="F381" s="26" t="str">
        <x:v>Same saved validation suite passed on buggy and fixed</x:v>
      </x:c>
      <x:c r="G381" s="25" t="str">
        <x:v>true</x:v>
      </x:c>
      <x:c r="H381" s="25" t="str">
        <x:v>NOT_REVEALING</x:v>
      </x:c>
      <x:c r="I381" s="25" t="str">
        <x:v>PASS</x:v>
      </x:c>
      <x:c r="J381" s="25" t="str">
        <x:v>PASS</x:v>
      </x:c>
      <x:c r="K381" s="25" t="n">
        <x:v>2</x:v>
      </x:c>
      <x:c r="L381" s="27" t="b">
        <x:v>0</x:v>
      </x:c>
      <x:c r="M381" s="25" t="str">
        <x:v>Feedback-Directed Random Test Generation/rounds/Round1/state/JacksonCore.json</x:v>
      </x:c>
      <x:c r="N381" s="25" t="str">
        <x:v>Feedback-Directed Random Test Generation/Result/JacksonCore_14/result.json</x:v>
      </x:c>
      <x:c r="O381" s="25" t="str">
        <x:v>Feedback-Directed Random Test Generation/Result/JacksonCore_14/result.json</x:v>
      </x:c>
      <x:c r="P381"/>
      <x:c r="Q381" s="21" t="str"/>
      <x:c r="R381" s="21" t="str"/>
      <x:c r="S381" s="21" t="str"/>
      <x:c r="T381" s="17" t="str">
        <x:v>false</x:v>
      </x:c>
      <x:c r="U381" s="17" t="str">
        <x:v>true</x:v>
      </x:c>
      <x:c r="V381" s="17" t="str">
        <x:v>false</x:v>
      </x:c>
    </x:row>
    <x:row r="382" ht="80" customHeight="1">
      <x:c r="A382" s="25" t="str">
        <x:v>JacksonCore</x:v>
      </x:c>
      <x:c r="B382" s="25" t="n">
        <x:v>15</x:v>
      </x:c>
      <x:c r="C382" s="25" t="str">
        <x:v>Round1</x:v>
      </x:c>
      <x:c r="D382" s="25" t="str">
        <x:v>NOT_REVEALING</x:v>
      </x:c>
      <x:c r="E382" s="25" t="str">
        <x:v>N/A</x:v>
      </x:c>
      <x:c r="F382" s="26" t="str">
        <x:v>Same saved validation suite passed on buggy and fixed</x:v>
      </x:c>
      <x:c r="G382" s="25" t="str">
        <x:v>true</x:v>
      </x:c>
      <x:c r="H382" s="25" t="str">
        <x:v>NOT_REVEALING</x:v>
      </x:c>
      <x:c r="I382" s="25" t="str">
        <x:v>PASS</x:v>
      </x:c>
      <x:c r="J382" s="25" t="str">
        <x:v>PASS</x:v>
      </x:c>
      <x:c r="K382" s="25" t="n">
        <x:v>2</x:v>
      </x:c>
      <x:c r="L382" s="27" t="b">
        <x:v>0</x:v>
      </x:c>
      <x:c r="M382" s="25" t="str">
        <x:v>Feedback-Directed Random Test Generation/rounds/Round1/state/JacksonCore.json</x:v>
      </x:c>
      <x:c r="N382" s="25" t="str">
        <x:v>Feedback-Directed Random Test Generation/Result/JacksonCore_15/result.json</x:v>
      </x:c>
      <x:c r="O382" s="25" t="str">
        <x:v>Feedback-Directed Random Test Generation/Result/JacksonCore_15/result.json</x:v>
      </x:c>
      <x:c r="P382"/>
      <x:c r="Q382" s="21" t="str"/>
      <x:c r="R382" s="21" t="str"/>
      <x:c r="S382" s="21" t="str"/>
      <x:c r="T382" s="17" t="str">
        <x:v>false</x:v>
      </x:c>
      <x:c r="U382" s="17" t="str">
        <x:v>true</x:v>
      </x:c>
      <x:c r="V382" s="17" t="str">
        <x:v>false</x:v>
      </x:c>
    </x:row>
    <x:row r="383" ht="80" customHeight="1">
      <x:c r="A383" s="25" t="str">
        <x:v>JacksonCore</x:v>
      </x:c>
      <x:c r="B383" s="25" t="n">
        <x:v>16</x:v>
      </x:c>
      <x:c r="C383" s="25" t="str">
        <x:v>Round1</x:v>
      </x:c>
      <x:c r="D383" s="25" t="str">
        <x:v>INCONCLUSIVE</x:v>
      </x:c>
      <x:c r="E383" s="25" t="str">
        <x:v>N/A</x:v>
      </x:c>
      <x:c r="F383" s="26" t="str">
        <x:v>Fixed also failed; assertion failure cannot be attributed to this bug</x:v>
      </x:c>
      <x:c r="G383" s="25" t="str">
        <x:v>true</x:v>
      </x:c>
      <x:c r="H383" s="25" t="str">
        <x:v>INCONCLUSIVE</x:v>
      </x:c>
      <x:c r="I383" s="25" t="str">
        <x:v>PASS</x:v>
      </x:c>
      <x:c r="J383" s="25" t="str">
        <x:v>FAIL</x:v>
      </x:c>
      <x:c r="K383" s="25" t="n">
        <x:v>2</x:v>
      </x:c>
      <x:c r="L383" s="27" t="b">
        <x:v>0</x:v>
      </x:c>
      <x:c r="M383" s="25" t="str">
        <x:v>Feedback-Directed Random Test Generation/rounds/Round1/state/JacksonCore.json</x:v>
      </x:c>
      <x:c r="N383" s="25" t="str">
        <x:v>Feedback-Directed Random Test Generation/Result/JacksonCore_16/result.json</x:v>
      </x:c>
      <x:c r="O383" s="25" t="str">
        <x:v>Feedback-Directed Random Test Generation/Result/JacksonCore_16/result.json</x:v>
      </x:c>
      <x:c r="P383"/>
      <x:c r="Q383" s="21" t="str"/>
      <x:c r="R383" s="21" t="str"/>
      <x:c r="S383" s="21" t="str"/>
      <x:c r="T383" s="17" t="str">
        <x:v>false</x:v>
      </x:c>
      <x:c r="U383" s="17" t="str">
        <x:v>true</x:v>
      </x:c>
      <x:c r="V383" s="17" t="str">
        <x:v>false</x:v>
      </x:c>
    </x:row>
    <x:row r="384" ht="80" customHeight="1">
      <x:c r="A384" s="25" t="str">
        <x:v>JacksonCore</x:v>
      </x:c>
      <x:c r="B384" s="25" t="n">
        <x:v>17</x:v>
      </x:c>
      <x:c r="C384" s="25" t="str">
        <x:v>Round1</x:v>
      </x:c>
      <x:c r="D384" s="25" t="str">
        <x:v>NOT_REVEALING</x:v>
      </x:c>
      <x:c r="E384" s="25" t="str">
        <x:v>N/A</x:v>
      </x:c>
      <x:c r="F384" s="26" t="str">
        <x:v>Same saved validation suite passed on buggy and fixed</x:v>
      </x:c>
      <x:c r="G384" s="25" t="str">
        <x:v>true</x:v>
      </x:c>
      <x:c r="H384" s="25" t="str">
        <x:v>NOT_REVEALING</x:v>
      </x:c>
      <x:c r="I384" s="25" t="str">
        <x:v>PASS</x:v>
      </x:c>
      <x:c r="J384" s="25" t="str">
        <x:v>PASS</x:v>
      </x:c>
      <x:c r="K384" s="25" t="n">
        <x:v>2</x:v>
      </x:c>
      <x:c r="L384" s="27" t="b">
        <x:v>0</x:v>
      </x:c>
      <x:c r="M384" s="25" t="str">
        <x:v>Feedback-Directed Random Test Generation/rounds/Round1/state/JacksonCore.json</x:v>
      </x:c>
      <x:c r="N384" s="25" t="str">
        <x:v>Feedback-Directed Random Test Generation/Result/JacksonCore_17/result.json</x:v>
      </x:c>
      <x:c r="O384" s="25" t="str">
        <x:v>Feedback-Directed Random Test Generation/Result/JacksonCore_17/result.json</x:v>
      </x:c>
      <x:c r="P384"/>
      <x:c r="Q384" s="21" t="str"/>
      <x:c r="R384" s="21" t="str"/>
      <x:c r="S384" s="21" t="str"/>
      <x:c r="T384" s="17" t="str">
        <x:v>false</x:v>
      </x:c>
      <x:c r="U384" s="17" t="str">
        <x:v>true</x:v>
      </x:c>
      <x:c r="V384" s="17" t="str">
        <x:v>false</x:v>
      </x:c>
    </x:row>
    <x:row r="385" ht="80" customHeight="1">
      <x:c r="A385" s="25" t="str">
        <x:v>JacksonCore</x:v>
      </x:c>
      <x:c r="B385" s="25" t="n">
        <x:v>18</x:v>
      </x:c>
      <x:c r="C385" s="25" t="str">
        <x:v>Round1</x:v>
      </x:c>
      <x:c r="D385" s="25" t="str">
        <x:v>NOT_REVEALING</x:v>
      </x:c>
      <x:c r="E385" s="25" t="str">
        <x:v>N/A</x:v>
      </x:c>
      <x:c r="F385" s="26" t="str">
        <x:v>Same saved validation suite passed on buggy and fixed</x:v>
      </x:c>
      <x:c r="G385" s="25" t="str">
        <x:v>true</x:v>
      </x:c>
      <x:c r="H385" s="25" t="str">
        <x:v>NOT_REVEALING</x:v>
      </x:c>
      <x:c r="I385" s="25" t="str">
        <x:v>PASS</x:v>
      </x:c>
      <x:c r="J385" s="25" t="str">
        <x:v>PASS</x:v>
      </x:c>
      <x:c r="K385" s="25" t="n">
        <x:v>2</x:v>
      </x:c>
      <x:c r="L385" s="27" t="b">
        <x:v>0</x:v>
      </x:c>
      <x:c r="M385" s="25" t="str">
        <x:v>Feedback-Directed Random Test Generation/rounds/Round1/state/JacksonCore.json</x:v>
      </x:c>
      <x:c r="N385" s="25" t="str">
        <x:v>Feedback-Directed Random Test Generation/Result/JacksonCore_18/result.json</x:v>
      </x:c>
      <x:c r="O385" s="25" t="str">
        <x:v>Feedback-Directed Random Test Generation/Result/JacksonCore_18/result.json</x:v>
      </x:c>
      <x:c r="P385"/>
      <x:c r="Q385" s="21" t="str"/>
      <x:c r="R385" s="21" t="str"/>
      <x:c r="S385" s="21" t="str"/>
      <x:c r="T385" s="17" t="str">
        <x:v>false</x:v>
      </x:c>
      <x:c r="U385" s="17" t="str">
        <x:v>true</x:v>
      </x:c>
      <x:c r="V385" s="17" t="str">
        <x:v>false</x:v>
      </x:c>
    </x:row>
    <x:row r="386" ht="80" customHeight="1">
      <x:c r="A386" s="25" t="str">
        <x:v>JacksonCore</x:v>
      </x:c>
      <x:c r="B386" s="25" t="n">
        <x:v>19</x:v>
      </x:c>
      <x:c r="C386" s="25" t="str">
        <x:v>Round1</x:v>
      </x:c>
      <x:c r="D386" s="25" t="str">
        <x:v>NOT_REVEALING</x:v>
      </x:c>
      <x:c r="E386" s="25" t="str">
        <x:v>N/A</x:v>
      </x:c>
      <x:c r="F386" s="26" t="str">
        <x:v>Same saved validation suite passed on buggy and fixed</x:v>
      </x:c>
      <x:c r="G386" s="25" t="str">
        <x:v>true</x:v>
      </x:c>
      <x:c r="H386" s="25" t="str">
        <x:v>NOT_REVEALING</x:v>
      </x:c>
      <x:c r="I386" s="25" t="str">
        <x:v>PASS</x:v>
      </x:c>
      <x:c r="J386" s="25" t="str">
        <x:v>PASS</x:v>
      </x:c>
      <x:c r="K386" s="25" t="n">
        <x:v>2</x:v>
      </x:c>
      <x:c r="L386" s="27" t="b">
        <x:v>0</x:v>
      </x:c>
      <x:c r="M386" s="25" t="str">
        <x:v>Feedback-Directed Random Test Generation/rounds/Round1/state/JacksonCore.json</x:v>
      </x:c>
      <x:c r="N386" s="25" t="str">
        <x:v>Feedback-Directed Random Test Generation/Result/JacksonCore_19/result.json</x:v>
      </x:c>
      <x:c r="O386" s="25" t="str">
        <x:v>Feedback-Directed Random Test Generation/Result/JacksonCore_19/result.json</x:v>
      </x:c>
      <x:c r="P386"/>
      <x:c r="Q386" s="21" t="str"/>
      <x:c r="R386" s="21" t="str"/>
      <x:c r="S386" s="21" t="str"/>
      <x:c r="T386" s="17" t="str">
        <x:v>false</x:v>
      </x:c>
      <x:c r="U386" s="17" t="str">
        <x:v>true</x:v>
      </x:c>
      <x:c r="V386" s="17" t="str">
        <x:v>false</x:v>
      </x:c>
    </x:row>
    <x:row r="387" ht="80" customHeight="1">
      <x:c r="A387" s="25" t="str">
        <x:v>JacksonCore</x:v>
      </x:c>
      <x:c r="B387" s="25" t="n">
        <x:v>20</x:v>
      </x:c>
      <x:c r="C387" s="25" t="str">
        <x:v>Round1</x:v>
      </x:c>
      <x:c r="D387" s="25" t="str">
        <x:v>NOT_REVEALING</x:v>
      </x:c>
      <x:c r="E387" s="25" t="str">
        <x:v>N/A</x:v>
      </x:c>
      <x:c r="F387" s="26" t="str">
        <x:v>Same saved validation suite passed on buggy and fixed</x:v>
      </x:c>
      <x:c r="G387" s="25" t="str">
        <x:v>true</x:v>
      </x:c>
      <x:c r="H387" s="25" t="str">
        <x:v>NOT_REVEALING</x:v>
      </x:c>
      <x:c r="I387" s="25" t="str">
        <x:v>PASS</x:v>
      </x:c>
      <x:c r="J387" s="25" t="str">
        <x:v>PASS</x:v>
      </x:c>
      <x:c r="K387" s="25" t="n">
        <x:v>2</x:v>
      </x:c>
      <x:c r="L387" s="27" t="b">
        <x:v>0</x:v>
      </x:c>
      <x:c r="M387" s="25" t="str">
        <x:v>Feedback-Directed Random Test Generation/rounds/Round1/state/JacksonCore.json</x:v>
      </x:c>
      <x:c r="N387" s="25" t="str">
        <x:v>Feedback-Directed Random Test Generation/Result/JacksonCore_20/result.json</x:v>
      </x:c>
      <x:c r="O387" s="25" t="str">
        <x:v>Feedback-Directed Random Test Generation/Result/JacksonCore_20/result.json</x:v>
      </x:c>
      <x:c r="P387"/>
      <x:c r="Q387" s="21" t="str"/>
      <x:c r="R387" s="21" t="str"/>
      <x:c r="S387" s="21" t="str"/>
      <x:c r="T387" s="17" t="str">
        <x:v>false</x:v>
      </x:c>
      <x:c r="U387" s="17" t="str">
        <x:v>true</x:v>
      </x:c>
      <x:c r="V387" s="17" t="str">
        <x:v>false</x:v>
      </x:c>
    </x:row>
    <x:row r="388" ht="80" customHeight="1">
      <x:c r="A388" s="25" t="str">
        <x:v>JacksonCore</x:v>
      </x:c>
      <x:c r="B388" s="25" t="n">
        <x:v>21</x:v>
      </x:c>
      <x:c r="C388" s="25" t="str">
        <x:v>Round1</x:v>
      </x:c>
      <x:c r="D388" s="25" t="str">
        <x:v>NOT_REVEALING</x:v>
      </x:c>
      <x:c r="E388" s="25" t="str">
        <x:v>N/A</x:v>
      </x:c>
      <x:c r="F388" s="26" t="str">
        <x:v>Same saved validation suite passed on buggy and fixed</x:v>
      </x:c>
      <x:c r="G388" s="25" t="str">
        <x:v>true</x:v>
      </x:c>
      <x:c r="H388" s="25" t="str">
        <x:v>NOT_REVEALING</x:v>
      </x:c>
      <x:c r="I388" s="25" t="str">
        <x:v>PASS</x:v>
      </x:c>
      <x:c r="J388" s="25" t="str">
        <x:v>PASS</x:v>
      </x:c>
      <x:c r="K388" s="25" t="n">
        <x:v>2</x:v>
      </x:c>
      <x:c r="L388" s="27" t="b">
        <x:v>0</x:v>
      </x:c>
      <x:c r="M388" s="25" t="str">
        <x:v>Feedback-Directed Random Test Generation/rounds/Round1/state/JacksonCore.json</x:v>
      </x:c>
      <x:c r="N388" s="25" t="str">
        <x:v>Feedback-Directed Random Test Generation/Result/JacksonCore_21/result.json</x:v>
      </x:c>
      <x:c r="O388" s="25" t="str">
        <x:v>Feedback-Directed Random Test Generation/Result/JacksonCore_21/result.json</x:v>
      </x:c>
      <x:c r="P388"/>
      <x:c r="Q388" s="21" t="str"/>
      <x:c r="R388" s="21" t="str"/>
      <x:c r="S388" s="21" t="str"/>
      <x:c r="T388" s="17" t="str">
        <x:v>false</x:v>
      </x:c>
      <x:c r="U388" s="17" t="str">
        <x:v>true</x:v>
      </x:c>
      <x:c r="V388" s="17" t="str">
        <x:v>false</x:v>
      </x:c>
    </x:row>
    <x:row r="389" ht="80" customHeight="1">
      <x:c r="A389" s="25" t="str">
        <x:v>JacksonCore</x:v>
      </x:c>
      <x:c r="B389" s="25" t="n">
        <x:v>22</x:v>
      </x:c>
      <x:c r="C389" s="25" t="str">
        <x:v>Round1</x:v>
      </x:c>
      <x:c r="D389" s="25" t="str">
        <x:v>NOT_REVEALING</x:v>
      </x:c>
      <x:c r="E389" s="25" t="str">
        <x:v>N/A</x:v>
      </x:c>
      <x:c r="F389" s="26" t="str">
        <x:v>Same saved validation suite passed on buggy and fixed</x:v>
      </x:c>
      <x:c r="G389" s="25" t="str">
        <x:v>true</x:v>
      </x:c>
      <x:c r="H389" s="25" t="str">
        <x:v>NOT_REVEALING</x:v>
      </x:c>
      <x:c r="I389" s="25" t="str">
        <x:v>PASS</x:v>
      </x:c>
      <x:c r="J389" s="25" t="str">
        <x:v>PASS</x:v>
      </x:c>
      <x:c r="K389" s="25" t="n">
        <x:v>2</x:v>
      </x:c>
      <x:c r="L389" s="27" t="b">
        <x:v>0</x:v>
      </x:c>
      <x:c r="M389" s="25" t="str">
        <x:v>Feedback-Directed Random Test Generation/rounds/Round1/state/JacksonCore.json</x:v>
      </x:c>
      <x:c r="N389" s="25" t="str">
        <x:v>Feedback-Directed Random Test Generation/Result/JacksonCore_22/result.json</x:v>
      </x:c>
      <x:c r="O389" s="25" t="str">
        <x:v>Feedback-Directed Random Test Generation/Result/JacksonCore_22/result.json</x:v>
      </x:c>
      <x:c r="P389"/>
      <x:c r="Q389" s="21" t="str"/>
      <x:c r="R389" s="21" t="str"/>
      <x:c r="S389" s="21" t="str"/>
      <x:c r="T389" s="17" t="str">
        <x:v>false</x:v>
      </x:c>
      <x:c r="U389" s="17" t="str">
        <x:v>true</x:v>
      </x:c>
      <x:c r="V389" s="17" t="str">
        <x:v>false</x:v>
      </x:c>
    </x:row>
    <x:row r="390" ht="80" customHeight="1">
      <x:c r="A390" s="25" t="str">
        <x:v>JacksonCore</x:v>
      </x:c>
      <x:c r="B390" s="25" t="n">
        <x:v>23</x:v>
      </x:c>
      <x:c r="C390" s="25" t="str">
        <x:v>Round1</x:v>
      </x:c>
      <x:c r="D390" s="25" t="str">
        <x:v>NOT_REVEALING</x:v>
      </x:c>
      <x:c r="E390" s="25" t="str">
        <x:v>N/A</x:v>
      </x:c>
      <x:c r="F390" s="26" t="str">
        <x:v>Same saved validation suite passed on buggy and fixed</x:v>
      </x:c>
      <x:c r="G390" s="25" t="str">
        <x:v>true</x:v>
      </x:c>
      <x:c r="H390" s="25" t="str">
        <x:v>NOT_REVEALING</x:v>
      </x:c>
      <x:c r="I390" s="25" t="str">
        <x:v>PASS</x:v>
      </x:c>
      <x:c r="J390" s="25" t="str">
        <x:v>PASS</x:v>
      </x:c>
      <x:c r="K390" s="25" t="n">
        <x:v>2</x:v>
      </x:c>
      <x:c r="L390" s="27" t="b">
        <x:v>0</x:v>
      </x:c>
      <x:c r="M390" s="25" t="str">
        <x:v>Feedback-Directed Random Test Generation/rounds/Round1/state/JacksonCore.json</x:v>
      </x:c>
      <x:c r="N390" s="25" t="str">
        <x:v>Feedback-Directed Random Test Generation/Result/JacksonCore_23/result.json</x:v>
      </x:c>
      <x:c r="O390" s="25" t="str">
        <x:v>Feedback-Directed Random Test Generation/Result/JacksonCore_23/result.json</x:v>
      </x:c>
      <x:c r="P390"/>
      <x:c r="Q390" s="21" t="str"/>
      <x:c r="R390" s="21" t="str"/>
      <x:c r="S390" s="21" t="str"/>
      <x:c r="T390" s="17" t="str">
        <x:v>false</x:v>
      </x:c>
      <x:c r="U390" s="17" t="str">
        <x:v>true</x:v>
      </x:c>
      <x:c r="V390" s="17" t="str">
        <x:v>false</x:v>
      </x:c>
    </x:row>
    <x:row r="391" ht="80" customHeight="1">
      <x:c r="A391" s="25" t="str">
        <x:v>JacksonCore</x:v>
      </x:c>
      <x:c r="B391" s="25" t="n">
        <x:v>24</x:v>
      </x:c>
      <x:c r="C391" s="25" t="str">
        <x:v>Round1</x:v>
      </x:c>
      <x:c r="D391" s="25" t="str">
        <x:v>NOT_REVEALING</x:v>
      </x:c>
      <x:c r="E391" s="25" t="str">
        <x:v>N/A</x:v>
      </x:c>
      <x:c r="F391" s="26" t="str">
        <x:v>Same saved validation suite passed on buggy and fixed</x:v>
      </x:c>
      <x:c r="G391" s="25" t="str">
        <x:v>true</x:v>
      </x:c>
      <x:c r="H391" s="25" t="str">
        <x:v>NOT_REVEALING</x:v>
      </x:c>
      <x:c r="I391" s="25" t="str">
        <x:v>PASS</x:v>
      </x:c>
      <x:c r="J391" s="25" t="str">
        <x:v>PASS</x:v>
      </x:c>
      <x:c r="K391" s="25" t="n">
        <x:v>2</x:v>
      </x:c>
      <x:c r="L391" s="27" t="b">
        <x:v>0</x:v>
      </x:c>
      <x:c r="M391" s="25" t="str">
        <x:v>Feedback-Directed Random Test Generation/rounds/Round1/state/JacksonCore.json</x:v>
      </x:c>
      <x:c r="N391" s="25" t="str">
        <x:v>Feedback-Directed Random Test Generation/Result/JacksonCore_24/result.json</x:v>
      </x:c>
      <x:c r="O391" s="25" t="str">
        <x:v>Feedback-Directed Random Test Generation/Result/JacksonCore_24/result.json</x:v>
      </x:c>
      <x:c r="P391"/>
      <x:c r="Q391" s="21" t="str"/>
      <x:c r="R391" s="21" t="str"/>
      <x:c r="S391" s="21" t="str"/>
      <x:c r="T391" s="17" t="str">
        <x:v>false</x:v>
      </x:c>
      <x:c r="U391" s="17" t="str">
        <x:v>true</x:v>
      </x:c>
      <x:c r="V391" s="17" t="str">
        <x:v>false</x:v>
      </x:c>
    </x:row>
    <x:row r="392" ht="80" customHeight="1">
      <x:c r="A392" s="25" t="str">
        <x:v>JacksonCore</x:v>
      </x:c>
      <x:c r="B392" s="25" t="n">
        <x:v>25</x:v>
      </x:c>
      <x:c r="C392" s="25" t="str">
        <x:v>Round1</x:v>
      </x:c>
      <x:c r="D392" s="25" t="str">
        <x:v>NOT_REVEALING</x:v>
      </x:c>
      <x:c r="E392" s="25" t="str">
        <x:v>N/A</x:v>
      </x:c>
      <x:c r="F392" s="26" t="str">
        <x:v>Same saved validation suite passed on buggy and fixed</x:v>
      </x:c>
      <x:c r="G392" s="25" t="str">
        <x:v>true</x:v>
      </x:c>
      <x:c r="H392" s="25" t="str">
        <x:v>NOT_REVEALING</x:v>
      </x:c>
      <x:c r="I392" s="25" t="str">
        <x:v>PASS</x:v>
      </x:c>
      <x:c r="J392" s="25" t="str">
        <x:v>PASS</x:v>
      </x:c>
      <x:c r="K392" s="25" t="n">
        <x:v>2</x:v>
      </x:c>
      <x:c r="L392" s="27" t="b">
        <x:v>0</x:v>
      </x:c>
      <x:c r="M392" s="25" t="str">
        <x:v>Feedback-Directed Random Test Generation/rounds/Round1/state/JacksonCore.json</x:v>
      </x:c>
      <x:c r="N392" s="25" t="str">
        <x:v>Feedback-Directed Random Test Generation/Result/JacksonCore_25/result.json</x:v>
      </x:c>
      <x:c r="O392" s="25" t="str">
        <x:v>Feedback-Directed Random Test Generation/Result/JacksonCore_25/result.json</x:v>
      </x:c>
      <x:c r="P392"/>
      <x:c r="Q392" s="21" t="str"/>
      <x:c r="R392" s="21" t="str"/>
      <x:c r="S392" s="21" t="str"/>
      <x:c r="T392" s="17" t="str">
        <x:v>false</x:v>
      </x:c>
      <x:c r="U392" s="17" t="str">
        <x:v>true</x:v>
      </x:c>
      <x:c r="V392" s="17" t="str">
        <x:v>false</x:v>
      </x:c>
    </x:row>
    <x:row r="393" ht="80" customHeight="1">
      <x:c r="A393" s="25" t="str">
        <x:v>JacksonCore</x:v>
      </x:c>
      <x:c r="B393" s="25" t="n">
        <x:v>26</x:v>
      </x:c>
      <x:c r="C393" s="25" t="str">
        <x:v>Round1</x:v>
      </x:c>
      <x:c r="D393" s="25" t="str">
        <x:v>NOT_REVEALING</x:v>
      </x:c>
      <x:c r="E393" s="25" t="str">
        <x:v>N/A</x:v>
      </x:c>
      <x:c r="F393" s="26" t="str">
        <x:v>Same saved validation suite passed on buggy and fixed</x:v>
      </x:c>
      <x:c r="G393" s="25" t="str">
        <x:v>true</x:v>
      </x:c>
      <x:c r="H393" s="25" t="str">
        <x:v>NOT_REVEALING</x:v>
      </x:c>
      <x:c r="I393" s="25" t="str">
        <x:v>PASS</x:v>
      </x:c>
      <x:c r="J393" s="25" t="str">
        <x:v>PASS</x:v>
      </x:c>
      <x:c r="K393" s="25" t="n">
        <x:v>2</x:v>
      </x:c>
      <x:c r="L393" s="27" t="b">
        <x:v>0</x:v>
      </x:c>
      <x:c r="M393" s="25" t="str">
        <x:v>Feedback-Directed Random Test Generation/rounds/Round1/state/JacksonCore.json</x:v>
      </x:c>
      <x:c r="N393" s="25" t="str">
        <x:v>Feedback-Directed Random Test Generation/Result/JacksonCore_26/result.json</x:v>
      </x:c>
      <x:c r="O393" s="25" t="str">
        <x:v>Feedback-Directed Random Test Generation/Result/JacksonCore_26/result.json</x:v>
      </x:c>
      <x:c r="P393"/>
      <x:c r="Q393" s="21" t="str"/>
      <x:c r="R393" s="21" t="str"/>
      <x:c r="S393" s="21" t="str"/>
      <x:c r="T393" s="17" t="str">
        <x:v>false</x:v>
      </x:c>
      <x:c r="U393" s="17" t="str">
        <x:v>true</x:v>
      </x:c>
      <x:c r="V393" s="17" t="str">
        <x:v>false</x:v>
      </x:c>
    </x:row>
    <x:row r="394" ht="80" customHeight="1">
      <x:c r="A394" s="25" t="str">
        <x:v>JacksonDatabind</x:v>
      </x:c>
      <x:c r="B394" s="25" t="n">
        <x:v>1</x:v>
      </x:c>
      <x:c r="C394" s="25" t="str">
        <x:v>Round1</x:v>
      </x:c>
      <x:c r="D394" s="25" t="str">
        <x:v>NOT_REVEALING</x:v>
      </x:c>
      <x:c r="E394" s="25" t="str">
        <x:v>N/A</x:v>
      </x:c>
      <x:c r="F394" s="26" t="str">
        <x:v>Same saved validation suite passed on buggy and fixed</x:v>
      </x:c>
      <x:c r="G394" s="25" t="str">
        <x:v>true</x:v>
      </x:c>
      <x:c r="H394" s="25" t="str">
        <x:v>NOT_REVEALING</x:v>
      </x:c>
      <x:c r="I394" s="25" t="str">
        <x:v>PASS</x:v>
      </x:c>
      <x:c r="J394" s="25" t="str">
        <x:v>PASS</x:v>
      </x:c>
      <x:c r="K394" s="25" t="n">
        <x:v>2</x:v>
      </x:c>
      <x:c r="L394" s="27" t="b">
        <x:v>0</x:v>
      </x:c>
      <x:c r="M394" s="25" t="str">
        <x:v>Feedback-Directed Random Test Generation/rounds/Round1/state/JacksonDatabind.json</x:v>
      </x:c>
      <x:c r="N394" s="25" t="str">
        <x:v>Feedback-Directed Random Test Generation/Result/JacksonDatabind_1/result.json</x:v>
      </x:c>
      <x:c r="O394" s="25" t="str">
        <x:v>Feedback-Directed Random Test Generation/Result/JacksonDatabind_1/result.json</x:v>
      </x:c>
      <x:c r="P394"/>
      <x:c r="Q394" s="21" t="str"/>
      <x:c r="R394" s="21" t="str"/>
      <x:c r="S394" s="21" t="str"/>
      <x:c r="T394" s="17" t="str">
        <x:v>false</x:v>
      </x:c>
      <x:c r="U394" s="17" t="str">
        <x:v>true</x:v>
      </x:c>
      <x:c r="V394" s="17" t="str">
        <x:v>false</x:v>
      </x:c>
    </x:row>
    <x:row r="395" ht="80" customHeight="1">
      <x:c r="A395" s="25" t="str">
        <x:v>JacksonDatabind</x:v>
      </x:c>
      <x:c r="B395" s="25" t="n">
        <x:v>2</x:v>
      </x:c>
      <x:c r="C395" s="25" t="str">
        <x:v>Round1</x:v>
      </x:c>
      <x:c r="D395" s="25" t="str">
        <x:v>INCONCLUSIVE</x:v>
      </x:c>
      <x:c r="E395" s="25" t="str">
        <x:v>N/A</x:v>
      </x:c>
      <x:c r="F395" s="26" t="str">
        <x:v>Fixed also failed; assertion failure cannot be attributed to this bug</x:v>
      </x:c>
      <x:c r="G395" s="25" t="str">
        <x:v>true</x:v>
      </x:c>
      <x:c r="H395" s="25" t="str">
        <x:v>INCONCLUSIVE</x:v>
      </x:c>
      <x:c r="I395" s="25" t="str">
        <x:v>PASS</x:v>
      </x:c>
      <x:c r="J395" s="25" t="str">
        <x:v>FAIL</x:v>
      </x:c>
      <x:c r="K395" s="25" t="n">
        <x:v>11</x:v>
      </x:c>
      <x:c r="L395" s="27" t="b">
        <x:v>0</x:v>
      </x:c>
      <x:c r="M395" s="25" t="str">
        <x:v>Feedback-Directed Random Test Generation/rounds/Round1/state/JacksonDatabind.json</x:v>
      </x:c>
      <x:c r="N395" s="25" t="str">
        <x:v>Feedback-Directed Random Test Generation/Result/JacksonDatabind_2/result.json</x:v>
      </x:c>
      <x:c r="O395" s="25" t="str">
        <x:v>Feedback-Directed Random Test Generation/Result/JacksonDatabind_2/result.json</x:v>
      </x:c>
      <x:c r="P395"/>
      <x:c r="Q395" s="21" t="str"/>
      <x:c r="R395" s="21" t="str"/>
      <x:c r="S395" s="21" t="str"/>
      <x:c r="T395" s="17" t="str">
        <x:v>false</x:v>
      </x:c>
      <x:c r="U395" s="17" t="str">
        <x:v>true</x:v>
      </x:c>
      <x:c r="V395" s="17" t="str">
        <x:v>false</x:v>
      </x:c>
    </x:row>
    <x:row r="396" ht="80" customHeight="1">
      <x:c r="A396" s="25" t="str">
        <x:v>JacksonDatabind</x:v>
      </x:c>
      <x:c r="B396" s="25" t="n">
        <x:v>3</x:v>
      </x:c>
      <x:c r="C396" s="25" t="str">
        <x:v>Round1</x:v>
      </x:c>
      <x:c r="D396" s="25" t="str">
        <x:v>NOT_REVEALING</x:v>
      </x:c>
      <x:c r="E396" s="25" t="str">
        <x:v>N/A</x:v>
      </x:c>
      <x:c r="F396" s="26" t="str">
        <x:v>Same saved validation suite passed on buggy and fixed</x:v>
      </x:c>
      <x:c r="G396" s="25" t="str">
        <x:v>true</x:v>
      </x:c>
      <x:c r="H396" s="25" t="str">
        <x:v>NOT_REVEALING</x:v>
      </x:c>
      <x:c r="I396" s="25" t="str">
        <x:v>PASS</x:v>
      </x:c>
      <x:c r="J396" s="25" t="str">
        <x:v>PASS</x:v>
      </x:c>
      <x:c r="K396" s="25" t="n">
        <x:v>8</x:v>
      </x:c>
      <x:c r="L396" s="27" t="b">
        <x:v>0</x:v>
      </x:c>
      <x:c r="M396" s="25" t="str">
        <x:v>Feedback-Directed Random Test Generation/rounds/Round1/state/JacksonDatabind.json</x:v>
      </x:c>
      <x:c r="N396" s="25" t="str">
        <x:v>Feedback-Directed Random Test Generation/Result/JacksonDatabind_3/result.json</x:v>
      </x:c>
      <x:c r="O396" s="25" t="str">
        <x:v>Feedback-Directed Random Test Generation/Result/JacksonDatabind_3/result.json</x:v>
      </x:c>
      <x:c r="P396"/>
      <x:c r="Q396" s="21" t="str"/>
      <x:c r="R396" s="21" t="str"/>
      <x:c r="S396" s="21" t="str"/>
      <x:c r="T396" s="17" t="str">
        <x:v>false</x:v>
      </x:c>
      <x:c r="U396" s="17" t="str">
        <x:v>true</x:v>
      </x:c>
      <x:c r="V396" s="17" t="str">
        <x:v>false</x:v>
      </x:c>
    </x:row>
    <x:row r="397" ht="80" customHeight="1">
      <x:c r="A397" s="25" t="str">
        <x:v>JacksonDatabind</x:v>
      </x:c>
      <x:c r="B397" s="25" t="n">
        <x:v>4</x:v>
      </x:c>
      <x:c r="C397" s="25" t="str">
        <x:v>Round1</x:v>
      </x:c>
      <x:c r="D397" s="25" t="str">
        <x:v>NOT_REVEALING</x:v>
      </x:c>
      <x:c r="E397" s="25" t="str">
        <x:v>N/A</x:v>
      </x:c>
      <x:c r="F397" s="26" t="str">
        <x:v>Same saved validation suite passed on buggy and fixed</x:v>
      </x:c>
      <x:c r="G397" s="25" t="str">
        <x:v>true</x:v>
      </x:c>
      <x:c r="H397" s="25" t="str">
        <x:v>NOT_REVEALING</x:v>
      </x:c>
      <x:c r="I397" s="25" t="str">
        <x:v>PASS</x:v>
      </x:c>
      <x:c r="J397" s="25" t="str">
        <x:v>PASS</x:v>
      </x:c>
      <x:c r="K397" s="25" t="n">
        <x:v>8</x:v>
      </x:c>
      <x:c r="L397" s="27" t="b">
        <x:v>0</x:v>
      </x:c>
      <x:c r="M397" s="25" t="str">
        <x:v>Feedback-Directed Random Test Generation/rounds/Round1/state/JacksonDatabind.json</x:v>
      </x:c>
      <x:c r="N397" s="25" t="str">
        <x:v>Feedback-Directed Random Test Generation/Result/JacksonDatabind_4/result.json</x:v>
      </x:c>
      <x:c r="O397" s="25" t="str">
        <x:v>Feedback-Directed Random Test Generation/Result/JacksonDatabind_4/result.json</x:v>
      </x:c>
      <x:c r="P397"/>
      <x:c r="Q397" s="21" t="str"/>
      <x:c r="R397" s="21" t="str"/>
      <x:c r="S397" s="21" t="str"/>
      <x:c r="T397" s="17" t="str">
        <x:v>false</x:v>
      </x:c>
      <x:c r="U397" s="17" t="str">
        <x:v>true</x:v>
      </x:c>
      <x:c r="V397" s="17" t="str">
        <x:v>false</x:v>
      </x:c>
    </x:row>
    <x:row r="398" ht="80" customHeight="1">
      <x:c r="A398" s="25" t="str">
        <x:v>JacksonDatabind</x:v>
      </x:c>
      <x:c r="B398" s="25" t="n">
        <x:v>5</x:v>
      </x:c>
      <x:c r="C398" s="25" t="str">
        <x:v>Round1</x:v>
      </x:c>
      <x:c r="D398" s="25" t="str">
        <x:v>NOT_REVEALING</x:v>
      </x:c>
      <x:c r="E398" s="25" t="str">
        <x:v>N/A</x:v>
      </x:c>
      <x:c r="F398" s="26" t="str">
        <x:v>Same saved validation suite passed on buggy and fixed</x:v>
      </x:c>
      <x:c r="G398" s="25" t="str">
        <x:v>true</x:v>
      </x:c>
      <x:c r="H398" s="25" t="str">
        <x:v>NOT_REVEALING</x:v>
      </x:c>
      <x:c r="I398" s="25" t="str">
        <x:v>PASS</x:v>
      </x:c>
      <x:c r="J398" s="25" t="str">
        <x:v>PASS</x:v>
      </x:c>
      <x:c r="K398" s="25" t="n">
        <x:v>2</x:v>
      </x:c>
      <x:c r="L398" s="27" t="b">
        <x:v>0</x:v>
      </x:c>
      <x:c r="M398" s="25" t="str">
        <x:v>Feedback-Directed Random Test Generation/rounds/Round1/state/JacksonDatabind.json</x:v>
      </x:c>
      <x:c r="N398" s="25" t="str">
        <x:v>Feedback-Directed Random Test Generation/Result/JacksonDatabind_5/result.json</x:v>
      </x:c>
      <x:c r="O398" s="25" t="str">
        <x:v>Feedback-Directed Random Test Generation/Result/JacksonDatabind_5/result.json</x:v>
      </x:c>
      <x:c r="P398"/>
      <x:c r="Q398" s="21" t="str"/>
      <x:c r="R398" s="21" t="str"/>
      <x:c r="S398" s="21" t="str"/>
      <x:c r="T398" s="17" t="str">
        <x:v>false</x:v>
      </x:c>
      <x:c r="U398" s="17" t="str">
        <x:v>true</x:v>
      </x:c>
      <x:c r="V398" s="17" t="str">
        <x:v>false</x:v>
      </x:c>
    </x:row>
    <x:row r="399" ht="80" customHeight="1">
      <x:c r="A399" s="25" t="str">
        <x:v>JacksonDatabind</x:v>
      </x:c>
      <x:c r="B399" s="25" t="n">
        <x:v>6</x:v>
      </x:c>
      <x:c r="C399" s="25" t="str">
        <x:v>Round1</x:v>
      </x:c>
      <x:c r="D399" s="25" t="str">
        <x:v>INCONCLUSIVE</x:v>
      </x:c>
      <x:c r="E399" s="25" t="str">
        <x:v>N/A</x:v>
      </x:c>
      <x:c r="F399" s="26" t="str">
        <x:v>Fixed also failed; assertion failure cannot be attributed to this bug; Assertions failed with measured coverage; paired execution and stage checks determine status</x:v>
      </x:c>
      <x:c r="G399" s="25" t="str">
        <x:v>true</x:v>
      </x:c>
      <x:c r="H399" s="25" t="str">
        <x:v>INCONCLUSIVE</x:v>
      </x:c>
      <x:c r="I399" s="25" t="str">
        <x:v>FAIL</x:v>
      </x:c>
      <x:c r="J399" s="25" t="str">
        <x:v>FAIL</x:v>
      </x:c>
      <x:c r="K399" s="25" t="n">
        <x:v>11</x:v>
      </x:c>
      <x:c r="L399" s="27" t="b">
        <x:v>0</x:v>
      </x:c>
      <x:c r="M399" s="25" t="str">
        <x:v>Feedback-Directed Random Test Generation/rounds/Round1/state/JacksonDatabind.json</x:v>
      </x:c>
      <x:c r="N399" s="25" t="str">
        <x:v>Feedback-Directed Random Test Generation/Result/JacksonDatabind_6/result.json</x:v>
      </x:c>
      <x:c r="O399" s="25" t="str">
        <x:v>Feedback-Directed Random Test Generation/Result/JacksonDatabind_6/result.json</x:v>
      </x:c>
      <x:c r="P399"/>
      <x:c r="Q399" s="21" t="str"/>
      <x:c r="R399" s="21" t="str"/>
      <x:c r="S399" s="21" t="str"/>
      <x:c r="T399" s="17" t="str">
        <x:v>false</x:v>
      </x:c>
      <x:c r="U399" s="17" t="str">
        <x:v>true</x:v>
      </x:c>
      <x:c r="V399" s="17" t="str">
        <x:v>false</x:v>
      </x:c>
    </x:row>
    <x:row r="400" ht="80" customHeight="1">
      <x:c r="A400" s="25" t="str">
        <x:v>JacksonDatabind</x:v>
      </x:c>
      <x:c r="B400" s="25" t="n">
        <x:v>7</x:v>
      </x:c>
      <x:c r="C400" s="25" t="str">
        <x:v>Round1</x:v>
      </x:c>
      <x:c r="D400" s="25" t="str">
        <x:v>NOT_REVEALING</x:v>
      </x:c>
      <x:c r="E400" s="25" t="str">
        <x:v>N/A</x:v>
      </x:c>
      <x:c r="F400" s="26" t="str">
        <x:v>Same saved validation suite passed on buggy and fixed</x:v>
      </x:c>
      <x:c r="G400" s="25" t="str">
        <x:v>true</x:v>
      </x:c>
      <x:c r="H400" s="25" t="str">
        <x:v>NOT_REVEALING</x:v>
      </x:c>
      <x:c r="I400" s="25" t="str">
        <x:v>PASS</x:v>
      </x:c>
      <x:c r="J400" s="25" t="str">
        <x:v>PASS</x:v>
      </x:c>
      <x:c r="K400" s="25" t="n">
        <x:v>11</x:v>
      </x:c>
      <x:c r="L400" s="27" t="b">
        <x:v>0</x:v>
      </x:c>
      <x:c r="M400" s="25" t="str">
        <x:v>Feedback-Directed Random Test Generation/rounds/Round1/state/JacksonDatabind.json</x:v>
      </x:c>
      <x:c r="N400" s="25" t="str">
        <x:v>Feedback-Directed Random Test Generation/Result/JacksonDatabind_7/result.json</x:v>
      </x:c>
      <x:c r="O400" s="25" t="str">
        <x:v>Feedback-Directed Random Test Generation/Result/JacksonDatabind_7/result.json</x:v>
      </x:c>
      <x:c r="P400"/>
      <x:c r="Q400" s="21" t="str"/>
      <x:c r="R400" s="21" t="str"/>
      <x:c r="S400" s="21" t="str"/>
      <x:c r="T400" s="17" t="str">
        <x:v>false</x:v>
      </x:c>
      <x:c r="U400" s="17" t="str">
        <x:v>true</x:v>
      </x:c>
      <x:c r="V400" s="17" t="str">
        <x:v>false</x:v>
      </x:c>
    </x:row>
    <x:row r="401" ht="80" customHeight="1">
      <x:c r="A401" s="25" t="str">
        <x:v>JacksonDatabind</x:v>
      </x:c>
      <x:c r="B401" s="25" t="n">
        <x:v>8</x:v>
      </x:c>
      <x:c r="C401" s="25" t="str">
        <x:v>Round1</x:v>
      </x:c>
      <x:c r="D401" s="25" t="str">
        <x:v>NOT_REVEALING</x:v>
      </x:c>
      <x:c r="E401" s="25" t="str">
        <x:v>N/A</x:v>
      </x:c>
      <x:c r="F401" s="26" t="str">
        <x:v>Same saved validation suite passed on buggy and fixed</x:v>
      </x:c>
      <x:c r="G401" s="25" t="str">
        <x:v>true</x:v>
      </x:c>
      <x:c r="H401" s="25" t="str">
        <x:v>NOT_REVEALING</x:v>
      </x:c>
      <x:c r="I401" s="25" t="str">
        <x:v>PASS</x:v>
      </x:c>
      <x:c r="J401" s="25" t="str">
        <x:v>PASS</x:v>
      </x:c>
      <x:c r="K401" s="25" t="n">
        <x:v>8</x:v>
      </x:c>
      <x:c r="L401" s="27" t="b">
        <x:v>0</x:v>
      </x:c>
      <x:c r="M401" s="25" t="str">
        <x:v>Feedback-Directed Random Test Generation/rounds/Round1/state/JacksonDatabind.json</x:v>
      </x:c>
      <x:c r="N401" s="25" t="str">
        <x:v>Feedback-Directed Random Test Generation/Result/JacksonDatabind_8/result.json</x:v>
      </x:c>
      <x:c r="O401" s="25" t="str">
        <x:v>Feedback-Directed Random Test Generation/Result/JacksonDatabind_8/result.json</x:v>
      </x:c>
      <x:c r="P401"/>
      <x:c r="Q401" s="21" t="str"/>
      <x:c r="R401" s="21" t="str"/>
      <x:c r="S401" s="21" t="str"/>
      <x:c r="T401" s="17" t="str">
        <x:v>false</x:v>
      </x:c>
      <x:c r="U401" s="17" t="str">
        <x:v>true</x:v>
      </x:c>
      <x:c r="V401" s="17" t="str">
        <x:v>false</x:v>
      </x:c>
    </x:row>
    <x:row r="402" ht="80" customHeight="1">
      <x:c r="A402" s="25" t="str">
        <x:v>JacksonDatabind</x:v>
      </x:c>
      <x:c r="B402" s="25" t="n">
        <x:v>9</x:v>
      </x:c>
      <x:c r="C402" s="25" t="str">
        <x:v>Round1</x:v>
      </x:c>
      <x:c r="D402" s="25" t="str">
        <x:v>NOT_REVEALING</x:v>
      </x:c>
      <x:c r="E402" s="25" t="str">
        <x:v>N/A</x:v>
      </x:c>
      <x:c r="F402" s="26" t="str">
        <x:v>Same saved validation suite passed on buggy and fixed</x:v>
      </x:c>
      <x:c r="G402" s="25" t="str">
        <x:v>true</x:v>
      </x:c>
      <x:c r="H402" s="25" t="str">
        <x:v>NOT_REVEALING</x:v>
      </x:c>
      <x:c r="I402" s="25" t="str">
        <x:v>PASS</x:v>
      </x:c>
      <x:c r="J402" s="25" t="str">
        <x:v>PASS</x:v>
      </x:c>
      <x:c r="K402" s="25" t="n">
        <x:v>2</x:v>
      </x:c>
      <x:c r="L402" s="27" t="b">
        <x:v>0</x:v>
      </x:c>
      <x:c r="M402" s="25" t="str">
        <x:v>Feedback-Directed Random Test Generation/rounds/Round1/state/JacksonDatabind.json</x:v>
      </x:c>
      <x:c r="N402" s="25" t="str">
        <x:v>Feedback-Directed Random Test Generation/Result/JacksonDatabind_9/result.json</x:v>
      </x:c>
      <x:c r="O402" s="25" t="str">
        <x:v>Feedback-Directed Random Test Generation/Result/JacksonDatabind_9/result.json</x:v>
      </x:c>
      <x:c r="P402"/>
      <x:c r="Q402" s="21" t="str"/>
      <x:c r="R402" s="21" t="str"/>
      <x:c r="S402" s="21" t="str"/>
      <x:c r="T402" s="17" t="str">
        <x:v>false</x:v>
      </x:c>
      <x:c r="U402" s="17" t="str">
        <x:v>true</x:v>
      </x:c>
      <x:c r="V402" s="17" t="str">
        <x:v>false</x:v>
      </x:c>
    </x:row>
    <x:row r="403" ht="80" customHeight="1">
      <x:c r="A403" s="25" t="str">
        <x:v>JacksonDatabind</x:v>
      </x:c>
      <x:c r="B403" s="25" t="n">
        <x:v>10</x:v>
      </x:c>
      <x:c r="C403" s="25" t="str">
        <x:v>Round1</x:v>
      </x:c>
      <x:c r="D403" s="25" t="str">
        <x:v>INCONCLUSIVE</x:v>
      </x:c>
      <x:c r="E403" s="25" t="str">
        <x:v>N/A</x:v>
      </x:c>
      <x:c r="F403" s="26" t="str">
        <x:v>Fixed also failed; assertion failure cannot be attributed to this bug</x:v>
      </x:c>
      <x:c r="G403" s="25" t="str">
        <x:v>true</x:v>
      </x:c>
      <x:c r="H403" s="25" t="str">
        <x:v>INCONCLUSIVE</x:v>
      </x:c>
      <x:c r="I403" s="25" t="str">
        <x:v>PASS</x:v>
      </x:c>
      <x:c r="J403" s="25" t="str">
        <x:v>FAIL</x:v>
      </x:c>
      <x:c r="K403" s="25" t="n">
        <x:v>4</x:v>
      </x:c>
      <x:c r="L403" s="27" t="b">
        <x:v>0</x:v>
      </x:c>
      <x:c r="M403" s="25" t="str">
        <x:v>Feedback-Directed Random Test Generation/rounds/Round1/state/JacksonDatabind.json</x:v>
      </x:c>
      <x:c r="N403" s="25" t="str">
        <x:v>Feedback-Directed Random Test Generation/Result/JacksonDatabind_10/result.json</x:v>
      </x:c>
      <x:c r="O403" s="25" t="str">
        <x:v>Feedback-Directed Random Test Generation/Result/JacksonDatabind_10/result.json</x:v>
      </x:c>
      <x:c r="P403"/>
      <x:c r="Q403" s="21" t="str"/>
      <x:c r="R403" s="21" t="str"/>
      <x:c r="S403" s="21" t="str"/>
      <x:c r="T403" s="17" t="str">
        <x:v>false</x:v>
      </x:c>
      <x:c r="U403" s="17" t="str">
        <x:v>true</x:v>
      </x:c>
      <x:c r="V403" s="17" t="str">
        <x:v>false</x:v>
      </x:c>
    </x:row>
    <x:row r="404" ht="80" customHeight="1">
      <x:c r="A404" s="25" t="str">
        <x:v>JacksonDatabind</x:v>
      </x:c>
      <x:c r="B404" s="25" t="n">
        <x:v>11</x:v>
      </x:c>
      <x:c r="C404" s="25" t="str">
        <x:v>Round1</x:v>
      </x:c>
      <x:c r="D404" s="25" t="str">
        <x:v>NOT_REVEALING</x:v>
      </x:c>
      <x:c r="E404" s="25" t="str">
        <x:v>N/A</x:v>
      </x:c>
      <x:c r="F404" s="26" t="str">
        <x:v>Same saved validation suite passed on buggy and fixed</x:v>
      </x:c>
      <x:c r="G404" s="25" t="str">
        <x:v>true</x:v>
      </x:c>
      <x:c r="H404" s="25" t="str">
        <x:v>NOT_REVEALING</x:v>
      </x:c>
      <x:c r="I404" s="25" t="str">
        <x:v>PASS</x:v>
      </x:c>
      <x:c r="J404" s="25" t="str">
        <x:v>PASS</x:v>
      </x:c>
      <x:c r="K404" s="25" t="n">
        <x:v>2</x:v>
      </x:c>
      <x:c r="L404" s="27" t="b">
        <x:v>0</x:v>
      </x:c>
      <x:c r="M404" s="25" t="str">
        <x:v>Feedback-Directed Random Test Generation/rounds/Round1/state/JacksonDatabind.json</x:v>
      </x:c>
      <x:c r="N404" s="25" t="str">
        <x:v>Feedback-Directed Random Test Generation/Result/JacksonDatabind_11/result.json</x:v>
      </x:c>
      <x:c r="O404" s="25" t="str">
        <x:v>Feedback-Directed Random Test Generation/Result/JacksonDatabind_11/result.json</x:v>
      </x:c>
      <x:c r="P404"/>
      <x:c r="Q404" s="21" t="str"/>
      <x:c r="R404" s="21" t="str"/>
      <x:c r="S404" s="21" t="str"/>
      <x:c r="T404" s="17" t="str">
        <x:v>false</x:v>
      </x:c>
      <x:c r="U404" s="17" t="str">
        <x:v>true</x:v>
      </x:c>
      <x:c r="V404" s="17" t="str">
        <x:v>false</x:v>
      </x:c>
    </x:row>
    <x:row r="405" ht="80" customHeight="1">
      <x:c r="A405" s="25" t="str">
        <x:v>JacksonDatabind</x:v>
      </x:c>
      <x:c r="B405" s="25" t="n">
        <x:v>12</x:v>
      </x:c>
      <x:c r="C405" s="25" t="str">
        <x:v>Round1</x:v>
      </x:c>
      <x:c r="D405" s="25" t="str">
        <x:v>NOT_REVEALING</x:v>
      </x:c>
      <x:c r="E405" s="25" t="str">
        <x:v>N/A</x:v>
      </x:c>
      <x:c r="F405" s="26" t="str">
        <x:v>Same saved validation suite passed on buggy and fixed</x:v>
      </x:c>
      <x:c r="G405" s="25" t="str">
        <x:v>true</x:v>
      </x:c>
      <x:c r="H405" s="25" t="str">
        <x:v>NOT_REVEALING</x:v>
      </x:c>
      <x:c r="I405" s="25" t="str">
        <x:v>PASS</x:v>
      </x:c>
      <x:c r="J405" s="25" t="str">
        <x:v>PASS</x:v>
      </x:c>
      <x:c r="K405" s="25" t="n">
        <x:v>2</x:v>
      </x:c>
      <x:c r="L405" s="27" t="b">
        <x:v>0</x:v>
      </x:c>
      <x:c r="M405" s="25" t="str">
        <x:v>Feedback-Directed Random Test Generation/rounds/Round1/state/JacksonDatabind.json</x:v>
      </x:c>
      <x:c r="N405" s="25" t="str">
        <x:v>Feedback-Directed Random Test Generation/Result/JacksonDatabind_12/result.json</x:v>
      </x:c>
      <x:c r="O405" s="25" t="str">
        <x:v>Feedback-Directed Random Test Generation/Result/JacksonDatabind_12/result.json</x:v>
      </x:c>
      <x:c r="P405"/>
      <x:c r="Q405" s="21" t="str"/>
      <x:c r="R405" s="21" t="str"/>
      <x:c r="S405" s="21" t="str"/>
      <x:c r="T405" s="17" t="str">
        <x:v>false</x:v>
      </x:c>
      <x:c r="U405" s="17" t="str">
        <x:v>true</x:v>
      </x:c>
      <x:c r="V405" s="17" t="str">
        <x:v>false</x:v>
      </x:c>
    </x:row>
    <x:row r="406" ht="80" customHeight="1">
      <x:c r="A406" s="25" t="str">
        <x:v>JacksonDatabind</x:v>
      </x:c>
      <x:c r="B406" s="25" t="n">
        <x:v>13</x:v>
      </x:c>
      <x:c r="C406" s="25" t="str">
        <x:v>Round1</x:v>
      </x:c>
      <x:c r="D406" s="25" t="str">
        <x:v>NOT_REVEALING</x:v>
      </x:c>
      <x:c r="E406" s="25" t="str">
        <x:v>N/A</x:v>
      </x:c>
      <x:c r="F406" s="26" t="str">
        <x:v>Same saved validation suite passed on buggy and fixed</x:v>
      </x:c>
      <x:c r="G406" s="25" t="str">
        <x:v>true</x:v>
      </x:c>
      <x:c r="H406" s="25" t="str">
        <x:v>NOT_REVEALING</x:v>
      </x:c>
      <x:c r="I406" s="25" t="str">
        <x:v>PASS</x:v>
      </x:c>
      <x:c r="J406" s="25" t="str">
        <x:v>PASS</x:v>
      </x:c>
      <x:c r="K406" s="25" t="n">
        <x:v>2</x:v>
      </x:c>
      <x:c r="L406" s="27" t="b">
        <x:v>0</x:v>
      </x:c>
      <x:c r="M406" s="25" t="str">
        <x:v>Feedback-Directed Random Test Generation/rounds/Round1/state/JacksonDatabind.json</x:v>
      </x:c>
      <x:c r="N406" s="25" t="str">
        <x:v>Feedback-Directed Random Test Generation/Result/JacksonDatabind_13/result.json</x:v>
      </x:c>
      <x:c r="O406" s="25" t="str">
        <x:v>Feedback-Directed Random Test Generation/Result/JacksonDatabind_13/result.json</x:v>
      </x:c>
      <x:c r="P406"/>
      <x:c r="Q406" s="21" t="str"/>
      <x:c r="R406" s="21" t="str"/>
      <x:c r="S406" s="21" t="str"/>
      <x:c r="T406" s="17" t="str">
        <x:v>false</x:v>
      </x:c>
      <x:c r="U406" s="17" t="str">
        <x:v>true</x:v>
      </x:c>
      <x:c r="V406" s="17" t="str">
        <x:v>false</x:v>
      </x:c>
    </x:row>
    <x:row r="407" ht="80" customHeight="1">
      <x:c r="A407" s="25" t="str">
        <x:v>JacksonDatabind</x:v>
      </x:c>
      <x:c r="B407" s="25" t="n">
        <x:v>14</x:v>
      </x:c>
      <x:c r="C407" s="25" t="str">
        <x:v>Round1</x:v>
      </x:c>
      <x:c r="D407" s="25" t="str">
        <x:v>NOT_REVEALING</x:v>
      </x:c>
      <x:c r="E407" s="25" t="str">
        <x:v>N/A</x:v>
      </x:c>
      <x:c r="F407" s="26" t="str">
        <x:v>Same saved validation suite passed on buggy and fixed</x:v>
      </x:c>
      <x:c r="G407" s="25" t="str">
        <x:v>true</x:v>
      </x:c>
      <x:c r="H407" s="25" t="str">
        <x:v>NOT_REVEALING</x:v>
      </x:c>
      <x:c r="I407" s="25" t="str">
        <x:v>PASS</x:v>
      </x:c>
      <x:c r="J407" s="25" t="str">
        <x:v>PASS</x:v>
      </x:c>
      <x:c r="K407" s="25" t="n">
        <x:v>2</x:v>
      </x:c>
      <x:c r="L407" s="27" t="b">
        <x:v>0</x:v>
      </x:c>
      <x:c r="M407" s="25" t="str">
        <x:v>Feedback-Directed Random Test Generation/rounds/Round1/state/JacksonDatabind.json</x:v>
      </x:c>
      <x:c r="N407" s="25" t="str">
        <x:v>Feedback-Directed Random Test Generation/Result/JacksonDatabind_14/result.json</x:v>
      </x:c>
      <x:c r="O407" s="25" t="str">
        <x:v>Feedback-Directed Random Test Generation/Result/JacksonDatabind_14/result.json</x:v>
      </x:c>
      <x:c r="P407"/>
      <x:c r="Q407" s="21" t="str"/>
      <x:c r="R407" s="21" t="str"/>
      <x:c r="S407" s="21" t="str"/>
      <x:c r="T407" s="17" t="str">
        <x:v>false</x:v>
      </x:c>
      <x:c r="U407" s="17" t="str">
        <x:v>true</x:v>
      </x:c>
      <x:c r="V407" s="17" t="str">
        <x:v>false</x:v>
      </x:c>
    </x:row>
    <x:row r="408" ht="80" customHeight="1">
      <x:c r="A408" s="25" t="str">
        <x:v>JacksonDatabind</x:v>
      </x:c>
      <x:c r="B408" s="25" t="n">
        <x:v>15</x:v>
      </x:c>
      <x:c r="C408" s="25" t="str">
        <x:v>Round1</x:v>
      </x:c>
      <x:c r="D408" s="25" t="str">
        <x:v>NOT_REVEALING</x:v>
      </x:c>
      <x:c r="E408" s="25" t="str">
        <x:v>N/A</x:v>
      </x:c>
      <x:c r="F408" s="26" t="str">
        <x:v>Same saved validation suite passed on buggy and fixed</x:v>
      </x:c>
      <x:c r="G408" s="25" t="str">
        <x:v>true</x:v>
      </x:c>
      <x:c r="H408" s="25" t="str">
        <x:v>NOT_REVEALING</x:v>
      </x:c>
      <x:c r="I408" s="25" t="str">
        <x:v>PASS</x:v>
      </x:c>
      <x:c r="J408" s="25" t="str">
        <x:v>PASS</x:v>
      </x:c>
      <x:c r="K408" s="25" t="n">
        <x:v>3</x:v>
      </x:c>
      <x:c r="L408" s="27" t="b">
        <x:v>0</x:v>
      </x:c>
      <x:c r="M408" s="25" t="str">
        <x:v>Feedback-Directed Random Test Generation/rounds/Round1/state/JacksonDatabind.json</x:v>
      </x:c>
      <x:c r="N408" s="25" t="str">
        <x:v>Feedback-Directed Random Test Generation/Result/JacksonDatabind_15/result.json</x:v>
      </x:c>
      <x:c r="O408" s="25" t="str">
        <x:v>Feedback-Directed Random Test Generation/Result/JacksonDatabind_15/result.json</x:v>
      </x:c>
      <x:c r="P408"/>
      <x:c r="Q408" s="21" t="str"/>
      <x:c r="R408" s="21" t="str"/>
      <x:c r="S408" s="21" t="str"/>
      <x:c r="T408" s="17" t="str">
        <x:v>false</x:v>
      </x:c>
      <x:c r="U408" s="17" t="str">
        <x:v>true</x:v>
      </x:c>
      <x:c r="V408" s="17" t="str">
        <x:v>false</x:v>
      </x:c>
    </x:row>
    <x:row r="409" ht="80" customHeight="1">
      <x:c r="A409" s="25" t="str">
        <x:v>JacksonDatabind</x:v>
      </x:c>
      <x:c r="B409" s="25" t="n">
        <x:v>16</x:v>
      </x:c>
      <x:c r="C409" s="25" t="str">
        <x:v>Round1</x:v>
      </x:c>
      <x:c r="D409" s="25" t="str">
        <x:v>NOT_REVEALING</x:v>
      </x:c>
      <x:c r="E409" s="25" t="str">
        <x:v>N/A</x:v>
      </x:c>
      <x:c r="F409" s="26" t="str">
        <x:v>Same saved validation suite passed on buggy and fixed</x:v>
      </x:c>
      <x:c r="G409" s="25" t="str">
        <x:v>true</x:v>
      </x:c>
      <x:c r="H409" s="25" t="str">
        <x:v>NOT_REVEALING</x:v>
      </x:c>
      <x:c r="I409" s="25" t="str">
        <x:v>PASS</x:v>
      </x:c>
      <x:c r="J409" s="25" t="str">
        <x:v>PASS</x:v>
      </x:c>
      <x:c r="K409" s="25" t="n">
        <x:v>7</x:v>
      </x:c>
      <x:c r="L409" s="27" t="b">
        <x:v>0</x:v>
      </x:c>
      <x:c r="M409" s="25" t="str">
        <x:v>Feedback-Directed Random Test Generation/rounds/Round1/state/JacksonDatabind.json</x:v>
      </x:c>
      <x:c r="N409" s="25" t="str">
        <x:v>Feedback-Directed Random Test Generation/Result/JacksonDatabind_16/result.json</x:v>
      </x:c>
      <x:c r="O409" s="25" t="str">
        <x:v>Feedback-Directed Random Test Generation/Result/JacksonDatabind_16/result.json</x:v>
      </x:c>
      <x:c r="P409"/>
      <x:c r="Q409" s="21" t="str"/>
      <x:c r="R409" s="21" t="str"/>
      <x:c r="S409" s="21" t="str"/>
      <x:c r="T409" s="17" t="str">
        <x:v>false</x:v>
      </x:c>
      <x:c r="U409" s="17" t="str">
        <x:v>true</x:v>
      </x:c>
      <x:c r="V409" s="17" t="str">
        <x:v>false</x:v>
      </x:c>
    </x:row>
    <x:row r="410" ht="80" customHeight="1">
      <x:c r="A410" s="25" t="str">
        <x:v>JacksonDatabind</x:v>
      </x:c>
      <x:c r="B410" s="25" t="n">
        <x:v>17</x:v>
      </x:c>
      <x:c r="C410" s="25" t="str">
        <x:v>Round1</x:v>
      </x:c>
      <x:c r="D410" s="25" t="str">
        <x:v>INCONCLUSIVE</x:v>
      </x:c>
      <x:c r="E410" s="25" t="str">
        <x:v>N/A</x:v>
      </x:c>
      <x:c r="F410" s="26" t="str">
        <x:v>Fixed also failed; assertion failure cannot be attributed to this bug</x:v>
      </x:c>
      <x:c r="G410" s="25" t="str">
        <x:v>true</x:v>
      </x:c>
      <x:c r="H410" s="25" t="str">
        <x:v>INCONCLUSIVE</x:v>
      </x:c>
      <x:c r="I410" s="25" t="str">
        <x:v>PASS</x:v>
      </x:c>
      <x:c r="J410" s="25" t="str">
        <x:v>FAIL</x:v>
      </x:c>
      <x:c r="K410" s="25" t="n">
        <x:v>5</x:v>
      </x:c>
      <x:c r="L410" s="27" t="b">
        <x:v>0</x:v>
      </x:c>
      <x:c r="M410" s="25" t="str">
        <x:v>Feedback-Directed Random Test Generation/rounds/Round1/state/JacksonDatabind.json</x:v>
      </x:c>
      <x:c r="N410" s="25" t="str">
        <x:v>Feedback-Directed Random Test Generation/Result/JacksonDatabind_17/result.json</x:v>
      </x:c>
      <x:c r="O410" s="25" t="str">
        <x:v>Feedback-Directed Random Test Generation/Result/JacksonDatabind_17/result.json</x:v>
      </x:c>
      <x:c r="P410"/>
      <x:c r="Q410" s="21" t="str"/>
      <x:c r="R410" s="21" t="str"/>
      <x:c r="S410" s="21" t="str"/>
      <x:c r="T410" s="17" t="str">
        <x:v>false</x:v>
      </x:c>
      <x:c r="U410" s="17" t="str">
        <x:v>true</x:v>
      </x:c>
      <x:c r="V410" s="17" t="str">
        <x:v>false</x:v>
      </x:c>
    </x:row>
    <x:row r="411" ht="80" customHeight="1">
      <x:c r="A411" s="25" t="str">
        <x:v>JacksonDatabind</x:v>
      </x:c>
      <x:c r="B411" s="25" t="n">
        <x:v>18</x:v>
      </x:c>
      <x:c r="C411" s="25" t="str">
        <x:v>Round1</x:v>
      </x:c>
      <x:c r="D411" s="25" t="str">
        <x:v>NOT_REVEALING</x:v>
      </x:c>
      <x:c r="E411" s="25" t="str">
        <x:v>N/A</x:v>
      </x:c>
      <x:c r="F411" s="26" t="str">
        <x:v>Same saved validation suite passed on buggy and fixed</x:v>
      </x:c>
      <x:c r="G411" s="25" t="str">
        <x:v>true</x:v>
      </x:c>
      <x:c r="H411" s="25" t="str">
        <x:v>NOT_REVEALING</x:v>
      </x:c>
      <x:c r="I411" s="25" t="str">
        <x:v>PASS</x:v>
      </x:c>
      <x:c r="J411" s="25" t="str">
        <x:v>PASS</x:v>
      </x:c>
      <x:c r="K411" s="25" t="n">
        <x:v>2</x:v>
      </x:c>
      <x:c r="L411" s="27" t="b">
        <x:v>0</x:v>
      </x:c>
      <x:c r="M411" s="25" t="str">
        <x:v>Feedback-Directed Random Test Generation/rounds/Round1/state/JacksonDatabind.json</x:v>
      </x:c>
      <x:c r="N411" s="25" t="str">
        <x:v>Feedback-Directed Random Test Generation/Result/JacksonDatabind_18/result.json</x:v>
      </x:c>
      <x:c r="O411" s="25" t="str">
        <x:v>Feedback-Directed Random Test Generation/Result/JacksonDatabind_18/result.json</x:v>
      </x:c>
      <x:c r="P411"/>
      <x:c r="Q411" s="21" t="str"/>
      <x:c r="R411" s="21" t="str"/>
      <x:c r="S411" s="21" t="str"/>
      <x:c r="T411" s="17" t="str">
        <x:v>false</x:v>
      </x:c>
      <x:c r="U411" s="17" t="str">
        <x:v>true</x:v>
      </x:c>
      <x:c r="V411" s="17" t="str">
        <x:v>false</x:v>
      </x:c>
    </x:row>
    <x:row r="412" ht="80" customHeight="1">
      <x:c r="A412" s="25" t="str">
        <x:v>JacksonDatabind</x:v>
      </x:c>
      <x:c r="B412" s="25" t="n">
        <x:v>19</x:v>
      </x:c>
      <x:c r="C412" s="25" t="str">
        <x:v>Round1</x:v>
      </x:c>
      <x:c r="D412" s="25" t="str">
        <x:v>NOT_REVEALING</x:v>
      </x:c>
      <x:c r="E412" s="25" t="str">
        <x:v>N/A</x:v>
      </x:c>
      <x:c r="F412" s="26" t="str">
        <x:v>Same saved validation suite passed on buggy and fixed</x:v>
      </x:c>
      <x:c r="G412" s="25" t="str">
        <x:v>true</x:v>
      </x:c>
      <x:c r="H412" s="25" t="str">
        <x:v>NOT_REVEALING</x:v>
      </x:c>
      <x:c r="I412" s="25" t="str">
        <x:v>PASS</x:v>
      </x:c>
      <x:c r="J412" s="25" t="str">
        <x:v>PASS</x:v>
      </x:c>
      <x:c r="K412" s="25" t="n">
        <x:v>3</x:v>
      </x:c>
      <x:c r="L412" s="27" t="b">
        <x:v>0</x:v>
      </x:c>
      <x:c r="M412" s="25" t="str">
        <x:v>Feedback-Directed Random Test Generation/rounds/Round1/state/JacksonDatabind.json</x:v>
      </x:c>
      <x:c r="N412" s="25" t="str">
        <x:v>Feedback-Directed Random Test Generation/Result/JacksonDatabind_19/result.json</x:v>
      </x:c>
      <x:c r="O412" s="25" t="str">
        <x:v>Feedback-Directed Random Test Generation/Result/JacksonDatabind_19/result.json</x:v>
      </x:c>
      <x:c r="P412"/>
      <x:c r="Q412" s="21" t="str"/>
      <x:c r="R412" s="21" t="str"/>
      <x:c r="S412" s="21" t="str"/>
      <x:c r="T412" s="17" t="str">
        <x:v>false</x:v>
      </x:c>
      <x:c r="U412" s="17" t="str">
        <x:v>true</x:v>
      </x:c>
      <x:c r="V412" s="17" t="str">
        <x:v>false</x:v>
      </x:c>
    </x:row>
    <x:row r="413" ht="80" customHeight="1">
      <x:c r="A413" s="25" t="str">
        <x:v>JacksonDatabind</x:v>
      </x:c>
      <x:c r="B413" s="25" t="n">
        <x:v>20</x:v>
      </x:c>
      <x:c r="C413" s="25" t="str">
        <x:v>Round1</x:v>
      </x:c>
      <x:c r="D413" s="25" t="str">
        <x:v>NOT_REVEALING</x:v>
      </x:c>
      <x:c r="E413" s="25" t="str">
        <x:v>N/A</x:v>
      </x:c>
      <x:c r="F413" s="26" t="str">
        <x:v>Same saved validation suite passed on buggy and fixed</x:v>
      </x:c>
      <x:c r="G413" s="25" t="str">
        <x:v>true</x:v>
      </x:c>
      <x:c r="H413" s="25" t="str">
        <x:v>NOT_REVEALING</x:v>
      </x:c>
      <x:c r="I413" s="25" t="str">
        <x:v>PASS</x:v>
      </x:c>
      <x:c r="J413" s="25" t="str">
        <x:v>PASS</x:v>
      </x:c>
      <x:c r="K413" s="25" t="n">
        <x:v>11</x:v>
      </x:c>
      <x:c r="L413" s="27" t="b">
        <x:v>0</x:v>
      </x:c>
      <x:c r="M413" s="25" t="str">
        <x:v>Feedback-Directed Random Test Generation/rounds/Round1/state/JacksonDatabind.json</x:v>
      </x:c>
      <x:c r="N413" s="25" t="str">
        <x:v>Feedback-Directed Random Test Generation/Result/JacksonDatabind_20/result.json</x:v>
      </x:c>
      <x:c r="O413" s="25" t="str">
        <x:v>Feedback-Directed Random Test Generation/Result/JacksonDatabind_20/result.json</x:v>
      </x:c>
      <x:c r="P413"/>
      <x:c r="Q413" s="21" t="str"/>
      <x:c r="R413" s="21" t="str"/>
      <x:c r="S413" s="21" t="str"/>
      <x:c r="T413" s="17" t="str">
        <x:v>false</x:v>
      </x:c>
      <x:c r="U413" s="17" t="str">
        <x:v>true</x:v>
      </x:c>
      <x:c r="V413" s="17" t="str">
        <x:v>false</x:v>
      </x:c>
    </x:row>
    <x:row r="414" ht="80" customHeight="1">
      <x:c r="A414" s="25" t="str">
        <x:v>JacksonDatabind</x:v>
      </x:c>
      <x:c r="B414" s="25" t="n">
        <x:v>21</x:v>
      </x:c>
      <x:c r="C414" s="25" t="str">
        <x:v>Round1</x:v>
      </x:c>
      <x:c r="D414" s="25" t="str">
        <x:v>NOT_REVEALING</x:v>
      </x:c>
      <x:c r="E414" s="25" t="str">
        <x:v>N/A</x:v>
      </x:c>
      <x:c r="F414" s="26" t="str">
        <x:v>Same saved validation suite passed on buggy and fixed</x:v>
      </x:c>
      <x:c r="G414" s="25" t="str">
        <x:v>true</x:v>
      </x:c>
      <x:c r="H414" s="25" t="str">
        <x:v>NOT_REVEALING</x:v>
      </x:c>
      <x:c r="I414" s="25" t="str">
        <x:v>PASS</x:v>
      </x:c>
      <x:c r="J414" s="25" t="str">
        <x:v>PASS</x:v>
      </x:c>
      <x:c r="K414" s="25" t="n">
        <x:v>7</x:v>
      </x:c>
      <x:c r="L414" s="27" t="b">
        <x:v>0</x:v>
      </x:c>
      <x:c r="M414" s="25" t="str">
        <x:v>Feedback-Directed Random Test Generation/rounds/Round1/state/JacksonDatabind.json</x:v>
      </x:c>
      <x:c r="N414" s="25" t="str">
        <x:v>Feedback-Directed Random Test Generation/Result/JacksonDatabind_21/result.json</x:v>
      </x:c>
      <x:c r="O414" s="25" t="str">
        <x:v>Feedback-Directed Random Test Generation/Result/JacksonDatabind_21/result.json</x:v>
      </x:c>
      <x:c r="P414"/>
      <x:c r="Q414" s="21" t="str"/>
      <x:c r="R414" s="21" t="str"/>
      <x:c r="S414" s="21" t="str"/>
      <x:c r="T414" s="17" t="str">
        <x:v>false</x:v>
      </x:c>
      <x:c r="U414" s="17" t="str">
        <x:v>true</x:v>
      </x:c>
      <x:c r="V414" s="17" t="str">
        <x:v>false</x:v>
      </x:c>
    </x:row>
    <x:row r="415" ht="80" customHeight="1">
      <x:c r="A415" s="25" t="str">
        <x:v>JacksonDatabind</x:v>
      </x:c>
      <x:c r="B415" s="25" t="n">
        <x:v>22</x:v>
      </x:c>
      <x:c r="C415" s="25" t="str">
        <x:v>Round1</x:v>
      </x:c>
      <x:c r="D415" s="25" t="str">
        <x:v>NOT_AVAILABLE</x:v>
      </x:c>
      <x:c r="E415" s="25" t="str">
        <x:v>N/A</x:v>
      </x:c>
      <x:c r="F415" s="26" t="str">
        <x:v>fixed test_compile=FAIL</x:v>
      </x:c>
      <x:c r="G415" s="25" t="str">
        <x:v>true</x:v>
      </x:c>
      <x:c r="H415" s="25" t="str">
        <x:v>NOT_AVAILABLE</x:v>
      </x:c>
      <x:c r="I415" s="25" t="str">
        <x:v>PASS</x:v>
      </x:c>
      <x:c r="J415" s="25" t="str">
        <x:v>NOT_RUN</x:v>
      </x:c>
      <x:c r="K415" s="25" t="n">
        <x:v>6</x:v>
      </x:c>
      <x:c r="L415" s="27" t="b">
        <x:v>0</x:v>
      </x:c>
      <x:c r="M415" s="25" t="str">
        <x:v>Feedback-Directed Random Test Generation/rounds/Round1/state/JacksonDatabind.json</x:v>
      </x:c>
      <x:c r="N415" s="25" t="str">
        <x:v>Feedback-Directed Random Test Generation/Result/JacksonDatabind_22/result.json</x:v>
      </x:c>
      <x:c r="O415" s="25" t="str">
        <x:v>Feedback-Directed Random Test Generation/Result/JacksonDatabind_22/result.json</x:v>
      </x:c>
      <x:c r="P415" t="str">
        <x:v>FIXED_NOT_RUN</x:v>
      </x:c>
      <x:c r="Q415" s="21" t="str"/>
      <x:c r="R415" s="21" t="str"/>
      <x:c r="S415" s="21" t="str"/>
      <x:c r="T415" s="17" t="str">
        <x:v>false</x:v>
      </x:c>
      <x:c r="U415" s="17" t="str">
        <x:v>true</x:v>
      </x:c>
      <x:c r="V415" s="17" t="str">
        <x:v>false</x:v>
      </x:c>
    </x:row>
    <x:row r="416" ht="80" customHeight="1">
      <x:c r="A416" s="25" t="str">
        <x:v>JacksonDatabind</x:v>
      </x:c>
      <x:c r="B416" s="25" t="n">
        <x:v>23</x:v>
      </x:c>
      <x:c r="C416" s="25" t="str">
        <x:v>Round1</x:v>
      </x:c>
      <x:c r="D416" s="25" t="str">
        <x:v>INCONCLUSIVE</x:v>
      </x:c>
      <x:c r="E416" s="25" t="str">
        <x:v>N/A</x:v>
      </x:c>
      <x:c r="F416" s="26" t="str">
        <x:v>Fixed also failed; assertion failure cannot be attributed to this bug</x:v>
      </x:c>
      <x:c r="G416" s="25" t="str">
        <x:v>true</x:v>
      </x:c>
      <x:c r="H416" s="25" t="str">
        <x:v>INCONCLUSIVE</x:v>
      </x:c>
      <x:c r="I416" s="25" t="str">
        <x:v>PASS</x:v>
      </x:c>
      <x:c r="J416" s="25" t="str">
        <x:v>FAIL</x:v>
      </x:c>
      <x:c r="K416" s="25" t="n">
        <x:v>7</x:v>
      </x:c>
      <x:c r="L416" s="27" t="b">
        <x:v>0</x:v>
      </x:c>
      <x:c r="M416" s="25" t="str">
        <x:v>Feedback-Directed Random Test Generation/rounds/Round1/state/JacksonDatabind.json</x:v>
      </x:c>
      <x:c r="N416" s="25" t="str">
        <x:v>Feedback-Directed Random Test Generation/Result/JacksonDatabind_23/result.json</x:v>
      </x:c>
      <x:c r="O416" s="25" t="str">
        <x:v>Feedback-Directed Random Test Generation/Result/JacksonDatabind_23/result.json</x:v>
      </x:c>
      <x:c r="P416"/>
      <x:c r="Q416" s="21" t="str"/>
      <x:c r="R416" s="21" t="str"/>
      <x:c r="S416" s="21" t="str"/>
      <x:c r="T416" s="17" t="str">
        <x:v>false</x:v>
      </x:c>
      <x:c r="U416" s="17" t="str">
        <x:v>true</x:v>
      </x:c>
      <x:c r="V416" s="17" t="str">
        <x:v>false</x:v>
      </x:c>
    </x:row>
    <x:row r="417" ht="80" customHeight="1">
      <x:c r="A417" s="25" t="str">
        <x:v>JacksonDatabind</x:v>
      </x:c>
      <x:c r="B417" s="25" t="n">
        <x:v>24</x:v>
      </x:c>
      <x:c r="C417" s="25" t="str">
        <x:v>Round1</x:v>
      </x:c>
      <x:c r="D417" s="25" t="str">
        <x:v>NOT_REVEALING</x:v>
      </x:c>
      <x:c r="E417" s="25" t="str">
        <x:v>N/A</x:v>
      </x:c>
      <x:c r="F417" s="26" t="str">
        <x:v>Same saved validation suite passed on buggy and fixed</x:v>
      </x:c>
      <x:c r="G417" s="25" t="str">
        <x:v>true</x:v>
      </x:c>
      <x:c r="H417" s="25" t="str">
        <x:v>NOT_REVEALING</x:v>
      </x:c>
      <x:c r="I417" s="25" t="str">
        <x:v>PASS</x:v>
      </x:c>
      <x:c r="J417" s="25" t="str">
        <x:v>PASS</x:v>
      </x:c>
      <x:c r="K417" s="25" t="n">
        <x:v>2</x:v>
      </x:c>
      <x:c r="L417" s="27" t="b">
        <x:v>0</x:v>
      </x:c>
      <x:c r="M417" s="25" t="str">
        <x:v>Feedback-Directed Random Test Generation/rounds/Round1/state/JacksonDatabind.json</x:v>
      </x:c>
      <x:c r="N417" s="25" t="str">
        <x:v>Feedback-Directed Random Test Generation/Result/JacksonDatabind_24/result.json</x:v>
      </x:c>
      <x:c r="O417" s="25" t="str">
        <x:v>Feedback-Directed Random Test Generation/Result/JacksonDatabind_24/result.json</x:v>
      </x:c>
      <x:c r="P417"/>
      <x:c r="Q417" s="21" t="str"/>
      <x:c r="R417" s="21" t="str"/>
      <x:c r="S417" s="21" t="str"/>
      <x:c r="T417" s="17" t="str">
        <x:v>false</x:v>
      </x:c>
      <x:c r="U417" s="17" t="str">
        <x:v>true</x:v>
      </x:c>
      <x:c r="V417" s="17" t="str">
        <x:v>false</x:v>
      </x:c>
    </x:row>
    <x:row r="418" ht="80" customHeight="1">
      <x:c r="A418" s="25" t="str">
        <x:v>JacksonDatabind</x:v>
      </x:c>
      <x:c r="B418" s="25" t="n">
        <x:v>25</x:v>
      </x:c>
      <x:c r="C418" s="25" t="str">
        <x:v>Round1</x:v>
      </x:c>
      <x:c r="D418" s="25" t="str">
        <x:v>NOT_REVEALING</x:v>
      </x:c>
      <x:c r="E418" s="25" t="str">
        <x:v>N/A</x:v>
      </x:c>
      <x:c r="F418" s="26" t="str">
        <x:v>Same saved validation suite passed on buggy and fixed</x:v>
      </x:c>
      <x:c r="G418" s="25" t="str">
        <x:v>true</x:v>
      </x:c>
      <x:c r="H418" s="25" t="str">
        <x:v>NOT_REVEALING</x:v>
      </x:c>
      <x:c r="I418" s="25" t="str">
        <x:v>PASS</x:v>
      </x:c>
      <x:c r="J418" s="25" t="str">
        <x:v>PASS</x:v>
      </x:c>
      <x:c r="K418" s="25" t="n">
        <x:v>13</x:v>
      </x:c>
      <x:c r="L418" s="27" t="b">
        <x:v>0</x:v>
      </x:c>
      <x:c r="M418" s="25" t="str">
        <x:v>Feedback-Directed Random Test Generation/rounds/Round1/state/JacksonDatabind.json</x:v>
      </x:c>
      <x:c r="N418" s="25" t="str">
        <x:v>Feedback-Directed Random Test Generation/Result/JacksonDatabind_25/result.json</x:v>
      </x:c>
      <x:c r="O418" s="25" t="str">
        <x:v>Feedback-Directed Random Test Generation/Result/JacksonDatabind_25/result.json</x:v>
      </x:c>
      <x:c r="P418"/>
      <x:c r="Q418" s="21" t="str"/>
      <x:c r="R418" s="21" t="str"/>
      <x:c r="S418" s="21" t="str"/>
      <x:c r="T418" s="17" t="str">
        <x:v>false</x:v>
      </x:c>
      <x:c r="U418" s="17" t="str">
        <x:v>true</x:v>
      </x:c>
      <x:c r="V418" s="17" t="str">
        <x:v>false</x:v>
      </x:c>
    </x:row>
    <x:row r="419" ht="80" customHeight="1">
      <x:c r="A419" s="25" t="str">
        <x:v>JacksonDatabind</x:v>
      </x:c>
      <x:c r="B419" s="25" t="n">
        <x:v>26</x:v>
      </x:c>
      <x:c r="C419" s="25" t="str">
        <x:v>Round1</x:v>
      </x:c>
      <x:c r="D419" s="25" t="str">
        <x:v>INCONCLUSIVE</x:v>
      </x:c>
      <x:c r="E419" s="25" t="str">
        <x:v>N/A</x:v>
      </x:c>
      <x:c r="F419" s="26" t="str">
        <x:v>Fixed also failed; assertion failure cannot be attributed to this bug; Assertions failed with measured coverage; paired execution and stage checks determine status</x:v>
      </x:c>
      <x:c r="G419" s="25" t="str">
        <x:v>true</x:v>
      </x:c>
      <x:c r="H419" s="25" t="str">
        <x:v>INCONCLUSIVE</x:v>
      </x:c>
      <x:c r="I419" s="25" t="str">
        <x:v>FAIL</x:v>
      </x:c>
      <x:c r="J419" s="25" t="str">
        <x:v>FAIL</x:v>
      </x:c>
      <x:c r="K419" s="25" t="n">
        <x:v>12</x:v>
      </x:c>
      <x:c r="L419" s="27" t="b">
        <x:v>0</x:v>
      </x:c>
      <x:c r="M419" s="25" t="str">
        <x:v>Feedback-Directed Random Test Generation/rounds/Round1/state/JacksonDatabind.json</x:v>
      </x:c>
      <x:c r="N419" s="25" t="str">
        <x:v>Feedback-Directed Random Test Generation/Result/JacksonDatabind_26/result.json</x:v>
      </x:c>
      <x:c r="O419" s="25" t="str">
        <x:v>Feedback-Directed Random Test Generation/Result/JacksonDatabind_26/result.json</x:v>
      </x:c>
      <x:c r="P419"/>
      <x:c r="Q419" s="21" t="str"/>
      <x:c r="R419" s="21" t="str"/>
      <x:c r="S419" s="21" t="str"/>
      <x:c r="T419" s="17" t="str">
        <x:v>false</x:v>
      </x:c>
      <x:c r="U419" s="17" t="str">
        <x:v>true</x:v>
      </x:c>
      <x:c r="V419" s="17" t="str">
        <x:v>false</x:v>
      </x:c>
    </x:row>
    <x:row r="420" ht="80" customHeight="1">
      <x:c r="A420" s="25" t="str">
        <x:v>JacksonDatabind</x:v>
      </x:c>
      <x:c r="B420" s="25" t="n">
        <x:v>27</x:v>
      </x:c>
      <x:c r="C420" s="25" t="str">
        <x:v>Round1</x:v>
      </x:c>
      <x:c r="D420" s="25" t="str">
        <x:v>NOT_REVEALING</x:v>
      </x:c>
      <x:c r="E420" s="25" t="str">
        <x:v>N/A</x:v>
      </x:c>
      <x:c r="F420" s="26" t="str">
        <x:v>Same saved validation suite passed on buggy and fixed</x:v>
      </x:c>
      <x:c r="G420" s="25" t="str">
        <x:v>true</x:v>
      </x:c>
      <x:c r="H420" s="25" t="str">
        <x:v>NOT_REVEALING</x:v>
      </x:c>
      <x:c r="I420" s="25" t="str">
        <x:v>PASS</x:v>
      </x:c>
      <x:c r="J420" s="25" t="str">
        <x:v>PASS</x:v>
      </x:c>
      <x:c r="K420" s="25" t="n">
        <x:v>2</x:v>
      </x:c>
      <x:c r="L420" s="27" t="b">
        <x:v>0</x:v>
      </x:c>
      <x:c r="M420" s="25" t="str">
        <x:v>Feedback-Directed Random Test Generation/rounds/Round1/state/JacksonDatabind.json</x:v>
      </x:c>
      <x:c r="N420" s="25" t="str">
        <x:v>Feedback-Directed Random Test Generation/Result/JacksonDatabind_27/result.json</x:v>
      </x:c>
      <x:c r="O420" s="25" t="str">
        <x:v>Feedback-Directed Random Test Generation/Result/JacksonDatabind_27/result.json</x:v>
      </x:c>
      <x:c r="P420"/>
      <x:c r="Q420" s="21" t="str"/>
      <x:c r="R420" s="21" t="str"/>
      <x:c r="S420" s="21" t="str"/>
      <x:c r="T420" s="17" t="str">
        <x:v>false</x:v>
      </x:c>
      <x:c r="U420" s="17" t="str">
        <x:v>true</x:v>
      </x:c>
      <x:c r="V420" s="17" t="str">
        <x:v>false</x:v>
      </x:c>
    </x:row>
    <x:row r="421" ht="80" customHeight="1">
      <x:c r="A421" s="25" t="str">
        <x:v>JacksonDatabind</x:v>
      </x:c>
      <x:c r="B421" s="25" t="n">
        <x:v>28</x:v>
      </x:c>
      <x:c r="C421" s="25" t="str">
        <x:v>Round1</x:v>
      </x:c>
      <x:c r="D421" s="25" t="str">
        <x:v>NOT_REVEALING</x:v>
      </x:c>
      <x:c r="E421" s="25" t="str">
        <x:v>N/A</x:v>
      </x:c>
      <x:c r="F421" s="26" t="str">
        <x:v>Same saved validation suite passed on buggy and fixed</x:v>
      </x:c>
      <x:c r="G421" s="25" t="str">
        <x:v>true</x:v>
      </x:c>
      <x:c r="H421" s="25" t="str">
        <x:v>NOT_REVEALING</x:v>
      </x:c>
      <x:c r="I421" s="25" t="str">
        <x:v>PASS</x:v>
      </x:c>
      <x:c r="J421" s="25" t="str">
        <x:v>PASS</x:v>
      </x:c>
      <x:c r="K421" s="25" t="n">
        <x:v>8</x:v>
      </x:c>
      <x:c r="L421" s="27" t="b">
        <x:v>0</x:v>
      </x:c>
      <x:c r="M421" s="25" t="str">
        <x:v>Feedback-Directed Random Test Generation/rounds/Round1/state/JacksonDatabind.json</x:v>
      </x:c>
      <x:c r="N421" s="25" t="str">
        <x:v>Feedback-Directed Random Test Generation/Result/JacksonDatabind_28/result.json</x:v>
      </x:c>
      <x:c r="O421" s="25" t="str">
        <x:v>Feedback-Directed Random Test Generation/Result/JacksonDatabind_28/result.json</x:v>
      </x:c>
      <x:c r="P421"/>
      <x:c r="Q421" s="21" t="str"/>
      <x:c r="R421" s="21" t="str"/>
      <x:c r="S421" s="21" t="str"/>
      <x:c r="T421" s="17" t="str">
        <x:v>false</x:v>
      </x:c>
      <x:c r="U421" s="17" t="str">
        <x:v>true</x:v>
      </x:c>
      <x:c r="V421" s="17" t="str">
        <x:v>false</x:v>
      </x:c>
    </x:row>
    <x:row r="422" ht="80" customHeight="1">
      <x:c r="A422" s="25" t="str">
        <x:v>JacksonDatabind</x:v>
      </x:c>
      <x:c r="B422" s="25" t="n">
        <x:v>29</x:v>
      </x:c>
      <x:c r="C422" s="25" t="str">
        <x:v>Round1</x:v>
      </x:c>
      <x:c r="D422" s="25" t="str">
        <x:v>NOT_REVEALING</x:v>
      </x:c>
      <x:c r="E422" s="25" t="str">
        <x:v>N/A</x:v>
      </x:c>
      <x:c r="F422" s="26" t="str">
        <x:v>Same saved validation suite passed on buggy and fixed</x:v>
      </x:c>
      <x:c r="G422" s="25" t="str">
        <x:v>true</x:v>
      </x:c>
      <x:c r="H422" s="25" t="str">
        <x:v>NOT_REVEALING</x:v>
      </x:c>
      <x:c r="I422" s="25" t="str">
        <x:v>PASS</x:v>
      </x:c>
      <x:c r="J422" s="25" t="str">
        <x:v>PASS</x:v>
      </x:c>
      <x:c r="K422" s="25" t="n">
        <x:v>7</x:v>
      </x:c>
      <x:c r="L422" s="27" t="b">
        <x:v>0</x:v>
      </x:c>
      <x:c r="M422" s="25" t="str">
        <x:v>Feedback-Directed Random Test Generation/rounds/Round1/state/JacksonDatabind.json</x:v>
      </x:c>
      <x:c r="N422" s="25" t="str">
        <x:v>Feedback-Directed Random Test Generation/Result/JacksonDatabind_29/result.json</x:v>
      </x:c>
      <x:c r="O422" s="25" t="str">
        <x:v>Feedback-Directed Random Test Generation/Result/JacksonDatabind_29/result.json</x:v>
      </x:c>
      <x:c r="P422"/>
      <x:c r="Q422" s="21" t="str"/>
      <x:c r="R422" s="21" t="str"/>
      <x:c r="S422" s="21" t="str"/>
      <x:c r="T422" s="17" t="str">
        <x:v>false</x:v>
      </x:c>
      <x:c r="U422" s="17" t="str">
        <x:v>true</x:v>
      </x:c>
      <x:c r="V422" s="17" t="str">
        <x:v>false</x:v>
      </x:c>
    </x:row>
    <x:row r="423" ht="80" customHeight="1">
      <x:c r="A423" s="25" t="str">
        <x:v>JacksonDatabind</x:v>
      </x:c>
      <x:c r="B423" s="25" t="n">
        <x:v>30</x:v>
      </x:c>
      <x:c r="C423" s="25" t="str">
        <x:v>Round1</x:v>
      </x:c>
      <x:c r="D423" s="25" t="str">
        <x:v>FAIL</x:v>
      </x:c>
      <x:c r="E423" s="25" t="str">
        <x:v>N/A</x:v>
      </x:c>
      <x:c r="F423" s="26" t="str">
        <x:v>Latest same-round generation failed; older files/results are excluded</x:v>
      </x:c>
      <x:c r="G423" s="25" t="str">
        <x:v>true</x:v>
      </x:c>
      <x:c r="H423" s="25" t="str">
        <x:v>FAIL</x:v>
      </x:c>
      <x:c r="I423" s="25"/>
      <x:c r="J423" s="25"/>
      <x:c r="K423" s="25" t="n">
        <x:v>0</x:v>
      </x:c>
      <x:c r="L423" s="27" t="b">
        <x:v>1</x:v>
      </x:c>
      <x:c r="M423" s="25" t="str">
        <x:v>Feedback-Directed Random Test Generation/rounds/Round1/state/JacksonDatabind.json</x:v>
      </x:c>
      <x:c r="N423" s="25"/>
      <x:c r="O423" s="25" t="str">
        <x:v>Feedback-Directed Random Test Generation/Result/JacksonDatabind_30/result.json</x:v>
      </x:c>
      <x:c r="P423"/>
      <x:c r="Q423" s="21" t="str"/>
      <x:c r="R423" s="21" t="str"/>
      <x:c r="S423" s="21" t="str"/>
      <x:c r="T423" s="17" t="str">
        <x:v>false</x:v>
      </x:c>
      <x:c r="U423" s="17" t="str">
        <x:v>false</x:v>
      </x:c>
      <x:c r="V423" s="17" t="str">
        <x:v>false</x:v>
      </x:c>
    </x:row>
    <x:row r="424" ht="80" customHeight="1">
      <x:c r="A424" s="25" t="str">
        <x:v>JacksonDatabind</x:v>
      </x:c>
      <x:c r="B424" s="25" t="n">
        <x:v>31</x:v>
      </x:c>
      <x:c r="C424" s="25" t="str">
        <x:v>Round1</x:v>
      </x:c>
      <x:c r="D424" s="25" t="str">
        <x:v>NOT_REVEALING</x:v>
      </x:c>
      <x:c r="E424" s="25" t="str">
        <x:v>N/A</x:v>
      </x:c>
      <x:c r="F424" s="26" t="str">
        <x:v>Same saved validation suite passed on buggy and fixed</x:v>
      </x:c>
      <x:c r="G424" s="25" t="str">
        <x:v>true</x:v>
      </x:c>
      <x:c r="H424" s="25" t="str">
        <x:v>NOT_REVEALING</x:v>
      </x:c>
      <x:c r="I424" s="25" t="str">
        <x:v>PASS</x:v>
      </x:c>
      <x:c r="J424" s="25" t="str">
        <x:v>PASS</x:v>
      </x:c>
      <x:c r="K424" s="25" t="n">
        <x:v>11</x:v>
      </x:c>
      <x:c r="L424" s="27" t="b">
        <x:v>0</x:v>
      </x:c>
      <x:c r="M424" s="25" t="str">
        <x:v>Feedback-Directed Random Test Generation/rounds/Round1/state/JacksonDatabind.json</x:v>
      </x:c>
      <x:c r="N424" s="25" t="str">
        <x:v>Feedback-Directed Random Test Generation/Result/JacksonDatabind_31/result.json</x:v>
      </x:c>
      <x:c r="O424" s="25" t="str">
        <x:v>Feedback-Directed Random Test Generation/Result/JacksonDatabind_31/result.json</x:v>
      </x:c>
      <x:c r="P424"/>
      <x:c r="Q424" s="21" t="str"/>
      <x:c r="R424" s="21" t="str"/>
      <x:c r="S424" s="21" t="str"/>
      <x:c r="T424" s="17" t="str">
        <x:v>false</x:v>
      </x:c>
      <x:c r="U424" s="17" t="str">
        <x:v>true</x:v>
      </x:c>
      <x:c r="V424" s="17" t="str">
        <x:v>false</x:v>
      </x:c>
    </x:row>
    <x:row r="425" ht="80" customHeight="1">
      <x:c r="A425" s="25" t="str">
        <x:v>JacksonDatabind</x:v>
      </x:c>
      <x:c r="B425" s="25" t="n">
        <x:v>32</x:v>
      </x:c>
      <x:c r="C425" s="25" t="str">
        <x:v>Round1</x:v>
      </x:c>
      <x:c r="D425" s="25" t="str">
        <x:v>INCONCLUSIVE</x:v>
      </x:c>
      <x:c r="E425" s="25" t="str">
        <x:v>N/A</x:v>
      </x:c>
      <x:c r="F425" s="26" t="str">
        <x:v>Fixed also failed; assertion failure cannot be attributed to this bug; Assertions failed with measured coverage; paired execution and stage checks determine status</x:v>
      </x:c>
      <x:c r="G425" s="25" t="str">
        <x:v>true</x:v>
      </x:c>
      <x:c r="H425" s="25" t="str">
        <x:v>INCONCLUSIVE</x:v>
      </x:c>
      <x:c r="I425" s="25" t="str">
        <x:v>FAIL</x:v>
      </x:c>
      <x:c r="J425" s="25" t="str">
        <x:v>FAIL</x:v>
      </x:c>
      <x:c r="K425" s="25" t="n">
        <x:v>7</x:v>
      </x:c>
      <x:c r="L425" s="27" t="b">
        <x:v>0</x:v>
      </x:c>
      <x:c r="M425" s="25" t="str">
        <x:v>Feedback-Directed Random Test Generation/rounds/Round1/state/JacksonDatabind.json</x:v>
      </x:c>
      <x:c r="N425" s="25" t="str">
        <x:v>Feedback-Directed Random Test Generation/Result/JacksonDatabind_32/result.json</x:v>
      </x:c>
      <x:c r="O425" s="25" t="str">
        <x:v>Feedback-Directed Random Test Generation/Result/JacksonDatabind_32/result.json</x:v>
      </x:c>
      <x:c r="P425"/>
      <x:c r="Q425" s="21" t="str"/>
      <x:c r="R425" s="21" t="str"/>
      <x:c r="S425" s="21" t="str"/>
      <x:c r="T425" s="17" t="str">
        <x:v>false</x:v>
      </x:c>
      <x:c r="U425" s="17" t="str">
        <x:v>true</x:v>
      </x:c>
      <x:c r="V425" s="17" t="str">
        <x:v>false</x:v>
      </x:c>
    </x:row>
    <x:row r="426" ht="80" customHeight="1">
      <x:c r="A426" s="25" t="str">
        <x:v>JacksonDatabind</x:v>
      </x:c>
      <x:c r="B426" s="25" t="n">
        <x:v>33</x:v>
      </x:c>
      <x:c r="C426" s="25" t="str">
        <x:v>Round1</x:v>
      </x:c>
      <x:c r="D426" s="25" t="str">
        <x:v>NOT_REVEALING</x:v>
      </x:c>
      <x:c r="E426" s="25" t="str">
        <x:v>N/A</x:v>
      </x:c>
      <x:c r="F426" s="26" t="str">
        <x:v>Same saved validation suite passed on buggy and fixed</x:v>
      </x:c>
      <x:c r="G426" s="25" t="str">
        <x:v>true</x:v>
      </x:c>
      <x:c r="H426" s="25" t="str">
        <x:v>NOT_REVEALING</x:v>
      </x:c>
      <x:c r="I426" s="25" t="str">
        <x:v>PASS</x:v>
      </x:c>
      <x:c r="J426" s="25" t="str">
        <x:v>PASS</x:v>
      </x:c>
      <x:c r="K426" s="25" t="n">
        <x:v>3</x:v>
      </x:c>
      <x:c r="L426" s="27" t="b">
        <x:v>0</x:v>
      </x:c>
      <x:c r="M426" s="25" t="str">
        <x:v>Feedback-Directed Random Test Generation/rounds/Round1/state/JacksonDatabind.json</x:v>
      </x:c>
      <x:c r="N426" s="25" t="str">
        <x:v>Feedback-Directed Random Test Generation/Result/JacksonDatabind_33/result.json</x:v>
      </x:c>
      <x:c r="O426" s="25" t="str">
        <x:v>Feedback-Directed Random Test Generation/Result/JacksonDatabind_33/result.json</x:v>
      </x:c>
      <x:c r="P426"/>
      <x:c r="Q426" s="21" t="str"/>
      <x:c r="R426" s="21" t="str"/>
      <x:c r="S426" s="21" t="str"/>
      <x:c r="T426" s="17" t="str">
        <x:v>false</x:v>
      </x:c>
      <x:c r="U426" s="17" t="str">
        <x:v>true</x:v>
      </x:c>
      <x:c r="V426" s="17" t="str">
        <x:v>false</x:v>
      </x:c>
    </x:row>
    <x:row r="427" ht="80" customHeight="1">
      <x:c r="A427" s="25" t="str">
        <x:v>JacksonDatabind</x:v>
      </x:c>
      <x:c r="B427" s="25" t="n">
        <x:v>34</x:v>
      </x:c>
      <x:c r="C427" s="25" t="str">
        <x:v>Round1</x:v>
      </x:c>
      <x:c r="D427" s="25" t="str">
        <x:v>NOT_REVEALING</x:v>
      </x:c>
      <x:c r="E427" s="25" t="str">
        <x:v>N/A</x:v>
      </x:c>
      <x:c r="F427" s="26" t="str">
        <x:v>Same saved validation suite passed on buggy and fixed</x:v>
      </x:c>
      <x:c r="G427" s="25" t="str">
        <x:v>true</x:v>
      </x:c>
      <x:c r="H427" s="25" t="str">
        <x:v>NOT_REVEALING</x:v>
      </x:c>
      <x:c r="I427" s="25" t="str">
        <x:v>PASS</x:v>
      </x:c>
      <x:c r="J427" s="25" t="str">
        <x:v>PASS</x:v>
      </x:c>
      <x:c r="K427" s="25" t="n">
        <x:v>6</x:v>
      </x:c>
      <x:c r="L427" s="27" t="b">
        <x:v>0</x:v>
      </x:c>
      <x:c r="M427" s="25" t="str">
        <x:v>Feedback-Directed Random Test Generation/rounds/Round1/state/JacksonDatabind.json</x:v>
      </x:c>
      <x:c r="N427" s="25" t="str">
        <x:v>Feedback-Directed Random Test Generation/Result/JacksonDatabind_34/result.json</x:v>
      </x:c>
      <x:c r="O427" s="25" t="str">
        <x:v>Feedback-Directed Random Test Generation/Result/JacksonDatabind_34/result.json</x:v>
      </x:c>
      <x:c r="P427"/>
      <x:c r="Q427" s="21" t="str"/>
      <x:c r="R427" s="21" t="str"/>
      <x:c r="S427" s="21" t="str"/>
      <x:c r="T427" s="17" t="str">
        <x:v>false</x:v>
      </x:c>
      <x:c r="U427" s="17" t="str">
        <x:v>true</x:v>
      </x:c>
      <x:c r="V427" s="17" t="str">
        <x:v>false</x:v>
      </x:c>
    </x:row>
    <x:row r="428" ht="80" customHeight="1">
      <x:c r="A428" s="25" t="str">
        <x:v>JacksonDatabind</x:v>
      </x:c>
      <x:c r="B428" s="25" t="n">
        <x:v>35</x:v>
      </x:c>
      <x:c r="C428" s="25" t="str">
        <x:v>Round1</x:v>
      </x:c>
      <x:c r="D428" s="25" t="str">
        <x:v>NOT_REVEALING</x:v>
      </x:c>
      <x:c r="E428" s="25" t="str">
        <x:v>N/A</x:v>
      </x:c>
      <x:c r="F428" s="26" t="str">
        <x:v>Same saved validation suite passed on buggy and fixed</x:v>
      </x:c>
      <x:c r="G428" s="25" t="str">
        <x:v>true</x:v>
      </x:c>
      <x:c r="H428" s="25" t="str">
        <x:v>NOT_REVEALING</x:v>
      </x:c>
      <x:c r="I428" s="25" t="str">
        <x:v>PASS</x:v>
      </x:c>
      <x:c r="J428" s="25" t="str">
        <x:v>PASS</x:v>
      </x:c>
      <x:c r="K428" s="25" t="n">
        <x:v>2</x:v>
      </x:c>
      <x:c r="L428" s="27" t="b">
        <x:v>0</x:v>
      </x:c>
      <x:c r="M428" s="25" t="str">
        <x:v>Feedback-Directed Random Test Generation/rounds/Round1/state/JacksonDatabind.json</x:v>
      </x:c>
      <x:c r="N428" s="25" t="str">
        <x:v>Feedback-Directed Random Test Generation/Result/JacksonDatabind_35/result.json</x:v>
      </x:c>
      <x:c r="O428" s="25" t="str">
        <x:v>Feedback-Directed Random Test Generation/Result/JacksonDatabind_35/result.json</x:v>
      </x:c>
      <x:c r="P428"/>
      <x:c r="Q428" s="21" t="str"/>
      <x:c r="R428" s="21" t="str"/>
      <x:c r="S428" s="21" t="str"/>
      <x:c r="T428" s="17" t="str">
        <x:v>false</x:v>
      </x:c>
      <x:c r="U428" s="17" t="str">
        <x:v>true</x:v>
      </x:c>
      <x:c r="V428" s="17" t="str">
        <x:v>false</x:v>
      </x:c>
    </x:row>
    <x:row r="429" ht="80" customHeight="1">
      <x:c r="A429" s="25" t="str">
        <x:v>JacksonDatabind</x:v>
      </x:c>
      <x:c r="B429" s="25" t="n">
        <x:v>36</x:v>
      </x:c>
      <x:c r="C429" s="25" t="str">
        <x:v>Round1</x:v>
      </x:c>
      <x:c r="D429" s="25" t="str">
        <x:v>INCONCLUSIVE</x:v>
      </x:c>
      <x:c r="E429" s="25" t="str">
        <x:v>N/A</x:v>
      </x:c>
      <x:c r="F429" s="26" t="str">
        <x:v>Fixed also failed; assertion failure cannot be attributed to this bug; Assertions failed with measured coverage; paired execution and stage checks determine status</x:v>
      </x:c>
      <x:c r="G429" s="25" t="str">
        <x:v>true</x:v>
      </x:c>
      <x:c r="H429" s="25" t="str">
        <x:v>INCONCLUSIVE</x:v>
      </x:c>
      <x:c r="I429" s="25" t="str">
        <x:v>FAIL</x:v>
      </x:c>
      <x:c r="J429" s="25" t="str">
        <x:v>FAIL</x:v>
      </x:c>
      <x:c r="K429" s="25" t="n">
        <x:v>14</x:v>
      </x:c>
      <x:c r="L429" s="27" t="b">
        <x:v>0</x:v>
      </x:c>
      <x:c r="M429" s="25" t="str">
        <x:v>Feedback-Directed Random Test Generation/rounds/Round1/state/JacksonDatabind.json</x:v>
      </x:c>
      <x:c r="N429" s="25" t="str">
        <x:v>Feedback-Directed Random Test Generation/Result/JacksonDatabind_36/result.json</x:v>
      </x:c>
      <x:c r="O429" s="25" t="str">
        <x:v>Feedback-Directed Random Test Generation/Result/JacksonDatabind_36/result.json</x:v>
      </x:c>
      <x:c r="P429"/>
      <x:c r="Q429" s="21" t="str"/>
      <x:c r="R429" s="21" t="str"/>
      <x:c r="S429" s="21" t="str"/>
      <x:c r="T429" s="17" t="str">
        <x:v>false</x:v>
      </x:c>
      <x:c r="U429" s="17" t="str">
        <x:v>true</x:v>
      </x:c>
      <x:c r="V429" s="17" t="str">
        <x:v>false</x:v>
      </x:c>
    </x:row>
    <x:row r="430" ht="80" customHeight="1">
      <x:c r="A430" s="25" t="str">
        <x:v>JacksonDatabind</x:v>
      </x:c>
      <x:c r="B430" s="25" t="n">
        <x:v>37</x:v>
      </x:c>
      <x:c r="C430" s="25" t="str">
        <x:v>Round1</x:v>
      </x:c>
      <x:c r="D430" s="25" t="str">
        <x:v>NOT_REVEALING</x:v>
      </x:c>
      <x:c r="E430" s="25" t="str">
        <x:v>N/A</x:v>
      </x:c>
      <x:c r="F430" s="26" t="str">
        <x:v>Same saved validation suite passed on buggy and fixed</x:v>
      </x:c>
      <x:c r="G430" s="25" t="str">
        <x:v>true</x:v>
      </x:c>
      <x:c r="H430" s="25" t="str">
        <x:v>NOT_REVEALING</x:v>
      </x:c>
      <x:c r="I430" s="25" t="str">
        <x:v>PASS</x:v>
      </x:c>
      <x:c r="J430" s="25" t="str">
        <x:v>PASS</x:v>
      </x:c>
      <x:c r="K430" s="25" t="n">
        <x:v>2</x:v>
      </x:c>
      <x:c r="L430" s="27" t="b">
        <x:v>0</x:v>
      </x:c>
      <x:c r="M430" s="25" t="str">
        <x:v>Feedback-Directed Random Test Generation/rounds/Round1/state/JacksonDatabind.json</x:v>
      </x:c>
      <x:c r="N430" s="25" t="str">
        <x:v>Feedback-Directed Random Test Generation/Result/JacksonDatabind_37/result.json</x:v>
      </x:c>
      <x:c r="O430" s="25" t="str">
        <x:v>Feedback-Directed Random Test Generation/Result/JacksonDatabind_37/result.json</x:v>
      </x:c>
      <x:c r="P430"/>
      <x:c r="Q430" s="21" t="str"/>
      <x:c r="R430" s="21" t="str"/>
      <x:c r="S430" s="21" t="str"/>
      <x:c r="T430" s="17" t="str">
        <x:v>false</x:v>
      </x:c>
      <x:c r="U430" s="17" t="str">
        <x:v>true</x:v>
      </x:c>
      <x:c r="V430" s="17" t="str">
        <x:v>false</x:v>
      </x:c>
    </x:row>
    <x:row r="431" ht="80" customHeight="1">
      <x:c r="A431" s="25" t="str">
        <x:v>JacksonDatabind</x:v>
      </x:c>
      <x:c r="B431" s="25" t="n">
        <x:v>38</x:v>
      </x:c>
      <x:c r="C431" s="25" t="str">
        <x:v>Round1</x:v>
      </x:c>
      <x:c r="D431" s="25" t="str">
        <x:v>NOT_REVEALING</x:v>
      </x:c>
      <x:c r="E431" s="25" t="str">
        <x:v>N/A</x:v>
      </x:c>
      <x:c r="F431" s="26" t="str">
        <x:v>Same saved validation suite passed on buggy and fixed</x:v>
      </x:c>
      <x:c r="G431" s="25" t="str">
        <x:v>true</x:v>
      </x:c>
      <x:c r="H431" s="25" t="str">
        <x:v>NOT_REVEALING</x:v>
      </x:c>
      <x:c r="I431" s="25" t="str">
        <x:v>PASS</x:v>
      </x:c>
      <x:c r="J431" s="25" t="str">
        <x:v>PASS</x:v>
      </x:c>
      <x:c r="K431" s="25" t="n">
        <x:v>2</x:v>
      </x:c>
      <x:c r="L431" s="27" t="b">
        <x:v>0</x:v>
      </x:c>
      <x:c r="M431" s="25" t="str">
        <x:v>Feedback-Directed Random Test Generation/rounds/Round1/state/JacksonDatabind.json</x:v>
      </x:c>
      <x:c r="N431" s="25" t="str">
        <x:v>Feedback-Directed Random Test Generation/Result/JacksonDatabind_38/result.json</x:v>
      </x:c>
      <x:c r="O431" s="25" t="str">
        <x:v>Feedback-Directed Random Test Generation/Result/JacksonDatabind_38/result.json</x:v>
      </x:c>
      <x:c r="P431"/>
      <x:c r="Q431" s="21" t="str"/>
      <x:c r="R431" s="21" t="str"/>
      <x:c r="S431" s="21" t="str"/>
      <x:c r="T431" s="17" t="str">
        <x:v>false</x:v>
      </x:c>
      <x:c r="U431" s="17" t="str">
        <x:v>true</x:v>
      </x:c>
      <x:c r="V431" s="17" t="str">
        <x:v>false</x:v>
      </x:c>
    </x:row>
    <x:row r="432" ht="80" customHeight="1">
      <x:c r="A432" s="25" t="str">
        <x:v>JacksonDatabind</x:v>
      </x:c>
      <x:c r="B432" s="25" t="n">
        <x:v>39</x:v>
      </x:c>
      <x:c r="C432" s="25" t="str">
        <x:v>Round1</x:v>
      </x:c>
      <x:c r="D432" s="25" t="str">
        <x:v>NOT_REVEALING</x:v>
      </x:c>
      <x:c r="E432" s="25" t="str">
        <x:v>N/A</x:v>
      </x:c>
      <x:c r="F432" s="26" t="str">
        <x:v>Same saved validation suite passed on buggy and fixed</x:v>
      </x:c>
      <x:c r="G432" s="25" t="str">
        <x:v>true</x:v>
      </x:c>
      <x:c r="H432" s="25" t="str">
        <x:v>NOT_REVEALING</x:v>
      </x:c>
      <x:c r="I432" s="25" t="str">
        <x:v>PASS</x:v>
      </x:c>
      <x:c r="J432" s="25" t="str">
        <x:v>PASS</x:v>
      </x:c>
      <x:c r="K432" s="25" t="n">
        <x:v>2</x:v>
      </x:c>
      <x:c r="L432" s="27" t="b">
        <x:v>0</x:v>
      </x:c>
      <x:c r="M432" s="25" t="str">
        <x:v>Feedback-Directed Random Test Generation/rounds/Round1/state/JacksonDatabind.json</x:v>
      </x:c>
      <x:c r="N432" s="25" t="str">
        <x:v>Feedback-Directed Random Test Generation/Result/JacksonDatabind_39/result.json</x:v>
      </x:c>
      <x:c r="O432" s="25" t="str">
        <x:v>Feedback-Directed Random Test Generation/Result/JacksonDatabind_39/result.json</x:v>
      </x:c>
      <x:c r="P432"/>
      <x:c r="Q432" s="21" t="str"/>
      <x:c r="R432" s="21" t="str"/>
      <x:c r="S432" s="21" t="str"/>
      <x:c r="T432" s="17" t="str">
        <x:v>false</x:v>
      </x:c>
      <x:c r="U432" s="17" t="str">
        <x:v>true</x:v>
      </x:c>
      <x:c r="V432" s="17" t="str">
        <x:v>false</x:v>
      </x:c>
    </x:row>
    <x:row r="433" ht="80" customHeight="1">
      <x:c r="A433" s="25" t="str">
        <x:v>JacksonDatabind</x:v>
      </x:c>
      <x:c r="B433" s="25" t="n">
        <x:v>40</x:v>
      </x:c>
      <x:c r="C433" s="25" t="str">
        <x:v>Round1</x:v>
      </x:c>
      <x:c r="D433" s="25" t="str">
        <x:v>INCONCLUSIVE</x:v>
      </x:c>
      <x:c r="E433" s="25" t="str">
        <x:v>N/A</x:v>
      </x:c>
      <x:c r="F433" s="26" t="str">
        <x:v>Fixed also failed; assertion failure cannot be attributed to this bug</x:v>
      </x:c>
      <x:c r="G433" s="25" t="str">
        <x:v>true</x:v>
      </x:c>
      <x:c r="H433" s="25" t="str">
        <x:v>INCONCLUSIVE</x:v>
      </x:c>
      <x:c r="I433" s="25" t="str">
        <x:v>PASS</x:v>
      </x:c>
      <x:c r="J433" s="25" t="str">
        <x:v>FAIL</x:v>
      </x:c>
      <x:c r="K433" s="25" t="n">
        <x:v>11</x:v>
      </x:c>
      <x:c r="L433" s="27" t="b">
        <x:v>0</x:v>
      </x:c>
      <x:c r="M433" s="25" t="str">
        <x:v>Feedback-Directed Random Test Generation/rounds/Round1/state/JacksonDatabind.json</x:v>
      </x:c>
      <x:c r="N433" s="25" t="str">
        <x:v>Feedback-Directed Random Test Generation/Result/JacksonDatabind_40/result.json</x:v>
      </x:c>
      <x:c r="O433" s="25" t="str">
        <x:v>Feedback-Directed Random Test Generation/Result/JacksonDatabind_40/result.json</x:v>
      </x:c>
      <x:c r="P433"/>
      <x:c r="Q433" s="21" t="str"/>
      <x:c r="R433" s="21" t="str"/>
      <x:c r="S433" s="21" t="str"/>
      <x:c r="T433" s="17" t="str">
        <x:v>false</x:v>
      </x:c>
      <x:c r="U433" s="17" t="str">
        <x:v>true</x:v>
      </x:c>
      <x:c r="V433" s="17" t="str">
        <x:v>false</x:v>
      </x:c>
    </x:row>
    <x:row r="434" ht="80" customHeight="1">
      <x:c r="A434" s="25" t="str">
        <x:v>JacksonDatabind</x:v>
      </x:c>
      <x:c r="B434" s="25" t="n">
        <x:v>41</x:v>
      </x:c>
      <x:c r="C434" s="25" t="str">
        <x:v>Round1</x:v>
      </x:c>
      <x:c r="D434" s="25" t="str">
        <x:v>NOT_REVEALING</x:v>
      </x:c>
      <x:c r="E434" s="25" t="str">
        <x:v>N/A</x:v>
      </x:c>
      <x:c r="F434" s="26" t="str">
        <x:v>Same saved validation suite passed on buggy and fixed</x:v>
      </x:c>
      <x:c r="G434" s="25" t="str">
        <x:v>true</x:v>
      </x:c>
      <x:c r="H434" s="25" t="str">
        <x:v>NOT_REVEALING</x:v>
      </x:c>
      <x:c r="I434" s="25" t="str">
        <x:v>PASS</x:v>
      </x:c>
      <x:c r="J434" s="25" t="str">
        <x:v>PASS</x:v>
      </x:c>
      <x:c r="K434" s="25" t="n">
        <x:v>2</x:v>
      </x:c>
      <x:c r="L434" s="27" t="b">
        <x:v>0</x:v>
      </x:c>
      <x:c r="M434" s="25" t="str">
        <x:v>Feedback-Directed Random Test Generation/rounds/Round1/state/JacksonDatabind.json</x:v>
      </x:c>
      <x:c r="N434" s="25" t="str">
        <x:v>Feedback-Directed Random Test Generation/Result/JacksonDatabind_41/result.json</x:v>
      </x:c>
      <x:c r="O434" s="25" t="str">
        <x:v>Feedback-Directed Random Test Generation/Result/JacksonDatabind_41/result.json</x:v>
      </x:c>
      <x:c r="P434"/>
      <x:c r="Q434" s="21" t="str"/>
      <x:c r="R434" s="21" t="str"/>
      <x:c r="S434" s="21" t="str"/>
      <x:c r="T434" s="17" t="str">
        <x:v>false</x:v>
      </x:c>
      <x:c r="U434" s="17" t="str">
        <x:v>true</x:v>
      </x:c>
      <x:c r="V434" s="17" t="str">
        <x:v>false</x:v>
      </x:c>
    </x:row>
    <x:row r="435" ht="80" customHeight="1">
      <x:c r="A435" s="25" t="str">
        <x:v>JacksonDatabind</x:v>
      </x:c>
      <x:c r="B435" s="25" t="n">
        <x:v>42</x:v>
      </x:c>
      <x:c r="C435" s="25" t="str">
        <x:v>Round1</x:v>
      </x:c>
      <x:c r="D435" s="25" t="str">
        <x:v>NOT_REVEALING</x:v>
      </x:c>
      <x:c r="E435" s="25" t="str">
        <x:v>N/A</x:v>
      </x:c>
      <x:c r="F435" s="26" t="str">
        <x:v>Same saved validation suite passed on buggy and fixed</x:v>
      </x:c>
      <x:c r="G435" s="25" t="str">
        <x:v>true</x:v>
      </x:c>
      <x:c r="H435" s="25" t="str">
        <x:v>NOT_REVEALING</x:v>
      </x:c>
      <x:c r="I435" s="25" t="str">
        <x:v>PASS</x:v>
      </x:c>
      <x:c r="J435" s="25" t="str">
        <x:v>PASS</x:v>
      </x:c>
      <x:c r="K435" s="25" t="n">
        <x:v>2</x:v>
      </x:c>
      <x:c r="L435" s="27" t="b">
        <x:v>0</x:v>
      </x:c>
      <x:c r="M435" s="25" t="str">
        <x:v>Feedback-Directed Random Test Generation/rounds/Round1/state/JacksonDatabind.json</x:v>
      </x:c>
      <x:c r="N435" s="25" t="str">
        <x:v>Feedback-Directed Random Test Generation/Result/JacksonDatabind_42/result.json</x:v>
      </x:c>
      <x:c r="O435" s="25" t="str">
        <x:v>Feedback-Directed Random Test Generation/Result/JacksonDatabind_42/result.json</x:v>
      </x:c>
      <x:c r="P435"/>
      <x:c r="Q435" s="21" t="str"/>
      <x:c r="R435" s="21" t="str"/>
      <x:c r="S435" s="21" t="str"/>
      <x:c r="T435" s="17" t="str">
        <x:v>false</x:v>
      </x:c>
      <x:c r="U435" s="17" t="str">
        <x:v>true</x:v>
      </x:c>
      <x:c r="V435" s="17" t="str">
        <x:v>false</x:v>
      </x:c>
    </x:row>
    <x:row r="436" ht="80" customHeight="1">
      <x:c r="A436" s="25" t="str">
        <x:v>JacksonDatabind</x:v>
      </x:c>
      <x:c r="B436" s="25" t="n">
        <x:v>43</x:v>
      </x:c>
      <x:c r="C436" s="25" t="str">
        <x:v>Round1</x:v>
      </x:c>
      <x:c r="D436" s="25" t="str">
        <x:v>NOT_REVEALING</x:v>
      </x:c>
      <x:c r="E436" s="25" t="str">
        <x:v>N/A</x:v>
      </x:c>
      <x:c r="F436" s="26" t="str">
        <x:v>Same saved validation suite passed on buggy and fixed</x:v>
      </x:c>
      <x:c r="G436" s="25" t="str">
        <x:v>true</x:v>
      </x:c>
      <x:c r="H436" s="25" t="str">
        <x:v>NOT_REVEALING</x:v>
      </x:c>
      <x:c r="I436" s="25" t="str">
        <x:v>PASS</x:v>
      </x:c>
      <x:c r="J436" s="25" t="str">
        <x:v>PASS</x:v>
      </x:c>
      <x:c r="K436" s="25" t="n">
        <x:v>2</x:v>
      </x:c>
      <x:c r="L436" s="27" t="b">
        <x:v>0</x:v>
      </x:c>
      <x:c r="M436" s="25" t="str">
        <x:v>Feedback-Directed Random Test Generation/rounds/Round1/state/JacksonDatabind.json</x:v>
      </x:c>
      <x:c r="N436" s="25" t="str">
        <x:v>Feedback-Directed Random Test Generation/Result/JacksonDatabind_43/result.json</x:v>
      </x:c>
      <x:c r="O436" s="25" t="str">
        <x:v>Feedback-Directed Random Test Generation/Result/JacksonDatabind_43/result.json</x:v>
      </x:c>
      <x:c r="P436"/>
      <x:c r="Q436" s="21" t="str"/>
      <x:c r="R436" s="21" t="str"/>
      <x:c r="S436" s="21" t="str"/>
      <x:c r="T436" s="17" t="str">
        <x:v>false</x:v>
      </x:c>
      <x:c r="U436" s="17" t="str">
        <x:v>true</x:v>
      </x:c>
      <x:c r="V436" s="17" t="str">
        <x:v>false</x:v>
      </x:c>
    </x:row>
    <x:row r="437" ht="80" customHeight="1">
      <x:c r="A437" s="25" t="str">
        <x:v>JacksonDatabind</x:v>
      </x:c>
      <x:c r="B437" s="25" t="n">
        <x:v>44</x:v>
      </x:c>
      <x:c r="C437" s="25" t="str">
        <x:v>Round1</x:v>
      </x:c>
      <x:c r="D437" s="25" t="str">
        <x:v>NOT_REVEALING</x:v>
      </x:c>
      <x:c r="E437" s="25" t="str">
        <x:v>N/A</x:v>
      </x:c>
      <x:c r="F437" s="26" t="str">
        <x:v>Same saved validation suite passed on buggy and fixed</x:v>
      </x:c>
      <x:c r="G437" s="25" t="str">
        <x:v>true</x:v>
      </x:c>
      <x:c r="H437" s="25" t="str">
        <x:v>NOT_REVEALING</x:v>
      </x:c>
      <x:c r="I437" s="25" t="str">
        <x:v>PASS</x:v>
      </x:c>
      <x:c r="J437" s="25" t="str">
        <x:v>PASS</x:v>
      </x:c>
      <x:c r="K437" s="25" t="n">
        <x:v>2</x:v>
      </x:c>
      <x:c r="L437" s="27" t="b">
        <x:v>0</x:v>
      </x:c>
      <x:c r="M437" s="25" t="str">
        <x:v>Feedback-Directed Random Test Generation/rounds/Round1/state/JacksonDatabind.json</x:v>
      </x:c>
      <x:c r="N437" s="25" t="str">
        <x:v>Feedback-Directed Random Test Generation/Result/JacksonDatabind_44/result.json</x:v>
      </x:c>
      <x:c r="O437" s="25" t="str">
        <x:v>Feedback-Directed Random Test Generation/Result/JacksonDatabind_44/result.json</x:v>
      </x:c>
      <x:c r="P437"/>
      <x:c r="Q437" s="21" t="str"/>
      <x:c r="R437" s="21" t="str"/>
      <x:c r="S437" s="21" t="str"/>
      <x:c r="T437" s="17" t="str">
        <x:v>false</x:v>
      </x:c>
      <x:c r="U437" s="17" t="str">
        <x:v>true</x:v>
      </x:c>
      <x:c r="V437" s="17" t="str">
        <x:v>false</x:v>
      </x:c>
    </x:row>
    <x:row r="438" ht="80" customHeight="1">
      <x:c r="A438" s="25" t="str">
        <x:v>JacksonDatabind</x:v>
      </x:c>
      <x:c r="B438" s="25" t="n">
        <x:v>45</x:v>
      </x:c>
      <x:c r="C438" s="25" t="str">
        <x:v>Round1</x:v>
      </x:c>
      <x:c r="D438" s="25" t="str">
        <x:v>NOT_REVEALING</x:v>
      </x:c>
      <x:c r="E438" s="25" t="str">
        <x:v>N/A</x:v>
      </x:c>
      <x:c r="F438" s="26" t="str">
        <x:v>Same saved validation suite passed on buggy and fixed</x:v>
      </x:c>
      <x:c r="G438" s="25" t="str">
        <x:v>true</x:v>
      </x:c>
      <x:c r="H438" s="25" t="str">
        <x:v>NOT_REVEALING</x:v>
      </x:c>
      <x:c r="I438" s="25" t="str">
        <x:v>PASS</x:v>
      </x:c>
      <x:c r="J438" s="25" t="str">
        <x:v>PASS</x:v>
      </x:c>
      <x:c r="K438" s="25" t="n">
        <x:v>2</x:v>
      </x:c>
      <x:c r="L438" s="27" t="b">
        <x:v>0</x:v>
      </x:c>
      <x:c r="M438" s="25" t="str">
        <x:v>Feedback-Directed Random Test Generation/rounds/Round1/state/JacksonDatabind.json</x:v>
      </x:c>
      <x:c r="N438" s="25" t="str">
        <x:v>Feedback-Directed Random Test Generation/Result/JacksonDatabind_45/result.json</x:v>
      </x:c>
      <x:c r="O438" s="25" t="str">
        <x:v>Feedback-Directed Random Test Generation/Result/JacksonDatabind_45/result.json</x:v>
      </x:c>
      <x:c r="P438"/>
      <x:c r="Q438" s="21" t="str"/>
      <x:c r="R438" s="21" t="str"/>
      <x:c r="S438" s="21" t="str"/>
      <x:c r="T438" s="17" t="str">
        <x:v>false</x:v>
      </x:c>
      <x:c r="U438" s="17" t="str">
        <x:v>true</x:v>
      </x:c>
      <x:c r="V438" s="17" t="str">
        <x:v>false</x:v>
      </x:c>
    </x:row>
    <x:row r="439" ht="80" customHeight="1">
      <x:c r="A439" s="25" t="str">
        <x:v>JacksonDatabind</x:v>
      </x:c>
      <x:c r="B439" s="25" t="n">
        <x:v>46</x:v>
      </x:c>
      <x:c r="C439" s="25" t="str">
        <x:v>Round1</x:v>
      </x:c>
      <x:c r="D439" s="25" t="str">
        <x:v>NOT_REVEALING</x:v>
      </x:c>
      <x:c r="E439" s="25" t="str">
        <x:v>N/A</x:v>
      </x:c>
      <x:c r="F439" s="26" t="str">
        <x:v>Same saved validation suite passed on buggy and fixed</x:v>
      </x:c>
      <x:c r="G439" s="25" t="str">
        <x:v>true</x:v>
      </x:c>
      <x:c r="H439" s="25" t="str">
        <x:v>NOT_REVEALING</x:v>
      </x:c>
      <x:c r="I439" s="25" t="str">
        <x:v>PASS</x:v>
      </x:c>
      <x:c r="J439" s="25" t="str">
        <x:v>PASS</x:v>
      </x:c>
      <x:c r="K439" s="25" t="n">
        <x:v>2</x:v>
      </x:c>
      <x:c r="L439" s="27" t="b">
        <x:v>0</x:v>
      </x:c>
      <x:c r="M439" s="25" t="str">
        <x:v>Feedback-Directed Random Test Generation/rounds/Round1/state/JacksonDatabind.json</x:v>
      </x:c>
      <x:c r="N439" s="25" t="str">
        <x:v>Feedback-Directed Random Test Generation/Result/JacksonDatabind_46/result.json</x:v>
      </x:c>
      <x:c r="O439" s="25" t="str">
        <x:v>Feedback-Directed Random Test Generation/Result/JacksonDatabind_46/result.json</x:v>
      </x:c>
      <x:c r="P439"/>
      <x:c r="Q439" s="21" t="str"/>
      <x:c r="R439" s="21" t="str"/>
      <x:c r="S439" s="21" t="str"/>
      <x:c r="T439" s="17" t="str">
        <x:v>false</x:v>
      </x:c>
      <x:c r="U439" s="17" t="str">
        <x:v>true</x:v>
      </x:c>
      <x:c r="V439" s="17" t="str">
        <x:v>false</x:v>
      </x:c>
    </x:row>
    <x:row r="440" ht="80" customHeight="1">
      <x:c r="A440" s="25" t="str">
        <x:v>JacksonDatabind</x:v>
      </x:c>
      <x:c r="B440" s="25" t="n">
        <x:v>47</x:v>
      </x:c>
      <x:c r="C440" s="25" t="str">
        <x:v>Round1</x:v>
      </x:c>
      <x:c r="D440" s="25" t="str">
        <x:v>FAIL</x:v>
      </x:c>
      <x:c r="E440" s="25" t="str">
        <x:v>N/A</x:v>
      </x:c>
      <x:c r="F440" s="26" t="str">
        <x:v>Latest same-round generation failed; older files/results are excluded</x:v>
      </x:c>
      <x:c r="G440" s="25" t="str">
        <x:v>true</x:v>
      </x:c>
      <x:c r="H440" s="25" t="str">
        <x:v>FAIL</x:v>
      </x:c>
      <x:c r="I440" s="25"/>
      <x:c r="J440" s="25"/>
      <x:c r="K440" s="25" t="n">
        <x:v>0</x:v>
      </x:c>
      <x:c r="L440" s="27" t="b">
        <x:v>1</x:v>
      </x:c>
      <x:c r="M440" s="25" t="str">
        <x:v>Feedback-Directed Random Test Generation/rounds/Round1/state/JacksonDatabind.json</x:v>
      </x:c>
      <x:c r="N440" s="25"/>
      <x:c r="O440" s="25" t="str">
        <x:v>Feedback-Directed Random Test Generation/Result/JacksonDatabind_47/result.json</x:v>
      </x:c>
      <x:c r="P440"/>
      <x:c r="Q440" s="21" t="str"/>
      <x:c r="R440" s="21" t="str"/>
      <x:c r="S440" s="21" t="str"/>
      <x:c r="T440" s="17" t="str">
        <x:v>false</x:v>
      </x:c>
      <x:c r="U440" s="17" t="str">
        <x:v>false</x:v>
      </x:c>
      <x:c r="V440" s="17" t="str">
        <x:v>false</x:v>
      </x:c>
    </x:row>
    <x:row r="441" ht="80" customHeight="1">
      <x:c r="A441" s="25" t="str">
        <x:v>JacksonDatabind</x:v>
      </x:c>
      <x:c r="B441" s="25" t="n">
        <x:v>48</x:v>
      </x:c>
      <x:c r="C441" s="25" t="str">
        <x:v>Round1</x:v>
      </x:c>
      <x:c r="D441" s="25" t="str">
        <x:v>NOT_REVEALING</x:v>
      </x:c>
      <x:c r="E441" s="25" t="str">
        <x:v>N/A</x:v>
      </x:c>
      <x:c r="F441" s="26" t="str">
        <x:v>Same saved validation suite passed on buggy and fixed</x:v>
      </x:c>
      <x:c r="G441" s="25" t="str">
        <x:v>true</x:v>
      </x:c>
      <x:c r="H441" s="25" t="str">
        <x:v>NOT_REVEALING</x:v>
      </x:c>
      <x:c r="I441" s="25" t="str">
        <x:v>PASS</x:v>
      </x:c>
      <x:c r="J441" s="25" t="str">
        <x:v>PASS</x:v>
      </x:c>
      <x:c r="K441" s="25" t="n">
        <x:v>6</x:v>
      </x:c>
      <x:c r="L441" s="27" t="b">
        <x:v>0</x:v>
      </x:c>
      <x:c r="M441" s="25" t="str">
        <x:v>Feedback-Directed Random Test Generation/rounds/Round1/state/JacksonDatabind.json</x:v>
      </x:c>
      <x:c r="N441" s="25" t="str">
        <x:v>Feedback-Directed Random Test Generation/Result/JacksonDatabind_48/result.json</x:v>
      </x:c>
      <x:c r="O441" s="25" t="str">
        <x:v>Feedback-Directed Random Test Generation/Result/JacksonDatabind_48/result.json</x:v>
      </x:c>
      <x:c r="P441"/>
      <x:c r="Q441" s="21" t="str"/>
      <x:c r="R441" s="21" t="str"/>
      <x:c r="S441" s="21" t="str"/>
      <x:c r="T441" s="17" t="str">
        <x:v>false</x:v>
      </x:c>
      <x:c r="U441" s="17" t="str">
        <x:v>true</x:v>
      </x:c>
      <x:c r="V441" s="17" t="str">
        <x:v>false</x:v>
      </x:c>
    </x:row>
    <x:row r="442" ht="80" customHeight="1">
      <x:c r="A442" s="25" t="str">
        <x:v>JacksonDatabind</x:v>
      </x:c>
      <x:c r="B442" s="25" t="n">
        <x:v>49</x:v>
      </x:c>
      <x:c r="C442" s="25" t="str">
        <x:v>Round1</x:v>
      </x:c>
      <x:c r="D442" s="25" t="str">
        <x:v>NOT_REVEALING</x:v>
      </x:c>
      <x:c r="E442" s="25" t="str">
        <x:v>N/A</x:v>
      </x:c>
      <x:c r="F442" s="26" t="str">
        <x:v>Same saved validation suite passed on buggy and fixed</x:v>
      </x:c>
      <x:c r="G442" s="25" t="str">
        <x:v>true</x:v>
      </x:c>
      <x:c r="H442" s="25" t="str">
        <x:v>NOT_REVEALING</x:v>
      </x:c>
      <x:c r="I442" s="25" t="str">
        <x:v>PASS</x:v>
      </x:c>
      <x:c r="J442" s="25" t="str">
        <x:v>PASS</x:v>
      </x:c>
      <x:c r="K442" s="25" t="n">
        <x:v>2</x:v>
      </x:c>
      <x:c r="L442" s="27" t="b">
        <x:v>0</x:v>
      </x:c>
      <x:c r="M442" s="25" t="str">
        <x:v>Feedback-Directed Random Test Generation/rounds/Round1/state/JacksonDatabind.json</x:v>
      </x:c>
      <x:c r="N442" s="25" t="str">
        <x:v>Feedback-Directed Random Test Generation/Result/JacksonDatabind_49/result.json</x:v>
      </x:c>
      <x:c r="O442" s="25" t="str">
        <x:v>Feedback-Directed Random Test Generation/Result/JacksonDatabind_49/result.json</x:v>
      </x:c>
      <x:c r="P442"/>
      <x:c r="Q442" s="21" t="str"/>
      <x:c r="R442" s="21" t="str"/>
      <x:c r="S442" s="21" t="str"/>
      <x:c r="T442" s="17" t="str">
        <x:v>false</x:v>
      </x:c>
      <x:c r="U442" s="17" t="str">
        <x:v>true</x:v>
      </x:c>
      <x:c r="V442" s="17" t="str">
        <x:v>false</x:v>
      </x:c>
    </x:row>
    <x:row r="443" ht="80" customHeight="1">
      <x:c r="A443" s="25" t="str">
        <x:v>JacksonDatabind</x:v>
      </x:c>
      <x:c r="B443" s="25" t="n">
        <x:v>50</x:v>
      </x:c>
      <x:c r="C443" s="25" t="str">
        <x:v>Round1</x:v>
      </x:c>
      <x:c r="D443" s="25" t="str">
        <x:v>NOT_REVEALING</x:v>
      </x:c>
      <x:c r="E443" s="25" t="str">
        <x:v>N/A</x:v>
      </x:c>
      <x:c r="F443" s="26" t="str">
        <x:v>Same saved validation suite passed on buggy and fixed</x:v>
      </x:c>
      <x:c r="G443" s="25" t="str">
        <x:v>true</x:v>
      </x:c>
      <x:c r="H443" s="25" t="str">
        <x:v>NOT_REVEALING</x:v>
      </x:c>
      <x:c r="I443" s="25" t="str">
        <x:v>PASS</x:v>
      </x:c>
      <x:c r="J443" s="25" t="str">
        <x:v>PASS</x:v>
      </x:c>
      <x:c r="K443" s="25" t="n">
        <x:v>2</x:v>
      </x:c>
      <x:c r="L443" s="27" t="b">
        <x:v>0</x:v>
      </x:c>
      <x:c r="M443" s="25" t="str">
        <x:v>Feedback-Directed Random Test Generation/rounds/Round1/state/JacksonDatabind.json</x:v>
      </x:c>
      <x:c r="N443" s="25" t="str">
        <x:v>Feedback-Directed Random Test Generation/Result/JacksonDatabind_50/result.json</x:v>
      </x:c>
      <x:c r="O443" s="25" t="str">
        <x:v>Feedback-Directed Random Test Generation/Result/JacksonDatabind_50/result.json</x:v>
      </x:c>
      <x:c r="P443"/>
      <x:c r="Q443" s="21" t="str"/>
      <x:c r="R443" s="21" t="str"/>
      <x:c r="S443" s="21" t="str"/>
      <x:c r="T443" s="17" t="str">
        <x:v>false</x:v>
      </x:c>
      <x:c r="U443" s="17" t="str">
        <x:v>true</x:v>
      </x:c>
      <x:c r="V443" s="17" t="str">
        <x:v>false</x:v>
      </x:c>
    </x:row>
    <x:row r="444" ht="80" customHeight="1">
      <x:c r="A444" s="25" t="str">
        <x:v>JacksonDatabind</x:v>
      </x:c>
      <x:c r="B444" s="25" t="n">
        <x:v>51</x:v>
      </x:c>
      <x:c r="C444" s="25" t="str">
        <x:v>Round1</x:v>
      </x:c>
      <x:c r="D444" s="25" t="str">
        <x:v>NOT_REVEALING</x:v>
      </x:c>
      <x:c r="E444" s="25" t="str">
        <x:v>N/A</x:v>
      </x:c>
      <x:c r="F444" s="26" t="str">
        <x:v>Same saved validation suite passed on buggy and fixed</x:v>
      </x:c>
      <x:c r="G444" s="25" t="str">
        <x:v>true</x:v>
      </x:c>
      <x:c r="H444" s="25" t="str">
        <x:v>NOT_REVEALING</x:v>
      </x:c>
      <x:c r="I444" s="25" t="str">
        <x:v>PASS</x:v>
      </x:c>
      <x:c r="J444" s="25" t="str">
        <x:v>PASS</x:v>
      </x:c>
      <x:c r="K444" s="25" t="n">
        <x:v>2</x:v>
      </x:c>
      <x:c r="L444" s="27" t="b">
        <x:v>0</x:v>
      </x:c>
      <x:c r="M444" s="25" t="str">
        <x:v>Feedback-Directed Random Test Generation/rounds/Round1/state/JacksonDatabind.json</x:v>
      </x:c>
      <x:c r="N444" s="25" t="str">
        <x:v>Feedback-Directed Random Test Generation/Result/JacksonDatabind_51/result.json</x:v>
      </x:c>
      <x:c r="O444" s="25" t="str">
        <x:v>Feedback-Directed Random Test Generation/Result/JacksonDatabind_51/result.json</x:v>
      </x:c>
      <x:c r="P444"/>
      <x:c r="Q444" s="21" t="str"/>
      <x:c r="R444" s="21" t="str"/>
      <x:c r="S444" s="21" t="str"/>
      <x:c r="T444" s="17" t="str">
        <x:v>false</x:v>
      </x:c>
      <x:c r="U444" s="17" t="str">
        <x:v>true</x:v>
      </x:c>
      <x:c r="V444" s="17" t="str">
        <x:v>false</x:v>
      </x:c>
    </x:row>
    <x:row r="445" ht="80" customHeight="1">
      <x:c r="A445" s="25" t="str">
        <x:v>JacksonDatabind</x:v>
      </x:c>
      <x:c r="B445" s="25" t="n">
        <x:v>52</x:v>
      </x:c>
      <x:c r="C445" s="25" t="str">
        <x:v>Round1</x:v>
      </x:c>
      <x:c r="D445" s="25" t="str">
        <x:v>NOT_REVEALING</x:v>
      </x:c>
      <x:c r="E445" s="25" t="str">
        <x:v>N/A</x:v>
      </x:c>
      <x:c r="F445" s="26" t="str">
        <x:v>Same saved validation suite passed on buggy and fixed</x:v>
      </x:c>
      <x:c r="G445" s="25" t="str">
        <x:v>true</x:v>
      </x:c>
      <x:c r="H445" s="25" t="str">
        <x:v>NOT_REVEALING</x:v>
      </x:c>
      <x:c r="I445" s="25" t="str">
        <x:v>PASS</x:v>
      </x:c>
      <x:c r="J445" s="25" t="str">
        <x:v>PASS</x:v>
      </x:c>
      <x:c r="K445" s="25" t="n">
        <x:v>8</x:v>
      </x:c>
      <x:c r="L445" s="27" t="b">
        <x:v>0</x:v>
      </x:c>
      <x:c r="M445" s="25" t="str">
        <x:v>Feedback-Directed Random Test Generation/rounds/Round1/state/JacksonDatabind.json</x:v>
      </x:c>
      <x:c r="N445" s="25" t="str">
        <x:v>Feedback-Directed Random Test Generation/Result/JacksonDatabind_52/result.json</x:v>
      </x:c>
      <x:c r="O445" s="25" t="str">
        <x:v>Feedback-Directed Random Test Generation/Result/JacksonDatabind_52/result.json</x:v>
      </x:c>
      <x:c r="P445"/>
      <x:c r="Q445" s="21" t="str"/>
      <x:c r="R445" s="21" t="str"/>
      <x:c r="S445" s="21" t="str"/>
      <x:c r="T445" s="17" t="str">
        <x:v>false</x:v>
      </x:c>
      <x:c r="U445" s="17" t="str">
        <x:v>true</x:v>
      </x:c>
      <x:c r="V445" s="17" t="str">
        <x:v>false</x:v>
      </x:c>
    </x:row>
    <x:row r="446" ht="80" customHeight="1">
      <x:c r="A446" s="25" t="str">
        <x:v>JacksonDatabind</x:v>
      </x:c>
      <x:c r="B446" s="25" t="n">
        <x:v>53</x:v>
      </x:c>
      <x:c r="C446" s="25" t="str">
        <x:v>Round1</x:v>
      </x:c>
      <x:c r="D446" s="25" t="str">
        <x:v>NOT_AVAILABLE</x:v>
      </x:c>
      <x:c r="E446" s="25" t="str">
        <x:v>N/A</x:v>
      </x:c>
      <x:c r="F446" s="26" t="str">
        <x:v>fixed test_compile=FAIL</x:v>
      </x:c>
      <x:c r="G446" s="25" t="str">
        <x:v>true</x:v>
      </x:c>
      <x:c r="H446" s="25" t="str">
        <x:v>NOT_AVAILABLE</x:v>
      </x:c>
      <x:c r="I446" s="25" t="str">
        <x:v>PASS</x:v>
      </x:c>
      <x:c r="J446" s="25" t="str">
        <x:v>NOT_RUN</x:v>
      </x:c>
      <x:c r="K446" s="25" t="n">
        <x:v>3</x:v>
      </x:c>
      <x:c r="L446" s="27" t="b">
        <x:v>0</x:v>
      </x:c>
      <x:c r="M446" s="25" t="str">
        <x:v>Feedback-Directed Random Test Generation/rounds/Round1/state/JacksonDatabind.json</x:v>
      </x:c>
      <x:c r="N446" s="25" t="str">
        <x:v>Feedback-Directed Random Test Generation/Result/JacksonDatabind_53/result.json</x:v>
      </x:c>
      <x:c r="O446" s="25" t="str">
        <x:v>Feedback-Directed Random Test Generation/Result/JacksonDatabind_53/result.json</x:v>
      </x:c>
      <x:c r="P446" t="str">
        <x:v>FIXED_NOT_RUN</x:v>
      </x:c>
      <x:c r="Q446" s="21" t="str"/>
      <x:c r="R446" s="21" t="str"/>
      <x:c r="S446" s="21" t="str"/>
      <x:c r="T446" s="17" t="str">
        <x:v>false</x:v>
      </x:c>
      <x:c r="U446" s="17" t="str">
        <x:v>true</x:v>
      </x:c>
      <x:c r="V446" s="17" t="str">
        <x:v>false</x:v>
      </x:c>
    </x:row>
    <x:row r="447" ht="80" customHeight="1">
      <x:c r="A447" s="25" t="str">
        <x:v>JacksonDatabind</x:v>
      </x:c>
      <x:c r="B447" s="25" t="n">
        <x:v>54</x:v>
      </x:c>
      <x:c r="C447" s="25" t="str">
        <x:v>Round1</x:v>
      </x:c>
      <x:c r="D447" s="25" t="str">
        <x:v>NOT_REVEALING</x:v>
      </x:c>
      <x:c r="E447" s="25" t="str">
        <x:v>N/A</x:v>
      </x:c>
      <x:c r="F447" s="26" t="str">
        <x:v>Same saved validation suite passed on buggy and fixed</x:v>
      </x:c>
      <x:c r="G447" s="25" t="str">
        <x:v>true</x:v>
      </x:c>
      <x:c r="H447" s="25" t="str">
        <x:v>NOT_REVEALING</x:v>
      </x:c>
      <x:c r="I447" s="25" t="str">
        <x:v>PASS</x:v>
      </x:c>
      <x:c r="J447" s="25" t="str">
        <x:v>PASS</x:v>
      </x:c>
      <x:c r="K447" s="25" t="n">
        <x:v>2</x:v>
      </x:c>
      <x:c r="L447" s="27" t="b">
        <x:v>0</x:v>
      </x:c>
      <x:c r="M447" s="25" t="str">
        <x:v>Feedback-Directed Random Test Generation/rounds/Round1/state/JacksonDatabind.json</x:v>
      </x:c>
      <x:c r="N447" s="25" t="str">
        <x:v>Feedback-Directed Random Test Generation/Result/JacksonDatabind_54/result.json</x:v>
      </x:c>
      <x:c r="O447" s="25" t="str">
        <x:v>Feedback-Directed Random Test Generation/Result/JacksonDatabind_54/result.json</x:v>
      </x:c>
      <x:c r="P447"/>
      <x:c r="Q447" s="21" t="str"/>
      <x:c r="R447" s="21" t="str"/>
      <x:c r="S447" s="21" t="str"/>
      <x:c r="T447" s="17" t="str">
        <x:v>false</x:v>
      </x:c>
      <x:c r="U447" s="17" t="str">
        <x:v>true</x:v>
      </x:c>
      <x:c r="V447" s="17" t="str">
        <x:v>false</x:v>
      </x:c>
    </x:row>
    <x:row r="448" ht="80" customHeight="1">
      <x:c r="A448" s="25" t="str">
        <x:v>JacksonDatabind</x:v>
      </x:c>
      <x:c r="B448" s="25" t="n">
        <x:v>55</x:v>
      </x:c>
      <x:c r="C448" s="25" t="str">
        <x:v>Round1</x:v>
      </x:c>
      <x:c r="D448" s="25" t="str">
        <x:v>NOT_REVEALING</x:v>
      </x:c>
      <x:c r="E448" s="25" t="str">
        <x:v>N/A</x:v>
      </x:c>
      <x:c r="F448" s="26" t="str">
        <x:v>Same saved validation suite passed on buggy and fixed</x:v>
      </x:c>
      <x:c r="G448" s="25" t="str">
        <x:v>true</x:v>
      </x:c>
      <x:c r="H448" s="25" t="str">
        <x:v>NOT_REVEALING</x:v>
      </x:c>
      <x:c r="I448" s="25" t="str">
        <x:v>PASS</x:v>
      </x:c>
      <x:c r="J448" s="25" t="str">
        <x:v>PASS</x:v>
      </x:c>
      <x:c r="K448" s="25" t="n">
        <x:v>2</x:v>
      </x:c>
      <x:c r="L448" s="27" t="b">
        <x:v>0</x:v>
      </x:c>
      <x:c r="M448" s="25" t="str">
        <x:v>Feedback-Directed Random Test Generation/rounds/Round1/state/JacksonDatabind.json</x:v>
      </x:c>
      <x:c r="N448" s="25" t="str">
        <x:v>Feedback-Directed Random Test Generation/Result/JacksonDatabind_55/result.json</x:v>
      </x:c>
      <x:c r="O448" s="25" t="str">
        <x:v>Feedback-Directed Random Test Generation/Result/JacksonDatabind_55/result.json</x:v>
      </x:c>
      <x:c r="P448"/>
      <x:c r="Q448" s="21" t="str"/>
      <x:c r="R448" s="21" t="str"/>
      <x:c r="S448" s="21" t="str"/>
      <x:c r="T448" s="17" t="str">
        <x:v>false</x:v>
      </x:c>
      <x:c r="U448" s="17" t="str">
        <x:v>true</x:v>
      </x:c>
      <x:c r="V448" s="17" t="str">
        <x:v>false</x:v>
      </x:c>
    </x:row>
    <x:row r="449" ht="80" customHeight="1">
      <x:c r="A449" s="25" t="str">
        <x:v>JacksonDatabind</x:v>
      </x:c>
      <x:c r="B449" s="25" t="n">
        <x:v>56</x:v>
      </x:c>
      <x:c r="C449" s="25" t="str">
        <x:v>Round1</x:v>
      </x:c>
      <x:c r="D449" s="25" t="str">
        <x:v>NOT_REVEALING</x:v>
      </x:c>
      <x:c r="E449" s="25" t="str">
        <x:v>N/A</x:v>
      </x:c>
      <x:c r="F449" s="26" t="str">
        <x:v>Same saved validation suite passed on buggy and fixed</x:v>
      </x:c>
      <x:c r="G449" s="25" t="str">
        <x:v>true</x:v>
      </x:c>
      <x:c r="H449" s="25" t="str">
        <x:v>NOT_REVEALING</x:v>
      </x:c>
      <x:c r="I449" s="25" t="str">
        <x:v>PASS</x:v>
      </x:c>
      <x:c r="J449" s="25" t="str">
        <x:v>PASS</x:v>
      </x:c>
      <x:c r="K449" s="25" t="n">
        <x:v>2</x:v>
      </x:c>
      <x:c r="L449" s="27" t="b">
        <x:v>0</x:v>
      </x:c>
      <x:c r="M449" s="25" t="str">
        <x:v>Feedback-Directed Random Test Generation/rounds/Round1/state/JacksonDatabind.json</x:v>
      </x:c>
      <x:c r="N449" s="25" t="str">
        <x:v>Feedback-Directed Random Test Generation/Result/JacksonDatabind_56/result.json</x:v>
      </x:c>
      <x:c r="O449" s="25" t="str">
        <x:v>Feedback-Directed Random Test Generation/Result/JacksonDatabind_56/result.json</x:v>
      </x:c>
      <x:c r="P449"/>
      <x:c r="Q449" s="21" t="str"/>
      <x:c r="R449" s="21" t="str"/>
      <x:c r="S449" s="21" t="str"/>
      <x:c r="T449" s="17" t="str">
        <x:v>false</x:v>
      </x:c>
      <x:c r="U449" s="17" t="str">
        <x:v>true</x:v>
      </x:c>
      <x:c r="V449" s="17" t="str">
        <x:v>false</x:v>
      </x:c>
    </x:row>
    <x:row r="450" ht="80" customHeight="1">
      <x:c r="A450" s="25" t="str">
        <x:v>JacksonDatabind</x:v>
      </x:c>
      <x:c r="B450" s="25" t="n">
        <x:v>57</x:v>
      </x:c>
      <x:c r="C450" s="25" t="str">
        <x:v>Round1</x:v>
      </x:c>
      <x:c r="D450" s="25" t="str">
        <x:v>NOT_REVEALING</x:v>
      </x:c>
      <x:c r="E450" s="25" t="str">
        <x:v>N/A</x:v>
      </x:c>
      <x:c r="F450" s="26" t="str">
        <x:v>Same saved validation suite passed on buggy and fixed</x:v>
      </x:c>
      <x:c r="G450" s="25" t="str">
        <x:v>true</x:v>
      </x:c>
      <x:c r="H450" s="25" t="str">
        <x:v>NOT_REVEALING</x:v>
      </x:c>
      <x:c r="I450" s="25" t="str">
        <x:v>PASS</x:v>
      </x:c>
      <x:c r="J450" s="25" t="str">
        <x:v>PASS</x:v>
      </x:c>
      <x:c r="K450" s="25" t="n">
        <x:v>2</x:v>
      </x:c>
      <x:c r="L450" s="27" t="b">
        <x:v>0</x:v>
      </x:c>
      <x:c r="M450" s="25" t="str">
        <x:v>Feedback-Directed Random Test Generation/rounds/Round1/state/JacksonDatabind.json</x:v>
      </x:c>
      <x:c r="N450" s="25" t="str">
        <x:v>Feedback-Directed Random Test Generation/Result/JacksonDatabind_57/result.json</x:v>
      </x:c>
      <x:c r="O450" s="25" t="str">
        <x:v>Feedback-Directed Random Test Generation/Result/JacksonDatabind_57/result.json</x:v>
      </x:c>
      <x:c r="P450"/>
      <x:c r="Q450" s="21" t="str"/>
      <x:c r="R450" s="21" t="str"/>
      <x:c r="S450" s="21" t="str"/>
      <x:c r="T450" s="17" t="str">
        <x:v>false</x:v>
      </x:c>
      <x:c r="U450" s="17" t="str">
        <x:v>true</x:v>
      </x:c>
      <x:c r="V450" s="17" t="str">
        <x:v>false</x:v>
      </x:c>
    </x:row>
    <x:row r="451" ht="80" customHeight="1">
      <x:c r="A451" s="25" t="str">
        <x:v>JacksonDatabind</x:v>
      </x:c>
      <x:c r="B451" s="25" t="n">
        <x:v>58</x:v>
      </x:c>
      <x:c r="C451" s="25" t="str">
        <x:v>Round1</x:v>
      </x:c>
      <x:c r="D451" s="25" t="str">
        <x:v>NOT_REVEALING</x:v>
      </x:c>
      <x:c r="E451" s="25" t="str">
        <x:v>N/A</x:v>
      </x:c>
      <x:c r="F451" s="26" t="str">
        <x:v>Same saved validation suite passed on buggy and fixed</x:v>
      </x:c>
      <x:c r="G451" s="25" t="str">
        <x:v>true</x:v>
      </x:c>
      <x:c r="H451" s="25" t="str">
        <x:v>NOT_REVEALING</x:v>
      </x:c>
      <x:c r="I451" s="25" t="str">
        <x:v>PASS</x:v>
      </x:c>
      <x:c r="J451" s="25" t="str">
        <x:v>PASS</x:v>
      </x:c>
      <x:c r="K451" s="25" t="n">
        <x:v>7</x:v>
      </x:c>
      <x:c r="L451" s="27" t="b">
        <x:v>0</x:v>
      </x:c>
      <x:c r="M451" s="25" t="str">
        <x:v>Feedback-Directed Random Test Generation/rounds/Round1/state/JacksonDatabind.json</x:v>
      </x:c>
      <x:c r="N451" s="25" t="str">
        <x:v>Feedback-Directed Random Test Generation/Result/JacksonDatabind_58/result.json</x:v>
      </x:c>
      <x:c r="O451" s="25" t="str">
        <x:v>Feedback-Directed Random Test Generation/Result/JacksonDatabind_58/result.json</x:v>
      </x:c>
      <x:c r="P451"/>
      <x:c r="Q451" s="21" t="str"/>
      <x:c r="R451" s="21" t="str"/>
      <x:c r="S451" s="21" t="str"/>
      <x:c r="T451" s="17" t="str">
        <x:v>false</x:v>
      </x:c>
      <x:c r="U451" s="17" t="str">
        <x:v>true</x:v>
      </x:c>
      <x:c r="V451" s="17" t="str">
        <x:v>false</x:v>
      </x:c>
    </x:row>
    <x:row r="452" ht="80" customHeight="1">
      <x:c r="A452" s="25" t="str">
        <x:v>JacksonDatabind</x:v>
      </x:c>
      <x:c r="B452" s="25" t="n">
        <x:v>59</x:v>
      </x:c>
      <x:c r="C452" s="25" t="str">
        <x:v>Round1</x:v>
      </x:c>
      <x:c r="D452" s="25" t="str">
        <x:v>NOT_REVEALING</x:v>
      </x:c>
      <x:c r="E452" s="25" t="str">
        <x:v>N/A</x:v>
      </x:c>
      <x:c r="F452" s="26" t="str">
        <x:v>Same saved validation suite passed on buggy and fixed</x:v>
      </x:c>
      <x:c r="G452" s="25" t="str">
        <x:v>true</x:v>
      </x:c>
      <x:c r="H452" s="25" t="str">
        <x:v>NOT_REVEALING</x:v>
      </x:c>
      <x:c r="I452" s="25" t="str">
        <x:v>PASS</x:v>
      </x:c>
      <x:c r="J452" s="25" t="str">
        <x:v>PASS</x:v>
      </x:c>
      <x:c r="K452" s="25" t="n">
        <x:v>2</x:v>
      </x:c>
      <x:c r="L452" s="27" t="b">
        <x:v>0</x:v>
      </x:c>
      <x:c r="M452" s="25" t="str">
        <x:v>Feedback-Directed Random Test Generation/rounds/Round1/state/JacksonDatabind.json</x:v>
      </x:c>
      <x:c r="N452" s="25" t="str">
        <x:v>Feedback-Directed Random Test Generation/Result/JacksonDatabind_59/result.json</x:v>
      </x:c>
      <x:c r="O452" s="25" t="str">
        <x:v>Feedback-Directed Random Test Generation/Result/JacksonDatabind_59/result.json</x:v>
      </x:c>
      <x:c r="P452"/>
      <x:c r="Q452" s="21" t="str"/>
      <x:c r="R452" s="21" t="str"/>
      <x:c r="S452" s="21" t="str"/>
      <x:c r="T452" s="17" t="str">
        <x:v>false</x:v>
      </x:c>
      <x:c r="U452" s="17" t="str">
        <x:v>true</x:v>
      </x:c>
      <x:c r="V452" s="17" t="str">
        <x:v>false</x:v>
      </x:c>
    </x:row>
    <x:row r="453" ht="80" customHeight="1">
      <x:c r="A453" s="25" t="str">
        <x:v>JacksonDatabind</x:v>
      </x:c>
      <x:c r="B453" s="25" t="n">
        <x:v>60</x:v>
      </x:c>
      <x:c r="C453" s="25" t="str">
        <x:v>Round1</x:v>
      </x:c>
      <x:c r="D453" s="25" t="str">
        <x:v>NOT_REVEALING</x:v>
      </x:c>
      <x:c r="E453" s="25" t="str">
        <x:v>N/A</x:v>
      </x:c>
      <x:c r="F453" s="26" t="str">
        <x:v>Same saved validation suite passed on buggy and fixed</x:v>
      </x:c>
      <x:c r="G453" s="25" t="str">
        <x:v>true</x:v>
      </x:c>
      <x:c r="H453" s="25" t="str">
        <x:v>NOT_REVEALING</x:v>
      </x:c>
      <x:c r="I453" s="25" t="str">
        <x:v>PASS</x:v>
      </x:c>
      <x:c r="J453" s="25" t="str">
        <x:v>PASS</x:v>
      </x:c>
      <x:c r="K453" s="25" t="n">
        <x:v>2</x:v>
      </x:c>
      <x:c r="L453" s="27" t="b">
        <x:v>0</x:v>
      </x:c>
      <x:c r="M453" s="25" t="str">
        <x:v>Feedback-Directed Random Test Generation/rounds/Round1/state/JacksonDatabind.json</x:v>
      </x:c>
      <x:c r="N453" s="25" t="str">
        <x:v>Feedback-Directed Random Test Generation/Result/JacksonDatabind_60/result.json</x:v>
      </x:c>
      <x:c r="O453" s="25" t="str">
        <x:v>Feedback-Directed Random Test Generation/Result/JacksonDatabind_60/result.json</x:v>
      </x:c>
      <x:c r="P453"/>
      <x:c r="Q453" s="21" t="str"/>
      <x:c r="R453" s="21" t="str"/>
      <x:c r="S453" s="21" t="str"/>
      <x:c r="T453" s="17" t="str">
        <x:v>false</x:v>
      </x:c>
      <x:c r="U453" s="17" t="str">
        <x:v>true</x:v>
      </x:c>
      <x:c r="V453" s="17" t="str">
        <x:v>false</x:v>
      </x:c>
    </x:row>
    <x:row r="454" ht="80" customHeight="1">
      <x:c r="A454" s="25" t="str">
        <x:v>JacksonDatabind</x:v>
      </x:c>
      <x:c r="B454" s="25" t="n">
        <x:v>61</x:v>
      </x:c>
      <x:c r="C454" s="25" t="str">
        <x:v>Round1</x:v>
      </x:c>
      <x:c r="D454" s="25" t="str">
        <x:v>INCONCLUSIVE</x:v>
      </x:c>
      <x:c r="E454" s="25" t="str">
        <x:v>N/A</x:v>
      </x:c>
      <x:c r="F454" s="26" t="str">
        <x:v>Fixed also failed; assertion failure cannot be attributed to this bug; Assertions failed with measured coverage; paired execution and stage checks determine status</x:v>
      </x:c>
      <x:c r="G454" s="25" t="str">
        <x:v>true</x:v>
      </x:c>
      <x:c r="H454" s="25" t="str">
        <x:v>INCONCLUSIVE</x:v>
      </x:c>
      <x:c r="I454" s="25" t="str">
        <x:v>FAIL</x:v>
      </x:c>
      <x:c r="J454" s="25" t="str">
        <x:v>FAIL</x:v>
      </x:c>
      <x:c r="K454" s="25" t="n">
        <x:v>4</x:v>
      </x:c>
      <x:c r="L454" s="27" t="b">
        <x:v>0</x:v>
      </x:c>
      <x:c r="M454" s="25" t="str">
        <x:v>Feedback-Directed Random Test Generation/rounds/Round1/state/JacksonDatabind.json</x:v>
      </x:c>
      <x:c r="N454" s="25" t="str">
        <x:v>Feedback-Directed Random Test Generation/Result/JacksonDatabind_61/result.json</x:v>
      </x:c>
      <x:c r="O454" s="25" t="str">
        <x:v>Feedback-Directed Random Test Generation/Result/JacksonDatabind_61/result.json</x:v>
      </x:c>
      <x:c r="P454"/>
      <x:c r="Q454" s="21" t="str"/>
      <x:c r="R454" s="21" t="str"/>
      <x:c r="S454" s="21" t="str"/>
      <x:c r="T454" s="17" t="str">
        <x:v>false</x:v>
      </x:c>
      <x:c r="U454" s="17" t="str">
        <x:v>true</x:v>
      </x:c>
      <x:c r="V454" s="17" t="str">
        <x:v>false</x:v>
      </x:c>
    </x:row>
    <x:row r="455" ht="80" customHeight="1">
      <x:c r="A455" s="25" t="str">
        <x:v>JacksonDatabind</x:v>
      </x:c>
      <x:c r="B455" s="25" t="n">
        <x:v>62</x:v>
      </x:c>
      <x:c r="C455" s="25" t="str">
        <x:v>Round1</x:v>
      </x:c>
      <x:c r="D455" s="25" t="str">
        <x:v>NOT_REVEALING</x:v>
      </x:c>
      <x:c r="E455" s="25" t="str">
        <x:v>N/A</x:v>
      </x:c>
      <x:c r="F455" s="26" t="str">
        <x:v>Same saved validation suite passed on buggy and fixed</x:v>
      </x:c>
      <x:c r="G455" s="25" t="str">
        <x:v>true</x:v>
      </x:c>
      <x:c r="H455" s="25" t="str">
        <x:v>NOT_REVEALING</x:v>
      </x:c>
      <x:c r="I455" s="25" t="str">
        <x:v>PASS</x:v>
      </x:c>
      <x:c r="J455" s="25" t="str">
        <x:v>PASS</x:v>
      </x:c>
      <x:c r="K455" s="25" t="n">
        <x:v>7</x:v>
      </x:c>
      <x:c r="L455" s="27" t="b">
        <x:v>0</x:v>
      </x:c>
      <x:c r="M455" s="25" t="str">
        <x:v>Feedback-Directed Random Test Generation/rounds/Round1/state/JacksonDatabind.json</x:v>
      </x:c>
      <x:c r="N455" s="25" t="str">
        <x:v>Feedback-Directed Random Test Generation/Result/JacksonDatabind_62/result.json</x:v>
      </x:c>
      <x:c r="O455" s="25" t="str">
        <x:v>Feedback-Directed Random Test Generation/Result/JacksonDatabind_62/result.json</x:v>
      </x:c>
      <x:c r="P455"/>
      <x:c r="Q455" s="21" t="str"/>
      <x:c r="R455" s="21" t="str"/>
      <x:c r="S455" s="21" t="str"/>
      <x:c r="T455" s="17" t="str">
        <x:v>false</x:v>
      </x:c>
      <x:c r="U455" s="17" t="str">
        <x:v>true</x:v>
      </x:c>
      <x:c r="V455" s="17" t="str">
        <x:v>false</x:v>
      </x:c>
    </x:row>
    <x:row r="456" ht="80" customHeight="1">
      <x:c r="A456" s="25" t="str">
        <x:v>JacksonDatabind</x:v>
      </x:c>
      <x:c r="B456" s="25" t="n">
        <x:v>63</x:v>
      </x:c>
      <x:c r="C456" s="25" t="str">
        <x:v>Round1</x:v>
      </x:c>
      <x:c r="D456" s="25" t="str">
        <x:v>INCONCLUSIVE</x:v>
      </x:c>
      <x:c r="E456" s="25" t="str">
        <x:v>N/A</x:v>
      </x:c>
      <x:c r="F456" s="26" t="str">
        <x:v>Fixed also failed; assertion failure cannot be attributed to this bug</x:v>
      </x:c>
      <x:c r="G456" s="25" t="str">
        <x:v>true</x:v>
      </x:c>
      <x:c r="H456" s="25" t="str">
        <x:v>INCONCLUSIVE</x:v>
      </x:c>
      <x:c r="I456" s="25" t="str">
        <x:v>PASS</x:v>
      </x:c>
      <x:c r="J456" s="25" t="str">
        <x:v>FAIL</x:v>
      </x:c>
      <x:c r="K456" s="25" t="n">
        <x:v>9</x:v>
      </x:c>
      <x:c r="L456" s="27" t="b">
        <x:v>0</x:v>
      </x:c>
      <x:c r="M456" s="25" t="str">
        <x:v>Feedback-Directed Random Test Generation/rounds/Round1/state/JacksonDatabind.json</x:v>
      </x:c>
      <x:c r="N456" s="25" t="str">
        <x:v>Feedback-Directed Random Test Generation/Result/JacksonDatabind_63/result.json</x:v>
      </x:c>
      <x:c r="O456" s="25" t="str">
        <x:v>Feedback-Directed Random Test Generation/Result/JacksonDatabind_63/result.json</x:v>
      </x:c>
      <x:c r="P456"/>
      <x:c r="Q456" s="21" t="str"/>
      <x:c r="R456" s="21" t="str"/>
      <x:c r="S456" s="21" t="str"/>
      <x:c r="T456" s="17" t="str">
        <x:v>false</x:v>
      </x:c>
      <x:c r="U456" s="17" t="str">
        <x:v>true</x:v>
      </x:c>
      <x:c r="V456" s="17" t="str">
        <x:v>false</x:v>
      </x:c>
    </x:row>
    <x:row r="457" ht="80" customHeight="1">
      <x:c r="A457" s="25" t="str">
        <x:v>JacksonDatabind</x:v>
      </x:c>
      <x:c r="B457" s="25" t="n">
        <x:v>64</x:v>
      </x:c>
      <x:c r="C457" s="25" t="str">
        <x:v>Round1</x:v>
      </x:c>
      <x:c r="D457" s="25" t="str">
        <x:v>NOT_REVEALING</x:v>
      </x:c>
      <x:c r="E457" s="25" t="str">
        <x:v>N/A</x:v>
      </x:c>
      <x:c r="F457" s="26" t="str">
        <x:v>Same saved validation suite passed on buggy and fixed</x:v>
      </x:c>
      <x:c r="G457" s="25" t="str">
        <x:v>true</x:v>
      </x:c>
      <x:c r="H457" s="25" t="str">
        <x:v>NOT_REVEALING</x:v>
      </x:c>
      <x:c r="I457" s="25" t="str">
        <x:v>PASS</x:v>
      </x:c>
      <x:c r="J457" s="25" t="str">
        <x:v>PASS</x:v>
      </x:c>
      <x:c r="K457" s="25" t="n">
        <x:v>2</x:v>
      </x:c>
      <x:c r="L457" s="27" t="b">
        <x:v>0</x:v>
      </x:c>
      <x:c r="M457" s="25" t="str">
        <x:v>Feedback-Directed Random Test Generation/rounds/Round1/state/JacksonDatabind.json</x:v>
      </x:c>
      <x:c r="N457" s="25" t="str">
        <x:v>Feedback-Directed Random Test Generation/Result/JacksonDatabind_64/result.json</x:v>
      </x:c>
      <x:c r="O457" s="25" t="str">
        <x:v>Feedback-Directed Random Test Generation/Result/JacksonDatabind_64/result.json</x:v>
      </x:c>
      <x:c r="P457"/>
      <x:c r="Q457" s="21" t="str"/>
      <x:c r="R457" s="21" t="str"/>
      <x:c r="S457" s="21" t="str"/>
      <x:c r="T457" s="17" t="str">
        <x:v>false</x:v>
      </x:c>
      <x:c r="U457" s="17" t="str">
        <x:v>true</x:v>
      </x:c>
      <x:c r="V457" s="17" t="str">
        <x:v>false</x:v>
      </x:c>
    </x:row>
    <x:row r="458" ht="80" customHeight="1">
      <x:c r="A458" s="25" t="str">
        <x:v>JacksonDatabind</x:v>
      </x:c>
      <x:c r="B458" s="25" t="n">
        <x:v>66</x:v>
      </x:c>
      <x:c r="C458" s="25" t="str">
        <x:v>Round1</x:v>
      </x:c>
      <x:c r="D458" s="25" t="str">
        <x:v>NOT_REVEALING</x:v>
      </x:c>
      <x:c r="E458" s="25" t="str">
        <x:v>N/A</x:v>
      </x:c>
      <x:c r="F458" s="26" t="str">
        <x:v>Same saved validation suite passed on buggy and fixed</x:v>
      </x:c>
      <x:c r="G458" s="25" t="str">
        <x:v>true</x:v>
      </x:c>
      <x:c r="H458" s="25" t="str">
        <x:v>NOT_REVEALING</x:v>
      </x:c>
      <x:c r="I458" s="25" t="str">
        <x:v>PASS</x:v>
      </x:c>
      <x:c r="J458" s="25" t="str">
        <x:v>PASS</x:v>
      </x:c>
      <x:c r="K458" s="25" t="n">
        <x:v>2</x:v>
      </x:c>
      <x:c r="L458" s="27" t="b">
        <x:v>0</x:v>
      </x:c>
      <x:c r="M458" s="25" t="str">
        <x:v>Feedback-Directed Random Test Generation/rounds/Round1/state/JacksonDatabind.json</x:v>
      </x:c>
      <x:c r="N458" s="25" t="str">
        <x:v>Feedback-Directed Random Test Generation/Result/JacksonDatabind_66/result.json</x:v>
      </x:c>
      <x:c r="O458" s="25" t="str">
        <x:v>Feedback-Directed Random Test Generation/Result/JacksonDatabind_66/result.json</x:v>
      </x:c>
      <x:c r="P458"/>
      <x:c r="Q458" s="21" t="str"/>
      <x:c r="R458" s="21" t="str"/>
      <x:c r="S458" s="21" t="str"/>
      <x:c r="T458" s="17" t="str">
        <x:v>false</x:v>
      </x:c>
      <x:c r="U458" s="17" t="str">
        <x:v>true</x:v>
      </x:c>
      <x:c r="V458" s="17" t="str">
        <x:v>false</x:v>
      </x:c>
    </x:row>
    <x:row r="459" ht="80" customHeight="1">
      <x:c r="A459" s="25" t="str">
        <x:v>JacksonDatabind</x:v>
      </x:c>
      <x:c r="B459" s="25" t="n">
        <x:v>67</x:v>
      </x:c>
      <x:c r="C459" s="25" t="str">
        <x:v>Round1</x:v>
      </x:c>
      <x:c r="D459" s="25" t="str">
        <x:v>NOT_REVEALING</x:v>
      </x:c>
      <x:c r="E459" s="25" t="str">
        <x:v>N/A</x:v>
      </x:c>
      <x:c r="F459" s="26" t="str">
        <x:v>Same saved validation suite passed on buggy and fixed</x:v>
      </x:c>
      <x:c r="G459" s="25" t="str">
        <x:v>true</x:v>
      </x:c>
      <x:c r="H459" s="25" t="str">
        <x:v>NOT_REVEALING</x:v>
      </x:c>
      <x:c r="I459" s="25" t="str">
        <x:v>PASS</x:v>
      </x:c>
      <x:c r="J459" s="25" t="str">
        <x:v>PASS</x:v>
      </x:c>
      <x:c r="K459" s="25" t="n">
        <x:v>2</x:v>
      </x:c>
      <x:c r="L459" s="27" t="b">
        <x:v>0</x:v>
      </x:c>
      <x:c r="M459" s="25" t="str">
        <x:v>Feedback-Directed Random Test Generation/rounds/Round1/state/JacksonDatabind.json</x:v>
      </x:c>
      <x:c r="N459" s="25" t="str">
        <x:v>Feedback-Directed Random Test Generation/Result/JacksonDatabind_67/result.json</x:v>
      </x:c>
      <x:c r="O459" s="25" t="str">
        <x:v>Feedback-Directed Random Test Generation/Result/JacksonDatabind_67/result.json</x:v>
      </x:c>
      <x:c r="P459"/>
      <x:c r="Q459" s="21" t="str"/>
      <x:c r="R459" s="21" t="str"/>
      <x:c r="S459" s="21" t="str"/>
      <x:c r="T459" s="17" t="str">
        <x:v>false</x:v>
      </x:c>
      <x:c r="U459" s="17" t="str">
        <x:v>true</x:v>
      </x:c>
      <x:c r="V459" s="17" t="str">
        <x:v>false</x:v>
      </x:c>
    </x:row>
    <x:row r="460" ht="80" customHeight="1">
      <x:c r="A460" s="25" t="str">
        <x:v>JacksonDatabind</x:v>
      </x:c>
      <x:c r="B460" s="25" t="n">
        <x:v>68</x:v>
      </x:c>
      <x:c r="C460" s="25" t="str">
        <x:v>Round1</x:v>
      </x:c>
      <x:c r="D460" s="25" t="str">
        <x:v>NOT_REVEALING</x:v>
      </x:c>
      <x:c r="E460" s="25" t="str">
        <x:v>N/A</x:v>
      </x:c>
      <x:c r="F460" s="26" t="str">
        <x:v>Same saved validation suite passed on buggy and fixed</x:v>
      </x:c>
      <x:c r="G460" s="25" t="str">
        <x:v>true</x:v>
      </x:c>
      <x:c r="H460" s="25" t="str">
        <x:v>NOT_REVEALING</x:v>
      </x:c>
      <x:c r="I460" s="25" t="str">
        <x:v>PASS</x:v>
      </x:c>
      <x:c r="J460" s="25" t="str">
        <x:v>PASS</x:v>
      </x:c>
      <x:c r="K460" s="25" t="n">
        <x:v>2</x:v>
      </x:c>
      <x:c r="L460" s="27" t="b">
        <x:v>0</x:v>
      </x:c>
      <x:c r="M460" s="25" t="str">
        <x:v>Feedback-Directed Random Test Generation/rounds/Round1/state/JacksonDatabind.json</x:v>
      </x:c>
      <x:c r="N460" s="25" t="str">
        <x:v>Feedback-Directed Random Test Generation/Result/JacksonDatabind_68/result.json</x:v>
      </x:c>
      <x:c r="O460" s="25" t="str">
        <x:v>Feedback-Directed Random Test Generation/Result/JacksonDatabind_68/result.json</x:v>
      </x:c>
      <x:c r="P460"/>
      <x:c r="Q460" s="21" t="str"/>
      <x:c r="R460" s="21" t="str"/>
      <x:c r="S460" s="21" t="str"/>
      <x:c r="T460" s="17" t="str">
        <x:v>false</x:v>
      </x:c>
      <x:c r="U460" s="17" t="str">
        <x:v>true</x:v>
      </x:c>
      <x:c r="V460" s="17" t="str">
        <x:v>false</x:v>
      </x:c>
    </x:row>
    <x:row r="461" ht="80" customHeight="1">
      <x:c r="A461" s="25" t="str">
        <x:v>JacksonDatabind</x:v>
      </x:c>
      <x:c r="B461" s="25" t="n">
        <x:v>69</x:v>
      </x:c>
      <x:c r="C461" s="25" t="str">
        <x:v>Round1</x:v>
      </x:c>
      <x:c r="D461" s="25" t="str">
        <x:v>NOT_REVEALING</x:v>
      </x:c>
      <x:c r="E461" s="25" t="str">
        <x:v>N/A</x:v>
      </x:c>
      <x:c r="F461" s="26" t="str">
        <x:v>Same saved validation suite passed on buggy and fixed</x:v>
      </x:c>
      <x:c r="G461" s="25" t="str">
        <x:v>true</x:v>
      </x:c>
      <x:c r="H461" s="25" t="str">
        <x:v>NOT_REVEALING</x:v>
      </x:c>
      <x:c r="I461" s="25" t="str">
        <x:v>PASS</x:v>
      </x:c>
      <x:c r="J461" s="25" t="str">
        <x:v>PASS</x:v>
      </x:c>
      <x:c r="K461" s="25" t="n">
        <x:v>10</x:v>
      </x:c>
      <x:c r="L461" s="27" t="b">
        <x:v>0</x:v>
      </x:c>
      <x:c r="M461" s="25" t="str">
        <x:v>Feedback-Directed Random Test Generation/rounds/Round1/state/JacksonDatabind.json</x:v>
      </x:c>
      <x:c r="N461" s="25" t="str">
        <x:v>Feedback-Directed Random Test Generation/Result/JacksonDatabind_69/result.json</x:v>
      </x:c>
      <x:c r="O461" s="25" t="str">
        <x:v>Feedback-Directed Random Test Generation/Result/JacksonDatabind_69/result.json</x:v>
      </x:c>
      <x:c r="P461"/>
      <x:c r="Q461" s="21" t="str"/>
      <x:c r="R461" s="21" t="str"/>
      <x:c r="S461" s="21" t="str"/>
      <x:c r="T461" s="17" t="str">
        <x:v>false</x:v>
      </x:c>
      <x:c r="U461" s="17" t="str">
        <x:v>true</x:v>
      </x:c>
      <x:c r="V461" s="17" t="str">
        <x:v>false</x:v>
      </x:c>
    </x:row>
    <x:row r="462" ht="80" customHeight="1">
      <x:c r="A462" s="25" t="str">
        <x:v>JacksonDatabind</x:v>
      </x:c>
      <x:c r="B462" s="25" t="n">
        <x:v>70</x:v>
      </x:c>
      <x:c r="C462" s="25" t="str">
        <x:v>Round1</x:v>
      </x:c>
      <x:c r="D462" s="25" t="str">
        <x:v>NOT_REVEALING</x:v>
      </x:c>
      <x:c r="E462" s="25" t="str">
        <x:v>N/A</x:v>
      </x:c>
      <x:c r="F462" s="26" t="str">
        <x:v>Same saved validation suite passed on buggy and fixed</x:v>
      </x:c>
      <x:c r="G462" s="25" t="str">
        <x:v>true</x:v>
      </x:c>
      <x:c r="H462" s="25" t="str">
        <x:v>NOT_REVEALING</x:v>
      </x:c>
      <x:c r="I462" s="25" t="str">
        <x:v>PASS</x:v>
      </x:c>
      <x:c r="J462" s="25" t="str">
        <x:v>PASS</x:v>
      </x:c>
      <x:c r="K462" s="25" t="n">
        <x:v>6</x:v>
      </x:c>
      <x:c r="L462" s="27" t="b">
        <x:v>0</x:v>
      </x:c>
      <x:c r="M462" s="25" t="str">
        <x:v>Feedback-Directed Random Test Generation/rounds/Round1/state/JacksonDatabind.json</x:v>
      </x:c>
      <x:c r="N462" s="25" t="str">
        <x:v>Feedback-Directed Random Test Generation/Result/JacksonDatabind_70/result.json</x:v>
      </x:c>
      <x:c r="O462" s="25" t="str">
        <x:v>Feedback-Directed Random Test Generation/Result/JacksonDatabind_70/result.json</x:v>
      </x:c>
      <x:c r="P462"/>
      <x:c r="Q462" s="21" t="str"/>
      <x:c r="R462" s="21" t="str"/>
      <x:c r="S462" s="21" t="str"/>
      <x:c r="T462" s="17" t="str">
        <x:v>false</x:v>
      </x:c>
      <x:c r="U462" s="17" t="str">
        <x:v>true</x:v>
      </x:c>
      <x:c r="V462" s="17" t="str">
        <x:v>false</x:v>
      </x:c>
    </x:row>
    <x:row r="463" ht="80" customHeight="1">
      <x:c r="A463" s="25" t="str">
        <x:v>JacksonDatabind</x:v>
      </x:c>
      <x:c r="B463" s="25" t="n">
        <x:v>71</x:v>
      </x:c>
      <x:c r="C463" s="25" t="str">
        <x:v>Round1</x:v>
      </x:c>
      <x:c r="D463" s="25" t="str">
        <x:v>NOT_REVEALING</x:v>
      </x:c>
      <x:c r="E463" s="25" t="str">
        <x:v>N/A</x:v>
      </x:c>
      <x:c r="F463" s="26" t="str">
        <x:v>Same saved validation suite passed on buggy and fixed</x:v>
      </x:c>
      <x:c r="G463" s="25" t="str">
        <x:v>true</x:v>
      </x:c>
      <x:c r="H463" s="25" t="str">
        <x:v>NOT_REVEALING</x:v>
      </x:c>
      <x:c r="I463" s="25" t="str">
        <x:v>PASS</x:v>
      </x:c>
      <x:c r="J463" s="25" t="str">
        <x:v>PASS</x:v>
      </x:c>
      <x:c r="K463" s="25" t="n">
        <x:v>2</x:v>
      </x:c>
      <x:c r="L463" s="27" t="b">
        <x:v>0</x:v>
      </x:c>
      <x:c r="M463" s="25" t="str">
        <x:v>Feedback-Directed Random Test Generation/rounds/Round1/state/JacksonDatabind.json</x:v>
      </x:c>
      <x:c r="N463" s="25" t="str">
        <x:v>Feedback-Directed Random Test Generation/Result/JacksonDatabind_71/result.json</x:v>
      </x:c>
      <x:c r="O463" s="25" t="str">
        <x:v>Feedback-Directed Random Test Generation/Result/JacksonDatabind_71/result.json</x:v>
      </x:c>
      <x:c r="P463"/>
      <x:c r="Q463" s="21" t="str"/>
      <x:c r="R463" s="21" t="str"/>
      <x:c r="S463" s="21" t="str"/>
      <x:c r="T463" s="17" t="str">
        <x:v>false</x:v>
      </x:c>
      <x:c r="U463" s="17" t="str">
        <x:v>true</x:v>
      </x:c>
      <x:c r="V463" s="17" t="str">
        <x:v>false</x:v>
      </x:c>
    </x:row>
    <x:row r="464" ht="80" customHeight="1">
      <x:c r="A464" s="25" t="str">
        <x:v>JacksonDatabind</x:v>
      </x:c>
      <x:c r="B464" s="25" t="n">
        <x:v>72</x:v>
      </x:c>
      <x:c r="C464" s="25" t="str">
        <x:v>Round1</x:v>
      </x:c>
      <x:c r="D464" s="25" t="str">
        <x:v>NOT_REVEALING</x:v>
      </x:c>
      <x:c r="E464" s="25" t="str">
        <x:v>N/A</x:v>
      </x:c>
      <x:c r="F464" s="26" t="str">
        <x:v>Same saved validation suite passed on buggy and fixed</x:v>
      </x:c>
      <x:c r="G464" s="25" t="str">
        <x:v>true</x:v>
      </x:c>
      <x:c r="H464" s="25" t="str">
        <x:v>NOT_REVEALING</x:v>
      </x:c>
      <x:c r="I464" s="25" t="str">
        <x:v>PASS</x:v>
      </x:c>
      <x:c r="J464" s="25" t="str">
        <x:v>PASS</x:v>
      </x:c>
      <x:c r="K464" s="25" t="n">
        <x:v>2</x:v>
      </x:c>
      <x:c r="L464" s="27" t="b">
        <x:v>0</x:v>
      </x:c>
      <x:c r="M464" s="25" t="str">
        <x:v>Feedback-Directed Random Test Generation/rounds/Round1/state/JacksonDatabind.json</x:v>
      </x:c>
      <x:c r="N464" s="25" t="str">
        <x:v>Feedback-Directed Random Test Generation/Result/JacksonDatabind_72/result.json</x:v>
      </x:c>
      <x:c r="O464" s="25" t="str">
        <x:v>Feedback-Directed Random Test Generation/Result/JacksonDatabind_72/result.json</x:v>
      </x:c>
      <x:c r="P464"/>
      <x:c r="Q464" s="21" t="str"/>
      <x:c r="R464" s="21" t="str"/>
      <x:c r="S464" s="21" t="str"/>
      <x:c r="T464" s="17" t="str">
        <x:v>false</x:v>
      </x:c>
      <x:c r="U464" s="17" t="str">
        <x:v>true</x:v>
      </x:c>
      <x:c r="V464" s="17" t="str">
        <x:v>false</x:v>
      </x:c>
    </x:row>
    <x:row r="465" ht="80" customHeight="1">
      <x:c r="A465" s="25" t="str">
        <x:v>JacksonDatabind</x:v>
      </x:c>
      <x:c r="B465" s="25" t="n">
        <x:v>73</x:v>
      </x:c>
      <x:c r="C465" s="25" t="str">
        <x:v>Round1</x:v>
      </x:c>
      <x:c r="D465" s="25" t="str">
        <x:v>NOT_REVEALING</x:v>
      </x:c>
      <x:c r="E465" s="25" t="str">
        <x:v>N/A</x:v>
      </x:c>
      <x:c r="F465" s="26" t="str">
        <x:v>Same saved validation suite passed on buggy and fixed</x:v>
      </x:c>
      <x:c r="G465" s="25" t="str">
        <x:v>true</x:v>
      </x:c>
      <x:c r="H465" s="25" t="str">
        <x:v>NOT_REVEALING</x:v>
      </x:c>
      <x:c r="I465" s="25" t="str">
        <x:v>PASS</x:v>
      </x:c>
      <x:c r="J465" s="25" t="str">
        <x:v>PASS</x:v>
      </x:c>
      <x:c r="K465" s="25" t="n">
        <x:v>8</x:v>
      </x:c>
      <x:c r="L465" s="27" t="b">
        <x:v>0</x:v>
      </x:c>
      <x:c r="M465" s="25" t="str">
        <x:v>Feedback-Directed Random Test Generation/rounds/Round1/state/JacksonDatabind.json</x:v>
      </x:c>
      <x:c r="N465" s="25" t="str">
        <x:v>Feedback-Directed Random Test Generation/Result/JacksonDatabind_73/result.json</x:v>
      </x:c>
      <x:c r="O465" s="25" t="str">
        <x:v>Feedback-Directed Random Test Generation/Result/JacksonDatabind_73/result.json</x:v>
      </x:c>
      <x:c r="P465"/>
      <x:c r="Q465" s="21" t="str"/>
      <x:c r="R465" s="21" t="str"/>
      <x:c r="S465" s="21" t="str"/>
      <x:c r="T465" s="17" t="str">
        <x:v>false</x:v>
      </x:c>
      <x:c r="U465" s="17" t="str">
        <x:v>true</x:v>
      </x:c>
      <x:c r="V465" s="17" t="str">
        <x:v>false</x:v>
      </x:c>
    </x:row>
    <x:row r="466" ht="80" customHeight="1">
      <x:c r="A466" s="25" t="str">
        <x:v>JacksonDatabind</x:v>
      </x:c>
      <x:c r="B466" s="25" t="n">
        <x:v>74</x:v>
      </x:c>
      <x:c r="C466" s="25" t="str">
        <x:v>Round1</x:v>
      </x:c>
      <x:c r="D466" s="25" t="str">
        <x:v>NOT_REVEALING</x:v>
      </x:c>
      <x:c r="E466" s="25" t="str">
        <x:v>N/A</x:v>
      </x:c>
      <x:c r="F466" s="26" t="str">
        <x:v>Same saved validation suite passed on buggy and fixed</x:v>
      </x:c>
      <x:c r="G466" s="25" t="str">
        <x:v>true</x:v>
      </x:c>
      <x:c r="H466" s="25" t="str">
        <x:v>NOT_REVEALING</x:v>
      </x:c>
      <x:c r="I466" s="25" t="str">
        <x:v>PASS</x:v>
      </x:c>
      <x:c r="J466" s="25" t="str">
        <x:v>PASS</x:v>
      </x:c>
      <x:c r="K466" s="25" t="n">
        <x:v>11</x:v>
      </x:c>
      <x:c r="L466" s="27" t="b">
        <x:v>0</x:v>
      </x:c>
      <x:c r="M466" s="25" t="str">
        <x:v>Feedback-Directed Random Test Generation/rounds/Round1/state/JacksonDatabind.json</x:v>
      </x:c>
      <x:c r="N466" s="25" t="str">
        <x:v>Feedback-Directed Random Test Generation/Result/JacksonDatabind_74/result.json</x:v>
      </x:c>
      <x:c r="O466" s="25" t="str">
        <x:v>Feedback-Directed Random Test Generation/Result/JacksonDatabind_74/result.json</x:v>
      </x:c>
      <x:c r="P466"/>
      <x:c r="Q466" s="21" t="str"/>
      <x:c r="R466" s="21" t="str"/>
      <x:c r="S466" s="21" t="str"/>
      <x:c r="T466" s="17" t="str">
        <x:v>false</x:v>
      </x:c>
      <x:c r="U466" s="17" t="str">
        <x:v>true</x:v>
      </x:c>
      <x:c r="V466" s="17" t="str">
        <x:v>false</x:v>
      </x:c>
    </x:row>
    <x:row r="467" ht="80" customHeight="1">
      <x:c r="A467" s="25" t="str">
        <x:v>JacksonDatabind</x:v>
      </x:c>
      <x:c r="B467" s="25" t="n">
        <x:v>75</x:v>
      </x:c>
      <x:c r="C467" s="25" t="str">
        <x:v>Round1</x:v>
      </x:c>
      <x:c r="D467" s="25" t="str">
        <x:v>NOT_REVEALING</x:v>
      </x:c>
      <x:c r="E467" s="25" t="str">
        <x:v>N/A</x:v>
      </x:c>
      <x:c r="F467" s="26" t="str">
        <x:v>Same saved validation suite passed on buggy and fixed</x:v>
      </x:c>
      <x:c r="G467" s="25" t="str">
        <x:v>true</x:v>
      </x:c>
      <x:c r="H467" s="25" t="str">
        <x:v>NOT_REVEALING</x:v>
      </x:c>
      <x:c r="I467" s="25" t="str">
        <x:v>PASS</x:v>
      </x:c>
      <x:c r="J467" s="25" t="str">
        <x:v>PASS</x:v>
      </x:c>
      <x:c r="K467" s="25" t="n">
        <x:v>2</x:v>
      </x:c>
      <x:c r="L467" s="27" t="b">
        <x:v>0</x:v>
      </x:c>
      <x:c r="M467" s="25" t="str">
        <x:v>Feedback-Directed Random Test Generation/rounds/Round1/state/JacksonDatabind.json</x:v>
      </x:c>
      <x:c r="N467" s="25" t="str">
        <x:v>Feedback-Directed Random Test Generation/Result/JacksonDatabind_75/result.json</x:v>
      </x:c>
      <x:c r="O467" s="25" t="str">
        <x:v>Feedback-Directed Random Test Generation/Result/JacksonDatabind_75/result.json</x:v>
      </x:c>
      <x:c r="P467"/>
      <x:c r="Q467" s="21" t="str"/>
      <x:c r="R467" s="21" t="str"/>
      <x:c r="S467" s="21" t="str"/>
      <x:c r="T467" s="17" t="str">
        <x:v>false</x:v>
      </x:c>
      <x:c r="U467" s="17" t="str">
        <x:v>true</x:v>
      </x:c>
      <x:c r="V467" s="17" t="str">
        <x:v>false</x:v>
      </x:c>
    </x:row>
    <x:row r="468" ht="80" customHeight="1">
      <x:c r="A468" s="25" t="str">
        <x:v>JacksonDatabind</x:v>
      </x:c>
      <x:c r="B468" s="25" t="n">
        <x:v>76</x:v>
      </x:c>
      <x:c r="C468" s="25" t="str">
        <x:v>Round1</x:v>
      </x:c>
      <x:c r="D468" s="25" t="str">
        <x:v>NOT_REVEALING</x:v>
      </x:c>
      <x:c r="E468" s="25" t="str">
        <x:v>N/A</x:v>
      </x:c>
      <x:c r="F468" s="26" t="str">
        <x:v>Same saved validation suite passed on buggy and fixed</x:v>
      </x:c>
      <x:c r="G468" s="25" t="str">
        <x:v>true</x:v>
      </x:c>
      <x:c r="H468" s="25" t="str">
        <x:v>NOT_REVEALING</x:v>
      </x:c>
      <x:c r="I468" s="25" t="str">
        <x:v>PASS</x:v>
      </x:c>
      <x:c r="J468" s="25" t="str">
        <x:v>PASS</x:v>
      </x:c>
      <x:c r="K468" s="25" t="n">
        <x:v>2</x:v>
      </x:c>
      <x:c r="L468" s="27" t="b">
        <x:v>0</x:v>
      </x:c>
      <x:c r="M468" s="25" t="str">
        <x:v>Feedback-Directed Random Test Generation/rounds/Round1/state/JacksonDatabind.json</x:v>
      </x:c>
      <x:c r="N468" s="25" t="str">
        <x:v>Feedback-Directed Random Test Generation/Result/JacksonDatabind_76/result.json</x:v>
      </x:c>
      <x:c r="O468" s="25" t="str">
        <x:v>Feedback-Directed Random Test Generation/Result/JacksonDatabind_76/result.json</x:v>
      </x:c>
      <x:c r="P468"/>
      <x:c r="Q468" s="21" t="str"/>
      <x:c r="R468" s="21" t="str"/>
      <x:c r="S468" s="21" t="str"/>
      <x:c r="T468" s="17" t="str">
        <x:v>false</x:v>
      </x:c>
      <x:c r="U468" s="17" t="str">
        <x:v>true</x:v>
      </x:c>
      <x:c r="V468" s="17" t="str">
        <x:v>false</x:v>
      </x:c>
    </x:row>
    <x:row r="469" ht="80" customHeight="1">
      <x:c r="A469" s="25" t="str">
        <x:v>JacksonDatabind</x:v>
      </x:c>
      <x:c r="B469" s="25" t="n">
        <x:v>77</x:v>
      </x:c>
      <x:c r="C469" s="25" t="str">
        <x:v>Round1</x:v>
      </x:c>
      <x:c r="D469" s="25" t="str">
        <x:v>NOT_REVEALING</x:v>
      </x:c>
      <x:c r="E469" s="25" t="str">
        <x:v>N/A</x:v>
      </x:c>
      <x:c r="F469" s="26" t="str">
        <x:v>Same saved validation suite passed on buggy and fixed</x:v>
      </x:c>
      <x:c r="G469" s="25" t="str">
        <x:v>true</x:v>
      </x:c>
      <x:c r="H469" s="25" t="str">
        <x:v>NOT_REVEALING</x:v>
      </x:c>
      <x:c r="I469" s="25" t="str">
        <x:v>PASS</x:v>
      </x:c>
      <x:c r="J469" s="25" t="str">
        <x:v>PASS</x:v>
      </x:c>
      <x:c r="K469" s="25" t="n">
        <x:v>7</x:v>
      </x:c>
      <x:c r="L469" s="27" t="b">
        <x:v>0</x:v>
      </x:c>
      <x:c r="M469" s="25" t="str">
        <x:v>Feedback-Directed Random Test Generation/rounds/Round1/state/JacksonDatabind.json</x:v>
      </x:c>
      <x:c r="N469" s="25" t="str">
        <x:v>Feedback-Directed Random Test Generation/Result/JacksonDatabind_77/result.json</x:v>
      </x:c>
      <x:c r="O469" s="25" t="str">
        <x:v>Feedback-Directed Random Test Generation/Result/JacksonDatabind_77/result.json</x:v>
      </x:c>
      <x:c r="P469"/>
      <x:c r="Q469" s="21" t="str"/>
      <x:c r="R469" s="21" t="str"/>
      <x:c r="S469" s="21" t="str"/>
      <x:c r="T469" s="17" t="str">
        <x:v>false</x:v>
      </x:c>
      <x:c r="U469" s="17" t="str">
        <x:v>true</x:v>
      </x:c>
      <x:c r="V469" s="17" t="str">
        <x:v>false</x:v>
      </x:c>
    </x:row>
    <x:row r="470" ht="80" customHeight="1">
      <x:c r="A470" s="25" t="str">
        <x:v>JacksonDatabind</x:v>
      </x:c>
      <x:c r="B470" s="25" t="n">
        <x:v>78</x:v>
      </x:c>
      <x:c r="C470" s="25" t="str">
        <x:v>Round1</x:v>
      </x:c>
      <x:c r="D470" s="25" t="str">
        <x:v>NOT_REVEALING</x:v>
      </x:c>
      <x:c r="E470" s="25" t="str">
        <x:v>N/A</x:v>
      </x:c>
      <x:c r="F470" s="26" t="str">
        <x:v>Same saved validation suite passed on buggy and fixed</x:v>
      </x:c>
      <x:c r="G470" s="25" t="str">
        <x:v>true</x:v>
      </x:c>
      <x:c r="H470" s="25" t="str">
        <x:v>NOT_REVEALING</x:v>
      </x:c>
      <x:c r="I470" s="25" t="str">
        <x:v>PASS</x:v>
      </x:c>
      <x:c r="J470" s="25" t="str">
        <x:v>PASS</x:v>
      </x:c>
      <x:c r="K470" s="25" t="n">
        <x:v>7</x:v>
      </x:c>
      <x:c r="L470" s="27" t="b">
        <x:v>0</x:v>
      </x:c>
      <x:c r="M470" s="25" t="str">
        <x:v>Feedback-Directed Random Test Generation/rounds/Round1/state/JacksonDatabind.json</x:v>
      </x:c>
      <x:c r="N470" s="25" t="str">
        <x:v>Feedback-Directed Random Test Generation/Result/JacksonDatabind_78/result.json</x:v>
      </x:c>
      <x:c r="O470" s="25" t="str">
        <x:v>Feedback-Directed Random Test Generation/Result/JacksonDatabind_78/result.json</x:v>
      </x:c>
      <x:c r="P470"/>
      <x:c r="Q470" s="21" t="str"/>
      <x:c r="R470" s="21" t="str"/>
      <x:c r="S470" s="21" t="str"/>
      <x:c r="T470" s="17" t="str">
        <x:v>false</x:v>
      </x:c>
      <x:c r="U470" s="17" t="str">
        <x:v>true</x:v>
      </x:c>
      <x:c r="V470" s="17" t="str">
        <x:v>false</x:v>
      </x:c>
    </x:row>
    <x:row r="471" ht="80" customHeight="1">
      <x:c r="A471" s="25" t="str">
        <x:v>JacksonDatabind</x:v>
      </x:c>
      <x:c r="B471" s="25" t="n">
        <x:v>79</x:v>
      </x:c>
      <x:c r="C471" s="25" t="str">
        <x:v>Round1</x:v>
      </x:c>
      <x:c r="D471" s="25" t="str">
        <x:v>NOT_REVEALING</x:v>
      </x:c>
      <x:c r="E471" s="25" t="str">
        <x:v>N/A</x:v>
      </x:c>
      <x:c r="F471" s="26" t="str">
        <x:v>Same saved validation suite passed on buggy and fixed</x:v>
      </x:c>
      <x:c r="G471" s="25" t="str">
        <x:v>true</x:v>
      </x:c>
      <x:c r="H471" s="25" t="str">
        <x:v>NOT_REVEALING</x:v>
      </x:c>
      <x:c r="I471" s="25" t="str">
        <x:v>PASS</x:v>
      </x:c>
      <x:c r="J471" s="25" t="str">
        <x:v>PASS</x:v>
      </x:c>
      <x:c r="K471" s="25" t="n">
        <x:v>9</x:v>
      </x:c>
      <x:c r="L471" s="27" t="b">
        <x:v>0</x:v>
      </x:c>
      <x:c r="M471" s="25" t="str">
        <x:v>Feedback-Directed Random Test Generation/rounds/Round1/state/JacksonDatabind.json</x:v>
      </x:c>
      <x:c r="N471" s="25" t="str">
        <x:v>Feedback-Directed Random Test Generation/Result/JacksonDatabind_79/result.json</x:v>
      </x:c>
      <x:c r="O471" s="25" t="str">
        <x:v>Feedback-Directed Random Test Generation/Result/JacksonDatabind_79/result.json</x:v>
      </x:c>
      <x:c r="P471"/>
      <x:c r="Q471" s="21" t="str"/>
      <x:c r="R471" s="21" t="str"/>
      <x:c r="S471" s="21" t="str"/>
      <x:c r="T471" s="17" t="str">
        <x:v>false</x:v>
      </x:c>
      <x:c r="U471" s="17" t="str">
        <x:v>true</x:v>
      </x:c>
      <x:c r="V471" s="17" t="str">
        <x:v>false</x:v>
      </x:c>
    </x:row>
    <x:row r="472" ht="80" customHeight="1">
      <x:c r="A472" s="25" t="str">
        <x:v>JacksonDatabind</x:v>
      </x:c>
      <x:c r="B472" s="25" t="n">
        <x:v>80</x:v>
      </x:c>
      <x:c r="C472" s="25" t="str">
        <x:v>Round1</x:v>
      </x:c>
      <x:c r="D472" s="25" t="str">
        <x:v>NOT_REVEALING</x:v>
      </x:c>
      <x:c r="E472" s="25" t="str">
        <x:v>N/A</x:v>
      </x:c>
      <x:c r="F472" s="26" t="str">
        <x:v>Same saved validation suite passed on buggy and fixed</x:v>
      </x:c>
      <x:c r="G472" s="25" t="str">
        <x:v>true</x:v>
      </x:c>
      <x:c r="H472" s="25" t="str">
        <x:v>NOT_REVEALING</x:v>
      </x:c>
      <x:c r="I472" s="25" t="str">
        <x:v>PASS</x:v>
      </x:c>
      <x:c r="J472" s="25" t="str">
        <x:v>PASS</x:v>
      </x:c>
      <x:c r="K472" s="25" t="n">
        <x:v>5</x:v>
      </x:c>
      <x:c r="L472" s="27" t="b">
        <x:v>0</x:v>
      </x:c>
      <x:c r="M472" s="25" t="str">
        <x:v>Feedback-Directed Random Test Generation/rounds/Round1/state/JacksonDatabind.json</x:v>
      </x:c>
      <x:c r="N472" s="25" t="str">
        <x:v>Feedback-Directed Random Test Generation/Result/JacksonDatabind_80/result.json</x:v>
      </x:c>
      <x:c r="O472" s="25" t="str">
        <x:v>Feedback-Directed Random Test Generation/Result/JacksonDatabind_80/result.json</x:v>
      </x:c>
      <x:c r="P472"/>
      <x:c r="Q472" s="21" t="str"/>
      <x:c r="R472" s="21" t="str"/>
      <x:c r="S472" s="21" t="str"/>
      <x:c r="T472" s="17" t="str">
        <x:v>false</x:v>
      </x:c>
      <x:c r="U472" s="17" t="str">
        <x:v>true</x:v>
      </x:c>
      <x:c r="V472" s="17" t="str">
        <x:v>false</x:v>
      </x:c>
    </x:row>
    <x:row r="473" ht="80" customHeight="1">
      <x:c r="A473" s="25" t="str">
        <x:v>JacksonDatabind</x:v>
      </x:c>
      <x:c r="B473" s="25" t="n">
        <x:v>81</x:v>
      </x:c>
      <x:c r="C473" s="25" t="str">
        <x:v>Round1</x:v>
      </x:c>
      <x:c r="D473" s="25" t="str">
        <x:v>NOT_REVEALING</x:v>
      </x:c>
      <x:c r="E473" s="25" t="str">
        <x:v>N/A</x:v>
      </x:c>
      <x:c r="F473" s="26" t="str">
        <x:v>Same saved validation suite passed on buggy and fixed</x:v>
      </x:c>
      <x:c r="G473" s="25" t="str">
        <x:v>true</x:v>
      </x:c>
      <x:c r="H473" s="25" t="str">
        <x:v>NOT_REVEALING</x:v>
      </x:c>
      <x:c r="I473" s="25" t="str">
        <x:v>PASS</x:v>
      </x:c>
      <x:c r="J473" s="25" t="str">
        <x:v>PASS</x:v>
      </x:c>
      <x:c r="K473" s="25" t="n">
        <x:v>10</x:v>
      </x:c>
      <x:c r="L473" s="27" t="b">
        <x:v>0</x:v>
      </x:c>
      <x:c r="M473" s="25" t="str">
        <x:v>Feedback-Directed Random Test Generation/rounds/Round1/state/JacksonDatabind.json</x:v>
      </x:c>
      <x:c r="N473" s="25" t="str">
        <x:v>Feedback-Directed Random Test Generation/Result/JacksonDatabind_81/result.json</x:v>
      </x:c>
      <x:c r="O473" s="25" t="str">
        <x:v>Feedback-Directed Random Test Generation/Result/JacksonDatabind_81/result.json</x:v>
      </x:c>
      <x:c r="P473"/>
      <x:c r="Q473" s="21" t="str"/>
      <x:c r="R473" s="21" t="str"/>
      <x:c r="S473" s="21" t="str"/>
      <x:c r="T473" s="17" t="str">
        <x:v>false</x:v>
      </x:c>
      <x:c r="U473" s="17" t="str">
        <x:v>true</x:v>
      </x:c>
      <x:c r="V473" s="17" t="str">
        <x:v>false</x:v>
      </x:c>
    </x:row>
    <x:row r="474" ht="80" customHeight="1">
      <x:c r="A474" s="25" t="str">
        <x:v>JacksonDatabind</x:v>
      </x:c>
      <x:c r="B474" s="25" t="n">
        <x:v>82</x:v>
      </x:c>
      <x:c r="C474" s="25" t="str">
        <x:v>Round1</x:v>
      </x:c>
      <x:c r="D474" s="25" t="str">
        <x:v>NOT_REVEALING</x:v>
      </x:c>
      <x:c r="E474" s="25" t="str">
        <x:v>N/A</x:v>
      </x:c>
      <x:c r="F474" s="26" t="str">
        <x:v>Same saved validation suite passed on buggy and fixed</x:v>
      </x:c>
      <x:c r="G474" s="25" t="str">
        <x:v>true</x:v>
      </x:c>
      <x:c r="H474" s="25" t="str">
        <x:v>NOT_REVEALING</x:v>
      </x:c>
      <x:c r="I474" s="25" t="str">
        <x:v>PASS</x:v>
      </x:c>
      <x:c r="J474" s="25" t="str">
        <x:v>PASS</x:v>
      </x:c>
      <x:c r="K474" s="25" t="n">
        <x:v>7</x:v>
      </x:c>
      <x:c r="L474" s="27" t="b">
        <x:v>0</x:v>
      </x:c>
      <x:c r="M474" s="25" t="str">
        <x:v>Feedback-Directed Random Test Generation/rounds/Round1/state/JacksonDatabind.json</x:v>
      </x:c>
      <x:c r="N474" s="25" t="str">
        <x:v>Feedback-Directed Random Test Generation/Result/JacksonDatabind_82/result.json</x:v>
      </x:c>
      <x:c r="O474" s="25" t="str">
        <x:v>Feedback-Directed Random Test Generation/Result/JacksonDatabind_82/result.json</x:v>
      </x:c>
      <x:c r="P474"/>
      <x:c r="Q474" s="21" t="str"/>
      <x:c r="R474" s="21" t="str"/>
      <x:c r="S474" s="21" t="str"/>
      <x:c r="T474" s="17" t="str">
        <x:v>false</x:v>
      </x:c>
      <x:c r="U474" s="17" t="str">
        <x:v>true</x:v>
      </x:c>
      <x:c r="V474" s="17" t="str">
        <x:v>false</x:v>
      </x:c>
    </x:row>
    <x:row r="475" ht="80" customHeight="1">
      <x:c r="A475" s="25" t="str">
        <x:v>JacksonDatabind</x:v>
      </x:c>
      <x:c r="B475" s="25" t="n">
        <x:v>83</x:v>
      </x:c>
      <x:c r="C475" s="25" t="str">
        <x:v>Round1</x:v>
      </x:c>
      <x:c r="D475" s="25" t="str">
        <x:v>NOT_REVEALING</x:v>
      </x:c>
      <x:c r="E475" s="25" t="str">
        <x:v>N/A</x:v>
      </x:c>
      <x:c r="F475" s="26" t="str">
        <x:v>Same saved validation suite passed on buggy and fixed</x:v>
      </x:c>
      <x:c r="G475" s="25" t="str">
        <x:v>true</x:v>
      </x:c>
      <x:c r="H475" s="25" t="str">
        <x:v>NOT_REVEALING</x:v>
      </x:c>
      <x:c r="I475" s="25" t="str">
        <x:v>PASS</x:v>
      </x:c>
      <x:c r="J475" s="25" t="str">
        <x:v>PASS</x:v>
      </x:c>
      <x:c r="K475" s="25" t="n">
        <x:v>2</x:v>
      </x:c>
      <x:c r="L475" s="27" t="b">
        <x:v>0</x:v>
      </x:c>
      <x:c r="M475" s="25" t="str">
        <x:v>Feedback-Directed Random Test Generation/rounds/Round1/state/JacksonDatabind.json</x:v>
      </x:c>
      <x:c r="N475" s="25" t="str">
        <x:v>Feedback-Directed Random Test Generation/Result/JacksonDatabind_83/result.json</x:v>
      </x:c>
      <x:c r="O475" s="25" t="str">
        <x:v>Feedback-Directed Random Test Generation/Result/JacksonDatabind_83/result.json</x:v>
      </x:c>
      <x:c r="P475"/>
      <x:c r="Q475" s="21" t="str"/>
      <x:c r="R475" s="21" t="str"/>
      <x:c r="S475" s="21" t="str"/>
      <x:c r="T475" s="17" t="str">
        <x:v>false</x:v>
      </x:c>
      <x:c r="U475" s="17" t="str">
        <x:v>true</x:v>
      </x:c>
      <x:c r="V475" s="17" t="str">
        <x:v>false</x:v>
      </x:c>
    </x:row>
    <x:row r="476" ht="80" customHeight="1">
      <x:c r="A476" s="25" t="str">
        <x:v>JacksonDatabind</x:v>
      </x:c>
      <x:c r="B476" s="25" t="n">
        <x:v>84</x:v>
      </x:c>
      <x:c r="C476" s="25" t="str">
        <x:v>Round1</x:v>
      </x:c>
      <x:c r="D476" s="25" t="str">
        <x:v>NOT_REVEALING</x:v>
      </x:c>
      <x:c r="E476" s="25" t="str">
        <x:v>N/A</x:v>
      </x:c>
      <x:c r="F476" s="26" t="str">
        <x:v>Same saved validation suite passed on buggy and fixed</x:v>
      </x:c>
      <x:c r="G476" s="25" t="str">
        <x:v>true</x:v>
      </x:c>
      <x:c r="H476" s="25" t="str">
        <x:v>NOT_REVEALING</x:v>
      </x:c>
      <x:c r="I476" s="25" t="str">
        <x:v>PASS</x:v>
      </x:c>
      <x:c r="J476" s="25" t="str">
        <x:v>PASS</x:v>
      </x:c>
      <x:c r="K476" s="25" t="n">
        <x:v>2</x:v>
      </x:c>
      <x:c r="L476" s="27" t="b">
        <x:v>0</x:v>
      </x:c>
      <x:c r="M476" s="25" t="str">
        <x:v>Feedback-Directed Random Test Generation/rounds/Round1/state/JacksonDatabind.json</x:v>
      </x:c>
      <x:c r="N476" s="25" t="str">
        <x:v>Feedback-Directed Random Test Generation/Result/JacksonDatabind_84/result.json</x:v>
      </x:c>
      <x:c r="O476" s="25" t="str">
        <x:v>Feedback-Directed Random Test Generation/Result/JacksonDatabind_84/result.json</x:v>
      </x:c>
      <x:c r="P476"/>
      <x:c r="Q476" s="21" t="str"/>
      <x:c r="R476" s="21" t="str"/>
      <x:c r="S476" s="21" t="str"/>
      <x:c r="T476" s="17" t="str">
        <x:v>false</x:v>
      </x:c>
      <x:c r="U476" s="17" t="str">
        <x:v>true</x:v>
      </x:c>
      <x:c r="V476" s="17" t="str">
        <x:v>false</x:v>
      </x:c>
    </x:row>
    <x:row r="477" ht="80" customHeight="1">
      <x:c r="A477" s="25" t="str">
        <x:v>JacksonDatabind</x:v>
      </x:c>
      <x:c r="B477" s="25" t="n">
        <x:v>85</x:v>
      </x:c>
      <x:c r="C477" s="25" t="str">
        <x:v>Round1</x:v>
      </x:c>
      <x:c r="D477" s="25" t="str">
        <x:v>NOT_REVEALING</x:v>
      </x:c>
      <x:c r="E477" s="25" t="str">
        <x:v>N/A</x:v>
      </x:c>
      <x:c r="F477" s="26" t="str">
        <x:v>Same saved validation suite passed on buggy and fixed</x:v>
      </x:c>
      <x:c r="G477" s="25" t="str">
        <x:v>true</x:v>
      </x:c>
      <x:c r="H477" s="25" t="str">
        <x:v>NOT_REVEALING</x:v>
      </x:c>
      <x:c r="I477" s="25" t="str">
        <x:v>PASS</x:v>
      </x:c>
      <x:c r="J477" s="25" t="str">
        <x:v>PASS</x:v>
      </x:c>
      <x:c r="K477" s="25" t="n">
        <x:v>2</x:v>
      </x:c>
      <x:c r="L477" s="27" t="b">
        <x:v>0</x:v>
      </x:c>
      <x:c r="M477" s="25" t="str">
        <x:v>Feedback-Directed Random Test Generation/rounds/Round1/state/JacksonDatabind.json</x:v>
      </x:c>
      <x:c r="N477" s="25" t="str">
        <x:v>Feedback-Directed Random Test Generation/Result/JacksonDatabind_85/result.json</x:v>
      </x:c>
      <x:c r="O477" s="25" t="str">
        <x:v>Feedback-Directed Random Test Generation/Result/JacksonDatabind_85/result.json</x:v>
      </x:c>
      <x:c r="P477"/>
      <x:c r="Q477" s="21" t="str"/>
      <x:c r="R477" s="21" t="str"/>
      <x:c r="S477" s="21" t="str"/>
      <x:c r="T477" s="17" t="str">
        <x:v>false</x:v>
      </x:c>
      <x:c r="U477" s="17" t="str">
        <x:v>true</x:v>
      </x:c>
      <x:c r="V477" s="17" t="str">
        <x:v>false</x:v>
      </x:c>
    </x:row>
    <x:row r="478" ht="80" customHeight="1">
      <x:c r="A478" s="25" t="str">
        <x:v>JacksonDatabind</x:v>
      </x:c>
      <x:c r="B478" s="25" t="n">
        <x:v>86</x:v>
      </x:c>
      <x:c r="C478" s="25" t="str">
        <x:v>Round1</x:v>
      </x:c>
      <x:c r="D478" s="25" t="str">
        <x:v>NOT_REVEALING</x:v>
      </x:c>
      <x:c r="E478" s="25" t="str">
        <x:v>N/A</x:v>
      </x:c>
      <x:c r="F478" s="26" t="str">
        <x:v>Same saved validation suite passed on buggy and fixed</x:v>
      </x:c>
      <x:c r="G478" s="25" t="str">
        <x:v>true</x:v>
      </x:c>
      <x:c r="H478" s="25" t="str">
        <x:v>NOT_REVEALING</x:v>
      </x:c>
      <x:c r="I478" s="25" t="str">
        <x:v>PASS</x:v>
      </x:c>
      <x:c r="J478" s="25" t="str">
        <x:v>PASS</x:v>
      </x:c>
      <x:c r="K478" s="25" t="n">
        <x:v>2</x:v>
      </x:c>
      <x:c r="L478" s="27" t="b">
        <x:v>0</x:v>
      </x:c>
      <x:c r="M478" s="25" t="str">
        <x:v>Feedback-Directed Random Test Generation/rounds/Round1/state/JacksonDatabind.json</x:v>
      </x:c>
      <x:c r="N478" s="25" t="str">
        <x:v>Feedback-Directed Random Test Generation/Result/JacksonDatabind_86/result.json</x:v>
      </x:c>
      <x:c r="O478" s="25" t="str">
        <x:v>Feedback-Directed Random Test Generation/Result/JacksonDatabind_86/result.json</x:v>
      </x:c>
      <x:c r="P478"/>
      <x:c r="Q478" s="21" t="str"/>
      <x:c r="R478" s="21" t="str"/>
      <x:c r="S478" s="21" t="str"/>
      <x:c r="T478" s="17" t="str">
        <x:v>false</x:v>
      </x:c>
      <x:c r="U478" s="17" t="str">
        <x:v>true</x:v>
      </x:c>
      <x:c r="V478" s="17" t="str">
        <x:v>false</x:v>
      </x:c>
    </x:row>
    <x:row r="479" ht="80" customHeight="1">
      <x:c r="A479" s="25" t="str">
        <x:v>JacksonDatabind</x:v>
      </x:c>
      <x:c r="B479" s="25" t="n">
        <x:v>87</x:v>
      </x:c>
      <x:c r="C479" s="25" t="str">
        <x:v>Round1</x:v>
      </x:c>
      <x:c r="D479" s="25" t="str">
        <x:v>INCONCLUSIVE</x:v>
      </x:c>
      <x:c r="E479" s="25" t="str">
        <x:v>N/A</x:v>
      </x:c>
      <x:c r="F479" s="26" t="str">
        <x:v>Fixed also failed; assertion failure cannot be attributed to this bug</x:v>
      </x:c>
      <x:c r="G479" s="25" t="str">
        <x:v>true</x:v>
      </x:c>
      <x:c r="H479" s="25" t="str">
        <x:v>INCONCLUSIVE</x:v>
      </x:c>
      <x:c r="I479" s="25" t="str">
        <x:v>PASS</x:v>
      </x:c>
      <x:c r="J479" s="25" t="str">
        <x:v>FAIL</x:v>
      </x:c>
      <x:c r="K479" s="25" t="n">
        <x:v>2</x:v>
      </x:c>
      <x:c r="L479" s="27" t="b">
        <x:v>0</x:v>
      </x:c>
      <x:c r="M479" s="25" t="str">
        <x:v>Feedback-Directed Random Test Generation/rounds/Round1/state/JacksonDatabind.json</x:v>
      </x:c>
      <x:c r="N479" s="25" t="str">
        <x:v>Feedback-Directed Random Test Generation/Result/JacksonDatabind_87/result.json</x:v>
      </x:c>
      <x:c r="O479" s="25" t="str">
        <x:v>Feedback-Directed Random Test Generation/Result/JacksonDatabind_87/result.json</x:v>
      </x:c>
      <x:c r="P479"/>
      <x:c r="Q479" s="21" t="str"/>
      <x:c r="R479" s="21" t="str"/>
      <x:c r="S479" s="21" t="str"/>
      <x:c r="T479" s="17" t="str">
        <x:v>false</x:v>
      </x:c>
      <x:c r="U479" s="17" t="str">
        <x:v>true</x:v>
      </x:c>
      <x:c r="V479" s="17" t="str">
        <x:v>false</x:v>
      </x:c>
    </x:row>
    <x:row r="480" ht="80" customHeight="1">
      <x:c r="A480" s="25" t="str">
        <x:v>JacksonDatabind</x:v>
      </x:c>
      <x:c r="B480" s="25" t="n">
        <x:v>88</x:v>
      </x:c>
      <x:c r="C480" s="25" t="str">
        <x:v>Round1</x:v>
      </x:c>
      <x:c r="D480" s="25" t="str">
        <x:v>NOT_REVEALING</x:v>
      </x:c>
      <x:c r="E480" s="25" t="str">
        <x:v>N/A</x:v>
      </x:c>
      <x:c r="F480" s="26" t="str">
        <x:v>Same saved validation suite passed on buggy and fixed</x:v>
      </x:c>
      <x:c r="G480" s="25" t="str">
        <x:v>true</x:v>
      </x:c>
      <x:c r="H480" s="25" t="str">
        <x:v>NOT_REVEALING</x:v>
      </x:c>
      <x:c r="I480" s="25" t="str">
        <x:v>PASS</x:v>
      </x:c>
      <x:c r="J480" s="25" t="str">
        <x:v>PASS</x:v>
      </x:c>
      <x:c r="K480" s="25" t="n">
        <x:v>2</x:v>
      </x:c>
      <x:c r="L480" s="27" t="b">
        <x:v>0</x:v>
      </x:c>
      <x:c r="M480" s="25" t="str">
        <x:v>Feedback-Directed Random Test Generation/rounds/Round1/state/JacksonDatabind.json</x:v>
      </x:c>
      <x:c r="N480" s="25" t="str">
        <x:v>Feedback-Directed Random Test Generation/Result/JacksonDatabind_88/result.json</x:v>
      </x:c>
      <x:c r="O480" s="25" t="str">
        <x:v>Feedback-Directed Random Test Generation/Result/JacksonDatabind_88/result.json</x:v>
      </x:c>
      <x:c r="P480"/>
      <x:c r="Q480" s="21" t="str"/>
      <x:c r="R480" s="21" t="str"/>
      <x:c r="S480" s="21" t="str"/>
      <x:c r="T480" s="17" t="str">
        <x:v>false</x:v>
      </x:c>
      <x:c r="U480" s="17" t="str">
        <x:v>true</x:v>
      </x:c>
      <x:c r="V480" s="17" t="str">
        <x:v>false</x:v>
      </x:c>
    </x:row>
    <x:row r="481" ht="80" customHeight="1">
      <x:c r="A481" s="25" t="str">
        <x:v>JacksonDatabind</x:v>
      </x:c>
      <x:c r="B481" s="25" t="n">
        <x:v>90</x:v>
      </x:c>
      <x:c r="C481" s="25" t="str">
        <x:v>Round1</x:v>
      </x:c>
      <x:c r="D481" s="25" t="str">
        <x:v>NOT_REVEALING</x:v>
      </x:c>
      <x:c r="E481" s="25" t="str">
        <x:v>N/A</x:v>
      </x:c>
      <x:c r="F481" s="26" t="str">
        <x:v>Same saved validation suite passed on buggy and fixed</x:v>
      </x:c>
      <x:c r="G481" s="25" t="str">
        <x:v>true</x:v>
      </x:c>
      <x:c r="H481" s="25" t="str">
        <x:v>NOT_REVEALING</x:v>
      </x:c>
      <x:c r="I481" s="25" t="str">
        <x:v>PASS</x:v>
      </x:c>
      <x:c r="J481" s="25" t="str">
        <x:v>PASS</x:v>
      </x:c>
      <x:c r="K481" s="25" t="n">
        <x:v>8</x:v>
      </x:c>
      <x:c r="L481" s="27" t="b">
        <x:v>0</x:v>
      </x:c>
      <x:c r="M481" s="25" t="str">
        <x:v>Feedback-Directed Random Test Generation/rounds/Round1/state/JacksonDatabind.json</x:v>
      </x:c>
      <x:c r="N481" s="25" t="str">
        <x:v>Feedback-Directed Random Test Generation/Result/JacksonDatabind_90/result.json</x:v>
      </x:c>
      <x:c r="O481" s="25" t="str">
        <x:v>Feedback-Directed Random Test Generation/Result/JacksonDatabind_90/result.json</x:v>
      </x:c>
      <x:c r="P481"/>
      <x:c r="Q481" s="21" t="str"/>
      <x:c r="R481" s="21" t="str"/>
      <x:c r="S481" s="21" t="str"/>
      <x:c r="T481" s="17" t="str">
        <x:v>false</x:v>
      </x:c>
      <x:c r="U481" s="17" t="str">
        <x:v>true</x:v>
      </x:c>
      <x:c r="V481" s="17" t="str">
        <x:v>false</x:v>
      </x:c>
    </x:row>
    <x:row r="482" ht="80" customHeight="1">
      <x:c r="A482" s="25" t="str">
        <x:v>JacksonDatabind</x:v>
      </x:c>
      <x:c r="B482" s="25" t="n">
        <x:v>91</x:v>
      </x:c>
      <x:c r="C482" s="25" t="str">
        <x:v>Round1</x:v>
      </x:c>
      <x:c r="D482" s="25" t="str">
        <x:v>NOT_REVEALING</x:v>
      </x:c>
      <x:c r="E482" s="25" t="str">
        <x:v>N/A</x:v>
      </x:c>
      <x:c r="F482" s="26" t="str">
        <x:v>Same saved validation suite passed on buggy and fixed</x:v>
      </x:c>
      <x:c r="G482" s="25" t="str">
        <x:v>true</x:v>
      </x:c>
      <x:c r="H482" s="25" t="str">
        <x:v>NOT_REVEALING</x:v>
      </x:c>
      <x:c r="I482" s="25" t="str">
        <x:v>PASS</x:v>
      </x:c>
      <x:c r="J482" s="25" t="str">
        <x:v>PASS</x:v>
      </x:c>
      <x:c r="K482" s="25" t="n">
        <x:v>14</x:v>
      </x:c>
      <x:c r="L482" s="27" t="b">
        <x:v>0</x:v>
      </x:c>
      <x:c r="M482" s="25" t="str">
        <x:v>Feedback-Directed Random Test Generation/rounds/Round1/state/JacksonDatabind.json</x:v>
      </x:c>
      <x:c r="N482" s="25" t="str">
        <x:v>Feedback-Directed Random Test Generation/Result/JacksonDatabind_91/result.json</x:v>
      </x:c>
      <x:c r="O482" s="25" t="str">
        <x:v>Feedback-Directed Random Test Generation/Result/JacksonDatabind_91/result.json</x:v>
      </x:c>
      <x:c r="P482"/>
      <x:c r="Q482" s="21" t="str"/>
      <x:c r="R482" s="21" t="str"/>
      <x:c r="S482" s="21" t="str"/>
      <x:c r="T482" s="17" t="str">
        <x:v>false</x:v>
      </x:c>
      <x:c r="U482" s="17" t="str">
        <x:v>true</x:v>
      </x:c>
      <x:c r="V482" s="17" t="str">
        <x:v>false</x:v>
      </x:c>
    </x:row>
    <x:row r="483" ht="80" customHeight="1">
      <x:c r="A483" s="25" t="str">
        <x:v>JacksonDatabind</x:v>
      </x:c>
      <x:c r="B483" s="25" t="n">
        <x:v>92</x:v>
      </x:c>
      <x:c r="C483" s="25" t="str">
        <x:v>Round1</x:v>
      </x:c>
      <x:c r="D483" s="25" t="str">
        <x:v>NOT_REVEALING</x:v>
      </x:c>
      <x:c r="E483" s="25" t="str">
        <x:v>N/A</x:v>
      </x:c>
      <x:c r="F483" s="26" t="str">
        <x:v>Same saved validation suite passed on buggy and fixed</x:v>
      </x:c>
      <x:c r="G483" s="25" t="str">
        <x:v>true</x:v>
      </x:c>
      <x:c r="H483" s="25" t="str">
        <x:v>NOT_REVEALING</x:v>
      </x:c>
      <x:c r="I483" s="25" t="str">
        <x:v>PASS</x:v>
      </x:c>
      <x:c r="J483" s="25" t="str">
        <x:v>PASS</x:v>
      </x:c>
      <x:c r="K483" s="25" t="n">
        <x:v>7</x:v>
      </x:c>
      <x:c r="L483" s="27" t="b">
        <x:v>0</x:v>
      </x:c>
      <x:c r="M483" s="25" t="str">
        <x:v>Feedback-Directed Random Test Generation/rounds/Round1/state/JacksonDatabind.json</x:v>
      </x:c>
      <x:c r="N483" s="25" t="str">
        <x:v>Feedback-Directed Random Test Generation/Result/JacksonDatabind_92/result.json</x:v>
      </x:c>
      <x:c r="O483" s="25" t="str">
        <x:v>Feedback-Directed Random Test Generation/Result/JacksonDatabind_92/result.json</x:v>
      </x:c>
      <x:c r="P483"/>
      <x:c r="Q483" s="21" t="str"/>
      <x:c r="R483" s="21" t="str"/>
      <x:c r="S483" s="21" t="str"/>
      <x:c r="T483" s="17" t="str">
        <x:v>false</x:v>
      </x:c>
      <x:c r="U483" s="17" t="str">
        <x:v>true</x:v>
      </x:c>
      <x:c r="V483" s="17" t="str">
        <x:v>false</x:v>
      </x:c>
    </x:row>
    <x:row r="484" ht="80" customHeight="1">
      <x:c r="A484" s="25" t="str">
        <x:v>JacksonDatabind</x:v>
      </x:c>
      <x:c r="B484" s="25" t="n">
        <x:v>93</x:v>
      </x:c>
      <x:c r="C484" s="25" t="str">
        <x:v>Round1</x:v>
      </x:c>
      <x:c r="D484" s="25" t="str">
        <x:v>NOT_REVEALING</x:v>
      </x:c>
      <x:c r="E484" s="25" t="str">
        <x:v>N/A</x:v>
      </x:c>
      <x:c r="F484" s="26" t="str">
        <x:v>Same saved validation suite passed on buggy and fixed</x:v>
      </x:c>
      <x:c r="G484" s="25" t="str">
        <x:v>true</x:v>
      </x:c>
      <x:c r="H484" s="25" t="str">
        <x:v>NOT_REVEALING</x:v>
      </x:c>
      <x:c r="I484" s="25" t="str">
        <x:v>PASS</x:v>
      </x:c>
      <x:c r="J484" s="25" t="str">
        <x:v>PASS</x:v>
      </x:c>
      <x:c r="K484" s="25" t="n">
        <x:v>6</x:v>
      </x:c>
      <x:c r="L484" s="27" t="b">
        <x:v>0</x:v>
      </x:c>
      <x:c r="M484" s="25" t="str">
        <x:v>Feedback-Directed Random Test Generation/rounds/Round1/state/JacksonDatabind.json</x:v>
      </x:c>
      <x:c r="N484" s="25" t="str">
        <x:v>Feedback-Directed Random Test Generation/Result/JacksonDatabind_93/result.json</x:v>
      </x:c>
      <x:c r="O484" s="25" t="str">
        <x:v>Feedback-Directed Random Test Generation/Result/JacksonDatabind_93/result.json</x:v>
      </x:c>
      <x:c r="P484"/>
      <x:c r="Q484" s="21" t="str"/>
      <x:c r="R484" s="21" t="str"/>
      <x:c r="S484" s="21" t="str"/>
      <x:c r="T484" s="17" t="str">
        <x:v>false</x:v>
      </x:c>
      <x:c r="U484" s="17" t="str">
        <x:v>true</x:v>
      </x:c>
      <x:c r="V484" s="17" t="str">
        <x:v>false</x:v>
      </x:c>
    </x:row>
    <x:row r="485" ht="80" customHeight="1">
      <x:c r="A485" s="25" t="str">
        <x:v>JacksonDatabind</x:v>
      </x:c>
      <x:c r="B485" s="25" t="n">
        <x:v>94</x:v>
      </x:c>
      <x:c r="C485" s="25" t="str">
        <x:v>Round1</x:v>
      </x:c>
      <x:c r="D485" s="25" t="str">
        <x:v>INCONCLUSIVE</x:v>
      </x:c>
      <x:c r="E485" s="25" t="str">
        <x:v>N/A</x:v>
      </x:c>
      <x:c r="F485" s="26" t="str">
        <x:v>Fixed also failed; assertion failure cannot be attributed to this bug; Assertions failed with measured coverage; paired execution and stage checks determine status</x:v>
      </x:c>
      <x:c r="G485" s="25" t="str">
        <x:v>true</x:v>
      </x:c>
      <x:c r="H485" s="25" t="str">
        <x:v>INCONCLUSIVE</x:v>
      </x:c>
      <x:c r="I485" s="25" t="str">
        <x:v>FAIL</x:v>
      </x:c>
      <x:c r="J485" s="25" t="str">
        <x:v>FAIL</x:v>
      </x:c>
      <x:c r="K485" s="25" t="n">
        <x:v>5</x:v>
      </x:c>
      <x:c r="L485" s="27" t="b">
        <x:v>0</x:v>
      </x:c>
      <x:c r="M485" s="25" t="str">
        <x:v>Feedback-Directed Random Test Generation/rounds/Round1/state/JacksonDatabind.json</x:v>
      </x:c>
      <x:c r="N485" s="25" t="str">
        <x:v>Feedback-Directed Random Test Generation/Result/JacksonDatabind_94/result.json</x:v>
      </x:c>
      <x:c r="O485" s="25" t="str">
        <x:v>Feedback-Directed Random Test Generation/Result/JacksonDatabind_94/result.json</x:v>
      </x:c>
      <x:c r="P485"/>
      <x:c r="Q485" s="21" t="str"/>
      <x:c r="R485" s="21" t="str"/>
      <x:c r="S485" s="21" t="str"/>
      <x:c r="T485" s="17" t="str">
        <x:v>false</x:v>
      </x:c>
      <x:c r="U485" s="17" t="str">
        <x:v>true</x:v>
      </x:c>
      <x:c r="V485" s="17" t="str">
        <x:v>false</x:v>
      </x:c>
    </x:row>
    <x:row r="486" ht="80" customHeight="1">
      <x:c r="A486" s="25" t="str">
        <x:v>JacksonDatabind</x:v>
      </x:c>
      <x:c r="B486" s="25" t="n">
        <x:v>95</x:v>
      </x:c>
      <x:c r="C486" s="25" t="str">
        <x:v>Round1</x:v>
      </x:c>
      <x:c r="D486" s="25" t="str">
        <x:v>NOT_REVEALING</x:v>
      </x:c>
      <x:c r="E486" s="25" t="str">
        <x:v>N/A</x:v>
      </x:c>
      <x:c r="F486" s="26" t="str">
        <x:v>Same saved validation suite passed on buggy and fixed</x:v>
      </x:c>
      <x:c r="G486" s="25" t="str">
        <x:v>true</x:v>
      </x:c>
      <x:c r="H486" s="25" t="str">
        <x:v>NOT_REVEALING</x:v>
      </x:c>
      <x:c r="I486" s="25" t="str">
        <x:v>PASS</x:v>
      </x:c>
      <x:c r="J486" s="25" t="str">
        <x:v>PASS</x:v>
      </x:c>
      <x:c r="K486" s="25" t="n">
        <x:v>5</x:v>
      </x:c>
      <x:c r="L486" s="27" t="b">
        <x:v>0</x:v>
      </x:c>
      <x:c r="M486" s="25" t="str">
        <x:v>Feedback-Directed Random Test Generation/rounds/Round1/state/JacksonDatabind.json</x:v>
      </x:c>
      <x:c r="N486" s="25" t="str">
        <x:v>Feedback-Directed Random Test Generation/Result/JacksonDatabind_95/result.json</x:v>
      </x:c>
      <x:c r="O486" s="25" t="str">
        <x:v>Feedback-Directed Random Test Generation/Result/JacksonDatabind_95/result.json</x:v>
      </x:c>
      <x:c r="P486"/>
      <x:c r="Q486" s="21" t="str"/>
      <x:c r="R486" s="21" t="str"/>
      <x:c r="S486" s="21" t="str"/>
      <x:c r="T486" s="17" t="str">
        <x:v>false</x:v>
      </x:c>
      <x:c r="U486" s="17" t="str">
        <x:v>true</x:v>
      </x:c>
      <x:c r="V486" s="17" t="str">
        <x:v>false</x:v>
      </x:c>
    </x:row>
    <x:row r="487" ht="80" customHeight="1">
      <x:c r="A487" s="25" t="str">
        <x:v>JacksonDatabind</x:v>
      </x:c>
      <x:c r="B487" s="25" t="n">
        <x:v>96</x:v>
      </x:c>
      <x:c r="C487" s="25" t="str">
        <x:v>Round1</x:v>
      </x:c>
      <x:c r="D487" s="25" t="str">
        <x:v>NOT_REVEALING</x:v>
      </x:c>
      <x:c r="E487" s="25" t="str">
        <x:v>N/A</x:v>
      </x:c>
      <x:c r="F487" s="26" t="str">
        <x:v>Same saved validation suite passed on buggy and fixed</x:v>
      </x:c>
      <x:c r="G487" s="25" t="str">
        <x:v>true</x:v>
      </x:c>
      <x:c r="H487" s="25" t="str">
        <x:v>NOT_REVEALING</x:v>
      </x:c>
      <x:c r="I487" s="25" t="str">
        <x:v>PASS</x:v>
      </x:c>
      <x:c r="J487" s="25" t="str">
        <x:v>PASS</x:v>
      </x:c>
      <x:c r="K487" s="25" t="n">
        <x:v>2</x:v>
      </x:c>
      <x:c r="L487" s="27" t="b">
        <x:v>0</x:v>
      </x:c>
      <x:c r="M487" s="25" t="str">
        <x:v>Feedback-Directed Random Test Generation/rounds/Round1/state/JacksonDatabind.json</x:v>
      </x:c>
      <x:c r="N487" s="25" t="str">
        <x:v>Feedback-Directed Random Test Generation/Result/JacksonDatabind_96/result.json</x:v>
      </x:c>
      <x:c r="O487" s="25" t="str">
        <x:v>Feedback-Directed Random Test Generation/Result/JacksonDatabind_96/result.json</x:v>
      </x:c>
      <x:c r="P487"/>
      <x:c r="Q487" s="21" t="str"/>
      <x:c r="R487" s="21" t="str"/>
      <x:c r="S487" s="21" t="str"/>
      <x:c r="T487" s="17" t="str">
        <x:v>false</x:v>
      </x:c>
      <x:c r="U487" s="17" t="str">
        <x:v>true</x:v>
      </x:c>
      <x:c r="V487" s="17" t="str">
        <x:v>false</x:v>
      </x:c>
    </x:row>
    <x:row r="488" ht="80" customHeight="1">
      <x:c r="A488" s="25" t="str">
        <x:v>JacksonDatabind</x:v>
      </x:c>
      <x:c r="B488" s="25" t="n">
        <x:v>97</x:v>
      </x:c>
      <x:c r="C488" s="25" t="str">
        <x:v>Round1</x:v>
      </x:c>
      <x:c r="D488" s="25" t="str">
        <x:v>NOT_REVEALING</x:v>
      </x:c>
      <x:c r="E488" s="25" t="str">
        <x:v>N/A</x:v>
      </x:c>
      <x:c r="F488" s="26" t="str">
        <x:v>Same saved validation suite passed on buggy and fixed</x:v>
      </x:c>
      <x:c r="G488" s="25" t="str">
        <x:v>true</x:v>
      </x:c>
      <x:c r="H488" s="25" t="str">
        <x:v>NOT_REVEALING</x:v>
      </x:c>
      <x:c r="I488" s="25" t="str">
        <x:v>PASS</x:v>
      </x:c>
      <x:c r="J488" s="25" t="str">
        <x:v>PASS</x:v>
      </x:c>
      <x:c r="K488" s="25" t="n">
        <x:v>7</x:v>
      </x:c>
      <x:c r="L488" s="27" t="b">
        <x:v>0</x:v>
      </x:c>
      <x:c r="M488" s="25" t="str">
        <x:v>Feedback-Directed Random Test Generation/rounds/Round1/state/JacksonDatabind.json</x:v>
      </x:c>
      <x:c r="N488" s="25" t="str">
        <x:v>Feedback-Directed Random Test Generation/Result/JacksonDatabind_97/result.json</x:v>
      </x:c>
      <x:c r="O488" s="25" t="str">
        <x:v>Feedback-Directed Random Test Generation/Result/JacksonDatabind_97/result.json</x:v>
      </x:c>
      <x:c r="P488"/>
      <x:c r="Q488" s="21" t="str"/>
      <x:c r="R488" s="21" t="str"/>
      <x:c r="S488" s="21" t="str"/>
      <x:c r="T488" s="17" t="str">
        <x:v>false</x:v>
      </x:c>
      <x:c r="U488" s="17" t="str">
        <x:v>true</x:v>
      </x:c>
      <x:c r="V488" s="17" t="str">
        <x:v>false</x:v>
      </x:c>
    </x:row>
    <x:row r="489" ht="80" customHeight="1">
      <x:c r="A489" s="25" t="str">
        <x:v>JacksonDatabind</x:v>
      </x:c>
      <x:c r="B489" s="25" t="n">
        <x:v>98</x:v>
      </x:c>
      <x:c r="C489" s="25" t="str">
        <x:v>Round1</x:v>
      </x:c>
      <x:c r="D489" s="25" t="str">
        <x:v>NOT_REVEALING</x:v>
      </x:c>
      <x:c r="E489" s="25" t="str">
        <x:v>N/A</x:v>
      </x:c>
      <x:c r="F489" s="26" t="str">
        <x:v>Same saved validation suite passed on buggy and fixed</x:v>
      </x:c>
      <x:c r="G489" s="25" t="str">
        <x:v>true</x:v>
      </x:c>
      <x:c r="H489" s="25" t="str">
        <x:v>NOT_REVEALING</x:v>
      </x:c>
      <x:c r="I489" s="25" t="str">
        <x:v>PASS</x:v>
      </x:c>
      <x:c r="J489" s="25" t="str">
        <x:v>PASS</x:v>
      </x:c>
      <x:c r="K489" s="25" t="n">
        <x:v>8</x:v>
      </x:c>
      <x:c r="L489" s="27" t="b">
        <x:v>0</x:v>
      </x:c>
      <x:c r="M489" s="25" t="str">
        <x:v>Feedback-Directed Random Test Generation/rounds/Round1/state/JacksonDatabind.json</x:v>
      </x:c>
      <x:c r="N489" s="25" t="str">
        <x:v>Feedback-Directed Random Test Generation/Result/JacksonDatabind_98/result.json</x:v>
      </x:c>
      <x:c r="O489" s="25" t="str">
        <x:v>Feedback-Directed Random Test Generation/Result/JacksonDatabind_98/result.json</x:v>
      </x:c>
      <x:c r="P489"/>
      <x:c r="Q489" s="21" t="str"/>
      <x:c r="R489" s="21" t="str"/>
      <x:c r="S489" s="21" t="str"/>
      <x:c r="T489" s="17" t="str">
        <x:v>false</x:v>
      </x:c>
      <x:c r="U489" s="17" t="str">
        <x:v>true</x:v>
      </x:c>
      <x:c r="V489" s="17" t="str">
        <x:v>false</x:v>
      </x:c>
    </x:row>
    <x:row r="490" ht="80" customHeight="1">
      <x:c r="A490" s="25" t="str">
        <x:v>JacksonDatabind</x:v>
      </x:c>
      <x:c r="B490" s="25" t="n">
        <x:v>99</x:v>
      </x:c>
      <x:c r="C490" s="25" t="str">
        <x:v>Round1</x:v>
      </x:c>
      <x:c r="D490" s="25" t="str">
        <x:v>NOT_REVEALING</x:v>
      </x:c>
      <x:c r="E490" s="25" t="str">
        <x:v>N/A</x:v>
      </x:c>
      <x:c r="F490" s="26" t="str">
        <x:v>Same saved validation suite passed on buggy and fixed</x:v>
      </x:c>
      <x:c r="G490" s="25" t="str">
        <x:v>true</x:v>
      </x:c>
      <x:c r="H490" s="25" t="str">
        <x:v>NOT_REVEALING</x:v>
      </x:c>
      <x:c r="I490" s="25" t="str">
        <x:v>PASS</x:v>
      </x:c>
      <x:c r="J490" s="25" t="str">
        <x:v>PASS</x:v>
      </x:c>
      <x:c r="K490" s="25" t="n">
        <x:v>2</x:v>
      </x:c>
      <x:c r="L490" s="27" t="b">
        <x:v>0</x:v>
      </x:c>
      <x:c r="M490" s="25" t="str">
        <x:v>Feedback-Directed Random Test Generation/rounds/Round1/state/JacksonDatabind.json</x:v>
      </x:c>
      <x:c r="N490" s="25" t="str">
        <x:v>Feedback-Directed Random Test Generation/Result/JacksonDatabind_99/result.json</x:v>
      </x:c>
      <x:c r="O490" s="25" t="str">
        <x:v>Feedback-Directed Random Test Generation/Result/JacksonDatabind_99/result.json</x:v>
      </x:c>
      <x:c r="P490"/>
      <x:c r="Q490" s="21" t="str"/>
      <x:c r="R490" s="21" t="str"/>
      <x:c r="S490" s="21" t="str"/>
      <x:c r="T490" s="17" t="str">
        <x:v>false</x:v>
      </x:c>
      <x:c r="U490" s="17" t="str">
        <x:v>true</x:v>
      </x:c>
      <x:c r="V490" s="17" t="str">
        <x:v>false</x:v>
      </x:c>
    </x:row>
    <x:row r="491" ht="80" customHeight="1">
      <x:c r="A491" s="25" t="str">
        <x:v>JacksonDatabind</x:v>
      </x:c>
      <x:c r="B491" s="25" t="n">
        <x:v>100</x:v>
      </x:c>
      <x:c r="C491" s="25" t="str">
        <x:v>Round1</x:v>
      </x:c>
      <x:c r="D491" s="25" t="str">
        <x:v>NOT_REVEALING</x:v>
      </x:c>
      <x:c r="E491" s="25" t="str">
        <x:v>N/A</x:v>
      </x:c>
      <x:c r="F491" s="26" t="str">
        <x:v>Same saved validation suite passed on buggy and fixed</x:v>
      </x:c>
      <x:c r="G491" s="25" t="str">
        <x:v>true</x:v>
      </x:c>
      <x:c r="H491" s="25" t="str">
        <x:v>NOT_REVEALING</x:v>
      </x:c>
      <x:c r="I491" s="25" t="str">
        <x:v>PASS</x:v>
      </x:c>
      <x:c r="J491" s="25" t="str">
        <x:v>PASS</x:v>
      </x:c>
      <x:c r="K491" s="25" t="n">
        <x:v>2</x:v>
      </x:c>
      <x:c r="L491" s="27" t="b">
        <x:v>0</x:v>
      </x:c>
      <x:c r="M491" s="25" t="str">
        <x:v>Feedback-Directed Random Test Generation/rounds/Round1/state/JacksonDatabind.json</x:v>
      </x:c>
      <x:c r="N491" s="25" t="str">
        <x:v>Feedback-Directed Random Test Generation/Result/JacksonDatabind_100/result.json</x:v>
      </x:c>
      <x:c r="O491" s="25" t="str">
        <x:v>Feedback-Directed Random Test Generation/Result/JacksonDatabind_100/result.json</x:v>
      </x:c>
      <x:c r="P491"/>
      <x:c r="Q491" s="21" t="str"/>
      <x:c r="R491" s="21" t="str"/>
      <x:c r="S491" s="21" t="str"/>
      <x:c r="T491" s="17" t="str">
        <x:v>false</x:v>
      </x:c>
      <x:c r="U491" s="17" t="str">
        <x:v>true</x:v>
      </x:c>
      <x:c r="V491" s="17" t="str">
        <x:v>false</x:v>
      </x:c>
    </x:row>
    <x:row r="492" ht="80" customHeight="1">
      <x:c r="A492" s="25" t="str">
        <x:v>JacksonDatabind</x:v>
      </x:c>
      <x:c r="B492" s="25" t="n">
        <x:v>101</x:v>
      </x:c>
      <x:c r="C492" s="25" t="str">
        <x:v>Round1</x:v>
      </x:c>
      <x:c r="D492" s="25" t="str">
        <x:v>NOT_REVEALING</x:v>
      </x:c>
      <x:c r="E492" s="25" t="str">
        <x:v>N/A</x:v>
      </x:c>
      <x:c r="F492" s="26" t="str">
        <x:v>Same saved validation suite passed on buggy and fixed</x:v>
      </x:c>
      <x:c r="G492" s="25" t="str">
        <x:v>true</x:v>
      </x:c>
      <x:c r="H492" s="25" t="str">
        <x:v>NOT_REVEALING</x:v>
      </x:c>
      <x:c r="I492" s="25" t="str">
        <x:v>PASS</x:v>
      </x:c>
      <x:c r="J492" s="25" t="str">
        <x:v>PASS</x:v>
      </x:c>
      <x:c r="K492" s="25" t="n">
        <x:v>2</x:v>
      </x:c>
      <x:c r="L492" s="27" t="b">
        <x:v>0</x:v>
      </x:c>
      <x:c r="M492" s="25" t="str">
        <x:v>Feedback-Directed Random Test Generation/rounds/Round1/state/JacksonDatabind.json</x:v>
      </x:c>
      <x:c r="N492" s="25" t="str">
        <x:v>Feedback-Directed Random Test Generation/Result/JacksonDatabind_101/result.json</x:v>
      </x:c>
      <x:c r="O492" s="25" t="str">
        <x:v>Feedback-Directed Random Test Generation/Result/JacksonDatabind_101/result.json</x:v>
      </x:c>
      <x:c r="P492"/>
      <x:c r="Q492" s="21" t="str"/>
      <x:c r="R492" s="21" t="str"/>
      <x:c r="S492" s="21" t="str"/>
      <x:c r="T492" s="17" t="str">
        <x:v>false</x:v>
      </x:c>
      <x:c r="U492" s="17" t="str">
        <x:v>true</x:v>
      </x:c>
      <x:c r="V492" s="17" t="str">
        <x:v>false</x:v>
      </x:c>
    </x:row>
    <x:row r="493" ht="80" customHeight="1">
      <x:c r="A493" s="25" t="str">
        <x:v>JacksonDatabind</x:v>
      </x:c>
      <x:c r="B493" s="25" t="n">
        <x:v>102</x:v>
      </x:c>
      <x:c r="C493" s="25" t="str">
        <x:v>Round1</x:v>
      </x:c>
      <x:c r="D493" s="25" t="str">
        <x:v>NOT_REVEALING</x:v>
      </x:c>
      <x:c r="E493" s="25" t="str">
        <x:v>N/A</x:v>
      </x:c>
      <x:c r="F493" s="26" t="str">
        <x:v>Same saved validation suite passed on buggy and fixed</x:v>
      </x:c>
      <x:c r="G493" s="25" t="str">
        <x:v>true</x:v>
      </x:c>
      <x:c r="H493" s="25" t="str">
        <x:v>NOT_REVEALING</x:v>
      </x:c>
      <x:c r="I493" s="25" t="str">
        <x:v>PASS</x:v>
      </x:c>
      <x:c r="J493" s="25" t="str">
        <x:v>PASS</x:v>
      </x:c>
      <x:c r="K493" s="25" t="n">
        <x:v>2</x:v>
      </x:c>
      <x:c r="L493" s="27" t="b">
        <x:v>0</x:v>
      </x:c>
      <x:c r="M493" s="25" t="str">
        <x:v>Feedback-Directed Random Test Generation/rounds/Round1/state/JacksonDatabind.json</x:v>
      </x:c>
      <x:c r="N493" s="25" t="str">
        <x:v>Feedback-Directed Random Test Generation/Result/JacksonDatabind_102/result.json</x:v>
      </x:c>
      <x:c r="O493" s="25" t="str">
        <x:v>Feedback-Directed Random Test Generation/Result/JacksonDatabind_102/result.json</x:v>
      </x:c>
      <x:c r="P493"/>
      <x:c r="Q493" s="21" t="str"/>
      <x:c r="R493" s="21" t="str"/>
      <x:c r="S493" s="21" t="str"/>
      <x:c r="T493" s="17" t="str">
        <x:v>false</x:v>
      </x:c>
      <x:c r="U493" s="17" t="str">
        <x:v>true</x:v>
      </x:c>
      <x:c r="V493" s="17" t="str">
        <x:v>false</x:v>
      </x:c>
    </x:row>
    <x:row r="494" ht="80" customHeight="1">
      <x:c r="A494" s="25" t="str">
        <x:v>JacksonDatabind</x:v>
      </x:c>
      <x:c r="B494" s="25" t="n">
        <x:v>103</x:v>
      </x:c>
      <x:c r="C494" s="25" t="str">
        <x:v>Round1</x:v>
      </x:c>
      <x:c r="D494" s="25" t="str">
        <x:v>INCONCLUSIVE</x:v>
      </x:c>
      <x:c r="E494" s="25" t="str">
        <x:v>N/A</x:v>
      </x:c>
      <x:c r="F494" s="26" t="str">
        <x:v>Fixed also failed; assertion failure cannot be attributed to this bug; Assertions failed with measured coverage; paired execution and stage checks determine status</x:v>
      </x:c>
      <x:c r="G494" s="25" t="str">
        <x:v>true</x:v>
      </x:c>
      <x:c r="H494" s="25" t="str">
        <x:v>INCONCLUSIVE</x:v>
      </x:c>
      <x:c r="I494" s="25" t="str">
        <x:v>FAIL</x:v>
      </x:c>
      <x:c r="J494" s="25" t="str">
        <x:v>FAIL</x:v>
      </x:c>
      <x:c r="K494" s="25" t="n">
        <x:v>9</x:v>
      </x:c>
      <x:c r="L494" s="27" t="b">
        <x:v>0</x:v>
      </x:c>
      <x:c r="M494" s="25" t="str">
        <x:v>Feedback-Directed Random Test Generation/rounds/Round1/state/JacksonDatabind.json</x:v>
      </x:c>
      <x:c r="N494" s="25" t="str">
        <x:v>Feedback-Directed Random Test Generation/Result/JacksonDatabind_103/result.json</x:v>
      </x:c>
      <x:c r="O494" s="25" t="str">
        <x:v>Feedback-Directed Random Test Generation/Result/JacksonDatabind_103/result.json</x:v>
      </x:c>
      <x:c r="P494"/>
      <x:c r="Q494" s="21" t="str"/>
      <x:c r="R494" s="21" t="str"/>
      <x:c r="S494" s="21" t="str"/>
      <x:c r="T494" s="17" t="str">
        <x:v>false</x:v>
      </x:c>
      <x:c r="U494" s="17" t="str">
        <x:v>true</x:v>
      </x:c>
      <x:c r="V494" s="17" t="str">
        <x:v>false</x:v>
      </x:c>
    </x:row>
    <x:row r="495" ht="80" customHeight="1">
      <x:c r="A495" s="25" t="str">
        <x:v>JacksonDatabind</x:v>
      </x:c>
      <x:c r="B495" s="25" t="n">
        <x:v>104</x:v>
      </x:c>
      <x:c r="C495" s="25" t="str">
        <x:v>Round1</x:v>
      </x:c>
      <x:c r="D495" s="25" t="str">
        <x:v>INCONCLUSIVE</x:v>
      </x:c>
      <x:c r="E495" s="25" t="str">
        <x:v>N/A</x:v>
      </x:c>
      <x:c r="F495" s="26" t="str">
        <x:v>Fixed also failed; assertion failure cannot be attributed to this bug; Assertions failed with measured coverage; paired execution and stage checks determine status</x:v>
      </x:c>
      <x:c r="G495" s="25" t="str">
        <x:v>true</x:v>
      </x:c>
      <x:c r="H495" s="25" t="str">
        <x:v>INCONCLUSIVE</x:v>
      </x:c>
      <x:c r="I495" s="25" t="str">
        <x:v>FAIL</x:v>
      </x:c>
      <x:c r="J495" s="25" t="str">
        <x:v>FAIL</x:v>
      </x:c>
      <x:c r="K495" s="25" t="n">
        <x:v>11</x:v>
      </x:c>
      <x:c r="L495" s="27" t="b">
        <x:v>0</x:v>
      </x:c>
      <x:c r="M495" s="25" t="str">
        <x:v>Feedback-Directed Random Test Generation/rounds/Round1/state/JacksonDatabind.json</x:v>
      </x:c>
      <x:c r="N495" s="25" t="str">
        <x:v>Feedback-Directed Random Test Generation/Result/JacksonDatabind_104/result.json</x:v>
      </x:c>
      <x:c r="O495" s="25" t="str">
        <x:v>Feedback-Directed Random Test Generation/Result/JacksonDatabind_104/result.json</x:v>
      </x:c>
      <x:c r="P495"/>
      <x:c r="Q495" s="21" t="str"/>
      <x:c r="R495" s="21" t="str"/>
      <x:c r="S495" s="21" t="str"/>
      <x:c r="T495" s="17" t="str">
        <x:v>false</x:v>
      </x:c>
      <x:c r="U495" s="17" t="str">
        <x:v>true</x:v>
      </x:c>
      <x:c r="V495" s="17" t="str">
        <x:v>false</x:v>
      </x:c>
    </x:row>
    <x:row r="496" ht="80" customHeight="1">
      <x:c r="A496" s="25" t="str">
        <x:v>JacksonDatabind</x:v>
      </x:c>
      <x:c r="B496" s="25" t="n">
        <x:v>105</x:v>
      </x:c>
      <x:c r="C496" s="25" t="str">
        <x:v>Round1</x:v>
      </x:c>
      <x:c r="D496" s="25" t="str">
        <x:v>NOT_REVEALING</x:v>
      </x:c>
      <x:c r="E496" s="25" t="str">
        <x:v>N/A</x:v>
      </x:c>
      <x:c r="F496" s="26" t="str">
        <x:v>Same saved validation suite passed on buggy and fixed</x:v>
      </x:c>
      <x:c r="G496" s="25" t="str">
        <x:v>true</x:v>
      </x:c>
      <x:c r="H496" s="25" t="str">
        <x:v>NOT_REVEALING</x:v>
      </x:c>
      <x:c r="I496" s="25" t="str">
        <x:v>PASS</x:v>
      </x:c>
      <x:c r="J496" s="25" t="str">
        <x:v>PASS</x:v>
      </x:c>
      <x:c r="K496" s="25" t="n">
        <x:v>2</x:v>
      </x:c>
      <x:c r="L496" s="27" t="b">
        <x:v>0</x:v>
      </x:c>
      <x:c r="M496" s="25" t="str">
        <x:v>Feedback-Directed Random Test Generation/rounds/Round1/state/JacksonDatabind.json</x:v>
      </x:c>
      <x:c r="N496" s="25" t="str">
        <x:v>Feedback-Directed Random Test Generation/Result/JacksonDatabind_105/result.json</x:v>
      </x:c>
      <x:c r="O496" s="25" t="str">
        <x:v>Feedback-Directed Random Test Generation/Result/JacksonDatabind_105/result.json</x:v>
      </x:c>
      <x:c r="P496"/>
      <x:c r="Q496" s="21" t="str"/>
      <x:c r="R496" s="21" t="str"/>
      <x:c r="S496" s="21" t="str"/>
      <x:c r="T496" s="17" t="str">
        <x:v>false</x:v>
      </x:c>
      <x:c r="U496" s="17" t="str">
        <x:v>true</x:v>
      </x:c>
      <x:c r="V496" s="17" t="str">
        <x:v>false</x:v>
      </x:c>
    </x:row>
    <x:row r="497" ht="80" customHeight="1">
      <x:c r="A497" s="25" t="str">
        <x:v>JacksonDatabind</x:v>
      </x:c>
      <x:c r="B497" s="25" t="n">
        <x:v>106</x:v>
      </x:c>
      <x:c r="C497" s="25" t="str">
        <x:v>Round1</x:v>
      </x:c>
      <x:c r="D497" s="25" t="str">
        <x:v>NOT_REVEALING</x:v>
      </x:c>
      <x:c r="E497" s="25" t="str">
        <x:v>N/A</x:v>
      </x:c>
      <x:c r="F497" s="26" t="str">
        <x:v>Same saved validation suite passed on buggy and fixed</x:v>
      </x:c>
      <x:c r="G497" s="25" t="str">
        <x:v>true</x:v>
      </x:c>
      <x:c r="H497" s="25" t="str">
        <x:v>NOT_REVEALING</x:v>
      </x:c>
      <x:c r="I497" s="25" t="str">
        <x:v>PASS</x:v>
      </x:c>
      <x:c r="J497" s="25" t="str">
        <x:v>PASS</x:v>
      </x:c>
      <x:c r="K497" s="25" t="n">
        <x:v>2</x:v>
      </x:c>
      <x:c r="L497" s="27" t="b">
        <x:v>0</x:v>
      </x:c>
      <x:c r="M497" s="25" t="str">
        <x:v>Feedback-Directed Random Test Generation/rounds/Round1/state/JacksonDatabind.json</x:v>
      </x:c>
      <x:c r="N497" s="25" t="str">
        <x:v>Feedback-Directed Random Test Generation/Result/JacksonDatabind_106/result.json</x:v>
      </x:c>
      <x:c r="O497" s="25" t="str">
        <x:v>Feedback-Directed Random Test Generation/Result/JacksonDatabind_106/result.json</x:v>
      </x:c>
      <x:c r="P497"/>
      <x:c r="Q497" s="21" t="str"/>
      <x:c r="R497" s="21" t="str"/>
      <x:c r="S497" s="21" t="str"/>
      <x:c r="T497" s="17" t="str">
        <x:v>false</x:v>
      </x:c>
      <x:c r="U497" s="17" t="str">
        <x:v>true</x:v>
      </x:c>
      <x:c r="V497" s="17" t="str">
        <x:v>false</x:v>
      </x:c>
    </x:row>
    <x:row r="498" ht="80" customHeight="1">
      <x:c r="A498" s="25" t="str">
        <x:v>JacksonDatabind</x:v>
      </x:c>
      <x:c r="B498" s="25" t="n">
        <x:v>107</x:v>
      </x:c>
      <x:c r="C498" s="25" t="str">
        <x:v>Round1</x:v>
      </x:c>
      <x:c r="D498" s="25" t="str">
        <x:v>NOT_REVEALING</x:v>
      </x:c>
      <x:c r="E498" s="25" t="str">
        <x:v>N/A</x:v>
      </x:c>
      <x:c r="F498" s="26" t="str">
        <x:v>Same saved validation suite passed on buggy and fixed</x:v>
      </x:c>
      <x:c r="G498" s="25" t="str">
        <x:v>true</x:v>
      </x:c>
      <x:c r="H498" s="25" t="str">
        <x:v>NOT_REVEALING</x:v>
      </x:c>
      <x:c r="I498" s="25" t="str">
        <x:v>PASS</x:v>
      </x:c>
      <x:c r="J498" s="25" t="str">
        <x:v>PASS</x:v>
      </x:c>
      <x:c r="K498" s="25" t="n">
        <x:v>2</x:v>
      </x:c>
      <x:c r="L498" s="27" t="b">
        <x:v>0</x:v>
      </x:c>
      <x:c r="M498" s="25" t="str">
        <x:v>Feedback-Directed Random Test Generation/rounds/Round1/state/JacksonDatabind.json</x:v>
      </x:c>
      <x:c r="N498" s="25" t="str">
        <x:v>Feedback-Directed Random Test Generation/Result/JacksonDatabind_107/result.json</x:v>
      </x:c>
      <x:c r="O498" s="25" t="str">
        <x:v>Feedback-Directed Random Test Generation/Result/JacksonDatabind_107/result.json</x:v>
      </x:c>
      <x:c r="P498"/>
      <x:c r="Q498" s="21" t="str"/>
      <x:c r="R498" s="21" t="str"/>
      <x:c r="S498" s="21" t="str"/>
      <x:c r="T498" s="17" t="str">
        <x:v>false</x:v>
      </x:c>
      <x:c r="U498" s="17" t="str">
        <x:v>true</x:v>
      </x:c>
      <x:c r="V498" s="17" t="str">
        <x:v>false</x:v>
      </x:c>
    </x:row>
    <x:row r="499" ht="80" customHeight="1">
      <x:c r="A499" s="25" t="str">
        <x:v>JacksonDatabind</x:v>
      </x:c>
      <x:c r="B499" s="25" t="n">
        <x:v>108</x:v>
      </x:c>
      <x:c r="C499" s="25" t="str">
        <x:v>Round1</x:v>
      </x:c>
      <x:c r="D499" s="25" t="str">
        <x:v>NOT_REVEALING</x:v>
      </x:c>
      <x:c r="E499" s="25" t="str">
        <x:v>N/A</x:v>
      </x:c>
      <x:c r="F499" s="26" t="str">
        <x:v>Same saved validation suite passed on buggy and fixed</x:v>
      </x:c>
      <x:c r="G499" s="25" t="str">
        <x:v>true</x:v>
      </x:c>
      <x:c r="H499" s="25" t="str">
        <x:v>NOT_REVEALING</x:v>
      </x:c>
      <x:c r="I499" s="25" t="str">
        <x:v>PASS</x:v>
      </x:c>
      <x:c r="J499" s="25" t="str">
        <x:v>PASS</x:v>
      </x:c>
      <x:c r="K499" s="25" t="n">
        <x:v>2</x:v>
      </x:c>
      <x:c r="L499" s="27" t="b">
        <x:v>0</x:v>
      </x:c>
      <x:c r="M499" s="25" t="str">
        <x:v>Feedback-Directed Random Test Generation/rounds/Round1/state/JacksonDatabind.json</x:v>
      </x:c>
      <x:c r="N499" s="25" t="str">
        <x:v>Feedback-Directed Random Test Generation/Result/JacksonDatabind_108/result.json</x:v>
      </x:c>
      <x:c r="O499" s="25" t="str">
        <x:v>Feedback-Directed Random Test Generation/Result/JacksonDatabind_108/result.json</x:v>
      </x:c>
      <x:c r="P499"/>
      <x:c r="Q499" s="21" t="str"/>
      <x:c r="R499" s="21" t="str"/>
      <x:c r="S499" s="21" t="str"/>
      <x:c r="T499" s="17" t="str">
        <x:v>false</x:v>
      </x:c>
      <x:c r="U499" s="17" t="str">
        <x:v>true</x:v>
      </x:c>
      <x:c r="V499" s="17" t="str">
        <x:v>false</x:v>
      </x:c>
    </x:row>
    <x:row r="500" ht="80" customHeight="1">
      <x:c r="A500" s="25" t="str">
        <x:v>JacksonDatabind</x:v>
      </x:c>
      <x:c r="B500" s="25" t="n">
        <x:v>109</x:v>
      </x:c>
      <x:c r="C500" s="25" t="str">
        <x:v>Round1</x:v>
      </x:c>
      <x:c r="D500" s="25" t="str">
        <x:v>NOT_REVEALING</x:v>
      </x:c>
      <x:c r="E500" s="25" t="str">
        <x:v>N/A</x:v>
      </x:c>
      <x:c r="F500" s="26" t="str">
        <x:v>Same saved validation suite passed on buggy and fixed</x:v>
      </x:c>
      <x:c r="G500" s="25" t="str">
        <x:v>true</x:v>
      </x:c>
      <x:c r="H500" s="25" t="str">
        <x:v>NOT_REVEALING</x:v>
      </x:c>
      <x:c r="I500" s="25" t="str">
        <x:v>PASS</x:v>
      </x:c>
      <x:c r="J500" s="25" t="str">
        <x:v>PASS</x:v>
      </x:c>
      <x:c r="K500" s="25" t="n">
        <x:v>6</x:v>
      </x:c>
      <x:c r="L500" s="27" t="b">
        <x:v>0</x:v>
      </x:c>
      <x:c r="M500" s="25" t="str">
        <x:v>Feedback-Directed Random Test Generation/rounds/Round1/state/JacksonDatabind.json</x:v>
      </x:c>
      <x:c r="N500" s="25" t="str">
        <x:v>Feedback-Directed Random Test Generation/Result/JacksonDatabind_109/result.json</x:v>
      </x:c>
      <x:c r="O500" s="25" t="str">
        <x:v>Feedback-Directed Random Test Generation/Result/JacksonDatabind_109/result.json</x:v>
      </x:c>
      <x:c r="P500"/>
      <x:c r="Q500" s="21" t="str"/>
      <x:c r="R500" s="21" t="str"/>
      <x:c r="S500" s="21" t="str"/>
      <x:c r="T500" s="17" t="str">
        <x:v>false</x:v>
      </x:c>
      <x:c r="U500" s="17" t="str">
        <x:v>true</x:v>
      </x:c>
      <x:c r="V500" s="17" t="str">
        <x:v>false</x:v>
      </x:c>
    </x:row>
    <x:row r="501" ht="80" customHeight="1">
      <x:c r="A501" s="25" t="str">
        <x:v>JacksonDatabind</x:v>
      </x:c>
      <x:c r="B501" s="25" t="n">
        <x:v>110</x:v>
      </x:c>
      <x:c r="C501" s="25" t="str">
        <x:v>Round1</x:v>
      </x:c>
      <x:c r="D501" s="25" t="str">
        <x:v>NOT_REVEALING</x:v>
      </x:c>
      <x:c r="E501" s="25" t="str">
        <x:v>N/A</x:v>
      </x:c>
      <x:c r="F501" s="26" t="str">
        <x:v>Same saved validation suite passed on buggy and fixed</x:v>
      </x:c>
      <x:c r="G501" s="25" t="str">
        <x:v>true</x:v>
      </x:c>
      <x:c r="H501" s="25" t="str">
        <x:v>NOT_REVEALING</x:v>
      </x:c>
      <x:c r="I501" s="25" t="str">
        <x:v>PASS</x:v>
      </x:c>
      <x:c r="J501" s="25" t="str">
        <x:v>PASS</x:v>
      </x:c>
      <x:c r="K501" s="25" t="n">
        <x:v>2</x:v>
      </x:c>
      <x:c r="L501" s="27" t="b">
        <x:v>0</x:v>
      </x:c>
      <x:c r="M501" s="25" t="str">
        <x:v>Feedback-Directed Random Test Generation/rounds/Round1/state/JacksonDatabind.json</x:v>
      </x:c>
      <x:c r="N501" s="25" t="str">
        <x:v>Feedback-Directed Random Test Generation/Result/JacksonDatabind_110/result.json</x:v>
      </x:c>
      <x:c r="O501" s="25" t="str">
        <x:v>Feedback-Directed Random Test Generation/Result/JacksonDatabind_110/result.json</x:v>
      </x:c>
      <x:c r="P501"/>
      <x:c r="Q501" s="21" t="str"/>
      <x:c r="R501" s="21" t="str"/>
      <x:c r="S501" s="21" t="str"/>
      <x:c r="T501" s="17" t="str">
        <x:v>false</x:v>
      </x:c>
      <x:c r="U501" s="17" t="str">
        <x:v>true</x:v>
      </x:c>
      <x:c r="V501" s="17" t="str">
        <x:v>false</x:v>
      </x:c>
    </x:row>
    <x:row r="502" ht="80" customHeight="1">
      <x:c r="A502" s="25" t="str">
        <x:v>JacksonDatabind</x:v>
      </x:c>
      <x:c r="B502" s="25" t="n">
        <x:v>111</x:v>
      </x:c>
      <x:c r="C502" s="25" t="str">
        <x:v>Round1</x:v>
      </x:c>
      <x:c r="D502" s="25" t="str">
        <x:v>NOT_REVEALING</x:v>
      </x:c>
      <x:c r="E502" s="25" t="str">
        <x:v>N/A</x:v>
      </x:c>
      <x:c r="F502" s="26" t="str">
        <x:v>Same saved validation suite passed on buggy and fixed</x:v>
      </x:c>
      <x:c r="G502" s="25" t="str">
        <x:v>true</x:v>
      </x:c>
      <x:c r="H502" s="25" t="str">
        <x:v>NOT_REVEALING</x:v>
      </x:c>
      <x:c r="I502" s="25" t="str">
        <x:v>PASS</x:v>
      </x:c>
      <x:c r="J502" s="25" t="str">
        <x:v>PASS</x:v>
      </x:c>
      <x:c r="K502" s="25" t="n">
        <x:v>7</x:v>
      </x:c>
      <x:c r="L502" s="27" t="b">
        <x:v>0</x:v>
      </x:c>
      <x:c r="M502" s="25" t="str">
        <x:v>Feedback-Directed Random Test Generation/rounds/Round1/state/JacksonDatabind.json</x:v>
      </x:c>
      <x:c r="N502" s="25" t="str">
        <x:v>Feedback-Directed Random Test Generation/Result/JacksonDatabind_111/result.json</x:v>
      </x:c>
      <x:c r="O502" s="25" t="str">
        <x:v>Feedback-Directed Random Test Generation/Result/JacksonDatabind_111/result.json</x:v>
      </x:c>
      <x:c r="P502"/>
      <x:c r="Q502" s="21" t="str"/>
      <x:c r="R502" s="21" t="str"/>
      <x:c r="S502" s="21" t="str"/>
      <x:c r="T502" s="17" t="str">
        <x:v>false</x:v>
      </x:c>
      <x:c r="U502" s="17" t="str">
        <x:v>true</x:v>
      </x:c>
      <x:c r="V502" s="17" t="str">
        <x:v>false</x:v>
      </x:c>
    </x:row>
    <x:row r="503" ht="80" customHeight="1">
      <x:c r="A503" s="25" t="str">
        <x:v>JacksonDatabind</x:v>
      </x:c>
      <x:c r="B503" s="25" t="n">
        <x:v>112</x:v>
      </x:c>
      <x:c r="C503" s="25" t="str">
        <x:v>Round1</x:v>
      </x:c>
      <x:c r="D503" s="25" t="str">
        <x:v>NOT_REVEALING</x:v>
      </x:c>
      <x:c r="E503" s="25" t="str">
        <x:v>N/A</x:v>
      </x:c>
      <x:c r="F503" s="26" t="str">
        <x:v>Same saved validation suite passed on buggy and fixed</x:v>
      </x:c>
      <x:c r="G503" s="25" t="str">
        <x:v>true</x:v>
      </x:c>
      <x:c r="H503" s="25" t="str">
        <x:v>NOT_REVEALING</x:v>
      </x:c>
      <x:c r="I503" s="25" t="str">
        <x:v>PASS</x:v>
      </x:c>
      <x:c r="J503" s="25" t="str">
        <x:v>PASS</x:v>
      </x:c>
      <x:c r="K503" s="25" t="n">
        <x:v>2</x:v>
      </x:c>
      <x:c r="L503" s="27" t="b">
        <x:v>0</x:v>
      </x:c>
      <x:c r="M503" s="25" t="str">
        <x:v>Feedback-Directed Random Test Generation/rounds/Round1/state/JacksonDatabind.json</x:v>
      </x:c>
      <x:c r="N503" s="25" t="str">
        <x:v>Feedback-Directed Random Test Generation/Result/JacksonDatabind_112/result.json</x:v>
      </x:c>
      <x:c r="O503" s="25" t="str">
        <x:v>Feedback-Directed Random Test Generation/Result/JacksonDatabind_112/result.json</x:v>
      </x:c>
      <x:c r="P503"/>
      <x:c r="Q503" s="21" t="str"/>
      <x:c r="R503" s="21" t="str"/>
      <x:c r="S503" s="21" t="str"/>
      <x:c r="T503" s="17" t="str">
        <x:v>false</x:v>
      </x:c>
      <x:c r="U503" s="17" t="str">
        <x:v>true</x:v>
      </x:c>
      <x:c r="V503" s="17" t="str">
        <x:v>false</x:v>
      </x:c>
    </x:row>
    <x:row r="504" ht="80" customHeight="1">
      <x:c r="A504" s="25" t="str">
        <x:v>JacksonXml</x:v>
      </x:c>
      <x:c r="B504" s="25" t="n">
        <x:v>1</x:v>
      </x:c>
      <x:c r="C504" s="25" t="str">
        <x:v>Round1</x:v>
      </x:c>
      <x:c r="D504" s="25" t="str">
        <x:v>NOT_REVEALING</x:v>
      </x:c>
      <x:c r="E504" s="25" t="str">
        <x:v>N/A</x:v>
      </x:c>
      <x:c r="F504" s="26" t="str">
        <x:v>Same saved validation suite passed on buggy and fixed</x:v>
      </x:c>
      <x:c r="G504" s="25" t="str">
        <x:v>true</x:v>
      </x:c>
      <x:c r="H504" s="25" t="str">
        <x:v>NOT_REVEALING</x:v>
      </x:c>
      <x:c r="I504" s="25" t="str">
        <x:v>PASS</x:v>
      </x:c>
      <x:c r="J504" s="25" t="str">
        <x:v>PASS</x:v>
      </x:c>
      <x:c r="K504" s="25" t="n">
        <x:v>2</x:v>
      </x:c>
      <x:c r="L504" s="27" t="b">
        <x:v>0</x:v>
      </x:c>
      <x:c r="M504" s="25" t="str">
        <x:v>Feedback-Directed Random Test Generation/rounds/Round1/state/JacksonXml.json</x:v>
      </x:c>
      <x:c r="N504" s="25" t="str">
        <x:v>Feedback-Directed Random Test Generation/Result/JacksonXml_1/result.json</x:v>
      </x:c>
      <x:c r="O504" s="25" t="str">
        <x:v>Feedback-Directed Random Test Generation/Result/JacksonXml_1/result.json</x:v>
      </x:c>
      <x:c r="P504"/>
      <x:c r="Q504" s="21" t="str"/>
      <x:c r="R504" s="21" t="str"/>
      <x:c r="S504" s="21" t="str"/>
      <x:c r="T504" s="17" t="str">
        <x:v>false</x:v>
      </x:c>
      <x:c r="U504" s="17" t="str">
        <x:v>true</x:v>
      </x:c>
      <x:c r="V504" s="17" t="str">
        <x:v>false</x:v>
      </x:c>
    </x:row>
    <x:row r="505" ht="80" customHeight="1">
      <x:c r="A505" s="25" t="str">
        <x:v>JacksonXml</x:v>
      </x:c>
      <x:c r="B505" s="25" t="n">
        <x:v>2</x:v>
      </x:c>
      <x:c r="C505" s="25" t="str">
        <x:v>Round1</x:v>
      </x:c>
      <x:c r="D505" s="25" t="str">
        <x:v>NOT_REVEALING</x:v>
      </x:c>
      <x:c r="E505" s="25" t="str">
        <x:v>N/A</x:v>
      </x:c>
      <x:c r="F505" s="26" t="str">
        <x:v>Same saved validation suite passed on buggy and fixed</x:v>
      </x:c>
      <x:c r="G505" s="25" t="str">
        <x:v>true</x:v>
      </x:c>
      <x:c r="H505" s="25" t="str">
        <x:v>NOT_REVEALING</x:v>
      </x:c>
      <x:c r="I505" s="25" t="str">
        <x:v>PASS</x:v>
      </x:c>
      <x:c r="J505" s="25" t="str">
        <x:v>PASS</x:v>
      </x:c>
      <x:c r="K505" s="25" t="n">
        <x:v>2</x:v>
      </x:c>
      <x:c r="L505" s="27" t="b">
        <x:v>0</x:v>
      </x:c>
      <x:c r="M505" s="25" t="str">
        <x:v>Feedback-Directed Random Test Generation/rounds/Round1/state/JacksonXml.json</x:v>
      </x:c>
      <x:c r="N505" s="25" t="str">
        <x:v>Feedback-Directed Random Test Generation/Result/JacksonXml_2/result.json</x:v>
      </x:c>
      <x:c r="O505" s="25" t="str">
        <x:v>Feedback-Directed Random Test Generation/Result/JacksonXml_2/result.json</x:v>
      </x:c>
      <x:c r="P505"/>
      <x:c r="Q505" s="21" t="str"/>
      <x:c r="R505" s="21" t="str"/>
      <x:c r="S505" s="21" t="str"/>
      <x:c r="T505" s="17" t="str">
        <x:v>false</x:v>
      </x:c>
      <x:c r="U505" s="17" t="str">
        <x:v>true</x:v>
      </x:c>
      <x:c r="V505" s="17" t="str">
        <x:v>false</x:v>
      </x:c>
    </x:row>
    <x:row r="506" ht="80" customHeight="1">
      <x:c r="A506" s="25" t="str">
        <x:v>JacksonXml</x:v>
      </x:c>
      <x:c r="B506" s="25" t="n">
        <x:v>3</x:v>
      </x:c>
      <x:c r="C506" s="25" t="str">
        <x:v>Round1</x:v>
      </x:c>
      <x:c r="D506" s="25" t="str">
        <x:v>NOT_REVEALING</x:v>
      </x:c>
      <x:c r="E506" s="25" t="str">
        <x:v>N/A</x:v>
      </x:c>
      <x:c r="F506" s="26" t="str">
        <x:v>Same saved validation suite passed on buggy and fixed</x:v>
      </x:c>
      <x:c r="G506" s="25" t="str">
        <x:v>true</x:v>
      </x:c>
      <x:c r="H506" s="25" t="str">
        <x:v>NOT_REVEALING</x:v>
      </x:c>
      <x:c r="I506" s="25" t="str">
        <x:v>PASS</x:v>
      </x:c>
      <x:c r="J506" s="25" t="str">
        <x:v>PASS</x:v>
      </x:c>
      <x:c r="K506" s="25" t="n">
        <x:v>2</x:v>
      </x:c>
      <x:c r="L506" s="27" t="b">
        <x:v>0</x:v>
      </x:c>
      <x:c r="M506" s="25" t="str">
        <x:v>Feedback-Directed Random Test Generation/rounds/Round1/state/JacksonXml.json</x:v>
      </x:c>
      <x:c r="N506" s="25" t="str">
        <x:v>Feedback-Directed Random Test Generation/Result/JacksonXml_3/result.json</x:v>
      </x:c>
      <x:c r="O506" s="25" t="str">
        <x:v>Feedback-Directed Random Test Generation/Result/JacksonXml_3/result.json</x:v>
      </x:c>
      <x:c r="P506"/>
      <x:c r="Q506" s="21" t="str"/>
      <x:c r="R506" s="21" t="str"/>
      <x:c r="S506" s="21" t="str"/>
      <x:c r="T506" s="17" t="str">
        <x:v>false</x:v>
      </x:c>
      <x:c r="U506" s="17" t="str">
        <x:v>true</x:v>
      </x:c>
      <x:c r="V506" s="17" t="str">
        <x:v>false</x:v>
      </x:c>
    </x:row>
    <x:row r="507" ht="80" customHeight="1">
      <x:c r="A507" s="25" t="str">
        <x:v>JacksonXml</x:v>
      </x:c>
      <x:c r="B507" s="25" t="n">
        <x:v>4</x:v>
      </x:c>
      <x:c r="C507" s="25" t="str">
        <x:v>Round1</x:v>
      </x:c>
      <x:c r="D507" s="25" t="str">
        <x:v>INCONCLUSIVE</x:v>
      </x:c>
      <x:c r="E507" s="25" t="str">
        <x:v>N/A</x:v>
      </x:c>
      <x:c r="F507" s="26" t="str">
        <x:v>Fixed also failed; assertion failure cannot be attributed to this bug</x:v>
      </x:c>
      <x:c r="G507" s="25" t="str">
        <x:v>true</x:v>
      </x:c>
      <x:c r="H507" s="25" t="str">
        <x:v>INCONCLUSIVE</x:v>
      </x:c>
      <x:c r="I507" s="25" t="str">
        <x:v>PASS</x:v>
      </x:c>
      <x:c r="J507" s="25" t="str">
        <x:v>FAIL</x:v>
      </x:c>
      <x:c r="K507" s="25" t="n">
        <x:v>8</x:v>
      </x:c>
      <x:c r="L507" s="27" t="b">
        <x:v>0</x:v>
      </x:c>
      <x:c r="M507" s="25" t="str">
        <x:v>Feedback-Directed Random Test Generation/rounds/Round1/state/JacksonXml.json</x:v>
      </x:c>
      <x:c r="N507" s="25" t="str">
        <x:v>Feedback-Directed Random Test Generation/Result/JacksonXml_4/result.json</x:v>
      </x:c>
      <x:c r="O507" s="25" t="str">
        <x:v>Feedback-Directed Random Test Generation/Result/JacksonXml_4/result.json</x:v>
      </x:c>
      <x:c r="P507"/>
      <x:c r="Q507" s="21" t="str"/>
      <x:c r="R507" s="21" t="str"/>
      <x:c r="S507" s="21" t="str"/>
      <x:c r="T507" s="17" t="str">
        <x:v>false</x:v>
      </x:c>
      <x:c r="U507" s="17" t="str">
        <x:v>true</x:v>
      </x:c>
      <x:c r="V507" s="17" t="str">
        <x:v>false</x:v>
      </x:c>
    </x:row>
    <x:row r="508" ht="80" customHeight="1">
      <x:c r="A508" s="25" t="str">
        <x:v>JacksonXml</x:v>
      </x:c>
      <x:c r="B508" s="25" t="n">
        <x:v>5</x:v>
      </x:c>
      <x:c r="C508" s="25" t="str">
        <x:v>Round1</x:v>
      </x:c>
      <x:c r="D508" s="25" t="str">
        <x:v>INCONCLUSIVE</x:v>
      </x:c>
      <x:c r="E508" s="25" t="str">
        <x:v>N/A</x:v>
      </x:c>
      <x:c r="F508" s="26" t="str">
        <x:v>Fixed also failed; assertion failure cannot be attributed to this bug</x:v>
      </x:c>
      <x:c r="G508" s="25" t="str">
        <x:v>true</x:v>
      </x:c>
      <x:c r="H508" s="25" t="str">
        <x:v>INCONCLUSIVE</x:v>
      </x:c>
      <x:c r="I508" s="25" t="str">
        <x:v>PASS</x:v>
      </x:c>
      <x:c r="J508" s="25" t="str">
        <x:v>FAIL</x:v>
      </x:c>
      <x:c r="K508" s="25" t="n">
        <x:v>9</x:v>
      </x:c>
      <x:c r="L508" s="27" t="b">
        <x:v>0</x:v>
      </x:c>
      <x:c r="M508" s="25" t="str">
        <x:v>Feedback-Directed Random Test Generation/rounds/Round1/state/JacksonXml.json</x:v>
      </x:c>
      <x:c r="N508" s="25" t="str">
        <x:v>Feedback-Directed Random Test Generation/Result/JacksonXml_5/result.json</x:v>
      </x:c>
      <x:c r="O508" s="25" t="str">
        <x:v>Feedback-Directed Random Test Generation/Result/JacksonXml_5/result.json</x:v>
      </x:c>
      <x:c r="P508"/>
      <x:c r="Q508" s="21" t="str"/>
      <x:c r="R508" s="21" t="str"/>
      <x:c r="S508" s="21" t="str"/>
      <x:c r="T508" s="17" t="str">
        <x:v>false</x:v>
      </x:c>
      <x:c r="U508" s="17" t="str">
        <x:v>true</x:v>
      </x:c>
      <x:c r="V508" s="17" t="str">
        <x:v>false</x:v>
      </x:c>
    </x:row>
    <x:row r="509" ht="80" customHeight="1">
      <x:c r="A509" s="25" t="str">
        <x:v>JacksonXml</x:v>
      </x:c>
      <x:c r="B509" s="25" t="n">
        <x:v>6</x:v>
      </x:c>
      <x:c r="C509" s="25" t="str">
        <x:v>Round1</x:v>
      </x:c>
      <x:c r="D509" s="25" t="str">
        <x:v>NOT_REVEALING</x:v>
      </x:c>
      <x:c r="E509" s="25" t="str">
        <x:v>N/A</x:v>
      </x:c>
      <x:c r="F509" s="26" t="str">
        <x:v>Same saved validation suite passed on buggy and fixed</x:v>
      </x:c>
      <x:c r="G509" s="25" t="str">
        <x:v>true</x:v>
      </x:c>
      <x:c r="H509" s="25" t="str">
        <x:v>NOT_REVEALING</x:v>
      </x:c>
      <x:c r="I509" s="25" t="str">
        <x:v>PASS</x:v>
      </x:c>
      <x:c r="J509" s="25" t="str">
        <x:v>PASS</x:v>
      </x:c>
      <x:c r="K509" s="25" t="n">
        <x:v>11</x:v>
      </x:c>
      <x:c r="L509" s="27" t="b">
        <x:v>0</x:v>
      </x:c>
      <x:c r="M509" s="25" t="str">
        <x:v>Feedback-Directed Random Test Generation/rounds/Round1/state/JacksonXml.json</x:v>
      </x:c>
      <x:c r="N509" s="25" t="str">
        <x:v>Feedback-Directed Random Test Generation/Result/JacksonXml_6/result.json</x:v>
      </x:c>
      <x:c r="O509" s="25" t="str">
        <x:v>Feedback-Directed Random Test Generation/Result/JacksonXml_6/result.json</x:v>
      </x:c>
      <x:c r="P509"/>
      <x:c r="Q509" s="21" t="str"/>
      <x:c r="R509" s="21" t="str"/>
      <x:c r="S509" s="21" t="str"/>
      <x:c r="T509" s="17" t="str">
        <x:v>false</x:v>
      </x:c>
      <x:c r="U509" s="17" t="str">
        <x:v>true</x:v>
      </x:c>
      <x:c r="V509" s="17" t="str">
        <x:v>false</x:v>
      </x:c>
    </x:row>
    <x:row r="510" ht="80" customHeight="1">
      <x:c r="A510" s="25" t="str">
        <x:v>Jsoup</x:v>
      </x:c>
      <x:c r="B510" s="25" t="n">
        <x:v>1</x:v>
      </x:c>
      <x:c r="C510" s="25" t="str">
        <x:v>Round1</x:v>
      </x:c>
      <x:c r="D510" s="25" t="str">
        <x:v>INCONCLUSIVE</x:v>
      </x:c>
      <x:c r="E510" s="25" t="str">
        <x:v>N/A</x:v>
      </x:c>
      <x:c r="F510" s="26" t="str">
        <x:v>Fixed also failed; assertion failure cannot be attributed to this bug; Assertions failed with measured coverage; paired execution and stage checks determine status</x:v>
      </x:c>
      <x:c r="G510" s="25" t="str">
        <x:v>true</x:v>
      </x:c>
      <x:c r="H510" s="25" t="str">
        <x:v>INCONCLUSIVE</x:v>
      </x:c>
      <x:c r="I510" s="25" t="str">
        <x:v>FAIL</x:v>
      </x:c>
      <x:c r="J510" s="25" t="str">
        <x:v>FAIL</x:v>
      </x:c>
      <x:c r="K510" s="25" t="n">
        <x:v>16</x:v>
      </x:c>
      <x:c r="L510" s="27" t="b">
        <x:v>0</x:v>
      </x:c>
      <x:c r="M510" s="25" t="str">
        <x:v>Feedback-Directed Random Test Generation/rounds/Round1/state/Jsoup.json</x:v>
      </x:c>
      <x:c r="N510" s="25" t="str">
        <x:v>Feedback-Directed Random Test Generation/Result/Jsoup_1/result.json</x:v>
      </x:c>
      <x:c r="O510" s="25" t="str">
        <x:v>Feedback-Directed Random Test Generation/Result/Jsoup_1/result.json</x:v>
      </x:c>
      <x:c r="P510"/>
      <x:c r="Q510" s="21" t="str"/>
      <x:c r="R510" s="21" t="str"/>
      <x:c r="S510" s="21" t="str"/>
      <x:c r="T510" s="17" t="str">
        <x:v>false</x:v>
      </x:c>
      <x:c r="U510" s="17" t="str">
        <x:v>true</x:v>
      </x:c>
      <x:c r="V510" s="17" t="str">
        <x:v>false</x:v>
      </x:c>
    </x:row>
    <x:row r="511" ht="80" customHeight="1">
      <x:c r="A511" s="25" t="str">
        <x:v>Jsoup</x:v>
      </x:c>
      <x:c r="B511" s="25" t="n">
        <x:v>2</x:v>
      </x:c>
      <x:c r="C511" s="25" t="str">
        <x:v>Round1</x:v>
      </x:c>
      <x:c r="D511" s="25" t="str">
        <x:v>NOT_REVEALING</x:v>
      </x:c>
      <x:c r="E511" s="25" t="str">
        <x:v>N/A</x:v>
      </x:c>
      <x:c r="F511" s="26" t="str">
        <x:v>Same saved validation suite passed on buggy and fixed</x:v>
      </x:c>
      <x:c r="G511" s="25" t="str">
        <x:v>true</x:v>
      </x:c>
      <x:c r="H511" s="25" t="str">
        <x:v>NOT_REVEALING</x:v>
      </x:c>
      <x:c r="I511" s="25" t="str">
        <x:v>PASS</x:v>
      </x:c>
      <x:c r="J511" s="25" t="str">
        <x:v>PASS</x:v>
      </x:c>
      <x:c r="K511" s="25" t="n">
        <x:v>2</x:v>
      </x:c>
      <x:c r="L511" s="27" t="b">
        <x:v>0</x:v>
      </x:c>
      <x:c r="M511" s="25" t="str">
        <x:v>Feedback-Directed Random Test Generation/rounds/Round1/state/Jsoup.json</x:v>
      </x:c>
      <x:c r="N511" s="25" t="str">
        <x:v>Feedback-Directed Random Test Generation/Result/Jsoup_2/result.json</x:v>
      </x:c>
      <x:c r="O511" s="25" t="str">
        <x:v>Feedback-Directed Random Test Generation/Result/Jsoup_2/result.json</x:v>
      </x:c>
      <x:c r="P511"/>
      <x:c r="Q511" s="21" t="str"/>
      <x:c r="R511" s="21" t="str"/>
      <x:c r="S511" s="21" t="str"/>
      <x:c r="T511" s="17" t="str">
        <x:v>false</x:v>
      </x:c>
      <x:c r="U511" s="17" t="str">
        <x:v>true</x:v>
      </x:c>
      <x:c r="V511" s="17" t="str">
        <x:v>false</x:v>
      </x:c>
    </x:row>
    <x:row r="512" ht="80" customHeight="1">
      <x:c r="A512" s="25" t="str">
        <x:v>Jsoup</x:v>
      </x:c>
      <x:c r="B512" s="25" t="n">
        <x:v>3</x:v>
      </x:c>
      <x:c r="C512" s="25" t="str">
        <x:v>Round1</x:v>
      </x:c>
      <x:c r="D512" s="25" t="str">
        <x:v>INCONCLUSIVE</x:v>
      </x:c>
      <x:c r="E512" s="25" t="str">
        <x:v>N/A</x:v>
      </x:c>
      <x:c r="F512" s="26" t="str">
        <x:v>Fixed also failed; assertion failure cannot be attributed to this bug; Assertions failed with measured coverage; paired execution and stage checks determine status</x:v>
      </x:c>
      <x:c r="G512" s="25" t="str">
        <x:v>true</x:v>
      </x:c>
      <x:c r="H512" s="25" t="str">
        <x:v>INCONCLUSIVE</x:v>
      </x:c>
      <x:c r="I512" s="25" t="str">
        <x:v>FAIL</x:v>
      </x:c>
      <x:c r="J512" s="25" t="str">
        <x:v>FAIL</x:v>
      </x:c>
      <x:c r="K512" s="25" t="n">
        <x:v>14</x:v>
      </x:c>
      <x:c r="L512" s="27" t="b">
        <x:v>0</x:v>
      </x:c>
      <x:c r="M512" s="25" t="str">
        <x:v>Feedback-Directed Random Test Generation/rounds/Round1/state/Jsoup.json</x:v>
      </x:c>
      <x:c r="N512" s="25" t="str">
        <x:v>Feedback-Directed Random Test Generation/Result/Jsoup_3/result.json</x:v>
      </x:c>
      <x:c r="O512" s="25" t="str">
        <x:v>Feedback-Directed Random Test Generation/Result/Jsoup_3/result.json</x:v>
      </x:c>
      <x:c r="P512"/>
      <x:c r="Q512" s="21" t="str"/>
      <x:c r="R512" s="21" t="str"/>
      <x:c r="S512" s="21" t="str"/>
      <x:c r="T512" s="17" t="str">
        <x:v>false</x:v>
      </x:c>
      <x:c r="U512" s="17" t="str">
        <x:v>true</x:v>
      </x:c>
      <x:c r="V512" s="17" t="str">
        <x:v>false</x:v>
      </x:c>
    </x:row>
    <x:row r="513" ht="80" customHeight="1">
      <x:c r="A513" s="25" t="str">
        <x:v>Jsoup</x:v>
      </x:c>
      <x:c r="B513" s="25" t="n">
        <x:v>4</x:v>
      </x:c>
      <x:c r="C513" s="25" t="str">
        <x:v>Round1</x:v>
      </x:c>
      <x:c r="D513" s="25" t="str">
        <x:v>NOT_AVAILABLE</x:v>
      </x:c>
      <x:c r="E513" s="25" t="str">
        <x:v>N/A</x:v>
      </x:c>
      <x:c r="F513" s="26" t="str">
        <x:v>Tests exist but current coverage did not complete</x:v>
      </x:c>
      <x:c r="G513" s="25" t="str">
        <x:v>true</x:v>
      </x:c>
      <x:c r="H513" s="25" t="str">
        <x:v>NOT_REVEALING</x:v>
      </x:c>
      <x:c r="I513" s="25" t="str">
        <x:v>PASS</x:v>
      </x:c>
      <x:c r="J513" s="25" t="str">
        <x:v>PASS</x:v>
      </x:c>
      <x:c r="K513" s="25" t="n">
        <x:v>2</x:v>
      </x:c>
      <x:c r="L513" s="27" t="b">
        <x:v>0</x:v>
      </x:c>
      <x:c r="M513" s="25" t="str">
        <x:v>Feedback-Directed Random Test Generation/rounds/Round1/state/Jsoup.json</x:v>
      </x:c>
      <x:c r="N513" s="25" t="str">
        <x:v>Feedback-Directed Random Test Generation/Result/Jsoup_4/result.json</x:v>
      </x:c>
      <x:c r="O513" s="25" t="str">
        <x:v>Feedback-Directed Random Test Generation/Result/Jsoup_4/result.json</x:v>
      </x:c>
      <x:c r="P513" t="str">
        <x:v>COVERAGE_UNAVAILABLE</x:v>
      </x:c>
      <x:c r="Q513" s="21" t="str"/>
      <x:c r="R513" s="21" t="str"/>
      <x:c r="S513" s="21" t="str"/>
      <x:c r="T513" s="17" t="str">
        <x:v>false</x:v>
      </x:c>
      <x:c r="U513" s="17" t="str">
        <x:v>true</x:v>
      </x:c>
      <x:c r="V513" s="17" t="str">
        <x:v>true</x:v>
      </x:c>
    </x:row>
    <x:row r="514" ht="80" customHeight="1">
      <x:c r="A514" s="25" t="str">
        <x:v>Jsoup</x:v>
      </x:c>
      <x:c r="B514" s="25" t="n">
        <x:v>5</x:v>
      </x:c>
      <x:c r="C514" s="25" t="str">
        <x:v>Round1</x:v>
      </x:c>
      <x:c r="D514" s="25" t="str">
        <x:v>NOT_REVEALING</x:v>
      </x:c>
      <x:c r="E514" s="25" t="str">
        <x:v>N/A</x:v>
      </x:c>
      <x:c r="F514" s="26" t="str">
        <x:v>Same saved validation suite passed on buggy and fixed</x:v>
      </x:c>
      <x:c r="G514" s="25" t="str">
        <x:v>true</x:v>
      </x:c>
      <x:c r="H514" s="25" t="str">
        <x:v>NOT_REVEALING</x:v>
      </x:c>
      <x:c r="I514" s="25" t="str">
        <x:v>PASS</x:v>
      </x:c>
      <x:c r="J514" s="25" t="str">
        <x:v>PASS</x:v>
      </x:c>
      <x:c r="K514" s="25" t="n">
        <x:v>2</x:v>
      </x:c>
      <x:c r="L514" s="27" t="b">
        <x:v>0</x:v>
      </x:c>
      <x:c r="M514" s="25" t="str">
        <x:v>Feedback-Directed Random Test Generation/rounds/Round1/state/Jsoup.json</x:v>
      </x:c>
      <x:c r="N514" s="25" t="str">
        <x:v>Feedback-Directed Random Test Generation/Result/Jsoup_5/result.json</x:v>
      </x:c>
      <x:c r="O514" s="25" t="str">
        <x:v>Feedback-Directed Random Test Generation/Result/Jsoup_5/result.json</x:v>
      </x:c>
      <x:c r="P514"/>
      <x:c r="Q514" s="21" t="str"/>
      <x:c r="R514" s="21" t="str"/>
      <x:c r="S514" s="21" t="str"/>
      <x:c r="T514" s="17" t="str">
        <x:v>false</x:v>
      </x:c>
      <x:c r="U514" s="17" t="str">
        <x:v>true</x:v>
      </x:c>
      <x:c r="V514" s="17" t="str">
        <x:v>false</x:v>
      </x:c>
    </x:row>
    <x:row r="515" ht="80" customHeight="1">
      <x:c r="A515" s="25" t="str">
        <x:v>Jsoup</x:v>
      </x:c>
      <x:c r="B515" s="25" t="n">
        <x:v>6</x:v>
      </x:c>
      <x:c r="C515" s="25" t="str">
        <x:v>Round1</x:v>
      </x:c>
      <x:c r="D515" s="25" t="str">
        <x:v>NOT_AVAILABLE</x:v>
      </x:c>
      <x:c r="E515" s="25" t="str">
        <x:v>N/A</x:v>
      </x:c>
      <x:c r="F515" s="26" t="str">
        <x:v>Tests exist but current coverage did not complete</x:v>
      </x:c>
      <x:c r="G515" s="25" t="str">
        <x:v>true</x:v>
      </x:c>
      <x:c r="H515" s="25" t="str">
        <x:v>NOT_REVEALING</x:v>
      </x:c>
      <x:c r="I515" s="25" t="str">
        <x:v>PASS</x:v>
      </x:c>
      <x:c r="J515" s="25" t="str">
        <x:v>PASS</x:v>
      </x:c>
      <x:c r="K515" s="25" t="n">
        <x:v>2</x:v>
      </x:c>
      <x:c r="L515" s="27" t="b">
        <x:v>0</x:v>
      </x:c>
      <x:c r="M515" s="25" t="str">
        <x:v>Feedback-Directed Random Test Generation/rounds/Round1/state/Jsoup.json</x:v>
      </x:c>
      <x:c r="N515" s="25" t="str">
        <x:v>Feedback-Directed Random Test Generation/Result/Jsoup_6/result.json</x:v>
      </x:c>
      <x:c r="O515" s="25" t="str">
        <x:v>Feedback-Directed Random Test Generation/Result/Jsoup_6/result.json</x:v>
      </x:c>
      <x:c r="P515" t="str">
        <x:v>COVERAGE_UNAVAILABLE</x:v>
      </x:c>
      <x:c r="Q515" s="21" t="str"/>
      <x:c r="R515" s="21" t="str"/>
      <x:c r="S515" s="21" t="str"/>
      <x:c r="T515" s="17" t="str">
        <x:v>false</x:v>
      </x:c>
      <x:c r="U515" s="17" t="str">
        <x:v>true</x:v>
      </x:c>
      <x:c r="V515" s="17" t="str">
        <x:v>true</x:v>
      </x:c>
    </x:row>
    <x:row r="516" ht="80" customHeight="1">
      <x:c r="A516" s="25" t="str">
        <x:v>Jsoup</x:v>
      </x:c>
      <x:c r="B516" s="25" t="n">
        <x:v>7</x:v>
      </x:c>
      <x:c r="C516" s="25" t="str">
        <x:v>Round1</x:v>
      </x:c>
      <x:c r="D516" s="25" t="str">
        <x:v>INCONCLUSIVE</x:v>
      </x:c>
      <x:c r="E516" s="25" t="str">
        <x:v>N/A</x:v>
      </x:c>
      <x:c r="F516" s="26" t="str">
        <x:v>Fixed also failed; assertion failure cannot be attributed to this bug; Assertions failed with measured coverage; paired execution and stage checks determine status</x:v>
      </x:c>
      <x:c r="G516" s="25" t="str">
        <x:v>true</x:v>
      </x:c>
      <x:c r="H516" s="25" t="str">
        <x:v>INCONCLUSIVE</x:v>
      </x:c>
      <x:c r="I516" s="25" t="str">
        <x:v>FAIL</x:v>
      </x:c>
      <x:c r="J516" s="25" t="str">
        <x:v>FAIL</x:v>
      </x:c>
      <x:c r="K516" s="25" t="n">
        <x:v>14</x:v>
      </x:c>
      <x:c r="L516" s="27" t="b">
        <x:v>0</x:v>
      </x:c>
      <x:c r="M516" s="25" t="str">
        <x:v>Feedback-Directed Random Test Generation/rounds/Round1/state/Jsoup.json</x:v>
      </x:c>
      <x:c r="N516" s="25" t="str">
        <x:v>Feedback-Directed Random Test Generation/Result/Jsoup_7/result.json</x:v>
      </x:c>
      <x:c r="O516" s="25" t="str">
        <x:v>Feedback-Directed Random Test Generation/Result/Jsoup_7/result.json</x:v>
      </x:c>
      <x:c r="P516"/>
      <x:c r="Q516" s="21" t="str"/>
      <x:c r="R516" s="21" t="str"/>
      <x:c r="S516" s="21" t="str"/>
      <x:c r="T516" s="17" t="str">
        <x:v>false</x:v>
      </x:c>
      <x:c r="U516" s="17" t="str">
        <x:v>true</x:v>
      </x:c>
      <x:c r="V516" s="17" t="str">
        <x:v>false</x:v>
      </x:c>
    </x:row>
    <x:row r="517" ht="80" customHeight="1">
      <x:c r="A517" s="25" t="str">
        <x:v>Jsoup</x:v>
      </x:c>
      <x:c r="B517" s="25" t="n">
        <x:v>8</x:v>
      </x:c>
      <x:c r="C517" s="25" t="str">
        <x:v>Round1</x:v>
      </x:c>
      <x:c r="D517" s="25" t="str">
        <x:v>NOT_REVEALING</x:v>
      </x:c>
      <x:c r="E517" s="25" t="str">
        <x:v>N/A</x:v>
      </x:c>
      <x:c r="F517" s="26" t="str">
        <x:v>Same saved validation suite passed on buggy and fixed</x:v>
      </x:c>
      <x:c r="G517" s="25" t="str">
        <x:v>true</x:v>
      </x:c>
      <x:c r="H517" s="25" t="str">
        <x:v>NOT_REVEALING</x:v>
      </x:c>
      <x:c r="I517" s="25" t="str">
        <x:v>PASS</x:v>
      </x:c>
      <x:c r="J517" s="25" t="str">
        <x:v>PASS</x:v>
      </x:c>
      <x:c r="K517" s="25" t="n">
        <x:v>2</x:v>
      </x:c>
      <x:c r="L517" s="27" t="b">
        <x:v>0</x:v>
      </x:c>
      <x:c r="M517" s="25" t="str">
        <x:v>Feedback-Directed Random Test Generation/rounds/Round1/state/Jsoup.json</x:v>
      </x:c>
      <x:c r="N517" s="25" t="str">
        <x:v>Feedback-Directed Random Test Generation/Result/Jsoup_8/result.json</x:v>
      </x:c>
      <x:c r="O517" s="25" t="str">
        <x:v>Feedback-Directed Random Test Generation/Result/Jsoup_8/result.json</x:v>
      </x:c>
      <x:c r="P517"/>
      <x:c r="Q517" s="21" t="str"/>
      <x:c r="R517" s="21" t="str"/>
      <x:c r="S517" s="21" t="str"/>
      <x:c r="T517" s="17" t="str">
        <x:v>false</x:v>
      </x:c>
      <x:c r="U517" s="17" t="str">
        <x:v>true</x:v>
      </x:c>
      <x:c r="V517" s="17" t="str">
        <x:v>false</x:v>
      </x:c>
    </x:row>
    <x:row r="518" ht="80" customHeight="1">
      <x:c r="A518" s="25" t="str">
        <x:v>Jsoup</x:v>
      </x:c>
      <x:c r="B518" s="25" t="n">
        <x:v>9</x:v>
      </x:c>
      <x:c r="C518" s="25" t="str">
        <x:v>Round1</x:v>
      </x:c>
      <x:c r="D518" s="25" t="str">
        <x:v>NOT_AVAILABLE</x:v>
      </x:c>
      <x:c r="E518" s="25" t="str">
        <x:v>N/A</x:v>
      </x:c>
      <x:c r="F518" s="26" t="str">
        <x:v>Tests exist but current coverage did not complete</x:v>
      </x:c>
      <x:c r="G518" s="25" t="str">
        <x:v>true</x:v>
      </x:c>
      <x:c r="H518" s="25" t="str">
        <x:v>NOT_REVEALING</x:v>
      </x:c>
      <x:c r="I518" s="25" t="str">
        <x:v>PASS</x:v>
      </x:c>
      <x:c r="J518" s="25" t="str">
        <x:v>PASS</x:v>
      </x:c>
      <x:c r="K518" s="25" t="n">
        <x:v>11</x:v>
      </x:c>
      <x:c r="L518" s="27" t="b">
        <x:v>0</x:v>
      </x:c>
      <x:c r="M518" s="25" t="str">
        <x:v>Feedback-Directed Random Test Generation/rounds/Round1/state/Jsoup.json</x:v>
      </x:c>
      <x:c r="N518" s="25" t="str">
        <x:v>Feedback-Directed Random Test Generation/Result/Jsoup_9/result.json</x:v>
      </x:c>
      <x:c r="O518" s="25" t="str">
        <x:v>Feedback-Directed Random Test Generation/Result/Jsoup_9/result.json</x:v>
      </x:c>
      <x:c r="P518" t="str">
        <x:v>COVERAGE_UNAVAILABLE</x:v>
      </x:c>
      <x:c r="Q518" s="21" t="str"/>
      <x:c r="R518" s="21" t="str"/>
      <x:c r="S518" s="21" t="str"/>
      <x:c r="T518" s="17" t="str">
        <x:v>false</x:v>
      </x:c>
      <x:c r="U518" s="17" t="str">
        <x:v>true</x:v>
      </x:c>
      <x:c r="V518" s="17" t="str">
        <x:v>true</x:v>
      </x:c>
    </x:row>
    <x:row r="519" ht="80" customHeight="1">
      <x:c r="A519" s="25" t="str">
        <x:v>Jsoup</x:v>
      </x:c>
      <x:c r="B519" s="25" t="n">
        <x:v>10</x:v>
      </x:c>
      <x:c r="C519" s="25" t="str">
        <x:v>Round1</x:v>
      </x:c>
      <x:c r="D519" s="25" t="str">
        <x:v>NOT_REVEALING</x:v>
      </x:c>
      <x:c r="E519" s="25" t="str">
        <x:v>N/A</x:v>
      </x:c>
      <x:c r="F519" s="26" t="str">
        <x:v>Same saved validation suite passed on buggy and fixed</x:v>
      </x:c>
      <x:c r="G519" s="25" t="str">
        <x:v>true</x:v>
      </x:c>
      <x:c r="H519" s="25" t="str">
        <x:v>NOT_REVEALING</x:v>
      </x:c>
      <x:c r="I519" s="25" t="str">
        <x:v>PASS</x:v>
      </x:c>
      <x:c r="J519" s="25" t="str">
        <x:v>PASS</x:v>
      </x:c>
      <x:c r="K519" s="25" t="n">
        <x:v>2</x:v>
      </x:c>
      <x:c r="L519" s="27" t="b">
        <x:v>0</x:v>
      </x:c>
      <x:c r="M519" s="25" t="str">
        <x:v>Feedback-Directed Random Test Generation/rounds/Round1/state/Jsoup.json</x:v>
      </x:c>
      <x:c r="N519" s="25" t="str">
        <x:v>Feedback-Directed Random Test Generation/Result/Jsoup_10/result.json</x:v>
      </x:c>
      <x:c r="O519" s="25" t="str">
        <x:v>Feedback-Directed Random Test Generation/Result/Jsoup_10/result.json</x:v>
      </x:c>
      <x:c r="P519"/>
      <x:c r="Q519" s="21" t="str"/>
      <x:c r="R519" s="21" t="str"/>
      <x:c r="S519" s="21" t="str"/>
      <x:c r="T519" s="17" t="str">
        <x:v>false</x:v>
      </x:c>
      <x:c r="U519" s="17" t="str">
        <x:v>true</x:v>
      </x:c>
      <x:c r="V519" s="17" t="str">
        <x:v>false</x:v>
      </x:c>
    </x:row>
    <x:row r="520" ht="80" customHeight="1">
      <x:c r="A520" s="25" t="str">
        <x:v>Jsoup</x:v>
      </x:c>
      <x:c r="B520" s="25" t="n">
        <x:v>11</x:v>
      </x:c>
      <x:c r="C520" s="25" t="str">
        <x:v>Round1</x:v>
      </x:c>
      <x:c r="D520" s="25" t="str">
        <x:v>NOT_REVEALING</x:v>
      </x:c>
      <x:c r="E520" s="25" t="str">
        <x:v>N/A</x:v>
      </x:c>
      <x:c r="F520" s="26" t="str">
        <x:v>Same saved validation suite passed on buggy and fixed</x:v>
      </x:c>
      <x:c r="G520" s="25" t="str">
        <x:v>true</x:v>
      </x:c>
      <x:c r="H520" s="25" t="str">
        <x:v>NOT_REVEALING</x:v>
      </x:c>
      <x:c r="I520" s="25" t="str">
        <x:v>PASS</x:v>
      </x:c>
      <x:c r="J520" s="25" t="str">
        <x:v>PASS</x:v>
      </x:c>
      <x:c r="K520" s="25" t="n">
        <x:v>8</x:v>
      </x:c>
      <x:c r="L520" s="27" t="b">
        <x:v>0</x:v>
      </x:c>
      <x:c r="M520" s="25" t="str">
        <x:v>Feedback-Directed Random Test Generation/rounds/Round1/state/Jsoup.json</x:v>
      </x:c>
      <x:c r="N520" s="25" t="str">
        <x:v>Feedback-Directed Random Test Generation/Result/Jsoup_11/result.json</x:v>
      </x:c>
      <x:c r="O520" s="25" t="str">
        <x:v>Feedback-Directed Random Test Generation/Result/Jsoup_11/result.json</x:v>
      </x:c>
      <x:c r="P520"/>
      <x:c r="Q520" s="21" t="str"/>
      <x:c r="R520" s="21" t="str"/>
      <x:c r="S520" s="21" t="str"/>
      <x:c r="T520" s="17" t="str">
        <x:v>false</x:v>
      </x:c>
      <x:c r="U520" s="17" t="str">
        <x:v>true</x:v>
      </x:c>
      <x:c r="V520" s="17" t="str">
        <x:v>false</x:v>
      </x:c>
    </x:row>
    <x:row r="521" ht="80" customHeight="1">
      <x:c r="A521" s="25" t="str">
        <x:v>Jsoup</x:v>
      </x:c>
      <x:c r="B521" s="25" t="n">
        <x:v>12</x:v>
      </x:c>
      <x:c r="C521" s="25" t="str">
        <x:v>Round1</x:v>
      </x:c>
      <x:c r="D521" s="25" t="str">
        <x:v>NOT_REVEALING</x:v>
      </x:c>
      <x:c r="E521" s="25" t="str">
        <x:v>N/A</x:v>
      </x:c>
      <x:c r="F521" s="26" t="str">
        <x:v>Same saved validation suite passed on buggy and fixed</x:v>
      </x:c>
      <x:c r="G521" s="25" t="str">
        <x:v>true</x:v>
      </x:c>
      <x:c r="H521" s="25" t="str">
        <x:v>NOT_REVEALING</x:v>
      </x:c>
      <x:c r="I521" s="25" t="str">
        <x:v>PASS</x:v>
      </x:c>
      <x:c r="J521" s="25" t="str">
        <x:v>PASS</x:v>
      </x:c>
      <x:c r="K521" s="25" t="n">
        <x:v>4</x:v>
      </x:c>
      <x:c r="L521" s="27" t="b">
        <x:v>0</x:v>
      </x:c>
      <x:c r="M521" s="25" t="str">
        <x:v>Feedback-Directed Random Test Generation/rounds/Round1/state/Jsoup.json</x:v>
      </x:c>
      <x:c r="N521" s="25" t="str">
        <x:v>Feedback-Directed Random Test Generation/Result/Jsoup_12/result.json</x:v>
      </x:c>
      <x:c r="O521" s="25" t="str">
        <x:v>Feedback-Directed Random Test Generation/Result/Jsoup_12/result.json</x:v>
      </x:c>
      <x:c r="P521"/>
      <x:c r="Q521" s="21" t="str"/>
      <x:c r="R521" s="21" t="str"/>
      <x:c r="S521" s="21" t="str"/>
      <x:c r="T521" s="17" t="str">
        <x:v>false</x:v>
      </x:c>
      <x:c r="U521" s="17" t="str">
        <x:v>true</x:v>
      </x:c>
      <x:c r="V521" s="17" t="str">
        <x:v>false</x:v>
      </x:c>
    </x:row>
    <x:row r="522" ht="80" customHeight="1">
      <x:c r="A522" s="25" t="str">
        <x:v>Jsoup</x:v>
      </x:c>
      <x:c r="B522" s="25" t="n">
        <x:v>13</x:v>
      </x:c>
      <x:c r="C522" s="25" t="str">
        <x:v>Round1</x:v>
      </x:c>
      <x:c r="D522" s="25" t="str">
        <x:v>NOT_REVEALING</x:v>
      </x:c>
      <x:c r="E522" s="25" t="str">
        <x:v>N/A</x:v>
      </x:c>
      <x:c r="F522" s="26" t="str">
        <x:v>Same saved validation suite passed on buggy and fixed</x:v>
      </x:c>
      <x:c r="G522" s="25" t="str">
        <x:v>true</x:v>
      </x:c>
      <x:c r="H522" s="25" t="str">
        <x:v>NOT_REVEALING</x:v>
      </x:c>
      <x:c r="I522" s="25" t="str">
        <x:v>PASS</x:v>
      </x:c>
      <x:c r="J522" s="25" t="str">
        <x:v>PASS</x:v>
      </x:c>
      <x:c r="K522" s="25" t="n">
        <x:v>2</x:v>
      </x:c>
      <x:c r="L522" s="27" t="b">
        <x:v>0</x:v>
      </x:c>
      <x:c r="M522" s="25" t="str">
        <x:v>Feedback-Directed Random Test Generation/rounds/Round1/state/Jsoup.json</x:v>
      </x:c>
      <x:c r="N522" s="25" t="str">
        <x:v>Feedback-Directed Random Test Generation/Result/Jsoup_13/result.json</x:v>
      </x:c>
      <x:c r="O522" s="25" t="str">
        <x:v>Feedback-Directed Random Test Generation/Result/Jsoup_13/result.json</x:v>
      </x:c>
      <x:c r="P522"/>
      <x:c r="Q522" s="21" t="str"/>
      <x:c r="R522" s="21" t="str"/>
      <x:c r="S522" s="21" t="str"/>
      <x:c r="T522" s="17" t="str">
        <x:v>false</x:v>
      </x:c>
      <x:c r="U522" s="17" t="str">
        <x:v>true</x:v>
      </x:c>
      <x:c r="V522" s="17" t="str">
        <x:v>false</x:v>
      </x:c>
    </x:row>
    <x:row r="523" ht="80" customHeight="1">
      <x:c r="A523" s="25" t="str">
        <x:v>Jsoup</x:v>
      </x:c>
      <x:c r="B523" s="25" t="n">
        <x:v>14</x:v>
      </x:c>
      <x:c r="C523" s="25" t="str">
        <x:v>Round1</x:v>
      </x:c>
      <x:c r="D523" s="25" t="str">
        <x:v>NOT_REVEALING</x:v>
      </x:c>
      <x:c r="E523" s="25" t="str">
        <x:v>N/A</x:v>
      </x:c>
      <x:c r="F523" s="26" t="str">
        <x:v>Same saved validation suite passed on buggy and fixed</x:v>
      </x:c>
      <x:c r="G523" s="25" t="str">
        <x:v>true</x:v>
      </x:c>
      <x:c r="H523" s="25" t="str">
        <x:v>NOT_REVEALING</x:v>
      </x:c>
      <x:c r="I523" s="25" t="str">
        <x:v>PASS</x:v>
      </x:c>
      <x:c r="J523" s="25" t="str">
        <x:v>PASS</x:v>
      </x:c>
      <x:c r="K523" s="25" t="n">
        <x:v>10</x:v>
      </x:c>
      <x:c r="L523" s="27" t="b">
        <x:v>0</x:v>
      </x:c>
      <x:c r="M523" s="25" t="str">
        <x:v>Feedback-Directed Random Test Generation/rounds/Round1/state/Jsoup.json</x:v>
      </x:c>
      <x:c r="N523" s="25" t="str">
        <x:v>Feedback-Directed Random Test Generation/Result/Jsoup_14/result.json</x:v>
      </x:c>
      <x:c r="O523" s="25" t="str">
        <x:v>Feedback-Directed Random Test Generation/Result/Jsoup_14/result.json</x:v>
      </x:c>
      <x:c r="P523"/>
      <x:c r="Q523" s="21" t="str"/>
      <x:c r="R523" s="21" t="str"/>
      <x:c r="S523" s="21" t="str"/>
      <x:c r="T523" s="17" t="str">
        <x:v>false</x:v>
      </x:c>
      <x:c r="U523" s="17" t="str">
        <x:v>true</x:v>
      </x:c>
      <x:c r="V523" s="17" t="str">
        <x:v>false</x:v>
      </x:c>
    </x:row>
    <x:row r="524" ht="80" customHeight="1">
      <x:c r="A524" s="25" t="str">
        <x:v>Jsoup</x:v>
      </x:c>
      <x:c r="B524" s="25" t="n">
        <x:v>15</x:v>
      </x:c>
      <x:c r="C524" s="25" t="str">
        <x:v>Round1</x:v>
      </x:c>
      <x:c r="D524" s="25" t="str">
        <x:v>NOT_REVEALING</x:v>
      </x:c>
      <x:c r="E524" s="25" t="str">
        <x:v>N/A</x:v>
      </x:c>
      <x:c r="F524" s="26" t="str">
        <x:v>Same saved validation suite passed on buggy and fixed</x:v>
      </x:c>
      <x:c r="G524" s="25" t="str">
        <x:v>true</x:v>
      </x:c>
      <x:c r="H524" s="25" t="str">
        <x:v>NOT_REVEALING</x:v>
      </x:c>
      <x:c r="I524" s="25" t="str">
        <x:v>PASS</x:v>
      </x:c>
      <x:c r="J524" s="25" t="str">
        <x:v>PASS</x:v>
      </x:c>
      <x:c r="K524" s="25" t="n">
        <x:v>2</x:v>
      </x:c>
      <x:c r="L524" s="27" t="b">
        <x:v>0</x:v>
      </x:c>
      <x:c r="M524" s="25" t="str">
        <x:v>Feedback-Directed Random Test Generation/rounds/Round1/state/Jsoup.json</x:v>
      </x:c>
      <x:c r="N524" s="25" t="str">
        <x:v>Feedback-Directed Random Test Generation/Result/Jsoup_15/result.json</x:v>
      </x:c>
      <x:c r="O524" s="25" t="str">
        <x:v>Feedback-Directed Random Test Generation/Result/Jsoup_15/result.json</x:v>
      </x:c>
      <x:c r="P524"/>
      <x:c r="Q524" s="21" t="str"/>
      <x:c r="R524" s="21" t="str"/>
      <x:c r="S524" s="21" t="str"/>
      <x:c r="T524" s="17" t="str">
        <x:v>false</x:v>
      </x:c>
      <x:c r="U524" s="17" t="str">
        <x:v>true</x:v>
      </x:c>
      <x:c r="V524" s="17" t="str">
        <x:v>false</x:v>
      </x:c>
    </x:row>
    <x:row r="525" ht="80" customHeight="1">
      <x:c r="A525" s="25" t="str">
        <x:v>Jsoup</x:v>
      </x:c>
      <x:c r="B525" s="25" t="n">
        <x:v>16</x:v>
      </x:c>
      <x:c r="C525" s="25" t="str">
        <x:v>Round1</x:v>
      </x:c>
      <x:c r="D525" s="25" t="str">
        <x:v>INCONCLUSIVE</x:v>
      </x:c>
      <x:c r="E525" s="25" t="str">
        <x:v>N/A</x:v>
      </x:c>
      <x:c r="F525" s="26" t="str">
        <x:v>Fixed also failed; assertion failure cannot be attributed to this bug</x:v>
      </x:c>
      <x:c r="G525" s="25" t="str">
        <x:v>true</x:v>
      </x:c>
      <x:c r="H525" s="25" t="str">
        <x:v>INCONCLUSIVE</x:v>
      </x:c>
      <x:c r="I525" s="25" t="str">
        <x:v>PASS</x:v>
      </x:c>
      <x:c r="J525" s="25" t="str">
        <x:v>FAIL</x:v>
      </x:c>
      <x:c r="K525" s="25" t="n">
        <x:v>4</x:v>
      </x:c>
      <x:c r="L525" s="27" t="b">
        <x:v>0</x:v>
      </x:c>
      <x:c r="M525" s="25" t="str">
        <x:v>Feedback-Directed Random Test Generation/rounds/Round1/state/Jsoup.json</x:v>
      </x:c>
      <x:c r="N525" s="25" t="str">
        <x:v>Feedback-Directed Random Test Generation/Result/Jsoup_16/result.json</x:v>
      </x:c>
      <x:c r="O525" s="25" t="str">
        <x:v>Feedback-Directed Random Test Generation/Result/Jsoup_16/result.json</x:v>
      </x:c>
      <x:c r="P525"/>
      <x:c r="Q525" s="21" t="str"/>
      <x:c r="R525" s="21" t="str"/>
      <x:c r="S525" s="21" t="str"/>
      <x:c r="T525" s="17" t="str">
        <x:v>false</x:v>
      </x:c>
      <x:c r="U525" s="17" t="str">
        <x:v>true</x:v>
      </x:c>
      <x:c r="V525" s="17" t="str">
        <x:v>false</x:v>
      </x:c>
    </x:row>
    <x:row r="526" ht="80" customHeight="1">
      <x:c r="A526" s="25" t="str">
        <x:v>Jsoup</x:v>
      </x:c>
      <x:c r="B526" s="25" t="n">
        <x:v>17</x:v>
      </x:c>
      <x:c r="C526" s="25" t="str">
        <x:v>Round1</x:v>
      </x:c>
      <x:c r="D526" s="25" t="str">
        <x:v>NOT_REVEALING</x:v>
      </x:c>
      <x:c r="E526" s="25" t="str">
        <x:v>N/A</x:v>
      </x:c>
      <x:c r="F526" s="26" t="str">
        <x:v>Same saved validation suite passed on buggy and fixed</x:v>
      </x:c>
      <x:c r="G526" s="25" t="str">
        <x:v>true</x:v>
      </x:c>
      <x:c r="H526" s="25" t="str">
        <x:v>NOT_REVEALING</x:v>
      </x:c>
      <x:c r="I526" s="25" t="str">
        <x:v>PASS</x:v>
      </x:c>
      <x:c r="J526" s="25" t="str">
        <x:v>PASS</x:v>
      </x:c>
      <x:c r="K526" s="25" t="n">
        <x:v>2</x:v>
      </x:c>
      <x:c r="L526" s="27" t="b">
        <x:v>0</x:v>
      </x:c>
      <x:c r="M526" s="25" t="str">
        <x:v>Feedback-Directed Random Test Generation/rounds/Round1/state/Jsoup.json</x:v>
      </x:c>
      <x:c r="N526" s="25" t="str">
        <x:v>Feedback-Directed Random Test Generation/Result/Jsoup_17/result.json</x:v>
      </x:c>
      <x:c r="O526" s="25" t="str">
        <x:v>Feedback-Directed Random Test Generation/Result/Jsoup_17/result.json</x:v>
      </x:c>
      <x:c r="P526"/>
      <x:c r="Q526" s="21" t="str"/>
      <x:c r="R526" s="21" t="str"/>
      <x:c r="S526" s="21" t="str"/>
      <x:c r="T526" s="17" t="str">
        <x:v>false</x:v>
      </x:c>
      <x:c r="U526" s="17" t="str">
        <x:v>true</x:v>
      </x:c>
      <x:c r="V526" s="17" t="str">
        <x:v>false</x:v>
      </x:c>
    </x:row>
    <x:row r="527" ht="80" customHeight="1">
      <x:c r="A527" s="25" t="str">
        <x:v>Jsoup</x:v>
      </x:c>
      <x:c r="B527" s="25" t="n">
        <x:v>18</x:v>
      </x:c>
      <x:c r="C527" s="25" t="str">
        <x:v>Round1</x:v>
      </x:c>
      <x:c r="D527" s="25" t="str">
        <x:v>INCONCLUSIVE</x:v>
      </x:c>
      <x:c r="E527" s="25" t="str">
        <x:v>N/A</x:v>
      </x:c>
      <x:c r="F527" s="26" t="str">
        <x:v>Fixed also failed; assertion failure cannot be attributed to this bug</x:v>
      </x:c>
      <x:c r="G527" s="25" t="str">
        <x:v>true</x:v>
      </x:c>
      <x:c r="H527" s="25" t="str">
        <x:v>INCONCLUSIVE</x:v>
      </x:c>
      <x:c r="I527" s="25" t="str">
        <x:v>PASS</x:v>
      </x:c>
      <x:c r="J527" s="25" t="str">
        <x:v>FAIL</x:v>
      </x:c>
      <x:c r="K527" s="25" t="n">
        <x:v>11</x:v>
      </x:c>
      <x:c r="L527" s="27" t="b">
        <x:v>0</x:v>
      </x:c>
      <x:c r="M527" s="25" t="str">
        <x:v>Feedback-Directed Random Test Generation/rounds/Round1/state/Jsoup.json</x:v>
      </x:c>
      <x:c r="N527" s="25" t="str">
        <x:v>Feedback-Directed Random Test Generation/Result/Jsoup_18/result.json</x:v>
      </x:c>
      <x:c r="O527" s="25" t="str">
        <x:v>Feedback-Directed Random Test Generation/Result/Jsoup_18/result.json</x:v>
      </x:c>
      <x:c r="P527"/>
      <x:c r="Q527" s="21" t="str"/>
      <x:c r="R527" s="21" t="str"/>
      <x:c r="S527" s="21" t="str"/>
      <x:c r="T527" s="17" t="str">
        <x:v>false</x:v>
      </x:c>
      <x:c r="U527" s="17" t="str">
        <x:v>true</x:v>
      </x:c>
      <x:c r="V527" s="17" t="str">
        <x:v>false</x:v>
      </x:c>
    </x:row>
    <x:row r="528" ht="80" customHeight="1">
      <x:c r="A528" s="25" t="str">
        <x:v>Jsoup</x:v>
      </x:c>
      <x:c r="B528" s="25" t="n">
        <x:v>19</x:v>
      </x:c>
      <x:c r="C528" s="25" t="str">
        <x:v>Round1</x:v>
      </x:c>
      <x:c r="D528" s="25" t="str">
        <x:v>NOT_REVEALING</x:v>
      </x:c>
      <x:c r="E528" s="25" t="str">
        <x:v>N/A</x:v>
      </x:c>
      <x:c r="F528" s="26" t="str">
        <x:v>Same saved validation suite passed on buggy and fixed</x:v>
      </x:c>
      <x:c r="G528" s="25" t="str">
        <x:v>true</x:v>
      </x:c>
      <x:c r="H528" s="25" t="str">
        <x:v>NOT_REVEALING</x:v>
      </x:c>
      <x:c r="I528" s="25" t="str">
        <x:v>PASS</x:v>
      </x:c>
      <x:c r="J528" s="25" t="str">
        <x:v>PASS</x:v>
      </x:c>
      <x:c r="K528" s="25" t="n">
        <x:v>8</x:v>
      </x:c>
      <x:c r="L528" s="27" t="b">
        <x:v>0</x:v>
      </x:c>
      <x:c r="M528" s="25" t="str">
        <x:v>Feedback-Directed Random Test Generation/rounds/Round1/state/Jsoup.json</x:v>
      </x:c>
      <x:c r="N528" s="25" t="str">
        <x:v>Feedback-Directed Random Test Generation/Result/Jsoup_19/result.json</x:v>
      </x:c>
      <x:c r="O528" s="25" t="str">
        <x:v>Feedback-Directed Random Test Generation/Result/Jsoup_19/result.json</x:v>
      </x:c>
      <x:c r="P528"/>
      <x:c r="Q528" s="21" t="str"/>
      <x:c r="R528" s="21" t="str"/>
      <x:c r="S528" s="21" t="str"/>
      <x:c r="T528" s="17" t="str">
        <x:v>false</x:v>
      </x:c>
      <x:c r="U528" s="17" t="str">
        <x:v>true</x:v>
      </x:c>
      <x:c r="V528" s="17" t="str">
        <x:v>false</x:v>
      </x:c>
    </x:row>
    <x:row r="529" ht="80" customHeight="1">
      <x:c r="A529" s="25" t="str">
        <x:v>Jsoup</x:v>
      </x:c>
      <x:c r="B529" s="25" t="n">
        <x:v>20</x:v>
      </x:c>
      <x:c r="C529" s="25" t="str">
        <x:v>Round1</x:v>
      </x:c>
      <x:c r="D529" s="25" t="str">
        <x:v>NOT_REVEALING</x:v>
      </x:c>
      <x:c r="E529" s="25" t="str">
        <x:v>N/A</x:v>
      </x:c>
      <x:c r="F529" s="26" t="str">
        <x:v>Same saved validation suite passed on buggy and fixed</x:v>
      </x:c>
      <x:c r="G529" s="25" t="str">
        <x:v>true</x:v>
      </x:c>
      <x:c r="H529" s="25" t="str">
        <x:v>NOT_REVEALING</x:v>
      </x:c>
      <x:c r="I529" s="25" t="str">
        <x:v>PASS</x:v>
      </x:c>
      <x:c r="J529" s="25" t="str">
        <x:v>PASS</x:v>
      </x:c>
      <x:c r="K529" s="25" t="n">
        <x:v>2</x:v>
      </x:c>
      <x:c r="L529" s="27" t="b">
        <x:v>0</x:v>
      </x:c>
      <x:c r="M529" s="25" t="str">
        <x:v>Feedback-Directed Random Test Generation/rounds/Round1/state/Jsoup.json</x:v>
      </x:c>
      <x:c r="N529" s="25" t="str">
        <x:v>Feedback-Directed Random Test Generation/Result/Jsoup_20/result.json</x:v>
      </x:c>
      <x:c r="O529" s="25" t="str">
        <x:v>Feedback-Directed Random Test Generation/Result/Jsoup_20/result.json</x:v>
      </x:c>
      <x:c r="P529"/>
      <x:c r="Q529" s="21" t="str"/>
      <x:c r="R529" s="21" t="str"/>
      <x:c r="S529" s="21" t="str"/>
      <x:c r="T529" s="17" t="str">
        <x:v>false</x:v>
      </x:c>
      <x:c r="U529" s="17" t="str">
        <x:v>true</x:v>
      </x:c>
      <x:c r="V529" s="17" t="str">
        <x:v>false</x:v>
      </x:c>
    </x:row>
    <x:row r="530" ht="80" customHeight="1">
      <x:c r="A530" s="25" t="str">
        <x:v>Jsoup</x:v>
      </x:c>
      <x:c r="B530" s="25" t="n">
        <x:v>21</x:v>
      </x:c>
      <x:c r="C530" s="25" t="str">
        <x:v>Round1</x:v>
      </x:c>
      <x:c r="D530" s="25" t="str">
        <x:v>NOT_REVEALING</x:v>
      </x:c>
      <x:c r="E530" s="25" t="str">
        <x:v>N/A</x:v>
      </x:c>
      <x:c r="F530" s="26" t="str">
        <x:v>Same saved validation suite passed on buggy and fixed</x:v>
      </x:c>
      <x:c r="G530" s="25" t="str">
        <x:v>true</x:v>
      </x:c>
      <x:c r="H530" s="25" t="str">
        <x:v>NOT_REVEALING</x:v>
      </x:c>
      <x:c r="I530" s="25" t="str">
        <x:v>PASS</x:v>
      </x:c>
      <x:c r="J530" s="25" t="str">
        <x:v>PASS</x:v>
      </x:c>
      <x:c r="K530" s="25" t="n">
        <x:v>6</x:v>
      </x:c>
      <x:c r="L530" s="27" t="b">
        <x:v>0</x:v>
      </x:c>
      <x:c r="M530" s="25" t="str">
        <x:v>Feedback-Directed Random Test Generation/rounds/Round1/state/Jsoup.json</x:v>
      </x:c>
      <x:c r="N530" s="25" t="str">
        <x:v>Feedback-Directed Random Test Generation/Result/Jsoup_21/result.json</x:v>
      </x:c>
      <x:c r="O530" s="25" t="str">
        <x:v>Feedback-Directed Random Test Generation/Result/Jsoup_21/result.json</x:v>
      </x:c>
      <x:c r="P530"/>
      <x:c r="Q530" s="21" t="str"/>
      <x:c r="R530" s="21" t="str"/>
      <x:c r="S530" s="21" t="str"/>
      <x:c r="T530" s="17" t="str">
        <x:v>false</x:v>
      </x:c>
      <x:c r="U530" s="17" t="str">
        <x:v>true</x:v>
      </x:c>
      <x:c r="V530" s="17" t="str">
        <x:v>false</x:v>
      </x:c>
    </x:row>
    <x:row r="531" ht="80" customHeight="1">
      <x:c r="A531" s="25" t="str">
        <x:v>Jsoup</x:v>
      </x:c>
      <x:c r="B531" s="25" t="n">
        <x:v>22</x:v>
      </x:c>
      <x:c r="C531" s="25" t="str">
        <x:v>Round1</x:v>
      </x:c>
      <x:c r="D531" s="25" t="str">
        <x:v>NOT_REVEALING</x:v>
      </x:c>
      <x:c r="E531" s="25" t="str">
        <x:v>N/A</x:v>
      </x:c>
      <x:c r="F531" s="26" t="str">
        <x:v>Same saved validation suite passed on buggy and fixed</x:v>
      </x:c>
      <x:c r="G531" s="25" t="str">
        <x:v>true</x:v>
      </x:c>
      <x:c r="H531" s="25" t="str">
        <x:v>NOT_REVEALING</x:v>
      </x:c>
      <x:c r="I531" s="25" t="str">
        <x:v>PASS</x:v>
      </x:c>
      <x:c r="J531" s="25" t="str">
        <x:v>PASS</x:v>
      </x:c>
      <x:c r="K531" s="25" t="n">
        <x:v>9</x:v>
      </x:c>
      <x:c r="L531" s="27" t="b">
        <x:v>0</x:v>
      </x:c>
      <x:c r="M531" s="25" t="str">
        <x:v>Feedback-Directed Random Test Generation/rounds/Round1/state/Jsoup.json</x:v>
      </x:c>
      <x:c r="N531" s="25" t="str">
        <x:v>Feedback-Directed Random Test Generation/Result/Jsoup_22/result.json</x:v>
      </x:c>
      <x:c r="O531" s="25" t="str">
        <x:v>Feedback-Directed Random Test Generation/Result/Jsoup_22/result.json</x:v>
      </x:c>
      <x:c r="P531"/>
      <x:c r="Q531" s="21" t="str"/>
      <x:c r="R531" s="21" t="str"/>
      <x:c r="S531" s="21" t="str"/>
      <x:c r="T531" s="17" t="str">
        <x:v>false</x:v>
      </x:c>
      <x:c r="U531" s="17" t="str">
        <x:v>true</x:v>
      </x:c>
      <x:c r="V531" s="17" t="str">
        <x:v>false</x:v>
      </x:c>
    </x:row>
    <x:row r="532" ht="80" customHeight="1">
      <x:c r="A532" s="25" t="str">
        <x:v>Jsoup</x:v>
      </x:c>
      <x:c r="B532" s="25" t="n">
        <x:v>23</x:v>
      </x:c>
      <x:c r="C532" s="25" t="str">
        <x:v>Round1</x:v>
      </x:c>
      <x:c r="D532" s="25" t="str">
        <x:v>NOT_REVEALING</x:v>
      </x:c>
      <x:c r="E532" s="25" t="str">
        <x:v>N/A</x:v>
      </x:c>
      <x:c r="F532" s="26" t="str">
        <x:v>Same saved validation suite passed on buggy and fixed</x:v>
      </x:c>
      <x:c r="G532" s="25" t="str">
        <x:v>true</x:v>
      </x:c>
      <x:c r="H532" s="25" t="str">
        <x:v>NOT_REVEALING</x:v>
      </x:c>
      <x:c r="I532" s="25" t="str">
        <x:v>PASS</x:v>
      </x:c>
      <x:c r="J532" s="25" t="str">
        <x:v>PASS</x:v>
      </x:c>
      <x:c r="K532" s="25" t="n">
        <x:v>9</x:v>
      </x:c>
      <x:c r="L532" s="27" t="b">
        <x:v>0</x:v>
      </x:c>
      <x:c r="M532" s="25" t="str">
        <x:v>Feedback-Directed Random Test Generation/rounds/Round1/state/Jsoup.json</x:v>
      </x:c>
      <x:c r="N532" s="25" t="str">
        <x:v>Feedback-Directed Random Test Generation/Result/Jsoup_23/result.json</x:v>
      </x:c>
      <x:c r="O532" s="25" t="str">
        <x:v>Feedback-Directed Random Test Generation/Result/Jsoup_23/result.json</x:v>
      </x:c>
      <x:c r="P532"/>
      <x:c r="Q532" s="21" t="str"/>
      <x:c r="R532" s="21" t="str"/>
      <x:c r="S532" s="21" t="str"/>
      <x:c r="T532" s="17" t="str">
        <x:v>false</x:v>
      </x:c>
      <x:c r="U532" s="17" t="str">
        <x:v>true</x:v>
      </x:c>
      <x:c r="V532" s="17" t="str">
        <x:v>false</x:v>
      </x:c>
    </x:row>
    <x:row r="533" ht="80" customHeight="1">
      <x:c r="A533" s="25" t="str">
        <x:v>Jsoup</x:v>
      </x:c>
      <x:c r="B533" s="25" t="n">
        <x:v>24</x:v>
      </x:c>
      <x:c r="C533" s="25" t="str">
        <x:v>Round1</x:v>
      </x:c>
      <x:c r="D533" s="25" t="str">
        <x:v>NOT_REVEALING</x:v>
      </x:c>
      <x:c r="E533" s="25" t="str">
        <x:v>N/A</x:v>
      </x:c>
      <x:c r="F533" s="26" t="str">
        <x:v>Same saved validation suite passed on buggy and fixed</x:v>
      </x:c>
      <x:c r="G533" s="25" t="str">
        <x:v>true</x:v>
      </x:c>
      <x:c r="H533" s="25" t="str">
        <x:v>NOT_REVEALING</x:v>
      </x:c>
      <x:c r="I533" s="25" t="str">
        <x:v>PASS</x:v>
      </x:c>
      <x:c r="J533" s="25" t="str">
        <x:v>PASS</x:v>
      </x:c>
      <x:c r="K533" s="25" t="n">
        <x:v>2</x:v>
      </x:c>
      <x:c r="L533" s="27" t="b">
        <x:v>0</x:v>
      </x:c>
      <x:c r="M533" s="25" t="str">
        <x:v>Feedback-Directed Random Test Generation/rounds/Round1/state/Jsoup.json</x:v>
      </x:c>
      <x:c r="N533" s="25" t="str">
        <x:v>Feedback-Directed Random Test Generation/Result/Jsoup_24/result.json</x:v>
      </x:c>
      <x:c r="O533" s="25" t="str">
        <x:v>Feedback-Directed Random Test Generation/Result/Jsoup_24/result.json</x:v>
      </x:c>
      <x:c r="P533"/>
      <x:c r="Q533" s="21" t="str"/>
      <x:c r="R533" s="21" t="str"/>
      <x:c r="S533" s="21" t="str"/>
      <x:c r="T533" s="17" t="str">
        <x:v>false</x:v>
      </x:c>
      <x:c r="U533" s="17" t="str">
        <x:v>true</x:v>
      </x:c>
      <x:c r="V533" s="17" t="str">
        <x:v>false</x:v>
      </x:c>
    </x:row>
    <x:row r="534" ht="80" customHeight="1">
      <x:c r="A534" s="25" t="str">
        <x:v>Jsoup</x:v>
      </x:c>
      <x:c r="B534" s="25" t="n">
        <x:v>25</x:v>
      </x:c>
      <x:c r="C534" s="25" t="str">
        <x:v>Round1</x:v>
      </x:c>
      <x:c r="D534" s="25" t="str">
        <x:v>NOT_REVEALING</x:v>
      </x:c>
      <x:c r="E534" s="25" t="str">
        <x:v>N/A</x:v>
      </x:c>
      <x:c r="F534" s="26" t="str">
        <x:v>Same saved validation suite passed on buggy and fixed</x:v>
      </x:c>
      <x:c r="G534" s="25" t="str">
        <x:v>true</x:v>
      </x:c>
      <x:c r="H534" s="25" t="str">
        <x:v>NOT_REVEALING</x:v>
      </x:c>
      <x:c r="I534" s="25" t="str">
        <x:v>PASS</x:v>
      </x:c>
      <x:c r="J534" s="25" t="str">
        <x:v>PASS</x:v>
      </x:c>
      <x:c r="K534" s="25" t="n">
        <x:v>9</x:v>
      </x:c>
      <x:c r="L534" s="27" t="b">
        <x:v>0</x:v>
      </x:c>
      <x:c r="M534" s="25" t="str">
        <x:v>Feedback-Directed Random Test Generation/rounds/Round1/state/Jsoup.json</x:v>
      </x:c>
      <x:c r="N534" s="25" t="str">
        <x:v>Feedback-Directed Random Test Generation/Result/Jsoup_25/result.json</x:v>
      </x:c>
      <x:c r="O534" s="25" t="str">
        <x:v>Feedback-Directed Random Test Generation/Result/Jsoup_25/result.json</x:v>
      </x:c>
      <x:c r="P534"/>
      <x:c r="Q534" s="21" t="str"/>
      <x:c r="R534" s="21" t="str"/>
      <x:c r="S534" s="21" t="str"/>
      <x:c r="T534" s="17" t="str">
        <x:v>false</x:v>
      </x:c>
      <x:c r="U534" s="17" t="str">
        <x:v>true</x:v>
      </x:c>
      <x:c r="V534" s="17" t="str">
        <x:v>false</x:v>
      </x:c>
    </x:row>
    <x:row r="535" ht="80" customHeight="1">
      <x:c r="A535" s="25" t="str">
        <x:v>Jsoup</x:v>
      </x:c>
      <x:c r="B535" s="25" t="n">
        <x:v>26</x:v>
      </x:c>
      <x:c r="C535" s="25" t="str">
        <x:v>Round1</x:v>
      </x:c>
      <x:c r="D535" s="25" t="str">
        <x:v>NOT_REVEALING</x:v>
      </x:c>
      <x:c r="E535" s="25" t="str">
        <x:v>N/A</x:v>
      </x:c>
      <x:c r="F535" s="26" t="str">
        <x:v>Same saved validation suite passed on buggy and fixed</x:v>
      </x:c>
      <x:c r="G535" s="25" t="str">
        <x:v>true</x:v>
      </x:c>
      <x:c r="H535" s="25" t="str">
        <x:v>NOT_REVEALING</x:v>
      </x:c>
      <x:c r="I535" s="25" t="str">
        <x:v>PASS</x:v>
      </x:c>
      <x:c r="J535" s="25" t="str">
        <x:v>PASS</x:v>
      </x:c>
      <x:c r="K535" s="25" t="n">
        <x:v>2</x:v>
      </x:c>
      <x:c r="L535" s="27" t="b">
        <x:v>0</x:v>
      </x:c>
      <x:c r="M535" s="25" t="str">
        <x:v>Feedback-Directed Random Test Generation/rounds/Round1/state/Jsoup.json</x:v>
      </x:c>
      <x:c r="N535" s="25" t="str">
        <x:v>Feedback-Directed Random Test Generation/Result/Jsoup_26/result.json</x:v>
      </x:c>
      <x:c r="O535" s="25" t="str">
        <x:v>Feedback-Directed Random Test Generation/Result/Jsoup_26/result.json</x:v>
      </x:c>
      <x:c r="P535"/>
      <x:c r="Q535" s="21" t="str"/>
      <x:c r="R535" s="21" t="str"/>
      <x:c r="S535" s="21" t="str"/>
      <x:c r="T535" s="17" t="str">
        <x:v>false</x:v>
      </x:c>
      <x:c r="U535" s="17" t="str">
        <x:v>true</x:v>
      </x:c>
      <x:c r="V535" s="17" t="str">
        <x:v>false</x:v>
      </x:c>
    </x:row>
    <x:row r="536" ht="80" customHeight="1">
      <x:c r="A536" s="25" t="str">
        <x:v>Jsoup</x:v>
      </x:c>
      <x:c r="B536" s="25" t="n">
        <x:v>27</x:v>
      </x:c>
      <x:c r="C536" s="25" t="str">
        <x:v>Round1</x:v>
      </x:c>
      <x:c r="D536" s="25" t="str">
        <x:v>NOT_REVEALING</x:v>
      </x:c>
      <x:c r="E536" s="25" t="str">
        <x:v>N/A</x:v>
      </x:c>
      <x:c r="F536" s="26" t="str">
        <x:v>Same saved validation suite passed on buggy and fixed</x:v>
      </x:c>
      <x:c r="G536" s="25" t="str">
        <x:v>true</x:v>
      </x:c>
      <x:c r="H536" s="25" t="str">
        <x:v>NOT_REVEALING</x:v>
      </x:c>
      <x:c r="I536" s="25" t="str">
        <x:v>PASS</x:v>
      </x:c>
      <x:c r="J536" s="25" t="str">
        <x:v>PASS</x:v>
      </x:c>
      <x:c r="K536" s="25" t="n">
        <x:v>2</x:v>
      </x:c>
      <x:c r="L536" s="27" t="b">
        <x:v>0</x:v>
      </x:c>
      <x:c r="M536" s="25" t="str">
        <x:v>Feedback-Directed Random Test Generation/rounds/Round1/state/Jsoup.json</x:v>
      </x:c>
      <x:c r="N536" s="25" t="str">
        <x:v>Feedback-Directed Random Test Generation/Result/Jsoup_27/result.json</x:v>
      </x:c>
      <x:c r="O536" s="25" t="str">
        <x:v>Feedback-Directed Random Test Generation/Result/Jsoup_27/result.json</x:v>
      </x:c>
      <x:c r="P536"/>
      <x:c r="Q536" s="21" t="str"/>
      <x:c r="R536" s="21" t="str"/>
      <x:c r="S536" s="21" t="str"/>
      <x:c r="T536" s="17" t="str">
        <x:v>false</x:v>
      </x:c>
      <x:c r="U536" s="17" t="str">
        <x:v>true</x:v>
      </x:c>
      <x:c r="V536" s="17" t="str">
        <x:v>false</x:v>
      </x:c>
    </x:row>
    <x:row r="537" ht="80" customHeight="1">
      <x:c r="A537" s="25" t="str">
        <x:v>Jsoup</x:v>
      </x:c>
      <x:c r="B537" s="25" t="n">
        <x:v>28</x:v>
      </x:c>
      <x:c r="C537" s="25" t="str">
        <x:v>Round1</x:v>
      </x:c>
      <x:c r="D537" s="25" t="str">
        <x:v>NOT_REVEALING</x:v>
      </x:c>
      <x:c r="E537" s="25" t="str">
        <x:v>N/A</x:v>
      </x:c>
      <x:c r="F537" s="26" t="str">
        <x:v>Same saved validation suite passed on buggy and fixed</x:v>
      </x:c>
      <x:c r="G537" s="25" t="str">
        <x:v>true</x:v>
      </x:c>
      <x:c r="H537" s="25" t="str">
        <x:v>NOT_REVEALING</x:v>
      </x:c>
      <x:c r="I537" s="25" t="str">
        <x:v>PASS</x:v>
      </x:c>
      <x:c r="J537" s="25" t="str">
        <x:v>PASS</x:v>
      </x:c>
      <x:c r="K537" s="25" t="n">
        <x:v>9</x:v>
      </x:c>
      <x:c r="L537" s="27" t="b">
        <x:v>0</x:v>
      </x:c>
      <x:c r="M537" s="25" t="str">
        <x:v>Feedback-Directed Random Test Generation/rounds/Round1/state/Jsoup.json</x:v>
      </x:c>
      <x:c r="N537" s="25" t="str">
        <x:v>Feedback-Directed Random Test Generation/Result/Jsoup_28/result.json</x:v>
      </x:c>
      <x:c r="O537" s="25" t="str">
        <x:v>Feedback-Directed Random Test Generation/Result/Jsoup_28/result.json</x:v>
      </x:c>
      <x:c r="P537"/>
      <x:c r="Q537" s="21" t="str"/>
      <x:c r="R537" s="21" t="str"/>
      <x:c r="S537" s="21" t="str"/>
      <x:c r="T537" s="17" t="str">
        <x:v>false</x:v>
      </x:c>
      <x:c r="U537" s="17" t="str">
        <x:v>true</x:v>
      </x:c>
      <x:c r="V537" s="17" t="str">
        <x:v>false</x:v>
      </x:c>
    </x:row>
    <x:row r="538" ht="80" customHeight="1">
      <x:c r="A538" s="25" t="str">
        <x:v>Jsoup</x:v>
      </x:c>
      <x:c r="B538" s="25" t="n">
        <x:v>29</x:v>
      </x:c>
      <x:c r="C538" s="25" t="str">
        <x:v>Round1</x:v>
      </x:c>
      <x:c r="D538" s="25" t="str">
        <x:v>INCONCLUSIVE</x:v>
      </x:c>
      <x:c r="E538" s="25" t="str">
        <x:v>N/A</x:v>
      </x:c>
      <x:c r="F538" s="26" t="str">
        <x:v>Fixed also failed; assertion failure cannot be attributed to this bug; Assertions failed with measured coverage; paired execution and stage checks determine status</x:v>
      </x:c>
      <x:c r="G538" s="25" t="str">
        <x:v>true</x:v>
      </x:c>
      <x:c r="H538" s="25" t="str">
        <x:v>INCONCLUSIVE</x:v>
      </x:c>
      <x:c r="I538" s="25" t="str">
        <x:v>FAIL</x:v>
      </x:c>
      <x:c r="J538" s="25" t="str">
        <x:v>FAIL</x:v>
      </x:c>
      <x:c r="K538" s="25" t="n">
        <x:v>11</x:v>
      </x:c>
      <x:c r="L538" s="27" t="b">
        <x:v>0</x:v>
      </x:c>
      <x:c r="M538" s="25" t="str">
        <x:v>Feedback-Directed Random Test Generation/rounds/Round1/state/Jsoup.json</x:v>
      </x:c>
      <x:c r="N538" s="25" t="str">
        <x:v>Feedback-Directed Random Test Generation/Result/Jsoup_29/result.json</x:v>
      </x:c>
      <x:c r="O538" s="25" t="str">
        <x:v>Feedback-Directed Random Test Generation/Result/Jsoup_29/result.json</x:v>
      </x:c>
      <x:c r="P538"/>
      <x:c r="Q538" s="21" t="str"/>
      <x:c r="R538" s="21" t="str"/>
      <x:c r="S538" s="21" t="str"/>
      <x:c r="T538" s="17" t="str">
        <x:v>false</x:v>
      </x:c>
      <x:c r="U538" s="17" t="str">
        <x:v>true</x:v>
      </x:c>
      <x:c r="V538" s="17" t="str">
        <x:v>false</x:v>
      </x:c>
    </x:row>
    <x:row r="539" ht="80" customHeight="1">
      <x:c r="A539" s="25" t="str">
        <x:v>Jsoup</x:v>
      </x:c>
      <x:c r="B539" s="25" t="n">
        <x:v>30</x:v>
      </x:c>
      <x:c r="C539" s="25" t="str">
        <x:v>Round1</x:v>
      </x:c>
      <x:c r="D539" s="25" t="str">
        <x:v>NOT_REVEALING</x:v>
      </x:c>
      <x:c r="E539" s="25" t="str">
        <x:v>N/A</x:v>
      </x:c>
      <x:c r="F539" s="26" t="str">
        <x:v>Same saved validation suite passed on buggy and fixed</x:v>
      </x:c>
      <x:c r="G539" s="25" t="str">
        <x:v>true</x:v>
      </x:c>
      <x:c r="H539" s="25" t="str">
        <x:v>NOT_REVEALING</x:v>
      </x:c>
      <x:c r="I539" s="25" t="str">
        <x:v>PASS</x:v>
      </x:c>
      <x:c r="J539" s="25" t="str">
        <x:v>PASS</x:v>
      </x:c>
      <x:c r="K539" s="25" t="n">
        <x:v>2</x:v>
      </x:c>
      <x:c r="L539" s="27" t="b">
        <x:v>0</x:v>
      </x:c>
      <x:c r="M539" s="25" t="str">
        <x:v>Feedback-Directed Random Test Generation/rounds/Round1/state/Jsoup.json</x:v>
      </x:c>
      <x:c r="N539" s="25" t="str">
        <x:v>Feedback-Directed Random Test Generation/Result/Jsoup_30/result.json</x:v>
      </x:c>
      <x:c r="O539" s="25" t="str">
        <x:v>Feedback-Directed Random Test Generation/Result/Jsoup_30/result.json</x:v>
      </x:c>
      <x:c r="P539"/>
      <x:c r="Q539" s="21" t="str"/>
      <x:c r="R539" s="21" t="str"/>
      <x:c r="S539" s="21" t="str"/>
      <x:c r="T539" s="17" t="str">
        <x:v>false</x:v>
      </x:c>
      <x:c r="U539" s="17" t="str">
        <x:v>true</x:v>
      </x:c>
      <x:c r="V539" s="17" t="str">
        <x:v>false</x:v>
      </x:c>
    </x:row>
    <x:row r="540" ht="80" customHeight="1">
      <x:c r="A540" s="25" t="str">
        <x:v>Jsoup</x:v>
      </x:c>
      <x:c r="B540" s="25" t="n">
        <x:v>31</x:v>
      </x:c>
      <x:c r="C540" s="25" t="str">
        <x:v>Round1</x:v>
      </x:c>
      <x:c r="D540" s="25" t="str">
        <x:v>INCONCLUSIVE</x:v>
      </x:c>
      <x:c r="E540" s="25" t="str">
        <x:v>N/A</x:v>
      </x:c>
      <x:c r="F540" s="26" t="str">
        <x:v>Fixed also failed; assertion failure cannot be attributed to this bug; Assertions failed with measured coverage; paired execution and stage checks determine status</x:v>
      </x:c>
      <x:c r="G540" s="25" t="str">
        <x:v>true</x:v>
      </x:c>
      <x:c r="H540" s="25" t="str">
        <x:v>INCONCLUSIVE</x:v>
      </x:c>
      <x:c r="I540" s="25" t="str">
        <x:v>FAIL</x:v>
      </x:c>
      <x:c r="J540" s="25" t="str">
        <x:v>FAIL</x:v>
      </x:c>
      <x:c r="K540" s="25" t="n">
        <x:v>11</x:v>
      </x:c>
      <x:c r="L540" s="27" t="b">
        <x:v>0</x:v>
      </x:c>
      <x:c r="M540" s="25" t="str">
        <x:v>Feedback-Directed Random Test Generation/rounds/Round1/state/Jsoup.json</x:v>
      </x:c>
      <x:c r="N540" s="25" t="str">
        <x:v>Feedback-Directed Random Test Generation/Result/Jsoup_31/result.json</x:v>
      </x:c>
      <x:c r="O540" s="25" t="str">
        <x:v>Feedback-Directed Random Test Generation/Result/Jsoup_31/result.json</x:v>
      </x:c>
      <x:c r="P540"/>
      <x:c r="Q540" s="21" t="str"/>
      <x:c r="R540" s="21" t="str"/>
      <x:c r="S540" s="21" t="str"/>
      <x:c r="T540" s="17" t="str">
        <x:v>false</x:v>
      </x:c>
      <x:c r="U540" s="17" t="str">
        <x:v>true</x:v>
      </x:c>
      <x:c r="V540" s="17" t="str">
        <x:v>false</x:v>
      </x:c>
    </x:row>
    <x:row r="541" ht="80" customHeight="1">
      <x:c r="A541" s="25" t="str">
        <x:v>Jsoup</x:v>
      </x:c>
      <x:c r="B541" s="25" t="n">
        <x:v>32</x:v>
      </x:c>
      <x:c r="C541" s="25" t="str">
        <x:v>Round1</x:v>
      </x:c>
      <x:c r="D541" s="25" t="str">
        <x:v>NOT_REVEALING</x:v>
      </x:c>
      <x:c r="E541" s="25" t="str">
        <x:v>N/A</x:v>
      </x:c>
      <x:c r="F541" s="26" t="str">
        <x:v>Same saved validation suite passed on buggy and fixed</x:v>
      </x:c>
      <x:c r="G541" s="25" t="str">
        <x:v>true</x:v>
      </x:c>
      <x:c r="H541" s="25" t="str">
        <x:v>NOT_REVEALING</x:v>
      </x:c>
      <x:c r="I541" s="25" t="str">
        <x:v>PASS</x:v>
      </x:c>
      <x:c r="J541" s="25" t="str">
        <x:v>PASS</x:v>
      </x:c>
      <x:c r="K541" s="25" t="n">
        <x:v>2</x:v>
      </x:c>
      <x:c r="L541" s="27" t="b">
        <x:v>0</x:v>
      </x:c>
      <x:c r="M541" s="25" t="str">
        <x:v>Feedback-Directed Random Test Generation/rounds/Round1/state/Jsoup.json</x:v>
      </x:c>
      <x:c r="N541" s="25" t="str">
        <x:v>Feedback-Directed Random Test Generation/Result/Jsoup_32/result.json</x:v>
      </x:c>
      <x:c r="O541" s="25" t="str">
        <x:v>Feedback-Directed Random Test Generation/Result/Jsoup_32/result.json</x:v>
      </x:c>
      <x:c r="P541"/>
      <x:c r="Q541" s="21" t="str"/>
      <x:c r="R541" s="21" t="str"/>
      <x:c r="S541" s="21" t="str"/>
      <x:c r="T541" s="17" t="str">
        <x:v>false</x:v>
      </x:c>
      <x:c r="U541" s="17" t="str">
        <x:v>true</x:v>
      </x:c>
      <x:c r="V541" s="17" t="str">
        <x:v>false</x:v>
      </x:c>
    </x:row>
    <x:row r="542" ht="80" customHeight="1">
      <x:c r="A542" s="25" t="str">
        <x:v>Jsoup</x:v>
      </x:c>
      <x:c r="B542" s="25" t="n">
        <x:v>33</x:v>
      </x:c>
      <x:c r="C542" s="25" t="str">
        <x:v>Round1</x:v>
      </x:c>
      <x:c r="D542" s="25" t="str">
        <x:v>INCONCLUSIVE</x:v>
      </x:c>
      <x:c r="E542" s="25" t="str">
        <x:v>N/A</x:v>
      </x:c>
      <x:c r="F542" s="26" t="str">
        <x:v>Fixed also failed; assertion failure cannot be attributed to this bug; Assertions failed with measured coverage; paired execution and stage checks determine status</x:v>
      </x:c>
      <x:c r="G542" s="25" t="str">
        <x:v>true</x:v>
      </x:c>
      <x:c r="H542" s="25" t="str">
        <x:v>INCONCLUSIVE</x:v>
      </x:c>
      <x:c r="I542" s="25" t="str">
        <x:v>FAIL</x:v>
      </x:c>
      <x:c r="J542" s="25" t="str">
        <x:v>FAIL</x:v>
      </x:c>
      <x:c r="K542" s="25" t="n">
        <x:v>10</x:v>
      </x:c>
      <x:c r="L542" s="27" t="b">
        <x:v>0</x:v>
      </x:c>
      <x:c r="M542" s="25" t="str">
        <x:v>Feedback-Directed Random Test Generation/rounds/Round1/state/Jsoup.json</x:v>
      </x:c>
      <x:c r="N542" s="25" t="str">
        <x:v>Feedback-Directed Random Test Generation/Result/Jsoup_33/result.json</x:v>
      </x:c>
      <x:c r="O542" s="25" t="str">
        <x:v>Feedback-Directed Random Test Generation/Result/Jsoup_33/result.json</x:v>
      </x:c>
      <x:c r="P542"/>
      <x:c r="Q542" s="21" t="str"/>
      <x:c r="R542" s="21" t="str"/>
      <x:c r="S542" s="21" t="str"/>
      <x:c r="T542" s="17" t="str">
        <x:v>false</x:v>
      </x:c>
      <x:c r="U542" s="17" t="str">
        <x:v>true</x:v>
      </x:c>
      <x:c r="V542" s="17" t="str">
        <x:v>false</x:v>
      </x:c>
    </x:row>
    <x:row r="543" ht="80" customHeight="1">
      <x:c r="A543" s="25" t="str">
        <x:v>Jsoup</x:v>
      </x:c>
      <x:c r="B543" s="25" t="n">
        <x:v>34</x:v>
      </x:c>
      <x:c r="C543" s="25" t="str">
        <x:v>Round1</x:v>
      </x:c>
      <x:c r="D543" s="25" t="str">
        <x:v>INCONCLUSIVE</x:v>
      </x:c>
      <x:c r="E543" s="25" t="str">
        <x:v>N/A</x:v>
      </x:c>
      <x:c r="F543" s="26" t="str">
        <x:v>Fixed also failed; assertion failure cannot be attributed to this bug</x:v>
      </x:c>
      <x:c r="G543" s="25" t="str">
        <x:v>true</x:v>
      </x:c>
      <x:c r="H543" s="25" t="str">
        <x:v>INCONCLUSIVE</x:v>
      </x:c>
      <x:c r="I543" s="25" t="str">
        <x:v>PASS</x:v>
      </x:c>
      <x:c r="J543" s="25" t="str">
        <x:v>FAIL</x:v>
      </x:c>
      <x:c r="K543" s="25" t="n">
        <x:v>9</x:v>
      </x:c>
      <x:c r="L543" s="27" t="b">
        <x:v>0</x:v>
      </x:c>
      <x:c r="M543" s="25" t="str">
        <x:v>Feedback-Directed Random Test Generation/rounds/Round1/state/Jsoup.json</x:v>
      </x:c>
      <x:c r="N543" s="25" t="str">
        <x:v>Feedback-Directed Random Test Generation/Result/Jsoup_34/result.json</x:v>
      </x:c>
      <x:c r="O543" s="25" t="str">
        <x:v>Feedback-Directed Random Test Generation/Result/Jsoup_34/result.json</x:v>
      </x:c>
      <x:c r="P543"/>
      <x:c r="Q543" s="21" t="str"/>
      <x:c r="R543" s="21" t="str"/>
      <x:c r="S543" s="21" t="str"/>
      <x:c r="T543" s="17" t="str">
        <x:v>false</x:v>
      </x:c>
      <x:c r="U543" s="17" t="str">
        <x:v>true</x:v>
      </x:c>
      <x:c r="V543" s="17" t="str">
        <x:v>false</x:v>
      </x:c>
    </x:row>
    <x:row r="544" ht="80" customHeight="1">
      <x:c r="A544" s="25" t="str">
        <x:v>Jsoup</x:v>
      </x:c>
      <x:c r="B544" s="25" t="n">
        <x:v>35</x:v>
      </x:c>
      <x:c r="C544" s="25" t="str">
        <x:v>Round1</x:v>
      </x:c>
      <x:c r="D544" s="25" t="str">
        <x:v>NOT_REVEALING</x:v>
      </x:c>
      <x:c r="E544" s="25" t="str">
        <x:v>N/A</x:v>
      </x:c>
      <x:c r="F544" s="26" t="str">
        <x:v>Same saved validation suite passed on buggy and fixed</x:v>
      </x:c>
      <x:c r="G544" s="25" t="str">
        <x:v>true</x:v>
      </x:c>
      <x:c r="H544" s="25" t="str">
        <x:v>NOT_REVEALING</x:v>
      </x:c>
      <x:c r="I544" s="25" t="str">
        <x:v>PASS</x:v>
      </x:c>
      <x:c r="J544" s="25" t="str">
        <x:v>PASS</x:v>
      </x:c>
      <x:c r="K544" s="25" t="n">
        <x:v>2</x:v>
      </x:c>
      <x:c r="L544" s="27" t="b">
        <x:v>0</x:v>
      </x:c>
      <x:c r="M544" s="25" t="str">
        <x:v>Feedback-Directed Random Test Generation/rounds/Round1/state/Jsoup.json</x:v>
      </x:c>
      <x:c r="N544" s="25" t="str">
        <x:v>Feedback-Directed Random Test Generation/Result/Jsoup_35/result.json</x:v>
      </x:c>
      <x:c r="O544" s="25" t="str">
        <x:v>Feedback-Directed Random Test Generation/Result/Jsoup_35/result.json</x:v>
      </x:c>
      <x:c r="P544"/>
      <x:c r="Q544" s="21" t="str"/>
      <x:c r="R544" s="21" t="str"/>
      <x:c r="S544" s="21" t="str"/>
      <x:c r="T544" s="17" t="str">
        <x:v>false</x:v>
      </x:c>
      <x:c r="U544" s="17" t="str">
        <x:v>true</x:v>
      </x:c>
      <x:c r="V544" s="17" t="str">
        <x:v>false</x:v>
      </x:c>
    </x:row>
    <x:row r="545" ht="80" customHeight="1">
      <x:c r="A545" s="25" t="str">
        <x:v>Jsoup</x:v>
      </x:c>
      <x:c r="B545" s="25" t="n">
        <x:v>36</x:v>
      </x:c>
      <x:c r="C545" s="25" t="str">
        <x:v>Round1</x:v>
      </x:c>
      <x:c r="D545" s="25" t="str">
        <x:v>NOT_REVEALING</x:v>
      </x:c>
      <x:c r="E545" s="25" t="str">
        <x:v>N/A</x:v>
      </x:c>
      <x:c r="F545" s="26" t="str">
        <x:v>Same saved validation suite passed on buggy and fixed</x:v>
      </x:c>
      <x:c r="G545" s="25" t="str">
        <x:v>true</x:v>
      </x:c>
      <x:c r="H545" s="25" t="str">
        <x:v>NOT_REVEALING</x:v>
      </x:c>
      <x:c r="I545" s="25" t="str">
        <x:v>PASS</x:v>
      </x:c>
      <x:c r="J545" s="25" t="str">
        <x:v>PASS</x:v>
      </x:c>
      <x:c r="K545" s="25" t="n">
        <x:v>2</x:v>
      </x:c>
      <x:c r="L545" s="27" t="b">
        <x:v>0</x:v>
      </x:c>
      <x:c r="M545" s="25" t="str">
        <x:v>Feedback-Directed Random Test Generation/rounds/Round1/state/Jsoup.json</x:v>
      </x:c>
      <x:c r="N545" s="25" t="str">
        <x:v>Feedback-Directed Random Test Generation/Result/Jsoup_36/result.json</x:v>
      </x:c>
      <x:c r="O545" s="25" t="str">
        <x:v>Feedback-Directed Random Test Generation/Result/Jsoup_36/result.json</x:v>
      </x:c>
      <x:c r="P545"/>
      <x:c r="Q545" s="21" t="str"/>
      <x:c r="R545" s="21" t="str"/>
      <x:c r="S545" s="21" t="str"/>
      <x:c r="T545" s="17" t="str">
        <x:v>false</x:v>
      </x:c>
      <x:c r="U545" s="17" t="str">
        <x:v>true</x:v>
      </x:c>
      <x:c r="V545" s="17" t="str">
        <x:v>false</x:v>
      </x:c>
    </x:row>
    <x:row r="546" ht="80" customHeight="1">
      <x:c r="A546" s="25" t="str">
        <x:v>Jsoup</x:v>
      </x:c>
      <x:c r="B546" s="25" t="n">
        <x:v>37</x:v>
      </x:c>
      <x:c r="C546" s="25" t="str">
        <x:v>Round1</x:v>
      </x:c>
      <x:c r="D546" s="25" t="str">
        <x:v>NOT_REVEALING</x:v>
      </x:c>
      <x:c r="E546" s="25" t="str">
        <x:v>N/A</x:v>
      </x:c>
      <x:c r="F546" s="26" t="str">
        <x:v>Same saved validation suite passed on buggy and fixed</x:v>
      </x:c>
      <x:c r="G546" s="25" t="str">
        <x:v>true</x:v>
      </x:c>
      <x:c r="H546" s="25" t="str">
        <x:v>NOT_REVEALING</x:v>
      </x:c>
      <x:c r="I546" s="25" t="str">
        <x:v>PASS</x:v>
      </x:c>
      <x:c r="J546" s="25" t="str">
        <x:v>PASS</x:v>
      </x:c>
      <x:c r="K546" s="25" t="n">
        <x:v>2</x:v>
      </x:c>
      <x:c r="L546" s="27" t="b">
        <x:v>0</x:v>
      </x:c>
      <x:c r="M546" s="25" t="str">
        <x:v>Feedback-Directed Random Test Generation/rounds/Round1/state/Jsoup.json</x:v>
      </x:c>
      <x:c r="N546" s="25" t="str">
        <x:v>Feedback-Directed Random Test Generation/Result/Jsoup_37/result.json</x:v>
      </x:c>
      <x:c r="O546" s="25" t="str">
        <x:v>Feedback-Directed Random Test Generation/Result/Jsoup_37/result.json</x:v>
      </x:c>
      <x:c r="P546"/>
      <x:c r="Q546" s="21" t="str"/>
      <x:c r="R546" s="21" t="str"/>
      <x:c r="S546" s="21" t="str"/>
      <x:c r="T546" s="17" t="str">
        <x:v>false</x:v>
      </x:c>
      <x:c r="U546" s="17" t="str">
        <x:v>true</x:v>
      </x:c>
      <x:c r="V546" s="17" t="str">
        <x:v>false</x:v>
      </x:c>
    </x:row>
    <x:row r="547" ht="80" customHeight="1">
      <x:c r="A547" s="25" t="str">
        <x:v>Jsoup</x:v>
      </x:c>
      <x:c r="B547" s="25" t="n">
        <x:v>38</x:v>
      </x:c>
      <x:c r="C547" s="25" t="str">
        <x:v>Round1</x:v>
      </x:c>
      <x:c r="D547" s="25" t="str">
        <x:v>NOT_REVEALING</x:v>
      </x:c>
      <x:c r="E547" s="25" t="str">
        <x:v>N/A</x:v>
      </x:c>
      <x:c r="F547" s="26" t="str">
        <x:v>Same saved validation suite passed on buggy and fixed</x:v>
      </x:c>
      <x:c r="G547" s="25" t="str">
        <x:v>true</x:v>
      </x:c>
      <x:c r="H547" s="25" t="str">
        <x:v>NOT_REVEALING</x:v>
      </x:c>
      <x:c r="I547" s="25" t="str">
        <x:v>PASS</x:v>
      </x:c>
      <x:c r="J547" s="25" t="str">
        <x:v>PASS</x:v>
      </x:c>
      <x:c r="K547" s="25" t="n">
        <x:v>2</x:v>
      </x:c>
      <x:c r="L547" s="27" t="b">
        <x:v>0</x:v>
      </x:c>
      <x:c r="M547" s="25" t="str">
        <x:v>Feedback-Directed Random Test Generation/rounds/Round1/state/Jsoup.json</x:v>
      </x:c>
      <x:c r="N547" s="25" t="str">
        <x:v>Feedback-Directed Random Test Generation/Result/Jsoup_38/result.json</x:v>
      </x:c>
      <x:c r="O547" s="25" t="str">
        <x:v>Feedback-Directed Random Test Generation/Result/Jsoup_38/result.json</x:v>
      </x:c>
      <x:c r="P547"/>
      <x:c r="Q547" s="21" t="str"/>
      <x:c r="R547" s="21" t="str"/>
      <x:c r="S547" s="21" t="str"/>
      <x:c r="T547" s="17" t="str">
        <x:v>false</x:v>
      </x:c>
      <x:c r="U547" s="17" t="str">
        <x:v>true</x:v>
      </x:c>
      <x:c r="V547" s="17" t="str">
        <x:v>false</x:v>
      </x:c>
    </x:row>
    <x:row r="548" ht="80" customHeight="1">
      <x:c r="A548" s="25" t="str">
        <x:v>Jsoup</x:v>
      </x:c>
      <x:c r="B548" s="25" t="n">
        <x:v>39</x:v>
      </x:c>
      <x:c r="C548" s="25" t="str">
        <x:v>Round1</x:v>
      </x:c>
      <x:c r="D548" s="25" t="str">
        <x:v>NOT_REVEALING</x:v>
      </x:c>
      <x:c r="E548" s="25" t="str">
        <x:v>N/A</x:v>
      </x:c>
      <x:c r="F548" s="26" t="str">
        <x:v>Same saved validation suite passed on buggy and fixed</x:v>
      </x:c>
      <x:c r="G548" s="25" t="str">
        <x:v>true</x:v>
      </x:c>
      <x:c r="H548" s="25" t="str">
        <x:v>NOT_REVEALING</x:v>
      </x:c>
      <x:c r="I548" s="25" t="str">
        <x:v>PASS</x:v>
      </x:c>
      <x:c r="J548" s="25" t="str">
        <x:v>PASS</x:v>
      </x:c>
      <x:c r="K548" s="25" t="n">
        <x:v>2</x:v>
      </x:c>
      <x:c r="L548" s="27" t="b">
        <x:v>0</x:v>
      </x:c>
      <x:c r="M548" s="25" t="str">
        <x:v>Feedback-Directed Random Test Generation/rounds/Round1/state/Jsoup.json</x:v>
      </x:c>
      <x:c r="N548" s="25" t="str">
        <x:v>Feedback-Directed Random Test Generation/Result/Jsoup_39/result.json</x:v>
      </x:c>
      <x:c r="O548" s="25" t="str">
        <x:v>Feedback-Directed Random Test Generation/Result/Jsoup_39/result.json</x:v>
      </x:c>
      <x:c r="P548"/>
      <x:c r="Q548" s="21" t="str"/>
      <x:c r="R548" s="21" t="str"/>
      <x:c r="S548" s="21" t="str"/>
      <x:c r="T548" s="17" t="str">
        <x:v>false</x:v>
      </x:c>
      <x:c r="U548" s="17" t="str">
        <x:v>true</x:v>
      </x:c>
      <x:c r="V548" s="17" t="str">
        <x:v>false</x:v>
      </x:c>
    </x:row>
    <x:row r="549" ht="80" customHeight="1">
      <x:c r="A549" s="25" t="str">
        <x:v>Jsoup</x:v>
      </x:c>
      <x:c r="B549" s="25" t="n">
        <x:v>40</x:v>
      </x:c>
      <x:c r="C549" s="25" t="str">
        <x:v>Round1</x:v>
      </x:c>
      <x:c r="D549" s="25" t="str">
        <x:v>INCONCLUSIVE</x:v>
      </x:c>
      <x:c r="E549" s="25" t="str">
        <x:v>N/A</x:v>
      </x:c>
      <x:c r="F549" s="26" t="str">
        <x:v>Fixed also failed; assertion failure cannot be attributed to this bug</x:v>
      </x:c>
      <x:c r="G549" s="25" t="str">
        <x:v>true</x:v>
      </x:c>
      <x:c r="H549" s="25" t="str">
        <x:v>INCONCLUSIVE</x:v>
      </x:c>
      <x:c r="I549" s="25" t="str">
        <x:v>PASS</x:v>
      </x:c>
      <x:c r="J549" s="25" t="str">
        <x:v>FAIL</x:v>
      </x:c>
      <x:c r="K549" s="25" t="n">
        <x:v>2</x:v>
      </x:c>
      <x:c r="L549" s="27" t="b">
        <x:v>0</x:v>
      </x:c>
      <x:c r="M549" s="25" t="str">
        <x:v>Feedback-Directed Random Test Generation/rounds/Round1/state/Jsoup.json</x:v>
      </x:c>
      <x:c r="N549" s="25" t="str">
        <x:v>Feedback-Directed Random Test Generation/Result/Jsoup_40/result.json</x:v>
      </x:c>
      <x:c r="O549" s="25" t="str">
        <x:v>Feedback-Directed Random Test Generation/Result/Jsoup_40/result.json</x:v>
      </x:c>
      <x:c r="P549"/>
      <x:c r="Q549" s="21" t="str"/>
      <x:c r="R549" s="21" t="str"/>
      <x:c r="S549" s="21" t="str"/>
      <x:c r="T549" s="17" t="str">
        <x:v>false</x:v>
      </x:c>
      <x:c r="U549" s="17" t="str">
        <x:v>true</x:v>
      </x:c>
      <x:c r="V549" s="17" t="str">
        <x:v>false</x:v>
      </x:c>
    </x:row>
    <x:row r="550" ht="80" customHeight="1">
      <x:c r="A550" s="25" t="str">
        <x:v>Jsoup</x:v>
      </x:c>
      <x:c r="B550" s="25" t="n">
        <x:v>41</x:v>
      </x:c>
      <x:c r="C550" s="25" t="str">
        <x:v>Round1</x:v>
      </x:c>
      <x:c r="D550" s="25" t="str">
        <x:v>NOT_REVEALING</x:v>
      </x:c>
      <x:c r="E550" s="25" t="str">
        <x:v>N/A</x:v>
      </x:c>
      <x:c r="F550" s="26" t="str">
        <x:v>Same saved validation suite passed on buggy and fixed</x:v>
      </x:c>
      <x:c r="G550" s="25" t="str">
        <x:v>true</x:v>
      </x:c>
      <x:c r="H550" s="25" t="str">
        <x:v>NOT_REVEALING</x:v>
      </x:c>
      <x:c r="I550" s="25" t="str">
        <x:v>PASS</x:v>
      </x:c>
      <x:c r="J550" s="25" t="str">
        <x:v>PASS</x:v>
      </x:c>
      <x:c r="K550" s="25" t="n">
        <x:v>2</x:v>
      </x:c>
      <x:c r="L550" s="27" t="b">
        <x:v>0</x:v>
      </x:c>
      <x:c r="M550" s="25" t="str">
        <x:v>Feedback-Directed Random Test Generation/rounds/Round1/state/Jsoup.json</x:v>
      </x:c>
      <x:c r="N550" s="25" t="str">
        <x:v>Feedback-Directed Random Test Generation/Result/Jsoup_41/result.json</x:v>
      </x:c>
      <x:c r="O550" s="25" t="str">
        <x:v>Feedback-Directed Random Test Generation/Result/Jsoup_41/result.json</x:v>
      </x:c>
      <x:c r="P550"/>
      <x:c r="Q550" s="21" t="str"/>
      <x:c r="R550" s="21" t="str"/>
      <x:c r="S550" s="21" t="str"/>
      <x:c r="T550" s="17" t="str">
        <x:v>false</x:v>
      </x:c>
      <x:c r="U550" s="17" t="str">
        <x:v>true</x:v>
      </x:c>
      <x:c r="V550" s="17" t="str">
        <x:v>false</x:v>
      </x:c>
    </x:row>
    <x:row r="551" ht="80" customHeight="1">
      <x:c r="A551" s="25" t="str">
        <x:v>Jsoup</x:v>
      </x:c>
      <x:c r="B551" s="25" t="n">
        <x:v>42</x:v>
      </x:c>
      <x:c r="C551" s="25" t="str">
        <x:v>Round1</x:v>
      </x:c>
      <x:c r="D551" s="25" t="str">
        <x:v>NOT_REVEALING</x:v>
      </x:c>
      <x:c r="E551" s="25" t="str">
        <x:v>N/A</x:v>
      </x:c>
      <x:c r="F551" s="26" t="str">
        <x:v>Same saved validation suite passed on buggy and fixed</x:v>
      </x:c>
      <x:c r="G551" s="25" t="str">
        <x:v>true</x:v>
      </x:c>
      <x:c r="H551" s="25" t="str">
        <x:v>NOT_REVEALING</x:v>
      </x:c>
      <x:c r="I551" s="25" t="str">
        <x:v>PASS</x:v>
      </x:c>
      <x:c r="J551" s="25" t="str">
        <x:v>PASS</x:v>
      </x:c>
      <x:c r="K551" s="25" t="n">
        <x:v>2</x:v>
      </x:c>
      <x:c r="L551" s="27" t="b">
        <x:v>0</x:v>
      </x:c>
      <x:c r="M551" s="25" t="str">
        <x:v>Feedback-Directed Random Test Generation/rounds/Round1/state/Jsoup.json</x:v>
      </x:c>
      <x:c r="N551" s="25" t="str">
        <x:v>Feedback-Directed Random Test Generation/Result/Jsoup_42/result.json</x:v>
      </x:c>
      <x:c r="O551" s="25" t="str">
        <x:v>Feedback-Directed Random Test Generation/Result/Jsoup_42/result.json</x:v>
      </x:c>
      <x:c r="P551"/>
      <x:c r="Q551" s="21" t="str"/>
      <x:c r="R551" s="21" t="str"/>
      <x:c r="S551" s="21" t="str"/>
      <x:c r="T551" s="17" t="str">
        <x:v>false</x:v>
      </x:c>
      <x:c r="U551" s="17" t="str">
        <x:v>true</x:v>
      </x:c>
      <x:c r="V551" s="17" t="str">
        <x:v>false</x:v>
      </x:c>
    </x:row>
    <x:row r="552" ht="80" customHeight="1">
      <x:c r="A552" s="25" t="str">
        <x:v>Jsoup</x:v>
      </x:c>
      <x:c r="B552" s="25" t="n">
        <x:v>43</x:v>
      </x:c>
      <x:c r="C552" s="25" t="str">
        <x:v>Round1</x:v>
      </x:c>
      <x:c r="D552" s="25" t="str">
        <x:v>NOT_REVEALING</x:v>
      </x:c>
      <x:c r="E552" s="25" t="str">
        <x:v>N/A</x:v>
      </x:c>
      <x:c r="F552" s="26" t="str">
        <x:v>Same saved validation suite passed on buggy and fixed</x:v>
      </x:c>
      <x:c r="G552" s="25" t="str">
        <x:v>true</x:v>
      </x:c>
      <x:c r="H552" s="25" t="str">
        <x:v>NOT_REVEALING</x:v>
      </x:c>
      <x:c r="I552" s="25" t="str">
        <x:v>PASS</x:v>
      </x:c>
      <x:c r="J552" s="25" t="str">
        <x:v>PASS</x:v>
      </x:c>
      <x:c r="K552" s="25" t="n">
        <x:v>2</x:v>
      </x:c>
      <x:c r="L552" s="27" t="b">
        <x:v>0</x:v>
      </x:c>
      <x:c r="M552" s="25" t="str">
        <x:v>Feedback-Directed Random Test Generation/rounds/Round1/state/Jsoup.json</x:v>
      </x:c>
      <x:c r="N552" s="25" t="str">
        <x:v>Feedback-Directed Random Test Generation/Result/Jsoup_43/result.json</x:v>
      </x:c>
      <x:c r="O552" s="25" t="str">
        <x:v>Feedback-Directed Random Test Generation/Result/Jsoup_43/result.json</x:v>
      </x:c>
      <x:c r="P552"/>
      <x:c r="Q552" s="21" t="str"/>
      <x:c r="R552" s="21" t="str"/>
      <x:c r="S552" s="21" t="str"/>
      <x:c r="T552" s="17" t="str">
        <x:v>false</x:v>
      </x:c>
      <x:c r="U552" s="17" t="str">
        <x:v>true</x:v>
      </x:c>
      <x:c r="V552" s="17" t="str">
        <x:v>false</x:v>
      </x:c>
    </x:row>
    <x:row r="553" ht="80" customHeight="1">
      <x:c r="A553" s="25" t="str">
        <x:v>Jsoup</x:v>
      </x:c>
      <x:c r="B553" s="25" t="n">
        <x:v>44</x:v>
      </x:c>
      <x:c r="C553" s="25" t="str">
        <x:v>Round1</x:v>
      </x:c>
      <x:c r="D553" s="25" t="str">
        <x:v>NOT_REVEALING</x:v>
      </x:c>
      <x:c r="E553" s="25" t="str">
        <x:v>N/A</x:v>
      </x:c>
      <x:c r="F553" s="26" t="str">
        <x:v>Same saved validation suite passed on buggy and fixed</x:v>
      </x:c>
      <x:c r="G553" s="25" t="str">
        <x:v>true</x:v>
      </x:c>
      <x:c r="H553" s="25" t="str">
        <x:v>NOT_REVEALING</x:v>
      </x:c>
      <x:c r="I553" s="25" t="str">
        <x:v>PASS</x:v>
      </x:c>
      <x:c r="J553" s="25" t="str">
        <x:v>PASS</x:v>
      </x:c>
      <x:c r="K553" s="25" t="n">
        <x:v>2</x:v>
      </x:c>
      <x:c r="L553" s="27" t="b">
        <x:v>0</x:v>
      </x:c>
      <x:c r="M553" s="25" t="str">
        <x:v>Feedback-Directed Random Test Generation/rounds/Round1/state/Jsoup.json</x:v>
      </x:c>
      <x:c r="N553" s="25" t="str">
        <x:v>Feedback-Directed Random Test Generation/Result/Jsoup_44/result.json</x:v>
      </x:c>
      <x:c r="O553" s="25" t="str">
        <x:v>Feedback-Directed Random Test Generation/Result/Jsoup_44/result.json</x:v>
      </x:c>
      <x:c r="P553"/>
      <x:c r="Q553" s="21" t="str"/>
      <x:c r="R553" s="21" t="str"/>
      <x:c r="S553" s="21" t="str"/>
      <x:c r="T553" s="17" t="str">
        <x:v>false</x:v>
      </x:c>
      <x:c r="U553" s="17" t="str">
        <x:v>true</x:v>
      </x:c>
      <x:c r="V553" s="17" t="str">
        <x:v>false</x:v>
      </x:c>
    </x:row>
    <x:row r="554" ht="80" customHeight="1">
      <x:c r="A554" s="25" t="str">
        <x:v>Jsoup</x:v>
      </x:c>
      <x:c r="B554" s="25" t="n">
        <x:v>45</x:v>
      </x:c>
      <x:c r="C554" s="25" t="str">
        <x:v>Round1</x:v>
      </x:c>
      <x:c r="D554" s="25" t="str">
        <x:v>INCONCLUSIVE</x:v>
      </x:c>
      <x:c r="E554" s="25" t="str">
        <x:v>N/A</x:v>
      </x:c>
      <x:c r="F554" s="26" t="str">
        <x:v>Fixed also failed; assertion failure cannot be attributed to this bug; Assertions failed with measured coverage; paired execution and stage checks determine status</x:v>
      </x:c>
      <x:c r="G554" s="25" t="str">
        <x:v>true</x:v>
      </x:c>
      <x:c r="H554" s="25" t="str">
        <x:v>INCONCLUSIVE</x:v>
      </x:c>
      <x:c r="I554" s="25" t="str">
        <x:v>FAIL</x:v>
      </x:c>
      <x:c r="J554" s="25" t="str">
        <x:v>FAIL</x:v>
      </x:c>
      <x:c r="K554" s="25" t="n">
        <x:v>12</x:v>
      </x:c>
      <x:c r="L554" s="27" t="b">
        <x:v>0</x:v>
      </x:c>
      <x:c r="M554" s="25" t="str">
        <x:v>Feedback-Directed Random Test Generation/rounds/Round1/state/Jsoup.json</x:v>
      </x:c>
      <x:c r="N554" s="25" t="str">
        <x:v>Feedback-Directed Random Test Generation/Result/Jsoup_45/result.json</x:v>
      </x:c>
      <x:c r="O554" s="25" t="str">
        <x:v>Feedback-Directed Random Test Generation/Result/Jsoup_45/result.json</x:v>
      </x:c>
      <x:c r="P554"/>
      <x:c r="Q554" s="21" t="str"/>
      <x:c r="R554" s="21" t="str"/>
      <x:c r="S554" s="21" t="str"/>
      <x:c r="T554" s="17" t="str">
        <x:v>false</x:v>
      </x:c>
      <x:c r="U554" s="17" t="str">
        <x:v>true</x:v>
      </x:c>
      <x:c r="V554" s="17" t="str">
        <x:v>false</x:v>
      </x:c>
    </x:row>
    <x:row r="555" ht="80" customHeight="1">
      <x:c r="A555" s="25" t="str">
        <x:v>Jsoup</x:v>
      </x:c>
      <x:c r="B555" s="25" t="n">
        <x:v>46</x:v>
      </x:c>
      <x:c r="C555" s="25" t="str">
        <x:v>Round1</x:v>
      </x:c>
      <x:c r="D555" s="25" t="str">
        <x:v>NOT_REVEALING</x:v>
      </x:c>
      <x:c r="E555" s="25" t="str">
        <x:v>N/A</x:v>
      </x:c>
      <x:c r="F555" s="26" t="str">
        <x:v>Same saved validation suite passed on buggy and fixed</x:v>
      </x:c>
      <x:c r="G555" s="25" t="str">
        <x:v>true</x:v>
      </x:c>
      <x:c r="H555" s="25" t="str">
        <x:v>NOT_REVEALING</x:v>
      </x:c>
      <x:c r="I555" s="25" t="str">
        <x:v>PASS</x:v>
      </x:c>
      <x:c r="J555" s="25" t="str">
        <x:v>PASS</x:v>
      </x:c>
      <x:c r="K555" s="25" t="n">
        <x:v>3</x:v>
      </x:c>
      <x:c r="L555" s="27" t="b">
        <x:v>0</x:v>
      </x:c>
      <x:c r="M555" s="25" t="str">
        <x:v>Feedback-Directed Random Test Generation/rounds/Round1/state/Jsoup.json</x:v>
      </x:c>
      <x:c r="N555" s="25" t="str">
        <x:v>Feedback-Directed Random Test Generation/Result/Jsoup_46/result.json</x:v>
      </x:c>
      <x:c r="O555" s="25" t="str">
        <x:v>Feedback-Directed Random Test Generation/Result/Jsoup_46/result.json</x:v>
      </x:c>
      <x:c r="P555"/>
      <x:c r="Q555" s="21" t="str"/>
      <x:c r="R555" s="21" t="str"/>
      <x:c r="S555" s="21" t="str"/>
      <x:c r="T555" s="17" t="str">
        <x:v>false</x:v>
      </x:c>
      <x:c r="U555" s="17" t="str">
        <x:v>true</x:v>
      </x:c>
      <x:c r="V555" s="17" t="str">
        <x:v>false</x:v>
      </x:c>
    </x:row>
    <x:row r="556" ht="80" customHeight="1">
      <x:c r="A556" s="25" t="str">
        <x:v>Jsoup</x:v>
      </x:c>
      <x:c r="B556" s="25" t="n">
        <x:v>47</x:v>
      </x:c>
      <x:c r="C556" s="25" t="str">
        <x:v>Round1</x:v>
      </x:c>
      <x:c r="D556" s="25" t="str">
        <x:v>NOT_REVEALING</x:v>
      </x:c>
      <x:c r="E556" s="25" t="str">
        <x:v>N/A</x:v>
      </x:c>
      <x:c r="F556" s="26" t="str">
        <x:v>Same saved validation suite passed on buggy and fixed</x:v>
      </x:c>
      <x:c r="G556" s="25" t="str">
        <x:v>true</x:v>
      </x:c>
      <x:c r="H556" s="25" t="str">
        <x:v>NOT_REVEALING</x:v>
      </x:c>
      <x:c r="I556" s="25" t="str">
        <x:v>PASS</x:v>
      </x:c>
      <x:c r="J556" s="25" t="str">
        <x:v>PASS</x:v>
      </x:c>
      <x:c r="K556" s="25" t="n">
        <x:v>3</x:v>
      </x:c>
      <x:c r="L556" s="27" t="b">
        <x:v>0</x:v>
      </x:c>
      <x:c r="M556" s="25" t="str">
        <x:v>Feedback-Directed Random Test Generation/rounds/Round1/state/Jsoup.json</x:v>
      </x:c>
      <x:c r="N556" s="25" t="str">
        <x:v>Feedback-Directed Random Test Generation/Result/Jsoup_47/result.json</x:v>
      </x:c>
      <x:c r="O556" s="25" t="str">
        <x:v>Feedback-Directed Random Test Generation/Result/Jsoup_47/result.json</x:v>
      </x:c>
      <x:c r="P556"/>
      <x:c r="Q556" s="21" t="str"/>
      <x:c r="R556" s="21" t="str"/>
      <x:c r="S556" s="21" t="str"/>
      <x:c r="T556" s="17" t="str">
        <x:v>false</x:v>
      </x:c>
      <x:c r="U556" s="17" t="str">
        <x:v>true</x:v>
      </x:c>
      <x:c r="V556" s="17" t="str">
        <x:v>false</x:v>
      </x:c>
    </x:row>
    <x:row r="557" ht="80" customHeight="1">
      <x:c r="A557" s="25" t="str">
        <x:v>Jsoup</x:v>
      </x:c>
      <x:c r="B557" s="25" t="n">
        <x:v>48</x:v>
      </x:c>
      <x:c r="C557" s="25" t="str">
        <x:v>Round1</x:v>
      </x:c>
      <x:c r="D557" s="25" t="str">
        <x:v>NOT_REVEALING</x:v>
      </x:c>
      <x:c r="E557" s="25" t="str">
        <x:v>N/A</x:v>
      </x:c>
      <x:c r="F557" s="26" t="str">
        <x:v>Same saved validation suite passed on buggy and fixed</x:v>
      </x:c>
      <x:c r="G557" s="25" t="str">
        <x:v>true</x:v>
      </x:c>
      <x:c r="H557" s="25" t="str">
        <x:v>NOT_REVEALING</x:v>
      </x:c>
      <x:c r="I557" s="25" t="str">
        <x:v>PASS</x:v>
      </x:c>
      <x:c r="J557" s="25" t="str">
        <x:v>PASS</x:v>
      </x:c>
      <x:c r="K557" s="25" t="n">
        <x:v>14</x:v>
      </x:c>
      <x:c r="L557" s="27" t="b">
        <x:v>0</x:v>
      </x:c>
      <x:c r="M557" s="25" t="str">
        <x:v>Feedback-Directed Random Test Generation/rounds/Round1/state/Jsoup.json</x:v>
      </x:c>
      <x:c r="N557" s="25" t="str">
        <x:v>Feedback-Directed Random Test Generation/Result/Jsoup_48/result.json</x:v>
      </x:c>
      <x:c r="O557" s="25" t="str">
        <x:v>Feedback-Directed Random Test Generation/Result/Jsoup_48/result.json</x:v>
      </x:c>
      <x:c r="P557"/>
      <x:c r="Q557" s="21" t="str"/>
      <x:c r="R557" s="21" t="str"/>
      <x:c r="S557" s="21" t="str"/>
      <x:c r="T557" s="17" t="str">
        <x:v>false</x:v>
      </x:c>
      <x:c r="U557" s="17" t="str">
        <x:v>true</x:v>
      </x:c>
      <x:c r="V557" s="17" t="str">
        <x:v>false</x:v>
      </x:c>
    </x:row>
    <x:row r="558" ht="80" customHeight="1">
      <x:c r="A558" s="25" t="str">
        <x:v>Jsoup</x:v>
      </x:c>
      <x:c r="B558" s="25" t="n">
        <x:v>49</x:v>
      </x:c>
      <x:c r="C558" s="25" t="str">
        <x:v>Round1</x:v>
      </x:c>
      <x:c r="D558" s="25" t="str">
        <x:v>NOT_REVEALING</x:v>
      </x:c>
      <x:c r="E558" s="25" t="str">
        <x:v>N/A</x:v>
      </x:c>
      <x:c r="F558" s="26" t="str">
        <x:v>Same saved validation suite passed on buggy and fixed</x:v>
      </x:c>
      <x:c r="G558" s="25" t="str">
        <x:v>true</x:v>
      </x:c>
      <x:c r="H558" s="25" t="str">
        <x:v>NOT_REVEALING</x:v>
      </x:c>
      <x:c r="I558" s="25" t="str">
        <x:v>PASS</x:v>
      </x:c>
      <x:c r="J558" s="25" t="str">
        <x:v>PASS</x:v>
      </x:c>
      <x:c r="K558" s="25" t="n">
        <x:v>2</x:v>
      </x:c>
      <x:c r="L558" s="27" t="b">
        <x:v>0</x:v>
      </x:c>
      <x:c r="M558" s="25" t="str">
        <x:v>Feedback-Directed Random Test Generation/rounds/Round1/state/Jsoup.json</x:v>
      </x:c>
      <x:c r="N558" s="25" t="str">
        <x:v>Feedback-Directed Random Test Generation/Result/Jsoup_49/result.json</x:v>
      </x:c>
      <x:c r="O558" s="25" t="str">
        <x:v>Feedback-Directed Random Test Generation/Result/Jsoup_49/result.json</x:v>
      </x:c>
      <x:c r="P558"/>
      <x:c r="Q558" s="21" t="str"/>
      <x:c r="R558" s="21" t="str"/>
      <x:c r="S558" s="21" t="str"/>
      <x:c r="T558" s="17" t="str">
        <x:v>false</x:v>
      </x:c>
      <x:c r="U558" s="17" t="str">
        <x:v>true</x:v>
      </x:c>
      <x:c r="V558" s="17" t="str">
        <x:v>false</x:v>
      </x:c>
    </x:row>
    <x:row r="559" ht="80" customHeight="1">
      <x:c r="A559" s="25" t="str">
        <x:v>Jsoup</x:v>
      </x:c>
      <x:c r="B559" s="25" t="n">
        <x:v>50</x:v>
      </x:c>
      <x:c r="C559" s="25" t="str">
        <x:v>Round1</x:v>
      </x:c>
      <x:c r="D559" s="25" t="str">
        <x:v>INCONCLUSIVE</x:v>
      </x:c>
      <x:c r="E559" s="25" t="str">
        <x:v>N/A</x:v>
      </x:c>
      <x:c r="F559" s="26" t="str">
        <x:v>Fixed also failed; assertion failure cannot be attributed to this bug</x:v>
      </x:c>
      <x:c r="G559" s="25" t="str">
        <x:v>true</x:v>
      </x:c>
      <x:c r="H559" s="25" t="str">
        <x:v>INCONCLUSIVE</x:v>
      </x:c>
      <x:c r="I559" s="25" t="str">
        <x:v>PASS</x:v>
      </x:c>
      <x:c r="J559" s="25" t="str">
        <x:v>FAIL</x:v>
      </x:c>
      <x:c r="K559" s="25" t="n">
        <x:v>2</x:v>
      </x:c>
      <x:c r="L559" s="27" t="b">
        <x:v>0</x:v>
      </x:c>
      <x:c r="M559" s="25" t="str">
        <x:v>Feedback-Directed Random Test Generation/rounds/Round1/state/Jsoup.json</x:v>
      </x:c>
      <x:c r="N559" s="25" t="str">
        <x:v>Feedback-Directed Random Test Generation/Result/Jsoup_50/result.json</x:v>
      </x:c>
      <x:c r="O559" s="25" t="str">
        <x:v>Feedback-Directed Random Test Generation/Result/Jsoup_50/result.json</x:v>
      </x:c>
      <x:c r="P559"/>
      <x:c r="Q559" s="21" t="str"/>
      <x:c r="R559" s="21" t="str"/>
      <x:c r="S559" s="21" t="str"/>
      <x:c r="T559" s="17" t="str">
        <x:v>false</x:v>
      </x:c>
      <x:c r="U559" s="17" t="str">
        <x:v>true</x:v>
      </x:c>
      <x:c r="V559" s="17" t="str">
        <x:v>false</x:v>
      </x:c>
    </x:row>
    <x:row r="560" ht="80" customHeight="1">
      <x:c r="A560" s="25" t="str">
        <x:v>Jsoup</x:v>
      </x:c>
      <x:c r="B560" s="25" t="n">
        <x:v>51</x:v>
      </x:c>
      <x:c r="C560" s="25" t="str">
        <x:v>Round1</x:v>
      </x:c>
      <x:c r="D560" s="25" t="str">
        <x:v>NOT_REVEALING</x:v>
      </x:c>
      <x:c r="E560" s="25" t="str">
        <x:v>N/A</x:v>
      </x:c>
      <x:c r="F560" s="26" t="str">
        <x:v>Same saved validation suite passed on buggy and fixed</x:v>
      </x:c>
      <x:c r="G560" s="25" t="str">
        <x:v>true</x:v>
      </x:c>
      <x:c r="H560" s="25" t="str">
        <x:v>NOT_REVEALING</x:v>
      </x:c>
      <x:c r="I560" s="25" t="str">
        <x:v>PASS</x:v>
      </x:c>
      <x:c r="J560" s="25" t="str">
        <x:v>PASS</x:v>
      </x:c>
      <x:c r="K560" s="25" t="n">
        <x:v>11</x:v>
      </x:c>
      <x:c r="L560" s="27" t="b">
        <x:v>0</x:v>
      </x:c>
      <x:c r="M560" s="25" t="str">
        <x:v>Feedback-Directed Random Test Generation/rounds/Round1/state/Jsoup.json</x:v>
      </x:c>
      <x:c r="N560" s="25" t="str">
        <x:v>Feedback-Directed Random Test Generation/Result/Jsoup_51/result.json</x:v>
      </x:c>
      <x:c r="O560" s="25" t="str">
        <x:v>Feedback-Directed Random Test Generation/Result/Jsoup_51/result.json</x:v>
      </x:c>
      <x:c r="P560"/>
      <x:c r="Q560" s="21" t="str"/>
      <x:c r="R560" s="21" t="str"/>
      <x:c r="S560" s="21" t="str"/>
      <x:c r="T560" s="17" t="str">
        <x:v>false</x:v>
      </x:c>
      <x:c r="U560" s="17" t="str">
        <x:v>true</x:v>
      </x:c>
      <x:c r="V560" s="17" t="str">
        <x:v>false</x:v>
      </x:c>
    </x:row>
    <x:row r="561" ht="80" customHeight="1">
      <x:c r="A561" s="25" t="str">
        <x:v>Jsoup</x:v>
      </x:c>
      <x:c r="B561" s="25" t="n">
        <x:v>52</x:v>
      </x:c>
      <x:c r="C561" s="25" t="str">
        <x:v>Round1</x:v>
      </x:c>
      <x:c r="D561" s="25" t="str">
        <x:v>INCONCLUSIVE</x:v>
      </x:c>
      <x:c r="E561" s="25" t="str">
        <x:v>N/A</x:v>
      </x:c>
      <x:c r="F561" s="26" t="str">
        <x:v>Fixed also failed; assertion failure cannot be attributed to this bug; Assertions failed with measured coverage; paired execution and stage checks determine status</x:v>
      </x:c>
      <x:c r="G561" s="25" t="str">
        <x:v>true</x:v>
      </x:c>
      <x:c r="H561" s="25" t="str">
        <x:v>INCONCLUSIVE</x:v>
      </x:c>
      <x:c r="I561" s="25" t="str">
        <x:v>FAIL</x:v>
      </x:c>
      <x:c r="J561" s="25" t="str">
        <x:v>FAIL</x:v>
      </x:c>
      <x:c r="K561" s="25" t="n">
        <x:v>14</x:v>
      </x:c>
      <x:c r="L561" s="27" t="b">
        <x:v>0</x:v>
      </x:c>
      <x:c r="M561" s="25" t="str">
        <x:v>Feedback-Directed Random Test Generation/rounds/Round1/state/Jsoup.json</x:v>
      </x:c>
      <x:c r="N561" s="25" t="str">
        <x:v>Feedback-Directed Random Test Generation/Result/Jsoup_52/result.json</x:v>
      </x:c>
      <x:c r="O561" s="25" t="str">
        <x:v>Feedback-Directed Random Test Generation/Result/Jsoup_52/result.json</x:v>
      </x:c>
      <x:c r="P561"/>
      <x:c r="Q561" s="21" t="str"/>
      <x:c r="R561" s="21" t="str"/>
      <x:c r="S561" s="21" t="str"/>
      <x:c r="T561" s="17" t="str">
        <x:v>false</x:v>
      </x:c>
      <x:c r="U561" s="17" t="str">
        <x:v>true</x:v>
      </x:c>
      <x:c r="V561" s="17" t="str">
        <x:v>false</x:v>
      </x:c>
    </x:row>
    <x:row r="562" ht="80" customHeight="1">
      <x:c r="A562" s="25" t="str">
        <x:v>Jsoup</x:v>
      </x:c>
      <x:c r="B562" s="25" t="n">
        <x:v>53</x:v>
      </x:c>
      <x:c r="C562" s="25" t="str">
        <x:v>Round1</x:v>
      </x:c>
      <x:c r="D562" s="25" t="str">
        <x:v>NOT_REVEALING</x:v>
      </x:c>
      <x:c r="E562" s="25" t="str">
        <x:v>N/A</x:v>
      </x:c>
      <x:c r="F562" s="26" t="str">
        <x:v>Same saved validation suite passed on buggy and fixed</x:v>
      </x:c>
      <x:c r="G562" s="25" t="str">
        <x:v>true</x:v>
      </x:c>
      <x:c r="H562" s="25" t="str">
        <x:v>NOT_REVEALING</x:v>
      </x:c>
      <x:c r="I562" s="25" t="str">
        <x:v>PASS</x:v>
      </x:c>
      <x:c r="J562" s="25" t="str">
        <x:v>PASS</x:v>
      </x:c>
      <x:c r="K562" s="25" t="n">
        <x:v>9</x:v>
      </x:c>
      <x:c r="L562" s="27" t="b">
        <x:v>0</x:v>
      </x:c>
      <x:c r="M562" s="25" t="str">
        <x:v>Feedback-Directed Random Test Generation/rounds/Round1/state/Jsoup.json</x:v>
      </x:c>
      <x:c r="N562" s="25" t="str">
        <x:v>Feedback-Directed Random Test Generation/Result/Jsoup_53/result.json</x:v>
      </x:c>
      <x:c r="O562" s="25" t="str">
        <x:v>Feedback-Directed Random Test Generation/Result/Jsoup_53/result.json</x:v>
      </x:c>
      <x:c r="P562"/>
      <x:c r="Q562" s="21" t="str"/>
      <x:c r="R562" s="21" t="str"/>
      <x:c r="S562" s="21" t="str"/>
      <x:c r="T562" s="17" t="str">
        <x:v>false</x:v>
      </x:c>
      <x:c r="U562" s="17" t="str">
        <x:v>true</x:v>
      </x:c>
      <x:c r="V562" s="17" t="str">
        <x:v>false</x:v>
      </x:c>
    </x:row>
    <x:row r="563" ht="80" customHeight="1">
      <x:c r="A563" s="25" t="str">
        <x:v>Jsoup</x:v>
      </x:c>
      <x:c r="B563" s="25" t="n">
        <x:v>54</x:v>
      </x:c>
      <x:c r="C563" s="25" t="str">
        <x:v>Round1</x:v>
      </x:c>
      <x:c r="D563" s="25" t="str">
        <x:v>NOT_REVEALING</x:v>
      </x:c>
      <x:c r="E563" s="25" t="str">
        <x:v>N/A</x:v>
      </x:c>
      <x:c r="F563" s="26" t="str">
        <x:v>Same saved validation suite passed on buggy and fixed</x:v>
      </x:c>
      <x:c r="G563" s="25" t="str">
        <x:v>true</x:v>
      </x:c>
      <x:c r="H563" s="25" t="str">
        <x:v>NOT_REVEALING</x:v>
      </x:c>
      <x:c r="I563" s="25" t="str">
        <x:v>PASS</x:v>
      </x:c>
      <x:c r="J563" s="25" t="str">
        <x:v>PASS</x:v>
      </x:c>
      <x:c r="K563" s="25" t="n">
        <x:v>9</x:v>
      </x:c>
      <x:c r="L563" s="27" t="b">
        <x:v>0</x:v>
      </x:c>
      <x:c r="M563" s="25" t="str">
        <x:v>Feedback-Directed Random Test Generation/rounds/Round1/state/Jsoup.json</x:v>
      </x:c>
      <x:c r="N563" s="25" t="str">
        <x:v>Feedback-Directed Random Test Generation/Result/Jsoup_54/result.json</x:v>
      </x:c>
      <x:c r="O563" s="25" t="str">
        <x:v>Feedback-Directed Random Test Generation/Result/Jsoup_54/result.json</x:v>
      </x:c>
      <x:c r="P563"/>
      <x:c r="Q563" s="21" t="str"/>
      <x:c r="R563" s="21" t="str"/>
      <x:c r="S563" s="21" t="str"/>
      <x:c r="T563" s="17" t="str">
        <x:v>false</x:v>
      </x:c>
      <x:c r="U563" s="17" t="str">
        <x:v>true</x:v>
      </x:c>
      <x:c r="V563" s="17" t="str">
        <x:v>false</x:v>
      </x:c>
    </x:row>
    <x:row r="564" ht="80" customHeight="1">
      <x:c r="A564" s="25" t="str">
        <x:v>Jsoup</x:v>
      </x:c>
      <x:c r="B564" s="25" t="n">
        <x:v>55</x:v>
      </x:c>
      <x:c r="C564" s="25" t="str">
        <x:v>Round1</x:v>
      </x:c>
      <x:c r="D564" s="25" t="str">
        <x:v>NOT_REVEALING</x:v>
      </x:c>
      <x:c r="E564" s="25" t="str">
        <x:v>N/A</x:v>
      </x:c>
      <x:c r="F564" s="26" t="str">
        <x:v>Same saved validation suite passed on buggy and fixed</x:v>
      </x:c>
      <x:c r="G564" s="25" t="str">
        <x:v>true</x:v>
      </x:c>
      <x:c r="H564" s="25" t="str">
        <x:v>NOT_REVEALING</x:v>
      </x:c>
      <x:c r="I564" s="25" t="str">
        <x:v>PASS</x:v>
      </x:c>
      <x:c r="J564" s="25" t="str">
        <x:v>PASS</x:v>
      </x:c>
      <x:c r="K564" s="25" t="n">
        <x:v>2</x:v>
      </x:c>
      <x:c r="L564" s="27" t="b">
        <x:v>0</x:v>
      </x:c>
      <x:c r="M564" s="25" t="str">
        <x:v>Feedback-Directed Random Test Generation/rounds/Round1/state/Jsoup.json</x:v>
      </x:c>
      <x:c r="N564" s="25" t="str">
        <x:v>Feedback-Directed Random Test Generation/Result/Jsoup_55/result.json</x:v>
      </x:c>
      <x:c r="O564" s="25" t="str">
        <x:v>Feedback-Directed Random Test Generation/Result/Jsoup_55/result.json</x:v>
      </x:c>
      <x:c r="P564"/>
      <x:c r="Q564" s="21" t="str"/>
      <x:c r="R564" s="21" t="str"/>
      <x:c r="S564" s="21" t="str"/>
      <x:c r="T564" s="17" t="str">
        <x:v>false</x:v>
      </x:c>
      <x:c r="U564" s="17" t="str">
        <x:v>true</x:v>
      </x:c>
      <x:c r="V564" s="17" t="str">
        <x:v>false</x:v>
      </x:c>
    </x:row>
    <x:row r="565" ht="80" customHeight="1">
      <x:c r="A565" s="25" t="str">
        <x:v>Jsoup</x:v>
      </x:c>
      <x:c r="B565" s="25" t="n">
        <x:v>56</x:v>
      </x:c>
      <x:c r="C565" s="25" t="str">
        <x:v>Round1</x:v>
      </x:c>
      <x:c r="D565" s="25" t="str">
        <x:v>INCONCLUSIVE</x:v>
      </x:c>
      <x:c r="E565" s="25" t="str">
        <x:v>N/A</x:v>
      </x:c>
      <x:c r="F565" s="26" t="str">
        <x:v>Fixed also failed; assertion failure cannot be attributed to this bug; Assertions failed with measured coverage; paired execution and stage checks determine status</x:v>
      </x:c>
      <x:c r="G565" s="25" t="str">
        <x:v>true</x:v>
      </x:c>
      <x:c r="H565" s="25" t="str">
        <x:v>INCONCLUSIVE</x:v>
      </x:c>
      <x:c r="I565" s="25" t="str">
        <x:v>FAIL</x:v>
      </x:c>
      <x:c r="J565" s="25" t="str">
        <x:v>FAIL</x:v>
      </x:c>
      <x:c r="K565" s="25" t="n">
        <x:v>11</x:v>
      </x:c>
      <x:c r="L565" s="27" t="b">
        <x:v>0</x:v>
      </x:c>
      <x:c r="M565" s="25" t="str">
        <x:v>Feedback-Directed Random Test Generation/rounds/Round1/state/Jsoup.json</x:v>
      </x:c>
      <x:c r="N565" s="25" t="str">
        <x:v>Feedback-Directed Random Test Generation/Result/Jsoup_56/result.json</x:v>
      </x:c>
      <x:c r="O565" s="25" t="str">
        <x:v>Feedback-Directed Random Test Generation/Result/Jsoup_56/result.json</x:v>
      </x:c>
      <x:c r="P565"/>
      <x:c r="Q565" s="21" t="str"/>
      <x:c r="R565" s="21" t="str"/>
      <x:c r="S565" s="21" t="str"/>
      <x:c r="T565" s="17" t="str">
        <x:v>false</x:v>
      </x:c>
      <x:c r="U565" s="17" t="str">
        <x:v>true</x:v>
      </x:c>
      <x:c r="V565" s="17" t="str">
        <x:v>false</x:v>
      </x:c>
    </x:row>
    <x:row r="566" ht="80" customHeight="1">
      <x:c r="A566" s="25" t="str">
        <x:v>Jsoup</x:v>
      </x:c>
      <x:c r="B566" s="25" t="n">
        <x:v>57</x:v>
      </x:c>
      <x:c r="C566" s="25" t="str">
        <x:v>Round1</x:v>
      </x:c>
      <x:c r="D566" s="25" t="str">
        <x:v>NOT_REVEALING</x:v>
      </x:c>
      <x:c r="E566" s="25" t="str">
        <x:v>N/A</x:v>
      </x:c>
      <x:c r="F566" s="26" t="str">
        <x:v>Same saved validation suite passed on buggy and fixed</x:v>
      </x:c>
      <x:c r="G566" s="25" t="str">
        <x:v>true</x:v>
      </x:c>
      <x:c r="H566" s="25" t="str">
        <x:v>NOT_REVEALING</x:v>
      </x:c>
      <x:c r="I566" s="25" t="str">
        <x:v>PASS</x:v>
      </x:c>
      <x:c r="J566" s="25" t="str">
        <x:v>PASS</x:v>
      </x:c>
      <x:c r="K566" s="25" t="n">
        <x:v>10</x:v>
      </x:c>
      <x:c r="L566" s="27" t="b">
        <x:v>0</x:v>
      </x:c>
      <x:c r="M566" s="25" t="str">
        <x:v>Feedback-Directed Random Test Generation/rounds/Round1/state/Jsoup.json</x:v>
      </x:c>
      <x:c r="N566" s="25" t="str">
        <x:v>Feedback-Directed Random Test Generation/Result/Jsoup_57/result.json</x:v>
      </x:c>
      <x:c r="O566" s="25" t="str">
        <x:v>Feedback-Directed Random Test Generation/Result/Jsoup_57/result.json</x:v>
      </x:c>
      <x:c r="P566"/>
      <x:c r="Q566" s="21" t="str"/>
      <x:c r="R566" s="21" t="str"/>
      <x:c r="S566" s="21" t="str"/>
      <x:c r="T566" s="17" t="str">
        <x:v>false</x:v>
      </x:c>
      <x:c r="U566" s="17" t="str">
        <x:v>true</x:v>
      </x:c>
      <x:c r="V566" s="17" t="str">
        <x:v>false</x:v>
      </x:c>
    </x:row>
    <x:row r="567" ht="80" customHeight="1">
      <x:c r="A567" s="25" t="str">
        <x:v>Jsoup</x:v>
      </x:c>
      <x:c r="B567" s="25" t="n">
        <x:v>58</x:v>
      </x:c>
      <x:c r="C567" s="25" t="str">
        <x:v>Round1</x:v>
      </x:c>
      <x:c r="D567" s="25" t="str">
        <x:v>NOT_REVEALING</x:v>
      </x:c>
      <x:c r="E567" s="25" t="str">
        <x:v>N/A</x:v>
      </x:c>
      <x:c r="F567" s="26" t="str">
        <x:v>Same saved validation suite passed on buggy and fixed</x:v>
      </x:c>
      <x:c r="G567" s="25" t="str">
        <x:v>true</x:v>
      </x:c>
      <x:c r="H567" s="25" t="str">
        <x:v>NOT_REVEALING</x:v>
      </x:c>
      <x:c r="I567" s="25" t="str">
        <x:v>PASS</x:v>
      </x:c>
      <x:c r="J567" s="25" t="str">
        <x:v>PASS</x:v>
      </x:c>
      <x:c r="K567" s="25" t="n">
        <x:v>9</x:v>
      </x:c>
      <x:c r="L567" s="27" t="b">
        <x:v>0</x:v>
      </x:c>
      <x:c r="M567" s="25" t="str">
        <x:v>Feedback-Directed Random Test Generation/rounds/Round1/state/Jsoup.json</x:v>
      </x:c>
      <x:c r="N567" s="25" t="str">
        <x:v>Feedback-Directed Random Test Generation/Result/Jsoup_58/result.json</x:v>
      </x:c>
      <x:c r="O567" s="25" t="str">
        <x:v>Feedback-Directed Random Test Generation/Result/Jsoup_58/result.json</x:v>
      </x:c>
      <x:c r="P567"/>
      <x:c r="Q567" s="21" t="str"/>
      <x:c r="R567" s="21" t="str"/>
      <x:c r="S567" s="21" t="str"/>
      <x:c r="T567" s="17" t="str">
        <x:v>false</x:v>
      </x:c>
      <x:c r="U567" s="17" t="str">
        <x:v>true</x:v>
      </x:c>
      <x:c r="V567" s="17" t="str">
        <x:v>false</x:v>
      </x:c>
    </x:row>
    <x:row r="568" ht="80" customHeight="1">
      <x:c r="A568" s="25" t="str">
        <x:v>Jsoup</x:v>
      </x:c>
      <x:c r="B568" s="25" t="n">
        <x:v>59</x:v>
      </x:c>
      <x:c r="C568" s="25" t="str">
        <x:v>Round1</x:v>
      </x:c>
      <x:c r="D568" s="25" t="str">
        <x:v>NOT_REVEALING</x:v>
      </x:c>
      <x:c r="E568" s="25" t="str">
        <x:v>N/A</x:v>
      </x:c>
      <x:c r="F568" s="26" t="str">
        <x:v>Same saved validation suite passed on buggy and fixed</x:v>
      </x:c>
      <x:c r="G568" s="25" t="str">
        <x:v>true</x:v>
      </x:c>
      <x:c r="H568" s="25" t="str">
        <x:v>NOT_REVEALING</x:v>
      </x:c>
      <x:c r="I568" s="25" t="str">
        <x:v>PASS</x:v>
      </x:c>
      <x:c r="J568" s="25" t="str">
        <x:v>PASS</x:v>
      </x:c>
      <x:c r="K568" s="25" t="n">
        <x:v>10</x:v>
      </x:c>
      <x:c r="L568" s="27" t="b">
        <x:v>0</x:v>
      </x:c>
      <x:c r="M568" s="25" t="str">
        <x:v>Feedback-Directed Random Test Generation/rounds/Round1/state/Jsoup.json</x:v>
      </x:c>
      <x:c r="N568" s="25" t="str">
        <x:v>Feedback-Directed Random Test Generation/Result/Jsoup_59/result.json</x:v>
      </x:c>
      <x:c r="O568" s="25" t="str">
        <x:v>Feedback-Directed Random Test Generation/Result/Jsoup_59/result.json</x:v>
      </x:c>
      <x:c r="P568"/>
      <x:c r="Q568" s="21" t="str"/>
      <x:c r="R568" s="21" t="str"/>
      <x:c r="S568" s="21" t="str"/>
      <x:c r="T568" s="17" t="str">
        <x:v>false</x:v>
      </x:c>
      <x:c r="U568" s="17" t="str">
        <x:v>true</x:v>
      </x:c>
      <x:c r="V568" s="17" t="str">
        <x:v>false</x:v>
      </x:c>
    </x:row>
    <x:row r="569" ht="80" customHeight="1">
      <x:c r="A569" s="25" t="str">
        <x:v>Jsoup</x:v>
      </x:c>
      <x:c r="B569" s="25" t="n">
        <x:v>60</x:v>
      </x:c>
      <x:c r="C569" s="25" t="str">
        <x:v>Round1</x:v>
      </x:c>
      <x:c r="D569" s="25" t="str">
        <x:v>INCONCLUSIVE</x:v>
      </x:c>
      <x:c r="E569" s="25" t="str">
        <x:v>N/A</x:v>
      </x:c>
      <x:c r="F569" s="26" t="str">
        <x:v>Fixed also failed; assertion failure cannot be attributed to this bug</x:v>
      </x:c>
      <x:c r="G569" s="25" t="str">
        <x:v>true</x:v>
      </x:c>
      <x:c r="H569" s="25" t="str">
        <x:v>INCONCLUSIVE</x:v>
      </x:c>
      <x:c r="I569" s="25" t="str">
        <x:v>PASS</x:v>
      </x:c>
      <x:c r="J569" s="25" t="str">
        <x:v>FAIL</x:v>
      </x:c>
      <x:c r="K569" s="25" t="n">
        <x:v>9</x:v>
      </x:c>
      <x:c r="L569" s="27" t="b">
        <x:v>0</x:v>
      </x:c>
      <x:c r="M569" s="25" t="str">
        <x:v>Feedback-Directed Random Test Generation/rounds/Round1/state/Jsoup.json</x:v>
      </x:c>
      <x:c r="N569" s="25" t="str">
        <x:v>Feedback-Directed Random Test Generation/Result/Jsoup_60/result.json</x:v>
      </x:c>
      <x:c r="O569" s="25" t="str">
        <x:v>Feedback-Directed Random Test Generation/Result/Jsoup_60/result.json</x:v>
      </x:c>
      <x:c r="P569"/>
      <x:c r="Q569" s="21" t="str"/>
      <x:c r="R569" s="21" t="str"/>
      <x:c r="S569" s="21" t="str"/>
      <x:c r="T569" s="17" t="str">
        <x:v>false</x:v>
      </x:c>
      <x:c r="U569" s="17" t="str">
        <x:v>true</x:v>
      </x:c>
      <x:c r="V569" s="17" t="str">
        <x:v>false</x:v>
      </x:c>
    </x:row>
    <x:row r="570" ht="80" customHeight="1">
      <x:c r="A570" s="25" t="str">
        <x:v>Jsoup</x:v>
      </x:c>
      <x:c r="B570" s="25" t="n">
        <x:v>61</x:v>
      </x:c>
      <x:c r="C570" s="25" t="str">
        <x:v>Round1</x:v>
      </x:c>
      <x:c r="D570" s="25" t="str">
        <x:v>INCONCLUSIVE</x:v>
      </x:c>
      <x:c r="E570" s="25" t="str">
        <x:v>N/A</x:v>
      </x:c>
      <x:c r="F570" s="26" t="str">
        <x:v>Fixed also failed; assertion failure cannot be attributed to this bug; Assertions failed with measured coverage; paired execution and stage checks determine status</x:v>
      </x:c>
      <x:c r="G570" s="25" t="str">
        <x:v>true</x:v>
      </x:c>
      <x:c r="H570" s="25" t="str">
        <x:v>INCONCLUSIVE</x:v>
      </x:c>
      <x:c r="I570" s="25" t="str">
        <x:v>FAIL</x:v>
      </x:c>
      <x:c r="J570" s="25" t="str">
        <x:v>FAIL</x:v>
      </x:c>
      <x:c r="K570" s="25" t="n">
        <x:v>11</x:v>
      </x:c>
      <x:c r="L570" s="27" t="b">
        <x:v>0</x:v>
      </x:c>
      <x:c r="M570" s="25" t="str">
        <x:v>Feedback-Directed Random Test Generation/rounds/Round1/state/Jsoup.json</x:v>
      </x:c>
      <x:c r="N570" s="25" t="str">
        <x:v>Feedback-Directed Random Test Generation/Result/Jsoup_61/result.json</x:v>
      </x:c>
      <x:c r="O570" s="25" t="str">
        <x:v>Feedback-Directed Random Test Generation/Result/Jsoup_61/result.json</x:v>
      </x:c>
      <x:c r="P570"/>
      <x:c r="Q570" s="21" t="str"/>
      <x:c r="R570" s="21" t="str"/>
      <x:c r="S570" s="21" t="str"/>
      <x:c r="T570" s="17" t="str">
        <x:v>false</x:v>
      </x:c>
      <x:c r="U570" s="17" t="str">
        <x:v>true</x:v>
      </x:c>
      <x:c r="V570" s="17" t="str">
        <x:v>false</x:v>
      </x:c>
    </x:row>
    <x:row r="571" ht="80" customHeight="1">
      <x:c r="A571" s="25" t="str">
        <x:v>Jsoup</x:v>
      </x:c>
      <x:c r="B571" s="25" t="n">
        <x:v>62</x:v>
      </x:c>
      <x:c r="C571" s="25" t="str">
        <x:v>Round1</x:v>
      </x:c>
      <x:c r="D571" s="25" t="str">
        <x:v>NOT_REVEALING</x:v>
      </x:c>
      <x:c r="E571" s="25" t="str">
        <x:v>N/A</x:v>
      </x:c>
      <x:c r="F571" s="26" t="str">
        <x:v>Same saved validation suite passed on buggy and fixed</x:v>
      </x:c>
      <x:c r="G571" s="25" t="str">
        <x:v>true</x:v>
      </x:c>
      <x:c r="H571" s="25" t="str">
        <x:v>NOT_REVEALING</x:v>
      </x:c>
      <x:c r="I571" s="25" t="str">
        <x:v>PASS</x:v>
      </x:c>
      <x:c r="J571" s="25" t="str">
        <x:v>PASS</x:v>
      </x:c>
      <x:c r="K571" s="25" t="n">
        <x:v>2</x:v>
      </x:c>
      <x:c r="L571" s="27" t="b">
        <x:v>0</x:v>
      </x:c>
      <x:c r="M571" s="25" t="str">
        <x:v>Feedback-Directed Random Test Generation/rounds/Round1/state/Jsoup.json</x:v>
      </x:c>
      <x:c r="N571" s="25" t="str">
        <x:v>Feedback-Directed Random Test Generation/Result/Jsoup_62/result.json</x:v>
      </x:c>
      <x:c r="O571" s="25" t="str">
        <x:v>Feedback-Directed Random Test Generation/Result/Jsoup_62/result.json</x:v>
      </x:c>
      <x:c r="P571"/>
      <x:c r="Q571" s="21" t="str"/>
      <x:c r="R571" s="21" t="str"/>
      <x:c r="S571" s="21" t="str"/>
      <x:c r="T571" s="17" t="str">
        <x:v>false</x:v>
      </x:c>
      <x:c r="U571" s="17" t="str">
        <x:v>true</x:v>
      </x:c>
      <x:c r="V571" s="17" t="str">
        <x:v>false</x:v>
      </x:c>
    </x:row>
    <x:row r="572" ht="80" customHeight="1">
      <x:c r="A572" s="25" t="str">
        <x:v>Jsoup</x:v>
      </x:c>
      <x:c r="B572" s="25" t="n">
        <x:v>63</x:v>
      </x:c>
      <x:c r="C572" s="25" t="str">
        <x:v>Round1</x:v>
      </x:c>
      <x:c r="D572" s="25" t="str">
        <x:v>NOT_AVAILABLE</x:v>
      </x:c>
      <x:c r="E572" s="25" t="str">
        <x:v>N/A</x:v>
      </x:c>
      <x:c r="F572" s="26" t="str">
        <x:v>fixed test_compile=FAIL; Assertions failed with measured coverage; paired execution and stage checks determine status</x:v>
      </x:c>
      <x:c r="G572" s="25" t="str">
        <x:v>true</x:v>
      </x:c>
      <x:c r="H572" s="25" t="str">
        <x:v>NOT_AVAILABLE</x:v>
      </x:c>
      <x:c r="I572" s="25" t="str">
        <x:v>FAIL</x:v>
      </x:c>
      <x:c r="J572" s="25" t="str">
        <x:v>NOT_RUN</x:v>
      </x:c>
      <x:c r="K572" s="25" t="n">
        <x:v>11</x:v>
      </x:c>
      <x:c r="L572" s="27" t="b">
        <x:v>0</x:v>
      </x:c>
      <x:c r="M572" s="25" t="str">
        <x:v>Feedback-Directed Random Test Generation/rounds/Round1/state/Jsoup.json</x:v>
      </x:c>
      <x:c r="N572" s="25" t="str">
        <x:v>Feedback-Directed Random Test Generation/Result/Jsoup_63/result.json</x:v>
      </x:c>
      <x:c r="O572" s="25" t="str">
        <x:v>Feedback-Directed Random Test Generation/Result/Jsoup_63/result.json</x:v>
      </x:c>
      <x:c r="P572" t="str">
        <x:v>FIXED_NOT_RUN</x:v>
      </x:c>
      <x:c r="Q572" s="21" t="str"/>
      <x:c r="R572" s="21" t="str"/>
      <x:c r="S572" s="21" t="str"/>
      <x:c r="T572" s="17" t="str">
        <x:v>false</x:v>
      </x:c>
      <x:c r="U572" s="17" t="str">
        <x:v>true</x:v>
      </x:c>
      <x:c r="V572" s="17" t="str">
        <x:v>false</x:v>
      </x:c>
    </x:row>
    <x:row r="573" ht="80" customHeight="1">
      <x:c r="A573" s="25" t="str">
        <x:v>Jsoup</x:v>
      </x:c>
      <x:c r="B573" s="25" t="n">
        <x:v>64</x:v>
      </x:c>
      <x:c r="C573" s="25" t="str">
        <x:v>Round1</x:v>
      </x:c>
      <x:c r="D573" s="25" t="str">
        <x:v>NOT_REVEALING</x:v>
      </x:c>
      <x:c r="E573" s="25" t="str">
        <x:v>N/A</x:v>
      </x:c>
      <x:c r="F573" s="26" t="str">
        <x:v>Same saved validation suite passed on buggy and fixed</x:v>
      </x:c>
      <x:c r="G573" s="25" t="str">
        <x:v>true</x:v>
      </x:c>
      <x:c r="H573" s="25" t="str">
        <x:v>NOT_REVEALING</x:v>
      </x:c>
      <x:c r="I573" s="25" t="str">
        <x:v>PASS</x:v>
      </x:c>
      <x:c r="J573" s="25" t="str">
        <x:v>PASS</x:v>
      </x:c>
      <x:c r="K573" s="25" t="n">
        <x:v>2</x:v>
      </x:c>
      <x:c r="L573" s="27" t="b">
        <x:v>0</x:v>
      </x:c>
      <x:c r="M573" s="25" t="str">
        <x:v>Feedback-Directed Random Test Generation/rounds/Round1/state/Jsoup.json</x:v>
      </x:c>
      <x:c r="N573" s="25" t="str">
        <x:v>Feedback-Directed Random Test Generation/Result/Jsoup_64/result.json</x:v>
      </x:c>
      <x:c r="O573" s="25" t="str">
        <x:v>Feedback-Directed Random Test Generation/Result/Jsoup_64/result.json</x:v>
      </x:c>
      <x:c r="P573"/>
      <x:c r="Q573" s="21" t="str"/>
      <x:c r="R573" s="21" t="str"/>
      <x:c r="S573" s="21" t="str"/>
      <x:c r="T573" s="17" t="str">
        <x:v>false</x:v>
      </x:c>
      <x:c r="U573" s="17" t="str">
        <x:v>true</x:v>
      </x:c>
      <x:c r="V573" s="17" t="str">
        <x:v>false</x:v>
      </x:c>
    </x:row>
    <x:row r="574" ht="80" customHeight="1">
      <x:c r="A574" s="25" t="str">
        <x:v>Jsoup</x:v>
      </x:c>
      <x:c r="B574" s="25" t="n">
        <x:v>65</x:v>
      </x:c>
      <x:c r="C574" s="25" t="str">
        <x:v>Round1</x:v>
      </x:c>
      <x:c r="D574" s="25" t="str">
        <x:v>INCONCLUSIVE</x:v>
      </x:c>
      <x:c r="E574" s="25" t="str">
        <x:v>N/A</x:v>
      </x:c>
      <x:c r="F574" s="26" t="str">
        <x:v>Fixed also failed; assertion failure cannot be attributed to this bug; Assertions failed with measured coverage; paired execution and stage checks determine status</x:v>
      </x:c>
      <x:c r="G574" s="25" t="str">
        <x:v>true</x:v>
      </x:c>
      <x:c r="H574" s="25" t="str">
        <x:v>INCONCLUSIVE</x:v>
      </x:c>
      <x:c r="I574" s="25" t="str">
        <x:v>FAIL</x:v>
      </x:c>
      <x:c r="J574" s="25" t="str">
        <x:v>FAIL</x:v>
      </x:c>
      <x:c r="K574" s="25" t="n">
        <x:v>8</x:v>
      </x:c>
      <x:c r="L574" s="27" t="b">
        <x:v>0</x:v>
      </x:c>
      <x:c r="M574" s="25" t="str">
        <x:v>Feedback-Directed Random Test Generation/rounds/Round1/state/Jsoup.json</x:v>
      </x:c>
      <x:c r="N574" s="25" t="str">
        <x:v>Feedback-Directed Random Test Generation/Result/Jsoup_65/result.json</x:v>
      </x:c>
      <x:c r="O574" s="25" t="str">
        <x:v>Feedback-Directed Random Test Generation/Result/Jsoup_65/result.json</x:v>
      </x:c>
      <x:c r="P574"/>
      <x:c r="Q574" s="21" t="str"/>
      <x:c r="R574" s="21" t="str"/>
      <x:c r="S574" s="21" t="str"/>
      <x:c r="T574" s="17" t="str">
        <x:v>false</x:v>
      </x:c>
      <x:c r="U574" s="17" t="str">
        <x:v>true</x:v>
      </x:c>
      <x:c r="V574" s="17" t="str">
        <x:v>false</x:v>
      </x:c>
    </x:row>
    <x:row r="575" ht="80" customHeight="1">
      <x:c r="A575" s="25" t="str">
        <x:v>Jsoup</x:v>
      </x:c>
      <x:c r="B575" s="25" t="n">
        <x:v>66</x:v>
      </x:c>
      <x:c r="C575" s="25" t="str">
        <x:v>Round1</x:v>
      </x:c>
      <x:c r="D575" s="25" t="str">
        <x:v>INCONCLUSIVE</x:v>
      </x:c>
      <x:c r="E575" s="25" t="str">
        <x:v>N/A</x:v>
      </x:c>
      <x:c r="F575" s="26" t="str">
        <x:v>Fixed also failed; assertion failure cannot be attributed to this bug; Assertions failed with measured coverage; paired execution and stage checks determine status</x:v>
      </x:c>
      <x:c r="G575" s="25" t="str">
        <x:v>true</x:v>
      </x:c>
      <x:c r="H575" s="25" t="str">
        <x:v>INCONCLUSIVE</x:v>
      </x:c>
      <x:c r="I575" s="25" t="str">
        <x:v>FAIL</x:v>
      </x:c>
      <x:c r="J575" s="25" t="str">
        <x:v>FAIL</x:v>
      </x:c>
      <x:c r="K575" s="25" t="n">
        <x:v>11</x:v>
      </x:c>
      <x:c r="L575" s="27" t="b">
        <x:v>0</x:v>
      </x:c>
      <x:c r="M575" s="25" t="str">
        <x:v>Feedback-Directed Random Test Generation/rounds/Round1/state/Jsoup.json</x:v>
      </x:c>
      <x:c r="N575" s="25" t="str">
        <x:v>Feedback-Directed Random Test Generation/Result/Jsoup_66/result.json</x:v>
      </x:c>
      <x:c r="O575" s="25" t="str">
        <x:v>Feedback-Directed Random Test Generation/Result/Jsoup_66/result.json</x:v>
      </x:c>
      <x:c r="P575"/>
      <x:c r="Q575" s="21" t="str"/>
      <x:c r="R575" s="21" t="str"/>
      <x:c r="S575" s="21" t="str"/>
      <x:c r="T575" s="17" t="str">
        <x:v>false</x:v>
      </x:c>
      <x:c r="U575" s="17" t="str">
        <x:v>true</x:v>
      </x:c>
      <x:c r="V575" s="17" t="str">
        <x:v>false</x:v>
      </x:c>
    </x:row>
    <x:row r="576" ht="80" customHeight="1">
      <x:c r="A576" s="25" t="str">
        <x:v>Jsoup</x:v>
      </x:c>
      <x:c r="B576" s="25" t="n">
        <x:v>67</x:v>
      </x:c>
      <x:c r="C576" s="25" t="str">
        <x:v>Round1</x:v>
      </x:c>
      <x:c r="D576" s="25" t="str">
        <x:v>INCONCLUSIVE</x:v>
      </x:c>
      <x:c r="E576" s="25" t="str">
        <x:v>N/A</x:v>
      </x:c>
      <x:c r="F576" s="26" t="str">
        <x:v>Fixed also failed; assertion failure cannot be attributed to this bug; Assertions failed with measured coverage; paired execution and stage checks determine status</x:v>
      </x:c>
      <x:c r="G576" s="25" t="str">
        <x:v>true</x:v>
      </x:c>
      <x:c r="H576" s="25" t="str">
        <x:v>INCONCLUSIVE</x:v>
      </x:c>
      <x:c r="I576" s="25" t="str">
        <x:v>FAIL</x:v>
      </x:c>
      <x:c r="J576" s="25" t="str">
        <x:v>FAIL</x:v>
      </x:c>
      <x:c r="K576" s="25" t="n">
        <x:v>11</x:v>
      </x:c>
      <x:c r="L576" s="27" t="b">
        <x:v>0</x:v>
      </x:c>
      <x:c r="M576" s="25" t="str">
        <x:v>Feedback-Directed Random Test Generation/rounds/Round1/state/Jsoup.json</x:v>
      </x:c>
      <x:c r="N576" s="25" t="str">
        <x:v>Feedback-Directed Random Test Generation/Result/Jsoup_67/result.json</x:v>
      </x:c>
      <x:c r="O576" s="25" t="str">
        <x:v>Feedback-Directed Random Test Generation/Result/Jsoup_67/result.json</x:v>
      </x:c>
      <x:c r="P576"/>
      <x:c r="Q576" s="21" t="str"/>
      <x:c r="R576" s="21" t="str"/>
      <x:c r="S576" s="21" t="str"/>
      <x:c r="T576" s="17" t="str">
        <x:v>false</x:v>
      </x:c>
      <x:c r="U576" s="17" t="str">
        <x:v>true</x:v>
      </x:c>
      <x:c r="V576" s="17" t="str">
        <x:v>false</x:v>
      </x:c>
    </x:row>
    <x:row r="577" ht="80" customHeight="1">
      <x:c r="A577" s="25" t="str">
        <x:v>Jsoup</x:v>
      </x:c>
      <x:c r="B577" s="25" t="n">
        <x:v>68</x:v>
      </x:c>
      <x:c r="C577" s="25" t="str">
        <x:v>Round1</x:v>
      </x:c>
      <x:c r="D577" s="25" t="str">
        <x:v>INCONCLUSIVE</x:v>
      </x:c>
      <x:c r="E577" s="25" t="str">
        <x:v>N/A</x:v>
      </x:c>
      <x:c r="F577" s="26" t="str">
        <x:v>Fixed also failed; assertion failure cannot be attributed to this bug; Assertions failed with measured coverage; paired execution and stage checks determine status</x:v>
      </x:c>
      <x:c r="G577" s="25" t="str">
        <x:v>true</x:v>
      </x:c>
      <x:c r="H577" s="25" t="str">
        <x:v>INCONCLUSIVE</x:v>
      </x:c>
      <x:c r="I577" s="25" t="str">
        <x:v>FAIL</x:v>
      </x:c>
      <x:c r="J577" s="25" t="str">
        <x:v>FAIL</x:v>
      </x:c>
      <x:c r="K577" s="25" t="n">
        <x:v>10</x:v>
      </x:c>
      <x:c r="L577" s="27" t="b">
        <x:v>0</x:v>
      </x:c>
      <x:c r="M577" s="25" t="str">
        <x:v>Feedback-Directed Random Test Generation/rounds/Round1/state/Jsoup.json</x:v>
      </x:c>
      <x:c r="N577" s="25" t="str">
        <x:v>Feedback-Directed Random Test Generation/Result/Jsoup_68/result.json</x:v>
      </x:c>
      <x:c r="O577" s="25" t="str">
        <x:v>Feedback-Directed Random Test Generation/Result/Jsoup_68/result.json</x:v>
      </x:c>
      <x:c r="P577"/>
      <x:c r="Q577" s="21" t="str"/>
      <x:c r="R577" s="21" t="str"/>
      <x:c r="S577" s="21" t="str"/>
      <x:c r="T577" s="17" t="str">
        <x:v>false</x:v>
      </x:c>
      <x:c r="U577" s="17" t="str">
        <x:v>true</x:v>
      </x:c>
      <x:c r="V577" s="17" t="str">
        <x:v>false</x:v>
      </x:c>
    </x:row>
    <x:row r="578" ht="80" customHeight="1">
      <x:c r="A578" s="25" t="str">
        <x:v>Jsoup</x:v>
      </x:c>
      <x:c r="B578" s="25" t="n">
        <x:v>69</x:v>
      </x:c>
      <x:c r="C578" s="25" t="str">
        <x:v>Round1</x:v>
      </x:c>
      <x:c r="D578" s="25" t="str">
        <x:v>NOT_REVEALING</x:v>
      </x:c>
      <x:c r="E578" s="25" t="str">
        <x:v>N/A</x:v>
      </x:c>
      <x:c r="F578" s="26" t="str">
        <x:v>Same saved validation suite passed on buggy and fixed</x:v>
      </x:c>
      <x:c r="G578" s="25" t="str">
        <x:v>true</x:v>
      </x:c>
      <x:c r="H578" s="25" t="str">
        <x:v>NOT_REVEALING</x:v>
      </x:c>
      <x:c r="I578" s="25" t="str">
        <x:v>PASS</x:v>
      </x:c>
      <x:c r="J578" s="25" t="str">
        <x:v>PASS</x:v>
      </x:c>
      <x:c r="K578" s="25" t="n">
        <x:v>2</x:v>
      </x:c>
      <x:c r="L578" s="27" t="b">
        <x:v>0</x:v>
      </x:c>
      <x:c r="M578" s="25" t="str">
        <x:v>Feedback-Directed Random Test Generation/rounds/Round1/state/Jsoup.json</x:v>
      </x:c>
      <x:c r="N578" s="25" t="str">
        <x:v>Feedback-Directed Random Test Generation/Result/Jsoup_69/result.json</x:v>
      </x:c>
      <x:c r="O578" s="25" t="str">
        <x:v>Feedback-Directed Random Test Generation/Result/Jsoup_69/result.json</x:v>
      </x:c>
      <x:c r="P578"/>
      <x:c r="Q578" s="21" t="str"/>
      <x:c r="R578" s="21" t="str"/>
      <x:c r="S578" s="21" t="str"/>
      <x:c r="T578" s="17" t="str">
        <x:v>false</x:v>
      </x:c>
      <x:c r="U578" s="17" t="str">
        <x:v>true</x:v>
      </x:c>
      <x:c r="V578" s="17" t="str">
        <x:v>false</x:v>
      </x:c>
    </x:row>
    <x:row r="579" ht="80" customHeight="1">
      <x:c r="A579" s="25" t="str">
        <x:v>Jsoup</x:v>
      </x:c>
      <x:c r="B579" s="25" t="n">
        <x:v>70</x:v>
      </x:c>
      <x:c r="C579" s="25" t="str">
        <x:v>Round1</x:v>
      </x:c>
      <x:c r="D579" s="25" t="str">
        <x:v>INCONCLUSIVE</x:v>
      </x:c>
      <x:c r="E579" s="25" t="str">
        <x:v>N/A</x:v>
      </x:c>
      <x:c r="F579" s="26" t="str">
        <x:v>Fixed also failed; assertion failure cannot be attributed to this bug; Assertions failed with measured coverage; paired execution and stage checks determine status</x:v>
      </x:c>
      <x:c r="G579" s="25" t="str">
        <x:v>true</x:v>
      </x:c>
      <x:c r="H579" s="25" t="str">
        <x:v>INCONCLUSIVE</x:v>
      </x:c>
      <x:c r="I579" s="25" t="str">
        <x:v>FAIL</x:v>
      </x:c>
      <x:c r="J579" s="25" t="str">
        <x:v>FAIL</x:v>
      </x:c>
      <x:c r="K579" s="25" t="n">
        <x:v>11</x:v>
      </x:c>
      <x:c r="L579" s="27" t="b">
        <x:v>0</x:v>
      </x:c>
      <x:c r="M579" s="25" t="str">
        <x:v>Feedback-Directed Random Test Generation/rounds/Round1/state/Jsoup.json</x:v>
      </x:c>
      <x:c r="N579" s="25" t="str">
        <x:v>Feedback-Directed Random Test Generation/Result/Jsoup_70/result.json</x:v>
      </x:c>
      <x:c r="O579" s="25" t="str">
        <x:v>Feedback-Directed Random Test Generation/Result/Jsoup_70/result.json</x:v>
      </x:c>
      <x:c r="P579"/>
      <x:c r="Q579" s="21" t="str"/>
      <x:c r="R579" s="21" t="str"/>
      <x:c r="S579" s="21" t="str"/>
      <x:c r="T579" s="17" t="str">
        <x:v>false</x:v>
      </x:c>
      <x:c r="U579" s="17" t="str">
        <x:v>true</x:v>
      </x:c>
      <x:c r="V579" s="17" t="str">
        <x:v>false</x:v>
      </x:c>
    </x:row>
    <x:row r="580" ht="80" customHeight="1">
      <x:c r="A580" s="25" t="str">
        <x:v>Jsoup</x:v>
      </x:c>
      <x:c r="B580" s="25" t="n">
        <x:v>71</x:v>
      </x:c>
      <x:c r="C580" s="25" t="str">
        <x:v>Round1</x:v>
      </x:c>
      <x:c r="D580" s="25" t="str">
        <x:v>NOT_REVEALING</x:v>
      </x:c>
      <x:c r="E580" s="25" t="str">
        <x:v>N/A</x:v>
      </x:c>
      <x:c r="F580" s="26" t="str">
        <x:v>Same saved validation suite passed on buggy and fixed</x:v>
      </x:c>
      <x:c r="G580" s="25" t="str">
        <x:v>true</x:v>
      </x:c>
      <x:c r="H580" s="25" t="str">
        <x:v>NOT_REVEALING</x:v>
      </x:c>
      <x:c r="I580" s="25" t="str">
        <x:v>PASS</x:v>
      </x:c>
      <x:c r="J580" s="25" t="str">
        <x:v>PASS</x:v>
      </x:c>
      <x:c r="K580" s="25" t="n">
        <x:v>10</x:v>
      </x:c>
      <x:c r="L580" s="27" t="b">
        <x:v>0</x:v>
      </x:c>
      <x:c r="M580" s="25" t="str">
        <x:v>Feedback-Directed Random Test Generation/rounds/Round1/state/Jsoup.json</x:v>
      </x:c>
      <x:c r="N580" s="25" t="str">
        <x:v>Feedback-Directed Random Test Generation/Result/Jsoup_71/result.json</x:v>
      </x:c>
      <x:c r="O580" s="25" t="str">
        <x:v>Feedback-Directed Random Test Generation/Result/Jsoup_71/result.json</x:v>
      </x:c>
      <x:c r="P580"/>
      <x:c r="Q580" s="21" t="str"/>
      <x:c r="R580" s="21" t="str"/>
      <x:c r="S580" s="21" t="str"/>
      <x:c r="T580" s="17" t="str">
        <x:v>false</x:v>
      </x:c>
      <x:c r="U580" s="17" t="str">
        <x:v>true</x:v>
      </x:c>
      <x:c r="V580" s="17" t="str">
        <x:v>false</x:v>
      </x:c>
    </x:row>
    <x:row r="581" ht="80" customHeight="1">
      <x:c r="A581" s="25" t="str">
        <x:v>Jsoup</x:v>
      </x:c>
      <x:c r="B581" s="25" t="n">
        <x:v>72</x:v>
      </x:c>
      <x:c r="C581" s="25" t="str">
        <x:v>Round1</x:v>
      </x:c>
      <x:c r="D581" s="25" t="str">
        <x:v>INCONCLUSIVE</x:v>
      </x:c>
      <x:c r="E581" s="25" t="str">
        <x:v>N/A</x:v>
      </x:c>
      <x:c r="F581" s="26" t="str">
        <x:v>Fixed also failed; assertion failure cannot be attributed to this bug</x:v>
      </x:c>
      <x:c r="G581" s="25" t="str">
        <x:v>true</x:v>
      </x:c>
      <x:c r="H581" s="25" t="str">
        <x:v>INCONCLUSIVE</x:v>
      </x:c>
      <x:c r="I581" s="25" t="str">
        <x:v>PASS</x:v>
      </x:c>
      <x:c r="J581" s="25" t="str">
        <x:v>FAIL</x:v>
      </x:c>
      <x:c r="K581" s="25" t="n">
        <x:v>9</x:v>
      </x:c>
      <x:c r="L581" s="27" t="b">
        <x:v>0</x:v>
      </x:c>
      <x:c r="M581" s="25" t="str">
        <x:v>Feedback-Directed Random Test Generation/rounds/Round1/state/Jsoup.json</x:v>
      </x:c>
      <x:c r="N581" s="25" t="str">
        <x:v>Feedback-Directed Random Test Generation/Result/Jsoup_72/result.json</x:v>
      </x:c>
      <x:c r="O581" s="25" t="str">
        <x:v>Feedback-Directed Random Test Generation/Result/Jsoup_72/result.json</x:v>
      </x:c>
      <x:c r="P581"/>
      <x:c r="Q581" s="21" t="str"/>
      <x:c r="R581" s="21" t="str"/>
      <x:c r="S581" s="21" t="str"/>
      <x:c r="T581" s="17" t="str">
        <x:v>false</x:v>
      </x:c>
      <x:c r="U581" s="17" t="str">
        <x:v>true</x:v>
      </x:c>
      <x:c r="V581" s="17" t="str">
        <x:v>false</x:v>
      </x:c>
    </x:row>
    <x:row r="582" ht="80" customHeight="1">
      <x:c r="A582" s="25" t="str">
        <x:v>Jsoup</x:v>
      </x:c>
      <x:c r="B582" s="25" t="n">
        <x:v>73</x:v>
      </x:c>
      <x:c r="C582" s="25" t="str">
        <x:v>Round1</x:v>
      </x:c>
      <x:c r="D582" s="25" t="str">
        <x:v>INCONCLUSIVE</x:v>
      </x:c>
      <x:c r="E582" s="25" t="str">
        <x:v>N/A</x:v>
      </x:c>
      <x:c r="F582" s="26" t="str">
        <x:v>Fixed also failed; assertion failure cannot be attributed to this bug</x:v>
      </x:c>
      <x:c r="G582" s="25" t="str">
        <x:v>true</x:v>
      </x:c>
      <x:c r="H582" s="25" t="str">
        <x:v>INCONCLUSIVE</x:v>
      </x:c>
      <x:c r="I582" s="25" t="str">
        <x:v>PASS</x:v>
      </x:c>
      <x:c r="J582" s="25" t="str">
        <x:v>FAIL</x:v>
      </x:c>
      <x:c r="K582" s="25" t="n">
        <x:v>9</x:v>
      </x:c>
      <x:c r="L582" s="27" t="b">
        <x:v>0</x:v>
      </x:c>
      <x:c r="M582" s="25" t="str">
        <x:v>Feedback-Directed Random Test Generation/rounds/Round1/state/Jsoup.json</x:v>
      </x:c>
      <x:c r="N582" s="25" t="str">
        <x:v>Feedback-Directed Random Test Generation/Result/Jsoup_73/result.json</x:v>
      </x:c>
      <x:c r="O582" s="25" t="str">
        <x:v>Feedback-Directed Random Test Generation/Result/Jsoup_73/result.json</x:v>
      </x:c>
      <x:c r="P582"/>
      <x:c r="Q582" s="21" t="str"/>
      <x:c r="R582" s="21" t="str"/>
      <x:c r="S582" s="21" t="str"/>
      <x:c r="T582" s="17" t="str">
        <x:v>false</x:v>
      </x:c>
      <x:c r="U582" s="17" t="str">
        <x:v>true</x:v>
      </x:c>
      <x:c r="V582" s="17" t="str">
        <x:v>false</x:v>
      </x:c>
    </x:row>
    <x:row r="583" ht="80" customHeight="1">
      <x:c r="A583" s="25" t="str">
        <x:v>Jsoup</x:v>
      </x:c>
      <x:c r="B583" s="25" t="n">
        <x:v>74</x:v>
      </x:c>
      <x:c r="C583" s="25" t="str">
        <x:v>Round1</x:v>
      </x:c>
      <x:c r="D583" s="25" t="str">
        <x:v>NOT_REVEALING</x:v>
      </x:c>
      <x:c r="E583" s="25" t="str">
        <x:v>N/A</x:v>
      </x:c>
      <x:c r="F583" s="26" t="str">
        <x:v>Same saved validation suite passed on buggy and fixed</x:v>
      </x:c>
      <x:c r="G583" s="25" t="str">
        <x:v>true</x:v>
      </x:c>
      <x:c r="H583" s="25" t="str">
        <x:v>NOT_REVEALING</x:v>
      </x:c>
      <x:c r="I583" s="25" t="str">
        <x:v>PASS</x:v>
      </x:c>
      <x:c r="J583" s="25" t="str">
        <x:v>PASS</x:v>
      </x:c>
      <x:c r="K583" s="25" t="n">
        <x:v>16</x:v>
      </x:c>
      <x:c r="L583" s="27" t="b">
        <x:v>0</x:v>
      </x:c>
      <x:c r="M583" s="25" t="str">
        <x:v>Feedback-Directed Random Test Generation/rounds/Round1/state/Jsoup.json</x:v>
      </x:c>
      <x:c r="N583" s="25" t="str">
        <x:v>Feedback-Directed Random Test Generation/Result/Jsoup_74/result.json</x:v>
      </x:c>
      <x:c r="O583" s="25" t="str">
        <x:v>Feedback-Directed Random Test Generation/Result/Jsoup_74/result.json</x:v>
      </x:c>
      <x:c r="P583"/>
      <x:c r="Q583" s="21" t="str"/>
      <x:c r="R583" s="21" t="str"/>
      <x:c r="S583" s="21" t="str"/>
      <x:c r="T583" s="17" t="str">
        <x:v>false</x:v>
      </x:c>
      <x:c r="U583" s="17" t="str">
        <x:v>true</x:v>
      </x:c>
      <x:c r="V583" s="17" t="str">
        <x:v>false</x:v>
      </x:c>
    </x:row>
    <x:row r="584" ht="80" customHeight="1">
      <x:c r="A584" s="25" t="str">
        <x:v>Jsoup</x:v>
      </x:c>
      <x:c r="B584" s="25" t="n">
        <x:v>75</x:v>
      </x:c>
      <x:c r="C584" s="25" t="str">
        <x:v>Round1</x:v>
      </x:c>
      <x:c r="D584" s="25" t="str">
        <x:v>INCONCLUSIVE</x:v>
      </x:c>
      <x:c r="E584" s="25" t="str">
        <x:v>N/A</x:v>
      </x:c>
      <x:c r="F584" s="26" t="str">
        <x:v>Fixed also failed; assertion failure cannot be attributed to this bug</x:v>
      </x:c>
      <x:c r="G584" s="25" t="str">
        <x:v>true</x:v>
      </x:c>
      <x:c r="H584" s="25" t="str">
        <x:v>INCONCLUSIVE</x:v>
      </x:c>
      <x:c r="I584" s="25" t="str">
        <x:v>PASS</x:v>
      </x:c>
      <x:c r="J584" s="25" t="str">
        <x:v>FAIL</x:v>
      </x:c>
      <x:c r="K584" s="25" t="n">
        <x:v>10</x:v>
      </x:c>
      <x:c r="L584" s="27" t="b">
        <x:v>0</x:v>
      </x:c>
      <x:c r="M584" s="25" t="str">
        <x:v>Feedback-Directed Random Test Generation/rounds/Round1/state/Jsoup.json</x:v>
      </x:c>
      <x:c r="N584" s="25" t="str">
        <x:v>Feedback-Directed Random Test Generation/Result/Jsoup_75/result.json</x:v>
      </x:c>
      <x:c r="O584" s="25" t="str">
        <x:v>Feedback-Directed Random Test Generation/Result/Jsoup_75/result.json</x:v>
      </x:c>
      <x:c r="P584"/>
      <x:c r="Q584" s="21" t="str"/>
      <x:c r="R584" s="21" t="str"/>
      <x:c r="S584" s="21" t="str"/>
      <x:c r="T584" s="17" t="str">
        <x:v>false</x:v>
      </x:c>
      <x:c r="U584" s="17" t="str">
        <x:v>true</x:v>
      </x:c>
      <x:c r="V584" s="17" t="str">
        <x:v>false</x:v>
      </x:c>
    </x:row>
    <x:row r="585" ht="80" customHeight="1">
      <x:c r="A585" s="25" t="str">
        <x:v>Jsoup</x:v>
      </x:c>
      <x:c r="B585" s="25" t="n">
        <x:v>76</x:v>
      </x:c>
      <x:c r="C585" s="25" t="str">
        <x:v>Round1</x:v>
      </x:c>
      <x:c r="D585" s="25" t="str">
        <x:v>NOT_REVEALING</x:v>
      </x:c>
      <x:c r="E585" s="25" t="str">
        <x:v>N/A</x:v>
      </x:c>
      <x:c r="F585" s="26" t="str">
        <x:v>Same saved validation suite passed on buggy and fixed</x:v>
      </x:c>
      <x:c r="G585" s="25" t="str">
        <x:v>true</x:v>
      </x:c>
      <x:c r="H585" s="25" t="str">
        <x:v>NOT_REVEALING</x:v>
      </x:c>
      <x:c r="I585" s="25" t="str">
        <x:v>PASS</x:v>
      </x:c>
      <x:c r="J585" s="25" t="str">
        <x:v>PASS</x:v>
      </x:c>
      <x:c r="K585" s="25" t="n">
        <x:v>2</x:v>
      </x:c>
      <x:c r="L585" s="27" t="b">
        <x:v>0</x:v>
      </x:c>
      <x:c r="M585" s="25" t="str">
        <x:v>Feedback-Directed Random Test Generation/rounds/Round1/state/Jsoup.json</x:v>
      </x:c>
      <x:c r="N585" s="25" t="str">
        <x:v>Feedback-Directed Random Test Generation/Result/Jsoup_76/result.json</x:v>
      </x:c>
      <x:c r="O585" s="25" t="str">
        <x:v>Feedback-Directed Random Test Generation/Result/Jsoup_76/result.json</x:v>
      </x:c>
      <x:c r="P585"/>
      <x:c r="Q585" s="21" t="str"/>
      <x:c r="R585" s="21" t="str"/>
      <x:c r="S585" s="21" t="str"/>
      <x:c r="T585" s="17" t="str">
        <x:v>false</x:v>
      </x:c>
      <x:c r="U585" s="17" t="str">
        <x:v>true</x:v>
      </x:c>
      <x:c r="V585" s="17" t="str">
        <x:v>false</x:v>
      </x:c>
    </x:row>
    <x:row r="586" ht="80" customHeight="1">
      <x:c r="A586" s="25" t="str">
        <x:v>Jsoup</x:v>
      </x:c>
      <x:c r="B586" s="25" t="n">
        <x:v>77</x:v>
      </x:c>
      <x:c r="C586" s="25" t="str">
        <x:v>Round1</x:v>
      </x:c>
      <x:c r="D586" s="25" t="str">
        <x:v>NOT_REVEALING</x:v>
      </x:c>
      <x:c r="E586" s="25" t="str">
        <x:v>N/A</x:v>
      </x:c>
      <x:c r="F586" s="26" t="str">
        <x:v>Same saved validation suite passed on buggy and fixed</x:v>
      </x:c>
      <x:c r="G586" s="25" t="str">
        <x:v>true</x:v>
      </x:c>
      <x:c r="H586" s="25" t="str">
        <x:v>NOT_REVEALING</x:v>
      </x:c>
      <x:c r="I586" s="25" t="str">
        <x:v>PASS</x:v>
      </x:c>
      <x:c r="J586" s="25" t="str">
        <x:v>PASS</x:v>
      </x:c>
      <x:c r="K586" s="25" t="n">
        <x:v>9</x:v>
      </x:c>
      <x:c r="L586" s="27" t="b">
        <x:v>0</x:v>
      </x:c>
      <x:c r="M586" s="25" t="str">
        <x:v>Feedback-Directed Random Test Generation/rounds/Round1/state/Jsoup.json</x:v>
      </x:c>
      <x:c r="N586" s="25" t="str">
        <x:v>Feedback-Directed Random Test Generation/Result/Jsoup_77/result.json</x:v>
      </x:c>
      <x:c r="O586" s="25" t="str">
        <x:v>Feedback-Directed Random Test Generation/Result/Jsoup_77/result.json</x:v>
      </x:c>
      <x:c r="P586"/>
      <x:c r="Q586" s="21" t="str"/>
      <x:c r="R586" s="21" t="str"/>
      <x:c r="S586" s="21" t="str"/>
      <x:c r="T586" s="17" t="str">
        <x:v>false</x:v>
      </x:c>
      <x:c r="U586" s="17" t="str">
        <x:v>true</x:v>
      </x:c>
      <x:c r="V586" s="17" t="str">
        <x:v>false</x:v>
      </x:c>
    </x:row>
    <x:row r="587" ht="80" customHeight="1">
      <x:c r="A587" s="25" t="str">
        <x:v>Jsoup</x:v>
      </x:c>
      <x:c r="B587" s="25" t="n">
        <x:v>78</x:v>
      </x:c>
      <x:c r="C587" s="25" t="str">
        <x:v>Round1</x:v>
      </x:c>
      <x:c r="D587" s="25" t="str">
        <x:v>NOT_REVEALING</x:v>
      </x:c>
      <x:c r="E587" s="25" t="str">
        <x:v>N/A</x:v>
      </x:c>
      <x:c r="F587" s="26" t="str">
        <x:v>Same saved validation suite passed on buggy and fixed</x:v>
      </x:c>
      <x:c r="G587" s="25" t="str">
        <x:v>true</x:v>
      </x:c>
      <x:c r="H587" s="25" t="str">
        <x:v>NOT_REVEALING</x:v>
      </x:c>
      <x:c r="I587" s="25" t="str">
        <x:v>PASS</x:v>
      </x:c>
      <x:c r="J587" s="25" t="str">
        <x:v>PASS</x:v>
      </x:c>
      <x:c r="K587" s="25" t="n">
        <x:v>2</x:v>
      </x:c>
      <x:c r="L587" s="27" t="b">
        <x:v>0</x:v>
      </x:c>
      <x:c r="M587" s="25" t="str">
        <x:v>Feedback-Directed Random Test Generation/rounds/Round1/state/Jsoup.json</x:v>
      </x:c>
      <x:c r="N587" s="25" t="str">
        <x:v>Feedback-Directed Random Test Generation/Result/Jsoup_78/result.json</x:v>
      </x:c>
      <x:c r="O587" s="25" t="str">
        <x:v>Feedback-Directed Random Test Generation/Result/Jsoup_78/result.json</x:v>
      </x:c>
      <x:c r="P587"/>
      <x:c r="Q587" s="21" t="str"/>
      <x:c r="R587" s="21" t="str"/>
      <x:c r="S587" s="21" t="str"/>
      <x:c r="T587" s="17" t="str">
        <x:v>false</x:v>
      </x:c>
      <x:c r="U587" s="17" t="str">
        <x:v>true</x:v>
      </x:c>
      <x:c r="V587" s="17" t="str">
        <x:v>false</x:v>
      </x:c>
    </x:row>
    <x:row r="588" ht="80" customHeight="1">
      <x:c r="A588" s="25" t="str">
        <x:v>Jsoup</x:v>
      </x:c>
      <x:c r="B588" s="25" t="n">
        <x:v>79</x:v>
      </x:c>
      <x:c r="C588" s="25" t="str">
        <x:v>Round1</x:v>
      </x:c>
      <x:c r="D588" s="25" t="str">
        <x:v>NOT_REVEALING</x:v>
      </x:c>
      <x:c r="E588" s="25" t="str">
        <x:v>N/A</x:v>
      </x:c>
      <x:c r="F588" s="26" t="str">
        <x:v>Same saved validation suite passed on buggy and fixed</x:v>
      </x:c>
      <x:c r="G588" s="25" t="str">
        <x:v>true</x:v>
      </x:c>
      <x:c r="H588" s="25" t="str">
        <x:v>NOT_REVEALING</x:v>
      </x:c>
      <x:c r="I588" s="25" t="str">
        <x:v>PASS</x:v>
      </x:c>
      <x:c r="J588" s="25" t="str">
        <x:v>PASS</x:v>
      </x:c>
      <x:c r="K588" s="25" t="n">
        <x:v>2</x:v>
      </x:c>
      <x:c r="L588" s="27" t="b">
        <x:v>0</x:v>
      </x:c>
      <x:c r="M588" s="25" t="str">
        <x:v>Feedback-Directed Random Test Generation/rounds/Round1/state/Jsoup.json</x:v>
      </x:c>
      <x:c r="N588" s="25" t="str">
        <x:v>Feedback-Directed Random Test Generation/Result/Jsoup_79/result.json</x:v>
      </x:c>
      <x:c r="O588" s="25" t="str">
        <x:v>Feedback-Directed Random Test Generation/Result/Jsoup_79/result.json</x:v>
      </x:c>
      <x:c r="P588"/>
      <x:c r="Q588" s="21" t="str"/>
      <x:c r="R588" s="21" t="str"/>
      <x:c r="S588" s="21" t="str"/>
      <x:c r="T588" s="17" t="str">
        <x:v>false</x:v>
      </x:c>
      <x:c r="U588" s="17" t="str">
        <x:v>true</x:v>
      </x:c>
      <x:c r="V588" s="17" t="str">
        <x:v>false</x:v>
      </x:c>
    </x:row>
    <x:row r="589" ht="80" customHeight="1">
      <x:c r="A589" s="25" t="str">
        <x:v>Jsoup</x:v>
      </x:c>
      <x:c r="B589" s="25" t="n">
        <x:v>80</x:v>
      </x:c>
      <x:c r="C589" s="25" t="str">
        <x:v>Round1</x:v>
      </x:c>
      <x:c r="D589" s="25" t="str">
        <x:v>NOT_REVEALING</x:v>
      </x:c>
      <x:c r="E589" s="25" t="str">
        <x:v>N/A</x:v>
      </x:c>
      <x:c r="F589" s="26" t="str">
        <x:v>Same saved validation suite passed on buggy and fixed</x:v>
      </x:c>
      <x:c r="G589" s="25" t="str">
        <x:v>true</x:v>
      </x:c>
      <x:c r="H589" s="25" t="str">
        <x:v>NOT_REVEALING</x:v>
      </x:c>
      <x:c r="I589" s="25" t="str">
        <x:v>PASS</x:v>
      </x:c>
      <x:c r="J589" s="25" t="str">
        <x:v>PASS</x:v>
      </x:c>
      <x:c r="K589" s="25" t="n">
        <x:v>8</x:v>
      </x:c>
      <x:c r="L589" s="27" t="b">
        <x:v>0</x:v>
      </x:c>
      <x:c r="M589" s="25" t="str">
        <x:v>Feedback-Directed Random Test Generation/rounds/Round1/state/Jsoup.json</x:v>
      </x:c>
      <x:c r="N589" s="25" t="str">
        <x:v>Feedback-Directed Random Test Generation/Result/Jsoup_80/result.json</x:v>
      </x:c>
      <x:c r="O589" s="25" t="str">
        <x:v>Feedback-Directed Random Test Generation/Result/Jsoup_80/result.json</x:v>
      </x:c>
      <x:c r="P589"/>
      <x:c r="Q589" s="21" t="str"/>
      <x:c r="R589" s="21" t="str"/>
      <x:c r="S589" s="21" t="str"/>
      <x:c r="T589" s="17" t="str">
        <x:v>false</x:v>
      </x:c>
      <x:c r="U589" s="17" t="str">
        <x:v>true</x:v>
      </x:c>
      <x:c r="V589" s="17" t="str">
        <x:v>false</x:v>
      </x:c>
    </x:row>
    <x:row r="590" ht="80" customHeight="1">
      <x:c r="A590" s="25" t="str">
        <x:v>Jsoup</x:v>
      </x:c>
      <x:c r="B590" s="25" t="n">
        <x:v>81</x:v>
      </x:c>
      <x:c r="C590" s="25" t="str">
        <x:v>Round1</x:v>
      </x:c>
      <x:c r="D590" s="25" t="str">
        <x:v>NOT_REVEALING</x:v>
      </x:c>
      <x:c r="E590" s="25" t="str">
        <x:v>N/A</x:v>
      </x:c>
      <x:c r="F590" s="26" t="str">
        <x:v>Same saved validation suite passed on buggy and fixed</x:v>
      </x:c>
      <x:c r="G590" s="25" t="str">
        <x:v>true</x:v>
      </x:c>
      <x:c r="H590" s="25" t="str">
        <x:v>NOT_REVEALING</x:v>
      </x:c>
      <x:c r="I590" s="25" t="str">
        <x:v>PASS</x:v>
      </x:c>
      <x:c r="J590" s="25" t="str">
        <x:v>PASS</x:v>
      </x:c>
      <x:c r="K590" s="25" t="n">
        <x:v>2</x:v>
      </x:c>
      <x:c r="L590" s="27" t="b">
        <x:v>0</x:v>
      </x:c>
      <x:c r="M590" s="25" t="str">
        <x:v>Feedback-Directed Random Test Generation/rounds/Round1/state/Jsoup.json</x:v>
      </x:c>
      <x:c r="N590" s="25" t="str">
        <x:v>Feedback-Directed Random Test Generation/Result/Jsoup_81/result.json</x:v>
      </x:c>
      <x:c r="O590" s="25" t="str">
        <x:v>Feedback-Directed Random Test Generation/Result/Jsoup_81/result.json</x:v>
      </x:c>
      <x:c r="P590"/>
      <x:c r="Q590" s="21" t="str"/>
      <x:c r="R590" s="21" t="str"/>
      <x:c r="S590" s="21" t="str"/>
      <x:c r="T590" s="17" t="str">
        <x:v>false</x:v>
      </x:c>
      <x:c r="U590" s="17" t="str">
        <x:v>true</x:v>
      </x:c>
      <x:c r="V590" s="17" t="str">
        <x:v>false</x:v>
      </x:c>
    </x:row>
    <x:row r="591" ht="80" customHeight="1">
      <x:c r="A591" s="25" t="str">
        <x:v>Jsoup</x:v>
      </x:c>
      <x:c r="B591" s="25" t="n">
        <x:v>82</x:v>
      </x:c>
      <x:c r="C591" s="25" t="str">
        <x:v>Round1</x:v>
      </x:c>
      <x:c r="D591" s="25" t="str">
        <x:v>NOT_REVEALING</x:v>
      </x:c>
      <x:c r="E591" s="25" t="str">
        <x:v>N/A</x:v>
      </x:c>
      <x:c r="F591" s="26" t="str">
        <x:v>Same saved validation suite passed on buggy and fixed</x:v>
      </x:c>
      <x:c r="G591" s="25" t="str">
        <x:v>true</x:v>
      </x:c>
      <x:c r="H591" s="25" t="str">
        <x:v>NOT_REVEALING</x:v>
      </x:c>
      <x:c r="I591" s="25" t="str">
        <x:v>PASS</x:v>
      </x:c>
      <x:c r="J591" s="25" t="str">
        <x:v>PASS</x:v>
      </x:c>
      <x:c r="K591" s="25" t="n">
        <x:v>2</x:v>
      </x:c>
      <x:c r="L591" s="27" t="b">
        <x:v>0</x:v>
      </x:c>
      <x:c r="M591" s="25" t="str">
        <x:v>Feedback-Directed Random Test Generation/rounds/Round1/state/Jsoup.json</x:v>
      </x:c>
      <x:c r="N591" s="25" t="str">
        <x:v>Feedback-Directed Random Test Generation/Result/Jsoup_82/result.json</x:v>
      </x:c>
      <x:c r="O591" s="25" t="str">
        <x:v>Feedback-Directed Random Test Generation/Result/Jsoup_82/result.json</x:v>
      </x:c>
      <x:c r="P591"/>
      <x:c r="Q591" s="21" t="str"/>
      <x:c r="R591" s="21" t="str"/>
      <x:c r="S591" s="21" t="str"/>
      <x:c r="T591" s="17" t="str">
        <x:v>false</x:v>
      </x:c>
      <x:c r="U591" s="17" t="str">
        <x:v>true</x:v>
      </x:c>
      <x:c r="V591" s="17" t="str">
        <x:v>false</x:v>
      </x:c>
    </x:row>
    <x:row r="592" ht="80" customHeight="1">
      <x:c r="A592" s="25" t="str">
        <x:v>Jsoup</x:v>
      </x:c>
      <x:c r="B592" s="25" t="n">
        <x:v>83</x:v>
      </x:c>
      <x:c r="C592" s="25" t="str">
        <x:v>Round1</x:v>
      </x:c>
      <x:c r="D592" s="25" t="str">
        <x:v>NOT_REVEALING</x:v>
      </x:c>
      <x:c r="E592" s="25" t="str">
        <x:v>N/A</x:v>
      </x:c>
      <x:c r="F592" s="26" t="str">
        <x:v>Same saved validation suite passed on buggy and fixed</x:v>
      </x:c>
      <x:c r="G592" s="25" t="str">
        <x:v>true</x:v>
      </x:c>
      <x:c r="H592" s="25" t="str">
        <x:v>NOT_REVEALING</x:v>
      </x:c>
      <x:c r="I592" s="25" t="str">
        <x:v>PASS</x:v>
      </x:c>
      <x:c r="J592" s="25" t="str">
        <x:v>PASS</x:v>
      </x:c>
      <x:c r="K592" s="25" t="n">
        <x:v>8</x:v>
      </x:c>
      <x:c r="L592" s="27" t="b">
        <x:v>0</x:v>
      </x:c>
      <x:c r="M592" s="25" t="str">
        <x:v>Feedback-Directed Random Test Generation/rounds/Round1/state/Jsoup.json</x:v>
      </x:c>
      <x:c r="N592" s="25" t="str">
        <x:v>Feedback-Directed Random Test Generation/Result/Jsoup_83/result.json</x:v>
      </x:c>
      <x:c r="O592" s="25" t="str">
        <x:v>Feedback-Directed Random Test Generation/Result/Jsoup_83/result.json</x:v>
      </x:c>
      <x:c r="P592"/>
      <x:c r="Q592" s="21" t="str"/>
      <x:c r="R592" s="21" t="str"/>
      <x:c r="S592" s="21" t="str"/>
      <x:c r="T592" s="17" t="str">
        <x:v>false</x:v>
      </x:c>
      <x:c r="U592" s="17" t="str">
        <x:v>true</x:v>
      </x:c>
      <x:c r="V592" s="17" t="str">
        <x:v>false</x:v>
      </x:c>
    </x:row>
    <x:row r="593" ht="80" customHeight="1">
      <x:c r="A593" s="25" t="str">
        <x:v>Jsoup</x:v>
      </x:c>
      <x:c r="B593" s="25" t="n">
        <x:v>84</x:v>
      </x:c>
      <x:c r="C593" s="25" t="str">
        <x:v>Round1</x:v>
      </x:c>
      <x:c r="D593" s="25" t="str">
        <x:v>NOT_REVEALING</x:v>
      </x:c>
      <x:c r="E593" s="25" t="str">
        <x:v>N/A</x:v>
      </x:c>
      <x:c r="F593" s="26" t="str">
        <x:v>Same saved validation suite passed on buggy and fixed</x:v>
      </x:c>
      <x:c r="G593" s="25" t="str">
        <x:v>true</x:v>
      </x:c>
      <x:c r="H593" s="25" t="str">
        <x:v>NOT_REVEALING</x:v>
      </x:c>
      <x:c r="I593" s="25" t="str">
        <x:v>PASS</x:v>
      </x:c>
      <x:c r="J593" s="25" t="str">
        <x:v>PASS</x:v>
      </x:c>
      <x:c r="K593" s="25" t="n">
        <x:v>9</x:v>
      </x:c>
      <x:c r="L593" s="27" t="b">
        <x:v>0</x:v>
      </x:c>
      <x:c r="M593" s="25" t="str">
        <x:v>Feedback-Directed Random Test Generation/rounds/Round1/state/Jsoup.json</x:v>
      </x:c>
      <x:c r="N593" s="25" t="str">
        <x:v>Feedback-Directed Random Test Generation/Result/Jsoup_84/result.json</x:v>
      </x:c>
      <x:c r="O593" s="25" t="str">
        <x:v>Feedback-Directed Random Test Generation/Result/Jsoup_84/result.json</x:v>
      </x:c>
      <x:c r="P593"/>
      <x:c r="Q593" s="21" t="str"/>
      <x:c r="R593" s="21" t="str"/>
      <x:c r="S593" s="21" t="str"/>
      <x:c r="T593" s="17" t="str">
        <x:v>false</x:v>
      </x:c>
      <x:c r="U593" s="17" t="str">
        <x:v>true</x:v>
      </x:c>
      <x:c r="V593" s="17" t="str">
        <x:v>false</x:v>
      </x:c>
    </x:row>
    <x:row r="594" ht="80" customHeight="1">
      <x:c r="A594" s="25" t="str">
        <x:v>Jsoup</x:v>
      </x:c>
      <x:c r="B594" s="25" t="n">
        <x:v>85</x:v>
      </x:c>
      <x:c r="C594" s="25" t="str">
        <x:v>Round1</x:v>
      </x:c>
      <x:c r="D594" s="25" t="str">
        <x:v>INCONCLUSIVE</x:v>
      </x:c>
      <x:c r="E594" s="25" t="str">
        <x:v>N/A</x:v>
      </x:c>
      <x:c r="F594" s="26" t="str">
        <x:v>Fixed also failed; assertion failure cannot be attributed to this bug; Assertions failed with measured coverage; paired execution and stage checks determine status</x:v>
      </x:c>
      <x:c r="G594" s="25" t="str">
        <x:v>true</x:v>
      </x:c>
      <x:c r="H594" s="25" t="str">
        <x:v>INCONCLUSIVE</x:v>
      </x:c>
      <x:c r="I594" s="25" t="str">
        <x:v>FAIL</x:v>
      </x:c>
      <x:c r="J594" s="25" t="str">
        <x:v>FAIL</x:v>
      </x:c>
      <x:c r="K594" s="25" t="n">
        <x:v>15</x:v>
      </x:c>
      <x:c r="L594" s="27" t="b">
        <x:v>0</x:v>
      </x:c>
      <x:c r="M594" s="25" t="str">
        <x:v>Feedback-Directed Random Test Generation/rounds/Round1/state/Jsoup.json</x:v>
      </x:c>
      <x:c r="N594" s="25" t="str">
        <x:v>Feedback-Directed Random Test Generation/Result/Jsoup_85/result.json</x:v>
      </x:c>
      <x:c r="O594" s="25" t="str">
        <x:v>Feedback-Directed Random Test Generation/Result/Jsoup_85/result.json</x:v>
      </x:c>
      <x:c r="P594"/>
      <x:c r="Q594" s="21" t="str"/>
      <x:c r="R594" s="21" t="str"/>
      <x:c r="S594" s="21" t="str"/>
      <x:c r="T594" s="17" t="str">
        <x:v>false</x:v>
      </x:c>
      <x:c r="U594" s="17" t="str">
        <x:v>true</x:v>
      </x:c>
      <x:c r="V594" s="17" t="str">
        <x:v>false</x:v>
      </x:c>
    </x:row>
    <x:row r="595" ht="80" customHeight="1">
      <x:c r="A595" s="25" t="str">
        <x:v>Jsoup</x:v>
      </x:c>
      <x:c r="B595" s="25" t="n">
        <x:v>86</x:v>
      </x:c>
      <x:c r="C595" s="25" t="str">
        <x:v>Round1</x:v>
      </x:c>
      <x:c r="D595" s="25" t="str">
        <x:v>INCONCLUSIVE</x:v>
      </x:c>
      <x:c r="E595" s="25" t="str">
        <x:v>N/A</x:v>
      </x:c>
      <x:c r="F595" s="26" t="str">
        <x:v>Fixed also failed; assertion failure cannot be attributed to this bug; Assertions failed with measured coverage; paired execution and stage checks determine status</x:v>
      </x:c>
      <x:c r="G595" s="25" t="str">
        <x:v>true</x:v>
      </x:c>
      <x:c r="H595" s="25" t="str">
        <x:v>INCONCLUSIVE</x:v>
      </x:c>
      <x:c r="I595" s="25" t="str">
        <x:v>FAIL</x:v>
      </x:c>
      <x:c r="J595" s="25" t="str">
        <x:v>FAIL</x:v>
      </x:c>
      <x:c r="K595" s="25" t="n">
        <x:v>14</x:v>
      </x:c>
      <x:c r="L595" s="27" t="b">
        <x:v>0</x:v>
      </x:c>
      <x:c r="M595" s="25" t="str">
        <x:v>Feedback-Directed Random Test Generation/rounds/Round1/state/Jsoup.json</x:v>
      </x:c>
      <x:c r="N595" s="25" t="str">
        <x:v>Feedback-Directed Random Test Generation/Result/Jsoup_86/result.json</x:v>
      </x:c>
      <x:c r="O595" s="25" t="str">
        <x:v>Feedback-Directed Random Test Generation/Result/Jsoup_86/result.json</x:v>
      </x:c>
      <x:c r="P595"/>
      <x:c r="Q595" s="21" t="str"/>
      <x:c r="R595" s="21" t="str"/>
      <x:c r="S595" s="21" t="str"/>
      <x:c r="T595" s="17" t="str">
        <x:v>false</x:v>
      </x:c>
      <x:c r="U595" s="17" t="str">
        <x:v>true</x:v>
      </x:c>
      <x:c r="V595" s="17" t="str">
        <x:v>false</x:v>
      </x:c>
    </x:row>
    <x:row r="596" ht="80" customHeight="1">
      <x:c r="A596" s="25" t="str">
        <x:v>Jsoup</x:v>
      </x:c>
      <x:c r="B596" s="25" t="n">
        <x:v>87</x:v>
      </x:c>
      <x:c r="C596" s="25" t="str">
        <x:v>Round1</x:v>
      </x:c>
      <x:c r="D596" s="25" t="str">
        <x:v>INCONCLUSIVE</x:v>
      </x:c>
      <x:c r="E596" s="25" t="str">
        <x:v>N/A</x:v>
      </x:c>
      <x:c r="F596" s="26" t="str">
        <x:v>Fixed also failed; assertion failure cannot be attributed to this bug; Assertions failed with measured coverage; paired execution and stage checks determine status</x:v>
      </x:c>
      <x:c r="G596" s="25" t="str">
        <x:v>true</x:v>
      </x:c>
      <x:c r="H596" s="25" t="str">
        <x:v>INCONCLUSIVE</x:v>
      </x:c>
      <x:c r="I596" s="25" t="str">
        <x:v>FAIL</x:v>
      </x:c>
      <x:c r="J596" s="25" t="str">
        <x:v>FAIL</x:v>
      </x:c>
      <x:c r="K596" s="25" t="n">
        <x:v>12</x:v>
      </x:c>
      <x:c r="L596" s="27" t="b">
        <x:v>0</x:v>
      </x:c>
      <x:c r="M596" s="25" t="str">
        <x:v>Feedback-Directed Random Test Generation/rounds/Round1/state/Jsoup.json</x:v>
      </x:c>
      <x:c r="N596" s="25" t="str">
        <x:v>Feedback-Directed Random Test Generation/Result/Jsoup_87/result.json</x:v>
      </x:c>
      <x:c r="O596" s="25" t="str">
        <x:v>Feedback-Directed Random Test Generation/Result/Jsoup_87/result.json</x:v>
      </x:c>
      <x:c r="P596"/>
      <x:c r="Q596" s="21" t="str"/>
      <x:c r="R596" s="21" t="str"/>
      <x:c r="S596" s="21" t="str"/>
      <x:c r="T596" s="17" t="str">
        <x:v>false</x:v>
      </x:c>
      <x:c r="U596" s="17" t="str">
        <x:v>true</x:v>
      </x:c>
      <x:c r="V596" s="17" t="str">
        <x:v>false</x:v>
      </x:c>
    </x:row>
    <x:row r="597" ht="80" customHeight="1">
      <x:c r="A597" s="25" t="str">
        <x:v>Jsoup</x:v>
      </x:c>
      <x:c r="B597" s="25" t="n">
        <x:v>88</x:v>
      </x:c>
      <x:c r="C597" s="25" t="str">
        <x:v>Round1</x:v>
      </x:c>
      <x:c r="D597" s="25" t="str">
        <x:v>INCONCLUSIVE</x:v>
      </x:c>
      <x:c r="E597" s="25" t="str">
        <x:v>N/A</x:v>
      </x:c>
      <x:c r="F597" s="26" t="str">
        <x:v>Fixed also failed; assertion failure cannot be attributed to this bug; Assertions failed with measured coverage; paired execution and stage checks determine status</x:v>
      </x:c>
      <x:c r="G597" s="25" t="str">
        <x:v>true</x:v>
      </x:c>
      <x:c r="H597" s="25" t="str">
        <x:v>INCONCLUSIVE</x:v>
      </x:c>
      <x:c r="I597" s="25" t="str">
        <x:v>FAIL</x:v>
      </x:c>
      <x:c r="J597" s="25" t="str">
        <x:v>FAIL</x:v>
      </x:c>
      <x:c r="K597" s="25" t="n">
        <x:v>15</x:v>
      </x:c>
      <x:c r="L597" s="27" t="b">
        <x:v>0</x:v>
      </x:c>
      <x:c r="M597" s="25" t="str">
        <x:v>Feedback-Directed Random Test Generation/rounds/Round1/state/Jsoup.json</x:v>
      </x:c>
      <x:c r="N597" s="25" t="str">
        <x:v>Feedback-Directed Random Test Generation/Result/Jsoup_88/result.json</x:v>
      </x:c>
      <x:c r="O597" s="25" t="str">
        <x:v>Feedback-Directed Random Test Generation/Result/Jsoup_88/result.json</x:v>
      </x:c>
      <x:c r="P597"/>
      <x:c r="Q597" s="21" t="str"/>
      <x:c r="R597" s="21" t="str"/>
      <x:c r="S597" s="21" t="str"/>
      <x:c r="T597" s="17" t="str">
        <x:v>false</x:v>
      </x:c>
      <x:c r="U597" s="17" t="str">
        <x:v>true</x:v>
      </x:c>
      <x:c r="V597" s="17" t="str">
        <x:v>false</x:v>
      </x:c>
    </x:row>
    <x:row r="598" ht="80" customHeight="1">
      <x:c r="A598" s="25" t="str">
        <x:v>Jsoup</x:v>
      </x:c>
      <x:c r="B598" s="25" t="n">
        <x:v>89</x:v>
      </x:c>
      <x:c r="C598" s="25" t="str">
        <x:v>Round1</x:v>
      </x:c>
      <x:c r="D598" s="25" t="str">
        <x:v>INCONCLUSIVE</x:v>
      </x:c>
      <x:c r="E598" s="25" t="str">
        <x:v>N/A</x:v>
      </x:c>
      <x:c r="F598" s="26" t="str">
        <x:v>Fixed also failed; assertion failure cannot be attributed to this bug; Assertions failed with measured coverage; paired execution and stage checks determine status</x:v>
      </x:c>
      <x:c r="G598" s="25" t="str">
        <x:v>true</x:v>
      </x:c>
      <x:c r="H598" s="25" t="str">
        <x:v>INCONCLUSIVE</x:v>
      </x:c>
      <x:c r="I598" s="25" t="str">
        <x:v>FAIL</x:v>
      </x:c>
      <x:c r="J598" s="25" t="str">
        <x:v>FAIL</x:v>
      </x:c>
      <x:c r="K598" s="25" t="n">
        <x:v>15</x:v>
      </x:c>
      <x:c r="L598" s="27" t="b">
        <x:v>0</x:v>
      </x:c>
      <x:c r="M598" s="25" t="str">
        <x:v>Feedback-Directed Random Test Generation/rounds/Round1/state/Jsoup.json</x:v>
      </x:c>
      <x:c r="N598" s="25" t="str">
        <x:v>Feedback-Directed Random Test Generation/Result/Jsoup_89/result.json</x:v>
      </x:c>
      <x:c r="O598" s="25" t="str">
        <x:v>Feedback-Directed Random Test Generation/Result/Jsoup_89/result.json</x:v>
      </x:c>
      <x:c r="P598"/>
      <x:c r="Q598" s="21" t="str"/>
      <x:c r="R598" s="21" t="str"/>
      <x:c r="S598" s="21" t="str"/>
      <x:c r="T598" s="17" t="str">
        <x:v>false</x:v>
      </x:c>
      <x:c r="U598" s="17" t="str">
        <x:v>true</x:v>
      </x:c>
      <x:c r="V598" s="17" t="str">
        <x:v>false</x:v>
      </x:c>
    </x:row>
    <x:row r="599" ht="80" customHeight="1">
      <x:c r="A599" s="25" t="str">
        <x:v>Jsoup</x:v>
      </x:c>
      <x:c r="B599" s="25" t="n">
        <x:v>90</x:v>
      </x:c>
      <x:c r="C599" s="25" t="str">
        <x:v>Round1</x:v>
      </x:c>
      <x:c r="D599" s="25" t="str">
        <x:v>NOT_REVEALING</x:v>
      </x:c>
      <x:c r="E599" s="25" t="str">
        <x:v>N/A</x:v>
      </x:c>
      <x:c r="F599" s="26" t="str">
        <x:v>Same saved validation suite passed on buggy and fixed</x:v>
      </x:c>
      <x:c r="G599" s="25" t="str">
        <x:v>true</x:v>
      </x:c>
      <x:c r="H599" s="25" t="str">
        <x:v>NOT_REVEALING</x:v>
      </x:c>
      <x:c r="I599" s="25" t="str">
        <x:v>PASS</x:v>
      </x:c>
      <x:c r="J599" s="25" t="str">
        <x:v>PASS</x:v>
      </x:c>
      <x:c r="K599" s="25" t="n">
        <x:v>8</x:v>
      </x:c>
      <x:c r="L599" s="27" t="b">
        <x:v>0</x:v>
      </x:c>
      <x:c r="M599" s="25" t="str">
        <x:v>Feedback-Directed Random Test Generation/rounds/Round1/state/Jsoup.json</x:v>
      </x:c>
      <x:c r="N599" s="25" t="str">
        <x:v>Feedback-Directed Random Test Generation/Result/Jsoup_90/result.json</x:v>
      </x:c>
      <x:c r="O599" s="25" t="str">
        <x:v>Feedback-Directed Random Test Generation/Result/Jsoup_90/result.json</x:v>
      </x:c>
      <x:c r="P599"/>
      <x:c r="Q599" s="21" t="str"/>
      <x:c r="R599" s="21" t="str"/>
      <x:c r="S599" s="21" t="str"/>
      <x:c r="T599" s="17" t="str">
        <x:v>false</x:v>
      </x:c>
      <x:c r="U599" s="17" t="str">
        <x:v>true</x:v>
      </x:c>
      <x:c r="V599" s="17" t="str">
        <x:v>false</x:v>
      </x:c>
    </x:row>
    <x:row r="600" ht="80" customHeight="1">
      <x:c r="A600" s="25" t="str">
        <x:v>Jsoup</x:v>
      </x:c>
      <x:c r="B600" s="25" t="n">
        <x:v>91</x:v>
      </x:c>
      <x:c r="C600" s="25" t="str">
        <x:v>Round1</x:v>
      </x:c>
      <x:c r="D600" s="25" t="str">
        <x:v>NOT_REVEALING</x:v>
      </x:c>
      <x:c r="E600" s="25" t="str">
        <x:v>N/A</x:v>
      </x:c>
      <x:c r="F600" s="26" t="str">
        <x:v>Same saved validation suite passed on buggy and fixed</x:v>
      </x:c>
      <x:c r="G600" s="25" t="str">
        <x:v>true</x:v>
      </x:c>
      <x:c r="H600" s="25" t="str">
        <x:v>NOT_REVEALING</x:v>
      </x:c>
      <x:c r="I600" s="25" t="str">
        <x:v>PASS</x:v>
      </x:c>
      <x:c r="J600" s="25" t="str">
        <x:v>PASS</x:v>
      </x:c>
      <x:c r="K600" s="25" t="n">
        <x:v>8</x:v>
      </x:c>
      <x:c r="L600" s="27" t="b">
        <x:v>0</x:v>
      </x:c>
      <x:c r="M600" s="25" t="str">
        <x:v>Feedback-Directed Random Test Generation/rounds/Round1/state/Jsoup.json</x:v>
      </x:c>
      <x:c r="N600" s="25" t="str">
        <x:v>Feedback-Directed Random Test Generation/Result/Jsoup_91/result.json</x:v>
      </x:c>
      <x:c r="O600" s="25" t="str">
        <x:v>Feedback-Directed Random Test Generation/Result/Jsoup_91/result.json</x:v>
      </x:c>
      <x:c r="P600"/>
      <x:c r="Q600" s="21" t="str"/>
      <x:c r="R600" s="21" t="str"/>
      <x:c r="S600" s="21" t="str"/>
      <x:c r="T600" s="17" t="str">
        <x:v>false</x:v>
      </x:c>
      <x:c r="U600" s="17" t="str">
        <x:v>true</x:v>
      </x:c>
      <x:c r="V600" s="17" t="str">
        <x:v>false</x:v>
      </x:c>
    </x:row>
    <x:row r="601" ht="80" customHeight="1">
      <x:c r="A601" s="25" t="str">
        <x:v>Jsoup</x:v>
      </x:c>
      <x:c r="B601" s="25" t="n">
        <x:v>92</x:v>
      </x:c>
      <x:c r="C601" s="25" t="str">
        <x:v>Round1</x:v>
      </x:c>
      <x:c r="D601" s="25" t="str">
        <x:v>INCONCLUSIVE</x:v>
      </x:c>
      <x:c r="E601" s="25" t="str">
        <x:v>N/A</x:v>
      </x:c>
      <x:c r="F601" s="26" t="str">
        <x:v>Fixed also failed; assertion failure cannot be attributed to this bug; Assertions failed with measured coverage; paired execution and stage checks determine status</x:v>
      </x:c>
      <x:c r="G601" s="25" t="str">
        <x:v>true</x:v>
      </x:c>
      <x:c r="H601" s="25" t="str">
        <x:v>INCONCLUSIVE</x:v>
      </x:c>
      <x:c r="I601" s="25" t="str">
        <x:v>FAIL</x:v>
      </x:c>
      <x:c r="J601" s="25" t="str">
        <x:v>FAIL</x:v>
      </x:c>
      <x:c r="K601" s="25" t="n">
        <x:v>12</x:v>
      </x:c>
      <x:c r="L601" s="27" t="b">
        <x:v>0</x:v>
      </x:c>
      <x:c r="M601" s="25" t="str">
        <x:v>Feedback-Directed Random Test Generation/rounds/Round1/state/Jsoup.json</x:v>
      </x:c>
      <x:c r="N601" s="25" t="str">
        <x:v>Feedback-Directed Random Test Generation/Result/Jsoup_92/result.json</x:v>
      </x:c>
      <x:c r="O601" s="25" t="str">
        <x:v>Feedback-Directed Random Test Generation/Result/Jsoup_92/result.json</x:v>
      </x:c>
      <x:c r="P601"/>
      <x:c r="Q601" s="21" t="str"/>
      <x:c r="R601" s="21" t="str"/>
      <x:c r="S601" s="21" t="str"/>
      <x:c r="T601" s="17" t="str">
        <x:v>false</x:v>
      </x:c>
      <x:c r="U601" s="17" t="str">
        <x:v>true</x:v>
      </x:c>
      <x:c r="V601" s="17" t="str">
        <x:v>false</x:v>
      </x:c>
    </x:row>
    <x:row r="602" ht="80" customHeight="1">
      <x:c r="A602" s="25" t="str">
        <x:v>Jsoup</x:v>
      </x:c>
      <x:c r="B602" s="25" t="n">
        <x:v>93</x:v>
      </x:c>
      <x:c r="C602" s="25" t="str">
        <x:v>Round1</x:v>
      </x:c>
      <x:c r="D602" s="25" t="str">
        <x:v>NOT_REVEALING</x:v>
      </x:c>
      <x:c r="E602" s="25" t="str">
        <x:v>N/A</x:v>
      </x:c>
      <x:c r="F602" s="26" t="str">
        <x:v>Same saved validation suite passed on buggy and fixed</x:v>
      </x:c>
      <x:c r="G602" s="25" t="str">
        <x:v>true</x:v>
      </x:c>
      <x:c r="H602" s="25" t="str">
        <x:v>NOT_REVEALING</x:v>
      </x:c>
      <x:c r="I602" s="25" t="str">
        <x:v>PASS</x:v>
      </x:c>
      <x:c r="J602" s="25" t="str">
        <x:v>PASS</x:v>
      </x:c>
      <x:c r="K602" s="25" t="n">
        <x:v>2</x:v>
      </x:c>
      <x:c r="L602" s="27" t="b">
        <x:v>0</x:v>
      </x:c>
      <x:c r="M602" s="25" t="str">
        <x:v>Feedback-Directed Random Test Generation/rounds/Round1/state/Jsoup.json</x:v>
      </x:c>
      <x:c r="N602" s="25" t="str">
        <x:v>Feedback-Directed Random Test Generation/Result/Jsoup_93/result.json</x:v>
      </x:c>
      <x:c r="O602" s="25" t="str">
        <x:v>Feedback-Directed Random Test Generation/Result/Jsoup_93/result.json</x:v>
      </x:c>
      <x:c r="P602"/>
      <x:c r="Q602" s="21" t="str"/>
      <x:c r="R602" s="21" t="str"/>
      <x:c r="S602" s="21" t="str"/>
      <x:c r="T602" s="17" t="str">
        <x:v>false</x:v>
      </x:c>
      <x:c r="U602" s="17" t="str">
        <x:v>true</x:v>
      </x:c>
      <x:c r="V602" s="17" t="str">
        <x:v>false</x:v>
      </x:c>
    </x:row>
    <x:row r="603" ht="80" customHeight="1">
      <x:c r="A603" s="25" t="str">
        <x:v>JxPath</x:v>
      </x:c>
      <x:c r="B603" s="25" t="n">
        <x:v>1</x:v>
      </x:c>
      <x:c r="C603" s="25" t="str">
        <x:v>Round1</x:v>
      </x:c>
      <x:c r="D603" s="25" t="str">
        <x:v>NOT_REVEALING</x:v>
      </x:c>
      <x:c r="E603" s="25" t="str">
        <x:v>N/A</x:v>
      </x:c>
      <x:c r="F603" s="26" t="str">
        <x:v>Same saved validation suite passed on buggy and fixed</x:v>
      </x:c>
      <x:c r="G603" s="25" t="str">
        <x:v>true</x:v>
      </x:c>
      <x:c r="H603" s="25" t="str">
        <x:v>NOT_REVEALING</x:v>
      </x:c>
      <x:c r="I603" s="25" t="str">
        <x:v>PASS</x:v>
      </x:c>
      <x:c r="J603" s="25" t="str">
        <x:v>PASS</x:v>
      </x:c>
      <x:c r="K603" s="25" t="n">
        <x:v>2</x:v>
      </x:c>
      <x:c r="L603" s="27" t="b">
        <x:v>0</x:v>
      </x:c>
      <x:c r="M603" s="25" t="str">
        <x:v>Feedback-Directed Random Test Generation/rounds/Round1/state/JxPath.json</x:v>
      </x:c>
      <x:c r="N603" s="25" t="str">
        <x:v>Feedback-Directed Random Test Generation/Result/JxPath_1/result.json</x:v>
      </x:c>
      <x:c r="O603" s="25" t="str">
        <x:v>Feedback-Directed Random Test Generation/Result/JxPath_1/result.json</x:v>
      </x:c>
      <x:c r="P603"/>
      <x:c r="Q603" s="21" t="str"/>
      <x:c r="R603" s="21" t="str"/>
      <x:c r="S603" s="21" t="str"/>
      <x:c r="T603" s="17" t="str">
        <x:v>false</x:v>
      </x:c>
      <x:c r="U603" s="17" t="str">
        <x:v>true</x:v>
      </x:c>
      <x:c r="V603" s="17" t="str">
        <x:v>false</x:v>
      </x:c>
    </x:row>
    <x:row r="604" ht="80" customHeight="1">
      <x:c r="A604" s="25" t="str">
        <x:v>JxPath</x:v>
      </x:c>
      <x:c r="B604" s="25" t="n">
        <x:v>2</x:v>
      </x:c>
      <x:c r="C604" s="25" t="str">
        <x:v>Round1</x:v>
      </x:c>
      <x:c r="D604" s="25" t="str">
        <x:v>NOT_REVEALING</x:v>
      </x:c>
      <x:c r="E604" s="25" t="str">
        <x:v>N/A</x:v>
      </x:c>
      <x:c r="F604" s="26" t="str">
        <x:v>Same saved validation suite passed on buggy and fixed</x:v>
      </x:c>
      <x:c r="G604" s="25" t="str">
        <x:v>true</x:v>
      </x:c>
      <x:c r="H604" s="25" t="str">
        <x:v>NOT_REVEALING</x:v>
      </x:c>
      <x:c r="I604" s="25" t="str">
        <x:v>PASS</x:v>
      </x:c>
      <x:c r="J604" s="25" t="str">
        <x:v>PASS</x:v>
      </x:c>
      <x:c r="K604" s="25" t="n">
        <x:v>2</x:v>
      </x:c>
      <x:c r="L604" s="27" t="b">
        <x:v>0</x:v>
      </x:c>
      <x:c r="M604" s="25" t="str">
        <x:v>Feedback-Directed Random Test Generation/rounds/Round1/state/JxPath.json</x:v>
      </x:c>
      <x:c r="N604" s="25" t="str">
        <x:v>Feedback-Directed Random Test Generation/Result/JxPath_2/result.json</x:v>
      </x:c>
      <x:c r="O604" s="25" t="str">
        <x:v>Feedback-Directed Random Test Generation/Result/JxPath_2/result.json</x:v>
      </x:c>
      <x:c r="P604"/>
      <x:c r="Q604" s="21" t="str"/>
      <x:c r="R604" s="21" t="str"/>
      <x:c r="S604" s="21" t="str"/>
      <x:c r="T604" s="17" t="str">
        <x:v>false</x:v>
      </x:c>
      <x:c r="U604" s="17" t="str">
        <x:v>true</x:v>
      </x:c>
      <x:c r="V604" s="17" t="str">
        <x:v>false</x:v>
      </x:c>
    </x:row>
    <x:row r="605" ht="80" customHeight="1">
      <x:c r="A605" s="25" t="str">
        <x:v>JxPath</x:v>
      </x:c>
      <x:c r="B605" s="25" t="n">
        <x:v>3</x:v>
      </x:c>
      <x:c r="C605" s="25" t="str">
        <x:v>Round1</x:v>
      </x:c>
      <x:c r="D605" s="25" t="str">
        <x:v>NOT_REVEALING</x:v>
      </x:c>
      <x:c r="E605" s="25" t="str">
        <x:v>N/A</x:v>
      </x:c>
      <x:c r="F605" s="26" t="str">
        <x:v>Same saved validation suite passed on buggy and fixed</x:v>
      </x:c>
      <x:c r="G605" s="25" t="str">
        <x:v>true</x:v>
      </x:c>
      <x:c r="H605" s="25" t="str">
        <x:v>NOT_REVEALING</x:v>
      </x:c>
      <x:c r="I605" s="25" t="str">
        <x:v>PASS</x:v>
      </x:c>
      <x:c r="J605" s="25" t="str">
        <x:v>PASS</x:v>
      </x:c>
      <x:c r="K605" s="25" t="n">
        <x:v>2</x:v>
      </x:c>
      <x:c r="L605" s="27" t="b">
        <x:v>0</x:v>
      </x:c>
      <x:c r="M605" s="25" t="str">
        <x:v>Feedback-Directed Random Test Generation/rounds/Round1/state/JxPath.json</x:v>
      </x:c>
      <x:c r="N605" s="25" t="str">
        <x:v>Feedback-Directed Random Test Generation/Result/JxPath_3/result.json</x:v>
      </x:c>
      <x:c r="O605" s="25" t="str">
        <x:v>Feedback-Directed Random Test Generation/Result/JxPath_3/result.json</x:v>
      </x:c>
      <x:c r="P605"/>
      <x:c r="Q605" s="21" t="str"/>
      <x:c r="R605" s="21" t="str"/>
      <x:c r="S605" s="21" t="str"/>
      <x:c r="T605" s="17" t="str">
        <x:v>false</x:v>
      </x:c>
      <x:c r="U605" s="17" t="str">
        <x:v>true</x:v>
      </x:c>
      <x:c r="V605" s="17" t="str">
        <x:v>false</x:v>
      </x:c>
    </x:row>
    <x:row r="606" ht="80" customHeight="1">
      <x:c r="A606" s="25" t="str">
        <x:v>JxPath</x:v>
      </x:c>
      <x:c r="B606" s="25" t="n">
        <x:v>4</x:v>
      </x:c>
      <x:c r="C606" s="25" t="str">
        <x:v>Round1</x:v>
      </x:c>
      <x:c r="D606" s="25" t="str">
        <x:v>NOT_REVEALING</x:v>
      </x:c>
      <x:c r="E606" s="25" t="str">
        <x:v>N/A</x:v>
      </x:c>
      <x:c r="F606" s="26" t="str">
        <x:v>Same saved validation suite passed on buggy and fixed</x:v>
      </x:c>
      <x:c r="G606" s="25" t="str">
        <x:v>true</x:v>
      </x:c>
      <x:c r="H606" s="25" t="str">
        <x:v>NOT_REVEALING</x:v>
      </x:c>
      <x:c r="I606" s="25" t="str">
        <x:v>PASS</x:v>
      </x:c>
      <x:c r="J606" s="25" t="str">
        <x:v>PASS</x:v>
      </x:c>
      <x:c r="K606" s="25" t="n">
        <x:v>2</x:v>
      </x:c>
      <x:c r="L606" s="27" t="b">
        <x:v>0</x:v>
      </x:c>
      <x:c r="M606" s="25" t="str">
        <x:v>Feedback-Directed Random Test Generation/rounds/Round1/state/JxPath.json</x:v>
      </x:c>
      <x:c r="N606" s="25" t="str">
        <x:v>Feedback-Directed Random Test Generation/Result/JxPath_4/result.json</x:v>
      </x:c>
      <x:c r="O606" s="25" t="str">
        <x:v>Feedback-Directed Random Test Generation/Result/JxPath_4/result.json</x:v>
      </x:c>
      <x:c r="P606"/>
      <x:c r="Q606" s="21" t="str"/>
      <x:c r="R606" s="21" t="str"/>
      <x:c r="S606" s="21" t="str"/>
      <x:c r="T606" s="17" t="str">
        <x:v>false</x:v>
      </x:c>
      <x:c r="U606" s="17" t="str">
        <x:v>true</x:v>
      </x:c>
      <x:c r="V606" s="17" t="str">
        <x:v>false</x:v>
      </x:c>
    </x:row>
    <x:row r="607" ht="80" customHeight="1">
      <x:c r="A607" s="25" t="str">
        <x:v>JxPath</x:v>
      </x:c>
      <x:c r="B607" s="25" t="n">
        <x:v>5</x:v>
      </x:c>
      <x:c r="C607" s="25" t="str">
        <x:v>Round1</x:v>
      </x:c>
      <x:c r="D607" s="25" t="str">
        <x:v>NOT_REVEALING</x:v>
      </x:c>
      <x:c r="E607" s="25" t="str">
        <x:v>N/A</x:v>
      </x:c>
      <x:c r="F607" s="26" t="str">
        <x:v>Same saved validation suite passed on buggy and fixed</x:v>
      </x:c>
      <x:c r="G607" s="25" t="str">
        <x:v>true</x:v>
      </x:c>
      <x:c r="H607" s="25" t="str">
        <x:v>NOT_REVEALING</x:v>
      </x:c>
      <x:c r="I607" s="25" t="str">
        <x:v>PASS</x:v>
      </x:c>
      <x:c r="J607" s="25" t="str">
        <x:v>PASS</x:v>
      </x:c>
      <x:c r="K607" s="25" t="n">
        <x:v>2</x:v>
      </x:c>
      <x:c r="L607" s="27" t="b">
        <x:v>0</x:v>
      </x:c>
      <x:c r="M607" s="25" t="str">
        <x:v>Feedback-Directed Random Test Generation/rounds/Round1/state/JxPath.json</x:v>
      </x:c>
      <x:c r="N607" s="25" t="str">
        <x:v>Feedback-Directed Random Test Generation/Result/JxPath_5/result.json</x:v>
      </x:c>
      <x:c r="O607" s="25" t="str">
        <x:v>Feedback-Directed Random Test Generation/Result/JxPath_5/result.json</x:v>
      </x:c>
      <x:c r="P607"/>
      <x:c r="Q607" s="21" t="str"/>
      <x:c r="R607" s="21" t="str"/>
      <x:c r="S607" s="21" t="str"/>
      <x:c r="T607" s="17" t="str">
        <x:v>false</x:v>
      </x:c>
      <x:c r="U607" s="17" t="str">
        <x:v>true</x:v>
      </x:c>
      <x:c r="V607" s="17" t="str">
        <x:v>false</x:v>
      </x:c>
    </x:row>
    <x:row r="608" ht="80" customHeight="1">
      <x:c r="A608" s="25" t="str">
        <x:v>JxPath</x:v>
      </x:c>
      <x:c r="B608" s="25" t="n">
        <x:v>6</x:v>
      </x:c>
      <x:c r="C608" s="25" t="str">
        <x:v>Round1</x:v>
      </x:c>
      <x:c r="D608" s="25" t="str">
        <x:v>NOT_REVEALING</x:v>
      </x:c>
      <x:c r="E608" s="25" t="str">
        <x:v>N/A</x:v>
      </x:c>
      <x:c r="F608" s="26" t="str">
        <x:v>Same saved validation suite passed on buggy and fixed</x:v>
      </x:c>
      <x:c r="G608" s="25" t="str">
        <x:v>true</x:v>
      </x:c>
      <x:c r="H608" s="25" t="str">
        <x:v>NOT_REVEALING</x:v>
      </x:c>
      <x:c r="I608" s="25" t="str">
        <x:v>PASS</x:v>
      </x:c>
      <x:c r="J608" s="25" t="str">
        <x:v>PASS</x:v>
      </x:c>
      <x:c r="K608" s="25" t="n">
        <x:v>2</x:v>
      </x:c>
      <x:c r="L608" s="27" t="b">
        <x:v>0</x:v>
      </x:c>
      <x:c r="M608" s="25" t="str">
        <x:v>Feedback-Directed Random Test Generation/rounds/Round1/state/JxPath.json</x:v>
      </x:c>
      <x:c r="N608" s="25" t="str">
        <x:v>Feedback-Directed Random Test Generation/Result/JxPath_6/result.json</x:v>
      </x:c>
      <x:c r="O608" s="25" t="str">
        <x:v>Feedback-Directed Random Test Generation/Result/JxPath_6/result.json</x:v>
      </x:c>
      <x:c r="P608"/>
      <x:c r="Q608" s="21" t="str"/>
      <x:c r="R608" s="21" t="str"/>
      <x:c r="S608" s="21" t="str"/>
      <x:c r="T608" s="17" t="str">
        <x:v>false</x:v>
      </x:c>
      <x:c r="U608" s="17" t="str">
        <x:v>true</x:v>
      </x:c>
      <x:c r="V608" s="17" t="str">
        <x:v>false</x:v>
      </x:c>
    </x:row>
    <x:row r="609" ht="80" customHeight="1">
      <x:c r="A609" s="25" t="str">
        <x:v>JxPath</x:v>
      </x:c>
      <x:c r="B609" s="25" t="n">
        <x:v>7</x:v>
      </x:c>
      <x:c r="C609" s="25" t="str">
        <x:v>Round1</x:v>
      </x:c>
      <x:c r="D609" s="25" t="str">
        <x:v>NOT_REVEALING</x:v>
      </x:c>
      <x:c r="E609" s="25" t="str">
        <x:v>N/A</x:v>
      </x:c>
      <x:c r="F609" s="26" t="str">
        <x:v>Same saved validation suite passed on buggy and fixed</x:v>
      </x:c>
      <x:c r="G609" s="25" t="str">
        <x:v>true</x:v>
      </x:c>
      <x:c r="H609" s="25" t="str">
        <x:v>NOT_REVEALING</x:v>
      </x:c>
      <x:c r="I609" s="25" t="str">
        <x:v>PASS</x:v>
      </x:c>
      <x:c r="J609" s="25" t="str">
        <x:v>PASS</x:v>
      </x:c>
      <x:c r="K609" s="25" t="n">
        <x:v>2</x:v>
      </x:c>
      <x:c r="L609" s="27" t="b">
        <x:v>0</x:v>
      </x:c>
      <x:c r="M609" s="25" t="str">
        <x:v>Feedback-Directed Random Test Generation/rounds/Round1/state/JxPath.json</x:v>
      </x:c>
      <x:c r="N609" s="25" t="str">
        <x:v>Feedback-Directed Random Test Generation/Result/JxPath_7/result.json</x:v>
      </x:c>
      <x:c r="O609" s="25" t="str">
        <x:v>Feedback-Directed Random Test Generation/Result/JxPath_7/result.json</x:v>
      </x:c>
      <x:c r="P609"/>
      <x:c r="Q609" s="21" t="str"/>
      <x:c r="R609" s="21" t="str"/>
      <x:c r="S609" s="21" t="str"/>
      <x:c r="T609" s="17" t="str">
        <x:v>false</x:v>
      </x:c>
      <x:c r="U609" s="17" t="str">
        <x:v>true</x:v>
      </x:c>
      <x:c r="V609" s="17" t="str">
        <x:v>false</x:v>
      </x:c>
    </x:row>
    <x:row r="610" ht="80" customHeight="1">
      <x:c r="A610" s="25" t="str">
        <x:v>JxPath</x:v>
      </x:c>
      <x:c r="B610" s="25" t="n">
        <x:v>8</x:v>
      </x:c>
      <x:c r="C610" s="25" t="str">
        <x:v>Round1</x:v>
      </x:c>
      <x:c r="D610" s="25" t="str">
        <x:v>NOT_REVEALING</x:v>
      </x:c>
      <x:c r="E610" s="25" t="str">
        <x:v>N/A</x:v>
      </x:c>
      <x:c r="F610" s="26" t="str">
        <x:v>Same saved validation suite passed on buggy and fixed</x:v>
      </x:c>
      <x:c r="G610" s="25" t="str">
        <x:v>true</x:v>
      </x:c>
      <x:c r="H610" s="25" t="str">
        <x:v>NOT_REVEALING</x:v>
      </x:c>
      <x:c r="I610" s="25" t="str">
        <x:v>PASS</x:v>
      </x:c>
      <x:c r="J610" s="25" t="str">
        <x:v>PASS</x:v>
      </x:c>
      <x:c r="K610" s="25" t="n">
        <x:v>2</x:v>
      </x:c>
      <x:c r="L610" s="27" t="b">
        <x:v>0</x:v>
      </x:c>
      <x:c r="M610" s="25" t="str">
        <x:v>Feedback-Directed Random Test Generation/rounds/Round1/state/JxPath.json</x:v>
      </x:c>
      <x:c r="N610" s="25" t="str">
        <x:v>Feedback-Directed Random Test Generation/Result/JxPath_8/result.json</x:v>
      </x:c>
      <x:c r="O610" s="25" t="str">
        <x:v>Feedback-Directed Random Test Generation/Result/JxPath_8/result.json</x:v>
      </x:c>
      <x:c r="P610"/>
      <x:c r="Q610" s="21" t="str"/>
      <x:c r="R610" s="21" t="str"/>
      <x:c r="S610" s="21" t="str"/>
      <x:c r="T610" s="17" t="str">
        <x:v>false</x:v>
      </x:c>
      <x:c r="U610" s="17" t="str">
        <x:v>true</x:v>
      </x:c>
      <x:c r="V610" s="17" t="str">
        <x:v>false</x:v>
      </x:c>
    </x:row>
    <x:row r="611" ht="80" customHeight="1">
      <x:c r="A611" s="25" t="str">
        <x:v>JxPath</x:v>
      </x:c>
      <x:c r="B611" s="25" t="n">
        <x:v>9</x:v>
      </x:c>
      <x:c r="C611" s="25" t="str">
        <x:v>Round1</x:v>
      </x:c>
      <x:c r="D611" s="25" t="str">
        <x:v>NOT_REVEALING</x:v>
      </x:c>
      <x:c r="E611" s="25" t="str">
        <x:v>N/A</x:v>
      </x:c>
      <x:c r="F611" s="26" t="str">
        <x:v>Same saved validation suite passed on buggy and fixed</x:v>
      </x:c>
      <x:c r="G611" s="25" t="str">
        <x:v>true</x:v>
      </x:c>
      <x:c r="H611" s="25" t="str">
        <x:v>NOT_REVEALING</x:v>
      </x:c>
      <x:c r="I611" s="25" t="str">
        <x:v>PASS</x:v>
      </x:c>
      <x:c r="J611" s="25" t="str">
        <x:v>PASS</x:v>
      </x:c>
      <x:c r="K611" s="25" t="n">
        <x:v>2</x:v>
      </x:c>
      <x:c r="L611" s="27" t="b">
        <x:v>0</x:v>
      </x:c>
      <x:c r="M611" s="25" t="str">
        <x:v>Feedback-Directed Random Test Generation/rounds/Round1/state/JxPath.json</x:v>
      </x:c>
      <x:c r="N611" s="25" t="str">
        <x:v>Feedback-Directed Random Test Generation/Result/JxPath_9/result.json</x:v>
      </x:c>
      <x:c r="O611" s="25" t="str">
        <x:v>Feedback-Directed Random Test Generation/Result/JxPath_9/result.json</x:v>
      </x:c>
      <x:c r="P611"/>
      <x:c r="Q611" s="21" t="str"/>
      <x:c r="R611" s="21" t="str"/>
      <x:c r="S611" s="21" t="str"/>
      <x:c r="T611" s="17" t="str">
        <x:v>false</x:v>
      </x:c>
      <x:c r="U611" s="17" t="str">
        <x:v>true</x:v>
      </x:c>
      <x:c r="V611" s="17" t="str">
        <x:v>false</x:v>
      </x:c>
    </x:row>
    <x:row r="612" ht="80" customHeight="1">
      <x:c r="A612" s="25" t="str">
        <x:v>JxPath</x:v>
      </x:c>
      <x:c r="B612" s="25" t="n">
        <x:v>10</x:v>
      </x:c>
      <x:c r="C612" s="25" t="str">
        <x:v>Round1</x:v>
      </x:c>
      <x:c r="D612" s="25" t="str">
        <x:v>NOT_REVEALING</x:v>
      </x:c>
      <x:c r="E612" s="25" t="str">
        <x:v>N/A</x:v>
      </x:c>
      <x:c r="F612" s="26" t="str">
        <x:v>Same saved validation suite passed on buggy and fixed</x:v>
      </x:c>
      <x:c r="G612" s="25" t="str">
        <x:v>true</x:v>
      </x:c>
      <x:c r="H612" s="25" t="str">
        <x:v>NOT_REVEALING</x:v>
      </x:c>
      <x:c r="I612" s="25" t="str">
        <x:v>PASS</x:v>
      </x:c>
      <x:c r="J612" s="25" t="str">
        <x:v>PASS</x:v>
      </x:c>
      <x:c r="K612" s="25" t="n">
        <x:v>2</x:v>
      </x:c>
      <x:c r="L612" s="27" t="b">
        <x:v>0</x:v>
      </x:c>
      <x:c r="M612" s="25" t="str">
        <x:v>Feedback-Directed Random Test Generation/rounds/Round1/state/JxPath.json</x:v>
      </x:c>
      <x:c r="N612" s="25" t="str">
        <x:v>Feedback-Directed Random Test Generation/Result/JxPath_10/result.json</x:v>
      </x:c>
      <x:c r="O612" s="25" t="str">
        <x:v>Feedback-Directed Random Test Generation/Result/JxPath_10/result.json</x:v>
      </x:c>
      <x:c r="P612"/>
      <x:c r="Q612" s="21" t="str"/>
      <x:c r="R612" s="21" t="str"/>
      <x:c r="S612" s="21" t="str"/>
      <x:c r="T612" s="17" t="str">
        <x:v>false</x:v>
      </x:c>
      <x:c r="U612" s="17" t="str">
        <x:v>true</x:v>
      </x:c>
      <x:c r="V612" s="17" t="str">
        <x:v>false</x:v>
      </x:c>
    </x:row>
    <x:row r="613" ht="80" customHeight="1">
      <x:c r="A613" s="25" t="str">
        <x:v>JxPath</x:v>
      </x:c>
      <x:c r="B613" s="25" t="n">
        <x:v>11</x:v>
      </x:c>
      <x:c r="C613" s="25" t="str">
        <x:v>Round1</x:v>
      </x:c>
      <x:c r="D613" s="25" t="str">
        <x:v>NOT_REVEALING</x:v>
      </x:c>
      <x:c r="E613" s="25" t="str">
        <x:v>N/A</x:v>
      </x:c>
      <x:c r="F613" s="26" t="str">
        <x:v>Same saved validation suite passed on buggy and fixed</x:v>
      </x:c>
      <x:c r="G613" s="25" t="str">
        <x:v>true</x:v>
      </x:c>
      <x:c r="H613" s="25" t="str">
        <x:v>NOT_REVEALING</x:v>
      </x:c>
      <x:c r="I613" s="25" t="str">
        <x:v>PASS</x:v>
      </x:c>
      <x:c r="J613" s="25" t="str">
        <x:v>PASS</x:v>
      </x:c>
      <x:c r="K613" s="25" t="n">
        <x:v>2</x:v>
      </x:c>
      <x:c r="L613" s="27" t="b">
        <x:v>0</x:v>
      </x:c>
      <x:c r="M613" s="25" t="str">
        <x:v>Feedback-Directed Random Test Generation/rounds/Round1/state/JxPath.json</x:v>
      </x:c>
      <x:c r="N613" s="25" t="str">
        <x:v>Feedback-Directed Random Test Generation/Result/JxPath_11/result.json</x:v>
      </x:c>
      <x:c r="O613" s="25" t="str">
        <x:v>Feedback-Directed Random Test Generation/Result/JxPath_11/result.json</x:v>
      </x:c>
      <x:c r="P613"/>
      <x:c r="Q613" s="21" t="str"/>
      <x:c r="R613" s="21" t="str"/>
      <x:c r="S613" s="21" t="str"/>
      <x:c r="T613" s="17" t="str">
        <x:v>false</x:v>
      </x:c>
      <x:c r="U613" s="17" t="str">
        <x:v>true</x:v>
      </x:c>
      <x:c r="V613" s="17" t="str">
        <x:v>false</x:v>
      </x:c>
    </x:row>
    <x:row r="614" ht="80" customHeight="1">
      <x:c r="A614" s="25" t="str">
        <x:v>JxPath</x:v>
      </x:c>
      <x:c r="B614" s="25" t="n">
        <x:v>12</x:v>
      </x:c>
      <x:c r="C614" s="25" t="str">
        <x:v>Round1</x:v>
      </x:c>
      <x:c r="D614" s="25" t="str">
        <x:v>NOT_REVEALING</x:v>
      </x:c>
      <x:c r="E614" s="25" t="str">
        <x:v>N/A</x:v>
      </x:c>
      <x:c r="F614" s="26" t="str">
        <x:v>Same saved validation suite passed on buggy and fixed</x:v>
      </x:c>
      <x:c r="G614" s="25" t="str">
        <x:v>true</x:v>
      </x:c>
      <x:c r="H614" s="25" t="str">
        <x:v>NOT_REVEALING</x:v>
      </x:c>
      <x:c r="I614" s="25" t="str">
        <x:v>PASS</x:v>
      </x:c>
      <x:c r="J614" s="25" t="str">
        <x:v>PASS</x:v>
      </x:c>
      <x:c r="K614" s="25" t="n">
        <x:v>2</x:v>
      </x:c>
      <x:c r="L614" s="27" t="b">
        <x:v>0</x:v>
      </x:c>
      <x:c r="M614" s="25" t="str">
        <x:v>Feedback-Directed Random Test Generation/rounds/Round1/state/JxPath.json</x:v>
      </x:c>
      <x:c r="N614" s="25" t="str">
        <x:v>Feedback-Directed Random Test Generation/Result/JxPath_12/result.json</x:v>
      </x:c>
      <x:c r="O614" s="25" t="str">
        <x:v>Feedback-Directed Random Test Generation/Result/JxPath_12/result.json</x:v>
      </x:c>
      <x:c r="P614"/>
      <x:c r="Q614" s="21" t="str"/>
      <x:c r="R614" s="21" t="str"/>
      <x:c r="S614" s="21" t="str"/>
      <x:c r="T614" s="17" t="str">
        <x:v>false</x:v>
      </x:c>
      <x:c r="U614" s="17" t="str">
        <x:v>true</x:v>
      </x:c>
      <x:c r="V614" s="17" t="str">
        <x:v>false</x:v>
      </x:c>
    </x:row>
    <x:row r="615" ht="80" customHeight="1">
      <x:c r="A615" s="25" t="str">
        <x:v>JxPath</x:v>
      </x:c>
      <x:c r="B615" s="25" t="n">
        <x:v>13</x:v>
      </x:c>
      <x:c r="C615" s="25" t="str">
        <x:v>Round1</x:v>
      </x:c>
      <x:c r="D615" s="25" t="str">
        <x:v>NOT_REVEALING</x:v>
      </x:c>
      <x:c r="E615" s="25" t="str">
        <x:v>N/A</x:v>
      </x:c>
      <x:c r="F615" s="26" t="str">
        <x:v>Same saved validation suite passed on buggy and fixed</x:v>
      </x:c>
      <x:c r="G615" s="25" t="str">
        <x:v>true</x:v>
      </x:c>
      <x:c r="H615" s="25" t="str">
        <x:v>NOT_REVEALING</x:v>
      </x:c>
      <x:c r="I615" s="25" t="str">
        <x:v>PASS</x:v>
      </x:c>
      <x:c r="J615" s="25" t="str">
        <x:v>PASS</x:v>
      </x:c>
      <x:c r="K615" s="25" t="n">
        <x:v>2</x:v>
      </x:c>
      <x:c r="L615" s="27" t="b">
        <x:v>0</x:v>
      </x:c>
      <x:c r="M615" s="25" t="str">
        <x:v>Feedback-Directed Random Test Generation/rounds/Round1/state/JxPath.json</x:v>
      </x:c>
      <x:c r="N615" s="25" t="str">
        <x:v>Feedback-Directed Random Test Generation/Result/JxPath_13/result.json</x:v>
      </x:c>
      <x:c r="O615" s="25" t="str">
        <x:v>Feedback-Directed Random Test Generation/Result/JxPath_13/result.json</x:v>
      </x:c>
      <x:c r="P615"/>
      <x:c r="Q615" s="21" t="str"/>
      <x:c r="R615" s="21" t="str"/>
      <x:c r="S615" s="21" t="str"/>
      <x:c r="T615" s="17" t="str">
        <x:v>false</x:v>
      </x:c>
      <x:c r="U615" s="17" t="str">
        <x:v>true</x:v>
      </x:c>
      <x:c r="V615" s="17" t="str">
        <x:v>false</x:v>
      </x:c>
    </x:row>
    <x:row r="616" ht="80" customHeight="1">
      <x:c r="A616" s="25" t="str">
        <x:v>JxPath</x:v>
      </x:c>
      <x:c r="B616" s="25" t="n">
        <x:v>14</x:v>
      </x:c>
      <x:c r="C616" s="25" t="str">
        <x:v>Round1</x:v>
      </x:c>
      <x:c r="D616" s="25" t="str">
        <x:v>NOT_REVEALING</x:v>
      </x:c>
      <x:c r="E616" s="25" t="str">
        <x:v>N/A</x:v>
      </x:c>
      <x:c r="F616" s="26" t="str">
        <x:v>Same saved validation suite passed on buggy and fixed</x:v>
      </x:c>
      <x:c r="G616" s="25" t="str">
        <x:v>true</x:v>
      </x:c>
      <x:c r="H616" s="25" t="str">
        <x:v>NOT_REVEALING</x:v>
      </x:c>
      <x:c r="I616" s="25" t="str">
        <x:v>PASS</x:v>
      </x:c>
      <x:c r="J616" s="25" t="str">
        <x:v>PASS</x:v>
      </x:c>
      <x:c r="K616" s="25" t="n">
        <x:v>2</x:v>
      </x:c>
      <x:c r="L616" s="27" t="b">
        <x:v>0</x:v>
      </x:c>
      <x:c r="M616" s="25" t="str">
        <x:v>Feedback-Directed Random Test Generation/rounds/Round1/state/JxPath.json</x:v>
      </x:c>
      <x:c r="N616" s="25" t="str">
        <x:v>Feedback-Directed Random Test Generation/Result/JxPath_14/result.json</x:v>
      </x:c>
      <x:c r="O616" s="25" t="str">
        <x:v>Feedback-Directed Random Test Generation/Result/JxPath_14/result.json</x:v>
      </x:c>
      <x:c r="P616"/>
      <x:c r="Q616" s="21" t="str"/>
      <x:c r="R616" s="21" t="str"/>
      <x:c r="S616" s="21" t="str"/>
      <x:c r="T616" s="17" t="str">
        <x:v>false</x:v>
      </x:c>
      <x:c r="U616" s="17" t="str">
        <x:v>true</x:v>
      </x:c>
      <x:c r="V616" s="17" t="str">
        <x:v>false</x:v>
      </x:c>
    </x:row>
    <x:row r="617" ht="80" customHeight="1">
      <x:c r="A617" s="25" t="str">
        <x:v>JxPath</x:v>
      </x:c>
      <x:c r="B617" s="25" t="n">
        <x:v>15</x:v>
      </x:c>
      <x:c r="C617" s="25" t="str">
        <x:v>Round1</x:v>
      </x:c>
      <x:c r="D617" s="25" t="str">
        <x:v>NOT_REVEALING</x:v>
      </x:c>
      <x:c r="E617" s="25" t="str">
        <x:v>N/A</x:v>
      </x:c>
      <x:c r="F617" s="26" t="str">
        <x:v>Same saved validation suite passed on buggy and fixed</x:v>
      </x:c>
      <x:c r="G617" s="25" t="str">
        <x:v>true</x:v>
      </x:c>
      <x:c r="H617" s="25" t="str">
        <x:v>NOT_REVEALING</x:v>
      </x:c>
      <x:c r="I617" s="25" t="str">
        <x:v>PASS</x:v>
      </x:c>
      <x:c r="J617" s="25" t="str">
        <x:v>PASS</x:v>
      </x:c>
      <x:c r="K617" s="25" t="n">
        <x:v>2</x:v>
      </x:c>
      <x:c r="L617" s="27" t="b">
        <x:v>0</x:v>
      </x:c>
      <x:c r="M617" s="25" t="str">
        <x:v>Feedback-Directed Random Test Generation/rounds/Round1/state/JxPath.json</x:v>
      </x:c>
      <x:c r="N617" s="25" t="str">
        <x:v>Feedback-Directed Random Test Generation/Result/JxPath_15/result.json</x:v>
      </x:c>
      <x:c r="O617" s="25" t="str">
        <x:v>Feedback-Directed Random Test Generation/Result/JxPath_15/result.json</x:v>
      </x:c>
      <x:c r="P617"/>
      <x:c r="Q617" s="21" t="str"/>
      <x:c r="R617" s="21" t="str"/>
      <x:c r="S617" s="21" t="str"/>
      <x:c r="T617" s="17" t="str">
        <x:v>false</x:v>
      </x:c>
      <x:c r="U617" s="17" t="str">
        <x:v>true</x:v>
      </x:c>
      <x:c r="V617" s="17" t="str">
        <x:v>false</x:v>
      </x:c>
    </x:row>
    <x:row r="618" ht="80" customHeight="1">
      <x:c r="A618" s="25" t="str">
        <x:v>JxPath</x:v>
      </x:c>
      <x:c r="B618" s="25" t="n">
        <x:v>16</x:v>
      </x:c>
      <x:c r="C618" s="25" t="str">
        <x:v>Round1</x:v>
      </x:c>
      <x:c r="D618" s="25" t="str">
        <x:v>NOT_REVEALING</x:v>
      </x:c>
      <x:c r="E618" s="25" t="str">
        <x:v>N/A</x:v>
      </x:c>
      <x:c r="F618" s="26" t="str">
        <x:v>Same saved validation suite passed on buggy and fixed</x:v>
      </x:c>
      <x:c r="G618" s="25" t="str">
        <x:v>true</x:v>
      </x:c>
      <x:c r="H618" s="25" t="str">
        <x:v>NOT_REVEALING</x:v>
      </x:c>
      <x:c r="I618" s="25" t="str">
        <x:v>PASS</x:v>
      </x:c>
      <x:c r="J618" s="25" t="str">
        <x:v>PASS</x:v>
      </x:c>
      <x:c r="K618" s="25" t="n">
        <x:v>2</x:v>
      </x:c>
      <x:c r="L618" s="27" t="b">
        <x:v>0</x:v>
      </x:c>
      <x:c r="M618" s="25" t="str">
        <x:v>Feedback-Directed Random Test Generation/rounds/Round1/state/JxPath.json</x:v>
      </x:c>
      <x:c r="N618" s="25" t="str">
        <x:v>Feedback-Directed Random Test Generation/Result/JxPath_16/result.json</x:v>
      </x:c>
      <x:c r="O618" s="25" t="str">
        <x:v>Feedback-Directed Random Test Generation/Result/JxPath_16/result.json</x:v>
      </x:c>
      <x:c r="P618"/>
      <x:c r="Q618" s="21" t="str"/>
      <x:c r="R618" s="21" t="str"/>
      <x:c r="S618" s="21" t="str"/>
      <x:c r="T618" s="17" t="str">
        <x:v>false</x:v>
      </x:c>
      <x:c r="U618" s="17" t="str">
        <x:v>true</x:v>
      </x:c>
      <x:c r="V618" s="17" t="str">
        <x:v>false</x:v>
      </x:c>
    </x:row>
    <x:row r="619" ht="80" customHeight="1">
      <x:c r="A619" s="25" t="str">
        <x:v>JxPath</x:v>
      </x:c>
      <x:c r="B619" s="25" t="n">
        <x:v>17</x:v>
      </x:c>
      <x:c r="C619" s="25" t="str">
        <x:v>Round1</x:v>
      </x:c>
      <x:c r="D619" s="25" t="str">
        <x:v>NOT_REVEALING</x:v>
      </x:c>
      <x:c r="E619" s="25" t="str">
        <x:v>N/A</x:v>
      </x:c>
      <x:c r="F619" s="26" t="str">
        <x:v>Same saved validation suite passed on buggy and fixed</x:v>
      </x:c>
      <x:c r="G619" s="25" t="str">
        <x:v>true</x:v>
      </x:c>
      <x:c r="H619" s="25" t="str">
        <x:v>NOT_REVEALING</x:v>
      </x:c>
      <x:c r="I619" s="25" t="str">
        <x:v>PASS</x:v>
      </x:c>
      <x:c r="J619" s="25" t="str">
        <x:v>PASS</x:v>
      </x:c>
      <x:c r="K619" s="25" t="n">
        <x:v>2</x:v>
      </x:c>
      <x:c r="L619" s="27" t="b">
        <x:v>0</x:v>
      </x:c>
      <x:c r="M619" s="25" t="str">
        <x:v>Feedback-Directed Random Test Generation/rounds/Round1/state/JxPath.json</x:v>
      </x:c>
      <x:c r="N619" s="25" t="str">
        <x:v>Feedback-Directed Random Test Generation/Result/JxPath_17/result.json</x:v>
      </x:c>
      <x:c r="O619" s="25" t="str">
        <x:v>Feedback-Directed Random Test Generation/Result/JxPath_17/result.json</x:v>
      </x:c>
      <x:c r="P619"/>
      <x:c r="Q619" s="21" t="str"/>
      <x:c r="R619" s="21" t="str"/>
      <x:c r="S619" s="21" t="str"/>
      <x:c r="T619" s="17" t="str">
        <x:v>false</x:v>
      </x:c>
      <x:c r="U619" s="17" t="str">
        <x:v>true</x:v>
      </x:c>
      <x:c r="V619" s="17" t="str">
        <x:v>false</x:v>
      </x:c>
    </x:row>
    <x:row r="620" ht="80" customHeight="1">
      <x:c r="A620" s="25" t="str">
        <x:v>JxPath</x:v>
      </x:c>
      <x:c r="B620" s="25" t="n">
        <x:v>18</x:v>
      </x:c>
      <x:c r="C620" s="25" t="str">
        <x:v>Round1</x:v>
      </x:c>
      <x:c r="D620" s="25" t="str">
        <x:v>NOT_REVEALING</x:v>
      </x:c>
      <x:c r="E620" s="25" t="str">
        <x:v>N/A</x:v>
      </x:c>
      <x:c r="F620" s="26" t="str">
        <x:v>Same saved validation suite passed on buggy and fixed</x:v>
      </x:c>
      <x:c r="G620" s="25" t="str">
        <x:v>true</x:v>
      </x:c>
      <x:c r="H620" s="25" t="str">
        <x:v>NOT_REVEALING</x:v>
      </x:c>
      <x:c r="I620" s="25" t="str">
        <x:v>PASS</x:v>
      </x:c>
      <x:c r="J620" s="25" t="str">
        <x:v>PASS</x:v>
      </x:c>
      <x:c r="K620" s="25" t="n">
        <x:v>2</x:v>
      </x:c>
      <x:c r="L620" s="27" t="b">
        <x:v>0</x:v>
      </x:c>
      <x:c r="M620" s="25" t="str">
        <x:v>Feedback-Directed Random Test Generation/rounds/Round1/state/JxPath.json</x:v>
      </x:c>
      <x:c r="N620" s="25" t="str">
        <x:v>Feedback-Directed Random Test Generation/Result/JxPath_18/result.json</x:v>
      </x:c>
      <x:c r="O620" s="25" t="str">
        <x:v>Feedback-Directed Random Test Generation/Result/JxPath_18/result.json</x:v>
      </x:c>
      <x:c r="P620"/>
      <x:c r="Q620" s="21" t="str"/>
      <x:c r="R620" s="21" t="str"/>
      <x:c r="S620" s="21" t="str"/>
      <x:c r="T620" s="17" t="str">
        <x:v>false</x:v>
      </x:c>
      <x:c r="U620" s="17" t="str">
        <x:v>true</x:v>
      </x:c>
      <x:c r="V620" s="17" t="str">
        <x:v>false</x:v>
      </x:c>
    </x:row>
    <x:row r="621" ht="80" customHeight="1">
      <x:c r="A621" s="25" t="str">
        <x:v>JxPath</x:v>
      </x:c>
      <x:c r="B621" s="25" t="n">
        <x:v>19</x:v>
      </x:c>
      <x:c r="C621" s="25" t="str">
        <x:v>Round1</x:v>
      </x:c>
      <x:c r="D621" s="25" t="str">
        <x:v>NOT_REVEALING</x:v>
      </x:c>
      <x:c r="E621" s="25" t="str">
        <x:v>N/A</x:v>
      </x:c>
      <x:c r="F621" s="26" t="str">
        <x:v>Same saved validation suite passed on buggy and fixed</x:v>
      </x:c>
      <x:c r="G621" s="25" t="str">
        <x:v>true</x:v>
      </x:c>
      <x:c r="H621" s="25" t="str">
        <x:v>NOT_REVEALING</x:v>
      </x:c>
      <x:c r="I621" s="25" t="str">
        <x:v>PASS</x:v>
      </x:c>
      <x:c r="J621" s="25" t="str">
        <x:v>PASS</x:v>
      </x:c>
      <x:c r="K621" s="25" t="n">
        <x:v>2</x:v>
      </x:c>
      <x:c r="L621" s="27" t="b">
        <x:v>0</x:v>
      </x:c>
      <x:c r="M621" s="25" t="str">
        <x:v>Feedback-Directed Random Test Generation/rounds/Round1/state/JxPath.json</x:v>
      </x:c>
      <x:c r="N621" s="25" t="str">
        <x:v>Feedback-Directed Random Test Generation/Result/JxPath_19/result.json</x:v>
      </x:c>
      <x:c r="O621" s="25" t="str">
        <x:v>Feedback-Directed Random Test Generation/Result/JxPath_19/result.json</x:v>
      </x:c>
      <x:c r="P621"/>
      <x:c r="Q621" s="21" t="str"/>
      <x:c r="R621" s="21" t="str"/>
      <x:c r="S621" s="21" t="str"/>
      <x:c r="T621" s="17" t="str">
        <x:v>false</x:v>
      </x:c>
      <x:c r="U621" s="17" t="str">
        <x:v>true</x:v>
      </x:c>
      <x:c r="V621" s="17" t="str">
        <x:v>false</x:v>
      </x:c>
    </x:row>
    <x:row r="622" ht="80" customHeight="1">
      <x:c r="A622" s="25" t="str">
        <x:v>JxPath</x:v>
      </x:c>
      <x:c r="B622" s="25" t="n">
        <x:v>20</x:v>
      </x:c>
      <x:c r="C622" s="25" t="str">
        <x:v>Round1</x:v>
      </x:c>
      <x:c r="D622" s="25" t="str">
        <x:v>NOT_REVEALING</x:v>
      </x:c>
      <x:c r="E622" s="25" t="str">
        <x:v>N/A</x:v>
      </x:c>
      <x:c r="F622" s="26" t="str">
        <x:v>Same saved validation suite passed on buggy and fixed</x:v>
      </x:c>
      <x:c r="G622" s="25" t="str">
        <x:v>true</x:v>
      </x:c>
      <x:c r="H622" s="25" t="str">
        <x:v>NOT_REVEALING</x:v>
      </x:c>
      <x:c r="I622" s="25" t="str">
        <x:v>PASS</x:v>
      </x:c>
      <x:c r="J622" s="25" t="str">
        <x:v>PASS</x:v>
      </x:c>
      <x:c r="K622" s="25" t="n">
        <x:v>2</x:v>
      </x:c>
      <x:c r="L622" s="27" t="b">
        <x:v>0</x:v>
      </x:c>
      <x:c r="M622" s="25" t="str">
        <x:v>Feedback-Directed Random Test Generation/rounds/Round1/state/JxPath.json</x:v>
      </x:c>
      <x:c r="N622" s="25" t="str">
        <x:v>Feedback-Directed Random Test Generation/Result/JxPath_20/result.json</x:v>
      </x:c>
      <x:c r="O622" s="25" t="str">
        <x:v>Feedback-Directed Random Test Generation/Result/JxPath_20/result.json</x:v>
      </x:c>
      <x:c r="P622"/>
      <x:c r="Q622" s="21" t="str"/>
      <x:c r="R622" s="21" t="str"/>
      <x:c r="S622" s="21" t="str"/>
      <x:c r="T622" s="17" t="str">
        <x:v>false</x:v>
      </x:c>
      <x:c r="U622" s="17" t="str">
        <x:v>true</x:v>
      </x:c>
      <x:c r="V622" s="17" t="str">
        <x:v>false</x:v>
      </x:c>
    </x:row>
    <x:row r="623" ht="80" customHeight="1">
      <x:c r="A623" s="25" t="str">
        <x:v>JxPath</x:v>
      </x:c>
      <x:c r="B623" s="25" t="n">
        <x:v>21</x:v>
      </x:c>
      <x:c r="C623" s="25" t="str">
        <x:v>Round1</x:v>
      </x:c>
      <x:c r="D623" s="25" t="str">
        <x:v>NOT_REVEALING</x:v>
      </x:c>
      <x:c r="E623" s="25" t="str">
        <x:v>N/A</x:v>
      </x:c>
      <x:c r="F623" s="26" t="str">
        <x:v>Same saved validation suite passed on buggy and fixed</x:v>
      </x:c>
      <x:c r="G623" s="25" t="str">
        <x:v>true</x:v>
      </x:c>
      <x:c r="H623" s="25" t="str">
        <x:v>NOT_REVEALING</x:v>
      </x:c>
      <x:c r="I623" s="25" t="str">
        <x:v>PASS</x:v>
      </x:c>
      <x:c r="J623" s="25" t="str">
        <x:v>PASS</x:v>
      </x:c>
      <x:c r="K623" s="25" t="n">
        <x:v>2</x:v>
      </x:c>
      <x:c r="L623" s="27" t="b">
        <x:v>0</x:v>
      </x:c>
      <x:c r="M623" s="25" t="str">
        <x:v>Feedback-Directed Random Test Generation/rounds/Round1/state/JxPath.json</x:v>
      </x:c>
      <x:c r="N623" s="25" t="str">
        <x:v>Feedback-Directed Random Test Generation/Result/JxPath_21/result.json</x:v>
      </x:c>
      <x:c r="O623" s="25" t="str">
        <x:v>Feedback-Directed Random Test Generation/Result/JxPath_21/result.json</x:v>
      </x:c>
      <x:c r="P623"/>
      <x:c r="Q623" s="21" t="str"/>
      <x:c r="R623" s="21" t="str"/>
      <x:c r="S623" s="21" t="str"/>
      <x:c r="T623" s="17" t="str">
        <x:v>false</x:v>
      </x:c>
      <x:c r="U623" s="17" t="str">
        <x:v>true</x:v>
      </x:c>
      <x:c r="V623" s="17" t="str">
        <x:v>false</x:v>
      </x:c>
    </x:row>
    <x:row r="624" ht="80" customHeight="1">
      <x:c r="A624" s="25" t="str">
        <x:v>JxPath</x:v>
      </x:c>
      <x:c r="B624" s="25" t="n">
        <x:v>22</x:v>
      </x:c>
      <x:c r="C624" s="25" t="str">
        <x:v>Round1</x:v>
      </x:c>
      <x:c r="D624" s="25" t="str">
        <x:v>NOT_REVEALING</x:v>
      </x:c>
      <x:c r="E624" s="25" t="str">
        <x:v>N/A</x:v>
      </x:c>
      <x:c r="F624" s="26" t="str">
        <x:v>Same saved validation suite passed on buggy and fixed</x:v>
      </x:c>
      <x:c r="G624" s="25" t="str">
        <x:v>true</x:v>
      </x:c>
      <x:c r="H624" s="25" t="str">
        <x:v>NOT_REVEALING</x:v>
      </x:c>
      <x:c r="I624" s="25" t="str">
        <x:v>PASS</x:v>
      </x:c>
      <x:c r="J624" s="25" t="str">
        <x:v>PASS</x:v>
      </x:c>
      <x:c r="K624" s="25" t="n">
        <x:v>2</x:v>
      </x:c>
      <x:c r="L624" s="27" t="b">
        <x:v>0</x:v>
      </x:c>
      <x:c r="M624" s="25" t="str">
        <x:v>Feedback-Directed Random Test Generation/rounds/Round1/state/JxPath.json</x:v>
      </x:c>
      <x:c r="N624" s="25" t="str">
        <x:v>Feedback-Directed Random Test Generation/Result/JxPath_22/result.json</x:v>
      </x:c>
      <x:c r="O624" s="25" t="str">
        <x:v>Feedback-Directed Random Test Generation/Result/JxPath_22/result.json</x:v>
      </x:c>
      <x:c r="P624"/>
      <x:c r="Q624" s="21" t="str"/>
      <x:c r="R624" s="21" t="str"/>
      <x:c r="S624" s="21" t="str"/>
      <x:c r="T624" s="17" t="str">
        <x:v>false</x:v>
      </x:c>
      <x:c r="U624" s="17" t="str">
        <x:v>true</x:v>
      </x:c>
      <x:c r="V624" s="17" t="str">
        <x:v>false</x:v>
      </x:c>
    </x:row>
    <x:row r="625" ht="80" customHeight="1">
      <x:c r="A625" s="25" t="str">
        <x:v>Lang</x:v>
      </x:c>
      <x:c r="B625" s="25" t="n">
        <x:v>1</x:v>
      </x:c>
      <x:c r="C625" s="25" t="str">
        <x:v>Round1</x:v>
      </x:c>
      <x:c r="D625" s="25" t="str">
        <x:v>NOT_REVEALING</x:v>
      </x:c>
      <x:c r="E625" s="25" t="str">
        <x:v>N/A</x:v>
      </x:c>
      <x:c r="F625" s="26" t="str">
        <x:v>Same saved validation suite passed on buggy and fixed</x:v>
      </x:c>
      <x:c r="G625" s="25" t="str">
        <x:v>true</x:v>
      </x:c>
      <x:c r="H625" s="25" t="str">
        <x:v>NOT_REVEALING</x:v>
      </x:c>
      <x:c r="I625" s="25" t="str">
        <x:v>PASS</x:v>
      </x:c>
      <x:c r="J625" s="25" t="str">
        <x:v>PASS</x:v>
      </x:c>
      <x:c r="K625" s="25" t="n">
        <x:v>20</x:v>
      </x:c>
      <x:c r="L625" s="27" t="b">
        <x:v>0</x:v>
      </x:c>
      <x:c r="M625" s="25" t="str">
        <x:v>Feedback-Directed Random Test Generation/rounds/Round1/state/Lang.json</x:v>
      </x:c>
      <x:c r="N625" s="25" t="str">
        <x:v>Feedback-Directed Random Test Generation/Result/Lang_1/result.json</x:v>
      </x:c>
      <x:c r="O625" s="25" t="str">
        <x:v>Feedback-Directed Random Test Generation/Result/Lang_1/result.json</x:v>
      </x:c>
      <x:c r="P625"/>
      <x:c r="Q625" s="21" t="str"/>
      <x:c r="R625" s="21" t="str"/>
      <x:c r="S625" s="21" t="str"/>
      <x:c r="T625" s="17" t="str">
        <x:v>false</x:v>
      </x:c>
      <x:c r="U625" s="17" t="str">
        <x:v>true</x:v>
      </x:c>
      <x:c r="V625" s="17" t="str">
        <x:v>false</x:v>
      </x:c>
    </x:row>
    <x:row r="626" ht="80" customHeight="1">
      <x:c r="A626" s="25" t="str">
        <x:v>Lang</x:v>
      </x:c>
      <x:c r="B626" s="25" t="n">
        <x:v>3</x:v>
      </x:c>
      <x:c r="C626" s="25" t="str">
        <x:v>Round1</x:v>
      </x:c>
      <x:c r="D626" s="25" t="str">
        <x:v>NOT_REVEALING</x:v>
      </x:c>
      <x:c r="E626" s="25" t="str">
        <x:v>N/A</x:v>
      </x:c>
      <x:c r="F626" s="26" t="str">
        <x:v>Same saved validation suite passed on buggy and fixed</x:v>
      </x:c>
      <x:c r="G626" s="25" t="str">
        <x:v>true</x:v>
      </x:c>
      <x:c r="H626" s="25" t="str">
        <x:v>NOT_REVEALING</x:v>
      </x:c>
      <x:c r="I626" s="25" t="str">
        <x:v>PASS</x:v>
      </x:c>
      <x:c r="J626" s="25" t="str">
        <x:v>PASS</x:v>
      </x:c>
      <x:c r="K626" s="25" t="n">
        <x:v>20</x:v>
      </x:c>
      <x:c r="L626" s="27" t="b">
        <x:v>0</x:v>
      </x:c>
      <x:c r="M626" s="25" t="str">
        <x:v>Feedback-Directed Random Test Generation/rounds/Round1/state/Lang.json</x:v>
      </x:c>
      <x:c r="N626" s="25" t="str">
        <x:v>Feedback-Directed Random Test Generation/Result/Lang_3/result.json</x:v>
      </x:c>
      <x:c r="O626" s="25" t="str">
        <x:v>Feedback-Directed Random Test Generation/Result/Lang_3/result.json</x:v>
      </x:c>
      <x:c r="P626"/>
      <x:c r="Q626" s="21" t="str"/>
      <x:c r="R626" s="21" t="str"/>
      <x:c r="S626" s="21" t="str"/>
      <x:c r="T626" s="17" t="str">
        <x:v>false</x:v>
      </x:c>
      <x:c r="U626" s="17" t="str">
        <x:v>true</x:v>
      </x:c>
      <x:c r="V626" s="17" t="str">
        <x:v>false</x:v>
      </x:c>
    </x:row>
    <x:row r="627" ht="80" customHeight="1">
      <x:c r="A627" s="25" t="str">
        <x:v>Lang</x:v>
      </x:c>
      <x:c r="B627" s="25" t="n">
        <x:v>4</x:v>
      </x:c>
      <x:c r="C627" s="25" t="str">
        <x:v>Round1</x:v>
      </x:c>
      <x:c r="D627" s="25" t="str">
        <x:v>NOT_REVEALING</x:v>
      </x:c>
      <x:c r="E627" s="25" t="str">
        <x:v>N/A</x:v>
      </x:c>
      <x:c r="F627" s="26" t="str">
        <x:v>Same saved validation suite passed on buggy and fixed</x:v>
      </x:c>
      <x:c r="G627" s="25" t="str">
        <x:v>true</x:v>
      </x:c>
      <x:c r="H627" s="25" t="str">
        <x:v>NOT_REVEALING</x:v>
      </x:c>
      <x:c r="I627" s="25" t="str">
        <x:v>PASS</x:v>
      </x:c>
      <x:c r="J627" s="25" t="str">
        <x:v>PASS</x:v>
      </x:c>
      <x:c r="K627" s="25" t="n">
        <x:v>13</x:v>
      </x:c>
      <x:c r="L627" s="27" t="b">
        <x:v>0</x:v>
      </x:c>
      <x:c r="M627" s="25" t="str">
        <x:v>Feedback-Directed Random Test Generation/rounds/Round1/state/Lang.json</x:v>
      </x:c>
      <x:c r="N627" s="25" t="str">
        <x:v>Feedback-Directed Random Test Generation/Result/Lang_4/result.json</x:v>
      </x:c>
      <x:c r="O627" s="25" t="str">
        <x:v>Feedback-Directed Random Test Generation/Result/Lang_4/result.json</x:v>
      </x:c>
      <x:c r="P627"/>
      <x:c r="Q627" s="21" t="str"/>
      <x:c r="R627" s="21" t="str"/>
      <x:c r="S627" s="21" t="str"/>
      <x:c r="T627" s="17" t="str">
        <x:v>false</x:v>
      </x:c>
      <x:c r="U627" s="17" t="str">
        <x:v>true</x:v>
      </x:c>
      <x:c r="V627" s="17" t="str">
        <x:v>false</x:v>
      </x:c>
    </x:row>
    <x:row r="628" ht="80" customHeight="1">
      <x:c r="A628" s="25" t="str">
        <x:v>Lang</x:v>
      </x:c>
      <x:c r="B628" s="25" t="n">
        <x:v>5</x:v>
      </x:c>
      <x:c r="C628" s="25" t="str">
        <x:v>Round1</x:v>
      </x:c>
      <x:c r="D628" s="25" t="str">
        <x:v>NOT_REVEALING</x:v>
      </x:c>
      <x:c r="E628" s="25" t="str">
        <x:v>N/A</x:v>
      </x:c>
      <x:c r="F628" s="26" t="str">
        <x:v>Same saved validation suite passed on buggy and fixed</x:v>
      </x:c>
      <x:c r="G628" s="25" t="str">
        <x:v>true</x:v>
      </x:c>
      <x:c r="H628" s="25" t="str">
        <x:v>NOT_REVEALING</x:v>
      </x:c>
      <x:c r="I628" s="25" t="str">
        <x:v>PASS</x:v>
      </x:c>
      <x:c r="J628" s="25" t="str">
        <x:v>PASS</x:v>
      </x:c>
      <x:c r="K628" s="25" t="n">
        <x:v>2</x:v>
      </x:c>
      <x:c r="L628" s="27" t="b">
        <x:v>0</x:v>
      </x:c>
      <x:c r="M628" s="25" t="str">
        <x:v>Feedback-Directed Random Test Generation/rounds/Round1/state/Lang.json</x:v>
      </x:c>
      <x:c r="N628" s="25" t="str">
        <x:v>Feedback-Directed Random Test Generation/Result/Lang_5/result.json</x:v>
      </x:c>
      <x:c r="O628" s="25" t="str">
        <x:v>Feedback-Directed Random Test Generation/Result/Lang_5/result.json</x:v>
      </x:c>
      <x:c r="P628"/>
      <x:c r="Q628" s="21" t="str"/>
      <x:c r="R628" s="21" t="str"/>
      <x:c r="S628" s="21" t="str"/>
      <x:c r="T628" s="17" t="str">
        <x:v>false</x:v>
      </x:c>
      <x:c r="U628" s="17" t="str">
        <x:v>true</x:v>
      </x:c>
      <x:c r="V628" s="17" t="str">
        <x:v>false</x:v>
      </x:c>
    </x:row>
    <x:row r="629" ht="80" customHeight="1">
      <x:c r="A629" s="25" t="str">
        <x:v>Lang</x:v>
      </x:c>
      <x:c r="B629" s="25" t="n">
        <x:v>6</x:v>
      </x:c>
      <x:c r="C629" s="25" t="str">
        <x:v>Round1</x:v>
      </x:c>
      <x:c r="D629" s="25" t="str">
        <x:v>NOT_REVEALING</x:v>
      </x:c>
      <x:c r="E629" s="25" t="str">
        <x:v>N/A</x:v>
      </x:c>
      <x:c r="F629" s="26" t="str">
        <x:v>Same saved validation suite passed on buggy and fixed</x:v>
      </x:c>
      <x:c r="G629" s="25" t="str">
        <x:v>true</x:v>
      </x:c>
      <x:c r="H629" s="25" t="str">
        <x:v>NOT_REVEALING</x:v>
      </x:c>
      <x:c r="I629" s="25" t="str">
        <x:v>PASS</x:v>
      </x:c>
      <x:c r="J629" s="25" t="str">
        <x:v>PASS</x:v>
      </x:c>
      <x:c r="K629" s="25" t="n">
        <x:v>2</x:v>
      </x:c>
      <x:c r="L629" s="27" t="b">
        <x:v>0</x:v>
      </x:c>
      <x:c r="M629" s="25" t="str">
        <x:v>Feedback-Directed Random Test Generation/rounds/Round1/state/Lang.json</x:v>
      </x:c>
      <x:c r="N629" s="25" t="str">
        <x:v>Feedback-Directed Random Test Generation/Result/Lang_6/result.json</x:v>
      </x:c>
      <x:c r="O629" s="25" t="str">
        <x:v>Feedback-Directed Random Test Generation/Result/Lang_6/result.json</x:v>
      </x:c>
      <x:c r="P629"/>
      <x:c r="Q629" s="21" t="str"/>
      <x:c r="R629" s="21" t="str"/>
      <x:c r="S629" s="21" t="str"/>
      <x:c r="T629" s="17" t="str">
        <x:v>false</x:v>
      </x:c>
      <x:c r="U629" s="17" t="str">
        <x:v>true</x:v>
      </x:c>
      <x:c r="V629" s="17" t="str">
        <x:v>false</x:v>
      </x:c>
    </x:row>
    <x:row r="630" ht="80" customHeight="1">
      <x:c r="A630" s="25" t="str">
        <x:v>Lang</x:v>
      </x:c>
      <x:c r="B630" s="25" t="n">
        <x:v>7</x:v>
      </x:c>
      <x:c r="C630" s="25" t="str">
        <x:v>Round1</x:v>
      </x:c>
      <x:c r="D630" s="25" t="str">
        <x:v>NOT_REVEALING</x:v>
      </x:c>
      <x:c r="E630" s="25" t="str">
        <x:v>N/A</x:v>
      </x:c>
      <x:c r="F630" s="26" t="str">
        <x:v>Same saved validation suite passed on buggy and fixed</x:v>
      </x:c>
      <x:c r="G630" s="25" t="str">
        <x:v>true</x:v>
      </x:c>
      <x:c r="H630" s="25" t="str">
        <x:v>NOT_REVEALING</x:v>
      </x:c>
      <x:c r="I630" s="25" t="str">
        <x:v>PASS</x:v>
      </x:c>
      <x:c r="J630" s="25" t="str">
        <x:v>PASS</x:v>
      </x:c>
      <x:c r="K630" s="25" t="n">
        <x:v>20</x:v>
      </x:c>
      <x:c r="L630" s="27" t="b">
        <x:v>0</x:v>
      </x:c>
      <x:c r="M630" s="25" t="str">
        <x:v>Feedback-Directed Random Test Generation/rounds/Round1/state/Lang.json</x:v>
      </x:c>
      <x:c r="N630" s="25" t="str">
        <x:v>Feedback-Directed Random Test Generation/Result/Lang_7/result.json</x:v>
      </x:c>
      <x:c r="O630" s="25" t="str">
        <x:v>Feedback-Directed Random Test Generation/Result/Lang_7/result.json</x:v>
      </x:c>
      <x:c r="P630"/>
      <x:c r="Q630" s="21" t="str"/>
      <x:c r="R630" s="21" t="str"/>
      <x:c r="S630" s="21" t="str"/>
      <x:c r="T630" s="17" t="str">
        <x:v>false</x:v>
      </x:c>
      <x:c r="U630" s="17" t="str">
        <x:v>true</x:v>
      </x:c>
      <x:c r="V630" s="17" t="str">
        <x:v>false</x:v>
      </x:c>
    </x:row>
    <x:row r="631" ht="80" customHeight="1">
      <x:c r="A631" s="25" t="str">
        <x:v>Lang</x:v>
      </x:c>
      <x:c r="B631" s="25" t="n">
        <x:v>8</x:v>
      </x:c>
      <x:c r="C631" s="25" t="str">
        <x:v>Round1</x:v>
      </x:c>
      <x:c r="D631" s="25" t="str">
        <x:v>NOT_REVEALING</x:v>
      </x:c>
      <x:c r="E631" s="25" t="str">
        <x:v>N/A</x:v>
      </x:c>
      <x:c r="F631" s="26" t="str">
        <x:v>Same saved validation suite passed on buggy and fixed</x:v>
      </x:c>
      <x:c r="G631" s="25" t="str">
        <x:v>true</x:v>
      </x:c>
      <x:c r="H631" s="25" t="str">
        <x:v>NOT_REVEALING</x:v>
      </x:c>
      <x:c r="I631" s="25" t="str">
        <x:v>PASS</x:v>
      </x:c>
      <x:c r="J631" s="25" t="str">
        <x:v>PASS</x:v>
      </x:c>
      <x:c r="K631" s="25" t="n">
        <x:v>2</x:v>
      </x:c>
      <x:c r="L631" s="27" t="b">
        <x:v>0</x:v>
      </x:c>
      <x:c r="M631" s="25" t="str">
        <x:v>Feedback-Directed Random Test Generation/rounds/Round1/state/Lang.json</x:v>
      </x:c>
      <x:c r="N631" s="25" t="str">
        <x:v>Feedback-Directed Random Test Generation/Result/Lang_8/result.json</x:v>
      </x:c>
      <x:c r="O631" s="25" t="str">
        <x:v>Feedback-Directed Random Test Generation/Result/Lang_8/result.json</x:v>
      </x:c>
      <x:c r="P631"/>
      <x:c r="Q631" s="21" t="str"/>
      <x:c r="R631" s="21" t="str"/>
      <x:c r="S631" s="21" t="str"/>
      <x:c r="T631" s="17" t="str">
        <x:v>false</x:v>
      </x:c>
      <x:c r="U631" s="17" t="str">
        <x:v>true</x:v>
      </x:c>
      <x:c r="V631" s="17" t="str">
        <x:v>false</x:v>
      </x:c>
    </x:row>
    <x:row r="632" ht="80" customHeight="1">
      <x:c r="A632" s="25" t="str">
        <x:v>Lang</x:v>
      </x:c>
      <x:c r="B632" s="25" t="n">
        <x:v>9</x:v>
      </x:c>
      <x:c r="C632" s="25" t="str">
        <x:v>Round1</x:v>
      </x:c>
      <x:c r="D632" s="25" t="str">
        <x:v>NOT_REVEALING</x:v>
      </x:c>
      <x:c r="E632" s="25" t="str">
        <x:v>N/A</x:v>
      </x:c>
      <x:c r="F632" s="26" t="str">
        <x:v>Same saved validation suite passed on buggy and fixed</x:v>
      </x:c>
      <x:c r="G632" s="25" t="str">
        <x:v>true</x:v>
      </x:c>
      <x:c r="H632" s="25" t="str">
        <x:v>NOT_REVEALING</x:v>
      </x:c>
      <x:c r="I632" s="25" t="str">
        <x:v>PASS</x:v>
      </x:c>
      <x:c r="J632" s="25" t="str">
        <x:v>PASS</x:v>
      </x:c>
      <x:c r="K632" s="25" t="n">
        <x:v>2</x:v>
      </x:c>
      <x:c r="L632" s="27" t="b">
        <x:v>0</x:v>
      </x:c>
      <x:c r="M632" s="25" t="str">
        <x:v>Feedback-Directed Random Test Generation/rounds/Round1/state/Lang.json</x:v>
      </x:c>
      <x:c r="N632" s="25" t="str">
        <x:v>Feedback-Directed Random Test Generation/Result/Lang_9/result.json</x:v>
      </x:c>
      <x:c r="O632" s="25" t="str">
        <x:v>Feedback-Directed Random Test Generation/Result/Lang_9/result.json</x:v>
      </x:c>
      <x:c r="P632"/>
      <x:c r="Q632" s="21" t="str"/>
      <x:c r="R632" s="21" t="str"/>
      <x:c r="S632" s="21" t="str"/>
      <x:c r="T632" s="17" t="str">
        <x:v>false</x:v>
      </x:c>
      <x:c r="U632" s="17" t="str">
        <x:v>true</x:v>
      </x:c>
      <x:c r="V632" s="17" t="str">
        <x:v>false</x:v>
      </x:c>
    </x:row>
    <x:row r="633" ht="80" customHeight="1">
      <x:c r="A633" s="25" t="str">
        <x:v>Lang</x:v>
      </x:c>
      <x:c r="B633" s="25" t="n">
        <x:v>10</x:v>
      </x:c>
      <x:c r="C633" s="25" t="str">
        <x:v>Round1</x:v>
      </x:c>
      <x:c r="D633" s="25" t="str">
        <x:v>NOT_REVEALING</x:v>
      </x:c>
      <x:c r="E633" s="25" t="str">
        <x:v>N/A</x:v>
      </x:c>
      <x:c r="F633" s="26" t="str">
        <x:v>Same saved validation suite passed on buggy and fixed</x:v>
      </x:c>
      <x:c r="G633" s="25" t="str">
        <x:v>true</x:v>
      </x:c>
      <x:c r="H633" s="25" t="str">
        <x:v>NOT_REVEALING</x:v>
      </x:c>
      <x:c r="I633" s="25" t="str">
        <x:v>PASS</x:v>
      </x:c>
      <x:c r="J633" s="25" t="str">
        <x:v>PASS</x:v>
      </x:c>
      <x:c r="K633" s="25" t="n">
        <x:v>2</x:v>
      </x:c>
      <x:c r="L633" s="27" t="b">
        <x:v>0</x:v>
      </x:c>
      <x:c r="M633" s="25" t="str">
        <x:v>Feedback-Directed Random Test Generation/rounds/Round1/state/Lang.json</x:v>
      </x:c>
      <x:c r="N633" s="25" t="str">
        <x:v>Feedback-Directed Random Test Generation/Result/Lang_10/result.json</x:v>
      </x:c>
      <x:c r="O633" s="25" t="str">
        <x:v>Feedback-Directed Random Test Generation/Result/Lang_10/result.json</x:v>
      </x:c>
      <x:c r="P633"/>
      <x:c r="Q633" s="21" t="str"/>
      <x:c r="R633" s="21" t="str"/>
      <x:c r="S633" s="21" t="str"/>
      <x:c r="T633" s="17" t="str">
        <x:v>false</x:v>
      </x:c>
      <x:c r="U633" s="17" t="str">
        <x:v>true</x:v>
      </x:c>
      <x:c r="V633" s="17" t="str">
        <x:v>false</x:v>
      </x:c>
    </x:row>
    <x:row r="634" ht="80" customHeight="1">
      <x:c r="A634" s="25" t="str">
        <x:v>Lang</x:v>
      </x:c>
      <x:c r="B634" s="25" t="n">
        <x:v>11</x:v>
      </x:c>
      <x:c r="C634" s="25" t="str">
        <x:v>Round1</x:v>
      </x:c>
      <x:c r="D634" s="25" t="str">
        <x:v>FAIL</x:v>
      </x:c>
      <x:c r="E634" s="25" t="str">
        <x:v>N/A</x:v>
      </x:c>
      <x:c r="F634" s="26" t="str">
        <x:v>Latest same-round generation failed; older files/results are excluded</x:v>
      </x:c>
      <x:c r="G634" s="25" t="str">
        <x:v>true</x:v>
      </x:c>
      <x:c r="H634" s="25" t="str">
        <x:v>FAIL</x:v>
      </x:c>
      <x:c r="I634" s="25"/>
      <x:c r="J634" s="25"/>
      <x:c r="K634" s="25" t="n">
        <x:v>0</x:v>
      </x:c>
      <x:c r="L634" s="27" t="b">
        <x:v>1</x:v>
      </x:c>
      <x:c r="M634" s="25" t="str">
        <x:v>Feedback-Directed Random Test Generation/rounds/Round1/state/Lang.json</x:v>
      </x:c>
      <x:c r="N634" s="25"/>
      <x:c r="O634" s="25" t="str">
        <x:v>Feedback-Directed Random Test Generation/Result/Lang_11/result.json</x:v>
      </x:c>
      <x:c r="P634"/>
      <x:c r="Q634" s="21" t="str"/>
      <x:c r="R634" s="21" t="str"/>
      <x:c r="S634" s="21" t="str"/>
      <x:c r="T634" s="17" t="str">
        <x:v>false</x:v>
      </x:c>
      <x:c r="U634" s="17" t="str">
        <x:v>false</x:v>
      </x:c>
      <x:c r="V634" s="17" t="str">
        <x:v>false</x:v>
      </x:c>
    </x:row>
    <x:row r="635" ht="80" customHeight="1">
      <x:c r="A635" s="25" t="str">
        <x:v>Lang</x:v>
      </x:c>
      <x:c r="B635" s="25" t="n">
        <x:v>12</x:v>
      </x:c>
      <x:c r="C635" s="25" t="str">
        <x:v>Round1</x:v>
      </x:c>
      <x:c r="D635" s="25" t="str">
        <x:v>FAIL</x:v>
      </x:c>
      <x:c r="E635" s="25" t="str">
        <x:v>N/A</x:v>
      </x:c>
      <x:c r="F635" s="26" t="str">
        <x:v>Latest same-round generation failed; older files/results are excluded</x:v>
      </x:c>
      <x:c r="G635" s="25" t="str">
        <x:v>true</x:v>
      </x:c>
      <x:c r="H635" s="25" t="str">
        <x:v>FAIL</x:v>
      </x:c>
      <x:c r="I635" s="25"/>
      <x:c r="J635" s="25"/>
      <x:c r="K635" s="25" t="n">
        <x:v>0</x:v>
      </x:c>
      <x:c r="L635" s="27" t="b">
        <x:v>1</x:v>
      </x:c>
      <x:c r="M635" s="25" t="str">
        <x:v>Feedback-Directed Random Test Generation/rounds/Round1/state/Lang.json</x:v>
      </x:c>
      <x:c r="N635" s="25"/>
      <x:c r="O635" s="25" t="str">
        <x:v>Feedback-Directed Random Test Generation/Result/Lang_12/result.json</x:v>
      </x:c>
      <x:c r="P635"/>
      <x:c r="Q635" s="21" t="str"/>
      <x:c r="R635" s="21" t="str"/>
      <x:c r="S635" s="21" t="str"/>
      <x:c r="T635" s="17" t="str">
        <x:v>false</x:v>
      </x:c>
      <x:c r="U635" s="17" t="str">
        <x:v>false</x:v>
      </x:c>
      <x:c r="V635" s="17" t="str">
        <x:v>false</x:v>
      </x:c>
    </x:row>
    <x:row r="636" ht="80" customHeight="1">
      <x:c r="A636" s="25" t="str">
        <x:v>Lang</x:v>
      </x:c>
      <x:c r="B636" s="25" t="n">
        <x:v>13</x:v>
      </x:c>
      <x:c r="C636" s="25" t="str">
        <x:v>Round1</x:v>
      </x:c>
      <x:c r="D636" s="25" t="str">
        <x:v>NOT_REVEALING</x:v>
      </x:c>
      <x:c r="E636" s="25" t="str">
        <x:v>N/A</x:v>
      </x:c>
      <x:c r="F636" s="26" t="str">
        <x:v>Same saved validation suite passed on buggy and fixed</x:v>
      </x:c>
      <x:c r="G636" s="25" t="str">
        <x:v>true</x:v>
      </x:c>
      <x:c r="H636" s="25" t="str">
        <x:v>NOT_REVEALING</x:v>
      </x:c>
      <x:c r="I636" s="25" t="str">
        <x:v>PASS</x:v>
      </x:c>
      <x:c r="J636" s="25" t="str">
        <x:v>PASS</x:v>
      </x:c>
      <x:c r="K636" s="25" t="n">
        <x:v>13</x:v>
      </x:c>
      <x:c r="L636" s="27" t="b">
        <x:v>0</x:v>
      </x:c>
      <x:c r="M636" s="25" t="str">
        <x:v>Feedback-Directed Random Test Generation/rounds/Round1/state/Lang.json</x:v>
      </x:c>
      <x:c r="N636" s="25" t="str">
        <x:v>Feedback-Directed Random Test Generation/Result/Lang_13/result.json</x:v>
      </x:c>
      <x:c r="O636" s="25" t="str">
        <x:v>Feedback-Directed Random Test Generation/Result/Lang_13/result.json</x:v>
      </x:c>
      <x:c r="P636"/>
      <x:c r="Q636" s="21" t="str"/>
      <x:c r="R636" s="21" t="str"/>
      <x:c r="S636" s="21" t="str"/>
      <x:c r="T636" s="17" t="str">
        <x:v>false</x:v>
      </x:c>
      <x:c r="U636" s="17" t="str">
        <x:v>true</x:v>
      </x:c>
      <x:c r="V636" s="17" t="str">
        <x:v>false</x:v>
      </x:c>
    </x:row>
    <x:row r="637" ht="80" customHeight="1">
      <x:c r="A637" s="25" t="str">
        <x:v>Lang</x:v>
      </x:c>
      <x:c r="B637" s="25" t="n">
        <x:v>14</x:v>
      </x:c>
      <x:c r="C637" s="25" t="str">
        <x:v>Round1</x:v>
      </x:c>
      <x:c r="D637" s="25" t="str">
        <x:v>NOT_REVEALING</x:v>
      </x:c>
      <x:c r="E637" s="25" t="str">
        <x:v>N/A</x:v>
      </x:c>
      <x:c r="F637" s="26" t="str">
        <x:v>Same saved validation suite passed on buggy and fixed</x:v>
      </x:c>
      <x:c r="G637" s="25" t="str">
        <x:v>true</x:v>
      </x:c>
      <x:c r="H637" s="25" t="str">
        <x:v>NOT_REVEALING</x:v>
      </x:c>
      <x:c r="I637" s="25" t="str">
        <x:v>PASS</x:v>
      </x:c>
      <x:c r="J637" s="25" t="str">
        <x:v>PASS</x:v>
      </x:c>
      <x:c r="K637" s="25" t="n">
        <x:v>26</x:v>
      </x:c>
      <x:c r="L637" s="27" t="b">
        <x:v>0</x:v>
      </x:c>
      <x:c r="M637" s="25" t="str">
        <x:v>Feedback-Directed Random Test Generation/rounds/Round1/state/Lang.json</x:v>
      </x:c>
      <x:c r="N637" s="25" t="str">
        <x:v>Feedback-Directed Random Test Generation/Result/Lang_14/result.json</x:v>
      </x:c>
      <x:c r="O637" s="25" t="str">
        <x:v>Feedback-Directed Random Test Generation/Result/Lang_14/result.json</x:v>
      </x:c>
      <x:c r="P637"/>
      <x:c r="Q637" s="21" t="str"/>
      <x:c r="R637" s="21" t="str"/>
      <x:c r="S637" s="21" t="str"/>
      <x:c r="T637" s="17" t="str">
        <x:v>false</x:v>
      </x:c>
      <x:c r="U637" s="17" t="str">
        <x:v>true</x:v>
      </x:c>
      <x:c r="V637" s="17" t="str">
        <x:v>false</x:v>
      </x:c>
    </x:row>
    <x:row r="638" ht="80" customHeight="1">
      <x:c r="A638" s="25" t="str">
        <x:v>Lang</x:v>
      </x:c>
      <x:c r="B638" s="25" t="n">
        <x:v>15</x:v>
      </x:c>
      <x:c r="C638" s="25" t="str">
        <x:v>Round1</x:v>
      </x:c>
      <x:c r="D638" s="25" t="str">
        <x:v>NOT_REVEALING</x:v>
      </x:c>
      <x:c r="E638" s="25" t="str">
        <x:v>N/A</x:v>
      </x:c>
      <x:c r="F638" s="26" t="str">
        <x:v>Same saved validation suite passed on buggy and fixed</x:v>
      </x:c>
      <x:c r="G638" s="25" t="str">
        <x:v>true</x:v>
      </x:c>
      <x:c r="H638" s="25" t="str">
        <x:v>NOT_REVEALING</x:v>
      </x:c>
      <x:c r="I638" s="25" t="str">
        <x:v>PASS</x:v>
      </x:c>
      <x:c r="J638" s="25" t="str">
        <x:v>PASS</x:v>
      </x:c>
      <x:c r="K638" s="25" t="n">
        <x:v>3</x:v>
      </x:c>
      <x:c r="L638" s="27" t="b">
        <x:v>0</x:v>
      </x:c>
      <x:c r="M638" s="25" t="str">
        <x:v>Feedback-Directed Random Test Generation/rounds/Round1/state/Lang.json</x:v>
      </x:c>
      <x:c r="N638" s="25" t="str">
        <x:v>Feedback-Directed Random Test Generation/Result/Lang_15/result.json</x:v>
      </x:c>
      <x:c r="O638" s="25" t="str">
        <x:v>Feedback-Directed Random Test Generation/Result/Lang_15/result.json</x:v>
      </x:c>
      <x:c r="P638"/>
      <x:c r="Q638" s="21" t="str"/>
      <x:c r="R638" s="21" t="str"/>
      <x:c r="S638" s="21" t="str"/>
      <x:c r="T638" s="17" t="str">
        <x:v>false</x:v>
      </x:c>
      <x:c r="U638" s="17" t="str">
        <x:v>true</x:v>
      </x:c>
      <x:c r="V638" s="17" t="str">
        <x:v>false</x:v>
      </x:c>
    </x:row>
    <x:row r="639" ht="80" customHeight="1">
      <x:c r="A639" s="25" t="str">
        <x:v>Lang</x:v>
      </x:c>
      <x:c r="B639" s="25" t="n">
        <x:v>16</x:v>
      </x:c>
      <x:c r="C639" s="25" t="str">
        <x:v>Round1</x:v>
      </x:c>
      <x:c r="D639" s="25" t="str">
        <x:v>NOT_REVEALING</x:v>
      </x:c>
      <x:c r="E639" s="25" t="str">
        <x:v>N/A</x:v>
      </x:c>
      <x:c r="F639" s="26" t="str">
        <x:v>Same saved validation suite passed on buggy and fixed</x:v>
      </x:c>
      <x:c r="G639" s="25" t="str">
        <x:v>true</x:v>
      </x:c>
      <x:c r="H639" s="25" t="str">
        <x:v>NOT_REVEALING</x:v>
      </x:c>
      <x:c r="I639" s="25" t="str">
        <x:v>PASS</x:v>
      </x:c>
      <x:c r="J639" s="25" t="str">
        <x:v>PASS</x:v>
      </x:c>
      <x:c r="K639" s="25" t="n">
        <x:v>20</x:v>
      </x:c>
      <x:c r="L639" s="27" t="b">
        <x:v>0</x:v>
      </x:c>
      <x:c r="M639" s="25" t="str">
        <x:v>Feedback-Directed Random Test Generation/rounds/Round1/state/Lang.json</x:v>
      </x:c>
      <x:c r="N639" s="25" t="str">
        <x:v>Feedback-Directed Random Test Generation/Result/Lang_16/result.json</x:v>
      </x:c>
      <x:c r="O639" s="25" t="str">
        <x:v>Feedback-Directed Random Test Generation/Result/Lang_16/result.json</x:v>
      </x:c>
      <x:c r="P639"/>
      <x:c r="Q639" s="21" t="str"/>
      <x:c r="R639" s="21" t="str"/>
      <x:c r="S639" s="21" t="str"/>
      <x:c r="T639" s="17" t="str">
        <x:v>false</x:v>
      </x:c>
      <x:c r="U639" s="17" t="str">
        <x:v>true</x:v>
      </x:c>
      <x:c r="V639" s="17" t="str">
        <x:v>false</x:v>
      </x:c>
    </x:row>
    <x:row r="640" ht="80" customHeight="1">
      <x:c r="A640" s="25" t="str">
        <x:v>Lang</x:v>
      </x:c>
      <x:c r="B640" s="25" t="n">
        <x:v>17</x:v>
      </x:c>
      <x:c r="C640" s="25" t="str">
        <x:v>Round1</x:v>
      </x:c>
      <x:c r="D640" s="25" t="str">
        <x:v>NOT_REVEALING</x:v>
      </x:c>
      <x:c r="E640" s="25" t="str">
        <x:v>N/A</x:v>
      </x:c>
      <x:c r="F640" s="26" t="str">
        <x:v>Same saved validation suite passed on buggy and fixed</x:v>
      </x:c>
      <x:c r="G640" s="25" t="str">
        <x:v>true</x:v>
      </x:c>
      <x:c r="H640" s="25" t="str">
        <x:v>NOT_REVEALING</x:v>
      </x:c>
      <x:c r="I640" s="25" t="str">
        <x:v>PASS</x:v>
      </x:c>
      <x:c r="J640" s="25" t="str">
        <x:v>PASS</x:v>
      </x:c>
      <x:c r="K640" s="25" t="n">
        <x:v>2</x:v>
      </x:c>
      <x:c r="L640" s="27" t="b">
        <x:v>0</x:v>
      </x:c>
      <x:c r="M640" s="25" t="str">
        <x:v>Feedback-Directed Random Test Generation/rounds/Round1/state/Lang.json</x:v>
      </x:c>
      <x:c r="N640" s="25" t="str">
        <x:v>Feedback-Directed Random Test Generation/Result/Lang_17/result.json</x:v>
      </x:c>
      <x:c r="O640" s="25" t="str">
        <x:v>Feedback-Directed Random Test Generation/Result/Lang_17/result.json</x:v>
      </x:c>
      <x:c r="P640"/>
      <x:c r="Q640" s="21" t="str"/>
      <x:c r="R640" s="21" t="str"/>
      <x:c r="S640" s="21" t="str"/>
      <x:c r="T640" s="17" t="str">
        <x:v>false</x:v>
      </x:c>
      <x:c r="U640" s="17" t="str">
        <x:v>true</x:v>
      </x:c>
      <x:c r="V640" s="17" t="str">
        <x:v>false</x:v>
      </x:c>
    </x:row>
    <x:row r="641" ht="80" customHeight="1">
      <x:c r="A641" s="25" t="str">
        <x:v>Lang</x:v>
      </x:c>
      <x:c r="B641" s="25" t="n">
        <x:v>19</x:v>
      </x:c>
      <x:c r="C641" s="25" t="str">
        <x:v>Round1</x:v>
      </x:c>
      <x:c r="D641" s="25" t="str">
        <x:v>NOT_REVEALING</x:v>
      </x:c>
      <x:c r="E641" s="25" t="str">
        <x:v>N/A</x:v>
      </x:c>
      <x:c r="F641" s="26" t="str">
        <x:v>Same saved validation suite passed on buggy and fixed</x:v>
      </x:c>
      <x:c r="G641" s="25" t="str">
        <x:v>true</x:v>
      </x:c>
      <x:c r="H641" s="25" t="str">
        <x:v>NOT_REVEALING</x:v>
      </x:c>
      <x:c r="I641" s="25" t="str">
        <x:v>PASS</x:v>
      </x:c>
      <x:c r="J641" s="25" t="str">
        <x:v>PASS</x:v>
      </x:c>
      <x:c r="K641" s="25" t="n">
        <x:v>11</x:v>
      </x:c>
      <x:c r="L641" s="27" t="b">
        <x:v>0</x:v>
      </x:c>
      <x:c r="M641" s="25" t="str">
        <x:v>Feedback-Directed Random Test Generation/rounds/Round1/state/Lang.json</x:v>
      </x:c>
      <x:c r="N641" s="25" t="str">
        <x:v>Feedback-Directed Random Test Generation/Result/Lang_19/result.json</x:v>
      </x:c>
      <x:c r="O641" s="25" t="str">
        <x:v>Feedback-Directed Random Test Generation/Result/Lang_19/result.json</x:v>
      </x:c>
      <x:c r="P641"/>
      <x:c r="Q641" s="21" t="str"/>
      <x:c r="R641" s="21" t="str"/>
      <x:c r="S641" s="21" t="str"/>
      <x:c r="T641" s="17" t="str">
        <x:v>false</x:v>
      </x:c>
      <x:c r="U641" s="17" t="str">
        <x:v>true</x:v>
      </x:c>
      <x:c r="V641" s="17" t="str">
        <x:v>false</x:v>
      </x:c>
    </x:row>
    <x:row r="642" ht="80" customHeight="1">
      <x:c r="A642" s="25" t="str">
        <x:v>Lang</x:v>
      </x:c>
      <x:c r="B642" s="25" t="n">
        <x:v>20</x:v>
      </x:c>
      <x:c r="C642" s="25" t="str">
        <x:v>Round1</x:v>
      </x:c>
      <x:c r="D642" s="25" t="str">
        <x:v>NOT_REVEALING</x:v>
      </x:c>
      <x:c r="E642" s="25" t="str">
        <x:v>N/A</x:v>
      </x:c>
      <x:c r="F642" s="26" t="str">
        <x:v>Same saved validation suite passed on buggy and fixed</x:v>
      </x:c>
      <x:c r="G642" s="25" t="str">
        <x:v>true</x:v>
      </x:c>
      <x:c r="H642" s="25" t="str">
        <x:v>NOT_REVEALING</x:v>
      </x:c>
      <x:c r="I642" s="25" t="str">
        <x:v>PASS</x:v>
      </x:c>
      <x:c r="J642" s="25" t="str">
        <x:v>PASS</x:v>
      </x:c>
      <x:c r="K642" s="25" t="n">
        <x:v>25</x:v>
      </x:c>
      <x:c r="L642" s="27" t="b">
        <x:v>0</x:v>
      </x:c>
      <x:c r="M642" s="25" t="str">
        <x:v>Feedback-Directed Random Test Generation/rounds/Round1/state/Lang.json</x:v>
      </x:c>
      <x:c r="N642" s="25" t="str">
        <x:v>Feedback-Directed Random Test Generation/Result/Lang_20/result.json</x:v>
      </x:c>
      <x:c r="O642" s="25" t="str">
        <x:v>Feedback-Directed Random Test Generation/Result/Lang_20/result.json</x:v>
      </x:c>
      <x:c r="P642"/>
      <x:c r="Q642" s="21" t="str"/>
      <x:c r="R642" s="21" t="str"/>
      <x:c r="S642" s="21" t="str"/>
      <x:c r="T642" s="17" t="str">
        <x:v>false</x:v>
      </x:c>
      <x:c r="U642" s="17" t="str">
        <x:v>true</x:v>
      </x:c>
      <x:c r="V642" s="17" t="str">
        <x:v>false</x:v>
      </x:c>
    </x:row>
    <x:row r="643" ht="80" customHeight="1">
      <x:c r="A643" s="25" t="str">
        <x:v>Lang</x:v>
      </x:c>
      <x:c r="B643" s="25" t="n">
        <x:v>21</x:v>
      </x:c>
      <x:c r="C643" s="25" t="str">
        <x:v>Round1</x:v>
      </x:c>
      <x:c r="D643" s="25" t="str">
        <x:v>INCONCLUSIVE</x:v>
      </x:c>
      <x:c r="E643" s="25" t="str">
        <x:v>N/A</x:v>
      </x:c>
      <x:c r="F643" s="26" t="str">
        <x:v>Fixed also failed; assertion failure cannot be attributed to this bug; Assertions failed with measured coverage; paired execution and stage checks determine status</x:v>
      </x:c>
      <x:c r="G643" s="25" t="str">
        <x:v>true</x:v>
      </x:c>
      <x:c r="H643" s="25" t="str">
        <x:v>INCONCLUSIVE</x:v>
      </x:c>
      <x:c r="I643" s="25" t="str">
        <x:v>FAIL</x:v>
      </x:c>
      <x:c r="J643" s="25" t="str">
        <x:v>FAIL</x:v>
      </x:c>
      <x:c r="K643" s="25" t="n">
        <x:v>9</x:v>
      </x:c>
      <x:c r="L643" s="27" t="b">
        <x:v>0</x:v>
      </x:c>
      <x:c r="M643" s="25" t="str">
        <x:v>Feedback-Directed Random Test Generation/rounds/Round1/state/Lang.json</x:v>
      </x:c>
      <x:c r="N643" s="25" t="str">
        <x:v>Feedback-Directed Random Test Generation/Result/Lang_21/result.json</x:v>
      </x:c>
      <x:c r="O643" s="25" t="str">
        <x:v>Feedback-Directed Random Test Generation/Result/Lang_21/result.json</x:v>
      </x:c>
      <x:c r="P643"/>
      <x:c r="Q643" s="21" t="str"/>
      <x:c r="R643" s="21" t="str"/>
      <x:c r="S643" s="21" t="str"/>
      <x:c r="T643" s="17" t="str">
        <x:v>false</x:v>
      </x:c>
      <x:c r="U643" s="17" t="str">
        <x:v>true</x:v>
      </x:c>
      <x:c r="V643" s="17" t="str">
        <x:v>false</x:v>
      </x:c>
    </x:row>
    <x:row r="644" ht="80" customHeight="1">
      <x:c r="A644" s="25" t="str">
        <x:v>Lang</x:v>
      </x:c>
      <x:c r="B644" s="25" t="n">
        <x:v>22</x:v>
      </x:c>
      <x:c r="C644" s="25" t="str">
        <x:v>Round1</x:v>
      </x:c>
      <x:c r="D644" s="25" t="str">
        <x:v>INCONCLUSIVE</x:v>
      </x:c>
      <x:c r="E644" s="25" t="str">
        <x:v>N/A</x:v>
      </x:c>
      <x:c r="F644" s="26" t="str">
        <x:v>Fixed also failed; assertion failure cannot be attributed to this bug; Assertions failed with measured coverage; paired execution and stage checks determine status</x:v>
      </x:c>
      <x:c r="G644" s="25" t="str">
        <x:v>true</x:v>
      </x:c>
      <x:c r="H644" s="25" t="str">
        <x:v>INCONCLUSIVE</x:v>
      </x:c>
      <x:c r="I644" s="25" t="str">
        <x:v>FAIL</x:v>
      </x:c>
      <x:c r="J644" s="25" t="str">
        <x:v>FAIL</x:v>
      </x:c>
      <x:c r="K644" s="25" t="n">
        <x:v>12</x:v>
      </x:c>
      <x:c r="L644" s="27" t="b">
        <x:v>0</x:v>
      </x:c>
      <x:c r="M644" s="25" t="str">
        <x:v>Feedback-Directed Random Test Generation/rounds/Round1/state/Lang.json</x:v>
      </x:c>
      <x:c r="N644" s="25" t="str">
        <x:v>Feedback-Directed Random Test Generation/Result/Lang_22/result.json</x:v>
      </x:c>
      <x:c r="O644" s="25" t="str">
        <x:v>Feedback-Directed Random Test Generation/Result/Lang_22/result.json</x:v>
      </x:c>
      <x:c r="P644"/>
      <x:c r="Q644" s="21" t="str"/>
      <x:c r="R644" s="21" t="str"/>
      <x:c r="S644" s="21" t="str"/>
      <x:c r="T644" s="17" t="str">
        <x:v>false</x:v>
      </x:c>
      <x:c r="U644" s="17" t="str">
        <x:v>true</x:v>
      </x:c>
      <x:c r="V644" s="17" t="str">
        <x:v>false</x:v>
      </x:c>
    </x:row>
    <x:row r="645" ht="80" customHeight="1">
      <x:c r="A645" s="25" t="str">
        <x:v>Lang</x:v>
      </x:c>
      <x:c r="B645" s="25" t="n">
        <x:v>23</x:v>
      </x:c>
      <x:c r="C645" s="25" t="str">
        <x:v>Round1</x:v>
      </x:c>
      <x:c r="D645" s="25" t="str">
        <x:v>NOT_REVEALING</x:v>
      </x:c>
      <x:c r="E645" s="25" t="str">
        <x:v>N/A</x:v>
      </x:c>
      <x:c r="F645" s="26" t="str">
        <x:v>Same saved validation suite passed on buggy and fixed</x:v>
      </x:c>
      <x:c r="G645" s="25" t="str">
        <x:v>true</x:v>
      </x:c>
      <x:c r="H645" s="25" t="str">
        <x:v>NOT_REVEALING</x:v>
      </x:c>
      <x:c r="I645" s="25" t="str">
        <x:v>PASS</x:v>
      </x:c>
      <x:c r="J645" s="25" t="str">
        <x:v>PASS</x:v>
      </x:c>
      <x:c r="K645" s="25" t="n">
        <x:v>13</x:v>
      </x:c>
      <x:c r="L645" s="27" t="b">
        <x:v>0</x:v>
      </x:c>
      <x:c r="M645" s="25" t="str">
        <x:v>Feedback-Directed Random Test Generation/rounds/Round1/state/Lang.json</x:v>
      </x:c>
      <x:c r="N645" s="25" t="str">
        <x:v>Feedback-Directed Random Test Generation/Result/Lang_23/result.json</x:v>
      </x:c>
      <x:c r="O645" s="25" t="str">
        <x:v>Feedback-Directed Random Test Generation/Result/Lang_23/result.json</x:v>
      </x:c>
      <x:c r="P645"/>
      <x:c r="Q645" s="21" t="str"/>
      <x:c r="R645" s="21" t="str"/>
      <x:c r="S645" s="21" t="str"/>
      <x:c r="T645" s="17" t="str">
        <x:v>false</x:v>
      </x:c>
      <x:c r="U645" s="17" t="str">
        <x:v>true</x:v>
      </x:c>
      <x:c r="V645" s="17" t="str">
        <x:v>false</x:v>
      </x:c>
    </x:row>
    <x:row r="646" ht="80" customHeight="1">
      <x:c r="A646" s="25" t="str">
        <x:v>Lang</x:v>
      </x:c>
      <x:c r="B646" s="25" t="n">
        <x:v>24</x:v>
      </x:c>
      <x:c r="C646" s="25" t="str">
        <x:v>Round1</x:v>
      </x:c>
      <x:c r="D646" s="25" t="str">
        <x:v>NOT_REVEALING</x:v>
      </x:c>
      <x:c r="E646" s="25" t="str">
        <x:v>N/A</x:v>
      </x:c>
      <x:c r="F646" s="26" t="str">
        <x:v>Same saved validation suite passed on buggy and fixed</x:v>
      </x:c>
      <x:c r="G646" s="25" t="str">
        <x:v>true</x:v>
      </x:c>
      <x:c r="H646" s="25" t="str">
        <x:v>NOT_REVEALING</x:v>
      </x:c>
      <x:c r="I646" s="25" t="str">
        <x:v>PASS</x:v>
      </x:c>
      <x:c r="J646" s="25" t="str">
        <x:v>PASS</x:v>
      </x:c>
      <x:c r="K646" s="25" t="n">
        <x:v>20</x:v>
      </x:c>
      <x:c r="L646" s="27" t="b">
        <x:v>0</x:v>
      </x:c>
      <x:c r="M646" s="25" t="str">
        <x:v>Feedback-Directed Random Test Generation/rounds/Round1/state/Lang.json</x:v>
      </x:c>
      <x:c r="N646" s="25" t="str">
        <x:v>Feedback-Directed Random Test Generation/Result/Lang_24/result.json</x:v>
      </x:c>
      <x:c r="O646" s="25" t="str">
        <x:v>Feedback-Directed Random Test Generation/Result/Lang_24/result.json</x:v>
      </x:c>
      <x:c r="P646"/>
      <x:c r="Q646" s="21" t="str"/>
      <x:c r="R646" s="21" t="str"/>
      <x:c r="S646" s="21" t="str"/>
      <x:c r="T646" s="17" t="str">
        <x:v>false</x:v>
      </x:c>
      <x:c r="U646" s="17" t="str">
        <x:v>true</x:v>
      </x:c>
      <x:c r="V646" s="17" t="str">
        <x:v>false</x:v>
      </x:c>
    </x:row>
    <x:row r="647" ht="80" customHeight="1">
      <x:c r="A647" s="25" t="str">
        <x:v>Lang</x:v>
      </x:c>
      <x:c r="B647" s="25" t="n">
        <x:v>26</x:v>
      </x:c>
      <x:c r="C647" s="25" t="str">
        <x:v>Round1</x:v>
      </x:c>
      <x:c r="D647" s="25" t="str">
        <x:v>INCONCLUSIVE</x:v>
      </x:c>
      <x:c r="E647" s="25" t="str">
        <x:v>N/A</x:v>
      </x:c>
      <x:c r="F647" s="26" t="str">
        <x:v>Fixed also failed; assertion failure cannot be attributed to this bug; Assertions failed with measured coverage; paired execution and stage checks determine status</x:v>
      </x:c>
      <x:c r="G647" s="25" t="str">
        <x:v>true</x:v>
      </x:c>
      <x:c r="H647" s="25" t="str">
        <x:v>INCONCLUSIVE</x:v>
      </x:c>
      <x:c r="I647" s="25" t="str">
        <x:v>FAIL</x:v>
      </x:c>
      <x:c r="J647" s="25" t="str">
        <x:v>FAIL</x:v>
      </x:c>
      <x:c r="K647" s="25" t="n">
        <x:v>15</x:v>
      </x:c>
      <x:c r="L647" s="27" t="b">
        <x:v>0</x:v>
      </x:c>
      <x:c r="M647" s="25" t="str">
        <x:v>Feedback-Directed Random Test Generation/rounds/Round1/state/Lang.json</x:v>
      </x:c>
      <x:c r="N647" s="25" t="str">
        <x:v>Feedback-Directed Random Test Generation/Result/Lang_26/result.json</x:v>
      </x:c>
      <x:c r="O647" s="25" t="str">
        <x:v>Feedback-Directed Random Test Generation/Result/Lang_26/result.json</x:v>
      </x:c>
      <x:c r="P647"/>
      <x:c r="Q647" s="21" t="str"/>
      <x:c r="R647" s="21" t="str"/>
      <x:c r="S647" s="21" t="str"/>
      <x:c r="T647" s="17" t="str">
        <x:v>false</x:v>
      </x:c>
      <x:c r="U647" s="17" t="str">
        <x:v>true</x:v>
      </x:c>
      <x:c r="V647" s="17" t="str">
        <x:v>false</x:v>
      </x:c>
    </x:row>
    <x:row r="648" ht="80" customHeight="1">
      <x:c r="A648" s="25" t="str">
        <x:v>Lang</x:v>
      </x:c>
      <x:c r="B648" s="25" t="n">
        <x:v>27</x:v>
      </x:c>
      <x:c r="C648" s="25" t="str">
        <x:v>Round1</x:v>
      </x:c>
      <x:c r="D648" s="25" t="str">
        <x:v>NOT_REVEALING</x:v>
      </x:c>
      <x:c r="E648" s="25" t="str">
        <x:v>N/A</x:v>
      </x:c>
      <x:c r="F648" s="26" t="str">
        <x:v>Same saved validation suite passed on buggy and fixed</x:v>
      </x:c>
      <x:c r="G648" s="25" t="str">
        <x:v>true</x:v>
      </x:c>
      <x:c r="H648" s="25" t="str">
        <x:v>NOT_REVEALING</x:v>
      </x:c>
      <x:c r="I648" s="25" t="str">
        <x:v>PASS</x:v>
      </x:c>
      <x:c r="J648" s="25" t="str">
        <x:v>PASS</x:v>
      </x:c>
      <x:c r="K648" s="25" t="n">
        <x:v>20</x:v>
      </x:c>
      <x:c r="L648" s="27" t="b">
        <x:v>0</x:v>
      </x:c>
      <x:c r="M648" s="25" t="str">
        <x:v>Feedback-Directed Random Test Generation/rounds/Round1/state/Lang.json</x:v>
      </x:c>
      <x:c r="N648" s="25" t="str">
        <x:v>Feedback-Directed Random Test Generation/Result/Lang_27/result.json</x:v>
      </x:c>
      <x:c r="O648" s="25" t="str">
        <x:v>Feedback-Directed Random Test Generation/Result/Lang_27/result.json</x:v>
      </x:c>
      <x:c r="P648"/>
      <x:c r="Q648" s="21" t="str"/>
      <x:c r="R648" s="21" t="str"/>
      <x:c r="S648" s="21" t="str"/>
      <x:c r="T648" s="17" t="str">
        <x:v>false</x:v>
      </x:c>
      <x:c r="U648" s="17" t="str">
        <x:v>true</x:v>
      </x:c>
      <x:c r="V648" s="17" t="str">
        <x:v>false</x:v>
      </x:c>
    </x:row>
    <x:row r="649" ht="80" customHeight="1">
      <x:c r="A649" s="25" t="str">
        <x:v>Lang</x:v>
      </x:c>
      <x:c r="B649" s="25" t="n">
        <x:v>28</x:v>
      </x:c>
      <x:c r="C649" s="25" t="str">
        <x:v>Round1</x:v>
      </x:c>
      <x:c r="D649" s="25" t="str">
        <x:v>NOT_REVEALING</x:v>
      </x:c>
      <x:c r="E649" s="25" t="str">
        <x:v>N/A</x:v>
      </x:c>
      <x:c r="F649" s="26" t="str">
        <x:v>Same saved validation suite passed on buggy and fixed</x:v>
      </x:c>
      <x:c r="G649" s="25" t="str">
        <x:v>true</x:v>
      </x:c>
      <x:c r="H649" s="25" t="str">
        <x:v>NOT_REVEALING</x:v>
      </x:c>
      <x:c r="I649" s="25" t="str">
        <x:v>PASS</x:v>
      </x:c>
      <x:c r="J649" s="25" t="str">
        <x:v>PASS</x:v>
      </x:c>
      <x:c r="K649" s="25" t="n">
        <x:v>11</x:v>
      </x:c>
      <x:c r="L649" s="27" t="b">
        <x:v>0</x:v>
      </x:c>
      <x:c r="M649" s="25" t="str">
        <x:v>Feedback-Directed Random Test Generation/rounds/Round1/state/Lang.json</x:v>
      </x:c>
      <x:c r="N649" s="25" t="str">
        <x:v>Feedback-Directed Random Test Generation/Result/Lang_28/result.json</x:v>
      </x:c>
      <x:c r="O649" s="25" t="str">
        <x:v>Feedback-Directed Random Test Generation/Result/Lang_28/result.json</x:v>
      </x:c>
      <x:c r="P649"/>
      <x:c r="Q649" s="21" t="str"/>
      <x:c r="R649" s="21" t="str"/>
      <x:c r="S649" s="21" t="str"/>
      <x:c r="T649" s="17" t="str">
        <x:v>false</x:v>
      </x:c>
      <x:c r="U649" s="17" t="str">
        <x:v>true</x:v>
      </x:c>
      <x:c r="V649" s="17" t="str">
        <x:v>false</x:v>
      </x:c>
    </x:row>
    <x:row r="650" ht="80" customHeight="1">
      <x:c r="A650" s="25" t="str">
        <x:v>Lang</x:v>
      </x:c>
      <x:c r="B650" s="25" t="n">
        <x:v>29</x:v>
      </x:c>
      <x:c r="C650" s="25" t="str">
        <x:v>Round1</x:v>
      </x:c>
      <x:c r="D650" s="25" t="str">
        <x:v>NOT_REVEALING</x:v>
      </x:c>
      <x:c r="E650" s="25" t="str">
        <x:v>N/A</x:v>
      </x:c>
      <x:c r="F650" s="26" t="str">
        <x:v>Same saved validation suite passed on buggy and fixed</x:v>
      </x:c>
      <x:c r="G650" s="25" t="str">
        <x:v>true</x:v>
      </x:c>
      <x:c r="H650" s="25" t="str">
        <x:v>NOT_REVEALING</x:v>
      </x:c>
      <x:c r="I650" s="25" t="str">
        <x:v>PASS</x:v>
      </x:c>
      <x:c r="J650" s="25" t="str">
        <x:v>PASS</x:v>
      </x:c>
      <x:c r="K650" s="25" t="n">
        <x:v>29</x:v>
      </x:c>
      <x:c r="L650" s="27" t="b">
        <x:v>0</x:v>
      </x:c>
      <x:c r="M650" s="25" t="str">
        <x:v>Feedback-Directed Random Test Generation/rounds/Round1/state/Lang.json</x:v>
      </x:c>
      <x:c r="N650" s="25" t="str">
        <x:v>Feedback-Directed Random Test Generation/Result/Lang_29/result.json</x:v>
      </x:c>
      <x:c r="O650" s="25" t="str">
        <x:v>Feedback-Directed Random Test Generation/Result/Lang_29/result.json</x:v>
      </x:c>
      <x:c r="P650"/>
      <x:c r="Q650" s="21" t="str"/>
      <x:c r="R650" s="21" t="str"/>
      <x:c r="S650" s="21" t="str"/>
      <x:c r="T650" s="17" t="str">
        <x:v>false</x:v>
      </x:c>
      <x:c r="U650" s="17" t="str">
        <x:v>true</x:v>
      </x:c>
      <x:c r="V650" s="17" t="str">
        <x:v>false</x:v>
      </x:c>
    </x:row>
    <x:row r="651" ht="80" customHeight="1">
      <x:c r="A651" s="25" t="str">
        <x:v>Lang</x:v>
      </x:c>
      <x:c r="B651" s="25" t="n">
        <x:v>30</x:v>
      </x:c>
      <x:c r="C651" s="25" t="str">
        <x:v>Round1</x:v>
      </x:c>
      <x:c r="D651" s="25" t="str">
        <x:v>NOT_AVAILABLE</x:v>
      </x:c>
      <x:c r="E651" s="25" t="str">
        <x:v>N/A</x:v>
      </x:c>
      <x:c r="F651" s="26" t="str">
        <x:v>fixed test_compile=FAIL</x:v>
      </x:c>
      <x:c r="G651" s="25" t="str">
        <x:v>true</x:v>
      </x:c>
      <x:c r="H651" s="25" t="str">
        <x:v>NOT_AVAILABLE</x:v>
      </x:c>
      <x:c r="I651" s="25" t="str">
        <x:v>PASS</x:v>
      </x:c>
      <x:c r="J651" s="25" t="str">
        <x:v>NOT_RUN</x:v>
      </x:c>
      <x:c r="K651" s="25" t="n">
        <x:v>26</x:v>
      </x:c>
      <x:c r="L651" s="27" t="b">
        <x:v>0</x:v>
      </x:c>
      <x:c r="M651" s="25" t="str">
        <x:v>Feedback-Directed Random Test Generation/rounds/Round1/state/Lang.json</x:v>
      </x:c>
      <x:c r="N651" s="25" t="str">
        <x:v>Feedback-Directed Random Test Generation/Result/Lang_30/result.json</x:v>
      </x:c>
      <x:c r="O651" s="25" t="str">
        <x:v>Feedback-Directed Random Test Generation/Result/Lang_30/result.json</x:v>
      </x:c>
      <x:c r="P651" t="str">
        <x:v>FIXED_NOT_RUN</x:v>
      </x:c>
      <x:c r="Q651" s="21" t="str"/>
      <x:c r="R651" s="21" t="str"/>
      <x:c r="S651" s="21" t="str"/>
      <x:c r="T651" s="17" t="str">
        <x:v>false</x:v>
      </x:c>
      <x:c r="U651" s="17" t="str">
        <x:v>true</x:v>
      </x:c>
      <x:c r="V651" s="17" t="str">
        <x:v>false</x:v>
      </x:c>
    </x:row>
    <x:row r="652" ht="80" customHeight="1">
      <x:c r="A652" s="25" t="str">
        <x:v>Lang</x:v>
      </x:c>
      <x:c r="B652" s="25" t="n">
        <x:v>31</x:v>
      </x:c>
      <x:c r="C652" s="25" t="str">
        <x:v>Round1</x:v>
      </x:c>
      <x:c r="D652" s="25" t="str">
        <x:v>NOT_REVEALING</x:v>
      </x:c>
      <x:c r="E652" s="25" t="str">
        <x:v>N/A</x:v>
      </x:c>
      <x:c r="F652" s="26" t="str">
        <x:v>Same saved validation suite passed on buggy and fixed</x:v>
      </x:c>
      <x:c r="G652" s="25" t="str">
        <x:v>true</x:v>
      </x:c>
      <x:c r="H652" s="25" t="str">
        <x:v>NOT_REVEALING</x:v>
      </x:c>
      <x:c r="I652" s="25" t="str">
        <x:v>PASS</x:v>
      </x:c>
      <x:c r="J652" s="25" t="str">
        <x:v>PASS</x:v>
      </x:c>
      <x:c r="K652" s="25" t="n">
        <x:v>26</x:v>
      </x:c>
      <x:c r="L652" s="27" t="b">
        <x:v>0</x:v>
      </x:c>
      <x:c r="M652" s="25" t="str">
        <x:v>Feedback-Directed Random Test Generation/rounds/Round1/state/Lang.json</x:v>
      </x:c>
      <x:c r="N652" s="25" t="str">
        <x:v>Feedback-Directed Random Test Generation/Result/Lang_31/result.json</x:v>
      </x:c>
      <x:c r="O652" s="25" t="str">
        <x:v>Feedback-Directed Random Test Generation/Result/Lang_31/result.json</x:v>
      </x:c>
      <x:c r="P652"/>
      <x:c r="Q652" s="21" t="str"/>
      <x:c r="R652" s="21" t="str"/>
      <x:c r="S652" s="21" t="str"/>
      <x:c r="T652" s="17" t="str">
        <x:v>false</x:v>
      </x:c>
      <x:c r="U652" s="17" t="str">
        <x:v>true</x:v>
      </x:c>
      <x:c r="V652" s="17" t="str">
        <x:v>false</x:v>
      </x:c>
    </x:row>
    <x:row r="653" ht="80" customHeight="1">
      <x:c r="A653" s="25" t="str">
        <x:v>Lang</x:v>
      </x:c>
      <x:c r="B653" s="25" t="n">
        <x:v>32</x:v>
      </x:c>
      <x:c r="C653" s="25" t="str">
        <x:v>Round1</x:v>
      </x:c>
      <x:c r="D653" s="25" t="str">
        <x:v>INCONCLUSIVE</x:v>
      </x:c>
      <x:c r="E653" s="25" t="str">
        <x:v>N/A</x:v>
      </x:c>
      <x:c r="F653" s="26" t="str">
        <x:v>Fixed also failed; assertion failure cannot be attributed to this bug; Assertions failed with measured coverage; paired execution and stage checks determine status</x:v>
      </x:c>
      <x:c r="G653" s="25" t="str">
        <x:v>true</x:v>
      </x:c>
      <x:c r="H653" s="25" t="str">
        <x:v>INCONCLUSIVE</x:v>
      </x:c>
      <x:c r="I653" s="25" t="str">
        <x:v>FAIL</x:v>
      </x:c>
      <x:c r="J653" s="25" t="str">
        <x:v>FAIL</x:v>
      </x:c>
      <x:c r="K653" s="25" t="n">
        <x:v>10</x:v>
      </x:c>
      <x:c r="L653" s="27" t="b">
        <x:v>0</x:v>
      </x:c>
      <x:c r="M653" s="25" t="str">
        <x:v>Feedback-Directed Random Test Generation/rounds/Round1/state/Lang.json</x:v>
      </x:c>
      <x:c r="N653" s="25" t="str">
        <x:v>Feedback-Directed Random Test Generation/Result/Lang_32/result.json</x:v>
      </x:c>
      <x:c r="O653" s="25" t="str">
        <x:v>Feedback-Directed Random Test Generation/Result/Lang_32/result.json</x:v>
      </x:c>
      <x:c r="P653"/>
      <x:c r="Q653" s="21" t="str"/>
      <x:c r="R653" s="21" t="str"/>
      <x:c r="S653" s="21" t="str"/>
      <x:c r="T653" s="17" t="str">
        <x:v>false</x:v>
      </x:c>
      <x:c r="U653" s="17" t="str">
        <x:v>true</x:v>
      </x:c>
      <x:c r="V653" s="17" t="str">
        <x:v>false</x:v>
      </x:c>
    </x:row>
    <x:row r="654" ht="80" customHeight="1">
      <x:c r="A654" s="25" t="str">
        <x:v>Lang</x:v>
      </x:c>
      <x:c r="B654" s="25" t="n">
        <x:v>33</x:v>
      </x:c>
      <x:c r="C654" s="25" t="str">
        <x:v>Round1</x:v>
      </x:c>
      <x:c r="D654" s="25" t="str">
        <x:v>INCONCLUSIVE</x:v>
      </x:c>
      <x:c r="E654" s="25" t="str">
        <x:v>N/A</x:v>
      </x:c>
      <x:c r="F654" s="26" t="str">
        <x:v>Fixed also failed; assertion failure cannot be attributed to this bug</x:v>
      </x:c>
      <x:c r="G654" s="25" t="str">
        <x:v>true</x:v>
      </x:c>
      <x:c r="H654" s="25" t="str">
        <x:v>INCONCLUSIVE</x:v>
      </x:c>
      <x:c r="I654" s="25" t="str">
        <x:v>PASS</x:v>
      </x:c>
      <x:c r="J654" s="25" t="str">
        <x:v>FAIL</x:v>
      </x:c>
      <x:c r="K654" s="25" t="n">
        <x:v>4</x:v>
      </x:c>
      <x:c r="L654" s="27" t="b">
        <x:v>0</x:v>
      </x:c>
      <x:c r="M654" s="25" t="str">
        <x:v>Feedback-Directed Random Test Generation/rounds/Round1/state/Lang.json</x:v>
      </x:c>
      <x:c r="N654" s="25" t="str">
        <x:v>Feedback-Directed Random Test Generation/Result/Lang_33/result.json</x:v>
      </x:c>
      <x:c r="O654" s="25" t="str">
        <x:v>Feedback-Directed Random Test Generation/Result/Lang_33/result.json</x:v>
      </x:c>
      <x:c r="P654"/>
      <x:c r="Q654" s="21" t="str"/>
      <x:c r="R654" s="21" t="str"/>
      <x:c r="S654" s="21" t="str"/>
      <x:c r="T654" s="17" t="str">
        <x:v>false</x:v>
      </x:c>
      <x:c r="U654" s="17" t="str">
        <x:v>true</x:v>
      </x:c>
      <x:c r="V654" s="17" t="str">
        <x:v>false</x:v>
      </x:c>
    </x:row>
    <x:row r="655" ht="80" customHeight="1">
      <x:c r="A655" s="25" t="str">
        <x:v>Lang</x:v>
      </x:c>
      <x:c r="B655" s="25" t="n">
        <x:v>34</x:v>
      </x:c>
      <x:c r="C655" s="25" t="str">
        <x:v>Round1</x:v>
      </x:c>
      <x:c r="D655" s="25" t="str">
        <x:v>INCONCLUSIVE</x:v>
      </x:c>
      <x:c r="E655" s="25" t="str">
        <x:v>N/A</x:v>
      </x:c>
      <x:c r="F655" s="26" t="str">
        <x:v>Fixed also failed; assertion failure cannot be attributed to this bug; Assertions failed with measured coverage; paired execution and stage checks determine status</x:v>
      </x:c>
      <x:c r="G655" s="25" t="str">
        <x:v>true</x:v>
      </x:c>
      <x:c r="H655" s="25" t="str">
        <x:v>INCONCLUSIVE</x:v>
      </x:c>
      <x:c r="I655" s="25" t="str">
        <x:v>FAIL</x:v>
      </x:c>
      <x:c r="J655" s="25" t="str">
        <x:v>FAIL</x:v>
      </x:c>
      <x:c r="K655" s="25" t="n">
        <x:v>16</x:v>
      </x:c>
      <x:c r="L655" s="27" t="b">
        <x:v>0</x:v>
      </x:c>
      <x:c r="M655" s="25" t="str">
        <x:v>Feedback-Directed Random Test Generation/rounds/Round1/state/Lang.json</x:v>
      </x:c>
      <x:c r="N655" s="25" t="str">
        <x:v>Feedback-Directed Random Test Generation/Result/Lang_34/result.json</x:v>
      </x:c>
      <x:c r="O655" s="25" t="str">
        <x:v>Feedback-Directed Random Test Generation/Result/Lang_34/result.json</x:v>
      </x:c>
      <x:c r="P655"/>
      <x:c r="Q655" s="21" t="str"/>
      <x:c r="R655" s="21" t="str"/>
      <x:c r="S655" s="21" t="str"/>
      <x:c r="T655" s="17" t="str">
        <x:v>false</x:v>
      </x:c>
      <x:c r="U655" s="17" t="str">
        <x:v>true</x:v>
      </x:c>
      <x:c r="V655" s="17" t="str">
        <x:v>false</x:v>
      </x:c>
    </x:row>
    <x:row r="656" ht="80" customHeight="1">
      <x:c r="A656" s="25" t="str">
        <x:v>Lang</x:v>
      </x:c>
      <x:c r="B656" s="25" t="n">
        <x:v>35</x:v>
      </x:c>
      <x:c r="C656" s="25" t="str">
        <x:v>Round1</x:v>
      </x:c>
      <x:c r="D656" s="25" t="str">
        <x:v>NOT_REVEALING</x:v>
      </x:c>
      <x:c r="E656" s="25" t="str">
        <x:v>N/A</x:v>
      </x:c>
      <x:c r="F656" s="26" t="str">
        <x:v>Same saved validation suite passed on buggy and fixed</x:v>
      </x:c>
      <x:c r="G656" s="25" t="str">
        <x:v>true</x:v>
      </x:c>
      <x:c r="H656" s="25" t="str">
        <x:v>NOT_REVEALING</x:v>
      </x:c>
      <x:c r="I656" s="25" t="str">
        <x:v>PASS</x:v>
      </x:c>
      <x:c r="J656" s="25" t="str">
        <x:v>PASS</x:v>
      </x:c>
      <x:c r="K656" s="25" t="n">
        <x:v>11</x:v>
      </x:c>
      <x:c r="L656" s="27" t="b">
        <x:v>0</x:v>
      </x:c>
      <x:c r="M656" s="25" t="str">
        <x:v>Feedback-Directed Random Test Generation/rounds/Round1/state/Lang.json</x:v>
      </x:c>
      <x:c r="N656" s="25" t="str">
        <x:v>Feedback-Directed Random Test Generation/Result/Lang_35/result.json</x:v>
      </x:c>
      <x:c r="O656" s="25" t="str">
        <x:v>Feedback-Directed Random Test Generation/Result/Lang_35/result.json</x:v>
      </x:c>
      <x:c r="P656"/>
      <x:c r="Q656" s="21" t="str"/>
      <x:c r="R656" s="21" t="str"/>
      <x:c r="S656" s="21" t="str"/>
      <x:c r="T656" s="17" t="str">
        <x:v>false</x:v>
      </x:c>
      <x:c r="U656" s="17" t="str">
        <x:v>true</x:v>
      </x:c>
      <x:c r="V656" s="17" t="str">
        <x:v>false</x:v>
      </x:c>
    </x:row>
    <x:row r="657" ht="80" customHeight="1">
      <x:c r="A657" s="25" t="str">
        <x:v>Lang</x:v>
      </x:c>
      <x:c r="B657" s="25" t="n">
        <x:v>36</x:v>
      </x:c>
      <x:c r="C657" s="25" t="str">
        <x:v>Round1</x:v>
      </x:c>
      <x:c r="D657" s="25" t="str">
        <x:v>NOT_REVEALING</x:v>
      </x:c>
      <x:c r="E657" s="25" t="str">
        <x:v>N/A</x:v>
      </x:c>
      <x:c r="F657" s="26" t="str">
        <x:v>Same saved validation suite passed on buggy and fixed</x:v>
      </x:c>
      <x:c r="G657" s="25" t="str">
        <x:v>true</x:v>
      </x:c>
      <x:c r="H657" s="25" t="str">
        <x:v>NOT_REVEALING</x:v>
      </x:c>
      <x:c r="I657" s="25" t="str">
        <x:v>PASS</x:v>
      </x:c>
      <x:c r="J657" s="25" t="str">
        <x:v>PASS</x:v>
      </x:c>
      <x:c r="K657" s="25" t="n">
        <x:v>20</x:v>
      </x:c>
      <x:c r="L657" s="27" t="b">
        <x:v>0</x:v>
      </x:c>
      <x:c r="M657" s="25" t="str">
        <x:v>Feedback-Directed Random Test Generation/rounds/Round1/state/Lang.json</x:v>
      </x:c>
      <x:c r="N657" s="25" t="str">
        <x:v>Feedback-Directed Random Test Generation/Result/Lang_36/result.json</x:v>
      </x:c>
      <x:c r="O657" s="25" t="str">
        <x:v>Feedback-Directed Random Test Generation/Result/Lang_36/result.json</x:v>
      </x:c>
      <x:c r="P657"/>
      <x:c r="Q657" s="21" t="str"/>
      <x:c r="R657" s="21" t="str"/>
      <x:c r="S657" s="21" t="str"/>
      <x:c r="T657" s="17" t="str">
        <x:v>false</x:v>
      </x:c>
      <x:c r="U657" s="17" t="str">
        <x:v>true</x:v>
      </x:c>
      <x:c r="V657" s="17" t="str">
        <x:v>false</x:v>
      </x:c>
    </x:row>
    <x:row r="658" ht="80" customHeight="1">
      <x:c r="A658" s="25" t="str">
        <x:v>Lang</x:v>
      </x:c>
      <x:c r="B658" s="25" t="n">
        <x:v>37</x:v>
      </x:c>
      <x:c r="C658" s="25" t="str">
        <x:v>Round1</x:v>
      </x:c>
      <x:c r="D658" s="25" t="str">
        <x:v>INCONCLUSIVE</x:v>
      </x:c>
      <x:c r="E658" s="25" t="str">
        <x:v>N/A</x:v>
      </x:c>
      <x:c r="F658" s="26" t="str">
        <x:v>Fixed also failed; assertion failure cannot be attributed to this bug</x:v>
      </x:c>
      <x:c r="G658" s="25" t="str">
        <x:v>true</x:v>
      </x:c>
      <x:c r="H658" s="25" t="str">
        <x:v>INCONCLUSIVE</x:v>
      </x:c>
      <x:c r="I658" s="25" t="str">
        <x:v>PASS</x:v>
      </x:c>
      <x:c r="J658" s="25" t="str">
        <x:v>FAIL</x:v>
      </x:c>
      <x:c r="K658" s="25" t="n">
        <x:v>11</x:v>
      </x:c>
      <x:c r="L658" s="27" t="b">
        <x:v>0</x:v>
      </x:c>
      <x:c r="M658" s="25" t="str">
        <x:v>Feedback-Directed Random Test Generation/rounds/Round1/state/Lang.json</x:v>
      </x:c>
      <x:c r="N658" s="25" t="str">
        <x:v>Feedback-Directed Random Test Generation/Result/Lang_37/result.json</x:v>
      </x:c>
      <x:c r="O658" s="25" t="str">
        <x:v>Feedback-Directed Random Test Generation/Result/Lang_37/result.json</x:v>
      </x:c>
      <x:c r="P658"/>
      <x:c r="Q658" s="21" t="str"/>
      <x:c r="R658" s="21" t="str"/>
      <x:c r="S658" s="21" t="str"/>
      <x:c r="T658" s="17" t="str">
        <x:v>false</x:v>
      </x:c>
      <x:c r="U658" s="17" t="str">
        <x:v>true</x:v>
      </x:c>
      <x:c r="V658" s="17" t="str">
        <x:v>false</x:v>
      </x:c>
    </x:row>
    <x:row r="659" ht="80" customHeight="1">
      <x:c r="A659" s="25" t="str">
        <x:v>Lang</x:v>
      </x:c>
      <x:c r="B659" s="25" t="n">
        <x:v>38</x:v>
      </x:c>
      <x:c r="C659" s="25" t="str">
        <x:v>Round1</x:v>
      </x:c>
      <x:c r="D659" s="25" t="str">
        <x:v>INCONCLUSIVE</x:v>
      </x:c>
      <x:c r="E659" s="25" t="str">
        <x:v>N/A</x:v>
      </x:c>
      <x:c r="F659" s="26" t="str">
        <x:v>Fixed also failed; assertion failure cannot be attributed to this bug; Assertions failed with measured coverage; paired execution and stage checks determine status</x:v>
      </x:c>
      <x:c r="G659" s="25" t="str">
        <x:v>true</x:v>
      </x:c>
      <x:c r="H659" s="25" t="str">
        <x:v>INCONCLUSIVE</x:v>
      </x:c>
      <x:c r="I659" s="25" t="str">
        <x:v>FAIL</x:v>
      </x:c>
      <x:c r="J659" s="25" t="str">
        <x:v>FAIL</x:v>
      </x:c>
      <x:c r="K659" s="25" t="n">
        <x:v>14</x:v>
      </x:c>
      <x:c r="L659" s="27" t="b">
        <x:v>0</x:v>
      </x:c>
      <x:c r="M659" s="25" t="str">
        <x:v>Feedback-Directed Random Test Generation/rounds/Round1/state/Lang.json</x:v>
      </x:c>
      <x:c r="N659" s="25" t="str">
        <x:v>Feedback-Directed Random Test Generation/Result/Lang_38/result.json</x:v>
      </x:c>
      <x:c r="O659" s="25" t="str">
        <x:v>Feedback-Directed Random Test Generation/Result/Lang_38/result.json</x:v>
      </x:c>
      <x:c r="P659"/>
      <x:c r="Q659" s="21" t="str"/>
      <x:c r="R659" s="21" t="str"/>
      <x:c r="S659" s="21" t="str"/>
      <x:c r="T659" s="17" t="str">
        <x:v>false</x:v>
      </x:c>
      <x:c r="U659" s="17" t="str">
        <x:v>true</x:v>
      </x:c>
      <x:c r="V659" s="17" t="str">
        <x:v>false</x:v>
      </x:c>
    </x:row>
    <x:row r="660" ht="80" customHeight="1">
      <x:c r="A660" s="25" t="str">
        <x:v>Lang</x:v>
      </x:c>
      <x:c r="B660" s="25" t="n">
        <x:v>39</x:v>
      </x:c>
      <x:c r="C660" s="25" t="str">
        <x:v>Round1</x:v>
      </x:c>
      <x:c r="D660" s="25" t="str">
        <x:v>NOT_REVEALING</x:v>
      </x:c>
      <x:c r="E660" s="25" t="str">
        <x:v>N/A</x:v>
      </x:c>
      <x:c r="F660" s="26" t="str">
        <x:v>Same saved validation suite passed on buggy and fixed</x:v>
      </x:c>
      <x:c r="G660" s="25" t="str">
        <x:v>true</x:v>
      </x:c>
      <x:c r="H660" s="25" t="str">
        <x:v>NOT_REVEALING</x:v>
      </x:c>
      <x:c r="I660" s="25" t="str">
        <x:v>PASS</x:v>
      </x:c>
      <x:c r="J660" s="25" t="str">
        <x:v>PASS</x:v>
      </x:c>
      <x:c r="K660" s="25" t="n">
        <x:v>26</x:v>
      </x:c>
      <x:c r="L660" s="27" t="b">
        <x:v>0</x:v>
      </x:c>
      <x:c r="M660" s="25" t="str">
        <x:v>Feedback-Directed Random Test Generation/rounds/Round1/state/Lang.json</x:v>
      </x:c>
      <x:c r="N660" s="25" t="str">
        <x:v>Feedback-Directed Random Test Generation/Result/Lang_39/result.json</x:v>
      </x:c>
      <x:c r="O660" s="25" t="str">
        <x:v>Feedback-Directed Random Test Generation/Result/Lang_39/result.json</x:v>
      </x:c>
      <x:c r="P660"/>
      <x:c r="Q660" s="21" t="str"/>
      <x:c r="R660" s="21" t="str"/>
      <x:c r="S660" s="21" t="str"/>
      <x:c r="T660" s="17" t="str">
        <x:v>false</x:v>
      </x:c>
      <x:c r="U660" s="17" t="str">
        <x:v>true</x:v>
      </x:c>
      <x:c r="V660" s="17" t="str">
        <x:v>false</x:v>
      </x:c>
    </x:row>
    <x:row r="661" ht="80" customHeight="1">
      <x:c r="A661" s="25" t="str">
        <x:v>Lang</x:v>
      </x:c>
      <x:c r="B661" s="25" t="n">
        <x:v>40</x:v>
      </x:c>
      <x:c r="C661" s="25" t="str">
        <x:v>Round1</x:v>
      </x:c>
      <x:c r="D661" s="25" t="str">
        <x:v>NOT_REVEALING</x:v>
      </x:c>
      <x:c r="E661" s="25" t="str">
        <x:v>N/A</x:v>
      </x:c>
      <x:c r="F661" s="26" t="str">
        <x:v>Same saved validation suite passed on buggy and fixed</x:v>
      </x:c>
      <x:c r="G661" s="25" t="str">
        <x:v>true</x:v>
      </x:c>
      <x:c r="H661" s="25" t="str">
        <x:v>NOT_REVEALING</x:v>
      </x:c>
      <x:c r="I661" s="25" t="str">
        <x:v>PASS</x:v>
      </x:c>
      <x:c r="J661" s="25" t="str">
        <x:v>PASS</x:v>
      </x:c>
      <x:c r="K661" s="25" t="n">
        <x:v>26</x:v>
      </x:c>
      <x:c r="L661" s="27" t="b">
        <x:v>0</x:v>
      </x:c>
      <x:c r="M661" s="25" t="str">
        <x:v>Feedback-Directed Random Test Generation/rounds/Round1/state/Lang.json</x:v>
      </x:c>
      <x:c r="N661" s="25" t="str">
        <x:v>Feedback-Directed Random Test Generation/Result/Lang_40/result.json</x:v>
      </x:c>
      <x:c r="O661" s="25" t="str">
        <x:v>Feedback-Directed Random Test Generation/Result/Lang_40/result.json</x:v>
      </x:c>
      <x:c r="P661"/>
      <x:c r="Q661" s="21" t="str"/>
      <x:c r="R661" s="21" t="str"/>
      <x:c r="S661" s="21" t="str"/>
      <x:c r="T661" s="17" t="str">
        <x:v>false</x:v>
      </x:c>
      <x:c r="U661" s="17" t="str">
        <x:v>true</x:v>
      </x:c>
      <x:c r="V661" s="17" t="str">
        <x:v>false</x:v>
      </x:c>
    </x:row>
    <x:row r="662" ht="80" customHeight="1">
      <x:c r="A662" s="25" t="str">
        <x:v>Lang</x:v>
      </x:c>
      <x:c r="B662" s="25" t="n">
        <x:v>41</x:v>
      </x:c>
      <x:c r="C662" s="25" t="str">
        <x:v>Round1</x:v>
      </x:c>
      <x:c r="D662" s="25" t="str">
        <x:v>INCONCLUSIVE</x:v>
      </x:c>
      <x:c r="E662" s="25" t="str">
        <x:v>N/A</x:v>
      </x:c>
      <x:c r="F662" s="26" t="str">
        <x:v>Fixed also failed; assertion failure cannot be attributed to this bug</x:v>
      </x:c>
      <x:c r="G662" s="25" t="str">
        <x:v>true</x:v>
      </x:c>
      <x:c r="H662" s="25" t="str">
        <x:v>INCONCLUSIVE</x:v>
      </x:c>
      <x:c r="I662" s="25" t="str">
        <x:v>PASS</x:v>
      </x:c>
      <x:c r="J662" s="25" t="str">
        <x:v>FAIL</x:v>
      </x:c>
      <x:c r="K662" s="25" t="n">
        <x:v>4</x:v>
      </x:c>
      <x:c r="L662" s="27" t="b">
        <x:v>0</x:v>
      </x:c>
      <x:c r="M662" s="25" t="str">
        <x:v>Feedback-Directed Random Test Generation/rounds/Round1/state/Lang.json</x:v>
      </x:c>
      <x:c r="N662" s="25" t="str">
        <x:v>Feedback-Directed Random Test Generation/Result/Lang_41/result.json</x:v>
      </x:c>
      <x:c r="O662" s="25" t="str">
        <x:v>Feedback-Directed Random Test Generation/Result/Lang_41/result.json</x:v>
      </x:c>
      <x:c r="P662"/>
      <x:c r="Q662" s="21" t="str"/>
      <x:c r="R662" s="21" t="str"/>
      <x:c r="S662" s="21" t="str"/>
      <x:c r="T662" s="17" t="str">
        <x:v>false</x:v>
      </x:c>
      <x:c r="U662" s="17" t="str">
        <x:v>true</x:v>
      </x:c>
      <x:c r="V662" s="17" t="str">
        <x:v>false</x:v>
      </x:c>
    </x:row>
    <x:row r="663" ht="80" customHeight="1">
      <x:c r="A663" s="25" t="str">
        <x:v>Lang</x:v>
      </x:c>
      <x:c r="B663" s="25" t="n">
        <x:v>42</x:v>
      </x:c>
      <x:c r="C663" s="25" t="str">
        <x:v>Round1</x:v>
      </x:c>
      <x:c r="D663" s="25" t="str">
        <x:v>INCONCLUSIVE</x:v>
      </x:c>
      <x:c r="E663" s="25" t="str">
        <x:v>N/A</x:v>
      </x:c>
      <x:c r="F663" s="26" t="str">
        <x:v>Fixed also failed; assertion failure cannot be attributed to this bug; Assertions failed with measured coverage; paired execution and stage checks determine status</x:v>
      </x:c>
      <x:c r="G663" s="25" t="str">
        <x:v>true</x:v>
      </x:c>
      <x:c r="H663" s="25" t="str">
        <x:v>INCONCLUSIVE</x:v>
      </x:c>
      <x:c r="I663" s="25" t="str">
        <x:v>FAIL</x:v>
      </x:c>
      <x:c r="J663" s="25" t="str">
        <x:v>FAIL</x:v>
      </x:c>
      <x:c r="K663" s="25" t="n">
        <x:v>15</x:v>
      </x:c>
      <x:c r="L663" s="27" t="b">
        <x:v>0</x:v>
      </x:c>
      <x:c r="M663" s="25" t="str">
        <x:v>Feedback-Directed Random Test Generation/rounds/Round1/state/Lang.json</x:v>
      </x:c>
      <x:c r="N663" s="25" t="str">
        <x:v>Feedback-Directed Random Test Generation/Result/Lang_42/result.json</x:v>
      </x:c>
      <x:c r="O663" s="25" t="str">
        <x:v>Feedback-Directed Random Test Generation/Result/Lang_42/result.json</x:v>
      </x:c>
      <x:c r="P663"/>
      <x:c r="Q663" s="21" t="str"/>
      <x:c r="R663" s="21" t="str"/>
      <x:c r="S663" s="21" t="str"/>
      <x:c r="T663" s="17" t="str">
        <x:v>false</x:v>
      </x:c>
      <x:c r="U663" s="17" t="str">
        <x:v>true</x:v>
      </x:c>
      <x:c r="V663" s="17" t="str">
        <x:v>false</x:v>
      </x:c>
    </x:row>
    <x:row r="664" ht="80" customHeight="1">
      <x:c r="A664" s="25" t="str">
        <x:v>Lang</x:v>
      </x:c>
      <x:c r="B664" s="25" t="n">
        <x:v>43</x:v>
      </x:c>
      <x:c r="C664" s="25" t="str">
        <x:v>Round1</x:v>
      </x:c>
      <x:c r="D664" s="25" t="str">
        <x:v>NOT_REVEALING</x:v>
      </x:c>
      <x:c r="E664" s="25" t="str">
        <x:v>N/A</x:v>
      </x:c>
      <x:c r="F664" s="26" t="str">
        <x:v>Same saved validation suite passed on buggy and fixed</x:v>
      </x:c>
      <x:c r="G664" s="25" t="str">
        <x:v>true</x:v>
      </x:c>
      <x:c r="H664" s="25" t="str">
        <x:v>NOT_REVEALING</x:v>
      </x:c>
      <x:c r="I664" s="25" t="str">
        <x:v>PASS</x:v>
      </x:c>
      <x:c r="J664" s="25" t="str">
        <x:v>PASS</x:v>
      </x:c>
      <x:c r="K664" s="25" t="n">
        <x:v>9</x:v>
      </x:c>
      <x:c r="L664" s="27" t="b">
        <x:v>0</x:v>
      </x:c>
      <x:c r="M664" s="25" t="str">
        <x:v>Feedback-Directed Random Test Generation/rounds/Round1/state/Lang.json</x:v>
      </x:c>
      <x:c r="N664" s="25" t="str">
        <x:v>Feedback-Directed Random Test Generation/Result/Lang_43/result.json</x:v>
      </x:c>
      <x:c r="O664" s="25" t="str">
        <x:v>Feedback-Directed Random Test Generation/Result/Lang_43/result.json</x:v>
      </x:c>
      <x:c r="P664"/>
      <x:c r="Q664" s="21" t="str"/>
      <x:c r="R664" s="21" t="str"/>
      <x:c r="S664" s="21" t="str"/>
      <x:c r="T664" s="17" t="str">
        <x:v>false</x:v>
      </x:c>
      <x:c r="U664" s="17" t="str">
        <x:v>true</x:v>
      </x:c>
      <x:c r="V664" s="17" t="str">
        <x:v>false</x:v>
      </x:c>
    </x:row>
    <x:row r="665" ht="80" customHeight="1">
      <x:c r="A665" s="25" t="str">
        <x:v>Lang</x:v>
      </x:c>
      <x:c r="B665" s="25" t="n">
        <x:v>44</x:v>
      </x:c>
      <x:c r="C665" s="25" t="str">
        <x:v>Round1</x:v>
      </x:c>
      <x:c r="D665" s="25" t="str">
        <x:v>NOT_REVEALING</x:v>
      </x:c>
      <x:c r="E665" s="25" t="str">
        <x:v>N/A</x:v>
      </x:c>
      <x:c r="F665" s="26" t="str">
        <x:v>Same saved validation suite passed on buggy and fixed</x:v>
      </x:c>
      <x:c r="G665" s="25" t="str">
        <x:v>true</x:v>
      </x:c>
      <x:c r="H665" s="25" t="str">
        <x:v>NOT_REVEALING</x:v>
      </x:c>
      <x:c r="I665" s="25" t="str">
        <x:v>PASS</x:v>
      </x:c>
      <x:c r="J665" s="25" t="str">
        <x:v>PASS</x:v>
      </x:c>
      <x:c r="K665" s="25" t="n">
        <x:v>28</x:v>
      </x:c>
      <x:c r="L665" s="27" t="b">
        <x:v>0</x:v>
      </x:c>
      <x:c r="M665" s="25" t="str">
        <x:v>Feedback-Directed Random Test Generation/rounds/Round1/state/Lang.json</x:v>
      </x:c>
      <x:c r="N665" s="25" t="str">
        <x:v>Feedback-Directed Random Test Generation/Result/Lang_44/result.json</x:v>
      </x:c>
      <x:c r="O665" s="25" t="str">
        <x:v>Feedback-Directed Random Test Generation/Result/Lang_44/result.json</x:v>
      </x:c>
      <x:c r="P665"/>
      <x:c r="Q665" s="21" t="str"/>
      <x:c r="R665" s="21" t="str"/>
      <x:c r="S665" s="21" t="str"/>
      <x:c r="T665" s="17" t="str">
        <x:v>false</x:v>
      </x:c>
      <x:c r="U665" s="17" t="str">
        <x:v>true</x:v>
      </x:c>
      <x:c r="V665" s="17" t="str">
        <x:v>false</x:v>
      </x:c>
    </x:row>
    <x:row r="666" ht="80" customHeight="1">
      <x:c r="A666" s="25" t="str">
        <x:v>Lang</x:v>
      </x:c>
      <x:c r="B666" s="25" t="n">
        <x:v>45</x:v>
      </x:c>
      <x:c r="C666" s="25" t="str">
        <x:v>Round1</x:v>
      </x:c>
      <x:c r="D666" s="25" t="str">
        <x:v>INCONCLUSIVE</x:v>
      </x:c>
      <x:c r="E666" s="25" t="str">
        <x:v>N/A</x:v>
      </x:c>
      <x:c r="F666" s="26" t="str">
        <x:v>Fixed also failed; assertion failure cannot be attributed to this bug</x:v>
      </x:c>
      <x:c r="G666" s="25" t="str">
        <x:v>true</x:v>
      </x:c>
      <x:c r="H666" s="25" t="str">
        <x:v>INCONCLUSIVE</x:v>
      </x:c>
      <x:c r="I666" s="25" t="str">
        <x:v>PASS</x:v>
      </x:c>
      <x:c r="J666" s="25" t="str">
        <x:v>FAIL</x:v>
      </x:c>
      <x:c r="K666" s="25" t="n">
        <x:v>21</x:v>
      </x:c>
      <x:c r="L666" s="27" t="b">
        <x:v>0</x:v>
      </x:c>
      <x:c r="M666" s="25" t="str">
        <x:v>Feedback-Directed Random Test Generation/rounds/Round1/state/Lang.json</x:v>
      </x:c>
      <x:c r="N666" s="25" t="str">
        <x:v>Feedback-Directed Random Test Generation/Result/Lang_45/result.json</x:v>
      </x:c>
      <x:c r="O666" s="25" t="str">
        <x:v>Feedback-Directed Random Test Generation/Result/Lang_45/result.json</x:v>
      </x:c>
      <x:c r="P666"/>
      <x:c r="Q666" s="21" t="str"/>
      <x:c r="R666" s="21" t="str"/>
      <x:c r="S666" s="21" t="str"/>
      <x:c r="T666" s="17" t="str">
        <x:v>false</x:v>
      </x:c>
      <x:c r="U666" s="17" t="str">
        <x:v>true</x:v>
      </x:c>
      <x:c r="V666" s="17" t="str">
        <x:v>false</x:v>
      </x:c>
    </x:row>
    <x:row r="667" ht="80" customHeight="1">
      <x:c r="A667" s="25" t="str">
        <x:v>Lang</x:v>
      </x:c>
      <x:c r="B667" s="25" t="n">
        <x:v>46</x:v>
      </x:c>
      <x:c r="C667" s="25" t="str">
        <x:v>Round1</x:v>
      </x:c>
      <x:c r="D667" s="25" t="str">
        <x:v>NOT_REVEALING</x:v>
      </x:c>
      <x:c r="E667" s="25" t="str">
        <x:v>N/A</x:v>
      </x:c>
      <x:c r="F667" s="26" t="str">
        <x:v>Same saved validation suite passed on buggy and fixed</x:v>
      </x:c>
      <x:c r="G667" s="25" t="str">
        <x:v>true</x:v>
      </x:c>
      <x:c r="H667" s="25" t="str">
        <x:v>NOT_REVEALING</x:v>
      </x:c>
      <x:c r="I667" s="25" t="str">
        <x:v>PASS</x:v>
      </x:c>
      <x:c r="J667" s="25" t="str">
        <x:v>PASS</x:v>
      </x:c>
      <x:c r="K667" s="25" t="n">
        <x:v>2</x:v>
      </x:c>
      <x:c r="L667" s="27" t="b">
        <x:v>0</x:v>
      </x:c>
      <x:c r="M667" s="25" t="str">
        <x:v>Feedback-Directed Random Test Generation/rounds/Round1/state/Lang.json</x:v>
      </x:c>
      <x:c r="N667" s="25" t="str">
        <x:v>Feedback-Directed Random Test Generation/Result/Lang_46/result.json</x:v>
      </x:c>
      <x:c r="O667" s="25" t="str">
        <x:v>Feedback-Directed Random Test Generation/Result/Lang_46/result.json</x:v>
      </x:c>
      <x:c r="P667"/>
      <x:c r="Q667" s="21" t="str"/>
      <x:c r="R667" s="21" t="str"/>
      <x:c r="S667" s="21" t="str"/>
      <x:c r="T667" s="17" t="str">
        <x:v>false</x:v>
      </x:c>
      <x:c r="U667" s="17" t="str">
        <x:v>true</x:v>
      </x:c>
      <x:c r="V667" s="17" t="str">
        <x:v>false</x:v>
      </x:c>
    </x:row>
    <x:row r="668" ht="80" customHeight="1">
      <x:c r="A668" s="25" t="str">
        <x:v>Lang</x:v>
      </x:c>
      <x:c r="B668" s="25" t="n">
        <x:v>47</x:v>
      </x:c>
      <x:c r="C668" s="25" t="str">
        <x:v>Round1</x:v>
      </x:c>
      <x:c r="D668" s="25" t="str">
        <x:v>INCONCLUSIVE</x:v>
      </x:c>
      <x:c r="E668" s="25" t="str">
        <x:v>N/A</x:v>
      </x:c>
      <x:c r="F668" s="26" t="str">
        <x:v>Fixed also failed; assertion failure cannot be attributed to this bug; Assertions failed with measured coverage; paired execution and stage checks determine status</x:v>
      </x:c>
      <x:c r="G668" s="25" t="str">
        <x:v>true</x:v>
      </x:c>
      <x:c r="H668" s="25" t="str">
        <x:v>INCONCLUSIVE</x:v>
      </x:c>
      <x:c r="I668" s="25" t="str">
        <x:v>FAIL</x:v>
      </x:c>
      <x:c r="J668" s="25" t="str">
        <x:v>FAIL</x:v>
      </x:c>
      <x:c r="K668" s="25" t="n">
        <x:v>11</x:v>
      </x:c>
      <x:c r="L668" s="27" t="b">
        <x:v>0</x:v>
      </x:c>
      <x:c r="M668" s="25" t="str">
        <x:v>Feedback-Directed Random Test Generation/rounds/Round1/state/Lang.json</x:v>
      </x:c>
      <x:c r="N668" s="25" t="str">
        <x:v>Feedback-Directed Random Test Generation/Result/Lang_47/result.json</x:v>
      </x:c>
      <x:c r="O668" s="25" t="str">
        <x:v>Feedback-Directed Random Test Generation/Result/Lang_47/result.json</x:v>
      </x:c>
      <x:c r="P668"/>
      <x:c r="Q668" s="21" t="str"/>
      <x:c r="R668" s="21" t="str"/>
      <x:c r="S668" s="21" t="str"/>
      <x:c r="T668" s="17" t="str">
        <x:v>false</x:v>
      </x:c>
      <x:c r="U668" s="17" t="str">
        <x:v>true</x:v>
      </x:c>
      <x:c r="V668" s="17" t="str">
        <x:v>false</x:v>
      </x:c>
    </x:row>
    <x:row r="669" ht="80" customHeight="1">
      <x:c r="A669" s="25" t="str">
        <x:v>Lang</x:v>
      </x:c>
      <x:c r="B669" s="25" t="n">
        <x:v>49</x:v>
      </x:c>
      <x:c r="C669" s="25" t="str">
        <x:v>Round1</x:v>
      </x:c>
      <x:c r="D669" s="25" t="str">
        <x:v>NOT_REVEALING</x:v>
      </x:c>
      <x:c r="E669" s="25" t="str">
        <x:v>N/A</x:v>
      </x:c>
      <x:c r="F669" s="26" t="str">
        <x:v>Same saved validation suite passed on buggy and fixed</x:v>
      </x:c>
      <x:c r="G669" s="25" t="str">
        <x:v>true</x:v>
      </x:c>
      <x:c r="H669" s="25" t="str">
        <x:v>NOT_REVEALING</x:v>
      </x:c>
      <x:c r="I669" s="25" t="str">
        <x:v>PASS</x:v>
      </x:c>
      <x:c r="J669" s="25" t="str">
        <x:v>PASS</x:v>
      </x:c>
      <x:c r="K669" s="25" t="n">
        <x:v>13</x:v>
      </x:c>
      <x:c r="L669" s="27" t="b">
        <x:v>0</x:v>
      </x:c>
      <x:c r="M669" s="25" t="str">
        <x:v>Feedback-Directed Random Test Generation/rounds/Round1/state/Lang.json</x:v>
      </x:c>
      <x:c r="N669" s="25" t="str">
        <x:v>Feedback-Directed Random Test Generation/Result/Lang_49/result.json</x:v>
      </x:c>
      <x:c r="O669" s="25" t="str">
        <x:v>Feedback-Directed Random Test Generation/Result/Lang_49/result.json</x:v>
      </x:c>
      <x:c r="P669"/>
      <x:c r="Q669" s="21" t="str"/>
      <x:c r="R669" s="21" t="str"/>
      <x:c r="S669" s="21" t="str"/>
      <x:c r="T669" s="17" t="str">
        <x:v>false</x:v>
      </x:c>
      <x:c r="U669" s="17" t="str">
        <x:v>true</x:v>
      </x:c>
      <x:c r="V669" s="17" t="str">
        <x:v>false</x:v>
      </x:c>
    </x:row>
    <x:row r="670" ht="80" customHeight="1">
      <x:c r="A670" s="25" t="str">
        <x:v>Lang</x:v>
      </x:c>
      <x:c r="B670" s="25" t="n">
        <x:v>50</x:v>
      </x:c>
      <x:c r="C670" s="25" t="str">
        <x:v>Round1</x:v>
      </x:c>
      <x:c r="D670" s="25" t="str">
        <x:v>INCONCLUSIVE</x:v>
      </x:c>
      <x:c r="E670" s="25" t="str">
        <x:v>N/A</x:v>
      </x:c>
      <x:c r="F670" s="26" t="str">
        <x:v>Fixed also failed; assertion failure cannot be attributed to this bug; Assertions failed with measured coverage; paired execution and stage checks determine status</x:v>
      </x:c>
      <x:c r="G670" s="25" t="str">
        <x:v>true</x:v>
      </x:c>
      <x:c r="H670" s="25" t="str">
        <x:v>INCONCLUSIVE</x:v>
      </x:c>
      <x:c r="I670" s="25" t="str">
        <x:v>FAIL</x:v>
      </x:c>
      <x:c r="J670" s="25" t="str">
        <x:v>FAIL</x:v>
      </x:c>
      <x:c r="K670" s="25" t="n">
        <x:v>12</x:v>
      </x:c>
      <x:c r="L670" s="27" t="b">
        <x:v>0</x:v>
      </x:c>
      <x:c r="M670" s="25" t="str">
        <x:v>Feedback-Directed Random Test Generation/rounds/Round1/state/Lang.json</x:v>
      </x:c>
      <x:c r="N670" s="25" t="str">
        <x:v>Feedback-Directed Random Test Generation/Result/Lang_50/result.json</x:v>
      </x:c>
      <x:c r="O670" s="25" t="str">
        <x:v>Feedback-Directed Random Test Generation/Result/Lang_50/result.json</x:v>
      </x:c>
      <x:c r="P670"/>
      <x:c r="Q670" s="21" t="str"/>
      <x:c r="R670" s="21" t="str"/>
      <x:c r="S670" s="21" t="str"/>
      <x:c r="T670" s="17" t="str">
        <x:v>false</x:v>
      </x:c>
      <x:c r="U670" s="17" t="str">
        <x:v>true</x:v>
      </x:c>
      <x:c r="V670" s="17" t="str">
        <x:v>false</x:v>
      </x:c>
    </x:row>
    <x:row r="671" ht="80" customHeight="1">
      <x:c r="A671" s="25" t="str">
        <x:v>Lang</x:v>
      </x:c>
      <x:c r="B671" s="25" t="n">
        <x:v>51</x:v>
      </x:c>
      <x:c r="C671" s="25" t="str">
        <x:v>Round1</x:v>
      </x:c>
      <x:c r="D671" s="25" t="str">
        <x:v>NOT_REVEALING</x:v>
      </x:c>
      <x:c r="E671" s="25" t="str">
        <x:v>N/A</x:v>
      </x:c>
      <x:c r="F671" s="26" t="str">
        <x:v>Same saved validation suite passed on buggy and fixed</x:v>
      </x:c>
      <x:c r="G671" s="25" t="str">
        <x:v>true</x:v>
      </x:c>
      <x:c r="H671" s="25" t="str">
        <x:v>NOT_REVEALING</x:v>
      </x:c>
      <x:c r="I671" s="25" t="str">
        <x:v>PASS</x:v>
      </x:c>
      <x:c r="J671" s="25" t="str">
        <x:v>PASS</x:v>
      </x:c>
      <x:c r="K671" s="25" t="n">
        <x:v>27</x:v>
      </x:c>
      <x:c r="L671" s="27" t="b">
        <x:v>0</x:v>
      </x:c>
      <x:c r="M671" s="25" t="str">
        <x:v>Feedback-Directed Random Test Generation/rounds/Round1/state/Lang.json</x:v>
      </x:c>
      <x:c r="N671" s="25" t="str">
        <x:v>Feedback-Directed Random Test Generation/Result/Lang_51/result.json</x:v>
      </x:c>
      <x:c r="O671" s="25" t="str">
        <x:v>Feedback-Directed Random Test Generation/Result/Lang_51/result.json</x:v>
      </x:c>
      <x:c r="P671"/>
      <x:c r="Q671" s="21" t="str"/>
      <x:c r="R671" s="21" t="str"/>
      <x:c r="S671" s="21" t="str"/>
      <x:c r="T671" s="17" t="str">
        <x:v>false</x:v>
      </x:c>
      <x:c r="U671" s="17" t="str">
        <x:v>true</x:v>
      </x:c>
      <x:c r="V671" s="17" t="str">
        <x:v>false</x:v>
      </x:c>
    </x:row>
    <x:row r="672" ht="80" customHeight="1">
      <x:c r="A672" s="25" t="str">
        <x:v>Lang</x:v>
      </x:c>
      <x:c r="B672" s="25" t="n">
        <x:v>52</x:v>
      </x:c>
      <x:c r="C672" s="25" t="str">
        <x:v>Round1</x:v>
      </x:c>
      <x:c r="D672" s="25" t="str">
        <x:v>NOT_REVEALING</x:v>
      </x:c>
      <x:c r="E672" s="25" t="str">
        <x:v>N/A</x:v>
      </x:c>
      <x:c r="F672" s="26" t="str">
        <x:v>Same saved validation suite passed on buggy and fixed</x:v>
      </x:c>
      <x:c r="G672" s="25" t="str">
        <x:v>true</x:v>
      </x:c>
      <x:c r="H672" s="25" t="str">
        <x:v>NOT_REVEALING</x:v>
      </x:c>
      <x:c r="I672" s="25" t="str">
        <x:v>PASS</x:v>
      </x:c>
      <x:c r="J672" s="25" t="str">
        <x:v>PASS</x:v>
      </x:c>
      <x:c r="K672" s="25" t="n">
        <x:v>2</x:v>
      </x:c>
      <x:c r="L672" s="27" t="b">
        <x:v>0</x:v>
      </x:c>
      <x:c r="M672" s="25" t="str">
        <x:v>Feedback-Directed Random Test Generation/rounds/Round1/state/Lang.json</x:v>
      </x:c>
      <x:c r="N672" s="25" t="str">
        <x:v>Feedback-Directed Random Test Generation/Result/Lang_52/result.json</x:v>
      </x:c>
      <x:c r="O672" s="25" t="str">
        <x:v>Feedback-Directed Random Test Generation/Result/Lang_52/result.json</x:v>
      </x:c>
      <x:c r="P672"/>
      <x:c r="Q672" s="21" t="str"/>
      <x:c r="R672" s="21" t="str"/>
      <x:c r="S672" s="21" t="str"/>
      <x:c r="T672" s="17" t="str">
        <x:v>false</x:v>
      </x:c>
      <x:c r="U672" s="17" t="str">
        <x:v>true</x:v>
      </x:c>
      <x:c r="V672" s="17" t="str">
        <x:v>false</x:v>
      </x:c>
    </x:row>
    <x:row r="673" ht="80" customHeight="1">
      <x:c r="A673" s="25" t="str">
        <x:v>Lang</x:v>
      </x:c>
      <x:c r="B673" s="25" t="n">
        <x:v>53</x:v>
      </x:c>
      <x:c r="C673" s="25" t="str">
        <x:v>Round1</x:v>
      </x:c>
      <x:c r="D673" s="25" t="str">
        <x:v>INCONCLUSIVE</x:v>
      </x:c>
      <x:c r="E673" s="25" t="str">
        <x:v>N/A</x:v>
      </x:c>
      <x:c r="F673" s="26" t="str">
        <x:v>Fixed also failed; assertion failure cannot be attributed to this bug; Assertions failed with measured coverage; paired execution and stage checks determine status</x:v>
      </x:c>
      <x:c r="G673" s="25" t="str">
        <x:v>true</x:v>
      </x:c>
      <x:c r="H673" s="25" t="str">
        <x:v>INCONCLUSIVE</x:v>
      </x:c>
      <x:c r="I673" s="25" t="str">
        <x:v>FAIL</x:v>
      </x:c>
      <x:c r="J673" s="25" t="str">
        <x:v>FAIL</x:v>
      </x:c>
      <x:c r="K673" s="25" t="n">
        <x:v>7</x:v>
      </x:c>
      <x:c r="L673" s="27" t="b">
        <x:v>0</x:v>
      </x:c>
      <x:c r="M673" s="25" t="str">
        <x:v>Feedback-Directed Random Test Generation/rounds/Round1/state/Lang.json</x:v>
      </x:c>
      <x:c r="N673" s="25" t="str">
        <x:v>Feedback-Directed Random Test Generation/Result/Lang_53/result.json</x:v>
      </x:c>
      <x:c r="O673" s="25" t="str">
        <x:v>Feedback-Directed Random Test Generation/Result/Lang_53/result.json</x:v>
      </x:c>
      <x:c r="P673"/>
      <x:c r="Q673" s="21" t="str"/>
      <x:c r="R673" s="21" t="str"/>
      <x:c r="S673" s="21" t="str"/>
      <x:c r="T673" s="17" t="str">
        <x:v>false</x:v>
      </x:c>
      <x:c r="U673" s="17" t="str">
        <x:v>true</x:v>
      </x:c>
      <x:c r="V673" s="17" t="str">
        <x:v>false</x:v>
      </x:c>
    </x:row>
    <x:row r="674" ht="80" customHeight="1">
      <x:c r="A674" s="25" t="str">
        <x:v>Lang</x:v>
      </x:c>
      <x:c r="B674" s="25" t="n">
        <x:v>54</x:v>
      </x:c>
      <x:c r="C674" s="25" t="str">
        <x:v>Round1</x:v>
      </x:c>
      <x:c r="D674" s="25" t="str">
        <x:v>NOT_REVEALING</x:v>
      </x:c>
      <x:c r="E674" s="25" t="str">
        <x:v>N/A</x:v>
      </x:c>
      <x:c r="F674" s="26" t="str">
        <x:v>Same saved validation suite passed on buggy and fixed</x:v>
      </x:c>
      <x:c r="G674" s="25" t="str">
        <x:v>true</x:v>
      </x:c>
      <x:c r="H674" s="25" t="str">
        <x:v>NOT_REVEALING</x:v>
      </x:c>
      <x:c r="I674" s="25" t="str">
        <x:v>PASS</x:v>
      </x:c>
      <x:c r="J674" s="25" t="str">
        <x:v>PASS</x:v>
      </x:c>
      <x:c r="K674" s="25" t="n">
        <x:v>2</x:v>
      </x:c>
      <x:c r="L674" s="27" t="b">
        <x:v>0</x:v>
      </x:c>
      <x:c r="M674" s="25" t="str">
        <x:v>Feedback-Directed Random Test Generation/rounds/Round1/state/Lang.json</x:v>
      </x:c>
      <x:c r="N674" s="25" t="str">
        <x:v>Feedback-Directed Random Test Generation/Result/Lang_54/result.json</x:v>
      </x:c>
      <x:c r="O674" s="25" t="str">
        <x:v>Feedback-Directed Random Test Generation/Result/Lang_54/result.json</x:v>
      </x:c>
      <x:c r="P674"/>
      <x:c r="Q674" s="21" t="str"/>
      <x:c r="R674" s="21" t="str"/>
      <x:c r="S674" s="21" t="str"/>
      <x:c r="T674" s="17" t="str">
        <x:v>false</x:v>
      </x:c>
      <x:c r="U674" s="17" t="str">
        <x:v>true</x:v>
      </x:c>
      <x:c r="V674" s="17" t="str">
        <x:v>false</x:v>
      </x:c>
    </x:row>
    <x:row r="675" ht="80" customHeight="1">
      <x:c r="A675" s="25" t="str">
        <x:v>Lang</x:v>
      </x:c>
      <x:c r="B675" s="25" t="n">
        <x:v>55</x:v>
      </x:c>
      <x:c r="C675" s="25" t="str">
        <x:v>Round1</x:v>
      </x:c>
      <x:c r="D675" s="25" t="str">
        <x:v>INCONCLUSIVE</x:v>
      </x:c>
      <x:c r="E675" s="25" t="str">
        <x:v>N/A</x:v>
      </x:c>
      <x:c r="F675" s="26" t="str">
        <x:v>Fixed also failed; assertion failure cannot be attributed to this bug; Assertions failed with measured coverage; paired execution and stage checks determine status</x:v>
      </x:c>
      <x:c r="G675" s="25" t="str">
        <x:v>true</x:v>
      </x:c>
      <x:c r="H675" s="25" t="str">
        <x:v>INCONCLUSIVE</x:v>
      </x:c>
      <x:c r="I675" s="25" t="str">
        <x:v>FAIL</x:v>
      </x:c>
      <x:c r="J675" s="25" t="str">
        <x:v>FAIL</x:v>
      </x:c>
      <x:c r="K675" s="25" t="n">
        <x:v>16</x:v>
      </x:c>
      <x:c r="L675" s="27" t="b">
        <x:v>0</x:v>
      </x:c>
      <x:c r="M675" s="25" t="str">
        <x:v>Feedback-Directed Random Test Generation/rounds/Round1/state/Lang.json</x:v>
      </x:c>
      <x:c r="N675" s="25" t="str">
        <x:v>Feedback-Directed Random Test Generation/Result/Lang_55/result.json</x:v>
      </x:c>
      <x:c r="O675" s="25" t="str">
        <x:v>Feedback-Directed Random Test Generation/Result/Lang_55/result.json</x:v>
      </x:c>
      <x:c r="P675"/>
      <x:c r="Q675" s="21" t="str"/>
      <x:c r="R675" s="21" t="str"/>
      <x:c r="S675" s="21" t="str"/>
      <x:c r="T675" s="17" t="str">
        <x:v>false</x:v>
      </x:c>
      <x:c r="U675" s="17" t="str">
        <x:v>true</x:v>
      </x:c>
      <x:c r="V675" s="17" t="str">
        <x:v>false</x:v>
      </x:c>
    </x:row>
    <x:row r="676" ht="80" customHeight="1">
      <x:c r="A676" s="25" t="str">
        <x:v>Lang</x:v>
      </x:c>
      <x:c r="B676" s="25" t="n">
        <x:v>56</x:v>
      </x:c>
      <x:c r="C676" s="25" t="str">
        <x:v>Round1</x:v>
      </x:c>
      <x:c r="D676" s="25" t="str">
        <x:v>INCONCLUSIVE</x:v>
      </x:c>
      <x:c r="E676" s="25" t="str">
        <x:v>N/A</x:v>
      </x:c>
      <x:c r="F676" s="26" t="str">
        <x:v>Fixed also failed; assertion failure cannot be attributed to this bug; Assertions failed with measured coverage; paired execution and stage checks determine status</x:v>
      </x:c>
      <x:c r="G676" s="25" t="str">
        <x:v>true</x:v>
      </x:c>
      <x:c r="H676" s="25" t="str">
        <x:v>INCONCLUSIVE</x:v>
      </x:c>
      <x:c r="I676" s="25" t="str">
        <x:v>FAIL</x:v>
      </x:c>
      <x:c r="J676" s="25" t="str">
        <x:v>FAIL</x:v>
      </x:c>
      <x:c r="K676" s="25" t="n">
        <x:v>12</x:v>
      </x:c>
      <x:c r="L676" s="27" t="b">
        <x:v>0</x:v>
      </x:c>
      <x:c r="M676" s="25" t="str">
        <x:v>Feedback-Directed Random Test Generation/rounds/Round1/state/Lang.json</x:v>
      </x:c>
      <x:c r="N676" s="25" t="str">
        <x:v>Feedback-Directed Random Test Generation/Result/Lang_56/result.json</x:v>
      </x:c>
      <x:c r="O676" s="25" t="str">
        <x:v>Feedback-Directed Random Test Generation/Result/Lang_56/result.json</x:v>
      </x:c>
      <x:c r="P676"/>
      <x:c r="Q676" s="21" t="str"/>
      <x:c r="R676" s="21" t="str"/>
      <x:c r="S676" s="21" t="str"/>
      <x:c r="T676" s="17" t="str">
        <x:v>false</x:v>
      </x:c>
      <x:c r="U676" s="17" t="str">
        <x:v>true</x:v>
      </x:c>
      <x:c r="V676" s="17" t="str">
        <x:v>false</x:v>
      </x:c>
    </x:row>
    <x:row r="677" ht="80" customHeight="1">
      <x:c r="A677" s="25" t="str">
        <x:v>Lang</x:v>
      </x:c>
      <x:c r="B677" s="25" t="n">
        <x:v>57</x:v>
      </x:c>
      <x:c r="C677" s="25" t="str">
        <x:v>Round1</x:v>
      </x:c>
      <x:c r="D677" s="25" t="str">
        <x:v>NOT_REVEALING</x:v>
      </x:c>
      <x:c r="E677" s="25" t="str">
        <x:v>N/A</x:v>
      </x:c>
      <x:c r="F677" s="26" t="str">
        <x:v>Same saved validation suite passed on buggy and fixed</x:v>
      </x:c>
      <x:c r="G677" s="25" t="str">
        <x:v>true</x:v>
      </x:c>
      <x:c r="H677" s="25" t="str">
        <x:v>NOT_REVEALING</x:v>
      </x:c>
      <x:c r="I677" s="25" t="str">
        <x:v>PASS</x:v>
      </x:c>
      <x:c r="J677" s="25" t="str">
        <x:v>PASS</x:v>
      </x:c>
      <x:c r="K677" s="25" t="n">
        <x:v>2</x:v>
      </x:c>
      <x:c r="L677" s="27" t="b">
        <x:v>0</x:v>
      </x:c>
      <x:c r="M677" s="25" t="str">
        <x:v>Feedback-Directed Random Test Generation/rounds/Round1/state/Lang.json</x:v>
      </x:c>
      <x:c r="N677" s="25" t="str">
        <x:v>Feedback-Directed Random Test Generation/Result/Lang_57/result.json</x:v>
      </x:c>
      <x:c r="O677" s="25" t="str">
        <x:v>Feedback-Directed Random Test Generation/Result/Lang_57/result.json</x:v>
      </x:c>
      <x:c r="P677"/>
      <x:c r="Q677" s="21" t="str"/>
      <x:c r="R677" s="21" t="str"/>
      <x:c r="S677" s="21" t="str"/>
      <x:c r="T677" s="17" t="str">
        <x:v>false</x:v>
      </x:c>
      <x:c r="U677" s="17" t="str">
        <x:v>true</x:v>
      </x:c>
      <x:c r="V677" s="17" t="str">
        <x:v>false</x:v>
      </x:c>
    </x:row>
    <x:row r="678" ht="80" customHeight="1">
      <x:c r="A678" s="25" t="str">
        <x:v>Lang</x:v>
      </x:c>
      <x:c r="B678" s="25" t="n">
        <x:v>58</x:v>
      </x:c>
      <x:c r="C678" s="25" t="str">
        <x:v>Round1</x:v>
      </x:c>
      <x:c r="D678" s="25" t="str">
        <x:v>NOT_REVEALING</x:v>
      </x:c>
      <x:c r="E678" s="25" t="str">
        <x:v>N/A</x:v>
      </x:c>
      <x:c r="F678" s="26" t="str">
        <x:v>Same saved validation suite passed on buggy and fixed</x:v>
      </x:c>
      <x:c r="G678" s="25" t="str">
        <x:v>true</x:v>
      </x:c>
      <x:c r="H678" s="25" t="str">
        <x:v>NOT_REVEALING</x:v>
      </x:c>
      <x:c r="I678" s="25" t="str">
        <x:v>PASS</x:v>
      </x:c>
      <x:c r="J678" s="25" t="str">
        <x:v>PASS</x:v>
      </x:c>
      <x:c r="K678" s="25" t="n">
        <x:v>15</x:v>
      </x:c>
      <x:c r="L678" s="27" t="b">
        <x:v>0</x:v>
      </x:c>
      <x:c r="M678" s="25" t="str">
        <x:v>Feedback-Directed Random Test Generation/rounds/Round1/state/Lang.json</x:v>
      </x:c>
      <x:c r="N678" s="25" t="str">
        <x:v>Feedback-Directed Random Test Generation/Result/Lang_58/result.json</x:v>
      </x:c>
      <x:c r="O678" s="25" t="str">
        <x:v>Feedback-Directed Random Test Generation/Result/Lang_58/result.json</x:v>
      </x:c>
      <x:c r="P678"/>
      <x:c r="Q678" s="21" t="str"/>
      <x:c r="R678" s="21" t="str"/>
      <x:c r="S678" s="21" t="str"/>
      <x:c r="T678" s="17" t="str">
        <x:v>false</x:v>
      </x:c>
      <x:c r="U678" s="17" t="str">
        <x:v>true</x:v>
      </x:c>
      <x:c r="V678" s="17" t="str">
        <x:v>false</x:v>
      </x:c>
    </x:row>
    <x:row r="679" ht="80" customHeight="1">
      <x:c r="A679" s="25" t="str">
        <x:v>Lang</x:v>
      </x:c>
      <x:c r="B679" s="25" t="n">
        <x:v>59</x:v>
      </x:c>
      <x:c r="C679" s="25" t="str">
        <x:v>Round1</x:v>
      </x:c>
      <x:c r="D679" s="25" t="str">
        <x:v>INCONCLUSIVE</x:v>
      </x:c>
      <x:c r="E679" s="25" t="str">
        <x:v>N/A</x:v>
      </x:c>
      <x:c r="F679" s="26" t="str">
        <x:v>Fixed also failed; assertion failure cannot be attributed to this bug; Assertions failed with measured coverage; paired execution and stage checks determine status</x:v>
      </x:c>
      <x:c r="G679" s="25" t="str">
        <x:v>true</x:v>
      </x:c>
      <x:c r="H679" s="25" t="str">
        <x:v>INCONCLUSIVE</x:v>
      </x:c>
      <x:c r="I679" s="25" t="str">
        <x:v>FAIL</x:v>
      </x:c>
      <x:c r="J679" s="25" t="str">
        <x:v>FAIL</x:v>
      </x:c>
      <x:c r="K679" s="25" t="n">
        <x:v>9</x:v>
      </x:c>
      <x:c r="L679" s="27" t="b">
        <x:v>0</x:v>
      </x:c>
      <x:c r="M679" s="25" t="str">
        <x:v>Feedback-Directed Random Test Generation/rounds/Round1/state/Lang.json</x:v>
      </x:c>
      <x:c r="N679" s="25" t="str">
        <x:v>Feedback-Directed Random Test Generation/Result/Lang_59/result.json</x:v>
      </x:c>
      <x:c r="O679" s="25" t="str">
        <x:v>Feedback-Directed Random Test Generation/Result/Lang_59/result.json</x:v>
      </x:c>
      <x:c r="P679"/>
      <x:c r="Q679" s="21" t="str"/>
      <x:c r="R679" s="21" t="str"/>
      <x:c r="S679" s="21" t="str"/>
      <x:c r="T679" s="17" t="str">
        <x:v>false</x:v>
      </x:c>
      <x:c r="U679" s="17" t="str">
        <x:v>true</x:v>
      </x:c>
      <x:c r="V679" s="17" t="str">
        <x:v>false</x:v>
      </x:c>
    </x:row>
    <x:row r="680" ht="80" customHeight="1">
      <x:c r="A680" s="25" t="str">
        <x:v>Lang</x:v>
      </x:c>
      <x:c r="B680" s="25" t="n">
        <x:v>60</x:v>
      </x:c>
      <x:c r="C680" s="25" t="str">
        <x:v>Round1</x:v>
      </x:c>
      <x:c r="D680" s="25" t="str">
        <x:v>INCONCLUSIVE</x:v>
      </x:c>
      <x:c r="E680" s="25" t="str">
        <x:v>N/A</x:v>
      </x:c>
      <x:c r="F680" s="26" t="str">
        <x:v>Fixed also failed; assertion failure cannot be attributed to this bug; Assertions failed with measured coverage; paired execution and stage checks determine status</x:v>
      </x:c>
      <x:c r="G680" s="25" t="str">
        <x:v>true</x:v>
      </x:c>
      <x:c r="H680" s="25" t="str">
        <x:v>INCONCLUSIVE</x:v>
      </x:c>
      <x:c r="I680" s="25" t="str">
        <x:v>FAIL</x:v>
      </x:c>
      <x:c r="J680" s="25" t="str">
        <x:v>FAIL</x:v>
      </x:c>
      <x:c r="K680" s="25" t="n">
        <x:v>9</x:v>
      </x:c>
      <x:c r="L680" s="27" t="b">
        <x:v>0</x:v>
      </x:c>
      <x:c r="M680" s="25" t="str">
        <x:v>Feedback-Directed Random Test Generation/rounds/Round1/state/Lang.json</x:v>
      </x:c>
      <x:c r="N680" s="25" t="str">
        <x:v>Feedback-Directed Random Test Generation/Result/Lang_60/result.json</x:v>
      </x:c>
      <x:c r="O680" s="25" t="str">
        <x:v>Feedback-Directed Random Test Generation/Result/Lang_60/result.json</x:v>
      </x:c>
      <x:c r="P680"/>
      <x:c r="Q680" s="21" t="str"/>
      <x:c r="R680" s="21" t="str"/>
      <x:c r="S680" s="21" t="str"/>
      <x:c r="T680" s="17" t="str">
        <x:v>false</x:v>
      </x:c>
      <x:c r="U680" s="17" t="str">
        <x:v>true</x:v>
      </x:c>
      <x:c r="V680" s="17" t="str">
        <x:v>false</x:v>
      </x:c>
    </x:row>
    <x:row r="681" ht="80" customHeight="1">
      <x:c r="A681" s="25" t="str">
        <x:v>Lang</x:v>
      </x:c>
      <x:c r="B681" s="25" t="n">
        <x:v>61</x:v>
      </x:c>
      <x:c r="C681" s="25" t="str">
        <x:v>Round1</x:v>
      </x:c>
      <x:c r="D681" s="25" t="str">
        <x:v>INCONCLUSIVE</x:v>
      </x:c>
      <x:c r="E681" s="25" t="str">
        <x:v>N/A</x:v>
      </x:c>
      <x:c r="F681" s="26" t="str">
        <x:v>Fixed also failed; assertion failure cannot be attributed to this bug; Assertions failed with measured coverage; paired execution and stage checks determine status</x:v>
      </x:c>
      <x:c r="G681" s="25" t="str">
        <x:v>true</x:v>
      </x:c>
      <x:c r="H681" s="25" t="str">
        <x:v>INCONCLUSIVE</x:v>
      </x:c>
      <x:c r="I681" s="25" t="str">
        <x:v>FAIL</x:v>
      </x:c>
      <x:c r="J681" s="25" t="str">
        <x:v>FAIL</x:v>
      </x:c>
      <x:c r="K681" s="25" t="n">
        <x:v>9</x:v>
      </x:c>
      <x:c r="L681" s="27" t="b">
        <x:v>0</x:v>
      </x:c>
      <x:c r="M681" s="25" t="str">
        <x:v>Feedback-Directed Random Test Generation/rounds/Round1/state/Lang.json</x:v>
      </x:c>
      <x:c r="N681" s="25" t="str">
        <x:v>Feedback-Directed Random Test Generation/Result/Lang_61/result.json</x:v>
      </x:c>
      <x:c r="O681" s="25" t="str">
        <x:v>Feedback-Directed Random Test Generation/Result/Lang_61/result.json</x:v>
      </x:c>
      <x:c r="P681"/>
      <x:c r="Q681" s="21" t="str"/>
      <x:c r="R681" s="21" t="str"/>
      <x:c r="S681" s="21" t="str"/>
      <x:c r="T681" s="17" t="str">
        <x:v>false</x:v>
      </x:c>
      <x:c r="U681" s="17" t="str">
        <x:v>true</x:v>
      </x:c>
      <x:c r="V681" s="17" t="str">
        <x:v>false</x:v>
      </x:c>
    </x:row>
    <x:row r="682" ht="80" customHeight="1">
      <x:c r="A682" s="25" t="str">
        <x:v>Lang</x:v>
      </x:c>
      <x:c r="B682" s="25" t="n">
        <x:v>62</x:v>
      </x:c>
      <x:c r="C682" s="25" t="str">
        <x:v>Round1</x:v>
      </x:c>
      <x:c r="D682" s="25" t="str">
        <x:v>INCONCLUSIVE</x:v>
      </x:c>
      <x:c r="E682" s="25" t="str">
        <x:v>N/A</x:v>
      </x:c>
      <x:c r="F682" s="26" t="str">
        <x:v>Fixed also failed; assertion failure cannot be attributed to this bug; Assertions failed with measured coverage; paired execution and stage checks determine status</x:v>
      </x:c>
      <x:c r="G682" s="25" t="str">
        <x:v>true</x:v>
      </x:c>
      <x:c r="H682" s="25" t="str">
        <x:v>INCONCLUSIVE</x:v>
      </x:c>
      <x:c r="I682" s="25" t="str">
        <x:v>FAIL</x:v>
      </x:c>
      <x:c r="J682" s="25" t="str">
        <x:v>FAIL</x:v>
      </x:c>
      <x:c r="K682" s="25" t="n">
        <x:v>11</x:v>
      </x:c>
      <x:c r="L682" s="27" t="b">
        <x:v>0</x:v>
      </x:c>
      <x:c r="M682" s="25" t="str">
        <x:v>Feedback-Directed Random Test Generation/rounds/Round1/state/Lang.json</x:v>
      </x:c>
      <x:c r="N682" s="25" t="str">
        <x:v>Feedback-Directed Random Test Generation/Result/Lang_62/result.json</x:v>
      </x:c>
      <x:c r="O682" s="25" t="str">
        <x:v>Feedback-Directed Random Test Generation/Result/Lang_62/result.json</x:v>
      </x:c>
      <x:c r="P682"/>
      <x:c r="Q682" s="21" t="str"/>
      <x:c r="R682" s="21" t="str"/>
      <x:c r="S682" s="21" t="str"/>
      <x:c r="T682" s="17" t="str">
        <x:v>false</x:v>
      </x:c>
      <x:c r="U682" s="17" t="str">
        <x:v>true</x:v>
      </x:c>
      <x:c r="V682" s="17" t="str">
        <x:v>false</x:v>
      </x:c>
    </x:row>
    <x:row r="683" ht="80" customHeight="1">
      <x:c r="A683" s="25" t="str">
        <x:v>Lang</x:v>
      </x:c>
      <x:c r="B683" s="25" t="n">
        <x:v>63</x:v>
      </x:c>
      <x:c r="C683" s="25" t="str">
        <x:v>Round1</x:v>
      </x:c>
      <x:c r="D683" s="25" t="str">
        <x:v>NOT_AVAILABLE</x:v>
      </x:c>
      <x:c r="E683" s="25" t="str">
        <x:v>N/A</x:v>
      </x:c>
      <x:c r="F683" s="26" t="str">
        <x:v>fixed test_compile=FAIL</x:v>
      </x:c>
      <x:c r="G683" s="25" t="str">
        <x:v>true</x:v>
      </x:c>
      <x:c r="H683" s="25" t="str">
        <x:v>NOT_AVAILABLE</x:v>
      </x:c>
      <x:c r="I683" s="25" t="str">
        <x:v>PASS</x:v>
      </x:c>
      <x:c r="J683" s="25" t="str">
        <x:v>NOT_RUN</x:v>
      </x:c>
      <x:c r="K683" s="25" t="n">
        <x:v>12</x:v>
      </x:c>
      <x:c r="L683" s="27" t="b">
        <x:v>0</x:v>
      </x:c>
      <x:c r="M683" s="25" t="str">
        <x:v>Feedback-Directed Random Test Generation/rounds/Round1/state/Lang.json</x:v>
      </x:c>
      <x:c r="N683" s="25" t="str">
        <x:v>Feedback-Directed Random Test Generation/Result/Lang_63/result.json</x:v>
      </x:c>
      <x:c r="O683" s="25" t="str">
        <x:v>Feedback-Directed Random Test Generation/Result/Lang_63/result.json</x:v>
      </x:c>
      <x:c r="P683" t="str">
        <x:v>FIXED_NOT_RUN</x:v>
      </x:c>
      <x:c r="Q683" s="21" t="str"/>
      <x:c r="R683" s="21" t="str"/>
      <x:c r="S683" s="21" t="str"/>
      <x:c r="T683" s="17" t="str">
        <x:v>false</x:v>
      </x:c>
      <x:c r="U683" s="17" t="str">
        <x:v>true</x:v>
      </x:c>
      <x:c r="V683" s="17" t="str">
        <x:v>false</x:v>
      </x:c>
    </x:row>
    <x:row r="684" ht="80" customHeight="1">
      <x:c r="A684" s="25" t="str">
        <x:v>Lang</x:v>
      </x:c>
      <x:c r="B684" s="25" t="n">
        <x:v>64</x:v>
      </x:c>
      <x:c r="C684" s="25" t="str">
        <x:v>Round1</x:v>
      </x:c>
      <x:c r="D684" s="25" t="str">
        <x:v>NOT_REVEALING</x:v>
      </x:c>
      <x:c r="E684" s="25" t="str">
        <x:v>N/A</x:v>
      </x:c>
      <x:c r="F684" s="26" t="str">
        <x:v>Same saved validation suite passed on buggy and fixed</x:v>
      </x:c>
      <x:c r="G684" s="25" t="str">
        <x:v>true</x:v>
      </x:c>
      <x:c r="H684" s="25" t="str">
        <x:v>NOT_REVEALING</x:v>
      </x:c>
      <x:c r="I684" s="25" t="str">
        <x:v>PASS</x:v>
      </x:c>
      <x:c r="J684" s="25" t="str">
        <x:v>PASS</x:v>
      </x:c>
      <x:c r="K684" s="25" t="n">
        <x:v>2</x:v>
      </x:c>
      <x:c r="L684" s="27" t="b">
        <x:v>0</x:v>
      </x:c>
      <x:c r="M684" s="25" t="str">
        <x:v>Feedback-Directed Random Test Generation/rounds/Round1/state/Lang.json</x:v>
      </x:c>
      <x:c r="N684" s="25" t="str">
        <x:v>Feedback-Directed Random Test Generation/Result/Lang_64/result.json</x:v>
      </x:c>
      <x:c r="O684" s="25" t="str">
        <x:v>Feedback-Directed Random Test Generation/Result/Lang_64/result.json</x:v>
      </x:c>
      <x:c r="P684"/>
      <x:c r="Q684" s="21" t="str"/>
      <x:c r="R684" s="21" t="str"/>
      <x:c r="S684" s="21" t="str"/>
      <x:c r="T684" s="17" t="str">
        <x:v>false</x:v>
      </x:c>
      <x:c r="U684" s="17" t="str">
        <x:v>true</x:v>
      </x:c>
      <x:c r="V684" s="17" t="str">
        <x:v>false</x:v>
      </x:c>
    </x:row>
    <x:row r="685" ht="80" customHeight="1">
      <x:c r="A685" s="25" t="str">
        <x:v>Lang</x:v>
      </x:c>
      <x:c r="B685" s="25" t="n">
        <x:v>65</x:v>
      </x:c>
      <x:c r="C685" s="25" t="str">
        <x:v>Round1</x:v>
      </x:c>
      <x:c r="D685" s="25" t="str">
        <x:v>INCONCLUSIVE</x:v>
      </x:c>
      <x:c r="E685" s="25" t="str">
        <x:v>N/A</x:v>
      </x:c>
      <x:c r="F685" s="26" t="str">
        <x:v>Fixed also failed; assertion failure cannot be attributed to this bug; Assertions failed with measured coverage; paired execution and stage checks determine status</x:v>
      </x:c>
      <x:c r="G685" s="25" t="str">
        <x:v>true</x:v>
      </x:c>
      <x:c r="H685" s="25" t="str">
        <x:v>INCONCLUSIVE</x:v>
      </x:c>
      <x:c r="I685" s="25" t="str">
        <x:v>FAIL</x:v>
      </x:c>
      <x:c r="J685" s="25" t="str">
        <x:v>FAIL</x:v>
      </x:c>
      <x:c r="K685" s="25" t="n">
        <x:v>6</x:v>
      </x:c>
      <x:c r="L685" s="27" t="b">
        <x:v>0</x:v>
      </x:c>
      <x:c r="M685" s="25" t="str">
        <x:v>Feedback-Directed Random Test Generation/rounds/Round1/state/Lang.json</x:v>
      </x:c>
      <x:c r="N685" s="25" t="str">
        <x:v>Feedback-Directed Random Test Generation/Result/Lang_65/result.json</x:v>
      </x:c>
      <x:c r="O685" s="25" t="str">
        <x:v>Feedback-Directed Random Test Generation/Result/Lang_65/result.json</x:v>
      </x:c>
      <x:c r="P685"/>
      <x:c r="Q685" s="21" t="str"/>
      <x:c r="R685" s="21" t="str"/>
      <x:c r="S685" s="21" t="str"/>
      <x:c r="T685" s="17" t="str">
        <x:v>false</x:v>
      </x:c>
      <x:c r="U685" s="17" t="str">
        <x:v>true</x:v>
      </x:c>
      <x:c r="V685" s="17" t="str">
        <x:v>false</x:v>
      </x:c>
    </x:row>
    <x:row r="686" ht="80" customHeight="1">
      <x:c r="A686" s="25" t="str">
        <x:v>Math</x:v>
      </x:c>
      <x:c r="B686" s="25" t="n">
        <x:v>1</x:v>
      </x:c>
      <x:c r="C686" s="25" t="str">
        <x:v>Round1</x:v>
      </x:c>
      <x:c r="D686" s="25" t="str">
        <x:v>INCONCLUSIVE</x:v>
      </x:c>
      <x:c r="E686" s="25" t="str">
        <x:v>N/A</x:v>
      </x:c>
      <x:c r="F686" s="26" t="str">
        <x:v>Fixed also failed; assertion failure cannot be attributed to this bug; Assertions failed with measured coverage; paired execution and stage checks determine status</x:v>
      </x:c>
      <x:c r="G686" s="25" t="str">
        <x:v>true</x:v>
      </x:c>
      <x:c r="H686" s="25" t="str">
        <x:v>INCONCLUSIVE</x:v>
      </x:c>
      <x:c r="I686" s="25" t="str">
        <x:v>FAIL</x:v>
      </x:c>
      <x:c r="J686" s="25" t="str">
        <x:v>FAIL</x:v>
      </x:c>
      <x:c r="K686" s="25" t="n">
        <x:v>9</x:v>
      </x:c>
      <x:c r="L686" s="27" t="b">
        <x:v>0</x:v>
      </x:c>
      <x:c r="M686" s="25" t="str">
        <x:v>Feedback-Directed Random Test Generation/rounds/Round1/state/Math.json</x:v>
      </x:c>
      <x:c r="N686" s="25" t="str">
        <x:v>Feedback-Directed Random Test Generation/Result/Math_1/result.json</x:v>
      </x:c>
      <x:c r="O686" s="25" t="str">
        <x:v>Feedback-Directed Random Test Generation/Result/Math_1/result.json</x:v>
      </x:c>
      <x:c r="P686"/>
      <x:c r="Q686" s="21" t="str"/>
      <x:c r="R686" s="21" t="str"/>
      <x:c r="S686" s="21" t="str"/>
      <x:c r="T686" s="17" t="str">
        <x:v>false</x:v>
      </x:c>
      <x:c r="U686" s="17" t="str">
        <x:v>true</x:v>
      </x:c>
      <x:c r="V686" s="17" t="str">
        <x:v>false</x:v>
      </x:c>
    </x:row>
    <x:row r="687" ht="80" customHeight="1">
      <x:c r="A687" s="25" t="str">
        <x:v>Math</x:v>
      </x:c>
      <x:c r="B687" s="25" t="n">
        <x:v>2</x:v>
      </x:c>
      <x:c r="C687" s="25" t="str">
        <x:v>Round1</x:v>
      </x:c>
      <x:c r="D687" s="25" t="str">
        <x:v>INCONCLUSIVE</x:v>
      </x:c>
      <x:c r="E687" s="25" t="str">
        <x:v>N/A</x:v>
      </x:c>
      <x:c r="F687" s="26" t="str">
        <x:v>Fixed also failed; assertion failure cannot be attributed to this bug; Assertions failed with measured coverage; paired execution and stage checks determine status</x:v>
      </x:c>
      <x:c r="G687" s="25" t="str">
        <x:v>true</x:v>
      </x:c>
      <x:c r="H687" s="25" t="str">
        <x:v>INCONCLUSIVE</x:v>
      </x:c>
      <x:c r="I687" s="25" t="str">
        <x:v>FAIL</x:v>
      </x:c>
      <x:c r="J687" s="25" t="str">
        <x:v>FAIL</x:v>
      </x:c>
      <x:c r="K687" s="25" t="n">
        <x:v>13</x:v>
      </x:c>
      <x:c r="L687" s="27" t="b">
        <x:v>0</x:v>
      </x:c>
      <x:c r="M687" s="25" t="str">
        <x:v>Feedback-Directed Random Test Generation/rounds/Round1/state/Math.json</x:v>
      </x:c>
      <x:c r="N687" s="25" t="str">
        <x:v>Feedback-Directed Random Test Generation/Result/Math_2/result.json</x:v>
      </x:c>
      <x:c r="O687" s="25" t="str">
        <x:v>Feedback-Directed Random Test Generation/Result/Math_2/result.json</x:v>
      </x:c>
      <x:c r="P687"/>
      <x:c r="Q687" s="21" t="str"/>
      <x:c r="R687" s="21" t="str"/>
      <x:c r="S687" s="21" t="str"/>
      <x:c r="T687" s="17" t="str">
        <x:v>false</x:v>
      </x:c>
      <x:c r="U687" s="17" t="str">
        <x:v>true</x:v>
      </x:c>
      <x:c r="V687" s="17" t="str">
        <x:v>false</x:v>
      </x:c>
    </x:row>
    <x:row r="688" ht="80" customHeight="1">
      <x:c r="A688" s="25" t="str">
        <x:v>Math</x:v>
      </x:c>
      <x:c r="B688" s="25" t="n">
        <x:v>3</x:v>
      </x:c>
      <x:c r="C688" s="25" t="str">
        <x:v>Round1</x:v>
      </x:c>
      <x:c r="D688" s="25" t="str">
        <x:v>INCONCLUSIVE</x:v>
      </x:c>
      <x:c r="E688" s="25" t="str">
        <x:v>N/A</x:v>
      </x:c>
      <x:c r="F688" s="26" t="str">
        <x:v>Fixed also failed; assertion failure cannot be attributed to this bug</x:v>
      </x:c>
      <x:c r="G688" s="25" t="str">
        <x:v>true</x:v>
      </x:c>
      <x:c r="H688" s="25" t="str">
        <x:v>INCONCLUSIVE</x:v>
      </x:c>
      <x:c r="I688" s="25" t="str">
        <x:v>PASS</x:v>
      </x:c>
      <x:c r="J688" s="25" t="str">
        <x:v>FAIL</x:v>
      </x:c>
      <x:c r="K688" s="25" t="n">
        <x:v>9</x:v>
      </x:c>
      <x:c r="L688" s="27" t="b">
        <x:v>0</x:v>
      </x:c>
      <x:c r="M688" s="25" t="str">
        <x:v>Feedback-Directed Random Test Generation/rounds/Round1/state/Math.json</x:v>
      </x:c>
      <x:c r="N688" s="25" t="str">
        <x:v>Feedback-Directed Random Test Generation/Result/Math_3/result.json</x:v>
      </x:c>
      <x:c r="O688" s="25" t="str">
        <x:v>Feedback-Directed Random Test Generation/Result/Math_3/result.json</x:v>
      </x:c>
      <x:c r="P688"/>
      <x:c r="Q688" s="21" t="str"/>
      <x:c r="R688" s="21" t="str"/>
      <x:c r="S688" s="21" t="str"/>
      <x:c r="T688" s="17" t="str">
        <x:v>false</x:v>
      </x:c>
      <x:c r="U688" s="17" t="str">
        <x:v>true</x:v>
      </x:c>
      <x:c r="V688" s="17" t="str">
        <x:v>false</x:v>
      </x:c>
    </x:row>
    <x:row r="689" ht="80" customHeight="1">
      <x:c r="A689" s="25" t="str">
        <x:v>Math</x:v>
      </x:c>
      <x:c r="B689" s="25" t="n">
        <x:v>4</x:v>
      </x:c>
      <x:c r="C689" s="25" t="str">
        <x:v>Round1</x:v>
      </x:c>
      <x:c r="D689" s="25" t="str">
        <x:v>NOT_REVEALING</x:v>
      </x:c>
      <x:c r="E689" s="25" t="str">
        <x:v>N/A</x:v>
      </x:c>
      <x:c r="F689" s="26" t="str">
        <x:v>Same saved validation suite passed on buggy and fixed</x:v>
      </x:c>
      <x:c r="G689" s="25" t="str">
        <x:v>true</x:v>
      </x:c>
      <x:c r="H689" s="25" t="str">
        <x:v>NOT_REVEALING</x:v>
      </x:c>
      <x:c r="I689" s="25" t="str">
        <x:v>PASS</x:v>
      </x:c>
      <x:c r="J689" s="25" t="str">
        <x:v>PASS</x:v>
      </x:c>
      <x:c r="K689" s="25" t="n">
        <x:v>14</x:v>
      </x:c>
      <x:c r="L689" s="27" t="b">
        <x:v>0</x:v>
      </x:c>
      <x:c r="M689" s="25" t="str">
        <x:v>Feedback-Directed Random Test Generation/rounds/Round1/state/Math.json</x:v>
      </x:c>
      <x:c r="N689" s="25" t="str">
        <x:v>Feedback-Directed Random Test Generation/Result/Math_4/result.json</x:v>
      </x:c>
      <x:c r="O689" s="25" t="str">
        <x:v>Feedback-Directed Random Test Generation/Result/Math_4/result.json</x:v>
      </x:c>
      <x:c r="P689"/>
      <x:c r="Q689" s="21" t="str"/>
      <x:c r="R689" s="21" t="str"/>
      <x:c r="S689" s="21" t="str"/>
      <x:c r="T689" s="17" t="str">
        <x:v>false</x:v>
      </x:c>
      <x:c r="U689" s="17" t="str">
        <x:v>true</x:v>
      </x:c>
      <x:c r="V689" s="17" t="str">
        <x:v>false</x:v>
      </x:c>
    </x:row>
    <x:row r="690" ht="80" customHeight="1">
      <x:c r="A690" s="25" t="str">
        <x:v>Math</x:v>
      </x:c>
      <x:c r="B690" s="25" t="n">
        <x:v>5</x:v>
      </x:c>
      <x:c r="C690" s="25" t="str">
        <x:v>Round1</x:v>
      </x:c>
      <x:c r="D690" s="25" t="str">
        <x:v>INCONCLUSIVE</x:v>
      </x:c>
      <x:c r="E690" s="25" t="str">
        <x:v>N/A</x:v>
      </x:c>
      <x:c r="F690" s="26" t="str">
        <x:v>Fixed also failed; assertion failure cannot be attributed to this bug; Assertions failed with measured coverage; paired execution and stage checks determine status</x:v>
      </x:c>
      <x:c r="G690" s="25" t="str">
        <x:v>true</x:v>
      </x:c>
      <x:c r="H690" s="25" t="str">
        <x:v>INCONCLUSIVE</x:v>
      </x:c>
      <x:c r="I690" s="25" t="str">
        <x:v>FAIL</x:v>
      </x:c>
      <x:c r="J690" s="25" t="str">
        <x:v>FAIL</x:v>
      </x:c>
      <x:c r="K690" s="25" t="n">
        <x:v>12</x:v>
      </x:c>
      <x:c r="L690" s="27" t="b">
        <x:v>0</x:v>
      </x:c>
      <x:c r="M690" s="25" t="str">
        <x:v>Feedback-Directed Random Test Generation/rounds/Round1/state/Math.json</x:v>
      </x:c>
      <x:c r="N690" s="25" t="str">
        <x:v>Feedback-Directed Random Test Generation/Result/Math_5/result.json</x:v>
      </x:c>
      <x:c r="O690" s="25" t="str">
        <x:v>Feedback-Directed Random Test Generation/Result/Math_5/result.json</x:v>
      </x:c>
      <x:c r="P690"/>
      <x:c r="Q690" s="21" t="str"/>
      <x:c r="R690" s="21" t="str"/>
      <x:c r="S690" s="21" t="str"/>
      <x:c r="T690" s="17" t="str">
        <x:v>false</x:v>
      </x:c>
      <x:c r="U690" s="17" t="str">
        <x:v>true</x:v>
      </x:c>
      <x:c r="V690" s="17" t="str">
        <x:v>false</x:v>
      </x:c>
    </x:row>
    <x:row r="691" ht="80" customHeight="1">
      <x:c r="A691" s="25" t="str">
        <x:v>Math</x:v>
      </x:c>
      <x:c r="B691" s="25" t="n">
        <x:v>6</x:v>
      </x:c>
      <x:c r="C691" s="25" t="str">
        <x:v>Round1</x:v>
      </x:c>
      <x:c r="D691" s="25" t="str">
        <x:v>INCONCLUSIVE</x:v>
      </x:c>
      <x:c r="E691" s="25" t="str">
        <x:v>N/A</x:v>
      </x:c>
      <x:c r="F691" s="26" t="str">
        <x:v>Fixed also failed; assertion failure cannot be attributed to this bug; Assertions failed with measured coverage; paired execution and stage checks determine status</x:v>
      </x:c>
      <x:c r="G691" s="25" t="str">
        <x:v>true</x:v>
      </x:c>
      <x:c r="H691" s="25" t="str">
        <x:v>INCONCLUSIVE</x:v>
      </x:c>
      <x:c r="I691" s="25" t="str">
        <x:v>FAIL</x:v>
      </x:c>
      <x:c r="J691" s="25" t="str">
        <x:v>FAIL</x:v>
      </x:c>
      <x:c r="K691" s="25" t="n">
        <x:v>12</x:v>
      </x:c>
      <x:c r="L691" s="27" t="b">
        <x:v>0</x:v>
      </x:c>
      <x:c r="M691" s="25" t="str">
        <x:v>Feedback-Directed Random Test Generation/rounds/Round1/state/Math.json</x:v>
      </x:c>
      <x:c r="N691" s="25" t="str">
        <x:v>Feedback-Directed Random Test Generation/Result/Math_6/result.json</x:v>
      </x:c>
      <x:c r="O691" s="25" t="str">
        <x:v>Feedback-Directed Random Test Generation/Result/Math_6/result.json</x:v>
      </x:c>
      <x:c r="P691"/>
      <x:c r="Q691" s="21" t="str"/>
      <x:c r="R691" s="21" t="str"/>
      <x:c r="S691" s="21" t="str"/>
      <x:c r="T691" s="17" t="str">
        <x:v>false</x:v>
      </x:c>
      <x:c r="U691" s="17" t="str">
        <x:v>true</x:v>
      </x:c>
      <x:c r="V691" s="17" t="str">
        <x:v>false</x:v>
      </x:c>
    </x:row>
    <x:row r="692" ht="80" customHeight="1">
      <x:c r="A692" s="25" t="str">
        <x:v>Math</x:v>
      </x:c>
      <x:c r="B692" s="25" t="n">
        <x:v>7</x:v>
      </x:c>
      <x:c r="C692" s="25" t="str">
        <x:v>Round1</x:v>
      </x:c>
      <x:c r="D692" s="25" t="str">
        <x:v>NOT_REVEALING</x:v>
      </x:c>
      <x:c r="E692" s="25" t="str">
        <x:v>N/A</x:v>
      </x:c>
      <x:c r="F692" s="26" t="str">
        <x:v>Same saved validation suite passed on buggy and fixed</x:v>
      </x:c>
      <x:c r="G692" s="25" t="str">
        <x:v>true</x:v>
      </x:c>
      <x:c r="H692" s="25" t="str">
        <x:v>NOT_REVEALING</x:v>
      </x:c>
      <x:c r="I692" s="25" t="str">
        <x:v>PASS</x:v>
      </x:c>
      <x:c r="J692" s="25" t="str">
        <x:v>PASS</x:v>
      </x:c>
      <x:c r="K692" s="25" t="n">
        <x:v>2</x:v>
      </x:c>
      <x:c r="L692" s="27" t="b">
        <x:v>0</x:v>
      </x:c>
      <x:c r="M692" s="25" t="str">
        <x:v>Feedback-Directed Random Test Generation/rounds/Round1/state/Math.json</x:v>
      </x:c>
      <x:c r="N692" s="25" t="str">
        <x:v>Feedback-Directed Random Test Generation/Result/Math_7/result.json</x:v>
      </x:c>
      <x:c r="O692" s="25" t="str">
        <x:v>Feedback-Directed Random Test Generation/Result/Math_7/result.json</x:v>
      </x:c>
      <x:c r="P692"/>
      <x:c r="Q692" s="21" t="str"/>
      <x:c r="R692" s="21" t="str"/>
      <x:c r="S692" s="21" t="str"/>
      <x:c r="T692" s="17" t="str">
        <x:v>false</x:v>
      </x:c>
      <x:c r="U692" s="17" t="str">
        <x:v>true</x:v>
      </x:c>
      <x:c r="V692" s="17" t="str">
        <x:v>false</x:v>
      </x:c>
    </x:row>
    <x:row r="693" ht="80" customHeight="1">
      <x:c r="A693" s="25" t="str">
        <x:v>Math</x:v>
      </x:c>
      <x:c r="B693" s="25" t="n">
        <x:v>8</x:v>
      </x:c>
      <x:c r="C693" s="25" t="str">
        <x:v>Round1</x:v>
      </x:c>
      <x:c r="D693" s="25" t="str">
        <x:v>NOT_REVEALING</x:v>
      </x:c>
      <x:c r="E693" s="25" t="str">
        <x:v>N/A</x:v>
      </x:c>
      <x:c r="F693" s="26" t="str">
        <x:v>Same saved validation suite passed on buggy and fixed</x:v>
      </x:c>
      <x:c r="G693" s="25" t="str">
        <x:v>true</x:v>
      </x:c>
      <x:c r="H693" s="25" t="str">
        <x:v>NOT_REVEALING</x:v>
      </x:c>
      <x:c r="I693" s="25" t="str">
        <x:v>PASS</x:v>
      </x:c>
      <x:c r="J693" s="25" t="str">
        <x:v>PASS</x:v>
      </x:c>
      <x:c r="K693" s="25" t="n">
        <x:v>2</x:v>
      </x:c>
      <x:c r="L693" s="27" t="b">
        <x:v>0</x:v>
      </x:c>
      <x:c r="M693" s="25" t="str">
        <x:v>Feedback-Directed Random Test Generation/rounds/Round1/state/Math.json</x:v>
      </x:c>
      <x:c r="N693" s="25" t="str">
        <x:v>Feedback-Directed Random Test Generation/Result/Math_8/result.json</x:v>
      </x:c>
      <x:c r="O693" s="25" t="str">
        <x:v>Feedback-Directed Random Test Generation/Result/Math_8/result.json</x:v>
      </x:c>
      <x:c r="P693"/>
      <x:c r="Q693" s="21" t="str"/>
      <x:c r="R693" s="21" t="str"/>
      <x:c r="S693" s="21" t="str"/>
      <x:c r="T693" s="17" t="str">
        <x:v>false</x:v>
      </x:c>
      <x:c r="U693" s="17" t="str">
        <x:v>true</x:v>
      </x:c>
      <x:c r="V693" s="17" t="str">
        <x:v>false</x:v>
      </x:c>
    </x:row>
    <x:row r="694" ht="80" customHeight="1">
      <x:c r="A694" s="25" t="str">
        <x:v>Math</x:v>
      </x:c>
      <x:c r="B694" s="25" t="n">
        <x:v>9</x:v>
      </x:c>
      <x:c r="C694" s="25" t="str">
        <x:v>Round1</x:v>
      </x:c>
      <x:c r="D694" s="25" t="str">
        <x:v>NOT_REVEALING</x:v>
      </x:c>
      <x:c r="E694" s="25" t="str">
        <x:v>N/A</x:v>
      </x:c>
      <x:c r="F694" s="26" t="str">
        <x:v>Same saved validation suite passed on buggy and fixed</x:v>
      </x:c>
      <x:c r="G694" s="25" t="str">
        <x:v>true</x:v>
      </x:c>
      <x:c r="H694" s="25" t="str">
        <x:v>NOT_REVEALING</x:v>
      </x:c>
      <x:c r="I694" s="25" t="str">
        <x:v>PASS</x:v>
      </x:c>
      <x:c r="J694" s="25" t="str">
        <x:v>PASS</x:v>
      </x:c>
      <x:c r="K694" s="25" t="n">
        <x:v>2</x:v>
      </x:c>
      <x:c r="L694" s="27" t="b">
        <x:v>0</x:v>
      </x:c>
      <x:c r="M694" s="25" t="str">
        <x:v>Feedback-Directed Random Test Generation/rounds/Round1/state/Math.json</x:v>
      </x:c>
      <x:c r="N694" s="25" t="str">
        <x:v>Feedback-Directed Random Test Generation/Result/Math_9/result.json</x:v>
      </x:c>
      <x:c r="O694" s="25" t="str">
        <x:v>Feedback-Directed Random Test Generation/Result/Math_9/result.json</x:v>
      </x:c>
      <x:c r="P694"/>
      <x:c r="Q694" s="21" t="str"/>
      <x:c r="R694" s="21" t="str"/>
      <x:c r="S694" s="21" t="str"/>
      <x:c r="T694" s="17" t="str">
        <x:v>false</x:v>
      </x:c>
      <x:c r="U694" s="17" t="str">
        <x:v>true</x:v>
      </x:c>
      <x:c r="V694" s="17" t="str">
        <x:v>false</x:v>
      </x:c>
    </x:row>
    <x:row r="695" ht="80" customHeight="1">
      <x:c r="A695" s="25" t="str">
        <x:v>Math</x:v>
      </x:c>
      <x:c r="B695" s="25" t="n">
        <x:v>10</x:v>
      </x:c>
      <x:c r="C695" s="25" t="str">
        <x:v>Round1</x:v>
      </x:c>
      <x:c r="D695" s="25" t="str">
        <x:v>NOT_REVEALING</x:v>
      </x:c>
      <x:c r="E695" s="25" t="str">
        <x:v>N/A</x:v>
      </x:c>
      <x:c r="F695" s="26" t="str">
        <x:v>Same saved validation suite passed on buggy and fixed</x:v>
      </x:c>
      <x:c r="G695" s="25" t="str">
        <x:v>true</x:v>
      </x:c>
      <x:c r="H695" s="25" t="str">
        <x:v>NOT_REVEALING</x:v>
      </x:c>
      <x:c r="I695" s="25" t="str">
        <x:v>PASS</x:v>
      </x:c>
      <x:c r="J695" s="25" t="str">
        <x:v>PASS</x:v>
      </x:c>
      <x:c r="K695" s="25" t="n">
        <x:v>2</x:v>
      </x:c>
      <x:c r="L695" s="27" t="b">
        <x:v>0</x:v>
      </x:c>
      <x:c r="M695" s="25" t="str">
        <x:v>Feedback-Directed Random Test Generation/rounds/Round1/state/Math.json</x:v>
      </x:c>
      <x:c r="N695" s="25" t="str">
        <x:v>Feedback-Directed Random Test Generation/Result/Math_10/result.json</x:v>
      </x:c>
      <x:c r="O695" s="25" t="str">
        <x:v>Feedback-Directed Random Test Generation/Result/Math_10/result.json</x:v>
      </x:c>
      <x:c r="P695"/>
      <x:c r="Q695" s="21" t="str"/>
      <x:c r="R695" s="21" t="str"/>
      <x:c r="S695" s="21" t="str"/>
      <x:c r="T695" s="17" t="str">
        <x:v>false</x:v>
      </x:c>
      <x:c r="U695" s="17" t="str">
        <x:v>true</x:v>
      </x:c>
      <x:c r="V695" s="17" t="str">
        <x:v>false</x:v>
      </x:c>
    </x:row>
    <x:row r="696" ht="80" customHeight="1">
      <x:c r="A696" s="25" t="str">
        <x:v>Math</x:v>
      </x:c>
      <x:c r="B696" s="25" t="n">
        <x:v>11</x:v>
      </x:c>
      <x:c r="C696" s="25" t="str">
        <x:v>Round1</x:v>
      </x:c>
      <x:c r="D696" s="25" t="str">
        <x:v>INCONCLUSIVE</x:v>
      </x:c>
      <x:c r="E696" s="25" t="str">
        <x:v>N/A</x:v>
      </x:c>
      <x:c r="F696" s="26" t="str">
        <x:v>Fixed also failed; assertion failure cannot be attributed to this bug</x:v>
      </x:c>
      <x:c r="G696" s="25" t="str">
        <x:v>true</x:v>
      </x:c>
      <x:c r="H696" s="25" t="str">
        <x:v>INCONCLUSIVE</x:v>
      </x:c>
      <x:c r="I696" s="25" t="str">
        <x:v>PASS</x:v>
      </x:c>
      <x:c r="J696" s="25" t="str">
        <x:v>FAIL</x:v>
      </x:c>
      <x:c r="K696" s="25" t="n">
        <x:v>8</x:v>
      </x:c>
      <x:c r="L696" s="27" t="b">
        <x:v>0</x:v>
      </x:c>
      <x:c r="M696" s="25" t="str">
        <x:v>Feedback-Directed Random Test Generation/rounds/Round1/state/Math.json</x:v>
      </x:c>
      <x:c r="N696" s="25" t="str">
        <x:v>Feedback-Directed Random Test Generation/Result/Math_11/result.json</x:v>
      </x:c>
      <x:c r="O696" s="25" t="str">
        <x:v>Feedback-Directed Random Test Generation/Result/Math_11/result.json</x:v>
      </x:c>
      <x:c r="P696"/>
      <x:c r="Q696" s="21" t="str"/>
      <x:c r="R696" s="21" t="str"/>
      <x:c r="S696" s="21" t="str"/>
      <x:c r="T696" s="17" t="str">
        <x:v>false</x:v>
      </x:c>
      <x:c r="U696" s="17" t="str">
        <x:v>true</x:v>
      </x:c>
      <x:c r="V696" s="17" t="str">
        <x:v>false</x:v>
      </x:c>
    </x:row>
    <x:row r="697" ht="80" customHeight="1">
      <x:c r="A697" s="25" t="str">
        <x:v>Math</x:v>
      </x:c>
      <x:c r="B697" s="25" t="n">
        <x:v>12</x:v>
      </x:c>
      <x:c r="C697" s="25" t="str">
        <x:v>Round1</x:v>
      </x:c>
      <x:c r="D697" s="25" t="str">
        <x:v>NOT_REVEALING</x:v>
      </x:c>
      <x:c r="E697" s="25" t="str">
        <x:v>N/A</x:v>
      </x:c>
      <x:c r="F697" s="26" t="str">
        <x:v>Same saved validation suite passed on buggy and fixed</x:v>
      </x:c>
      <x:c r="G697" s="25" t="str">
        <x:v>true</x:v>
      </x:c>
      <x:c r="H697" s="25" t="str">
        <x:v>NOT_REVEALING</x:v>
      </x:c>
      <x:c r="I697" s="25" t="str">
        <x:v>PASS</x:v>
      </x:c>
      <x:c r="J697" s="25" t="str">
        <x:v>PASS</x:v>
      </x:c>
      <x:c r="K697" s="25" t="n">
        <x:v>2</x:v>
      </x:c>
      <x:c r="L697" s="27" t="b">
        <x:v>0</x:v>
      </x:c>
      <x:c r="M697" s="25" t="str">
        <x:v>Feedback-Directed Random Test Generation/rounds/Round1/state/Math.json</x:v>
      </x:c>
      <x:c r="N697" s="25" t="str">
        <x:v>Feedback-Directed Random Test Generation/Result/Math_12/result.json</x:v>
      </x:c>
      <x:c r="O697" s="25" t="str">
        <x:v>Feedback-Directed Random Test Generation/Result/Math_12/result.json</x:v>
      </x:c>
      <x:c r="P697"/>
      <x:c r="Q697" s="21" t="str"/>
      <x:c r="R697" s="21" t="str"/>
      <x:c r="S697" s="21" t="str"/>
      <x:c r="T697" s="17" t="str">
        <x:v>false</x:v>
      </x:c>
      <x:c r="U697" s="17" t="str">
        <x:v>true</x:v>
      </x:c>
      <x:c r="V697" s="17" t="str">
        <x:v>false</x:v>
      </x:c>
    </x:row>
    <x:row r="698" ht="80" customHeight="1">
      <x:c r="A698" s="25" t="str">
        <x:v>Math</x:v>
      </x:c>
      <x:c r="B698" s="25" t="n">
        <x:v>13</x:v>
      </x:c>
      <x:c r="C698" s="25" t="str">
        <x:v>Round1</x:v>
      </x:c>
      <x:c r="D698" s="25" t="str">
        <x:v>NOT_REVEALING</x:v>
      </x:c>
      <x:c r="E698" s="25" t="str">
        <x:v>N/A</x:v>
      </x:c>
      <x:c r="F698" s="26" t="str">
        <x:v>Same saved validation suite passed on buggy and fixed</x:v>
      </x:c>
      <x:c r="G698" s="25" t="str">
        <x:v>true</x:v>
      </x:c>
      <x:c r="H698" s="25" t="str">
        <x:v>NOT_REVEALING</x:v>
      </x:c>
      <x:c r="I698" s="25" t="str">
        <x:v>PASS</x:v>
      </x:c>
      <x:c r="J698" s="25" t="str">
        <x:v>PASS</x:v>
      </x:c>
      <x:c r="K698" s="25" t="n">
        <x:v>2</x:v>
      </x:c>
      <x:c r="L698" s="27" t="b">
        <x:v>0</x:v>
      </x:c>
      <x:c r="M698" s="25" t="str">
        <x:v>Feedback-Directed Random Test Generation/rounds/Round1/state/Math.json</x:v>
      </x:c>
      <x:c r="N698" s="25" t="str">
        <x:v>Feedback-Directed Random Test Generation/Result/Math_13/result.json</x:v>
      </x:c>
      <x:c r="O698" s="25" t="str">
        <x:v>Feedback-Directed Random Test Generation/Result/Math_13/result.json</x:v>
      </x:c>
      <x:c r="P698"/>
      <x:c r="Q698" s="21" t="str"/>
      <x:c r="R698" s="21" t="str"/>
      <x:c r="S698" s="21" t="str"/>
      <x:c r="T698" s="17" t="str">
        <x:v>false</x:v>
      </x:c>
      <x:c r="U698" s="17" t="str">
        <x:v>true</x:v>
      </x:c>
      <x:c r="V698" s="17" t="str">
        <x:v>false</x:v>
      </x:c>
    </x:row>
    <x:row r="699" ht="80" customHeight="1">
      <x:c r="A699" s="25" t="str">
        <x:v>Math</x:v>
      </x:c>
      <x:c r="B699" s="25" t="n">
        <x:v>14</x:v>
      </x:c>
      <x:c r="C699" s="25" t="str">
        <x:v>Round1</x:v>
      </x:c>
      <x:c r="D699" s="25" t="str">
        <x:v>INCONCLUSIVE</x:v>
      </x:c>
      <x:c r="E699" s="25" t="str">
        <x:v>N/A</x:v>
      </x:c>
      <x:c r="F699" s="26" t="str">
        <x:v>Fixed also failed; assertion failure cannot be attributed to this bug</x:v>
      </x:c>
      <x:c r="G699" s="25" t="str">
        <x:v>true</x:v>
      </x:c>
      <x:c r="H699" s="25" t="str">
        <x:v>INCONCLUSIVE</x:v>
      </x:c>
      <x:c r="I699" s="25" t="str">
        <x:v>PASS</x:v>
      </x:c>
      <x:c r="J699" s="25" t="str">
        <x:v>FAIL</x:v>
      </x:c>
      <x:c r="K699" s="25" t="n">
        <x:v>10</x:v>
      </x:c>
      <x:c r="L699" s="27" t="b">
        <x:v>0</x:v>
      </x:c>
      <x:c r="M699" s="25" t="str">
        <x:v>Feedback-Directed Random Test Generation/rounds/Round1/state/Math.json</x:v>
      </x:c>
      <x:c r="N699" s="25" t="str">
        <x:v>Feedback-Directed Random Test Generation/Result/Math_14/result.json</x:v>
      </x:c>
      <x:c r="O699" s="25" t="str">
        <x:v>Feedback-Directed Random Test Generation/Result/Math_14/result.json</x:v>
      </x:c>
      <x:c r="P699"/>
      <x:c r="Q699" s="21" t="str"/>
      <x:c r="R699" s="21" t="str"/>
      <x:c r="S699" s="21" t="str"/>
      <x:c r="T699" s="17" t="str">
        <x:v>false</x:v>
      </x:c>
      <x:c r="U699" s="17" t="str">
        <x:v>true</x:v>
      </x:c>
      <x:c r="V699" s="17" t="str">
        <x:v>false</x:v>
      </x:c>
    </x:row>
    <x:row r="700" ht="80" customHeight="1">
      <x:c r="A700" s="25" t="str">
        <x:v>Math</x:v>
      </x:c>
      <x:c r="B700" s="25" t="n">
        <x:v>15</x:v>
      </x:c>
      <x:c r="C700" s="25" t="str">
        <x:v>Round1</x:v>
      </x:c>
      <x:c r="D700" s="25" t="str">
        <x:v>NOT_REVEALING</x:v>
      </x:c>
      <x:c r="E700" s="25" t="str">
        <x:v>N/A</x:v>
      </x:c>
      <x:c r="F700" s="26" t="str">
        <x:v>Same saved validation suite passed on buggy and fixed</x:v>
      </x:c>
      <x:c r="G700" s="25" t="str">
        <x:v>true</x:v>
      </x:c>
      <x:c r="H700" s="25" t="str">
        <x:v>NOT_REVEALING</x:v>
      </x:c>
      <x:c r="I700" s="25" t="str">
        <x:v>PASS</x:v>
      </x:c>
      <x:c r="J700" s="25" t="str">
        <x:v>PASS</x:v>
      </x:c>
      <x:c r="K700" s="25" t="n">
        <x:v>26</x:v>
      </x:c>
      <x:c r="L700" s="27" t="b">
        <x:v>0</x:v>
      </x:c>
      <x:c r="M700" s="25" t="str">
        <x:v>Feedback-Directed Random Test Generation/rounds/Round1/state/Math.json</x:v>
      </x:c>
      <x:c r="N700" s="25" t="str">
        <x:v>Feedback-Directed Random Test Generation/Result/Math_15/result.json</x:v>
      </x:c>
      <x:c r="O700" s="25" t="str">
        <x:v>Feedback-Directed Random Test Generation/Result/Math_15/result.json</x:v>
      </x:c>
      <x:c r="P700"/>
      <x:c r="Q700" s="21" t="str"/>
      <x:c r="R700" s="21" t="str"/>
      <x:c r="S700" s="21" t="str"/>
      <x:c r="T700" s="17" t="str">
        <x:v>false</x:v>
      </x:c>
      <x:c r="U700" s="17" t="str">
        <x:v>true</x:v>
      </x:c>
      <x:c r="V700" s="17" t="str">
        <x:v>false</x:v>
      </x:c>
    </x:row>
    <x:row r="701" ht="80" customHeight="1">
      <x:c r="A701" s="25" t="str">
        <x:v>Math</x:v>
      </x:c>
      <x:c r="B701" s="25" t="n">
        <x:v>16</x:v>
      </x:c>
      <x:c r="C701" s="25" t="str">
        <x:v>Round1</x:v>
      </x:c>
      <x:c r="D701" s="25" t="str">
        <x:v>NOT_REVEALING</x:v>
      </x:c>
      <x:c r="E701" s="25" t="str">
        <x:v>N/A</x:v>
      </x:c>
      <x:c r="F701" s="26" t="str">
        <x:v>Same saved validation suite passed on buggy and fixed</x:v>
      </x:c>
      <x:c r="G701" s="25" t="str">
        <x:v>true</x:v>
      </x:c>
      <x:c r="H701" s="25" t="str">
        <x:v>NOT_REVEALING</x:v>
      </x:c>
      <x:c r="I701" s="25" t="str">
        <x:v>PASS</x:v>
      </x:c>
      <x:c r="J701" s="25" t="str">
        <x:v>PASS</x:v>
      </x:c>
      <x:c r="K701" s="25" t="n">
        <x:v>2</x:v>
      </x:c>
      <x:c r="L701" s="27" t="b">
        <x:v>0</x:v>
      </x:c>
      <x:c r="M701" s="25" t="str">
        <x:v>Feedback-Directed Random Test Generation/rounds/Round1/state/Math.json</x:v>
      </x:c>
      <x:c r="N701" s="25" t="str">
        <x:v>Feedback-Directed Random Test Generation/Result/Math_16/result.json</x:v>
      </x:c>
      <x:c r="O701" s="25" t="str">
        <x:v>Feedback-Directed Random Test Generation/Result/Math_16/result.json</x:v>
      </x:c>
      <x:c r="P701"/>
      <x:c r="Q701" s="21" t="str"/>
      <x:c r="R701" s="21" t="str"/>
      <x:c r="S701" s="21" t="str"/>
      <x:c r="T701" s="17" t="str">
        <x:v>false</x:v>
      </x:c>
      <x:c r="U701" s="17" t="str">
        <x:v>true</x:v>
      </x:c>
      <x:c r="V701" s="17" t="str">
        <x:v>false</x:v>
      </x:c>
    </x:row>
    <x:row r="702" ht="80" customHeight="1">
      <x:c r="A702" s="25" t="str">
        <x:v>Math</x:v>
      </x:c>
      <x:c r="B702" s="25" t="n">
        <x:v>17</x:v>
      </x:c>
      <x:c r="C702" s="25" t="str">
        <x:v>Round1</x:v>
      </x:c>
      <x:c r="D702" s="25" t="str">
        <x:v>NOT_REVEALING</x:v>
      </x:c>
      <x:c r="E702" s="25" t="str">
        <x:v>N/A</x:v>
      </x:c>
      <x:c r="F702" s="26" t="str">
        <x:v>Same saved validation suite passed on buggy and fixed</x:v>
      </x:c>
      <x:c r="G702" s="25" t="str">
        <x:v>true</x:v>
      </x:c>
      <x:c r="H702" s="25" t="str">
        <x:v>NOT_REVEALING</x:v>
      </x:c>
      <x:c r="I702" s="25" t="str">
        <x:v>PASS</x:v>
      </x:c>
      <x:c r="J702" s="25" t="str">
        <x:v>PASS</x:v>
      </x:c>
      <x:c r="K702" s="25" t="n">
        <x:v>2</x:v>
      </x:c>
      <x:c r="L702" s="27" t="b">
        <x:v>0</x:v>
      </x:c>
      <x:c r="M702" s="25" t="str">
        <x:v>Feedback-Directed Random Test Generation/rounds/Round1/state/Math.json</x:v>
      </x:c>
      <x:c r="N702" s="25" t="str">
        <x:v>Feedback-Directed Random Test Generation/Result/Math_17/result.json</x:v>
      </x:c>
      <x:c r="O702" s="25" t="str">
        <x:v>Feedback-Directed Random Test Generation/Result/Math_17/result.json</x:v>
      </x:c>
      <x:c r="P702"/>
      <x:c r="Q702" s="21" t="str"/>
      <x:c r="R702" s="21" t="str"/>
      <x:c r="S702" s="21" t="str"/>
      <x:c r="T702" s="17" t="str">
        <x:v>false</x:v>
      </x:c>
      <x:c r="U702" s="17" t="str">
        <x:v>true</x:v>
      </x:c>
      <x:c r="V702" s="17" t="str">
        <x:v>false</x:v>
      </x:c>
    </x:row>
    <x:row r="703" ht="80" customHeight="1">
      <x:c r="A703" s="25" t="str">
        <x:v>Math</x:v>
      </x:c>
      <x:c r="B703" s="25" t="n">
        <x:v>18</x:v>
      </x:c>
      <x:c r="C703" s="25" t="str">
        <x:v>Round1</x:v>
      </x:c>
      <x:c r="D703" s="25" t="str">
        <x:v>INCONCLUSIVE</x:v>
      </x:c>
      <x:c r="E703" s="25" t="str">
        <x:v>N/A</x:v>
      </x:c>
      <x:c r="F703" s="26" t="str">
        <x:v>Fixed also failed; assertion failure cannot be attributed to this bug; Assertions failed with measured coverage; paired execution and stage checks determine status</x:v>
      </x:c>
      <x:c r="G703" s="25" t="str">
        <x:v>true</x:v>
      </x:c>
      <x:c r="H703" s="25" t="str">
        <x:v>INCONCLUSIVE</x:v>
      </x:c>
      <x:c r="I703" s="25" t="str">
        <x:v>FAIL</x:v>
      </x:c>
      <x:c r="J703" s="25" t="str">
        <x:v>FAIL</x:v>
      </x:c>
      <x:c r="K703" s="25" t="n">
        <x:v>11</x:v>
      </x:c>
      <x:c r="L703" s="27" t="b">
        <x:v>0</x:v>
      </x:c>
      <x:c r="M703" s="25" t="str">
        <x:v>Feedback-Directed Random Test Generation/rounds/Round1/state/Math.json</x:v>
      </x:c>
      <x:c r="N703" s="25" t="str">
        <x:v>Feedback-Directed Random Test Generation/Result/Math_18/result.json</x:v>
      </x:c>
      <x:c r="O703" s="25" t="str">
        <x:v>Feedback-Directed Random Test Generation/Result/Math_18/result.json</x:v>
      </x:c>
      <x:c r="P703"/>
      <x:c r="Q703" s="21" t="str"/>
      <x:c r="R703" s="21" t="str"/>
      <x:c r="S703" s="21" t="str"/>
      <x:c r="T703" s="17" t="str">
        <x:v>false</x:v>
      </x:c>
      <x:c r="U703" s="17" t="str">
        <x:v>true</x:v>
      </x:c>
      <x:c r="V703" s="17" t="str">
        <x:v>false</x:v>
      </x:c>
    </x:row>
    <x:row r="704" ht="80" customHeight="1">
      <x:c r="A704" s="25" t="str">
        <x:v>Math</x:v>
      </x:c>
      <x:c r="B704" s="25" t="n">
        <x:v>19</x:v>
      </x:c>
      <x:c r="C704" s="25" t="str">
        <x:v>Round1</x:v>
      </x:c>
      <x:c r="D704" s="25" t="str">
        <x:v>INCONCLUSIVE</x:v>
      </x:c>
      <x:c r="E704" s="25" t="str">
        <x:v>N/A</x:v>
      </x:c>
      <x:c r="F704" s="26" t="str">
        <x:v>Fixed also failed; assertion failure cannot be attributed to this bug; Assertions failed with measured coverage; paired execution and stage checks determine status</x:v>
      </x:c>
      <x:c r="G704" s="25" t="str">
        <x:v>true</x:v>
      </x:c>
      <x:c r="H704" s="25" t="str">
        <x:v>INCONCLUSIVE</x:v>
      </x:c>
      <x:c r="I704" s="25" t="str">
        <x:v>FAIL</x:v>
      </x:c>
      <x:c r="J704" s="25" t="str">
        <x:v>FAIL</x:v>
      </x:c>
      <x:c r="K704" s="25" t="n">
        <x:v>13</x:v>
      </x:c>
      <x:c r="L704" s="27" t="b">
        <x:v>0</x:v>
      </x:c>
      <x:c r="M704" s="25" t="str">
        <x:v>Feedback-Directed Random Test Generation/rounds/Round1/state/Math.json</x:v>
      </x:c>
      <x:c r="N704" s="25" t="str">
        <x:v>Feedback-Directed Random Test Generation/Result/Math_19/result.json</x:v>
      </x:c>
      <x:c r="O704" s="25" t="str">
        <x:v>Feedback-Directed Random Test Generation/Result/Math_19/result.json</x:v>
      </x:c>
      <x:c r="P704"/>
      <x:c r="Q704" s="21" t="str"/>
      <x:c r="R704" s="21" t="str"/>
      <x:c r="S704" s="21" t="str"/>
      <x:c r="T704" s="17" t="str">
        <x:v>false</x:v>
      </x:c>
      <x:c r="U704" s="17" t="str">
        <x:v>true</x:v>
      </x:c>
      <x:c r="V704" s="17" t="str">
        <x:v>false</x:v>
      </x:c>
    </x:row>
    <x:row r="705" ht="80" customHeight="1">
      <x:c r="A705" s="25" t="str">
        <x:v>Math</x:v>
      </x:c>
      <x:c r="B705" s="25" t="n">
        <x:v>20</x:v>
      </x:c>
      <x:c r="C705" s="25" t="str">
        <x:v>Round1</x:v>
      </x:c>
      <x:c r="D705" s="25" t="str">
        <x:v>INCONCLUSIVE</x:v>
      </x:c>
      <x:c r="E705" s="25" t="str">
        <x:v>N/A</x:v>
      </x:c>
      <x:c r="F705" s="26" t="str">
        <x:v>Fixed also failed; assertion failure cannot be attributed to this bug; Assertions failed with measured coverage; paired execution and stage checks determine status</x:v>
      </x:c>
      <x:c r="G705" s="25" t="str">
        <x:v>true</x:v>
      </x:c>
      <x:c r="H705" s="25" t="str">
        <x:v>INCONCLUSIVE</x:v>
      </x:c>
      <x:c r="I705" s="25" t="str">
        <x:v>FAIL</x:v>
      </x:c>
      <x:c r="J705" s="25" t="str">
        <x:v>FAIL</x:v>
      </x:c>
      <x:c r="K705" s="25" t="n">
        <x:v>13</x:v>
      </x:c>
      <x:c r="L705" s="27" t="b">
        <x:v>0</x:v>
      </x:c>
      <x:c r="M705" s="25" t="str">
        <x:v>Feedback-Directed Random Test Generation/rounds/Round1/state/Math.json</x:v>
      </x:c>
      <x:c r="N705" s="25" t="str">
        <x:v>Feedback-Directed Random Test Generation/Result/Math_20/result.json</x:v>
      </x:c>
      <x:c r="O705" s="25" t="str">
        <x:v>Feedback-Directed Random Test Generation/Result/Math_20/result.json</x:v>
      </x:c>
      <x:c r="P705"/>
      <x:c r="Q705" s="21" t="str"/>
      <x:c r="R705" s="21" t="str"/>
      <x:c r="S705" s="21" t="str"/>
      <x:c r="T705" s="17" t="str">
        <x:v>false</x:v>
      </x:c>
      <x:c r="U705" s="17" t="str">
        <x:v>true</x:v>
      </x:c>
      <x:c r="V705" s="17" t="str">
        <x:v>false</x:v>
      </x:c>
    </x:row>
    <x:row r="706" ht="80" customHeight="1">
      <x:c r="A706" s="25" t="str">
        <x:v>Math</x:v>
      </x:c>
      <x:c r="B706" s="25" t="n">
        <x:v>21</x:v>
      </x:c>
      <x:c r="C706" s="25" t="str">
        <x:v>Round1</x:v>
      </x:c>
      <x:c r="D706" s="25" t="str">
        <x:v>NOT_REVEALING</x:v>
      </x:c>
      <x:c r="E706" s="25" t="str">
        <x:v>N/A</x:v>
      </x:c>
      <x:c r="F706" s="26" t="str">
        <x:v>Same saved validation suite passed on buggy and fixed</x:v>
      </x:c>
      <x:c r="G706" s="25" t="str">
        <x:v>true</x:v>
      </x:c>
      <x:c r="H706" s="25" t="str">
        <x:v>NOT_REVEALING</x:v>
      </x:c>
      <x:c r="I706" s="25" t="str">
        <x:v>PASS</x:v>
      </x:c>
      <x:c r="J706" s="25" t="str">
        <x:v>PASS</x:v>
      </x:c>
      <x:c r="K706" s="25" t="n">
        <x:v>2</x:v>
      </x:c>
      <x:c r="L706" s="27" t="b">
        <x:v>0</x:v>
      </x:c>
      <x:c r="M706" s="25" t="str">
        <x:v>Feedback-Directed Random Test Generation/rounds/Round1/state/Math.json</x:v>
      </x:c>
      <x:c r="N706" s="25" t="str">
        <x:v>Feedback-Directed Random Test Generation/Result/Math_21/result.json</x:v>
      </x:c>
      <x:c r="O706" s="25" t="str">
        <x:v>Feedback-Directed Random Test Generation/Result/Math_21/result.json</x:v>
      </x:c>
      <x:c r="P706"/>
      <x:c r="Q706" s="21" t="str"/>
      <x:c r="R706" s="21" t="str"/>
      <x:c r="S706" s="21" t="str"/>
      <x:c r="T706" s="17" t="str">
        <x:v>false</x:v>
      </x:c>
      <x:c r="U706" s="17" t="str">
        <x:v>true</x:v>
      </x:c>
      <x:c r="V706" s="17" t="str">
        <x:v>false</x:v>
      </x:c>
    </x:row>
    <x:row r="707" ht="80" customHeight="1">
      <x:c r="A707" s="25" t="str">
        <x:v>Math</x:v>
      </x:c>
      <x:c r="B707" s="25" t="n">
        <x:v>22</x:v>
      </x:c>
      <x:c r="C707" s="25" t="str">
        <x:v>Round1</x:v>
      </x:c>
      <x:c r="D707" s="25" t="str">
        <x:v>INCONCLUSIVE</x:v>
      </x:c>
      <x:c r="E707" s="25" t="str">
        <x:v>N/A</x:v>
      </x:c>
      <x:c r="F707" s="26" t="str">
        <x:v>Fixed also failed; assertion failure cannot be attributed to this bug; Assertions failed with measured coverage; paired execution and stage checks determine status</x:v>
      </x:c>
      <x:c r="G707" s="25" t="str">
        <x:v>true</x:v>
      </x:c>
      <x:c r="H707" s="25" t="str">
        <x:v>INCONCLUSIVE</x:v>
      </x:c>
      <x:c r="I707" s="25" t="str">
        <x:v>FAIL</x:v>
      </x:c>
      <x:c r="J707" s="25" t="str">
        <x:v>FAIL</x:v>
      </x:c>
      <x:c r="K707" s="25" t="n">
        <x:v>12</x:v>
      </x:c>
      <x:c r="L707" s="27" t="b">
        <x:v>0</x:v>
      </x:c>
      <x:c r="M707" s="25" t="str">
        <x:v>Feedback-Directed Random Test Generation/rounds/Round1/state/Math.json</x:v>
      </x:c>
      <x:c r="N707" s="25" t="str">
        <x:v>Feedback-Directed Random Test Generation/Result/Math_22/result.json</x:v>
      </x:c>
      <x:c r="O707" s="25" t="str">
        <x:v>Feedback-Directed Random Test Generation/Result/Math_22/result.json</x:v>
      </x:c>
      <x:c r="P707"/>
      <x:c r="Q707" s="21" t="str"/>
      <x:c r="R707" s="21" t="str"/>
      <x:c r="S707" s="21" t="str"/>
      <x:c r="T707" s="17" t="str">
        <x:v>false</x:v>
      </x:c>
      <x:c r="U707" s="17" t="str">
        <x:v>true</x:v>
      </x:c>
      <x:c r="V707" s="17" t="str">
        <x:v>false</x:v>
      </x:c>
    </x:row>
    <x:row r="708" ht="80" customHeight="1">
      <x:c r="A708" s="25" t="str">
        <x:v>Math</x:v>
      </x:c>
      <x:c r="B708" s="25" t="n">
        <x:v>23</x:v>
      </x:c>
      <x:c r="C708" s="25" t="str">
        <x:v>Round1</x:v>
      </x:c>
      <x:c r="D708" s="25" t="str">
        <x:v>NOT_REVEALING</x:v>
      </x:c>
      <x:c r="E708" s="25" t="str">
        <x:v>N/A</x:v>
      </x:c>
      <x:c r="F708" s="26" t="str">
        <x:v>Same saved validation suite passed on buggy and fixed</x:v>
      </x:c>
      <x:c r="G708" s="25" t="str">
        <x:v>true</x:v>
      </x:c>
      <x:c r="H708" s="25" t="str">
        <x:v>NOT_REVEALING</x:v>
      </x:c>
      <x:c r="I708" s="25" t="str">
        <x:v>PASS</x:v>
      </x:c>
      <x:c r="J708" s="25" t="str">
        <x:v>PASS</x:v>
      </x:c>
      <x:c r="K708" s="25" t="n">
        <x:v>15</x:v>
      </x:c>
      <x:c r="L708" s="27" t="b">
        <x:v>0</x:v>
      </x:c>
      <x:c r="M708" s="25" t="str">
        <x:v>Feedback-Directed Random Test Generation/rounds/Round1/state/Math.json</x:v>
      </x:c>
      <x:c r="N708" s="25" t="str">
        <x:v>Feedback-Directed Random Test Generation/Result/Math_23/result.json</x:v>
      </x:c>
      <x:c r="O708" s="25" t="str">
        <x:v>Feedback-Directed Random Test Generation/Result/Math_23/result.json</x:v>
      </x:c>
      <x:c r="P708"/>
      <x:c r="Q708" s="21" t="str"/>
      <x:c r="R708" s="21" t="str"/>
      <x:c r="S708" s="21" t="str"/>
      <x:c r="T708" s="17" t="str">
        <x:v>false</x:v>
      </x:c>
      <x:c r="U708" s="17" t="str">
        <x:v>true</x:v>
      </x:c>
      <x:c r="V708" s="17" t="str">
        <x:v>false</x:v>
      </x:c>
    </x:row>
    <x:row r="709" ht="80" customHeight="1">
      <x:c r="A709" s="25" t="str">
        <x:v>Math</x:v>
      </x:c>
      <x:c r="B709" s="25" t="n">
        <x:v>24</x:v>
      </x:c>
      <x:c r="C709" s="25" t="str">
        <x:v>Round1</x:v>
      </x:c>
      <x:c r="D709" s="25" t="str">
        <x:v>NOT_REVEALING</x:v>
      </x:c>
      <x:c r="E709" s="25" t="str">
        <x:v>N/A</x:v>
      </x:c>
      <x:c r="F709" s="26" t="str">
        <x:v>Same saved validation suite passed on buggy and fixed</x:v>
      </x:c>
      <x:c r="G709" s="25" t="str">
        <x:v>true</x:v>
      </x:c>
      <x:c r="H709" s="25" t="str">
        <x:v>NOT_REVEALING</x:v>
      </x:c>
      <x:c r="I709" s="25" t="str">
        <x:v>PASS</x:v>
      </x:c>
      <x:c r="J709" s="25" t="str">
        <x:v>PASS</x:v>
      </x:c>
      <x:c r="K709" s="25" t="n">
        <x:v>15</x:v>
      </x:c>
      <x:c r="L709" s="27" t="b">
        <x:v>0</x:v>
      </x:c>
      <x:c r="M709" s="25" t="str">
        <x:v>Feedback-Directed Random Test Generation/rounds/Round1/state/Math.json</x:v>
      </x:c>
      <x:c r="N709" s="25" t="str">
        <x:v>Feedback-Directed Random Test Generation/Result/Math_24/result.json</x:v>
      </x:c>
      <x:c r="O709" s="25" t="str">
        <x:v>Feedback-Directed Random Test Generation/Result/Math_24/result.json</x:v>
      </x:c>
      <x:c r="P709"/>
      <x:c r="Q709" s="21" t="str"/>
      <x:c r="R709" s="21" t="str"/>
      <x:c r="S709" s="21" t="str"/>
      <x:c r="T709" s="17" t="str">
        <x:v>false</x:v>
      </x:c>
      <x:c r="U709" s="17" t="str">
        <x:v>true</x:v>
      </x:c>
      <x:c r="V709" s="17" t="str">
        <x:v>false</x:v>
      </x:c>
    </x:row>
    <x:row r="710" ht="80" customHeight="1">
      <x:c r="A710" s="25" t="str">
        <x:v>Math</x:v>
      </x:c>
      <x:c r="B710" s="25" t="n">
        <x:v>25</x:v>
      </x:c>
      <x:c r="C710" s="25" t="str">
        <x:v>Round1</x:v>
      </x:c>
      <x:c r="D710" s="25" t="str">
        <x:v>NOT_REVEALING</x:v>
      </x:c>
      <x:c r="E710" s="25" t="str">
        <x:v>N/A</x:v>
      </x:c>
      <x:c r="F710" s="26" t="str">
        <x:v>Same saved validation suite passed on buggy and fixed</x:v>
      </x:c>
      <x:c r="G710" s="25" t="str">
        <x:v>true</x:v>
      </x:c>
      <x:c r="H710" s="25" t="str">
        <x:v>NOT_REVEALING</x:v>
      </x:c>
      <x:c r="I710" s="25" t="str">
        <x:v>PASS</x:v>
      </x:c>
      <x:c r="J710" s="25" t="str">
        <x:v>PASS</x:v>
      </x:c>
      <x:c r="K710" s="25" t="n">
        <x:v>14</x:v>
      </x:c>
      <x:c r="L710" s="27" t="b">
        <x:v>0</x:v>
      </x:c>
      <x:c r="M710" s="25" t="str">
        <x:v>Feedback-Directed Random Test Generation/rounds/Round1/state/Math.json</x:v>
      </x:c>
      <x:c r="N710" s="25" t="str">
        <x:v>Feedback-Directed Random Test Generation/Result/Math_25/result.json</x:v>
      </x:c>
      <x:c r="O710" s="25" t="str">
        <x:v>Feedback-Directed Random Test Generation/Result/Math_25/result.json</x:v>
      </x:c>
      <x:c r="P710"/>
      <x:c r="Q710" s="21" t="str"/>
      <x:c r="R710" s="21" t="str"/>
      <x:c r="S710" s="21" t="str"/>
      <x:c r="T710" s="17" t="str">
        <x:v>false</x:v>
      </x:c>
      <x:c r="U710" s="17" t="str">
        <x:v>true</x:v>
      </x:c>
      <x:c r="V710" s="17" t="str">
        <x:v>false</x:v>
      </x:c>
    </x:row>
    <x:row r="711" ht="80" customHeight="1">
      <x:c r="A711" s="25" t="str">
        <x:v>Math</x:v>
      </x:c>
      <x:c r="B711" s="25" t="n">
        <x:v>26</x:v>
      </x:c>
      <x:c r="C711" s="25" t="str">
        <x:v>Round1</x:v>
      </x:c>
      <x:c r="D711" s="25" t="str">
        <x:v>NOT_REVEALING</x:v>
      </x:c>
      <x:c r="E711" s="25" t="str">
        <x:v>N/A</x:v>
      </x:c>
      <x:c r="F711" s="26" t="str">
        <x:v>Same saved validation suite passed on buggy and fixed</x:v>
      </x:c>
      <x:c r="G711" s="25" t="str">
        <x:v>true</x:v>
      </x:c>
      <x:c r="H711" s="25" t="str">
        <x:v>NOT_REVEALING</x:v>
      </x:c>
      <x:c r="I711" s="25" t="str">
        <x:v>PASS</x:v>
      </x:c>
      <x:c r="J711" s="25" t="str">
        <x:v>PASS</x:v>
      </x:c>
      <x:c r="K711" s="25" t="n">
        <x:v>7</x:v>
      </x:c>
      <x:c r="L711" s="27" t="b">
        <x:v>0</x:v>
      </x:c>
      <x:c r="M711" s="25" t="str">
        <x:v>Feedback-Directed Random Test Generation/rounds/Round1/state/Math.json</x:v>
      </x:c>
      <x:c r="N711" s="25" t="str">
        <x:v>Feedback-Directed Random Test Generation/Result/Math_26/result.json</x:v>
      </x:c>
      <x:c r="O711" s="25" t="str">
        <x:v>Feedback-Directed Random Test Generation/Result/Math_26/result.json</x:v>
      </x:c>
      <x:c r="P711"/>
      <x:c r="Q711" s="21" t="str"/>
      <x:c r="R711" s="21" t="str"/>
      <x:c r="S711" s="21" t="str"/>
      <x:c r="T711" s="17" t="str">
        <x:v>false</x:v>
      </x:c>
      <x:c r="U711" s="17" t="str">
        <x:v>true</x:v>
      </x:c>
      <x:c r="V711" s="17" t="str">
        <x:v>false</x:v>
      </x:c>
    </x:row>
    <x:row r="712" ht="80" customHeight="1">
      <x:c r="A712" s="25" t="str">
        <x:v>Math</x:v>
      </x:c>
      <x:c r="B712" s="25" t="n">
        <x:v>27</x:v>
      </x:c>
      <x:c r="C712" s="25" t="str">
        <x:v>Round1</x:v>
      </x:c>
      <x:c r="D712" s="25" t="str">
        <x:v>INCONCLUSIVE</x:v>
      </x:c>
      <x:c r="E712" s="25" t="str">
        <x:v>N/A</x:v>
      </x:c>
      <x:c r="F712" s="26" t="str">
        <x:v>Fixed also failed; assertion failure cannot be attributed to this bug</x:v>
      </x:c>
      <x:c r="G712" s="25" t="str">
        <x:v>true</x:v>
      </x:c>
      <x:c r="H712" s="25" t="str">
        <x:v>INCONCLUSIVE</x:v>
      </x:c>
      <x:c r="I712" s="25" t="str">
        <x:v>PASS</x:v>
      </x:c>
      <x:c r="J712" s="25" t="str">
        <x:v>FAIL</x:v>
      </x:c>
      <x:c r="K712" s="25" t="n">
        <x:v>7</x:v>
      </x:c>
      <x:c r="L712" s="27" t="b">
        <x:v>0</x:v>
      </x:c>
      <x:c r="M712" s="25" t="str">
        <x:v>Feedback-Directed Random Test Generation/rounds/Round1/state/Math.json</x:v>
      </x:c>
      <x:c r="N712" s="25" t="str">
        <x:v>Feedback-Directed Random Test Generation/Result/Math_27/result.json</x:v>
      </x:c>
      <x:c r="O712" s="25" t="str">
        <x:v>Feedback-Directed Random Test Generation/Result/Math_27/result.json</x:v>
      </x:c>
      <x:c r="P712"/>
      <x:c r="Q712" s="21" t="str"/>
      <x:c r="R712" s="21" t="str"/>
      <x:c r="S712" s="21" t="str"/>
      <x:c r="T712" s="17" t="str">
        <x:v>false</x:v>
      </x:c>
      <x:c r="U712" s="17" t="str">
        <x:v>true</x:v>
      </x:c>
      <x:c r="V712" s="17" t="str">
        <x:v>false</x:v>
      </x:c>
    </x:row>
    <x:row r="713" ht="80" customHeight="1">
      <x:c r="A713" s="25" t="str">
        <x:v>Math</x:v>
      </x:c>
      <x:c r="B713" s="25" t="n">
        <x:v>28</x:v>
      </x:c>
      <x:c r="C713" s="25" t="str">
        <x:v>Round1</x:v>
      </x:c>
      <x:c r="D713" s="25" t="str">
        <x:v>INCONCLUSIVE</x:v>
      </x:c>
      <x:c r="E713" s="25" t="str">
        <x:v>N/A</x:v>
      </x:c>
      <x:c r="F713" s="26" t="str">
        <x:v>Fixed also failed; assertion failure cannot be attributed to this bug; Assertions failed with measured coverage; paired execution and stage checks determine status</x:v>
      </x:c>
      <x:c r="G713" s="25" t="str">
        <x:v>true</x:v>
      </x:c>
      <x:c r="H713" s="25" t="str">
        <x:v>INCONCLUSIVE</x:v>
      </x:c>
      <x:c r="I713" s="25" t="str">
        <x:v>FAIL</x:v>
      </x:c>
      <x:c r="J713" s="25" t="str">
        <x:v>FAIL</x:v>
      </x:c>
      <x:c r="K713" s="25" t="n">
        <x:v>18</x:v>
      </x:c>
      <x:c r="L713" s="27" t="b">
        <x:v>0</x:v>
      </x:c>
      <x:c r="M713" s="25" t="str">
        <x:v>Feedback-Directed Random Test Generation/rounds/Round1/state/Math.json</x:v>
      </x:c>
      <x:c r="N713" s="25" t="str">
        <x:v>Feedback-Directed Random Test Generation/Result/Math_28/result.json</x:v>
      </x:c>
      <x:c r="O713" s="25" t="str">
        <x:v>Feedback-Directed Random Test Generation/Result/Math_28/result.json</x:v>
      </x:c>
      <x:c r="P713"/>
      <x:c r="Q713" s="21" t="str"/>
      <x:c r="R713" s="21" t="str"/>
      <x:c r="S713" s="21" t="str"/>
      <x:c r="T713" s="17" t="str">
        <x:v>false</x:v>
      </x:c>
      <x:c r="U713" s="17" t="str">
        <x:v>true</x:v>
      </x:c>
      <x:c r="V713" s="17" t="str">
        <x:v>false</x:v>
      </x:c>
    </x:row>
    <x:row r="714" ht="80" customHeight="1">
      <x:c r="A714" s="25" t="str">
        <x:v>Math</x:v>
      </x:c>
      <x:c r="B714" s="25" t="n">
        <x:v>29</x:v>
      </x:c>
      <x:c r="C714" s="25" t="str">
        <x:v>Round1</x:v>
      </x:c>
      <x:c r="D714" s="25" t="str">
        <x:v>INCONCLUSIVE</x:v>
      </x:c>
      <x:c r="E714" s="25" t="str">
        <x:v>N/A</x:v>
      </x:c>
      <x:c r="F714" s="26" t="str">
        <x:v>Fixed also failed; assertion failure cannot be attributed to this bug; Assertions failed with measured coverage; paired execution and stage checks determine status</x:v>
      </x:c>
      <x:c r="G714" s="25" t="str">
        <x:v>true</x:v>
      </x:c>
      <x:c r="H714" s="25" t="str">
        <x:v>INCONCLUSIVE</x:v>
      </x:c>
      <x:c r="I714" s="25" t="str">
        <x:v>FAIL</x:v>
      </x:c>
      <x:c r="J714" s="25" t="str">
        <x:v>FAIL</x:v>
      </x:c>
      <x:c r="K714" s="25" t="n">
        <x:v>10</x:v>
      </x:c>
      <x:c r="L714" s="27" t="b">
        <x:v>0</x:v>
      </x:c>
      <x:c r="M714" s="25" t="str">
        <x:v>Feedback-Directed Random Test Generation/rounds/Round1/state/Math.json</x:v>
      </x:c>
      <x:c r="N714" s="25" t="str">
        <x:v>Feedback-Directed Random Test Generation/Result/Math_29/result.json</x:v>
      </x:c>
      <x:c r="O714" s="25" t="str">
        <x:v>Feedback-Directed Random Test Generation/Result/Math_29/result.json</x:v>
      </x:c>
      <x:c r="P714"/>
      <x:c r="Q714" s="21" t="str"/>
      <x:c r="R714" s="21" t="str"/>
      <x:c r="S714" s="21" t="str"/>
      <x:c r="T714" s="17" t="str">
        <x:v>false</x:v>
      </x:c>
      <x:c r="U714" s="17" t="str">
        <x:v>true</x:v>
      </x:c>
      <x:c r="V714" s="17" t="str">
        <x:v>false</x:v>
      </x:c>
    </x:row>
    <x:row r="715" ht="80" customHeight="1">
      <x:c r="A715" s="25" t="str">
        <x:v>Math</x:v>
      </x:c>
      <x:c r="B715" s="25" t="n">
        <x:v>30</x:v>
      </x:c>
      <x:c r="C715" s="25" t="str">
        <x:v>Round1</x:v>
      </x:c>
      <x:c r="D715" s="25" t="str">
        <x:v>NOT_REVEALING</x:v>
      </x:c>
      <x:c r="E715" s="25" t="str">
        <x:v>N/A</x:v>
      </x:c>
      <x:c r="F715" s="26" t="str">
        <x:v>Same saved validation suite passed on buggy and fixed</x:v>
      </x:c>
      <x:c r="G715" s="25" t="str">
        <x:v>true</x:v>
      </x:c>
      <x:c r="H715" s="25" t="str">
        <x:v>NOT_REVEALING</x:v>
      </x:c>
      <x:c r="I715" s="25" t="str">
        <x:v>PASS</x:v>
      </x:c>
      <x:c r="J715" s="25" t="str">
        <x:v>PASS</x:v>
      </x:c>
      <x:c r="K715" s="25" t="n">
        <x:v>9</x:v>
      </x:c>
      <x:c r="L715" s="27" t="b">
        <x:v>0</x:v>
      </x:c>
      <x:c r="M715" s="25" t="str">
        <x:v>Feedback-Directed Random Test Generation/rounds/Round1/state/Math.json</x:v>
      </x:c>
      <x:c r="N715" s="25" t="str">
        <x:v>Feedback-Directed Random Test Generation/Result/Math_30/result.json</x:v>
      </x:c>
      <x:c r="O715" s="25" t="str">
        <x:v>Feedback-Directed Random Test Generation/Result/Math_30/result.json</x:v>
      </x:c>
      <x:c r="P715"/>
      <x:c r="Q715" s="21" t="str"/>
      <x:c r="R715" s="21" t="str"/>
      <x:c r="S715" s="21" t="str"/>
      <x:c r="T715" s="17" t="str">
        <x:v>false</x:v>
      </x:c>
      <x:c r="U715" s="17" t="str">
        <x:v>true</x:v>
      </x:c>
      <x:c r="V715" s="17" t="str">
        <x:v>false</x:v>
      </x:c>
    </x:row>
    <x:row r="716" ht="80" customHeight="1">
      <x:c r="A716" s="25" t="str">
        <x:v>Math</x:v>
      </x:c>
      <x:c r="B716" s="25" t="n">
        <x:v>31</x:v>
      </x:c>
      <x:c r="C716" s="25" t="str">
        <x:v>Round1</x:v>
      </x:c>
      <x:c r="D716" s="25" t="str">
        <x:v>NOT_REVEALING</x:v>
      </x:c>
      <x:c r="E716" s="25" t="str">
        <x:v>N/A</x:v>
      </x:c>
      <x:c r="F716" s="26" t="str">
        <x:v>Same saved validation suite passed on buggy and fixed</x:v>
      </x:c>
      <x:c r="G716" s="25" t="str">
        <x:v>true</x:v>
      </x:c>
      <x:c r="H716" s="25" t="str">
        <x:v>NOT_REVEALING</x:v>
      </x:c>
      <x:c r="I716" s="25" t="str">
        <x:v>PASS</x:v>
      </x:c>
      <x:c r="J716" s="25" t="str">
        <x:v>PASS</x:v>
      </x:c>
      <x:c r="K716" s="25" t="n">
        <x:v>2</x:v>
      </x:c>
      <x:c r="L716" s="27" t="b">
        <x:v>0</x:v>
      </x:c>
      <x:c r="M716" s="25" t="str">
        <x:v>Feedback-Directed Random Test Generation/rounds/Round1/state/Math.json</x:v>
      </x:c>
      <x:c r="N716" s="25" t="str">
        <x:v>Feedback-Directed Random Test Generation/Result/Math_31/result.json</x:v>
      </x:c>
      <x:c r="O716" s="25" t="str">
        <x:v>Feedback-Directed Random Test Generation/Result/Math_31/result.json</x:v>
      </x:c>
      <x:c r="P716"/>
      <x:c r="Q716" s="21" t="str"/>
      <x:c r="R716" s="21" t="str"/>
      <x:c r="S716" s="21" t="str"/>
      <x:c r="T716" s="17" t="str">
        <x:v>false</x:v>
      </x:c>
      <x:c r="U716" s="17" t="str">
        <x:v>true</x:v>
      </x:c>
      <x:c r="V716" s="17" t="str">
        <x:v>false</x:v>
      </x:c>
    </x:row>
    <x:row r="717" ht="80" customHeight="1">
      <x:c r="A717" s="25" t="str">
        <x:v>Math</x:v>
      </x:c>
      <x:c r="B717" s="25" t="n">
        <x:v>32</x:v>
      </x:c>
      <x:c r="C717" s="25" t="str">
        <x:v>Round1</x:v>
      </x:c>
      <x:c r="D717" s="25" t="str">
        <x:v>INCONCLUSIVE</x:v>
      </x:c>
      <x:c r="E717" s="25" t="str">
        <x:v>N/A</x:v>
      </x:c>
      <x:c r="F717" s="26" t="str">
        <x:v>Fixed also failed; assertion failure cannot be attributed to this bug; Assertions failed with measured coverage; paired execution and stage checks determine status</x:v>
      </x:c>
      <x:c r="G717" s="25" t="str">
        <x:v>true</x:v>
      </x:c>
      <x:c r="H717" s="25" t="str">
        <x:v>INCONCLUSIVE</x:v>
      </x:c>
      <x:c r="I717" s="25" t="str">
        <x:v>FAIL</x:v>
      </x:c>
      <x:c r="J717" s="25" t="str">
        <x:v>FAIL</x:v>
      </x:c>
      <x:c r="K717" s="25" t="n">
        <x:v>8</x:v>
      </x:c>
      <x:c r="L717" s="27" t="b">
        <x:v>0</x:v>
      </x:c>
      <x:c r="M717" s="25" t="str">
        <x:v>Feedback-Directed Random Test Generation/rounds/Round1/state/Math.json</x:v>
      </x:c>
      <x:c r="N717" s="25" t="str">
        <x:v>Feedback-Directed Random Test Generation/Result/Math_32/result.json</x:v>
      </x:c>
      <x:c r="O717" s="25" t="str">
        <x:v>Feedback-Directed Random Test Generation/Result/Math_32/result.json</x:v>
      </x:c>
      <x:c r="P717"/>
      <x:c r="Q717" s="21" t="str"/>
      <x:c r="R717" s="21" t="str"/>
      <x:c r="S717" s="21" t="str"/>
      <x:c r="T717" s="17" t="str">
        <x:v>false</x:v>
      </x:c>
      <x:c r="U717" s="17" t="str">
        <x:v>true</x:v>
      </x:c>
      <x:c r="V717" s="17" t="str">
        <x:v>false</x:v>
      </x:c>
    </x:row>
    <x:row r="718" ht="80" customHeight="1">
      <x:c r="A718" s="25" t="str">
        <x:v>Math</x:v>
      </x:c>
      <x:c r="B718" s="25" t="n">
        <x:v>33</x:v>
      </x:c>
      <x:c r="C718" s="25" t="str">
        <x:v>Round1</x:v>
      </x:c>
      <x:c r="D718" s="25" t="str">
        <x:v>NOT_REVEALING</x:v>
      </x:c>
      <x:c r="E718" s="25" t="str">
        <x:v>N/A</x:v>
      </x:c>
      <x:c r="F718" s="26" t="str">
        <x:v>Same saved validation suite passed on buggy and fixed</x:v>
      </x:c>
      <x:c r="G718" s="25" t="str">
        <x:v>true</x:v>
      </x:c>
      <x:c r="H718" s="25" t="str">
        <x:v>NOT_REVEALING</x:v>
      </x:c>
      <x:c r="I718" s="25" t="str">
        <x:v>PASS</x:v>
      </x:c>
      <x:c r="J718" s="25" t="str">
        <x:v>PASS</x:v>
      </x:c>
      <x:c r="K718" s="25" t="n">
        <x:v>7</x:v>
      </x:c>
      <x:c r="L718" s="27" t="b">
        <x:v>0</x:v>
      </x:c>
      <x:c r="M718" s="25" t="str">
        <x:v>Feedback-Directed Random Test Generation/rounds/Round1/state/Math.json</x:v>
      </x:c>
      <x:c r="N718" s="25" t="str">
        <x:v>Feedback-Directed Random Test Generation/Result/Math_33/result.json</x:v>
      </x:c>
      <x:c r="O718" s="25" t="str">
        <x:v>Feedback-Directed Random Test Generation/Result/Math_33/result.json</x:v>
      </x:c>
      <x:c r="P718"/>
      <x:c r="Q718" s="21" t="str"/>
      <x:c r="R718" s="21" t="str"/>
      <x:c r="S718" s="21" t="str"/>
      <x:c r="T718" s="17" t="str">
        <x:v>false</x:v>
      </x:c>
      <x:c r="U718" s="17" t="str">
        <x:v>true</x:v>
      </x:c>
      <x:c r="V718" s="17" t="str">
        <x:v>false</x:v>
      </x:c>
    </x:row>
    <x:row r="719" ht="80" customHeight="1">
      <x:c r="A719" s="25" t="str">
        <x:v>Math</x:v>
      </x:c>
      <x:c r="B719" s="25" t="n">
        <x:v>34</x:v>
      </x:c>
      <x:c r="C719" s="25" t="str">
        <x:v>Round1</x:v>
      </x:c>
      <x:c r="D719" s="25" t="str">
        <x:v>NOT_REVEALING</x:v>
      </x:c>
      <x:c r="E719" s="25" t="str">
        <x:v>N/A</x:v>
      </x:c>
      <x:c r="F719" s="26" t="str">
        <x:v>Same saved validation suite passed on buggy and fixed</x:v>
      </x:c>
      <x:c r="G719" s="25" t="str">
        <x:v>true</x:v>
      </x:c>
      <x:c r="H719" s="25" t="str">
        <x:v>NOT_REVEALING</x:v>
      </x:c>
      <x:c r="I719" s="25" t="str">
        <x:v>PASS</x:v>
      </x:c>
      <x:c r="J719" s="25" t="str">
        <x:v>PASS</x:v>
      </x:c>
      <x:c r="K719" s="25" t="n">
        <x:v>2</x:v>
      </x:c>
      <x:c r="L719" s="27" t="b">
        <x:v>0</x:v>
      </x:c>
      <x:c r="M719" s="25" t="str">
        <x:v>Feedback-Directed Random Test Generation/rounds/Round1/state/Math.json</x:v>
      </x:c>
      <x:c r="N719" s="25" t="str">
        <x:v>Feedback-Directed Random Test Generation/Result/Math_34/result.json</x:v>
      </x:c>
      <x:c r="O719" s="25" t="str">
        <x:v>Feedback-Directed Random Test Generation/Result/Math_34/result.json</x:v>
      </x:c>
      <x:c r="P719"/>
      <x:c r="Q719" s="21" t="str"/>
      <x:c r="R719" s="21" t="str"/>
      <x:c r="S719" s="21" t="str"/>
      <x:c r="T719" s="17" t="str">
        <x:v>false</x:v>
      </x:c>
      <x:c r="U719" s="17" t="str">
        <x:v>true</x:v>
      </x:c>
      <x:c r="V719" s="17" t="str">
        <x:v>false</x:v>
      </x:c>
    </x:row>
    <x:row r="720" ht="80" customHeight="1">
      <x:c r="A720" s="25" t="str">
        <x:v>Math</x:v>
      </x:c>
      <x:c r="B720" s="25" t="n">
        <x:v>35</x:v>
      </x:c>
      <x:c r="C720" s="25" t="str">
        <x:v>Round1</x:v>
      </x:c>
      <x:c r="D720" s="25" t="str">
        <x:v>INCONCLUSIVE</x:v>
      </x:c>
      <x:c r="E720" s="25" t="str">
        <x:v>N/A</x:v>
      </x:c>
      <x:c r="F720" s="26" t="str">
        <x:v>Fixed also failed; assertion failure cannot be attributed to this bug</x:v>
      </x:c>
      <x:c r="G720" s="25" t="str">
        <x:v>true</x:v>
      </x:c>
      <x:c r="H720" s="25" t="str">
        <x:v>INCONCLUSIVE</x:v>
      </x:c>
      <x:c r="I720" s="25" t="str">
        <x:v>PASS</x:v>
      </x:c>
      <x:c r="J720" s="25" t="str">
        <x:v>FAIL</x:v>
      </x:c>
      <x:c r="K720" s="25" t="n">
        <x:v>11</x:v>
      </x:c>
      <x:c r="L720" s="27" t="b">
        <x:v>0</x:v>
      </x:c>
      <x:c r="M720" s="25" t="str">
        <x:v>Feedback-Directed Random Test Generation/rounds/Round1/state/Math.json</x:v>
      </x:c>
      <x:c r="N720" s="25" t="str">
        <x:v>Feedback-Directed Random Test Generation/Result/Math_35/result.json</x:v>
      </x:c>
      <x:c r="O720" s="25" t="str">
        <x:v>Feedback-Directed Random Test Generation/Result/Math_35/result.json</x:v>
      </x:c>
      <x:c r="P720"/>
      <x:c r="Q720" s="21" t="str"/>
      <x:c r="R720" s="21" t="str"/>
      <x:c r="S720" s="21" t="str"/>
      <x:c r="T720" s="17" t="str">
        <x:v>false</x:v>
      </x:c>
      <x:c r="U720" s="17" t="str">
        <x:v>true</x:v>
      </x:c>
      <x:c r="V720" s="17" t="str">
        <x:v>false</x:v>
      </x:c>
    </x:row>
    <x:row r="721" ht="80" customHeight="1">
      <x:c r="A721" s="25" t="str">
        <x:v>Math</x:v>
      </x:c>
      <x:c r="B721" s="25" t="n">
        <x:v>36</x:v>
      </x:c>
      <x:c r="C721" s="25" t="str">
        <x:v>Round1</x:v>
      </x:c>
      <x:c r="D721" s="25" t="str">
        <x:v>NOT_REVEALING</x:v>
      </x:c>
      <x:c r="E721" s="25" t="str">
        <x:v>N/A</x:v>
      </x:c>
      <x:c r="F721" s="26" t="str">
        <x:v>Same saved validation suite passed on buggy and fixed</x:v>
      </x:c>
      <x:c r="G721" s="25" t="str">
        <x:v>true</x:v>
      </x:c>
      <x:c r="H721" s="25" t="str">
        <x:v>NOT_REVEALING</x:v>
      </x:c>
      <x:c r="I721" s="25" t="str">
        <x:v>PASS</x:v>
      </x:c>
      <x:c r="J721" s="25" t="str">
        <x:v>PASS</x:v>
      </x:c>
      <x:c r="K721" s="25" t="n">
        <x:v>2</x:v>
      </x:c>
      <x:c r="L721" s="27" t="b">
        <x:v>0</x:v>
      </x:c>
      <x:c r="M721" s="25" t="str">
        <x:v>Feedback-Directed Random Test Generation/rounds/Round1/state/Math.json</x:v>
      </x:c>
      <x:c r="N721" s="25" t="str">
        <x:v>Feedback-Directed Random Test Generation/Result/Math_36/result.json</x:v>
      </x:c>
      <x:c r="O721" s="25" t="str">
        <x:v>Feedback-Directed Random Test Generation/Result/Math_36/result.json</x:v>
      </x:c>
      <x:c r="P721"/>
      <x:c r="Q721" s="21" t="str"/>
      <x:c r="R721" s="21" t="str"/>
      <x:c r="S721" s="21" t="str"/>
      <x:c r="T721" s="17" t="str">
        <x:v>false</x:v>
      </x:c>
      <x:c r="U721" s="17" t="str">
        <x:v>true</x:v>
      </x:c>
      <x:c r="V721" s="17" t="str">
        <x:v>false</x:v>
      </x:c>
    </x:row>
    <x:row r="722" ht="80" customHeight="1">
      <x:c r="A722" s="25" t="str">
        <x:v>Math</x:v>
      </x:c>
      <x:c r="B722" s="25" t="n">
        <x:v>37</x:v>
      </x:c>
      <x:c r="C722" s="25" t="str">
        <x:v>Round1</x:v>
      </x:c>
      <x:c r="D722" s="25" t="str">
        <x:v>INCONCLUSIVE</x:v>
      </x:c>
      <x:c r="E722" s="25" t="str">
        <x:v>N/A</x:v>
      </x:c>
      <x:c r="F722" s="26" t="str">
        <x:v>Fixed also failed; assertion failure cannot be attributed to this bug; Assertions failed with measured coverage; paired execution and stage checks determine status</x:v>
      </x:c>
      <x:c r="G722" s="25" t="str">
        <x:v>true</x:v>
      </x:c>
      <x:c r="H722" s="25" t="str">
        <x:v>INCONCLUSIVE</x:v>
      </x:c>
      <x:c r="I722" s="25" t="str">
        <x:v>FAIL</x:v>
      </x:c>
      <x:c r="J722" s="25" t="str">
        <x:v>FAIL</x:v>
      </x:c>
      <x:c r="K722" s="25" t="n">
        <x:v>11</x:v>
      </x:c>
      <x:c r="L722" s="27" t="b">
        <x:v>0</x:v>
      </x:c>
      <x:c r="M722" s="25" t="str">
        <x:v>Feedback-Directed Random Test Generation/rounds/Round1/state/Math.json</x:v>
      </x:c>
      <x:c r="N722" s="25" t="str">
        <x:v>Feedback-Directed Random Test Generation/Result/Math_37/result.json</x:v>
      </x:c>
      <x:c r="O722" s="25" t="str">
        <x:v>Feedback-Directed Random Test Generation/Result/Math_37/result.json</x:v>
      </x:c>
      <x:c r="P722"/>
      <x:c r="Q722" s="21" t="str"/>
      <x:c r="R722" s="21" t="str"/>
      <x:c r="S722" s="21" t="str"/>
      <x:c r="T722" s="17" t="str">
        <x:v>false</x:v>
      </x:c>
      <x:c r="U722" s="17" t="str">
        <x:v>true</x:v>
      </x:c>
      <x:c r="V722" s="17" t="str">
        <x:v>false</x:v>
      </x:c>
    </x:row>
    <x:row r="723" ht="80" customHeight="1">
      <x:c r="A723" s="25" t="str">
        <x:v>Math</x:v>
      </x:c>
      <x:c r="B723" s="25" t="n">
        <x:v>38</x:v>
      </x:c>
      <x:c r="C723" s="25" t="str">
        <x:v>Round1</x:v>
      </x:c>
      <x:c r="D723" s="25" t="str">
        <x:v>INCONCLUSIVE</x:v>
      </x:c>
      <x:c r="E723" s="25" t="str">
        <x:v>N/A</x:v>
      </x:c>
      <x:c r="F723" s="26" t="str">
        <x:v>Fixed also failed; assertion failure cannot be attributed to this bug; Assertions failed with measured coverage; paired execution and stage checks determine status</x:v>
      </x:c>
      <x:c r="G723" s="25" t="str">
        <x:v>true</x:v>
      </x:c>
      <x:c r="H723" s="25" t="str">
        <x:v>INCONCLUSIVE</x:v>
      </x:c>
      <x:c r="I723" s="25" t="str">
        <x:v>FAIL</x:v>
      </x:c>
      <x:c r="J723" s="25" t="str">
        <x:v>FAIL</x:v>
      </x:c>
      <x:c r="K723" s="25" t="n">
        <x:v>18</x:v>
      </x:c>
      <x:c r="L723" s="27" t="b">
        <x:v>0</x:v>
      </x:c>
      <x:c r="M723" s="25" t="str">
        <x:v>Feedback-Directed Random Test Generation/rounds/Round1/state/Math.json</x:v>
      </x:c>
      <x:c r="N723" s="25" t="str">
        <x:v>Feedback-Directed Random Test Generation/Result/Math_38/result.json</x:v>
      </x:c>
      <x:c r="O723" s="25" t="str">
        <x:v>Feedback-Directed Random Test Generation/Result/Math_38/result.json</x:v>
      </x:c>
      <x:c r="P723"/>
      <x:c r="Q723" s="21" t="str"/>
      <x:c r="R723" s="21" t="str"/>
      <x:c r="S723" s="21" t="str"/>
      <x:c r="T723" s="17" t="str">
        <x:v>false</x:v>
      </x:c>
      <x:c r="U723" s="17" t="str">
        <x:v>true</x:v>
      </x:c>
      <x:c r="V723" s="17" t="str">
        <x:v>false</x:v>
      </x:c>
    </x:row>
    <x:row r="724" ht="80" customHeight="1">
      <x:c r="A724" s="25" t="str">
        <x:v>Math</x:v>
      </x:c>
      <x:c r="B724" s="25" t="n">
        <x:v>39</x:v>
      </x:c>
      <x:c r="C724" s="25" t="str">
        <x:v>Round1</x:v>
      </x:c>
      <x:c r="D724" s="25" t="str">
        <x:v>NOT_REVEALING</x:v>
      </x:c>
      <x:c r="E724" s="25" t="str">
        <x:v>N/A</x:v>
      </x:c>
      <x:c r="F724" s="26" t="str">
        <x:v>Same saved validation suite passed on buggy and fixed</x:v>
      </x:c>
      <x:c r="G724" s="25" t="str">
        <x:v>true</x:v>
      </x:c>
      <x:c r="H724" s="25" t="str">
        <x:v>NOT_REVEALING</x:v>
      </x:c>
      <x:c r="I724" s="25" t="str">
        <x:v>PASS</x:v>
      </x:c>
      <x:c r="J724" s="25" t="str">
        <x:v>PASS</x:v>
      </x:c>
      <x:c r="K724" s="25" t="n">
        <x:v>2</x:v>
      </x:c>
      <x:c r="L724" s="27" t="b">
        <x:v>0</x:v>
      </x:c>
      <x:c r="M724" s="25" t="str">
        <x:v>Feedback-Directed Random Test Generation/rounds/Round1/state/Math.json</x:v>
      </x:c>
      <x:c r="N724" s="25" t="str">
        <x:v>Feedback-Directed Random Test Generation/Result/Math_39/result.json</x:v>
      </x:c>
      <x:c r="O724" s="25" t="str">
        <x:v>Feedback-Directed Random Test Generation/Result/Math_39/result.json</x:v>
      </x:c>
      <x:c r="P724"/>
      <x:c r="Q724" s="21" t="str"/>
      <x:c r="R724" s="21" t="str"/>
      <x:c r="S724" s="21" t="str"/>
      <x:c r="T724" s="17" t="str">
        <x:v>false</x:v>
      </x:c>
      <x:c r="U724" s="17" t="str">
        <x:v>true</x:v>
      </x:c>
      <x:c r="V724" s="17" t="str">
        <x:v>false</x:v>
      </x:c>
    </x:row>
    <x:row r="725" ht="80" customHeight="1">
      <x:c r="A725" s="25" t="str">
        <x:v>Math</x:v>
      </x:c>
      <x:c r="B725" s="25" t="n">
        <x:v>40</x:v>
      </x:c>
      <x:c r="C725" s="25" t="str">
        <x:v>Round1</x:v>
      </x:c>
      <x:c r="D725" s="25" t="str">
        <x:v>NOT_REVEALING</x:v>
      </x:c>
      <x:c r="E725" s="25" t="str">
        <x:v>N/A</x:v>
      </x:c>
      <x:c r="F725" s="26" t="str">
        <x:v>Same saved validation suite passed on buggy and fixed</x:v>
      </x:c>
      <x:c r="G725" s="25" t="str">
        <x:v>true</x:v>
      </x:c>
      <x:c r="H725" s="25" t="str">
        <x:v>NOT_REVEALING</x:v>
      </x:c>
      <x:c r="I725" s="25" t="str">
        <x:v>PASS</x:v>
      </x:c>
      <x:c r="J725" s="25" t="str">
        <x:v>PASS</x:v>
      </x:c>
      <x:c r="K725" s="25" t="n">
        <x:v>15</x:v>
      </x:c>
      <x:c r="L725" s="27" t="b">
        <x:v>0</x:v>
      </x:c>
      <x:c r="M725" s="25" t="str">
        <x:v>Feedback-Directed Random Test Generation/rounds/Round1/state/Math.json</x:v>
      </x:c>
      <x:c r="N725" s="25" t="str">
        <x:v>Feedback-Directed Random Test Generation/Result/Math_40/result.json</x:v>
      </x:c>
      <x:c r="O725" s="25" t="str">
        <x:v>Feedback-Directed Random Test Generation/Result/Math_40/result.json</x:v>
      </x:c>
      <x:c r="P725"/>
      <x:c r="Q725" s="21" t="str"/>
      <x:c r="R725" s="21" t="str"/>
      <x:c r="S725" s="21" t="str"/>
      <x:c r="T725" s="17" t="str">
        <x:v>false</x:v>
      </x:c>
      <x:c r="U725" s="17" t="str">
        <x:v>true</x:v>
      </x:c>
      <x:c r="V725" s="17" t="str">
        <x:v>false</x:v>
      </x:c>
    </x:row>
    <x:row r="726" ht="80" customHeight="1">
      <x:c r="A726" s="25" t="str">
        <x:v>Math</x:v>
      </x:c>
      <x:c r="B726" s="25" t="n">
        <x:v>41</x:v>
      </x:c>
      <x:c r="C726" s="25" t="str">
        <x:v>Round1</x:v>
      </x:c>
      <x:c r="D726" s="25" t="str">
        <x:v>NOT_REVEALING</x:v>
      </x:c>
      <x:c r="E726" s="25" t="str">
        <x:v>N/A</x:v>
      </x:c>
      <x:c r="F726" s="26" t="str">
        <x:v>Same saved validation suite passed on buggy and fixed</x:v>
      </x:c>
      <x:c r="G726" s="25" t="str">
        <x:v>true</x:v>
      </x:c>
      <x:c r="H726" s="25" t="str">
        <x:v>NOT_REVEALING</x:v>
      </x:c>
      <x:c r="I726" s="25" t="str">
        <x:v>PASS</x:v>
      </x:c>
      <x:c r="J726" s="25" t="str">
        <x:v>PASS</x:v>
      </x:c>
      <x:c r="K726" s="25" t="n">
        <x:v>9</x:v>
      </x:c>
      <x:c r="L726" s="27" t="b">
        <x:v>0</x:v>
      </x:c>
      <x:c r="M726" s="25" t="str">
        <x:v>Feedback-Directed Random Test Generation/rounds/Round1/state/Math.json</x:v>
      </x:c>
      <x:c r="N726" s="25" t="str">
        <x:v>Feedback-Directed Random Test Generation/Result/Math_41/result.json</x:v>
      </x:c>
      <x:c r="O726" s="25" t="str">
        <x:v>Feedback-Directed Random Test Generation/Result/Math_41/result.json</x:v>
      </x:c>
      <x:c r="P726"/>
      <x:c r="Q726" s="21" t="str"/>
      <x:c r="R726" s="21" t="str"/>
      <x:c r="S726" s="21" t="str"/>
      <x:c r="T726" s="17" t="str">
        <x:v>false</x:v>
      </x:c>
      <x:c r="U726" s="17" t="str">
        <x:v>true</x:v>
      </x:c>
      <x:c r="V726" s="17" t="str">
        <x:v>false</x:v>
      </x:c>
    </x:row>
    <x:row r="727" ht="80" customHeight="1">
      <x:c r="A727" s="25" t="str">
        <x:v>Math</x:v>
      </x:c>
      <x:c r="B727" s="25" t="n">
        <x:v>42</x:v>
      </x:c>
      <x:c r="C727" s="25" t="str">
        <x:v>Round1</x:v>
      </x:c>
      <x:c r="D727" s="25" t="str">
        <x:v>NOT_REVEALING</x:v>
      </x:c>
      <x:c r="E727" s="25" t="str">
        <x:v>N/A</x:v>
      </x:c>
      <x:c r="F727" s="26" t="str">
        <x:v>Same saved validation suite passed on buggy and fixed</x:v>
      </x:c>
      <x:c r="G727" s="25" t="str">
        <x:v>true</x:v>
      </x:c>
      <x:c r="H727" s="25" t="str">
        <x:v>NOT_REVEALING</x:v>
      </x:c>
      <x:c r="I727" s="25" t="str">
        <x:v>PASS</x:v>
      </x:c>
      <x:c r="J727" s="25" t="str">
        <x:v>PASS</x:v>
      </x:c>
      <x:c r="K727" s="25" t="n">
        <x:v>7</x:v>
      </x:c>
      <x:c r="L727" s="27" t="b">
        <x:v>0</x:v>
      </x:c>
      <x:c r="M727" s="25" t="str">
        <x:v>Feedback-Directed Random Test Generation/rounds/Round1/state/Math.json</x:v>
      </x:c>
      <x:c r="N727" s="25" t="str">
        <x:v>Feedback-Directed Random Test Generation/Result/Math_42/result.json</x:v>
      </x:c>
      <x:c r="O727" s="25" t="str">
        <x:v>Feedback-Directed Random Test Generation/Result/Math_42/result.json</x:v>
      </x:c>
      <x:c r="P727"/>
      <x:c r="Q727" s="21" t="str"/>
      <x:c r="R727" s="21" t="str"/>
      <x:c r="S727" s="21" t="str"/>
      <x:c r="T727" s="17" t="str">
        <x:v>false</x:v>
      </x:c>
      <x:c r="U727" s="17" t="str">
        <x:v>true</x:v>
      </x:c>
      <x:c r="V727" s="17" t="str">
        <x:v>false</x:v>
      </x:c>
    </x:row>
    <x:row r="728" ht="80" customHeight="1">
      <x:c r="A728" s="25" t="str">
        <x:v>Math</x:v>
      </x:c>
      <x:c r="B728" s="25" t="n">
        <x:v>43</x:v>
      </x:c>
      <x:c r="C728" s="25" t="str">
        <x:v>Round1</x:v>
      </x:c>
      <x:c r="D728" s="25" t="str">
        <x:v>INCONCLUSIVE</x:v>
      </x:c>
      <x:c r="E728" s="25" t="str">
        <x:v>N/A</x:v>
      </x:c>
      <x:c r="F728" s="26" t="str">
        <x:v>Fixed also failed; assertion failure cannot be attributed to this bug; Assertions failed with measured coverage; paired execution and stage checks determine status</x:v>
      </x:c>
      <x:c r="G728" s="25" t="str">
        <x:v>true</x:v>
      </x:c>
      <x:c r="H728" s="25" t="str">
        <x:v>INCONCLUSIVE</x:v>
      </x:c>
      <x:c r="I728" s="25" t="str">
        <x:v>FAIL</x:v>
      </x:c>
      <x:c r="J728" s="25" t="str">
        <x:v>FAIL</x:v>
      </x:c>
      <x:c r="K728" s="25" t="n">
        <x:v>9</x:v>
      </x:c>
      <x:c r="L728" s="27" t="b">
        <x:v>0</x:v>
      </x:c>
      <x:c r="M728" s="25" t="str">
        <x:v>Feedback-Directed Random Test Generation/rounds/Round1/state/Math.json</x:v>
      </x:c>
      <x:c r="N728" s="25" t="str">
        <x:v>Feedback-Directed Random Test Generation/Result/Math_43/result.json</x:v>
      </x:c>
      <x:c r="O728" s="25" t="str">
        <x:v>Feedback-Directed Random Test Generation/Result/Math_43/result.json</x:v>
      </x:c>
      <x:c r="P728"/>
      <x:c r="Q728" s="21" t="str"/>
      <x:c r="R728" s="21" t="str"/>
      <x:c r="S728" s="21" t="str"/>
      <x:c r="T728" s="17" t="str">
        <x:v>false</x:v>
      </x:c>
      <x:c r="U728" s="17" t="str">
        <x:v>true</x:v>
      </x:c>
      <x:c r="V728" s="17" t="str">
        <x:v>false</x:v>
      </x:c>
    </x:row>
    <x:row r="729" ht="80" customHeight="1">
      <x:c r="A729" s="25" t="str">
        <x:v>Math</x:v>
      </x:c>
      <x:c r="B729" s="25" t="n">
        <x:v>44</x:v>
      </x:c>
      <x:c r="C729" s="25" t="str">
        <x:v>Round1</x:v>
      </x:c>
      <x:c r="D729" s="25" t="str">
        <x:v>NOT_REVEALING</x:v>
      </x:c>
      <x:c r="E729" s="25" t="str">
        <x:v>N/A</x:v>
      </x:c>
      <x:c r="F729" s="26" t="str">
        <x:v>Same saved validation suite passed on buggy and fixed</x:v>
      </x:c>
      <x:c r="G729" s="25" t="str">
        <x:v>true</x:v>
      </x:c>
      <x:c r="H729" s="25" t="str">
        <x:v>NOT_REVEALING</x:v>
      </x:c>
      <x:c r="I729" s="25" t="str">
        <x:v>PASS</x:v>
      </x:c>
      <x:c r="J729" s="25" t="str">
        <x:v>PASS</x:v>
      </x:c>
      <x:c r="K729" s="25" t="n">
        <x:v>2</x:v>
      </x:c>
      <x:c r="L729" s="27" t="b">
        <x:v>0</x:v>
      </x:c>
      <x:c r="M729" s="25" t="str">
        <x:v>Feedback-Directed Random Test Generation/rounds/Round1/state/Math.json</x:v>
      </x:c>
      <x:c r="N729" s="25" t="str">
        <x:v>Feedback-Directed Random Test Generation/Result/Math_44/result.json</x:v>
      </x:c>
      <x:c r="O729" s="25" t="str">
        <x:v>Feedback-Directed Random Test Generation/Result/Math_44/result.json</x:v>
      </x:c>
      <x:c r="P729"/>
      <x:c r="Q729" s="21" t="str"/>
      <x:c r="R729" s="21" t="str"/>
      <x:c r="S729" s="21" t="str"/>
      <x:c r="T729" s="17" t="str">
        <x:v>false</x:v>
      </x:c>
      <x:c r="U729" s="17" t="str">
        <x:v>true</x:v>
      </x:c>
      <x:c r="V729" s="17" t="str">
        <x:v>false</x:v>
      </x:c>
    </x:row>
    <x:row r="730" ht="80" customHeight="1">
      <x:c r="A730" s="25" t="str">
        <x:v>Math</x:v>
      </x:c>
      <x:c r="B730" s="25" t="n">
        <x:v>45</x:v>
      </x:c>
      <x:c r="C730" s="25" t="str">
        <x:v>Round1</x:v>
      </x:c>
      <x:c r="D730" s="25" t="str">
        <x:v>NOT_REVEALING</x:v>
      </x:c>
      <x:c r="E730" s="25" t="str">
        <x:v>N/A</x:v>
      </x:c>
      <x:c r="F730" s="26" t="str">
        <x:v>Same saved validation suite passed on buggy and fixed</x:v>
      </x:c>
      <x:c r="G730" s="25" t="str">
        <x:v>true</x:v>
      </x:c>
      <x:c r="H730" s="25" t="str">
        <x:v>NOT_REVEALING</x:v>
      </x:c>
      <x:c r="I730" s="25" t="str">
        <x:v>PASS</x:v>
      </x:c>
      <x:c r="J730" s="25" t="str">
        <x:v>PASS</x:v>
      </x:c>
      <x:c r="K730" s="25" t="n">
        <x:v>9</x:v>
      </x:c>
      <x:c r="L730" s="27" t="b">
        <x:v>0</x:v>
      </x:c>
      <x:c r="M730" s="25" t="str">
        <x:v>Feedback-Directed Random Test Generation/rounds/Round1/state/Math.json</x:v>
      </x:c>
      <x:c r="N730" s="25" t="str">
        <x:v>Feedback-Directed Random Test Generation/Result/Math_45/result.json</x:v>
      </x:c>
      <x:c r="O730" s="25" t="str">
        <x:v>Feedback-Directed Random Test Generation/Result/Math_45/result.json</x:v>
      </x:c>
      <x:c r="P730"/>
      <x:c r="Q730" s="21" t="str"/>
      <x:c r="R730" s="21" t="str"/>
      <x:c r="S730" s="21" t="str"/>
      <x:c r="T730" s="17" t="str">
        <x:v>false</x:v>
      </x:c>
      <x:c r="U730" s="17" t="str">
        <x:v>true</x:v>
      </x:c>
      <x:c r="V730" s="17" t="str">
        <x:v>false</x:v>
      </x:c>
    </x:row>
    <x:row r="731" ht="80" customHeight="1">
      <x:c r="A731" s="25" t="str">
        <x:v>Math</x:v>
      </x:c>
      <x:c r="B731" s="25" t="n">
        <x:v>46</x:v>
      </x:c>
      <x:c r="C731" s="25" t="str">
        <x:v>Round1</x:v>
      </x:c>
      <x:c r="D731" s="25" t="str">
        <x:v>INCONCLUSIVE</x:v>
      </x:c>
      <x:c r="E731" s="25" t="str">
        <x:v>N/A</x:v>
      </x:c>
      <x:c r="F731" s="26" t="str">
        <x:v>Fixed also failed; assertion failure cannot be attributed to this bug; Assertions failed with measured coverage; paired execution and stage checks determine status</x:v>
      </x:c>
      <x:c r="G731" s="25" t="str">
        <x:v>true</x:v>
      </x:c>
      <x:c r="H731" s="25" t="str">
        <x:v>INCONCLUSIVE</x:v>
      </x:c>
      <x:c r="I731" s="25" t="str">
        <x:v>FAIL</x:v>
      </x:c>
      <x:c r="J731" s="25" t="str">
        <x:v>FAIL</x:v>
      </x:c>
      <x:c r="K731" s="25" t="n">
        <x:v>12</x:v>
      </x:c>
      <x:c r="L731" s="27" t="b">
        <x:v>0</x:v>
      </x:c>
      <x:c r="M731" s="25" t="str">
        <x:v>Feedback-Directed Random Test Generation/rounds/Round1/state/Math.json</x:v>
      </x:c>
      <x:c r="N731" s="25" t="str">
        <x:v>Feedback-Directed Random Test Generation/Result/Math_46/result.json</x:v>
      </x:c>
      <x:c r="O731" s="25" t="str">
        <x:v>Feedback-Directed Random Test Generation/Result/Math_46/result.json</x:v>
      </x:c>
      <x:c r="P731"/>
      <x:c r="Q731" s="21" t="str"/>
      <x:c r="R731" s="21" t="str"/>
      <x:c r="S731" s="21" t="str"/>
      <x:c r="T731" s="17" t="str">
        <x:v>false</x:v>
      </x:c>
      <x:c r="U731" s="17" t="str">
        <x:v>true</x:v>
      </x:c>
      <x:c r="V731" s="17" t="str">
        <x:v>false</x:v>
      </x:c>
    </x:row>
    <x:row r="732" ht="80" customHeight="1">
      <x:c r="A732" s="25" t="str">
        <x:v>Math</x:v>
      </x:c>
      <x:c r="B732" s="25" t="n">
        <x:v>47</x:v>
      </x:c>
      <x:c r="C732" s="25" t="str">
        <x:v>Round1</x:v>
      </x:c>
      <x:c r="D732" s="25" t="str">
        <x:v>INCONCLUSIVE</x:v>
      </x:c>
      <x:c r="E732" s="25" t="str">
        <x:v>N/A</x:v>
      </x:c>
      <x:c r="F732" s="26" t="str">
        <x:v>Fixed also failed; assertion failure cannot be attributed to this bug; Assertions failed with measured coverage; paired execution and stage checks determine status</x:v>
      </x:c>
      <x:c r="G732" s="25" t="str">
        <x:v>true</x:v>
      </x:c>
      <x:c r="H732" s="25" t="str">
        <x:v>INCONCLUSIVE</x:v>
      </x:c>
      <x:c r="I732" s="25" t="str">
        <x:v>FAIL</x:v>
      </x:c>
      <x:c r="J732" s="25" t="str">
        <x:v>FAIL</x:v>
      </x:c>
      <x:c r="K732" s="25" t="n">
        <x:v>12</x:v>
      </x:c>
      <x:c r="L732" s="27" t="b">
        <x:v>0</x:v>
      </x:c>
      <x:c r="M732" s="25" t="str">
        <x:v>Feedback-Directed Random Test Generation/rounds/Round1/state/Math.json</x:v>
      </x:c>
      <x:c r="N732" s="25" t="str">
        <x:v>Feedback-Directed Random Test Generation/Result/Math_47/result.json</x:v>
      </x:c>
      <x:c r="O732" s="25" t="str">
        <x:v>Feedback-Directed Random Test Generation/Result/Math_47/result.json</x:v>
      </x:c>
      <x:c r="P732"/>
      <x:c r="Q732" s="21" t="str"/>
      <x:c r="R732" s="21" t="str"/>
      <x:c r="S732" s="21" t="str"/>
      <x:c r="T732" s="17" t="str">
        <x:v>false</x:v>
      </x:c>
      <x:c r="U732" s="17" t="str">
        <x:v>true</x:v>
      </x:c>
      <x:c r="V732" s="17" t="str">
        <x:v>false</x:v>
      </x:c>
    </x:row>
    <x:row r="733" ht="80" customHeight="1">
      <x:c r="A733" s="25" t="str">
        <x:v>Math</x:v>
      </x:c>
      <x:c r="B733" s="25" t="n">
        <x:v>48</x:v>
      </x:c>
      <x:c r="C733" s="25" t="str">
        <x:v>Round1</x:v>
      </x:c>
      <x:c r="D733" s="25" t="str">
        <x:v>NOT_REVEALING</x:v>
      </x:c>
      <x:c r="E733" s="25" t="str">
        <x:v>N/A</x:v>
      </x:c>
      <x:c r="F733" s="26" t="str">
        <x:v>Same saved validation suite passed on buggy and fixed</x:v>
      </x:c>
      <x:c r="G733" s="25" t="str">
        <x:v>true</x:v>
      </x:c>
      <x:c r="H733" s="25" t="str">
        <x:v>NOT_REVEALING</x:v>
      </x:c>
      <x:c r="I733" s="25" t="str">
        <x:v>PASS</x:v>
      </x:c>
      <x:c r="J733" s="25" t="str">
        <x:v>PASS</x:v>
      </x:c>
      <x:c r="K733" s="25" t="n">
        <x:v>2</x:v>
      </x:c>
      <x:c r="L733" s="27" t="b">
        <x:v>0</x:v>
      </x:c>
      <x:c r="M733" s="25" t="str">
        <x:v>Feedback-Directed Random Test Generation/rounds/Round1/state/Math.json</x:v>
      </x:c>
      <x:c r="N733" s="25" t="str">
        <x:v>Feedback-Directed Random Test Generation/Result/Math_48/result.json</x:v>
      </x:c>
      <x:c r="O733" s="25" t="str">
        <x:v>Feedback-Directed Random Test Generation/Result/Math_48/result.json</x:v>
      </x:c>
      <x:c r="P733"/>
      <x:c r="Q733" s="21" t="str"/>
      <x:c r="R733" s="21" t="str"/>
      <x:c r="S733" s="21" t="str"/>
      <x:c r="T733" s="17" t="str">
        <x:v>false</x:v>
      </x:c>
      <x:c r="U733" s="17" t="str">
        <x:v>true</x:v>
      </x:c>
      <x:c r="V733" s="17" t="str">
        <x:v>false</x:v>
      </x:c>
    </x:row>
    <x:row r="734" ht="80" customHeight="1">
      <x:c r="A734" s="25" t="str">
        <x:v>Math</x:v>
      </x:c>
      <x:c r="B734" s="25" t="n">
        <x:v>49</x:v>
      </x:c>
      <x:c r="C734" s="25" t="str">
        <x:v>Round1</x:v>
      </x:c>
      <x:c r="D734" s="25" t="str">
        <x:v>INCONCLUSIVE</x:v>
      </x:c>
      <x:c r="E734" s="25" t="str">
        <x:v>N/A</x:v>
      </x:c>
      <x:c r="F734" s="26" t="str">
        <x:v>Fixed also failed; assertion failure cannot be attributed to this bug; Assertions failed with measured coverage; paired execution and stage checks determine status</x:v>
      </x:c>
      <x:c r="G734" s="25" t="str">
        <x:v>true</x:v>
      </x:c>
      <x:c r="H734" s="25" t="str">
        <x:v>INCONCLUSIVE</x:v>
      </x:c>
      <x:c r="I734" s="25" t="str">
        <x:v>FAIL</x:v>
      </x:c>
      <x:c r="J734" s="25" t="str">
        <x:v>FAIL</x:v>
      </x:c>
      <x:c r="K734" s="25" t="n">
        <x:v>7</x:v>
      </x:c>
      <x:c r="L734" s="27" t="b">
        <x:v>0</x:v>
      </x:c>
      <x:c r="M734" s="25" t="str">
        <x:v>Feedback-Directed Random Test Generation/rounds/Round1/state/Math.json</x:v>
      </x:c>
      <x:c r="N734" s="25" t="str">
        <x:v>Feedback-Directed Random Test Generation/Result/Math_49/result.json</x:v>
      </x:c>
      <x:c r="O734" s="25" t="str">
        <x:v>Feedback-Directed Random Test Generation/Result/Math_49/result.json</x:v>
      </x:c>
      <x:c r="P734"/>
      <x:c r="Q734" s="21" t="str"/>
      <x:c r="R734" s="21" t="str"/>
      <x:c r="S734" s="21" t="str"/>
      <x:c r="T734" s="17" t="str">
        <x:v>false</x:v>
      </x:c>
      <x:c r="U734" s="17" t="str">
        <x:v>true</x:v>
      </x:c>
      <x:c r="V734" s="17" t="str">
        <x:v>false</x:v>
      </x:c>
    </x:row>
    <x:row r="735" ht="80" customHeight="1">
      <x:c r="A735" s="25" t="str">
        <x:v>Math</x:v>
      </x:c>
      <x:c r="B735" s="25" t="n">
        <x:v>50</x:v>
      </x:c>
      <x:c r="C735" s="25" t="str">
        <x:v>Round1</x:v>
      </x:c>
      <x:c r="D735" s="25" t="str">
        <x:v>NOT_REVEALING</x:v>
      </x:c>
      <x:c r="E735" s="25" t="str">
        <x:v>N/A</x:v>
      </x:c>
      <x:c r="F735" s="26" t="str">
        <x:v>Same saved validation suite passed on buggy and fixed</x:v>
      </x:c>
      <x:c r="G735" s="25" t="str">
        <x:v>true</x:v>
      </x:c>
      <x:c r="H735" s="25" t="str">
        <x:v>NOT_REVEALING</x:v>
      </x:c>
      <x:c r="I735" s="25" t="str">
        <x:v>PASS</x:v>
      </x:c>
      <x:c r="J735" s="25" t="str">
        <x:v>PASS</x:v>
      </x:c>
      <x:c r="K735" s="25" t="n">
        <x:v>2</x:v>
      </x:c>
      <x:c r="L735" s="27" t="b">
        <x:v>0</x:v>
      </x:c>
      <x:c r="M735" s="25" t="str">
        <x:v>Feedback-Directed Random Test Generation/rounds/Round1/state/Math.json</x:v>
      </x:c>
      <x:c r="N735" s="25" t="str">
        <x:v>Feedback-Directed Random Test Generation/Result/Math_50/result.json</x:v>
      </x:c>
      <x:c r="O735" s="25" t="str">
        <x:v>Feedback-Directed Random Test Generation/Result/Math_50/result.json</x:v>
      </x:c>
      <x:c r="P735"/>
      <x:c r="Q735" s="21" t="str"/>
      <x:c r="R735" s="21" t="str"/>
      <x:c r="S735" s="21" t="str"/>
      <x:c r="T735" s="17" t="str">
        <x:v>false</x:v>
      </x:c>
      <x:c r="U735" s="17" t="str">
        <x:v>true</x:v>
      </x:c>
      <x:c r="V735" s="17" t="str">
        <x:v>false</x:v>
      </x:c>
    </x:row>
    <x:row r="736" ht="80" customHeight="1">
      <x:c r="A736" s="25" t="str">
        <x:v>Math</x:v>
      </x:c>
      <x:c r="B736" s="25" t="n">
        <x:v>51</x:v>
      </x:c>
      <x:c r="C736" s="25" t="str">
        <x:v>Round1</x:v>
      </x:c>
      <x:c r="D736" s="25" t="str">
        <x:v>NOT_REVEALING</x:v>
      </x:c>
      <x:c r="E736" s="25" t="str">
        <x:v>N/A</x:v>
      </x:c>
      <x:c r="F736" s="26" t="str">
        <x:v>Same saved validation suite passed on buggy and fixed</x:v>
      </x:c>
      <x:c r="G736" s="25" t="str">
        <x:v>true</x:v>
      </x:c>
      <x:c r="H736" s="25" t="str">
        <x:v>NOT_REVEALING</x:v>
      </x:c>
      <x:c r="I736" s="25" t="str">
        <x:v>PASS</x:v>
      </x:c>
      <x:c r="J736" s="25" t="str">
        <x:v>PASS</x:v>
      </x:c>
      <x:c r="K736" s="25" t="n">
        <x:v>2</x:v>
      </x:c>
      <x:c r="L736" s="27" t="b">
        <x:v>0</x:v>
      </x:c>
      <x:c r="M736" s="25" t="str">
        <x:v>Feedback-Directed Random Test Generation/rounds/Round1/state/Math.json</x:v>
      </x:c>
      <x:c r="N736" s="25" t="str">
        <x:v>Feedback-Directed Random Test Generation/Result/Math_51/result.json</x:v>
      </x:c>
      <x:c r="O736" s="25" t="str">
        <x:v>Feedback-Directed Random Test Generation/Result/Math_51/result.json</x:v>
      </x:c>
      <x:c r="P736"/>
      <x:c r="Q736" s="21" t="str"/>
      <x:c r="R736" s="21" t="str"/>
      <x:c r="S736" s="21" t="str"/>
      <x:c r="T736" s="17" t="str">
        <x:v>false</x:v>
      </x:c>
      <x:c r="U736" s="17" t="str">
        <x:v>true</x:v>
      </x:c>
      <x:c r="V736" s="17" t="str">
        <x:v>false</x:v>
      </x:c>
    </x:row>
    <x:row r="737" ht="80" customHeight="1">
      <x:c r="A737" s="25" t="str">
        <x:v>Math</x:v>
      </x:c>
      <x:c r="B737" s="25" t="n">
        <x:v>52</x:v>
      </x:c>
      <x:c r="C737" s="25" t="str">
        <x:v>Round1</x:v>
      </x:c>
      <x:c r="D737" s="25" t="str">
        <x:v>INCONCLUSIVE</x:v>
      </x:c>
      <x:c r="E737" s="25" t="str">
        <x:v>N/A</x:v>
      </x:c>
      <x:c r="F737" s="26" t="str">
        <x:v>Fixed also failed; assertion failure cannot be attributed to this bug; Assertions failed with measured coverage; paired execution and stage checks determine status</x:v>
      </x:c>
      <x:c r="G737" s="25" t="str">
        <x:v>true</x:v>
      </x:c>
      <x:c r="H737" s="25" t="str">
        <x:v>INCONCLUSIVE</x:v>
      </x:c>
      <x:c r="I737" s="25" t="str">
        <x:v>FAIL</x:v>
      </x:c>
      <x:c r="J737" s="25" t="str">
        <x:v>FAIL</x:v>
      </x:c>
      <x:c r="K737" s="25" t="n">
        <x:v>12</x:v>
      </x:c>
      <x:c r="L737" s="27" t="b">
        <x:v>0</x:v>
      </x:c>
      <x:c r="M737" s="25" t="str">
        <x:v>Feedback-Directed Random Test Generation/rounds/Round1/state/Math.json</x:v>
      </x:c>
      <x:c r="N737" s="25" t="str">
        <x:v>Feedback-Directed Random Test Generation/Result/Math_52/result.json</x:v>
      </x:c>
      <x:c r="O737" s="25" t="str">
        <x:v>Feedback-Directed Random Test Generation/Result/Math_52/result.json</x:v>
      </x:c>
      <x:c r="P737"/>
      <x:c r="Q737" s="21" t="str"/>
      <x:c r="R737" s="21" t="str"/>
      <x:c r="S737" s="21" t="str"/>
      <x:c r="T737" s="17" t="str">
        <x:v>false</x:v>
      </x:c>
      <x:c r="U737" s="17" t="str">
        <x:v>true</x:v>
      </x:c>
      <x:c r="V737" s="17" t="str">
        <x:v>false</x:v>
      </x:c>
    </x:row>
    <x:row r="738" ht="80" customHeight="1">
      <x:c r="A738" s="25" t="str">
        <x:v>Math</x:v>
      </x:c>
      <x:c r="B738" s="25" t="n">
        <x:v>53</x:v>
      </x:c>
      <x:c r="C738" s="25" t="str">
        <x:v>Round1</x:v>
      </x:c>
      <x:c r="D738" s="25" t="str">
        <x:v>INCONCLUSIVE</x:v>
      </x:c>
      <x:c r="E738" s="25" t="str">
        <x:v>N/A</x:v>
      </x:c>
      <x:c r="F738" s="26" t="str">
        <x:v>Fixed also failed; assertion failure cannot be attributed to this bug; Assertions failed with measured coverage; paired execution and stage checks determine status</x:v>
      </x:c>
      <x:c r="G738" s="25" t="str">
        <x:v>true</x:v>
      </x:c>
      <x:c r="H738" s="25" t="str">
        <x:v>INCONCLUSIVE</x:v>
      </x:c>
      <x:c r="I738" s="25" t="str">
        <x:v>FAIL</x:v>
      </x:c>
      <x:c r="J738" s="25" t="str">
        <x:v>FAIL</x:v>
      </x:c>
      <x:c r="K738" s="25" t="n">
        <x:v>9</x:v>
      </x:c>
      <x:c r="L738" s="27" t="b">
        <x:v>0</x:v>
      </x:c>
      <x:c r="M738" s="25" t="str">
        <x:v>Feedback-Directed Random Test Generation/rounds/Round1/state/Math.json</x:v>
      </x:c>
      <x:c r="N738" s="25" t="str">
        <x:v>Feedback-Directed Random Test Generation/Result/Math_53/result.json</x:v>
      </x:c>
      <x:c r="O738" s="25" t="str">
        <x:v>Feedback-Directed Random Test Generation/Result/Math_53/result.json</x:v>
      </x:c>
      <x:c r="P738"/>
      <x:c r="Q738" s="21" t="str"/>
      <x:c r="R738" s="21" t="str"/>
      <x:c r="S738" s="21" t="str"/>
      <x:c r="T738" s="17" t="str">
        <x:v>false</x:v>
      </x:c>
      <x:c r="U738" s="17" t="str">
        <x:v>true</x:v>
      </x:c>
      <x:c r="V738" s="17" t="str">
        <x:v>false</x:v>
      </x:c>
    </x:row>
    <x:row r="739" ht="80" customHeight="1">
      <x:c r="A739" s="25" t="str">
        <x:v>Math</x:v>
      </x:c>
      <x:c r="B739" s="25" t="n">
        <x:v>54</x:v>
      </x:c>
      <x:c r="C739" s="25" t="str">
        <x:v>Round1</x:v>
      </x:c>
      <x:c r="D739" s="25" t="str">
        <x:v>NOT_REVEALING</x:v>
      </x:c>
      <x:c r="E739" s="25" t="str">
        <x:v>N/A</x:v>
      </x:c>
      <x:c r="F739" s="26" t="str">
        <x:v>Same saved validation suite passed on buggy and fixed</x:v>
      </x:c>
      <x:c r="G739" s="25" t="str">
        <x:v>true</x:v>
      </x:c>
      <x:c r="H739" s="25" t="str">
        <x:v>NOT_REVEALING</x:v>
      </x:c>
      <x:c r="I739" s="25" t="str">
        <x:v>PASS</x:v>
      </x:c>
      <x:c r="J739" s="25" t="str">
        <x:v>PASS</x:v>
      </x:c>
      <x:c r="K739" s="25" t="n">
        <x:v>2</x:v>
      </x:c>
      <x:c r="L739" s="27" t="b">
        <x:v>0</x:v>
      </x:c>
      <x:c r="M739" s="25" t="str">
        <x:v>Feedback-Directed Random Test Generation/rounds/Round1/state/Math.json</x:v>
      </x:c>
      <x:c r="N739" s="25" t="str">
        <x:v>Feedback-Directed Random Test Generation/Result/Math_54/result.json</x:v>
      </x:c>
      <x:c r="O739" s="25" t="str">
        <x:v>Feedback-Directed Random Test Generation/Result/Math_54/result.json</x:v>
      </x:c>
      <x:c r="P739"/>
      <x:c r="Q739" s="21" t="str"/>
      <x:c r="R739" s="21" t="str"/>
      <x:c r="S739" s="21" t="str"/>
      <x:c r="T739" s="17" t="str">
        <x:v>false</x:v>
      </x:c>
      <x:c r="U739" s="17" t="str">
        <x:v>true</x:v>
      </x:c>
      <x:c r="V739" s="17" t="str">
        <x:v>false</x:v>
      </x:c>
    </x:row>
    <x:row r="740" ht="80" customHeight="1">
      <x:c r="A740" s="25" t="str">
        <x:v>Math</x:v>
      </x:c>
      <x:c r="B740" s="25" t="n">
        <x:v>55</x:v>
      </x:c>
      <x:c r="C740" s="25" t="str">
        <x:v>Round1</x:v>
      </x:c>
      <x:c r="D740" s="25" t="str">
        <x:v>INCONCLUSIVE</x:v>
      </x:c>
      <x:c r="E740" s="25" t="str">
        <x:v>N/A</x:v>
      </x:c>
      <x:c r="F740" s="26" t="str">
        <x:v>Fixed also failed; assertion failure cannot be attributed to this bug; Assertions failed with measured coverage; paired execution and stage checks determine status</x:v>
      </x:c>
      <x:c r="G740" s="25" t="str">
        <x:v>true</x:v>
      </x:c>
      <x:c r="H740" s="25" t="str">
        <x:v>INCONCLUSIVE</x:v>
      </x:c>
      <x:c r="I740" s="25" t="str">
        <x:v>FAIL</x:v>
      </x:c>
      <x:c r="J740" s="25" t="str">
        <x:v>FAIL</x:v>
      </x:c>
      <x:c r="K740" s="25" t="n">
        <x:v>11</x:v>
      </x:c>
      <x:c r="L740" s="27" t="b">
        <x:v>0</x:v>
      </x:c>
      <x:c r="M740" s="25" t="str">
        <x:v>Feedback-Directed Random Test Generation/rounds/Round1/state/Math.json</x:v>
      </x:c>
      <x:c r="N740" s="25" t="str">
        <x:v>Feedback-Directed Random Test Generation/Result/Math_55/result.json</x:v>
      </x:c>
      <x:c r="O740" s="25" t="str">
        <x:v>Feedback-Directed Random Test Generation/Result/Math_55/result.json</x:v>
      </x:c>
      <x:c r="P740"/>
      <x:c r="Q740" s="21" t="str"/>
      <x:c r="R740" s="21" t="str"/>
      <x:c r="S740" s="21" t="str"/>
      <x:c r="T740" s="17" t="str">
        <x:v>false</x:v>
      </x:c>
      <x:c r="U740" s="17" t="str">
        <x:v>true</x:v>
      </x:c>
      <x:c r="V740" s="17" t="str">
        <x:v>false</x:v>
      </x:c>
    </x:row>
    <x:row r="741" ht="80" customHeight="1">
      <x:c r="A741" s="25" t="str">
        <x:v>Math</x:v>
      </x:c>
      <x:c r="B741" s="25" t="n">
        <x:v>56</x:v>
      </x:c>
      <x:c r="C741" s="25" t="str">
        <x:v>Round1</x:v>
      </x:c>
      <x:c r="D741" s="25" t="str">
        <x:v>INCONCLUSIVE</x:v>
      </x:c>
      <x:c r="E741" s="25" t="str">
        <x:v>N/A</x:v>
      </x:c>
      <x:c r="F741" s="26" t="str">
        <x:v>Fixed also failed; assertion failure cannot be attributed to this bug</x:v>
      </x:c>
      <x:c r="G741" s="25" t="str">
        <x:v>true</x:v>
      </x:c>
      <x:c r="H741" s="25" t="str">
        <x:v>INCONCLUSIVE</x:v>
      </x:c>
      <x:c r="I741" s="25" t="str">
        <x:v>PASS</x:v>
      </x:c>
      <x:c r="J741" s="25" t="str">
        <x:v>FAIL</x:v>
      </x:c>
      <x:c r="K741" s="25" t="n">
        <x:v>4</x:v>
      </x:c>
      <x:c r="L741" s="27" t="b">
        <x:v>0</x:v>
      </x:c>
      <x:c r="M741" s="25" t="str">
        <x:v>Feedback-Directed Random Test Generation/rounds/Round1/state/Math.json</x:v>
      </x:c>
      <x:c r="N741" s="25" t="str">
        <x:v>Feedback-Directed Random Test Generation/Result/Math_56/result.json</x:v>
      </x:c>
      <x:c r="O741" s="25" t="str">
        <x:v>Feedback-Directed Random Test Generation/Result/Math_56/result.json</x:v>
      </x:c>
      <x:c r="P741"/>
      <x:c r="Q741" s="21" t="str"/>
      <x:c r="R741" s="21" t="str"/>
      <x:c r="S741" s="21" t="str"/>
      <x:c r="T741" s="17" t="str">
        <x:v>false</x:v>
      </x:c>
      <x:c r="U741" s="17" t="str">
        <x:v>true</x:v>
      </x:c>
      <x:c r="V741" s="17" t="str">
        <x:v>false</x:v>
      </x:c>
    </x:row>
    <x:row r="742" ht="80" customHeight="1">
      <x:c r="A742" s="25" t="str">
        <x:v>Math</x:v>
      </x:c>
      <x:c r="B742" s="25" t="n">
        <x:v>57</x:v>
      </x:c>
      <x:c r="C742" s="25" t="str">
        <x:v>Round1</x:v>
      </x:c>
      <x:c r="D742" s="25" t="str">
        <x:v>NOT_REVEALING</x:v>
      </x:c>
      <x:c r="E742" s="25" t="str">
        <x:v>N/A</x:v>
      </x:c>
      <x:c r="F742" s="26" t="str">
        <x:v>Same saved validation suite passed on buggy and fixed</x:v>
      </x:c>
      <x:c r="G742" s="25" t="str">
        <x:v>true</x:v>
      </x:c>
      <x:c r="H742" s="25" t="str">
        <x:v>NOT_REVEALING</x:v>
      </x:c>
      <x:c r="I742" s="25" t="str">
        <x:v>PASS</x:v>
      </x:c>
      <x:c r="J742" s="25" t="str">
        <x:v>PASS</x:v>
      </x:c>
      <x:c r="K742" s="25" t="n">
        <x:v>2</x:v>
      </x:c>
      <x:c r="L742" s="27" t="b">
        <x:v>0</x:v>
      </x:c>
      <x:c r="M742" s="25" t="str">
        <x:v>Feedback-Directed Random Test Generation/rounds/Round1/state/Math.json</x:v>
      </x:c>
      <x:c r="N742" s="25" t="str">
        <x:v>Feedback-Directed Random Test Generation/Result/Math_57/result.json</x:v>
      </x:c>
      <x:c r="O742" s="25" t="str">
        <x:v>Feedback-Directed Random Test Generation/Result/Math_57/result.json</x:v>
      </x:c>
      <x:c r="P742"/>
      <x:c r="Q742" s="21" t="str"/>
      <x:c r="R742" s="21" t="str"/>
      <x:c r="S742" s="21" t="str"/>
      <x:c r="T742" s="17" t="str">
        <x:v>false</x:v>
      </x:c>
      <x:c r="U742" s="17" t="str">
        <x:v>true</x:v>
      </x:c>
      <x:c r="V742" s="17" t="str">
        <x:v>false</x:v>
      </x:c>
    </x:row>
    <x:row r="743" ht="80" customHeight="1">
      <x:c r="A743" s="25" t="str">
        <x:v>Math</x:v>
      </x:c>
      <x:c r="B743" s="25" t="n">
        <x:v>58</x:v>
      </x:c>
      <x:c r="C743" s="25" t="str">
        <x:v>Round1</x:v>
      </x:c>
      <x:c r="D743" s="25" t="str">
        <x:v>NOT_REVEALING</x:v>
      </x:c>
      <x:c r="E743" s="25" t="str">
        <x:v>N/A</x:v>
      </x:c>
      <x:c r="F743" s="26" t="str">
        <x:v>Same saved validation suite passed on buggy and fixed</x:v>
      </x:c>
      <x:c r="G743" s="25" t="str">
        <x:v>true</x:v>
      </x:c>
      <x:c r="H743" s="25" t="str">
        <x:v>NOT_REVEALING</x:v>
      </x:c>
      <x:c r="I743" s="25" t="str">
        <x:v>PASS</x:v>
      </x:c>
      <x:c r="J743" s="25" t="str">
        <x:v>PASS</x:v>
      </x:c>
      <x:c r="K743" s="25" t="n">
        <x:v>14</x:v>
      </x:c>
      <x:c r="L743" s="27" t="b">
        <x:v>0</x:v>
      </x:c>
      <x:c r="M743" s="25" t="str">
        <x:v>Feedback-Directed Random Test Generation/rounds/Round1/state/Math.json</x:v>
      </x:c>
      <x:c r="N743" s="25" t="str">
        <x:v>Feedback-Directed Random Test Generation/Result/Math_58/result.json</x:v>
      </x:c>
      <x:c r="O743" s="25" t="str">
        <x:v>Feedback-Directed Random Test Generation/Result/Math_58/result.json</x:v>
      </x:c>
      <x:c r="P743"/>
      <x:c r="Q743" s="21" t="str"/>
      <x:c r="R743" s="21" t="str"/>
      <x:c r="S743" s="21" t="str"/>
      <x:c r="T743" s="17" t="str">
        <x:v>false</x:v>
      </x:c>
      <x:c r="U743" s="17" t="str">
        <x:v>true</x:v>
      </x:c>
      <x:c r="V743" s="17" t="str">
        <x:v>false</x:v>
      </x:c>
    </x:row>
    <x:row r="744" ht="80" customHeight="1">
      <x:c r="A744" s="25" t="str">
        <x:v>Math</x:v>
      </x:c>
      <x:c r="B744" s="25" t="n">
        <x:v>59</x:v>
      </x:c>
      <x:c r="C744" s="25" t="str">
        <x:v>Round1</x:v>
      </x:c>
      <x:c r="D744" s="25" t="str">
        <x:v>INCONCLUSIVE</x:v>
      </x:c>
      <x:c r="E744" s="25" t="str">
        <x:v>N/A</x:v>
      </x:c>
      <x:c r="F744" s="26" t="str">
        <x:v>Fixed also failed; assertion failure cannot be attributed to this bug</x:v>
      </x:c>
      <x:c r="G744" s="25" t="str">
        <x:v>true</x:v>
      </x:c>
      <x:c r="H744" s="25" t="str">
        <x:v>INCONCLUSIVE</x:v>
      </x:c>
      <x:c r="I744" s="25" t="str">
        <x:v>PASS</x:v>
      </x:c>
      <x:c r="J744" s="25" t="str">
        <x:v>FAIL</x:v>
      </x:c>
      <x:c r="K744" s="25" t="n">
        <x:v>30</x:v>
      </x:c>
      <x:c r="L744" s="27" t="b">
        <x:v>0</x:v>
      </x:c>
      <x:c r="M744" s="25" t="str">
        <x:v>Feedback-Directed Random Test Generation/rounds/Round1/state/Math.json</x:v>
      </x:c>
      <x:c r="N744" s="25" t="str">
        <x:v>Feedback-Directed Random Test Generation/Result/Math_59/result.json</x:v>
      </x:c>
      <x:c r="O744" s="25" t="str">
        <x:v>Feedback-Directed Random Test Generation/Result/Math_59/result.json</x:v>
      </x:c>
      <x:c r="P744"/>
      <x:c r="Q744" s="21" t="str"/>
      <x:c r="R744" s="21" t="str"/>
      <x:c r="S744" s="21" t="str"/>
      <x:c r="T744" s="17" t="str">
        <x:v>false</x:v>
      </x:c>
      <x:c r="U744" s="17" t="str">
        <x:v>true</x:v>
      </x:c>
      <x:c r="V744" s="17" t="str">
        <x:v>false</x:v>
      </x:c>
    </x:row>
    <x:row r="745" ht="80" customHeight="1">
      <x:c r="A745" s="25" t="str">
        <x:v>Math</x:v>
      </x:c>
      <x:c r="B745" s="25" t="n">
        <x:v>60</x:v>
      </x:c>
      <x:c r="C745" s="25" t="str">
        <x:v>Round1</x:v>
      </x:c>
      <x:c r="D745" s="25" t="str">
        <x:v>NOT_REVEALING</x:v>
      </x:c>
      <x:c r="E745" s="25" t="str">
        <x:v>N/A</x:v>
      </x:c>
      <x:c r="F745" s="26" t="str">
        <x:v>Same saved validation suite passed on buggy and fixed</x:v>
      </x:c>
      <x:c r="G745" s="25" t="str">
        <x:v>true</x:v>
      </x:c>
      <x:c r="H745" s="25" t="str">
        <x:v>NOT_REVEALING</x:v>
      </x:c>
      <x:c r="I745" s="25" t="str">
        <x:v>PASS</x:v>
      </x:c>
      <x:c r="J745" s="25" t="str">
        <x:v>PASS</x:v>
      </x:c>
      <x:c r="K745" s="25" t="n">
        <x:v>2</x:v>
      </x:c>
      <x:c r="L745" s="27" t="b">
        <x:v>0</x:v>
      </x:c>
      <x:c r="M745" s="25" t="str">
        <x:v>Feedback-Directed Random Test Generation/rounds/Round1/state/Math.json</x:v>
      </x:c>
      <x:c r="N745" s="25" t="str">
        <x:v>Feedback-Directed Random Test Generation/Result/Math_60/result.json</x:v>
      </x:c>
      <x:c r="O745" s="25" t="str">
        <x:v>Feedback-Directed Random Test Generation/Result/Math_60/result.json</x:v>
      </x:c>
      <x:c r="P745"/>
      <x:c r="Q745" s="21" t="str"/>
      <x:c r="R745" s="21" t="str"/>
      <x:c r="S745" s="21" t="str"/>
      <x:c r="T745" s="17" t="str">
        <x:v>false</x:v>
      </x:c>
      <x:c r="U745" s="17" t="str">
        <x:v>true</x:v>
      </x:c>
      <x:c r="V745" s="17" t="str">
        <x:v>false</x:v>
      </x:c>
    </x:row>
    <x:row r="746" ht="80" customHeight="1">
      <x:c r="A746" s="25" t="str">
        <x:v>Math</x:v>
      </x:c>
      <x:c r="B746" s="25" t="n">
        <x:v>61</x:v>
      </x:c>
      <x:c r="C746" s="25" t="str">
        <x:v>Round1</x:v>
      </x:c>
      <x:c r="D746" s="25" t="str">
        <x:v>INCONCLUSIVE</x:v>
      </x:c>
      <x:c r="E746" s="25" t="str">
        <x:v>N/A</x:v>
      </x:c>
      <x:c r="F746" s="26" t="str">
        <x:v>Fixed also failed; assertion failure cannot be attributed to this bug</x:v>
      </x:c>
      <x:c r="G746" s="25" t="str">
        <x:v>true</x:v>
      </x:c>
      <x:c r="H746" s="25" t="str">
        <x:v>INCONCLUSIVE</x:v>
      </x:c>
      <x:c r="I746" s="25" t="str">
        <x:v>PASS</x:v>
      </x:c>
      <x:c r="J746" s="25" t="str">
        <x:v>FAIL</x:v>
      </x:c>
      <x:c r="K746" s="25" t="n">
        <x:v>2</x:v>
      </x:c>
      <x:c r="L746" s="27" t="b">
        <x:v>0</x:v>
      </x:c>
      <x:c r="M746" s="25" t="str">
        <x:v>Feedback-Directed Random Test Generation/rounds/Round1/state/Math.json</x:v>
      </x:c>
      <x:c r="N746" s="25" t="str">
        <x:v>Feedback-Directed Random Test Generation/Result/Math_61/result.json</x:v>
      </x:c>
      <x:c r="O746" s="25" t="str">
        <x:v>Feedback-Directed Random Test Generation/Result/Math_61/result.json</x:v>
      </x:c>
      <x:c r="P746"/>
      <x:c r="Q746" s="21" t="str"/>
      <x:c r="R746" s="21" t="str"/>
      <x:c r="S746" s="21" t="str"/>
      <x:c r="T746" s="17" t="str">
        <x:v>false</x:v>
      </x:c>
      <x:c r="U746" s="17" t="str">
        <x:v>true</x:v>
      </x:c>
      <x:c r="V746" s="17" t="str">
        <x:v>false</x:v>
      </x:c>
    </x:row>
    <x:row r="747" ht="80" customHeight="1">
      <x:c r="A747" s="25" t="str">
        <x:v>Math</x:v>
      </x:c>
      <x:c r="B747" s="25" t="n">
        <x:v>62</x:v>
      </x:c>
      <x:c r="C747" s="25" t="str">
        <x:v>Round1</x:v>
      </x:c>
      <x:c r="D747" s="25" t="str">
        <x:v>NOT_REVEALING</x:v>
      </x:c>
      <x:c r="E747" s="25" t="str">
        <x:v>N/A</x:v>
      </x:c>
      <x:c r="F747" s="26" t="str">
        <x:v>Same saved validation suite passed on buggy and fixed</x:v>
      </x:c>
      <x:c r="G747" s="25" t="str">
        <x:v>true</x:v>
      </x:c>
      <x:c r="H747" s="25" t="str">
        <x:v>NOT_REVEALING</x:v>
      </x:c>
      <x:c r="I747" s="25" t="str">
        <x:v>PASS</x:v>
      </x:c>
      <x:c r="J747" s="25" t="str">
        <x:v>PASS</x:v>
      </x:c>
      <x:c r="K747" s="25" t="n">
        <x:v>2</x:v>
      </x:c>
      <x:c r="L747" s="27" t="b">
        <x:v>0</x:v>
      </x:c>
      <x:c r="M747" s="25" t="str">
        <x:v>Feedback-Directed Random Test Generation/rounds/Round1/state/Math.json</x:v>
      </x:c>
      <x:c r="N747" s="25" t="str">
        <x:v>Feedback-Directed Random Test Generation/Result/Math_62/result.json</x:v>
      </x:c>
      <x:c r="O747" s="25" t="str">
        <x:v>Feedback-Directed Random Test Generation/Result/Math_62/result.json</x:v>
      </x:c>
      <x:c r="P747"/>
      <x:c r="Q747" s="21" t="str"/>
      <x:c r="R747" s="21" t="str"/>
      <x:c r="S747" s="21" t="str"/>
      <x:c r="T747" s="17" t="str">
        <x:v>false</x:v>
      </x:c>
      <x:c r="U747" s="17" t="str">
        <x:v>true</x:v>
      </x:c>
      <x:c r="V747" s="17" t="str">
        <x:v>false</x:v>
      </x:c>
    </x:row>
    <x:row r="748" ht="80" customHeight="1">
      <x:c r="A748" s="25" t="str">
        <x:v>Math</x:v>
      </x:c>
      <x:c r="B748" s="25" t="n">
        <x:v>63</x:v>
      </x:c>
      <x:c r="C748" s="25" t="str">
        <x:v>Round1</x:v>
      </x:c>
      <x:c r="D748" s="25" t="str">
        <x:v>NOT_REVEALING</x:v>
      </x:c>
      <x:c r="E748" s="25" t="str">
        <x:v>N/A</x:v>
      </x:c>
      <x:c r="F748" s="26" t="str">
        <x:v>Same saved validation suite passed on buggy and fixed</x:v>
      </x:c>
      <x:c r="G748" s="25" t="str">
        <x:v>true</x:v>
      </x:c>
      <x:c r="H748" s="25" t="str">
        <x:v>NOT_REVEALING</x:v>
      </x:c>
      <x:c r="I748" s="25" t="str">
        <x:v>PASS</x:v>
      </x:c>
      <x:c r="J748" s="25" t="str">
        <x:v>PASS</x:v>
      </x:c>
      <x:c r="K748" s="25" t="n">
        <x:v>4</x:v>
      </x:c>
      <x:c r="L748" s="27" t="b">
        <x:v>0</x:v>
      </x:c>
      <x:c r="M748" s="25" t="str">
        <x:v>Feedback-Directed Random Test Generation/rounds/Round1/state/Math.json</x:v>
      </x:c>
      <x:c r="N748" s="25" t="str">
        <x:v>Feedback-Directed Random Test Generation/Result/Math_63/result.json</x:v>
      </x:c>
      <x:c r="O748" s="25" t="str">
        <x:v>Feedback-Directed Random Test Generation/Result/Math_63/result.json</x:v>
      </x:c>
      <x:c r="P748"/>
      <x:c r="Q748" s="21" t="str"/>
      <x:c r="R748" s="21" t="str"/>
      <x:c r="S748" s="21" t="str"/>
      <x:c r="T748" s="17" t="str">
        <x:v>false</x:v>
      </x:c>
      <x:c r="U748" s="17" t="str">
        <x:v>true</x:v>
      </x:c>
      <x:c r="V748" s="17" t="str">
        <x:v>false</x:v>
      </x:c>
    </x:row>
    <x:row r="749" ht="80" customHeight="1">
      <x:c r="A749" s="25" t="str">
        <x:v>Math</x:v>
      </x:c>
      <x:c r="B749" s="25" t="n">
        <x:v>64</x:v>
      </x:c>
      <x:c r="C749" s="25" t="str">
        <x:v>Round1</x:v>
      </x:c>
      <x:c r="D749" s="25" t="str">
        <x:v>INCONCLUSIVE</x:v>
      </x:c>
      <x:c r="E749" s="25" t="str">
        <x:v>N/A</x:v>
      </x:c>
      <x:c r="F749" s="26" t="str">
        <x:v>Fixed also failed; assertion failure cannot be attributed to this bug; Assertions failed with measured coverage; paired execution and stage checks determine status</x:v>
      </x:c>
      <x:c r="G749" s="25" t="str">
        <x:v>true</x:v>
      </x:c>
      <x:c r="H749" s="25" t="str">
        <x:v>INCONCLUSIVE</x:v>
      </x:c>
      <x:c r="I749" s="25" t="str">
        <x:v>FAIL</x:v>
      </x:c>
      <x:c r="J749" s="25" t="str">
        <x:v>FAIL</x:v>
      </x:c>
      <x:c r="K749" s="25" t="n">
        <x:v>16</x:v>
      </x:c>
      <x:c r="L749" s="27" t="b">
        <x:v>0</x:v>
      </x:c>
      <x:c r="M749" s="25" t="str">
        <x:v>Feedback-Directed Random Test Generation/rounds/Round1/state/Math.json</x:v>
      </x:c>
      <x:c r="N749" s="25" t="str">
        <x:v>Feedback-Directed Random Test Generation/Result/Math_64/result.json</x:v>
      </x:c>
      <x:c r="O749" s="25" t="str">
        <x:v>Feedback-Directed Random Test Generation/Result/Math_64/result.json</x:v>
      </x:c>
      <x:c r="P749"/>
      <x:c r="Q749" s="21" t="str"/>
      <x:c r="R749" s="21" t="str"/>
      <x:c r="S749" s="21" t="str"/>
      <x:c r="T749" s="17" t="str">
        <x:v>false</x:v>
      </x:c>
      <x:c r="U749" s="17" t="str">
        <x:v>true</x:v>
      </x:c>
      <x:c r="V749" s="17" t="str">
        <x:v>false</x:v>
      </x:c>
    </x:row>
    <x:row r="750" ht="80" customHeight="1">
      <x:c r="A750" s="25" t="str">
        <x:v>Math</x:v>
      </x:c>
      <x:c r="B750" s="25" t="n">
        <x:v>65</x:v>
      </x:c>
      <x:c r="C750" s="25" t="str">
        <x:v>Round1</x:v>
      </x:c>
      <x:c r="D750" s="25" t="str">
        <x:v>NOT_REVEALING</x:v>
      </x:c>
      <x:c r="E750" s="25" t="str">
        <x:v>N/A</x:v>
      </x:c>
      <x:c r="F750" s="26" t="str">
        <x:v>Same saved validation suite passed on buggy and fixed</x:v>
      </x:c>
      <x:c r="G750" s="25" t="str">
        <x:v>true</x:v>
      </x:c>
      <x:c r="H750" s="25" t="str">
        <x:v>NOT_REVEALING</x:v>
      </x:c>
      <x:c r="I750" s="25" t="str">
        <x:v>PASS</x:v>
      </x:c>
      <x:c r="J750" s="25" t="str">
        <x:v>PASS</x:v>
      </x:c>
      <x:c r="K750" s="25" t="n">
        <x:v>2</x:v>
      </x:c>
      <x:c r="L750" s="27" t="b">
        <x:v>0</x:v>
      </x:c>
      <x:c r="M750" s="25" t="str">
        <x:v>Feedback-Directed Random Test Generation/rounds/Round1/state/Math.json</x:v>
      </x:c>
      <x:c r="N750" s="25" t="str">
        <x:v>Feedback-Directed Random Test Generation/Result/Math_65/result.json</x:v>
      </x:c>
      <x:c r="O750" s="25" t="str">
        <x:v>Feedback-Directed Random Test Generation/Result/Math_65/result.json</x:v>
      </x:c>
      <x:c r="P750"/>
      <x:c r="Q750" s="21" t="str"/>
      <x:c r="R750" s="21" t="str"/>
      <x:c r="S750" s="21" t="str"/>
      <x:c r="T750" s="17" t="str">
        <x:v>false</x:v>
      </x:c>
      <x:c r="U750" s="17" t="str">
        <x:v>true</x:v>
      </x:c>
      <x:c r="V750" s="17" t="str">
        <x:v>false</x:v>
      </x:c>
    </x:row>
    <x:row r="751" ht="80" customHeight="1">
      <x:c r="A751" s="25" t="str">
        <x:v>Math</x:v>
      </x:c>
      <x:c r="B751" s="25" t="n">
        <x:v>66</x:v>
      </x:c>
      <x:c r="C751" s="25" t="str">
        <x:v>Round1</x:v>
      </x:c>
      <x:c r="D751" s="25" t="str">
        <x:v>INCONCLUSIVE</x:v>
      </x:c>
      <x:c r="E751" s="25" t="str">
        <x:v>N/A</x:v>
      </x:c>
      <x:c r="F751" s="26" t="str">
        <x:v>Fixed also failed; assertion failure cannot be attributed to this bug</x:v>
      </x:c>
      <x:c r="G751" s="25" t="str">
        <x:v>true</x:v>
      </x:c>
      <x:c r="H751" s="25" t="str">
        <x:v>INCONCLUSIVE</x:v>
      </x:c>
      <x:c r="I751" s="25" t="str">
        <x:v>PASS</x:v>
      </x:c>
      <x:c r="J751" s="25" t="str">
        <x:v>FAIL</x:v>
      </x:c>
      <x:c r="K751" s="25" t="n">
        <x:v>13</x:v>
      </x:c>
      <x:c r="L751" s="27" t="b">
        <x:v>0</x:v>
      </x:c>
      <x:c r="M751" s="25" t="str">
        <x:v>Feedback-Directed Random Test Generation/rounds/Round1/state/Math.json</x:v>
      </x:c>
      <x:c r="N751" s="25" t="str">
        <x:v>Feedback-Directed Random Test Generation/Result/Math_66/result.json</x:v>
      </x:c>
      <x:c r="O751" s="25" t="str">
        <x:v>Feedback-Directed Random Test Generation/Result/Math_66/result.json</x:v>
      </x:c>
      <x:c r="P751"/>
      <x:c r="Q751" s="21" t="str"/>
      <x:c r="R751" s="21" t="str"/>
      <x:c r="S751" s="21" t="str"/>
      <x:c r="T751" s="17" t="str">
        <x:v>false</x:v>
      </x:c>
      <x:c r="U751" s="17" t="str">
        <x:v>true</x:v>
      </x:c>
      <x:c r="V751" s="17" t="str">
        <x:v>false</x:v>
      </x:c>
    </x:row>
    <x:row r="752" ht="80" customHeight="1">
      <x:c r="A752" s="25" t="str">
        <x:v>Math</x:v>
      </x:c>
      <x:c r="B752" s="25" t="n">
        <x:v>67</x:v>
      </x:c>
      <x:c r="C752" s="25" t="str">
        <x:v>Round1</x:v>
      </x:c>
      <x:c r="D752" s="25" t="str">
        <x:v>NOT_REVEALING</x:v>
      </x:c>
      <x:c r="E752" s="25" t="str">
        <x:v>N/A</x:v>
      </x:c>
      <x:c r="F752" s="26" t="str">
        <x:v>Same saved validation suite passed on buggy and fixed</x:v>
      </x:c>
      <x:c r="G752" s="25" t="str">
        <x:v>true</x:v>
      </x:c>
      <x:c r="H752" s="25" t="str">
        <x:v>NOT_REVEALING</x:v>
      </x:c>
      <x:c r="I752" s="25" t="str">
        <x:v>PASS</x:v>
      </x:c>
      <x:c r="J752" s="25" t="str">
        <x:v>PASS</x:v>
      </x:c>
      <x:c r="K752" s="25" t="n">
        <x:v>16</x:v>
      </x:c>
      <x:c r="L752" s="27" t="b">
        <x:v>0</x:v>
      </x:c>
      <x:c r="M752" s="25" t="str">
        <x:v>Feedback-Directed Random Test Generation/rounds/Round1/state/Math.json</x:v>
      </x:c>
      <x:c r="N752" s="25" t="str">
        <x:v>Feedback-Directed Random Test Generation/Result/Math_67/result.json</x:v>
      </x:c>
      <x:c r="O752" s="25" t="str">
        <x:v>Feedback-Directed Random Test Generation/Result/Math_67/result.json</x:v>
      </x:c>
      <x:c r="P752"/>
      <x:c r="Q752" s="21" t="str"/>
      <x:c r="R752" s="21" t="str"/>
      <x:c r="S752" s="21" t="str"/>
      <x:c r="T752" s="17" t="str">
        <x:v>false</x:v>
      </x:c>
      <x:c r="U752" s="17" t="str">
        <x:v>true</x:v>
      </x:c>
      <x:c r="V752" s="17" t="str">
        <x:v>false</x:v>
      </x:c>
    </x:row>
    <x:row r="753" ht="80" customHeight="1">
      <x:c r="A753" s="25" t="str">
        <x:v>Math</x:v>
      </x:c>
      <x:c r="B753" s="25" t="n">
        <x:v>68</x:v>
      </x:c>
      <x:c r="C753" s="25" t="str">
        <x:v>Round1</x:v>
      </x:c>
      <x:c r="D753" s="25" t="str">
        <x:v>INCONCLUSIVE</x:v>
      </x:c>
      <x:c r="E753" s="25" t="str">
        <x:v>N/A</x:v>
      </x:c>
      <x:c r="F753" s="26" t="str">
        <x:v>Fixed also failed; assertion failure cannot be attributed to this bug; Assertions failed with measured coverage; paired execution and stage checks determine status</x:v>
      </x:c>
      <x:c r="G753" s="25" t="str">
        <x:v>true</x:v>
      </x:c>
      <x:c r="H753" s="25" t="str">
        <x:v>INCONCLUSIVE</x:v>
      </x:c>
      <x:c r="I753" s="25" t="str">
        <x:v>FAIL</x:v>
      </x:c>
      <x:c r="J753" s="25" t="str">
        <x:v>FAIL</x:v>
      </x:c>
      <x:c r="K753" s="25" t="n">
        <x:v>15</x:v>
      </x:c>
      <x:c r="L753" s="27" t="b">
        <x:v>0</x:v>
      </x:c>
      <x:c r="M753" s="25" t="str">
        <x:v>Feedback-Directed Random Test Generation/rounds/Round1/state/Math.json</x:v>
      </x:c>
      <x:c r="N753" s="25" t="str">
        <x:v>Feedback-Directed Random Test Generation/Result/Math_68/result.json</x:v>
      </x:c>
      <x:c r="O753" s="25" t="str">
        <x:v>Feedback-Directed Random Test Generation/Result/Math_68/result.json</x:v>
      </x:c>
      <x:c r="P753"/>
      <x:c r="Q753" s="21" t="str"/>
      <x:c r="R753" s="21" t="str"/>
      <x:c r="S753" s="21" t="str"/>
      <x:c r="T753" s="17" t="str">
        <x:v>false</x:v>
      </x:c>
      <x:c r="U753" s="17" t="str">
        <x:v>true</x:v>
      </x:c>
      <x:c r="V753" s="17" t="str">
        <x:v>false</x:v>
      </x:c>
    </x:row>
    <x:row r="754" ht="80" customHeight="1">
      <x:c r="A754" s="25" t="str">
        <x:v>Math</x:v>
      </x:c>
      <x:c r="B754" s="25" t="n">
        <x:v>69</x:v>
      </x:c>
      <x:c r="C754" s="25" t="str">
        <x:v>Round1</x:v>
      </x:c>
      <x:c r="D754" s="25" t="str">
        <x:v>INCONCLUSIVE</x:v>
      </x:c>
      <x:c r="E754" s="25" t="str">
        <x:v>N/A</x:v>
      </x:c>
      <x:c r="F754" s="26" t="str">
        <x:v>Fixed also failed; assertion failure cannot be attributed to this bug; Assertions failed with measured coverage; paired execution and stage checks determine status</x:v>
      </x:c>
      <x:c r="G754" s="25" t="str">
        <x:v>true</x:v>
      </x:c>
      <x:c r="H754" s="25" t="str">
        <x:v>INCONCLUSIVE</x:v>
      </x:c>
      <x:c r="I754" s="25" t="str">
        <x:v>FAIL</x:v>
      </x:c>
      <x:c r="J754" s="25" t="str">
        <x:v>FAIL</x:v>
      </x:c>
      <x:c r="K754" s="25" t="n">
        <x:v>10</x:v>
      </x:c>
      <x:c r="L754" s="27" t="b">
        <x:v>0</x:v>
      </x:c>
      <x:c r="M754" s="25" t="str">
        <x:v>Feedback-Directed Random Test Generation/rounds/Round1/state/Math.json</x:v>
      </x:c>
      <x:c r="N754" s="25" t="str">
        <x:v>Feedback-Directed Random Test Generation/Result/Math_69/result.json</x:v>
      </x:c>
      <x:c r="O754" s="25" t="str">
        <x:v>Feedback-Directed Random Test Generation/Result/Math_69/result.json</x:v>
      </x:c>
      <x:c r="P754"/>
      <x:c r="Q754" s="21" t="str"/>
      <x:c r="R754" s="21" t="str"/>
      <x:c r="S754" s="21" t="str"/>
      <x:c r="T754" s="17" t="str">
        <x:v>false</x:v>
      </x:c>
      <x:c r="U754" s="17" t="str">
        <x:v>true</x:v>
      </x:c>
      <x:c r="V754" s="17" t="str">
        <x:v>false</x:v>
      </x:c>
    </x:row>
    <x:row r="755" ht="80" customHeight="1">
      <x:c r="A755" s="25" t="str">
        <x:v>Math</x:v>
      </x:c>
      <x:c r="B755" s="25" t="n">
        <x:v>70</x:v>
      </x:c>
      <x:c r="C755" s="25" t="str">
        <x:v>Round1</x:v>
      </x:c>
      <x:c r="D755" s="25" t="str">
        <x:v>INCONCLUSIVE</x:v>
      </x:c>
      <x:c r="E755" s="25" t="str">
        <x:v>N/A</x:v>
      </x:c>
      <x:c r="F755" s="26" t="str">
        <x:v>Fixed also failed; assertion failure cannot be attributed to this bug; Assertions failed with measured coverage; paired execution and stage checks determine status</x:v>
      </x:c>
      <x:c r="G755" s="25" t="str">
        <x:v>true</x:v>
      </x:c>
      <x:c r="H755" s="25" t="str">
        <x:v>INCONCLUSIVE</x:v>
      </x:c>
      <x:c r="I755" s="25" t="str">
        <x:v>FAIL</x:v>
      </x:c>
      <x:c r="J755" s="25" t="str">
        <x:v>FAIL</x:v>
      </x:c>
      <x:c r="K755" s="25" t="n">
        <x:v>15</x:v>
      </x:c>
      <x:c r="L755" s="27" t="b">
        <x:v>0</x:v>
      </x:c>
      <x:c r="M755" s="25" t="str">
        <x:v>Feedback-Directed Random Test Generation/rounds/Round1/state/Math.json</x:v>
      </x:c>
      <x:c r="N755" s="25" t="str">
        <x:v>Feedback-Directed Random Test Generation/Result/Math_70/result.json</x:v>
      </x:c>
      <x:c r="O755" s="25" t="str">
        <x:v>Feedback-Directed Random Test Generation/Result/Math_70/result.json</x:v>
      </x:c>
      <x:c r="P755"/>
      <x:c r="Q755" s="21" t="str"/>
      <x:c r="R755" s="21" t="str"/>
      <x:c r="S755" s="21" t="str"/>
      <x:c r="T755" s="17" t="str">
        <x:v>false</x:v>
      </x:c>
      <x:c r="U755" s="17" t="str">
        <x:v>true</x:v>
      </x:c>
      <x:c r="V755" s="17" t="str">
        <x:v>false</x:v>
      </x:c>
    </x:row>
    <x:row r="756" ht="80" customHeight="1">
      <x:c r="A756" s="25" t="str">
        <x:v>Math</x:v>
      </x:c>
      <x:c r="B756" s="25" t="n">
        <x:v>71</x:v>
      </x:c>
      <x:c r="C756" s="25" t="str">
        <x:v>Round1</x:v>
      </x:c>
      <x:c r="D756" s="25" t="str">
        <x:v>NOT_REVEALING</x:v>
      </x:c>
      <x:c r="E756" s="25" t="str">
        <x:v>N/A</x:v>
      </x:c>
      <x:c r="F756" s="26" t="str">
        <x:v>Same saved validation suite passed on buggy and fixed</x:v>
      </x:c>
      <x:c r="G756" s="25" t="str">
        <x:v>true</x:v>
      </x:c>
      <x:c r="H756" s="25" t="str">
        <x:v>NOT_REVEALING</x:v>
      </x:c>
      <x:c r="I756" s="25" t="str">
        <x:v>PASS</x:v>
      </x:c>
      <x:c r="J756" s="25" t="str">
        <x:v>PASS</x:v>
      </x:c>
      <x:c r="K756" s="25" t="n">
        <x:v>2</x:v>
      </x:c>
      <x:c r="L756" s="27" t="b">
        <x:v>0</x:v>
      </x:c>
      <x:c r="M756" s="25" t="str">
        <x:v>Feedback-Directed Random Test Generation/rounds/Round1/state/Math.json</x:v>
      </x:c>
      <x:c r="N756" s="25" t="str">
        <x:v>Feedback-Directed Random Test Generation/Result/Math_71/result.json</x:v>
      </x:c>
      <x:c r="O756" s="25" t="str">
        <x:v>Feedback-Directed Random Test Generation/Result/Math_71/result.json</x:v>
      </x:c>
      <x:c r="P756"/>
      <x:c r="Q756" s="21" t="str"/>
      <x:c r="R756" s="21" t="str"/>
      <x:c r="S756" s="21" t="str"/>
      <x:c r="T756" s="17" t="str">
        <x:v>false</x:v>
      </x:c>
      <x:c r="U756" s="17" t="str">
        <x:v>true</x:v>
      </x:c>
      <x:c r="V756" s="17" t="str">
        <x:v>false</x:v>
      </x:c>
    </x:row>
    <x:row r="757" ht="80" customHeight="1">
      <x:c r="A757" s="25" t="str">
        <x:v>Math</x:v>
      </x:c>
      <x:c r="B757" s="25" t="n">
        <x:v>72</x:v>
      </x:c>
      <x:c r="C757" s="25" t="str">
        <x:v>Round1</x:v>
      </x:c>
      <x:c r="D757" s="25" t="str">
        <x:v>INCONCLUSIVE</x:v>
      </x:c>
      <x:c r="E757" s="25" t="str">
        <x:v>N/A</x:v>
      </x:c>
      <x:c r="F757" s="26" t="str">
        <x:v>Fixed also failed; assertion failure cannot be attributed to this bug; Assertions failed with measured coverage; paired execution and stage checks determine status</x:v>
      </x:c>
      <x:c r="G757" s="25" t="str">
        <x:v>true</x:v>
      </x:c>
      <x:c r="H757" s="25" t="str">
        <x:v>INCONCLUSIVE</x:v>
      </x:c>
      <x:c r="I757" s="25" t="str">
        <x:v>FAIL</x:v>
      </x:c>
      <x:c r="J757" s="25" t="str">
        <x:v>FAIL</x:v>
      </x:c>
      <x:c r="K757" s="25" t="n">
        <x:v>16</x:v>
      </x:c>
      <x:c r="L757" s="27" t="b">
        <x:v>0</x:v>
      </x:c>
      <x:c r="M757" s="25" t="str">
        <x:v>Feedback-Directed Random Test Generation/rounds/Round1/state/Math.json</x:v>
      </x:c>
      <x:c r="N757" s="25" t="str">
        <x:v>Feedback-Directed Random Test Generation/Result/Math_72/result.json</x:v>
      </x:c>
      <x:c r="O757" s="25" t="str">
        <x:v>Feedback-Directed Random Test Generation/Result/Math_72/result.json</x:v>
      </x:c>
      <x:c r="P757"/>
      <x:c r="Q757" s="21" t="str"/>
      <x:c r="R757" s="21" t="str"/>
      <x:c r="S757" s="21" t="str"/>
      <x:c r="T757" s="17" t="str">
        <x:v>false</x:v>
      </x:c>
      <x:c r="U757" s="17" t="str">
        <x:v>true</x:v>
      </x:c>
      <x:c r="V757" s="17" t="str">
        <x:v>false</x:v>
      </x:c>
    </x:row>
    <x:row r="758" ht="80" customHeight="1">
      <x:c r="A758" s="25" t="str">
        <x:v>Math</x:v>
      </x:c>
      <x:c r="B758" s="25" t="n">
        <x:v>73</x:v>
      </x:c>
      <x:c r="C758" s="25" t="str">
        <x:v>Round1</x:v>
      </x:c>
      <x:c r="D758" s="25" t="str">
        <x:v>INCONCLUSIVE</x:v>
      </x:c>
      <x:c r="E758" s="25" t="str">
        <x:v>N/A</x:v>
      </x:c>
      <x:c r="F758" s="26" t="str">
        <x:v>Fixed also failed; assertion failure cannot be attributed to this bug; Assertions failed with measured coverage; paired execution and stage checks determine status</x:v>
      </x:c>
      <x:c r="G758" s="25" t="str">
        <x:v>true</x:v>
      </x:c>
      <x:c r="H758" s="25" t="str">
        <x:v>INCONCLUSIVE</x:v>
      </x:c>
      <x:c r="I758" s="25" t="str">
        <x:v>FAIL</x:v>
      </x:c>
      <x:c r="J758" s="25" t="str">
        <x:v>FAIL</x:v>
      </x:c>
      <x:c r="K758" s="25" t="n">
        <x:v>16</x:v>
      </x:c>
      <x:c r="L758" s="27" t="b">
        <x:v>0</x:v>
      </x:c>
      <x:c r="M758" s="25" t="str">
        <x:v>Feedback-Directed Random Test Generation/rounds/Round1/state/Math.json</x:v>
      </x:c>
      <x:c r="N758" s="25" t="str">
        <x:v>Feedback-Directed Random Test Generation/Result/Math_73/result.json</x:v>
      </x:c>
      <x:c r="O758" s="25" t="str">
        <x:v>Feedback-Directed Random Test Generation/Result/Math_73/result.json</x:v>
      </x:c>
      <x:c r="P758"/>
      <x:c r="Q758" s="21" t="str"/>
      <x:c r="R758" s="21" t="str"/>
      <x:c r="S758" s="21" t="str"/>
      <x:c r="T758" s="17" t="str">
        <x:v>false</x:v>
      </x:c>
      <x:c r="U758" s="17" t="str">
        <x:v>true</x:v>
      </x:c>
      <x:c r="V758" s="17" t="str">
        <x:v>false</x:v>
      </x:c>
    </x:row>
    <x:row r="759" ht="80" customHeight="1">
      <x:c r="A759" s="25" t="str">
        <x:v>Math</x:v>
      </x:c>
      <x:c r="B759" s="25" t="n">
        <x:v>74</x:v>
      </x:c>
      <x:c r="C759" s="25" t="str">
        <x:v>Round1</x:v>
      </x:c>
      <x:c r="D759" s="25" t="str">
        <x:v>NOT_REVEALING</x:v>
      </x:c>
      <x:c r="E759" s="25" t="str">
        <x:v>N/A</x:v>
      </x:c>
      <x:c r="F759" s="26" t="str">
        <x:v>Same saved validation suite passed on buggy and fixed</x:v>
      </x:c>
      <x:c r="G759" s="25" t="str">
        <x:v>true</x:v>
      </x:c>
      <x:c r="H759" s="25" t="str">
        <x:v>NOT_REVEALING</x:v>
      </x:c>
      <x:c r="I759" s="25" t="str">
        <x:v>PASS</x:v>
      </x:c>
      <x:c r="J759" s="25" t="str">
        <x:v>PASS</x:v>
      </x:c>
      <x:c r="K759" s="25" t="n">
        <x:v>2</x:v>
      </x:c>
      <x:c r="L759" s="27" t="b">
        <x:v>0</x:v>
      </x:c>
      <x:c r="M759" s="25" t="str">
        <x:v>Feedback-Directed Random Test Generation/rounds/Round1/state/Math.json</x:v>
      </x:c>
      <x:c r="N759" s="25" t="str">
        <x:v>Feedback-Directed Random Test Generation/Result/Math_74/result.json</x:v>
      </x:c>
      <x:c r="O759" s="25" t="str">
        <x:v>Feedback-Directed Random Test Generation/Result/Math_74/result.json</x:v>
      </x:c>
      <x:c r="P759"/>
      <x:c r="Q759" s="21" t="str"/>
      <x:c r="R759" s="21" t="str"/>
      <x:c r="S759" s="21" t="str"/>
      <x:c r="T759" s="17" t="str">
        <x:v>false</x:v>
      </x:c>
      <x:c r="U759" s="17" t="str">
        <x:v>true</x:v>
      </x:c>
      <x:c r="V759" s="17" t="str">
        <x:v>false</x:v>
      </x:c>
    </x:row>
    <x:row r="760" ht="80" customHeight="1">
      <x:c r="A760" s="25" t="str">
        <x:v>Math</x:v>
      </x:c>
      <x:c r="B760" s="25" t="n">
        <x:v>75</x:v>
      </x:c>
      <x:c r="C760" s="25" t="str">
        <x:v>Round1</x:v>
      </x:c>
      <x:c r="D760" s="25" t="str">
        <x:v>INCONCLUSIVE</x:v>
      </x:c>
      <x:c r="E760" s="25" t="str">
        <x:v>N/A</x:v>
      </x:c>
      <x:c r="F760" s="26" t="str">
        <x:v>Fixed also failed; assertion failure cannot be attributed to this bug</x:v>
      </x:c>
      <x:c r="G760" s="25" t="str">
        <x:v>true</x:v>
      </x:c>
      <x:c r="H760" s="25" t="str">
        <x:v>INCONCLUSIVE</x:v>
      </x:c>
      <x:c r="I760" s="25" t="str">
        <x:v>PASS</x:v>
      </x:c>
      <x:c r="J760" s="25" t="str">
        <x:v>FAIL</x:v>
      </x:c>
      <x:c r="K760" s="25" t="n">
        <x:v>12</x:v>
      </x:c>
      <x:c r="L760" s="27" t="b">
        <x:v>0</x:v>
      </x:c>
      <x:c r="M760" s="25" t="str">
        <x:v>Feedback-Directed Random Test Generation/rounds/Round1/state/Math.json</x:v>
      </x:c>
      <x:c r="N760" s="25" t="str">
        <x:v>Feedback-Directed Random Test Generation/Result/Math_75/result.json</x:v>
      </x:c>
      <x:c r="O760" s="25" t="str">
        <x:v>Feedback-Directed Random Test Generation/Result/Math_75/result.json</x:v>
      </x:c>
      <x:c r="P760"/>
      <x:c r="Q760" s="21" t="str"/>
      <x:c r="R760" s="21" t="str"/>
      <x:c r="S760" s="21" t="str"/>
      <x:c r="T760" s="17" t="str">
        <x:v>false</x:v>
      </x:c>
      <x:c r="U760" s="17" t="str">
        <x:v>true</x:v>
      </x:c>
      <x:c r="V760" s="17" t="str">
        <x:v>false</x:v>
      </x:c>
    </x:row>
    <x:row r="761" ht="80" customHeight="1">
      <x:c r="A761" s="25" t="str">
        <x:v>Math</x:v>
      </x:c>
      <x:c r="B761" s="25" t="n">
        <x:v>76</x:v>
      </x:c>
      <x:c r="C761" s="25" t="str">
        <x:v>Round1</x:v>
      </x:c>
      <x:c r="D761" s="25" t="str">
        <x:v>NOT_REVEALING</x:v>
      </x:c>
      <x:c r="E761" s="25" t="str">
        <x:v>N/A</x:v>
      </x:c>
      <x:c r="F761" s="26" t="str">
        <x:v>Same saved validation suite passed on buggy and fixed</x:v>
      </x:c>
      <x:c r="G761" s="25" t="str">
        <x:v>true</x:v>
      </x:c>
      <x:c r="H761" s="25" t="str">
        <x:v>NOT_REVEALING</x:v>
      </x:c>
      <x:c r="I761" s="25" t="str">
        <x:v>PASS</x:v>
      </x:c>
      <x:c r="J761" s="25" t="str">
        <x:v>PASS</x:v>
      </x:c>
      <x:c r="K761" s="25" t="n">
        <x:v>2</x:v>
      </x:c>
      <x:c r="L761" s="27" t="b">
        <x:v>0</x:v>
      </x:c>
      <x:c r="M761" s="25" t="str">
        <x:v>Feedback-Directed Random Test Generation/rounds/Round1/state/Math.json</x:v>
      </x:c>
      <x:c r="N761" s="25" t="str">
        <x:v>Feedback-Directed Random Test Generation/Result/Math_76/result.json</x:v>
      </x:c>
      <x:c r="O761" s="25" t="str">
        <x:v>Feedback-Directed Random Test Generation/Result/Math_76/result.json</x:v>
      </x:c>
      <x:c r="P761"/>
      <x:c r="Q761" s="21" t="str"/>
      <x:c r="R761" s="21" t="str"/>
      <x:c r="S761" s="21" t="str"/>
      <x:c r="T761" s="17" t="str">
        <x:v>false</x:v>
      </x:c>
      <x:c r="U761" s="17" t="str">
        <x:v>true</x:v>
      </x:c>
      <x:c r="V761" s="17" t="str">
        <x:v>false</x:v>
      </x:c>
    </x:row>
    <x:row r="762" ht="80" customHeight="1">
      <x:c r="A762" s="25" t="str">
        <x:v>Math</x:v>
      </x:c>
      <x:c r="B762" s="25" t="n">
        <x:v>77</x:v>
      </x:c>
      <x:c r="C762" s="25" t="str">
        <x:v>Round1</x:v>
      </x:c>
      <x:c r="D762" s="25" t="str">
        <x:v>INCONCLUSIVE</x:v>
      </x:c>
      <x:c r="E762" s="25" t="str">
        <x:v>N/A</x:v>
      </x:c>
      <x:c r="F762" s="26" t="str">
        <x:v>Fixed also failed; assertion failure cannot be attributed to this bug; Assertions failed with measured coverage; paired execution and stage checks determine status</x:v>
      </x:c>
      <x:c r="G762" s="25" t="str">
        <x:v>true</x:v>
      </x:c>
      <x:c r="H762" s="25" t="str">
        <x:v>INCONCLUSIVE</x:v>
      </x:c>
      <x:c r="I762" s="25" t="str">
        <x:v>FAIL</x:v>
      </x:c>
      <x:c r="J762" s="25" t="str">
        <x:v>FAIL</x:v>
      </x:c>
      <x:c r="K762" s="25" t="n">
        <x:v>9</x:v>
      </x:c>
      <x:c r="L762" s="27" t="b">
        <x:v>0</x:v>
      </x:c>
      <x:c r="M762" s="25" t="str">
        <x:v>Feedback-Directed Random Test Generation/rounds/Round1/state/Math.json</x:v>
      </x:c>
      <x:c r="N762" s="25" t="str">
        <x:v>Feedback-Directed Random Test Generation/Result/Math_77/result.json</x:v>
      </x:c>
      <x:c r="O762" s="25" t="str">
        <x:v>Feedback-Directed Random Test Generation/Result/Math_77/result.json</x:v>
      </x:c>
      <x:c r="P762"/>
      <x:c r="Q762" s="21" t="str"/>
      <x:c r="R762" s="21" t="str"/>
      <x:c r="S762" s="21" t="str"/>
      <x:c r="T762" s="17" t="str">
        <x:v>false</x:v>
      </x:c>
      <x:c r="U762" s="17" t="str">
        <x:v>true</x:v>
      </x:c>
      <x:c r="V762" s="17" t="str">
        <x:v>false</x:v>
      </x:c>
    </x:row>
    <x:row r="763" ht="80" customHeight="1">
      <x:c r="A763" s="25" t="str">
        <x:v>Math</x:v>
      </x:c>
      <x:c r="B763" s="25" t="n">
        <x:v>78</x:v>
      </x:c>
      <x:c r="C763" s="25" t="str">
        <x:v>Round1</x:v>
      </x:c>
      <x:c r="D763" s="25" t="str">
        <x:v>NOT_REVEALING</x:v>
      </x:c>
      <x:c r="E763" s="25" t="str">
        <x:v>N/A</x:v>
      </x:c>
      <x:c r="F763" s="26" t="str">
        <x:v>Same saved validation suite passed on buggy and fixed</x:v>
      </x:c>
      <x:c r="G763" s="25" t="str">
        <x:v>true</x:v>
      </x:c>
      <x:c r="H763" s="25" t="str">
        <x:v>NOT_REVEALING</x:v>
      </x:c>
      <x:c r="I763" s="25" t="str">
        <x:v>PASS</x:v>
      </x:c>
      <x:c r="J763" s="25" t="str">
        <x:v>PASS</x:v>
      </x:c>
      <x:c r="K763" s="25" t="n">
        <x:v>12</x:v>
      </x:c>
      <x:c r="L763" s="27" t="b">
        <x:v>0</x:v>
      </x:c>
      <x:c r="M763" s="25" t="str">
        <x:v>Feedback-Directed Random Test Generation/rounds/Round1/state/Math.json</x:v>
      </x:c>
      <x:c r="N763" s="25" t="str">
        <x:v>Feedback-Directed Random Test Generation/Result/Math_78/result.json</x:v>
      </x:c>
      <x:c r="O763" s="25" t="str">
        <x:v>Feedback-Directed Random Test Generation/Result/Math_78/result.json</x:v>
      </x:c>
      <x:c r="P763"/>
      <x:c r="Q763" s="21" t="str"/>
      <x:c r="R763" s="21" t="str"/>
      <x:c r="S763" s="21" t="str"/>
      <x:c r="T763" s="17" t="str">
        <x:v>false</x:v>
      </x:c>
      <x:c r="U763" s="17" t="str">
        <x:v>true</x:v>
      </x:c>
      <x:c r="V763" s="17" t="str">
        <x:v>false</x:v>
      </x:c>
    </x:row>
    <x:row r="764" ht="80" customHeight="1">
      <x:c r="A764" s="25" t="str">
        <x:v>Math</x:v>
      </x:c>
      <x:c r="B764" s="25" t="n">
        <x:v>79</x:v>
      </x:c>
      <x:c r="C764" s="25" t="str">
        <x:v>Round1</x:v>
      </x:c>
      <x:c r="D764" s="25" t="str">
        <x:v>NOT_REVEALING</x:v>
      </x:c>
      <x:c r="E764" s="25" t="str">
        <x:v>N/A</x:v>
      </x:c>
      <x:c r="F764" s="26" t="str">
        <x:v>Same saved validation suite passed on buggy and fixed</x:v>
      </x:c>
      <x:c r="G764" s="25" t="str">
        <x:v>true</x:v>
      </x:c>
      <x:c r="H764" s="25" t="str">
        <x:v>NOT_REVEALING</x:v>
      </x:c>
      <x:c r="I764" s="25" t="str">
        <x:v>PASS</x:v>
      </x:c>
      <x:c r="J764" s="25" t="str">
        <x:v>PASS</x:v>
      </x:c>
      <x:c r="K764" s="25" t="n">
        <x:v>2</x:v>
      </x:c>
      <x:c r="L764" s="27" t="b">
        <x:v>0</x:v>
      </x:c>
      <x:c r="M764" s="25" t="str">
        <x:v>Feedback-Directed Random Test Generation/rounds/Round1/state/Math.json</x:v>
      </x:c>
      <x:c r="N764" s="25" t="str">
        <x:v>Feedback-Directed Random Test Generation/Result/Math_79/result.json</x:v>
      </x:c>
      <x:c r="O764" s="25" t="str">
        <x:v>Feedback-Directed Random Test Generation/Result/Math_79/result.json</x:v>
      </x:c>
      <x:c r="P764"/>
      <x:c r="Q764" s="21" t="str"/>
      <x:c r="R764" s="21" t="str"/>
      <x:c r="S764" s="21" t="str"/>
      <x:c r="T764" s="17" t="str">
        <x:v>false</x:v>
      </x:c>
      <x:c r="U764" s="17" t="str">
        <x:v>true</x:v>
      </x:c>
      <x:c r="V764" s="17" t="str">
        <x:v>false</x:v>
      </x:c>
    </x:row>
    <x:row r="765" ht="80" customHeight="1">
      <x:c r="A765" s="25" t="str">
        <x:v>Math</x:v>
      </x:c>
      <x:c r="B765" s="25" t="n">
        <x:v>80</x:v>
      </x:c>
      <x:c r="C765" s="25" t="str">
        <x:v>Round1</x:v>
      </x:c>
      <x:c r="D765" s="25" t="str">
        <x:v>NOT_REVEALING</x:v>
      </x:c>
      <x:c r="E765" s="25" t="str">
        <x:v>N/A</x:v>
      </x:c>
      <x:c r="F765" s="26" t="str">
        <x:v>Same saved validation suite passed on buggy and fixed</x:v>
      </x:c>
      <x:c r="G765" s="25" t="str">
        <x:v>true</x:v>
      </x:c>
      <x:c r="H765" s="25" t="str">
        <x:v>NOT_REVEALING</x:v>
      </x:c>
      <x:c r="I765" s="25" t="str">
        <x:v>PASS</x:v>
      </x:c>
      <x:c r="J765" s="25" t="str">
        <x:v>PASS</x:v>
      </x:c>
      <x:c r="K765" s="25" t="n">
        <x:v>11</x:v>
      </x:c>
      <x:c r="L765" s="27" t="b">
        <x:v>0</x:v>
      </x:c>
      <x:c r="M765" s="25" t="str">
        <x:v>Feedback-Directed Random Test Generation/rounds/Round1/state/Math.json</x:v>
      </x:c>
      <x:c r="N765" s="25" t="str">
        <x:v>Feedback-Directed Random Test Generation/Result/Math_80/result.json</x:v>
      </x:c>
      <x:c r="O765" s="25" t="str">
        <x:v>Feedback-Directed Random Test Generation/Result/Math_80/result.json</x:v>
      </x:c>
      <x:c r="P765"/>
      <x:c r="Q765" s="21" t="str"/>
      <x:c r="R765" s="21" t="str"/>
      <x:c r="S765" s="21" t="str"/>
      <x:c r="T765" s="17" t="str">
        <x:v>false</x:v>
      </x:c>
      <x:c r="U765" s="17" t="str">
        <x:v>true</x:v>
      </x:c>
      <x:c r="V765" s="17" t="str">
        <x:v>false</x:v>
      </x:c>
    </x:row>
    <x:row r="766" ht="80" customHeight="1">
      <x:c r="A766" s="25" t="str">
        <x:v>Math</x:v>
      </x:c>
      <x:c r="B766" s="25" t="n">
        <x:v>81</x:v>
      </x:c>
      <x:c r="C766" s="25" t="str">
        <x:v>Round1</x:v>
      </x:c>
      <x:c r="D766" s="25" t="str">
        <x:v>NOT_REVEALING</x:v>
      </x:c>
      <x:c r="E766" s="25" t="str">
        <x:v>N/A</x:v>
      </x:c>
      <x:c r="F766" s="26" t="str">
        <x:v>Same saved validation suite passed on buggy and fixed</x:v>
      </x:c>
      <x:c r="G766" s="25" t="str">
        <x:v>true</x:v>
      </x:c>
      <x:c r="H766" s="25" t="str">
        <x:v>NOT_REVEALING</x:v>
      </x:c>
      <x:c r="I766" s="25" t="str">
        <x:v>PASS</x:v>
      </x:c>
      <x:c r="J766" s="25" t="str">
        <x:v>PASS</x:v>
      </x:c>
      <x:c r="K766" s="25" t="n">
        <x:v>12</x:v>
      </x:c>
      <x:c r="L766" s="27" t="b">
        <x:v>0</x:v>
      </x:c>
      <x:c r="M766" s="25" t="str">
        <x:v>Feedback-Directed Random Test Generation/rounds/Round1/state/Math.json</x:v>
      </x:c>
      <x:c r="N766" s="25" t="str">
        <x:v>Feedback-Directed Random Test Generation/Result/Math_81/result.json</x:v>
      </x:c>
      <x:c r="O766" s="25" t="str">
        <x:v>Feedback-Directed Random Test Generation/Result/Math_81/result.json</x:v>
      </x:c>
      <x:c r="P766"/>
      <x:c r="Q766" s="21" t="str"/>
      <x:c r="R766" s="21" t="str"/>
      <x:c r="S766" s="21" t="str"/>
      <x:c r="T766" s="17" t="str">
        <x:v>false</x:v>
      </x:c>
      <x:c r="U766" s="17" t="str">
        <x:v>true</x:v>
      </x:c>
      <x:c r="V766" s="17" t="str">
        <x:v>false</x:v>
      </x:c>
    </x:row>
    <x:row r="767" ht="80" customHeight="1">
      <x:c r="A767" s="25" t="str">
        <x:v>Math</x:v>
      </x:c>
      <x:c r="B767" s="25" t="n">
        <x:v>82</x:v>
      </x:c>
      <x:c r="C767" s="25" t="str">
        <x:v>Round1</x:v>
      </x:c>
      <x:c r="D767" s="25" t="str">
        <x:v>INCONCLUSIVE</x:v>
      </x:c>
      <x:c r="E767" s="25" t="str">
        <x:v>N/A</x:v>
      </x:c>
      <x:c r="F767" s="26" t="str">
        <x:v>Fixed also failed; assertion failure cannot be attributed to this bug; Assertions failed with measured coverage; paired execution and stage checks determine status</x:v>
      </x:c>
      <x:c r="G767" s="25" t="str">
        <x:v>true</x:v>
      </x:c>
      <x:c r="H767" s="25" t="str">
        <x:v>INCONCLUSIVE</x:v>
      </x:c>
      <x:c r="I767" s="25" t="str">
        <x:v>FAIL</x:v>
      </x:c>
      <x:c r="J767" s="25" t="str">
        <x:v>FAIL</x:v>
      </x:c>
      <x:c r="K767" s="25" t="n">
        <x:v>17</x:v>
      </x:c>
      <x:c r="L767" s="27" t="b">
        <x:v>0</x:v>
      </x:c>
      <x:c r="M767" s="25" t="str">
        <x:v>Feedback-Directed Random Test Generation/rounds/Round1/state/Math.json</x:v>
      </x:c>
      <x:c r="N767" s="25" t="str">
        <x:v>Feedback-Directed Random Test Generation/Result/Math_82/result.json</x:v>
      </x:c>
      <x:c r="O767" s="25" t="str">
        <x:v>Feedback-Directed Random Test Generation/Result/Math_82/result.json</x:v>
      </x:c>
      <x:c r="P767"/>
      <x:c r="Q767" s="21" t="str"/>
      <x:c r="R767" s="21" t="str"/>
      <x:c r="S767" s="21" t="str"/>
      <x:c r="T767" s="17" t="str">
        <x:v>false</x:v>
      </x:c>
      <x:c r="U767" s="17" t="str">
        <x:v>true</x:v>
      </x:c>
      <x:c r="V767" s="17" t="str">
        <x:v>false</x:v>
      </x:c>
    </x:row>
    <x:row r="768" ht="80" customHeight="1">
      <x:c r="A768" s="25" t="str">
        <x:v>Math</x:v>
      </x:c>
      <x:c r="B768" s="25" t="n">
        <x:v>83</x:v>
      </x:c>
      <x:c r="C768" s="25" t="str">
        <x:v>Round1</x:v>
      </x:c>
      <x:c r="D768" s="25" t="str">
        <x:v>NOT_REVEALING</x:v>
      </x:c>
      <x:c r="E768" s="25" t="str">
        <x:v>N/A</x:v>
      </x:c>
      <x:c r="F768" s="26" t="str">
        <x:v>Same saved validation suite passed on buggy and fixed</x:v>
      </x:c>
      <x:c r="G768" s="25" t="str">
        <x:v>true</x:v>
      </x:c>
      <x:c r="H768" s="25" t="str">
        <x:v>NOT_REVEALING</x:v>
      </x:c>
      <x:c r="I768" s="25" t="str">
        <x:v>PASS</x:v>
      </x:c>
      <x:c r="J768" s="25" t="str">
        <x:v>PASS</x:v>
      </x:c>
      <x:c r="K768" s="25" t="n">
        <x:v>2</x:v>
      </x:c>
      <x:c r="L768" s="27" t="b">
        <x:v>0</x:v>
      </x:c>
      <x:c r="M768" s="25" t="str">
        <x:v>Feedback-Directed Random Test Generation/rounds/Round1/state/Math.json</x:v>
      </x:c>
      <x:c r="N768" s="25" t="str">
        <x:v>Feedback-Directed Random Test Generation/Result/Math_83/result.json</x:v>
      </x:c>
      <x:c r="O768" s="25" t="str">
        <x:v>Feedback-Directed Random Test Generation/Result/Math_83/result.json</x:v>
      </x:c>
      <x:c r="P768"/>
      <x:c r="Q768" s="21" t="str"/>
      <x:c r="R768" s="21" t="str"/>
      <x:c r="S768" s="21" t="str"/>
      <x:c r="T768" s="17" t="str">
        <x:v>false</x:v>
      </x:c>
      <x:c r="U768" s="17" t="str">
        <x:v>true</x:v>
      </x:c>
      <x:c r="V768" s="17" t="str">
        <x:v>false</x:v>
      </x:c>
    </x:row>
    <x:row r="769" ht="80" customHeight="1">
      <x:c r="A769" s="25" t="str">
        <x:v>Math</x:v>
      </x:c>
      <x:c r="B769" s="25" t="n">
        <x:v>84</x:v>
      </x:c>
      <x:c r="C769" s="25" t="str">
        <x:v>Round1</x:v>
      </x:c>
      <x:c r="D769" s="25" t="str">
        <x:v>NOT_REVEALING</x:v>
      </x:c>
      <x:c r="E769" s="25" t="str">
        <x:v>N/A</x:v>
      </x:c>
      <x:c r="F769" s="26" t="str">
        <x:v>Same saved validation suite passed on buggy and fixed</x:v>
      </x:c>
      <x:c r="G769" s="25" t="str">
        <x:v>true</x:v>
      </x:c>
      <x:c r="H769" s="25" t="str">
        <x:v>NOT_REVEALING</x:v>
      </x:c>
      <x:c r="I769" s="25" t="str">
        <x:v>PASS</x:v>
      </x:c>
      <x:c r="J769" s="25" t="str">
        <x:v>PASS</x:v>
      </x:c>
      <x:c r="K769" s="25" t="n">
        <x:v>11</x:v>
      </x:c>
      <x:c r="L769" s="27" t="b">
        <x:v>0</x:v>
      </x:c>
      <x:c r="M769" s="25" t="str">
        <x:v>Feedback-Directed Random Test Generation/rounds/Round1/state/Math.json</x:v>
      </x:c>
      <x:c r="N769" s="25" t="str">
        <x:v>Feedback-Directed Random Test Generation/Result/Math_84/result.json</x:v>
      </x:c>
      <x:c r="O769" s="25" t="str">
        <x:v>Feedback-Directed Random Test Generation/Result/Math_84/result.json</x:v>
      </x:c>
      <x:c r="P769"/>
      <x:c r="Q769" s="21" t="str"/>
      <x:c r="R769" s="21" t="str"/>
      <x:c r="S769" s="21" t="str"/>
      <x:c r="T769" s="17" t="str">
        <x:v>false</x:v>
      </x:c>
      <x:c r="U769" s="17" t="str">
        <x:v>true</x:v>
      </x:c>
      <x:c r="V769" s="17" t="str">
        <x:v>false</x:v>
      </x:c>
    </x:row>
    <x:row r="770" ht="80" customHeight="1">
      <x:c r="A770" s="25" t="str">
        <x:v>Math</x:v>
      </x:c>
      <x:c r="B770" s="25" t="n">
        <x:v>85</x:v>
      </x:c>
      <x:c r="C770" s="25" t="str">
        <x:v>Round1</x:v>
      </x:c>
      <x:c r="D770" s="25" t="str">
        <x:v>NOT_REVEALING</x:v>
      </x:c>
      <x:c r="E770" s="25" t="str">
        <x:v>N/A</x:v>
      </x:c>
      <x:c r="F770" s="26" t="str">
        <x:v>Same saved validation suite passed on buggy and fixed</x:v>
      </x:c>
      <x:c r="G770" s="25" t="str">
        <x:v>true</x:v>
      </x:c>
      <x:c r="H770" s="25" t="str">
        <x:v>NOT_REVEALING</x:v>
      </x:c>
      <x:c r="I770" s="25" t="str">
        <x:v>PASS</x:v>
      </x:c>
      <x:c r="J770" s="25" t="str">
        <x:v>PASS</x:v>
      </x:c>
      <x:c r="K770" s="25" t="n">
        <x:v>25</x:v>
      </x:c>
      <x:c r="L770" s="27" t="b">
        <x:v>0</x:v>
      </x:c>
      <x:c r="M770" s="25" t="str">
        <x:v>Feedback-Directed Random Test Generation/rounds/Round1/state/Math.json</x:v>
      </x:c>
      <x:c r="N770" s="25" t="str">
        <x:v>Feedback-Directed Random Test Generation/Result/Math_85/result.json</x:v>
      </x:c>
      <x:c r="O770" s="25" t="str">
        <x:v>Feedback-Directed Random Test Generation/Result/Math_85/result.json</x:v>
      </x:c>
      <x:c r="P770"/>
      <x:c r="Q770" s="21" t="str"/>
      <x:c r="R770" s="21" t="str"/>
      <x:c r="S770" s="21" t="str"/>
      <x:c r="T770" s="17" t="str">
        <x:v>false</x:v>
      </x:c>
      <x:c r="U770" s="17" t="str">
        <x:v>true</x:v>
      </x:c>
      <x:c r="V770" s="17" t="str">
        <x:v>false</x:v>
      </x:c>
    </x:row>
    <x:row r="771" ht="80" customHeight="1">
      <x:c r="A771" s="25" t="str">
        <x:v>Math</x:v>
      </x:c>
      <x:c r="B771" s="25" t="n">
        <x:v>86</x:v>
      </x:c>
      <x:c r="C771" s="25" t="str">
        <x:v>Round1</x:v>
      </x:c>
      <x:c r="D771" s="25" t="str">
        <x:v>NOT_REVEALING</x:v>
      </x:c>
      <x:c r="E771" s="25" t="str">
        <x:v>N/A</x:v>
      </x:c>
      <x:c r="F771" s="26" t="str">
        <x:v>Same saved validation suite passed on buggy and fixed</x:v>
      </x:c>
      <x:c r="G771" s="25" t="str">
        <x:v>true</x:v>
      </x:c>
      <x:c r="H771" s="25" t="str">
        <x:v>NOT_REVEALING</x:v>
      </x:c>
      <x:c r="I771" s="25" t="str">
        <x:v>PASS</x:v>
      </x:c>
      <x:c r="J771" s="25" t="str">
        <x:v>PASS</x:v>
      </x:c>
      <x:c r="K771" s="25" t="n">
        <x:v>4</x:v>
      </x:c>
      <x:c r="L771" s="27" t="b">
        <x:v>0</x:v>
      </x:c>
      <x:c r="M771" s="25" t="str">
        <x:v>Feedback-Directed Random Test Generation/rounds/Round1/state/Math.json</x:v>
      </x:c>
      <x:c r="N771" s="25" t="str">
        <x:v>Feedback-Directed Random Test Generation/Result/Math_86/result.json</x:v>
      </x:c>
      <x:c r="O771" s="25" t="str">
        <x:v>Feedback-Directed Random Test Generation/Result/Math_86/result.json</x:v>
      </x:c>
      <x:c r="P771"/>
      <x:c r="Q771" s="21" t="str"/>
      <x:c r="R771" s="21" t="str"/>
      <x:c r="S771" s="21" t="str"/>
      <x:c r="T771" s="17" t="str">
        <x:v>false</x:v>
      </x:c>
      <x:c r="U771" s="17" t="str">
        <x:v>true</x:v>
      </x:c>
      <x:c r="V771" s="17" t="str">
        <x:v>false</x:v>
      </x:c>
    </x:row>
    <x:row r="772" ht="80" customHeight="1">
      <x:c r="A772" s="25" t="str">
        <x:v>Math</x:v>
      </x:c>
      <x:c r="B772" s="25" t="n">
        <x:v>87</x:v>
      </x:c>
      <x:c r="C772" s="25" t="str">
        <x:v>Round1</x:v>
      </x:c>
      <x:c r="D772" s="25" t="str">
        <x:v>NOT_REVEALING</x:v>
      </x:c>
      <x:c r="E772" s="25" t="str">
        <x:v>N/A</x:v>
      </x:c>
      <x:c r="F772" s="26" t="str">
        <x:v>Same saved validation suite passed on buggy and fixed</x:v>
      </x:c>
      <x:c r="G772" s="25" t="str">
        <x:v>true</x:v>
      </x:c>
      <x:c r="H772" s="25" t="str">
        <x:v>NOT_REVEALING</x:v>
      </x:c>
      <x:c r="I772" s="25" t="str">
        <x:v>PASS</x:v>
      </x:c>
      <x:c r="J772" s="25" t="str">
        <x:v>PASS</x:v>
      </x:c>
      <x:c r="K772" s="25" t="n">
        <x:v>2</x:v>
      </x:c>
      <x:c r="L772" s="27" t="b">
        <x:v>0</x:v>
      </x:c>
      <x:c r="M772" s="25" t="str">
        <x:v>Feedback-Directed Random Test Generation/rounds/Round1/state/Math.json</x:v>
      </x:c>
      <x:c r="N772" s="25" t="str">
        <x:v>Feedback-Directed Random Test Generation/Result/Math_87/result.json</x:v>
      </x:c>
      <x:c r="O772" s="25" t="str">
        <x:v>Feedback-Directed Random Test Generation/Result/Math_87/result.json</x:v>
      </x:c>
      <x:c r="P772"/>
      <x:c r="Q772" s="21" t="str"/>
      <x:c r="R772" s="21" t="str"/>
      <x:c r="S772" s="21" t="str"/>
      <x:c r="T772" s="17" t="str">
        <x:v>false</x:v>
      </x:c>
      <x:c r="U772" s="17" t="str">
        <x:v>true</x:v>
      </x:c>
      <x:c r="V772" s="17" t="str">
        <x:v>false</x:v>
      </x:c>
    </x:row>
    <x:row r="773" ht="80" customHeight="1">
      <x:c r="A773" s="25" t="str">
        <x:v>Math</x:v>
      </x:c>
      <x:c r="B773" s="25" t="n">
        <x:v>88</x:v>
      </x:c>
      <x:c r="C773" s="25" t="str">
        <x:v>Round1</x:v>
      </x:c>
      <x:c r="D773" s="25" t="str">
        <x:v>NOT_REVEALING</x:v>
      </x:c>
      <x:c r="E773" s="25" t="str">
        <x:v>N/A</x:v>
      </x:c>
      <x:c r="F773" s="26" t="str">
        <x:v>Same saved validation suite passed on buggy and fixed</x:v>
      </x:c>
      <x:c r="G773" s="25" t="str">
        <x:v>true</x:v>
      </x:c>
      <x:c r="H773" s="25" t="str">
        <x:v>NOT_REVEALING</x:v>
      </x:c>
      <x:c r="I773" s="25" t="str">
        <x:v>PASS</x:v>
      </x:c>
      <x:c r="J773" s="25" t="str">
        <x:v>PASS</x:v>
      </x:c>
      <x:c r="K773" s="25" t="n">
        <x:v>2</x:v>
      </x:c>
      <x:c r="L773" s="27" t="b">
        <x:v>0</x:v>
      </x:c>
      <x:c r="M773" s="25" t="str">
        <x:v>Feedback-Directed Random Test Generation/rounds/Round1/state/Math.json</x:v>
      </x:c>
      <x:c r="N773" s="25" t="str">
        <x:v>Feedback-Directed Random Test Generation/Result/Math_88/result.json</x:v>
      </x:c>
      <x:c r="O773" s="25" t="str">
        <x:v>Feedback-Directed Random Test Generation/Result/Math_88/result.json</x:v>
      </x:c>
      <x:c r="P773"/>
      <x:c r="Q773" s="21" t="str"/>
      <x:c r="R773" s="21" t="str"/>
      <x:c r="S773" s="21" t="str"/>
      <x:c r="T773" s="17" t="str">
        <x:v>false</x:v>
      </x:c>
      <x:c r="U773" s="17" t="str">
        <x:v>true</x:v>
      </x:c>
      <x:c r="V773" s="17" t="str">
        <x:v>false</x:v>
      </x:c>
    </x:row>
    <x:row r="774" ht="80" customHeight="1">
      <x:c r="A774" s="25" t="str">
        <x:v>Math</x:v>
      </x:c>
      <x:c r="B774" s="25" t="n">
        <x:v>89</x:v>
      </x:c>
      <x:c r="C774" s="25" t="str">
        <x:v>Round1</x:v>
      </x:c>
      <x:c r="D774" s="25" t="str">
        <x:v>INCONCLUSIVE</x:v>
      </x:c>
      <x:c r="E774" s="25" t="str">
        <x:v>N/A</x:v>
      </x:c>
      <x:c r="F774" s="26" t="str">
        <x:v>Fixed also failed; assertion failure cannot be attributed to this bug</x:v>
      </x:c>
      <x:c r="G774" s="25" t="str">
        <x:v>true</x:v>
      </x:c>
      <x:c r="H774" s="25" t="str">
        <x:v>INCONCLUSIVE</x:v>
      </x:c>
      <x:c r="I774" s="25" t="str">
        <x:v>PASS</x:v>
      </x:c>
      <x:c r="J774" s="25" t="str">
        <x:v>FAIL</x:v>
      </x:c>
      <x:c r="K774" s="25" t="n">
        <x:v>12</x:v>
      </x:c>
      <x:c r="L774" s="27" t="b">
        <x:v>0</x:v>
      </x:c>
      <x:c r="M774" s="25" t="str">
        <x:v>Feedback-Directed Random Test Generation/rounds/Round1/state/Math.json</x:v>
      </x:c>
      <x:c r="N774" s="25" t="str">
        <x:v>Feedback-Directed Random Test Generation/Result/Math_89/result.json</x:v>
      </x:c>
      <x:c r="O774" s="25" t="str">
        <x:v>Feedback-Directed Random Test Generation/Result/Math_89/result.json</x:v>
      </x:c>
      <x:c r="P774"/>
      <x:c r="Q774" s="21" t="str"/>
      <x:c r="R774" s="21" t="str"/>
      <x:c r="S774" s="21" t="str"/>
      <x:c r="T774" s="17" t="str">
        <x:v>false</x:v>
      </x:c>
      <x:c r="U774" s="17" t="str">
        <x:v>true</x:v>
      </x:c>
      <x:c r="V774" s="17" t="str">
        <x:v>false</x:v>
      </x:c>
    </x:row>
    <x:row r="775" ht="80" customHeight="1">
      <x:c r="A775" s="25" t="str">
        <x:v>Math</x:v>
      </x:c>
      <x:c r="B775" s="25" t="n">
        <x:v>90</x:v>
      </x:c>
      <x:c r="C775" s="25" t="str">
        <x:v>Round1</x:v>
      </x:c>
      <x:c r="D775" s="25" t="str">
        <x:v>INCONCLUSIVE</x:v>
      </x:c>
      <x:c r="E775" s="25" t="str">
        <x:v>N/A</x:v>
      </x:c>
      <x:c r="F775" s="26" t="str">
        <x:v>Fixed also failed; assertion failure cannot be attributed to this bug</x:v>
      </x:c>
      <x:c r="G775" s="25" t="str">
        <x:v>true</x:v>
      </x:c>
      <x:c r="H775" s="25" t="str">
        <x:v>INCONCLUSIVE</x:v>
      </x:c>
      <x:c r="I775" s="25" t="str">
        <x:v>PASS</x:v>
      </x:c>
      <x:c r="J775" s="25" t="str">
        <x:v>FAIL</x:v>
      </x:c>
      <x:c r="K775" s="25" t="n">
        <x:v>13</x:v>
      </x:c>
      <x:c r="L775" s="27" t="b">
        <x:v>0</x:v>
      </x:c>
      <x:c r="M775" s="25" t="str">
        <x:v>Feedback-Directed Random Test Generation/rounds/Round1/state/Math.json</x:v>
      </x:c>
      <x:c r="N775" s="25" t="str">
        <x:v>Feedback-Directed Random Test Generation/Result/Math_90/result.json</x:v>
      </x:c>
      <x:c r="O775" s="25" t="str">
        <x:v>Feedback-Directed Random Test Generation/Result/Math_90/result.json</x:v>
      </x:c>
      <x:c r="P775"/>
      <x:c r="Q775" s="21" t="str"/>
      <x:c r="R775" s="21" t="str"/>
      <x:c r="S775" s="21" t="str"/>
      <x:c r="T775" s="17" t="str">
        <x:v>false</x:v>
      </x:c>
      <x:c r="U775" s="17" t="str">
        <x:v>true</x:v>
      </x:c>
      <x:c r="V775" s="17" t="str">
        <x:v>false</x:v>
      </x:c>
    </x:row>
    <x:row r="776" ht="80" customHeight="1">
      <x:c r="A776" s="25" t="str">
        <x:v>Math</x:v>
      </x:c>
      <x:c r="B776" s="25" t="n">
        <x:v>91</x:v>
      </x:c>
      <x:c r="C776" s="25" t="str">
        <x:v>Round1</x:v>
      </x:c>
      <x:c r="D776" s="25" t="str">
        <x:v>NOT_REVEALING</x:v>
      </x:c>
      <x:c r="E776" s="25" t="str">
        <x:v>N/A</x:v>
      </x:c>
      <x:c r="F776" s="26" t="str">
        <x:v>Same saved validation suite passed on buggy and fixed</x:v>
      </x:c>
      <x:c r="G776" s="25" t="str">
        <x:v>true</x:v>
      </x:c>
      <x:c r="H776" s="25" t="str">
        <x:v>NOT_REVEALING</x:v>
      </x:c>
      <x:c r="I776" s="25" t="str">
        <x:v>PASS</x:v>
      </x:c>
      <x:c r="J776" s="25" t="str">
        <x:v>PASS</x:v>
      </x:c>
      <x:c r="K776" s="25" t="n">
        <x:v>8</x:v>
      </x:c>
      <x:c r="L776" s="27" t="b">
        <x:v>0</x:v>
      </x:c>
      <x:c r="M776" s="25" t="str">
        <x:v>Feedback-Directed Random Test Generation/rounds/Round1/state/Math.json</x:v>
      </x:c>
      <x:c r="N776" s="25" t="str">
        <x:v>Feedback-Directed Random Test Generation/Result/Math_91/result.json</x:v>
      </x:c>
      <x:c r="O776" s="25" t="str">
        <x:v>Feedback-Directed Random Test Generation/Result/Math_91/result.json</x:v>
      </x:c>
      <x:c r="P776"/>
      <x:c r="Q776" s="21" t="str"/>
      <x:c r="R776" s="21" t="str"/>
      <x:c r="S776" s="21" t="str"/>
      <x:c r="T776" s="17" t="str">
        <x:v>false</x:v>
      </x:c>
      <x:c r="U776" s="17" t="str">
        <x:v>true</x:v>
      </x:c>
      <x:c r="V776" s="17" t="str">
        <x:v>false</x:v>
      </x:c>
    </x:row>
    <x:row r="777" ht="80" customHeight="1">
      <x:c r="A777" s="25" t="str">
        <x:v>Math</x:v>
      </x:c>
      <x:c r="B777" s="25" t="n">
        <x:v>92</x:v>
      </x:c>
      <x:c r="C777" s="25" t="str">
        <x:v>Round1</x:v>
      </x:c>
      <x:c r="D777" s="25" t="str">
        <x:v>INCONCLUSIVE</x:v>
      </x:c>
      <x:c r="E777" s="25" t="str">
        <x:v>N/A</x:v>
      </x:c>
      <x:c r="F777" s="26" t="str">
        <x:v>Fixed also failed; assertion failure cannot be attributed to this bug</x:v>
      </x:c>
      <x:c r="G777" s="25" t="str">
        <x:v>true</x:v>
      </x:c>
      <x:c r="H777" s="25" t="str">
        <x:v>INCONCLUSIVE</x:v>
      </x:c>
      <x:c r="I777" s="25" t="str">
        <x:v>PASS</x:v>
      </x:c>
      <x:c r="J777" s="25" t="str">
        <x:v>FAIL</x:v>
      </x:c>
      <x:c r="K777" s="25" t="n">
        <x:v>2</x:v>
      </x:c>
      <x:c r="L777" s="27" t="b">
        <x:v>0</x:v>
      </x:c>
      <x:c r="M777" s="25" t="str">
        <x:v>Feedback-Directed Random Test Generation/rounds/Round1/state/Math.json</x:v>
      </x:c>
      <x:c r="N777" s="25" t="str">
        <x:v>Feedback-Directed Random Test Generation/Result/Math_92/result.json</x:v>
      </x:c>
      <x:c r="O777" s="25" t="str">
        <x:v>Feedback-Directed Random Test Generation/Result/Math_92/result.json</x:v>
      </x:c>
      <x:c r="P777"/>
      <x:c r="Q777" s="21" t="str"/>
      <x:c r="R777" s="21" t="str"/>
      <x:c r="S777" s="21" t="str"/>
      <x:c r="T777" s="17" t="str">
        <x:v>false</x:v>
      </x:c>
      <x:c r="U777" s="17" t="str">
        <x:v>true</x:v>
      </x:c>
      <x:c r="V777" s="17" t="str">
        <x:v>false</x:v>
      </x:c>
    </x:row>
    <x:row r="778" ht="80" customHeight="1">
      <x:c r="A778" s="25" t="str">
        <x:v>Math</x:v>
      </x:c>
      <x:c r="B778" s="25" t="n">
        <x:v>93</x:v>
      </x:c>
      <x:c r="C778" s="25" t="str">
        <x:v>Round1</x:v>
      </x:c>
      <x:c r="D778" s="25" t="str">
        <x:v>NOT_REVEALING</x:v>
      </x:c>
      <x:c r="E778" s="25" t="str">
        <x:v>N/A</x:v>
      </x:c>
      <x:c r="F778" s="26" t="str">
        <x:v>Same saved validation suite passed on buggy and fixed</x:v>
      </x:c>
      <x:c r="G778" s="25" t="str">
        <x:v>true</x:v>
      </x:c>
      <x:c r="H778" s="25" t="str">
        <x:v>NOT_REVEALING</x:v>
      </x:c>
      <x:c r="I778" s="25" t="str">
        <x:v>PASS</x:v>
      </x:c>
      <x:c r="J778" s="25" t="str">
        <x:v>PASS</x:v>
      </x:c>
      <x:c r="K778" s="25" t="n">
        <x:v>2</x:v>
      </x:c>
      <x:c r="L778" s="27" t="b">
        <x:v>0</x:v>
      </x:c>
      <x:c r="M778" s="25" t="str">
        <x:v>Feedback-Directed Random Test Generation/rounds/Round1/state/Math.json</x:v>
      </x:c>
      <x:c r="N778" s="25" t="str">
        <x:v>Feedback-Directed Random Test Generation/Result/Math_93/result.json</x:v>
      </x:c>
      <x:c r="O778" s="25" t="str">
        <x:v>Feedback-Directed Random Test Generation/Result/Math_93/result.json</x:v>
      </x:c>
      <x:c r="P778"/>
      <x:c r="Q778" s="21" t="str"/>
      <x:c r="R778" s="21" t="str"/>
      <x:c r="S778" s="21" t="str"/>
      <x:c r="T778" s="17" t="str">
        <x:v>false</x:v>
      </x:c>
      <x:c r="U778" s="17" t="str">
        <x:v>true</x:v>
      </x:c>
      <x:c r="V778" s="17" t="str">
        <x:v>false</x:v>
      </x:c>
    </x:row>
    <x:row r="779" ht="80" customHeight="1">
      <x:c r="A779" s="25" t="str">
        <x:v>Math</x:v>
      </x:c>
      <x:c r="B779" s="25" t="n">
        <x:v>94</x:v>
      </x:c>
      <x:c r="C779" s="25" t="str">
        <x:v>Round1</x:v>
      </x:c>
      <x:c r="D779" s="25" t="str">
        <x:v>NOT_REVEALING</x:v>
      </x:c>
      <x:c r="E779" s="25" t="str">
        <x:v>N/A</x:v>
      </x:c>
      <x:c r="F779" s="26" t="str">
        <x:v>Same saved validation suite passed on buggy and fixed</x:v>
      </x:c>
      <x:c r="G779" s="25" t="str">
        <x:v>true</x:v>
      </x:c>
      <x:c r="H779" s="25" t="str">
        <x:v>NOT_REVEALING</x:v>
      </x:c>
      <x:c r="I779" s="25" t="str">
        <x:v>PASS</x:v>
      </x:c>
      <x:c r="J779" s="25" t="str">
        <x:v>PASS</x:v>
      </x:c>
      <x:c r="K779" s="25" t="n">
        <x:v>2</x:v>
      </x:c>
      <x:c r="L779" s="27" t="b">
        <x:v>0</x:v>
      </x:c>
      <x:c r="M779" s="25" t="str">
        <x:v>Feedback-Directed Random Test Generation/rounds/Round1/state/Math.json</x:v>
      </x:c>
      <x:c r="N779" s="25" t="str">
        <x:v>Feedback-Directed Random Test Generation/Result/Math_94/result.json</x:v>
      </x:c>
      <x:c r="O779" s="25" t="str">
        <x:v>Feedback-Directed Random Test Generation/Result/Math_94/result.json</x:v>
      </x:c>
      <x:c r="P779"/>
      <x:c r="Q779" s="21" t="str"/>
      <x:c r="R779" s="21" t="str"/>
      <x:c r="S779" s="21" t="str"/>
      <x:c r="T779" s="17" t="str">
        <x:v>false</x:v>
      </x:c>
      <x:c r="U779" s="17" t="str">
        <x:v>true</x:v>
      </x:c>
      <x:c r="V779" s="17" t="str">
        <x:v>false</x:v>
      </x:c>
    </x:row>
    <x:row r="780" ht="80" customHeight="1">
      <x:c r="A780" s="25" t="str">
        <x:v>Math</x:v>
      </x:c>
      <x:c r="B780" s="25" t="n">
        <x:v>95</x:v>
      </x:c>
      <x:c r="C780" s="25" t="str">
        <x:v>Round1</x:v>
      </x:c>
      <x:c r="D780" s="25" t="str">
        <x:v>NOT_AVAILABLE</x:v>
      </x:c>
      <x:c r="E780" s="25" t="str">
        <x:v>N/A</x:v>
      </x:c>
      <x:c r="F780" s="26" t="str">
        <x:v>Paired buggy/fixed execution missing or could not run</x:v>
      </x:c>
      <x:c r="G780" s="25" t="str">
        <x:v>true</x:v>
      </x:c>
      <x:c r="H780" s="25" t="str">
        <x:v>NOT_AVAILABLE</x:v>
      </x:c>
      <x:c r="I780" s="25" t="str">
        <x:v>PASS</x:v>
      </x:c>
      <x:c r="J780" s="25" t="str">
        <x:v>NOT_RUN</x:v>
      </x:c>
      <x:c r="K780" s="25" t="n">
        <x:v>15</x:v>
      </x:c>
      <x:c r="L780" s="27" t="b">
        <x:v>0</x:v>
      </x:c>
      <x:c r="M780" s="25" t="str">
        <x:v>Feedback-Directed Random Test Generation/rounds/Round1/state/Math.json</x:v>
      </x:c>
      <x:c r="N780" s="25" t="str">
        <x:v>Feedback-Directed Random Test Generation/Result/Math_95/result.json</x:v>
      </x:c>
      <x:c r="O780" s="25" t="str">
        <x:v>Feedback-Directed Random Test Generation/Result/Math_95/result.json</x:v>
      </x:c>
      <x:c r="P780" t="str">
        <x:v>FIXED_NOT_RUN</x:v>
      </x:c>
      <x:c r="Q780" s="21" t="str"/>
      <x:c r="R780" s="21" t="str"/>
      <x:c r="S780" s="21" t="str"/>
      <x:c r="T780" s="17" t="str">
        <x:v>false</x:v>
      </x:c>
      <x:c r="U780" s="17" t="str">
        <x:v>true</x:v>
      </x:c>
      <x:c r="V780" s="17" t="str">
        <x:v>false</x:v>
      </x:c>
    </x:row>
    <x:row r="781" ht="80" customHeight="1">
      <x:c r="A781" s="25" t="str">
        <x:v>Math</x:v>
      </x:c>
      <x:c r="B781" s="25" t="n">
        <x:v>96</x:v>
      </x:c>
      <x:c r="C781" s="25" t="str">
        <x:v>Round1</x:v>
      </x:c>
      <x:c r="D781" s="25" t="str">
        <x:v>NOT_REVEALING</x:v>
      </x:c>
      <x:c r="E781" s="25" t="str">
        <x:v>N/A</x:v>
      </x:c>
      <x:c r="F781" s="26" t="str">
        <x:v>Same saved validation suite passed on buggy and fixed</x:v>
      </x:c>
      <x:c r="G781" s="25" t="str">
        <x:v>true</x:v>
      </x:c>
      <x:c r="H781" s="25" t="str">
        <x:v>NOT_REVEALING</x:v>
      </x:c>
      <x:c r="I781" s="25" t="str">
        <x:v>PASS</x:v>
      </x:c>
      <x:c r="J781" s="25" t="str">
        <x:v>PASS</x:v>
      </x:c>
      <x:c r="K781" s="25" t="n">
        <x:v>8</x:v>
      </x:c>
      <x:c r="L781" s="27" t="b">
        <x:v>0</x:v>
      </x:c>
      <x:c r="M781" s="25" t="str">
        <x:v>Feedback-Directed Random Test Generation/rounds/Round1/state/Math.json</x:v>
      </x:c>
      <x:c r="N781" s="25" t="str">
        <x:v>Feedback-Directed Random Test Generation/Result/Math_96/result.json</x:v>
      </x:c>
      <x:c r="O781" s="25" t="str">
        <x:v>Feedback-Directed Random Test Generation/Result/Math_96/result.json</x:v>
      </x:c>
      <x:c r="P781"/>
      <x:c r="Q781" s="21" t="str"/>
      <x:c r="R781" s="21" t="str"/>
      <x:c r="S781" s="21" t="str"/>
      <x:c r="T781" s="17" t="str">
        <x:v>false</x:v>
      </x:c>
      <x:c r="U781" s="17" t="str">
        <x:v>true</x:v>
      </x:c>
      <x:c r="V781" s="17" t="str">
        <x:v>false</x:v>
      </x:c>
    </x:row>
    <x:row r="782" ht="80" customHeight="1">
      <x:c r="A782" s="25" t="str">
        <x:v>Math</x:v>
      </x:c>
      <x:c r="B782" s="25" t="n">
        <x:v>97</x:v>
      </x:c>
      <x:c r="C782" s="25" t="str">
        <x:v>Round1</x:v>
      </x:c>
      <x:c r="D782" s="25" t="str">
        <x:v>NOT_REVEALING</x:v>
      </x:c>
      <x:c r="E782" s="25" t="str">
        <x:v>N/A</x:v>
      </x:c>
      <x:c r="F782" s="26" t="str">
        <x:v>Same saved validation suite passed on buggy and fixed</x:v>
      </x:c>
      <x:c r="G782" s="25" t="str">
        <x:v>true</x:v>
      </x:c>
      <x:c r="H782" s="25" t="str">
        <x:v>NOT_REVEALING</x:v>
      </x:c>
      <x:c r="I782" s="25" t="str">
        <x:v>PASS</x:v>
      </x:c>
      <x:c r="J782" s="25" t="str">
        <x:v>PASS</x:v>
      </x:c>
      <x:c r="K782" s="25" t="n">
        <x:v>2</x:v>
      </x:c>
      <x:c r="L782" s="27" t="b">
        <x:v>0</x:v>
      </x:c>
      <x:c r="M782" s="25" t="str">
        <x:v>Feedback-Directed Random Test Generation/rounds/Round1/state/Math.json</x:v>
      </x:c>
      <x:c r="N782" s="25" t="str">
        <x:v>Feedback-Directed Random Test Generation/Result/Math_97/result.json</x:v>
      </x:c>
      <x:c r="O782" s="25" t="str">
        <x:v>Feedback-Directed Random Test Generation/Result/Math_97/result.json</x:v>
      </x:c>
      <x:c r="P782"/>
      <x:c r="Q782" s="21" t="str"/>
      <x:c r="R782" s="21" t="str"/>
      <x:c r="S782" s="21" t="str"/>
      <x:c r="T782" s="17" t="str">
        <x:v>false</x:v>
      </x:c>
      <x:c r="U782" s="17" t="str">
        <x:v>true</x:v>
      </x:c>
      <x:c r="V782" s="17" t="str">
        <x:v>false</x:v>
      </x:c>
    </x:row>
    <x:row r="783" ht="80" customHeight="1">
      <x:c r="A783" s="25" t="str">
        <x:v>Math</x:v>
      </x:c>
      <x:c r="B783" s="25" t="n">
        <x:v>98</x:v>
      </x:c>
      <x:c r="C783" s="25" t="str">
        <x:v>Round1</x:v>
      </x:c>
      <x:c r="D783" s="25" t="str">
        <x:v>INCONCLUSIVE</x:v>
      </x:c>
      <x:c r="E783" s="25" t="str">
        <x:v>N/A</x:v>
      </x:c>
      <x:c r="F783" s="26" t="str">
        <x:v>Fixed also failed; assertion failure cannot be attributed to this bug; Assertions failed with measured coverage; paired execution and stage checks determine status</x:v>
      </x:c>
      <x:c r="G783" s="25" t="str">
        <x:v>true</x:v>
      </x:c>
      <x:c r="H783" s="25" t="str">
        <x:v>INCONCLUSIVE</x:v>
      </x:c>
      <x:c r="I783" s="25" t="str">
        <x:v>FAIL</x:v>
      </x:c>
      <x:c r="J783" s="25" t="str">
        <x:v>FAIL</x:v>
      </x:c>
      <x:c r="K783" s="25" t="n">
        <x:v>12</x:v>
      </x:c>
      <x:c r="L783" s="27" t="b">
        <x:v>0</x:v>
      </x:c>
      <x:c r="M783" s="25" t="str">
        <x:v>Feedback-Directed Random Test Generation/rounds/Round1/state/Math.json</x:v>
      </x:c>
      <x:c r="N783" s="25" t="str">
        <x:v>Feedback-Directed Random Test Generation/Result/Math_98/result.json</x:v>
      </x:c>
      <x:c r="O783" s="25" t="str">
        <x:v>Feedback-Directed Random Test Generation/Result/Math_98/result.json</x:v>
      </x:c>
      <x:c r="P783"/>
      <x:c r="Q783" s="21" t="str"/>
      <x:c r="R783" s="21" t="str"/>
      <x:c r="S783" s="21" t="str"/>
      <x:c r="T783" s="17" t="str">
        <x:v>false</x:v>
      </x:c>
      <x:c r="U783" s="17" t="str">
        <x:v>true</x:v>
      </x:c>
      <x:c r="V783" s="17" t="str">
        <x:v>false</x:v>
      </x:c>
    </x:row>
    <x:row r="784" ht="80" customHeight="1">
      <x:c r="A784" s="25" t="str">
        <x:v>Math</x:v>
      </x:c>
      <x:c r="B784" s="25" t="n">
        <x:v>99</x:v>
      </x:c>
      <x:c r="C784" s="25" t="str">
        <x:v>Round1</x:v>
      </x:c>
      <x:c r="D784" s="25" t="str">
        <x:v>NOT_REVEALING</x:v>
      </x:c>
      <x:c r="E784" s="25" t="str">
        <x:v>N/A</x:v>
      </x:c>
      <x:c r="F784" s="26" t="str">
        <x:v>Same saved validation suite passed on buggy and fixed</x:v>
      </x:c>
      <x:c r="G784" s="25" t="str">
        <x:v>true</x:v>
      </x:c>
      <x:c r="H784" s="25" t="str">
        <x:v>NOT_REVEALING</x:v>
      </x:c>
      <x:c r="I784" s="25" t="str">
        <x:v>PASS</x:v>
      </x:c>
      <x:c r="J784" s="25" t="str">
        <x:v>PASS</x:v>
      </x:c>
      <x:c r="K784" s="25" t="n">
        <x:v>2</x:v>
      </x:c>
      <x:c r="L784" s="27" t="b">
        <x:v>0</x:v>
      </x:c>
      <x:c r="M784" s="25" t="str">
        <x:v>Feedback-Directed Random Test Generation/rounds/Round1/state/Math.json</x:v>
      </x:c>
      <x:c r="N784" s="25" t="str">
        <x:v>Feedback-Directed Random Test Generation/Result/Math_99/result.json</x:v>
      </x:c>
      <x:c r="O784" s="25" t="str">
        <x:v>Feedback-Directed Random Test Generation/Result/Math_99/result.json</x:v>
      </x:c>
      <x:c r="P784"/>
      <x:c r="Q784" s="21" t="str"/>
      <x:c r="R784" s="21" t="str"/>
      <x:c r="S784" s="21" t="str"/>
      <x:c r="T784" s="17" t="str">
        <x:v>false</x:v>
      </x:c>
      <x:c r="U784" s="17" t="str">
        <x:v>true</x:v>
      </x:c>
      <x:c r="V784" s="17" t="str">
        <x:v>false</x:v>
      </x:c>
    </x:row>
    <x:row r="785" ht="80" customHeight="1">
      <x:c r="A785" s="25" t="str">
        <x:v>Math</x:v>
      </x:c>
      <x:c r="B785" s="25" t="n">
        <x:v>100</x:v>
      </x:c>
      <x:c r="C785" s="25" t="str">
        <x:v>Round1</x:v>
      </x:c>
      <x:c r="D785" s="25" t="str">
        <x:v>NOT_REVEALING</x:v>
      </x:c>
      <x:c r="E785" s="25" t="str">
        <x:v>N/A</x:v>
      </x:c>
      <x:c r="F785" s="26" t="str">
        <x:v>Same saved validation suite passed on buggy and fixed</x:v>
      </x:c>
      <x:c r="G785" s="25" t="str">
        <x:v>true</x:v>
      </x:c>
      <x:c r="H785" s="25" t="str">
        <x:v>NOT_REVEALING</x:v>
      </x:c>
      <x:c r="I785" s="25" t="str">
        <x:v>PASS</x:v>
      </x:c>
      <x:c r="J785" s="25" t="str">
        <x:v>PASS</x:v>
      </x:c>
      <x:c r="K785" s="25" t="n">
        <x:v>2</x:v>
      </x:c>
      <x:c r="L785" s="27" t="b">
        <x:v>0</x:v>
      </x:c>
      <x:c r="M785" s="25" t="str">
        <x:v>Feedback-Directed Random Test Generation/rounds/Round1/state/Math.json</x:v>
      </x:c>
      <x:c r="N785" s="25" t="str">
        <x:v>Feedback-Directed Random Test Generation/Result/Math_100/result.json</x:v>
      </x:c>
      <x:c r="O785" s="25" t="str">
        <x:v>Feedback-Directed Random Test Generation/Result/Math_100/result.json</x:v>
      </x:c>
      <x:c r="P785"/>
      <x:c r="Q785" s="21" t="str"/>
      <x:c r="R785" s="21" t="str"/>
      <x:c r="S785" s="21" t="str"/>
      <x:c r="T785" s="17" t="str">
        <x:v>false</x:v>
      </x:c>
      <x:c r="U785" s="17" t="str">
        <x:v>true</x:v>
      </x:c>
      <x:c r="V785" s="17" t="str">
        <x:v>false</x:v>
      </x:c>
    </x:row>
    <x:row r="786" ht="80" customHeight="1">
      <x:c r="A786" s="25" t="str">
        <x:v>Math</x:v>
      </x:c>
      <x:c r="B786" s="25" t="n">
        <x:v>101</x:v>
      </x:c>
      <x:c r="C786" s="25" t="str">
        <x:v>Round1</x:v>
      </x:c>
      <x:c r="D786" s="25" t="str">
        <x:v>NOT_REVEALING</x:v>
      </x:c>
      <x:c r="E786" s="25" t="str">
        <x:v>N/A</x:v>
      </x:c>
      <x:c r="F786" s="26" t="str">
        <x:v>Same saved validation suite passed on buggy and fixed</x:v>
      </x:c>
      <x:c r="G786" s="25" t="str">
        <x:v>true</x:v>
      </x:c>
      <x:c r="H786" s="25" t="str">
        <x:v>NOT_REVEALING</x:v>
      </x:c>
      <x:c r="I786" s="25" t="str">
        <x:v>PASS</x:v>
      </x:c>
      <x:c r="J786" s="25" t="str">
        <x:v>PASS</x:v>
      </x:c>
      <x:c r="K786" s="25" t="n">
        <x:v>10</x:v>
      </x:c>
      <x:c r="L786" s="27" t="b">
        <x:v>0</x:v>
      </x:c>
      <x:c r="M786" s="25" t="str">
        <x:v>Feedback-Directed Random Test Generation/rounds/Round1/state/Math.json</x:v>
      </x:c>
      <x:c r="N786" s="25" t="str">
        <x:v>Feedback-Directed Random Test Generation/Result/Math_101/result.json</x:v>
      </x:c>
      <x:c r="O786" s="25" t="str">
        <x:v>Feedback-Directed Random Test Generation/Result/Math_101/result.json</x:v>
      </x:c>
      <x:c r="P786"/>
      <x:c r="Q786" s="21" t="str"/>
      <x:c r="R786" s="21" t="str"/>
      <x:c r="S786" s="21" t="str"/>
      <x:c r="T786" s="17" t="str">
        <x:v>false</x:v>
      </x:c>
      <x:c r="U786" s="17" t="str">
        <x:v>true</x:v>
      </x:c>
      <x:c r="V786" s="17" t="str">
        <x:v>false</x:v>
      </x:c>
    </x:row>
    <x:row r="787" ht="80" customHeight="1">
      <x:c r="A787" s="25" t="str">
        <x:v>Math</x:v>
      </x:c>
      <x:c r="B787" s="25" t="n">
        <x:v>102</x:v>
      </x:c>
      <x:c r="C787" s="25" t="str">
        <x:v>Round1</x:v>
      </x:c>
      <x:c r="D787" s="25" t="str">
        <x:v>INCONCLUSIVE</x:v>
      </x:c>
      <x:c r="E787" s="25" t="str">
        <x:v>N/A</x:v>
      </x:c>
      <x:c r="F787" s="26" t="str">
        <x:v>Fixed also failed; assertion failure cannot be attributed to this bug</x:v>
      </x:c>
      <x:c r="G787" s="25" t="str">
        <x:v>true</x:v>
      </x:c>
      <x:c r="H787" s="25" t="str">
        <x:v>INCONCLUSIVE</x:v>
      </x:c>
      <x:c r="I787" s="25" t="str">
        <x:v>PASS</x:v>
      </x:c>
      <x:c r="J787" s="25" t="str">
        <x:v>FAIL</x:v>
      </x:c>
      <x:c r="K787" s="25" t="n">
        <x:v>11</x:v>
      </x:c>
      <x:c r="L787" s="27" t="b">
        <x:v>0</x:v>
      </x:c>
      <x:c r="M787" s="25" t="str">
        <x:v>Feedback-Directed Random Test Generation/rounds/Round1/state/Math.json</x:v>
      </x:c>
      <x:c r="N787" s="25" t="str">
        <x:v>Feedback-Directed Random Test Generation/Result/Math_102/result.json</x:v>
      </x:c>
      <x:c r="O787" s="25" t="str">
        <x:v>Feedback-Directed Random Test Generation/Result/Math_102/result.json</x:v>
      </x:c>
      <x:c r="P787"/>
      <x:c r="Q787" s="21" t="str"/>
      <x:c r="R787" s="21" t="str"/>
      <x:c r="S787" s="21" t="str"/>
      <x:c r="T787" s="17" t="str">
        <x:v>false</x:v>
      </x:c>
      <x:c r="U787" s="17" t="str">
        <x:v>true</x:v>
      </x:c>
      <x:c r="V787" s="17" t="str">
        <x:v>false</x:v>
      </x:c>
    </x:row>
    <x:row r="788" ht="80" customHeight="1">
      <x:c r="A788" s="25" t="str">
        <x:v>Math</x:v>
      </x:c>
      <x:c r="B788" s="25" t="n">
        <x:v>103</x:v>
      </x:c>
      <x:c r="C788" s="25" t="str">
        <x:v>Round1</x:v>
      </x:c>
      <x:c r="D788" s="25" t="str">
        <x:v>INCONCLUSIVE</x:v>
      </x:c>
      <x:c r="E788" s="25" t="str">
        <x:v>N/A</x:v>
      </x:c>
      <x:c r="F788" s="26" t="str">
        <x:v>Fixed also failed; assertion failure cannot be attributed to this bug</x:v>
      </x:c>
      <x:c r="G788" s="25" t="str">
        <x:v>true</x:v>
      </x:c>
      <x:c r="H788" s="25" t="str">
        <x:v>INCONCLUSIVE</x:v>
      </x:c>
      <x:c r="I788" s="25" t="str">
        <x:v>PASS</x:v>
      </x:c>
      <x:c r="J788" s="25" t="str">
        <x:v>FAIL</x:v>
      </x:c>
      <x:c r="K788" s="25" t="n">
        <x:v>8</x:v>
      </x:c>
      <x:c r="L788" s="27" t="b">
        <x:v>0</x:v>
      </x:c>
      <x:c r="M788" s="25" t="str">
        <x:v>Feedback-Directed Random Test Generation/rounds/Round1/state/Math.json</x:v>
      </x:c>
      <x:c r="N788" s="25" t="str">
        <x:v>Feedback-Directed Random Test Generation/Result/Math_103/result.json</x:v>
      </x:c>
      <x:c r="O788" s="25" t="str">
        <x:v>Feedback-Directed Random Test Generation/Result/Math_103/result.json</x:v>
      </x:c>
      <x:c r="P788"/>
      <x:c r="Q788" s="21" t="str"/>
      <x:c r="R788" s="21" t="str"/>
      <x:c r="S788" s="21" t="str"/>
      <x:c r="T788" s="17" t="str">
        <x:v>false</x:v>
      </x:c>
      <x:c r="U788" s="17" t="str">
        <x:v>true</x:v>
      </x:c>
      <x:c r="V788" s="17" t="str">
        <x:v>false</x:v>
      </x:c>
    </x:row>
    <x:row r="789" ht="80" customHeight="1">
      <x:c r="A789" s="25" t="str">
        <x:v>Math</x:v>
      </x:c>
      <x:c r="B789" s="25" t="n">
        <x:v>104</x:v>
      </x:c>
      <x:c r="C789" s="25" t="str">
        <x:v>Round1</x:v>
      </x:c>
      <x:c r="D789" s="25" t="str">
        <x:v>INCONCLUSIVE</x:v>
      </x:c>
      <x:c r="E789" s="25" t="str">
        <x:v>N/A</x:v>
      </x:c>
      <x:c r="F789" s="26" t="str">
        <x:v>Fixed also failed; assertion failure cannot be attributed to this bug</x:v>
      </x:c>
      <x:c r="G789" s="25" t="str">
        <x:v>true</x:v>
      </x:c>
      <x:c r="H789" s="25" t="str">
        <x:v>INCONCLUSIVE</x:v>
      </x:c>
      <x:c r="I789" s="25" t="str">
        <x:v>PASS</x:v>
      </x:c>
      <x:c r="J789" s="25" t="str">
        <x:v>FAIL</x:v>
      </x:c>
      <x:c r="K789" s="25" t="n">
        <x:v>15</x:v>
      </x:c>
      <x:c r="L789" s="27" t="b">
        <x:v>0</x:v>
      </x:c>
      <x:c r="M789" s="25" t="str">
        <x:v>Feedback-Directed Random Test Generation/rounds/Round1/state/Math.json</x:v>
      </x:c>
      <x:c r="N789" s="25" t="str">
        <x:v>Feedback-Directed Random Test Generation/Result/Math_104/result.json</x:v>
      </x:c>
      <x:c r="O789" s="25" t="str">
        <x:v>Feedback-Directed Random Test Generation/Result/Math_104/result.json</x:v>
      </x:c>
      <x:c r="P789"/>
      <x:c r="Q789" s="21" t="str"/>
      <x:c r="R789" s="21" t="str"/>
      <x:c r="S789" s="21" t="str"/>
      <x:c r="T789" s="17" t="str">
        <x:v>false</x:v>
      </x:c>
      <x:c r="U789" s="17" t="str">
        <x:v>true</x:v>
      </x:c>
      <x:c r="V789" s="17" t="str">
        <x:v>false</x:v>
      </x:c>
    </x:row>
    <x:row r="790" ht="80" customHeight="1">
      <x:c r="A790" s="25" t="str">
        <x:v>Math</x:v>
      </x:c>
      <x:c r="B790" s="25" t="n">
        <x:v>105</x:v>
      </x:c>
      <x:c r="C790" s="25" t="str">
        <x:v>Round1</x:v>
      </x:c>
      <x:c r="D790" s="25" t="str">
        <x:v>NOT_REVEALING</x:v>
      </x:c>
      <x:c r="E790" s="25" t="str">
        <x:v>N/A</x:v>
      </x:c>
      <x:c r="F790" s="26" t="str">
        <x:v>Same saved validation suite passed on buggy and fixed</x:v>
      </x:c>
      <x:c r="G790" s="25" t="str">
        <x:v>true</x:v>
      </x:c>
      <x:c r="H790" s="25" t="str">
        <x:v>NOT_REVEALING</x:v>
      </x:c>
      <x:c r="I790" s="25" t="str">
        <x:v>PASS</x:v>
      </x:c>
      <x:c r="J790" s="25" t="str">
        <x:v>PASS</x:v>
      </x:c>
      <x:c r="K790" s="25" t="n">
        <x:v>2</x:v>
      </x:c>
      <x:c r="L790" s="27" t="b">
        <x:v>0</x:v>
      </x:c>
      <x:c r="M790" s="25" t="str">
        <x:v>Feedback-Directed Random Test Generation/rounds/Round1/state/Math.json</x:v>
      </x:c>
      <x:c r="N790" s="25" t="str">
        <x:v>Feedback-Directed Random Test Generation/Result/Math_105/result.json</x:v>
      </x:c>
      <x:c r="O790" s="25" t="str">
        <x:v>Feedback-Directed Random Test Generation/Result/Math_105/result.json</x:v>
      </x:c>
      <x:c r="P790"/>
      <x:c r="Q790" s="21" t="str"/>
      <x:c r="R790" s="21" t="str"/>
      <x:c r="S790" s="21" t="str"/>
      <x:c r="T790" s="17" t="str">
        <x:v>false</x:v>
      </x:c>
      <x:c r="U790" s="17" t="str">
        <x:v>true</x:v>
      </x:c>
      <x:c r="V790" s="17" t="str">
        <x:v>false</x:v>
      </x:c>
    </x:row>
    <x:row r="791" ht="80" customHeight="1">
      <x:c r="A791" s="25" t="str">
        <x:v>Math</x:v>
      </x:c>
      <x:c r="B791" s="25" t="n">
        <x:v>106</x:v>
      </x:c>
      <x:c r="C791" s="25" t="str">
        <x:v>Round1</x:v>
      </x:c>
      <x:c r="D791" s="25" t="str">
        <x:v>NOT_REVEALING</x:v>
      </x:c>
      <x:c r="E791" s="25" t="str">
        <x:v>N/A</x:v>
      </x:c>
      <x:c r="F791" s="26" t="str">
        <x:v>Same saved validation suite passed on buggy and fixed</x:v>
      </x:c>
      <x:c r="G791" s="25" t="str">
        <x:v>true</x:v>
      </x:c>
      <x:c r="H791" s="25" t="str">
        <x:v>NOT_REVEALING</x:v>
      </x:c>
      <x:c r="I791" s="25" t="str">
        <x:v>PASS</x:v>
      </x:c>
      <x:c r="J791" s="25" t="str">
        <x:v>PASS</x:v>
      </x:c>
      <x:c r="K791" s="25" t="n">
        <x:v>8</x:v>
      </x:c>
      <x:c r="L791" s="27" t="b">
        <x:v>0</x:v>
      </x:c>
      <x:c r="M791" s="25" t="str">
        <x:v>Feedback-Directed Random Test Generation/rounds/Round1/state/Math.json</x:v>
      </x:c>
      <x:c r="N791" s="25" t="str">
        <x:v>Feedback-Directed Random Test Generation/Result/Math_106/result.json</x:v>
      </x:c>
      <x:c r="O791" s="25" t="str">
        <x:v>Feedback-Directed Random Test Generation/Result/Math_106/result.json</x:v>
      </x:c>
      <x:c r="P791"/>
      <x:c r="Q791" s="21" t="str"/>
      <x:c r="R791" s="21" t="str"/>
      <x:c r="S791" s="21" t="str"/>
      <x:c r="T791" s="17" t="str">
        <x:v>false</x:v>
      </x:c>
      <x:c r="U791" s="17" t="str">
        <x:v>true</x:v>
      </x:c>
      <x:c r="V791" s="17" t="str">
        <x:v>false</x:v>
      </x:c>
    </x:row>
    <x:row r="792" ht="80" customHeight="1">
      <x:c r="A792" s="25" t="str">
        <x:v>Mockito</x:v>
      </x:c>
      <x:c r="B792" s="25" t="n">
        <x:v>1</x:v>
      </x:c>
      <x:c r="C792" s="25" t="str">
        <x:v>Round1</x:v>
      </x:c>
      <x:c r="D792" s="25" t="str">
        <x:v>NOT_AVAILABLE</x:v>
      </x:c>
      <x:c r="E792" s="25" t="str">
        <x:v>N/A</x:v>
      </x:c>
      <x:c r="F792" s="26" t="str">
        <x:v>Tests exist but current coverage did not complete</x:v>
      </x:c>
      <x:c r="G792" s="25" t="str">
        <x:v>true</x:v>
      </x:c>
      <x:c r="H792" s="25" t="str">
        <x:v>NOT_AVAILABLE</x:v>
      </x:c>
      <x:c r="I792" s="25" t="str">
        <x:v>NOT_RUN</x:v>
      </x:c>
      <x:c r="J792" s="25" t="str">
        <x:v>NOT_RUN</x:v>
      </x:c>
      <x:c r="K792" s="25" t="n">
        <x:v>2</x:v>
      </x:c>
      <x:c r="L792" s="27" t="b">
        <x:v>0</x:v>
      </x:c>
      <x:c r="M792" s="25" t="str">
        <x:v>Feedback-Directed Random Test Generation/rounds/Round1/state/Mockito.json</x:v>
      </x:c>
      <x:c r="N792" s="25" t="str">
        <x:v>Feedback-Directed Random Test Generation/Result/Mockito_1/result.json</x:v>
      </x:c>
      <x:c r="O792" s="25" t="str">
        <x:v>Feedback-Directed Random Test Generation/Result/Mockito_1/result.json</x:v>
      </x:c>
      <x:c r="P792" t="str">
        <x:v>BOTH_NOT_RUN</x:v>
      </x:c>
      <x:c r="Q792" s="21" t="str"/>
      <x:c r="R792" s="21" t="str"/>
      <x:c r="S792" s="21" t="str"/>
      <x:c r="T792" s="17" t="str">
        <x:v>false</x:v>
      </x:c>
      <x:c r="U792" s="17" t="str">
        <x:v>true</x:v>
      </x:c>
      <x:c r="V792" s="17" t="str">
        <x:v>false</x:v>
      </x:c>
    </x:row>
    <x:row r="793" ht="80" customHeight="1">
      <x:c r="A793" s="25" t="str">
        <x:v>Mockito</x:v>
      </x:c>
      <x:c r="B793" s="25" t="n">
        <x:v>2</x:v>
      </x:c>
      <x:c r="C793" s="25" t="str">
        <x:v>Round1</x:v>
      </x:c>
      <x:c r="D793" s="25" t="str">
        <x:v>NOT_AVAILABLE</x:v>
      </x:c>
      <x:c r="E793" s="25" t="str">
        <x:v>N/A</x:v>
      </x:c>
      <x:c r="F793" s="26" t="str">
        <x:v>Tests exist but current coverage did not complete</x:v>
      </x:c>
      <x:c r="G793" s="25" t="str">
        <x:v>true</x:v>
      </x:c>
      <x:c r="H793" s="25" t="str">
        <x:v>NOT_AVAILABLE</x:v>
      </x:c>
      <x:c r="I793" s="25" t="str">
        <x:v>NOT_RUN</x:v>
      </x:c>
      <x:c r="J793" s="25" t="str">
        <x:v>NOT_RUN</x:v>
      </x:c>
      <x:c r="K793" s="25" t="n">
        <x:v>2</x:v>
      </x:c>
      <x:c r="L793" s="27" t="b">
        <x:v>0</x:v>
      </x:c>
      <x:c r="M793" s="25" t="str">
        <x:v>Feedback-Directed Random Test Generation/rounds/Round1/state/Mockito.json</x:v>
      </x:c>
      <x:c r="N793" s="25" t="str">
        <x:v>Feedback-Directed Random Test Generation/Result/Mockito_2/result.json</x:v>
      </x:c>
      <x:c r="O793" s="25" t="str">
        <x:v>Feedback-Directed Random Test Generation/Result/Mockito_2/result.json</x:v>
      </x:c>
      <x:c r="P793" t="str">
        <x:v>BOTH_NOT_RUN</x:v>
      </x:c>
      <x:c r="Q793" s="21" t="str"/>
      <x:c r="R793" s="21" t="str"/>
      <x:c r="S793" s="21" t="str"/>
      <x:c r="T793" s="17" t="str">
        <x:v>false</x:v>
      </x:c>
      <x:c r="U793" s="17" t="str">
        <x:v>true</x:v>
      </x:c>
      <x:c r="V793" s="17" t="str">
        <x:v>false</x:v>
      </x:c>
    </x:row>
    <x:row r="794" ht="80" customHeight="1">
      <x:c r="A794" s="25" t="str">
        <x:v>Mockito</x:v>
      </x:c>
      <x:c r="B794" s="25" t="n">
        <x:v>3</x:v>
      </x:c>
      <x:c r="C794" s="25" t="str">
        <x:v>Round1</x:v>
      </x:c>
      <x:c r="D794" s="25" t="str">
        <x:v>NOT_AVAILABLE</x:v>
      </x:c>
      <x:c r="E794" s="25" t="str">
        <x:v>N/A</x:v>
      </x:c>
      <x:c r="F794" s="26" t="str">
        <x:v>Tests exist but current coverage did not complete</x:v>
      </x:c>
      <x:c r="G794" s="25" t="str">
        <x:v>true</x:v>
      </x:c>
      <x:c r="H794" s="25" t="str">
        <x:v>NOT_AVAILABLE</x:v>
      </x:c>
      <x:c r="I794" s="25" t="str">
        <x:v>NOT_RUN</x:v>
      </x:c>
      <x:c r="J794" s="25" t="str">
        <x:v>NOT_RUN</x:v>
      </x:c>
      <x:c r="K794" s="25" t="n">
        <x:v>2</x:v>
      </x:c>
      <x:c r="L794" s="27" t="b">
        <x:v>0</x:v>
      </x:c>
      <x:c r="M794" s="25" t="str">
        <x:v>Feedback-Directed Random Test Generation/rounds/Round1/state/Mockito.json</x:v>
      </x:c>
      <x:c r="N794" s="25" t="str">
        <x:v>Feedback-Directed Random Test Generation/Result/Mockito_3/result.json</x:v>
      </x:c>
      <x:c r="O794" s="25" t="str">
        <x:v>Feedback-Directed Random Test Generation/Result/Mockito_3/result.json</x:v>
      </x:c>
      <x:c r="P794" t="str">
        <x:v>BOTH_NOT_RUN</x:v>
      </x:c>
      <x:c r="Q794" s="21" t="str"/>
      <x:c r="R794" s="21" t="str"/>
      <x:c r="S794" s="21" t="str"/>
      <x:c r="T794" s="17" t="str">
        <x:v>false</x:v>
      </x:c>
      <x:c r="U794" s="17" t="str">
        <x:v>true</x:v>
      </x:c>
      <x:c r="V794" s="17" t="str">
        <x:v>false</x:v>
      </x:c>
    </x:row>
    <x:row r="795" ht="80" customHeight="1">
      <x:c r="A795" s="25" t="str">
        <x:v>Mockito</x:v>
      </x:c>
      <x:c r="B795" s="25" t="n">
        <x:v>4</x:v>
      </x:c>
      <x:c r="C795" s="25" t="str">
        <x:v>Round1</x:v>
      </x:c>
      <x:c r="D795" s="25" t="str">
        <x:v>NOT_AVAILABLE</x:v>
      </x:c>
      <x:c r="E795" s="25" t="str">
        <x:v>N/A</x:v>
      </x:c>
      <x:c r="F795" s="26" t="str">
        <x:v>Tests exist but current coverage did not complete</x:v>
      </x:c>
      <x:c r="G795" s="25" t="str">
        <x:v>true</x:v>
      </x:c>
      <x:c r="H795" s="25" t="str">
        <x:v>NOT_AVAILABLE</x:v>
      </x:c>
      <x:c r="I795" s="25" t="str">
        <x:v>NOT_RUN</x:v>
      </x:c>
      <x:c r="J795" s="25" t="str">
        <x:v>NOT_RUN</x:v>
      </x:c>
      <x:c r="K795" s="25" t="n">
        <x:v>4</x:v>
      </x:c>
      <x:c r="L795" s="27" t="b">
        <x:v>0</x:v>
      </x:c>
      <x:c r="M795" s="25" t="str">
        <x:v>Feedback-Directed Random Test Generation/rounds/Round1/state/Mockito.json</x:v>
      </x:c>
      <x:c r="N795" s="25" t="str">
        <x:v>Feedback-Directed Random Test Generation/Result/Mockito_4/result.json</x:v>
      </x:c>
      <x:c r="O795" s="25" t="str">
        <x:v>Feedback-Directed Random Test Generation/Result/Mockito_4/result.json</x:v>
      </x:c>
      <x:c r="P795" t="str">
        <x:v>BOTH_NOT_RUN</x:v>
      </x:c>
      <x:c r="Q795" s="21" t="str"/>
      <x:c r="R795" s="21" t="str"/>
      <x:c r="S795" s="21" t="str"/>
      <x:c r="T795" s="17" t="str">
        <x:v>false</x:v>
      </x:c>
      <x:c r="U795" s="17" t="str">
        <x:v>true</x:v>
      </x:c>
      <x:c r="V795" s="17" t="str">
        <x:v>false</x:v>
      </x:c>
    </x:row>
    <x:row r="796" ht="80" customHeight="1">
      <x:c r="A796" s="25" t="str">
        <x:v>Mockito</x:v>
      </x:c>
      <x:c r="B796" s="25" t="n">
        <x:v>5</x:v>
      </x:c>
      <x:c r="C796" s="25" t="str">
        <x:v>Round1</x:v>
      </x:c>
      <x:c r="D796" s="25" t="str">
        <x:v>NOT_AVAILABLE</x:v>
      </x:c>
      <x:c r="E796" s="25" t="str">
        <x:v>N/A</x:v>
      </x:c>
      <x:c r="F796" s="26" t="str">
        <x:v>Tests exist but current coverage did not complete</x:v>
      </x:c>
      <x:c r="G796" s="25" t="str">
        <x:v>true</x:v>
      </x:c>
      <x:c r="H796" s="25" t="str">
        <x:v>NOT_AVAILABLE</x:v>
      </x:c>
      <x:c r="I796" s="25" t="str">
        <x:v>NOT_RUN</x:v>
      </x:c>
      <x:c r="J796" s="25" t="str">
        <x:v>NOT_RUN</x:v>
      </x:c>
      <x:c r="K796" s="25" t="n">
        <x:v>2</x:v>
      </x:c>
      <x:c r="L796" s="27" t="b">
        <x:v>0</x:v>
      </x:c>
      <x:c r="M796" s="25" t="str">
        <x:v>Feedback-Directed Random Test Generation/rounds/Round1/state/Mockito.json</x:v>
      </x:c>
      <x:c r="N796" s="25" t="str">
        <x:v>Feedback-Directed Random Test Generation/Result/Mockito_5/result.json</x:v>
      </x:c>
      <x:c r="O796" s="25" t="str">
        <x:v>Feedback-Directed Random Test Generation/Result/Mockito_5/result.json</x:v>
      </x:c>
      <x:c r="P796" t="str">
        <x:v>BOTH_NOT_RUN</x:v>
      </x:c>
      <x:c r="Q796" s="21" t="str"/>
      <x:c r="R796" s="21" t="str"/>
      <x:c r="S796" s="21" t="str"/>
      <x:c r="T796" s="17" t="str">
        <x:v>false</x:v>
      </x:c>
      <x:c r="U796" s="17" t="str">
        <x:v>true</x:v>
      </x:c>
      <x:c r="V796" s="17" t="str">
        <x:v>false</x:v>
      </x:c>
    </x:row>
    <x:row r="797" ht="80" customHeight="1">
      <x:c r="A797" s="25" t="str">
        <x:v>Mockito</x:v>
      </x:c>
      <x:c r="B797" s="25" t="n">
        <x:v>6</x:v>
      </x:c>
      <x:c r="C797" s="25" t="str">
        <x:v>Round1</x:v>
      </x:c>
      <x:c r="D797" s="25" t="str">
        <x:v>NOT_AVAILABLE</x:v>
      </x:c>
      <x:c r="E797" s="25" t="str">
        <x:v>N/A</x:v>
      </x:c>
      <x:c r="F797" s="26" t="str">
        <x:v>Tests exist but current coverage did not complete</x:v>
      </x:c>
      <x:c r="G797" s="25" t="str">
        <x:v>true</x:v>
      </x:c>
      <x:c r="H797" s="25" t="str">
        <x:v>NOT_AVAILABLE</x:v>
      </x:c>
      <x:c r="I797" s="25" t="str">
        <x:v>NOT_RUN</x:v>
      </x:c>
      <x:c r="J797" s="25" t="str">
        <x:v>NOT_RUN</x:v>
      </x:c>
      <x:c r="K797" s="25" t="n">
        <x:v>2</x:v>
      </x:c>
      <x:c r="L797" s="27" t="b">
        <x:v>0</x:v>
      </x:c>
      <x:c r="M797" s="25" t="str">
        <x:v>Feedback-Directed Random Test Generation/rounds/Round1/state/Mockito.json</x:v>
      </x:c>
      <x:c r="N797" s="25" t="str">
        <x:v>Feedback-Directed Random Test Generation/Result/Mockito_6/result.json</x:v>
      </x:c>
      <x:c r="O797" s="25" t="str">
        <x:v>Feedback-Directed Random Test Generation/Result/Mockito_6/result.json</x:v>
      </x:c>
      <x:c r="P797" t="str">
        <x:v>BOTH_NOT_RUN</x:v>
      </x:c>
      <x:c r="Q797" s="21" t="str"/>
      <x:c r="R797" s="21" t="str"/>
      <x:c r="S797" s="21" t="str"/>
      <x:c r="T797" s="17" t="str">
        <x:v>false</x:v>
      </x:c>
      <x:c r="U797" s="17" t="str">
        <x:v>true</x:v>
      </x:c>
      <x:c r="V797" s="17" t="str">
        <x:v>false</x:v>
      </x:c>
    </x:row>
    <x:row r="798" ht="80" customHeight="1">
      <x:c r="A798" s="25" t="str">
        <x:v>Mockito</x:v>
      </x:c>
      <x:c r="B798" s="25" t="n">
        <x:v>7</x:v>
      </x:c>
      <x:c r="C798" s="25" t="str">
        <x:v>Round1</x:v>
      </x:c>
      <x:c r="D798" s="25" t="str">
        <x:v>NOT_AVAILABLE</x:v>
      </x:c>
      <x:c r="E798" s="25" t="str">
        <x:v>N/A</x:v>
      </x:c>
      <x:c r="F798" s="26" t="str">
        <x:v>Tests exist but current coverage did not complete</x:v>
      </x:c>
      <x:c r="G798" s="25" t="str">
        <x:v>true</x:v>
      </x:c>
      <x:c r="H798" s="25" t="str">
        <x:v>NOT_AVAILABLE</x:v>
      </x:c>
      <x:c r="I798" s="25" t="str">
        <x:v>NOT_RUN</x:v>
      </x:c>
      <x:c r="J798" s="25" t="str">
        <x:v>NOT_RUN</x:v>
      </x:c>
      <x:c r="K798" s="25" t="n">
        <x:v>2</x:v>
      </x:c>
      <x:c r="L798" s="27" t="b">
        <x:v>0</x:v>
      </x:c>
      <x:c r="M798" s="25" t="str">
        <x:v>Feedback-Directed Random Test Generation/rounds/Round1/state/Mockito.json</x:v>
      </x:c>
      <x:c r="N798" s="25" t="str">
        <x:v>Feedback-Directed Random Test Generation/Result/Mockito_7/result.json</x:v>
      </x:c>
      <x:c r="O798" s="25" t="str">
        <x:v>Feedback-Directed Random Test Generation/Result/Mockito_7/result.json</x:v>
      </x:c>
      <x:c r="P798" t="str">
        <x:v>BOTH_NOT_RUN</x:v>
      </x:c>
      <x:c r="Q798" s="21" t="str"/>
      <x:c r="R798" s="21" t="str"/>
      <x:c r="S798" s="21" t="str"/>
      <x:c r="T798" s="17" t="str">
        <x:v>false</x:v>
      </x:c>
      <x:c r="U798" s="17" t="str">
        <x:v>true</x:v>
      </x:c>
      <x:c r="V798" s="17" t="str">
        <x:v>false</x:v>
      </x:c>
    </x:row>
    <x:row r="799" ht="80" customHeight="1">
      <x:c r="A799" s="25" t="str">
        <x:v>Mockito</x:v>
      </x:c>
      <x:c r="B799" s="25" t="n">
        <x:v>8</x:v>
      </x:c>
      <x:c r="C799" s="25" t="str">
        <x:v>Round1</x:v>
      </x:c>
      <x:c r="D799" s="25" t="str">
        <x:v>NOT_AVAILABLE</x:v>
      </x:c>
      <x:c r="E799" s="25" t="str">
        <x:v>N/A</x:v>
      </x:c>
      <x:c r="F799" s="26" t="str">
        <x:v>Tests exist but current coverage did not complete</x:v>
      </x:c>
      <x:c r="G799" s="25" t="str">
        <x:v>true</x:v>
      </x:c>
      <x:c r="H799" s="25" t="str">
        <x:v>NOT_AVAILABLE</x:v>
      </x:c>
      <x:c r="I799" s="25" t="str">
        <x:v>NOT_RUN</x:v>
      </x:c>
      <x:c r="J799" s="25" t="str">
        <x:v>NOT_RUN</x:v>
      </x:c>
      <x:c r="K799" s="25" t="n">
        <x:v>2</x:v>
      </x:c>
      <x:c r="L799" s="27" t="b">
        <x:v>0</x:v>
      </x:c>
      <x:c r="M799" s="25" t="str">
        <x:v>Feedback-Directed Random Test Generation/rounds/Round1/state/Mockito.json</x:v>
      </x:c>
      <x:c r="N799" s="25" t="str">
        <x:v>Feedback-Directed Random Test Generation/Result/Mockito_8/result.json</x:v>
      </x:c>
      <x:c r="O799" s="25" t="str">
        <x:v>Feedback-Directed Random Test Generation/Result/Mockito_8/result.json</x:v>
      </x:c>
      <x:c r="P799" t="str">
        <x:v>BOTH_NOT_RUN</x:v>
      </x:c>
      <x:c r="Q799" s="21" t="str"/>
      <x:c r="R799" s="21" t="str"/>
      <x:c r="S799" s="21" t="str"/>
      <x:c r="T799" s="17" t="str">
        <x:v>false</x:v>
      </x:c>
      <x:c r="U799" s="17" t="str">
        <x:v>true</x:v>
      </x:c>
      <x:c r="V799" s="17" t="str">
        <x:v>false</x:v>
      </x:c>
    </x:row>
    <x:row r="800" ht="80" customHeight="1">
      <x:c r="A800" s="25" t="str">
        <x:v>Mockito</x:v>
      </x:c>
      <x:c r="B800" s="25" t="n">
        <x:v>9</x:v>
      </x:c>
      <x:c r="C800" s="25" t="str">
        <x:v>Round1</x:v>
      </x:c>
      <x:c r="D800" s="25" t="str">
        <x:v>NOT_AVAILABLE</x:v>
      </x:c>
      <x:c r="E800" s="25" t="str">
        <x:v>N/A</x:v>
      </x:c>
      <x:c r="F800" s="26" t="str">
        <x:v>Tests exist but current coverage did not complete</x:v>
      </x:c>
      <x:c r="G800" s="25" t="str">
        <x:v>true</x:v>
      </x:c>
      <x:c r="H800" s="25" t="str">
        <x:v>NOT_AVAILABLE</x:v>
      </x:c>
      <x:c r="I800" s="25" t="str">
        <x:v>NOT_RUN</x:v>
      </x:c>
      <x:c r="J800" s="25" t="str">
        <x:v>NOT_RUN</x:v>
      </x:c>
      <x:c r="K800" s="25" t="n">
        <x:v>2</x:v>
      </x:c>
      <x:c r="L800" s="27" t="b">
        <x:v>0</x:v>
      </x:c>
      <x:c r="M800" s="25" t="str">
        <x:v>Feedback-Directed Random Test Generation/rounds/Round1/state/Mockito.json</x:v>
      </x:c>
      <x:c r="N800" s="25" t="str">
        <x:v>Feedback-Directed Random Test Generation/Result/Mockito_9/result.json</x:v>
      </x:c>
      <x:c r="O800" s="25" t="str">
        <x:v>Feedback-Directed Random Test Generation/Result/Mockito_9/result.json</x:v>
      </x:c>
      <x:c r="P800" t="str">
        <x:v>BOTH_NOT_RUN</x:v>
      </x:c>
      <x:c r="Q800" s="21" t="str"/>
      <x:c r="R800" s="21" t="str"/>
      <x:c r="S800" s="21" t="str"/>
      <x:c r="T800" s="17" t="str">
        <x:v>false</x:v>
      </x:c>
      <x:c r="U800" s="17" t="str">
        <x:v>true</x:v>
      </x:c>
      <x:c r="V800" s="17" t="str">
        <x:v>false</x:v>
      </x:c>
    </x:row>
    <x:row r="801" ht="80" customHeight="1">
      <x:c r="A801" s="25" t="str">
        <x:v>Mockito</x:v>
      </x:c>
      <x:c r="B801" s="25" t="n">
        <x:v>10</x:v>
      </x:c>
      <x:c r="C801" s="25" t="str">
        <x:v>Round1</x:v>
      </x:c>
      <x:c r="D801" s="25" t="str">
        <x:v>NOT_REVEALING</x:v>
      </x:c>
      <x:c r="E801" s="25" t="str">
        <x:v>N/A</x:v>
      </x:c>
      <x:c r="F801" s="26" t="str">
        <x:v>Same saved validation suite passed on buggy and fixed</x:v>
      </x:c>
      <x:c r="G801" s="25" t="str">
        <x:v>true</x:v>
      </x:c>
      <x:c r="H801" s="25" t="str">
        <x:v>NOT_REVEALING</x:v>
      </x:c>
      <x:c r="I801" s="25" t="str">
        <x:v>PASS</x:v>
      </x:c>
      <x:c r="J801" s="25" t="str">
        <x:v>PASS</x:v>
      </x:c>
      <x:c r="K801" s="25" t="n">
        <x:v>2</x:v>
      </x:c>
      <x:c r="L801" s="27" t="b">
        <x:v>0</x:v>
      </x:c>
      <x:c r="M801" s="25" t="str">
        <x:v>Feedback-Directed Random Test Generation/rounds/Round1/state/Mockito.json</x:v>
      </x:c>
      <x:c r="N801" s="25" t="str">
        <x:v>Feedback-Directed Random Test Generation/Result/Mockito_10/result.json</x:v>
      </x:c>
      <x:c r="O801" s="25" t="str">
        <x:v>Feedback-Directed Random Test Generation/Result/Mockito_10/result.json</x:v>
      </x:c>
      <x:c r="P801"/>
      <x:c r="Q801" s="21" t="str"/>
      <x:c r="R801" s="21" t="str"/>
      <x:c r="S801" s="21" t="str"/>
      <x:c r="T801" s="17" t="str">
        <x:v>false</x:v>
      </x:c>
      <x:c r="U801" s="17" t="str">
        <x:v>true</x:v>
      </x:c>
      <x:c r="V801" s="17" t="str">
        <x:v>false</x:v>
      </x:c>
    </x:row>
    <x:row r="802" ht="80" customHeight="1">
      <x:c r="A802" s="25" t="str">
        <x:v>Mockito</x:v>
      </x:c>
      <x:c r="B802" s="25" t="n">
        <x:v>11</x:v>
      </x:c>
      <x:c r="C802" s="25" t="str">
        <x:v>Round1</x:v>
      </x:c>
      <x:c r="D802" s="25" t="str">
        <x:v>NOT_REVEALING</x:v>
      </x:c>
      <x:c r="E802" s="25" t="str">
        <x:v>N/A</x:v>
      </x:c>
      <x:c r="F802" s="26" t="str">
        <x:v>Same saved validation suite passed on buggy and fixed</x:v>
      </x:c>
      <x:c r="G802" s="25" t="str">
        <x:v>true</x:v>
      </x:c>
      <x:c r="H802" s="25" t="str">
        <x:v>NOT_REVEALING</x:v>
      </x:c>
      <x:c r="I802" s="25" t="str">
        <x:v>PASS</x:v>
      </x:c>
      <x:c r="J802" s="25" t="str">
        <x:v>PASS</x:v>
      </x:c>
      <x:c r="K802" s="25" t="n">
        <x:v>2</x:v>
      </x:c>
      <x:c r="L802" s="27" t="b">
        <x:v>0</x:v>
      </x:c>
      <x:c r="M802" s="25" t="str">
        <x:v>Feedback-Directed Random Test Generation/rounds/Round1/state/Mockito.json</x:v>
      </x:c>
      <x:c r="N802" s="25" t="str">
        <x:v>Feedback-Directed Random Test Generation/Result/Mockito_11/result.json</x:v>
      </x:c>
      <x:c r="O802" s="25" t="str">
        <x:v>Feedback-Directed Random Test Generation/Result/Mockito_11/result.json</x:v>
      </x:c>
      <x:c r="P802"/>
      <x:c r="Q802" s="21" t="str"/>
      <x:c r="R802" s="21" t="str"/>
      <x:c r="S802" s="21" t="str"/>
      <x:c r="T802" s="17" t="str">
        <x:v>false</x:v>
      </x:c>
      <x:c r="U802" s="17" t="str">
        <x:v>true</x:v>
      </x:c>
      <x:c r="V802" s="17" t="str">
        <x:v>false</x:v>
      </x:c>
    </x:row>
    <x:row r="803" ht="80" customHeight="1">
      <x:c r="A803" s="25" t="str">
        <x:v>Mockito</x:v>
      </x:c>
      <x:c r="B803" s="25" t="n">
        <x:v>12</x:v>
      </x:c>
      <x:c r="C803" s="25" t="str">
        <x:v>Round1</x:v>
      </x:c>
      <x:c r="D803" s="25" t="str">
        <x:v>NOT_REVEALING</x:v>
      </x:c>
      <x:c r="E803" s="25" t="str">
        <x:v>N/A</x:v>
      </x:c>
      <x:c r="F803" s="26" t="str">
        <x:v>Same saved validation suite passed on buggy and fixed</x:v>
      </x:c>
      <x:c r="G803" s="25" t="str">
        <x:v>true</x:v>
      </x:c>
      <x:c r="H803" s="25" t="str">
        <x:v>NOT_REVEALING</x:v>
      </x:c>
      <x:c r="I803" s="25" t="str">
        <x:v>PASS</x:v>
      </x:c>
      <x:c r="J803" s="25" t="str">
        <x:v>PASS</x:v>
      </x:c>
      <x:c r="K803" s="25" t="n">
        <x:v>2</x:v>
      </x:c>
      <x:c r="L803" s="27" t="b">
        <x:v>0</x:v>
      </x:c>
      <x:c r="M803" s="25" t="str">
        <x:v>Feedback-Directed Random Test Generation/rounds/Round1/state/Mockito.json</x:v>
      </x:c>
      <x:c r="N803" s="25" t="str">
        <x:v>Feedback-Directed Random Test Generation/Result/Mockito_12/result.json</x:v>
      </x:c>
      <x:c r="O803" s="25" t="str">
        <x:v>Feedback-Directed Random Test Generation/Result/Mockito_12/result.json</x:v>
      </x:c>
      <x:c r="P803"/>
      <x:c r="Q803" s="21" t="str"/>
      <x:c r="R803" s="21" t="str"/>
      <x:c r="S803" s="21" t="str"/>
      <x:c r="T803" s="17" t="str">
        <x:v>false</x:v>
      </x:c>
      <x:c r="U803" s="17" t="str">
        <x:v>true</x:v>
      </x:c>
      <x:c r="V803" s="17" t="str">
        <x:v>false</x:v>
      </x:c>
    </x:row>
    <x:row r="804" ht="80" customHeight="1">
      <x:c r="A804" s="25" t="str">
        <x:v>Mockito</x:v>
      </x:c>
      <x:c r="B804" s="25" t="n">
        <x:v>13</x:v>
      </x:c>
      <x:c r="C804" s="25" t="str">
        <x:v>Round1</x:v>
      </x:c>
      <x:c r="D804" s="25" t="str">
        <x:v>NOT_REVEALING</x:v>
      </x:c>
      <x:c r="E804" s="25" t="str">
        <x:v>N/A</x:v>
      </x:c>
      <x:c r="F804" s="26" t="str">
        <x:v>Same saved validation suite passed on buggy and fixed</x:v>
      </x:c>
      <x:c r="G804" s="25" t="str">
        <x:v>true</x:v>
      </x:c>
      <x:c r="H804" s="25" t="str">
        <x:v>NOT_REVEALING</x:v>
      </x:c>
      <x:c r="I804" s="25" t="str">
        <x:v>PASS</x:v>
      </x:c>
      <x:c r="J804" s="25" t="str">
        <x:v>PASS</x:v>
      </x:c>
      <x:c r="K804" s="25" t="n">
        <x:v>2</x:v>
      </x:c>
      <x:c r="L804" s="27" t="b">
        <x:v>0</x:v>
      </x:c>
      <x:c r="M804" s="25" t="str">
        <x:v>Feedback-Directed Random Test Generation/rounds/Round1/state/Mockito.json</x:v>
      </x:c>
      <x:c r="N804" s="25" t="str">
        <x:v>Feedback-Directed Random Test Generation/Result/Mockito_13/result.json</x:v>
      </x:c>
      <x:c r="O804" s="25" t="str">
        <x:v>Feedback-Directed Random Test Generation/Result/Mockito_13/result.json</x:v>
      </x:c>
      <x:c r="P804"/>
      <x:c r="Q804" s="21" t="str"/>
      <x:c r="R804" s="21" t="str"/>
      <x:c r="S804" s="21" t="str"/>
      <x:c r="T804" s="17" t="str">
        <x:v>false</x:v>
      </x:c>
      <x:c r="U804" s="17" t="str">
        <x:v>true</x:v>
      </x:c>
      <x:c r="V804" s="17" t="str">
        <x:v>false</x:v>
      </x:c>
    </x:row>
    <x:row r="805" ht="80" customHeight="1">
      <x:c r="A805" s="25" t="str">
        <x:v>Mockito</x:v>
      </x:c>
      <x:c r="B805" s="25" t="n">
        <x:v>14</x:v>
      </x:c>
      <x:c r="C805" s="25" t="str">
        <x:v>Round1</x:v>
      </x:c>
      <x:c r="D805" s="25" t="str">
        <x:v>FAIL</x:v>
      </x:c>
      <x:c r="E805" s="25" t="str">
        <x:v>N/A</x:v>
      </x:c>
      <x:c r="F805" s="26" t="str">
        <x:v>Latest same-round generation failed; older files/results are excluded; Stale saved suite: generation=2026-09-28T14:07:19.029784+00:00; result=2026-09-27T14:29:46.943660+00:00; Assertions failed with measured coverage; paired execution and stage checks determine status</x:v>
      </x:c>
      <x:c r="G805" s="25" t="str">
        <x:v>true</x:v>
      </x:c>
      <x:c r="H805" s="25" t="str">
        <x:v>INCONCLUSIVE</x:v>
      </x:c>
      <x:c r="I805" s="25" t="str">
        <x:v>FAIL</x:v>
      </x:c>
      <x:c r="J805" s="25" t="str">
        <x:v>FAIL</x:v>
      </x:c>
      <x:c r="K805" s="25" t="n">
        <x:v>3</x:v>
      </x:c>
      <x:c r="L805" s="27" t="b">
        <x:v>1</x:v>
      </x:c>
      <x:c r="M805" s="25" t="str">
        <x:v>Feedback-Directed Random Test Generation/rounds/Round1/state/Mockito.json</x:v>
      </x:c>
      <x:c r="N805" s="25" t="str">
        <x:v>Feedback-Directed Random Test Generation/Result/Mockito_14/result.json</x:v>
      </x:c>
      <x:c r="O805" s="25" t="str">
        <x:v>Feedback-Directed Random Test Generation/Result/Mockito_14/result.json</x:v>
      </x:c>
      <x:c r="P805"/>
      <x:c r="Q805" s="21" t="str"/>
      <x:c r="R805" s="21" t="str"/>
      <x:c r="S805" s="21" t="str"/>
      <x:c r="T805" s="17" t="str">
        <x:v>true</x:v>
      </x:c>
      <x:c r="U805" s="17" t="str">
        <x:v>true</x:v>
      </x:c>
      <x:c r="V805" s="17" t="str">
        <x:v>true</x:v>
      </x:c>
    </x:row>
    <x:row r="806" ht="80" customHeight="1">
      <x:c r="A806" s="25" t="str">
        <x:v>Mockito</x:v>
      </x:c>
      <x:c r="B806" s="25" t="n">
        <x:v>15</x:v>
      </x:c>
      <x:c r="C806" s="25" t="str">
        <x:v>Round1</x:v>
      </x:c>
      <x:c r="D806" s="25" t="str">
        <x:v>NOT_REVEALING</x:v>
      </x:c>
      <x:c r="E806" s="25" t="str">
        <x:v>N/A</x:v>
      </x:c>
      <x:c r="F806" s="26" t="str">
        <x:v>Same saved validation suite passed on buggy and fixed</x:v>
      </x:c>
      <x:c r="G806" s="25" t="str">
        <x:v>true</x:v>
      </x:c>
      <x:c r="H806" s="25" t="str">
        <x:v>NOT_REVEALING</x:v>
      </x:c>
      <x:c r="I806" s="25" t="str">
        <x:v>PASS</x:v>
      </x:c>
      <x:c r="J806" s="25" t="str">
        <x:v>PASS</x:v>
      </x:c>
      <x:c r="K806" s="25" t="n">
        <x:v>2</x:v>
      </x:c>
      <x:c r="L806" s="27" t="b">
        <x:v>0</x:v>
      </x:c>
      <x:c r="M806" s="25" t="str">
        <x:v>Feedback-Directed Random Test Generation/rounds/Round1/state/Mockito.json</x:v>
      </x:c>
      <x:c r="N806" s="25" t="str">
        <x:v>Feedback-Directed Random Test Generation/Result/Mockito_15/result.json</x:v>
      </x:c>
      <x:c r="O806" s="25" t="str">
        <x:v>Feedback-Directed Random Test Generation/Result/Mockito_15/result.json</x:v>
      </x:c>
      <x:c r="P806"/>
      <x:c r="Q806" s="21" t="str"/>
      <x:c r="R806" s="21" t="str"/>
      <x:c r="S806" s="21" t="str"/>
      <x:c r="T806" s="17" t="str">
        <x:v>false</x:v>
      </x:c>
      <x:c r="U806" s="17" t="str">
        <x:v>true</x:v>
      </x:c>
      <x:c r="V806" s="17" t="str">
        <x:v>false</x:v>
      </x:c>
    </x:row>
    <x:row r="807" ht="80" customHeight="1">
      <x:c r="A807" s="25" t="str">
        <x:v>Mockito</x:v>
      </x:c>
      <x:c r="B807" s="25" t="n">
        <x:v>16</x:v>
      </x:c>
      <x:c r="C807" s="25" t="str">
        <x:v>Round1</x:v>
      </x:c>
      <x:c r="D807" s="25" t="str">
        <x:v>FAIL</x:v>
      </x:c>
      <x:c r="E807" s="25" t="str">
        <x:v>N/A</x:v>
      </x:c>
      <x:c r="F807" s="26" t="str">
        <x:v>Latest same-round generation failed; older files/results are excluded; Stale saved suite: generation=2026-09-28T14:08:24.402826+00:00; result=2026-09-27T14:30:38.493526+00:00; Assertions failed with measured coverage; paired execution and stage checks determine status</x:v>
      </x:c>
      <x:c r="G807" s="25" t="str">
        <x:v>true</x:v>
      </x:c>
      <x:c r="H807" s="25" t="str">
        <x:v>INCONCLUSIVE</x:v>
      </x:c>
      <x:c r="I807" s="25" t="str">
        <x:v>FAIL</x:v>
      </x:c>
      <x:c r="J807" s="25" t="str">
        <x:v>FAIL</x:v>
      </x:c>
      <x:c r="K807" s="25" t="n">
        <x:v>3</x:v>
      </x:c>
      <x:c r="L807" s="27" t="b">
        <x:v>1</x:v>
      </x:c>
      <x:c r="M807" s="25" t="str">
        <x:v>Feedback-Directed Random Test Generation/rounds/Round1/state/Mockito.json</x:v>
      </x:c>
      <x:c r="N807" s="25" t="str">
        <x:v>Feedback-Directed Random Test Generation/Result/Mockito_16/result.json</x:v>
      </x:c>
      <x:c r="O807" s="25" t="str">
        <x:v>Feedback-Directed Random Test Generation/Result/Mockito_16/result.json</x:v>
      </x:c>
      <x:c r="P807"/>
      <x:c r="Q807" s="21" t="str"/>
      <x:c r="R807" s="21" t="str"/>
      <x:c r="S807" s="21" t="str"/>
      <x:c r="T807" s="17" t="str">
        <x:v>true</x:v>
      </x:c>
      <x:c r="U807" s="17" t="str">
        <x:v>true</x:v>
      </x:c>
      <x:c r="V807" s="17" t="str">
        <x:v>true</x:v>
      </x:c>
    </x:row>
    <x:row r="808" ht="80" customHeight="1">
      <x:c r="A808" s="25" t="str">
        <x:v>Mockito</x:v>
      </x:c>
      <x:c r="B808" s="25" t="n">
        <x:v>17</x:v>
      </x:c>
      <x:c r="C808" s="25" t="str">
        <x:v>Round1</x:v>
      </x:c>
      <x:c r="D808" s="25" t="str">
        <x:v>INCONCLUSIVE</x:v>
      </x:c>
      <x:c r="E808" s="25" t="str">
        <x:v>N/A</x:v>
      </x:c>
      <x:c r="F808" s="26" t="str">
        <x:v>Fixed also failed; assertion failure cannot be attributed to this bug</x:v>
      </x:c>
      <x:c r="G808" s="25" t="str">
        <x:v>true</x:v>
      </x:c>
      <x:c r="H808" s="25" t="str">
        <x:v>INCONCLUSIVE</x:v>
      </x:c>
      <x:c r="I808" s="25" t="str">
        <x:v>PASS</x:v>
      </x:c>
      <x:c r="J808" s="25" t="str">
        <x:v>FAIL</x:v>
      </x:c>
      <x:c r="K808" s="25" t="n">
        <x:v>2</x:v>
      </x:c>
      <x:c r="L808" s="27" t="b">
        <x:v>0</x:v>
      </x:c>
      <x:c r="M808" s="25" t="str">
        <x:v>Feedback-Directed Random Test Generation/rounds/Round1/state/Mockito.json</x:v>
      </x:c>
      <x:c r="N808" s="25" t="str">
        <x:v>Feedback-Directed Random Test Generation/Result/Mockito_17/result.json</x:v>
      </x:c>
      <x:c r="O808" s="25" t="str">
        <x:v>Feedback-Directed Random Test Generation/Result/Mockito_17/result.json</x:v>
      </x:c>
      <x:c r="P808"/>
      <x:c r="Q808" s="21" t="str"/>
      <x:c r="R808" s="21" t="str"/>
      <x:c r="S808" s="21" t="str"/>
      <x:c r="T808" s="17" t="str">
        <x:v>false</x:v>
      </x:c>
      <x:c r="U808" s="17" t="str">
        <x:v>true</x:v>
      </x:c>
      <x:c r="V808" s="17" t="str">
        <x:v>false</x:v>
      </x:c>
    </x:row>
    <x:row r="809" ht="80" customHeight="1">
      <x:c r="A809" s="25" t="str">
        <x:v>Mockito</x:v>
      </x:c>
      <x:c r="B809" s="25" t="n">
        <x:v>18</x:v>
      </x:c>
      <x:c r="C809" s="25" t="str">
        <x:v>Round1</x:v>
      </x:c>
      <x:c r="D809" s="25" t="str">
        <x:v>NOT_AVAILABLE</x:v>
      </x:c>
      <x:c r="E809" s="25" t="str">
        <x:v>N/A</x:v>
      </x:c>
      <x:c r="F809" s="26" t="str">
        <x:v>Tests exist but current coverage did not complete</x:v>
      </x:c>
      <x:c r="G809" s="25" t="str">
        <x:v>true</x:v>
      </x:c>
      <x:c r="H809" s="25" t="str">
        <x:v>NOT_AVAILABLE</x:v>
      </x:c>
      <x:c r="I809" s="25" t="str">
        <x:v>NOT_RUN</x:v>
      </x:c>
      <x:c r="J809" s="25" t="str">
        <x:v>NOT_RUN</x:v>
      </x:c>
      <x:c r="K809" s="25" t="n">
        <x:v>2</x:v>
      </x:c>
      <x:c r="L809" s="27" t="b">
        <x:v>0</x:v>
      </x:c>
      <x:c r="M809" s="25" t="str">
        <x:v>Feedback-Directed Random Test Generation/rounds/Round1/state/Mockito.json</x:v>
      </x:c>
      <x:c r="N809" s="25" t="str">
        <x:v>Feedback-Directed Random Test Generation/Result/Mockito_18/result.json</x:v>
      </x:c>
      <x:c r="O809" s="25" t="str">
        <x:v>Feedback-Directed Random Test Generation/Result/Mockito_18/result.json</x:v>
      </x:c>
      <x:c r="P809" t="str">
        <x:v>BOTH_NOT_RUN</x:v>
      </x:c>
      <x:c r="Q809" s="21" t="str"/>
      <x:c r="R809" s="21" t="str"/>
      <x:c r="S809" s="21" t="str"/>
      <x:c r="T809" s="17" t="str">
        <x:v>false</x:v>
      </x:c>
      <x:c r="U809" s="17" t="str">
        <x:v>true</x:v>
      </x:c>
      <x:c r="V809" s="17" t="str">
        <x:v>false</x:v>
      </x:c>
    </x:row>
    <x:row r="810" ht="80" customHeight="1">
      <x:c r="A810" s="25" t="str">
        <x:v>Mockito</x:v>
      </x:c>
      <x:c r="B810" s="25" t="n">
        <x:v>19</x:v>
      </x:c>
      <x:c r="C810" s="25" t="str">
        <x:v>Round1</x:v>
      </x:c>
      <x:c r="D810" s="25" t="str">
        <x:v>NOT_AVAILABLE</x:v>
      </x:c>
      <x:c r="E810" s="25" t="str">
        <x:v>N/A</x:v>
      </x:c>
      <x:c r="F810" s="26" t="str">
        <x:v>Tests exist but current coverage did not complete</x:v>
      </x:c>
      <x:c r="G810" s="25" t="str">
        <x:v>true</x:v>
      </x:c>
      <x:c r="H810" s="25" t="str">
        <x:v>NOT_AVAILABLE</x:v>
      </x:c>
      <x:c r="I810" s="25" t="str">
        <x:v>NOT_RUN</x:v>
      </x:c>
      <x:c r="J810" s="25" t="str">
        <x:v>NOT_RUN</x:v>
      </x:c>
      <x:c r="K810" s="25" t="n">
        <x:v>2</x:v>
      </x:c>
      <x:c r="L810" s="27" t="b">
        <x:v>0</x:v>
      </x:c>
      <x:c r="M810" s="25" t="str">
        <x:v>Feedback-Directed Random Test Generation/rounds/Round1/state/Mockito.json</x:v>
      </x:c>
      <x:c r="N810" s="25" t="str">
        <x:v>Feedback-Directed Random Test Generation/Result/Mockito_19/result.json</x:v>
      </x:c>
      <x:c r="O810" s="25" t="str">
        <x:v>Feedback-Directed Random Test Generation/Result/Mockito_19/result.json</x:v>
      </x:c>
      <x:c r="P810" t="str">
        <x:v>BOTH_NOT_RUN</x:v>
      </x:c>
      <x:c r="Q810" s="21" t="str"/>
      <x:c r="R810" s="21" t="str"/>
      <x:c r="S810" s="21" t="str"/>
      <x:c r="T810" s="17" t="str">
        <x:v>false</x:v>
      </x:c>
      <x:c r="U810" s="17" t="str">
        <x:v>true</x:v>
      </x:c>
      <x:c r="V810" s="17" t="str">
        <x:v>false</x:v>
      </x:c>
    </x:row>
    <x:row r="811" ht="80" customHeight="1">
      <x:c r="A811" s="25" t="str">
        <x:v>Mockito</x:v>
      </x:c>
      <x:c r="B811" s="25" t="n">
        <x:v>20</x:v>
      </x:c>
      <x:c r="C811" s="25" t="str">
        <x:v>Round1</x:v>
      </x:c>
      <x:c r="D811" s="25" t="str">
        <x:v>NOT_AVAILABLE</x:v>
      </x:c>
      <x:c r="E811" s="25" t="str">
        <x:v>N/A</x:v>
      </x:c>
      <x:c r="F811" s="26" t="str">
        <x:v>Tests exist but current coverage did not complete</x:v>
      </x:c>
      <x:c r="G811" s="25" t="str">
        <x:v>true</x:v>
      </x:c>
      <x:c r="H811" s="25" t="str">
        <x:v>NOT_AVAILABLE</x:v>
      </x:c>
      <x:c r="I811" s="25" t="str">
        <x:v>NOT_RUN</x:v>
      </x:c>
      <x:c r="J811" s="25" t="str">
        <x:v>NOT_RUN</x:v>
      </x:c>
      <x:c r="K811" s="25" t="n">
        <x:v>2</x:v>
      </x:c>
      <x:c r="L811" s="27" t="b">
        <x:v>0</x:v>
      </x:c>
      <x:c r="M811" s="25" t="str">
        <x:v>Feedback-Directed Random Test Generation/rounds/Round1/state/Mockito.json</x:v>
      </x:c>
      <x:c r="N811" s="25" t="str">
        <x:v>Feedback-Directed Random Test Generation/Result/Mockito_20/result.json</x:v>
      </x:c>
      <x:c r="O811" s="25" t="str">
        <x:v>Feedback-Directed Random Test Generation/Result/Mockito_20/result.json</x:v>
      </x:c>
      <x:c r="P811" t="str">
        <x:v>BOTH_NOT_RUN</x:v>
      </x:c>
      <x:c r="Q811" s="21" t="str"/>
      <x:c r="R811" s="21" t="str"/>
      <x:c r="S811" s="21" t="str"/>
      <x:c r="T811" s="17" t="str">
        <x:v>false</x:v>
      </x:c>
      <x:c r="U811" s="17" t="str">
        <x:v>true</x:v>
      </x:c>
      <x:c r="V811" s="17" t="str">
        <x:v>false</x:v>
      </x:c>
    </x:row>
    <x:row r="812" ht="80" customHeight="1">
      <x:c r="A812" s="25" t="str">
        <x:v>Mockito</x:v>
      </x:c>
      <x:c r="B812" s="25" t="n">
        <x:v>21</x:v>
      </x:c>
      <x:c r="C812" s="25" t="str">
        <x:v>Round1</x:v>
      </x:c>
      <x:c r="D812" s="25" t="str">
        <x:v>NOT_REVEALING</x:v>
      </x:c>
      <x:c r="E812" s="25" t="str">
        <x:v>N/A</x:v>
      </x:c>
      <x:c r="F812" s="26" t="str">
        <x:v>Same saved validation suite passed on buggy and fixed</x:v>
      </x:c>
      <x:c r="G812" s="25" t="str">
        <x:v>true</x:v>
      </x:c>
      <x:c r="H812" s="25" t="str">
        <x:v>NOT_REVEALING</x:v>
      </x:c>
      <x:c r="I812" s="25" t="str">
        <x:v>PASS</x:v>
      </x:c>
      <x:c r="J812" s="25" t="str">
        <x:v>PASS</x:v>
      </x:c>
      <x:c r="K812" s="25" t="n">
        <x:v>2</x:v>
      </x:c>
      <x:c r="L812" s="27" t="b">
        <x:v>0</x:v>
      </x:c>
      <x:c r="M812" s="25" t="str">
        <x:v>Feedback-Directed Random Test Generation/rounds/Round1/state/Mockito.json</x:v>
      </x:c>
      <x:c r="N812" s="25" t="str">
        <x:v>Feedback-Directed Random Test Generation/Result/Mockito_21/result.json</x:v>
      </x:c>
      <x:c r="O812" s="25" t="str">
        <x:v>Feedback-Directed Random Test Generation/Result/Mockito_21/result.json</x:v>
      </x:c>
      <x:c r="P812"/>
      <x:c r="Q812" s="21" t="str"/>
      <x:c r="R812" s="21" t="str"/>
      <x:c r="S812" s="21" t="str"/>
      <x:c r="T812" s="17" t="str">
        <x:v>false</x:v>
      </x:c>
      <x:c r="U812" s="17" t="str">
        <x:v>true</x:v>
      </x:c>
      <x:c r="V812" s="17" t="str">
        <x:v>false</x:v>
      </x:c>
    </x:row>
    <x:row r="813" ht="80" customHeight="1">
      <x:c r="A813" s="25" t="str">
        <x:v>Mockito</x:v>
      </x:c>
      <x:c r="B813" s="25" t="n">
        <x:v>22</x:v>
      </x:c>
      <x:c r="C813" s="25" t="str">
        <x:v>Round1</x:v>
      </x:c>
      <x:c r="D813" s="25" t="str">
        <x:v>NOT_REVEALING</x:v>
      </x:c>
      <x:c r="E813" s="25" t="str">
        <x:v>N/A</x:v>
      </x:c>
      <x:c r="F813" s="26" t="str">
        <x:v>Same saved validation suite passed on buggy and fixed</x:v>
      </x:c>
      <x:c r="G813" s="25" t="str">
        <x:v>true</x:v>
      </x:c>
      <x:c r="H813" s="25" t="str">
        <x:v>NOT_REVEALING</x:v>
      </x:c>
      <x:c r="I813" s="25" t="str">
        <x:v>PASS</x:v>
      </x:c>
      <x:c r="J813" s="25" t="str">
        <x:v>PASS</x:v>
      </x:c>
      <x:c r="K813" s="25" t="n">
        <x:v>3</x:v>
      </x:c>
      <x:c r="L813" s="27" t="b">
        <x:v>0</x:v>
      </x:c>
      <x:c r="M813" s="25" t="str">
        <x:v>Feedback-Directed Random Test Generation/rounds/Round1/state/Mockito.json</x:v>
      </x:c>
      <x:c r="N813" s="25" t="str">
        <x:v>Feedback-Directed Random Test Generation/Result/Mockito_22/result.json</x:v>
      </x:c>
      <x:c r="O813" s="25" t="str">
        <x:v>Feedback-Directed Random Test Generation/Result/Mockito_22/result.json</x:v>
      </x:c>
      <x:c r="P813"/>
      <x:c r="Q813" s="21" t="str"/>
      <x:c r="R813" s="21" t="str"/>
      <x:c r="S813" s="21" t="str"/>
      <x:c r="T813" s="17" t="str">
        <x:v>false</x:v>
      </x:c>
      <x:c r="U813" s="17" t="str">
        <x:v>true</x:v>
      </x:c>
      <x:c r="V813" s="17" t="str">
        <x:v>false</x:v>
      </x:c>
    </x:row>
    <x:row r="814" ht="80" customHeight="1">
      <x:c r="A814" s="25" t="str">
        <x:v>Mockito</x:v>
      </x:c>
      <x:c r="B814" s="25" t="n">
        <x:v>23</x:v>
      </x:c>
      <x:c r="C814" s="25" t="str">
        <x:v>Round1</x:v>
      </x:c>
      <x:c r="D814" s="25" t="str">
        <x:v>NOT_REVEALING</x:v>
      </x:c>
      <x:c r="E814" s="25" t="str">
        <x:v>N/A</x:v>
      </x:c>
      <x:c r="F814" s="26" t="str">
        <x:v>Same saved validation suite passed on buggy and fixed</x:v>
      </x:c>
      <x:c r="G814" s="25" t="str">
        <x:v>true</x:v>
      </x:c>
      <x:c r="H814" s="25" t="str">
        <x:v>NOT_REVEALING</x:v>
      </x:c>
      <x:c r="I814" s="25" t="str">
        <x:v>PASS</x:v>
      </x:c>
      <x:c r="J814" s="25" t="str">
        <x:v>PASS</x:v>
      </x:c>
      <x:c r="K814" s="25" t="n">
        <x:v>2</x:v>
      </x:c>
      <x:c r="L814" s="27" t="b">
        <x:v>0</x:v>
      </x:c>
      <x:c r="M814" s="25" t="str">
        <x:v>Feedback-Directed Random Test Generation/rounds/Round1/state/Mockito.json</x:v>
      </x:c>
      <x:c r="N814" s="25" t="str">
        <x:v>Feedback-Directed Random Test Generation/Result/Mockito_23/result.json</x:v>
      </x:c>
      <x:c r="O814" s="25" t="str">
        <x:v>Feedback-Directed Random Test Generation/Result/Mockito_23/result.json</x:v>
      </x:c>
      <x:c r="P814"/>
      <x:c r="Q814" s="21" t="str"/>
      <x:c r="R814" s="21" t="str"/>
      <x:c r="S814" s="21" t="str"/>
      <x:c r="T814" s="17" t="str">
        <x:v>false</x:v>
      </x:c>
      <x:c r="U814" s="17" t="str">
        <x:v>true</x:v>
      </x:c>
      <x:c r="V814" s="17" t="str">
        <x:v>false</x:v>
      </x:c>
    </x:row>
    <x:row r="815" ht="80" customHeight="1">
      <x:c r="A815" s="25" t="str">
        <x:v>Mockito</x:v>
      </x:c>
      <x:c r="B815" s="25" t="n">
        <x:v>24</x:v>
      </x:c>
      <x:c r="C815" s="25" t="str">
        <x:v>Round1</x:v>
      </x:c>
      <x:c r="D815" s="25" t="str">
        <x:v>NOT_REVEALING</x:v>
      </x:c>
      <x:c r="E815" s="25" t="str">
        <x:v>N/A</x:v>
      </x:c>
      <x:c r="F815" s="26" t="str">
        <x:v>Same saved validation suite passed on buggy and fixed</x:v>
      </x:c>
      <x:c r="G815" s="25" t="str">
        <x:v>true</x:v>
      </x:c>
      <x:c r="H815" s="25" t="str">
        <x:v>NOT_REVEALING</x:v>
      </x:c>
      <x:c r="I815" s="25" t="str">
        <x:v>PASS</x:v>
      </x:c>
      <x:c r="J815" s="25" t="str">
        <x:v>PASS</x:v>
      </x:c>
      <x:c r="K815" s="25" t="n">
        <x:v>2</x:v>
      </x:c>
      <x:c r="L815" s="27" t="b">
        <x:v>0</x:v>
      </x:c>
      <x:c r="M815" s="25" t="str">
        <x:v>Feedback-Directed Random Test Generation/rounds/Round1/state/Mockito.json</x:v>
      </x:c>
      <x:c r="N815" s="25" t="str">
        <x:v>Feedback-Directed Random Test Generation/Result/Mockito_24/result.json</x:v>
      </x:c>
      <x:c r="O815" s="25" t="str">
        <x:v>Feedback-Directed Random Test Generation/Result/Mockito_24/result.json</x:v>
      </x:c>
      <x:c r="P815"/>
      <x:c r="Q815" s="21" t="str"/>
      <x:c r="R815" s="21" t="str"/>
      <x:c r="S815" s="21" t="str"/>
      <x:c r="T815" s="17" t="str">
        <x:v>false</x:v>
      </x:c>
      <x:c r="U815" s="17" t="str">
        <x:v>true</x:v>
      </x:c>
      <x:c r="V815" s="17" t="str">
        <x:v>false</x:v>
      </x:c>
    </x:row>
    <x:row r="816" ht="80" customHeight="1">
      <x:c r="A816" s="25" t="str">
        <x:v>Mockito</x:v>
      </x:c>
      <x:c r="B816" s="25" t="n">
        <x:v>25</x:v>
      </x:c>
      <x:c r="C816" s="25" t="str">
        <x:v>Round1</x:v>
      </x:c>
      <x:c r="D816" s="25" t="str">
        <x:v>NOT_REVEALING</x:v>
      </x:c>
      <x:c r="E816" s="25" t="str">
        <x:v>N/A</x:v>
      </x:c>
      <x:c r="F816" s="26" t="str">
        <x:v>Same saved validation suite passed on buggy and fixed</x:v>
      </x:c>
      <x:c r="G816" s="25" t="str">
        <x:v>true</x:v>
      </x:c>
      <x:c r="H816" s="25" t="str">
        <x:v>NOT_REVEALING</x:v>
      </x:c>
      <x:c r="I816" s="25" t="str">
        <x:v>PASS</x:v>
      </x:c>
      <x:c r="J816" s="25" t="str">
        <x:v>PASS</x:v>
      </x:c>
      <x:c r="K816" s="25" t="n">
        <x:v>2</x:v>
      </x:c>
      <x:c r="L816" s="27" t="b">
        <x:v>0</x:v>
      </x:c>
      <x:c r="M816" s="25" t="str">
        <x:v>Feedback-Directed Random Test Generation/rounds/Round1/state/Mockito.json</x:v>
      </x:c>
      <x:c r="N816" s="25" t="str">
        <x:v>Feedback-Directed Random Test Generation/Result/Mockito_25/result.json</x:v>
      </x:c>
      <x:c r="O816" s="25" t="str">
        <x:v>Feedback-Directed Random Test Generation/Result/Mockito_25/result.json</x:v>
      </x:c>
      <x:c r="P816"/>
      <x:c r="Q816" s="21" t="str"/>
      <x:c r="R816" s="21" t="str"/>
      <x:c r="S816" s="21" t="str"/>
      <x:c r="T816" s="17" t="str">
        <x:v>false</x:v>
      </x:c>
      <x:c r="U816" s="17" t="str">
        <x:v>true</x:v>
      </x:c>
      <x:c r="V816" s="17" t="str">
        <x:v>false</x:v>
      </x:c>
    </x:row>
    <x:row r="817" ht="80" customHeight="1">
      <x:c r="A817" s="25" t="str">
        <x:v>Mockito</x:v>
      </x:c>
      <x:c r="B817" s="25" t="n">
        <x:v>26</x:v>
      </x:c>
      <x:c r="C817" s="25" t="str">
        <x:v>Round1</x:v>
      </x:c>
      <x:c r="D817" s="25" t="str">
        <x:v>NOT_REVEALING</x:v>
      </x:c>
      <x:c r="E817" s="25" t="str">
        <x:v>N/A</x:v>
      </x:c>
      <x:c r="F817" s="26" t="str">
        <x:v>Same saved validation suite passed on buggy and fixed</x:v>
      </x:c>
      <x:c r="G817" s="25" t="str">
        <x:v>true</x:v>
      </x:c>
      <x:c r="H817" s="25" t="str">
        <x:v>NOT_REVEALING</x:v>
      </x:c>
      <x:c r="I817" s="25" t="str">
        <x:v>PASS</x:v>
      </x:c>
      <x:c r="J817" s="25" t="str">
        <x:v>PASS</x:v>
      </x:c>
      <x:c r="K817" s="25" t="n">
        <x:v>2</x:v>
      </x:c>
      <x:c r="L817" s="27" t="b">
        <x:v>0</x:v>
      </x:c>
      <x:c r="M817" s="25" t="str">
        <x:v>Feedback-Directed Random Test Generation/rounds/Round1/state/Mockito.json</x:v>
      </x:c>
      <x:c r="N817" s="25" t="str">
        <x:v>Feedback-Directed Random Test Generation/Result/Mockito_26/result.json</x:v>
      </x:c>
      <x:c r="O817" s="25" t="str">
        <x:v>Feedback-Directed Random Test Generation/Result/Mockito_26/result.json</x:v>
      </x:c>
      <x:c r="P817"/>
      <x:c r="Q817" s="21" t="str"/>
      <x:c r="R817" s="21" t="str"/>
      <x:c r="S817" s="21" t="str"/>
      <x:c r="T817" s="17" t="str">
        <x:v>false</x:v>
      </x:c>
      <x:c r="U817" s="17" t="str">
        <x:v>true</x:v>
      </x:c>
      <x:c r="V817" s="17" t="str">
        <x:v>false</x:v>
      </x:c>
    </x:row>
    <x:row r="818" ht="80" customHeight="1">
      <x:c r="A818" s="25" t="str">
        <x:v>Mockito</x:v>
      </x:c>
      <x:c r="B818" s="25" t="n">
        <x:v>27</x:v>
      </x:c>
      <x:c r="C818" s="25" t="str">
        <x:v>Round1</x:v>
      </x:c>
      <x:c r="D818" s="25" t="str">
        <x:v>NOT_REVEALING</x:v>
      </x:c>
      <x:c r="E818" s="25" t="str">
        <x:v>N/A</x:v>
      </x:c>
      <x:c r="F818" s="26" t="str">
        <x:v>Same saved validation suite passed on buggy and fixed</x:v>
      </x:c>
      <x:c r="G818" s="25" t="str">
        <x:v>true</x:v>
      </x:c>
      <x:c r="H818" s="25" t="str">
        <x:v>NOT_REVEALING</x:v>
      </x:c>
      <x:c r="I818" s="25" t="str">
        <x:v>PASS</x:v>
      </x:c>
      <x:c r="J818" s="25" t="str">
        <x:v>PASS</x:v>
      </x:c>
      <x:c r="K818" s="25" t="n">
        <x:v>2</x:v>
      </x:c>
      <x:c r="L818" s="27" t="b">
        <x:v>0</x:v>
      </x:c>
      <x:c r="M818" s="25" t="str">
        <x:v>Feedback-Directed Random Test Generation/rounds/Round1/state/Mockito.json</x:v>
      </x:c>
      <x:c r="N818" s="25" t="str">
        <x:v>Feedback-Directed Random Test Generation/Result/Mockito_27/result.json</x:v>
      </x:c>
      <x:c r="O818" s="25" t="str">
        <x:v>Feedback-Directed Random Test Generation/Result/Mockito_27/result.json</x:v>
      </x:c>
      <x:c r="P818"/>
      <x:c r="Q818" s="21" t="str"/>
      <x:c r="R818" s="21" t="str"/>
      <x:c r="S818" s="21" t="str"/>
      <x:c r="T818" s="17" t="str">
        <x:v>false</x:v>
      </x:c>
      <x:c r="U818" s="17" t="str">
        <x:v>true</x:v>
      </x:c>
      <x:c r="V818" s="17" t="str">
        <x:v>false</x:v>
      </x:c>
    </x:row>
    <x:row r="819" ht="80" customHeight="1">
      <x:c r="A819" s="25" t="str">
        <x:v>Mockito</x:v>
      </x:c>
      <x:c r="B819" s="25" t="n">
        <x:v>28</x:v>
      </x:c>
      <x:c r="C819" s="25" t="str">
        <x:v>Round1</x:v>
      </x:c>
      <x:c r="D819" s="25" t="str">
        <x:v>NOT_REVEALING</x:v>
      </x:c>
      <x:c r="E819" s="25" t="str">
        <x:v>N/A</x:v>
      </x:c>
      <x:c r="F819" s="26" t="str">
        <x:v>Same saved validation suite passed on buggy and fixed</x:v>
      </x:c>
      <x:c r="G819" s="25" t="str">
        <x:v>true</x:v>
      </x:c>
      <x:c r="H819" s="25" t="str">
        <x:v>NOT_REVEALING</x:v>
      </x:c>
      <x:c r="I819" s="25" t="str">
        <x:v>PASS</x:v>
      </x:c>
      <x:c r="J819" s="25" t="str">
        <x:v>PASS</x:v>
      </x:c>
      <x:c r="K819" s="25" t="n">
        <x:v>2</x:v>
      </x:c>
      <x:c r="L819" s="27" t="b">
        <x:v>0</x:v>
      </x:c>
      <x:c r="M819" s="25" t="str">
        <x:v>Feedback-Directed Random Test Generation/rounds/Round1/state/Mockito.json</x:v>
      </x:c>
      <x:c r="N819" s="25" t="str">
        <x:v>Feedback-Directed Random Test Generation/Result/Mockito_28/result.json</x:v>
      </x:c>
      <x:c r="O819" s="25" t="str">
        <x:v>Feedback-Directed Random Test Generation/Result/Mockito_28/result.json</x:v>
      </x:c>
      <x:c r="P819"/>
      <x:c r="Q819" s="21" t="str"/>
      <x:c r="R819" s="21" t="str"/>
      <x:c r="S819" s="21" t="str"/>
      <x:c r="T819" s="17" t="str">
        <x:v>false</x:v>
      </x:c>
      <x:c r="U819" s="17" t="str">
        <x:v>true</x:v>
      </x:c>
      <x:c r="V819" s="17" t="str">
        <x:v>false</x:v>
      </x:c>
    </x:row>
    <x:row r="820" ht="80" customHeight="1">
      <x:c r="A820" s="25" t="str">
        <x:v>Mockito</x:v>
      </x:c>
      <x:c r="B820" s="25" t="n">
        <x:v>29</x:v>
      </x:c>
      <x:c r="C820" s="25" t="str">
        <x:v>Round1</x:v>
      </x:c>
      <x:c r="D820" s="25" t="str">
        <x:v>NOT_REVEALING</x:v>
      </x:c>
      <x:c r="E820" s="25" t="str">
        <x:v>N/A</x:v>
      </x:c>
      <x:c r="F820" s="26" t="str">
        <x:v>Same saved validation suite passed on buggy and fixed</x:v>
      </x:c>
      <x:c r="G820" s="25" t="str">
        <x:v>true</x:v>
      </x:c>
      <x:c r="H820" s="25" t="str">
        <x:v>NOT_REVEALING</x:v>
      </x:c>
      <x:c r="I820" s="25" t="str">
        <x:v>PASS</x:v>
      </x:c>
      <x:c r="J820" s="25" t="str">
        <x:v>PASS</x:v>
      </x:c>
      <x:c r="K820" s="25" t="n">
        <x:v>2</x:v>
      </x:c>
      <x:c r="L820" s="27" t="b">
        <x:v>0</x:v>
      </x:c>
      <x:c r="M820" s="25" t="str">
        <x:v>Feedback-Directed Random Test Generation/rounds/Round1/state/Mockito.json</x:v>
      </x:c>
      <x:c r="N820" s="25" t="str">
        <x:v>Feedback-Directed Random Test Generation/Result/Mockito_29/result.json</x:v>
      </x:c>
      <x:c r="O820" s="25" t="str">
        <x:v>Feedback-Directed Random Test Generation/Result/Mockito_29/result.json</x:v>
      </x:c>
      <x:c r="P820"/>
      <x:c r="Q820" s="21" t="str"/>
      <x:c r="R820" s="21" t="str"/>
      <x:c r="S820" s="21" t="str"/>
      <x:c r="T820" s="17" t="str">
        <x:v>false</x:v>
      </x:c>
      <x:c r="U820" s="17" t="str">
        <x:v>true</x:v>
      </x:c>
      <x:c r="V820" s="17" t="str">
        <x:v>false</x:v>
      </x:c>
    </x:row>
    <x:row r="821" ht="80" customHeight="1">
      <x:c r="A821" s="25" t="str">
        <x:v>Mockito</x:v>
      </x:c>
      <x:c r="B821" s="25" t="n">
        <x:v>30</x:v>
      </x:c>
      <x:c r="C821" s="25" t="str">
        <x:v>Round1</x:v>
      </x:c>
      <x:c r="D821" s="25" t="str">
        <x:v>NOT_AVAILABLE</x:v>
      </x:c>
      <x:c r="E821" s="25" t="str">
        <x:v>N/A</x:v>
      </x:c>
      <x:c r="F821" s="26" t="str">
        <x:v>fixed test_compile=FAIL; Assertions failed with measured coverage; paired execution and stage checks determine status</x:v>
      </x:c>
      <x:c r="G821" s="25" t="str">
        <x:v>true</x:v>
      </x:c>
      <x:c r="H821" s="25" t="str">
        <x:v>NOT_AVAILABLE</x:v>
      </x:c>
      <x:c r="I821" s="25" t="str">
        <x:v>FAIL</x:v>
      </x:c>
      <x:c r="J821" s="25" t="str">
        <x:v>NOT_RUN</x:v>
      </x:c>
      <x:c r="K821" s="25" t="n">
        <x:v>4</x:v>
      </x:c>
      <x:c r="L821" s="27" t="b">
        <x:v>0</x:v>
      </x:c>
      <x:c r="M821" s="25" t="str">
        <x:v>Feedback-Directed Random Test Generation/rounds/Round1/state/Mockito.json</x:v>
      </x:c>
      <x:c r="N821" s="25" t="str">
        <x:v>Feedback-Directed Random Test Generation/Result/Mockito_30/result.json</x:v>
      </x:c>
      <x:c r="O821" s="25" t="str">
        <x:v>Feedback-Directed Random Test Generation/Result/Mockito_30/result.json</x:v>
      </x:c>
      <x:c r="P821" t="str">
        <x:v>FIXED_NOT_RUN</x:v>
      </x:c>
      <x:c r="Q821" s="21" t="str"/>
      <x:c r="R821" s="21" t="str"/>
      <x:c r="S821" s="21" t="str"/>
      <x:c r="T821" s="17" t="str">
        <x:v>false</x:v>
      </x:c>
      <x:c r="U821" s="17" t="str">
        <x:v>true</x:v>
      </x:c>
      <x:c r="V821" s="17" t="str">
        <x:v>false</x:v>
      </x:c>
    </x:row>
    <x:row r="822" ht="80" customHeight="1">
      <x:c r="A822" s="25" t="str">
        <x:v>Mockito</x:v>
      </x:c>
      <x:c r="B822" s="25" t="n">
        <x:v>31</x:v>
      </x:c>
      <x:c r="C822" s="25" t="str">
        <x:v>Round1</x:v>
      </x:c>
      <x:c r="D822" s="25" t="str">
        <x:v>NOT_REVEALING</x:v>
      </x:c>
      <x:c r="E822" s="25" t="str">
        <x:v>N/A</x:v>
      </x:c>
      <x:c r="F822" s="26" t="str">
        <x:v>Same saved validation suite passed on buggy and fixed</x:v>
      </x:c>
      <x:c r="G822" s="25" t="str">
        <x:v>true</x:v>
      </x:c>
      <x:c r="H822" s="25" t="str">
        <x:v>NOT_REVEALING</x:v>
      </x:c>
      <x:c r="I822" s="25" t="str">
        <x:v>PASS</x:v>
      </x:c>
      <x:c r="J822" s="25" t="str">
        <x:v>PASS</x:v>
      </x:c>
      <x:c r="K822" s="25" t="n">
        <x:v>2</x:v>
      </x:c>
      <x:c r="L822" s="27" t="b">
        <x:v>0</x:v>
      </x:c>
      <x:c r="M822" s="25" t="str">
        <x:v>Feedback-Directed Random Test Generation/rounds/Round1/state/Mockito.json</x:v>
      </x:c>
      <x:c r="N822" s="25" t="str">
        <x:v>Feedback-Directed Random Test Generation/Result/Mockito_31/result.json</x:v>
      </x:c>
      <x:c r="O822" s="25" t="str">
        <x:v>Feedback-Directed Random Test Generation/Result/Mockito_31/result.json</x:v>
      </x:c>
      <x:c r="P822"/>
      <x:c r="Q822" s="21" t="str"/>
      <x:c r="R822" s="21" t="str"/>
      <x:c r="S822" s="21" t="str"/>
      <x:c r="T822" s="17" t="str">
        <x:v>false</x:v>
      </x:c>
      <x:c r="U822" s="17" t="str">
        <x:v>true</x:v>
      </x:c>
      <x:c r="V822" s="17" t="str">
        <x:v>false</x:v>
      </x:c>
    </x:row>
    <x:row r="823" ht="80" customHeight="1">
      <x:c r="A823" s="25" t="str">
        <x:v>Mockito</x:v>
      </x:c>
      <x:c r="B823" s="25" t="n">
        <x:v>32</x:v>
      </x:c>
      <x:c r="C823" s="25" t="str">
        <x:v>Round1</x:v>
      </x:c>
      <x:c r="D823" s="25" t="str">
        <x:v>NOT_REVEALING</x:v>
      </x:c>
      <x:c r="E823" s="25" t="str">
        <x:v>N/A</x:v>
      </x:c>
      <x:c r="F823" s="26" t="str">
        <x:v>Same saved validation suite passed on buggy and fixed</x:v>
      </x:c>
      <x:c r="G823" s="25" t="str">
        <x:v>true</x:v>
      </x:c>
      <x:c r="H823" s="25" t="str">
        <x:v>NOT_REVEALING</x:v>
      </x:c>
      <x:c r="I823" s="25" t="str">
        <x:v>PASS</x:v>
      </x:c>
      <x:c r="J823" s="25" t="str">
        <x:v>PASS</x:v>
      </x:c>
      <x:c r="K823" s="25" t="n">
        <x:v>2</x:v>
      </x:c>
      <x:c r="L823" s="27" t="b">
        <x:v>0</x:v>
      </x:c>
      <x:c r="M823" s="25" t="str">
        <x:v>Feedback-Directed Random Test Generation/rounds/Round1/state/Mockito.json</x:v>
      </x:c>
      <x:c r="N823" s="25" t="str">
        <x:v>Feedback-Directed Random Test Generation/Result/Mockito_32/result.json</x:v>
      </x:c>
      <x:c r="O823" s="25" t="str">
        <x:v>Feedback-Directed Random Test Generation/Result/Mockito_32/result.json</x:v>
      </x:c>
      <x:c r="P823"/>
      <x:c r="Q823" s="21" t="str"/>
      <x:c r="R823" s="21" t="str"/>
      <x:c r="S823" s="21" t="str"/>
      <x:c r="T823" s="17" t="str">
        <x:v>false</x:v>
      </x:c>
      <x:c r="U823" s="17" t="str">
        <x:v>true</x:v>
      </x:c>
      <x:c r="V823" s="17" t="str">
        <x:v>false</x:v>
      </x:c>
    </x:row>
    <x:row r="824" ht="80" customHeight="1">
      <x:c r="A824" s="25" t="str">
        <x:v>Mockito</x:v>
      </x:c>
      <x:c r="B824" s="25" t="n">
        <x:v>33</x:v>
      </x:c>
      <x:c r="C824" s="25" t="str">
        <x:v>Round1</x:v>
      </x:c>
      <x:c r="D824" s="25" t="str">
        <x:v>NOT_REVEALING</x:v>
      </x:c>
      <x:c r="E824" s="25" t="str">
        <x:v>N/A</x:v>
      </x:c>
      <x:c r="F824" s="26" t="str">
        <x:v>Same saved validation suite passed on buggy and fixed</x:v>
      </x:c>
      <x:c r="G824" s="25" t="str">
        <x:v>true</x:v>
      </x:c>
      <x:c r="H824" s="25" t="str">
        <x:v>NOT_REVEALING</x:v>
      </x:c>
      <x:c r="I824" s="25" t="str">
        <x:v>PASS</x:v>
      </x:c>
      <x:c r="J824" s="25" t="str">
        <x:v>PASS</x:v>
      </x:c>
      <x:c r="K824" s="25" t="n">
        <x:v>2</x:v>
      </x:c>
      <x:c r="L824" s="27" t="b">
        <x:v>0</x:v>
      </x:c>
      <x:c r="M824" s="25" t="str">
        <x:v>Feedback-Directed Random Test Generation/rounds/Round1/state/Mockito.json</x:v>
      </x:c>
      <x:c r="N824" s="25" t="str">
        <x:v>Feedback-Directed Random Test Generation/Result/Mockito_33/result.json</x:v>
      </x:c>
      <x:c r="O824" s="25" t="str">
        <x:v>Feedback-Directed Random Test Generation/Result/Mockito_33/result.json</x:v>
      </x:c>
      <x:c r="P824"/>
      <x:c r="Q824" s="21" t="str"/>
      <x:c r="R824" s="21" t="str"/>
      <x:c r="S824" s="21" t="str"/>
      <x:c r="T824" s="17" t="str">
        <x:v>false</x:v>
      </x:c>
      <x:c r="U824" s="17" t="str">
        <x:v>true</x:v>
      </x:c>
      <x:c r="V824" s="17" t="str">
        <x:v>false</x:v>
      </x:c>
    </x:row>
    <x:row r="825" ht="80" customHeight="1">
      <x:c r="A825" s="25" t="str">
        <x:v>Mockito</x:v>
      </x:c>
      <x:c r="B825" s="25" t="n">
        <x:v>34</x:v>
      </x:c>
      <x:c r="C825" s="25" t="str">
        <x:v>Round1</x:v>
      </x:c>
      <x:c r="D825" s="25" t="str">
        <x:v>NOT_REVEALING</x:v>
      </x:c>
      <x:c r="E825" s="25" t="str">
        <x:v>N/A</x:v>
      </x:c>
      <x:c r="F825" s="26" t="str">
        <x:v>Same saved validation suite passed on buggy and fixed</x:v>
      </x:c>
      <x:c r="G825" s="25" t="str">
        <x:v>true</x:v>
      </x:c>
      <x:c r="H825" s="25" t="str">
        <x:v>NOT_REVEALING</x:v>
      </x:c>
      <x:c r="I825" s="25" t="str">
        <x:v>PASS</x:v>
      </x:c>
      <x:c r="J825" s="25" t="str">
        <x:v>PASS</x:v>
      </x:c>
      <x:c r="K825" s="25" t="n">
        <x:v>2</x:v>
      </x:c>
      <x:c r="L825" s="27" t="b">
        <x:v>0</x:v>
      </x:c>
      <x:c r="M825" s="25" t="str">
        <x:v>Feedback-Directed Random Test Generation/rounds/Round1/state/Mockito.json</x:v>
      </x:c>
      <x:c r="N825" s="25" t="str">
        <x:v>Feedback-Directed Random Test Generation/Result/Mockito_34/result.json</x:v>
      </x:c>
      <x:c r="O825" s="25" t="str">
        <x:v>Feedback-Directed Random Test Generation/Result/Mockito_34/result.json</x:v>
      </x:c>
      <x:c r="P825"/>
      <x:c r="Q825" s="21" t="str"/>
      <x:c r="R825" s="21" t="str"/>
      <x:c r="S825" s="21" t="str"/>
      <x:c r="T825" s="17" t="str">
        <x:v>false</x:v>
      </x:c>
      <x:c r="U825" s="17" t="str">
        <x:v>true</x:v>
      </x:c>
      <x:c r="V825" s="17" t="str">
        <x:v>false</x:v>
      </x:c>
    </x:row>
    <x:row r="826" ht="80" customHeight="1">
      <x:c r="A826" s="25" t="str">
        <x:v>Mockito</x:v>
      </x:c>
      <x:c r="B826" s="25" t="n">
        <x:v>35</x:v>
      </x:c>
      <x:c r="C826" s="25" t="str">
        <x:v>Round1</x:v>
      </x:c>
      <x:c r="D826" s="25" t="str">
        <x:v>INCONCLUSIVE</x:v>
      </x:c>
      <x:c r="E826" s="25" t="str">
        <x:v>N/A</x:v>
      </x:c>
      <x:c r="F826" s="26" t="str">
        <x:v>Fixed also failed; assertion failure cannot be attributed to this bug</x:v>
      </x:c>
      <x:c r="G826" s="25" t="str">
        <x:v>true</x:v>
      </x:c>
      <x:c r="H826" s="25" t="str">
        <x:v>INCONCLUSIVE</x:v>
      </x:c>
      <x:c r="I826" s="25" t="str">
        <x:v>PASS</x:v>
      </x:c>
      <x:c r="J826" s="25" t="str">
        <x:v>FAIL</x:v>
      </x:c>
      <x:c r="K826" s="25" t="n">
        <x:v>2</x:v>
      </x:c>
      <x:c r="L826" s="27" t="b">
        <x:v>0</x:v>
      </x:c>
      <x:c r="M826" s="25" t="str">
        <x:v>Feedback-Directed Random Test Generation/rounds/Round1/state/Mockito.json</x:v>
      </x:c>
      <x:c r="N826" s="25" t="str">
        <x:v>Feedback-Directed Random Test Generation/Result/Mockito_35/result.json</x:v>
      </x:c>
      <x:c r="O826" s="25" t="str">
        <x:v>Feedback-Directed Random Test Generation/Result/Mockito_35/result.json</x:v>
      </x:c>
      <x:c r="P826"/>
      <x:c r="Q826" s="21" t="str"/>
      <x:c r="R826" s="21" t="str"/>
      <x:c r="S826" s="21" t="str"/>
      <x:c r="T826" s="17" t="str">
        <x:v>false</x:v>
      </x:c>
      <x:c r="U826" s="17" t="str">
        <x:v>true</x:v>
      </x:c>
      <x:c r="V826" s="17" t="str">
        <x:v>false</x:v>
      </x:c>
    </x:row>
    <x:row r="827" ht="80" customHeight="1">
      <x:c r="A827" s="25" t="str">
        <x:v>Mockito</x:v>
      </x:c>
      <x:c r="B827" s="25" t="n">
        <x:v>36</x:v>
      </x:c>
      <x:c r="C827" s="25" t="str">
        <x:v>Round1</x:v>
      </x:c>
      <x:c r="D827" s="25" t="str">
        <x:v>NOT_REVEALING</x:v>
      </x:c>
      <x:c r="E827" s="25" t="str">
        <x:v>N/A</x:v>
      </x:c>
      <x:c r="F827" s="26" t="str">
        <x:v>Same saved validation suite passed on buggy and fixed</x:v>
      </x:c>
      <x:c r="G827" s="25" t="str">
        <x:v>true</x:v>
      </x:c>
      <x:c r="H827" s="25" t="str">
        <x:v>NOT_REVEALING</x:v>
      </x:c>
      <x:c r="I827" s="25" t="str">
        <x:v>PASS</x:v>
      </x:c>
      <x:c r="J827" s="25" t="str">
        <x:v>PASS</x:v>
      </x:c>
      <x:c r="K827" s="25" t="n">
        <x:v>2</x:v>
      </x:c>
      <x:c r="L827" s="27" t="b">
        <x:v>0</x:v>
      </x:c>
      <x:c r="M827" s="25" t="str">
        <x:v>Feedback-Directed Random Test Generation/rounds/Round1/state/Mockito.json</x:v>
      </x:c>
      <x:c r="N827" s="25" t="str">
        <x:v>Feedback-Directed Random Test Generation/Result/Mockito_36/result.json</x:v>
      </x:c>
      <x:c r="O827" s="25" t="str">
        <x:v>Feedback-Directed Random Test Generation/Result/Mockito_36/result.json</x:v>
      </x:c>
      <x:c r="P827"/>
      <x:c r="Q827" s="21" t="str"/>
      <x:c r="R827" s="21" t="str"/>
      <x:c r="S827" s="21" t="str"/>
      <x:c r="T827" s="17" t="str">
        <x:v>false</x:v>
      </x:c>
      <x:c r="U827" s="17" t="str">
        <x:v>true</x:v>
      </x:c>
      <x:c r="V827" s="17" t="str">
        <x:v>false</x:v>
      </x:c>
    </x:row>
    <x:row r="828" ht="80" customHeight="1">
      <x:c r="A828" s="25" t="str">
        <x:v>Mockito</x:v>
      </x:c>
      <x:c r="B828" s="25" t="n">
        <x:v>37</x:v>
      </x:c>
      <x:c r="C828" s="25" t="str">
        <x:v>Round1</x:v>
      </x:c>
      <x:c r="D828" s="25" t="str">
        <x:v>NOT_REVEALING</x:v>
      </x:c>
      <x:c r="E828" s="25" t="str">
        <x:v>N/A</x:v>
      </x:c>
      <x:c r="F828" s="26" t="str">
        <x:v>Same saved validation suite passed on buggy and fixed</x:v>
      </x:c>
      <x:c r="G828" s="25" t="str">
        <x:v>true</x:v>
      </x:c>
      <x:c r="H828" s="25" t="str">
        <x:v>NOT_REVEALING</x:v>
      </x:c>
      <x:c r="I828" s="25" t="str">
        <x:v>PASS</x:v>
      </x:c>
      <x:c r="J828" s="25" t="str">
        <x:v>PASS</x:v>
      </x:c>
      <x:c r="K828" s="25" t="n">
        <x:v>2</x:v>
      </x:c>
      <x:c r="L828" s="27" t="b">
        <x:v>0</x:v>
      </x:c>
      <x:c r="M828" s="25" t="str">
        <x:v>Feedback-Directed Random Test Generation/rounds/Round1/state/Mockito.json</x:v>
      </x:c>
      <x:c r="N828" s="25" t="str">
        <x:v>Feedback-Directed Random Test Generation/Result/Mockito_37/result.json</x:v>
      </x:c>
      <x:c r="O828" s="25" t="str">
        <x:v>Feedback-Directed Random Test Generation/Result/Mockito_37/result.json</x:v>
      </x:c>
      <x:c r="P828"/>
      <x:c r="Q828" s="21" t="str"/>
      <x:c r="R828" s="21" t="str"/>
      <x:c r="S828" s="21" t="str"/>
      <x:c r="T828" s="17" t="str">
        <x:v>false</x:v>
      </x:c>
      <x:c r="U828" s="17" t="str">
        <x:v>true</x:v>
      </x:c>
      <x:c r="V828" s="17" t="str">
        <x:v>false</x:v>
      </x:c>
    </x:row>
    <x:row r="829" ht="80" customHeight="1">
      <x:c r="A829" s="25" t="str">
        <x:v>Mockito</x:v>
      </x:c>
      <x:c r="B829" s="25" t="n">
        <x:v>38</x:v>
      </x:c>
      <x:c r="C829" s="25" t="str">
        <x:v>Round1</x:v>
      </x:c>
      <x:c r="D829" s="25" t="str">
        <x:v>NOT_REVEALING</x:v>
      </x:c>
      <x:c r="E829" s="25" t="str">
        <x:v>N/A</x:v>
      </x:c>
      <x:c r="F829" s="26" t="str">
        <x:v>Same saved validation suite passed on buggy and fixed</x:v>
      </x:c>
      <x:c r="G829" s="25" t="str">
        <x:v>true</x:v>
      </x:c>
      <x:c r="H829" s="25" t="str">
        <x:v>NOT_REVEALING</x:v>
      </x:c>
      <x:c r="I829" s="25" t="str">
        <x:v>PASS</x:v>
      </x:c>
      <x:c r="J829" s="25" t="str">
        <x:v>PASS</x:v>
      </x:c>
      <x:c r="K829" s="25" t="n">
        <x:v>2</x:v>
      </x:c>
      <x:c r="L829" s="27" t="b">
        <x:v>0</x:v>
      </x:c>
      <x:c r="M829" s="25" t="str">
        <x:v>Feedback-Directed Random Test Generation/rounds/Round1/state/Mockito.json</x:v>
      </x:c>
      <x:c r="N829" s="25" t="str">
        <x:v>Feedback-Directed Random Test Generation/Result/Mockito_38/result.json</x:v>
      </x:c>
      <x:c r="O829" s="25" t="str">
        <x:v>Feedback-Directed Random Test Generation/Result/Mockito_38/result.json</x:v>
      </x:c>
      <x:c r="P829"/>
      <x:c r="Q829" s="21" t="str"/>
      <x:c r="R829" s="21" t="str"/>
      <x:c r="S829" s="21" t="str"/>
      <x:c r="T829" s="17" t="str">
        <x:v>false</x:v>
      </x:c>
      <x:c r="U829" s="17" t="str">
        <x:v>true</x:v>
      </x:c>
      <x:c r="V829" s="17" t="str">
        <x:v>false</x:v>
      </x:c>
    </x:row>
    <x:row r="830" ht="80" customHeight="1">
      <x:c r="A830" s="25" t="str">
        <x:v>Time</x:v>
      </x:c>
      <x:c r="B830" s="25" t="n">
        <x:v>1</x:v>
      </x:c>
      <x:c r="C830" s="25" t="str">
        <x:v>Round1</x:v>
      </x:c>
      <x:c r="D830" s="25" t="str">
        <x:v>NOT_REVEALING</x:v>
      </x:c>
      <x:c r="E830" s="25" t="str">
        <x:v>N/A</x:v>
      </x:c>
      <x:c r="F830" s="26" t="str">
        <x:v>Same saved validation suite passed on buggy and fixed</x:v>
      </x:c>
      <x:c r="G830" s="25" t="str">
        <x:v>true</x:v>
      </x:c>
      <x:c r="H830" s="25" t="str">
        <x:v>NOT_REVEALING</x:v>
      </x:c>
      <x:c r="I830" s="25" t="str">
        <x:v>PASS</x:v>
      </x:c>
      <x:c r="J830" s="25" t="str">
        <x:v>PASS</x:v>
      </x:c>
      <x:c r="K830" s="25" t="n">
        <x:v>2</x:v>
      </x:c>
      <x:c r="L830" s="27" t="b">
        <x:v>0</x:v>
      </x:c>
      <x:c r="M830" s="25" t="str">
        <x:v>Feedback-Directed Random Test Generation/rounds/Round1/state/Time.json</x:v>
      </x:c>
      <x:c r="N830" s="25" t="str">
        <x:v>Feedback-Directed Random Test Generation/Result/Time_1/result.json</x:v>
      </x:c>
      <x:c r="O830" s="25" t="str">
        <x:v>Feedback-Directed Random Test Generation/Result/Time_1/result.json</x:v>
      </x:c>
      <x:c r="P830"/>
      <x:c r="Q830" s="21" t="str"/>
      <x:c r="R830" s="21" t="str"/>
      <x:c r="S830" s="21" t="str"/>
      <x:c r="T830" s="17" t="str">
        <x:v>false</x:v>
      </x:c>
      <x:c r="U830" s="17" t="str">
        <x:v>true</x:v>
      </x:c>
      <x:c r="V830" s="17" t="str">
        <x:v>false</x:v>
      </x:c>
    </x:row>
    <x:row r="831" ht="80" customHeight="1">
      <x:c r="A831" s="25" t="str">
        <x:v>Time</x:v>
      </x:c>
      <x:c r="B831" s="25" t="n">
        <x:v>2</x:v>
      </x:c>
      <x:c r="C831" s="25" t="str">
        <x:v>Round1</x:v>
      </x:c>
      <x:c r="D831" s="25" t="str">
        <x:v>NOT_REVEALING</x:v>
      </x:c>
      <x:c r="E831" s="25" t="str">
        <x:v>N/A</x:v>
      </x:c>
      <x:c r="F831" s="26" t="str">
        <x:v>Same saved validation suite passed on buggy and fixed</x:v>
      </x:c>
      <x:c r="G831" s="25" t="str">
        <x:v>true</x:v>
      </x:c>
      <x:c r="H831" s="25" t="str">
        <x:v>NOT_REVEALING</x:v>
      </x:c>
      <x:c r="I831" s="25" t="str">
        <x:v>PASS</x:v>
      </x:c>
      <x:c r="J831" s="25" t="str">
        <x:v>PASS</x:v>
      </x:c>
      <x:c r="K831" s="25" t="n">
        <x:v>2</x:v>
      </x:c>
      <x:c r="L831" s="27" t="b">
        <x:v>0</x:v>
      </x:c>
      <x:c r="M831" s="25" t="str">
        <x:v>Feedback-Directed Random Test Generation/rounds/Round1/state/Time.json</x:v>
      </x:c>
      <x:c r="N831" s="25" t="str">
        <x:v>Feedback-Directed Random Test Generation/Result/Time_2/result.json</x:v>
      </x:c>
      <x:c r="O831" s="25" t="str">
        <x:v>Feedback-Directed Random Test Generation/Result/Time_2/result.json</x:v>
      </x:c>
      <x:c r="P831"/>
      <x:c r="Q831" s="21" t="str"/>
      <x:c r="R831" s="21" t="str"/>
      <x:c r="S831" s="21" t="str"/>
      <x:c r="T831" s="17" t="str">
        <x:v>false</x:v>
      </x:c>
      <x:c r="U831" s="17" t="str">
        <x:v>true</x:v>
      </x:c>
      <x:c r="V831" s="17" t="str">
        <x:v>false</x:v>
      </x:c>
    </x:row>
    <x:row r="832" ht="80" customHeight="1">
      <x:c r="A832" s="25" t="str">
        <x:v>Time</x:v>
      </x:c>
      <x:c r="B832" s="25" t="n">
        <x:v>3</x:v>
      </x:c>
      <x:c r="C832" s="25" t="str">
        <x:v>Round1</x:v>
      </x:c>
      <x:c r="D832" s="25" t="str">
        <x:v>INCONCLUSIVE</x:v>
      </x:c>
      <x:c r="E832" s="25" t="str">
        <x:v>N/A</x:v>
      </x:c>
      <x:c r="F832" s="26" t="str">
        <x:v>Fixed also failed; assertion failure cannot be attributed to this bug; Assertions failed with measured coverage; paired execution and stage checks determine status</x:v>
      </x:c>
      <x:c r="G832" s="25" t="str">
        <x:v>true</x:v>
      </x:c>
      <x:c r="H832" s="25" t="str">
        <x:v>INCONCLUSIVE</x:v>
      </x:c>
      <x:c r="I832" s="25" t="str">
        <x:v>FAIL</x:v>
      </x:c>
      <x:c r="J832" s="25" t="str">
        <x:v>FAIL</x:v>
      </x:c>
      <x:c r="K832" s="25" t="n">
        <x:v>2</x:v>
      </x:c>
      <x:c r="L832" s="27" t="b">
        <x:v>0</x:v>
      </x:c>
      <x:c r="M832" s="25" t="str">
        <x:v>Feedback-Directed Random Test Generation/rounds/Round1/state/Time.json</x:v>
      </x:c>
      <x:c r="N832" s="25" t="str">
        <x:v>Feedback-Directed Random Test Generation/Result/Time_3/result.json</x:v>
      </x:c>
      <x:c r="O832" s="25" t="str">
        <x:v>Feedback-Directed Random Test Generation/Result/Time_3/result.json</x:v>
      </x:c>
      <x:c r="P832"/>
      <x:c r="Q832" s="21" t="str"/>
      <x:c r="R832" s="21" t="str"/>
      <x:c r="S832" s="21" t="str"/>
      <x:c r="T832" s="17" t="str">
        <x:v>false</x:v>
      </x:c>
      <x:c r="U832" s="17" t="str">
        <x:v>true</x:v>
      </x:c>
      <x:c r="V832" s="17" t="str">
        <x:v>false</x:v>
      </x:c>
    </x:row>
    <x:row r="833" ht="80" customHeight="1">
      <x:c r="A833" s="25" t="str">
        <x:v>Time</x:v>
      </x:c>
      <x:c r="B833" s="25" t="n">
        <x:v>4</x:v>
      </x:c>
      <x:c r="C833" s="25" t="str">
        <x:v>Round1</x:v>
      </x:c>
      <x:c r="D833" s="25" t="str">
        <x:v>NOT_REVEALING</x:v>
      </x:c>
      <x:c r="E833" s="25" t="str">
        <x:v>N/A</x:v>
      </x:c>
      <x:c r="F833" s="26" t="str">
        <x:v>Same saved validation suite passed on buggy and fixed</x:v>
      </x:c>
      <x:c r="G833" s="25" t="str">
        <x:v>true</x:v>
      </x:c>
      <x:c r="H833" s="25" t="str">
        <x:v>NOT_REVEALING</x:v>
      </x:c>
      <x:c r="I833" s="25" t="str">
        <x:v>PASS</x:v>
      </x:c>
      <x:c r="J833" s="25" t="str">
        <x:v>PASS</x:v>
      </x:c>
      <x:c r="K833" s="25" t="n">
        <x:v>2</x:v>
      </x:c>
      <x:c r="L833" s="27" t="b">
        <x:v>0</x:v>
      </x:c>
      <x:c r="M833" s="25" t="str">
        <x:v>Feedback-Directed Random Test Generation/rounds/Round1/state/Time.json</x:v>
      </x:c>
      <x:c r="N833" s="25" t="str">
        <x:v>Feedback-Directed Random Test Generation/Result/Time_4/result.json</x:v>
      </x:c>
      <x:c r="O833" s="25" t="str">
        <x:v>Feedback-Directed Random Test Generation/Result/Time_4/result.json</x:v>
      </x:c>
      <x:c r="P833"/>
      <x:c r="Q833" s="21" t="str"/>
      <x:c r="R833" s="21" t="str"/>
      <x:c r="S833" s="21" t="str"/>
      <x:c r="T833" s="17" t="str">
        <x:v>false</x:v>
      </x:c>
      <x:c r="U833" s="17" t="str">
        <x:v>true</x:v>
      </x:c>
      <x:c r="V833" s="17" t="str">
        <x:v>false</x:v>
      </x:c>
    </x:row>
    <x:row r="834" ht="80" customHeight="1">
      <x:c r="A834" s="25" t="str">
        <x:v>Time</x:v>
      </x:c>
      <x:c r="B834" s="25" t="n">
        <x:v>5</x:v>
      </x:c>
      <x:c r="C834" s="25" t="str">
        <x:v>Round1</x:v>
      </x:c>
      <x:c r="D834" s="25" t="str">
        <x:v>NOT_REVEALING</x:v>
      </x:c>
      <x:c r="E834" s="25" t="str">
        <x:v>N/A</x:v>
      </x:c>
      <x:c r="F834" s="26" t="str">
        <x:v>Same saved validation suite passed on buggy and fixed</x:v>
      </x:c>
      <x:c r="G834" s="25" t="str">
        <x:v>true</x:v>
      </x:c>
      <x:c r="H834" s="25" t="str">
        <x:v>NOT_REVEALING</x:v>
      </x:c>
      <x:c r="I834" s="25" t="str">
        <x:v>PASS</x:v>
      </x:c>
      <x:c r="J834" s="25" t="str">
        <x:v>PASS</x:v>
      </x:c>
      <x:c r="K834" s="25" t="n">
        <x:v>2</x:v>
      </x:c>
      <x:c r="L834" s="27" t="b">
        <x:v>0</x:v>
      </x:c>
      <x:c r="M834" s="25" t="str">
        <x:v>Feedback-Directed Random Test Generation/rounds/Round1/state/Time.json</x:v>
      </x:c>
      <x:c r="N834" s="25" t="str">
        <x:v>Feedback-Directed Random Test Generation/Result/Time_5/result.json</x:v>
      </x:c>
      <x:c r="O834" s="25" t="str">
        <x:v>Feedback-Directed Random Test Generation/Result/Time_5/result.json</x:v>
      </x:c>
      <x:c r="P834"/>
      <x:c r="Q834" s="21" t="str"/>
      <x:c r="R834" s="21" t="str"/>
      <x:c r="S834" s="21" t="str"/>
      <x:c r="T834" s="17" t="str">
        <x:v>false</x:v>
      </x:c>
      <x:c r="U834" s="17" t="str">
        <x:v>true</x:v>
      </x:c>
      <x:c r="V834" s="17" t="str">
        <x:v>false</x:v>
      </x:c>
    </x:row>
    <x:row r="835" ht="80" customHeight="1">
      <x:c r="A835" s="25" t="str">
        <x:v>Time</x:v>
      </x:c>
      <x:c r="B835" s="25" t="n">
        <x:v>6</x:v>
      </x:c>
      <x:c r="C835" s="25" t="str">
        <x:v>Round1</x:v>
      </x:c>
      <x:c r="D835" s="25" t="str">
        <x:v>NOT_REVEALING</x:v>
      </x:c>
      <x:c r="E835" s="25" t="str">
        <x:v>N/A</x:v>
      </x:c>
      <x:c r="F835" s="26" t="str">
        <x:v>Same saved validation suite passed on buggy and fixed</x:v>
      </x:c>
      <x:c r="G835" s="25" t="str">
        <x:v>true</x:v>
      </x:c>
      <x:c r="H835" s="25" t="str">
        <x:v>NOT_REVEALING</x:v>
      </x:c>
      <x:c r="I835" s="25" t="str">
        <x:v>PASS</x:v>
      </x:c>
      <x:c r="J835" s="25" t="str">
        <x:v>PASS</x:v>
      </x:c>
      <x:c r="K835" s="25" t="n">
        <x:v>2</x:v>
      </x:c>
      <x:c r="L835" s="27" t="b">
        <x:v>0</x:v>
      </x:c>
      <x:c r="M835" s="25" t="str">
        <x:v>Feedback-Directed Random Test Generation/rounds/Round1/state/Time.json</x:v>
      </x:c>
      <x:c r="N835" s="25" t="str">
        <x:v>Feedback-Directed Random Test Generation/Result/Time_6/result.json</x:v>
      </x:c>
      <x:c r="O835" s="25" t="str">
        <x:v>Feedback-Directed Random Test Generation/Result/Time_6/result.json</x:v>
      </x:c>
      <x:c r="P835"/>
      <x:c r="Q835" s="21" t="str"/>
      <x:c r="R835" s="21" t="str"/>
      <x:c r="S835" s="21" t="str"/>
      <x:c r="T835" s="17" t="str">
        <x:v>false</x:v>
      </x:c>
      <x:c r="U835" s="17" t="str">
        <x:v>true</x:v>
      </x:c>
      <x:c r="V835" s="17" t="str">
        <x:v>false</x:v>
      </x:c>
    </x:row>
    <x:row r="836" ht="80" customHeight="1">
      <x:c r="A836" s="25" t="str">
        <x:v>Time</x:v>
      </x:c>
      <x:c r="B836" s="25" t="n">
        <x:v>7</x:v>
      </x:c>
      <x:c r="C836" s="25" t="str">
        <x:v>Round1</x:v>
      </x:c>
      <x:c r="D836" s="25" t="str">
        <x:v>NOT_REVEALING</x:v>
      </x:c>
      <x:c r="E836" s="25" t="str">
        <x:v>N/A</x:v>
      </x:c>
      <x:c r="F836" s="26" t="str">
        <x:v>Same saved validation suite passed on buggy and fixed</x:v>
      </x:c>
      <x:c r="G836" s="25" t="str">
        <x:v>true</x:v>
      </x:c>
      <x:c r="H836" s="25" t="str">
        <x:v>NOT_REVEALING</x:v>
      </x:c>
      <x:c r="I836" s="25" t="str">
        <x:v>PASS</x:v>
      </x:c>
      <x:c r="J836" s="25" t="str">
        <x:v>PASS</x:v>
      </x:c>
      <x:c r="K836" s="25" t="n">
        <x:v>2</x:v>
      </x:c>
      <x:c r="L836" s="27" t="b">
        <x:v>0</x:v>
      </x:c>
      <x:c r="M836" s="25" t="str">
        <x:v>Feedback-Directed Random Test Generation/rounds/Round1/state/Time.json</x:v>
      </x:c>
      <x:c r="N836" s="25" t="str">
        <x:v>Feedback-Directed Random Test Generation/Result/Time_7/result.json</x:v>
      </x:c>
      <x:c r="O836" s="25" t="str">
        <x:v>Feedback-Directed Random Test Generation/Result/Time_7/result.json</x:v>
      </x:c>
      <x:c r="P836"/>
      <x:c r="Q836" s="21" t="str"/>
      <x:c r="R836" s="21" t="str"/>
      <x:c r="S836" s="21" t="str"/>
      <x:c r="T836" s="17" t="str">
        <x:v>false</x:v>
      </x:c>
      <x:c r="U836" s="17" t="str">
        <x:v>true</x:v>
      </x:c>
      <x:c r="V836" s="17" t="str">
        <x:v>false</x:v>
      </x:c>
    </x:row>
    <x:row r="837" ht="80" customHeight="1">
      <x:c r="A837" s="25" t="str">
        <x:v>Time</x:v>
      </x:c>
      <x:c r="B837" s="25" t="n">
        <x:v>8</x:v>
      </x:c>
      <x:c r="C837" s="25" t="str">
        <x:v>Round1</x:v>
      </x:c>
      <x:c r="D837" s="25" t="str">
        <x:v>INCONCLUSIVE</x:v>
      </x:c>
      <x:c r="E837" s="25" t="str">
        <x:v>N/A</x:v>
      </x:c>
      <x:c r="F837" s="26" t="str">
        <x:v>Fixed also failed; assertion failure cannot be attributed to this bug; Assertions failed with measured coverage; paired execution and stage checks determine status</x:v>
      </x:c>
      <x:c r="G837" s="25" t="str">
        <x:v>true</x:v>
      </x:c>
      <x:c r="H837" s="25" t="str">
        <x:v>INCONCLUSIVE</x:v>
      </x:c>
      <x:c r="I837" s="25" t="str">
        <x:v>FAIL</x:v>
      </x:c>
      <x:c r="J837" s="25" t="str">
        <x:v>FAIL</x:v>
      </x:c>
      <x:c r="K837" s="25" t="n">
        <x:v>2</x:v>
      </x:c>
      <x:c r="L837" s="27" t="b">
        <x:v>0</x:v>
      </x:c>
      <x:c r="M837" s="25" t="str">
        <x:v>Feedback-Directed Random Test Generation/rounds/Round1/state/Time.json</x:v>
      </x:c>
      <x:c r="N837" s="25" t="str">
        <x:v>Feedback-Directed Random Test Generation/Result/Time_8/result.json</x:v>
      </x:c>
      <x:c r="O837" s="25" t="str">
        <x:v>Feedback-Directed Random Test Generation/Result/Time_8/result.json</x:v>
      </x:c>
      <x:c r="P837"/>
      <x:c r="Q837" s="21" t="str"/>
      <x:c r="R837" s="21" t="str"/>
      <x:c r="S837" s="21" t="str"/>
      <x:c r="T837" s="17" t="str">
        <x:v>false</x:v>
      </x:c>
      <x:c r="U837" s="17" t="str">
        <x:v>true</x:v>
      </x:c>
      <x:c r="V837" s="17" t="str">
        <x:v>false</x:v>
      </x:c>
    </x:row>
    <x:row r="838" ht="80" customHeight="1">
      <x:c r="A838" s="25" t="str">
        <x:v>Time</x:v>
      </x:c>
      <x:c r="B838" s="25" t="n">
        <x:v>9</x:v>
      </x:c>
      <x:c r="C838" s="25" t="str">
        <x:v>Round1</x:v>
      </x:c>
      <x:c r="D838" s="25" t="str">
        <x:v>INCONCLUSIVE</x:v>
      </x:c>
      <x:c r="E838" s="25" t="str">
        <x:v>N/A</x:v>
      </x:c>
      <x:c r="F838" s="26" t="str">
        <x:v>Fixed also failed; assertion failure cannot be attributed to this bug</x:v>
      </x:c>
      <x:c r="G838" s="25" t="str">
        <x:v>true</x:v>
      </x:c>
      <x:c r="H838" s="25" t="str">
        <x:v>INCONCLUSIVE</x:v>
      </x:c>
      <x:c r="I838" s="25" t="str">
        <x:v>PASS</x:v>
      </x:c>
      <x:c r="J838" s="25" t="str">
        <x:v>FAIL</x:v>
      </x:c>
      <x:c r="K838" s="25" t="n">
        <x:v>2</x:v>
      </x:c>
      <x:c r="L838" s="27" t="b">
        <x:v>0</x:v>
      </x:c>
      <x:c r="M838" s="25" t="str">
        <x:v>Feedback-Directed Random Test Generation/rounds/Round1/state/Time.json</x:v>
      </x:c>
      <x:c r="N838" s="25" t="str">
        <x:v>Feedback-Directed Random Test Generation/Result/Time_9/result.json</x:v>
      </x:c>
      <x:c r="O838" s="25" t="str">
        <x:v>Feedback-Directed Random Test Generation/Result/Time_9/result.json</x:v>
      </x:c>
      <x:c r="P838"/>
      <x:c r="Q838" s="21" t="str"/>
      <x:c r="R838" s="21" t="str"/>
      <x:c r="S838" s="21" t="str"/>
      <x:c r="T838" s="17" t="str">
        <x:v>false</x:v>
      </x:c>
      <x:c r="U838" s="17" t="str">
        <x:v>true</x:v>
      </x:c>
      <x:c r="V838" s="17" t="str">
        <x:v>false</x:v>
      </x:c>
    </x:row>
    <x:row r="839" ht="80" customHeight="1">
      <x:c r="A839" s="25" t="str">
        <x:v>Time</x:v>
      </x:c>
      <x:c r="B839" s="25" t="n">
        <x:v>10</x:v>
      </x:c>
      <x:c r="C839" s="25" t="str">
        <x:v>Round1</x:v>
      </x:c>
      <x:c r="D839" s="25" t="str">
        <x:v>NOT_REVEALING</x:v>
      </x:c>
      <x:c r="E839" s="25" t="str">
        <x:v>N/A</x:v>
      </x:c>
      <x:c r="F839" s="26" t="str">
        <x:v>Same saved validation suite passed on buggy and fixed</x:v>
      </x:c>
      <x:c r="G839" s="25" t="str">
        <x:v>true</x:v>
      </x:c>
      <x:c r="H839" s="25" t="str">
        <x:v>NOT_REVEALING</x:v>
      </x:c>
      <x:c r="I839" s="25" t="str">
        <x:v>PASS</x:v>
      </x:c>
      <x:c r="J839" s="25" t="str">
        <x:v>PASS</x:v>
      </x:c>
      <x:c r="K839" s="25" t="n">
        <x:v>2</x:v>
      </x:c>
      <x:c r="L839" s="27" t="b">
        <x:v>0</x:v>
      </x:c>
      <x:c r="M839" s="25" t="str">
        <x:v>Feedback-Directed Random Test Generation/rounds/Round1/state/Time.json</x:v>
      </x:c>
      <x:c r="N839" s="25" t="str">
        <x:v>Feedback-Directed Random Test Generation/Result/Time_10/result.json</x:v>
      </x:c>
      <x:c r="O839" s="25" t="str">
        <x:v>Feedback-Directed Random Test Generation/Result/Time_10/result.json</x:v>
      </x:c>
      <x:c r="P839"/>
      <x:c r="Q839" s="21" t="str"/>
      <x:c r="R839" s="21" t="str"/>
      <x:c r="S839" s="21" t="str"/>
      <x:c r="T839" s="17" t="str">
        <x:v>false</x:v>
      </x:c>
      <x:c r="U839" s="17" t="str">
        <x:v>true</x:v>
      </x:c>
      <x:c r="V839" s="17" t="str">
        <x:v>false</x:v>
      </x:c>
    </x:row>
    <x:row r="840" ht="80" customHeight="1">
      <x:c r="A840" s="25" t="str">
        <x:v>Time</x:v>
      </x:c>
      <x:c r="B840" s="25" t="n">
        <x:v>11</x:v>
      </x:c>
      <x:c r="C840" s="25" t="str">
        <x:v>Round1</x:v>
      </x:c>
      <x:c r="D840" s="25" t="str">
        <x:v>NOT_REVEALING</x:v>
      </x:c>
      <x:c r="E840" s="25" t="str">
        <x:v>N/A</x:v>
      </x:c>
      <x:c r="F840" s="26" t="str">
        <x:v>Same saved validation suite passed on buggy and fixed</x:v>
      </x:c>
      <x:c r="G840" s="25" t="str">
        <x:v>true</x:v>
      </x:c>
      <x:c r="H840" s="25" t="str">
        <x:v>NOT_REVEALING</x:v>
      </x:c>
      <x:c r="I840" s="25" t="str">
        <x:v>PASS</x:v>
      </x:c>
      <x:c r="J840" s="25" t="str">
        <x:v>PASS</x:v>
      </x:c>
      <x:c r="K840" s="25" t="n">
        <x:v>4</x:v>
      </x:c>
      <x:c r="L840" s="27" t="b">
        <x:v>0</x:v>
      </x:c>
      <x:c r="M840" s="25" t="str">
        <x:v>Feedback-Directed Random Test Generation/rounds/Round1/state/Time.json</x:v>
      </x:c>
      <x:c r="N840" s="25" t="str">
        <x:v>Feedback-Directed Random Test Generation/Result/Time_11/result.json</x:v>
      </x:c>
      <x:c r="O840" s="25" t="str">
        <x:v>Feedback-Directed Random Test Generation/Result/Time_11/result.json</x:v>
      </x:c>
      <x:c r="P840"/>
      <x:c r="Q840" s="21" t="str"/>
      <x:c r="R840" s="21" t="str"/>
      <x:c r="S840" s="21" t="str"/>
      <x:c r="T840" s="17" t="str">
        <x:v>false</x:v>
      </x:c>
      <x:c r="U840" s="17" t="str">
        <x:v>true</x:v>
      </x:c>
      <x:c r="V840" s="17" t="str">
        <x:v>false</x:v>
      </x:c>
    </x:row>
    <x:row r="841" ht="80" customHeight="1">
      <x:c r="A841" s="25" t="str">
        <x:v>Time</x:v>
      </x:c>
      <x:c r="B841" s="25" t="n">
        <x:v>12</x:v>
      </x:c>
      <x:c r="C841" s="25" t="str">
        <x:v>Round1</x:v>
      </x:c>
      <x:c r="D841" s="25" t="str">
        <x:v>INCONCLUSIVE</x:v>
      </x:c>
      <x:c r="E841" s="25" t="str">
        <x:v>N/A</x:v>
      </x:c>
      <x:c r="F841" s="26" t="str">
        <x:v>Fixed also failed; assertion failure cannot be attributed to this bug; Assertions failed with measured coverage; paired execution and stage checks determine status</x:v>
      </x:c>
      <x:c r="G841" s="25" t="str">
        <x:v>true</x:v>
      </x:c>
      <x:c r="H841" s="25" t="str">
        <x:v>INCONCLUSIVE</x:v>
      </x:c>
      <x:c r="I841" s="25" t="str">
        <x:v>FAIL</x:v>
      </x:c>
      <x:c r="J841" s="25" t="str">
        <x:v>FAIL</x:v>
      </x:c>
      <x:c r="K841" s="25" t="n">
        <x:v>2</x:v>
      </x:c>
      <x:c r="L841" s="27" t="b">
        <x:v>0</x:v>
      </x:c>
      <x:c r="M841" s="25" t="str">
        <x:v>Feedback-Directed Random Test Generation/rounds/Round1/state/Time.json</x:v>
      </x:c>
      <x:c r="N841" s="25" t="str">
        <x:v>Feedback-Directed Random Test Generation/Result/Time_12/result.json</x:v>
      </x:c>
      <x:c r="O841" s="25" t="str">
        <x:v>Feedback-Directed Random Test Generation/Result/Time_12/result.json</x:v>
      </x:c>
      <x:c r="P841"/>
      <x:c r="Q841" s="21" t="str"/>
      <x:c r="R841" s="21" t="str"/>
      <x:c r="S841" s="21" t="str"/>
      <x:c r="T841" s="17" t="str">
        <x:v>false</x:v>
      </x:c>
      <x:c r="U841" s="17" t="str">
        <x:v>true</x:v>
      </x:c>
      <x:c r="V841" s="17" t="str">
        <x:v>false</x:v>
      </x:c>
    </x:row>
    <x:row r="842" ht="80" customHeight="1">
      <x:c r="A842" s="25" t="str">
        <x:v>Time</x:v>
      </x:c>
      <x:c r="B842" s="25" t="n">
        <x:v>13</x:v>
      </x:c>
      <x:c r="C842" s="25" t="str">
        <x:v>Round1</x:v>
      </x:c>
      <x:c r="D842" s="25" t="str">
        <x:v>NOT_REVEALING</x:v>
      </x:c>
      <x:c r="E842" s="25" t="str">
        <x:v>N/A</x:v>
      </x:c>
      <x:c r="F842" s="26" t="str">
        <x:v>Same saved validation suite passed on buggy and fixed</x:v>
      </x:c>
      <x:c r="G842" s="25" t="str">
        <x:v>true</x:v>
      </x:c>
      <x:c r="H842" s="25" t="str">
        <x:v>NOT_REVEALING</x:v>
      </x:c>
      <x:c r="I842" s="25" t="str">
        <x:v>PASS</x:v>
      </x:c>
      <x:c r="J842" s="25" t="str">
        <x:v>PASS</x:v>
      </x:c>
      <x:c r="K842" s="25" t="n">
        <x:v>2</x:v>
      </x:c>
      <x:c r="L842" s="27" t="b">
        <x:v>0</x:v>
      </x:c>
      <x:c r="M842" s="25" t="str">
        <x:v>Feedback-Directed Random Test Generation/rounds/Round1/state/Time.json</x:v>
      </x:c>
      <x:c r="N842" s="25" t="str">
        <x:v>Feedback-Directed Random Test Generation/Result/Time_13/result.json</x:v>
      </x:c>
      <x:c r="O842" s="25" t="str">
        <x:v>Feedback-Directed Random Test Generation/Result/Time_13/result.json</x:v>
      </x:c>
      <x:c r="P842"/>
      <x:c r="Q842" s="21" t="str"/>
      <x:c r="R842" s="21" t="str"/>
      <x:c r="S842" s="21" t="str"/>
      <x:c r="T842" s="17" t="str">
        <x:v>false</x:v>
      </x:c>
      <x:c r="U842" s="17" t="str">
        <x:v>true</x:v>
      </x:c>
      <x:c r="V842" s="17" t="str">
        <x:v>false</x:v>
      </x:c>
    </x:row>
    <x:row r="843" ht="80" customHeight="1">
      <x:c r="A843" s="25" t="str">
        <x:v>Time</x:v>
      </x:c>
      <x:c r="B843" s="25" t="n">
        <x:v>14</x:v>
      </x:c>
      <x:c r="C843" s="25" t="str">
        <x:v>Round1</x:v>
      </x:c>
      <x:c r="D843" s="25" t="str">
        <x:v>NOT_REVEALING</x:v>
      </x:c>
      <x:c r="E843" s="25" t="str">
        <x:v>N/A</x:v>
      </x:c>
      <x:c r="F843" s="26" t="str">
        <x:v>Same saved validation suite passed on buggy and fixed</x:v>
      </x:c>
      <x:c r="G843" s="25" t="str">
        <x:v>true</x:v>
      </x:c>
      <x:c r="H843" s="25" t="str">
        <x:v>NOT_REVEALING</x:v>
      </x:c>
      <x:c r="I843" s="25" t="str">
        <x:v>PASS</x:v>
      </x:c>
      <x:c r="J843" s="25" t="str">
        <x:v>PASS</x:v>
      </x:c>
      <x:c r="K843" s="25" t="n">
        <x:v>2</x:v>
      </x:c>
      <x:c r="L843" s="27" t="b">
        <x:v>0</x:v>
      </x:c>
      <x:c r="M843" s="25" t="str">
        <x:v>Feedback-Directed Random Test Generation/rounds/Round1/state/Time.json</x:v>
      </x:c>
      <x:c r="N843" s="25" t="str">
        <x:v>Feedback-Directed Random Test Generation/Result/Time_14/result.json</x:v>
      </x:c>
      <x:c r="O843" s="25" t="str">
        <x:v>Feedback-Directed Random Test Generation/Result/Time_14/result.json</x:v>
      </x:c>
      <x:c r="P843"/>
      <x:c r="Q843" s="21" t="str"/>
      <x:c r="R843" s="21" t="str"/>
      <x:c r="S843" s="21" t="str"/>
      <x:c r="T843" s="17" t="str">
        <x:v>false</x:v>
      </x:c>
      <x:c r="U843" s="17" t="str">
        <x:v>true</x:v>
      </x:c>
      <x:c r="V843" s="17" t="str">
        <x:v>false</x:v>
      </x:c>
    </x:row>
    <x:row r="844" ht="80" customHeight="1">
      <x:c r="A844" s="25" t="str">
        <x:v>Time</x:v>
      </x:c>
      <x:c r="B844" s="25" t="n">
        <x:v>15</x:v>
      </x:c>
      <x:c r="C844" s="25" t="str">
        <x:v>Round1</x:v>
      </x:c>
      <x:c r="D844" s="25" t="str">
        <x:v>NOT_REVEALING</x:v>
      </x:c>
      <x:c r="E844" s="25" t="str">
        <x:v>N/A</x:v>
      </x:c>
      <x:c r="F844" s="26" t="str">
        <x:v>Same saved validation suite passed on buggy and fixed</x:v>
      </x:c>
      <x:c r="G844" s="25" t="str">
        <x:v>true</x:v>
      </x:c>
      <x:c r="H844" s="25" t="str">
        <x:v>NOT_REVEALING</x:v>
      </x:c>
      <x:c r="I844" s="25" t="str">
        <x:v>PASS</x:v>
      </x:c>
      <x:c r="J844" s="25" t="str">
        <x:v>PASS</x:v>
      </x:c>
      <x:c r="K844" s="25" t="n">
        <x:v>2</x:v>
      </x:c>
      <x:c r="L844" s="27" t="b">
        <x:v>0</x:v>
      </x:c>
      <x:c r="M844" s="25" t="str">
        <x:v>Feedback-Directed Random Test Generation/rounds/Round1/state/Time.json</x:v>
      </x:c>
      <x:c r="N844" s="25" t="str">
        <x:v>Feedback-Directed Random Test Generation/Result/Time_15/result.json</x:v>
      </x:c>
      <x:c r="O844" s="25" t="str">
        <x:v>Feedback-Directed Random Test Generation/Result/Time_15/result.json</x:v>
      </x:c>
      <x:c r="P844"/>
      <x:c r="Q844" s="21" t="str"/>
      <x:c r="R844" s="21" t="str"/>
      <x:c r="S844" s="21" t="str"/>
      <x:c r="T844" s="17" t="str">
        <x:v>false</x:v>
      </x:c>
      <x:c r="U844" s="17" t="str">
        <x:v>true</x:v>
      </x:c>
      <x:c r="V844" s="17" t="str">
        <x:v>false</x:v>
      </x:c>
    </x:row>
    <x:row r="845" ht="80" customHeight="1">
      <x:c r="A845" s="25" t="str">
        <x:v>Time</x:v>
      </x:c>
      <x:c r="B845" s="25" t="n">
        <x:v>16</x:v>
      </x:c>
      <x:c r="C845" s="25" t="str">
        <x:v>Round1</x:v>
      </x:c>
      <x:c r="D845" s="25" t="str">
        <x:v>NOT_REVEALING</x:v>
      </x:c>
      <x:c r="E845" s="25" t="str">
        <x:v>N/A</x:v>
      </x:c>
      <x:c r="F845" s="26" t="str">
        <x:v>Same saved validation suite passed on buggy and fixed</x:v>
      </x:c>
      <x:c r="G845" s="25" t="str">
        <x:v>true</x:v>
      </x:c>
      <x:c r="H845" s="25" t="str">
        <x:v>NOT_REVEALING</x:v>
      </x:c>
      <x:c r="I845" s="25" t="str">
        <x:v>PASS</x:v>
      </x:c>
      <x:c r="J845" s="25" t="str">
        <x:v>PASS</x:v>
      </x:c>
      <x:c r="K845" s="25" t="n">
        <x:v>2</x:v>
      </x:c>
      <x:c r="L845" s="27" t="b">
        <x:v>0</x:v>
      </x:c>
      <x:c r="M845" s="25" t="str">
        <x:v>Feedback-Directed Random Test Generation/rounds/Round1/state/Time.json</x:v>
      </x:c>
      <x:c r="N845" s="25" t="str">
        <x:v>Feedback-Directed Random Test Generation/Result/Time_16/result.json</x:v>
      </x:c>
      <x:c r="O845" s="25" t="str">
        <x:v>Feedback-Directed Random Test Generation/Result/Time_16/result.json</x:v>
      </x:c>
      <x:c r="P845"/>
      <x:c r="Q845" s="21" t="str"/>
      <x:c r="R845" s="21" t="str"/>
      <x:c r="S845" s="21" t="str"/>
      <x:c r="T845" s="17" t="str">
        <x:v>false</x:v>
      </x:c>
      <x:c r="U845" s="17" t="str">
        <x:v>true</x:v>
      </x:c>
      <x:c r="V845" s="17" t="str">
        <x:v>false</x:v>
      </x:c>
    </x:row>
    <x:row r="846" ht="80" customHeight="1">
      <x:c r="A846" s="25" t="str">
        <x:v>Time</x:v>
      </x:c>
      <x:c r="B846" s="25" t="n">
        <x:v>17</x:v>
      </x:c>
      <x:c r="C846" s="25" t="str">
        <x:v>Round1</x:v>
      </x:c>
      <x:c r="D846" s="25" t="str">
        <x:v>NOT_REVEALING</x:v>
      </x:c>
      <x:c r="E846" s="25" t="str">
        <x:v>N/A</x:v>
      </x:c>
      <x:c r="F846" s="26" t="str">
        <x:v>Same saved validation suite passed on buggy and fixed</x:v>
      </x:c>
      <x:c r="G846" s="25" t="str">
        <x:v>true</x:v>
      </x:c>
      <x:c r="H846" s="25" t="str">
        <x:v>NOT_REVEALING</x:v>
      </x:c>
      <x:c r="I846" s="25" t="str">
        <x:v>PASS</x:v>
      </x:c>
      <x:c r="J846" s="25" t="str">
        <x:v>PASS</x:v>
      </x:c>
      <x:c r="K846" s="25" t="n">
        <x:v>2</x:v>
      </x:c>
      <x:c r="L846" s="27" t="b">
        <x:v>0</x:v>
      </x:c>
      <x:c r="M846" s="25" t="str">
        <x:v>Feedback-Directed Random Test Generation/rounds/Round1/state/Time.json</x:v>
      </x:c>
      <x:c r="N846" s="25" t="str">
        <x:v>Feedback-Directed Random Test Generation/Result/Time_17/result.json</x:v>
      </x:c>
      <x:c r="O846" s="25" t="str">
        <x:v>Feedback-Directed Random Test Generation/Result/Time_17/result.json</x:v>
      </x:c>
      <x:c r="P846"/>
      <x:c r="Q846" s="21" t="str"/>
      <x:c r="R846" s="21" t="str"/>
      <x:c r="S846" s="21" t="str"/>
      <x:c r="T846" s="17" t="str">
        <x:v>false</x:v>
      </x:c>
      <x:c r="U846" s="17" t="str">
        <x:v>true</x:v>
      </x:c>
      <x:c r="V846" s="17" t="str">
        <x:v>false</x:v>
      </x:c>
    </x:row>
    <x:row r="847" ht="80" customHeight="1">
      <x:c r="A847" s="25" t="str">
        <x:v>Time</x:v>
      </x:c>
      <x:c r="B847" s="25" t="n">
        <x:v>18</x:v>
      </x:c>
      <x:c r="C847" s="25" t="str">
        <x:v>Round1</x:v>
      </x:c>
      <x:c r="D847" s="25" t="str">
        <x:v>NOT_REVEALING</x:v>
      </x:c>
      <x:c r="E847" s="25" t="str">
        <x:v>N/A</x:v>
      </x:c>
      <x:c r="F847" s="26" t="str">
        <x:v>Same saved validation suite passed on buggy and fixed</x:v>
      </x:c>
      <x:c r="G847" s="25" t="str">
        <x:v>true</x:v>
      </x:c>
      <x:c r="H847" s="25" t="str">
        <x:v>NOT_REVEALING</x:v>
      </x:c>
      <x:c r="I847" s="25" t="str">
        <x:v>PASS</x:v>
      </x:c>
      <x:c r="J847" s="25" t="str">
        <x:v>PASS</x:v>
      </x:c>
      <x:c r="K847" s="25" t="n">
        <x:v>2</x:v>
      </x:c>
      <x:c r="L847" s="27" t="b">
        <x:v>0</x:v>
      </x:c>
      <x:c r="M847" s="25" t="str">
        <x:v>Feedback-Directed Random Test Generation/rounds/Round1/state/Time.json</x:v>
      </x:c>
      <x:c r="N847" s="25" t="str">
        <x:v>Feedback-Directed Random Test Generation/Result/Time_18/result.json</x:v>
      </x:c>
      <x:c r="O847" s="25" t="str">
        <x:v>Feedback-Directed Random Test Generation/Result/Time_18/result.json</x:v>
      </x:c>
      <x:c r="P847"/>
      <x:c r="Q847" s="21" t="str"/>
      <x:c r="R847" s="21" t="str"/>
      <x:c r="S847" s="21" t="str"/>
      <x:c r="T847" s="17" t="str">
        <x:v>false</x:v>
      </x:c>
      <x:c r="U847" s="17" t="str">
        <x:v>true</x:v>
      </x:c>
      <x:c r="V847" s="17" t="str">
        <x:v>false</x:v>
      </x:c>
    </x:row>
    <x:row r="848" ht="80" customHeight="1">
      <x:c r="A848" s="25" t="str">
        <x:v>Time</x:v>
      </x:c>
      <x:c r="B848" s="25" t="n">
        <x:v>19</x:v>
      </x:c>
      <x:c r="C848" s="25" t="str">
        <x:v>Round1</x:v>
      </x:c>
      <x:c r="D848" s="25" t="str">
        <x:v>NOT_REVEALING</x:v>
      </x:c>
      <x:c r="E848" s="25" t="str">
        <x:v>N/A</x:v>
      </x:c>
      <x:c r="F848" s="26" t="str">
        <x:v>Same saved validation suite passed on buggy and fixed</x:v>
      </x:c>
      <x:c r="G848" s="25" t="str">
        <x:v>true</x:v>
      </x:c>
      <x:c r="H848" s="25" t="str">
        <x:v>NOT_REVEALING</x:v>
      </x:c>
      <x:c r="I848" s="25" t="str">
        <x:v>PASS</x:v>
      </x:c>
      <x:c r="J848" s="25" t="str">
        <x:v>PASS</x:v>
      </x:c>
      <x:c r="K848" s="25" t="n">
        <x:v>2</x:v>
      </x:c>
      <x:c r="L848" s="27" t="b">
        <x:v>0</x:v>
      </x:c>
      <x:c r="M848" s="25" t="str">
        <x:v>Feedback-Directed Random Test Generation/rounds/Round1/state/Time.json</x:v>
      </x:c>
      <x:c r="N848" s="25" t="str">
        <x:v>Feedback-Directed Random Test Generation/Result/Time_19/result.json</x:v>
      </x:c>
      <x:c r="O848" s="25" t="str">
        <x:v>Feedback-Directed Random Test Generation/Result/Time_19/result.json</x:v>
      </x:c>
      <x:c r="P848"/>
      <x:c r="Q848" s="21" t="str"/>
      <x:c r="R848" s="21" t="str"/>
      <x:c r="S848" s="21" t="str"/>
      <x:c r="T848" s="17" t="str">
        <x:v>false</x:v>
      </x:c>
      <x:c r="U848" s="17" t="str">
        <x:v>true</x:v>
      </x:c>
      <x:c r="V848" s="17" t="str">
        <x:v>false</x:v>
      </x:c>
    </x:row>
    <x:row r="849" ht="80" customHeight="1">
      <x:c r="A849" s="25" t="str">
        <x:v>Time</x:v>
      </x:c>
      <x:c r="B849" s="25" t="n">
        <x:v>20</x:v>
      </x:c>
      <x:c r="C849" s="25" t="str">
        <x:v>Round1</x:v>
      </x:c>
      <x:c r="D849" s="25" t="str">
        <x:v>NOT_REVEALING</x:v>
      </x:c>
      <x:c r="E849" s="25" t="str">
        <x:v>N/A</x:v>
      </x:c>
      <x:c r="F849" s="26" t="str">
        <x:v>Same saved validation suite passed on buggy and fixed</x:v>
      </x:c>
      <x:c r="G849" s="25" t="str">
        <x:v>true</x:v>
      </x:c>
      <x:c r="H849" s="25" t="str">
        <x:v>NOT_REVEALING</x:v>
      </x:c>
      <x:c r="I849" s="25" t="str">
        <x:v>PASS</x:v>
      </x:c>
      <x:c r="J849" s="25" t="str">
        <x:v>PASS</x:v>
      </x:c>
      <x:c r="K849" s="25" t="n">
        <x:v>2</x:v>
      </x:c>
      <x:c r="L849" s="27" t="b">
        <x:v>0</x:v>
      </x:c>
      <x:c r="M849" s="25" t="str">
        <x:v>Feedback-Directed Random Test Generation/rounds/Round1/state/Time.json</x:v>
      </x:c>
      <x:c r="N849" s="25" t="str">
        <x:v>Feedback-Directed Random Test Generation/Result/Time_20/result.json</x:v>
      </x:c>
      <x:c r="O849" s="25" t="str">
        <x:v>Feedback-Directed Random Test Generation/Result/Time_20/result.json</x:v>
      </x:c>
      <x:c r="P849"/>
      <x:c r="Q849" s="21" t="str"/>
      <x:c r="R849" s="21" t="str"/>
      <x:c r="S849" s="21" t="str"/>
      <x:c r="T849" s="17" t="str">
        <x:v>false</x:v>
      </x:c>
      <x:c r="U849" s="17" t="str">
        <x:v>true</x:v>
      </x:c>
      <x:c r="V849" s="17" t="str">
        <x:v>false</x:v>
      </x:c>
    </x:row>
    <x:row r="850" ht="80" customHeight="1">
      <x:c r="A850" s="25" t="str">
        <x:v>Time</x:v>
      </x:c>
      <x:c r="B850" s="25" t="n">
        <x:v>22</x:v>
      </x:c>
      <x:c r="C850" s="25" t="str">
        <x:v>Round1</x:v>
      </x:c>
      <x:c r="D850" s="25" t="str">
        <x:v>NOT_REVEALING</x:v>
      </x:c>
      <x:c r="E850" s="25" t="str">
        <x:v>N/A</x:v>
      </x:c>
      <x:c r="F850" s="26" t="str">
        <x:v>Same saved validation suite passed on buggy and fixed</x:v>
      </x:c>
      <x:c r="G850" s="25" t="str">
        <x:v>true</x:v>
      </x:c>
      <x:c r="H850" s="25" t="str">
        <x:v>NOT_REVEALING</x:v>
      </x:c>
      <x:c r="I850" s="25" t="str">
        <x:v>PASS</x:v>
      </x:c>
      <x:c r="J850" s="25" t="str">
        <x:v>PASS</x:v>
      </x:c>
      <x:c r="K850" s="25" t="n">
        <x:v>2</x:v>
      </x:c>
      <x:c r="L850" s="27" t="b">
        <x:v>0</x:v>
      </x:c>
      <x:c r="M850" s="25" t="str">
        <x:v>Feedback-Directed Random Test Generation/rounds/Round1/state/Time.json</x:v>
      </x:c>
      <x:c r="N850" s="25" t="str">
        <x:v>Feedback-Directed Random Test Generation/Result/Time_22/result.json</x:v>
      </x:c>
      <x:c r="O850" s="25" t="str">
        <x:v>Feedback-Directed Random Test Generation/Result/Time_22/result.json</x:v>
      </x:c>
      <x:c r="P850"/>
      <x:c r="Q850" s="21" t="str"/>
      <x:c r="R850" s="21" t="str"/>
      <x:c r="S850" s="21" t="str"/>
      <x:c r="T850" s="17" t="str">
        <x:v>false</x:v>
      </x:c>
      <x:c r="U850" s="17" t="str">
        <x:v>true</x:v>
      </x:c>
      <x:c r="V850" s="17" t="str">
        <x:v>false</x:v>
      </x:c>
    </x:row>
    <x:row r="851" ht="80" customHeight="1">
      <x:c r="A851" s="25" t="str">
        <x:v>Time</x:v>
      </x:c>
      <x:c r="B851" s="25" t="n">
        <x:v>23</x:v>
      </x:c>
      <x:c r="C851" s="25" t="str">
        <x:v>Round1</x:v>
      </x:c>
      <x:c r="D851" s="25" t="str">
        <x:v>NOT_REVEALING</x:v>
      </x:c>
      <x:c r="E851" s="25" t="str">
        <x:v>N/A</x:v>
      </x:c>
      <x:c r="F851" s="26" t="str">
        <x:v>Same saved validation suite passed on buggy and fixed</x:v>
      </x:c>
      <x:c r="G851" s="25" t="str">
        <x:v>true</x:v>
      </x:c>
      <x:c r="H851" s="25" t="str">
        <x:v>NOT_REVEALING</x:v>
      </x:c>
      <x:c r="I851" s="25" t="str">
        <x:v>PASS</x:v>
      </x:c>
      <x:c r="J851" s="25" t="str">
        <x:v>PASS</x:v>
      </x:c>
      <x:c r="K851" s="25" t="n">
        <x:v>2</x:v>
      </x:c>
      <x:c r="L851" s="27" t="b">
        <x:v>0</x:v>
      </x:c>
      <x:c r="M851" s="25" t="str">
        <x:v>Feedback-Directed Random Test Generation/rounds/Round1/state/Time.json</x:v>
      </x:c>
      <x:c r="N851" s="25" t="str">
        <x:v>Feedback-Directed Random Test Generation/Result/Time_23/result.json</x:v>
      </x:c>
      <x:c r="O851" s="25" t="str">
        <x:v>Feedback-Directed Random Test Generation/Result/Time_23/result.json</x:v>
      </x:c>
      <x:c r="P851"/>
      <x:c r="Q851" s="21" t="str"/>
      <x:c r="R851" s="21" t="str"/>
      <x:c r="S851" s="21" t="str"/>
      <x:c r="T851" s="17" t="str">
        <x:v>false</x:v>
      </x:c>
      <x:c r="U851" s="17" t="str">
        <x:v>true</x:v>
      </x:c>
      <x:c r="V851" s="17" t="str">
        <x:v>false</x:v>
      </x:c>
    </x:row>
    <x:row r="852" ht="80" customHeight="1">
      <x:c r="A852" s="25" t="str">
        <x:v>Time</x:v>
      </x:c>
      <x:c r="B852" s="25" t="n">
        <x:v>24</x:v>
      </x:c>
      <x:c r="C852" s="25" t="str">
        <x:v>Round1</x:v>
      </x:c>
      <x:c r="D852" s="25" t="str">
        <x:v>INCONCLUSIVE</x:v>
      </x:c>
      <x:c r="E852" s="25" t="str">
        <x:v>N/A</x:v>
      </x:c>
      <x:c r="F852" s="26" t="str">
        <x:v>Fixed also failed; assertion failure cannot be attributed to this bug; Assertions failed with measured coverage; paired execution and stage checks determine status</x:v>
      </x:c>
      <x:c r="G852" s="25" t="str">
        <x:v>true</x:v>
      </x:c>
      <x:c r="H852" s="25" t="str">
        <x:v>INCONCLUSIVE</x:v>
      </x:c>
      <x:c r="I852" s="25" t="str">
        <x:v>FAIL</x:v>
      </x:c>
      <x:c r="J852" s="25" t="str">
        <x:v>FAIL</x:v>
      </x:c>
      <x:c r="K852" s="25" t="n">
        <x:v>2</x:v>
      </x:c>
      <x:c r="L852" s="27" t="b">
        <x:v>0</x:v>
      </x:c>
      <x:c r="M852" s="25" t="str">
        <x:v>Feedback-Directed Random Test Generation/rounds/Round1/state/Time.json</x:v>
      </x:c>
      <x:c r="N852" s="25" t="str">
        <x:v>Feedback-Directed Random Test Generation/Result/Time_24/result.json</x:v>
      </x:c>
      <x:c r="O852" s="25" t="str">
        <x:v>Feedback-Directed Random Test Generation/Result/Time_24/result.json</x:v>
      </x:c>
      <x:c r="P852"/>
      <x:c r="Q852" s="21" t="str"/>
      <x:c r="R852" s="21" t="str"/>
      <x:c r="S852" s="21" t="str"/>
      <x:c r="T852" s="17" t="str">
        <x:v>false</x:v>
      </x:c>
      <x:c r="U852" s="17" t="str">
        <x:v>true</x:v>
      </x:c>
      <x:c r="V852" s="17" t="str">
        <x:v>false</x:v>
      </x:c>
    </x:row>
    <x:row r="853" ht="80" customHeight="1">
      <x:c r="A853" s="25" t="str">
        <x:v>Time</x:v>
      </x:c>
      <x:c r="B853" s="25" t="n">
        <x:v>25</x:v>
      </x:c>
      <x:c r="C853" s="25" t="str">
        <x:v>Round1</x:v>
      </x:c>
      <x:c r="D853" s="25" t="str">
        <x:v>INCONCLUSIVE</x:v>
      </x:c>
      <x:c r="E853" s="25" t="str">
        <x:v>N/A</x:v>
      </x:c>
      <x:c r="F853" s="26" t="str">
        <x:v>Fixed also failed; assertion failure cannot be attributed to this bug; Assertions failed with measured coverage; paired execution and stage checks determine status</x:v>
      </x:c>
      <x:c r="G853" s="25" t="str">
        <x:v>true</x:v>
      </x:c>
      <x:c r="H853" s="25" t="str">
        <x:v>INCONCLUSIVE</x:v>
      </x:c>
      <x:c r="I853" s="25" t="str">
        <x:v>FAIL</x:v>
      </x:c>
      <x:c r="J853" s="25" t="str">
        <x:v>FAIL</x:v>
      </x:c>
      <x:c r="K853" s="25" t="n">
        <x:v>2</x:v>
      </x:c>
      <x:c r="L853" s="27" t="b">
        <x:v>0</x:v>
      </x:c>
      <x:c r="M853" s="25" t="str">
        <x:v>Feedback-Directed Random Test Generation/rounds/Round1/state/Time.json</x:v>
      </x:c>
      <x:c r="N853" s="25" t="str">
        <x:v>Feedback-Directed Random Test Generation/Result/Time_25/result.json</x:v>
      </x:c>
      <x:c r="O853" s="25" t="str">
        <x:v>Feedback-Directed Random Test Generation/Result/Time_25/result.json</x:v>
      </x:c>
      <x:c r="P853"/>
      <x:c r="Q853" s="21" t="str"/>
      <x:c r="R853" s="21" t="str"/>
      <x:c r="S853" s="21" t="str"/>
      <x:c r="T853" s="17" t="str">
        <x:v>false</x:v>
      </x:c>
      <x:c r="U853" s="17" t="str">
        <x:v>true</x:v>
      </x:c>
      <x:c r="V853" s="17" t="str">
        <x:v>false</x:v>
      </x:c>
    </x:row>
    <x:row r="854" ht="80" customHeight="1">
      <x:c r="A854" s="25" t="str">
        <x:v>Time</x:v>
      </x:c>
      <x:c r="B854" s="25" t="n">
        <x:v>26</x:v>
      </x:c>
      <x:c r="C854" s="25" t="str">
        <x:v>Round1</x:v>
      </x:c>
      <x:c r="D854" s="25" t="str">
        <x:v>INCONCLUSIVE</x:v>
      </x:c>
      <x:c r="E854" s="25" t="str">
        <x:v>N/A</x:v>
      </x:c>
      <x:c r="F854" s="26" t="str">
        <x:v>Fixed also failed; assertion failure cannot be attributed to this bug; Assertions failed with measured coverage; paired execution and stage checks determine status</x:v>
      </x:c>
      <x:c r="G854" s="25" t="str">
        <x:v>true</x:v>
      </x:c>
      <x:c r="H854" s="25" t="str">
        <x:v>INCONCLUSIVE</x:v>
      </x:c>
      <x:c r="I854" s="25" t="str">
        <x:v>FAIL</x:v>
      </x:c>
      <x:c r="J854" s="25" t="str">
        <x:v>FAIL</x:v>
      </x:c>
      <x:c r="K854" s="25" t="n">
        <x:v>2</x:v>
      </x:c>
      <x:c r="L854" s="27" t="b">
        <x:v>0</x:v>
      </x:c>
      <x:c r="M854" s="25" t="str">
        <x:v>Feedback-Directed Random Test Generation/rounds/Round1/state/Time.json</x:v>
      </x:c>
      <x:c r="N854" s="25" t="str">
        <x:v>Feedback-Directed Random Test Generation/Result/Time_26/result.json</x:v>
      </x:c>
      <x:c r="O854" s="25" t="str">
        <x:v>Feedback-Directed Random Test Generation/Result/Time_26/result.json</x:v>
      </x:c>
      <x:c r="P854"/>
      <x:c r="Q854" s="21" t="str"/>
      <x:c r="R854" s="21" t="str"/>
      <x:c r="S854" s="21" t="str"/>
      <x:c r="T854" s="17" t="str">
        <x:v>false</x:v>
      </x:c>
      <x:c r="U854" s="17" t="str">
        <x:v>true</x:v>
      </x:c>
      <x:c r="V854" s="17" t="str">
        <x:v>false</x:v>
      </x:c>
    </x:row>
    <x:row r="855" ht="80" customHeight="1">
      <x:c r="A855" s="25" t="str">
        <x:v>Time</x:v>
      </x:c>
      <x:c r="B855" s="25" t="n">
        <x:v>27</x:v>
      </x:c>
      <x:c r="C855" s="25" t="str">
        <x:v>Round1</x:v>
      </x:c>
      <x:c r="D855" s="25" t="str">
        <x:v>NOT_REVEALING</x:v>
      </x:c>
      <x:c r="E855" s="25" t="str">
        <x:v>N/A</x:v>
      </x:c>
      <x:c r="F855" s="26" t="str">
        <x:v>Same saved validation suite passed on buggy and fixed</x:v>
      </x:c>
      <x:c r="G855" s="25" t="str">
        <x:v>true</x:v>
      </x:c>
      <x:c r="H855" s="25" t="str">
        <x:v>NOT_REVEALING</x:v>
      </x:c>
      <x:c r="I855" s="25" t="str">
        <x:v>PASS</x:v>
      </x:c>
      <x:c r="J855" s="25" t="str">
        <x:v>PASS</x:v>
      </x:c>
      <x:c r="K855" s="25" t="n">
        <x:v>2</x:v>
      </x:c>
      <x:c r="L855" s="27" t="b">
        <x:v>0</x:v>
      </x:c>
      <x:c r="M855" s="25" t="str">
        <x:v>Feedback-Directed Random Test Generation/rounds/Round1/state/Time.json</x:v>
      </x:c>
      <x:c r="N855" s="25" t="str">
        <x:v>Feedback-Directed Random Test Generation/Result/Time_27/result.json</x:v>
      </x:c>
      <x:c r="O855" s="25" t="str">
        <x:v>Feedback-Directed Random Test Generation/Result/Time_27/result.json</x:v>
      </x:c>
      <x:c r="P855"/>
      <x:c r="Q855" s="21" t="str"/>
      <x:c r="R855" s="21" t="str"/>
      <x:c r="S855" s="21" t="str"/>
      <x:c r="T855" s="17" t="str">
        <x:v>false</x:v>
      </x:c>
      <x:c r="U855" s="17" t="str">
        <x:v>true</x:v>
      </x:c>
      <x:c r="V855" s="17" t="str">
        <x:v>false</x:v>
      </x:c>
    </x:row>
    <x:row r="856" ht="80" customHeight="1">
      <x:c r="A856" s="25" t="str">
        <x:v>Chart</x:v>
      </x:c>
      <x:c r="B856" s="25" t="n">
        <x:v>1</x:v>
      </x:c>
      <x:c r="C856" s="25" t="str">
        <x:v>Round2</x:v>
      </x:c>
      <x:c r="D856" s="25" t="str">
        <x:v>NOT_REVEALING</x:v>
      </x:c>
      <x:c r="E856" s="25" t="str">
        <x:v>N/A</x:v>
      </x:c>
      <x:c r="F856" s="26" t="str">
        <x:v>Same saved validation suite passed on buggy and fixed</x:v>
      </x:c>
      <x:c r="G856" s="25" t="str">
        <x:v>true</x:v>
      </x:c>
      <x:c r="H856" s="25" t="str">
        <x:v>NOT_REVEALING</x:v>
      </x:c>
      <x:c r="I856" s="25" t="str">
        <x:v>PASS</x:v>
      </x:c>
      <x:c r="J856" s="25" t="str">
        <x:v>PASS</x:v>
      </x:c>
      <x:c r="K856" s="25" t="n">
        <x:v>2</x:v>
      </x:c>
      <x:c r="L856" s="27" t="b">
        <x:v>0</x:v>
      </x:c>
      <x:c r="M856" s="25" t="str">
        <x:v>Feedback-Directed Random Test Generation/rounds/Round2/state/Chart.json</x:v>
      </x:c>
      <x:c r="N856" s="25" t="str">
        <x:v>Feedback-Directed Random Test Generation/Result_Round2/Chart_1/result.json</x:v>
      </x:c>
      <x:c r="O856" s="25" t="str">
        <x:v>Feedback-Directed Random Test Generation/Result_Round2/Chart_1/result.json</x:v>
      </x:c>
      <x:c r="P856"/>
      <x:c r="Q856" s="21" t="str"/>
      <x:c r="R856" s="21" t="str"/>
      <x:c r="S856" s="21" t="str"/>
      <x:c r="T856" s="17" t="str">
        <x:v>false</x:v>
      </x:c>
      <x:c r="U856" s="17" t="str">
        <x:v>true</x:v>
      </x:c>
      <x:c r="V856" s="17" t="str">
        <x:v>false</x:v>
      </x:c>
    </x:row>
    <x:row r="857" ht="80" customHeight="1">
      <x:c r="A857" s="25" t="str">
        <x:v>Chart</x:v>
      </x:c>
      <x:c r="B857" s="25" t="n">
        <x:v>2</x:v>
      </x:c>
      <x:c r="C857" s="25" t="str">
        <x:v>Round2</x:v>
      </x:c>
      <x:c r="D857" s="25" t="str">
        <x:v>INCONCLUSIVE</x:v>
      </x:c>
      <x:c r="E857" s="25" t="str">
        <x:v>N/A</x:v>
      </x:c>
      <x:c r="F857" s="26" t="str">
        <x:v>Fixed also failed; assertion failure cannot be attributed to this bug; Assertions failed with measured coverage; paired execution and stage checks determine status</x:v>
      </x:c>
      <x:c r="G857" s="25" t="str">
        <x:v>true</x:v>
      </x:c>
      <x:c r="H857" s="25" t="str">
        <x:v>INCONCLUSIVE</x:v>
      </x:c>
      <x:c r="I857" s="25" t="str">
        <x:v>FAIL</x:v>
      </x:c>
      <x:c r="J857" s="25" t="str">
        <x:v>FAIL</x:v>
      </x:c>
      <x:c r="K857" s="25" t="n">
        <x:v>11</x:v>
      </x:c>
      <x:c r="L857" s="27" t="b">
        <x:v>0</x:v>
      </x:c>
      <x:c r="M857" s="25" t="str">
        <x:v>Feedback-Directed Random Test Generation/rounds/Round2/state/Chart.json</x:v>
      </x:c>
      <x:c r="N857" s="25" t="str">
        <x:v>Feedback-Directed Random Test Generation/Result_Round2/Chart_2/result.json</x:v>
      </x:c>
      <x:c r="O857" s="25" t="str">
        <x:v>Feedback-Directed Random Test Generation/Result_Round2/Chart_2/result.json</x:v>
      </x:c>
      <x:c r="P857"/>
      <x:c r="Q857" s="21" t="str"/>
      <x:c r="R857" s="21" t="str"/>
      <x:c r="S857" s="21" t="str"/>
      <x:c r="T857" s="17" t="str">
        <x:v>false</x:v>
      </x:c>
      <x:c r="U857" s="17" t="str">
        <x:v>true</x:v>
      </x:c>
      <x:c r="V857" s="17" t="str">
        <x:v>false</x:v>
      </x:c>
    </x:row>
    <x:row r="858" ht="80" customHeight="1">
      <x:c r="A858" s="25" t="str">
        <x:v>Chart</x:v>
      </x:c>
      <x:c r="B858" s="25" t="n">
        <x:v>3</x:v>
      </x:c>
      <x:c r="C858" s="25" t="str">
        <x:v>Round2</x:v>
      </x:c>
      <x:c r="D858" s="25" t="str">
        <x:v>NOT_REVEALING</x:v>
      </x:c>
      <x:c r="E858" s="25" t="str">
        <x:v>N/A</x:v>
      </x:c>
      <x:c r="F858" s="26" t="str">
        <x:v>Same saved validation suite passed on buggy and fixed</x:v>
      </x:c>
      <x:c r="G858" s="25" t="str">
        <x:v>true</x:v>
      </x:c>
      <x:c r="H858" s="25" t="str">
        <x:v>NOT_REVEALING</x:v>
      </x:c>
      <x:c r="I858" s="25" t="str">
        <x:v>PASS</x:v>
      </x:c>
      <x:c r="J858" s="25" t="str">
        <x:v>PASS</x:v>
      </x:c>
      <x:c r="K858" s="25" t="n">
        <x:v>6</x:v>
      </x:c>
      <x:c r="L858" s="27" t="b">
        <x:v>0</x:v>
      </x:c>
      <x:c r="M858" s="25" t="str">
        <x:v>Feedback-Directed Random Test Generation/rounds/Round2/state/Chart.json</x:v>
      </x:c>
      <x:c r="N858" s="25" t="str">
        <x:v>Feedback-Directed Random Test Generation/Result_Round2/Chart_3/result.json</x:v>
      </x:c>
      <x:c r="O858" s="25" t="str">
        <x:v>Feedback-Directed Random Test Generation/Result_Round2/Chart_3/result.json</x:v>
      </x:c>
      <x:c r="P858"/>
      <x:c r="Q858" s="21" t="str"/>
      <x:c r="R858" s="21" t="str"/>
      <x:c r="S858" s="21" t="str"/>
      <x:c r="T858" s="17" t="str">
        <x:v>false</x:v>
      </x:c>
      <x:c r="U858" s="17" t="str">
        <x:v>true</x:v>
      </x:c>
      <x:c r="V858" s="17" t="str">
        <x:v>false</x:v>
      </x:c>
    </x:row>
    <x:row r="859" ht="80" customHeight="1">
      <x:c r="A859" s="25" t="str">
        <x:v>Chart</x:v>
      </x:c>
      <x:c r="B859" s="25" t="n">
        <x:v>4</x:v>
      </x:c>
      <x:c r="C859" s="25" t="str">
        <x:v>Round2</x:v>
      </x:c>
      <x:c r="D859" s="25" t="str">
        <x:v>INCONCLUSIVE</x:v>
      </x:c>
      <x:c r="E859" s="25" t="str">
        <x:v>N/A</x:v>
      </x:c>
      <x:c r="F859" s="26" t="str">
        <x:v>Fixed also failed; assertion failure cannot be attributed to this bug; Assertions failed with measured coverage; paired execution and stage checks determine status</x:v>
      </x:c>
      <x:c r="G859" s="25" t="str">
        <x:v>true</x:v>
      </x:c>
      <x:c r="H859" s="25" t="str">
        <x:v>INCONCLUSIVE</x:v>
      </x:c>
      <x:c r="I859" s="25" t="str">
        <x:v>FAIL</x:v>
      </x:c>
      <x:c r="J859" s="25" t="str">
        <x:v>FAIL</x:v>
      </x:c>
      <x:c r="K859" s="25" t="n">
        <x:v>9</x:v>
      </x:c>
      <x:c r="L859" s="27" t="b">
        <x:v>0</x:v>
      </x:c>
      <x:c r="M859" s="25" t="str">
        <x:v>Feedback-Directed Random Test Generation/rounds/Round2/state/Chart.json</x:v>
      </x:c>
      <x:c r="N859" s="25" t="str">
        <x:v>Feedback-Directed Random Test Generation/Result_Round2/Chart_4/result.json</x:v>
      </x:c>
      <x:c r="O859" s="25" t="str">
        <x:v>Feedback-Directed Random Test Generation/Result_Round2/Chart_4/result.json</x:v>
      </x:c>
      <x:c r="P859"/>
      <x:c r="Q859" s="21" t="str"/>
      <x:c r="R859" s="21" t="str"/>
      <x:c r="S859" s="21" t="str"/>
      <x:c r="T859" s="17" t="str">
        <x:v>false</x:v>
      </x:c>
      <x:c r="U859" s="17" t="str">
        <x:v>true</x:v>
      </x:c>
      <x:c r="V859" s="17" t="str">
        <x:v>false</x:v>
      </x:c>
    </x:row>
    <x:row r="860" ht="80" customHeight="1">
      <x:c r="A860" s="25" t="str">
        <x:v>Chart</x:v>
      </x:c>
      <x:c r="B860" s="25" t="n">
        <x:v>5</x:v>
      </x:c>
      <x:c r="C860" s="25" t="str">
        <x:v>Round2</x:v>
      </x:c>
      <x:c r="D860" s="25" t="str">
        <x:v>INCONCLUSIVE</x:v>
      </x:c>
      <x:c r="E860" s="25" t="str">
        <x:v>N/A</x:v>
      </x:c>
      <x:c r="F860" s="26" t="str">
        <x:v>Fixed also failed; assertion failure cannot be attributed to this bug</x:v>
      </x:c>
      <x:c r="G860" s="25" t="str">
        <x:v>true</x:v>
      </x:c>
      <x:c r="H860" s="25" t="str">
        <x:v>INCONCLUSIVE</x:v>
      </x:c>
      <x:c r="I860" s="25" t="str">
        <x:v>PASS</x:v>
      </x:c>
      <x:c r="J860" s="25" t="str">
        <x:v>FAIL</x:v>
      </x:c>
      <x:c r="K860" s="25" t="n">
        <x:v>6</x:v>
      </x:c>
      <x:c r="L860" s="27" t="b">
        <x:v>0</x:v>
      </x:c>
      <x:c r="M860" s="25" t="str">
        <x:v>Feedback-Directed Random Test Generation/rounds/Round2/state/Chart.json</x:v>
      </x:c>
      <x:c r="N860" s="25" t="str">
        <x:v>Feedback-Directed Random Test Generation/Result_Round2/Chart_5/result.json</x:v>
      </x:c>
      <x:c r="O860" s="25" t="str">
        <x:v>Feedback-Directed Random Test Generation/Result_Round2/Chart_5/result.json</x:v>
      </x:c>
      <x:c r="P860"/>
      <x:c r="Q860" s="21" t="str"/>
      <x:c r="R860" s="21" t="str"/>
      <x:c r="S860" s="21" t="str"/>
      <x:c r="T860" s="17" t="str">
        <x:v>false</x:v>
      </x:c>
      <x:c r="U860" s="17" t="str">
        <x:v>true</x:v>
      </x:c>
      <x:c r="V860" s="17" t="str">
        <x:v>false</x:v>
      </x:c>
    </x:row>
    <x:row r="861" ht="80" customHeight="1">
      <x:c r="A861" s="25" t="str">
        <x:v>Chart</x:v>
      </x:c>
      <x:c r="B861" s="25" t="n">
        <x:v>6</x:v>
      </x:c>
      <x:c r="C861" s="25" t="str">
        <x:v>Round2</x:v>
      </x:c>
      <x:c r="D861" s="25" t="str">
        <x:v>INCONCLUSIVE</x:v>
      </x:c>
      <x:c r="E861" s="25" t="str">
        <x:v>N/A</x:v>
      </x:c>
      <x:c r="F861" s="26" t="str">
        <x:v>Fixed also failed; assertion failure cannot be attributed to this bug; Assertions failed with measured coverage; paired execution and stage checks determine status</x:v>
      </x:c>
      <x:c r="G861" s="25" t="str">
        <x:v>true</x:v>
      </x:c>
      <x:c r="H861" s="25" t="str">
        <x:v>INCONCLUSIVE</x:v>
      </x:c>
      <x:c r="I861" s="25" t="str">
        <x:v>FAIL</x:v>
      </x:c>
      <x:c r="J861" s="25" t="str">
        <x:v>FAIL</x:v>
      </x:c>
      <x:c r="K861" s="25" t="n">
        <x:v>10</x:v>
      </x:c>
      <x:c r="L861" s="27" t="b">
        <x:v>0</x:v>
      </x:c>
      <x:c r="M861" s="25" t="str">
        <x:v>Feedback-Directed Random Test Generation/rounds/Round2/state/Chart.json</x:v>
      </x:c>
      <x:c r="N861" s="25" t="str">
        <x:v>Feedback-Directed Random Test Generation/Result_Round2/Chart_6/result.json</x:v>
      </x:c>
      <x:c r="O861" s="25" t="str">
        <x:v>Feedback-Directed Random Test Generation/Result_Round2/Chart_6/result.json</x:v>
      </x:c>
      <x:c r="P861"/>
      <x:c r="Q861" s="21" t="str"/>
      <x:c r="R861" s="21" t="str"/>
      <x:c r="S861" s="21" t="str"/>
      <x:c r="T861" s="17" t="str">
        <x:v>false</x:v>
      </x:c>
      <x:c r="U861" s="17" t="str">
        <x:v>true</x:v>
      </x:c>
      <x:c r="V861" s="17" t="str">
        <x:v>false</x:v>
      </x:c>
    </x:row>
    <x:row r="862" ht="80" customHeight="1">
      <x:c r="A862" s="25" t="str">
        <x:v>Chart</x:v>
      </x:c>
      <x:c r="B862" s="25" t="n">
        <x:v>7</x:v>
      </x:c>
      <x:c r="C862" s="25" t="str">
        <x:v>Round2</x:v>
      </x:c>
      <x:c r="D862" s="25" t="str">
        <x:v>NOT_REVEALING</x:v>
      </x:c>
      <x:c r="E862" s="25" t="str">
        <x:v>N/A</x:v>
      </x:c>
      <x:c r="F862" s="26" t="str">
        <x:v>Same saved validation suite passed on buggy and fixed</x:v>
      </x:c>
      <x:c r="G862" s="25" t="str">
        <x:v>true</x:v>
      </x:c>
      <x:c r="H862" s="25" t="str">
        <x:v>NOT_REVEALING</x:v>
      </x:c>
      <x:c r="I862" s="25" t="str">
        <x:v>PASS</x:v>
      </x:c>
      <x:c r="J862" s="25" t="str">
        <x:v>PASS</x:v>
      </x:c>
      <x:c r="K862" s="25" t="n">
        <x:v>8</x:v>
      </x:c>
      <x:c r="L862" s="27" t="b">
        <x:v>0</x:v>
      </x:c>
      <x:c r="M862" s="25" t="str">
        <x:v>Feedback-Directed Random Test Generation/rounds/Round2/state/Chart.json</x:v>
      </x:c>
      <x:c r="N862" s="25" t="str">
        <x:v>Feedback-Directed Random Test Generation/Result_Round2/Chart_7/result.json</x:v>
      </x:c>
      <x:c r="O862" s="25" t="str">
        <x:v>Feedback-Directed Random Test Generation/Result_Round2/Chart_7/result.json</x:v>
      </x:c>
      <x:c r="P862"/>
      <x:c r="Q862" s="21" t="str"/>
      <x:c r="R862" s="21" t="str"/>
      <x:c r="S862" s="21" t="str"/>
      <x:c r="T862" s="17" t="str">
        <x:v>false</x:v>
      </x:c>
      <x:c r="U862" s="17" t="str">
        <x:v>true</x:v>
      </x:c>
      <x:c r="V862" s="17" t="str">
        <x:v>false</x:v>
      </x:c>
    </x:row>
    <x:row r="863" ht="80" customHeight="1">
      <x:c r="A863" s="25" t="str">
        <x:v>Chart</x:v>
      </x:c>
      <x:c r="B863" s="25" t="n">
        <x:v>8</x:v>
      </x:c>
      <x:c r="C863" s="25" t="str">
        <x:v>Round2</x:v>
      </x:c>
      <x:c r="D863" s="25" t="str">
        <x:v>INCONCLUSIVE</x:v>
      </x:c>
      <x:c r="E863" s="25" t="str">
        <x:v>N/A</x:v>
      </x:c>
      <x:c r="F863" s="26" t="str">
        <x:v>Fixed also failed; assertion failure cannot be attributed to this bug; Assertions failed with measured coverage; paired execution and stage checks determine status</x:v>
      </x:c>
      <x:c r="G863" s="25" t="str">
        <x:v>true</x:v>
      </x:c>
      <x:c r="H863" s="25" t="str">
        <x:v>INCONCLUSIVE</x:v>
      </x:c>
      <x:c r="I863" s="25" t="str">
        <x:v>FAIL</x:v>
      </x:c>
      <x:c r="J863" s="25" t="str">
        <x:v>FAIL</x:v>
      </x:c>
      <x:c r="K863" s="25" t="n">
        <x:v>5</x:v>
      </x:c>
      <x:c r="L863" s="27" t="b">
        <x:v>0</x:v>
      </x:c>
      <x:c r="M863" s="25" t="str">
        <x:v>Feedback-Directed Random Test Generation/rounds/Round2/state/Chart.json</x:v>
      </x:c>
      <x:c r="N863" s="25" t="str">
        <x:v>Feedback-Directed Random Test Generation/Result_Round2/Chart_8/result.json</x:v>
      </x:c>
      <x:c r="O863" s="25" t="str">
        <x:v>Feedback-Directed Random Test Generation/Result_Round2/Chart_8/result.json</x:v>
      </x:c>
      <x:c r="P863"/>
      <x:c r="Q863" s="21" t="str"/>
      <x:c r="R863" s="21" t="str"/>
      <x:c r="S863" s="21" t="str"/>
      <x:c r="T863" s="17" t="str">
        <x:v>false</x:v>
      </x:c>
      <x:c r="U863" s="17" t="str">
        <x:v>true</x:v>
      </x:c>
      <x:c r="V863" s="17" t="str">
        <x:v>false</x:v>
      </x:c>
    </x:row>
    <x:row r="864" ht="80" customHeight="1">
      <x:c r="A864" s="25" t="str">
        <x:v>Chart</x:v>
      </x:c>
      <x:c r="B864" s="25" t="n">
        <x:v>9</x:v>
      </x:c>
      <x:c r="C864" s="25" t="str">
        <x:v>Round2</x:v>
      </x:c>
      <x:c r="D864" s="25" t="str">
        <x:v>INCONCLUSIVE</x:v>
      </x:c>
      <x:c r="E864" s="25" t="str">
        <x:v>N/A</x:v>
      </x:c>
      <x:c r="F864" s="26" t="str">
        <x:v>Fixed also failed; assertion failure cannot be attributed to this bug; Assertions failed with measured coverage; paired execution and stage checks determine status</x:v>
      </x:c>
      <x:c r="G864" s="25" t="str">
        <x:v>true</x:v>
      </x:c>
      <x:c r="H864" s="25" t="str">
        <x:v>INCONCLUSIVE</x:v>
      </x:c>
      <x:c r="I864" s="25" t="str">
        <x:v>FAIL</x:v>
      </x:c>
      <x:c r="J864" s="25" t="str">
        <x:v>FAIL</x:v>
      </x:c>
      <x:c r="K864" s="25" t="n">
        <x:v>8</x:v>
      </x:c>
      <x:c r="L864" s="27" t="b">
        <x:v>0</x:v>
      </x:c>
      <x:c r="M864" s="25" t="str">
        <x:v>Feedback-Directed Random Test Generation/rounds/Round2/state/Chart.json</x:v>
      </x:c>
      <x:c r="N864" s="25" t="str">
        <x:v>Feedback-Directed Random Test Generation/Result_Round2/Chart_9/result.json</x:v>
      </x:c>
      <x:c r="O864" s="25" t="str">
        <x:v>Feedback-Directed Random Test Generation/Result_Round2/Chart_9/result.json</x:v>
      </x:c>
      <x:c r="P864"/>
      <x:c r="Q864" s="21" t="str"/>
      <x:c r="R864" s="21" t="str"/>
      <x:c r="S864" s="21" t="str"/>
      <x:c r="T864" s="17" t="str">
        <x:v>false</x:v>
      </x:c>
      <x:c r="U864" s="17" t="str">
        <x:v>true</x:v>
      </x:c>
      <x:c r="V864" s="17" t="str">
        <x:v>false</x:v>
      </x:c>
    </x:row>
    <x:row r="865" ht="80" customHeight="1">
      <x:c r="A865" s="25" t="str">
        <x:v>Chart</x:v>
      </x:c>
      <x:c r="B865" s="25" t="n">
        <x:v>10</x:v>
      </x:c>
      <x:c r="C865" s="25" t="str">
        <x:v>Round2</x:v>
      </x:c>
      <x:c r="D865" s="25" t="str">
        <x:v>INCONCLUSIVE</x:v>
      </x:c>
      <x:c r="E865" s="25" t="str">
        <x:v>N/A</x:v>
      </x:c>
      <x:c r="F865" s="26" t="str">
        <x:v>Fixed also failed; assertion failure cannot be attributed to this bug</x:v>
      </x:c>
      <x:c r="G865" s="25" t="str">
        <x:v>true</x:v>
      </x:c>
      <x:c r="H865" s="25" t="str">
        <x:v>INCONCLUSIVE</x:v>
      </x:c>
      <x:c r="I865" s="25" t="str">
        <x:v>PASS</x:v>
      </x:c>
      <x:c r="J865" s="25" t="str">
        <x:v>FAIL</x:v>
      </x:c>
      <x:c r="K865" s="25" t="n">
        <x:v>9</x:v>
      </x:c>
      <x:c r="L865" s="27" t="b">
        <x:v>0</x:v>
      </x:c>
      <x:c r="M865" s="25" t="str">
        <x:v>Feedback-Directed Random Test Generation/rounds/Round2/state/Chart.json</x:v>
      </x:c>
      <x:c r="N865" s="25" t="str">
        <x:v>Feedback-Directed Random Test Generation/Result_Round2/Chart_10/result.json</x:v>
      </x:c>
      <x:c r="O865" s="25" t="str">
        <x:v>Feedback-Directed Random Test Generation/Result_Round2/Chart_10/result.json</x:v>
      </x:c>
      <x:c r="P865"/>
      <x:c r="Q865" s="21" t="str"/>
      <x:c r="R865" s="21" t="str"/>
      <x:c r="S865" s="21" t="str"/>
      <x:c r="T865" s="17" t="str">
        <x:v>false</x:v>
      </x:c>
      <x:c r="U865" s="17" t="str">
        <x:v>true</x:v>
      </x:c>
      <x:c r="V865" s="17" t="str">
        <x:v>false</x:v>
      </x:c>
    </x:row>
    <x:row r="866" ht="80" customHeight="1">
      <x:c r="A866" s="25" t="str">
        <x:v>Chart</x:v>
      </x:c>
      <x:c r="B866" s="25" t="n">
        <x:v>11</x:v>
      </x:c>
      <x:c r="C866" s="25" t="str">
        <x:v>Round2</x:v>
      </x:c>
      <x:c r="D866" s="25" t="str">
        <x:v>INCONCLUSIVE</x:v>
      </x:c>
      <x:c r="E866" s="25" t="str">
        <x:v>N/A</x:v>
      </x:c>
      <x:c r="F866" s="26" t="str">
        <x:v>Fixed also failed; assertion failure cannot be attributed to this bug</x:v>
      </x:c>
      <x:c r="G866" s="25" t="str">
        <x:v>true</x:v>
      </x:c>
      <x:c r="H866" s="25" t="str">
        <x:v>INCONCLUSIVE</x:v>
      </x:c>
      <x:c r="I866" s="25" t="str">
        <x:v>PASS</x:v>
      </x:c>
      <x:c r="J866" s="25" t="str">
        <x:v>FAIL</x:v>
      </x:c>
      <x:c r="K866" s="25" t="n">
        <x:v>7</x:v>
      </x:c>
      <x:c r="L866" s="27" t="b">
        <x:v>0</x:v>
      </x:c>
      <x:c r="M866" s="25" t="str">
        <x:v>Feedback-Directed Random Test Generation/rounds/Round2/state/Chart.json</x:v>
      </x:c>
      <x:c r="N866" s="25" t="str">
        <x:v>Feedback-Directed Random Test Generation/Result_Round2/Chart_11/result.json</x:v>
      </x:c>
      <x:c r="O866" s="25" t="str">
        <x:v>Feedback-Directed Random Test Generation/Result_Round2/Chart_11/result.json</x:v>
      </x:c>
      <x:c r="P866"/>
      <x:c r="Q866" s="21" t="str"/>
      <x:c r="R866" s="21" t="str"/>
      <x:c r="S866" s="21" t="str"/>
      <x:c r="T866" s="17" t="str">
        <x:v>false</x:v>
      </x:c>
      <x:c r="U866" s="17" t="str">
        <x:v>true</x:v>
      </x:c>
      <x:c r="V866" s="17" t="str">
        <x:v>false</x:v>
      </x:c>
    </x:row>
    <x:row r="867" ht="80" customHeight="1">
      <x:c r="A867" s="25" t="str">
        <x:v>Chart</x:v>
      </x:c>
      <x:c r="B867" s="25" t="n">
        <x:v>12</x:v>
      </x:c>
      <x:c r="C867" s="25" t="str">
        <x:v>Round2</x:v>
      </x:c>
      <x:c r="D867" s="25" t="str">
        <x:v>INCONCLUSIVE</x:v>
      </x:c>
      <x:c r="E867" s="25" t="str">
        <x:v>N/A</x:v>
      </x:c>
      <x:c r="F867" s="26" t="str">
        <x:v>Fixed also failed; assertion failure cannot be attributed to this bug; Assertions failed with measured coverage; paired execution and stage checks determine status</x:v>
      </x:c>
      <x:c r="G867" s="25" t="str">
        <x:v>true</x:v>
      </x:c>
      <x:c r="H867" s="25" t="str">
        <x:v>INCONCLUSIVE</x:v>
      </x:c>
      <x:c r="I867" s="25" t="str">
        <x:v>FAIL</x:v>
      </x:c>
      <x:c r="J867" s="25" t="str">
        <x:v>FAIL</x:v>
      </x:c>
      <x:c r="K867" s="25" t="n">
        <x:v>7</x:v>
      </x:c>
      <x:c r="L867" s="27" t="b">
        <x:v>0</x:v>
      </x:c>
      <x:c r="M867" s="25" t="str">
        <x:v>Feedback-Directed Random Test Generation/rounds/Round2/state/Chart.json</x:v>
      </x:c>
      <x:c r="N867" s="25" t="str">
        <x:v>Feedback-Directed Random Test Generation/Result_Round2/Chart_12/result.json</x:v>
      </x:c>
      <x:c r="O867" s="25" t="str">
        <x:v>Feedback-Directed Random Test Generation/Result_Round2/Chart_12/result.json</x:v>
      </x:c>
      <x:c r="P867"/>
      <x:c r="Q867" s="21" t="str"/>
      <x:c r="R867" s="21" t="str"/>
      <x:c r="S867" s="21" t="str"/>
      <x:c r="T867" s="17" t="str">
        <x:v>false</x:v>
      </x:c>
      <x:c r="U867" s="17" t="str">
        <x:v>true</x:v>
      </x:c>
      <x:c r="V867" s="17" t="str">
        <x:v>false</x:v>
      </x:c>
    </x:row>
    <x:row r="868" ht="80" customHeight="1">
      <x:c r="A868" s="25" t="str">
        <x:v>Chart</x:v>
      </x:c>
      <x:c r="B868" s="25" t="n">
        <x:v>13</x:v>
      </x:c>
      <x:c r="C868" s="25" t="str">
        <x:v>Round2</x:v>
      </x:c>
      <x:c r="D868" s="25" t="str">
        <x:v>INCONCLUSIVE</x:v>
      </x:c>
      <x:c r="E868" s="25" t="str">
        <x:v>N/A</x:v>
      </x:c>
      <x:c r="F868" s="26" t="str">
        <x:v>Fixed also failed; assertion failure cannot be attributed to this bug; Assertions failed with measured coverage; paired execution and stage checks determine status</x:v>
      </x:c>
      <x:c r="G868" s="25" t="str">
        <x:v>true</x:v>
      </x:c>
      <x:c r="H868" s="25" t="str">
        <x:v>INCONCLUSIVE</x:v>
      </x:c>
      <x:c r="I868" s="25" t="str">
        <x:v>FAIL</x:v>
      </x:c>
      <x:c r="J868" s="25" t="str">
        <x:v>FAIL</x:v>
      </x:c>
      <x:c r="K868" s="25" t="n">
        <x:v>9</x:v>
      </x:c>
      <x:c r="L868" s="27" t="b">
        <x:v>0</x:v>
      </x:c>
      <x:c r="M868" s="25" t="str">
        <x:v>Feedback-Directed Random Test Generation/rounds/Round2/state/Chart.json</x:v>
      </x:c>
      <x:c r="N868" s="25" t="str">
        <x:v>Feedback-Directed Random Test Generation/Result_Round2/Chart_13/result.json</x:v>
      </x:c>
      <x:c r="O868" s="25" t="str">
        <x:v>Feedback-Directed Random Test Generation/Result_Round2/Chart_13/result.json</x:v>
      </x:c>
      <x:c r="P868"/>
      <x:c r="Q868" s="21" t="str"/>
      <x:c r="R868" s="21" t="str"/>
      <x:c r="S868" s="21" t="str"/>
      <x:c r="T868" s="17" t="str">
        <x:v>false</x:v>
      </x:c>
      <x:c r="U868" s="17" t="str">
        <x:v>true</x:v>
      </x:c>
      <x:c r="V868" s="17" t="str">
        <x:v>false</x:v>
      </x:c>
    </x:row>
    <x:row r="869" ht="80" customHeight="1">
      <x:c r="A869" s="25" t="str">
        <x:v>Chart</x:v>
      </x:c>
      <x:c r="B869" s="25" t="n">
        <x:v>14</x:v>
      </x:c>
      <x:c r="C869" s="25" t="str">
        <x:v>Round2</x:v>
      </x:c>
      <x:c r="D869" s="25" t="str">
        <x:v>INCONCLUSIVE</x:v>
      </x:c>
      <x:c r="E869" s="25" t="str">
        <x:v>N/A</x:v>
      </x:c>
      <x:c r="F869" s="26" t="str">
        <x:v>Fixed also failed; assertion failure cannot be attributed to this bug; Assertions failed with measured coverage; paired execution and stage checks determine status</x:v>
      </x:c>
      <x:c r="G869" s="25" t="str">
        <x:v>true</x:v>
      </x:c>
      <x:c r="H869" s="25" t="str">
        <x:v>INCONCLUSIVE</x:v>
      </x:c>
      <x:c r="I869" s="25" t="str">
        <x:v>FAIL</x:v>
      </x:c>
      <x:c r="J869" s="25" t="str">
        <x:v>FAIL</x:v>
      </x:c>
      <x:c r="K869" s="25" t="n">
        <x:v>9</x:v>
      </x:c>
      <x:c r="L869" s="27" t="b">
        <x:v>0</x:v>
      </x:c>
      <x:c r="M869" s="25" t="str">
        <x:v>Feedback-Directed Random Test Generation/rounds/Round2/state/Chart.json</x:v>
      </x:c>
      <x:c r="N869" s="25" t="str">
        <x:v>Feedback-Directed Random Test Generation/Result_Round2/Chart_14/result.json</x:v>
      </x:c>
      <x:c r="O869" s="25" t="str">
        <x:v>Feedback-Directed Random Test Generation/Result_Round2/Chart_14/result.json</x:v>
      </x:c>
      <x:c r="P869"/>
      <x:c r="Q869" s="21" t="str"/>
      <x:c r="R869" s="21" t="str"/>
      <x:c r="S869" s="21" t="str"/>
      <x:c r="T869" s="17" t="str">
        <x:v>false</x:v>
      </x:c>
      <x:c r="U869" s="17" t="str">
        <x:v>true</x:v>
      </x:c>
      <x:c r="V869" s="17" t="str">
        <x:v>false</x:v>
      </x:c>
    </x:row>
    <x:row r="870" ht="80" customHeight="1">
      <x:c r="A870" s="25" t="str">
        <x:v>Chart</x:v>
      </x:c>
      <x:c r="B870" s="25" t="n">
        <x:v>15</x:v>
      </x:c>
      <x:c r="C870" s="25" t="str">
        <x:v>Round2</x:v>
      </x:c>
      <x:c r="D870" s="25" t="str">
        <x:v>INCONCLUSIVE</x:v>
      </x:c>
      <x:c r="E870" s="25" t="str">
        <x:v>N/A</x:v>
      </x:c>
      <x:c r="F870" s="26" t="str">
        <x:v>Fixed also failed; assertion failure cannot be attributed to this bug; Assertions failed with measured coverage; paired execution and stage checks determine status</x:v>
      </x:c>
      <x:c r="G870" s="25" t="str">
        <x:v>true</x:v>
      </x:c>
      <x:c r="H870" s="25" t="str">
        <x:v>INCONCLUSIVE</x:v>
      </x:c>
      <x:c r="I870" s="25" t="str">
        <x:v>FAIL</x:v>
      </x:c>
      <x:c r="J870" s="25" t="str">
        <x:v>FAIL</x:v>
      </x:c>
      <x:c r="K870" s="25" t="n">
        <x:v>9</x:v>
      </x:c>
      <x:c r="L870" s="27" t="b">
        <x:v>0</x:v>
      </x:c>
      <x:c r="M870" s="25" t="str">
        <x:v>Feedback-Directed Random Test Generation/rounds/Round2/state/Chart.json</x:v>
      </x:c>
      <x:c r="N870" s="25" t="str">
        <x:v>Feedback-Directed Random Test Generation/Result_Round2/Chart_15/result.json</x:v>
      </x:c>
      <x:c r="O870" s="25" t="str">
        <x:v>Feedback-Directed Random Test Generation/Result_Round2/Chart_15/result.json</x:v>
      </x:c>
      <x:c r="P870"/>
      <x:c r="Q870" s="21" t="str"/>
      <x:c r="R870" s="21" t="str"/>
      <x:c r="S870" s="21" t="str"/>
      <x:c r="T870" s="17" t="str">
        <x:v>false</x:v>
      </x:c>
      <x:c r="U870" s="17" t="str">
        <x:v>true</x:v>
      </x:c>
      <x:c r="V870" s="17" t="str">
        <x:v>false</x:v>
      </x:c>
    </x:row>
    <x:row r="871" ht="80" customHeight="1">
      <x:c r="A871" s="25" t="str">
        <x:v>Chart</x:v>
      </x:c>
      <x:c r="B871" s="25" t="n">
        <x:v>16</x:v>
      </x:c>
      <x:c r="C871" s="25" t="str">
        <x:v>Round2</x:v>
      </x:c>
      <x:c r="D871" s="25" t="str">
        <x:v>INCONCLUSIVE</x:v>
      </x:c>
      <x:c r="E871" s="25" t="str">
        <x:v>N/A</x:v>
      </x:c>
      <x:c r="F871" s="26" t="str">
        <x:v>Fixed also failed; assertion failure cannot be attributed to this bug; Assertions failed with measured coverage; paired execution and stage checks determine status</x:v>
      </x:c>
      <x:c r="G871" s="25" t="str">
        <x:v>true</x:v>
      </x:c>
      <x:c r="H871" s="25" t="str">
        <x:v>INCONCLUSIVE</x:v>
      </x:c>
      <x:c r="I871" s="25" t="str">
        <x:v>FAIL</x:v>
      </x:c>
      <x:c r="J871" s="25" t="str">
        <x:v>FAIL</x:v>
      </x:c>
      <x:c r="K871" s="25" t="n">
        <x:v>9</x:v>
      </x:c>
      <x:c r="L871" s="27" t="b">
        <x:v>0</x:v>
      </x:c>
      <x:c r="M871" s="25" t="str">
        <x:v>Feedback-Directed Random Test Generation/rounds/Round2/state/Chart.json</x:v>
      </x:c>
      <x:c r="N871" s="25" t="str">
        <x:v>Feedback-Directed Random Test Generation/Result_Round2/Chart_16/result.json</x:v>
      </x:c>
      <x:c r="O871" s="25" t="str">
        <x:v>Feedback-Directed Random Test Generation/Result_Round2/Chart_16/result.json</x:v>
      </x:c>
      <x:c r="P871"/>
      <x:c r="Q871" s="21" t="str"/>
      <x:c r="R871" s="21" t="str"/>
      <x:c r="S871" s="21" t="str"/>
      <x:c r="T871" s="17" t="str">
        <x:v>false</x:v>
      </x:c>
      <x:c r="U871" s="17" t="str">
        <x:v>true</x:v>
      </x:c>
      <x:c r="V871" s="17" t="str">
        <x:v>false</x:v>
      </x:c>
    </x:row>
    <x:row r="872" ht="80" customHeight="1">
      <x:c r="A872" s="25" t="str">
        <x:v>Chart</x:v>
      </x:c>
      <x:c r="B872" s="25" t="n">
        <x:v>17</x:v>
      </x:c>
      <x:c r="C872" s="25" t="str">
        <x:v>Round2</x:v>
      </x:c>
      <x:c r="D872" s="25" t="str">
        <x:v>INCONCLUSIVE</x:v>
      </x:c>
      <x:c r="E872" s="25" t="str">
        <x:v>N/A</x:v>
      </x:c>
      <x:c r="F872" s="26" t="str">
        <x:v>Fixed also failed; assertion failure cannot be attributed to this bug; Assertions failed with measured coverage; paired execution and stage checks determine status</x:v>
      </x:c>
      <x:c r="G872" s="25" t="str">
        <x:v>true</x:v>
      </x:c>
      <x:c r="H872" s="25" t="str">
        <x:v>INCONCLUSIVE</x:v>
      </x:c>
      <x:c r="I872" s="25" t="str">
        <x:v>FAIL</x:v>
      </x:c>
      <x:c r="J872" s="25" t="str">
        <x:v>FAIL</x:v>
      </x:c>
      <x:c r="K872" s="25" t="n">
        <x:v>9</x:v>
      </x:c>
      <x:c r="L872" s="27" t="b">
        <x:v>0</x:v>
      </x:c>
      <x:c r="M872" s="25" t="str">
        <x:v>Feedback-Directed Random Test Generation/rounds/Round2/state/Chart.json</x:v>
      </x:c>
      <x:c r="N872" s="25" t="str">
        <x:v>Feedback-Directed Random Test Generation/Result_Round2/Chart_17/result.json</x:v>
      </x:c>
      <x:c r="O872" s="25" t="str">
        <x:v>Feedback-Directed Random Test Generation/Result_Round2/Chart_17/result.json</x:v>
      </x:c>
      <x:c r="P872"/>
      <x:c r="Q872" s="21" t="str"/>
      <x:c r="R872" s="21" t="str"/>
      <x:c r="S872" s="21" t="str"/>
      <x:c r="T872" s="17" t="str">
        <x:v>false</x:v>
      </x:c>
      <x:c r="U872" s="17" t="str">
        <x:v>true</x:v>
      </x:c>
      <x:c r="V872" s="17" t="str">
        <x:v>false</x:v>
      </x:c>
    </x:row>
    <x:row r="873" ht="80" customHeight="1">
      <x:c r="A873" s="25" t="str">
        <x:v>Chart</x:v>
      </x:c>
      <x:c r="B873" s="25" t="n">
        <x:v>18</x:v>
      </x:c>
      <x:c r="C873" s="25" t="str">
        <x:v>Round2</x:v>
      </x:c>
      <x:c r="D873" s="25" t="str">
        <x:v>INCONCLUSIVE</x:v>
      </x:c>
      <x:c r="E873" s="25" t="str">
        <x:v>N/A</x:v>
      </x:c>
      <x:c r="F873" s="26" t="str">
        <x:v>Fixed also failed; assertion failure cannot be attributed to this bug</x:v>
      </x:c>
      <x:c r="G873" s="25" t="str">
        <x:v>true</x:v>
      </x:c>
      <x:c r="H873" s="25" t="str">
        <x:v>INCONCLUSIVE</x:v>
      </x:c>
      <x:c r="I873" s="25" t="str">
        <x:v>PASS</x:v>
      </x:c>
      <x:c r="J873" s="25" t="str">
        <x:v>FAIL</x:v>
      </x:c>
      <x:c r="K873" s="25" t="n">
        <x:v>8</x:v>
      </x:c>
      <x:c r="L873" s="27" t="b">
        <x:v>0</x:v>
      </x:c>
      <x:c r="M873" s="25" t="str">
        <x:v>Feedback-Directed Random Test Generation/rounds/Round2/state/Chart.json</x:v>
      </x:c>
      <x:c r="N873" s="25" t="str">
        <x:v>Feedback-Directed Random Test Generation/Result_Round2/Chart_18/result.json</x:v>
      </x:c>
      <x:c r="O873" s="25" t="str">
        <x:v>Feedback-Directed Random Test Generation/Result_Round2/Chart_18/result.json</x:v>
      </x:c>
      <x:c r="P873"/>
      <x:c r="Q873" s="21" t="str"/>
      <x:c r="R873" s="21" t="str"/>
      <x:c r="S873" s="21" t="str"/>
      <x:c r="T873" s="17" t="str">
        <x:v>false</x:v>
      </x:c>
      <x:c r="U873" s="17" t="str">
        <x:v>true</x:v>
      </x:c>
      <x:c r="V873" s="17" t="str">
        <x:v>false</x:v>
      </x:c>
    </x:row>
    <x:row r="874" ht="80" customHeight="1">
      <x:c r="A874" s="25" t="str">
        <x:v>Chart</x:v>
      </x:c>
      <x:c r="B874" s="25" t="n">
        <x:v>19</x:v>
      </x:c>
      <x:c r="C874" s="25" t="str">
        <x:v>Round2</x:v>
      </x:c>
      <x:c r="D874" s="25" t="str">
        <x:v>FAIL</x:v>
      </x:c>
      <x:c r="E874" s="25" t="str">
        <x:v>N/A</x:v>
      </x:c>
      <x:c r="F874" s="26" t="str">
        <x:v>Latest same-round generation failed; older files/results are excluded</x:v>
      </x:c>
      <x:c r="G874" s="25" t="str">
        <x:v>true</x:v>
      </x:c>
      <x:c r="H874" s="25" t="str">
        <x:v>FAIL</x:v>
      </x:c>
      <x:c r="I874" s="25"/>
      <x:c r="J874" s="25"/>
      <x:c r="K874" s="25" t="n">
        <x:v>0</x:v>
      </x:c>
      <x:c r="L874" s="27" t="b">
        <x:v>1</x:v>
      </x:c>
      <x:c r="M874" s="25" t="str">
        <x:v>Feedback-Directed Random Test Generation/rounds/Round2/state/Chart.json</x:v>
      </x:c>
      <x:c r="N874" s="25"/>
      <x:c r="O874" s="25" t="str">
        <x:v>Feedback-Directed Random Test Generation/Result_Round2/Chart_19/result.json</x:v>
      </x:c>
      <x:c r="P874"/>
      <x:c r="Q874" s="21" t="str"/>
      <x:c r="R874" s="21" t="str"/>
      <x:c r="S874" s="21" t="str"/>
      <x:c r="T874" s="17" t="str">
        <x:v>false</x:v>
      </x:c>
      <x:c r="U874" s="17" t="str">
        <x:v>false</x:v>
      </x:c>
      <x:c r="V874" s="17" t="str">
        <x:v>false</x:v>
      </x:c>
    </x:row>
    <x:row r="875" ht="80" customHeight="1">
      <x:c r="A875" s="25" t="str">
        <x:v>Chart</x:v>
      </x:c>
      <x:c r="B875" s="25" t="n">
        <x:v>20</x:v>
      </x:c>
      <x:c r="C875" s="25" t="str">
        <x:v>Round2</x:v>
      </x:c>
      <x:c r="D875" s="25" t="str">
        <x:v>INCONCLUSIVE</x:v>
      </x:c>
      <x:c r="E875" s="25" t="str">
        <x:v>N/A</x:v>
      </x:c>
      <x:c r="F875" s="26" t="str">
        <x:v>Fixed also failed; assertion failure cannot be attributed to this bug; Assertions failed with measured coverage; paired execution and stage checks determine status</x:v>
      </x:c>
      <x:c r="G875" s="25" t="str">
        <x:v>true</x:v>
      </x:c>
      <x:c r="H875" s="25" t="str">
        <x:v>INCONCLUSIVE</x:v>
      </x:c>
      <x:c r="I875" s="25" t="str">
        <x:v>FAIL</x:v>
      </x:c>
      <x:c r="J875" s="25" t="str">
        <x:v>FAIL</x:v>
      </x:c>
      <x:c r="K875" s="25" t="n">
        <x:v>10</x:v>
      </x:c>
      <x:c r="L875" s="27" t="b">
        <x:v>0</x:v>
      </x:c>
      <x:c r="M875" s="25" t="str">
        <x:v>Feedback-Directed Random Test Generation/rounds/Round2/state/Chart.json</x:v>
      </x:c>
      <x:c r="N875" s="25" t="str">
        <x:v>Feedback-Directed Random Test Generation/Result_Round2/Chart_20/result.json</x:v>
      </x:c>
      <x:c r="O875" s="25" t="str">
        <x:v>Feedback-Directed Random Test Generation/Result_Round2/Chart_20/result.json</x:v>
      </x:c>
      <x:c r="P875"/>
      <x:c r="Q875" s="21" t="str"/>
      <x:c r="R875" s="21" t="str"/>
      <x:c r="S875" s="21" t="str"/>
      <x:c r="T875" s="17" t="str">
        <x:v>false</x:v>
      </x:c>
      <x:c r="U875" s="17" t="str">
        <x:v>true</x:v>
      </x:c>
      <x:c r="V875" s="17" t="str">
        <x:v>false</x:v>
      </x:c>
    </x:row>
    <x:row r="876" ht="80" customHeight="1">
      <x:c r="A876" s="25" t="str">
        <x:v>Chart</x:v>
      </x:c>
      <x:c r="B876" s="25" t="n">
        <x:v>21</x:v>
      </x:c>
      <x:c r="C876" s="25" t="str">
        <x:v>Round2</x:v>
      </x:c>
      <x:c r="D876" s="25" t="str">
        <x:v>INCONCLUSIVE</x:v>
      </x:c>
      <x:c r="E876" s="25" t="str">
        <x:v>N/A</x:v>
      </x:c>
      <x:c r="F876" s="26" t="str">
        <x:v>Fixed also failed; assertion failure cannot be attributed to this bug; Assertions failed with measured coverage; paired execution and stage checks determine status</x:v>
      </x:c>
      <x:c r="G876" s="25" t="str">
        <x:v>true</x:v>
      </x:c>
      <x:c r="H876" s="25" t="str">
        <x:v>INCONCLUSIVE</x:v>
      </x:c>
      <x:c r="I876" s="25" t="str">
        <x:v>FAIL</x:v>
      </x:c>
      <x:c r="J876" s="25" t="str">
        <x:v>FAIL</x:v>
      </x:c>
      <x:c r="K876" s="25" t="n">
        <x:v>10</x:v>
      </x:c>
      <x:c r="L876" s="27" t="b">
        <x:v>0</x:v>
      </x:c>
      <x:c r="M876" s="25" t="str">
        <x:v>Feedback-Directed Random Test Generation/rounds/Round2/state/Chart.json</x:v>
      </x:c>
      <x:c r="N876" s="25" t="str">
        <x:v>Feedback-Directed Random Test Generation/Result_Round2/Chart_21/result.json</x:v>
      </x:c>
      <x:c r="O876" s="25" t="str">
        <x:v>Feedback-Directed Random Test Generation/Result_Round2/Chart_21/result.json</x:v>
      </x:c>
      <x:c r="P876"/>
      <x:c r="Q876" s="21" t="str"/>
      <x:c r="R876" s="21" t="str"/>
      <x:c r="S876" s="21" t="str"/>
      <x:c r="T876" s="17" t="str">
        <x:v>false</x:v>
      </x:c>
      <x:c r="U876" s="17" t="str">
        <x:v>true</x:v>
      </x:c>
      <x:c r="V876" s="17" t="str">
        <x:v>false</x:v>
      </x:c>
    </x:row>
    <x:row r="877" ht="80" customHeight="1">
      <x:c r="A877" s="25" t="str">
        <x:v>Chart</x:v>
      </x:c>
      <x:c r="B877" s="25" t="n">
        <x:v>22</x:v>
      </x:c>
      <x:c r="C877" s="25" t="str">
        <x:v>Round2</x:v>
      </x:c>
      <x:c r="D877" s="25" t="str">
        <x:v>INCONCLUSIVE</x:v>
      </x:c>
      <x:c r="E877" s="25" t="str">
        <x:v>N/A</x:v>
      </x:c>
      <x:c r="F877" s="26" t="str">
        <x:v>Fixed also failed; assertion failure cannot be attributed to this bug; Assertions failed with measured coverage; paired execution and stage checks determine status</x:v>
      </x:c>
      <x:c r="G877" s="25" t="str">
        <x:v>true</x:v>
      </x:c>
      <x:c r="H877" s="25" t="str">
        <x:v>INCONCLUSIVE</x:v>
      </x:c>
      <x:c r="I877" s="25" t="str">
        <x:v>FAIL</x:v>
      </x:c>
      <x:c r="J877" s="25" t="str">
        <x:v>FAIL</x:v>
      </x:c>
      <x:c r="K877" s="25" t="n">
        <x:v>10</x:v>
      </x:c>
      <x:c r="L877" s="27" t="b">
        <x:v>0</x:v>
      </x:c>
      <x:c r="M877" s="25" t="str">
        <x:v>Feedback-Directed Random Test Generation/rounds/Round2/state/Chart.json</x:v>
      </x:c>
      <x:c r="N877" s="25" t="str">
        <x:v>Feedback-Directed Random Test Generation/Result_Round2/Chart_22/result.json</x:v>
      </x:c>
      <x:c r="O877" s="25" t="str">
        <x:v>Feedback-Directed Random Test Generation/Result_Round2/Chart_22/result.json</x:v>
      </x:c>
      <x:c r="P877"/>
      <x:c r="Q877" s="21" t="str"/>
      <x:c r="R877" s="21" t="str"/>
      <x:c r="S877" s="21" t="str"/>
      <x:c r="T877" s="17" t="str">
        <x:v>false</x:v>
      </x:c>
      <x:c r="U877" s="17" t="str">
        <x:v>true</x:v>
      </x:c>
      <x:c r="V877" s="17" t="str">
        <x:v>false</x:v>
      </x:c>
    </x:row>
    <x:row r="878" ht="80" customHeight="1">
      <x:c r="A878" s="25" t="str">
        <x:v>Chart</x:v>
      </x:c>
      <x:c r="B878" s="25" t="n">
        <x:v>23</x:v>
      </x:c>
      <x:c r="C878" s="25" t="str">
        <x:v>Round2</x:v>
      </x:c>
      <x:c r="D878" s="25" t="str">
        <x:v>INCONCLUSIVE</x:v>
      </x:c>
      <x:c r="E878" s="25" t="str">
        <x:v>N/A</x:v>
      </x:c>
      <x:c r="F878" s="26" t="str">
        <x:v>Fixed also failed; assertion failure cannot be attributed to this bug; Assertions failed with measured coverage; paired execution and stage checks determine status</x:v>
      </x:c>
      <x:c r="G878" s="25" t="str">
        <x:v>true</x:v>
      </x:c>
      <x:c r="H878" s="25" t="str">
        <x:v>INCONCLUSIVE</x:v>
      </x:c>
      <x:c r="I878" s="25" t="str">
        <x:v>FAIL</x:v>
      </x:c>
      <x:c r="J878" s="25" t="str">
        <x:v>FAIL</x:v>
      </x:c>
      <x:c r="K878" s="25" t="n">
        <x:v>7</x:v>
      </x:c>
      <x:c r="L878" s="27" t="b">
        <x:v>0</x:v>
      </x:c>
      <x:c r="M878" s="25" t="str">
        <x:v>Feedback-Directed Random Test Generation/rounds/Round2/state/Chart.json</x:v>
      </x:c>
      <x:c r="N878" s="25" t="str">
        <x:v>Feedback-Directed Random Test Generation/Result_Round2/Chart_23/result.json</x:v>
      </x:c>
      <x:c r="O878" s="25" t="str">
        <x:v>Feedback-Directed Random Test Generation/Result_Round2/Chart_23/result.json</x:v>
      </x:c>
      <x:c r="P878"/>
      <x:c r="Q878" s="21" t="str"/>
      <x:c r="R878" s="21" t="str"/>
      <x:c r="S878" s="21" t="str"/>
      <x:c r="T878" s="17" t="str">
        <x:v>false</x:v>
      </x:c>
      <x:c r="U878" s="17" t="str">
        <x:v>true</x:v>
      </x:c>
      <x:c r="V878" s="17" t="str">
        <x:v>false</x:v>
      </x:c>
    </x:row>
    <x:row r="879" ht="80" customHeight="1">
      <x:c r="A879" s="25" t="str">
        <x:v>Chart</x:v>
      </x:c>
      <x:c r="B879" s="25" t="n">
        <x:v>24</x:v>
      </x:c>
      <x:c r="C879" s="25" t="str">
        <x:v>Round2</x:v>
      </x:c>
      <x:c r="D879" s="25" t="str">
        <x:v>INCONCLUSIVE</x:v>
      </x:c>
      <x:c r="E879" s="25" t="str">
        <x:v>N/A</x:v>
      </x:c>
      <x:c r="F879" s="26" t="str">
        <x:v>Fixed also failed; assertion failure cannot be attributed to this bug; Assertions failed with measured coverage; paired execution and stage checks determine status</x:v>
      </x:c>
      <x:c r="G879" s="25" t="str">
        <x:v>true</x:v>
      </x:c>
      <x:c r="H879" s="25" t="str">
        <x:v>INCONCLUSIVE</x:v>
      </x:c>
      <x:c r="I879" s="25" t="str">
        <x:v>FAIL</x:v>
      </x:c>
      <x:c r="J879" s="25" t="str">
        <x:v>FAIL</x:v>
      </x:c>
      <x:c r="K879" s="25" t="n">
        <x:v>12</x:v>
      </x:c>
      <x:c r="L879" s="27" t="b">
        <x:v>0</x:v>
      </x:c>
      <x:c r="M879" s="25" t="str">
        <x:v>Feedback-Directed Random Test Generation/rounds/Round2/state/Chart.json</x:v>
      </x:c>
      <x:c r="N879" s="25" t="str">
        <x:v>Feedback-Directed Random Test Generation/Result_Round2/Chart_24/result.json</x:v>
      </x:c>
      <x:c r="O879" s="25" t="str">
        <x:v>Feedback-Directed Random Test Generation/Result_Round2/Chart_24/result.json</x:v>
      </x:c>
      <x:c r="P879"/>
      <x:c r="Q879" s="21" t="str"/>
      <x:c r="R879" s="21" t="str"/>
      <x:c r="S879" s="21" t="str"/>
      <x:c r="T879" s="17" t="str">
        <x:v>false</x:v>
      </x:c>
      <x:c r="U879" s="17" t="str">
        <x:v>true</x:v>
      </x:c>
      <x:c r="V879" s="17" t="str">
        <x:v>false</x:v>
      </x:c>
    </x:row>
    <x:row r="880" ht="80" customHeight="1">
      <x:c r="A880" s="25" t="str">
        <x:v>Chart</x:v>
      </x:c>
      <x:c r="B880" s="25" t="n">
        <x:v>25</x:v>
      </x:c>
      <x:c r="C880" s="25" t="str">
        <x:v>Round2</x:v>
      </x:c>
      <x:c r="D880" s="25" t="str">
        <x:v>INCONCLUSIVE</x:v>
      </x:c>
      <x:c r="E880" s="25" t="str">
        <x:v>N/A</x:v>
      </x:c>
      <x:c r="F880" s="26" t="str">
        <x:v>Fixed also failed; assertion failure cannot be attributed to this bug; Assertions failed with measured coverage; paired execution and stage checks determine status</x:v>
      </x:c>
      <x:c r="G880" s="25" t="str">
        <x:v>true</x:v>
      </x:c>
      <x:c r="H880" s="25" t="str">
        <x:v>INCONCLUSIVE</x:v>
      </x:c>
      <x:c r="I880" s="25" t="str">
        <x:v>FAIL</x:v>
      </x:c>
      <x:c r="J880" s="25" t="str">
        <x:v>FAIL</x:v>
      </x:c>
      <x:c r="K880" s="25" t="n">
        <x:v>7</x:v>
      </x:c>
      <x:c r="L880" s="27" t="b">
        <x:v>0</x:v>
      </x:c>
      <x:c r="M880" s="25" t="str">
        <x:v>Feedback-Directed Random Test Generation/rounds/Round2/state/Chart.json</x:v>
      </x:c>
      <x:c r="N880" s="25" t="str">
        <x:v>Feedback-Directed Random Test Generation/Result_Round2/Chart_25/result.json</x:v>
      </x:c>
      <x:c r="O880" s="25" t="str">
        <x:v>Feedback-Directed Random Test Generation/Result_Round2/Chart_25/result.json</x:v>
      </x:c>
      <x:c r="P880"/>
      <x:c r="Q880" s="21" t="str"/>
      <x:c r="R880" s="21" t="str"/>
      <x:c r="S880" s="21" t="str"/>
      <x:c r="T880" s="17" t="str">
        <x:v>false</x:v>
      </x:c>
      <x:c r="U880" s="17" t="str">
        <x:v>true</x:v>
      </x:c>
      <x:c r="V880" s="17" t="str">
        <x:v>false</x:v>
      </x:c>
    </x:row>
    <x:row r="881" ht="80" customHeight="1">
      <x:c r="A881" s="25" t="str">
        <x:v>Chart</x:v>
      </x:c>
      <x:c r="B881" s="25" t="n">
        <x:v>26</x:v>
      </x:c>
      <x:c r="C881" s="25" t="str">
        <x:v>Round2</x:v>
      </x:c>
      <x:c r="D881" s="25" t="str">
        <x:v>NOT_REVEALING</x:v>
      </x:c>
      <x:c r="E881" s="25" t="str">
        <x:v>N/A</x:v>
      </x:c>
      <x:c r="F881" s="26" t="str">
        <x:v>Same saved validation suite passed on buggy and fixed</x:v>
      </x:c>
      <x:c r="G881" s="25" t="str">
        <x:v>true</x:v>
      </x:c>
      <x:c r="H881" s="25" t="str">
        <x:v>NOT_REVEALING</x:v>
      </x:c>
      <x:c r="I881" s="25" t="str">
        <x:v>PASS</x:v>
      </x:c>
      <x:c r="J881" s="25" t="str">
        <x:v>PASS</x:v>
      </x:c>
      <x:c r="K881" s="25" t="n">
        <x:v>2</x:v>
      </x:c>
      <x:c r="L881" s="27" t="b">
        <x:v>0</x:v>
      </x:c>
      <x:c r="M881" s="25" t="str">
        <x:v>Feedback-Directed Random Test Generation/rounds/Round2/state/Chart.json</x:v>
      </x:c>
      <x:c r="N881" s="25" t="str">
        <x:v>Feedback-Directed Random Test Generation/Result_Round2/Chart_26/result.json</x:v>
      </x:c>
      <x:c r="O881" s="25" t="str">
        <x:v>Feedback-Directed Random Test Generation/Result_Round2/Chart_26/result.json</x:v>
      </x:c>
      <x:c r="P881"/>
      <x:c r="Q881" s="21" t="str"/>
      <x:c r="R881" s="21" t="str"/>
      <x:c r="S881" s="21" t="str"/>
      <x:c r="T881" s="17" t="str">
        <x:v>false</x:v>
      </x:c>
      <x:c r="U881" s="17" t="str">
        <x:v>true</x:v>
      </x:c>
      <x:c r="V881" s="17" t="str">
        <x:v>false</x:v>
      </x:c>
    </x:row>
    <x:row r="882" ht="80" customHeight="1">
      <x:c r="A882" s="25" t="str">
        <x:v>Cli</x:v>
      </x:c>
      <x:c r="B882" s="25" t="n">
        <x:v>1</x:v>
      </x:c>
      <x:c r="C882" s="25" t="str">
        <x:v>Round2</x:v>
      </x:c>
      <x:c r="D882" s="25" t="str">
        <x:v>INCONCLUSIVE</x:v>
      </x:c>
      <x:c r="E882" s="25" t="str">
        <x:v>N/A</x:v>
      </x:c>
      <x:c r="F882" s="26" t="str">
        <x:v>Fixed also failed; assertion failure cannot be attributed to this bug; Assertions failed with measured coverage; paired execution and stage checks determine status</x:v>
      </x:c>
      <x:c r="G882" s="25" t="str">
        <x:v>true</x:v>
      </x:c>
      <x:c r="H882" s="25" t="str">
        <x:v>INCONCLUSIVE</x:v>
      </x:c>
      <x:c r="I882" s="25" t="str">
        <x:v>FAIL</x:v>
      </x:c>
      <x:c r="J882" s="25" t="str">
        <x:v>FAIL</x:v>
      </x:c>
      <x:c r="K882" s="25" t="n">
        <x:v>11</x:v>
      </x:c>
      <x:c r="L882" s="27" t="b">
        <x:v>0</x:v>
      </x:c>
      <x:c r="M882" s="25" t="str">
        <x:v>Feedback-Directed Random Test Generation/rounds/Round2/state/Cli.json</x:v>
      </x:c>
      <x:c r="N882" s="25" t="str">
        <x:v>Feedback-Directed Random Test Generation/Result_Round2/Cli_1/result.json</x:v>
      </x:c>
      <x:c r="O882" s="25" t="str">
        <x:v>Feedback-Directed Random Test Generation/Result_Round2/Cli_1/result.json</x:v>
      </x:c>
      <x:c r="P882"/>
      <x:c r="Q882" s="21" t="str"/>
      <x:c r="R882" s="21" t="str"/>
      <x:c r="S882" s="21" t="str"/>
      <x:c r="T882" s="17" t="str">
        <x:v>false</x:v>
      </x:c>
      <x:c r="U882" s="17" t="str">
        <x:v>true</x:v>
      </x:c>
      <x:c r="V882" s="17" t="str">
        <x:v>false</x:v>
      </x:c>
    </x:row>
    <x:row r="883" ht="80" customHeight="1">
      <x:c r="A883" s="25" t="str">
        <x:v>Cli</x:v>
      </x:c>
      <x:c r="B883" s="25" t="n">
        <x:v>2</x:v>
      </x:c>
      <x:c r="C883" s="25" t="str">
        <x:v>Round2</x:v>
      </x:c>
      <x:c r="D883" s="25" t="str">
        <x:v>INCONCLUSIVE</x:v>
      </x:c>
      <x:c r="E883" s="25" t="str">
        <x:v>N/A</x:v>
      </x:c>
      <x:c r="F883" s="26" t="str">
        <x:v>Fixed also failed; assertion failure cannot be attributed to this bug; Assertions failed with measured coverage; paired execution and stage checks determine status</x:v>
      </x:c>
      <x:c r="G883" s="25" t="str">
        <x:v>true</x:v>
      </x:c>
      <x:c r="H883" s="25" t="str">
        <x:v>INCONCLUSIVE</x:v>
      </x:c>
      <x:c r="I883" s="25" t="str">
        <x:v>FAIL</x:v>
      </x:c>
      <x:c r="J883" s="25" t="str">
        <x:v>FAIL</x:v>
      </x:c>
      <x:c r="K883" s="25" t="n">
        <x:v>12</x:v>
      </x:c>
      <x:c r="L883" s="27" t="b">
        <x:v>0</x:v>
      </x:c>
      <x:c r="M883" s="25" t="str">
        <x:v>Feedback-Directed Random Test Generation/rounds/Round2/state/Cli.json</x:v>
      </x:c>
      <x:c r="N883" s="25" t="str">
        <x:v>Feedback-Directed Random Test Generation/Result_Round2/Cli_2/result.json</x:v>
      </x:c>
      <x:c r="O883" s="25" t="str">
        <x:v>Feedback-Directed Random Test Generation/Result_Round2/Cli_2/result.json</x:v>
      </x:c>
      <x:c r="P883"/>
      <x:c r="Q883" s="21" t="str"/>
      <x:c r="R883" s="21" t="str"/>
      <x:c r="S883" s="21" t="str"/>
      <x:c r="T883" s="17" t="str">
        <x:v>false</x:v>
      </x:c>
      <x:c r="U883" s="17" t="str">
        <x:v>true</x:v>
      </x:c>
      <x:c r="V883" s="17" t="str">
        <x:v>false</x:v>
      </x:c>
    </x:row>
    <x:row r="884" ht="80" customHeight="1">
      <x:c r="A884" s="25" t="str">
        <x:v>Cli</x:v>
      </x:c>
      <x:c r="B884" s="25" t="n">
        <x:v>3</x:v>
      </x:c>
      <x:c r="C884" s="25" t="str">
        <x:v>Round2</x:v>
      </x:c>
      <x:c r="D884" s="25" t="str">
        <x:v>INCONCLUSIVE</x:v>
      </x:c>
      <x:c r="E884" s="25" t="str">
        <x:v>N/A</x:v>
      </x:c>
      <x:c r="F884" s="26" t="str">
        <x:v>Fixed also failed; assertion failure cannot be attributed to this bug; Assertions failed with measured coverage; paired execution and stage checks determine status</x:v>
      </x:c>
      <x:c r="G884" s="25" t="str">
        <x:v>true</x:v>
      </x:c>
      <x:c r="H884" s="25" t="str">
        <x:v>INCONCLUSIVE</x:v>
      </x:c>
      <x:c r="I884" s="25" t="str">
        <x:v>FAIL</x:v>
      </x:c>
      <x:c r="J884" s="25" t="str">
        <x:v>FAIL</x:v>
      </x:c>
      <x:c r="K884" s="25" t="n">
        <x:v>7</x:v>
      </x:c>
      <x:c r="L884" s="27" t="b">
        <x:v>0</x:v>
      </x:c>
      <x:c r="M884" s="25" t="str">
        <x:v>Feedback-Directed Random Test Generation/rounds/Round2/state/Cli.json</x:v>
      </x:c>
      <x:c r="N884" s="25" t="str">
        <x:v>Feedback-Directed Random Test Generation/Result_Round2/Cli_3/result.json</x:v>
      </x:c>
      <x:c r="O884" s="25" t="str">
        <x:v>Feedback-Directed Random Test Generation/Result_Round2/Cli_3/result.json</x:v>
      </x:c>
      <x:c r="P884"/>
      <x:c r="Q884" s="21" t="str"/>
      <x:c r="R884" s="21" t="str"/>
      <x:c r="S884" s="21" t="str"/>
      <x:c r="T884" s="17" t="str">
        <x:v>false</x:v>
      </x:c>
      <x:c r="U884" s="17" t="str">
        <x:v>true</x:v>
      </x:c>
      <x:c r="V884" s="17" t="str">
        <x:v>false</x:v>
      </x:c>
    </x:row>
    <x:row r="885" ht="80" customHeight="1">
      <x:c r="A885" s="25" t="str">
        <x:v>Cli</x:v>
      </x:c>
      <x:c r="B885" s="25" t="n">
        <x:v>4</x:v>
      </x:c>
      <x:c r="C885" s="25" t="str">
        <x:v>Round2</x:v>
      </x:c>
      <x:c r="D885" s="25" t="str">
        <x:v>INCONCLUSIVE</x:v>
      </x:c>
      <x:c r="E885" s="25" t="str">
        <x:v>N/A</x:v>
      </x:c>
      <x:c r="F885" s="26" t="str">
        <x:v>Fixed also failed; assertion failure cannot be attributed to this bug; Assertions failed with measured coverage; paired execution and stage checks determine status</x:v>
      </x:c>
      <x:c r="G885" s="25" t="str">
        <x:v>true</x:v>
      </x:c>
      <x:c r="H885" s="25" t="str">
        <x:v>INCONCLUSIVE</x:v>
      </x:c>
      <x:c r="I885" s="25" t="str">
        <x:v>FAIL</x:v>
      </x:c>
      <x:c r="J885" s="25" t="str">
        <x:v>FAIL</x:v>
      </x:c>
      <x:c r="K885" s="25" t="n">
        <x:v>2</x:v>
      </x:c>
      <x:c r="L885" s="27" t="b">
        <x:v>0</x:v>
      </x:c>
      <x:c r="M885" s="25" t="str">
        <x:v>Feedback-Directed Random Test Generation/rounds/Round2/state/Cli.json</x:v>
      </x:c>
      <x:c r="N885" s="25" t="str">
        <x:v>Feedback-Directed Random Test Generation/Result_Round2/Cli_4/result.json</x:v>
      </x:c>
      <x:c r="O885" s="25" t="str">
        <x:v>Feedback-Directed Random Test Generation/Result_Round2/Cli_4/result.json</x:v>
      </x:c>
      <x:c r="P885"/>
      <x:c r="Q885" s="21" t="str"/>
      <x:c r="R885" s="21" t="str"/>
      <x:c r="S885" s="21" t="str"/>
      <x:c r="T885" s="17" t="str">
        <x:v>false</x:v>
      </x:c>
      <x:c r="U885" s="17" t="str">
        <x:v>true</x:v>
      </x:c>
      <x:c r="V885" s="17" t="str">
        <x:v>false</x:v>
      </x:c>
    </x:row>
    <x:row r="886" ht="80" customHeight="1">
      <x:c r="A886" s="25" t="str">
        <x:v>Cli</x:v>
      </x:c>
      <x:c r="B886" s="25" t="n">
        <x:v>5</x:v>
      </x:c>
      <x:c r="C886" s="25" t="str">
        <x:v>Round2</x:v>
      </x:c>
      <x:c r="D886" s="25" t="str">
        <x:v>INCONCLUSIVE</x:v>
      </x:c>
      <x:c r="E886" s="25" t="str">
        <x:v>N/A</x:v>
      </x:c>
      <x:c r="F886" s="26" t="str">
        <x:v>Fixed also failed; assertion failure cannot be attributed to this bug; Assertions failed with measured coverage; paired execution and stage checks determine status</x:v>
      </x:c>
      <x:c r="G886" s="25" t="str">
        <x:v>true</x:v>
      </x:c>
      <x:c r="H886" s="25" t="str">
        <x:v>INCONCLUSIVE</x:v>
      </x:c>
      <x:c r="I886" s="25" t="str">
        <x:v>FAIL</x:v>
      </x:c>
      <x:c r="J886" s="25" t="str">
        <x:v>FAIL</x:v>
      </x:c>
      <x:c r="K886" s="25" t="n">
        <x:v>2</x:v>
      </x:c>
      <x:c r="L886" s="27" t="b">
        <x:v>0</x:v>
      </x:c>
      <x:c r="M886" s="25" t="str">
        <x:v>Feedback-Directed Random Test Generation/rounds/Round2/state/Cli.json</x:v>
      </x:c>
      <x:c r="N886" s="25" t="str">
        <x:v>Feedback-Directed Random Test Generation/Result_Round2/Cli_5/result.json</x:v>
      </x:c>
      <x:c r="O886" s="25" t="str">
        <x:v>Feedback-Directed Random Test Generation/Result_Round2/Cli_5/result.json</x:v>
      </x:c>
      <x:c r="P886"/>
      <x:c r="Q886" s="21" t="str"/>
      <x:c r="R886" s="21" t="str"/>
      <x:c r="S886" s="21" t="str"/>
      <x:c r="T886" s="17" t="str">
        <x:v>false</x:v>
      </x:c>
      <x:c r="U886" s="17" t="str">
        <x:v>true</x:v>
      </x:c>
      <x:c r="V886" s="17" t="str">
        <x:v>false</x:v>
      </x:c>
    </x:row>
    <x:row r="887" ht="80" customHeight="1">
      <x:c r="A887" s="25" t="str">
        <x:v>Cli</x:v>
      </x:c>
      <x:c r="B887" s="25" t="n">
        <x:v>7</x:v>
      </x:c>
      <x:c r="C887" s="25" t="str">
        <x:v>Round2</x:v>
      </x:c>
      <x:c r="D887" s="25" t="str">
        <x:v>INCONCLUSIVE</x:v>
      </x:c>
      <x:c r="E887" s="25" t="str">
        <x:v>N/A</x:v>
      </x:c>
      <x:c r="F887" s="26" t="str">
        <x:v>Fixed also failed; assertion failure cannot be attributed to this bug; Assertions failed with measured coverage; paired execution and stage checks determine status</x:v>
      </x:c>
      <x:c r="G887" s="25" t="str">
        <x:v>true</x:v>
      </x:c>
      <x:c r="H887" s="25" t="str">
        <x:v>INCONCLUSIVE</x:v>
      </x:c>
      <x:c r="I887" s="25" t="str">
        <x:v>FAIL</x:v>
      </x:c>
      <x:c r="J887" s="25" t="str">
        <x:v>FAIL</x:v>
      </x:c>
      <x:c r="K887" s="25" t="n">
        <x:v>15</x:v>
      </x:c>
      <x:c r="L887" s="27" t="b">
        <x:v>0</x:v>
      </x:c>
      <x:c r="M887" s="25" t="str">
        <x:v>Feedback-Directed Random Test Generation/rounds/Round2/state/Cli.json</x:v>
      </x:c>
      <x:c r="N887" s="25" t="str">
        <x:v>Feedback-Directed Random Test Generation/Result_Round2/Cli_7/result.json</x:v>
      </x:c>
      <x:c r="O887" s="25" t="str">
        <x:v>Feedback-Directed Random Test Generation/Result_Round2/Cli_7/result.json</x:v>
      </x:c>
      <x:c r="P887"/>
      <x:c r="Q887" s="21" t="str"/>
      <x:c r="R887" s="21" t="str"/>
      <x:c r="S887" s="21" t="str"/>
      <x:c r="T887" s="17" t="str">
        <x:v>false</x:v>
      </x:c>
      <x:c r="U887" s="17" t="str">
        <x:v>true</x:v>
      </x:c>
      <x:c r="V887" s="17" t="str">
        <x:v>false</x:v>
      </x:c>
    </x:row>
    <x:row r="888" ht="80" customHeight="1">
      <x:c r="A888" s="25" t="str">
        <x:v>Cli</x:v>
      </x:c>
      <x:c r="B888" s="25" t="n">
        <x:v>8</x:v>
      </x:c>
      <x:c r="C888" s="25" t="str">
        <x:v>Round2</x:v>
      </x:c>
      <x:c r="D888" s="25" t="str">
        <x:v>INCONCLUSIVE</x:v>
      </x:c>
      <x:c r="E888" s="25" t="str">
        <x:v>N/A</x:v>
      </x:c>
      <x:c r="F888" s="26" t="str">
        <x:v>Fixed also failed; assertion failure cannot be attributed to this bug; Assertions failed with measured coverage; paired execution and stage checks determine status</x:v>
      </x:c>
      <x:c r="G888" s="25" t="str">
        <x:v>true</x:v>
      </x:c>
      <x:c r="H888" s="25" t="str">
        <x:v>INCONCLUSIVE</x:v>
      </x:c>
      <x:c r="I888" s="25" t="str">
        <x:v>FAIL</x:v>
      </x:c>
      <x:c r="J888" s="25" t="str">
        <x:v>FAIL</x:v>
      </x:c>
      <x:c r="K888" s="25" t="n">
        <x:v>8</x:v>
      </x:c>
      <x:c r="L888" s="27" t="b">
        <x:v>0</x:v>
      </x:c>
      <x:c r="M888" s="25" t="str">
        <x:v>Feedback-Directed Random Test Generation/rounds/Round2/state/Cli.json</x:v>
      </x:c>
      <x:c r="N888" s="25" t="str">
        <x:v>Feedback-Directed Random Test Generation/Result_Round2/Cli_8/result.json</x:v>
      </x:c>
      <x:c r="O888" s="25" t="str">
        <x:v>Feedback-Directed Random Test Generation/Result_Round2/Cli_8/result.json</x:v>
      </x:c>
      <x:c r="P888"/>
      <x:c r="Q888" s="21" t="str"/>
      <x:c r="R888" s="21" t="str"/>
      <x:c r="S888" s="21" t="str"/>
      <x:c r="T888" s="17" t="str">
        <x:v>false</x:v>
      </x:c>
      <x:c r="U888" s="17" t="str">
        <x:v>true</x:v>
      </x:c>
      <x:c r="V888" s="17" t="str">
        <x:v>false</x:v>
      </x:c>
    </x:row>
    <x:row r="889" ht="80" customHeight="1">
      <x:c r="A889" s="25" t="str">
        <x:v>Cli</x:v>
      </x:c>
      <x:c r="B889" s="25" t="n">
        <x:v>9</x:v>
      </x:c>
      <x:c r="C889" s="25" t="str">
        <x:v>Round2</x:v>
      </x:c>
      <x:c r="D889" s="25" t="str">
        <x:v>INCONCLUSIVE</x:v>
      </x:c>
      <x:c r="E889" s="25" t="str">
        <x:v>N/A</x:v>
      </x:c>
      <x:c r="F889" s="26" t="str">
        <x:v>Fixed also failed; assertion failure cannot be attributed to this bug; Assertions failed with measured coverage; paired execution and stage checks determine status</x:v>
      </x:c>
      <x:c r="G889" s="25" t="str">
        <x:v>true</x:v>
      </x:c>
      <x:c r="H889" s="25" t="str">
        <x:v>INCONCLUSIVE</x:v>
      </x:c>
      <x:c r="I889" s="25" t="str">
        <x:v>FAIL</x:v>
      </x:c>
      <x:c r="J889" s="25" t="str">
        <x:v>FAIL</x:v>
      </x:c>
      <x:c r="K889" s="25" t="n">
        <x:v>2</x:v>
      </x:c>
      <x:c r="L889" s="27" t="b">
        <x:v>0</x:v>
      </x:c>
      <x:c r="M889" s="25" t="str">
        <x:v>Feedback-Directed Random Test Generation/rounds/Round2/state/Cli.json</x:v>
      </x:c>
      <x:c r="N889" s="25" t="str">
        <x:v>Feedback-Directed Random Test Generation/Result_Round2/Cli_9/result.json</x:v>
      </x:c>
      <x:c r="O889" s="25" t="str">
        <x:v>Feedback-Directed Random Test Generation/Result_Round2/Cli_9/result.json</x:v>
      </x:c>
      <x:c r="P889"/>
      <x:c r="Q889" s="21" t="str"/>
      <x:c r="R889" s="21" t="str"/>
      <x:c r="S889" s="21" t="str"/>
      <x:c r="T889" s="17" t="str">
        <x:v>false</x:v>
      </x:c>
      <x:c r="U889" s="17" t="str">
        <x:v>true</x:v>
      </x:c>
      <x:c r="V889" s="17" t="str">
        <x:v>false</x:v>
      </x:c>
    </x:row>
    <x:row r="890" ht="80" customHeight="1">
      <x:c r="A890" s="25" t="str">
        <x:v>Cli</x:v>
      </x:c>
      <x:c r="B890" s="25" t="n">
        <x:v>10</x:v>
      </x:c>
      <x:c r="C890" s="25" t="str">
        <x:v>Round2</x:v>
      </x:c>
      <x:c r="D890" s="25" t="str">
        <x:v>INCONCLUSIVE</x:v>
      </x:c>
      <x:c r="E890" s="25" t="str">
        <x:v>N/A</x:v>
      </x:c>
      <x:c r="F890" s="26" t="str">
        <x:v>Fixed also failed; assertion failure cannot be attributed to this bug; Assertions failed with measured coverage; paired execution and stage checks determine status</x:v>
      </x:c>
      <x:c r="G890" s="25" t="str">
        <x:v>true</x:v>
      </x:c>
      <x:c r="H890" s="25" t="str">
        <x:v>INCONCLUSIVE</x:v>
      </x:c>
      <x:c r="I890" s="25" t="str">
        <x:v>FAIL</x:v>
      </x:c>
      <x:c r="J890" s="25" t="str">
        <x:v>FAIL</x:v>
      </x:c>
      <x:c r="K890" s="25" t="n">
        <x:v>2</x:v>
      </x:c>
      <x:c r="L890" s="27" t="b">
        <x:v>0</x:v>
      </x:c>
      <x:c r="M890" s="25" t="str">
        <x:v>Feedback-Directed Random Test Generation/rounds/Round2/state/Cli.json</x:v>
      </x:c>
      <x:c r="N890" s="25" t="str">
        <x:v>Feedback-Directed Random Test Generation/Result_Round2/Cli_10/result.json</x:v>
      </x:c>
      <x:c r="O890" s="25" t="str">
        <x:v>Feedback-Directed Random Test Generation/Result_Round2/Cli_10/result.json</x:v>
      </x:c>
      <x:c r="P890"/>
      <x:c r="Q890" s="21" t="str"/>
      <x:c r="R890" s="21" t="str"/>
      <x:c r="S890" s="21" t="str"/>
      <x:c r="T890" s="17" t="str">
        <x:v>false</x:v>
      </x:c>
      <x:c r="U890" s="17" t="str">
        <x:v>true</x:v>
      </x:c>
      <x:c r="V890" s="17" t="str">
        <x:v>false</x:v>
      </x:c>
    </x:row>
    <x:row r="891" ht="80" customHeight="1">
      <x:c r="A891" s="25" t="str">
        <x:v>Cli</x:v>
      </x:c>
      <x:c r="B891" s="25" t="n">
        <x:v>11</x:v>
      </x:c>
      <x:c r="C891" s="25" t="str">
        <x:v>Round2</x:v>
      </x:c>
      <x:c r="D891" s="25" t="str">
        <x:v>INCONCLUSIVE</x:v>
      </x:c>
      <x:c r="E891" s="25" t="str">
        <x:v>N/A</x:v>
      </x:c>
      <x:c r="F891" s="26" t="str">
        <x:v>Fixed also failed; assertion failure cannot be attributed to this bug; Assertions failed with measured coverage; paired execution and stage checks determine status</x:v>
      </x:c>
      <x:c r="G891" s="25" t="str">
        <x:v>true</x:v>
      </x:c>
      <x:c r="H891" s="25" t="str">
        <x:v>INCONCLUSIVE</x:v>
      </x:c>
      <x:c r="I891" s="25" t="str">
        <x:v>FAIL</x:v>
      </x:c>
      <x:c r="J891" s="25" t="str">
        <x:v>FAIL</x:v>
      </x:c>
      <x:c r="K891" s="25" t="n">
        <x:v>2</x:v>
      </x:c>
      <x:c r="L891" s="27" t="b">
        <x:v>0</x:v>
      </x:c>
      <x:c r="M891" s="25" t="str">
        <x:v>Feedback-Directed Random Test Generation/rounds/Round2/state/Cli.json</x:v>
      </x:c>
      <x:c r="N891" s="25" t="str">
        <x:v>Feedback-Directed Random Test Generation/Result_Round2/Cli_11/result.json</x:v>
      </x:c>
      <x:c r="O891" s="25" t="str">
        <x:v>Feedback-Directed Random Test Generation/Result_Round2/Cli_11/result.json</x:v>
      </x:c>
      <x:c r="P891"/>
      <x:c r="Q891" s="21" t="str"/>
      <x:c r="R891" s="21" t="str"/>
      <x:c r="S891" s="21" t="str"/>
      <x:c r="T891" s="17" t="str">
        <x:v>false</x:v>
      </x:c>
      <x:c r="U891" s="17" t="str">
        <x:v>true</x:v>
      </x:c>
      <x:c r="V891" s="17" t="str">
        <x:v>false</x:v>
      </x:c>
    </x:row>
    <x:row r="892" ht="80" customHeight="1">
      <x:c r="A892" s="25" t="str">
        <x:v>Cli</x:v>
      </x:c>
      <x:c r="B892" s="25" t="n">
        <x:v>12</x:v>
      </x:c>
      <x:c r="C892" s="25" t="str">
        <x:v>Round2</x:v>
      </x:c>
      <x:c r="D892" s="25" t="str">
        <x:v>INCONCLUSIVE</x:v>
      </x:c>
      <x:c r="E892" s="25" t="str">
        <x:v>N/A</x:v>
      </x:c>
      <x:c r="F892" s="26" t="str">
        <x:v>Fixed also failed; assertion failure cannot be attributed to this bug; Assertions failed with measured coverage; paired execution and stage checks determine status</x:v>
      </x:c>
      <x:c r="G892" s="25" t="str">
        <x:v>true</x:v>
      </x:c>
      <x:c r="H892" s="25" t="str">
        <x:v>INCONCLUSIVE</x:v>
      </x:c>
      <x:c r="I892" s="25" t="str">
        <x:v>FAIL</x:v>
      </x:c>
      <x:c r="J892" s="25" t="str">
        <x:v>FAIL</x:v>
      </x:c>
      <x:c r="K892" s="25" t="n">
        <x:v>10</x:v>
      </x:c>
      <x:c r="L892" s="27" t="b">
        <x:v>0</x:v>
      </x:c>
      <x:c r="M892" s="25" t="str">
        <x:v>Feedback-Directed Random Test Generation/rounds/Round2/state/Cli.json</x:v>
      </x:c>
      <x:c r="N892" s="25" t="str">
        <x:v>Feedback-Directed Random Test Generation/Result_Round2/Cli_12/result.json</x:v>
      </x:c>
      <x:c r="O892" s="25" t="str">
        <x:v>Feedback-Directed Random Test Generation/Result_Round2/Cli_12/result.json</x:v>
      </x:c>
      <x:c r="P892"/>
      <x:c r="Q892" s="21" t="str"/>
      <x:c r="R892" s="21" t="str"/>
      <x:c r="S892" s="21" t="str"/>
      <x:c r="T892" s="17" t="str">
        <x:v>false</x:v>
      </x:c>
      <x:c r="U892" s="17" t="str">
        <x:v>true</x:v>
      </x:c>
      <x:c r="V892" s="17" t="str">
        <x:v>false</x:v>
      </x:c>
    </x:row>
    <x:row r="893" ht="80" customHeight="1">
      <x:c r="A893" s="25" t="str">
        <x:v>Cli</x:v>
      </x:c>
      <x:c r="B893" s="25" t="n">
        <x:v>13</x:v>
      </x:c>
      <x:c r="C893" s="25" t="str">
        <x:v>Round2</x:v>
      </x:c>
      <x:c r="D893" s="25" t="str">
        <x:v>INCONCLUSIVE</x:v>
      </x:c>
      <x:c r="E893" s="25" t="str">
        <x:v>N/A</x:v>
      </x:c>
      <x:c r="F893" s="26" t="str">
        <x:v>Fixed also failed; assertion failure cannot be attributed to this bug; Assertions failed with measured coverage; paired execution and stage checks determine status</x:v>
      </x:c>
      <x:c r="G893" s="25" t="str">
        <x:v>true</x:v>
      </x:c>
      <x:c r="H893" s="25" t="str">
        <x:v>INCONCLUSIVE</x:v>
      </x:c>
      <x:c r="I893" s="25" t="str">
        <x:v>FAIL</x:v>
      </x:c>
      <x:c r="J893" s="25" t="str">
        <x:v>FAIL</x:v>
      </x:c>
      <x:c r="K893" s="25" t="n">
        <x:v>5</x:v>
      </x:c>
      <x:c r="L893" s="27" t="b">
        <x:v>0</x:v>
      </x:c>
      <x:c r="M893" s="25" t="str">
        <x:v>Feedback-Directed Random Test Generation/rounds/Round2/state/Cli.json</x:v>
      </x:c>
      <x:c r="N893" s="25" t="str">
        <x:v>Feedback-Directed Random Test Generation/Result_Round2/Cli_13/result.json</x:v>
      </x:c>
      <x:c r="O893" s="25" t="str">
        <x:v>Feedback-Directed Random Test Generation/Result_Round2/Cli_13/result.json</x:v>
      </x:c>
      <x:c r="P893"/>
      <x:c r="Q893" s="21" t="str"/>
      <x:c r="R893" s="21" t="str"/>
      <x:c r="S893" s="21" t="str"/>
      <x:c r="T893" s="17" t="str">
        <x:v>false</x:v>
      </x:c>
      <x:c r="U893" s="17" t="str">
        <x:v>true</x:v>
      </x:c>
      <x:c r="V893" s="17" t="str">
        <x:v>false</x:v>
      </x:c>
    </x:row>
    <x:row r="894" ht="80" customHeight="1">
      <x:c r="A894" s="25" t="str">
        <x:v>Cli</x:v>
      </x:c>
      <x:c r="B894" s="25" t="n">
        <x:v>14</x:v>
      </x:c>
      <x:c r="C894" s="25" t="str">
        <x:v>Round2</x:v>
      </x:c>
      <x:c r="D894" s="25" t="str">
        <x:v>INCONCLUSIVE</x:v>
      </x:c>
      <x:c r="E894" s="25" t="str">
        <x:v>N/A</x:v>
      </x:c>
      <x:c r="F894" s="26" t="str">
        <x:v>Fixed also failed; assertion failure cannot be attributed to this bug; Assertions failed with measured coverage; paired execution and stage checks determine status</x:v>
      </x:c>
      <x:c r="G894" s="25" t="str">
        <x:v>true</x:v>
      </x:c>
      <x:c r="H894" s="25" t="str">
        <x:v>INCONCLUSIVE</x:v>
      </x:c>
      <x:c r="I894" s="25" t="str">
        <x:v>FAIL</x:v>
      </x:c>
      <x:c r="J894" s="25" t="str">
        <x:v>FAIL</x:v>
      </x:c>
      <x:c r="K894" s="25" t="n">
        <x:v>4</x:v>
      </x:c>
      <x:c r="L894" s="27" t="b">
        <x:v>0</x:v>
      </x:c>
      <x:c r="M894" s="25" t="str">
        <x:v>Feedback-Directed Random Test Generation/rounds/Round2/state/Cli.json</x:v>
      </x:c>
      <x:c r="N894" s="25" t="str">
        <x:v>Feedback-Directed Random Test Generation/Result_Round2/Cli_14/result.json</x:v>
      </x:c>
      <x:c r="O894" s="25" t="str">
        <x:v>Feedback-Directed Random Test Generation/Result_Round2/Cli_14/result.json</x:v>
      </x:c>
      <x:c r="P894"/>
      <x:c r="Q894" s="21" t="str"/>
      <x:c r="R894" s="21" t="str"/>
      <x:c r="S894" s="21" t="str"/>
      <x:c r="T894" s="17" t="str">
        <x:v>false</x:v>
      </x:c>
      <x:c r="U894" s="17" t="str">
        <x:v>true</x:v>
      </x:c>
      <x:c r="V894" s="17" t="str">
        <x:v>false</x:v>
      </x:c>
    </x:row>
    <x:row r="895" ht="80" customHeight="1">
      <x:c r="A895" s="25" t="str">
        <x:v>Cli</x:v>
      </x:c>
      <x:c r="B895" s="25" t="n">
        <x:v>15</x:v>
      </x:c>
      <x:c r="C895" s="25" t="str">
        <x:v>Round2</x:v>
      </x:c>
      <x:c r="D895" s="25" t="str">
        <x:v>INCONCLUSIVE</x:v>
      </x:c>
      <x:c r="E895" s="25" t="str">
        <x:v>N/A</x:v>
      </x:c>
      <x:c r="F895" s="26" t="str">
        <x:v>Fixed also failed; assertion failure cannot be attributed to this bug; Assertions failed with measured coverage; paired execution and stage checks determine status</x:v>
      </x:c>
      <x:c r="G895" s="25" t="str">
        <x:v>true</x:v>
      </x:c>
      <x:c r="H895" s="25" t="str">
        <x:v>INCONCLUSIVE</x:v>
      </x:c>
      <x:c r="I895" s="25" t="str">
        <x:v>FAIL</x:v>
      </x:c>
      <x:c r="J895" s="25" t="str">
        <x:v>FAIL</x:v>
      </x:c>
      <x:c r="K895" s="25" t="n">
        <x:v>2</x:v>
      </x:c>
      <x:c r="L895" s="27" t="b">
        <x:v>0</x:v>
      </x:c>
      <x:c r="M895" s="25" t="str">
        <x:v>Feedback-Directed Random Test Generation/rounds/Round2/state/Cli.json</x:v>
      </x:c>
      <x:c r="N895" s="25" t="str">
        <x:v>Feedback-Directed Random Test Generation/Result_Round2/Cli_15/result.json</x:v>
      </x:c>
      <x:c r="O895" s="25" t="str">
        <x:v>Feedback-Directed Random Test Generation/Result_Round2/Cli_15/result.json</x:v>
      </x:c>
      <x:c r="P895"/>
      <x:c r="Q895" s="21" t="str"/>
      <x:c r="R895" s="21" t="str"/>
      <x:c r="S895" s="21" t="str"/>
      <x:c r="T895" s="17" t="str">
        <x:v>false</x:v>
      </x:c>
      <x:c r="U895" s="17" t="str">
        <x:v>true</x:v>
      </x:c>
      <x:c r="V895" s="17" t="str">
        <x:v>false</x:v>
      </x:c>
    </x:row>
    <x:row r="896" ht="80" customHeight="1">
      <x:c r="A896" s="25" t="str">
        <x:v>Cli</x:v>
      </x:c>
      <x:c r="B896" s="25" t="n">
        <x:v>16</x:v>
      </x:c>
      <x:c r="C896" s="25" t="str">
        <x:v>Round2</x:v>
      </x:c>
      <x:c r="D896" s="25" t="str">
        <x:v>INCONCLUSIVE</x:v>
      </x:c>
      <x:c r="E896" s="25" t="str">
        <x:v>N/A</x:v>
      </x:c>
      <x:c r="F896" s="26" t="str">
        <x:v>Fixed also failed; assertion failure cannot be attributed to this bug; Assertions failed with measured coverage; paired execution and stage checks determine status</x:v>
      </x:c>
      <x:c r="G896" s="25" t="str">
        <x:v>true</x:v>
      </x:c>
      <x:c r="H896" s="25" t="str">
        <x:v>INCONCLUSIVE</x:v>
      </x:c>
      <x:c r="I896" s="25" t="str">
        <x:v>FAIL</x:v>
      </x:c>
      <x:c r="J896" s="25" t="str">
        <x:v>FAIL</x:v>
      </x:c>
      <x:c r="K896" s="25" t="n">
        <x:v>4</x:v>
      </x:c>
      <x:c r="L896" s="27" t="b">
        <x:v>0</x:v>
      </x:c>
      <x:c r="M896" s="25" t="str">
        <x:v>Feedback-Directed Random Test Generation/rounds/Round2/state/Cli.json</x:v>
      </x:c>
      <x:c r="N896" s="25" t="str">
        <x:v>Feedback-Directed Random Test Generation/Result_Round2/Cli_16/result.json</x:v>
      </x:c>
      <x:c r="O896" s="25" t="str">
        <x:v>Feedback-Directed Random Test Generation/Result_Round2/Cli_16/result.json</x:v>
      </x:c>
      <x:c r="P896"/>
      <x:c r="Q896" s="21" t="str"/>
      <x:c r="R896" s="21" t="str"/>
      <x:c r="S896" s="21" t="str"/>
      <x:c r="T896" s="17" t="str">
        <x:v>false</x:v>
      </x:c>
      <x:c r="U896" s="17" t="str">
        <x:v>true</x:v>
      </x:c>
      <x:c r="V896" s="17" t="str">
        <x:v>false</x:v>
      </x:c>
    </x:row>
    <x:row r="897" ht="80" customHeight="1">
      <x:c r="A897" s="25" t="str">
        <x:v>Cli</x:v>
      </x:c>
      <x:c r="B897" s="25" t="n">
        <x:v>17</x:v>
      </x:c>
      <x:c r="C897" s="25" t="str">
        <x:v>Round2</x:v>
      </x:c>
      <x:c r="D897" s="25" t="str">
        <x:v>INCONCLUSIVE</x:v>
      </x:c>
      <x:c r="E897" s="25" t="str">
        <x:v>N/A</x:v>
      </x:c>
      <x:c r="F897" s="26" t="str">
        <x:v>Fixed also failed; assertion failure cannot be attributed to this bug; Assertions failed with measured coverage; paired execution and stage checks determine status</x:v>
      </x:c>
      <x:c r="G897" s="25" t="str">
        <x:v>true</x:v>
      </x:c>
      <x:c r="H897" s="25" t="str">
        <x:v>INCONCLUSIVE</x:v>
      </x:c>
      <x:c r="I897" s="25" t="str">
        <x:v>FAIL</x:v>
      </x:c>
      <x:c r="J897" s="25" t="str">
        <x:v>FAIL</x:v>
      </x:c>
      <x:c r="K897" s="25" t="n">
        <x:v>12</x:v>
      </x:c>
      <x:c r="L897" s="27" t="b">
        <x:v>0</x:v>
      </x:c>
      <x:c r="M897" s="25" t="str">
        <x:v>Feedback-Directed Random Test Generation/rounds/Round2/state/Cli.json</x:v>
      </x:c>
      <x:c r="N897" s="25" t="str">
        <x:v>Feedback-Directed Random Test Generation/Result_Round2/Cli_17/result.json</x:v>
      </x:c>
      <x:c r="O897" s="25" t="str">
        <x:v>Feedback-Directed Random Test Generation/Result_Round2/Cli_17/result.json</x:v>
      </x:c>
      <x:c r="P897"/>
      <x:c r="Q897" s="21" t="str"/>
      <x:c r="R897" s="21" t="str"/>
      <x:c r="S897" s="21" t="str"/>
      <x:c r="T897" s="17" t="str">
        <x:v>false</x:v>
      </x:c>
      <x:c r="U897" s="17" t="str">
        <x:v>true</x:v>
      </x:c>
      <x:c r="V897" s="17" t="str">
        <x:v>false</x:v>
      </x:c>
    </x:row>
    <x:row r="898" ht="80" customHeight="1">
      <x:c r="A898" s="25" t="str">
        <x:v>Cli</x:v>
      </x:c>
      <x:c r="B898" s="25" t="n">
        <x:v>18</x:v>
      </x:c>
      <x:c r="C898" s="25" t="str">
        <x:v>Round2</x:v>
      </x:c>
      <x:c r="D898" s="25" t="str">
        <x:v>INCONCLUSIVE</x:v>
      </x:c>
      <x:c r="E898" s="25" t="str">
        <x:v>N/A</x:v>
      </x:c>
      <x:c r="F898" s="26" t="str">
        <x:v>Fixed also failed; assertion failure cannot be attributed to this bug; Assertions failed with measured coverage; paired execution and stage checks determine status</x:v>
      </x:c>
      <x:c r="G898" s="25" t="str">
        <x:v>true</x:v>
      </x:c>
      <x:c r="H898" s="25" t="str">
        <x:v>INCONCLUSIVE</x:v>
      </x:c>
      <x:c r="I898" s="25" t="str">
        <x:v>FAIL</x:v>
      </x:c>
      <x:c r="J898" s="25" t="str">
        <x:v>FAIL</x:v>
      </x:c>
      <x:c r="K898" s="25" t="n">
        <x:v>13</x:v>
      </x:c>
      <x:c r="L898" s="27" t="b">
        <x:v>0</x:v>
      </x:c>
      <x:c r="M898" s="25" t="str">
        <x:v>Feedback-Directed Random Test Generation/rounds/Round2/state/Cli.json</x:v>
      </x:c>
      <x:c r="N898" s="25" t="str">
        <x:v>Feedback-Directed Random Test Generation/Result_Round2/Cli_18/result.json</x:v>
      </x:c>
      <x:c r="O898" s="25" t="str">
        <x:v>Feedback-Directed Random Test Generation/Result_Round2/Cli_18/result.json</x:v>
      </x:c>
      <x:c r="P898"/>
      <x:c r="Q898" s="21" t="str"/>
      <x:c r="R898" s="21" t="str"/>
      <x:c r="S898" s="21" t="str"/>
      <x:c r="T898" s="17" t="str">
        <x:v>false</x:v>
      </x:c>
      <x:c r="U898" s="17" t="str">
        <x:v>true</x:v>
      </x:c>
      <x:c r="V898" s="17" t="str">
        <x:v>false</x:v>
      </x:c>
    </x:row>
    <x:row r="899" ht="80" customHeight="1">
      <x:c r="A899" s="25" t="str">
        <x:v>Cli</x:v>
      </x:c>
      <x:c r="B899" s="25" t="n">
        <x:v>19</x:v>
      </x:c>
      <x:c r="C899" s="25" t="str">
        <x:v>Round2</x:v>
      </x:c>
      <x:c r="D899" s="25" t="str">
        <x:v>INCONCLUSIVE</x:v>
      </x:c>
      <x:c r="E899" s="25" t="str">
        <x:v>N/A</x:v>
      </x:c>
      <x:c r="F899" s="26" t="str">
        <x:v>Fixed also failed; assertion failure cannot be attributed to this bug; Assertions failed with measured coverage; paired execution and stage checks determine status</x:v>
      </x:c>
      <x:c r="G899" s="25" t="str">
        <x:v>true</x:v>
      </x:c>
      <x:c r="H899" s="25" t="str">
        <x:v>INCONCLUSIVE</x:v>
      </x:c>
      <x:c r="I899" s="25" t="str">
        <x:v>FAIL</x:v>
      </x:c>
      <x:c r="J899" s="25" t="str">
        <x:v>FAIL</x:v>
      </x:c>
      <x:c r="K899" s="25" t="n">
        <x:v>14</x:v>
      </x:c>
      <x:c r="L899" s="27" t="b">
        <x:v>0</x:v>
      </x:c>
      <x:c r="M899" s="25" t="str">
        <x:v>Feedback-Directed Random Test Generation/rounds/Round2/state/Cli.json</x:v>
      </x:c>
      <x:c r="N899" s="25" t="str">
        <x:v>Feedback-Directed Random Test Generation/Result_Round2/Cli_19/result.json</x:v>
      </x:c>
      <x:c r="O899" s="25" t="str">
        <x:v>Feedback-Directed Random Test Generation/Result_Round2/Cli_19/result.json</x:v>
      </x:c>
      <x:c r="P899"/>
      <x:c r="Q899" s="21" t="str"/>
      <x:c r="R899" s="21" t="str"/>
      <x:c r="S899" s="21" t="str"/>
      <x:c r="T899" s="17" t="str">
        <x:v>false</x:v>
      </x:c>
      <x:c r="U899" s="17" t="str">
        <x:v>true</x:v>
      </x:c>
      <x:c r="V899" s="17" t="str">
        <x:v>false</x:v>
      </x:c>
    </x:row>
    <x:row r="900" ht="80" customHeight="1">
      <x:c r="A900" s="25" t="str">
        <x:v>Cli</x:v>
      </x:c>
      <x:c r="B900" s="25" t="n">
        <x:v>20</x:v>
      </x:c>
      <x:c r="C900" s="25" t="str">
        <x:v>Round2</x:v>
      </x:c>
      <x:c r="D900" s="25" t="str">
        <x:v>INCONCLUSIVE</x:v>
      </x:c>
      <x:c r="E900" s="25" t="str">
        <x:v>N/A</x:v>
      </x:c>
      <x:c r="F900" s="26" t="str">
        <x:v>Fixed also failed; assertion failure cannot be attributed to this bug; Assertions failed with measured coverage; paired execution and stage checks determine status</x:v>
      </x:c>
      <x:c r="G900" s="25" t="str">
        <x:v>true</x:v>
      </x:c>
      <x:c r="H900" s="25" t="str">
        <x:v>INCONCLUSIVE</x:v>
      </x:c>
      <x:c r="I900" s="25" t="str">
        <x:v>FAIL</x:v>
      </x:c>
      <x:c r="J900" s="25" t="str">
        <x:v>FAIL</x:v>
      </x:c>
      <x:c r="K900" s="25" t="n">
        <x:v>14</x:v>
      </x:c>
      <x:c r="L900" s="27" t="b">
        <x:v>0</x:v>
      </x:c>
      <x:c r="M900" s="25" t="str">
        <x:v>Feedback-Directed Random Test Generation/rounds/Round2/state/Cli.json</x:v>
      </x:c>
      <x:c r="N900" s="25" t="str">
        <x:v>Feedback-Directed Random Test Generation/Result_Round2/Cli_20/result.json</x:v>
      </x:c>
      <x:c r="O900" s="25" t="str">
        <x:v>Feedback-Directed Random Test Generation/Result_Round2/Cli_20/result.json</x:v>
      </x:c>
      <x:c r="P900"/>
      <x:c r="Q900" s="21" t="str"/>
      <x:c r="R900" s="21" t="str"/>
      <x:c r="S900" s="21" t="str"/>
      <x:c r="T900" s="17" t="str">
        <x:v>false</x:v>
      </x:c>
      <x:c r="U900" s="17" t="str">
        <x:v>true</x:v>
      </x:c>
      <x:c r="V900" s="17" t="str">
        <x:v>false</x:v>
      </x:c>
    </x:row>
    <x:row r="901" ht="80" customHeight="1">
      <x:c r="A901" s="25" t="str">
        <x:v>Cli</x:v>
      </x:c>
      <x:c r="B901" s="25" t="n">
        <x:v>21</x:v>
      </x:c>
      <x:c r="C901" s="25" t="str">
        <x:v>Round2</x:v>
      </x:c>
      <x:c r="D901" s="25" t="str">
        <x:v>INCONCLUSIVE</x:v>
      </x:c>
      <x:c r="E901" s="25" t="str">
        <x:v>N/A</x:v>
      </x:c>
      <x:c r="F901" s="26" t="str">
        <x:v>Fixed also failed; assertion failure cannot be attributed to this bug; Assertions failed with measured coverage; paired execution and stage checks determine status</x:v>
      </x:c>
      <x:c r="G901" s="25" t="str">
        <x:v>true</x:v>
      </x:c>
      <x:c r="H901" s="25" t="str">
        <x:v>INCONCLUSIVE</x:v>
      </x:c>
      <x:c r="I901" s="25" t="str">
        <x:v>FAIL</x:v>
      </x:c>
      <x:c r="J901" s="25" t="str">
        <x:v>FAIL</x:v>
      </x:c>
      <x:c r="K901" s="25" t="n">
        <x:v>7</x:v>
      </x:c>
      <x:c r="L901" s="27" t="b">
        <x:v>0</x:v>
      </x:c>
      <x:c r="M901" s="25" t="str">
        <x:v>Feedback-Directed Random Test Generation/rounds/Round2/state/Cli.json</x:v>
      </x:c>
      <x:c r="N901" s="25" t="str">
        <x:v>Feedback-Directed Random Test Generation/Result_Round2/Cli_21/result.json</x:v>
      </x:c>
      <x:c r="O901" s="25" t="str">
        <x:v>Feedback-Directed Random Test Generation/Result_Round2/Cli_21/result.json</x:v>
      </x:c>
      <x:c r="P901"/>
      <x:c r="Q901" s="21" t="str"/>
      <x:c r="R901" s="21" t="str"/>
      <x:c r="S901" s="21" t="str"/>
      <x:c r="T901" s="17" t="str">
        <x:v>false</x:v>
      </x:c>
      <x:c r="U901" s="17" t="str">
        <x:v>true</x:v>
      </x:c>
      <x:c r="V901" s="17" t="str">
        <x:v>false</x:v>
      </x:c>
    </x:row>
    <x:row r="902" ht="80" customHeight="1">
      <x:c r="A902" s="25" t="str">
        <x:v>Cli</x:v>
      </x:c>
      <x:c r="B902" s="25" t="n">
        <x:v>22</x:v>
      </x:c>
      <x:c r="C902" s="25" t="str">
        <x:v>Round2</x:v>
      </x:c>
      <x:c r="D902" s="25" t="str">
        <x:v>INCONCLUSIVE</x:v>
      </x:c>
      <x:c r="E902" s="25" t="str">
        <x:v>N/A</x:v>
      </x:c>
      <x:c r="F902" s="26" t="str">
        <x:v>Fixed also failed; assertion failure cannot be attributed to this bug; Assertions failed with measured coverage; paired execution and stage checks determine status</x:v>
      </x:c>
      <x:c r="G902" s="25" t="str">
        <x:v>true</x:v>
      </x:c>
      <x:c r="H902" s="25" t="str">
        <x:v>INCONCLUSIVE</x:v>
      </x:c>
      <x:c r="I902" s="25" t="str">
        <x:v>FAIL</x:v>
      </x:c>
      <x:c r="J902" s="25" t="str">
        <x:v>FAIL</x:v>
      </x:c>
      <x:c r="K902" s="25" t="n">
        <x:v>13</x:v>
      </x:c>
      <x:c r="L902" s="27" t="b">
        <x:v>0</x:v>
      </x:c>
      <x:c r="M902" s="25" t="str">
        <x:v>Feedback-Directed Random Test Generation/rounds/Round2/state/Cli.json</x:v>
      </x:c>
      <x:c r="N902" s="25" t="str">
        <x:v>Feedback-Directed Random Test Generation/Result_Round2/Cli_22/result.json</x:v>
      </x:c>
      <x:c r="O902" s="25" t="str">
        <x:v>Feedback-Directed Random Test Generation/Result_Round2/Cli_22/result.json</x:v>
      </x:c>
      <x:c r="P902"/>
      <x:c r="Q902" s="21" t="str"/>
      <x:c r="R902" s="21" t="str"/>
      <x:c r="S902" s="21" t="str"/>
      <x:c r="T902" s="17" t="str">
        <x:v>false</x:v>
      </x:c>
      <x:c r="U902" s="17" t="str">
        <x:v>true</x:v>
      </x:c>
      <x:c r="V902" s="17" t="str">
        <x:v>false</x:v>
      </x:c>
    </x:row>
    <x:row r="903" ht="80" customHeight="1">
      <x:c r="A903" s="25" t="str">
        <x:v>Cli</x:v>
      </x:c>
      <x:c r="B903" s="25" t="n">
        <x:v>23</x:v>
      </x:c>
      <x:c r="C903" s="25" t="str">
        <x:v>Round2</x:v>
      </x:c>
      <x:c r="D903" s="25" t="str">
        <x:v>INCONCLUSIVE</x:v>
      </x:c>
      <x:c r="E903" s="25" t="str">
        <x:v>N/A</x:v>
      </x:c>
      <x:c r="F903" s="26" t="str">
        <x:v>Fixed also failed; assertion failure cannot be attributed to this bug; Assertions failed with measured coverage; paired execution and stage checks determine status</x:v>
      </x:c>
      <x:c r="G903" s="25" t="str">
        <x:v>true</x:v>
      </x:c>
      <x:c r="H903" s="25" t="str">
        <x:v>INCONCLUSIVE</x:v>
      </x:c>
      <x:c r="I903" s="25" t="str">
        <x:v>FAIL</x:v>
      </x:c>
      <x:c r="J903" s="25" t="str">
        <x:v>FAIL</x:v>
      </x:c>
      <x:c r="K903" s="25" t="n">
        <x:v>8</x:v>
      </x:c>
      <x:c r="L903" s="27" t="b">
        <x:v>0</x:v>
      </x:c>
      <x:c r="M903" s="25" t="str">
        <x:v>Feedback-Directed Random Test Generation/rounds/Round2/state/Cli.json</x:v>
      </x:c>
      <x:c r="N903" s="25" t="str">
        <x:v>Feedback-Directed Random Test Generation/Result_Round2/Cli_23/result.json</x:v>
      </x:c>
      <x:c r="O903" s="25" t="str">
        <x:v>Feedback-Directed Random Test Generation/Result_Round2/Cli_23/result.json</x:v>
      </x:c>
      <x:c r="P903"/>
      <x:c r="Q903" s="21" t="str"/>
      <x:c r="R903" s="21" t="str"/>
      <x:c r="S903" s="21" t="str"/>
      <x:c r="T903" s="17" t="str">
        <x:v>false</x:v>
      </x:c>
      <x:c r="U903" s="17" t="str">
        <x:v>true</x:v>
      </x:c>
      <x:c r="V903" s="17" t="str">
        <x:v>false</x:v>
      </x:c>
    </x:row>
    <x:row r="904" ht="80" customHeight="1">
      <x:c r="A904" s="25" t="str">
        <x:v>Cli</x:v>
      </x:c>
      <x:c r="B904" s="25" t="n">
        <x:v>24</x:v>
      </x:c>
      <x:c r="C904" s="25" t="str">
        <x:v>Round2</x:v>
      </x:c>
      <x:c r="D904" s="25" t="str">
        <x:v>INCONCLUSIVE</x:v>
      </x:c>
      <x:c r="E904" s="25" t="str">
        <x:v>N/A</x:v>
      </x:c>
      <x:c r="F904" s="26" t="str">
        <x:v>Fixed also failed; assertion failure cannot be attributed to this bug; Assertions failed with measured coverage; paired execution and stage checks determine status</x:v>
      </x:c>
      <x:c r="G904" s="25" t="str">
        <x:v>true</x:v>
      </x:c>
      <x:c r="H904" s="25" t="str">
        <x:v>INCONCLUSIVE</x:v>
      </x:c>
      <x:c r="I904" s="25" t="str">
        <x:v>FAIL</x:v>
      </x:c>
      <x:c r="J904" s="25" t="str">
        <x:v>FAIL</x:v>
      </x:c>
      <x:c r="K904" s="25" t="n">
        <x:v>7</x:v>
      </x:c>
      <x:c r="L904" s="27" t="b">
        <x:v>0</x:v>
      </x:c>
      <x:c r="M904" s="25" t="str">
        <x:v>Feedback-Directed Random Test Generation/rounds/Round2/state/Cli.json</x:v>
      </x:c>
      <x:c r="N904" s="25" t="str">
        <x:v>Feedback-Directed Random Test Generation/Result_Round2/Cli_24/result.json</x:v>
      </x:c>
      <x:c r="O904" s="25" t="str">
        <x:v>Feedback-Directed Random Test Generation/Result_Round2/Cli_24/result.json</x:v>
      </x:c>
      <x:c r="P904"/>
      <x:c r="Q904" s="21" t="str"/>
      <x:c r="R904" s="21" t="str"/>
      <x:c r="S904" s="21" t="str"/>
      <x:c r="T904" s="17" t="str">
        <x:v>false</x:v>
      </x:c>
      <x:c r="U904" s="17" t="str">
        <x:v>true</x:v>
      </x:c>
      <x:c r="V904" s="17" t="str">
        <x:v>false</x:v>
      </x:c>
    </x:row>
    <x:row r="905" ht="80" customHeight="1">
      <x:c r="A905" s="25" t="str">
        <x:v>Cli</x:v>
      </x:c>
      <x:c r="B905" s="25" t="n">
        <x:v>25</x:v>
      </x:c>
      <x:c r="C905" s="25" t="str">
        <x:v>Round2</x:v>
      </x:c>
      <x:c r="D905" s="25" t="str">
        <x:v>INCONCLUSIVE</x:v>
      </x:c>
      <x:c r="E905" s="25" t="str">
        <x:v>N/A</x:v>
      </x:c>
      <x:c r="F905" s="26" t="str">
        <x:v>Fixed also failed; assertion failure cannot be attributed to this bug; Assertions failed with measured coverage; paired execution and stage checks determine status</x:v>
      </x:c>
      <x:c r="G905" s="25" t="str">
        <x:v>true</x:v>
      </x:c>
      <x:c r="H905" s="25" t="str">
        <x:v>INCONCLUSIVE</x:v>
      </x:c>
      <x:c r="I905" s="25" t="str">
        <x:v>FAIL</x:v>
      </x:c>
      <x:c r="J905" s="25" t="str">
        <x:v>FAIL</x:v>
      </x:c>
      <x:c r="K905" s="25" t="n">
        <x:v>8</x:v>
      </x:c>
      <x:c r="L905" s="27" t="b">
        <x:v>0</x:v>
      </x:c>
      <x:c r="M905" s="25" t="str">
        <x:v>Feedback-Directed Random Test Generation/rounds/Round2/state/Cli.json</x:v>
      </x:c>
      <x:c r="N905" s="25" t="str">
        <x:v>Feedback-Directed Random Test Generation/Result_Round2/Cli_25/result.json</x:v>
      </x:c>
      <x:c r="O905" s="25" t="str">
        <x:v>Feedback-Directed Random Test Generation/Result_Round2/Cli_25/result.json</x:v>
      </x:c>
      <x:c r="P905"/>
      <x:c r="Q905" s="21" t="str"/>
      <x:c r="R905" s="21" t="str"/>
      <x:c r="S905" s="21" t="str"/>
      <x:c r="T905" s="17" t="str">
        <x:v>false</x:v>
      </x:c>
      <x:c r="U905" s="17" t="str">
        <x:v>true</x:v>
      </x:c>
      <x:c r="V905" s="17" t="str">
        <x:v>false</x:v>
      </x:c>
    </x:row>
    <x:row r="906" ht="80" customHeight="1">
      <x:c r="A906" s="25" t="str">
        <x:v>Cli</x:v>
      </x:c>
      <x:c r="B906" s="25" t="n">
        <x:v>26</x:v>
      </x:c>
      <x:c r="C906" s="25" t="str">
        <x:v>Round2</x:v>
      </x:c>
      <x:c r="D906" s="25" t="str">
        <x:v>INCONCLUSIVE</x:v>
      </x:c>
      <x:c r="E906" s="25" t="str">
        <x:v>N/A</x:v>
      </x:c>
      <x:c r="F906" s="26" t="str">
        <x:v>Fixed also failed; assertion failure cannot be attributed to this bug; Assertions failed with measured coverage; paired execution and stage checks determine status</x:v>
      </x:c>
      <x:c r="G906" s="25" t="str">
        <x:v>true</x:v>
      </x:c>
      <x:c r="H906" s="25" t="str">
        <x:v>INCONCLUSIVE</x:v>
      </x:c>
      <x:c r="I906" s="25" t="str">
        <x:v>FAIL</x:v>
      </x:c>
      <x:c r="J906" s="25" t="str">
        <x:v>FAIL</x:v>
      </x:c>
      <x:c r="K906" s="25" t="n">
        <x:v>9</x:v>
      </x:c>
      <x:c r="L906" s="27" t="b">
        <x:v>0</x:v>
      </x:c>
      <x:c r="M906" s="25" t="str">
        <x:v>Feedback-Directed Random Test Generation/rounds/Round2/state/Cli.json</x:v>
      </x:c>
      <x:c r="N906" s="25" t="str">
        <x:v>Feedback-Directed Random Test Generation/Result_Round2/Cli_26/result.json</x:v>
      </x:c>
      <x:c r="O906" s="25" t="str">
        <x:v>Feedback-Directed Random Test Generation/Result_Round2/Cli_26/result.json</x:v>
      </x:c>
      <x:c r="P906"/>
      <x:c r="Q906" s="21" t="str"/>
      <x:c r="R906" s="21" t="str"/>
      <x:c r="S906" s="21" t="str"/>
      <x:c r="T906" s="17" t="str">
        <x:v>false</x:v>
      </x:c>
      <x:c r="U906" s="17" t="str">
        <x:v>true</x:v>
      </x:c>
      <x:c r="V906" s="17" t="str">
        <x:v>false</x:v>
      </x:c>
    </x:row>
    <x:row r="907" ht="80" customHeight="1">
      <x:c r="A907" s="25" t="str">
        <x:v>Cli</x:v>
      </x:c>
      <x:c r="B907" s="25" t="n">
        <x:v>27</x:v>
      </x:c>
      <x:c r="C907" s="25" t="str">
        <x:v>Round2</x:v>
      </x:c>
      <x:c r="D907" s="25" t="str">
        <x:v>INCONCLUSIVE</x:v>
      </x:c>
      <x:c r="E907" s="25" t="str">
        <x:v>N/A</x:v>
      </x:c>
      <x:c r="F907" s="26" t="str">
        <x:v>Fixed also failed; assertion failure cannot be attributed to this bug; Assertions failed with measured coverage; paired execution and stage checks determine status</x:v>
      </x:c>
      <x:c r="G907" s="25" t="str">
        <x:v>true</x:v>
      </x:c>
      <x:c r="H907" s="25" t="str">
        <x:v>INCONCLUSIVE</x:v>
      </x:c>
      <x:c r="I907" s="25" t="str">
        <x:v>FAIL</x:v>
      </x:c>
      <x:c r="J907" s="25" t="str">
        <x:v>FAIL</x:v>
      </x:c>
      <x:c r="K907" s="25" t="n">
        <x:v>10</x:v>
      </x:c>
      <x:c r="L907" s="27" t="b">
        <x:v>0</x:v>
      </x:c>
      <x:c r="M907" s="25" t="str">
        <x:v>Feedback-Directed Random Test Generation/rounds/Round2/state/Cli.json</x:v>
      </x:c>
      <x:c r="N907" s="25" t="str">
        <x:v>Feedback-Directed Random Test Generation/Result_Round2/Cli_27/result.json</x:v>
      </x:c>
      <x:c r="O907" s="25" t="str">
        <x:v>Feedback-Directed Random Test Generation/Result_Round2/Cli_27/result.json</x:v>
      </x:c>
      <x:c r="P907"/>
      <x:c r="Q907" s="21" t="str"/>
      <x:c r="R907" s="21" t="str"/>
      <x:c r="S907" s="21" t="str"/>
      <x:c r="T907" s="17" t="str">
        <x:v>false</x:v>
      </x:c>
      <x:c r="U907" s="17" t="str">
        <x:v>true</x:v>
      </x:c>
      <x:c r="V907" s="17" t="str">
        <x:v>false</x:v>
      </x:c>
    </x:row>
    <x:row r="908" ht="80" customHeight="1">
      <x:c r="A908" s="25" t="str">
        <x:v>Cli</x:v>
      </x:c>
      <x:c r="B908" s="25" t="n">
        <x:v>28</x:v>
      </x:c>
      <x:c r="C908" s="25" t="str">
        <x:v>Round2</x:v>
      </x:c>
      <x:c r="D908" s="25" t="str">
        <x:v>INCONCLUSIVE</x:v>
      </x:c>
      <x:c r="E908" s="25" t="str">
        <x:v>N/A</x:v>
      </x:c>
      <x:c r="F908" s="26" t="str">
        <x:v>Fixed also failed; assertion failure cannot be attributed to this bug; Assertions failed with measured coverage; paired execution and stage checks determine status</x:v>
      </x:c>
      <x:c r="G908" s="25" t="str">
        <x:v>true</x:v>
      </x:c>
      <x:c r="H908" s="25" t="str">
        <x:v>INCONCLUSIVE</x:v>
      </x:c>
      <x:c r="I908" s="25" t="str">
        <x:v>FAIL</x:v>
      </x:c>
      <x:c r="J908" s="25" t="str">
        <x:v>FAIL</x:v>
      </x:c>
      <x:c r="K908" s="25" t="n">
        <x:v>2</x:v>
      </x:c>
      <x:c r="L908" s="27" t="b">
        <x:v>0</x:v>
      </x:c>
      <x:c r="M908" s="25" t="str">
        <x:v>Feedback-Directed Random Test Generation/rounds/Round2/state/Cli.json</x:v>
      </x:c>
      <x:c r="N908" s="25" t="str">
        <x:v>Feedback-Directed Random Test Generation/Result_Round2/Cli_28/result.json</x:v>
      </x:c>
      <x:c r="O908" s="25" t="str">
        <x:v>Feedback-Directed Random Test Generation/Result_Round2/Cli_28/result.json</x:v>
      </x:c>
      <x:c r="P908"/>
      <x:c r="Q908" s="21" t="str"/>
      <x:c r="R908" s="21" t="str"/>
      <x:c r="S908" s="21" t="str"/>
      <x:c r="T908" s="17" t="str">
        <x:v>false</x:v>
      </x:c>
      <x:c r="U908" s="17" t="str">
        <x:v>true</x:v>
      </x:c>
      <x:c r="V908" s="17" t="str">
        <x:v>false</x:v>
      </x:c>
    </x:row>
    <x:row r="909" ht="80" customHeight="1">
      <x:c r="A909" s="25" t="str">
        <x:v>Cli</x:v>
      </x:c>
      <x:c r="B909" s="25" t="n">
        <x:v>29</x:v>
      </x:c>
      <x:c r="C909" s="25" t="str">
        <x:v>Round2</x:v>
      </x:c>
      <x:c r="D909" s="25" t="str">
        <x:v>INCONCLUSIVE</x:v>
      </x:c>
      <x:c r="E909" s="25" t="str">
        <x:v>N/A</x:v>
      </x:c>
      <x:c r="F909" s="26" t="str">
        <x:v>Fixed also failed; assertion failure cannot be attributed to this bug; Assertions failed with measured coverage; paired execution and stage checks determine status</x:v>
      </x:c>
      <x:c r="G909" s="25" t="str">
        <x:v>true</x:v>
      </x:c>
      <x:c r="H909" s="25" t="str">
        <x:v>INCONCLUSIVE</x:v>
      </x:c>
      <x:c r="I909" s="25" t="str">
        <x:v>FAIL</x:v>
      </x:c>
      <x:c r="J909" s="25" t="str">
        <x:v>FAIL</x:v>
      </x:c>
      <x:c r="K909" s="25" t="n">
        <x:v>2</x:v>
      </x:c>
      <x:c r="L909" s="27" t="b">
        <x:v>0</x:v>
      </x:c>
      <x:c r="M909" s="25" t="str">
        <x:v>Feedback-Directed Random Test Generation/rounds/Round2/state/Cli.json</x:v>
      </x:c>
      <x:c r="N909" s="25" t="str">
        <x:v>Feedback-Directed Random Test Generation/Result_Round2/Cli_29/result.json</x:v>
      </x:c>
      <x:c r="O909" s="25" t="str">
        <x:v>Feedback-Directed Random Test Generation/Result_Round2/Cli_29/result.json</x:v>
      </x:c>
      <x:c r="P909"/>
      <x:c r="Q909" s="21" t="str"/>
      <x:c r="R909" s="21" t="str"/>
      <x:c r="S909" s="21" t="str"/>
      <x:c r="T909" s="17" t="str">
        <x:v>false</x:v>
      </x:c>
      <x:c r="U909" s="17" t="str">
        <x:v>true</x:v>
      </x:c>
      <x:c r="V909" s="17" t="str">
        <x:v>false</x:v>
      </x:c>
    </x:row>
    <x:row r="910" ht="80" customHeight="1">
      <x:c r="A910" s="25" t="str">
        <x:v>Cli</x:v>
      </x:c>
      <x:c r="B910" s="25" t="n">
        <x:v>30</x:v>
      </x:c>
      <x:c r="C910" s="25" t="str">
        <x:v>Round2</x:v>
      </x:c>
      <x:c r="D910" s="25" t="str">
        <x:v>INCONCLUSIVE</x:v>
      </x:c>
      <x:c r="E910" s="25" t="str">
        <x:v>N/A</x:v>
      </x:c>
      <x:c r="F910" s="26" t="str">
        <x:v>Fixed also failed; assertion failure cannot be attributed to this bug; Assertions failed with measured coverage; paired execution and stage checks determine status</x:v>
      </x:c>
      <x:c r="G910" s="25" t="str">
        <x:v>true</x:v>
      </x:c>
      <x:c r="H910" s="25" t="str">
        <x:v>INCONCLUSIVE</x:v>
      </x:c>
      <x:c r="I910" s="25" t="str">
        <x:v>FAIL</x:v>
      </x:c>
      <x:c r="J910" s="25" t="str">
        <x:v>FAIL</x:v>
      </x:c>
      <x:c r="K910" s="25" t="n">
        <x:v>10</x:v>
      </x:c>
      <x:c r="L910" s="27" t="b">
        <x:v>0</x:v>
      </x:c>
      <x:c r="M910" s="25" t="str">
        <x:v>Feedback-Directed Random Test Generation/rounds/Round2/state/Cli.json</x:v>
      </x:c>
      <x:c r="N910" s="25" t="str">
        <x:v>Feedback-Directed Random Test Generation/Result_Round2/Cli_30/result.json</x:v>
      </x:c>
      <x:c r="O910" s="25" t="str">
        <x:v>Feedback-Directed Random Test Generation/Result_Round2/Cli_30/result.json</x:v>
      </x:c>
      <x:c r="P910"/>
      <x:c r="Q910" s="21" t="str"/>
      <x:c r="R910" s="21" t="str"/>
      <x:c r="S910" s="21" t="str"/>
      <x:c r="T910" s="17" t="str">
        <x:v>false</x:v>
      </x:c>
      <x:c r="U910" s="17" t="str">
        <x:v>true</x:v>
      </x:c>
      <x:c r="V910" s="17" t="str">
        <x:v>false</x:v>
      </x:c>
    </x:row>
    <x:row r="911" ht="80" customHeight="1">
      <x:c r="A911" s="25" t="str">
        <x:v>Cli</x:v>
      </x:c>
      <x:c r="B911" s="25" t="n">
        <x:v>31</x:v>
      </x:c>
      <x:c r="C911" s="25" t="str">
        <x:v>Round2</x:v>
      </x:c>
      <x:c r="D911" s="25" t="str">
        <x:v>INCONCLUSIVE</x:v>
      </x:c>
      <x:c r="E911" s="25" t="str">
        <x:v>N/A</x:v>
      </x:c>
      <x:c r="F911" s="26" t="str">
        <x:v>Fixed also failed; assertion failure cannot be attributed to this bug; Assertions failed with measured coverage; paired execution and stage checks determine status</x:v>
      </x:c>
      <x:c r="G911" s="25" t="str">
        <x:v>true</x:v>
      </x:c>
      <x:c r="H911" s="25" t="str">
        <x:v>INCONCLUSIVE</x:v>
      </x:c>
      <x:c r="I911" s="25" t="str">
        <x:v>FAIL</x:v>
      </x:c>
      <x:c r="J911" s="25" t="str">
        <x:v>FAIL</x:v>
      </x:c>
      <x:c r="K911" s="25" t="n">
        <x:v>2</x:v>
      </x:c>
      <x:c r="L911" s="27" t="b">
        <x:v>0</x:v>
      </x:c>
      <x:c r="M911" s="25" t="str">
        <x:v>Feedback-Directed Random Test Generation/rounds/Round2/state/Cli.json</x:v>
      </x:c>
      <x:c r="N911" s="25" t="str">
        <x:v>Feedback-Directed Random Test Generation/Result_Round2/Cli_31/result.json</x:v>
      </x:c>
      <x:c r="O911" s="25" t="str">
        <x:v>Feedback-Directed Random Test Generation/Result_Round2/Cli_31/result.json</x:v>
      </x:c>
      <x:c r="P911"/>
      <x:c r="Q911" s="21" t="str"/>
      <x:c r="R911" s="21" t="str"/>
      <x:c r="S911" s="21" t="str"/>
      <x:c r="T911" s="17" t="str">
        <x:v>false</x:v>
      </x:c>
      <x:c r="U911" s="17" t="str">
        <x:v>true</x:v>
      </x:c>
      <x:c r="V911" s="17" t="str">
        <x:v>false</x:v>
      </x:c>
    </x:row>
    <x:row r="912" ht="80" customHeight="1">
      <x:c r="A912" s="25" t="str">
        <x:v>Cli</x:v>
      </x:c>
      <x:c r="B912" s="25" t="n">
        <x:v>32</x:v>
      </x:c>
      <x:c r="C912" s="25" t="str">
        <x:v>Round2</x:v>
      </x:c>
      <x:c r="D912" s="25" t="str">
        <x:v>INCONCLUSIVE</x:v>
      </x:c>
      <x:c r="E912" s="25" t="str">
        <x:v>N/A</x:v>
      </x:c>
      <x:c r="F912" s="26" t="str">
        <x:v>Fixed also failed; assertion failure cannot be attributed to this bug; Assertions failed with measured coverage; paired execution and stage checks determine status</x:v>
      </x:c>
      <x:c r="G912" s="25" t="str">
        <x:v>true</x:v>
      </x:c>
      <x:c r="H912" s="25" t="str">
        <x:v>INCONCLUSIVE</x:v>
      </x:c>
      <x:c r="I912" s="25" t="str">
        <x:v>FAIL</x:v>
      </x:c>
      <x:c r="J912" s="25" t="str">
        <x:v>FAIL</x:v>
      </x:c>
      <x:c r="K912" s="25" t="n">
        <x:v>2</x:v>
      </x:c>
      <x:c r="L912" s="27" t="b">
        <x:v>0</x:v>
      </x:c>
      <x:c r="M912" s="25" t="str">
        <x:v>Feedback-Directed Random Test Generation/rounds/Round2/state/Cli.json</x:v>
      </x:c>
      <x:c r="N912" s="25" t="str">
        <x:v>Feedback-Directed Random Test Generation/Result_Round2/Cli_32/result.json</x:v>
      </x:c>
      <x:c r="O912" s="25" t="str">
        <x:v>Feedback-Directed Random Test Generation/Result_Round2/Cli_32/result.json</x:v>
      </x:c>
      <x:c r="P912"/>
      <x:c r="Q912" s="21" t="str"/>
      <x:c r="R912" s="21" t="str"/>
      <x:c r="S912" s="21" t="str"/>
      <x:c r="T912" s="17" t="str">
        <x:v>false</x:v>
      </x:c>
      <x:c r="U912" s="17" t="str">
        <x:v>true</x:v>
      </x:c>
      <x:c r="V912" s="17" t="str">
        <x:v>false</x:v>
      </x:c>
    </x:row>
    <x:row r="913" ht="80" customHeight="1">
      <x:c r="A913" s="25" t="str">
        <x:v>Cli</x:v>
      </x:c>
      <x:c r="B913" s="25" t="n">
        <x:v>33</x:v>
      </x:c>
      <x:c r="C913" s="25" t="str">
        <x:v>Round2</x:v>
      </x:c>
      <x:c r="D913" s="25" t="str">
        <x:v>INCONCLUSIVE</x:v>
      </x:c>
      <x:c r="E913" s="25" t="str">
        <x:v>N/A</x:v>
      </x:c>
      <x:c r="F913" s="26" t="str">
        <x:v>Fixed also failed; assertion failure cannot be attributed to this bug; Assertions failed with measured coverage; paired execution and stage checks determine status</x:v>
      </x:c>
      <x:c r="G913" s="25" t="str">
        <x:v>true</x:v>
      </x:c>
      <x:c r="H913" s="25" t="str">
        <x:v>INCONCLUSIVE</x:v>
      </x:c>
      <x:c r="I913" s="25" t="str">
        <x:v>FAIL</x:v>
      </x:c>
      <x:c r="J913" s="25" t="str">
        <x:v>FAIL</x:v>
      </x:c>
      <x:c r="K913" s="25" t="n">
        <x:v>2</x:v>
      </x:c>
      <x:c r="L913" s="27" t="b">
        <x:v>0</x:v>
      </x:c>
      <x:c r="M913" s="25" t="str">
        <x:v>Feedback-Directed Random Test Generation/rounds/Round2/state/Cli.json</x:v>
      </x:c>
      <x:c r="N913" s="25" t="str">
        <x:v>Feedback-Directed Random Test Generation/Result_Round2/Cli_33/result.json</x:v>
      </x:c>
      <x:c r="O913" s="25" t="str">
        <x:v>Feedback-Directed Random Test Generation/Result_Round2/Cli_33/result.json</x:v>
      </x:c>
      <x:c r="P913"/>
      <x:c r="Q913" s="21" t="str"/>
      <x:c r="R913" s="21" t="str"/>
      <x:c r="S913" s="21" t="str"/>
      <x:c r="T913" s="17" t="str">
        <x:v>false</x:v>
      </x:c>
      <x:c r="U913" s="17" t="str">
        <x:v>true</x:v>
      </x:c>
      <x:c r="V913" s="17" t="str">
        <x:v>false</x:v>
      </x:c>
    </x:row>
    <x:row r="914" ht="80" customHeight="1">
      <x:c r="A914" s="25" t="str">
        <x:v>Cli</x:v>
      </x:c>
      <x:c r="B914" s="25" t="n">
        <x:v>34</x:v>
      </x:c>
      <x:c r="C914" s="25" t="str">
        <x:v>Round2</x:v>
      </x:c>
      <x:c r="D914" s="25" t="str">
        <x:v>FAIL</x:v>
      </x:c>
      <x:c r="E914" s="25" t="str">
        <x:v>N/A</x:v>
      </x:c>
      <x:c r="F914" s="26" t="str">
        <x:v>Latest same-round generation failed; older files/results are excluded</x:v>
      </x:c>
      <x:c r="G914" s="25" t="str">
        <x:v>true</x:v>
      </x:c>
      <x:c r="H914" s="25" t="str">
        <x:v>FAIL</x:v>
      </x:c>
      <x:c r="I914" s="25"/>
      <x:c r="J914" s="25"/>
      <x:c r="K914" s="25" t="n">
        <x:v>0</x:v>
      </x:c>
      <x:c r="L914" s="27" t="b">
        <x:v>1</x:v>
      </x:c>
      <x:c r="M914" s="25" t="str">
        <x:v>Feedback-Directed Random Test Generation/rounds/Round2/state/Cli.json</x:v>
      </x:c>
      <x:c r="N914" s="25"/>
      <x:c r="O914" s="25" t="str">
        <x:v>Feedback-Directed Random Test Generation/Result_Round2/Cli_34/result.json</x:v>
      </x:c>
      <x:c r="P914"/>
      <x:c r="Q914" s="21" t="str"/>
      <x:c r="R914" s="21" t="str"/>
      <x:c r="S914" s="21" t="str"/>
      <x:c r="T914" s="17" t="str">
        <x:v>false</x:v>
      </x:c>
      <x:c r="U914" s="17" t="str">
        <x:v>false</x:v>
      </x:c>
      <x:c r="V914" s="17" t="str">
        <x:v>false</x:v>
      </x:c>
    </x:row>
    <x:row r="915" ht="80" customHeight="1">
      <x:c r="A915" s="25" t="str">
        <x:v>Cli</x:v>
      </x:c>
      <x:c r="B915" s="25" t="n">
        <x:v>35</x:v>
      </x:c>
      <x:c r="C915" s="25" t="str">
        <x:v>Round2</x:v>
      </x:c>
      <x:c r="D915" s="25" t="str">
        <x:v>NOT_REVEALING</x:v>
      </x:c>
      <x:c r="E915" s="25" t="str">
        <x:v>N/A</x:v>
      </x:c>
      <x:c r="F915" s="26" t="str">
        <x:v>Same saved validation suite passed on buggy and fixed</x:v>
      </x:c>
      <x:c r="G915" s="25" t="str">
        <x:v>true</x:v>
      </x:c>
      <x:c r="H915" s="25" t="str">
        <x:v>NOT_REVEALING</x:v>
      </x:c>
      <x:c r="I915" s="25" t="str">
        <x:v>PASS</x:v>
      </x:c>
      <x:c r="J915" s="25" t="str">
        <x:v>PASS</x:v>
      </x:c>
      <x:c r="K915" s="25" t="n">
        <x:v>9</x:v>
      </x:c>
      <x:c r="L915" s="27" t="b">
        <x:v>0</x:v>
      </x:c>
      <x:c r="M915" s="25" t="str">
        <x:v>Feedback-Directed Random Test Generation/rounds/Round2/state/Cli.json</x:v>
      </x:c>
      <x:c r="N915" s="25" t="str">
        <x:v>Feedback-Directed Random Test Generation/Result_Round2/Cli_35/result.json</x:v>
      </x:c>
      <x:c r="O915" s="25" t="str">
        <x:v>Feedback-Directed Random Test Generation/Result_Round2/Cli_35/result.json</x:v>
      </x:c>
      <x:c r="P915"/>
      <x:c r="Q915" s="21" t="str"/>
      <x:c r="R915" s="21" t="str"/>
      <x:c r="S915" s="21" t="str"/>
      <x:c r="T915" s="17" t="str">
        <x:v>false</x:v>
      </x:c>
      <x:c r="U915" s="17" t="str">
        <x:v>true</x:v>
      </x:c>
      <x:c r="V915" s="17" t="str">
        <x:v>false</x:v>
      </x:c>
    </x:row>
    <x:row r="916" ht="80" customHeight="1">
      <x:c r="A916" s="25" t="str">
        <x:v>Cli</x:v>
      </x:c>
      <x:c r="B916" s="25" t="n">
        <x:v>36</x:v>
      </x:c>
      <x:c r="C916" s="25" t="str">
        <x:v>Round2</x:v>
      </x:c>
      <x:c r="D916" s="25" t="str">
        <x:v>NOT_REVEALING</x:v>
      </x:c>
      <x:c r="E916" s="25" t="str">
        <x:v>N/A</x:v>
      </x:c>
      <x:c r="F916" s="26" t="str">
        <x:v>Same saved validation suite passed on buggy and fixed</x:v>
      </x:c>
      <x:c r="G916" s="25" t="str">
        <x:v>true</x:v>
      </x:c>
      <x:c r="H916" s="25" t="str">
        <x:v>NOT_REVEALING</x:v>
      </x:c>
      <x:c r="I916" s="25" t="str">
        <x:v>PASS</x:v>
      </x:c>
      <x:c r="J916" s="25" t="str">
        <x:v>PASS</x:v>
      </x:c>
      <x:c r="K916" s="25" t="n">
        <x:v>7</x:v>
      </x:c>
      <x:c r="L916" s="27" t="b">
        <x:v>0</x:v>
      </x:c>
      <x:c r="M916" s="25" t="str">
        <x:v>Feedback-Directed Random Test Generation/rounds/Round2/state/Cli.json</x:v>
      </x:c>
      <x:c r="N916" s="25" t="str">
        <x:v>Feedback-Directed Random Test Generation/Result_Round2/Cli_36/result.json</x:v>
      </x:c>
      <x:c r="O916" s="25" t="str">
        <x:v>Feedback-Directed Random Test Generation/Result_Round2/Cli_36/result.json</x:v>
      </x:c>
      <x:c r="P916"/>
      <x:c r="Q916" s="21" t="str"/>
      <x:c r="R916" s="21" t="str"/>
      <x:c r="S916" s="21" t="str"/>
      <x:c r="T916" s="17" t="str">
        <x:v>false</x:v>
      </x:c>
      <x:c r="U916" s="17" t="str">
        <x:v>true</x:v>
      </x:c>
      <x:c r="V916" s="17" t="str">
        <x:v>false</x:v>
      </x:c>
    </x:row>
    <x:row r="917" ht="80" customHeight="1">
      <x:c r="A917" s="25" t="str">
        <x:v>Cli</x:v>
      </x:c>
      <x:c r="B917" s="25" t="n">
        <x:v>37</x:v>
      </x:c>
      <x:c r="C917" s="25" t="str">
        <x:v>Round2</x:v>
      </x:c>
      <x:c r="D917" s="25" t="str">
        <x:v>INCONCLUSIVE</x:v>
      </x:c>
      <x:c r="E917" s="25" t="str">
        <x:v>N/A</x:v>
      </x:c>
      <x:c r="F917" s="26" t="str">
        <x:v>Fixed also failed; assertion failure cannot be attributed to this bug; Assertions failed with measured coverage; paired execution and stage checks determine status</x:v>
      </x:c>
      <x:c r="G917" s="25" t="str">
        <x:v>true</x:v>
      </x:c>
      <x:c r="H917" s="25" t="str">
        <x:v>INCONCLUSIVE</x:v>
      </x:c>
      <x:c r="I917" s="25" t="str">
        <x:v>FAIL</x:v>
      </x:c>
      <x:c r="J917" s="25" t="str">
        <x:v>FAIL</x:v>
      </x:c>
      <x:c r="K917" s="25" t="n">
        <x:v>10</x:v>
      </x:c>
      <x:c r="L917" s="27" t="b">
        <x:v>0</x:v>
      </x:c>
      <x:c r="M917" s="25" t="str">
        <x:v>Feedback-Directed Random Test Generation/rounds/Round2/state/Cli.json</x:v>
      </x:c>
      <x:c r="N917" s="25" t="str">
        <x:v>Feedback-Directed Random Test Generation/Result_Round2/Cli_37/result.json</x:v>
      </x:c>
      <x:c r="O917" s="25" t="str">
        <x:v>Feedback-Directed Random Test Generation/Result_Round2/Cli_37/result.json</x:v>
      </x:c>
      <x:c r="P917"/>
      <x:c r="Q917" s="21" t="str"/>
      <x:c r="R917" s="21" t="str"/>
      <x:c r="S917" s="21" t="str"/>
      <x:c r="T917" s="17" t="str">
        <x:v>false</x:v>
      </x:c>
      <x:c r="U917" s="17" t="str">
        <x:v>true</x:v>
      </x:c>
      <x:c r="V917" s="17" t="str">
        <x:v>false</x:v>
      </x:c>
    </x:row>
    <x:row r="918" ht="80" customHeight="1">
      <x:c r="A918" s="25" t="str">
        <x:v>Cli</x:v>
      </x:c>
      <x:c r="B918" s="25" t="n">
        <x:v>38</x:v>
      </x:c>
      <x:c r="C918" s="25" t="str">
        <x:v>Round2</x:v>
      </x:c>
      <x:c r="D918" s="25" t="str">
        <x:v>INCONCLUSIVE</x:v>
      </x:c>
      <x:c r="E918" s="25" t="str">
        <x:v>N/A</x:v>
      </x:c>
      <x:c r="F918" s="26" t="str">
        <x:v>Fixed also failed; assertion failure cannot be attributed to this bug; Assertions failed with measured coverage; paired execution and stage checks determine status</x:v>
      </x:c>
      <x:c r="G918" s="25" t="str">
        <x:v>true</x:v>
      </x:c>
      <x:c r="H918" s="25" t="str">
        <x:v>INCONCLUSIVE</x:v>
      </x:c>
      <x:c r="I918" s="25" t="str">
        <x:v>FAIL</x:v>
      </x:c>
      <x:c r="J918" s="25" t="str">
        <x:v>FAIL</x:v>
      </x:c>
      <x:c r="K918" s="25" t="n">
        <x:v>10</x:v>
      </x:c>
      <x:c r="L918" s="27" t="b">
        <x:v>0</x:v>
      </x:c>
      <x:c r="M918" s="25" t="str">
        <x:v>Feedback-Directed Random Test Generation/rounds/Round2/state/Cli.json</x:v>
      </x:c>
      <x:c r="N918" s="25" t="str">
        <x:v>Feedback-Directed Random Test Generation/Result_Round2/Cli_38/result.json</x:v>
      </x:c>
      <x:c r="O918" s="25" t="str">
        <x:v>Feedback-Directed Random Test Generation/Result_Round2/Cli_38/result.json</x:v>
      </x:c>
      <x:c r="P918"/>
      <x:c r="Q918" s="21" t="str"/>
      <x:c r="R918" s="21" t="str"/>
      <x:c r="S918" s="21" t="str"/>
      <x:c r="T918" s="17" t="str">
        <x:v>false</x:v>
      </x:c>
      <x:c r="U918" s="17" t="str">
        <x:v>true</x:v>
      </x:c>
      <x:c r="V918" s="17" t="str">
        <x:v>false</x:v>
      </x:c>
    </x:row>
    <x:row r="919" ht="80" customHeight="1">
      <x:c r="A919" s="25" t="str">
        <x:v>Cli</x:v>
      </x:c>
      <x:c r="B919" s="25" t="n">
        <x:v>39</x:v>
      </x:c>
      <x:c r="C919" s="25" t="str">
        <x:v>Round2</x:v>
      </x:c>
      <x:c r="D919" s="25" t="str">
        <x:v>NOT_REVEALING</x:v>
      </x:c>
      <x:c r="E919" s="25" t="str">
        <x:v>N/A</x:v>
      </x:c>
      <x:c r="F919" s="26" t="str">
        <x:v>Same saved validation suite passed on buggy and fixed</x:v>
      </x:c>
      <x:c r="G919" s="25" t="str">
        <x:v>true</x:v>
      </x:c>
      <x:c r="H919" s="25" t="str">
        <x:v>NOT_REVEALING</x:v>
      </x:c>
      <x:c r="I919" s="25" t="str">
        <x:v>PASS</x:v>
      </x:c>
      <x:c r="J919" s="25" t="str">
        <x:v>PASS</x:v>
      </x:c>
      <x:c r="K919" s="25" t="n">
        <x:v>2</x:v>
      </x:c>
      <x:c r="L919" s="27" t="b">
        <x:v>0</x:v>
      </x:c>
      <x:c r="M919" s="25" t="str">
        <x:v>Feedback-Directed Random Test Generation/rounds/Round2/state/Cli.json</x:v>
      </x:c>
      <x:c r="N919" s="25" t="str">
        <x:v>Feedback-Directed Random Test Generation/Result_Round2/Cli_39/result.json</x:v>
      </x:c>
      <x:c r="O919" s="25" t="str">
        <x:v>Feedback-Directed Random Test Generation/Result_Round2/Cli_39/result.json</x:v>
      </x:c>
      <x:c r="P919"/>
      <x:c r="Q919" s="21" t="str"/>
      <x:c r="R919" s="21" t="str"/>
      <x:c r="S919" s="21" t="str"/>
      <x:c r="T919" s="17" t="str">
        <x:v>false</x:v>
      </x:c>
      <x:c r="U919" s="17" t="str">
        <x:v>true</x:v>
      </x:c>
      <x:c r="V919" s="17" t="str">
        <x:v>false</x:v>
      </x:c>
    </x:row>
    <x:row r="920" ht="80" customHeight="1">
      <x:c r="A920" s="25" t="str">
        <x:v>Cli</x:v>
      </x:c>
      <x:c r="B920" s="25" t="n">
        <x:v>40</x:v>
      </x:c>
      <x:c r="C920" s="25" t="str">
        <x:v>Round2</x:v>
      </x:c>
      <x:c r="D920" s="25" t="str">
        <x:v>INCONCLUSIVE</x:v>
      </x:c>
      <x:c r="E920" s="25" t="str">
        <x:v>N/A</x:v>
      </x:c>
      <x:c r="F920" s="26" t="str">
        <x:v>Fixed also failed; assertion failure cannot be attributed to this bug</x:v>
      </x:c>
      <x:c r="G920" s="25" t="str">
        <x:v>true</x:v>
      </x:c>
      <x:c r="H920" s="25" t="str">
        <x:v>INCONCLUSIVE</x:v>
      </x:c>
      <x:c r="I920" s="25" t="str">
        <x:v>PASS</x:v>
      </x:c>
      <x:c r="J920" s="25" t="str">
        <x:v>FAIL</x:v>
      </x:c>
      <x:c r="K920" s="25" t="n">
        <x:v>8</x:v>
      </x:c>
      <x:c r="L920" s="27" t="b">
        <x:v>0</x:v>
      </x:c>
      <x:c r="M920" s="25" t="str">
        <x:v>Feedback-Directed Random Test Generation/rounds/Round2/state/Cli.json</x:v>
      </x:c>
      <x:c r="N920" s="25" t="str">
        <x:v>Feedback-Directed Random Test Generation/Result_Round2/Cli_40/result.json</x:v>
      </x:c>
      <x:c r="O920" s="25" t="str">
        <x:v>Feedback-Directed Random Test Generation/Result_Round2/Cli_40/result.json</x:v>
      </x:c>
      <x:c r="P920"/>
      <x:c r="Q920" s="21" t="str"/>
      <x:c r="R920" s="21" t="str"/>
      <x:c r="S920" s="21" t="str"/>
      <x:c r="T920" s="17" t="str">
        <x:v>false</x:v>
      </x:c>
      <x:c r="U920" s="17" t="str">
        <x:v>true</x:v>
      </x:c>
      <x:c r="V920" s="17" t="str">
        <x:v>false</x:v>
      </x:c>
    </x:row>
    <x:row r="921" ht="80" customHeight="1">
      <x:c r="A921" s="25" t="str">
        <x:v>Closure</x:v>
      </x:c>
      <x:c r="B921" s="25" t="n">
        <x:v>1</x:v>
      </x:c>
      <x:c r="C921" s="25" t="str">
        <x:v>Round2</x:v>
      </x:c>
      <x:c r="D921" s="25" t="str">
        <x:v>NOT_REVEALING</x:v>
      </x:c>
      <x:c r="E921" s="25" t="str">
        <x:v>N/A</x:v>
      </x:c>
      <x:c r="F921" s="26" t="str">
        <x:v>Same saved validation suite passed on buggy and fixed</x:v>
      </x:c>
      <x:c r="G921" s="25" t="str">
        <x:v>true</x:v>
      </x:c>
      <x:c r="H921" s="25" t="str">
        <x:v>NOT_REVEALING</x:v>
      </x:c>
      <x:c r="I921" s="25" t="str">
        <x:v>PASS</x:v>
      </x:c>
      <x:c r="J921" s="25" t="str">
        <x:v>PASS</x:v>
      </x:c>
      <x:c r="K921" s="25" t="n">
        <x:v>2</x:v>
      </x:c>
      <x:c r="L921" s="27" t="b">
        <x:v>0</x:v>
      </x:c>
      <x:c r="M921" s="25" t="str">
        <x:v>Feedback-Directed Random Test Generation/rounds/Round2/state/Closure.json</x:v>
      </x:c>
      <x:c r="N921" s="25" t="str">
        <x:v>Feedback-Directed Random Test Generation/Result_Round2/Closure_1/result.json</x:v>
      </x:c>
      <x:c r="O921" s="25" t="str">
        <x:v>Feedback-Directed Random Test Generation/Result_Round2/Closure_1/result.json</x:v>
      </x:c>
      <x:c r="P921"/>
      <x:c r="Q921" s="21" t="str"/>
      <x:c r="R921" s="21" t="str"/>
      <x:c r="S921" s="21" t="str"/>
      <x:c r="T921" s="17" t="str">
        <x:v>false</x:v>
      </x:c>
      <x:c r="U921" s="17" t="str">
        <x:v>true</x:v>
      </x:c>
      <x:c r="V921" s="17" t="str">
        <x:v>false</x:v>
      </x:c>
    </x:row>
    <x:row r="922" ht="80" customHeight="1">
      <x:c r="A922" s="25" t="str">
        <x:v>Closure</x:v>
      </x:c>
      <x:c r="B922" s="25" t="n">
        <x:v>2</x:v>
      </x:c>
      <x:c r="C922" s="25" t="str">
        <x:v>Round2</x:v>
      </x:c>
      <x:c r="D922" s="25" t="str">
        <x:v>NOT_REVEALING</x:v>
      </x:c>
      <x:c r="E922" s="25" t="str">
        <x:v>N/A</x:v>
      </x:c>
      <x:c r="F922" s="26" t="str">
        <x:v>Same saved validation suite passed on buggy and fixed</x:v>
      </x:c>
      <x:c r="G922" s="25" t="str">
        <x:v>true</x:v>
      </x:c>
      <x:c r="H922" s="25" t="str">
        <x:v>NOT_REVEALING</x:v>
      </x:c>
      <x:c r="I922" s="25" t="str">
        <x:v>PASS</x:v>
      </x:c>
      <x:c r="J922" s="25" t="str">
        <x:v>PASS</x:v>
      </x:c>
      <x:c r="K922" s="25" t="n">
        <x:v>2</x:v>
      </x:c>
      <x:c r="L922" s="27" t="b">
        <x:v>0</x:v>
      </x:c>
      <x:c r="M922" s="25" t="str">
        <x:v>Feedback-Directed Random Test Generation/rounds/Round2/state/Closure.json</x:v>
      </x:c>
      <x:c r="N922" s="25" t="str">
        <x:v>Feedback-Directed Random Test Generation/Result_Round2/Closure_2/result.json</x:v>
      </x:c>
      <x:c r="O922" s="25" t="str">
        <x:v>Feedback-Directed Random Test Generation/Result_Round2/Closure_2/result.json</x:v>
      </x:c>
      <x:c r="P922"/>
      <x:c r="Q922" s="21" t="str"/>
      <x:c r="R922" s="21" t="str"/>
      <x:c r="S922" s="21" t="str"/>
      <x:c r="T922" s="17" t="str">
        <x:v>false</x:v>
      </x:c>
      <x:c r="U922" s="17" t="str">
        <x:v>true</x:v>
      </x:c>
      <x:c r="V922" s="17" t="str">
        <x:v>false</x:v>
      </x:c>
    </x:row>
    <x:row r="923" ht="80" customHeight="1">
      <x:c r="A923" s="25" t="str">
        <x:v>Closure</x:v>
      </x:c>
      <x:c r="B923" s="25" t="n">
        <x:v>3</x:v>
      </x:c>
      <x:c r="C923" s="25" t="str">
        <x:v>Round2</x:v>
      </x:c>
      <x:c r="D923" s="25" t="str">
        <x:v>NOT_REVEALING</x:v>
      </x:c>
      <x:c r="E923" s="25" t="str">
        <x:v>N/A</x:v>
      </x:c>
      <x:c r="F923" s="26" t="str">
        <x:v>Same saved validation suite passed on buggy and fixed</x:v>
      </x:c>
      <x:c r="G923" s="25" t="str">
        <x:v>true</x:v>
      </x:c>
      <x:c r="H923" s="25" t="str">
        <x:v>NOT_REVEALING</x:v>
      </x:c>
      <x:c r="I923" s="25" t="str">
        <x:v>PASS</x:v>
      </x:c>
      <x:c r="J923" s="25" t="str">
        <x:v>PASS</x:v>
      </x:c>
      <x:c r="K923" s="25" t="n">
        <x:v>5</x:v>
      </x:c>
      <x:c r="L923" s="27" t="b">
        <x:v>0</x:v>
      </x:c>
      <x:c r="M923" s="25" t="str">
        <x:v>Feedback-Directed Random Test Generation/rounds/Round2/state/Closure.json</x:v>
      </x:c>
      <x:c r="N923" s="25" t="str">
        <x:v>Feedback-Directed Random Test Generation/Result_Round2/Closure_3/result.json</x:v>
      </x:c>
      <x:c r="O923" s="25" t="str">
        <x:v>Feedback-Directed Random Test Generation/Result_Round2/Closure_3/result.json</x:v>
      </x:c>
      <x:c r="P923"/>
      <x:c r="Q923" s="21" t="str"/>
      <x:c r="R923" s="21" t="str"/>
      <x:c r="S923" s="21" t="str"/>
      <x:c r="T923" s="17" t="str">
        <x:v>false</x:v>
      </x:c>
      <x:c r="U923" s="17" t="str">
        <x:v>true</x:v>
      </x:c>
      <x:c r="V923" s="17" t="str">
        <x:v>false</x:v>
      </x:c>
    </x:row>
    <x:row r="924" ht="80" customHeight="1">
      <x:c r="A924" s="25" t="str">
        <x:v>Closure</x:v>
      </x:c>
      <x:c r="B924" s="25" t="n">
        <x:v>4</x:v>
      </x:c>
      <x:c r="C924" s="25" t="str">
        <x:v>Round2</x:v>
      </x:c>
      <x:c r="D924" s="25" t="str">
        <x:v>NOT_REVEALING</x:v>
      </x:c>
      <x:c r="E924" s="25" t="str">
        <x:v>N/A</x:v>
      </x:c>
      <x:c r="F924" s="26" t="str">
        <x:v>Same saved validation suite passed on buggy and fixed</x:v>
      </x:c>
      <x:c r="G924" s="25" t="str">
        <x:v>true</x:v>
      </x:c>
      <x:c r="H924" s="25" t="str">
        <x:v>NOT_REVEALING</x:v>
      </x:c>
      <x:c r="I924" s="25" t="str">
        <x:v>PASS</x:v>
      </x:c>
      <x:c r="J924" s="25" t="str">
        <x:v>PASS</x:v>
      </x:c>
      <x:c r="K924" s="25" t="n">
        <x:v>16</x:v>
      </x:c>
      <x:c r="L924" s="27" t="b">
        <x:v>0</x:v>
      </x:c>
      <x:c r="M924" s="25" t="str">
        <x:v>Feedback-Directed Random Test Generation/rounds/Round2/state/Closure.json</x:v>
      </x:c>
      <x:c r="N924" s="25" t="str">
        <x:v>Feedback-Directed Random Test Generation/Result_Round2/Closure_4/result.json</x:v>
      </x:c>
      <x:c r="O924" s="25" t="str">
        <x:v>Feedback-Directed Random Test Generation/Result_Round2/Closure_4/result.json</x:v>
      </x:c>
      <x:c r="P924"/>
      <x:c r="Q924" s="21" t="str"/>
      <x:c r="R924" s="21" t="str"/>
      <x:c r="S924" s="21" t="str"/>
      <x:c r="T924" s="17" t="str">
        <x:v>false</x:v>
      </x:c>
      <x:c r="U924" s="17" t="str">
        <x:v>true</x:v>
      </x:c>
      <x:c r="V924" s="17" t="str">
        <x:v>false</x:v>
      </x:c>
    </x:row>
    <x:row r="925" ht="80" customHeight="1">
      <x:c r="A925" s="25" t="str">
        <x:v>Closure</x:v>
      </x:c>
      <x:c r="B925" s="25" t="n">
        <x:v>5</x:v>
      </x:c>
      <x:c r="C925" s="25" t="str">
        <x:v>Round2</x:v>
      </x:c>
      <x:c r="D925" s="25" t="str">
        <x:v>NOT_REVEALING</x:v>
      </x:c>
      <x:c r="E925" s="25" t="str">
        <x:v>N/A</x:v>
      </x:c>
      <x:c r="F925" s="26" t="str">
        <x:v>Same saved validation suite passed on buggy and fixed</x:v>
      </x:c>
      <x:c r="G925" s="25" t="str">
        <x:v>true</x:v>
      </x:c>
      <x:c r="H925" s="25" t="str">
        <x:v>NOT_REVEALING</x:v>
      </x:c>
      <x:c r="I925" s="25" t="str">
        <x:v>PASS</x:v>
      </x:c>
      <x:c r="J925" s="25" t="str">
        <x:v>PASS</x:v>
      </x:c>
      <x:c r="K925" s="25" t="n">
        <x:v>2</x:v>
      </x:c>
      <x:c r="L925" s="27" t="b">
        <x:v>0</x:v>
      </x:c>
      <x:c r="M925" s="25" t="str">
        <x:v>Feedback-Directed Random Test Generation/rounds/Round2/state/Closure.json</x:v>
      </x:c>
      <x:c r="N925" s="25" t="str">
        <x:v>Feedback-Directed Random Test Generation/Result_Round2/Closure_5/result.json</x:v>
      </x:c>
      <x:c r="O925" s="25" t="str">
        <x:v>Feedback-Directed Random Test Generation/Result_Round2/Closure_5/result.json</x:v>
      </x:c>
      <x:c r="P925"/>
      <x:c r="Q925" s="21" t="str"/>
      <x:c r="R925" s="21" t="str"/>
      <x:c r="S925" s="21" t="str"/>
      <x:c r="T925" s="17" t="str">
        <x:v>false</x:v>
      </x:c>
      <x:c r="U925" s="17" t="str">
        <x:v>true</x:v>
      </x:c>
      <x:c r="V925" s="17" t="str">
        <x:v>false</x:v>
      </x:c>
    </x:row>
    <x:row r="926" ht="80" customHeight="1">
      <x:c r="A926" s="25" t="str">
        <x:v>Closure</x:v>
      </x:c>
      <x:c r="B926" s="25" t="n">
        <x:v>6</x:v>
      </x:c>
      <x:c r="C926" s="25" t="str">
        <x:v>Round2</x:v>
      </x:c>
      <x:c r="D926" s="25" t="str">
        <x:v>NOT_REVEALING</x:v>
      </x:c>
      <x:c r="E926" s="25" t="str">
        <x:v>N/A</x:v>
      </x:c>
      <x:c r="F926" s="26" t="str">
        <x:v>Same saved validation suite passed on buggy and fixed</x:v>
      </x:c>
      <x:c r="G926" s="25" t="str">
        <x:v>true</x:v>
      </x:c>
      <x:c r="H926" s="25" t="str">
        <x:v>NOT_REVEALING</x:v>
      </x:c>
      <x:c r="I926" s="25" t="str">
        <x:v>PASS</x:v>
      </x:c>
      <x:c r="J926" s="25" t="str">
        <x:v>PASS</x:v>
      </x:c>
      <x:c r="K926" s="25" t="n">
        <x:v>2</x:v>
      </x:c>
      <x:c r="L926" s="27" t="b">
        <x:v>0</x:v>
      </x:c>
      <x:c r="M926" s="25" t="str">
        <x:v>Feedback-Directed Random Test Generation/rounds/Round2/state/Closure.json</x:v>
      </x:c>
      <x:c r="N926" s="25" t="str">
        <x:v>Feedback-Directed Random Test Generation/Result_Round2/Closure_6/result.json</x:v>
      </x:c>
      <x:c r="O926" s="25" t="str">
        <x:v>Feedback-Directed Random Test Generation/Result_Round2/Closure_6/result.json</x:v>
      </x:c>
      <x:c r="P926"/>
      <x:c r="Q926" s="21" t="str"/>
      <x:c r="R926" s="21" t="str"/>
      <x:c r="S926" s="21" t="str"/>
      <x:c r="T926" s="17" t="str">
        <x:v>false</x:v>
      </x:c>
      <x:c r="U926" s="17" t="str">
        <x:v>true</x:v>
      </x:c>
      <x:c r="V926" s="17" t="str">
        <x:v>false</x:v>
      </x:c>
    </x:row>
    <x:row r="927" ht="80" customHeight="1">
      <x:c r="A927" s="25" t="str">
        <x:v>Closure</x:v>
      </x:c>
      <x:c r="B927" s="25" t="n">
        <x:v>7</x:v>
      </x:c>
      <x:c r="C927" s="25" t="str">
        <x:v>Round2</x:v>
      </x:c>
      <x:c r="D927" s="25" t="str">
        <x:v>NOT_REVEALING</x:v>
      </x:c>
      <x:c r="E927" s="25" t="str">
        <x:v>N/A</x:v>
      </x:c>
      <x:c r="F927" s="26" t="str">
        <x:v>Same saved validation suite passed on buggy and fixed</x:v>
      </x:c>
      <x:c r="G927" s="25" t="str">
        <x:v>true</x:v>
      </x:c>
      <x:c r="H927" s="25" t="str">
        <x:v>NOT_REVEALING</x:v>
      </x:c>
      <x:c r="I927" s="25" t="str">
        <x:v>PASS</x:v>
      </x:c>
      <x:c r="J927" s="25" t="str">
        <x:v>PASS</x:v>
      </x:c>
      <x:c r="K927" s="25" t="n">
        <x:v>2</x:v>
      </x:c>
      <x:c r="L927" s="27" t="b">
        <x:v>0</x:v>
      </x:c>
      <x:c r="M927" s="25" t="str">
        <x:v>Feedback-Directed Random Test Generation/rounds/Round2/state/Closure.json</x:v>
      </x:c>
      <x:c r="N927" s="25" t="str">
        <x:v>Feedback-Directed Random Test Generation/Result_Round2/Closure_7/result.json</x:v>
      </x:c>
      <x:c r="O927" s="25" t="str">
        <x:v>Feedback-Directed Random Test Generation/Result_Round2/Closure_7/result.json</x:v>
      </x:c>
      <x:c r="P927"/>
      <x:c r="Q927" s="21" t="str"/>
      <x:c r="R927" s="21" t="str"/>
      <x:c r="S927" s="21" t="str"/>
      <x:c r="T927" s="17" t="str">
        <x:v>false</x:v>
      </x:c>
      <x:c r="U927" s="17" t="str">
        <x:v>true</x:v>
      </x:c>
      <x:c r="V927" s="17" t="str">
        <x:v>false</x:v>
      </x:c>
    </x:row>
    <x:row r="928" ht="80" customHeight="1">
      <x:c r="A928" s="25" t="str">
        <x:v>Closure</x:v>
      </x:c>
      <x:c r="B928" s="25" t="n">
        <x:v>8</x:v>
      </x:c>
      <x:c r="C928" s="25" t="str">
        <x:v>Round2</x:v>
      </x:c>
      <x:c r="D928" s="25" t="str">
        <x:v>NOT_REVEALING</x:v>
      </x:c>
      <x:c r="E928" s="25" t="str">
        <x:v>N/A</x:v>
      </x:c>
      <x:c r="F928" s="26" t="str">
        <x:v>Same saved validation suite passed on buggy and fixed</x:v>
      </x:c>
      <x:c r="G928" s="25" t="str">
        <x:v>true</x:v>
      </x:c>
      <x:c r="H928" s="25" t="str">
        <x:v>NOT_REVEALING</x:v>
      </x:c>
      <x:c r="I928" s="25" t="str">
        <x:v>PASS</x:v>
      </x:c>
      <x:c r="J928" s="25" t="str">
        <x:v>PASS</x:v>
      </x:c>
      <x:c r="K928" s="25" t="n">
        <x:v>2</x:v>
      </x:c>
      <x:c r="L928" s="27" t="b">
        <x:v>0</x:v>
      </x:c>
      <x:c r="M928" s="25" t="str">
        <x:v>Feedback-Directed Random Test Generation/rounds/Round2/state/Closure.json</x:v>
      </x:c>
      <x:c r="N928" s="25" t="str">
        <x:v>Feedback-Directed Random Test Generation/Result_Round2/Closure_8/result.json</x:v>
      </x:c>
      <x:c r="O928" s="25" t="str">
        <x:v>Feedback-Directed Random Test Generation/Result_Round2/Closure_8/result.json</x:v>
      </x:c>
      <x:c r="P928"/>
      <x:c r="Q928" s="21" t="str"/>
      <x:c r="R928" s="21" t="str"/>
      <x:c r="S928" s="21" t="str"/>
      <x:c r="T928" s="17" t="str">
        <x:v>false</x:v>
      </x:c>
      <x:c r="U928" s="17" t="str">
        <x:v>true</x:v>
      </x:c>
      <x:c r="V928" s="17" t="str">
        <x:v>false</x:v>
      </x:c>
    </x:row>
    <x:row r="929" ht="80" customHeight="1">
      <x:c r="A929" s="25" t="str">
        <x:v>Closure</x:v>
      </x:c>
      <x:c r="B929" s="25" t="n">
        <x:v>9</x:v>
      </x:c>
      <x:c r="C929" s="25" t="str">
        <x:v>Round2</x:v>
      </x:c>
      <x:c r="D929" s="25" t="str">
        <x:v>NOT_REVEALING</x:v>
      </x:c>
      <x:c r="E929" s="25" t="str">
        <x:v>N/A</x:v>
      </x:c>
      <x:c r="F929" s="26" t="str">
        <x:v>Same saved validation suite passed on buggy and fixed</x:v>
      </x:c>
      <x:c r="G929" s="25" t="str">
        <x:v>true</x:v>
      </x:c>
      <x:c r="H929" s="25" t="str">
        <x:v>NOT_REVEALING</x:v>
      </x:c>
      <x:c r="I929" s="25" t="str">
        <x:v>PASS</x:v>
      </x:c>
      <x:c r="J929" s="25" t="str">
        <x:v>PASS</x:v>
      </x:c>
      <x:c r="K929" s="25" t="n">
        <x:v>6</x:v>
      </x:c>
      <x:c r="L929" s="27" t="b">
        <x:v>0</x:v>
      </x:c>
      <x:c r="M929" s="25" t="str">
        <x:v>Feedback-Directed Random Test Generation/rounds/Round2/state/Closure.json</x:v>
      </x:c>
      <x:c r="N929" s="25" t="str">
        <x:v>Feedback-Directed Random Test Generation/Result_Round2/Closure_9/result.json</x:v>
      </x:c>
      <x:c r="O929" s="25" t="str">
        <x:v>Feedback-Directed Random Test Generation/Result_Round2/Closure_9/result.json</x:v>
      </x:c>
      <x:c r="P929"/>
      <x:c r="Q929" s="21" t="str"/>
      <x:c r="R929" s="21" t="str"/>
      <x:c r="S929" s="21" t="str"/>
      <x:c r="T929" s="17" t="str">
        <x:v>false</x:v>
      </x:c>
      <x:c r="U929" s="17" t="str">
        <x:v>true</x:v>
      </x:c>
      <x:c r="V929" s="17" t="str">
        <x:v>false</x:v>
      </x:c>
    </x:row>
    <x:row r="930" ht="80" customHeight="1">
      <x:c r="A930" s="25" t="str">
        <x:v>Closure</x:v>
      </x:c>
      <x:c r="B930" s="25" t="n">
        <x:v>10</x:v>
      </x:c>
      <x:c r="C930" s="25" t="str">
        <x:v>Round2</x:v>
      </x:c>
      <x:c r="D930" s="25" t="str">
        <x:v>INCONCLUSIVE</x:v>
      </x:c>
      <x:c r="E930" s="25" t="str">
        <x:v>N/A</x:v>
      </x:c>
      <x:c r="F930" s="26" t="str">
        <x:v>Fixed also failed; assertion failure cannot be attributed to this bug; Assertions failed with measured coverage; paired execution and stage checks determine status</x:v>
      </x:c>
      <x:c r="G930" s="25" t="str">
        <x:v>true</x:v>
      </x:c>
      <x:c r="H930" s="25" t="str">
        <x:v>INCONCLUSIVE</x:v>
      </x:c>
      <x:c r="I930" s="25" t="str">
        <x:v>FAIL</x:v>
      </x:c>
      <x:c r="J930" s="25" t="str">
        <x:v>FAIL</x:v>
      </x:c>
      <x:c r="K930" s="25" t="n">
        <x:v>7</x:v>
      </x:c>
      <x:c r="L930" s="27" t="b">
        <x:v>0</x:v>
      </x:c>
      <x:c r="M930" s="25" t="str">
        <x:v>Feedback-Directed Random Test Generation/rounds/Round2/state/Closure.json</x:v>
      </x:c>
      <x:c r="N930" s="25" t="str">
        <x:v>Feedback-Directed Random Test Generation/Result_Round2/Closure_10/result.json</x:v>
      </x:c>
      <x:c r="O930" s="25" t="str">
        <x:v>Feedback-Directed Random Test Generation/Result_Round2/Closure_10/result.json</x:v>
      </x:c>
      <x:c r="P930"/>
      <x:c r="Q930" s="21" t="str"/>
      <x:c r="R930" s="21" t="str"/>
      <x:c r="S930" s="21" t="str"/>
      <x:c r="T930" s="17" t="str">
        <x:v>false</x:v>
      </x:c>
      <x:c r="U930" s="17" t="str">
        <x:v>true</x:v>
      </x:c>
      <x:c r="V930" s="17" t="str">
        <x:v>false</x:v>
      </x:c>
    </x:row>
    <x:row r="931" ht="80" customHeight="1">
      <x:c r="A931" s="25" t="str">
        <x:v>Closure</x:v>
      </x:c>
      <x:c r="B931" s="25" t="n">
        <x:v>11</x:v>
      </x:c>
      <x:c r="C931" s="25" t="str">
        <x:v>Round2</x:v>
      </x:c>
      <x:c r="D931" s="25" t="str">
        <x:v>NOT_REVEALING</x:v>
      </x:c>
      <x:c r="E931" s="25" t="str">
        <x:v>N/A</x:v>
      </x:c>
      <x:c r="F931" s="26" t="str">
        <x:v>Same saved validation suite passed on buggy and fixed</x:v>
      </x:c>
      <x:c r="G931" s="25" t="str">
        <x:v>true</x:v>
      </x:c>
      <x:c r="H931" s="25" t="str">
        <x:v>NOT_REVEALING</x:v>
      </x:c>
      <x:c r="I931" s="25" t="str">
        <x:v>PASS</x:v>
      </x:c>
      <x:c r="J931" s="25" t="str">
        <x:v>PASS</x:v>
      </x:c>
      <x:c r="K931" s="25" t="n">
        <x:v>2</x:v>
      </x:c>
      <x:c r="L931" s="27" t="b">
        <x:v>0</x:v>
      </x:c>
      <x:c r="M931" s="25" t="str">
        <x:v>Feedback-Directed Random Test Generation/rounds/Round2/state/Closure.json</x:v>
      </x:c>
      <x:c r="N931" s="25" t="str">
        <x:v>Feedback-Directed Random Test Generation/Result_Round2/Closure_11/result.json</x:v>
      </x:c>
      <x:c r="O931" s="25" t="str">
        <x:v>Feedback-Directed Random Test Generation/Result_Round2/Closure_11/result.json</x:v>
      </x:c>
      <x:c r="P931"/>
      <x:c r="Q931" s="21" t="str"/>
      <x:c r="R931" s="21" t="str"/>
      <x:c r="S931" s="21" t="str"/>
      <x:c r="T931" s="17" t="str">
        <x:v>false</x:v>
      </x:c>
      <x:c r="U931" s="17" t="str">
        <x:v>true</x:v>
      </x:c>
      <x:c r="V931" s="17" t="str">
        <x:v>false</x:v>
      </x:c>
    </x:row>
    <x:row r="932" ht="80" customHeight="1">
      <x:c r="A932" s="25" t="str">
        <x:v>Closure</x:v>
      </x:c>
      <x:c r="B932" s="25" t="n">
        <x:v>12</x:v>
      </x:c>
      <x:c r="C932" s="25" t="str">
        <x:v>Round2</x:v>
      </x:c>
      <x:c r="D932" s="25" t="str">
        <x:v>NOT_REVEALING</x:v>
      </x:c>
      <x:c r="E932" s="25" t="str">
        <x:v>N/A</x:v>
      </x:c>
      <x:c r="F932" s="26" t="str">
        <x:v>Same saved validation suite passed on buggy and fixed</x:v>
      </x:c>
      <x:c r="G932" s="25" t="str">
        <x:v>true</x:v>
      </x:c>
      <x:c r="H932" s="25" t="str">
        <x:v>NOT_REVEALING</x:v>
      </x:c>
      <x:c r="I932" s="25" t="str">
        <x:v>PASS</x:v>
      </x:c>
      <x:c r="J932" s="25" t="str">
        <x:v>PASS</x:v>
      </x:c>
      <x:c r="K932" s="25" t="n">
        <x:v>4</x:v>
      </x:c>
      <x:c r="L932" s="27" t="b">
        <x:v>0</x:v>
      </x:c>
      <x:c r="M932" s="25" t="str">
        <x:v>Feedback-Directed Random Test Generation/rounds/Round2/state/Closure.json</x:v>
      </x:c>
      <x:c r="N932" s="25" t="str">
        <x:v>Feedback-Directed Random Test Generation/Result_Round2/Closure_12/result.json</x:v>
      </x:c>
      <x:c r="O932" s="25" t="str">
        <x:v>Feedback-Directed Random Test Generation/Result_Round2/Closure_12/result.json</x:v>
      </x:c>
      <x:c r="P932"/>
      <x:c r="Q932" s="21" t="str"/>
      <x:c r="R932" s="21" t="str"/>
      <x:c r="S932" s="21" t="str"/>
      <x:c r="T932" s="17" t="str">
        <x:v>false</x:v>
      </x:c>
      <x:c r="U932" s="17" t="str">
        <x:v>true</x:v>
      </x:c>
      <x:c r="V932" s="17" t="str">
        <x:v>false</x:v>
      </x:c>
    </x:row>
    <x:row r="933" ht="80" customHeight="1">
      <x:c r="A933" s="25" t="str">
        <x:v>Closure</x:v>
      </x:c>
      <x:c r="B933" s="25" t="n">
        <x:v>13</x:v>
      </x:c>
      <x:c r="C933" s="25" t="str">
        <x:v>Round2</x:v>
      </x:c>
      <x:c r="D933" s="25" t="str">
        <x:v>NOT_REVEALING</x:v>
      </x:c>
      <x:c r="E933" s="25" t="str">
        <x:v>N/A</x:v>
      </x:c>
      <x:c r="F933" s="26" t="str">
        <x:v>Same saved validation suite passed on buggy and fixed</x:v>
      </x:c>
      <x:c r="G933" s="25" t="str">
        <x:v>true</x:v>
      </x:c>
      <x:c r="H933" s="25" t="str">
        <x:v>NOT_REVEALING</x:v>
      </x:c>
      <x:c r="I933" s="25" t="str">
        <x:v>PASS</x:v>
      </x:c>
      <x:c r="J933" s="25" t="str">
        <x:v>PASS</x:v>
      </x:c>
      <x:c r="K933" s="25" t="n">
        <x:v>2</x:v>
      </x:c>
      <x:c r="L933" s="27" t="b">
        <x:v>0</x:v>
      </x:c>
      <x:c r="M933" s="25" t="str">
        <x:v>Feedback-Directed Random Test Generation/rounds/Round2/state/Closure.json</x:v>
      </x:c>
      <x:c r="N933" s="25" t="str">
        <x:v>Feedback-Directed Random Test Generation/Result_Round2/Closure_13/result.json</x:v>
      </x:c>
      <x:c r="O933" s="25" t="str">
        <x:v>Feedback-Directed Random Test Generation/Result_Round2/Closure_13/result.json</x:v>
      </x:c>
      <x:c r="P933"/>
      <x:c r="Q933" s="21" t="str"/>
      <x:c r="R933" s="21" t="str"/>
      <x:c r="S933" s="21" t="str"/>
      <x:c r="T933" s="17" t="str">
        <x:v>false</x:v>
      </x:c>
      <x:c r="U933" s="17" t="str">
        <x:v>true</x:v>
      </x:c>
      <x:c r="V933" s="17" t="str">
        <x:v>false</x:v>
      </x:c>
    </x:row>
    <x:row r="934" ht="80" customHeight="1">
      <x:c r="A934" s="25" t="str">
        <x:v>Closure</x:v>
      </x:c>
      <x:c r="B934" s="25" t="n">
        <x:v>14</x:v>
      </x:c>
      <x:c r="C934" s="25" t="str">
        <x:v>Round2</x:v>
      </x:c>
      <x:c r="D934" s="25" t="str">
        <x:v>NOT_REVEALING</x:v>
      </x:c>
      <x:c r="E934" s="25" t="str">
        <x:v>N/A</x:v>
      </x:c>
      <x:c r="F934" s="26" t="str">
        <x:v>Same saved validation suite passed on buggy and fixed</x:v>
      </x:c>
      <x:c r="G934" s="25" t="str">
        <x:v>true</x:v>
      </x:c>
      <x:c r="H934" s="25" t="str">
        <x:v>NOT_REVEALING</x:v>
      </x:c>
      <x:c r="I934" s="25" t="str">
        <x:v>PASS</x:v>
      </x:c>
      <x:c r="J934" s="25" t="str">
        <x:v>PASS</x:v>
      </x:c>
      <x:c r="K934" s="25" t="n">
        <x:v>6</x:v>
      </x:c>
      <x:c r="L934" s="27" t="b">
        <x:v>0</x:v>
      </x:c>
      <x:c r="M934" s="25" t="str">
        <x:v>Feedback-Directed Random Test Generation/rounds/Round2/state/Closure.json</x:v>
      </x:c>
      <x:c r="N934" s="25" t="str">
        <x:v>Feedback-Directed Random Test Generation/Result_Round2/Closure_14/result.json</x:v>
      </x:c>
      <x:c r="O934" s="25" t="str">
        <x:v>Feedback-Directed Random Test Generation/Result_Round2/Closure_14/result.json</x:v>
      </x:c>
      <x:c r="P934"/>
      <x:c r="Q934" s="21" t="str"/>
      <x:c r="R934" s="21" t="str"/>
      <x:c r="S934" s="21" t="str"/>
      <x:c r="T934" s="17" t="str">
        <x:v>false</x:v>
      </x:c>
      <x:c r="U934" s="17" t="str">
        <x:v>true</x:v>
      </x:c>
      <x:c r="V934" s="17" t="str">
        <x:v>false</x:v>
      </x:c>
    </x:row>
    <x:row r="935" ht="80" customHeight="1">
      <x:c r="A935" s="25" t="str">
        <x:v>Closure</x:v>
      </x:c>
      <x:c r="B935" s="25" t="n">
        <x:v>15</x:v>
      </x:c>
      <x:c r="C935" s="25" t="str">
        <x:v>Round2</x:v>
      </x:c>
      <x:c r="D935" s="25" t="str">
        <x:v>NOT_REVEALING</x:v>
      </x:c>
      <x:c r="E935" s="25" t="str">
        <x:v>N/A</x:v>
      </x:c>
      <x:c r="F935" s="26" t="str">
        <x:v>Same saved validation suite passed on buggy and fixed</x:v>
      </x:c>
      <x:c r="G935" s="25" t="str">
        <x:v>true</x:v>
      </x:c>
      <x:c r="H935" s="25" t="str">
        <x:v>NOT_REVEALING</x:v>
      </x:c>
      <x:c r="I935" s="25" t="str">
        <x:v>PASS</x:v>
      </x:c>
      <x:c r="J935" s="25" t="str">
        <x:v>PASS</x:v>
      </x:c>
      <x:c r="K935" s="25" t="n">
        <x:v>5</x:v>
      </x:c>
      <x:c r="L935" s="27" t="b">
        <x:v>0</x:v>
      </x:c>
      <x:c r="M935" s="25" t="str">
        <x:v>Feedback-Directed Random Test Generation/rounds/Round2/state/Closure.json</x:v>
      </x:c>
      <x:c r="N935" s="25" t="str">
        <x:v>Feedback-Directed Random Test Generation/Result_Round2/Closure_15/result.json</x:v>
      </x:c>
      <x:c r="O935" s="25" t="str">
        <x:v>Feedback-Directed Random Test Generation/Result_Round2/Closure_15/result.json</x:v>
      </x:c>
      <x:c r="P935"/>
      <x:c r="Q935" s="21" t="str"/>
      <x:c r="R935" s="21" t="str"/>
      <x:c r="S935" s="21" t="str"/>
      <x:c r="T935" s="17" t="str">
        <x:v>false</x:v>
      </x:c>
      <x:c r="U935" s="17" t="str">
        <x:v>true</x:v>
      </x:c>
      <x:c r="V935" s="17" t="str">
        <x:v>false</x:v>
      </x:c>
    </x:row>
    <x:row r="936" ht="80" customHeight="1">
      <x:c r="A936" s="25" t="str">
        <x:v>Closure</x:v>
      </x:c>
      <x:c r="B936" s="25" t="n">
        <x:v>16</x:v>
      </x:c>
      <x:c r="C936" s="25" t="str">
        <x:v>Round2</x:v>
      </x:c>
      <x:c r="D936" s="25" t="str">
        <x:v>NOT_REVEALING</x:v>
      </x:c>
      <x:c r="E936" s="25" t="str">
        <x:v>N/A</x:v>
      </x:c>
      <x:c r="F936" s="26" t="str">
        <x:v>Same saved validation suite passed on buggy and fixed</x:v>
      </x:c>
      <x:c r="G936" s="25" t="str">
        <x:v>true</x:v>
      </x:c>
      <x:c r="H936" s="25" t="str">
        <x:v>NOT_REVEALING</x:v>
      </x:c>
      <x:c r="I936" s="25" t="str">
        <x:v>PASS</x:v>
      </x:c>
      <x:c r="J936" s="25" t="str">
        <x:v>PASS</x:v>
      </x:c>
      <x:c r="K936" s="25" t="n">
        <x:v>2</x:v>
      </x:c>
      <x:c r="L936" s="27" t="b">
        <x:v>0</x:v>
      </x:c>
      <x:c r="M936" s="25" t="str">
        <x:v>Feedback-Directed Random Test Generation/rounds/Round2/state/Closure.json</x:v>
      </x:c>
      <x:c r="N936" s="25" t="str">
        <x:v>Feedback-Directed Random Test Generation/Result_Round2/Closure_16/result.json</x:v>
      </x:c>
      <x:c r="O936" s="25" t="str">
        <x:v>Feedback-Directed Random Test Generation/Result_Round2/Closure_16/result.json</x:v>
      </x:c>
      <x:c r="P936"/>
      <x:c r="Q936" s="21" t="str"/>
      <x:c r="R936" s="21" t="str"/>
      <x:c r="S936" s="21" t="str"/>
      <x:c r="T936" s="17" t="str">
        <x:v>false</x:v>
      </x:c>
      <x:c r="U936" s="17" t="str">
        <x:v>true</x:v>
      </x:c>
      <x:c r="V936" s="17" t="str">
        <x:v>false</x:v>
      </x:c>
    </x:row>
    <x:row r="937" ht="80" customHeight="1">
      <x:c r="A937" s="25" t="str">
        <x:v>Closure</x:v>
      </x:c>
      <x:c r="B937" s="25" t="n">
        <x:v>17</x:v>
      </x:c>
      <x:c r="C937" s="25" t="str">
        <x:v>Round2</x:v>
      </x:c>
      <x:c r="D937" s="25" t="str">
        <x:v>NOT_REVEALING</x:v>
      </x:c>
      <x:c r="E937" s="25" t="str">
        <x:v>N/A</x:v>
      </x:c>
      <x:c r="F937" s="26" t="str">
        <x:v>Same saved validation suite passed on buggy and fixed</x:v>
      </x:c>
      <x:c r="G937" s="25" t="str">
        <x:v>true</x:v>
      </x:c>
      <x:c r="H937" s="25" t="str">
        <x:v>NOT_REVEALING</x:v>
      </x:c>
      <x:c r="I937" s="25" t="str">
        <x:v>PASS</x:v>
      </x:c>
      <x:c r="J937" s="25" t="str">
        <x:v>PASS</x:v>
      </x:c>
      <x:c r="K937" s="25" t="n">
        <x:v>2</x:v>
      </x:c>
      <x:c r="L937" s="27" t="b">
        <x:v>0</x:v>
      </x:c>
      <x:c r="M937" s="25" t="str">
        <x:v>Feedback-Directed Random Test Generation/rounds/Round2/state/Closure.json</x:v>
      </x:c>
      <x:c r="N937" s="25" t="str">
        <x:v>Feedback-Directed Random Test Generation/Result_Round2/Closure_17/result.json</x:v>
      </x:c>
      <x:c r="O937" s="25" t="str">
        <x:v>Feedback-Directed Random Test Generation/Result_Round2/Closure_17/result.json</x:v>
      </x:c>
      <x:c r="P937"/>
      <x:c r="Q937" s="21" t="str"/>
      <x:c r="R937" s="21" t="str"/>
      <x:c r="S937" s="21" t="str"/>
      <x:c r="T937" s="17" t="str">
        <x:v>false</x:v>
      </x:c>
      <x:c r="U937" s="17" t="str">
        <x:v>true</x:v>
      </x:c>
      <x:c r="V937" s="17" t="str">
        <x:v>false</x:v>
      </x:c>
    </x:row>
    <x:row r="938" ht="80" customHeight="1">
      <x:c r="A938" s="25" t="str">
        <x:v>Closure</x:v>
      </x:c>
      <x:c r="B938" s="25" t="n">
        <x:v>18</x:v>
      </x:c>
      <x:c r="C938" s="25" t="str">
        <x:v>Round2</x:v>
      </x:c>
      <x:c r="D938" s="25" t="str">
        <x:v>INCONCLUSIVE</x:v>
      </x:c>
      <x:c r="E938" s="25" t="str">
        <x:v>N/A</x:v>
      </x:c>
      <x:c r="F938" s="26" t="str">
        <x:v>Fixed also failed; assertion failure cannot be attributed to this bug; Assertions failed with measured coverage; paired execution and stage checks determine status</x:v>
      </x:c>
      <x:c r="G938" s="25" t="str">
        <x:v>true</x:v>
      </x:c>
      <x:c r="H938" s="25" t="str">
        <x:v>INCONCLUSIVE</x:v>
      </x:c>
      <x:c r="I938" s="25" t="str">
        <x:v>FAIL</x:v>
      </x:c>
      <x:c r="J938" s="25" t="str">
        <x:v>FAIL</x:v>
      </x:c>
      <x:c r="K938" s="25" t="n">
        <x:v>7</x:v>
      </x:c>
      <x:c r="L938" s="27" t="b">
        <x:v>0</x:v>
      </x:c>
      <x:c r="M938" s="25" t="str">
        <x:v>Feedback-Directed Random Test Generation/rounds/Round2/state/Closure.json</x:v>
      </x:c>
      <x:c r="N938" s="25" t="str">
        <x:v>Feedback-Directed Random Test Generation/Result_Round2/Closure_18/result.json</x:v>
      </x:c>
      <x:c r="O938" s="25" t="str">
        <x:v>Feedback-Directed Random Test Generation/Result_Round2/Closure_18/result.json</x:v>
      </x:c>
      <x:c r="P938"/>
      <x:c r="Q938" s="21" t="str"/>
      <x:c r="R938" s="21" t="str"/>
      <x:c r="S938" s="21" t="str"/>
      <x:c r="T938" s="17" t="str">
        <x:v>false</x:v>
      </x:c>
      <x:c r="U938" s="17" t="str">
        <x:v>true</x:v>
      </x:c>
      <x:c r="V938" s="17" t="str">
        <x:v>false</x:v>
      </x:c>
    </x:row>
    <x:row r="939" ht="80" customHeight="1">
      <x:c r="A939" s="25" t="str">
        <x:v>Closure</x:v>
      </x:c>
      <x:c r="B939" s="25" t="n">
        <x:v>19</x:v>
      </x:c>
      <x:c r="C939" s="25" t="str">
        <x:v>Round2</x:v>
      </x:c>
      <x:c r="D939" s="25" t="str">
        <x:v>NOT_REVEALING</x:v>
      </x:c>
      <x:c r="E939" s="25" t="str">
        <x:v>N/A</x:v>
      </x:c>
      <x:c r="F939" s="26" t="str">
        <x:v>Same saved validation suite passed on buggy and fixed</x:v>
      </x:c>
      <x:c r="G939" s="25" t="str">
        <x:v>true</x:v>
      </x:c>
      <x:c r="H939" s="25" t="str">
        <x:v>NOT_REVEALING</x:v>
      </x:c>
      <x:c r="I939" s="25" t="str">
        <x:v>PASS</x:v>
      </x:c>
      <x:c r="J939" s="25" t="str">
        <x:v>PASS</x:v>
      </x:c>
      <x:c r="K939" s="25" t="n">
        <x:v>2</x:v>
      </x:c>
      <x:c r="L939" s="27" t="b">
        <x:v>0</x:v>
      </x:c>
      <x:c r="M939" s="25" t="str">
        <x:v>Feedback-Directed Random Test Generation/rounds/Round2/state/Closure.json</x:v>
      </x:c>
      <x:c r="N939" s="25" t="str">
        <x:v>Feedback-Directed Random Test Generation/Result_Round2/Closure_19/result.json</x:v>
      </x:c>
      <x:c r="O939" s="25" t="str">
        <x:v>Feedback-Directed Random Test Generation/Result_Round2/Closure_19/result.json</x:v>
      </x:c>
      <x:c r="P939"/>
      <x:c r="Q939" s="21" t="str"/>
      <x:c r="R939" s="21" t="str"/>
      <x:c r="S939" s="21" t="str"/>
      <x:c r="T939" s="17" t="str">
        <x:v>false</x:v>
      </x:c>
      <x:c r="U939" s="17" t="str">
        <x:v>true</x:v>
      </x:c>
      <x:c r="V939" s="17" t="str">
        <x:v>false</x:v>
      </x:c>
    </x:row>
    <x:row r="940" ht="80" customHeight="1">
      <x:c r="A940" s="25" t="str">
        <x:v>Closure</x:v>
      </x:c>
      <x:c r="B940" s="25" t="n">
        <x:v>20</x:v>
      </x:c>
      <x:c r="C940" s="25" t="str">
        <x:v>Round2</x:v>
      </x:c>
      <x:c r="D940" s="25" t="str">
        <x:v>NOT_REVEALING</x:v>
      </x:c>
      <x:c r="E940" s="25" t="str">
        <x:v>N/A</x:v>
      </x:c>
      <x:c r="F940" s="26" t="str">
        <x:v>Same saved validation suite passed on buggy and fixed</x:v>
      </x:c>
      <x:c r="G940" s="25" t="str">
        <x:v>true</x:v>
      </x:c>
      <x:c r="H940" s="25" t="str">
        <x:v>NOT_REVEALING</x:v>
      </x:c>
      <x:c r="I940" s="25" t="str">
        <x:v>PASS</x:v>
      </x:c>
      <x:c r="J940" s="25" t="str">
        <x:v>PASS</x:v>
      </x:c>
      <x:c r="K940" s="25" t="n">
        <x:v>6</x:v>
      </x:c>
      <x:c r="L940" s="27" t="b">
        <x:v>0</x:v>
      </x:c>
      <x:c r="M940" s="25" t="str">
        <x:v>Feedback-Directed Random Test Generation/rounds/Round2/state/Closure.json</x:v>
      </x:c>
      <x:c r="N940" s="25" t="str">
        <x:v>Feedback-Directed Random Test Generation/Result_Round2/Closure_20/result.json</x:v>
      </x:c>
      <x:c r="O940" s="25" t="str">
        <x:v>Feedback-Directed Random Test Generation/Result_Round2/Closure_20/result.json</x:v>
      </x:c>
      <x:c r="P940"/>
      <x:c r="Q940" s="21" t="str"/>
      <x:c r="R940" s="21" t="str"/>
      <x:c r="S940" s="21" t="str"/>
      <x:c r="T940" s="17" t="str">
        <x:v>false</x:v>
      </x:c>
      <x:c r="U940" s="17" t="str">
        <x:v>true</x:v>
      </x:c>
      <x:c r="V940" s="17" t="str">
        <x:v>false</x:v>
      </x:c>
    </x:row>
    <x:row r="941" ht="80" customHeight="1">
      <x:c r="A941" s="25" t="str">
        <x:v>Closure</x:v>
      </x:c>
      <x:c r="B941" s="25" t="n">
        <x:v>21</x:v>
      </x:c>
      <x:c r="C941" s="25" t="str">
        <x:v>Round2</x:v>
      </x:c>
      <x:c r="D941" s="25" t="str">
        <x:v>NOT_REVEALING</x:v>
      </x:c>
      <x:c r="E941" s="25" t="str">
        <x:v>N/A</x:v>
      </x:c>
      <x:c r="F941" s="26" t="str">
        <x:v>Same saved validation suite passed on buggy and fixed</x:v>
      </x:c>
      <x:c r="G941" s="25" t="str">
        <x:v>true</x:v>
      </x:c>
      <x:c r="H941" s="25" t="str">
        <x:v>NOT_REVEALING</x:v>
      </x:c>
      <x:c r="I941" s="25" t="str">
        <x:v>PASS</x:v>
      </x:c>
      <x:c r="J941" s="25" t="str">
        <x:v>PASS</x:v>
      </x:c>
      <x:c r="K941" s="25" t="n">
        <x:v>2</x:v>
      </x:c>
      <x:c r="L941" s="27" t="b">
        <x:v>0</x:v>
      </x:c>
      <x:c r="M941" s="25" t="str">
        <x:v>Feedback-Directed Random Test Generation/rounds/Round2/state/Closure.json</x:v>
      </x:c>
      <x:c r="N941" s="25" t="str">
        <x:v>Feedback-Directed Random Test Generation/Result_Round2/Closure_21/result.json</x:v>
      </x:c>
      <x:c r="O941" s="25" t="str">
        <x:v>Feedback-Directed Random Test Generation/Result_Round2/Closure_21/result.json</x:v>
      </x:c>
      <x:c r="P941"/>
      <x:c r="Q941" s="21" t="str"/>
      <x:c r="R941" s="21" t="str"/>
      <x:c r="S941" s="21" t="str"/>
      <x:c r="T941" s="17" t="str">
        <x:v>false</x:v>
      </x:c>
      <x:c r="U941" s="17" t="str">
        <x:v>true</x:v>
      </x:c>
      <x:c r="V941" s="17" t="str">
        <x:v>false</x:v>
      </x:c>
    </x:row>
    <x:row r="942" ht="80" customHeight="1">
      <x:c r="A942" s="25" t="str">
        <x:v>Closure</x:v>
      </x:c>
      <x:c r="B942" s="25" t="n">
        <x:v>22</x:v>
      </x:c>
      <x:c r="C942" s="25" t="str">
        <x:v>Round2</x:v>
      </x:c>
      <x:c r="D942" s="25" t="str">
        <x:v>NOT_REVEALING</x:v>
      </x:c>
      <x:c r="E942" s="25" t="str">
        <x:v>N/A</x:v>
      </x:c>
      <x:c r="F942" s="26" t="str">
        <x:v>Same saved validation suite passed on buggy and fixed</x:v>
      </x:c>
      <x:c r="G942" s="25" t="str">
        <x:v>true</x:v>
      </x:c>
      <x:c r="H942" s="25" t="str">
        <x:v>NOT_REVEALING</x:v>
      </x:c>
      <x:c r="I942" s="25" t="str">
        <x:v>PASS</x:v>
      </x:c>
      <x:c r="J942" s="25" t="str">
        <x:v>PASS</x:v>
      </x:c>
      <x:c r="K942" s="25" t="n">
        <x:v>2</x:v>
      </x:c>
      <x:c r="L942" s="27" t="b">
        <x:v>0</x:v>
      </x:c>
      <x:c r="M942" s="25" t="str">
        <x:v>Feedback-Directed Random Test Generation/rounds/Round2/state/Closure.json</x:v>
      </x:c>
      <x:c r="N942" s="25" t="str">
        <x:v>Feedback-Directed Random Test Generation/Result_Round2/Closure_22/result.json</x:v>
      </x:c>
      <x:c r="O942" s="25" t="str">
        <x:v>Feedback-Directed Random Test Generation/Result_Round2/Closure_22/result.json</x:v>
      </x:c>
      <x:c r="P942"/>
      <x:c r="Q942" s="21" t="str"/>
      <x:c r="R942" s="21" t="str"/>
      <x:c r="S942" s="21" t="str"/>
      <x:c r="T942" s="17" t="str">
        <x:v>false</x:v>
      </x:c>
      <x:c r="U942" s="17" t="str">
        <x:v>true</x:v>
      </x:c>
      <x:c r="V942" s="17" t="str">
        <x:v>false</x:v>
      </x:c>
    </x:row>
    <x:row r="943" ht="80" customHeight="1">
      <x:c r="A943" s="25" t="str">
        <x:v>Closure</x:v>
      </x:c>
      <x:c r="B943" s="25" t="n">
        <x:v>23</x:v>
      </x:c>
      <x:c r="C943" s="25" t="str">
        <x:v>Round2</x:v>
      </x:c>
      <x:c r="D943" s="25" t="str">
        <x:v>NOT_REVEALING</x:v>
      </x:c>
      <x:c r="E943" s="25" t="str">
        <x:v>N/A</x:v>
      </x:c>
      <x:c r="F943" s="26" t="str">
        <x:v>Same saved validation suite passed on buggy and fixed</x:v>
      </x:c>
      <x:c r="G943" s="25" t="str">
        <x:v>true</x:v>
      </x:c>
      <x:c r="H943" s="25" t="str">
        <x:v>NOT_REVEALING</x:v>
      </x:c>
      <x:c r="I943" s="25" t="str">
        <x:v>PASS</x:v>
      </x:c>
      <x:c r="J943" s="25" t="str">
        <x:v>PASS</x:v>
      </x:c>
      <x:c r="K943" s="25" t="n">
        <x:v>2</x:v>
      </x:c>
      <x:c r="L943" s="27" t="b">
        <x:v>0</x:v>
      </x:c>
      <x:c r="M943" s="25" t="str">
        <x:v>Feedback-Directed Random Test Generation/rounds/Round2/state/Closure.json</x:v>
      </x:c>
      <x:c r="N943" s="25" t="str">
        <x:v>Feedback-Directed Random Test Generation/Result_Round2/Closure_23/result.json</x:v>
      </x:c>
      <x:c r="O943" s="25" t="str">
        <x:v>Feedback-Directed Random Test Generation/Result_Round2/Closure_23/result.json</x:v>
      </x:c>
      <x:c r="P943"/>
      <x:c r="Q943" s="21" t="str"/>
      <x:c r="R943" s="21" t="str"/>
      <x:c r="S943" s="21" t="str"/>
      <x:c r="T943" s="17" t="str">
        <x:v>false</x:v>
      </x:c>
      <x:c r="U943" s="17" t="str">
        <x:v>true</x:v>
      </x:c>
      <x:c r="V943" s="17" t="str">
        <x:v>false</x:v>
      </x:c>
    </x:row>
    <x:row r="944" ht="80" customHeight="1">
      <x:c r="A944" s="25" t="str">
        <x:v>Closure</x:v>
      </x:c>
      <x:c r="B944" s="25" t="n">
        <x:v>24</x:v>
      </x:c>
      <x:c r="C944" s="25" t="str">
        <x:v>Round2</x:v>
      </x:c>
      <x:c r="D944" s="25" t="str">
        <x:v>NOT_REVEALING</x:v>
      </x:c>
      <x:c r="E944" s="25" t="str">
        <x:v>N/A</x:v>
      </x:c>
      <x:c r="F944" s="26" t="str">
        <x:v>Same saved validation suite passed on buggy and fixed</x:v>
      </x:c>
      <x:c r="G944" s="25" t="str">
        <x:v>true</x:v>
      </x:c>
      <x:c r="H944" s="25" t="str">
        <x:v>NOT_REVEALING</x:v>
      </x:c>
      <x:c r="I944" s="25" t="str">
        <x:v>PASS</x:v>
      </x:c>
      <x:c r="J944" s="25" t="str">
        <x:v>PASS</x:v>
      </x:c>
      <x:c r="K944" s="25" t="n">
        <x:v>2</x:v>
      </x:c>
      <x:c r="L944" s="27" t="b">
        <x:v>0</x:v>
      </x:c>
      <x:c r="M944" s="25" t="str">
        <x:v>Feedback-Directed Random Test Generation/rounds/Round2/state/Closure.json</x:v>
      </x:c>
      <x:c r="N944" s="25" t="str">
        <x:v>Feedback-Directed Random Test Generation/Result_Round2/Closure_24/result.json</x:v>
      </x:c>
      <x:c r="O944" s="25" t="str">
        <x:v>Feedback-Directed Random Test Generation/Result_Round2/Closure_24/result.json</x:v>
      </x:c>
      <x:c r="P944"/>
      <x:c r="Q944" s="21" t="str"/>
      <x:c r="R944" s="21" t="str"/>
      <x:c r="S944" s="21" t="str"/>
      <x:c r="T944" s="17" t="str">
        <x:v>false</x:v>
      </x:c>
      <x:c r="U944" s="17" t="str">
        <x:v>true</x:v>
      </x:c>
      <x:c r="V944" s="17" t="str">
        <x:v>false</x:v>
      </x:c>
    </x:row>
    <x:row r="945" ht="80" customHeight="1">
      <x:c r="A945" s="25" t="str">
        <x:v>Closure</x:v>
      </x:c>
      <x:c r="B945" s="25" t="n">
        <x:v>25</x:v>
      </x:c>
      <x:c r="C945" s="25" t="str">
        <x:v>Round2</x:v>
      </x:c>
      <x:c r="D945" s="25" t="str">
        <x:v>NOT_REVEALING</x:v>
      </x:c>
      <x:c r="E945" s="25" t="str">
        <x:v>N/A</x:v>
      </x:c>
      <x:c r="F945" s="26" t="str">
        <x:v>Same saved validation suite passed on buggy and fixed</x:v>
      </x:c>
      <x:c r="G945" s="25" t="str">
        <x:v>true</x:v>
      </x:c>
      <x:c r="H945" s="25" t="str">
        <x:v>NOT_REVEALING</x:v>
      </x:c>
      <x:c r="I945" s="25" t="str">
        <x:v>PASS</x:v>
      </x:c>
      <x:c r="J945" s="25" t="str">
        <x:v>PASS</x:v>
      </x:c>
      <x:c r="K945" s="25" t="n">
        <x:v>2</x:v>
      </x:c>
      <x:c r="L945" s="27" t="b">
        <x:v>0</x:v>
      </x:c>
      <x:c r="M945" s="25" t="str">
        <x:v>Feedback-Directed Random Test Generation/rounds/Round2/state/Closure.json</x:v>
      </x:c>
      <x:c r="N945" s="25" t="str">
        <x:v>Feedback-Directed Random Test Generation/Result_Round2/Closure_25/result.json</x:v>
      </x:c>
      <x:c r="O945" s="25" t="str">
        <x:v>Feedback-Directed Random Test Generation/Result_Round2/Closure_25/result.json</x:v>
      </x:c>
      <x:c r="P945"/>
      <x:c r="Q945" s="21" t="str"/>
      <x:c r="R945" s="21" t="str"/>
      <x:c r="S945" s="21" t="str"/>
      <x:c r="T945" s="17" t="str">
        <x:v>false</x:v>
      </x:c>
      <x:c r="U945" s="17" t="str">
        <x:v>true</x:v>
      </x:c>
      <x:c r="V945" s="17" t="str">
        <x:v>false</x:v>
      </x:c>
    </x:row>
    <x:row r="946" ht="80" customHeight="1">
      <x:c r="A946" s="25" t="str">
        <x:v>Closure</x:v>
      </x:c>
      <x:c r="B946" s="25" t="n">
        <x:v>26</x:v>
      </x:c>
      <x:c r="C946" s="25" t="str">
        <x:v>Round2</x:v>
      </x:c>
      <x:c r="D946" s="25" t="str">
        <x:v>NOT_REVEALING</x:v>
      </x:c>
      <x:c r="E946" s="25" t="str">
        <x:v>N/A</x:v>
      </x:c>
      <x:c r="F946" s="26" t="str">
        <x:v>Same saved validation suite passed on buggy and fixed</x:v>
      </x:c>
      <x:c r="G946" s="25" t="str">
        <x:v>true</x:v>
      </x:c>
      <x:c r="H946" s="25" t="str">
        <x:v>NOT_REVEALING</x:v>
      </x:c>
      <x:c r="I946" s="25" t="str">
        <x:v>PASS</x:v>
      </x:c>
      <x:c r="J946" s="25" t="str">
        <x:v>PASS</x:v>
      </x:c>
      <x:c r="K946" s="25" t="n">
        <x:v>7</x:v>
      </x:c>
      <x:c r="L946" s="27" t="b">
        <x:v>0</x:v>
      </x:c>
      <x:c r="M946" s="25" t="str">
        <x:v>Feedback-Directed Random Test Generation/rounds/Round2/state/Closure.json</x:v>
      </x:c>
      <x:c r="N946" s="25" t="str">
        <x:v>Feedback-Directed Random Test Generation/Result_Round2/Closure_26/result.json</x:v>
      </x:c>
      <x:c r="O946" s="25" t="str">
        <x:v>Feedback-Directed Random Test Generation/Result_Round2/Closure_26/result.json</x:v>
      </x:c>
      <x:c r="P946"/>
      <x:c r="Q946" s="21" t="str"/>
      <x:c r="R946" s="21" t="str"/>
      <x:c r="S946" s="21" t="str"/>
      <x:c r="T946" s="17" t="str">
        <x:v>false</x:v>
      </x:c>
      <x:c r="U946" s="17" t="str">
        <x:v>true</x:v>
      </x:c>
      <x:c r="V946" s="17" t="str">
        <x:v>false</x:v>
      </x:c>
    </x:row>
    <x:row r="947" ht="80" customHeight="1">
      <x:c r="A947" s="25" t="str">
        <x:v>Closure</x:v>
      </x:c>
      <x:c r="B947" s="25" t="n">
        <x:v>27</x:v>
      </x:c>
      <x:c r="C947" s="25" t="str">
        <x:v>Round2</x:v>
      </x:c>
      <x:c r="D947" s="25" t="str">
        <x:v>INCONCLUSIVE</x:v>
      </x:c>
      <x:c r="E947" s="25" t="str">
        <x:v>N/A</x:v>
      </x:c>
      <x:c r="F947" s="26" t="str">
        <x:v>Fixed also failed; assertion failure cannot be attributed to this bug</x:v>
      </x:c>
      <x:c r="G947" s="25" t="str">
        <x:v>true</x:v>
      </x:c>
      <x:c r="H947" s="25" t="str">
        <x:v>INCONCLUSIVE</x:v>
      </x:c>
      <x:c r="I947" s="25" t="str">
        <x:v>PASS</x:v>
      </x:c>
      <x:c r="J947" s="25" t="str">
        <x:v>FAIL</x:v>
      </x:c>
      <x:c r="K947" s="25" t="n">
        <x:v>11</x:v>
      </x:c>
      <x:c r="L947" s="27" t="b">
        <x:v>0</x:v>
      </x:c>
      <x:c r="M947" s="25" t="str">
        <x:v>Feedback-Directed Random Test Generation/rounds/Round2/state/Closure.json</x:v>
      </x:c>
      <x:c r="N947" s="25" t="str">
        <x:v>Feedback-Directed Random Test Generation/Result_Round2/Closure_27/result.json</x:v>
      </x:c>
      <x:c r="O947" s="25" t="str">
        <x:v>Feedback-Directed Random Test Generation/Result_Round2/Closure_27/result.json</x:v>
      </x:c>
      <x:c r="P947"/>
      <x:c r="Q947" s="21" t="str"/>
      <x:c r="R947" s="21" t="str"/>
      <x:c r="S947" s="21" t="str"/>
      <x:c r="T947" s="17" t="str">
        <x:v>false</x:v>
      </x:c>
      <x:c r="U947" s="17" t="str">
        <x:v>true</x:v>
      </x:c>
      <x:c r="V947" s="17" t="str">
        <x:v>false</x:v>
      </x:c>
    </x:row>
    <x:row r="948" ht="80" customHeight="1">
      <x:c r="A948" s="25" t="str">
        <x:v>Closure</x:v>
      </x:c>
      <x:c r="B948" s="25" t="n">
        <x:v>28</x:v>
      </x:c>
      <x:c r="C948" s="25" t="str">
        <x:v>Round2</x:v>
      </x:c>
      <x:c r="D948" s="25" t="str">
        <x:v>NOT_REVEALING</x:v>
      </x:c>
      <x:c r="E948" s="25" t="str">
        <x:v>N/A</x:v>
      </x:c>
      <x:c r="F948" s="26" t="str">
        <x:v>Same saved validation suite passed on buggy and fixed</x:v>
      </x:c>
      <x:c r="G948" s="25" t="str">
        <x:v>true</x:v>
      </x:c>
      <x:c r="H948" s="25" t="str">
        <x:v>NOT_REVEALING</x:v>
      </x:c>
      <x:c r="I948" s="25" t="str">
        <x:v>PASS</x:v>
      </x:c>
      <x:c r="J948" s="25" t="str">
        <x:v>PASS</x:v>
      </x:c>
      <x:c r="K948" s="25" t="n">
        <x:v>2</x:v>
      </x:c>
      <x:c r="L948" s="27" t="b">
        <x:v>0</x:v>
      </x:c>
      <x:c r="M948" s="25" t="str">
        <x:v>Feedback-Directed Random Test Generation/rounds/Round2/state/Closure.json</x:v>
      </x:c>
      <x:c r="N948" s="25" t="str">
        <x:v>Feedback-Directed Random Test Generation/Result_Round2/Closure_28/result.json</x:v>
      </x:c>
      <x:c r="O948" s="25" t="str">
        <x:v>Feedback-Directed Random Test Generation/Result_Round2/Closure_28/result.json</x:v>
      </x:c>
      <x:c r="P948"/>
      <x:c r="Q948" s="21" t="str"/>
      <x:c r="R948" s="21" t="str"/>
      <x:c r="S948" s="21" t="str"/>
      <x:c r="T948" s="17" t="str">
        <x:v>false</x:v>
      </x:c>
      <x:c r="U948" s="17" t="str">
        <x:v>true</x:v>
      </x:c>
      <x:c r="V948" s="17" t="str">
        <x:v>false</x:v>
      </x:c>
    </x:row>
    <x:row r="949" ht="80" customHeight="1">
      <x:c r="A949" s="25" t="str">
        <x:v>Closure</x:v>
      </x:c>
      <x:c r="B949" s="25" t="n">
        <x:v>29</x:v>
      </x:c>
      <x:c r="C949" s="25" t="str">
        <x:v>Round2</x:v>
      </x:c>
      <x:c r="D949" s="25" t="str">
        <x:v>NOT_REVEALING</x:v>
      </x:c>
      <x:c r="E949" s="25" t="str">
        <x:v>N/A</x:v>
      </x:c>
      <x:c r="F949" s="26" t="str">
        <x:v>Same saved validation suite passed on buggy and fixed</x:v>
      </x:c>
      <x:c r="G949" s="25" t="str">
        <x:v>true</x:v>
      </x:c>
      <x:c r="H949" s="25" t="str">
        <x:v>NOT_REVEALING</x:v>
      </x:c>
      <x:c r="I949" s="25" t="str">
        <x:v>PASS</x:v>
      </x:c>
      <x:c r="J949" s="25" t="str">
        <x:v>PASS</x:v>
      </x:c>
      <x:c r="K949" s="25" t="n">
        <x:v>2</x:v>
      </x:c>
      <x:c r="L949" s="27" t="b">
        <x:v>0</x:v>
      </x:c>
      <x:c r="M949" s="25" t="str">
        <x:v>Feedback-Directed Random Test Generation/rounds/Round2/state/Closure.json</x:v>
      </x:c>
      <x:c r="N949" s="25" t="str">
        <x:v>Feedback-Directed Random Test Generation/Result_Round2/Closure_29/result.json</x:v>
      </x:c>
      <x:c r="O949" s="25" t="str">
        <x:v>Feedback-Directed Random Test Generation/Result_Round2/Closure_29/result.json</x:v>
      </x:c>
      <x:c r="P949"/>
      <x:c r="Q949" s="21" t="str"/>
      <x:c r="R949" s="21" t="str"/>
      <x:c r="S949" s="21" t="str"/>
      <x:c r="T949" s="17" t="str">
        <x:v>false</x:v>
      </x:c>
      <x:c r="U949" s="17" t="str">
        <x:v>true</x:v>
      </x:c>
      <x:c r="V949" s="17" t="str">
        <x:v>false</x:v>
      </x:c>
    </x:row>
    <x:row r="950" ht="80" customHeight="1">
      <x:c r="A950" s="25" t="str">
        <x:v>Closure</x:v>
      </x:c>
      <x:c r="B950" s="25" t="n">
        <x:v>30</x:v>
      </x:c>
      <x:c r="C950" s="25" t="str">
        <x:v>Round2</x:v>
      </x:c>
      <x:c r="D950" s="25" t="str">
        <x:v>INCONCLUSIVE</x:v>
      </x:c>
      <x:c r="E950" s="25" t="str">
        <x:v>N/A</x:v>
      </x:c>
      <x:c r="F950" s="26" t="str">
        <x:v>Fixed also failed; assertion failure cannot be attributed to this bug; Assertions failed with measured coverage; paired execution and stage checks determine status</x:v>
      </x:c>
      <x:c r="G950" s="25" t="str">
        <x:v>true</x:v>
      </x:c>
      <x:c r="H950" s="25" t="str">
        <x:v>INCONCLUSIVE</x:v>
      </x:c>
      <x:c r="I950" s="25" t="str">
        <x:v>FAIL</x:v>
      </x:c>
      <x:c r="J950" s="25" t="str">
        <x:v>FAIL</x:v>
      </x:c>
      <x:c r="K950" s="25" t="n">
        <x:v>6</x:v>
      </x:c>
      <x:c r="L950" s="27" t="b">
        <x:v>0</x:v>
      </x:c>
      <x:c r="M950" s="25" t="str">
        <x:v>Feedback-Directed Random Test Generation/rounds/Round2/state/Closure.json</x:v>
      </x:c>
      <x:c r="N950" s="25" t="str">
        <x:v>Feedback-Directed Random Test Generation/Result_Round2/Closure_30/result.json</x:v>
      </x:c>
      <x:c r="O950" s="25" t="str">
        <x:v>Feedback-Directed Random Test Generation/Result_Round2/Closure_30/result.json</x:v>
      </x:c>
      <x:c r="P950"/>
      <x:c r="Q950" s="21" t="str"/>
      <x:c r="R950" s="21" t="str"/>
      <x:c r="S950" s="21" t="str"/>
      <x:c r="T950" s="17" t="str">
        <x:v>false</x:v>
      </x:c>
      <x:c r="U950" s="17" t="str">
        <x:v>true</x:v>
      </x:c>
      <x:c r="V950" s="17" t="str">
        <x:v>false</x:v>
      </x:c>
    </x:row>
    <x:row r="951" ht="80" customHeight="1">
      <x:c r="A951" s="25" t="str">
        <x:v>Closure</x:v>
      </x:c>
      <x:c r="B951" s="25" t="n">
        <x:v>31</x:v>
      </x:c>
      <x:c r="C951" s="25" t="str">
        <x:v>Round2</x:v>
      </x:c>
      <x:c r="D951" s="25" t="str">
        <x:v>INCONCLUSIVE</x:v>
      </x:c>
      <x:c r="E951" s="25" t="str">
        <x:v>N/A</x:v>
      </x:c>
      <x:c r="F951" s="26" t="str">
        <x:v>Fixed also failed; assertion failure cannot be attributed to this bug; Assertions failed with measured coverage; paired execution and stage checks determine status</x:v>
      </x:c>
      <x:c r="G951" s="25" t="str">
        <x:v>true</x:v>
      </x:c>
      <x:c r="H951" s="25" t="str">
        <x:v>INCONCLUSIVE</x:v>
      </x:c>
      <x:c r="I951" s="25" t="str">
        <x:v>FAIL</x:v>
      </x:c>
      <x:c r="J951" s="25" t="str">
        <x:v>FAIL</x:v>
      </x:c>
      <x:c r="K951" s="25" t="n">
        <x:v>7</x:v>
      </x:c>
      <x:c r="L951" s="27" t="b">
        <x:v>0</x:v>
      </x:c>
      <x:c r="M951" s="25" t="str">
        <x:v>Feedback-Directed Random Test Generation/rounds/Round2/state/Closure.json</x:v>
      </x:c>
      <x:c r="N951" s="25" t="str">
        <x:v>Feedback-Directed Random Test Generation/Result_Round2/Closure_31/result.json</x:v>
      </x:c>
      <x:c r="O951" s="25" t="str">
        <x:v>Feedback-Directed Random Test Generation/Result_Round2/Closure_31/result.json</x:v>
      </x:c>
      <x:c r="P951"/>
      <x:c r="Q951" s="21" t="str"/>
      <x:c r="R951" s="21" t="str"/>
      <x:c r="S951" s="21" t="str"/>
      <x:c r="T951" s="17" t="str">
        <x:v>false</x:v>
      </x:c>
      <x:c r="U951" s="17" t="str">
        <x:v>true</x:v>
      </x:c>
      <x:c r="V951" s="17" t="str">
        <x:v>false</x:v>
      </x:c>
    </x:row>
    <x:row r="952" ht="80" customHeight="1">
      <x:c r="A952" s="25" t="str">
        <x:v>Closure</x:v>
      </x:c>
      <x:c r="B952" s="25" t="n">
        <x:v>32</x:v>
      </x:c>
      <x:c r="C952" s="25" t="str">
        <x:v>Round2</x:v>
      </x:c>
      <x:c r="D952" s="25" t="str">
        <x:v>NOT_REVEALING</x:v>
      </x:c>
      <x:c r="E952" s="25" t="str">
        <x:v>N/A</x:v>
      </x:c>
      <x:c r="F952" s="26" t="str">
        <x:v>Same saved validation suite passed on buggy and fixed</x:v>
      </x:c>
      <x:c r="G952" s="25" t="str">
        <x:v>true</x:v>
      </x:c>
      <x:c r="H952" s="25" t="str">
        <x:v>NOT_REVEALING</x:v>
      </x:c>
      <x:c r="I952" s="25" t="str">
        <x:v>PASS</x:v>
      </x:c>
      <x:c r="J952" s="25" t="str">
        <x:v>PASS</x:v>
      </x:c>
      <x:c r="K952" s="25" t="n">
        <x:v>2</x:v>
      </x:c>
      <x:c r="L952" s="27" t="b">
        <x:v>0</x:v>
      </x:c>
      <x:c r="M952" s="25" t="str">
        <x:v>Feedback-Directed Random Test Generation/rounds/Round2/state/Closure.json</x:v>
      </x:c>
      <x:c r="N952" s="25" t="str">
        <x:v>Feedback-Directed Random Test Generation/Result_Round2/Closure_32/result.json</x:v>
      </x:c>
      <x:c r="O952" s="25" t="str">
        <x:v>Feedback-Directed Random Test Generation/Result_Round2/Closure_32/result.json</x:v>
      </x:c>
      <x:c r="P952"/>
      <x:c r="Q952" s="21" t="str"/>
      <x:c r="R952" s="21" t="str"/>
      <x:c r="S952" s="21" t="str"/>
      <x:c r="T952" s="17" t="str">
        <x:v>false</x:v>
      </x:c>
      <x:c r="U952" s="17" t="str">
        <x:v>true</x:v>
      </x:c>
      <x:c r="V952" s="17" t="str">
        <x:v>false</x:v>
      </x:c>
    </x:row>
    <x:row r="953" ht="80" customHeight="1">
      <x:c r="A953" s="25" t="str">
        <x:v>Closure</x:v>
      </x:c>
      <x:c r="B953" s="25" t="n">
        <x:v>33</x:v>
      </x:c>
      <x:c r="C953" s="25" t="str">
        <x:v>Round2</x:v>
      </x:c>
      <x:c r="D953" s="25" t="str">
        <x:v>INCONCLUSIVE</x:v>
      </x:c>
      <x:c r="E953" s="25" t="str">
        <x:v>N/A</x:v>
      </x:c>
      <x:c r="F953" s="26" t="str">
        <x:v>Fixed also failed; assertion failure cannot be attributed to this bug</x:v>
      </x:c>
      <x:c r="G953" s="25" t="str">
        <x:v>true</x:v>
      </x:c>
      <x:c r="H953" s="25" t="str">
        <x:v>INCONCLUSIVE</x:v>
      </x:c>
      <x:c r="I953" s="25" t="str">
        <x:v>PASS</x:v>
      </x:c>
      <x:c r="J953" s="25" t="str">
        <x:v>FAIL</x:v>
      </x:c>
      <x:c r="K953" s="25" t="n">
        <x:v>8</x:v>
      </x:c>
      <x:c r="L953" s="27" t="b">
        <x:v>0</x:v>
      </x:c>
      <x:c r="M953" s="25" t="str">
        <x:v>Feedback-Directed Random Test Generation/rounds/Round2/state/Closure.json</x:v>
      </x:c>
      <x:c r="N953" s="25" t="str">
        <x:v>Feedback-Directed Random Test Generation/Result_Round2/Closure_33/result.json</x:v>
      </x:c>
      <x:c r="O953" s="25" t="str">
        <x:v>Feedback-Directed Random Test Generation/Result_Round2/Closure_33/result.json</x:v>
      </x:c>
      <x:c r="P953"/>
      <x:c r="Q953" s="21" t="str"/>
      <x:c r="R953" s="21" t="str"/>
      <x:c r="S953" s="21" t="str"/>
      <x:c r="T953" s="17" t="str">
        <x:v>false</x:v>
      </x:c>
      <x:c r="U953" s="17" t="str">
        <x:v>true</x:v>
      </x:c>
      <x:c r="V953" s="17" t="str">
        <x:v>false</x:v>
      </x:c>
    </x:row>
    <x:row r="954" ht="80" customHeight="1">
      <x:c r="A954" s="25" t="str">
        <x:v>Closure</x:v>
      </x:c>
      <x:c r="B954" s="25" t="n">
        <x:v>34</x:v>
      </x:c>
      <x:c r="C954" s="25" t="str">
        <x:v>Round2</x:v>
      </x:c>
      <x:c r="D954" s="25" t="str">
        <x:v>NOT_REVEALING</x:v>
      </x:c>
      <x:c r="E954" s="25" t="str">
        <x:v>N/A</x:v>
      </x:c>
      <x:c r="F954" s="26" t="str">
        <x:v>Same saved validation suite passed on buggy and fixed</x:v>
      </x:c>
      <x:c r="G954" s="25" t="str">
        <x:v>true</x:v>
      </x:c>
      <x:c r="H954" s="25" t="str">
        <x:v>NOT_REVEALING</x:v>
      </x:c>
      <x:c r="I954" s="25" t="str">
        <x:v>PASS</x:v>
      </x:c>
      <x:c r="J954" s="25" t="str">
        <x:v>PASS</x:v>
      </x:c>
      <x:c r="K954" s="25" t="n">
        <x:v>6</x:v>
      </x:c>
      <x:c r="L954" s="27" t="b">
        <x:v>0</x:v>
      </x:c>
      <x:c r="M954" s="25" t="str">
        <x:v>Feedback-Directed Random Test Generation/rounds/Round2/state/Closure.json</x:v>
      </x:c>
      <x:c r="N954" s="25" t="str">
        <x:v>Feedback-Directed Random Test Generation/Result_Round2/Closure_34/result.json</x:v>
      </x:c>
      <x:c r="O954" s="25" t="str">
        <x:v>Feedback-Directed Random Test Generation/Result_Round2/Closure_34/result.json</x:v>
      </x:c>
      <x:c r="P954"/>
      <x:c r="Q954" s="21" t="str"/>
      <x:c r="R954" s="21" t="str"/>
      <x:c r="S954" s="21" t="str"/>
      <x:c r="T954" s="17" t="str">
        <x:v>false</x:v>
      </x:c>
      <x:c r="U954" s="17" t="str">
        <x:v>true</x:v>
      </x:c>
      <x:c r="V954" s="17" t="str">
        <x:v>false</x:v>
      </x:c>
    </x:row>
    <x:row r="955" ht="80" customHeight="1">
      <x:c r="A955" s="25" t="str">
        <x:v>Closure</x:v>
      </x:c>
      <x:c r="B955" s="25" t="n">
        <x:v>35</x:v>
      </x:c>
      <x:c r="C955" s="25" t="str">
        <x:v>Round2</x:v>
      </x:c>
      <x:c r="D955" s="25" t="str">
        <x:v>NOT_REVEALING</x:v>
      </x:c>
      <x:c r="E955" s="25" t="str">
        <x:v>N/A</x:v>
      </x:c>
      <x:c r="F955" s="26" t="str">
        <x:v>Same saved validation suite passed on buggy and fixed</x:v>
      </x:c>
      <x:c r="G955" s="25" t="str">
        <x:v>true</x:v>
      </x:c>
      <x:c r="H955" s="25" t="str">
        <x:v>NOT_REVEALING</x:v>
      </x:c>
      <x:c r="I955" s="25" t="str">
        <x:v>PASS</x:v>
      </x:c>
      <x:c r="J955" s="25" t="str">
        <x:v>PASS</x:v>
      </x:c>
      <x:c r="K955" s="25" t="n">
        <x:v>2</x:v>
      </x:c>
      <x:c r="L955" s="27" t="b">
        <x:v>0</x:v>
      </x:c>
      <x:c r="M955" s="25" t="str">
        <x:v>Feedback-Directed Random Test Generation/rounds/Round2/state/Closure.json</x:v>
      </x:c>
      <x:c r="N955" s="25" t="str">
        <x:v>Feedback-Directed Random Test Generation/Result_Round2/Closure_35/result.json</x:v>
      </x:c>
      <x:c r="O955" s="25" t="str">
        <x:v>Feedback-Directed Random Test Generation/Result_Round2/Closure_35/result.json</x:v>
      </x:c>
      <x:c r="P955"/>
      <x:c r="Q955" s="21" t="str"/>
      <x:c r="R955" s="21" t="str"/>
      <x:c r="S955" s="21" t="str"/>
      <x:c r="T955" s="17" t="str">
        <x:v>false</x:v>
      </x:c>
      <x:c r="U955" s="17" t="str">
        <x:v>true</x:v>
      </x:c>
      <x:c r="V955" s="17" t="str">
        <x:v>false</x:v>
      </x:c>
    </x:row>
    <x:row r="956" ht="80" customHeight="1">
      <x:c r="A956" s="25" t="str">
        <x:v>Closure</x:v>
      </x:c>
      <x:c r="B956" s="25" t="n">
        <x:v>36</x:v>
      </x:c>
      <x:c r="C956" s="25" t="str">
        <x:v>Round2</x:v>
      </x:c>
      <x:c r="D956" s="25" t="str">
        <x:v>NOT_REVEALING</x:v>
      </x:c>
      <x:c r="E956" s="25" t="str">
        <x:v>N/A</x:v>
      </x:c>
      <x:c r="F956" s="26" t="str">
        <x:v>Same saved validation suite passed on buggy and fixed</x:v>
      </x:c>
      <x:c r="G956" s="25" t="str">
        <x:v>true</x:v>
      </x:c>
      <x:c r="H956" s="25" t="str">
        <x:v>NOT_REVEALING</x:v>
      </x:c>
      <x:c r="I956" s="25" t="str">
        <x:v>PASS</x:v>
      </x:c>
      <x:c r="J956" s="25" t="str">
        <x:v>PASS</x:v>
      </x:c>
      <x:c r="K956" s="25" t="n">
        <x:v>6</x:v>
      </x:c>
      <x:c r="L956" s="27" t="b">
        <x:v>0</x:v>
      </x:c>
      <x:c r="M956" s="25" t="str">
        <x:v>Feedback-Directed Random Test Generation/rounds/Round2/state/Closure.json</x:v>
      </x:c>
      <x:c r="N956" s="25" t="str">
        <x:v>Feedback-Directed Random Test Generation/Result_Round2/Closure_36/result.json</x:v>
      </x:c>
      <x:c r="O956" s="25" t="str">
        <x:v>Feedback-Directed Random Test Generation/Result_Round2/Closure_36/result.json</x:v>
      </x:c>
      <x:c r="P956"/>
      <x:c r="Q956" s="21" t="str"/>
      <x:c r="R956" s="21" t="str"/>
      <x:c r="S956" s="21" t="str"/>
      <x:c r="T956" s="17" t="str">
        <x:v>false</x:v>
      </x:c>
      <x:c r="U956" s="17" t="str">
        <x:v>true</x:v>
      </x:c>
      <x:c r="V956" s="17" t="str">
        <x:v>false</x:v>
      </x:c>
    </x:row>
    <x:row r="957" ht="80" customHeight="1">
      <x:c r="A957" s="25" t="str">
        <x:v>Closure</x:v>
      </x:c>
      <x:c r="B957" s="25" t="n">
        <x:v>37</x:v>
      </x:c>
      <x:c r="C957" s="25" t="str">
        <x:v>Round2</x:v>
      </x:c>
      <x:c r="D957" s="25" t="str">
        <x:v>NOT_REVEALING</x:v>
      </x:c>
      <x:c r="E957" s="25" t="str">
        <x:v>N/A</x:v>
      </x:c>
      <x:c r="F957" s="26" t="str">
        <x:v>Same saved validation suite passed on buggy and fixed</x:v>
      </x:c>
      <x:c r="G957" s="25" t="str">
        <x:v>true</x:v>
      </x:c>
      <x:c r="H957" s="25" t="str">
        <x:v>NOT_REVEALING</x:v>
      </x:c>
      <x:c r="I957" s="25" t="str">
        <x:v>PASS</x:v>
      </x:c>
      <x:c r="J957" s="25" t="str">
        <x:v>PASS</x:v>
      </x:c>
      <x:c r="K957" s="25" t="n">
        <x:v>5</x:v>
      </x:c>
      <x:c r="L957" s="27" t="b">
        <x:v>0</x:v>
      </x:c>
      <x:c r="M957" s="25" t="str">
        <x:v>Feedback-Directed Random Test Generation/rounds/Round2/state/Closure.json</x:v>
      </x:c>
      <x:c r="N957" s="25" t="str">
        <x:v>Feedback-Directed Random Test Generation/Result_Round2/Closure_37/result.json</x:v>
      </x:c>
      <x:c r="O957" s="25" t="str">
        <x:v>Feedback-Directed Random Test Generation/Result_Round2/Closure_37/result.json</x:v>
      </x:c>
      <x:c r="P957"/>
      <x:c r="Q957" s="21" t="str"/>
      <x:c r="R957" s="21" t="str"/>
      <x:c r="S957" s="21" t="str"/>
      <x:c r="T957" s="17" t="str">
        <x:v>false</x:v>
      </x:c>
      <x:c r="U957" s="17" t="str">
        <x:v>true</x:v>
      </x:c>
      <x:c r="V957" s="17" t="str">
        <x:v>false</x:v>
      </x:c>
    </x:row>
    <x:row r="958" ht="80" customHeight="1">
      <x:c r="A958" s="25" t="str">
        <x:v>Closure</x:v>
      </x:c>
      <x:c r="B958" s="25" t="n">
        <x:v>38</x:v>
      </x:c>
      <x:c r="C958" s="25" t="str">
        <x:v>Round2</x:v>
      </x:c>
      <x:c r="D958" s="25" t="str">
        <x:v>NOT_REVEALING</x:v>
      </x:c>
      <x:c r="E958" s="25" t="str">
        <x:v>N/A</x:v>
      </x:c>
      <x:c r="F958" s="26" t="str">
        <x:v>Same saved validation suite passed on buggy and fixed</x:v>
      </x:c>
      <x:c r="G958" s="25" t="str">
        <x:v>true</x:v>
      </x:c>
      <x:c r="H958" s="25" t="str">
        <x:v>NOT_REVEALING</x:v>
      </x:c>
      <x:c r="I958" s="25" t="str">
        <x:v>PASS</x:v>
      </x:c>
      <x:c r="J958" s="25" t="str">
        <x:v>PASS</x:v>
      </x:c>
      <x:c r="K958" s="25" t="n">
        <x:v>2</x:v>
      </x:c>
      <x:c r="L958" s="27" t="b">
        <x:v>0</x:v>
      </x:c>
      <x:c r="M958" s="25" t="str">
        <x:v>Feedback-Directed Random Test Generation/rounds/Round2/state/Closure.json</x:v>
      </x:c>
      <x:c r="N958" s="25" t="str">
        <x:v>Feedback-Directed Random Test Generation/Result_Round2/Closure_38/result.json</x:v>
      </x:c>
      <x:c r="O958" s="25" t="str">
        <x:v>Feedback-Directed Random Test Generation/Result_Round2/Closure_38/result.json</x:v>
      </x:c>
      <x:c r="P958"/>
      <x:c r="Q958" s="21" t="str"/>
      <x:c r="R958" s="21" t="str"/>
      <x:c r="S958" s="21" t="str"/>
      <x:c r="T958" s="17" t="str">
        <x:v>false</x:v>
      </x:c>
      <x:c r="U958" s="17" t="str">
        <x:v>true</x:v>
      </x:c>
      <x:c r="V958" s="17" t="str">
        <x:v>false</x:v>
      </x:c>
    </x:row>
    <x:row r="959" ht="80" customHeight="1">
      <x:c r="A959" s="25" t="str">
        <x:v>Closure</x:v>
      </x:c>
      <x:c r="B959" s="25" t="n">
        <x:v>39</x:v>
      </x:c>
      <x:c r="C959" s="25" t="str">
        <x:v>Round2</x:v>
      </x:c>
      <x:c r="D959" s="25" t="str">
        <x:v>NOT_REVEALING</x:v>
      </x:c>
      <x:c r="E959" s="25" t="str">
        <x:v>N/A</x:v>
      </x:c>
      <x:c r="F959" s="26" t="str">
        <x:v>Same saved validation suite passed on buggy and fixed</x:v>
      </x:c>
      <x:c r="G959" s="25" t="str">
        <x:v>true</x:v>
      </x:c>
      <x:c r="H959" s="25" t="str">
        <x:v>NOT_REVEALING</x:v>
      </x:c>
      <x:c r="I959" s="25" t="str">
        <x:v>PASS</x:v>
      </x:c>
      <x:c r="J959" s="25" t="str">
        <x:v>PASS</x:v>
      </x:c>
      <x:c r="K959" s="25" t="n">
        <x:v>8</x:v>
      </x:c>
      <x:c r="L959" s="27" t="b">
        <x:v>0</x:v>
      </x:c>
      <x:c r="M959" s="25" t="str">
        <x:v>Feedback-Directed Random Test Generation/rounds/Round2/state/Closure.json</x:v>
      </x:c>
      <x:c r="N959" s="25" t="str">
        <x:v>Feedback-Directed Random Test Generation/Result_Round2/Closure_39/result.json</x:v>
      </x:c>
      <x:c r="O959" s="25" t="str">
        <x:v>Feedback-Directed Random Test Generation/Result_Round2/Closure_39/result.json</x:v>
      </x:c>
      <x:c r="P959"/>
      <x:c r="Q959" s="21" t="str"/>
      <x:c r="R959" s="21" t="str"/>
      <x:c r="S959" s="21" t="str"/>
      <x:c r="T959" s="17" t="str">
        <x:v>false</x:v>
      </x:c>
      <x:c r="U959" s="17" t="str">
        <x:v>true</x:v>
      </x:c>
      <x:c r="V959" s="17" t="str">
        <x:v>false</x:v>
      </x:c>
    </x:row>
    <x:row r="960" ht="80" customHeight="1">
      <x:c r="A960" s="25" t="str">
        <x:v>Closure</x:v>
      </x:c>
      <x:c r="B960" s="25" t="n">
        <x:v>40</x:v>
      </x:c>
      <x:c r="C960" s="25" t="str">
        <x:v>Round2</x:v>
      </x:c>
      <x:c r="D960" s="25" t="str">
        <x:v>NOT_REVEALING</x:v>
      </x:c>
      <x:c r="E960" s="25" t="str">
        <x:v>N/A</x:v>
      </x:c>
      <x:c r="F960" s="26" t="str">
        <x:v>Same saved validation suite passed on buggy and fixed</x:v>
      </x:c>
      <x:c r="G960" s="25" t="str">
        <x:v>true</x:v>
      </x:c>
      <x:c r="H960" s="25" t="str">
        <x:v>NOT_REVEALING</x:v>
      </x:c>
      <x:c r="I960" s="25" t="str">
        <x:v>PASS</x:v>
      </x:c>
      <x:c r="J960" s="25" t="str">
        <x:v>PASS</x:v>
      </x:c>
      <x:c r="K960" s="25" t="n">
        <x:v>6</x:v>
      </x:c>
      <x:c r="L960" s="27" t="b">
        <x:v>0</x:v>
      </x:c>
      <x:c r="M960" s="25" t="str">
        <x:v>Feedback-Directed Random Test Generation/rounds/Round2/state/Closure.json</x:v>
      </x:c>
      <x:c r="N960" s="25" t="str">
        <x:v>Feedback-Directed Random Test Generation/Result_Round2/Closure_40/result.json</x:v>
      </x:c>
      <x:c r="O960" s="25" t="str">
        <x:v>Feedback-Directed Random Test Generation/Result_Round2/Closure_40/result.json</x:v>
      </x:c>
      <x:c r="P960"/>
      <x:c r="Q960" s="21" t="str"/>
      <x:c r="R960" s="21" t="str"/>
      <x:c r="S960" s="21" t="str"/>
      <x:c r="T960" s="17" t="str">
        <x:v>false</x:v>
      </x:c>
      <x:c r="U960" s="17" t="str">
        <x:v>true</x:v>
      </x:c>
      <x:c r="V960" s="17" t="str">
        <x:v>false</x:v>
      </x:c>
    </x:row>
    <x:row r="961" ht="80" customHeight="1">
      <x:c r="A961" s="25" t="str">
        <x:v>Closure</x:v>
      </x:c>
      <x:c r="B961" s="25" t="n">
        <x:v>41</x:v>
      </x:c>
      <x:c r="C961" s="25" t="str">
        <x:v>Round2</x:v>
      </x:c>
      <x:c r="D961" s="25" t="str">
        <x:v>NOT_REVEALING</x:v>
      </x:c>
      <x:c r="E961" s="25" t="str">
        <x:v>N/A</x:v>
      </x:c>
      <x:c r="F961" s="26" t="str">
        <x:v>Same saved validation suite passed on buggy and fixed</x:v>
      </x:c>
      <x:c r="G961" s="25" t="str">
        <x:v>true</x:v>
      </x:c>
      <x:c r="H961" s="25" t="str">
        <x:v>NOT_REVEALING</x:v>
      </x:c>
      <x:c r="I961" s="25" t="str">
        <x:v>PASS</x:v>
      </x:c>
      <x:c r="J961" s="25" t="str">
        <x:v>PASS</x:v>
      </x:c>
      <x:c r="K961" s="25" t="n">
        <x:v>5</x:v>
      </x:c>
      <x:c r="L961" s="27" t="b">
        <x:v>0</x:v>
      </x:c>
      <x:c r="M961" s="25" t="str">
        <x:v>Feedback-Directed Random Test Generation/rounds/Round2/state/Closure.json</x:v>
      </x:c>
      <x:c r="N961" s="25" t="str">
        <x:v>Feedback-Directed Random Test Generation/Result_Round2/Closure_41/result.json</x:v>
      </x:c>
      <x:c r="O961" s="25" t="str">
        <x:v>Feedback-Directed Random Test Generation/Result_Round2/Closure_41/result.json</x:v>
      </x:c>
      <x:c r="P961"/>
      <x:c r="Q961" s="21" t="str"/>
      <x:c r="R961" s="21" t="str"/>
      <x:c r="S961" s="21" t="str"/>
      <x:c r="T961" s="17" t="str">
        <x:v>false</x:v>
      </x:c>
      <x:c r="U961" s="17" t="str">
        <x:v>true</x:v>
      </x:c>
      <x:c r="V961" s="17" t="str">
        <x:v>false</x:v>
      </x:c>
    </x:row>
    <x:row r="962" ht="80" customHeight="1">
      <x:c r="A962" s="25" t="str">
        <x:v>Closure</x:v>
      </x:c>
      <x:c r="B962" s="25" t="n">
        <x:v>42</x:v>
      </x:c>
      <x:c r="C962" s="25" t="str">
        <x:v>Round2</x:v>
      </x:c>
      <x:c r="D962" s="25" t="str">
        <x:v>NOT_REVEALING</x:v>
      </x:c>
      <x:c r="E962" s="25" t="str">
        <x:v>N/A</x:v>
      </x:c>
      <x:c r="F962" s="26" t="str">
        <x:v>Same saved validation suite passed on buggy and fixed</x:v>
      </x:c>
      <x:c r="G962" s="25" t="str">
        <x:v>true</x:v>
      </x:c>
      <x:c r="H962" s="25" t="str">
        <x:v>NOT_REVEALING</x:v>
      </x:c>
      <x:c r="I962" s="25" t="str">
        <x:v>PASS</x:v>
      </x:c>
      <x:c r="J962" s="25" t="str">
        <x:v>PASS</x:v>
      </x:c>
      <x:c r="K962" s="25" t="n">
        <x:v>2</x:v>
      </x:c>
      <x:c r="L962" s="27" t="b">
        <x:v>0</x:v>
      </x:c>
      <x:c r="M962" s="25" t="str">
        <x:v>Feedback-Directed Random Test Generation/rounds/Round2/state/Closure.json</x:v>
      </x:c>
      <x:c r="N962" s="25" t="str">
        <x:v>Feedback-Directed Random Test Generation/Result_Round2/Closure_42/result.json</x:v>
      </x:c>
      <x:c r="O962" s="25" t="str">
        <x:v>Feedback-Directed Random Test Generation/Result_Round2/Closure_42/result.json</x:v>
      </x:c>
      <x:c r="P962"/>
      <x:c r="Q962" s="21" t="str"/>
      <x:c r="R962" s="21" t="str"/>
      <x:c r="S962" s="21" t="str"/>
      <x:c r="T962" s="17" t="str">
        <x:v>false</x:v>
      </x:c>
      <x:c r="U962" s="17" t="str">
        <x:v>true</x:v>
      </x:c>
      <x:c r="V962" s="17" t="str">
        <x:v>false</x:v>
      </x:c>
    </x:row>
    <x:row r="963" ht="80" customHeight="1">
      <x:c r="A963" s="25" t="str">
        <x:v>Closure</x:v>
      </x:c>
      <x:c r="B963" s="25" t="n">
        <x:v>43</x:v>
      </x:c>
      <x:c r="C963" s="25" t="str">
        <x:v>Round2</x:v>
      </x:c>
      <x:c r="D963" s="25" t="str">
        <x:v>NOT_REVEALING</x:v>
      </x:c>
      <x:c r="E963" s="25" t="str">
        <x:v>N/A</x:v>
      </x:c>
      <x:c r="F963" s="26" t="str">
        <x:v>Same saved validation suite passed on buggy and fixed</x:v>
      </x:c>
      <x:c r="G963" s="25" t="str">
        <x:v>true</x:v>
      </x:c>
      <x:c r="H963" s="25" t="str">
        <x:v>NOT_REVEALING</x:v>
      </x:c>
      <x:c r="I963" s="25" t="str">
        <x:v>PASS</x:v>
      </x:c>
      <x:c r="J963" s="25" t="str">
        <x:v>PASS</x:v>
      </x:c>
      <x:c r="K963" s="25" t="n">
        <x:v>2</x:v>
      </x:c>
      <x:c r="L963" s="27" t="b">
        <x:v>0</x:v>
      </x:c>
      <x:c r="M963" s="25" t="str">
        <x:v>Feedback-Directed Random Test Generation/rounds/Round2/state/Closure.json</x:v>
      </x:c>
      <x:c r="N963" s="25" t="str">
        <x:v>Feedback-Directed Random Test Generation/Result_Round2/Closure_43/result.json</x:v>
      </x:c>
      <x:c r="O963" s="25" t="str">
        <x:v>Feedback-Directed Random Test Generation/Result_Round2/Closure_43/result.json</x:v>
      </x:c>
      <x:c r="P963"/>
      <x:c r="Q963" s="21" t="str"/>
      <x:c r="R963" s="21" t="str"/>
      <x:c r="S963" s="21" t="str"/>
      <x:c r="T963" s="17" t="str">
        <x:v>false</x:v>
      </x:c>
      <x:c r="U963" s="17" t="str">
        <x:v>true</x:v>
      </x:c>
      <x:c r="V963" s="17" t="str">
        <x:v>false</x:v>
      </x:c>
    </x:row>
    <x:row r="964" ht="80" customHeight="1">
      <x:c r="A964" s="25" t="str">
        <x:v>Closure</x:v>
      </x:c>
      <x:c r="B964" s="25" t="n">
        <x:v>44</x:v>
      </x:c>
      <x:c r="C964" s="25" t="str">
        <x:v>Round2</x:v>
      </x:c>
      <x:c r="D964" s="25" t="str">
        <x:v>NOT_REVEALING</x:v>
      </x:c>
      <x:c r="E964" s="25" t="str">
        <x:v>N/A</x:v>
      </x:c>
      <x:c r="F964" s="26" t="str">
        <x:v>Same saved validation suite passed on buggy and fixed</x:v>
      </x:c>
      <x:c r="G964" s="25" t="str">
        <x:v>true</x:v>
      </x:c>
      <x:c r="H964" s="25" t="str">
        <x:v>NOT_REVEALING</x:v>
      </x:c>
      <x:c r="I964" s="25" t="str">
        <x:v>PASS</x:v>
      </x:c>
      <x:c r="J964" s="25" t="str">
        <x:v>PASS</x:v>
      </x:c>
      <x:c r="K964" s="25" t="n">
        <x:v>2</x:v>
      </x:c>
      <x:c r="L964" s="27" t="b">
        <x:v>0</x:v>
      </x:c>
      <x:c r="M964" s="25" t="str">
        <x:v>Feedback-Directed Random Test Generation/rounds/Round2/state/Closure.json</x:v>
      </x:c>
      <x:c r="N964" s="25" t="str">
        <x:v>Feedback-Directed Random Test Generation/Result_Round2/Closure_44/result.json</x:v>
      </x:c>
      <x:c r="O964" s="25" t="str">
        <x:v>Feedback-Directed Random Test Generation/Result_Round2/Closure_44/result.json</x:v>
      </x:c>
      <x:c r="P964"/>
      <x:c r="Q964" s="21" t="str"/>
      <x:c r="R964" s="21" t="str"/>
      <x:c r="S964" s="21" t="str"/>
      <x:c r="T964" s="17" t="str">
        <x:v>false</x:v>
      </x:c>
      <x:c r="U964" s="17" t="str">
        <x:v>true</x:v>
      </x:c>
      <x:c r="V964" s="17" t="str">
        <x:v>false</x:v>
      </x:c>
    </x:row>
    <x:row r="965" ht="80" customHeight="1">
      <x:c r="A965" s="25" t="str">
        <x:v>Closure</x:v>
      </x:c>
      <x:c r="B965" s="25" t="n">
        <x:v>45</x:v>
      </x:c>
      <x:c r="C965" s="25" t="str">
        <x:v>Round2</x:v>
      </x:c>
      <x:c r="D965" s="25" t="str">
        <x:v>NOT_REVEALING</x:v>
      </x:c>
      <x:c r="E965" s="25" t="str">
        <x:v>N/A</x:v>
      </x:c>
      <x:c r="F965" s="26" t="str">
        <x:v>Same saved validation suite passed on buggy and fixed</x:v>
      </x:c>
      <x:c r="G965" s="25" t="str">
        <x:v>true</x:v>
      </x:c>
      <x:c r="H965" s="25" t="str">
        <x:v>NOT_REVEALING</x:v>
      </x:c>
      <x:c r="I965" s="25" t="str">
        <x:v>PASS</x:v>
      </x:c>
      <x:c r="J965" s="25" t="str">
        <x:v>PASS</x:v>
      </x:c>
      <x:c r="K965" s="25" t="n">
        <x:v>2</x:v>
      </x:c>
      <x:c r="L965" s="27" t="b">
        <x:v>0</x:v>
      </x:c>
      <x:c r="M965" s="25" t="str">
        <x:v>Feedback-Directed Random Test Generation/rounds/Round2/state/Closure.json</x:v>
      </x:c>
      <x:c r="N965" s="25" t="str">
        <x:v>Feedback-Directed Random Test Generation/Result_Round2/Closure_45/result.json</x:v>
      </x:c>
      <x:c r="O965" s="25" t="str">
        <x:v>Feedback-Directed Random Test Generation/Result_Round2/Closure_45/result.json</x:v>
      </x:c>
      <x:c r="P965"/>
      <x:c r="Q965" s="21" t="str"/>
      <x:c r="R965" s="21" t="str"/>
      <x:c r="S965" s="21" t="str"/>
      <x:c r="T965" s="17" t="str">
        <x:v>false</x:v>
      </x:c>
      <x:c r="U965" s="17" t="str">
        <x:v>true</x:v>
      </x:c>
      <x:c r="V965" s="17" t="str">
        <x:v>false</x:v>
      </x:c>
    </x:row>
    <x:row r="966" ht="80" customHeight="1">
      <x:c r="A966" s="25" t="str">
        <x:v>Closure</x:v>
      </x:c>
      <x:c r="B966" s="25" t="n">
        <x:v>46</x:v>
      </x:c>
      <x:c r="C966" s="25" t="str">
        <x:v>Round2</x:v>
      </x:c>
      <x:c r="D966" s="25" t="str">
        <x:v>NOT_REVEALING</x:v>
      </x:c>
      <x:c r="E966" s="25" t="str">
        <x:v>N/A</x:v>
      </x:c>
      <x:c r="F966" s="26" t="str">
        <x:v>Same saved validation suite passed on buggy and fixed</x:v>
      </x:c>
      <x:c r="G966" s="25" t="str">
        <x:v>true</x:v>
      </x:c>
      <x:c r="H966" s="25" t="str">
        <x:v>NOT_REVEALING</x:v>
      </x:c>
      <x:c r="I966" s="25" t="str">
        <x:v>PASS</x:v>
      </x:c>
      <x:c r="J966" s="25" t="str">
        <x:v>PASS</x:v>
      </x:c>
      <x:c r="K966" s="25" t="n">
        <x:v>4</x:v>
      </x:c>
      <x:c r="L966" s="27" t="b">
        <x:v>0</x:v>
      </x:c>
      <x:c r="M966" s="25" t="str">
        <x:v>Feedback-Directed Random Test Generation/rounds/Round2/state/Closure.json</x:v>
      </x:c>
      <x:c r="N966" s="25" t="str">
        <x:v>Feedback-Directed Random Test Generation/Result_Round2/Closure_46/result.json</x:v>
      </x:c>
      <x:c r="O966" s="25" t="str">
        <x:v>Feedback-Directed Random Test Generation/Result_Round2/Closure_46/result.json</x:v>
      </x:c>
      <x:c r="P966"/>
      <x:c r="Q966" s="21" t="str"/>
      <x:c r="R966" s="21" t="str"/>
      <x:c r="S966" s="21" t="str"/>
      <x:c r="T966" s="17" t="str">
        <x:v>false</x:v>
      </x:c>
      <x:c r="U966" s="17" t="str">
        <x:v>true</x:v>
      </x:c>
      <x:c r="V966" s="17" t="str">
        <x:v>false</x:v>
      </x:c>
    </x:row>
    <x:row r="967" ht="80" customHeight="1">
      <x:c r="A967" s="25" t="str">
        <x:v>Closure</x:v>
      </x:c>
      <x:c r="B967" s="25" t="n">
        <x:v>47</x:v>
      </x:c>
      <x:c r="C967" s="25" t="str">
        <x:v>Round2</x:v>
      </x:c>
      <x:c r="D967" s="25" t="str">
        <x:v>INCONCLUSIVE</x:v>
      </x:c>
      <x:c r="E967" s="25" t="str">
        <x:v>N/A</x:v>
      </x:c>
      <x:c r="F967" s="26" t="str">
        <x:v>Fixed also failed; assertion failure cannot be attributed to this bug; Assertions failed with measured coverage; paired execution and stage checks determine status</x:v>
      </x:c>
      <x:c r="G967" s="25" t="str">
        <x:v>true</x:v>
      </x:c>
      <x:c r="H967" s="25" t="str">
        <x:v>INCONCLUSIVE</x:v>
      </x:c>
      <x:c r="I967" s="25" t="str">
        <x:v>FAIL</x:v>
      </x:c>
      <x:c r="J967" s="25" t="str">
        <x:v>FAIL</x:v>
      </x:c>
      <x:c r="K967" s="25" t="n">
        <x:v>7</x:v>
      </x:c>
      <x:c r="L967" s="27" t="b">
        <x:v>0</x:v>
      </x:c>
      <x:c r="M967" s="25" t="str">
        <x:v>Feedback-Directed Random Test Generation/rounds/Round2/state/Closure.json</x:v>
      </x:c>
      <x:c r="N967" s="25" t="str">
        <x:v>Feedback-Directed Random Test Generation/Result_Round2/Closure_47/result.json</x:v>
      </x:c>
      <x:c r="O967" s="25" t="str">
        <x:v>Feedback-Directed Random Test Generation/Result_Round2/Closure_47/result.json</x:v>
      </x:c>
      <x:c r="P967"/>
      <x:c r="Q967" s="21" t="str"/>
      <x:c r="R967" s="21" t="str"/>
      <x:c r="S967" s="21" t="str"/>
      <x:c r="T967" s="17" t="str">
        <x:v>false</x:v>
      </x:c>
      <x:c r="U967" s="17" t="str">
        <x:v>true</x:v>
      </x:c>
      <x:c r="V967" s="17" t="str">
        <x:v>false</x:v>
      </x:c>
    </x:row>
    <x:row r="968" ht="80" customHeight="1">
      <x:c r="A968" s="25" t="str">
        <x:v>Closure</x:v>
      </x:c>
      <x:c r="B968" s="25" t="n">
        <x:v>48</x:v>
      </x:c>
      <x:c r="C968" s="25" t="str">
        <x:v>Round2</x:v>
      </x:c>
      <x:c r="D968" s="25" t="str">
        <x:v>NOT_REVEALING</x:v>
      </x:c>
      <x:c r="E968" s="25" t="str">
        <x:v>N/A</x:v>
      </x:c>
      <x:c r="F968" s="26" t="str">
        <x:v>Same saved validation suite passed on buggy and fixed</x:v>
      </x:c>
      <x:c r="G968" s="25" t="str">
        <x:v>true</x:v>
      </x:c>
      <x:c r="H968" s="25" t="str">
        <x:v>NOT_REVEALING</x:v>
      </x:c>
      <x:c r="I968" s="25" t="str">
        <x:v>PASS</x:v>
      </x:c>
      <x:c r="J968" s="25" t="str">
        <x:v>PASS</x:v>
      </x:c>
      <x:c r="K968" s="25" t="n">
        <x:v>2</x:v>
      </x:c>
      <x:c r="L968" s="27" t="b">
        <x:v>0</x:v>
      </x:c>
      <x:c r="M968" s="25" t="str">
        <x:v>Feedback-Directed Random Test Generation/rounds/Round2/state/Closure.json</x:v>
      </x:c>
      <x:c r="N968" s="25" t="str">
        <x:v>Feedback-Directed Random Test Generation/Result_Round2/Closure_48/result.json</x:v>
      </x:c>
      <x:c r="O968" s="25" t="str">
        <x:v>Feedback-Directed Random Test Generation/Result_Round2/Closure_48/result.json</x:v>
      </x:c>
      <x:c r="P968"/>
      <x:c r="Q968" s="21" t="str"/>
      <x:c r="R968" s="21" t="str"/>
      <x:c r="S968" s="21" t="str"/>
      <x:c r="T968" s="17" t="str">
        <x:v>false</x:v>
      </x:c>
      <x:c r="U968" s="17" t="str">
        <x:v>true</x:v>
      </x:c>
      <x:c r="V968" s="17" t="str">
        <x:v>false</x:v>
      </x:c>
    </x:row>
    <x:row r="969" ht="80" customHeight="1">
      <x:c r="A969" s="25" t="str">
        <x:v>Closure</x:v>
      </x:c>
      <x:c r="B969" s="25" t="n">
        <x:v>49</x:v>
      </x:c>
      <x:c r="C969" s="25" t="str">
        <x:v>Round2</x:v>
      </x:c>
      <x:c r="D969" s="25" t="str">
        <x:v>NOT_REVEALING</x:v>
      </x:c>
      <x:c r="E969" s="25" t="str">
        <x:v>N/A</x:v>
      </x:c>
      <x:c r="F969" s="26" t="str">
        <x:v>Same saved validation suite passed on buggy and fixed</x:v>
      </x:c>
      <x:c r="G969" s="25" t="str">
        <x:v>true</x:v>
      </x:c>
      <x:c r="H969" s="25" t="str">
        <x:v>NOT_REVEALING</x:v>
      </x:c>
      <x:c r="I969" s="25" t="str">
        <x:v>PASS</x:v>
      </x:c>
      <x:c r="J969" s="25" t="str">
        <x:v>PASS</x:v>
      </x:c>
      <x:c r="K969" s="25" t="n">
        <x:v>5</x:v>
      </x:c>
      <x:c r="L969" s="27" t="b">
        <x:v>0</x:v>
      </x:c>
      <x:c r="M969" s="25" t="str">
        <x:v>Feedback-Directed Random Test Generation/rounds/Round2/state/Closure.json</x:v>
      </x:c>
      <x:c r="N969" s="25" t="str">
        <x:v>Feedback-Directed Random Test Generation/Result_Round2/Closure_49/result.json</x:v>
      </x:c>
      <x:c r="O969" s="25" t="str">
        <x:v>Feedback-Directed Random Test Generation/Result_Round2/Closure_49/result.json</x:v>
      </x:c>
      <x:c r="P969"/>
      <x:c r="Q969" s="21" t="str"/>
      <x:c r="R969" s="21" t="str"/>
      <x:c r="S969" s="21" t="str"/>
      <x:c r="T969" s="17" t="str">
        <x:v>false</x:v>
      </x:c>
      <x:c r="U969" s="17" t="str">
        <x:v>true</x:v>
      </x:c>
      <x:c r="V969" s="17" t="str">
        <x:v>false</x:v>
      </x:c>
    </x:row>
    <x:row r="970" ht="80" customHeight="1">
      <x:c r="A970" s="25" t="str">
        <x:v>Closure</x:v>
      </x:c>
      <x:c r="B970" s="25" t="n">
        <x:v>50</x:v>
      </x:c>
      <x:c r="C970" s="25" t="str">
        <x:v>Round2</x:v>
      </x:c>
      <x:c r="D970" s="25" t="str">
        <x:v>NOT_REVEALING</x:v>
      </x:c>
      <x:c r="E970" s="25" t="str">
        <x:v>N/A</x:v>
      </x:c>
      <x:c r="F970" s="26" t="str">
        <x:v>Same saved validation suite passed on buggy and fixed</x:v>
      </x:c>
      <x:c r="G970" s="25" t="str">
        <x:v>true</x:v>
      </x:c>
      <x:c r="H970" s="25" t="str">
        <x:v>NOT_REVEALING</x:v>
      </x:c>
      <x:c r="I970" s="25" t="str">
        <x:v>PASS</x:v>
      </x:c>
      <x:c r="J970" s="25" t="str">
        <x:v>PASS</x:v>
      </x:c>
      <x:c r="K970" s="25" t="n">
        <x:v>2</x:v>
      </x:c>
      <x:c r="L970" s="27" t="b">
        <x:v>0</x:v>
      </x:c>
      <x:c r="M970" s="25" t="str">
        <x:v>Feedback-Directed Random Test Generation/rounds/Round2/state/Closure.json</x:v>
      </x:c>
      <x:c r="N970" s="25" t="str">
        <x:v>Feedback-Directed Random Test Generation/Result_Round2/Closure_50/result.json</x:v>
      </x:c>
      <x:c r="O970" s="25" t="str">
        <x:v>Feedback-Directed Random Test Generation/Result_Round2/Closure_50/result.json</x:v>
      </x:c>
      <x:c r="P970"/>
      <x:c r="Q970" s="21" t="str"/>
      <x:c r="R970" s="21" t="str"/>
      <x:c r="S970" s="21" t="str"/>
      <x:c r="T970" s="17" t="str">
        <x:v>false</x:v>
      </x:c>
      <x:c r="U970" s="17" t="str">
        <x:v>true</x:v>
      </x:c>
      <x:c r="V970" s="17" t="str">
        <x:v>false</x:v>
      </x:c>
    </x:row>
    <x:row r="971" ht="80" customHeight="1">
      <x:c r="A971" s="25" t="str">
        <x:v>Closure</x:v>
      </x:c>
      <x:c r="B971" s="25" t="n">
        <x:v>51</x:v>
      </x:c>
      <x:c r="C971" s="25" t="str">
        <x:v>Round2</x:v>
      </x:c>
      <x:c r="D971" s="25" t="str">
        <x:v>NOT_REVEALING</x:v>
      </x:c>
      <x:c r="E971" s="25" t="str">
        <x:v>N/A</x:v>
      </x:c>
      <x:c r="F971" s="26" t="str">
        <x:v>Same saved validation suite passed on buggy and fixed</x:v>
      </x:c>
      <x:c r="G971" s="25" t="str">
        <x:v>true</x:v>
      </x:c>
      <x:c r="H971" s="25" t="str">
        <x:v>NOT_REVEALING</x:v>
      </x:c>
      <x:c r="I971" s="25" t="str">
        <x:v>PASS</x:v>
      </x:c>
      <x:c r="J971" s="25" t="str">
        <x:v>PASS</x:v>
      </x:c>
      <x:c r="K971" s="25" t="n">
        <x:v>2</x:v>
      </x:c>
      <x:c r="L971" s="27" t="b">
        <x:v>0</x:v>
      </x:c>
      <x:c r="M971" s="25" t="str">
        <x:v>Feedback-Directed Random Test Generation/rounds/Round2/state/Closure.json</x:v>
      </x:c>
      <x:c r="N971" s="25" t="str">
        <x:v>Feedback-Directed Random Test Generation/Result_Round2/Closure_51/result.json</x:v>
      </x:c>
      <x:c r="O971" s="25" t="str">
        <x:v>Feedback-Directed Random Test Generation/Result_Round2/Closure_51/result.json</x:v>
      </x:c>
      <x:c r="P971"/>
      <x:c r="Q971" s="21" t="str"/>
      <x:c r="R971" s="21" t="str"/>
      <x:c r="S971" s="21" t="str"/>
      <x:c r="T971" s="17" t="str">
        <x:v>false</x:v>
      </x:c>
      <x:c r="U971" s="17" t="str">
        <x:v>true</x:v>
      </x:c>
      <x:c r="V971" s="17" t="str">
        <x:v>false</x:v>
      </x:c>
    </x:row>
    <x:row r="972" ht="80" customHeight="1">
      <x:c r="A972" s="25" t="str">
        <x:v>Closure</x:v>
      </x:c>
      <x:c r="B972" s="25" t="n">
        <x:v>52</x:v>
      </x:c>
      <x:c r="C972" s="25" t="str">
        <x:v>Round2</x:v>
      </x:c>
      <x:c r="D972" s="25" t="str">
        <x:v>NOT_REVEALING</x:v>
      </x:c>
      <x:c r="E972" s="25" t="str">
        <x:v>N/A</x:v>
      </x:c>
      <x:c r="F972" s="26" t="str">
        <x:v>Same saved validation suite passed on buggy and fixed</x:v>
      </x:c>
      <x:c r="G972" s="25" t="str">
        <x:v>true</x:v>
      </x:c>
      <x:c r="H972" s="25" t="str">
        <x:v>NOT_REVEALING</x:v>
      </x:c>
      <x:c r="I972" s="25" t="str">
        <x:v>PASS</x:v>
      </x:c>
      <x:c r="J972" s="25" t="str">
        <x:v>PASS</x:v>
      </x:c>
      <x:c r="K972" s="25" t="n">
        <x:v>6</x:v>
      </x:c>
      <x:c r="L972" s="27" t="b">
        <x:v>0</x:v>
      </x:c>
      <x:c r="M972" s="25" t="str">
        <x:v>Feedback-Directed Random Test Generation/rounds/Round2/state/Closure.json</x:v>
      </x:c>
      <x:c r="N972" s="25" t="str">
        <x:v>Feedback-Directed Random Test Generation/Result_Round2/Closure_52/result.json</x:v>
      </x:c>
      <x:c r="O972" s="25" t="str">
        <x:v>Feedback-Directed Random Test Generation/Result_Round2/Closure_52/result.json</x:v>
      </x:c>
      <x:c r="P972"/>
      <x:c r="Q972" s="21" t="str"/>
      <x:c r="R972" s="21" t="str"/>
      <x:c r="S972" s="21" t="str"/>
      <x:c r="T972" s="17" t="str">
        <x:v>false</x:v>
      </x:c>
      <x:c r="U972" s="17" t="str">
        <x:v>true</x:v>
      </x:c>
      <x:c r="V972" s="17" t="str">
        <x:v>false</x:v>
      </x:c>
    </x:row>
    <x:row r="973" ht="80" customHeight="1">
      <x:c r="A973" s="25" t="str">
        <x:v>Closure</x:v>
      </x:c>
      <x:c r="B973" s="25" t="n">
        <x:v>53</x:v>
      </x:c>
      <x:c r="C973" s="25" t="str">
        <x:v>Round2</x:v>
      </x:c>
      <x:c r="D973" s="25" t="str">
        <x:v>NOT_REVEALING</x:v>
      </x:c>
      <x:c r="E973" s="25" t="str">
        <x:v>N/A</x:v>
      </x:c>
      <x:c r="F973" s="26" t="str">
        <x:v>Same saved validation suite passed on buggy and fixed</x:v>
      </x:c>
      <x:c r="G973" s="25" t="str">
        <x:v>true</x:v>
      </x:c>
      <x:c r="H973" s="25" t="str">
        <x:v>NOT_REVEALING</x:v>
      </x:c>
      <x:c r="I973" s="25" t="str">
        <x:v>PASS</x:v>
      </x:c>
      <x:c r="J973" s="25" t="str">
        <x:v>PASS</x:v>
      </x:c>
      <x:c r="K973" s="25" t="n">
        <x:v>2</x:v>
      </x:c>
      <x:c r="L973" s="27" t="b">
        <x:v>0</x:v>
      </x:c>
      <x:c r="M973" s="25" t="str">
        <x:v>Feedback-Directed Random Test Generation/rounds/Round2/state/Closure.json</x:v>
      </x:c>
      <x:c r="N973" s="25" t="str">
        <x:v>Feedback-Directed Random Test Generation/Result_Round2/Closure_53/result.json</x:v>
      </x:c>
      <x:c r="O973" s="25" t="str">
        <x:v>Feedback-Directed Random Test Generation/Result_Round2/Closure_53/result.json</x:v>
      </x:c>
      <x:c r="P973"/>
      <x:c r="Q973" s="21" t="str"/>
      <x:c r="R973" s="21" t="str"/>
      <x:c r="S973" s="21" t="str"/>
      <x:c r="T973" s="17" t="str">
        <x:v>false</x:v>
      </x:c>
      <x:c r="U973" s="17" t="str">
        <x:v>true</x:v>
      </x:c>
      <x:c r="V973" s="17" t="str">
        <x:v>false</x:v>
      </x:c>
    </x:row>
    <x:row r="974" ht="80" customHeight="1">
      <x:c r="A974" s="25" t="str">
        <x:v>Closure</x:v>
      </x:c>
      <x:c r="B974" s="25" t="n">
        <x:v>54</x:v>
      </x:c>
      <x:c r="C974" s="25" t="str">
        <x:v>Round2</x:v>
      </x:c>
      <x:c r="D974" s="25" t="str">
        <x:v>NOT_REVEALING</x:v>
      </x:c>
      <x:c r="E974" s="25" t="str">
        <x:v>N/A</x:v>
      </x:c>
      <x:c r="F974" s="26" t="str">
        <x:v>Same saved validation suite passed on buggy and fixed</x:v>
      </x:c>
      <x:c r="G974" s="25" t="str">
        <x:v>true</x:v>
      </x:c>
      <x:c r="H974" s="25" t="str">
        <x:v>NOT_REVEALING</x:v>
      </x:c>
      <x:c r="I974" s="25" t="str">
        <x:v>PASS</x:v>
      </x:c>
      <x:c r="J974" s="25" t="str">
        <x:v>PASS</x:v>
      </x:c>
      <x:c r="K974" s="25" t="n">
        <x:v>5</x:v>
      </x:c>
      <x:c r="L974" s="27" t="b">
        <x:v>0</x:v>
      </x:c>
      <x:c r="M974" s="25" t="str">
        <x:v>Feedback-Directed Random Test Generation/rounds/Round2/state/Closure.json</x:v>
      </x:c>
      <x:c r="N974" s="25" t="str">
        <x:v>Feedback-Directed Random Test Generation/Result_Round2/Closure_54/result.json</x:v>
      </x:c>
      <x:c r="O974" s="25" t="str">
        <x:v>Feedback-Directed Random Test Generation/Result_Round2/Closure_54/result.json</x:v>
      </x:c>
      <x:c r="P974"/>
      <x:c r="Q974" s="21" t="str"/>
      <x:c r="R974" s="21" t="str"/>
      <x:c r="S974" s="21" t="str"/>
      <x:c r="T974" s="17" t="str">
        <x:v>false</x:v>
      </x:c>
      <x:c r="U974" s="17" t="str">
        <x:v>true</x:v>
      </x:c>
      <x:c r="V974" s="17" t="str">
        <x:v>false</x:v>
      </x:c>
    </x:row>
    <x:row r="975" ht="80" customHeight="1">
      <x:c r="A975" s="25" t="str">
        <x:v>Closure</x:v>
      </x:c>
      <x:c r="B975" s="25" t="n">
        <x:v>55</x:v>
      </x:c>
      <x:c r="C975" s="25" t="str">
        <x:v>Round2</x:v>
      </x:c>
      <x:c r="D975" s="25" t="str">
        <x:v>NOT_REVEALING</x:v>
      </x:c>
      <x:c r="E975" s="25" t="str">
        <x:v>N/A</x:v>
      </x:c>
      <x:c r="F975" s="26" t="str">
        <x:v>Same saved validation suite passed on buggy and fixed</x:v>
      </x:c>
      <x:c r="G975" s="25" t="str">
        <x:v>true</x:v>
      </x:c>
      <x:c r="H975" s="25" t="str">
        <x:v>NOT_REVEALING</x:v>
      </x:c>
      <x:c r="I975" s="25" t="str">
        <x:v>PASS</x:v>
      </x:c>
      <x:c r="J975" s="25" t="str">
        <x:v>PASS</x:v>
      </x:c>
      <x:c r="K975" s="25" t="n">
        <x:v>2</x:v>
      </x:c>
      <x:c r="L975" s="27" t="b">
        <x:v>0</x:v>
      </x:c>
      <x:c r="M975" s="25" t="str">
        <x:v>Feedback-Directed Random Test Generation/rounds/Round2/state/Closure.json</x:v>
      </x:c>
      <x:c r="N975" s="25" t="str">
        <x:v>Feedback-Directed Random Test Generation/Result_Round2/Closure_55/result.json</x:v>
      </x:c>
      <x:c r="O975" s="25" t="str">
        <x:v>Feedback-Directed Random Test Generation/Result_Round2/Closure_55/result.json</x:v>
      </x:c>
      <x:c r="P975"/>
      <x:c r="Q975" s="21" t="str"/>
      <x:c r="R975" s="21" t="str"/>
      <x:c r="S975" s="21" t="str"/>
      <x:c r="T975" s="17" t="str">
        <x:v>false</x:v>
      </x:c>
      <x:c r="U975" s="17" t="str">
        <x:v>true</x:v>
      </x:c>
      <x:c r="V975" s="17" t="str">
        <x:v>false</x:v>
      </x:c>
    </x:row>
    <x:row r="976" ht="80" customHeight="1">
      <x:c r="A976" s="25" t="str">
        <x:v>Closure</x:v>
      </x:c>
      <x:c r="B976" s="25" t="n">
        <x:v>56</x:v>
      </x:c>
      <x:c r="C976" s="25" t="str">
        <x:v>Round2</x:v>
      </x:c>
      <x:c r="D976" s="25" t="str">
        <x:v>INCONCLUSIVE</x:v>
      </x:c>
      <x:c r="E976" s="25" t="str">
        <x:v>N/A</x:v>
      </x:c>
      <x:c r="F976" s="26" t="str">
        <x:v>Fixed also failed; assertion failure cannot be attributed to this bug; Assertions failed with measured coverage; paired execution and stage checks determine status</x:v>
      </x:c>
      <x:c r="G976" s="25" t="str">
        <x:v>true</x:v>
      </x:c>
      <x:c r="H976" s="25" t="str">
        <x:v>INCONCLUSIVE</x:v>
      </x:c>
      <x:c r="I976" s="25" t="str">
        <x:v>FAIL</x:v>
      </x:c>
      <x:c r="J976" s="25" t="str">
        <x:v>FAIL</x:v>
      </x:c>
      <x:c r="K976" s="25" t="n">
        <x:v>7</x:v>
      </x:c>
      <x:c r="L976" s="27" t="b">
        <x:v>0</x:v>
      </x:c>
      <x:c r="M976" s="25" t="str">
        <x:v>Feedback-Directed Random Test Generation/rounds/Round2/state/Closure.json</x:v>
      </x:c>
      <x:c r="N976" s="25" t="str">
        <x:v>Feedback-Directed Random Test Generation/Result_Round2/Closure_56/result.json</x:v>
      </x:c>
      <x:c r="O976" s="25" t="str">
        <x:v>Feedback-Directed Random Test Generation/Result_Round2/Closure_56/result.json</x:v>
      </x:c>
      <x:c r="P976"/>
      <x:c r="Q976" s="21" t="str"/>
      <x:c r="R976" s="21" t="str"/>
      <x:c r="S976" s="21" t="str"/>
      <x:c r="T976" s="17" t="str">
        <x:v>false</x:v>
      </x:c>
      <x:c r="U976" s="17" t="str">
        <x:v>true</x:v>
      </x:c>
      <x:c r="V976" s="17" t="str">
        <x:v>false</x:v>
      </x:c>
    </x:row>
    <x:row r="977" ht="80" customHeight="1">
      <x:c r="A977" s="25" t="str">
        <x:v>Closure</x:v>
      </x:c>
      <x:c r="B977" s="25" t="n">
        <x:v>57</x:v>
      </x:c>
      <x:c r="C977" s="25" t="str">
        <x:v>Round2</x:v>
      </x:c>
      <x:c r="D977" s="25" t="str">
        <x:v>NOT_REVEALING</x:v>
      </x:c>
      <x:c r="E977" s="25" t="str">
        <x:v>N/A</x:v>
      </x:c>
      <x:c r="F977" s="26" t="str">
        <x:v>Same saved validation suite passed on buggy and fixed</x:v>
      </x:c>
      <x:c r="G977" s="25" t="str">
        <x:v>true</x:v>
      </x:c>
      <x:c r="H977" s="25" t="str">
        <x:v>NOT_REVEALING</x:v>
      </x:c>
      <x:c r="I977" s="25" t="str">
        <x:v>PASS</x:v>
      </x:c>
      <x:c r="J977" s="25" t="str">
        <x:v>PASS</x:v>
      </x:c>
      <x:c r="K977" s="25" t="n">
        <x:v>5</x:v>
      </x:c>
      <x:c r="L977" s="27" t="b">
        <x:v>0</x:v>
      </x:c>
      <x:c r="M977" s="25" t="str">
        <x:v>Feedback-Directed Random Test Generation/rounds/Round2/state/Closure.json</x:v>
      </x:c>
      <x:c r="N977" s="25" t="str">
        <x:v>Feedback-Directed Random Test Generation/Result_Round2/Closure_57/result.json</x:v>
      </x:c>
      <x:c r="O977" s="25" t="str">
        <x:v>Feedback-Directed Random Test Generation/Result_Round2/Closure_57/result.json</x:v>
      </x:c>
      <x:c r="P977"/>
      <x:c r="Q977" s="21" t="str"/>
      <x:c r="R977" s="21" t="str"/>
      <x:c r="S977" s="21" t="str"/>
      <x:c r="T977" s="17" t="str">
        <x:v>false</x:v>
      </x:c>
      <x:c r="U977" s="17" t="str">
        <x:v>true</x:v>
      </x:c>
      <x:c r="V977" s="17" t="str">
        <x:v>false</x:v>
      </x:c>
    </x:row>
    <x:row r="978" ht="80" customHeight="1">
      <x:c r="A978" s="25" t="str">
        <x:v>Closure</x:v>
      </x:c>
      <x:c r="B978" s="25" t="n">
        <x:v>58</x:v>
      </x:c>
      <x:c r="C978" s="25" t="str">
        <x:v>Round2</x:v>
      </x:c>
      <x:c r="D978" s="25" t="str">
        <x:v>NOT_REVEALING</x:v>
      </x:c>
      <x:c r="E978" s="25" t="str">
        <x:v>N/A</x:v>
      </x:c>
      <x:c r="F978" s="26" t="str">
        <x:v>Same saved validation suite passed on buggy and fixed</x:v>
      </x:c>
      <x:c r="G978" s="25" t="str">
        <x:v>true</x:v>
      </x:c>
      <x:c r="H978" s="25" t="str">
        <x:v>NOT_REVEALING</x:v>
      </x:c>
      <x:c r="I978" s="25" t="str">
        <x:v>PASS</x:v>
      </x:c>
      <x:c r="J978" s="25" t="str">
        <x:v>PASS</x:v>
      </x:c>
      <x:c r="K978" s="25" t="n">
        <x:v>2</x:v>
      </x:c>
      <x:c r="L978" s="27" t="b">
        <x:v>0</x:v>
      </x:c>
      <x:c r="M978" s="25" t="str">
        <x:v>Feedback-Directed Random Test Generation/rounds/Round2/state/Closure.json</x:v>
      </x:c>
      <x:c r="N978" s="25" t="str">
        <x:v>Feedback-Directed Random Test Generation/Result_Round2/Closure_58/result.json</x:v>
      </x:c>
      <x:c r="O978" s="25" t="str">
        <x:v>Feedback-Directed Random Test Generation/Result_Round2/Closure_58/result.json</x:v>
      </x:c>
      <x:c r="P978"/>
      <x:c r="Q978" s="21" t="str"/>
      <x:c r="R978" s="21" t="str"/>
      <x:c r="S978" s="21" t="str"/>
      <x:c r="T978" s="17" t="str">
        <x:v>false</x:v>
      </x:c>
      <x:c r="U978" s="17" t="str">
        <x:v>true</x:v>
      </x:c>
      <x:c r="V978" s="17" t="str">
        <x:v>false</x:v>
      </x:c>
    </x:row>
    <x:row r="979" ht="80" customHeight="1">
      <x:c r="A979" s="25" t="str">
        <x:v>Closure</x:v>
      </x:c>
      <x:c r="B979" s="25" t="n">
        <x:v>59</x:v>
      </x:c>
      <x:c r="C979" s="25" t="str">
        <x:v>Round2</x:v>
      </x:c>
      <x:c r="D979" s="25" t="str">
        <x:v>INCONCLUSIVE</x:v>
      </x:c>
      <x:c r="E979" s="25" t="str">
        <x:v>N/A</x:v>
      </x:c>
      <x:c r="F979" s="26" t="str">
        <x:v>Fixed also failed; assertion failure cannot be attributed to this bug; Assertions failed with measured coverage; paired execution and stage checks determine status</x:v>
      </x:c>
      <x:c r="G979" s="25" t="str">
        <x:v>true</x:v>
      </x:c>
      <x:c r="H979" s="25" t="str">
        <x:v>INCONCLUSIVE</x:v>
      </x:c>
      <x:c r="I979" s="25" t="str">
        <x:v>FAIL</x:v>
      </x:c>
      <x:c r="J979" s="25" t="str">
        <x:v>FAIL</x:v>
      </x:c>
      <x:c r="K979" s="25" t="n">
        <x:v>6</x:v>
      </x:c>
      <x:c r="L979" s="27" t="b">
        <x:v>0</x:v>
      </x:c>
      <x:c r="M979" s="25" t="str">
        <x:v>Feedback-Directed Random Test Generation/rounds/Round2/state/Closure.json</x:v>
      </x:c>
      <x:c r="N979" s="25" t="str">
        <x:v>Feedback-Directed Random Test Generation/Result_Round2/Closure_59/result.json</x:v>
      </x:c>
      <x:c r="O979" s="25" t="str">
        <x:v>Feedback-Directed Random Test Generation/Result_Round2/Closure_59/result.json</x:v>
      </x:c>
      <x:c r="P979"/>
      <x:c r="Q979" s="21" t="str"/>
      <x:c r="R979" s="21" t="str"/>
      <x:c r="S979" s="21" t="str"/>
      <x:c r="T979" s="17" t="str">
        <x:v>false</x:v>
      </x:c>
      <x:c r="U979" s="17" t="str">
        <x:v>true</x:v>
      </x:c>
      <x:c r="V979" s="17" t="str">
        <x:v>false</x:v>
      </x:c>
    </x:row>
    <x:row r="980" ht="80" customHeight="1">
      <x:c r="A980" s="25" t="str">
        <x:v>Closure</x:v>
      </x:c>
      <x:c r="B980" s="25" t="n">
        <x:v>60</x:v>
      </x:c>
      <x:c r="C980" s="25" t="str">
        <x:v>Round2</x:v>
      </x:c>
      <x:c r="D980" s="25" t="str">
        <x:v>NOT_REVEALING</x:v>
      </x:c>
      <x:c r="E980" s="25" t="str">
        <x:v>N/A</x:v>
      </x:c>
      <x:c r="F980" s="26" t="str">
        <x:v>Same saved validation suite passed on buggy and fixed</x:v>
      </x:c>
      <x:c r="G980" s="25" t="str">
        <x:v>true</x:v>
      </x:c>
      <x:c r="H980" s="25" t="str">
        <x:v>NOT_REVEALING</x:v>
      </x:c>
      <x:c r="I980" s="25" t="str">
        <x:v>PASS</x:v>
      </x:c>
      <x:c r="J980" s="25" t="str">
        <x:v>PASS</x:v>
      </x:c>
      <x:c r="K980" s="25" t="n">
        <x:v>6</x:v>
      </x:c>
      <x:c r="L980" s="27" t="b">
        <x:v>0</x:v>
      </x:c>
      <x:c r="M980" s="25" t="str">
        <x:v>Feedback-Directed Random Test Generation/rounds/Round2/state/Closure.json</x:v>
      </x:c>
      <x:c r="N980" s="25" t="str">
        <x:v>Feedback-Directed Random Test Generation/Result_Round2/Closure_60/result.json</x:v>
      </x:c>
      <x:c r="O980" s="25" t="str">
        <x:v>Feedback-Directed Random Test Generation/Result_Round2/Closure_60/result.json</x:v>
      </x:c>
      <x:c r="P980"/>
      <x:c r="Q980" s="21" t="str"/>
      <x:c r="R980" s="21" t="str"/>
      <x:c r="S980" s="21" t="str"/>
      <x:c r="T980" s="17" t="str">
        <x:v>false</x:v>
      </x:c>
      <x:c r="U980" s="17" t="str">
        <x:v>true</x:v>
      </x:c>
      <x:c r="V980" s="17" t="str">
        <x:v>false</x:v>
      </x:c>
    </x:row>
    <x:row r="981" ht="80" customHeight="1">
      <x:c r="A981" s="25" t="str">
        <x:v>Closure</x:v>
      </x:c>
      <x:c r="B981" s="25" t="n">
        <x:v>61</x:v>
      </x:c>
      <x:c r="C981" s="25" t="str">
        <x:v>Round2</x:v>
      </x:c>
      <x:c r="D981" s="25" t="str">
        <x:v>NOT_REVEALING</x:v>
      </x:c>
      <x:c r="E981" s="25" t="str">
        <x:v>N/A</x:v>
      </x:c>
      <x:c r="F981" s="26" t="str">
        <x:v>Same saved validation suite passed on buggy and fixed</x:v>
      </x:c>
      <x:c r="G981" s="25" t="str">
        <x:v>true</x:v>
      </x:c>
      <x:c r="H981" s="25" t="str">
        <x:v>NOT_REVEALING</x:v>
      </x:c>
      <x:c r="I981" s="25" t="str">
        <x:v>PASS</x:v>
      </x:c>
      <x:c r="J981" s="25" t="str">
        <x:v>PASS</x:v>
      </x:c>
      <x:c r="K981" s="25" t="n">
        <x:v>6</x:v>
      </x:c>
      <x:c r="L981" s="27" t="b">
        <x:v>0</x:v>
      </x:c>
      <x:c r="M981" s="25" t="str">
        <x:v>Feedback-Directed Random Test Generation/rounds/Round2/state/Closure.json</x:v>
      </x:c>
      <x:c r="N981" s="25" t="str">
        <x:v>Feedback-Directed Random Test Generation/Result_Round2/Closure_61/result.json</x:v>
      </x:c>
      <x:c r="O981" s="25" t="str">
        <x:v>Feedback-Directed Random Test Generation/Result_Round2/Closure_61/result.json</x:v>
      </x:c>
      <x:c r="P981"/>
      <x:c r="Q981" s="21" t="str"/>
      <x:c r="R981" s="21" t="str"/>
      <x:c r="S981" s="21" t="str"/>
      <x:c r="T981" s="17" t="str">
        <x:v>false</x:v>
      </x:c>
      <x:c r="U981" s="17" t="str">
        <x:v>true</x:v>
      </x:c>
      <x:c r="V981" s="17" t="str">
        <x:v>false</x:v>
      </x:c>
    </x:row>
    <x:row r="982" ht="80" customHeight="1">
      <x:c r="A982" s="25" t="str">
        <x:v>Closure</x:v>
      </x:c>
      <x:c r="B982" s="25" t="n">
        <x:v>62</x:v>
      </x:c>
      <x:c r="C982" s="25" t="str">
        <x:v>Round2</x:v>
      </x:c>
      <x:c r="D982" s="25" t="str">
        <x:v>NOT_REVEALING</x:v>
      </x:c>
      <x:c r="E982" s="25" t="str">
        <x:v>N/A</x:v>
      </x:c>
      <x:c r="F982" s="26" t="str">
        <x:v>Same saved validation suite passed on buggy and fixed</x:v>
      </x:c>
      <x:c r="G982" s="25" t="str">
        <x:v>true</x:v>
      </x:c>
      <x:c r="H982" s="25" t="str">
        <x:v>NOT_REVEALING</x:v>
      </x:c>
      <x:c r="I982" s="25" t="str">
        <x:v>PASS</x:v>
      </x:c>
      <x:c r="J982" s="25" t="str">
        <x:v>PASS</x:v>
      </x:c>
      <x:c r="K982" s="25" t="n">
        <x:v>5</x:v>
      </x:c>
      <x:c r="L982" s="27" t="b">
        <x:v>0</x:v>
      </x:c>
      <x:c r="M982" s="25" t="str">
        <x:v>Feedback-Directed Random Test Generation/rounds/Round2/state/Closure.json</x:v>
      </x:c>
      <x:c r="N982" s="25" t="str">
        <x:v>Feedback-Directed Random Test Generation/Result_Round2/Closure_62/result.json</x:v>
      </x:c>
      <x:c r="O982" s="25" t="str">
        <x:v>Feedback-Directed Random Test Generation/Result_Round2/Closure_62/result.json</x:v>
      </x:c>
      <x:c r="P982"/>
      <x:c r="Q982" s="21" t="str"/>
      <x:c r="R982" s="21" t="str"/>
      <x:c r="S982" s="21" t="str"/>
      <x:c r="T982" s="17" t="str">
        <x:v>false</x:v>
      </x:c>
      <x:c r="U982" s="17" t="str">
        <x:v>true</x:v>
      </x:c>
      <x:c r="V982" s="17" t="str">
        <x:v>false</x:v>
      </x:c>
    </x:row>
    <x:row r="983" ht="80" customHeight="1">
      <x:c r="A983" s="25" t="str">
        <x:v>Closure</x:v>
      </x:c>
      <x:c r="B983" s="25" t="n">
        <x:v>64</x:v>
      </x:c>
      <x:c r="C983" s="25" t="str">
        <x:v>Round2</x:v>
      </x:c>
      <x:c r="D983" s="25" t="str">
        <x:v>INCONCLUSIVE</x:v>
      </x:c>
      <x:c r="E983" s="25" t="str">
        <x:v>N/A</x:v>
      </x:c>
      <x:c r="F983" s="26" t="str">
        <x:v>Fixed also failed; assertion failure cannot be attributed to this bug; Assertions failed with measured coverage; paired execution and stage checks determine status</x:v>
      </x:c>
      <x:c r="G983" s="25" t="str">
        <x:v>true</x:v>
      </x:c>
      <x:c r="H983" s="25" t="str">
        <x:v>INCONCLUSIVE</x:v>
      </x:c>
      <x:c r="I983" s="25" t="str">
        <x:v>FAIL</x:v>
      </x:c>
      <x:c r="J983" s="25" t="str">
        <x:v>FAIL</x:v>
      </x:c>
      <x:c r="K983" s="25" t="n">
        <x:v>7</x:v>
      </x:c>
      <x:c r="L983" s="27" t="b">
        <x:v>0</x:v>
      </x:c>
      <x:c r="M983" s="25" t="str">
        <x:v>Feedback-Directed Random Test Generation/rounds/Round2/state/Closure.json</x:v>
      </x:c>
      <x:c r="N983" s="25" t="str">
        <x:v>Feedback-Directed Random Test Generation/Result_Round2/Closure_64/result.json</x:v>
      </x:c>
      <x:c r="O983" s="25" t="str">
        <x:v>Feedback-Directed Random Test Generation/Result_Round2/Closure_64/result.json</x:v>
      </x:c>
      <x:c r="P983"/>
      <x:c r="Q983" s="21" t="str"/>
      <x:c r="R983" s="21" t="str"/>
      <x:c r="S983" s="21" t="str"/>
      <x:c r="T983" s="17" t="str">
        <x:v>false</x:v>
      </x:c>
      <x:c r="U983" s="17" t="str">
        <x:v>true</x:v>
      </x:c>
      <x:c r="V983" s="17" t="str">
        <x:v>false</x:v>
      </x:c>
    </x:row>
    <x:row r="984" ht="80" customHeight="1">
      <x:c r="A984" s="25" t="str">
        <x:v>Closure</x:v>
      </x:c>
      <x:c r="B984" s="25" t="n">
        <x:v>65</x:v>
      </x:c>
      <x:c r="C984" s="25" t="str">
        <x:v>Round2</x:v>
      </x:c>
      <x:c r="D984" s="25" t="str">
        <x:v>NOT_REVEALING</x:v>
      </x:c>
      <x:c r="E984" s="25" t="str">
        <x:v>N/A</x:v>
      </x:c>
      <x:c r="F984" s="26" t="str">
        <x:v>Same saved validation suite passed on buggy and fixed</x:v>
      </x:c>
      <x:c r="G984" s="25" t="str">
        <x:v>true</x:v>
      </x:c>
      <x:c r="H984" s="25" t="str">
        <x:v>NOT_REVEALING</x:v>
      </x:c>
      <x:c r="I984" s="25" t="str">
        <x:v>PASS</x:v>
      </x:c>
      <x:c r="J984" s="25" t="str">
        <x:v>PASS</x:v>
      </x:c>
      <x:c r="K984" s="25" t="n">
        <x:v>6</x:v>
      </x:c>
      <x:c r="L984" s="27" t="b">
        <x:v>0</x:v>
      </x:c>
      <x:c r="M984" s="25" t="str">
        <x:v>Feedback-Directed Random Test Generation/rounds/Round2/state/Closure.json</x:v>
      </x:c>
      <x:c r="N984" s="25" t="str">
        <x:v>Feedback-Directed Random Test Generation/Result_Round2/Closure_65/result.json</x:v>
      </x:c>
      <x:c r="O984" s="25" t="str">
        <x:v>Feedback-Directed Random Test Generation/Result_Round2/Closure_65/result.json</x:v>
      </x:c>
      <x:c r="P984"/>
      <x:c r="Q984" s="21" t="str"/>
      <x:c r="R984" s="21" t="str"/>
      <x:c r="S984" s="21" t="str"/>
      <x:c r="T984" s="17" t="str">
        <x:v>false</x:v>
      </x:c>
      <x:c r="U984" s="17" t="str">
        <x:v>true</x:v>
      </x:c>
      <x:c r="V984" s="17" t="str">
        <x:v>false</x:v>
      </x:c>
    </x:row>
    <x:row r="985" ht="80" customHeight="1">
      <x:c r="A985" s="25" t="str">
        <x:v>Closure</x:v>
      </x:c>
      <x:c r="B985" s="25" t="n">
        <x:v>66</x:v>
      </x:c>
      <x:c r="C985" s="25" t="str">
        <x:v>Round2</x:v>
      </x:c>
      <x:c r="D985" s="25" t="str">
        <x:v>NOT_REVEALING</x:v>
      </x:c>
      <x:c r="E985" s="25" t="str">
        <x:v>N/A</x:v>
      </x:c>
      <x:c r="F985" s="26" t="str">
        <x:v>Same saved validation suite passed on buggy and fixed</x:v>
      </x:c>
      <x:c r="G985" s="25" t="str">
        <x:v>true</x:v>
      </x:c>
      <x:c r="H985" s="25" t="str">
        <x:v>NOT_REVEALING</x:v>
      </x:c>
      <x:c r="I985" s="25" t="str">
        <x:v>PASS</x:v>
      </x:c>
      <x:c r="J985" s="25" t="str">
        <x:v>PASS</x:v>
      </x:c>
      <x:c r="K985" s="25" t="n">
        <x:v>2</x:v>
      </x:c>
      <x:c r="L985" s="27" t="b">
        <x:v>0</x:v>
      </x:c>
      <x:c r="M985" s="25" t="str">
        <x:v>Feedback-Directed Random Test Generation/rounds/Round2/state/Closure.json</x:v>
      </x:c>
      <x:c r="N985" s="25" t="str">
        <x:v>Feedback-Directed Random Test Generation/Result_Round2/Closure_66/result.json</x:v>
      </x:c>
      <x:c r="O985" s="25" t="str">
        <x:v>Feedback-Directed Random Test Generation/Result_Round2/Closure_66/result.json</x:v>
      </x:c>
      <x:c r="P985"/>
      <x:c r="Q985" s="21" t="str"/>
      <x:c r="R985" s="21" t="str"/>
      <x:c r="S985" s="21" t="str"/>
      <x:c r="T985" s="17" t="str">
        <x:v>false</x:v>
      </x:c>
      <x:c r="U985" s="17" t="str">
        <x:v>true</x:v>
      </x:c>
      <x:c r="V985" s="17" t="str">
        <x:v>false</x:v>
      </x:c>
    </x:row>
    <x:row r="986" ht="80" customHeight="1">
      <x:c r="A986" s="25" t="str">
        <x:v>Closure</x:v>
      </x:c>
      <x:c r="B986" s="25" t="n">
        <x:v>67</x:v>
      </x:c>
      <x:c r="C986" s="25" t="str">
        <x:v>Round2</x:v>
      </x:c>
      <x:c r="D986" s="25" t="str">
        <x:v>NOT_REVEALING</x:v>
      </x:c>
      <x:c r="E986" s="25" t="str">
        <x:v>N/A</x:v>
      </x:c>
      <x:c r="F986" s="26" t="str">
        <x:v>Same saved validation suite passed on buggy and fixed</x:v>
      </x:c>
      <x:c r="G986" s="25" t="str">
        <x:v>true</x:v>
      </x:c>
      <x:c r="H986" s="25" t="str">
        <x:v>NOT_REVEALING</x:v>
      </x:c>
      <x:c r="I986" s="25" t="str">
        <x:v>PASS</x:v>
      </x:c>
      <x:c r="J986" s="25" t="str">
        <x:v>PASS</x:v>
      </x:c>
      <x:c r="K986" s="25" t="n">
        <x:v>4</x:v>
      </x:c>
      <x:c r="L986" s="27" t="b">
        <x:v>0</x:v>
      </x:c>
      <x:c r="M986" s="25" t="str">
        <x:v>Feedback-Directed Random Test Generation/rounds/Round2/state/Closure.json</x:v>
      </x:c>
      <x:c r="N986" s="25" t="str">
        <x:v>Feedback-Directed Random Test Generation/Result_Round2/Closure_67/result.json</x:v>
      </x:c>
      <x:c r="O986" s="25" t="str">
        <x:v>Feedback-Directed Random Test Generation/Result_Round2/Closure_67/result.json</x:v>
      </x:c>
      <x:c r="P986"/>
      <x:c r="Q986" s="21" t="str"/>
      <x:c r="R986" s="21" t="str"/>
      <x:c r="S986" s="21" t="str"/>
      <x:c r="T986" s="17" t="str">
        <x:v>false</x:v>
      </x:c>
      <x:c r="U986" s="17" t="str">
        <x:v>true</x:v>
      </x:c>
      <x:c r="V986" s="17" t="str">
        <x:v>false</x:v>
      </x:c>
    </x:row>
    <x:row r="987" ht="80" customHeight="1">
      <x:c r="A987" s="25" t="str">
        <x:v>Closure</x:v>
      </x:c>
      <x:c r="B987" s="25" t="n">
        <x:v>68</x:v>
      </x:c>
      <x:c r="C987" s="25" t="str">
        <x:v>Round2</x:v>
      </x:c>
      <x:c r="D987" s="25" t="str">
        <x:v>NOT_REVEALING</x:v>
      </x:c>
      <x:c r="E987" s="25" t="str">
        <x:v>N/A</x:v>
      </x:c>
      <x:c r="F987" s="26" t="str">
        <x:v>Same saved validation suite passed on buggy and fixed</x:v>
      </x:c>
      <x:c r="G987" s="25" t="str">
        <x:v>true</x:v>
      </x:c>
      <x:c r="H987" s="25" t="str">
        <x:v>NOT_REVEALING</x:v>
      </x:c>
      <x:c r="I987" s="25" t="str">
        <x:v>PASS</x:v>
      </x:c>
      <x:c r="J987" s="25" t="str">
        <x:v>PASS</x:v>
      </x:c>
      <x:c r="K987" s="25" t="n">
        <x:v>2</x:v>
      </x:c>
      <x:c r="L987" s="27" t="b">
        <x:v>0</x:v>
      </x:c>
      <x:c r="M987" s="25" t="str">
        <x:v>Feedback-Directed Random Test Generation/rounds/Round2/state/Closure.json</x:v>
      </x:c>
      <x:c r="N987" s="25" t="str">
        <x:v>Feedback-Directed Random Test Generation/Result_Round2/Closure_68/result.json</x:v>
      </x:c>
      <x:c r="O987" s="25" t="str">
        <x:v>Feedback-Directed Random Test Generation/Result_Round2/Closure_68/result.json</x:v>
      </x:c>
      <x:c r="P987"/>
      <x:c r="Q987" s="21" t="str"/>
      <x:c r="R987" s="21" t="str"/>
      <x:c r="S987" s="21" t="str"/>
      <x:c r="T987" s="17" t="str">
        <x:v>false</x:v>
      </x:c>
      <x:c r="U987" s="17" t="str">
        <x:v>true</x:v>
      </x:c>
      <x:c r="V987" s="17" t="str">
        <x:v>false</x:v>
      </x:c>
    </x:row>
    <x:row r="988" ht="80" customHeight="1">
      <x:c r="A988" s="25" t="str">
        <x:v>Closure</x:v>
      </x:c>
      <x:c r="B988" s="25" t="n">
        <x:v>69</x:v>
      </x:c>
      <x:c r="C988" s="25" t="str">
        <x:v>Round2</x:v>
      </x:c>
      <x:c r="D988" s="25" t="str">
        <x:v>NOT_REVEALING</x:v>
      </x:c>
      <x:c r="E988" s="25" t="str">
        <x:v>N/A</x:v>
      </x:c>
      <x:c r="F988" s="26" t="str">
        <x:v>Same saved validation suite passed on buggy and fixed</x:v>
      </x:c>
      <x:c r="G988" s="25" t="str">
        <x:v>true</x:v>
      </x:c>
      <x:c r="H988" s="25" t="str">
        <x:v>NOT_REVEALING</x:v>
      </x:c>
      <x:c r="I988" s="25" t="str">
        <x:v>PASS</x:v>
      </x:c>
      <x:c r="J988" s="25" t="str">
        <x:v>PASS</x:v>
      </x:c>
      <x:c r="K988" s="25" t="n">
        <x:v>2</x:v>
      </x:c>
      <x:c r="L988" s="27" t="b">
        <x:v>0</x:v>
      </x:c>
      <x:c r="M988" s="25" t="str">
        <x:v>Feedback-Directed Random Test Generation/rounds/Round2/state/Closure.json</x:v>
      </x:c>
      <x:c r="N988" s="25" t="str">
        <x:v>Feedback-Directed Random Test Generation/Result_Round2/Closure_69/result.json</x:v>
      </x:c>
      <x:c r="O988" s="25" t="str">
        <x:v>Feedback-Directed Random Test Generation/Result_Round2/Closure_69/result.json</x:v>
      </x:c>
      <x:c r="P988"/>
      <x:c r="Q988" s="21" t="str"/>
      <x:c r="R988" s="21" t="str"/>
      <x:c r="S988" s="21" t="str"/>
      <x:c r="T988" s="17" t="str">
        <x:v>false</x:v>
      </x:c>
      <x:c r="U988" s="17" t="str">
        <x:v>true</x:v>
      </x:c>
      <x:c r="V988" s="17" t="str">
        <x:v>false</x:v>
      </x:c>
    </x:row>
    <x:row r="989" ht="80" customHeight="1">
      <x:c r="A989" s="25" t="str">
        <x:v>Closure</x:v>
      </x:c>
      <x:c r="B989" s="25" t="n">
        <x:v>70</x:v>
      </x:c>
      <x:c r="C989" s="25" t="str">
        <x:v>Round2</x:v>
      </x:c>
      <x:c r="D989" s="25" t="str">
        <x:v>NOT_REVEALING</x:v>
      </x:c>
      <x:c r="E989" s="25" t="str">
        <x:v>N/A</x:v>
      </x:c>
      <x:c r="F989" s="26" t="str">
        <x:v>Same saved validation suite passed on buggy and fixed</x:v>
      </x:c>
      <x:c r="G989" s="25" t="str">
        <x:v>true</x:v>
      </x:c>
      <x:c r="H989" s="25" t="str">
        <x:v>NOT_REVEALING</x:v>
      </x:c>
      <x:c r="I989" s="25" t="str">
        <x:v>PASS</x:v>
      </x:c>
      <x:c r="J989" s="25" t="str">
        <x:v>PASS</x:v>
      </x:c>
      <x:c r="K989" s="25" t="n">
        <x:v>2</x:v>
      </x:c>
      <x:c r="L989" s="27" t="b">
        <x:v>0</x:v>
      </x:c>
      <x:c r="M989" s="25" t="str">
        <x:v>Feedback-Directed Random Test Generation/rounds/Round2/state/Closure.json</x:v>
      </x:c>
      <x:c r="N989" s="25" t="str">
        <x:v>Feedback-Directed Random Test Generation/Result_Round2/Closure_70/result.json</x:v>
      </x:c>
      <x:c r="O989" s="25" t="str">
        <x:v>Feedback-Directed Random Test Generation/Result_Round2/Closure_70/result.json</x:v>
      </x:c>
      <x:c r="P989"/>
      <x:c r="Q989" s="21" t="str"/>
      <x:c r="R989" s="21" t="str"/>
      <x:c r="S989" s="21" t="str"/>
      <x:c r="T989" s="17" t="str">
        <x:v>false</x:v>
      </x:c>
      <x:c r="U989" s="17" t="str">
        <x:v>true</x:v>
      </x:c>
      <x:c r="V989" s="17" t="str">
        <x:v>false</x:v>
      </x:c>
    </x:row>
    <x:row r="990" ht="80" customHeight="1">
      <x:c r="A990" s="25" t="str">
        <x:v>Closure</x:v>
      </x:c>
      <x:c r="B990" s="25" t="n">
        <x:v>71</x:v>
      </x:c>
      <x:c r="C990" s="25" t="str">
        <x:v>Round2</x:v>
      </x:c>
      <x:c r="D990" s="25" t="str">
        <x:v>NOT_REVEALING</x:v>
      </x:c>
      <x:c r="E990" s="25" t="str">
        <x:v>N/A</x:v>
      </x:c>
      <x:c r="F990" s="26" t="str">
        <x:v>Same saved validation suite passed on buggy and fixed</x:v>
      </x:c>
      <x:c r="G990" s="25" t="str">
        <x:v>true</x:v>
      </x:c>
      <x:c r="H990" s="25" t="str">
        <x:v>NOT_REVEALING</x:v>
      </x:c>
      <x:c r="I990" s="25" t="str">
        <x:v>PASS</x:v>
      </x:c>
      <x:c r="J990" s="25" t="str">
        <x:v>PASS</x:v>
      </x:c>
      <x:c r="K990" s="25" t="n">
        <x:v>2</x:v>
      </x:c>
      <x:c r="L990" s="27" t="b">
        <x:v>0</x:v>
      </x:c>
      <x:c r="M990" s="25" t="str">
        <x:v>Feedback-Directed Random Test Generation/rounds/Round2/state/Closure.json</x:v>
      </x:c>
      <x:c r="N990" s="25" t="str">
        <x:v>Feedback-Directed Random Test Generation/Result_Round2/Closure_71/result.json</x:v>
      </x:c>
      <x:c r="O990" s="25" t="str">
        <x:v>Feedback-Directed Random Test Generation/Result_Round2/Closure_71/result.json</x:v>
      </x:c>
      <x:c r="P990"/>
      <x:c r="Q990" s="21" t="str"/>
      <x:c r="R990" s="21" t="str"/>
      <x:c r="S990" s="21" t="str"/>
      <x:c r="T990" s="17" t="str">
        <x:v>false</x:v>
      </x:c>
      <x:c r="U990" s="17" t="str">
        <x:v>true</x:v>
      </x:c>
      <x:c r="V990" s="17" t="str">
        <x:v>false</x:v>
      </x:c>
    </x:row>
    <x:row r="991" ht="80" customHeight="1">
      <x:c r="A991" s="25" t="str">
        <x:v>Closure</x:v>
      </x:c>
      <x:c r="B991" s="25" t="n">
        <x:v>72</x:v>
      </x:c>
      <x:c r="C991" s="25" t="str">
        <x:v>Round2</x:v>
      </x:c>
      <x:c r="D991" s="25" t="str">
        <x:v>NOT_REVEALING</x:v>
      </x:c>
      <x:c r="E991" s="25" t="str">
        <x:v>N/A</x:v>
      </x:c>
      <x:c r="F991" s="26" t="str">
        <x:v>Same saved validation suite passed on buggy and fixed</x:v>
      </x:c>
      <x:c r="G991" s="25" t="str">
        <x:v>true</x:v>
      </x:c>
      <x:c r="H991" s="25" t="str">
        <x:v>NOT_REVEALING</x:v>
      </x:c>
      <x:c r="I991" s="25" t="str">
        <x:v>PASS</x:v>
      </x:c>
      <x:c r="J991" s="25" t="str">
        <x:v>PASS</x:v>
      </x:c>
      <x:c r="K991" s="25" t="n">
        <x:v>4</x:v>
      </x:c>
      <x:c r="L991" s="27" t="b">
        <x:v>0</x:v>
      </x:c>
      <x:c r="M991" s="25" t="str">
        <x:v>Feedback-Directed Random Test Generation/rounds/Round2/state/Closure.json</x:v>
      </x:c>
      <x:c r="N991" s="25" t="str">
        <x:v>Feedback-Directed Random Test Generation/Result_Round2/Closure_72/result.json</x:v>
      </x:c>
      <x:c r="O991" s="25" t="str">
        <x:v>Feedback-Directed Random Test Generation/Result_Round2/Closure_72/result.json</x:v>
      </x:c>
      <x:c r="P991"/>
      <x:c r="Q991" s="21" t="str"/>
      <x:c r="R991" s="21" t="str"/>
      <x:c r="S991" s="21" t="str"/>
      <x:c r="T991" s="17" t="str">
        <x:v>false</x:v>
      </x:c>
      <x:c r="U991" s="17" t="str">
        <x:v>true</x:v>
      </x:c>
      <x:c r="V991" s="17" t="str">
        <x:v>false</x:v>
      </x:c>
    </x:row>
    <x:row r="992" ht="80" customHeight="1">
      <x:c r="A992" s="25" t="str">
        <x:v>Closure</x:v>
      </x:c>
      <x:c r="B992" s="25" t="n">
        <x:v>73</x:v>
      </x:c>
      <x:c r="C992" s="25" t="str">
        <x:v>Round2</x:v>
      </x:c>
      <x:c r="D992" s="25" t="str">
        <x:v>NOT_REVEALING</x:v>
      </x:c>
      <x:c r="E992" s="25" t="str">
        <x:v>N/A</x:v>
      </x:c>
      <x:c r="F992" s="26" t="str">
        <x:v>Same saved validation suite passed on buggy and fixed</x:v>
      </x:c>
      <x:c r="G992" s="25" t="str">
        <x:v>true</x:v>
      </x:c>
      <x:c r="H992" s="25" t="str">
        <x:v>NOT_REVEALING</x:v>
      </x:c>
      <x:c r="I992" s="25" t="str">
        <x:v>PASS</x:v>
      </x:c>
      <x:c r="J992" s="25" t="str">
        <x:v>PASS</x:v>
      </x:c>
      <x:c r="K992" s="25" t="n">
        <x:v>7</x:v>
      </x:c>
      <x:c r="L992" s="27" t="b">
        <x:v>0</x:v>
      </x:c>
      <x:c r="M992" s="25" t="str">
        <x:v>Feedback-Directed Random Test Generation/rounds/Round2/state/Closure.json</x:v>
      </x:c>
      <x:c r="N992" s="25" t="str">
        <x:v>Feedback-Directed Random Test Generation/Result_Round2/Closure_73/result.json</x:v>
      </x:c>
      <x:c r="O992" s="25" t="str">
        <x:v>Feedback-Directed Random Test Generation/Result_Round2/Closure_73/result.json</x:v>
      </x:c>
      <x:c r="P992"/>
      <x:c r="Q992" s="21" t="str"/>
      <x:c r="R992" s="21" t="str"/>
      <x:c r="S992" s="21" t="str"/>
      <x:c r="T992" s="17" t="str">
        <x:v>false</x:v>
      </x:c>
      <x:c r="U992" s="17" t="str">
        <x:v>true</x:v>
      </x:c>
      <x:c r="V992" s="17" t="str">
        <x:v>false</x:v>
      </x:c>
    </x:row>
    <x:row r="993" ht="80" customHeight="1">
      <x:c r="A993" s="25" t="str">
        <x:v>Closure</x:v>
      </x:c>
      <x:c r="B993" s="25" t="n">
        <x:v>74</x:v>
      </x:c>
      <x:c r="C993" s="25" t="str">
        <x:v>Round2</x:v>
      </x:c>
      <x:c r="D993" s="25" t="str">
        <x:v>NOT_REVEALING</x:v>
      </x:c>
      <x:c r="E993" s="25" t="str">
        <x:v>N/A</x:v>
      </x:c>
      <x:c r="F993" s="26" t="str">
        <x:v>Same saved validation suite passed on buggy and fixed</x:v>
      </x:c>
      <x:c r="G993" s="25" t="str">
        <x:v>true</x:v>
      </x:c>
      <x:c r="H993" s="25" t="str">
        <x:v>NOT_REVEALING</x:v>
      </x:c>
      <x:c r="I993" s="25" t="str">
        <x:v>PASS</x:v>
      </x:c>
      <x:c r="J993" s="25" t="str">
        <x:v>PASS</x:v>
      </x:c>
      <x:c r="K993" s="25" t="n">
        <x:v>2</x:v>
      </x:c>
      <x:c r="L993" s="27" t="b">
        <x:v>0</x:v>
      </x:c>
      <x:c r="M993" s="25" t="str">
        <x:v>Feedback-Directed Random Test Generation/rounds/Round2/state/Closure.json</x:v>
      </x:c>
      <x:c r="N993" s="25" t="str">
        <x:v>Feedback-Directed Random Test Generation/Result_Round2/Closure_74/result.json</x:v>
      </x:c>
      <x:c r="O993" s="25" t="str">
        <x:v>Feedback-Directed Random Test Generation/Result_Round2/Closure_74/result.json</x:v>
      </x:c>
      <x:c r="P993"/>
      <x:c r="Q993" s="21" t="str"/>
      <x:c r="R993" s="21" t="str"/>
      <x:c r="S993" s="21" t="str"/>
      <x:c r="T993" s="17" t="str">
        <x:v>false</x:v>
      </x:c>
      <x:c r="U993" s="17" t="str">
        <x:v>true</x:v>
      </x:c>
      <x:c r="V993" s="17" t="str">
        <x:v>false</x:v>
      </x:c>
    </x:row>
    <x:row r="994" ht="80" customHeight="1">
      <x:c r="A994" s="25" t="str">
        <x:v>Closure</x:v>
      </x:c>
      <x:c r="B994" s="25" t="n">
        <x:v>75</x:v>
      </x:c>
      <x:c r="C994" s="25" t="str">
        <x:v>Round2</x:v>
      </x:c>
      <x:c r="D994" s="25" t="str">
        <x:v>NOT_REVEALING</x:v>
      </x:c>
      <x:c r="E994" s="25" t="str">
        <x:v>N/A</x:v>
      </x:c>
      <x:c r="F994" s="26" t="str">
        <x:v>Same saved validation suite passed on buggy and fixed</x:v>
      </x:c>
      <x:c r="G994" s="25" t="str">
        <x:v>true</x:v>
      </x:c>
      <x:c r="H994" s="25" t="str">
        <x:v>NOT_REVEALING</x:v>
      </x:c>
      <x:c r="I994" s="25" t="str">
        <x:v>PASS</x:v>
      </x:c>
      <x:c r="J994" s="25" t="str">
        <x:v>PASS</x:v>
      </x:c>
      <x:c r="K994" s="25" t="n">
        <x:v>6</x:v>
      </x:c>
      <x:c r="L994" s="27" t="b">
        <x:v>0</x:v>
      </x:c>
      <x:c r="M994" s="25" t="str">
        <x:v>Feedback-Directed Random Test Generation/rounds/Round2/state/Closure.json</x:v>
      </x:c>
      <x:c r="N994" s="25" t="str">
        <x:v>Feedback-Directed Random Test Generation/Result_Round2/Closure_75/result.json</x:v>
      </x:c>
      <x:c r="O994" s="25" t="str">
        <x:v>Feedback-Directed Random Test Generation/Result_Round2/Closure_75/result.json</x:v>
      </x:c>
      <x:c r="P994"/>
      <x:c r="Q994" s="21" t="str"/>
      <x:c r="R994" s="21" t="str"/>
      <x:c r="S994" s="21" t="str"/>
      <x:c r="T994" s="17" t="str">
        <x:v>false</x:v>
      </x:c>
      <x:c r="U994" s="17" t="str">
        <x:v>true</x:v>
      </x:c>
      <x:c r="V994" s="17" t="str">
        <x:v>false</x:v>
      </x:c>
    </x:row>
    <x:row r="995" ht="80" customHeight="1">
      <x:c r="A995" s="25" t="str">
        <x:v>Closure</x:v>
      </x:c>
      <x:c r="B995" s="25" t="n">
        <x:v>76</x:v>
      </x:c>
      <x:c r="C995" s="25" t="str">
        <x:v>Round2</x:v>
      </x:c>
      <x:c r="D995" s="25" t="str">
        <x:v>NOT_REVEALING</x:v>
      </x:c>
      <x:c r="E995" s="25" t="str">
        <x:v>N/A</x:v>
      </x:c>
      <x:c r="F995" s="26" t="str">
        <x:v>Same saved validation suite passed on buggy and fixed</x:v>
      </x:c>
      <x:c r="G995" s="25" t="str">
        <x:v>true</x:v>
      </x:c>
      <x:c r="H995" s="25" t="str">
        <x:v>NOT_REVEALING</x:v>
      </x:c>
      <x:c r="I995" s="25" t="str">
        <x:v>PASS</x:v>
      </x:c>
      <x:c r="J995" s="25" t="str">
        <x:v>PASS</x:v>
      </x:c>
      <x:c r="K995" s="25" t="n">
        <x:v>6</x:v>
      </x:c>
      <x:c r="L995" s="27" t="b">
        <x:v>0</x:v>
      </x:c>
      <x:c r="M995" s="25" t="str">
        <x:v>Feedback-Directed Random Test Generation/rounds/Round2/state/Closure.json</x:v>
      </x:c>
      <x:c r="N995" s="25" t="str">
        <x:v>Feedback-Directed Random Test Generation/Result_Round2/Closure_76/result.json</x:v>
      </x:c>
      <x:c r="O995" s="25" t="str">
        <x:v>Feedback-Directed Random Test Generation/Result_Round2/Closure_76/result.json</x:v>
      </x:c>
      <x:c r="P995"/>
      <x:c r="Q995" s="21" t="str"/>
      <x:c r="R995" s="21" t="str"/>
      <x:c r="S995" s="21" t="str"/>
      <x:c r="T995" s="17" t="str">
        <x:v>false</x:v>
      </x:c>
      <x:c r="U995" s="17" t="str">
        <x:v>true</x:v>
      </x:c>
      <x:c r="V995" s="17" t="str">
        <x:v>false</x:v>
      </x:c>
    </x:row>
    <x:row r="996" ht="80" customHeight="1">
      <x:c r="A996" s="25" t="str">
        <x:v>Closure</x:v>
      </x:c>
      <x:c r="B996" s="25" t="n">
        <x:v>77</x:v>
      </x:c>
      <x:c r="C996" s="25" t="str">
        <x:v>Round2</x:v>
      </x:c>
      <x:c r="D996" s="25" t="str">
        <x:v>NOT_REVEALING</x:v>
      </x:c>
      <x:c r="E996" s="25" t="str">
        <x:v>N/A</x:v>
      </x:c>
      <x:c r="F996" s="26" t="str">
        <x:v>Same saved validation suite passed on buggy and fixed</x:v>
      </x:c>
      <x:c r="G996" s="25" t="str">
        <x:v>true</x:v>
      </x:c>
      <x:c r="H996" s="25" t="str">
        <x:v>NOT_REVEALING</x:v>
      </x:c>
      <x:c r="I996" s="25" t="str">
        <x:v>PASS</x:v>
      </x:c>
      <x:c r="J996" s="25" t="str">
        <x:v>PASS</x:v>
      </x:c>
      <x:c r="K996" s="25" t="n">
        <x:v>7</x:v>
      </x:c>
      <x:c r="L996" s="27" t="b">
        <x:v>0</x:v>
      </x:c>
      <x:c r="M996" s="25" t="str">
        <x:v>Feedback-Directed Random Test Generation/rounds/Round2/state/Closure.json</x:v>
      </x:c>
      <x:c r="N996" s="25" t="str">
        <x:v>Feedback-Directed Random Test Generation/Result_Round2/Closure_77/result.json</x:v>
      </x:c>
      <x:c r="O996" s="25" t="str">
        <x:v>Feedback-Directed Random Test Generation/Result_Round2/Closure_77/result.json</x:v>
      </x:c>
      <x:c r="P996"/>
      <x:c r="Q996" s="21" t="str"/>
      <x:c r="R996" s="21" t="str"/>
      <x:c r="S996" s="21" t="str"/>
      <x:c r="T996" s="17" t="str">
        <x:v>false</x:v>
      </x:c>
      <x:c r="U996" s="17" t="str">
        <x:v>true</x:v>
      </x:c>
      <x:c r="V996" s="17" t="str">
        <x:v>false</x:v>
      </x:c>
    </x:row>
    <x:row r="997" ht="80" customHeight="1">
      <x:c r="A997" s="25" t="str">
        <x:v>Closure</x:v>
      </x:c>
      <x:c r="B997" s="25" t="n">
        <x:v>78</x:v>
      </x:c>
      <x:c r="C997" s="25" t="str">
        <x:v>Round2</x:v>
      </x:c>
      <x:c r="D997" s="25" t="str">
        <x:v>NOT_REVEALING</x:v>
      </x:c>
      <x:c r="E997" s="25" t="str">
        <x:v>N/A</x:v>
      </x:c>
      <x:c r="F997" s="26" t="str">
        <x:v>Same saved validation suite passed on buggy and fixed</x:v>
      </x:c>
      <x:c r="G997" s="25" t="str">
        <x:v>true</x:v>
      </x:c>
      <x:c r="H997" s="25" t="str">
        <x:v>NOT_REVEALING</x:v>
      </x:c>
      <x:c r="I997" s="25" t="str">
        <x:v>PASS</x:v>
      </x:c>
      <x:c r="J997" s="25" t="str">
        <x:v>PASS</x:v>
      </x:c>
      <x:c r="K997" s="25" t="n">
        <x:v>2</x:v>
      </x:c>
      <x:c r="L997" s="27" t="b">
        <x:v>0</x:v>
      </x:c>
      <x:c r="M997" s="25" t="str">
        <x:v>Feedback-Directed Random Test Generation/rounds/Round2/state/Closure.json</x:v>
      </x:c>
      <x:c r="N997" s="25" t="str">
        <x:v>Feedback-Directed Random Test Generation/Result_Round2/Closure_78/result.json</x:v>
      </x:c>
      <x:c r="O997" s="25" t="str">
        <x:v>Feedback-Directed Random Test Generation/Result_Round2/Closure_78/result.json</x:v>
      </x:c>
      <x:c r="P997"/>
      <x:c r="Q997" s="21" t="str"/>
      <x:c r="R997" s="21" t="str"/>
      <x:c r="S997" s="21" t="str"/>
      <x:c r="T997" s="17" t="str">
        <x:v>false</x:v>
      </x:c>
      <x:c r="U997" s="17" t="str">
        <x:v>true</x:v>
      </x:c>
      <x:c r="V997" s="17" t="str">
        <x:v>false</x:v>
      </x:c>
    </x:row>
    <x:row r="998" ht="80" customHeight="1">
      <x:c r="A998" s="25" t="str">
        <x:v>Closure</x:v>
      </x:c>
      <x:c r="B998" s="25" t="n">
        <x:v>79</x:v>
      </x:c>
      <x:c r="C998" s="25" t="str">
        <x:v>Round2</x:v>
      </x:c>
      <x:c r="D998" s="25" t="str">
        <x:v>NOT_REVEALING</x:v>
      </x:c>
      <x:c r="E998" s="25" t="str">
        <x:v>N/A</x:v>
      </x:c>
      <x:c r="F998" s="26" t="str">
        <x:v>Same saved validation suite passed on buggy and fixed</x:v>
      </x:c>
      <x:c r="G998" s="25" t="str">
        <x:v>true</x:v>
      </x:c>
      <x:c r="H998" s="25" t="str">
        <x:v>NOT_REVEALING</x:v>
      </x:c>
      <x:c r="I998" s="25" t="str">
        <x:v>PASS</x:v>
      </x:c>
      <x:c r="J998" s="25" t="str">
        <x:v>PASS</x:v>
      </x:c>
      <x:c r="K998" s="25" t="n">
        <x:v>2</x:v>
      </x:c>
      <x:c r="L998" s="27" t="b">
        <x:v>0</x:v>
      </x:c>
      <x:c r="M998" s="25" t="str">
        <x:v>Feedback-Directed Random Test Generation/rounds/Round2/state/Closure.json</x:v>
      </x:c>
      <x:c r="N998" s="25" t="str">
        <x:v>Feedback-Directed Random Test Generation/Result_Round2/Closure_79/result.json</x:v>
      </x:c>
      <x:c r="O998" s="25" t="str">
        <x:v>Feedback-Directed Random Test Generation/Result_Round2/Closure_79/result.json</x:v>
      </x:c>
      <x:c r="P998"/>
      <x:c r="Q998" s="21" t="str"/>
      <x:c r="R998" s="21" t="str"/>
      <x:c r="S998" s="21" t="str"/>
      <x:c r="T998" s="17" t="str">
        <x:v>false</x:v>
      </x:c>
      <x:c r="U998" s="17" t="str">
        <x:v>true</x:v>
      </x:c>
      <x:c r="V998" s="17" t="str">
        <x:v>false</x:v>
      </x:c>
    </x:row>
    <x:row r="999" ht="80" customHeight="1">
      <x:c r="A999" s="25" t="str">
        <x:v>Closure</x:v>
      </x:c>
      <x:c r="B999" s="25" t="n">
        <x:v>80</x:v>
      </x:c>
      <x:c r="C999" s="25" t="str">
        <x:v>Round2</x:v>
      </x:c>
      <x:c r="D999" s="25" t="str">
        <x:v>NOT_REVEALING</x:v>
      </x:c>
      <x:c r="E999" s="25" t="str">
        <x:v>N/A</x:v>
      </x:c>
      <x:c r="F999" s="26" t="str">
        <x:v>Same saved validation suite passed on buggy and fixed</x:v>
      </x:c>
      <x:c r="G999" s="25" t="str">
        <x:v>true</x:v>
      </x:c>
      <x:c r="H999" s="25" t="str">
        <x:v>NOT_REVEALING</x:v>
      </x:c>
      <x:c r="I999" s="25" t="str">
        <x:v>PASS</x:v>
      </x:c>
      <x:c r="J999" s="25" t="str">
        <x:v>PASS</x:v>
      </x:c>
      <x:c r="K999" s="25" t="n">
        <x:v>6</x:v>
      </x:c>
      <x:c r="L999" s="27" t="b">
        <x:v>0</x:v>
      </x:c>
      <x:c r="M999" s="25" t="str">
        <x:v>Feedback-Directed Random Test Generation/rounds/Round2/state/Closure.json</x:v>
      </x:c>
      <x:c r="N999" s="25" t="str">
        <x:v>Feedback-Directed Random Test Generation/Result_Round2/Closure_80/result.json</x:v>
      </x:c>
      <x:c r="O999" s="25" t="str">
        <x:v>Feedback-Directed Random Test Generation/Result_Round2/Closure_80/result.json</x:v>
      </x:c>
      <x:c r="P999"/>
      <x:c r="Q999" s="21" t="str"/>
      <x:c r="R999" s="21" t="str"/>
      <x:c r="S999" s="21" t="str"/>
      <x:c r="T999" s="17" t="str">
        <x:v>false</x:v>
      </x:c>
      <x:c r="U999" s="17" t="str">
        <x:v>true</x:v>
      </x:c>
      <x:c r="V999" s="17" t="str">
        <x:v>false</x:v>
      </x:c>
    </x:row>
    <x:row r="1000" ht="80" customHeight="1">
      <x:c r="A1000" s="25" t="str">
        <x:v>Closure</x:v>
      </x:c>
      <x:c r="B1000" s="25" t="n">
        <x:v>81</x:v>
      </x:c>
      <x:c r="C1000" s="25" t="str">
        <x:v>Round2</x:v>
      </x:c>
      <x:c r="D1000" s="25" t="str">
        <x:v>NOT_REVEALING</x:v>
      </x:c>
      <x:c r="E1000" s="25" t="str">
        <x:v>N/A</x:v>
      </x:c>
      <x:c r="F1000" s="26" t="str">
        <x:v>Same saved validation suite passed on buggy and fixed</x:v>
      </x:c>
      <x:c r="G1000" s="25" t="str">
        <x:v>true</x:v>
      </x:c>
      <x:c r="H1000" s="25" t="str">
        <x:v>NOT_REVEALING</x:v>
      </x:c>
      <x:c r="I1000" s="25" t="str">
        <x:v>PASS</x:v>
      </x:c>
      <x:c r="J1000" s="25" t="str">
        <x:v>PASS</x:v>
      </x:c>
      <x:c r="K1000" s="25" t="n">
        <x:v>2</x:v>
      </x:c>
      <x:c r="L1000" s="27" t="b">
        <x:v>0</x:v>
      </x:c>
      <x:c r="M1000" s="25" t="str">
        <x:v>Feedback-Directed Random Test Generation/rounds/Round2/state/Closure.json</x:v>
      </x:c>
      <x:c r="N1000" s="25" t="str">
        <x:v>Feedback-Directed Random Test Generation/Result_Round2/Closure_81/result.json</x:v>
      </x:c>
      <x:c r="O1000" s="25" t="str">
        <x:v>Feedback-Directed Random Test Generation/Result_Round2/Closure_81/result.json</x:v>
      </x:c>
      <x:c r="P1000"/>
      <x:c r="Q1000" s="21" t="str"/>
      <x:c r="R1000" s="21" t="str"/>
      <x:c r="S1000" s="21" t="str"/>
      <x:c r="T1000" s="17" t="str">
        <x:v>false</x:v>
      </x:c>
      <x:c r="U1000" s="17" t="str">
        <x:v>true</x:v>
      </x:c>
      <x:c r="V1000" s="17" t="str">
        <x:v>false</x:v>
      </x:c>
    </x:row>
    <x:row r="1001" ht="80" customHeight="1">
      <x:c r="A1001" s="25" t="str">
        <x:v>Closure</x:v>
      </x:c>
      <x:c r="B1001" s="25" t="n">
        <x:v>82</x:v>
      </x:c>
      <x:c r="C1001" s="25" t="str">
        <x:v>Round2</x:v>
      </x:c>
      <x:c r="D1001" s="25" t="str">
        <x:v>NOT_REVEALING</x:v>
      </x:c>
      <x:c r="E1001" s="25" t="str">
        <x:v>N/A</x:v>
      </x:c>
      <x:c r="F1001" s="26" t="str">
        <x:v>Same saved validation suite passed on buggy and fixed</x:v>
      </x:c>
      <x:c r="G1001" s="25" t="str">
        <x:v>true</x:v>
      </x:c>
      <x:c r="H1001" s="25" t="str">
        <x:v>NOT_REVEALING</x:v>
      </x:c>
      <x:c r="I1001" s="25" t="str">
        <x:v>PASS</x:v>
      </x:c>
      <x:c r="J1001" s="25" t="str">
        <x:v>PASS</x:v>
      </x:c>
      <x:c r="K1001" s="25" t="n">
        <x:v>9</x:v>
      </x:c>
      <x:c r="L1001" s="27" t="b">
        <x:v>0</x:v>
      </x:c>
      <x:c r="M1001" s="25" t="str">
        <x:v>Feedback-Directed Random Test Generation/rounds/Round2/state/Closure.json</x:v>
      </x:c>
      <x:c r="N1001" s="25" t="str">
        <x:v>Feedback-Directed Random Test Generation/Result_Round2/Closure_82/result.json</x:v>
      </x:c>
      <x:c r="O1001" s="25" t="str">
        <x:v>Feedback-Directed Random Test Generation/Result_Round2/Closure_82/result.json</x:v>
      </x:c>
      <x:c r="P1001"/>
      <x:c r="Q1001" s="21" t="str"/>
      <x:c r="R1001" s="21" t="str"/>
      <x:c r="S1001" s="21" t="str"/>
      <x:c r="T1001" s="17" t="str">
        <x:v>false</x:v>
      </x:c>
      <x:c r="U1001" s="17" t="str">
        <x:v>true</x:v>
      </x:c>
      <x:c r="V1001" s="17" t="str">
        <x:v>false</x:v>
      </x:c>
    </x:row>
    <x:row r="1002" ht="80" customHeight="1">
      <x:c r="A1002" s="25" t="str">
        <x:v>Closure</x:v>
      </x:c>
      <x:c r="B1002" s="25" t="n">
        <x:v>83</x:v>
      </x:c>
      <x:c r="C1002" s="25" t="str">
        <x:v>Round2</x:v>
      </x:c>
      <x:c r="D1002" s="25" t="str">
        <x:v>FAIL</x:v>
      </x:c>
      <x:c r="E1002" s="25" t="str">
        <x:v>N/A</x:v>
      </x:c>
      <x:c r="F1002" s="26" t="str">
        <x:v>Latest same-round generation failed; older files/results are excluded</x:v>
      </x:c>
      <x:c r="G1002" s="25" t="str">
        <x:v>true</x:v>
      </x:c>
      <x:c r="H1002" s="25" t="str">
        <x:v>FAIL</x:v>
      </x:c>
      <x:c r="I1002" s="25"/>
      <x:c r="J1002" s="25"/>
      <x:c r="K1002" s="25" t="n">
        <x:v>0</x:v>
      </x:c>
      <x:c r="L1002" s="27" t="b">
        <x:v>1</x:v>
      </x:c>
      <x:c r="M1002" s="25" t="str">
        <x:v>Feedback-Directed Random Test Generation/rounds/Round2/state/Closure.json</x:v>
      </x:c>
      <x:c r="N1002" s="25"/>
      <x:c r="O1002" s="25" t="str">
        <x:v>Feedback-Directed Random Test Generation/Result_Round2/Closure_83/result.json</x:v>
      </x:c>
      <x:c r="P1002"/>
      <x:c r="Q1002" s="21" t="str"/>
      <x:c r="R1002" s="21" t="str"/>
      <x:c r="S1002" s="21" t="str"/>
      <x:c r="T1002" s="17" t="str">
        <x:v>false</x:v>
      </x:c>
      <x:c r="U1002" s="17" t="str">
        <x:v>false</x:v>
      </x:c>
      <x:c r="V1002" s="17" t="str">
        <x:v>false</x:v>
      </x:c>
    </x:row>
    <x:row r="1003" ht="80" customHeight="1">
      <x:c r="A1003" s="25" t="str">
        <x:v>Closure</x:v>
      </x:c>
      <x:c r="B1003" s="25" t="n">
        <x:v>84</x:v>
      </x:c>
      <x:c r="C1003" s="25" t="str">
        <x:v>Round2</x:v>
      </x:c>
      <x:c r="D1003" s="25" t="str">
        <x:v>NOT_REVEALING</x:v>
      </x:c>
      <x:c r="E1003" s="25" t="str">
        <x:v>N/A</x:v>
      </x:c>
      <x:c r="F1003" s="26" t="str">
        <x:v>Same saved validation suite passed on buggy and fixed</x:v>
      </x:c>
      <x:c r="G1003" s="25" t="str">
        <x:v>true</x:v>
      </x:c>
      <x:c r="H1003" s="25" t="str">
        <x:v>NOT_REVEALING</x:v>
      </x:c>
      <x:c r="I1003" s="25" t="str">
        <x:v>PASS</x:v>
      </x:c>
      <x:c r="J1003" s="25" t="str">
        <x:v>PASS</x:v>
      </x:c>
      <x:c r="K1003" s="25" t="n">
        <x:v>2</x:v>
      </x:c>
      <x:c r="L1003" s="27" t="b">
        <x:v>0</x:v>
      </x:c>
      <x:c r="M1003" s="25" t="str">
        <x:v>Feedback-Directed Random Test Generation/rounds/Round2/state/Closure.json</x:v>
      </x:c>
      <x:c r="N1003" s="25" t="str">
        <x:v>Feedback-Directed Random Test Generation/Result_Round2/Closure_84/result.json</x:v>
      </x:c>
      <x:c r="O1003" s="25" t="str">
        <x:v>Feedback-Directed Random Test Generation/Result_Round2/Closure_84/result.json</x:v>
      </x:c>
      <x:c r="P1003"/>
      <x:c r="Q1003" s="21" t="str"/>
      <x:c r="R1003" s="21" t="str"/>
      <x:c r="S1003" s="21" t="str"/>
      <x:c r="T1003" s="17" t="str">
        <x:v>false</x:v>
      </x:c>
      <x:c r="U1003" s="17" t="str">
        <x:v>true</x:v>
      </x:c>
      <x:c r="V1003" s="17" t="str">
        <x:v>false</x:v>
      </x:c>
    </x:row>
    <x:row r="1004" ht="80" customHeight="1">
      <x:c r="A1004" s="25" t="str">
        <x:v>Closure</x:v>
      </x:c>
      <x:c r="B1004" s="25" t="n">
        <x:v>85</x:v>
      </x:c>
      <x:c r="C1004" s="25" t="str">
        <x:v>Round2</x:v>
      </x:c>
      <x:c r="D1004" s="25" t="str">
        <x:v>NOT_REVEALING</x:v>
      </x:c>
      <x:c r="E1004" s="25" t="str">
        <x:v>N/A</x:v>
      </x:c>
      <x:c r="F1004" s="26" t="str">
        <x:v>Same saved validation suite passed on buggy and fixed</x:v>
      </x:c>
      <x:c r="G1004" s="25" t="str">
        <x:v>true</x:v>
      </x:c>
      <x:c r="H1004" s="25" t="str">
        <x:v>NOT_REVEALING</x:v>
      </x:c>
      <x:c r="I1004" s="25" t="str">
        <x:v>PASS</x:v>
      </x:c>
      <x:c r="J1004" s="25" t="str">
        <x:v>PASS</x:v>
      </x:c>
      <x:c r="K1004" s="25" t="n">
        <x:v>5</x:v>
      </x:c>
      <x:c r="L1004" s="27" t="b">
        <x:v>0</x:v>
      </x:c>
      <x:c r="M1004" s="25" t="str">
        <x:v>Feedback-Directed Random Test Generation/rounds/Round2/state/Closure.json</x:v>
      </x:c>
      <x:c r="N1004" s="25" t="str">
        <x:v>Feedback-Directed Random Test Generation/Result_Round2/Closure_85/result.json</x:v>
      </x:c>
      <x:c r="O1004" s="25" t="str">
        <x:v>Feedback-Directed Random Test Generation/Result_Round2/Closure_85/result.json</x:v>
      </x:c>
      <x:c r="P1004"/>
      <x:c r="Q1004" s="21" t="str"/>
      <x:c r="R1004" s="21" t="str"/>
      <x:c r="S1004" s="21" t="str"/>
      <x:c r="T1004" s="17" t="str">
        <x:v>false</x:v>
      </x:c>
      <x:c r="U1004" s="17" t="str">
        <x:v>true</x:v>
      </x:c>
      <x:c r="V1004" s="17" t="str">
        <x:v>false</x:v>
      </x:c>
    </x:row>
    <x:row r="1005" ht="80" customHeight="1">
      <x:c r="A1005" s="25" t="str">
        <x:v>Closure</x:v>
      </x:c>
      <x:c r="B1005" s="25" t="n">
        <x:v>86</x:v>
      </x:c>
      <x:c r="C1005" s="25" t="str">
        <x:v>Round2</x:v>
      </x:c>
      <x:c r="D1005" s="25" t="str">
        <x:v>NOT_REVEALING</x:v>
      </x:c>
      <x:c r="E1005" s="25" t="str">
        <x:v>N/A</x:v>
      </x:c>
      <x:c r="F1005" s="26" t="str">
        <x:v>Same saved validation suite passed on buggy and fixed</x:v>
      </x:c>
      <x:c r="G1005" s="25" t="str">
        <x:v>true</x:v>
      </x:c>
      <x:c r="H1005" s="25" t="str">
        <x:v>NOT_REVEALING</x:v>
      </x:c>
      <x:c r="I1005" s="25" t="str">
        <x:v>PASS</x:v>
      </x:c>
      <x:c r="J1005" s="25" t="str">
        <x:v>PASS</x:v>
      </x:c>
      <x:c r="K1005" s="25" t="n">
        <x:v>6</x:v>
      </x:c>
      <x:c r="L1005" s="27" t="b">
        <x:v>0</x:v>
      </x:c>
      <x:c r="M1005" s="25" t="str">
        <x:v>Feedback-Directed Random Test Generation/rounds/Round2/state/Closure.json</x:v>
      </x:c>
      <x:c r="N1005" s="25" t="str">
        <x:v>Feedback-Directed Random Test Generation/Result_Round2/Closure_86/result.json</x:v>
      </x:c>
      <x:c r="O1005" s="25" t="str">
        <x:v>Feedback-Directed Random Test Generation/Result_Round2/Closure_86/result.json</x:v>
      </x:c>
      <x:c r="P1005"/>
      <x:c r="Q1005" s="21" t="str"/>
      <x:c r="R1005" s="21" t="str"/>
      <x:c r="S1005" s="21" t="str"/>
      <x:c r="T1005" s="17" t="str">
        <x:v>false</x:v>
      </x:c>
      <x:c r="U1005" s="17" t="str">
        <x:v>true</x:v>
      </x:c>
      <x:c r="V1005" s="17" t="str">
        <x:v>false</x:v>
      </x:c>
    </x:row>
    <x:row r="1006" ht="80" customHeight="1">
      <x:c r="A1006" s="25" t="str">
        <x:v>Closure</x:v>
      </x:c>
      <x:c r="B1006" s="25" t="n">
        <x:v>87</x:v>
      </x:c>
      <x:c r="C1006" s="25" t="str">
        <x:v>Round2</x:v>
      </x:c>
      <x:c r="D1006" s="25" t="str">
        <x:v>NOT_REVEALING</x:v>
      </x:c>
      <x:c r="E1006" s="25" t="str">
        <x:v>N/A</x:v>
      </x:c>
      <x:c r="F1006" s="26" t="str">
        <x:v>Same saved validation suite passed on buggy and fixed</x:v>
      </x:c>
      <x:c r="G1006" s="25" t="str">
        <x:v>true</x:v>
      </x:c>
      <x:c r="H1006" s="25" t="str">
        <x:v>NOT_REVEALING</x:v>
      </x:c>
      <x:c r="I1006" s="25" t="str">
        <x:v>PASS</x:v>
      </x:c>
      <x:c r="J1006" s="25" t="str">
        <x:v>PASS</x:v>
      </x:c>
      <x:c r="K1006" s="25" t="n">
        <x:v>2</x:v>
      </x:c>
      <x:c r="L1006" s="27" t="b">
        <x:v>0</x:v>
      </x:c>
      <x:c r="M1006" s="25" t="str">
        <x:v>Feedback-Directed Random Test Generation/rounds/Round2/state/Closure.json</x:v>
      </x:c>
      <x:c r="N1006" s="25" t="str">
        <x:v>Feedback-Directed Random Test Generation/Result_Round2/Closure_87/result.json</x:v>
      </x:c>
      <x:c r="O1006" s="25" t="str">
        <x:v>Feedback-Directed Random Test Generation/Result_Round2/Closure_87/result.json</x:v>
      </x:c>
      <x:c r="P1006"/>
      <x:c r="Q1006" s="21" t="str"/>
      <x:c r="R1006" s="21" t="str"/>
      <x:c r="S1006" s="21" t="str"/>
      <x:c r="T1006" s="17" t="str">
        <x:v>false</x:v>
      </x:c>
      <x:c r="U1006" s="17" t="str">
        <x:v>true</x:v>
      </x:c>
      <x:c r="V1006" s="17" t="str">
        <x:v>false</x:v>
      </x:c>
    </x:row>
    <x:row r="1007" ht="80" customHeight="1">
      <x:c r="A1007" s="25" t="str">
        <x:v>Closure</x:v>
      </x:c>
      <x:c r="B1007" s="25" t="n">
        <x:v>88</x:v>
      </x:c>
      <x:c r="C1007" s="25" t="str">
        <x:v>Round2</x:v>
      </x:c>
      <x:c r="D1007" s="25" t="str">
        <x:v>NOT_REVEALING</x:v>
      </x:c>
      <x:c r="E1007" s="25" t="str">
        <x:v>N/A</x:v>
      </x:c>
      <x:c r="F1007" s="26" t="str">
        <x:v>Same saved validation suite passed on buggy and fixed</x:v>
      </x:c>
      <x:c r="G1007" s="25" t="str">
        <x:v>true</x:v>
      </x:c>
      <x:c r="H1007" s="25" t="str">
        <x:v>NOT_REVEALING</x:v>
      </x:c>
      <x:c r="I1007" s="25" t="str">
        <x:v>PASS</x:v>
      </x:c>
      <x:c r="J1007" s="25" t="str">
        <x:v>PASS</x:v>
      </x:c>
      <x:c r="K1007" s="25" t="n">
        <x:v>5</x:v>
      </x:c>
      <x:c r="L1007" s="27" t="b">
        <x:v>0</x:v>
      </x:c>
      <x:c r="M1007" s="25" t="str">
        <x:v>Feedback-Directed Random Test Generation/rounds/Round2/state/Closure.json</x:v>
      </x:c>
      <x:c r="N1007" s="25" t="str">
        <x:v>Feedback-Directed Random Test Generation/Result_Round2/Closure_88/result.json</x:v>
      </x:c>
      <x:c r="O1007" s="25" t="str">
        <x:v>Feedback-Directed Random Test Generation/Result_Round2/Closure_88/result.json</x:v>
      </x:c>
      <x:c r="P1007"/>
      <x:c r="Q1007" s="21" t="str"/>
      <x:c r="R1007" s="21" t="str"/>
      <x:c r="S1007" s="21" t="str"/>
      <x:c r="T1007" s="17" t="str">
        <x:v>false</x:v>
      </x:c>
      <x:c r="U1007" s="17" t="str">
        <x:v>true</x:v>
      </x:c>
      <x:c r="V1007" s="17" t="str">
        <x:v>false</x:v>
      </x:c>
    </x:row>
    <x:row r="1008" ht="80" customHeight="1">
      <x:c r="A1008" s="25" t="str">
        <x:v>Closure</x:v>
      </x:c>
      <x:c r="B1008" s="25" t="n">
        <x:v>89</x:v>
      </x:c>
      <x:c r="C1008" s="25" t="str">
        <x:v>Round2</x:v>
      </x:c>
      <x:c r="D1008" s="25" t="str">
        <x:v>NOT_REVEALING</x:v>
      </x:c>
      <x:c r="E1008" s="25" t="str">
        <x:v>N/A</x:v>
      </x:c>
      <x:c r="F1008" s="26" t="str">
        <x:v>Same saved validation suite passed on buggy and fixed</x:v>
      </x:c>
      <x:c r="G1008" s="25" t="str">
        <x:v>true</x:v>
      </x:c>
      <x:c r="H1008" s="25" t="str">
        <x:v>NOT_REVEALING</x:v>
      </x:c>
      <x:c r="I1008" s="25" t="str">
        <x:v>PASS</x:v>
      </x:c>
      <x:c r="J1008" s="25" t="str">
        <x:v>PASS</x:v>
      </x:c>
      <x:c r="K1008" s="25" t="n">
        <x:v>4</x:v>
      </x:c>
      <x:c r="L1008" s="27" t="b">
        <x:v>0</x:v>
      </x:c>
      <x:c r="M1008" s="25" t="str">
        <x:v>Feedback-Directed Random Test Generation/rounds/Round2/state/Closure.json</x:v>
      </x:c>
      <x:c r="N1008" s="25" t="str">
        <x:v>Feedback-Directed Random Test Generation/Result_Round2/Closure_89/result.json</x:v>
      </x:c>
      <x:c r="O1008" s="25" t="str">
        <x:v>Feedback-Directed Random Test Generation/Result_Round2/Closure_89/result.json</x:v>
      </x:c>
      <x:c r="P1008"/>
      <x:c r="Q1008" s="21" t="str"/>
      <x:c r="R1008" s="21" t="str"/>
      <x:c r="S1008" s="21" t="str"/>
      <x:c r="T1008" s="17" t="str">
        <x:v>false</x:v>
      </x:c>
      <x:c r="U1008" s="17" t="str">
        <x:v>true</x:v>
      </x:c>
      <x:c r="V1008" s="17" t="str">
        <x:v>false</x:v>
      </x:c>
    </x:row>
    <x:row r="1009" ht="80" customHeight="1">
      <x:c r="A1009" s="25" t="str">
        <x:v>Closure</x:v>
      </x:c>
      <x:c r="B1009" s="25" t="n">
        <x:v>90</x:v>
      </x:c>
      <x:c r="C1009" s="25" t="str">
        <x:v>Round2</x:v>
      </x:c>
      <x:c r="D1009" s="25" t="str">
        <x:v>NOT_REVEALING</x:v>
      </x:c>
      <x:c r="E1009" s="25" t="str">
        <x:v>N/A</x:v>
      </x:c>
      <x:c r="F1009" s="26" t="str">
        <x:v>Same saved validation suite passed on buggy and fixed</x:v>
      </x:c>
      <x:c r="G1009" s="25" t="str">
        <x:v>true</x:v>
      </x:c>
      <x:c r="H1009" s="25" t="str">
        <x:v>NOT_REVEALING</x:v>
      </x:c>
      <x:c r="I1009" s="25" t="str">
        <x:v>PASS</x:v>
      </x:c>
      <x:c r="J1009" s="25" t="str">
        <x:v>PASS</x:v>
      </x:c>
      <x:c r="K1009" s="25" t="n">
        <x:v>8</x:v>
      </x:c>
      <x:c r="L1009" s="27" t="b">
        <x:v>0</x:v>
      </x:c>
      <x:c r="M1009" s="25" t="str">
        <x:v>Feedback-Directed Random Test Generation/rounds/Round2/state/Closure.json</x:v>
      </x:c>
      <x:c r="N1009" s="25" t="str">
        <x:v>Feedback-Directed Random Test Generation/Result_Round2/Closure_90/result.json</x:v>
      </x:c>
      <x:c r="O1009" s="25" t="str">
        <x:v>Feedback-Directed Random Test Generation/Result_Round2/Closure_90/result.json</x:v>
      </x:c>
      <x:c r="P1009"/>
      <x:c r="Q1009" s="21" t="str"/>
      <x:c r="R1009" s="21" t="str"/>
      <x:c r="S1009" s="21" t="str"/>
      <x:c r="T1009" s="17" t="str">
        <x:v>false</x:v>
      </x:c>
      <x:c r="U1009" s="17" t="str">
        <x:v>true</x:v>
      </x:c>
      <x:c r="V1009" s="17" t="str">
        <x:v>false</x:v>
      </x:c>
    </x:row>
    <x:row r="1010" ht="80" customHeight="1">
      <x:c r="A1010" s="25" t="str">
        <x:v>Closure</x:v>
      </x:c>
      <x:c r="B1010" s="25" t="n">
        <x:v>91</x:v>
      </x:c>
      <x:c r="C1010" s="25" t="str">
        <x:v>Round2</x:v>
      </x:c>
      <x:c r="D1010" s="25" t="str">
        <x:v>NOT_REVEALING</x:v>
      </x:c>
      <x:c r="E1010" s="25" t="str">
        <x:v>N/A</x:v>
      </x:c>
      <x:c r="F1010" s="26" t="str">
        <x:v>Same saved validation suite passed on buggy and fixed</x:v>
      </x:c>
      <x:c r="G1010" s="25" t="str">
        <x:v>true</x:v>
      </x:c>
      <x:c r="H1010" s="25" t="str">
        <x:v>NOT_REVEALING</x:v>
      </x:c>
      <x:c r="I1010" s="25" t="str">
        <x:v>PASS</x:v>
      </x:c>
      <x:c r="J1010" s="25" t="str">
        <x:v>PASS</x:v>
      </x:c>
      <x:c r="K1010" s="25" t="n">
        <x:v>2</x:v>
      </x:c>
      <x:c r="L1010" s="27" t="b">
        <x:v>0</x:v>
      </x:c>
      <x:c r="M1010" s="25" t="str">
        <x:v>Feedback-Directed Random Test Generation/rounds/Round2/state/Closure.json</x:v>
      </x:c>
      <x:c r="N1010" s="25" t="str">
        <x:v>Feedback-Directed Random Test Generation/Result_Round2/Closure_91/result.json</x:v>
      </x:c>
      <x:c r="O1010" s="25" t="str">
        <x:v>Feedback-Directed Random Test Generation/Result_Round2/Closure_91/result.json</x:v>
      </x:c>
      <x:c r="P1010"/>
      <x:c r="Q1010" s="21" t="str"/>
      <x:c r="R1010" s="21" t="str"/>
      <x:c r="S1010" s="21" t="str"/>
      <x:c r="T1010" s="17" t="str">
        <x:v>false</x:v>
      </x:c>
      <x:c r="U1010" s="17" t="str">
        <x:v>true</x:v>
      </x:c>
      <x:c r="V1010" s="17" t="str">
        <x:v>false</x:v>
      </x:c>
    </x:row>
    <x:row r="1011" ht="80" customHeight="1">
      <x:c r="A1011" s="25" t="str">
        <x:v>Closure</x:v>
      </x:c>
      <x:c r="B1011" s="25" t="n">
        <x:v>92</x:v>
      </x:c>
      <x:c r="C1011" s="25" t="str">
        <x:v>Round2</x:v>
      </x:c>
      <x:c r="D1011" s="25" t="str">
        <x:v>NOT_REVEALING</x:v>
      </x:c>
      <x:c r="E1011" s="25" t="str">
        <x:v>N/A</x:v>
      </x:c>
      <x:c r="F1011" s="26" t="str">
        <x:v>Same saved validation suite passed on buggy and fixed</x:v>
      </x:c>
      <x:c r="G1011" s="25" t="str">
        <x:v>true</x:v>
      </x:c>
      <x:c r="H1011" s="25" t="str">
        <x:v>NOT_REVEALING</x:v>
      </x:c>
      <x:c r="I1011" s="25" t="str">
        <x:v>PASS</x:v>
      </x:c>
      <x:c r="J1011" s="25" t="str">
        <x:v>PASS</x:v>
      </x:c>
      <x:c r="K1011" s="25" t="n">
        <x:v>2</x:v>
      </x:c>
      <x:c r="L1011" s="27" t="b">
        <x:v>0</x:v>
      </x:c>
      <x:c r="M1011" s="25" t="str">
        <x:v>Feedback-Directed Random Test Generation/rounds/Round2/state/Closure.json</x:v>
      </x:c>
      <x:c r="N1011" s="25" t="str">
        <x:v>Feedback-Directed Random Test Generation/Result_Round2/Closure_92/result.json</x:v>
      </x:c>
      <x:c r="O1011" s="25" t="str">
        <x:v>Feedback-Directed Random Test Generation/Result_Round2/Closure_92/result.json</x:v>
      </x:c>
      <x:c r="P1011"/>
      <x:c r="Q1011" s="21" t="str"/>
      <x:c r="R1011" s="21" t="str"/>
      <x:c r="S1011" s="21" t="str"/>
      <x:c r="T1011" s="17" t="str">
        <x:v>false</x:v>
      </x:c>
      <x:c r="U1011" s="17" t="str">
        <x:v>true</x:v>
      </x:c>
      <x:c r="V1011" s="17" t="str">
        <x:v>false</x:v>
      </x:c>
    </x:row>
    <x:row r="1012" ht="80" customHeight="1">
      <x:c r="A1012" s="25" t="str">
        <x:v>Closure</x:v>
      </x:c>
      <x:c r="B1012" s="25" t="n">
        <x:v>94</x:v>
      </x:c>
      <x:c r="C1012" s="25" t="str">
        <x:v>Round2</x:v>
      </x:c>
      <x:c r="D1012" s="25" t="str">
        <x:v>INCONCLUSIVE</x:v>
      </x:c>
      <x:c r="E1012" s="25" t="str">
        <x:v>N/A</x:v>
      </x:c>
      <x:c r="F1012" s="26" t="str">
        <x:v>Fixed also failed; assertion failure cannot be attributed to this bug; Assertions failed with measured coverage; paired execution and stage checks determine status</x:v>
      </x:c>
      <x:c r="G1012" s="25" t="str">
        <x:v>true</x:v>
      </x:c>
      <x:c r="H1012" s="25" t="str">
        <x:v>INCONCLUSIVE</x:v>
      </x:c>
      <x:c r="I1012" s="25" t="str">
        <x:v>FAIL</x:v>
      </x:c>
      <x:c r="J1012" s="25" t="str">
        <x:v>FAIL</x:v>
      </x:c>
      <x:c r="K1012" s="25" t="n">
        <x:v>7</x:v>
      </x:c>
      <x:c r="L1012" s="27" t="b">
        <x:v>0</x:v>
      </x:c>
      <x:c r="M1012" s="25" t="str">
        <x:v>Feedback-Directed Random Test Generation/rounds/Round2/state/Closure.json</x:v>
      </x:c>
      <x:c r="N1012" s="25" t="str">
        <x:v>Feedback-Directed Random Test Generation/Result_Round2/Closure_94/result.json</x:v>
      </x:c>
      <x:c r="O1012" s="25" t="str">
        <x:v>Feedback-Directed Random Test Generation/Result_Round2/Closure_94/result.json</x:v>
      </x:c>
      <x:c r="P1012"/>
      <x:c r="Q1012" s="21" t="str"/>
      <x:c r="R1012" s="21" t="str"/>
      <x:c r="S1012" s="21" t="str"/>
      <x:c r="T1012" s="17" t="str">
        <x:v>false</x:v>
      </x:c>
      <x:c r="U1012" s="17" t="str">
        <x:v>true</x:v>
      </x:c>
      <x:c r="V1012" s="17" t="str">
        <x:v>false</x:v>
      </x:c>
    </x:row>
    <x:row r="1013" ht="80" customHeight="1">
      <x:c r="A1013" s="25" t="str">
        <x:v>Closure</x:v>
      </x:c>
      <x:c r="B1013" s="25" t="n">
        <x:v>95</x:v>
      </x:c>
      <x:c r="C1013" s="25" t="str">
        <x:v>Round2</x:v>
      </x:c>
      <x:c r="D1013" s="25" t="str">
        <x:v>NOT_REVEALING</x:v>
      </x:c>
      <x:c r="E1013" s="25" t="str">
        <x:v>N/A</x:v>
      </x:c>
      <x:c r="F1013" s="26" t="str">
        <x:v>Same saved validation suite passed on buggy and fixed</x:v>
      </x:c>
      <x:c r="G1013" s="25" t="str">
        <x:v>true</x:v>
      </x:c>
      <x:c r="H1013" s="25" t="str">
        <x:v>NOT_REVEALING</x:v>
      </x:c>
      <x:c r="I1013" s="25" t="str">
        <x:v>PASS</x:v>
      </x:c>
      <x:c r="J1013" s="25" t="str">
        <x:v>PASS</x:v>
      </x:c>
      <x:c r="K1013" s="25" t="n">
        <x:v>2</x:v>
      </x:c>
      <x:c r="L1013" s="27" t="b">
        <x:v>0</x:v>
      </x:c>
      <x:c r="M1013" s="25" t="str">
        <x:v>Feedback-Directed Random Test Generation/rounds/Round2/state/Closure.json</x:v>
      </x:c>
      <x:c r="N1013" s="25" t="str">
        <x:v>Feedback-Directed Random Test Generation/Result_Round2/Closure_95/result.json</x:v>
      </x:c>
      <x:c r="O1013" s="25" t="str">
        <x:v>Feedback-Directed Random Test Generation/Result_Round2/Closure_95/result.json</x:v>
      </x:c>
      <x:c r="P1013"/>
      <x:c r="Q1013" s="21" t="str"/>
      <x:c r="R1013" s="21" t="str"/>
      <x:c r="S1013" s="21" t="str"/>
      <x:c r="T1013" s="17" t="str">
        <x:v>false</x:v>
      </x:c>
      <x:c r="U1013" s="17" t="str">
        <x:v>true</x:v>
      </x:c>
      <x:c r="V1013" s="17" t="str">
        <x:v>false</x:v>
      </x:c>
    </x:row>
    <x:row r="1014" ht="80" customHeight="1">
      <x:c r="A1014" s="25" t="str">
        <x:v>Closure</x:v>
      </x:c>
      <x:c r="B1014" s="25" t="n">
        <x:v>96</x:v>
      </x:c>
      <x:c r="C1014" s="25" t="str">
        <x:v>Round2</x:v>
      </x:c>
      <x:c r="D1014" s="25" t="str">
        <x:v>NOT_REVEALING</x:v>
      </x:c>
      <x:c r="E1014" s="25" t="str">
        <x:v>N/A</x:v>
      </x:c>
      <x:c r="F1014" s="26" t="str">
        <x:v>Same saved validation suite passed on buggy and fixed</x:v>
      </x:c>
      <x:c r="G1014" s="25" t="str">
        <x:v>true</x:v>
      </x:c>
      <x:c r="H1014" s="25" t="str">
        <x:v>NOT_REVEALING</x:v>
      </x:c>
      <x:c r="I1014" s="25" t="str">
        <x:v>PASS</x:v>
      </x:c>
      <x:c r="J1014" s="25" t="str">
        <x:v>PASS</x:v>
      </x:c>
      <x:c r="K1014" s="25" t="n">
        <x:v>2</x:v>
      </x:c>
      <x:c r="L1014" s="27" t="b">
        <x:v>0</x:v>
      </x:c>
      <x:c r="M1014" s="25" t="str">
        <x:v>Feedback-Directed Random Test Generation/rounds/Round2/state/Closure.json</x:v>
      </x:c>
      <x:c r="N1014" s="25" t="str">
        <x:v>Feedback-Directed Random Test Generation/Result_Round2/Closure_96/result.json</x:v>
      </x:c>
      <x:c r="O1014" s="25" t="str">
        <x:v>Feedback-Directed Random Test Generation/Result_Round2/Closure_96/result.json</x:v>
      </x:c>
      <x:c r="P1014"/>
      <x:c r="Q1014" s="21" t="str"/>
      <x:c r="R1014" s="21" t="str"/>
      <x:c r="S1014" s="21" t="str"/>
      <x:c r="T1014" s="17" t="str">
        <x:v>false</x:v>
      </x:c>
      <x:c r="U1014" s="17" t="str">
        <x:v>true</x:v>
      </x:c>
      <x:c r="V1014" s="17" t="str">
        <x:v>false</x:v>
      </x:c>
    </x:row>
    <x:row r="1015" ht="80" customHeight="1">
      <x:c r="A1015" s="25" t="str">
        <x:v>Closure</x:v>
      </x:c>
      <x:c r="B1015" s="25" t="n">
        <x:v>97</x:v>
      </x:c>
      <x:c r="C1015" s="25" t="str">
        <x:v>Round2</x:v>
      </x:c>
      <x:c r="D1015" s="25" t="str">
        <x:v>NOT_REVEALING</x:v>
      </x:c>
      <x:c r="E1015" s="25" t="str">
        <x:v>N/A</x:v>
      </x:c>
      <x:c r="F1015" s="26" t="str">
        <x:v>Same saved validation suite passed on buggy and fixed</x:v>
      </x:c>
      <x:c r="G1015" s="25" t="str">
        <x:v>true</x:v>
      </x:c>
      <x:c r="H1015" s="25" t="str">
        <x:v>NOT_REVEALING</x:v>
      </x:c>
      <x:c r="I1015" s="25" t="str">
        <x:v>PASS</x:v>
      </x:c>
      <x:c r="J1015" s="25" t="str">
        <x:v>PASS</x:v>
      </x:c>
      <x:c r="K1015" s="25" t="n">
        <x:v>2</x:v>
      </x:c>
      <x:c r="L1015" s="27" t="b">
        <x:v>0</x:v>
      </x:c>
      <x:c r="M1015" s="25" t="str">
        <x:v>Feedback-Directed Random Test Generation/rounds/Round2/state/Closure.json</x:v>
      </x:c>
      <x:c r="N1015" s="25" t="str">
        <x:v>Feedback-Directed Random Test Generation/Result_Round2/Closure_97/result.json</x:v>
      </x:c>
      <x:c r="O1015" s="25" t="str">
        <x:v>Feedback-Directed Random Test Generation/Result_Round2/Closure_97/result.json</x:v>
      </x:c>
      <x:c r="P1015"/>
      <x:c r="Q1015" s="21" t="str"/>
      <x:c r="R1015" s="21" t="str"/>
      <x:c r="S1015" s="21" t="str"/>
      <x:c r="T1015" s="17" t="str">
        <x:v>false</x:v>
      </x:c>
      <x:c r="U1015" s="17" t="str">
        <x:v>true</x:v>
      </x:c>
      <x:c r="V1015" s="17" t="str">
        <x:v>false</x:v>
      </x:c>
    </x:row>
    <x:row r="1016" ht="80" customHeight="1">
      <x:c r="A1016" s="25" t="str">
        <x:v>Closure</x:v>
      </x:c>
      <x:c r="B1016" s="25" t="n">
        <x:v>98</x:v>
      </x:c>
      <x:c r="C1016" s="25" t="str">
        <x:v>Round2</x:v>
      </x:c>
      <x:c r="D1016" s="25" t="str">
        <x:v>NOT_REVEALING</x:v>
      </x:c>
      <x:c r="E1016" s="25" t="str">
        <x:v>N/A</x:v>
      </x:c>
      <x:c r="F1016" s="26" t="str">
        <x:v>Same saved validation suite passed on buggy and fixed</x:v>
      </x:c>
      <x:c r="G1016" s="25" t="str">
        <x:v>true</x:v>
      </x:c>
      <x:c r="H1016" s="25" t="str">
        <x:v>NOT_REVEALING</x:v>
      </x:c>
      <x:c r="I1016" s="25" t="str">
        <x:v>PASS</x:v>
      </x:c>
      <x:c r="J1016" s="25" t="str">
        <x:v>PASS</x:v>
      </x:c>
      <x:c r="K1016" s="25" t="n">
        <x:v>5</x:v>
      </x:c>
      <x:c r="L1016" s="27" t="b">
        <x:v>0</x:v>
      </x:c>
      <x:c r="M1016" s="25" t="str">
        <x:v>Feedback-Directed Random Test Generation/rounds/Round2/state/Closure.json</x:v>
      </x:c>
      <x:c r="N1016" s="25" t="str">
        <x:v>Feedback-Directed Random Test Generation/Result_Round2/Closure_98/result.json</x:v>
      </x:c>
      <x:c r="O1016" s="25" t="str">
        <x:v>Feedback-Directed Random Test Generation/Result_Round2/Closure_98/result.json</x:v>
      </x:c>
      <x:c r="P1016"/>
      <x:c r="Q1016" s="21" t="str"/>
      <x:c r="R1016" s="21" t="str"/>
      <x:c r="S1016" s="21" t="str"/>
      <x:c r="T1016" s="17" t="str">
        <x:v>false</x:v>
      </x:c>
      <x:c r="U1016" s="17" t="str">
        <x:v>true</x:v>
      </x:c>
      <x:c r="V1016" s="17" t="str">
        <x:v>false</x:v>
      </x:c>
    </x:row>
    <x:row r="1017" ht="80" customHeight="1">
      <x:c r="A1017" s="25" t="str">
        <x:v>Closure</x:v>
      </x:c>
      <x:c r="B1017" s="25" t="n">
        <x:v>99</x:v>
      </x:c>
      <x:c r="C1017" s="25" t="str">
        <x:v>Round2</x:v>
      </x:c>
      <x:c r="D1017" s="25" t="str">
        <x:v>NOT_REVEALING</x:v>
      </x:c>
      <x:c r="E1017" s="25" t="str">
        <x:v>N/A</x:v>
      </x:c>
      <x:c r="F1017" s="26" t="str">
        <x:v>Same saved validation suite passed on buggy and fixed</x:v>
      </x:c>
      <x:c r="G1017" s="25" t="str">
        <x:v>true</x:v>
      </x:c>
      <x:c r="H1017" s="25" t="str">
        <x:v>NOT_REVEALING</x:v>
      </x:c>
      <x:c r="I1017" s="25" t="str">
        <x:v>PASS</x:v>
      </x:c>
      <x:c r="J1017" s="25" t="str">
        <x:v>PASS</x:v>
      </x:c>
      <x:c r="K1017" s="25" t="n">
        <x:v>2</x:v>
      </x:c>
      <x:c r="L1017" s="27" t="b">
        <x:v>0</x:v>
      </x:c>
      <x:c r="M1017" s="25" t="str">
        <x:v>Feedback-Directed Random Test Generation/rounds/Round2/state/Closure.json</x:v>
      </x:c>
      <x:c r="N1017" s="25" t="str">
        <x:v>Feedback-Directed Random Test Generation/Result_Round2/Closure_99/result.json</x:v>
      </x:c>
      <x:c r="O1017" s="25" t="str">
        <x:v>Feedback-Directed Random Test Generation/Result_Round2/Closure_99/result.json</x:v>
      </x:c>
      <x:c r="P1017"/>
      <x:c r="Q1017" s="21" t="str"/>
      <x:c r="R1017" s="21" t="str"/>
      <x:c r="S1017" s="21" t="str"/>
      <x:c r="T1017" s="17" t="str">
        <x:v>false</x:v>
      </x:c>
      <x:c r="U1017" s="17" t="str">
        <x:v>true</x:v>
      </x:c>
      <x:c r="V1017" s="17" t="str">
        <x:v>false</x:v>
      </x:c>
    </x:row>
    <x:row r="1018" ht="80" customHeight="1">
      <x:c r="A1018" s="25" t="str">
        <x:v>Closure</x:v>
      </x:c>
      <x:c r="B1018" s="25" t="n">
        <x:v>100</x:v>
      </x:c>
      <x:c r="C1018" s="25" t="str">
        <x:v>Round2</x:v>
      </x:c>
      <x:c r="D1018" s="25" t="str">
        <x:v>NOT_REVEALING</x:v>
      </x:c>
      <x:c r="E1018" s="25" t="str">
        <x:v>N/A</x:v>
      </x:c>
      <x:c r="F1018" s="26" t="str">
        <x:v>Same saved validation suite passed on buggy and fixed</x:v>
      </x:c>
      <x:c r="G1018" s="25" t="str">
        <x:v>true</x:v>
      </x:c>
      <x:c r="H1018" s="25" t="str">
        <x:v>NOT_REVEALING</x:v>
      </x:c>
      <x:c r="I1018" s="25" t="str">
        <x:v>PASS</x:v>
      </x:c>
      <x:c r="J1018" s="25" t="str">
        <x:v>PASS</x:v>
      </x:c>
      <x:c r="K1018" s="25" t="n">
        <x:v>2</x:v>
      </x:c>
      <x:c r="L1018" s="27" t="b">
        <x:v>0</x:v>
      </x:c>
      <x:c r="M1018" s="25" t="str">
        <x:v>Feedback-Directed Random Test Generation/rounds/Round2/state/Closure.json</x:v>
      </x:c>
      <x:c r="N1018" s="25" t="str">
        <x:v>Feedback-Directed Random Test Generation/Result_Round2/Closure_100/result.json</x:v>
      </x:c>
      <x:c r="O1018" s="25" t="str">
        <x:v>Feedback-Directed Random Test Generation/Result_Round2/Closure_100/result.json</x:v>
      </x:c>
      <x:c r="P1018"/>
      <x:c r="Q1018" s="21" t="str"/>
      <x:c r="R1018" s="21" t="str"/>
      <x:c r="S1018" s="21" t="str"/>
      <x:c r="T1018" s="17" t="str">
        <x:v>false</x:v>
      </x:c>
      <x:c r="U1018" s="17" t="str">
        <x:v>true</x:v>
      </x:c>
      <x:c r="V1018" s="17" t="str">
        <x:v>false</x:v>
      </x:c>
    </x:row>
    <x:row r="1019" ht="80" customHeight="1">
      <x:c r="A1019" s="25" t="str">
        <x:v>Closure</x:v>
      </x:c>
      <x:c r="B1019" s="25" t="n">
        <x:v>101</x:v>
      </x:c>
      <x:c r="C1019" s="25" t="str">
        <x:v>Round2</x:v>
      </x:c>
      <x:c r="D1019" s="25" t="str">
        <x:v>FAIL</x:v>
      </x:c>
      <x:c r="E1019" s="25" t="str">
        <x:v>N/A</x:v>
      </x:c>
      <x:c r="F1019" s="26" t="str">
        <x:v>Latest same-round generation failed; older files/results are excluded</x:v>
      </x:c>
      <x:c r="G1019" s="25" t="str">
        <x:v>true</x:v>
      </x:c>
      <x:c r="H1019" s="25" t="str">
        <x:v>FAIL</x:v>
      </x:c>
      <x:c r="I1019" s="25"/>
      <x:c r="J1019" s="25"/>
      <x:c r="K1019" s="25" t="n">
        <x:v>0</x:v>
      </x:c>
      <x:c r="L1019" s="27" t="b">
        <x:v>1</x:v>
      </x:c>
      <x:c r="M1019" s="25" t="str">
        <x:v>Feedback-Directed Random Test Generation/rounds/Round2/state/Closure.json</x:v>
      </x:c>
      <x:c r="N1019" s="25"/>
      <x:c r="O1019" s="25" t="str">
        <x:v>Feedback-Directed Random Test Generation/Result_Round2/Closure_101/result.json</x:v>
      </x:c>
      <x:c r="P1019"/>
      <x:c r="Q1019" s="21" t="str"/>
      <x:c r="R1019" s="21" t="str"/>
      <x:c r="S1019" s="21" t="str"/>
      <x:c r="T1019" s="17" t="str">
        <x:v>false</x:v>
      </x:c>
      <x:c r="U1019" s="17" t="str">
        <x:v>false</x:v>
      </x:c>
      <x:c r="V1019" s="17" t="str">
        <x:v>false</x:v>
      </x:c>
    </x:row>
    <x:row r="1020" ht="80" customHeight="1">
      <x:c r="A1020" s="25" t="str">
        <x:v>Closure</x:v>
      </x:c>
      <x:c r="B1020" s="25" t="n">
        <x:v>102</x:v>
      </x:c>
      <x:c r="C1020" s="25" t="str">
        <x:v>Round2</x:v>
      </x:c>
      <x:c r="D1020" s="25" t="str">
        <x:v>NOT_REVEALING</x:v>
      </x:c>
      <x:c r="E1020" s="25" t="str">
        <x:v>N/A</x:v>
      </x:c>
      <x:c r="F1020" s="26" t="str">
        <x:v>Same saved validation suite passed on buggy and fixed</x:v>
      </x:c>
      <x:c r="G1020" s="25" t="str">
        <x:v>true</x:v>
      </x:c>
      <x:c r="H1020" s="25" t="str">
        <x:v>NOT_REVEALING</x:v>
      </x:c>
      <x:c r="I1020" s="25" t="str">
        <x:v>PASS</x:v>
      </x:c>
      <x:c r="J1020" s="25" t="str">
        <x:v>PASS</x:v>
      </x:c>
      <x:c r="K1020" s="25" t="n">
        <x:v>2</x:v>
      </x:c>
      <x:c r="L1020" s="27" t="b">
        <x:v>0</x:v>
      </x:c>
      <x:c r="M1020" s="25" t="str">
        <x:v>Feedback-Directed Random Test Generation/rounds/Round2/state/Closure.json</x:v>
      </x:c>
      <x:c r="N1020" s="25" t="str">
        <x:v>Feedback-Directed Random Test Generation/Result_Round2/Closure_102/result.json</x:v>
      </x:c>
      <x:c r="O1020" s="25" t="str">
        <x:v>Feedback-Directed Random Test Generation/Result_Round2/Closure_102/result.json</x:v>
      </x:c>
      <x:c r="P1020"/>
      <x:c r="Q1020" s="21" t="str"/>
      <x:c r="R1020" s="21" t="str"/>
      <x:c r="S1020" s="21" t="str"/>
      <x:c r="T1020" s="17" t="str">
        <x:v>false</x:v>
      </x:c>
      <x:c r="U1020" s="17" t="str">
        <x:v>true</x:v>
      </x:c>
      <x:c r="V1020" s="17" t="str">
        <x:v>false</x:v>
      </x:c>
    </x:row>
    <x:row r="1021" ht="80" customHeight="1">
      <x:c r="A1021" s="25" t="str">
        <x:v>Closure</x:v>
      </x:c>
      <x:c r="B1021" s="25" t="n">
        <x:v>103</x:v>
      </x:c>
      <x:c r="C1021" s="25" t="str">
        <x:v>Round2</x:v>
      </x:c>
      <x:c r="D1021" s="25" t="str">
        <x:v>NOT_REVEALING</x:v>
      </x:c>
      <x:c r="E1021" s="25" t="str">
        <x:v>N/A</x:v>
      </x:c>
      <x:c r="F1021" s="26" t="str">
        <x:v>Same saved validation suite passed on buggy and fixed</x:v>
      </x:c>
      <x:c r="G1021" s="25" t="str">
        <x:v>true</x:v>
      </x:c>
      <x:c r="H1021" s="25" t="str">
        <x:v>NOT_REVEALING</x:v>
      </x:c>
      <x:c r="I1021" s="25" t="str">
        <x:v>PASS</x:v>
      </x:c>
      <x:c r="J1021" s="25" t="str">
        <x:v>PASS</x:v>
      </x:c>
      <x:c r="K1021" s="25" t="n">
        <x:v>3</x:v>
      </x:c>
      <x:c r="L1021" s="27" t="b">
        <x:v>0</x:v>
      </x:c>
      <x:c r="M1021" s="25" t="str">
        <x:v>Feedback-Directed Random Test Generation/rounds/Round2/state/Closure.json</x:v>
      </x:c>
      <x:c r="N1021" s="25" t="str">
        <x:v>Feedback-Directed Random Test Generation/Result_Round2/Closure_103/result.json</x:v>
      </x:c>
      <x:c r="O1021" s="25" t="str">
        <x:v>Feedback-Directed Random Test Generation/Result_Round2/Closure_103/result.json</x:v>
      </x:c>
      <x:c r="P1021"/>
      <x:c r="Q1021" s="21" t="str"/>
      <x:c r="R1021" s="21" t="str"/>
      <x:c r="S1021" s="21" t="str"/>
      <x:c r="T1021" s="17" t="str">
        <x:v>false</x:v>
      </x:c>
      <x:c r="U1021" s="17" t="str">
        <x:v>true</x:v>
      </x:c>
      <x:c r="V1021" s="17" t="str">
        <x:v>false</x:v>
      </x:c>
    </x:row>
    <x:row r="1022" ht="80" customHeight="1">
      <x:c r="A1022" s="25" t="str">
        <x:v>Closure</x:v>
      </x:c>
      <x:c r="B1022" s="25" t="n">
        <x:v>104</x:v>
      </x:c>
      <x:c r="C1022" s="25" t="str">
        <x:v>Round2</x:v>
      </x:c>
      <x:c r="D1022" s="25" t="str">
        <x:v>NOT_REVEALING</x:v>
      </x:c>
      <x:c r="E1022" s="25" t="str">
        <x:v>N/A</x:v>
      </x:c>
      <x:c r="F1022" s="26" t="str">
        <x:v>Same saved validation suite passed on buggy and fixed</x:v>
      </x:c>
      <x:c r="G1022" s="25" t="str">
        <x:v>true</x:v>
      </x:c>
      <x:c r="H1022" s="25" t="str">
        <x:v>NOT_REVEALING</x:v>
      </x:c>
      <x:c r="I1022" s="25" t="str">
        <x:v>PASS</x:v>
      </x:c>
      <x:c r="J1022" s="25" t="str">
        <x:v>PASS</x:v>
      </x:c>
      <x:c r="K1022" s="25" t="n">
        <x:v>7</x:v>
      </x:c>
      <x:c r="L1022" s="27" t="b">
        <x:v>0</x:v>
      </x:c>
      <x:c r="M1022" s="25" t="str">
        <x:v>Feedback-Directed Random Test Generation/rounds/Round2/state/Closure.json</x:v>
      </x:c>
      <x:c r="N1022" s="25" t="str">
        <x:v>Feedback-Directed Random Test Generation/Result_Round2/Closure_104/result.json</x:v>
      </x:c>
      <x:c r="O1022" s="25" t="str">
        <x:v>Feedback-Directed Random Test Generation/Result_Round2/Closure_104/result.json</x:v>
      </x:c>
      <x:c r="P1022"/>
      <x:c r="Q1022" s="21" t="str"/>
      <x:c r="R1022" s="21" t="str"/>
      <x:c r="S1022" s="21" t="str"/>
      <x:c r="T1022" s="17" t="str">
        <x:v>false</x:v>
      </x:c>
      <x:c r="U1022" s="17" t="str">
        <x:v>true</x:v>
      </x:c>
      <x:c r="V1022" s="17" t="str">
        <x:v>false</x:v>
      </x:c>
    </x:row>
    <x:row r="1023" ht="80" customHeight="1">
      <x:c r="A1023" s="25" t="str">
        <x:v>Closure</x:v>
      </x:c>
      <x:c r="B1023" s="25" t="n">
        <x:v>105</x:v>
      </x:c>
      <x:c r="C1023" s="25" t="str">
        <x:v>Round2</x:v>
      </x:c>
      <x:c r="D1023" s="25" t="str">
        <x:v>NOT_REVEALING</x:v>
      </x:c>
      <x:c r="E1023" s="25" t="str">
        <x:v>N/A</x:v>
      </x:c>
      <x:c r="F1023" s="26" t="str">
        <x:v>Same saved validation suite passed on buggy and fixed</x:v>
      </x:c>
      <x:c r="G1023" s="25" t="str">
        <x:v>true</x:v>
      </x:c>
      <x:c r="H1023" s="25" t="str">
        <x:v>NOT_REVEALING</x:v>
      </x:c>
      <x:c r="I1023" s="25" t="str">
        <x:v>PASS</x:v>
      </x:c>
      <x:c r="J1023" s="25" t="str">
        <x:v>PASS</x:v>
      </x:c>
      <x:c r="K1023" s="25" t="n">
        <x:v>4</x:v>
      </x:c>
      <x:c r="L1023" s="27" t="b">
        <x:v>0</x:v>
      </x:c>
      <x:c r="M1023" s="25" t="str">
        <x:v>Feedback-Directed Random Test Generation/rounds/Round2/state/Closure.json</x:v>
      </x:c>
      <x:c r="N1023" s="25" t="str">
        <x:v>Feedback-Directed Random Test Generation/Result_Round2/Closure_105/result.json</x:v>
      </x:c>
      <x:c r="O1023" s="25" t="str">
        <x:v>Feedback-Directed Random Test Generation/Result_Round2/Closure_105/result.json</x:v>
      </x:c>
      <x:c r="P1023"/>
      <x:c r="Q1023" s="21" t="str"/>
      <x:c r="R1023" s="21" t="str"/>
      <x:c r="S1023" s="21" t="str"/>
      <x:c r="T1023" s="17" t="str">
        <x:v>false</x:v>
      </x:c>
      <x:c r="U1023" s="17" t="str">
        <x:v>true</x:v>
      </x:c>
      <x:c r="V1023" s="17" t="str">
        <x:v>false</x:v>
      </x:c>
    </x:row>
    <x:row r="1024" ht="80" customHeight="1">
      <x:c r="A1024" s="25" t="str">
        <x:v>Closure</x:v>
      </x:c>
      <x:c r="B1024" s="25" t="n">
        <x:v>106</x:v>
      </x:c>
      <x:c r="C1024" s="25" t="str">
        <x:v>Round2</x:v>
      </x:c>
      <x:c r="D1024" s="25" t="str">
        <x:v>INCONCLUSIVE</x:v>
      </x:c>
      <x:c r="E1024" s="25" t="str">
        <x:v>N/A</x:v>
      </x:c>
      <x:c r="F1024" s="26" t="str">
        <x:v>Fixed also failed; assertion failure cannot be attributed to this bug</x:v>
      </x:c>
      <x:c r="G1024" s="25" t="str">
        <x:v>true</x:v>
      </x:c>
      <x:c r="H1024" s="25" t="str">
        <x:v>INCONCLUSIVE</x:v>
      </x:c>
      <x:c r="I1024" s="25" t="str">
        <x:v>PASS</x:v>
      </x:c>
      <x:c r="J1024" s="25" t="str">
        <x:v>FAIL</x:v>
      </x:c>
      <x:c r="K1024" s="25" t="n">
        <x:v>5</x:v>
      </x:c>
      <x:c r="L1024" s="27" t="b">
        <x:v>0</x:v>
      </x:c>
      <x:c r="M1024" s="25" t="str">
        <x:v>Feedback-Directed Random Test Generation/rounds/Round2/state/Closure.json</x:v>
      </x:c>
      <x:c r="N1024" s="25" t="str">
        <x:v>Feedback-Directed Random Test Generation/Result_Round2/Closure_106/result.json</x:v>
      </x:c>
      <x:c r="O1024" s="25" t="str">
        <x:v>Feedback-Directed Random Test Generation/Result_Round2/Closure_106/result.json</x:v>
      </x:c>
      <x:c r="P1024"/>
      <x:c r="Q1024" s="21" t="str"/>
      <x:c r="R1024" s="21" t="str"/>
      <x:c r="S1024" s="21" t="str"/>
      <x:c r="T1024" s="17" t="str">
        <x:v>false</x:v>
      </x:c>
      <x:c r="U1024" s="17" t="str">
        <x:v>true</x:v>
      </x:c>
      <x:c r="V1024" s="17" t="str">
        <x:v>false</x:v>
      </x:c>
    </x:row>
    <x:row r="1025" ht="80" customHeight="1">
      <x:c r="A1025" s="25" t="str">
        <x:v>Closure</x:v>
      </x:c>
      <x:c r="B1025" s="25" t="n">
        <x:v>107</x:v>
      </x:c>
      <x:c r="C1025" s="25" t="str">
        <x:v>Round2</x:v>
      </x:c>
      <x:c r="D1025" s="25" t="str">
        <x:v>FAIL</x:v>
      </x:c>
      <x:c r="E1025" s="25" t="str">
        <x:v>N/A</x:v>
      </x:c>
      <x:c r="F1025" s="26" t="str">
        <x:v>Latest same-round generation failed; older files/results are excluded</x:v>
      </x:c>
      <x:c r="G1025" s="25" t="str">
        <x:v>true</x:v>
      </x:c>
      <x:c r="H1025" s="25" t="str">
        <x:v>FAIL</x:v>
      </x:c>
      <x:c r="I1025" s="25"/>
      <x:c r="J1025" s="25"/>
      <x:c r="K1025" s="25" t="n">
        <x:v>0</x:v>
      </x:c>
      <x:c r="L1025" s="27" t="b">
        <x:v>1</x:v>
      </x:c>
      <x:c r="M1025" s="25" t="str">
        <x:v>Feedback-Directed Random Test Generation/rounds/Round2/state/Closure.json</x:v>
      </x:c>
      <x:c r="N1025" s="25"/>
      <x:c r="O1025" s="25" t="str">
        <x:v>Feedback-Directed Random Test Generation/Result_Round2/Closure_107/result.json</x:v>
      </x:c>
      <x:c r="P1025"/>
      <x:c r="Q1025" s="21" t="str"/>
      <x:c r="R1025" s="21" t="str"/>
      <x:c r="S1025" s="21" t="str"/>
      <x:c r="T1025" s="17" t="str">
        <x:v>false</x:v>
      </x:c>
      <x:c r="U1025" s="17" t="str">
        <x:v>false</x:v>
      </x:c>
      <x:c r="V1025" s="17" t="str">
        <x:v>false</x:v>
      </x:c>
    </x:row>
    <x:row r="1026" ht="80" customHeight="1">
      <x:c r="A1026" s="25" t="str">
        <x:v>Closure</x:v>
      </x:c>
      <x:c r="B1026" s="25" t="n">
        <x:v>108</x:v>
      </x:c>
      <x:c r="C1026" s="25" t="str">
        <x:v>Round2</x:v>
      </x:c>
      <x:c r="D1026" s="25" t="str">
        <x:v>NOT_REVEALING</x:v>
      </x:c>
      <x:c r="E1026" s="25" t="str">
        <x:v>N/A</x:v>
      </x:c>
      <x:c r="F1026" s="26" t="str">
        <x:v>Same saved validation suite passed on buggy and fixed</x:v>
      </x:c>
      <x:c r="G1026" s="25" t="str">
        <x:v>true</x:v>
      </x:c>
      <x:c r="H1026" s="25" t="str">
        <x:v>NOT_REVEALING</x:v>
      </x:c>
      <x:c r="I1026" s="25" t="str">
        <x:v>PASS</x:v>
      </x:c>
      <x:c r="J1026" s="25" t="str">
        <x:v>PASS</x:v>
      </x:c>
      <x:c r="K1026" s="25" t="n">
        <x:v>2</x:v>
      </x:c>
      <x:c r="L1026" s="27" t="b">
        <x:v>0</x:v>
      </x:c>
      <x:c r="M1026" s="25" t="str">
        <x:v>Feedback-Directed Random Test Generation/rounds/Round2/state/Closure.json</x:v>
      </x:c>
      <x:c r="N1026" s="25" t="str">
        <x:v>Feedback-Directed Random Test Generation/Result_Round2/Closure_108/result.json</x:v>
      </x:c>
      <x:c r="O1026" s="25" t="str">
        <x:v>Feedback-Directed Random Test Generation/Result_Round2/Closure_108/result.json</x:v>
      </x:c>
      <x:c r="P1026"/>
      <x:c r="Q1026" s="21" t="str"/>
      <x:c r="R1026" s="21" t="str"/>
      <x:c r="S1026" s="21" t="str"/>
      <x:c r="T1026" s="17" t="str">
        <x:v>false</x:v>
      </x:c>
      <x:c r="U1026" s="17" t="str">
        <x:v>true</x:v>
      </x:c>
      <x:c r="V1026" s="17" t="str">
        <x:v>false</x:v>
      </x:c>
    </x:row>
    <x:row r="1027" ht="80" customHeight="1">
      <x:c r="A1027" s="25" t="str">
        <x:v>Closure</x:v>
      </x:c>
      <x:c r="B1027" s="25" t="n">
        <x:v>109</x:v>
      </x:c>
      <x:c r="C1027" s="25" t="str">
        <x:v>Round2</x:v>
      </x:c>
      <x:c r="D1027" s="25" t="str">
        <x:v>NOT_REVEALING</x:v>
      </x:c>
      <x:c r="E1027" s="25" t="str">
        <x:v>N/A</x:v>
      </x:c>
      <x:c r="F1027" s="26" t="str">
        <x:v>Same saved validation suite passed on buggy and fixed</x:v>
      </x:c>
      <x:c r="G1027" s="25" t="str">
        <x:v>true</x:v>
      </x:c>
      <x:c r="H1027" s="25" t="str">
        <x:v>NOT_REVEALING</x:v>
      </x:c>
      <x:c r="I1027" s="25" t="str">
        <x:v>PASS</x:v>
      </x:c>
      <x:c r="J1027" s="25" t="str">
        <x:v>PASS</x:v>
      </x:c>
      <x:c r="K1027" s="25" t="n">
        <x:v>2</x:v>
      </x:c>
      <x:c r="L1027" s="27" t="b">
        <x:v>0</x:v>
      </x:c>
      <x:c r="M1027" s="25" t="str">
        <x:v>Feedback-Directed Random Test Generation/rounds/Round2/state/Closure.json</x:v>
      </x:c>
      <x:c r="N1027" s="25" t="str">
        <x:v>Feedback-Directed Random Test Generation/Result_Round2/Closure_109/result.json</x:v>
      </x:c>
      <x:c r="O1027" s="25" t="str">
        <x:v>Feedback-Directed Random Test Generation/Result_Round2/Closure_109/result.json</x:v>
      </x:c>
      <x:c r="P1027"/>
      <x:c r="Q1027" s="21" t="str"/>
      <x:c r="R1027" s="21" t="str"/>
      <x:c r="S1027" s="21" t="str"/>
      <x:c r="T1027" s="17" t="str">
        <x:v>false</x:v>
      </x:c>
      <x:c r="U1027" s="17" t="str">
        <x:v>true</x:v>
      </x:c>
      <x:c r="V1027" s="17" t="str">
        <x:v>false</x:v>
      </x:c>
    </x:row>
    <x:row r="1028" ht="80" customHeight="1">
      <x:c r="A1028" s="25" t="str">
        <x:v>Closure</x:v>
      </x:c>
      <x:c r="B1028" s="25" t="n">
        <x:v>110</x:v>
      </x:c>
      <x:c r="C1028" s="25" t="str">
        <x:v>Round2</x:v>
      </x:c>
      <x:c r="D1028" s="25" t="str">
        <x:v>INCONCLUSIVE</x:v>
      </x:c>
      <x:c r="E1028" s="25" t="str">
        <x:v>N/A</x:v>
      </x:c>
      <x:c r="F1028" s="26" t="str">
        <x:v>Fixed also failed; assertion failure cannot be attributed to this bug; Assertions failed with measured coverage; paired execution and stage checks determine status</x:v>
      </x:c>
      <x:c r="G1028" s="25" t="str">
        <x:v>true</x:v>
      </x:c>
      <x:c r="H1028" s="25" t="str">
        <x:v>INCONCLUSIVE</x:v>
      </x:c>
      <x:c r="I1028" s="25" t="str">
        <x:v>FAIL</x:v>
      </x:c>
      <x:c r="J1028" s="25" t="str">
        <x:v>FAIL</x:v>
      </x:c>
      <x:c r="K1028" s="25" t="n">
        <x:v>7</x:v>
      </x:c>
      <x:c r="L1028" s="27" t="b">
        <x:v>0</x:v>
      </x:c>
      <x:c r="M1028" s="25" t="str">
        <x:v>Feedback-Directed Random Test Generation/rounds/Round2/state/Closure.json</x:v>
      </x:c>
      <x:c r="N1028" s="25" t="str">
        <x:v>Feedback-Directed Random Test Generation/Result_Round2/Closure_110/result.json</x:v>
      </x:c>
      <x:c r="O1028" s="25" t="str">
        <x:v>Feedback-Directed Random Test Generation/Result_Round2/Closure_110/result.json</x:v>
      </x:c>
      <x:c r="P1028"/>
      <x:c r="Q1028" s="21" t="str"/>
      <x:c r="R1028" s="21" t="str"/>
      <x:c r="S1028" s="21" t="str"/>
      <x:c r="T1028" s="17" t="str">
        <x:v>false</x:v>
      </x:c>
      <x:c r="U1028" s="17" t="str">
        <x:v>true</x:v>
      </x:c>
      <x:c r="V1028" s="17" t="str">
        <x:v>false</x:v>
      </x:c>
    </x:row>
    <x:row r="1029" ht="80" customHeight="1">
      <x:c r="A1029" s="25" t="str">
        <x:v>Closure</x:v>
      </x:c>
      <x:c r="B1029" s="25" t="n">
        <x:v>111</x:v>
      </x:c>
      <x:c r="C1029" s="25" t="str">
        <x:v>Round2</x:v>
      </x:c>
      <x:c r="D1029" s="25" t="str">
        <x:v>NOT_REVEALING</x:v>
      </x:c>
      <x:c r="E1029" s="25" t="str">
        <x:v>N/A</x:v>
      </x:c>
      <x:c r="F1029" s="26" t="str">
        <x:v>Same saved validation suite passed on buggy and fixed</x:v>
      </x:c>
      <x:c r="G1029" s="25" t="str">
        <x:v>true</x:v>
      </x:c>
      <x:c r="H1029" s="25" t="str">
        <x:v>NOT_REVEALING</x:v>
      </x:c>
      <x:c r="I1029" s="25" t="str">
        <x:v>PASS</x:v>
      </x:c>
      <x:c r="J1029" s="25" t="str">
        <x:v>PASS</x:v>
      </x:c>
      <x:c r="K1029" s="25" t="n">
        <x:v>2</x:v>
      </x:c>
      <x:c r="L1029" s="27" t="b">
        <x:v>0</x:v>
      </x:c>
      <x:c r="M1029" s="25" t="str">
        <x:v>Feedback-Directed Random Test Generation/rounds/Round2/state/Closure.json</x:v>
      </x:c>
      <x:c r="N1029" s="25" t="str">
        <x:v>Feedback-Directed Random Test Generation/Result_Round2/Closure_111/result.json</x:v>
      </x:c>
      <x:c r="O1029" s="25" t="str">
        <x:v>Feedback-Directed Random Test Generation/Result_Round2/Closure_111/result.json</x:v>
      </x:c>
      <x:c r="P1029"/>
      <x:c r="Q1029" s="21" t="str"/>
      <x:c r="R1029" s="21" t="str"/>
      <x:c r="S1029" s="21" t="str"/>
      <x:c r="T1029" s="17" t="str">
        <x:v>false</x:v>
      </x:c>
      <x:c r="U1029" s="17" t="str">
        <x:v>true</x:v>
      </x:c>
      <x:c r="V1029" s="17" t="str">
        <x:v>false</x:v>
      </x:c>
    </x:row>
    <x:row r="1030" ht="80" customHeight="1">
      <x:c r="A1030" s="25" t="str">
        <x:v>Closure</x:v>
      </x:c>
      <x:c r="B1030" s="25" t="n">
        <x:v>112</x:v>
      </x:c>
      <x:c r="C1030" s="25" t="str">
        <x:v>Round2</x:v>
      </x:c>
      <x:c r="D1030" s="25" t="str">
        <x:v>NOT_REVEALING</x:v>
      </x:c>
      <x:c r="E1030" s="25" t="str">
        <x:v>N/A</x:v>
      </x:c>
      <x:c r="F1030" s="26" t="str">
        <x:v>Same saved validation suite passed on buggy and fixed</x:v>
      </x:c>
      <x:c r="G1030" s="25" t="str">
        <x:v>true</x:v>
      </x:c>
      <x:c r="H1030" s="25" t="str">
        <x:v>NOT_REVEALING</x:v>
      </x:c>
      <x:c r="I1030" s="25" t="str">
        <x:v>PASS</x:v>
      </x:c>
      <x:c r="J1030" s="25" t="str">
        <x:v>PASS</x:v>
      </x:c>
      <x:c r="K1030" s="25" t="n">
        <x:v>2</x:v>
      </x:c>
      <x:c r="L1030" s="27" t="b">
        <x:v>0</x:v>
      </x:c>
      <x:c r="M1030" s="25" t="str">
        <x:v>Feedback-Directed Random Test Generation/rounds/Round2/state/Closure.json</x:v>
      </x:c>
      <x:c r="N1030" s="25" t="str">
        <x:v>Feedback-Directed Random Test Generation/Result_Round2/Closure_112/result.json</x:v>
      </x:c>
      <x:c r="O1030" s="25" t="str">
        <x:v>Feedback-Directed Random Test Generation/Result_Round2/Closure_112/result.json</x:v>
      </x:c>
      <x:c r="P1030"/>
      <x:c r="Q1030" s="21" t="str"/>
      <x:c r="R1030" s="21" t="str"/>
      <x:c r="S1030" s="21" t="str"/>
      <x:c r="T1030" s="17" t="str">
        <x:v>false</x:v>
      </x:c>
      <x:c r="U1030" s="17" t="str">
        <x:v>true</x:v>
      </x:c>
      <x:c r="V1030" s="17" t="str">
        <x:v>false</x:v>
      </x:c>
    </x:row>
    <x:row r="1031" ht="80" customHeight="1">
      <x:c r="A1031" s="25" t="str">
        <x:v>Closure</x:v>
      </x:c>
      <x:c r="B1031" s="25" t="n">
        <x:v>113</x:v>
      </x:c>
      <x:c r="C1031" s="25" t="str">
        <x:v>Round2</x:v>
      </x:c>
      <x:c r="D1031" s="25" t="str">
        <x:v>NOT_REVEALING</x:v>
      </x:c>
      <x:c r="E1031" s="25" t="str">
        <x:v>N/A</x:v>
      </x:c>
      <x:c r="F1031" s="26" t="str">
        <x:v>Same saved validation suite passed on buggy and fixed</x:v>
      </x:c>
      <x:c r="G1031" s="25" t="str">
        <x:v>true</x:v>
      </x:c>
      <x:c r="H1031" s="25" t="str">
        <x:v>NOT_REVEALING</x:v>
      </x:c>
      <x:c r="I1031" s="25" t="str">
        <x:v>PASS</x:v>
      </x:c>
      <x:c r="J1031" s="25" t="str">
        <x:v>PASS</x:v>
      </x:c>
      <x:c r="K1031" s="25" t="n">
        <x:v>2</x:v>
      </x:c>
      <x:c r="L1031" s="27" t="b">
        <x:v>0</x:v>
      </x:c>
      <x:c r="M1031" s="25" t="str">
        <x:v>Feedback-Directed Random Test Generation/rounds/Round2/state/Closure.json</x:v>
      </x:c>
      <x:c r="N1031" s="25" t="str">
        <x:v>Feedback-Directed Random Test Generation/Result_Round2/Closure_113/result.json</x:v>
      </x:c>
      <x:c r="O1031" s="25" t="str">
        <x:v>Feedback-Directed Random Test Generation/Result_Round2/Closure_113/result.json</x:v>
      </x:c>
      <x:c r="P1031"/>
      <x:c r="Q1031" s="21" t="str"/>
      <x:c r="R1031" s="21" t="str"/>
      <x:c r="S1031" s="21" t="str"/>
      <x:c r="T1031" s="17" t="str">
        <x:v>false</x:v>
      </x:c>
      <x:c r="U1031" s="17" t="str">
        <x:v>true</x:v>
      </x:c>
      <x:c r="V1031" s="17" t="str">
        <x:v>false</x:v>
      </x:c>
    </x:row>
    <x:row r="1032" ht="80" customHeight="1">
      <x:c r="A1032" s="25" t="str">
        <x:v>Closure</x:v>
      </x:c>
      <x:c r="B1032" s="25" t="n">
        <x:v>114</x:v>
      </x:c>
      <x:c r="C1032" s="25" t="str">
        <x:v>Round2</x:v>
      </x:c>
      <x:c r="D1032" s="25" t="str">
        <x:v>NOT_REVEALING</x:v>
      </x:c>
      <x:c r="E1032" s="25" t="str">
        <x:v>N/A</x:v>
      </x:c>
      <x:c r="F1032" s="26" t="str">
        <x:v>Same saved validation suite passed on buggy and fixed</x:v>
      </x:c>
      <x:c r="G1032" s="25" t="str">
        <x:v>true</x:v>
      </x:c>
      <x:c r="H1032" s="25" t="str">
        <x:v>NOT_REVEALING</x:v>
      </x:c>
      <x:c r="I1032" s="25" t="str">
        <x:v>PASS</x:v>
      </x:c>
      <x:c r="J1032" s="25" t="str">
        <x:v>PASS</x:v>
      </x:c>
      <x:c r="K1032" s="25" t="n">
        <x:v>5</x:v>
      </x:c>
      <x:c r="L1032" s="27" t="b">
        <x:v>0</x:v>
      </x:c>
      <x:c r="M1032" s="25" t="str">
        <x:v>Feedback-Directed Random Test Generation/rounds/Round2/state/Closure.json</x:v>
      </x:c>
      <x:c r="N1032" s="25" t="str">
        <x:v>Feedback-Directed Random Test Generation/Result_Round2/Closure_114/result.json</x:v>
      </x:c>
      <x:c r="O1032" s="25" t="str">
        <x:v>Feedback-Directed Random Test Generation/Result_Round2/Closure_114/result.json</x:v>
      </x:c>
      <x:c r="P1032"/>
      <x:c r="Q1032" s="21" t="str"/>
      <x:c r="R1032" s="21" t="str"/>
      <x:c r="S1032" s="21" t="str"/>
      <x:c r="T1032" s="17" t="str">
        <x:v>false</x:v>
      </x:c>
      <x:c r="U1032" s="17" t="str">
        <x:v>true</x:v>
      </x:c>
      <x:c r="V1032" s="17" t="str">
        <x:v>false</x:v>
      </x:c>
    </x:row>
    <x:row r="1033" ht="80" customHeight="1">
      <x:c r="A1033" s="25" t="str">
        <x:v>Closure</x:v>
      </x:c>
      <x:c r="B1033" s="25" t="n">
        <x:v>115</x:v>
      </x:c>
      <x:c r="C1033" s="25" t="str">
        <x:v>Round2</x:v>
      </x:c>
      <x:c r="D1033" s="25" t="str">
        <x:v>NOT_REVEALING</x:v>
      </x:c>
      <x:c r="E1033" s="25" t="str">
        <x:v>N/A</x:v>
      </x:c>
      <x:c r="F1033" s="26" t="str">
        <x:v>Same saved validation suite passed on buggy and fixed</x:v>
      </x:c>
      <x:c r="G1033" s="25" t="str">
        <x:v>true</x:v>
      </x:c>
      <x:c r="H1033" s="25" t="str">
        <x:v>NOT_REVEALING</x:v>
      </x:c>
      <x:c r="I1033" s="25" t="str">
        <x:v>PASS</x:v>
      </x:c>
      <x:c r="J1033" s="25" t="str">
        <x:v>PASS</x:v>
      </x:c>
      <x:c r="K1033" s="25" t="n">
        <x:v>5</x:v>
      </x:c>
      <x:c r="L1033" s="27" t="b">
        <x:v>0</x:v>
      </x:c>
      <x:c r="M1033" s="25" t="str">
        <x:v>Feedback-Directed Random Test Generation/rounds/Round2/state/Closure.json</x:v>
      </x:c>
      <x:c r="N1033" s="25" t="str">
        <x:v>Feedback-Directed Random Test Generation/Result_Round2/Closure_115/result.json</x:v>
      </x:c>
      <x:c r="O1033" s="25" t="str">
        <x:v>Feedback-Directed Random Test Generation/Result_Round2/Closure_115/result.json</x:v>
      </x:c>
      <x:c r="P1033"/>
      <x:c r="Q1033" s="21" t="str"/>
      <x:c r="R1033" s="21" t="str"/>
      <x:c r="S1033" s="21" t="str"/>
      <x:c r="T1033" s="17" t="str">
        <x:v>false</x:v>
      </x:c>
      <x:c r="U1033" s="17" t="str">
        <x:v>true</x:v>
      </x:c>
      <x:c r="V1033" s="17" t="str">
        <x:v>false</x:v>
      </x:c>
    </x:row>
    <x:row r="1034" ht="80" customHeight="1">
      <x:c r="A1034" s="25" t="str">
        <x:v>Closure</x:v>
      </x:c>
      <x:c r="B1034" s="25" t="n">
        <x:v>116</x:v>
      </x:c>
      <x:c r="C1034" s="25" t="str">
        <x:v>Round2</x:v>
      </x:c>
      <x:c r="D1034" s="25" t="str">
        <x:v>NOT_REVEALING</x:v>
      </x:c>
      <x:c r="E1034" s="25" t="str">
        <x:v>N/A</x:v>
      </x:c>
      <x:c r="F1034" s="26" t="str">
        <x:v>Same saved validation suite passed on buggy and fixed</x:v>
      </x:c>
      <x:c r="G1034" s="25" t="str">
        <x:v>true</x:v>
      </x:c>
      <x:c r="H1034" s="25" t="str">
        <x:v>NOT_REVEALING</x:v>
      </x:c>
      <x:c r="I1034" s="25" t="str">
        <x:v>PASS</x:v>
      </x:c>
      <x:c r="J1034" s="25" t="str">
        <x:v>PASS</x:v>
      </x:c>
      <x:c r="K1034" s="25" t="n">
        <x:v>4</x:v>
      </x:c>
      <x:c r="L1034" s="27" t="b">
        <x:v>0</x:v>
      </x:c>
      <x:c r="M1034" s="25" t="str">
        <x:v>Feedback-Directed Random Test Generation/rounds/Round2/state/Closure.json</x:v>
      </x:c>
      <x:c r="N1034" s="25" t="str">
        <x:v>Feedback-Directed Random Test Generation/Result_Round2/Closure_116/result.json</x:v>
      </x:c>
      <x:c r="O1034" s="25" t="str">
        <x:v>Feedback-Directed Random Test Generation/Result_Round2/Closure_116/result.json</x:v>
      </x:c>
      <x:c r="P1034"/>
      <x:c r="Q1034" s="21" t="str"/>
      <x:c r="R1034" s="21" t="str"/>
      <x:c r="S1034" s="21" t="str"/>
      <x:c r="T1034" s="17" t="str">
        <x:v>false</x:v>
      </x:c>
      <x:c r="U1034" s="17" t="str">
        <x:v>true</x:v>
      </x:c>
      <x:c r="V1034" s="17" t="str">
        <x:v>false</x:v>
      </x:c>
    </x:row>
    <x:row r="1035" ht="80" customHeight="1">
      <x:c r="A1035" s="25" t="str">
        <x:v>Closure</x:v>
      </x:c>
      <x:c r="B1035" s="25" t="n">
        <x:v>117</x:v>
      </x:c>
      <x:c r="C1035" s="25" t="str">
        <x:v>Round2</x:v>
      </x:c>
      <x:c r="D1035" s="25" t="str">
        <x:v>NOT_REVEALING</x:v>
      </x:c>
      <x:c r="E1035" s="25" t="str">
        <x:v>N/A</x:v>
      </x:c>
      <x:c r="F1035" s="26" t="str">
        <x:v>Same saved validation suite passed on buggy and fixed</x:v>
      </x:c>
      <x:c r="G1035" s="25" t="str">
        <x:v>true</x:v>
      </x:c>
      <x:c r="H1035" s="25" t="str">
        <x:v>NOT_REVEALING</x:v>
      </x:c>
      <x:c r="I1035" s="25" t="str">
        <x:v>PASS</x:v>
      </x:c>
      <x:c r="J1035" s="25" t="str">
        <x:v>PASS</x:v>
      </x:c>
      <x:c r="K1035" s="25" t="n">
        <x:v>2</x:v>
      </x:c>
      <x:c r="L1035" s="27" t="b">
        <x:v>0</x:v>
      </x:c>
      <x:c r="M1035" s="25" t="str">
        <x:v>Feedback-Directed Random Test Generation/rounds/Round2/state/Closure.json</x:v>
      </x:c>
      <x:c r="N1035" s="25" t="str">
        <x:v>Feedback-Directed Random Test Generation/Result_Round2/Closure_117/result.json</x:v>
      </x:c>
      <x:c r="O1035" s="25" t="str">
        <x:v>Feedback-Directed Random Test Generation/Result_Round2/Closure_117/result.json</x:v>
      </x:c>
      <x:c r="P1035"/>
      <x:c r="Q1035" s="21" t="str"/>
      <x:c r="R1035" s="21" t="str"/>
      <x:c r="S1035" s="21" t="str"/>
      <x:c r="T1035" s="17" t="str">
        <x:v>false</x:v>
      </x:c>
      <x:c r="U1035" s="17" t="str">
        <x:v>true</x:v>
      </x:c>
      <x:c r="V1035" s="17" t="str">
        <x:v>false</x:v>
      </x:c>
    </x:row>
    <x:row r="1036" ht="80" customHeight="1">
      <x:c r="A1036" s="25" t="str">
        <x:v>Closure</x:v>
      </x:c>
      <x:c r="B1036" s="25" t="n">
        <x:v>118</x:v>
      </x:c>
      <x:c r="C1036" s="25" t="str">
        <x:v>Round2</x:v>
      </x:c>
      <x:c r="D1036" s="25" t="str">
        <x:v>NOT_REVEALING</x:v>
      </x:c>
      <x:c r="E1036" s="25" t="str">
        <x:v>N/A</x:v>
      </x:c>
      <x:c r="F1036" s="26" t="str">
        <x:v>Same saved validation suite passed on buggy and fixed</x:v>
      </x:c>
      <x:c r="G1036" s="25" t="str">
        <x:v>true</x:v>
      </x:c>
      <x:c r="H1036" s="25" t="str">
        <x:v>NOT_REVEALING</x:v>
      </x:c>
      <x:c r="I1036" s="25" t="str">
        <x:v>PASS</x:v>
      </x:c>
      <x:c r="J1036" s="25" t="str">
        <x:v>PASS</x:v>
      </x:c>
      <x:c r="K1036" s="25" t="n">
        <x:v>2</x:v>
      </x:c>
      <x:c r="L1036" s="27" t="b">
        <x:v>0</x:v>
      </x:c>
      <x:c r="M1036" s="25" t="str">
        <x:v>Feedback-Directed Random Test Generation/rounds/Round2/state/Closure.json</x:v>
      </x:c>
      <x:c r="N1036" s="25" t="str">
        <x:v>Feedback-Directed Random Test Generation/Result_Round2/Closure_118/result.json</x:v>
      </x:c>
      <x:c r="O1036" s="25" t="str">
        <x:v>Feedback-Directed Random Test Generation/Result_Round2/Closure_118/result.json</x:v>
      </x:c>
      <x:c r="P1036"/>
      <x:c r="Q1036" s="21" t="str"/>
      <x:c r="R1036" s="21" t="str"/>
      <x:c r="S1036" s="21" t="str"/>
      <x:c r="T1036" s="17" t="str">
        <x:v>false</x:v>
      </x:c>
      <x:c r="U1036" s="17" t="str">
        <x:v>true</x:v>
      </x:c>
      <x:c r="V1036" s="17" t="str">
        <x:v>false</x:v>
      </x:c>
    </x:row>
    <x:row r="1037" ht="80" customHeight="1">
      <x:c r="A1037" s="25" t="str">
        <x:v>Closure</x:v>
      </x:c>
      <x:c r="B1037" s="25" t="n">
        <x:v>119</x:v>
      </x:c>
      <x:c r="C1037" s="25" t="str">
        <x:v>Round2</x:v>
      </x:c>
      <x:c r="D1037" s="25" t="str">
        <x:v>NOT_REVEALING</x:v>
      </x:c>
      <x:c r="E1037" s="25" t="str">
        <x:v>N/A</x:v>
      </x:c>
      <x:c r="F1037" s="26" t="str">
        <x:v>Same saved validation suite passed on buggy and fixed</x:v>
      </x:c>
      <x:c r="G1037" s="25" t="str">
        <x:v>true</x:v>
      </x:c>
      <x:c r="H1037" s="25" t="str">
        <x:v>NOT_REVEALING</x:v>
      </x:c>
      <x:c r="I1037" s="25" t="str">
        <x:v>PASS</x:v>
      </x:c>
      <x:c r="J1037" s="25" t="str">
        <x:v>PASS</x:v>
      </x:c>
      <x:c r="K1037" s="25" t="n">
        <x:v>4</x:v>
      </x:c>
      <x:c r="L1037" s="27" t="b">
        <x:v>0</x:v>
      </x:c>
      <x:c r="M1037" s="25" t="str">
        <x:v>Feedback-Directed Random Test Generation/rounds/Round2/state/Closure.json</x:v>
      </x:c>
      <x:c r="N1037" s="25" t="str">
        <x:v>Feedback-Directed Random Test Generation/Result_Round2/Closure_119/result.json</x:v>
      </x:c>
      <x:c r="O1037" s="25" t="str">
        <x:v>Feedback-Directed Random Test Generation/Result_Round2/Closure_119/result.json</x:v>
      </x:c>
      <x:c r="P1037"/>
      <x:c r="Q1037" s="21" t="str"/>
      <x:c r="R1037" s="21" t="str"/>
      <x:c r="S1037" s="21" t="str"/>
      <x:c r="T1037" s="17" t="str">
        <x:v>false</x:v>
      </x:c>
      <x:c r="U1037" s="17" t="str">
        <x:v>true</x:v>
      </x:c>
      <x:c r="V1037" s="17" t="str">
        <x:v>false</x:v>
      </x:c>
    </x:row>
    <x:row r="1038" ht="80" customHeight="1">
      <x:c r="A1038" s="25" t="str">
        <x:v>Closure</x:v>
      </x:c>
      <x:c r="B1038" s="25" t="n">
        <x:v>120</x:v>
      </x:c>
      <x:c r="C1038" s="25" t="str">
        <x:v>Round2</x:v>
      </x:c>
      <x:c r="D1038" s="25" t="str">
        <x:v>NOT_REVEALING</x:v>
      </x:c>
      <x:c r="E1038" s="25" t="str">
        <x:v>N/A</x:v>
      </x:c>
      <x:c r="F1038" s="26" t="str">
        <x:v>Same saved validation suite passed on buggy and fixed</x:v>
      </x:c>
      <x:c r="G1038" s="25" t="str">
        <x:v>true</x:v>
      </x:c>
      <x:c r="H1038" s="25" t="str">
        <x:v>NOT_REVEALING</x:v>
      </x:c>
      <x:c r="I1038" s="25" t="str">
        <x:v>PASS</x:v>
      </x:c>
      <x:c r="J1038" s="25" t="str">
        <x:v>PASS</x:v>
      </x:c>
      <x:c r="K1038" s="25" t="n">
        <x:v>5</x:v>
      </x:c>
      <x:c r="L1038" s="27" t="b">
        <x:v>0</x:v>
      </x:c>
      <x:c r="M1038" s="25" t="str">
        <x:v>Feedback-Directed Random Test Generation/rounds/Round2/state/Closure.json</x:v>
      </x:c>
      <x:c r="N1038" s="25" t="str">
        <x:v>Feedback-Directed Random Test Generation/Result_Round2/Closure_120/result.json</x:v>
      </x:c>
      <x:c r="O1038" s="25" t="str">
        <x:v>Feedback-Directed Random Test Generation/Result_Round2/Closure_120/result.json</x:v>
      </x:c>
      <x:c r="P1038"/>
      <x:c r="Q1038" s="21" t="str"/>
      <x:c r="R1038" s="21" t="str"/>
      <x:c r="S1038" s="21" t="str"/>
      <x:c r="T1038" s="17" t="str">
        <x:v>false</x:v>
      </x:c>
      <x:c r="U1038" s="17" t="str">
        <x:v>true</x:v>
      </x:c>
      <x:c r="V1038" s="17" t="str">
        <x:v>false</x:v>
      </x:c>
    </x:row>
    <x:row r="1039" ht="80" customHeight="1">
      <x:c r="A1039" s="25" t="str">
        <x:v>Closure</x:v>
      </x:c>
      <x:c r="B1039" s="25" t="n">
        <x:v>121</x:v>
      </x:c>
      <x:c r="C1039" s="25" t="str">
        <x:v>Round2</x:v>
      </x:c>
      <x:c r="D1039" s="25" t="str">
        <x:v>NOT_REVEALING</x:v>
      </x:c>
      <x:c r="E1039" s="25" t="str">
        <x:v>N/A</x:v>
      </x:c>
      <x:c r="F1039" s="26" t="str">
        <x:v>Same saved validation suite passed on buggy and fixed</x:v>
      </x:c>
      <x:c r="G1039" s="25" t="str">
        <x:v>true</x:v>
      </x:c>
      <x:c r="H1039" s="25" t="str">
        <x:v>NOT_REVEALING</x:v>
      </x:c>
      <x:c r="I1039" s="25" t="str">
        <x:v>PASS</x:v>
      </x:c>
      <x:c r="J1039" s="25" t="str">
        <x:v>PASS</x:v>
      </x:c>
      <x:c r="K1039" s="25" t="n">
        <x:v>6</x:v>
      </x:c>
      <x:c r="L1039" s="27" t="b">
        <x:v>0</x:v>
      </x:c>
      <x:c r="M1039" s="25" t="str">
        <x:v>Feedback-Directed Random Test Generation/rounds/Round2/state/Closure.json</x:v>
      </x:c>
      <x:c r="N1039" s="25" t="str">
        <x:v>Feedback-Directed Random Test Generation/Result_Round2/Closure_121/result.json</x:v>
      </x:c>
      <x:c r="O1039" s="25" t="str">
        <x:v>Feedback-Directed Random Test Generation/Result_Round2/Closure_121/result.json</x:v>
      </x:c>
      <x:c r="P1039"/>
      <x:c r="Q1039" s="21" t="str"/>
      <x:c r="R1039" s="21" t="str"/>
      <x:c r="S1039" s="21" t="str"/>
      <x:c r="T1039" s="17" t="str">
        <x:v>false</x:v>
      </x:c>
      <x:c r="U1039" s="17" t="str">
        <x:v>true</x:v>
      </x:c>
      <x:c r="V1039" s="17" t="str">
        <x:v>false</x:v>
      </x:c>
    </x:row>
    <x:row r="1040" ht="80" customHeight="1">
      <x:c r="A1040" s="25" t="str">
        <x:v>Closure</x:v>
      </x:c>
      <x:c r="B1040" s="25" t="n">
        <x:v>122</x:v>
      </x:c>
      <x:c r="C1040" s="25" t="str">
        <x:v>Round2</x:v>
      </x:c>
      <x:c r="D1040" s="25" t="str">
        <x:v>NOT_REVEALING</x:v>
      </x:c>
      <x:c r="E1040" s="25" t="str">
        <x:v>N/A</x:v>
      </x:c>
      <x:c r="F1040" s="26" t="str">
        <x:v>Same saved validation suite passed on buggy and fixed</x:v>
      </x:c>
      <x:c r="G1040" s="25" t="str">
        <x:v>true</x:v>
      </x:c>
      <x:c r="H1040" s="25" t="str">
        <x:v>NOT_REVEALING</x:v>
      </x:c>
      <x:c r="I1040" s="25" t="str">
        <x:v>PASS</x:v>
      </x:c>
      <x:c r="J1040" s="25" t="str">
        <x:v>PASS</x:v>
      </x:c>
      <x:c r="K1040" s="25" t="n">
        <x:v>2</x:v>
      </x:c>
      <x:c r="L1040" s="27" t="b">
        <x:v>0</x:v>
      </x:c>
      <x:c r="M1040" s="25" t="str">
        <x:v>Feedback-Directed Random Test Generation/rounds/Round2/state/Closure.json</x:v>
      </x:c>
      <x:c r="N1040" s="25" t="str">
        <x:v>Feedback-Directed Random Test Generation/Result_Round2/Closure_122/result.json</x:v>
      </x:c>
      <x:c r="O1040" s="25" t="str">
        <x:v>Feedback-Directed Random Test Generation/Result_Round2/Closure_122/result.json</x:v>
      </x:c>
      <x:c r="P1040"/>
      <x:c r="Q1040" s="21" t="str"/>
      <x:c r="R1040" s="21" t="str"/>
      <x:c r="S1040" s="21" t="str"/>
      <x:c r="T1040" s="17" t="str">
        <x:v>false</x:v>
      </x:c>
      <x:c r="U1040" s="17" t="str">
        <x:v>true</x:v>
      </x:c>
      <x:c r="V1040" s="17" t="str">
        <x:v>false</x:v>
      </x:c>
    </x:row>
    <x:row r="1041" ht="80" customHeight="1">
      <x:c r="A1041" s="25" t="str">
        <x:v>Closure</x:v>
      </x:c>
      <x:c r="B1041" s="25" t="n">
        <x:v>123</x:v>
      </x:c>
      <x:c r="C1041" s="25" t="str">
        <x:v>Round2</x:v>
      </x:c>
      <x:c r="D1041" s="25" t="str">
        <x:v>NOT_REVEALING</x:v>
      </x:c>
      <x:c r="E1041" s="25" t="str">
        <x:v>N/A</x:v>
      </x:c>
      <x:c r="F1041" s="26" t="str">
        <x:v>Same saved validation suite passed on buggy and fixed</x:v>
      </x:c>
      <x:c r="G1041" s="25" t="str">
        <x:v>true</x:v>
      </x:c>
      <x:c r="H1041" s="25" t="str">
        <x:v>NOT_REVEALING</x:v>
      </x:c>
      <x:c r="I1041" s="25" t="str">
        <x:v>PASS</x:v>
      </x:c>
      <x:c r="J1041" s="25" t="str">
        <x:v>PASS</x:v>
      </x:c>
      <x:c r="K1041" s="25" t="n">
        <x:v>6</x:v>
      </x:c>
      <x:c r="L1041" s="27" t="b">
        <x:v>0</x:v>
      </x:c>
      <x:c r="M1041" s="25" t="str">
        <x:v>Feedback-Directed Random Test Generation/rounds/Round2/state/Closure.json</x:v>
      </x:c>
      <x:c r="N1041" s="25" t="str">
        <x:v>Feedback-Directed Random Test Generation/Result_Round2/Closure_123/result.json</x:v>
      </x:c>
      <x:c r="O1041" s="25" t="str">
        <x:v>Feedback-Directed Random Test Generation/Result_Round2/Closure_123/result.json</x:v>
      </x:c>
      <x:c r="P1041"/>
      <x:c r="Q1041" s="21" t="str"/>
      <x:c r="R1041" s="21" t="str"/>
      <x:c r="S1041" s="21" t="str"/>
      <x:c r="T1041" s="17" t="str">
        <x:v>false</x:v>
      </x:c>
      <x:c r="U1041" s="17" t="str">
        <x:v>true</x:v>
      </x:c>
      <x:c r="V1041" s="17" t="str">
        <x:v>false</x:v>
      </x:c>
    </x:row>
    <x:row r="1042" ht="80" customHeight="1">
      <x:c r="A1042" s="25" t="str">
        <x:v>Closure</x:v>
      </x:c>
      <x:c r="B1042" s="25" t="n">
        <x:v>124</x:v>
      </x:c>
      <x:c r="C1042" s="25" t="str">
        <x:v>Round2</x:v>
      </x:c>
      <x:c r="D1042" s="25" t="str">
        <x:v>NOT_REVEALING</x:v>
      </x:c>
      <x:c r="E1042" s="25" t="str">
        <x:v>N/A</x:v>
      </x:c>
      <x:c r="F1042" s="26" t="str">
        <x:v>Same saved validation suite passed on buggy and fixed</x:v>
      </x:c>
      <x:c r="G1042" s="25" t="str">
        <x:v>true</x:v>
      </x:c>
      <x:c r="H1042" s="25" t="str">
        <x:v>NOT_REVEALING</x:v>
      </x:c>
      <x:c r="I1042" s="25" t="str">
        <x:v>PASS</x:v>
      </x:c>
      <x:c r="J1042" s="25" t="str">
        <x:v>PASS</x:v>
      </x:c>
      <x:c r="K1042" s="25" t="n">
        <x:v>2</x:v>
      </x:c>
      <x:c r="L1042" s="27" t="b">
        <x:v>0</x:v>
      </x:c>
      <x:c r="M1042" s="25" t="str">
        <x:v>Feedback-Directed Random Test Generation/rounds/Round2/state/Closure.json</x:v>
      </x:c>
      <x:c r="N1042" s="25" t="str">
        <x:v>Feedback-Directed Random Test Generation/Result_Round2/Closure_124/result.json</x:v>
      </x:c>
      <x:c r="O1042" s="25" t="str">
        <x:v>Feedback-Directed Random Test Generation/Result_Round2/Closure_124/result.json</x:v>
      </x:c>
      <x:c r="P1042"/>
      <x:c r="Q1042" s="21" t="str"/>
      <x:c r="R1042" s="21" t="str"/>
      <x:c r="S1042" s="21" t="str"/>
      <x:c r="T1042" s="17" t="str">
        <x:v>false</x:v>
      </x:c>
      <x:c r="U1042" s="17" t="str">
        <x:v>true</x:v>
      </x:c>
      <x:c r="V1042" s="17" t="str">
        <x:v>false</x:v>
      </x:c>
    </x:row>
    <x:row r="1043" ht="80" customHeight="1">
      <x:c r="A1043" s="25" t="str">
        <x:v>Closure</x:v>
      </x:c>
      <x:c r="B1043" s="25" t="n">
        <x:v>125</x:v>
      </x:c>
      <x:c r="C1043" s="25" t="str">
        <x:v>Round2</x:v>
      </x:c>
      <x:c r="D1043" s="25" t="str">
        <x:v>NOT_REVEALING</x:v>
      </x:c>
      <x:c r="E1043" s="25" t="str">
        <x:v>N/A</x:v>
      </x:c>
      <x:c r="F1043" s="26" t="str">
        <x:v>Same saved validation suite passed on buggy and fixed</x:v>
      </x:c>
      <x:c r="G1043" s="25" t="str">
        <x:v>true</x:v>
      </x:c>
      <x:c r="H1043" s="25" t="str">
        <x:v>NOT_REVEALING</x:v>
      </x:c>
      <x:c r="I1043" s="25" t="str">
        <x:v>PASS</x:v>
      </x:c>
      <x:c r="J1043" s="25" t="str">
        <x:v>PASS</x:v>
      </x:c>
      <x:c r="K1043" s="25" t="n">
        <x:v>2</x:v>
      </x:c>
      <x:c r="L1043" s="27" t="b">
        <x:v>0</x:v>
      </x:c>
      <x:c r="M1043" s="25" t="str">
        <x:v>Feedback-Directed Random Test Generation/rounds/Round2/state/Closure.json</x:v>
      </x:c>
      <x:c r="N1043" s="25" t="str">
        <x:v>Feedback-Directed Random Test Generation/Result_Round2/Closure_125/result.json</x:v>
      </x:c>
      <x:c r="O1043" s="25" t="str">
        <x:v>Feedback-Directed Random Test Generation/Result_Round2/Closure_125/result.json</x:v>
      </x:c>
      <x:c r="P1043"/>
      <x:c r="Q1043" s="21" t="str"/>
      <x:c r="R1043" s="21" t="str"/>
      <x:c r="S1043" s="21" t="str"/>
      <x:c r="T1043" s="17" t="str">
        <x:v>false</x:v>
      </x:c>
      <x:c r="U1043" s="17" t="str">
        <x:v>true</x:v>
      </x:c>
      <x:c r="V1043" s="17" t="str">
        <x:v>false</x:v>
      </x:c>
    </x:row>
    <x:row r="1044" ht="80" customHeight="1">
      <x:c r="A1044" s="25" t="str">
        <x:v>Closure</x:v>
      </x:c>
      <x:c r="B1044" s="25" t="n">
        <x:v>126</x:v>
      </x:c>
      <x:c r="C1044" s="25" t="str">
        <x:v>Round2</x:v>
      </x:c>
      <x:c r="D1044" s="25" t="str">
        <x:v>NOT_REVEALING</x:v>
      </x:c>
      <x:c r="E1044" s="25" t="str">
        <x:v>N/A</x:v>
      </x:c>
      <x:c r="F1044" s="26" t="str">
        <x:v>Same saved validation suite passed on buggy and fixed</x:v>
      </x:c>
      <x:c r="G1044" s="25" t="str">
        <x:v>true</x:v>
      </x:c>
      <x:c r="H1044" s="25" t="str">
        <x:v>NOT_REVEALING</x:v>
      </x:c>
      <x:c r="I1044" s="25" t="str">
        <x:v>PASS</x:v>
      </x:c>
      <x:c r="J1044" s="25" t="str">
        <x:v>PASS</x:v>
      </x:c>
      <x:c r="K1044" s="25" t="n">
        <x:v>6</x:v>
      </x:c>
      <x:c r="L1044" s="27" t="b">
        <x:v>0</x:v>
      </x:c>
      <x:c r="M1044" s="25" t="str">
        <x:v>Feedback-Directed Random Test Generation/rounds/Round2/state/Closure.json</x:v>
      </x:c>
      <x:c r="N1044" s="25" t="str">
        <x:v>Feedback-Directed Random Test Generation/Result_Round2/Closure_126/result.json</x:v>
      </x:c>
      <x:c r="O1044" s="25" t="str">
        <x:v>Feedback-Directed Random Test Generation/Result_Round2/Closure_126/result.json</x:v>
      </x:c>
      <x:c r="P1044"/>
      <x:c r="Q1044" s="21" t="str"/>
      <x:c r="R1044" s="21" t="str"/>
      <x:c r="S1044" s="21" t="str"/>
      <x:c r="T1044" s="17" t="str">
        <x:v>false</x:v>
      </x:c>
      <x:c r="U1044" s="17" t="str">
        <x:v>true</x:v>
      </x:c>
      <x:c r="V1044" s="17" t="str">
        <x:v>false</x:v>
      </x:c>
    </x:row>
    <x:row r="1045" ht="80" customHeight="1">
      <x:c r="A1045" s="25" t="str">
        <x:v>Closure</x:v>
      </x:c>
      <x:c r="B1045" s="25" t="n">
        <x:v>127</x:v>
      </x:c>
      <x:c r="C1045" s="25" t="str">
        <x:v>Round2</x:v>
      </x:c>
      <x:c r="D1045" s="25" t="str">
        <x:v>NOT_REVEALING</x:v>
      </x:c>
      <x:c r="E1045" s="25" t="str">
        <x:v>N/A</x:v>
      </x:c>
      <x:c r="F1045" s="26" t="str">
        <x:v>Same saved validation suite passed on buggy and fixed</x:v>
      </x:c>
      <x:c r="G1045" s="25" t="str">
        <x:v>true</x:v>
      </x:c>
      <x:c r="H1045" s="25" t="str">
        <x:v>NOT_REVEALING</x:v>
      </x:c>
      <x:c r="I1045" s="25" t="str">
        <x:v>PASS</x:v>
      </x:c>
      <x:c r="J1045" s="25" t="str">
        <x:v>PASS</x:v>
      </x:c>
      <x:c r="K1045" s="25" t="n">
        <x:v>2</x:v>
      </x:c>
      <x:c r="L1045" s="27" t="b">
        <x:v>0</x:v>
      </x:c>
      <x:c r="M1045" s="25" t="str">
        <x:v>Feedback-Directed Random Test Generation/rounds/Round2/state/Closure.json</x:v>
      </x:c>
      <x:c r="N1045" s="25" t="str">
        <x:v>Feedback-Directed Random Test Generation/Result_Round2/Closure_127/result.json</x:v>
      </x:c>
      <x:c r="O1045" s="25" t="str">
        <x:v>Feedback-Directed Random Test Generation/Result_Round2/Closure_127/result.json</x:v>
      </x:c>
      <x:c r="P1045"/>
      <x:c r="Q1045" s="21" t="str"/>
      <x:c r="R1045" s="21" t="str"/>
      <x:c r="S1045" s="21" t="str"/>
      <x:c r="T1045" s="17" t="str">
        <x:v>false</x:v>
      </x:c>
      <x:c r="U1045" s="17" t="str">
        <x:v>true</x:v>
      </x:c>
      <x:c r="V1045" s="17" t="str">
        <x:v>false</x:v>
      </x:c>
    </x:row>
    <x:row r="1046" ht="80" customHeight="1">
      <x:c r="A1046" s="25" t="str">
        <x:v>Closure</x:v>
      </x:c>
      <x:c r="B1046" s="25" t="n">
        <x:v>128</x:v>
      </x:c>
      <x:c r="C1046" s="25" t="str">
        <x:v>Round2</x:v>
      </x:c>
      <x:c r="D1046" s="25" t="str">
        <x:v>NOT_REVEALING</x:v>
      </x:c>
      <x:c r="E1046" s="25" t="str">
        <x:v>N/A</x:v>
      </x:c>
      <x:c r="F1046" s="26" t="str">
        <x:v>Same saved validation suite passed on buggy and fixed</x:v>
      </x:c>
      <x:c r="G1046" s="25" t="str">
        <x:v>true</x:v>
      </x:c>
      <x:c r="H1046" s="25" t="str">
        <x:v>NOT_REVEALING</x:v>
      </x:c>
      <x:c r="I1046" s="25" t="str">
        <x:v>PASS</x:v>
      </x:c>
      <x:c r="J1046" s="25" t="str">
        <x:v>PASS</x:v>
      </x:c>
      <x:c r="K1046" s="25" t="n">
        <x:v>5</x:v>
      </x:c>
      <x:c r="L1046" s="27" t="b">
        <x:v>0</x:v>
      </x:c>
      <x:c r="M1046" s="25" t="str">
        <x:v>Feedback-Directed Random Test Generation/rounds/Round2/state/Closure.json</x:v>
      </x:c>
      <x:c r="N1046" s="25" t="str">
        <x:v>Feedback-Directed Random Test Generation/Result_Round2/Closure_128/result.json</x:v>
      </x:c>
      <x:c r="O1046" s="25" t="str">
        <x:v>Feedback-Directed Random Test Generation/Result_Round2/Closure_128/result.json</x:v>
      </x:c>
      <x:c r="P1046"/>
      <x:c r="Q1046" s="21" t="str"/>
      <x:c r="R1046" s="21" t="str"/>
      <x:c r="S1046" s="21" t="str"/>
      <x:c r="T1046" s="17" t="str">
        <x:v>false</x:v>
      </x:c>
      <x:c r="U1046" s="17" t="str">
        <x:v>true</x:v>
      </x:c>
      <x:c r="V1046" s="17" t="str">
        <x:v>false</x:v>
      </x:c>
    </x:row>
    <x:row r="1047" ht="80" customHeight="1">
      <x:c r="A1047" s="25" t="str">
        <x:v>Closure</x:v>
      </x:c>
      <x:c r="B1047" s="25" t="n">
        <x:v>129</x:v>
      </x:c>
      <x:c r="C1047" s="25" t="str">
        <x:v>Round2</x:v>
      </x:c>
      <x:c r="D1047" s="25" t="str">
        <x:v>NOT_REVEALING</x:v>
      </x:c>
      <x:c r="E1047" s="25" t="str">
        <x:v>N/A</x:v>
      </x:c>
      <x:c r="F1047" s="26" t="str">
        <x:v>Same saved validation suite passed on buggy and fixed</x:v>
      </x:c>
      <x:c r="G1047" s="25" t="str">
        <x:v>true</x:v>
      </x:c>
      <x:c r="H1047" s="25" t="str">
        <x:v>NOT_REVEALING</x:v>
      </x:c>
      <x:c r="I1047" s="25" t="str">
        <x:v>PASS</x:v>
      </x:c>
      <x:c r="J1047" s="25" t="str">
        <x:v>PASS</x:v>
      </x:c>
      <x:c r="K1047" s="25" t="n">
        <x:v>2</x:v>
      </x:c>
      <x:c r="L1047" s="27" t="b">
        <x:v>0</x:v>
      </x:c>
      <x:c r="M1047" s="25" t="str">
        <x:v>Feedback-Directed Random Test Generation/rounds/Round2/state/Closure.json</x:v>
      </x:c>
      <x:c r="N1047" s="25" t="str">
        <x:v>Feedback-Directed Random Test Generation/Result_Round2/Closure_129/result.json</x:v>
      </x:c>
      <x:c r="O1047" s="25" t="str">
        <x:v>Feedback-Directed Random Test Generation/Result_Round2/Closure_129/result.json</x:v>
      </x:c>
      <x:c r="P1047"/>
      <x:c r="Q1047" s="21" t="str"/>
      <x:c r="R1047" s="21" t="str"/>
      <x:c r="S1047" s="21" t="str"/>
      <x:c r="T1047" s="17" t="str">
        <x:v>false</x:v>
      </x:c>
      <x:c r="U1047" s="17" t="str">
        <x:v>true</x:v>
      </x:c>
      <x:c r="V1047" s="17" t="str">
        <x:v>false</x:v>
      </x:c>
    </x:row>
    <x:row r="1048" ht="80" customHeight="1">
      <x:c r="A1048" s="25" t="str">
        <x:v>Closure</x:v>
      </x:c>
      <x:c r="B1048" s="25" t="n">
        <x:v>130</x:v>
      </x:c>
      <x:c r="C1048" s="25" t="str">
        <x:v>Round2</x:v>
      </x:c>
      <x:c r="D1048" s="25" t="str">
        <x:v>NOT_REVEALING</x:v>
      </x:c>
      <x:c r="E1048" s="25" t="str">
        <x:v>N/A</x:v>
      </x:c>
      <x:c r="F1048" s="26" t="str">
        <x:v>Same saved validation suite passed on buggy and fixed</x:v>
      </x:c>
      <x:c r="G1048" s="25" t="str">
        <x:v>true</x:v>
      </x:c>
      <x:c r="H1048" s="25" t="str">
        <x:v>NOT_REVEALING</x:v>
      </x:c>
      <x:c r="I1048" s="25" t="str">
        <x:v>PASS</x:v>
      </x:c>
      <x:c r="J1048" s="25" t="str">
        <x:v>PASS</x:v>
      </x:c>
      <x:c r="K1048" s="25" t="n">
        <x:v>2</x:v>
      </x:c>
      <x:c r="L1048" s="27" t="b">
        <x:v>0</x:v>
      </x:c>
      <x:c r="M1048" s="25" t="str">
        <x:v>Feedback-Directed Random Test Generation/rounds/Round2/state/Closure.json</x:v>
      </x:c>
      <x:c r="N1048" s="25" t="str">
        <x:v>Feedback-Directed Random Test Generation/Result_Round2/Closure_130/result.json</x:v>
      </x:c>
      <x:c r="O1048" s="25" t="str">
        <x:v>Feedback-Directed Random Test Generation/Result_Round2/Closure_130/result.json</x:v>
      </x:c>
      <x:c r="P1048"/>
      <x:c r="Q1048" s="21" t="str"/>
      <x:c r="R1048" s="21" t="str"/>
      <x:c r="S1048" s="21" t="str"/>
      <x:c r="T1048" s="17" t="str">
        <x:v>false</x:v>
      </x:c>
      <x:c r="U1048" s="17" t="str">
        <x:v>true</x:v>
      </x:c>
      <x:c r="V1048" s="17" t="str">
        <x:v>false</x:v>
      </x:c>
    </x:row>
    <x:row r="1049" ht="80" customHeight="1">
      <x:c r="A1049" s="25" t="str">
        <x:v>Closure</x:v>
      </x:c>
      <x:c r="B1049" s="25" t="n">
        <x:v>131</x:v>
      </x:c>
      <x:c r="C1049" s="25" t="str">
        <x:v>Round2</x:v>
      </x:c>
      <x:c r="D1049" s="25" t="str">
        <x:v>NOT_REVEALING</x:v>
      </x:c>
      <x:c r="E1049" s="25" t="str">
        <x:v>N/A</x:v>
      </x:c>
      <x:c r="F1049" s="26" t="str">
        <x:v>Same saved validation suite passed on buggy and fixed</x:v>
      </x:c>
      <x:c r="G1049" s="25" t="str">
        <x:v>true</x:v>
      </x:c>
      <x:c r="H1049" s="25" t="str">
        <x:v>NOT_REVEALING</x:v>
      </x:c>
      <x:c r="I1049" s="25" t="str">
        <x:v>PASS</x:v>
      </x:c>
      <x:c r="J1049" s="25" t="str">
        <x:v>PASS</x:v>
      </x:c>
      <x:c r="K1049" s="25" t="n">
        <x:v>2</x:v>
      </x:c>
      <x:c r="L1049" s="27" t="b">
        <x:v>0</x:v>
      </x:c>
      <x:c r="M1049" s="25" t="str">
        <x:v>Feedback-Directed Random Test Generation/rounds/Round2/state/Closure.json</x:v>
      </x:c>
      <x:c r="N1049" s="25" t="str">
        <x:v>Feedback-Directed Random Test Generation/Result_Round2/Closure_131/result.json</x:v>
      </x:c>
      <x:c r="O1049" s="25" t="str">
        <x:v>Feedback-Directed Random Test Generation/Result_Round2/Closure_131/result.json</x:v>
      </x:c>
      <x:c r="P1049"/>
      <x:c r="Q1049" s="21" t="str"/>
      <x:c r="R1049" s="21" t="str"/>
      <x:c r="S1049" s="21" t="str"/>
      <x:c r="T1049" s="17" t="str">
        <x:v>false</x:v>
      </x:c>
      <x:c r="U1049" s="17" t="str">
        <x:v>true</x:v>
      </x:c>
      <x:c r="V1049" s="17" t="str">
        <x:v>false</x:v>
      </x:c>
    </x:row>
    <x:row r="1050" ht="80" customHeight="1">
      <x:c r="A1050" s="25" t="str">
        <x:v>Closure</x:v>
      </x:c>
      <x:c r="B1050" s="25" t="n">
        <x:v>132</x:v>
      </x:c>
      <x:c r="C1050" s="25" t="str">
        <x:v>Round2</x:v>
      </x:c>
      <x:c r="D1050" s="25" t="str">
        <x:v>NOT_REVEALING</x:v>
      </x:c>
      <x:c r="E1050" s="25" t="str">
        <x:v>N/A</x:v>
      </x:c>
      <x:c r="F1050" s="26" t="str">
        <x:v>Same saved validation suite passed on buggy and fixed</x:v>
      </x:c>
      <x:c r="G1050" s="25" t="str">
        <x:v>true</x:v>
      </x:c>
      <x:c r="H1050" s="25" t="str">
        <x:v>NOT_REVEALING</x:v>
      </x:c>
      <x:c r="I1050" s="25" t="str">
        <x:v>PASS</x:v>
      </x:c>
      <x:c r="J1050" s="25" t="str">
        <x:v>PASS</x:v>
      </x:c>
      <x:c r="K1050" s="25" t="n">
        <x:v>6</x:v>
      </x:c>
      <x:c r="L1050" s="27" t="b">
        <x:v>0</x:v>
      </x:c>
      <x:c r="M1050" s="25" t="str">
        <x:v>Feedback-Directed Random Test Generation/rounds/Round2/state/Closure.json</x:v>
      </x:c>
      <x:c r="N1050" s="25" t="str">
        <x:v>Feedback-Directed Random Test Generation/Result_Round2/Closure_132/result.json</x:v>
      </x:c>
      <x:c r="O1050" s="25" t="str">
        <x:v>Feedback-Directed Random Test Generation/Result_Round2/Closure_132/result.json</x:v>
      </x:c>
      <x:c r="P1050"/>
      <x:c r="Q1050" s="21" t="str"/>
      <x:c r="R1050" s="21" t="str"/>
      <x:c r="S1050" s="21" t="str"/>
      <x:c r="T1050" s="17" t="str">
        <x:v>false</x:v>
      </x:c>
      <x:c r="U1050" s="17" t="str">
        <x:v>true</x:v>
      </x:c>
      <x:c r="V1050" s="17" t="str">
        <x:v>false</x:v>
      </x:c>
    </x:row>
    <x:row r="1051" ht="80" customHeight="1">
      <x:c r="A1051" s="25" t="str">
        <x:v>Closure</x:v>
      </x:c>
      <x:c r="B1051" s="25" t="n">
        <x:v>133</x:v>
      </x:c>
      <x:c r="C1051" s="25" t="str">
        <x:v>Round2</x:v>
      </x:c>
      <x:c r="D1051" s="25" t="str">
        <x:v>NOT_REVEALING</x:v>
      </x:c>
      <x:c r="E1051" s="25" t="str">
        <x:v>N/A</x:v>
      </x:c>
      <x:c r="F1051" s="26" t="str">
        <x:v>Same saved validation suite passed on buggy and fixed</x:v>
      </x:c>
      <x:c r="G1051" s="25" t="str">
        <x:v>true</x:v>
      </x:c>
      <x:c r="H1051" s="25" t="str">
        <x:v>NOT_REVEALING</x:v>
      </x:c>
      <x:c r="I1051" s="25" t="str">
        <x:v>PASS</x:v>
      </x:c>
      <x:c r="J1051" s="25" t="str">
        <x:v>PASS</x:v>
      </x:c>
      <x:c r="K1051" s="25" t="n">
        <x:v>2</x:v>
      </x:c>
      <x:c r="L1051" s="27" t="b">
        <x:v>0</x:v>
      </x:c>
      <x:c r="M1051" s="25" t="str">
        <x:v>Feedback-Directed Random Test Generation/rounds/Round2/state/Closure.json</x:v>
      </x:c>
      <x:c r="N1051" s="25" t="str">
        <x:v>Feedback-Directed Random Test Generation/Result_Round2/Closure_133/result.json</x:v>
      </x:c>
      <x:c r="O1051" s="25" t="str">
        <x:v>Feedback-Directed Random Test Generation/Result_Round2/Closure_133/result.json</x:v>
      </x:c>
      <x:c r="P1051"/>
      <x:c r="Q1051" s="21" t="str"/>
      <x:c r="R1051" s="21" t="str"/>
      <x:c r="S1051" s="21" t="str"/>
      <x:c r="T1051" s="17" t="str">
        <x:v>false</x:v>
      </x:c>
      <x:c r="U1051" s="17" t="str">
        <x:v>true</x:v>
      </x:c>
      <x:c r="V1051" s="17" t="str">
        <x:v>false</x:v>
      </x:c>
    </x:row>
    <x:row r="1052" ht="80" customHeight="1">
      <x:c r="A1052" s="25" t="str">
        <x:v>Closure</x:v>
      </x:c>
      <x:c r="B1052" s="25" t="n">
        <x:v>134</x:v>
      </x:c>
      <x:c r="C1052" s="25" t="str">
        <x:v>Round2</x:v>
      </x:c>
      <x:c r="D1052" s="25" t="str">
        <x:v>NOT_REVEALING</x:v>
      </x:c>
      <x:c r="E1052" s="25" t="str">
        <x:v>N/A</x:v>
      </x:c>
      <x:c r="F1052" s="26" t="str">
        <x:v>Same saved validation suite passed on buggy and fixed</x:v>
      </x:c>
      <x:c r="G1052" s="25" t="str">
        <x:v>true</x:v>
      </x:c>
      <x:c r="H1052" s="25" t="str">
        <x:v>NOT_REVEALING</x:v>
      </x:c>
      <x:c r="I1052" s="25" t="str">
        <x:v>PASS</x:v>
      </x:c>
      <x:c r="J1052" s="25" t="str">
        <x:v>PASS</x:v>
      </x:c>
      <x:c r="K1052" s="25" t="n">
        <x:v>9</x:v>
      </x:c>
      <x:c r="L1052" s="27" t="b">
        <x:v>0</x:v>
      </x:c>
      <x:c r="M1052" s="25" t="str">
        <x:v>Feedback-Directed Random Test Generation/rounds/Round2/state/Closure.json</x:v>
      </x:c>
      <x:c r="N1052" s="25" t="str">
        <x:v>Feedback-Directed Random Test Generation/Result_Round2/Closure_134/result.json</x:v>
      </x:c>
      <x:c r="O1052" s="25" t="str">
        <x:v>Feedback-Directed Random Test Generation/Result_Round2/Closure_134/result.json</x:v>
      </x:c>
      <x:c r="P1052"/>
      <x:c r="Q1052" s="21" t="str"/>
      <x:c r="R1052" s="21" t="str"/>
      <x:c r="S1052" s="21" t="str"/>
      <x:c r="T1052" s="17" t="str">
        <x:v>false</x:v>
      </x:c>
      <x:c r="U1052" s="17" t="str">
        <x:v>true</x:v>
      </x:c>
      <x:c r="V1052" s="17" t="str">
        <x:v>false</x:v>
      </x:c>
    </x:row>
    <x:row r="1053" ht="80" customHeight="1">
      <x:c r="A1053" s="25" t="str">
        <x:v>Closure</x:v>
      </x:c>
      <x:c r="B1053" s="25" t="n">
        <x:v>135</x:v>
      </x:c>
      <x:c r="C1053" s="25" t="str">
        <x:v>Round2</x:v>
      </x:c>
      <x:c r="D1053" s="25" t="str">
        <x:v>NOT_REVEALING</x:v>
      </x:c>
      <x:c r="E1053" s="25" t="str">
        <x:v>N/A</x:v>
      </x:c>
      <x:c r="F1053" s="26" t="str">
        <x:v>Same saved validation suite passed on buggy and fixed</x:v>
      </x:c>
      <x:c r="G1053" s="25" t="str">
        <x:v>true</x:v>
      </x:c>
      <x:c r="H1053" s="25" t="str">
        <x:v>NOT_REVEALING</x:v>
      </x:c>
      <x:c r="I1053" s="25" t="str">
        <x:v>PASS</x:v>
      </x:c>
      <x:c r="J1053" s="25" t="str">
        <x:v>PASS</x:v>
      </x:c>
      <x:c r="K1053" s="25" t="n">
        <x:v>2</x:v>
      </x:c>
      <x:c r="L1053" s="27" t="b">
        <x:v>0</x:v>
      </x:c>
      <x:c r="M1053" s="25" t="str">
        <x:v>Feedback-Directed Random Test Generation/rounds/Round2/state/Closure.json</x:v>
      </x:c>
      <x:c r="N1053" s="25" t="str">
        <x:v>Feedback-Directed Random Test Generation/Result_Round2/Closure_135/result.json</x:v>
      </x:c>
      <x:c r="O1053" s="25" t="str">
        <x:v>Feedback-Directed Random Test Generation/Result_Round2/Closure_135/result.json</x:v>
      </x:c>
      <x:c r="P1053"/>
      <x:c r="Q1053" s="21" t="str"/>
      <x:c r="R1053" s="21" t="str"/>
      <x:c r="S1053" s="21" t="str"/>
      <x:c r="T1053" s="17" t="str">
        <x:v>false</x:v>
      </x:c>
      <x:c r="U1053" s="17" t="str">
        <x:v>true</x:v>
      </x:c>
      <x:c r="V1053" s="17" t="str">
        <x:v>false</x:v>
      </x:c>
    </x:row>
    <x:row r="1054" ht="80" customHeight="1">
      <x:c r="A1054" s="25" t="str">
        <x:v>Closure</x:v>
      </x:c>
      <x:c r="B1054" s="25" t="n">
        <x:v>136</x:v>
      </x:c>
      <x:c r="C1054" s="25" t="str">
        <x:v>Round2</x:v>
      </x:c>
      <x:c r="D1054" s="25" t="str">
        <x:v>NOT_REVEALING</x:v>
      </x:c>
      <x:c r="E1054" s="25" t="str">
        <x:v>N/A</x:v>
      </x:c>
      <x:c r="F1054" s="26" t="str">
        <x:v>Same saved validation suite passed on buggy and fixed</x:v>
      </x:c>
      <x:c r="G1054" s="25" t="str">
        <x:v>true</x:v>
      </x:c>
      <x:c r="H1054" s="25" t="str">
        <x:v>NOT_REVEALING</x:v>
      </x:c>
      <x:c r="I1054" s="25" t="str">
        <x:v>PASS</x:v>
      </x:c>
      <x:c r="J1054" s="25" t="str">
        <x:v>PASS</x:v>
      </x:c>
      <x:c r="K1054" s="25" t="n">
        <x:v>2</x:v>
      </x:c>
      <x:c r="L1054" s="27" t="b">
        <x:v>0</x:v>
      </x:c>
      <x:c r="M1054" s="25" t="str">
        <x:v>Feedback-Directed Random Test Generation/rounds/Round2/state/Closure.json</x:v>
      </x:c>
      <x:c r="N1054" s="25" t="str">
        <x:v>Feedback-Directed Random Test Generation/Result_Round2/Closure_136/result.json</x:v>
      </x:c>
      <x:c r="O1054" s="25" t="str">
        <x:v>Feedback-Directed Random Test Generation/Result_Round2/Closure_136/result.json</x:v>
      </x:c>
      <x:c r="P1054"/>
      <x:c r="Q1054" s="21" t="str"/>
      <x:c r="R1054" s="21" t="str"/>
      <x:c r="S1054" s="21" t="str"/>
      <x:c r="T1054" s="17" t="str">
        <x:v>false</x:v>
      </x:c>
      <x:c r="U1054" s="17" t="str">
        <x:v>true</x:v>
      </x:c>
      <x:c r="V1054" s="17" t="str">
        <x:v>false</x:v>
      </x:c>
    </x:row>
    <x:row r="1055" ht="80" customHeight="1">
      <x:c r="A1055" s="25" t="str">
        <x:v>Closure</x:v>
      </x:c>
      <x:c r="B1055" s="25" t="n">
        <x:v>137</x:v>
      </x:c>
      <x:c r="C1055" s="25" t="str">
        <x:v>Round2</x:v>
      </x:c>
      <x:c r="D1055" s="25" t="str">
        <x:v>INCONCLUSIVE</x:v>
      </x:c>
      <x:c r="E1055" s="25" t="str">
        <x:v>N/A</x:v>
      </x:c>
      <x:c r="F1055" s="26" t="str">
        <x:v>Fixed also failed; assertion failure cannot be attributed to this bug; Assertions failed with measured coverage; paired execution and stage checks determine status</x:v>
      </x:c>
      <x:c r="G1055" s="25" t="str">
        <x:v>true</x:v>
      </x:c>
      <x:c r="H1055" s="25" t="str">
        <x:v>INCONCLUSIVE</x:v>
      </x:c>
      <x:c r="I1055" s="25" t="str">
        <x:v>FAIL</x:v>
      </x:c>
      <x:c r="J1055" s="25" t="str">
        <x:v>FAIL</x:v>
      </x:c>
      <x:c r="K1055" s="25" t="n">
        <x:v>8</x:v>
      </x:c>
      <x:c r="L1055" s="27" t="b">
        <x:v>0</x:v>
      </x:c>
      <x:c r="M1055" s="25" t="str">
        <x:v>Feedback-Directed Random Test Generation/rounds/Round2/state/Closure.json</x:v>
      </x:c>
      <x:c r="N1055" s="25" t="str">
        <x:v>Feedback-Directed Random Test Generation/Result_Round2/Closure_137/result.json</x:v>
      </x:c>
      <x:c r="O1055" s="25" t="str">
        <x:v>Feedback-Directed Random Test Generation/Result_Round2/Closure_137/result.json</x:v>
      </x:c>
      <x:c r="P1055"/>
      <x:c r="Q1055" s="21" t="str"/>
      <x:c r="R1055" s="21" t="str"/>
      <x:c r="S1055" s="21" t="str"/>
      <x:c r="T1055" s="17" t="str">
        <x:v>false</x:v>
      </x:c>
      <x:c r="U1055" s="17" t="str">
        <x:v>true</x:v>
      </x:c>
      <x:c r="V1055" s="17" t="str">
        <x:v>false</x:v>
      </x:c>
    </x:row>
    <x:row r="1056" ht="80" customHeight="1">
      <x:c r="A1056" s="25" t="str">
        <x:v>Closure</x:v>
      </x:c>
      <x:c r="B1056" s="25" t="n">
        <x:v>138</x:v>
      </x:c>
      <x:c r="C1056" s="25" t="str">
        <x:v>Round2</x:v>
      </x:c>
      <x:c r="D1056" s="25" t="str">
        <x:v>NOT_REVEALING</x:v>
      </x:c>
      <x:c r="E1056" s="25" t="str">
        <x:v>N/A</x:v>
      </x:c>
      <x:c r="F1056" s="26" t="str">
        <x:v>Same saved validation suite passed on buggy and fixed</x:v>
      </x:c>
      <x:c r="G1056" s="25" t="str">
        <x:v>true</x:v>
      </x:c>
      <x:c r="H1056" s="25" t="str">
        <x:v>NOT_REVEALING</x:v>
      </x:c>
      <x:c r="I1056" s="25" t="str">
        <x:v>PASS</x:v>
      </x:c>
      <x:c r="J1056" s="25" t="str">
        <x:v>PASS</x:v>
      </x:c>
      <x:c r="K1056" s="25" t="n">
        <x:v>2</x:v>
      </x:c>
      <x:c r="L1056" s="27" t="b">
        <x:v>0</x:v>
      </x:c>
      <x:c r="M1056" s="25" t="str">
        <x:v>Feedback-Directed Random Test Generation/rounds/Round2/state/Closure.json</x:v>
      </x:c>
      <x:c r="N1056" s="25" t="str">
        <x:v>Feedback-Directed Random Test Generation/Result_Round2/Closure_138/result.json</x:v>
      </x:c>
      <x:c r="O1056" s="25" t="str">
        <x:v>Feedback-Directed Random Test Generation/Result_Round2/Closure_138/result.json</x:v>
      </x:c>
      <x:c r="P1056"/>
      <x:c r="Q1056" s="21" t="str"/>
      <x:c r="R1056" s="21" t="str"/>
      <x:c r="S1056" s="21" t="str"/>
      <x:c r="T1056" s="17" t="str">
        <x:v>false</x:v>
      </x:c>
      <x:c r="U1056" s="17" t="str">
        <x:v>true</x:v>
      </x:c>
      <x:c r="V1056" s="17" t="str">
        <x:v>false</x:v>
      </x:c>
    </x:row>
    <x:row r="1057" ht="80" customHeight="1">
      <x:c r="A1057" s="25" t="str">
        <x:v>Closure</x:v>
      </x:c>
      <x:c r="B1057" s="25" t="n">
        <x:v>139</x:v>
      </x:c>
      <x:c r="C1057" s="25" t="str">
        <x:v>Round2</x:v>
      </x:c>
      <x:c r="D1057" s="25" t="str">
        <x:v>NOT_REVEALING</x:v>
      </x:c>
      <x:c r="E1057" s="25" t="str">
        <x:v>N/A</x:v>
      </x:c>
      <x:c r="F1057" s="26" t="str">
        <x:v>Same saved validation suite passed on buggy and fixed</x:v>
      </x:c>
      <x:c r="G1057" s="25" t="str">
        <x:v>true</x:v>
      </x:c>
      <x:c r="H1057" s="25" t="str">
        <x:v>NOT_REVEALING</x:v>
      </x:c>
      <x:c r="I1057" s="25" t="str">
        <x:v>PASS</x:v>
      </x:c>
      <x:c r="J1057" s="25" t="str">
        <x:v>PASS</x:v>
      </x:c>
      <x:c r="K1057" s="25" t="n">
        <x:v>2</x:v>
      </x:c>
      <x:c r="L1057" s="27" t="b">
        <x:v>0</x:v>
      </x:c>
      <x:c r="M1057" s="25" t="str">
        <x:v>Feedback-Directed Random Test Generation/rounds/Round2/state/Closure.json</x:v>
      </x:c>
      <x:c r="N1057" s="25" t="str">
        <x:v>Feedback-Directed Random Test Generation/Result_Round2/Closure_139/result.json</x:v>
      </x:c>
      <x:c r="O1057" s="25" t="str">
        <x:v>Feedback-Directed Random Test Generation/Result_Round2/Closure_139/result.json</x:v>
      </x:c>
      <x:c r="P1057"/>
      <x:c r="Q1057" s="21" t="str"/>
      <x:c r="R1057" s="21" t="str"/>
      <x:c r="S1057" s="21" t="str"/>
      <x:c r="T1057" s="17" t="str">
        <x:v>false</x:v>
      </x:c>
      <x:c r="U1057" s="17" t="str">
        <x:v>true</x:v>
      </x:c>
      <x:c r="V1057" s="17" t="str">
        <x:v>false</x:v>
      </x:c>
    </x:row>
    <x:row r="1058" ht="80" customHeight="1">
      <x:c r="A1058" s="25" t="str">
        <x:v>Closure</x:v>
      </x:c>
      <x:c r="B1058" s="25" t="n">
        <x:v>140</x:v>
      </x:c>
      <x:c r="C1058" s="25" t="str">
        <x:v>Round2</x:v>
      </x:c>
      <x:c r="D1058" s="25" t="str">
        <x:v>INCONCLUSIVE</x:v>
      </x:c>
      <x:c r="E1058" s="25" t="str">
        <x:v>N/A</x:v>
      </x:c>
      <x:c r="F1058" s="26" t="str">
        <x:v>Fixed also failed; assertion failure cannot be attributed to this bug; Assertions failed with measured coverage; paired execution and stage checks determine status</x:v>
      </x:c>
      <x:c r="G1058" s="25" t="str">
        <x:v>true</x:v>
      </x:c>
      <x:c r="H1058" s="25" t="str">
        <x:v>INCONCLUSIVE</x:v>
      </x:c>
      <x:c r="I1058" s="25" t="str">
        <x:v>FAIL</x:v>
      </x:c>
      <x:c r="J1058" s="25" t="str">
        <x:v>FAIL</x:v>
      </x:c>
      <x:c r="K1058" s="25" t="n">
        <x:v>7</x:v>
      </x:c>
      <x:c r="L1058" s="27" t="b">
        <x:v>0</x:v>
      </x:c>
      <x:c r="M1058" s="25" t="str">
        <x:v>Feedback-Directed Random Test Generation/rounds/Round2/state/Closure.json</x:v>
      </x:c>
      <x:c r="N1058" s="25" t="str">
        <x:v>Feedback-Directed Random Test Generation/Result_Round2/Closure_140/result.json</x:v>
      </x:c>
      <x:c r="O1058" s="25" t="str">
        <x:v>Feedback-Directed Random Test Generation/Result_Round2/Closure_140/result.json</x:v>
      </x:c>
      <x:c r="P1058"/>
      <x:c r="Q1058" s="21" t="str"/>
      <x:c r="R1058" s="21" t="str"/>
      <x:c r="S1058" s="21" t="str"/>
      <x:c r="T1058" s="17" t="str">
        <x:v>false</x:v>
      </x:c>
      <x:c r="U1058" s="17" t="str">
        <x:v>true</x:v>
      </x:c>
      <x:c r="V1058" s="17" t="str">
        <x:v>false</x:v>
      </x:c>
    </x:row>
    <x:row r="1059" ht="80" customHeight="1">
      <x:c r="A1059" s="25" t="str">
        <x:v>Closure</x:v>
      </x:c>
      <x:c r="B1059" s="25" t="n">
        <x:v>141</x:v>
      </x:c>
      <x:c r="C1059" s="25" t="str">
        <x:v>Round2</x:v>
      </x:c>
      <x:c r="D1059" s="25" t="str">
        <x:v>INCONCLUSIVE</x:v>
      </x:c>
      <x:c r="E1059" s="25" t="str">
        <x:v>N/A</x:v>
      </x:c>
      <x:c r="F1059" s="26" t="str">
        <x:v>Fixed also failed; assertion failure cannot be attributed to this bug; Assertions failed with measured coverage; paired execution and stage checks determine status</x:v>
      </x:c>
      <x:c r="G1059" s="25" t="str">
        <x:v>true</x:v>
      </x:c>
      <x:c r="H1059" s="25" t="str">
        <x:v>INCONCLUSIVE</x:v>
      </x:c>
      <x:c r="I1059" s="25" t="str">
        <x:v>FAIL</x:v>
      </x:c>
      <x:c r="J1059" s="25" t="str">
        <x:v>FAIL</x:v>
      </x:c>
      <x:c r="K1059" s="25" t="n">
        <x:v>8</x:v>
      </x:c>
      <x:c r="L1059" s="27" t="b">
        <x:v>0</x:v>
      </x:c>
      <x:c r="M1059" s="25" t="str">
        <x:v>Feedback-Directed Random Test Generation/rounds/Round2/state/Closure.json</x:v>
      </x:c>
      <x:c r="N1059" s="25" t="str">
        <x:v>Feedback-Directed Random Test Generation/Result_Round2/Closure_141/result.json</x:v>
      </x:c>
      <x:c r="O1059" s="25" t="str">
        <x:v>Feedback-Directed Random Test Generation/Result_Round2/Closure_141/result.json</x:v>
      </x:c>
      <x:c r="P1059"/>
      <x:c r="Q1059" s="21" t="str"/>
      <x:c r="R1059" s="21" t="str"/>
      <x:c r="S1059" s="21" t="str"/>
      <x:c r="T1059" s="17" t="str">
        <x:v>false</x:v>
      </x:c>
      <x:c r="U1059" s="17" t="str">
        <x:v>true</x:v>
      </x:c>
      <x:c r="V1059" s="17" t="str">
        <x:v>false</x:v>
      </x:c>
    </x:row>
    <x:row r="1060" ht="80" customHeight="1">
      <x:c r="A1060" s="25" t="str">
        <x:v>Closure</x:v>
      </x:c>
      <x:c r="B1060" s="25" t="n">
        <x:v>142</x:v>
      </x:c>
      <x:c r="C1060" s="25" t="str">
        <x:v>Round2</x:v>
      </x:c>
      <x:c r="D1060" s="25" t="str">
        <x:v>NOT_REVEALING</x:v>
      </x:c>
      <x:c r="E1060" s="25" t="str">
        <x:v>N/A</x:v>
      </x:c>
      <x:c r="F1060" s="26" t="str">
        <x:v>Same saved validation suite passed on buggy and fixed</x:v>
      </x:c>
      <x:c r="G1060" s="25" t="str">
        <x:v>true</x:v>
      </x:c>
      <x:c r="H1060" s="25" t="str">
        <x:v>NOT_REVEALING</x:v>
      </x:c>
      <x:c r="I1060" s="25" t="str">
        <x:v>PASS</x:v>
      </x:c>
      <x:c r="J1060" s="25" t="str">
        <x:v>PASS</x:v>
      </x:c>
      <x:c r="K1060" s="25" t="n">
        <x:v>6</x:v>
      </x:c>
      <x:c r="L1060" s="27" t="b">
        <x:v>0</x:v>
      </x:c>
      <x:c r="M1060" s="25" t="str">
        <x:v>Feedback-Directed Random Test Generation/rounds/Round2/state/Closure.json</x:v>
      </x:c>
      <x:c r="N1060" s="25" t="str">
        <x:v>Feedback-Directed Random Test Generation/Result_Round2/Closure_142/result.json</x:v>
      </x:c>
      <x:c r="O1060" s="25" t="str">
        <x:v>Feedback-Directed Random Test Generation/Result_Round2/Closure_142/result.json</x:v>
      </x:c>
      <x:c r="P1060"/>
      <x:c r="Q1060" s="21" t="str"/>
      <x:c r="R1060" s="21" t="str"/>
      <x:c r="S1060" s="21" t="str"/>
      <x:c r="T1060" s="17" t="str">
        <x:v>false</x:v>
      </x:c>
      <x:c r="U1060" s="17" t="str">
        <x:v>true</x:v>
      </x:c>
      <x:c r="V1060" s="17" t="str">
        <x:v>false</x:v>
      </x:c>
    </x:row>
    <x:row r="1061" ht="80" customHeight="1">
      <x:c r="A1061" s="25" t="str">
        <x:v>Closure</x:v>
      </x:c>
      <x:c r="B1061" s="25" t="n">
        <x:v>143</x:v>
      </x:c>
      <x:c r="C1061" s="25" t="str">
        <x:v>Round2</x:v>
      </x:c>
      <x:c r="D1061" s="25" t="str">
        <x:v>NOT_REVEALING</x:v>
      </x:c>
      <x:c r="E1061" s="25" t="str">
        <x:v>N/A</x:v>
      </x:c>
      <x:c r="F1061" s="26" t="str">
        <x:v>Same saved validation suite passed on buggy and fixed</x:v>
      </x:c>
      <x:c r="G1061" s="25" t="str">
        <x:v>true</x:v>
      </x:c>
      <x:c r="H1061" s="25" t="str">
        <x:v>NOT_REVEALING</x:v>
      </x:c>
      <x:c r="I1061" s="25" t="str">
        <x:v>PASS</x:v>
      </x:c>
      <x:c r="J1061" s="25" t="str">
        <x:v>PASS</x:v>
      </x:c>
      <x:c r="K1061" s="25" t="n">
        <x:v>5</x:v>
      </x:c>
      <x:c r="L1061" s="27" t="b">
        <x:v>0</x:v>
      </x:c>
      <x:c r="M1061" s="25" t="str">
        <x:v>Feedback-Directed Random Test Generation/rounds/Round2/state/Closure.json</x:v>
      </x:c>
      <x:c r="N1061" s="25" t="str">
        <x:v>Feedback-Directed Random Test Generation/Result_Round2/Closure_143/result.json</x:v>
      </x:c>
      <x:c r="O1061" s="25" t="str">
        <x:v>Feedback-Directed Random Test Generation/Result_Round2/Closure_143/result.json</x:v>
      </x:c>
      <x:c r="P1061"/>
      <x:c r="Q1061" s="21" t="str"/>
      <x:c r="R1061" s="21" t="str"/>
      <x:c r="S1061" s="21" t="str"/>
      <x:c r="T1061" s="17" t="str">
        <x:v>false</x:v>
      </x:c>
      <x:c r="U1061" s="17" t="str">
        <x:v>true</x:v>
      </x:c>
      <x:c r="V1061" s="17" t="str">
        <x:v>false</x:v>
      </x:c>
    </x:row>
    <x:row r="1062" ht="80" customHeight="1">
      <x:c r="A1062" s="25" t="str">
        <x:v>Closure</x:v>
      </x:c>
      <x:c r="B1062" s="25" t="n">
        <x:v>144</x:v>
      </x:c>
      <x:c r="C1062" s="25" t="str">
        <x:v>Round2</x:v>
      </x:c>
      <x:c r="D1062" s="25" t="str">
        <x:v>NOT_REVEALING</x:v>
      </x:c>
      <x:c r="E1062" s="25" t="str">
        <x:v>N/A</x:v>
      </x:c>
      <x:c r="F1062" s="26" t="str">
        <x:v>Same saved validation suite passed on buggy and fixed</x:v>
      </x:c>
      <x:c r="G1062" s="25" t="str">
        <x:v>true</x:v>
      </x:c>
      <x:c r="H1062" s="25" t="str">
        <x:v>NOT_REVEALING</x:v>
      </x:c>
      <x:c r="I1062" s="25" t="str">
        <x:v>PASS</x:v>
      </x:c>
      <x:c r="J1062" s="25" t="str">
        <x:v>PASS</x:v>
      </x:c>
      <x:c r="K1062" s="25" t="n">
        <x:v>6</x:v>
      </x:c>
      <x:c r="L1062" s="27" t="b">
        <x:v>0</x:v>
      </x:c>
      <x:c r="M1062" s="25" t="str">
        <x:v>Feedback-Directed Random Test Generation/rounds/Round2/state/Closure.json</x:v>
      </x:c>
      <x:c r="N1062" s="25" t="str">
        <x:v>Feedback-Directed Random Test Generation/Result_Round2/Closure_144/result.json</x:v>
      </x:c>
      <x:c r="O1062" s="25" t="str">
        <x:v>Feedback-Directed Random Test Generation/Result_Round2/Closure_144/result.json</x:v>
      </x:c>
      <x:c r="P1062"/>
      <x:c r="Q1062" s="21" t="str"/>
      <x:c r="R1062" s="21" t="str"/>
      <x:c r="S1062" s="21" t="str"/>
      <x:c r="T1062" s="17" t="str">
        <x:v>false</x:v>
      </x:c>
      <x:c r="U1062" s="17" t="str">
        <x:v>true</x:v>
      </x:c>
      <x:c r="V1062" s="17" t="str">
        <x:v>false</x:v>
      </x:c>
    </x:row>
    <x:row r="1063" ht="80" customHeight="1">
      <x:c r="A1063" s="25" t="str">
        <x:v>Closure</x:v>
      </x:c>
      <x:c r="B1063" s="25" t="n">
        <x:v>145</x:v>
      </x:c>
      <x:c r="C1063" s="25" t="str">
        <x:v>Round2</x:v>
      </x:c>
      <x:c r="D1063" s="25" t="str">
        <x:v>NOT_REVEALING</x:v>
      </x:c>
      <x:c r="E1063" s="25" t="str">
        <x:v>N/A</x:v>
      </x:c>
      <x:c r="F1063" s="26" t="str">
        <x:v>Same saved validation suite passed on buggy and fixed</x:v>
      </x:c>
      <x:c r="G1063" s="25" t="str">
        <x:v>true</x:v>
      </x:c>
      <x:c r="H1063" s="25" t="str">
        <x:v>NOT_REVEALING</x:v>
      </x:c>
      <x:c r="I1063" s="25" t="str">
        <x:v>PASS</x:v>
      </x:c>
      <x:c r="J1063" s="25" t="str">
        <x:v>PASS</x:v>
      </x:c>
      <x:c r="K1063" s="25" t="n">
        <x:v>7</x:v>
      </x:c>
      <x:c r="L1063" s="27" t="b">
        <x:v>0</x:v>
      </x:c>
      <x:c r="M1063" s="25" t="str">
        <x:v>Feedback-Directed Random Test Generation/rounds/Round2/state/Closure.json</x:v>
      </x:c>
      <x:c r="N1063" s="25" t="str">
        <x:v>Feedback-Directed Random Test Generation/Result_Round2/Closure_145/result.json</x:v>
      </x:c>
      <x:c r="O1063" s="25" t="str">
        <x:v>Feedback-Directed Random Test Generation/Result_Round2/Closure_145/result.json</x:v>
      </x:c>
      <x:c r="P1063"/>
      <x:c r="Q1063" s="21" t="str"/>
      <x:c r="R1063" s="21" t="str"/>
      <x:c r="S1063" s="21" t="str"/>
      <x:c r="T1063" s="17" t="str">
        <x:v>false</x:v>
      </x:c>
      <x:c r="U1063" s="17" t="str">
        <x:v>true</x:v>
      </x:c>
      <x:c r="V1063" s="17" t="str">
        <x:v>false</x:v>
      </x:c>
    </x:row>
    <x:row r="1064" ht="80" customHeight="1">
      <x:c r="A1064" s="25" t="str">
        <x:v>Closure</x:v>
      </x:c>
      <x:c r="B1064" s="25" t="n">
        <x:v>146</x:v>
      </x:c>
      <x:c r="C1064" s="25" t="str">
        <x:v>Round2</x:v>
      </x:c>
      <x:c r="D1064" s="25" t="str">
        <x:v>NOT_REVEALING</x:v>
      </x:c>
      <x:c r="E1064" s="25" t="str">
        <x:v>N/A</x:v>
      </x:c>
      <x:c r="F1064" s="26" t="str">
        <x:v>Same saved validation suite passed on buggy and fixed</x:v>
      </x:c>
      <x:c r="G1064" s="25" t="str">
        <x:v>true</x:v>
      </x:c>
      <x:c r="H1064" s="25" t="str">
        <x:v>NOT_REVEALING</x:v>
      </x:c>
      <x:c r="I1064" s="25" t="str">
        <x:v>PASS</x:v>
      </x:c>
      <x:c r="J1064" s="25" t="str">
        <x:v>PASS</x:v>
      </x:c>
      <x:c r="K1064" s="25" t="n">
        <x:v>9</x:v>
      </x:c>
      <x:c r="L1064" s="27" t="b">
        <x:v>0</x:v>
      </x:c>
      <x:c r="M1064" s="25" t="str">
        <x:v>Feedback-Directed Random Test Generation/rounds/Round2/state/Closure.json</x:v>
      </x:c>
      <x:c r="N1064" s="25" t="str">
        <x:v>Feedback-Directed Random Test Generation/Result_Round2/Closure_146/result.json</x:v>
      </x:c>
      <x:c r="O1064" s="25" t="str">
        <x:v>Feedback-Directed Random Test Generation/Result_Round2/Closure_146/result.json</x:v>
      </x:c>
      <x:c r="P1064"/>
      <x:c r="Q1064" s="21" t="str"/>
      <x:c r="R1064" s="21" t="str"/>
      <x:c r="S1064" s="21" t="str"/>
      <x:c r="T1064" s="17" t="str">
        <x:v>false</x:v>
      </x:c>
      <x:c r="U1064" s="17" t="str">
        <x:v>true</x:v>
      </x:c>
      <x:c r="V1064" s="17" t="str">
        <x:v>false</x:v>
      </x:c>
    </x:row>
    <x:row r="1065" ht="80" customHeight="1">
      <x:c r="A1065" s="25" t="str">
        <x:v>Closure</x:v>
      </x:c>
      <x:c r="B1065" s="25" t="n">
        <x:v>147</x:v>
      </x:c>
      <x:c r="C1065" s="25" t="str">
        <x:v>Round2</x:v>
      </x:c>
      <x:c r="D1065" s="25" t="str">
        <x:v>NOT_REVEALING</x:v>
      </x:c>
      <x:c r="E1065" s="25" t="str">
        <x:v>N/A</x:v>
      </x:c>
      <x:c r="F1065" s="26" t="str">
        <x:v>Same saved validation suite passed on buggy and fixed</x:v>
      </x:c>
      <x:c r="G1065" s="25" t="str">
        <x:v>true</x:v>
      </x:c>
      <x:c r="H1065" s="25" t="str">
        <x:v>NOT_REVEALING</x:v>
      </x:c>
      <x:c r="I1065" s="25" t="str">
        <x:v>PASS</x:v>
      </x:c>
      <x:c r="J1065" s="25" t="str">
        <x:v>PASS</x:v>
      </x:c>
      <x:c r="K1065" s="25" t="n">
        <x:v>2</x:v>
      </x:c>
      <x:c r="L1065" s="27" t="b">
        <x:v>0</x:v>
      </x:c>
      <x:c r="M1065" s="25" t="str">
        <x:v>Feedback-Directed Random Test Generation/rounds/Round2/state/Closure.json</x:v>
      </x:c>
      <x:c r="N1065" s="25" t="str">
        <x:v>Feedback-Directed Random Test Generation/Result_Round2/Closure_147/result.json</x:v>
      </x:c>
      <x:c r="O1065" s="25" t="str">
        <x:v>Feedback-Directed Random Test Generation/Result_Round2/Closure_147/result.json</x:v>
      </x:c>
      <x:c r="P1065"/>
      <x:c r="Q1065" s="21" t="str"/>
      <x:c r="R1065" s="21" t="str"/>
      <x:c r="S1065" s="21" t="str"/>
      <x:c r="T1065" s="17" t="str">
        <x:v>false</x:v>
      </x:c>
      <x:c r="U1065" s="17" t="str">
        <x:v>true</x:v>
      </x:c>
      <x:c r="V1065" s="17" t="str">
        <x:v>false</x:v>
      </x:c>
    </x:row>
    <x:row r="1066" ht="80" customHeight="1">
      <x:c r="A1066" s="25" t="str">
        <x:v>Closure</x:v>
      </x:c>
      <x:c r="B1066" s="25" t="n">
        <x:v>148</x:v>
      </x:c>
      <x:c r="C1066" s="25" t="str">
        <x:v>Round2</x:v>
      </x:c>
      <x:c r="D1066" s="25" t="str">
        <x:v>NOT_AVAILABLE</x:v>
      </x:c>
      <x:c r="E1066" s="25" t="str">
        <x:v>N/A</x:v>
      </x:c>
      <x:c r="F1066" s="26" t="str">
        <x:v>fixed test_compile=FAIL</x:v>
      </x:c>
      <x:c r="G1066" s="25" t="str">
        <x:v>true</x:v>
      </x:c>
      <x:c r="H1066" s="25" t="str">
        <x:v>NOT_AVAILABLE</x:v>
      </x:c>
      <x:c r="I1066" s="25" t="str">
        <x:v>PASS</x:v>
      </x:c>
      <x:c r="J1066" s="25" t="str">
        <x:v>NOT_RUN</x:v>
      </x:c>
      <x:c r="K1066" s="25" t="n">
        <x:v>5</x:v>
      </x:c>
      <x:c r="L1066" s="27" t="b">
        <x:v>0</x:v>
      </x:c>
      <x:c r="M1066" s="25" t="str">
        <x:v>Feedback-Directed Random Test Generation/rounds/Round2/state/Closure.json</x:v>
      </x:c>
      <x:c r="N1066" s="25" t="str">
        <x:v>Feedback-Directed Random Test Generation/Result_Round2/Closure_148/result.json</x:v>
      </x:c>
      <x:c r="O1066" s="25" t="str">
        <x:v>Feedback-Directed Random Test Generation/Result_Round2/Closure_148/result.json</x:v>
      </x:c>
      <x:c r="P1066" t="str">
        <x:v>FIXED_NOT_RUN</x:v>
      </x:c>
      <x:c r="Q1066" s="21" t="str"/>
      <x:c r="R1066" s="21" t="str"/>
      <x:c r="S1066" s="21" t="str"/>
      <x:c r="T1066" s="17" t="str">
        <x:v>false</x:v>
      </x:c>
      <x:c r="U1066" s="17" t="str">
        <x:v>true</x:v>
      </x:c>
      <x:c r="V1066" s="17" t="str">
        <x:v>false</x:v>
      </x:c>
    </x:row>
    <x:row r="1067" ht="80" customHeight="1">
      <x:c r="A1067" s="25" t="str">
        <x:v>Closure</x:v>
      </x:c>
      <x:c r="B1067" s="25" t="n">
        <x:v>149</x:v>
      </x:c>
      <x:c r="C1067" s="25" t="str">
        <x:v>Round2</x:v>
      </x:c>
      <x:c r="D1067" s="25" t="str">
        <x:v>FAIL</x:v>
      </x:c>
      <x:c r="E1067" s="25" t="str">
        <x:v>N/A</x:v>
      </x:c>
      <x:c r="F1067" s="26" t="str">
        <x:v>Latest same-round generation failed; older files/results are excluded</x:v>
      </x:c>
      <x:c r="G1067" s="25" t="str">
        <x:v>true</x:v>
      </x:c>
      <x:c r="H1067" s="25" t="str">
        <x:v>FAIL</x:v>
      </x:c>
      <x:c r="I1067" s="25"/>
      <x:c r="J1067" s="25"/>
      <x:c r="K1067" s="25" t="n">
        <x:v>0</x:v>
      </x:c>
      <x:c r="L1067" s="27" t="b">
        <x:v>1</x:v>
      </x:c>
      <x:c r="M1067" s="25" t="str">
        <x:v>Feedback-Directed Random Test Generation/rounds/Round2/state/Closure.json</x:v>
      </x:c>
      <x:c r="N1067" s="25"/>
      <x:c r="O1067" s="25" t="str">
        <x:v>Feedback-Directed Random Test Generation/Result_Round2/Closure_149/result.json</x:v>
      </x:c>
      <x:c r="P1067"/>
      <x:c r="Q1067" s="21" t="str"/>
      <x:c r="R1067" s="21" t="str"/>
      <x:c r="S1067" s="21" t="str"/>
      <x:c r="T1067" s="17" t="str">
        <x:v>false</x:v>
      </x:c>
      <x:c r="U1067" s="17" t="str">
        <x:v>false</x:v>
      </x:c>
      <x:c r="V1067" s="17" t="str">
        <x:v>false</x:v>
      </x:c>
    </x:row>
    <x:row r="1068" ht="80" customHeight="1">
      <x:c r="A1068" s="25" t="str">
        <x:v>Closure</x:v>
      </x:c>
      <x:c r="B1068" s="25" t="n">
        <x:v>150</x:v>
      </x:c>
      <x:c r="C1068" s="25" t="str">
        <x:v>Round2</x:v>
      </x:c>
      <x:c r="D1068" s="25" t="str">
        <x:v>NOT_REVEALING</x:v>
      </x:c>
      <x:c r="E1068" s="25" t="str">
        <x:v>N/A</x:v>
      </x:c>
      <x:c r="F1068" s="26" t="str">
        <x:v>Same saved validation suite passed on buggy and fixed</x:v>
      </x:c>
      <x:c r="G1068" s="25" t="str">
        <x:v>true</x:v>
      </x:c>
      <x:c r="H1068" s="25" t="str">
        <x:v>NOT_REVEALING</x:v>
      </x:c>
      <x:c r="I1068" s="25" t="str">
        <x:v>PASS</x:v>
      </x:c>
      <x:c r="J1068" s="25" t="str">
        <x:v>PASS</x:v>
      </x:c>
      <x:c r="K1068" s="25" t="n">
        <x:v>2</x:v>
      </x:c>
      <x:c r="L1068" s="27" t="b">
        <x:v>0</x:v>
      </x:c>
      <x:c r="M1068" s="25" t="str">
        <x:v>Feedback-Directed Random Test Generation/rounds/Round2/state/Closure.json</x:v>
      </x:c>
      <x:c r="N1068" s="25" t="str">
        <x:v>Feedback-Directed Random Test Generation/Result_Round2/Closure_150/result.json</x:v>
      </x:c>
      <x:c r="O1068" s="25" t="str">
        <x:v>Feedback-Directed Random Test Generation/Result_Round2/Closure_150/result.json</x:v>
      </x:c>
      <x:c r="P1068"/>
      <x:c r="Q1068" s="21" t="str"/>
      <x:c r="R1068" s="21" t="str"/>
      <x:c r="S1068" s="21" t="str"/>
      <x:c r="T1068" s="17" t="str">
        <x:v>false</x:v>
      </x:c>
      <x:c r="U1068" s="17" t="str">
        <x:v>true</x:v>
      </x:c>
      <x:c r="V1068" s="17" t="str">
        <x:v>false</x:v>
      </x:c>
    </x:row>
    <x:row r="1069" ht="80" customHeight="1">
      <x:c r="A1069" s="25" t="str">
        <x:v>Closure</x:v>
      </x:c>
      <x:c r="B1069" s="25" t="n">
        <x:v>151</x:v>
      </x:c>
      <x:c r="C1069" s="25" t="str">
        <x:v>Round2</x:v>
      </x:c>
      <x:c r="D1069" s="25" t="str">
        <x:v>FAIL</x:v>
      </x:c>
      <x:c r="E1069" s="25" t="str">
        <x:v>N/A</x:v>
      </x:c>
      <x:c r="F1069" s="26" t="str">
        <x:v>Latest same-round generation failed; older files/results are excluded</x:v>
      </x:c>
      <x:c r="G1069" s="25" t="str">
        <x:v>true</x:v>
      </x:c>
      <x:c r="H1069" s="25" t="str">
        <x:v>FAIL</x:v>
      </x:c>
      <x:c r="I1069" s="25"/>
      <x:c r="J1069" s="25"/>
      <x:c r="K1069" s="25" t="n">
        <x:v>0</x:v>
      </x:c>
      <x:c r="L1069" s="27" t="b">
        <x:v>1</x:v>
      </x:c>
      <x:c r="M1069" s="25" t="str">
        <x:v>Feedback-Directed Random Test Generation/rounds/Round2/state/Closure.json</x:v>
      </x:c>
      <x:c r="N1069" s="25"/>
      <x:c r="O1069" s="25" t="str">
        <x:v>Feedback-Directed Random Test Generation/Result_Round2/Closure_151/result.json</x:v>
      </x:c>
      <x:c r="P1069"/>
      <x:c r="Q1069" s="21" t="str"/>
      <x:c r="R1069" s="21" t="str"/>
      <x:c r="S1069" s="21" t="str"/>
      <x:c r="T1069" s="17" t="str">
        <x:v>false</x:v>
      </x:c>
      <x:c r="U1069" s="17" t="str">
        <x:v>false</x:v>
      </x:c>
      <x:c r="V1069" s="17" t="str">
        <x:v>false</x:v>
      </x:c>
    </x:row>
    <x:row r="1070" ht="80" customHeight="1">
      <x:c r="A1070" s="25" t="str">
        <x:v>Closure</x:v>
      </x:c>
      <x:c r="B1070" s="25" t="n">
        <x:v>152</x:v>
      </x:c>
      <x:c r="C1070" s="25" t="str">
        <x:v>Round2</x:v>
      </x:c>
      <x:c r="D1070" s="25" t="str">
        <x:v>NOT_REVEALING</x:v>
      </x:c>
      <x:c r="E1070" s="25" t="str">
        <x:v>N/A</x:v>
      </x:c>
      <x:c r="F1070" s="26" t="str">
        <x:v>Same saved validation suite passed on buggy and fixed</x:v>
      </x:c>
      <x:c r="G1070" s="25" t="str">
        <x:v>true</x:v>
      </x:c>
      <x:c r="H1070" s="25" t="str">
        <x:v>NOT_REVEALING</x:v>
      </x:c>
      <x:c r="I1070" s="25" t="str">
        <x:v>PASS</x:v>
      </x:c>
      <x:c r="J1070" s="25" t="str">
        <x:v>PASS</x:v>
      </x:c>
      <x:c r="K1070" s="25" t="n">
        <x:v>15</x:v>
      </x:c>
      <x:c r="L1070" s="27" t="b">
        <x:v>0</x:v>
      </x:c>
      <x:c r="M1070" s="25" t="str">
        <x:v>Feedback-Directed Random Test Generation/rounds/Round2/state/Closure.json</x:v>
      </x:c>
      <x:c r="N1070" s="25" t="str">
        <x:v>Feedback-Directed Random Test Generation/Result_Round2/Closure_152/result.json</x:v>
      </x:c>
      <x:c r="O1070" s="25" t="str">
        <x:v>Feedback-Directed Random Test Generation/Result_Round2/Closure_152/result.json</x:v>
      </x:c>
      <x:c r="P1070"/>
      <x:c r="Q1070" s="21" t="str"/>
      <x:c r="R1070" s="21" t="str"/>
      <x:c r="S1070" s="21" t="str"/>
      <x:c r="T1070" s="17" t="str">
        <x:v>false</x:v>
      </x:c>
      <x:c r="U1070" s="17" t="str">
        <x:v>true</x:v>
      </x:c>
      <x:c r="V1070" s="17" t="str">
        <x:v>false</x:v>
      </x:c>
    </x:row>
    <x:row r="1071" ht="80" customHeight="1">
      <x:c r="A1071" s="25" t="str">
        <x:v>Closure</x:v>
      </x:c>
      <x:c r="B1071" s="25" t="n">
        <x:v>153</x:v>
      </x:c>
      <x:c r="C1071" s="25" t="str">
        <x:v>Round2</x:v>
      </x:c>
      <x:c r="D1071" s="25" t="str">
        <x:v>NOT_REVEALING</x:v>
      </x:c>
      <x:c r="E1071" s="25" t="str">
        <x:v>N/A</x:v>
      </x:c>
      <x:c r="F1071" s="26" t="str">
        <x:v>Same saved validation suite passed on buggy and fixed</x:v>
      </x:c>
      <x:c r="G1071" s="25" t="str">
        <x:v>true</x:v>
      </x:c>
      <x:c r="H1071" s="25" t="str">
        <x:v>NOT_REVEALING</x:v>
      </x:c>
      <x:c r="I1071" s="25" t="str">
        <x:v>PASS</x:v>
      </x:c>
      <x:c r="J1071" s="25" t="str">
        <x:v>PASS</x:v>
      </x:c>
      <x:c r="K1071" s="25" t="n">
        <x:v>2</x:v>
      </x:c>
      <x:c r="L1071" s="27" t="b">
        <x:v>0</x:v>
      </x:c>
      <x:c r="M1071" s="25" t="str">
        <x:v>Feedback-Directed Random Test Generation/rounds/Round2/state/Closure.json</x:v>
      </x:c>
      <x:c r="N1071" s="25" t="str">
        <x:v>Feedback-Directed Random Test Generation/Result_Round2/Closure_153/result.json</x:v>
      </x:c>
      <x:c r="O1071" s="25" t="str">
        <x:v>Feedback-Directed Random Test Generation/Result_Round2/Closure_153/result.json</x:v>
      </x:c>
      <x:c r="P1071"/>
      <x:c r="Q1071" s="21" t="str"/>
      <x:c r="R1071" s="21" t="str"/>
      <x:c r="S1071" s="21" t="str"/>
      <x:c r="T1071" s="17" t="str">
        <x:v>false</x:v>
      </x:c>
      <x:c r="U1071" s="17" t="str">
        <x:v>true</x:v>
      </x:c>
      <x:c r="V1071" s="17" t="str">
        <x:v>false</x:v>
      </x:c>
    </x:row>
    <x:row r="1072" ht="80" customHeight="1">
      <x:c r="A1072" s="25" t="str">
        <x:v>Closure</x:v>
      </x:c>
      <x:c r="B1072" s="25" t="n">
        <x:v>154</x:v>
      </x:c>
      <x:c r="C1072" s="25" t="str">
        <x:v>Round2</x:v>
      </x:c>
      <x:c r="D1072" s="25" t="str">
        <x:v>NOT_AVAILABLE</x:v>
      </x:c>
      <x:c r="E1072" s="25" t="str">
        <x:v>N/A</x:v>
      </x:c>
      <x:c r="F1072" s="26" t="str">
        <x:v>fixed test_compile=FAIL</x:v>
      </x:c>
      <x:c r="G1072" s="25" t="str">
        <x:v>true</x:v>
      </x:c>
      <x:c r="H1072" s="25" t="str">
        <x:v>NOT_AVAILABLE</x:v>
      </x:c>
      <x:c r="I1072" s="25" t="str">
        <x:v>PASS</x:v>
      </x:c>
      <x:c r="J1072" s="25" t="str">
        <x:v>NOT_RUN</x:v>
      </x:c>
      <x:c r="K1072" s="25" t="n">
        <x:v>2</x:v>
      </x:c>
      <x:c r="L1072" s="27" t="b">
        <x:v>0</x:v>
      </x:c>
      <x:c r="M1072" s="25" t="str">
        <x:v>Feedback-Directed Random Test Generation/rounds/Round2/state/Closure.json</x:v>
      </x:c>
      <x:c r="N1072" s="25" t="str">
        <x:v>Feedback-Directed Random Test Generation/Result_Round2/Closure_154/result.json</x:v>
      </x:c>
      <x:c r="O1072" s="25" t="str">
        <x:v>Feedback-Directed Random Test Generation/Result_Round2/Closure_154/result.json</x:v>
      </x:c>
      <x:c r="P1072" t="str">
        <x:v>FIXED_NOT_RUN</x:v>
      </x:c>
      <x:c r="Q1072" s="21" t="str"/>
      <x:c r="R1072" s="21" t="str"/>
      <x:c r="S1072" s="21" t="str"/>
      <x:c r="T1072" s="17" t="str">
        <x:v>false</x:v>
      </x:c>
      <x:c r="U1072" s="17" t="str">
        <x:v>true</x:v>
      </x:c>
      <x:c r="V1072" s="17" t="str">
        <x:v>false</x:v>
      </x:c>
    </x:row>
    <x:row r="1073" ht="80" customHeight="1">
      <x:c r="A1073" s="25" t="str">
        <x:v>Closure</x:v>
      </x:c>
      <x:c r="B1073" s="25" t="n">
        <x:v>155</x:v>
      </x:c>
      <x:c r="C1073" s="25" t="str">
        <x:v>Round2</x:v>
      </x:c>
      <x:c r="D1073" s="25" t="str">
        <x:v>INCONCLUSIVE</x:v>
      </x:c>
      <x:c r="E1073" s="25" t="str">
        <x:v>N/A</x:v>
      </x:c>
      <x:c r="F1073" s="26" t="str">
        <x:v>Fixed also failed; assertion failure cannot be attributed to this bug; Assertions failed with measured coverage; paired execution and stage checks determine status</x:v>
      </x:c>
      <x:c r="G1073" s="25" t="str">
        <x:v>true</x:v>
      </x:c>
      <x:c r="H1073" s="25" t="str">
        <x:v>INCONCLUSIVE</x:v>
      </x:c>
      <x:c r="I1073" s="25" t="str">
        <x:v>FAIL</x:v>
      </x:c>
      <x:c r="J1073" s="25" t="str">
        <x:v>FAIL</x:v>
      </x:c>
      <x:c r="K1073" s="25" t="n">
        <x:v>5</x:v>
      </x:c>
      <x:c r="L1073" s="27" t="b">
        <x:v>0</x:v>
      </x:c>
      <x:c r="M1073" s="25" t="str">
        <x:v>Feedback-Directed Random Test Generation/rounds/Round2/state/Closure.json</x:v>
      </x:c>
      <x:c r="N1073" s="25" t="str">
        <x:v>Feedback-Directed Random Test Generation/Result_Round2/Closure_155/result.json</x:v>
      </x:c>
      <x:c r="O1073" s="25" t="str">
        <x:v>Feedback-Directed Random Test Generation/Result_Round2/Closure_155/result.json</x:v>
      </x:c>
      <x:c r="P1073"/>
      <x:c r="Q1073" s="21" t="str"/>
      <x:c r="R1073" s="21" t="str"/>
      <x:c r="S1073" s="21" t="str"/>
      <x:c r="T1073" s="17" t="str">
        <x:v>false</x:v>
      </x:c>
      <x:c r="U1073" s="17" t="str">
        <x:v>true</x:v>
      </x:c>
      <x:c r="V1073" s="17" t="str">
        <x:v>false</x:v>
      </x:c>
    </x:row>
    <x:row r="1074" ht="80" customHeight="1">
      <x:c r="A1074" s="25" t="str">
        <x:v>Closure</x:v>
      </x:c>
      <x:c r="B1074" s="25" t="n">
        <x:v>156</x:v>
      </x:c>
      <x:c r="C1074" s="25" t="str">
        <x:v>Round2</x:v>
      </x:c>
      <x:c r="D1074" s="25" t="str">
        <x:v>NOT_REVEALING</x:v>
      </x:c>
      <x:c r="E1074" s="25" t="str">
        <x:v>N/A</x:v>
      </x:c>
      <x:c r="F1074" s="26" t="str">
        <x:v>Same saved validation suite passed on buggy and fixed</x:v>
      </x:c>
      <x:c r="G1074" s="25" t="str">
        <x:v>true</x:v>
      </x:c>
      <x:c r="H1074" s="25" t="str">
        <x:v>NOT_REVEALING</x:v>
      </x:c>
      <x:c r="I1074" s="25" t="str">
        <x:v>PASS</x:v>
      </x:c>
      <x:c r="J1074" s="25" t="str">
        <x:v>PASS</x:v>
      </x:c>
      <x:c r="K1074" s="25" t="n">
        <x:v>2</x:v>
      </x:c>
      <x:c r="L1074" s="27" t="b">
        <x:v>0</x:v>
      </x:c>
      <x:c r="M1074" s="25" t="str">
        <x:v>Feedback-Directed Random Test Generation/rounds/Round2/state/Closure.json</x:v>
      </x:c>
      <x:c r="N1074" s="25" t="str">
        <x:v>Feedback-Directed Random Test Generation/Result_Round2/Closure_156/result.json</x:v>
      </x:c>
      <x:c r="O1074" s="25" t="str">
        <x:v>Feedback-Directed Random Test Generation/Result_Round2/Closure_156/result.json</x:v>
      </x:c>
      <x:c r="P1074"/>
      <x:c r="Q1074" s="21" t="str"/>
      <x:c r="R1074" s="21" t="str"/>
      <x:c r="S1074" s="21" t="str"/>
      <x:c r="T1074" s="17" t="str">
        <x:v>false</x:v>
      </x:c>
      <x:c r="U1074" s="17" t="str">
        <x:v>true</x:v>
      </x:c>
      <x:c r="V1074" s="17" t="str">
        <x:v>false</x:v>
      </x:c>
    </x:row>
    <x:row r="1075" ht="80" customHeight="1">
      <x:c r="A1075" s="25" t="str">
        <x:v>Closure</x:v>
      </x:c>
      <x:c r="B1075" s="25" t="n">
        <x:v>157</x:v>
      </x:c>
      <x:c r="C1075" s="25" t="str">
        <x:v>Round2</x:v>
      </x:c>
      <x:c r="D1075" s="25" t="str">
        <x:v>NOT_REVEALING</x:v>
      </x:c>
      <x:c r="E1075" s="25" t="str">
        <x:v>N/A</x:v>
      </x:c>
      <x:c r="F1075" s="26" t="str">
        <x:v>Same saved validation suite passed on buggy and fixed</x:v>
      </x:c>
      <x:c r="G1075" s="25" t="str">
        <x:v>true</x:v>
      </x:c>
      <x:c r="H1075" s="25" t="str">
        <x:v>NOT_REVEALING</x:v>
      </x:c>
      <x:c r="I1075" s="25" t="str">
        <x:v>PASS</x:v>
      </x:c>
      <x:c r="J1075" s="25" t="str">
        <x:v>PASS</x:v>
      </x:c>
      <x:c r="K1075" s="25" t="n">
        <x:v>7</x:v>
      </x:c>
      <x:c r="L1075" s="27" t="b">
        <x:v>0</x:v>
      </x:c>
      <x:c r="M1075" s="25" t="str">
        <x:v>Feedback-Directed Random Test Generation/rounds/Round2/state/Closure.json</x:v>
      </x:c>
      <x:c r="N1075" s="25" t="str">
        <x:v>Feedback-Directed Random Test Generation/Result_Round2/Closure_157/result.json</x:v>
      </x:c>
      <x:c r="O1075" s="25" t="str">
        <x:v>Feedback-Directed Random Test Generation/Result_Round2/Closure_157/result.json</x:v>
      </x:c>
      <x:c r="P1075"/>
      <x:c r="Q1075" s="21" t="str"/>
      <x:c r="R1075" s="21" t="str"/>
      <x:c r="S1075" s="21" t="str"/>
      <x:c r="T1075" s="17" t="str">
        <x:v>false</x:v>
      </x:c>
      <x:c r="U1075" s="17" t="str">
        <x:v>true</x:v>
      </x:c>
      <x:c r="V1075" s="17" t="str">
        <x:v>false</x:v>
      </x:c>
    </x:row>
    <x:row r="1076" ht="80" customHeight="1">
      <x:c r="A1076" s="25" t="str">
        <x:v>Closure</x:v>
      </x:c>
      <x:c r="B1076" s="25" t="n">
        <x:v>158</x:v>
      </x:c>
      <x:c r="C1076" s="25" t="str">
        <x:v>Round2</x:v>
      </x:c>
      <x:c r="D1076" s="25" t="str">
        <x:v>FAIL</x:v>
      </x:c>
      <x:c r="E1076" s="25" t="str">
        <x:v>N/A</x:v>
      </x:c>
      <x:c r="F1076" s="26" t="str">
        <x:v>Latest same-round generation failed; older files/results are excluded</x:v>
      </x:c>
      <x:c r="G1076" s="25" t="str">
        <x:v>true</x:v>
      </x:c>
      <x:c r="H1076" s="25" t="str">
        <x:v>FAIL</x:v>
      </x:c>
      <x:c r="I1076" s="25"/>
      <x:c r="J1076" s="25"/>
      <x:c r="K1076" s="25" t="n">
        <x:v>0</x:v>
      </x:c>
      <x:c r="L1076" s="27" t="b">
        <x:v>1</x:v>
      </x:c>
      <x:c r="M1076" s="25" t="str">
        <x:v>Feedback-Directed Random Test Generation/rounds/Round2/state/Closure.json</x:v>
      </x:c>
      <x:c r="N1076" s="25"/>
      <x:c r="O1076" s="25" t="str">
        <x:v>Feedback-Directed Random Test Generation/Result_Round2/Closure_158/result.json</x:v>
      </x:c>
      <x:c r="P1076"/>
      <x:c r="Q1076" s="21" t="str"/>
      <x:c r="R1076" s="21" t="str"/>
      <x:c r="S1076" s="21" t="str"/>
      <x:c r="T1076" s="17" t="str">
        <x:v>false</x:v>
      </x:c>
      <x:c r="U1076" s="17" t="str">
        <x:v>false</x:v>
      </x:c>
      <x:c r="V1076" s="17" t="str">
        <x:v>false</x:v>
      </x:c>
    </x:row>
    <x:row r="1077" ht="80" customHeight="1">
      <x:c r="A1077" s="25" t="str">
        <x:v>Closure</x:v>
      </x:c>
      <x:c r="B1077" s="25" t="n">
        <x:v>159</x:v>
      </x:c>
      <x:c r="C1077" s="25" t="str">
        <x:v>Round2</x:v>
      </x:c>
      <x:c r="D1077" s="25" t="str">
        <x:v>NOT_REVEALING</x:v>
      </x:c>
      <x:c r="E1077" s="25" t="str">
        <x:v>N/A</x:v>
      </x:c>
      <x:c r="F1077" s="26" t="str">
        <x:v>Same saved validation suite passed on buggy and fixed</x:v>
      </x:c>
      <x:c r="G1077" s="25" t="str">
        <x:v>true</x:v>
      </x:c>
      <x:c r="H1077" s="25" t="str">
        <x:v>NOT_REVEALING</x:v>
      </x:c>
      <x:c r="I1077" s="25" t="str">
        <x:v>PASS</x:v>
      </x:c>
      <x:c r="J1077" s="25" t="str">
        <x:v>PASS</x:v>
      </x:c>
      <x:c r="K1077" s="25" t="n">
        <x:v>2</x:v>
      </x:c>
      <x:c r="L1077" s="27" t="b">
        <x:v>0</x:v>
      </x:c>
      <x:c r="M1077" s="25" t="str">
        <x:v>Feedback-Directed Random Test Generation/rounds/Round2/state/Closure.json</x:v>
      </x:c>
      <x:c r="N1077" s="25" t="str">
        <x:v>Feedback-Directed Random Test Generation/Result_Round2/Closure_159/result.json</x:v>
      </x:c>
      <x:c r="O1077" s="25" t="str">
        <x:v>Feedback-Directed Random Test Generation/Result_Round2/Closure_159/result.json</x:v>
      </x:c>
      <x:c r="P1077"/>
      <x:c r="Q1077" s="21" t="str"/>
      <x:c r="R1077" s="21" t="str"/>
      <x:c r="S1077" s="21" t="str"/>
      <x:c r="T1077" s="17" t="str">
        <x:v>false</x:v>
      </x:c>
      <x:c r="U1077" s="17" t="str">
        <x:v>true</x:v>
      </x:c>
      <x:c r="V1077" s="17" t="str">
        <x:v>false</x:v>
      </x:c>
    </x:row>
    <x:row r="1078" ht="80" customHeight="1">
      <x:c r="A1078" s="25" t="str">
        <x:v>Closure</x:v>
      </x:c>
      <x:c r="B1078" s="25" t="n">
        <x:v>160</x:v>
      </x:c>
      <x:c r="C1078" s="25" t="str">
        <x:v>Round2</x:v>
      </x:c>
      <x:c r="D1078" s="25" t="str">
        <x:v>INCONCLUSIVE</x:v>
      </x:c>
      <x:c r="E1078" s="25" t="str">
        <x:v>N/A</x:v>
      </x:c>
      <x:c r="F1078" s="26" t="str">
        <x:v>Fixed also failed; assertion failure cannot be attributed to this bug; Assertions failed with measured coverage; paired execution and stage checks determine status</x:v>
      </x:c>
      <x:c r="G1078" s="25" t="str">
        <x:v>true</x:v>
      </x:c>
      <x:c r="H1078" s="25" t="str">
        <x:v>INCONCLUSIVE</x:v>
      </x:c>
      <x:c r="I1078" s="25" t="str">
        <x:v>FAIL</x:v>
      </x:c>
      <x:c r="J1078" s="25" t="str">
        <x:v>FAIL</x:v>
      </x:c>
      <x:c r="K1078" s="25" t="n">
        <x:v>7</x:v>
      </x:c>
      <x:c r="L1078" s="27" t="b">
        <x:v>0</x:v>
      </x:c>
      <x:c r="M1078" s="25" t="str">
        <x:v>Feedback-Directed Random Test Generation/rounds/Round2/state/Closure.json</x:v>
      </x:c>
      <x:c r="N1078" s="25" t="str">
        <x:v>Feedback-Directed Random Test Generation/Result_Round2/Closure_160/result.json</x:v>
      </x:c>
      <x:c r="O1078" s="25" t="str">
        <x:v>Feedback-Directed Random Test Generation/Result_Round2/Closure_160/result.json</x:v>
      </x:c>
      <x:c r="P1078"/>
      <x:c r="Q1078" s="21" t="str"/>
      <x:c r="R1078" s="21" t="str"/>
      <x:c r="S1078" s="21" t="str"/>
      <x:c r="T1078" s="17" t="str">
        <x:v>false</x:v>
      </x:c>
      <x:c r="U1078" s="17" t="str">
        <x:v>true</x:v>
      </x:c>
      <x:c r="V1078" s="17" t="str">
        <x:v>false</x:v>
      </x:c>
    </x:row>
    <x:row r="1079" ht="80" customHeight="1">
      <x:c r="A1079" s="25" t="str">
        <x:v>Closure</x:v>
      </x:c>
      <x:c r="B1079" s="25" t="n">
        <x:v>161</x:v>
      </x:c>
      <x:c r="C1079" s="25" t="str">
        <x:v>Round2</x:v>
      </x:c>
      <x:c r="D1079" s="25" t="str">
        <x:v>NOT_REVEALING</x:v>
      </x:c>
      <x:c r="E1079" s="25" t="str">
        <x:v>N/A</x:v>
      </x:c>
      <x:c r="F1079" s="26" t="str">
        <x:v>Same saved validation suite passed on buggy and fixed</x:v>
      </x:c>
      <x:c r="G1079" s="25" t="str">
        <x:v>true</x:v>
      </x:c>
      <x:c r="H1079" s="25" t="str">
        <x:v>NOT_REVEALING</x:v>
      </x:c>
      <x:c r="I1079" s="25" t="str">
        <x:v>PASS</x:v>
      </x:c>
      <x:c r="J1079" s="25" t="str">
        <x:v>PASS</x:v>
      </x:c>
      <x:c r="K1079" s="25" t="n">
        <x:v>2</x:v>
      </x:c>
      <x:c r="L1079" s="27" t="b">
        <x:v>0</x:v>
      </x:c>
      <x:c r="M1079" s="25" t="str">
        <x:v>Feedback-Directed Random Test Generation/rounds/Round2/state/Closure.json</x:v>
      </x:c>
      <x:c r="N1079" s="25" t="str">
        <x:v>Feedback-Directed Random Test Generation/Result_Round2/Closure_161/result.json</x:v>
      </x:c>
      <x:c r="O1079" s="25" t="str">
        <x:v>Feedback-Directed Random Test Generation/Result_Round2/Closure_161/result.json</x:v>
      </x:c>
      <x:c r="P1079"/>
      <x:c r="Q1079" s="21" t="str"/>
      <x:c r="R1079" s="21" t="str"/>
      <x:c r="S1079" s="21" t="str"/>
      <x:c r="T1079" s="17" t="str">
        <x:v>false</x:v>
      </x:c>
      <x:c r="U1079" s="17" t="str">
        <x:v>true</x:v>
      </x:c>
      <x:c r="V1079" s="17" t="str">
        <x:v>false</x:v>
      </x:c>
    </x:row>
    <x:row r="1080" ht="80" customHeight="1">
      <x:c r="A1080" s="25" t="str">
        <x:v>Closure</x:v>
      </x:c>
      <x:c r="B1080" s="25" t="n">
        <x:v>162</x:v>
      </x:c>
      <x:c r="C1080" s="25" t="str">
        <x:v>Round2</x:v>
      </x:c>
      <x:c r="D1080" s="25" t="str">
        <x:v>INCONCLUSIVE</x:v>
      </x:c>
      <x:c r="E1080" s="25" t="str">
        <x:v>N/A</x:v>
      </x:c>
      <x:c r="F1080" s="26" t="str">
        <x:v>Fixed also failed; assertion failure cannot be attributed to this bug; Assertions failed with measured coverage; paired execution and stage checks determine status</x:v>
      </x:c>
      <x:c r="G1080" s="25" t="str">
        <x:v>true</x:v>
      </x:c>
      <x:c r="H1080" s="25" t="str">
        <x:v>INCONCLUSIVE</x:v>
      </x:c>
      <x:c r="I1080" s="25" t="str">
        <x:v>FAIL</x:v>
      </x:c>
      <x:c r="J1080" s="25" t="str">
        <x:v>FAIL</x:v>
      </x:c>
      <x:c r="K1080" s="25" t="n">
        <x:v>6</x:v>
      </x:c>
      <x:c r="L1080" s="27" t="b">
        <x:v>0</x:v>
      </x:c>
      <x:c r="M1080" s="25" t="str">
        <x:v>Feedback-Directed Random Test Generation/rounds/Round2/state/Closure.json</x:v>
      </x:c>
      <x:c r="N1080" s="25" t="str">
        <x:v>Feedback-Directed Random Test Generation/Result_Round2/Closure_162/result.json</x:v>
      </x:c>
      <x:c r="O1080" s="25" t="str">
        <x:v>Feedback-Directed Random Test Generation/Result_Round2/Closure_162/result.json</x:v>
      </x:c>
      <x:c r="P1080"/>
      <x:c r="Q1080" s="21" t="str"/>
      <x:c r="R1080" s="21" t="str"/>
      <x:c r="S1080" s="21" t="str"/>
      <x:c r="T1080" s="17" t="str">
        <x:v>false</x:v>
      </x:c>
      <x:c r="U1080" s="17" t="str">
        <x:v>true</x:v>
      </x:c>
      <x:c r="V1080" s="17" t="str">
        <x:v>false</x:v>
      </x:c>
    </x:row>
    <x:row r="1081" ht="80" customHeight="1">
      <x:c r="A1081" s="25" t="str">
        <x:v>Closure</x:v>
      </x:c>
      <x:c r="B1081" s="25" t="n">
        <x:v>163</x:v>
      </x:c>
      <x:c r="C1081" s="25" t="str">
        <x:v>Round2</x:v>
      </x:c>
      <x:c r="D1081" s="25" t="str">
        <x:v>NOT_AVAILABLE</x:v>
      </x:c>
      <x:c r="E1081" s="25" t="str">
        <x:v>N/A</x:v>
      </x:c>
      <x:c r="F1081" s="26" t="str">
        <x:v>fixed test_compile=FAIL</x:v>
      </x:c>
      <x:c r="G1081" s="25" t="str">
        <x:v>true</x:v>
      </x:c>
      <x:c r="H1081" s="25" t="str">
        <x:v>NOT_AVAILABLE</x:v>
      </x:c>
      <x:c r="I1081" s="25" t="str">
        <x:v>PASS</x:v>
      </x:c>
      <x:c r="J1081" s="25" t="str">
        <x:v>NOT_RUN</x:v>
      </x:c>
      <x:c r="K1081" s="25" t="n">
        <x:v>4</x:v>
      </x:c>
      <x:c r="L1081" s="27" t="b">
        <x:v>0</x:v>
      </x:c>
      <x:c r="M1081" s="25" t="str">
        <x:v>Feedback-Directed Random Test Generation/rounds/Round2/state/Closure.json</x:v>
      </x:c>
      <x:c r="N1081" s="25" t="str">
        <x:v>Feedback-Directed Random Test Generation/Result_Round2/Closure_163/result.json</x:v>
      </x:c>
      <x:c r="O1081" s="25" t="str">
        <x:v>Feedback-Directed Random Test Generation/Result_Round2/Closure_163/result.json</x:v>
      </x:c>
      <x:c r="P1081" t="str">
        <x:v>FIXED_NOT_RUN</x:v>
      </x:c>
      <x:c r="Q1081" s="21" t="str"/>
      <x:c r="R1081" s="21" t="str"/>
      <x:c r="S1081" s="21" t="str"/>
      <x:c r="T1081" s="17" t="str">
        <x:v>false</x:v>
      </x:c>
      <x:c r="U1081" s="17" t="str">
        <x:v>true</x:v>
      </x:c>
      <x:c r="V1081" s="17" t="str">
        <x:v>false</x:v>
      </x:c>
    </x:row>
    <x:row r="1082" ht="80" customHeight="1">
      <x:c r="A1082" s="25" t="str">
        <x:v>Closure</x:v>
      </x:c>
      <x:c r="B1082" s="25" t="n">
        <x:v>164</x:v>
      </x:c>
      <x:c r="C1082" s="25" t="str">
        <x:v>Round2</x:v>
      </x:c>
      <x:c r="D1082" s="25" t="str">
        <x:v>NOT_REVEALING</x:v>
      </x:c>
      <x:c r="E1082" s="25" t="str">
        <x:v>N/A</x:v>
      </x:c>
      <x:c r="F1082" s="26" t="str">
        <x:v>Same saved validation suite passed on buggy and fixed</x:v>
      </x:c>
      <x:c r="G1082" s="25" t="str">
        <x:v>true</x:v>
      </x:c>
      <x:c r="H1082" s="25" t="str">
        <x:v>NOT_REVEALING</x:v>
      </x:c>
      <x:c r="I1082" s="25" t="str">
        <x:v>PASS</x:v>
      </x:c>
      <x:c r="J1082" s="25" t="str">
        <x:v>PASS</x:v>
      </x:c>
      <x:c r="K1082" s="25" t="n">
        <x:v>2</x:v>
      </x:c>
      <x:c r="L1082" s="27" t="b">
        <x:v>0</x:v>
      </x:c>
      <x:c r="M1082" s="25" t="str">
        <x:v>Feedback-Directed Random Test Generation/rounds/Round2/state/Closure.json</x:v>
      </x:c>
      <x:c r="N1082" s="25" t="str">
        <x:v>Feedback-Directed Random Test Generation/Result_Round2/Closure_164/result.json</x:v>
      </x:c>
      <x:c r="O1082" s="25" t="str">
        <x:v>Feedback-Directed Random Test Generation/Result_Round2/Closure_164/result.json</x:v>
      </x:c>
      <x:c r="P1082"/>
      <x:c r="Q1082" s="21" t="str"/>
      <x:c r="R1082" s="21" t="str"/>
      <x:c r="S1082" s="21" t="str"/>
      <x:c r="T1082" s="17" t="str">
        <x:v>false</x:v>
      </x:c>
      <x:c r="U1082" s="17" t="str">
        <x:v>true</x:v>
      </x:c>
      <x:c r="V1082" s="17" t="str">
        <x:v>false</x:v>
      </x:c>
    </x:row>
    <x:row r="1083" ht="80" customHeight="1">
      <x:c r="A1083" s="25" t="str">
        <x:v>Closure</x:v>
      </x:c>
      <x:c r="B1083" s="25" t="n">
        <x:v>165</x:v>
      </x:c>
      <x:c r="C1083" s="25" t="str">
        <x:v>Round2</x:v>
      </x:c>
      <x:c r="D1083" s="25" t="str">
        <x:v>NOT_REVEALING</x:v>
      </x:c>
      <x:c r="E1083" s="25" t="str">
        <x:v>N/A</x:v>
      </x:c>
      <x:c r="F1083" s="26" t="str">
        <x:v>Same saved validation suite passed on buggy and fixed</x:v>
      </x:c>
      <x:c r="G1083" s="25" t="str">
        <x:v>true</x:v>
      </x:c>
      <x:c r="H1083" s="25" t="str">
        <x:v>NOT_REVEALING</x:v>
      </x:c>
      <x:c r="I1083" s="25" t="str">
        <x:v>PASS</x:v>
      </x:c>
      <x:c r="J1083" s="25" t="str">
        <x:v>PASS</x:v>
      </x:c>
      <x:c r="K1083" s="25" t="n">
        <x:v>6</x:v>
      </x:c>
      <x:c r="L1083" s="27" t="b">
        <x:v>0</x:v>
      </x:c>
      <x:c r="M1083" s="25" t="str">
        <x:v>Feedback-Directed Random Test Generation/rounds/Round2/state/Closure.json</x:v>
      </x:c>
      <x:c r="N1083" s="25" t="str">
        <x:v>Feedback-Directed Random Test Generation/Result_Round2/Closure_165/result.json</x:v>
      </x:c>
      <x:c r="O1083" s="25" t="str">
        <x:v>Feedback-Directed Random Test Generation/Result_Round2/Closure_165/result.json</x:v>
      </x:c>
      <x:c r="P1083"/>
      <x:c r="Q1083" s="21" t="str"/>
      <x:c r="R1083" s="21" t="str"/>
      <x:c r="S1083" s="21" t="str"/>
      <x:c r="T1083" s="17" t="str">
        <x:v>false</x:v>
      </x:c>
      <x:c r="U1083" s="17" t="str">
        <x:v>true</x:v>
      </x:c>
      <x:c r="V1083" s="17" t="str">
        <x:v>false</x:v>
      </x:c>
    </x:row>
    <x:row r="1084" ht="80" customHeight="1">
      <x:c r="A1084" s="25" t="str">
        <x:v>Closure</x:v>
      </x:c>
      <x:c r="B1084" s="25" t="n">
        <x:v>166</x:v>
      </x:c>
      <x:c r="C1084" s="25" t="str">
        <x:v>Round2</x:v>
      </x:c>
      <x:c r="D1084" s="25" t="str">
        <x:v>NOT_REVEALING</x:v>
      </x:c>
      <x:c r="E1084" s="25" t="str">
        <x:v>N/A</x:v>
      </x:c>
      <x:c r="F1084" s="26" t="str">
        <x:v>Same saved validation suite passed on buggy and fixed</x:v>
      </x:c>
      <x:c r="G1084" s="25" t="str">
        <x:v>true</x:v>
      </x:c>
      <x:c r="H1084" s="25" t="str">
        <x:v>NOT_REVEALING</x:v>
      </x:c>
      <x:c r="I1084" s="25" t="str">
        <x:v>PASS</x:v>
      </x:c>
      <x:c r="J1084" s="25" t="str">
        <x:v>PASS</x:v>
      </x:c>
      <x:c r="K1084" s="25" t="n">
        <x:v>8</x:v>
      </x:c>
      <x:c r="L1084" s="27" t="b">
        <x:v>0</x:v>
      </x:c>
      <x:c r="M1084" s="25" t="str">
        <x:v>Feedback-Directed Random Test Generation/rounds/Round2/state/Closure.json</x:v>
      </x:c>
      <x:c r="N1084" s="25" t="str">
        <x:v>Feedback-Directed Random Test Generation/Result_Round2/Closure_166/result.json</x:v>
      </x:c>
      <x:c r="O1084" s="25" t="str">
        <x:v>Feedback-Directed Random Test Generation/Result_Round2/Closure_166/result.json</x:v>
      </x:c>
      <x:c r="P1084"/>
      <x:c r="Q1084" s="21" t="str"/>
      <x:c r="R1084" s="21" t="str"/>
      <x:c r="S1084" s="21" t="str"/>
      <x:c r="T1084" s="17" t="str">
        <x:v>false</x:v>
      </x:c>
      <x:c r="U1084" s="17" t="str">
        <x:v>true</x:v>
      </x:c>
      <x:c r="V1084" s="17" t="str">
        <x:v>false</x:v>
      </x:c>
    </x:row>
    <x:row r="1085" ht="80" customHeight="1">
      <x:c r="A1085" s="25" t="str">
        <x:v>Closure</x:v>
      </x:c>
      <x:c r="B1085" s="25" t="n">
        <x:v>167</x:v>
      </x:c>
      <x:c r="C1085" s="25" t="str">
        <x:v>Round2</x:v>
      </x:c>
      <x:c r="D1085" s="25" t="str">
        <x:v>NOT_REVEALING</x:v>
      </x:c>
      <x:c r="E1085" s="25" t="str">
        <x:v>N/A</x:v>
      </x:c>
      <x:c r="F1085" s="26" t="str">
        <x:v>Same saved validation suite passed on buggy and fixed</x:v>
      </x:c>
      <x:c r="G1085" s="25" t="str">
        <x:v>true</x:v>
      </x:c>
      <x:c r="H1085" s="25" t="str">
        <x:v>NOT_REVEALING</x:v>
      </x:c>
      <x:c r="I1085" s="25" t="str">
        <x:v>PASS</x:v>
      </x:c>
      <x:c r="J1085" s="25" t="str">
        <x:v>PASS</x:v>
      </x:c>
      <x:c r="K1085" s="25" t="n">
        <x:v>9</x:v>
      </x:c>
      <x:c r="L1085" s="27" t="b">
        <x:v>0</x:v>
      </x:c>
      <x:c r="M1085" s="25" t="str">
        <x:v>Feedback-Directed Random Test Generation/rounds/Round2/state/Closure.json</x:v>
      </x:c>
      <x:c r="N1085" s="25" t="str">
        <x:v>Feedback-Directed Random Test Generation/Result_Round2/Closure_167/result.json</x:v>
      </x:c>
      <x:c r="O1085" s="25" t="str">
        <x:v>Feedback-Directed Random Test Generation/Result_Round2/Closure_167/result.json</x:v>
      </x:c>
      <x:c r="P1085"/>
      <x:c r="Q1085" s="21" t="str"/>
      <x:c r="R1085" s="21" t="str"/>
      <x:c r="S1085" s="21" t="str"/>
      <x:c r="T1085" s="17" t="str">
        <x:v>false</x:v>
      </x:c>
      <x:c r="U1085" s="17" t="str">
        <x:v>true</x:v>
      </x:c>
      <x:c r="V1085" s="17" t="str">
        <x:v>false</x:v>
      </x:c>
    </x:row>
    <x:row r="1086" ht="80" customHeight="1">
      <x:c r="A1086" s="25" t="str">
        <x:v>Closure</x:v>
      </x:c>
      <x:c r="B1086" s="25" t="n">
        <x:v>168</x:v>
      </x:c>
      <x:c r="C1086" s="25" t="str">
        <x:v>Round2</x:v>
      </x:c>
      <x:c r="D1086" s="25" t="str">
        <x:v>NOT_REVEALING</x:v>
      </x:c>
      <x:c r="E1086" s="25" t="str">
        <x:v>N/A</x:v>
      </x:c>
      <x:c r="F1086" s="26" t="str">
        <x:v>Same saved validation suite passed on buggy and fixed</x:v>
      </x:c>
      <x:c r="G1086" s="25" t="str">
        <x:v>true</x:v>
      </x:c>
      <x:c r="H1086" s="25" t="str">
        <x:v>NOT_REVEALING</x:v>
      </x:c>
      <x:c r="I1086" s="25" t="str">
        <x:v>PASS</x:v>
      </x:c>
      <x:c r="J1086" s="25" t="str">
        <x:v>PASS</x:v>
      </x:c>
      <x:c r="K1086" s="25" t="n">
        <x:v>2</x:v>
      </x:c>
      <x:c r="L1086" s="27" t="b">
        <x:v>0</x:v>
      </x:c>
      <x:c r="M1086" s="25" t="str">
        <x:v>Feedback-Directed Random Test Generation/rounds/Round2/state/Closure.json</x:v>
      </x:c>
      <x:c r="N1086" s="25" t="str">
        <x:v>Feedback-Directed Random Test Generation/Result_Round2/Closure_168/result.json</x:v>
      </x:c>
      <x:c r="O1086" s="25" t="str">
        <x:v>Feedback-Directed Random Test Generation/Result_Round2/Closure_168/result.json</x:v>
      </x:c>
      <x:c r="P1086"/>
      <x:c r="Q1086" s="21" t="str"/>
      <x:c r="R1086" s="21" t="str"/>
      <x:c r="S1086" s="21" t="str"/>
      <x:c r="T1086" s="17" t="str">
        <x:v>false</x:v>
      </x:c>
      <x:c r="U1086" s="17" t="str">
        <x:v>true</x:v>
      </x:c>
      <x:c r="V1086" s="17" t="str">
        <x:v>false</x:v>
      </x:c>
    </x:row>
    <x:row r="1087" ht="80" customHeight="1">
      <x:c r="A1087" s="25" t="str">
        <x:v>Closure</x:v>
      </x:c>
      <x:c r="B1087" s="25" t="n">
        <x:v>169</x:v>
      </x:c>
      <x:c r="C1087" s="25" t="str">
        <x:v>Round2</x:v>
      </x:c>
      <x:c r="D1087" s="25" t="str">
        <x:v>NOT_REVEALING</x:v>
      </x:c>
      <x:c r="E1087" s="25" t="str">
        <x:v>N/A</x:v>
      </x:c>
      <x:c r="F1087" s="26" t="str">
        <x:v>Same saved validation suite passed on buggy and fixed</x:v>
      </x:c>
      <x:c r="G1087" s="25" t="str">
        <x:v>true</x:v>
      </x:c>
      <x:c r="H1087" s="25" t="str">
        <x:v>NOT_REVEALING</x:v>
      </x:c>
      <x:c r="I1087" s="25" t="str">
        <x:v>PASS</x:v>
      </x:c>
      <x:c r="J1087" s="25" t="str">
        <x:v>PASS</x:v>
      </x:c>
      <x:c r="K1087" s="25" t="n">
        <x:v>2</x:v>
      </x:c>
      <x:c r="L1087" s="27" t="b">
        <x:v>0</x:v>
      </x:c>
      <x:c r="M1087" s="25" t="str">
        <x:v>Feedback-Directed Random Test Generation/rounds/Round2/state/Closure.json</x:v>
      </x:c>
      <x:c r="N1087" s="25" t="str">
        <x:v>Feedback-Directed Random Test Generation/Result_Round2/Closure_169/result.json</x:v>
      </x:c>
      <x:c r="O1087" s="25" t="str">
        <x:v>Feedback-Directed Random Test Generation/Result_Round2/Closure_169/result.json</x:v>
      </x:c>
      <x:c r="P1087"/>
      <x:c r="Q1087" s="21" t="str"/>
      <x:c r="R1087" s="21" t="str"/>
      <x:c r="S1087" s="21" t="str"/>
      <x:c r="T1087" s="17" t="str">
        <x:v>false</x:v>
      </x:c>
      <x:c r="U1087" s="17" t="str">
        <x:v>true</x:v>
      </x:c>
      <x:c r="V1087" s="17" t="str">
        <x:v>false</x:v>
      </x:c>
    </x:row>
    <x:row r="1088" ht="80" customHeight="1">
      <x:c r="A1088" s="25" t="str">
        <x:v>Closure</x:v>
      </x:c>
      <x:c r="B1088" s="25" t="n">
        <x:v>170</x:v>
      </x:c>
      <x:c r="C1088" s="25" t="str">
        <x:v>Round2</x:v>
      </x:c>
      <x:c r="D1088" s="25" t="str">
        <x:v>NOT_REVEALING</x:v>
      </x:c>
      <x:c r="E1088" s="25" t="str">
        <x:v>N/A</x:v>
      </x:c>
      <x:c r="F1088" s="26" t="str">
        <x:v>Same saved validation suite passed on buggy and fixed</x:v>
      </x:c>
      <x:c r="G1088" s="25" t="str">
        <x:v>true</x:v>
      </x:c>
      <x:c r="H1088" s="25" t="str">
        <x:v>NOT_REVEALING</x:v>
      </x:c>
      <x:c r="I1088" s="25" t="str">
        <x:v>PASS</x:v>
      </x:c>
      <x:c r="J1088" s="25" t="str">
        <x:v>PASS</x:v>
      </x:c>
      <x:c r="K1088" s="25" t="n">
        <x:v>5</x:v>
      </x:c>
      <x:c r="L1088" s="27" t="b">
        <x:v>0</x:v>
      </x:c>
      <x:c r="M1088" s="25" t="str">
        <x:v>Feedback-Directed Random Test Generation/rounds/Round2/state/Closure.json</x:v>
      </x:c>
      <x:c r="N1088" s="25" t="str">
        <x:v>Feedback-Directed Random Test Generation/Result_Round2/Closure_170/result.json</x:v>
      </x:c>
      <x:c r="O1088" s="25" t="str">
        <x:v>Feedback-Directed Random Test Generation/Result_Round2/Closure_170/result.json</x:v>
      </x:c>
      <x:c r="P1088"/>
      <x:c r="Q1088" s="21" t="str"/>
      <x:c r="R1088" s="21" t="str"/>
      <x:c r="S1088" s="21" t="str"/>
      <x:c r="T1088" s="17" t="str">
        <x:v>false</x:v>
      </x:c>
      <x:c r="U1088" s="17" t="str">
        <x:v>true</x:v>
      </x:c>
      <x:c r="V1088" s="17" t="str">
        <x:v>false</x:v>
      </x:c>
    </x:row>
    <x:row r="1089" ht="80" customHeight="1">
      <x:c r="A1089" s="25" t="str">
        <x:v>Closure</x:v>
      </x:c>
      <x:c r="B1089" s="25" t="n">
        <x:v>171</x:v>
      </x:c>
      <x:c r="C1089" s="25" t="str">
        <x:v>Round2</x:v>
      </x:c>
      <x:c r="D1089" s="25" t="str">
        <x:v>NOT_REVEALING</x:v>
      </x:c>
      <x:c r="E1089" s="25" t="str">
        <x:v>N/A</x:v>
      </x:c>
      <x:c r="F1089" s="26" t="str">
        <x:v>Same saved validation suite passed on buggy and fixed</x:v>
      </x:c>
      <x:c r="G1089" s="25" t="str">
        <x:v>true</x:v>
      </x:c>
      <x:c r="H1089" s="25" t="str">
        <x:v>NOT_REVEALING</x:v>
      </x:c>
      <x:c r="I1089" s="25" t="str">
        <x:v>PASS</x:v>
      </x:c>
      <x:c r="J1089" s="25" t="str">
        <x:v>PASS</x:v>
      </x:c>
      <x:c r="K1089" s="25" t="n">
        <x:v>2</x:v>
      </x:c>
      <x:c r="L1089" s="27" t="b">
        <x:v>0</x:v>
      </x:c>
      <x:c r="M1089" s="25" t="str">
        <x:v>Feedback-Directed Random Test Generation/rounds/Round2/state/Closure.json</x:v>
      </x:c>
      <x:c r="N1089" s="25" t="str">
        <x:v>Feedback-Directed Random Test Generation/Result_Round2/Closure_171/result.json</x:v>
      </x:c>
      <x:c r="O1089" s="25" t="str">
        <x:v>Feedback-Directed Random Test Generation/Result_Round2/Closure_171/result.json</x:v>
      </x:c>
      <x:c r="P1089"/>
      <x:c r="Q1089" s="21" t="str"/>
      <x:c r="R1089" s="21" t="str"/>
      <x:c r="S1089" s="21" t="str"/>
      <x:c r="T1089" s="17" t="str">
        <x:v>false</x:v>
      </x:c>
      <x:c r="U1089" s="17" t="str">
        <x:v>true</x:v>
      </x:c>
      <x:c r="V1089" s="17" t="str">
        <x:v>false</x:v>
      </x:c>
    </x:row>
    <x:row r="1090" ht="80" customHeight="1">
      <x:c r="A1090" s="25" t="str">
        <x:v>Closure</x:v>
      </x:c>
      <x:c r="B1090" s="25" t="n">
        <x:v>172</x:v>
      </x:c>
      <x:c r="C1090" s="25" t="str">
        <x:v>Round2</x:v>
      </x:c>
      <x:c r="D1090" s="25" t="str">
        <x:v>NOT_REVEALING</x:v>
      </x:c>
      <x:c r="E1090" s="25" t="str">
        <x:v>N/A</x:v>
      </x:c>
      <x:c r="F1090" s="26" t="str">
        <x:v>Same saved validation suite passed on buggy and fixed</x:v>
      </x:c>
      <x:c r="G1090" s="25" t="str">
        <x:v>true</x:v>
      </x:c>
      <x:c r="H1090" s="25" t="str">
        <x:v>NOT_REVEALING</x:v>
      </x:c>
      <x:c r="I1090" s="25" t="str">
        <x:v>PASS</x:v>
      </x:c>
      <x:c r="J1090" s="25" t="str">
        <x:v>PASS</x:v>
      </x:c>
      <x:c r="K1090" s="25" t="n">
        <x:v>2</x:v>
      </x:c>
      <x:c r="L1090" s="27" t="b">
        <x:v>0</x:v>
      </x:c>
      <x:c r="M1090" s="25" t="str">
        <x:v>Feedback-Directed Random Test Generation/rounds/Round2/state/Closure.json</x:v>
      </x:c>
      <x:c r="N1090" s="25" t="str">
        <x:v>Feedback-Directed Random Test Generation/Result_Round2/Closure_172/result.json</x:v>
      </x:c>
      <x:c r="O1090" s="25" t="str">
        <x:v>Feedback-Directed Random Test Generation/Result_Round2/Closure_172/result.json</x:v>
      </x:c>
      <x:c r="P1090"/>
      <x:c r="Q1090" s="21" t="str"/>
      <x:c r="R1090" s="21" t="str"/>
      <x:c r="S1090" s="21" t="str"/>
      <x:c r="T1090" s="17" t="str">
        <x:v>false</x:v>
      </x:c>
      <x:c r="U1090" s="17" t="str">
        <x:v>true</x:v>
      </x:c>
      <x:c r="V1090" s="17" t="str">
        <x:v>false</x:v>
      </x:c>
    </x:row>
    <x:row r="1091" ht="80" customHeight="1">
      <x:c r="A1091" s="25" t="str">
        <x:v>Closure</x:v>
      </x:c>
      <x:c r="B1091" s="25" t="n">
        <x:v>173</x:v>
      </x:c>
      <x:c r="C1091" s="25" t="str">
        <x:v>Round2</x:v>
      </x:c>
      <x:c r="D1091" s="25" t="str">
        <x:v>NOT_REVEALING</x:v>
      </x:c>
      <x:c r="E1091" s="25" t="str">
        <x:v>N/A</x:v>
      </x:c>
      <x:c r="F1091" s="26" t="str">
        <x:v>Same saved validation suite passed on buggy and fixed</x:v>
      </x:c>
      <x:c r="G1091" s="25" t="str">
        <x:v>true</x:v>
      </x:c>
      <x:c r="H1091" s="25" t="str">
        <x:v>NOT_REVEALING</x:v>
      </x:c>
      <x:c r="I1091" s="25" t="str">
        <x:v>PASS</x:v>
      </x:c>
      <x:c r="J1091" s="25" t="str">
        <x:v>PASS</x:v>
      </x:c>
      <x:c r="K1091" s="25" t="n">
        <x:v>5</x:v>
      </x:c>
      <x:c r="L1091" s="27" t="b">
        <x:v>0</x:v>
      </x:c>
      <x:c r="M1091" s="25" t="str">
        <x:v>Feedback-Directed Random Test Generation/rounds/Round2/state/Closure.json</x:v>
      </x:c>
      <x:c r="N1091" s="25" t="str">
        <x:v>Feedback-Directed Random Test Generation/Result_Round2/Closure_173/result.json</x:v>
      </x:c>
      <x:c r="O1091" s="25" t="str">
        <x:v>Feedback-Directed Random Test Generation/Result_Round2/Closure_173/result.json</x:v>
      </x:c>
      <x:c r="P1091"/>
      <x:c r="Q1091" s="21" t="str"/>
      <x:c r="R1091" s="21" t="str"/>
      <x:c r="S1091" s="21" t="str"/>
      <x:c r="T1091" s="17" t="str">
        <x:v>false</x:v>
      </x:c>
      <x:c r="U1091" s="17" t="str">
        <x:v>true</x:v>
      </x:c>
      <x:c r="V1091" s="17" t="str">
        <x:v>false</x:v>
      </x:c>
    </x:row>
    <x:row r="1092" ht="80" customHeight="1">
      <x:c r="A1092" s="25" t="str">
        <x:v>Closure</x:v>
      </x:c>
      <x:c r="B1092" s="25" t="n">
        <x:v>174</x:v>
      </x:c>
      <x:c r="C1092" s="25" t="str">
        <x:v>Round2</x:v>
      </x:c>
      <x:c r="D1092" s="25" t="str">
        <x:v>NOT_REVEALING</x:v>
      </x:c>
      <x:c r="E1092" s="25" t="str">
        <x:v>N/A</x:v>
      </x:c>
      <x:c r="F1092" s="26" t="str">
        <x:v>Same saved validation suite passed on buggy and fixed</x:v>
      </x:c>
      <x:c r="G1092" s="25" t="str">
        <x:v>true</x:v>
      </x:c>
      <x:c r="H1092" s="25" t="str">
        <x:v>NOT_REVEALING</x:v>
      </x:c>
      <x:c r="I1092" s="25" t="str">
        <x:v>PASS</x:v>
      </x:c>
      <x:c r="J1092" s="25" t="str">
        <x:v>PASS</x:v>
      </x:c>
      <x:c r="K1092" s="25" t="n">
        <x:v>5</x:v>
      </x:c>
      <x:c r="L1092" s="27" t="b">
        <x:v>0</x:v>
      </x:c>
      <x:c r="M1092" s="25" t="str">
        <x:v>Feedback-Directed Random Test Generation/rounds/Round2/state/Closure.json</x:v>
      </x:c>
      <x:c r="N1092" s="25" t="str">
        <x:v>Feedback-Directed Random Test Generation/Result_Round2/Closure_174/result.json</x:v>
      </x:c>
      <x:c r="O1092" s="25" t="str">
        <x:v>Feedback-Directed Random Test Generation/Result_Round2/Closure_174/result.json</x:v>
      </x:c>
      <x:c r="P1092"/>
      <x:c r="Q1092" s="21" t="str"/>
      <x:c r="R1092" s="21" t="str"/>
      <x:c r="S1092" s="21" t="str"/>
      <x:c r="T1092" s="17" t="str">
        <x:v>false</x:v>
      </x:c>
      <x:c r="U1092" s="17" t="str">
        <x:v>true</x:v>
      </x:c>
      <x:c r="V1092" s="17" t="str">
        <x:v>false</x:v>
      </x:c>
    </x:row>
    <x:row r="1093" ht="80" customHeight="1">
      <x:c r="A1093" s="25" t="str">
        <x:v>Closure</x:v>
      </x:c>
      <x:c r="B1093" s="25" t="n">
        <x:v>175</x:v>
      </x:c>
      <x:c r="C1093" s="25" t="str">
        <x:v>Round2</x:v>
      </x:c>
      <x:c r="D1093" s="25" t="str">
        <x:v>NOT_REVEALING</x:v>
      </x:c>
      <x:c r="E1093" s="25" t="str">
        <x:v>N/A</x:v>
      </x:c>
      <x:c r="F1093" s="26" t="str">
        <x:v>Same saved validation suite passed on buggy and fixed</x:v>
      </x:c>
      <x:c r="G1093" s="25" t="str">
        <x:v>true</x:v>
      </x:c>
      <x:c r="H1093" s="25" t="str">
        <x:v>NOT_REVEALING</x:v>
      </x:c>
      <x:c r="I1093" s="25" t="str">
        <x:v>PASS</x:v>
      </x:c>
      <x:c r="J1093" s="25" t="str">
        <x:v>PASS</x:v>
      </x:c>
      <x:c r="K1093" s="25" t="n">
        <x:v>2</x:v>
      </x:c>
      <x:c r="L1093" s="27" t="b">
        <x:v>0</x:v>
      </x:c>
      <x:c r="M1093" s="25" t="str">
        <x:v>Feedback-Directed Random Test Generation/rounds/Round2/state/Closure.json</x:v>
      </x:c>
      <x:c r="N1093" s="25" t="str">
        <x:v>Feedback-Directed Random Test Generation/Result_Round2/Closure_175/result.json</x:v>
      </x:c>
      <x:c r="O1093" s="25" t="str">
        <x:v>Feedback-Directed Random Test Generation/Result_Round2/Closure_175/result.json</x:v>
      </x:c>
      <x:c r="P1093"/>
      <x:c r="Q1093" s="21" t="str"/>
      <x:c r="R1093" s="21" t="str"/>
      <x:c r="S1093" s="21" t="str"/>
      <x:c r="T1093" s="17" t="str">
        <x:v>false</x:v>
      </x:c>
      <x:c r="U1093" s="17" t="str">
        <x:v>true</x:v>
      </x:c>
      <x:c r="V1093" s="17" t="str">
        <x:v>false</x:v>
      </x:c>
    </x:row>
    <x:row r="1094" ht="80" customHeight="1">
      <x:c r="A1094" s="25" t="str">
        <x:v>Closure</x:v>
      </x:c>
      <x:c r="B1094" s="25" t="n">
        <x:v>176</x:v>
      </x:c>
      <x:c r="C1094" s="25" t="str">
        <x:v>Round2</x:v>
      </x:c>
      <x:c r="D1094" s="25" t="str">
        <x:v>NOT_REVEALING</x:v>
      </x:c>
      <x:c r="E1094" s="25" t="str">
        <x:v>N/A</x:v>
      </x:c>
      <x:c r="F1094" s="26" t="str">
        <x:v>Same saved validation suite passed on buggy and fixed</x:v>
      </x:c>
      <x:c r="G1094" s="25" t="str">
        <x:v>true</x:v>
      </x:c>
      <x:c r="H1094" s="25" t="str">
        <x:v>NOT_REVEALING</x:v>
      </x:c>
      <x:c r="I1094" s="25" t="str">
        <x:v>PASS</x:v>
      </x:c>
      <x:c r="J1094" s="25" t="str">
        <x:v>PASS</x:v>
      </x:c>
      <x:c r="K1094" s="25" t="n">
        <x:v>2</x:v>
      </x:c>
      <x:c r="L1094" s="27" t="b">
        <x:v>0</x:v>
      </x:c>
      <x:c r="M1094" s="25" t="str">
        <x:v>Feedback-Directed Random Test Generation/rounds/Round2/state/Closure.json</x:v>
      </x:c>
      <x:c r="N1094" s="25" t="str">
        <x:v>Feedback-Directed Random Test Generation/Result_Round2/Closure_176/result.json</x:v>
      </x:c>
      <x:c r="O1094" s="25" t="str">
        <x:v>Feedback-Directed Random Test Generation/Result_Round2/Closure_176/result.json</x:v>
      </x:c>
      <x:c r="P1094"/>
      <x:c r="Q1094" s="21" t="str"/>
      <x:c r="R1094" s="21" t="str"/>
      <x:c r="S1094" s="21" t="str"/>
      <x:c r="T1094" s="17" t="str">
        <x:v>false</x:v>
      </x:c>
      <x:c r="U1094" s="17" t="str">
        <x:v>true</x:v>
      </x:c>
      <x:c r="V1094" s="17" t="str">
        <x:v>false</x:v>
      </x:c>
    </x:row>
    <x:row r="1095" ht="80" customHeight="1">
      <x:c r="A1095" s="25" t="str">
        <x:v>Codec</x:v>
      </x:c>
      <x:c r="B1095" s="25" t="n">
        <x:v>1</x:v>
      </x:c>
      <x:c r="C1095" s="25" t="str">
        <x:v>Round2</x:v>
      </x:c>
      <x:c r="D1095" s="25" t="str">
        <x:v>INCONCLUSIVE</x:v>
      </x:c>
      <x:c r="E1095" s="25" t="str">
        <x:v>N/A</x:v>
      </x:c>
      <x:c r="F1095" s="26" t="str">
        <x:v>Fixed also failed; assertion failure cannot be attributed to this bug; Assertions failed with measured coverage; paired execution and stage checks determine status</x:v>
      </x:c>
      <x:c r="G1095" s="25" t="str">
        <x:v>true</x:v>
      </x:c>
      <x:c r="H1095" s="25" t="str">
        <x:v>INCONCLUSIVE</x:v>
      </x:c>
      <x:c r="I1095" s="25" t="str">
        <x:v>FAIL</x:v>
      </x:c>
      <x:c r="J1095" s="25" t="str">
        <x:v>FAIL</x:v>
      </x:c>
      <x:c r="K1095" s="25" t="n">
        <x:v>9</x:v>
      </x:c>
      <x:c r="L1095" s="27" t="b">
        <x:v>0</x:v>
      </x:c>
      <x:c r="M1095" s="25" t="str">
        <x:v>Feedback-Directed Random Test Generation/rounds/Round2/state/Codec.json</x:v>
      </x:c>
      <x:c r="N1095" s="25" t="str">
        <x:v>Feedback-Directed Random Test Generation/Result_Round2/Codec_1/result.json</x:v>
      </x:c>
      <x:c r="O1095" s="25" t="str">
        <x:v>Feedback-Directed Random Test Generation/Result_Round2/Codec_1/result.json</x:v>
      </x:c>
      <x:c r="P1095"/>
      <x:c r="Q1095" s="21" t="str"/>
      <x:c r="R1095" s="21" t="str"/>
      <x:c r="S1095" s="21" t="str"/>
      <x:c r="T1095" s="17" t="str">
        <x:v>false</x:v>
      </x:c>
      <x:c r="U1095" s="17" t="str">
        <x:v>true</x:v>
      </x:c>
      <x:c r="V1095" s="17" t="str">
        <x:v>false</x:v>
      </x:c>
    </x:row>
    <x:row r="1096" ht="80" customHeight="1">
      <x:c r="A1096" s="25" t="str">
        <x:v>Codec</x:v>
      </x:c>
      <x:c r="B1096" s="25" t="n">
        <x:v>2</x:v>
      </x:c>
      <x:c r="C1096" s="25" t="str">
        <x:v>Round2</x:v>
      </x:c>
      <x:c r="D1096" s="25" t="str">
        <x:v>INCONCLUSIVE</x:v>
      </x:c>
      <x:c r="E1096" s="25" t="str">
        <x:v>N/A</x:v>
      </x:c>
      <x:c r="F1096" s="26" t="str">
        <x:v>Fixed also failed; assertion failure cannot be attributed to this bug</x:v>
      </x:c>
      <x:c r="G1096" s="25" t="str">
        <x:v>true</x:v>
      </x:c>
      <x:c r="H1096" s="25" t="str">
        <x:v>INCONCLUSIVE</x:v>
      </x:c>
      <x:c r="I1096" s="25" t="str">
        <x:v>PASS</x:v>
      </x:c>
      <x:c r="J1096" s="25" t="str">
        <x:v>FAIL</x:v>
      </x:c>
      <x:c r="K1096" s="25" t="n">
        <x:v>5</x:v>
      </x:c>
      <x:c r="L1096" s="27" t="b">
        <x:v>0</x:v>
      </x:c>
      <x:c r="M1096" s="25" t="str">
        <x:v>Feedback-Directed Random Test Generation/rounds/Round2/state/Codec.json</x:v>
      </x:c>
      <x:c r="N1096" s="25" t="str">
        <x:v>Feedback-Directed Random Test Generation/Result_Round2/Codec_2/result.json</x:v>
      </x:c>
      <x:c r="O1096" s="25" t="str">
        <x:v>Feedback-Directed Random Test Generation/Result_Round2/Codec_2/result.json</x:v>
      </x:c>
      <x:c r="P1096"/>
      <x:c r="Q1096" s="21" t="str"/>
      <x:c r="R1096" s="21" t="str"/>
      <x:c r="S1096" s="21" t="str"/>
      <x:c r="T1096" s="17" t="str">
        <x:v>false</x:v>
      </x:c>
      <x:c r="U1096" s="17" t="str">
        <x:v>true</x:v>
      </x:c>
      <x:c r="V1096" s="17" t="str">
        <x:v>false</x:v>
      </x:c>
    </x:row>
    <x:row r="1097" ht="80" customHeight="1">
      <x:c r="A1097" s="25" t="str">
        <x:v>Codec</x:v>
      </x:c>
      <x:c r="B1097" s="25" t="n">
        <x:v>3</x:v>
      </x:c>
      <x:c r="C1097" s="25" t="str">
        <x:v>Round2</x:v>
      </x:c>
      <x:c r="D1097" s="25" t="str">
        <x:v>INCONCLUSIVE</x:v>
      </x:c>
      <x:c r="E1097" s="25" t="str">
        <x:v>N/A</x:v>
      </x:c>
      <x:c r="F1097" s="26" t="str">
        <x:v>Fixed also failed; assertion failure cannot be attributed to this bug; Assertions failed with measured coverage; paired execution and stage checks determine status</x:v>
      </x:c>
      <x:c r="G1097" s="25" t="str">
        <x:v>true</x:v>
      </x:c>
      <x:c r="H1097" s="25" t="str">
        <x:v>INCONCLUSIVE</x:v>
      </x:c>
      <x:c r="I1097" s="25" t="str">
        <x:v>FAIL</x:v>
      </x:c>
      <x:c r="J1097" s="25" t="str">
        <x:v>FAIL</x:v>
      </x:c>
      <x:c r="K1097" s="25" t="n">
        <x:v>10</x:v>
      </x:c>
      <x:c r="L1097" s="27" t="b">
        <x:v>0</x:v>
      </x:c>
      <x:c r="M1097" s="25" t="str">
        <x:v>Feedback-Directed Random Test Generation/rounds/Round2/state/Codec.json</x:v>
      </x:c>
      <x:c r="N1097" s="25" t="str">
        <x:v>Feedback-Directed Random Test Generation/Result_Round2/Codec_3/result.json</x:v>
      </x:c>
      <x:c r="O1097" s="25" t="str">
        <x:v>Feedback-Directed Random Test Generation/Result_Round2/Codec_3/result.json</x:v>
      </x:c>
      <x:c r="P1097"/>
      <x:c r="Q1097" s="21" t="str"/>
      <x:c r="R1097" s="21" t="str"/>
      <x:c r="S1097" s="21" t="str"/>
      <x:c r="T1097" s="17" t="str">
        <x:v>false</x:v>
      </x:c>
      <x:c r="U1097" s="17" t="str">
        <x:v>true</x:v>
      </x:c>
      <x:c r="V1097" s="17" t="str">
        <x:v>false</x:v>
      </x:c>
    </x:row>
    <x:row r="1098" ht="80" customHeight="1">
      <x:c r="A1098" s="25" t="str">
        <x:v>Codec</x:v>
      </x:c>
      <x:c r="B1098" s="25" t="n">
        <x:v>4</x:v>
      </x:c>
      <x:c r="C1098" s="25" t="str">
        <x:v>Round2</x:v>
      </x:c>
      <x:c r="D1098" s="25" t="str">
        <x:v>INCONCLUSIVE</x:v>
      </x:c>
      <x:c r="E1098" s="25" t="str">
        <x:v>N/A</x:v>
      </x:c>
      <x:c r="F1098" s="26" t="str">
        <x:v>Fixed also failed; assertion failure cannot be attributed to this bug</x:v>
      </x:c>
      <x:c r="G1098" s="25" t="str">
        <x:v>true</x:v>
      </x:c>
      <x:c r="H1098" s="25" t="str">
        <x:v>INCONCLUSIVE</x:v>
      </x:c>
      <x:c r="I1098" s="25" t="str">
        <x:v>PASS</x:v>
      </x:c>
      <x:c r="J1098" s="25" t="str">
        <x:v>FAIL</x:v>
      </x:c>
      <x:c r="K1098" s="25" t="n">
        <x:v>6</x:v>
      </x:c>
      <x:c r="L1098" s="27" t="b">
        <x:v>0</x:v>
      </x:c>
      <x:c r="M1098" s="25" t="str">
        <x:v>Feedback-Directed Random Test Generation/rounds/Round2/state/Codec.json</x:v>
      </x:c>
      <x:c r="N1098" s="25" t="str">
        <x:v>Feedback-Directed Random Test Generation/Result_Round2/Codec_4/result.json</x:v>
      </x:c>
      <x:c r="O1098" s="25" t="str">
        <x:v>Feedback-Directed Random Test Generation/Result_Round2/Codec_4/result.json</x:v>
      </x:c>
      <x:c r="P1098"/>
      <x:c r="Q1098" s="21" t="str"/>
      <x:c r="R1098" s="21" t="str"/>
      <x:c r="S1098" s="21" t="str"/>
      <x:c r="T1098" s="17" t="str">
        <x:v>false</x:v>
      </x:c>
      <x:c r="U1098" s="17" t="str">
        <x:v>true</x:v>
      </x:c>
      <x:c r="V1098" s="17" t="str">
        <x:v>false</x:v>
      </x:c>
    </x:row>
    <x:row r="1099" ht="80" customHeight="1">
      <x:c r="A1099" s="25" t="str">
        <x:v>Codec</x:v>
      </x:c>
      <x:c r="B1099" s="25" t="n">
        <x:v>5</x:v>
      </x:c>
      <x:c r="C1099" s="25" t="str">
        <x:v>Round2</x:v>
      </x:c>
      <x:c r="D1099" s="25" t="str">
        <x:v>NOT_REVEALING</x:v>
      </x:c>
      <x:c r="E1099" s="25" t="str">
        <x:v>N/A</x:v>
      </x:c>
      <x:c r="F1099" s="26" t="str">
        <x:v>Same saved validation suite passed on buggy and fixed</x:v>
      </x:c>
      <x:c r="G1099" s="25" t="str">
        <x:v>true</x:v>
      </x:c>
      <x:c r="H1099" s="25" t="str">
        <x:v>NOT_REVEALING</x:v>
      </x:c>
      <x:c r="I1099" s="25" t="str">
        <x:v>PASS</x:v>
      </x:c>
      <x:c r="J1099" s="25" t="str">
        <x:v>PASS</x:v>
      </x:c>
      <x:c r="K1099" s="25" t="n">
        <x:v>6</x:v>
      </x:c>
      <x:c r="L1099" s="27" t="b">
        <x:v>0</x:v>
      </x:c>
      <x:c r="M1099" s="25" t="str">
        <x:v>Feedback-Directed Random Test Generation/rounds/Round2/state/Codec.json</x:v>
      </x:c>
      <x:c r="N1099" s="25" t="str">
        <x:v>Feedback-Directed Random Test Generation/Result_Round2/Codec_5/result.json</x:v>
      </x:c>
      <x:c r="O1099" s="25" t="str">
        <x:v>Feedback-Directed Random Test Generation/Result_Round2/Codec_5/result.json</x:v>
      </x:c>
      <x:c r="P1099"/>
      <x:c r="Q1099" s="21" t="str"/>
      <x:c r="R1099" s="21" t="str"/>
      <x:c r="S1099" s="21" t="str"/>
      <x:c r="T1099" s="17" t="str">
        <x:v>false</x:v>
      </x:c>
      <x:c r="U1099" s="17" t="str">
        <x:v>true</x:v>
      </x:c>
      <x:c r="V1099" s="17" t="str">
        <x:v>false</x:v>
      </x:c>
    </x:row>
    <x:row r="1100" ht="80" customHeight="1">
      <x:c r="A1100" s="25" t="str">
        <x:v>Codec</x:v>
      </x:c>
      <x:c r="B1100" s="25" t="n">
        <x:v>6</x:v>
      </x:c>
      <x:c r="C1100" s="25" t="str">
        <x:v>Round2</x:v>
      </x:c>
      <x:c r="D1100" s="25" t="str">
        <x:v>INCONCLUSIVE</x:v>
      </x:c>
      <x:c r="E1100" s="25" t="str">
        <x:v>N/A</x:v>
      </x:c>
      <x:c r="F1100" s="26" t="str">
        <x:v>Fixed also failed; assertion failure cannot be attributed to this bug</x:v>
      </x:c>
      <x:c r="G1100" s="25" t="str">
        <x:v>true</x:v>
      </x:c>
      <x:c r="H1100" s="25" t="str">
        <x:v>INCONCLUSIVE</x:v>
      </x:c>
      <x:c r="I1100" s="25" t="str">
        <x:v>PASS</x:v>
      </x:c>
      <x:c r="J1100" s="25" t="str">
        <x:v>FAIL</x:v>
      </x:c>
      <x:c r="K1100" s="25" t="n">
        <x:v>10</x:v>
      </x:c>
      <x:c r="L1100" s="27" t="b">
        <x:v>0</x:v>
      </x:c>
      <x:c r="M1100" s="25" t="str">
        <x:v>Feedback-Directed Random Test Generation/rounds/Round2/state/Codec.json</x:v>
      </x:c>
      <x:c r="N1100" s="25" t="str">
        <x:v>Feedback-Directed Random Test Generation/Result_Round2/Codec_6/result.json</x:v>
      </x:c>
      <x:c r="O1100" s="25" t="str">
        <x:v>Feedback-Directed Random Test Generation/Result_Round2/Codec_6/result.json</x:v>
      </x:c>
      <x:c r="P1100"/>
      <x:c r="Q1100" s="21" t="str"/>
      <x:c r="R1100" s="21" t="str"/>
      <x:c r="S1100" s="21" t="str"/>
      <x:c r="T1100" s="17" t="str">
        <x:v>false</x:v>
      </x:c>
      <x:c r="U1100" s="17" t="str">
        <x:v>true</x:v>
      </x:c>
      <x:c r="V1100" s="17" t="str">
        <x:v>false</x:v>
      </x:c>
    </x:row>
    <x:row r="1101" ht="80" customHeight="1">
      <x:c r="A1101" s="25" t="str">
        <x:v>Codec</x:v>
      </x:c>
      <x:c r="B1101" s="25" t="n">
        <x:v>7</x:v>
      </x:c>
      <x:c r="C1101" s="25" t="str">
        <x:v>Round2</x:v>
      </x:c>
      <x:c r="D1101" s="25" t="str">
        <x:v>INCONCLUSIVE</x:v>
      </x:c>
      <x:c r="E1101" s="25" t="str">
        <x:v>N/A</x:v>
      </x:c>
      <x:c r="F1101" s="26" t="str">
        <x:v>Fixed also failed; assertion failure cannot be attributed to this bug</x:v>
      </x:c>
      <x:c r="G1101" s="25" t="str">
        <x:v>true</x:v>
      </x:c>
      <x:c r="H1101" s="25" t="str">
        <x:v>INCONCLUSIVE</x:v>
      </x:c>
      <x:c r="I1101" s="25" t="str">
        <x:v>PASS</x:v>
      </x:c>
      <x:c r="J1101" s="25" t="str">
        <x:v>FAIL</x:v>
      </x:c>
      <x:c r="K1101" s="25" t="n">
        <x:v>6</x:v>
      </x:c>
      <x:c r="L1101" s="27" t="b">
        <x:v>0</x:v>
      </x:c>
      <x:c r="M1101" s="25" t="str">
        <x:v>Feedback-Directed Random Test Generation/rounds/Round2/state/Codec.json</x:v>
      </x:c>
      <x:c r="N1101" s="25" t="str">
        <x:v>Feedback-Directed Random Test Generation/Result_Round2/Codec_7/result.json</x:v>
      </x:c>
      <x:c r="O1101" s="25" t="str">
        <x:v>Feedback-Directed Random Test Generation/Result_Round2/Codec_7/result.json</x:v>
      </x:c>
      <x:c r="P1101"/>
      <x:c r="Q1101" s="21" t="str"/>
      <x:c r="R1101" s="21" t="str"/>
      <x:c r="S1101" s="21" t="str"/>
      <x:c r="T1101" s="17" t="str">
        <x:v>false</x:v>
      </x:c>
      <x:c r="U1101" s="17" t="str">
        <x:v>true</x:v>
      </x:c>
      <x:c r="V1101" s="17" t="str">
        <x:v>false</x:v>
      </x:c>
    </x:row>
    <x:row r="1102" ht="80" customHeight="1">
      <x:c r="A1102" s="25" t="str">
        <x:v>Codec</x:v>
      </x:c>
      <x:c r="B1102" s="25" t="n">
        <x:v>8</x:v>
      </x:c>
      <x:c r="C1102" s="25" t="str">
        <x:v>Round2</x:v>
      </x:c>
      <x:c r="D1102" s="25" t="str">
        <x:v>NOT_AVAILABLE</x:v>
      </x:c>
      <x:c r="E1102" s="25" t="str">
        <x:v>N/A</x:v>
      </x:c>
      <x:c r="F1102" s="26" t="str">
        <x:v>fixed test_compile=FAIL</x:v>
      </x:c>
      <x:c r="G1102" s="25" t="str">
        <x:v>true</x:v>
      </x:c>
      <x:c r="H1102" s="25" t="str">
        <x:v>NOT_AVAILABLE</x:v>
      </x:c>
      <x:c r="I1102" s="25" t="str">
        <x:v>PASS</x:v>
      </x:c>
      <x:c r="J1102" s="25" t="str">
        <x:v>NOT_RUN</x:v>
      </x:c>
      <x:c r="K1102" s="25" t="n">
        <x:v>7</x:v>
      </x:c>
      <x:c r="L1102" s="27" t="b">
        <x:v>0</x:v>
      </x:c>
      <x:c r="M1102" s="25" t="str">
        <x:v>Feedback-Directed Random Test Generation/rounds/Round2/state/Codec.json</x:v>
      </x:c>
      <x:c r="N1102" s="25" t="str">
        <x:v>Feedback-Directed Random Test Generation/Result_Round2/Codec_8/result.json</x:v>
      </x:c>
      <x:c r="O1102" s="25" t="str">
        <x:v>Feedback-Directed Random Test Generation/Result_Round2/Codec_8/result.json</x:v>
      </x:c>
      <x:c r="P1102" t="str">
        <x:v>FIXED_NOT_RUN</x:v>
      </x:c>
      <x:c r="Q1102" s="21" t="str"/>
      <x:c r="R1102" s="21" t="str"/>
      <x:c r="S1102" s="21" t="str"/>
      <x:c r="T1102" s="17" t="str">
        <x:v>false</x:v>
      </x:c>
      <x:c r="U1102" s="17" t="str">
        <x:v>true</x:v>
      </x:c>
      <x:c r="V1102" s="17" t="str">
        <x:v>false</x:v>
      </x:c>
    </x:row>
    <x:row r="1103" ht="80" customHeight="1">
      <x:c r="A1103" s="25" t="str">
        <x:v>Codec</x:v>
      </x:c>
      <x:c r="B1103" s="25" t="n">
        <x:v>9</x:v>
      </x:c>
      <x:c r="C1103" s="25" t="str">
        <x:v>Round2</x:v>
      </x:c>
      <x:c r="D1103" s="25" t="str">
        <x:v>NOT_REVEALING</x:v>
      </x:c>
      <x:c r="E1103" s="25" t="str">
        <x:v>N/A</x:v>
      </x:c>
      <x:c r="F1103" s="26" t="str">
        <x:v>Same saved validation suite passed on buggy and fixed</x:v>
      </x:c>
      <x:c r="G1103" s="25" t="str">
        <x:v>true</x:v>
      </x:c>
      <x:c r="H1103" s="25" t="str">
        <x:v>NOT_REVEALING</x:v>
      </x:c>
      <x:c r="I1103" s="25" t="str">
        <x:v>PASS</x:v>
      </x:c>
      <x:c r="J1103" s="25" t="str">
        <x:v>PASS</x:v>
      </x:c>
      <x:c r="K1103" s="25" t="n">
        <x:v>6</x:v>
      </x:c>
      <x:c r="L1103" s="27" t="b">
        <x:v>0</x:v>
      </x:c>
      <x:c r="M1103" s="25" t="str">
        <x:v>Feedback-Directed Random Test Generation/rounds/Round2/state/Codec.json</x:v>
      </x:c>
      <x:c r="N1103" s="25" t="str">
        <x:v>Feedback-Directed Random Test Generation/Result_Round2/Codec_9/result.json</x:v>
      </x:c>
      <x:c r="O1103" s="25" t="str">
        <x:v>Feedback-Directed Random Test Generation/Result_Round2/Codec_9/result.json</x:v>
      </x:c>
      <x:c r="P1103"/>
      <x:c r="Q1103" s="21" t="str"/>
      <x:c r="R1103" s="21" t="str"/>
      <x:c r="S1103" s="21" t="str"/>
      <x:c r="T1103" s="17" t="str">
        <x:v>false</x:v>
      </x:c>
      <x:c r="U1103" s="17" t="str">
        <x:v>true</x:v>
      </x:c>
      <x:c r="V1103" s="17" t="str">
        <x:v>false</x:v>
      </x:c>
    </x:row>
    <x:row r="1104" ht="80" customHeight="1">
      <x:c r="A1104" s="25" t="str">
        <x:v>Codec</x:v>
      </x:c>
      <x:c r="B1104" s="25" t="n">
        <x:v>10</x:v>
      </x:c>
      <x:c r="C1104" s="25" t="str">
        <x:v>Round2</x:v>
      </x:c>
      <x:c r="D1104" s="25" t="str">
        <x:v>NOT_REVEALING</x:v>
      </x:c>
      <x:c r="E1104" s="25" t="str">
        <x:v>N/A</x:v>
      </x:c>
      <x:c r="F1104" s="26" t="str">
        <x:v>Same saved validation suite passed on buggy and fixed</x:v>
      </x:c>
      <x:c r="G1104" s="25" t="str">
        <x:v>true</x:v>
      </x:c>
      <x:c r="H1104" s="25" t="str">
        <x:v>NOT_REVEALING</x:v>
      </x:c>
      <x:c r="I1104" s="25" t="str">
        <x:v>PASS</x:v>
      </x:c>
      <x:c r="J1104" s="25" t="str">
        <x:v>PASS</x:v>
      </x:c>
      <x:c r="K1104" s="25" t="n">
        <x:v>10</x:v>
      </x:c>
      <x:c r="L1104" s="27" t="b">
        <x:v>0</x:v>
      </x:c>
      <x:c r="M1104" s="25" t="str">
        <x:v>Feedback-Directed Random Test Generation/rounds/Round2/state/Codec.json</x:v>
      </x:c>
      <x:c r="N1104" s="25" t="str">
        <x:v>Feedback-Directed Random Test Generation/Result_Round2/Codec_10/result.json</x:v>
      </x:c>
      <x:c r="O1104" s="25" t="str">
        <x:v>Feedback-Directed Random Test Generation/Result_Round2/Codec_10/result.json</x:v>
      </x:c>
      <x:c r="P1104"/>
      <x:c r="Q1104" s="21" t="str"/>
      <x:c r="R1104" s="21" t="str"/>
      <x:c r="S1104" s="21" t="str"/>
      <x:c r="T1104" s="17" t="str">
        <x:v>false</x:v>
      </x:c>
      <x:c r="U1104" s="17" t="str">
        <x:v>true</x:v>
      </x:c>
      <x:c r="V1104" s="17" t="str">
        <x:v>false</x:v>
      </x:c>
    </x:row>
    <x:row r="1105" ht="80" customHeight="1">
      <x:c r="A1105" s="25" t="str">
        <x:v>Codec</x:v>
      </x:c>
      <x:c r="B1105" s="25" t="n">
        <x:v>11</x:v>
      </x:c>
      <x:c r="C1105" s="25" t="str">
        <x:v>Round2</x:v>
      </x:c>
      <x:c r="D1105" s="25" t="str">
        <x:v>INCONCLUSIVE</x:v>
      </x:c>
      <x:c r="E1105" s="25" t="str">
        <x:v>N/A</x:v>
      </x:c>
      <x:c r="F1105" s="26" t="str">
        <x:v>Fixed also failed; assertion failure cannot be attributed to this bug</x:v>
      </x:c>
      <x:c r="G1105" s="25" t="str">
        <x:v>true</x:v>
      </x:c>
      <x:c r="H1105" s="25" t="str">
        <x:v>INCONCLUSIVE</x:v>
      </x:c>
      <x:c r="I1105" s="25" t="str">
        <x:v>PASS</x:v>
      </x:c>
      <x:c r="J1105" s="25" t="str">
        <x:v>FAIL</x:v>
      </x:c>
      <x:c r="K1105" s="25" t="n">
        <x:v>4</x:v>
      </x:c>
      <x:c r="L1105" s="27" t="b">
        <x:v>0</x:v>
      </x:c>
      <x:c r="M1105" s="25" t="str">
        <x:v>Feedback-Directed Random Test Generation/rounds/Round2/state/Codec.json</x:v>
      </x:c>
      <x:c r="N1105" s="25" t="str">
        <x:v>Feedback-Directed Random Test Generation/Result_Round2/Codec_11/result.json</x:v>
      </x:c>
      <x:c r="O1105" s="25" t="str">
        <x:v>Feedback-Directed Random Test Generation/Result_Round2/Codec_11/result.json</x:v>
      </x:c>
      <x:c r="P1105"/>
      <x:c r="Q1105" s="21" t="str"/>
      <x:c r="R1105" s="21" t="str"/>
      <x:c r="S1105" s="21" t="str"/>
      <x:c r="T1105" s="17" t="str">
        <x:v>false</x:v>
      </x:c>
      <x:c r="U1105" s="17" t="str">
        <x:v>true</x:v>
      </x:c>
      <x:c r="V1105" s="17" t="str">
        <x:v>false</x:v>
      </x:c>
    </x:row>
    <x:row r="1106" ht="80" customHeight="1">
      <x:c r="A1106" s="25" t="str">
        <x:v>Codec</x:v>
      </x:c>
      <x:c r="B1106" s="25" t="n">
        <x:v>12</x:v>
      </x:c>
      <x:c r="C1106" s="25" t="str">
        <x:v>Round2</x:v>
      </x:c>
      <x:c r="D1106" s="25" t="str">
        <x:v>INCONCLUSIVE</x:v>
      </x:c>
      <x:c r="E1106" s="25" t="str">
        <x:v>N/A</x:v>
      </x:c>
      <x:c r="F1106" s="26" t="str">
        <x:v>Fixed also failed; assertion failure cannot be attributed to this bug</x:v>
      </x:c>
      <x:c r="G1106" s="25" t="str">
        <x:v>true</x:v>
      </x:c>
      <x:c r="H1106" s="25" t="str">
        <x:v>INCONCLUSIVE</x:v>
      </x:c>
      <x:c r="I1106" s="25" t="str">
        <x:v>PASS</x:v>
      </x:c>
      <x:c r="J1106" s="25" t="str">
        <x:v>FAIL</x:v>
      </x:c>
      <x:c r="K1106" s="25" t="n">
        <x:v>12</x:v>
      </x:c>
      <x:c r="L1106" s="27" t="b">
        <x:v>0</x:v>
      </x:c>
      <x:c r="M1106" s="25" t="str">
        <x:v>Feedback-Directed Random Test Generation/rounds/Round2/state/Codec.json</x:v>
      </x:c>
      <x:c r="N1106" s="25" t="str">
        <x:v>Feedback-Directed Random Test Generation/Result_Round2/Codec_12/result.json</x:v>
      </x:c>
      <x:c r="O1106" s="25" t="str">
        <x:v>Feedback-Directed Random Test Generation/Result_Round2/Codec_12/result.json</x:v>
      </x:c>
      <x:c r="P1106"/>
      <x:c r="Q1106" s="21" t="str"/>
      <x:c r="R1106" s="21" t="str"/>
      <x:c r="S1106" s="21" t="str"/>
      <x:c r="T1106" s="17" t="str">
        <x:v>false</x:v>
      </x:c>
      <x:c r="U1106" s="17" t="str">
        <x:v>true</x:v>
      </x:c>
      <x:c r="V1106" s="17" t="str">
        <x:v>false</x:v>
      </x:c>
    </x:row>
    <x:row r="1107" ht="80" customHeight="1">
      <x:c r="A1107" s="25" t="str">
        <x:v>Codec</x:v>
      </x:c>
      <x:c r="B1107" s="25" t="n">
        <x:v>13</x:v>
      </x:c>
      <x:c r="C1107" s="25" t="str">
        <x:v>Round2</x:v>
      </x:c>
      <x:c r="D1107" s="25" t="str">
        <x:v>REVEALING</x:v>
      </x:c>
      <x:c r="E1107" s="25" t="str">
        <x:v>N/A</x:v>
      </x:c>
      <x:c r="F1107" s="26" t="str">
        <x:v>Same saved validation suite failed on buggy and passed on fixed; Assertions failed with measured coverage; paired execution and stage checks determine status</x:v>
      </x:c>
      <x:c r="G1107" s="25" t="str">
        <x:v>true</x:v>
      </x:c>
      <x:c r="H1107" s="25" t="str">
        <x:v>REVEALING</x:v>
      </x:c>
      <x:c r="I1107" s="25" t="str">
        <x:v>FAIL</x:v>
      </x:c>
      <x:c r="J1107" s="25" t="str">
        <x:v>PASS</x:v>
      </x:c>
      <x:c r="K1107" s="25" t="n">
        <x:v>10</x:v>
      </x:c>
      <x:c r="L1107" s="27" t="b">
        <x:v>0</x:v>
      </x:c>
      <x:c r="M1107" s="25" t="str">
        <x:v>Feedback-Directed Random Test Generation/rounds/Round2/state/Codec.json</x:v>
      </x:c>
      <x:c r="N1107" s="25" t="str">
        <x:v>Feedback-Directed Random Test Generation/Result_Round2/Codec_13/result.json</x:v>
      </x:c>
      <x:c r="O1107" s="25" t="str">
        <x:v>Feedback-Directed Random Test Generation/Result_Round2/Codec_13/result.json</x:v>
      </x:c>
      <x:c r="P1107"/>
      <x:c r="Q1107" s="21" t="str"/>
      <x:c r="R1107" s="21" t="str"/>
      <x:c r="S1107" s="21" t="str"/>
      <x:c r="T1107" s="17" t="str">
        <x:v>false</x:v>
      </x:c>
      <x:c r="U1107" s="17" t="str">
        <x:v>true</x:v>
      </x:c>
      <x:c r="V1107" s="17" t="str">
        <x:v>false</x:v>
      </x:c>
    </x:row>
    <x:row r="1108" ht="80" customHeight="1">
      <x:c r="A1108" s="25" t="str">
        <x:v>Codec</x:v>
      </x:c>
      <x:c r="B1108" s="25" t="n">
        <x:v>14</x:v>
      </x:c>
      <x:c r="C1108" s="25" t="str">
        <x:v>Round2</x:v>
      </x:c>
      <x:c r="D1108" s="25" t="str">
        <x:v>FAIL</x:v>
      </x:c>
      <x:c r="E1108" s="25" t="str">
        <x:v>N/A</x:v>
      </x:c>
      <x:c r="F1108" s="26" t="str">
        <x:v>Latest same-round generation failed; older files/results are excluded</x:v>
      </x:c>
      <x:c r="G1108" s="25" t="str">
        <x:v>true</x:v>
      </x:c>
      <x:c r="H1108" s="25" t="str">
        <x:v>FAIL</x:v>
      </x:c>
      <x:c r="I1108" s="25"/>
      <x:c r="J1108" s="25"/>
      <x:c r="K1108" s="25" t="n">
        <x:v>0</x:v>
      </x:c>
      <x:c r="L1108" s="27" t="b">
        <x:v>1</x:v>
      </x:c>
      <x:c r="M1108" s="25" t="str">
        <x:v>Feedback-Directed Random Test Generation/rounds/Round2/state/Codec.json</x:v>
      </x:c>
      <x:c r="N1108" s="25"/>
      <x:c r="O1108" s="25" t="str">
        <x:v>Feedback-Directed Random Test Generation/Result_Round2/Codec_14/result.json</x:v>
      </x:c>
      <x:c r="P1108"/>
      <x:c r="Q1108" s="21" t="str"/>
      <x:c r="R1108" s="21" t="str"/>
      <x:c r="S1108" s="21" t="str"/>
      <x:c r="T1108" s="17" t="str">
        <x:v>false</x:v>
      </x:c>
      <x:c r="U1108" s="17" t="str">
        <x:v>false</x:v>
      </x:c>
      <x:c r="V1108" s="17" t="str">
        <x:v>false</x:v>
      </x:c>
    </x:row>
    <x:row r="1109" ht="80" customHeight="1">
      <x:c r="A1109" s="25" t="str">
        <x:v>Codec</x:v>
      </x:c>
      <x:c r="B1109" s="25" t="n">
        <x:v>15</x:v>
      </x:c>
      <x:c r="C1109" s="25" t="str">
        <x:v>Round2</x:v>
      </x:c>
      <x:c r="D1109" s="25" t="str">
        <x:v>NOT_REVEALING</x:v>
      </x:c>
      <x:c r="E1109" s="25" t="str">
        <x:v>N/A</x:v>
      </x:c>
      <x:c r="F1109" s="26" t="str">
        <x:v>Same saved validation suite passed on buggy and fixed</x:v>
      </x:c>
      <x:c r="G1109" s="25" t="str">
        <x:v>true</x:v>
      </x:c>
      <x:c r="H1109" s="25" t="str">
        <x:v>NOT_REVEALING</x:v>
      </x:c>
      <x:c r="I1109" s="25" t="str">
        <x:v>PASS</x:v>
      </x:c>
      <x:c r="J1109" s="25" t="str">
        <x:v>PASS</x:v>
      </x:c>
      <x:c r="K1109" s="25" t="n">
        <x:v>10</x:v>
      </x:c>
      <x:c r="L1109" s="27" t="b">
        <x:v>0</x:v>
      </x:c>
      <x:c r="M1109" s="25" t="str">
        <x:v>Feedback-Directed Random Test Generation/rounds/Round2/state/Codec.json</x:v>
      </x:c>
      <x:c r="N1109" s="25" t="str">
        <x:v>Feedback-Directed Random Test Generation/Result_Round2/Codec_15/result.json</x:v>
      </x:c>
      <x:c r="O1109" s="25" t="str">
        <x:v>Feedback-Directed Random Test Generation/Result_Round2/Codec_15/result.json</x:v>
      </x:c>
      <x:c r="P1109"/>
      <x:c r="Q1109" s="21" t="str"/>
      <x:c r="R1109" s="21" t="str"/>
      <x:c r="S1109" s="21" t="str"/>
      <x:c r="T1109" s="17" t="str">
        <x:v>false</x:v>
      </x:c>
      <x:c r="U1109" s="17" t="str">
        <x:v>true</x:v>
      </x:c>
      <x:c r="V1109" s="17" t="str">
        <x:v>false</x:v>
      </x:c>
    </x:row>
    <x:row r="1110" ht="80" customHeight="1">
      <x:c r="A1110" s="25" t="str">
        <x:v>Codec</x:v>
      </x:c>
      <x:c r="B1110" s="25" t="n">
        <x:v>16</x:v>
      </x:c>
      <x:c r="C1110" s="25" t="str">
        <x:v>Round2</x:v>
      </x:c>
      <x:c r="D1110" s="25" t="str">
        <x:v>INCONCLUSIVE</x:v>
      </x:c>
      <x:c r="E1110" s="25" t="str">
        <x:v>N/A</x:v>
      </x:c>
      <x:c r="F1110" s="26" t="str">
        <x:v>Fixed also failed; assertion failure cannot be attributed to this bug</x:v>
      </x:c>
      <x:c r="G1110" s="25" t="str">
        <x:v>true</x:v>
      </x:c>
      <x:c r="H1110" s="25" t="str">
        <x:v>INCONCLUSIVE</x:v>
      </x:c>
      <x:c r="I1110" s="25" t="str">
        <x:v>PASS</x:v>
      </x:c>
      <x:c r="J1110" s="25" t="str">
        <x:v>FAIL</x:v>
      </x:c>
      <x:c r="K1110" s="25" t="n">
        <x:v>6</x:v>
      </x:c>
      <x:c r="L1110" s="27" t="b">
        <x:v>0</x:v>
      </x:c>
      <x:c r="M1110" s="25" t="str">
        <x:v>Feedback-Directed Random Test Generation/rounds/Round2/state/Codec.json</x:v>
      </x:c>
      <x:c r="N1110" s="25" t="str">
        <x:v>Feedback-Directed Random Test Generation/Result_Round2/Codec_16/result.json</x:v>
      </x:c>
      <x:c r="O1110" s="25" t="str">
        <x:v>Feedback-Directed Random Test Generation/Result_Round2/Codec_16/result.json</x:v>
      </x:c>
      <x:c r="P1110"/>
      <x:c r="Q1110" s="21" t="str"/>
      <x:c r="R1110" s="21" t="str"/>
      <x:c r="S1110" s="21" t="str"/>
      <x:c r="T1110" s="17" t="str">
        <x:v>false</x:v>
      </x:c>
      <x:c r="U1110" s="17" t="str">
        <x:v>true</x:v>
      </x:c>
      <x:c r="V1110" s="17" t="str">
        <x:v>false</x:v>
      </x:c>
    </x:row>
    <x:row r="1111" ht="80" customHeight="1">
      <x:c r="A1111" s="25" t="str">
        <x:v>Codec</x:v>
      </x:c>
      <x:c r="B1111" s="25" t="n">
        <x:v>17</x:v>
      </x:c>
      <x:c r="C1111" s="25" t="str">
        <x:v>Round2</x:v>
      </x:c>
      <x:c r="D1111" s="25" t="str">
        <x:v>INCONCLUSIVE</x:v>
      </x:c>
      <x:c r="E1111" s="25" t="str">
        <x:v>N/A</x:v>
      </x:c>
      <x:c r="F1111" s="26" t="str">
        <x:v>Fixed also failed; assertion failure cannot be attributed to this bug</x:v>
      </x:c>
      <x:c r="G1111" s="25" t="str">
        <x:v>true</x:v>
      </x:c>
      <x:c r="H1111" s="25" t="str">
        <x:v>INCONCLUSIVE</x:v>
      </x:c>
      <x:c r="I1111" s="25" t="str">
        <x:v>PASS</x:v>
      </x:c>
      <x:c r="J1111" s="25" t="str">
        <x:v>FAIL</x:v>
      </x:c>
      <x:c r="K1111" s="25" t="n">
        <x:v>13</x:v>
      </x:c>
      <x:c r="L1111" s="27" t="b">
        <x:v>0</x:v>
      </x:c>
      <x:c r="M1111" s="25" t="str">
        <x:v>Feedback-Directed Random Test Generation/rounds/Round2/state/Codec.json</x:v>
      </x:c>
      <x:c r="N1111" s="25" t="str">
        <x:v>Feedback-Directed Random Test Generation/Result_Round2/Codec_17/result.json</x:v>
      </x:c>
      <x:c r="O1111" s="25" t="str">
        <x:v>Feedback-Directed Random Test Generation/Result_Round2/Codec_17/result.json</x:v>
      </x:c>
      <x:c r="P1111"/>
      <x:c r="Q1111" s="21" t="str"/>
      <x:c r="R1111" s="21" t="str"/>
      <x:c r="S1111" s="21" t="str"/>
      <x:c r="T1111" s="17" t="str">
        <x:v>false</x:v>
      </x:c>
      <x:c r="U1111" s="17" t="str">
        <x:v>true</x:v>
      </x:c>
      <x:c r="V1111" s="17" t="str">
        <x:v>false</x:v>
      </x:c>
    </x:row>
    <x:row r="1112" ht="80" customHeight="1">
      <x:c r="A1112" s="25" t="str">
        <x:v>Codec</x:v>
      </x:c>
      <x:c r="B1112" s="25" t="n">
        <x:v>18</x:v>
      </x:c>
      <x:c r="C1112" s="25" t="str">
        <x:v>Round2</x:v>
      </x:c>
      <x:c r="D1112" s="25" t="str">
        <x:v>NOT_REVEALING</x:v>
      </x:c>
      <x:c r="E1112" s="25" t="str">
        <x:v>N/A</x:v>
      </x:c>
      <x:c r="F1112" s="26" t="str">
        <x:v>Same saved validation suite passed on buggy and fixed</x:v>
      </x:c>
      <x:c r="G1112" s="25" t="str">
        <x:v>true</x:v>
      </x:c>
      <x:c r="H1112" s="25" t="str">
        <x:v>NOT_REVEALING</x:v>
      </x:c>
      <x:c r="I1112" s="25" t="str">
        <x:v>PASS</x:v>
      </x:c>
      <x:c r="J1112" s="25" t="str">
        <x:v>PASS</x:v>
      </x:c>
      <x:c r="K1112" s="25" t="n">
        <x:v>13</x:v>
      </x:c>
      <x:c r="L1112" s="27" t="b">
        <x:v>0</x:v>
      </x:c>
      <x:c r="M1112" s="25" t="str">
        <x:v>Feedback-Directed Random Test Generation/rounds/Round2/state/Codec.json</x:v>
      </x:c>
      <x:c r="N1112" s="25" t="str">
        <x:v>Feedback-Directed Random Test Generation/Result_Round2/Codec_18/result.json</x:v>
      </x:c>
      <x:c r="O1112" s="25" t="str">
        <x:v>Feedback-Directed Random Test Generation/Result_Round2/Codec_18/result.json</x:v>
      </x:c>
      <x:c r="P1112"/>
      <x:c r="Q1112" s="21" t="str"/>
      <x:c r="R1112" s="21" t="str"/>
      <x:c r="S1112" s="21" t="str"/>
      <x:c r="T1112" s="17" t="str">
        <x:v>false</x:v>
      </x:c>
      <x:c r="U1112" s="17" t="str">
        <x:v>true</x:v>
      </x:c>
      <x:c r="V1112" s="17" t="str">
        <x:v>false</x:v>
      </x:c>
    </x:row>
    <x:row r="1113" ht="80" customHeight="1">
      <x:c r="A1113" s="25" t="str">
        <x:v>Collections</x:v>
      </x:c>
      <x:c r="B1113" s="25" t="n">
        <x:v>1</x:v>
      </x:c>
      <x:c r="C1113" s="25" t="str">
        <x:v>Round2</x:v>
      </x:c>
      <x:c r="D1113" s="25" t="str">
        <x:v>INCONCLUSIVE</x:v>
      </x:c>
      <x:c r="E1113" s="25" t="str">
        <x:v>N/A</x:v>
      </x:c>
      <x:c r="F1113" s="26" t="str">
        <x:v>Fixed also failed; assertion failure cannot be attributed to this bug; Assertions failed with measured coverage; paired execution and stage checks determine status</x:v>
      </x:c>
      <x:c r="G1113" s="25" t="str">
        <x:v>true</x:v>
      </x:c>
      <x:c r="H1113" s="25" t="str">
        <x:v>INCONCLUSIVE</x:v>
      </x:c>
      <x:c r="I1113" s="25" t="str">
        <x:v>FAIL</x:v>
      </x:c>
      <x:c r="J1113" s="25" t="str">
        <x:v>FAIL</x:v>
      </x:c>
      <x:c r="K1113" s="25" t="n">
        <x:v>6</x:v>
      </x:c>
      <x:c r="L1113" s="27" t="b">
        <x:v>0</x:v>
      </x:c>
      <x:c r="M1113" s="25" t="str">
        <x:v>Feedback-Directed Random Test Generation/rounds/Round2/state/Collections.json</x:v>
      </x:c>
      <x:c r="N1113" s="25" t="str">
        <x:v>Feedback-Directed Random Test Generation/Result_Round2/Collections_1/result.json</x:v>
      </x:c>
      <x:c r="O1113" s="25" t="str">
        <x:v>Feedback-Directed Random Test Generation/Result_Round2/Collections_1/result.json</x:v>
      </x:c>
      <x:c r="P1113"/>
      <x:c r="Q1113" s="21" t="str"/>
      <x:c r="R1113" s="21" t="str"/>
      <x:c r="S1113" s="21" t="str"/>
      <x:c r="T1113" s="17" t="str">
        <x:v>false</x:v>
      </x:c>
      <x:c r="U1113" s="17" t="str">
        <x:v>true</x:v>
      </x:c>
      <x:c r="V1113" s="17" t="str">
        <x:v>false</x:v>
      </x:c>
    </x:row>
    <x:row r="1114" ht="80" customHeight="1">
      <x:c r="A1114" s="25" t="str">
        <x:v>Collections</x:v>
      </x:c>
      <x:c r="B1114" s="25" t="n">
        <x:v>2</x:v>
      </x:c>
      <x:c r="C1114" s="25" t="str">
        <x:v>Round2</x:v>
      </x:c>
      <x:c r="D1114" s="25" t="str">
        <x:v>INCONCLUSIVE</x:v>
      </x:c>
      <x:c r="E1114" s="25" t="str">
        <x:v>N/A</x:v>
      </x:c>
      <x:c r="F1114" s="26" t="str">
        <x:v>Fixed also failed; assertion failure cannot be attributed to this bug</x:v>
      </x:c>
      <x:c r="G1114" s="25" t="str">
        <x:v>true</x:v>
      </x:c>
      <x:c r="H1114" s="25" t="str">
        <x:v>INCONCLUSIVE</x:v>
      </x:c>
      <x:c r="I1114" s="25" t="str">
        <x:v>PASS</x:v>
      </x:c>
      <x:c r="J1114" s="25" t="str">
        <x:v>FAIL</x:v>
      </x:c>
      <x:c r="K1114" s="25" t="n">
        <x:v>8</x:v>
      </x:c>
      <x:c r="L1114" s="27" t="b">
        <x:v>0</x:v>
      </x:c>
      <x:c r="M1114" s="25" t="str">
        <x:v>Feedback-Directed Random Test Generation/rounds/Round2/state/Collections.json</x:v>
      </x:c>
      <x:c r="N1114" s="25" t="str">
        <x:v>Feedback-Directed Random Test Generation/Result_Round2/Collections_2/result.json</x:v>
      </x:c>
      <x:c r="O1114" s="25" t="str">
        <x:v>Feedback-Directed Random Test Generation/Result_Round2/Collections_2/result.json</x:v>
      </x:c>
      <x:c r="P1114"/>
      <x:c r="Q1114" s="21" t="str"/>
      <x:c r="R1114" s="21" t="str"/>
      <x:c r="S1114" s="21" t="str"/>
      <x:c r="T1114" s="17" t="str">
        <x:v>false</x:v>
      </x:c>
      <x:c r="U1114" s="17" t="str">
        <x:v>true</x:v>
      </x:c>
      <x:c r="V1114" s="17" t="str">
        <x:v>false</x:v>
      </x:c>
    </x:row>
    <x:row r="1115" ht="80" customHeight="1">
      <x:c r="A1115" s="25" t="str">
        <x:v>Collections</x:v>
      </x:c>
      <x:c r="B1115" s="25" t="n">
        <x:v>3</x:v>
      </x:c>
      <x:c r="C1115" s="25" t="str">
        <x:v>Round2</x:v>
      </x:c>
      <x:c r="D1115" s="25" t="str">
        <x:v>INCONCLUSIVE</x:v>
      </x:c>
      <x:c r="E1115" s="25" t="str">
        <x:v>N/A</x:v>
      </x:c>
      <x:c r="F1115" s="26" t="str">
        <x:v>Fixed also failed; assertion failure cannot be attributed to this bug; Assertions failed with measured coverage; paired execution and stage checks determine status</x:v>
      </x:c>
      <x:c r="G1115" s="25" t="str">
        <x:v>true</x:v>
      </x:c>
      <x:c r="H1115" s="25" t="str">
        <x:v>INCONCLUSIVE</x:v>
      </x:c>
      <x:c r="I1115" s="25" t="str">
        <x:v>FAIL</x:v>
      </x:c>
      <x:c r="J1115" s="25" t="str">
        <x:v>FAIL</x:v>
      </x:c>
      <x:c r="K1115" s="25" t="n">
        <x:v>11</x:v>
      </x:c>
      <x:c r="L1115" s="27" t="b">
        <x:v>0</x:v>
      </x:c>
      <x:c r="M1115" s="25" t="str">
        <x:v>Feedback-Directed Random Test Generation/rounds/Round2/state/Collections.json</x:v>
      </x:c>
      <x:c r="N1115" s="25" t="str">
        <x:v>Feedback-Directed Random Test Generation/Result_Round2/Collections_3/result.json</x:v>
      </x:c>
      <x:c r="O1115" s="25" t="str">
        <x:v>Feedback-Directed Random Test Generation/Result_Round2/Collections_3/result.json</x:v>
      </x:c>
      <x:c r="P1115"/>
      <x:c r="Q1115" s="21" t="str"/>
      <x:c r="R1115" s="21" t="str"/>
      <x:c r="S1115" s="21" t="str"/>
      <x:c r="T1115" s="17" t="str">
        <x:v>false</x:v>
      </x:c>
      <x:c r="U1115" s="17" t="str">
        <x:v>true</x:v>
      </x:c>
      <x:c r="V1115" s="17" t="str">
        <x:v>false</x:v>
      </x:c>
    </x:row>
    <x:row r="1116" ht="80" customHeight="1">
      <x:c r="A1116" s="25" t="str">
        <x:v>Collections</x:v>
      </x:c>
      <x:c r="B1116" s="25" t="n">
        <x:v>4</x:v>
      </x:c>
      <x:c r="C1116" s="25" t="str">
        <x:v>Round2</x:v>
      </x:c>
      <x:c r="D1116" s="25" t="str">
        <x:v>INCONCLUSIVE</x:v>
      </x:c>
      <x:c r="E1116" s="25" t="str">
        <x:v>N/A</x:v>
      </x:c>
      <x:c r="F1116" s="26" t="str">
        <x:v>Fixed also failed; assertion failure cannot be attributed to this bug; Assertions failed with measured coverage; paired execution and stage checks determine status</x:v>
      </x:c>
      <x:c r="G1116" s="25" t="str">
        <x:v>true</x:v>
      </x:c>
      <x:c r="H1116" s="25" t="str">
        <x:v>INCONCLUSIVE</x:v>
      </x:c>
      <x:c r="I1116" s="25" t="str">
        <x:v>FAIL</x:v>
      </x:c>
      <x:c r="J1116" s="25" t="str">
        <x:v>FAIL</x:v>
      </x:c>
      <x:c r="K1116" s="25" t="n">
        <x:v>6</x:v>
      </x:c>
      <x:c r="L1116" s="27" t="b">
        <x:v>0</x:v>
      </x:c>
      <x:c r="M1116" s="25" t="str">
        <x:v>Feedback-Directed Random Test Generation/rounds/Round2/state/Collections.json</x:v>
      </x:c>
      <x:c r="N1116" s="25" t="str">
        <x:v>Feedback-Directed Random Test Generation/Result_Round2/Collections_4/result.json</x:v>
      </x:c>
      <x:c r="O1116" s="25" t="str">
        <x:v>Feedback-Directed Random Test Generation/Result_Round2/Collections_4/result.json</x:v>
      </x:c>
      <x:c r="P1116"/>
      <x:c r="Q1116" s="21" t="str"/>
      <x:c r="R1116" s="21" t="str"/>
      <x:c r="S1116" s="21" t="str"/>
      <x:c r="T1116" s="17" t="str">
        <x:v>false</x:v>
      </x:c>
      <x:c r="U1116" s="17" t="str">
        <x:v>true</x:v>
      </x:c>
      <x:c r="V1116" s="17" t="str">
        <x:v>false</x:v>
      </x:c>
    </x:row>
    <x:row r="1117" ht="80" customHeight="1">
      <x:c r="A1117" s="25" t="str">
        <x:v>Collections</x:v>
      </x:c>
      <x:c r="B1117" s="25" t="n">
        <x:v>5</x:v>
      </x:c>
      <x:c r="C1117" s="25" t="str">
        <x:v>Round2</x:v>
      </x:c>
      <x:c r="D1117" s="25" t="str">
        <x:v>NOT_REVEALING</x:v>
      </x:c>
      <x:c r="E1117" s="25" t="str">
        <x:v>N/A</x:v>
      </x:c>
      <x:c r="F1117" s="26" t="str">
        <x:v>Same saved validation suite passed on buggy and fixed</x:v>
      </x:c>
      <x:c r="G1117" s="25" t="str">
        <x:v>true</x:v>
      </x:c>
      <x:c r="H1117" s="25" t="str">
        <x:v>NOT_REVEALING</x:v>
      </x:c>
      <x:c r="I1117" s="25" t="str">
        <x:v>PASS</x:v>
      </x:c>
      <x:c r="J1117" s="25" t="str">
        <x:v>PASS</x:v>
      </x:c>
      <x:c r="K1117" s="25" t="n">
        <x:v>2</x:v>
      </x:c>
      <x:c r="L1117" s="27" t="b">
        <x:v>0</x:v>
      </x:c>
      <x:c r="M1117" s="25" t="str">
        <x:v>Feedback-Directed Random Test Generation/rounds/Round2/state/Collections.json</x:v>
      </x:c>
      <x:c r="N1117" s="25" t="str">
        <x:v>Feedback-Directed Random Test Generation/Result_Round2/Collections_5/result.json</x:v>
      </x:c>
      <x:c r="O1117" s="25" t="str">
        <x:v>Feedback-Directed Random Test Generation/Result_Round2/Collections_5/result.json</x:v>
      </x:c>
      <x:c r="P1117"/>
      <x:c r="Q1117" s="21" t="str"/>
      <x:c r="R1117" s="21" t="str"/>
      <x:c r="S1117" s="21" t="str"/>
      <x:c r="T1117" s="17" t="str">
        <x:v>false</x:v>
      </x:c>
      <x:c r="U1117" s="17" t="str">
        <x:v>true</x:v>
      </x:c>
      <x:c r="V1117" s="17" t="str">
        <x:v>false</x:v>
      </x:c>
    </x:row>
    <x:row r="1118" ht="80" customHeight="1">
      <x:c r="A1118" s="25" t="str">
        <x:v>Collections</x:v>
      </x:c>
      <x:c r="B1118" s="25" t="n">
        <x:v>6</x:v>
      </x:c>
      <x:c r="C1118" s="25" t="str">
        <x:v>Round2</x:v>
      </x:c>
      <x:c r="D1118" s="25" t="str">
        <x:v>INCONCLUSIVE</x:v>
      </x:c>
      <x:c r="E1118" s="25" t="str">
        <x:v>N/A</x:v>
      </x:c>
      <x:c r="F1118" s="26" t="str">
        <x:v>Fixed also failed; assertion failure cannot be attributed to this bug; Assertions failed with measured coverage; paired execution and stage checks determine status</x:v>
      </x:c>
      <x:c r="G1118" s="25" t="str">
        <x:v>true</x:v>
      </x:c>
      <x:c r="H1118" s="25" t="str">
        <x:v>INCONCLUSIVE</x:v>
      </x:c>
      <x:c r="I1118" s="25" t="str">
        <x:v>FAIL</x:v>
      </x:c>
      <x:c r="J1118" s="25" t="str">
        <x:v>FAIL</x:v>
      </x:c>
      <x:c r="K1118" s="25" t="n">
        <x:v>7</x:v>
      </x:c>
      <x:c r="L1118" s="27" t="b">
        <x:v>0</x:v>
      </x:c>
      <x:c r="M1118" s="25" t="str">
        <x:v>Feedback-Directed Random Test Generation/rounds/Round2/state/Collections.json</x:v>
      </x:c>
      <x:c r="N1118" s="25" t="str">
        <x:v>Feedback-Directed Random Test Generation/Result_Round2/Collections_6/result.json</x:v>
      </x:c>
      <x:c r="O1118" s="25" t="str">
        <x:v>Feedback-Directed Random Test Generation/Result_Round2/Collections_6/result.json</x:v>
      </x:c>
      <x:c r="P1118"/>
      <x:c r="Q1118" s="21" t="str"/>
      <x:c r="R1118" s="21" t="str"/>
      <x:c r="S1118" s="21" t="str"/>
      <x:c r="T1118" s="17" t="str">
        <x:v>false</x:v>
      </x:c>
      <x:c r="U1118" s="17" t="str">
        <x:v>true</x:v>
      </x:c>
      <x:c r="V1118" s="17" t="str">
        <x:v>false</x:v>
      </x:c>
    </x:row>
    <x:row r="1119" ht="80" customHeight="1">
      <x:c r="A1119" s="25" t="str">
        <x:v>Collections</x:v>
      </x:c>
      <x:c r="B1119" s="25" t="n">
        <x:v>7</x:v>
      </x:c>
      <x:c r="C1119" s="25" t="str">
        <x:v>Round2</x:v>
      </x:c>
      <x:c r="D1119" s="25" t="str">
        <x:v>INCONCLUSIVE</x:v>
      </x:c>
      <x:c r="E1119" s="25" t="str">
        <x:v>N/A</x:v>
      </x:c>
      <x:c r="F1119" s="26" t="str">
        <x:v>Fixed also failed; assertion failure cannot be attributed to this bug; Assertions failed with measured coverage; paired execution and stage checks determine status</x:v>
      </x:c>
      <x:c r="G1119" s="25" t="str">
        <x:v>true</x:v>
      </x:c>
      <x:c r="H1119" s="25" t="str">
        <x:v>INCONCLUSIVE</x:v>
      </x:c>
      <x:c r="I1119" s="25" t="str">
        <x:v>FAIL</x:v>
      </x:c>
      <x:c r="J1119" s="25" t="str">
        <x:v>FAIL</x:v>
      </x:c>
      <x:c r="K1119" s="25" t="n">
        <x:v>8</x:v>
      </x:c>
      <x:c r="L1119" s="27" t="b">
        <x:v>0</x:v>
      </x:c>
      <x:c r="M1119" s="25" t="str">
        <x:v>Feedback-Directed Random Test Generation/rounds/Round2/state/Collections.json</x:v>
      </x:c>
      <x:c r="N1119" s="25" t="str">
        <x:v>Feedback-Directed Random Test Generation/Result_Round2/Collections_7/result.json</x:v>
      </x:c>
      <x:c r="O1119" s="25" t="str">
        <x:v>Feedback-Directed Random Test Generation/Result_Round2/Collections_7/result.json</x:v>
      </x:c>
      <x:c r="P1119"/>
      <x:c r="Q1119" s="21" t="str"/>
      <x:c r="R1119" s="21" t="str"/>
      <x:c r="S1119" s="21" t="str"/>
      <x:c r="T1119" s="17" t="str">
        <x:v>false</x:v>
      </x:c>
      <x:c r="U1119" s="17" t="str">
        <x:v>true</x:v>
      </x:c>
      <x:c r="V1119" s="17" t="str">
        <x:v>false</x:v>
      </x:c>
    </x:row>
    <x:row r="1120" ht="80" customHeight="1">
      <x:c r="A1120" s="25" t="str">
        <x:v>Collections</x:v>
      </x:c>
      <x:c r="B1120" s="25" t="n">
        <x:v>8</x:v>
      </x:c>
      <x:c r="C1120" s="25" t="str">
        <x:v>Round2</x:v>
      </x:c>
      <x:c r="D1120" s="25" t="str">
        <x:v>NOT_REVEALING</x:v>
      </x:c>
      <x:c r="E1120" s="25" t="str">
        <x:v>N/A</x:v>
      </x:c>
      <x:c r="F1120" s="26" t="str">
        <x:v>Same saved validation suite passed on buggy and fixed</x:v>
      </x:c>
      <x:c r="G1120" s="25" t="str">
        <x:v>true</x:v>
      </x:c>
      <x:c r="H1120" s="25" t="str">
        <x:v>NOT_REVEALING</x:v>
      </x:c>
      <x:c r="I1120" s="25" t="str">
        <x:v>PASS</x:v>
      </x:c>
      <x:c r="J1120" s="25" t="str">
        <x:v>PASS</x:v>
      </x:c>
      <x:c r="K1120" s="25" t="n">
        <x:v>2</x:v>
      </x:c>
      <x:c r="L1120" s="27" t="b">
        <x:v>0</x:v>
      </x:c>
      <x:c r="M1120" s="25" t="str">
        <x:v>Feedback-Directed Random Test Generation/rounds/Round2/state/Collections.json</x:v>
      </x:c>
      <x:c r="N1120" s="25" t="str">
        <x:v>Feedback-Directed Random Test Generation/Result_Round2/Collections_8/result.json</x:v>
      </x:c>
      <x:c r="O1120" s="25" t="str">
        <x:v>Feedback-Directed Random Test Generation/Result_Round2/Collections_8/result.json</x:v>
      </x:c>
      <x:c r="P1120"/>
      <x:c r="Q1120" s="21" t="str"/>
      <x:c r="R1120" s="21" t="str"/>
      <x:c r="S1120" s="21" t="str"/>
      <x:c r="T1120" s="17" t="str">
        <x:v>false</x:v>
      </x:c>
      <x:c r="U1120" s="17" t="str">
        <x:v>true</x:v>
      </x:c>
      <x:c r="V1120" s="17" t="str">
        <x:v>false</x:v>
      </x:c>
    </x:row>
    <x:row r="1121" ht="80" customHeight="1">
      <x:c r="A1121" s="25" t="str">
        <x:v>Collections</x:v>
      </x:c>
      <x:c r="B1121" s="25" t="n">
        <x:v>9</x:v>
      </x:c>
      <x:c r="C1121" s="25" t="str">
        <x:v>Round2</x:v>
      </x:c>
      <x:c r="D1121" s="25" t="str">
        <x:v>NOT_REVEALING</x:v>
      </x:c>
      <x:c r="E1121" s="25" t="str">
        <x:v>N/A</x:v>
      </x:c>
      <x:c r="F1121" s="26" t="str">
        <x:v>Same saved validation suite passed on buggy and fixed</x:v>
      </x:c>
      <x:c r="G1121" s="25" t="str">
        <x:v>true</x:v>
      </x:c>
      <x:c r="H1121" s="25" t="str">
        <x:v>NOT_REVEALING</x:v>
      </x:c>
      <x:c r="I1121" s="25" t="str">
        <x:v>PASS</x:v>
      </x:c>
      <x:c r="J1121" s="25" t="str">
        <x:v>PASS</x:v>
      </x:c>
      <x:c r="K1121" s="25" t="n">
        <x:v>8</x:v>
      </x:c>
      <x:c r="L1121" s="27" t="b">
        <x:v>0</x:v>
      </x:c>
      <x:c r="M1121" s="25" t="str">
        <x:v>Feedback-Directed Random Test Generation/rounds/Round2/state/Collections.json</x:v>
      </x:c>
      <x:c r="N1121" s="25" t="str">
        <x:v>Feedback-Directed Random Test Generation/Result_Round2/Collections_9/result.json</x:v>
      </x:c>
      <x:c r="O1121" s="25" t="str">
        <x:v>Feedback-Directed Random Test Generation/Result_Round2/Collections_9/result.json</x:v>
      </x:c>
      <x:c r="P1121"/>
      <x:c r="Q1121" s="21" t="str"/>
      <x:c r="R1121" s="21" t="str"/>
      <x:c r="S1121" s="21" t="str"/>
      <x:c r="T1121" s="17" t="str">
        <x:v>false</x:v>
      </x:c>
      <x:c r="U1121" s="17" t="str">
        <x:v>true</x:v>
      </x:c>
      <x:c r="V1121" s="17" t="str">
        <x:v>false</x:v>
      </x:c>
    </x:row>
    <x:row r="1122" ht="80" customHeight="1">
      <x:c r="A1122" s="25" t="str">
        <x:v>Collections</x:v>
      </x:c>
      <x:c r="B1122" s="25" t="n">
        <x:v>10</x:v>
      </x:c>
      <x:c r="C1122" s="25" t="str">
        <x:v>Round2</x:v>
      </x:c>
      <x:c r="D1122" s="25" t="str">
        <x:v>NOT_REVEALING</x:v>
      </x:c>
      <x:c r="E1122" s="25" t="str">
        <x:v>N/A</x:v>
      </x:c>
      <x:c r="F1122" s="26" t="str">
        <x:v>Same saved validation suite passed on buggy and fixed</x:v>
      </x:c>
      <x:c r="G1122" s="25" t="str">
        <x:v>true</x:v>
      </x:c>
      <x:c r="H1122" s="25" t="str">
        <x:v>NOT_REVEALING</x:v>
      </x:c>
      <x:c r="I1122" s="25" t="str">
        <x:v>PASS</x:v>
      </x:c>
      <x:c r="J1122" s="25" t="str">
        <x:v>PASS</x:v>
      </x:c>
      <x:c r="K1122" s="25" t="n">
        <x:v>4</x:v>
      </x:c>
      <x:c r="L1122" s="27" t="b">
        <x:v>0</x:v>
      </x:c>
      <x:c r="M1122" s="25" t="str">
        <x:v>Feedback-Directed Random Test Generation/rounds/Round2/state/Collections.json</x:v>
      </x:c>
      <x:c r="N1122" s="25" t="str">
        <x:v>Feedback-Directed Random Test Generation/Result_Round2/Collections_10/result.json</x:v>
      </x:c>
      <x:c r="O1122" s="25" t="str">
        <x:v>Feedback-Directed Random Test Generation/Result_Round2/Collections_10/result.json</x:v>
      </x:c>
      <x:c r="P1122"/>
      <x:c r="Q1122" s="21" t="str"/>
      <x:c r="R1122" s="21" t="str"/>
      <x:c r="S1122" s="21" t="str"/>
      <x:c r="T1122" s="17" t="str">
        <x:v>false</x:v>
      </x:c>
      <x:c r="U1122" s="17" t="str">
        <x:v>true</x:v>
      </x:c>
      <x:c r="V1122" s="17" t="str">
        <x:v>false</x:v>
      </x:c>
    </x:row>
    <x:row r="1123" ht="80" customHeight="1">
      <x:c r="A1123" s="25" t="str">
        <x:v>Collections</x:v>
      </x:c>
      <x:c r="B1123" s="25" t="n">
        <x:v>11</x:v>
      </x:c>
      <x:c r="C1123" s="25" t="str">
        <x:v>Round2</x:v>
      </x:c>
      <x:c r="D1123" s="25" t="str">
        <x:v>NOT_REVEALING</x:v>
      </x:c>
      <x:c r="E1123" s="25" t="str">
        <x:v>N/A</x:v>
      </x:c>
      <x:c r="F1123" s="26" t="str">
        <x:v>Same saved validation suite passed on buggy and fixed</x:v>
      </x:c>
      <x:c r="G1123" s="25" t="str">
        <x:v>true</x:v>
      </x:c>
      <x:c r="H1123" s="25" t="str">
        <x:v>NOT_REVEALING</x:v>
      </x:c>
      <x:c r="I1123" s="25" t="str">
        <x:v>PASS</x:v>
      </x:c>
      <x:c r="J1123" s="25" t="str">
        <x:v>PASS</x:v>
      </x:c>
      <x:c r="K1123" s="25" t="n">
        <x:v>5</x:v>
      </x:c>
      <x:c r="L1123" s="27" t="b">
        <x:v>0</x:v>
      </x:c>
      <x:c r="M1123" s="25" t="str">
        <x:v>Feedback-Directed Random Test Generation/rounds/Round2/state/Collections.json</x:v>
      </x:c>
      <x:c r="N1123" s="25" t="str">
        <x:v>Feedback-Directed Random Test Generation/Result_Round2/Collections_11/result.json</x:v>
      </x:c>
      <x:c r="O1123" s="25" t="str">
        <x:v>Feedback-Directed Random Test Generation/Result_Round2/Collections_11/result.json</x:v>
      </x:c>
      <x:c r="P1123"/>
      <x:c r="Q1123" s="21" t="str"/>
      <x:c r="R1123" s="21" t="str"/>
      <x:c r="S1123" s="21" t="str"/>
      <x:c r="T1123" s="17" t="str">
        <x:v>false</x:v>
      </x:c>
      <x:c r="U1123" s="17" t="str">
        <x:v>true</x:v>
      </x:c>
      <x:c r="V1123" s="17" t="str">
        <x:v>false</x:v>
      </x:c>
    </x:row>
    <x:row r="1124" ht="80" customHeight="1">
      <x:c r="A1124" s="25" t="str">
        <x:v>Collections</x:v>
      </x:c>
      <x:c r="B1124" s="25" t="n">
        <x:v>12</x:v>
      </x:c>
      <x:c r="C1124" s="25" t="str">
        <x:v>Round2</x:v>
      </x:c>
      <x:c r="D1124" s="25" t="str">
        <x:v>NOT_REVEALING</x:v>
      </x:c>
      <x:c r="E1124" s="25" t="str">
        <x:v>N/A</x:v>
      </x:c>
      <x:c r="F1124" s="26" t="str">
        <x:v>Same saved validation suite passed on buggy and fixed</x:v>
      </x:c>
      <x:c r="G1124" s="25" t="str">
        <x:v>true</x:v>
      </x:c>
      <x:c r="H1124" s="25" t="str">
        <x:v>NOT_REVEALING</x:v>
      </x:c>
      <x:c r="I1124" s="25" t="str">
        <x:v>PASS</x:v>
      </x:c>
      <x:c r="J1124" s="25" t="str">
        <x:v>PASS</x:v>
      </x:c>
      <x:c r="K1124" s="25" t="n">
        <x:v>7</x:v>
      </x:c>
      <x:c r="L1124" s="27" t="b">
        <x:v>0</x:v>
      </x:c>
      <x:c r="M1124" s="25" t="str">
        <x:v>Feedback-Directed Random Test Generation/rounds/Round2/state/Collections.json</x:v>
      </x:c>
      <x:c r="N1124" s="25" t="str">
        <x:v>Feedback-Directed Random Test Generation/Result_Round2/Collections_12/result.json</x:v>
      </x:c>
      <x:c r="O1124" s="25" t="str">
        <x:v>Feedback-Directed Random Test Generation/Result_Round2/Collections_12/result.json</x:v>
      </x:c>
      <x:c r="P1124"/>
      <x:c r="Q1124" s="21" t="str"/>
      <x:c r="R1124" s="21" t="str"/>
      <x:c r="S1124" s="21" t="str"/>
      <x:c r="T1124" s="17" t="str">
        <x:v>false</x:v>
      </x:c>
      <x:c r="U1124" s="17" t="str">
        <x:v>true</x:v>
      </x:c>
      <x:c r="V1124" s="17" t="str">
        <x:v>false</x:v>
      </x:c>
    </x:row>
    <x:row r="1125" ht="80" customHeight="1">
      <x:c r="A1125" s="25" t="str">
        <x:v>Collections</x:v>
      </x:c>
      <x:c r="B1125" s="25" t="n">
        <x:v>13</x:v>
      </x:c>
      <x:c r="C1125" s="25" t="str">
        <x:v>Round2</x:v>
      </x:c>
      <x:c r="D1125" s="25" t="str">
        <x:v>NOT_REVEALING</x:v>
      </x:c>
      <x:c r="E1125" s="25" t="str">
        <x:v>N/A</x:v>
      </x:c>
      <x:c r="F1125" s="26" t="str">
        <x:v>Same saved validation suite passed on buggy and fixed</x:v>
      </x:c>
      <x:c r="G1125" s="25" t="str">
        <x:v>true</x:v>
      </x:c>
      <x:c r="H1125" s="25" t="str">
        <x:v>NOT_REVEALING</x:v>
      </x:c>
      <x:c r="I1125" s="25" t="str">
        <x:v>PASS</x:v>
      </x:c>
      <x:c r="J1125" s="25" t="str">
        <x:v>PASS</x:v>
      </x:c>
      <x:c r="K1125" s="25" t="n">
        <x:v>8</x:v>
      </x:c>
      <x:c r="L1125" s="27" t="b">
        <x:v>0</x:v>
      </x:c>
      <x:c r="M1125" s="25" t="str">
        <x:v>Feedback-Directed Random Test Generation/rounds/Round2/state/Collections.json</x:v>
      </x:c>
      <x:c r="N1125" s="25" t="str">
        <x:v>Feedback-Directed Random Test Generation/Result_Round2/Collections_13/result.json</x:v>
      </x:c>
      <x:c r="O1125" s="25" t="str">
        <x:v>Feedback-Directed Random Test Generation/Result_Round2/Collections_13/result.json</x:v>
      </x:c>
      <x:c r="P1125"/>
      <x:c r="Q1125" s="21" t="str"/>
      <x:c r="R1125" s="21" t="str"/>
      <x:c r="S1125" s="21" t="str"/>
      <x:c r="T1125" s="17" t="str">
        <x:v>false</x:v>
      </x:c>
      <x:c r="U1125" s="17" t="str">
        <x:v>true</x:v>
      </x:c>
      <x:c r="V1125" s="17" t="str">
        <x:v>false</x:v>
      </x:c>
    </x:row>
    <x:row r="1126" ht="80" customHeight="1">
      <x:c r="A1126" s="25" t="str">
        <x:v>Collections</x:v>
      </x:c>
      <x:c r="B1126" s="25" t="n">
        <x:v>14</x:v>
      </x:c>
      <x:c r="C1126" s="25" t="str">
        <x:v>Round2</x:v>
      </x:c>
      <x:c r="D1126" s="25" t="str">
        <x:v>NOT_REVEALING</x:v>
      </x:c>
      <x:c r="E1126" s="25" t="str">
        <x:v>N/A</x:v>
      </x:c>
      <x:c r="F1126" s="26" t="str">
        <x:v>Same saved validation suite passed on buggy and fixed</x:v>
      </x:c>
      <x:c r="G1126" s="25" t="str">
        <x:v>true</x:v>
      </x:c>
      <x:c r="H1126" s="25" t="str">
        <x:v>NOT_REVEALING</x:v>
      </x:c>
      <x:c r="I1126" s="25" t="str">
        <x:v>PASS</x:v>
      </x:c>
      <x:c r="J1126" s="25" t="str">
        <x:v>PASS</x:v>
      </x:c>
      <x:c r="K1126" s="25" t="n">
        <x:v>6</x:v>
      </x:c>
      <x:c r="L1126" s="27" t="b">
        <x:v>0</x:v>
      </x:c>
      <x:c r="M1126" s="25" t="str">
        <x:v>Feedback-Directed Random Test Generation/rounds/Round2/state/Collections.json</x:v>
      </x:c>
      <x:c r="N1126" s="25" t="str">
        <x:v>Feedback-Directed Random Test Generation/Result_Round2/Collections_14/result.json</x:v>
      </x:c>
      <x:c r="O1126" s="25" t="str">
        <x:v>Feedback-Directed Random Test Generation/Result_Round2/Collections_14/result.json</x:v>
      </x:c>
      <x:c r="P1126"/>
      <x:c r="Q1126" s="21" t="str"/>
      <x:c r="R1126" s="21" t="str"/>
      <x:c r="S1126" s="21" t="str"/>
      <x:c r="T1126" s="17" t="str">
        <x:v>false</x:v>
      </x:c>
      <x:c r="U1126" s="17" t="str">
        <x:v>true</x:v>
      </x:c>
      <x:c r="V1126" s="17" t="str">
        <x:v>false</x:v>
      </x:c>
    </x:row>
    <x:row r="1127" ht="80" customHeight="1">
      <x:c r="A1127" s="25" t="str">
        <x:v>Collections</x:v>
      </x:c>
      <x:c r="B1127" s="25" t="n">
        <x:v>15</x:v>
      </x:c>
      <x:c r="C1127" s="25" t="str">
        <x:v>Round2</x:v>
      </x:c>
      <x:c r="D1127" s="25" t="str">
        <x:v>NOT_REVEALING</x:v>
      </x:c>
      <x:c r="E1127" s="25" t="str">
        <x:v>N/A</x:v>
      </x:c>
      <x:c r="F1127" s="26" t="str">
        <x:v>Same saved validation suite passed on buggy and fixed</x:v>
      </x:c>
      <x:c r="G1127" s="25" t="str">
        <x:v>true</x:v>
      </x:c>
      <x:c r="H1127" s="25" t="str">
        <x:v>NOT_REVEALING</x:v>
      </x:c>
      <x:c r="I1127" s="25" t="str">
        <x:v>PASS</x:v>
      </x:c>
      <x:c r="J1127" s="25" t="str">
        <x:v>PASS</x:v>
      </x:c>
      <x:c r="K1127" s="25" t="n">
        <x:v>2</x:v>
      </x:c>
      <x:c r="L1127" s="27" t="b">
        <x:v>0</x:v>
      </x:c>
      <x:c r="M1127" s="25" t="str">
        <x:v>Feedback-Directed Random Test Generation/rounds/Round2/state/Collections.json</x:v>
      </x:c>
      <x:c r="N1127" s="25" t="str">
        <x:v>Feedback-Directed Random Test Generation/Result_Round2/Collections_15/result.json</x:v>
      </x:c>
      <x:c r="O1127" s="25" t="str">
        <x:v>Feedback-Directed Random Test Generation/Result_Round2/Collections_15/result.json</x:v>
      </x:c>
      <x:c r="P1127"/>
      <x:c r="Q1127" s="21" t="str"/>
      <x:c r="R1127" s="21" t="str"/>
      <x:c r="S1127" s="21" t="str"/>
      <x:c r="T1127" s="17" t="str">
        <x:v>false</x:v>
      </x:c>
      <x:c r="U1127" s="17" t="str">
        <x:v>true</x:v>
      </x:c>
      <x:c r="V1127" s="17" t="str">
        <x:v>false</x:v>
      </x:c>
    </x:row>
    <x:row r="1128" ht="80" customHeight="1">
      <x:c r="A1128" s="25" t="str">
        <x:v>Collections</x:v>
      </x:c>
      <x:c r="B1128" s="25" t="n">
        <x:v>16</x:v>
      </x:c>
      <x:c r="C1128" s="25" t="str">
        <x:v>Round2</x:v>
      </x:c>
      <x:c r="D1128" s="25" t="str">
        <x:v>NOT_REVEALING</x:v>
      </x:c>
      <x:c r="E1128" s="25" t="str">
        <x:v>N/A</x:v>
      </x:c>
      <x:c r="F1128" s="26" t="str">
        <x:v>Same saved validation suite passed on buggy and fixed</x:v>
      </x:c>
      <x:c r="G1128" s="25" t="str">
        <x:v>true</x:v>
      </x:c>
      <x:c r="H1128" s="25" t="str">
        <x:v>NOT_REVEALING</x:v>
      </x:c>
      <x:c r="I1128" s="25" t="str">
        <x:v>PASS</x:v>
      </x:c>
      <x:c r="J1128" s="25" t="str">
        <x:v>PASS</x:v>
      </x:c>
      <x:c r="K1128" s="25" t="n">
        <x:v>2</x:v>
      </x:c>
      <x:c r="L1128" s="27" t="b">
        <x:v>0</x:v>
      </x:c>
      <x:c r="M1128" s="25" t="str">
        <x:v>Feedback-Directed Random Test Generation/rounds/Round2/state/Collections.json</x:v>
      </x:c>
      <x:c r="N1128" s="25" t="str">
        <x:v>Feedback-Directed Random Test Generation/Result_Round2/Collections_16/result.json</x:v>
      </x:c>
      <x:c r="O1128" s="25" t="str">
        <x:v>Feedback-Directed Random Test Generation/Result_Round2/Collections_16/result.json</x:v>
      </x:c>
      <x:c r="P1128"/>
      <x:c r="Q1128" s="21" t="str"/>
      <x:c r="R1128" s="21" t="str"/>
      <x:c r="S1128" s="21" t="str"/>
      <x:c r="T1128" s="17" t="str">
        <x:v>false</x:v>
      </x:c>
      <x:c r="U1128" s="17" t="str">
        <x:v>true</x:v>
      </x:c>
      <x:c r="V1128" s="17" t="str">
        <x:v>false</x:v>
      </x:c>
    </x:row>
    <x:row r="1129" ht="80" customHeight="1">
      <x:c r="A1129" s="25" t="str">
        <x:v>Collections</x:v>
      </x:c>
      <x:c r="B1129" s="25" t="n">
        <x:v>17</x:v>
      </x:c>
      <x:c r="C1129" s="25" t="str">
        <x:v>Round2</x:v>
      </x:c>
      <x:c r="D1129" s="25" t="str">
        <x:v>INCONCLUSIVE</x:v>
      </x:c>
      <x:c r="E1129" s="25" t="str">
        <x:v>N/A</x:v>
      </x:c>
      <x:c r="F1129" s="26" t="str">
        <x:v>Fixed also failed; assertion failure cannot be attributed to this bug</x:v>
      </x:c>
      <x:c r="G1129" s="25" t="str">
        <x:v>true</x:v>
      </x:c>
      <x:c r="H1129" s="25" t="str">
        <x:v>INCONCLUSIVE</x:v>
      </x:c>
      <x:c r="I1129" s="25" t="str">
        <x:v>PASS</x:v>
      </x:c>
      <x:c r="J1129" s="25" t="str">
        <x:v>FAIL</x:v>
      </x:c>
      <x:c r="K1129" s="25" t="n">
        <x:v>8</x:v>
      </x:c>
      <x:c r="L1129" s="27" t="b">
        <x:v>0</x:v>
      </x:c>
      <x:c r="M1129" s="25" t="str">
        <x:v>Feedback-Directed Random Test Generation/rounds/Round2/state/Collections.json</x:v>
      </x:c>
      <x:c r="N1129" s="25" t="str">
        <x:v>Feedback-Directed Random Test Generation/Result_Round2/Collections_17/result.json</x:v>
      </x:c>
      <x:c r="O1129" s="25" t="str">
        <x:v>Feedback-Directed Random Test Generation/Result_Round2/Collections_17/result.json</x:v>
      </x:c>
      <x:c r="P1129"/>
      <x:c r="Q1129" s="21" t="str"/>
      <x:c r="R1129" s="21" t="str"/>
      <x:c r="S1129" s="21" t="str"/>
      <x:c r="T1129" s="17" t="str">
        <x:v>false</x:v>
      </x:c>
      <x:c r="U1129" s="17" t="str">
        <x:v>true</x:v>
      </x:c>
      <x:c r="V1129" s="17" t="str">
        <x:v>false</x:v>
      </x:c>
    </x:row>
    <x:row r="1130" ht="80" customHeight="1">
      <x:c r="A1130" s="25" t="str">
        <x:v>Collections</x:v>
      </x:c>
      <x:c r="B1130" s="25" t="n">
        <x:v>18</x:v>
      </x:c>
      <x:c r="C1130" s="25" t="str">
        <x:v>Round2</x:v>
      </x:c>
      <x:c r="D1130" s="25" t="str">
        <x:v>INCONCLUSIVE</x:v>
      </x:c>
      <x:c r="E1130" s="25" t="str">
        <x:v>N/A</x:v>
      </x:c>
      <x:c r="F1130" s="26" t="str">
        <x:v>Fixed also failed; assertion failure cannot be attributed to this bug; Assertions failed with measured coverage; paired execution and stage checks determine status</x:v>
      </x:c>
      <x:c r="G1130" s="25" t="str">
        <x:v>true</x:v>
      </x:c>
      <x:c r="H1130" s="25" t="str">
        <x:v>INCONCLUSIVE</x:v>
      </x:c>
      <x:c r="I1130" s="25" t="str">
        <x:v>FAIL</x:v>
      </x:c>
      <x:c r="J1130" s="25" t="str">
        <x:v>FAIL</x:v>
      </x:c>
      <x:c r="K1130" s="25" t="n">
        <x:v>6</x:v>
      </x:c>
      <x:c r="L1130" s="27" t="b">
        <x:v>0</x:v>
      </x:c>
      <x:c r="M1130" s="25" t="str">
        <x:v>Feedback-Directed Random Test Generation/rounds/Round2/state/Collections.json</x:v>
      </x:c>
      <x:c r="N1130" s="25" t="str">
        <x:v>Feedback-Directed Random Test Generation/Result_Round2/Collections_18/result.json</x:v>
      </x:c>
      <x:c r="O1130" s="25" t="str">
        <x:v>Feedback-Directed Random Test Generation/Result_Round2/Collections_18/result.json</x:v>
      </x:c>
      <x:c r="P1130"/>
      <x:c r="Q1130" s="21" t="str"/>
      <x:c r="R1130" s="21" t="str"/>
      <x:c r="S1130" s="21" t="str"/>
      <x:c r="T1130" s="17" t="str">
        <x:v>false</x:v>
      </x:c>
      <x:c r="U1130" s="17" t="str">
        <x:v>true</x:v>
      </x:c>
      <x:c r="V1130" s="17" t="str">
        <x:v>false</x:v>
      </x:c>
    </x:row>
    <x:row r="1131" ht="80" customHeight="1">
      <x:c r="A1131" s="25" t="str">
        <x:v>Collections</x:v>
      </x:c>
      <x:c r="B1131" s="25" t="n">
        <x:v>19</x:v>
      </x:c>
      <x:c r="C1131" s="25" t="str">
        <x:v>Round2</x:v>
      </x:c>
      <x:c r="D1131" s="25" t="str">
        <x:v>NOT_REVEALING</x:v>
      </x:c>
      <x:c r="E1131" s="25" t="str">
        <x:v>N/A</x:v>
      </x:c>
      <x:c r="F1131" s="26" t="str">
        <x:v>Same saved validation suite passed on buggy and fixed</x:v>
      </x:c>
      <x:c r="G1131" s="25" t="str">
        <x:v>true</x:v>
      </x:c>
      <x:c r="H1131" s="25" t="str">
        <x:v>NOT_REVEALING</x:v>
      </x:c>
      <x:c r="I1131" s="25" t="str">
        <x:v>PASS</x:v>
      </x:c>
      <x:c r="J1131" s="25" t="str">
        <x:v>PASS</x:v>
      </x:c>
      <x:c r="K1131" s="25" t="n">
        <x:v>5</x:v>
      </x:c>
      <x:c r="L1131" s="27" t="b">
        <x:v>0</x:v>
      </x:c>
      <x:c r="M1131" s="25" t="str">
        <x:v>Feedback-Directed Random Test Generation/rounds/Round2/state/Collections.json</x:v>
      </x:c>
      <x:c r="N1131" s="25" t="str">
        <x:v>Feedback-Directed Random Test Generation/Result_Round2/Collections_19/result.json</x:v>
      </x:c>
      <x:c r="O1131" s="25" t="str">
        <x:v>Feedback-Directed Random Test Generation/Result_Round2/Collections_19/result.json</x:v>
      </x:c>
      <x:c r="P1131"/>
      <x:c r="Q1131" s="21" t="str"/>
      <x:c r="R1131" s="21" t="str"/>
      <x:c r="S1131" s="21" t="str"/>
      <x:c r="T1131" s="17" t="str">
        <x:v>false</x:v>
      </x:c>
      <x:c r="U1131" s="17" t="str">
        <x:v>true</x:v>
      </x:c>
      <x:c r="V1131" s="17" t="str">
        <x:v>false</x:v>
      </x:c>
    </x:row>
    <x:row r="1132" ht="80" customHeight="1">
      <x:c r="A1132" s="25" t="str">
        <x:v>Collections</x:v>
      </x:c>
      <x:c r="B1132" s="25" t="n">
        <x:v>20</x:v>
      </x:c>
      <x:c r="C1132" s="25" t="str">
        <x:v>Round2</x:v>
      </x:c>
      <x:c r="D1132" s="25" t="str">
        <x:v>INCONCLUSIVE</x:v>
      </x:c>
      <x:c r="E1132" s="25" t="str">
        <x:v>N/A</x:v>
      </x:c>
      <x:c r="F1132" s="26" t="str">
        <x:v>Fixed also failed; assertion failure cannot be attributed to this bug; Assertions failed with measured coverage; paired execution and stage checks determine status</x:v>
      </x:c>
      <x:c r="G1132" s="25" t="str">
        <x:v>true</x:v>
      </x:c>
      <x:c r="H1132" s="25" t="str">
        <x:v>INCONCLUSIVE</x:v>
      </x:c>
      <x:c r="I1132" s="25" t="str">
        <x:v>FAIL</x:v>
      </x:c>
      <x:c r="J1132" s="25" t="str">
        <x:v>FAIL</x:v>
      </x:c>
      <x:c r="K1132" s="25" t="n">
        <x:v>8</x:v>
      </x:c>
      <x:c r="L1132" s="27" t="b">
        <x:v>0</x:v>
      </x:c>
      <x:c r="M1132" s="25" t="str">
        <x:v>Feedback-Directed Random Test Generation/rounds/Round2/state/Collections.json</x:v>
      </x:c>
      <x:c r="N1132" s="25" t="str">
        <x:v>Feedback-Directed Random Test Generation/Result_Round2/Collections_20/result.json</x:v>
      </x:c>
      <x:c r="O1132" s="25" t="str">
        <x:v>Feedback-Directed Random Test Generation/Result_Round2/Collections_20/result.json</x:v>
      </x:c>
      <x:c r="P1132"/>
      <x:c r="Q1132" s="21" t="str"/>
      <x:c r="R1132" s="21" t="str"/>
      <x:c r="S1132" s="21" t="str"/>
      <x:c r="T1132" s="17" t="str">
        <x:v>false</x:v>
      </x:c>
      <x:c r="U1132" s="17" t="str">
        <x:v>true</x:v>
      </x:c>
      <x:c r="V1132" s="17" t="str">
        <x:v>false</x:v>
      </x:c>
    </x:row>
    <x:row r="1133" ht="80" customHeight="1">
      <x:c r="A1133" s="25" t="str">
        <x:v>Collections</x:v>
      </x:c>
      <x:c r="B1133" s="25" t="n">
        <x:v>21</x:v>
      </x:c>
      <x:c r="C1133" s="25" t="str">
        <x:v>Round2</x:v>
      </x:c>
      <x:c r="D1133" s="25" t="str">
        <x:v>NOT_REVEALING</x:v>
      </x:c>
      <x:c r="E1133" s="25" t="str">
        <x:v>N/A</x:v>
      </x:c>
      <x:c r="F1133" s="26" t="str">
        <x:v>Same saved validation suite passed on buggy and fixed</x:v>
      </x:c>
      <x:c r="G1133" s="25" t="str">
        <x:v>true</x:v>
      </x:c>
      <x:c r="H1133" s="25" t="str">
        <x:v>NOT_REVEALING</x:v>
      </x:c>
      <x:c r="I1133" s="25" t="str">
        <x:v>PASS</x:v>
      </x:c>
      <x:c r="J1133" s="25" t="str">
        <x:v>PASS</x:v>
      </x:c>
      <x:c r="K1133" s="25" t="n">
        <x:v>5</x:v>
      </x:c>
      <x:c r="L1133" s="27" t="b">
        <x:v>0</x:v>
      </x:c>
      <x:c r="M1133" s="25" t="str">
        <x:v>Feedback-Directed Random Test Generation/rounds/Round2/state/Collections.json</x:v>
      </x:c>
      <x:c r="N1133" s="25" t="str">
        <x:v>Feedback-Directed Random Test Generation/Result_Round2/Collections_21/result.json</x:v>
      </x:c>
      <x:c r="O1133" s="25" t="str">
        <x:v>Feedback-Directed Random Test Generation/Result_Round2/Collections_21/result.json</x:v>
      </x:c>
      <x:c r="P1133"/>
      <x:c r="Q1133" s="21" t="str"/>
      <x:c r="R1133" s="21" t="str"/>
      <x:c r="S1133" s="21" t="str"/>
      <x:c r="T1133" s="17" t="str">
        <x:v>false</x:v>
      </x:c>
      <x:c r="U1133" s="17" t="str">
        <x:v>true</x:v>
      </x:c>
      <x:c r="V1133" s="17" t="str">
        <x:v>false</x:v>
      </x:c>
    </x:row>
    <x:row r="1134" ht="80" customHeight="1">
      <x:c r="A1134" s="25" t="str">
        <x:v>Collections</x:v>
      </x:c>
      <x:c r="B1134" s="25" t="n">
        <x:v>22</x:v>
      </x:c>
      <x:c r="C1134" s="25" t="str">
        <x:v>Round2</x:v>
      </x:c>
      <x:c r="D1134" s="25" t="str">
        <x:v>NOT_REVEALING</x:v>
      </x:c>
      <x:c r="E1134" s="25" t="str">
        <x:v>N/A</x:v>
      </x:c>
      <x:c r="F1134" s="26" t="str">
        <x:v>Same saved validation suite passed on buggy and fixed</x:v>
      </x:c>
      <x:c r="G1134" s="25" t="str">
        <x:v>true</x:v>
      </x:c>
      <x:c r="H1134" s="25" t="str">
        <x:v>NOT_REVEALING</x:v>
      </x:c>
      <x:c r="I1134" s="25" t="str">
        <x:v>PASS</x:v>
      </x:c>
      <x:c r="J1134" s="25" t="str">
        <x:v>PASS</x:v>
      </x:c>
      <x:c r="K1134" s="25" t="n">
        <x:v>5</x:v>
      </x:c>
      <x:c r="L1134" s="27" t="b">
        <x:v>0</x:v>
      </x:c>
      <x:c r="M1134" s="25" t="str">
        <x:v>Feedback-Directed Random Test Generation/rounds/Round2/state/Collections.json</x:v>
      </x:c>
      <x:c r="N1134" s="25" t="str">
        <x:v>Feedback-Directed Random Test Generation/Result_Round2/Collections_22/result.json</x:v>
      </x:c>
      <x:c r="O1134" s="25" t="str">
        <x:v>Feedback-Directed Random Test Generation/Result_Round2/Collections_22/result.json</x:v>
      </x:c>
      <x:c r="P1134"/>
      <x:c r="Q1134" s="21" t="str"/>
      <x:c r="R1134" s="21" t="str"/>
      <x:c r="S1134" s="21" t="str"/>
      <x:c r="T1134" s="17" t="str">
        <x:v>false</x:v>
      </x:c>
      <x:c r="U1134" s="17" t="str">
        <x:v>true</x:v>
      </x:c>
      <x:c r="V1134" s="17" t="str">
        <x:v>false</x:v>
      </x:c>
    </x:row>
    <x:row r="1135" ht="80" customHeight="1">
      <x:c r="A1135" s="25" t="str">
        <x:v>Collections</x:v>
      </x:c>
      <x:c r="B1135" s="25" t="n">
        <x:v>23</x:v>
      </x:c>
      <x:c r="C1135" s="25" t="str">
        <x:v>Round2</x:v>
      </x:c>
      <x:c r="D1135" s="25" t="str">
        <x:v>NOT_REVEALING</x:v>
      </x:c>
      <x:c r="E1135" s="25" t="str">
        <x:v>N/A</x:v>
      </x:c>
      <x:c r="F1135" s="26" t="str">
        <x:v>Same saved validation suite passed on buggy and fixed</x:v>
      </x:c>
      <x:c r="G1135" s="25" t="str">
        <x:v>true</x:v>
      </x:c>
      <x:c r="H1135" s="25" t="str">
        <x:v>NOT_REVEALING</x:v>
      </x:c>
      <x:c r="I1135" s="25" t="str">
        <x:v>PASS</x:v>
      </x:c>
      <x:c r="J1135" s="25" t="str">
        <x:v>PASS</x:v>
      </x:c>
      <x:c r="K1135" s="25" t="n">
        <x:v>2</x:v>
      </x:c>
      <x:c r="L1135" s="27" t="b">
        <x:v>0</x:v>
      </x:c>
      <x:c r="M1135" s="25" t="str">
        <x:v>Feedback-Directed Random Test Generation/rounds/Round2/state/Collections.json</x:v>
      </x:c>
      <x:c r="N1135" s="25" t="str">
        <x:v>Feedback-Directed Random Test Generation/Result_Round2/Collections_23/result.json</x:v>
      </x:c>
      <x:c r="O1135" s="25" t="str">
        <x:v>Feedback-Directed Random Test Generation/Result_Round2/Collections_23/result.json</x:v>
      </x:c>
      <x:c r="P1135"/>
      <x:c r="Q1135" s="21" t="str"/>
      <x:c r="R1135" s="21" t="str"/>
      <x:c r="S1135" s="21" t="str"/>
      <x:c r="T1135" s="17" t="str">
        <x:v>false</x:v>
      </x:c>
      <x:c r="U1135" s="17" t="str">
        <x:v>true</x:v>
      </x:c>
      <x:c r="V1135" s="17" t="str">
        <x:v>false</x:v>
      </x:c>
    </x:row>
    <x:row r="1136" ht="80" customHeight="1">
      <x:c r="A1136" s="25" t="str">
        <x:v>Collections</x:v>
      </x:c>
      <x:c r="B1136" s="25" t="n">
        <x:v>24</x:v>
      </x:c>
      <x:c r="C1136" s="25" t="str">
        <x:v>Round2</x:v>
      </x:c>
      <x:c r="D1136" s="25" t="str">
        <x:v>NOT_REVEALING</x:v>
      </x:c>
      <x:c r="E1136" s="25" t="str">
        <x:v>N/A</x:v>
      </x:c>
      <x:c r="F1136" s="26" t="str">
        <x:v>Same saved validation suite passed on buggy and fixed</x:v>
      </x:c>
      <x:c r="G1136" s="25" t="str">
        <x:v>true</x:v>
      </x:c>
      <x:c r="H1136" s="25" t="str">
        <x:v>NOT_REVEALING</x:v>
      </x:c>
      <x:c r="I1136" s="25" t="str">
        <x:v>PASS</x:v>
      </x:c>
      <x:c r="J1136" s="25" t="str">
        <x:v>PASS</x:v>
      </x:c>
      <x:c r="K1136" s="25" t="n">
        <x:v>2</x:v>
      </x:c>
      <x:c r="L1136" s="27" t="b">
        <x:v>0</x:v>
      </x:c>
      <x:c r="M1136" s="25" t="str">
        <x:v>Feedback-Directed Random Test Generation/rounds/Round2/state/Collections.json</x:v>
      </x:c>
      <x:c r="N1136" s="25" t="str">
        <x:v>Feedback-Directed Random Test Generation/Result_Round2/Collections_24/result.json</x:v>
      </x:c>
      <x:c r="O1136" s="25" t="str">
        <x:v>Feedback-Directed Random Test Generation/Result_Round2/Collections_24/result.json</x:v>
      </x:c>
      <x:c r="P1136"/>
      <x:c r="Q1136" s="21" t="str"/>
      <x:c r="R1136" s="21" t="str"/>
      <x:c r="S1136" s="21" t="str"/>
      <x:c r="T1136" s="17" t="str">
        <x:v>false</x:v>
      </x:c>
      <x:c r="U1136" s="17" t="str">
        <x:v>true</x:v>
      </x:c>
      <x:c r="V1136" s="17" t="str">
        <x:v>false</x:v>
      </x:c>
    </x:row>
    <x:row r="1137" ht="80" customHeight="1">
      <x:c r="A1137" s="25" t="str">
        <x:v>Collections</x:v>
      </x:c>
      <x:c r="B1137" s="25" t="n">
        <x:v>25</x:v>
      </x:c>
      <x:c r="C1137" s="25" t="str">
        <x:v>Round2</x:v>
      </x:c>
      <x:c r="D1137" s="25" t="str">
        <x:v>NOT_REVEALING</x:v>
      </x:c>
      <x:c r="E1137" s="25" t="str">
        <x:v>N/A</x:v>
      </x:c>
      <x:c r="F1137" s="26" t="str">
        <x:v>Same saved validation suite passed on buggy and fixed</x:v>
      </x:c>
      <x:c r="G1137" s="25" t="str">
        <x:v>true</x:v>
      </x:c>
      <x:c r="H1137" s="25" t="str">
        <x:v>NOT_REVEALING</x:v>
      </x:c>
      <x:c r="I1137" s="25" t="str">
        <x:v>PASS</x:v>
      </x:c>
      <x:c r="J1137" s="25" t="str">
        <x:v>PASS</x:v>
      </x:c>
      <x:c r="K1137" s="25" t="n">
        <x:v>10</x:v>
      </x:c>
      <x:c r="L1137" s="27" t="b">
        <x:v>0</x:v>
      </x:c>
      <x:c r="M1137" s="25" t="str">
        <x:v>Feedback-Directed Random Test Generation/rounds/Round2/state/Collections.json</x:v>
      </x:c>
      <x:c r="N1137" s="25" t="str">
        <x:v>Feedback-Directed Random Test Generation/Result_Round2/Collections_25/result.json</x:v>
      </x:c>
      <x:c r="O1137" s="25" t="str">
        <x:v>Feedback-Directed Random Test Generation/Result_Round2/Collections_25/result.json</x:v>
      </x:c>
      <x:c r="P1137"/>
      <x:c r="Q1137" s="21" t="str"/>
      <x:c r="R1137" s="21" t="str"/>
      <x:c r="S1137" s="21" t="str"/>
      <x:c r="T1137" s="17" t="str">
        <x:v>false</x:v>
      </x:c>
      <x:c r="U1137" s="17" t="str">
        <x:v>true</x:v>
      </x:c>
      <x:c r="V1137" s="17" t="str">
        <x:v>false</x:v>
      </x:c>
    </x:row>
    <x:row r="1138" ht="80" customHeight="1">
      <x:c r="A1138" s="25" t="str">
        <x:v>Collections</x:v>
      </x:c>
      <x:c r="B1138" s="25" t="n">
        <x:v>26</x:v>
      </x:c>
      <x:c r="C1138" s="25" t="str">
        <x:v>Round2</x:v>
      </x:c>
      <x:c r="D1138" s="25" t="str">
        <x:v>NOT_REVEALING</x:v>
      </x:c>
      <x:c r="E1138" s="25" t="str">
        <x:v>N/A</x:v>
      </x:c>
      <x:c r="F1138" s="26" t="str">
        <x:v>Same saved validation suite passed on buggy and fixed</x:v>
      </x:c>
      <x:c r="G1138" s="25" t="str">
        <x:v>true</x:v>
      </x:c>
      <x:c r="H1138" s="25" t="str">
        <x:v>NOT_REVEALING</x:v>
      </x:c>
      <x:c r="I1138" s="25" t="str">
        <x:v>PASS</x:v>
      </x:c>
      <x:c r="J1138" s="25" t="str">
        <x:v>PASS</x:v>
      </x:c>
      <x:c r="K1138" s="25" t="n">
        <x:v>7</x:v>
      </x:c>
      <x:c r="L1138" s="27" t="b">
        <x:v>0</x:v>
      </x:c>
      <x:c r="M1138" s="25" t="str">
        <x:v>Feedback-Directed Random Test Generation/rounds/Round2/state/Collections.json</x:v>
      </x:c>
      <x:c r="N1138" s="25" t="str">
        <x:v>Feedback-Directed Random Test Generation/Result_Round2/Collections_26/result.json</x:v>
      </x:c>
      <x:c r="O1138" s="25" t="str">
        <x:v>Feedback-Directed Random Test Generation/Result_Round2/Collections_26/result.json</x:v>
      </x:c>
      <x:c r="P1138"/>
      <x:c r="Q1138" s="21" t="str"/>
      <x:c r="R1138" s="21" t="str"/>
      <x:c r="S1138" s="21" t="str"/>
      <x:c r="T1138" s="17" t="str">
        <x:v>false</x:v>
      </x:c>
      <x:c r="U1138" s="17" t="str">
        <x:v>true</x:v>
      </x:c>
      <x:c r="V1138" s="17" t="str">
        <x:v>false</x:v>
      </x:c>
    </x:row>
    <x:row r="1139" ht="80" customHeight="1">
      <x:c r="A1139" s="25" t="str">
        <x:v>Collections</x:v>
      </x:c>
      <x:c r="B1139" s="25" t="n">
        <x:v>27</x:v>
      </x:c>
      <x:c r="C1139" s="25" t="str">
        <x:v>Round2</x:v>
      </x:c>
      <x:c r="D1139" s="25" t="str">
        <x:v>NOT_REVEALING</x:v>
      </x:c>
      <x:c r="E1139" s="25" t="str">
        <x:v>N/A</x:v>
      </x:c>
      <x:c r="F1139" s="26" t="str">
        <x:v>Same saved validation suite passed on buggy and fixed</x:v>
      </x:c>
      <x:c r="G1139" s="25" t="str">
        <x:v>true</x:v>
      </x:c>
      <x:c r="H1139" s="25" t="str">
        <x:v>NOT_REVEALING</x:v>
      </x:c>
      <x:c r="I1139" s="25" t="str">
        <x:v>PASS</x:v>
      </x:c>
      <x:c r="J1139" s="25" t="str">
        <x:v>PASS</x:v>
      </x:c>
      <x:c r="K1139" s="25" t="n">
        <x:v>3</x:v>
      </x:c>
      <x:c r="L1139" s="27" t="b">
        <x:v>0</x:v>
      </x:c>
      <x:c r="M1139" s="25" t="str">
        <x:v>Feedback-Directed Random Test Generation/rounds/Round2/state/Collections.json</x:v>
      </x:c>
      <x:c r="N1139" s="25" t="str">
        <x:v>Feedback-Directed Random Test Generation/Result_Round2/Collections_27/result.json</x:v>
      </x:c>
      <x:c r="O1139" s="25" t="str">
        <x:v>Feedback-Directed Random Test Generation/Result_Round2/Collections_27/result.json</x:v>
      </x:c>
      <x:c r="P1139"/>
      <x:c r="Q1139" s="21" t="str"/>
      <x:c r="R1139" s="21" t="str"/>
      <x:c r="S1139" s="21" t="str"/>
      <x:c r="T1139" s="17" t="str">
        <x:v>false</x:v>
      </x:c>
      <x:c r="U1139" s="17" t="str">
        <x:v>true</x:v>
      </x:c>
      <x:c r="V1139" s="17" t="str">
        <x:v>false</x:v>
      </x:c>
    </x:row>
    <x:row r="1140" ht="80" customHeight="1">
      <x:c r="A1140" s="25" t="str">
        <x:v>Collections</x:v>
      </x:c>
      <x:c r="B1140" s="25" t="n">
        <x:v>28</x:v>
      </x:c>
      <x:c r="C1140" s="25" t="str">
        <x:v>Round2</x:v>
      </x:c>
      <x:c r="D1140" s="25" t="str">
        <x:v>NOT_REVEALING</x:v>
      </x:c>
      <x:c r="E1140" s="25" t="str">
        <x:v>N/A</x:v>
      </x:c>
      <x:c r="F1140" s="26" t="str">
        <x:v>Same saved validation suite passed on buggy and fixed</x:v>
      </x:c>
      <x:c r="G1140" s="25" t="str">
        <x:v>true</x:v>
      </x:c>
      <x:c r="H1140" s="25" t="str">
        <x:v>NOT_REVEALING</x:v>
      </x:c>
      <x:c r="I1140" s="25" t="str">
        <x:v>PASS</x:v>
      </x:c>
      <x:c r="J1140" s="25" t="str">
        <x:v>PASS</x:v>
      </x:c>
      <x:c r="K1140" s="25" t="n">
        <x:v>8</x:v>
      </x:c>
      <x:c r="L1140" s="27" t="b">
        <x:v>0</x:v>
      </x:c>
      <x:c r="M1140" s="25" t="str">
        <x:v>Feedback-Directed Random Test Generation/rounds/Round2/state/Collections.json</x:v>
      </x:c>
      <x:c r="N1140" s="25" t="str">
        <x:v>Feedback-Directed Random Test Generation/Result_Round2/Collections_28/result.json</x:v>
      </x:c>
      <x:c r="O1140" s="25" t="str">
        <x:v>Feedback-Directed Random Test Generation/Result_Round2/Collections_28/result.json</x:v>
      </x:c>
      <x:c r="P1140"/>
      <x:c r="Q1140" s="21" t="str"/>
      <x:c r="R1140" s="21" t="str"/>
      <x:c r="S1140" s="21" t="str"/>
      <x:c r="T1140" s="17" t="str">
        <x:v>false</x:v>
      </x:c>
      <x:c r="U1140" s="17" t="str">
        <x:v>true</x:v>
      </x:c>
      <x:c r="V1140" s="17" t="str">
        <x:v>false</x:v>
      </x:c>
    </x:row>
    <x:row r="1141" ht="80" customHeight="1">
      <x:c r="A1141" s="25" t="str">
        <x:v>Compress</x:v>
      </x:c>
      <x:c r="B1141" s="25" t="n">
        <x:v>1</x:v>
      </x:c>
      <x:c r="C1141" s="25" t="str">
        <x:v>Round2</x:v>
      </x:c>
      <x:c r="D1141" s="25" t="str">
        <x:v>INCONCLUSIVE</x:v>
      </x:c>
      <x:c r="E1141" s="25" t="str">
        <x:v>N/A</x:v>
      </x:c>
      <x:c r="F1141" s="26" t="str">
        <x:v>Fixed also failed; assertion failure cannot be attributed to this bug; Assertions failed with measured coverage; paired execution and stage checks determine status</x:v>
      </x:c>
      <x:c r="G1141" s="25" t="str">
        <x:v>true</x:v>
      </x:c>
      <x:c r="H1141" s="25" t="str">
        <x:v>INCONCLUSIVE</x:v>
      </x:c>
      <x:c r="I1141" s="25" t="str">
        <x:v>FAIL</x:v>
      </x:c>
      <x:c r="J1141" s="25" t="str">
        <x:v>FAIL</x:v>
      </x:c>
      <x:c r="K1141" s="25" t="n">
        <x:v>16</x:v>
      </x:c>
      <x:c r="L1141" s="27" t="b">
        <x:v>0</x:v>
      </x:c>
      <x:c r="M1141" s="25" t="str">
        <x:v>Feedback-Directed Random Test Generation/rounds/Round2/state/Compress.json</x:v>
      </x:c>
      <x:c r="N1141" s="25" t="str">
        <x:v>Feedback-Directed Random Test Generation/Result_Round2/Compress_1/result.json</x:v>
      </x:c>
      <x:c r="O1141" s="25" t="str">
        <x:v>Feedback-Directed Random Test Generation/Result_Round2/Compress_1/result.json</x:v>
      </x:c>
      <x:c r="P1141"/>
      <x:c r="Q1141" s="21" t="str"/>
      <x:c r="R1141" s="21" t="str"/>
      <x:c r="S1141" s="21" t="str"/>
      <x:c r="T1141" s="17" t="str">
        <x:v>false</x:v>
      </x:c>
      <x:c r="U1141" s="17" t="str">
        <x:v>true</x:v>
      </x:c>
      <x:c r="V1141" s="17" t="str">
        <x:v>false</x:v>
      </x:c>
    </x:row>
    <x:row r="1142" ht="80" customHeight="1">
      <x:c r="A1142" s="25" t="str">
        <x:v>Compress</x:v>
      </x:c>
      <x:c r="B1142" s="25" t="n">
        <x:v>2</x:v>
      </x:c>
      <x:c r="C1142" s="25" t="str">
        <x:v>Round2</x:v>
      </x:c>
      <x:c r="D1142" s="25" t="str">
        <x:v>NOT_REVEALING</x:v>
      </x:c>
      <x:c r="E1142" s="25" t="str">
        <x:v>N/A</x:v>
      </x:c>
      <x:c r="F1142" s="26" t="str">
        <x:v>Same saved validation suite passed on buggy and fixed</x:v>
      </x:c>
      <x:c r="G1142" s="25" t="str">
        <x:v>true</x:v>
      </x:c>
      <x:c r="H1142" s="25" t="str">
        <x:v>NOT_REVEALING</x:v>
      </x:c>
      <x:c r="I1142" s="25" t="str">
        <x:v>PASS</x:v>
      </x:c>
      <x:c r="J1142" s="25" t="str">
        <x:v>PASS</x:v>
      </x:c>
      <x:c r="K1142" s="25" t="n">
        <x:v>10</x:v>
      </x:c>
      <x:c r="L1142" s="27" t="b">
        <x:v>0</x:v>
      </x:c>
      <x:c r="M1142" s="25" t="str">
        <x:v>Feedback-Directed Random Test Generation/rounds/Round2/state/Compress.json</x:v>
      </x:c>
      <x:c r="N1142" s="25" t="str">
        <x:v>Feedback-Directed Random Test Generation/Result_Round2/Compress_2/result.json</x:v>
      </x:c>
      <x:c r="O1142" s="25" t="str">
        <x:v>Feedback-Directed Random Test Generation/Result_Round2/Compress_2/result.json</x:v>
      </x:c>
      <x:c r="P1142"/>
      <x:c r="Q1142" s="21" t="str"/>
      <x:c r="R1142" s="21" t="str"/>
      <x:c r="S1142" s="21" t="str"/>
      <x:c r="T1142" s="17" t="str">
        <x:v>false</x:v>
      </x:c>
      <x:c r="U1142" s="17" t="str">
        <x:v>true</x:v>
      </x:c>
      <x:c r="V1142" s="17" t="str">
        <x:v>false</x:v>
      </x:c>
    </x:row>
    <x:row r="1143" ht="80" customHeight="1">
      <x:c r="A1143" s="25" t="str">
        <x:v>Compress</x:v>
      </x:c>
      <x:c r="B1143" s="25" t="n">
        <x:v>3</x:v>
      </x:c>
      <x:c r="C1143" s="25" t="str">
        <x:v>Round2</x:v>
      </x:c>
      <x:c r="D1143" s="25" t="str">
        <x:v>NOT_REVEALING</x:v>
      </x:c>
      <x:c r="E1143" s="25" t="str">
        <x:v>N/A</x:v>
      </x:c>
      <x:c r="F1143" s="26" t="str">
        <x:v>Same saved validation suite passed on buggy and fixed</x:v>
      </x:c>
      <x:c r="G1143" s="25" t="str">
        <x:v>true</x:v>
      </x:c>
      <x:c r="H1143" s="25" t="str">
        <x:v>NOT_REVEALING</x:v>
      </x:c>
      <x:c r="I1143" s="25" t="str">
        <x:v>PASS</x:v>
      </x:c>
      <x:c r="J1143" s="25" t="str">
        <x:v>PASS</x:v>
      </x:c>
      <x:c r="K1143" s="25" t="n">
        <x:v>9</x:v>
      </x:c>
      <x:c r="L1143" s="27" t="b">
        <x:v>0</x:v>
      </x:c>
      <x:c r="M1143" s="25" t="str">
        <x:v>Feedback-Directed Random Test Generation/rounds/Round2/state/Compress.json</x:v>
      </x:c>
      <x:c r="N1143" s="25" t="str">
        <x:v>Feedback-Directed Random Test Generation/Result_Round2/Compress_3/result.json</x:v>
      </x:c>
      <x:c r="O1143" s="25" t="str">
        <x:v>Feedback-Directed Random Test Generation/Result_Round2/Compress_3/result.json</x:v>
      </x:c>
      <x:c r="P1143"/>
      <x:c r="Q1143" s="21" t="str"/>
      <x:c r="R1143" s="21" t="str"/>
      <x:c r="S1143" s="21" t="str"/>
      <x:c r="T1143" s="17" t="str">
        <x:v>false</x:v>
      </x:c>
      <x:c r="U1143" s="17" t="str">
        <x:v>true</x:v>
      </x:c>
      <x:c r="V1143" s="17" t="str">
        <x:v>false</x:v>
      </x:c>
    </x:row>
    <x:row r="1144" ht="80" customHeight="1">
      <x:c r="A1144" s="25" t="str">
        <x:v>Compress</x:v>
      </x:c>
      <x:c r="B1144" s="25" t="n">
        <x:v>4</x:v>
      </x:c>
      <x:c r="C1144" s="25" t="str">
        <x:v>Round2</x:v>
      </x:c>
      <x:c r="D1144" s="25" t="str">
        <x:v>INCONCLUSIVE</x:v>
      </x:c>
      <x:c r="E1144" s="25" t="str">
        <x:v>N/A</x:v>
      </x:c>
      <x:c r="F1144" s="26" t="str">
        <x:v>Fixed also failed; assertion failure cannot be attributed to this bug</x:v>
      </x:c>
      <x:c r="G1144" s="25" t="str">
        <x:v>true</x:v>
      </x:c>
      <x:c r="H1144" s="25" t="str">
        <x:v>INCONCLUSIVE</x:v>
      </x:c>
      <x:c r="I1144" s="25" t="str">
        <x:v>PASS</x:v>
      </x:c>
      <x:c r="J1144" s="25" t="str">
        <x:v>FAIL</x:v>
      </x:c>
      <x:c r="K1144" s="25" t="n">
        <x:v>13</x:v>
      </x:c>
      <x:c r="L1144" s="27" t="b">
        <x:v>0</x:v>
      </x:c>
      <x:c r="M1144" s="25" t="str">
        <x:v>Feedback-Directed Random Test Generation/rounds/Round2/state/Compress.json</x:v>
      </x:c>
      <x:c r="N1144" s="25" t="str">
        <x:v>Feedback-Directed Random Test Generation/Result_Round2/Compress_4/result.json</x:v>
      </x:c>
      <x:c r="O1144" s="25" t="str">
        <x:v>Feedback-Directed Random Test Generation/Result_Round2/Compress_4/result.json</x:v>
      </x:c>
      <x:c r="P1144"/>
      <x:c r="Q1144" s="21" t="str"/>
      <x:c r="R1144" s="21" t="str"/>
      <x:c r="S1144" s="21" t="str"/>
      <x:c r="T1144" s="17" t="str">
        <x:v>false</x:v>
      </x:c>
      <x:c r="U1144" s="17" t="str">
        <x:v>true</x:v>
      </x:c>
      <x:c r="V1144" s="17" t="str">
        <x:v>false</x:v>
      </x:c>
    </x:row>
    <x:row r="1145" ht="80" customHeight="1">
      <x:c r="A1145" s="25" t="str">
        <x:v>Compress</x:v>
      </x:c>
      <x:c r="B1145" s="25" t="n">
        <x:v>5</x:v>
      </x:c>
      <x:c r="C1145" s="25" t="str">
        <x:v>Round2</x:v>
      </x:c>
      <x:c r="D1145" s="25" t="str">
        <x:v>NOT_REVEALING</x:v>
      </x:c>
      <x:c r="E1145" s="25" t="str">
        <x:v>N/A</x:v>
      </x:c>
      <x:c r="F1145" s="26" t="str">
        <x:v>Same saved validation suite passed on buggy and fixed</x:v>
      </x:c>
      <x:c r="G1145" s="25" t="str">
        <x:v>true</x:v>
      </x:c>
      <x:c r="H1145" s="25" t="str">
        <x:v>NOT_REVEALING</x:v>
      </x:c>
      <x:c r="I1145" s="25" t="str">
        <x:v>PASS</x:v>
      </x:c>
      <x:c r="J1145" s="25" t="str">
        <x:v>PASS</x:v>
      </x:c>
      <x:c r="K1145" s="25" t="n">
        <x:v>7</x:v>
      </x:c>
      <x:c r="L1145" s="27" t="b">
        <x:v>0</x:v>
      </x:c>
      <x:c r="M1145" s="25" t="str">
        <x:v>Feedback-Directed Random Test Generation/rounds/Round2/state/Compress.json</x:v>
      </x:c>
      <x:c r="N1145" s="25" t="str">
        <x:v>Feedback-Directed Random Test Generation/Result_Round2/Compress_5/result.json</x:v>
      </x:c>
      <x:c r="O1145" s="25" t="str">
        <x:v>Feedback-Directed Random Test Generation/Result_Round2/Compress_5/result.json</x:v>
      </x:c>
      <x:c r="P1145"/>
      <x:c r="Q1145" s="21" t="str"/>
      <x:c r="R1145" s="21" t="str"/>
      <x:c r="S1145" s="21" t="str"/>
      <x:c r="T1145" s="17" t="str">
        <x:v>false</x:v>
      </x:c>
      <x:c r="U1145" s="17" t="str">
        <x:v>true</x:v>
      </x:c>
      <x:c r="V1145" s="17" t="str">
        <x:v>false</x:v>
      </x:c>
    </x:row>
    <x:row r="1146" ht="80" customHeight="1">
      <x:c r="A1146" s="25" t="str">
        <x:v>Compress</x:v>
      </x:c>
      <x:c r="B1146" s="25" t="n">
        <x:v>6</x:v>
      </x:c>
      <x:c r="C1146" s="25" t="str">
        <x:v>Round2</x:v>
      </x:c>
      <x:c r="D1146" s="25" t="str">
        <x:v>INCONCLUSIVE</x:v>
      </x:c>
      <x:c r="E1146" s="25" t="str">
        <x:v>N/A</x:v>
      </x:c>
      <x:c r="F1146" s="26" t="str">
        <x:v>Fixed also failed; assertion failure cannot be attributed to this bug; Assertions failed with measured coverage; paired execution and stage checks determine status</x:v>
      </x:c>
      <x:c r="G1146" s="25" t="str">
        <x:v>true</x:v>
      </x:c>
      <x:c r="H1146" s="25" t="str">
        <x:v>INCONCLUSIVE</x:v>
      </x:c>
      <x:c r="I1146" s="25" t="str">
        <x:v>FAIL</x:v>
      </x:c>
      <x:c r="J1146" s="25" t="str">
        <x:v>FAIL</x:v>
      </x:c>
      <x:c r="K1146" s="25" t="n">
        <x:v>11</x:v>
      </x:c>
      <x:c r="L1146" s="27" t="b">
        <x:v>0</x:v>
      </x:c>
      <x:c r="M1146" s="25" t="str">
        <x:v>Feedback-Directed Random Test Generation/rounds/Round2/state/Compress.json</x:v>
      </x:c>
      <x:c r="N1146" s="25" t="str">
        <x:v>Feedback-Directed Random Test Generation/Result_Round2/Compress_6/result.json</x:v>
      </x:c>
      <x:c r="O1146" s="25" t="str">
        <x:v>Feedback-Directed Random Test Generation/Result_Round2/Compress_6/result.json</x:v>
      </x:c>
      <x:c r="P1146"/>
      <x:c r="Q1146" s="21" t="str"/>
      <x:c r="R1146" s="21" t="str"/>
      <x:c r="S1146" s="21" t="str"/>
      <x:c r="T1146" s="17" t="str">
        <x:v>false</x:v>
      </x:c>
      <x:c r="U1146" s="17" t="str">
        <x:v>true</x:v>
      </x:c>
      <x:c r="V1146" s="17" t="str">
        <x:v>false</x:v>
      </x:c>
    </x:row>
    <x:row r="1147" ht="80" customHeight="1">
      <x:c r="A1147" s="25" t="str">
        <x:v>Compress</x:v>
      </x:c>
      <x:c r="B1147" s="25" t="n">
        <x:v>7</x:v>
      </x:c>
      <x:c r="C1147" s="25" t="str">
        <x:v>Round2</x:v>
      </x:c>
      <x:c r="D1147" s="25" t="str">
        <x:v>INCONCLUSIVE</x:v>
      </x:c>
      <x:c r="E1147" s="25" t="str">
        <x:v>N/A</x:v>
      </x:c>
      <x:c r="F1147" s="26" t="str">
        <x:v>Fixed also failed; assertion failure cannot be attributed to this bug</x:v>
      </x:c>
      <x:c r="G1147" s="25" t="str">
        <x:v>true</x:v>
      </x:c>
      <x:c r="H1147" s="25" t="str">
        <x:v>INCONCLUSIVE</x:v>
      </x:c>
      <x:c r="I1147" s="25" t="str">
        <x:v>PASS</x:v>
      </x:c>
      <x:c r="J1147" s="25" t="str">
        <x:v>FAIL</x:v>
      </x:c>
      <x:c r="K1147" s="25" t="n">
        <x:v>12</x:v>
      </x:c>
      <x:c r="L1147" s="27" t="b">
        <x:v>0</x:v>
      </x:c>
      <x:c r="M1147" s="25" t="str">
        <x:v>Feedback-Directed Random Test Generation/rounds/Round2/state/Compress.json</x:v>
      </x:c>
      <x:c r="N1147" s="25" t="str">
        <x:v>Feedback-Directed Random Test Generation/Result_Round2/Compress_7/result.json</x:v>
      </x:c>
      <x:c r="O1147" s="25" t="str">
        <x:v>Feedback-Directed Random Test Generation/Result_Round2/Compress_7/result.json</x:v>
      </x:c>
      <x:c r="P1147"/>
      <x:c r="Q1147" s="21" t="str"/>
      <x:c r="R1147" s="21" t="str"/>
      <x:c r="S1147" s="21" t="str"/>
      <x:c r="T1147" s="17" t="str">
        <x:v>false</x:v>
      </x:c>
      <x:c r="U1147" s="17" t="str">
        <x:v>true</x:v>
      </x:c>
      <x:c r="V1147" s="17" t="str">
        <x:v>false</x:v>
      </x:c>
    </x:row>
    <x:row r="1148" ht="80" customHeight="1">
      <x:c r="A1148" s="25" t="str">
        <x:v>Compress</x:v>
      </x:c>
      <x:c r="B1148" s="25" t="n">
        <x:v>8</x:v>
      </x:c>
      <x:c r="C1148" s="25" t="str">
        <x:v>Round2</x:v>
      </x:c>
      <x:c r="D1148" s="25" t="str">
        <x:v>INCONCLUSIVE</x:v>
      </x:c>
      <x:c r="E1148" s="25" t="str">
        <x:v>N/A</x:v>
      </x:c>
      <x:c r="F1148" s="26" t="str">
        <x:v>Fixed also failed; assertion failure cannot be attributed to this bug</x:v>
      </x:c>
      <x:c r="G1148" s="25" t="str">
        <x:v>true</x:v>
      </x:c>
      <x:c r="H1148" s="25" t="str">
        <x:v>INCONCLUSIVE</x:v>
      </x:c>
      <x:c r="I1148" s="25" t="str">
        <x:v>PASS</x:v>
      </x:c>
      <x:c r="J1148" s="25" t="str">
        <x:v>FAIL</x:v>
      </x:c>
      <x:c r="K1148" s="25" t="n">
        <x:v>13</x:v>
      </x:c>
      <x:c r="L1148" s="27" t="b">
        <x:v>0</x:v>
      </x:c>
      <x:c r="M1148" s="25" t="str">
        <x:v>Feedback-Directed Random Test Generation/rounds/Round2/state/Compress.json</x:v>
      </x:c>
      <x:c r="N1148" s="25" t="str">
        <x:v>Feedback-Directed Random Test Generation/Result_Round2/Compress_8/result.json</x:v>
      </x:c>
      <x:c r="O1148" s="25" t="str">
        <x:v>Feedback-Directed Random Test Generation/Result_Round2/Compress_8/result.json</x:v>
      </x:c>
      <x:c r="P1148"/>
      <x:c r="Q1148" s="21" t="str"/>
      <x:c r="R1148" s="21" t="str"/>
      <x:c r="S1148" s="21" t="str"/>
      <x:c r="T1148" s="17" t="str">
        <x:v>false</x:v>
      </x:c>
      <x:c r="U1148" s="17" t="str">
        <x:v>true</x:v>
      </x:c>
      <x:c r="V1148" s="17" t="str">
        <x:v>false</x:v>
      </x:c>
    </x:row>
    <x:row r="1149" ht="80" customHeight="1">
      <x:c r="A1149" s="25" t="str">
        <x:v>Compress</x:v>
      </x:c>
      <x:c r="B1149" s="25" t="n">
        <x:v>9</x:v>
      </x:c>
      <x:c r="C1149" s="25" t="str">
        <x:v>Round2</x:v>
      </x:c>
      <x:c r="D1149" s="25" t="str">
        <x:v>INCONCLUSIVE</x:v>
      </x:c>
      <x:c r="E1149" s="25" t="str">
        <x:v>N/A</x:v>
      </x:c>
      <x:c r="F1149" s="26" t="str">
        <x:v>Fixed also failed; assertion failure cannot be attributed to this bug</x:v>
      </x:c>
      <x:c r="G1149" s="25" t="str">
        <x:v>true</x:v>
      </x:c>
      <x:c r="H1149" s="25" t="str">
        <x:v>INCONCLUSIVE</x:v>
      </x:c>
      <x:c r="I1149" s="25" t="str">
        <x:v>PASS</x:v>
      </x:c>
      <x:c r="J1149" s="25" t="str">
        <x:v>FAIL</x:v>
      </x:c>
      <x:c r="K1149" s="25" t="n">
        <x:v>12</x:v>
      </x:c>
      <x:c r="L1149" s="27" t="b">
        <x:v>0</x:v>
      </x:c>
      <x:c r="M1149" s="25" t="str">
        <x:v>Feedback-Directed Random Test Generation/rounds/Round2/state/Compress.json</x:v>
      </x:c>
      <x:c r="N1149" s="25" t="str">
        <x:v>Feedback-Directed Random Test Generation/Result_Round2/Compress_9/result.json</x:v>
      </x:c>
      <x:c r="O1149" s="25" t="str">
        <x:v>Feedback-Directed Random Test Generation/Result_Round2/Compress_9/result.json</x:v>
      </x:c>
      <x:c r="P1149"/>
      <x:c r="Q1149" s="21" t="str"/>
      <x:c r="R1149" s="21" t="str"/>
      <x:c r="S1149" s="21" t="str"/>
      <x:c r="T1149" s="17" t="str">
        <x:v>false</x:v>
      </x:c>
      <x:c r="U1149" s="17" t="str">
        <x:v>true</x:v>
      </x:c>
      <x:c r="V1149" s="17" t="str">
        <x:v>false</x:v>
      </x:c>
    </x:row>
    <x:row r="1150" ht="80" customHeight="1">
      <x:c r="A1150" s="25" t="str">
        <x:v>Compress</x:v>
      </x:c>
      <x:c r="B1150" s="25" t="n">
        <x:v>10</x:v>
      </x:c>
      <x:c r="C1150" s="25" t="str">
        <x:v>Round2</x:v>
      </x:c>
      <x:c r="D1150" s="25" t="str">
        <x:v>NOT_REVEALING</x:v>
      </x:c>
      <x:c r="E1150" s="25" t="str">
        <x:v>N/A</x:v>
      </x:c>
      <x:c r="F1150" s="26" t="str">
        <x:v>Same saved validation suite passed on buggy and fixed</x:v>
      </x:c>
      <x:c r="G1150" s="25" t="str">
        <x:v>true</x:v>
      </x:c>
      <x:c r="H1150" s="25" t="str">
        <x:v>NOT_REVEALING</x:v>
      </x:c>
      <x:c r="I1150" s="25" t="str">
        <x:v>PASS</x:v>
      </x:c>
      <x:c r="J1150" s="25" t="str">
        <x:v>PASS</x:v>
      </x:c>
      <x:c r="K1150" s="25" t="n">
        <x:v>2</x:v>
      </x:c>
      <x:c r="L1150" s="27" t="b">
        <x:v>0</x:v>
      </x:c>
      <x:c r="M1150" s="25" t="str">
        <x:v>Feedback-Directed Random Test Generation/rounds/Round2/state/Compress.json</x:v>
      </x:c>
      <x:c r="N1150" s="25" t="str">
        <x:v>Feedback-Directed Random Test Generation/Result_Round2/Compress_10/result.json</x:v>
      </x:c>
      <x:c r="O1150" s="25" t="str">
        <x:v>Feedback-Directed Random Test Generation/Result_Round2/Compress_10/result.json</x:v>
      </x:c>
      <x:c r="P1150"/>
      <x:c r="Q1150" s="21" t="str"/>
      <x:c r="R1150" s="21" t="str"/>
      <x:c r="S1150" s="21" t="str"/>
      <x:c r="T1150" s="17" t="str">
        <x:v>false</x:v>
      </x:c>
      <x:c r="U1150" s="17" t="str">
        <x:v>true</x:v>
      </x:c>
      <x:c r="V1150" s="17" t="str">
        <x:v>false</x:v>
      </x:c>
    </x:row>
    <x:row r="1151" ht="80" customHeight="1">
      <x:c r="A1151" s="25" t="str">
        <x:v>Compress</x:v>
      </x:c>
      <x:c r="B1151" s="25" t="n">
        <x:v>11</x:v>
      </x:c>
      <x:c r="C1151" s="25" t="str">
        <x:v>Round2</x:v>
      </x:c>
      <x:c r="D1151" s="25" t="str">
        <x:v>NOT_REVEALING</x:v>
      </x:c>
      <x:c r="E1151" s="25" t="str">
        <x:v>N/A</x:v>
      </x:c>
      <x:c r="F1151" s="26" t="str">
        <x:v>Same saved validation suite passed on buggy and fixed</x:v>
      </x:c>
      <x:c r="G1151" s="25" t="str">
        <x:v>true</x:v>
      </x:c>
      <x:c r="H1151" s="25" t="str">
        <x:v>NOT_REVEALING</x:v>
      </x:c>
      <x:c r="I1151" s="25" t="str">
        <x:v>PASS</x:v>
      </x:c>
      <x:c r="J1151" s="25" t="str">
        <x:v>PASS</x:v>
      </x:c>
      <x:c r="K1151" s="25" t="n">
        <x:v>2</x:v>
      </x:c>
      <x:c r="L1151" s="27" t="b">
        <x:v>0</x:v>
      </x:c>
      <x:c r="M1151" s="25" t="str">
        <x:v>Feedback-Directed Random Test Generation/rounds/Round2/state/Compress.json</x:v>
      </x:c>
      <x:c r="N1151" s="25" t="str">
        <x:v>Feedback-Directed Random Test Generation/Result_Round2/Compress_11/result.json</x:v>
      </x:c>
      <x:c r="O1151" s="25" t="str">
        <x:v>Feedback-Directed Random Test Generation/Result_Round2/Compress_11/result.json</x:v>
      </x:c>
      <x:c r="P1151"/>
      <x:c r="Q1151" s="21" t="str"/>
      <x:c r="R1151" s="21" t="str"/>
      <x:c r="S1151" s="21" t="str"/>
      <x:c r="T1151" s="17" t="str">
        <x:v>false</x:v>
      </x:c>
      <x:c r="U1151" s="17" t="str">
        <x:v>true</x:v>
      </x:c>
      <x:c r="V1151" s="17" t="str">
        <x:v>false</x:v>
      </x:c>
    </x:row>
    <x:row r="1152" ht="80" customHeight="1">
      <x:c r="A1152" s="25" t="str">
        <x:v>Compress</x:v>
      </x:c>
      <x:c r="B1152" s="25" t="n">
        <x:v>12</x:v>
      </x:c>
      <x:c r="C1152" s="25" t="str">
        <x:v>Round2</x:v>
      </x:c>
      <x:c r="D1152" s="25" t="str">
        <x:v>NOT_REVEALING</x:v>
      </x:c>
      <x:c r="E1152" s="25" t="str">
        <x:v>N/A</x:v>
      </x:c>
      <x:c r="F1152" s="26" t="str">
        <x:v>Same saved validation suite passed on buggy and fixed</x:v>
      </x:c>
      <x:c r="G1152" s="25" t="str">
        <x:v>true</x:v>
      </x:c>
      <x:c r="H1152" s="25" t="str">
        <x:v>NOT_REVEALING</x:v>
      </x:c>
      <x:c r="I1152" s="25" t="str">
        <x:v>PASS</x:v>
      </x:c>
      <x:c r="J1152" s="25" t="str">
        <x:v>PASS</x:v>
      </x:c>
      <x:c r="K1152" s="25" t="n">
        <x:v>9</x:v>
      </x:c>
      <x:c r="L1152" s="27" t="b">
        <x:v>0</x:v>
      </x:c>
      <x:c r="M1152" s="25" t="str">
        <x:v>Feedback-Directed Random Test Generation/rounds/Round2/state/Compress.json</x:v>
      </x:c>
      <x:c r="N1152" s="25" t="str">
        <x:v>Feedback-Directed Random Test Generation/Result_Round2/Compress_12/result.json</x:v>
      </x:c>
      <x:c r="O1152" s="25" t="str">
        <x:v>Feedback-Directed Random Test Generation/Result_Round2/Compress_12/result.json</x:v>
      </x:c>
      <x:c r="P1152"/>
      <x:c r="Q1152" s="21" t="str"/>
      <x:c r="R1152" s="21" t="str"/>
      <x:c r="S1152" s="21" t="str"/>
      <x:c r="T1152" s="17" t="str">
        <x:v>false</x:v>
      </x:c>
      <x:c r="U1152" s="17" t="str">
        <x:v>true</x:v>
      </x:c>
      <x:c r="V1152" s="17" t="str">
        <x:v>false</x:v>
      </x:c>
    </x:row>
    <x:row r="1153" ht="80" customHeight="1">
      <x:c r="A1153" s="25" t="str">
        <x:v>Compress</x:v>
      </x:c>
      <x:c r="B1153" s="25" t="n">
        <x:v>13</x:v>
      </x:c>
      <x:c r="C1153" s="25" t="str">
        <x:v>Round2</x:v>
      </x:c>
      <x:c r="D1153" s="25" t="str">
        <x:v>INCONCLUSIVE</x:v>
      </x:c>
      <x:c r="E1153" s="25" t="str">
        <x:v>N/A</x:v>
      </x:c>
      <x:c r="F1153" s="26" t="str">
        <x:v>Fixed also failed; assertion failure cannot be attributed to this bug; Assertions failed with measured coverage; paired execution and stage checks determine status</x:v>
      </x:c>
      <x:c r="G1153" s="25" t="str">
        <x:v>true</x:v>
      </x:c>
      <x:c r="H1153" s="25" t="str">
        <x:v>INCONCLUSIVE</x:v>
      </x:c>
      <x:c r="I1153" s="25" t="str">
        <x:v>FAIL</x:v>
      </x:c>
      <x:c r="J1153" s="25" t="str">
        <x:v>FAIL</x:v>
      </x:c>
      <x:c r="K1153" s="25" t="n">
        <x:v>7</x:v>
      </x:c>
      <x:c r="L1153" s="27" t="b">
        <x:v>0</x:v>
      </x:c>
      <x:c r="M1153" s="25" t="str">
        <x:v>Feedback-Directed Random Test Generation/rounds/Round2/state/Compress.json</x:v>
      </x:c>
      <x:c r="N1153" s="25" t="str">
        <x:v>Feedback-Directed Random Test Generation/Result_Round2/Compress_13/result.json</x:v>
      </x:c>
      <x:c r="O1153" s="25" t="str">
        <x:v>Feedback-Directed Random Test Generation/Result_Round2/Compress_13/result.json</x:v>
      </x:c>
      <x:c r="P1153"/>
      <x:c r="Q1153" s="21" t="str"/>
      <x:c r="R1153" s="21" t="str"/>
      <x:c r="S1153" s="21" t="str"/>
      <x:c r="T1153" s="17" t="str">
        <x:v>false</x:v>
      </x:c>
      <x:c r="U1153" s="17" t="str">
        <x:v>true</x:v>
      </x:c>
      <x:c r="V1153" s="17" t="str">
        <x:v>false</x:v>
      </x:c>
    </x:row>
    <x:row r="1154" ht="80" customHeight="1">
      <x:c r="A1154" s="25" t="str">
        <x:v>Compress</x:v>
      </x:c>
      <x:c r="B1154" s="25" t="n">
        <x:v>14</x:v>
      </x:c>
      <x:c r="C1154" s="25" t="str">
        <x:v>Round2</x:v>
      </x:c>
      <x:c r="D1154" s="25" t="str">
        <x:v>INCONCLUSIVE</x:v>
      </x:c>
      <x:c r="E1154" s="25" t="str">
        <x:v>N/A</x:v>
      </x:c>
      <x:c r="F1154" s="26" t="str">
        <x:v>Fixed also failed; assertion failure cannot be attributed to this bug</x:v>
      </x:c>
      <x:c r="G1154" s="25" t="str">
        <x:v>true</x:v>
      </x:c>
      <x:c r="H1154" s="25" t="str">
        <x:v>INCONCLUSIVE</x:v>
      </x:c>
      <x:c r="I1154" s="25" t="str">
        <x:v>PASS</x:v>
      </x:c>
      <x:c r="J1154" s="25" t="str">
        <x:v>FAIL</x:v>
      </x:c>
      <x:c r="K1154" s="25" t="n">
        <x:v>18</x:v>
      </x:c>
      <x:c r="L1154" s="27" t="b">
        <x:v>0</x:v>
      </x:c>
      <x:c r="M1154" s="25" t="str">
        <x:v>Feedback-Directed Random Test Generation/rounds/Round2/state/Compress.json</x:v>
      </x:c>
      <x:c r="N1154" s="25" t="str">
        <x:v>Feedback-Directed Random Test Generation/Result_Round2/Compress_14/result.json</x:v>
      </x:c>
      <x:c r="O1154" s="25" t="str">
        <x:v>Feedback-Directed Random Test Generation/Result_Round2/Compress_14/result.json</x:v>
      </x:c>
      <x:c r="P1154"/>
      <x:c r="Q1154" s="21" t="str"/>
      <x:c r="R1154" s="21" t="str"/>
      <x:c r="S1154" s="21" t="str"/>
      <x:c r="T1154" s="17" t="str">
        <x:v>false</x:v>
      </x:c>
      <x:c r="U1154" s="17" t="str">
        <x:v>true</x:v>
      </x:c>
      <x:c r="V1154" s="17" t="str">
        <x:v>false</x:v>
      </x:c>
    </x:row>
    <x:row r="1155" ht="80" customHeight="1">
      <x:c r="A1155" s="25" t="str">
        <x:v>Compress</x:v>
      </x:c>
      <x:c r="B1155" s="25" t="n">
        <x:v>15</x:v>
      </x:c>
      <x:c r="C1155" s="25" t="str">
        <x:v>Round2</x:v>
      </x:c>
      <x:c r="D1155" s="25" t="str">
        <x:v>INCONCLUSIVE</x:v>
      </x:c>
      <x:c r="E1155" s="25" t="str">
        <x:v>N/A</x:v>
      </x:c>
      <x:c r="F1155" s="26" t="str">
        <x:v>Fixed also failed; assertion failure cannot be attributed to this bug; Assertions failed with measured coverage; paired execution and stage checks determine status</x:v>
      </x:c>
      <x:c r="G1155" s="25" t="str">
        <x:v>true</x:v>
      </x:c>
      <x:c r="H1155" s="25" t="str">
        <x:v>INCONCLUSIVE</x:v>
      </x:c>
      <x:c r="I1155" s="25" t="str">
        <x:v>FAIL</x:v>
      </x:c>
      <x:c r="J1155" s="25" t="str">
        <x:v>FAIL</x:v>
      </x:c>
      <x:c r="K1155" s="25" t="n">
        <x:v>8</x:v>
      </x:c>
      <x:c r="L1155" s="27" t="b">
        <x:v>0</x:v>
      </x:c>
      <x:c r="M1155" s="25" t="str">
        <x:v>Feedback-Directed Random Test Generation/rounds/Round2/state/Compress.json</x:v>
      </x:c>
      <x:c r="N1155" s="25" t="str">
        <x:v>Feedback-Directed Random Test Generation/Result_Round2/Compress_15/result.json</x:v>
      </x:c>
      <x:c r="O1155" s="25" t="str">
        <x:v>Feedback-Directed Random Test Generation/Result_Round2/Compress_15/result.json</x:v>
      </x:c>
      <x:c r="P1155"/>
      <x:c r="Q1155" s="21" t="str"/>
      <x:c r="R1155" s="21" t="str"/>
      <x:c r="S1155" s="21" t="str"/>
      <x:c r="T1155" s="17" t="str">
        <x:v>false</x:v>
      </x:c>
      <x:c r="U1155" s="17" t="str">
        <x:v>true</x:v>
      </x:c>
      <x:c r="V1155" s="17" t="str">
        <x:v>false</x:v>
      </x:c>
    </x:row>
    <x:row r="1156" ht="80" customHeight="1">
      <x:c r="A1156" s="25" t="str">
        <x:v>Compress</x:v>
      </x:c>
      <x:c r="B1156" s="25" t="n">
        <x:v>16</x:v>
      </x:c>
      <x:c r="C1156" s="25" t="str">
        <x:v>Round2</x:v>
      </x:c>
      <x:c r="D1156" s="25" t="str">
        <x:v>NOT_REVEALING</x:v>
      </x:c>
      <x:c r="E1156" s="25" t="str">
        <x:v>N/A</x:v>
      </x:c>
      <x:c r="F1156" s="26" t="str">
        <x:v>Same saved validation suite passed on buggy and fixed</x:v>
      </x:c>
      <x:c r="G1156" s="25" t="str">
        <x:v>true</x:v>
      </x:c>
      <x:c r="H1156" s="25" t="str">
        <x:v>NOT_REVEALING</x:v>
      </x:c>
      <x:c r="I1156" s="25" t="str">
        <x:v>PASS</x:v>
      </x:c>
      <x:c r="J1156" s="25" t="str">
        <x:v>PASS</x:v>
      </x:c>
      <x:c r="K1156" s="25" t="n">
        <x:v>2</x:v>
      </x:c>
      <x:c r="L1156" s="27" t="b">
        <x:v>0</x:v>
      </x:c>
      <x:c r="M1156" s="25" t="str">
        <x:v>Feedback-Directed Random Test Generation/rounds/Round2/state/Compress.json</x:v>
      </x:c>
      <x:c r="N1156" s="25" t="str">
        <x:v>Feedback-Directed Random Test Generation/Result_Round2/Compress_16/result.json</x:v>
      </x:c>
      <x:c r="O1156" s="25" t="str">
        <x:v>Feedback-Directed Random Test Generation/Result_Round2/Compress_16/result.json</x:v>
      </x:c>
      <x:c r="P1156"/>
      <x:c r="Q1156" s="21" t="str"/>
      <x:c r="R1156" s="21" t="str"/>
      <x:c r="S1156" s="21" t="str"/>
      <x:c r="T1156" s="17" t="str">
        <x:v>false</x:v>
      </x:c>
      <x:c r="U1156" s="17" t="str">
        <x:v>true</x:v>
      </x:c>
      <x:c r="V1156" s="17" t="str">
        <x:v>false</x:v>
      </x:c>
    </x:row>
    <x:row r="1157" ht="80" customHeight="1">
      <x:c r="A1157" s="25" t="str">
        <x:v>Compress</x:v>
      </x:c>
      <x:c r="B1157" s="25" t="n">
        <x:v>17</x:v>
      </x:c>
      <x:c r="C1157" s="25" t="str">
        <x:v>Round2</x:v>
      </x:c>
      <x:c r="D1157" s="25" t="str">
        <x:v>NOT_REVEALING</x:v>
      </x:c>
      <x:c r="E1157" s="25" t="str">
        <x:v>N/A</x:v>
      </x:c>
      <x:c r="F1157" s="26" t="str">
        <x:v>Same saved validation suite passed on buggy and fixed</x:v>
      </x:c>
      <x:c r="G1157" s="25" t="str">
        <x:v>true</x:v>
      </x:c>
      <x:c r="H1157" s="25" t="str">
        <x:v>NOT_REVEALING</x:v>
      </x:c>
      <x:c r="I1157" s="25" t="str">
        <x:v>PASS</x:v>
      </x:c>
      <x:c r="J1157" s="25" t="str">
        <x:v>PASS</x:v>
      </x:c>
      <x:c r="K1157" s="25" t="n">
        <x:v>11</x:v>
      </x:c>
      <x:c r="L1157" s="27" t="b">
        <x:v>0</x:v>
      </x:c>
      <x:c r="M1157" s="25" t="str">
        <x:v>Feedback-Directed Random Test Generation/rounds/Round2/state/Compress.json</x:v>
      </x:c>
      <x:c r="N1157" s="25" t="str">
        <x:v>Feedback-Directed Random Test Generation/Result_Round2/Compress_17/result.json</x:v>
      </x:c>
      <x:c r="O1157" s="25" t="str">
        <x:v>Feedback-Directed Random Test Generation/Result_Round2/Compress_17/result.json</x:v>
      </x:c>
      <x:c r="P1157"/>
      <x:c r="Q1157" s="21" t="str"/>
      <x:c r="R1157" s="21" t="str"/>
      <x:c r="S1157" s="21" t="str"/>
      <x:c r="T1157" s="17" t="str">
        <x:v>false</x:v>
      </x:c>
      <x:c r="U1157" s="17" t="str">
        <x:v>true</x:v>
      </x:c>
      <x:c r="V1157" s="17" t="str">
        <x:v>false</x:v>
      </x:c>
    </x:row>
    <x:row r="1158" ht="80" customHeight="1">
      <x:c r="A1158" s="25" t="str">
        <x:v>Compress</x:v>
      </x:c>
      <x:c r="B1158" s="25" t="n">
        <x:v>18</x:v>
      </x:c>
      <x:c r="C1158" s="25" t="str">
        <x:v>Round2</x:v>
      </x:c>
      <x:c r="D1158" s="25" t="str">
        <x:v>NOT_REVEALING</x:v>
      </x:c>
      <x:c r="E1158" s="25" t="str">
        <x:v>N/A</x:v>
      </x:c>
      <x:c r="F1158" s="26" t="str">
        <x:v>Same saved validation suite passed on buggy and fixed</x:v>
      </x:c>
      <x:c r="G1158" s="25" t="str">
        <x:v>true</x:v>
      </x:c>
      <x:c r="H1158" s="25" t="str">
        <x:v>NOT_REVEALING</x:v>
      </x:c>
      <x:c r="I1158" s="25" t="str">
        <x:v>PASS</x:v>
      </x:c>
      <x:c r="J1158" s="25" t="str">
        <x:v>PASS</x:v>
      </x:c>
      <x:c r="K1158" s="25" t="n">
        <x:v>12</x:v>
      </x:c>
      <x:c r="L1158" s="27" t="b">
        <x:v>0</x:v>
      </x:c>
      <x:c r="M1158" s="25" t="str">
        <x:v>Feedback-Directed Random Test Generation/rounds/Round2/state/Compress.json</x:v>
      </x:c>
      <x:c r="N1158" s="25" t="str">
        <x:v>Feedback-Directed Random Test Generation/Result_Round2/Compress_18/result.json</x:v>
      </x:c>
      <x:c r="O1158" s="25" t="str">
        <x:v>Feedback-Directed Random Test Generation/Result_Round2/Compress_18/result.json</x:v>
      </x:c>
      <x:c r="P1158"/>
      <x:c r="Q1158" s="21" t="str"/>
      <x:c r="R1158" s="21" t="str"/>
      <x:c r="S1158" s="21" t="str"/>
      <x:c r="T1158" s="17" t="str">
        <x:v>false</x:v>
      </x:c>
      <x:c r="U1158" s="17" t="str">
        <x:v>true</x:v>
      </x:c>
      <x:c r="V1158" s="17" t="str">
        <x:v>false</x:v>
      </x:c>
    </x:row>
    <x:row r="1159" ht="80" customHeight="1">
      <x:c r="A1159" s="25" t="str">
        <x:v>Compress</x:v>
      </x:c>
      <x:c r="B1159" s="25" t="n">
        <x:v>19</x:v>
      </x:c>
      <x:c r="C1159" s="25" t="str">
        <x:v>Round2</x:v>
      </x:c>
      <x:c r="D1159" s="25" t="str">
        <x:v>NOT_REVEALING</x:v>
      </x:c>
      <x:c r="E1159" s="25" t="str">
        <x:v>N/A</x:v>
      </x:c>
      <x:c r="F1159" s="26" t="str">
        <x:v>Same saved validation suite passed on buggy and fixed</x:v>
      </x:c>
      <x:c r="G1159" s="25" t="str">
        <x:v>true</x:v>
      </x:c>
      <x:c r="H1159" s="25" t="str">
        <x:v>NOT_REVEALING</x:v>
      </x:c>
      <x:c r="I1159" s="25" t="str">
        <x:v>PASS</x:v>
      </x:c>
      <x:c r="J1159" s="25" t="str">
        <x:v>PASS</x:v>
      </x:c>
      <x:c r="K1159" s="25" t="n">
        <x:v>10</x:v>
      </x:c>
      <x:c r="L1159" s="27" t="b">
        <x:v>0</x:v>
      </x:c>
      <x:c r="M1159" s="25" t="str">
        <x:v>Feedback-Directed Random Test Generation/rounds/Round2/state/Compress.json</x:v>
      </x:c>
      <x:c r="N1159" s="25" t="str">
        <x:v>Feedback-Directed Random Test Generation/Result_Round2/Compress_19/result.json</x:v>
      </x:c>
      <x:c r="O1159" s="25" t="str">
        <x:v>Feedback-Directed Random Test Generation/Result_Round2/Compress_19/result.json</x:v>
      </x:c>
      <x:c r="P1159"/>
      <x:c r="Q1159" s="21" t="str"/>
      <x:c r="R1159" s="21" t="str"/>
      <x:c r="S1159" s="21" t="str"/>
      <x:c r="T1159" s="17" t="str">
        <x:v>false</x:v>
      </x:c>
      <x:c r="U1159" s="17" t="str">
        <x:v>true</x:v>
      </x:c>
      <x:c r="V1159" s="17" t="str">
        <x:v>false</x:v>
      </x:c>
    </x:row>
    <x:row r="1160" ht="80" customHeight="1">
      <x:c r="A1160" s="25" t="str">
        <x:v>Compress</x:v>
      </x:c>
      <x:c r="B1160" s="25" t="n">
        <x:v>20</x:v>
      </x:c>
      <x:c r="C1160" s="25" t="str">
        <x:v>Round2</x:v>
      </x:c>
      <x:c r="D1160" s="25" t="str">
        <x:v>NOT_REVEALING</x:v>
      </x:c>
      <x:c r="E1160" s="25" t="str">
        <x:v>N/A</x:v>
      </x:c>
      <x:c r="F1160" s="26" t="str">
        <x:v>Same saved validation suite passed on buggy and fixed</x:v>
      </x:c>
      <x:c r="G1160" s="25" t="str">
        <x:v>true</x:v>
      </x:c>
      <x:c r="H1160" s="25" t="str">
        <x:v>NOT_REVEALING</x:v>
      </x:c>
      <x:c r="I1160" s="25" t="str">
        <x:v>PASS</x:v>
      </x:c>
      <x:c r="J1160" s="25" t="str">
        <x:v>PASS</x:v>
      </x:c>
      <x:c r="K1160" s="25" t="n">
        <x:v>12</x:v>
      </x:c>
      <x:c r="L1160" s="27" t="b">
        <x:v>0</x:v>
      </x:c>
      <x:c r="M1160" s="25" t="str">
        <x:v>Feedback-Directed Random Test Generation/rounds/Round2/state/Compress.json</x:v>
      </x:c>
      <x:c r="N1160" s="25" t="str">
        <x:v>Feedback-Directed Random Test Generation/Result_Round2/Compress_20/result.json</x:v>
      </x:c>
      <x:c r="O1160" s="25" t="str">
        <x:v>Feedback-Directed Random Test Generation/Result_Round2/Compress_20/result.json</x:v>
      </x:c>
      <x:c r="P1160"/>
      <x:c r="Q1160" s="21" t="str"/>
      <x:c r="R1160" s="21" t="str"/>
      <x:c r="S1160" s="21" t="str"/>
      <x:c r="T1160" s="17" t="str">
        <x:v>false</x:v>
      </x:c>
      <x:c r="U1160" s="17" t="str">
        <x:v>true</x:v>
      </x:c>
      <x:c r="V1160" s="17" t="str">
        <x:v>false</x:v>
      </x:c>
    </x:row>
    <x:row r="1161" ht="80" customHeight="1">
      <x:c r="A1161" s="25" t="str">
        <x:v>Compress</x:v>
      </x:c>
      <x:c r="B1161" s="25" t="n">
        <x:v>21</x:v>
      </x:c>
      <x:c r="C1161" s="25" t="str">
        <x:v>Round2</x:v>
      </x:c>
      <x:c r="D1161" s="25" t="str">
        <x:v>NOT_REVEALING</x:v>
      </x:c>
      <x:c r="E1161" s="25" t="str">
        <x:v>N/A</x:v>
      </x:c>
      <x:c r="F1161" s="26" t="str">
        <x:v>Same saved validation suite passed on buggy and fixed</x:v>
      </x:c>
      <x:c r="G1161" s="25" t="str">
        <x:v>true</x:v>
      </x:c>
      <x:c r="H1161" s="25" t="str">
        <x:v>NOT_REVEALING</x:v>
      </x:c>
      <x:c r="I1161" s="25" t="str">
        <x:v>PASS</x:v>
      </x:c>
      <x:c r="J1161" s="25" t="str">
        <x:v>PASS</x:v>
      </x:c>
      <x:c r="K1161" s="25" t="n">
        <x:v>2</x:v>
      </x:c>
      <x:c r="L1161" s="27" t="b">
        <x:v>0</x:v>
      </x:c>
      <x:c r="M1161" s="25" t="str">
        <x:v>Feedback-Directed Random Test Generation/rounds/Round2/state/Compress.json</x:v>
      </x:c>
      <x:c r="N1161" s="25" t="str">
        <x:v>Feedback-Directed Random Test Generation/Result_Round2/Compress_21/result.json</x:v>
      </x:c>
      <x:c r="O1161" s="25" t="str">
        <x:v>Feedback-Directed Random Test Generation/Result_Round2/Compress_21/result.json</x:v>
      </x:c>
      <x:c r="P1161"/>
      <x:c r="Q1161" s="21" t="str"/>
      <x:c r="R1161" s="21" t="str"/>
      <x:c r="S1161" s="21" t="str"/>
      <x:c r="T1161" s="17" t="str">
        <x:v>false</x:v>
      </x:c>
      <x:c r="U1161" s="17" t="str">
        <x:v>true</x:v>
      </x:c>
      <x:c r="V1161" s="17" t="str">
        <x:v>false</x:v>
      </x:c>
    </x:row>
    <x:row r="1162" ht="80" customHeight="1">
      <x:c r="A1162" s="25" t="str">
        <x:v>Compress</x:v>
      </x:c>
      <x:c r="B1162" s="25" t="n">
        <x:v>22</x:v>
      </x:c>
      <x:c r="C1162" s="25" t="str">
        <x:v>Round2</x:v>
      </x:c>
      <x:c r="D1162" s="25" t="str">
        <x:v>NOT_REVEALING</x:v>
      </x:c>
      <x:c r="E1162" s="25" t="str">
        <x:v>N/A</x:v>
      </x:c>
      <x:c r="F1162" s="26" t="str">
        <x:v>Same saved validation suite passed on buggy and fixed</x:v>
      </x:c>
      <x:c r="G1162" s="25" t="str">
        <x:v>true</x:v>
      </x:c>
      <x:c r="H1162" s="25" t="str">
        <x:v>NOT_REVEALING</x:v>
      </x:c>
      <x:c r="I1162" s="25" t="str">
        <x:v>PASS</x:v>
      </x:c>
      <x:c r="J1162" s="25" t="str">
        <x:v>PASS</x:v>
      </x:c>
      <x:c r="K1162" s="25" t="n">
        <x:v>14</x:v>
      </x:c>
      <x:c r="L1162" s="27" t="b">
        <x:v>0</x:v>
      </x:c>
      <x:c r="M1162" s="25" t="str">
        <x:v>Feedback-Directed Random Test Generation/rounds/Round2/state/Compress.json</x:v>
      </x:c>
      <x:c r="N1162" s="25" t="str">
        <x:v>Feedback-Directed Random Test Generation/Result_Round2/Compress_22/result.json</x:v>
      </x:c>
      <x:c r="O1162" s="25" t="str">
        <x:v>Feedback-Directed Random Test Generation/Result_Round2/Compress_22/result.json</x:v>
      </x:c>
      <x:c r="P1162"/>
      <x:c r="Q1162" s="21" t="str"/>
      <x:c r="R1162" s="21" t="str"/>
      <x:c r="S1162" s="21" t="str"/>
      <x:c r="T1162" s="17" t="str">
        <x:v>false</x:v>
      </x:c>
      <x:c r="U1162" s="17" t="str">
        <x:v>true</x:v>
      </x:c>
      <x:c r="V1162" s="17" t="str">
        <x:v>false</x:v>
      </x:c>
    </x:row>
    <x:row r="1163" ht="80" customHeight="1">
      <x:c r="A1163" s="25" t="str">
        <x:v>Compress</x:v>
      </x:c>
      <x:c r="B1163" s="25" t="n">
        <x:v>23</x:v>
      </x:c>
      <x:c r="C1163" s="25" t="str">
        <x:v>Round2</x:v>
      </x:c>
      <x:c r="D1163" s="25" t="str">
        <x:v>INCONCLUSIVE</x:v>
      </x:c>
      <x:c r="E1163" s="25" t="str">
        <x:v>N/A</x:v>
      </x:c>
      <x:c r="F1163" s="26" t="str">
        <x:v>Fixed also failed; assertion failure cannot be attributed to this bug; Assertions failed with measured coverage; paired execution and stage checks determine status</x:v>
      </x:c>
      <x:c r="G1163" s="25" t="str">
        <x:v>true</x:v>
      </x:c>
      <x:c r="H1163" s="25" t="str">
        <x:v>INCONCLUSIVE</x:v>
      </x:c>
      <x:c r="I1163" s="25" t="str">
        <x:v>FAIL</x:v>
      </x:c>
      <x:c r="J1163" s="25" t="str">
        <x:v>FAIL</x:v>
      </x:c>
      <x:c r="K1163" s="25" t="n">
        <x:v>8</x:v>
      </x:c>
      <x:c r="L1163" s="27" t="b">
        <x:v>0</x:v>
      </x:c>
      <x:c r="M1163" s="25" t="str">
        <x:v>Feedback-Directed Random Test Generation/rounds/Round2/state/Compress.json</x:v>
      </x:c>
      <x:c r="N1163" s="25" t="str">
        <x:v>Feedback-Directed Random Test Generation/Result_Round2/Compress_23/result.json</x:v>
      </x:c>
      <x:c r="O1163" s="25" t="str">
        <x:v>Feedback-Directed Random Test Generation/Result_Round2/Compress_23/result.json</x:v>
      </x:c>
      <x:c r="P1163"/>
      <x:c r="Q1163" s="21" t="str"/>
      <x:c r="R1163" s="21" t="str"/>
      <x:c r="S1163" s="21" t="str"/>
      <x:c r="T1163" s="17" t="str">
        <x:v>false</x:v>
      </x:c>
      <x:c r="U1163" s="17" t="str">
        <x:v>true</x:v>
      </x:c>
      <x:c r="V1163" s="17" t="str">
        <x:v>false</x:v>
      </x:c>
    </x:row>
    <x:row r="1164" ht="80" customHeight="1">
      <x:c r="A1164" s="25" t="str">
        <x:v>Compress</x:v>
      </x:c>
      <x:c r="B1164" s="25" t="n">
        <x:v>24</x:v>
      </x:c>
      <x:c r="C1164" s="25" t="str">
        <x:v>Round2</x:v>
      </x:c>
      <x:c r="D1164" s="25" t="str">
        <x:v>NOT_REVEALING</x:v>
      </x:c>
      <x:c r="E1164" s="25" t="str">
        <x:v>N/A</x:v>
      </x:c>
      <x:c r="F1164" s="26" t="str">
        <x:v>Same saved validation suite passed on buggy and fixed</x:v>
      </x:c>
      <x:c r="G1164" s="25" t="str">
        <x:v>true</x:v>
      </x:c>
      <x:c r="H1164" s="25" t="str">
        <x:v>NOT_REVEALING</x:v>
      </x:c>
      <x:c r="I1164" s="25" t="str">
        <x:v>PASS</x:v>
      </x:c>
      <x:c r="J1164" s="25" t="str">
        <x:v>PASS</x:v>
      </x:c>
      <x:c r="K1164" s="25" t="n">
        <x:v>17</x:v>
      </x:c>
      <x:c r="L1164" s="27" t="b">
        <x:v>0</x:v>
      </x:c>
      <x:c r="M1164" s="25" t="str">
        <x:v>Feedback-Directed Random Test Generation/rounds/Round2/state/Compress.json</x:v>
      </x:c>
      <x:c r="N1164" s="25" t="str">
        <x:v>Feedback-Directed Random Test Generation/Result_Round2/Compress_24/result.json</x:v>
      </x:c>
      <x:c r="O1164" s="25" t="str">
        <x:v>Feedback-Directed Random Test Generation/Result_Round2/Compress_24/result.json</x:v>
      </x:c>
      <x:c r="P1164"/>
      <x:c r="Q1164" s="21" t="str"/>
      <x:c r="R1164" s="21" t="str"/>
      <x:c r="S1164" s="21" t="str"/>
      <x:c r="T1164" s="17" t="str">
        <x:v>false</x:v>
      </x:c>
      <x:c r="U1164" s="17" t="str">
        <x:v>true</x:v>
      </x:c>
      <x:c r="V1164" s="17" t="str">
        <x:v>false</x:v>
      </x:c>
    </x:row>
    <x:row r="1165" ht="80" customHeight="1">
      <x:c r="A1165" s="25" t="str">
        <x:v>Compress</x:v>
      </x:c>
      <x:c r="B1165" s="25" t="n">
        <x:v>25</x:v>
      </x:c>
      <x:c r="C1165" s="25" t="str">
        <x:v>Round2</x:v>
      </x:c>
      <x:c r="D1165" s="25" t="str">
        <x:v>NOT_REVEALING</x:v>
      </x:c>
      <x:c r="E1165" s="25" t="str">
        <x:v>N/A</x:v>
      </x:c>
      <x:c r="F1165" s="26" t="str">
        <x:v>Same saved validation suite passed on buggy and fixed</x:v>
      </x:c>
      <x:c r="G1165" s="25" t="str">
        <x:v>true</x:v>
      </x:c>
      <x:c r="H1165" s="25" t="str">
        <x:v>NOT_REVEALING</x:v>
      </x:c>
      <x:c r="I1165" s="25" t="str">
        <x:v>PASS</x:v>
      </x:c>
      <x:c r="J1165" s="25" t="str">
        <x:v>PASS</x:v>
      </x:c>
      <x:c r="K1165" s="25" t="n">
        <x:v>13</x:v>
      </x:c>
      <x:c r="L1165" s="27" t="b">
        <x:v>0</x:v>
      </x:c>
      <x:c r="M1165" s="25" t="str">
        <x:v>Feedback-Directed Random Test Generation/rounds/Round2/state/Compress.json</x:v>
      </x:c>
      <x:c r="N1165" s="25" t="str">
        <x:v>Feedback-Directed Random Test Generation/Result_Round2/Compress_25/result.json</x:v>
      </x:c>
      <x:c r="O1165" s="25" t="str">
        <x:v>Feedback-Directed Random Test Generation/Result_Round2/Compress_25/result.json</x:v>
      </x:c>
      <x:c r="P1165"/>
      <x:c r="Q1165" s="21" t="str"/>
      <x:c r="R1165" s="21" t="str"/>
      <x:c r="S1165" s="21" t="str"/>
      <x:c r="T1165" s="17" t="str">
        <x:v>false</x:v>
      </x:c>
      <x:c r="U1165" s="17" t="str">
        <x:v>true</x:v>
      </x:c>
      <x:c r="V1165" s="17" t="str">
        <x:v>false</x:v>
      </x:c>
    </x:row>
    <x:row r="1166" ht="80" customHeight="1">
      <x:c r="A1166" s="25" t="str">
        <x:v>Compress</x:v>
      </x:c>
      <x:c r="B1166" s="25" t="n">
        <x:v>26</x:v>
      </x:c>
      <x:c r="C1166" s="25" t="str">
        <x:v>Round2</x:v>
      </x:c>
      <x:c r="D1166" s="25" t="str">
        <x:v>NOT_REVEALING</x:v>
      </x:c>
      <x:c r="E1166" s="25" t="str">
        <x:v>N/A</x:v>
      </x:c>
      <x:c r="F1166" s="26" t="str">
        <x:v>Same saved validation suite passed on buggy and fixed</x:v>
      </x:c>
      <x:c r="G1166" s="25" t="str">
        <x:v>true</x:v>
      </x:c>
      <x:c r="H1166" s="25" t="str">
        <x:v>NOT_REVEALING</x:v>
      </x:c>
      <x:c r="I1166" s="25" t="str">
        <x:v>PASS</x:v>
      </x:c>
      <x:c r="J1166" s="25" t="str">
        <x:v>PASS</x:v>
      </x:c>
      <x:c r="K1166" s="25" t="n">
        <x:v>12</x:v>
      </x:c>
      <x:c r="L1166" s="27" t="b">
        <x:v>0</x:v>
      </x:c>
      <x:c r="M1166" s="25" t="str">
        <x:v>Feedback-Directed Random Test Generation/rounds/Round2/state/Compress.json</x:v>
      </x:c>
      <x:c r="N1166" s="25" t="str">
        <x:v>Feedback-Directed Random Test Generation/Result_Round2/Compress_26/result.json</x:v>
      </x:c>
      <x:c r="O1166" s="25" t="str">
        <x:v>Feedback-Directed Random Test Generation/Result_Round2/Compress_26/result.json</x:v>
      </x:c>
      <x:c r="P1166"/>
      <x:c r="Q1166" s="21" t="str"/>
      <x:c r="R1166" s="21" t="str"/>
      <x:c r="S1166" s="21" t="str"/>
      <x:c r="T1166" s="17" t="str">
        <x:v>false</x:v>
      </x:c>
      <x:c r="U1166" s="17" t="str">
        <x:v>true</x:v>
      </x:c>
      <x:c r="V1166" s="17" t="str">
        <x:v>false</x:v>
      </x:c>
    </x:row>
    <x:row r="1167" ht="80" customHeight="1">
      <x:c r="A1167" s="25" t="str">
        <x:v>Compress</x:v>
      </x:c>
      <x:c r="B1167" s="25" t="n">
        <x:v>27</x:v>
      </x:c>
      <x:c r="C1167" s="25" t="str">
        <x:v>Round2</x:v>
      </x:c>
      <x:c r="D1167" s="25" t="str">
        <x:v>NOT_REVEALING</x:v>
      </x:c>
      <x:c r="E1167" s="25" t="str">
        <x:v>N/A</x:v>
      </x:c>
      <x:c r="F1167" s="26" t="str">
        <x:v>Same saved validation suite passed on buggy and fixed</x:v>
      </x:c>
      <x:c r="G1167" s="25" t="str">
        <x:v>true</x:v>
      </x:c>
      <x:c r="H1167" s="25" t="str">
        <x:v>NOT_REVEALING</x:v>
      </x:c>
      <x:c r="I1167" s="25" t="str">
        <x:v>PASS</x:v>
      </x:c>
      <x:c r="J1167" s="25" t="str">
        <x:v>PASS</x:v>
      </x:c>
      <x:c r="K1167" s="25" t="n">
        <x:v>15</x:v>
      </x:c>
      <x:c r="L1167" s="27" t="b">
        <x:v>0</x:v>
      </x:c>
      <x:c r="M1167" s="25" t="str">
        <x:v>Feedback-Directed Random Test Generation/rounds/Round2/state/Compress.json</x:v>
      </x:c>
      <x:c r="N1167" s="25" t="str">
        <x:v>Feedback-Directed Random Test Generation/Result_Round2/Compress_27/result.json</x:v>
      </x:c>
      <x:c r="O1167" s="25" t="str">
        <x:v>Feedback-Directed Random Test Generation/Result_Round2/Compress_27/result.json</x:v>
      </x:c>
      <x:c r="P1167"/>
      <x:c r="Q1167" s="21" t="str"/>
      <x:c r="R1167" s="21" t="str"/>
      <x:c r="S1167" s="21" t="str"/>
      <x:c r="T1167" s="17" t="str">
        <x:v>false</x:v>
      </x:c>
      <x:c r="U1167" s="17" t="str">
        <x:v>true</x:v>
      </x:c>
      <x:c r="V1167" s="17" t="str">
        <x:v>false</x:v>
      </x:c>
    </x:row>
    <x:row r="1168" ht="80" customHeight="1">
      <x:c r="A1168" s="25" t="str">
        <x:v>Compress</x:v>
      </x:c>
      <x:c r="B1168" s="25" t="n">
        <x:v>28</x:v>
      </x:c>
      <x:c r="C1168" s="25" t="str">
        <x:v>Round2</x:v>
      </x:c>
      <x:c r="D1168" s="25" t="str">
        <x:v>NOT_REVEALING</x:v>
      </x:c>
      <x:c r="E1168" s="25" t="str">
        <x:v>N/A</x:v>
      </x:c>
      <x:c r="F1168" s="26" t="str">
        <x:v>Same saved validation suite passed on buggy and fixed</x:v>
      </x:c>
      <x:c r="G1168" s="25" t="str">
        <x:v>true</x:v>
      </x:c>
      <x:c r="H1168" s="25" t="str">
        <x:v>NOT_REVEALING</x:v>
      </x:c>
      <x:c r="I1168" s="25" t="str">
        <x:v>PASS</x:v>
      </x:c>
      <x:c r="J1168" s="25" t="str">
        <x:v>PASS</x:v>
      </x:c>
      <x:c r="K1168" s="25" t="n">
        <x:v>10</x:v>
      </x:c>
      <x:c r="L1168" s="27" t="b">
        <x:v>0</x:v>
      </x:c>
      <x:c r="M1168" s="25" t="str">
        <x:v>Feedback-Directed Random Test Generation/rounds/Round2/state/Compress.json</x:v>
      </x:c>
      <x:c r="N1168" s="25" t="str">
        <x:v>Feedback-Directed Random Test Generation/Result_Round2/Compress_28/result.json</x:v>
      </x:c>
      <x:c r="O1168" s="25" t="str">
        <x:v>Feedback-Directed Random Test Generation/Result_Round2/Compress_28/result.json</x:v>
      </x:c>
      <x:c r="P1168"/>
      <x:c r="Q1168" s="21" t="str"/>
      <x:c r="R1168" s="21" t="str"/>
      <x:c r="S1168" s="21" t="str"/>
      <x:c r="T1168" s="17" t="str">
        <x:v>false</x:v>
      </x:c>
      <x:c r="U1168" s="17" t="str">
        <x:v>true</x:v>
      </x:c>
      <x:c r="V1168" s="17" t="str">
        <x:v>false</x:v>
      </x:c>
    </x:row>
    <x:row r="1169" ht="80" customHeight="1">
      <x:c r="A1169" s="25" t="str">
        <x:v>Compress</x:v>
      </x:c>
      <x:c r="B1169" s="25" t="n">
        <x:v>29</x:v>
      </x:c>
      <x:c r="C1169" s="25" t="str">
        <x:v>Round2</x:v>
      </x:c>
      <x:c r="D1169" s="25" t="str">
        <x:v>NOT_REVEALING</x:v>
      </x:c>
      <x:c r="E1169" s="25" t="str">
        <x:v>N/A</x:v>
      </x:c>
      <x:c r="F1169" s="26" t="str">
        <x:v>Same saved validation suite passed on buggy and fixed</x:v>
      </x:c>
      <x:c r="G1169" s="25" t="str">
        <x:v>true</x:v>
      </x:c>
      <x:c r="H1169" s="25" t="str">
        <x:v>NOT_REVEALING</x:v>
      </x:c>
      <x:c r="I1169" s="25" t="str">
        <x:v>PASS</x:v>
      </x:c>
      <x:c r="J1169" s="25" t="str">
        <x:v>PASS</x:v>
      </x:c>
      <x:c r="K1169" s="25" t="n">
        <x:v>12</x:v>
      </x:c>
      <x:c r="L1169" s="27" t="b">
        <x:v>0</x:v>
      </x:c>
      <x:c r="M1169" s="25" t="str">
        <x:v>Feedback-Directed Random Test Generation/rounds/Round2/state/Compress.json</x:v>
      </x:c>
      <x:c r="N1169" s="25" t="str">
        <x:v>Feedback-Directed Random Test Generation/Result_Round2/Compress_29/result.json</x:v>
      </x:c>
      <x:c r="O1169" s="25" t="str">
        <x:v>Feedback-Directed Random Test Generation/Result_Round2/Compress_29/result.json</x:v>
      </x:c>
      <x:c r="P1169"/>
      <x:c r="Q1169" s="21" t="str"/>
      <x:c r="R1169" s="21" t="str"/>
      <x:c r="S1169" s="21" t="str"/>
      <x:c r="T1169" s="17" t="str">
        <x:v>false</x:v>
      </x:c>
      <x:c r="U1169" s="17" t="str">
        <x:v>true</x:v>
      </x:c>
      <x:c r="V1169" s="17" t="str">
        <x:v>false</x:v>
      </x:c>
    </x:row>
    <x:row r="1170" ht="80" customHeight="1">
      <x:c r="A1170" s="25" t="str">
        <x:v>Compress</x:v>
      </x:c>
      <x:c r="B1170" s="25" t="n">
        <x:v>30</x:v>
      </x:c>
      <x:c r="C1170" s="25" t="str">
        <x:v>Round2</x:v>
      </x:c>
      <x:c r="D1170" s="25" t="str">
        <x:v>NOT_REVEALING</x:v>
      </x:c>
      <x:c r="E1170" s="25" t="str">
        <x:v>N/A</x:v>
      </x:c>
      <x:c r="F1170" s="26" t="str">
        <x:v>Same saved validation suite passed on buggy and fixed</x:v>
      </x:c>
      <x:c r="G1170" s="25" t="str">
        <x:v>true</x:v>
      </x:c>
      <x:c r="H1170" s="25" t="str">
        <x:v>NOT_REVEALING</x:v>
      </x:c>
      <x:c r="I1170" s="25" t="str">
        <x:v>PASS</x:v>
      </x:c>
      <x:c r="J1170" s="25" t="str">
        <x:v>PASS</x:v>
      </x:c>
      <x:c r="K1170" s="25" t="n">
        <x:v>14</x:v>
      </x:c>
      <x:c r="L1170" s="27" t="b">
        <x:v>0</x:v>
      </x:c>
      <x:c r="M1170" s="25" t="str">
        <x:v>Feedback-Directed Random Test Generation/rounds/Round2/state/Compress.json</x:v>
      </x:c>
      <x:c r="N1170" s="25" t="str">
        <x:v>Feedback-Directed Random Test Generation/Result_Round2/Compress_30/result.json</x:v>
      </x:c>
      <x:c r="O1170" s="25" t="str">
        <x:v>Feedback-Directed Random Test Generation/Result_Round2/Compress_30/result.json</x:v>
      </x:c>
      <x:c r="P1170"/>
      <x:c r="Q1170" s="21" t="str"/>
      <x:c r="R1170" s="21" t="str"/>
      <x:c r="S1170" s="21" t="str"/>
      <x:c r="T1170" s="17" t="str">
        <x:v>false</x:v>
      </x:c>
      <x:c r="U1170" s="17" t="str">
        <x:v>true</x:v>
      </x:c>
      <x:c r="V1170" s="17" t="str">
        <x:v>false</x:v>
      </x:c>
    </x:row>
    <x:row r="1171" ht="80" customHeight="1">
      <x:c r="A1171" s="25" t="str">
        <x:v>Compress</x:v>
      </x:c>
      <x:c r="B1171" s="25" t="n">
        <x:v>31</x:v>
      </x:c>
      <x:c r="C1171" s="25" t="str">
        <x:v>Round2</x:v>
      </x:c>
      <x:c r="D1171" s="25" t="str">
        <x:v>NOT_REVEALING</x:v>
      </x:c>
      <x:c r="E1171" s="25" t="str">
        <x:v>N/A</x:v>
      </x:c>
      <x:c r="F1171" s="26" t="str">
        <x:v>Same saved validation suite passed on buggy and fixed</x:v>
      </x:c>
      <x:c r="G1171" s="25" t="str">
        <x:v>true</x:v>
      </x:c>
      <x:c r="H1171" s="25" t="str">
        <x:v>NOT_REVEALING</x:v>
      </x:c>
      <x:c r="I1171" s="25" t="str">
        <x:v>PASS</x:v>
      </x:c>
      <x:c r="J1171" s="25" t="str">
        <x:v>PASS</x:v>
      </x:c>
      <x:c r="K1171" s="25" t="n">
        <x:v>11</x:v>
      </x:c>
      <x:c r="L1171" s="27" t="b">
        <x:v>0</x:v>
      </x:c>
      <x:c r="M1171" s="25" t="str">
        <x:v>Feedback-Directed Random Test Generation/rounds/Round2/state/Compress.json</x:v>
      </x:c>
      <x:c r="N1171" s="25" t="str">
        <x:v>Feedback-Directed Random Test Generation/Result_Round2/Compress_31/result.json</x:v>
      </x:c>
      <x:c r="O1171" s="25" t="str">
        <x:v>Feedback-Directed Random Test Generation/Result_Round2/Compress_31/result.json</x:v>
      </x:c>
      <x:c r="P1171"/>
      <x:c r="Q1171" s="21" t="str"/>
      <x:c r="R1171" s="21" t="str"/>
      <x:c r="S1171" s="21" t="str"/>
      <x:c r="T1171" s="17" t="str">
        <x:v>false</x:v>
      </x:c>
      <x:c r="U1171" s="17" t="str">
        <x:v>true</x:v>
      </x:c>
      <x:c r="V1171" s="17" t="str">
        <x:v>false</x:v>
      </x:c>
    </x:row>
    <x:row r="1172" ht="80" customHeight="1">
      <x:c r="A1172" s="25" t="str">
        <x:v>Compress</x:v>
      </x:c>
      <x:c r="B1172" s="25" t="n">
        <x:v>32</x:v>
      </x:c>
      <x:c r="C1172" s="25" t="str">
        <x:v>Round2</x:v>
      </x:c>
      <x:c r="D1172" s="25" t="str">
        <x:v>NOT_REVEALING</x:v>
      </x:c>
      <x:c r="E1172" s="25" t="str">
        <x:v>N/A</x:v>
      </x:c>
      <x:c r="F1172" s="26" t="str">
        <x:v>Same saved validation suite passed on buggy and fixed</x:v>
      </x:c>
      <x:c r="G1172" s="25" t="str">
        <x:v>true</x:v>
      </x:c>
      <x:c r="H1172" s="25" t="str">
        <x:v>NOT_REVEALING</x:v>
      </x:c>
      <x:c r="I1172" s="25" t="str">
        <x:v>PASS</x:v>
      </x:c>
      <x:c r="J1172" s="25" t="str">
        <x:v>PASS</x:v>
      </x:c>
      <x:c r="K1172" s="25" t="n">
        <x:v>12</x:v>
      </x:c>
      <x:c r="L1172" s="27" t="b">
        <x:v>0</x:v>
      </x:c>
      <x:c r="M1172" s="25" t="str">
        <x:v>Feedback-Directed Random Test Generation/rounds/Round2/state/Compress.json</x:v>
      </x:c>
      <x:c r="N1172" s="25" t="str">
        <x:v>Feedback-Directed Random Test Generation/Result_Round2/Compress_32/result.json</x:v>
      </x:c>
      <x:c r="O1172" s="25" t="str">
        <x:v>Feedback-Directed Random Test Generation/Result_Round2/Compress_32/result.json</x:v>
      </x:c>
      <x:c r="P1172"/>
      <x:c r="Q1172" s="21" t="str"/>
      <x:c r="R1172" s="21" t="str"/>
      <x:c r="S1172" s="21" t="str"/>
      <x:c r="T1172" s="17" t="str">
        <x:v>false</x:v>
      </x:c>
      <x:c r="U1172" s="17" t="str">
        <x:v>true</x:v>
      </x:c>
      <x:c r="V1172" s="17" t="str">
        <x:v>false</x:v>
      </x:c>
    </x:row>
    <x:row r="1173" ht="80" customHeight="1">
      <x:c r="A1173" s="25" t="str">
        <x:v>Compress</x:v>
      </x:c>
      <x:c r="B1173" s="25" t="n">
        <x:v>33</x:v>
      </x:c>
      <x:c r="C1173" s="25" t="str">
        <x:v>Round2</x:v>
      </x:c>
      <x:c r="D1173" s="25" t="str">
        <x:v>NOT_REVEALING</x:v>
      </x:c>
      <x:c r="E1173" s="25" t="str">
        <x:v>N/A</x:v>
      </x:c>
      <x:c r="F1173" s="26" t="str">
        <x:v>Same saved validation suite passed on buggy and fixed</x:v>
      </x:c>
      <x:c r="G1173" s="25" t="str">
        <x:v>true</x:v>
      </x:c>
      <x:c r="H1173" s="25" t="str">
        <x:v>NOT_REVEALING</x:v>
      </x:c>
      <x:c r="I1173" s="25" t="str">
        <x:v>PASS</x:v>
      </x:c>
      <x:c r="J1173" s="25" t="str">
        <x:v>PASS</x:v>
      </x:c>
      <x:c r="K1173" s="25" t="n">
        <x:v>14</x:v>
      </x:c>
      <x:c r="L1173" s="27" t="b">
        <x:v>0</x:v>
      </x:c>
      <x:c r="M1173" s="25" t="str">
        <x:v>Feedback-Directed Random Test Generation/rounds/Round2/state/Compress.json</x:v>
      </x:c>
      <x:c r="N1173" s="25" t="str">
        <x:v>Feedback-Directed Random Test Generation/Result_Round2/Compress_33/result.json</x:v>
      </x:c>
      <x:c r="O1173" s="25" t="str">
        <x:v>Feedback-Directed Random Test Generation/Result_Round2/Compress_33/result.json</x:v>
      </x:c>
      <x:c r="P1173"/>
      <x:c r="Q1173" s="21" t="str"/>
      <x:c r="R1173" s="21" t="str"/>
      <x:c r="S1173" s="21" t="str"/>
      <x:c r="T1173" s="17" t="str">
        <x:v>false</x:v>
      </x:c>
      <x:c r="U1173" s="17" t="str">
        <x:v>true</x:v>
      </x:c>
      <x:c r="V1173" s="17" t="str">
        <x:v>false</x:v>
      </x:c>
    </x:row>
    <x:row r="1174" ht="80" customHeight="1">
      <x:c r="A1174" s="25" t="str">
        <x:v>Compress</x:v>
      </x:c>
      <x:c r="B1174" s="25" t="n">
        <x:v>34</x:v>
      </x:c>
      <x:c r="C1174" s="25" t="str">
        <x:v>Round2</x:v>
      </x:c>
      <x:c r="D1174" s="25" t="str">
        <x:v>NOT_REVEALING</x:v>
      </x:c>
      <x:c r="E1174" s="25" t="str">
        <x:v>N/A</x:v>
      </x:c>
      <x:c r="F1174" s="26" t="str">
        <x:v>Same saved validation suite passed on buggy and fixed</x:v>
      </x:c>
      <x:c r="G1174" s="25" t="str">
        <x:v>true</x:v>
      </x:c>
      <x:c r="H1174" s="25" t="str">
        <x:v>NOT_REVEALING</x:v>
      </x:c>
      <x:c r="I1174" s="25" t="str">
        <x:v>PASS</x:v>
      </x:c>
      <x:c r="J1174" s="25" t="str">
        <x:v>PASS</x:v>
      </x:c>
      <x:c r="K1174" s="25" t="n">
        <x:v>7</x:v>
      </x:c>
      <x:c r="L1174" s="27" t="b">
        <x:v>0</x:v>
      </x:c>
      <x:c r="M1174" s="25" t="str">
        <x:v>Feedback-Directed Random Test Generation/rounds/Round2/state/Compress.json</x:v>
      </x:c>
      <x:c r="N1174" s="25" t="str">
        <x:v>Feedback-Directed Random Test Generation/Result_Round2/Compress_34/result.json</x:v>
      </x:c>
      <x:c r="O1174" s="25" t="str">
        <x:v>Feedback-Directed Random Test Generation/Result_Round2/Compress_34/result.json</x:v>
      </x:c>
      <x:c r="P1174"/>
      <x:c r="Q1174" s="21" t="str"/>
      <x:c r="R1174" s="21" t="str"/>
      <x:c r="S1174" s="21" t="str"/>
      <x:c r="T1174" s="17" t="str">
        <x:v>false</x:v>
      </x:c>
      <x:c r="U1174" s="17" t="str">
        <x:v>true</x:v>
      </x:c>
      <x:c r="V1174" s="17" t="str">
        <x:v>false</x:v>
      </x:c>
    </x:row>
    <x:row r="1175" ht="80" customHeight="1">
      <x:c r="A1175" s="25" t="str">
        <x:v>Compress</x:v>
      </x:c>
      <x:c r="B1175" s="25" t="n">
        <x:v>35</x:v>
      </x:c>
      <x:c r="C1175" s="25" t="str">
        <x:v>Round2</x:v>
      </x:c>
      <x:c r="D1175" s="25" t="str">
        <x:v>INCONCLUSIVE</x:v>
      </x:c>
      <x:c r="E1175" s="25" t="str">
        <x:v>N/A</x:v>
      </x:c>
      <x:c r="F1175" s="26" t="str">
        <x:v>Fixed also failed; assertion failure cannot be attributed to this bug</x:v>
      </x:c>
      <x:c r="G1175" s="25" t="str">
        <x:v>true</x:v>
      </x:c>
      <x:c r="H1175" s="25" t="str">
        <x:v>INCONCLUSIVE</x:v>
      </x:c>
      <x:c r="I1175" s="25" t="str">
        <x:v>PASS</x:v>
      </x:c>
      <x:c r="J1175" s="25" t="str">
        <x:v>FAIL</x:v>
      </x:c>
      <x:c r="K1175" s="25" t="n">
        <x:v>12</x:v>
      </x:c>
      <x:c r="L1175" s="27" t="b">
        <x:v>0</x:v>
      </x:c>
      <x:c r="M1175" s="25" t="str">
        <x:v>Feedback-Directed Random Test Generation/rounds/Round2/state/Compress.json</x:v>
      </x:c>
      <x:c r="N1175" s="25" t="str">
        <x:v>Feedback-Directed Random Test Generation/Result_Round2/Compress_35/result.json</x:v>
      </x:c>
      <x:c r="O1175" s="25" t="str">
        <x:v>Feedback-Directed Random Test Generation/Result_Round2/Compress_35/result.json</x:v>
      </x:c>
      <x:c r="P1175"/>
      <x:c r="Q1175" s="21" t="str"/>
      <x:c r="R1175" s="21" t="str"/>
      <x:c r="S1175" s="21" t="str"/>
      <x:c r="T1175" s="17" t="str">
        <x:v>false</x:v>
      </x:c>
      <x:c r="U1175" s="17" t="str">
        <x:v>true</x:v>
      </x:c>
      <x:c r="V1175" s="17" t="str">
        <x:v>false</x:v>
      </x:c>
    </x:row>
    <x:row r="1176" ht="80" customHeight="1">
      <x:c r="A1176" s="25" t="str">
        <x:v>Compress</x:v>
      </x:c>
      <x:c r="B1176" s="25" t="n">
        <x:v>36</x:v>
      </x:c>
      <x:c r="C1176" s="25" t="str">
        <x:v>Round2</x:v>
      </x:c>
      <x:c r="D1176" s="25" t="str">
        <x:v>NOT_REVEALING</x:v>
      </x:c>
      <x:c r="E1176" s="25" t="str">
        <x:v>N/A</x:v>
      </x:c>
      <x:c r="F1176" s="26" t="str">
        <x:v>Same saved validation suite passed on buggy and fixed</x:v>
      </x:c>
      <x:c r="G1176" s="25" t="str">
        <x:v>true</x:v>
      </x:c>
      <x:c r="H1176" s="25" t="str">
        <x:v>NOT_REVEALING</x:v>
      </x:c>
      <x:c r="I1176" s="25" t="str">
        <x:v>PASS</x:v>
      </x:c>
      <x:c r="J1176" s="25" t="str">
        <x:v>PASS</x:v>
      </x:c>
      <x:c r="K1176" s="25" t="n">
        <x:v>14</x:v>
      </x:c>
      <x:c r="L1176" s="27" t="b">
        <x:v>0</x:v>
      </x:c>
      <x:c r="M1176" s="25" t="str">
        <x:v>Feedback-Directed Random Test Generation/rounds/Round2/state/Compress.json</x:v>
      </x:c>
      <x:c r="N1176" s="25" t="str">
        <x:v>Feedback-Directed Random Test Generation/Result_Round2/Compress_36/result.json</x:v>
      </x:c>
      <x:c r="O1176" s="25" t="str">
        <x:v>Feedback-Directed Random Test Generation/Result_Round2/Compress_36/result.json</x:v>
      </x:c>
      <x:c r="P1176"/>
      <x:c r="Q1176" s="21" t="str"/>
      <x:c r="R1176" s="21" t="str"/>
      <x:c r="S1176" s="21" t="str"/>
      <x:c r="T1176" s="17" t="str">
        <x:v>false</x:v>
      </x:c>
      <x:c r="U1176" s="17" t="str">
        <x:v>true</x:v>
      </x:c>
      <x:c r="V1176" s="17" t="str">
        <x:v>false</x:v>
      </x:c>
    </x:row>
    <x:row r="1177" ht="80" customHeight="1">
      <x:c r="A1177" s="25" t="str">
        <x:v>Compress</x:v>
      </x:c>
      <x:c r="B1177" s="25" t="n">
        <x:v>37</x:v>
      </x:c>
      <x:c r="C1177" s="25" t="str">
        <x:v>Round2</x:v>
      </x:c>
      <x:c r="D1177" s="25" t="str">
        <x:v>NOT_REVEALING</x:v>
      </x:c>
      <x:c r="E1177" s="25" t="str">
        <x:v>N/A</x:v>
      </x:c>
      <x:c r="F1177" s="26" t="str">
        <x:v>Same saved validation suite passed on buggy and fixed</x:v>
      </x:c>
      <x:c r="G1177" s="25" t="str">
        <x:v>true</x:v>
      </x:c>
      <x:c r="H1177" s="25" t="str">
        <x:v>NOT_REVEALING</x:v>
      </x:c>
      <x:c r="I1177" s="25" t="str">
        <x:v>PASS</x:v>
      </x:c>
      <x:c r="J1177" s="25" t="str">
        <x:v>PASS</x:v>
      </x:c>
      <x:c r="K1177" s="25" t="n">
        <x:v>12</x:v>
      </x:c>
      <x:c r="L1177" s="27" t="b">
        <x:v>0</x:v>
      </x:c>
      <x:c r="M1177" s="25" t="str">
        <x:v>Feedback-Directed Random Test Generation/rounds/Round2/state/Compress.json</x:v>
      </x:c>
      <x:c r="N1177" s="25" t="str">
        <x:v>Feedback-Directed Random Test Generation/Result_Round2/Compress_37/result.json</x:v>
      </x:c>
      <x:c r="O1177" s="25" t="str">
        <x:v>Feedback-Directed Random Test Generation/Result_Round2/Compress_37/result.json</x:v>
      </x:c>
      <x:c r="P1177"/>
      <x:c r="Q1177" s="21" t="str"/>
      <x:c r="R1177" s="21" t="str"/>
      <x:c r="S1177" s="21" t="str"/>
      <x:c r="T1177" s="17" t="str">
        <x:v>false</x:v>
      </x:c>
      <x:c r="U1177" s="17" t="str">
        <x:v>true</x:v>
      </x:c>
      <x:c r="V1177" s="17" t="str">
        <x:v>false</x:v>
      </x:c>
    </x:row>
    <x:row r="1178" ht="80" customHeight="1">
      <x:c r="A1178" s="25" t="str">
        <x:v>Compress</x:v>
      </x:c>
      <x:c r="B1178" s="25" t="n">
        <x:v>38</x:v>
      </x:c>
      <x:c r="C1178" s="25" t="str">
        <x:v>Round2</x:v>
      </x:c>
      <x:c r="D1178" s="25" t="str">
        <x:v>INCONCLUSIVE</x:v>
      </x:c>
      <x:c r="E1178" s="25" t="str">
        <x:v>N/A</x:v>
      </x:c>
      <x:c r="F1178" s="26" t="str">
        <x:v>Fixed also failed; assertion failure cannot be attributed to this bug; Assertions failed with measured coverage; paired execution and stage checks determine status</x:v>
      </x:c>
      <x:c r="G1178" s="25" t="str">
        <x:v>true</x:v>
      </x:c>
      <x:c r="H1178" s="25" t="str">
        <x:v>INCONCLUSIVE</x:v>
      </x:c>
      <x:c r="I1178" s="25" t="str">
        <x:v>FAIL</x:v>
      </x:c>
      <x:c r="J1178" s="25" t="str">
        <x:v>FAIL</x:v>
      </x:c>
      <x:c r="K1178" s="25" t="n">
        <x:v>13</x:v>
      </x:c>
      <x:c r="L1178" s="27" t="b">
        <x:v>0</x:v>
      </x:c>
      <x:c r="M1178" s="25" t="str">
        <x:v>Feedback-Directed Random Test Generation/rounds/Round2/state/Compress.json</x:v>
      </x:c>
      <x:c r="N1178" s="25" t="str">
        <x:v>Feedback-Directed Random Test Generation/Result_Round2/Compress_38/result.json</x:v>
      </x:c>
      <x:c r="O1178" s="25" t="str">
        <x:v>Feedback-Directed Random Test Generation/Result_Round2/Compress_38/result.json</x:v>
      </x:c>
      <x:c r="P1178"/>
      <x:c r="Q1178" s="21" t="str"/>
      <x:c r="R1178" s="21" t="str"/>
      <x:c r="S1178" s="21" t="str"/>
      <x:c r="T1178" s="17" t="str">
        <x:v>false</x:v>
      </x:c>
      <x:c r="U1178" s="17" t="str">
        <x:v>true</x:v>
      </x:c>
      <x:c r="V1178" s="17" t="str">
        <x:v>false</x:v>
      </x:c>
    </x:row>
    <x:row r="1179" ht="80" customHeight="1">
      <x:c r="A1179" s="25" t="str">
        <x:v>Compress</x:v>
      </x:c>
      <x:c r="B1179" s="25" t="n">
        <x:v>39</x:v>
      </x:c>
      <x:c r="C1179" s="25" t="str">
        <x:v>Round2</x:v>
      </x:c>
      <x:c r="D1179" s="25" t="str">
        <x:v>NOT_REVEALING</x:v>
      </x:c>
      <x:c r="E1179" s="25" t="str">
        <x:v>N/A</x:v>
      </x:c>
      <x:c r="F1179" s="26" t="str">
        <x:v>Same saved validation suite passed on buggy and fixed</x:v>
      </x:c>
      <x:c r="G1179" s="25" t="str">
        <x:v>true</x:v>
      </x:c>
      <x:c r="H1179" s="25" t="str">
        <x:v>NOT_REVEALING</x:v>
      </x:c>
      <x:c r="I1179" s="25" t="str">
        <x:v>PASS</x:v>
      </x:c>
      <x:c r="J1179" s="25" t="str">
        <x:v>PASS</x:v>
      </x:c>
      <x:c r="K1179" s="25" t="n">
        <x:v>8</x:v>
      </x:c>
      <x:c r="L1179" s="27" t="b">
        <x:v>0</x:v>
      </x:c>
      <x:c r="M1179" s="25" t="str">
        <x:v>Feedback-Directed Random Test Generation/rounds/Round2/state/Compress.json</x:v>
      </x:c>
      <x:c r="N1179" s="25" t="str">
        <x:v>Feedback-Directed Random Test Generation/Result_Round2/Compress_39/result.json</x:v>
      </x:c>
      <x:c r="O1179" s="25" t="str">
        <x:v>Feedback-Directed Random Test Generation/Result_Round2/Compress_39/result.json</x:v>
      </x:c>
      <x:c r="P1179"/>
      <x:c r="Q1179" s="21" t="str"/>
      <x:c r="R1179" s="21" t="str"/>
      <x:c r="S1179" s="21" t="str"/>
      <x:c r="T1179" s="17" t="str">
        <x:v>false</x:v>
      </x:c>
      <x:c r="U1179" s="17" t="str">
        <x:v>true</x:v>
      </x:c>
      <x:c r="V1179" s="17" t="str">
        <x:v>false</x:v>
      </x:c>
    </x:row>
    <x:row r="1180" ht="80" customHeight="1">
      <x:c r="A1180" s="25" t="str">
        <x:v>Compress</x:v>
      </x:c>
      <x:c r="B1180" s="25" t="n">
        <x:v>40</x:v>
      </x:c>
      <x:c r="C1180" s="25" t="str">
        <x:v>Round2</x:v>
      </x:c>
      <x:c r="D1180" s="25" t="str">
        <x:v>NOT_REVEALING</x:v>
      </x:c>
      <x:c r="E1180" s="25" t="str">
        <x:v>N/A</x:v>
      </x:c>
      <x:c r="F1180" s="26" t="str">
        <x:v>Same saved validation suite passed on buggy and fixed</x:v>
      </x:c>
      <x:c r="G1180" s="25" t="str">
        <x:v>true</x:v>
      </x:c>
      <x:c r="H1180" s="25" t="str">
        <x:v>NOT_REVEALING</x:v>
      </x:c>
      <x:c r="I1180" s="25" t="str">
        <x:v>PASS</x:v>
      </x:c>
      <x:c r="J1180" s="25" t="str">
        <x:v>PASS</x:v>
      </x:c>
      <x:c r="K1180" s="25" t="n">
        <x:v>17</x:v>
      </x:c>
      <x:c r="L1180" s="27" t="b">
        <x:v>0</x:v>
      </x:c>
      <x:c r="M1180" s="25" t="str">
        <x:v>Feedback-Directed Random Test Generation/rounds/Round2/state/Compress.json</x:v>
      </x:c>
      <x:c r="N1180" s="25" t="str">
        <x:v>Feedback-Directed Random Test Generation/Result_Round2/Compress_40/result.json</x:v>
      </x:c>
      <x:c r="O1180" s="25" t="str">
        <x:v>Feedback-Directed Random Test Generation/Result_Round2/Compress_40/result.json</x:v>
      </x:c>
      <x:c r="P1180"/>
      <x:c r="Q1180" s="21" t="str"/>
      <x:c r="R1180" s="21" t="str"/>
      <x:c r="S1180" s="21" t="str"/>
      <x:c r="T1180" s="17" t="str">
        <x:v>false</x:v>
      </x:c>
      <x:c r="U1180" s="17" t="str">
        <x:v>true</x:v>
      </x:c>
      <x:c r="V1180" s="17" t="str">
        <x:v>false</x:v>
      </x:c>
    </x:row>
    <x:row r="1181" ht="80" customHeight="1">
      <x:c r="A1181" s="25" t="str">
        <x:v>Compress</x:v>
      </x:c>
      <x:c r="B1181" s="25" t="n">
        <x:v>41</x:v>
      </x:c>
      <x:c r="C1181" s="25" t="str">
        <x:v>Round2</x:v>
      </x:c>
      <x:c r="D1181" s="25" t="str">
        <x:v>NOT_REVEALING</x:v>
      </x:c>
      <x:c r="E1181" s="25" t="str">
        <x:v>N/A</x:v>
      </x:c>
      <x:c r="F1181" s="26" t="str">
        <x:v>Same saved validation suite passed on buggy and fixed</x:v>
      </x:c>
      <x:c r="G1181" s="25" t="str">
        <x:v>true</x:v>
      </x:c>
      <x:c r="H1181" s="25" t="str">
        <x:v>NOT_REVEALING</x:v>
      </x:c>
      <x:c r="I1181" s="25" t="str">
        <x:v>PASS</x:v>
      </x:c>
      <x:c r="J1181" s="25" t="str">
        <x:v>PASS</x:v>
      </x:c>
      <x:c r="K1181" s="25" t="n">
        <x:v>10</x:v>
      </x:c>
      <x:c r="L1181" s="27" t="b">
        <x:v>0</x:v>
      </x:c>
      <x:c r="M1181" s="25" t="str">
        <x:v>Feedback-Directed Random Test Generation/rounds/Round2/state/Compress.json</x:v>
      </x:c>
      <x:c r="N1181" s="25" t="str">
        <x:v>Feedback-Directed Random Test Generation/Result_Round2/Compress_41/result.json</x:v>
      </x:c>
      <x:c r="O1181" s="25" t="str">
        <x:v>Feedback-Directed Random Test Generation/Result_Round2/Compress_41/result.json</x:v>
      </x:c>
      <x:c r="P1181"/>
      <x:c r="Q1181" s="21" t="str"/>
      <x:c r="R1181" s="21" t="str"/>
      <x:c r="S1181" s="21" t="str"/>
      <x:c r="T1181" s="17" t="str">
        <x:v>false</x:v>
      </x:c>
      <x:c r="U1181" s="17" t="str">
        <x:v>true</x:v>
      </x:c>
      <x:c r="V1181" s="17" t="str">
        <x:v>false</x:v>
      </x:c>
    </x:row>
    <x:row r="1182" ht="80" customHeight="1">
      <x:c r="A1182" s="25" t="str">
        <x:v>Compress</x:v>
      </x:c>
      <x:c r="B1182" s="25" t="n">
        <x:v>42</x:v>
      </x:c>
      <x:c r="C1182" s="25" t="str">
        <x:v>Round2</x:v>
      </x:c>
      <x:c r="D1182" s="25" t="str">
        <x:v>INCONCLUSIVE</x:v>
      </x:c>
      <x:c r="E1182" s="25" t="str">
        <x:v>N/A</x:v>
      </x:c>
      <x:c r="F1182" s="26" t="str">
        <x:v>Fixed also failed; assertion failure cannot be attributed to this bug; Assertions failed with measured coverage; paired execution and stage checks determine status</x:v>
      </x:c>
      <x:c r="G1182" s="25" t="str">
        <x:v>true</x:v>
      </x:c>
      <x:c r="H1182" s="25" t="str">
        <x:v>INCONCLUSIVE</x:v>
      </x:c>
      <x:c r="I1182" s="25" t="str">
        <x:v>FAIL</x:v>
      </x:c>
      <x:c r="J1182" s="25" t="str">
        <x:v>FAIL</x:v>
      </x:c>
      <x:c r="K1182" s="25" t="n">
        <x:v>9</x:v>
      </x:c>
      <x:c r="L1182" s="27" t="b">
        <x:v>0</x:v>
      </x:c>
      <x:c r="M1182" s="25" t="str">
        <x:v>Feedback-Directed Random Test Generation/rounds/Round2/state/Compress.json</x:v>
      </x:c>
      <x:c r="N1182" s="25" t="str">
        <x:v>Feedback-Directed Random Test Generation/Result_Round2/Compress_42/result.json</x:v>
      </x:c>
      <x:c r="O1182" s="25" t="str">
        <x:v>Feedback-Directed Random Test Generation/Result_Round2/Compress_42/result.json</x:v>
      </x:c>
      <x:c r="P1182"/>
      <x:c r="Q1182" s="21" t="str"/>
      <x:c r="R1182" s="21" t="str"/>
      <x:c r="S1182" s="21" t="str"/>
      <x:c r="T1182" s="17" t="str">
        <x:v>false</x:v>
      </x:c>
      <x:c r="U1182" s="17" t="str">
        <x:v>true</x:v>
      </x:c>
      <x:c r="V1182" s="17" t="str">
        <x:v>false</x:v>
      </x:c>
    </x:row>
    <x:row r="1183" ht="80" customHeight="1">
      <x:c r="A1183" s="25" t="str">
        <x:v>Compress</x:v>
      </x:c>
      <x:c r="B1183" s="25" t="n">
        <x:v>43</x:v>
      </x:c>
      <x:c r="C1183" s="25" t="str">
        <x:v>Round2</x:v>
      </x:c>
      <x:c r="D1183" s="25" t="str">
        <x:v>NOT_REVEALING</x:v>
      </x:c>
      <x:c r="E1183" s="25" t="str">
        <x:v>N/A</x:v>
      </x:c>
      <x:c r="F1183" s="26" t="str">
        <x:v>Same saved validation suite passed on buggy and fixed</x:v>
      </x:c>
      <x:c r="G1183" s="25" t="str">
        <x:v>true</x:v>
      </x:c>
      <x:c r="H1183" s="25" t="str">
        <x:v>NOT_REVEALING</x:v>
      </x:c>
      <x:c r="I1183" s="25" t="str">
        <x:v>PASS</x:v>
      </x:c>
      <x:c r="J1183" s="25" t="str">
        <x:v>PASS</x:v>
      </x:c>
      <x:c r="K1183" s="25" t="n">
        <x:v>13</x:v>
      </x:c>
      <x:c r="L1183" s="27" t="b">
        <x:v>0</x:v>
      </x:c>
      <x:c r="M1183" s="25" t="str">
        <x:v>Feedback-Directed Random Test Generation/rounds/Round2/state/Compress.json</x:v>
      </x:c>
      <x:c r="N1183" s="25" t="str">
        <x:v>Feedback-Directed Random Test Generation/Result_Round2/Compress_43/result.json</x:v>
      </x:c>
      <x:c r="O1183" s="25" t="str">
        <x:v>Feedback-Directed Random Test Generation/Result_Round2/Compress_43/result.json</x:v>
      </x:c>
      <x:c r="P1183"/>
      <x:c r="Q1183" s="21" t="str"/>
      <x:c r="R1183" s="21" t="str"/>
      <x:c r="S1183" s="21" t="str"/>
      <x:c r="T1183" s="17" t="str">
        <x:v>false</x:v>
      </x:c>
      <x:c r="U1183" s="17" t="str">
        <x:v>true</x:v>
      </x:c>
      <x:c r="V1183" s="17" t="str">
        <x:v>false</x:v>
      </x:c>
    </x:row>
    <x:row r="1184" ht="80" customHeight="1">
      <x:c r="A1184" s="25" t="str">
        <x:v>Compress</x:v>
      </x:c>
      <x:c r="B1184" s="25" t="n">
        <x:v>44</x:v>
      </x:c>
      <x:c r="C1184" s="25" t="str">
        <x:v>Round2</x:v>
      </x:c>
      <x:c r="D1184" s="25" t="str">
        <x:v>INCONCLUSIVE</x:v>
      </x:c>
      <x:c r="E1184" s="25" t="str">
        <x:v>N/A</x:v>
      </x:c>
      <x:c r="F1184" s="26" t="str">
        <x:v>Fixed also failed; assertion failure cannot be attributed to this bug</x:v>
      </x:c>
      <x:c r="G1184" s="25" t="str">
        <x:v>true</x:v>
      </x:c>
      <x:c r="H1184" s="25" t="str">
        <x:v>INCONCLUSIVE</x:v>
      </x:c>
      <x:c r="I1184" s="25" t="str">
        <x:v>PASS</x:v>
      </x:c>
      <x:c r="J1184" s="25" t="str">
        <x:v>FAIL</x:v>
      </x:c>
      <x:c r="K1184" s="25" t="n">
        <x:v>14</x:v>
      </x:c>
      <x:c r="L1184" s="27" t="b">
        <x:v>0</x:v>
      </x:c>
      <x:c r="M1184" s="25" t="str">
        <x:v>Feedback-Directed Random Test Generation/rounds/Round2/state/Compress.json</x:v>
      </x:c>
      <x:c r="N1184" s="25" t="str">
        <x:v>Feedback-Directed Random Test Generation/Result_Round2/Compress_44/result.json</x:v>
      </x:c>
      <x:c r="O1184" s="25" t="str">
        <x:v>Feedback-Directed Random Test Generation/Result_Round2/Compress_44/result.json</x:v>
      </x:c>
      <x:c r="P1184"/>
      <x:c r="Q1184" s="21" t="str"/>
      <x:c r="R1184" s="21" t="str"/>
      <x:c r="S1184" s="21" t="str"/>
      <x:c r="T1184" s="17" t="str">
        <x:v>false</x:v>
      </x:c>
      <x:c r="U1184" s="17" t="str">
        <x:v>true</x:v>
      </x:c>
      <x:c r="V1184" s="17" t="str">
        <x:v>false</x:v>
      </x:c>
    </x:row>
    <x:row r="1185" ht="80" customHeight="1">
      <x:c r="A1185" s="25" t="str">
        <x:v>Compress</x:v>
      </x:c>
      <x:c r="B1185" s="25" t="n">
        <x:v>45</x:v>
      </x:c>
      <x:c r="C1185" s="25" t="str">
        <x:v>Round2</x:v>
      </x:c>
      <x:c r="D1185" s="25" t="str">
        <x:v>INCONCLUSIVE</x:v>
      </x:c>
      <x:c r="E1185" s="25" t="str">
        <x:v>N/A</x:v>
      </x:c>
      <x:c r="F1185" s="26" t="str">
        <x:v>Fixed also failed; assertion failure cannot be attributed to this bug</x:v>
      </x:c>
      <x:c r="G1185" s="25" t="str">
        <x:v>true</x:v>
      </x:c>
      <x:c r="H1185" s="25" t="str">
        <x:v>INCONCLUSIVE</x:v>
      </x:c>
      <x:c r="I1185" s="25" t="str">
        <x:v>PASS</x:v>
      </x:c>
      <x:c r="J1185" s="25" t="str">
        <x:v>FAIL</x:v>
      </x:c>
      <x:c r="K1185" s="25" t="n">
        <x:v>12</x:v>
      </x:c>
      <x:c r="L1185" s="27" t="b">
        <x:v>0</x:v>
      </x:c>
      <x:c r="M1185" s="25" t="str">
        <x:v>Feedback-Directed Random Test Generation/rounds/Round2/state/Compress.json</x:v>
      </x:c>
      <x:c r="N1185" s="25" t="str">
        <x:v>Feedback-Directed Random Test Generation/Result_Round2/Compress_45/result.json</x:v>
      </x:c>
      <x:c r="O1185" s="25" t="str">
        <x:v>Feedback-Directed Random Test Generation/Result_Round2/Compress_45/result.json</x:v>
      </x:c>
      <x:c r="P1185"/>
      <x:c r="Q1185" s="21" t="str"/>
      <x:c r="R1185" s="21" t="str"/>
      <x:c r="S1185" s="21" t="str"/>
      <x:c r="T1185" s="17" t="str">
        <x:v>false</x:v>
      </x:c>
      <x:c r="U1185" s="17" t="str">
        <x:v>true</x:v>
      </x:c>
      <x:c r="V1185" s="17" t="str">
        <x:v>false</x:v>
      </x:c>
    </x:row>
    <x:row r="1186" ht="80" customHeight="1">
      <x:c r="A1186" s="25" t="str">
        <x:v>Compress</x:v>
      </x:c>
      <x:c r="B1186" s="25" t="n">
        <x:v>46</x:v>
      </x:c>
      <x:c r="C1186" s="25" t="str">
        <x:v>Round2</x:v>
      </x:c>
      <x:c r="D1186" s="25" t="str">
        <x:v>INCONCLUSIVE</x:v>
      </x:c>
      <x:c r="E1186" s="25" t="str">
        <x:v>N/A</x:v>
      </x:c>
      <x:c r="F1186" s="26" t="str">
        <x:v>Fixed also failed; assertion failure cannot be attributed to this bug; Assertions failed with measured coverage; paired execution and stage checks determine status</x:v>
      </x:c>
      <x:c r="G1186" s="25" t="str">
        <x:v>true</x:v>
      </x:c>
      <x:c r="H1186" s="25" t="str">
        <x:v>INCONCLUSIVE</x:v>
      </x:c>
      <x:c r="I1186" s="25" t="str">
        <x:v>FAIL</x:v>
      </x:c>
      <x:c r="J1186" s="25" t="str">
        <x:v>FAIL</x:v>
      </x:c>
      <x:c r="K1186" s="25" t="n">
        <x:v>9</x:v>
      </x:c>
      <x:c r="L1186" s="27" t="b">
        <x:v>0</x:v>
      </x:c>
      <x:c r="M1186" s="25" t="str">
        <x:v>Feedback-Directed Random Test Generation/rounds/Round2/state/Compress.json</x:v>
      </x:c>
      <x:c r="N1186" s="25" t="str">
        <x:v>Feedback-Directed Random Test Generation/Result_Round2/Compress_46/result.json</x:v>
      </x:c>
      <x:c r="O1186" s="25" t="str">
        <x:v>Feedback-Directed Random Test Generation/Result_Round2/Compress_46/result.json</x:v>
      </x:c>
      <x:c r="P1186"/>
      <x:c r="Q1186" s="21" t="str"/>
      <x:c r="R1186" s="21" t="str"/>
      <x:c r="S1186" s="21" t="str"/>
      <x:c r="T1186" s="17" t="str">
        <x:v>false</x:v>
      </x:c>
      <x:c r="U1186" s="17" t="str">
        <x:v>true</x:v>
      </x:c>
      <x:c r="V1186" s="17" t="str">
        <x:v>false</x:v>
      </x:c>
    </x:row>
    <x:row r="1187" ht="80" customHeight="1">
      <x:c r="A1187" s="25" t="str">
        <x:v>Compress</x:v>
      </x:c>
      <x:c r="B1187" s="25" t="n">
        <x:v>47</x:v>
      </x:c>
      <x:c r="C1187" s="25" t="str">
        <x:v>Round2</x:v>
      </x:c>
      <x:c r="D1187" s="25" t="str">
        <x:v>NOT_REVEALING</x:v>
      </x:c>
      <x:c r="E1187" s="25" t="str">
        <x:v>N/A</x:v>
      </x:c>
      <x:c r="F1187" s="26" t="str">
        <x:v>Same saved validation suite passed on buggy and fixed</x:v>
      </x:c>
      <x:c r="G1187" s="25" t="str">
        <x:v>true</x:v>
      </x:c>
      <x:c r="H1187" s="25" t="str">
        <x:v>NOT_REVEALING</x:v>
      </x:c>
      <x:c r="I1187" s="25" t="str">
        <x:v>PASS</x:v>
      </x:c>
      <x:c r="J1187" s="25" t="str">
        <x:v>PASS</x:v>
      </x:c>
      <x:c r="K1187" s="25" t="n">
        <x:v>11</x:v>
      </x:c>
      <x:c r="L1187" s="27" t="b">
        <x:v>0</x:v>
      </x:c>
      <x:c r="M1187" s="25" t="str">
        <x:v>Feedback-Directed Random Test Generation/rounds/Round2/state/Compress.json</x:v>
      </x:c>
      <x:c r="N1187" s="25" t="str">
        <x:v>Feedback-Directed Random Test Generation/Result_Round2/Compress_47/result.json</x:v>
      </x:c>
      <x:c r="O1187" s="25" t="str">
        <x:v>Feedback-Directed Random Test Generation/Result_Round2/Compress_47/result.json</x:v>
      </x:c>
      <x:c r="P1187"/>
      <x:c r="Q1187" s="21" t="str"/>
      <x:c r="R1187" s="21" t="str"/>
      <x:c r="S1187" s="21" t="str"/>
      <x:c r="T1187" s="17" t="str">
        <x:v>false</x:v>
      </x:c>
      <x:c r="U1187" s="17" t="str">
        <x:v>true</x:v>
      </x:c>
      <x:c r="V1187" s="17" t="str">
        <x:v>false</x:v>
      </x:c>
    </x:row>
    <x:row r="1188" ht="80" customHeight="1">
      <x:c r="A1188" s="25" t="str">
        <x:v>Csv</x:v>
      </x:c>
      <x:c r="B1188" s="25" t="n">
        <x:v>1</x:v>
      </x:c>
      <x:c r="C1188" s="25" t="str">
        <x:v>Round2</x:v>
      </x:c>
      <x:c r="D1188" s="25" t="str">
        <x:v>NOT_REVEALING</x:v>
      </x:c>
      <x:c r="E1188" s="25" t="str">
        <x:v>N/A</x:v>
      </x:c>
      <x:c r="F1188" s="26" t="str">
        <x:v>Same saved validation suite passed on buggy and fixed</x:v>
      </x:c>
      <x:c r="G1188" s="25" t="str">
        <x:v>true</x:v>
      </x:c>
      <x:c r="H1188" s="25" t="str">
        <x:v>NOT_REVEALING</x:v>
      </x:c>
      <x:c r="I1188" s="25" t="str">
        <x:v>PASS</x:v>
      </x:c>
      <x:c r="J1188" s="25" t="str">
        <x:v>PASS</x:v>
      </x:c>
      <x:c r="K1188" s="25" t="n">
        <x:v>11</x:v>
      </x:c>
      <x:c r="L1188" s="27" t="b">
        <x:v>0</x:v>
      </x:c>
      <x:c r="M1188" s="25" t="str">
        <x:v>Feedback-Directed Random Test Generation/rounds/Round2/state/Csv.json</x:v>
      </x:c>
      <x:c r="N1188" s="25" t="str">
        <x:v>Feedback-Directed Random Test Generation/Result_Round2/Csv_1/result.json</x:v>
      </x:c>
      <x:c r="O1188" s="25" t="str">
        <x:v>Feedback-Directed Random Test Generation/Result_Round2/Csv_1/result.json</x:v>
      </x:c>
      <x:c r="P1188"/>
      <x:c r="Q1188" s="21" t="str"/>
      <x:c r="R1188" s="21" t="str"/>
      <x:c r="S1188" s="21" t="str"/>
      <x:c r="T1188" s="17" t="str">
        <x:v>false</x:v>
      </x:c>
      <x:c r="U1188" s="17" t="str">
        <x:v>true</x:v>
      </x:c>
      <x:c r="V1188" s="17" t="str">
        <x:v>false</x:v>
      </x:c>
    </x:row>
    <x:row r="1189" ht="80" customHeight="1">
      <x:c r="A1189" s="25" t="str">
        <x:v>Csv</x:v>
      </x:c>
      <x:c r="B1189" s="25" t="n">
        <x:v>2</x:v>
      </x:c>
      <x:c r="C1189" s="25" t="str">
        <x:v>Round2</x:v>
      </x:c>
      <x:c r="D1189" s="25" t="str">
        <x:v>NOT_REVEALING</x:v>
      </x:c>
      <x:c r="E1189" s="25" t="str">
        <x:v>N/A</x:v>
      </x:c>
      <x:c r="F1189" s="26" t="str">
        <x:v>Same saved validation suite passed on buggy and fixed</x:v>
      </x:c>
      <x:c r="G1189" s="25" t="str">
        <x:v>true</x:v>
      </x:c>
      <x:c r="H1189" s="25" t="str">
        <x:v>NOT_REVEALING</x:v>
      </x:c>
      <x:c r="I1189" s="25" t="str">
        <x:v>PASS</x:v>
      </x:c>
      <x:c r="J1189" s="25" t="str">
        <x:v>PASS</x:v>
      </x:c>
      <x:c r="K1189" s="25" t="n">
        <x:v>11</x:v>
      </x:c>
      <x:c r="L1189" s="27" t="b">
        <x:v>0</x:v>
      </x:c>
      <x:c r="M1189" s="25" t="str">
        <x:v>Feedback-Directed Random Test Generation/rounds/Round2/state/Csv.json</x:v>
      </x:c>
      <x:c r="N1189" s="25" t="str">
        <x:v>Feedback-Directed Random Test Generation/Result_Round2/Csv_2/result.json</x:v>
      </x:c>
      <x:c r="O1189" s="25" t="str">
        <x:v>Feedback-Directed Random Test Generation/Result_Round2/Csv_2/result.json</x:v>
      </x:c>
      <x:c r="P1189"/>
      <x:c r="Q1189" s="21" t="str"/>
      <x:c r="R1189" s="21" t="str"/>
      <x:c r="S1189" s="21" t="str"/>
      <x:c r="T1189" s="17" t="str">
        <x:v>false</x:v>
      </x:c>
      <x:c r="U1189" s="17" t="str">
        <x:v>true</x:v>
      </x:c>
      <x:c r="V1189" s="17" t="str">
        <x:v>false</x:v>
      </x:c>
    </x:row>
    <x:row r="1190" ht="80" customHeight="1">
      <x:c r="A1190" s="25" t="str">
        <x:v>Csv</x:v>
      </x:c>
      <x:c r="B1190" s="25" t="n">
        <x:v>3</x:v>
      </x:c>
      <x:c r="C1190" s="25" t="str">
        <x:v>Round2</x:v>
      </x:c>
      <x:c r="D1190" s="25" t="str">
        <x:v>NOT_REVEALING</x:v>
      </x:c>
      <x:c r="E1190" s="25" t="str">
        <x:v>N/A</x:v>
      </x:c>
      <x:c r="F1190" s="26" t="str">
        <x:v>Same saved validation suite passed on buggy and fixed</x:v>
      </x:c>
      <x:c r="G1190" s="25" t="str">
        <x:v>true</x:v>
      </x:c>
      <x:c r="H1190" s="25" t="str">
        <x:v>NOT_REVEALING</x:v>
      </x:c>
      <x:c r="I1190" s="25" t="str">
        <x:v>PASS</x:v>
      </x:c>
      <x:c r="J1190" s="25" t="str">
        <x:v>PASS</x:v>
      </x:c>
      <x:c r="K1190" s="25" t="n">
        <x:v>2</x:v>
      </x:c>
      <x:c r="L1190" s="27" t="b">
        <x:v>0</x:v>
      </x:c>
      <x:c r="M1190" s="25" t="str">
        <x:v>Feedback-Directed Random Test Generation/rounds/Round2/state/Csv.json</x:v>
      </x:c>
      <x:c r="N1190" s="25" t="str">
        <x:v>Feedback-Directed Random Test Generation/Result_Round2/Csv_3/result.json</x:v>
      </x:c>
      <x:c r="O1190" s="25" t="str">
        <x:v>Feedback-Directed Random Test Generation/Result_Round2/Csv_3/result.json</x:v>
      </x:c>
      <x:c r="P1190"/>
      <x:c r="Q1190" s="21" t="str"/>
      <x:c r="R1190" s="21" t="str"/>
      <x:c r="S1190" s="21" t="str"/>
      <x:c r="T1190" s="17" t="str">
        <x:v>false</x:v>
      </x:c>
      <x:c r="U1190" s="17" t="str">
        <x:v>true</x:v>
      </x:c>
      <x:c r="V1190" s="17" t="str">
        <x:v>false</x:v>
      </x:c>
    </x:row>
    <x:row r="1191" ht="80" customHeight="1">
      <x:c r="A1191" s="25" t="str">
        <x:v>Csv</x:v>
      </x:c>
      <x:c r="B1191" s="25" t="n">
        <x:v>4</x:v>
      </x:c>
      <x:c r="C1191" s="25" t="str">
        <x:v>Round2</x:v>
      </x:c>
      <x:c r="D1191" s="25" t="str">
        <x:v>NOT_REVEALING</x:v>
      </x:c>
      <x:c r="E1191" s="25" t="str">
        <x:v>N/A</x:v>
      </x:c>
      <x:c r="F1191" s="26" t="str">
        <x:v>Same saved validation suite passed on buggy and fixed</x:v>
      </x:c>
      <x:c r="G1191" s="25" t="str">
        <x:v>true</x:v>
      </x:c>
      <x:c r="H1191" s="25" t="str">
        <x:v>NOT_REVEALING</x:v>
      </x:c>
      <x:c r="I1191" s="25" t="str">
        <x:v>PASS</x:v>
      </x:c>
      <x:c r="J1191" s="25" t="str">
        <x:v>PASS</x:v>
      </x:c>
      <x:c r="K1191" s="25" t="n">
        <x:v>2</x:v>
      </x:c>
      <x:c r="L1191" s="27" t="b">
        <x:v>0</x:v>
      </x:c>
      <x:c r="M1191" s="25" t="str">
        <x:v>Feedback-Directed Random Test Generation/rounds/Round2/state/Csv.json</x:v>
      </x:c>
      <x:c r="N1191" s="25" t="str">
        <x:v>Feedback-Directed Random Test Generation/Result_Round2/Csv_4/result.json</x:v>
      </x:c>
      <x:c r="O1191" s="25" t="str">
        <x:v>Feedback-Directed Random Test Generation/Result_Round2/Csv_4/result.json</x:v>
      </x:c>
      <x:c r="P1191"/>
      <x:c r="Q1191" s="21" t="str"/>
      <x:c r="R1191" s="21" t="str"/>
      <x:c r="S1191" s="21" t="str"/>
      <x:c r="T1191" s="17" t="str">
        <x:v>false</x:v>
      </x:c>
      <x:c r="U1191" s="17" t="str">
        <x:v>true</x:v>
      </x:c>
      <x:c r="V1191" s="17" t="str">
        <x:v>false</x:v>
      </x:c>
    </x:row>
    <x:row r="1192" ht="80" customHeight="1">
      <x:c r="A1192" s="25" t="str">
        <x:v>Csv</x:v>
      </x:c>
      <x:c r="B1192" s="25" t="n">
        <x:v>5</x:v>
      </x:c>
      <x:c r="C1192" s="25" t="str">
        <x:v>Round2</x:v>
      </x:c>
      <x:c r="D1192" s="25" t="str">
        <x:v>NOT_REVEALING</x:v>
      </x:c>
      <x:c r="E1192" s="25" t="str">
        <x:v>N/A</x:v>
      </x:c>
      <x:c r="F1192" s="26" t="str">
        <x:v>Same saved validation suite passed on buggy and fixed</x:v>
      </x:c>
      <x:c r="G1192" s="25" t="str">
        <x:v>true</x:v>
      </x:c>
      <x:c r="H1192" s="25" t="str">
        <x:v>NOT_REVEALING</x:v>
      </x:c>
      <x:c r="I1192" s="25" t="str">
        <x:v>PASS</x:v>
      </x:c>
      <x:c r="J1192" s="25" t="str">
        <x:v>PASS</x:v>
      </x:c>
      <x:c r="K1192" s="25" t="n">
        <x:v>2</x:v>
      </x:c>
      <x:c r="L1192" s="27" t="b">
        <x:v>0</x:v>
      </x:c>
      <x:c r="M1192" s="25" t="str">
        <x:v>Feedback-Directed Random Test Generation/rounds/Round2/state/Csv.json</x:v>
      </x:c>
      <x:c r="N1192" s="25" t="str">
        <x:v>Feedback-Directed Random Test Generation/Result_Round2/Csv_5/result.json</x:v>
      </x:c>
      <x:c r="O1192" s="25" t="str">
        <x:v>Feedback-Directed Random Test Generation/Result_Round2/Csv_5/result.json</x:v>
      </x:c>
      <x:c r="P1192"/>
      <x:c r="Q1192" s="21" t="str"/>
      <x:c r="R1192" s="21" t="str"/>
      <x:c r="S1192" s="21" t="str"/>
      <x:c r="T1192" s="17" t="str">
        <x:v>false</x:v>
      </x:c>
      <x:c r="U1192" s="17" t="str">
        <x:v>true</x:v>
      </x:c>
      <x:c r="V1192" s="17" t="str">
        <x:v>false</x:v>
      </x:c>
    </x:row>
    <x:row r="1193" ht="80" customHeight="1">
      <x:c r="A1193" s="25" t="str">
        <x:v>Csv</x:v>
      </x:c>
      <x:c r="B1193" s="25" t="n">
        <x:v>6</x:v>
      </x:c>
      <x:c r="C1193" s="25" t="str">
        <x:v>Round2</x:v>
      </x:c>
      <x:c r="D1193" s="25" t="str">
        <x:v>NOT_REVEALING</x:v>
      </x:c>
      <x:c r="E1193" s="25" t="str">
        <x:v>N/A</x:v>
      </x:c>
      <x:c r="F1193" s="26" t="str">
        <x:v>Same saved validation suite passed on buggy and fixed</x:v>
      </x:c>
      <x:c r="G1193" s="25" t="str">
        <x:v>true</x:v>
      </x:c>
      <x:c r="H1193" s="25" t="str">
        <x:v>NOT_REVEALING</x:v>
      </x:c>
      <x:c r="I1193" s="25" t="str">
        <x:v>PASS</x:v>
      </x:c>
      <x:c r="J1193" s="25" t="str">
        <x:v>PASS</x:v>
      </x:c>
      <x:c r="K1193" s="25" t="n">
        <x:v>12</x:v>
      </x:c>
      <x:c r="L1193" s="27" t="b">
        <x:v>0</x:v>
      </x:c>
      <x:c r="M1193" s="25" t="str">
        <x:v>Feedback-Directed Random Test Generation/rounds/Round2/state/Csv.json</x:v>
      </x:c>
      <x:c r="N1193" s="25" t="str">
        <x:v>Feedback-Directed Random Test Generation/Result_Round2/Csv_6/result.json</x:v>
      </x:c>
      <x:c r="O1193" s="25" t="str">
        <x:v>Feedback-Directed Random Test Generation/Result_Round2/Csv_6/result.json</x:v>
      </x:c>
      <x:c r="P1193"/>
      <x:c r="Q1193" s="21" t="str"/>
      <x:c r="R1193" s="21" t="str"/>
      <x:c r="S1193" s="21" t="str"/>
      <x:c r="T1193" s="17" t="str">
        <x:v>false</x:v>
      </x:c>
      <x:c r="U1193" s="17" t="str">
        <x:v>true</x:v>
      </x:c>
      <x:c r="V1193" s="17" t="str">
        <x:v>false</x:v>
      </x:c>
    </x:row>
    <x:row r="1194" ht="80" customHeight="1">
      <x:c r="A1194" s="25" t="str">
        <x:v>Csv</x:v>
      </x:c>
      <x:c r="B1194" s="25" t="n">
        <x:v>7</x:v>
      </x:c>
      <x:c r="C1194" s="25" t="str">
        <x:v>Round2</x:v>
      </x:c>
      <x:c r="D1194" s="25" t="str">
        <x:v>NOT_REVEALING</x:v>
      </x:c>
      <x:c r="E1194" s="25" t="str">
        <x:v>N/A</x:v>
      </x:c>
      <x:c r="F1194" s="26" t="str">
        <x:v>Same saved validation suite passed on buggy and fixed</x:v>
      </x:c>
      <x:c r="G1194" s="25" t="str">
        <x:v>true</x:v>
      </x:c>
      <x:c r="H1194" s="25" t="str">
        <x:v>NOT_REVEALING</x:v>
      </x:c>
      <x:c r="I1194" s="25" t="str">
        <x:v>PASS</x:v>
      </x:c>
      <x:c r="J1194" s="25" t="str">
        <x:v>PASS</x:v>
      </x:c>
      <x:c r="K1194" s="25" t="n">
        <x:v>2</x:v>
      </x:c>
      <x:c r="L1194" s="27" t="b">
        <x:v>0</x:v>
      </x:c>
      <x:c r="M1194" s="25" t="str">
        <x:v>Feedback-Directed Random Test Generation/rounds/Round2/state/Csv.json</x:v>
      </x:c>
      <x:c r="N1194" s="25" t="str">
        <x:v>Feedback-Directed Random Test Generation/Result_Round2/Csv_7/result.json</x:v>
      </x:c>
      <x:c r="O1194" s="25" t="str">
        <x:v>Feedback-Directed Random Test Generation/Result_Round2/Csv_7/result.json</x:v>
      </x:c>
      <x:c r="P1194"/>
      <x:c r="Q1194" s="21" t="str"/>
      <x:c r="R1194" s="21" t="str"/>
      <x:c r="S1194" s="21" t="str"/>
      <x:c r="T1194" s="17" t="str">
        <x:v>false</x:v>
      </x:c>
      <x:c r="U1194" s="17" t="str">
        <x:v>true</x:v>
      </x:c>
      <x:c r="V1194" s="17" t="str">
        <x:v>false</x:v>
      </x:c>
    </x:row>
    <x:row r="1195" ht="80" customHeight="1">
      <x:c r="A1195" s="25" t="str">
        <x:v>Csv</x:v>
      </x:c>
      <x:c r="B1195" s="25" t="n">
        <x:v>8</x:v>
      </x:c>
      <x:c r="C1195" s="25" t="str">
        <x:v>Round2</x:v>
      </x:c>
      <x:c r="D1195" s="25" t="str">
        <x:v>NOT_REVEALING</x:v>
      </x:c>
      <x:c r="E1195" s="25" t="str">
        <x:v>N/A</x:v>
      </x:c>
      <x:c r="F1195" s="26" t="str">
        <x:v>Same saved validation suite passed on buggy and fixed</x:v>
      </x:c>
      <x:c r="G1195" s="25" t="str">
        <x:v>true</x:v>
      </x:c>
      <x:c r="H1195" s="25" t="str">
        <x:v>NOT_REVEALING</x:v>
      </x:c>
      <x:c r="I1195" s="25" t="str">
        <x:v>PASS</x:v>
      </x:c>
      <x:c r="J1195" s="25" t="str">
        <x:v>PASS</x:v>
      </x:c>
      <x:c r="K1195" s="25" t="n">
        <x:v>11</x:v>
      </x:c>
      <x:c r="L1195" s="27" t="b">
        <x:v>0</x:v>
      </x:c>
      <x:c r="M1195" s="25" t="str">
        <x:v>Feedback-Directed Random Test Generation/rounds/Round2/state/Csv.json</x:v>
      </x:c>
      <x:c r="N1195" s="25" t="str">
        <x:v>Feedback-Directed Random Test Generation/Result_Round2/Csv_8/result.json</x:v>
      </x:c>
      <x:c r="O1195" s="25" t="str">
        <x:v>Feedback-Directed Random Test Generation/Result_Round2/Csv_8/result.json</x:v>
      </x:c>
      <x:c r="P1195"/>
      <x:c r="Q1195" s="21" t="str"/>
      <x:c r="R1195" s="21" t="str"/>
      <x:c r="S1195" s="21" t="str"/>
      <x:c r="T1195" s="17" t="str">
        <x:v>false</x:v>
      </x:c>
      <x:c r="U1195" s="17" t="str">
        <x:v>true</x:v>
      </x:c>
      <x:c r="V1195" s="17" t="str">
        <x:v>false</x:v>
      </x:c>
    </x:row>
    <x:row r="1196" ht="80" customHeight="1">
      <x:c r="A1196" s="25" t="str">
        <x:v>Csv</x:v>
      </x:c>
      <x:c r="B1196" s="25" t="n">
        <x:v>9</x:v>
      </x:c>
      <x:c r="C1196" s="25" t="str">
        <x:v>Round2</x:v>
      </x:c>
      <x:c r="D1196" s="25" t="str">
        <x:v>INCONCLUSIVE</x:v>
      </x:c>
      <x:c r="E1196" s="25" t="str">
        <x:v>N/A</x:v>
      </x:c>
      <x:c r="F1196" s="26" t="str">
        <x:v>Fixed also failed; assertion failure cannot be attributed to this bug</x:v>
      </x:c>
      <x:c r="G1196" s="25" t="str">
        <x:v>true</x:v>
      </x:c>
      <x:c r="H1196" s="25" t="str">
        <x:v>INCONCLUSIVE</x:v>
      </x:c>
      <x:c r="I1196" s="25" t="str">
        <x:v>PASS</x:v>
      </x:c>
      <x:c r="J1196" s="25" t="str">
        <x:v>FAIL</x:v>
      </x:c>
      <x:c r="K1196" s="25" t="n">
        <x:v>12</x:v>
      </x:c>
      <x:c r="L1196" s="27" t="b">
        <x:v>0</x:v>
      </x:c>
      <x:c r="M1196" s="25" t="str">
        <x:v>Feedback-Directed Random Test Generation/rounds/Round2/state/Csv.json</x:v>
      </x:c>
      <x:c r="N1196" s="25" t="str">
        <x:v>Feedback-Directed Random Test Generation/Result_Round2/Csv_9/result.json</x:v>
      </x:c>
      <x:c r="O1196" s="25" t="str">
        <x:v>Feedback-Directed Random Test Generation/Result_Round2/Csv_9/result.json</x:v>
      </x:c>
      <x:c r="P1196"/>
      <x:c r="Q1196" s="21" t="str"/>
      <x:c r="R1196" s="21" t="str"/>
      <x:c r="S1196" s="21" t="str"/>
      <x:c r="T1196" s="17" t="str">
        <x:v>false</x:v>
      </x:c>
      <x:c r="U1196" s="17" t="str">
        <x:v>true</x:v>
      </x:c>
      <x:c r="V1196" s="17" t="str">
        <x:v>false</x:v>
      </x:c>
    </x:row>
    <x:row r="1197" ht="80" customHeight="1">
      <x:c r="A1197" s="25" t="str">
        <x:v>Csv</x:v>
      </x:c>
      <x:c r="B1197" s="25" t="n">
        <x:v>10</x:v>
      </x:c>
      <x:c r="C1197" s="25" t="str">
        <x:v>Round2</x:v>
      </x:c>
      <x:c r="D1197" s="25" t="str">
        <x:v>NOT_REVEALING</x:v>
      </x:c>
      <x:c r="E1197" s="25" t="str">
        <x:v>N/A</x:v>
      </x:c>
      <x:c r="F1197" s="26" t="str">
        <x:v>Same saved validation suite passed on buggy and fixed</x:v>
      </x:c>
      <x:c r="G1197" s="25" t="str">
        <x:v>true</x:v>
      </x:c>
      <x:c r="H1197" s="25" t="str">
        <x:v>NOT_REVEALING</x:v>
      </x:c>
      <x:c r="I1197" s="25" t="str">
        <x:v>PASS</x:v>
      </x:c>
      <x:c r="J1197" s="25" t="str">
        <x:v>PASS</x:v>
      </x:c>
      <x:c r="K1197" s="25" t="n">
        <x:v>2</x:v>
      </x:c>
      <x:c r="L1197" s="27" t="b">
        <x:v>0</x:v>
      </x:c>
      <x:c r="M1197" s="25" t="str">
        <x:v>Feedback-Directed Random Test Generation/rounds/Round2/state/Csv.json</x:v>
      </x:c>
      <x:c r="N1197" s="25" t="str">
        <x:v>Feedback-Directed Random Test Generation/Result_Round2/Csv_10/result.json</x:v>
      </x:c>
      <x:c r="O1197" s="25" t="str">
        <x:v>Feedback-Directed Random Test Generation/Result_Round2/Csv_10/result.json</x:v>
      </x:c>
      <x:c r="P1197"/>
      <x:c r="Q1197" s="21" t="str"/>
      <x:c r="R1197" s="21" t="str"/>
      <x:c r="S1197" s="21" t="str"/>
      <x:c r="T1197" s="17" t="str">
        <x:v>false</x:v>
      </x:c>
      <x:c r="U1197" s="17" t="str">
        <x:v>true</x:v>
      </x:c>
      <x:c r="V1197" s="17" t="str">
        <x:v>false</x:v>
      </x:c>
    </x:row>
    <x:row r="1198" ht="80" customHeight="1">
      <x:c r="A1198" s="25" t="str">
        <x:v>Csv</x:v>
      </x:c>
      <x:c r="B1198" s="25" t="n">
        <x:v>11</x:v>
      </x:c>
      <x:c r="C1198" s="25" t="str">
        <x:v>Round2</x:v>
      </x:c>
      <x:c r="D1198" s="25" t="str">
        <x:v>NOT_REVEALING</x:v>
      </x:c>
      <x:c r="E1198" s="25" t="str">
        <x:v>N/A</x:v>
      </x:c>
      <x:c r="F1198" s="26" t="str">
        <x:v>Same saved validation suite passed on buggy and fixed</x:v>
      </x:c>
      <x:c r="G1198" s="25" t="str">
        <x:v>true</x:v>
      </x:c>
      <x:c r="H1198" s="25" t="str">
        <x:v>NOT_REVEALING</x:v>
      </x:c>
      <x:c r="I1198" s="25" t="str">
        <x:v>PASS</x:v>
      </x:c>
      <x:c r="J1198" s="25" t="str">
        <x:v>PASS</x:v>
      </x:c>
      <x:c r="K1198" s="25" t="n">
        <x:v>2</x:v>
      </x:c>
      <x:c r="L1198" s="27" t="b">
        <x:v>0</x:v>
      </x:c>
      <x:c r="M1198" s="25" t="str">
        <x:v>Feedback-Directed Random Test Generation/rounds/Round2/state/Csv.json</x:v>
      </x:c>
      <x:c r="N1198" s="25" t="str">
        <x:v>Feedback-Directed Random Test Generation/Result_Round2/Csv_11/result.json</x:v>
      </x:c>
      <x:c r="O1198" s="25" t="str">
        <x:v>Feedback-Directed Random Test Generation/Result_Round2/Csv_11/result.json</x:v>
      </x:c>
      <x:c r="P1198"/>
      <x:c r="Q1198" s="21" t="str"/>
      <x:c r="R1198" s="21" t="str"/>
      <x:c r="S1198" s="21" t="str"/>
      <x:c r="T1198" s="17" t="str">
        <x:v>false</x:v>
      </x:c>
      <x:c r="U1198" s="17" t="str">
        <x:v>true</x:v>
      </x:c>
      <x:c r="V1198" s="17" t="str">
        <x:v>false</x:v>
      </x:c>
    </x:row>
    <x:row r="1199" ht="80" customHeight="1">
      <x:c r="A1199" s="25" t="str">
        <x:v>Csv</x:v>
      </x:c>
      <x:c r="B1199" s="25" t="n">
        <x:v>12</x:v>
      </x:c>
      <x:c r="C1199" s="25" t="str">
        <x:v>Round2</x:v>
      </x:c>
      <x:c r="D1199" s="25" t="str">
        <x:v>INCONCLUSIVE</x:v>
      </x:c>
      <x:c r="E1199" s="25" t="str">
        <x:v>N/A</x:v>
      </x:c>
      <x:c r="F1199" s="26" t="str">
        <x:v>Fixed also failed; assertion failure cannot be attributed to this bug</x:v>
      </x:c>
      <x:c r="G1199" s="25" t="str">
        <x:v>true</x:v>
      </x:c>
      <x:c r="H1199" s="25" t="str">
        <x:v>INCONCLUSIVE</x:v>
      </x:c>
      <x:c r="I1199" s="25" t="str">
        <x:v>PASS</x:v>
      </x:c>
      <x:c r="J1199" s="25" t="str">
        <x:v>FAIL</x:v>
      </x:c>
      <x:c r="K1199" s="25" t="n">
        <x:v>11</x:v>
      </x:c>
      <x:c r="L1199" s="27" t="b">
        <x:v>0</x:v>
      </x:c>
      <x:c r="M1199" s="25" t="str">
        <x:v>Feedback-Directed Random Test Generation/rounds/Round2/state/Csv.json</x:v>
      </x:c>
      <x:c r="N1199" s="25" t="str">
        <x:v>Feedback-Directed Random Test Generation/Result_Round2/Csv_12/result.json</x:v>
      </x:c>
      <x:c r="O1199" s="25" t="str">
        <x:v>Feedback-Directed Random Test Generation/Result_Round2/Csv_12/result.json</x:v>
      </x:c>
      <x:c r="P1199"/>
      <x:c r="Q1199" s="21" t="str"/>
      <x:c r="R1199" s="21" t="str"/>
      <x:c r="S1199" s="21" t="str"/>
      <x:c r="T1199" s="17" t="str">
        <x:v>false</x:v>
      </x:c>
      <x:c r="U1199" s="17" t="str">
        <x:v>true</x:v>
      </x:c>
      <x:c r="V1199" s="17" t="str">
        <x:v>false</x:v>
      </x:c>
    </x:row>
    <x:row r="1200" ht="80" customHeight="1">
      <x:c r="A1200" s="25" t="str">
        <x:v>Csv</x:v>
      </x:c>
      <x:c r="B1200" s="25" t="n">
        <x:v>13</x:v>
      </x:c>
      <x:c r="C1200" s="25" t="str">
        <x:v>Round2</x:v>
      </x:c>
      <x:c r="D1200" s="25" t="str">
        <x:v>INCONCLUSIVE</x:v>
      </x:c>
      <x:c r="E1200" s="25" t="str">
        <x:v>N/A</x:v>
      </x:c>
      <x:c r="F1200" s="26" t="str">
        <x:v>Fixed also failed; assertion failure cannot be attributed to this bug; Assertions failed with measured coverage; paired execution and stage checks determine status</x:v>
      </x:c>
      <x:c r="G1200" s="25" t="str">
        <x:v>true</x:v>
      </x:c>
      <x:c r="H1200" s="25" t="str">
        <x:v>INCONCLUSIVE</x:v>
      </x:c>
      <x:c r="I1200" s="25" t="str">
        <x:v>FAIL</x:v>
      </x:c>
      <x:c r="J1200" s="25" t="str">
        <x:v>FAIL</x:v>
      </x:c>
      <x:c r="K1200" s="25" t="n">
        <x:v>12</x:v>
      </x:c>
      <x:c r="L1200" s="27" t="b">
        <x:v>0</x:v>
      </x:c>
      <x:c r="M1200" s="25" t="str">
        <x:v>Feedback-Directed Random Test Generation/rounds/Round2/state/Csv.json</x:v>
      </x:c>
      <x:c r="N1200" s="25" t="str">
        <x:v>Feedback-Directed Random Test Generation/Result_Round2/Csv_13/result.json</x:v>
      </x:c>
      <x:c r="O1200" s="25" t="str">
        <x:v>Feedback-Directed Random Test Generation/Result_Round2/Csv_13/result.json</x:v>
      </x:c>
      <x:c r="P1200"/>
      <x:c r="Q1200" s="21" t="str"/>
      <x:c r="R1200" s="21" t="str"/>
      <x:c r="S1200" s="21" t="str"/>
      <x:c r="T1200" s="17" t="str">
        <x:v>false</x:v>
      </x:c>
      <x:c r="U1200" s="17" t="str">
        <x:v>true</x:v>
      </x:c>
      <x:c r="V1200" s="17" t="str">
        <x:v>false</x:v>
      </x:c>
    </x:row>
    <x:row r="1201" ht="80" customHeight="1">
      <x:c r="A1201" s="25" t="str">
        <x:v>Csv</x:v>
      </x:c>
      <x:c r="B1201" s="25" t="n">
        <x:v>14</x:v>
      </x:c>
      <x:c r="C1201" s="25" t="str">
        <x:v>Round2</x:v>
      </x:c>
      <x:c r="D1201" s="25" t="str">
        <x:v>INCONCLUSIVE</x:v>
      </x:c>
      <x:c r="E1201" s="25" t="str">
        <x:v>N/A</x:v>
      </x:c>
      <x:c r="F1201" s="26" t="str">
        <x:v>Fixed also failed; assertion failure cannot be attributed to this bug; Assertions failed with measured coverage; paired execution and stage checks determine status</x:v>
      </x:c>
      <x:c r="G1201" s="25" t="str">
        <x:v>true</x:v>
      </x:c>
      <x:c r="H1201" s="25" t="str">
        <x:v>INCONCLUSIVE</x:v>
      </x:c>
      <x:c r="I1201" s="25" t="str">
        <x:v>FAIL</x:v>
      </x:c>
      <x:c r="J1201" s="25" t="str">
        <x:v>FAIL</x:v>
      </x:c>
      <x:c r="K1201" s="25" t="n">
        <x:v>14</x:v>
      </x:c>
      <x:c r="L1201" s="27" t="b">
        <x:v>0</x:v>
      </x:c>
      <x:c r="M1201" s="25" t="str">
        <x:v>Feedback-Directed Random Test Generation/rounds/Round2/state/Csv.json</x:v>
      </x:c>
      <x:c r="N1201" s="25" t="str">
        <x:v>Feedback-Directed Random Test Generation/Result_Round2/Csv_14/result.json</x:v>
      </x:c>
      <x:c r="O1201" s="25" t="str">
        <x:v>Feedback-Directed Random Test Generation/Result_Round2/Csv_14/result.json</x:v>
      </x:c>
      <x:c r="P1201"/>
      <x:c r="Q1201" s="21" t="str"/>
      <x:c r="R1201" s="21" t="str"/>
      <x:c r="S1201" s="21" t="str"/>
      <x:c r="T1201" s="17" t="str">
        <x:v>false</x:v>
      </x:c>
      <x:c r="U1201" s="17" t="str">
        <x:v>true</x:v>
      </x:c>
      <x:c r="V1201" s="17" t="str">
        <x:v>false</x:v>
      </x:c>
    </x:row>
    <x:row r="1202" ht="80" customHeight="1">
      <x:c r="A1202" s="25" t="str">
        <x:v>Csv</x:v>
      </x:c>
      <x:c r="B1202" s="25" t="n">
        <x:v>15</x:v>
      </x:c>
      <x:c r="C1202" s="25" t="str">
        <x:v>Round2</x:v>
      </x:c>
      <x:c r="D1202" s="25" t="str">
        <x:v>INCONCLUSIVE</x:v>
      </x:c>
      <x:c r="E1202" s="25" t="str">
        <x:v>N/A</x:v>
      </x:c>
      <x:c r="F1202" s="26" t="str">
        <x:v>Fixed also failed; assertion failure cannot be attributed to this bug; Assertions failed with measured coverage; paired execution and stage checks determine status</x:v>
      </x:c>
      <x:c r="G1202" s="25" t="str">
        <x:v>true</x:v>
      </x:c>
      <x:c r="H1202" s="25" t="str">
        <x:v>INCONCLUSIVE</x:v>
      </x:c>
      <x:c r="I1202" s="25" t="str">
        <x:v>FAIL</x:v>
      </x:c>
      <x:c r="J1202" s="25" t="str">
        <x:v>FAIL</x:v>
      </x:c>
      <x:c r="K1202" s="25" t="n">
        <x:v>13</x:v>
      </x:c>
      <x:c r="L1202" s="27" t="b">
        <x:v>0</x:v>
      </x:c>
      <x:c r="M1202" s="25" t="str">
        <x:v>Feedback-Directed Random Test Generation/rounds/Round2/state/Csv.json</x:v>
      </x:c>
      <x:c r="N1202" s="25" t="str">
        <x:v>Feedback-Directed Random Test Generation/Result_Round2/Csv_15/result.json</x:v>
      </x:c>
      <x:c r="O1202" s="25" t="str">
        <x:v>Feedback-Directed Random Test Generation/Result_Round2/Csv_15/result.json</x:v>
      </x:c>
      <x:c r="P1202"/>
      <x:c r="Q1202" s="21" t="str"/>
      <x:c r="R1202" s="21" t="str"/>
      <x:c r="S1202" s="21" t="str"/>
      <x:c r="T1202" s="17" t="str">
        <x:v>false</x:v>
      </x:c>
      <x:c r="U1202" s="17" t="str">
        <x:v>true</x:v>
      </x:c>
      <x:c r="V1202" s="17" t="str">
        <x:v>false</x:v>
      </x:c>
    </x:row>
    <x:row r="1203" ht="80" customHeight="1">
      <x:c r="A1203" s="25" t="str">
        <x:v>Csv</x:v>
      </x:c>
      <x:c r="B1203" s="25" t="n">
        <x:v>16</x:v>
      </x:c>
      <x:c r="C1203" s="25" t="str">
        <x:v>Round2</x:v>
      </x:c>
      <x:c r="D1203" s="25" t="str">
        <x:v>NOT_REVEALING</x:v>
      </x:c>
      <x:c r="E1203" s="25" t="str">
        <x:v>N/A</x:v>
      </x:c>
      <x:c r="F1203" s="26" t="str">
        <x:v>Same saved validation suite passed on buggy and fixed</x:v>
      </x:c>
      <x:c r="G1203" s="25" t="str">
        <x:v>true</x:v>
      </x:c>
      <x:c r="H1203" s="25" t="str">
        <x:v>NOT_REVEALING</x:v>
      </x:c>
      <x:c r="I1203" s="25" t="str">
        <x:v>PASS</x:v>
      </x:c>
      <x:c r="J1203" s="25" t="str">
        <x:v>PASS</x:v>
      </x:c>
      <x:c r="K1203" s="25" t="n">
        <x:v>3</x:v>
      </x:c>
      <x:c r="L1203" s="27" t="b">
        <x:v>0</x:v>
      </x:c>
      <x:c r="M1203" s="25" t="str">
        <x:v>Feedback-Directed Random Test Generation/rounds/Round2/state/Csv.json</x:v>
      </x:c>
      <x:c r="N1203" s="25" t="str">
        <x:v>Feedback-Directed Random Test Generation/Result_Round2/Csv_16/result.json</x:v>
      </x:c>
      <x:c r="O1203" s="25" t="str">
        <x:v>Feedback-Directed Random Test Generation/Result_Round2/Csv_16/result.json</x:v>
      </x:c>
      <x:c r="P1203"/>
      <x:c r="Q1203" s="21" t="str"/>
      <x:c r="R1203" s="21" t="str"/>
      <x:c r="S1203" s="21" t="str"/>
      <x:c r="T1203" s="17" t="str">
        <x:v>false</x:v>
      </x:c>
      <x:c r="U1203" s="17" t="str">
        <x:v>true</x:v>
      </x:c>
      <x:c r="V1203" s="17" t="str">
        <x:v>false</x:v>
      </x:c>
    </x:row>
    <x:row r="1204" ht="80" customHeight="1">
      <x:c r="A1204" s="25" t="str">
        <x:v>Gson</x:v>
      </x:c>
      <x:c r="B1204" s="25" t="n">
        <x:v>1</x:v>
      </x:c>
      <x:c r="C1204" s="25" t="str">
        <x:v>Round2</x:v>
      </x:c>
      <x:c r="D1204" s="25" t="str">
        <x:v>NOT_REVEALING</x:v>
      </x:c>
      <x:c r="E1204" s="25" t="str">
        <x:v>N/A</x:v>
      </x:c>
      <x:c r="F1204" s="26" t="str">
        <x:v>Same saved validation suite passed on buggy and fixed</x:v>
      </x:c>
      <x:c r="G1204" s="25" t="str">
        <x:v>true</x:v>
      </x:c>
      <x:c r="H1204" s="25" t="str">
        <x:v>NOT_REVEALING</x:v>
      </x:c>
      <x:c r="I1204" s="25" t="str">
        <x:v>PASS</x:v>
      </x:c>
      <x:c r="J1204" s="25" t="str">
        <x:v>PASS</x:v>
      </x:c>
      <x:c r="K1204" s="25" t="n">
        <x:v>2</x:v>
      </x:c>
      <x:c r="L1204" s="27" t="b">
        <x:v>0</x:v>
      </x:c>
      <x:c r="M1204" s="25" t="str">
        <x:v>Feedback-Directed Random Test Generation/rounds/Round2/state/Gson.json</x:v>
      </x:c>
      <x:c r="N1204" s="25" t="str">
        <x:v>Feedback-Directed Random Test Generation/Result_Round2/Gson_1/result.json</x:v>
      </x:c>
      <x:c r="O1204" s="25" t="str">
        <x:v>Feedback-Directed Random Test Generation/Result_Round2/Gson_1/result.json</x:v>
      </x:c>
      <x:c r="P1204"/>
      <x:c r="Q1204" s="21" t="str"/>
      <x:c r="R1204" s="21" t="str"/>
      <x:c r="S1204" s="21" t="str"/>
      <x:c r="T1204" s="17" t="str">
        <x:v>false</x:v>
      </x:c>
      <x:c r="U1204" s="17" t="str">
        <x:v>true</x:v>
      </x:c>
      <x:c r="V1204" s="17" t="str">
        <x:v>false</x:v>
      </x:c>
    </x:row>
    <x:row r="1205" ht="80" customHeight="1">
      <x:c r="A1205" s="25" t="str">
        <x:v>Gson</x:v>
      </x:c>
      <x:c r="B1205" s="25" t="n">
        <x:v>2</x:v>
      </x:c>
      <x:c r="C1205" s="25" t="str">
        <x:v>Round2</x:v>
      </x:c>
      <x:c r="D1205" s="25" t="str">
        <x:v>NOT_REVEALING</x:v>
      </x:c>
      <x:c r="E1205" s="25" t="str">
        <x:v>N/A</x:v>
      </x:c>
      <x:c r="F1205" s="26" t="str">
        <x:v>Same saved validation suite passed on buggy and fixed</x:v>
      </x:c>
      <x:c r="G1205" s="25" t="str">
        <x:v>true</x:v>
      </x:c>
      <x:c r="H1205" s="25" t="str">
        <x:v>NOT_REVEALING</x:v>
      </x:c>
      <x:c r="I1205" s="25" t="str">
        <x:v>PASS</x:v>
      </x:c>
      <x:c r="J1205" s="25" t="str">
        <x:v>PASS</x:v>
      </x:c>
      <x:c r="K1205" s="25" t="n">
        <x:v>2</x:v>
      </x:c>
      <x:c r="L1205" s="27" t="b">
        <x:v>0</x:v>
      </x:c>
      <x:c r="M1205" s="25" t="str">
        <x:v>Feedback-Directed Random Test Generation/rounds/Round2/state/Gson.json</x:v>
      </x:c>
      <x:c r="N1205" s="25" t="str">
        <x:v>Feedback-Directed Random Test Generation/Result_Round2/Gson_2/result.json</x:v>
      </x:c>
      <x:c r="O1205" s="25" t="str">
        <x:v>Feedback-Directed Random Test Generation/Result_Round2/Gson_2/result.json</x:v>
      </x:c>
      <x:c r="P1205"/>
      <x:c r="Q1205" s="21" t="str"/>
      <x:c r="R1205" s="21" t="str"/>
      <x:c r="S1205" s="21" t="str"/>
      <x:c r="T1205" s="17" t="str">
        <x:v>false</x:v>
      </x:c>
      <x:c r="U1205" s="17" t="str">
        <x:v>true</x:v>
      </x:c>
      <x:c r="V1205" s="17" t="str">
        <x:v>false</x:v>
      </x:c>
    </x:row>
    <x:row r="1206" ht="80" customHeight="1">
      <x:c r="A1206" s="25" t="str">
        <x:v>Gson</x:v>
      </x:c>
      <x:c r="B1206" s="25" t="n">
        <x:v>3</x:v>
      </x:c>
      <x:c r="C1206" s="25" t="str">
        <x:v>Round2</x:v>
      </x:c>
      <x:c r="D1206" s="25" t="str">
        <x:v>NOT_REVEALING</x:v>
      </x:c>
      <x:c r="E1206" s="25" t="str">
        <x:v>N/A</x:v>
      </x:c>
      <x:c r="F1206" s="26" t="str">
        <x:v>Same saved validation suite passed on buggy and fixed</x:v>
      </x:c>
      <x:c r="G1206" s="25" t="str">
        <x:v>true</x:v>
      </x:c>
      <x:c r="H1206" s="25" t="str">
        <x:v>NOT_REVEALING</x:v>
      </x:c>
      <x:c r="I1206" s="25" t="str">
        <x:v>PASS</x:v>
      </x:c>
      <x:c r="J1206" s="25" t="str">
        <x:v>PASS</x:v>
      </x:c>
      <x:c r="K1206" s="25" t="n">
        <x:v>2</x:v>
      </x:c>
      <x:c r="L1206" s="27" t="b">
        <x:v>0</x:v>
      </x:c>
      <x:c r="M1206" s="25" t="str">
        <x:v>Feedback-Directed Random Test Generation/rounds/Round2/state/Gson.json</x:v>
      </x:c>
      <x:c r="N1206" s="25" t="str">
        <x:v>Feedback-Directed Random Test Generation/Result_Round2/Gson_3/result.json</x:v>
      </x:c>
      <x:c r="O1206" s="25" t="str">
        <x:v>Feedback-Directed Random Test Generation/Result_Round2/Gson_3/result.json</x:v>
      </x:c>
      <x:c r="P1206"/>
      <x:c r="Q1206" s="21" t="str"/>
      <x:c r="R1206" s="21" t="str"/>
      <x:c r="S1206" s="21" t="str"/>
      <x:c r="T1206" s="17" t="str">
        <x:v>false</x:v>
      </x:c>
      <x:c r="U1206" s="17" t="str">
        <x:v>true</x:v>
      </x:c>
      <x:c r="V1206" s="17" t="str">
        <x:v>false</x:v>
      </x:c>
    </x:row>
    <x:row r="1207" ht="80" customHeight="1">
      <x:c r="A1207" s="25" t="str">
        <x:v>Gson</x:v>
      </x:c>
      <x:c r="B1207" s="25" t="n">
        <x:v>4</x:v>
      </x:c>
      <x:c r="C1207" s="25" t="str">
        <x:v>Round2</x:v>
      </x:c>
      <x:c r="D1207" s="25" t="str">
        <x:v>NOT_REVEALING</x:v>
      </x:c>
      <x:c r="E1207" s="25" t="str">
        <x:v>N/A</x:v>
      </x:c>
      <x:c r="F1207" s="26" t="str">
        <x:v>Same saved validation suite passed on buggy and fixed</x:v>
      </x:c>
      <x:c r="G1207" s="25" t="str">
        <x:v>true</x:v>
      </x:c>
      <x:c r="H1207" s="25" t="str">
        <x:v>NOT_REVEALING</x:v>
      </x:c>
      <x:c r="I1207" s="25" t="str">
        <x:v>PASS</x:v>
      </x:c>
      <x:c r="J1207" s="25" t="str">
        <x:v>PASS</x:v>
      </x:c>
      <x:c r="K1207" s="25" t="n">
        <x:v>2</x:v>
      </x:c>
      <x:c r="L1207" s="27" t="b">
        <x:v>0</x:v>
      </x:c>
      <x:c r="M1207" s="25" t="str">
        <x:v>Feedback-Directed Random Test Generation/rounds/Round2/state/Gson.json</x:v>
      </x:c>
      <x:c r="N1207" s="25" t="str">
        <x:v>Feedback-Directed Random Test Generation/Result_Round2/Gson_4/result.json</x:v>
      </x:c>
      <x:c r="O1207" s="25" t="str">
        <x:v>Feedback-Directed Random Test Generation/Result_Round2/Gson_4/result.json</x:v>
      </x:c>
      <x:c r="P1207"/>
      <x:c r="Q1207" s="21" t="str"/>
      <x:c r="R1207" s="21" t="str"/>
      <x:c r="S1207" s="21" t="str"/>
      <x:c r="T1207" s="17" t="str">
        <x:v>false</x:v>
      </x:c>
      <x:c r="U1207" s="17" t="str">
        <x:v>true</x:v>
      </x:c>
      <x:c r="V1207" s="17" t="str">
        <x:v>false</x:v>
      </x:c>
    </x:row>
    <x:row r="1208" ht="80" customHeight="1">
      <x:c r="A1208" s="25" t="str">
        <x:v>Gson</x:v>
      </x:c>
      <x:c r="B1208" s="25" t="n">
        <x:v>5</x:v>
      </x:c>
      <x:c r="C1208" s="25" t="str">
        <x:v>Round2</x:v>
      </x:c>
      <x:c r="D1208" s="25" t="str">
        <x:v>NOT_REVEALING</x:v>
      </x:c>
      <x:c r="E1208" s="25" t="str">
        <x:v>N/A</x:v>
      </x:c>
      <x:c r="F1208" s="26" t="str">
        <x:v>Same saved validation suite passed on buggy and fixed</x:v>
      </x:c>
      <x:c r="G1208" s="25" t="str">
        <x:v>true</x:v>
      </x:c>
      <x:c r="H1208" s="25" t="str">
        <x:v>NOT_REVEALING</x:v>
      </x:c>
      <x:c r="I1208" s="25" t="str">
        <x:v>PASS</x:v>
      </x:c>
      <x:c r="J1208" s="25" t="str">
        <x:v>PASS</x:v>
      </x:c>
      <x:c r="K1208" s="25" t="n">
        <x:v>2</x:v>
      </x:c>
      <x:c r="L1208" s="27" t="b">
        <x:v>0</x:v>
      </x:c>
      <x:c r="M1208" s="25" t="str">
        <x:v>Feedback-Directed Random Test Generation/rounds/Round2/state/Gson.json</x:v>
      </x:c>
      <x:c r="N1208" s="25" t="str">
        <x:v>Feedback-Directed Random Test Generation/Result_Round2/Gson_5/result.json</x:v>
      </x:c>
      <x:c r="O1208" s="25" t="str">
        <x:v>Feedback-Directed Random Test Generation/Result_Round2/Gson_5/result.json</x:v>
      </x:c>
      <x:c r="P1208"/>
      <x:c r="Q1208" s="21" t="str"/>
      <x:c r="R1208" s="21" t="str"/>
      <x:c r="S1208" s="21" t="str"/>
      <x:c r="T1208" s="17" t="str">
        <x:v>false</x:v>
      </x:c>
      <x:c r="U1208" s="17" t="str">
        <x:v>true</x:v>
      </x:c>
      <x:c r="V1208" s="17" t="str">
        <x:v>false</x:v>
      </x:c>
    </x:row>
    <x:row r="1209" ht="80" customHeight="1">
      <x:c r="A1209" s="25" t="str">
        <x:v>Gson</x:v>
      </x:c>
      <x:c r="B1209" s="25" t="n">
        <x:v>6</x:v>
      </x:c>
      <x:c r="C1209" s="25" t="str">
        <x:v>Round2</x:v>
      </x:c>
      <x:c r="D1209" s="25" t="str">
        <x:v>NOT_REVEALING</x:v>
      </x:c>
      <x:c r="E1209" s="25" t="str">
        <x:v>N/A</x:v>
      </x:c>
      <x:c r="F1209" s="26" t="str">
        <x:v>Same saved validation suite passed on buggy and fixed</x:v>
      </x:c>
      <x:c r="G1209" s="25" t="str">
        <x:v>true</x:v>
      </x:c>
      <x:c r="H1209" s="25" t="str">
        <x:v>NOT_REVEALING</x:v>
      </x:c>
      <x:c r="I1209" s="25" t="str">
        <x:v>PASS</x:v>
      </x:c>
      <x:c r="J1209" s="25" t="str">
        <x:v>PASS</x:v>
      </x:c>
      <x:c r="K1209" s="25" t="n">
        <x:v>2</x:v>
      </x:c>
      <x:c r="L1209" s="27" t="b">
        <x:v>0</x:v>
      </x:c>
      <x:c r="M1209" s="25" t="str">
        <x:v>Feedback-Directed Random Test Generation/rounds/Round2/state/Gson.json</x:v>
      </x:c>
      <x:c r="N1209" s="25" t="str">
        <x:v>Feedback-Directed Random Test Generation/Result_Round2/Gson_6/result.json</x:v>
      </x:c>
      <x:c r="O1209" s="25" t="str">
        <x:v>Feedback-Directed Random Test Generation/Result_Round2/Gson_6/result.json</x:v>
      </x:c>
      <x:c r="P1209"/>
      <x:c r="Q1209" s="21" t="str"/>
      <x:c r="R1209" s="21" t="str"/>
      <x:c r="S1209" s="21" t="str"/>
      <x:c r="T1209" s="17" t="str">
        <x:v>false</x:v>
      </x:c>
      <x:c r="U1209" s="17" t="str">
        <x:v>true</x:v>
      </x:c>
      <x:c r="V1209" s="17" t="str">
        <x:v>false</x:v>
      </x:c>
    </x:row>
    <x:row r="1210" ht="80" customHeight="1">
      <x:c r="A1210" s="25" t="str">
        <x:v>Gson</x:v>
      </x:c>
      <x:c r="B1210" s="25" t="n">
        <x:v>7</x:v>
      </x:c>
      <x:c r="C1210" s="25" t="str">
        <x:v>Round2</x:v>
      </x:c>
      <x:c r="D1210" s="25" t="str">
        <x:v>NOT_REVEALING</x:v>
      </x:c>
      <x:c r="E1210" s="25" t="str">
        <x:v>N/A</x:v>
      </x:c>
      <x:c r="F1210" s="26" t="str">
        <x:v>Same saved validation suite passed on buggy and fixed</x:v>
      </x:c>
      <x:c r="G1210" s="25" t="str">
        <x:v>true</x:v>
      </x:c>
      <x:c r="H1210" s="25" t="str">
        <x:v>NOT_REVEALING</x:v>
      </x:c>
      <x:c r="I1210" s="25" t="str">
        <x:v>PASS</x:v>
      </x:c>
      <x:c r="J1210" s="25" t="str">
        <x:v>PASS</x:v>
      </x:c>
      <x:c r="K1210" s="25" t="n">
        <x:v>2</x:v>
      </x:c>
      <x:c r="L1210" s="27" t="b">
        <x:v>0</x:v>
      </x:c>
      <x:c r="M1210" s="25" t="str">
        <x:v>Feedback-Directed Random Test Generation/rounds/Round2/state/Gson.json</x:v>
      </x:c>
      <x:c r="N1210" s="25" t="str">
        <x:v>Feedback-Directed Random Test Generation/Result_Round2/Gson_7/result.json</x:v>
      </x:c>
      <x:c r="O1210" s="25" t="str">
        <x:v>Feedback-Directed Random Test Generation/Result_Round2/Gson_7/result.json</x:v>
      </x:c>
      <x:c r="P1210"/>
      <x:c r="Q1210" s="21" t="str"/>
      <x:c r="R1210" s="21" t="str"/>
      <x:c r="S1210" s="21" t="str"/>
      <x:c r="T1210" s="17" t="str">
        <x:v>false</x:v>
      </x:c>
      <x:c r="U1210" s="17" t="str">
        <x:v>true</x:v>
      </x:c>
      <x:c r="V1210" s="17" t="str">
        <x:v>false</x:v>
      </x:c>
    </x:row>
    <x:row r="1211" ht="80" customHeight="1">
      <x:c r="A1211" s="25" t="str">
        <x:v>Gson</x:v>
      </x:c>
      <x:c r="B1211" s="25" t="n">
        <x:v>8</x:v>
      </x:c>
      <x:c r="C1211" s="25" t="str">
        <x:v>Round2</x:v>
      </x:c>
      <x:c r="D1211" s="25" t="str">
        <x:v>NOT_REVEALING</x:v>
      </x:c>
      <x:c r="E1211" s="25" t="str">
        <x:v>N/A</x:v>
      </x:c>
      <x:c r="F1211" s="26" t="str">
        <x:v>Same saved validation suite passed on buggy and fixed</x:v>
      </x:c>
      <x:c r="G1211" s="25" t="str">
        <x:v>true</x:v>
      </x:c>
      <x:c r="H1211" s="25" t="str">
        <x:v>NOT_REVEALING</x:v>
      </x:c>
      <x:c r="I1211" s="25" t="str">
        <x:v>PASS</x:v>
      </x:c>
      <x:c r="J1211" s="25" t="str">
        <x:v>PASS</x:v>
      </x:c>
      <x:c r="K1211" s="25" t="n">
        <x:v>2</x:v>
      </x:c>
      <x:c r="L1211" s="27" t="b">
        <x:v>0</x:v>
      </x:c>
      <x:c r="M1211" s="25" t="str">
        <x:v>Feedback-Directed Random Test Generation/rounds/Round2/state/Gson.json</x:v>
      </x:c>
      <x:c r="N1211" s="25" t="str">
        <x:v>Feedback-Directed Random Test Generation/Result_Round2/Gson_8/result.json</x:v>
      </x:c>
      <x:c r="O1211" s="25" t="str">
        <x:v>Feedback-Directed Random Test Generation/Result_Round2/Gson_8/result.json</x:v>
      </x:c>
      <x:c r="P1211"/>
      <x:c r="Q1211" s="21" t="str"/>
      <x:c r="R1211" s="21" t="str"/>
      <x:c r="S1211" s="21" t="str"/>
      <x:c r="T1211" s="17" t="str">
        <x:v>false</x:v>
      </x:c>
      <x:c r="U1211" s="17" t="str">
        <x:v>true</x:v>
      </x:c>
      <x:c r="V1211" s="17" t="str">
        <x:v>false</x:v>
      </x:c>
    </x:row>
    <x:row r="1212" ht="80" customHeight="1">
      <x:c r="A1212" s="25" t="str">
        <x:v>Gson</x:v>
      </x:c>
      <x:c r="B1212" s="25" t="n">
        <x:v>9</x:v>
      </x:c>
      <x:c r="C1212" s="25" t="str">
        <x:v>Round2</x:v>
      </x:c>
      <x:c r="D1212" s="25" t="str">
        <x:v>INCONCLUSIVE</x:v>
      </x:c>
      <x:c r="E1212" s="25" t="str">
        <x:v>N/A</x:v>
      </x:c>
      <x:c r="F1212" s="26" t="str">
        <x:v>Fixed also failed; assertion failure cannot be attributed to this bug; Assertions failed with measured coverage; paired execution and stage checks determine status</x:v>
      </x:c>
      <x:c r="G1212" s="25" t="str">
        <x:v>true</x:v>
      </x:c>
      <x:c r="H1212" s="25" t="str">
        <x:v>INCONCLUSIVE</x:v>
      </x:c>
      <x:c r="I1212" s="25" t="str">
        <x:v>FAIL</x:v>
      </x:c>
      <x:c r="J1212" s="25" t="str">
        <x:v>FAIL</x:v>
      </x:c>
      <x:c r="K1212" s="25" t="n">
        <x:v>10</x:v>
      </x:c>
      <x:c r="L1212" s="27" t="b">
        <x:v>0</x:v>
      </x:c>
      <x:c r="M1212" s="25" t="str">
        <x:v>Feedback-Directed Random Test Generation/rounds/Round2/state/Gson.json</x:v>
      </x:c>
      <x:c r="N1212" s="25" t="str">
        <x:v>Feedback-Directed Random Test Generation/Result_Round2/Gson_9/result.json</x:v>
      </x:c>
      <x:c r="O1212" s="25" t="str">
        <x:v>Feedback-Directed Random Test Generation/Result_Round2/Gson_9/result.json</x:v>
      </x:c>
      <x:c r="P1212"/>
      <x:c r="Q1212" s="21" t="str"/>
      <x:c r="R1212" s="21" t="str"/>
      <x:c r="S1212" s="21" t="str"/>
      <x:c r="T1212" s="17" t="str">
        <x:v>false</x:v>
      </x:c>
      <x:c r="U1212" s="17" t="str">
        <x:v>true</x:v>
      </x:c>
      <x:c r="V1212" s="17" t="str">
        <x:v>false</x:v>
      </x:c>
    </x:row>
    <x:row r="1213" ht="80" customHeight="1">
      <x:c r="A1213" s="25" t="str">
        <x:v>Gson</x:v>
      </x:c>
      <x:c r="B1213" s="25" t="n">
        <x:v>10</x:v>
      </x:c>
      <x:c r="C1213" s="25" t="str">
        <x:v>Round2</x:v>
      </x:c>
      <x:c r="D1213" s="25" t="str">
        <x:v>INCONCLUSIVE</x:v>
      </x:c>
      <x:c r="E1213" s="25" t="str">
        <x:v>N/A</x:v>
      </x:c>
      <x:c r="F1213" s="26" t="str">
        <x:v>Fixed also failed; assertion failure cannot be attributed to this bug; Assertions failed with measured coverage; paired execution and stage checks determine status</x:v>
      </x:c>
      <x:c r="G1213" s="25" t="str">
        <x:v>true</x:v>
      </x:c>
      <x:c r="H1213" s="25" t="str">
        <x:v>INCONCLUSIVE</x:v>
      </x:c>
      <x:c r="I1213" s="25" t="str">
        <x:v>FAIL</x:v>
      </x:c>
      <x:c r="J1213" s="25" t="str">
        <x:v>FAIL</x:v>
      </x:c>
      <x:c r="K1213" s="25" t="n">
        <x:v>9</x:v>
      </x:c>
      <x:c r="L1213" s="27" t="b">
        <x:v>0</x:v>
      </x:c>
      <x:c r="M1213" s="25" t="str">
        <x:v>Feedback-Directed Random Test Generation/rounds/Round2/state/Gson.json</x:v>
      </x:c>
      <x:c r="N1213" s="25" t="str">
        <x:v>Feedback-Directed Random Test Generation/Result_Round2/Gson_10/result.json</x:v>
      </x:c>
      <x:c r="O1213" s="25" t="str">
        <x:v>Feedback-Directed Random Test Generation/Result_Round2/Gson_10/result.json</x:v>
      </x:c>
      <x:c r="P1213"/>
      <x:c r="Q1213" s="21" t="str"/>
      <x:c r="R1213" s="21" t="str"/>
      <x:c r="S1213" s="21" t="str"/>
      <x:c r="T1213" s="17" t="str">
        <x:v>false</x:v>
      </x:c>
      <x:c r="U1213" s="17" t="str">
        <x:v>true</x:v>
      </x:c>
      <x:c r="V1213" s="17" t="str">
        <x:v>false</x:v>
      </x:c>
    </x:row>
    <x:row r="1214" ht="80" customHeight="1">
      <x:c r="A1214" s="25" t="str">
        <x:v>Gson</x:v>
      </x:c>
      <x:c r="B1214" s="25" t="n">
        <x:v>11</x:v>
      </x:c>
      <x:c r="C1214" s="25" t="str">
        <x:v>Round2</x:v>
      </x:c>
      <x:c r="D1214" s="25" t="str">
        <x:v>NOT_REVEALING</x:v>
      </x:c>
      <x:c r="E1214" s="25" t="str">
        <x:v>N/A</x:v>
      </x:c>
      <x:c r="F1214" s="26" t="str">
        <x:v>Same saved validation suite passed on buggy and fixed</x:v>
      </x:c>
      <x:c r="G1214" s="25" t="str">
        <x:v>true</x:v>
      </x:c>
      <x:c r="H1214" s="25" t="str">
        <x:v>NOT_REVEALING</x:v>
      </x:c>
      <x:c r="I1214" s="25" t="str">
        <x:v>PASS</x:v>
      </x:c>
      <x:c r="J1214" s="25" t="str">
        <x:v>PASS</x:v>
      </x:c>
      <x:c r="K1214" s="25" t="n">
        <x:v>2</x:v>
      </x:c>
      <x:c r="L1214" s="27" t="b">
        <x:v>0</x:v>
      </x:c>
      <x:c r="M1214" s="25" t="str">
        <x:v>Feedback-Directed Random Test Generation/rounds/Round2/state/Gson.json</x:v>
      </x:c>
      <x:c r="N1214" s="25" t="str">
        <x:v>Feedback-Directed Random Test Generation/Result_Round2/Gson_11/result.json</x:v>
      </x:c>
      <x:c r="O1214" s="25" t="str">
        <x:v>Feedback-Directed Random Test Generation/Result_Round2/Gson_11/result.json</x:v>
      </x:c>
      <x:c r="P1214"/>
      <x:c r="Q1214" s="21" t="str"/>
      <x:c r="R1214" s="21" t="str"/>
      <x:c r="S1214" s="21" t="str"/>
      <x:c r="T1214" s="17" t="str">
        <x:v>false</x:v>
      </x:c>
      <x:c r="U1214" s="17" t="str">
        <x:v>true</x:v>
      </x:c>
      <x:c r="V1214" s="17" t="str">
        <x:v>false</x:v>
      </x:c>
    </x:row>
    <x:row r="1215" ht="80" customHeight="1">
      <x:c r="A1215" s="25" t="str">
        <x:v>Gson</x:v>
      </x:c>
      <x:c r="B1215" s="25" t="n">
        <x:v>12</x:v>
      </x:c>
      <x:c r="C1215" s="25" t="str">
        <x:v>Round2</x:v>
      </x:c>
      <x:c r="D1215" s="25" t="str">
        <x:v>INCONCLUSIVE</x:v>
      </x:c>
      <x:c r="E1215" s="25" t="str">
        <x:v>N/A</x:v>
      </x:c>
      <x:c r="F1215" s="26" t="str">
        <x:v>Fixed also failed; assertion failure cannot be attributed to this bug; Assertions failed with measured coverage; paired execution and stage checks determine status</x:v>
      </x:c>
      <x:c r="G1215" s="25" t="str">
        <x:v>true</x:v>
      </x:c>
      <x:c r="H1215" s="25" t="str">
        <x:v>INCONCLUSIVE</x:v>
      </x:c>
      <x:c r="I1215" s="25" t="str">
        <x:v>FAIL</x:v>
      </x:c>
      <x:c r="J1215" s="25" t="str">
        <x:v>FAIL</x:v>
      </x:c>
      <x:c r="K1215" s="25" t="n">
        <x:v>13</x:v>
      </x:c>
      <x:c r="L1215" s="27" t="b">
        <x:v>0</x:v>
      </x:c>
      <x:c r="M1215" s="25" t="str">
        <x:v>Feedback-Directed Random Test Generation/rounds/Round2/state/Gson.json</x:v>
      </x:c>
      <x:c r="N1215" s="25" t="str">
        <x:v>Feedback-Directed Random Test Generation/Result_Round2/Gson_12/result.json</x:v>
      </x:c>
      <x:c r="O1215" s="25" t="str">
        <x:v>Feedback-Directed Random Test Generation/Result_Round2/Gson_12/result.json</x:v>
      </x:c>
      <x:c r="P1215"/>
      <x:c r="Q1215" s="21" t="str"/>
      <x:c r="R1215" s="21" t="str"/>
      <x:c r="S1215" s="21" t="str"/>
      <x:c r="T1215" s="17" t="str">
        <x:v>false</x:v>
      </x:c>
      <x:c r="U1215" s="17" t="str">
        <x:v>true</x:v>
      </x:c>
      <x:c r="V1215" s="17" t="str">
        <x:v>false</x:v>
      </x:c>
    </x:row>
    <x:row r="1216" ht="80" customHeight="1">
      <x:c r="A1216" s="25" t="str">
        <x:v>Gson</x:v>
      </x:c>
      <x:c r="B1216" s="25" t="n">
        <x:v>13</x:v>
      </x:c>
      <x:c r="C1216" s="25" t="str">
        <x:v>Round2</x:v>
      </x:c>
      <x:c r="D1216" s="25" t="str">
        <x:v>NOT_REVEALING</x:v>
      </x:c>
      <x:c r="E1216" s="25" t="str">
        <x:v>N/A</x:v>
      </x:c>
      <x:c r="F1216" s="26" t="str">
        <x:v>Same saved validation suite passed on buggy and fixed</x:v>
      </x:c>
      <x:c r="G1216" s="25" t="str">
        <x:v>true</x:v>
      </x:c>
      <x:c r="H1216" s="25" t="str">
        <x:v>NOT_REVEALING</x:v>
      </x:c>
      <x:c r="I1216" s="25" t="str">
        <x:v>PASS</x:v>
      </x:c>
      <x:c r="J1216" s="25" t="str">
        <x:v>PASS</x:v>
      </x:c>
      <x:c r="K1216" s="25" t="n">
        <x:v>2</x:v>
      </x:c>
      <x:c r="L1216" s="27" t="b">
        <x:v>0</x:v>
      </x:c>
      <x:c r="M1216" s="25" t="str">
        <x:v>Feedback-Directed Random Test Generation/rounds/Round2/state/Gson.json</x:v>
      </x:c>
      <x:c r="N1216" s="25" t="str">
        <x:v>Feedback-Directed Random Test Generation/Result_Round2/Gson_13/result.json</x:v>
      </x:c>
      <x:c r="O1216" s="25" t="str">
        <x:v>Feedback-Directed Random Test Generation/Result_Round2/Gson_13/result.json</x:v>
      </x:c>
      <x:c r="P1216"/>
      <x:c r="Q1216" s="21" t="str"/>
      <x:c r="R1216" s="21" t="str"/>
      <x:c r="S1216" s="21" t="str"/>
      <x:c r="T1216" s="17" t="str">
        <x:v>false</x:v>
      </x:c>
      <x:c r="U1216" s="17" t="str">
        <x:v>true</x:v>
      </x:c>
      <x:c r="V1216" s="17" t="str">
        <x:v>false</x:v>
      </x:c>
    </x:row>
    <x:row r="1217" ht="80" customHeight="1">
      <x:c r="A1217" s="25" t="str">
        <x:v>Gson</x:v>
      </x:c>
      <x:c r="B1217" s="25" t="n">
        <x:v>14</x:v>
      </x:c>
      <x:c r="C1217" s="25" t="str">
        <x:v>Round2</x:v>
      </x:c>
      <x:c r="D1217" s="25" t="str">
        <x:v>NOT_REVEALING</x:v>
      </x:c>
      <x:c r="E1217" s="25" t="str">
        <x:v>N/A</x:v>
      </x:c>
      <x:c r="F1217" s="26" t="str">
        <x:v>Same saved validation suite passed on buggy and fixed</x:v>
      </x:c>
      <x:c r="G1217" s="25" t="str">
        <x:v>true</x:v>
      </x:c>
      <x:c r="H1217" s="25" t="str">
        <x:v>NOT_REVEALING</x:v>
      </x:c>
      <x:c r="I1217" s="25" t="str">
        <x:v>PASS</x:v>
      </x:c>
      <x:c r="J1217" s="25" t="str">
        <x:v>PASS</x:v>
      </x:c>
      <x:c r="K1217" s="25" t="n">
        <x:v>2</x:v>
      </x:c>
      <x:c r="L1217" s="27" t="b">
        <x:v>0</x:v>
      </x:c>
      <x:c r="M1217" s="25" t="str">
        <x:v>Feedback-Directed Random Test Generation/rounds/Round2/state/Gson.json</x:v>
      </x:c>
      <x:c r="N1217" s="25" t="str">
        <x:v>Feedback-Directed Random Test Generation/Result_Round2/Gson_14/result.json</x:v>
      </x:c>
      <x:c r="O1217" s="25" t="str">
        <x:v>Feedback-Directed Random Test Generation/Result_Round2/Gson_14/result.json</x:v>
      </x:c>
      <x:c r="P1217"/>
      <x:c r="Q1217" s="21" t="str"/>
      <x:c r="R1217" s="21" t="str"/>
      <x:c r="S1217" s="21" t="str"/>
      <x:c r="T1217" s="17" t="str">
        <x:v>false</x:v>
      </x:c>
      <x:c r="U1217" s="17" t="str">
        <x:v>true</x:v>
      </x:c>
      <x:c r="V1217" s="17" t="str">
        <x:v>false</x:v>
      </x:c>
    </x:row>
    <x:row r="1218" ht="80" customHeight="1">
      <x:c r="A1218" s="25" t="str">
        <x:v>Gson</x:v>
      </x:c>
      <x:c r="B1218" s="25" t="n">
        <x:v>15</x:v>
      </x:c>
      <x:c r="C1218" s="25" t="str">
        <x:v>Round2</x:v>
      </x:c>
      <x:c r="D1218" s="25" t="str">
        <x:v>NOT_REVEALING</x:v>
      </x:c>
      <x:c r="E1218" s="25" t="str">
        <x:v>N/A</x:v>
      </x:c>
      <x:c r="F1218" s="26" t="str">
        <x:v>Same saved validation suite passed on buggy and fixed</x:v>
      </x:c>
      <x:c r="G1218" s="25" t="str">
        <x:v>true</x:v>
      </x:c>
      <x:c r="H1218" s="25" t="str">
        <x:v>NOT_REVEALING</x:v>
      </x:c>
      <x:c r="I1218" s="25" t="str">
        <x:v>PASS</x:v>
      </x:c>
      <x:c r="J1218" s="25" t="str">
        <x:v>PASS</x:v>
      </x:c>
      <x:c r="K1218" s="25" t="n">
        <x:v>2</x:v>
      </x:c>
      <x:c r="L1218" s="27" t="b">
        <x:v>0</x:v>
      </x:c>
      <x:c r="M1218" s="25" t="str">
        <x:v>Feedback-Directed Random Test Generation/rounds/Round2/state/Gson.json</x:v>
      </x:c>
      <x:c r="N1218" s="25" t="str">
        <x:v>Feedback-Directed Random Test Generation/Result_Round2/Gson_15/result.json</x:v>
      </x:c>
      <x:c r="O1218" s="25" t="str">
        <x:v>Feedback-Directed Random Test Generation/Result_Round2/Gson_15/result.json</x:v>
      </x:c>
      <x:c r="P1218"/>
      <x:c r="Q1218" s="21" t="str"/>
      <x:c r="R1218" s="21" t="str"/>
      <x:c r="S1218" s="21" t="str"/>
      <x:c r="T1218" s="17" t="str">
        <x:v>false</x:v>
      </x:c>
      <x:c r="U1218" s="17" t="str">
        <x:v>true</x:v>
      </x:c>
      <x:c r="V1218" s="17" t="str">
        <x:v>false</x:v>
      </x:c>
    </x:row>
    <x:row r="1219" ht="80" customHeight="1">
      <x:c r="A1219" s="25" t="str">
        <x:v>Gson</x:v>
      </x:c>
      <x:c r="B1219" s="25" t="n">
        <x:v>16</x:v>
      </x:c>
      <x:c r="C1219" s="25" t="str">
        <x:v>Round2</x:v>
      </x:c>
      <x:c r="D1219" s="25" t="str">
        <x:v>NOT_REVEALING</x:v>
      </x:c>
      <x:c r="E1219" s="25" t="str">
        <x:v>N/A</x:v>
      </x:c>
      <x:c r="F1219" s="26" t="str">
        <x:v>Same saved validation suite passed on buggy and fixed</x:v>
      </x:c>
      <x:c r="G1219" s="25" t="str">
        <x:v>true</x:v>
      </x:c>
      <x:c r="H1219" s="25" t="str">
        <x:v>NOT_REVEALING</x:v>
      </x:c>
      <x:c r="I1219" s="25" t="str">
        <x:v>PASS</x:v>
      </x:c>
      <x:c r="J1219" s="25" t="str">
        <x:v>PASS</x:v>
      </x:c>
      <x:c r="K1219" s="25" t="n">
        <x:v>2</x:v>
      </x:c>
      <x:c r="L1219" s="27" t="b">
        <x:v>0</x:v>
      </x:c>
      <x:c r="M1219" s="25" t="str">
        <x:v>Feedback-Directed Random Test Generation/rounds/Round2/state/Gson.json</x:v>
      </x:c>
      <x:c r="N1219" s="25" t="str">
        <x:v>Feedback-Directed Random Test Generation/Result_Round2/Gson_16/result.json</x:v>
      </x:c>
      <x:c r="O1219" s="25" t="str">
        <x:v>Feedback-Directed Random Test Generation/Result_Round2/Gson_16/result.json</x:v>
      </x:c>
      <x:c r="P1219"/>
      <x:c r="Q1219" s="21" t="str"/>
      <x:c r="R1219" s="21" t="str"/>
      <x:c r="S1219" s="21" t="str"/>
      <x:c r="T1219" s="17" t="str">
        <x:v>false</x:v>
      </x:c>
      <x:c r="U1219" s="17" t="str">
        <x:v>true</x:v>
      </x:c>
      <x:c r="V1219" s="17" t="str">
        <x:v>false</x:v>
      </x:c>
    </x:row>
    <x:row r="1220" ht="80" customHeight="1">
      <x:c r="A1220" s="25" t="str">
        <x:v>Gson</x:v>
      </x:c>
      <x:c r="B1220" s="25" t="n">
        <x:v>17</x:v>
      </x:c>
      <x:c r="C1220" s="25" t="str">
        <x:v>Round2</x:v>
      </x:c>
      <x:c r="D1220" s="25" t="str">
        <x:v>INCONCLUSIVE</x:v>
      </x:c>
      <x:c r="E1220" s="25" t="str">
        <x:v>N/A</x:v>
      </x:c>
      <x:c r="F1220" s="26" t="str">
        <x:v>Fixed also failed; assertion failure cannot be attributed to this bug; Assertions failed with measured coverage; paired execution and stage checks determine status</x:v>
      </x:c>
      <x:c r="G1220" s="25" t="str">
        <x:v>true</x:v>
      </x:c>
      <x:c r="H1220" s="25" t="str">
        <x:v>INCONCLUSIVE</x:v>
      </x:c>
      <x:c r="I1220" s="25" t="str">
        <x:v>FAIL</x:v>
      </x:c>
      <x:c r="J1220" s="25" t="str">
        <x:v>FAIL</x:v>
      </x:c>
      <x:c r="K1220" s="25" t="n">
        <x:v>14</x:v>
      </x:c>
      <x:c r="L1220" s="27" t="b">
        <x:v>0</x:v>
      </x:c>
      <x:c r="M1220" s="25" t="str">
        <x:v>Feedback-Directed Random Test Generation/rounds/Round2/state/Gson.json</x:v>
      </x:c>
      <x:c r="N1220" s="25" t="str">
        <x:v>Feedback-Directed Random Test Generation/Result_Round2/Gson_17/result.json</x:v>
      </x:c>
      <x:c r="O1220" s="25" t="str">
        <x:v>Feedback-Directed Random Test Generation/Result_Round2/Gson_17/result.json</x:v>
      </x:c>
      <x:c r="P1220"/>
      <x:c r="Q1220" s="21" t="str"/>
      <x:c r="R1220" s="21" t="str"/>
      <x:c r="S1220" s="21" t="str"/>
      <x:c r="T1220" s="17" t="str">
        <x:v>false</x:v>
      </x:c>
      <x:c r="U1220" s="17" t="str">
        <x:v>true</x:v>
      </x:c>
      <x:c r="V1220" s="17" t="str">
        <x:v>false</x:v>
      </x:c>
    </x:row>
    <x:row r="1221" ht="80" customHeight="1">
      <x:c r="A1221" s="25" t="str">
        <x:v>Gson</x:v>
      </x:c>
      <x:c r="B1221" s="25" t="n">
        <x:v>18</x:v>
      </x:c>
      <x:c r="C1221" s="25" t="str">
        <x:v>Round2</x:v>
      </x:c>
      <x:c r="D1221" s="25" t="str">
        <x:v>NOT_REVEALING</x:v>
      </x:c>
      <x:c r="E1221" s="25" t="str">
        <x:v>N/A</x:v>
      </x:c>
      <x:c r="F1221" s="26" t="str">
        <x:v>Same saved validation suite passed on buggy and fixed</x:v>
      </x:c>
      <x:c r="G1221" s="25" t="str">
        <x:v>true</x:v>
      </x:c>
      <x:c r="H1221" s="25" t="str">
        <x:v>NOT_REVEALING</x:v>
      </x:c>
      <x:c r="I1221" s="25" t="str">
        <x:v>PASS</x:v>
      </x:c>
      <x:c r="J1221" s="25" t="str">
        <x:v>PASS</x:v>
      </x:c>
      <x:c r="K1221" s="25" t="n">
        <x:v>2</x:v>
      </x:c>
      <x:c r="L1221" s="27" t="b">
        <x:v>0</x:v>
      </x:c>
      <x:c r="M1221" s="25" t="str">
        <x:v>Feedback-Directed Random Test Generation/rounds/Round2/state/Gson.json</x:v>
      </x:c>
      <x:c r="N1221" s="25" t="str">
        <x:v>Feedback-Directed Random Test Generation/Result_Round2/Gson_18/result.json</x:v>
      </x:c>
      <x:c r="O1221" s="25" t="str">
        <x:v>Feedback-Directed Random Test Generation/Result_Round2/Gson_18/result.json</x:v>
      </x:c>
      <x:c r="P1221"/>
      <x:c r="Q1221" s="21" t="str"/>
      <x:c r="R1221" s="21" t="str"/>
      <x:c r="S1221" s="21" t="str"/>
      <x:c r="T1221" s="17" t="str">
        <x:v>false</x:v>
      </x:c>
      <x:c r="U1221" s="17" t="str">
        <x:v>true</x:v>
      </x:c>
      <x:c r="V1221" s="17" t="str">
        <x:v>false</x:v>
      </x:c>
    </x:row>
    <x:row r="1222" ht="80" customHeight="1">
      <x:c r="A1222" s="25" t="str">
        <x:v>JacksonCore</x:v>
      </x:c>
      <x:c r="B1222" s="25" t="n">
        <x:v>1</x:v>
      </x:c>
      <x:c r="C1222" s="25" t="str">
        <x:v>Round2</x:v>
      </x:c>
      <x:c r="D1222" s="25" t="str">
        <x:v>INCONCLUSIVE</x:v>
      </x:c>
      <x:c r="E1222" s="25" t="str">
        <x:v>N/A</x:v>
      </x:c>
      <x:c r="F1222" s="26" t="str">
        <x:v>Fixed also failed; assertion failure cannot be attributed to this bug</x:v>
      </x:c>
      <x:c r="G1222" s="25" t="str">
        <x:v>true</x:v>
      </x:c>
      <x:c r="H1222" s="25" t="str">
        <x:v>INCONCLUSIVE</x:v>
      </x:c>
      <x:c r="I1222" s="25" t="str">
        <x:v>PASS</x:v>
      </x:c>
      <x:c r="J1222" s="25" t="str">
        <x:v>FAIL</x:v>
      </x:c>
      <x:c r="K1222" s="25" t="n">
        <x:v>11</x:v>
      </x:c>
      <x:c r="L1222" s="27" t="b">
        <x:v>0</x:v>
      </x:c>
      <x:c r="M1222" s="25" t="str">
        <x:v>Feedback-Directed Random Test Generation/rounds/Round2/state/JacksonCore.json</x:v>
      </x:c>
      <x:c r="N1222" s="25" t="str">
        <x:v>Feedback-Directed Random Test Generation/Result_Round2/JacksonCore_1/result.json</x:v>
      </x:c>
      <x:c r="O1222" s="25" t="str">
        <x:v>Feedback-Directed Random Test Generation/Result_Round2/JacksonCore_1/result.json</x:v>
      </x:c>
      <x:c r="P1222"/>
      <x:c r="Q1222" s="21" t="str"/>
      <x:c r="R1222" s="21" t="str"/>
      <x:c r="S1222" s="21" t="str"/>
      <x:c r="T1222" s="17" t="str">
        <x:v>false</x:v>
      </x:c>
      <x:c r="U1222" s="17" t="str">
        <x:v>true</x:v>
      </x:c>
      <x:c r="V1222" s="17" t="str">
        <x:v>false</x:v>
      </x:c>
    </x:row>
    <x:row r="1223" ht="80" customHeight="1">
      <x:c r="A1223" s="25" t="str">
        <x:v>JacksonCore</x:v>
      </x:c>
      <x:c r="B1223" s="25" t="n">
        <x:v>2</x:v>
      </x:c>
      <x:c r="C1223" s="25" t="str">
        <x:v>Round2</x:v>
      </x:c>
      <x:c r="D1223" s="25" t="str">
        <x:v>NOT_REVEALING</x:v>
      </x:c>
      <x:c r="E1223" s="25" t="str">
        <x:v>N/A</x:v>
      </x:c>
      <x:c r="F1223" s="26" t="str">
        <x:v>Same saved validation suite passed on buggy and fixed</x:v>
      </x:c>
      <x:c r="G1223" s="25" t="str">
        <x:v>true</x:v>
      </x:c>
      <x:c r="H1223" s="25" t="str">
        <x:v>NOT_REVEALING</x:v>
      </x:c>
      <x:c r="I1223" s="25" t="str">
        <x:v>PASS</x:v>
      </x:c>
      <x:c r="J1223" s="25" t="str">
        <x:v>PASS</x:v>
      </x:c>
      <x:c r="K1223" s="25" t="n">
        <x:v>10</x:v>
      </x:c>
      <x:c r="L1223" s="27" t="b">
        <x:v>0</x:v>
      </x:c>
      <x:c r="M1223" s="25" t="str">
        <x:v>Feedback-Directed Random Test Generation/rounds/Round2/state/JacksonCore.json</x:v>
      </x:c>
      <x:c r="N1223" s="25" t="str">
        <x:v>Feedback-Directed Random Test Generation/Result_Round2/JacksonCore_2/result.json</x:v>
      </x:c>
      <x:c r="O1223" s="25" t="str">
        <x:v>Feedback-Directed Random Test Generation/Result_Round2/JacksonCore_2/result.json</x:v>
      </x:c>
      <x:c r="P1223"/>
      <x:c r="Q1223" s="21" t="str"/>
      <x:c r="R1223" s="21" t="str"/>
      <x:c r="S1223" s="21" t="str"/>
      <x:c r="T1223" s="17" t="str">
        <x:v>false</x:v>
      </x:c>
      <x:c r="U1223" s="17" t="str">
        <x:v>true</x:v>
      </x:c>
      <x:c r="V1223" s="17" t="str">
        <x:v>false</x:v>
      </x:c>
    </x:row>
    <x:row r="1224" ht="80" customHeight="1">
      <x:c r="A1224" s="25" t="str">
        <x:v>JacksonCore</x:v>
      </x:c>
      <x:c r="B1224" s="25" t="n">
        <x:v>3</x:v>
      </x:c>
      <x:c r="C1224" s="25" t="str">
        <x:v>Round2</x:v>
      </x:c>
      <x:c r="D1224" s="25" t="str">
        <x:v>NOT_REVEALING</x:v>
      </x:c>
      <x:c r="E1224" s="25" t="str">
        <x:v>N/A</x:v>
      </x:c>
      <x:c r="F1224" s="26" t="str">
        <x:v>Same saved validation suite passed on buggy and fixed</x:v>
      </x:c>
      <x:c r="G1224" s="25" t="str">
        <x:v>true</x:v>
      </x:c>
      <x:c r="H1224" s="25" t="str">
        <x:v>NOT_REVEALING</x:v>
      </x:c>
      <x:c r="I1224" s="25" t="str">
        <x:v>PASS</x:v>
      </x:c>
      <x:c r="J1224" s="25" t="str">
        <x:v>PASS</x:v>
      </x:c>
      <x:c r="K1224" s="25" t="n">
        <x:v>11</x:v>
      </x:c>
      <x:c r="L1224" s="27" t="b">
        <x:v>0</x:v>
      </x:c>
      <x:c r="M1224" s="25" t="str">
        <x:v>Feedback-Directed Random Test Generation/rounds/Round2/state/JacksonCore.json</x:v>
      </x:c>
      <x:c r="N1224" s="25" t="str">
        <x:v>Feedback-Directed Random Test Generation/Result_Round2/JacksonCore_3/result.json</x:v>
      </x:c>
      <x:c r="O1224" s="25" t="str">
        <x:v>Feedback-Directed Random Test Generation/Result_Round2/JacksonCore_3/result.json</x:v>
      </x:c>
      <x:c r="P1224"/>
      <x:c r="Q1224" s="21" t="str"/>
      <x:c r="R1224" s="21" t="str"/>
      <x:c r="S1224" s="21" t="str"/>
      <x:c r="T1224" s="17" t="str">
        <x:v>false</x:v>
      </x:c>
      <x:c r="U1224" s="17" t="str">
        <x:v>true</x:v>
      </x:c>
      <x:c r="V1224" s="17" t="str">
        <x:v>false</x:v>
      </x:c>
    </x:row>
    <x:row r="1225" ht="80" customHeight="1">
      <x:c r="A1225" s="25" t="str">
        <x:v>JacksonCore</x:v>
      </x:c>
      <x:c r="B1225" s="25" t="n">
        <x:v>4</x:v>
      </x:c>
      <x:c r="C1225" s="25" t="str">
        <x:v>Round2</x:v>
      </x:c>
      <x:c r="D1225" s="25" t="str">
        <x:v>NOT_REVEALING</x:v>
      </x:c>
      <x:c r="E1225" s="25" t="str">
        <x:v>N/A</x:v>
      </x:c>
      <x:c r="F1225" s="26" t="str">
        <x:v>Same saved validation suite passed on buggy and fixed</x:v>
      </x:c>
      <x:c r="G1225" s="25" t="str">
        <x:v>true</x:v>
      </x:c>
      <x:c r="H1225" s="25" t="str">
        <x:v>NOT_REVEALING</x:v>
      </x:c>
      <x:c r="I1225" s="25" t="str">
        <x:v>PASS</x:v>
      </x:c>
      <x:c r="J1225" s="25" t="str">
        <x:v>PASS</x:v>
      </x:c>
      <x:c r="K1225" s="25" t="n">
        <x:v>10</x:v>
      </x:c>
      <x:c r="L1225" s="27" t="b">
        <x:v>0</x:v>
      </x:c>
      <x:c r="M1225" s="25" t="str">
        <x:v>Feedback-Directed Random Test Generation/rounds/Round2/state/JacksonCore.json</x:v>
      </x:c>
      <x:c r="N1225" s="25" t="str">
        <x:v>Feedback-Directed Random Test Generation/Result_Round2/JacksonCore_4/result.json</x:v>
      </x:c>
      <x:c r="O1225" s="25" t="str">
        <x:v>Feedback-Directed Random Test Generation/Result_Round2/JacksonCore_4/result.json</x:v>
      </x:c>
      <x:c r="P1225"/>
      <x:c r="Q1225" s="21" t="str"/>
      <x:c r="R1225" s="21" t="str"/>
      <x:c r="S1225" s="21" t="str"/>
      <x:c r="T1225" s="17" t="str">
        <x:v>false</x:v>
      </x:c>
      <x:c r="U1225" s="17" t="str">
        <x:v>true</x:v>
      </x:c>
      <x:c r="V1225" s="17" t="str">
        <x:v>false</x:v>
      </x:c>
    </x:row>
    <x:row r="1226" ht="80" customHeight="1">
      <x:c r="A1226" s="25" t="str">
        <x:v>JacksonCore</x:v>
      </x:c>
      <x:c r="B1226" s="25" t="n">
        <x:v>5</x:v>
      </x:c>
      <x:c r="C1226" s="25" t="str">
        <x:v>Round2</x:v>
      </x:c>
      <x:c r="D1226" s="25" t="str">
        <x:v>NOT_REVEALING</x:v>
      </x:c>
      <x:c r="E1226" s="25" t="str">
        <x:v>N/A</x:v>
      </x:c>
      <x:c r="F1226" s="26" t="str">
        <x:v>Same saved validation suite passed on buggy and fixed</x:v>
      </x:c>
      <x:c r="G1226" s="25" t="str">
        <x:v>true</x:v>
      </x:c>
      <x:c r="H1226" s="25" t="str">
        <x:v>NOT_REVEALING</x:v>
      </x:c>
      <x:c r="I1226" s="25" t="str">
        <x:v>PASS</x:v>
      </x:c>
      <x:c r="J1226" s="25" t="str">
        <x:v>PASS</x:v>
      </x:c>
      <x:c r="K1226" s="25" t="n">
        <x:v>9</x:v>
      </x:c>
      <x:c r="L1226" s="27" t="b">
        <x:v>0</x:v>
      </x:c>
      <x:c r="M1226" s="25" t="str">
        <x:v>Feedback-Directed Random Test Generation/rounds/Round2/state/JacksonCore.json</x:v>
      </x:c>
      <x:c r="N1226" s="25" t="str">
        <x:v>Feedback-Directed Random Test Generation/Result_Round2/JacksonCore_5/result.json</x:v>
      </x:c>
      <x:c r="O1226" s="25" t="str">
        <x:v>Feedback-Directed Random Test Generation/Result_Round2/JacksonCore_5/result.json</x:v>
      </x:c>
      <x:c r="P1226"/>
      <x:c r="Q1226" s="21" t="str"/>
      <x:c r="R1226" s="21" t="str"/>
      <x:c r="S1226" s="21" t="str"/>
      <x:c r="T1226" s="17" t="str">
        <x:v>false</x:v>
      </x:c>
      <x:c r="U1226" s="17" t="str">
        <x:v>true</x:v>
      </x:c>
      <x:c r="V1226" s="17" t="str">
        <x:v>false</x:v>
      </x:c>
    </x:row>
    <x:row r="1227" ht="80" customHeight="1">
      <x:c r="A1227" s="25" t="str">
        <x:v>JacksonCore</x:v>
      </x:c>
      <x:c r="B1227" s="25" t="n">
        <x:v>6</x:v>
      </x:c>
      <x:c r="C1227" s="25" t="str">
        <x:v>Round2</x:v>
      </x:c>
      <x:c r="D1227" s="25" t="str">
        <x:v>NOT_REVEALING</x:v>
      </x:c>
      <x:c r="E1227" s="25" t="str">
        <x:v>N/A</x:v>
      </x:c>
      <x:c r="F1227" s="26" t="str">
        <x:v>Same saved validation suite passed on buggy and fixed</x:v>
      </x:c>
      <x:c r="G1227" s="25" t="str">
        <x:v>true</x:v>
      </x:c>
      <x:c r="H1227" s="25" t="str">
        <x:v>NOT_REVEALING</x:v>
      </x:c>
      <x:c r="I1227" s="25" t="str">
        <x:v>PASS</x:v>
      </x:c>
      <x:c r="J1227" s="25" t="str">
        <x:v>PASS</x:v>
      </x:c>
      <x:c r="K1227" s="25" t="n">
        <x:v>8</x:v>
      </x:c>
      <x:c r="L1227" s="27" t="b">
        <x:v>0</x:v>
      </x:c>
      <x:c r="M1227" s="25" t="str">
        <x:v>Feedback-Directed Random Test Generation/rounds/Round2/state/JacksonCore.json</x:v>
      </x:c>
      <x:c r="N1227" s="25" t="str">
        <x:v>Feedback-Directed Random Test Generation/Result_Round2/JacksonCore_6/result.json</x:v>
      </x:c>
      <x:c r="O1227" s="25" t="str">
        <x:v>Feedback-Directed Random Test Generation/Result_Round2/JacksonCore_6/result.json</x:v>
      </x:c>
      <x:c r="P1227"/>
      <x:c r="Q1227" s="21" t="str"/>
      <x:c r="R1227" s="21" t="str"/>
      <x:c r="S1227" s="21" t="str"/>
      <x:c r="T1227" s="17" t="str">
        <x:v>false</x:v>
      </x:c>
      <x:c r="U1227" s="17" t="str">
        <x:v>true</x:v>
      </x:c>
      <x:c r="V1227" s="17" t="str">
        <x:v>false</x:v>
      </x:c>
    </x:row>
    <x:row r="1228" ht="80" customHeight="1">
      <x:c r="A1228" s="25" t="str">
        <x:v>JacksonCore</x:v>
      </x:c>
      <x:c r="B1228" s="25" t="n">
        <x:v>7</x:v>
      </x:c>
      <x:c r="C1228" s="25" t="str">
        <x:v>Round2</x:v>
      </x:c>
      <x:c r="D1228" s="25" t="str">
        <x:v>INCONCLUSIVE</x:v>
      </x:c>
      <x:c r="E1228" s="25" t="str">
        <x:v>N/A</x:v>
      </x:c>
      <x:c r="F1228" s="26" t="str">
        <x:v>Fixed also failed; assertion failure cannot be attributed to this bug</x:v>
      </x:c>
      <x:c r="G1228" s="25" t="str">
        <x:v>true</x:v>
      </x:c>
      <x:c r="H1228" s="25" t="str">
        <x:v>INCONCLUSIVE</x:v>
      </x:c>
      <x:c r="I1228" s="25" t="str">
        <x:v>PASS</x:v>
      </x:c>
      <x:c r="J1228" s="25" t="str">
        <x:v>FAIL</x:v>
      </x:c>
      <x:c r="K1228" s="25" t="n">
        <x:v>8</x:v>
      </x:c>
      <x:c r="L1228" s="27" t="b">
        <x:v>0</x:v>
      </x:c>
      <x:c r="M1228" s="25" t="str">
        <x:v>Feedback-Directed Random Test Generation/rounds/Round2/state/JacksonCore.json</x:v>
      </x:c>
      <x:c r="N1228" s="25" t="str">
        <x:v>Feedback-Directed Random Test Generation/Result_Round2/JacksonCore_7/result.json</x:v>
      </x:c>
      <x:c r="O1228" s="25" t="str">
        <x:v>Feedback-Directed Random Test Generation/Result_Round2/JacksonCore_7/result.json</x:v>
      </x:c>
      <x:c r="P1228"/>
      <x:c r="Q1228" s="21" t="str"/>
      <x:c r="R1228" s="21" t="str"/>
      <x:c r="S1228" s="21" t="str"/>
      <x:c r="T1228" s="17" t="str">
        <x:v>false</x:v>
      </x:c>
      <x:c r="U1228" s="17" t="str">
        <x:v>true</x:v>
      </x:c>
      <x:c r="V1228" s="17" t="str">
        <x:v>false</x:v>
      </x:c>
    </x:row>
    <x:row r="1229" ht="80" customHeight="1">
      <x:c r="A1229" s="25" t="str">
        <x:v>JacksonCore</x:v>
      </x:c>
      <x:c r="B1229" s="25" t="n">
        <x:v>8</x:v>
      </x:c>
      <x:c r="C1229" s="25" t="str">
        <x:v>Round2</x:v>
      </x:c>
      <x:c r="D1229" s="25" t="str">
        <x:v>INCONCLUSIVE</x:v>
      </x:c>
      <x:c r="E1229" s="25" t="str">
        <x:v>N/A</x:v>
      </x:c>
      <x:c r="F1229" s="26" t="str">
        <x:v>Fixed also failed; assertion failure cannot be attributed to this bug</x:v>
      </x:c>
      <x:c r="G1229" s="25" t="str">
        <x:v>true</x:v>
      </x:c>
      <x:c r="H1229" s="25" t="str">
        <x:v>INCONCLUSIVE</x:v>
      </x:c>
      <x:c r="I1229" s="25" t="str">
        <x:v>PASS</x:v>
      </x:c>
      <x:c r="J1229" s="25" t="str">
        <x:v>FAIL</x:v>
      </x:c>
      <x:c r="K1229" s="25" t="n">
        <x:v>10</x:v>
      </x:c>
      <x:c r="L1229" s="27" t="b">
        <x:v>0</x:v>
      </x:c>
      <x:c r="M1229" s="25" t="str">
        <x:v>Feedback-Directed Random Test Generation/rounds/Round2/state/JacksonCore.json</x:v>
      </x:c>
      <x:c r="N1229" s="25" t="str">
        <x:v>Feedback-Directed Random Test Generation/Result_Round2/JacksonCore_8/result.json</x:v>
      </x:c>
      <x:c r="O1229" s="25" t="str">
        <x:v>Feedback-Directed Random Test Generation/Result_Round2/JacksonCore_8/result.json</x:v>
      </x:c>
      <x:c r="P1229"/>
      <x:c r="Q1229" s="21" t="str"/>
      <x:c r="R1229" s="21" t="str"/>
      <x:c r="S1229" s="21" t="str"/>
      <x:c r="T1229" s="17" t="str">
        <x:v>false</x:v>
      </x:c>
      <x:c r="U1229" s="17" t="str">
        <x:v>true</x:v>
      </x:c>
      <x:c r="V1229" s="17" t="str">
        <x:v>false</x:v>
      </x:c>
    </x:row>
    <x:row r="1230" ht="80" customHeight="1">
      <x:c r="A1230" s="25" t="str">
        <x:v>JacksonCore</x:v>
      </x:c>
      <x:c r="B1230" s="25" t="n">
        <x:v>9</x:v>
      </x:c>
      <x:c r="C1230" s="25" t="str">
        <x:v>Round2</x:v>
      </x:c>
      <x:c r="D1230" s="25" t="str">
        <x:v>NOT_REVEALING</x:v>
      </x:c>
      <x:c r="E1230" s="25" t="str">
        <x:v>N/A</x:v>
      </x:c>
      <x:c r="F1230" s="26" t="str">
        <x:v>Same saved validation suite passed on buggy and fixed</x:v>
      </x:c>
      <x:c r="G1230" s="25" t="str">
        <x:v>true</x:v>
      </x:c>
      <x:c r="H1230" s="25" t="str">
        <x:v>NOT_REVEALING</x:v>
      </x:c>
      <x:c r="I1230" s="25" t="str">
        <x:v>PASS</x:v>
      </x:c>
      <x:c r="J1230" s="25" t="str">
        <x:v>PASS</x:v>
      </x:c>
      <x:c r="K1230" s="25" t="n">
        <x:v>10</x:v>
      </x:c>
      <x:c r="L1230" s="27" t="b">
        <x:v>0</x:v>
      </x:c>
      <x:c r="M1230" s="25" t="str">
        <x:v>Feedback-Directed Random Test Generation/rounds/Round2/state/JacksonCore.json</x:v>
      </x:c>
      <x:c r="N1230" s="25" t="str">
        <x:v>Feedback-Directed Random Test Generation/Result_Round2/JacksonCore_9/result.json</x:v>
      </x:c>
      <x:c r="O1230" s="25" t="str">
        <x:v>Feedback-Directed Random Test Generation/Result_Round2/JacksonCore_9/result.json</x:v>
      </x:c>
      <x:c r="P1230"/>
      <x:c r="Q1230" s="21" t="str"/>
      <x:c r="R1230" s="21" t="str"/>
      <x:c r="S1230" s="21" t="str"/>
      <x:c r="T1230" s="17" t="str">
        <x:v>false</x:v>
      </x:c>
      <x:c r="U1230" s="17" t="str">
        <x:v>true</x:v>
      </x:c>
      <x:c r="V1230" s="17" t="str">
        <x:v>false</x:v>
      </x:c>
    </x:row>
    <x:row r="1231" ht="80" customHeight="1">
      <x:c r="A1231" s="25" t="str">
        <x:v>JacksonCore</x:v>
      </x:c>
      <x:c r="B1231" s="25" t="n">
        <x:v>10</x:v>
      </x:c>
      <x:c r="C1231" s="25" t="str">
        <x:v>Round2</x:v>
      </x:c>
      <x:c r="D1231" s="25" t="str">
        <x:v>INCONCLUSIVE</x:v>
      </x:c>
      <x:c r="E1231" s="25" t="str">
        <x:v>N/A</x:v>
      </x:c>
      <x:c r="F1231" s="26" t="str">
        <x:v>Fixed also failed; assertion failure cannot be attributed to this bug; Assertions failed with measured coverage; paired execution and stage checks determine status</x:v>
      </x:c>
      <x:c r="G1231" s="25" t="str">
        <x:v>true</x:v>
      </x:c>
      <x:c r="H1231" s="25" t="str">
        <x:v>INCONCLUSIVE</x:v>
      </x:c>
      <x:c r="I1231" s="25" t="str">
        <x:v>FAIL</x:v>
      </x:c>
      <x:c r="J1231" s="25" t="str">
        <x:v>FAIL</x:v>
      </x:c>
      <x:c r="K1231" s="25" t="n">
        <x:v>9</x:v>
      </x:c>
      <x:c r="L1231" s="27" t="b">
        <x:v>0</x:v>
      </x:c>
      <x:c r="M1231" s="25" t="str">
        <x:v>Feedback-Directed Random Test Generation/rounds/Round2/state/JacksonCore.json</x:v>
      </x:c>
      <x:c r="N1231" s="25" t="str">
        <x:v>Feedback-Directed Random Test Generation/Result_Round2/JacksonCore_10/result.json</x:v>
      </x:c>
      <x:c r="O1231" s="25" t="str">
        <x:v>Feedback-Directed Random Test Generation/Result_Round2/JacksonCore_10/result.json</x:v>
      </x:c>
      <x:c r="P1231"/>
      <x:c r="Q1231" s="21" t="str"/>
      <x:c r="R1231" s="21" t="str"/>
      <x:c r="S1231" s="21" t="str"/>
      <x:c r="T1231" s="17" t="str">
        <x:v>false</x:v>
      </x:c>
      <x:c r="U1231" s="17" t="str">
        <x:v>true</x:v>
      </x:c>
      <x:c r="V1231" s="17" t="str">
        <x:v>false</x:v>
      </x:c>
    </x:row>
    <x:row r="1232" ht="80" customHeight="1">
      <x:c r="A1232" s="25" t="str">
        <x:v>JacksonCore</x:v>
      </x:c>
      <x:c r="B1232" s="25" t="n">
        <x:v>11</x:v>
      </x:c>
      <x:c r="C1232" s="25" t="str">
        <x:v>Round2</x:v>
      </x:c>
      <x:c r="D1232" s="25" t="str">
        <x:v>INCONCLUSIVE</x:v>
      </x:c>
      <x:c r="E1232" s="25" t="str">
        <x:v>N/A</x:v>
      </x:c>
      <x:c r="F1232" s="26" t="str">
        <x:v>Fixed also failed; assertion failure cannot be attributed to this bug; Assertions failed with measured coverage; paired execution and stage checks determine status</x:v>
      </x:c>
      <x:c r="G1232" s="25" t="str">
        <x:v>true</x:v>
      </x:c>
      <x:c r="H1232" s="25" t="str">
        <x:v>INCONCLUSIVE</x:v>
      </x:c>
      <x:c r="I1232" s="25" t="str">
        <x:v>FAIL</x:v>
      </x:c>
      <x:c r="J1232" s="25" t="str">
        <x:v>FAIL</x:v>
      </x:c>
      <x:c r="K1232" s="25" t="n">
        <x:v>9</x:v>
      </x:c>
      <x:c r="L1232" s="27" t="b">
        <x:v>0</x:v>
      </x:c>
      <x:c r="M1232" s="25" t="str">
        <x:v>Feedback-Directed Random Test Generation/rounds/Round2/state/JacksonCore.json</x:v>
      </x:c>
      <x:c r="N1232" s="25" t="str">
        <x:v>Feedback-Directed Random Test Generation/Result_Round2/JacksonCore_11/result.json</x:v>
      </x:c>
      <x:c r="O1232" s="25" t="str">
        <x:v>Feedback-Directed Random Test Generation/Result_Round2/JacksonCore_11/result.json</x:v>
      </x:c>
      <x:c r="P1232"/>
      <x:c r="Q1232" s="21" t="str"/>
      <x:c r="R1232" s="21" t="str"/>
      <x:c r="S1232" s="21" t="str"/>
      <x:c r="T1232" s="17" t="str">
        <x:v>false</x:v>
      </x:c>
      <x:c r="U1232" s="17" t="str">
        <x:v>true</x:v>
      </x:c>
      <x:c r="V1232" s="17" t="str">
        <x:v>false</x:v>
      </x:c>
    </x:row>
    <x:row r="1233" ht="80" customHeight="1">
      <x:c r="A1233" s="25" t="str">
        <x:v>JacksonCore</x:v>
      </x:c>
      <x:c r="B1233" s="25" t="n">
        <x:v>12</x:v>
      </x:c>
      <x:c r="C1233" s="25" t="str">
        <x:v>Round2</x:v>
      </x:c>
      <x:c r="D1233" s="25" t="str">
        <x:v>NOT_REVEALING</x:v>
      </x:c>
      <x:c r="E1233" s="25" t="str">
        <x:v>N/A</x:v>
      </x:c>
      <x:c r="F1233" s="26" t="str">
        <x:v>Same saved validation suite passed on buggy and fixed</x:v>
      </x:c>
      <x:c r="G1233" s="25" t="str">
        <x:v>true</x:v>
      </x:c>
      <x:c r="H1233" s="25" t="str">
        <x:v>NOT_REVEALING</x:v>
      </x:c>
      <x:c r="I1233" s="25" t="str">
        <x:v>PASS</x:v>
      </x:c>
      <x:c r="J1233" s="25" t="str">
        <x:v>PASS</x:v>
      </x:c>
      <x:c r="K1233" s="25" t="n">
        <x:v>11</x:v>
      </x:c>
      <x:c r="L1233" s="27" t="b">
        <x:v>0</x:v>
      </x:c>
      <x:c r="M1233" s="25" t="str">
        <x:v>Feedback-Directed Random Test Generation/rounds/Round2/state/JacksonCore.json</x:v>
      </x:c>
      <x:c r="N1233" s="25" t="str">
        <x:v>Feedback-Directed Random Test Generation/Result_Round2/JacksonCore_12/result.json</x:v>
      </x:c>
      <x:c r="O1233" s="25" t="str">
        <x:v>Feedback-Directed Random Test Generation/Result_Round2/JacksonCore_12/result.json</x:v>
      </x:c>
      <x:c r="P1233"/>
      <x:c r="Q1233" s="21" t="str"/>
      <x:c r="R1233" s="21" t="str"/>
      <x:c r="S1233" s="21" t="str"/>
      <x:c r="T1233" s="17" t="str">
        <x:v>false</x:v>
      </x:c>
      <x:c r="U1233" s="17" t="str">
        <x:v>true</x:v>
      </x:c>
      <x:c r="V1233" s="17" t="str">
        <x:v>false</x:v>
      </x:c>
    </x:row>
    <x:row r="1234" ht="80" customHeight="1">
      <x:c r="A1234" s="25" t="str">
        <x:v>JacksonCore</x:v>
      </x:c>
      <x:c r="B1234" s="25" t="n">
        <x:v>13</x:v>
      </x:c>
      <x:c r="C1234" s="25" t="str">
        <x:v>Round2</x:v>
      </x:c>
      <x:c r="D1234" s="25" t="str">
        <x:v>NOT_REVEALING</x:v>
      </x:c>
      <x:c r="E1234" s="25" t="str">
        <x:v>N/A</x:v>
      </x:c>
      <x:c r="F1234" s="26" t="str">
        <x:v>Same saved validation suite passed on buggy and fixed</x:v>
      </x:c>
      <x:c r="G1234" s="25" t="str">
        <x:v>true</x:v>
      </x:c>
      <x:c r="H1234" s="25" t="str">
        <x:v>NOT_REVEALING</x:v>
      </x:c>
      <x:c r="I1234" s="25" t="str">
        <x:v>PASS</x:v>
      </x:c>
      <x:c r="J1234" s="25" t="str">
        <x:v>PASS</x:v>
      </x:c>
      <x:c r="K1234" s="25" t="n">
        <x:v>2</x:v>
      </x:c>
      <x:c r="L1234" s="27" t="b">
        <x:v>0</x:v>
      </x:c>
      <x:c r="M1234" s="25" t="str">
        <x:v>Feedback-Directed Random Test Generation/rounds/Round2/state/JacksonCore.json</x:v>
      </x:c>
      <x:c r="N1234" s="25" t="str">
        <x:v>Feedback-Directed Random Test Generation/Result_Round2/JacksonCore_13/result.json</x:v>
      </x:c>
      <x:c r="O1234" s="25" t="str">
        <x:v>Feedback-Directed Random Test Generation/Result_Round2/JacksonCore_13/result.json</x:v>
      </x:c>
      <x:c r="P1234"/>
      <x:c r="Q1234" s="21" t="str"/>
      <x:c r="R1234" s="21" t="str"/>
      <x:c r="S1234" s="21" t="str"/>
      <x:c r="T1234" s="17" t="str">
        <x:v>false</x:v>
      </x:c>
      <x:c r="U1234" s="17" t="str">
        <x:v>true</x:v>
      </x:c>
      <x:c r="V1234" s="17" t="str">
        <x:v>false</x:v>
      </x:c>
    </x:row>
    <x:row r="1235" ht="80" customHeight="1">
      <x:c r="A1235" s="25" t="str">
        <x:v>JacksonCore</x:v>
      </x:c>
      <x:c r="B1235" s="25" t="n">
        <x:v>14</x:v>
      </x:c>
      <x:c r="C1235" s="25" t="str">
        <x:v>Round2</x:v>
      </x:c>
      <x:c r="D1235" s="25" t="str">
        <x:v>INCONCLUSIVE</x:v>
      </x:c>
      <x:c r="E1235" s="25" t="str">
        <x:v>N/A</x:v>
      </x:c>
      <x:c r="F1235" s="26" t="str">
        <x:v>Fixed also failed; assertion failure cannot be attributed to this bug</x:v>
      </x:c>
      <x:c r="G1235" s="25" t="str">
        <x:v>true</x:v>
      </x:c>
      <x:c r="H1235" s="25" t="str">
        <x:v>INCONCLUSIVE</x:v>
      </x:c>
      <x:c r="I1235" s="25" t="str">
        <x:v>PASS</x:v>
      </x:c>
      <x:c r="J1235" s="25" t="str">
        <x:v>FAIL</x:v>
      </x:c>
      <x:c r="K1235" s="25" t="n">
        <x:v>9</x:v>
      </x:c>
      <x:c r="L1235" s="27" t="b">
        <x:v>0</x:v>
      </x:c>
      <x:c r="M1235" s="25" t="str">
        <x:v>Feedback-Directed Random Test Generation/rounds/Round2/state/JacksonCore.json</x:v>
      </x:c>
      <x:c r="N1235" s="25" t="str">
        <x:v>Feedback-Directed Random Test Generation/Result_Round2/JacksonCore_14/result.json</x:v>
      </x:c>
      <x:c r="O1235" s="25" t="str">
        <x:v>Feedback-Directed Random Test Generation/Result_Round2/JacksonCore_14/result.json</x:v>
      </x:c>
      <x:c r="P1235"/>
      <x:c r="Q1235" s="21" t="str"/>
      <x:c r="R1235" s="21" t="str"/>
      <x:c r="S1235" s="21" t="str"/>
      <x:c r="T1235" s="17" t="str">
        <x:v>false</x:v>
      </x:c>
      <x:c r="U1235" s="17" t="str">
        <x:v>true</x:v>
      </x:c>
      <x:c r="V1235" s="17" t="str">
        <x:v>false</x:v>
      </x:c>
    </x:row>
    <x:row r="1236" ht="80" customHeight="1">
      <x:c r="A1236" s="25" t="str">
        <x:v>JacksonCore</x:v>
      </x:c>
      <x:c r="B1236" s="25" t="n">
        <x:v>15</x:v>
      </x:c>
      <x:c r="C1236" s="25" t="str">
        <x:v>Round2</x:v>
      </x:c>
      <x:c r="D1236" s="25" t="str">
        <x:v>NOT_REVEALING</x:v>
      </x:c>
      <x:c r="E1236" s="25" t="str">
        <x:v>N/A</x:v>
      </x:c>
      <x:c r="F1236" s="26" t="str">
        <x:v>Same saved validation suite passed on buggy and fixed</x:v>
      </x:c>
      <x:c r="G1236" s="25" t="str">
        <x:v>true</x:v>
      </x:c>
      <x:c r="H1236" s="25" t="str">
        <x:v>NOT_REVEALING</x:v>
      </x:c>
      <x:c r="I1236" s="25" t="str">
        <x:v>PASS</x:v>
      </x:c>
      <x:c r="J1236" s="25" t="str">
        <x:v>PASS</x:v>
      </x:c>
      <x:c r="K1236" s="25" t="n">
        <x:v>11</x:v>
      </x:c>
      <x:c r="L1236" s="27" t="b">
        <x:v>0</x:v>
      </x:c>
      <x:c r="M1236" s="25" t="str">
        <x:v>Feedback-Directed Random Test Generation/rounds/Round2/state/JacksonCore.json</x:v>
      </x:c>
      <x:c r="N1236" s="25" t="str">
        <x:v>Feedback-Directed Random Test Generation/Result_Round2/JacksonCore_15/result.json</x:v>
      </x:c>
      <x:c r="O1236" s="25" t="str">
        <x:v>Feedback-Directed Random Test Generation/Result_Round2/JacksonCore_15/result.json</x:v>
      </x:c>
      <x:c r="P1236"/>
      <x:c r="Q1236" s="21" t="str"/>
      <x:c r="R1236" s="21" t="str"/>
      <x:c r="S1236" s="21" t="str"/>
      <x:c r="T1236" s="17" t="str">
        <x:v>false</x:v>
      </x:c>
      <x:c r="U1236" s="17" t="str">
        <x:v>true</x:v>
      </x:c>
      <x:c r="V1236" s="17" t="str">
        <x:v>false</x:v>
      </x:c>
    </x:row>
    <x:row r="1237" ht="80" customHeight="1">
      <x:c r="A1237" s="25" t="str">
        <x:v>JacksonCore</x:v>
      </x:c>
      <x:c r="B1237" s="25" t="n">
        <x:v>16</x:v>
      </x:c>
      <x:c r="C1237" s="25" t="str">
        <x:v>Round2</x:v>
      </x:c>
      <x:c r="D1237" s="25" t="str">
        <x:v>INCONCLUSIVE</x:v>
      </x:c>
      <x:c r="E1237" s="25" t="str">
        <x:v>N/A</x:v>
      </x:c>
      <x:c r="F1237" s="26" t="str">
        <x:v>Fixed also failed; assertion failure cannot be attributed to this bug</x:v>
      </x:c>
      <x:c r="G1237" s="25" t="str">
        <x:v>true</x:v>
      </x:c>
      <x:c r="H1237" s="25" t="str">
        <x:v>INCONCLUSIVE</x:v>
      </x:c>
      <x:c r="I1237" s="25" t="str">
        <x:v>PASS</x:v>
      </x:c>
      <x:c r="J1237" s="25" t="str">
        <x:v>FAIL</x:v>
      </x:c>
      <x:c r="K1237" s="25" t="n">
        <x:v>12</x:v>
      </x:c>
      <x:c r="L1237" s="27" t="b">
        <x:v>0</x:v>
      </x:c>
      <x:c r="M1237" s="25" t="str">
        <x:v>Feedback-Directed Random Test Generation/rounds/Round2/state/JacksonCore.json</x:v>
      </x:c>
      <x:c r="N1237" s="25" t="str">
        <x:v>Feedback-Directed Random Test Generation/Result_Round2/JacksonCore_16/result.json</x:v>
      </x:c>
      <x:c r="O1237" s="25" t="str">
        <x:v>Feedback-Directed Random Test Generation/Result_Round2/JacksonCore_16/result.json</x:v>
      </x:c>
      <x:c r="P1237"/>
      <x:c r="Q1237" s="21" t="str"/>
      <x:c r="R1237" s="21" t="str"/>
      <x:c r="S1237" s="21" t="str"/>
      <x:c r="T1237" s="17" t="str">
        <x:v>false</x:v>
      </x:c>
      <x:c r="U1237" s="17" t="str">
        <x:v>true</x:v>
      </x:c>
      <x:c r="V1237" s="17" t="str">
        <x:v>false</x:v>
      </x:c>
    </x:row>
    <x:row r="1238" ht="80" customHeight="1">
      <x:c r="A1238" s="25" t="str">
        <x:v>JacksonCore</x:v>
      </x:c>
      <x:c r="B1238" s="25" t="n">
        <x:v>17</x:v>
      </x:c>
      <x:c r="C1238" s="25" t="str">
        <x:v>Round2</x:v>
      </x:c>
      <x:c r="D1238" s="25" t="str">
        <x:v>NOT_REVEALING</x:v>
      </x:c>
      <x:c r="E1238" s="25" t="str">
        <x:v>N/A</x:v>
      </x:c>
      <x:c r="F1238" s="26" t="str">
        <x:v>Same saved validation suite passed on buggy and fixed</x:v>
      </x:c>
      <x:c r="G1238" s="25" t="str">
        <x:v>true</x:v>
      </x:c>
      <x:c r="H1238" s="25" t="str">
        <x:v>NOT_REVEALING</x:v>
      </x:c>
      <x:c r="I1238" s="25" t="str">
        <x:v>PASS</x:v>
      </x:c>
      <x:c r="J1238" s="25" t="str">
        <x:v>PASS</x:v>
      </x:c>
      <x:c r="K1238" s="25" t="n">
        <x:v>14</x:v>
      </x:c>
      <x:c r="L1238" s="27" t="b">
        <x:v>0</x:v>
      </x:c>
      <x:c r="M1238" s="25" t="str">
        <x:v>Feedback-Directed Random Test Generation/rounds/Round2/state/JacksonCore.json</x:v>
      </x:c>
      <x:c r="N1238" s="25" t="str">
        <x:v>Feedback-Directed Random Test Generation/Result_Round2/JacksonCore_17/result.json</x:v>
      </x:c>
      <x:c r="O1238" s="25" t="str">
        <x:v>Feedback-Directed Random Test Generation/Result_Round2/JacksonCore_17/result.json</x:v>
      </x:c>
      <x:c r="P1238"/>
      <x:c r="Q1238" s="21" t="str"/>
      <x:c r="R1238" s="21" t="str"/>
      <x:c r="S1238" s="21" t="str"/>
      <x:c r="T1238" s="17" t="str">
        <x:v>false</x:v>
      </x:c>
      <x:c r="U1238" s="17" t="str">
        <x:v>true</x:v>
      </x:c>
      <x:c r="V1238" s="17" t="str">
        <x:v>false</x:v>
      </x:c>
    </x:row>
    <x:row r="1239" ht="80" customHeight="1">
      <x:c r="A1239" s="25" t="str">
        <x:v>JacksonCore</x:v>
      </x:c>
      <x:c r="B1239" s="25" t="n">
        <x:v>18</x:v>
      </x:c>
      <x:c r="C1239" s="25" t="str">
        <x:v>Round2</x:v>
      </x:c>
      <x:c r="D1239" s="25" t="str">
        <x:v>NOT_REVEALING</x:v>
      </x:c>
      <x:c r="E1239" s="25" t="str">
        <x:v>N/A</x:v>
      </x:c>
      <x:c r="F1239" s="26" t="str">
        <x:v>Same saved validation suite passed on buggy and fixed</x:v>
      </x:c>
      <x:c r="G1239" s="25" t="str">
        <x:v>true</x:v>
      </x:c>
      <x:c r="H1239" s="25" t="str">
        <x:v>NOT_REVEALING</x:v>
      </x:c>
      <x:c r="I1239" s="25" t="str">
        <x:v>PASS</x:v>
      </x:c>
      <x:c r="J1239" s="25" t="str">
        <x:v>PASS</x:v>
      </x:c>
      <x:c r="K1239" s="25" t="n">
        <x:v>13</x:v>
      </x:c>
      <x:c r="L1239" s="27" t="b">
        <x:v>0</x:v>
      </x:c>
      <x:c r="M1239" s="25" t="str">
        <x:v>Feedback-Directed Random Test Generation/rounds/Round2/state/JacksonCore.json</x:v>
      </x:c>
      <x:c r="N1239" s="25" t="str">
        <x:v>Feedback-Directed Random Test Generation/Result_Round2/JacksonCore_18/result.json</x:v>
      </x:c>
      <x:c r="O1239" s="25" t="str">
        <x:v>Feedback-Directed Random Test Generation/Result_Round2/JacksonCore_18/result.json</x:v>
      </x:c>
      <x:c r="P1239"/>
      <x:c r="Q1239" s="21" t="str"/>
      <x:c r="R1239" s="21" t="str"/>
      <x:c r="S1239" s="21" t="str"/>
      <x:c r="T1239" s="17" t="str">
        <x:v>false</x:v>
      </x:c>
      <x:c r="U1239" s="17" t="str">
        <x:v>true</x:v>
      </x:c>
      <x:c r="V1239" s="17" t="str">
        <x:v>false</x:v>
      </x:c>
    </x:row>
    <x:row r="1240" ht="80" customHeight="1">
      <x:c r="A1240" s="25" t="str">
        <x:v>JacksonCore</x:v>
      </x:c>
      <x:c r="B1240" s="25" t="n">
        <x:v>19</x:v>
      </x:c>
      <x:c r="C1240" s="25" t="str">
        <x:v>Round2</x:v>
      </x:c>
      <x:c r="D1240" s="25" t="str">
        <x:v>NOT_REVEALING</x:v>
      </x:c>
      <x:c r="E1240" s="25" t="str">
        <x:v>N/A</x:v>
      </x:c>
      <x:c r="F1240" s="26" t="str">
        <x:v>Same saved validation suite passed on buggy and fixed</x:v>
      </x:c>
      <x:c r="G1240" s="25" t="str">
        <x:v>true</x:v>
      </x:c>
      <x:c r="H1240" s="25" t="str">
        <x:v>NOT_REVEALING</x:v>
      </x:c>
      <x:c r="I1240" s="25" t="str">
        <x:v>PASS</x:v>
      </x:c>
      <x:c r="J1240" s="25" t="str">
        <x:v>PASS</x:v>
      </x:c>
      <x:c r="K1240" s="25" t="n">
        <x:v>11</x:v>
      </x:c>
      <x:c r="L1240" s="27" t="b">
        <x:v>0</x:v>
      </x:c>
      <x:c r="M1240" s="25" t="str">
        <x:v>Feedback-Directed Random Test Generation/rounds/Round2/state/JacksonCore.json</x:v>
      </x:c>
      <x:c r="N1240" s="25" t="str">
        <x:v>Feedback-Directed Random Test Generation/Result_Round2/JacksonCore_19/result.json</x:v>
      </x:c>
      <x:c r="O1240" s="25" t="str">
        <x:v>Feedback-Directed Random Test Generation/Result_Round2/JacksonCore_19/result.json</x:v>
      </x:c>
      <x:c r="P1240"/>
      <x:c r="Q1240" s="21" t="str"/>
      <x:c r="R1240" s="21" t="str"/>
      <x:c r="S1240" s="21" t="str"/>
      <x:c r="T1240" s="17" t="str">
        <x:v>false</x:v>
      </x:c>
      <x:c r="U1240" s="17" t="str">
        <x:v>true</x:v>
      </x:c>
      <x:c r="V1240" s="17" t="str">
        <x:v>false</x:v>
      </x:c>
    </x:row>
    <x:row r="1241" ht="80" customHeight="1">
      <x:c r="A1241" s="25" t="str">
        <x:v>JacksonCore</x:v>
      </x:c>
      <x:c r="B1241" s="25" t="n">
        <x:v>20</x:v>
      </x:c>
      <x:c r="C1241" s="25" t="str">
        <x:v>Round2</x:v>
      </x:c>
      <x:c r="D1241" s="25" t="str">
        <x:v>NOT_REVEALING</x:v>
      </x:c>
      <x:c r="E1241" s="25" t="str">
        <x:v>N/A</x:v>
      </x:c>
      <x:c r="F1241" s="26" t="str">
        <x:v>Same saved validation suite passed on buggy and fixed</x:v>
      </x:c>
      <x:c r="G1241" s="25" t="str">
        <x:v>true</x:v>
      </x:c>
      <x:c r="H1241" s="25" t="str">
        <x:v>NOT_REVEALING</x:v>
      </x:c>
      <x:c r="I1241" s="25" t="str">
        <x:v>PASS</x:v>
      </x:c>
      <x:c r="J1241" s="25" t="str">
        <x:v>PASS</x:v>
      </x:c>
      <x:c r="K1241" s="25" t="n">
        <x:v>8</x:v>
      </x:c>
      <x:c r="L1241" s="27" t="b">
        <x:v>0</x:v>
      </x:c>
      <x:c r="M1241" s="25" t="str">
        <x:v>Feedback-Directed Random Test Generation/rounds/Round2/state/JacksonCore.json</x:v>
      </x:c>
      <x:c r="N1241" s="25" t="str">
        <x:v>Feedback-Directed Random Test Generation/Result_Round2/JacksonCore_20/result.json</x:v>
      </x:c>
      <x:c r="O1241" s="25" t="str">
        <x:v>Feedback-Directed Random Test Generation/Result_Round2/JacksonCore_20/result.json</x:v>
      </x:c>
      <x:c r="P1241"/>
      <x:c r="Q1241" s="21" t="str"/>
      <x:c r="R1241" s="21" t="str"/>
      <x:c r="S1241" s="21" t="str"/>
      <x:c r="T1241" s="17" t="str">
        <x:v>false</x:v>
      </x:c>
      <x:c r="U1241" s="17" t="str">
        <x:v>true</x:v>
      </x:c>
      <x:c r="V1241" s="17" t="str">
        <x:v>false</x:v>
      </x:c>
    </x:row>
    <x:row r="1242" ht="80" customHeight="1">
      <x:c r="A1242" s="25" t="str">
        <x:v>JacksonCore</x:v>
      </x:c>
      <x:c r="B1242" s="25" t="n">
        <x:v>21</x:v>
      </x:c>
      <x:c r="C1242" s="25" t="str">
        <x:v>Round2</x:v>
      </x:c>
      <x:c r="D1242" s="25" t="str">
        <x:v>NOT_REVEALING</x:v>
      </x:c>
      <x:c r="E1242" s="25" t="str">
        <x:v>N/A</x:v>
      </x:c>
      <x:c r="F1242" s="26" t="str">
        <x:v>Same saved validation suite passed on buggy and fixed</x:v>
      </x:c>
      <x:c r="G1242" s="25" t="str">
        <x:v>true</x:v>
      </x:c>
      <x:c r="H1242" s="25" t="str">
        <x:v>NOT_REVEALING</x:v>
      </x:c>
      <x:c r="I1242" s="25" t="str">
        <x:v>PASS</x:v>
      </x:c>
      <x:c r="J1242" s="25" t="str">
        <x:v>PASS</x:v>
      </x:c>
      <x:c r="K1242" s="25" t="n">
        <x:v>10</x:v>
      </x:c>
      <x:c r="L1242" s="27" t="b">
        <x:v>0</x:v>
      </x:c>
      <x:c r="M1242" s="25" t="str">
        <x:v>Feedback-Directed Random Test Generation/rounds/Round2/state/JacksonCore.json</x:v>
      </x:c>
      <x:c r="N1242" s="25" t="str">
        <x:v>Feedback-Directed Random Test Generation/Result_Round2/JacksonCore_21/result.json</x:v>
      </x:c>
      <x:c r="O1242" s="25" t="str">
        <x:v>Feedback-Directed Random Test Generation/Result_Round2/JacksonCore_21/result.json</x:v>
      </x:c>
      <x:c r="P1242"/>
      <x:c r="Q1242" s="21" t="str"/>
      <x:c r="R1242" s="21" t="str"/>
      <x:c r="S1242" s="21" t="str"/>
      <x:c r="T1242" s="17" t="str">
        <x:v>false</x:v>
      </x:c>
      <x:c r="U1242" s="17" t="str">
        <x:v>true</x:v>
      </x:c>
      <x:c r="V1242" s="17" t="str">
        <x:v>false</x:v>
      </x:c>
    </x:row>
    <x:row r="1243" ht="80" customHeight="1">
      <x:c r="A1243" s="25" t="str">
        <x:v>JacksonCore</x:v>
      </x:c>
      <x:c r="B1243" s="25" t="n">
        <x:v>22</x:v>
      </x:c>
      <x:c r="C1243" s="25" t="str">
        <x:v>Round2</x:v>
      </x:c>
      <x:c r="D1243" s="25" t="str">
        <x:v>NOT_REVEALING</x:v>
      </x:c>
      <x:c r="E1243" s="25" t="str">
        <x:v>N/A</x:v>
      </x:c>
      <x:c r="F1243" s="26" t="str">
        <x:v>Same saved validation suite passed on buggy and fixed</x:v>
      </x:c>
      <x:c r="G1243" s="25" t="str">
        <x:v>true</x:v>
      </x:c>
      <x:c r="H1243" s="25" t="str">
        <x:v>NOT_REVEALING</x:v>
      </x:c>
      <x:c r="I1243" s="25" t="str">
        <x:v>PASS</x:v>
      </x:c>
      <x:c r="J1243" s="25" t="str">
        <x:v>PASS</x:v>
      </x:c>
      <x:c r="K1243" s="25" t="n">
        <x:v>10</x:v>
      </x:c>
      <x:c r="L1243" s="27" t="b">
        <x:v>0</x:v>
      </x:c>
      <x:c r="M1243" s="25" t="str">
        <x:v>Feedback-Directed Random Test Generation/rounds/Round2/state/JacksonCore.json</x:v>
      </x:c>
      <x:c r="N1243" s="25" t="str">
        <x:v>Feedback-Directed Random Test Generation/Result_Round2/JacksonCore_22/result.json</x:v>
      </x:c>
      <x:c r="O1243" s="25" t="str">
        <x:v>Feedback-Directed Random Test Generation/Result_Round2/JacksonCore_22/result.json</x:v>
      </x:c>
      <x:c r="P1243"/>
      <x:c r="Q1243" s="21" t="str"/>
      <x:c r="R1243" s="21" t="str"/>
      <x:c r="S1243" s="21" t="str"/>
      <x:c r="T1243" s="17" t="str">
        <x:v>false</x:v>
      </x:c>
      <x:c r="U1243" s="17" t="str">
        <x:v>true</x:v>
      </x:c>
      <x:c r="V1243" s="17" t="str">
        <x:v>false</x:v>
      </x:c>
    </x:row>
    <x:row r="1244" ht="80" customHeight="1">
      <x:c r="A1244" s="25" t="str">
        <x:v>JacksonCore</x:v>
      </x:c>
      <x:c r="B1244" s="25" t="n">
        <x:v>23</x:v>
      </x:c>
      <x:c r="C1244" s="25" t="str">
        <x:v>Round2</x:v>
      </x:c>
      <x:c r="D1244" s="25" t="str">
        <x:v>NOT_REVEALING</x:v>
      </x:c>
      <x:c r="E1244" s="25" t="str">
        <x:v>N/A</x:v>
      </x:c>
      <x:c r="F1244" s="26" t="str">
        <x:v>Same saved validation suite passed on buggy and fixed</x:v>
      </x:c>
      <x:c r="G1244" s="25" t="str">
        <x:v>true</x:v>
      </x:c>
      <x:c r="H1244" s="25" t="str">
        <x:v>NOT_REVEALING</x:v>
      </x:c>
      <x:c r="I1244" s="25" t="str">
        <x:v>PASS</x:v>
      </x:c>
      <x:c r="J1244" s="25" t="str">
        <x:v>PASS</x:v>
      </x:c>
      <x:c r="K1244" s="25" t="n">
        <x:v>5</x:v>
      </x:c>
      <x:c r="L1244" s="27" t="b">
        <x:v>0</x:v>
      </x:c>
      <x:c r="M1244" s="25" t="str">
        <x:v>Feedback-Directed Random Test Generation/rounds/Round2/state/JacksonCore.json</x:v>
      </x:c>
      <x:c r="N1244" s="25" t="str">
        <x:v>Feedback-Directed Random Test Generation/Result_Round2/JacksonCore_23/result.json</x:v>
      </x:c>
      <x:c r="O1244" s="25" t="str">
        <x:v>Feedback-Directed Random Test Generation/Result_Round2/JacksonCore_23/result.json</x:v>
      </x:c>
      <x:c r="P1244"/>
      <x:c r="Q1244" s="21" t="str"/>
      <x:c r="R1244" s="21" t="str"/>
      <x:c r="S1244" s="21" t="str"/>
      <x:c r="T1244" s="17" t="str">
        <x:v>false</x:v>
      </x:c>
      <x:c r="U1244" s="17" t="str">
        <x:v>true</x:v>
      </x:c>
      <x:c r="V1244" s="17" t="str">
        <x:v>false</x:v>
      </x:c>
    </x:row>
    <x:row r="1245" ht="80" customHeight="1">
      <x:c r="A1245" s="25" t="str">
        <x:v>JacksonCore</x:v>
      </x:c>
      <x:c r="B1245" s="25" t="n">
        <x:v>24</x:v>
      </x:c>
      <x:c r="C1245" s="25" t="str">
        <x:v>Round2</x:v>
      </x:c>
      <x:c r="D1245" s="25" t="str">
        <x:v>NOT_REVEALING</x:v>
      </x:c>
      <x:c r="E1245" s="25" t="str">
        <x:v>N/A</x:v>
      </x:c>
      <x:c r="F1245" s="26" t="str">
        <x:v>Same saved validation suite passed on buggy and fixed</x:v>
      </x:c>
      <x:c r="G1245" s="25" t="str">
        <x:v>true</x:v>
      </x:c>
      <x:c r="H1245" s="25" t="str">
        <x:v>NOT_REVEALING</x:v>
      </x:c>
      <x:c r="I1245" s="25" t="str">
        <x:v>PASS</x:v>
      </x:c>
      <x:c r="J1245" s="25" t="str">
        <x:v>PASS</x:v>
      </x:c>
      <x:c r="K1245" s="25" t="n">
        <x:v>8</x:v>
      </x:c>
      <x:c r="L1245" s="27" t="b">
        <x:v>0</x:v>
      </x:c>
      <x:c r="M1245" s="25" t="str">
        <x:v>Feedback-Directed Random Test Generation/rounds/Round2/state/JacksonCore.json</x:v>
      </x:c>
      <x:c r="N1245" s="25" t="str">
        <x:v>Feedback-Directed Random Test Generation/Result_Round2/JacksonCore_24/result.json</x:v>
      </x:c>
      <x:c r="O1245" s="25" t="str">
        <x:v>Feedback-Directed Random Test Generation/Result_Round2/JacksonCore_24/result.json</x:v>
      </x:c>
      <x:c r="P1245"/>
      <x:c r="Q1245" s="21" t="str"/>
      <x:c r="R1245" s="21" t="str"/>
      <x:c r="S1245" s="21" t="str"/>
      <x:c r="T1245" s="17" t="str">
        <x:v>false</x:v>
      </x:c>
      <x:c r="U1245" s="17" t="str">
        <x:v>true</x:v>
      </x:c>
      <x:c r="V1245" s="17" t="str">
        <x:v>false</x:v>
      </x:c>
    </x:row>
    <x:row r="1246" ht="80" customHeight="1">
      <x:c r="A1246" s="25" t="str">
        <x:v>JacksonCore</x:v>
      </x:c>
      <x:c r="B1246" s="25" t="n">
        <x:v>25</x:v>
      </x:c>
      <x:c r="C1246" s="25" t="str">
        <x:v>Round2</x:v>
      </x:c>
      <x:c r="D1246" s="25" t="str">
        <x:v>NOT_REVEALING</x:v>
      </x:c>
      <x:c r="E1246" s="25" t="str">
        <x:v>N/A</x:v>
      </x:c>
      <x:c r="F1246" s="26" t="str">
        <x:v>Same saved validation suite passed on buggy and fixed</x:v>
      </x:c>
      <x:c r="G1246" s="25" t="str">
        <x:v>true</x:v>
      </x:c>
      <x:c r="H1246" s="25" t="str">
        <x:v>NOT_REVEALING</x:v>
      </x:c>
      <x:c r="I1246" s="25" t="str">
        <x:v>PASS</x:v>
      </x:c>
      <x:c r="J1246" s="25" t="str">
        <x:v>PASS</x:v>
      </x:c>
      <x:c r="K1246" s="25" t="n">
        <x:v>13</x:v>
      </x:c>
      <x:c r="L1246" s="27" t="b">
        <x:v>0</x:v>
      </x:c>
      <x:c r="M1246" s="25" t="str">
        <x:v>Feedback-Directed Random Test Generation/rounds/Round2/state/JacksonCore.json</x:v>
      </x:c>
      <x:c r="N1246" s="25" t="str">
        <x:v>Feedback-Directed Random Test Generation/Result_Round2/JacksonCore_25/result.json</x:v>
      </x:c>
      <x:c r="O1246" s="25" t="str">
        <x:v>Feedback-Directed Random Test Generation/Result_Round2/JacksonCore_25/result.json</x:v>
      </x:c>
      <x:c r="P1246"/>
      <x:c r="Q1246" s="21" t="str"/>
      <x:c r="R1246" s="21" t="str"/>
      <x:c r="S1246" s="21" t="str"/>
      <x:c r="T1246" s="17" t="str">
        <x:v>false</x:v>
      </x:c>
      <x:c r="U1246" s="17" t="str">
        <x:v>true</x:v>
      </x:c>
      <x:c r="V1246" s="17" t="str">
        <x:v>false</x:v>
      </x:c>
    </x:row>
    <x:row r="1247" ht="80" customHeight="1">
      <x:c r="A1247" s="25" t="str">
        <x:v>JacksonCore</x:v>
      </x:c>
      <x:c r="B1247" s="25" t="n">
        <x:v>26</x:v>
      </x:c>
      <x:c r="C1247" s="25" t="str">
        <x:v>Round2</x:v>
      </x:c>
      <x:c r="D1247" s="25" t="str">
        <x:v>NOT_REVEALING</x:v>
      </x:c>
      <x:c r="E1247" s="25" t="str">
        <x:v>N/A</x:v>
      </x:c>
      <x:c r="F1247" s="26" t="str">
        <x:v>Same saved validation suite passed on buggy and fixed</x:v>
      </x:c>
      <x:c r="G1247" s="25" t="str">
        <x:v>true</x:v>
      </x:c>
      <x:c r="H1247" s="25" t="str">
        <x:v>NOT_REVEALING</x:v>
      </x:c>
      <x:c r="I1247" s="25" t="str">
        <x:v>PASS</x:v>
      </x:c>
      <x:c r="J1247" s="25" t="str">
        <x:v>PASS</x:v>
      </x:c>
      <x:c r="K1247" s="25" t="n">
        <x:v>2</x:v>
      </x:c>
      <x:c r="L1247" s="27" t="b">
        <x:v>0</x:v>
      </x:c>
      <x:c r="M1247" s="25" t="str">
        <x:v>Feedback-Directed Random Test Generation/rounds/Round2/state/JacksonCore.json</x:v>
      </x:c>
      <x:c r="N1247" s="25" t="str">
        <x:v>Feedback-Directed Random Test Generation/Result_Round2/JacksonCore_26/result.json</x:v>
      </x:c>
      <x:c r="O1247" s="25" t="str">
        <x:v>Feedback-Directed Random Test Generation/Result_Round2/JacksonCore_26/result.json</x:v>
      </x:c>
      <x:c r="P1247"/>
      <x:c r="Q1247" s="21" t="str"/>
      <x:c r="R1247" s="21" t="str"/>
      <x:c r="S1247" s="21" t="str"/>
      <x:c r="T1247" s="17" t="str">
        <x:v>false</x:v>
      </x:c>
      <x:c r="U1247" s="17" t="str">
        <x:v>true</x:v>
      </x:c>
      <x:c r="V1247" s="17" t="str">
        <x:v>false</x:v>
      </x:c>
    </x:row>
    <x:row r="1248" ht="80" customHeight="1">
      <x:c r="A1248" s="25" t="str">
        <x:v>JacksonDatabind</x:v>
      </x:c>
      <x:c r="B1248" s="25" t="n">
        <x:v>1</x:v>
      </x:c>
      <x:c r="C1248" s="25" t="str">
        <x:v>Round2</x:v>
      </x:c>
      <x:c r="D1248" s="25" t="str">
        <x:v>NOT_REVEALING</x:v>
      </x:c>
      <x:c r="E1248" s="25" t="str">
        <x:v>N/A</x:v>
      </x:c>
      <x:c r="F1248" s="26" t="str">
        <x:v>Same saved validation suite passed on buggy and fixed</x:v>
      </x:c>
      <x:c r="G1248" s="25" t="str">
        <x:v>true</x:v>
      </x:c>
      <x:c r="H1248" s="25" t="str">
        <x:v>NOT_REVEALING</x:v>
      </x:c>
      <x:c r="I1248" s="25" t="str">
        <x:v>PASS</x:v>
      </x:c>
      <x:c r="J1248" s="25" t="str">
        <x:v>PASS</x:v>
      </x:c>
      <x:c r="K1248" s="25" t="n">
        <x:v>2</x:v>
      </x:c>
      <x:c r="L1248" s="27" t="b">
        <x:v>0</x:v>
      </x:c>
      <x:c r="M1248" s="25" t="str">
        <x:v>Feedback-Directed Random Test Generation/rounds/Round2/state/JacksonDatabind.json</x:v>
      </x:c>
      <x:c r="N1248" s="25" t="str">
        <x:v>Feedback-Directed Random Test Generation/Result_Round2/JacksonDatabind_1/result.json</x:v>
      </x:c>
      <x:c r="O1248" s="25" t="str">
        <x:v>Feedback-Directed Random Test Generation/Result_Round2/JacksonDatabind_1/result.json</x:v>
      </x:c>
      <x:c r="P1248"/>
      <x:c r="Q1248" s="21" t="str"/>
      <x:c r="R1248" s="21" t="str"/>
      <x:c r="S1248" s="21" t="str"/>
      <x:c r="T1248" s="17" t="str">
        <x:v>false</x:v>
      </x:c>
      <x:c r="U1248" s="17" t="str">
        <x:v>true</x:v>
      </x:c>
      <x:c r="V1248" s="17" t="str">
        <x:v>false</x:v>
      </x:c>
    </x:row>
    <x:row r="1249" ht="80" customHeight="1">
      <x:c r="A1249" s="25" t="str">
        <x:v>JacksonDatabind</x:v>
      </x:c>
      <x:c r="B1249" s="25" t="n">
        <x:v>2</x:v>
      </x:c>
      <x:c r="C1249" s="25" t="str">
        <x:v>Round2</x:v>
      </x:c>
      <x:c r="D1249" s="25" t="str">
        <x:v>INCONCLUSIVE</x:v>
      </x:c>
      <x:c r="E1249" s="25" t="str">
        <x:v>N/A</x:v>
      </x:c>
      <x:c r="F1249" s="26" t="str">
        <x:v>Fixed also failed; assertion failure cannot be attributed to this bug</x:v>
      </x:c>
      <x:c r="G1249" s="25" t="str">
        <x:v>true</x:v>
      </x:c>
      <x:c r="H1249" s="25" t="str">
        <x:v>INCONCLUSIVE</x:v>
      </x:c>
      <x:c r="I1249" s="25" t="str">
        <x:v>PASS</x:v>
      </x:c>
      <x:c r="J1249" s="25" t="str">
        <x:v>FAIL</x:v>
      </x:c>
      <x:c r="K1249" s="25" t="n">
        <x:v>10</x:v>
      </x:c>
      <x:c r="L1249" s="27" t="b">
        <x:v>0</x:v>
      </x:c>
      <x:c r="M1249" s="25" t="str">
        <x:v>Feedback-Directed Random Test Generation/rounds/Round2/state/JacksonDatabind.json</x:v>
      </x:c>
      <x:c r="N1249" s="25" t="str">
        <x:v>Feedback-Directed Random Test Generation/Result_Round2/JacksonDatabind_2/result.json</x:v>
      </x:c>
      <x:c r="O1249" s="25" t="str">
        <x:v>Feedback-Directed Random Test Generation/Result_Round2/JacksonDatabind_2/result.json</x:v>
      </x:c>
      <x:c r="P1249"/>
      <x:c r="Q1249" s="21" t="str"/>
      <x:c r="R1249" s="21" t="str"/>
      <x:c r="S1249" s="21" t="str"/>
      <x:c r="T1249" s="17" t="str">
        <x:v>false</x:v>
      </x:c>
      <x:c r="U1249" s="17" t="str">
        <x:v>true</x:v>
      </x:c>
      <x:c r="V1249" s="17" t="str">
        <x:v>false</x:v>
      </x:c>
    </x:row>
    <x:row r="1250" ht="80" customHeight="1">
      <x:c r="A1250" s="25" t="str">
        <x:v>JacksonDatabind</x:v>
      </x:c>
      <x:c r="B1250" s="25" t="n">
        <x:v>3</x:v>
      </x:c>
      <x:c r="C1250" s="25" t="str">
        <x:v>Round2</x:v>
      </x:c>
      <x:c r="D1250" s="25" t="str">
        <x:v>INCONCLUSIVE</x:v>
      </x:c>
      <x:c r="E1250" s="25" t="str">
        <x:v>N/A</x:v>
      </x:c>
      <x:c r="F1250" s="26" t="str">
        <x:v>Fixed also failed; assertion failure cannot be attributed to this bug; Assertions failed with measured coverage; paired execution and stage checks determine status</x:v>
      </x:c>
      <x:c r="G1250" s="25" t="str">
        <x:v>true</x:v>
      </x:c>
      <x:c r="H1250" s="25" t="str">
        <x:v>INCONCLUSIVE</x:v>
      </x:c>
      <x:c r="I1250" s="25" t="str">
        <x:v>FAIL</x:v>
      </x:c>
      <x:c r="J1250" s="25" t="str">
        <x:v>FAIL</x:v>
      </x:c>
      <x:c r="K1250" s="25" t="n">
        <x:v>8</x:v>
      </x:c>
      <x:c r="L1250" s="27" t="b">
        <x:v>0</x:v>
      </x:c>
      <x:c r="M1250" s="25" t="str">
        <x:v>Feedback-Directed Random Test Generation/rounds/Round2/state/JacksonDatabind.json</x:v>
      </x:c>
      <x:c r="N1250" s="25" t="str">
        <x:v>Feedback-Directed Random Test Generation/Result_Round2/JacksonDatabind_3/result.json</x:v>
      </x:c>
      <x:c r="O1250" s="25" t="str">
        <x:v>Feedback-Directed Random Test Generation/Result_Round2/JacksonDatabind_3/result.json</x:v>
      </x:c>
      <x:c r="P1250"/>
      <x:c r="Q1250" s="21" t="str"/>
      <x:c r="R1250" s="21" t="str"/>
      <x:c r="S1250" s="21" t="str"/>
      <x:c r="T1250" s="17" t="str">
        <x:v>false</x:v>
      </x:c>
      <x:c r="U1250" s="17" t="str">
        <x:v>true</x:v>
      </x:c>
      <x:c r="V1250" s="17" t="str">
        <x:v>false</x:v>
      </x:c>
    </x:row>
    <x:row r="1251" ht="80" customHeight="1">
      <x:c r="A1251" s="25" t="str">
        <x:v>JacksonDatabind</x:v>
      </x:c>
      <x:c r="B1251" s="25" t="n">
        <x:v>4</x:v>
      </x:c>
      <x:c r="C1251" s="25" t="str">
        <x:v>Round2</x:v>
      </x:c>
      <x:c r="D1251" s="25" t="str">
        <x:v>INCONCLUSIVE</x:v>
      </x:c>
      <x:c r="E1251" s="25" t="str">
        <x:v>N/A</x:v>
      </x:c>
      <x:c r="F1251" s="26" t="str">
        <x:v>Fixed also failed; assertion failure cannot be attributed to this bug; Assertions failed with measured coverage; paired execution and stage checks determine status</x:v>
      </x:c>
      <x:c r="G1251" s="25" t="str">
        <x:v>true</x:v>
      </x:c>
      <x:c r="H1251" s="25" t="str">
        <x:v>INCONCLUSIVE</x:v>
      </x:c>
      <x:c r="I1251" s="25" t="str">
        <x:v>FAIL</x:v>
      </x:c>
      <x:c r="J1251" s="25" t="str">
        <x:v>FAIL</x:v>
      </x:c>
      <x:c r="K1251" s="25" t="n">
        <x:v>9</x:v>
      </x:c>
      <x:c r="L1251" s="27" t="b">
        <x:v>0</x:v>
      </x:c>
      <x:c r="M1251" s="25" t="str">
        <x:v>Feedback-Directed Random Test Generation/rounds/Round2/state/JacksonDatabind.json</x:v>
      </x:c>
      <x:c r="N1251" s="25" t="str">
        <x:v>Feedback-Directed Random Test Generation/Result_Round2/JacksonDatabind_4/result.json</x:v>
      </x:c>
      <x:c r="O1251" s="25" t="str">
        <x:v>Feedback-Directed Random Test Generation/Result_Round2/JacksonDatabind_4/result.json</x:v>
      </x:c>
      <x:c r="P1251"/>
      <x:c r="Q1251" s="21" t="str"/>
      <x:c r="R1251" s="21" t="str"/>
      <x:c r="S1251" s="21" t="str"/>
      <x:c r="T1251" s="17" t="str">
        <x:v>false</x:v>
      </x:c>
      <x:c r="U1251" s="17" t="str">
        <x:v>true</x:v>
      </x:c>
      <x:c r="V1251" s="17" t="str">
        <x:v>false</x:v>
      </x:c>
    </x:row>
    <x:row r="1252" ht="80" customHeight="1">
      <x:c r="A1252" s="25" t="str">
        <x:v>JacksonDatabind</x:v>
      </x:c>
      <x:c r="B1252" s="25" t="n">
        <x:v>5</x:v>
      </x:c>
      <x:c r="C1252" s="25" t="str">
        <x:v>Round2</x:v>
      </x:c>
      <x:c r="D1252" s="25" t="str">
        <x:v>NOT_REVEALING</x:v>
      </x:c>
      <x:c r="E1252" s="25" t="str">
        <x:v>N/A</x:v>
      </x:c>
      <x:c r="F1252" s="26" t="str">
        <x:v>Same saved validation suite passed on buggy and fixed</x:v>
      </x:c>
      <x:c r="G1252" s="25" t="str">
        <x:v>true</x:v>
      </x:c>
      <x:c r="H1252" s="25" t="str">
        <x:v>NOT_REVEALING</x:v>
      </x:c>
      <x:c r="I1252" s="25" t="str">
        <x:v>PASS</x:v>
      </x:c>
      <x:c r="J1252" s="25" t="str">
        <x:v>PASS</x:v>
      </x:c>
      <x:c r="K1252" s="25" t="n">
        <x:v>2</x:v>
      </x:c>
      <x:c r="L1252" s="27" t="b">
        <x:v>0</x:v>
      </x:c>
      <x:c r="M1252" s="25" t="str">
        <x:v>Feedback-Directed Random Test Generation/rounds/Round2/state/JacksonDatabind.json</x:v>
      </x:c>
      <x:c r="N1252" s="25" t="str">
        <x:v>Feedback-Directed Random Test Generation/Result_Round2/JacksonDatabind_5/result.json</x:v>
      </x:c>
      <x:c r="O1252" s="25" t="str">
        <x:v>Feedback-Directed Random Test Generation/Result_Round2/JacksonDatabind_5/result.json</x:v>
      </x:c>
      <x:c r="P1252"/>
      <x:c r="Q1252" s="21" t="str"/>
      <x:c r="R1252" s="21" t="str"/>
      <x:c r="S1252" s="21" t="str"/>
      <x:c r="T1252" s="17" t="str">
        <x:v>false</x:v>
      </x:c>
      <x:c r="U1252" s="17" t="str">
        <x:v>true</x:v>
      </x:c>
      <x:c r="V1252" s="17" t="str">
        <x:v>false</x:v>
      </x:c>
    </x:row>
    <x:row r="1253" ht="80" customHeight="1">
      <x:c r="A1253" s="25" t="str">
        <x:v>JacksonDatabind</x:v>
      </x:c>
      <x:c r="B1253" s="25" t="n">
        <x:v>6</x:v>
      </x:c>
      <x:c r="C1253" s="25" t="str">
        <x:v>Round2</x:v>
      </x:c>
      <x:c r="D1253" s="25" t="str">
        <x:v>INCONCLUSIVE</x:v>
      </x:c>
      <x:c r="E1253" s="25" t="str">
        <x:v>N/A</x:v>
      </x:c>
      <x:c r="F1253" s="26" t="str">
        <x:v>Fixed also failed; assertion failure cannot be attributed to this bug; Assertions failed with measured coverage; paired execution and stage checks determine status</x:v>
      </x:c>
      <x:c r="G1253" s="25" t="str">
        <x:v>true</x:v>
      </x:c>
      <x:c r="H1253" s="25" t="str">
        <x:v>INCONCLUSIVE</x:v>
      </x:c>
      <x:c r="I1253" s="25" t="str">
        <x:v>FAIL</x:v>
      </x:c>
      <x:c r="J1253" s="25" t="str">
        <x:v>FAIL</x:v>
      </x:c>
      <x:c r="K1253" s="25" t="n">
        <x:v>12</x:v>
      </x:c>
      <x:c r="L1253" s="27" t="b">
        <x:v>0</x:v>
      </x:c>
      <x:c r="M1253" s="25" t="str">
        <x:v>Feedback-Directed Random Test Generation/rounds/Round2/state/JacksonDatabind.json</x:v>
      </x:c>
      <x:c r="N1253" s="25" t="str">
        <x:v>Feedback-Directed Random Test Generation/Result_Round2/JacksonDatabind_6/result.json</x:v>
      </x:c>
      <x:c r="O1253" s="25" t="str">
        <x:v>Feedback-Directed Random Test Generation/Result_Round2/JacksonDatabind_6/result.json</x:v>
      </x:c>
      <x:c r="P1253"/>
      <x:c r="Q1253" s="21" t="str"/>
      <x:c r="R1253" s="21" t="str"/>
      <x:c r="S1253" s="21" t="str"/>
      <x:c r="T1253" s="17" t="str">
        <x:v>false</x:v>
      </x:c>
      <x:c r="U1253" s="17" t="str">
        <x:v>true</x:v>
      </x:c>
      <x:c r="V1253" s="17" t="str">
        <x:v>false</x:v>
      </x:c>
    </x:row>
    <x:row r="1254" ht="80" customHeight="1">
      <x:c r="A1254" s="25" t="str">
        <x:v>JacksonDatabind</x:v>
      </x:c>
      <x:c r="B1254" s="25" t="n">
        <x:v>7</x:v>
      </x:c>
      <x:c r="C1254" s="25" t="str">
        <x:v>Round2</x:v>
      </x:c>
      <x:c r="D1254" s="25" t="str">
        <x:v>NOT_REVEALING</x:v>
      </x:c>
      <x:c r="E1254" s="25" t="str">
        <x:v>N/A</x:v>
      </x:c>
      <x:c r="F1254" s="26" t="str">
        <x:v>Same saved validation suite passed on buggy and fixed</x:v>
      </x:c>
      <x:c r="G1254" s="25" t="str">
        <x:v>true</x:v>
      </x:c>
      <x:c r="H1254" s="25" t="str">
        <x:v>NOT_REVEALING</x:v>
      </x:c>
      <x:c r="I1254" s="25" t="str">
        <x:v>PASS</x:v>
      </x:c>
      <x:c r="J1254" s="25" t="str">
        <x:v>PASS</x:v>
      </x:c>
      <x:c r="K1254" s="25" t="n">
        <x:v>10</x:v>
      </x:c>
      <x:c r="L1254" s="27" t="b">
        <x:v>0</x:v>
      </x:c>
      <x:c r="M1254" s="25" t="str">
        <x:v>Feedback-Directed Random Test Generation/rounds/Round2/state/JacksonDatabind.json</x:v>
      </x:c>
      <x:c r="N1254" s="25" t="str">
        <x:v>Feedback-Directed Random Test Generation/Result_Round2/JacksonDatabind_7/result.json</x:v>
      </x:c>
      <x:c r="O1254" s="25" t="str">
        <x:v>Feedback-Directed Random Test Generation/Result_Round2/JacksonDatabind_7/result.json</x:v>
      </x:c>
      <x:c r="P1254"/>
      <x:c r="Q1254" s="21" t="str"/>
      <x:c r="R1254" s="21" t="str"/>
      <x:c r="S1254" s="21" t="str"/>
      <x:c r="T1254" s="17" t="str">
        <x:v>false</x:v>
      </x:c>
      <x:c r="U1254" s="17" t="str">
        <x:v>true</x:v>
      </x:c>
      <x:c r="V1254" s="17" t="str">
        <x:v>false</x:v>
      </x:c>
    </x:row>
    <x:row r="1255" ht="80" customHeight="1">
      <x:c r="A1255" s="25" t="str">
        <x:v>JacksonDatabind</x:v>
      </x:c>
      <x:c r="B1255" s="25" t="n">
        <x:v>8</x:v>
      </x:c>
      <x:c r="C1255" s="25" t="str">
        <x:v>Round2</x:v>
      </x:c>
      <x:c r="D1255" s="25" t="str">
        <x:v>NOT_REVEALING</x:v>
      </x:c>
      <x:c r="E1255" s="25" t="str">
        <x:v>N/A</x:v>
      </x:c>
      <x:c r="F1255" s="26" t="str">
        <x:v>Same saved validation suite passed on buggy and fixed</x:v>
      </x:c>
      <x:c r="G1255" s="25" t="str">
        <x:v>true</x:v>
      </x:c>
      <x:c r="H1255" s="25" t="str">
        <x:v>NOT_REVEALING</x:v>
      </x:c>
      <x:c r="I1255" s="25" t="str">
        <x:v>PASS</x:v>
      </x:c>
      <x:c r="J1255" s="25" t="str">
        <x:v>PASS</x:v>
      </x:c>
      <x:c r="K1255" s="25" t="n">
        <x:v>8</x:v>
      </x:c>
      <x:c r="L1255" s="27" t="b">
        <x:v>0</x:v>
      </x:c>
      <x:c r="M1255" s="25" t="str">
        <x:v>Feedback-Directed Random Test Generation/rounds/Round2/state/JacksonDatabind.json</x:v>
      </x:c>
      <x:c r="N1255" s="25" t="str">
        <x:v>Feedback-Directed Random Test Generation/Result_Round2/JacksonDatabind_8/result.json</x:v>
      </x:c>
      <x:c r="O1255" s="25" t="str">
        <x:v>Feedback-Directed Random Test Generation/Result_Round2/JacksonDatabind_8/result.json</x:v>
      </x:c>
      <x:c r="P1255"/>
      <x:c r="Q1255" s="21" t="str"/>
      <x:c r="R1255" s="21" t="str"/>
      <x:c r="S1255" s="21" t="str"/>
      <x:c r="T1255" s="17" t="str">
        <x:v>false</x:v>
      </x:c>
      <x:c r="U1255" s="17" t="str">
        <x:v>true</x:v>
      </x:c>
      <x:c r="V1255" s="17" t="str">
        <x:v>false</x:v>
      </x:c>
    </x:row>
    <x:row r="1256" ht="80" customHeight="1">
      <x:c r="A1256" s="25" t="str">
        <x:v>JacksonDatabind</x:v>
      </x:c>
      <x:c r="B1256" s="25" t="n">
        <x:v>9</x:v>
      </x:c>
      <x:c r="C1256" s="25" t="str">
        <x:v>Round2</x:v>
      </x:c>
      <x:c r="D1256" s="25" t="str">
        <x:v>NOT_REVEALING</x:v>
      </x:c>
      <x:c r="E1256" s="25" t="str">
        <x:v>N/A</x:v>
      </x:c>
      <x:c r="F1256" s="26" t="str">
        <x:v>Same saved validation suite passed on buggy and fixed</x:v>
      </x:c>
      <x:c r="G1256" s="25" t="str">
        <x:v>true</x:v>
      </x:c>
      <x:c r="H1256" s="25" t="str">
        <x:v>NOT_REVEALING</x:v>
      </x:c>
      <x:c r="I1256" s="25" t="str">
        <x:v>PASS</x:v>
      </x:c>
      <x:c r="J1256" s="25" t="str">
        <x:v>PASS</x:v>
      </x:c>
      <x:c r="K1256" s="25" t="n">
        <x:v>7</x:v>
      </x:c>
      <x:c r="L1256" s="27" t="b">
        <x:v>0</x:v>
      </x:c>
      <x:c r="M1256" s="25" t="str">
        <x:v>Feedback-Directed Random Test Generation/rounds/Round2/state/JacksonDatabind.json</x:v>
      </x:c>
      <x:c r="N1256" s="25" t="str">
        <x:v>Feedback-Directed Random Test Generation/Result_Round2/JacksonDatabind_9/result.json</x:v>
      </x:c>
      <x:c r="O1256" s="25" t="str">
        <x:v>Feedback-Directed Random Test Generation/Result_Round2/JacksonDatabind_9/result.json</x:v>
      </x:c>
      <x:c r="P1256"/>
      <x:c r="Q1256" s="21" t="str"/>
      <x:c r="R1256" s="21" t="str"/>
      <x:c r="S1256" s="21" t="str"/>
      <x:c r="T1256" s="17" t="str">
        <x:v>false</x:v>
      </x:c>
      <x:c r="U1256" s="17" t="str">
        <x:v>true</x:v>
      </x:c>
      <x:c r="V1256" s="17" t="str">
        <x:v>false</x:v>
      </x:c>
    </x:row>
    <x:row r="1257" ht="80" customHeight="1">
      <x:c r="A1257" s="25" t="str">
        <x:v>JacksonDatabind</x:v>
      </x:c>
      <x:c r="B1257" s="25" t="n">
        <x:v>10</x:v>
      </x:c>
      <x:c r="C1257" s="25" t="str">
        <x:v>Round2</x:v>
      </x:c>
      <x:c r="D1257" s="25" t="str">
        <x:v>INCONCLUSIVE</x:v>
      </x:c>
      <x:c r="E1257" s="25" t="str">
        <x:v>N/A</x:v>
      </x:c>
      <x:c r="F1257" s="26" t="str">
        <x:v>Fixed also failed; assertion failure cannot be attributed to this bug</x:v>
      </x:c>
      <x:c r="G1257" s="25" t="str">
        <x:v>true</x:v>
      </x:c>
      <x:c r="H1257" s="25" t="str">
        <x:v>INCONCLUSIVE</x:v>
      </x:c>
      <x:c r="I1257" s="25" t="str">
        <x:v>PASS</x:v>
      </x:c>
      <x:c r="J1257" s="25" t="str">
        <x:v>FAIL</x:v>
      </x:c>
      <x:c r="K1257" s="25" t="n">
        <x:v>7</x:v>
      </x:c>
      <x:c r="L1257" s="27" t="b">
        <x:v>0</x:v>
      </x:c>
      <x:c r="M1257" s="25" t="str">
        <x:v>Feedback-Directed Random Test Generation/rounds/Round2/state/JacksonDatabind.json</x:v>
      </x:c>
      <x:c r="N1257" s="25" t="str">
        <x:v>Feedback-Directed Random Test Generation/Result_Round2/JacksonDatabind_10/result.json</x:v>
      </x:c>
      <x:c r="O1257" s="25" t="str">
        <x:v>Feedback-Directed Random Test Generation/Result_Round2/JacksonDatabind_10/result.json</x:v>
      </x:c>
      <x:c r="P1257"/>
      <x:c r="Q1257" s="21" t="str"/>
      <x:c r="R1257" s="21" t="str"/>
      <x:c r="S1257" s="21" t="str"/>
      <x:c r="T1257" s="17" t="str">
        <x:v>false</x:v>
      </x:c>
      <x:c r="U1257" s="17" t="str">
        <x:v>true</x:v>
      </x:c>
      <x:c r="V1257" s="17" t="str">
        <x:v>false</x:v>
      </x:c>
    </x:row>
    <x:row r="1258" ht="80" customHeight="1">
      <x:c r="A1258" s="25" t="str">
        <x:v>JacksonDatabind</x:v>
      </x:c>
      <x:c r="B1258" s="25" t="n">
        <x:v>11</x:v>
      </x:c>
      <x:c r="C1258" s="25" t="str">
        <x:v>Round2</x:v>
      </x:c>
      <x:c r="D1258" s="25" t="str">
        <x:v>NOT_REVEALING</x:v>
      </x:c>
      <x:c r="E1258" s="25" t="str">
        <x:v>N/A</x:v>
      </x:c>
      <x:c r="F1258" s="26" t="str">
        <x:v>Same saved validation suite passed on buggy and fixed</x:v>
      </x:c>
      <x:c r="G1258" s="25" t="str">
        <x:v>true</x:v>
      </x:c>
      <x:c r="H1258" s="25" t="str">
        <x:v>NOT_REVEALING</x:v>
      </x:c>
      <x:c r="I1258" s="25" t="str">
        <x:v>PASS</x:v>
      </x:c>
      <x:c r="J1258" s="25" t="str">
        <x:v>PASS</x:v>
      </x:c>
      <x:c r="K1258" s="25" t="n">
        <x:v>2</x:v>
      </x:c>
      <x:c r="L1258" s="27" t="b">
        <x:v>0</x:v>
      </x:c>
      <x:c r="M1258" s="25" t="str">
        <x:v>Feedback-Directed Random Test Generation/rounds/Round2/state/JacksonDatabind.json</x:v>
      </x:c>
      <x:c r="N1258" s="25" t="str">
        <x:v>Feedback-Directed Random Test Generation/Result_Round2/JacksonDatabind_11/result.json</x:v>
      </x:c>
      <x:c r="O1258" s="25" t="str">
        <x:v>Feedback-Directed Random Test Generation/Result_Round2/JacksonDatabind_11/result.json</x:v>
      </x:c>
      <x:c r="P1258"/>
      <x:c r="Q1258" s="21" t="str"/>
      <x:c r="R1258" s="21" t="str"/>
      <x:c r="S1258" s="21" t="str"/>
      <x:c r="T1258" s="17" t="str">
        <x:v>false</x:v>
      </x:c>
      <x:c r="U1258" s="17" t="str">
        <x:v>true</x:v>
      </x:c>
      <x:c r="V1258" s="17" t="str">
        <x:v>false</x:v>
      </x:c>
    </x:row>
    <x:row r="1259" ht="80" customHeight="1">
      <x:c r="A1259" s="25" t="str">
        <x:v>JacksonDatabind</x:v>
      </x:c>
      <x:c r="B1259" s="25" t="n">
        <x:v>12</x:v>
      </x:c>
      <x:c r="C1259" s="25" t="str">
        <x:v>Round2</x:v>
      </x:c>
      <x:c r="D1259" s="25" t="str">
        <x:v>NOT_REVEALING</x:v>
      </x:c>
      <x:c r="E1259" s="25" t="str">
        <x:v>N/A</x:v>
      </x:c>
      <x:c r="F1259" s="26" t="str">
        <x:v>Same saved validation suite passed on buggy and fixed</x:v>
      </x:c>
      <x:c r="G1259" s="25" t="str">
        <x:v>true</x:v>
      </x:c>
      <x:c r="H1259" s="25" t="str">
        <x:v>NOT_REVEALING</x:v>
      </x:c>
      <x:c r="I1259" s="25" t="str">
        <x:v>PASS</x:v>
      </x:c>
      <x:c r="J1259" s="25" t="str">
        <x:v>PASS</x:v>
      </x:c>
      <x:c r="K1259" s="25" t="n">
        <x:v>2</x:v>
      </x:c>
      <x:c r="L1259" s="27" t="b">
        <x:v>0</x:v>
      </x:c>
      <x:c r="M1259" s="25" t="str">
        <x:v>Feedback-Directed Random Test Generation/rounds/Round2/state/JacksonDatabind.json</x:v>
      </x:c>
      <x:c r="N1259" s="25" t="str">
        <x:v>Feedback-Directed Random Test Generation/Result_Round2/JacksonDatabind_12/result.json</x:v>
      </x:c>
      <x:c r="O1259" s="25" t="str">
        <x:v>Feedback-Directed Random Test Generation/Result_Round2/JacksonDatabind_12/result.json</x:v>
      </x:c>
      <x:c r="P1259"/>
      <x:c r="Q1259" s="21" t="str"/>
      <x:c r="R1259" s="21" t="str"/>
      <x:c r="S1259" s="21" t="str"/>
      <x:c r="T1259" s="17" t="str">
        <x:v>false</x:v>
      </x:c>
      <x:c r="U1259" s="17" t="str">
        <x:v>true</x:v>
      </x:c>
      <x:c r="V1259" s="17" t="str">
        <x:v>false</x:v>
      </x:c>
    </x:row>
    <x:row r="1260" ht="80" customHeight="1">
      <x:c r="A1260" s="25" t="str">
        <x:v>JacksonDatabind</x:v>
      </x:c>
      <x:c r="B1260" s="25" t="n">
        <x:v>13</x:v>
      </x:c>
      <x:c r="C1260" s="25" t="str">
        <x:v>Round2</x:v>
      </x:c>
      <x:c r="D1260" s="25" t="str">
        <x:v>NOT_REVEALING</x:v>
      </x:c>
      <x:c r="E1260" s="25" t="str">
        <x:v>N/A</x:v>
      </x:c>
      <x:c r="F1260" s="26" t="str">
        <x:v>Same saved validation suite passed on buggy and fixed</x:v>
      </x:c>
      <x:c r="G1260" s="25" t="str">
        <x:v>true</x:v>
      </x:c>
      <x:c r="H1260" s="25" t="str">
        <x:v>NOT_REVEALING</x:v>
      </x:c>
      <x:c r="I1260" s="25" t="str">
        <x:v>PASS</x:v>
      </x:c>
      <x:c r="J1260" s="25" t="str">
        <x:v>PASS</x:v>
      </x:c>
      <x:c r="K1260" s="25" t="n">
        <x:v>2</x:v>
      </x:c>
      <x:c r="L1260" s="27" t="b">
        <x:v>0</x:v>
      </x:c>
      <x:c r="M1260" s="25" t="str">
        <x:v>Feedback-Directed Random Test Generation/rounds/Round2/state/JacksonDatabind.json</x:v>
      </x:c>
      <x:c r="N1260" s="25" t="str">
        <x:v>Feedback-Directed Random Test Generation/Result_Round2/JacksonDatabind_13/result.json</x:v>
      </x:c>
      <x:c r="O1260" s="25" t="str">
        <x:v>Feedback-Directed Random Test Generation/Result_Round2/JacksonDatabind_13/result.json</x:v>
      </x:c>
      <x:c r="P1260"/>
      <x:c r="Q1260" s="21" t="str"/>
      <x:c r="R1260" s="21" t="str"/>
      <x:c r="S1260" s="21" t="str"/>
      <x:c r="T1260" s="17" t="str">
        <x:v>false</x:v>
      </x:c>
      <x:c r="U1260" s="17" t="str">
        <x:v>true</x:v>
      </x:c>
      <x:c r="V1260" s="17" t="str">
        <x:v>false</x:v>
      </x:c>
    </x:row>
    <x:row r="1261" ht="80" customHeight="1">
      <x:c r="A1261" s="25" t="str">
        <x:v>JacksonDatabind</x:v>
      </x:c>
      <x:c r="B1261" s="25" t="n">
        <x:v>14</x:v>
      </x:c>
      <x:c r="C1261" s="25" t="str">
        <x:v>Round2</x:v>
      </x:c>
      <x:c r="D1261" s="25" t="str">
        <x:v>NOT_REVEALING</x:v>
      </x:c>
      <x:c r="E1261" s="25" t="str">
        <x:v>N/A</x:v>
      </x:c>
      <x:c r="F1261" s="26" t="str">
        <x:v>Same saved validation suite passed on buggy and fixed</x:v>
      </x:c>
      <x:c r="G1261" s="25" t="str">
        <x:v>true</x:v>
      </x:c>
      <x:c r="H1261" s="25" t="str">
        <x:v>NOT_REVEALING</x:v>
      </x:c>
      <x:c r="I1261" s="25" t="str">
        <x:v>PASS</x:v>
      </x:c>
      <x:c r="J1261" s="25" t="str">
        <x:v>PASS</x:v>
      </x:c>
      <x:c r="K1261" s="25" t="n">
        <x:v>2</x:v>
      </x:c>
      <x:c r="L1261" s="27" t="b">
        <x:v>0</x:v>
      </x:c>
      <x:c r="M1261" s="25" t="str">
        <x:v>Feedback-Directed Random Test Generation/rounds/Round2/state/JacksonDatabind.json</x:v>
      </x:c>
      <x:c r="N1261" s="25" t="str">
        <x:v>Feedback-Directed Random Test Generation/Result_Round2/JacksonDatabind_14/result.json</x:v>
      </x:c>
      <x:c r="O1261" s="25" t="str">
        <x:v>Feedback-Directed Random Test Generation/Result_Round2/JacksonDatabind_14/result.json</x:v>
      </x:c>
      <x:c r="P1261"/>
      <x:c r="Q1261" s="21" t="str"/>
      <x:c r="R1261" s="21" t="str"/>
      <x:c r="S1261" s="21" t="str"/>
      <x:c r="T1261" s="17" t="str">
        <x:v>false</x:v>
      </x:c>
      <x:c r="U1261" s="17" t="str">
        <x:v>true</x:v>
      </x:c>
      <x:c r="V1261" s="17" t="str">
        <x:v>false</x:v>
      </x:c>
    </x:row>
    <x:row r="1262" ht="80" customHeight="1">
      <x:c r="A1262" s="25" t="str">
        <x:v>JacksonDatabind</x:v>
      </x:c>
      <x:c r="B1262" s="25" t="n">
        <x:v>15</x:v>
      </x:c>
      <x:c r="C1262" s="25" t="str">
        <x:v>Round2</x:v>
      </x:c>
      <x:c r="D1262" s="25" t="str">
        <x:v>NOT_REVEALING</x:v>
      </x:c>
      <x:c r="E1262" s="25" t="str">
        <x:v>N/A</x:v>
      </x:c>
      <x:c r="F1262" s="26" t="str">
        <x:v>Same saved validation suite passed on buggy and fixed</x:v>
      </x:c>
      <x:c r="G1262" s="25" t="str">
        <x:v>true</x:v>
      </x:c>
      <x:c r="H1262" s="25" t="str">
        <x:v>NOT_REVEALING</x:v>
      </x:c>
      <x:c r="I1262" s="25" t="str">
        <x:v>PASS</x:v>
      </x:c>
      <x:c r="J1262" s="25" t="str">
        <x:v>PASS</x:v>
      </x:c>
      <x:c r="K1262" s="25" t="n">
        <x:v>3</x:v>
      </x:c>
      <x:c r="L1262" s="27" t="b">
        <x:v>0</x:v>
      </x:c>
      <x:c r="M1262" s="25" t="str">
        <x:v>Feedback-Directed Random Test Generation/rounds/Round2/state/JacksonDatabind.json</x:v>
      </x:c>
      <x:c r="N1262" s="25" t="str">
        <x:v>Feedback-Directed Random Test Generation/Result_Round2/JacksonDatabind_15/result.json</x:v>
      </x:c>
      <x:c r="O1262" s="25" t="str">
        <x:v>Feedback-Directed Random Test Generation/Result_Round2/JacksonDatabind_15/result.json</x:v>
      </x:c>
      <x:c r="P1262"/>
      <x:c r="Q1262" s="21" t="str"/>
      <x:c r="R1262" s="21" t="str"/>
      <x:c r="S1262" s="21" t="str"/>
      <x:c r="T1262" s="17" t="str">
        <x:v>false</x:v>
      </x:c>
      <x:c r="U1262" s="17" t="str">
        <x:v>true</x:v>
      </x:c>
      <x:c r="V1262" s="17" t="str">
        <x:v>false</x:v>
      </x:c>
    </x:row>
    <x:row r="1263" ht="80" customHeight="1">
      <x:c r="A1263" s="25" t="str">
        <x:v>JacksonDatabind</x:v>
      </x:c>
      <x:c r="B1263" s="25" t="n">
        <x:v>16</x:v>
      </x:c>
      <x:c r="C1263" s="25" t="str">
        <x:v>Round2</x:v>
      </x:c>
      <x:c r="D1263" s="25" t="str">
        <x:v>NOT_REVEALING</x:v>
      </x:c>
      <x:c r="E1263" s="25" t="str">
        <x:v>N/A</x:v>
      </x:c>
      <x:c r="F1263" s="26" t="str">
        <x:v>Same saved validation suite passed on buggy and fixed</x:v>
      </x:c>
      <x:c r="G1263" s="25" t="str">
        <x:v>true</x:v>
      </x:c>
      <x:c r="H1263" s="25" t="str">
        <x:v>NOT_REVEALING</x:v>
      </x:c>
      <x:c r="I1263" s="25" t="str">
        <x:v>PASS</x:v>
      </x:c>
      <x:c r="J1263" s="25" t="str">
        <x:v>PASS</x:v>
      </x:c>
      <x:c r="K1263" s="25" t="n">
        <x:v>8</x:v>
      </x:c>
      <x:c r="L1263" s="27" t="b">
        <x:v>0</x:v>
      </x:c>
      <x:c r="M1263" s="25" t="str">
        <x:v>Feedback-Directed Random Test Generation/rounds/Round2/state/JacksonDatabind.json</x:v>
      </x:c>
      <x:c r="N1263" s="25" t="str">
        <x:v>Feedback-Directed Random Test Generation/Result_Round2/JacksonDatabind_16/result.json</x:v>
      </x:c>
      <x:c r="O1263" s="25" t="str">
        <x:v>Feedback-Directed Random Test Generation/Result_Round2/JacksonDatabind_16/result.json</x:v>
      </x:c>
      <x:c r="P1263"/>
      <x:c r="Q1263" s="21" t="str"/>
      <x:c r="R1263" s="21" t="str"/>
      <x:c r="S1263" s="21" t="str"/>
      <x:c r="T1263" s="17" t="str">
        <x:v>false</x:v>
      </x:c>
      <x:c r="U1263" s="17" t="str">
        <x:v>true</x:v>
      </x:c>
      <x:c r="V1263" s="17" t="str">
        <x:v>false</x:v>
      </x:c>
    </x:row>
    <x:row r="1264" ht="80" customHeight="1">
      <x:c r="A1264" s="25" t="str">
        <x:v>JacksonDatabind</x:v>
      </x:c>
      <x:c r="B1264" s="25" t="n">
        <x:v>17</x:v>
      </x:c>
      <x:c r="C1264" s="25" t="str">
        <x:v>Round2</x:v>
      </x:c>
      <x:c r="D1264" s="25" t="str">
        <x:v>INCONCLUSIVE</x:v>
      </x:c>
      <x:c r="E1264" s="25" t="str">
        <x:v>N/A</x:v>
      </x:c>
      <x:c r="F1264" s="26" t="str">
        <x:v>Fixed also failed; assertion failure cannot be attributed to this bug; Assertions failed with measured coverage; paired execution and stage checks determine status</x:v>
      </x:c>
      <x:c r="G1264" s="25" t="str">
        <x:v>true</x:v>
      </x:c>
      <x:c r="H1264" s="25" t="str">
        <x:v>INCONCLUSIVE</x:v>
      </x:c>
      <x:c r="I1264" s="25" t="str">
        <x:v>FAIL</x:v>
      </x:c>
      <x:c r="J1264" s="25" t="str">
        <x:v>FAIL</x:v>
      </x:c>
      <x:c r="K1264" s="25" t="n">
        <x:v>4</x:v>
      </x:c>
      <x:c r="L1264" s="27" t="b">
        <x:v>0</x:v>
      </x:c>
      <x:c r="M1264" s="25" t="str">
        <x:v>Feedback-Directed Random Test Generation/rounds/Round2/state/JacksonDatabind.json</x:v>
      </x:c>
      <x:c r="N1264" s="25" t="str">
        <x:v>Feedback-Directed Random Test Generation/Result_Round2/JacksonDatabind_17/result.json</x:v>
      </x:c>
      <x:c r="O1264" s="25" t="str">
        <x:v>Feedback-Directed Random Test Generation/Result_Round2/JacksonDatabind_17/result.json</x:v>
      </x:c>
      <x:c r="P1264"/>
      <x:c r="Q1264" s="21" t="str"/>
      <x:c r="R1264" s="21" t="str"/>
      <x:c r="S1264" s="21" t="str"/>
      <x:c r="T1264" s="17" t="str">
        <x:v>false</x:v>
      </x:c>
      <x:c r="U1264" s="17" t="str">
        <x:v>true</x:v>
      </x:c>
      <x:c r="V1264" s="17" t="str">
        <x:v>false</x:v>
      </x:c>
    </x:row>
    <x:row r="1265" ht="80" customHeight="1">
      <x:c r="A1265" s="25" t="str">
        <x:v>JacksonDatabind</x:v>
      </x:c>
      <x:c r="B1265" s="25" t="n">
        <x:v>18</x:v>
      </x:c>
      <x:c r="C1265" s="25" t="str">
        <x:v>Round2</x:v>
      </x:c>
      <x:c r="D1265" s="25" t="str">
        <x:v>NOT_REVEALING</x:v>
      </x:c>
      <x:c r="E1265" s="25" t="str">
        <x:v>N/A</x:v>
      </x:c>
      <x:c r="F1265" s="26" t="str">
        <x:v>Same saved validation suite passed on buggy and fixed</x:v>
      </x:c>
      <x:c r="G1265" s="25" t="str">
        <x:v>true</x:v>
      </x:c>
      <x:c r="H1265" s="25" t="str">
        <x:v>NOT_REVEALING</x:v>
      </x:c>
      <x:c r="I1265" s="25" t="str">
        <x:v>PASS</x:v>
      </x:c>
      <x:c r="J1265" s="25" t="str">
        <x:v>PASS</x:v>
      </x:c>
      <x:c r="K1265" s="25" t="n">
        <x:v>2</x:v>
      </x:c>
      <x:c r="L1265" s="27" t="b">
        <x:v>0</x:v>
      </x:c>
      <x:c r="M1265" s="25" t="str">
        <x:v>Feedback-Directed Random Test Generation/rounds/Round2/state/JacksonDatabind.json</x:v>
      </x:c>
      <x:c r="N1265" s="25" t="str">
        <x:v>Feedback-Directed Random Test Generation/Result_Round2/JacksonDatabind_18/result.json</x:v>
      </x:c>
      <x:c r="O1265" s="25" t="str">
        <x:v>Feedback-Directed Random Test Generation/Result_Round2/JacksonDatabind_18/result.json</x:v>
      </x:c>
      <x:c r="P1265"/>
      <x:c r="Q1265" s="21" t="str"/>
      <x:c r="R1265" s="21" t="str"/>
      <x:c r="S1265" s="21" t="str"/>
      <x:c r="T1265" s="17" t="str">
        <x:v>false</x:v>
      </x:c>
      <x:c r="U1265" s="17" t="str">
        <x:v>true</x:v>
      </x:c>
      <x:c r="V1265" s="17" t="str">
        <x:v>false</x:v>
      </x:c>
    </x:row>
    <x:row r="1266" ht="80" customHeight="1">
      <x:c r="A1266" s="25" t="str">
        <x:v>JacksonDatabind</x:v>
      </x:c>
      <x:c r="B1266" s="25" t="n">
        <x:v>19</x:v>
      </x:c>
      <x:c r="C1266" s="25" t="str">
        <x:v>Round2</x:v>
      </x:c>
      <x:c r="D1266" s="25" t="str">
        <x:v>NOT_REVEALING</x:v>
      </x:c>
      <x:c r="E1266" s="25" t="str">
        <x:v>N/A</x:v>
      </x:c>
      <x:c r="F1266" s="26" t="str">
        <x:v>Same saved validation suite passed on buggy and fixed</x:v>
      </x:c>
      <x:c r="G1266" s="25" t="str">
        <x:v>true</x:v>
      </x:c>
      <x:c r="H1266" s="25" t="str">
        <x:v>NOT_REVEALING</x:v>
      </x:c>
      <x:c r="I1266" s="25" t="str">
        <x:v>PASS</x:v>
      </x:c>
      <x:c r="J1266" s="25" t="str">
        <x:v>PASS</x:v>
      </x:c>
      <x:c r="K1266" s="25" t="n">
        <x:v>2</x:v>
      </x:c>
      <x:c r="L1266" s="27" t="b">
        <x:v>0</x:v>
      </x:c>
      <x:c r="M1266" s="25" t="str">
        <x:v>Feedback-Directed Random Test Generation/rounds/Round2/state/JacksonDatabind.json</x:v>
      </x:c>
      <x:c r="N1266" s="25" t="str">
        <x:v>Feedback-Directed Random Test Generation/Result_Round2/JacksonDatabind_19/result.json</x:v>
      </x:c>
      <x:c r="O1266" s="25" t="str">
        <x:v>Feedback-Directed Random Test Generation/Result_Round2/JacksonDatabind_19/result.json</x:v>
      </x:c>
      <x:c r="P1266"/>
      <x:c r="Q1266" s="21" t="str"/>
      <x:c r="R1266" s="21" t="str"/>
      <x:c r="S1266" s="21" t="str"/>
      <x:c r="T1266" s="17" t="str">
        <x:v>false</x:v>
      </x:c>
      <x:c r="U1266" s="17" t="str">
        <x:v>true</x:v>
      </x:c>
      <x:c r="V1266" s="17" t="str">
        <x:v>false</x:v>
      </x:c>
    </x:row>
    <x:row r="1267" ht="80" customHeight="1">
      <x:c r="A1267" s="25" t="str">
        <x:v>JacksonDatabind</x:v>
      </x:c>
      <x:c r="B1267" s="25" t="n">
        <x:v>20</x:v>
      </x:c>
      <x:c r="C1267" s="25" t="str">
        <x:v>Round2</x:v>
      </x:c>
      <x:c r="D1267" s="25" t="str">
        <x:v>NOT_REVEALING</x:v>
      </x:c>
      <x:c r="E1267" s="25" t="str">
        <x:v>N/A</x:v>
      </x:c>
      <x:c r="F1267" s="26" t="str">
        <x:v>Same saved validation suite passed on buggy and fixed</x:v>
      </x:c>
      <x:c r="G1267" s="25" t="str">
        <x:v>true</x:v>
      </x:c>
      <x:c r="H1267" s="25" t="str">
        <x:v>NOT_REVEALING</x:v>
      </x:c>
      <x:c r="I1267" s="25" t="str">
        <x:v>PASS</x:v>
      </x:c>
      <x:c r="J1267" s="25" t="str">
        <x:v>PASS</x:v>
      </x:c>
      <x:c r="K1267" s="25" t="n">
        <x:v>9</x:v>
      </x:c>
      <x:c r="L1267" s="27" t="b">
        <x:v>0</x:v>
      </x:c>
      <x:c r="M1267" s="25" t="str">
        <x:v>Feedback-Directed Random Test Generation/rounds/Round2/state/JacksonDatabind.json</x:v>
      </x:c>
      <x:c r="N1267" s="25" t="str">
        <x:v>Feedback-Directed Random Test Generation/Result_Round2/JacksonDatabind_20/result.json</x:v>
      </x:c>
      <x:c r="O1267" s="25" t="str">
        <x:v>Feedback-Directed Random Test Generation/Result_Round2/JacksonDatabind_20/result.json</x:v>
      </x:c>
      <x:c r="P1267"/>
      <x:c r="Q1267" s="21" t="str"/>
      <x:c r="R1267" s="21" t="str"/>
      <x:c r="S1267" s="21" t="str"/>
      <x:c r="T1267" s="17" t="str">
        <x:v>false</x:v>
      </x:c>
      <x:c r="U1267" s="17" t="str">
        <x:v>true</x:v>
      </x:c>
      <x:c r="V1267" s="17" t="str">
        <x:v>false</x:v>
      </x:c>
    </x:row>
    <x:row r="1268" ht="80" customHeight="1">
      <x:c r="A1268" s="25" t="str">
        <x:v>JacksonDatabind</x:v>
      </x:c>
      <x:c r="B1268" s="25" t="n">
        <x:v>21</x:v>
      </x:c>
      <x:c r="C1268" s="25" t="str">
        <x:v>Round2</x:v>
      </x:c>
      <x:c r="D1268" s="25" t="str">
        <x:v>NOT_REVEALING</x:v>
      </x:c>
      <x:c r="E1268" s="25" t="str">
        <x:v>N/A</x:v>
      </x:c>
      <x:c r="F1268" s="26" t="str">
        <x:v>Same saved validation suite passed on buggy and fixed</x:v>
      </x:c>
      <x:c r="G1268" s="25" t="str">
        <x:v>true</x:v>
      </x:c>
      <x:c r="H1268" s="25" t="str">
        <x:v>NOT_REVEALING</x:v>
      </x:c>
      <x:c r="I1268" s="25" t="str">
        <x:v>PASS</x:v>
      </x:c>
      <x:c r="J1268" s="25" t="str">
        <x:v>PASS</x:v>
      </x:c>
      <x:c r="K1268" s="25" t="n">
        <x:v>7</x:v>
      </x:c>
      <x:c r="L1268" s="27" t="b">
        <x:v>0</x:v>
      </x:c>
      <x:c r="M1268" s="25" t="str">
        <x:v>Feedback-Directed Random Test Generation/rounds/Round2/state/JacksonDatabind.json</x:v>
      </x:c>
      <x:c r="N1268" s="25" t="str">
        <x:v>Feedback-Directed Random Test Generation/Result_Round2/JacksonDatabind_21/result.json</x:v>
      </x:c>
      <x:c r="O1268" s="25" t="str">
        <x:v>Feedback-Directed Random Test Generation/Result_Round2/JacksonDatabind_21/result.json</x:v>
      </x:c>
      <x:c r="P1268"/>
      <x:c r="Q1268" s="21" t="str"/>
      <x:c r="R1268" s="21" t="str"/>
      <x:c r="S1268" s="21" t="str"/>
      <x:c r="T1268" s="17" t="str">
        <x:v>false</x:v>
      </x:c>
      <x:c r="U1268" s="17" t="str">
        <x:v>true</x:v>
      </x:c>
      <x:c r="V1268" s="17" t="str">
        <x:v>false</x:v>
      </x:c>
    </x:row>
    <x:row r="1269" ht="80" customHeight="1">
      <x:c r="A1269" s="25" t="str">
        <x:v>JacksonDatabind</x:v>
      </x:c>
      <x:c r="B1269" s="25" t="n">
        <x:v>22</x:v>
      </x:c>
      <x:c r="C1269" s="25" t="str">
        <x:v>Round2</x:v>
      </x:c>
      <x:c r="D1269" s="25" t="str">
        <x:v>NOT_AVAILABLE</x:v>
      </x:c>
      <x:c r="E1269" s="25" t="str">
        <x:v>N/A</x:v>
      </x:c>
      <x:c r="F1269" s="26" t="str">
        <x:v>fixed test_compile=FAIL</x:v>
      </x:c>
      <x:c r="G1269" s="25" t="str">
        <x:v>true</x:v>
      </x:c>
      <x:c r="H1269" s="25" t="str">
        <x:v>NOT_AVAILABLE</x:v>
      </x:c>
      <x:c r="I1269" s="25" t="str">
        <x:v>PASS</x:v>
      </x:c>
      <x:c r="J1269" s="25" t="str">
        <x:v>NOT_RUN</x:v>
      </x:c>
      <x:c r="K1269" s="25" t="n">
        <x:v>6</x:v>
      </x:c>
      <x:c r="L1269" s="27" t="b">
        <x:v>0</x:v>
      </x:c>
      <x:c r="M1269" s="25" t="str">
        <x:v>Feedback-Directed Random Test Generation/rounds/Round2/state/JacksonDatabind.json</x:v>
      </x:c>
      <x:c r="N1269" s="25" t="str">
        <x:v>Feedback-Directed Random Test Generation/Result_Round2/JacksonDatabind_22/result.json</x:v>
      </x:c>
      <x:c r="O1269" s="25" t="str">
        <x:v>Feedback-Directed Random Test Generation/Result_Round2/JacksonDatabind_22/result.json</x:v>
      </x:c>
      <x:c r="P1269" t="str">
        <x:v>FIXED_NOT_RUN</x:v>
      </x:c>
      <x:c r="Q1269" s="21" t="str"/>
      <x:c r="R1269" s="21" t="str"/>
      <x:c r="S1269" s="21" t="str"/>
      <x:c r="T1269" s="17" t="str">
        <x:v>false</x:v>
      </x:c>
      <x:c r="U1269" s="17" t="str">
        <x:v>true</x:v>
      </x:c>
      <x:c r="V1269" s="17" t="str">
        <x:v>false</x:v>
      </x:c>
    </x:row>
    <x:row r="1270" ht="80" customHeight="1">
      <x:c r="A1270" s="25" t="str">
        <x:v>JacksonDatabind</x:v>
      </x:c>
      <x:c r="B1270" s="25" t="n">
        <x:v>23</x:v>
      </x:c>
      <x:c r="C1270" s="25" t="str">
        <x:v>Round2</x:v>
      </x:c>
      <x:c r="D1270" s="25" t="str">
        <x:v>INCONCLUSIVE</x:v>
      </x:c>
      <x:c r="E1270" s="25" t="str">
        <x:v>N/A</x:v>
      </x:c>
      <x:c r="F1270" s="26" t="str">
        <x:v>Fixed also failed; assertion failure cannot be attributed to this bug</x:v>
      </x:c>
      <x:c r="G1270" s="25" t="str">
        <x:v>true</x:v>
      </x:c>
      <x:c r="H1270" s="25" t="str">
        <x:v>INCONCLUSIVE</x:v>
      </x:c>
      <x:c r="I1270" s="25" t="str">
        <x:v>PASS</x:v>
      </x:c>
      <x:c r="J1270" s="25" t="str">
        <x:v>FAIL</x:v>
      </x:c>
      <x:c r="K1270" s="25" t="n">
        <x:v>8</x:v>
      </x:c>
      <x:c r="L1270" s="27" t="b">
        <x:v>0</x:v>
      </x:c>
      <x:c r="M1270" s="25" t="str">
        <x:v>Feedback-Directed Random Test Generation/rounds/Round2/state/JacksonDatabind.json</x:v>
      </x:c>
      <x:c r="N1270" s="25" t="str">
        <x:v>Feedback-Directed Random Test Generation/Result_Round2/JacksonDatabind_23/result.json</x:v>
      </x:c>
      <x:c r="O1270" s="25" t="str">
        <x:v>Feedback-Directed Random Test Generation/Result_Round2/JacksonDatabind_23/result.json</x:v>
      </x:c>
      <x:c r="P1270"/>
      <x:c r="Q1270" s="21" t="str"/>
      <x:c r="R1270" s="21" t="str"/>
      <x:c r="S1270" s="21" t="str"/>
      <x:c r="T1270" s="17" t="str">
        <x:v>false</x:v>
      </x:c>
      <x:c r="U1270" s="17" t="str">
        <x:v>true</x:v>
      </x:c>
      <x:c r="V1270" s="17" t="str">
        <x:v>false</x:v>
      </x:c>
    </x:row>
    <x:row r="1271" ht="80" customHeight="1">
      <x:c r="A1271" s="25" t="str">
        <x:v>JacksonDatabind</x:v>
      </x:c>
      <x:c r="B1271" s="25" t="n">
        <x:v>24</x:v>
      </x:c>
      <x:c r="C1271" s="25" t="str">
        <x:v>Round2</x:v>
      </x:c>
      <x:c r="D1271" s="25" t="str">
        <x:v>NOT_REVEALING</x:v>
      </x:c>
      <x:c r="E1271" s="25" t="str">
        <x:v>N/A</x:v>
      </x:c>
      <x:c r="F1271" s="26" t="str">
        <x:v>Same saved validation suite passed on buggy and fixed</x:v>
      </x:c>
      <x:c r="G1271" s="25" t="str">
        <x:v>true</x:v>
      </x:c>
      <x:c r="H1271" s="25" t="str">
        <x:v>NOT_REVEALING</x:v>
      </x:c>
      <x:c r="I1271" s="25" t="str">
        <x:v>PASS</x:v>
      </x:c>
      <x:c r="J1271" s="25" t="str">
        <x:v>PASS</x:v>
      </x:c>
      <x:c r="K1271" s="25" t="n">
        <x:v>2</x:v>
      </x:c>
      <x:c r="L1271" s="27" t="b">
        <x:v>0</x:v>
      </x:c>
      <x:c r="M1271" s="25" t="str">
        <x:v>Feedback-Directed Random Test Generation/rounds/Round2/state/JacksonDatabind.json</x:v>
      </x:c>
      <x:c r="N1271" s="25" t="str">
        <x:v>Feedback-Directed Random Test Generation/Result_Round2/JacksonDatabind_24/result.json</x:v>
      </x:c>
      <x:c r="O1271" s="25" t="str">
        <x:v>Feedback-Directed Random Test Generation/Result_Round2/JacksonDatabind_24/result.json</x:v>
      </x:c>
      <x:c r="P1271"/>
      <x:c r="Q1271" s="21" t="str"/>
      <x:c r="R1271" s="21" t="str"/>
      <x:c r="S1271" s="21" t="str"/>
      <x:c r="T1271" s="17" t="str">
        <x:v>false</x:v>
      </x:c>
      <x:c r="U1271" s="17" t="str">
        <x:v>true</x:v>
      </x:c>
      <x:c r="V1271" s="17" t="str">
        <x:v>false</x:v>
      </x:c>
    </x:row>
    <x:row r="1272" ht="80" customHeight="1">
      <x:c r="A1272" s="25" t="str">
        <x:v>JacksonDatabind</x:v>
      </x:c>
      <x:c r="B1272" s="25" t="n">
        <x:v>25</x:v>
      </x:c>
      <x:c r="C1272" s="25" t="str">
        <x:v>Round2</x:v>
      </x:c>
      <x:c r="D1272" s="25" t="str">
        <x:v>NOT_REVEALING</x:v>
      </x:c>
      <x:c r="E1272" s="25" t="str">
        <x:v>N/A</x:v>
      </x:c>
      <x:c r="F1272" s="26" t="str">
        <x:v>Same saved validation suite passed on buggy and fixed</x:v>
      </x:c>
      <x:c r="G1272" s="25" t="str">
        <x:v>true</x:v>
      </x:c>
      <x:c r="H1272" s="25" t="str">
        <x:v>NOT_REVEALING</x:v>
      </x:c>
      <x:c r="I1272" s="25" t="str">
        <x:v>PASS</x:v>
      </x:c>
      <x:c r="J1272" s="25" t="str">
        <x:v>PASS</x:v>
      </x:c>
      <x:c r="K1272" s="25" t="n">
        <x:v>11</x:v>
      </x:c>
      <x:c r="L1272" s="27" t="b">
        <x:v>0</x:v>
      </x:c>
      <x:c r="M1272" s="25" t="str">
        <x:v>Feedback-Directed Random Test Generation/rounds/Round2/state/JacksonDatabind.json</x:v>
      </x:c>
      <x:c r="N1272" s="25" t="str">
        <x:v>Feedback-Directed Random Test Generation/Result_Round2/JacksonDatabind_25/result.json</x:v>
      </x:c>
      <x:c r="O1272" s="25" t="str">
        <x:v>Feedback-Directed Random Test Generation/Result_Round2/JacksonDatabind_25/result.json</x:v>
      </x:c>
      <x:c r="P1272"/>
      <x:c r="Q1272" s="21" t="str"/>
      <x:c r="R1272" s="21" t="str"/>
      <x:c r="S1272" s="21" t="str"/>
      <x:c r="T1272" s="17" t="str">
        <x:v>false</x:v>
      </x:c>
      <x:c r="U1272" s="17" t="str">
        <x:v>true</x:v>
      </x:c>
      <x:c r="V1272" s="17" t="str">
        <x:v>false</x:v>
      </x:c>
    </x:row>
    <x:row r="1273" ht="80" customHeight="1">
      <x:c r="A1273" s="25" t="str">
        <x:v>JacksonDatabind</x:v>
      </x:c>
      <x:c r="B1273" s="25" t="n">
        <x:v>26</x:v>
      </x:c>
      <x:c r="C1273" s="25" t="str">
        <x:v>Round2</x:v>
      </x:c>
      <x:c r="D1273" s="25" t="str">
        <x:v>INCONCLUSIVE</x:v>
      </x:c>
      <x:c r="E1273" s="25" t="str">
        <x:v>N/A</x:v>
      </x:c>
      <x:c r="F1273" s="26" t="str">
        <x:v>Fixed also failed; assertion failure cannot be attributed to this bug; Assertions failed with measured coverage; paired execution and stage checks determine status</x:v>
      </x:c>
      <x:c r="G1273" s="25" t="str">
        <x:v>true</x:v>
      </x:c>
      <x:c r="H1273" s="25" t="str">
        <x:v>INCONCLUSIVE</x:v>
      </x:c>
      <x:c r="I1273" s="25" t="str">
        <x:v>FAIL</x:v>
      </x:c>
      <x:c r="J1273" s="25" t="str">
        <x:v>FAIL</x:v>
      </x:c>
      <x:c r="K1273" s="25" t="n">
        <x:v>10</x:v>
      </x:c>
      <x:c r="L1273" s="27" t="b">
        <x:v>0</x:v>
      </x:c>
      <x:c r="M1273" s="25" t="str">
        <x:v>Feedback-Directed Random Test Generation/rounds/Round2/state/JacksonDatabind.json</x:v>
      </x:c>
      <x:c r="N1273" s="25" t="str">
        <x:v>Feedback-Directed Random Test Generation/Result_Round2/JacksonDatabind_26/result.json</x:v>
      </x:c>
      <x:c r="O1273" s="25" t="str">
        <x:v>Feedback-Directed Random Test Generation/Result_Round2/JacksonDatabind_26/result.json</x:v>
      </x:c>
      <x:c r="P1273"/>
      <x:c r="Q1273" s="21" t="str"/>
      <x:c r="R1273" s="21" t="str"/>
      <x:c r="S1273" s="21" t="str"/>
      <x:c r="T1273" s="17" t="str">
        <x:v>false</x:v>
      </x:c>
      <x:c r="U1273" s="17" t="str">
        <x:v>true</x:v>
      </x:c>
      <x:c r="V1273" s="17" t="str">
        <x:v>false</x:v>
      </x:c>
    </x:row>
    <x:row r="1274" ht="80" customHeight="1">
      <x:c r="A1274" s="25" t="str">
        <x:v>JacksonDatabind</x:v>
      </x:c>
      <x:c r="B1274" s="25" t="n">
        <x:v>27</x:v>
      </x:c>
      <x:c r="C1274" s="25" t="str">
        <x:v>Round2</x:v>
      </x:c>
      <x:c r="D1274" s="25" t="str">
        <x:v>NOT_REVEALING</x:v>
      </x:c>
      <x:c r="E1274" s="25" t="str">
        <x:v>N/A</x:v>
      </x:c>
      <x:c r="F1274" s="26" t="str">
        <x:v>Same saved validation suite passed on buggy and fixed</x:v>
      </x:c>
      <x:c r="G1274" s="25" t="str">
        <x:v>true</x:v>
      </x:c>
      <x:c r="H1274" s="25" t="str">
        <x:v>NOT_REVEALING</x:v>
      </x:c>
      <x:c r="I1274" s="25" t="str">
        <x:v>PASS</x:v>
      </x:c>
      <x:c r="J1274" s="25" t="str">
        <x:v>PASS</x:v>
      </x:c>
      <x:c r="K1274" s="25" t="n">
        <x:v>2</x:v>
      </x:c>
      <x:c r="L1274" s="27" t="b">
        <x:v>0</x:v>
      </x:c>
      <x:c r="M1274" s="25" t="str">
        <x:v>Feedback-Directed Random Test Generation/rounds/Round2/state/JacksonDatabind.json</x:v>
      </x:c>
      <x:c r="N1274" s="25" t="str">
        <x:v>Feedback-Directed Random Test Generation/Result_Round2/JacksonDatabind_27/result.json</x:v>
      </x:c>
      <x:c r="O1274" s="25" t="str">
        <x:v>Feedback-Directed Random Test Generation/Result_Round2/JacksonDatabind_27/result.json</x:v>
      </x:c>
      <x:c r="P1274"/>
      <x:c r="Q1274" s="21" t="str"/>
      <x:c r="R1274" s="21" t="str"/>
      <x:c r="S1274" s="21" t="str"/>
      <x:c r="T1274" s="17" t="str">
        <x:v>false</x:v>
      </x:c>
      <x:c r="U1274" s="17" t="str">
        <x:v>true</x:v>
      </x:c>
      <x:c r="V1274" s="17" t="str">
        <x:v>false</x:v>
      </x:c>
    </x:row>
    <x:row r="1275" ht="80" customHeight="1">
      <x:c r="A1275" s="25" t="str">
        <x:v>JacksonDatabind</x:v>
      </x:c>
      <x:c r="B1275" s="25" t="n">
        <x:v>28</x:v>
      </x:c>
      <x:c r="C1275" s="25" t="str">
        <x:v>Round2</x:v>
      </x:c>
      <x:c r="D1275" s="25" t="str">
        <x:v>NOT_REVEALING</x:v>
      </x:c>
      <x:c r="E1275" s="25" t="str">
        <x:v>N/A</x:v>
      </x:c>
      <x:c r="F1275" s="26" t="str">
        <x:v>Same saved validation suite passed on buggy and fixed</x:v>
      </x:c>
      <x:c r="G1275" s="25" t="str">
        <x:v>true</x:v>
      </x:c>
      <x:c r="H1275" s="25" t="str">
        <x:v>NOT_REVEALING</x:v>
      </x:c>
      <x:c r="I1275" s="25" t="str">
        <x:v>PASS</x:v>
      </x:c>
      <x:c r="J1275" s="25" t="str">
        <x:v>PASS</x:v>
      </x:c>
      <x:c r="K1275" s="25" t="n">
        <x:v>8</x:v>
      </x:c>
      <x:c r="L1275" s="27" t="b">
        <x:v>0</x:v>
      </x:c>
      <x:c r="M1275" s="25" t="str">
        <x:v>Feedback-Directed Random Test Generation/rounds/Round2/state/JacksonDatabind.json</x:v>
      </x:c>
      <x:c r="N1275" s="25" t="str">
        <x:v>Feedback-Directed Random Test Generation/Result_Round2/JacksonDatabind_28/result.json</x:v>
      </x:c>
      <x:c r="O1275" s="25" t="str">
        <x:v>Feedback-Directed Random Test Generation/Result_Round2/JacksonDatabind_28/result.json</x:v>
      </x:c>
      <x:c r="P1275"/>
      <x:c r="Q1275" s="21" t="str"/>
      <x:c r="R1275" s="21" t="str"/>
      <x:c r="S1275" s="21" t="str"/>
      <x:c r="T1275" s="17" t="str">
        <x:v>false</x:v>
      </x:c>
      <x:c r="U1275" s="17" t="str">
        <x:v>true</x:v>
      </x:c>
      <x:c r="V1275" s="17" t="str">
        <x:v>false</x:v>
      </x:c>
    </x:row>
    <x:row r="1276" ht="80" customHeight="1">
      <x:c r="A1276" s="25" t="str">
        <x:v>JacksonDatabind</x:v>
      </x:c>
      <x:c r="B1276" s="25" t="n">
        <x:v>29</x:v>
      </x:c>
      <x:c r="C1276" s="25" t="str">
        <x:v>Round2</x:v>
      </x:c>
      <x:c r="D1276" s="25" t="str">
        <x:v>NOT_REVEALING</x:v>
      </x:c>
      <x:c r="E1276" s="25" t="str">
        <x:v>N/A</x:v>
      </x:c>
      <x:c r="F1276" s="26" t="str">
        <x:v>Same saved validation suite passed on buggy and fixed</x:v>
      </x:c>
      <x:c r="G1276" s="25" t="str">
        <x:v>true</x:v>
      </x:c>
      <x:c r="H1276" s="25" t="str">
        <x:v>NOT_REVEALING</x:v>
      </x:c>
      <x:c r="I1276" s="25" t="str">
        <x:v>PASS</x:v>
      </x:c>
      <x:c r="J1276" s="25" t="str">
        <x:v>PASS</x:v>
      </x:c>
      <x:c r="K1276" s="25" t="n">
        <x:v>6</x:v>
      </x:c>
      <x:c r="L1276" s="27" t="b">
        <x:v>0</x:v>
      </x:c>
      <x:c r="M1276" s="25" t="str">
        <x:v>Feedback-Directed Random Test Generation/rounds/Round2/state/JacksonDatabind.json</x:v>
      </x:c>
      <x:c r="N1276" s="25" t="str">
        <x:v>Feedback-Directed Random Test Generation/Result_Round2/JacksonDatabind_29/result.json</x:v>
      </x:c>
      <x:c r="O1276" s="25" t="str">
        <x:v>Feedback-Directed Random Test Generation/Result_Round2/JacksonDatabind_29/result.json</x:v>
      </x:c>
      <x:c r="P1276"/>
      <x:c r="Q1276" s="21" t="str"/>
      <x:c r="R1276" s="21" t="str"/>
      <x:c r="S1276" s="21" t="str"/>
      <x:c r="T1276" s="17" t="str">
        <x:v>false</x:v>
      </x:c>
      <x:c r="U1276" s="17" t="str">
        <x:v>true</x:v>
      </x:c>
      <x:c r="V1276" s="17" t="str">
        <x:v>false</x:v>
      </x:c>
    </x:row>
    <x:row r="1277" ht="80" customHeight="1">
      <x:c r="A1277" s="25" t="str">
        <x:v>JacksonDatabind</x:v>
      </x:c>
      <x:c r="B1277" s="25" t="n">
        <x:v>30</x:v>
      </x:c>
      <x:c r="C1277" s="25" t="str">
        <x:v>Round2</x:v>
      </x:c>
      <x:c r="D1277" s="25" t="str">
        <x:v>INCONCLUSIVE</x:v>
      </x:c>
      <x:c r="E1277" s="25" t="str">
        <x:v>N/A</x:v>
      </x:c>
      <x:c r="F1277" s="26" t="str">
        <x:v>Fixed also failed; assertion failure cannot be attributed to this bug; Assertions failed with measured coverage; paired execution and stage checks determine status</x:v>
      </x:c>
      <x:c r="G1277" s="25" t="str">
        <x:v>true</x:v>
      </x:c>
      <x:c r="H1277" s="25" t="str">
        <x:v>INCONCLUSIVE</x:v>
      </x:c>
      <x:c r="I1277" s="25" t="str">
        <x:v>FAIL</x:v>
      </x:c>
      <x:c r="J1277" s="25" t="str">
        <x:v>FAIL</x:v>
      </x:c>
      <x:c r="K1277" s="25" t="n">
        <x:v>5</x:v>
      </x:c>
      <x:c r="L1277" s="27" t="b">
        <x:v>0</x:v>
      </x:c>
      <x:c r="M1277" s="25" t="str">
        <x:v>Feedback-Directed Random Test Generation/rounds/Round2/state/JacksonDatabind.json</x:v>
      </x:c>
      <x:c r="N1277" s="25" t="str">
        <x:v>Feedback-Directed Random Test Generation/Result_Round2/JacksonDatabind_30/result.json</x:v>
      </x:c>
      <x:c r="O1277" s="25" t="str">
        <x:v>Feedback-Directed Random Test Generation/Result_Round2/JacksonDatabind_30/result.json</x:v>
      </x:c>
      <x:c r="P1277"/>
      <x:c r="Q1277" s="21" t="str"/>
      <x:c r="R1277" s="21" t="str"/>
      <x:c r="S1277" s="21" t="str"/>
      <x:c r="T1277" s="17" t="str">
        <x:v>false</x:v>
      </x:c>
      <x:c r="U1277" s="17" t="str">
        <x:v>true</x:v>
      </x:c>
      <x:c r="V1277" s="17" t="str">
        <x:v>false</x:v>
      </x:c>
    </x:row>
    <x:row r="1278" ht="80" customHeight="1">
      <x:c r="A1278" s="25" t="str">
        <x:v>JacksonDatabind</x:v>
      </x:c>
      <x:c r="B1278" s="25" t="n">
        <x:v>31</x:v>
      </x:c>
      <x:c r="C1278" s="25" t="str">
        <x:v>Round2</x:v>
      </x:c>
      <x:c r="D1278" s="25" t="str">
        <x:v>INCONCLUSIVE</x:v>
      </x:c>
      <x:c r="E1278" s="25" t="str">
        <x:v>N/A</x:v>
      </x:c>
      <x:c r="F1278" s="26" t="str">
        <x:v>Fixed also failed; assertion failure cannot be attributed to this bug</x:v>
      </x:c>
      <x:c r="G1278" s="25" t="str">
        <x:v>true</x:v>
      </x:c>
      <x:c r="H1278" s="25" t="str">
        <x:v>INCONCLUSIVE</x:v>
      </x:c>
      <x:c r="I1278" s="25" t="str">
        <x:v>PASS</x:v>
      </x:c>
      <x:c r="J1278" s="25" t="str">
        <x:v>FAIL</x:v>
      </x:c>
      <x:c r="K1278" s="25" t="n">
        <x:v>9</x:v>
      </x:c>
      <x:c r="L1278" s="27" t="b">
        <x:v>0</x:v>
      </x:c>
      <x:c r="M1278" s="25" t="str">
        <x:v>Feedback-Directed Random Test Generation/rounds/Round2/state/JacksonDatabind.json</x:v>
      </x:c>
      <x:c r="N1278" s="25" t="str">
        <x:v>Feedback-Directed Random Test Generation/Result_Round2/JacksonDatabind_31/result.json</x:v>
      </x:c>
      <x:c r="O1278" s="25" t="str">
        <x:v>Feedback-Directed Random Test Generation/Result_Round2/JacksonDatabind_31/result.json</x:v>
      </x:c>
      <x:c r="P1278"/>
      <x:c r="Q1278" s="21" t="str"/>
      <x:c r="R1278" s="21" t="str"/>
      <x:c r="S1278" s="21" t="str"/>
      <x:c r="T1278" s="17" t="str">
        <x:v>false</x:v>
      </x:c>
      <x:c r="U1278" s="17" t="str">
        <x:v>true</x:v>
      </x:c>
      <x:c r="V1278" s="17" t="str">
        <x:v>false</x:v>
      </x:c>
    </x:row>
    <x:row r="1279" ht="80" customHeight="1">
      <x:c r="A1279" s="25" t="str">
        <x:v>JacksonDatabind</x:v>
      </x:c>
      <x:c r="B1279" s="25" t="n">
        <x:v>32</x:v>
      </x:c>
      <x:c r="C1279" s="25" t="str">
        <x:v>Round2</x:v>
      </x:c>
      <x:c r="D1279" s="25" t="str">
        <x:v>INCONCLUSIVE</x:v>
      </x:c>
      <x:c r="E1279" s="25" t="str">
        <x:v>N/A</x:v>
      </x:c>
      <x:c r="F1279" s="26" t="str">
        <x:v>Fixed also failed; assertion failure cannot be attributed to this bug; Assertions failed with measured coverage; paired execution and stage checks determine status</x:v>
      </x:c>
      <x:c r="G1279" s="25" t="str">
        <x:v>true</x:v>
      </x:c>
      <x:c r="H1279" s="25" t="str">
        <x:v>INCONCLUSIVE</x:v>
      </x:c>
      <x:c r="I1279" s="25" t="str">
        <x:v>FAIL</x:v>
      </x:c>
      <x:c r="J1279" s="25" t="str">
        <x:v>FAIL</x:v>
      </x:c>
      <x:c r="K1279" s="25" t="n">
        <x:v>2</x:v>
      </x:c>
      <x:c r="L1279" s="27" t="b">
        <x:v>0</x:v>
      </x:c>
      <x:c r="M1279" s="25" t="str">
        <x:v>Feedback-Directed Random Test Generation/rounds/Round2/state/JacksonDatabind.json</x:v>
      </x:c>
      <x:c r="N1279" s="25" t="str">
        <x:v>Feedback-Directed Random Test Generation/Result_Round2/JacksonDatabind_32/result.json</x:v>
      </x:c>
      <x:c r="O1279" s="25" t="str">
        <x:v>Feedback-Directed Random Test Generation/Result_Round2/JacksonDatabind_32/result.json</x:v>
      </x:c>
      <x:c r="P1279"/>
      <x:c r="Q1279" s="21" t="str"/>
      <x:c r="R1279" s="21" t="str"/>
      <x:c r="S1279" s="21" t="str"/>
      <x:c r="T1279" s="17" t="str">
        <x:v>false</x:v>
      </x:c>
      <x:c r="U1279" s="17" t="str">
        <x:v>true</x:v>
      </x:c>
      <x:c r="V1279" s="17" t="str">
        <x:v>false</x:v>
      </x:c>
    </x:row>
    <x:row r="1280" ht="80" customHeight="1">
      <x:c r="A1280" s="25" t="str">
        <x:v>JacksonDatabind</x:v>
      </x:c>
      <x:c r="B1280" s="25" t="n">
        <x:v>33</x:v>
      </x:c>
      <x:c r="C1280" s="25" t="str">
        <x:v>Round2</x:v>
      </x:c>
      <x:c r="D1280" s="25" t="str">
        <x:v>NOT_REVEALING</x:v>
      </x:c>
      <x:c r="E1280" s="25" t="str">
        <x:v>N/A</x:v>
      </x:c>
      <x:c r="F1280" s="26" t="str">
        <x:v>Same saved validation suite passed on buggy and fixed</x:v>
      </x:c>
      <x:c r="G1280" s="25" t="str">
        <x:v>true</x:v>
      </x:c>
      <x:c r="H1280" s="25" t="str">
        <x:v>NOT_REVEALING</x:v>
      </x:c>
      <x:c r="I1280" s="25" t="str">
        <x:v>PASS</x:v>
      </x:c>
      <x:c r="J1280" s="25" t="str">
        <x:v>PASS</x:v>
      </x:c>
      <x:c r="K1280" s="25" t="n">
        <x:v>3</x:v>
      </x:c>
      <x:c r="L1280" s="27" t="b">
        <x:v>0</x:v>
      </x:c>
      <x:c r="M1280" s="25" t="str">
        <x:v>Feedback-Directed Random Test Generation/rounds/Round2/state/JacksonDatabind.json</x:v>
      </x:c>
      <x:c r="N1280" s="25" t="str">
        <x:v>Feedback-Directed Random Test Generation/Result_Round2/JacksonDatabind_33/result.json</x:v>
      </x:c>
      <x:c r="O1280" s="25" t="str">
        <x:v>Feedback-Directed Random Test Generation/Result_Round2/JacksonDatabind_33/result.json</x:v>
      </x:c>
      <x:c r="P1280"/>
      <x:c r="Q1280" s="21" t="str"/>
      <x:c r="R1280" s="21" t="str"/>
      <x:c r="S1280" s="21" t="str"/>
      <x:c r="T1280" s="17" t="str">
        <x:v>false</x:v>
      </x:c>
      <x:c r="U1280" s="17" t="str">
        <x:v>true</x:v>
      </x:c>
      <x:c r="V1280" s="17" t="str">
        <x:v>false</x:v>
      </x:c>
    </x:row>
    <x:row r="1281" ht="80" customHeight="1">
      <x:c r="A1281" s="25" t="str">
        <x:v>JacksonDatabind</x:v>
      </x:c>
      <x:c r="B1281" s="25" t="n">
        <x:v>34</x:v>
      </x:c>
      <x:c r="C1281" s="25" t="str">
        <x:v>Round2</x:v>
      </x:c>
      <x:c r="D1281" s="25" t="str">
        <x:v>NOT_REVEALING</x:v>
      </x:c>
      <x:c r="E1281" s="25" t="str">
        <x:v>N/A</x:v>
      </x:c>
      <x:c r="F1281" s="26" t="str">
        <x:v>Same saved validation suite passed on buggy and fixed</x:v>
      </x:c>
      <x:c r="G1281" s="25" t="str">
        <x:v>true</x:v>
      </x:c>
      <x:c r="H1281" s="25" t="str">
        <x:v>NOT_REVEALING</x:v>
      </x:c>
      <x:c r="I1281" s="25" t="str">
        <x:v>PASS</x:v>
      </x:c>
      <x:c r="J1281" s="25" t="str">
        <x:v>PASS</x:v>
      </x:c>
      <x:c r="K1281" s="25" t="n">
        <x:v>7</x:v>
      </x:c>
      <x:c r="L1281" s="27" t="b">
        <x:v>0</x:v>
      </x:c>
      <x:c r="M1281" s="25" t="str">
        <x:v>Feedback-Directed Random Test Generation/rounds/Round2/state/JacksonDatabind.json</x:v>
      </x:c>
      <x:c r="N1281" s="25" t="str">
        <x:v>Feedback-Directed Random Test Generation/Result_Round2/JacksonDatabind_34/result.json</x:v>
      </x:c>
      <x:c r="O1281" s="25" t="str">
        <x:v>Feedback-Directed Random Test Generation/Result_Round2/JacksonDatabind_34/result.json</x:v>
      </x:c>
      <x:c r="P1281"/>
      <x:c r="Q1281" s="21" t="str"/>
      <x:c r="R1281" s="21" t="str"/>
      <x:c r="S1281" s="21" t="str"/>
      <x:c r="T1281" s="17" t="str">
        <x:v>false</x:v>
      </x:c>
      <x:c r="U1281" s="17" t="str">
        <x:v>true</x:v>
      </x:c>
      <x:c r="V1281" s="17" t="str">
        <x:v>false</x:v>
      </x:c>
    </x:row>
    <x:row r="1282" ht="80" customHeight="1">
      <x:c r="A1282" s="25" t="str">
        <x:v>JacksonDatabind</x:v>
      </x:c>
      <x:c r="B1282" s="25" t="n">
        <x:v>35</x:v>
      </x:c>
      <x:c r="C1282" s="25" t="str">
        <x:v>Round2</x:v>
      </x:c>
      <x:c r="D1282" s="25" t="str">
        <x:v>NOT_REVEALING</x:v>
      </x:c>
      <x:c r="E1282" s="25" t="str">
        <x:v>N/A</x:v>
      </x:c>
      <x:c r="F1282" s="26" t="str">
        <x:v>Same saved validation suite passed on buggy and fixed</x:v>
      </x:c>
      <x:c r="G1282" s="25" t="str">
        <x:v>true</x:v>
      </x:c>
      <x:c r="H1282" s="25" t="str">
        <x:v>NOT_REVEALING</x:v>
      </x:c>
      <x:c r="I1282" s="25" t="str">
        <x:v>PASS</x:v>
      </x:c>
      <x:c r="J1282" s="25" t="str">
        <x:v>PASS</x:v>
      </x:c>
      <x:c r="K1282" s="25" t="n">
        <x:v>2</x:v>
      </x:c>
      <x:c r="L1282" s="27" t="b">
        <x:v>0</x:v>
      </x:c>
      <x:c r="M1282" s="25" t="str">
        <x:v>Feedback-Directed Random Test Generation/rounds/Round2/state/JacksonDatabind.json</x:v>
      </x:c>
      <x:c r="N1282" s="25" t="str">
        <x:v>Feedback-Directed Random Test Generation/Result_Round2/JacksonDatabind_35/result.json</x:v>
      </x:c>
      <x:c r="O1282" s="25" t="str">
        <x:v>Feedback-Directed Random Test Generation/Result_Round2/JacksonDatabind_35/result.json</x:v>
      </x:c>
      <x:c r="P1282"/>
      <x:c r="Q1282" s="21" t="str"/>
      <x:c r="R1282" s="21" t="str"/>
      <x:c r="S1282" s="21" t="str"/>
      <x:c r="T1282" s="17" t="str">
        <x:v>false</x:v>
      </x:c>
      <x:c r="U1282" s="17" t="str">
        <x:v>true</x:v>
      </x:c>
      <x:c r="V1282" s="17" t="str">
        <x:v>false</x:v>
      </x:c>
    </x:row>
    <x:row r="1283" ht="80" customHeight="1">
      <x:c r="A1283" s="25" t="str">
        <x:v>JacksonDatabind</x:v>
      </x:c>
      <x:c r="B1283" s="25" t="n">
        <x:v>36</x:v>
      </x:c>
      <x:c r="C1283" s="25" t="str">
        <x:v>Round2</x:v>
      </x:c>
      <x:c r="D1283" s="25" t="str">
        <x:v>INCONCLUSIVE</x:v>
      </x:c>
      <x:c r="E1283" s="25" t="str">
        <x:v>N/A</x:v>
      </x:c>
      <x:c r="F1283" s="26" t="str">
        <x:v>Fixed also failed; assertion failure cannot be attributed to this bug; Assertions failed with measured coverage; paired execution and stage checks determine status</x:v>
      </x:c>
      <x:c r="G1283" s="25" t="str">
        <x:v>true</x:v>
      </x:c>
      <x:c r="H1283" s="25" t="str">
        <x:v>INCONCLUSIVE</x:v>
      </x:c>
      <x:c r="I1283" s="25" t="str">
        <x:v>FAIL</x:v>
      </x:c>
      <x:c r="J1283" s="25" t="str">
        <x:v>FAIL</x:v>
      </x:c>
      <x:c r="K1283" s="25" t="n">
        <x:v>13</x:v>
      </x:c>
      <x:c r="L1283" s="27" t="b">
        <x:v>0</x:v>
      </x:c>
      <x:c r="M1283" s="25" t="str">
        <x:v>Feedback-Directed Random Test Generation/rounds/Round2/state/JacksonDatabind.json</x:v>
      </x:c>
      <x:c r="N1283" s="25" t="str">
        <x:v>Feedback-Directed Random Test Generation/Result_Round2/JacksonDatabind_36/result.json</x:v>
      </x:c>
      <x:c r="O1283" s="25" t="str">
        <x:v>Feedback-Directed Random Test Generation/Result_Round2/JacksonDatabind_36/result.json</x:v>
      </x:c>
      <x:c r="P1283"/>
      <x:c r="Q1283" s="21" t="str"/>
      <x:c r="R1283" s="21" t="str"/>
      <x:c r="S1283" s="21" t="str"/>
      <x:c r="T1283" s="17" t="str">
        <x:v>false</x:v>
      </x:c>
      <x:c r="U1283" s="17" t="str">
        <x:v>true</x:v>
      </x:c>
      <x:c r="V1283" s="17" t="str">
        <x:v>false</x:v>
      </x:c>
    </x:row>
    <x:row r="1284" ht="80" customHeight="1">
      <x:c r="A1284" s="25" t="str">
        <x:v>JacksonDatabind</x:v>
      </x:c>
      <x:c r="B1284" s="25" t="n">
        <x:v>37</x:v>
      </x:c>
      <x:c r="C1284" s="25" t="str">
        <x:v>Round2</x:v>
      </x:c>
      <x:c r="D1284" s="25" t="str">
        <x:v>NOT_REVEALING</x:v>
      </x:c>
      <x:c r="E1284" s="25" t="str">
        <x:v>N/A</x:v>
      </x:c>
      <x:c r="F1284" s="26" t="str">
        <x:v>Same saved validation suite passed on buggy and fixed</x:v>
      </x:c>
      <x:c r="G1284" s="25" t="str">
        <x:v>true</x:v>
      </x:c>
      <x:c r="H1284" s="25" t="str">
        <x:v>NOT_REVEALING</x:v>
      </x:c>
      <x:c r="I1284" s="25" t="str">
        <x:v>PASS</x:v>
      </x:c>
      <x:c r="J1284" s="25" t="str">
        <x:v>PASS</x:v>
      </x:c>
      <x:c r="K1284" s="25" t="n">
        <x:v>2</x:v>
      </x:c>
      <x:c r="L1284" s="27" t="b">
        <x:v>0</x:v>
      </x:c>
      <x:c r="M1284" s="25" t="str">
        <x:v>Feedback-Directed Random Test Generation/rounds/Round2/state/JacksonDatabind.json</x:v>
      </x:c>
      <x:c r="N1284" s="25" t="str">
        <x:v>Feedback-Directed Random Test Generation/Result_Round2/JacksonDatabind_37/result.json</x:v>
      </x:c>
      <x:c r="O1284" s="25" t="str">
        <x:v>Feedback-Directed Random Test Generation/Result_Round2/JacksonDatabind_37/result.json</x:v>
      </x:c>
      <x:c r="P1284"/>
      <x:c r="Q1284" s="21" t="str"/>
      <x:c r="R1284" s="21" t="str"/>
      <x:c r="S1284" s="21" t="str"/>
      <x:c r="T1284" s="17" t="str">
        <x:v>false</x:v>
      </x:c>
      <x:c r="U1284" s="17" t="str">
        <x:v>true</x:v>
      </x:c>
      <x:c r="V1284" s="17" t="str">
        <x:v>false</x:v>
      </x:c>
    </x:row>
    <x:row r="1285" ht="80" customHeight="1">
      <x:c r="A1285" s="25" t="str">
        <x:v>JacksonDatabind</x:v>
      </x:c>
      <x:c r="B1285" s="25" t="n">
        <x:v>38</x:v>
      </x:c>
      <x:c r="C1285" s="25" t="str">
        <x:v>Round2</x:v>
      </x:c>
      <x:c r="D1285" s="25" t="str">
        <x:v>NOT_REVEALING</x:v>
      </x:c>
      <x:c r="E1285" s="25" t="str">
        <x:v>N/A</x:v>
      </x:c>
      <x:c r="F1285" s="26" t="str">
        <x:v>Same saved validation suite passed on buggy and fixed</x:v>
      </x:c>
      <x:c r="G1285" s="25" t="str">
        <x:v>true</x:v>
      </x:c>
      <x:c r="H1285" s="25" t="str">
        <x:v>NOT_REVEALING</x:v>
      </x:c>
      <x:c r="I1285" s="25" t="str">
        <x:v>PASS</x:v>
      </x:c>
      <x:c r="J1285" s="25" t="str">
        <x:v>PASS</x:v>
      </x:c>
      <x:c r="K1285" s="25" t="n">
        <x:v>2</x:v>
      </x:c>
      <x:c r="L1285" s="27" t="b">
        <x:v>0</x:v>
      </x:c>
      <x:c r="M1285" s="25" t="str">
        <x:v>Feedback-Directed Random Test Generation/rounds/Round2/state/JacksonDatabind.json</x:v>
      </x:c>
      <x:c r="N1285" s="25" t="str">
        <x:v>Feedback-Directed Random Test Generation/Result_Round2/JacksonDatabind_38/result.json</x:v>
      </x:c>
      <x:c r="O1285" s="25" t="str">
        <x:v>Feedback-Directed Random Test Generation/Result_Round2/JacksonDatabind_38/result.json</x:v>
      </x:c>
      <x:c r="P1285"/>
      <x:c r="Q1285" s="21" t="str"/>
      <x:c r="R1285" s="21" t="str"/>
      <x:c r="S1285" s="21" t="str"/>
      <x:c r="T1285" s="17" t="str">
        <x:v>false</x:v>
      </x:c>
      <x:c r="U1285" s="17" t="str">
        <x:v>true</x:v>
      </x:c>
      <x:c r="V1285" s="17" t="str">
        <x:v>false</x:v>
      </x:c>
    </x:row>
    <x:row r="1286" ht="80" customHeight="1">
      <x:c r="A1286" s="25" t="str">
        <x:v>JacksonDatabind</x:v>
      </x:c>
      <x:c r="B1286" s="25" t="n">
        <x:v>39</x:v>
      </x:c>
      <x:c r="C1286" s="25" t="str">
        <x:v>Round2</x:v>
      </x:c>
      <x:c r="D1286" s="25" t="str">
        <x:v>NOT_REVEALING</x:v>
      </x:c>
      <x:c r="E1286" s="25" t="str">
        <x:v>N/A</x:v>
      </x:c>
      <x:c r="F1286" s="26" t="str">
        <x:v>Same saved validation suite passed on buggy and fixed</x:v>
      </x:c>
      <x:c r="G1286" s="25" t="str">
        <x:v>true</x:v>
      </x:c>
      <x:c r="H1286" s="25" t="str">
        <x:v>NOT_REVEALING</x:v>
      </x:c>
      <x:c r="I1286" s="25" t="str">
        <x:v>PASS</x:v>
      </x:c>
      <x:c r="J1286" s="25" t="str">
        <x:v>PASS</x:v>
      </x:c>
      <x:c r="K1286" s="25" t="n">
        <x:v>8</x:v>
      </x:c>
      <x:c r="L1286" s="27" t="b">
        <x:v>0</x:v>
      </x:c>
      <x:c r="M1286" s="25" t="str">
        <x:v>Feedback-Directed Random Test Generation/rounds/Round2/state/JacksonDatabind.json</x:v>
      </x:c>
      <x:c r="N1286" s="25" t="str">
        <x:v>Feedback-Directed Random Test Generation/Result_Round2/JacksonDatabind_39/result.json</x:v>
      </x:c>
      <x:c r="O1286" s="25" t="str">
        <x:v>Feedback-Directed Random Test Generation/Result_Round2/JacksonDatabind_39/result.json</x:v>
      </x:c>
      <x:c r="P1286"/>
      <x:c r="Q1286" s="21" t="str"/>
      <x:c r="R1286" s="21" t="str"/>
      <x:c r="S1286" s="21" t="str"/>
      <x:c r="T1286" s="17" t="str">
        <x:v>false</x:v>
      </x:c>
      <x:c r="U1286" s="17" t="str">
        <x:v>true</x:v>
      </x:c>
      <x:c r="V1286" s="17" t="str">
        <x:v>false</x:v>
      </x:c>
    </x:row>
    <x:row r="1287" ht="80" customHeight="1">
      <x:c r="A1287" s="25" t="str">
        <x:v>JacksonDatabind</x:v>
      </x:c>
      <x:c r="B1287" s="25" t="n">
        <x:v>40</x:v>
      </x:c>
      <x:c r="C1287" s="25" t="str">
        <x:v>Round2</x:v>
      </x:c>
      <x:c r="D1287" s="25" t="str">
        <x:v>INCONCLUSIVE</x:v>
      </x:c>
      <x:c r="E1287" s="25" t="str">
        <x:v>N/A</x:v>
      </x:c>
      <x:c r="F1287" s="26" t="str">
        <x:v>Fixed also failed; assertion failure cannot be attributed to this bug</x:v>
      </x:c>
      <x:c r="G1287" s="25" t="str">
        <x:v>true</x:v>
      </x:c>
      <x:c r="H1287" s="25" t="str">
        <x:v>INCONCLUSIVE</x:v>
      </x:c>
      <x:c r="I1287" s="25" t="str">
        <x:v>PASS</x:v>
      </x:c>
      <x:c r="J1287" s="25" t="str">
        <x:v>FAIL</x:v>
      </x:c>
      <x:c r="K1287" s="25" t="n">
        <x:v>9</x:v>
      </x:c>
      <x:c r="L1287" s="27" t="b">
        <x:v>0</x:v>
      </x:c>
      <x:c r="M1287" s="25" t="str">
        <x:v>Feedback-Directed Random Test Generation/rounds/Round2/state/JacksonDatabind.json</x:v>
      </x:c>
      <x:c r="N1287" s="25" t="str">
        <x:v>Feedback-Directed Random Test Generation/Result_Round2/JacksonDatabind_40/result.json</x:v>
      </x:c>
      <x:c r="O1287" s="25" t="str">
        <x:v>Feedback-Directed Random Test Generation/Result_Round2/JacksonDatabind_40/result.json</x:v>
      </x:c>
      <x:c r="P1287"/>
      <x:c r="Q1287" s="21" t="str"/>
      <x:c r="R1287" s="21" t="str"/>
      <x:c r="S1287" s="21" t="str"/>
      <x:c r="T1287" s="17" t="str">
        <x:v>false</x:v>
      </x:c>
      <x:c r="U1287" s="17" t="str">
        <x:v>true</x:v>
      </x:c>
      <x:c r="V1287" s="17" t="str">
        <x:v>false</x:v>
      </x:c>
    </x:row>
    <x:row r="1288" ht="80" customHeight="1">
      <x:c r="A1288" s="25" t="str">
        <x:v>JacksonDatabind</x:v>
      </x:c>
      <x:c r="B1288" s="25" t="n">
        <x:v>41</x:v>
      </x:c>
      <x:c r="C1288" s="25" t="str">
        <x:v>Round2</x:v>
      </x:c>
      <x:c r="D1288" s="25" t="str">
        <x:v>INCONCLUSIVE</x:v>
      </x:c>
      <x:c r="E1288" s="25" t="str">
        <x:v>N/A</x:v>
      </x:c>
      <x:c r="F1288" s="26" t="str">
        <x:v>Fixed also failed; assertion failure cannot be attributed to this bug</x:v>
      </x:c>
      <x:c r="G1288" s="25" t="str">
        <x:v>true</x:v>
      </x:c>
      <x:c r="H1288" s="25" t="str">
        <x:v>INCONCLUSIVE</x:v>
      </x:c>
      <x:c r="I1288" s="25" t="str">
        <x:v>PASS</x:v>
      </x:c>
      <x:c r="J1288" s="25" t="str">
        <x:v>FAIL</x:v>
      </x:c>
      <x:c r="K1288" s="25" t="n">
        <x:v>3</x:v>
      </x:c>
      <x:c r="L1288" s="27" t="b">
        <x:v>0</x:v>
      </x:c>
      <x:c r="M1288" s="25" t="str">
        <x:v>Feedback-Directed Random Test Generation/rounds/Round2/state/JacksonDatabind.json</x:v>
      </x:c>
      <x:c r="N1288" s="25" t="str">
        <x:v>Feedback-Directed Random Test Generation/Result_Round2/JacksonDatabind_41/result.json</x:v>
      </x:c>
      <x:c r="O1288" s="25" t="str">
        <x:v>Feedback-Directed Random Test Generation/Result_Round2/JacksonDatabind_41/result.json</x:v>
      </x:c>
      <x:c r="P1288"/>
      <x:c r="Q1288" s="21" t="str"/>
      <x:c r="R1288" s="21" t="str"/>
      <x:c r="S1288" s="21" t="str"/>
      <x:c r="T1288" s="17" t="str">
        <x:v>false</x:v>
      </x:c>
      <x:c r="U1288" s="17" t="str">
        <x:v>true</x:v>
      </x:c>
      <x:c r="V1288" s="17" t="str">
        <x:v>false</x:v>
      </x:c>
    </x:row>
    <x:row r="1289" ht="80" customHeight="1">
      <x:c r="A1289" s="25" t="str">
        <x:v>JacksonDatabind</x:v>
      </x:c>
      <x:c r="B1289" s="25" t="n">
        <x:v>42</x:v>
      </x:c>
      <x:c r="C1289" s="25" t="str">
        <x:v>Round2</x:v>
      </x:c>
      <x:c r="D1289" s="25" t="str">
        <x:v>NOT_REVEALING</x:v>
      </x:c>
      <x:c r="E1289" s="25" t="str">
        <x:v>N/A</x:v>
      </x:c>
      <x:c r="F1289" s="26" t="str">
        <x:v>Same saved validation suite passed on buggy and fixed</x:v>
      </x:c>
      <x:c r="G1289" s="25" t="str">
        <x:v>true</x:v>
      </x:c>
      <x:c r="H1289" s="25" t="str">
        <x:v>NOT_REVEALING</x:v>
      </x:c>
      <x:c r="I1289" s="25" t="str">
        <x:v>PASS</x:v>
      </x:c>
      <x:c r="J1289" s="25" t="str">
        <x:v>PASS</x:v>
      </x:c>
      <x:c r="K1289" s="25" t="n">
        <x:v>2</x:v>
      </x:c>
      <x:c r="L1289" s="27" t="b">
        <x:v>0</x:v>
      </x:c>
      <x:c r="M1289" s="25" t="str">
        <x:v>Feedback-Directed Random Test Generation/rounds/Round2/state/JacksonDatabind.json</x:v>
      </x:c>
      <x:c r="N1289" s="25" t="str">
        <x:v>Feedback-Directed Random Test Generation/Result_Round2/JacksonDatabind_42/result.json</x:v>
      </x:c>
      <x:c r="O1289" s="25" t="str">
        <x:v>Feedback-Directed Random Test Generation/Result_Round2/JacksonDatabind_42/result.json</x:v>
      </x:c>
      <x:c r="P1289"/>
      <x:c r="Q1289" s="21" t="str"/>
      <x:c r="R1289" s="21" t="str"/>
      <x:c r="S1289" s="21" t="str"/>
      <x:c r="T1289" s="17" t="str">
        <x:v>false</x:v>
      </x:c>
      <x:c r="U1289" s="17" t="str">
        <x:v>true</x:v>
      </x:c>
      <x:c r="V1289" s="17" t="str">
        <x:v>false</x:v>
      </x:c>
    </x:row>
    <x:row r="1290" ht="80" customHeight="1">
      <x:c r="A1290" s="25" t="str">
        <x:v>JacksonDatabind</x:v>
      </x:c>
      <x:c r="B1290" s="25" t="n">
        <x:v>43</x:v>
      </x:c>
      <x:c r="C1290" s="25" t="str">
        <x:v>Round2</x:v>
      </x:c>
      <x:c r="D1290" s="25" t="str">
        <x:v>NOT_REVEALING</x:v>
      </x:c>
      <x:c r="E1290" s="25" t="str">
        <x:v>N/A</x:v>
      </x:c>
      <x:c r="F1290" s="26" t="str">
        <x:v>Same saved validation suite passed on buggy and fixed</x:v>
      </x:c>
      <x:c r="G1290" s="25" t="str">
        <x:v>true</x:v>
      </x:c>
      <x:c r="H1290" s="25" t="str">
        <x:v>NOT_REVEALING</x:v>
      </x:c>
      <x:c r="I1290" s="25" t="str">
        <x:v>PASS</x:v>
      </x:c>
      <x:c r="J1290" s="25" t="str">
        <x:v>PASS</x:v>
      </x:c>
      <x:c r="K1290" s="25" t="n">
        <x:v>2</x:v>
      </x:c>
      <x:c r="L1290" s="27" t="b">
        <x:v>0</x:v>
      </x:c>
      <x:c r="M1290" s="25" t="str">
        <x:v>Feedback-Directed Random Test Generation/rounds/Round2/state/JacksonDatabind.json</x:v>
      </x:c>
      <x:c r="N1290" s="25" t="str">
        <x:v>Feedback-Directed Random Test Generation/Result_Round2/JacksonDatabind_43/result.json</x:v>
      </x:c>
      <x:c r="O1290" s="25" t="str">
        <x:v>Feedback-Directed Random Test Generation/Result_Round2/JacksonDatabind_43/result.json</x:v>
      </x:c>
      <x:c r="P1290"/>
      <x:c r="Q1290" s="21" t="str"/>
      <x:c r="R1290" s="21" t="str"/>
      <x:c r="S1290" s="21" t="str"/>
      <x:c r="T1290" s="17" t="str">
        <x:v>false</x:v>
      </x:c>
      <x:c r="U1290" s="17" t="str">
        <x:v>true</x:v>
      </x:c>
      <x:c r="V1290" s="17" t="str">
        <x:v>false</x:v>
      </x:c>
    </x:row>
    <x:row r="1291" ht="80" customHeight="1">
      <x:c r="A1291" s="25" t="str">
        <x:v>JacksonDatabind</x:v>
      </x:c>
      <x:c r="B1291" s="25" t="n">
        <x:v>44</x:v>
      </x:c>
      <x:c r="C1291" s="25" t="str">
        <x:v>Round2</x:v>
      </x:c>
      <x:c r="D1291" s="25" t="str">
        <x:v>NOT_REVEALING</x:v>
      </x:c>
      <x:c r="E1291" s="25" t="str">
        <x:v>N/A</x:v>
      </x:c>
      <x:c r="F1291" s="26" t="str">
        <x:v>Same saved validation suite passed on buggy and fixed</x:v>
      </x:c>
      <x:c r="G1291" s="25" t="str">
        <x:v>true</x:v>
      </x:c>
      <x:c r="H1291" s="25" t="str">
        <x:v>NOT_REVEALING</x:v>
      </x:c>
      <x:c r="I1291" s="25" t="str">
        <x:v>PASS</x:v>
      </x:c>
      <x:c r="J1291" s="25" t="str">
        <x:v>PASS</x:v>
      </x:c>
      <x:c r="K1291" s="25" t="n">
        <x:v>2</x:v>
      </x:c>
      <x:c r="L1291" s="27" t="b">
        <x:v>0</x:v>
      </x:c>
      <x:c r="M1291" s="25" t="str">
        <x:v>Feedback-Directed Random Test Generation/rounds/Round2/state/JacksonDatabind.json</x:v>
      </x:c>
      <x:c r="N1291" s="25" t="str">
        <x:v>Feedback-Directed Random Test Generation/Result_Round2/JacksonDatabind_44/result.json</x:v>
      </x:c>
      <x:c r="O1291" s="25" t="str">
        <x:v>Feedback-Directed Random Test Generation/Result_Round2/JacksonDatabind_44/result.json</x:v>
      </x:c>
      <x:c r="P1291"/>
      <x:c r="Q1291" s="21" t="str"/>
      <x:c r="R1291" s="21" t="str"/>
      <x:c r="S1291" s="21" t="str"/>
      <x:c r="T1291" s="17" t="str">
        <x:v>false</x:v>
      </x:c>
      <x:c r="U1291" s="17" t="str">
        <x:v>true</x:v>
      </x:c>
      <x:c r="V1291" s="17" t="str">
        <x:v>false</x:v>
      </x:c>
    </x:row>
    <x:row r="1292" ht="80" customHeight="1">
      <x:c r="A1292" s="25" t="str">
        <x:v>JacksonDatabind</x:v>
      </x:c>
      <x:c r="B1292" s="25" t="n">
        <x:v>45</x:v>
      </x:c>
      <x:c r="C1292" s="25" t="str">
        <x:v>Round2</x:v>
      </x:c>
      <x:c r="D1292" s="25" t="str">
        <x:v>NOT_REVEALING</x:v>
      </x:c>
      <x:c r="E1292" s="25" t="str">
        <x:v>N/A</x:v>
      </x:c>
      <x:c r="F1292" s="26" t="str">
        <x:v>Same saved validation suite passed on buggy and fixed</x:v>
      </x:c>
      <x:c r="G1292" s="25" t="str">
        <x:v>true</x:v>
      </x:c>
      <x:c r="H1292" s="25" t="str">
        <x:v>NOT_REVEALING</x:v>
      </x:c>
      <x:c r="I1292" s="25" t="str">
        <x:v>PASS</x:v>
      </x:c>
      <x:c r="J1292" s="25" t="str">
        <x:v>PASS</x:v>
      </x:c>
      <x:c r="K1292" s="25" t="n">
        <x:v>2</x:v>
      </x:c>
      <x:c r="L1292" s="27" t="b">
        <x:v>0</x:v>
      </x:c>
      <x:c r="M1292" s="25" t="str">
        <x:v>Feedback-Directed Random Test Generation/rounds/Round2/state/JacksonDatabind.json</x:v>
      </x:c>
      <x:c r="N1292" s="25" t="str">
        <x:v>Feedback-Directed Random Test Generation/Result_Round2/JacksonDatabind_45/result.json</x:v>
      </x:c>
      <x:c r="O1292" s="25" t="str">
        <x:v>Feedback-Directed Random Test Generation/Result_Round2/JacksonDatabind_45/result.json</x:v>
      </x:c>
      <x:c r="P1292"/>
      <x:c r="Q1292" s="21" t="str"/>
      <x:c r="R1292" s="21" t="str"/>
      <x:c r="S1292" s="21" t="str"/>
      <x:c r="T1292" s="17" t="str">
        <x:v>false</x:v>
      </x:c>
      <x:c r="U1292" s="17" t="str">
        <x:v>true</x:v>
      </x:c>
      <x:c r="V1292" s="17" t="str">
        <x:v>false</x:v>
      </x:c>
    </x:row>
    <x:row r="1293" ht="80" customHeight="1">
      <x:c r="A1293" s="25" t="str">
        <x:v>JacksonDatabind</x:v>
      </x:c>
      <x:c r="B1293" s="25" t="n">
        <x:v>46</x:v>
      </x:c>
      <x:c r="C1293" s="25" t="str">
        <x:v>Round2</x:v>
      </x:c>
      <x:c r="D1293" s="25" t="str">
        <x:v>NOT_REVEALING</x:v>
      </x:c>
      <x:c r="E1293" s="25" t="str">
        <x:v>N/A</x:v>
      </x:c>
      <x:c r="F1293" s="26" t="str">
        <x:v>Same saved validation suite passed on buggy and fixed</x:v>
      </x:c>
      <x:c r="G1293" s="25" t="str">
        <x:v>true</x:v>
      </x:c>
      <x:c r="H1293" s="25" t="str">
        <x:v>NOT_REVEALING</x:v>
      </x:c>
      <x:c r="I1293" s="25" t="str">
        <x:v>PASS</x:v>
      </x:c>
      <x:c r="J1293" s="25" t="str">
        <x:v>PASS</x:v>
      </x:c>
      <x:c r="K1293" s="25" t="n">
        <x:v>2</x:v>
      </x:c>
      <x:c r="L1293" s="27" t="b">
        <x:v>0</x:v>
      </x:c>
      <x:c r="M1293" s="25" t="str">
        <x:v>Feedback-Directed Random Test Generation/rounds/Round2/state/JacksonDatabind.json</x:v>
      </x:c>
      <x:c r="N1293" s="25" t="str">
        <x:v>Feedback-Directed Random Test Generation/Result_Round2/JacksonDatabind_46/result.json</x:v>
      </x:c>
      <x:c r="O1293" s="25" t="str">
        <x:v>Feedback-Directed Random Test Generation/Result_Round2/JacksonDatabind_46/result.json</x:v>
      </x:c>
      <x:c r="P1293"/>
      <x:c r="Q1293" s="21" t="str"/>
      <x:c r="R1293" s="21" t="str"/>
      <x:c r="S1293" s="21" t="str"/>
      <x:c r="T1293" s="17" t="str">
        <x:v>false</x:v>
      </x:c>
      <x:c r="U1293" s="17" t="str">
        <x:v>true</x:v>
      </x:c>
      <x:c r="V1293" s="17" t="str">
        <x:v>false</x:v>
      </x:c>
    </x:row>
    <x:row r="1294" ht="80" customHeight="1">
      <x:c r="A1294" s="25" t="str">
        <x:v>JacksonDatabind</x:v>
      </x:c>
      <x:c r="B1294" s="25" t="n">
        <x:v>47</x:v>
      </x:c>
      <x:c r="C1294" s="25" t="str">
        <x:v>Round2</x:v>
      </x:c>
      <x:c r="D1294" s="25" t="str">
        <x:v>FAIL</x:v>
      </x:c>
      <x:c r="E1294" s="25" t="str">
        <x:v>N/A</x:v>
      </x:c>
      <x:c r="F1294" s="26" t="str">
        <x:v>Latest same-round generation failed; older files/results are excluded</x:v>
      </x:c>
      <x:c r="G1294" s="25" t="str">
        <x:v>true</x:v>
      </x:c>
      <x:c r="H1294" s="25" t="str">
        <x:v>FAIL</x:v>
      </x:c>
      <x:c r="I1294" s="25"/>
      <x:c r="J1294" s="25"/>
      <x:c r="K1294" s="25" t="n">
        <x:v>0</x:v>
      </x:c>
      <x:c r="L1294" s="27" t="b">
        <x:v>1</x:v>
      </x:c>
      <x:c r="M1294" s="25" t="str">
        <x:v>Feedback-Directed Random Test Generation/rounds/Round2/state/JacksonDatabind.json</x:v>
      </x:c>
      <x:c r="N1294" s="25"/>
      <x:c r="O1294" s="25" t="str">
        <x:v>Feedback-Directed Random Test Generation/Result_Round2/JacksonDatabind_47/result.json</x:v>
      </x:c>
      <x:c r="P1294"/>
      <x:c r="Q1294" s="21" t="str"/>
      <x:c r="R1294" s="21" t="str"/>
      <x:c r="S1294" s="21" t="str"/>
      <x:c r="T1294" s="17" t="str">
        <x:v>false</x:v>
      </x:c>
      <x:c r="U1294" s="17" t="str">
        <x:v>false</x:v>
      </x:c>
      <x:c r="V1294" s="17" t="str">
        <x:v>false</x:v>
      </x:c>
    </x:row>
    <x:row r="1295" ht="80" customHeight="1">
      <x:c r="A1295" s="25" t="str">
        <x:v>JacksonDatabind</x:v>
      </x:c>
      <x:c r="B1295" s="25" t="n">
        <x:v>48</x:v>
      </x:c>
      <x:c r="C1295" s="25" t="str">
        <x:v>Round2</x:v>
      </x:c>
      <x:c r="D1295" s="25" t="str">
        <x:v>NOT_REVEALING</x:v>
      </x:c>
      <x:c r="E1295" s="25" t="str">
        <x:v>N/A</x:v>
      </x:c>
      <x:c r="F1295" s="26" t="str">
        <x:v>Same saved validation suite passed on buggy and fixed</x:v>
      </x:c>
      <x:c r="G1295" s="25" t="str">
        <x:v>true</x:v>
      </x:c>
      <x:c r="H1295" s="25" t="str">
        <x:v>NOT_REVEALING</x:v>
      </x:c>
      <x:c r="I1295" s="25" t="str">
        <x:v>PASS</x:v>
      </x:c>
      <x:c r="J1295" s="25" t="str">
        <x:v>PASS</x:v>
      </x:c>
      <x:c r="K1295" s="25" t="n">
        <x:v>6</x:v>
      </x:c>
      <x:c r="L1295" s="27" t="b">
        <x:v>0</x:v>
      </x:c>
      <x:c r="M1295" s="25" t="str">
        <x:v>Feedback-Directed Random Test Generation/rounds/Round2/state/JacksonDatabind.json</x:v>
      </x:c>
      <x:c r="N1295" s="25" t="str">
        <x:v>Feedback-Directed Random Test Generation/Result_Round2/JacksonDatabind_48/result.json</x:v>
      </x:c>
      <x:c r="O1295" s="25" t="str">
        <x:v>Feedback-Directed Random Test Generation/Result_Round2/JacksonDatabind_48/result.json</x:v>
      </x:c>
      <x:c r="P1295"/>
      <x:c r="Q1295" s="21" t="str"/>
      <x:c r="R1295" s="21" t="str"/>
      <x:c r="S1295" s="21" t="str"/>
      <x:c r="T1295" s="17" t="str">
        <x:v>false</x:v>
      </x:c>
      <x:c r="U1295" s="17" t="str">
        <x:v>true</x:v>
      </x:c>
      <x:c r="V1295" s="17" t="str">
        <x:v>false</x:v>
      </x:c>
    </x:row>
    <x:row r="1296" ht="80" customHeight="1">
      <x:c r="A1296" s="25" t="str">
        <x:v>JacksonDatabind</x:v>
      </x:c>
      <x:c r="B1296" s="25" t="n">
        <x:v>49</x:v>
      </x:c>
      <x:c r="C1296" s="25" t="str">
        <x:v>Round2</x:v>
      </x:c>
      <x:c r="D1296" s="25" t="str">
        <x:v>NOT_REVEALING</x:v>
      </x:c>
      <x:c r="E1296" s="25" t="str">
        <x:v>N/A</x:v>
      </x:c>
      <x:c r="F1296" s="26" t="str">
        <x:v>Same saved validation suite passed on buggy and fixed</x:v>
      </x:c>
      <x:c r="G1296" s="25" t="str">
        <x:v>true</x:v>
      </x:c>
      <x:c r="H1296" s="25" t="str">
        <x:v>NOT_REVEALING</x:v>
      </x:c>
      <x:c r="I1296" s="25" t="str">
        <x:v>PASS</x:v>
      </x:c>
      <x:c r="J1296" s="25" t="str">
        <x:v>PASS</x:v>
      </x:c>
      <x:c r="K1296" s="25" t="n">
        <x:v>2</x:v>
      </x:c>
      <x:c r="L1296" s="27" t="b">
        <x:v>0</x:v>
      </x:c>
      <x:c r="M1296" s="25" t="str">
        <x:v>Feedback-Directed Random Test Generation/rounds/Round2/state/JacksonDatabind.json</x:v>
      </x:c>
      <x:c r="N1296" s="25" t="str">
        <x:v>Feedback-Directed Random Test Generation/Result_Round2/JacksonDatabind_49/result.json</x:v>
      </x:c>
      <x:c r="O1296" s="25" t="str">
        <x:v>Feedback-Directed Random Test Generation/Result_Round2/JacksonDatabind_49/result.json</x:v>
      </x:c>
      <x:c r="P1296"/>
      <x:c r="Q1296" s="21" t="str"/>
      <x:c r="R1296" s="21" t="str"/>
      <x:c r="S1296" s="21" t="str"/>
      <x:c r="T1296" s="17" t="str">
        <x:v>false</x:v>
      </x:c>
      <x:c r="U1296" s="17" t="str">
        <x:v>true</x:v>
      </x:c>
      <x:c r="V1296" s="17" t="str">
        <x:v>false</x:v>
      </x:c>
    </x:row>
    <x:row r="1297" ht="80" customHeight="1">
      <x:c r="A1297" s="25" t="str">
        <x:v>JacksonDatabind</x:v>
      </x:c>
      <x:c r="B1297" s="25" t="n">
        <x:v>50</x:v>
      </x:c>
      <x:c r="C1297" s="25" t="str">
        <x:v>Round2</x:v>
      </x:c>
      <x:c r="D1297" s="25" t="str">
        <x:v>NOT_REVEALING</x:v>
      </x:c>
      <x:c r="E1297" s="25" t="str">
        <x:v>N/A</x:v>
      </x:c>
      <x:c r="F1297" s="26" t="str">
        <x:v>Same saved validation suite passed on buggy and fixed</x:v>
      </x:c>
      <x:c r="G1297" s="25" t="str">
        <x:v>true</x:v>
      </x:c>
      <x:c r="H1297" s="25" t="str">
        <x:v>NOT_REVEALING</x:v>
      </x:c>
      <x:c r="I1297" s="25" t="str">
        <x:v>PASS</x:v>
      </x:c>
      <x:c r="J1297" s="25" t="str">
        <x:v>PASS</x:v>
      </x:c>
      <x:c r="K1297" s="25" t="n">
        <x:v>2</x:v>
      </x:c>
      <x:c r="L1297" s="27" t="b">
        <x:v>0</x:v>
      </x:c>
      <x:c r="M1297" s="25" t="str">
        <x:v>Feedback-Directed Random Test Generation/rounds/Round2/state/JacksonDatabind.json</x:v>
      </x:c>
      <x:c r="N1297" s="25" t="str">
        <x:v>Feedback-Directed Random Test Generation/Result_Round2/JacksonDatabind_50/result.json</x:v>
      </x:c>
      <x:c r="O1297" s="25" t="str">
        <x:v>Feedback-Directed Random Test Generation/Result_Round2/JacksonDatabind_50/result.json</x:v>
      </x:c>
      <x:c r="P1297"/>
      <x:c r="Q1297" s="21" t="str"/>
      <x:c r="R1297" s="21" t="str"/>
      <x:c r="S1297" s="21" t="str"/>
      <x:c r="T1297" s="17" t="str">
        <x:v>false</x:v>
      </x:c>
      <x:c r="U1297" s="17" t="str">
        <x:v>true</x:v>
      </x:c>
      <x:c r="V1297" s="17" t="str">
        <x:v>false</x:v>
      </x:c>
    </x:row>
    <x:row r="1298" ht="80" customHeight="1">
      <x:c r="A1298" s="25" t="str">
        <x:v>JacksonDatabind</x:v>
      </x:c>
      <x:c r="B1298" s="25" t="n">
        <x:v>51</x:v>
      </x:c>
      <x:c r="C1298" s="25" t="str">
        <x:v>Round2</x:v>
      </x:c>
      <x:c r="D1298" s="25" t="str">
        <x:v>NOT_REVEALING</x:v>
      </x:c>
      <x:c r="E1298" s="25" t="str">
        <x:v>N/A</x:v>
      </x:c>
      <x:c r="F1298" s="26" t="str">
        <x:v>Same saved validation suite passed on buggy and fixed</x:v>
      </x:c>
      <x:c r="G1298" s="25" t="str">
        <x:v>true</x:v>
      </x:c>
      <x:c r="H1298" s="25" t="str">
        <x:v>NOT_REVEALING</x:v>
      </x:c>
      <x:c r="I1298" s="25" t="str">
        <x:v>PASS</x:v>
      </x:c>
      <x:c r="J1298" s="25" t="str">
        <x:v>PASS</x:v>
      </x:c>
      <x:c r="K1298" s="25" t="n">
        <x:v>2</x:v>
      </x:c>
      <x:c r="L1298" s="27" t="b">
        <x:v>0</x:v>
      </x:c>
      <x:c r="M1298" s="25" t="str">
        <x:v>Feedback-Directed Random Test Generation/rounds/Round2/state/JacksonDatabind.json</x:v>
      </x:c>
      <x:c r="N1298" s="25" t="str">
        <x:v>Feedback-Directed Random Test Generation/Result_Round2/JacksonDatabind_51/result.json</x:v>
      </x:c>
      <x:c r="O1298" s="25" t="str">
        <x:v>Feedback-Directed Random Test Generation/Result_Round2/JacksonDatabind_51/result.json</x:v>
      </x:c>
      <x:c r="P1298"/>
      <x:c r="Q1298" s="21" t="str"/>
      <x:c r="R1298" s="21" t="str"/>
      <x:c r="S1298" s="21" t="str"/>
      <x:c r="T1298" s="17" t="str">
        <x:v>false</x:v>
      </x:c>
      <x:c r="U1298" s="17" t="str">
        <x:v>true</x:v>
      </x:c>
      <x:c r="V1298" s="17" t="str">
        <x:v>false</x:v>
      </x:c>
    </x:row>
    <x:row r="1299" ht="80" customHeight="1">
      <x:c r="A1299" s="25" t="str">
        <x:v>JacksonDatabind</x:v>
      </x:c>
      <x:c r="B1299" s="25" t="n">
        <x:v>52</x:v>
      </x:c>
      <x:c r="C1299" s="25" t="str">
        <x:v>Round2</x:v>
      </x:c>
      <x:c r="D1299" s="25" t="str">
        <x:v>NOT_REVEALING</x:v>
      </x:c>
      <x:c r="E1299" s="25" t="str">
        <x:v>N/A</x:v>
      </x:c>
      <x:c r="F1299" s="26" t="str">
        <x:v>Same saved validation suite passed on buggy and fixed</x:v>
      </x:c>
      <x:c r="G1299" s="25" t="str">
        <x:v>true</x:v>
      </x:c>
      <x:c r="H1299" s="25" t="str">
        <x:v>NOT_REVEALING</x:v>
      </x:c>
      <x:c r="I1299" s="25" t="str">
        <x:v>PASS</x:v>
      </x:c>
      <x:c r="J1299" s="25" t="str">
        <x:v>PASS</x:v>
      </x:c>
      <x:c r="K1299" s="25" t="n">
        <x:v>6</x:v>
      </x:c>
      <x:c r="L1299" s="27" t="b">
        <x:v>0</x:v>
      </x:c>
      <x:c r="M1299" s="25" t="str">
        <x:v>Feedback-Directed Random Test Generation/rounds/Round2/state/JacksonDatabind.json</x:v>
      </x:c>
      <x:c r="N1299" s="25" t="str">
        <x:v>Feedback-Directed Random Test Generation/Result_Round2/JacksonDatabind_52/result.json</x:v>
      </x:c>
      <x:c r="O1299" s="25" t="str">
        <x:v>Feedback-Directed Random Test Generation/Result_Round2/JacksonDatabind_52/result.json</x:v>
      </x:c>
      <x:c r="P1299"/>
      <x:c r="Q1299" s="21" t="str"/>
      <x:c r="R1299" s="21" t="str"/>
      <x:c r="S1299" s="21" t="str"/>
      <x:c r="T1299" s="17" t="str">
        <x:v>false</x:v>
      </x:c>
      <x:c r="U1299" s="17" t="str">
        <x:v>true</x:v>
      </x:c>
      <x:c r="V1299" s="17" t="str">
        <x:v>false</x:v>
      </x:c>
    </x:row>
    <x:row r="1300" ht="80" customHeight="1">
      <x:c r="A1300" s="25" t="str">
        <x:v>JacksonDatabind</x:v>
      </x:c>
      <x:c r="B1300" s="25" t="n">
        <x:v>53</x:v>
      </x:c>
      <x:c r="C1300" s="25" t="str">
        <x:v>Round2</x:v>
      </x:c>
      <x:c r="D1300" s="25" t="str">
        <x:v>NOT_AVAILABLE</x:v>
      </x:c>
      <x:c r="E1300" s="25" t="str">
        <x:v>N/A</x:v>
      </x:c>
      <x:c r="F1300" s="26" t="str">
        <x:v>fixed test_compile=FAIL</x:v>
      </x:c>
      <x:c r="G1300" s="25" t="str">
        <x:v>true</x:v>
      </x:c>
      <x:c r="H1300" s="25" t="str">
        <x:v>NOT_AVAILABLE</x:v>
      </x:c>
      <x:c r="I1300" s="25" t="str">
        <x:v>PASS</x:v>
      </x:c>
      <x:c r="J1300" s="25" t="str">
        <x:v>NOT_RUN</x:v>
      </x:c>
      <x:c r="K1300" s="25" t="n">
        <x:v>3</x:v>
      </x:c>
      <x:c r="L1300" s="27" t="b">
        <x:v>0</x:v>
      </x:c>
      <x:c r="M1300" s="25" t="str">
        <x:v>Feedback-Directed Random Test Generation/rounds/Round2/state/JacksonDatabind.json</x:v>
      </x:c>
      <x:c r="N1300" s="25" t="str">
        <x:v>Feedback-Directed Random Test Generation/Result_Round2/JacksonDatabind_53/result.json</x:v>
      </x:c>
      <x:c r="O1300" s="25" t="str">
        <x:v>Feedback-Directed Random Test Generation/Result_Round2/JacksonDatabind_53/result.json</x:v>
      </x:c>
      <x:c r="P1300" t="str">
        <x:v>FIXED_NOT_RUN</x:v>
      </x:c>
      <x:c r="Q1300" s="21" t="str"/>
      <x:c r="R1300" s="21" t="str"/>
      <x:c r="S1300" s="21" t="str"/>
      <x:c r="T1300" s="17" t="str">
        <x:v>false</x:v>
      </x:c>
      <x:c r="U1300" s="17" t="str">
        <x:v>true</x:v>
      </x:c>
      <x:c r="V1300" s="17" t="str">
        <x:v>false</x:v>
      </x:c>
    </x:row>
    <x:row r="1301" ht="80" customHeight="1">
      <x:c r="A1301" s="25" t="str">
        <x:v>JacksonDatabind</x:v>
      </x:c>
      <x:c r="B1301" s="25" t="n">
        <x:v>54</x:v>
      </x:c>
      <x:c r="C1301" s="25" t="str">
        <x:v>Round2</x:v>
      </x:c>
      <x:c r="D1301" s="25" t="str">
        <x:v>NOT_REVEALING</x:v>
      </x:c>
      <x:c r="E1301" s="25" t="str">
        <x:v>N/A</x:v>
      </x:c>
      <x:c r="F1301" s="26" t="str">
        <x:v>Same saved validation suite passed on buggy and fixed</x:v>
      </x:c>
      <x:c r="G1301" s="25" t="str">
        <x:v>true</x:v>
      </x:c>
      <x:c r="H1301" s="25" t="str">
        <x:v>NOT_REVEALING</x:v>
      </x:c>
      <x:c r="I1301" s="25" t="str">
        <x:v>PASS</x:v>
      </x:c>
      <x:c r="J1301" s="25" t="str">
        <x:v>PASS</x:v>
      </x:c>
      <x:c r="K1301" s="25" t="n">
        <x:v>2</x:v>
      </x:c>
      <x:c r="L1301" s="27" t="b">
        <x:v>0</x:v>
      </x:c>
      <x:c r="M1301" s="25" t="str">
        <x:v>Feedback-Directed Random Test Generation/rounds/Round2/state/JacksonDatabind.json</x:v>
      </x:c>
      <x:c r="N1301" s="25" t="str">
        <x:v>Feedback-Directed Random Test Generation/Result_Round2/JacksonDatabind_54/result.json</x:v>
      </x:c>
      <x:c r="O1301" s="25" t="str">
        <x:v>Feedback-Directed Random Test Generation/Result_Round2/JacksonDatabind_54/result.json</x:v>
      </x:c>
      <x:c r="P1301"/>
      <x:c r="Q1301" s="21" t="str"/>
      <x:c r="R1301" s="21" t="str"/>
      <x:c r="S1301" s="21" t="str"/>
      <x:c r="T1301" s="17" t="str">
        <x:v>false</x:v>
      </x:c>
      <x:c r="U1301" s="17" t="str">
        <x:v>true</x:v>
      </x:c>
      <x:c r="V1301" s="17" t="str">
        <x:v>false</x:v>
      </x:c>
    </x:row>
    <x:row r="1302" ht="80" customHeight="1">
      <x:c r="A1302" s="25" t="str">
        <x:v>JacksonDatabind</x:v>
      </x:c>
      <x:c r="B1302" s="25" t="n">
        <x:v>55</x:v>
      </x:c>
      <x:c r="C1302" s="25" t="str">
        <x:v>Round2</x:v>
      </x:c>
      <x:c r="D1302" s="25" t="str">
        <x:v>NOT_REVEALING</x:v>
      </x:c>
      <x:c r="E1302" s="25" t="str">
        <x:v>N/A</x:v>
      </x:c>
      <x:c r="F1302" s="26" t="str">
        <x:v>Same saved validation suite passed on buggy and fixed</x:v>
      </x:c>
      <x:c r="G1302" s="25" t="str">
        <x:v>true</x:v>
      </x:c>
      <x:c r="H1302" s="25" t="str">
        <x:v>NOT_REVEALING</x:v>
      </x:c>
      <x:c r="I1302" s="25" t="str">
        <x:v>PASS</x:v>
      </x:c>
      <x:c r="J1302" s="25" t="str">
        <x:v>PASS</x:v>
      </x:c>
      <x:c r="K1302" s="25" t="n">
        <x:v>2</x:v>
      </x:c>
      <x:c r="L1302" s="27" t="b">
        <x:v>0</x:v>
      </x:c>
      <x:c r="M1302" s="25" t="str">
        <x:v>Feedback-Directed Random Test Generation/rounds/Round2/state/JacksonDatabind.json</x:v>
      </x:c>
      <x:c r="N1302" s="25" t="str">
        <x:v>Feedback-Directed Random Test Generation/Result_Round2/JacksonDatabind_55/result.json</x:v>
      </x:c>
      <x:c r="O1302" s="25" t="str">
        <x:v>Feedback-Directed Random Test Generation/Result_Round2/JacksonDatabind_55/result.json</x:v>
      </x:c>
      <x:c r="P1302"/>
      <x:c r="Q1302" s="21" t="str"/>
      <x:c r="R1302" s="21" t="str"/>
      <x:c r="S1302" s="21" t="str"/>
      <x:c r="T1302" s="17" t="str">
        <x:v>false</x:v>
      </x:c>
      <x:c r="U1302" s="17" t="str">
        <x:v>true</x:v>
      </x:c>
      <x:c r="V1302" s="17" t="str">
        <x:v>false</x:v>
      </x:c>
    </x:row>
    <x:row r="1303" ht="80" customHeight="1">
      <x:c r="A1303" s="25" t="str">
        <x:v>JacksonDatabind</x:v>
      </x:c>
      <x:c r="B1303" s="25" t="n">
        <x:v>56</x:v>
      </x:c>
      <x:c r="C1303" s="25" t="str">
        <x:v>Round2</x:v>
      </x:c>
      <x:c r="D1303" s="25" t="str">
        <x:v>NOT_REVEALING</x:v>
      </x:c>
      <x:c r="E1303" s="25" t="str">
        <x:v>N/A</x:v>
      </x:c>
      <x:c r="F1303" s="26" t="str">
        <x:v>Same saved validation suite passed on buggy and fixed</x:v>
      </x:c>
      <x:c r="G1303" s="25" t="str">
        <x:v>true</x:v>
      </x:c>
      <x:c r="H1303" s="25" t="str">
        <x:v>NOT_REVEALING</x:v>
      </x:c>
      <x:c r="I1303" s="25" t="str">
        <x:v>PASS</x:v>
      </x:c>
      <x:c r="J1303" s="25" t="str">
        <x:v>PASS</x:v>
      </x:c>
      <x:c r="K1303" s="25" t="n">
        <x:v>2</x:v>
      </x:c>
      <x:c r="L1303" s="27" t="b">
        <x:v>0</x:v>
      </x:c>
      <x:c r="M1303" s="25" t="str">
        <x:v>Feedback-Directed Random Test Generation/rounds/Round2/state/JacksonDatabind.json</x:v>
      </x:c>
      <x:c r="N1303" s="25" t="str">
        <x:v>Feedback-Directed Random Test Generation/Result_Round2/JacksonDatabind_56/result.json</x:v>
      </x:c>
      <x:c r="O1303" s="25" t="str">
        <x:v>Feedback-Directed Random Test Generation/Result_Round2/JacksonDatabind_56/result.json</x:v>
      </x:c>
      <x:c r="P1303"/>
      <x:c r="Q1303" s="21" t="str"/>
      <x:c r="R1303" s="21" t="str"/>
      <x:c r="S1303" s="21" t="str"/>
      <x:c r="T1303" s="17" t="str">
        <x:v>false</x:v>
      </x:c>
      <x:c r="U1303" s="17" t="str">
        <x:v>true</x:v>
      </x:c>
      <x:c r="V1303" s="17" t="str">
        <x:v>false</x:v>
      </x:c>
    </x:row>
    <x:row r="1304" ht="80" customHeight="1">
      <x:c r="A1304" s="25" t="str">
        <x:v>JacksonDatabind</x:v>
      </x:c>
      <x:c r="B1304" s="25" t="n">
        <x:v>57</x:v>
      </x:c>
      <x:c r="C1304" s="25" t="str">
        <x:v>Round2</x:v>
      </x:c>
      <x:c r="D1304" s="25" t="str">
        <x:v>NOT_REVEALING</x:v>
      </x:c>
      <x:c r="E1304" s="25" t="str">
        <x:v>N/A</x:v>
      </x:c>
      <x:c r="F1304" s="26" t="str">
        <x:v>Same saved validation suite passed on buggy and fixed</x:v>
      </x:c>
      <x:c r="G1304" s="25" t="str">
        <x:v>true</x:v>
      </x:c>
      <x:c r="H1304" s="25" t="str">
        <x:v>NOT_REVEALING</x:v>
      </x:c>
      <x:c r="I1304" s="25" t="str">
        <x:v>PASS</x:v>
      </x:c>
      <x:c r="J1304" s="25" t="str">
        <x:v>PASS</x:v>
      </x:c>
      <x:c r="K1304" s="25" t="n">
        <x:v>2</x:v>
      </x:c>
      <x:c r="L1304" s="27" t="b">
        <x:v>0</x:v>
      </x:c>
      <x:c r="M1304" s="25" t="str">
        <x:v>Feedback-Directed Random Test Generation/rounds/Round2/state/JacksonDatabind.json</x:v>
      </x:c>
      <x:c r="N1304" s="25" t="str">
        <x:v>Feedback-Directed Random Test Generation/Result_Round2/JacksonDatabind_57/result.json</x:v>
      </x:c>
      <x:c r="O1304" s="25" t="str">
        <x:v>Feedback-Directed Random Test Generation/Result_Round2/JacksonDatabind_57/result.json</x:v>
      </x:c>
      <x:c r="P1304"/>
      <x:c r="Q1304" s="21" t="str"/>
      <x:c r="R1304" s="21" t="str"/>
      <x:c r="S1304" s="21" t="str"/>
      <x:c r="T1304" s="17" t="str">
        <x:v>false</x:v>
      </x:c>
      <x:c r="U1304" s="17" t="str">
        <x:v>true</x:v>
      </x:c>
      <x:c r="V1304" s="17" t="str">
        <x:v>false</x:v>
      </x:c>
    </x:row>
    <x:row r="1305" ht="80" customHeight="1">
      <x:c r="A1305" s="25" t="str">
        <x:v>JacksonDatabind</x:v>
      </x:c>
      <x:c r="B1305" s="25" t="n">
        <x:v>58</x:v>
      </x:c>
      <x:c r="C1305" s="25" t="str">
        <x:v>Round2</x:v>
      </x:c>
      <x:c r="D1305" s="25" t="str">
        <x:v>NOT_REVEALING</x:v>
      </x:c>
      <x:c r="E1305" s="25" t="str">
        <x:v>N/A</x:v>
      </x:c>
      <x:c r="F1305" s="26" t="str">
        <x:v>Same saved validation suite passed on buggy and fixed</x:v>
      </x:c>
      <x:c r="G1305" s="25" t="str">
        <x:v>true</x:v>
      </x:c>
      <x:c r="H1305" s="25" t="str">
        <x:v>NOT_REVEALING</x:v>
      </x:c>
      <x:c r="I1305" s="25" t="str">
        <x:v>PASS</x:v>
      </x:c>
      <x:c r="J1305" s="25" t="str">
        <x:v>PASS</x:v>
      </x:c>
      <x:c r="K1305" s="25" t="n">
        <x:v>7</x:v>
      </x:c>
      <x:c r="L1305" s="27" t="b">
        <x:v>0</x:v>
      </x:c>
      <x:c r="M1305" s="25" t="str">
        <x:v>Feedback-Directed Random Test Generation/rounds/Round2/state/JacksonDatabind.json</x:v>
      </x:c>
      <x:c r="N1305" s="25" t="str">
        <x:v>Feedback-Directed Random Test Generation/Result_Round2/JacksonDatabind_58/result.json</x:v>
      </x:c>
      <x:c r="O1305" s="25" t="str">
        <x:v>Feedback-Directed Random Test Generation/Result_Round2/JacksonDatabind_58/result.json</x:v>
      </x:c>
      <x:c r="P1305"/>
      <x:c r="Q1305" s="21" t="str"/>
      <x:c r="R1305" s="21" t="str"/>
      <x:c r="S1305" s="21" t="str"/>
      <x:c r="T1305" s="17" t="str">
        <x:v>false</x:v>
      </x:c>
      <x:c r="U1305" s="17" t="str">
        <x:v>true</x:v>
      </x:c>
      <x:c r="V1305" s="17" t="str">
        <x:v>false</x:v>
      </x:c>
    </x:row>
    <x:row r="1306" ht="80" customHeight="1">
      <x:c r="A1306" s="25" t="str">
        <x:v>JacksonDatabind</x:v>
      </x:c>
      <x:c r="B1306" s="25" t="n">
        <x:v>59</x:v>
      </x:c>
      <x:c r="C1306" s="25" t="str">
        <x:v>Round2</x:v>
      </x:c>
      <x:c r="D1306" s="25" t="str">
        <x:v>INCONCLUSIVE</x:v>
      </x:c>
      <x:c r="E1306" s="25" t="str">
        <x:v>N/A</x:v>
      </x:c>
      <x:c r="F1306" s="26" t="str">
        <x:v>Fixed also failed; assertion failure cannot be attributed to this bug; Assertions failed with measured coverage; paired execution and stage checks determine status</x:v>
      </x:c>
      <x:c r="G1306" s="25" t="str">
        <x:v>true</x:v>
      </x:c>
      <x:c r="H1306" s="25" t="str">
        <x:v>INCONCLUSIVE</x:v>
      </x:c>
      <x:c r="I1306" s="25" t="str">
        <x:v>FAIL</x:v>
      </x:c>
      <x:c r="J1306" s="25" t="str">
        <x:v>FAIL</x:v>
      </x:c>
      <x:c r="K1306" s="25" t="n">
        <x:v>6</x:v>
      </x:c>
      <x:c r="L1306" s="27" t="b">
        <x:v>0</x:v>
      </x:c>
      <x:c r="M1306" s="25" t="str">
        <x:v>Feedback-Directed Random Test Generation/rounds/Round2/state/JacksonDatabind.json</x:v>
      </x:c>
      <x:c r="N1306" s="25" t="str">
        <x:v>Feedback-Directed Random Test Generation/Result_Round2/JacksonDatabind_59/result.json</x:v>
      </x:c>
      <x:c r="O1306" s="25" t="str">
        <x:v>Feedback-Directed Random Test Generation/Result_Round2/JacksonDatabind_59/result.json</x:v>
      </x:c>
      <x:c r="P1306"/>
      <x:c r="Q1306" s="21" t="str"/>
      <x:c r="R1306" s="21" t="str"/>
      <x:c r="S1306" s="21" t="str"/>
      <x:c r="T1306" s="17" t="str">
        <x:v>false</x:v>
      </x:c>
      <x:c r="U1306" s="17" t="str">
        <x:v>true</x:v>
      </x:c>
      <x:c r="V1306" s="17" t="str">
        <x:v>false</x:v>
      </x:c>
    </x:row>
    <x:row r="1307" ht="80" customHeight="1">
      <x:c r="A1307" s="25" t="str">
        <x:v>JacksonDatabind</x:v>
      </x:c>
      <x:c r="B1307" s="25" t="n">
        <x:v>60</x:v>
      </x:c>
      <x:c r="C1307" s="25" t="str">
        <x:v>Round2</x:v>
      </x:c>
      <x:c r="D1307" s="25" t="str">
        <x:v>NOT_REVEALING</x:v>
      </x:c>
      <x:c r="E1307" s="25" t="str">
        <x:v>N/A</x:v>
      </x:c>
      <x:c r="F1307" s="26" t="str">
        <x:v>Same saved validation suite passed on buggy and fixed</x:v>
      </x:c>
      <x:c r="G1307" s="25" t="str">
        <x:v>true</x:v>
      </x:c>
      <x:c r="H1307" s="25" t="str">
        <x:v>NOT_REVEALING</x:v>
      </x:c>
      <x:c r="I1307" s="25" t="str">
        <x:v>PASS</x:v>
      </x:c>
      <x:c r="J1307" s="25" t="str">
        <x:v>PASS</x:v>
      </x:c>
      <x:c r="K1307" s="25" t="n">
        <x:v>2</x:v>
      </x:c>
      <x:c r="L1307" s="27" t="b">
        <x:v>0</x:v>
      </x:c>
      <x:c r="M1307" s="25" t="str">
        <x:v>Feedback-Directed Random Test Generation/rounds/Round2/state/JacksonDatabind.json</x:v>
      </x:c>
      <x:c r="N1307" s="25" t="str">
        <x:v>Feedback-Directed Random Test Generation/Result_Round2/JacksonDatabind_60/result.json</x:v>
      </x:c>
      <x:c r="O1307" s="25" t="str">
        <x:v>Feedback-Directed Random Test Generation/Result_Round2/JacksonDatabind_60/result.json</x:v>
      </x:c>
      <x:c r="P1307"/>
      <x:c r="Q1307" s="21" t="str"/>
      <x:c r="R1307" s="21" t="str"/>
      <x:c r="S1307" s="21" t="str"/>
      <x:c r="T1307" s="17" t="str">
        <x:v>false</x:v>
      </x:c>
      <x:c r="U1307" s="17" t="str">
        <x:v>true</x:v>
      </x:c>
      <x:c r="V1307" s="17" t="str">
        <x:v>false</x:v>
      </x:c>
    </x:row>
    <x:row r="1308" ht="80" customHeight="1">
      <x:c r="A1308" s="25" t="str">
        <x:v>JacksonDatabind</x:v>
      </x:c>
      <x:c r="B1308" s="25" t="n">
        <x:v>61</x:v>
      </x:c>
      <x:c r="C1308" s="25" t="str">
        <x:v>Round2</x:v>
      </x:c>
      <x:c r="D1308" s="25" t="str">
        <x:v>NOT_REVEALING</x:v>
      </x:c>
      <x:c r="E1308" s="25" t="str">
        <x:v>N/A</x:v>
      </x:c>
      <x:c r="F1308" s="26" t="str">
        <x:v>Same saved validation suite passed on buggy and fixed</x:v>
      </x:c>
      <x:c r="G1308" s="25" t="str">
        <x:v>true</x:v>
      </x:c>
      <x:c r="H1308" s="25" t="str">
        <x:v>NOT_REVEALING</x:v>
      </x:c>
      <x:c r="I1308" s="25" t="str">
        <x:v>PASS</x:v>
      </x:c>
      <x:c r="J1308" s="25" t="str">
        <x:v>PASS</x:v>
      </x:c>
      <x:c r="K1308" s="25" t="n">
        <x:v>5</x:v>
      </x:c>
      <x:c r="L1308" s="27" t="b">
        <x:v>0</x:v>
      </x:c>
      <x:c r="M1308" s="25" t="str">
        <x:v>Feedback-Directed Random Test Generation/rounds/Round2/state/JacksonDatabind.json</x:v>
      </x:c>
      <x:c r="N1308" s="25" t="str">
        <x:v>Feedback-Directed Random Test Generation/Result_Round2/JacksonDatabind_61/result.json</x:v>
      </x:c>
      <x:c r="O1308" s="25" t="str">
        <x:v>Feedback-Directed Random Test Generation/Result_Round2/JacksonDatabind_61/result.json</x:v>
      </x:c>
      <x:c r="P1308"/>
      <x:c r="Q1308" s="21" t="str"/>
      <x:c r="R1308" s="21" t="str"/>
      <x:c r="S1308" s="21" t="str"/>
      <x:c r="T1308" s="17" t="str">
        <x:v>false</x:v>
      </x:c>
      <x:c r="U1308" s="17" t="str">
        <x:v>true</x:v>
      </x:c>
      <x:c r="V1308" s="17" t="str">
        <x:v>false</x:v>
      </x:c>
    </x:row>
    <x:row r="1309" ht="80" customHeight="1">
      <x:c r="A1309" s="25" t="str">
        <x:v>JacksonDatabind</x:v>
      </x:c>
      <x:c r="B1309" s="25" t="n">
        <x:v>62</x:v>
      </x:c>
      <x:c r="C1309" s="25" t="str">
        <x:v>Round2</x:v>
      </x:c>
      <x:c r="D1309" s="25" t="str">
        <x:v>NOT_REVEALING</x:v>
      </x:c>
      <x:c r="E1309" s="25" t="str">
        <x:v>N/A</x:v>
      </x:c>
      <x:c r="F1309" s="26" t="str">
        <x:v>Same saved validation suite passed on buggy and fixed</x:v>
      </x:c>
      <x:c r="G1309" s="25" t="str">
        <x:v>true</x:v>
      </x:c>
      <x:c r="H1309" s="25" t="str">
        <x:v>NOT_REVEALING</x:v>
      </x:c>
      <x:c r="I1309" s="25" t="str">
        <x:v>PASS</x:v>
      </x:c>
      <x:c r="J1309" s="25" t="str">
        <x:v>PASS</x:v>
      </x:c>
      <x:c r="K1309" s="25" t="n">
        <x:v>6</x:v>
      </x:c>
      <x:c r="L1309" s="27" t="b">
        <x:v>0</x:v>
      </x:c>
      <x:c r="M1309" s="25" t="str">
        <x:v>Feedback-Directed Random Test Generation/rounds/Round2/state/JacksonDatabind.json</x:v>
      </x:c>
      <x:c r="N1309" s="25" t="str">
        <x:v>Feedback-Directed Random Test Generation/Result_Round2/JacksonDatabind_62/result.json</x:v>
      </x:c>
      <x:c r="O1309" s="25" t="str">
        <x:v>Feedback-Directed Random Test Generation/Result_Round2/JacksonDatabind_62/result.json</x:v>
      </x:c>
      <x:c r="P1309"/>
      <x:c r="Q1309" s="21" t="str"/>
      <x:c r="R1309" s="21" t="str"/>
      <x:c r="S1309" s="21" t="str"/>
      <x:c r="T1309" s="17" t="str">
        <x:v>false</x:v>
      </x:c>
      <x:c r="U1309" s="17" t="str">
        <x:v>true</x:v>
      </x:c>
      <x:c r="V1309" s="17" t="str">
        <x:v>false</x:v>
      </x:c>
    </x:row>
    <x:row r="1310" ht="80" customHeight="1">
      <x:c r="A1310" s="25" t="str">
        <x:v>JacksonDatabind</x:v>
      </x:c>
      <x:c r="B1310" s="25" t="n">
        <x:v>63</x:v>
      </x:c>
      <x:c r="C1310" s="25" t="str">
        <x:v>Round2</x:v>
      </x:c>
      <x:c r="D1310" s="25" t="str">
        <x:v>INCONCLUSIVE</x:v>
      </x:c>
      <x:c r="E1310" s="25" t="str">
        <x:v>N/A</x:v>
      </x:c>
      <x:c r="F1310" s="26" t="str">
        <x:v>Fixed also failed; assertion failure cannot be attributed to this bug</x:v>
      </x:c>
      <x:c r="G1310" s="25" t="str">
        <x:v>true</x:v>
      </x:c>
      <x:c r="H1310" s="25" t="str">
        <x:v>INCONCLUSIVE</x:v>
      </x:c>
      <x:c r="I1310" s="25" t="str">
        <x:v>PASS</x:v>
      </x:c>
      <x:c r="J1310" s="25" t="str">
        <x:v>FAIL</x:v>
      </x:c>
      <x:c r="K1310" s="25" t="n">
        <x:v>8</x:v>
      </x:c>
      <x:c r="L1310" s="27" t="b">
        <x:v>0</x:v>
      </x:c>
      <x:c r="M1310" s="25" t="str">
        <x:v>Feedback-Directed Random Test Generation/rounds/Round2/state/JacksonDatabind.json</x:v>
      </x:c>
      <x:c r="N1310" s="25" t="str">
        <x:v>Feedback-Directed Random Test Generation/Result_Round2/JacksonDatabind_63/result.json</x:v>
      </x:c>
      <x:c r="O1310" s="25" t="str">
        <x:v>Feedback-Directed Random Test Generation/Result_Round2/JacksonDatabind_63/result.json</x:v>
      </x:c>
      <x:c r="P1310"/>
      <x:c r="Q1310" s="21" t="str"/>
      <x:c r="R1310" s="21" t="str"/>
      <x:c r="S1310" s="21" t="str"/>
      <x:c r="T1310" s="17" t="str">
        <x:v>false</x:v>
      </x:c>
      <x:c r="U1310" s="17" t="str">
        <x:v>true</x:v>
      </x:c>
      <x:c r="V1310" s="17" t="str">
        <x:v>false</x:v>
      </x:c>
    </x:row>
    <x:row r="1311" ht="80" customHeight="1">
      <x:c r="A1311" s="25" t="str">
        <x:v>JacksonDatabind</x:v>
      </x:c>
      <x:c r="B1311" s="25" t="n">
        <x:v>64</x:v>
      </x:c>
      <x:c r="C1311" s="25" t="str">
        <x:v>Round2</x:v>
      </x:c>
      <x:c r="D1311" s="25" t="str">
        <x:v>NOT_REVEALING</x:v>
      </x:c>
      <x:c r="E1311" s="25" t="str">
        <x:v>N/A</x:v>
      </x:c>
      <x:c r="F1311" s="26" t="str">
        <x:v>Same saved validation suite passed on buggy and fixed</x:v>
      </x:c>
      <x:c r="G1311" s="25" t="str">
        <x:v>true</x:v>
      </x:c>
      <x:c r="H1311" s="25" t="str">
        <x:v>NOT_REVEALING</x:v>
      </x:c>
      <x:c r="I1311" s="25" t="str">
        <x:v>PASS</x:v>
      </x:c>
      <x:c r="J1311" s="25" t="str">
        <x:v>PASS</x:v>
      </x:c>
      <x:c r="K1311" s="25" t="n">
        <x:v>2</x:v>
      </x:c>
      <x:c r="L1311" s="27" t="b">
        <x:v>0</x:v>
      </x:c>
      <x:c r="M1311" s="25" t="str">
        <x:v>Feedback-Directed Random Test Generation/rounds/Round2/state/JacksonDatabind.json</x:v>
      </x:c>
      <x:c r="N1311" s="25" t="str">
        <x:v>Feedback-Directed Random Test Generation/Result_Round2/JacksonDatabind_64/result.json</x:v>
      </x:c>
      <x:c r="O1311" s="25" t="str">
        <x:v>Feedback-Directed Random Test Generation/Result_Round2/JacksonDatabind_64/result.json</x:v>
      </x:c>
      <x:c r="P1311"/>
      <x:c r="Q1311" s="21" t="str"/>
      <x:c r="R1311" s="21" t="str"/>
      <x:c r="S1311" s="21" t="str"/>
      <x:c r="T1311" s="17" t="str">
        <x:v>false</x:v>
      </x:c>
      <x:c r="U1311" s="17" t="str">
        <x:v>true</x:v>
      </x:c>
      <x:c r="V1311" s="17" t="str">
        <x:v>false</x:v>
      </x:c>
    </x:row>
    <x:row r="1312" ht="80" customHeight="1">
      <x:c r="A1312" s="25" t="str">
        <x:v>JacksonDatabind</x:v>
      </x:c>
      <x:c r="B1312" s="25" t="n">
        <x:v>66</x:v>
      </x:c>
      <x:c r="C1312" s="25" t="str">
        <x:v>Round2</x:v>
      </x:c>
      <x:c r="D1312" s="25" t="str">
        <x:v>NOT_REVEALING</x:v>
      </x:c>
      <x:c r="E1312" s="25" t="str">
        <x:v>N/A</x:v>
      </x:c>
      <x:c r="F1312" s="26" t="str">
        <x:v>Same saved validation suite passed on buggy and fixed</x:v>
      </x:c>
      <x:c r="G1312" s="25" t="str">
        <x:v>true</x:v>
      </x:c>
      <x:c r="H1312" s="25" t="str">
        <x:v>NOT_REVEALING</x:v>
      </x:c>
      <x:c r="I1312" s="25" t="str">
        <x:v>PASS</x:v>
      </x:c>
      <x:c r="J1312" s="25" t="str">
        <x:v>PASS</x:v>
      </x:c>
      <x:c r="K1312" s="25" t="n">
        <x:v>2</x:v>
      </x:c>
      <x:c r="L1312" s="27" t="b">
        <x:v>0</x:v>
      </x:c>
      <x:c r="M1312" s="25" t="str">
        <x:v>Feedback-Directed Random Test Generation/rounds/Round2/state/JacksonDatabind.json</x:v>
      </x:c>
      <x:c r="N1312" s="25" t="str">
        <x:v>Feedback-Directed Random Test Generation/Result_Round2/JacksonDatabind_66/result.json</x:v>
      </x:c>
      <x:c r="O1312" s="25" t="str">
        <x:v>Feedback-Directed Random Test Generation/Result_Round2/JacksonDatabind_66/result.json</x:v>
      </x:c>
      <x:c r="P1312"/>
      <x:c r="Q1312" s="21" t="str"/>
      <x:c r="R1312" s="21" t="str"/>
      <x:c r="S1312" s="21" t="str"/>
      <x:c r="T1312" s="17" t="str">
        <x:v>false</x:v>
      </x:c>
      <x:c r="U1312" s="17" t="str">
        <x:v>true</x:v>
      </x:c>
      <x:c r="V1312" s="17" t="str">
        <x:v>false</x:v>
      </x:c>
    </x:row>
    <x:row r="1313" ht="80" customHeight="1">
      <x:c r="A1313" s="25" t="str">
        <x:v>JacksonDatabind</x:v>
      </x:c>
      <x:c r="B1313" s="25" t="n">
        <x:v>67</x:v>
      </x:c>
      <x:c r="C1313" s="25" t="str">
        <x:v>Round2</x:v>
      </x:c>
      <x:c r="D1313" s="25" t="str">
        <x:v>NOT_REVEALING</x:v>
      </x:c>
      <x:c r="E1313" s="25" t="str">
        <x:v>N/A</x:v>
      </x:c>
      <x:c r="F1313" s="26" t="str">
        <x:v>Same saved validation suite passed on buggy and fixed</x:v>
      </x:c>
      <x:c r="G1313" s="25" t="str">
        <x:v>true</x:v>
      </x:c>
      <x:c r="H1313" s="25" t="str">
        <x:v>NOT_REVEALING</x:v>
      </x:c>
      <x:c r="I1313" s="25" t="str">
        <x:v>PASS</x:v>
      </x:c>
      <x:c r="J1313" s="25" t="str">
        <x:v>PASS</x:v>
      </x:c>
      <x:c r="K1313" s="25" t="n">
        <x:v>2</x:v>
      </x:c>
      <x:c r="L1313" s="27" t="b">
        <x:v>0</x:v>
      </x:c>
      <x:c r="M1313" s="25" t="str">
        <x:v>Feedback-Directed Random Test Generation/rounds/Round2/state/JacksonDatabind.json</x:v>
      </x:c>
      <x:c r="N1313" s="25" t="str">
        <x:v>Feedback-Directed Random Test Generation/Result_Round2/JacksonDatabind_67/result.json</x:v>
      </x:c>
      <x:c r="O1313" s="25" t="str">
        <x:v>Feedback-Directed Random Test Generation/Result_Round2/JacksonDatabind_67/result.json</x:v>
      </x:c>
      <x:c r="P1313"/>
      <x:c r="Q1313" s="21" t="str"/>
      <x:c r="R1313" s="21" t="str"/>
      <x:c r="S1313" s="21" t="str"/>
      <x:c r="T1313" s="17" t="str">
        <x:v>false</x:v>
      </x:c>
      <x:c r="U1313" s="17" t="str">
        <x:v>true</x:v>
      </x:c>
      <x:c r="V1313" s="17" t="str">
        <x:v>false</x:v>
      </x:c>
    </x:row>
    <x:row r="1314" ht="80" customHeight="1">
      <x:c r="A1314" s="25" t="str">
        <x:v>JacksonDatabind</x:v>
      </x:c>
      <x:c r="B1314" s="25" t="n">
        <x:v>68</x:v>
      </x:c>
      <x:c r="C1314" s="25" t="str">
        <x:v>Round2</x:v>
      </x:c>
      <x:c r="D1314" s="25" t="str">
        <x:v>NOT_REVEALING</x:v>
      </x:c>
      <x:c r="E1314" s="25" t="str">
        <x:v>N/A</x:v>
      </x:c>
      <x:c r="F1314" s="26" t="str">
        <x:v>Same saved validation suite passed on buggy and fixed</x:v>
      </x:c>
      <x:c r="G1314" s="25" t="str">
        <x:v>true</x:v>
      </x:c>
      <x:c r="H1314" s="25" t="str">
        <x:v>NOT_REVEALING</x:v>
      </x:c>
      <x:c r="I1314" s="25" t="str">
        <x:v>PASS</x:v>
      </x:c>
      <x:c r="J1314" s="25" t="str">
        <x:v>PASS</x:v>
      </x:c>
      <x:c r="K1314" s="25" t="n">
        <x:v>2</x:v>
      </x:c>
      <x:c r="L1314" s="27" t="b">
        <x:v>0</x:v>
      </x:c>
      <x:c r="M1314" s="25" t="str">
        <x:v>Feedback-Directed Random Test Generation/rounds/Round2/state/JacksonDatabind.json</x:v>
      </x:c>
      <x:c r="N1314" s="25" t="str">
        <x:v>Feedback-Directed Random Test Generation/Result_Round2/JacksonDatabind_68/result.json</x:v>
      </x:c>
      <x:c r="O1314" s="25" t="str">
        <x:v>Feedback-Directed Random Test Generation/Result_Round2/JacksonDatabind_68/result.json</x:v>
      </x:c>
      <x:c r="P1314"/>
      <x:c r="Q1314" s="21" t="str"/>
      <x:c r="R1314" s="21" t="str"/>
      <x:c r="S1314" s="21" t="str"/>
      <x:c r="T1314" s="17" t="str">
        <x:v>false</x:v>
      </x:c>
      <x:c r="U1314" s="17" t="str">
        <x:v>true</x:v>
      </x:c>
      <x:c r="V1314" s="17" t="str">
        <x:v>false</x:v>
      </x:c>
    </x:row>
    <x:row r="1315" ht="80" customHeight="1">
      <x:c r="A1315" s="25" t="str">
        <x:v>JacksonDatabind</x:v>
      </x:c>
      <x:c r="B1315" s="25" t="n">
        <x:v>69</x:v>
      </x:c>
      <x:c r="C1315" s="25" t="str">
        <x:v>Round2</x:v>
      </x:c>
      <x:c r="D1315" s="25" t="str">
        <x:v>NOT_REVEALING</x:v>
      </x:c>
      <x:c r="E1315" s="25" t="str">
        <x:v>N/A</x:v>
      </x:c>
      <x:c r="F1315" s="26" t="str">
        <x:v>Same saved validation suite passed on buggy and fixed</x:v>
      </x:c>
      <x:c r="G1315" s="25" t="str">
        <x:v>true</x:v>
      </x:c>
      <x:c r="H1315" s="25" t="str">
        <x:v>NOT_REVEALING</x:v>
      </x:c>
      <x:c r="I1315" s="25" t="str">
        <x:v>PASS</x:v>
      </x:c>
      <x:c r="J1315" s="25" t="str">
        <x:v>PASS</x:v>
      </x:c>
      <x:c r="K1315" s="25" t="n">
        <x:v>10</x:v>
      </x:c>
      <x:c r="L1315" s="27" t="b">
        <x:v>0</x:v>
      </x:c>
      <x:c r="M1315" s="25" t="str">
        <x:v>Feedback-Directed Random Test Generation/rounds/Round2/state/JacksonDatabind.json</x:v>
      </x:c>
      <x:c r="N1315" s="25" t="str">
        <x:v>Feedback-Directed Random Test Generation/Result_Round2/JacksonDatabind_69/result.json</x:v>
      </x:c>
      <x:c r="O1315" s="25" t="str">
        <x:v>Feedback-Directed Random Test Generation/Result_Round2/JacksonDatabind_69/result.json</x:v>
      </x:c>
      <x:c r="P1315"/>
      <x:c r="Q1315" s="21" t="str"/>
      <x:c r="R1315" s="21" t="str"/>
      <x:c r="S1315" s="21" t="str"/>
      <x:c r="T1315" s="17" t="str">
        <x:v>false</x:v>
      </x:c>
      <x:c r="U1315" s="17" t="str">
        <x:v>true</x:v>
      </x:c>
      <x:c r="V1315" s="17" t="str">
        <x:v>false</x:v>
      </x:c>
    </x:row>
    <x:row r="1316" ht="80" customHeight="1">
      <x:c r="A1316" s="25" t="str">
        <x:v>JacksonDatabind</x:v>
      </x:c>
      <x:c r="B1316" s="25" t="n">
        <x:v>70</x:v>
      </x:c>
      <x:c r="C1316" s="25" t="str">
        <x:v>Round2</x:v>
      </x:c>
      <x:c r="D1316" s="25" t="str">
        <x:v>NOT_REVEALING</x:v>
      </x:c>
      <x:c r="E1316" s="25" t="str">
        <x:v>N/A</x:v>
      </x:c>
      <x:c r="F1316" s="26" t="str">
        <x:v>Same saved validation suite passed on buggy and fixed</x:v>
      </x:c>
      <x:c r="G1316" s="25" t="str">
        <x:v>true</x:v>
      </x:c>
      <x:c r="H1316" s="25" t="str">
        <x:v>NOT_REVEALING</x:v>
      </x:c>
      <x:c r="I1316" s="25" t="str">
        <x:v>PASS</x:v>
      </x:c>
      <x:c r="J1316" s="25" t="str">
        <x:v>PASS</x:v>
      </x:c>
      <x:c r="K1316" s="25" t="n">
        <x:v>6</x:v>
      </x:c>
      <x:c r="L1316" s="27" t="b">
        <x:v>0</x:v>
      </x:c>
      <x:c r="M1316" s="25" t="str">
        <x:v>Feedback-Directed Random Test Generation/rounds/Round2/state/JacksonDatabind.json</x:v>
      </x:c>
      <x:c r="N1316" s="25" t="str">
        <x:v>Feedback-Directed Random Test Generation/Result_Round2/JacksonDatabind_70/result.json</x:v>
      </x:c>
      <x:c r="O1316" s="25" t="str">
        <x:v>Feedback-Directed Random Test Generation/Result_Round2/JacksonDatabind_70/result.json</x:v>
      </x:c>
      <x:c r="P1316"/>
      <x:c r="Q1316" s="21" t="str"/>
      <x:c r="R1316" s="21" t="str"/>
      <x:c r="S1316" s="21" t="str"/>
      <x:c r="T1316" s="17" t="str">
        <x:v>false</x:v>
      </x:c>
      <x:c r="U1316" s="17" t="str">
        <x:v>true</x:v>
      </x:c>
      <x:c r="V1316" s="17" t="str">
        <x:v>false</x:v>
      </x:c>
    </x:row>
    <x:row r="1317" ht="80" customHeight="1">
      <x:c r="A1317" s="25" t="str">
        <x:v>JacksonDatabind</x:v>
      </x:c>
      <x:c r="B1317" s="25" t="n">
        <x:v>71</x:v>
      </x:c>
      <x:c r="C1317" s="25" t="str">
        <x:v>Round2</x:v>
      </x:c>
      <x:c r="D1317" s="25" t="str">
        <x:v>NOT_REVEALING</x:v>
      </x:c>
      <x:c r="E1317" s="25" t="str">
        <x:v>N/A</x:v>
      </x:c>
      <x:c r="F1317" s="26" t="str">
        <x:v>Same saved validation suite passed on buggy and fixed</x:v>
      </x:c>
      <x:c r="G1317" s="25" t="str">
        <x:v>true</x:v>
      </x:c>
      <x:c r="H1317" s="25" t="str">
        <x:v>NOT_REVEALING</x:v>
      </x:c>
      <x:c r="I1317" s="25" t="str">
        <x:v>PASS</x:v>
      </x:c>
      <x:c r="J1317" s="25" t="str">
        <x:v>PASS</x:v>
      </x:c>
      <x:c r="K1317" s="25" t="n">
        <x:v>2</x:v>
      </x:c>
      <x:c r="L1317" s="27" t="b">
        <x:v>0</x:v>
      </x:c>
      <x:c r="M1317" s="25" t="str">
        <x:v>Feedback-Directed Random Test Generation/rounds/Round2/state/JacksonDatabind.json</x:v>
      </x:c>
      <x:c r="N1317" s="25" t="str">
        <x:v>Feedback-Directed Random Test Generation/Result_Round2/JacksonDatabind_71/result.json</x:v>
      </x:c>
      <x:c r="O1317" s="25" t="str">
        <x:v>Feedback-Directed Random Test Generation/Result_Round2/JacksonDatabind_71/result.json</x:v>
      </x:c>
      <x:c r="P1317"/>
      <x:c r="Q1317" s="21" t="str"/>
      <x:c r="R1317" s="21" t="str"/>
      <x:c r="S1317" s="21" t="str"/>
      <x:c r="T1317" s="17" t="str">
        <x:v>false</x:v>
      </x:c>
      <x:c r="U1317" s="17" t="str">
        <x:v>true</x:v>
      </x:c>
      <x:c r="V1317" s="17" t="str">
        <x:v>false</x:v>
      </x:c>
    </x:row>
    <x:row r="1318" ht="80" customHeight="1">
      <x:c r="A1318" s="25" t="str">
        <x:v>JacksonDatabind</x:v>
      </x:c>
      <x:c r="B1318" s="25" t="n">
        <x:v>72</x:v>
      </x:c>
      <x:c r="C1318" s="25" t="str">
        <x:v>Round2</x:v>
      </x:c>
      <x:c r="D1318" s="25" t="str">
        <x:v>NOT_REVEALING</x:v>
      </x:c>
      <x:c r="E1318" s="25" t="str">
        <x:v>N/A</x:v>
      </x:c>
      <x:c r="F1318" s="26" t="str">
        <x:v>Same saved validation suite passed on buggy and fixed</x:v>
      </x:c>
      <x:c r="G1318" s="25" t="str">
        <x:v>true</x:v>
      </x:c>
      <x:c r="H1318" s="25" t="str">
        <x:v>NOT_REVEALING</x:v>
      </x:c>
      <x:c r="I1318" s="25" t="str">
        <x:v>PASS</x:v>
      </x:c>
      <x:c r="J1318" s="25" t="str">
        <x:v>PASS</x:v>
      </x:c>
      <x:c r="K1318" s="25" t="n">
        <x:v>2</x:v>
      </x:c>
      <x:c r="L1318" s="27" t="b">
        <x:v>0</x:v>
      </x:c>
      <x:c r="M1318" s="25" t="str">
        <x:v>Feedback-Directed Random Test Generation/rounds/Round2/state/JacksonDatabind.json</x:v>
      </x:c>
      <x:c r="N1318" s="25" t="str">
        <x:v>Feedback-Directed Random Test Generation/Result_Round2/JacksonDatabind_72/result.json</x:v>
      </x:c>
      <x:c r="O1318" s="25" t="str">
        <x:v>Feedback-Directed Random Test Generation/Result_Round2/JacksonDatabind_72/result.json</x:v>
      </x:c>
      <x:c r="P1318"/>
      <x:c r="Q1318" s="21" t="str"/>
      <x:c r="R1318" s="21" t="str"/>
      <x:c r="S1318" s="21" t="str"/>
      <x:c r="T1318" s="17" t="str">
        <x:v>false</x:v>
      </x:c>
      <x:c r="U1318" s="17" t="str">
        <x:v>true</x:v>
      </x:c>
      <x:c r="V1318" s="17" t="str">
        <x:v>false</x:v>
      </x:c>
    </x:row>
    <x:row r="1319" ht="80" customHeight="1">
      <x:c r="A1319" s="25" t="str">
        <x:v>JacksonDatabind</x:v>
      </x:c>
      <x:c r="B1319" s="25" t="n">
        <x:v>73</x:v>
      </x:c>
      <x:c r="C1319" s="25" t="str">
        <x:v>Round2</x:v>
      </x:c>
      <x:c r="D1319" s="25" t="str">
        <x:v>NOT_REVEALING</x:v>
      </x:c>
      <x:c r="E1319" s="25" t="str">
        <x:v>N/A</x:v>
      </x:c>
      <x:c r="F1319" s="26" t="str">
        <x:v>Same saved validation suite passed on buggy and fixed</x:v>
      </x:c>
      <x:c r="G1319" s="25" t="str">
        <x:v>true</x:v>
      </x:c>
      <x:c r="H1319" s="25" t="str">
        <x:v>NOT_REVEALING</x:v>
      </x:c>
      <x:c r="I1319" s="25" t="str">
        <x:v>PASS</x:v>
      </x:c>
      <x:c r="J1319" s="25" t="str">
        <x:v>PASS</x:v>
      </x:c>
      <x:c r="K1319" s="25" t="n">
        <x:v>7</x:v>
      </x:c>
      <x:c r="L1319" s="27" t="b">
        <x:v>0</x:v>
      </x:c>
      <x:c r="M1319" s="25" t="str">
        <x:v>Feedback-Directed Random Test Generation/rounds/Round2/state/JacksonDatabind.json</x:v>
      </x:c>
      <x:c r="N1319" s="25" t="str">
        <x:v>Feedback-Directed Random Test Generation/Result_Round2/JacksonDatabind_73/result.json</x:v>
      </x:c>
      <x:c r="O1319" s="25" t="str">
        <x:v>Feedback-Directed Random Test Generation/Result_Round2/JacksonDatabind_73/result.json</x:v>
      </x:c>
      <x:c r="P1319"/>
      <x:c r="Q1319" s="21" t="str"/>
      <x:c r="R1319" s="21" t="str"/>
      <x:c r="S1319" s="21" t="str"/>
      <x:c r="T1319" s="17" t="str">
        <x:v>false</x:v>
      </x:c>
      <x:c r="U1319" s="17" t="str">
        <x:v>true</x:v>
      </x:c>
      <x:c r="V1319" s="17" t="str">
        <x:v>false</x:v>
      </x:c>
    </x:row>
    <x:row r="1320" ht="80" customHeight="1">
      <x:c r="A1320" s="25" t="str">
        <x:v>JacksonDatabind</x:v>
      </x:c>
      <x:c r="B1320" s="25" t="n">
        <x:v>74</x:v>
      </x:c>
      <x:c r="C1320" s="25" t="str">
        <x:v>Round2</x:v>
      </x:c>
      <x:c r="D1320" s="25" t="str">
        <x:v>NOT_REVEALING</x:v>
      </x:c>
      <x:c r="E1320" s="25" t="str">
        <x:v>N/A</x:v>
      </x:c>
      <x:c r="F1320" s="26" t="str">
        <x:v>Same saved validation suite passed on buggy and fixed</x:v>
      </x:c>
      <x:c r="G1320" s="25" t="str">
        <x:v>true</x:v>
      </x:c>
      <x:c r="H1320" s="25" t="str">
        <x:v>NOT_REVEALING</x:v>
      </x:c>
      <x:c r="I1320" s="25" t="str">
        <x:v>PASS</x:v>
      </x:c>
      <x:c r="J1320" s="25" t="str">
        <x:v>PASS</x:v>
      </x:c>
      <x:c r="K1320" s="25" t="n">
        <x:v>9</x:v>
      </x:c>
      <x:c r="L1320" s="27" t="b">
        <x:v>0</x:v>
      </x:c>
      <x:c r="M1320" s="25" t="str">
        <x:v>Feedback-Directed Random Test Generation/rounds/Round2/state/JacksonDatabind.json</x:v>
      </x:c>
      <x:c r="N1320" s="25" t="str">
        <x:v>Feedback-Directed Random Test Generation/Result_Round2/JacksonDatabind_74/result.json</x:v>
      </x:c>
      <x:c r="O1320" s="25" t="str">
        <x:v>Feedback-Directed Random Test Generation/Result_Round2/JacksonDatabind_74/result.json</x:v>
      </x:c>
      <x:c r="P1320"/>
      <x:c r="Q1320" s="21" t="str"/>
      <x:c r="R1320" s="21" t="str"/>
      <x:c r="S1320" s="21" t="str"/>
      <x:c r="T1320" s="17" t="str">
        <x:v>false</x:v>
      </x:c>
      <x:c r="U1320" s="17" t="str">
        <x:v>true</x:v>
      </x:c>
      <x:c r="V1320" s="17" t="str">
        <x:v>false</x:v>
      </x:c>
    </x:row>
    <x:row r="1321" ht="80" customHeight="1">
      <x:c r="A1321" s="25" t="str">
        <x:v>JacksonDatabind</x:v>
      </x:c>
      <x:c r="B1321" s="25" t="n">
        <x:v>75</x:v>
      </x:c>
      <x:c r="C1321" s="25" t="str">
        <x:v>Round2</x:v>
      </x:c>
      <x:c r="D1321" s="25" t="str">
        <x:v>NOT_REVEALING</x:v>
      </x:c>
      <x:c r="E1321" s="25" t="str">
        <x:v>N/A</x:v>
      </x:c>
      <x:c r="F1321" s="26" t="str">
        <x:v>Same saved validation suite passed on buggy and fixed</x:v>
      </x:c>
      <x:c r="G1321" s="25" t="str">
        <x:v>true</x:v>
      </x:c>
      <x:c r="H1321" s="25" t="str">
        <x:v>NOT_REVEALING</x:v>
      </x:c>
      <x:c r="I1321" s="25" t="str">
        <x:v>PASS</x:v>
      </x:c>
      <x:c r="J1321" s="25" t="str">
        <x:v>PASS</x:v>
      </x:c>
      <x:c r="K1321" s="25" t="n">
        <x:v>2</x:v>
      </x:c>
      <x:c r="L1321" s="27" t="b">
        <x:v>0</x:v>
      </x:c>
      <x:c r="M1321" s="25" t="str">
        <x:v>Feedback-Directed Random Test Generation/rounds/Round2/state/JacksonDatabind.json</x:v>
      </x:c>
      <x:c r="N1321" s="25" t="str">
        <x:v>Feedback-Directed Random Test Generation/Result_Round2/JacksonDatabind_75/result.json</x:v>
      </x:c>
      <x:c r="O1321" s="25" t="str">
        <x:v>Feedback-Directed Random Test Generation/Result_Round2/JacksonDatabind_75/result.json</x:v>
      </x:c>
      <x:c r="P1321"/>
      <x:c r="Q1321" s="21" t="str"/>
      <x:c r="R1321" s="21" t="str"/>
      <x:c r="S1321" s="21" t="str"/>
      <x:c r="T1321" s="17" t="str">
        <x:v>false</x:v>
      </x:c>
      <x:c r="U1321" s="17" t="str">
        <x:v>true</x:v>
      </x:c>
      <x:c r="V1321" s="17" t="str">
        <x:v>false</x:v>
      </x:c>
    </x:row>
    <x:row r="1322" ht="80" customHeight="1">
      <x:c r="A1322" s="25" t="str">
        <x:v>JacksonDatabind</x:v>
      </x:c>
      <x:c r="B1322" s="25" t="n">
        <x:v>76</x:v>
      </x:c>
      <x:c r="C1322" s="25" t="str">
        <x:v>Round2</x:v>
      </x:c>
      <x:c r="D1322" s="25" t="str">
        <x:v>NOT_REVEALING</x:v>
      </x:c>
      <x:c r="E1322" s="25" t="str">
        <x:v>N/A</x:v>
      </x:c>
      <x:c r="F1322" s="26" t="str">
        <x:v>Same saved validation suite passed on buggy and fixed</x:v>
      </x:c>
      <x:c r="G1322" s="25" t="str">
        <x:v>true</x:v>
      </x:c>
      <x:c r="H1322" s="25" t="str">
        <x:v>NOT_REVEALING</x:v>
      </x:c>
      <x:c r="I1322" s="25" t="str">
        <x:v>PASS</x:v>
      </x:c>
      <x:c r="J1322" s="25" t="str">
        <x:v>PASS</x:v>
      </x:c>
      <x:c r="K1322" s="25" t="n">
        <x:v>2</x:v>
      </x:c>
      <x:c r="L1322" s="27" t="b">
        <x:v>0</x:v>
      </x:c>
      <x:c r="M1322" s="25" t="str">
        <x:v>Feedback-Directed Random Test Generation/rounds/Round2/state/JacksonDatabind.json</x:v>
      </x:c>
      <x:c r="N1322" s="25" t="str">
        <x:v>Feedback-Directed Random Test Generation/Result_Round2/JacksonDatabind_76/result.json</x:v>
      </x:c>
      <x:c r="O1322" s="25" t="str">
        <x:v>Feedback-Directed Random Test Generation/Result_Round2/JacksonDatabind_76/result.json</x:v>
      </x:c>
      <x:c r="P1322"/>
      <x:c r="Q1322" s="21" t="str"/>
      <x:c r="R1322" s="21" t="str"/>
      <x:c r="S1322" s="21" t="str"/>
      <x:c r="T1322" s="17" t="str">
        <x:v>false</x:v>
      </x:c>
      <x:c r="U1322" s="17" t="str">
        <x:v>true</x:v>
      </x:c>
      <x:c r="V1322" s="17" t="str">
        <x:v>false</x:v>
      </x:c>
    </x:row>
    <x:row r="1323" ht="80" customHeight="1">
      <x:c r="A1323" s="25" t="str">
        <x:v>JacksonDatabind</x:v>
      </x:c>
      <x:c r="B1323" s="25" t="n">
        <x:v>77</x:v>
      </x:c>
      <x:c r="C1323" s="25" t="str">
        <x:v>Round2</x:v>
      </x:c>
      <x:c r="D1323" s="25" t="str">
        <x:v>NOT_REVEALING</x:v>
      </x:c>
      <x:c r="E1323" s="25" t="str">
        <x:v>N/A</x:v>
      </x:c>
      <x:c r="F1323" s="26" t="str">
        <x:v>Same saved validation suite passed on buggy and fixed</x:v>
      </x:c>
      <x:c r="G1323" s="25" t="str">
        <x:v>true</x:v>
      </x:c>
      <x:c r="H1323" s="25" t="str">
        <x:v>NOT_REVEALING</x:v>
      </x:c>
      <x:c r="I1323" s="25" t="str">
        <x:v>PASS</x:v>
      </x:c>
      <x:c r="J1323" s="25" t="str">
        <x:v>PASS</x:v>
      </x:c>
      <x:c r="K1323" s="25" t="n">
        <x:v>7</x:v>
      </x:c>
      <x:c r="L1323" s="27" t="b">
        <x:v>0</x:v>
      </x:c>
      <x:c r="M1323" s="25" t="str">
        <x:v>Feedback-Directed Random Test Generation/rounds/Round2/state/JacksonDatabind.json</x:v>
      </x:c>
      <x:c r="N1323" s="25" t="str">
        <x:v>Feedback-Directed Random Test Generation/Result_Round2/JacksonDatabind_77/result.json</x:v>
      </x:c>
      <x:c r="O1323" s="25" t="str">
        <x:v>Feedback-Directed Random Test Generation/Result_Round2/JacksonDatabind_77/result.json</x:v>
      </x:c>
      <x:c r="P1323"/>
      <x:c r="Q1323" s="21" t="str"/>
      <x:c r="R1323" s="21" t="str"/>
      <x:c r="S1323" s="21" t="str"/>
      <x:c r="T1323" s="17" t="str">
        <x:v>false</x:v>
      </x:c>
      <x:c r="U1323" s="17" t="str">
        <x:v>true</x:v>
      </x:c>
      <x:c r="V1323" s="17" t="str">
        <x:v>false</x:v>
      </x:c>
    </x:row>
    <x:row r="1324" ht="80" customHeight="1">
      <x:c r="A1324" s="25" t="str">
        <x:v>JacksonDatabind</x:v>
      </x:c>
      <x:c r="B1324" s="25" t="n">
        <x:v>78</x:v>
      </x:c>
      <x:c r="C1324" s="25" t="str">
        <x:v>Round2</x:v>
      </x:c>
      <x:c r="D1324" s="25" t="str">
        <x:v>NOT_REVEALING</x:v>
      </x:c>
      <x:c r="E1324" s="25" t="str">
        <x:v>N/A</x:v>
      </x:c>
      <x:c r="F1324" s="26" t="str">
        <x:v>Same saved validation suite passed on buggy and fixed</x:v>
      </x:c>
      <x:c r="G1324" s="25" t="str">
        <x:v>true</x:v>
      </x:c>
      <x:c r="H1324" s="25" t="str">
        <x:v>NOT_REVEALING</x:v>
      </x:c>
      <x:c r="I1324" s="25" t="str">
        <x:v>PASS</x:v>
      </x:c>
      <x:c r="J1324" s="25" t="str">
        <x:v>PASS</x:v>
      </x:c>
      <x:c r="K1324" s="25" t="n">
        <x:v>7</x:v>
      </x:c>
      <x:c r="L1324" s="27" t="b">
        <x:v>0</x:v>
      </x:c>
      <x:c r="M1324" s="25" t="str">
        <x:v>Feedback-Directed Random Test Generation/rounds/Round2/state/JacksonDatabind.json</x:v>
      </x:c>
      <x:c r="N1324" s="25" t="str">
        <x:v>Feedback-Directed Random Test Generation/Result_Round2/JacksonDatabind_78/result.json</x:v>
      </x:c>
      <x:c r="O1324" s="25" t="str">
        <x:v>Feedback-Directed Random Test Generation/Result_Round2/JacksonDatabind_78/result.json</x:v>
      </x:c>
      <x:c r="P1324"/>
      <x:c r="Q1324" s="21" t="str"/>
      <x:c r="R1324" s="21" t="str"/>
      <x:c r="S1324" s="21" t="str"/>
      <x:c r="T1324" s="17" t="str">
        <x:v>false</x:v>
      </x:c>
      <x:c r="U1324" s="17" t="str">
        <x:v>true</x:v>
      </x:c>
      <x:c r="V1324" s="17" t="str">
        <x:v>false</x:v>
      </x:c>
    </x:row>
    <x:row r="1325" ht="80" customHeight="1">
      <x:c r="A1325" s="25" t="str">
        <x:v>JacksonDatabind</x:v>
      </x:c>
      <x:c r="B1325" s="25" t="n">
        <x:v>79</x:v>
      </x:c>
      <x:c r="C1325" s="25" t="str">
        <x:v>Round2</x:v>
      </x:c>
      <x:c r="D1325" s="25" t="str">
        <x:v>NOT_REVEALING</x:v>
      </x:c>
      <x:c r="E1325" s="25" t="str">
        <x:v>N/A</x:v>
      </x:c>
      <x:c r="F1325" s="26" t="str">
        <x:v>Same saved validation suite passed on buggy and fixed</x:v>
      </x:c>
      <x:c r="G1325" s="25" t="str">
        <x:v>true</x:v>
      </x:c>
      <x:c r="H1325" s="25" t="str">
        <x:v>NOT_REVEALING</x:v>
      </x:c>
      <x:c r="I1325" s="25" t="str">
        <x:v>PASS</x:v>
      </x:c>
      <x:c r="J1325" s="25" t="str">
        <x:v>PASS</x:v>
      </x:c>
      <x:c r="K1325" s="25" t="n">
        <x:v>2</x:v>
      </x:c>
      <x:c r="L1325" s="27" t="b">
        <x:v>0</x:v>
      </x:c>
      <x:c r="M1325" s="25" t="str">
        <x:v>Feedback-Directed Random Test Generation/rounds/Round2/state/JacksonDatabind.json</x:v>
      </x:c>
      <x:c r="N1325" s="25" t="str">
        <x:v>Feedback-Directed Random Test Generation/Result_Round2/JacksonDatabind_79/result.json</x:v>
      </x:c>
      <x:c r="O1325" s="25" t="str">
        <x:v>Feedback-Directed Random Test Generation/Result_Round2/JacksonDatabind_79/result.json</x:v>
      </x:c>
      <x:c r="P1325"/>
      <x:c r="Q1325" s="21" t="str"/>
      <x:c r="R1325" s="21" t="str"/>
      <x:c r="S1325" s="21" t="str"/>
      <x:c r="T1325" s="17" t="str">
        <x:v>false</x:v>
      </x:c>
      <x:c r="U1325" s="17" t="str">
        <x:v>true</x:v>
      </x:c>
      <x:c r="V1325" s="17" t="str">
        <x:v>false</x:v>
      </x:c>
    </x:row>
    <x:row r="1326" ht="80" customHeight="1">
      <x:c r="A1326" s="25" t="str">
        <x:v>JacksonDatabind</x:v>
      </x:c>
      <x:c r="B1326" s="25" t="n">
        <x:v>80</x:v>
      </x:c>
      <x:c r="C1326" s="25" t="str">
        <x:v>Round2</x:v>
      </x:c>
      <x:c r="D1326" s="25" t="str">
        <x:v>NOT_REVEALING</x:v>
      </x:c>
      <x:c r="E1326" s="25" t="str">
        <x:v>N/A</x:v>
      </x:c>
      <x:c r="F1326" s="26" t="str">
        <x:v>Same saved validation suite passed on buggy and fixed</x:v>
      </x:c>
      <x:c r="G1326" s="25" t="str">
        <x:v>true</x:v>
      </x:c>
      <x:c r="H1326" s="25" t="str">
        <x:v>NOT_REVEALING</x:v>
      </x:c>
      <x:c r="I1326" s="25" t="str">
        <x:v>PASS</x:v>
      </x:c>
      <x:c r="J1326" s="25" t="str">
        <x:v>PASS</x:v>
      </x:c>
      <x:c r="K1326" s="25" t="n">
        <x:v>5</x:v>
      </x:c>
      <x:c r="L1326" s="27" t="b">
        <x:v>0</x:v>
      </x:c>
      <x:c r="M1326" s="25" t="str">
        <x:v>Feedback-Directed Random Test Generation/rounds/Round2/state/JacksonDatabind.json</x:v>
      </x:c>
      <x:c r="N1326" s="25" t="str">
        <x:v>Feedback-Directed Random Test Generation/Result_Round2/JacksonDatabind_80/result.json</x:v>
      </x:c>
      <x:c r="O1326" s="25" t="str">
        <x:v>Feedback-Directed Random Test Generation/Result_Round2/JacksonDatabind_80/result.json</x:v>
      </x:c>
      <x:c r="P1326"/>
      <x:c r="Q1326" s="21" t="str"/>
      <x:c r="R1326" s="21" t="str"/>
      <x:c r="S1326" s="21" t="str"/>
      <x:c r="T1326" s="17" t="str">
        <x:v>false</x:v>
      </x:c>
      <x:c r="U1326" s="17" t="str">
        <x:v>true</x:v>
      </x:c>
      <x:c r="V1326" s="17" t="str">
        <x:v>false</x:v>
      </x:c>
    </x:row>
    <x:row r="1327" ht="80" customHeight="1">
      <x:c r="A1327" s="25" t="str">
        <x:v>JacksonDatabind</x:v>
      </x:c>
      <x:c r="B1327" s="25" t="n">
        <x:v>81</x:v>
      </x:c>
      <x:c r="C1327" s="25" t="str">
        <x:v>Round2</x:v>
      </x:c>
      <x:c r="D1327" s="25" t="str">
        <x:v>NOT_REVEALING</x:v>
      </x:c>
      <x:c r="E1327" s="25" t="str">
        <x:v>N/A</x:v>
      </x:c>
      <x:c r="F1327" s="26" t="str">
        <x:v>Same saved validation suite passed on buggy and fixed</x:v>
      </x:c>
      <x:c r="G1327" s="25" t="str">
        <x:v>true</x:v>
      </x:c>
      <x:c r="H1327" s="25" t="str">
        <x:v>NOT_REVEALING</x:v>
      </x:c>
      <x:c r="I1327" s="25" t="str">
        <x:v>PASS</x:v>
      </x:c>
      <x:c r="J1327" s="25" t="str">
        <x:v>PASS</x:v>
      </x:c>
      <x:c r="K1327" s="25" t="n">
        <x:v>8</x:v>
      </x:c>
      <x:c r="L1327" s="27" t="b">
        <x:v>0</x:v>
      </x:c>
      <x:c r="M1327" s="25" t="str">
        <x:v>Feedback-Directed Random Test Generation/rounds/Round2/state/JacksonDatabind.json</x:v>
      </x:c>
      <x:c r="N1327" s="25" t="str">
        <x:v>Feedback-Directed Random Test Generation/Result_Round2/JacksonDatabind_81/result.json</x:v>
      </x:c>
      <x:c r="O1327" s="25" t="str">
        <x:v>Feedback-Directed Random Test Generation/Result_Round2/JacksonDatabind_81/result.json</x:v>
      </x:c>
      <x:c r="P1327"/>
      <x:c r="Q1327" s="21" t="str"/>
      <x:c r="R1327" s="21" t="str"/>
      <x:c r="S1327" s="21" t="str"/>
      <x:c r="T1327" s="17" t="str">
        <x:v>false</x:v>
      </x:c>
      <x:c r="U1327" s="17" t="str">
        <x:v>true</x:v>
      </x:c>
      <x:c r="V1327" s="17" t="str">
        <x:v>false</x:v>
      </x:c>
    </x:row>
    <x:row r="1328" ht="80" customHeight="1">
      <x:c r="A1328" s="25" t="str">
        <x:v>JacksonDatabind</x:v>
      </x:c>
      <x:c r="B1328" s="25" t="n">
        <x:v>82</x:v>
      </x:c>
      <x:c r="C1328" s="25" t="str">
        <x:v>Round2</x:v>
      </x:c>
      <x:c r="D1328" s="25" t="str">
        <x:v>NOT_REVEALING</x:v>
      </x:c>
      <x:c r="E1328" s="25" t="str">
        <x:v>N/A</x:v>
      </x:c>
      <x:c r="F1328" s="26" t="str">
        <x:v>Same saved validation suite passed on buggy and fixed</x:v>
      </x:c>
      <x:c r="G1328" s="25" t="str">
        <x:v>true</x:v>
      </x:c>
      <x:c r="H1328" s="25" t="str">
        <x:v>NOT_REVEALING</x:v>
      </x:c>
      <x:c r="I1328" s="25" t="str">
        <x:v>PASS</x:v>
      </x:c>
      <x:c r="J1328" s="25" t="str">
        <x:v>PASS</x:v>
      </x:c>
      <x:c r="K1328" s="25" t="n">
        <x:v>7</x:v>
      </x:c>
      <x:c r="L1328" s="27" t="b">
        <x:v>0</x:v>
      </x:c>
      <x:c r="M1328" s="25" t="str">
        <x:v>Feedback-Directed Random Test Generation/rounds/Round2/state/JacksonDatabind.json</x:v>
      </x:c>
      <x:c r="N1328" s="25" t="str">
        <x:v>Feedback-Directed Random Test Generation/Result_Round2/JacksonDatabind_82/result.json</x:v>
      </x:c>
      <x:c r="O1328" s="25" t="str">
        <x:v>Feedback-Directed Random Test Generation/Result_Round2/JacksonDatabind_82/result.json</x:v>
      </x:c>
      <x:c r="P1328"/>
      <x:c r="Q1328" s="21" t="str"/>
      <x:c r="R1328" s="21" t="str"/>
      <x:c r="S1328" s="21" t="str"/>
      <x:c r="T1328" s="17" t="str">
        <x:v>false</x:v>
      </x:c>
      <x:c r="U1328" s="17" t="str">
        <x:v>true</x:v>
      </x:c>
      <x:c r="V1328" s="17" t="str">
        <x:v>false</x:v>
      </x:c>
    </x:row>
    <x:row r="1329" ht="80" customHeight="1">
      <x:c r="A1329" s="25" t="str">
        <x:v>JacksonDatabind</x:v>
      </x:c>
      <x:c r="B1329" s="25" t="n">
        <x:v>83</x:v>
      </x:c>
      <x:c r="C1329" s="25" t="str">
        <x:v>Round2</x:v>
      </x:c>
      <x:c r="D1329" s="25" t="str">
        <x:v>NOT_REVEALING</x:v>
      </x:c>
      <x:c r="E1329" s="25" t="str">
        <x:v>N/A</x:v>
      </x:c>
      <x:c r="F1329" s="26" t="str">
        <x:v>Same saved validation suite passed on buggy and fixed</x:v>
      </x:c>
      <x:c r="G1329" s="25" t="str">
        <x:v>true</x:v>
      </x:c>
      <x:c r="H1329" s="25" t="str">
        <x:v>NOT_REVEALING</x:v>
      </x:c>
      <x:c r="I1329" s="25" t="str">
        <x:v>PASS</x:v>
      </x:c>
      <x:c r="J1329" s="25" t="str">
        <x:v>PASS</x:v>
      </x:c>
      <x:c r="K1329" s="25" t="n">
        <x:v>2</x:v>
      </x:c>
      <x:c r="L1329" s="27" t="b">
        <x:v>0</x:v>
      </x:c>
      <x:c r="M1329" s="25" t="str">
        <x:v>Feedback-Directed Random Test Generation/rounds/Round2/state/JacksonDatabind.json</x:v>
      </x:c>
      <x:c r="N1329" s="25" t="str">
        <x:v>Feedback-Directed Random Test Generation/Result_Round2/JacksonDatabind_83/result.json</x:v>
      </x:c>
      <x:c r="O1329" s="25" t="str">
        <x:v>Feedback-Directed Random Test Generation/Result_Round2/JacksonDatabind_83/result.json</x:v>
      </x:c>
      <x:c r="P1329"/>
      <x:c r="Q1329" s="21" t="str"/>
      <x:c r="R1329" s="21" t="str"/>
      <x:c r="S1329" s="21" t="str"/>
      <x:c r="T1329" s="17" t="str">
        <x:v>false</x:v>
      </x:c>
      <x:c r="U1329" s="17" t="str">
        <x:v>true</x:v>
      </x:c>
      <x:c r="V1329" s="17" t="str">
        <x:v>false</x:v>
      </x:c>
    </x:row>
    <x:row r="1330" ht="80" customHeight="1">
      <x:c r="A1330" s="25" t="str">
        <x:v>JacksonDatabind</x:v>
      </x:c>
      <x:c r="B1330" s="25" t="n">
        <x:v>84</x:v>
      </x:c>
      <x:c r="C1330" s="25" t="str">
        <x:v>Round2</x:v>
      </x:c>
      <x:c r="D1330" s="25" t="str">
        <x:v>NOT_REVEALING</x:v>
      </x:c>
      <x:c r="E1330" s="25" t="str">
        <x:v>N/A</x:v>
      </x:c>
      <x:c r="F1330" s="26" t="str">
        <x:v>Same saved validation suite passed on buggy and fixed</x:v>
      </x:c>
      <x:c r="G1330" s="25" t="str">
        <x:v>true</x:v>
      </x:c>
      <x:c r="H1330" s="25" t="str">
        <x:v>NOT_REVEALING</x:v>
      </x:c>
      <x:c r="I1330" s="25" t="str">
        <x:v>PASS</x:v>
      </x:c>
      <x:c r="J1330" s="25" t="str">
        <x:v>PASS</x:v>
      </x:c>
      <x:c r="K1330" s="25" t="n">
        <x:v>2</x:v>
      </x:c>
      <x:c r="L1330" s="27" t="b">
        <x:v>0</x:v>
      </x:c>
      <x:c r="M1330" s="25" t="str">
        <x:v>Feedback-Directed Random Test Generation/rounds/Round2/state/JacksonDatabind.json</x:v>
      </x:c>
      <x:c r="N1330" s="25" t="str">
        <x:v>Feedback-Directed Random Test Generation/Result_Round2/JacksonDatabind_84/result.json</x:v>
      </x:c>
      <x:c r="O1330" s="25" t="str">
        <x:v>Feedback-Directed Random Test Generation/Result_Round2/JacksonDatabind_84/result.json</x:v>
      </x:c>
      <x:c r="P1330"/>
      <x:c r="Q1330" s="21" t="str"/>
      <x:c r="R1330" s="21" t="str"/>
      <x:c r="S1330" s="21" t="str"/>
      <x:c r="T1330" s="17" t="str">
        <x:v>false</x:v>
      </x:c>
      <x:c r="U1330" s="17" t="str">
        <x:v>true</x:v>
      </x:c>
      <x:c r="V1330" s="17" t="str">
        <x:v>false</x:v>
      </x:c>
    </x:row>
    <x:row r="1331" ht="80" customHeight="1">
      <x:c r="A1331" s="25" t="str">
        <x:v>JacksonDatabind</x:v>
      </x:c>
      <x:c r="B1331" s="25" t="n">
        <x:v>85</x:v>
      </x:c>
      <x:c r="C1331" s="25" t="str">
        <x:v>Round2</x:v>
      </x:c>
      <x:c r="D1331" s="25" t="str">
        <x:v>NOT_REVEALING</x:v>
      </x:c>
      <x:c r="E1331" s="25" t="str">
        <x:v>N/A</x:v>
      </x:c>
      <x:c r="F1331" s="26" t="str">
        <x:v>Same saved validation suite passed on buggy and fixed</x:v>
      </x:c>
      <x:c r="G1331" s="25" t="str">
        <x:v>true</x:v>
      </x:c>
      <x:c r="H1331" s="25" t="str">
        <x:v>NOT_REVEALING</x:v>
      </x:c>
      <x:c r="I1331" s="25" t="str">
        <x:v>PASS</x:v>
      </x:c>
      <x:c r="J1331" s="25" t="str">
        <x:v>PASS</x:v>
      </x:c>
      <x:c r="K1331" s="25" t="n">
        <x:v>2</x:v>
      </x:c>
      <x:c r="L1331" s="27" t="b">
        <x:v>0</x:v>
      </x:c>
      <x:c r="M1331" s="25" t="str">
        <x:v>Feedback-Directed Random Test Generation/rounds/Round2/state/JacksonDatabind.json</x:v>
      </x:c>
      <x:c r="N1331" s="25" t="str">
        <x:v>Feedback-Directed Random Test Generation/Result_Round2/JacksonDatabind_85/result.json</x:v>
      </x:c>
      <x:c r="O1331" s="25" t="str">
        <x:v>Feedback-Directed Random Test Generation/Result_Round2/JacksonDatabind_85/result.json</x:v>
      </x:c>
      <x:c r="P1331"/>
      <x:c r="Q1331" s="21" t="str"/>
      <x:c r="R1331" s="21" t="str"/>
      <x:c r="S1331" s="21" t="str"/>
      <x:c r="T1331" s="17" t="str">
        <x:v>false</x:v>
      </x:c>
      <x:c r="U1331" s="17" t="str">
        <x:v>true</x:v>
      </x:c>
      <x:c r="V1331" s="17" t="str">
        <x:v>false</x:v>
      </x:c>
    </x:row>
    <x:row r="1332" ht="80" customHeight="1">
      <x:c r="A1332" s="25" t="str">
        <x:v>JacksonDatabind</x:v>
      </x:c>
      <x:c r="B1332" s="25" t="n">
        <x:v>86</x:v>
      </x:c>
      <x:c r="C1332" s="25" t="str">
        <x:v>Round2</x:v>
      </x:c>
      <x:c r="D1332" s="25" t="str">
        <x:v>NOT_REVEALING</x:v>
      </x:c>
      <x:c r="E1332" s="25" t="str">
        <x:v>N/A</x:v>
      </x:c>
      <x:c r="F1332" s="26" t="str">
        <x:v>Same saved validation suite passed on buggy and fixed</x:v>
      </x:c>
      <x:c r="G1332" s="25" t="str">
        <x:v>true</x:v>
      </x:c>
      <x:c r="H1332" s="25" t="str">
        <x:v>NOT_REVEALING</x:v>
      </x:c>
      <x:c r="I1332" s="25" t="str">
        <x:v>PASS</x:v>
      </x:c>
      <x:c r="J1332" s="25" t="str">
        <x:v>PASS</x:v>
      </x:c>
      <x:c r="K1332" s="25" t="n">
        <x:v>2</x:v>
      </x:c>
      <x:c r="L1332" s="27" t="b">
        <x:v>0</x:v>
      </x:c>
      <x:c r="M1332" s="25" t="str">
        <x:v>Feedback-Directed Random Test Generation/rounds/Round2/state/JacksonDatabind.json</x:v>
      </x:c>
      <x:c r="N1332" s="25" t="str">
        <x:v>Feedback-Directed Random Test Generation/Result_Round2/JacksonDatabind_86/result.json</x:v>
      </x:c>
      <x:c r="O1332" s="25" t="str">
        <x:v>Feedback-Directed Random Test Generation/Result_Round2/JacksonDatabind_86/result.json</x:v>
      </x:c>
      <x:c r="P1332"/>
      <x:c r="Q1332" s="21" t="str"/>
      <x:c r="R1332" s="21" t="str"/>
      <x:c r="S1332" s="21" t="str"/>
      <x:c r="T1332" s="17" t="str">
        <x:v>false</x:v>
      </x:c>
      <x:c r="U1332" s="17" t="str">
        <x:v>true</x:v>
      </x:c>
      <x:c r="V1332" s="17" t="str">
        <x:v>false</x:v>
      </x:c>
    </x:row>
    <x:row r="1333" ht="80" customHeight="1">
      <x:c r="A1333" s="25" t="str">
        <x:v>JacksonDatabind</x:v>
      </x:c>
      <x:c r="B1333" s="25" t="n">
        <x:v>87</x:v>
      </x:c>
      <x:c r="C1333" s="25" t="str">
        <x:v>Round2</x:v>
      </x:c>
      <x:c r="D1333" s="25" t="str">
        <x:v>FAIL</x:v>
      </x:c>
      <x:c r="E1333" s="25" t="str">
        <x:v>N/A</x:v>
      </x:c>
      <x:c r="F1333" s="26" t="str">
        <x:v>Latest same-round generation failed; older files/results are excluded</x:v>
      </x:c>
      <x:c r="G1333" s="25" t="str">
        <x:v>true</x:v>
      </x:c>
      <x:c r="H1333" s="25" t="str">
        <x:v>FAIL</x:v>
      </x:c>
      <x:c r="I1333" s="25"/>
      <x:c r="J1333" s="25"/>
      <x:c r="K1333" s="25" t="n">
        <x:v>0</x:v>
      </x:c>
      <x:c r="L1333" s="27" t="b">
        <x:v>1</x:v>
      </x:c>
      <x:c r="M1333" s="25" t="str">
        <x:v>Feedback-Directed Random Test Generation/rounds/Round2/state/JacksonDatabind.json</x:v>
      </x:c>
      <x:c r="N1333" s="25"/>
      <x:c r="O1333" s="25" t="str">
        <x:v>Feedback-Directed Random Test Generation/Result_Round2/JacksonDatabind_87/result.json</x:v>
      </x:c>
      <x:c r="P1333"/>
      <x:c r="Q1333" s="21" t="str"/>
      <x:c r="R1333" s="21" t="str"/>
      <x:c r="S1333" s="21" t="str"/>
      <x:c r="T1333" s="17" t="str">
        <x:v>false</x:v>
      </x:c>
      <x:c r="U1333" s="17" t="str">
        <x:v>false</x:v>
      </x:c>
      <x:c r="V1333" s="17" t="str">
        <x:v>false</x:v>
      </x:c>
    </x:row>
    <x:row r="1334" ht="80" customHeight="1">
      <x:c r="A1334" s="25" t="str">
        <x:v>JacksonDatabind</x:v>
      </x:c>
      <x:c r="B1334" s="25" t="n">
        <x:v>88</x:v>
      </x:c>
      <x:c r="C1334" s="25" t="str">
        <x:v>Round2</x:v>
      </x:c>
      <x:c r="D1334" s="25" t="str">
        <x:v>NOT_REVEALING</x:v>
      </x:c>
      <x:c r="E1334" s="25" t="str">
        <x:v>N/A</x:v>
      </x:c>
      <x:c r="F1334" s="26" t="str">
        <x:v>Same saved validation suite passed on buggy and fixed</x:v>
      </x:c>
      <x:c r="G1334" s="25" t="str">
        <x:v>true</x:v>
      </x:c>
      <x:c r="H1334" s="25" t="str">
        <x:v>NOT_REVEALING</x:v>
      </x:c>
      <x:c r="I1334" s="25" t="str">
        <x:v>PASS</x:v>
      </x:c>
      <x:c r="J1334" s="25" t="str">
        <x:v>PASS</x:v>
      </x:c>
      <x:c r="K1334" s="25" t="n">
        <x:v>2</x:v>
      </x:c>
      <x:c r="L1334" s="27" t="b">
        <x:v>0</x:v>
      </x:c>
      <x:c r="M1334" s="25" t="str">
        <x:v>Feedback-Directed Random Test Generation/rounds/Round2/state/JacksonDatabind.json</x:v>
      </x:c>
      <x:c r="N1334" s="25" t="str">
        <x:v>Feedback-Directed Random Test Generation/Result_Round2/JacksonDatabind_88/result.json</x:v>
      </x:c>
      <x:c r="O1334" s="25" t="str">
        <x:v>Feedback-Directed Random Test Generation/Result_Round2/JacksonDatabind_88/result.json</x:v>
      </x:c>
      <x:c r="P1334"/>
      <x:c r="Q1334" s="21" t="str"/>
      <x:c r="R1334" s="21" t="str"/>
      <x:c r="S1334" s="21" t="str"/>
      <x:c r="T1334" s="17" t="str">
        <x:v>false</x:v>
      </x:c>
      <x:c r="U1334" s="17" t="str">
        <x:v>true</x:v>
      </x:c>
      <x:c r="V1334" s="17" t="str">
        <x:v>false</x:v>
      </x:c>
    </x:row>
    <x:row r="1335" ht="80" customHeight="1">
      <x:c r="A1335" s="25" t="str">
        <x:v>JacksonDatabind</x:v>
      </x:c>
      <x:c r="B1335" s="25" t="n">
        <x:v>90</x:v>
      </x:c>
      <x:c r="C1335" s="25" t="str">
        <x:v>Round2</x:v>
      </x:c>
      <x:c r="D1335" s="25" t="str">
        <x:v>NOT_REVEALING</x:v>
      </x:c>
      <x:c r="E1335" s="25" t="str">
        <x:v>N/A</x:v>
      </x:c>
      <x:c r="F1335" s="26" t="str">
        <x:v>Same saved validation suite passed on buggy and fixed</x:v>
      </x:c>
      <x:c r="G1335" s="25" t="str">
        <x:v>true</x:v>
      </x:c>
      <x:c r="H1335" s="25" t="str">
        <x:v>NOT_REVEALING</x:v>
      </x:c>
      <x:c r="I1335" s="25" t="str">
        <x:v>PASS</x:v>
      </x:c>
      <x:c r="J1335" s="25" t="str">
        <x:v>PASS</x:v>
      </x:c>
      <x:c r="K1335" s="25" t="n">
        <x:v>7</x:v>
      </x:c>
      <x:c r="L1335" s="27" t="b">
        <x:v>0</x:v>
      </x:c>
      <x:c r="M1335" s="25" t="str">
        <x:v>Feedback-Directed Random Test Generation/rounds/Round2/state/JacksonDatabind.json</x:v>
      </x:c>
      <x:c r="N1335" s="25" t="str">
        <x:v>Feedback-Directed Random Test Generation/Result_Round2/JacksonDatabind_90/result.json</x:v>
      </x:c>
      <x:c r="O1335" s="25" t="str">
        <x:v>Feedback-Directed Random Test Generation/Result_Round2/JacksonDatabind_90/result.json</x:v>
      </x:c>
      <x:c r="P1335"/>
      <x:c r="Q1335" s="21" t="str"/>
      <x:c r="R1335" s="21" t="str"/>
      <x:c r="S1335" s="21" t="str"/>
      <x:c r="T1335" s="17" t="str">
        <x:v>false</x:v>
      </x:c>
      <x:c r="U1335" s="17" t="str">
        <x:v>true</x:v>
      </x:c>
      <x:c r="V1335" s="17" t="str">
        <x:v>false</x:v>
      </x:c>
    </x:row>
    <x:row r="1336" ht="80" customHeight="1">
      <x:c r="A1336" s="25" t="str">
        <x:v>JacksonDatabind</x:v>
      </x:c>
      <x:c r="B1336" s="25" t="n">
        <x:v>91</x:v>
      </x:c>
      <x:c r="C1336" s="25" t="str">
        <x:v>Round2</x:v>
      </x:c>
      <x:c r="D1336" s="25" t="str">
        <x:v>NOT_REVEALING</x:v>
      </x:c>
      <x:c r="E1336" s="25" t="str">
        <x:v>N/A</x:v>
      </x:c>
      <x:c r="F1336" s="26" t="str">
        <x:v>Same saved validation suite passed on buggy and fixed</x:v>
      </x:c>
      <x:c r="G1336" s="25" t="str">
        <x:v>true</x:v>
      </x:c>
      <x:c r="H1336" s="25" t="str">
        <x:v>NOT_REVEALING</x:v>
      </x:c>
      <x:c r="I1336" s="25" t="str">
        <x:v>PASS</x:v>
      </x:c>
      <x:c r="J1336" s="25" t="str">
        <x:v>PASS</x:v>
      </x:c>
      <x:c r="K1336" s="25" t="n">
        <x:v>12</x:v>
      </x:c>
      <x:c r="L1336" s="27" t="b">
        <x:v>0</x:v>
      </x:c>
      <x:c r="M1336" s="25" t="str">
        <x:v>Feedback-Directed Random Test Generation/rounds/Round2/state/JacksonDatabind.json</x:v>
      </x:c>
      <x:c r="N1336" s="25" t="str">
        <x:v>Feedback-Directed Random Test Generation/Result_Round2/JacksonDatabind_91/result.json</x:v>
      </x:c>
      <x:c r="O1336" s="25" t="str">
        <x:v>Feedback-Directed Random Test Generation/Result_Round2/JacksonDatabind_91/result.json</x:v>
      </x:c>
      <x:c r="P1336"/>
      <x:c r="Q1336" s="21" t="str"/>
      <x:c r="R1336" s="21" t="str"/>
      <x:c r="S1336" s="21" t="str"/>
      <x:c r="T1336" s="17" t="str">
        <x:v>false</x:v>
      </x:c>
      <x:c r="U1336" s="17" t="str">
        <x:v>true</x:v>
      </x:c>
      <x:c r="V1336" s="17" t="str">
        <x:v>false</x:v>
      </x:c>
    </x:row>
    <x:row r="1337" ht="80" customHeight="1">
      <x:c r="A1337" s="25" t="str">
        <x:v>JacksonDatabind</x:v>
      </x:c>
      <x:c r="B1337" s="25" t="n">
        <x:v>92</x:v>
      </x:c>
      <x:c r="C1337" s="25" t="str">
        <x:v>Round2</x:v>
      </x:c>
      <x:c r="D1337" s="25" t="str">
        <x:v>NOT_REVEALING</x:v>
      </x:c>
      <x:c r="E1337" s="25" t="str">
        <x:v>N/A</x:v>
      </x:c>
      <x:c r="F1337" s="26" t="str">
        <x:v>Same saved validation suite passed on buggy and fixed</x:v>
      </x:c>
      <x:c r="G1337" s="25" t="str">
        <x:v>true</x:v>
      </x:c>
      <x:c r="H1337" s="25" t="str">
        <x:v>NOT_REVEALING</x:v>
      </x:c>
      <x:c r="I1337" s="25" t="str">
        <x:v>PASS</x:v>
      </x:c>
      <x:c r="J1337" s="25" t="str">
        <x:v>PASS</x:v>
      </x:c>
      <x:c r="K1337" s="25" t="n">
        <x:v>7</x:v>
      </x:c>
      <x:c r="L1337" s="27" t="b">
        <x:v>0</x:v>
      </x:c>
      <x:c r="M1337" s="25" t="str">
        <x:v>Feedback-Directed Random Test Generation/rounds/Round2/state/JacksonDatabind.json</x:v>
      </x:c>
      <x:c r="N1337" s="25" t="str">
        <x:v>Feedback-Directed Random Test Generation/Result_Round2/JacksonDatabind_92/result.json</x:v>
      </x:c>
      <x:c r="O1337" s="25" t="str">
        <x:v>Feedback-Directed Random Test Generation/Result_Round2/JacksonDatabind_92/result.json</x:v>
      </x:c>
      <x:c r="P1337"/>
      <x:c r="Q1337" s="21" t="str"/>
      <x:c r="R1337" s="21" t="str"/>
      <x:c r="S1337" s="21" t="str"/>
      <x:c r="T1337" s="17" t="str">
        <x:v>false</x:v>
      </x:c>
      <x:c r="U1337" s="17" t="str">
        <x:v>true</x:v>
      </x:c>
      <x:c r="V1337" s="17" t="str">
        <x:v>false</x:v>
      </x:c>
    </x:row>
    <x:row r="1338" ht="80" customHeight="1">
      <x:c r="A1338" s="25" t="str">
        <x:v>JacksonDatabind</x:v>
      </x:c>
      <x:c r="B1338" s="25" t="n">
        <x:v>93</x:v>
      </x:c>
      <x:c r="C1338" s="25" t="str">
        <x:v>Round2</x:v>
      </x:c>
      <x:c r="D1338" s="25" t="str">
        <x:v>NOT_REVEALING</x:v>
      </x:c>
      <x:c r="E1338" s="25" t="str">
        <x:v>N/A</x:v>
      </x:c>
      <x:c r="F1338" s="26" t="str">
        <x:v>Same saved validation suite passed on buggy and fixed</x:v>
      </x:c>
      <x:c r="G1338" s="25" t="str">
        <x:v>true</x:v>
      </x:c>
      <x:c r="H1338" s="25" t="str">
        <x:v>NOT_REVEALING</x:v>
      </x:c>
      <x:c r="I1338" s="25" t="str">
        <x:v>PASS</x:v>
      </x:c>
      <x:c r="J1338" s="25" t="str">
        <x:v>PASS</x:v>
      </x:c>
      <x:c r="K1338" s="25" t="n">
        <x:v>8</x:v>
      </x:c>
      <x:c r="L1338" s="27" t="b">
        <x:v>0</x:v>
      </x:c>
      <x:c r="M1338" s="25" t="str">
        <x:v>Feedback-Directed Random Test Generation/rounds/Round2/state/JacksonDatabind.json</x:v>
      </x:c>
      <x:c r="N1338" s="25" t="str">
        <x:v>Feedback-Directed Random Test Generation/Result_Round2/JacksonDatabind_93/result.json</x:v>
      </x:c>
      <x:c r="O1338" s="25" t="str">
        <x:v>Feedback-Directed Random Test Generation/Result_Round2/JacksonDatabind_93/result.json</x:v>
      </x:c>
      <x:c r="P1338"/>
      <x:c r="Q1338" s="21" t="str"/>
      <x:c r="R1338" s="21" t="str"/>
      <x:c r="S1338" s="21" t="str"/>
      <x:c r="T1338" s="17" t="str">
        <x:v>false</x:v>
      </x:c>
      <x:c r="U1338" s="17" t="str">
        <x:v>true</x:v>
      </x:c>
      <x:c r="V1338" s="17" t="str">
        <x:v>false</x:v>
      </x:c>
    </x:row>
    <x:row r="1339" ht="80" customHeight="1">
      <x:c r="A1339" s="25" t="str">
        <x:v>JacksonDatabind</x:v>
      </x:c>
      <x:c r="B1339" s="25" t="n">
        <x:v>94</x:v>
      </x:c>
      <x:c r="C1339" s="25" t="str">
        <x:v>Round2</x:v>
      </x:c>
      <x:c r="D1339" s="25" t="str">
        <x:v>NOT_REVEALING</x:v>
      </x:c>
      <x:c r="E1339" s="25" t="str">
        <x:v>N/A</x:v>
      </x:c>
      <x:c r="F1339" s="26" t="str">
        <x:v>Same saved validation suite passed on buggy and fixed</x:v>
      </x:c>
      <x:c r="G1339" s="25" t="str">
        <x:v>true</x:v>
      </x:c>
      <x:c r="H1339" s="25" t="str">
        <x:v>NOT_REVEALING</x:v>
      </x:c>
      <x:c r="I1339" s="25" t="str">
        <x:v>PASS</x:v>
      </x:c>
      <x:c r="J1339" s="25" t="str">
        <x:v>PASS</x:v>
      </x:c>
      <x:c r="K1339" s="25" t="n">
        <x:v>8</x:v>
      </x:c>
      <x:c r="L1339" s="27" t="b">
        <x:v>0</x:v>
      </x:c>
      <x:c r="M1339" s="25" t="str">
        <x:v>Feedback-Directed Random Test Generation/rounds/Round2/state/JacksonDatabind.json</x:v>
      </x:c>
      <x:c r="N1339" s="25" t="str">
        <x:v>Feedback-Directed Random Test Generation/Result_Round2/JacksonDatabind_94/result.json</x:v>
      </x:c>
      <x:c r="O1339" s="25" t="str">
        <x:v>Feedback-Directed Random Test Generation/Result_Round2/JacksonDatabind_94/result.json</x:v>
      </x:c>
      <x:c r="P1339"/>
      <x:c r="Q1339" s="21" t="str"/>
      <x:c r="R1339" s="21" t="str"/>
      <x:c r="S1339" s="21" t="str"/>
      <x:c r="T1339" s="17" t="str">
        <x:v>false</x:v>
      </x:c>
      <x:c r="U1339" s="17" t="str">
        <x:v>true</x:v>
      </x:c>
      <x:c r="V1339" s="17" t="str">
        <x:v>false</x:v>
      </x:c>
    </x:row>
    <x:row r="1340" ht="80" customHeight="1">
      <x:c r="A1340" s="25" t="str">
        <x:v>JacksonDatabind</x:v>
      </x:c>
      <x:c r="B1340" s="25" t="n">
        <x:v>95</x:v>
      </x:c>
      <x:c r="C1340" s="25" t="str">
        <x:v>Round2</x:v>
      </x:c>
      <x:c r="D1340" s="25" t="str">
        <x:v>NOT_REVEALING</x:v>
      </x:c>
      <x:c r="E1340" s="25" t="str">
        <x:v>N/A</x:v>
      </x:c>
      <x:c r="F1340" s="26" t="str">
        <x:v>Same saved validation suite passed on buggy and fixed</x:v>
      </x:c>
      <x:c r="G1340" s="25" t="str">
        <x:v>true</x:v>
      </x:c>
      <x:c r="H1340" s="25" t="str">
        <x:v>NOT_REVEALING</x:v>
      </x:c>
      <x:c r="I1340" s="25" t="str">
        <x:v>PASS</x:v>
      </x:c>
      <x:c r="J1340" s="25" t="str">
        <x:v>PASS</x:v>
      </x:c>
      <x:c r="K1340" s="25" t="n">
        <x:v>3</x:v>
      </x:c>
      <x:c r="L1340" s="27" t="b">
        <x:v>0</x:v>
      </x:c>
      <x:c r="M1340" s="25" t="str">
        <x:v>Feedback-Directed Random Test Generation/rounds/Round2/state/JacksonDatabind.json</x:v>
      </x:c>
      <x:c r="N1340" s="25" t="str">
        <x:v>Feedback-Directed Random Test Generation/Result_Round2/JacksonDatabind_95/result.json</x:v>
      </x:c>
      <x:c r="O1340" s="25" t="str">
        <x:v>Feedback-Directed Random Test Generation/Result_Round2/JacksonDatabind_95/result.json</x:v>
      </x:c>
      <x:c r="P1340"/>
      <x:c r="Q1340" s="21" t="str"/>
      <x:c r="R1340" s="21" t="str"/>
      <x:c r="S1340" s="21" t="str"/>
      <x:c r="T1340" s="17" t="str">
        <x:v>false</x:v>
      </x:c>
      <x:c r="U1340" s="17" t="str">
        <x:v>true</x:v>
      </x:c>
      <x:c r="V1340" s="17" t="str">
        <x:v>false</x:v>
      </x:c>
    </x:row>
    <x:row r="1341" ht="80" customHeight="1">
      <x:c r="A1341" s="25" t="str">
        <x:v>JacksonDatabind</x:v>
      </x:c>
      <x:c r="B1341" s="25" t="n">
        <x:v>96</x:v>
      </x:c>
      <x:c r="C1341" s="25" t="str">
        <x:v>Round2</x:v>
      </x:c>
      <x:c r="D1341" s="25" t="str">
        <x:v>NOT_REVEALING</x:v>
      </x:c>
      <x:c r="E1341" s="25" t="str">
        <x:v>N/A</x:v>
      </x:c>
      <x:c r="F1341" s="26" t="str">
        <x:v>Same saved validation suite passed on buggy and fixed</x:v>
      </x:c>
      <x:c r="G1341" s="25" t="str">
        <x:v>true</x:v>
      </x:c>
      <x:c r="H1341" s="25" t="str">
        <x:v>NOT_REVEALING</x:v>
      </x:c>
      <x:c r="I1341" s="25" t="str">
        <x:v>PASS</x:v>
      </x:c>
      <x:c r="J1341" s="25" t="str">
        <x:v>PASS</x:v>
      </x:c>
      <x:c r="K1341" s="25" t="n">
        <x:v>2</x:v>
      </x:c>
      <x:c r="L1341" s="27" t="b">
        <x:v>0</x:v>
      </x:c>
      <x:c r="M1341" s="25" t="str">
        <x:v>Feedback-Directed Random Test Generation/rounds/Round2/state/JacksonDatabind.json</x:v>
      </x:c>
      <x:c r="N1341" s="25" t="str">
        <x:v>Feedback-Directed Random Test Generation/Result_Round2/JacksonDatabind_96/result.json</x:v>
      </x:c>
      <x:c r="O1341" s="25" t="str">
        <x:v>Feedback-Directed Random Test Generation/Result_Round2/JacksonDatabind_96/result.json</x:v>
      </x:c>
      <x:c r="P1341"/>
      <x:c r="Q1341" s="21" t="str"/>
      <x:c r="R1341" s="21" t="str"/>
      <x:c r="S1341" s="21" t="str"/>
      <x:c r="T1341" s="17" t="str">
        <x:v>false</x:v>
      </x:c>
      <x:c r="U1341" s="17" t="str">
        <x:v>true</x:v>
      </x:c>
      <x:c r="V1341" s="17" t="str">
        <x:v>false</x:v>
      </x:c>
    </x:row>
    <x:row r="1342" ht="80" customHeight="1">
      <x:c r="A1342" s="25" t="str">
        <x:v>JacksonDatabind</x:v>
      </x:c>
      <x:c r="B1342" s="25" t="n">
        <x:v>97</x:v>
      </x:c>
      <x:c r="C1342" s="25" t="str">
        <x:v>Round2</x:v>
      </x:c>
      <x:c r="D1342" s="25" t="str">
        <x:v>NOT_REVEALING</x:v>
      </x:c>
      <x:c r="E1342" s="25" t="str">
        <x:v>N/A</x:v>
      </x:c>
      <x:c r="F1342" s="26" t="str">
        <x:v>Same saved validation suite passed on buggy and fixed</x:v>
      </x:c>
      <x:c r="G1342" s="25" t="str">
        <x:v>true</x:v>
      </x:c>
      <x:c r="H1342" s="25" t="str">
        <x:v>NOT_REVEALING</x:v>
      </x:c>
      <x:c r="I1342" s="25" t="str">
        <x:v>PASS</x:v>
      </x:c>
      <x:c r="J1342" s="25" t="str">
        <x:v>PASS</x:v>
      </x:c>
      <x:c r="K1342" s="25" t="n">
        <x:v>9</x:v>
      </x:c>
      <x:c r="L1342" s="27" t="b">
        <x:v>0</x:v>
      </x:c>
      <x:c r="M1342" s="25" t="str">
        <x:v>Feedback-Directed Random Test Generation/rounds/Round2/state/JacksonDatabind.json</x:v>
      </x:c>
      <x:c r="N1342" s="25" t="str">
        <x:v>Feedback-Directed Random Test Generation/Result_Round2/JacksonDatabind_97/result.json</x:v>
      </x:c>
      <x:c r="O1342" s="25" t="str">
        <x:v>Feedback-Directed Random Test Generation/Result_Round2/JacksonDatabind_97/result.json</x:v>
      </x:c>
      <x:c r="P1342"/>
      <x:c r="Q1342" s="21" t="str"/>
      <x:c r="R1342" s="21" t="str"/>
      <x:c r="S1342" s="21" t="str"/>
      <x:c r="T1342" s="17" t="str">
        <x:v>false</x:v>
      </x:c>
      <x:c r="U1342" s="17" t="str">
        <x:v>true</x:v>
      </x:c>
      <x:c r="V1342" s="17" t="str">
        <x:v>false</x:v>
      </x:c>
    </x:row>
    <x:row r="1343" ht="80" customHeight="1">
      <x:c r="A1343" s="25" t="str">
        <x:v>JacksonDatabind</x:v>
      </x:c>
      <x:c r="B1343" s="25" t="n">
        <x:v>98</x:v>
      </x:c>
      <x:c r="C1343" s="25" t="str">
        <x:v>Round2</x:v>
      </x:c>
      <x:c r="D1343" s="25" t="str">
        <x:v>NOT_REVEALING</x:v>
      </x:c>
      <x:c r="E1343" s="25" t="str">
        <x:v>N/A</x:v>
      </x:c>
      <x:c r="F1343" s="26" t="str">
        <x:v>Same saved validation suite passed on buggy and fixed</x:v>
      </x:c>
      <x:c r="G1343" s="25" t="str">
        <x:v>true</x:v>
      </x:c>
      <x:c r="H1343" s="25" t="str">
        <x:v>NOT_REVEALING</x:v>
      </x:c>
      <x:c r="I1343" s="25" t="str">
        <x:v>PASS</x:v>
      </x:c>
      <x:c r="J1343" s="25" t="str">
        <x:v>PASS</x:v>
      </x:c>
      <x:c r="K1343" s="25" t="n">
        <x:v>7</x:v>
      </x:c>
      <x:c r="L1343" s="27" t="b">
        <x:v>0</x:v>
      </x:c>
      <x:c r="M1343" s="25" t="str">
        <x:v>Feedback-Directed Random Test Generation/rounds/Round2/state/JacksonDatabind.json</x:v>
      </x:c>
      <x:c r="N1343" s="25" t="str">
        <x:v>Feedback-Directed Random Test Generation/Result_Round2/JacksonDatabind_98/result.json</x:v>
      </x:c>
      <x:c r="O1343" s="25" t="str">
        <x:v>Feedback-Directed Random Test Generation/Result_Round2/JacksonDatabind_98/result.json</x:v>
      </x:c>
      <x:c r="P1343"/>
      <x:c r="Q1343" s="21" t="str"/>
      <x:c r="R1343" s="21" t="str"/>
      <x:c r="S1343" s="21" t="str"/>
      <x:c r="T1343" s="17" t="str">
        <x:v>false</x:v>
      </x:c>
      <x:c r="U1343" s="17" t="str">
        <x:v>true</x:v>
      </x:c>
      <x:c r="V1343" s="17" t="str">
        <x:v>false</x:v>
      </x:c>
    </x:row>
    <x:row r="1344" ht="80" customHeight="1">
      <x:c r="A1344" s="25" t="str">
        <x:v>JacksonDatabind</x:v>
      </x:c>
      <x:c r="B1344" s="25" t="n">
        <x:v>99</x:v>
      </x:c>
      <x:c r="C1344" s="25" t="str">
        <x:v>Round2</x:v>
      </x:c>
      <x:c r="D1344" s="25" t="str">
        <x:v>NOT_REVEALING</x:v>
      </x:c>
      <x:c r="E1344" s="25" t="str">
        <x:v>N/A</x:v>
      </x:c>
      <x:c r="F1344" s="26" t="str">
        <x:v>Same saved validation suite passed on buggy and fixed</x:v>
      </x:c>
      <x:c r="G1344" s="25" t="str">
        <x:v>true</x:v>
      </x:c>
      <x:c r="H1344" s="25" t="str">
        <x:v>NOT_REVEALING</x:v>
      </x:c>
      <x:c r="I1344" s="25" t="str">
        <x:v>PASS</x:v>
      </x:c>
      <x:c r="J1344" s="25" t="str">
        <x:v>PASS</x:v>
      </x:c>
      <x:c r="K1344" s="25" t="n">
        <x:v>2</x:v>
      </x:c>
      <x:c r="L1344" s="27" t="b">
        <x:v>0</x:v>
      </x:c>
      <x:c r="M1344" s="25" t="str">
        <x:v>Feedback-Directed Random Test Generation/rounds/Round2/state/JacksonDatabind.json</x:v>
      </x:c>
      <x:c r="N1344" s="25" t="str">
        <x:v>Feedback-Directed Random Test Generation/Result_Round2/JacksonDatabind_99/result.json</x:v>
      </x:c>
      <x:c r="O1344" s="25" t="str">
        <x:v>Feedback-Directed Random Test Generation/Result_Round2/JacksonDatabind_99/result.json</x:v>
      </x:c>
      <x:c r="P1344"/>
      <x:c r="Q1344" s="21" t="str"/>
      <x:c r="R1344" s="21" t="str"/>
      <x:c r="S1344" s="21" t="str"/>
      <x:c r="T1344" s="17" t="str">
        <x:v>false</x:v>
      </x:c>
      <x:c r="U1344" s="17" t="str">
        <x:v>true</x:v>
      </x:c>
      <x:c r="V1344" s="17" t="str">
        <x:v>false</x:v>
      </x:c>
    </x:row>
    <x:row r="1345" ht="80" customHeight="1">
      <x:c r="A1345" s="25" t="str">
        <x:v>JacksonDatabind</x:v>
      </x:c>
      <x:c r="B1345" s="25" t="n">
        <x:v>100</x:v>
      </x:c>
      <x:c r="C1345" s="25" t="str">
        <x:v>Round2</x:v>
      </x:c>
      <x:c r="D1345" s="25" t="str">
        <x:v>NOT_REVEALING</x:v>
      </x:c>
      <x:c r="E1345" s="25" t="str">
        <x:v>N/A</x:v>
      </x:c>
      <x:c r="F1345" s="26" t="str">
        <x:v>Same saved validation suite passed on buggy and fixed</x:v>
      </x:c>
      <x:c r="G1345" s="25" t="str">
        <x:v>true</x:v>
      </x:c>
      <x:c r="H1345" s="25" t="str">
        <x:v>NOT_REVEALING</x:v>
      </x:c>
      <x:c r="I1345" s="25" t="str">
        <x:v>PASS</x:v>
      </x:c>
      <x:c r="J1345" s="25" t="str">
        <x:v>PASS</x:v>
      </x:c>
      <x:c r="K1345" s="25" t="n">
        <x:v>2</x:v>
      </x:c>
      <x:c r="L1345" s="27" t="b">
        <x:v>0</x:v>
      </x:c>
      <x:c r="M1345" s="25" t="str">
        <x:v>Feedback-Directed Random Test Generation/rounds/Round2/state/JacksonDatabind.json</x:v>
      </x:c>
      <x:c r="N1345" s="25" t="str">
        <x:v>Feedback-Directed Random Test Generation/Result_Round2/JacksonDatabind_100/result.json</x:v>
      </x:c>
      <x:c r="O1345" s="25" t="str">
        <x:v>Feedback-Directed Random Test Generation/Result_Round2/JacksonDatabind_100/result.json</x:v>
      </x:c>
      <x:c r="P1345"/>
      <x:c r="Q1345" s="21" t="str"/>
      <x:c r="R1345" s="21" t="str"/>
      <x:c r="S1345" s="21" t="str"/>
      <x:c r="T1345" s="17" t="str">
        <x:v>false</x:v>
      </x:c>
      <x:c r="U1345" s="17" t="str">
        <x:v>true</x:v>
      </x:c>
      <x:c r="V1345" s="17" t="str">
        <x:v>false</x:v>
      </x:c>
    </x:row>
    <x:row r="1346" ht="80" customHeight="1">
      <x:c r="A1346" s="25" t="str">
        <x:v>JacksonDatabind</x:v>
      </x:c>
      <x:c r="B1346" s="25" t="n">
        <x:v>101</x:v>
      </x:c>
      <x:c r="C1346" s="25" t="str">
        <x:v>Round2</x:v>
      </x:c>
      <x:c r="D1346" s="25" t="str">
        <x:v>NOT_REVEALING</x:v>
      </x:c>
      <x:c r="E1346" s="25" t="str">
        <x:v>N/A</x:v>
      </x:c>
      <x:c r="F1346" s="26" t="str">
        <x:v>Same saved validation suite passed on buggy and fixed</x:v>
      </x:c>
      <x:c r="G1346" s="25" t="str">
        <x:v>true</x:v>
      </x:c>
      <x:c r="H1346" s="25" t="str">
        <x:v>NOT_REVEALING</x:v>
      </x:c>
      <x:c r="I1346" s="25" t="str">
        <x:v>PASS</x:v>
      </x:c>
      <x:c r="J1346" s="25" t="str">
        <x:v>PASS</x:v>
      </x:c>
      <x:c r="K1346" s="25" t="n">
        <x:v>2</x:v>
      </x:c>
      <x:c r="L1346" s="27" t="b">
        <x:v>0</x:v>
      </x:c>
      <x:c r="M1346" s="25" t="str">
        <x:v>Feedback-Directed Random Test Generation/rounds/Round2/state/JacksonDatabind.json</x:v>
      </x:c>
      <x:c r="N1346" s="25" t="str">
        <x:v>Feedback-Directed Random Test Generation/Result_Round2/JacksonDatabind_101/result.json</x:v>
      </x:c>
      <x:c r="O1346" s="25" t="str">
        <x:v>Feedback-Directed Random Test Generation/Result_Round2/JacksonDatabind_101/result.json</x:v>
      </x:c>
      <x:c r="P1346"/>
      <x:c r="Q1346" s="21" t="str"/>
      <x:c r="R1346" s="21" t="str"/>
      <x:c r="S1346" s="21" t="str"/>
      <x:c r="T1346" s="17" t="str">
        <x:v>false</x:v>
      </x:c>
      <x:c r="U1346" s="17" t="str">
        <x:v>true</x:v>
      </x:c>
      <x:c r="V1346" s="17" t="str">
        <x:v>false</x:v>
      </x:c>
    </x:row>
    <x:row r="1347" ht="80" customHeight="1">
      <x:c r="A1347" s="25" t="str">
        <x:v>JacksonDatabind</x:v>
      </x:c>
      <x:c r="B1347" s="25" t="n">
        <x:v>102</x:v>
      </x:c>
      <x:c r="C1347" s="25" t="str">
        <x:v>Round2</x:v>
      </x:c>
      <x:c r="D1347" s="25" t="str">
        <x:v>NOT_REVEALING</x:v>
      </x:c>
      <x:c r="E1347" s="25" t="str">
        <x:v>N/A</x:v>
      </x:c>
      <x:c r="F1347" s="26" t="str">
        <x:v>Same saved validation suite passed on buggy and fixed</x:v>
      </x:c>
      <x:c r="G1347" s="25" t="str">
        <x:v>true</x:v>
      </x:c>
      <x:c r="H1347" s="25" t="str">
        <x:v>NOT_REVEALING</x:v>
      </x:c>
      <x:c r="I1347" s="25" t="str">
        <x:v>PASS</x:v>
      </x:c>
      <x:c r="J1347" s="25" t="str">
        <x:v>PASS</x:v>
      </x:c>
      <x:c r="K1347" s="25" t="n">
        <x:v>2</x:v>
      </x:c>
      <x:c r="L1347" s="27" t="b">
        <x:v>0</x:v>
      </x:c>
      <x:c r="M1347" s="25" t="str">
        <x:v>Feedback-Directed Random Test Generation/rounds/Round2/state/JacksonDatabind.json</x:v>
      </x:c>
      <x:c r="N1347" s="25" t="str">
        <x:v>Feedback-Directed Random Test Generation/Result_Round2/JacksonDatabind_102/result.json</x:v>
      </x:c>
      <x:c r="O1347" s="25" t="str">
        <x:v>Feedback-Directed Random Test Generation/Result_Round2/JacksonDatabind_102/result.json</x:v>
      </x:c>
      <x:c r="P1347"/>
      <x:c r="Q1347" s="21" t="str"/>
      <x:c r="R1347" s="21" t="str"/>
      <x:c r="S1347" s="21" t="str"/>
      <x:c r="T1347" s="17" t="str">
        <x:v>false</x:v>
      </x:c>
      <x:c r="U1347" s="17" t="str">
        <x:v>true</x:v>
      </x:c>
      <x:c r="V1347" s="17" t="str">
        <x:v>false</x:v>
      </x:c>
    </x:row>
    <x:row r="1348" ht="80" customHeight="1">
      <x:c r="A1348" s="25" t="str">
        <x:v>JacksonDatabind</x:v>
      </x:c>
      <x:c r="B1348" s="25" t="n">
        <x:v>103</x:v>
      </x:c>
      <x:c r="C1348" s="25" t="str">
        <x:v>Round2</x:v>
      </x:c>
      <x:c r="D1348" s="25" t="str">
        <x:v>INCONCLUSIVE</x:v>
      </x:c>
      <x:c r="E1348" s="25" t="str">
        <x:v>N/A</x:v>
      </x:c>
      <x:c r="F1348" s="26" t="str">
        <x:v>Fixed also failed; assertion failure cannot be attributed to this bug; Assertions failed with measured coverage; paired execution and stage checks determine status</x:v>
      </x:c>
      <x:c r="G1348" s="25" t="str">
        <x:v>true</x:v>
      </x:c>
      <x:c r="H1348" s="25" t="str">
        <x:v>INCONCLUSIVE</x:v>
      </x:c>
      <x:c r="I1348" s="25" t="str">
        <x:v>FAIL</x:v>
      </x:c>
      <x:c r="J1348" s="25" t="str">
        <x:v>FAIL</x:v>
      </x:c>
      <x:c r="K1348" s="25" t="n">
        <x:v>7</x:v>
      </x:c>
      <x:c r="L1348" s="27" t="b">
        <x:v>0</x:v>
      </x:c>
      <x:c r="M1348" s="25" t="str">
        <x:v>Feedback-Directed Random Test Generation/rounds/Round2/state/JacksonDatabind.json</x:v>
      </x:c>
      <x:c r="N1348" s="25" t="str">
        <x:v>Feedback-Directed Random Test Generation/Result_Round2/JacksonDatabind_103/result.json</x:v>
      </x:c>
      <x:c r="O1348" s="25" t="str">
        <x:v>Feedback-Directed Random Test Generation/Result_Round2/JacksonDatabind_103/result.json</x:v>
      </x:c>
      <x:c r="P1348"/>
      <x:c r="Q1348" s="21" t="str"/>
      <x:c r="R1348" s="21" t="str"/>
      <x:c r="S1348" s="21" t="str"/>
      <x:c r="T1348" s="17" t="str">
        <x:v>false</x:v>
      </x:c>
      <x:c r="U1348" s="17" t="str">
        <x:v>true</x:v>
      </x:c>
      <x:c r="V1348" s="17" t="str">
        <x:v>false</x:v>
      </x:c>
    </x:row>
    <x:row r="1349" ht="80" customHeight="1">
      <x:c r="A1349" s="25" t="str">
        <x:v>JacksonDatabind</x:v>
      </x:c>
      <x:c r="B1349" s="25" t="n">
        <x:v>104</x:v>
      </x:c>
      <x:c r="C1349" s="25" t="str">
        <x:v>Round2</x:v>
      </x:c>
      <x:c r="D1349" s="25" t="str">
        <x:v>INCONCLUSIVE</x:v>
      </x:c>
      <x:c r="E1349" s="25" t="str">
        <x:v>N/A</x:v>
      </x:c>
      <x:c r="F1349" s="26" t="str">
        <x:v>Fixed also failed; assertion failure cannot be attributed to this bug; Assertions failed with measured coverage; paired execution and stage checks determine status</x:v>
      </x:c>
      <x:c r="G1349" s="25" t="str">
        <x:v>true</x:v>
      </x:c>
      <x:c r="H1349" s="25" t="str">
        <x:v>INCONCLUSIVE</x:v>
      </x:c>
      <x:c r="I1349" s="25" t="str">
        <x:v>FAIL</x:v>
      </x:c>
      <x:c r="J1349" s="25" t="str">
        <x:v>FAIL</x:v>
      </x:c>
      <x:c r="K1349" s="25" t="n">
        <x:v>10</x:v>
      </x:c>
      <x:c r="L1349" s="27" t="b">
        <x:v>0</x:v>
      </x:c>
      <x:c r="M1349" s="25" t="str">
        <x:v>Feedback-Directed Random Test Generation/rounds/Round2/state/JacksonDatabind.json</x:v>
      </x:c>
      <x:c r="N1349" s="25" t="str">
        <x:v>Feedback-Directed Random Test Generation/Result_Round2/JacksonDatabind_104/result.json</x:v>
      </x:c>
      <x:c r="O1349" s="25" t="str">
        <x:v>Feedback-Directed Random Test Generation/Result_Round2/JacksonDatabind_104/result.json</x:v>
      </x:c>
      <x:c r="P1349"/>
      <x:c r="Q1349" s="21" t="str"/>
      <x:c r="R1349" s="21" t="str"/>
      <x:c r="S1349" s="21" t="str"/>
      <x:c r="T1349" s="17" t="str">
        <x:v>false</x:v>
      </x:c>
      <x:c r="U1349" s="17" t="str">
        <x:v>true</x:v>
      </x:c>
      <x:c r="V1349" s="17" t="str">
        <x:v>false</x:v>
      </x:c>
    </x:row>
    <x:row r="1350" ht="80" customHeight="1">
      <x:c r="A1350" s="25" t="str">
        <x:v>JacksonDatabind</x:v>
      </x:c>
      <x:c r="B1350" s="25" t="n">
        <x:v>105</x:v>
      </x:c>
      <x:c r="C1350" s="25" t="str">
        <x:v>Round2</x:v>
      </x:c>
      <x:c r="D1350" s="25" t="str">
        <x:v>NOT_REVEALING</x:v>
      </x:c>
      <x:c r="E1350" s="25" t="str">
        <x:v>N/A</x:v>
      </x:c>
      <x:c r="F1350" s="26" t="str">
        <x:v>Same saved validation suite passed on buggy and fixed</x:v>
      </x:c>
      <x:c r="G1350" s="25" t="str">
        <x:v>true</x:v>
      </x:c>
      <x:c r="H1350" s="25" t="str">
        <x:v>NOT_REVEALING</x:v>
      </x:c>
      <x:c r="I1350" s="25" t="str">
        <x:v>PASS</x:v>
      </x:c>
      <x:c r="J1350" s="25" t="str">
        <x:v>PASS</x:v>
      </x:c>
      <x:c r="K1350" s="25" t="n">
        <x:v>2</x:v>
      </x:c>
      <x:c r="L1350" s="27" t="b">
        <x:v>0</x:v>
      </x:c>
      <x:c r="M1350" s="25" t="str">
        <x:v>Feedback-Directed Random Test Generation/rounds/Round2/state/JacksonDatabind.json</x:v>
      </x:c>
      <x:c r="N1350" s="25" t="str">
        <x:v>Feedback-Directed Random Test Generation/Result_Round2/JacksonDatabind_105/result.json</x:v>
      </x:c>
      <x:c r="O1350" s="25" t="str">
        <x:v>Feedback-Directed Random Test Generation/Result_Round2/JacksonDatabind_105/result.json</x:v>
      </x:c>
      <x:c r="P1350"/>
      <x:c r="Q1350" s="21" t="str"/>
      <x:c r="R1350" s="21" t="str"/>
      <x:c r="S1350" s="21" t="str"/>
      <x:c r="T1350" s="17" t="str">
        <x:v>false</x:v>
      </x:c>
      <x:c r="U1350" s="17" t="str">
        <x:v>true</x:v>
      </x:c>
      <x:c r="V1350" s="17" t="str">
        <x:v>false</x:v>
      </x:c>
    </x:row>
    <x:row r="1351" ht="80" customHeight="1">
      <x:c r="A1351" s="25" t="str">
        <x:v>JacksonDatabind</x:v>
      </x:c>
      <x:c r="B1351" s="25" t="n">
        <x:v>106</x:v>
      </x:c>
      <x:c r="C1351" s="25" t="str">
        <x:v>Round2</x:v>
      </x:c>
      <x:c r="D1351" s="25" t="str">
        <x:v>NOT_REVEALING</x:v>
      </x:c>
      <x:c r="E1351" s="25" t="str">
        <x:v>N/A</x:v>
      </x:c>
      <x:c r="F1351" s="26" t="str">
        <x:v>Same saved validation suite passed on buggy and fixed</x:v>
      </x:c>
      <x:c r="G1351" s="25" t="str">
        <x:v>true</x:v>
      </x:c>
      <x:c r="H1351" s="25" t="str">
        <x:v>NOT_REVEALING</x:v>
      </x:c>
      <x:c r="I1351" s="25" t="str">
        <x:v>PASS</x:v>
      </x:c>
      <x:c r="J1351" s="25" t="str">
        <x:v>PASS</x:v>
      </x:c>
      <x:c r="K1351" s="25" t="n">
        <x:v>2</x:v>
      </x:c>
      <x:c r="L1351" s="27" t="b">
        <x:v>0</x:v>
      </x:c>
      <x:c r="M1351" s="25" t="str">
        <x:v>Feedback-Directed Random Test Generation/rounds/Round2/state/JacksonDatabind.json</x:v>
      </x:c>
      <x:c r="N1351" s="25" t="str">
        <x:v>Feedback-Directed Random Test Generation/Result_Round2/JacksonDatabind_106/result.json</x:v>
      </x:c>
      <x:c r="O1351" s="25" t="str">
        <x:v>Feedback-Directed Random Test Generation/Result_Round2/JacksonDatabind_106/result.json</x:v>
      </x:c>
      <x:c r="P1351"/>
      <x:c r="Q1351" s="21" t="str"/>
      <x:c r="R1351" s="21" t="str"/>
      <x:c r="S1351" s="21" t="str"/>
      <x:c r="T1351" s="17" t="str">
        <x:v>false</x:v>
      </x:c>
      <x:c r="U1351" s="17" t="str">
        <x:v>true</x:v>
      </x:c>
      <x:c r="V1351" s="17" t="str">
        <x:v>false</x:v>
      </x:c>
    </x:row>
    <x:row r="1352" ht="80" customHeight="1">
      <x:c r="A1352" s="25" t="str">
        <x:v>JacksonDatabind</x:v>
      </x:c>
      <x:c r="B1352" s="25" t="n">
        <x:v>107</x:v>
      </x:c>
      <x:c r="C1352" s="25" t="str">
        <x:v>Round2</x:v>
      </x:c>
      <x:c r="D1352" s="25" t="str">
        <x:v>NOT_REVEALING</x:v>
      </x:c>
      <x:c r="E1352" s="25" t="str">
        <x:v>N/A</x:v>
      </x:c>
      <x:c r="F1352" s="26" t="str">
        <x:v>Same saved validation suite passed on buggy and fixed</x:v>
      </x:c>
      <x:c r="G1352" s="25" t="str">
        <x:v>true</x:v>
      </x:c>
      <x:c r="H1352" s="25" t="str">
        <x:v>NOT_REVEALING</x:v>
      </x:c>
      <x:c r="I1352" s="25" t="str">
        <x:v>PASS</x:v>
      </x:c>
      <x:c r="J1352" s="25" t="str">
        <x:v>PASS</x:v>
      </x:c>
      <x:c r="K1352" s="25" t="n">
        <x:v>2</x:v>
      </x:c>
      <x:c r="L1352" s="27" t="b">
        <x:v>0</x:v>
      </x:c>
      <x:c r="M1352" s="25" t="str">
        <x:v>Feedback-Directed Random Test Generation/rounds/Round2/state/JacksonDatabind.json</x:v>
      </x:c>
      <x:c r="N1352" s="25" t="str">
        <x:v>Feedback-Directed Random Test Generation/Result_Round2/JacksonDatabind_107/result.json</x:v>
      </x:c>
      <x:c r="O1352" s="25" t="str">
        <x:v>Feedback-Directed Random Test Generation/Result_Round2/JacksonDatabind_107/result.json</x:v>
      </x:c>
      <x:c r="P1352"/>
      <x:c r="Q1352" s="21" t="str"/>
      <x:c r="R1352" s="21" t="str"/>
      <x:c r="S1352" s="21" t="str"/>
      <x:c r="T1352" s="17" t="str">
        <x:v>false</x:v>
      </x:c>
      <x:c r="U1352" s="17" t="str">
        <x:v>true</x:v>
      </x:c>
      <x:c r="V1352" s="17" t="str">
        <x:v>false</x:v>
      </x:c>
    </x:row>
    <x:row r="1353" ht="80" customHeight="1">
      <x:c r="A1353" s="25" t="str">
        <x:v>JacksonDatabind</x:v>
      </x:c>
      <x:c r="B1353" s="25" t="n">
        <x:v>108</x:v>
      </x:c>
      <x:c r="C1353" s="25" t="str">
        <x:v>Round2</x:v>
      </x:c>
      <x:c r="D1353" s="25" t="str">
        <x:v>NOT_REVEALING</x:v>
      </x:c>
      <x:c r="E1353" s="25" t="str">
        <x:v>N/A</x:v>
      </x:c>
      <x:c r="F1353" s="26" t="str">
        <x:v>Same saved validation suite passed on buggy and fixed</x:v>
      </x:c>
      <x:c r="G1353" s="25" t="str">
        <x:v>true</x:v>
      </x:c>
      <x:c r="H1353" s="25" t="str">
        <x:v>NOT_REVEALING</x:v>
      </x:c>
      <x:c r="I1353" s="25" t="str">
        <x:v>PASS</x:v>
      </x:c>
      <x:c r="J1353" s="25" t="str">
        <x:v>PASS</x:v>
      </x:c>
      <x:c r="K1353" s="25" t="n">
        <x:v>2</x:v>
      </x:c>
      <x:c r="L1353" s="27" t="b">
        <x:v>0</x:v>
      </x:c>
      <x:c r="M1353" s="25" t="str">
        <x:v>Feedback-Directed Random Test Generation/rounds/Round2/state/JacksonDatabind.json</x:v>
      </x:c>
      <x:c r="N1353" s="25" t="str">
        <x:v>Feedback-Directed Random Test Generation/Result_Round2/JacksonDatabind_108/result.json</x:v>
      </x:c>
      <x:c r="O1353" s="25" t="str">
        <x:v>Feedback-Directed Random Test Generation/Result_Round2/JacksonDatabind_108/result.json</x:v>
      </x:c>
      <x:c r="P1353"/>
      <x:c r="Q1353" s="21" t="str"/>
      <x:c r="R1353" s="21" t="str"/>
      <x:c r="S1353" s="21" t="str"/>
      <x:c r="T1353" s="17" t="str">
        <x:v>false</x:v>
      </x:c>
      <x:c r="U1353" s="17" t="str">
        <x:v>true</x:v>
      </x:c>
      <x:c r="V1353" s="17" t="str">
        <x:v>false</x:v>
      </x:c>
    </x:row>
    <x:row r="1354" ht="80" customHeight="1">
      <x:c r="A1354" s="25" t="str">
        <x:v>JacksonDatabind</x:v>
      </x:c>
      <x:c r="B1354" s="25" t="n">
        <x:v>109</x:v>
      </x:c>
      <x:c r="C1354" s="25" t="str">
        <x:v>Round2</x:v>
      </x:c>
      <x:c r="D1354" s="25" t="str">
        <x:v>NOT_REVEALING</x:v>
      </x:c>
      <x:c r="E1354" s="25" t="str">
        <x:v>N/A</x:v>
      </x:c>
      <x:c r="F1354" s="26" t="str">
        <x:v>Same saved validation suite passed on buggy and fixed</x:v>
      </x:c>
      <x:c r="G1354" s="25" t="str">
        <x:v>true</x:v>
      </x:c>
      <x:c r="H1354" s="25" t="str">
        <x:v>NOT_REVEALING</x:v>
      </x:c>
      <x:c r="I1354" s="25" t="str">
        <x:v>PASS</x:v>
      </x:c>
      <x:c r="J1354" s="25" t="str">
        <x:v>PASS</x:v>
      </x:c>
      <x:c r="K1354" s="25" t="n">
        <x:v>3</x:v>
      </x:c>
      <x:c r="L1354" s="27" t="b">
        <x:v>0</x:v>
      </x:c>
      <x:c r="M1354" s="25" t="str">
        <x:v>Feedback-Directed Random Test Generation/rounds/Round2/state/JacksonDatabind.json</x:v>
      </x:c>
      <x:c r="N1354" s="25" t="str">
        <x:v>Feedback-Directed Random Test Generation/Result_Round2/JacksonDatabind_109/result.json</x:v>
      </x:c>
      <x:c r="O1354" s="25" t="str">
        <x:v>Feedback-Directed Random Test Generation/Result_Round2/JacksonDatabind_109/result.json</x:v>
      </x:c>
      <x:c r="P1354"/>
      <x:c r="Q1354" s="21" t="str"/>
      <x:c r="R1354" s="21" t="str"/>
      <x:c r="S1354" s="21" t="str"/>
      <x:c r="T1354" s="17" t="str">
        <x:v>false</x:v>
      </x:c>
      <x:c r="U1354" s="17" t="str">
        <x:v>true</x:v>
      </x:c>
      <x:c r="V1354" s="17" t="str">
        <x:v>false</x:v>
      </x:c>
    </x:row>
    <x:row r="1355" ht="80" customHeight="1">
      <x:c r="A1355" s="25" t="str">
        <x:v>JacksonDatabind</x:v>
      </x:c>
      <x:c r="B1355" s="25" t="n">
        <x:v>110</x:v>
      </x:c>
      <x:c r="C1355" s="25" t="str">
        <x:v>Round2</x:v>
      </x:c>
      <x:c r="D1355" s="25" t="str">
        <x:v>NOT_REVEALING</x:v>
      </x:c>
      <x:c r="E1355" s="25" t="str">
        <x:v>N/A</x:v>
      </x:c>
      <x:c r="F1355" s="26" t="str">
        <x:v>Same saved validation suite passed on buggy and fixed</x:v>
      </x:c>
      <x:c r="G1355" s="25" t="str">
        <x:v>true</x:v>
      </x:c>
      <x:c r="H1355" s="25" t="str">
        <x:v>NOT_REVEALING</x:v>
      </x:c>
      <x:c r="I1355" s="25" t="str">
        <x:v>PASS</x:v>
      </x:c>
      <x:c r="J1355" s="25" t="str">
        <x:v>PASS</x:v>
      </x:c>
      <x:c r="K1355" s="25" t="n">
        <x:v>2</x:v>
      </x:c>
      <x:c r="L1355" s="27" t="b">
        <x:v>0</x:v>
      </x:c>
      <x:c r="M1355" s="25" t="str">
        <x:v>Feedback-Directed Random Test Generation/rounds/Round2/state/JacksonDatabind.json</x:v>
      </x:c>
      <x:c r="N1355" s="25" t="str">
        <x:v>Feedback-Directed Random Test Generation/Result_Round2/JacksonDatabind_110/result.json</x:v>
      </x:c>
      <x:c r="O1355" s="25" t="str">
        <x:v>Feedback-Directed Random Test Generation/Result_Round2/JacksonDatabind_110/result.json</x:v>
      </x:c>
      <x:c r="P1355"/>
      <x:c r="Q1355" s="21" t="str"/>
      <x:c r="R1355" s="21" t="str"/>
      <x:c r="S1355" s="21" t="str"/>
      <x:c r="T1355" s="17" t="str">
        <x:v>false</x:v>
      </x:c>
      <x:c r="U1355" s="17" t="str">
        <x:v>true</x:v>
      </x:c>
      <x:c r="V1355" s="17" t="str">
        <x:v>false</x:v>
      </x:c>
    </x:row>
    <x:row r="1356" ht="80" customHeight="1">
      <x:c r="A1356" s="25" t="str">
        <x:v>JacksonDatabind</x:v>
      </x:c>
      <x:c r="B1356" s="25" t="n">
        <x:v>111</x:v>
      </x:c>
      <x:c r="C1356" s="25" t="str">
        <x:v>Round2</x:v>
      </x:c>
      <x:c r="D1356" s="25" t="str">
        <x:v>NOT_REVEALING</x:v>
      </x:c>
      <x:c r="E1356" s="25" t="str">
        <x:v>N/A</x:v>
      </x:c>
      <x:c r="F1356" s="26" t="str">
        <x:v>Same saved validation suite passed on buggy and fixed</x:v>
      </x:c>
      <x:c r="G1356" s="25" t="str">
        <x:v>true</x:v>
      </x:c>
      <x:c r="H1356" s="25" t="str">
        <x:v>NOT_REVEALING</x:v>
      </x:c>
      <x:c r="I1356" s="25" t="str">
        <x:v>PASS</x:v>
      </x:c>
      <x:c r="J1356" s="25" t="str">
        <x:v>PASS</x:v>
      </x:c>
      <x:c r="K1356" s="25" t="n">
        <x:v>6</x:v>
      </x:c>
      <x:c r="L1356" s="27" t="b">
        <x:v>0</x:v>
      </x:c>
      <x:c r="M1356" s="25" t="str">
        <x:v>Feedback-Directed Random Test Generation/rounds/Round2/state/JacksonDatabind.json</x:v>
      </x:c>
      <x:c r="N1356" s="25" t="str">
        <x:v>Feedback-Directed Random Test Generation/Result_Round2/JacksonDatabind_111/result.json</x:v>
      </x:c>
      <x:c r="O1356" s="25" t="str">
        <x:v>Feedback-Directed Random Test Generation/Result_Round2/JacksonDatabind_111/result.json</x:v>
      </x:c>
      <x:c r="P1356"/>
      <x:c r="Q1356" s="21" t="str"/>
      <x:c r="R1356" s="21" t="str"/>
      <x:c r="S1356" s="21" t="str"/>
      <x:c r="T1356" s="17" t="str">
        <x:v>false</x:v>
      </x:c>
      <x:c r="U1356" s="17" t="str">
        <x:v>true</x:v>
      </x:c>
      <x:c r="V1356" s="17" t="str">
        <x:v>false</x:v>
      </x:c>
    </x:row>
    <x:row r="1357" ht="80" customHeight="1">
      <x:c r="A1357" s="25" t="str">
        <x:v>JacksonDatabind</x:v>
      </x:c>
      <x:c r="B1357" s="25" t="n">
        <x:v>112</x:v>
      </x:c>
      <x:c r="C1357" s="25" t="str">
        <x:v>Round2</x:v>
      </x:c>
      <x:c r="D1357" s="25" t="str">
        <x:v>NOT_REVEALING</x:v>
      </x:c>
      <x:c r="E1357" s="25" t="str">
        <x:v>N/A</x:v>
      </x:c>
      <x:c r="F1357" s="26" t="str">
        <x:v>Same saved validation suite passed on buggy and fixed</x:v>
      </x:c>
      <x:c r="G1357" s="25" t="str">
        <x:v>true</x:v>
      </x:c>
      <x:c r="H1357" s="25" t="str">
        <x:v>NOT_REVEALING</x:v>
      </x:c>
      <x:c r="I1357" s="25" t="str">
        <x:v>PASS</x:v>
      </x:c>
      <x:c r="J1357" s="25" t="str">
        <x:v>PASS</x:v>
      </x:c>
      <x:c r="K1357" s="25" t="n">
        <x:v>2</x:v>
      </x:c>
      <x:c r="L1357" s="27" t="b">
        <x:v>0</x:v>
      </x:c>
      <x:c r="M1357" s="25" t="str">
        <x:v>Feedback-Directed Random Test Generation/rounds/Round2/state/JacksonDatabind.json</x:v>
      </x:c>
      <x:c r="N1357" s="25" t="str">
        <x:v>Feedback-Directed Random Test Generation/Result_Round2/JacksonDatabind_112/result.json</x:v>
      </x:c>
      <x:c r="O1357" s="25" t="str">
        <x:v>Feedback-Directed Random Test Generation/Result_Round2/JacksonDatabind_112/result.json</x:v>
      </x:c>
      <x:c r="P1357"/>
      <x:c r="Q1357" s="21" t="str"/>
      <x:c r="R1357" s="21" t="str"/>
      <x:c r="S1357" s="21" t="str"/>
      <x:c r="T1357" s="17" t="str">
        <x:v>false</x:v>
      </x:c>
      <x:c r="U1357" s="17" t="str">
        <x:v>true</x:v>
      </x:c>
      <x:c r="V1357" s="17" t="str">
        <x:v>false</x:v>
      </x:c>
    </x:row>
    <x:row r="1358" ht="80" customHeight="1">
      <x:c r="A1358" s="25" t="str">
        <x:v>JacksonXml</x:v>
      </x:c>
      <x:c r="B1358" s="25" t="n">
        <x:v>1</x:v>
      </x:c>
      <x:c r="C1358" s="25" t="str">
        <x:v>Round2</x:v>
      </x:c>
      <x:c r="D1358" s="25" t="str">
        <x:v>NOT_REVEALING</x:v>
      </x:c>
      <x:c r="E1358" s="25" t="str">
        <x:v>N/A</x:v>
      </x:c>
      <x:c r="F1358" s="26" t="str">
        <x:v>Same saved validation suite passed on buggy and fixed</x:v>
      </x:c>
      <x:c r="G1358" s="25" t="str">
        <x:v>true</x:v>
      </x:c>
      <x:c r="H1358" s="25" t="str">
        <x:v>NOT_REVEALING</x:v>
      </x:c>
      <x:c r="I1358" s="25" t="str">
        <x:v>PASS</x:v>
      </x:c>
      <x:c r="J1358" s="25" t="str">
        <x:v>PASS</x:v>
      </x:c>
      <x:c r="K1358" s="25" t="n">
        <x:v>2</x:v>
      </x:c>
      <x:c r="L1358" s="27" t="b">
        <x:v>0</x:v>
      </x:c>
      <x:c r="M1358" s="25" t="str">
        <x:v>Feedback-Directed Random Test Generation/rounds/Round2/state/JacksonXml.json</x:v>
      </x:c>
      <x:c r="N1358" s="25" t="str">
        <x:v>Feedback-Directed Random Test Generation/Result_Round2/JacksonXml_1/result.json</x:v>
      </x:c>
      <x:c r="O1358" s="25" t="str">
        <x:v>Feedback-Directed Random Test Generation/Result_Round2/JacksonXml_1/result.json</x:v>
      </x:c>
      <x:c r="P1358"/>
      <x:c r="Q1358" s="21" t="str"/>
      <x:c r="R1358" s="21" t="str"/>
      <x:c r="S1358" s="21" t="str"/>
      <x:c r="T1358" s="17" t="str">
        <x:v>false</x:v>
      </x:c>
      <x:c r="U1358" s="17" t="str">
        <x:v>true</x:v>
      </x:c>
      <x:c r="V1358" s="17" t="str">
        <x:v>false</x:v>
      </x:c>
    </x:row>
    <x:row r="1359" ht="80" customHeight="1">
      <x:c r="A1359" s="25" t="str">
        <x:v>JacksonXml</x:v>
      </x:c>
      <x:c r="B1359" s="25" t="n">
        <x:v>2</x:v>
      </x:c>
      <x:c r="C1359" s="25" t="str">
        <x:v>Round2</x:v>
      </x:c>
      <x:c r="D1359" s="25" t="str">
        <x:v>NOT_REVEALING</x:v>
      </x:c>
      <x:c r="E1359" s="25" t="str">
        <x:v>N/A</x:v>
      </x:c>
      <x:c r="F1359" s="26" t="str">
        <x:v>Same saved validation suite passed on buggy and fixed</x:v>
      </x:c>
      <x:c r="G1359" s="25" t="str">
        <x:v>true</x:v>
      </x:c>
      <x:c r="H1359" s="25" t="str">
        <x:v>NOT_REVEALING</x:v>
      </x:c>
      <x:c r="I1359" s="25" t="str">
        <x:v>PASS</x:v>
      </x:c>
      <x:c r="J1359" s="25" t="str">
        <x:v>PASS</x:v>
      </x:c>
      <x:c r="K1359" s="25" t="n">
        <x:v>2</x:v>
      </x:c>
      <x:c r="L1359" s="27" t="b">
        <x:v>0</x:v>
      </x:c>
      <x:c r="M1359" s="25" t="str">
        <x:v>Feedback-Directed Random Test Generation/rounds/Round2/state/JacksonXml.json</x:v>
      </x:c>
      <x:c r="N1359" s="25" t="str">
        <x:v>Feedback-Directed Random Test Generation/Result_Round2/JacksonXml_2/result.json</x:v>
      </x:c>
      <x:c r="O1359" s="25" t="str">
        <x:v>Feedback-Directed Random Test Generation/Result_Round2/JacksonXml_2/result.json</x:v>
      </x:c>
      <x:c r="P1359"/>
      <x:c r="Q1359" s="21" t="str"/>
      <x:c r="R1359" s="21" t="str"/>
      <x:c r="S1359" s="21" t="str"/>
      <x:c r="T1359" s="17" t="str">
        <x:v>false</x:v>
      </x:c>
      <x:c r="U1359" s="17" t="str">
        <x:v>true</x:v>
      </x:c>
      <x:c r="V1359" s="17" t="str">
        <x:v>false</x:v>
      </x:c>
    </x:row>
    <x:row r="1360" ht="80" customHeight="1">
      <x:c r="A1360" s="25" t="str">
        <x:v>JacksonXml</x:v>
      </x:c>
      <x:c r="B1360" s="25" t="n">
        <x:v>3</x:v>
      </x:c>
      <x:c r="C1360" s="25" t="str">
        <x:v>Round2</x:v>
      </x:c>
      <x:c r="D1360" s="25" t="str">
        <x:v>NOT_REVEALING</x:v>
      </x:c>
      <x:c r="E1360" s="25" t="str">
        <x:v>N/A</x:v>
      </x:c>
      <x:c r="F1360" s="26" t="str">
        <x:v>Same saved validation suite passed on buggy and fixed</x:v>
      </x:c>
      <x:c r="G1360" s="25" t="str">
        <x:v>true</x:v>
      </x:c>
      <x:c r="H1360" s="25" t="str">
        <x:v>NOT_REVEALING</x:v>
      </x:c>
      <x:c r="I1360" s="25" t="str">
        <x:v>PASS</x:v>
      </x:c>
      <x:c r="J1360" s="25" t="str">
        <x:v>PASS</x:v>
      </x:c>
      <x:c r="K1360" s="25" t="n">
        <x:v>2</x:v>
      </x:c>
      <x:c r="L1360" s="27" t="b">
        <x:v>0</x:v>
      </x:c>
      <x:c r="M1360" s="25" t="str">
        <x:v>Feedback-Directed Random Test Generation/rounds/Round2/state/JacksonXml.json</x:v>
      </x:c>
      <x:c r="N1360" s="25" t="str">
        <x:v>Feedback-Directed Random Test Generation/Result_Round2/JacksonXml_3/result.json</x:v>
      </x:c>
      <x:c r="O1360" s="25" t="str">
        <x:v>Feedback-Directed Random Test Generation/Result_Round2/JacksonXml_3/result.json</x:v>
      </x:c>
      <x:c r="P1360"/>
      <x:c r="Q1360" s="21" t="str"/>
      <x:c r="R1360" s="21" t="str"/>
      <x:c r="S1360" s="21" t="str"/>
      <x:c r="T1360" s="17" t="str">
        <x:v>false</x:v>
      </x:c>
      <x:c r="U1360" s="17" t="str">
        <x:v>true</x:v>
      </x:c>
      <x:c r="V1360" s="17" t="str">
        <x:v>false</x:v>
      </x:c>
    </x:row>
    <x:row r="1361" ht="80" customHeight="1">
      <x:c r="A1361" s="25" t="str">
        <x:v>JacksonXml</x:v>
      </x:c>
      <x:c r="B1361" s="25" t="n">
        <x:v>4</x:v>
      </x:c>
      <x:c r="C1361" s="25" t="str">
        <x:v>Round2</x:v>
      </x:c>
      <x:c r="D1361" s="25" t="str">
        <x:v>INCONCLUSIVE</x:v>
      </x:c>
      <x:c r="E1361" s="25" t="str">
        <x:v>N/A</x:v>
      </x:c>
      <x:c r="F1361" s="26" t="str">
        <x:v>Fixed also failed; assertion failure cannot be attributed to this bug</x:v>
      </x:c>
      <x:c r="G1361" s="25" t="str">
        <x:v>true</x:v>
      </x:c>
      <x:c r="H1361" s="25" t="str">
        <x:v>INCONCLUSIVE</x:v>
      </x:c>
      <x:c r="I1361" s="25" t="str">
        <x:v>PASS</x:v>
      </x:c>
      <x:c r="J1361" s="25" t="str">
        <x:v>FAIL</x:v>
      </x:c>
      <x:c r="K1361" s="25" t="n">
        <x:v>6</x:v>
      </x:c>
      <x:c r="L1361" s="27" t="b">
        <x:v>0</x:v>
      </x:c>
      <x:c r="M1361" s="25" t="str">
        <x:v>Feedback-Directed Random Test Generation/rounds/Round2/state/JacksonXml.json</x:v>
      </x:c>
      <x:c r="N1361" s="25" t="str">
        <x:v>Feedback-Directed Random Test Generation/Result_Round2/JacksonXml_4/result.json</x:v>
      </x:c>
      <x:c r="O1361" s="25" t="str">
        <x:v>Feedback-Directed Random Test Generation/Result_Round2/JacksonXml_4/result.json</x:v>
      </x:c>
      <x:c r="P1361"/>
      <x:c r="Q1361" s="21" t="str"/>
      <x:c r="R1361" s="21" t="str"/>
      <x:c r="S1361" s="21" t="str"/>
      <x:c r="T1361" s="17" t="str">
        <x:v>false</x:v>
      </x:c>
      <x:c r="U1361" s="17" t="str">
        <x:v>true</x:v>
      </x:c>
      <x:c r="V1361" s="17" t="str">
        <x:v>false</x:v>
      </x:c>
    </x:row>
    <x:row r="1362" ht="80" customHeight="1">
      <x:c r="A1362" s="25" t="str">
        <x:v>JacksonXml</x:v>
      </x:c>
      <x:c r="B1362" s="25" t="n">
        <x:v>5</x:v>
      </x:c>
      <x:c r="C1362" s="25" t="str">
        <x:v>Round2</x:v>
      </x:c>
      <x:c r="D1362" s="25" t="str">
        <x:v>INCONCLUSIVE</x:v>
      </x:c>
      <x:c r="E1362" s="25" t="str">
        <x:v>N/A</x:v>
      </x:c>
      <x:c r="F1362" s="26" t="str">
        <x:v>Fixed also failed; assertion failure cannot be attributed to this bug</x:v>
      </x:c>
      <x:c r="G1362" s="25" t="str">
        <x:v>true</x:v>
      </x:c>
      <x:c r="H1362" s="25" t="str">
        <x:v>INCONCLUSIVE</x:v>
      </x:c>
      <x:c r="I1362" s="25" t="str">
        <x:v>PASS</x:v>
      </x:c>
      <x:c r="J1362" s="25" t="str">
        <x:v>FAIL</x:v>
      </x:c>
      <x:c r="K1362" s="25" t="n">
        <x:v>5</x:v>
      </x:c>
      <x:c r="L1362" s="27" t="b">
        <x:v>0</x:v>
      </x:c>
      <x:c r="M1362" s="25" t="str">
        <x:v>Feedback-Directed Random Test Generation/rounds/Round2/state/JacksonXml.json</x:v>
      </x:c>
      <x:c r="N1362" s="25" t="str">
        <x:v>Feedback-Directed Random Test Generation/Result_Round2/JacksonXml_5/result.json</x:v>
      </x:c>
      <x:c r="O1362" s="25" t="str">
        <x:v>Feedback-Directed Random Test Generation/Result_Round2/JacksonXml_5/result.json</x:v>
      </x:c>
      <x:c r="P1362"/>
      <x:c r="Q1362" s="21" t="str"/>
      <x:c r="R1362" s="21" t="str"/>
      <x:c r="S1362" s="21" t="str"/>
      <x:c r="T1362" s="17" t="str">
        <x:v>false</x:v>
      </x:c>
      <x:c r="U1362" s="17" t="str">
        <x:v>true</x:v>
      </x:c>
      <x:c r="V1362" s="17" t="str">
        <x:v>false</x:v>
      </x:c>
    </x:row>
    <x:row r="1363" ht="80" customHeight="1">
      <x:c r="A1363" s="25" t="str">
        <x:v>JacksonXml</x:v>
      </x:c>
      <x:c r="B1363" s="25" t="n">
        <x:v>6</x:v>
      </x:c>
      <x:c r="C1363" s="25" t="str">
        <x:v>Round2</x:v>
      </x:c>
      <x:c r="D1363" s="25" t="str">
        <x:v>NOT_REVEALING</x:v>
      </x:c>
      <x:c r="E1363" s="25" t="str">
        <x:v>N/A</x:v>
      </x:c>
      <x:c r="F1363" s="26" t="str">
        <x:v>Same saved validation suite passed on buggy and fixed</x:v>
      </x:c>
      <x:c r="G1363" s="25" t="str">
        <x:v>true</x:v>
      </x:c>
      <x:c r="H1363" s="25" t="str">
        <x:v>NOT_REVEALING</x:v>
      </x:c>
      <x:c r="I1363" s="25" t="str">
        <x:v>PASS</x:v>
      </x:c>
      <x:c r="J1363" s="25" t="str">
        <x:v>PASS</x:v>
      </x:c>
      <x:c r="K1363" s="25" t="n">
        <x:v>10</x:v>
      </x:c>
      <x:c r="L1363" s="27" t="b">
        <x:v>0</x:v>
      </x:c>
      <x:c r="M1363" s="25" t="str">
        <x:v>Feedback-Directed Random Test Generation/rounds/Round2/state/JacksonXml.json</x:v>
      </x:c>
      <x:c r="N1363" s="25" t="str">
        <x:v>Feedback-Directed Random Test Generation/Result_Round2/JacksonXml_6/result.json</x:v>
      </x:c>
      <x:c r="O1363" s="25" t="str">
        <x:v>Feedback-Directed Random Test Generation/Result_Round2/JacksonXml_6/result.json</x:v>
      </x:c>
      <x:c r="P1363"/>
      <x:c r="Q1363" s="21" t="str"/>
      <x:c r="R1363" s="21" t="str"/>
      <x:c r="S1363" s="21" t="str"/>
      <x:c r="T1363" s="17" t="str">
        <x:v>false</x:v>
      </x:c>
      <x:c r="U1363" s="17" t="str">
        <x:v>true</x:v>
      </x:c>
      <x:c r="V1363" s="17" t="str">
        <x:v>false</x:v>
      </x:c>
    </x:row>
    <x:row r="1364" ht="80" customHeight="1">
      <x:c r="A1364" s="25" t="str">
        <x:v>Jsoup</x:v>
      </x:c>
      <x:c r="B1364" s="25" t="n">
        <x:v>1</x:v>
      </x:c>
      <x:c r="C1364" s="25" t="str">
        <x:v>Round2</x:v>
      </x:c>
      <x:c r="D1364" s="25" t="str">
        <x:v>INCONCLUSIVE</x:v>
      </x:c>
      <x:c r="E1364" s="25" t="str">
        <x:v>N/A</x:v>
      </x:c>
      <x:c r="F1364" s="26" t="str">
        <x:v>Fixed also failed; assertion failure cannot be attributed to this bug; Assertions failed with measured coverage; paired execution and stage checks determine status</x:v>
      </x:c>
      <x:c r="G1364" s="25" t="str">
        <x:v>true</x:v>
      </x:c>
      <x:c r="H1364" s="25" t="str">
        <x:v>INCONCLUSIVE</x:v>
      </x:c>
      <x:c r="I1364" s="25" t="str">
        <x:v>FAIL</x:v>
      </x:c>
      <x:c r="J1364" s="25" t="str">
        <x:v>FAIL</x:v>
      </x:c>
      <x:c r="K1364" s="25" t="n">
        <x:v>12</x:v>
      </x:c>
      <x:c r="L1364" s="27" t="b">
        <x:v>0</x:v>
      </x:c>
      <x:c r="M1364" s="25" t="str">
        <x:v>Feedback-Directed Random Test Generation/rounds/Round2/state/Jsoup.json</x:v>
      </x:c>
      <x:c r="N1364" s="25" t="str">
        <x:v>Feedback-Directed Random Test Generation/Result_Round2/Jsoup_1/result.json</x:v>
      </x:c>
      <x:c r="O1364" s="25" t="str">
        <x:v>Feedback-Directed Random Test Generation/Result_Round2/Jsoup_1/result.json</x:v>
      </x:c>
      <x:c r="P1364"/>
      <x:c r="Q1364" s="21" t="str"/>
      <x:c r="R1364" s="21" t="str"/>
      <x:c r="S1364" s="21" t="str"/>
      <x:c r="T1364" s="17" t="str">
        <x:v>false</x:v>
      </x:c>
      <x:c r="U1364" s="17" t="str">
        <x:v>true</x:v>
      </x:c>
      <x:c r="V1364" s="17" t="str">
        <x:v>false</x:v>
      </x:c>
    </x:row>
    <x:row r="1365" ht="80" customHeight="1">
      <x:c r="A1365" s="25" t="str">
        <x:v>Jsoup</x:v>
      </x:c>
      <x:c r="B1365" s="25" t="n">
        <x:v>2</x:v>
      </x:c>
      <x:c r="C1365" s="25" t="str">
        <x:v>Round2</x:v>
      </x:c>
      <x:c r="D1365" s="25" t="str">
        <x:v>NOT_REVEALING</x:v>
      </x:c>
      <x:c r="E1365" s="25" t="str">
        <x:v>N/A</x:v>
      </x:c>
      <x:c r="F1365" s="26" t="str">
        <x:v>Same saved validation suite passed on buggy and fixed</x:v>
      </x:c>
      <x:c r="G1365" s="25" t="str">
        <x:v>true</x:v>
      </x:c>
      <x:c r="H1365" s="25" t="str">
        <x:v>NOT_REVEALING</x:v>
      </x:c>
      <x:c r="I1365" s="25" t="str">
        <x:v>PASS</x:v>
      </x:c>
      <x:c r="J1365" s="25" t="str">
        <x:v>PASS</x:v>
      </x:c>
      <x:c r="K1365" s="25" t="n">
        <x:v>2</x:v>
      </x:c>
      <x:c r="L1365" s="27" t="b">
        <x:v>0</x:v>
      </x:c>
      <x:c r="M1365" s="25" t="str">
        <x:v>Feedback-Directed Random Test Generation/rounds/Round2/state/Jsoup.json</x:v>
      </x:c>
      <x:c r="N1365" s="25" t="str">
        <x:v>Feedback-Directed Random Test Generation/Result_Round2/Jsoup_2/result.json</x:v>
      </x:c>
      <x:c r="O1365" s="25" t="str">
        <x:v>Feedback-Directed Random Test Generation/Result_Round2/Jsoup_2/result.json</x:v>
      </x:c>
      <x:c r="P1365"/>
      <x:c r="Q1365" s="21" t="str"/>
      <x:c r="R1365" s="21" t="str"/>
      <x:c r="S1365" s="21" t="str"/>
      <x:c r="T1365" s="17" t="str">
        <x:v>false</x:v>
      </x:c>
      <x:c r="U1365" s="17" t="str">
        <x:v>true</x:v>
      </x:c>
      <x:c r="V1365" s="17" t="str">
        <x:v>false</x:v>
      </x:c>
    </x:row>
    <x:row r="1366" ht="80" customHeight="1">
      <x:c r="A1366" s="25" t="str">
        <x:v>Jsoup</x:v>
      </x:c>
      <x:c r="B1366" s="25" t="n">
        <x:v>3</x:v>
      </x:c>
      <x:c r="C1366" s="25" t="str">
        <x:v>Round2</x:v>
      </x:c>
      <x:c r="D1366" s="25" t="str">
        <x:v>INCONCLUSIVE</x:v>
      </x:c>
      <x:c r="E1366" s="25" t="str">
        <x:v>N/A</x:v>
      </x:c>
      <x:c r="F1366" s="26" t="str">
        <x:v>Fixed also failed; assertion failure cannot be attributed to this bug; Assertions failed with measured coverage; paired execution and stage checks determine status</x:v>
      </x:c>
      <x:c r="G1366" s="25" t="str">
        <x:v>true</x:v>
      </x:c>
      <x:c r="H1366" s="25" t="str">
        <x:v>INCONCLUSIVE</x:v>
      </x:c>
      <x:c r="I1366" s="25" t="str">
        <x:v>FAIL</x:v>
      </x:c>
      <x:c r="J1366" s="25" t="str">
        <x:v>FAIL</x:v>
      </x:c>
      <x:c r="K1366" s="25" t="n">
        <x:v>13</x:v>
      </x:c>
      <x:c r="L1366" s="27" t="b">
        <x:v>0</x:v>
      </x:c>
      <x:c r="M1366" s="25" t="str">
        <x:v>Feedback-Directed Random Test Generation/rounds/Round2/state/Jsoup.json</x:v>
      </x:c>
      <x:c r="N1366" s="25" t="str">
        <x:v>Feedback-Directed Random Test Generation/Result_Round2/Jsoup_3/result.json</x:v>
      </x:c>
      <x:c r="O1366" s="25" t="str">
        <x:v>Feedback-Directed Random Test Generation/Result_Round2/Jsoup_3/result.json</x:v>
      </x:c>
      <x:c r="P1366"/>
      <x:c r="Q1366" s="21" t="str"/>
      <x:c r="R1366" s="21" t="str"/>
      <x:c r="S1366" s="21" t="str"/>
      <x:c r="T1366" s="17" t="str">
        <x:v>false</x:v>
      </x:c>
      <x:c r="U1366" s="17" t="str">
        <x:v>true</x:v>
      </x:c>
      <x:c r="V1366" s="17" t="str">
        <x:v>false</x:v>
      </x:c>
    </x:row>
    <x:row r="1367" ht="80" customHeight="1">
      <x:c r="A1367" s="25" t="str">
        <x:v>Jsoup</x:v>
      </x:c>
      <x:c r="B1367" s="25" t="n">
        <x:v>4</x:v>
      </x:c>
      <x:c r="C1367" s="25" t="str">
        <x:v>Round2</x:v>
      </x:c>
      <x:c r="D1367" s="25" t="str">
        <x:v>NOT_AVAILABLE</x:v>
      </x:c>
      <x:c r="E1367" s="25" t="str">
        <x:v>N/A</x:v>
      </x:c>
      <x:c r="F1367" s="26" t="str">
        <x:v>Tests exist but current coverage did not complete</x:v>
      </x:c>
      <x:c r="G1367" s="25" t="str">
        <x:v>true</x:v>
      </x:c>
      <x:c r="H1367" s="25" t="str">
        <x:v>NOT_REVEALING</x:v>
      </x:c>
      <x:c r="I1367" s="25" t="str">
        <x:v>PASS</x:v>
      </x:c>
      <x:c r="J1367" s="25" t="str">
        <x:v>PASS</x:v>
      </x:c>
      <x:c r="K1367" s="25" t="n">
        <x:v>2</x:v>
      </x:c>
      <x:c r="L1367" s="27" t="b">
        <x:v>0</x:v>
      </x:c>
      <x:c r="M1367" s="25" t="str">
        <x:v>Feedback-Directed Random Test Generation/rounds/Round2/state/Jsoup.json</x:v>
      </x:c>
      <x:c r="N1367" s="25" t="str">
        <x:v>Feedback-Directed Random Test Generation/Result_Round2/Jsoup_4/result.json</x:v>
      </x:c>
      <x:c r="O1367" s="25" t="str">
        <x:v>Feedback-Directed Random Test Generation/Result_Round2/Jsoup_4/result.json</x:v>
      </x:c>
      <x:c r="P1367" t="str">
        <x:v>COVERAGE_UNAVAILABLE</x:v>
      </x:c>
      <x:c r="Q1367" s="21" t="str"/>
      <x:c r="R1367" s="21" t="str"/>
      <x:c r="S1367" s="21" t="str"/>
      <x:c r="T1367" s="17" t="str">
        <x:v>false</x:v>
      </x:c>
      <x:c r="U1367" s="17" t="str">
        <x:v>true</x:v>
      </x:c>
      <x:c r="V1367" s="17" t="str">
        <x:v>true</x:v>
      </x:c>
    </x:row>
    <x:row r="1368" ht="80" customHeight="1">
      <x:c r="A1368" s="25" t="str">
        <x:v>Jsoup</x:v>
      </x:c>
      <x:c r="B1368" s="25" t="n">
        <x:v>5</x:v>
      </x:c>
      <x:c r="C1368" s="25" t="str">
        <x:v>Round2</x:v>
      </x:c>
      <x:c r="D1368" s="25" t="str">
        <x:v>NOT_REVEALING</x:v>
      </x:c>
      <x:c r="E1368" s="25" t="str">
        <x:v>N/A</x:v>
      </x:c>
      <x:c r="F1368" s="26" t="str">
        <x:v>Same saved validation suite passed on buggy and fixed</x:v>
      </x:c>
      <x:c r="G1368" s="25" t="str">
        <x:v>true</x:v>
      </x:c>
      <x:c r="H1368" s="25" t="str">
        <x:v>NOT_REVEALING</x:v>
      </x:c>
      <x:c r="I1368" s="25" t="str">
        <x:v>PASS</x:v>
      </x:c>
      <x:c r="J1368" s="25" t="str">
        <x:v>PASS</x:v>
      </x:c>
      <x:c r="K1368" s="25" t="n">
        <x:v>2</x:v>
      </x:c>
      <x:c r="L1368" s="27" t="b">
        <x:v>0</x:v>
      </x:c>
      <x:c r="M1368" s="25" t="str">
        <x:v>Feedback-Directed Random Test Generation/rounds/Round2/state/Jsoup.json</x:v>
      </x:c>
      <x:c r="N1368" s="25" t="str">
        <x:v>Feedback-Directed Random Test Generation/Result_Round2/Jsoup_5/result.json</x:v>
      </x:c>
      <x:c r="O1368" s="25" t="str">
        <x:v>Feedback-Directed Random Test Generation/Result_Round2/Jsoup_5/result.json</x:v>
      </x:c>
      <x:c r="P1368"/>
      <x:c r="Q1368" s="21" t="str"/>
      <x:c r="R1368" s="21" t="str"/>
      <x:c r="S1368" s="21" t="str"/>
      <x:c r="T1368" s="17" t="str">
        <x:v>false</x:v>
      </x:c>
      <x:c r="U1368" s="17" t="str">
        <x:v>true</x:v>
      </x:c>
      <x:c r="V1368" s="17" t="str">
        <x:v>false</x:v>
      </x:c>
    </x:row>
    <x:row r="1369" ht="80" customHeight="1">
      <x:c r="A1369" s="25" t="str">
        <x:v>Jsoup</x:v>
      </x:c>
      <x:c r="B1369" s="25" t="n">
        <x:v>6</x:v>
      </x:c>
      <x:c r="C1369" s="25" t="str">
        <x:v>Round2</x:v>
      </x:c>
      <x:c r="D1369" s="25" t="str">
        <x:v>NOT_AVAILABLE</x:v>
      </x:c>
      <x:c r="E1369" s="25" t="str">
        <x:v>N/A</x:v>
      </x:c>
      <x:c r="F1369" s="26" t="str">
        <x:v>Tests exist but current coverage did not complete</x:v>
      </x:c>
      <x:c r="G1369" s="25" t="str">
        <x:v>true</x:v>
      </x:c>
      <x:c r="H1369" s="25" t="str">
        <x:v>NOT_REVEALING</x:v>
      </x:c>
      <x:c r="I1369" s="25" t="str">
        <x:v>PASS</x:v>
      </x:c>
      <x:c r="J1369" s="25" t="str">
        <x:v>PASS</x:v>
      </x:c>
      <x:c r="K1369" s="25" t="n">
        <x:v>2</x:v>
      </x:c>
      <x:c r="L1369" s="27" t="b">
        <x:v>0</x:v>
      </x:c>
      <x:c r="M1369" s="25" t="str">
        <x:v>Feedback-Directed Random Test Generation/rounds/Round2/state/Jsoup.json</x:v>
      </x:c>
      <x:c r="N1369" s="25" t="str">
        <x:v>Feedback-Directed Random Test Generation/Result_Round2/Jsoup_6/result.json</x:v>
      </x:c>
      <x:c r="O1369" s="25" t="str">
        <x:v>Feedback-Directed Random Test Generation/Result_Round2/Jsoup_6/result.json</x:v>
      </x:c>
      <x:c r="P1369" t="str">
        <x:v>COVERAGE_UNAVAILABLE</x:v>
      </x:c>
      <x:c r="Q1369" s="21" t="str"/>
      <x:c r="R1369" s="21" t="str"/>
      <x:c r="S1369" s="21" t="str"/>
      <x:c r="T1369" s="17" t="str">
        <x:v>false</x:v>
      </x:c>
      <x:c r="U1369" s="17" t="str">
        <x:v>true</x:v>
      </x:c>
      <x:c r="V1369" s="17" t="str">
        <x:v>true</x:v>
      </x:c>
    </x:row>
    <x:row r="1370" ht="80" customHeight="1">
      <x:c r="A1370" s="25" t="str">
        <x:v>Jsoup</x:v>
      </x:c>
      <x:c r="B1370" s="25" t="n">
        <x:v>7</x:v>
      </x:c>
      <x:c r="C1370" s="25" t="str">
        <x:v>Round2</x:v>
      </x:c>
      <x:c r="D1370" s="25" t="str">
        <x:v>INCONCLUSIVE</x:v>
      </x:c>
      <x:c r="E1370" s="25" t="str">
        <x:v>N/A</x:v>
      </x:c>
      <x:c r="F1370" s="26" t="str">
        <x:v>Fixed also failed; assertion failure cannot be attributed to this bug; Assertions failed with measured coverage; paired execution and stage checks determine status</x:v>
      </x:c>
      <x:c r="G1370" s="25" t="str">
        <x:v>true</x:v>
      </x:c>
      <x:c r="H1370" s="25" t="str">
        <x:v>INCONCLUSIVE</x:v>
      </x:c>
      <x:c r="I1370" s="25" t="str">
        <x:v>FAIL</x:v>
      </x:c>
      <x:c r="J1370" s="25" t="str">
        <x:v>FAIL</x:v>
      </x:c>
      <x:c r="K1370" s="25" t="n">
        <x:v>11</x:v>
      </x:c>
      <x:c r="L1370" s="27" t="b">
        <x:v>0</x:v>
      </x:c>
      <x:c r="M1370" s="25" t="str">
        <x:v>Feedback-Directed Random Test Generation/rounds/Round2/state/Jsoup.json</x:v>
      </x:c>
      <x:c r="N1370" s="25" t="str">
        <x:v>Feedback-Directed Random Test Generation/Result_Round2/Jsoup_7/result.json</x:v>
      </x:c>
      <x:c r="O1370" s="25" t="str">
        <x:v>Feedback-Directed Random Test Generation/Result_Round2/Jsoup_7/result.json</x:v>
      </x:c>
      <x:c r="P1370"/>
      <x:c r="Q1370" s="21" t="str"/>
      <x:c r="R1370" s="21" t="str"/>
      <x:c r="S1370" s="21" t="str"/>
      <x:c r="T1370" s="17" t="str">
        <x:v>false</x:v>
      </x:c>
      <x:c r="U1370" s="17" t="str">
        <x:v>true</x:v>
      </x:c>
      <x:c r="V1370" s="17" t="str">
        <x:v>false</x:v>
      </x:c>
    </x:row>
    <x:row r="1371" ht="80" customHeight="1">
      <x:c r="A1371" s="25" t="str">
        <x:v>Jsoup</x:v>
      </x:c>
      <x:c r="B1371" s="25" t="n">
        <x:v>8</x:v>
      </x:c>
      <x:c r="C1371" s="25" t="str">
        <x:v>Round2</x:v>
      </x:c>
      <x:c r="D1371" s="25" t="str">
        <x:v>NOT_REVEALING</x:v>
      </x:c>
      <x:c r="E1371" s="25" t="str">
        <x:v>N/A</x:v>
      </x:c>
      <x:c r="F1371" s="26" t="str">
        <x:v>Same saved validation suite passed on buggy and fixed</x:v>
      </x:c>
      <x:c r="G1371" s="25" t="str">
        <x:v>true</x:v>
      </x:c>
      <x:c r="H1371" s="25" t="str">
        <x:v>NOT_REVEALING</x:v>
      </x:c>
      <x:c r="I1371" s="25" t="str">
        <x:v>PASS</x:v>
      </x:c>
      <x:c r="J1371" s="25" t="str">
        <x:v>PASS</x:v>
      </x:c>
      <x:c r="K1371" s="25" t="n">
        <x:v>2</x:v>
      </x:c>
      <x:c r="L1371" s="27" t="b">
        <x:v>0</x:v>
      </x:c>
      <x:c r="M1371" s="25" t="str">
        <x:v>Feedback-Directed Random Test Generation/rounds/Round2/state/Jsoup.json</x:v>
      </x:c>
      <x:c r="N1371" s="25" t="str">
        <x:v>Feedback-Directed Random Test Generation/Result_Round2/Jsoup_8/result.json</x:v>
      </x:c>
      <x:c r="O1371" s="25" t="str">
        <x:v>Feedback-Directed Random Test Generation/Result_Round2/Jsoup_8/result.json</x:v>
      </x:c>
      <x:c r="P1371"/>
      <x:c r="Q1371" s="21" t="str"/>
      <x:c r="R1371" s="21" t="str"/>
      <x:c r="S1371" s="21" t="str"/>
      <x:c r="T1371" s="17" t="str">
        <x:v>false</x:v>
      </x:c>
      <x:c r="U1371" s="17" t="str">
        <x:v>true</x:v>
      </x:c>
      <x:c r="V1371" s="17" t="str">
        <x:v>false</x:v>
      </x:c>
    </x:row>
    <x:row r="1372" ht="80" customHeight="1">
      <x:c r="A1372" s="25" t="str">
        <x:v>Jsoup</x:v>
      </x:c>
      <x:c r="B1372" s="25" t="n">
        <x:v>9</x:v>
      </x:c>
      <x:c r="C1372" s="25" t="str">
        <x:v>Round2</x:v>
      </x:c>
      <x:c r="D1372" s="25" t="str">
        <x:v>NOT_AVAILABLE</x:v>
      </x:c>
      <x:c r="E1372" s="25" t="str">
        <x:v>N/A</x:v>
      </x:c>
      <x:c r="F1372" s="26" t="str">
        <x:v>Tests exist but current coverage did not complete</x:v>
      </x:c>
      <x:c r="G1372" s="25" t="str">
        <x:v>true</x:v>
      </x:c>
      <x:c r="H1372" s="25" t="str">
        <x:v>NOT_REVEALING</x:v>
      </x:c>
      <x:c r="I1372" s="25" t="str">
        <x:v>PASS</x:v>
      </x:c>
      <x:c r="J1372" s="25" t="str">
        <x:v>PASS</x:v>
      </x:c>
      <x:c r="K1372" s="25" t="n">
        <x:v>12</x:v>
      </x:c>
      <x:c r="L1372" s="27" t="b">
        <x:v>0</x:v>
      </x:c>
      <x:c r="M1372" s="25" t="str">
        <x:v>Feedback-Directed Random Test Generation/rounds/Round2/state/Jsoup.json</x:v>
      </x:c>
      <x:c r="N1372" s="25" t="str">
        <x:v>Feedback-Directed Random Test Generation/Result_Round2/Jsoup_9/result.json</x:v>
      </x:c>
      <x:c r="O1372" s="25" t="str">
        <x:v>Feedback-Directed Random Test Generation/Result_Round2/Jsoup_9/result.json</x:v>
      </x:c>
      <x:c r="P1372" t="str">
        <x:v>COVERAGE_UNAVAILABLE</x:v>
      </x:c>
      <x:c r="Q1372" s="21" t="str"/>
      <x:c r="R1372" s="21" t="str"/>
      <x:c r="S1372" s="21" t="str"/>
      <x:c r="T1372" s="17" t="str">
        <x:v>false</x:v>
      </x:c>
      <x:c r="U1372" s="17" t="str">
        <x:v>true</x:v>
      </x:c>
      <x:c r="V1372" s="17" t="str">
        <x:v>true</x:v>
      </x:c>
    </x:row>
    <x:row r="1373" ht="80" customHeight="1">
      <x:c r="A1373" s="25" t="str">
        <x:v>Jsoup</x:v>
      </x:c>
      <x:c r="B1373" s="25" t="n">
        <x:v>10</x:v>
      </x:c>
      <x:c r="C1373" s="25" t="str">
        <x:v>Round2</x:v>
      </x:c>
      <x:c r="D1373" s="25" t="str">
        <x:v>NOT_REVEALING</x:v>
      </x:c>
      <x:c r="E1373" s="25" t="str">
        <x:v>N/A</x:v>
      </x:c>
      <x:c r="F1373" s="26" t="str">
        <x:v>Same saved validation suite passed on buggy and fixed</x:v>
      </x:c>
      <x:c r="G1373" s="25" t="str">
        <x:v>true</x:v>
      </x:c>
      <x:c r="H1373" s="25" t="str">
        <x:v>NOT_REVEALING</x:v>
      </x:c>
      <x:c r="I1373" s="25" t="str">
        <x:v>PASS</x:v>
      </x:c>
      <x:c r="J1373" s="25" t="str">
        <x:v>PASS</x:v>
      </x:c>
      <x:c r="K1373" s="25" t="n">
        <x:v>2</x:v>
      </x:c>
      <x:c r="L1373" s="27" t="b">
        <x:v>0</x:v>
      </x:c>
      <x:c r="M1373" s="25" t="str">
        <x:v>Feedback-Directed Random Test Generation/rounds/Round2/state/Jsoup.json</x:v>
      </x:c>
      <x:c r="N1373" s="25" t="str">
        <x:v>Feedback-Directed Random Test Generation/Result_Round2/Jsoup_10/result.json</x:v>
      </x:c>
      <x:c r="O1373" s="25" t="str">
        <x:v>Feedback-Directed Random Test Generation/Result_Round2/Jsoup_10/result.json</x:v>
      </x:c>
      <x:c r="P1373"/>
      <x:c r="Q1373" s="21" t="str"/>
      <x:c r="R1373" s="21" t="str"/>
      <x:c r="S1373" s="21" t="str"/>
      <x:c r="T1373" s="17" t="str">
        <x:v>false</x:v>
      </x:c>
      <x:c r="U1373" s="17" t="str">
        <x:v>true</x:v>
      </x:c>
      <x:c r="V1373" s="17" t="str">
        <x:v>false</x:v>
      </x:c>
    </x:row>
    <x:row r="1374" ht="80" customHeight="1">
      <x:c r="A1374" s="25" t="str">
        <x:v>Jsoup</x:v>
      </x:c>
      <x:c r="B1374" s="25" t="n">
        <x:v>11</x:v>
      </x:c>
      <x:c r="C1374" s="25" t="str">
        <x:v>Round2</x:v>
      </x:c>
      <x:c r="D1374" s="25" t="str">
        <x:v>NOT_REVEALING</x:v>
      </x:c>
      <x:c r="E1374" s="25" t="str">
        <x:v>N/A</x:v>
      </x:c>
      <x:c r="F1374" s="26" t="str">
        <x:v>Same saved validation suite passed on buggy and fixed</x:v>
      </x:c>
      <x:c r="G1374" s="25" t="str">
        <x:v>true</x:v>
      </x:c>
      <x:c r="H1374" s="25" t="str">
        <x:v>NOT_REVEALING</x:v>
      </x:c>
      <x:c r="I1374" s="25" t="str">
        <x:v>PASS</x:v>
      </x:c>
      <x:c r="J1374" s="25" t="str">
        <x:v>PASS</x:v>
      </x:c>
      <x:c r="K1374" s="25" t="n">
        <x:v>10</x:v>
      </x:c>
      <x:c r="L1374" s="27" t="b">
        <x:v>0</x:v>
      </x:c>
      <x:c r="M1374" s="25" t="str">
        <x:v>Feedback-Directed Random Test Generation/rounds/Round2/state/Jsoup.json</x:v>
      </x:c>
      <x:c r="N1374" s="25" t="str">
        <x:v>Feedback-Directed Random Test Generation/Result_Round2/Jsoup_11/result.json</x:v>
      </x:c>
      <x:c r="O1374" s="25" t="str">
        <x:v>Feedback-Directed Random Test Generation/Result_Round2/Jsoup_11/result.json</x:v>
      </x:c>
      <x:c r="P1374"/>
      <x:c r="Q1374" s="21" t="str"/>
      <x:c r="R1374" s="21" t="str"/>
      <x:c r="S1374" s="21" t="str"/>
      <x:c r="T1374" s="17" t="str">
        <x:v>false</x:v>
      </x:c>
      <x:c r="U1374" s="17" t="str">
        <x:v>true</x:v>
      </x:c>
      <x:c r="V1374" s="17" t="str">
        <x:v>false</x:v>
      </x:c>
    </x:row>
    <x:row r="1375" ht="80" customHeight="1">
      <x:c r="A1375" s="25" t="str">
        <x:v>Jsoup</x:v>
      </x:c>
      <x:c r="B1375" s="25" t="n">
        <x:v>12</x:v>
      </x:c>
      <x:c r="C1375" s="25" t="str">
        <x:v>Round2</x:v>
      </x:c>
      <x:c r="D1375" s="25" t="str">
        <x:v>NOT_REVEALING</x:v>
      </x:c>
      <x:c r="E1375" s="25" t="str">
        <x:v>N/A</x:v>
      </x:c>
      <x:c r="F1375" s="26" t="str">
        <x:v>Same saved validation suite passed on buggy and fixed</x:v>
      </x:c>
      <x:c r="G1375" s="25" t="str">
        <x:v>true</x:v>
      </x:c>
      <x:c r="H1375" s="25" t="str">
        <x:v>NOT_REVEALING</x:v>
      </x:c>
      <x:c r="I1375" s="25" t="str">
        <x:v>PASS</x:v>
      </x:c>
      <x:c r="J1375" s="25" t="str">
        <x:v>PASS</x:v>
      </x:c>
      <x:c r="K1375" s="25" t="n">
        <x:v>6</x:v>
      </x:c>
      <x:c r="L1375" s="27" t="b">
        <x:v>0</x:v>
      </x:c>
      <x:c r="M1375" s="25" t="str">
        <x:v>Feedback-Directed Random Test Generation/rounds/Round2/state/Jsoup.json</x:v>
      </x:c>
      <x:c r="N1375" s="25" t="str">
        <x:v>Feedback-Directed Random Test Generation/Result_Round2/Jsoup_12/result.json</x:v>
      </x:c>
      <x:c r="O1375" s="25" t="str">
        <x:v>Feedback-Directed Random Test Generation/Result_Round2/Jsoup_12/result.json</x:v>
      </x:c>
      <x:c r="P1375"/>
      <x:c r="Q1375" s="21" t="str"/>
      <x:c r="R1375" s="21" t="str"/>
      <x:c r="S1375" s="21" t="str"/>
      <x:c r="T1375" s="17" t="str">
        <x:v>false</x:v>
      </x:c>
      <x:c r="U1375" s="17" t="str">
        <x:v>true</x:v>
      </x:c>
      <x:c r="V1375" s="17" t="str">
        <x:v>false</x:v>
      </x:c>
    </x:row>
    <x:row r="1376" ht="80" customHeight="1">
      <x:c r="A1376" s="25" t="str">
        <x:v>Jsoup</x:v>
      </x:c>
      <x:c r="B1376" s="25" t="n">
        <x:v>13</x:v>
      </x:c>
      <x:c r="C1376" s="25" t="str">
        <x:v>Round2</x:v>
      </x:c>
      <x:c r="D1376" s="25" t="str">
        <x:v>NOT_REVEALING</x:v>
      </x:c>
      <x:c r="E1376" s="25" t="str">
        <x:v>N/A</x:v>
      </x:c>
      <x:c r="F1376" s="26" t="str">
        <x:v>Same saved validation suite passed on buggy and fixed</x:v>
      </x:c>
      <x:c r="G1376" s="25" t="str">
        <x:v>true</x:v>
      </x:c>
      <x:c r="H1376" s="25" t="str">
        <x:v>NOT_REVEALING</x:v>
      </x:c>
      <x:c r="I1376" s="25" t="str">
        <x:v>PASS</x:v>
      </x:c>
      <x:c r="J1376" s="25" t="str">
        <x:v>PASS</x:v>
      </x:c>
      <x:c r="K1376" s="25" t="n">
        <x:v>2</x:v>
      </x:c>
      <x:c r="L1376" s="27" t="b">
        <x:v>0</x:v>
      </x:c>
      <x:c r="M1376" s="25" t="str">
        <x:v>Feedback-Directed Random Test Generation/rounds/Round2/state/Jsoup.json</x:v>
      </x:c>
      <x:c r="N1376" s="25" t="str">
        <x:v>Feedback-Directed Random Test Generation/Result_Round2/Jsoup_13/result.json</x:v>
      </x:c>
      <x:c r="O1376" s="25" t="str">
        <x:v>Feedback-Directed Random Test Generation/Result_Round2/Jsoup_13/result.json</x:v>
      </x:c>
      <x:c r="P1376"/>
      <x:c r="Q1376" s="21" t="str"/>
      <x:c r="R1376" s="21" t="str"/>
      <x:c r="S1376" s="21" t="str"/>
      <x:c r="T1376" s="17" t="str">
        <x:v>false</x:v>
      </x:c>
      <x:c r="U1376" s="17" t="str">
        <x:v>true</x:v>
      </x:c>
      <x:c r="V1376" s="17" t="str">
        <x:v>false</x:v>
      </x:c>
    </x:row>
    <x:row r="1377" ht="80" customHeight="1">
      <x:c r="A1377" s="25" t="str">
        <x:v>Jsoup</x:v>
      </x:c>
      <x:c r="B1377" s="25" t="n">
        <x:v>14</x:v>
      </x:c>
      <x:c r="C1377" s="25" t="str">
        <x:v>Round2</x:v>
      </x:c>
      <x:c r="D1377" s="25" t="str">
        <x:v>NOT_REVEALING</x:v>
      </x:c>
      <x:c r="E1377" s="25" t="str">
        <x:v>N/A</x:v>
      </x:c>
      <x:c r="F1377" s="26" t="str">
        <x:v>Same saved validation suite passed on buggy and fixed</x:v>
      </x:c>
      <x:c r="G1377" s="25" t="str">
        <x:v>true</x:v>
      </x:c>
      <x:c r="H1377" s="25" t="str">
        <x:v>NOT_REVEALING</x:v>
      </x:c>
      <x:c r="I1377" s="25" t="str">
        <x:v>PASS</x:v>
      </x:c>
      <x:c r="J1377" s="25" t="str">
        <x:v>PASS</x:v>
      </x:c>
      <x:c r="K1377" s="25" t="n">
        <x:v>11</x:v>
      </x:c>
      <x:c r="L1377" s="27" t="b">
        <x:v>0</x:v>
      </x:c>
      <x:c r="M1377" s="25" t="str">
        <x:v>Feedback-Directed Random Test Generation/rounds/Round2/state/Jsoup.json</x:v>
      </x:c>
      <x:c r="N1377" s="25" t="str">
        <x:v>Feedback-Directed Random Test Generation/Result_Round2/Jsoup_14/result.json</x:v>
      </x:c>
      <x:c r="O1377" s="25" t="str">
        <x:v>Feedback-Directed Random Test Generation/Result_Round2/Jsoup_14/result.json</x:v>
      </x:c>
      <x:c r="P1377"/>
      <x:c r="Q1377" s="21" t="str"/>
      <x:c r="R1377" s="21" t="str"/>
      <x:c r="S1377" s="21" t="str"/>
      <x:c r="T1377" s="17" t="str">
        <x:v>false</x:v>
      </x:c>
      <x:c r="U1377" s="17" t="str">
        <x:v>true</x:v>
      </x:c>
      <x:c r="V1377" s="17" t="str">
        <x:v>false</x:v>
      </x:c>
    </x:row>
    <x:row r="1378" ht="80" customHeight="1">
      <x:c r="A1378" s="25" t="str">
        <x:v>Jsoup</x:v>
      </x:c>
      <x:c r="B1378" s="25" t="n">
        <x:v>15</x:v>
      </x:c>
      <x:c r="C1378" s="25" t="str">
        <x:v>Round2</x:v>
      </x:c>
      <x:c r="D1378" s="25" t="str">
        <x:v>NOT_REVEALING</x:v>
      </x:c>
      <x:c r="E1378" s="25" t="str">
        <x:v>N/A</x:v>
      </x:c>
      <x:c r="F1378" s="26" t="str">
        <x:v>Same saved validation suite passed on buggy and fixed</x:v>
      </x:c>
      <x:c r="G1378" s="25" t="str">
        <x:v>true</x:v>
      </x:c>
      <x:c r="H1378" s="25" t="str">
        <x:v>NOT_REVEALING</x:v>
      </x:c>
      <x:c r="I1378" s="25" t="str">
        <x:v>PASS</x:v>
      </x:c>
      <x:c r="J1378" s="25" t="str">
        <x:v>PASS</x:v>
      </x:c>
      <x:c r="K1378" s="25" t="n">
        <x:v>2</x:v>
      </x:c>
      <x:c r="L1378" s="27" t="b">
        <x:v>0</x:v>
      </x:c>
      <x:c r="M1378" s="25" t="str">
        <x:v>Feedback-Directed Random Test Generation/rounds/Round2/state/Jsoup.json</x:v>
      </x:c>
      <x:c r="N1378" s="25" t="str">
        <x:v>Feedback-Directed Random Test Generation/Result_Round2/Jsoup_15/result.json</x:v>
      </x:c>
      <x:c r="O1378" s="25" t="str">
        <x:v>Feedback-Directed Random Test Generation/Result_Round2/Jsoup_15/result.json</x:v>
      </x:c>
      <x:c r="P1378"/>
      <x:c r="Q1378" s="21" t="str"/>
      <x:c r="R1378" s="21" t="str"/>
      <x:c r="S1378" s="21" t="str"/>
      <x:c r="T1378" s="17" t="str">
        <x:v>false</x:v>
      </x:c>
      <x:c r="U1378" s="17" t="str">
        <x:v>true</x:v>
      </x:c>
      <x:c r="V1378" s="17" t="str">
        <x:v>false</x:v>
      </x:c>
    </x:row>
    <x:row r="1379" ht="80" customHeight="1">
      <x:c r="A1379" s="25" t="str">
        <x:v>Jsoup</x:v>
      </x:c>
      <x:c r="B1379" s="25" t="n">
        <x:v>16</x:v>
      </x:c>
      <x:c r="C1379" s="25" t="str">
        <x:v>Round2</x:v>
      </x:c>
      <x:c r="D1379" s="25" t="str">
        <x:v>INCONCLUSIVE</x:v>
      </x:c>
      <x:c r="E1379" s="25" t="str">
        <x:v>N/A</x:v>
      </x:c>
      <x:c r="F1379" s="26" t="str">
        <x:v>Fixed also failed; assertion failure cannot be attributed to this bug; Assertions failed with measured coverage; paired execution and stage checks determine status</x:v>
      </x:c>
      <x:c r="G1379" s="25" t="str">
        <x:v>true</x:v>
      </x:c>
      <x:c r="H1379" s="25" t="str">
        <x:v>INCONCLUSIVE</x:v>
      </x:c>
      <x:c r="I1379" s="25" t="str">
        <x:v>FAIL</x:v>
      </x:c>
      <x:c r="J1379" s="25" t="str">
        <x:v>FAIL</x:v>
      </x:c>
      <x:c r="K1379" s="25" t="n">
        <x:v>15</x:v>
      </x:c>
      <x:c r="L1379" s="27" t="b">
        <x:v>0</x:v>
      </x:c>
      <x:c r="M1379" s="25" t="str">
        <x:v>Feedback-Directed Random Test Generation/rounds/Round2/state/Jsoup.json</x:v>
      </x:c>
      <x:c r="N1379" s="25" t="str">
        <x:v>Feedback-Directed Random Test Generation/Result_Round2/Jsoup_16/result.json</x:v>
      </x:c>
      <x:c r="O1379" s="25" t="str">
        <x:v>Feedback-Directed Random Test Generation/Result_Round2/Jsoup_16/result.json</x:v>
      </x:c>
      <x:c r="P1379"/>
      <x:c r="Q1379" s="21" t="str"/>
      <x:c r="R1379" s="21" t="str"/>
      <x:c r="S1379" s="21" t="str"/>
      <x:c r="T1379" s="17" t="str">
        <x:v>false</x:v>
      </x:c>
      <x:c r="U1379" s="17" t="str">
        <x:v>true</x:v>
      </x:c>
      <x:c r="V1379" s="17" t="str">
        <x:v>false</x:v>
      </x:c>
    </x:row>
    <x:row r="1380" ht="80" customHeight="1">
      <x:c r="A1380" s="25" t="str">
        <x:v>Jsoup</x:v>
      </x:c>
      <x:c r="B1380" s="25" t="n">
        <x:v>17</x:v>
      </x:c>
      <x:c r="C1380" s="25" t="str">
        <x:v>Round2</x:v>
      </x:c>
      <x:c r="D1380" s="25" t="str">
        <x:v>NOT_REVEALING</x:v>
      </x:c>
      <x:c r="E1380" s="25" t="str">
        <x:v>N/A</x:v>
      </x:c>
      <x:c r="F1380" s="26" t="str">
        <x:v>Same saved validation suite passed on buggy and fixed</x:v>
      </x:c>
      <x:c r="G1380" s="25" t="str">
        <x:v>true</x:v>
      </x:c>
      <x:c r="H1380" s="25" t="str">
        <x:v>NOT_REVEALING</x:v>
      </x:c>
      <x:c r="I1380" s="25" t="str">
        <x:v>PASS</x:v>
      </x:c>
      <x:c r="J1380" s="25" t="str">
        <x:v>PASS</x:v>
      </x:c>
      <x:c r="K1380" s="25" t="n">
        <x:v>2</x:v>
      </x:c>
      <x:c r="L1380" s="27" t="b">
        <x:v>0</x:v>
      </x:c>
      <x:c r="M1380" s="25" t="str">
        <x:v>Feedback-Directed Random Test Generation/rounds/Round2/state/Jsoup.json</x:v>
      </x:c>
      <x:c r="N1380" s="25" t="str">
        <x:v>Feedback-Directed Random Test Generation/Result_Round2/Jsoup_17/result.json</x:v>
      </x:c>
      <x:c r="O1380" s="25" t="str">
        <x:v>Feedback-Directed Random Test Generation/Result_Round2/Jsoup_17/result.json</x:v>
      </x:c>
      <x:c r="P1380"/>
      <x:c r="Q1380" s="21" t="str"/>
      <x:c r="R1380" s="21" t="str"/>
      <x:c r="S1380" s="21" t="str"/>
      <x:c r="T1380" s="17" t="str">
        <x:v>false</x:v>
      </x:c>
      <x:c r="U1380" s="17" t="str">
        <x:v>true</x:v>
      </x:c>
      <x:c r="V1380" s="17" t="str">
        <x:v>false</x:v>
      </x:c>
    </x:row>
    <x:row r="1381" ht="80" customHeight="1">
      <x:c r="A1381" s="25" t="str">
        <x:v>Jsoup</x:v>
      </x:c>
      <x:c r="B1381" s="25" t="n">
        <x:v>18</x:v>
      </x:c>
      <x:c r="C1381" s="25" t="str">
        <x:v>Round2</x:v>
      </x:c>
      <x:c r="D1381" s="25" t="str">
        <x:v>INCONCLUSIVE</x:v>
      </x:c>
      <x:c r="E1381" s="25" t="str">
        <x:v>N/A</x:v>
      </x:c>
      <x:c r="F1381" s="26" t="str">
        <x:v>Fixed also failed; assertion failure cannot be attributed to this bug</x:v>
      </x:c>
      <x:c r="G1381" s="25" t="str">
        <x:v>true</x:v>
      </x:c>
      <x:c r="H1381" s="25" t="str">
        <x:v>INCONCLUSIVE</x:v>
      </x:c>
      <x:c r="I1381" s="25" t="str">
        <x:v>PASS</x:v>
      </x:c>
      <x:c r="J1381" s="25" t="str">
        <x:v>FAIL</x:v>
      </x:c>
      <x:c r="K1381" s="25" t="n">
        <x:v>9</x:v>
      </x:c>
      <x:c r="L1381" s="27" t="b">
        <x:v>0</x:v>
      </x:c>
      <x:c r="M1381" s="25" t="str">
        <x:v>Feedback-Directed Random Test Generation/rounds/Round2/state/Jsoup.json</x:v>
      </x:c>
      <x:c r="N1381" s="25" t="str">
        <x:v>Feedback-Directed Random Test Generation/Result_Round2/Jsoup_18/result.json</x:v>
      </x:c>
      <x:c r="O1381" s="25" t="str">
        <x:v>Feedback-Directed Random Test Generation/Result_Round2/Jsoup_18/result.json</x:v>
      </x:c>
      <x:c r="P1381"/>
      <x:c r="Q1381" s="21" t="str"/>
      <x:c r="R1381" s="21" t="str"/>
      <x:c r="S1381" s="21" t="str"/>
      <x:c r="T1381" s="17" t="str">
        <x:v>false</x:v>
      </x:c>
      <x:c r="U1381" s="17" t="str">
        <x:v>true</x:v>
      </x:c>
      <x:c r="V1381" s="17" t="str">
        <x:v>false</x:v>
      </x:c>
    </x:row>
    <x:row r="1382" ht="80" customHeight="1">
      <x:c r="A1382" s="25" t="str">
        <x:v>Jsoup</x:v>
      </x:c>
      <x:c r="B1382" s="25" t="n">
        <x:v>19</x:v>
      </x:c>
      <x:c r="C1382" s="25" t="str">
        <x:v>Round2</x:v>
      </x:c>
      <x:c r="D1382" s="25" t="str">
        <x:v>NOT_REVEALING</x:v>
      </x:c>
      <x:c r="E1382" s="25" t="str">
        <x:v>N/A</x:v>
      </x:c>
      <x:c r="F1382" s="26" t="str">
        <x:v>Same saved validation suite passed on buggy and fixed</x:v>
      </x:c>
      <x:c r="G1382" s="25" t="str">
        <x:v>true</x:v>
      </x:c>
      <x:c r="H1382" s="25" t="str">
        <x:v>NOT_REVEALING</x:v>
      </x:c>
      <x:c r="I1382" s="25" t="str">
        <x:v>PASS</x:v>
      </x:c>
      <x:c r="J1382" s="25" t="str">
        <x:v>PASS</x:v>
      </x:c>
      <x:c r="K1382" s="25" t="n">
        <x:v>9</x:v>
      </x:c>
      <x:c r="L1382" s="27" t="b">
        <x:v>0</x:v>
      </x:c>
      <x:c r="M1382" s="25" t="str">
        <x:v>Feedback-Directed Random Test Generation/rounds/Round2/state/Jsoup.json</x:v>
      </x:c>
      <x:c r="N1382" s="25" t="str">
        <x:v>Feedback-Directed Random Test Generation/Result_Round2/Jsoup_19/result.json</x:v>
      </x:c>
      <x:c r="O1382" s="25" t="str">
        <x:v>Feedback-Directed Random Test Generation/Result_Round2/Jsoup_19/result.json</x:v>
      </x:c>
      <x:c r="P1382"/>
      <x:c r="Q1382" s="21" t="str"/>
      <x:c r="R1382" s="21" t="str"/>
      <x:c r="S1382" s="21" t="str"/>
      <x:c r="T1382" s="17" t="str">
        <x:v>false</x:v>
      </x:c>
      <x:c r="U1382" s="17" t="str">
        <x:v>true</x:v>
      </x:c>
      <x:c r="V1382" s="17" t="str">
        <x:v>false</x:v>
      </x:c>
    </x:row>
    <x:row r="1383" ht="80" customHeight="1">
      <x:c r="A1383" s="25" t="str">
        <x:v>Jsoup</x:v>
      </x:c>
      <x:c r="B1383" s="25" t="n">
        <x:v>20</x:v>
      </x:c>
      <x:c r="C1383" s="25" t="str">
        <x:v>Round2</x:v>
      </x:c>
      <x:c r="D1383" s="25" t="str">
        <x:v>NOT_REVEALING</x:v>
      </x:c>
      <x:c r="E1383" s="25" t="str">
        <x:v>N/A</x:v>
      </x:c>
      <x:c r="F1383" s="26" t="str">
        <x:v>Same saved validation suite passed on buggy and fixed</x:v>
      </x:c>
      <x:c r="G1383" s="25" t="str">
        <x:v>true</x:v>
      </x:c>
      <x:c r="H1383" s="25" t="str">
        <x:v>NOT_REVEALING</x:v>
      </x:c>
      <x:c r="I1383" s="25" t="str">
        <x:v>PASS</x:v>
      </x:c>
      <x:c r="J1383" s="25" t="str">
        <x:v>PASS</x:v>
      </x:c>
      <x:c r="K1383" s="25" t="n">
        <x:v>2</x:v>
      </x:c>
      <x:c r="L1383" s="27" t="b">
        <x:v>0</x:v>
      </x:c>
      <x:c r="M1383" s="25" t="str">
        <x:v>Feedback-Directed Random Test Generation/rounds/Round2/state/Jsoup.json</x:v>
      </x:c>
      <x:c r="N1383" s="25" t="str">
        <x:v>Feedback-Directed Random Test Generation/Result_Round2/Jsoup_20/result.json</x:v>
      </x:c>
      <x:c r="O1383" s="25" t="str">
        <x:v>Feedback-Directed Random Test Generation/Result_Round2/Jsoup_20/result.json</x:v>
      </x:c>
      <x:c r="P1383"/>
      <x:c r="Q1383" s="21" t="str"/>
      <x:c r="R1383" s="21" t="str"/>
      <x:c r="S1383" s="21" t="str"/>
      <x:c r="T1383" s="17" t="str">
        <x:v>false</x:v>
      </x:c>
      <x:c r="U1383" s="17" t="str">
        <x:v>true</x:v>
      </x:c>
      <x:c r="V1383" s="17" t="str">
        <x:v>false</x:v>
      </x:c>
    </x:row>
    <x:row r="1384" ht="80" customHeight="1">
      <x:c r="A1384" s="25" t="str">
        <x:v>Jsoup</x:v>
      </x:c>
      <x:c r="B1384" s="25" t="n">
        <x:v>21</x:v>
      </x:c>
      <x:c r="C1384" s="25" t="str">
        <x:v>Round2</x:v>
      </x:c>
      <x:c r="D1384" s="25" t="str">
        <x:v>NOT_REVEALING</x:v>
      </x:c>
      <x:c r="E1384" s="25" t="str">
        <x:v>N/A</x:v>
      </x:c>
      <x:c r="F1384" s="26" t="str">
        <x:v>Same saved validation suite passed on buggy and fixed</x:v>
      </x:c>
      <x:c r="G1384" s="25" t="str">
        <x:v>true</x:v>
      </x:c>
      <x:c r="H1384" s="25" t="str">
        <x:v>NOT_REVEALING</x:v>
      </x:c>
      <x:c r="I1384" s="25" t="str">
        <x:v>PASS</x:v>
      </x:c>
      <x:c r="J1384" s="25" t="str">
        <x:v>PASS</x:v>
      </x:c>
      <x:c r="K1384" s="25" t="n">
        <x:v>4</x:v>
      </x:c>
      <x:c r="L1384" s="27" t="b">
        <x:v>0</x:v>
      </x:c>
      <x:c r="M1384" s="25" t="str">
        <x:v>Feedback-Directed Random Test Generation/rounds/Round2/state/Jsoup.json</x:v>
      </x:c>
      <x:c r="N1384" s="25" t="str">
        <x:v>Feedback-Directed Random Test Generation/Result_Round2/Jsoup_21/result.json</x:v>
      </x:c>
      <x:c r="O1384" s="25" t="str">
        <x:v>Feedback-Directed Random Test Generation/Result_Round2/Jsoup_21/result.json</x:v>
      </x:c>
      <x:c r="P1384"/>
      <x:c r="Q1384" s="21" t="str"/>
      <x:c r="R1384" s="21" t="str"/>
      <x:c r="S1384" s="21" t="str"/>
      <x:c r="T1384" s="17" t="str">
        <x:v>false</x:v>
      </x:c>
      <x:c r="U1384" s="17" t="str">
        <x:v>true</x:v>
      </x:c>
      <x:c r="V1384" s="17" t="str">
        <x:v>false</x:v>
      </x:c>
    </x:row>
    <x:row r="1385" ht="80" customHeight="1">
      <x:c r="A1385" s="25" t="str">
        <x:v>Jsoup</x:v>
      </x:c>
      <x:c r="B1385" s="25" t="n">
        <x:v>22</x:v>
      </x:c>
      <x:c r="C1385" s="25" t="str">
        <x:v>Round2</x:v>
      </x:c>
      <x:c r="D1385" s="25" t="str">
        <x:v>NOT_REVEALING</x:v>
      </x:c>
      <x:c r="E1385" s="25" t="str">
        <x:v>N/A</x:v>
      </x:c>
      <x:c r="F1385" s="26" t="str">
        <x:v>Same saved validation suite passed on buggy and fixed</x:v>
      </x:c>
      <x:c r="G1385" s="25" t="str">
        <x:v>true</x:v>
      </x:c>
      <x:c r="H1385" s="25" t="str">
        <x:v>NOT_REVEALING</x:v>
      </x:c>
      <x:c r="I1385" s="25" t="str">
        <x:v>PASS</x:v>
      </x:c>
      <x:c r="J1385" s="25" t="str">
        <x:v>PASS</x:v>
      </x:c>
      <x:c r="K1385" s="25" t="n">
        <x:v>8</x:v>
      </x:c>
      <x:c r="L1385" s="27" t="b">
        <x:v>0</x:v>
      </x:c>
      <x:c r="M1385" s="25" t="str">
        <x:v>Feedback-Directed Random Test Generation/rounds/Round2/state/Jsoup.json</x:v>
      </x:c>
      <x:c r="N1385" s="25" t="str">
        <x:v>Feedback-Directed Random Test Generation/Result_Round2/Jsoup_22/result.json</x:v>
      </x:c>
      <x:c r="O1385" s="25" t="str">
        <x:v>Feedback-Directed Random Test Generation/Result_Round2/Jsoup_22/result.json</x:v>
      </x:c>
      <x:c r="P1385"/>
      <x:c r="Q1385" s="21" t="str"/>
      <x:c r="R1385" s="21" t="str"/>
      <x:c r="S1385" s="21" t="str"/>
      <x:c r="T1385" s="17" t="str">
        <x:v>false</x:v>
      </x:c>
      <x:c r="U1385" s="17" t="str">
        <x:v>true</x:v>
      </x:c>
      <x:c r="V1385" s="17" t="str">
        <x:v>false</x:v>
      </x:c>
    </x:row>
    <x:row r="1386" ht="80" customHeight="1">
      <x:c r="A1386" s="25" t="str">
        <x:v>Jsoup</x:v>
      </x:c>
      <x:c r="B1386" s="25" t="n">
        <x:v>23</x:v>
      </x:c>
      <x:c r="C1386" s="25" t="str">
        <x:v>Round2</x:v>
      </x:c>
      <x:c r="D1386" s="25" t="str">
        <x:v>NOT_REVEALING</x:v>
      </x:c>
      <x:c r="E1386" s="25" t="str">
        <x:v>N/A</x:v>
      </x:c>
      <x:c r="F1386" s="26" t="str">
        <x:v>Same saved validation suite passed on buggy and fixed</x:v>
      </x:c>
      <x:c r="G1386" s="25" t="str">
        <x:v>true</x:v>
      </x:c>
      <x:c r="H1386" s="25" t="str">
        <x:v>NOT_REVEALING</x:v>
      </x:c>
      <x:c r="I1386" s="25" t="str">
        <x:v>PASS</x:v>
      </x:c>
      <x:c r="J1386" s="25" t="str">
        <x:v>PASS</x:v>
      </x:c>
      <x:c r="K1386" s="25" t="n">
        <x:v>11</x:v>
      </x:c>
      <x:c r="L1386" s="27" t="b">
        <x:v>0</x:v>
      </x:c>
      <x:c r="M1386" s="25" t="str">
        <x:v>Feedback-Directed Random Test Generation/rounds/Round2/state/Jsoup.json</x:v>
      </x:c>
      <x:c r="N1386" s="25" t="str">
        <x:v>Feedback-Directed Random Test Generation/Result_Round2/Jsoup_23/result.json</x:v>
      </x:c>
      <x:c r="O1386" s="25" t="str">
        <x:v>Feedback-Directed Random Test Generation/Result_Round2/Jsoup_23/result.json</x:v>
      </x:c>
      <x:c r="P1386"/>
      <x:c r="Q1386" s="21" t="str"/>
      <x:c r="R1386" s="21" t="str"/>
      <x:c r="S1386" s="21" t="str"/>
      <x:c r="T1386" s="17" t="str">
        <x:v>false</x:v>
      </x:c>
      <x:c r="U1386" s="17" t="str">
        <x:v>true</x:v>
      </x:c>
      <x:c r="V1386" s="17" t="str">
        <x:v>false</x:v>
      </x:c>
    </x:row>
    <x:row r="1387" ht="80" customHeight="1">
      <x:c r="A1387" s="25" t="str">
        <x:v>Jsoup</x:v>
      </x:c>
      <x:c r="B1387" s="25" t="n">
        <x:v>24</x:v>
      </x:c>
      <x:c r="C1387" s="25" t="str">
        <x:v>Round2</x:v>
      </x:c>
      <x:c r="D1387" s="25" t="str">
        <x:v>NOT_REVEALING</x:v>
      </x:c>
      <x:c r="E1387" s="25" t="str">
        <x:v>N/A</x:v>
      </x:c>
      <x:c r="F1387" s="26" t="str">
        <x:v>Same saved validation suite passed on buggy and fixed</x:v>
      </x:c>
      <x:c r="G1387" s="25" t="str">
        <x:v>true</x:v>
      </x:c>
      <x:c r="H1387" s="25" t="str">
        <x:v>NOT_REVEALING</x:v>
      </x:c>
      <x:c r="I1387" s="25" t="str">
        <x:v>PASS</x:v>
      </x:c>
      <x:c r="J1387" s="25" t="str">
        <x:v>PASS</x:v>
      </x:c>
      <x:c r="K1387" s="25" t="n">
        <x:v>2</x:v>
      </x:c>
      <x:c r="L1387" s="27" t="b">
        <x:v>0</x:v>
      </x:c>
      <x:c r="M1387" s="25" t="str">
        <x:v>Feedback-Directed Random Test Generation/rounds/Round2/state/Jsoup.json</x:v>
      </x:c>
      <x:c r="N1387" s="25" t="str">
        <x:v>Feedback-Directed Random Test Generation/Result_Round2/Jsoup_24/result.json</x:v>
      </x:c>
      <x:c r="O1387" s="25" t="str">
        <x:v>Feedback-Directed Random Test Generation/Result_Round2/Jsoup_24/result.json</x:v>
      </x:c>
      <x:c r="P1387"/>
      <x:c r="Q1387" s="21" t="str"/>
      <x:c r="R1387" s="21" t="str"/>
      <x:c r="S1387" s="21" t="str"/>
      <x:c r="T1387" s="17" t="str">
        <x:v>false</x:v>
      </x:c>
      <x:c r="U1387" s="17" t="str">
        <x:v>true</x:v>
      </x:c>
      <x:c r="V1387" s="17" t="str">
        <x:v>false</x:v>
      </x:c>
    </x:row>
    <x:row r="1388" ht="80" customHeight="1">
      <x:c r="A1388" s="25" t="str">
        <x:v>Jsoup</x:v>
      </x:c>
      <x:c r="B1388" s="25" t="n">
        <x:v>25</x:v>
      </x:c>
      <x:c r="C1388" s="25" t="str">
        <x:v>Round2</x:v>
      </x:c>
      <x:c r="D1388" s="25" t="str">
        <x:v>NOT_REVEALING</x:v>
      </x:c>
      <x:c r="E1388" s="25" t="str">
        <x:v>N/A</x:v>
      </x:c>
      <x:c r="F1388" s="26" t="str">
        <x:v>Same saved validation suite passed on buggy and fixed</x:v>
      </x:c>
      <x:c r="G1388" s="25" t="str">
        <x:v>true</x:v>
      </x:c>
      <x:c r="H1388" s="25" t="str">
        <x:v>NOT_REVEALING</x:v>
      </x:c>
      <x:c r="I1388" s="25" t="str">
        <x:v>PASS</x:v>
      </x:c>
      <x:c r="J1388" s="25" t="str">
        <x:v>PASS</x:v>
      </x:c>
      <x:c r="K1388" s="25" t="n">
        <x:v>10</x:v>
      </x:c>
      <x:c r="L1388" s="27" t="b">
        <x:v>0</x:v>
      </x:c>
      <x:c r="M1388" s="25" t="str">
        <x:v>Feedback-Directed Random Test Generation/rounds/Round2/state/Jsoup.json</x:v>
      </x:c>
      <x:c r="N1388" s="25" t="str">
        <x:v>Feedback-Directed Random Test Generation/Result_Round2/Jsoup_25/result.json</x:v>
      </x:c>
      <x:c r="O1388" s="25" t="str">
        <x:v>Feedback-Directed Random Test Generation/Result_Round2/Jsoup_25/result.json</x:v>
      </x:c>
      <x:c r="P1388"/>
      <x:c r="Q1388" s="21" t="str"/>
      <x:c r="R1388" s="21" t="str"/>
      <x:c r="S1388" s="21" t="str"/>
      <x:c r="T1388" s="17" t="str">
        <x:v>false</x:v>
      </x:c>
      <x:c r="U1388" s="17" t="str">
        <x:v>true</x:v>
      </x:c>
      <x:c r="V1388" s="17" t="str">
        <x:v>false</x:v>
      </x:c>
    </x:row>
    <x:row r="1389" ht="80" customHeight="1">
      <x:c r="A1389" s="25" t="str">
        <x:v>Jsoup</x:v>
      </x:c>
      <x:c r="B1389" s="25" t="n">
        <x:v>26</x:v>
      </x:c>
      <x:c r="C1389" s="25" t="str">
        <x:v>Round2</x:v>
      </x:c>
      <x:c r="D1389" s="25" t="str">
        <x:v>NOT_REVEALING</x:v>
      </x:c>
      <x:c r="E1389" s="25" t="str">
        <x:v>N/A</x:v>
      </x:c>
      <x:c r="F1389" s="26" t="str">
        <x:v>Same saved validation suite passed on buggy and fixed</x:v>
      </x:c>
      <x:c r="G1389" s="25" t="str">
        <x:v>true</x:v>
      </x:c>
      <x:c r="H1389" s="25" t="str">
        <x:v>NOT_REVEALING</x:v>
      </x:c>
      <x:c r="I1389" s="25" t="str">
        <x:v>PASS</x:v>
      </x:c>
      <x:c r="J1389" s="25" t="str">
        <x:v>PASS</x:v>
      </x:c>
      <x:c r="K1389" s="25" t="n">
        <x:v>2</x:v>
      </x:c>
      <x:c r="L1389" s="27" t="b">
        <x:v>0</x:v>
      </x:c>
      <x:c r="M1389" s="25" t="str">
        <x:v>Feedback-Directed Random Test Generation/rounds/Round2/state/Jsoup.json</x:v>
      </x:c>
      <x:c r="N1389" s="25" t="str">
        <x:v>Feedback-Directed Random Test Generation/Result_Round2/Jsoup_26/result.json</x:v>
      </x:c>
      <x:c r="O1389" s="25" t="str">
        <x:v>Feedback-Directed Random Test Generation/Result_Round2/Jsoup_26/result.json</x:v>
      </x:c>
      <x:c r="P1389"/>
      <x:c r="Q1389" s="21" t="str"/>
      <x:c r="R1389" s="21" t="str"/>
      <x:c r="S1389" s="21" t="str"/>
      <x:c r="T1389" s="17" t="str">
        <x:v>false</x:v>
      </x:c>
      <x:c r="U1389" s="17" t="str">
        <x:v>true</x:v>
      </x:c>
      <x:c r="V1389" s="17" t="str">
        <x:v>false</x:v>
      </x:c>
    </x:row>
    <x:row r="1390" ht="80" customHeight="1">
      <x:c r="A1390" s="25" t="str">
        <x:v>Jsoup</x:v>
      </x:c>
      <x:c r="B1390" s="25" t="n">
        <x:v>27</x:v>
      </x:c>
      <x:c r="C1390" s="25" t="str">
        <x:v>Round2</x:v>
      </x:c>
      <x:c r="D1390" s="25" t="str">
        <x:v>NOT_REVEALING</x:v>
      </x:c>
      <x:c r="E1390" s="25" t="str">
        <x:v>N/A</x:v>
      </x:c>
      <x:c r="F1390" s="26" t="str">
        <x:v>Same saved validation suite passed on buggy and fixed</x:v>
      </x:c>
      <x:c r="G1390" s="25" t="str">
        <x:v>true</x:v>
      </x:c>
      <x:c r="H1390" s="25" t="str">
        <x:v>NOT_REVEALING</x:v>
      </x:c>
      <x:c r="I1390" s="25" t="str">
        <x:v>PASS</x:v>
      </x:c>
      <x:c r="J1390" s="25" t="str">
        <x:v>PASS</x:v>
      </x:c>
      <x:c r="K1390" s="25" t="n">
        <x:v>2</x:v>
      </x:c>
      <x:c r="L1390" s="27" t="b">
        <x:v>0</x:v>
      </x:c>
      <x:c r="M1390" s="25" t="str">
        <x:v>Feedback-Directed Random Test Generation/rounds/Round2/state/Jsoup.json</x:v>
      </x:c>
      <x:c r="N1390" s="25" t="str">
        <x:v>Feedback-Directed Random Test Generation/Result_Round2/Jsoup_27/result.json</x:v>
      </x:c>
      <x:c r="O1390" s="25" t="str">
        <x:v>Feedback-Directed Random Test Generation/Result_Round2/Jsoup_27/result.json</x:v>
      </x:c>
      <x:c r="P1390"/>
      <x:c r="Q1390" s="21" t="str"/>
      <x:c r="R1390" s="21" t="str"/>
      <x:c r="S1390" s="21" t="str"/>
      <x:c r="T1390" s="17" t="str">
        <x:v>false</x:v>
      </x:c>
      <x:c r="U1390" s="17" t="str">
        <x:v>true</x:v>
      </x:c>
      <x:c r="V1390" s="17" t="str">
        <x:v>false</x:v>
      </x:c>
    </x:row>
    <x:row r="1391" ht="80" customHeight="1">
      <x:c r="A1391" s="25" t="str">
        <x:v>Jsoup</x:v>
      </x:c>
      <x:c r="B1391" s="25" t="n">
        <x:v>28</x:v>
      </x:c>
      <x:c r="C1391" s="25" t="str">
        <x:v>Round2</x:v>
      </x:c>
      <x:c r="D1391" s="25" t="str">
        <x:v>NOT_REVEALING</x:v>
      </x:c>
      <x:c r="E1391" s="25" t="str">
        <x:v>N/A</x:v>
      </x:c>
      <x:c r="F1391" s="26" t="str">
        <x:v>Same saved validation suite passed on buggy and fixed</x:v>
      </x:c>
      <x:c r="G1391" s="25" t="str">
        <x:v>true</x:v>
      </x:c>
      <x:c r="H1391" s="25" t="str">
        <x:v>NOT_REVEALING</x:v>
      </x:c>
      <x:c r="I1391" s="25" t="str">
        <x:v>PASS</x:v>
      </x:c>
      <x:c r="J1391" s="25" t="str">
        <x:v>PASS</x:v>
      </x:c>
      <x:c r="K1391" s="25" t="n">
        <x:v>9</x:v>
      </x:c>
      <x:c r="L1391" s="27" t="b">
        <x:v>0</x:v>
      </x:c>
      <x:c r="M1391" s="25" t="str">
        <x:v>Feedback-Directed Random Test Generation/rounds/Round2/state/Jsoup.json</x:v>
      </x:c>
      <x:c r="N1391" s="25" t="str">
        <x:v>Feedback-Directed Random Test Generation/Result_Round2/Jsoup_28/result.json</x:v>
      </x:c>
      <x:c r="O1391" s="25" t="str">
        <x:v>Feedback-Directed Random Test Generation/Result_Round2/Jsoup_28/result.json</x:v>
      </x:c>
      <x:c r="P1391"/>
      <x:c r="Q1391" s="21" t="str"/>
      <x:c r="R1391" s="21" t="str"/>
      <x:c r="S1391" s="21" t="str"/>
      <x:c r="T1391" s="17" t="str">
        <x:v>false</x:v>
      </x:c>
      <x:c r="U1391" s="17" t="str">
        <x:v>true</x:v>
      </x:c>
      <x:c r="V1391" s="17" t="str">
        <x:v>false</x:v>
      </x:c>
    </x:row>
    <x:row r="1392" ht="80" customHeight="1">
      <x:c r="A1392" s="25" t="str">
        <x:v>Jsoup</x:v>
      </x:c>
      <x:c r="B1392" s="25" t="n">
        <x:v>29</x:v>
      </x:c>
      <x:c r="C1392" s="25" t="str">
        <x:v>Round2</x:v>
      </x:c>
      <x:c r="D1392" s="25" t="str">
        <x:v>INCONCLUSIVE</x:v>
      </x:c>
      <x:c r="E1392" s="25" t="str">
        <x:v>N/A</x:v>
      </x:c>
      <x:c r="F1392" s="26" t="str">
        <x:v>Fixed also failed; assertion failure cannot be attributed to this bug; Assertions failed with measured coverage; paired execution and stage checks determine status</x:v>
      </x:c>
      <x:c r="G1392" s="25" t="str">
        <x:v>true</x:v>
      </x:c>
      <x:c r="H1392" s="25" t="str">
        <x:v>INCONCLUSIVE</x:v>
      </x:c>
      <x:c r="I1392" s="25" t="str">
        <x:v>FAIL</x:v>
      </x:c>
      <x:c r="J1392" s="25" t="str">
        <x:v>FAIL</x:v>
      </x:c>
      <x:c r="K1392" s="25" t="n">
        <x:v>11</x:v>
      </x:c>
      <x:c r="L1392" s="27" t="b">
        <x:v>0</x:v>
      </x:c>
      <x:c r="M1392" s="25" t="str">
        <x:v>Feedback-Directed Random Test Generation/rounds/Round2/state/Jsoup.json</x:v>
      </x:c>
      <x:c r="N1392" s="25" t="str">
        <x:v>Feedback-Directed Random Test Generation/Result_Round2/Jsoup_29/result.json</x:v>
      </x:c>
      <x:c r="O1392" s="25" t="str">
        <x:v>Feedback-Directed Random Test Generation/Result_Round2/Jsoup_29/result.json</x:v>
      </x:c>
      <x:c r="P1392"/>
      <x:c r="Q1392" s="21" t="str"/>
      <x:c r="R1392" s="21" t="str"/>
      <x:c r="S1392" s="21" t="str"/>
      <x:c r="T1392" s="17" t="str">
        <x:v>false</x:v>
      </x:c>
      <x:c r="U1392" s="17" t="str">
        <x:v>true</x:v>
      </x:c>
      <x:c r="V1392" s="17" t="str">
        <x:v>false</x:v>
      </x:c>
    </x:row>
    <x:row r="1393" ht="80" customHeight="1">
      <x:c r="A1393" s="25" t="str">
        <x:v>Jsoup</x:v>
      </x:c>
      <x:c r="B1393" s="25" t="n">
        <x:v>30</x:v>
      </x:c>
      <x:c r="C1393" s="25" t="str">
        <x:v>Round2</x:v>
      </x:c>
      <x:c r="D1393" s="25" t="str">
        <x:v>NOT_REVEALING</x:v>
      </x:c>
      <x:c r="E1393" s="25" t="str">
        <x:v>N/A</x:v>
      </x:c>
      <x:c r="F1393" s="26" t="str">
        <x:v>Same saved validation suite passed on buggy and fixed</x:v>
      </x:c>
      <x:c r="G1393" s="25" t="str">
        <x:v>true</x:v>
      </x:c>
      <x:c r="H1393" s="25" t="str">
        <x:v>NOT_REVEALING</x:v>
      </x:c>
      <x:c r="I1393" s="25" t="str">
        <x:v>PASS</x:v>
      </x:c>
      <x:c r="J1393" s="25" t="str">
        <x:v>PASS</x:v>
      </x:c>
      <x:c r="K1393" s="25" t="n">
        <x:v>2</x:v>
      </x:c>
      <x:c r="L1393" s="27" t="b">
        <x:v>0</x:v>
      </x:c>
      <x:c r="M1393" s="25" t="str">
        <x:v>Feedback-Directed Random Test Generation/rounds/Round2/state/Jsoup.json</x:v>
      </x:c>
      <x:c r="N1393" s="25" t="str">
        <x:v>Feedback-Directed Random Test Generation/Result_Round2/Jsoup_30/result.json</x:v>
      </x:c>
      <x:c r="O1393" s="25" t="str">
        <x:v>Feedback-Directed Random Test Generation/Result_Round2/Jsoup_30/result.json</x:v>
      </x:c>
      <x:c r="P1393"/>
      <x:c r="Q1393" s="21" t="str"/>
      <x:c r="R1393" s="21" t="str"/>
      <x:c r="S1393" s="21" t="str"/>
      <x:c r="T1393" s="17" t="str">
        <x:v>false</x:v>
      </x:c>
      <x:c r="U1393" s="17" t="str">
        <x:v>true</x:v>
      </x:c>
      <x:c r="V1393" s="17" t="str">
        <x:v>false</x:v>
      </x:c>
    </x:row>
    <x:row r="1394" ht="80" customHeight="1">
      <x:c r="A1394" s="25" t="str">
        <x:v>Jsoup</x:v>
      </x:c>
      <x:c r="B1394" s="25" t="n">
        <x:v>31</x:v>
      </x:c>
      <x:c r="C1394" s="25" t="str">
        <x:v>Round2</x:v>
      </x:c>
      <x:c r="D1394" s="25" t="str">
        <x:v>INCONCLUSIVE</x:v>
      </x:c>
      <x:c r="E1394" s="25" t="str">
        <x:v>N/A</x:v>
      </x:c>
      <x:c r="F1394" s="26" t="str">
        <x:v>Fixed also failed; assertion failure cannot be attributed to this bug; Assertions failed with measured coverage; paired execution and stage checks determine status</x:v>
      </x:c>
      <x:c r="G1394" s="25" t="str">
        <x:v>true</x:v>
      </x:c>
      <x:c r="H1394" s="25" t="str">
        <x:v>INCONCLUSIVE</x:v>
      </x:c>
      <x:c r="I1394" s="25" t="str">
        <x:v>FAIL</x:v>
      </x:c>
      <x:c r="J1394" s="25" t="str">
        <x:v>FAIL</x:v>
      </x:c>
      <x:c r="K1394" s="25" t="n">
        <x:v>12</x:v>
      </x:c>
      <x:c r="L1394" s="27" t="b">
        <x:v>0</x:v>
      </x:c>
      <x:c r="M1394" s="25" t="str">
        <x:v>Feedback-Directed Random Test Generation/rounds/Round2/state/Jsoup.json</x:v>
      </x:c>
      <x:c r="N1394" s="25" t="str">
        <x:v>Feedback-Directed Random Test Generation/Result_Round2/Jsoup_31/result.json</x:v>
      </x:c>
      <x:c r="O1394" s="25" t="str">
        <x:v>Feedback-Directed Random Test Generation/Result_Round2/Jsoup_31/result.json</x:v>
      </x:c>
      <x:c r="P1394"/>
      <x:c r="Q1394" s="21" t="str"/>
      <x:c r="R1394" s="21" t="str"/>
      <x:c r="S1394" s="21" t="str"/>
      <x:c r="T1394" s="17" t="str">
        <x:v>false</x:v>
      </x:c>
      <x:c r="U1394" s="17" t="str">
        <x:v>true</x:v>
      </x:c>
      <x:c r="V1394" s="17" t="str">
        <x:v>false</x:v>
      </x:c>
    </x:row>
    <x:row r="1395" ht="80" customHeight="1">
      <x:c r="A1395" s="25" t="str">
        <x:v>Jsoup</x:v>
      </x:c>
      <x:c r="B1395" s="25" t="n">
        <x:v>32</x:v>
      </x:c>
      <x:c r="C1395" s="25" t="str">
        <x:v>Round2</x:v>
      </x:c>
      <x:c r="D1395" s="25" t="str">
        <x:v>NOT_REVEALING</x:v>
      </x:c>
      <x:c r="E1395" s="25" t="str">
        <x:v>N/A</x:v>
      </x:c>
      <x:c r="F1395" s="26" t="str">
        <x:v>Same saved validation suite passed on buggy and fixed</x:v>
      </x:c>
      <x:c r="G1395" s="25" t="str">
        <x:v>true</x:v>
      </x:c>
      <x:c r="H1395" s="25" t="str">
        <x:v>NOT_REVEALING</x:v>
      </x:c>
      <x:c r="I1395" s="25" t="str">
        <x:v>PASS</x:v>
      </x:c>
      <x:c r="J1395" s="25" t="str">
        <x:v>PASS</x:v>
      </x:c>
      <x:c r="K1395" s="25" t="n">
        <x:v>2</x:v>
      </x:c>
      <x:c r="L1395" s="27" t="b">
        <x:v>0</x:v>
      </x:c>
      <x:c r="M1395" s="25" t="str">
        <x:v>Feedback-Directed Random Test Generation/rounds/Round2/state/Jsoup.json</x:v>
      </x:c>
      <x:c r="N1395" s="25" t="str">
        <x:v>Feedback-Directed Random Test Generation/Result_Round2/Jsoup_32/result.json</x:v>
      </x:c>
      <x:c r="O1395" s="25" t="str">
        <x:v>Feedback-Directed Random Test Generation/Result_Round2/Jsoup_32/result.json</x:v>
      </x:c>
      <x:c r="P1395"/>
      <x:c r="Q1395" s="21" t="str"/>
      <x:c r="R1395" s="21" t="str"/>
      <x:c r="S1395" s="21" t="str"/>
      <x:c r="T1395" s="17" t="str">
        <x:v>false</x:v>
      </x:c>
      <x:c r="U1395" s="17" t="str">
        <x:v>true</x:v>
      </x:c>
      <x:c r="V1395" s="17" t="str">
        <x:v>false</x:v>
      </x:c>
    </x:row>
    <x:row r="1396" ht="80" customHeight="1">
      <x:c r="A1396" s="25" t="str">
        <x:v>Jsoup</x:v>
      </x:c>
      <x:c r="B1396" s="25" t="n">
        <x:v>33</x:v>
      </x:c>
      <x:c r="C1396" s="25" t="str">
        <x:v>Round2</x:v>
      </x:c>
      <x:c r="D1396" s="25" t="str">
        <x:v>INCONCLUSIVE</x:v>
      </x:c>
      <x:c r="E1396" s="25" t="str">
        <x:v>N/A</x:v>
      </x:c>
      <x:c r="F1396" s="26" t="str">
        <x:v>Fixed also failed; assertion failure cannot be attributed to this bug; Assertions failed with measured coverage; paired execution and stage checks determine status</x:v>
      </x:c>
      <x:c r="G1396" s="25" t="str">
        <x:v>true</x:v>
      </x:c>
      <x:c r="H1396" s="25" t="str">
        <x:v>INCONCLUSIVE</x:v>
      </x:c>
      <x:c r="I1396" s="25" t="str">
        <x:v>FAIL</x:v>
      </x:c>
      <x:c r="J1396" s="25" t="str">
        <x:v>FAIL</x:v>
      </x:c>
      <x:c r="K1396" s="25" t="n">
        <x:v>12</x:v>
      </x:c>
      <x:c r="L1396" s="27" t="b">
        <x:v>0</x:v>
      </x:c>
      <x:c r="M1396" s="25" t="str">
        <x:v>Feedback-Directed Random Test Generation/rounds/Round2/state/Jsoup.json</x:v>
      </x:c>
      <x:c r="N1396" s="25" t="str">
        <x:v>Feedback-Directed Random Test Generation/Result_Round2/Jsoup_33/result.json</x:v>
      </x:c>
      <x:c r="O1396" s="25" t="str">
        <x:v>Feedback-Directed Random Test Generation/Result_Round2/Jsoup_33/result.json</x:v>
      </x:c>
      <x:c r="P1396"/>
      <x:c r="Q1396" s="21" t="str"/>
      <x:c r="R1396" s="21" t="str"/>
      <x:c r="S1396" s="21" t="str"/>
      <x:c r="T1396" s="17" t="str">
        <x:v>false</x:v>
      </x:c>
      <x:c r="U1396" s="17" t="str">
        <x:v>true</x:v>
      </x:c>
      <x:c r="V1396" s="17" t="str">
        <x:v>false</x:v>
      </x:c>
    </x:row>
    <x:row r="1397" ht="80" customHeight="1">
      <x:c r="A1397" s="25" t="str">
        <x:v>Jsoup</x:v>
      </x:c>
      <x:c r="B1397" s="25" t="n">
        <x:v>34</x:v>
      </x:c>
      <x:c r="C1397" s="25" t="str">
        <x:v>Round2</x:v>
      </x:c>
      <x:c r="D1397" s="25" t="str">
        <x:v>NOT_REVEALING</x:v>
      </x:c>
      <x:c r="E1397" s="25" t="str">
        <x:v>N/A</x:v>
      </x:c>
      <x:c r="F1397" s="26" t="str">
        <x:v>Same saved validation suite passed on buggy and fixed</x:v>
      </x:c>
      <x:c r="G1397" s="25" t="str">
        <x:v>true</x:v>
      </x:c>
      <x:c r="H1397" s="25" t="str">
        <x:v>NOT_REVEALING</x:v>
      </x:c>
      <x:c r="I1397" s="25" t="str">
        <x:v>PASS</x:v>
      </x:c>
      <x:c r="J1397" s="25" t="str">
        <x:v>PASS</x:v>
      </x:c>
      <x:c r="K1397" s="25" t="n">
        <x:v>11</x:v>
      </x:c>
      <x:c r="L1397" s="27" t="b">
        <x:v>0</x:v>
      </x:c>
      <x:c r="M1397" s="25" t="str">
        <x:v>Feedback-Directed Random Test Generation/rounds/Round2/state/Jsoup.json</x:v>
      </x:c>
      <x:c r="N1397" s="25" t="str">
        <x:v>Feedback-Directed Random Test Generation/Result_Round2/Jsoup_34/result.json</x:v>
      </x:c>
      <x:c r="O1397" s="25" t="str">
        <x:v>Feedback-Directed Random Test Generation/Result_Round2/Jsoup_34/result.json</x:v>
      </x:c>
      <x:c r="P1397"/>
      <x:c r="Q1397" s="21" t="str"/>
      <x:c r="R1397" s="21" t="str"/>
      <x:c r="S1397" s="21" t="str"/>
      <x:c r="T1397" s="17" t="str">
        <x:v>false</x:v>
      </x:c>
      <x:c r="U1397" s="17" t="str">
        <x:v>true</x:v>
      </x:c>
      <x:c r="V1397" s="17" t="str">
        <x:v>false</x:v>
      </x:c>
    </x:row>
    <x:row r="1398" ht="80" customHeight="1">
      <x:c r="A1398" s="25" t="str">
        <x:v>Jsoup</x:v>
      </x:c>
      <x:c r="B1398" s="25" t="n">
        <x:v>35</x:v>
      </x:c>
      <x:c r="C1398" s="25" t="str">
        <x:v>Round2</x:v>
      </x:c>
      <x:c r="D1398" s="25" t="str">
        <x:v>NOT_REVEALING</x:v>
      </x:c>
      <x:c r="E1398" s="25" t="str">
        <x:v>N/A</x:v>
      </x:c>
      <x:c r="F1398" s="26" t="str">
        <x:v>Same saved validation suite passed on buggy and fixed</x:v>
      </x:c>
      <x:c r="G1398" s="25" t="str">
        <x:v>true</x:v>
      </x:c>
      <x:c r="H1398" s="25" t="str">
        <x:v>NOT_REVEALING</x:v>
      </x:c>
      <x:c r="I1398" s="25" t="str">
        <x:v>PASS</x:v>
      </x:c>
      <x:c r="J1398" s="25" t="str">
        <x:v>PASS</x:v>
      </x:c>
      <x:c r="K1398" s="25" t="n">
        <x:v>2</x:v>
      </x:c>
      <x:c r="L1398" s="27" t="b">
        <x:v>0</x:v>
      </x:c>
      <x:c r="M1398" s="25" t="str">
        <x:v>Feedback-Directed Random Test Generation/rounds/Round2/state/Jsoup.json</x:v>
      </x:c>
      <x:c r="N1398" s="25" t="str">
        <x:v>Feedback-Directed Random Test Generation/Result_Round2/Jsoup_35/result.json</x:v>
      </x:c>
      <x:c r="O1398" s="25" t="str">
        <x:v>Feedback-Directed Random Test Generation/Result_Round2/Jsoup_35/result.json</x:v>
      </x:c>
      <x:c r="P1398"/>
      <x:c r="Q1398" s="21" t="str"/>
      <x:c r="R1398" s="21" t="str"/>
      <x:c r="S1398" s="21" t="str"/>
      <x:c r="T1398" s="17" t="str">
        <x:v>false</x:v>
      </x:c>
      <x:c r="U1398" s="17" t="str">
        <x:v>true</x:v>
      </x:c>
      <x:c r="V1398" s="17" t="str">
        <x:v>false</x:v>
      </x:c>
    </x:row>
    <x:row r="1399" ht="80" customHeight="1">
      <x:c r="A1399" s="25" t="str">
        <x:v>Jsoup</x:v>
      </x:c>
      <x:c r="B1399" s="25" t="n">
        <x:v>36</x:v>
      </x:c>
      <x:c r="C1399" s="25" t="str">
        <x:v>Round2</x:v>
      </x:c>
      <x:c r="D1399" s="25" t="str">
        <x:v>NOT_REVEALING</x:v>
      </x:c>
      <x:c r="E1399" s="25" t="str">
        <x:v>N/A</x:v>
      </x:c>
      <x:c r="F1399" s="26" t="str">
        <x:v>Same saved validation suite passed on buggy and fixed</x:v>
      </x:c>
      <x:c r="G1399" s="25" t="str">
        <x:v>true</x:v>
      </x:c>
      <x:c r="H1399" s="25" t="str">
        <x:v>NOT_REVEALING</x:v>
      </x:c>
      <x:c r="I1399" s="25" t="str">
        <x:v>PASS</x:v>
      </x:c>
      <x:c r="J1399" s="25" t="str">
        <x:v>PASS</x:v>
      </x:c>
      <x:c r="K1399" s="25" t="n">
        <x:v>2</x:v>
      </x:c>
      <x:c r="L1399" s="27" t="b">
        <x:v>0</x:v>
      </x:c>
      <x:c r="M1399" s="25" t="str">
        <x:v>Feedback-Directed Random Test Generation/rounds/Round2/state/Jsoup.json</x:v>
      </x:c>
      <x:c r="N1399" s="25" t="str">
        <x:v>Feedback-Directed Random Test Generation/Result_Round2/Jsoup_36/result.json</x:v>
      </x:c>
      <x:c r="O1399" s="25" t="str">
        <x:v>Feedback-Directed Random Test Generation/Result_Round2/Jsoup_36/result.json</x:v>
      </x:c>
      <x:c r="P1399"/>
      <x:c r="Q1399" s="21" t="str"/>
      <x:c r="R1399" s="21" t="str"/>
      <x:c r="S1399" s="21" t="str"/>
      <x:c r="T1399" s="17" t="str">
        <x:v>false</x:v>
      </x:c>
      <x:c r="U1399" s="17" t="str">
        <x:v>true</x:v>
      </x:c>
      <x:c r="V1399" s="17" t="str">
        <x:v>false</x:v>
      </x:c>
    </x:row>
    <x:row r="1400" ht="80" customHeight="1">
      <x:c r="A1400" s="25" t="str">
        <x:v>Jsoup</x:v>
      </x:c>
      <x:c r="B1400" s="25" t="n">
        <x:v>37</x:v>
      </x:c>
      <x:c r="C1400" s="25" t="str">
        <x:v>Round2</x:v>
      </x:c>
      <x:c r="D1400" s="25" t="str">
        <x:v>NOT_REVEALING</x:v>
      </x:c>
      <x:c r="E1400" s="25" t="str">
        <x:v>N/A</x:v>
      </x:c>
      <x:c r="F1400" s="26" t="str">
        <x:v>Same saved validation suite passed on buggy and fixed</x:v>
      </x:c>
      <x:c r="G1400" s="25" t="str">
        <x:v>true</x:v>
      </x:c>
      <x:c r="H1400" s="25" t="str">
        <x:v>NOT_REVEALING</x:v>
      </x:c>
      <x:c r="I1400" s="25" t="str">
        <x:v>PASS</x:v>
      </x:c>
      <x:c r="J1400" s="25" t="str">
        <x:v>PASS</x:v>
      </x:c>
      <x:c r="K1400" s="25" t="n">
        <x:v>2</x:v>
      </x:c>
      <x:c r="L1400" s="27" t="b">
        <x:v>0</x:v>
      </x:c>
      <x:c r="M1400" s="25" t="str">
        <x:v>Feedback-Directed Random Test Generation/rounds/Round2/state/Jsoup.json</x:v>
      </x:c>
      <x:c r="N1400" s="25" t="str">
        <x:v>Feedback-Directed Random Test Generation/Result_Round2/Jsoup_37/result.json</x:v>
      </x:c>
      <x:c r="O1400" s="25" t="str">
        <x:v>Feedback-Directed Random Test Generation/Result_Round2/Jsoup_37/result.json</x:v>
      </x:c>
      <x:c r="P1400"/>
      <x:c r="Q1400" s="21" t="str"/>
      <x:c r="R1400" s="21" t="str"/>
      <x:c r="S1400" s="21" t="str"/>
      <x:c r="T1400" s="17" t="str">
        <x:v>false</x:v>
      </x:c>
      <x:c r="U1400" s="17" t="str">
        <x:v>true</x:v>
      </x:c>
      <x:c r="V1400" s="17" t="str">
        <x:v>false</x:v>
      </x:c>
    </x:row>
    <x:row r="1401" ht="80" customHeight="1">
      <x:c r="A1401" s="25" t="str">
        <x:v>Jsoup</x:v>
      </x:c>
      <x:c r="B1401" s="25" t="n">
        <x:v>38</x:v>
      </x:c>
      <x:c r="C1401" s="25" t="str">
        <x:v>Round2</x:v>
      </x:c>
      <x:c r="D1401" s="25" t="str">
        <x:v>NOT_REVEALING</x:v>
      </x:c>
      <x:c r="E1401" s="25" t="str">
        <x:v>N/A</x:v>
      </x:c>
      <x:c r="F1401" s="26" t="str">
        <x:v>Same saved validation suite passed on buggy and fixed</x:v>
      </x:c>
      <x:c r="G1401" s="25" t="str">
        <x:v>true</x:v>
      </x:c>
      <x:c r="H1401" s="25" t="str">
        <x:v>NOT_REVEALING</x:v>
      </x:c>
      <x:c r="I1401" s="25" t="str">
        <x:v>PASS</x:v>
      </x:c>
      <x:c r="J1401" s="25" t="str">
        <x:v>PASS</x:v>
      </x:c>
      <x:c r="K1401" s="25" t="n">
        <x:v>2</x:v>
      </x:c>
      <x:c r="L1401" s="27" t="b">
        <x:v>0</x:v>
      </x:c>
      <x:c r="M1401" s="25" t="str">
        <x:v>Feedback-Directed Random Test Generation/rounds/Round2/state/Jsoup.json</x:v>
      </x:c>
      <x:c r="N1401" s="25" t="str">
        <x:v>Feedback-Directed Random Test Generation/Result_Round2/Jsoup_38/result.json</x:v>
      </x:c>
      <x:c r="O1401" s="25" t="str">
        <x:v>Feedback-Directed Random Test Generation/Result_Round2/Jsoup_38/result.json</x:v>
      </x:c>
      <x:c r="P1401"/>
      <x:c r="Q1401" s="21" t="str"/>
      <x:c r="R1401" s="21" t="str"/>
      <x:c r="S1401" s="21" t="str"/>
      <x:c r="T1401" s="17" t="str">
        <x:v>false</x:v>
      </x:c>
      <x:c r="U1401" s="17" t="str">
        <x:v>true</x:v>
      </x:c>
      <x:c r="V1401" s="17" t="str">
        <x:v>false</x:v>
      </x:c>
    </x:row>
    <x:row r="1402" ht="80" customHeight="1">
      <x:c r="A1402" s="25" t="str">
        <x:v>Jsoup</x:v>
      </x:c>
      <x:c r="B1402" s="25" t="n">
        <x:v>39</x:v>
      </x:c>
      <x:c r="C1402" s="25" t="str">
        <x:v>Round2</x:v>
      </x:c>
      <x:c r="D1402" s="25" t="str">
        <x:v>NOT_REVEALING</x:v>
      </x:c>
      <x:c r="E1402" s="25" t="str">
        <x:v>N/A</x:v>
      </x:c>
      <x:c r="F1402" s="26" t="str">
        <x:v>Same saved validation suite passed on buggy and fixed</x:v>
      </x:c>
      <x:c r="G1402" s="25" t="str">
        <x:v>true</x:v>
      </x:c>
      <x:c r="H1402" s="25" t="str">
        <x:v>NOT_REVEALING</x:v>
      </x:c>
      <x:c r="I1402" s="25" t="str">
        <x:v>PASS</x:v>
      </x:c>
      <x:c r="J1402" s="25" t="str">
        <x:v>PASS</x:v>
      </x:c>
      <x:c r="K1402" s="25" t="n">
        <x:v>2</x:v>
      </x:c>
      <x:c r="L1402" s="27" t="b">
        <x:v>0</x:v>
      </x:c>
      <x:c r="M1402" s="25" t="str">
        <x:v>Feedback-Directed Random Test Generation/rounds/Round2/state/Jsoup.json</x:v>
      </x:c>
      <x:c r="N1402" s="25" t="str">
        <x:v>Feedback-Directed Random Test Generation/Result_Round2/Jsoup_39/result.json</x:v>
      </x:c>
      <x:c r="O1402" s="25" t="str">
        <x:v>Feedback-Directed Random Test Generation/Result_Round2/Jsoup_39/result.json</x:v>
      </x:c>
      <x:c r="P1402"/>
      <x:c r="Q1402" s="21" t="str"/>
      <x:c r="R1402" s="21" t="str"/>
      <x:c r="S1402" s="21" t="str"/>
      <x:c r="T1402" s="17" t="str">
        <x:v>false</x:v>
      </x:c>
      <x:c r="U1402" s="17" t="str">
        <x:v>true</x:v>
      </x:c>
      <x:c r="V1402" s="17" t="str">
        <x:v>false</x:v>
      </x:c>
    </x:row>
    <x:row r="1403" ht="80" customHeight="1">
      <x:c r="A1403" s="25" t="str">
        <x:v>Jsoup</x:v>
      </x:c>
      <x:c r="B1403" s="25" t="n">
        <x:v>40</x:v>
      </x:c>
      <x:c r="C1403" s="25" t="str">
        <x:v>Round2</x:v>
      </x:c>
      <x:c r="D1403" s="25" t="str">
        <x:v>INCONCLUSIVE</x:v>
      </x:c>
      <x:c r="E1403" s="25" t="str">
        <x:v>N/A</x:v>
      </x:c>
      <x:c r="F1403" s="26" t="str">
        <x:v>Fixed also failed; assertion failure cannot be attributed to this bug; Assertions failed with measured coverage; paired execution and stage checks determine status</x:v>
      </x:c>
      <x:c r="G1403" s="25" t="str">
        <x:v>true</x:v>
      </x:c>
      <x:c r="H1403" s="25" t="str">
        <x:v>INCONCLUSIVE</x:v>
      </x:c>
      <x:c r="I1403" s="25" t="str">
        <x:v>FAIL</x:v>
      </x:c>
      <x:c r="J1403" s="25" t="str">
        <x:v>FAIL</x:v>
      </x:c>
      <x:c r="K1403" s="25" t="n">
        <x:v>14</x:v>
      </x:c>
      <x:c r="L1403" s="27" t="b">
        <x:v>0</x:v>
      </x:c>
      <x:c r="M1403" s="25" t="str">
        <x:v>Feedback-Directed Random Test Generation/rounds/Round2/state/Jsoup.json</x:v>
      </x:c>
      <x:c r="N1403" s="25" t="str">
        <x:v>Feedback-Directed Random Test Generation/Result_Round2/Jsoup_40/result.json</x:v>
      </x:c>
      <x:c r="O1403" s="25" t="str">
        <x:v>Feedback-Directed Random Test Generation/Result_Round2/Jsoup_40/result.json</x:v>
      </x:c>
      <x:c r="P1403"/>
      <x:c r="Q1403" s="21" t="str"/>
      <x:c r="R1403" s="21" t="str"/>
      <x:c r="S1403" s="21" t="str"/>
      <x:c r="T1403" s="17" t="str">
        <x:v>false</x:v>
      </x:c>
      <x:c r="U1403" s="17" t="str">
        <x:v>true</x:v>
      </x:c>
      <x:c r="V1403" s="17" t="str">
        <x:v>false</x:v>
      </x:c>
    </x:row>
    <x:row r="1404" ht="80" customHeight="1">
      <x:c r="A1404" s="25" t="str">
        <x:v>Jsoup</x:v>
      </x:c>
      <x:c r="B1404" s="25" t="n">
        <x:v>41</x:v>
      </x:c>
      <x:c r="C1404" s="25" t="str">
        <x:v>Round2</x:v>
      </x:c>
      <x:c r="D1404" s="25" t="str">
        <x:v>NOT_REVEALING</x:v>
      </x:c>
      <x:c r="E1404" s="25" t="str">
        <x:v>N/A</x:v>
      </x:c>
      <x:c r="F1404" s="26" t="str">
        <x:v>Same saved validation suite passed on buggy and fixed</x:v>
      </x:c>
      <x:c r="G1404" s="25" t="str">
        <x:v>true</x:v>
      </x:c>
      <x:c r="H1404" s="25" t="str">
        <x:v>NOT_REVEALING</x:v>
      </x:c>
      <x:c r="I1404" s="25" t="str">
        <x:v>PASS</x:v>
      </x:c>
      <x:c r="J1404" s="25" t="str">
        <x:v>PASS</x:v>
      </x:c>
      <x:c r="K1404" s="25" t="n">
        <x:v>2</x:v>
      </x:c>
      <x:c r="L1404" s="27" t="b">
        <x:v>0</x:v>
      </x:c>
      <x:c r="M1404" s="25" t="str">
        <x:v>Feedback-Directed Random Test Generation/rounds/Round2/state/Jsoup.json</x:v>
      </x:c>
      <x:c r="N1404" s="25" t="str">
        <x:v>Feedback-Directed Random Test Generation/Result_Round2/Jsoup_41/result.json</x:v>
      </x:c>
      <x:c r="O1404" s="25" t="str">
        <x:v>Feedback-Directed Random Test Generation/Result_Round2/Jsoup_41/result.json</x:v>
      </x:c>
      <x:c r="P1404"/>
      <x:c r="Q1404" s="21" t="str"/>
      <x:c r="R1404" s="21" t="str"/>
      <x:c r="S1404" s="21" t="str"/>
      <x:c r="T1404" s="17" t="str">
        <x:v>false</x:v>
      </x:c>
      <x:c r="U1404" s="17" t="str">
        <x:v>true</x:v>
      </x:c>
      <x:c r="V1404" s="17" t="str">
        <x:v>false</x:v>
      </x:c>
    </x:row>
    <x:row r="1405" ht="80" customHeight="1">
      <x:c r="A1405" s="25" t="str">
        <x:v>Jsoup</x:v>
      </x:c>
      <x:c r="B1405" s="25" t="n">
        <x:v>42</x:v>
      </x:c>
      <x:c r="C1405" s="25" t="str">
        <x:v>Round2</x:v>
      </x:c>
      <x:c r="D1405" s="25" t="str">
        <x:v>NOT_REVEALING</x:v>
      </x:c>
      <x:c r="E1405" s="25" t="str">
        <x:v>N/A</x:v>
      </x:c>
      <x:c r="F1405" s="26" t="str">
        <x:v>Same saved validation suite passed on buggy and fixed</x:v>
      </x:c>
      <x:c r="G1405" s="25" t="str">
        <x:v>true</x:v>
      </x:c>
      <x:c r="H1405" s="25" t="str">
        <x:v>NOT_REVEALING</x:v>
      </x:c>
      <x:c r="I1405" s="25" t="str">
        <x:v>PASS</x:v>
      </x:c>
      <x:c r="J1405" s="25" t="str">
        <x:v>PASS</x:v>
      </x:c>
      <x:c r="K1405" s="25" t="n">
        <x:v>2</x:v>
      </x:c>
      <x:c r="L1405" s="27" t="b">
        <x:v>0</x:v>
      </x:c>
      <x:c r="M1405" s="25" t="str">
        <x:v>Feedback-Directed Random Test Generation/rounds/Round2/state/Jsoup.json</x:v>
      </x:c>
      <x:c r="N1405" s="25" t="str">
        <x:v>Feedback-Directed Random Test Generation/Result_Round2/Jsoup_42/result.json</x:v>
      </x:c>
      <x:c r="O1405" s="25" t="str">
        <x:v>Feedback-Directed Random Test Generation/Result_Round2/Jsoup_42/result.json</x:v>
      </x:c>
      <x:c r="P1405"/>
      <x:c r="Q1405" s="21" t="str"/>
      <x:c r="R1405" s="21" t="str"/>
      <x:c r="S1405" s="21" t="str"/>
      <x:c r="T1405" s="17" t="str">
        <x:v>false</x:v>
      </x:c>
      <x:c r="U1405" s="17" t="str">
        <x:v>true</x:v>
      </x:c>
      <x:c r="V1405" s="17" t="str">
        <x:v>false</x:v>
      </x:c>
    </x:row>
    <x:row r="1406" ht="80" customHeight="1">
      <x:c r="A1406" s="25" t="str">
        <x:v>Jsoup</x:v>
      </x:c>
      <x:c r="B1406" s="25" t="n">
        <x:v>43</x:v>
      </x:c>
      <x:c r="C1406" s="25" t="str">
        <x:v>Round2</x:v>
      </x:c>
      <x:c r="D1406" s="25" t="str">
        <x:v>NOT_REVEALING</x:v>
      </x:c>
      <x:c r="E1406" s="25" t="str">
        <x:v>N/A</x:v>
      </x:c>
      <x:c r="F1406" s="26" t="str">
        <x:v>Same saved validation suite passed on buggy and fixed</x:v>
      </x:c>
      <x:c r="G1406" s="25" t="str">
        <x:v>true</x:v>
      </x:c>
      <x:c r="H1406" s="25" t="str">
        <x:v>NOT_REVEALING</x:v>
      </x:c>
      <x:c r="I1406" s="25" t="str">
        <x:v>PASS</x:v>
      </x:c>
      <x:c r="J1406" s="25" t="str">
        <x:v>PASS</x:v>
      </x:c>
      <x:c r="K1406" s="25" t="n">
        <x:v>2</x:v>
      </x:c>
      <x:c r="L1406" s="27" t="b">
        <x:v>0</x:v>
      </x:c>
      <x:c r="M1406" s="25" t="str">
        <x:v>Feedback-Directed Random Test Generation/rounds/Round2/state/Jsoup.json</x:v>
      </x:c>
      <x:c r="N1406" s="25" t="str">
        <x:v>Feedback-Directed Random Test Generation/Result_Round2/Jsoup_43/result.json</x:v>
      </x:c>
      <x:c r="O1406" s="25" t="str">
        <x:v>Feedback-Directed Random Test Generation/Result_Round2/Jsoup_43/result.json</x:v>
      </x:c>
      <x:c r="P1406"/>
      <x:c r="Q1406" s="21" t="str"/>
      <x:c r="R1406" s="21" t="str"/>
      <x:c r="S1406" s="21" t="str"/>
      <x:c r="T1406" s="17" t="str">
        <x:v>false</x:v>
      </x:c>
      <x:c r="U1406" s="17" t="str">
        <x:v>true</x:v>
      </x:c>
      <x:c r="V1406" s="17" t="str">
        <x:v>false</x:v>
      </x:c>
    </x:row>
    <x:row r="1407" ht="80" customHeight="1">
      <x:c r="A1407" s="25" t="str">
        <x:v>Jsoup</x:v>
      </x:c>
      <x:c r="B1407" s="25" t="n">
        <x:v>44</x:v>
      </x:c>
      <x:c r="C1407" s="25" t="str">
        <x:v>Round2</x:v>
      </x:c>
      <x:c r="D1407" s="25" t="str">
        <x:v>NOT_REVEALING</x:v>
      </x:c>
      <x:c r="E1407" s="25" t="str">
        <x:v>N/A</x:v>
      </x:c>
      <x:c r="F1407" s="26" t="str">
        <x:v>Same saved validation suite passed on buggy and fixed</x:v>
      </x:c>
      <x:c r="G1407" s="25" t="str">
        <x:v>true</x:v>
      </x:c>
      <x:c r="H1407" s="25" t="str">
        <x:v>NOT_REVEALING</x:v>
      </x:c>
      <x:c r="I1407" s="25" t="str">
        <x:v>PASS</x:v>
      </x:c>
      <x:c r="J1407" s="25" t="str">
        <x:v>PASS</x:v>
      </x:c>
      <x:c r="K1407" s="25" t="n">
        <x:v>2</x:v>
      </x:c>
      <x:c r="L1407" s="27" t="b">
        <x:v>0</x:v>
      </x:c>
      <x:c r="M1407" s="25" t="str">
        <x:v>Feedback-Directed Random Test Generation/rounds/Round2/state/Jsoup.json</x:v>
      </x:c>
      <x:c r="N1407" s="25" t="str">
        <x:v>Feedback-Directed Random Test Generation/Result_Round2/Jsoup_44/result.json</x:v>
      </x:c>
      <x:c r="O1407" s="25" t="str">
        <x:v>Feedback-Directed Random Test Generation/Result_Round2/Jsoup_44/result.json</x:v>
      </x:c>
      <x:c r="P1407"/>
      <x:c r="Q1407" s="21" t="str"/>
      <x:c r="R1407" s="21" t="str"/>
      <x:c r="S1407" s="21" t="str"/>
      <x:c r="T1407" s="17" t="str">
        <x:v>false</x:v>
      </x:c>
      <x:c r="U1407" s="17" t="str">
        <x:v>true</x:v>
      </x:c>
      <x:c r="V1407" s="17" t="str">
        <x:v>false</x:v>
      </x:c>
    </x:row>
    <x:row r="1408" ht="80" customHeight="1">
      <x:c r="A1408" s="25" t="str">
        <x:v>Jsoup</x:v>
      </x:c>
      <x:c r="B1408" s="25" t="n">
        <x:v>45</x:v>
      </x:c>
      <x:c r="C1408" s="25" t="str">
        <x:v>Round2</x:v>
      </x:c>
      <x:c r="D1408" s="25" t="str">
        <x:v>INCONCLUSIVE</x:v>
      </x:c>
      <x:c r="E1408" s="25" t="str">
        <x:v>N/A</x:v>
      </x:c>
      <x:c r="F1408" s="26" t="str">
        <x:v>Fixed also failed; assertion failure cannot be attributed to this bug; Assertions failed with measured coverage; paired execution and stage checks determine status</x:v>
      </x:c>
      <x:c r="G1408" s="25" t="str">
        <x:v>true</x:v>
      </x:c>
      <x:c r="H1408" s="25" t="str">
        <x:v>INCONCLUSIVE</x:v>
      </x:c>
      <x:c r="I1408" s="25" t="str">
        <x:v>FAIL</x:v>
      </x:c>
      <x:c r="J1408" s="25" t="str">
        <x:v>FAIL</x:v>
      </x:c>
      <x:c r="K1408" s="25" t="n">
        <x:v>11</x:v>
      </x:c>
      <x:c r="L1408" s="27" t="b">
        <x:v>0</x:v>
      </x:c>
      <x:c r="M1408" s="25" t="str">
        <x:v>Feedback-Directed Random Test Generation/rounds/Round2/state/Jsoup.json</x:v>
      </x:c>
      <x:c r="N1408" s="25" t="str">
        <x:v>Feedback-Directed Random Test Generation/Result_Round2/Jsoup_45/result.json</x:v>
      </x:c>
      <x:c r="O1408" s="25" t="str">
        <x:v>Feedback-Directed Random Test Generation/Result_Round2/Jsoup_45/result.json</x:v>
      </x:c>
      <x:c r="P1408"/>
      <x:c r="Q1408" s="21" t="str"/>
      <x:c r="R1408" s="21" t="str"/>
      <x:c r="S1408" s="21" t="str"/>
      <x:c r="T1408" s="17" t="str">
        <x:v>false</x:v>
      </x:c>
      <x:c r="U1408" s="17" t="str">
        <x:v>true</x:v>
      </x:c>
      <x:c r="V1408" s="17" t="str">
        <x:v>false</x:v>
      </x:c>
    </x:row>
    <x:row r="1409" ht="80" customHeight="1">
      <x:c r="A1409" s="25" t="str">
        <x:v>Jsoup</x:v>
      </x:c>
      <x:c r="B1409" s="25" t="n">
        <x:v>46</x:v>
      </x:c>
      <x:c r="C1409" s="25" t="str">
        <x:v>Round2</x:v>
      </x:c>
      <x:c r="D1409" s="25" t="str">
        <x:v>NOT_REVEALING</x:v>
      </x:c>
      <x:c r="E1409" s="25" t="str">
        <x:v>N/A</x:v>
      </x:c>
      <x:c r="F1409" s="26" t="str">
        <x:v>Same saved validation suite passed on buggy and fixed</x:v>
      </x:c>
      <x:c r="G1409" s="25" t="str">
        <x:v>true</x:v>
      </x:c>
      <x:c r="H1409" s="25" t="str">
        <x:v>NOT_REVEALING</x:v>
      </x:c>
      <x:c r="I1409" s="25" t="str">
        <x:v>PASS</x:v>
      </x:c>
      <x:c r="J1409" s="25" t="str">
        <x:v>PASS</x:v>
      </x:c>
      <x:c r="K1409" s="25" t="n">
        <x:v>3</x:v>
      </x:c>
      <x:c r="L1409" s="27" t="b">
        <x:v>0</x:v>
      </x:c>
      <x:c r="M1409" s="25" t="str">
        <x:v>Feedback-Directed Random Test Generation/rounds/Round2/state/Jsoup.json</x:v>
      </x:c>
      <x:c r="N1409" s="25" t="str">
        <x:v>Feedback-Directed Random Test Generation/Result_Round2/Jsoup_46/result.json</x:v>
      </x:c>
      <x:c r="O1409" s="25" t="str">
        <x:v>Feedback-Directed Random Test Generation/Result_Round2/Jsoup_46/result.json</x:v>
      </x:c>
      <x:c r="P1409"/>
      <x:c r="Q1409" s="21" t="str"/>
      <x:c r="R1409" s="21" t="str"/>
      <x:c r="S1409" s="21" t="str"/>
      <x:c r="T1409" s="17" t="str">
        <x:v>false</x:v>
      </x:c>
      <x:c r="U1409" s="17" t="str">
        <x:v>true</x:v>
      </x:c>
      <x:c r="V1409" s="17" t="str">
        <x:v>false</x:v>
      </x:c>
    </x:row>
    <x:row r="1410" ht="80" customHeight="1">
      <x:c r="A1410" s="25" t="str">
        <x:v>Jsoup</x:v>
      </x:c>
      <x:c r="B1410" s="25" t="n">
        <x:v>47</x:v>
      </x:c>
      <x:c r="C1410" s="25" t="str">
        <x:v>Round2</x:v>
      </x:c>
      <x:c r="D1410" s="25" t="str">
        <x:v>NOT_REVEALING</x:v>
      </x:c>
      <x:c r="E1410" s="25" t="str">
        <x:v>N/A</x:v>
      </x:c>
      <x:c r="F1410" s="26" t="str">
        <x:v>Same saved validation suite passed on buggy and fixed</x:v>
      </x:c>
      <x:c r="G1410" s="25" t="str">
        <x:v>true</x:v>
      </x:c>
      <x:c r="H1410" s="25" t="str">
        <x:v>NOT_REVEALING</x:v>
      </x:c>
      <x:c r="I1410" s="25" t="str">
        <x:v>PASS</x:v>
      </x:c>
      <x:c r="J1410" s="25" t="str">
        <x:v>PASS</x:v>
      </x:c>
      <x:c r="K1410" s="25" t="n">
        <x:v>3</x:v>
      </x:c>
      <x:c r="L1410" s="27" t="b">
        <x:v>0</x:v>
      </x:c>
      <x:c r="M1410" s="25" t="str">
        <x:v>Feedback-Directed Random Test Generation/rounds/Round2/state/Jsoup.json</x:v>
      </x:c>
      <x:c r="N1410" s="25" t="str">
        <x:v>Feedback-Directed Random Test Generation/Result_Round2/Jsoup_47/result.json</x:v>
      </x:c>
      <x:c r="O1410" s="25" t="str">
        <x:v>Feedback-Directed Random Test Generation/Result_Round2/Jsoup_47/result.json</x:v>
      </x:c>
      <x:c r="P1410"/>
      <x:c r="Q1410" s="21" t="str"/>
      <x:c r="R1410" s="21" t="str"/>
      <x:c r="S1410" s="21" t="str"/>
      <x:c r="T1410" s="17" t="str">
        <x:v>false</x:v>
      </x:c>
      <x:c r="U1410" s="17" t="str">
        <x:v>true</x:v>
      </x:c>
      <x:c r="V1410" s="17" t="str">
        <x:v>false</x:v>
      </x:c>
    </x:row>
    <x:row r="1411" ht="80" customHeight="1">
      <x:c r="A1411" s="25" t="str">
        <x:v>Jsoup</x:v>
      </x:c>
      <x:c r="B1411" s="25" t="n">
        <x:v>48</x:v>
      </x:c>
      <x:c r="C1411" s="25" t="str">
        <x:v>Round2</x:v>
      </x:c>
      <x:c r="D1411" s="25" t="str">
        <x:v>NOT_REVEALING</x:v>
      </x:c>
      <x:c r="E1411" s="25" t="str">
        <x:v>N/A</x:v>
      </x:c>
      <x:c r="F1411" s="26" t="str">
        <x:v>Same saved validation suite passed on buggy and fixed</x:v>
      </x:c>
      <x:c r="G1411" s="25" t="str">
        <x:v>true</x:v>
      </x:c>
      <x:c r="H1411" s="25" t="str">
        <x:v>NOT_REVEALING</x:v>
      </x:c>
      <x:c r="I1411" s="25" t="str">
        <x:v>PASS</x:v>
      </x:c>
      <x:c r="J1411" s="25" t="str">
        <x:v>PASS</x:v>
      </x:c>
      <x:c r="K1411" s="25" t="n">
        <x:v>13</x:v>
      </x:c>
      <x:c r="L1411" s="27" t="b">
        <x:v>0</x:v>
      </x:c>
      <x:c r="M1411" s="25" t="str">
        <x:v>Feedback-Directed Random Test Generation/rounds/Round2/state/Jsoup.json</x:v>
      </x:c>
      <x:c r="N1411" s="25" t="str">
        <x:v>Feedback-Directed Random Test Generation/Result_Round2/Jsoup_48/result.json</x:v>
      </x:c>
      <x:c r="O1411" s="25" t="str">
        <x:v>Feedback-Directed Random Test Generation/Result_Round2/Jsoup_48/result.json</x:v>
      </x:c>
      <x:c r="P1411"/>
      <x:c r="Q1411" s="21" t="str"/>
      <x:c r="R1411" s="21" t="str"/>
      <x:c r="S1411" s="21" t="str"/>
      <x:c r="T1411" s="17" t="str">
        <x:v>false</x:v>
      </x:c>
      <x:c r="U1411" s="17" t="str">
        <x:v>true</x:v>
      </x:c>
      <x:c r="V1411" s="17" t="str">
        <x:v>false</x:v>
      </x:c>
    </x:row>
    <x:row r="1412" ht="80" customHeight="1">
      <x:c r="A1412" s="25" t="str">
        <x:v>Jsoup</x:v>
      </x:c>
      <x:c r="B1412" s="25" t="n">
        <x:v>49</x:v>
      </x:c>
      <x:c r="C1412" s="25" t="str">
        <x:v>Round2</x:v>
      </x:c>
      <x:c r="D1412" s="25" t="str">
        <x:v>NOT_REVEALING</x:v>
      </x:c>
      <x:c r="E1412" s="25" t="str">
        <x:v>N/A</x:v>
      </x:c>
      <x:c r="F1412" s="26" t="str">
        <x:v>Same saved validation suite passed on buggy and fixed</x:v>
      </x:c>
      <x:c r="G1412" s="25" t="str">
        <x:v>true</x:v>
      </x:c>
      <x:c r="H1412" s="25" t="str">
        <x:v>NOT_REVEALING</x:v>
      </x:c>
      <x:c r="I1412" s="25" t="str">
        <x:v>PASS</x:v>
      </x:c>
      <x:c r="J1412" s="25" t="str">
        <x:v>PASS</x:v>
      </x:c>
      <x:c r="K1412" s="25" t="n">
        <x:v>2</x:v>
      </x:c>
      <x:c r="L1412" s="27" t="b">
        <x:v>0</x:v>
      </x:c>
      <x:c r="M1412" s="25" t="str">
        <x:v>Feedback-Directed Random Test Generation/rounds/Round2/state/Jsoup.json</x:v>
      </x:c>
      <x:c r="N1412" s="25" t="str">
        <x:v>Feedback-Directed Random Test Generation/Result_Round2/Jsoup_49/result.json</x:v>
      </x:c>
      <x:c r="O1412" s="25" t="str">
        <x:v>Feedback-Directed Random Test Generation/Result_Round2/Jsoup_49/result.json</x:v>
      </x:c>
      <x:c r="P1412"/>
      <x:c r="Q1412" s="21" t="str"/>
      <x:c r="R1412" s="21" t="str"/>
      <x:c r="S1412" s="21" t="str"/>
      <x:c r="T1412" s="17" t="str">
        <x:v>false</x:v>
      </x:c>
      <x:c r="U1412" s="17" t="str">
        <x:v>true</x:v>
      </x:c>
      <x:c r="V1412" s="17" t="str">
        <x:v>false</x:v>
      </x:c>
    </x:row>
    <x:row r="1413" ht="80" customHeight="1">
      <x:c r="A1413" s="25" t="str">
        <x:v>Jsoup</x:v>
      </x:c>
      <x:c r="B1413" s="25" t="n">
        <x:v>50</x:v>
      </x:c>
      <x:c r="C1413" s="25" t="str">
        <x:v>Round2</x:v>
      </x:c>
      <x:c r="D1413" s="25" t="str">
        <x:v>INCONCLUSIVE</x:v>
      </x:c>
      <x:c r="E1413" s="25" t="str">
        <x:v>N/A</x:v>
      </x:c>
      <x:c r="F1413" s="26" t="str">
        <x:v>Fixed also failed; assertion failure cannot be attributed to this bug</x:v>
      </x:c>
      <x:c r="G1413" s="25" t="str">
        <x:v>true</x:v>
      </x:c>
      <x:c r="H1413" s="25" t="str">
        <x:v>INCONCLUSIVE</x:v>
      </x:c>
      <x:c r="I1413" s="25" t="str">
        <x:v>PASS</x:v>
      </x:c>
      <x:c r="J1413" s="25" t="str">
        <x:v>FAIL</x:v>
      </x:c>
      <x:c r="K1413" s="25" t="n">
        <x:v>2</x:v>
      </x:c>
      <x:c r="L1413" s="27" t="b">
        <x:v>0</x:v>
      </x:c>
      <x:c r="M1413" s="25" t="str">
        <x:v>Feedback-Directed Random Test Generation/rounds/Round2/state/Jsoup.json</x:v>
      </x:c>
      <x:c r="N1413" s="25" t="str">
        <x:v>Feedback-Directed Random Test Generation/Result_Round2/Jsoup_50/result.json</x:v>
      </x:c>
      <x:c r="O1413" s="25" t="str">
        <x:v>Feedback-Directed Random Test Generation/Result_Round2/Jsoup_50/result.json</x:v>
      </x:c>
      <x:c r="P1413"/>
      <x:c r="Q1413" s="21" t="str"/>
      <x:c r="R1413" s="21" t="str"/>
      <x:c r="S1413" s="21" t="str"/>
      <x:c r="T1413" s="17" t="str">
        <x:v>false</x:v>
      </x:c>
      <x:c r="U1413" s="17" t="str">
        <x:v>true</x:v>
      </x:c>
      <x:c r="V1413" s="17" t="str">
        <x:v>false</x:v>
      </x:c>
    </x:row>
    <x:row r="1414" ht="80" customHeight="1">
      <x:c r="A1414" s="25" t="str">
        <x:v>Jsoup</x:v>
      </x:c>
      <x:c r="B1414" s="25" t="n">
        <x:v>51</x:v>
      </x:c>
      <x:c r="C1414" s="25" t="str">
        <x:v>Round2</x:v>
      </x:c>
      <x:c r="D1414" s="25" t="str">
        <x:v>NOT_REVEALING</x:v>
      </x:c>
      <x:c r="E1414" s="25" t="str">
        <x:v>N/A</x:v>
      </x:c>
      <x:c r="F1414" s="26" t="str">
        <x:v>Same saved validation suite passed on buggy and fixed</x:v>
      </x:c>
      <x:c r="G1414" s="25" t="str">
        <x:v>true</x:v>
      </x:c>
      <x:c r="H1414" s="25" t="str">
        <x:v>NOT_REVEALING</x:v>
      </x:c>
      <x:c r="I1414" s="25" t="str">
        <x:v>PASS</x:v>
      </x:c>
      <x:c r="J1414" s="25" t="str">
        <x:v>PASS</x:v>
      </x:c>
      <x:c r="K1414" s="25" t="n">
        <x:v>10</x:v>
      </x:c>
      <x:c r="L1414" s="27" t="b">
        <x:v>0</x:v>
      </x:c>
      <x:c r="M1414" s="25" t="str">
        <x:v>Feedback-Directed Random Test Generation/rounds/Round2/state/Jsoup.json</x:v>
      </x:c>
      <x:c r="N1414" s="25" t="str">
        <x:v>Feedback-Directed Random Test Generation/Result_Round2/Jsoup_51/result.json</x:v>
      </x:c>
      <x:c r="O1414" s="25" t="str">
        <x:v>Feedback-Directed Random Test Generation/Result_Round2/Jsoup_51/result.json</x:v>
      </x:c>
      <x:c r="P1414"/>
      <x:c r="Q1414" s="21" t="str"/>
      <x:c r="R1414" s="21" t="str"/>
      <x:c r="S1414" s="21" t="str"/>
      <x:c r="T1414" s="17" t="str">
        <x:v>false</x:v>
      </x:c>
      <x:c r="U1414" s="17" t="str">
        <x:v>true</x:v>
      </x:c>
      <x:c r="V1414" s="17" t="str">
        <x:v>false</x:v>
      </x:c>
    </x:row>
    <x:row r="1415" ht="80" customHeight="1">
      <x:c r="A1415" s="25" t="str">
        <x:v>Jsoup</x:v>
      </x:c>
      <x:c r="B1415" s="25" t="n">
        <x:v>52</x:v>
      </x:c>
      <x:c r="C1415" s="25" t="str">
        <x:v>Round2</x:v>
      </x:c>
      <x:c r="D1415" s="25" t="str">
        <x:v>INCONCLUSIVE</x:v>
      </x:c>
      <x:c r="E1415" s="25" t="str">
        <x:v>N/A</x:v>
      </x:c>
      <x:c r="F1415" s="26" t="str">
        <x:v>Fixed also failed; assertion failure cannot be attributed to this bug; Assertions failed with measured coverage; paired execution and stage checks determine status</x:v>
      </x:c>
      <x:c r="G1415" s="25" t="str">
        <x:v>true</x:v>
      </x:c>
      <x:c r="H1415" s="25" t="str">
        <x:v>INCONCLUSIVE</x:v>
      </x:c>
      <x:c r="I1415" s="25" t="str">
        <x:v>FAIL</x:v>
      </x:c>
      <x:c r="J1415" s="25" t="str">
        <x:v>FAIL</x:v>
      </x:c>
      <x:c r="K1415" s="25" t="n">
        <x:v>15</x:v>
      </x:c>
      <x:c r="L1415" s="27" t="b">
        <x:v>0</x:v>
      </x:c>
      <x:c r="M1415" s="25" t="str">
        <x:v>Feedback-Directed Random Test Generation/rounds/Round2/state/Jsoup.json</x:v>
      </x:c>
      <x:c r="N1415" s="25" t="str">
        <x:v>Feedback-Directed Random Test Generation/Result_Round2/Jsoup_52/result.json</x:v>
      </x:c>
      <x:c r="O1415" s="25" t="str">
        <x:v>Feedback-Directed Random Test Generation/Result_Round2/Jsoup_52/result.json</x:v>
      </x:c>
      <x:c r="P1415"/>
      <x:c r="Q1415" s="21" t="str"/>
      <x:c r="R1415" s="21" t="str"/>
      <x:c r="S1415" s="21" t="str"/>
      <x:c r="T1415" s="17" t="str">
        <x:v>false</x:v>
      </x:c>
      <x:c r="U1415" s="17" t="str">
        <x:v>true</x:v>
      </x:c>
      <x:c r="V1415" s="17" t="str">
        <x:v>false</x:v>
      </x:c>
    </x:row>
    <x:row r="1416" ht="80" customHeight="1">
      <x:c r="A1416" s="25" t="str">
        <x:v>Jsoup</x:v>
      </x:c>
      <x:c r="B1416" s="25" t="n">
        <x:v>53</x:v>
      </x:c>
      <x:c r="C1416" s="25" t="str">
        <x:v>Round2</x:v>
      </x:c>
      <x:c r="D1416" s="25" t="str">
        <x:v>NOT_REVEALING</x:v>
      </x:c>
      <x:c r="E1416" s="25" t="str">
        <x:v>N/A</x:v>
      </x:c>
      <x:c r="F1416" s="26" t="str">
        <x:v>Same saved validation suite passed on buggy and fixed</x:v>
      </x:c>
      <x:c r="G1416" s="25" t="str">
        <x:v>true</x:v>
      </x:c>
      <x:c r="H1416" s="25" t="str">
        <x:v>NOT_REVEALING</x:v>
      </x:c>
      <x:c r="I1416" s="25" t="str">
        <x:v>PASS</x:v>
      </x:c>
      <x:c r="J1416" s="25" t="str">
        <x:v>PASS</x:v>
      </x:c>
      <x:c r="K1416" s="25" t="n">
        <x:v>10</x:v>
      </x:c>
      <x:c r="L1416" s="27" t="b">
        <x:v>0</x:v>
      </x:c>
      <x:c r="M1416" s="25" t="str">
        <x:v>Feedback-Directed Random Test Generation/rounds/Round2/state/Jsoup.json</x:v>
      </x:c>
      <x:c r="N1416" s="25" t="str">
        <x:v>Feedback-Directed Random Test Generation/Result_Round2/Jsoup_53/result.json</x:v>
      </x:c>
      <x:c r="O1416" s="25" t="str">
        <x:v>Feedback-Directed Random Test Generation/Result_Round2/Jsoup_53/result.json</x:v>
      </x:c>
      <x:c r="P1416"/>
      <x:c r="Q1416" s="21" t="str"/>
      <x:c r="R1416" s="21" t="str"/>
      <x:c r="S1416" s="21" t="str"/>
      <x:c r="T1416" s="17" t="str">
        <x:v>false</x:v>
      </x:c>
      <x:c r="U1416" s="17" t="str">
        <x:v>true</x:v>
      </x:c>
      <x:c r="V1416" s="17" t="str">
        <x:v>false</x:v>
      </x:c>
    </x:row>
    <x:row r="1417" ht="80" customHeight="1">
      <x:c r="A1417" s="25" t="str">
        <x:v>Jsoup</x:v>
      </x:c>
      <x:c r="B1417" s="25" t="n">
        <x:v>54</x:v>
      </x:c>
      <x:c r="C1417" s="25" t="str">
        <x:v>Round2</x:v>
      </x:c>
      <x:c r="D1417" s="25" t="str">
        <x:v>NOT_REVEALING</x:v>
      </x:c>
      <x:c r="E1417" s="25" t="str">
        <x:v>N/A</x:v>
      </x:c>
      <x:c r="F1417" s="26" t="str">
        <x:v>Same saved validation suite passed on buggy and fixed</x:v>
      </x:c>
      <x:c r="G1417" s="25" t="str">
        <x:v>true</x:v>
      </x:c>
      <x:c r="H1417" s="25" t="str">
        <x:v>NOT_REVEALING</x:v>
      </x:c>
      <x:c r="I1417" s="25" t="str">
        <x:v>PASS</x:v>
      </x:c>
      <x:c r="J1417" s="25" t="str">
        <x:v>PASS</x:v>
      </x:c>
      <x:c r="K1417" s="25" t="n">
        <x:v>10</x:v>
      </x:c>
      <x:c r="L1417" s="27" t="b">
        <x:v>0</x:v>
      </x:c>
      <x:c r="M1417" s="25" t="str">
        <x:v>Feedback-Directed Random Test Generation/rounds/Round2/state/Jsoup.json</x:v>
      </x:c>
      <x:c r="N1417" s="25" t="str">
        <x:v>Feedback-Directed Random Test Generation/Result_Round2/Jsoup_54/result.json</x:v>
      </x:c>
      <x:c r="O1417" s="25" t="str">
        <x:v>Feedback-Directed Random Test Generation/Result_Round2/Jsoup_54/result.json</x:v>
      </x:c>
      <x:c r="P1417"/>
      <x:c r="Q1417" s="21" t="str"/>
      <x:c r="R1417" s="21" t="str"/>
      <x:c r="S1417" s="21" t="str"/>
      <x:c r="T1417" s="17" t="str">
        <x:v>false</x:v>
      </x:c>
      <x:c r="U1417" s="17" t="str">
        <x:v>true</x:v>
      </x:c>
      <x:c r="V1417" s="17" t="str">
        <x:v>false</x:v>
      </x:c>
    </x:row>
    <x:row r="1418" ht="80" customHeight="1">
      <x:c r="A1418" s="25" t="str">
        <x:v>Jsoup</x:v>
      </x:c>
      <x:c r="B1418" s="25" t="n">
        <x:v>55</x:v>
      </x:c>
      <x:c r="C1418" s="25" t="str">
        <x:v>Round2</x:v>
      </x:c>
      <x:c r="D1418" s="25" t="str">
        <x:v>NOT_REVEALING</x:v>
      </x:c>
      <x:c r="E1418" s="25" t="str">
        <x:v>N/A</x:v>
      </x:c>
      <x:c r="F1418" s="26" t="str">
        <x:v>Same saved validation suite passed on buggy and fixed</x:v>
      </x:c>
      <x:c r="G1418" s="25" t="str">
        <x:v>true</x:v>
      </x:c>
      <x:c r="H1418" s="25" t="str">
        <x:v>NOT_REVEALING</x:v>
      </x:c>
      <x:c r="I1418" s="25" t="str">
        <x:v>PASS</x:v>
      </x:c>
      <x:c r="J1418" s="25" t="str">
        <x:v>PASS</x:v>
      </x:c>
      <x:c r="K1418" s="25" t="n">
        <x:v>2</x:v>
      </x:c>
      <x:c r="L1418" s="27" t="b">
        <x:v>0</x:v>
      </x:c>
      <x:c r="M1418" s="25" t="str">
        <x:v>Feedback-Directed Random Test Generation/rounds/Round2/state/Jsoup.json</x:v>
      </x:c>
      <x:c r="N1418" s="25" t="str">
        <x:v>Feedback-Directed Random Test Generation/Result_Round2/Jsoup_55/result.json</x:v>
      </x:c>
      <x:c r="O1418" s="25" t="str">
        <x:v>Feedback-Directed Random Test Generation/Result_Round2/Jsoup_55/result.json</x:v>
      </x:c>
      <x:c r="P1418"/>
      <x:c r="Q1418" s="21" t="str"/>
      <x:c r="R1418" s="21" t="str"/>
      <x:c r="S1418" s="21" t="str"/>
      <x:c r="T1418" s="17" t="str">
        <x:v>false</x:v>
      </x:c>
      <x:c r="U1418" s="17" t="str">
        <x:v>true</x:v>
      </x:c>
      <x:c r="V1418" s="17" t="str">
        <x:v>false</x:v>
      </x:c>
    </x:row>
    <x:row r="1419" ht="80" customHeight="1">
      <x:c r="A1419" s="25" t="str">
        <x:v>Jsoup</x:v>
      </x:c>
      <x:c r="B1419" s="25" t="n">
        <x:v>56</x:v>
      </x:c>
      <x:c r="C1419" s="25" t="str">
        <x:v>Round2</x:v>
      </x:c>
      <x:c r="D1419" s="25" t="str">
        <x:v>INCONCLUSIVE</x:v>
      </x:c>
      <x:c r="E1419" s="25" t="str">
        <x:v>N/A</x:v>
      </x:c>
      <x:c r="F1419" s="26" t="str">
        <x:v>Fixed also failed; assertion failure cannot be attributed to this bug; Assertions failed with measured coverage; paired execution and stage checks determine status</x:v>
      </x:c>
      <x:c r="G1419" s="25" t="str">
        <x:v>true</x:v>
      </x:c>
      <x:c r="H1419" s="25" t="str">
        <x:v>INCONCLUSIVE</x:v>
      </x:c>
      <x:c r="I1419" s="25" t="str">
        <x:v>FAIL</x:v>
      </x:c>
      <x:c r="J1419" s="25" t="str">
        <x:v>FAIL</x:v>
      </x:c>
      <x:c r="K1419" s="25" t="n">
        <x:v>12</x:v>
      </x:c>
      <x:c r="L1419" s="27" t="b">
        <x:v>0</x:v>
      </x:c>
      <x:c r="M1419" s="25" t="str">
        <x:v>Feedback-Directed Random Test Generation/rounds/Round2/state/Jsoup.json</x:v>
      </x:c>
      <x:c r="N1419" s="25" t="str">
        <x:v>Feedback-Directed Random Test Generation/Result_Round2/Jsoup_56/result.json</x:v>
      </x:c>
      <x:c r="O1419" s="25" t="str">
        <x:v>Feedback-Directed Random Test Generation/Result_Round2/Jsoup_56/result.json</x:v>
      </x:c>
      <x:c r="P1419"/>
      <x:c r="Q1419" s="21" t="str"/>
      <x:c r="R1419" s="21" t="str"/>
      <x:c r="S1419" s="21" t="str"/>
      <x:c r="T1419" s="17" t="str">
        <x:v>false</x:v>
      </x:c>
      <x:c r="U1419" s="17" t="str">
        <x:v>true</x:v>
      </x:c>
      <x:c r="V1419" s="17" t="str">
        <x:v>false</x:v>
      </x:c>
    </x:row>
    <x:row r="1420" ht="80" customHeight="1">
      <x:c r="A1420" s="25" t="str">
        <x:v>Jsoup</x:v>
      </x:c>
      <x:c r="B1420" s="25" t="n">
        <x:v>57</x:v>
      </x:c>
      <x:c r="C1420" s="25" t="str">
        <x:v>Round2</x:v>
      </x:c>
      <x:c r="D1420" s="25" t="str">
        <x:v>NOT_REVEALING</x:v>
      </x:c>
      <x:c r="E1420" s="25" t="str">
        <x:v>N/A</x:v>
      </x:c>
      <x:c r="F1420" s="26" t="str">
        <x:v>Same saved validation suite passed on buggy and fixed</x:v>
      </x:c>
      <x:c r="G1420" s="25" t="str">
        <x:v>true</x:v>
      </x:c>
      <x:c r="H1420" s="25" t="str">
        <x:v>NOT_REVEALING</x:v>
      </x:c>
      <x:c r="I1420" s="25" t="str">
        <x:v>PASS</x:v>
      </x:c>
      <x:c r="J1420" s="25" t="str">
        <x:v>PASS</x:v>
      </x:c>
      <x:c r="K1420" s="25" t="n">
        <x:v>11</x:v>
      </x:c>
      <x:c r="L1420" s="27" t="b">
        <x:v>0</x:v>
      </x:c>
      <x:c r="M1420" s="25" t="str">
        <x:v>Feedback-Directed Random Test Generation/rounds/Round2/state/Jsoup.json</x:v>
      </x:c>
      <x:c r="N1420" s="25" t="str">
        <x:v>Feedback-Directed Random Test Generation/Result_Round2/Jsoup_57/result.json</x:v>
      </x:c>
      <x:c r="O1420" s="25" t="str">
        <x:v>Feedback-Directed Random Test Generation/Result_Round2/Jsoup_57/result.json</x:v>
      </x:c>
      <x:c r="P1420"/>
      <x:c r="Q1420" s="21" t="str"/>
      <x:c r="R1420" s="21" t="str"/>
      <x:c r="S1420" s="21" t="str"/>
      <x:c r="T1420" s="17" t="str">
        <x:v>false</x:v>
      </x:c>
      <x:c r="U1420" s="17" t="str">
        <x:v>true</x:v>
      </x:c>
      <x:c r="V1420" s="17" t="str">
        <x:v>false</x:v>
      </x:c>
    </x:row>
    <x:row r="1421" ht="80" customHeight="1">
      <x:c r="A1421" s="25" t="str">
        <x:v>Jsoup</x:v>
      </x:c>
      <x:c r="B1421" s="25" t="n">
        <x:v>58</x:v>
      </x:c>
      <x:c r="C1421" s="25" t="str">
        <x:v>Round2</x:v>
      </x:c>
      <x:c r="D1421" s="25" t="str">
        <x:v>NOT_REVEALING</x:v>
      </x:c>
      <x:c r="E1421" s="25" t="str">
        <x:v>N/A</x:v>
      </x:c>
      <x:c r="F1421" s="26" t="str">
        <x:v>Same saved validation suite passed on buggy and fixed</x:v>
      </x:c>
      <x:c r="G1421" s="25" t="str">
        <x:v>true</x:v>
      </x:c>
      <x:c r="H1421" s="25" t="str">
        <x:v>NOT_REVEALING</x:v>
      </x:c>
      <x:c r="I1421" s="25" t="str">
        <x:v>PASS</x:v>
      </x:c>
      <x:c r="J1421" s="25" t="str">
        <x:v>PASS</x:v>
      </x:c>
      <x:c r="K1421" s="25" t="n">
        <x:v>9</x:v>
      </x:c>
      <x:c r="L1421" s="27" t="b">
        <x:v>0</x:v>
      </x:c>
      <x:c r="M1421" s="25" t="str">
        <x:v>Feedback-Directed Random Test Generation/rounds/Round2/state/Jsoup.json</x:v>
      </x:c>
      <x:c r="N1421" s="25" t="str">
        <x:v>Feedback-Directed Random Test Generation/Result_Round2/Jsoup_58/result.json</x:v>
      </x:c>
      <x:c r="O1421" s="25" t="str">
        <x:v>Feedback-Directed Random Test Generation/Result_Round2/Jsoup_58/result.json</x:v>
      </x:c>
      <x:c r="P1421"/>
      <x:c r="Q1421" s="21" t="str"/>
      <x:c r="R1421" s="21" t="str"/>
      <x:c r="S1421" s="21" t="str"/>
      <x:c r="T1421" s="17" t="str">
        <x:v>false</x:v>
      </x:c>
      <x:c r="U1421" s="17" t="str">
        <x:v>true</x:v>
      </x:c>
      <x:c r="V1421" s="17" t="str">
        <x:v>false</x:v>
      </x:c>
    </x:row>
    <x:row r="1422" ht="80" customHeight="1">
      <x:c r="A1422" s="25" t="str">
        <x:v>Jsoup</x:v>
      </x:c>
      <x:c r="B1422" s="25" t="n">
        <x:v>59</x:v>
      </x:c>
      <x:c r="C1422" s="25" t="str">
        <x:v>Round2</x:v>
      </x:c>
      <x:c r="D1422" s="25" t="str">
        <x:v>INCONCLUSIVE</x:v>
      </x:c>
      <x:c r="E1422" s="25" t="str">
        <x:v>N/A</x:v>
      </x:c>
      <x:c r="F1422" s="26" t="str">
        <x:v>Fixed also failed; assertion failure cannot be attributed to this bug</x:v>
      </x:c>
      <x:c r="G1422" s="25" t="str">
        <x:v>true</x:v>
      </x:c>
      <x:c r="H1422" s="25" t="str">
        <x:v>INCONCLUSIVE</x:v>
      </x:c>
      <x:c r="I1422" s="25" t="str">
        <x:v>PASS</x:v>
      </x:c>
      <x:c r="J1422" s="25" t="str">
        <x:v>FAIL</x:v>
      </x:c>
      <x:c r="K1422" s="25" t="n">
        <x:v>10</x:v>
      </x:c>
      <x:c r="L1422" s="27" t="b">
        <x:v>0</x:v>
      </x:c>
      <x:c r="M1422" s="25" t="str">
        <x:v>Feedback-Directed Random Test Generation/rounds/Round2/state/Jsoup.json</x:v>
      </x:c>
      <x:c r="N1422" s="25" t="str">
        <x:v>Feedback-Directed Random Test Generation/Result_Round2/Jsoup_59/result.json</x:v>
      </x:c>
      <x:c r="O1422" s="25" t="str">
        <x:v>Feedback-Directed Random Test Generation/Result_Round2/Jsoup_59/result.json</x:v>
      </x:c>
      <x:c r="P1422"/>
      <x:c r="Q1422" s="21" t="str"/>
      <x:c r="R1422" s="21" t="str"/>
      <x:c r="S1422" s="21" t="str"/>
      <x:c r="T1422" s="17" t="str">
        <x:v>false</x:v>
      </x:c>
      <x:c r="U1422" s="17" t="str">
        <x:v>true</x:v>
      </x:c>
      <x:c r="V1422" s="17" t="str">
        <x:v>false</x:v>
      </x:c>
    </x:row>
    <x:row r="1423" ht="80" customHeight="1">
      <x:c r="A1423" s="25" t="str">
        <x:v>Jsoup</x:v>
      </x:c>
      <x:c r="B1423" s="25" t="n">
        <x:v>60</x:v>
      </x:c>
      <x:c r="C1423" s="25" t="str">
        <x:v>Round2</x:v>
      </x:c>
      <x:c r="D1423" s="25" t="str">
        <x:v>INCONCLUSIVE</x:v>
      </x:c>
      <x:c r="E1423" s="25" t="str">
        <x:v>N/A</x:v>
      </x:c>
      <x:c r="F1423" s="26" t="str">
        <x:v>Fixed also failed; assertion failure cannot be attributed to this bug</x:v>
      </x:c>
      <x:c r="G1423" s="25" t="str">
        <x:v>true</x:v>
      </x:c>
      <x:c r="H1423" s="25" t="str">
        <x:v>INCONCLUSIVE</x:v>
      </x:c>
      <x:c r="I1423" s="25" t="str">
        <x:v>PASS</x:v>
      </x:c>
      <x:c r="J1423" s="25" t="str">
        <x:v>FAIL</x:v>
      </x:c>
      <x:c r="K1423" s="25" t="n">
        <x:v>10</x:v>
      </x:c>
      <x:c r="L1423" s="27" t="b">
        <x:v>0</x:v>
      </x:c>
      <x:c r="M1423" s="25" t="str">
        <x:v>Feedback-Directed Random Test Generation/rounds/Round2/state/Jsoup.json</x:v>
      </x:c>
      <x:c r="N1423" s="25" t="str">
        <x:v>Feedback-Directed Random Test Generation/Result_Round2/Jsoup_60/result.json</x:v>
      </x:c>
      <x:c r="O1423" s="25" t="str">
        <x:v>Feedback-Directed Random Test Generation/Result_Round2/Jsoup_60/result.json</x:v>
      </x:c>
      <x:c r="P1423"/>
      <x:c r="Q1423" s="21" t="str"/>
      <x:c r="R1423" s="21" t="str"/>
      <x:c r="S1423" s="21" t="str"/>
      <x:c r="T1423" s="17" t="str">
        <x:v>false</x:v>
      </x:c>
      <x:c r="U1423" s="17" t="str">
        <x:v>true</x:v>
      </x:c>
      <x:c r="V1423" s="17" t="str">
        <x:v>false</x:v>
      </x:c>
    </x:row>
    <x:row r="1424" ht="80" customHeight="1">
      <x:c r="A1424" s="25" t="str">
        <x:v>Jsoup</x:v>
      </x:c>
      <x:c r="B1424" s="25" t="n">
        <x:v>61</x:v>
      </x:c>
      <x:c r="C1424" s="25" t="str">
        <x:v>Round2</x:v>
      </x:c>
      <x:c r="D1424" s="25" t="str">
        <x:v>INCONCLUSIVE</x:v>
      </x:c>
      <x:c r="E1424" s="25" t="str">
        <x:v>N/A</x:v>
      </x:c>
      <x:c r="F1424" s="26" t="str">
        <x:v>Fixed also failed; assertion failure cannot be attributed to this bug; Assertions failed with measured coverage; paired execution and stage checks determine status</x:v>
      </x:c>
      <x:c r="G1424" s="25" t="str">
        <x:v>true</x:v>
      </x:c>
      <x:c r="H1424" s="25" t="str">
        <x:v>INCONCLUSIVE</x:v>
      </x:c>
      <x:c r="I1424" s="25" t="str">
        <x:v>FAIL</x:v>
      </x:c>
      <x:c r="J1424" s="25" t="str">
        <x:v>FAIL</x:v>
      </x:c>
      <x:c r="K1424" s="25" t="n">
        <x:v>13</x:v>
      </x:c>
      <x:c r="L1424" s="27" t="b">
        <x:v>0</x:v>
      </x:c>
      <x:c r="M1424" s="25" t="str">
        <x:v>Feedback-Directed Random Test Generation/rounds/Round2/state/Jsoup.json</x:v>
      </x:c>
      <x:c r="N1424" s="25" t="str">
        <x:v>Feedback-Directed Random Test Generation/Result_Round2/Jsoup_61/result.json</x:v>
      </x:c>
      <x:c r="O1424" s="25" t="str">
        <x:v>Feedback-Directed Random Test Generation/Result_Round2/Jsoup_61/result.json</x:v>
      </x:c>
      <x:c r="P1424"/>
      <x:c r="Q1424" s="21" t="str"/>
      <x:c r="R1424" s="21" t="str"/>
      <x:c r="S1424" s="21" t="str"/>
      <x:c r="T1424" s="17" t="str">
        <x:v>false</x:v>
      </x:c>
      <x:c r="U1424" s="17" t="str">
        <x:v>true</x:v>
      </x:c>
      <x:c r="V1424" s="17" t="str">
        <x:v>false</x:v>
      </x:c>
    </x:row>
    <x:row r="1425" ht="80" customHeight="1">
      <x:c r="A1425" s="25" t="str">
        <x:v>Jsoup</x:v>
      </x:c>
      <x:c r="B1425" s="25" t="n">
        <x:v>62</x:v>
      </x:c>
      <x:c r="C1425" s="25" t="str">
        <x:v>Round2</x:v>
      </x:c>
      <x:c r="D1425" s="25" t="str">
        <x:v>NOT_REVEALING</x:v>
      </x:c>
      <x:c r="E1425" s="25" t="str">
        <x:v>N/A</x:v>
      </x:c>
      <x:c r="F1425" s="26" t="str">
        <x:v>Same saved validation suite passed on buggy and fixed</x:v>
      </x:c>
      <x:c r="G1425" s="25" t="str">
        <x:v>true</x:v>
      </x:c>
      <x:c r="H1425" s="25" t="str">
        <x:v>NOT_REVEALING</x:v>
      </x:c>
      <x:c r="I1425" s="25" t="str">
        <x:v>PASS</x:v>
      </x:c>
      <x:c r="J1425" s="25" t="str">
        <x:v>PASS</x:v>
      </x:c>
      <x:c r="K1425" s="25" t="n">
        <x:v>2</x:v>
      </x:c>
      <x:c r="L1425" s="27" t="b">
        <x:v>0</x:v>
      </x:c>
      <x:c r="M1425" s="25" t="str">
        <x:v>Feedback-Directed Random Test Generation/rounds/Round2/state/Jsoup.json</x:v>
      </x:c>
      <x:c r="N1425" s="25" t="str">
        <x:v>Feedback-Directed Random Test Generation/Result_Round2/Jsoup_62/result.json</x:v>
      </x:c>
      <x:c r="O1425" s="25" t="str">
        <x:v>Feedback-Directed Random Test Generation/Result_Round2/Jsoup_62/result.json</x:v>
      </x:c>
      <x:c r="P1425"/>
      <x:c r="Q1425" s="21" t="str"/>
      <x:c r="R1425" s="21" t="str"/>
      <x:c r="S1425" s="21" t="str"/>
      <x:c r="T1425" s="17" t="str">
        <x:v>false</x:v>
      </x:c>
      <x:c r="U1425" s="17" t="str">
        <x:v>true</x:v>
      </x:c>
      <x:c r="V1425" s="17" t="str">
        <x:v>false</x:v>
      </x:c>
    </x:row>
    <x:row r="1426" ht="80" customHeight="1">
      <x:c r="A1426" s="25" t="str">
        <x:v>Jsoup</x:v>
      </x:c>
      <x:c r="B1426" s="25" t="n">
        <x:v>63</x:v>
      </x:c>
      <x:c r="C1426" s="25" t="str">
        <x:v>Round2</x:v>
      </x:c>
      <x:c r="D1426" s="25" t="str">
        <x:v>NOT_AVAILABLE</x:v>
      </x:c>
      <x:c r="E1426" s="25" t="str">
        <x:v>N/A</x:v>
      </x:c>
      <x:c r="F1426" s="26" t="str">
        <x:v>fixed test_compile=FAIL; Assertions failed with measured coverage; paired execution and stage checks determine status</x:v>
      </x:c>
      <x:c r="G1426" s="25" t="str">
        <x:v>true</x:v>
      </x:c>
      <x:c r="H1426" s="25" t="str">
        <x:v>NOT_AVAILABLE</x:v>
      </x:c>
      <x:c r="I1426" s="25" t="str">
        <x:v>FAIL</x:v>
      </x:c>
      <x:c r="J1426" s="25" t="str">
        <x:v>NOT_RUN</x:v>
      </x:c>
      <x:c r="K1426" s="25" t="n">
        <x:v>11</x:v>
      </x:c>
      <x:c r="L1426" s="27" t="b">
        <x:v>0</x:v>
      </x:c>
      <x:c r="M1426" s="25" t="str">
        <x:v>Feedback-Directed Random Test Generation/rounds/Round2/state/Jsoup.json</x:v>
      </x:c>
      <x:c r="N1426" s="25" t="str">
        <x:v>Feedback-Directed Random Test Generation/Result_Round2/Jsoup_63/result.json</x:v>
      </x:c>
      <x:c r="O1426" s="25" t="str">
        <x:v>Feedback-Directed Random Test Generation/Result_Round2/Jsoup_63/result.json</x:v>
      </x:c>
      <x:c r="P1426" t="str">
        <x:v>FIXED_NOT_RUN</x:v>
      </x:c>
      <x:c r="Q1426" s="21" t="str"/>
      <x:c r="R1426" s="21" t="str"/>
      <x:c r="S1426" s="21" t="str"/>
      <x:c r="T1426" s="17" t="str">
        <x:v>false</x:v>
      </x:c>
      <x:c r="U1426" s="17" t="str">
        <x:v>true</x:v>
      </x:c>
      <x:c r="V1426" s="17" t="str">
        <x:v>false</x:v>
      </x:c>
    </x:row>
    <x:row r="1427" ht="80" customHeight="1">
      <x:c r="A1427" s="25" t="str">
        <x:v>Jsoup</x:v>
      </x:c>
      <x:c r="B1427" s="25" t="n">
        <x:v>64</x:v>
      </x:c>
      <x:c r="C1427" s="25" t="str">
        <x:v>Round2</x:v>
      </x:c>
      <x:c r="D1427" s="25" t="str">
        <x:v>NOT_REVEALING</x:v>
      </x:c>
      <x:c r="E1427" s="25" t="str">
        <x:v>N/A</x:v>
      </x:c>
      <x:c r="F1427" s="26" t="str">
        <x:v>Same saved validation suite passed on buggy and fixed</x:v>
      </x:c>
      <x:c r="G1427" s="25" t="str">
        <x:v>true</x:v>
      </x:c>
      <x:c r="H1427" s="25" t="str">
        <x:v>NOT_REVEALING</x:v>
      </x:c>
      <x:c r="I1427" s="25" t="str">
        <x:v>PASS</x:v>
      </x:c>
      <x:c r="J1427" s="25" t="str">
        <x:v>PASS</x:v>
      </x:c>
      <x:c r="K1427" s="25" t="n">
        <x:v>2</x:v>
      </x:c>
      <x:c r="L1427" s="27" t="b">
        <x:v>0</x:v>
      </x:c>
      <x:c r="M1427" s="25" t="str">
        <x:v>Feedback-Directed Random Test Generation/rounds/Round2/state/Jsoup.json</x:v>
      </x:c>
      <x:c r="N1427" s="25" t="str">
        <x:v>Feedback-Directed Random Test Generation/Result_Round2/Jsoup_64/result.json</x:v>
      </x:c>
      <x:c r="O1427" s="25" t="str">
        <x:v>Feedback-Directed Random Test Generation/Result_Round2/Jsoup_64/result.json</x:v>
      </x:c>
      <x:c r="P1427"/>
      <x:c r="Q1427" s="21" t="str"/>
      <x:c r="R1427" s="21" t="str"/>
      <x:c r="S1427" s="21" t="str"/>
      <x:c r="T1427" s="17" t="str">
        <x:v>false</x:v>
      </x:c>
      <x:c r="U1427" s="17" t="str">
        <x:v>true</x:v>
      </x:c>
      <x:c r="V1427" s="17" t="str">
        <x:v>false</x:v>
      </x:c>
    </x:row>
    <x:row r="1428" ht="80" customHeight="1">
      <x:c r="A1428" s="25" t="str">
        <x:v>Jsoup</x:v>
      </x:c>
      <x:c r="B1428" s="25" t="n">
        <x:v>65</x:v>
      </x:c>
      <x:c r="C1428" s="25" t="str">
        <x:v>Round2</x:v>
      </x:c>
      <x:c r="D1428" s="25" t="str">
        <x:v>INCONCLUSIVE</x:v>
      </x:c>
      <x:c r="E1428" s="25" t="str">
        <x:v>N/A</x:v>
      </x:c>
      <x:c r="F1428" s="26" t="str">
        <x:v>Fixed also failed; assertion failure cannot be attributed to this bug; Assertions failed with measured coverage; paired execution and stage checks determine status</x:v>
      </x:c>
      <x:c r="G1428" s="25" t="str">
        <x:v>true</x:v>
      </x:c>
      <x:c r="H1428" s="25" t="str">
        <x:v>INCONCLUSIVE</x:v>
      </x:c>
      <x:c r="I1428" s="25" t="str">
        <x:v>FAIL</x:v>
      </x:c>
      <x:c r="J1428" s="25" t="str">
        <x:v>FAIL</x:v>
      </x:c>
      <x:c r="K1428" s="25" t="n">
        <x:v>11</x:v>
      </x:c>
      <x:c r="L1428" s="27" t="b">
        <x:v>0</x:v>
      </x:c>
      <x:c r="M1428" s="25" t="str">
        <x:v>Feedback-Directed Random Test Generation/rounds/Round2/state/Jsoup.json</x:v>
      </x:c>
      <x:c r="N1428" s="25" t="str">
        <x:v>Feedback-Directed Random Test Generation/Result_Round2/Jsoup_65/result.json</x:v>
      </x:c>
      <x:c r="O1428" s="25" t="str">
        <x:v>Feedback-Directed Random Test Generation/Result_Round2/Jsoup_65/result.json</x:v>
      </x:c>
      <x:c r="P1428"/>
      <x:c r="Q1428" s="21" t="str"/>
      <x:c r="R1428" s="21" t="str"/>
      <x:c r="S1428" s="21" t="str"/>
      <x:c r="T1428" s="17" t="str">
        <x:v>false</x:v>
      </x:c>
      <x:c r="U1428" s="17" t="str">
        <x:v>true</x:v>
      </x:c>
      <x:c r="V1428" s="17" t="str">
        <x:v>false</x:v>
      </x:c>
    </x:row>
    <x:row r="1429" ht="80" customHeight="1">
      <x:c r="A1429" s="25" t="str">
        <x:v>Jsoup</x:v>
      </x:c>
      <x:c r="B1429" s="25" t="n">
        <x:v>66</x:v>
      </x:c>
      <x:c r="C1429" s="25" t="str">
        <x:v>Round2</x:v>
      </x:c>
      <x:c r="D1429" s="25" t="str">
        <x:v>INCONCLUSIVE</x:v>
      </x:c>
      <x:c r="E1429" s="25" t="str">
        <x:v>N/A</x:v>
      </x:c>
      <x:c r="F1429" s="26" t="str">
        <x:v>Fixed also failed; assertion failure cannot be attributed to this bug; Assertions failed with measured coverage; paired execution and stage checks determine status</x:v>
      </x:c>
      <x:c r="G1429" s="25" t="str">
        <x:v>true</x:v>
      </x:c>
      <x:c r="H1429" s="25" t="str">
        <x:v>INCONCLUSIVE</x:v>
      </x:c>
      <x:c r="I1429" s="25" t="str">
        <x:v>FAIL</x:v>
      </x:c>
      <x:c r="J1429" s="25" t="str">
        <x:v>FAIL</x:v>
      </x:c>
      <x:c r="K1429" s="25" t="n">
        <x:v>12</x:v>
      </x:c>
      <x:c r="L1429" s="27" t="b">
        <x:v>0</x:v>
      </x:c>
      <x:c r="M1429" s="25" t="str">
        <x:v>Feedback-Directed Random Test Generation/rounds/Round2/state/Jsoup.json</x:v>
      </x:c>
      <x:c r="N1429" s="25" t="str">
        <x:v>Feedback-Directed Random Test Generation/Result_Round2/Jsoup_66/result.json</x:v>
      </x:c>
      <x:c r="O1429" s="25" t="str">
        <x:v>Feedback-Directed Random Test Generation/Result_Round2/Jsoup_66/result.json</x:v>
      </x:c>
      <x:c r="P1429"/>
      <x:c r="Q1429" s="21" t="str"/>
      <x:c r="R1429" s="21" t="str"/>
      <x:c r="S1429" s="21" t="str"/>
      <x:c r="T1429" s="17" t="str">
        <x:v>false</x:v>
      </x:c>
      <x:c r="U1429" s="17" t="str">
        <x:v>true</x:v>
      </x:c>
      <x:c r="V1429" s="17" t="str">
        <x:v>false</x:v>
      </x:c>
    </x:row>
    <x:row r="1430" ht="80" customHeight="1">
      <x:c r="A1430" s="25" t="str">
        <x:v>Jsoup</x:v>
      </x:c>
      <x:c r="B1430" s="25" t="n">
        <x:v>67</x:v>
      </x:c>
      <x:c r="C1430" s="25" t="str">
        <x:v>Round2</x:v>
      </x:c>
      <x:c r="D1430" s="25" t="str">
        <x:v>INCONCLUSIVE</x:v>
      </x:c>
      <x:c r="E1430" s="25" t="str">
        <x:v>N/A</x:v>
      </x:c>
      <x:c r="F1430" s="26" t="str">
        <x:v>Fixed also failed; assertion failure cannot be attributed to this bug; Assertions failed with measured coverage; paired execution and stage checks determine status</x:v>
      </x:c>
      <x:c r="G1430" s="25" t="str">
        <x:v>true</x:v>
      </x:c>
      <x:c r="H1430" s="25" t="str">
        <x:v>INCONCLUSIVE</x:v>
      </x:c>
      <x:c r="I1430" s="25" t="str">
        <x:v>FAIL</x:v>
      </x:c>
      <x:c r="J1430" s="25" t="str">
        <x:v>FAIL</x:v>
      </x:c>
      <x:c r="K1430" s="25" t="n">
        <x:v>10</x:v>
      </x:c>
      <x:c r="L1430" s="27" t="b">
        <x:v>0</x:v>
      </x:c>
      <x:c r="M1430" s="25" t="str">
        <x:v>Feedback-Directed Random Test Generation/rounds/Round2/state/Jsoup.json</x:v>
      </x:c>
      <x:c r="N1430" s="25" t="str">
        <x:v>Feedback-Directed Random Test Generation/Result_Round2/Jsoup_67/result.json</x:v>
      </x:c>
      <x:c r="O1430" s="25" t="str">
        <x:v>Feedback-Directed Random Test Generation/Result_Round2/Jsoup_67/result.json</x:v>
      </x:c>
      <x:c r="P1430"/>
      <x:c r="Q1430" s="21" t="str"/>
      <x:c r="R1430" s="21" t="str"/>
      <x:c r="S1430" s="21" t="str"/>
      <x:c r="T1430" s="17" t="str">
        <x:v>false</x:v>
      </x:c>
      <x:c r="U1430" s="17" t="str">
        <x:v>true</x:v>
      </x:c>
      <x:c r="V1430" s="17" t="str">
        <x:v>false</x:v>
      </x:c>
    </x:row>
    <x:row r="1431" ht="80" customHeight="1">
      <x:c r="A1431" s="25" t="str">
        <x:v>Jsoup</x:v>
      </x:c>
      <x:c r="B1431" s="25" t="n">
        <x:v>68</x:v>
      </x:c>
      <x:c r="C1431" s="25" t="str">
        <x:v>Round2</x:v>
      </x:c>
      <x:c r="D1431" s="25" t="str">
        <x:v>INCONCLUSIVE</x:v>
      </x:c>
      <x:c r="E1431" s="25" t="str">
        <x:v>N/A</x:v>
      </x:c>
      <x:c r="F1431" s="26" t="str">
        <x:v>Fixed also failed; assertion failure cannot be attributed to this bug; Assertions failed with measured coverage; paired execution and stage checks determine status</x:v>
      </x:c>
      <x:c r="G1431" s="25" t="str">
        <x:v>true</x:v>
      </x:c>
      <x:c r="H1431" s="25" t="str">
        <x:v>INCONCLUSIVE</x:v>
      </x:c>
      <x:c r="I1431" s="25" t="str">
        <x:v>FAIL</x:v>
      </x:c>
      <x:c r="J1431" s="25" t="str">
        <x:v>FAIL</x:v>
      </x:c>
      <x:c r="K1431" s="25" t="n">
        <x:v>10</x:v>
      </x:c>
      <x:c r="L1431" s="27" t="b">
        <x:v>0</x:v>
      </x:c>
      <x:c r="M1431" s="25" t="str">
        <x:v>Feedback-Directed Random Test Generation/rounds/Round2/state/Jsoup.json</x:v>
      </x:c>
      <x:c r="N1431" s="25" t="str">
        <x:v>Feedback-Directed Random Test Generation/Result_Round2/Jsoup_68/result.json</x:v>
      </x:c>
      <x:c r="O1431" s="25" t="str">
        <x:v>Feedback-Directed Random Test Generation/Result_Round2/Jsoup_68/result.json</x:v>
      </x:c>
      <x:c r="P1431"/>
      <x:c r="Q1431" s="21" t="str"/>
      <x:c r="R1431" s="21" t="str"/>
      <x:c r="S1431" s="21" t="str"/>
      <x:c r="T1431" s="17" t="str">
        <x:v>false</x:v>
      </x:c>
      <x:c r="U1431" s="17" t="str">
        <x:v>true</x:v>
      </x:c>
      <x:c r="V1431" s="17" t="str">
        <x:v>false</x:v>
      </x:c>
    </x:row>
    <x:row r="1432" ht="80" customHeight="1">
      <x:c r="A1432" s="25" t="str">
        <x:v>Jsoup</x:v>
      </x:c>
      <x:c r="B1432" s="25" t="n">
        <x:v>69</x:v>
      </x:c>
      <x:c r="C1432" s="25" t="str">
        <x:v>Round2</x:v>
      </x:c>
      <x:c r="D1432" s="25" t="str">
        <x:v>NOT_REVEALING</x:v>
      </x:c>
      <x:c r="E1432" s="25" t="str">
        <x:v>N/A</x:v>
      </x:c>
      <x:c r="F1432" s="26" t="str">
        <x:v>Same saved validation suite passed on buggy and fixed</x:v>
      </x:c>
      <x:c r="G1432" s="25" t="str">
        <x:v>true</x:v>
      </x:c>
      <x:c r="H1432" s="25" t="str">
        <x:v>NOT_REVEALING</x:v>
      </x:c>
      <x:c r="I1432" s="25" t="str">
        <x:v>PASS</x:v>
      </x:c>
      <x:c r="J1432" s="25" t="str">
        <x:v>PASS</x:v>
      </x:c>
      <x:c r="K1432" s="25" t="n">
        <x:v>2</x:v>
      </x:c>
      <x:c r="L1432" s="27" t="b">
        <x:v>0</x:v>
      </x:c>
      <x:c r="M1432" s="25" t="str">
        <x:v>Feedback-Directed Random Test Generation/rounds/Round2/state/Jsoup.json</x:v>
      </x:c>
      <x:c r="N1432" s="25" t="str">
        <x:v>Feedback-Directed Random Test Generation/Result_Round2/Jsoup_69/result.json</x:v>
      </x:c>
      <x:c r="O1432" s="25" t="str">
        <x:v>Feedback-Directed Random Test Generation/Result_Round2/Jsoup_69/result.json</x:v>
      </x:c>
      <x:c r="P1432"/>
      <x:c r="Q1432" s="21" t="str"/>
      <x:c r="R1432" s="21" t="str"/>
      <x:c r="S1432" s="21" t="str"/>
      <x:c r="T1432" s="17" t="str">
        <x:v>false</x:v>
      </x:c>
      <x:c r="U1432" s="17" t="str">
        <x:v>true</x:v>
      </x:c>
      <x:c r="V1432" s="17" t="str">
        <x:v>false</x:v>
      </x:c>
    </x:row>
    <x:row r="1433" ht="80" customHeight="1">
      <x:c r="A1433" s="25" t="str">
        <x:v>Jsoup</x:v>
      </x:c>
      <x:c r="B1433" s="25" t="n">
        <x:v>70</x:v>
      </x:c>
      <x:c r="C1433" s="25" t="str">
        <x:v>Round2</x:v>
      </x:c>
      <x:c r="D1433" s="25" t="str">
        <x:v>INCONCLUSIVE</x:v>
      </x:c>
      <x:c r="E1433" s="25" t="str">
        <x:v>N/A</x:v>
      </x:c>
      <x:c r="F1433" s="26" t="str">
        <x:v>Fixed also failed; assertion failure cannot be attributed to this bug; Assertions failed with measured coverage; paired execution and stage checks determine status</x:v>
      </x:c>
      <x:c r="G1433" s="25" t="str">
        <x:v>true</x:v>
      </x:c>
      <x:c r="H1433" s="25" t="str">
        <x:v>INCONCLUSIVE</x:v>
      </x:c>
      <x:c r="I1433" s="25" t="str">
        <x:v>FAIL</x:v>
      </x:c>
      <x:c r="J1433" s="25" t="str">
        <x:v>FAIL</x:v>
      </x:c>
      <x:c r="K1433" s="25" t="n">
        <x:v>12</x:v>
      </x:c>
      <x:c r="L1433" s="27" t="b">
        <x:v>0</x:v>
      </x:c>
      <x:c r="M1433" s="25" t="str">
        <x:v>Feedback-Directed Random Test Generation/rounds/Round2/state/Jsoup.json</x:v>
      </x:c>
      <x:c r="N1433" s="25" t="str">
        <x:v>Feedback-Directed Random Test Generation/Result_Round2/Jsoup_70/result.json</x:v>
      </x:c>
      <x:c r="O1433" s="25" t="str">
        <x:v>Feedback-Directed Random Test Generation/Result_Round2/Jsoup_70/result.json</x:v>
      </x:c>
      <x:c r="P1433"/>
      <x:c r="Q1433" s="21" t="str"/>
      <x:c r="R1433" s="21" t="str"/>
      <x:c r="S1433" s="21" t="str"/>
      <x:c r="T1433" s="17" t="str">
        <x:v>false</x:v>
      </x:c>
      <x:c r="U1433" s="17" t="str">
        <x:v>true</x:v>
      </x:c>
      <x:c r="V1433" s="17" t="str">
        <x:v>false</x:v>
      </x:c>
    </x:row>
    <x:row r="1434" ht="80" customHeight="1">
      <x:c r="A1434" s="25" t="str">
        <x:v>Jsoup</x:v>
      </x:c>
      <x:c r="B1434" s="25" t="n">
        <x:v>71</x:v>
      </x:c>
      <x:c r="C1434" s="25" t="str">
        <x:v>Round2</x:v>
      </x:c>
      <x:c r="D1434" s="25" t="str">
        <x:v>NOT_REVEALING</x:v>
      </x:c>
      <x:c r="E1434" s="25" t="str">
        <x:v>N/A</x:v>
      </x:c>
      <x:c r="F1434" s="26" t="str">
        <x:v>Same saved validation suite passed on buggy and fixed</x:v>
      </x:c>
      <x:c r="G1434" s="25" t="str">
        <x:v>true</x:v>
      </x:c>
      <x:c r="H1434" s="25" t="str">
        <x:v>NOT_REVEALING</x:v>
      </x:c>
      <x:c r="I1434" s="25" t="str">
        <x:v>PASS</x:v>
      </x:c>
      <x:c r="J1434" s="25" t="str">
        <x:v>PASS</x:v>
      </x:c>
      <x:c r="K1434" s="25" t="n">
        <x:v>14</x:v>
      </x:c>
      <x:c r="L1434" s="27" t="b">
        <x:v>0</x:v>
      </x:c>
      <x:c r="M1434" s="25" t="str">
        <x:v>Feedback-Directed Random Test Generation/rounds/Round2/state/Jsoup.json</x:v>
      </x:c>
      <x:c r="N1434" s="25" t="str">
        <x:v>Feedback-Directed Random Test Generation/Result_Round2/Jsoup_71/result.json</x:v>
      </x:c>
      <x:c r="O1434" s="25" t="str">
        <x:v>Feedback-Directed Random Test Generation/Result_Round2/Jsoup_71/result.json</x:v>
      </x:c>
      <x:c r="P1434"/>
      <x:c r="Q1434" s="21" t="str"/>
      <x:c r="R1434" s="21" t="str"/>
      <x:c r="S1434" s="21" t="str"/>
      <x:c r="T1434" s="17" t="str">
        <x:v>false</x:v>
      </x:c>
      <x:c r="U1434" s="17" t="str">
        <x:v>true</x:v>
      </x:c>
      <x:c r="V1434" s="17" t="str">
        <x:v>false</x:v>
      </x:c>
    </x:row>
    <x:row r="1435" ht="80" customHeight="1">
      <x:c r="A1435" s="25" t="str">
        <x:v>Jsoup</x:v>
      </x:c>
      <x:c r="B1435" s="25" t="n">
        <x:v>72</x:v>
      </x:c>
      <x:c r="C1435" s="25" t="str">
        <x:v>Round2</x:v>
      </x:c>
      <x:c r="D1435" s="25" t="str">
        <x:v>INCONCLUSIVE</x:v>
      </x:c>
      <x:c r="E1435" s="25" t="str">
        <x:v>N/A</x:v>
      </x:c>
      <x:c r="F1435" s="26" t="str">
        <x:v>Fixed also failed; assertion failure cannot be attributed to this bug</x:v>
      </x:c>
      <x:c r="G1435" s="25" t="str">
        <x:v>true</x:v>
      </x:c>
      <x:c r="H1435" s="25" t="str">
        <x:v>INCONCLUSIVE</x:v>
      </x:c>
      <x:c r="I1435" s="25" t="str">
        <x:v>PASS</x:v>
      </x:c>
      <x:c r="J1435" s="25" t="str">
        <x:v>FAIL</x:v>
      </x:c>
      <x:c r="K1435" s="25" t="n">
        <x:v>10</x:v>
      </x:c>
      <x:c r="L1435" s="27" t="b">
        <x:v>0</x:v>
      </x:c>
      <x:c r="M1435" s="25" t="str">
        <x:v>Feedback-Directed Random Test Generation/rounds/Round2/state/Jsoup.json</x:v>
      </x:c>
      <x:c r="N1435" s="25" t="str">
        <x:v>Feedback-Directed Random Test Generation/Result_Round2/Jsoup_72/result.json</x:v>
      </x:c>
      <x:c r="O1435" s="25" t="str">
        <x:v>Feedback-Directed Random Test Generation/Result_Round2/Jsoup_72/result.json</x:v>
      </x:c>
      <x:c r="P1435"/>
      <x:c r="Q1435" s="21" t="str"/>
      <x:c r="R1435" s="21" t="str"/>
      <x:c r="S1435" s="21" t="str"/>
      <x:c r="T1435" s="17" t="str">
        <x:v>false</x:v>
      </x:c>
      <x:c r="U1435" s="17" t="str">
        <x:v>true</x:v>
      </x:c>
      <x:c r="V1435" s="17" t="str">
        <x:v>false</x:v>
      </x:c>
    </x:row>
    <x:row r="1436" ht="80" customHeight="1">
      <x:c r="A1436" s="25" t="str">
        <x:v>Jsoup</x:v>
      </x:c>
      <x:c r="B1436" s="25" t="n">
        <x:v>73</x:v>
      </x:c>
      <x:c r="C1436" s="25" t="str">
        <x:v>Round2</x:v>
      </x:c>
      <x:c r="D1436" s="25" t="str">
        <x:v>INCONCLUSIVE</x:v>
      </x:c>
      <x:c r="E1436" s="25" t="str">
        <x:v>N/A</x:v>
      </x:c>
      <x:c r="F1436" s="26" t="str">
        <x:v>Fixed also failed; assertion failure cannot be attributed to this bug</x:v>
      </x:c>
      <x:c r="G1436" s="25" t="str">
        <x:v>true</x:v>
      </x:c>
      <x:c r="H1436" s="25" t="str">
        <x:v>INCONCLUSIVE</x:v>
      </x:c>
      <x:c r="I1436" s="25" t="str">
        <x:v>PASS</x:v>
      </x:c>
      <x:c r="J1436" s="25" t="str">
        <x:v>FAIL</x:v>
      </x:c>
      <x:c r="K1436" s="25" t="n">
        <x:v>10</x:v>
      </x:c>
      <x:c r="L1436" s="27" t="b">
        <x:v>0</x:v>
      </x:c>
      <x:c r="M1436" s="25" t="str">
        <x:v>Feedback-Directed Random Test Generation/rounds/Round2/state/Jsoup.json</x:v>
      </x:c>
      <x:c r="N1436" s="25" t="str">
        <x:v>Feedback-Directed Random Test Generation/Result_Round2/Jsoup_73/result.json</x:v>
      </x:c>
      <x:c r="O1436" s="25" t="str">
        <x:v>Feedback-Directed Random Test Generation/Result_Round2/Jsoup_73/result.json</x:v>
      </x:c>
      <x:c r="P1436"/>
      <x:c r="Q1436" s="21" t="str"/>
      <x:c r="R1436" s="21" t="str"/>
      <x:c r="S1436" s="21" t="str"/>
      <x:c r="T1436" s="17" t="str">
        <x:v>false</x:v>
      </x:c>
      <x:c r="U1436" s="17" t="str">
        <x:v>true</x:v>
      </x:c>
      <x:c r="V1436" s="17" t="str">
        <x:v>false</x:v>
      </x:c>
    </x:row>
    <x:row r="1437" ht="80" customHeight="1">
      <x:c r="A1437" s="25" t="str">
        <x:v>Jsoup</x:v>
      </x:c>
      <x:c r="B1437" s="25" t="n">
        <x:v>74</x:v>
      </x:c>
      <x:c r="C1437" s="25" t="str">
        <x:v>Round2</x:v>
      </x:c>
      <x:c r="D1437" s="25" t="str">
        <x:v>NOT_REVEALING</x:v>
      </x:c>
      <x:c r="E1437" s="25" t="str">
        <x:v>N/A</x:v>
      </x:c>
      <x:c r="F1437" s="26" t="str">
        <x:v>Same saved validation suite passed on buggy and fixed</x:v>
      </x:c>
      <x:c r="G1437" s="25" t="str">
        <x:v>true</x:v>
      </x:c>
      <x:c r="H1437" s="25" t="str">
        <x:v>NOT_REVEALING</x:v>
      </x:c>
      <x:c r="I1437" s="25" t="str">
        <x:v>PASS</x:v>
      </x:c>
      <x:c r="J1437" s="25" t="str">
        <x:v>PASS</x:v>
      </x:c>
      <x:c r="K1437" s="25" t="n">
        <x:v>16</x:v>
      </x:c>
      <x:c r="L1437" s="27" t="b">
        <x:v>0</x:v>
      </x:c>
      <x:c r="M1437" s="25" t="str">
        <x:v>Feedback-Directed Random Test Generation/rounds/Round2/state/Jsoup.json</x:v>
      </x:c>
      <x:c r="N1437" s="25" t="str">
        <x:v>Feedback-Directed Random Test Generation/Result_Round2/Jsoup_74/result.json</x:v>
      </x:c>
      <x:c r="O1437" s="25" t="str">
        <x:v>Feedback-Directed Random Test Generation/Result_Round2/Jsoup_74/result.json</x:v>
      </x:c>
      <x:c r="P1437"/>
      <x:c r="Q1437" s="21" t="str"/>
      <x:c r="R1437" s="21" t="str"/>
      <x:c r="S1437" s="21" t="str"/>
      <x:c r="T1437" s="17" t="str">
        <x:v>false</x:v>
      </x:c>
      <x:c r="U1437" s="17" t="str">
        <x:v>true</x:v>
      </x:c>
      <x:c r="V1437" s="17" t="str">
        <x:v>false</x:v>
      </x:c>
    </x:row>
    <x:row r="1438" ht="80" customHeight="1">
      <x:c r="A1438" s="25" t="str">
        <x:v>Jsoup</x:v>
      </x:c>
      <x:c r="B1438" s="25" t="n">
        <x:v>75</x:v>
      </x:c>
      <x:c r="C1438" s="25" t="str">
        <x:v>Round2</x:v>
      </x:c>
      <x:c r="D1438" s="25" t="str">
        <x:v>INCONCLUSIVE</x:v>
      </x:c>
      <x:c r="E1438" s="25" t="str">
        <x:v>N/A</x:v>
      </x:c>
      <x:c r="F1438" s="26" t="str">
        <x:v>Fixed also failed; assertion failure cannot be attributed to this bug</x:v>
      </x:c>
      <x:c r="G1438" s="25" t="str">
        <x:v>true</x:v>
      </x:c>
      <x:c r="H1438" s="25" t="str">
        <x:v>INCONCLUSIVE</x:v>
      </x:c>
      <x:c r="I1438" s="25" t="str">
        <x:v>PASS</x:v>
      </x:c>
      <x:c r="J1438" s="25" t="str">
        <x:v>FAIL</x:v>
      </x:c>
      <x:c r="K1438" s="25" t="n">
        <x:v>10</x:v>
      </x:c>
      <x:c r="L1438" s="27" t="b">
        <x:v>0</x:v>
      </x:c>
      <x:c r="M1438" s="25" t="str">
        <x:v>Feedback-Directed Random Test Generation/rounds/Round2/state/Jsoup.json</x:v>
      </x:c>
      <x:c r="N1438" s="25" t="str">
        <x:v>Feedback-Directed Random Test Generation/Result_Round2/Jsoup_75/result.json</x:v>
      </x:c>
      <x:c r="O1438" s="25" t="str">
        <x:v>Feedback-Directed Random Test Generation/Result_Round2/Jsoup_75/result.json</x:v>
      </x:c>
      <x:c r="P1438"/>
      <x:c r="Q1438" s="21" t="str"/>
      <x:c r="R1438" s="21" t="str"/>
      <x:c r="S1438" s="21" t="str"/>
      <x:c r="T1438" s="17" t="str">
        <x:v>false</x:v>
      </x:c>
      <x:c r="U1438" s="17" t="str">
        <x:v>true</x:v>
      </x:c>
      <x:c r="V1438" s="17" t="str">
        <x:v>false</x:v>
      </x:c>
    </x:row>
    <x:row r="1439" ht="80" customHeight="1">
      <x:c r="A1439" s="25" t="str">
        <x:v>Jsoup</x:v>
      </x:c>
      <x:c r="B1439" s="25" t="n">
        <x:v>76</x:v>
      </x:c>
      <x:c r="C1439" s="25" t="str">
        <x:v>Round2</x:v>
      </x:c>
      <x:c r="D1439" s="25" t="str">
        <x:v>NOT_REVEALING</x:v>
      </x:c>
      <x:c r="E1439" s="25" t="str">
        <x:v>N/A</x:v>
      </x:c>
      <x:c r="F1439" s="26" t="str">
        <x:v>Same saved validation suite passed on buggy and fixed</x:v>
      </x:c>
      <x:c r="G1439" s="25" t="str">
        <x:v>true</x:v>
      </x:c>
      <x:c r="H1439" s="25" t="str">
        <x:v>NOT_REVEALING</x:v>
      </x:c>
      <x:c r="I1439" s="25" t="str">
        <x:v>PASS</x:v>
      </x:c>
      <x:c r="J1439" s="25" t="str">
        <x:v>PASS</x:v>
      </x:c>
      <x:c r="K1439" s="25" t="n">
        <x:v>2</x:v>
      </x:c>
      <x:c r="L1439" s="27" t="b">
        <x:v>0</x:v>
      </x:c>
      <x:c r="M1439" s="25" t="str">
        <x:v>Feedback-Directed Random Test Generation/rounds/Round2/state/Jsoup.json</x:v>
      </x:c>
      <x:c r="N1439" s="25" t="str">
        <x:v>Feedback-Directed Random Test Generation/Result_Round2/Jsoup_76/result.json</x:v>
      </x:c>
      <x:c r="O1439" s="25" t="str">
        <x:v>Feedback-Directed Random Test Generation/Result_Round2/Jsoup_76/result.json</x:v>
      </x:c>
      <x:c r="P1439"/>
      <x:c r="Q1439" s="21" t="str"/>
      <x:c r="R1439" s="21" t="str"/>
      <x:c r="S1439" s="21" t="str"/>
      <x:c r="T1439" s="17" t="str">
        <x:v>false</x:v>
      </x:c>
      <x:c r="U1439" s="17" t="str">
        <x:v>true</x:v>
      </x:c>
      <x:c r="V1439" s="17" t="str">
        <x:v>false</x:v>
      </x:c>
    </x:row>
    <x:row r="1440" ht="80" customHeight="1">
      <x:c r="A1440" s="25" t="str">
        <x:v>Jsoup</x:v>
      </x:c>
      <x:c r="B1440" s="25" t="n">
        <x:v>77</x:v>
      </x:c>
      <x:c r="C1440" s="25" t="str">
        <x:v>Round2</x:v>
      </x:c>
      <x:c r="D1440" s="25" t="str">
        <x:v>NOT_REVEALING</x:v>
      </x:c>
      <x:c r="E1440" s="25" t="str">
        <x:v>N/A</x:v>
      </x:c>
      <x:c r="F1440" s="26" t="str">
        <x:v>Same saved validation suite passed on buggy and fixed</x:v>
      </x:c>
      <x:c r="G1440" s="25" t="str">
        <x:v>true</x:v>
      </x:c>
      <x:c r="H1440" s="25" t="str">
        <x:v>NOT_REVEALING</x:v>
      </x:c>
      <x:c r="I1440" s="25" t="str">
        <x:v>PASS</x:v>
      </x:c>
      <x:c r="J1440" s="25" t="str">
        <x:v>PASS</x:v>
      </x:c>
      <x:c r="K1440" s="25" t="n">
        <x:v>10</x:v>
      </x:c>
      <x:c r="L1440" s="27" t="b">
        <x:v>0</x:v>
      </x:c>
      <x:c r="M1440" s="25" t="str">
        <x:v>Feedback-Directed Random Test Generation/rounds/Round2/state/Jsoup.json</x:v>
      </x:c>
      <x:c r="N1440" s="25" t="str">
        <x:v>Feedback-Directed Random Test Generation/Result_Round2/Jsoup_77/result.json</x:v>
      </x:c>
      <x:c r="O1440" s="25" t="str">
        <x:v>Feedback-Directed Random Test Generation/Result_Round2/Jsoup_77/result.json</x:v>
      </x:c>
      <x:c r="P1440"/>
      <x:c r="Q1440" s="21" t="str"/>
      <x:c r="R1440" s="21" t="str"/>
      <x:c r="S1440" s="21" t="str"/>
      <x:c r="T1440" s="17" t="str">
        <x:v>false</x:v>
      </x:c>
      <x:c r="U1440" s="17" t="str">
        <x:v>true</x:v>
      </x:c>
      <x:c r="V1440" s="17" t="str">
        <x:v>false</x:v>
      </x:c>
    </x:row>
    <x:row r="1441" ht="80" customHeight="1">
      <x:c r="A1441" s="25" t="str">
        <x:v>Jsoup</x:v>
      </x:c>
      <x:c r="B1441" s="25" t="n">
        <x:v>78</x:v>
      </x:c>
      <x:c r="C1441" s="25" t="str">
        <x:v>Round2</x:v>
      </x:c>
      <x:c r="D1441" s="25" t="str">
        <x:v>NOT_REVEALING</x:v>
      </x:c>
      <x:c r="E1441" s="25" t="str">
        <x:v>N/A</x:v>
      </x:c>
      <x:c r="F1441" s="26" t="str">
        <x:v>Same saved validation suite passed on buggy and fixed</x:v>
      </x:c>
      <x:c r="G1441" s="25" t="str">
        <x:v>true</x:v>
      </x:c>
      <x:c r="H1441" s="25" t="str">
        <x:v>NOT_REVEALING</x:v>
      </x:c>
      <x:c r="I1441" s="25" t="str">
        <x:v>PASS</x:v>
      </x:c>
      <x:c r="J1441" s="25" t="str">
        <x:v>PASS</x:v>
      </x:c>
      <x:c r="K1441" s="25" t="n">
        <x:v>2</x:v>
      </x:c>
      <x:c r="L1441" s="27" t="b">
        <x:v>0</x:v>
      </x:c>
      <x:c r="M1441" s="25" t="str">
        <x:v>Feedback-Directed Random Test Generation/rounds/Round2/state/Jsoup.json</x:v>
      </x:c>
      <x:c r="N1441" s="25" t="str">
        <x:v>Feedback-Directed Random Test Generation/Result_Round2/Jsoup_78/result.json</x:v>
      </x:c>
      <x:c r="O1441" s="25" t="str">
        <x:v>Feedback-Directed Random Test Generation/Result_Round2/Jsoup_78/result.json</x:v>
      </x:c>
      <x:c r="P1441"/>
      <x:c r="Q1441" s="21" t="str"/>
      <x:c r="R1441" s="21" t="str"/>
      <x:c r="S1441" s="21" t="str"/>
      <x:c r="T1441" s="17" t="str">
        <x:v>false</x:v>
      </x:c>
      <x:c r="U1441" s="17" t="str">
        <x:v>true</x:v>
      </x:c>
      <x:c r="V1441" s="17" t="str">
        <x:v>false</x:v>
      </x:c>
    </x:row>
    <x:row r="1442" ht="80" customHeight="1">
      <x:c r="A1442" s="25" t="str">
        <x:v>Jsoup</x:v>
      </x:c>
      <x:c r="B1442" s="25" t="n">
        <x:v>79</x:v>
      </x:c>
      <x:c r="C1442" s="25" t="str">
        <x:v>Round2</x:v>
      </x:c>
      <x:c r="D1442" s="25" t="str">
        <x:v>NOT_REVEALING</x:v>
      </x:c>
      <x:c r="E1442" s="25" t="str">
        <x:v>N/A</x:v>
      </x:c>
      <x:c r="F1442" s="26" t="str">
        <x:v>Same saved validation suite passed on buggy and fixed</x:v>
      </x:c>
      <x:c r="G1442" s="25" t="str">
        <x:v>true</x:v>
      </x:c>
      <x:c r="H1442" s="25" t="str">
        <x:v>NOT_REVEALING</x:v>
      </x:c>
      <x:c r="I1442" s="25" t="str">
        <x:v>PASS</x:v>
      </x:c>
      <x:c r="J1442" s="25" t="str">
        <x:v>PASS</x:v>
      </x:c>
      <x:c r="K1442" s="25" t="n">
        <x:v>2</x:v>
      </x:c>
      <x:c r="L1442" s="27" t="b">
        <x:v>0</x:v>
      </x:c>
      <x:c r="M1442" s="25" t="str">
        <x:v>Feedback-Directed Random Test Generation/rounds/Round2/state/Jsoup.json</x:v>
      </x:c>
      <x:c r="N1442" s="25" t="str">
        <x:v>Feedback-Directed Random Test Generation/Result_Round2/Jsoup_79/result.json</x:v>
      </x:c>
      <x:c r="O1442" s="25" t="str">
        <x:v>Feedback-Directed Random Test Generation/Result_Round2/Jsoup_79/result.json</x:v>
      </x:c>
      <x:c r="P1442"/>
      <x:c r="Q1442" s="21" t="str"/>
      <x:c r="R1442" s="21" t="str"/>
      <x:c r="S1442" s="21" t="str"/>
      <x:c r="T1442" s="17" t="str">
        <x:v>false</x:v>
      </x:c>
      <x:c r="U1442" s="17" t="str">
        <x:v>true</x:v>
      </x:c>
      <x:c r="V1442" s="17" t="str">
        <x:v>false</x:v>
      </x:c>
    </x:row>
    <x:row r="1443" ht="80" customHeight="1">
      <x:c r="A1443" s="25" t="str">
        <x:v>Jsoup</x:v>
      </x:c>
      <x:c r="B1443" s="25" t="n">
        <x:v>80</x:v>
      </x:c>
      <x:c r="C1443" s="25" t="str">
        <x:v>Round2</x:v>
      </x:c>
      <x:c r="D1443" s="25" t="str">
        <x:v>NOT_REVEALING</x:v>
      </x:c>
      <x:c r="E1443" s="25" t="str">
        <x:v>N/A</x:v>
      </x:c>
      <x:c r="F1443" s="26" t="str">
        <x:v>Same saved validation suite passed on buggy and fixed</x:v>
      </x:c>
      <x:c r="G1443" s="25" t="str">
        <x:v>true</x:v>
      </x:c>
      <x:c r="H1443" s="25" t="str">
        <x:v>NOT_REVEALING</x:v>
      </x:c>
      <x:c r="I1443" s="25" t="str">
        <x:v>PASS</x:v>
      </x:c>
      <x:c r="J1443" s="25" t="str">
        <x:v>PASS</x:v>
      </x:c>
      <x:c r="K1443" s="25" t="n">
        <x:v>10</x:v>
      </x:c>
      <x:c r="L1443" s="27" t="b">
        <x:v>0</x:v>
      </x:c>
      <x:c r="M1443" s="25" t="str">
        <x:v>Feedback-Directed Random Test Generation/rounds/Round2/state/Jsoup.json</x:v>
      </x:c>
      <x:c r="N1443" s="25" t="str">
        <x:v>Feedback-Directed Random Test Generation/Result_Round2/Jsoup_80/result.json</x:v>
      </x:c>
      <x:c r="O1443" s="25" t="str">
        <x:v>Feedback-Directed Random Test Generation/Result_Round2/Jsoup_80/result.json</x:v>
      </x:c>
      <x:c r="P1443"/>
      <x:c r="Q1443" s="21" t="str"/>
      <x:c r="R1443" s="21" t="str"/>
      <x:c r="S1443" s="21" t="str"/>
      <x:c r="T1443" s="17" t="str">
        <x:v>false</x:v>
      </x:c>
      <x:c r="U1443" s="17" t="str">
        <x:v>true</x:v>
      </x:c>
      <x:c r="V1443" s="17" t="str">
        <x:v>false</x:v>
      </x:c>
    </x:row>
    <x:row r="1444" ht="80" customHeight="1">
      <x:c r="A1444" s="25" t="str">
        <x:v>Jsoup</x:v>
      </x:c>
      <x:c r="B1444" s="25" t="n">
        <x:v>81</x:v>
      </x:c>
      <x:c r="C1444" s="25" t="str">
        <x:v>Round2</x:v>
      </x:c>
      <x:c r="D1444" s="25" t="str">
        <x:v>NOT_REVEALING</x:v>
      </x:c>
      <x:c r="E1444" s="25" t="str">
        <x:v>N/A</x:v>
      </x:c>
      <x:c r="F1444" s="26" t="str">
        <x:v>Same saved validation suite passed on buggy and fixed</x:v>
      </x:c>
      <x:c r="G1444" s="25" t="str">
        <x:v>true</x:v>
      </x:c>
      <x:c r="H1444" s="25" t="str">
        <x:v>NOT_REVEALING</x:v>
      </x:c>
      <x:c r="I1444" s="25" t="str">
        <x:v>PASS</x:v>
      </x:c>
      <x:c r="J1444" s="25" t="str">
        <x:v>PASS</x:v>
      </x:c>
      <x:c r="K1444" s="25" t="n">
        <x:v>2</x:v>
      </x:c>
      <x:c r="L1444" s="27" t="b">
        <x:v>0</x:v>
      </x:c>
      <x:c r="M1444" s="25" t="str">
        <x:v>Feedback-Directed Random Test Generation/rounds/Round2/state/Jsoup.json</x:v>
      </x:c>
      <x:c r="N1444" s="25" t="str">
        <x:v>Feedback-Directed Random Test Generation/Result_Round2/Jsoup_81/result.json</x:v>
      </x:c>
      <x:c r="O1444" s="25" t="str">
        <x:v>Feedback-Directed Random Test Generation/Result_Round2/Jsoup_81/result.json</x:v>
      </x:c>
      <x:c r="P1444"/>
      <x:c r="Q1444" s="21" t="str"/>
      <x:c r="R1444" s="21" t="str"/>
      <x:c r="S1444" s="21" t="str"/>
      <x:c r="T1444" s="17" t="str">
        <x:v>false</x:v>
      </x:c>
      <x:c r="U1444" s="17" t="str">
        <x:v>true</x:v>
      </x:c>
      <x:c r="V1444" s="17" t="str">
        <x:v>false</x:v>
      </x:c>
    </x:row>
    <x:row r="1445" ht="80" customHeight="1">
      <x:c r="A1445" s="25" t="str">
        <x:v>Jsoup</x:v>
      </x:c>
      <x:c r="B1445" s="25" t="n">
        <x:v>82</x:v>
      </x:c>
      <x:c r="C1445" s="25" t="str">
        <x:v>Round2</x:v>
      </x:c>
      <x:c r="D1445" s="25" t="str">
        <x:v>NOT_REVEALING</x:v>
      </x:c>
      <x:c r="E1445" s="25" t="str">
        <x:v>N/A</x:v>
      </x:c>
      <x:c r="F1445" s="26" t="str">
        <x:v>Same saved validation suite passed on buggy and fixed</x:v>
      </x:c>
      <x:c r="G1445" s="25" t="str">
        <x:v>true</x:v>
      </x:c>
      <x:c r="H1445" s="25" t="str">
        <x:v>NOT_REVEALING</x:v>
      </x:c>
      <x:c r="I1445" s="25" t="str">
        <x:v>PASS</x:v>
      </x:c>
      <x:c r="J1445" s="25" t="str">
        <x:v>PASS</x:v>
      </x:c>
      <x:c r="K1445" s="25" t="n">
        <x:v>2</x:v>
      </x:c>
      <x:c r="L1445" s="27" t="b">
        <x:v>0</x:v>
      </x:c>
      <x:c r="M1445" s="25" t="str">
        <x:v>Feedback-Directed Random Test Generation/rounds/Round2/state/Jsoup.json</x:v>
      </x:c>
      <x:c r="N1445" s="25" t="str">
        <x:v>Feedback-Directed Random Test Generation/Result_Round2/Jsoup_82/result.json</x:v>
      </x:c>
      <x:c r="O1445" s="25" t="str">
        <x:v>Feedback-Directed Random Test Generation/Result_Round2/Jsoup_82/result.json</x:v>
      </x:c>
      <x:c r="P1445"/>
      <x:c r="Q1445" s="21" t="str"/>
      <x:c r="R1445" s="21" t="str"/>
      <x:c r="S1445" s="21" t="str"/>
      <x:c r="T1445" s="17" t="str">
        <x:v>false</x:v>
      </x:c>
      <x:c r="U1445" s="17" t="str">
        <x:v>true</x:v>
      </x:c>
      <x:c r="V1445" s="17" t="str">
        <x:v>false</x:v>
      </x:c>
    </x:row>
    <x:row r="1446" ht="80" customHeight="1">
      <x:c r="A1446" s="25" t="str">
        <x:v>Jsoup</x:v>
      </x:c>
      <x:c r="B1446" s="25" t="n">
        <x:v>83</x:v>
      </x:c>
      <x:c r="C1446" s="25" t="str">
        <x:v>Round2</x:v>
      </x:c>
      <x:c r="D1446" s="25" t="str">
        <x:v>NOT_REVEALING</x:v>
      </x:c>
      <x:c r="E1446" s="25" t="str">
        <x:v>N/A</x:v>
      </x:c>
      <x:c r="F1446" s="26" t="str">
        <x:v>Same saved validation suite passed on buggy and fixed</x:v>
      </x:c>
      <x:c r="G1446" s="25" t="str">
        <x:v>true</x:v>
      </x:c>
      <x:c r="H1446" s="25" t="str">
        <x:v>NOT_REVEALING</x:v>
      </x:c>
      <x:c r="I1446" s="25" t="str">
        <x:v>PASS</x:v>
      </x:c>
      <x:c r="J1446" s="25" t="str">
        <x:v>PASS</x:v>
      </x:c>
      <x:c r="K1446" s="25" t="n">
        <x:v>11</x:v>
      </x:c>
      <x:c r="L1446" s="27" t="b">
        <x:v>0</x:v>
      </x:c>
      <x:c r="M1446" s="25" t="str">
        <x:v>Feedback-Directed Random Test Generation/rounds/Round2/state/Jsoup.json</x:v>
      </x:c>
      <x:c r="N1446" s="25" t="str">
        <x:v>Feedback-Directed Random Test Generation/Result_Round2/Jsoup_83/result.json</x:v>
      </x:c>
      <x:c r="O1446" s="25" t="str">
        <x:v>Feedback-Directed Random Test Generation/Result_Round2/Jsoup_83/result.json</x:v>
      </x:c>
      <x:c r="P1446"/>
      <x:c r="Q1446" s="21" t="str"/>
      <x:c r="R1446" s="21" t="str"/>
      <x:c r="S1446" s="21" t="str"/>
      <x:c r="T1446" s="17" t="str">
        <x:v>false</x:v>
      </x:c>
      <x:c r="U1446" s="17" t="str">
        <x:v>true</x:v>
      </x:c>
      <x:c r="V1446" s="17" t="str">
        <x:v>false</x:v>
      </x:c>
    </x:row>
    <x:row r="1447" ht="80" customHeight="1">
      <x:c r="A1447" s="25" t="str">
        <x:v>Jsoup</x:v>
      </x:c>
      <x:c r="B1447" s="25" t="n">
        <x:v>84</x:v>
      </x:c>
      <x:c r="C1447" s="25" t="str">
        <x:v>Round2</x:v>
      </x:c>
      <x:c r="D1447" s="25" t="str">
        <x:v>NOT_REVEALING</x:v>
      </x:c>
      <x:c r="E1447" s="25" t="str">
        <x:v>N/A</x:v>
      </x:c>
      <x:c r="F1447" s="26" t="str">
        <x:v>Same saved validation suite passed on buggy and fixed</x:v>
      </x:c>
      <x:c r="G1447" s="25" t="str">
        <x:v>true</x:v>
      </x:c>
      <x:c r="H1447" s="25" t="str">
        <x:v>NOT_REVEALING</x:v>
      </x:c>
      <x:c r="I1447" s="25" t="str">
        <x:v>PASS</x:v>
      </x:c>
      <x:c r="J1447" s="25" t="str">
        <x:v>PASS</x:v>
      </x:c>
      <x:c r="K1447" s="25" t="n">
        <x:v>10</x:v>
      </x:c>
      <x:c r="L1447" s="27" t="b">
        <x:v>0</x:v>
      </x:c>
      <x:c r="M1447" s="25" t="str">
        <x:v>Feedback-Directed Random Test Generation/rounds/Round2/state/Jsoup.json</x:v>
      </x:c>
      <x:c r="N1447" s="25" t="str">
        <x:v>Feedback-Directed Random Test Generation/Result_Round2/Jsoup_84/result.json</x:v>
      </x:c>
      <x:c r="O1447" s="25" t="str">
        <x:v>Feedback-Directed Random Test Generation/Result_Round2/Jsoup_84/result.json</x:v>
      </x:c>
      <x:c r="P1447"/>
      <x:c r="Q1447" s="21" t="str"/>
      <x:c r="R1447" s="21" t="str"/>
      <x:c r="S1447" s="21" t="str"/>
      <x:c r="T1447" s="17" t="str">
        <x:v>false</x:v>
      </x:c>
      <x:c r="U1447" s="17" t="str">
        <x:v>true</x:v>
      </x:c>
      <x:c r="V1447" s="17" t="str">
        <x:v>false</x:v>
      </x:c>
    </x:row>
    <x:row r="1448" ht="80" customHeight="1">
      <x:c r="A1448" s="25" t="str">
        <x:v>Jsoup</x:v>
      </x:c>
      <x:c r="B1448" s="25" t="n">
        <x:v>85</x:v>
      </x:c>
      <x:c r="C1448" s="25" t="str">
        <x:v>Round2</x:v>
      </x:c>
      <x:c r="D1448" s="25" t="str">
        <x:v>INCONCLUSIVE</x:v>
      </x:c>
      <x:c r="E1448" s="25" t="str">
        <x:v>N/A</x:v>
      </x:c>
      <x:c r="F1448" s="26" t="str">
        <x:v>Fixed also failed; assertion failure cannot be attributed to this bug; Assertions failed with measured coverage; paired execution and stage checks determine status</x:v>
      </x:c>
      <x:c r="G1448" s="25" t="str">
        <x:v>true</x:v>
      </x:c>
      <x:c r="H1448" s="25" t="str">
        <x:v>INCONCLUSIVE</x:v>
      </x:c>
      <x:c r="I1448" s="25" t="str">
        <x:v>FAIL</x:v>
      </x:c>
      <x:c r="J1448" s="25" t="str">
        <x:v>FAIL</x:v>
      </x:c>
      <x:c r="K1448" s="25" t="n">
        <x:v>17</x:v>
      </x:c>
      <x:c r="L1448" s="27" t="b">
        <x:v>0</x:v>
      </x:c>
      <x:c r="M1448" s="25" t="str">
        <x:v>Feedback-Directed Random Test Generation/rounds/Round2/state/Jsoup.json</x:v>
      </x:c>
      <x:c r="N1448" s="25" t="str">
        <x:v>Feedback-Directed Random Test Generation/Result_Round2/Jsoup_85/result.json</x:v>
      </x:c>
      <x:c r="O1448" s="25" t="str">
        <x:v>Feedback-Directed Random Test Generation/Result_Round2/Jsoup_85/result.json</x:v>
      </x:c>
      <x:c r="P1448"/>
      <x:c r="Q1448" s="21" t="str"/>
      <x:c r="R1448" s="21" t="str"/>
      <x:c r="S1448" s="21" t="str"/>
      <x:c r="T1448" s="17" t="str">
        <x:v>false</x:v>
      </x:c>
      <x:c r="U1448" s="17" t="str">
        <x:v>true</x:v>
      </x:c>
      <x:c r="V1448" s="17" t="str">
        <x:v>false</x:v>
      </x:c>
    </x:row>
    <x:row r="1449" ht="80" customHeight="1">
      <x:c r="A1449" s="25" t="str">
        <x:v>Jsoup</x:v>
      </x:c>
      <x:c r="B1449" s="25" t="n">
        <x:v>86</x:v>
      </x:c>
      <x:c r="C1449" s="25" t="str">
        <x:v>Round2</x:v>
      </x:c>
      <x:c r="D1449" s="25" t="str">
        <x:v>INCONCLUSIVE</x:v>
      </x:c>
      <x:c r="E1449" s="25" t="str">
        <x:v>N/A</x:v>
      </x:c>
      <x:c r="F1449" s="26" t="str">
        <x:v>Fixed also failed; assertion failure cannot be attributed to this bug; Assertions failed with measured coverage; paired execution and stage checks determine status</x:v>
      </x:c>
      <x:c r="G1449" s="25" t="str">
        <x:v>true</x:v>
      </x:c>
      <x:c r="H1449" s="25" t="str">
        <x:v>INCONCLUSIVE</x:v>
      </x:c>
      <x:c r="I1449" s="25" t="str">
        <x:v>FAIL</x:v>
      </x:c>
      <x:c r="J1449" s="25" t="str">
        <x:v>FAIL</x:v>
      </x:c>
      <x:c r="K1449" s="25" t="n">
        <x:v>13</x:v>
      </x:c>
      <x:c r="L1449" s="27" t="b">
        <x:v>0</x:v>
      </x:c>
      <x:c r="M1449" s="25" t="str">
        <x:v>Feedback-Directed Random Test Generation/rounds/Round2/state/Jsoup.json</x:v>
      </x:c>
      <x:c r="N1449" s="25" t="str">
        <x:v>Feedback-Directed Random Test Generation/Result_Round2/Jsoup_86/result.json</x:v>
      </x:c>
      <x:c r="O1449" s="25" t="str">
        <x:v>Feedback-Directed Random Test Generation/Result_Round2/Jsoup_86/result.json</x:v>
      </x:c>
      <x:c r="P1449"/>
      <x:c r="Q1449" s="21" t="str"/>
      <x:c r="R1449" s="21" t="str"/>
      <x:c r="S1449" s="21" t="str"/>
      <x:c r="T1449" s="17" t="str">
        <x:v>false</x:v>
      </x:c>
      <x:c r="U1449" s="17" t="str">
        <x:v>true</x:v>
      </x:c>
      <x:c r="V1449" s="17" t="str">
        <x:v>false</x:v>
      </x:c>
    </x:row>
    <x:row r="1450" ht="80" customHeight="1">
      <x:c r="A1450" s="25" t="str">
        <x:v>Jsoup</x:v>
      </x:c>
      <x:c r="B1450" s="25" t="n">
        <x:v>87</x:v>
      </x:c>
      <x:c r="C1450" s="25" t="str">
        <x:v>Round2</x:v>
      </x:c>
      <x:c r="D1450" s="25" t="str">
        <x:v>INCONCLUSIVE</x:v>
      </x:c>
      <x:c r="E1450" s="25" t="str">
        <x:v>N/A</x:v>
      </x:c>
      <x:c r="F1450" s="26" t="str">
        <x:v>Fixed also failed; assertion failure cannot be attributed to this bug; Assertions failed with measured coverage; paired execution and stage checks determine status</x:v>
      </x:c>
      <x:c r="G1450" s="25" t="str">
        <x:v>true</x:v>
      </x:c>
      <x:c r="H1450" s="25" t="str">
        <x:v>INCONCLUSIVE</x:v>
      </x:c>
      <x:c r="I1450" s="25" t="str">
        <x:v>FAIL</x:v>
      </x:c>
      <x:c r="J1450" s="25" t="str">
        <x:v>FAIL</x:v>
      </x:c>
      <x:c r="K1450" s="25" t="n">
        <x:v>12</x:v>
      </x:c>
      <x:c r="L1450" s="27" t="b">
        <x:v>0</x:v>
      </x:c>
      <x:c r="M1450" s="25" t="str">
        <x:v>Feedback-Directed Random Test Generation/rounds/Round2/state/Jsoup.json</x:v>
      </x:c>
      <x:c r="N1450" s="25" t="str">
        <x:v>Feedback-Directed Random Test Generation/Result_Round2/Jsoup_87/result.json</x:v>
      </x:c>
      <x:c r="O1450" s="25" t="str">
        <x:v>Feedback-Directed Random Test Generation/Result_Round2/Jsoup_87/result.json</x:v>
      </x:c>
      <x:c r="P1450"/>
      <x:c r="Q1450" s="21" t="str"/>
      <x:c r="R1450" s="21" t="str"/>
      <x:c r="S1450" s="21" t="str"/>
      <x:c r="T1450" s="17" t="str">
        <x:v>false</x:v>
      </x:c>
      <x:c r="U1450" s="17" t="str">
        <x:v>true</x:v>
      </x:c>
      <x:c r="V1450" s="17" t="str">
        <x:v>false</x:v>
      </x:c>
    </x:row>
    <x:row r="1451" ht="80" customHeight="1">
      <x:c r="A1451" s="25" t="str">
        <x:v>Jsoup</x:v>
      </x:c>
      <x:c r="B1451" s="25" t="n">
        <x:v>88</x:v>
      </x:c>
      <x:c r="C1451" s="25" t="str">
        <x:v>Round2</x:v>
      </x:c>
      <x:c r="D1451" s="25" t="str">
        <x:v>INCONCLUSIVE</x:v>
      </x:c>
      <x:c r="E1451" s="25" t="str">
        <x:v>N/A</x:v>
      </x:c>
      <x:c r="F1451" s="26" t="str">
        <x:v>Fixed also failed; assertion failure cannot be attributed to this bug; Assertions failed with measured coverage; paired execution and stage checks determine status</x:v>
      </x:c>
      <x:c r="G1451" s="25" t="str">
        <x:v>true</x:v>
      </x:c>
      <x:c r="H1451" s="25" t="str">
        <x:v>INCONCLUSIVE</x:v>
      </x:c>
      <x:c r="I1451" s="25" t="str">
        <x:v>FAIL</x:v>
      </x:c>
      <x:c r="J1451" s="25" t="str">
        <x:v>FAIL</x:v>
      </x:c>
      <x:c r="K1451" s="25" t="n">
        <x:v>17</x:v>
      </x:c>
      <x:c r="L1451" s="27" t="b">
        <x:v>0</x:v>
      </x:c>
      <x:c r="M1451" s="25" t="str">
        <x:v>Feedback-Directed Random Test Generation/rounds/Round2/state/Jsoup.json</x:v>
      </x:c>
      <x:c r="N1451" s="25" t="str">
        <x:v>Feedback-Directed Random Test Generation/Result_Round2/Jsoup_88/result.json</x:v>
      </x:c>
      <x:c r="O1451" s="25" t="str">
        <x:v>Feedback-Directed Random Test Generation/Result_Round2/Jsoup_88/result.json</x:v>
      </x:c>
      <x:c r="P1451"/>
      <x:c r="Q1451" s="21" t="str"/>
      <x:c r="R1451" s="21" t="str"/>
      <x:c r="S1451" s="21" t="str"/>
      <x:c r="T1451" s="17" t="str">
        <x:v>false</x:v>
      </x:c>
      <x:c r="U1451" s="17" t="str">
        <x:v>true</x:v>
      </x:c>
      <x:c r="V1451" s="17" t="str">
        <x:v>false</x:v>
      </x:c>
    </x:row>
    <x:row r="1452" ht="80" customHeight="1">
      <x:c r="A1452" s="25" t="str">
        <x:v>Jsoup</x:v>
      </x:c>
      <x:c r="B1452" s="25" t="n">
        <x:v>89</x:v>
      </x:c>
      <x:c r="C1452" s="25" t="str">
        <x:v>Round2</x:v>
      </x:c>
      <x:c r="D1452" s="25" t="str">
        <x:v>INCONCLUSIVE</x:v>
      </x:c>
      <x:c r="E1452" s="25" t="str">
        <x:v>N/A</x:v>
      </x:c>
      <x:c r="F1452" s="26" t="str">
        <x:v>Fixed also failed; assertion failure cannot be attributed to this bug; Assertions failed with measured coverage; paired execution and stage checks determine status</x:v>
      </x:c>
      <x:c r="G1452" s="25" t="str">
        <x:v>true</x:v>
      </x:c>
      <x:c r="H1452" s="25" t="str">
        <x:v>INCONCLUSIVE</x:v>
      </x:c>
      <x:c r="I1452" s="25" t="str">
        <x:v>FAIL</x:v>
      </x:c>
      <x:c r="J1452" s="25" t="str">
        <x:v>FAIL</x:v>
      </x:c>
      <x:c r="K1452" s="25" t="n">
        <x:v>17</x:v>
      </x:c>
      <x:c r="L1452" s="27" t="b">
        <x:v>0</x:v>
      </x:c>
      <x:c r="M1452" s="25" t="str">
        <x:v>Feedback-Directed Random Test Generation/rounds/Round2/state/Jsoup.json</x:v>
      </x:c>
      <x:c r="N1452" s="25" t="str">
        <x:v>Feedback-Directed Random Test Generation/Result_Round2/Jsoup_89/result.json</x:v>
      </x:c>
      <x:c r="O1452" s="25" t="str">
        <x:v>Feedback-Directed Random Test Generation/Result_Round2/Jsoup_89/result.json</x:v>
      </x:c>
      <x:c r="P1452"/>
      <x:c r="Q1452" s="21" t="str"/>
      <x:c r="R1452" s="21" t="str"/>
      <x:c r="S1452" s="21" t="str"/>
      <x:c r="T1452" s="17" t="str">
        <x:v>false</x:v>
      </x:c>
      <x:c r="U1452" s="17" t="str">
        <x:v>true</x:v>
      </x:c>
      <x:c r="V1452" s="17" t="str">
        <x:v>false</x:v>
      </x:c>
    </x:row>
    <x:row r="1453" ht="80" customHeight="1">
      <x:c r="A1453" s="25" t="str">
        <x:v>Jsoup</x:v>
      </x:c>
      <x:c r="B1453" s="25" t="n">
        <x:v>90</x:v>
      </x:c>
      <x:c r="C1453" s="25" t="str">
        <x:v>Round2</x:v>
      </x:c>
      <x:c r="D1453" s="25" t="str">
        <x:v>NOT_REVEALING</x:v>
      </x:c>
      <x:c r="E1453" s="25" t="str">
        <x:v>N/A</x:v>
      </x:c>
      <x:c r="F1453" s="26" t="str">
        <x:v>Same saved validation suite passed on buggy and fixed</x:v>
      </x:c>
      <x:c r="G1453" s="25" t="str">
        <x:v>true</x:v>
      </x:c>
      <x:c r="H1453" s="25" t="str">
        <x:v>NOT_REVEALING</x:v>
      </x:c>
      <x:c r="I1453" s="25" t="str">
        <x:v>PASS</x:v>
      </x:c>
      <x:c r="J1453" s="25" t="str">
        <x:v>PASS</x:v>
      </x:c>
      <x:c r="K1453" s="25" t="n">
        <x:v>11</x:v>
      </x:c>
      <x:c r="L1453" s="27" t="b">
        <x:v>0</x:v>
      </x:c>
      <x:c r="M1453" s="25" t="str">
        <x:v>Feedback-Directed Random Test Generation/rounds/Round2/state/Jsoup.json</x:v>
      </x:c>
      <x:c r="N1453" s="25" t="str">
        <x:v>Feedback-Directed Random Test Generation/Result_Round2/Jsoup_90/result.json</x:v>
      </x:c>
      <x:c r="O1453" s="25" t="str">
        <x:v>Feedback-Directed Random Test Generation/Result_Round2/Jsoup_90/result.json</x:v>
      </x:c>
      <x:c r="P1453"/>
      <x:c r="Q1453" s="21" t="str"/>
      <x:c r="R1453" s="21" t="str"/>
      <x:c r="S1453" s="21" t="str"/>
      <x:c r="T1453" s="17" t="str">
        <x:v>false</x:v>
      </x:c>
      <x:c r="U1453" s="17" t="str">
        <x:v>true</x:v>
      </x:c>
      <x:c r="V1453" s="17" t="str">
        <x:v>false</x:v>
      </x:c>
    </x:row>
    <x:row r="1454" ht="80" customHeight="1">
      <x:c r="A1454" s="25" t="str">
        <x:v>Jsoup</x:v>
      </x:c>
      <x:c r="B1454" s="25" t="n">
        <x:v>91</x:v>
      </x:c>
      <x:c r="C1454" s="25" t="str">
        <x:v>Round2</x:v>
      </x:c>
      <x:c r="D1454" s="25" t="str">
        <x:v>NOT_REVEALING</x:v>
      </x:c>
      <x:c r="E1454" s="25" t="str">
        <x:v>N/A</x:v>
      </x:c>
      <x:c r="F1454" s="26" t="str">
        <x:v>Same saved validation suite passed on buggy and fixed</x:v>
      </x:c>
      <x:c r="G1454" s="25" t="str">
        <x:v>true</x:v>
      </x:c>
      <x:c r="H1454" s="25" t="str">
        <x:v>NOT_REVEALING</x:v>
      </x:c>
      <x:c r="I1454" s="25" t="str">
        <x:v>PASS</x:v>
      </x:c>
      <x:c r="J1454" s="25" t="str">
        <x:v>PASS</x:v>
      </x:c>
      <x:c r="K1454" s="25" t="n">
        <x:v>10</x:v>
      </x:c>
      <x:c r="L1454" s="27" t="b">
        <x:v>0</x:v>
      </x:c>
      <x:c r="M1454" s="25" t="str">
        <x:v>Feedback-Directed Random Test Generation/rounds/Round2/state/Jsoup.json</x:v>
      </x:c>
      <x:c r="N1454" s="25" t="str">
        <x:v>Feedback-Directed Random Test Generation/Result_Round2/Jsoup_91/result.json</x:v>
      </x:c>
      <x:c r="O1454" s="25" t="str">
        <x:v>Feedback-Directed Random Test Generation/Result_Round2/Jsoup_91/result.json</x:v>
      </x:c>
      <x:c r="P1454"/>
      <x:c r="Q1454" s="21" t="str"/>
      <x:c r="R1454" s="21" t="str"/>
      <x:c r="S1454" s="21" t="str"/>
      <x:c r="T1454" s="17" t="str">
        <x:v>false</x:v>
      </x:c>
      <x:c r="U1454" s="17" t="str">
        <x:v>true</x:v>
      </x:c>
      <x:c r="V1454" s="17" t="str">
        <x:v>false</x:v>
      </x:c>
    </x:row>
    <x:row r="1455" ht="80" customHeight="1">
      <x:c r="A1455" s="25" t="str">
        <x:v>Jsoup</x:v>
      </x:c>
      <x:c r="B1455" s="25" t="n">
        <x:v>92</x:v>
      </x:c>
      <x:c r="C1455" s="25" t="str">
        <x:v>Round2</x:v>
      </x:c>
      <x:c r="D1455" s="25" t="str">
        <x:v>INCONCLUSIVE</x:v>
      </x:c>
      <x:c r="E1455" s="25" t="str">
        <x:v>N/A</x:v>
      </x:c>
      <x:c r="F1455" s="26" t="str">
        <x:v>Fixed also failed; assertion failure cannot be attributed to this bug; Assertions failed with measured coverage; paired execution and stage checks determine status</x:v>
      </x:c>
      <x:c r="G1455" s="25" t="str">
        <x:v>true</x:v>
      </x:c>
      <x:c r="H1455" s="25" t="str">
        <x:v>INCONCLUSIVE</x:v>
      </x:c>
      <x:c r="I1455" s="25" t="str">
        <x:v>FAIL</x:v>
      </x:c>
      <x:c r="J1455" s="25" t="str">
        <x:v>FAIL</x:v>
      </x:c>
      <x:c r="K1455" s="25" t="n">
        <x:v>12</x:v>
      </x:c>
      <x:c r="L1455" s="27" t="b">
        <x:v>0</x:v>
      </x:c>
      <x:c r="M1455" s="25" t="str">
        <x:v>Feedback-Directed Random Test Generation/rounds/Round2/state/Jsoup.json</x:v>
      </x:c>
      <x:c r="N1455" s="25" t="str">
        <x:v>Feedback-Directed Random Test Generation/Result_Round2/Jsoup_92/result.json</x:v>
      </x:c>
      <x:c r="O1455" s="25" t="str">
        <x:v>Feedback-Directed Random Test Generation/Result_Round2/Jsoup_92/result.json</x:v>
      </x:c>
      <x:c r="P1455"/>
      <x:c r="Q1455" s="21" t="str"/>
      <x:c r="R1455" s="21" t="str"/>
      <x:c r="S1455" s="21" t="str"/>
      <x:c r="T1455" s="17" t="str">
        <x:v>false</x:v>
      </x:c>
      <x:c r="U1455" s="17" t="str">
        <x:v>true</x:v>
      </x:c>
      <x:c r="V1455" s="17" t="str">
        <x:v>false</x:v>
      </x:c>
    </x:row>
    <x:row r="1456" ht="80" customHeight="1">
      <x:c r="A1456" s="25" t="str">
        <x:v>Jsoup</x:v>
      </x:c>
      <x:c r="B1456" s="25" t="n">
        <x:v>93</x:v>
      </x:c>
      <x:c r="C1456" s="25" t="str">
        <x:v>Round2</x:v>
      </x:c>
      <x:c r="D1456" s="25" t="str">
        <x:v>NOT_REVEALING</x:v>
      </x:c>
      <x:c r="E1456" s="25" t="str">
        <x:v>N/A</x:v>
      </x:c>
      <x:c r="F1456" s="26" t="str">
        <x:v>Same saved validation suite passed on buggy and fixed</x:v>
      </x:c>
      <x:c r="G1456" s="25" t="str">
        <x:v>true</x:v>
      </x:c>
      <x:c r="H1456" s="25" t="str">
        <x:v>NOT_REVEALING</x:v>
      </x:c>
      <x:c r="I1456" s="25" t="str">
        <x:v>PASS</x:v>
      </x:c>
      <x:c r="J1456" s="25" t="str">
        <x:v>PASS</x:v>
      </x:c>
      <x:c r="K1456" s="25" t="n">
        <x:v>2</x:v>
      </x:c>
      <x:c r="L1456" s="27" t="b">
        <x:v>0</x:v>
      </x:c>
      <x:c r="M1456" s="25" t="str">
        <x:v>Feedback-Directed Random Test Generation/rounds/Round2/state/Jsoup.json</x:v>
      </x:c>
      <x:c r="N1456" s="25" t="str">
        <x:v>Feedback-Directed Random Test Generation/Result_Round2/Jsoup_93/result.json</x:v>
      </x:c>
      <x:c r="O1456" s="25" t="str">
        <x:v>Feedback-Directed Random Test Generation/Result_Round2/Jsoup_93/result.json</x:v>
      </x:c>
      <x:c r="P1456"/>
      <x:c r="Q1456" s="21" t="str"/>
      <x:c r="R1456" s="21" t="str"/>
      <x:c r="S1456" s="21" t="str"/>
      <x:c r="T1456" s="17" t="str">
        <x:v>false</x:v>
      </x:c>
      <x:c r="U1456" s="17" t="str">
        <x:v>true</x:v>
      </x:c>
      <x:c r="V1456" s="17" t="str">
        <x:v>false</x:v>
      </x:c>
    </x:row>
    <x:row r="1457" ht="80" customHeight="1">
      <x:c r="A1457" s="25" t="str">
        <x:v>JxPath</x:v>
      </x:c>
      <x:c r="B1457" s="25" t="n">
        <x:v>1</x:v>
      </x:c>
      <x:c r="C1457" s="25" t="str">
        <x:v>Round2</x:v>
      </x:c>
      <x:c r="D1457" s="25" t="str">
        <x:v>NOT_REVEALING</x:v>
      </x:c>
      <x:c r="E1457" s="25" t="str">
        <x:v>N/A</x:v>
      </x:c>
      <x:c r="F1457" s="26" t="str">
        <x:v>Same saved validation suite passed on buggy and fixed</x:v>
      </x:c>
      <x:c r="G1457" s="25" t="str">
        <x:v>true</x:v>
      </x:c>
      <x:c r="H1457" s="25" t="str">
        <x:v>NOT_REVEALING</x:v>
      </x:c>
      <x:c r="I1457" s="25" t="str">
        <x:v>PASS</x:v>
      </x:c>
      <x:c r="J1457" s="25" t="str">
        <x:v>PASS</x:v>
      </x:c>
      <x:c r="K1457" s="25" t="n">
        <x:v>9</x:v>
      </x:c>
      <x:c r="L1457" s="27" t="b">
        <x:v>0</x:v>
      </x:c>
      <x:c r="M1457" s="25" t="str">
        <x:v>Feedback-Directed Random Test Generation/rounds/Round2/state/JxPath.json</x:v>
      </x:c>
      <x:c r="N1457" s="25" t="str">
        <x:v>Feedback-Directed Random Test Generation/Result_Round2/JxPath_1/result.json</x:v>
      </x:c>
      <x:c r="O1457" s="25" t="str">
        <x:v>Feedback-Directed Random Test Generation/Result_Round2/JxPath_1/result.json</x:v>
      </x:c>
      <x:c r="P1457"/>
      <x:c r="Q1457" s="21" t="str"/>
      <x:c r="R1457" s="21" t="str"/>
      <x:c r="S1457" s="21" t="str"/>
      <x:c r="T1457" s="17" t="str">
        <x:v>false</x:v>
      </x:c>
      <x:c r="U1457" s="17" t="str">
        <x:v>true</x:v>
      </x:c>
      <x:c r="V1457" s="17" t="str">
        <x:v>false</x:v>
      </x:c>
    </x:row>
    <x:row r="1458" ht="80" customHeight="1">
      <x:c r="A1458" s="25" t="str">
        <x:v>JxPath</x:v>
      </x:c>
      <x:c r="B1458" s="25" t="n">
        <x:v>2</x:v>
      </x:c>
      <x:c r="C1458" s="25" t="str">
        <x:v>Round2</x:v>
      </x:c>
      <x:c r="D1458" s="25" t="str">
        <x:v>NOT_REVEALING</x:v>
      </x:c>
      <x:c r="E1458" s="25" t="str">
        <x:v>N/A</x:v>
      </x:c>
      <x:c r="F1458" s="26" t="str">
        <x:v>Same saved validation suite passed on buggy and fixed</x:v>
      </x:c>
      <x:c r="G1458" s="25" t="str">
        <x:v>true</x:v>
      </x:c>
      <x:c r="H1458" s="25" t="str">
        <x:v>NOT_REVEALING</x:v>
      </x:c>
      <x:c r="I1458" s="25" t="str">
        <x:v>PASS</x:v>
      </x:c>
      <x:c r="J1458" s="25" t="str">
        <x:v>PASS</x:v>
      </x:c>
      <x:c r="K1458" s="25" t="n">
        <x:v>10</x:v>
      </x:c>
      <x:c r="L1458" s="27" t="b">
        <x:v>0</x:v>
      </x:c>
      <x:c r="M1458" s="25" t="str">
        <x:v>Feedback-Directed Random Test Generation/rounds/Round2/state/JxPath.json</x:v>
      </x:c>
      <x:c r="N1458" s="25" t="str">
        <x:v>Feedback-Directed Random Test Generation/Result_Round2/JxPath_2/result.json</x:v>
      </x:c>
      <x:c r="O1458" s="25" t="str">
        <x:v>Feedback-Directed Random Test Generation/Result_Round2/JxPath_2/result.json</x:v>
      </x:c>
      <x:c r="P1458"/>
      <x:c r="Q1458" s="21" t="str"/>
      <x:c r="R1458" s="21" t="str"/>
      <x:c r="S1458" s="21" t="str"/>
      <x:c r="T1458" s="17" t="str">
        <x:v>false</x:v>
      </x:c>
      <x:c r="U1458" s="17" t="str">
        <x:v>true</x:v>
      </x:c>
      <x:c r="V1458" s="17" t="str">
        <x:v>false</x:v>
      </x:c>
    </x:row>
    <x:row r="1459" ht="80" customHeight="1">
      <x:c r="A1459" s="25" t="str">
        <x:v>JxPath</x:v>
      </x:c>
      <x:c r="B1459" s="25" t="n">
        <x:v>3</x:v>
      </x:c>
      <x:c r="C1459" s="25" t="str">
        <x:v>Round2</x:v>
      </x:c>
      <x:c r="D1459" s="25" t="str">
        <x:v>INCONCLUSIVE</x:v>
      </x:c>
      <x:c r="E1459" s="25" t="str">
        <x:v>N/A</x:v>
      </x:c>
      <x:c r="F1459" s="26" t="str">
        <x:v>Fixed also failed; assertion failure cannot be attributed to this bug; Assertions failed with measured coverage; paired execution and stage checks determine status</x:v>
      </x:c>
      <x:c r="G1459" s="25" t="str">
        <x:v>true</x:v>
      </x:c>
      <x:c r="H1459" s="25" t="str">
        <x:v>INCONCLUSIVE</x:v>
      </x:c>
      <x:c r="I1459" s="25" t="str">
        <x:v>FAIL</x:v>
      </x:c>
      <x:c r="J1459" s="25" t="str">
        <x:v>FAIL</x:v>
      </x:c>
      <x:c r="K1459" s="25" t="n">
        <x:v>8</x:v>
      </x:c>
      <x:c r="L1459" s="27" t="b">
        <x:v>0</x:v>
      </x:c>
      <x:c r="M1459" s="25" t="str">
        <x:v>Feedback-Directed Random Test Generation/rounds/Round2/state/JxPath.json</x:v>
      </x:c>
      <x:c r="N1459" s="25" t="str">
        <x:v>Feedback-Directed Random Test Generation/Result_Round2/JxPath_3/result.json</x:v>
      </x:c>
      <x:c r="O1459" s="25" t="str">
        <x:v>Feedback-Directed Random Test Generation/Result_Round2/JxPath_3/result.json</x:v>
      </x:c>
      <x:c r="P1459"/>
      <x:c r="Q1459" s="21" t="str"/>
      <x:c r="R1459" s="21" t="str"/>
      <x:c r="S1459" s="21" t="str"/>
      <x:c r="T1459" s="17" t="str">
        <x:v>false</x:v>
      </x:c>
      <x:c r="U1459" s="17" t="str">
        <x:v>true</x:v>
      </x:c>
      <x:c r="V1459" s="17" t="str">
        <x:v>false</x:v>
      </x:c>
    </x:row>
    <x:row r="1460" ht="80" customHeight="1">
      <x:c r="A1460" s="25" t="str">
        <x:v>JxPath</x:v>
      </x:c>
      <x:c r="B1460" s="25" t="n">
        <x:v>4</x:v>
      </x:c>
      <x:c r="C1460" s="25" t="str">
        <x:v>Round2</x:v>
      </x:c>
      <x:c r="D1460" s="25" t="str">
        <x:v>NOT_REVEALING</x:v>
      </x:c>
      <x:c r="E1460" s="25" t="str">
        <x:v>N/A</x:v>
      </x:c>
      <x:c r="F1460" s="26" t="str">
        <x:v>Same saved validation suite passed on buggy and fixed</x:v>
      </x:c>
      <x:c r="G1460" s="25" t="str">
        <x:v>true</x:v>
      </x:c>
      <x:c r="H1460" s="25" t="str">
        <x:v>NOT_REVEALING</x:v>
      </x:c>
      <x:c r="I1460" s="25" t="str">
        <x:v>PASS</x:v>
      </x:c>
      <x:c r="J1460" s="25" t="str">
        <x:v>PASS</x:v>
      </x:c>
      <x:c r="K1460" s="25" t="n">
        <x:v>10</x:v>
      </x:c>
      <x:c r="L1460" s="27" t="b">
        <x:v>0</x:v>
      </x:c>
      <x:c r="M1460" s="25" t="str">
        <x:v>Feedback-Directed Random Test Generation/rounds/Round2/state/JxPath.json</x:v>
      </x:c>
      <x:c r="N1460" s="25" t="str">
        <x:v>Feedback-Directed Random Test Generation/Result_Round2/JxPath_4/result.json</x:v>
      </x:c>
      <x:c r="O1460" s="25" t="str">
        <x:v>Feedback-Directed Random Test Generation/Result_Round2/JxPath_4/result.json</x:v>
      </x:c>
      <x:c r="P1460"/>
      <x:c r="Q1460" s="21" t="str"/>
      <x:c r="R1460" s="21" t="str"/>
      <x:c r="S1460" s="21" t="str"/>
      <x:c r="T1460" s="17" t="str">
        <x:v>false</x:v>
      </x:c>
      <x:c r="U1460" s="17" t="str">
        <x:v>true</x:v>
      </x:c>
      <x:c r="V1460" s="17" t="str">
        <x:v>false</x:v>
      </x:c>
    </x:row>
    <x:row r="1461" ht="80" customHeight="1">
      <x:c r="A1461" s="25" t="str">
        <x:v>JxPath</x:v>
      </x:c>
      <x:c r="B1461" s="25" t="n">
        <x:v>5</x:v>
      </x:c>
      <x:c r="C1461" s="25" t="str">
        <x:v>Round2</x:v>
      </x:c>
      <x:c r="D1461" s="25" t="str">
        <x:v>INCONCLUSIVE</x:v>
      </x:c>
      <x:c r="E1461" s="25" t="str">
        <x:v>N/A</x:v>
      </x:c>
      <x:c r="F1461" s="26" t="str">
        <x:v>Fixed also failed; assertion failure cannot be attributed to this bug</x:v>
      </x:c>
      <x:c r="G1461" s="25" t="str">
        <x:v>true</x:v>
      </x:c>
      <x:c r="H1461" s="25" t="str">
        <x:v>INCONCLUSIVE</x:v>
      </x:c>
      <x:c r="I1461" s="25" t="str">
        <x:v>PASS</x:v>
      </x:c>
      <x:c r="J1461" s="25" t="str">
        <x:v>FAIL</x:v>
      </x:c>
      <x:c r="K1461" s="25" t="n">
        <x:v>8</x:v>
      </x:c>
      <x:c r="L1461" s="27" t="b">
        <x:v>0</x:v>
      </x:c>
      <x:c r="M1461" s="25" t="str">
        <x:v>Feedback-Directed Random Test Generation/rounds/Round2/state/JxPath.json</x:v>
      </x:c>
      <x:c r="N1461" s="25" t="str">
        <x:v>Feedback-Directed Random Test Generation/Result_Round2/JxPath_5/result.json</x:v>
      </x:c>
      <x:c r="O1461" s="25" t="str">
        <x:v>Feedback-Directed Random Test Generation/Result_Round2/JxPath_5/result.json</x:v>
      </x:c>
      <x:c r="P1461"/>
      <x:c r="Q1461" s="21" t="str"/>
      <x:c r="R1461" s="21" t="str"/>
      <x:c r="S1461" s="21" t="str"/>
      <x:c r="T1461" s="17" t="str">
        <x:v>false</x:v>
      </x:c>
      <x:c r="U1461" s="17" t="str">
        <x:v>true</x:v>
      </x:c>
      <x:c r="V1461" s="17" t="str">
        <x:v>false</x:v>
      </x:c>
    </x:row>
    <x:row r="1462" ht="80" customHeight="1">
      <x:c r="A1462" s="25" t="str">
        <x:v>JxPath</x:v>
      </x:c>
      <x:c r="B1462" s="25" t="n">
        <x:v>6</x:v>
      </x:c>
      <x:c r="C1462" s="25" t="str">
        <x:v>Round2</x:v>
      </x:c>
      <x:c r="D1462" s="25" t="str">
        <x:v>NOT_REVEALING</x:v>
      </x:c>
      <x:c r="E1462" s="25" t="str">
        <x:v>N/A</x:v>
      </x:c>
      <x:c r="F1462" s="26" t="str">
        <x:v>Same saved validation suite passed on buggy and fixed</x:v>
      </x:c>
      <x:c r="G1462" s="25" t="str">
        <x:v>true</x:v>
      </x:c>
      <x:c r="H1462" s="25" t="str">
        <x:v>NOT_REVEALING</x:v>
      </x:c>
      <x:c r="I1462" s="25" t="str">
        <x:v>PASS</x:v>
      </x:c>
      <x:c r="J1462" s="25" t="str">
        <x:v>PASS</x:v>
      </x:c>
      <x:c r="K1462" s="25" t="n">
        <x:v>2</x:v>
      </x:c>
      <x:c r="L1462" s="27" t="b">
        <x:v>0</x:v>
      </x:c>
      <x:c r="M1462" s="25" t="str">
        <x:v>Feedback-Directed Random Test Generation/rounds/Round2/state/JxPath.json</x:v>
      </x:c>
      <x:c r="N1462" s="25" t="str">
        <x:v>Feedback-Directed Random Test Generation/Result_Round2/JxPath_6/result.json</x:v>
      </x:c>
      <x:c r="O1462" s="25" t="str">
        <x:v>Feedback-Directed Random Test Generation/Result_Round2/JxPath_6/result.json</x:v>
      </x:c>
      <x:c r="P1462"/>
      <x:c r="Q1462" s="21" t="str"/>
      <x:c r="R1462" s="21" t="str"/>
      <x:c r="S1462" s="21" t="str"/>
      <x:c r="T1462" s="17" t="str">
        <x:v>false</x:v>
      </x:c>
      <x:c r="U1462" s="17" t="str">
        <x:v>true</x:v>
      </x:c>
      <x:c r="V1462" s="17" t="str">
        <x:v>false</x:v>
      </x:c>
    </x:row>
    <x:row r="1463" ht="80" customHeight="1">
      <x:c r="A1463" s="25" t="str">
        <x:v>JxPath</x:v>
      </x:c>
      <x:c r="B1463" s="25" t="n">
        <x:v>7</x:v>
      </x:c>
      <x:c r="C1463" s="25" t="str">
        <x:v>Round2</x:v>
      </x:c>
      <x:c r="D1463" s="25" t="str">
        <x:v>NOT_REVEALING</x:v>
      </x:c>
      <x:c r="E1463" s="25" t="str">
        <x:v>N/A</x:v>
      </x:c>
      <x:c r="F1463" s="26" t="str">
        <x:v>Same saved validation suite passed on buggy and fixed</x:v>
      </x:c>
      <x:c r="G1463" s="25" t="str">
        <x:v>true</x:v>
      </x:c>
      <x:c r="H1463" s="25" t="str">
        <x:v>NOT_REVEALING</x:v>
      </x:c>
      <x:c r="I1463" s="25" t="str">
        <x:v>PASS</x:v>
      </x:c>
      <x:c r="J1463" s="25" t="str">
        <x:v>PASS</x:v>
      </x:c>
      <x:c r="K1463" s="25" t="n">
        <x:v>6</x:v>
      </x:c>
      <x:c r="L1463" s="27" t="b">
        <x:v>0</x:v>
      </x:c>
      <x:c r="M1463" s="25" t="str">
        <x:v>Feedback-Directed Random Test Generation/rounds/Round2/state/JxPath.json</x:v>
      </x:c>
      <x:c r="N1463" s="25" t="str">
        <x:v>Feedback-Directed Random Test Generation/Result_Round2/JxPath_7/result.json</x:v>
      </x:c>
      <x:c r="O1463" s="25" t="str">
        <x:v>Feedback-Directed Random Test Generation/Result_Round2/JxPath_7/result.json</x:v>
      </x:c>
      <x:c r="P1463"/>
      <x:c r="Q1463" s="21" t="str"/>
      <x:c r="R1463" s="21" t="str"/>
      <x:c r="S1463" s="21" t="str"/>
      <x:c r="T1463" s="17" t="str">
        <x:v>false</x:v>
      </x:c>
      <x:c r="U1463" s="17" t="str">
        <x:v>true</x:v>
      </x:c>
      <x:c r="V1463" s="17" t="str">
        <x:v>false</x:v>
      </x:c>
    </x:row>
    <x:row r="1464" ht="80" customHeight="1">
      <x:c r="A1464" s="25" t="str">
        <x:v>JxPath</x:v>
      </x:c>
      <x:c r="B1464" s="25" t="n">
        <x:v>8</x:v>
      </x:c>
      <x:c r="C1464" s="25" t="str">
        <x:v>Round2</x:v>
      </x:c>
      <x:c r="D1464" s="25" t="str">
        <x:v>NOT_REVEALING</x:v>
      </x:c>
      <x:c r="E1464" s="25" t="str">
        <x:v>N/A</x:v>
      </x:c>
      <x:c r="F1464" s="26" t="str">
        <x:v>Same saved validation suite passed on buggy and fixed</x:v>
      </x:c>
      <x:c r="G1464" s="25" t="str">
        <x:v>true</x:v>
      </x:c>
      <x:c r="H1464" s="25" t="str">
        <x:v>NOT_REVEALING</x:v>
      </x:c>
      <x:c r="I1464" s="25" t="str">
        <x:v>PASS</x:v>
      </x:c>
      <x:c r="J1464" s="25" t="str">
        <x:v>PASS</x:v>
      </x:c>
      <x:c r="K1464" s="25" t="n">
        <x:v>2</x:v>
      </x:c>
      <x:c r="L1464" s="27" t="b">
        <x:v>0</x:v>
      </x:c>
      <x:c r="M1464" s="25" t="str">
        <x:v>Feedback-Directed Random Test Generation/rounds/Round2/state/JxPath.json</x:v>
      </x:c>
      <x:c r="N1464" s="25" t="str">
        <x:v>Feedback-Directed Random Test Generation/Result_Round2/JxPath_8/result.json</x:v>
      </x:c>
      <x:c r="O1464" s="25" t="str">
        <x:v>Feedback-Directed Random Test Generation/Result_Round2/JxPath_8/result.json</x:v>
      </x:c>
      <x:c r="P1464"/>
      <x:c r="Q1464" s="21" t="str"/>
      <x:c r="R1464" s="21" t="str"/>
      <x:c r="S1464" s="21" t="str"/>
      <x:c r="T1464" s="17" t="str">
        <x:v>false</x:v>
      </x:c>
      <x:c r="U1464" s="17" t="str">
        <x:v>true</x:v>
      </x:c>
      <x:c r="V1464" s="17" t="str">
        <x:v>false</x:v>
      </x:c>
    </x:row>
    <x:row r="1465" ht="80" customHeight="1">
      <x:c r="A1465" s="25" t="str">
        <x:v>JxPath</x:v>
      </x:c>
      <x:c r="B1465" s="25" t="n">
        <x:v>9</x:v>
      </x:c>
      <x:c r="C1465" s="25" t="str">
        <x:v>Round2</x:v>
      </x:c>
      <x:c r="D1465" s="25" t="str">
        <x:v>INCONCLUSIVE</x:v>
      </x:c>
      <x:c r="E1465" s="25" t="str">
        <x:v>N/A</x:v>
      </x:c>
      <x:c r="F1465" s="26" t="str">
        <x:v>Fixed also failed; assertion failure cannot be attributed to this bug</x:v>
      </x:c>
      <x:c r="G1465" s="25" t="str">
        <x:v>true</x:v>
      </x:c>
      <x:c r="H1465" s="25" t="str">
        <x:v>INCONCLUSIVE</x:v>
      </x:c>
      <x:c r="I1465" s="25" t="str">
        <x:v>PASS</x:v>
      </x:c>
      <x:c r="J1465" s="25" t="str">
        <x:v>FAIL</x:v>
      </x:c>
      <x:c r="K1465" s="25" t="n">
        <x:v>7</x:v>
      </x:c>
      <x:c r="L1465" s="27" t="b">
        <x:v>0</x:v>
      </x:c>
      <x:c r="M1465" s="25" t="str">
        <x:v>Feedback-Directed Random Test Generation/rounds/Round2/state/JxPath.json</x:v>
      </x:c>
      <x:c r="N1465" s="25" t="str">
        <x:v>Feedback-Directed Random Test Generation/Result_Round2/JxPath_9/result.json</x:v>
      </x:c>
      <x:c r="O1465" s="25" t="str">
        <x:v>Feedback-Directed Random Test Generation/Result_Round2/JxPath_9/result.json</x:v>
      </x:c>
      <x:c r="P1465"/>
      <x:c r="Q1465" s="21" t="str"/>
      <x:c r="R1465" s="21" t="str"/>
      <x:c r="S1465" s="21" t="str"/>
      <x:c r="T1465" s="17" t="str">
        <x:v>false</x:v>
      </x:c>
      <x:c r="U1465" s="17" t="str">
        <x:v>true</x:v>
      </x:c>
      <x:c r="V1465" s="17" t="str">
        <x:v>false</x:v>
      </x:c>
    </x:row>
    <x:row r="1466" ht="80" customHeight="1">
      <x:c r="A1466" s="25" t="str">
        <x:v>JxPath</x:v>
      </x:c>
      <x:c r="B1466" s="25" t="n">
        <x:v>10</x:v>
      </x:c>
      <x:c r="C1466" s="25" t="str">
        <x:v>Round2</x:v>
      </x:c>
      <x:c r="D1466" s="25" t="str">
        <x:v>NOT_REVEALING</x:v>
      </x:c>
      <x:c r="E1466" s="25" t="str">
        <x:v>N/A</x:v>
      </x:c>
      <x:c r="F1466" s="26" t="str">
        <x:v>Same saved validation suite passed on buggy and fixed</x:v>
      </x:c>
      <x:c r="G1466" s="25" t="str">
        <x:v>true</x:v>
      </x:c>
      <x:c r="H1466" s="25" t="str">
        <x:v>NOT_REVEALING</x:v>
      </x:c>
      <x:c r="I1466" s="25" t="str">
        <x:v>PASS</x:v>
      </x:c>
      <x:c r="J1466" s="25" t="str">
        <x:v>PASS</x:v>
      </x:c>
      <x:c r="K1466" s="25" t="n">
        <x:v>2</x:v>
      </x:c>
      <x:c r="L1466" s="27" t="b">
        <x:v>0</x:v>
      </x:c>
      <x:c r="M1466" s="25" t="str">
        <x:v>Feedback-Directed Random Test Generation/rounds/Round2/state/JxPath.json</x:v>
      </x:c>
      <x:c r="N1466" s="25" t="str">
        <x:v>Feedback-Directed Random Test Generation/Result_Round2/JxPath_10/result.json</x:v>
      </x:c>
      <x:c r="O1466" s="25" t="str">
        <x:v>Feedback-Directed Random Test Generation/Result_Round2/JxPath_10/result.json</x:v>
      </x:c>
      <x:c r="P1466"/>
      <x:c r="Q1466" s="21" t="str"/>
      <x:c r="R1466" s="21" t="str"/>
      <x:c r="S1466" s="21" t="str"/>
      <x:c r="T1466" s="17" t="str">
        <x:v>false</x:v>
      </x:c>
      <x:c r="U1466" s="17" t="str">
        <x:v>true</x:v>
      </x:c>
      <x:c r="V1466" s="17" t="str">
        <x:v>false</x:v>
      </x:c>
    </x:row>
    <x:row r="1467" ht="80" customHeight="1">
      <x:c r="A1467" s="25" t="str">
        <x:v>JxPath</x:v>
      </x:c>
      <x:c r="B1467" s="25" t="n">
        <x:v>11</x:v>
      </x:c>
      <x:c r="C1467" s="25" t="str">
        <x:v>Round2</x:v>
      </x:c>
      <x:c r="D1467" s="25" t="str">
        <x:v>NOT_REVEALING</x:v>
      </x:c>
      <x:c r="E1467" s="25" t="str">
        <x:v>N/A</x:v>
      </x:c>
      <x:c r="F1467" s="26" t="str">
        <x:v>Same saved validation suite passed on buggy and fixed</x:v>
      </x:c>
      <x:c r="G1467" s="25" t="str">
        <x:v>true</x:v>
      </x:c>
      <x:c r="H1467" s="25" t="str">
        <x:v>NOT_REVEALING</x:v>
      </x:c>
      <x:c r="I1467" s="25" t="str">
        <x:v>PASS</x:v>
      </x:c>
      <x:c r="J1467" s="25" t="str">
        <x:v>PASS</x:v>
      </x:c>
      <x:c r="K1467" s="25" t="n">
        <x:v>2</x:v>
      </x:c>
      <x:c r="L1467" s="27" t="b">
        <x:v>0</x:v>
      </x:c>
      <x:c r="M1467" s="25" t="str">
        <x:v>Feedback-Directed Random Test Generation/rounds/Round2/state/JxPath.json</x:v>
      </x:c>
      <x:c r="N1467" s="25" t="str">
        <x:v>Feedback-Directed Random Test Generation/Result_Round2/JxPath_11/result.json</x:v>
      </x:c>
      <x:c r="O1467" s="25" t="str">
        <x:v>Feedback-Directed Random Test Generation/Result_Round2/JxPath_11/result.json</x:v>
      </x:c>
      <x:c r="P1467"/>
      <x:c r="Q1467" s="21" t="str"/>
      <x:c r="R1467" s="21" t="str"/>
      <x:c r="S1467" s="21" t="str"/>
      <x:c r="T1467" s="17" t="str">
        <x:v>false</x:v>
      </x:c>
      <x:c r="U1467" s="17" t="str">
        <x:v>true</x:v>
      </x:c>
      <x:c r="V1467" s="17" t="str">
        <x:v>false</x:v>
      </x:c>
    </x:row>
    <x:row r="1468" ht="80" customHeight="1">
      <x:c r="A1468" s="25" t="str">
        <x:v>JxPath</x:v>
      </x:c>
      <x:c r="B1468" s="25" t="n">
        <x:v>12</x:v>
      </x:c>
      <x:c r="C1468" s="25" t="str">
        <x:v>Round2</x:v>
      </x:c>
      <x:c r="D1468" s="25" t="str">
        <x:v>NOT_REVEALING</x:v>
      </x:c>
      <x:c r="E1468" s="25" t="str">
        <x:v>N/A</x:v>
      </x:c>
      <x:c r="F1468" s="26" t="str">
        <x:v>Same saved validation suite passed on buggy and fixed</x:v>
      </x:c>
      <x:c r="G1468" s="25" t="str">
        <x:v>true</x:v>
      </x:c>
      <x:c r="H1468" s="25" t="str">
        <x:v>NOT_REVEALING</x:v>
      </x:c>
      <x:c r="I1468" s="25" t="str">
        <x:v>PASS</x:v>
      </x:c>
      <x:c r="J1468" s="25" t="str">
        <x:v>PASS</x:v>
      </x:c>
      <x:c r="K1468" s="25" t="n">
        <x:v>7</x:v>
      </x:c>
      <x:c r="L1468" s="27" t="b">
        <x:v>0</x:v>
      </x:c>
      <x:c r="M1468" s="25" t="str">
        <x:v>Feedback-Directed Random Test Generation/rounds/Round2/state/JxPath.json</x:v>
      </x:c>
      <x:c r="N1468" s="25" t="str">
        <x:v>Feedback-Directed Random Test Generation/Result_Round2/JxPath_12/result.json</x:v>
      </x:c>
      <x:c r="O1468" s="25" t="str">
        <x:v>Feedback-Directed Random Test Generation/Result_Round2/JxPath_12/result.json</x:v>
      </x:c>
      <x:c r="P1468"/>
      <x:c r="Q1468" s="21" t="str"/>
      <x:c r="R1468" s="21" t="str"/>
      <x:c r="S1468" s="21" t="str"/>
      <x:c r="T1468" s="17" t="str">
        <x:v>false</x:v>
      </x:c>
      <x:c r="U1468" s="17" t="str">
        <x:v>true</x:v>
      </x:c>
      <x:c r="V1468" s="17" t="str">
        <x:v>false</x:v>
      </x:c>
    </x:row>
    <x:row r="1469" ht="80" customHeight="1">
      <x:c r="A1469" s="25" t="str">
        <x:v>JxPath</x:v>
      </x:c>
      <x:c r="B1469" s="25" t="n">
        <x:v>13</x:v>
      </x:c>
      <x:c r="C1469" s="25" t="str">
        <x:v>Round2</x:v>
      </x:c>
      <x:c r="D1469" s="25" t="str">
        <x:v>INCONCLUSIVE</x:v>
      </x:c>
      <x:c r="E1469" s="25" t="str">
        <x:v>N/A</x:v>
      </x:c>
      <x:c r="F1469" s="26" t="str">
        <x:v>Fixed also failed; assertion failure cannot be attributed to this bug; Assertions failed with measured coverage; paired execution and stage checks determine status</x:v>
      </x:c>
      <x:c r="G1469" s="25" t="str">
        <x:v>true</x:v>
      </x:c>
      <x:c r="H1469" s="25" t="str">
        <x:v>INCONCLUSIVE</x:v>
      </x:c>
      <x:c r="I1469" s="25" t="str">
        <x:v>FAIL</x:v>
      </x:c>
      <x:c r="J1469" s="25" t="str">
        <x:v>FAIL</x:v>
      </x:c>
      <x:c r="K1469" s="25" t="n">
        <x:v>11</x:v>
      </x:c>
      <x:c r="L1469" s="27" t="b">
        <x:v>0</x:v>
      </x:c>
      <x:c r="M1469" s="25" t="str">
        <x:v>Feedback-Directed Random Test Generation/rounds/Round2/state/JxPath.json</x:v>
      </x:c>
      <x:c r="N1469" s="25" t="str">
        <x:v>Feedback-Directed Random Test Generation/Result_Round2/JxPath_13/result.json</x:v>
      </x:c>
      <x:c r="O1469" s="25" t="str">
        <x:v>Feedback-Directed Random Test Generation/Result_Round2/JxPath_13/result.json</x:v>
      </x:c>
      <x:c r="P1469"/>
      <x:c r="Q1469" s="21" t="str"/>
      <x:c r="R1469" s="21" t="str"/>
      <x:c r="S1469" s="21" t="str"/>
      <x:c r="T1469" s="17" t="str">
        <x:v>false</x:v>
      </x:c>
      <x:c r="U1469" s="17" t="str">
        <x:v>true</x:v>
      </x:c>
      <x:c r="V1469" s="17" t="str">
        <x:v>false</x:v>
      </x:c>
    </x:row>
    <x:row r="1470" ht="80" customHeight="1">
      <x:c r="A1470" s="25" t="str">
        <x:v>JxPath</x:v>
      </x:c>
      <x:c r="B1470" s="25" t="n">
        <x:v>14</x:v>
      </x:c>
      <x:c r="C1470" s="25" t="str">
        <x:v>Round2</x:v>
      </x:c>
      <x:c r="D1470" s="25" t="str">
        <x:v>NOT_REVEALING</x:v>
      </x:c>
      <x:c r="E1470" s="25" t="str">
        <x:v>N/A</x:v>
      </x:c>
      <x:c r="F1470" s="26" t="str">
        <x:v>Same saved validation suite passed on buggy and fixed</x:v>
      </x:c>
      <x:c r="G1470" s="25" t="str">
        <x:v>true</x:v>
      </x:c>
      <x:c r="H1470" s="25" t="str">
        <x:v>NOT_REVEALING</x:v>
      </x:c>
      <x:c r="I1470" s="25" t="str">
        <x:v>PASS</x:v>
      </x:c>
      <x:c r="J1470" s="25" t="str">
        <x:v>PASS</x:v>
      </x:c>
      <x:c r="K1470" s="25" t="n">
        <x:v>8</x:v>
      </x:c>
      <x:c r="L1470" s="27" t="b">
        <x:v>0</x:v>
      </x:c>
      <x:c r="M1470" s="25" t="str">
        <x:v>Feedback-Directed Random Test Generation/rounds/Round2/state/JxPath.json</x:v>
      </x:c>
      <x:c r="N1470" s="25" t="str">
        <x:v>Feedback-Directed Random Test Generation/Result_Round2/JxPath_14/result.json</x:v>
      </x:c>
      <x:c r="O1470" s="25" t="str">
        <x:v>Feedback-Directed Random Test Generation/Result_Round2/JxPath_14/result.json</x:v>
      </x:c>
      <x:c r="P1470"/>
      <x:c r="Q1470" s="21" t="str"/>
      <x:c r="R1470" s="21" t="str"/>
      <x:c r="S1470" s="21" t="str"/>
      <x:c r="T1470" s="17" t="str">
        <x:v>false</x:v>
      </x:c>
      <x:c r="U1470" s="17" t="str">
        <x:v>true</x:v>
      </x:c>
      <x:c r="V1470" s="17" t="str">
        <x:v>false</x:v>
      </x:c>
    </x:row>
    <x:row r="1471" ht="80" customHeight="1">
      <x:c r="A1471" s="25" t="str">
        <x:v>JxPath</x:v>
      </x:c>
      <x:c r="B1471" s="25" t="n">
        <x:v>15</x:v>
      </x:c>
      <x:c r="C1471" s="25" t="str">
        <x:v>Round2</x:v>
      </x:c>
      <x:c r="D1471" s="25" t="str">
        <x:v>NOT_REVEALING</x:v>
      </x:c>
      <x:c r="E1471" s="25" t="str">
        <x:v>N/A</x:v>
      </x:c>
      <x:c r="F1471" s="26" t="str">
        <x:v>Same saved validation suite passed on buggy and fixed</x:v>
      </x:c>
      <x:c r="G1471" s="25" t="str">
        <x:v>true</x:v>
      </x:c>
      <x:c r="H1471" s="25" t="str">
        <x:v>NOT_REVEALING</x:v>
      </x:c>
      <x:c r="I1471" s="25" t="str">
        <x:v>PASS</x:v>
      </x:c>
      <x:c r="J1471" s="25" t="str">
        <x:v>PASS</x:v>
      </x:c>
      <x:c r="K1471" s="25" t="n">
        <x:v>9</x:v>
      </x:c>
      <x:c r="L1471" s="27" t="b">
        <x:v>0</x:v>
      </x:c>
      <x:c r="M1471" s="25" t="str">
        <x:v>Feedback-Directed Random Test Generation/rounds/Round2/state/JxPath.json</x:v>
      </x:c>
      <x:c r="N1471" s="25" t="str">
        <x:v>Feedback-Directed Random Test Generation/Result_Round2/JxPath_15/result.json</x:v>
      </x:c>
      <x:c r="O1471" s="25" t="str">
        <x:v>Feedback-Directed Random Test Generation/Result_Round2/JxPath_15/result.json</x:v>
      </x:c>
      <x:c r="P1471"/>
      <x:c r="Q1471" s="21" t="str"/>
      <x:c r="R1471" s="21" t="str"/>
      <x:c r="S1471" s="21" t="str"/>
      <x:c r="T1471" s="17" t="str">
        <x:v>false</x:v>
      </x:c>
      <x:c r="U1471" s="17" t="str">
        <x:v>true</x:v>
      </x:c>
      <x:c r="V1471" s="17" t="str">
        <x:v>false</x:v>
      </x:c>
    </x:row>
    <x:row r="1472" ht="80" customHeight="1">
      <x:c r="A1472" s="25" t="str">
        <x:v>JxPath</x:v>
      </x:c>
      <x:c r="B1472" s="25" t="n">
        <x:v>16</x:v>
      </x:c>
      <x:c r="C1472" s="25" t="str">
        <x:v>Round2</x:v>
      </x:c>
      <x:c r="D1472" s="25" t="str">
        <x:v>NOT_REVEALING</x:v>
      </x:c>
      <x:c r="E1472" s="25" t="str">
        <x:v>N/A</x:v>
      </x:c>
      <x:c r="F1472" s="26" t="str">
        <x:v>Same saved validation suite passed on buggy and fixed</x:v>
      </x:c>
      <x:c r="G1472" s="25" t="str">
        <x:v>true</x:v>
      </x:c>
      <x:c r="H1472" s="25" t="str">
        <x:v>NOT_REVEALING</x:v>
      </x:c>
      <x:c r="I1472" s="25" t="str">
        <x:v>PASS</x:v>
      </x:c>
      <x:c r="J1472" s="25" t="str">
        <x:v>PASS</x:v>
      </x:c>
      <x:c r="K1472" s="25" t="n">
        <x:v>8</x:v>
      </x:c>
      <x:c r="L1472" s="27" t="b">
        <x:v>0</x:v>
      </x:c>
      <x:c r="M1472" s="25" t="str">
        <x:v>Feedback-Directed Random Test Generation/rounds/Round2/state/JxPath.json</x:v>
      </x:c>
      <x:c r="N1472" s="25" t="str">
        <x:v>Feedback-Directed Random Test Generation/Result_Round2/JxPath_16/result.json</x:v>
      </x:c>
      <x:c r="O1472" s="25" t="str">
        <x:v>Feedback-Directed Random Test Generation/Result_Round2/JxPath_16/result.json</x:v>
      </x:c>
      <x:c r="P1472"/>
      <x:c r="Q1472" s="21" t="str"/>
      <x:c r="R1472" s="21" t="str"/>
      <x:c r="S1472" s="21" t="str"/>
      <x:c r="T1472" s="17" t="str">
        <x:v>false</x:v>
      </x:c>
      <x:c r="U1472" s="17" t="str">
        <x:v>true</x:v>
      </x:c>
      <x:c r="V1472" s="17" t="str">
        <x:v>false</x:v>
      </x:c>
    </x:row>
    <x:row r="1473" ht="80" customHeight="1">
      <x:c r="A1473" s="25" t="str">
        <x:v>JxPath</x:v>
      </x:c>
      <x:c r="B1473" s="25" t="n">
        <x:v>17</x:v>
      </x:c>
      <x:c r="C1473" s="25" t="str">
        <x:v>Round2</x:v>
      </x:c>
      <x:c r="D1473" s="25" t="str">
        <x:v>NOT_REVEALING</x:v>
      </x:c>
      <x:c r="E1473" s="25" t="str">
        <x:v>N/A</x:v>
      </x:c>
      <x:c r="F1473" s="26" t="str">
        <x:v>Same saved validation suite passed on buggy and fixed</x:v>
      </x:c>
      <x:c r="G1473" s="25" t="str">
        <x:v>true</x:v>
      </x:c>
      <x:c r="H1473" s="25" t="str">
        <x:v>NOT_REVEALING</x:v>
      </x:c>
      <x:c r="I1473" s="25" t="str">
        <x:v>PASS</x:v>
      </x:c>
      <x:c r="J1473" s="25" t="str">
        <x:v>PASS</x:v>
      </x:c>
      <x:c r="K1473" s="25" t="n">
        <x:v>2</x:v>
      </x:c>
      <x:c r="L1473" s="27" t="b">
        <x:v>0</x:v>
      </x:c>
      <x:c r="M1473" s="25" t="str">
        <x:v>Feedback-Directed Random Test Generation/rounds/Round2/state/JxPath.json</x:v>
      </x:c>
      <x:c r="N1473" s="25" t="str">
        <x:v>Feedback-Directed Random Test Generation/Result_Round2/JxPath_17/result.json</x:v>
      </x:c>
      <x:c r="O1473" s="25" t="str">
        <x:v>Feedback-Directed Random Test Generation/Result_Round2/JxPath_17/result.json</x:v>
      </x:c>
      <x:c r="P1473"/>
      <x:c r="Q1473" s="21" t="str"/>
      <x:c r="R1473" s="21" t="str"/>
      <x:c r="S1473" s="21" t="str"/>
      <x:c r="T1473" s="17" t="str">
        <x:v>false</x:v>
      </x:c>
      <x:c r="U1473" s="17" t="str">
        <x:v>true</x:v>
      </x:c>
      <x:c r="V1473" s="17" t="str">
        <x:v>false</x:v>
      </x:c>
    </x:row>
    <x:row r="1474" ht="80" customHeight="1">
      <x:c r="A1474" s="25" t="str">
        <x:v>JxPath</x:v>
      </x:c>
      <x:c r="B1474" s="25" t="n">
        <x:v>18</x:v>
      </x:c>
      <x:c r="C1474" s="25" t="str">
        <x:v>Round2</x:v>
      </x:c>
      <x:c r="D1474" s="25" t="str">
        <x:v>NOT_REVEALING</x:v>
      </x:c>
      <x:c r="E1474" s="25" t="str">
        <x:v>N/A</x:v>
      </x:c>
      <x:c r="F1474" s="26" t="str">
        <x:v>Same saved validation suite passed on buggy and fixed</x:v>
      </x:c>
      <x:c r="G1474" s="25" t="str">
        <x:v>true</x:v>
      </x:c>
      <x:c r="H1474" s="25" t="str">
        <x:v>NOT_REVEALING</x:v>
      </x:c>
      <x:c r="I1474" s="25" t="str">
        <x:v>PASS</x:v>
      </x:c>
      <x:c r="J1474" s="25" t="str">
        <x:v>PASS</x:v>
      </x:c>
      <x:c r="K1474" s="25" t="n">
        <x:v>9</x:v>
      </x:c>
      <x:c r="L1474" s="27" t="b">
        <x:v>0</x:v>
      </x:c>
      <x:c r="M1474" s="25" t="str">
        <x:v>Feedback-Directed Random Test Generation/rounds/Round2/state/JxPath.json</x:v>
      </x:c>
      <x:c r="N1474" s="25" t="str">
        <x:v>Feedback-Directed Random Test Generation/Result_Round2/JxPath_18/result.json</x:v>
      </x:c>
      <x:c r="O1474" s="25" t="str">
        <x:v>Feedback-Directed Random Test Generation/Result_Round2/JxPath_18/result.json</x:v>
      </x:c>
      <x:c r="P1474"/>
      <x:c r="Q1474" s="21" t="str"/>
      <x:c r="R1474" s="21" t="str"/>
      <x:c r="S1474" s="21" t="str"/>
      <x:c r="T1474" s="17" t="str">
        <x:v>false</x:v>
      </x:c>
      <x:c r="U1474" s="17" t="str">
        <x:v>true</x:v>
      </x:c>
      <x:c r="V1474" s="17" t="str">
        <x:v>false</x:v>
      </x:c>
    </x:row>
    <x:row r="1475" ht="80" customHeight="1">
      <x:c r="A1475" s="25" t="str">
        <x:v>JxPath</x:v>
      </x:c>
      <x:c r="B1475" s="25" t="n">
        <x:v>19</x:v>
      </x:c>
      <x:c r="C1475" s="25" t="str">
        <x:v>Round2</x:v>
      </x:c>
      <x:c r="D1475" s="25" t="str">
        <x:v>NOT_REVEALING</x:v>
      </x:c>
      <x:c r="E1475" s="25" t="str">
        <x:v>N/A</x:v>
      </x:c>
      <x:c r="F1475" s="26" t="str">
        <x:v>Same saved validation suite passed on buggy and fixed</x:v>
      </x:c>
      <x:c r="G1475" s="25" t="str">
        <x:v>true</x:v>
      </x:c>
      <x:c r="H1475" s="25" t="str">
        <x:v>NOT_REVEALING</x:v>
      </x:c>
      <x:c r="I1475" s="25" t="str">
        <x:v>PASS</x:v>
      </x:c>
      <x:c r="J1475" s="25" t="str">
        <x:v>PASS</x:v>
      </x:c>
      <x:c r="K1475" s="25" t="n">
        <x:v>9</x:v>
      </x:c>
      <x:c r="L1475" s="27" t="b">
        <x:v>0</x:v>
      </x:c>
      <x:c r="M1475" s="25" t="str">
        <x:v>Feedback-Directed Random Test Generation/rounds/Round2/state/JxPath.json</x:v>
      </x:c>
      <x:c r="N1475" s="25" t="str">
        <x:v>Feedback-Directed Random Test Generation/Result_Round2/JxPath_19/result.json</x:v>
      </x:c>
      <x:c r="O1475" s="25" t="str">
        <x:v>Feedback-Directed Random Test Generation/Result_Round2/JxPath_19/result.json</x:v>
      </x:c>
      <x:c r="P1475"/>
      <x:c r="Q1475" s="21" t="str"/>
      <x:c r="R1475" s="21" t="str"/>
      <x:c r="S1475" s="21" t="str"/>
      <x:c r="T1475" s="17" t="str">
        <x:v>false</x:v>
      </x:c>
      <x:c r="U1475" s="17" t="str">
        <x:v>true</x:v>
      </x:c>
      <x:c r="V1475" s="17" t="str">
        <x:v>false</x:v>
      </x:c>
    </x:row>
    <x:row r="1476" ht="80" customHeight="1">
      <x:c r="A1476" s="25" t="str">
        <x:v>JxPath</x:v>
      </x:c>
      <x:c r="B1476" s="25" t="n">
        <x:v>20</x:v>
      </x:c>
      <x:c r="C1476" s="25" t="str">
        <x:v>Round2</x:v>
      </x:c>
      <x:c r="D1476" s="25" t="str">
        <x:v>NOT_REVEALING</x:v>
      </x:c>
      <x:c r="E1476" s="25" t="str">
        <x:v>N/A</x:v>
      </x:c>
      <x:c r="F1476" s="26" t="str">
        <x:v>Same saved validation suite passed on buggy and fixed</x:v>
      </x:c>
      <x:c r="G1476" s="25" t="str">
        <x:v>true</x:v>
      </x:c>
      <x:c r="H1476" s="25" t="str">
        <x:v>NOT_REVEALING</x:v>
      </x:c>
      <x:c r="I1476" s="25" t="str">
        <x:v>PASS</x:v>
      </x:c>
      <x:c r="J1476" s="25" t="str">
        <x:v>PASS</x:v>
      </x:c>
      <x:c r="K1476" s="25" t="n">
        <x:v>2</x:v>
      </x:c>
      <x:c r="L1476" s="27" t="b">
        <x:v>0</x:v>
      </x:c>
      <x:c r="M1476" s="25" t="str">
        <x:v>Feedback-Directed Random Test Generation/rounds/Round2/state/JxPath.json</x:v>
      </x:c>
      <x:c r="N1476" s="25" t="str">
        <x:v>Feedback-Directed Random Test Generation/Result_Round2/JxPath_20/result.json</x:v>
      </x:c>
      <x:c r="O1476" s="25" t="str">
        <x:v>Feedback-Directed Random Test Generation/Result_Round2/JxPath_20/result.json</x:v>
      </x:c>
      <x:c r="P1476"/>
      <x:c r="Q1476" s="21" t="str"/>
      <x:c r="R1476" s="21" t="str"/>
      <x:c r="S1476" s="21" t="str"/>
      <x:c r="T1476" s="17" t="str">
        <x:v>false</x:v>
      </x:c>
      <x:c r="U1476" s="17" t="str">
        <x:v>true</x:v>
      </x:c>
      <x:c r="V1476" s="17" t="str">
        <x:v>false</x:v>
      </x:c>
    </x:row>
    <x:row r="1477" ht="80" customHeight="1">
      <x:c r="A1477" s="25" t="str">
        <x:v>JxPath</x:v>
      </x:c>
      <x:c r="B1477" s="25" t="n">
        <x:v>21</x:v>
      </x:c>
      <x:c r="C1477" s="25" t="str">
        <x:v>Round2</x:v>
      </x:c>
      <x:c r="D1477" s="25" t="str">
        <x:v>NOT_REVEALING</x:v>
      </x:c>
      <x:c r="E1477" s="25" t="str">
        <x:v>N/A</x:v>
      </x:c>
      <x:c r="F1477" s="26" t="str">
        <x:v>Same saved validation suite passed on buggy and fixed</x:v>
      </x:c>
      <x:c r="G1477" s="25" t="str">
        <x:v>true</x:v>
      </x:c>
      <x:c r="H1477" s="25" t="str">
        <x:v>NOT_REVEALING</x:v>
      </x:c>
      <x:c r="I1477" s="25" t="str">
        <x:v>PASS</x:v>
      </x:c>
      <x:c r="J1477" s="25" t="str">
        <x:v>PASS</x:v>
      </x:c>
      <x:c r="K1477" s="25" t="n">
        <x:v>6</x:v>
      </x:c>
      <x:c r="L1477" s="27" t="b">
        <x:v>0</x:v>
      </x:c>
      <x:c r="M1477" s="25" t="str">
        <x:v>Feedback-Directed Random Test Generation/rounds/Round2/state/JxPath.json</x:v>
      </x:c>
      <x:c r="N1477" s="25" t="str">
        <x:v>Feedback-Directed Random Test Generation/Result_Round2/JxPath_21/result.json</x:v>
      </x:c>
      <x:c r="O1477" s="25" t="str">
        <x:v>Feedback-Directed Random Test Generation/Result_Round2/JxPath_21/result.json</x:v>
      </x:c>
      <x:c r="P1477"/>
      <x:c r="Q1477" s="21" t="str"/>
      <x:c r="R1477" s="21" t="str"/>
      <x:c r="S1477" s="21" t="str"/>
      <x:c r="T1477" s="17" t="str">
        <x:v>false</x:v>
      </x:c>
      <x:c r="U1477" s="17" t="str">
        <x:v>true</x:v>
      </x:c>
      <x:c r="V1477" s="17" t="str">
        <x:v>false</x:v>
      </x:c>
    </x:row>
    <x:row r="1478" ht="80" customHeight="1">
      <x:c r="A1478" s="25" t="str">
        <x:v>JxPath</x:v>
      </x:c>
      <x:c r="B1478" s="25" t="n">
        <x:v>22</x:v>
      </x:c>
      <x:c r="C1478" s="25" t="str">
        <x:v>Round2</x:v>
      </x:c>
      <x:c r="D1478" s="25" t="str">
        <x:v>NOT_REVEALING</x:v>
      </x:c>
      <x:c r="E1478" s="25" t="str">
        <x:v>N/A</x:v>
      </x:c>
      <x:c r="F1478" s="26" t="str">
        <x:v>Same saved validation suite passed on buggy and fixed</x:v>
      </x:c>
      <x:c r="G1478" s="25" t="str">
        <x:v>true</x:v>
      </x:c>
      <x:c r="H1478" s="25" t="str">
        <x:v>NOT_REVEALING</x:v>
      </x:c>
      <x:c r="I1478" s="25" t="str">
        <x:v>PASS</x:v>
      </x:c>
      <x:c r="J1478" s="25" t="str">
        <x:v>PASS</x:v>
      </x:c>
      <x:c r="K1478" s="25" t="n">
        <x:v>9</x:v>
      </x:c>
      <x:c r="L1478" s="27" t="b">
        <x:v>0</x:v>
      </x:c>
      <x:c r="M1478" s="25" t="str">
        <x:v>Feedback-Directed Random Test Generation/rounds/Round2/state/JxPath.json</x:v>
      </x:c>
      <x:c r="N1478" s="25" t="str">
        <x:v>Feedback-Directed Random Test Generation/Result_Round2/JxPath_22/result.json</x:v>
      </x:c>
      <x:c r="O1478" s="25" t="str">
        <x:v>Feedback-Directed Random Test Generation/Result_Round2/JxPath_22/result.json</x:v>
      </x:c>
      <x:c r="P1478"/>
      <x:c r="Q1478" s="21" t="str"/>
      <x:c r="R1478" s="21" t="str"/>
      <x:c r="S1478" s="21" t="str"/>
      <x:c r="T1478" s="17" t="str">
        <x:v>false</x:v>
      </x:c>
      <x:c r="U1478" s="17" t="str">
        <x:v>true</x:v>
      </x:c>
      <x:c r="V1478" s="17" t="str">
        <x:v>false</x:v>
      </x:c>
    </x:row>
    <x:row r="1479" ht="80" customHeight="1">
      <x:c r="A1479" s="25" t="str">
        <x:v>Lang</x:v>
      </x:c>
      <x:c r="B1479" s="25" t="n">
        <x:v>1</x:v>
      </x:c>
      <x:c r="C1479" s="25" t="str">
        <x:v>Round2</x:v>
      </x:c>
      <x:c r="D1479" s="25" t="str">
        <x:v>NOT_REVEALING</x:v>
      </x:c>
      <x:c r="E1479" s="25" t="str">
        <x:v>N/A</x:v>
      </x:c>
      <x:c r="F1479" s="26" t="str">
        <x:v>Same saved validation suite passed on buggy and fixed</x:v>
      </x:c>
      <x:c r="G1479" s="25" t="str">
        <x:v>true</x:v>
      </x:c>
      <x:c r="H1479" s="25" t="str">
        <x:v>NOT_REVEALING</x:v>
      </x:c>
      <x:c r="I1479" s="25" t="str">
        <x:v>PASS</x:v>
      </x:c>
      <x:c r="J1479" s="25" t="str">
        <x:v>PASS</x:v>
      </x:c>
      <x:c r="K1479" s="25" t="n">
        <x:v>9</x:v>
      </x:c>
      <x:c r="L1479" s="27" t="b">
        <x:v>0</x:v>
      </x:c>
      <x:c r="M1479" s="25" t="str">
        <x:v>Feedback-Directed Random Test Generation/rounds/Round2/state/Lang.json</x:v>
      </x:c>
      <x:c r="N1479" s="25" t="str">
        <x:v>Feedback-Directed Random Test Generation/Result_Round2/Lang_1/result.json</x:v>
      </x:c>
      <x:c r="O1479" s="25" t="str">
        <x:v>Feedback-Directed Random Test Generation/Result_Round2/Lang_1/result.json</x:v>
      </x:c>
      <x:c r="P1479"/>
      <x:c r="Q1479" s="21" t="str"/>
      <x:c r="R1479" s="21" t="str"/>
      <x:c r="S1479" s="21" t="str"/>
      <x:c r="T1479" s="17" t="str">
        <x:v>false</x:v>
      </x:c>
      <x:c r="U1479" s="17" t="str">
        <x:v>true</x:v>
      </x:c>
      <x:c r="V1479" s="17" t="str">
        <x:v>false</x:v>
      </x:c>
    </x:row>
    <x:row r="1480" ht="80" customHeight="1">
      <x:c r="A1480" s="25" t="str">
        <x:v>Lang</x:v>
      </x:c>
      <x:c r="B1480" s="25" t="n">
        <x:v>3</x:v>
      </x:c>
      <x:c r="C1480" s="25" t="str">
        <x:v>Round2</x:v>
      </x:c>
      <x:c r="D1480" s="25" t="str">
        <x:v>NOT_REVEALING</x:v>
      </x:c>
      <x:c r="E1480" s="25" t="str">
        <x:v>N/A</x:v>
      </x:c>
      <x:c r="F1480" s="26" t="str">
        <x:v>Same saved validation suite passed on buggy and fixed</x:v>
      </x:c>
      <x:c r="G1480" s="25" t="str">
        <x:v>true</x:v>
      </x:c>
      <x:c r="H1480" s="25" t="str">
        <x:v>NOT_REVEALING</x:v>
      </x:c>
      <x:c r="I1480" s="25" t="str">
        <x:v>PASS</x:v>
      </x:c>
      <x:c r="J1480" s="25" t="str">
        <x:v>PASS</x:v>
      </x:c>
      <x:c r="K1480" s="25" t="n">
        <x:v>11</x:v>
      </x:c>
      <x:c r="L1480" s="27" t="b">
        <x:v>0</x:v>
      </x:c>
      <x:c r="M1480" s="25" t="str">
        <x:v>Feedback-Directed Random Test Generation/rounds/Round2/state/Lang.json</x:v>
      </x:c>
      <x:c r="N1480" s="25" t="str">
        <x:v>Feedback-Directed Random Test Generation/Result_Round2/Lang_3/result.json</x:v>
      </x:c>
      <x:c r="O1480" s="25" t="str">
        <x:v>Feedback-Directed Random Test Generation/Result_Round2/Lang_3/result.json</x:v>
      </x:c>
      <x:c r="P1480"/>
      <x:c r="Q1480" s="21" t="str"/>
      <x:c r="R1480" s="21" t="str"/>
      <x:c r="S1480" s="21" t="str"/>
      <x:c r="T1480" s="17" t="str">
        <x:v>false</x:v>
      </x:c>
      <x:c r="U1480" s="17" t="str">
        <x:v>true</x:v>
      </x:c>
      <x:c r="V1480" s="17" t="str">
        <x:v>false</x:v>
      </x:c>
    </x:row>
    <x:row r="1481" ht="80" customHeight="1">
      <x:c r="A1481" s="25" t="str">
        <x:v>Lang</x:v>
      </x:c>
      <x:c r="B1481" s="25" t="n">
        <x:v>4</x:v>
      </x:c>
      <x:c r="C1481" s="25" t="str">
        <x:v>Round2</x:v>
      </x:c>
      <x:c r="D1481" s="25" t="str">
        <x:v>NOT_REVEALING</x:v>
      </x:c>
      <x:c r="E1481" s="25" t="str">
        <x:v>N/A</x:v>
      </x:c>
      <x:c r="F1481" s="26" t="str">
        <x:v>Same saved validation suite passed on buggy and fixed</x:v>
      </x:c>
      <x:c r="G1481" s="25" t="str">
        <x:v>true</x:v>
      </x:c>
      <x:c r="H1481" s="25" t="str">
        <x:v>NOT_REVEALING</x:v>
      </x:c>
      <x:c r="I1481" s="25" t="str">
        <x:v>PASS</x:v>
      </x:c>
      <x:c r="J1481" s="25" t="str">
        <x:v>PASS</x:v>
      </x:c>
      <x:c r="K1481" s="25" t="n">
        <x:v>11</x:v>
      </x:c>
      <x:c r="L1481" s="27" t="b">
        <x:v>0</x:v>
      </x:c>
      <x:c r="M1481" s="25" t="str">
        <x:v>Feedback-Directed Random Test Generation/rounds/Round2/state/Lang.json</x:v>
      </x:c>
      <x:c r="N1481" s="25" t="str">
        <x:v>Feedback-Directed Random Test Generation/Result_Round2/Lang_4/result.json</x:v>
      </x:c>
      <x:c r="O1481" s="25" t="str">
        <x:v>Feedback-Directed Random Test Generation/Result_Round2/Lang_4/result.json</x:v>
      </x:c>
      <x:c r="P1481"/>
      <x:c r="Q1481" s="21" t="str"/>
      <x:c r="R1481" s="21" t="str"/>
      <x:c r="S1481" s="21" t="str"/>
      <x:c r="T1481" s="17" t="str">
        <x:v>false</x:v>
      </x:c>
      <x:c r="U1481" s="17" t="str">
        <x:v>true</x:v>
      </x:c>
      <x:c r="V1481" s="17" t="str">
        <x:v>false</x:v>
      </x:c>
    </x:row>
    <x:row r="1482" ht="80" customHeight="1">
      <x:c r="A1482" s="25" t="str">
        <x:v>Lang</x:v>
      </x:c>
      <x:c r="B1482" s="25" t="n">
        <x:v>5</x:v>
      </x:c>
      <x:c r="C1482" s="25" t="str">
        <x:v>Round2</x:v>
      </x:c>
      <x:c r="D1482" s="25" t="str">
        <x:v>NOT_REVEALING</x:v>
      </x:c>
      <x:c r="E1482" s="25" t="str">
        <x:v>N/A</x:v>
      </x:c>
      <x:c r="F1482" s="26" t="str">
        <x:v>Same saved validation suite passed on buggy and fixed</x:v>
      </x:c>
      <x:c r="G1482" s="25" t="str">
        <x:v>true</x:v>
      </x:c>
      <x:c r="H1482" s="25" t="str">
        <x:v>NOT_REVEALING</x:v>
      </x:c>
      <x:c r="I1482" s="25" t="str">
        <x:v>PASS</x:v>
      </x:c>
      <x:c r="J1482" s="25" t="str">
        <x:v>PASS</x:v>
      </x:c>
      <x:c r="K1482" s="25" t="n">
        <x:v>2</x:v>
      </x:c>
      <x:c r="L1482" s="27" t="b">
        <x:v>0</x:v>
      </x:c>
      <x:c r="M1482" s="25" t="str">
        <x:v>Feedback-Directed Random Test Generation/rounds/Round2/state/Lang.json</x:v>
      </x:c>
      <x:c r="N1482" s="25" t="str">
        <x:v>Feedback-Directed Random Test Generation/Result_Round2/Lang_5/result.json</x:v>
      </x:c>
      <x:c r="O1482" s="25" t="str">
        <x:v>Feedback-Directed Random Test Generation/Result_Round2/Lang_5/result.json</x:v>
      </x:c>
      <x:c r="P1482"/>
      <x:c r="Q1482" s="21" t="str"/>
      <x:c r="R1482" s="21" t="str"/>
      <x:c r="S1482" s="21" t="str"/>
      <x:c r="T1482" s="17" t="str">
        <x:v>false</x:v>
      </x:c>
      <x:c r="U1482" s="17" t="str">
        <x:v>true</x:v>
      </x:c>
      <x:c r="V1482" s="17" t="str">
        <x:v>false</x:v>
      </x:c>
    </x:row>
    <x:row r="1483" ht="80" customHeight="1">
      <x:c r="A1483" s="25" t="str">
        <x:v>Lang</x:v>
      </x:c>
      <x:c r="B1483" s="25" t="n">
        <x:v>6</x:v>
      </x:c>
      <x:c r="C1483" s="25" t="str">
        <x:v>Round2</x:v>
      </x:c>
      <x:c r="D1483" s="25" t="str">
        <x:v>NOT_REVEALING</x:v>
      </x:c>
      <x:c r="E1483" s="25" t="str">
        <x:v>N/A</x:v>
      </x:c>
      <x:c r="F1483" s="26" t="str">
        <x:v>Same saved validation suite passed on buggy and fixed</x:v>
      </x:c>
      <x:c r="G1483" s="25" t="str">
        <x:v>true</x:v>
      </x:c>
      <x:c r="H1483" s="25" t="str">
        <x:v>NOT_REVEALING</x:v>
      </x:c>
      <x:c r="I1483" s="25" t="str">
        <x:v>PASS</x:v>
      </x:c>
      <x:c r="J1483" s="25" t="str">
        <x:v>PASS</x:v>
      </x:c>
      <x:c r="K1483" s="25" t="n">
        <x:v>2</x:v>
      </x:c>
      <x:c r="L1483" s="27" t="b">
        <x:v>0</x:v>
      </x:c>
      <x:c r="M1483" s="25" t="str">
        <x:v>Feedback-Directed Random Test Generation/rounds/Round2/state/Lang.json</x:v>
      </x:c>
      <x:c r="N1483" s="25" t="str">
        <x:v>Feedback-Directed Random Test Generation/Result_Round2/Lang_6/result.json</x:v>
      </x:c>
      <x:c r="O1483" s="25" t="str">
        <x:v>Feedback-Directed Random Test Generation/Result_Round2/Lang_6/result.json</x:v>
      </x:c>
      <x:c r="P1483"/>
      <x:c r="Q1483" s="21" t="str"/>
      <x:c r="R1483" s="21" t="str"/>
      <x:c r="S1483" s="21" t="str"/>
      <x:c r="T1483" s="17" t="str">
        <x:v>false</x:v>
      </x:c>
      <x:c r="U1483" s="17" t="str">
        <x:v>true</x:v>
      </x:c>
      <x:c r="V1483" s="17" t="str">
        <x:v>false</x:v>
      </x:c>
    </x:row>
    <x:row r="1484" ht="80" customHeight="1">
      <x:c r="A1484" s="25" t="str">
        <x:v>Lang</x:v>
      </x:c>
      <x:c r="B1484" s="25" t="n">
        <x:v>7</x:v>
      </x:c>
      <x:c r="C1484" s="25" t="str">
        <x:v>Round2</x:v>
      </x:c>
      <x:c r="D1484" s="25" t="str">
        <x:v>NOT_REVEALING</x:v>
      </x:c>
      <x:c r="E1484" s="25" t="str">
        <x:v>N/A</x:v>
      </x:c>
      <x:c r="F1484" s="26" t="str">
        <x:v>Same saved validation suite passed on buggy and fixed</x:v>
      </x:c>
      <x:c r="G1484" s="25" t="str">
        <x:v>true</x:v>
      </x:c>
      <x:c r="H1484" s="25" t="str">
        <x:v>NOT_REVEALING</x:v>
      </x:c>
      <x:c r="I1484" s="25" t="str">
        <x:v>PASS</x:v>
      </x:c>
      <x:c r="J1484" s="25" t="str">
        <x:v>PASS</x:v>
      </x:c>
      <x:c r="K1484" s="25" t="n">
        <x:v>11</x:v>
      </x:c>
      <x:c r="L1484" s="27" t="b">
        <x:v>0</x:v>
      </x:c>
      <x:c r="M1484" s="25" t="str">
        <x:v>Feedback-Directed Random Test Generation/rounds/Round2/state/Lang.json</x:v>
      </x:c>
      <x:c r="N1484" s="25" t="str">
        <x:v>Feedback-Directed Random Test Generation/Result_Round2/Lang_7/result.json</x:v>
      </x:c>
      <x:c r="O1484" s="25" t="str">
        <x:v>Feedback-Directed Random Test Generation/Result_Round2/Lang_7/result.json</x:v>
      </x:c>
      <x:c r="P1484"/>
      <x:c r="Q1484" s="21" t="str"/>
      <x:c r="R1484" s="21" t="str"/>
      <x:c r="S1484" s="21" t="str"/>
      <x:c r="T1484" s="17" t="str">
        <x:v>false</x:v>
      </x:c>
      <x:c r="U1484" s="17" t="str">
        <x:v>true</x:v>
      </x:c>
      <x:c r="V1484" s="17" t="str">
        <x:v>false</x:v>
      </x:c>
    </x:row>
    <x:row r="1485" ht="80" customHeight="1">
      <x:c r="A1485" s="25" t="str">
        <x:v>Lang</x:v>
      </x:c>
      <x:c r="B1485" s="25" t="n">
        <x:v>8</x:v>
      </x:c>
      <x:c r="C1485" s="25" t="str">
        <x:v>Round2</x:v>
      </x:c>
      <x:c r="D1485" s="25" t="str">
        <x:v>NOT_REVEALING</x:v>
      </x:c>
      <x:c r="E1485" s="25" t="str">
        <x:v>N/A</x:v>
      </x:c>
      <x:c r="F1485" s="26" t="str">
        <x:v>Same saved validation suite passed on buggy and fixed</x:v>
      </x:c>
      <x:c r="G1485" s="25" t="str">
        <x:v>true</x:v>
      </x:c>
      <x:c r="H1485" s="25" t="str">
        <x:v>NOT_REVEALING</x:v>
      </x:c>
      <x:c r="I1485" s="25" t="str">
        <x:v>PASS</x:v>
      </x:c>
      <x:c r="J1485" s="25" t="str">
        <x:v>PASS</x:v>
      </x:c>
      <x:c r="K1485" s="25" t="n">
        <x:v>2</x:v>
      </x:c>
      <x:c r="L1485" s="27" t="b">
        <x:v>0</x:v>
      </x:c>
      <x:c r="M1485" s="25" t="str">
        <x:v>Feedback-Directed Random Test Generation/rounds/Round2/state/Lang.json</x:v>
      </x:c>
      <x:c r="N1485" s="25" t="str">
        <x:v>Feedback-Directed Random Test Generation/Result_Round2/Lang_8/result.json</x:v>
      </x:c>
      <x:c r="O1485" s="25" t="str">
        <x:v>Feedback-Directed Random Test Generation/Result_Round2/Lang_8/result.json</x:v>
      </x:c>
      <x:c r="P1485"/>
      <x:c r="Q1485" s="21" t="str"/>
      <x:c r="R1485" s="21" t="str"/>
      <x:c r="S1485" s="21" t="str"/>
      <x:c r="T1485" s="17" t="str">
        <x:v>false</x:v>
      </x:c>
      <x:c r="U1485" s="17" t="str">
        <x:v>true</x:v>
      </x:c>
      <x:c r="V1485" s="17" t="str">
        <x:v>false</x:v>
      </x:c>
    </x:row>
    <x:row r="1486" ht="80" customHeight="1">
      <x:c r="A1486" s="25" t="str">
        <x:v>Lang</x:v>
      </x:c>
      <x:c r="B1486" s="25" t="n">
        <x:v>9</x:v>
      </x:c>
      <x:c r="C1486" s="25" t="str">
        <x:v>Round2</x:v>
      </x:c>
      <x:c r="D1486" s="25" t="str">
        <x:v>NOT_REVEALING</x:v>
      </x:c>
      <x:c r="E1486" s="25" t="str">
        <x:v>N/A</x:v>
      </x:c>
      <x:c r="F1486" s="26" t="str">
        <x:v>Same saved validation suite passed on buggy and fixed</x:v>
      </x:c>
      <x:c r="G1486" s="25" t="str">
        <x:v>true</x:v>
      </x:c>
      <x:c r="H1486" s="25" t="str">
        <x:v>NOT_REVEALING</x:v>
      </x:c>
      <x:c r="I1486" s="25" t="str">
        <x:v>PASS</x:v>
      </x:c>
      <x:c r="J1486" s="25" t="str">
        <x:v>PASS</x:v>
      </x:c>
      <x:c r="K1486" s="25" t="n">
        <x:v>2</x:v>
      </x:c>
      <x:c r="L1486" s="27" t="b">
        <x:v>0</x:v>
      </x:c>
      <x:c r="M1486" s="25" t="str">
        <x:v>Feedback-Directed Random Test Generation/rounds/Round2/state/Lang.json</x:v>
      </x:c>
      <x:c r="N1486" s="25" t="str">
        <x:v>Feedback-Directed Random Test Generation/Result_Round2/Lang_9/result.json</x:v>
      </x:c>
      <x:c r="O1486" s="25" t="str">
        <x:v>Feedback-Directed Random Test Generation/Result_Round2/Lang_9/result.json</x:v>
      </x:c>
      <x:c r="P1486"/>
      <x:c r="Q1486" s="21" t="str"/>
      <x:c r="R1486" s="21" t="str"/>
      <x:c r="S1486" s="21" t="str"/>
      <x:c r="T1486" s="17" t="str">
        <x:v>false</x:v>
      </x:c>
      <x:c r="U1486" s="17" t="str">
        <x:v>true</x:v>
      </x:c>
      <x:c r="V1486" s="17" t="str">
        <x:v>false</x:v>
      </x:c>
    </x:row>
    <x:row r="1487" ht="80" customHeight="1">
      <x:c r="A1487" s="25" t="str">
        <x:v>Lang</x:v>
      </x:c>
      <x:c r="B1487" s="25" t="n">
        <x:v>10</x:v>
      </x:c>
      <x:c r="C1487" s="25" t="str">
        <x:v>Round2</x:v>
      </x:c>
      <x:c r="D1487" s="25" t="str">
        <x:v>NOT_REVEALING</x:v>
      </x:c>
      <x:c r="E1487" s="25" t="str">
        <x:v>N/A</x:v>
      </x:c>
      <x:c r="F1487" s="26" t="str">
        <x:v>Same saved validation suite passed on buggy and fixed</x:v>
      </x:c>
      <x:c r="G1487" s="25" t="str">
        <x:v>true</x:v>
      </x:c>
      <x:c r="H1487" s="25" t="str">
        <x:v>NOT_REVEALING</x:v>
      </x:c>
      <x:c r="I1487" s="25" t="str">
        <x:v>PASS</x:v>
      </x:c>
      <x:c r="J1487" s="25" t="str">
        <x:v>PASS</x:v>
      </x:c>
      <x:c r="K1487" s="25" t="n">
        <x:v>2</x:v>
      </x:c>
      <x:c r="L1487" s="27" t="b">
        <x:v>0</x:v>
      </x:c>
      <x:c r="M1487" s="25" t="str">
        <x:v>Feedback-Directed Random Test Generation/rounds/Round2/state/Lang.json</x:v>
      </x:c>
      <x:c r="N1487" s="25" t="str">
        <x:v>Feedback-Directed Random Test Generation/Result_Round2/Lang_10/result.json</x:v>
      </x:c>
      <x:c r="O1487" s="25" t="str">
        <x:v>Feedback-Directed Random Test Generation/Result_Round2/Lang_10/result.json</x:v>
      </x:c>
      <x:c r="P1487"/>
      <x:c r="Q1487" s="21" t="str"/>
      <x:c r="R1487" s="21" t="str"/>
      <x:c r="S1487" s="21" t="str"/>
      <x:c r="T1487" s="17" t="str">
        <x:v>false</x:v>
      </x:c>
      <x:c r="U1487" s="17" t="str">
        <x:v>true</x:v>
      </x:c>
      <x:c r="V1487" s="17" t="str">
        <x:v>false</x:v>
      </x:c>
    </x:row>
    <x:row r="1488" ht="80" customHeight="1">
      <x:c r="A1488" s="25" t="str">
        <x:v>Lang</x:v>
      </x:c>
      <x:c r="B1488" s="25" t="n">
        <x:v>11</x:v>
      </x:c>
      <x:c r="C1488" s="25" t="str">
        <x:v>Round2</x:v>
      </x:c>
      <x:c r="D1488" s="25" t="str">
        <x:v>FAIL</x:v>
      </x:c>
      <x:c r="E1488" s="25" t="str">
        <x:v>N/A</x:v>
      </x:c>
      <x:c r="F1488" s="26" t="str">
        <x:v>Latest same-round generation failed; older files/results are excluded</x:v>
      </x:c>
      <x:c r="G1488" s="25" t="str">
        <x:v>true</x:v>
      </x:c>
      <x:c r="H1488" s="25" t="str">
        <x:v>FAIL</x:v>
      </x:c>
      <x:c r="I1488" s="25"/>
      <x:c r="J1488" s="25"/>
      <x:c r="K1488" s="25" t="n">
        <x:v>0</x:v>
      </x:c>
      <x:c r="L1488" s="27" t="b">
        <x:v>1</x:v>
      </x:c>
      <x:c r="M1488" s="25" t="str">
        <x:v>Feedback-Directed Random Test Generation/rounds/Round2/state/Lang.json</x:v>
      </x:c>
      <x:c r="N1488" s="25"/>
      <x:c r="O1488" s="25" t="str">
        <x:v>Feedback-Directed Random Test Generation/Result_Round2/Lang_11/result.json</x:v>
      </x:c>
      <x:c r="P1488"/>
      <x:c r="Q1488" s="21" t="str"/>
      <x:c r="R1488" s="21" t="str"/>
      <x:c r="S1488" s="21" t="str"/>
      <x:c r="T1488" s="17" t="str">
        <x:v>false</x:v>
      </x:c>
      <x:c r="U1488" s="17" t="str">
        <x:v>false</x:v>
      </x:c>
      <x:c r="V1488" s="17" t="str">
        <x:v>false</x:v>
      </x:c>
    </x:row>
    <x:row r="1489" ht="80" customHeight="1">
      <x:c r="A1489" s="25" t="str">
        <x:v>Lang</x:v>
      </x:c>
      <x:c r="B1489" s="25" t="n">
        <x:v>12</x:v>
      </x:c>
      <x:c r="C1489" s="25" t="str">
        <x:v>Round2</x:v>
      </x:c>
      <x:c r="D1489" s="25" t="str">
        <x:v>FAIL</x:v>
      </x:c>
      <x:c r="E1489" s="25" t="str">
        <x:v>N/A</x:v>
      </x:c>
      <x:c r="F1489" s="26" t="str">
        <x:v>Latest same-round generation failed; older files/results are excluded</x:v>
      </x:c>
      <x:c r="G1489" s="25" t="str">
        <x:v>true</x:v>
      </x:c>
      <x:c r="H1489" s="25" t="str">
        <x:v>FAIL</x:v>
      </x:c>
      <x:c r="I1489" s="25"/>
      <x:c r="J1489" s="25"/>
      <x:c r="K1489" s="25" t="n">
        <x:v>0</x:v>
      </x:c>
      <x:c r="L1489" s="27" t="b">
        <x:v>1</x:v>
      </x:c>
      <x:c r="M1489" s="25" t="str">
        <x:v>Feedback-Directed Random Test Generation/rounds/Round2/state/Lang.json</x:v>
      </x:c>
      <x:c r="N1489" s="25"/>
      <x:c r="O1489" s="25" t="str">
        <x:v>Feedback-Directed Random Test Generation/Result_Round2/Lang_12/result.json</x:v>
      </x:c>
      <x:c r="P1489"/>
      <x:c r="Q1489" s="21" t="str"/>
      <x:c r="R1489" s="21" t="str"/>
      <x:c r="S1489" s="21" t="str"/>
      <x:c r="T1489" s="17" t="str">
        <x:v>false</x:v>
      </x:c>
      <x:c r="U1489" s="17" t="str">
        <x:v>false</x:v>
      </x:c>
      <x:c r="V1489" s="17" t="str">
        <x:v>false</x:v>
      </x:c>
    </x:row>
    <x:row r="1490" ht="80" customHeight="1">
      <x:c r="A1490" s="25" t="str">
        <x:v>Lang</x:v>
      </x:c>
      <x:c r="B1490" s="25" t="n">
        <x:v>13</x:v>
      </x:c>
      <x:c r="C1490" s="25" t="str">
        <x:v>Round2</x:v>
      </x:c>
      <x:c r="D1490" s="25" t="str">
        <x:v>NOT_REVEALING</x:v>
      </x:c>
      <x:c r="E1490" s="25" t="str">
        <x:v>N/A</x:v>
      </x:c>
      <x:c r="F1490" s="26" t="str">
        <x:v>Same saved validation suite passed on buggy and fixed</x:v>
      </x:c>
      <x:c r="G1490" s="25" t="str">
        <x:v>true</x:v>
      </x:c>
      <x:c r="H1490" s="25" t="str">
        <x:v>NOT_REVEALING</x:v>
      </x:c>
      <x:c r="I1490" s="25" t="str">
        <x:v>PASS</x:v>
      </x:c>
      <x:c r="J1490" s="25" t="str">
        <x:v>PASS</x:v>
      </x:c>
      <x:c r="K1490" s="25" t="n">
        <x:v>11</x:v>
      </x:c>
      <x:c r="L1490" s="27" t="b">
        <x:v>0</x:v>
      </x:c>
      <x:c r="M1490" s="25" t="str">
        <x:v>Feedback-Directed Random Test Generation/rounds/Round2/state/Lang.json</x:v>
      </x:c>
      <x:c r="N1490" s="25" t="str">
        <x:v>Feedback-Directed Random Test Generation/Result_Round2/Lang_13/result.json</x:v>
      </x:c>
      <x:c r="O1490" s="25" t="str">
        <x:v>Feedback-Directed Random Test Generation/Result_Round2/Lang_13/result.json</x:v>
      </x:c>
      <x:c r="P1490"/>
      <x:c r="Q1490" s="21" t="str"/>
      <x:c r="R1490" s="21" t="str"/>
      <x:c r="S1490" s="21" t="str"/>
      <x:c r="T1490" s="17" t="str">
        <x:v>false</x:v>
      </x:c>
      <x:c r="U1490" s="17" t="str">
        <x:v>true</x:v>
      </x:c>
      <x:c r="V1490" s="17" t="str">
        <x:v>false</x:v>
      </x:c>
    </x:row>
    <x:row r="1491" ht="80" customHeight="1">
      <x:c r="A1491" s="25" t="str">
        <x:v>Lang</x:v>
      </x:c>
      <x:c r="B1491" s="25" t="n">
        <x:v>14</x:v>
      </x:c>
      <x:c r="C1491" s="25" t="str">
        <x:v>Round2</x:v>
      </x:c>
      <x:c r="D1491" s="25" t="str">
        <x:v>NOT_REVEALING</x:v>
      </x:c>
      <x:c r="E1491" s="25" t="str">
        <x:v>N/A</x:v>
      </x:c>
      <x:c r="F1491" s="26" t="str">
        <x:v>Same saved validation suite passed on buggy and fixed</x:v>
      </x:c>
      <x:c r="G1491" s="25" t="str">
        <x:v>true</x:v>
      </x:c>
      <x:c r="H1491" s="25" t="str">
        <x:v>NOT_REVEALING</x:v>
      </x:c>
      <x:c r="I1491" s="25" t="str">
        <x:v>PASS</x:v>
      </x:c>
      <x:c r="J1491" s="25" t="str">
        <x:v>PASS</x:v>
      </x:c>
      <x:c r="K1491" s="25" t="n">
        <x:v>24</x:v>
      </x:c>
      <x:c r="L1491" s="27" t="b">
        <x:v>0</x:v>
      </x:c>
      <x:c r="M1491" s="25" t="str">
        <x:v>Feedback-Directed Random Test Generation/rounds/Round2/state/Lang.json</x:v>
      </x:c>
      <x:c r="N1491" s="25" t="str">
        <x:v>Feedback-Directed Random Test Generation/Result_Round2/Lang_14/result.json</x:v>
      </x:c>
      <x:c r="O1491" s="25" t="str">
        <x:v>Feedback-Directed Random Test Generation/Result_Round2/Lang_14/result.json</x:v>
      </x:c>
      <x:c r="P1491"/>
      <x:c r="Q1491" s="21" t="str"/>
      <x:c r="R1491" s="21" t="str"/>
      <x:c r="S1491" s="21" t="str"/>
      <x:c r="T1491" s="17" t="str">
        <x:v>false</x:v>
      </x:c>
      <x:c r="U1491" s="17" t="str">
        <x:v>true</x:v>
      </x:c>
      <x:c r="V1491" s="17" t="str">
        <x:v>false</x:v>
      </x:c>
    </x:row>
    <x:row r="1492" ht="80" customHeight="1">
      <x:c r="A1492" s="25" t="str">
        <x:v>Lang</x:v>
      </x:c>
      <x:c r="B1492" s="25" t="n">
        <x:v>15</x:v>
      </x:c>
      <x:c r="C1492" s="25" t="str">
        <x:v>Round2</x:v>
      </x:c>
      <x:c r="D1492" s="25" t="str">
        <x:v>NOT_REVEALING</x:v>
      </x:c>
      <x:c r="E1492" s="25" t="str">
        <x:v>N/A</x:v>
      </x:c>
      <x:c r="F1492" s="26" t="str">
        <x:v>Same saved validation suite passed on buggy and fixed</x:v>
      </x:c>
      <x:c r="G1492" s="25" t="str">
        <x:v>true</x:v>
      </x:c>
      <x:c r="H1492" s="25" t="str">
        <x:v>NOT_REVEALING</x:v>
      </x:c>
      <x:c r="I1492" s="25" t="str">
        <x:v>PASS</x:v>
      </x:c>
      <x:c r="J1492" s="25" t="str">
        <x:v>PASS</x:v>
      </x:c>
      <x:c r="K1492" s="25" t="n">
        <x:v>2</x:v>
      </x:c>
      <x:c r="L1492" s="27" t="b">
        <x:v>0</x:v>
      </x:c>
      <x:c r="M1492" s="25" t="str">
        <x:v>Feedback-Directed Random Test Generation/rounds/Round2/state/Lang.json</x:v>
      </x:c>
      <x:c r="N1492" s="25" t="str">
        <x:v>Feedback-Directed Random Test Generation/Result_Round2/Lang_15/result.json</x:v>
      </x:c>
      <x:c r="O1492" s="25" t="str">
        <x:v>Feedback-Directed Random Test Generation/Result_Round2/Lang_15/result.json</x:v>
      </x:c>
      <x:c r="P1492"/>
      <x:c r="Q1492" s="21" t="str"/>
      <x:c r="R1492" s="21" t="str"/>
      <x:c r="S1492" s="21" t="str"/>
      <x:c r="T1492" s="17" t="str">
        <x:v>false</x:v>
      </x:c>
      <x:c r="U1492" s="17" t="str">
        <x:v>true</x:v>
      </x:c>
      <x:c r="V1492" s="17" t="str">
        <x:v>false</x:v>
      </x:c>
    </x:row>
    <x:row r="1493" ht="80" customHeight="1">
      <x:c r="A1493" s="25" t="str">
        <x:v>Lang</x:v>
      </x:c>
      <x:c r="B1493" s="25" t="n">
        <x:v>16</x:v>
      </x:c>
      <x:c r="C1493" s="25" t="str">
        <x:v>Round2</x:v>
      </x:c>
      <x:c r="D1493" s="25" t="str">
        <x:v>NOT_REVEALING</x:v>
      </x:c>
      <x:c r="E1493" s="25" t="str">
        <x:v>N/A</x:v>
      </x:c>
      <x:c r="F1493" s="26" t="str">
        <x:v>Same saved validation suite passed on buggy and fixed</x:v>
      </x:c>
      <x:c r="G1493" s="25" t="str">
        <x:v>true</x:v>
      </x:c>
      <x:c r="H1493" s="25" t="str">
        <x:v>NOT_REVEALING</x:v>
      </x:c>
      <x:c r="I1493" s="25" t="str">
        <x:v>PASS</x:v>
      </x:c>
      <x:c r="J1493" s="25" t="str">
        <x:v>PASS</x:v>
      </x:c>
      <x:c r="K1493" s="25" t="n">
        <x:v>11</x:v>
      </x:c>
      <x:c r="L1493" s="27" t="b">
        <x:v>0</x:v>
      </x:c>
      <x:c r="M1493" s="25" t="str">
        <x:v>Feedback-Directed Random Test Generation/rounds/Round2/state/Lang.json</x:v>
      </x:c>
      <x:c r="N1493" s="25" t="str">
        <x:v>Feedback-Directed Random Test Generation/Result_Round2/Lang_16/result.json</x:v>
      </x:c>
      <x:c r="O1493" s="25" t="str">
        <x:v>Feedback-Directed Random Test Generation/Result_Round2/Lang_16/result.json</x:v>
      </x:c>
      <x:c r="P1493"/>
      <x:c r="Q1493" s="21" t="str"/>
      <x:c r="R1493" s="21" t="str"/>
      <x:c r="S1493" s="21" t="str"/>
      <x:c r="T1493" s="17" t="str">
        <x:v>false</x:v>
      </x:c>
      <x:c r="U1493" s="17" t="str">
        <x:v>true</x:v>
      </x:c>
      <x:c r="V1493" s="17" t="str">
        <x:v>false</x:v>
      </x:c>
    </x:row>
    <x:row r="1494" ht="80" customHeight="1">
      <x:c r="A1494" s="25" t="str">
        <x:v>Lang</x:v>
      </x:c>
      <x:c r="B1494" s="25" t="n">
        <x:v>17</x:v>
      </x:c>
      <x:c r="C1494" s="25" t="str">
        <x:v>Round2</x:v>
      </x:c>
      <x:c r="D1494" s="25" t="str">
        <x:v>NOT_REVEALING</x:v>
      </x:c>
      <x:c r="E1494" s="25" t="str">
        <x:v>N/A</x:v>
      </x:c>
      <x:c r="F1494" s="26" t="str">
        <x:v>Same saved validation suite passed on buggy and fixed</x:v>
      </x:c>
      <x:c r="G1494" s="25" t="str">
        <x:v>true</x:v>
      </x:c>
      <x:c r="H1494" s="25" t="str">
        <x:v>NOT_REVEALING</x:v>
      </x:c>
      <x:c r="I1494" s="25" t="str">
        <x:v>PASS</x:v>
      </x:c>
      <x:c r="J1494" s="25" t="str">
        <x:v>PASS</x:v>
      </x:c>
      <x:c r="K1494" s="25" t="n">
        <x:v>2</x:v>
      </x:c>
      <x:c r="L1494" s="27" t="b">
        <x:v>0</x:v>
      </x:c>
      <x:c r="M1494" s="25" t="str">
        <x:v>Feedback-Directed Random Test Generation/rounds/Round2/state/Lang.json</x:v>
      </x:c>
      <x:c r="N1494" s="25" t="str">
        <x:v>Feedback-Directed Random Test Generation/Result_Round2/Lang_17/result.json</x:v>
      </x:c>
      <x:c r="O1494" s="25" t="str">
        <x:v>Feedback-Directed Random Test Generation/Result_Round2/Lang_17/result.json</x:v>
      </x:c>
      <x:c r="P1494"/>
      <x:c r="Q1494" s="21" t="str"/>
      <x:c r="R1494" s="21" t="str"/>
      <x:c r="S1494" s="21" t="str"/>
      <x:c r="T1494" s="17" t="str">
        <x:v>false</x:v>
      </x:c>
      <x:c r="U1494" s="17" t="str">
        <x:v>true</x:v>
      </x:c>
      <x:c r="V1494" s="17" t="str">
        <x:v>false</x:v>
      </x:c>
    </x:row>
    <x:row r="1495" ht="80" customHeight="1">
      <x:c r="A1495" s="25" t="str">
        <x:v>Lang</x:v>
      </x:c>
      <x:c r="B1495" s="25" t="n">
        <x:v>19</x:v>
      </x:c>
      <x:c r="C1495" s="25" t="str">
        <x:v>Round2</x:v>
      </x:c>
      <x:c r="D1495" s="25" t="str">
        <x:v>NOT_REVEALING</x:v>
      </x:c>
      <x:c r="E1495" s="25" t="str">
        <x:v>N/A</x:v>
      </x:c>
      <x:c r="F1495" s="26" t="str">
        <x:v>Same saved validation suite passed on buggy and fixed</x:v>
      </x:c>
      <x:c r="G1495" s="25" t="str">
        <x:v>true</x:v>
      </x:c>
      <x:c r="H1495" s="25" t="str">
        <x:v>NOT_REVEALING</x:v>
      </x:c>
      <x:c r="I1495" s="25" t="str">
        <x:v>PASS</x:v>
      </x:c>
      <x:c r="J1495" s="25" t="str">
        <x:v>PASS</x:v>
      </x:c>
      <x:c r="K1495" s="25" t="n">
        <x:v>9</x:v>
      </x:c>
      <x:c r="L1495" s="27" t="b">
        <x:v>0</x:v>
      </x:c>
      <x:c r="M1495" s="25" t="str">
        <x:v>Feedback-Directed Random Test Generation/rounds/Round2/state/Lang.json</x:v>
      </x:c>
      <x:c r="N1495" s="25" t="str">
        <x:v>Feedback-Directed Random Test Generation/Result_Round2/Lang_19/result.json</x:v>
      </x:c>
      <x:c r="O1495" s="25" t="str">
        <x:v>Feedback-Directed Random Test Generation/Result_Round2/Lang_19/result.json</x:v>
      </x:c>
      <x:c r="P1495"/>
      <x:c r="Q1495" s="21" t="str"/>
      <x:c r="R1495" s="21" t="str"/>
      <x:c r="S1495" s="21" t="str"/>
      <x:c r="T1495" s="17" t="str">
        <x:v>false</x:v>
      </x:c>
      <x:c r="U1495" s="17" t="str">
        <x:v>true</x:v>
      </x:c>
      <x:c r="V1495" s="17" t="str">
        <x:v>false</x:v>
      </x:c>
    </x:row>
    <x:row r="1496" ht="80" customHeight="1">
      <x:c r="A1496" s="25" t="str">
        <x:v>Lang</x:v>
      </x:c>
      <x:c r="B1496" s="25" t="n">
        <x:v>20</x:v>
      </x:c>
      <x:c r="C1496" s="25" t="str">
        <x:v>Round2</x:v>
      </x:c>
      <x:c r="D1496" s="25" t="str">
        <x:v>NOT_REVEALING</x:v>
      </x:c>
      <x:c r="E1496" s="25" t="str">
        <x:v>N/A</x:v>
      </x:c>
      <x:c r="F1496" s="26" t="str">
        <x:v>Same saved validation suite passed on buggy and fixed</x:v>
      </x:c>
      <x:c r="G1496" s="25" t="str">
        <x:v>true</x:v>
      </x:c>
      <x:c r="H1496" s="25" t="str">
        <x:v>NOT_REVEALING</x:v>
      </x:c>
      <x:c r="I1496" s="25" t="str">
        <x:v>PASS</x:v>
      </x:c>
      <x:c r="J1496" s="25" t="str">
        <x:v>PASS</x:v>
      </x:c>
      <x:c r="K1496" s="25" t="n">
        <x:v>25</x:v>
      </x:c>
      <x:c r="L1496" s="27" t="b">
        <x:v>0</x:v>
      </x:c>
      <x:c r="M1496" s="25" t="str">
        <x:v>Feedback-Directed Random Test Generation/rounds/Round2/state/Lang.json</x:v>
      </x:c>
      <x:c r="N1496" s="25" t="str">
        <x:v>Feedback-Directed Random Test Generation/Result_Round2/Lang_20/result.json</x:v>
      </x:c>
      <x:c r="O1496" s="25" t="str">
        <x:v>Feedback-Directed Random Test Generation/Result_Round2/Lang_20/result.json</x:v>
      </x:c>
      <x:c r="P1496"/>
      <x:c r="Q1496" s="21" t="str"/>
      <x:c r="R1496" s="21" t="str"/>
      <x:c r="S1496" s="21" t="str"/>
      <x:c r="T1496" s="17" t="str">
        <x:v>false</x:v>
      </x:c>
      <x:c r="U1496" s="17" t="str">
        <x:v>true</x:v>
      </x:c>
      <x:c r="V1496" s="17" t="str">
        <x:v>false</x:v>
      </x:c>
    </x:row>
    <x:row r="1497" ht="80" customHeight="1">
      <x:c r="A1497" s="25" t="str">
        <x:v>Lang</x:v>
      </x:c>
      <x:c r="B1497" s="25" t="n">
        <x:v>21</x:v>
      </x:c>
      <x:c r="C1497" s="25" t="str">
        <x:v>Round2</x:v>
      </x:c>
      <x:c r="D1497" s="25" t="str">
        <x:v>INCONCLUSIVE</x:v>
      </x:c>
      <x:c r="E1497" s="25" t="str">
        <x:v>N/A</x:v>
      </x:c>
      <x:c r="F1497" s="26" t="str">
        <x:v>Fixed also failed; assertion failure cannot be attributed to this bug; Assertions failed with measured coverage; paired execution and stage checks determine status</x:v>
      </x:c>
      <x:c r="G1497" s="25" t="str">
        <x:v>true</x:v>
      </x:c>
      <x:c r="H1497" s="25" t="str">
        <x:v>INCONCLUSIVE</x:v>
      </x:c>
      <x:c r="I1497" s="25" t="str">
        <x:v>FAIL</x:v>
      </x:c>
      <x:c r="J1497" s="25" t="str">
        <x:v>FAIL</x:v>
      </x:c>
      <x:c r="K1497" s="25" t="n">
        <x:v>7</x:v>
      </x:c>
      <x:c r="L1497" s="27" t="b">
        <x:v>0</x:v>
      </x:c>
      <x:c r="M1497" s="25" t="str">
        <x:v>Feedback-Directed Random Test Generation/rounds/Round2/state/Lang.json</x:v>
      </x:c>
      <x:c r="N1497" s="25" t="str">
        <x:v>Feedback-Directed Random Test Generation/Result_Round2/Lang_21/result.json</x:v>
      </x:c>
      <x:c r="O1497" s="25" t="str">
        <x:v>Feedback-Directed Random Test Generation/Result_Round2/Lang_21/result.json</x:v>
      </x:c>
      <x:c r="P1497"/>
      <x:c r="Q1497" s="21" t="str"/>
      <x:c r="R1497" s="21" t="str"/>
      <x:c r="S1497" s="21" t="str"/>
      <x:c r="T1497" s="17" t="str">
        <x:v>false</x:v>
      </x:c>
      <x:c r="U1497" s="17" t="str">
        <x:v>true</x:v>
      </x:c>
      <x:c r="V1497" s="17" t="str">
        <x:v>false</x:v>
      </x:c>
    </x:row>
    <x:row r="1498" ht="80" customHeight="1">
      <x:c r="A1498" s="25" t="str">
        <x:v>Lang</x:v>
      </x:c>
      <x:c r="B1498" s="25" t="n">
        <x:v>22</x:v>
      </x:c>
      <x:c r="C1498" s="25" t="str">
        <x:v>Round2</x:v>
      </x:c>
      <x:c r="D1498" s="25" t="str">
        <x:v>INCONCLUSIVE</x:v>
      </x:c>
      <x:c r="E1498" s="25" t="str">
        <x:v>N/A</x:v>
      </x:c>
      <x:c r="F1498" s="26" t="str">
        <x:v>Fixed also failed; assertion failure cannot be attributed to this bug; Assertions failed with measured coverage; paired execution and stage checks determine status</x:v>
      </x:c>
      <x:c r="G1498" s="25" t="str">
        <x:v>true</x:v>
      </x:c>
      <x:c r="H1498" s="25" t="str">
        <x:v>INCONCLUSIVE</x:v>
      </x:c>
      <x:c r="I1498" s="25" t="str">
        <x:v>FAIL</x:v>
      </x:c>
      <x:c r="J1498" s="25" t="str">
        <x:v>FAIL</x:v>
      </x:c>
      <x:c r="K1498" s="25" t="n">
        <x:v>8</x:v>
      </x:c>
      <x:c r="L1498" s="27" t="b">
        <x:v>0</x:v>
      </x:c>
      <x:c r="M1498" s="25" t="str">
        <x:v>Feedback-Directed Random Test Generation/rounds/Round2/state/Lang.json</x:v>
      </x:c>
      <x:c r="N1498" s="25" t="str">
        <x:v>Feedback-Directed Random Test Generation/Result_Round2/Lang_22/result.json</x:v>
      </x:c>
      <x:c r="O1498" s="25" t="str">
        <x:v>Feedback-Directed Random Test Generation/Result_Round2/Lang_22/result.json</x:v>
      </x:c>
      <x:c r="P1498"/>
      <x:c r="Q1498" s="21" t="str"/>
      <x:c r="R1498" s="21" t="str"/>
      <x:c r="S1498" s="21" t="str"/>
      <x:c r="T1498" s="17" t="str">
        <x:v>false</x:v>
      </x:c>
      <x:c r="U1498" s="17" t="str">
        <x:v>true</x:v>
      </x:c>
      <x:c r="V1498" s="17" t="str">
        <x:v>false</x:v>
      </x:c>
    </x:row>
    <x:row r="1499" ht="80" customHeight="1">
      <x:c r="A1499" s="25" t="str">
        <x:v>Lang</x:v>
      </x:c>
      <x:c r="B1499" s="25" t="n">
        <x:v>23</x:v>
      </x:c>
      <x:c r="C1499" s="25" t="str">
        <x:v>Round2</x:v>
      </x:c>
      <x:c r="D1499" s="25" t="str">
        <x:v>NOT_REVEALING</x:v>
      </x:c>
      <x:c r="E1499" s="25" t="str">
        <x:v>N/A</x:v>
      </x:c>
      <x:c r="F1499" s="26" t="str">
        <x:v>Same saved validation suite passed on buggy and fixed</x:v>
      </x:c>
      <x:c r="G1499" s="25" t="str">
        <x:v>true</x:v>
      </x:c>
      <x:c r="H1499" s="25" t="str">
        <x:v>NOT_REVEALING</x:v>
      </x:c>
      <x:c r="I1499" s="25" t="str">
        <x:v>PASS</x:v>
      </x:c>
      <x:c r="J1499" s="25" t="str">
        <x:v>PASS</x:v>
      </x:c>
      <x:c r="K1499" s="25" t="n">
        <x:v>5</x:v>
      </x:c>
      <x:c r="L1499" s="27" t="b">
        <x:v>0</x:v>
      </x:c>
      <x:c r="M1499" s="25" t="str">
        <x:v>Feedback-Directed Random Test Generation/rounds/Round2/state/Lang.json</x:v>
      </x:c>
      <x:c r="N1499" s="25" t="str">
        <x:v>Feedback-Directed Random Test Generation/Result_Round2/Lang_23/result.json</x:v>
      </x:c>
      <x:c r="O1499" s="25" t="str">
        <x:v>Feedback-Directed Random Test Generation/Result_Round2/Lang_23/result.json</x:v>
      </x:c>
      <x:c r="P1499"/>
      <x:c r="Q1499" s="21" t="str"/>
      <x:c r="R1499" s="21" t="str"/>
      <x:c r="S1499" s="21" t="str"/>
      <x:c r="T1499" s="17" t="str">
        <x:v>false</x:v>
      </x:c>
      <x:c r="U1499" s="17" t="str">
        <x:v>true</x:v>
      </x:c>
      <x:c r="V1499" s="17" t="str">
        <x:v>false</x:v>
      </x:c>
    </x:row>
    <x:row r="1500" ht="80" customHeight="1">
      <x:c r="A1500" s="25" t="str">
        <x:v>Lang</x:v>
      </x:c>
      <x:c r="B1500" s="25" t="n">
        <x:v>24</x:v>
      </x:c>
      <x:c r="C1500" s="25" t="str">
        <x:v>Round2</x:v>
      </x:c>
      <x:c r="D1500" s="25" t="str">
        <x:v>NOT_REVEALING</x:v>
      </x:c>
      <x:c r="E1500" s="25" t="str">
        <x:v>N/A</x:v>
      </x:c>
      <x:c r="F1500" s="26" t="str">
        <x:v>Same saved validation suite passed on buggy and fixed</x:v>
      </x:c>
      <x:c r="G1500" s="25" t="str">
        <x:v>true</x:v>
      </x:c>
      <x:c r="H1500" s="25" t="str">
        <x:v>NOT_REVEALING</x:v>
      </x:c>
      <x:c r="I1500" s="25" t="str">
        <x:v>PASS</x:v>
      </x:c>
      <x:c r="J1500" s="25" t="str">
        <x:v>PASS</x:v>
      </x:c>
      <x:c r="K1500" s="25" t="n">
        <x:v>11</x:v>
      </x:c>
      <x:c r="L1500" s="27" t="b">
        <x:v>0</x:v>
      </x:c>
      <x:c r="M1500" s="25" t="str">
        <x:v>Feedback-Directed Random Test Generation/rounds/Round2/state/Lang.json</x:v>
      </x:c>
      <x:c r="N1500" s="25" t="str">
        <x:v>Feedback-Directed Random Test Generation/Result_Round2/Lang_24/result.json</x:v>
      </x:c>
      <x:c r="O1500" s="25" t="str">
        <x:v>Feedback-Directed Random Test Generation/Result_Round2/Lang_24/result.json</x:v>
      </x:c>
      <x:c r="P1500"/>
      <x:c r="Q1500" s="21" t="str"/>
      <x:c r="R1500" s="21" t="str"/>
      <x:c r="S1500" s="21" t="str"/>
      <x:c r="T1500" s="17" t="str">
        <x:v>false</x:v>
      </x:c>
      <x:c r="U1500" s="17" t="str">
        <x:v>true</x:v>
      </x:c>
      <x:c r="V1500" s="17" t="str">
        <x:v>false</x:v>
      </x:c>
    </x:row>
    <x:row r="1501" ht="80" customHeight="1">
      <x:c r="A1501" s="25" t="str">
        <x:v>Lang</x:v>
      </x:c>
      <x:c r="B1501" s="25" t="n">
        <x:v>26</x:v>
      </x:c>
      <x:c r="C1501" s="25" t="str">
        <x:v>Round2</x:v>
      </x:c>
      <x:c r="D1501" s="25" t="str">
        <x:v>INCONCLUSIVE</x:v>
      </x:c>
      <x:c r="E1501" s="25" t="str">
        <x:v>N/A</x:v>
      </x:c>
      <x:c r="F1501" s="26" t="str">
        <x:v>Fixed also failed; assertion failure cannot be attributed to this bug; Assertions failed with measured coverage; paired execution and stage checks determine status</x:v>
      </x:c>
      <x:c r="G1501" s="25" t="str">
        <x:v>true</x:v>
      </x:c>
      <x:c r="H1501" s="25" t="str">
        <x:v>INCONCLUSIVE</x:v>
      </x:c>
      <x:c r="I1501" s="25" t="str">
        <x:v>FAIL</x:v>
      </x:c>
      <x:c r="J1501" s="25" t="str">
        <x:v>FAIL</x:v>
      </x:c>
      <x:c r="K1501" s="25" t="n">
        <x:v>6</x:v>
      </x:c>
      <x:c r="L1501" s="27" t="b">
        <x:v>0</x:v>
      </x:c>
      <x:c r="M1501" s="25" t="str">
        <x:v>Feedback-Directed Random Test Generation/rounds/Round2/state/Lang.json</x:v>
      </x:c>
      <x:c r="N1501" s="25" t="str">
        <x:v>Feedback-Directed Random Test Generation/Result_Round2/Lang_26/result.json</x:v>
      </x:c>
      <x:c r="O1501" s="25" t="str">
        <x:v>Feedback-Directed Random Test Generation/Result_Round2/Lang_26/result.json</x:v>
      </x:c>
      <x:c r="P1501"/>
      <x:c r="Q1501" s="21" t="str"/>
      <x:c r="R1501" s="21" t="str"/>
      <x:c r="S1501" s="21" t="str"/>
      <x:c r="T1501" s="17" t="str">
        <x:v>false</x:v>
      </x:c>
      <x:c r="U1501" s="17" t="str">
        <x:v>true</x:v>
      </x:c>
      <x:c r="V1501" s="17" t="str">
        <x:v>false</x:v>
      </x:c>
    </x:row>
    <x:row r="1502" ht="80" customHeight="1">
      <x:c r="A1502" s="25" t="str">
        <x:v>Lang</x:v>
      </x:c>
      <x:c r="B1502" s="25" t="n">
        <x:v>27</x:v>
      </x:c>
      <x:c r="C1502" s="25" t="str">
        <x:v>Round2</x:v>
      </x:c>
      <x:c r="D1502" s="25" t="str">
        <x:v>NOT_REVEALING</x:v>
      </x:c>
      <x:c r="E1502" s="25" t="str">
        <x:v>N/A</x:v>
      </x:c>
      <x:c r="F1502" s="26" t="str">
        <x:v>Same saved validation suite passed on buggy and fixed</x:v>
      </x:c>
      <x:c r="G1502" s="25" t="str">
        <x:v>true</x:v>
      </x:c>
      <x:c r="H1502" s="25" t="str">
        <x:v>NOT_REVEALING</x:v>
      </x:c>
      <x:c r="I1502" s="25" t="str">
        <x:v>PASS</x:v>
      </x:c>
      <x:c r="J1502" s="25" t="str">
        <x:v>PASS</x:v>
      </x:c>
      <x:c r="K1502" s="25" t="n">
        <x:v>11</x:v>
      </x:c>
      <x:c r="L1502" s="27" t="b">
        <x:v>0</x:v>
      </x:c>
      <x:c r="M1502" s="25" t="str">
        <x:v>Feedback-Directed Random Test Generation/rounds/Round2/state/Lang.json</x:v>
      </x:c>
      <x:c r="N1502" s="25" t="str">
        <x:v>Feedback-Directed Random Test Generation/Result_Round2/Lang_27/result.json</x:v>
      </x:c>
      <x:c r="O1502" s="25" t="str">
        <x:v>Feedback-Directed Random Test Generation/Result_Round2/Lang_27/result.json</x:v>
      </x:c>
      <x:c r="P1502"/>
      <x:c r="Q1502" s="21" t="str"/>
      <x:c r="R1502" s="21" t="str"/>
      <x:c r="S1502" s="21" t="str"/>
      <x:c r="T1502" s="17" t="str">
        <x:v>false</x:v>
      </x:c>
      <x:c r="U1502" s="17" t="str">
        <x:v>true</x:v>
      </x:c>
      <x:c r="V1502" s="17" t="str">
        <x:v>false</x:v>
      </x:c>
    </x:row>
    <x:row r="1503" ht="80" customHeight="1">
      <x:c r="A1503" s="25" t="str">
        <x:v>Lang</x:v>
      </x:c>
      <x:c r="B1503" s="25" t="n">
        <x:v>28</x:v>
      </x:c>
      <x:c r="C1503" s="25" t="str">
        <x:v>Round2</x:v>
      </x:c>
      <x:c r="D1503" s="25" t="str">
        <x:v>NOT_REVEALING</x:v>
      </x:c>
      <x:c r="E1503" s="25" t="str">
        <x:v>N/A</x:v>
      </x:c>
      <x:c r="F1503" s="26" t="str">
        <x:v>Same saved validation suite passed on buggy and fixed</x:v>
      </x:c>
      <x:c r="G1503" s="25" t="str">
        <x:v>true</x:v>
      </x:c>
      <x:c r="H1503" s="25" t="str">
        <x:v>NOT_REVEALING</x:v>
      </x:c>
      <x:c r="I1503" s="25" t="str">
        <x:v>PASS</x:v>
      </x:c>
      <x:c r="J1503" s="25" t="str">
        <x:v>PASS</x:v>
      </x:c>
      <x:c r="K1503" s="25" t="n">
        <x:v>8</x:v>
      </x:c>
      <x:c r="L1503" s="27" t="b">
        <x:v>0</x:v>
      </x:c>
      <x:c r="M1503" s="25" t="str">
        <x:v>Feedback-Directed Random Test Generation/rounds/Round2/state/Lang.json</x:v>
      </x:c>
      <x:c r="N1503" s="25" t="str">
        <x:v>Feedback-Directed Random Test Generation/Result_Round2/Lang_28/result.json</x:v>
      </x:c>
      <x:c r="O1503" s="25" t="str">
        <x:v>Feedback-Directed Random Test Generation/Result_Round2/Lang_28/result.json</x:v>
      </x:c>
      <x:c r="P1503"/>
      <x:c r="Q1503" s="21" t="str"/>
      <x:c r="R1503" s="21" t="str"/>
      <x:c r="S1503" s="21" t="str"/>
      <x:c r="T1503" s="17" t="str">
        <x:v>false</x:v>
      </x:c>
      <x:c r="U1503" s="17" t="str">
        <x:v>true</x:v>
      </x:c>
      <x:c r="V1503" s="17" t="str">
        <x:v>false</x:v>
      </x:c>
    </x:row>
    <x:row r="1504" ht="80" customHeight="1">
      <x:c r="A1504" s="25" t="str">
        <x:v>Lang</x:v>
      </x:c>
      <x:c r="B1504" s="25" t="n">
        <x:v>29</x:v>
      </x:c>
      <x:c r="C1504" s="25" t="str">
        <x:v>Round2</x:v>
      </x:c>
      <x:c r="D1504" s="25" t="str">
        <x:v>NOT_REVEALING</x:v>
      </x:c>
      <x:c r="E1504" s="25" t="str">
        <x:v>N/A</x:v>
      </x:c>
      <x:c r="F1504" s="26" t="str">
        <x:v>Same saved validation suite passed on buggy and fixed</x:v>
      </x:c>
      <x:c r="G1504" s="25" t="str">
        <x:v>true</x:v>
      </x:c>
      <x:c r="H1504" s="25" t="str">
        <x:v>NOT_REVEALING</x:v>
      </x:c>
      <x:c r="I1504" s="25" t="str">
        <x:v>PASS</x:v>
      </x:c>
      <x:c r="J1504" s="25" t="str">
        <x:v>PASS</x:v>
      </x:c>
      <x:c r="K1504" s="25" t="n">
        <x:v>17</x:v>
      </x:c>
      <x:c r="L1504" s="27" t="b">
        <x:v>0</x:v>
      </x:c>
      <x:c r="M1504" s="25" t="str">
        <x:v>Feedback-Directed Random Test Generation/rounds/Round2/state/Lang.json</x:v>
      </x:c>
      <x:c r="N1504" s="25" t="str">
        <x:v>Feedback-Directed Random Test Generation/Result_Round2/Lang_29/result.json</x:v>
      </x:c>
      <x:c r="O1504" s="25" t="str">
        <x:v>Feedback-Directed Random Test Generation/Result_Round2/Lang_29/result.json</x:v>
      </x:c>
      <x:c r="P1504"/>
      <x:c r="Q1504" s="21" t="str"/>
      <x:c r="R1504" s="21" t="str"/>
      <x:c r="S1504" s="21" t="str"/>
      <x:c r="T1504" s="17" t="str">
        <x:v>false</x:v>
      </x:c>
      <x:c r="U1504" s="17" t="str">
        <x:v>true</x:v>
      </x:c>
      <x:c r="V1504" s="17" t="str">
        <x:v>false</x:v>
      </x:c>
    </x:row>
    <x:row r="1505" ht="80" customHeight="1">
      <x:c r="A1505" s="25" t="str">
        <x:v>Lang</x:v>
      </x:c>
      <x:c r="B1505" s="25" t="n">
        <x:v>30</x:v>
      </x:c>
      <x:c r="C1505" s="25" t="str">
        <x:v>Round2</x:v>
      </x:c>
      <x:c r="D1505" s="25" t="str">
        <x:v>NOT_AVAILABLE</x:v>
      </x:c>
      <x:c r="E1505" s="25" t="str">
        <x:v>N/A</x:v>
      </x:c>
      <x:c r="F1505" s="26" t="str">
        <x:v>fixed test_compile=FAIL</x:v>
      </x:c>
      <x:c r="G1505" s="25" t="str">
        <x:v>true</x:v>
      </x:c>
      <x:c r="H1505" s="25" t="str">
        <x:v>NOT_AVAILABLE</x:v>
      </x:c>
      <x:c r="I1505" s="25" t="str">
        <x:v>PASS</x:v>
      </x:c>
      <x:c r="J1505" s="25" t="str">
        <x:v>NOT_RUN</x:v>
      </x:c>
      <x:c r="K1505" s="25" t="n">
        <x:v>24</x:v>
      </x:c>
      <x:c r="L1505" s="27" t="b">
        <x:v>0</x:v>
      </x:c>
      <x:c r="M1505" s="25" t="str">
        <x:v>Feedback-Directed Random Test Generation/rounds/Round2/state/Lang.json</x:v>
      </x:c>
      <x:c r="N1505" s="25" t="str">
        <x:v>Feedback-Directed Random Test Generation/Result_Round2/Lang_30/result.json</x:v>
      </x:c>
      <x:c r="O1505" s="25" t="str">
        <x:v>Feedback-Directed Random Test Generation/Result_Round2/Lang_30/result.json</x:v>
      </x:c>
      <x:c r="P1505" t="str">
        <x:v>FIXED_NOT_RUN</x:v>
      </x:c>
      <x:c r="Q1505" s="21" t="str"/>
      <x:c r="R1505" s="21" t="str"/>
      <x:c r="S1505" s="21" t="str"/>
      <x:c r="T1505" s="17" t="str">
        <x:v>false</x:v>
      </x:c>
      <x:c r="U1505" s="17" t="str">
        <x:v>true</x:v>
      </x:c>
      <x:c r="V1505" s="17" t="str">
        <x:v>false</x:v>
      </x:c>
    </x:row>
    <x:row r="1506" ht="80" customHeight="1">
      <x:c r="A1506" s="25" t="str">
        <x:v>Lang</x:v>
      </x:c>
      <x:c r="B1506" s="25" t="n">
        <x:v>31</x:v>
      </x:c>
      <x:c r="C1506" s="25" t="str">
        <x:v>Round2</x:v>
      </x:c>
      <x:c r="D1506" s="25" t="str">
        <x:v>NOT_REVEALING</x:v>
      </x:c>
      <x:c r="E1506" s="25" t="str">
        <x:v>N/A</x:v>
      </x:c>
      <x:c r="F1506" s="26" t="str">
        <x:v>Same saved validation suite passed on buggy and fixed</x:v>
      </x:c>
      <x:c r="G1506" s="25" t="str">
        <x:v>true</x:v>
      </x:c>
      <x:c r="H1506" s="25" t="str">
        <x:v>NOT_REVEALING</x:v>
      </x:c>
      <x:c r="I1506" s="25" t="str">
        <x:v>PASS</x:v>
      </x:c>
      <x:c r="J1506" s="25" t="str">
        <x:v>PASS</x:v>
      </x:c>
      <x:c r="K1506" s="25" t="n">
        <x:v>25</x:v>
      </x:c>
      <x:c r="L1506" s="27" t="b">
        <x:v>0</x:v>
      </x:c>
      <x:c r="M1506" s="25" t="str">
        <x:v>Feedback-Directed Random Test Generation/rounds/Round2/state/Lang.json</x:v>
      </x:c>
      <x:c r="N1506" s="25" t="str">
        <x:v>Feedback-Directed Random Test Generation/Result_Round2/Lang_31/result.json</x:v>
      </x:c>
      <x:c r="O1506" s="25" t="str">
        <x:v>Feedback-Directed Random Test Generation/Result_Round2/Lang_31/result.json</x:v>
      </x:c>
      <x:c r="P1506"/>
      <x:c r="Q1506" s="21" t="str"/>
      <x:c r="R1506" s="21" t="str"/>
      <x:c r="S1506" s="21" t="str"/>
      <x:c r="T1506" s="17" t="str">
        <x:v>false</x:v>
      </x:c>
      <x:c r="U1506" s="17" t="str">
        <x:v>true</x:v>
      </x:c>
      <x:c r="V1506" s="17" t="str">
        <x:v>false</x:v>
      </x:c>
    </x:row>
    <x:row r="1507" ht="80" customHeight="1">
      <x:c r="A1507" s="25" t="str">
        <x:v>Lang</x:v>
      </x:c>
      <x:c r="B1507" s="25" t="n">
        <x:v>32</x:v>
      </x:c>
      <x:c r="C1507" s="25" t="str">
        <x:v>Round2</x:v>
      </x:c>
      <x:c r="D1507" s="25" t="str">
        <x:v>INCONCLUSIVE</x:v>
      </x:c>
      <x:c r="E1507" s="25" t="str">
        <x:v>N/A</x:v>
      </x:c>
      <x:c r="F1507" s="26" t="str">
        <x:v>Fixed also failed; assertion failure cannot be attributed to this bug; Assertions failed with measured coverage; paired execution and stage checks determine status</x:v>
      </x:c>
      <x:c r="G1507" s="25" t="str">
        <x:v>true</x:v>
      </x:c>
      <x:c r="H1507" s="25" t="str">
        <x:v>INCONCLUSIVE</x:v>
      </x:c>
      <x:c r="I1507" s="25" t="str">
        <x:v>FAIL</x:v>
      </x:c>
      <x:c r="J1507" s="25" t="str">
        <x:v>FAIL</x:v>
      </x:c>
      <x:c r="K1507" s="25" t="n">
        <x:v>5</x:v>
      </x:c>
      <x:c r="L1507" s="27" t="b">
        <x:v>0</x:v>
      </x:c>
      <x:c r="M1507" s="25" t="str">
        <x:v>Feedback-Directed Random Test Generation/rounds/Round2/state/Lang.json</x:v>
      </x:c>
      <x:c r="N1507" s="25" t="str">
        <x:v>Feedback-Directed Random Test Generation/Result_Round2/Lang_32/result.json</x:v>
      </x:c>
      <x:c r="O1507" s="25" t="str">
        <x:v>Feedback-Directed Random Test Generation/Result_Round2/Lang_32/result.json</x:v>
      </x:c>
      <x:c r="P1507"/>
      <x:c r="Q1507" s="21" t="str"/>
      <x:c r="R1507" s="21" t="str"/>
      <x:c r="S1507" s="21" t="str"/>
      <x:c r="T1507" s="17" t="str">
        <x:v>false</x:v>
      </x:c>
      <x:c r="U1507" s="17" t="str">
        <x:v>true</x:v>
      </x:c>
      <x:c r="V1507" s="17" t="str">
        <x:v>false</x:v>
      </x:c>
    </x:row>
    <x:row r="1508" ht="80" customHeight="1">
      <x:c r="A1508" s="25" t="str">
        <x:v>Lang</x:v>
      </x:c>
      <x:c r="B1508" s="25" t="n">
        <x:v>33</x:v>
      </x:c>
      <x:c r="C1508" s="25" t="str">
        <x:v>Round2</x:v>
      </x:c>
      <x:c r="D1508" s="25" t="str">
        <x:v>INCONCLUSIVE</x:v>
      </x:c>
      <x:c r="E1508" s="25" t="str">
        <x:v>N/A</x:v>
      </x:c>
      <x:c r="F1508" s="26" t="str">
        <x:v>Fixed also failed; assertion failure cannot be attributed to this bug</x:v>
      </x:c>
      <x:c r="G1508" s="25" t="str">
        <x:v>true</x:v>
      </x:c>
      <x:c r="H1508" s="25" t="str">
        <x:v>INCONCLUSIVE</x:v>
      </x:c>
      <x:c r="I1508" s="25" t="str">
        <x:v>PASS</x:v>
      </x:c>
      <x:c r="J1508" s="25" t="str">
        <x:v>FAIL</x:v>
      </x:c>
      <x:c r="K1508" s="25" t="n">
        <x:v>3</x:v>
      </x:c>
      <x:c r="L1508" s="27" t="b">
        <x:v>0</x:v>
      </x:c>
      <x:c r="M1508" s="25" t="str">
        <x:v>Feedback-Directed Random Test Generation/rounds/Round2/state/Lang.json</x:v>
      </x:c>
      <x:c r="N1508" s="25" t="str">
        <x:v>Feedback-Directed Random Test Generation/Result_Round2/Lang_33/result.json</x:v>
      </x:c>
      <x:c r="O1508" s="25" t="str">
        <x:v>Feedback-Directed Random Test Generation/Result_Round2/Lang_33/result.json</x:v>
      </x:c>
      <x:c r="P1508"/>
      <x:c r="Q1508" s="21" t="str"/>
      <x:c r="R1508" s="21" t="str"/>
      <x:c r="S1508" s="21" t="str"/>
      <x:c r="T1508" s="17" t="str">
        <x:v>false</x:v>
      </x:c>
      <x:c r="U1508" s="17" t="str">
        <x:v>true</x:v>
      </x:c>
      <x:c r="V1508" s="17" t="str">
        <x:v>false</x:v>
      </x:c>
    </x:row>
    <x:row r="1509" ht="80" customHeight="1">
      <x:c r="A1509" s="25" t="str">
        <x:v>Lang</x:v>
      </x:c>
      <x:c r="B1509" s="25" t="n">
        <x:v>34</x:v>
      </x:c>
      <x:c r="C1509" s="25" t="str">
        <x:v>Round2</x:v>
      </x:c>
      <x:c r="D1509" s="25" t="str">
        <x:v>INCONCLUSIVE</x:v>
      </x:c>
      <x:c r="E1509" s="25" t="str">
        <x:v>N/A</x:v>
      </x:c>
      <x:c r="F1509" s="26" t="str">
        <x:v>Fixed also failed; assertion failure cannot be attributed to this bug; Assertions failed with measured coverage; paired execution and stage checks determine status</x:v>
      </x:c>
      <x:c r="G1509" s="25" t="str">
        <x:v>true</x:v>
      </x:c>
      <x:c r="H1509" s="25" t="str">
        <x:v>INCONCLUSIVE</x:v>
      </x:c>
      <x:c r="I1509" s="25" t="str">
        <x:v>FAIL</x:v>
      </x:c>
      <x:c r="J1509" s="25" t="str">
        <x:v>FAIL</x:v>
      </x:c>
      <x:c r="K1509" s="25" t="n">
        <x:v>10</x:v>
      </x:c>
      <x:c r="L1509" s="27" t="b">
        <x:v>0</x:v>
      </x:c>
      <x:c r="M1509" s="25" t="str">
        <x:v>Feedback-Directed Random Test Generation/rounds/Round2/state/Lang.json</x:v>
      </x:c>
      <x:c r="N1509" s="25" t="str">
        <x:v>Feedback-Directed Random Test Generation/Result_Round2/Lang_34/result.json</x:v>
      </x:c>
      <x:c r="O1509" s="25" t="str">
        <x:v>Feedback-Directed Random Test Generation/Result_Round2/Lang_34/result.json</x:v>
      </x:c>
      <x:c r="P1509"/>
      <x:c r="Q1509" s="21" t="str"/>
      <x:c r="R1509" s="21" t="str"/>
      <x:c r="S1509" s="21" t="str"/>
      <x:c r="T1509" s="17" t="str">
        <x:v>false</x:v>
      </x:c>
      <x:c r="U1509" s="17" t="str">
        <x:v>true</x:v>
      </x:c>
      <x:c r="V1509" s="17" t="str">
        <x:v>false</x:v>
      </x:c>
    </x:row>
    <x:row r="1510" ht="80" customHeight="1">
      <x:c r="A1510" s="25" t="str">
        <x:v>Lang</x:v>
      </x:c>
      <x:c r="B1510" s="25" t="n">
        <x:v>35</x:v>
      </x:c>
      <x:c r="C1510" s="25" t="str">
        <x:v>Round2</x:v>
      </x:c>
      <x:c r="D1510" s="25" t="str">
        <x:v>NOT_REVEALING</x:v>
      </x:c>
      <x:c r="E1510" s="25" t="str">
        <x:v>N/A</x:v>
      </x:c>
      <x:c r="F1510" s="26" t="str">
        <x:v>Same saved validation suite passed on buggy and fixed</x:v>
      </x:c>
      <x:c r="G1510" s="25" t="str">
        <x:v>true</x:v>
      </x:c>
      <x:c r="H1510" s="25" t="str">
        <x:v>NOT_REVEALING</x:v>
      </x:c>
      <x:c r="I1510" s="25" t="str">
        <x:v>PASS</x:v>
      </x:c>
      <x:c r="J1510" s="25" t="str">
        <x:v>PASS</x:v>
      </x:c>
      <x:c r="K1510" s="25" t="n">
        <x:v>10</x:v>
      </x:c>
      <x:c r="L1510" s="27" t="b">
        <x:v>0</x:v>
      </x:c>
      <x:c r="M1510" s="25" t="str">
        <x:v>Feedback-Directed Random Test Generation/rounds/Round2/state/Lang.json</x:v>
      </x:c>
      <x:c r="N1510" s="25" t="str">
        <x:v>Feedback-Directed Random Test Generation/Result_Round2/Lang_35/result.json</x:v>
      </x:c>
      <x:c r="O1510" s="25" t="str">
        <x:v>Feedback-Directed Random Test Generation/Result_Round2/Lang_35/result.json</x:v>
      </x:c>
      <x:c r="P1510"/>
      <x:c r="Q1510" s="21" t="str"/>
      <x:c r="R1510" s="21" t="str"/>
      <x:c r="S1510" s="21" t="str"/>
      <x:c r="T1510" s="17" t="str">
        <x:v>false</x:v>
      </x:c>
      <x:c r="U1510" s="17" t="str">
        <x:v>true</x:v>
      </x:c>
      <x:c r="V1510" s="17" t="str">
        <x:v>false</x:v>
      </x:c>
    </x:row>
    <x:row r="1511" ht="80" customHeight="1">
      <x:c r="A1511" s="25" t="str">
        <x:v>Lang</x:v>
      </x:c>
      <x:c r="B1511" s="25" t="n">
        <x:v>36</x:v>
      </x:c>
      <x:c r="C1511" s="25" t="str">
        <x:v>Round2</x:v>
      </x:c>
      <x:c r="D1511" s="25" t="str">
        <x:v>NOT_REVEALING</x:v>
      </x:c>
      <x:c r="E1511" s="25" t="str">
        <x:v>N/A</x:v>
      </x:c>
      <x:c r="F1511" s="26" t="str">
        <x:v>Same saved validation suite passed on buggy and fixed</x:v>
      </x:c>
      <x:c r="G1511" s="25" t="str">
        <x:v>true</x:v>
      </x:c>
      <x:c r="H1511" s="25" t="str">
        <x:v>NOT_REVEALING</x:v>
      </x:c>
      <x:c r="I1511" s="25" t="str">
        <x:v>PASS</x:v>
      </x:c>
      <x:c r="J1511" s="25" t="str">
        <x:v>PASS</x:v>
      </x:c>
      <x:c r="K1511" s="25" t="n">
        <x:v>11</x:v>
      </x:c>
      <x:c r="L1511" s="27" t="b">
        <x:v>0</x:v>
      </x:c>
      <x:c r="M1511" s="25" t="str">
        <x:v>Feedback-Directed Random Test Generation/rounds/Round2/state/Lang.json</x:v>
      </x:c>
      <x:c r="N1511" s="25" t="str">
        <x:v>Feedback-Directed Random Test Generation/Result_Round2/Lang_36/result.json</x:v>
      </x:c>
      <x:c r="O1511" s="25" t="str">
        <x:v>Feedback-Directed Random Test Generation/Result_Round2/Lang_36/result.json</x:v>
      </x:c>
      <x:c r="P1511"/>
      <x:c r="Q1511" s="21" t="str"/>
      <x:c r="R1511" s="21" t="str"/>
      <x:c r="S1511" s="21" t="str"/>
      <x:c r="T1511" s="17" t="str">
        <x:v>false</x:v>
      </x:c>
      <x:c r="U1511" s="17" t="str">
        <x:v>true</x:v>
      </x:c>
      <x:c r="V1511" s="17" t="str">
        <x:v>false</x:v>
      </x:c>
    </x:row>
    <x:row r="1512" ht="80" customHeight="1">
      <x:c r="A1512" s="25" t="str">
        <x:v>Lang</x:v>
      </x:c>
      <x:c r="B1512" s="25" t="n">
        <x:v>37</x:v>
      </x:c>
      <x:c r="C1512" s="25" t="str">
        <x:v>Round2</x:v>
      </x:c>
      <x:c r="D1512" s="25" t="str">
        <x:v>INCONCLUSIVE</x:v>
      </x:c>
      <x:c r="E1512" s="25" t="str">
        <x:v>N/A</x:v>
      </x:c>
      <x:c r="F1512" s="26" t="str">
        <x:v>Fixed also failed; assertion failure cannot be attributed to this bug</x:v>
      </x:c>
      <x:c r="G1512" s="25" t="str">
        <x:v>true</x:v>
      </x:c>
      <x:c r="H1512" s="25" t="str">
        <x:v>INCONCLUSIVE</x:v>
      </x:c>
      <x:c r="I1512" s="25" t="str">
        <x:v>PASS</x:v>
      </x:c>
      <x:c r="J1512" s="25" t="str">
        <x:v>FAIL</x:v>
      </x:c>
      <x:c r="K1512" s="25" t="n">
        <x:v>9</x:v>
      </x:c>
      <x:c r="L1512" s="27" t="b">
        <x:v>0</x:v>
      </x:c>
      <x:c r="M1512" s="25" t="str">
        <x:v>Feedback-Directed Random Test Generation/rounds/Round2/state/Lang.json</x:v>
      </x:c>
      <x:c r="N1512" s="25" t="str">
        <x:v>Feedback-Directed Random Test Generation/Result_Round2/Lang_37/result.json</x:v>
      </x:c>
      <x:c r="O1512" s="25" t="str">
        <x:v>Feedback-Directed Random Test Generation/Result_Round2/Lang_37/result.json</x:v>
      </x:c>
      <x:c r="P1512"/>
      <x:c r="Q1512" s="21" t="str"/>
      <x:c r="R1512" s="21" t="str"/>
      <x:c r="S1512" s="21" t="str"/>
      <x:c r="T1512" s="17" t="str">
        <x:v>false</x:v>
      </x:c>
      <x:c r="U1512" s="17" t="str">
        <x:v>true</x:v>
      </x:c>
      <x:c r="V1512" s="17" t="str">
        <x:v>false</x:v>
      </x:c>
    </x:row>
    <x:row r="1513" ht="80" customHeight="1">
      <x:c r="A1513" s="25" t="str">
        <x:v>Lang</x:v>
      </x:c>
      <x:c r="B1513" s="25" t="n">
        <x:v>38</x:v>
      </x:c>
      <x:c r="C1513" s="25" t="str">
        <x:v>Round2</x:v>
      </x:c>
      <x:c r="D1513" s="25" t="str">
        <x:v>INCONCLUSIVE</x:v>
      </x:c>
      <x:c r="E1513" s="25" t="str">
        <x:v>N/A</x:v>
      </x:c>
      <x:c r="F1513" s="26" t="str">
        <x:v>Fixed also failed; assertion failure cannot be attributed to this bug; Assertions failed with measured coverage; paired execution and stage checks determine status</x:v>
      </x:c>
      <x:c r="G1513" s="25" t="str">
        <x:v>true</x:v>
      </x:c>
      <x:c r="H1513" s="25" t="str">
        <x:v>INCONCLUSIVE</x:v>
      </x:c>
      <x:c r="I1513" s="25" t="str">
        <x:v>FAIL</x:v>
      </x:c>
      <x:c r="J1513" s="25" t="str">
        <x:v>FAIL</x:v>
      </x:c>
      <x:c r="K1513" s="25" t="n">
        <x:v>6</x:v>
      </x:c>
      <x:c r="L1513" s="27" t="b">
        <x:v>0</x:v>
      </x:c>
      <x:c r="M1513" s="25" t="str">
        <x:v>Feedback-Directed Random Test Generation/rounds/Round2/state/Lang.json</x:v>
      </x:c>
      <x:c r="N1513" s="25" t="str">
        <x:v>Feedback-Directed Random Test Generation/Result_Round2/Lang_38/result.json</x:v>
      </x:c>
      <x:c r="O1513" s="25" t="str">
        <x:v>Feedback-Directed Random Test Generation/Result_Round2/Lang_38/result.json</x:v>
      </x:c>
      <x:c r="P1513"/>
      <x:c r="Q1513" s="21" t="str"/>
      <x:c r="R1513" s="21" t="str"/>
      <x:c r="S1513" s="21" t="str"/>
      <x:c r="T1513" s="17" t="str">
        <x:v>false</x:v>
      </x:c>
      <x:c r="U1513" s="17" t="str">
        <x:v>true</x:v>
      </x:c>
      <x:c r="V1513" s="17" t="str">
        <x:v>false</x:v>
      </x:c>
    </x:row>
    <x:row r="1514" ht="80" customHeight="1">
      <x:c r="A1514" s="25" t="str">
        <x:v>Lang</x:v>
      </x:c>
      <x:c r="B1514" s="25" t="n">
        <x:v>39</x:v>
      </x:c>
      <x:c r="C1514" s="25" t="str">
        <x:v>Round2</x:v>
      </x:c>
      <x:c r="D1514" s="25" t="str">
        <x:v>NOT_REVEALING</x:v>
      </x:c>
      <x:c r="E1514" s="25" t="str">
        <x:v>N/A</x:v>
      </x:c>
      <x:c r="F1514" s="26" t="str">
        <x:v>Same saved validation suite passed on buggy and fixed</x:v>
      </x:c>
      <x:c r="G1514" s="25" t="str">
        <x:v>true</x:v>
      </x:c>
      <x:c r="H1514" s="25" t="str">
        <x:v>NOT_REVEALING</x:v>
      </x:c>
      <x:c r="I1514" s="25" t="str">
        <x:v>PASS</x:v>
      </x:c>
      <x:c r="J1514" s="25" t="str">
        <x:v>PASS</x:v>
      </x:c>
      <x:c r="K1514" s="25" t="n">
        <x:v>25</x:v>
      </x:c>
      <x:c r="L1514" s="27" t="b">
        <x:v>0</x:v>
      </x:c>
      <x:c r="M1514" s="25" t="str">
        <x:v>Feedback-Directed Random Test Generation/rounds/Round2/state/Lang.json</x:v>
      </x:c>
      <x:c r="N1514" s="25" t="str">
        <x:v>Feedback-Directed Random Test Generation/Result_Round2/Lang_39/result.json</x:v>
      </x:c>
      <x:c r="O1514" s="25" t="str">
        <x:v>Feedback-Directed Random Test Generation/Result_Round2/Lang_39/result.json</x:v>
      </x:c>
      <x:c r="P1514"/>
      <x:c r="Q1514" s="21" t="str"/>
      <x:c r="R1514" s="21" t="str"/>
      <x:c r="S1514" s="21" t="str"/>
      <x:c r="T1514" s="17" t="str">
        <x:v>false</x:v>
      </x:c>
      <x:c r="U1514" s="17" t="str">
        <x:v>true</x:v>
      </x:c>
      <x:c r="V1514" s="17" t="str">
        <x:v>false</x:v>
      </x:c>
    </x:row>
    <x:row r="1515" ht="80" customHeight="1">
      <x:c r="A1515" s="25" t="str">
        <x:v>Lang</x:v>
      </x:c>
      <x:c r="B1515" s="25" t="n">
        <x:v>40</x:v>
      </x:c>
      <x:c r="C1515" s="25" t="str">
        <x:v>Round2</x:v>
      </x:c>
      <x:c r="D1515" s="25" t="str">
        <x:v>NOT_REVEALING</x:v>
      </x:c>
      <x:c r="E1515" s="25" t="str">
        <x:v>N/A</x:v>
      </x:c>
      <x:c r="F1515" s="26" t="str">
        <x:v>Same saved validation suite passed on buggy and fixed</x:v>
      </x:c>
      <x:c r="G1515" s="25" t="str">
        <x:v>true</x:v>
      </x:c>
      <x:c r="H1515" s="25" t="str">
        <x:v>NOT_REVEALING</x:v>
      </x:c>
      <x:c r="I1515" s="25" t="str">
        <x:v>PASS</x:v>
      </x:c>
      <x:c r="J1515" s="25" t="str">
        <x:v>PASS</x:v>
      </x:c>
      <x:c r="K1515" s="25" t="n">
        <x:v>25</x:v>
      </x:c>
      <x:c r="L1515" s="27" t="b">
        <x:v>0</x:v>
      </x:c>
      <x:c r="M1515" s="25" t="str">
        <x:v>Feedback-Directed Random Test Generation/rounds/Round2/state/Lang.json</x:v>
      </x:c>
      <x:c r="N1515" s="25" t="str">
        <x:v>Feedback-Directed Random Test Generation/Result_Round2/Lang_40/result.json</x:v>
      </x:c>
      <x:c r="O1515" s="25" t="str">
        <x:v>Feedback-Directed Random Test Generation/Result_Round2/Lang_40/result.json</x:v>
      </x:c>
      <x:c r="P1515"/>
      <x:c r="Q1515" s="21" t="str"/>
      <x:c r="R1515" s="21" t="str"/>
      <x:c r="S1515" s="21" t="str"/>
      <x:c r="T1515" s="17" t="str">
        <x:v>false</x:v>
      </x:c>
      <x:c r="U1515" s="17" t="str">
        <x:v>true</x:v>
      </x:c>
      <x:c r="V1515" s="17" t="str">
        <x:v>false</x:v>
      </x:c>
    </x:row>
    <x:row r="1516" ht="80" customHeight="1">
      <x:c r="A1516" s="25" t="str">
        <x:v>Lang</x:v>
      </x:c>
      <x:c r="B1516" s="25" t="n">
        <x:v>41</x:v>
      </x:c>
      <x:c r="C1516" s="25" t="str">
        <x:v>Round2</x:v>
      </x:c>
      <x:c r="D1516" s="25" t="str">
        <x:v>INCONCLUSIVE</x:v>
      </x:c>
      <x:c r="E1516" s="25" t="str">
        <x:v>N/A</x:v>
      </x:c>
      <x:c r="F1516" s="26" t="str">
        <x:v>Fixed also failed; assertion failure cannot be attributed to this bug</x:v>
      </x:c>
      <x:c r="G1516" s="25" t="str">
        <x:v>true</x:v>
      </x:c>
      <x:c r="H1516" s="25" t="str">
        <x:v>INCONCLUSIVE</x:v>
      </x:c>
      <x:c r="I1516" s="25" t="str">
        <x:v>PASS</x:v>
      </x:c>
      <x:c r="J1516" s="25" t="str">
        <x:v>FAIL</x:v>
      </x:c>
      <x:c r="K1516" s="25" t="n">
        <x:v>3</x:v>
      </x:c>
      <x:c r="L1516" s="27" t="b">
        <x:v>0</x:v>
      </x:c>
      <x:c r="M1516" s="25" t="str">
        <x:v>Feedback-Directed Random Test Generation/rounds/Round2/state/Lang.json</x:v>
      </x:c>
      <x:c r="N1516" s="25" t="str">
        <x:v>Feedback-Directed Random Test Generation/Result_Round2/Lang_41/result.json</x:v>
      </x:c>
      <x:c r="O1516" s="25" t="str">
        <x:v>Feedback-Directed Random Test Generation/Result_Round2/Lang_41/result.json</x:v>
      </x:c>
      <x:c r="P1516"/>
      <x:c r="Q1516" s="21" t="str"/>
      <x:c r="R1516" s="21" t="str"/>
      <x:c r="S1516" s="21" t="str"/>
      <x:c r="T1516" s="17" t="str">
        <x:v>false</x:v>
      </x:c>
      <x:c r="U1516" s="17" t="str">
        <x:v>true</x:v>
      </x:c>
      <x:c r="V1516" s="17" t="str">
        <x:v>false</x:v>
      </x:c>
    </x:row>
    <x:row r="1517" ht="80" customHeight="1">
      <x:c r="A1517" s="25" t="str">
        <x:v>Lang</x:v>
      </x:c>
      <x:c r="B1517" s="25" t="n">
        <x:v>42</x:v>
      </x:c>
      <x:c r="C1517" s="25" t="str">
        <x:v>Round2</x:v>
      </x:c>
      <x:c r="D1517" s="25" t="str">
        <x:v>INCONCLUSIVE</x:v>
      </x:c>
      <x:c r="E1517" s="25" t="str">
        <x:v>N/A</x:v>
      </x:c>
      <x:c r="F1517" s="26" t="str">
        <x:v>Fixed also failed; assertion failure cannot be attributed to this bug; Assertions failed with measured coverage; paired execution and stage checks determine status</x:v>
      </x:c>
      <x:c r="G1517" s="25" t="str">
        <x:v>true</x:v>
      </x:c>
      <x:c r="H1517" s="25" t="str">
        <x:v>INCONCLUSIVE</x:v>
      </x:c>
      <x:c r="I1517" s="25" t="str">
        <x:v>FAIL</x:v>
      </x:c>
      <x:c r="J1517" s="25" t="str">
        <x:v>FAIL</x:v>
      </x:c>
      <x:c r="K1517" s="25" t="n">
        <x:v>10</x:v>
      </x:c>
      <x:c r="L1517" s="27" t="b">
        <x:v>0</x:v>
      </x:c>
      <x:c r="M1517" s="25" t="str">
        <x:v>Feedback-Directed Random Test Generation/rounds/Round2/state/Lang.json</x:v>
      </x:c>
      <x:c r="N1517" s="25" t="str">
        <x:v>Feedback-Directed Random Test Generation/Result_Round2/Lang_42/result.json</x:v>
      </x:c>
      <x:c r="O1517" s="25" t="str">
        <x:v>Feedback-Directed Random Test Generation/Result_Round2/Lang_42/result.json</x:v>
      </x:c>
      <x:c r="P1517"/>
      <x:c r="Q1517" s="21" t="str"/>
      <x:c r="R1517" s="21" t="str"/>
      <x:c r="S1517" s="21" t="str"/>
      <x:c r="T1517" s="17" t="str">
        <x:v>false</x:v>
      </x:c>
      <x:c r="U1517" s="17" t="str">
        <x:v>true</x:v>
      </x:c>
      <x:c r="V1517" s="17" t="str">
        <x:v>false</x:v>
      </x:c>
    </x:row>
    <x:row r="1518" ht="80" customHeight="1">
      <x:c r="A1518" s="25" t="str">
        <x:v>Lang</x:v>
      </x:c>
      <x:c r="B1518" s="25" t="n">
        <x:v>43</x:v>
      </x:c>
      <x:c r="C1518" s="25" t="str">
        <x:v>Round2</x:v>
      </x:c>
      <x:c r="D1518" s="25" t="str">
        <x:v>NOT_REVEALING</x:v>
      </x:c>
      <x:c r="E1518" s="25" t="str">
        <x:v>N/A</x:v>
      </x:c>
      <x:c r="F1518" s="26" t="str">
        <x:v>Same saved validation suite passed on buggy and fixed</x:v>
      </x:c>
      <x:c r="G1518" s="25" t="str">
        <x:v>true</x:v>
      </x:c>
      <x:c r="H1518" s="25" t="str">
        <x:v>NOT_REVEALING</x:v>
      </x:c>
      <x:c r="I1518" s="25" t="str">
        <x:v>PASS</x:v>
      </x:c>
      <x:c r="J1518" s="25" t="str">
        <x:v>PASS</x:v>
      </x:c>
      <x:c r="K1518" s="25" t="n">
        <x:v>3</x:v>
      </x:c>
      <x:c r="L1518" s="27" t="b">
        <x:v>0</x:v>
      </x:c>
      <x:c r="M1518" s="25" t="str">
        <x:v>Feedback-Directed Random Test Generation/rounds/Round2/state/Lang.json</x:v>
      </x:c>
      <x:c r="N1518" s="25" t="str">
        <x:v>Feedback-Directed Random Test Generation/Result_Round2/Lang_43/result.json</x:v>
      </x:c>
      <x:c r="O1518" s="25" t="str">
        <x:v>Feedback-Directed Random Test Generation/Result_Round2/Lang_43/result.json</x:v>
      </x:c>
      <x:c r="P1518"/>
      <x:c r="Q1518" s="21" t="str"/>
      <x:c r="R1518" s="21" t="str"/>
      <x:c r="S1518" s="21" t="str"/>
      <x:c r="T1518" s="17" t="str">
        <x:v>false</x:v>
      </x:c>
      <x:c r="U1518" s="17" t="str">
        <x:v>true</x:v>
      </x:c>
      <x:c r="V1518" s="17" t="str">
        <x:v>false</x:v>
      </x:c>
    </x:row>
    <x:row r="1519" ht="80" customHeight="1">
      <x:c r="A1519" s="25" t="str">
        <x:v>Lang</x:v>
      </x:c>
      <x:c r="B1519" s="25" t="n">
        <x:v>44</x:v>
      </x:c>
      <x:c r="C1519" s="25" t="str">
        <x:v>Round2</x:v>
      </x:c>
      <x:c r="D1519" s="25" t="str">
        <x:v>NOT_REVEALING</x:v>
      </x:c>
      <x:c r="E1519" s="25" t="str">
        <x:v>N/A</x:v>
      </x:c>
      <x:c r="F1519" s="26" t="str">
        <x:v>Same saved validation suite passed on buggy and fixed</x:v>
      </x:c>
      <x:c r="G1519" s="25" t="str">
        <x:v>true</x:v>
      </x:c>
      <x:c r="H1519" s="25" t="str">
        <x:v>NOT_REVEALING</x:v>
      </x:c>
      <x:c r="I1519" s="25" t="str">
        <x:v>PASS</x:v>
      </x:c>
      <x:c r="J1519" s="25" t="str">
        <x:v>PASS</x:v>
      </x:c>
      <x:c r="K1519" s="25" t="n">
        <x:v>12</x:v>
      </x:c>
      <x:c r="L1519" s="27" t="b">
        <x:v>0</x:v>
      </x:c>
      <x:c r="M1519" s="25" t="str">
        <x:v>Feedback-Directed Random Test Generation/rounds/Round2/state/Lang.json</x:v>
      </x:c>
      <x:c r="N1519" s="25" t="str">
        <x:v>Feedback-Directed Random Test Generation/Result_Round2/Lang_44/result.json</x:v>
      </x:c>
      <x:c r="O1519" s="25" t="str">
        <x:v>Feedback-Directed Random Test Generation/Result_Round2/Lang_44/result.json</x:v>
      </x:c>
      <x:c r="P1519"/>
      <x:c r="Q1519" s="21" t="str"/>
      <x:c r="R1519" s="21" t="str"/>
      <x:c r="S1519" s="21" t="str"/>
      <x:c r="T1519" s="17" t="str">
        <x:v>false</x:v>
      </x:c>
      <x:c r="U1519" s="17" t="str">
        <x:v>true</x:v>
      </x:c>
      <x:c r="V1519" s="17" t="str">
        <x:v>false</x:v>
      </x:c>
    </x:row>
    <x:row r="1520" ht="80" customHeight="1">
      <x:c r="A1520" s="25" t="str">
        <x:v>Lang</x:v>
      </x:c>
      <x:c r="B1520" s="25" t="n">
        <x:v>45</x:v>
      </x:c>
      <x:c r="C1520" s="25" t="str">
        <x:v>Round2</x:v>
      </x:c>
      <x:c r="D1520" s="25" t="str">
        <x:v>INCONCLUSIVE</x:v>
      </x:c>
      <x:c r="E1520" s="25" t="str">
        <x:v>N/A</x:v>
      </x:c>
      <x:c r="F1520" s="26" t="str">
        <x:v>Fixed also failed; assertion failure cannot be attributed to this bug</x:v>
      </x:c>
      <x:c r="G1520" s="25" t="str">
        <x:v>true</x:v>
      </x:c>
      <x:c r="H1520" s="25" t="str">
        <x:v>INCONCLUSIVE</x:v>
      </x:c>
      <x:c r="I1520" s="25" t="str">
        <x:v>PASS</x:v>
      </x:c>
      <x:c r="J1520" s="25" t="str">
        <x:v>FAIL</x:v>
      </x:c>
      <x:c r="K1520" s="25" t="n">
        <x:v>9</x:v>
      </x:c>
      <x:c r="L1520" s="27" t="b">
        <x:v>0</x:v>
      </x:c>
      <x:c r="M1520" s="25" t="str">
        <x:v>Feedback-Directed Random Test Generation/rounds/Round2/state/Lang.json</x:v>
      </x:c>
      <x:c r="N1520" s="25" t="str">
        <x:v>Feedback-Directed Random Test Generation/Result_Round2/Lang_45/result.json</x:v>
      </x:c>
      <x:c r="O1520" s="25" t="str">
        <x:v>Feedback-Directed Random Test Generation/Result_Round2/Lang_45/result.json</x:v>
      </x:c>
      <x:c r="P1520"/>
      <x:c r="Q1520" s="21" t="str"/>
      <x:c r="R1520" s="21" t="str"/>
      <x:c r="S1520" s="21" t="str"/>
      <x:c r="T1520" s="17" t="str">
        <x:v>false</x:v>
      </x:c>
      <x:c r="U1520" s="17" t="str">
        <x:v>true</x:v>
      </x:c>
      <x:c r="V1520" s="17" t="str">
        <x:v>false</x:v>
      </x:c>
    </x:row>
    <x:row r="1521" ht="80" customHeight="1">
      <x:c r="A1521" s="25" t="str">
        <x:v>Lang</x:v>
      </x:c>
      <x:c r="B1521" s="25" t="n">
        <x:v>46</x:v>
      </x:c>
      <x:c r="C1521" s="25" t="str">
        <x:v>Round2</x:v>
      </x:c>
      <x:c r="D1521" s="25" t="str">
        <x:v>NOT_REVEALING</x:v>
      </x:c>
      <x:c r="E1521" s="25" t="str">
        <x:v>N/A</x:v>
      </x:c>
      <x:c r="F1521" s="26" t="str">
        <x:v>Same saved validation suite passed on buggy and fixed</x:v>
      </x:c>
      <x:c r="G1521" s="25" t="str">
        <x:v>true</x:v>
      </x:c>
      <x:c r="H1521" s="25" t="str">
        <x:v>NOT_REVEALING</x:v>
      </x:c>
      <x:c r="I1521" s="25" t="str">
        <x:v>PASS</x:v>
      </x:c>
      <x:c r="J1521" s="25" t="str">
        <x:v>PASS</x:v>
      </x:c>
      <x:c r="K1521" s="25" t="n">
        <x:v>2</x:v>
      </x:c>
      <x:c r="L1521" s="27" t="b">
        <x:v>0</x:v>
      </x:c>
      <x:c r="M1521" s="25" t="str">
        <x:v>Feedback-Directed Random Test Generation/rounds/Round2/state/Lang.json</x:v>
      </x:c>
      <x:c r="N1521" s="25" t="str">
        <x:v>Feedback-Directed Random Test Generation/Result_Round2/Lang_46/result.json</x:v>
      </x:c>
      <x:c r="O1521" s="25" t="str">
        <x:v>Feedback-Directed Random Test Generation/Result_Round2/Lang_46/result.json</x:v>
      </x:c>
      <x:c r="P1521"/>
      <x:c r="Q1521" s="21" t="str"/>
      <x:c r="R1521" s="21" t="str"/>
      <x:c r="S1521" s="21" t="str"/>
      <x:c r="T1521" s="17" t="str">
        <x:v>false</x:v>
      </x:c>
      <x:c r="U1521" s="17" t="str">
        <x:v>true</x:v>
      </x:c>
      <x:c r="V1521" s="17" t="str">
        <x:v>false</x:v>
      </x:c>
    </x:row>
    <x:row r="1522" ht="80" customHeight="1">
      <x:c r="A1522" s="25" t="str">
        <x:v>Lang</x:v>
      </x:c>
      <x:c r="B1522" s="25" t="n">
        <x:v>47</x:v>
      </x:c>
      <x:c r="C1522" s="25" t="str">
        <x:v>Round2</x:v>
      </x:c>
      <x:c r="D1522" s="25" t="str">
        <x:v>INCONCLUSIVE</x:v>
      </x:c>
      <x:c r="E1522" s="25" t="str">
        <x:v>N/A</x:v>
      </x:c>
      <x:c r="F1522" s="26" t="str">
        <x:v>Fixed also failed; assertion failure cannot be attributed to this bug; Assertions failed with measured coverage; paired execution and stage checks determine status</x:v>
      </x:c>
      <x:c r="G1522" s="25" t="str">
        <x:v>true</x:v>
      </x:c>
      <x:c r="H1522" s="25" t="str">
        <x:v>INCONCLUSIVE</x:v>
      </x:c>
      <x:c r="I1522" s="25" t="str">
        <x:v>FAIL</x:v>
      </x:c>
      <x:c r="J1522" s="25" t="str">
        <x:v>FAIL</x:v>
      </x:c>
      <x:c r="K1522" s="25" t="n">
        <x:v>10</x:v>
      </x:c>
      <x:c r="L1522" s="27" t="b">
        <x:v>0</x:v>
      </x:c>
      <x:c r="M1522" s="25" t="str">
        <x:v>Feedback-Directed Random Test Generation/rounds/Round2/state/Lang.json</x:v>
      </x:c>
      <x:c r="N1522" s="25" t="str">
        <x:v>Feedback-Directed Random Test Generation/Result_Round2/Lang_47/result.json</x:v>
      </x:c>
      <x:c r="O1522" s="25" t="str">
        <x:v>Feedback-Directed Random Test Generation/Result_Round2/Lang_47/result.json</x:v>
      </x:c>
      <x:c r="P1522"/>
      <x:c r="Q1522" s="21" t="str"/>
      <x:c r="R1522" s="21" t="str"/>
      <x:c r="S1522" s="21" t="str"/>
      <x:c r="T1522" s="17" t="str">
        <x:v>false</x:v>
      </x:c>
      <x:c r="U1522" s="17" t="str">
        <x:v>true</x:v>
      </x:c>
      <x:c r="V1522" s="17" t="str">
        <x:v>false</x:v>
      </x:c>
    </x:row>
    <x:row r="1523" ht="80" customHeight="1">
      <x:c r="A1523" s="25" t="str">
        <x:v>Lang</x:v>
      </x:c>
      <x:c r="B1523" s="25" t="n">
        <x:v>49</x:v>
      </x:c>
      <x:c r="C1523" s="25" t="str">
        <x:v>Round2</x:v>
      </x:c>
      <x:c r="D1523" s="25" t="str">
        <x:v>NOT_REVEALING</x:v>
      </x:c>
      <x:c r="E1523" s="25" t="str">
        <x:v>N/A</x:v>
      </x:c>
      <x:c r="F1523" s="26" t="str">
        <x:v>Same saved validation suite passed on buggy and fixed</x:v>
      </x:c>
      <x:c r="G1523" s="25" t="str">
        <x:v>true</x:v>
      </x:c>
      <x:c r="H1523" s="25" t="str">
        <x:v>NOT_REVEALING</x:v>
      </x:c>
      <x:c r="I1523" s="25" t="str">
        <x:v>PASS</x:v>
      </x:c>
      <x:c r="J1523" s="25" t="str">
        <x:v>PASS</x:v>
      </x:c>
      <x:c r="K1523" s="25" t="n">
        <x:v>8</x:v>
      </x:c>
      <x:c r="L1523" s="27" t="b">
        <x:v>0</x:v>
      </x:c>
      <x:c r="M1523" s="25" t="str">
        <x:v>Feedback-Directed Random Test Generation/rounds/Round2/state/Lang.json</x:v>
      </x:c>
      <x:c r="N1523" s="25" t="str">
        <x:v>Feedback-Directed Random Test Generation/Result_Round2/Lang_49/result.json</x:v>
      </x:c>
      <x:c r="O1523" s="25" t="str">
        <x:v>Feedback-Directed Random Test Generation/Result_Round2/Lang_49/result.json</x:v>
      </x:c>
      <x:c r="P1523"/>
      <x:c r="Q1523" s="21" t="str"/>
      <x:c r="R1523" s="21" t="str"/>
      <x:c r="S1523" s="21" t="str"/>
      <x:c r="T1523" s="17" t="str">
        <x:v>false</x:v>
      </x:c>
      <x:c r="U1523" s="17" t="str">
        <x:v>true</x:v>
      </x:c>
      <x:c r="V1523" s="17" t="str">
        <x:v>false</x:v>
      </x:c>
    </x:row>
    <x:row r="1524" ht="80" customHeight="1">
      <x:c r="A1524" s="25" t="str">
        <x:v>Lang</x:v>
      </x:c>
      <x:c r="B1524" s="25" t="n">
        <x:v>50</x:v>
      </x:c>
      <x:c r="C1524" s="25" t="str">
        <x:v>Round2</x:v>
      </x:c>
      <x:c r="D1524" s="25" t="str">
        <x:v>INCONCLUSIVE</x:v>
      </x:c>
      <x:c r="E1524" s="25" t="str">
        <x:v>N/A</x:v>
      </x:c>
      <x:c r="F1524" s="26" t="str">
        <x:v>Fixed also failed; assertion failure cannot be attributed to this bug; Assertions failed with measured coverage; paired execution and stage checks determine status</x:v>
      </x:c>
      <x:c r="G1524" s="25" t="str">
        <x:v>true</x:v>
      </x:c>
      <x:c r="H1524" s="25" t="str">
        <x:v>INCONCLUSIVE</x:v>
      </x:c>
      <x:c r="I1524" s="25" t="str">
        <x:v>FAIL</x:v>
      </x:c>
      <x:c r="J1524" s="25" t="str">
        <x:v>FAIL</x:v>
      </x:c>
      <x:c r="K1524" s="25" t="n">
        <x:v>9</x:v>
      </x:c>
      <x:c r="L1524" s="27" t="b">
        <x:v>0</x:v>
      </x:c>
      <x:c r="M1524" s="25" t="str">
        <x:v>Feedback-Directed Random Test Generation/rounds/Round2/state/Lang.json</x:v>
      </x:c>
      <x:c r="N1524" s="25" t="str">
        <x:v>Feedback-Directed Random Test Generation/Result_Round2/Lang_50/result.json</x:v>
      </x:c>
      <x:c r="O1524" s="25" t="str">
        <x:v>Feedback-Directed Random Test Generation/Result_Round2/Lang_50/result.json</x:v>
      </x:c>
      <x:c r="P1524"/>
      <x:c r="Q1524" s="21" t="str"/>
      <x:c r="R1524" s="21" t="str"/>
      <x:c r="S1524" s="21" t="str"/>
      <x:c r="T1524" s="17" t="str">
        <x:v>false</x:v>
      </x:c>
      <x:c r="U1524" s="17" t="str">
        <x:v>true</x:v>
      </x:c>
      <x:c r="V1524" s="17" t="str">
        <x:v>false</x:v>
      </x:c>
    </x:row>
    <x:row r="1525" ht="80" customHeight="1">
      <x:c r="A1525" s="25" t="str">
        <x:v>Lang</x:v>
      </x:c>
      <x:c r="B1525" s="25" t="n">
        <x:v>51</x:v>
      </x:c>
      <x:c r="C1525" s="25" t="str">
        <x:v>Round2</x:v>
      </x:c>
      <x:c r="D1525" s="25" t="str">
        <x:v>NOT_REVEALING</x:v>
      </x:c>
      <x:c r="E1525" s="25" t="str">
        <x:v>N/A</x:v>
      </x:c>
      <x:c r="F1525" s="26" t="str">
        <x:v>Same saved validation suite passed on buggy and fixed</x:v>
      </x:c>
      <x:c r="G1525" s="25" t="str">
        <x:v>true</x:v>
      </x:c>
      <x:c r="H1525" s="25" t="str">
        <x:v>NOT_REVEALING</x:v>
      </x:c>
      <x:c r="I1525" s="25" t="str">
        <x:v>PASS</x:v>
      </x:c>
      <x:c r="J1525" s="25" t="str">
        <x:v>PASS</x:v>
      </x:c>
      <x:c r="K1525" s="25" t="n">
        <x:v>15</x:v>
      </x:c>
      <x:c r="L1525" s="27" t="b">
        <x:v>0</x:v>
      </x:c>
      <x:c r="M1525" s="25" t="str">
        <x:v>Feedback-Directed Random Test Generation/rounds/Round2/state/Lang.json</x:v>
      </x:c>
      <x:c r="N1525" s="25" t="str">
        <x:v>Feedback-Directed Random Test Generation/Result_Round2/Lang_51/result.json</x:v>
      </x:c>
      <x:c r="O1525" s="25" t="str">
        <x:v>Feedback-Directed Random Test Generation/Result_Round2/Lang_51/result.json</x:v>
      </x:c>
      <x:c r="P1525"/>
      <x:c r="Q1525" s="21" t="str"/>
      <x:c r="R1525" s="21" t="str"/>
      <x:c r="S1525" s="21" t="str"/>
      <x:c r="T1525" s="17" t="str">
        <x:v>false</x:v>
      </x:c>
      <x:c r="U1525" s="17" t="str">
        <x:v>true</x:v>
      </x:c>
      <x:c r="V1525" s="17" t="str">
        <x:v>false</x:v>
      </x:c>
    </x:row>
    <x:row r="1526" ht="80" customHeight="1">
      <x:c r="A1526" s="25" t="str">
        <x:v>Lang</x:v>
      </x:c>
      <x:c r="B1526" s="25" t="n">
        <x:v>52</x:v>
      </x:c>
      <x:c r="C1526" s="25" t="str">
        <x:v>Round2</x:v>
      </x:c>
      <x:c r="D1526" s="25" t="str">
        <x:v>NOT_REVEALING</x:v>
      </x:c>
      <x:c r="E1526" s="25" t="str">
        <x:v>N/A</x:v>
      </x:c>
      <x:c r="F1526" s="26" t="str">
        <x:v>Same saved validation suite passed on buggy and fixed</x:v>
      </x:c>
      <x:c r="G1526" s="25" t="str">
        <x:v>true</x:v>
      </x:c>
      <x:c r="H1526" s="25" t="str">
        <x:v>NOT_REVEALING</x:v>
      </x:c>
      <x:c r="I1526" s="25" t="str">
        <x:v>PASS</x:v>
      </x:c>
      <x:c r="J1526" s="25" t="str">
        <x:v>PASS</x:v>
      </x:c>
      <x:c r="K1526" s="25" t="n">
        <x:v>2</x:v>
      </x:c>
      <x:c r="L1526" s="27" t="b">
        <x:v>0</x:v>
      </x:c>
      <x:c r="M1526" s="25" t="str">
        <x:v>Feedback-Directed Random Test Generation/rounds/Round2/state/Lang.json</x:v>
      </x:c>
      <x:c r="N1526" s="25" t="str">
        <x:v>Feedback-Directed Random Test Generation/Result_Round2/Lang_52/result.json</x:v>
      </x:c>
      <x:c r="O1526" s="25" t="str">
        <x:v>Feedback-Directed Random Test Generation/Result_Round2/Lang_52/result.json</x:v>
      </x:c>
      <x:c r="P1526"/>
      <x:c r="Q1526" s="21" t="str"/>
      <x:c r="R1526" s="21" t="str"/>
      <x:c r="S1526" s="21" t="str"/>
      <x:c r="T1526" s="17" t="str">
        <x:v>false</x:v>
      </x:c>
      <x:c r="U1526" s="17" t="str">
        <x:v>true</x:v>
      </x:c>
      <x:c r="V1526" s="17" t="str">
        <x:v>false</x:v>
      </x:c>
    </x:row>
    <x:row r="1527" ht="80" customHeight="1">
      <x:c r="A1527" s="25" t="str">
        <x:v>Lang</x:v>
      </x:c>
      <x:c r="B1527" s="25" t="n">
        <x:v>53</x:v>
      </x:c>
      <x:c r="C1527" s="25" t="str">
        <x:v>Round2</x:v>
      </x:c>
      <x:c r="D1527" s="25" t="str">
        <x:v>INCONCLUSIVE</x:v>
      </x:c>
      <x:c r="E1527" s="25" t="str">
        <x:v>N/A</x:v>
      </x:c>
      <x:c r="F1527" s="26" t="str">
        <x:v>Fixed also failed; assertion failure cannot be attributed to this bug; Assertions failed with measured coverage; paired execution and stage checks determine status</x:v>
      </x:c>
      <x:c r="G1527" s="25" t="str">
        <x:v>true</x:v>
      </x:c>
      <x:c r="H1527" s="25" t="str">
        <x:v>INCONCLUSIVE</x:v>
      </x:c>
      <x:c r="I1527" s="25" t="str">
        <x:v>FAIL</x:v>
      </x:c>
      <x:c r="J1527" s="25" t="str">
        <x:v>FAIL</x:v>
      </x:c>
      <x:c r="K1527" s="25" t="n">
        <x:v>5</x:v>
      </x:c>
      <x:c r="L1527" s="27" t="b">
        <x:v>0</x:v>
      </x:c>
      <x:c r="M1527" s="25" t="str">
        <x:v>Feedback-Directed Random Test Generation/rounds/Round2/state/Lang.json</x:v>
      </x:c>
      <x:c r="N1527" s="25" t="str">
        <x:v>Feedback-Directed Random Test Generation/Result_Round2/Lang_53/result.json</x:v>
      </x:c>
      <x:c r="O1527" s="25" t="str">
        <x:v>Feedback-Directed Random Test Generation/Result_Round2/Lang_53/result.json</x:v>
      </x:c>
      <x:c r="P1527"/>
      <x:c r="Q1527" s="21" t="str"/>
      <x:c r="R1527" s="21" t="str"/>
      <x:c r="S1527" s="21" t="str"/>
      <x:c r="T1527" s="17" t="str">
        <x:v>false</x:v>
      </x:c>
      <x:c r="U1527" s="17" t="str">
        <x:v>true</x:v>
      </x:c>
      <x:c r="V1527" s="17" t="str">
        <x:v>false</x:v>
      </x:c>
    </x:row>
    <x:row r="1528" ht="80" customHeight="1">
      <x:c r="A1528" s="25" t="str">
        <x:v>Lang</x:v>
      </x:c>
      <x:c r="B1528" s="25" t="n">
        <x:v>54</x:v>
      </x:c>
      <x:c r="C1528" s="25" t="str">
        <x:v>Round2</x:v>
      </x:c>
      <x:c r="D1528" s="25" t="str">
        <x:v>NOT_REVEALING</x:v>
      </x:c>
      <x:c r="E1528" s="25" t="str">
        <x:v>N/A</x:v>
      </x:c>
      <x:c r="F1528" s="26" t="str">
        <x:v>Same saved validation suite passed on buggy and fixed</x:v>
      </x:c>
      <x:c r="G1528" s="25" t="str">
        <x:v>true</x:v>
      </x:c>
      <x:c r="H1528" s="25" t="str">
        <x:v>NOT_REVEALING</x:v>
      </x:c>
      <x:c r="I1528" s="25" t="str">
        <x:v>PASS</x:v>
      </x:c>
      <x:c r="J1528" s="25" t="str">
        <x:v>PASS</x:v>
      </x:c>
      <x:c r="K1528" s="25" t="n">
        <x:v>2</x:v>
      </x:c>
      <x:c r="L1528" s="27" t="b">
        <x:v>0</x:v>
      </x:c>
      <x:c r="M1528" s="25" t="str">
        <x:v>Feedback-Directed Random Test Generation/rounds/Round2/state/Lang.json</x:v>
      </x:c>
      <x:c r="N1528" s="25" t="str">
        <x:v>Feedback-Directed Random Test Generation/Result_Round2/Lang_54/result.json</x:v>
      </x:c>
      <x:c r="O1528" s="25" t="str">
        <x:v>Feedback-Directed Random Test Generation/Result_Round2/Lang_54/result.json</x:v>
      </x:c>
      <x:c r="P1528"/>
      <x:c r="Q1528" s="21" t="str"/>
      <x:c r="R1528" s="21" t="str"/>
      <x:c r="S1528" s="21" t="str"/>
      <x:c r="T1528" s="17" t="str">
        <x:v>false</x:v>
      </x:c>
      <x:c r="U1528" s="17" t="str">
        <x:v>true</x:v>
      </x:c>
      <x:c r="V1528" s="17" t="str">
        <x:v>false</x:v>
      </x:c>
    </x:row>
    <x:row r="1529" ht="80" customHeight="1">
      <x:c r="A1529" s="25" t="str">
        <x:v>Lang</x:v>
      </x:c>
      <x:c r="B1529" s="25" t="n">
        <x:v>55</x:v>
      </x:c>
      <x:c r="C1529" s="25" t="str">
        <x:v>Round2</x:v>
      </x:c>
      <x:c r="D1529" s="25" t="str">
        <x:v>INCONCLUSIVE</x:v>
      </x:c>
      <x:c r="E1529" s="25" t="str">
        <x:v>N/A</x:v>
      </x:c>
      <x:c r="F1529" s="26" t="str">
        <x:v>Fixed also failed; assertion failure cannot be attributed to this bug; Assertions failed with measured coverage; paired execution and stage checks determine status</x:v>
      </x:c>
      <x:c r="G1529" s="25" t="str">
        <x:v>true</x:v>
      </x:c>
      <x:c r="H1529" s="25" t="str">
        <x:v>INCONCLUSIVE</x:v>
      </x:c>
      <x:c r="I1529" s="25" t="str">
        <x:v>FAIL</x:v>
      </x:c>
      <x:c r="J1529" s="25" t="str">
        <x:v>FAIL</x:v>
      </x:c>
      <x:c r="K1529" s="25" t="n">
        <x:v>13</x:v>
      </x:c>
      <x:c r="L1529" s="27" t="b">
        <x:v>0</x:v>
      </x:c>
      <x:c r="M1529" s="25" t="str">
        <x:v>Feedback-Directed Random Test Generation/rounds/Round2/state/Lang.json</x:v>
      </x:c>
      <x:c r="N1529" s="25" t="str">
        <x:v>Feedback-Directed Random Test Generation/Result_Round2/Lang_55/result.json</x:v>
      </x:c>
      <x:c r="O1529" s="25" t="str">
        <x:v>Feedback-Directed Random Test Generation/Result_Round2/Lang_55/result.json</x:v>
      </x:c>
      <x:c r="P1529"/>
      <x:c r="Q1529" s="21" t="str"/>
      <x:c r="R1529" s="21" t="str"/>
      <x:c r="S1529" s="21" t="str"/>
      <x:c r="T1529" s="17" t="str">
        <x:v>false</x:v>
      </x:c>
      <x:c r="U1529" s="17" t="str">
        <x:v>true</x:v>
      </x:c>
      <x:c r="V1529" s="17" t="str">
        <x:v>false</x:v>
      </x:c>
    </x:row>
    <x:row r="1530" ht="80" customHeight="1">
      <x:c r="A1530" s="25" t="str">
        <x:v>Lang</x:v>
      </x:c>
      <x:c r="B1530" s="25" t="n">
        <x:v>56</x:v>
      </x:c>
      <x:c r="C1530" s="25" t="str">
        <x:v>Round2</x:v>
      </x:c>
      <x:c r="D1530" s="25" t="str">
        <x:v>INCONCLUSIVE</x:v>
      </x:c>
      <x:c r="E1530" s="25" t="str">
        <x:v>N/A</x:v>
      </x:c>
      <x:c r="F1530" s="26" t="str">
        <x:v>Fixed also failed; assertion failure cannot be attributed to this bug; Assertions failed with measured coverage; paired execution and stage checks determine status</x:v>
      </x:c>
      <x:c r="G1530" s="25" t="str">
        <x:v>true</x:v>
      </x:c>
      <x:c r="H1530" s="25" t="str">
        <x:v>INCONCLUSIVE</x:v>
      </x:c>
      <x:c r="I1530" s="25" t="str">
        <x:v>FAIL</x:v>
      </x:c>
      <x:c r="J1530" s="25" t="str">
        <x:v>FAIL</x:v>
      </x:c>
      <x:c r="K1530" s="25" t="n">
        <x:v>10</x:v>
      </x:c>
      <x:c r="L1530" s="27" t="b">
        <x:v>0</x:v>
      </x:c>
      <x:c r="M1530" s="25" t="str">
        <x:v>Feedback-Directed Random Test Generation/rounds/Round2/state/Lang.json</x:v>
      </x:c>
      <x:c r="N1530" s="25" t="str">
        <x:v>Feedback-Directed Random Test Generation/Result_Round2/Lang_56/result.json</x:v>
      </x:c>
      <x:c r="O1530" s="25" t="str">
        <x:v>Feedback-Directed Random Test Generation/Result_Round2/Lang_56/result.json</x:v>
      </x:c>
      <x:c r="P1530"/>
      <x:c r="Q1530" s="21" t="str"/>
      <x:c r="R1530" s="21" t="str"/>
      <x:c r="S1530" s="21" t="str"/>
      <x:c r="T1530" s="17" t="str">
        <x:v>false</x:v>
      </x:c>
      <x:c r="U1530" s="17" t="str">
        <x:v>true</x:v>
      </x:c>
      <x:c r="V1530" s="17" t="str">
        <x:v>false</x:v>
      </x:c>
    </x:row>
    <x:row r="1531" ht="80" customHeight="1">
      <x:c r="A1531" s="25" t="str">
        <x:v>Lang</x:v>
      </x:c>
      <x:c r="B1531" s="25" t="n">
        <x:v>57</x:v>
      </x:c>
      <x:c r="C1531" s="25" t="str">
        <x:v>Round2</x:v>
      </x:c>
      <x:c r="D1531" s="25" t="str">
        <x:v>INCONCLUSIVE</x:v>
      </x:c>
      <x:c r="E1531" s="25" t="str">
        <x:v>N/A</x:v>
      </x:c>
      <x:c r="F1531" s="26" t="str">
        <x:v>Fixed also failed; assertion failure cannot be attributed to this bug; Assertions failed with measured coverage; paired execution and stage checks determine status</x:v>
      </x:c>
      <x:c r="G1531" s="25" t="str">
        <x:v>true</x:v>
      </x:c>
      <x:c r="H1531" s="25" t="str">
        <x:v>INCONCLUSIVE</x:v>
      </x:c>
      <x:c r="I1531" s="25" t="str">
        <x:v>FAIL</x:v>
      </x:c>
      <x:c r="J1531" s="25" t="str">
        <x:v>FAIL</x:v>
      </x:c>
      <x:c r="K1531" s="25" t="n">
        <x:v>2</x:v>
      </x:c>
      <x:c r="L1531" s="27" t="b">
        <x:v>0</x:v>
      </x:c>
      <x:c r="M1531" s="25" t="str">
        <x:v>Feedback-Directed Random Test Generation/rounds/Round2/state/Lang.json</x:v>
      </x:c>
      <x:c r="N1531" s="25" t="str">
        <x:v>Feedback-Directed Random Test Generation/Result_Round2/Lang_57/result.json</x:v>
      </x:c>
      <x:c r="O1531" s="25" t="str">
        <x:v>Feedback-Directed Random Test Generation/Result_Round2/Lang_57/result.json</x:v>
      </x:c>
      <x:c r="P1531"/>
      <x:c r="Q1531" s="21" t="str"/>
      <x:c r="R1531" s="21" t="str"/>
      <x:c r="S1531" s="21" t="str"/>
      <x:c r="T1531" s="17" t="str">
        <x:v>false</x:v>
      </x:c>
      <x:c r="U1531" s="17" t="str">
        <x:v>true</x:v>
      </x:c>
      <x:c r="V1531" s="17" t="str">
        <x:v>false</x:v>
      </x:c>
    </x:row>
    <x:row r="1532" ht="80" customHeight="1">
      <x:c r="A1532" s="25" t="str">
        <x:v>Lang</x:v>
      </x:c>
      <x:c r="B1532" s="25" t="n">
        <x:v>58</x:v>
      </x:c>
      <x:c r="C1532" s="25" t="str">
        <x:v>Round2</x:v>
      </x:c>
      <x:c r="D1532" s="25" t="str">
        <x:v>NOT_REVEALING</x:v>
      </x:c>
      <x:c r="E1532" s="25" t="str">
        <x:v>N/A</x:v>
      </x:c>
      <x:c r="F1532" s="26" t="str">
        <x:v>Same saved validation suite passed on buggy and fixed</x:v>
      </x:c>
      <x:c r="G1532" s="25" t="str">
        <x:v>true</x:v>
      </x:c>
      <x:c r="H1532" s="25" t="str">
        <x:v>NOT_REVEALING</x:v>
      </x:c>
      <x:c r="I1532" s="25" t="str">
        <x:v>PASS</x:v>
      </x:c>
      <x:c r="J1532" s="25" t="str">
        <x:v>PASS</x:v>
      </x:c>
      <x:c r="K1532" s="25" t="n">
        <x:v>8</x:v>
      </x:c>
      <x:c r="L1532" s="27" t="b">
        <x:v>0</x:v>
      </x:c>
      <x:c r="M1532" s="25" t="str">
        <x:v>Feedback-Directed Random Test Generation/rounds/Round2/state/Lang.json</x:v>
      </x:c>
      <x:c r="N1532" s="25" t="str">
        <x:v>Feedback-Directed Random Test Generation/Result_Round2/Lang_58/result.json</x:v>
      </x:c>
      <x:c r="O1532" s="25" t="str">
        <x:v>Feedback-Directed Random Test Generation/Result_Round2/Lang_58/result.json</x:v>
      </x:c>
      <x:c r="P1532"/>
      <x:c r="Q1532" s="21" t="str"/>
      <x:c r="R1532" s="21" t="str"/>
      <x:c r="S1532" s="21" t="str"/>
      <x:c r="T1532" s="17" t="str">
        <x:v>false</x:v>
      </x:c>
      <x:c r="U1532" s="17" t="str">
        <x:v>true</x:v>
      </x:c>
      <x:c r="V1532" s="17" t="str">
        <x:v>false</x:v>
      </x:c>
    </x:row>
    <x:row r="1533" ht="80" customHeight="1">
      <x:c r="A1533" s="25" t="str">
        <x:v>Lang</x:v>
      </x:c>
      <x:c r="B1533" s="25" t="n">
        <x:v>59</x:v>
      </x:c>
      <x:c r="C1533" s="25" t="str">
        <x:v>Round2</x:v>
      </x:c>
      <x:c r="D1533" s="25" t="str">
        <x:v>INCONCLUSIVE</x:v>
      </x:c>
      <x:c r="E1533" s="25" t="str">
        <x:v>N/A</x:v>
      </x:c>
      <x:c r="F1533" s="26" t="str">
        <x:v>Fixed also failed; assertion failure cannot be attributed to this bug; Assertions failed with measured coverage; paired execution and stage checks determine status</x:v>
      </x:c>
      <x:c r="G1533" s="25" t="str">
        <x:v>true</x:v>
      </x:c>
      <x:c r="H1533" s="25" t="str">
        <x:v>INCONCLUSIVE</x:v>
      </x:c>
      <x:c r="I1533" s="25" t="str">
        <x:v>FAIL</x:v>
      </x:c>
      <x:c r="J1533" s="25" t="str">
        <x:v>FAIL</x:v>
      </x:c>
      <x:c r="K1533" s="25" t="n">
        <x:v>11</x:v>
      </x:c>
      <x:c r="L1533" s="27" t="b">
        <x:v>0</x:v>
      </x:c>
      <x:c r="M1533" s="25" t="str">
        <x:v>Feedback-Directed Random Test Generation/rounds/Round2/state/Lang.json</x:v>
      </x:c>
      <x:c r="N1533" s="25" t="str">
        <x:v>Feedback-Directed Random Test Generation/Result_Round2/Lang_59/result.json</x:v>
      </x:c>
      <x:c r="O1533" s="25" t="str">
        <x:v>Feedback-Directed Random Test Generation/Result_Round2/Lang_59/result.json</x:v>
      </x:c>
      <x:c r="P1533"/>
      <x:c r="Q1533" s="21" t="str"/>
      <x:c r="R1533" s="21" t="str"/>
      <x:c r="S1533" s="21" t="str"/>
      <x:c r="T1533" s="17" t="str">
        <x:v>false</x:v>
      </x:c>
      <x:c r="U1533" s="17" t="str">
        <x:v>true</x:v>
      </x:c>
      <x:c r="V1533" s="17" t="str">
        <x:v>false</x:v>
      </x:c>
    </x:row>
    <x:row r="1534" ht="80" customHeight="1">
      <x:c r="A1534" s="25" t="str">
        <x:v>Lang</x:v>
      </x:c>
      <x:c r="B1534" s="25" t="n">
        <x:v>60</x:v>
      </x:c>
      <x:c r="C1534" s="25" t="str">
        <x:v>Round2</x:v>
      </x:c>
      <x:c r="D1534" s="25" t="str">
        <x:v>INCONCLUSIVE</x:v>
      </x:c>
      <x:c r="E1534" s="25" t="str">
        <x:v>N/A</x:v>
      </x:c>
      <x:c r="F1534" s="26" t="str">
        <x:v>Fixed also failed; assertion failure cannot be attributed to this bug; Assertions failed with measured coverage; paired execution and stage checks determine status</x:v>
      </x:c>
      <x:c r="G1534" s="25" t="str">
        <x:v>true</x:v>
      </x:c>
      <x:c r="H1534" s="25" t="str">
        <x:v>INCONCLUSIVE</x:v>
      </x:c>
      <x:c r="I1534" s="25" t="str">
        <x:v>FAIL</x:v>
      </x:c>
      <x:c r="J1534" s="25" t="str">
        <x:v>FAIL</x:v>
      </x:c>
      <x:c r="K1534" s="25" t="n">
        <x:v>11</x:v>
      </x:c>
      <x:c r="L1534" s="27" t="b">
        <x:v>0</x:v>
      </x:c>
      <x:c r="M1534" s="25" t="str">
        <x:v>Feedback-Directed Random Test Generation/rounds/Round2/state/Lang.json</x:v>
      </x:c>
      <x:c r="N1534" s="25" t="str">
        <x:v>Feedback-Directed Random Test Generation/Result_Round2/Lang_60/result.json</x:v>
      </x:c>
      <x:c r="O1534" s="25" t="str">
        <x:v>Feedback-Directed Random Test Generation/Result_Round2/Lang_60/result.json</x:v>
      </x:c>
      <x:c r="P1534"/>
      <x:c r="Q1534" s="21" t="str"/>
      <x:c r="R1534" s="21" t="str"/>
      <x:c r="S1534" s="21" t="str"/>
      <x:c r="T1534" s="17" t="str">
        <x:v>false</x:v>
      </x:c>
      <x:c r="U1534" s="17" t="str">
        <x:v>true</x:v>
      </x:c>
      <x:c r="V1534" s="17" t="str">
        <x:v>false</x:v>
      </x:c>
    </x:row>
    <x:row r="1535" ht="80" customHeight="1">
      <x:c r="A1535" s="25" t="str">
        <x:v>Lang</x:v>
      </x:c>
      <x:c r="B1535" s="25" t="n">
        <x:v>61</x:v>
      </x:c>
      <x:c r="C1535" s="25" t="str">
        <x:v>Round2</x:v>
      </x:c>
      <x:c r="D1535" s="25" t="str">
        <x:v>INCONCLUSIVE</x:v>
      </x:c>
      <x:c r="E1535" s="25" t="str">
        <x:v>N/A</x:v>
      </x:c>
      <x:c r="F1535" s="26" t="str">
        <x:v>Fixed also failed; assertion failure cannot be attributed to this bug; Assertions failed with measured coverage; paired execution and stage checks determine status</x:v>
      </x:c>
      <x:c r="G1535" s="25" t="str">
        <x:v>true</x:v>
      </x:c>
      <x:c r="H1535" s="25" t="str">
        <x:v>INCONCLUSIVE</x:v>
      </x:c>
      <x:c r="I1535" s="25" t="str">
        <x:v>FAIL</x:v>
      </x:c>
      <x:c r="J1535" s="25" t="str">
        <x:v>FAIL</x:v>
      </x:c>
      <x:c r="K1535" s="25" t="n">
        <x:v>11</x:v>
      </x:c>
      <x:c r="L1535" s="27" t="b">
        <x:v>0</x:v>
      </x:c>
      <x:c r="M1535" s="25" t="str">
        <x:v>Feedback-Directed Random Test Generation/rounds/Round2/state/Lang.json</x:v>
      </x:c>
      <x:c r="N1535" s="25" t="str">
        <x:v>Feedback-Directed Random Test Generation/Result_Round2/Lang_61/result.json</x:v>
      </x:c>
      <x:c r="O1535" s="25" t="str">
        <x:v>Feedback-Directed Random Test Generation/Result_Round2/Lang_61/result.json</x:v>
      </x:c>
      <x:c r="P1535"/>
      <x:c r="Q1535" s="21" t="str"/>
      <x:c r="R1535" s="21" t="str"/>
      <x:c r="S1535" s="21" t="str"/>
      <x:c r="T1535" s="17" t="str">
        <x:v>false</x:v>
      </x:c>
      <x:c r="U1535" s="17" t="str">
        <x:v>true</x:v>
      </x:c>
      <x:c r="V1535" s="17" t="str">
        <x:v>false</x:v>
      </x:c>
    </x:row>
    <x:row r="1536" ht="80" customHeight="1">
      <x:c r="A1536" s="25" t="str">
        <x:v>Lang</x:v>
      </x:c>
      <x:c r="B1536" s="25" t="n">
        <x:v>62</x:v>
      </x:c>
      <x:c r="C1536" s="25" t="str">
        <x:v>Round2</x:v>
      </x:c>
      <x:c r="D1536" s="25" t="str">
        <x:v>INCONCLUSIVE</x:v>
      </x:c>
      <x:c r="E1536" s="25" t="str">
        <x:v>N/A</x:v>
      </x:c>
      <x:c r="F1536" s="26" t="str">
        <x:v>Fixed also failed; assertion failure cannot be attributed to this bug; Assertions failed with measured coverage; paired execution and stage checks determine status</x:v>
      </x:c>
      <x:c r="G1536" s="25" t="str">
        <x:v>true</x:v>
      </x:c>
      <x:c r="H1536" s="25" t="str">
        <x:v>INCONCLUSIVE</x:v>
      </x:c>
      <x:c r="I1536" s="25" t="str">
        <x:v>FAIL</x:v>
      </x:c>
      <x:c r="J1536" s="25" t="str">
        <x:v>FAIL</x:v>
      </x:c>
      <x:c r="K1536" s="25" t="n">
        <x:v>9</x:v>
      </x:c>
      <x:c r="L1536" s="27" t="b">
        <x:v>0</x:v>
      </x:c>
      <x:c r="M1536" s="25" t="str">
        <x:v>Feedback-Directed Random Test Generation/rounds/Round2/state/Lang.json</x:v>
      </x:c>
      <x:c r="N1536" s="25" t="str">
        <x:v>Feedback-Directed Random Test Generation/Result_Round2/Lang_62/result.json</x:v>
      </x:c>
      <x:c r="O1536" s="25" t="str">
        <x:v>Feedback-Directed Random Test Generation/Result_Round2/Lang_62/result.json</x:v>
      </x:c>
      <x:c r="P1536"/>
      <x:c r="Q1536" s="21" t="str"/>
      <x:c r="R1536" s="21" t="str"/>
      <x:c r="S1536" s="21" t="str"/>
      <x:c r="T1536" s="17" t="str">
        <x:v>false</x:v>
      </x:c>
      <x:c r="U1536" s="17" t="str">
        <x:v>true</x:v>
      </x:c>
      <x:c r="V1536" s="17" t="str">
        <x:v>false</x:v>
      </x:c>
    </x:row>
    <x:row r="1537" ht="80" customHeight="1">
      <x:c r="A1537" s="25" t="str">
        <x:v>Lang</x:v>
      </x:c>
      <x:c r="B1537" s="25" t="n">
        <x:v>63</x:v>
      </x:c>
      <x:c r="C1537" s="25" t="str">
        <x:v>Round2</x:v>
      </x:c>
      <x:c r="D1537" s="25" t="str">
        <x:v>NOT_AVAILABLE</x:v>
      </x:c>
      <x:c r="E1537" s="25" t="str">
        <x:v>N/A</x:v>
      </x:c>
      <x:c r="F1537" s="26" t="str">
        <x:v>fixed test_compile=FAIL</x:v>
      </x:c>
      <x:c r="G1537" s="25" t="str">
        <x:v>true</x:v>
      </x:c>
      <x:c r="H1537" s="25" t="str">
        <x:v>NOT_AVAILABLE</x:v>
      </x:c>
      <x:c r="I1537" s="25" t="str">
        <x:v>PASS</x:v>
      </x:c>
      <x:c r="J1537" s="25" t="str">
        <x:v>NOT_RUN</x:v>
      </x:c>
      <x:c r="K1537" s="25" t="n">
        <x:v>8</x:v>
      </x:c>
      <x:c r="L1537" s="27" t="b">
        <x:v>0</x:v>
      </x:c>
      <x:c r="M1537" s="25" t="str">
        <x:v>Feedback-Directed Random Test Generation/rounds/Round2/state/Lang.json</x:v>
      </x:c>
      <x:c r="N1537" s="25" t="str">
        <x:v>Feedback-Directed Random Test Generation/Result_Round2/Lang_63/result.json</x:v>
      </x:c>
      <x:c r="O1537" s="25" t="str">
        <x:v>Feedback-Directed Random Test Generation/Result_Round2/Lang_63/result.json</x:v>
      </x:c>
      <x:c r="P1537" t="str">
        <x:v>FIXED_NOT_RUN</x:v>
      </x:c>
      <x:c r="Q1537" s="21" t="str"/>
      <x:c r="R1537" s="21" t="str"/>
      <x:c r="S1537" s="21" t="str"/>
      <x:c r="T1537" s="17" t="str">
        <x:v>false</x:v>
      </x:c>
      <x:c r="U1537" s="17" t="str">
        <x:v>true</x:v>
      </x:c>
      <x:c r="V1537" s="17" t="str">
        <x:v>false</x:v>
      </x:c>
    </x:row>
    <x:row r="1538" ht="80" customHeight="1">
      <x:c r="A1538" s="25" t="str">
        <x:v>Lang</x:v>
      </x:c>
      <x:c r="B1538" s="25" t="n">
        <x:v>64</x:v>
      </x:c>
      <x:c r="C1538" s="25" t="str">
        <x:v>Round2</x:v>
      </x:c>
      <x:c r="D1538" s="25" t="str">
        <x:v>NOT_REVEALING</x:v>
      </x:c>
      <x:c r="E1538" s="25" t="str">
        <x:v>N/A</x:v>
      </x:c>
      <x:c r="F1538" s="26" t="str">
        <x:v>Same saved validation suite passed on buggy and fixed</x:v>
      </x:c>
      <x:c r="G1538" s="25" t="str">
        <x:v>true</x:v>
      </x:c>
      <x:c r="H1538" s="25" t="str">
        <x:v>NOT_REVEALING</x:v>
      </x:c>
      <x:c r="I1538" s="25" t="str">
        <x:v>PASS</x:v>
      </x:c>
      <x:c r="J1538" s="25" t="str">
        <x:v>PASS</x:v>
      </x:c>
      <x:c r="K1538" s="25" t="n">
        <x:v>2</x:v>
      </x:c>
      <x:c r="L1538" s="27" t="b">
        <x:v>0</x:v>
      </x:c>
      <x:c r="M1538" s="25" t="str">
        <x:v>Feedback-Directed Random Test Generation/rounds/Round2/state/Lang.json</x:v>
      </x:c>
      <x:c r="N1538" s="25" t="str">
        <x:v>Feedback-Directed Random Test Generation/Result_Round2/Lang_64/result.json</x:v>
      </x:c>
      <x:c r="O1538" s="25" t="str">
        <x:v>Feedback-Directed Random Test Generation/Result_Round2/Lang_64/result.json</x:v>
      </x:c>
      <x:c r="P1538"/>
      <x:c r="Q1538" s="21" t="str"/>
      <x:c r="R1538" s="21" t="str"/>
      <x:c r="S1538" s="21" t="str"/>
      <x:c r="T1538" s="17" t="str">
        <x:v>false</x:v>
      </x:c>
      <x:c r="U1538" s="17" t="str">
        <x:v>true</x:v>
      </x:c>
      <x:c r="V1538" s="17" t="str">
        <x:v>false</x:v>
      </x:c>
    </x:row>
    <x:row r="1539" ht="80" customHeight="1">
      <x:c r="A1539" s="25" t="str">
        <x:v>Lang</x:v>
      </x:c>
      <x:c r="B1539" s="25" t="n">
        <x:v>65</x:v>
      </x:c>
      <x:c r="C1539" s="25" t="str">
        <x:v>Round2</x:v>
      </x:c>
      <x:c r="D1539" s="25" t="str">
        <x:v>INCONCLUSIVE</x:v>
      </x:c>
      <x:c r="E1539" s="25" t="str">
        <x:v>N/A</x:v>
      </x:c>
      <x:c r="F1539" s="26" t="str">
        <x:v>Fixed also failed; assertion failure cannot be attributed to this bug; Assertions failed with measured coverage; paired execution and stage checks determine status</x:v>
      </x:c>
      <x:c r="G1539" s="25" t="str">
        <x:v>true</x:v>
      </x:c>
      <x:c r="H1539" s="25" t="str">
        <x:v>INCONCLUSIVE</x:v>
      </x:c>
      <x:c r="I1539" s="25" t="str">
        <x:v>FAIL</x:v>
      </x:c>
      <x:c r="J1539" s="25" t="str">
        <x:v>FAIL</x:v>
      </x:c>
      <x:c r="K1539" s="25" t="n">
        <x:v>6</x:v>
      </x:c>
      <x:c r="L1539" s="27" t="b">
        <x:v>0</x:v>
      </x:c>
      <x:c r="M1539" s="25" t="str">
        <x:v>Feedback-Directed Random Test Generation/rounds/Round2/state/Lang.json</x:v>
      </x:c>
      <x:c r="N1539" s="25" t="str">
        <x:v>Feedback-Directed Random Test Generation/Result_Round2/Lang_65/result.json</x:v>
      </x:c>
      <x:c r="O1539" s="25" t="str">
        <x:v>Feedback-Directed Random Test Generation/Result_Round2/Lang_65/result.json</x:v>
      </x:c>
      <x:c r="P1539"/>
      <x:c r="Q1539" s="21" t="str"/>
      <x:c r="R1539" s="21" t="str"/>
      <x:c r="S1539" s="21" t="str"/>
      <x:c r="T1539" s="17" t="str">
        <x:v>false</x:v>
      </x:c>
      <x:c r="U1539" s="17" t="str">
        <x:v>true</x:v>
      </x:c>
      <x:c r="V1539" s="17" t="str">
        <x:v>false</x:v>
      </x:c>
    </x:row>
    <x:row r="1540" ht="80" customHeight="1">
      <x:c r="A1540" s="25" t="str">
        <x:v>Math</x:v>
      </x:c>
      <x:c r="B1540" s="25" t="n">
        <x:v>1</x:v>
      </x:c>
      <x:c r="C1540" s="25" t="str">
        <x:v>Round2</x:v>
      </x:c>
      <x:c r="D1540" s="25" t="str">
        <x:v>INCONCLUSIVE</x:v>
      </x:c>
      <x:c r="E1540" s="25" t="str">
        <x:v>N/A</x:v>
      </x:c>
      <x:c r="F1540" s="26" t="str">
        <x:v>Fixed also failed; assertion failure cannot be attributed to this bug</x:v>
      </x:c>
      <x:c r="G1540" s="25" t="str">
        <x:v>true</x:v>
      </x:c>
      <x:c r="H1540" s="25" t="str">
        <x:v>INCONCLUSIVE</x:v>
      </x:c>
      <x:c r="I1540" s="25" t="str">
        <x:v>PASS</x:v>
      </x:c>
      <x:c r="J1540" s="25" t="str">
        <x:v>FAIL</x:v>
      </x:c>
      <x:c r="K1540" s="25" t="n">
        <x:v>3</x:v>
      </x:c>
      <x:c r="L1540" s="27" t="b">
        <x:v>0</x:v>
      </x:c>
      <x:c r="M1540" s="25" t="str">
        <x:v>Feedback-Directed Random Test Generation/rounds/Round2/state/Math.json</x:v>
      </x:c>
      <x:c r="N1540" s="25" t="str">
        <x:v>Feedback-Directed Random Test Generation/Result_Round2/Math_1/result.json</x:v>
      </x:c>
      <x:c r="O1540" s="25" t="str">
        <x:v>Feedback-Directed Random Test Generation/Result_Round2/Math_1/result.json</x:v>
      </x:c>
      <x:c r="P1540"/>
      <x:c r="Q1540" s="21" t="str"/>
      <x:c r="R1540" s="21" t="str"/>
      <x:c r="S1540" s="21" t="str"/>
      <x:c r="T1540" s="17" t="str">
        <x:v>false</x:v>
      </x:c>
      <x:c r="U1540" s="17" t="str">
        <x:v>true</x:v>
      </x:c>
      <x:c r="V1540" s="17" t="str">
        <x:v>false</x:v>
      </x:c>
    </x:row>
    <x:row r="1541" ht="80" customHeight="1">
      <x:c r="A1541" s="25" t="str">
        <x:v>Math</x:v>
      </x:c>
      <x:c r="B1541" s="25" t="n">
        <x:v>2</x:v>
      </x:c>
      <x:c r="C1541" s="25" t="str">
        <x:v>Round2</x:v>
      </x:c>
      <x:c r="D1541" s="25" t="str">
        <x:v>INCONCLUSIVE</x:v>
      </x:c>
      <x:c r="E1541" s="25" t="str">
        <x:v>N/A</x:v>
      </x:c>
      <x:c r="F1541" s="26" t="str">
        <x:v>Fixed also failed; assertion failure cannot be attributed to this bug</x:v>
      </x:c>
      <x:c r="G1541" s="25" t="str">
        <x:v>true</x:v>
      </x:c>
      <x:c r="H1541" s="25" t="str">
        <x:v>INCONCLUSIVE</x:v>
      </x:c>
      <x:c r="I1541" s="25" t="str">
        <x:v>PASS</x:v>
      </x:c>
      <x:c r="J1541" s="25" t="str">
        <x:v>FAIL</x:v>
      </x:c>
      <x:c r="K1541" s="25" t="n">
        <x:v>8</x:v>
      </x:c>
      <x:c r="L1541" s="27" t="b">
        <x:v>0</x:v>
      </x:c>
      <x:c r="M1541" s="25" t="str">
        <x:v>Feedback-Directed Random Test Generation/rounds/Round2/state/Math.json</x:v>
      </x:c>
      <x:c r="N1541" s="25" t="str">
        <x:v>Feedback-Directed Random Test Generation/Result_Round2/Math_2/result.json</x:v>
      </x:c>
      <x:c r="O1541" s="25" t="str">
        <x:v>Feedback-Directed Random Test Generation/Result_Round2/Math_2/result.json</x:v>
      </x:c>
      <x:c r="P1541"/>
      <x:c r="Q1541" s="21" t="str"/>
      <x:c r="R1541" s="21" t="str"/>
      <x:c r="S1541" s="21" t="str"/>
      <x:c r="T1541" s="17" t="str">
        <x:v>false</x:v>
      </x:c>
      <x:c r="U1541" s="17" t="str">
        <x:v>true</x:v>
      </x:c>
      <x:c r="V1541" s="17" t="str">
        <x:v>false</x:v>
      </x:c>
    </x:row>
    <x:row r="1542" ht="80" customHeight="1">
      <x:c r="A1542" s="25" t="str">
        <x:v>Math</x:v>
      </x:c>
      <x:c r="B1542" s="25" t="n">
        <x:v>3</x:v>
      </x:c>
      <x:c r="C1542" s="25" t="str">
        <x:v>Round2</x:v>
      </x:c>
      <x:c r="D1542" s="25" t="str">
        <x:v>NOT_REVEALING</x:v>
      </x:c>
      <x:c r="E1542" s="25" t="str">
        <x:v>N/A</x:v>
      </x:c>
      <x:c r="F1542" s="26" t="str">
        <x:v>Same saved validation suite passed on buggy and fixed</x:v>
      </x:c>
      <x:c r="G1542" s="25" t="str">
        <x:v>true</x:v>
      </x:c>
      <x:c r="H1542" s="25" t="str">
        <x:v>NOT_REVEALING</x:v>
      </x:c>
      <x:c r="I1542" s="25" t="str">
        <x:v>PASS</x:v>
      </x:c>
      <x:c r="J1542" s="25" t="str">
        <x:v>PASS</x:v>
      </x:c>
      <x:c r="K1542" s="25" t="n">
        <x:v>10</x:v>
      </x:c>
      <x:c r="L1542" s="27" t="b">
        <x:v>0</x:v>
      </x:c>
      <x:c r="M1542" s="25" t="str">
        <x:v>Feedback-Directed Random Test Generation/rounds/Round2/state/Math.json</x:v>
      </x:c>
      <x:c r="N1542" s="25" t="str">
        <x:v>Feedback-Directed Random Test Generation/Result_Round2/Math_3/result.json</x:v>
      </x:c>
      <x:c r="O1542" s="25" t="str">
        <x:v>Feedback-Directed Random Test Generation/Result_Round2/Math_3/result.json</x:v>
      </x:c>
      <x:c r="P1542"/>
      <x:c r="Q1542" s="21" t="str"/>
      <x:c r="R1542" s="21" t="str"/>
      <x:c r="S1542" s="21" t="str"/>
      <x:c r="T1542" s="17" t="str">
        <x:v>false</x:v>
      </x:c>
      <x:c r="U1542" s="17" t="str">
        <x:v>true</x:v>
      </x:c>
      <x:c r="V1542" s="17" t="str">
        <x:v>false</x:v>
      </x:c>
    </x:row>
    <x:row r="1543" ht="80" customHeight="1">
      <x:c r="A1543" s="25" t="str">
        <x:v>Math</x:v>
      </x:c>
      <x:c r="B1543" s="25" t="n">
        <x:v>4</x:v>
      </x:c>
      <x:c r="C1543" s="25" t="str">
        <x:v>Round2</x:v>
      </x:c>
      <x:c r="D1543" s="25" t="str">
        <x:v>NOT_REVEALING</x:v>
      </x:c>
      <x:c r="E1543" s="25" t="str">
        <x:v>N/A</x:v>
      </x:c>
      <x:c r="F1543" s="26" t="str">
        <x:v>Same saved validation suite passed on buggy and fixed</x:v>
      </x:c>
      <x:c r="G1543" s="25" t="str">
        <x:v>true</x:v>
      </x:c>
      <x:c r="H1543" s="25" t="str">
        <x:v>NOT_REVEALING</x:v>
      </x:c>
      <x:c r="I1543" s="25" t="str">
        <x:v>PASS</x:v>
      </x:c>
      <x:c r="J1543" s="25" t="str">
        <x:v>PASS</x:v>
      </x:c>
      <x:c r="K1543" s="25" t="n">
        <x:v>7</x:v>
      </x:c>
      <x:c r="L1543" s="27" t="b">
        <x:v>0</x:v>
      </x:c>
      <x:c r="M1543" s="25" t="str">
        <x:v>Feedback-Directed Random Test Generation/rounds/Round2/state/Math.json</x:v>
      </x:c>
      <x:c r="N1543" s="25" t="str">
        <x:v>Feedback-Directed Random Test Generation/Result_Round2/Math_4/result.json</x:v>
      </x:c>
      <x:c r="O1543" s="25" t="str">
        <x:v>Feedback-Directed Random Test Generation/Result_Round2/Math_4/result.json</x:v>
      </x:c>
      <x:c r="P1543"/>
      <x:c r="Q1543" s="21" t="str"/>
      <x:c r="R1543" s="21" t="str"/>
      <x:c r="S1543" s="21" t="str"/>
      <x:c r="T1543" s="17" t="str">
        <x:v>false</x:v>
      </x:c>
      <x:c r="U1543" s="17" t="str">
        <x:v>true</x:v>
      </x:c>
      <x:c r="V1543" s="17" t="str">
        <x:v>false</x:v>
      </x:c>
    </x:row>
    <x:row r="1544" ht="80" customHeight="1">
      <x:c r="A1544" s="25" t="str">
        <x:v>Math</x:v>
      </x:c>
      <x:c r="B1544" s="25" t="n">
        <x:v>5</x:v>
      </x:c>
      <x:c r="C1544" s="25" t="str">
        <x:v>Round2</x:v>
      </x:c>
      <x:c r="D1544" s="25" t="str">
        <x:v>INCONCLUSIVE</x:v>
      </x:c>
      <x:c r="E1544" s="25" t="str">
        <x:v>N/A</x:v>
      </x:c>
      <x:c r="F1544" s="26" t="str">
        <x:v>Fixed also failed; assertion failure cannot be attributed to this bug; Assertions failed with measured coverage; paired execution and stage checks determine status</x:v>
      </x:c>
      <x:c r="G1544" s="25" t="str">
        <x:v>true</x:v>
      </x:c>
      <x:c r="H1544" s="25" t="str">
        <x:v>INCONCLUSIVE</x:v>
      </x:c>
      <x:c r="I1544" s="25" t="str">
        <x:v>FAIL</x:v>
      </x:c>
      <x:c r="J1544" s="25" t="str">
        <x:v>FAIL</x:v>
      </x:c>
      <x:c r="K1544" s="25" t="n">
        <x:v>10</x:v>
      </x:c>
      <x:c r="L1544" s="27" t="b">
        <x:v>0</x:v>
      </x:c>
      <x:c r="M1544" s="25" t="str">
        <x:v>Feedback-Directed Random Test Generation/rounds/Round2/state/Math.json</x:v>
      </x:c>
      <x:c r="N1544" s="25" t="str">
        <x:v>Feedback-Directed Random Test Generation/Result_Round2/Math_5/result.json</x:v>
      </x:c>
      <x:c r="O1544" s="25" t="str">
        <x:v>Feedback-Directed Random Test Generation/Result_Round2/Math_5/result.json</x:v>
      </x:c>
      <x:c r="P1544"/>
      <x:c r="Q1544" s="21" t="str"/>
      <x:c r="R1544" s="21" t="str"/>
      <x:c r="S1544" s="21" t="str"/>
      <x:c r="T1544" s="17" t="str">
        <x:v>false</x:v>
      </x:c>
      <x:c r="U1544" s="17" t="str">
        <x:v>true</x:v>
      </x:c>
      <x:c r="V1544" s="17" t="str">
        <x:v>false</x:v>
      </x:c>
    </x:row>
    <x:row r="1545" ht="80" customHeight="1">
      <x:c r="A1545" s="25" t="str">
        <x:v>Math</x:v>
      </x:c>
      <x:c r="B1545" s="25" t="n">
        <x:v>6</x:v>
      </x:c>
      <x:c r="C1545" s="25" t="str">
        <x:v>Round2</x:v>
      </x:c>
      <x:c r="D1545" s="25" t="str">
        <x:v>INCONCLUSIVE</x:v>
      </x:c>
      <x:c r="E1545" s="25" t="str">
        <x:v>N/A</x:v>
      </x:c>
      <x:c r="F1545" s="26" t="str">
        <x:v>Fixed also failed; assertion failure cannot be attributed to this bug; Assertions failed with measured coverage; paired execution and stage checks determine status</x:v>
      </x:c>
      <x:c r="G1545" s="25" t="str">
        <x:v>true</x:v>
      </x:c>
      <x:c r="H1545" s="25" t="str">
        <x:v>INCONCLUSIVE</x:v>
      </x:c>
      <x:c r="I1545" s="25" t="str">
        <x:v>FAIL</x:v>
      </x:c>
      <x:c r="J1545" s="25" t="str">
        <x:v>FAIL</x:v>
      </x:c>
      <x:c r="K1545" s="25" t="n">
        <x:v>11</x:v>
      </x:c>
      <x:c r="L1545" s="27" t="b">
        <x:v>0</x:v>
      </x:c>
      <x:c r="M1545" s="25" t="str">
        <x:v>Feedback-Directed Random Test Generation/rounds/Round2/state/Math.json</x:v>
      </x:c>
      <x:c r="N1545" s="25" t="str">
        <x:v>Feedback-Directed Random Test Generation/Result_Round2/Math_6/result.json</x:v>
      </x:c>
      <x:c r="O1545" s="25" t="str">
        <x:v>Feedback-Directed Random Test Generation/Result_Round2/Math_6/result.json</x:v>
      </x:c>
      <x:c r="P1545"/>
      <x:c r="Q1545" s="21" t="str"/>
      <x:c r="R1545" s="21" t="str"/>
      <x:c r="S1545" s="21" t="str"/>
      <x:c r="T1545" s="17" t="str">
        <x:v>false</x:v>
      </x:c>
      <x:c r="U1545" s="17" t="str">
        <x:v>true</x:v>
      </x:c>
      <x:c r="V1545" s="17" t="str">
        <x:v>false</x:v>
      </x:c>
    </x:row>
    <x:row r="1546" ht="80" customHeight="1">
      <x:c r="A1546" s="25" t="str">
        <x:v>Math</x:v>
      </x:c>
      <x:c r="B1546" s="25" t="n">
        <x:v>7</x:v>
      </x:c>
      <x:c r="C1546" s="25" t="str">
        <x:v>Round2</x:v>
      </x:c>
      <x:c r="D1546" s="25" t="str">
        <x:v>NOT_REVEALING</x:v>
      </x:c>
      <x:c r="E1546" s="25" t="str">
        <x:v>N/A</x:v>
      </x:c>
      <x:c r="F1546" s="26" t="str">
        <x:v>Same saved validation suite passed on buggy and fixed</x:v>
      </x:c>
      <x:c r="G1546" s="25" t="str">
        <x:v>true</x:v>
      </x:c>
      <x:c r="H1546" s="25" t="str">
        <x:v>NOT_REVEALING</x:v>
      </x:c>
      <x:c r="I1546" s="25" t="str">
        <x:v>PASS</x:v>
      </x:c>
      <x:c r="J1546" s="25" t="str">
        <x:v>PASS</x:v>
      </x:c>
      <x:c r="K1546" s="25" t="n">
        <x:v>2</x:v>
      </x:c>
      <x:c r="L1546" s="27" t="b">
        <x:v>0</x:v>
      </x:c>
      <x:c r="M1546" s="25" t="str">
        <x:v>Feedback-Directed Random Test Generation/rounds/Round2/state/Math.json</x:v>
      </x:c>
      <x:c r="N1546" s="25" t="str">
        <x:v>Feedback-Directed Random Test Generation/Result_Round2/Math_7/result.json</x:v>
      </x:c>
      <x:c r="O1546" s="25" t="str">
        <x:v>Feedback-Directed Random Test Generation/Result_Round2/Math_7/result.json</x:v>
      </x:c>
      <x:c r="P1546"/>
      <x:c r="Q1546" s="21" t="str"/>
      <x:c r="R1546" s="21" t="str"/>
      <x:c r="S1546" s="21" t="str"/>
      <x:c r="T1546" s="17" t="str">
        <x:v>false</x:v>
      </x:c>
      <x:c r="U1546" s="17" t="str">
        <x:v>true</x:v>
      </x:c>
      <x:c r="V1546" s="17" t="str">
        <x:v>false</x:v>
      </x:c>
    </x:row>
    <x:row r="1547" ht="80" customHeight="1">
      <x:c r="A1547" s="25" t="str">
        <x:v>Math</x:v>
      </x:c>
      <x:c r="B1547" s="25" t="n">
        <x:v>8</x:v>
      </x:c>
      <x:c r="C1547" s="25" t="str">
        <x:v>Round2</x:v>
      </x:c>
      <x:c r="D1547" s="25" t="str">
        <x:v>NOT_REVEALING</x:v>
      </x:c>
      <x:c r="E1547" s="25" t="str">
        <x:v>N/A</x:v>
      </x:c>
      <x:c r="F1547" s="26" t="str">
        <x:v>Same saved validation suite passed on buggy and fixed</x:v>
      </x:c>
      <x:c r="G1547" s="25" t="str">
        <x:v>true</x:v>
      </x:c>
      <x:c r="H1547" s="25" t="str">
        <x:v>NOT_REVEALING</x:v>
      </x:c>
      <x:c r="I1547" s="25" t="str">
        <x:v>PASS</x:v>
      </x:c>
      <x:c r="J1547" s="25" t="str">
        <x:v>PASS</x:v>
      </x:c>
      <x:c r="K1547" s="25" t="n">
        <x:v>2</x:v>
      </x:c>
      <x:c r="L1547" s="27" t="b">
        <x:v>0</x:v>
      </x:c>
      <x:c r="M1547" s="25" t="str">
        <x:v>Feedback-Directed Random Test Generation/rounds/Round2/state/Math.json</x:v>
      </x:c>
      <x:c r="N1547" s="25" t="str">
        <x:v>Feedback-Directed Random Test Generation/Result_Round2/Math_8/result.json</x:v>
      </x:c>
      <x:c r="O1547" s="25" t="str">
        <x:v>Feedback-Directed Random Test Generation/Result_Round2/Math_8/result.json</x:v>
      </x:c>
      <x:c r="P1547"/>
      <x:c r="Q1547" s="21" t="str"/>
      <x:c r="R1547" s="21" t="str"/>
      <x:c r="S1547" s="21" t="str"/>
      <x:c r="T1547" s="17" t="str">
        <x:v>false</x:v>
      </x:c>
      <x:c r="U1547" s="17" t="str">
        <x:v>true</x:v>
      </x:c>
      <x:c r="V1547" s="17" t="str">
        <x:v>false</x:v>
      </x:c>
    </x:row>
    <x:row r="1548" ht="80" customHeight="1">
      <x:c r="A1548" s="25" t="str">
        <x:v>Math</x:v>
      </x:c>
      <x:c r="B1548" s="25" t="n">
        <x:v>9</x:v>
      </x:c>
      <x:c r="C1548" s="25" t="str">
        <x:v>Round2</x:v>
      </x:c>
      <x:c r="D1548" s="25" t="str">
        <x:v>NOT_REVEALING</x:v>
      </x:c>
      <x:c r="E1548" s="25" t="str">
        <x:v>N/A</x:v>
      </x:c>
      <x:c r="F1548" s="26" t="str">
        <x:v>Same saved validation suite passed on buggy and fixed</x:v>
      </x:c>
      <x:c r="G1548" s="25" t="str">
        <x:v>true</x:v>
      </x:c>
      <x:c r="H1548" s="25" t="str">
        <x:v>NOT_REVEALING</x:v>
      </x:c>
      <x:c r="I1548" s="25" t="str">
        <x:v>PASS</x:v>
      </x:c>
      <x:c r="J1548" s="25" t="str">
        <x:v>PASS</x:v>
      </x:c>
      <x:c r="K1548" s="25" t="n">
        <x:v>2</x:v>
      </x:c>
      <x:c r="L1548" s="27" t="b">
        <x:v>0</x:v>
      </x:c>
      <x:c r="M1548" s="25" t="str">
        <x:v>Feedback-Directed Random Test Generation/rounds/Round2/state/Math.json</x:v>
      </x:c>
      <x:c r="N1548" s="25" t="str">
        <x:v>Feedback-Directed Random Test Generation/Result_Round2/Math_9/result.json</x:v>
      </x:c>
      <x:c r="O1548" s="25" t="str">
        <x:v>Feedback-Directed Random Test Generation/Result_Round2/Math_9/result.json</x:v>
      </x:c>
      <x:c r="P1548"/>
      <x:c r="Q1548" s="21" t="str"/>
      <x:c r="R1548" s="21" t="str"/>
      <x:c r="S1548" s="21" t="str"/>
      <x:c r="T1548" s="17" t="str">
        <x:v>false</x:v>
      </x:c>
      <x:c r="U1548" s="17" t="str">
        <x:v>true</x:v>
      </x:c>
      <x:c r="V1548" s="17" t="str">
        <x:v>false</x:v>
      </x:c>
    </x:row>
    <x:row r="1549" ht="80" customHeight="1">
      <x:c r="A1549" s="25" t="str">
        <x:v>Math</x:v>
      </x:c>
      <x:c r="B1549" s="25" t="n">
        <x:v>10</x:v>
      </x:c>
      <x:c r="C1549" s="25" t="str">
        <x:v>Round2</x:v>
      </x:c>
      <x:c r="D1549" s="25" t="str">
        <x:v>NOT_REVEALING</x:v>
      </x:c>
      <x:c r="E1549" s="25" t="str">
        <x:v>N/A</x:v>
      </x:c>
      <x:c r="F1549" s="26" t="str">
        <x:v>Same saved validation suite passed on buggy and fixed</x:v>
      </x:c>
      <x:c r="G1549" s="25" t="str">
        <x:v>true</x:v>
      </x:c>
      <x:c r="H1549" s="25" t="str">
        <x:v>NOT_REVEALING</x:v>
      </x:c>
      <x:c r="I1549" s="25" t="str">
        <x:v>PASS</x:v>
      </x:c>
      <x:c r="J1549" s="25" t="str">
        <x:v>PASS</x:v>
      </x:c>
      <x:c r="K1549" s="25" t="n">
        <x:v>2</x:v>
      </x:c>
      <x:c r="L1549" s="27" t="b">
        <x:v>0</x:v>
      </x:c>
      <x:c r="M1549" s="25" t="str">
        <x:v>Feedback-Directed Random Test Generation/rounds/Round2/state/Math.json</x:v>
      </x:c>
      <x:c r="N1549" s="25" t="str">
        <x:v>Feedback-Directed Random Test Generation/Result_Round2/Math_10/result.json</x:v>
      </x:c>
      <x:c r="O1549" s="25" t="str">
        <x:v>Feedback-Directed Random Test Generation/Result_Round2/Math_10/result.json</x:v>
      </x:c>
      <x:c r="P1549"/>
      <x:c r="Q1549" s="21" t="str"/>
      <x:c r="R1549" s="21" t="str"/>
      <x:c r="S1549" s="21" t="str"/>
      <x:c r="T1549" s="17" t="str">
        <x:v>false</x:v>
      </x:c>
      <x:c r="U1549" s="17" t="str">
        <x:v>true</x:v>
      </x:c>
      <x:c r="V1549" s="17" t="str">
        <x:v>false</x:v>
      </x:c>
    </x:row>
    <x:row r="1550" ht="80" customHeight="1">
      <x:c r="A1550" s="25" t="str">
        <x:v>Math</x:v>
      </x:c>
      <x:c r="B1550" s="25" t="n">
        <x:v>11</x:v>
      </x:c>
      <x:c r="C1550" s="25" t="str">
        <x:v>Round2</x:v>
      </x:c>
      <x:c r="D1550" s="25" t="str">
        <x:v>INCONCLUSIVE</x:v>
      </x:c>
      <x:c r="E1550" s="25" t="str">
        <x:v>N/A</x:v>
      </x:c>
      <x:c r="F1550" s="26" t="str">
        <x:v>Fixed also failed; assertion failure cannot be attributed to this bug</x:v>
      </x:c>
      <x:c r="G1550" s="25" t="str">
        <x:v>true</x:v>
      </x:c>
      <x:c r="H1550" s="25" t="str">
        <x:v>INCONCLUSIVE</x:v>
      </x:c>
      <x:c r="I1550" s="25" t="str">
        <x:v>PASS</x:v>
      </x:c>
      <x:c r="J1550" s="25" t="str">
        <x:v>FAIL</x:v>
      </x:c>
      <x:c r="K1550" s="25" t="n">
        <x:v>5</x:v>
      </x:c>
      <x:c r="L1550" s="27" t="b">
        <x:v>0</x:v>
      </x:c>
      <x:c r="M1550" s="25" t="str">
        <x:v>Feedback-Directed Random Test Generation/rounds/Round2/state/Math.json</x:v>
      </x:c>
      <x:c r="N1550" s="25" t="str">
        <x:v>Feedback-Directed Random Test Generation/Result_Round2/Math_11/result.json</x:v>
      </x:c>
      <x:c r="O1550" s="25" t="str">
        <x:v>Feedback-Directed Random Test Generation/Result_Round2/Math_11/result.json</x:v>
      </x:c>
      <x:c r="P1550"/>
      <x:c r="Q1550" s="21" t="str"/>
      <x:c r="R1550" s="21" t="str"/>
      <x:c r="S1550" s="21" t="str"/>
      <x:c r="T1550" s="17" t="str">
        <x:v>false</x:v>
      </x:c>
      <x:c r="U1550" s="17" t="str">
        <x:v>true</x:v>
      </x:c>
      <x:c r="V1550" s="17" t="str">
        <x:v>false</x:v>
      </x:c>
    </x:row>
    <x:row r="1551" ht="80" customHeight="1">
      <x:c r="A1551" s="25" t="str">
        <x:v>Math</x:v>
      </x:c>
      <x:c r="B1551" s="25" t="n">
        <x:v>12</x:v>
      </x:c>
      <x:c r="C1551" s="25" t="str">
        <x:v>Round2</x:v>
      </x:c>
      <x:c r="D1551" s="25" t="str">
        <x:v>NOT_REVEALING</x:v>
      </x:c>
      <x:c r="E1551" s="25" t="str">
        <x:v>N/A</x:v>
      </x:c>
      <x:c r="F1551" s="26" t="str">
        <x:v>Same saved validation suite passed on buggy and fixed</x:v>
      </x:c>
      <x:c r="G1551" s="25" t="str">
        <x:v>true</x:v>
      </x:c>
      <x:c r="H1551" s="25" t="str">
        <x:v>NOT_REVEALING</x:v>
      </x:c>
      <x:c r="I1551" s="25" t="str">
        <x:v>PASS</x:v>
      </x:c>
      <x:c r="J1551" s="25" t="str">
        <x:v>PASS</x:v>
      </x:c>
      <x:c r="K1551" s="25" t="n">
        <x:v>2</x:v>
      </x:c>
      <x:c r="L1551" s="27" t="b">
        <x:v>0</x:v>
      </x:c>
      <x:c r="M1551" s="25" t="str">
        <x:v>Feedback-Directed Random Test Generation/rounds/Round2/state/Math.json</x:v>
      </x:c>
      <x:c r="N1551" s="25" t="str">
        <x:v>Feedback-Directed Random Test Generation/Result_Round2/Math_12/result.json</x:v>
      </x:c>
      <x:c r="O1551" s="25" t="str">
        <x:v>Feedback-Directed Random Test Generation/Result_Round2/Math_12/result.json</x:v>
      </x:c>
      <x:c r="P1551"/>
      <x:c r="Q1551" s="21" t="str"/>
      <x:c r="R1551" s="21" t="str"/>
      <x:c r="S1551" s="21" t="str"/>
      <x:c r="T1551" s="17" t="str">
        <x:v>false</x:v>
      </x:c>
      <x:c r="U1551" s="17" t="str">
        <x:v>true</x:v>
      </x:c>
      <x:c r="V1551" s="17" t="str">
        <x:v>false</x:v>
      </x:c>
    </x:row>
    <x:row r="1552" ht="80" customHeight="1">
      <x:c r="A1552" s="25" t="str">
        <x:v>Math</x:v>
      </x:c>
      <x:c r="B1552" s="25" t="n">
        <x:v>13</x:v>
      </x:c>
      <x:c r="C1552" s="25" t="str">
        <x:v>Round2</x:v>
      </x:c>
      <x:c r="D1552" s="25" t="str">
        <x:v>NOT_REVEALING</x:v>
      </x:c>
      <x:c r="E1552" s="25" t="str">
        <x:v>N/A</x:v>
      </x:c>
      <x:c r="F1552" s="26" t="str">
        <x:v>Same saved validation suite passed on buggy and fixed</x:v>
      </x:c>
      <x:c r="G1552" s="25" t="str">
        <x:v>true</x:v>
      </x:c>
      <x:c r="H1552" s="25" t="str">
        <x:v>NOT_REVEALING</x:v>
      </x:c>
      <x:c r="I1552" s="25" t="str">
        <x:v>PASS</x:v>
      </x:c>
      <x:c r="J1552" s="25" t="str">
        <x:v>PASS</x:v>
      </x:c>
      <x:c r="K1552" s="25" t="n">
        <x:v>2</x:v>
      </x:c>
      <x:c r="L1552" s="27" t="b">
        <x:v>0</x:v>
      </x:c>
      <x:c r="M1552" s="25" t="str">
        <x:v>Feedback-Directed Random Test Generation/rounds/Round2/state/Math.json</x:v>
      </x:c>
      <x:c r="N1552" s="25" t="str">
        <x:v>Feedback-Directed Random Test Generation/Result_Round2/Math_13/result.json</x:v>
      </x:c>
      <x:c r="O1552" s="25" t="str">
        <x:v>Feedback-Directed Random Test Generation/Result_Round2/Math_13/result.json</x:v>
      </x:c>
      <x:c r="P1552"/>
      <x:c r="Q1552" s="21" t="str"/>
      <x:c r="R1552" s="21" t="str"/>
      <x:c r="S1552" s="21" t="str"/>
      <x:c r="T1552" s="17" t="str">
        <x:v>false</x:v>
      </x:c>
      <x:c r="U1552" s="17" t="str">
        <x:v>true</x:v>
      </x:c>
      <x:c r="V1552" s="17" t="str">
        <x:v>false</x:v>
      </x:c>
    </x:row>
    <x:row r="1553" ht="80" customHeight="1">
      <x:c r="A1553" s="25" t="str">
        <x:v>Math</x:v>
      </x:c>
      <x:c r="B1553" s="25" t="n">
        <x:v>14</x:v>
      </x:c>
      <x:c r="C1553" s="25" t="str">
        <x:v>Round2</x:v>
      </x:c>
      <x:c r="D1553" s="25" t="str">
        <x:v>INCONCLUSIVE</x:v>
      </x:c>
      <x:c r="E1553" s="25" t="str">
        <x:v>N/A</x:v>
      </x:c>
      <x:c r="F1553" s="26" t="str">
        <x:v>Fixed also failed; assertion failure cannot be attributed to this bug</x:v>
      </x:c>
      <x:c r="G1553" s="25" t="str">
        <x:v>true</x:v>
      </x:c>
      <x:c r="H1553" s="25" t="str">
        <x:v>INCONCLUSIVE</x:v>
      </x:c>
      <x:c r="I1553" s="25" t="str">
        <x:v>PASS</x:v>
      </x:c>
      <x:c r="J1553" s="25" t="str">
        <x:v>FAIL</x:v>
      </x:c>
      <x:c r="K1553" s="25" t="n">
        <x:v>6</x:v>
      </x:c>
      <x:c r="L1553" s="27" t="b">
        <x:v>0</x:v>
      </x:c>
      <x:c r="M1553" s="25" t="str">
        <x:v>Feedback-Directed Random Test Generation/rounds/Round2/state/Math.json</x:v>
      </x:c>
      <x:c r="N1553" s="25" t="str">
        <x:v>Feedback-Directed Random Test Generation/Result_Round2/Math_14/result.json</x:v>
      </x:c>
      <x:c r="O1553" s="25" t="str">
        <x:v>Feedback-Directed Random Test Generation/Result_Round2/Math_14/result.json</x:v>
      </x:c>
      <x:c r="P1553"/>
      <x:c r="Q1553" s="21" t="str"/>
      <x:c r="R1553" s="21" t="str"/>
      <x:c r="S1553" s="21" t="str"/>
      <x:c r="T1553" s="17" t="str">
        <x:v>false</x:v>
      </x:c>
      <x:c r="U1553" s="17" t="str">
        <x:v>true</x:v>
      </x:c>
      <x:c r="V1553" s="17" t="str">
        <x:v>false</x:v>
      </x:c>
    </x:row>
    <x:row r="1554" ht="80" customHeight="1">
      <x:c r="A1554" s="25" t="str">
        <x:v>Math</x:v>
      </x:c>
      <x:c r="B1554" s="25" t="n">
        <x:v>15</x:v>
      </x:c>
      <x:c r="C1554" s="25" t="str">
        <x:v>Round2</x:v>
      </x:c>
      <x:c r="D1554" s="25" t="str">
        <x:v>FAIL</x:v>
      </x:c>
      <x:c r="E1554" s="25" t="str">
        <x:v>N/A</x:v>
      </x:c>
      <x:c r="F1554" s="26" t="str">
        <x:v>Latest same-round generation failed; older files/results are excluded</x:v>
      </x:c>
      <x:c r="G1554" s="25" t="str">
        <x:v>true</x:v>
      </x:c>
      <x:c r="H1554" s="25" t="str">
        <x:v>FAIL</x:v>
      </x:c>
      <x:c r="I1554" s="25"/>
      <x:c r="J1554" s="25"/>
      <x:c r="K1554" s="25" t="n">
        <x:v>0</x:v>
      </x:c>
      <x:c r="L1554" s="27" t="b">
        <x:v>1</x:v>
      </x:c>
      <x:c r="M1554" s="25" t="str">
        <x:v>Feedback-Directed Random Test Generation/rounds/Round2/state/Math.json</x:v>
      </x:c>
      <x:c r="N1554" s="25"/>
      <x:c r="O1554" s="25" t="str">
        <x:v>Feedback-Directed Random Test Generation/Result_Round2/Math_15/result.json</x:v>
      </x:c>
      <x:c r="P1554"/>
      <x:c r="Q1554" s="21" t="str"/>
      <x:c r="R1554" s="21" t="str"/>
      <x:c r="S1554" s="21" t="str"/>
      <x:c r="T1554" s="17" t="str">
        <x:v>false</x:v>
      </x:c>
      <x:c r="U1554" s="17" t="str">
        <x:v>false</x:v>
      </x:c>
      <x:c r="V1554" s="17" t="str">
        <x:v>false</x:v>
      </x:c>
    </x:row>
    <x:row r="1555" ht="80" customHeight="1">
      <x:c r="A1555" s="25" t="str">
        <x:v>Math</x:v>
      </x:c>
      <x:c r="B1555" s="25" t="n">
        <x:v>16</x:v>
      </x:c>
      <x:c r="C1555" s="25" t="str">
        <x:v>Round2</x:v>
      </x:c>
      <x:c r="D1555" s="25" t="str">
        <x:v>NOT_REVEALING</x:v>
      </x:c>
      <x:c r="E1555" s="25" t="str">
        <x:v>N/A</x:v>
      </x:c>
      <x:c r="F1555" s="26" t="str">
        <x:v>Same saved validation suite passed on buggy and fixed</x:v>
      </x:c>
      <x:c r="G1555" s="25" t="str">
        <x:v>true</x:v>
      </x:c>
      <x:c r="H1555" s="25" t="str">
        <x:v>NOT_REVEALING</x:v>
      </x:c>
      <x:c r="I1555" s="25" t="str">
        <x:v>PASS</x:v>
      </x:c>
      <x:c r="J1555" s="25" t="str">
        <x:v>PASS</x:v>
      </x:c>
      <x:c r="K1555" s="25" t="n">
        <x:v>25</x:v>
      </x:c>
      <x:c r="L1555" s="27" t="b">
        <x:v>0</x:v>
      </x:c>
      <x:c r="M1555" s="25" t="str">
        <x:v>Feedback-Directed Random Test Generation/rounds/Round2/state/Math.json</x:v>
      </x:c>
      <x:c r="N1555" s="25" t="str">
        <x:v>Feedback-Directed Random Test Generation/Result_Round2/Math_16/result.json</x:v>
      </x:c>
      <x:c r="O1555" s="25" t="str">
        <x:v>Feedback-Directed Random Test Generation/Result_Round2/Math_16/result.json</x:v>
      </x:c>
      <x:c r="P1555"/>
      <x:c r="Q1555" s="21" t="str"/>
      <x:c r="R1555" s="21" t="str"/>
      <x:c r="S1555" s="21" t="str"/>
      <x:c r="T1555" s="17" t="str">
        <x:v>false</x:v>
      </x:c>
      <x:c r="U1555" s="17" t="str">
        <x:v>true</x:v>
      </x:c>
      <x:c r="V1555" s="17" t="str">
        <x:v>false</x:v>
      </x:c>
    </x:row>
    <x:row r="1556" ht="80" customHeight="1">
      <x:c r="A1556" s="25" t="str">
        <x:v>Math</x:v>
      </x:c>
      <x:c r="B1556" s="25" t="n">
        <x:v>17</x:v>
      </x:c>
      <x:c r="C1556" s="25" t="str">
        <x:v>Round2</x:v>
      </x:c>
      <x:c r="D1556" s="25" t="str">
        <x:v>NOT_REVEALING</x:v>
      </x:c>
      <x:c r="E1556" s="25" t="str">
        <x:v>N/A</x:v>
      </x:c>
      <x:c r="F1556" s="26" t="str">
        <x:v>Same saved validation suite passed on buggy and fixed</x:v>
      </x:c>
      <x:c r="G1556" s="25" t="str">
        <x:v>true</x:v>
      </x:c>
      <x:c r="H1556" s="25" t="str">
        <x:v>NOT_REVEALING</x:v>
      </x:c>
      <x:c r="I1556" s="25" t="str">
        <x:v>PASS</x:v>
      </x:c>
      <x:c r="J1556" s="25" t="str">
        <x:v>PASS</x:v>
      </x:c>
      <x:c r="K1556" s="25" t="n">
        <x:v>2</x:v>
      </x:c>
      <x:c r="L1556" s="27" t="b">
        <x:v>0</x:v>
      </x:c>
      <x:c r="M1556" s="25" t="str">
        <x:v>Feedback-Directed Random Test Generation/rounds/Round2/state/Math.json</x:v>
      </x:c>
      <x:c r="N1556" s="25" t="str">
        <x:v>Feedback-Directed Random Test Generation/Result_Round2/Math_17/result.json</x:v>
      </x:c>
      <x:c r="O1556" s="25" t="str">
        <x:v>Feedback-Directed Random Test Generation/Result_Round2/Math_17/result.json</x:v>
      </x:c>
      <x:c r="P1556"/>
      <x:c r="Q1556" s="21" t="str"/>
      <x:c r="R1556" s="21" t="str"/>
      <x:c r="S1556" s="21" t="str"/>
      <x:c r="T1556" s="17" t="str">
        <x:v>false</x:v>
      </x:c>
      <x:c r="U1556" s="17" t="str">
        <x:v>true</x:v>
      </x:c>
      <x:c r="V1556" s="17" t="str">
        <x:v>false</x:v>
      </x:c>
    </x:row>
    <x:row r="1557" ht="80" customHeight="1">
      <x:c r="A1557" s="25" t="str">
        <x:v>Math</x:v>
      </x:c>
      <x:c r="B1557" s="25" t="n">
        <x:v>18</x:v>
      </x:c>
      <x:c r="C1557" s="25" t="str">
        <x:v>Round2</x:v>
      </x:c>
      <x:c r="D1557" s="25" t="str">
        <x:v>INCONCLUSIVE</x:v>
      </x:c>
      <x:c r="E1557" s="25" t="str">
        <x:v>N/A</x:v>
      </x:c>
      <x:c r="F1557" s="26" t="str">
        <x:v>Fixed also failed; assertion failure cannot be attributed to this bug; Assertions failed with measured coverage; paired execution and stage checks determine status</x:v>
      </x:c>
      <x:c r="G1557" s="25" t="str">
        <x:v>true</x:v>
      </x:c>
      <x:c r="H1557" s="25" t="str">
        <x:v>INCONCLUSIVE</x:v>
      </x:c>
      <x:c r="I1557" s="25" t="str">
        <x:v>FAIL</x:v>
      </x:c>
      <x:c r="J1557" s="25" t="str">
        <x:v>FAIL</x:v>
      </x:c>
      <x:c r="K1557" s="25" t="n">
        <x:v>13</x:v>
      </x:c>
      <x:c r="L1557" s="27" t="b">
        <x:v>0</x:v>
      </x:c>
      <x:c r="M1557" s="25" t="str">
        <x:v>Feedback-Directed Random Test Generation/rounds/Round2/state/Math.json</x:v>
      </x:c>
      <x:c r="N1557" s="25" t="str">
        <x:v>Feedback-Directed Random Test Generation/Result_Round2/Math_18/result.json</x:v>
      </x:c>
      <x:c r="O1557" s="25" t="str">
        <x:v>Feedback-Directed Random Test Generation/Result_Round2/Math_18/result.json</x:v>
      </x:c>
      <x:c r="P1557"/>
      <x:c r="Q1557" s="21" t="str"/>
      <x:c r="R1557" s="21" t="str"/>
      <x:c r="S1557" s="21" t="str"/>
      <x:c r="T1557" s="17" t="str">
        <x:v>false</x:v>
      </x:c>
      <x:c r="U1557" s="17" t="str">
        <x:v>true</x:v>
      </x:c>
      <x:c r="V1557" s="17" t="str">
        <x:v>false</x:v>
      </x:c>
    </x:row>
    <x:row r="1558" ht="80" customHeight="1">
      <x:c r="A1558" s="25" t="str">
        <x:v>Math</x:v>
      </x:c>
      <x:c r="B1558" s="25" t="n">
        <x:v>19</x:v>
      </x:c>
      <x:c r="C1558" s="25" t="str">
        <x:v>Round2</x:v>
      </x:c>
      <x:c r="D1558" s="25" t="str">
        <x:v>INCONCLUSIVE</x:v>
      </x:c>
      <x:c r="E1558" s="25" t="str">
        <x:v>N/A</x:v>
      </x:c>
      <x:c r="F1558" s="26" t="str">
        <x:v>Fixed also failed; assertion failure cannot be attributed to this bug; Assertions failed with measured coverage; paired execution and stage checks determine status</x:v>
      </x:c>
      <x:c r="G1558" s="25" t="str">
        <x:v>true</x:v>
      </x:c>
      <x:c r="H1558" s="25" t="str">
        <x:v>INCONCLUSIVE</x:v>
      </x:c>
      <x:c r="I1558" s="25" t="str">
        <x:v>FAIL</x:v>
      </x:c>
      <x:c r="J1558" s="25" t="str">
        <x:v>FAIL</x:v>
      </x:c>
      <x:c r="K1558" s="25" t="n">
        <x:v>13</x:v>
      </x:c>
      <x:c r="L1558" s="27" t="b">
        <x:v>0</x:v>
      </x:c>
      <x:c r="M1558" s="25" t="str">
        <x:v>Feedback-Directed Random Test Generation/rounds/Round2/state/Math.json</x:v>
      </x:c>
      <x:c r="N1558" s="25" t="str">
        <x:v>Feedback-Directed Random Test Generation/Result_Round2/Math_19/result.json</x:v>
      </x:c>
      <x:c r="O1558" s="25" t="str">
        <x:v>Feedback-Directed Random Test Generation/Result_Round2/Math_19/result.json</x:v>
      </x:c>
      <x:c r="P1558"/>
      <x:c r="Q1558" s="21" t="str"/>
      <x:c r="R1558" s="21" t="str"/>
      <x:c r="S1558" s="21" t="str"/>
      <x:c r="T1558" s="17" t="str">
        <x:v>false</x:v>
      </x:c>
      <x:c r="U1558" s="17" t="str">
        <x:v>true</x:v>
      </x:c>
      <x:c r="V1558" s="17" t="str">
        <x:v>false</x:v>
      </x:c>
    </x:row>
    <x:row r="1559" ht="80" customHeight="1">
      <x:c r="A1559" s="25" t="str">
        <x:v>Math</x:v>
      </x:c>
      <x:c r="B1559" s="25" t="n">
        <x:v>20</x:v>
      </x:c>
      <x:c r="C1559" s="25" t="str">
        <x:v>Round2</x:v>
      </x:c>
      <x:c r="D1559" s="25" t="str">
        <x:v>INCONCLUSIVE</x:v>
      </x:c>
      <x:c r="E1559" s="25" t="str">
        <x:v>N/A</x:v>
      </x:c>
      <x:c r="F1559" s="26" t="str">
        <x:v>Fixed also failed; assertion failure cannot be attributed to this bug; Assertions failed with measured coverage; paired execution and stage checks determine status</x:v>
      </x:c>
      <x:c r="G1559" s="25" t="str">
        <x:v>true</x:v>
      </x:c>
      <x:c r="H1559" s="25" t="str">
        <x:v>INCONCLUSIVE</x:v>
      </x:c>
      <x:c r="I1559" s="25" t="str">
        <x:v>FAIL</x:v>
      </x:c>
      <x:c r="J1559" s="25" t="str">
        <x:v>FAIL</x:v>
      </x:c>
      <x:c r="K1559" s="25" t="n">
        <x:v>13</x:v>
      </x:c>
      <x:c r="L1559" s="27" t="b">
        <x:v>0</x:v>
      </x:c>
      <x:c r="M1559" s="25" t="str">
        <x:v>Feedback-Directed Random Test Generation/rounds/Round2/state/Math.json</x:v>
      </x:c>
      <x:c r="N1559" s="25" t="str">
        <x:v>Feedback-Directed Random Test Generation/Result_Round2/Math_20/result.json</x:v>
      </x:c>
      <x:c r="O1559" s="25" t="str">
        <x:v>Feedback-Directed Random Test Generation/Result_Round2/Math_20/result.json</x:v>
      </x:c>
      <x:c r="P1559"/>
      <x:c r="Q1559" s="21" t="str"/>
      <x:c r="R1559" s="21" t="str"/>
      <x:c r="S1559" s="21" t="str"/>
      <x:c r="T1559" s="17" t="str">
        <x:v>false</x:v>
      </x:c>
      <x:c r="U1559" s="17" t="str">
        <x:v>true</x:v>
      </x:c>
      <x:c r="V1559" s="17" t="str">
        <x:v>false</x:v>
      </x:c>
    </x:row>
    <x:row r="1560" ht="80" customHeight="1">
      <x:c r="A1560" s="25" t="str">
        <x:v>Math</x:v>
      </x:c>
      <x:c r="B1560" s="25" t="n">
        <x:v>21</x:v>
      </x:c>
      <x:c r="C1560" s="25" t="str">
        <x:v>Round2</x:v>
      </x:c>
      <x:c r="D1560" s="25" t="str">
        <x:v>NOT_REVEALING</x:v>
      </x:c>
      <x:c r="E1560" s="25" t="str">
        <x:v>N/A</x:v>
      </x:c>
      <x:c r="F1560" s="26" t="str">
        <x:v>Same saved validation suite passed on buggy and fixed</x:v>
      </x:c>
      <x:c r="G1560" s="25" t="str">
        <x:v>true</x:v>
      </x:c>
      <x:c r="H1560" s="25" t="str">
        <x:v>NOT_REVEALING</x:v>
      </x:c>
      <x:c r="I1560" s="25" t="str">
        <x:v>PASS</x:v>
      </x:c>
      <x:c r="J1560" s="25" t="str">
        <x:v>PASS</x:v>
      </x:c>
      <x:c r="K1560" s="25" t="n">
        <x:v>2</x:v>
      </x:c>
      <x:c r="L1560" s="27" t="b">
        <x:v>0</x:v>
      </x:c>
      <x:c r="M1560" s="25" t="str">
        <x:v>Feedback-Directed Random Test Generation/rounds/Round2/state/Math.json</x:v>
      </x:c>
      <x:c r="N1560" s="25" t="str">
        <x:v>Feedback-Directed Random Test Generation/Result_Round2/Math_21/result.json</x:v>
      </x:c>
      <x:c r="O1560" s="25" t="str">
        <x:v>Feedback-Directed Random Test Generation/Result_Round2/Math_21/result.json</x:v>
      </x:c>
      <x:c r="P1560"/>
      <x:c r="Q1560" s="21" t="str"/>
      <x:c r="R1560" s="21" t="str"/>
      <x:c r="S1560" s="21" t="str"/>
      <x:c r="T1560" s="17" t="str">
        <x:v>false</x:v>
      </x:c>
      <x:c r="U1560" s="17" t="str">
        <x:v>true</x:v>
      </x:c>
      <x:c r="V1560" s="17" t="str">
        <x:v>false</x:v>
      </x:c>
    </x:row>
    <x:row r="1561" ht="80" customHeight="1">
      <x:c r="A1561" s="25" t="str">
        <x:v>Math</x:v>
      </x:c>
      <x:c r="B1561" s="25" t="n">
        <x:v>22</x:v>
      </x:c>
      <x:c r="C1561" s="25" t="str">
        <x:v>Round2</x:v>
      </x:c>
      <x:c r="D1561" s="25" t="str">
        <x:v>FAIL</x:v>
      </x:c>
      <x:c r="E1561" s="25" t="str">
        <x:v>N/A</x:v>
      </x:c>
      <x:c r="F1561" s="26" t="str">
        <x:v>Latest same-round generation failed; older files/results are excluded</x:v>
      </x:c>
      <x:c r="G1561" s="25" t="str">
        <x:v>true</x:v>
      </x:c>
      <x:c r="H1561" s="25" t="str">
        <x:v>FAIL</x:v>
      </x:c>
      <x:c r="I1561" s="25"/>
      <x:c r="J1561" s="25"/>
      <x:c r="K1561" s="25" t="n">
        <x:v>0</x:v>
      </x:c>
      <x:c r="L1561" s="27" t="b">
        <x:v>1</x:v>
      </x:c>
      <x:c r="M1561" s="25" t="str">
        <x:v>Feedback-Directed Random Test Generation/rounds/Round2/state/Math.json</x:v>
      </x:c>
      <x:c r="N1561" s="25"/>
      <x:c r="O1561" s="25" t="str">
        <x:v>Feedback-Directed Random Test Generation/Result_Round2/Math_22/result.json</x:v>
      </x:c>
      <x:c r="P1561"/>
      <x:c r="Q1561" s="21" t="str"/>
      <x:c r="R1561" s="21" t="str"/>
      <x:c r="S1561" s="21" t="str"/>
      <x:c r="T1561" s="17" t="str">
        <x:v>false</x:v>
      </x:c>
      <x:c r="U1561" s="17" t="str">
        <x:v>false</x:v>
      </x:c>
      <x:c r="V1561" s="17" t="str">
        <x:v>false</x:v>
      </x:c>
    </x:row>
    <x:row r="1562" ht="80" customHeight="1">
      <x:c r="A1562" s="25" t="str">
        <x:v>Math</x:v>
      </x:c>
      <x:c r="B1562" s="25" t="n">
        <x:v>23</x:v>
      </x:c>
      <x:c r="C1562" s="25" t="str">
        <x:v>Round2</x:v>
      </x:c>
      <x:c r="D1562" s="25" t="str">
        <x:v>NOT_REVEALING</x:v>
      </x:c>
      <x:c r="E1562" s="25" t="str">
        <x:v>N/A</x:v>
      </x:c>
      <x:c r="F1562" s="26" t="str">
        <x:v>Same saved validation suite passed on buggy and fixed</x:v>
      </x:c>
      <x:c r="G1562" s="25" t="str">
        <x:v>true</x:v>
      </x:c>
      <x:c r="H1562" s="25" t="str">
        <x:v>NOT_REVEALING</x:v>
      </x:c>
      <x:c r="I1562" s="25" t="str">
        <x:v>PASS</x:v>
      </x:c>
      <x:c r="J1562" s="25" t="str">
        <x:v>PASS</x:v>
      </x:c>
      <x:c r="K1562" s="25" t="n">
        <x:v>9</x:v>
      </x:c>
      <x:c r="L1562" s="27" t="b">
        <x:v>0</x:v>
      </x:c>
      <x:c r="M1562" s="25" t="str">
        <x:v>Feedback-Directed Random Test Generation/rounds/Round2/state/Math.json</x:v>
      </x:c>
      <x:c r="N1562" s="25" t="str">
        <x:v>Feedback-Directed Random Test Generation/Result_Round2/Math_23/result.json</x:v>
      </x:c>
      <x:c r="O1562" s="25" t="str">
        <x:v>Feedback-Directed Random Test Generation/Result_Round2/Math_23/result.json</x:v>
      </x:c>
      <x:c r="P1562"/>
      <x:c r="Q1562" s="21" t="str"/>
      <x:c r="R1562" s="21" t="str"/>
      <x:c r="S1562" s="21" t="str"/>
      <x:c r="T1562" s="17" t="str">
        <x:v>false</x:v>
      </x:c>
      <x:c r="U1562" s="17" t="str">
        <x:v>true</x:v>
      </x:c>
      <x:c r="V1562" s="17" t="str">
        <x:v>false</x:v>
      </x:c>
    </x:row>
    <x:row r="1563" ht="80" customHeight="1">
      <x:c r="A1563" s="25" t="str">
        <x:v>Math</x:v>
      </x:c>
      <x:c r="B1563" s="25" t="n">
        <x:v>24</x:v>
      </x:c>
      <x:c r="C1563" s="25" t="str">
        <x:v>Round2</x:v>
      </x:c>
      <x:c r="D1563" s="25" t="str">
        <x:v>NOT_REVEALING</x:v>
      </x:c>
      <x:c r="E1563" s="25" t="str">
        <x:v>N/A</x:v>
      </x:c>
      <x:c r="F1563" s="26" t="str">
        <x:v>Same saved validation suite passed on buggy and fixed</x:v>
      </x:c>
      <x:c r="G1563" s="25" t="str">
        <x:v>true</x:v>
      </x:c>
      <x:c r="H1563" s="25" t="str">
        <x:v>NOT_REVEALING</x:v>
      </x:c>
      <x:c r="I1563" s="25" t="str">
        <x:v>PASS</x:v>
      </x:c>
      <x:c r="J1563" s="25" t="str">
        <x:v>PASS</x:v>
      </x:c>
      <x:c r="K1563" s="25" t="n">
        <x:v>8</x:v>
      </x:c>
      <x:c r="L1563" s="27" t="b">
        <x:v>0</x:v>
      </x:c>
      <x:c r="M1563" s="25" t="str">
        <x:v>Feedback-Directed Random Test Generation/rounds/Round2/state/Math.json</x:v>
      </x:c>
      <x:c r="N1563" s="25" t="str">
        <x:v>Feedback-Directed Random Test Generation/Result_Round2/Math_24/result.json</x:v>
      </x:c>
      <x:c r="O1563" s="25" t="str">
        <x:v>Feedback-Directed Random Test Generation/Result_Round2/Math_24/result.json</x:v>
      </x:c>
      <x:c r="P1563"/>
      <x:c r="Q1563" s="21" t="str"/>
      <x:c r="R1563" s="21" t="str"/>
      <x:c r="S1563" s="21" t="str"/>
      <x:c r="T1563" s="17" t="str">
        <x:v>false</x:v>
      </x:c>
      <x:c r="U1563" s="17" t="str">
        <x:v>true</x:v>
      </x:c>
      <x:c r="V1563" s="17" t="str">
        <x:v>false</x:v>
      </x:c>
    </x:row>
    <x:row r="1564" ht="80" customHeight="1">
      <x:c r="A1564" s="25" t="str">
        <x:v>Math</x:v>
      </x:c>
      <x:c r="B1564" s="25" t="n">
        <x:v>25</x:v>
      </x:c>
      <x:c r="C1564" s="25" t="str">
        <x:v>Round2</x:v>
      </x:c>
      <x:c r="D1564" s="25" t="str">
        <x:v>NOT_REVEALING</x:v>
      </x:c>
      <x:c r="E1564" s="25" t="str">
        <x:v>N/A</x:v>
      </x:c>
      <x:c r="F1564" s="26" t="str">
        <x:v>Same saved validation suite passed on buggy and fixed</x:v>
      </x:c>
      <x:c r="G1564" s="25" t="str">
        <x:v>true</x:v>
      </x:c>
      <x:c r="H1564" s="25" t="str">
        <x:v>NOT_REVEALING</x:v>
      </x:c>
      <x:c r="I1564" s="25" t="str">
        <x:v>PASS</x:v>
      </x:c>
      <x:c r="J1564" s="25" t="str">
        <x:v>PASS</x:v>
      </x:c>
      <x:c r="K1564" s="25" t="n">
        <x:v>6</x:v>
      </x:c>
      <x:c r="L1564" s="27" t="b">
        <x:v>0</x:v>
      </x:c>
      <x:c r="M1564" s="25" t="str">
        <x:v>Feedback-Directed Random Test Generation/rounds/Round2/state/Math.json</x:v>
      </x:c>
      <x:c r="N1564" s="25" t="str">
        <x:v>Feedback-Directed Random Test Generation/Result_Round2/Math_25/result.json</x:v>
      </x:c>
      <x:c r="O1564" s="25" t="str">
        <x:v>Feedback-Directed Random Test Generation/Result_Round2/Math_25/result.json</x:v>
      </x:c>
      <x:c r="P1564"/>
      <x:c r="Q1564" s="21" t="str"/>
      <x:c r="R1564" s="21" t="str"/>
      <x:c r="S1564" s="21" t="str"/>
      <x:c r="T1564" s="17" t="str">
        <x:v>false</x:v>
      </x:c>
      <x:c r="U1564" s="17" t="str">
        <x:v>true</x:v>
      </x:c>
      <x:c r="V1564" s="17" t="str">
        <x:v>false</x:v>
      </x:c>
    </x:row>
    <x:row r="1565" ht="80" customHeight="1">
      <x:c r="A1565" s="25" t="str">
        <x:v>Math</x:v>
      </x:c>
      <x:c r="B1565" s="25" t="n">
        <x:v>26</x:v>
      </x:c>
      <x:c r="C1565" s="25" t="str">
        <x:v>Round2</x:v>
      </x:c>
      <x:c r="D1565" s="25" t="str">
        <x:v>NOT_REVEALING</x:v>
      </x:c>
      <x:c r="E1565" s="25" t="str">
        <x:v>N/A</x:v>
      </x:c>
      <x:c r="F1565" s="26" t="str">
        <x:v>Same saved validation suite passed on buggy and fixed</x:v>
      </x:c>
      <x:c r="G1565" s="25" t="str">
        <x:v>true</x:v>
      </x:c>
      <x:c r="H1565" s="25" t="str">
        <x:v>NOT_REVEALING</x:v>
      </x:c>
      <x:c r="I1565" s="25" t="str">
        <x:v>PASS</x:v>
      </x:c>
      <x:c r="J1565" s="25" t="str">
        <x:v>PASS</x:v>
      </x:c>
      <x:c r="K1565" s="25" t="n">
        <x:v>9</x:v>
      </x:c>
      <x:c r="L1565" s="27" t="b">
        <x:v>0</x:v>
      </x:c>
      <x:c r="M1565" s="25" t="str">
        <x:v>Feedback-Directed Random Test Generation/rounds/Round2/state/Math.json</x:v>
      </x:c>
      <x:c r="N1565" s="25" t="str">
        <x:v>Feedback-Directed Random Test Generation/Result_Round2/Math_26/result.json</x:v>
      </x:c>
      <x:c r="O1565" s="25" t="str">
        <x:v>Feedback-Directed Random Test Generation/Result_Round2/Math_26/result.json</x:v>
      </x:c>
      <x:c r="P1565"/>
      <x:c r="Q1565" s="21" t="str"/>
      <x:c r="R1565" s="21" t="str"/>
      <x:c r="S1565" s="21" t="str"/>
      <x:c r="T1565" s="17" t="str">
        <x:v>false</x:v>
      </x:c>
      <x:c r="U1565" s="17" t="str">
        <x:v>true</x:v>
      </x:c>
      <x:c r="V1565" s="17" t="str">
        <x:v>false</x:v>
      </x:c>
    </x:row>
    <x:row r="1566" ht="80" customHeight="1">
      <x:c r="A1566" s="25" t="str">
        <x:v>Math</x:v>
      </x:c>
      <x:c r="B1566" s="25" t="n">
        <x:v>27</x:v>
      </x:c>
      <x:c r="C1566" s="25" t="str">
        <x:v>Round2</x:v>
      </x:c>
      <x:c r="D1566" s="25" t="str">
        <x:v>INCONCLUSIVE</x:v>
      </x:c>
      <x:c r="E1566" s="25" t="str">
        <x:v>N/A</x:v>
      </x:c>
      <x:c r="F1566" s="26" t="str">
        <x:v>Fixed also failed; assertion failure cannot be attributed to this bug</x:v>
      </x:c>
      <x:c r="G1566" s="25" t="str">
        <x:v>true</x:v>
      </x:c>
      <x:c r="H1566" s="25" t="str">
        <x:v>INCONCLUSIVE</x:v>
      </x:c>
      <x:c r="I1566" s="25" t="str">
        <x:v>PASS</x:v>
      </x:c>
      <x:c r="J1566" s="25" t="str">
        <x:v>FAIL</x:v>
      </x:c>
      <x:c r="K1566" s="25" t="n">
        <x:v>9</x:v>
      </x:c>
      <x:c r="L1566" s="27" t="b">
        <x:v>0</x:v>
      </x:c>
      <x:c r="M1566" s="25" t="str">
        <x:v>Feedback-Directed Random Test Generation/rounds/Round2/state/Math.json</x:v>
      </x:c>
      <x:c r="N1566" s="25" t="str">
        <x:v>Feedback-Directed Random Test Generation/Result_Round2/Math_27/result.json</x:v>
      </x:c>
      <x:c r="O1566" s="25" t="str">
        <x:v>Feedback-Directed Random Test Generation/Result_Round2/Math_27/result.json</x:v>
      </x:c>
      <x:c r="P1566"/>
      <x:c r="Q1566" s="21" t="str"/>
      <x:c r="R1566" s="21" t="str"/>
      <x:c r="S1566" s="21" t="str"/>
      <x:c r="T1566" s="17" t="str">
        <x:v>false</x:v>
      </x:c>
      <x:c r="U1566" s="17" t="str">
        <x:v>true</x:v>
      </x:c>
      <x:c r="V1566" s="17" t="str">
        <x:v>false</x:v>
      </x:c>
    </x:row>
    <x:row r="1567" ht="80" customHeight="1">
      <x:c r="A1567" s="25" t="str">
        <x:v>Math</x:v>
      </x:c>
      <x:c r="B1567" s="25" t="n">
        <x:v>28</x:v>
      </x:c>
      <x:c r="C1567" s="25" t="str">
        <x:v>Round2</x:v>
      </x:c>
      <x:c r="D1567" s="25" t="str">
        <x:v>INCONCLUSIVE</x:v>
      </x:c>
      <x:c r="E1567" s="25" t="str">
        <x:v>N/A</x:v>
      </x:c>
      <x:c r="F1567" s="26" t="str">
        <x:v>Fixed also failed; assertion failure cannot be attributed to this bug; Assertions failed with measured coverage; paired execution and stage checks determine status</x:v>
      </x:c>
      <x:c r="G1567" s="25" t="str">
        <x:v>true</x:v>
      </x:c>
      <x:c r="H1567" s="25" t="str">
        <x:v>INCONCLUSIVE</x:v>
      </x:c>
      <x:c r="I1567" s="25" t="str">
        <x:v>FAIL</x:v>
      </x:c>
      <x:c r="J1567" s="25" t="str">
        <x:v>FAIL</x:v>
      </x:c>
      <x:c r="K1567" s="25" t="n">
        <x:v>8</x:v>
      </x:c>
      <x:c r="L1567" s="27" t="b">
        <x:v>0</x:v>
      </x:c>
      <x:c r="M1567" s="25" t="str">
        <x:v>Feedback-Directed Random Test Generation/rounds/Round2/state/Math.json</x:v>
      </x:c>
      <x:c r="N1567" s="25" t="str">
        <x:v>Feedback-Directed Random Test Generation/Result_Round2/Math_28/result.json</x:v>
      </x:c>
      <x:c r="O1567" s="25" t="str">
        <x:v>Feedback-Directed Random Test Generation/Result_Round2/Math_28/result.json</x:v>
      </x:c>
      <x:c r="P1567"/>
      <x:c r="Q1567" s="21" t="str"/>
      <x:c r="R1567" s="21" t="str"/>
      <x:c r="S1567" s="21" t="str"/>
      <x:c r="T1567" s="17" t="str">
        <x:v>false</x:v>
      </x:c>
      <x:c r="U1567" s="17" t="str">
        <x:v>true</x:v>
      </x:c>
      <x:c r="V1567" s="17" t="str">
        <x:v>false</x:v>
      </x:c>
    </x:row>
    <x:row r="1568" ht="80" customHeight="1">
      <x:c r="A1568" s="25" t="str">
        <x:v>Math</x:v>
      </x:c>
      <x:c r="B1568" s="25" t="n">
        <x:v>29</x:v>
      </x:c>
      <x:c r="C1568" s="25" t="str">
        <x:v>Round2</x:v>
      </x:c>
      <x:c r="D1568" s="25" t="str">
        <x:v>INCONCLUSIVE</x:v>
      </x:c>
      <x:c r="E1568" s="25" t="str">
        <x:v>N/A</x:v>
      </x:c>
      <x:c r="F1568" s="26" t="str">
        <x:v>Fixed also failed; assertion failure cannot be attributed to this bug; Assertions failed with measured coverage; paired execution and stage checks determine status</x:v>
      </x:c>
      <x:c r="G1568" s="25" t="str">
        <x:v>true</x:v>
      </x:c>
      <x:c r="H1568" s="25" t="str">
        <x:v>INCONCLUSIVE</x:v>
      </x:c>
      <x:c r="I1568" s="25" t="str">
        <x:v>FAIL</x:v>
      </x:c>
      <x:c r="J1568" s="25" t="str">
        <x:v>FAIL</x:v>
      </x:c>
      <x:c r="K1568" s="25" t="n">
        <x:v>11</x:v>
      </x:c>
      <x:c r="L1568" s="27" t="b">
        <x:v>0</x:v>
      </x:c>
      <x:c r="M1568" s="25" t="str">
        <x:v>Feedback-Directed Random Test Generation/rounds/Round2/state/Math.json</x:v>
      </x:c>
      <x:c r="N1568" s="25" t="str">
        <x:v>Feedback-Directed Random Test Generation/Result_Round2/Math_29/result.json</x:v>
      </x:c>
      <x:c r="O1568" s="25" t="str">
        <x:v>Feedback-Directed Random Test Generation/Result_Round2/Math_29/result.json</x:v>
      </x:c>
      <x:c r="P1568"/>
      <x:c r="Q1568" s="21" t="str"/>
      <x:c r="R1568" s="21" t="str"/>
      <x:c r="S1568" s="21" t="str"/>
      <x:c r="T1568" s="17" t="str">
        <x:v>false</x:v>
      </x:c>
      <x:c r="U1568" s="17" t="str">
        <x:v>true</x:v>
      </x:c>
      <x:c r="V1568" s="17" t="str">
        <x:v>false</x:v>
      </x:c>
    </x:row>
    <x:row r="1569" ht="80" customHeight="1">
      <x:c r="A1569" s="25" t="str">
        <x:v>Math</x:v>
      </x:c>
      <x:c r="B1569" s="25" t="n">
        <x:v>30</x:v>
      </x:c>
      <x:c r="C1569" s="25" t="str">
        <x:v>Round2</x:v>
      </x:c>
      <x:c r="D1569" s="25" t="str">
        <x:v>NOT_REVEALING</x:v>
      </x:c>
      <x:c r="E1569" s="25" t="str">
        <x:v>N/A</x:v>
      </x:c>
      <x:c r="F1569" s="26" t="str">
        <x:v>Same saved validation suite passed on buggy and fixed</x:v>
      </x:c>
      <x:c r="G1569" s="25" t="str">
        <x:v>true</x:v>
      </x:c>
      <x:c r="H1569" s="25" t="str">
        <x:v>NOT_REVEALING</x:v>
      </x:c>
      <x:c r="I1569" s="25" t="str">
        <x:v>PASS</x:v>
      </x:c>
      <x:c r="J1569" s="25" t="str">
        <x:v>PASS</x:v>
      </x:c>
      <x:c r="K1569" s="25" t="n">
        <x:v>6</x:v>
      </x:c>
      <x:c r="L1569" s="27" t="b">
        <x:v>0</x:v>
      </x:c>
      <x:c r="M1569" s="25" t="str">
        <x:v>Feedback-Directed Random Test Generation/rounds/Round2/state/Math.json</x:v>
      </x:c>
      <x:c r="N1569" s="25" t="str">
        <x:v>Feedback-Directed Random Test Generation/Result_Round2/Math_30/result.json</x:v>
      </x:c>
      <x:c r="O1569" s="25" t="str">
        <x:v>Feedback-Directed Random Test Generation/Result_Round2/Math_30/result.json</x:v>
      </x:c>
      <x:c r="P1569"/>
      <x:c r="Q1569" s="21" t="str"/>
      <x:c r="R1569" s="21" t="str"/>
      <x:c r="S1569" s="21" t="str"/>
      <x:c r="T1569" s="17" t="str">
        <x:v>false</x:v>
      </x:c>
      <x:c r="U1569" s="17" t="str">
        <x:v>true</x:v>
      </x:c>
      <x:c r="V1569" s="17" t="str">
        <x:v>false</x:v>
      </x:c>
    </x:row>
    <x:row r="1570" ht="80" customHeight="1">
      <x:c r="A1570" s="25" t="str">
        <x:v>Math</x:v>
      </x:c>
      <x:c r="B1570" s="25" t="n">
        <x:v>31</x:v>
      </x:c>
      <x:c r="C1570" s="25" t="str">
        <x:v>Round2</x:v>
      </x:c>
      <x:c r="D1570" s="25" t="str">
        <x:v>NOT_REVEALING</x:v>
      </x:c>
      <x:c r="E1570" s="25" t="str">
        <x:v>N/A</x:v>
      </x:c>
      <x:c r="F1570" s="26" t="str">
        <x:v>Same saved validation suite passed on buggy and fixed</x:v>
      </x:c>
      <x:c r="G1570" s="25" t="str">
        <x:v>true</x:v>
      </x:c>
      <x:c r="H1570" s="25" t="str">
        <x:v>NOT_REVEALING</x:v>
      </x:c>
      <x:c r="I1570" s="25" t="str">
        <x:v>PASS</x:v>
      </x:c>
      <x:c r="J1570" s="25" t="str">
        <x:v>PASS</x:v>
      </x:c>
      <x:c r="K1570" s="25" t="n">
        <x:v>2</x:v>
      </x:c>
      <x:c r="L1570" s="27" t="b">
        <x:v>0</x:v>
      </x:c>
      <x:c r="M1570" s="25" t="str">
        <x:v>Feedback-Directed Random Test Generation/rounds/Round2/state/Math.json</x:v>
      </x:c>
      <x:c r="N1570" s="25" t="str">
        <x:v>Feedback-Directed Random Test Generation/Result_Round2/Math_31/result.json</x:v>
      </x:c>
      <x:c r="O1570" s="25" t="str">
        <x:v>Feedback-Directed Random Test Generation/Result_Round2/Math_31/result.json</x:v>
      </x:c>
      <x:c r="P1570"/>
      <x:c r="Q1570" s="21" t="str"/>
      <x:c r="R1570" s="21" t="str"/>
      <x:c r="S1570" s="21" t="str"/>
      <x:c r="T1570" s="17" t="str">
        <x:v>false</x:v>
      </x:c>
      <x:c r="U1570" s="17" t="str">
        <x:v>true</x:v>
      </x:c>
      <x:c r="V1570" s="17" t="str">
        <x:v>false</x:v>
      </x:c>
    </x:row>
    <x:row r="1571" ht="80" customHeight="1">
      <x:c r="A1571" s="25" t="str">
        <x:v>Math</x:v>
      </x:c>
      <x:c r="B1571" s="25" t="n">
        <x:v>32</x:v>
      </x:c>
      <x:c r="C1571" s="25" t="str">
        <x:v>Round2</x:v>
      </x:c>
      <x:c r="D1571" s="25" t="str">
        <x:v>INCONCLUSIVE</x:v>
      </x:c>
      <x:c r="E1571" s="25" t="str">
        <x:v>N/A</x:v>
      </x:c>
      <x:c r="F1571" s="26" t="str">
        <x:v>Fixed also failed; assertion failure cannot be attributed to this bug; Assertions failed with measured coverage; paired execution and stage checks determine status</x:v>
      </x:c>
      <x:c r="G1571" s="25" t="str">
        <x:v>true</x:v>
      </x:c>
      <x:c r="H1571" s="25" t="str">
        <x:v>INCONCLUSIVE</x:v>
      </x:c>
      <x:c r="I1571" s="25" t="str">
        <x:v>FAIL</x:v>
      </x:c>
      <x:c r="J1571" s="25" t="str">
        <x:v>FAIL</x:v>
      </x:c>
      <x:c r="K1571" s="25" t="n">
        <x:v>8</x:v>
      </x:c>
      <x:c r="L1571" s="27" t="b">
        <x:v>0</x:v>
      </x:c>
      <x:c r="M1571" s="25" t="str">
        <x:v>Feedback-Directed Random Test Generation/rounds/Round2/state/Math.json</x:v>
      </x:c>
      <x:c r="N1571" s="25" t="str">
        <x:v>Feedback-Directed Random Test Generation/Result_Round2/Math_32/result.json</x:v>
      </x:c>
      <x:c r="O1571" s="25" t="str">
        <x:v>Feedback-Directed Random Test Generation/Result_Round2/Math_32/result.json</x:v>
      </x:c>
      <x:c r="P1571"/>
      <x:c r="Q1571" s="21" t="str"/>
      <x:c r="R1571" s="21" t="str"/>
      <x:c r="S1571" s="21" t="str"/>
      <x:c r="T1571" s="17" t="str">
        <x:v>false</x:v>
      </x:c>
      <x:c r="U1571" s="17" t="str">
        <x:v>true</x:v>
      </x:c>
      <x:c r="V1571" s="17" t="str">
        <x:v>false</x:v>
      </x:c>
    </x:row>
    <x:row r="1572" ht="80" customHeight="1">
      <x:c r="A1572" s="25" t="str">
        <x:v>Math</x:v>
      </x:c>
      <x:c r="B1572" s="25" t="n">
        <x:v>33</x:v>
      </x:c>
      <x:c r="C1572" s="25" t="str">
        <x:v>Round2</x:v>
      </x:c>
      <x:c r="D1572" s="25" t="str">
        <x:v>NOT_REVEALING</x:v>
      </x:c>
      <x:c r="E1572" s="25" t="str">
        <x:v>N/A</x:v>
      </x:c>
      <x:c r="F1572" s="26" t="str">
        <x:v>Same saved validation suite passed on buggy and fixed</x:v>
      </x:c>
      <x:c r="G1572" s="25" t="str">
        <x:v>true</x:v>
      </x:c>
      <x:c r="H1572" s="25" t="str">
        <x:v>NOT_REVEALING</x:v>
      </x:c>
      <x:c r="I1572" s="25" t="str">
        <x:v>PASS</x:v>
      </x:c>
      <x:c r="J1572" s="25" t="str">
        <x:v>PASS</x:v>
      </x:c>
      <x:c r="K1572" s="25" t="n">
        <x:v>7</x:v>
      </x:c>
      <x:c r="L1572" s="27" t="b">
        <x:v>0</x:v>
      </x:c>
      <x:c r="M1572" s="25" t="str">
        <x:v>Feedback-Directed Random Test Generation/rounds/Round2/state/Math.json</x:v>
      </x:c>
      <x:c r="N1572" s="25" t="str">
        <x:v>Feedback-Directed Random Test Generation/Result_Round2/Math_33/result.json</x:v>
      </x:c>
      <x:c r="O1572" s="25" t="str">
        <x:v>Feedback-Directed Random Test Generation/Result_Round2/Math_33/result.json</x:v>
      </x:c>
      <x:c r="P1572"/>
      <x:c r="Q1572" s="21" t="str"/>
      <x:c r="R1572" s="21" t="str"/>
      <x:c r="S1572" s="21" t="str"/>
      <x:c r="T1572" s="17" t="str">
        <x:v>false</x:v>
      </x:c>
      <x:c r="U1572" s="17" t="str">
        <x:v>true</x:v>
      </x:c>
      <x:c r="V1572" s="17" t="str">
        <x:v>false</x:v>
      </x:c>
    </x:row>
    <x:row r="1573" ht="80" customHeight="1">
      <x:c r="A1573" s="25" t="str">
        <x:v>Math</x:v>
      </x:c>
      <x:c r="B1573" s="25" t="n">
        <x:v>34</x:v>
      </x:c>
      <x:c r="C1573" s="25" t="str">
        <x:v>Round2</x:v>
      </x:c>
      <x:c r="D1573" s="25" t="str">
        <x:v>NOT_REVEALING</x:v>
      </x:c>
      <x:c r="E1573" s="25" t="str">
        <x:v>N/A</x:v>
      </x:c>
      <x:c r="F1573" s="26" t="str">
        <x:v>Same saved validation suite passed on buggy and fixed</x:v>
      </x:c>
      <x:c r="G1573" s="25" t="str">
        <x:v>true</x:v>
      </x:c>
      <x:c r="H1573" s="25" t="str">
        <x:v>NOT_REVEALING</x:v>
      </x:c>
      <x:c r="I1573" s="25" t="str">
        <x:v>PASS</x:v>
      </x:c>
      <x:c r="J1573" s="25" t="str">
        <x:v>PASS</x:v>
      </x:c>
      <x:c r="K1573" s="25" t="n">
        <x:v>2</x:v>
      </x:c>
      <x:c r="L1573" s="27" t="b">
        <x:v>0</x:v>
      </x:c>
      <x:c r="M1573" s="25" t="str">
        <x:v>Feedback-Directed Random Test Generation/rounds/Round2/state/Math.json</x:v>
      </x:c>
      <x:c r="N1573" s="25" t="str">
        <x:v>Feedback-Directed Random Test Generation/Result_Round2/Math_34/result.json</x:v>
      </x:c>
      <x:c r="O1573" s="25" t="str">
        <x:v>Feedback-Directed Random Test Generation/Result_Round2/Math_34/result.json</x:v>
      </x:c>
      <x:c r="P1573"/>
      <x:c r="Q1573" s="21" t="str"/>
      <x:c r="R1573" s="21" t="str"/>
      <x:c r="S1573" s="21" t="str"/>
      <x:c r="T1573" s="17" t="str">
        <x:v>false</x:v>
      </x:c>
      <x:c r="U1573" s="17" t="str">
        <x:v>true</x:v>
      </x:c>
      <x:c r="V1573" s="17" t="str">
        <x:v>false</x:v>
      </x:c>
    </x:row>
    <x:row r="1574" ht="80" customHeight="1">
      <x:c r="A1574" s="25" t="str">
        <x:v>Math</x:v>
      </x:c>
      <x:c r="B1574" s="25" t="n">
        <x:v>35</x:v>
      </x:c>
      <x:c r="C1574" s="25" t="str">
        <x:v>Round2</x:v>
      </x:c>
      <x:c r="D1574" s="25" t="str">
        <x:v>INCONCLUSIVE</x:v>
      </x:c>
      <x:c r="E1574" s="25" t="str">
        <x:v>N/A</x:v>
      </x:c>
      <x:c r="F1574" s="26" t="str">
        <x:v>Fixed also failed; assertion failure cannot be attributed to this bug</x:v>
      </x:c>
      <x:c r="G1574" s="25" t="str">
        <x:v>true</x:v>
      </x:c>
      <x:c r="H1574" s="25" t="str">
        <x:v>INCONCLUSIVE</x:v>
      </x:c>
      <x:c r="I1574" s="25" t="str">
        <x:v>PASS</x:v>
      </x:c>
      <x:c r="J1574" s="25" t="str">
        <x:v>FAIL</x:v>
      </x:c>
      <x:c r="K1574" s="25" t="n">
        <x:v>10</x:v>
      </x:c>
      <x:c r="L1574" s="27" t="b">
        <x:v>0</x:v>
      </x:c>
      <x:c r="M1574" s="25" t="str">
        <x:v>Feedback-Directed Random Test Generation/rounds/Round2/state/Math.json</x:v>
      </x:c>
      <x:c r="N1574" s="25" t="str">
        <x:v>Feedback-Directed Random Test Generation/Result_Round2/Math_35/result.json</x:v>
      </x:c>
      <x:c r="O1574" s="25" t="str">
        <x:v>Feedback-Directed Random Test Generation/Result_Round2/Math_35/result.json</x:v>
      </x:c>
      <x:c r="P1574"/>
      <x:c r="Q1574" s="21" t="str"/>
      <x:c r="R1574" s="21" t="str"/>
      <x:c r="S1574" s="21" t="str"/>
      <x:c r="T1574" s="17" t="str">
        <x:v>false</x:v>
      </x:c>
      <x:c r="U1574" s="17" t="str">
        <x:v>true</x:v>
      </x:c>
      <x:c r="V1574" s="17" t="str">
        <x:v>false</x:v>
      </x:c>
    </x:row>
    <x:row r="1575" ht="80" customHeight="1">
      <x:c r="A1575" s="25" t="str">
        <x:v>Math</x:v>
      </x:c>
      <x:c r="B1575" s="25" t="n">
        <x:v>36</x:v>
      </x:c>
      <x:c r="C1575" s="25" t="str">
        <x:v>Round2</x:v>
      </x:c>
      <x:c r="D1575" s="25" t="str">
        <x:v>INCONCLUSIVE</x:v>
      </x:c>
      <x:c r="E1575" s="25" t="str">
        <x:v>N/A</x:v>
      </x:c>
      <x:c r="F1575" s="26" t="str">
        <x:v>Fixed also failed; assertion failure cannot be attributed to this bug; Assertions failed with measured coverage; paired execution and stage checks determine status</x:v>
      </x:c>
      <x:c r="G1575" s="25" t="str">
        <x:v>true</x:v>
      </x:c>
      <x:c r="H1575" s="25" t="str">
        <x:v>INCONCLUSIVE</x:v>
      </x:c>
      <x:c r="I1575" s="25" t="str">
        <x:v>FAIL</x:v>
      </x:c>
      <x:c r="J1575" s="25" t="str">
        <x:v>FAIL</x:v>
      </x:c>
      <x:c r="K1575" s="25" t="n">
        <x:v>4</x:v>
      </x:c>
      <x:c r="L1575" s="27" t="b">
        <x:v>0</x:v>
      </x:c>
      <x:c r="M1575" s="25" t="str">
        <x:v>Feedback-Directed Random Test Generation/rounds/Round2/state/Math.json</x:v>
      </x:c>
      <x:c r="N1575" s="25" t="str">
        <x:v>Feedback-Directed Random Test Generation/Result_Round2/Math_36/result.json</x:v>
      </x:c>
      <x:c r="O1575" s="25" t="str">
        <x:v>Feedback-Directed Random Test Generation/Result_Round2/Math_36/result.json</x:v>
      </x:c>
      <x:c r="P1575"/>
      <x:c r="Q1575" s="21" t="str"/>
      <x:c r="R1575" s="21" t="str"/>
      <x:c r="S1575" s="21" t="str"/>
      <x:c r="T1575" s="17" t="str">
        <x:v>false</x:v>
      </x:c>
      <x:c r="U1575" s="17" t="str">
        <x:v>true</x:v>
      </x:c>
      <x:c r="V1575" s="17" t="str">
        <x:v>false</x:v>
      </x:c>
    </x:row>
    <x:row r="1576" ht="80" customHeight="1">
      <x:c r="A1576" s="25" t="str">
        <x:v>Math</x:v>
      </x:c>
      <x:c r="B1576" s="25" t="n">
        <x:v>37</x:v>
      </x:c>
      <x:c r="C1576" s="25" t="str">
        <x:v>Round2</x:v>
      </x:c>
      <x:c r="D1576" s="25" t="str">
        <x:v>INCONCLUSIVE</x:v>
      </x:c>
      <x:c r="E1576" s="25" t="str">
        <x:v>N/A</x:v>
      </x:c>
      <x:c r="F1576" s="26" t="str">
        <x:v>Fixed also failed; assertion failure cannot be attributed to this bug; Assertions failed with measured coverage; paired execution and stage checks determine status</x:v>
      </x:c>
      <x:c r="G1576" s="25" t="str">
        <x:v>true</x:v>
      </x:c>
      <x:c r="H1576" s="25" t="str">
        <x:v>INCONCLUSIVE</x:v>
      </x:c>
      <x:c r="I1576" s="25" t="str">
        <x:v>FAIL</x:v>
      </x:c>
      <x:c r="J1576" s="25" t="str">
        <x:v>FAIL</x:v>
      </x:c>
      <x:c r="K1576" s="25" t="n">
        <x:v>11</x:v>
      </x:c>
      <x:c r="L1576" s="27" t="b">
        <x:v>0</x:v>
      </x:c>
      <x:c r="M1576" s="25" t="str">
        <x:v>Feedback-Directed Random Test Generation/rounds/Round2/state/Math.json</x:v>
      </x:c>
      <x:c r="N1576" s="25" t="str">
        <x:v>Feedback-Directed Random Test Generation/Result_Round2/Math_37/result.json</x:v>
      </x:c>
      <x:c r="O1576" s="25" t="str">
        <x:v>Feedback-Directed Random Test Generation/Result_Round2/Math_37/result.json</x:v>
      </x:c>
      <x:c r="P1576"/>
      <x:c r="Q1576" s="21" t="str"/>
      <x:c r="R1576" s="21" t="str"/>
      <x:c r="S1576" s="21" t="str"/>
      <x:c r="T1576" s="17" t="str">
        <x:v>false</x:v>
      </x:c>
      <x:c r="U1576" s="17" t="str">
        <x:v>true</x:v>
      </x:c>
      <x:c r="V1576" s="17" t="str">
        <x:v>false</x:v>
      </x:c>
    </x:row>
    <x:row r="1577" ht="80" customHeight="1">
      <x:c r="A1577" s="25" t="str">
        <x:v>Math</x:v>
      </x:c>
      <x:c r="B1577" s="25" t="n">
        <x:v>38</x:v>
      </x:c>
      <x:c r="C1577" s="25" t="str">
        <x:v>Round2</x:v>
      </x:c>
      <x:c r="D1577" s="25" t="str">
        <x:v>INCONCLUSIVE</x:v>
      </x:c>
      <x:c r="E1577" s="25" t="str">
        <x:v>N/A</x:v>
      </x:c>
      <x:c r="F1577" s="26" t="str">
        <x:v>Fixed also failed; assertion failure cannot be attributed to this bug; Assertions failed with measured coverage; paired execution and stage checks determine status</x:v>
      </x:c>
      <x:c r="G1577" s="25" t="str">
        <x:v>true</x:v>
      </x:c>
      <x:c r="H1577" s="25" t="str">
        <x:v>INCONCLUSIVE</x:v>
      </x:c>
      <x:c r="I1577" s="25" t="str">
        <x:v>FAIL</x:v>
      </x:c>
      <x:c r="J1577" s="25" t="str">
        <x:v>FAIL</x:v>
      </x:c>
      <x:c r="K1577" s="25" t="n">
        <x:v>16</x:v>
      </x:c>
      <x:c r="L1577" s="27" t="b">
        <x:v>0</x:v>
      </x:c>
      <x:c r="M1577" s="25" t="str">
        <x:v>Feedback-Directed Random Test Generation/rounds/Round2/state/Math.json</x:v>
      </x:c>
      <x:c r="N1577" s="25" t="str">
        <x:v>Feedback-Directed Random Test Generation/Result_Round2/Math_38/result.json</x:v>
      </x:c>
      <x:c r="O1577" s="25" t="str">
        <x:v>Feedback-Directed Random Test Generation/Result_Round2/Math_38/result.json</x:v>
      </x:c>
      <x:c r="P1577"/>
      <x:c r="Q1577" s="21" t="str"/>
      <x:c r="R1577" s="21" t="str"/>
      <x:c r="S1577" s="21" t="str"/>
      <x:c r="T1577" s="17" t="str">
        <x:v>false</x:v>
      </x:c>
      <x:c r="U1577" s="17" t="str">
        <x:v>true</x:v>
      </x:c>
      <x:c r="V1577" s="17" t="str">
        <x:v>false</x:v>
      </x:c>
    </x:row>
    <x:row r="1578" ht="80" customHeight="1">
      <x:c r="A1578" s="25" t="str">
        <x:v>Math</x:v>
      </x:c>
      <x:c r="B1578" s="25" t="n">
        <x:v>39</x:v>
      </x:c>
      <x:c r="C1578" s="25" t="str">
        <x:v>Round2</x:v>
      </x:c>
      <x:c r="D1578" s="25" t="str">
        <x:v>NOT_REVEALING</x:v>
      </x:c>
      <x:c r="E1578" s="25" t="str">
        <x:v>N/A</x:v>
      </x:c>
      <x:c r="F1578" s="26" t="str">
        <x:v>Same saved validation suite passed on buggy and fixed</x:v>
      </x:c>
      <x:c r="G1578" s="25" t="str">
        <x:v>true</x:v>
      </x:c>
      <x:c r="H1578" s="25" t="str">
        <x:v>NOT_REVEALING</x:v>
      </x:c>
      <x:c r="I1578" s="25" t="str">
        <x:v>PASS</x:v>
      </x:c>
      <x:c r="J1578" s="25" t="str">
        <x:v>PASS</x:v>
      </x:c>
      <x:c r="K1578" s="25" t="n">
        <x:v>2</x:v>
      </x:c>
      <x:c r="L1578" s="27" t="b">
        <x:v>0</x:v>
      </x:c>
      <x:c r="M1578" s="25" t="str">
        <x:v>Feedback-Directed Random Test Generation/rounds/Round2/state/Math.json</x:v>
      </x:c>
      <x:c r="N1578" s="25" t="str">
        <x:v>Feedback-Directed Random Test Generation/Result_Round2/Math_39/result.json</x:v>
      </x:c>
      <x:c r="O1578" s="25" t="str">
        <x:v>Feedback-Directed Random Test Generation/Result_Round2/Math_39/result.json</x:v>
      </x:c>
      <x:c r="P1578"/>
      <x:c r="Q1578" s="21" t="str"/>
      <x:c r="R1578" s="21" t="str"/>
      <x:c r="S1578" s="21" t="str"/>
      <x:c r="T1578" s="17" t="str">
        <x:v>false</x:v>
      </x:c>
      <x:c r="U1578" s="17" t="str">
        <x:v>true</x:v>
      </x:c>
      <x:c r="V1578" s="17" t="str">
        <x:v>false</x:v>
      </x:c>
    </x:row>
    <x:row r="1579" ht="80" customHeight="1">
      <x:c r="A1579" s="25" t="str">
        <x:v>Math</x:v>
      </x:c>
      <x:c r="B1579" s="25" t="n">
        <x:v>40</x:v>
      </x:c>
      <x:c r="C1579" s="25" t="str">
        <x:v>Round2</x:v>
      </x:c>
      <x:c r="D1579" s="25" t="str">
        <x:v>NOT_REVEALING</x:v>
      </x:c>
      <x:c r="E1579" s="25" t="str">
        <x:v>N/A</x:v>
      </x:c>
      <x:c r="F1579" s="26" t="str">
        <x:v>Same saved validation suite passed on buggy and fixed</x:v>
      </x:c>
      <x:c r="G1579" s="25" t="str">
        <x:v>true</x:v>
      </x:c>
      <x:c r="H1579" s="25" t="str">
        <x:v>NOT_REVEALING</x:v>
      </x:c>
      <x:c r="I1579" s="25" t="str">
        <x:v>PASS</x:v>
      </x:c>
      <x:c r="J1579" s="25" t="str">
        <x:v>PASS</x:v>
      </x:c>
      <x:c r="K1579" s="25" t="n">
        <x:v>7</x:v>
      </x:c>
      <x:c r="L1579" s="27" t="b">
        <x:v>0</x:v>
      </x:c>
      <x:c r="M1579" s="25" t="str">
        <x:v>Feedback-Directed Random Test Generation/rounds/Round2/state/Math.json</x:v>
      </x:c>
      <x:c r="N1579" s="25" t="str">
        <x:v>Feedback-Directed Random Test Generation/Result_Round2/Math_40/result.json</x:v>
      </x:c>
      <x:c r="O1579" s="25" t="str">
        <x:v>Feedback-Directed Random Test Generation/Result_Round2/Math_40/result.json</x:v>
      </x:c>
      <x:c r="P1579"/>
      <x:c r="Q1579" s="21" t="str"/>
      <x:c r="R1579" s="21" t="str"/>
      <x:c r="S1579" s="21" t="str"/>
      <x:c r="T1579" s="17" t="str">
        <x:v>false</x:v>
      </x:c>
      <x:c r="U1579" s="17" t="str">
        <x:v>true</x:v>
      </x:c>
      <x:c r="V1579" s="17" t="str">
        <x:v>false</x:v>
      </x:c>
    </x:row>
    <x:row r="1580" ht="80" customHeight="1">
      <x:c r="A1580" s="25" t="str">
        <x:v>Math</x:v>
      </x:c>
      <x:c r="B1580" s="25" t="n">
        <x:v>41</x:v>
      </x:c>
      <x:c r="C1580" s="25" t="str">
        <x:v>Round2</x:v>
      </x:c>
      <x:c r="D1580" s="25" t="str">
        <x:v>NOT_REVEALING</x:v>
      </x:c>
      <x:c r="E1580" s="25" t="str">
        <x:v>N/A</x:v>
      </x:c>
      <x:c r="F1580" s="26" t="str">
        <x:v>Same saved validation suite passed on buggy and fixed</x:v>
      </x:c>
      <x:c r="G1580" s="25" t="str">
        <x:v>true</x:v>
      </x:c>
      <x:c r="H1580" s="25" t="str">
        <x:v>NOT_REVEALING</x:v>
      </x:c>
      <x:c r="I1580" s="25" t="str">
        <x:v>PASS</x:v>
      </x:c>
      <x:c r="J1580" s="25" t="str">
        <x:v>PASS</x:v>
      </x:c>
      <x:c r="K1580" s="25" t="n">
        <x:v>9</x:v>
      </x:c>
      <x:c r="L1580" s="27" t="b">
        <x:v>0</x:v>
      </x:c>
      <x:c r="M1580" s="25" t="str">
        <x:v>Feedback-Directed Random Test Generation/rounds/Round2/state/Math.json</x:v>
      </x:c>
      <x:c r="N1580" s="25" t="str">
        <x:v>Feedback-Directed Random Test Generation/Result_Round2/Math_41/result.json</x:v>
      </x:c>
      <x:c r="O1580" s="25" t="str">
        <x:v>Feedback-Directed Random Test Generation/Result_Round2/Math_41/result.json</x:v>
      </x:c>
      <x:c r="P1580"/>
      <x:c r="Q1580" s="21" t="str"/>
      <x:c r="R1580" s="21" t="str"/>
      <x:c r="S1580" s="21" t="str"/>
      <x:c r="T1580" s="17" t="str">
        <x:v>false</x:v>
      </x:c>
      <x:c r="U1580" s="17" t="str">
        <x:v>true</x:v>
      </x:c>
      <x:c r="V1580" s="17" t="str">
        <x:v>false</x:v>
      </x:c>
    </x:row>
    <x:row r="1581" ht="80" customHeight="1">
      <x:c r="A1581" s="25" t="str">
        <x:v>Math</x:v>
      </x:c>
      <x:c r="B1581" s="25" t="n">
        <x:v>42</x:v>
      </x:c>
      <x:c r="C1581" s="25" t="str">
        <x:v>Round2</x:v>
      </x:c>
      <x:c r="D1581" s="25" t="str">
        <x:v>NOT_REVEALING</x:v>
      </x:c>
      <x:c r="E1581" s="25" t="str">
        <x:v>N/A</x:v>
      </x:c>
      <x:c r="F1581" s="26" t="str">
        <x:v>Same saved validation suite passed on buggy and fixed</x:v>
      </x:c>
      <x:c r="G1581" s="25" t="str">
        <x:v>true</x:v>
      </x:c>
      <x:c r="H1581" s="25" t="str">
        <x:v>NOT_REVEALING</x:v>
      </x:c>
      <x:c r="I1581" s="25" t="str">
        <x:v>PASS</x:v>
      </x:c>
      <x:c r="J1581" s="25" t="str">
        <x:v>PASS</x:v>
      </x:c>
      <x:c r="K1581" s="25" t="n">
        <x:v>7</x:v>
      </x:c>
      <x:c r="L1581" s="27" t="b">
        <x:v>0</x:v>
      </x:c>
      <x:c r="M1581" s="25" t="str">
        <x:v>Feedback-Directed Random Test Generation/rounds/Round2/state/Math.json</x:v>
      </x:c>
      <x:c r="N1581" s="25" t="str">
        <x:v>Feedback-Directed Random Test Generation/Result_Round2/Math_42/result.json</x:v>
      </x:c>
      <x:c r="O1581" s="25" t="str">
        <x:v>Feedback-Directed Random Test Generation/Result_Round2/Math_42/result.json</x:v>
      </x:c>
      <x:c r="P1581"/>
      <x:c r="Q1581" s="21" t="str"/>
      <x:c r="R1581" s="21" t="str"/>
      <x:c r="S1581" s="21" t="str"/>
      <x:c r="T1581" s="17" t="str">
        <x:v>false</x:v>
      </x:c>
      <x:c r="U1581" s="17" t="str">
        <x:v>true</x:v>
      </x:c>
      <x:c r="V1581" s="17" t="str">
        <x:v>false</x:v>
      </x:c>
    </x:row>
    <x:row r="1582" ht="80" customHeight="1">
      <x:c r="A1582" s="25" t="str">
        <x:v>Math</x:v>
      </x:c>
      <x:c r="B1582" s="25" t="n">
        <x:v>43</x:v>
      </x:c>
      <x:c r="C1582" s="25" t="str">
        <x:v>Round2</x:v>
      </x:c>
      <x:c r="D1582" s="25" t="str">
        <x:v>INCONCLUSIVE</x:v>
      </x:c>
      <x:c r="E1582" s="25" t="str">
        <x:v>N/A</x:v>
      </x:c>
      <x:c r="F1582" s="26" t="str">
        <x:v>Fixed also failed; assertion failure cannot be attributed to this bug; Assertions failed with measured coverage; paired execution and stage checks determine status</x:v>
      </x:c>
      <x:c r="G1582" s="25" t="str">
        <x:v>true</x:v>
      </x:c>
      <x:c r="H1582" s="25" t="str">
        <x:v>INCONCLUSIVE</x:v>
      </x:c>
      <x:c r="I1582" s="25" t="str">
        <x:v>FAIL</x:v>
      </x:c>
      <x:c r="J1582" s="25" t="str">
        <x:v>FAIL</x:v>
      </x:c>
      <x:c r="K1582" s="25" t="n">
        <x:v>9</x:v>
      </x:c>
      <x:c r="L1582" s="27" t="b">
        <x:v>0</x:v>
      </x:c>
      <x:c r="M1582" s="25" t="str">
        <x:v>Feedback-Directed Random Test Generation/rounds/Round2/state/Math.json</x:v>
      </x:c>
      <x:c r="N1582" s="25" t="str">
        <x:v>Feedback-Directed Random Test Generation/Result_Round2/Math_43/result.json</x:v>
      </x:c>
      <x:c r="O1582" s="25" t="str">
        <x:v>Feedback-Directed Random Test Generation/Result_Round2/Math_43/result.json</x:v>
      </x:c>
      <x:c r="P1582"/>
      <x:c r="Q1582" s="21" t="str"/>
      <x:c r="R1582" s="21" t="str"/>
      <x:c r="S1582" s="21" t="str"/>
      <x:c r="T1582" s="17" t="str">
        <x:v>false</x:v>
      </x:c>
      <x:c r="U1582" s="17" t="str">
        <x:v>true</x:v>
      </x:c>
      <x:c r="V1582" s="17" t="str">
        <x:v>false</x:v>
      </x:c>
    </x:row>
    <x:row r="1583" ht="80" customHeight="1">
      <x:c r="A1583" s="25" t="str">
        <x:v>Math</x:v>
      </x:c>
      <x:c r="B1583" s="25" t="n">
        <x:v>44</x:v>
      </x:c>
      <x:c r="C1583" s="25" t="str">
        <x:v>Round2</x:v>
      </x:c>
      <x:c r="D1583" s="25" t="str">
        <x:v>NOT_REVEALING</x:v>
      </x:c>
      <x:c r="E1583" s="25" t="str">
        <x:v>N/A</x:v>
      </x:c>
      <x:c r="F1583" s="26" t="str">
        <x:v>Same saved validation suite passed on buggy and fixed</x:v>
      </x:c>
      <x:c r="G1583" s="25" t="str">
        <x:v>true</x:v>
      </x:c>
      <x:c r="H1583" s="25" t="str">
        <x:v>NOT_REVEALING</x:v>
      </x:c>
      <x:c r="I1583" s="25" t="str">
        <x:v>PASS</x:v>
      </x:c>
      <x:c r="J1583" s="25" t="str">
        <x:v>PASS</x:v>
      </x:c>
      <x:c r="K1583" s="25" t="n">
        <x:v>2</x:v>
      </x:c>
      <x:c r="L1583" s="27" t="b">
        <x:v>0</x:v>
      </x:c>
      <x:c r="M1583" s="25" t="str">
        <x:v>Feedback-Directed Random Test Generation/rounds/Round2/state/Math.json</x:v>
      </x:c>
      <x:c r="N1583" s="25" t="str">
        <x:v>Feedback-Directed Random Test Generation/Result_Round2/Math_44/result.json</x:v>
      </x:c>
      <x:c r="O1583" s="25" t="str">
        <x:v>Feedback-Directed Random Test Generation/Result_Round2/Math_44/result.json</x:v>
      </x:c>
      <x:c r="P1583"/>
      <x:c r="Q1583" s="21" t="str"/>
      <x:c r="R1583" s="21" t="str"/>
      <x:c r="S1583" s="21" t="str"/>
      <x:c r="T1583" s="17" t="str">
        <x:v>false</x:v>
      </x:c>
      <x:c r="U1583" s="17" t="str">
        <x:v>true</x:v>
      </x:c>
      <x:c r="V1583" s="17" t="str">
        <x:v>false</x:v>
      </x:c>
    </x:row>
    <x:row r="1584" ht="80" customHeight="1">
      <x:c r="A1584" s="25" t="str">
        <x:v>Math</x:v>
      </x:c>
      <x:c r="B1584" s="25" t="n">
        <x:v>45</x:v>
      </x:c>
      <x:c r="C1584" s="25" t="str">
        <x:v>Round2</x:v>
      </x:c>
      <x:c r="D1584" s="25" t="str">
        <x:v>NOT_REVEALING</x:v>
      </x:c>
      <x:c r="E1584" s="25" t="str">
        <x:v>N/A</x:v>
      </x:c>
      <x:c r="F1584" s="26" t="str">
        <x:v>Same saved validation suite passed on buggy and fixed</x:v>
      </x:c>
      <x:c r="G1584" s="25" t="str">
        <x:v>true</x:v>
      </x:c>
      <x:c r="H1584" s="25" t="str">
        <x:v>NOT_REVEALING</x:v>
      </x:c>
      <x:c r="I1584" s="25" t="str">
        <x:v>PASS</x:v>
      </x:c>
      <x:c r="J1584" s="25" t="str">
        <x:v>PASS</x:v>
      </x:c>
      <x:c r="K1584" s="25" t="n">
        <x:v>2</x:v>
      </x:c>
      <x:c r="L1584" s="27" t="b">
        <x:v>0</x:v>
      </x:c>
      <x:c r="M1584" s="25" t="str">
        <x:v>Feedback-Directed Random Test Generation/rounds/Round2/state/Math.json</x:v>
      </x:c>
      <x:c r="N1584" s="25" t="str">
        <x:v>Feedback-Directed Random Test Generation/Result_Round2/Math_45/result.json</x:v>
      </x:c>
      <x:c r="O1584" s="25" t="str">
        <x:v>Feedback-Directed Random Test Generation/Result_Round2/Math_45/result.json</x:v>
      </x:c>
      <x:c r="P1584"/>
      <x:c r="Q1584" s="21" t="str"/>
      <x:c r="R1584" s="21" t="str"/>
      <x:c r="S1584" s="21" t="str"/>
      <x:c r="T1584" s="17" t="str">
        <x:v>false</x:v>
      </x:c>
      <x:c r="U1584" s="17" t="str">
        <x:v>true</x:v>
      </x:c>
      <x:c r="V1584" s="17" t="str">
        <x:v>false</x:v>
      </x:c>
    </x:row>
    <x:row r="1585" ht="80" customHeight="1">
      <x:c r="A1585" s="25" t="str">
        <x:v>Math</x:v>
      </x:c>
      <x:c r="B1585" s="25" t="n">
        <x:v>46</x:v>
      </x:c>
      <x:c r="C1585" s="25" t="str">
        <x:v>Round2</x:v>
      </x:c>
      <x:c r="D1585" s="25" t="str">
        <x:v>INCONCLUSIVE</x:v>
      </x:c>
      <x:c r="E1585" s="25" t="str">
        <x:v>N/A</x:v>
      </x:c>
      <x:c r="F1585" s="26" t="str">
        <x:v>Fixed also failed; assertion failure cannot be attributed to this bug; Assertions failed with measured coverage; paired execution and stage checks determine status</x:v>
      </x:c>
      <x:c r="G1585" s="25" t="str">
        <x:v>true</x:v>
      </x:c>
      <x:c r="H1585" s="25" t="str">
        <x:v>INCONCLUSIVE</x:v>
      </x:c>
      <x:c r="I1585" s="25" t="str">
        <x:v>FAIL</x:v>
      </x:c>
      <x:c r="J1585" s="25" t="str">
        <x:v>FAIL</x:v>
      </x:c>
      <x:c r="K1585" s="25" t="n">
        <x:v>12</x:v>
      </x:c>
      <x:c r="L1585" s="27" t="b">
        <x:v>0</x:v>
      </x:c>
      <x:c r="M1585" s="25" t="str">
        <x:v>Feedback-Directed Random Test Generation/rounds/Round2/state/Math.json</x:v>
      </x:c>
      <x:c r="N1585" s="25" t="str">
        <x:v>Feedback-Directed Random Test Generation/Result_Round2/Math_46/result.json</x:v>
      </x:c>
      <x:c r="O1585" s="25" t="str">
        <x:v>Feedback-Directed Random Test Generation/Result_Round2/Math_46/result.json</x:v>
      </x:c>
      <x:c r="P1585"/>
      <x:c r="Q1585" s="21" t="str"/>
      <x:c r="R1585" s="21" t="str"/>
      <x:c r="S1585" s="21" t="str"/>
      <x:c r="T1585" s="17" t="str">
        <x:v>false</x:v>
      </x:c>
      <x:c r="U1585" s="17" t="str">
        <x:v>true</x:v>
      </x:c>
      <x:c r="V1585" s="17" t="str">
        <x:v>false</x:v>
      </x:c>
    </x:row>
    <x:row r="1586" ht="80" customHeight="1">
      <x:c r="A1586" s="25" t="str">
        <x:v>Math</x:v>
      </x:c>
      <x:c r="B1586" s="25" t="n">
        <x:v>47</x:v>
      </x:c>
      <x:c r="C1586" s="25" t="str">
        <x:v>Round2</x:v>
      </x:c>
      <x:c r="D1586" s="25" t="str">
        <x:v>INCONCLUSIVE</x:v>
      </x:c>
      <x:c r="E1586" s="25" t="str">
        <x:v>N/A</x:v>
      </x:c>
      <x:c r="F1586" s="26" t="str">
        <x:v>Fixed also failed; assertion failure cannot be attributed to this bug; Assertions failed with measured coverage; paired execution and stage checks determine status</x:v>
      </x:c>
      <x:c r="G1586" s="25" t="str">
        <x:v>true</x:v>
      </x:c>
      <x:c r="H1586" s="25" t="str">
        <x:v>INCONCLUSIVE</x:v>
      </x:c>
      <x:c r="I1586" s="25" t="str">
        <x:v>FAIL</x:v>
      </x:c>
      <x:c r="J1586" s="25" t="str">
        <x:v>FAIL</x:v>
      </x:c>
      <x:c r="K1586" s="25" t="n">
        <x:v>12</x:v>
      </x:c>
      <x:c r="L1586" s="27" t="b">
        <x:v>0</x:v>
      </x:c>
      <x:c r="M1586" s="25" t="str">
        <x:v>Feedback-Directed Random Test Generation/rounds/Round2/state/Math.json</x:v>
      </x:c>
      <x:c r="N1586" s="25" t="str">
        <x:v>Feedback-Directed Random Test Generation/Result_Round2/Math_47/result.json</x:v>
      </x:c>
      <x:c r="O1586" s="25" t="str">
        <x:v>Feedback-Directed Random Test Generation/Result_Round2/Math_47/result.json</x:v>
      </x:c>
      <x:c r="P1586"/>
      <x:c r="Q1586" s="21" t="str"/>
      <x:c r="R1586" s="21" t="str"/>
      <x:c r="S1586" s="21" t="str"/>
      <x:c r="T1586" s="17" t="str">
        <x:v>false</x:v>
      </x:c>
      <x:c r="U1586" s="17" t="str">
        <x:v>true</x:v>
      </x:c>
      <x:c r="V1586" s="17" t="str">
        <x:v>false</x:v>
      </x:c>
    </x:row>
    <x:row r="1587" ht="80" customHeight="1">
      <x:c r="A1587" s="25" t="str">
        <x:v>Math</x:v>
      </x:c>
      <x:c r="B1587" s="25" t="n">
        <x:v>48</x:v>
      </x:c>
      <x:c r="C1587" s="25" t="str">
        <x:v>Round2</x:v>
      </x:c>
      <x:c r="D1587" s="25" t="str">
        <x:v>NOT_REVEALING</x:v>
      </x:c>
      <x:c r="E1587" s="25" t="str">
        <x:v>N/A</x:v>
      </x:c>
      <x:c r="F1587" s="26" t="str">
        <x:v>Same saved validation suite passed on buggy and fixed</x:v>
      </x:c>
      <x:c r="G1587" s="25" t="str">
        <x:v>true</x:v>
      </x:c>
      <x:c r="H1587" s="25" t="str">
        <x:v>NOT_REVEALING</x:v>
      </x:c>
      <x:c r="I1587" s="25" t="str">
        <x:v>PASS</x:v>
      </x:c>
      <x:c r="J1587" s="25" t="str">
        <x:v>PASS</x:v>
      </x:c>
      <x:c r="K1587" s="25" t="n">
        <x:v>2</x:v>
      </x:c>
      <x:c r="L1587" s="27" t="b">
        <x:v>0</x:v>
      </x:c>
      <x:c r="M1587" s="25" t="str">
        <x:v>Feedback-Directed Random Test Generation/rounds/Round2/state/Math.json</x:v>
      </x:c>
      <x:c r="N1587" s="25" t="str">
        <x:v>Feedback-Directed Random Test Generation/Result_Round2/Math_48/result.json</x:v>
      </x:c>
      <x:c r="O1587" s="25" t="str">
        <x:v>Feedback-Directed Random Test Generation/Result_Round2/Math_48/result.json</x:v>
      </x:c>
      <x:c r="P1587"/>
      <x:c r="Q1587" s="21" t="str"/>
      <x:c r="R1587" s="21" t="str"/>
      <x:c r="S1587" s="21" t="str"/>
      <x:c r="T1587" s="17" t="str">
        <x:v>false</x:v>
      </x:c>
      <x:c r="U1587" s="17" t="str">
        <x:v>true</x:v>
      </x:c>
      <x:c r="V1587" s="17" t="str">
        <x:v>false</x:v>
      </x:c>
    </x:row>
    <x:row r="1588" ht="80" customHeight="1">
      <x:c r="A1588" s="25" t="str">
        <x:v>Math</x:v>
      </x:c>
      <x:c r="B1588" s="25" t="n">
        <x:v>49</x:v>
      </x:c>
      <x:c r="C1588" s="25" t="str">
        <x:v>Round2</x:v>
      </x:c>
      <x:c r="D1588" s="25" t="str">
        <x:v>INCONCLUSIVE</x:v>
      </x:c>
      <x:c r="E1588" s="25" t="str">
        <x:v>N/A</x:v>
      </x:c>
      <x:c r="F1588" s="26" t="str">
        <x:v>Fixed also failed; assertion failure cannot be attributed to this bug; Assertions failed with measured coverage; paired execution and stage checks determine status</x:v>
      </x:c>
      <x:c r="G1588" s="25" t="str">
        <x:v>true</x:v>
      </x:c>
      <x:c r="H1588" s="25" t="str">
        <x:v>INCONCLUSIVE</x:v>
      </x:c>
      <x:c r="I1588" s="25" t="str">
        <x:v>FAIL</x:v>
      </x:c>
      <x:c r="J1588" s="25" t="str">
        <x:v>FAIL</x:v>
      </x:c>
      <x:c r="K1588" s="25" t="n">
        <x:v>7</x:v>
      </x:c>
      <x:c r="L1588" s="27" t="b">
        <x:v>0</x:v>
      </x:c>
      <x:c r="M1588" s="25" t="str">
        <x:v>Feedback-Directed Random Test Generation/rounds/Round2/state/Math.json</x:v>
      </x:c>
      <x:c r="N1588" s="25" t="str">
        <x:v>Feedback-Directed Random Test Generation/Result_Round2/Math_49/result.json</x:v>
      </x:c>
      <x:c r="O1588" s="25" t="str">
        <x:v>Feedback-Directed Random Test Generation/Result_Round2/Math_49/result.json</x:v>
      </x:c>
      <x:c r="P1588"/>
      <x:c r="Q1588" s="21" t="str"/>
      <x:c r="R1588" s="21" t="str"/>
      <x:c r="S1588" s="21" t="str"/>
      <x:c r="T1588" s="17" t="str">
        <x:v>false</x:v>
      </x:c>
      <x:c r="U1588" s="17" t="str">
        <x:v>true</x:v>
      </x:c>
      <x:c r="V1588" s="17" t="str">
        <x:v>false</x:v>
      </x:c>
    </x:row>
    <x:row r="1589" ht="80" customHeight="1">
      <x:c r="A1589" s="25" t="str">
        <x:v>Math</x:v>
      </x:c>
      <x:c r="B1589" s="25" t="n">
        <x:v>50</x:v>
      </x:c>
      <x:c r="C1589" s="25" t="str">
        <x:v>Round2</x:v>
      </x:c>
      <x:c r="D1589" s="25" t="str">
        <x:v>NOT_REVEALING</x:v>
      </x:c>
      <x:c r="E1589" s="25" t="str">
        <x:v>N/A</x:v>
      </x:c>
      <x:c r="F1589" s="26" t="str">
        <x:v>Same saved validation suite passed on buggy and fixed</x:v>
      </x:c>
      <x:c r="G1589" s="25" t="str">
        <x:v>true</x:v>
      </x:c>
      <x:c r="H1589" s="25" t="str">
        <x:v>NOT_REVEALING</x:v>
      </x:c>
      <x:c r="I1589" s="25" t="str">
        <x:v>PASS</x:v>
      </x:c>
      <x:c r="J1589" s="25" t="str">
        <x:v>PASS</x:v>
      </x:c>
      <x:c r="K1589" s="25" t="n">
        <x:v>2</x:v>
      </x:c>
      <x:c r="L1589" s="27" t="b">
        <x:v>0</x:v>
      </x:c>
      <x:c r="M1589" s="25" t="str">
        <x:v>Feedback-Directed Random Test Generation/rounds/Round2/state/Math.json</x:v>
      </x:c>
      <x:c r="N1589" s="25" t="str">
        <x:v>Feedback-Directed Random Test Generation/Result_Round2/Math_50/result.json</x:v>
      </x:c>
      <x:c r="O1589" s="25" t="str">
        <x:v>Feedback-Directed Random Test Generation/Result_Round2/Math_50/result.json</x:v>
      </x:c>
      <x:c r="P1589"/>
      <x:c r="Q1589" s="21" t="str"/>
      <x:c r="R1589" s="21" t="str"/>
      <x:c r="S1589" s="21" t="str"/>
      <x:c r="T1589" s="17" t="str">
        <x:v>false</x:v>
      </x:c>
      <x:c r="U1589" s="17" t="str">
        <x:v>true</x:v>
      </x:c>
      <x:c r="V1589" s="17" t="str">
        <x:v>false</x:v>
      </x:c>
    </x:row>
    <x:row r="1590" ht="80" customHeight="1">
      <x:c r="A1590" s="25" t="str">
        <x:v>Math</x:v>
      </x:c>
      <x:c r="B1590" s="25" t="n">
        <x:v>51</x:v>
      </x:c>
      <x:c r="C1590" s="25" t="str">
        <x:v>Round2</x:v>
      </x:c>
      <x:c r="D1590" s="25" t="str">
        <x:v>NOT_REVEALING</x:v>
      </x:c>
      <x:c r="E1590" s="25" t="str">
        <x:v>N/A</x:v>
      </x:c>
      <x:c r="F1590" s="26" t="str">
        <x:v>Same saved validation suite passed on buggy and fixed</x:v>
      </x:c>
      <x:c r="G1590" s="25" t="str">
        <x:v>true</x:v>
      </x:c>
      <x:c r="H1590" s="25" t="str">
        <x:v>NOT_REVEALING</x:v>
      </x:c>
      <x:c r="I1590" s="25" t="str">
        <x:v>PASS</x:v>
      </x:c>
      <x:c r="J1590" s="25" t="str">
        <x:v>PASS</x:v>
      </x:c>
      <x:c r="K1590" s="25" t="n">
        <x:v>2</x:v>
      </x:c>
      <x:c r="L1590" s="27" t="b">
        <x:v>0</x:v>
      </x:c>
      <x:c r="M1590" s="25" t="str">
        <x:v>Feedback-Directed Random Test Generation/rounds/Round2/state/Math.json</x:v>
      </x:c>
      <x:c r="N1590" s="25" t="str">
        <x:v>Feedback-Directed Random Test Generation/Result_Round2/Math_51/result.json</x:v>
      </x:c>
      <x:c r="O1590" s="25" t="str">
        <x:v>Feedback-Directed Random Test Generation/Result_Round2/Math_51/result.json</x:v>
      </x:c>
      <x:c r="P1590"/>
      <x:c r="Q1590" s="21" t="str"/>
      <x:c r="R1590" s="21" t="str"/>
      <x:c r="S1590" s="21" t="str"/>
      <x:c r="T1590" s="17" t="str">
        <x:v>false</x:v>
      </x:c>
      <x:c r="U1590" s="17" t="str">
        <x:v>true</x:v>
      </x:c>
      <x:c r="V1590" s="17" t="str">
        <x:v>false</x:v>
      </x:c>
    </x:row>
    <x:row r="1591" ht="80" customHeight="1">
      <x:c r="A1591" s="25" t="str">
        <x:v>Math</x:v>
      </x:c>
      <x:c r="B1591" s="25" t="n">
        <x:v>52</x:v>
      </x:c>
      <x:c r="C1591" s="25" t="str">
        <x:v>Round2</x:v>
      </x:c>
      <x:c r="D1591" s="25" t="str">
        <x:v>INCONCLUSIVE</x:v>
      </x:c>
      <x:c r="E1591" s="25" t="str">
        <x:v>N/A</x:v>
      </x:c>
      <x:c r="F1591" s="26" t="str">
        <x:v>Fixed also failed; assertion failure cannot be attributed to this bug; Assertions failed with measured coverage; paired execution and stage checks determine status</x:v>
      </x:c>
      <x:c r="G1591" s="25" t="str">
        <x:v>true</x:v>
      </x:c>
      <x:c r="H1591" s="25" t="str">
        <x:v>INCONCLUSIVE</x:v>
      </x:c>
      <x:c r="I1591" s="25" t="str">
        <x:v>FAIL</x:v>
      </x:c>
      <x:c r="J1591" s="25" t="str">
        <x:v>FAIL</x:v>
      </x:c>
      <x:c r="K1591" s="25" t="n">
        <x:v>10</x:v>
      </x:c>
      <x:c r="L1591" s="27" t="b">
        <x:v>0</x:v>
      </x:c>
      <x:c r="M1591" s="25" t="str">
        <x:v>Feedback-Directed Random Test Generation/rounds/Round2/state/Math.json</x:v>
      </x:c>
      <x:c r="N1591" s="25" t="str">
        <x:v>Feedback-Directed Random Test Generation/Result_Round2/Math_52/result.json</x:v>
      </x:c>
      <x:c r="O1591" s="25" t="str">
        <x:v>Feedback-Directed Random Test Generation/Result_Round2/Math_52/result.json</x:v>
      </x:c>
      <x:c r="P1591"/>
      <x:c r="Q1591" s="21" t="str"/>
      <x:c r="R1591" s="21" t="str"/>
      <x:c r="S1591" s="21" t="str"/>
      <x:c r="T1591" s="17" t="str">
        <x:v>false</x:v>
      </x:c>
      <x:c r="U1591" s="17" t="str">
        <x:v>true</x:v>
      </x:c>
      <x:c r="V1591" s="17" t="str">
        <x:v>false</x:v>
      </x:c>
    </x:row>
    <x:row r="1592" ht="80" customHeight="1">
      <x:c r="A1592" s="25" t="str">
        <x:v>Math</x:v>
      </x:c>
      <x:c r="B1592" s="25" t="n">
        <x:v>53</x:v>
      </x:c>
      <x:c r="C1592" s="25" t="str">
        <x:v>Round2</x:v>
      </x:c>
      <x:c r="D1592" s="25" t="str">
        <x:v>INCONCLUSIVE</x:v>
      </x:c>
      <x:c r="E1592" s="25" t="str">
        <x:v>N/A</x:v>
      </x:c>
      <x:c r="F1592" s="26" t="str">
        <x:v>Fixed also failed; assertion failure cannot be attributed to this bug; Assertions failed with measured coverage; paired execution and stage checks determine status</x:v>
      </x:c>
      <x:c r="G1592" s="25" t="str">
        <x:v>true</x:v>
      </x:c>
      <x:c r="H1592" s="25" t="str">
        <x:v>INCONCLUSIVE</x:v>
      </x:c>
      <x:c r="I1592" s="25" t="str">
        <x:v>FAIL</x:v>
      </x:c>
      <x:c r="J1592" s="25" t="str">
        <x:v>FAIL</x:v>
      </x:c>
      <x:c r="K1592" s="25" t="n">
        <x:v>11</x:v>
      </x:c>
      <x:c r="L1592" s="27" t="b">
        <x:v>0</x:v>
      </x:c>
      <x:c r="M1592" s="25" t="str">
        <x:v>Feedback-Directed Random Test Generation/rounds/Round2/state/Math.json</x:v>
      </x:c>
      <x:c r="N1592" s="25" t="str">
        <x:v>Feedback-Directed Random Test Generation/Result_Round2/Math_53/result.json</x:v>
      </x:c>
      <x:c r="O1592" s="25" t="str">
        <x:v>Feedback-Directed Random Test Generation/Result_Round2/Math_53/result.json</x:v>
      </x:c>
      <x:c r="P1592"/>
      <x:c r="Q1592" s="21" t="str"/>
      <x:c r="R1592" s="21" t="str"/>
      <x:c r="S1592" s="21" t="str"/>
      <x:c r="T1592" s="17" t="str">
        <x:v>false</x:v>
      </x:c>
      <x:c r="U1592" s="17" t="str">
        <x:v>true</x:v>
      </x:c>
      <x:c r="V1592" s="17" t="str">
        <x:v>false</x:v>
      </x:c>
    </x:row>
    <x:row r="1593" ht="80" customHeight="1">
      <x:c r="A1593" s="25" t="str">
        <x:v>Math</x:v>
      </x:c>
      <x:c r="B1593" s="25" t="n">
        <x:v>54</x:v>
      </x:c>
      <x:c r="C1593" s="25" t="str">
        <x:v>Round2</x:v>
      </x:c>
      <x:c r="D1593" s="25" t="str">
        <x:v>NOT_REVEALING</x:v>
      </x:c>
      <x:c r="E1593" s="25" t="str">
        <x:v>N/A</x:v>
      </x:c>
      <x:c r="F1593" s="26" t="str">
        <x:v>Same saved validation suite passed on buggy and fixed</x:v>
      </x:c>
      <x:c r="G1593" s="25" t="str">
        <x:v>true</x:v>
      </x:c>
      <x:c r="H1593" s="25" t="str">
        <x:v>NOT_REVEALING</x:v>
      </x:c>
      <x:c r="I1593" s="25" t="str">
        <x:v>PASS</x:v>
      </x:c>
      <x:c r="J1593" s="25" t="str">
        <x:v>PASS</x:v>
      </x:c>
      <x:c r="K1593" s="25" t="n">
        <x:v>2</x:v>
      </x:c>
      <x:c r="L1593" s="27" t="b">
        <x:v>0</x:v>
      </x:c>
      <x:c r="M1593" s="25" t="str">
        <x:v>Feedback-Directed Random Test Generation/rounds/Round2/state/Math.json</x:v>
      </x:c>
      <x:c r="N1593" s="25" t="str">
        <x:v>Feedback-Directed Random Test Generation/Result_Round2/Math_54/result.json</x:v>
      </x:c>
      <x:c r="O1593" s="25" t="str">
        <x:v>Feedback-Directed Random Test Generation/Result_Round2/Math_54/result.json</x:v>
      </x:c>
      <x:c r="P1593"/>
      <x:c r="Q1593" s="21" t="str"/>
      <x:c r="R1593" s="21" t="str"/>
      <x:c r="S1593" s="21" t="str"/>
      <x:c r="T1593" s="17" t="str">
        <x:v>false</x:v>
      </x:c>
      <x:c r="U1593" s="17" t="str">
        <x:v>true</x:v>
      </x:c>
      <x:c r="V1593" s="17" t="str">
        <x:v>false</x:v>
      </x:c>
    </x:row>
    <x:row r="1594" ht="80" customHeight="1">
      <x:c r="A1594" s="25" t="str">
        <x:v>Math</x:v>
      </x:c>
      <x:c r="B1594" s="25" t="n">
        <x:v>55</x:v>
      </x:c>
      <x:c r="C1594" s="25" t="str">
        <x:v>Round2</x:v>
      </x:c>
      <x:c r="D1594" s="25" t="str">
        <x:v>INCONCLUSIVE</x:v>
      </x:c>
      <x:c r="E1594" s="25" t="str">
        <x:v>N/A</x:v>
      </x:c>
      <x:c r="F1594" s="26" t="str">
        <x:v>Fixed also failed; assertion failure cannot be attributed to this bug; Assertions failed with measured coverage; paired execution and stage checks determine status</x:v>
      </x:c>
      <x:c r="G1594" s="25" t="str">
        <x:v>true</x:v>
      </x:c>
      <x:c r="H1594" s="25" t="str">
        <x:v>INCONCLUSIVE</x:v>
      </x:c>
      <x:c r="I1594" s="25" t="str">
        <x:v>FAIL</x:v>
      </x:c>
      <x:c r="J1594" s="25" t="str">
        <x:v>FAIL</x:v>
      </x:c>
      <x:c r="K1594" s="25" t="n">
        <x:v>9</x:v>
      </x:c>
      <x:c r="L1594" s="27" t="b">
        <x:v>0</x:v>
      </x:c>
      <x:c r="M1594" s="25" t="str">
        <x:v>Feedback-Directed Random Test Generation/rounds/Round2/state/Math.json</x:v>
      </x:c>
      <x:c r="N1594" s="25" t="str">
        <x:v>Feedback-Directed Random Test Generation/Result_Round2/Math_55/result.json</x:v>
      </x:c>
      <x:c r="O1594" s="25" t="str">
        <x:v>Feedback-Directed Random Test Generation/Result_Round2/Math_55/result.json</x:v>
      </x:c>
      <x:c r="P1594"/>
      <x:c r="Q1594" s="21" t="str"/>
      <x:c r="R1594" s="21" t="str"/>
      <x:c r="S1594" s="21" t="str"/>
      <x:c r="T1594" s="17" t="str">
        <x:v>false</x:v>
      </x:c>
      <x:c r="U1594" s="17" t="str">
        <x:v>true</x:v>
      </x:c>
      <x:c r="V1594" s="17" t="str">
        <x:v>false</x:v>
      </x:c>
    </x:row>
    <x:row r="1595" ht="80" customHeight="1">
      <x:c r="A1595" s="25" t="str">
        <x:v>Math</x:v>
      </x:c>
      <x:c r="B1595" s="25" t="n">
        <x:v>56</x:v>
      </x:c>
      <x:c r="C1595" s="25" t="str">
        <x:v>Round2</x:v>
      </x:c>
      <x:c r="D1595" s="25" t="str">
        <x:v>INCONCLUSIVE</x:v>
      </x:c>
      <x:c r="E1595" s="25" t="str">
        <x:v>N/A</x:v>
      </x:c>
      <x:c r="F1595" s="26" t="str">
        <x:v>Fixed also failed; assertion failure cannot be attributed to this bug</x:v>
      </x:c>
      <x:c r="G1595" s="25" t="str">
        <x:v>true</x:v>
      </x:c>
      <x:c r="H1595" s="25" t="str">
        <x:v>INCONCLUSIVE</x:v>
      </x:c>
      <x:c r="I1595" s="25" t="str">
        <x:v>PASS</x:v>
      </x:c>
      <x:c r="J1595" s="25" t="str">
        <x:v>FAIL</x:v>
      </x:c>
      <x:c r="K1595" s="25" t="n">
        <x:v>4</x:v>
      </x:c>
      <x:c r="L1595" s="27" t="b">
        <x:v>0</x:v>
      </x:c>
      <x:c r="M1595" s="25" t="str">
        <x:v>Feedback-Directed Random Test Generation/rounds/Round2/state/Math.json</x:v>
      </x:c>
      <x:c r="N1595" s="25" t="str">
        <x:v>Feedback-Directed Random Test Generation/Result_Round2/Math_56/result.json</x:v>
      </x:c>
      <x:c r="O1595" s="25" t="str">
        <x:v>Feedback-Directed Random Test Generation/Result_Round2/Math_56/result.json</x:v>
      </x:c>
      <x:c r="P1595"/>
      <x:c r="Q1595" s="21" t="str"/>
      <x:c r="R1595" s="21" t="str"/>
      <x:c r="S1595" s="21" t="str"/>
      <x:c r="T1595" s="17" t="str">
        <x:v>false</x:v>
      </x:c>
      <x:c r="U1595" s="17" t="str">
        <x:v>true</x:v>
      </x:c>
      <x:c r="V1595" s="17" t="str">
        <x:v>false</x:v>
      </x:c>
    </x:row>
    <x:row r="1596" ht="80" customHeight="1">
      <x:c r="A1596" s="25" t="str">
        <x:v>Math</x:v>
      </x:c>
      <x:c r="B1596" s="25" t="n">
        <x:v>57</x:v>
      </x:c>
      <x:c r="C1596" s="25" t="str">
        <x:v>Round2</x:v>
      </x:c>
      <x:c r="D1596" s="25" t="str">
        <x:v>NOT_REVEALING</x:v>
      </x:c>
      <x:c r="E1596" s="25" t="str">
        <x:v>N/A</x:v>
      </x:c>
      <x:c r="F1596" s="26" t="str">
        <x:v>Same saved validation suite passed on buggy and fixed</x:v>
      </x:c>
      <x:c r="G1596" s="25" t="str">
        <x:v>true</x:v>
      </x:c>
      <x:c r="H1596" s="25" t="str">
        <x:v>NOT_REVEALING</x:v>
      </x:c>
      <x:c r="I1596" s="25" t="str">
        <x:v>PASS</x:v>
      </x:c>
      <x:c r="J1596" s="25" t="str">
        <x:v>PASS</x:v>
      </x:c>
      <x:c r="K1596" s="25" t="n">
        <x:v>2</x:v>
      </x:c>
      <x:c r="L1596" s="27" t="b">
        <x:v>0</x:v>
      </x:c>
      <x:c r="M1596" s="25" t="str">
        <x:v>Feedback-Directed Random Test Generation/rounds/Round2/state/Math.json</x:v>
      </x:c>
      <x:c r="N1596" s="25" t="str">
        <x:v>Feedback-Directed Random Test Generation/Result_Round2/Math_57/result.json</x:v>
      </x:c>
      <x:c r="O1596" s="25" t="str">
        <x:v>Feedback-Directed Random Test Generation/Result_Round2/Math_57/result.json</x:v>
      </x:c>
      <x:c r="P1596"/>
      <x:c r="Q1596" s="21" t="str"/>
      <x:c r="R1596" s="21" t="str"/>
      <x:c r="S1596" s="21" t="str"/>
      <x:c r="T1596" s="17" t="str">
        <x:v>false</x:v>
      </x:c>
      <x:c r="U1596" s="17" t="str">
        <x:v>true</x:v>
      </x:c>
      <x:c r="V1596" s="17" t="str">
        <x:v>false</x:v>
      </x:c>
    </x:row>
    <x:row r="1597" ht="80" customHeight="1">
      <x:c r="A1597" s="25" t="str">
        <x:v>Math</x:v>
      </x:c>
      <x:c r="B1597" s="25" t="n">
        <x:v>58</x:v>
      </x:c>
      <x:c r="C1597" s="25" t="str">
        <x:v>Round2</x:v>
      </x:c>
      <x:c r="D1597" s="25" t="str">
        <x:v>NOT_REVEALING</x:v>
      </x:c>
      <x:c r="E1597" s="25" t="str">
        <x:v>N/A</x:v>
      </x:c>
      <x:c r="F1597" s="26" t="str">
        <x:v>Same saved validation suite passed on buggy and fixed</x:v>
      </x:c>
      <x:c r="G1597" s="25" t="str">
        <x:v>true</x:v>
      </x:c>
      <x:c r="H1597" s="25" t="str">
        <x:v>NOT_REVEALING</x:v>
      </x:c>
      <x:c r="I1597" s="25" t="str">
        <x:v>PASS</x:v>
      </x:c>
      <x:c r="J1597" s="25" t="str">
        <x:v>PASS</x:v>
      </x:c>
      <x:c r="K1597" s="25" t="n">
        <x:v>8</x:v>
      </x:c>
      <x:c r="L1597" s="27" t="b">
        <x:v>0</x:v>
      </x:c>
      <x:c r="M1597" s="25" t="str">
        <x:v>Feedback-Directed Random Test Generation/rounds/Round2/state/Math.json</x:v>
      </x:c>
      <x:c r="N1597" s="25" t="str">
        <x:v>Feedback-Directed Random Test Generation/Result_Round2/Math_58/result.json</x:v>
      </x:c>
      <x:c r="O1597" s="25" t="str">
        <x:v>Feedback-Directed Random Test Generation/Result_Round2/Math_58/result.json</x:v>
      </x:c>
      <x:c r="P1597"/>
      <x:c r="Q1597" s="21" t="str"/>
      <x:c r="R1597" s="21" t="str"/>
      <x:c r="S1597" s="21" t="str"/>
      <x:c r="T1597" s="17" t="str">
        <x:v>false</x:v>
      </x:c>
      <x:c r="U1597" s="17" t="str">
        <x:v>true</x:v>
      </x:c>
      <x:c r="V1597" s="17" t="str">
        <x:v>false</x:v>
      </x:c>
    </x:row>
    <x:row r="1598" ht="80" customHeight="1">
      <x:c r="A1598" s="25" t="str">
        <x:v>Math</x:v>
      </x:c>
      <x:c r="B1598" s="25" t="n">
        <x:v>59</x:v>
      </x:c>
      <x:c r="C1598" s="25" t="str">
        <x:v>Round2</x:v>
      </x:c>
      <x:c r="D1598" s="25" t="str">
        <x:v>INCONCLUSIVE</x:v>
      </x:c>
      <x:c r="E1598" s="25" t="str">
        <x:v>N/A</x:v>
      </x:c>
      <x:c r="F1598" s="26" t="str">
        <x:v>Fixed also failed; assertion failure cannot be attributed to this bug</x:v>
      </x:c>
      <x:c r="G1598" s="25" t="str">
        <x:v>true</x:v>
      </x:c>
      <x:c r="H1598" s="25" t="str">
        <x:v>INCONCLUSIVE</x:v>
      </x:c>
      <x:c r="I1598" s="25" t="str">
        <x:v>PASS</x:v>
      </x:c>
      <x:c r="J1598" s="25" t="str">
        <x:v>FAIL</x:v>
      </x:c>
      <x:c r="K1598" s="25" t="n">
        <x:v>27</x:v>
      </x:c>
      <x:c r="L1598" s="27" t="b">
        <x:v>0</x:v>
      </x:c>
      <x:c r="M1598" s="25" t="str">
        <x:v>Feedback-Directed Random Test Generation/rounds/Round2/state/Math.json</x:v>
      </x:c>
      <x:c r="N1598" s="25" t="str">
        <x:v>Feedback-Directed Random Test Generation/Result_Round2/Math_59/result.json</x:v>
      </x:c>
      <x:c r="O1598" s="25" t="str">
        <x:v>Feedback-Directed Random Test Generation/Result_Round2/Math_59/result.json</x:v>
      </x:c>
      <x:c r="P1598"/>
      <x:c r="Q1598" s="21" t="str"/>
      <x:c r="R1598" s="21" t="str"/>
      <x:c r="S1598" s="21" t="str"/>
      <x:c r="T1598" s="17" t="str">
        <x:v>false</x:v>
      </x:c>
      <x:c r="U1598" s="17" t="str">
        <x:v>true</x:v>
      </x:c>
      <x:c r="V1598" s="17" t="str">
        <x:v>false</x:v>
      </x:c>
    </x:row>
    <x:row r="1599" ht="80" customHeight="1">
      <x:c r="A1599" s="25" t="str">
        <x:v>Math</x:v>
      </x:c>
      <x:c r="B1599" s="25" t="n">
        <x:v>60</x:v>
      </x:c>
      <x:c r="C1599" s="25" t="str">
        <x:v>Round2</x:v>
      </x:c>
      <x:c r="D1599" s="25" t="str">
        <x:v>FAIL</x:v>
      </x:c>
      <x:c r="E1599" s="25" t="str">
        <x:v>N/A</x:v>
      </x:c>
      <x:c r="F1599" s="26" t="str">
        <x:v>Latest same-round generation failed; older files/results are excluded</x:v>
      </x:c>
      <x:c r="G1599" s="25" t="str">
        <x:v>true</x:v>
      </x:c>
      <x:c r="H1599" s="25" t="str">
        <x:v>FAIL</x:v>
      </x:c>
      <x:c r="I1599" s="25"/>
      <x:c r="J1599" s="25"/>
      <x:c r="K1599" s="25" t="n">
        <x:v>0</x:v>
      </x:c>
      <x:c r="L1599" s="27" t="b">
        <x:v>1</x:v>
      </x:c>
      <x:c r="M1599" s="25" t="str">
        <x:v>Feedback-Directed Random Test Generation/rounds/Round2/state/Math.json</x:v>
      </x:c>
      <x:c r="N1599" s="25"/>
      <x:c r="O1599" s="25" t="str">
        <x:v>Feedback-Directed Random Test Generation/Result_Round2/Math_60/result.json</x:v>
      </x:c>
      <x:c r="P1599"/>
      <x:c r="Q1599" s="21" t="str"/>
      <x:c r="R1599" s="21" t="str"/>
      <x:c r="S1599" s="21" t="str"/>
      <x:c r="T1599" s="17" t="str">
        <x:v>false</x:v>
      </x:c>
      <x:c r="U1599" s="17" t="str">
        <x:v>false</x:v>
      </x:c>
      <x:c r="V1599" s="17" t="str">
        <x:v>false</x:v>
      </x:c>
    </x:row>
    <x:row r="1600" ht="80" customHeight="1">
      <x:c r="A1600" s="25" t="str">
        <x:v>Math</x:v>
      </x:c>
      <x:c r="B1600" s="25" t="n">
        <x:v>61</x:v>
      </x:c>
      <x:c r="C1600" s="25" t="str">
        <x:v>Round2</x:v>
      </x:c>
      <x:c r="D1600" s="25" t="str">
        <x:v>INCONCLUSIVE</x:v>
      </x:c>
      <x:c r="E1600" s="25" t="str">
        <x:v>N/A</x:v>
      </x:c>
      <x:c r="F1600" s="26" t="str">
        <x:v>Fixed also failed; assertion failure cannot be attributed to this bug; Assertions failed with measured coverage; paired execution and stage checks determine status</x:v>
      </x:c>
      <x:c r="G1600" s="25" t="str">
        <x:v>true</x:v>
      </x:c>
      <x:c r="H1600" s="25" t="str">
        <x:v>INCONCLUSIVE</x:v>
      </x:c>
      <x:c r="I1600" s="25" t="str">
        <x:v>FAIL</x:v>
      </x:c>
      <x:c r="J1600" s="25" t="str">
        <x:v>FAIL</x:v>
      </x:c>
      <x:c r="K1600" s="25" t="n">
        <x:v>7</x:v>
      </x:c>
      <x:c r="L1600" s="27" t="b">
        <x:v>0</x:v>
      </x:c>
      <x:c r="M1600" s="25" t="str">
        <x:v>Feedback-Directed Random Test Generation/rounds/Round2/state/Math.json</x:v>
      </x:c>
      <x:c r="N1600" s="25" t="str">
        <x:v>Feedback-Directed Random Test Generation/Result_Round2/Math_61/result.json</x:v>
      </x:c>
      <x:c r="O1600" s="25" t="str">
        <x:v>Feedback-Directed Random Test Generation/Result_Round2/Math_61/result.json</x:v>
      </x:c>
      <x:c r="P1600"/>
      <x:c r="Q1600" s="21" t="str"/>
      <x:c r="R1600" s="21" t="str"/>
      <x:c r="S1600" s="21" t="str"/>
      <x:c r="T1600" s="17" t="str">
        <x:v>false</x:v>
      </x:c>
      <x:c r="U1600" s="17" t="str">
        <x:v>true</x:v>
      </x:c>
      <x:c r="V1600" s="17" t="str">
        <x:v>false</x:v>
      </x:c>
    </x:row>
    <x:row r="1601" ht="80" customHeight="1">
      <x:c r="A1601" s="25" t="str">
        <x:v>Math</x:v>
      </x:c>
      <x:c r="B1601" s="25" t="n">
        <x:v>62</x:v>
      </x:c>
      <x:c r="C1601" s="25" t="str">
        <x:v>Round2</x:v>
      </x:c>
      <x:c r="D1601" s="25" t="str">
        <x:v>NOT_REVEALING</x:v>
      </x:c>
      <x:c r="E1601" s="25" t="str">
        <x:v>N/A</x:v>
      </x:c>
      <x:c r="F1601" s="26" t="str">
        <x:v>Same saved validation suite passed on buggy and fixed</x:v>
      </x:c>
      <x:c r="G1601" s="25" t="str">
        <x:v>true</x:v>
      </x:c>
      <x:c r="H1601" s="25" t="str">
        <x:v>NOT_REVEALING</x:v>
      </x:c>
      <x:c r="I1601" s="25" t="str">
        <x:v>PASS</x:v>
      </x:c>
      <x:c r="J1601" s="25" t="str">
        <x:v>PASS</x:v>
      </x:c>
      <x:c r="K1601" s="25" t="n">
        <x:v>2</x:v>
      </x:c>
      <x:c r="L1601" s="27" t="b">
        <x:v>0</x:v>
      </x:c>
      <x:c r="M1601" s="25" t="str">
        <x:v>Feedback-Directed Random Test Generation/rounds/Round2/state/Math.json</x:v>
      </x:c>
      <x:c r="N1601" s="25" t="str">
        <x:v>Feedback-Directed Random Test Generation/Result_Round2/Math_62/result.json</x:v>
      </x:c>
      <x:c r="O1601" s="25" t="str">
        <x:v>Feedback-Directed Random Test Generation/Result_Round2/Math_62/result.json</x:v>
      </x:c>
      <x:c r="P1601"/>
      <x:c r="Q1601" s="21" t="str"/>
      <x:c r="R1601" s="21" t="str"/>
      <x:c r="S1601" s="21" t="str"/>
      <x:c r="T1601" s="17" t="str">
        <x:v>false</x:v>
      </x:c>
      <x:c r="U1601" s="17" t="str">
        <x:v>true</x:v>
      </x:c>
      <x:c r="V1601" s="17" t="str">
        <x:v>false</x:v>
      </x:c>
    </x:row>
    <x:row r="1602" ht="80" customHeight="1">
      <x:c r="A1602" s="25" t="str">
        <x:v>Math</x:v>
      </x:c>
      <x:c r="B1602" s="25" t="n">
        <x:v>63</x:v>
      </x:c>
      <x:c r="C1602" s="25" t="str">
        <x:v>Round2</x:v>
      </x:c>
      <x:c r="D1602" s="25" t="str">
        <x:v>FAIL</x:v>
      </x:c>
      <x:c r="E1602" s="25" t="str">
        <x:v>N/A</x:v>
      </x:c>
      <x:c r="F1602" s="26" t="str">
        <x:v>Latest same-round generation failed; older files/results are excluded</x:v>
      </x:c>
      <x:c r="G1602" s="25" t="str">
        <x:v>true</x:v>
      </x:c>
      <x:c r="H1602" s="25" t="str">
        <x:v>FAIL</x:v>
      </x:c>
      <x:c r="I1602" s="25"/>
      <x:c r="J1602" s="25"/>
      <x:c r="K1602" s="25" t="n">
        <x:v>0</x:v>
      </x:c>
      <x:c r="L1602" s="27" t="b">
        <x:v>1</x:v>
      </x:c>
      <x:c r="M1602" s="25" t="str">
        <x:v>Feedback-Directed Random Test Generation/rounds/Round2/state/Math.json</x:v>
      </x:c>
      <x:c r="N1602" s="25"/>
      <x:c r="O1602" s="25" t="str">
        <x:v>Feedback-Directed Random Test Generation/Result_Round2/Math_63/result.json</x:v>
      </x:c>
      <x:c r="P1602"/>
      <x:c r="Q1602" s="21" t="str"/>
      <x:c r="R1602" s="21" t="str"/>
      <x:c r="S1602" s="21" t="str"/>
      <x:c r="T1602" s="17" t="str">
        <x:v>false</x:v>
      </x:c>
      <x:c r="U1602" s="17" t="str">
        <x:v>false</x:v>
      </x:c>
      <x:c r="V1602" s="17" t="str">
        <x:v>false</x:v>
      </x:c>
    </x:row>
    <x:row r="1603" ht="80" customHeight="1">
      <x:c r="A1603" s="25" t="str">
        <x:v>Math</x:v>
      </x:c>
      <x:c r="B1603" s="25" t="n">
        <x:v>64</x:v>
      </x:c>
      <x:c r="C1603" s="25" t="str">
        <x:v>Round2</x:v>
      </x:c>
      <x:c r="D1603" s="25" t="str">
        <x:v>INCONCLUSIVE</x:v>
      </x:c>
      <x:c r="E1603" s="25" t="str">
        <x:v>N/A</x:v>
      </x:c>
      <x:c r="F1603" s="26" t="str">
        <x:v>Fixed also failed; assertion failure cannot be attributed to this bug; Assertions failed with measured coverage; paired execution and stage checks determine status</x:v>
      </x:c>
      <x:c r="G1603" s="25" t="str">
        <x:v>true</x:v>
      </x:c>
      <x:c r="H1603" s="25" t="str">
        <x:v>INCONCLUSIVE</x:v>
      </x:c>
      <x:c r="I1603" s="25" t="str">
        <x:v>FAIL</x:v>
      </x:c>
      <x:c r="J1603" s="25" t="str">
        <x:v>FAIL</x:v>
      </x:c>
      <x:c r="K1603" s="25" t="n">
        <x:v>15</x:v>
      </x:c>
      <x:c r="L1603" s="27" t="b">
        <x:v>0</x:v>
      </x:c>
      <x:c r="M1603" s="25" t="str">
        <x:v>Feedback-Directed Random Test Generation/rounds/Round2/state/Math.json</x:v>
      </x:c>
      <x:c r="N1603" s="25" t="str">
        <x:v>Feedback-Directed Random Test Generation/Result_Round2/Math_64/result.json</x:v>
      </x:c>
      <x:c r="O1603" s="25" t="str">
        <x:v>Feedback-Directed Random Test Generation/Result_Round2/Math_64/result.json</x:v>
      </x:c>
      <x:c r="P1603"/>
      <x:c r="Q1603" s="21" t="str"/>
      <x:c r="R1603" s="21" t="str"/>
      <x:c r="S1603" s="21" t="str"/>
      <x:c r="T1603" s="17" t="str">
        <x:v>false</x:v>
      </x:c>
      <x:c r="U1603" s="17" t="str">
        <x:v>true</x:v>
      </x:c>
      <x:c r="V1603" s="17" t="str">
        <x:v>false</x:v>
      </x:c>
    </x:row>
    <x:row r="1604" ht="80" customHeight="1">
      <x:c r="A1604" s="25" t="str">
        <x:v>Math</x:v>
      </x:c>
      <x:c r="B1604" s="25" t="n">
        <x:v>65</x:v>
      </x:c>
      <x:c r="C1604" s="25" t="str">
        <x:v>Round2</x:v>
      </x:c>
      <x:c r="D1604" s="25" t="str">
        <x:v>NOT_REVEALING</x:v>
      </x:c>
      <x:c r="E1604" s="25" t="str">
        <x:v>N/A</x:v>
      </x:c>
      <x:c r="F1604" s="26" t="str">
        <x:v>Same saved validation suite passed on buggy and fixed</x:v>
      </x:c>
      <x:c r="G1604" s="25" t="str">
        <x:v>true</x:v>
      </x:c>
      <x:c r="H1604" s="25" t="str">
        <x:v>NOT_REVEALING</x:v>
      </x:c>
      <x:c r="I1604" s="25" t="str">
        <x:v>PASS</x:v>
      </x:c>
      <x:c r="J1604" s="25" t="str">
        <x:v>PASS</x:v>
      </x:c>
      <x:c r="K1604" s="25" t="n">
        <x:v>2</x:v>
      </x:c>
      <x:c r="L1604" s="27" t="b">
        <x:v>0</x:v>
      </x:c>
      <x:c r="M1604" s="25" t="str">
        <x:v>Feedback-Directed Random Test Generation/rounds/Round2/state/Math.json</x:v>
      </x:c>
      <x:c r="N1604" s="25" t="str">
        <x:v>Feedback-Directed Random Test Generation/Result_Round2/Math_65/result.json</x:v>
      </x:c>
      <x:c r="O1604" s="25" t="str">
        <x:v>Feedback-Directed Random Test Generation/Result_Round2/Math_65/result.json</x:v>
      </x:c>
      <x:c r="P1604"/>
      <x:c r="Q1604" s="21" t="str"/>
      <x:c r="R1604" s="21" t="str"/>
      <x:c r="S1604" s="21" t="str"/>
      <x:c r="T1604" s="17" t="str">
        <x:v>false</x:v>
      </x:c>
      <x:c r="U1604" s="17" t="str">
        <x:v>true</x:v>
      </x:c>
      <x:c r="V1604" s="17" t="str">
        <x:v>false</x:v>
      </x:c>
    </x:row>
    <x:row r="1605" ht="80" customHeight="1">
      <x:c r="A1605" s="25" t="str">
        <x:v>Math</x:v>
      </x:c>
      <x:c r="B1605" s="25" t="n">
        <x:v>66</x:v>
      </x:c>
      <x:c r="C1605" s="25" t="str">
        <x:v>Round2</x:v>
      </x:c>
      <x:c r="D1605" s="25" t="str">
        <x:v>INCONCLUSIVE</x:v>
      </x:c>
      <x:c r="E1605" s="25" t="str">
        <x:v>N/A</x:v>
      </x:c>
      <x:c r="F1605" s="26" t="str">
        <x:v>Fixed also failed; assertion failure cannot be attributed to this bug</x:v>
      </x:c>
      <x:c r="G1605" s="25" t="str">
        <x:v>true</x:v>
      </x:c>
      <x:c r="H1605" s="25" t="str">
        <x:v>INCONCLUSIVE</x:v>
      </x:c>
      <x:c r="I1605" s="25" t="str">
        <x:v>PASS</x:v>
      </x:c>
      <x:c r="J1605" s="25" t="str">
        <x:v>FAIL</x:v>
      </x:c>
      <x:c r="K1605" s="25" t="n">
        <x:v>7</x:v>
      </x:c>
      <x:c r="L1605" s="27" t="b">
        <x:v>0</x:v>
      </x:c>
      <x:c r="M1605" s="25" t="str">
        <x:v>Feedback-Directed Random Test Generation/rounds/Round2/state/Math.json</x:v>
      </x:c>
      <x:c r="N1605" s="25" t="str">
        <x:v>Feedback-Directed Random Test Generation/Result_Round2/Math_66/result.json</x:v>
      </x:c>
      <x:c r="O1605" s="25" t="str">
        <x:v>Feedback-Directed Random Test Generation/Result_Round2/Math_66/result.json</x:v>
      </x:c>
      <x:c r="P1605"/>
      <x:c r="Q1605" s="21" t="str"/>
      <x:c r="R1605" s="21" t="str"/>
      <x:c r="S1605" s="21" t="str"/>
      <x:c r="T1605" s="17" t="str">
        <x:v>false</x:v>
      </x:c>
      <x:c r="U1605" s="17" t="str">
        <x:v>true</x:v>
      </x:c>
      <x:c r="V1605" s="17" t="str">
        <x:v>false</x:v>
      </x:c>
    </x:row>
    <x:row r="1606" ht="80" customHeight="1">
      <x:c r="A1606" s="25" t="str">
        <x:v>Math</x:v>
      </x:c>
      <x:c r="B1606" s="25" t="n">
        <x:v>67</x:v>
      </x:c>
      <x:c r="C1606" s="25" t="str">
        <x:v>Round2</x:v>
      </x:c>
      <x:c r="D1606" s="25" t="str">
        <x:v>NOT_REVEALING</x:v>
      </x:c>
      <x:c r="E1606" s="25" t="str">
        <x:v>N/A</x:v>
      </x:c>
      <x:c r="F1606" s="26" t="str">
        <x:v>Same saved validation suite passed on buggy and fixed</x:v>
      </x:c>
      <x:c r="G1606" s="25" t="str">
        <x:v>true</x:v>
      </x:c>
      <x:c r="H1606" s="25" t="str">
        <x:v>NOT_REVEALING</x:v>
      </x:c>
      <x:c r="I1606" s="25" t="str">
        <x:v>PASS</x:v>
      </x:c>
      <x:c r="J1606" s="25" t="str">
        <x:v>PASS</x:v>
      </x:c>
      <x:c r="K1606" s="25" t="n">
        <x:v>10</x:v>
      </x:c>
      <x:c r="L1606" s="27" t="b">
        <x:v>0</x:v>
      </x:c>
      <x:c r="M1606" s="25" t="str">
        <x:v>Feedback-Directed Random Test Generation/rounds/Round2/state/Math.json</x:v>
      </x:c>
      <x:c r="N1606" s="25" t="str">
        <x:v>Feedback-Directed Random Test Generation/Result_Round2/Math_67/result.json</x:v>
      </x:c>
      <x:c r="O1606" s="25" t="str">
        <x:v>Feedback-Directed Random Test Generation/Result_Round2/Math_67/result.json</x:v>
      </x:c>
      <x:c r="P1606"/>
      <x:c r="Q1606" s="21" t="str"/>
      <x:c r="R1606" s="21" t="str"/>
      <x:c r="S1606" s="21" t="str"/>
      <x:c r="T1606" s="17" t="str">
        <x:v>false</x:v>
      </x:c>
      <x:c r="U1606" s="17" t="str">
        <x:v>true</x:v>
      </x:c>
      <x:c r="V1606" s="17" t="str">
        <x:v>false</x:v>
      </x:c>
    </x:row>
    <x:row r="1607" ht="80" customHeight="1">
      <x:c r="A1607" s="25" t="str">
        <x:v>Math</x:v>
      </x:c>
      <x:c r="B1607" s="25" t="n">
        <x:v>68</x:v>
      </x:c>
      <x:c r="C1607" s="25" t="str">
        <x:v>Round2</x:v>
      </x:c>
      <x:c r="D1607" s="25" t="str">
        <x:v>INCONCLUSIVE</x:v>
      </x:c>
      <x:c r="E1607" s="25" t="str">
        <x:v>N/A</x:v>
      </x:c>
      <x:c r="F1607" s="26" t="str">
        <x:v>Fixed also failed; assertion failure cannot be attributed to this bug; Assertions failed with measured coverage; paired execution and stage checks determine status</x:v>
      </x:c>
      <x:c r="G1607" s="25" t="str">
        <x:v>true</x:v>
      </x:c>
      <x:c r="H1607" s="25" t="str">
        <x:v>INCONCLUSIVE</x:v>
      </x:c>
      <x:c r="I1607" s="25" t="str">
        <x:v>FAIL</x:v>
      </x:c>
      <x:c r="J1607" s="25" t="str">
        <x:v>FAIL</x:v>
      </x:c>
      <x:c r="K1607" s="25" t="n">
        <x:v>15</x:v>
      </x:c>
      <x:c r="L1607" s="27" t="b">
        <x:v>0</x:v>
      </x:c>
      <x:c r="M1607" s="25" t="str">
        <x:v>Feedback-Directed Random Test Generation/rounds/Round2/state/Math.json</x:v>
      </x:c>
      <x:c r="N1607" s="25" t="str">
        <x:v>Feedback-Directed Random Test Generation/Result_Round2/Math_68/result.json</x:v>
      </x:c>
      <x:c r="O1607" s="25" t="str">
        <x:v>Feedback-Directed Random Test Generation/Result_Round2/Math_68/result.json</x:v>
      </x:c>
      <x:c r="P1607"/>
      <x:c r="Q1607" s="21" t="str"/>
      <x:c r="R1607" s="21" t="str"/>
      <x:c r="S1607" s="21" t="str"/>
      <x:c r="T1607" s="17" t="str">
        <x:v>false</x:v>
      </x:c>
      <x:c r="U1607" s="17" t="str">
        <x:v>true</x:v>
      </x:c>
      <x:c r="V1607" s="17" t="str">
        <x:v>false</x:v>
      </x:c>
    </x:row>
    <x:row r="1608" ht="80" customHeight="1">
      <x:c r="A1608" s="25" t="str">
        <x:v>Math</x:v>
      </x:c>
      <x:c r="B1608" s="25" t="n">
        <x:v>69</x:v>
      </x:c>
      <x:c r="C1608" s="25" t="str">
        <x:v>Round2</x:v>
      </x:c>
      <x:c r="D1608" s="25" t="str">
        <x:v>INCONCLUSIVE</x:v>
      </x:c>
      <x:c r="E1608" s="25" t="str">
        <x:v>N/A</x:v>
      </x:c>
      <x:c r="F1608" s="26" t="str">
        <x:v>Fixed also failed; assertion failure cannot be attributed to this bug; Assertions failed with measured coverage; paired execution and stage checks determine status</x:v>
      </x:c>
      <x:c r="G1608" s="25" t="str">
        <x:v>true</x:v>
      </x:c>
      <x:c r="H1608" s="25" t="str">
        <x:v>INCONCLUSIVE</x:v>
      </x:c>
      <x:c r="I1608" s="25" t="str">
        <x:v>FAIL</x:v>
      </x:c>
      <x:c r="J1608" s="25" t="str">
        <x:v>FAIL</x:v>
      </x:c>
      <x:c r="K1608" s="25" t="n">
        <x:v>8</x:v>
      </x:c>
      <x:c r="L1608" s="27" t="b">
        <x:v>0</x:v>
      </x:c>
      <x:c r="M1608" s="25" t="str">
        <x:v>Feedback-Directed Random Test Generation/rounds/Round2/state/Math.json</x:v>
      </x:c>
      <x:c r="N1608" s="25" t="str">
        <x:v>Feedback-Directed Random Test Generation/Result_Round2/Math_69/result.json</x:v>
      </x:c>
      <x:c r="O1608" s="25" t="str">
        <x:v>Feedback-Directed Random Test Generation/Result_Round2/Math_69/result.json</x:v>
      </x:c>
      <x:c r="P1608"/>
      <x:c r="Q1608" s="21" t="str"/>
      <x:c r="R1608" s="21" t="str"/>
      <x:c r="S1608" s="21" t="str"/>
      <x:c r="T1608" s="17" t="str">
        <x:v>false</x:v>
      </x:c>
      <x:c r="U1608" s="17" t="str">
        <x:v>true</x:v>
      </x:c>
      <x:c r="V1608" s="17" t="str">
        <x:v>false</x:v>
      </x:c>
    </x:row>
    <x:row r="1609" ht="80" customHeight="1">
      <x:c r="A1609" s="25" t="str">
        <x:v>Math</x:v>
      </x:c>
      <x:c r="B1609" s="25" t="n">
        <x:v>70</x:v>
      </x:c>
      <x:c r="C1609" s="25" t="str">
        <x:v>Round2</x:v>
      </x:c>
      <x:c r="D1609" s="25" t="str">
        <x:v>INCONCLUSIVE</x:v>
      </x:c>
      <x:c r="E1609" s="25" t="str">
        <x:v>N/A</x:v>
      </x:c>
      <x:c r="F1609" s="26" t="str">
        <x:v>Fixed also failed; assertion failure cannot be attributed to this bug; Assertions failed with measured coverage; paired execution and stage checks determine status</x:v>
      </x:c>
      <x:c r="G1609" s="25" t="str">
        <x:v>true</x:v>
      </x:c>
      <x:c r="H1609" s="25" t="str">
        <x:v>INCONCLUSIVE</x:v>
      </x:c>
      <x:c r="I1609" s="25" t="str">
        <x:v>FAIL</x:v>
      </x:c>
      <x:c r="J1609" s="25" t="str">
        <x:v>FAIL</x:v>
      </x:c>
      <x:c r="K1609" s="25" t="n">
        <x:v>14</x:v>
      </x:c>
      <x:c r="L1609" s="27" t="b">
        <x:v>0</x:v>
      </x:c>
      <x:c r="M1609" s="25" t="str">
        <x:v>Feedback-Directed Random Test Generation/rounds/Round2/state/Math.json</x:v>
      </x:c>
      <x:c r="N1609" s="25" t="str">
        <x:v>Feedback-Directed Random Test Generation/Result_Round2/Math_70/result.json</x:v>
      </x:c>
      <x:c r="O1609" s="25" t="str">
        <x:v>Feedback-Directed Random Test Generation/Result_Round2/Math_70/result.json</x:v>
      </x:c>
      <x:c r="P1609"/>
      <x:c r="Q1609" s="21" t="str"/>
      <x:c r="R1609" s="21" t="str"/>
      <x:c r="S1609" s="21" t="str"/>
      <x:c r="T1609" s="17" t="str">
        <x:v>false</x:v>
      </x:c>
      <x:c r="U1609" s="17" t="str">
        <x:v>true</x:v>
      </x:c>
      <x:c r="V1609" s="17" t="str">
        <x:v>false</x:v>
      </x:c>
    </x:row>
    <x:row r="1610" ht="80" customHeight="1">
      <x:c r="A1610" s="25" t="str">
        <x:v>Math</x:v>
      </x:c>
      <x:c r="B1610" s="25" t="n">
        <x:v>71</x:v>
      </x:c>
      <x:c r="C1610" s="25" t="str">
        <x:v>Round2</x:v>
      </x:c>
      <x:c r="D1610" s="25" t="str">
        <x:v>NOT_REVEALING</x:v>
      </x:c>
      <x:c r="E1610" s="25" t="str">
        <x:v>N/A</x:v>
      </x:c>
      <x:c r="F1610" s="26" t="str">
        <x:v>Same saved validation suite passed on buggy and fixed</x:v>
      </x:c>
      <x:c r="G1610" s="25" t="str">
        <x:v>true</x:v>
      </x:c>
      <x:c r="H1610" s="25" t="str">
        <x:v>NOT_REVEALING</x:v>
      </x:c>
      <x:c r="I1610" s="25" t="str">
        <x:v>PASS</x:v>
      </x:c>
      <x:c r="J1610" s="25" t="str">
        <x:v>PASS</x:v>
      </x:c>
      <x:c r="K1610" s="25" t="n">
        <x:v>2</x:v>
      </x:c>
      <x:c r="L1610" s="27" t="b">
        <x:v>0</x:v>
      </x:c>
      <x:c r="M1610" s="25" t="str">
        <x:v>Feedback-Directed Random Test Generation/rounds/Round2/state/Math.json</x:v>
      </x:c>
      <x:c r="N1610" s="25" t="str">
        <x:v>Feedback-Directed Random Test Generation/Result_Round2/Math_71/result.json</x:v>
      </x:c>
      <x:c r="O1610" s="25" t="str">
        <x:v>Feedback-Directed Random Test Generation/Result_Round2/Math_71/result.json</x:v>
      </x:c>
      <x:c r="P1610"/>
      <x:c r="Q1610" s="21" t="str"/>
      <x:c r="R1610" s="21" t="str"/>
      <x:c r="S1610" s="21" t="str"/>
      <x:c r="T1610" s="17" t="str">
        <x:v>false</x:v>
      </x:c>
      <x:c r="U1610" s="17" t="str">
        <x:v>true</x:v>
      </x:c>
      <x:c r="V1610" s="17" t="str">
        <x:v>false</x:v>
      </x:c>
    </x:row>
    <x:row r="1611" ht="80" customHeight="1">
      <x:c r="A1611" s="25" t="str">
        <x:v>Math</x:v>
      </x:c>
      <x:c r="B1611" s="25" t="n">
        <x:v>72</x:v>
      </x:c>
      <x:c r="C1611" s="25" t="str">
        <x:v>Round2</x:v>
      </x:c>
      <x:c r="D1611" s="25" t="str">
        <x:v>INCONCLUSIVE</x:v>
      </x:c>
      <x:c r="E1611" s="25" t="str">
        <x:v>N/A</x:v>
      </x:c>
      <x:c r="F1611" s="26" t="str">
        <x:v>Fixed also failed; assertion failure cannot be attributed to this bug; Assertions failed with measured coverage; paired execution and stage checks determine status</x:v>
      </x:c>
      <x:c r="G1611" s="25" t="str">
        <x:v>true</x:v>
      </x:c>
      <x:c r="H1611" s="25" t="str">
        <x:v>INCONCLUSIVE</x:v>
      </x:c>
      <x:c r="I1611" s="25" t="str">
        <x:v>FAIL</x:v>
      </x:c>
      <x:c r="J1611" s="25" t="str">
        <x:v>FAIL</x:v>
      </x:c>
      <x:c r="K1611" s="25" t="n">
        <x:v>10</x:v>
      </x:c>
      <x:c r="L1611" s="27" t="b">
        <x:v>0</x:v>
      </x:c>
      <x:c r="M1611" s="25" t="str">
        <x:v>Feedback-Directed Random Test Generation/rounds/Round2/state/Math.json</x:v>
      </x:c>
      <x:c r="N1611" s="25" t="str">
        <x:v>Feedback-Directed Random Test Generation/Result_Round2/Math_72/result.json</x:v>
      </x:c>
      <x:c r="O1611" s="25" t="str">
        <x:v>Feedback-Directed Random Test Generation/Result_Round2/Math_72/result.json</x:v>
      </x:c>
      <x:c r="P1611"/>
      <x:c r="Q1611" s="21" t="str"/>
      <x:c r="R1611" s="21" t="str"/>
      <x:c r="S1611" s="21" t="str"/>
      <x:c r="T1611" s="17" t="str">
        <x:v>false</x:v>
      </x:c>
      <x:c r="U1611" s="17" t="str">
        <x:v>true</x:v>
      </x:c>
      <x:c r="V1611" s="17" t="str">
        <x:v>false</x:v>
      </x:c>
    </x:row>
    <x:row r="1612" ht="80" customHeight="1">
      <x:c r="A1612" s="25" t="str">
        <x:v>Math</x:v>
      </x:c>
      <x:c r="B1612" s="25" t="n">
        <x:v>73</x:v>
      </x:c>
      <x:c r="C1612" s="25" t="str">
        <x:v>Round2</x:v>
      </x:c>
      <x:c r="D1612" s="25" t="str">
        <x:v>INCONCLUSIVE</x:v>
      </x:c>
      <x:c r="E1612" s="25" t="str">
        <x:v>N/A</x:v>
      </x:c>
      <x:c r="F1612" s="26" t="str">
        <x:v>Fixed also failed; assertion failure cannot be attributed to this bug; Assertions failed with measured coverage; paired execution and stage checks determine status</x:v>
      </x:c>
      <x:c r="G1612" s="25" t="str">
        <x:v>true</x:v>
      </x:c>
      <x:c r="H1612" s="25" t="str">
        <x:v>INCONCLUSIVE</x:v>
      </x:c>
      <x:c r="I1612" s="25" t="str">
        <x:v>FAIL</x:v>
      </x:c>
      <x:c r="J1612" s="25" t="str">
        <x:v>FAIL</x:v>
      </x:c>
      <x:c r="K1612" s="25" t="n">
        <x:v>12</x:v>
      </x:c>
      <x:c r="L1612" s="27" t="b">
        <x:v>0</x:v>
      </x:c>
      <x:c r="M1612" s="25" t="str">
        <x:v>Feedback-Directed Random Test Generation/rounds/Round2/state/Math.json</x:v>
      </x:c>
      <x:c r="N1612" s="25" t="str">
        <x:v>Feedback-Directed Random Test Generation/Result_Round2/Math_73/result.json</x:v>
      </x:c>
      <x:c r="O1612" s="25" t="str">
        <x:v>Feedback-Directed Random Test Generation/Result_Round2/Math_73/result.json</x:v>
      </x:c>
      <x:c r="P1612"/>
      <x:c r="Q1612" s="21" t="str"/>
      <x:c r="R1612" s="21" t="str"/>
      <x:c r="S1612" s="21" t="str"/>
      <x:c r="T1612" s="17" t="str">
        <x:v>false</x:v>
      </x:c>
      <x:c r="U1612" s="17" t="str">
        <x:v>true</x:v>
      </x:c>
      <x:c r="V1612" s="17" t="str">
        <x:v>false</x:v>
      </x:c>
    </x:row>
    <x:row r="1613" ht="80" customHeight="1">
      <x:c r="A1613" s="25" t="str">
        <x:v>Math</x:v>
      </x:c>
      <x:c r="B1613" s="25" t="n">
        <x:v>74</x:v>
      </x:c>
      <x:c r="C1613" s="25" t="str">
        <x:v>Round2</x:v>
      </x:c>
      <x:c r="D1613" s="25" t="str">
        <x:v>NOT_REVEALING</x:v>
      </x:c>
      <x:c r="E1613" s="25" t="str">
        <x:v>N/A</x:v>
      </x:c>
      <x:c r="F1613" s="26" t="str">
        <x:v>Same saved validation suite passed on buggy and fixed</x:v>
      </x:c>
      <x:c r="G1613" s="25" t="str">
        <x:v>true</x:v>
      </x:c>
      <x:c r="H1613" s="25" t="str">
        <x:v>NOT_REVEALING</x:v>
      </x:c>
      <x:c r="I1613" s="25" t="str">
        <x:v>PASS</x:v>
      </x:c>
      <x:c r="J1613" s="25" t="str">
        <x:v>PASS</x:v>
      </x:c>
      <x:c r="K1613" s="25" t="n">
        <x:v>2</x:v>
      </x:c>
      <x:c r="L1613" s="27" t="b">
        <x:v>0</x:v>
      </x:c>
      <x:c r="M1613" s="25" t="str">
        <x:v>Feedback-Directed Random Test Generation/rounds/Round2/state/Math.json</x:v>
      </x:c>
      <x:c r="N1613" s="25" t="str">
        <x:v>Feedback-Directed Random Test Generation/Result_Round2/Math_74/result.json</x:v>
      </x:c>
      <x:c r="O1613" s="25" t="str">
        <x:v>Feedback-Directed Random Test Generation/Result_Round2/Math_74/result.json</x:v>
      </x:c>
      <x:c r="P1613"/>
      <x:c r="Q1613" s="21" t="str"/>
      <x:c r="R1613" s="21" t="str"/>
      <x:c r="S1613" s="21" t="str"/>
      <x:c r="T1613" s="17" t="str">
        <x:v>false</x:v>
      </x:c>
      <x:c r="U1613" s="17" t="str">
        <x:v>true</x:v>
      </x:c>
      <x:c r="V1613" s="17" t="str">
        <x:v>false</x:v>
      </x:c>
    </x:row>
    <x:row r="1614" ht="80" customHeight="1">
      <x:c r="A1614" s="25" t="str">
        <x:v>Math</x:v>
      </x:c>
      <x:c r="B1614" s="25" t="n">
        <x:v>75</x:v>
      </x:c>
      <x:c r="C1614" s="25" t="str">
        <x:v>Round2</x:v>
      </x:c>
      <x:c r="D1614" s="25" t="str">
        <x:v>INCONCLUSIVE</x:v>
      </x:c>
      <x:c r="E1614" s="25" t="str">
        <x:v>N/A</x:v>
      </x:c>
      <x:c r="F1614" s="26" t="str">
        <x:v>Fixed also failed; assertion failure cannot be attributed to this bug</x:v>
      </x:c>
      <x:c r="G1614" s="25" t="str">
        <x:v>true</x:v>
      </x:c>
      <x:c r="H1614" s="25" t="str">
        <x:v>INCONCLUSIVE</x:v>
      </x:c>
      <x:c r="I1614" s="25" t="str">
        <x:v>PASS</x:v>
      </x:c>
      <x:c r="J1614" s="25" t="str">
        <x:v>FAIL</x:v>
      </x:c>
      <x:c r="K1614" s="25" t="n">
        <x:v>12</x:v>
      </x:c>
      <x:c r="L1614" s="27" t="b">
        <x:v>0</x:v>
      </x:c>
      <x:c r="M1614" s="25" t="str">
        <x:v>Feedback-Directed Random Test Generation/rounds/Round2/state/Math.json</x:v>
      </x:c>
      <x:c r="N1614" s="25" t="str">
        <x:v>Feedback-Directed Random Test Generation/Result_Round2/Math_75/result.json</x:v>
      </x:c>
      <x:c r="O1614" s="25" t="str">
        <x:v>Feedback-Directed Random Test Generation/Result_Round2/Math_75/result.json</x:v>
      </x:c>
      <x:c r="P1614"/>
      <x:c r="Q1614" s="21" t="str"/>
      <x:c r="R1614" s="21" t="str"/>
      <x:c r="S1614" s="21" t="str"/>
      <x:c r="T1614" s="17" t="str">
        <x:v>false</x:v>
      </x:c>
      <x:c r="U1614" s="17" t="str">
        <x:v>true</x:v>
      </x:c>
      <x:c r="V1614" s="17" t="str">
        <x:v>false</x:v>
      </x:c>
    </x:row>
    <x:row r="1615" ht="80" customHeight="1">
      <x:c r="A1615" s="25" t="str">
        <x:v>Math</x:v>
      </x:c>
      <x:c r="B1615" s="25" t="n">
        <x:v>76</x:v>
      </x:c>
      <x:c r="C1615" s="25" t="str">
        <x:v>Round2</x:v>
      </x:c>
      <x:c r="D1615" s="25" t="str">
        <x:v>NOT_REVEALING</x:v>
      </x:c>
      <x:c r="E1615" s="25" t="str">
        <x:v>N/A</x:v>
      </x:c>
      <x:c r="F1615" s="26" t="str">
        <x:v>Same saved validation suite passed on buggy and fixed</x:v>
      </x:c>
      <x:c r="G1615" s="25" t="str">
        <x:v>true</x:v>
      </x:c>
      <x:c r="H1615" s="25" t="str">
        <x:v>NOT_REVEALING</x:v>
      </x:c>
      <x:c r="I1615" s="25" t="str">
        <x:v>PASS</x:v>
      </x:c>
      <x:c r="J1615" s="25" t="str">
        <x:v>PASS</x:v>
      </x:c>
      <x:c r="K1615" s="25" t="n">
        <x:v>2</x:v>
      </x:c>
      <x:c r="L1615" s="27" t="b">
        <x:v>0</x:v>
      </x:c>
      <x:c r="M1615" s="25" t="str">
        <x:v>Feedback-Directed Random Test Generation/rounds/Round2/state/Math.json</x:v>
      </x:c>
      <x:c r="N1615" s="25" t="str">
        <x:v>Feedback-Directed Random Test Generation/Result_Round2/Math_76/result.json</x:v>
      </x:c>
      <x:c r="O1615" s="25" t="str">
        <x:v>Feedback-Directed Random Test Generation/Result_Round2/Math_76/result.json</x:v>
      </x:c>
      <x:c r="P1615"/>
      <x:c r="Q1615" s="21" t="str"/>
      <x:c r="R1615" s="21" t="str"/>
      <x:c r="S1615" s="21" t="str"/>
      <x:c r="T1615" s="17" t="str">
        <x:v>false</x:v>
      </x:c>
      <x:c r="U1615" s="17" t="str">
        <x:v>true</x:v>
      </x:c>
      <x:c r="V1615" s="17" t="str">
        <x:v>false</x:v>
      </x:c>
    </x:row>
    <x:row r="1616" ht="80" customHeight="1">
      <x:c r="A1616" s="25" t="str">
        <x:v>Math</x:v>
      </x:c>
      <x:c r="B1616" s="25" t="n">
        <x:v>77</x:v>
      </x:c>
      <x:c r="C1616" s="25" t="str">
        <x:v>Round2</x:v>
      </x:c>
      <x:c r="D1616" s="25" t="str">
        <x:v>INCONCLUSIVE</x:v>
      </x:c>
      <x:c r="E1616" s="25" t="str">
        <x:v>N/A</x:v>
      </x:c>
      <x:c r="F1616" s="26" t="str">
        <x:v>Fixed also failed; assertion failure cannot be attributed to this bug; Assertions failed with measured coverage; paired execution and stage checks determine status</x:v>
      </x:c>
      <x:c r="G1616" s="25" t="str">
        <x:v>true</x:v>
      </x:c>
      <x:c r="H1616" s="25" t="str">
        <x:v>INCONCLUSIVE</x:v>
      </x:c>
      <x:c r="I1616" s="25" t="str">
        <x:v>FAIL</x:v>
      </x:c>
      <x:c r="J1616" s="25" t="str">
        <x:v>FAIL</x:v>
      </x:c>
      <x:c r="K1616" s="25" t="n">
        <x:v>10</x:v>
      </x:c>
      <x:c r="L1616" s="27" t="b">
        <x:v>0</x:v>
      </x:c>
      <x:c r="M1616" s="25" t="str">
        <x:v>Feedback-Directed Random Test Generation/rounds/Round2/state/Math.json</x:v>
      </x:c>
      <x:c r="N1616" s="25" t="str">
        <x:v>Feedback-Directed Random Test Generation/Result_Round2/Math_77/result.json</x:v>
      </x:c>
      <x:c r="O1616" s="25" t="str">
        <x:v>Feedback-Directed Random Test Generation/Result_Round2/Math_77/result.json</x:v>
      </x:c>
      <x:c r="P1616"/>
      <x:c r="Q1616" s="21" t="str"/>
      <x:c r="R1616" s="21" t="str"/>
      <x:c r="S1616" s="21" t="str"/>
      <x:c r="T1616" s="17" t="str">
        <x:v>false</x:v>
      </x:c>
      <x:c r="U1616" s="17" t="str">
        <x:v>true</x:v>
      </x:c>
      <x:c r="V1616" s="17" t="str">
        <x:v>false</x:v>
      </x:c>
    </x:row>
    <x:row r="1617" ht="80" customHeight="1">
      <x:c r="A1617" s="25" t="str">
        <x:v>Math</x:v>
      </x:c>
      <x:c r="B1617" s="25" t="n">
        <x:v>78</x:v>
      </x:c>
      <x:c r="C1617" s="25" t="str">
        <x:v>Round2</x:v>
      </x:c>
      <x:c r="D1617" s="25" t="str">
        <x:v>NOT_REVEALING</x:v>
      </x:c>
      <x:c r="E1617" s="25" t="str">
        <x:v>N/A</x:v>
      </x:c>
      <x:c r="F1617" s="26" t="str">
        <x:v>Same saved validation suite passed on buggy and fixed</x:v>
      </x:c>
      <x:c r="G1617" s="25" t="str">
        <x:v>true</x:v>
      </x:c>
      <x:c r="H1617" s="25" t="str">
        <x:v>NOT_REVEALING</x:v>
      </x:c>
      <x:c r="I1617" s="25" t="str">
        <x:v>PASS</x:v>
      </x:c>
      <x:c r="J1617" s="25" t="str">
        <x:v>PASS</x:v>
      </x:c>
      <x:c r="K1617" s="25" t="n">
        <x:v>7</x:v>
      </x:c>
      <x:c r="L1617" s="27" t="b">
        <x:v>0</x:v>
      </x:c>
      <x:c r="M1617" s="25" t="str">
        <x:v>Feedback-Directed Random Test Generation/rounds/Round2/state/Math.json</x:v>
      </x:c>
      <x:c r="N1617" s="25" t="str">
        <x:v>Feedback-Directed Random Test Generation/Result_Round2/Math_78/result.json</x:v>
      </x:c>
      <x:c r="O1617" s="25" t="str">
        <x:v>Feedback-Directed Random Test Generation/Result_Round2/Math_78/result.json</x:v>
      </x:c>
      <x:c r="P1617"/>
      <x:c r="Q1617" s="21" t="str"/>
      <x:c r="R1617" s="21" t="str"/>
      <x:c r="S1617" s="21" t="str"/>
      <x:c r="T1617" s="17" t="str">
        <x:v>false</x:v>
      </x:c>
      <x:c r="U1617" s="17" t="str">
        <x:v>true</x:v>
      </x:c>
      <x:c r="V1617" s="17" t="str">
        <x:v>false</x:v>
      </x:c>
    </x:row>
    <x:row r="1618" ht="80" customHeight="1">
      <x:c r="A1618" s="25" t="str">
        <x:v>Math</x:v>
      </x:c>
      <x:c r="B1618" s="25" t="n">
        <x:v>79</x:v>
      </x:c>
      <x:c r="C1618" s="25" t="str">
        <x:v>Round2</x:v>
      </x:c>
      <x:c r="D1618" s="25" t="str">
        <x:v>NOT_REVEALING</x:v>
      </x:c>
      <x:c r="E1618" s="25" t="str">
        <x:v>N/A</x:v>
      </x:c>
      <x:c r="F1618" s="26" t="str">
        <x:v>Same saved validation suite passed on buggy and fixed</x:v>
      </x:c>
      <x:c r="G1618" s="25" t="str">
        <x:v>true</x:v>
      </x:c>
      <x:c r="H1618" s="25" t="str">
        <x:v>NOT_REVEALING</x:v>
      </x:c>
      <x:c r="I1618" s="25" t="str">
        <x:v>PASS</x:v>
      </x:c>
      <x:c r="J1618" s="25" t="str">
        <x:v>PASS</x:v>
      </x:c>
      <x:c r="K1618" s="25" t="n">
        <x:v>3</x:v>
      </x:c>
      <x:c r="L1618" s="27" t="b">
        <x:v>0</x:v>
      </x:c>
      <x:c r="M1618" s="25" t="str">
        <x:v>Feedback-Directed Random Test Generation/rounds/Round2/state/Math.json</x:v>
      </x:c>
      <x:c r="N1618" s="25" t="str">
        <x:v>Feedback-Directed Random Test Generation/Result_Round2/Math_79/result.json</x:v>
      </x:c>
      <x:c r="O1618" s="25" t="str">
        <x:v>Feedback-Directed Random Test Generation/Result_Round2/Math_79/result.json</x:v>
      </x:c>
      <x:c r="P1618"/>
      <x:c r="Q1618" s="21" t="str"/>
      <x:c r="R1618" s="21" t="str"/>
      <x:c r="S1618" s="21" t="str"/>
      <x:c r="T1618" s="17" t="str">
        <x:v>false</x:v>
      </x:c>
      <x:c r="U1618" s="17" t="str">
        <x:v>true</x:v>
      </x:c>
      <x:c r="V1618" s="17" t="str">
        <x:v>false</x:v>
      </x:c>
    </x:row>
    <x:row r="1619" ht="80" customHeight="1">
      <x:c r="A1619" s="25" t="str">
        <x:v>Math</x:v>
      </x:c>
      <x:c r="B1619" s="25" t="n">
        <x:v>80</x:v>
      </x:c>
      <x:c r="C1619" s="25" t="str">
        <x:v>Round2</x:v>
      </x:c>
      <x:c r="D1619" s="25" t="str">
        <x:v>NOT_REVEALING</x:v>
      </x:c>
      <x:c r="E1619" s="25" t="str">
        <x:v>N/A</x:v>
      </x:c>
      <x:c r="F1619" s="26" t="str">
        <x:v>Same saved validation suite passed on buggy and fixed</x:v>
      </x:c>
      <x:c r="G1619" s="25" t="str">
        <x:v>true</x:v>
      </x:c>
      <x:c r="H1619" s="25" t="str">
        <x:v>NOT_REVEALING</x:v>
      </x:c>
      <x:c r="I1619" s="25" t="str">
        <x:v>PASS</x:v>
      </x:c>
      <x:c r="J1619" s="25" t="str">
        <x:v>PASS</x:v>
      </x:c>
      <x:c r="K1619" s="25" t="n">
        <x:v>12</x:v>
      </x:c>
      <x:c r="L1619" s="27" t="b">
        <x:v>0</x:v>
      </x:c>
      <x:c r="M1619" s="25" t="str">
        <x:v>Feedback-Directed Random Test Generation/rounds/Round2/state/Math.json</x:v>
      </x:c>
      <x:c r="N1619" s="25" t="str">
        <x:v>Feedback-Directed Random Test Generation/Result_Round2/Math_80/result.json</x:v>
      </x:c>
      <x:c r="O1619" s="25" t="str">
        <x:v>Feedback-Directed Random Test Generation/Result_Round2/Math_80/result.json</x:v>
      </x:c>
      <x:c r="P1619"/>
      <x:c r="Q1619" s="21" t="str"/>
      <x:c r="R1619" s="21" t="str"/>
      <x:c r="S1619" s="21" t="str"/>
      <x:c r="T1619" s="17" t="str">
        <x:v>false</x:v>
      </x:c>
      <x:c r="U1619" s="17" t="str">
        <x:v>true</x:v>
      </x:c>
      <x:c r="V1619" s="17" t="str">
        <x:v>false</x:v>
      </x:c>
    </x:row>
    <x:row r="1620" ht="80" customHeight="1">
      <x:c r="A1620" s="25" t="str">
        <x:v>Math</x:v>
      </x:c>
      <x:c r="B1620" s="25" t="n">
        <x:v>81</x:v>
      </x:c>
      <x:c r="C1620" s="25" t="str">
        <x:v>Round2</x:v>
      </x:c>
      <x:c r="D1620" s="25" t="str">
        <x:v>NOT_REVEALING</x:v>
      </x:c>
      <x:c r="E1620" s="25" t="str">
        <x:v>N/A</x:v>
      </x:c>
      <x:c r="F1620" s="26" t="str">
        <x:v>Same saved validation suite passed on buggy and fixed</x:v>
      </x:c>
      <x:c r="G1620" s="25" t="str">
        <x:v>true</x:v>
      </x:c>
      <x:c r="H1620" s="25" t="str">
        <x:v>NOT_REVEALING</x:v>
      </x:c>
      <x:c r="I1620" s="25" t="str">
        <x:v>PASS</x:v>
      </x:c>
      <x:c r="J1620" s="25" t="str">
        <x:v>PASS</x:v>
      </x:c>
      <x:c r="K1620" s="25" t="n">
        <x:v>12</x:v>
      </x:c>
      <x:c r="L1620" s="27" t="b">
        <x:v>0</x:v>
      </x:c>
      <x:c r="M1620" s="25" t="str">
        <x:v>Feedback-Directed Random Test Generation/rounds/Round2/state/Math.json</x:v>
      </x:c>
      <x:c r="N1620" s="25" t="str">
        <x:v>Feedback-Directed Random Test Generation/Result_Round2/Math_81/result.json</x:v>
      </x:c>
      <x:c r="O1620" s="25" t="str">
        <x:v>Feedback-Directed Random Test Generation/Result_Round2/Math_81/result.json</x:v>
      </x:c>
      <x:c r="P1620"/>
      <x:c r="Q1620" s="21" t="str"/>
      <x:c r="R1620" s="21" t="str"/>
      <x:c r="S1620" s="21" t="str"/>
      <x:c r="T1620" s="17" t="str">
        <x:v>false</x:v>
      </x:c>
      <x:c r="U1620" s="17" t="str">
        <x:v>true</x:v>
      </x:c>
      <x:c r="V1620" s="17" t="str">
        <x:v>false</x:v>
      </x:c>
    </x:row>
    <x:row r="1621" ht="80" customHeight="1">
      <x:c r="A1621" s="25" t="str">
        <x:v>Math</x:v>
      </x:c>
      <x:c r="B1621" s="25" t="n">
        <x:v>82</x:v>
      </x:c>
      <x:c r="C1621" s="25" t="str">
        <x:v>Round2</x:v>
      </x:c>
      <x:c r="D1621" s="25" t="str">
        <x:v>INCONCLUSIVE</x:v>
      </x:c>
      <x:c r="E1621" s="25" t="str">
        <x:v>N/A</x:v>
      </x:c>
      <x:c r="F1621" s="26" t="str">
        <x:v>Fixed also failed; assertion failure cannot be attributed to this bug; Assertions failed with measured coverage; paired execution and stage checks determine status</x:v>
      </x:c>
      <x:c r="G1621" s="25" t="str">
        <x:v>true</x:v>
      </x:c>
      <x:c r="H1621" s="25" t="str">
        <x:v>INCONCLUSIVE</x:v>
      </x:c>
      <x:c r="I1621" s="25" t="str">
        <x:v>FAIL</x:v>
      </x:c>
      <x:c r="J1621" s="25" t="str">
        <x:v>FAIL</x:v>
      </x:c>
      <x:c r="K1621" s="25" t="n">
        <x:v>15</x:v>
      </x:c>
      <x:c r="L1621" s="27" t="b">
        <x:v>0</x:v>
      </x:c>
      <x:c r="M1621" s="25" t="str">
        <x:v>Feedback-Directed Random Test Generation/rounds/Round2/state/Math.json</x:v>
      </x:c>
      <x:c r="N1621" s="25" t="str">
        <x:v>Feedback-Directed Random Test Generation/Result_Round2/Math_82/result.json</x:v>
      </x:c>
      <x:c r="O1621" s="25" t="str">
        <x:v>Feedback-Directed Random Test Generation/Result_Round2/Math_82/result.json</x:v>
      </x:c>
      <x:c r="P1621"/>
      <x:c r="Q1621" s="21" t="str"/>
      <x:c r="R1621" s="21" t="str"/>
      <x:c r="S1621" s="21" t="str"/>
      <x:c r="T1621" s="17" t="str">
        <x:v>false</x:v>
      </x:c>
      <x:c r="U1621" s="17" t="str">
        <x:v>true</x:v>
      </x:c>
      <x:c r="V1621" s="17" t="str">
        <x:v>false</x:v>
      </x:c>
    </x:row>
    <x:row r="1622" ht="80" customHeight="1">
      <x:c r="A1622" s="25" t="str">
        <x:v>Math</x:v>
      </x:c>
      <x:c r="B1622" s="25" t="n">
        <x:v>83</x:v>
      </x:c>
      <x:c r="C1622" s="25" t="str">
        <x:v>Round2</x:v>
      </x:c>
      <x:c r="D1622" s="25" t="str">
        <x:v>NOT_REVEALING</x:v>
      </x:c>
      <x:c r="E1622" s="25" t="str">
        <x:v>N/A</x:v>
      </x:c>
      <x:c r="F1622" s="26" t="str">
        <x:v>Same saved validation suite passed on buggy and fixed</x:v>
      </x:c>
      <x:c r="G1622" s="25" t="str">
        <x:v>true</x:v>
      </x:c>
      <x:c r="H1622" s="25" t="str">
        <x:v>NOT_REVEALING</x:v>
      </x:c>
      <x:c r="I1622" s="25" t="str">
        <x:v>PASS</x:v>
      </x:c>
      <x:c r="J1622" s="25" t="str">
        <x:v>PASS</x:v>
      </x:c>
      <x:c r="K1622" s="25" t="n">
        <x:v>2</x:v>
      </x:c>
      <x:c r="L1622" s="27" t="b">
        <x:v>0</x:v>
      </x:c>
      <x:c r="M1622" s="25" t="str">
        <x:v>Feedback-Directed Random Test Generation/rounds/Round2/state/Math.json</x:v>
      </x:c>
      <x:c r="N1622" s="25" t="str">
        <x:v>Feedback-Directed Random Test Generation/Result_Round2/Math_83/result.json</x:v>
      </x:c>
      <x:c r="O1622" s="25" t="str">
        <x:v>Feedback-Directed Random Test Generation/Result_Round2/Math_83/result.json</x:v>
      </x:c>
      <x:c r="P1622"/>
      <x:c r="Q1622" s="21" t="str"/>
      <x:c r="R1622" s="21" t="str"/>
      <x:c r="S1622" s="21" t="str"/>
      <x:c r="T1622" s="17" t="str">
        <x:v>false</x:v>
      </x:c>
      <x:c r="U1622" s="17" t="str">
        <x:v>true</x:v>
      </x:c>
      <x:c r="V1622" s="17" t="str">
        <x:v>false</x:v>
      </x:c>
    </x:row>
    <x:row r="1623" ht="80" customHeight="1">
      <x:c r="A1623" s="25" t="str">
        <x:v>Math</x:v>
      </x:c>
      <x:c r="B1623" s="25" t="n">
        <x:v>84</x:v>
      </x:c>
      <x:c r="C1623" s="25" t="str">
        <x:v>Round2</x:v>
      </x:c>
      <x:c r="D1623" s="25" t="str">
        <x:v>NOT_REVEALING</x:v>
      </x:c>
      <x:c r="E1623" s="25" t="str">
        <x:v>N/A</x:v>
      </x:c>
      <x:c r="F1623" s="26" t="str">
        <x:v>Same saved validation suite passed on buggy and fixed</x:v>
      </x:c>
      <x:c r="G1623" s="25" t="str">
        <x:v>true</x:v>
      </x:c>
      <x:c r="H1623" s="25" t="str">
        <x:v>NOT_REVEALING</x:v>
      </x:c>
      <x:c r="I1623" s="25" t="str">
        <x:v>PASS</x:v>
      </x:c>
      <x:c r="J1623" s="25" t="str">
        <x:v>PASS</x:v>
      </x:c>
      <x:c r="K1623" s="25" t="n">
        <x:v>9</x:v>
      </x:c>
      <x:c r="L1623" s="27" t="b">
        <x:v>0</x:v>
      </x:c>
      <x:c r="M1623" s="25" t="str">
        <x:v>Feedback-Directed Random Test Generation/rounds/Round2/state/Math.json</x:v>
      </x:c>
      <x:c r="N1623" s="25" t="str">
        <x:v>Feedback-Directed Random Test Generation/Result_Round2/Math_84/result.json</x:v>
      </x:c>
      <x:c r="O1623" s="25" t="str">
        <x:v>Feedback-Directed Random Test Generation/Result_Round2/Math_84/result.json</x:v>
      </x:c>
      <x:c r="P1623"/>
      <x:c r="Q1623" s="21" t="str"/>
      <x:c r="R1623" s="21" t="str"/>
      <x:c r="S1623" s="21" t="str"/>
      <x:c r="T1623" s="17" t="str">
        <x:v>false</x:v>
      </x:c>
      <x:c r="U1623" s="17" t="str">
        <x:v>true</x:v>
      </x:c>
      <x:c r="V1623" s="17" t="str">
        <x:v>false</x:v>
      </x:c>
    </x:row>
    <x:row r="1624" ht="80" customHeight="1">
      <x:c r="A1624" s="25" t="str">
        <x:v>Math</x:v>
      </x:c>
      <x:c r="B1624" s="25" t="n">
        <x:v>85</x:v>
      </x:c>
      <x:c r="C1624" s="25" t="str">
        <x:v>Round2</x:v>
      </x:c>
      <x:c r="D1624" s="25" t="str">
        <x:v>NOT_REVEALING</x:v>
      </x:c>
      <x:c r="E1624" s="25" t="str">
        <x:v>N/A</x:v>
      </x:c>
      <x:c r="F1624" s="26" t="str">
        <x:v>Same saved validation suite passed on buggy and fixed</x:v>
      </x:c>
      <x:c r="G1624" s="25" t="str">
        <x:v>true</x:v>
      </x:c>
      <x:c r="H1624" s="25" t="str">
        <x:v>NOT_REVEALING</x:v>
      </x:c>
      <x:c r="I1624" s="25" t="str">
        <x:v>PASS</x:v>
      </x:c>
      <x:c r="J1624" s="25" t="str">
        <x:v>PASS</x:v>
      </x:c>
      <x:c r="K1624" s="25" t="n">
        <x:v>11</x:v>
      </x:c>
      <x:c r="L1624" s="27" t="b">
        <x:v>0</x:v>
      </x:c>
      <x:c r="M1624" s="25" t="str">
        <x:v>Feedback-Directed Random Test Generation/rounds/Round2/state/Math.json</x:v>
      </x:c>
      <x:c r="N1624" s="25" t="str">
        <x:v>Feedback-Directed Random Test Generation/Result_Round2/Math_85/result.json</x:v>
      </x:c>
      <x:c r="O1624" s="25" t="str">
        <x:v>Feedback-Directed Random Test Generation/Result_Round2/Math_85/result.json</x:v>
      </x:c>
      <x:c r="P1624"/>
      <x:c r="Q1624" s="21" t="str"/>
      <x:c r="R1624" s="21" t="str"/>
      <x:c r="S1624" s="21" t="str"/>
      <x:c r="T1624" s="17" t="str">
        <x:v>false</x:v>
      </x:c>
      <x:c r="U1624" s="17" t="str">
        <x:v>true</x:v>
      </x:c>
      <x:c r="V1624" s="17" t="str">
        <x:v>false</x:v>
      </x:c>
    </x:row>
    <x:row r="1625" ht="80" customHeight="1">
      <x:c r="A1625" s="25" t="str">
        <x:v>Math</x:v>
      </x:c>
      <x:c r="B1625" s="25" t="n">
        <x:v>86</x:v>
      </x:c>
      <x:c r="C1625" s="25" t="str">
        <x:v>Round2</x:v>
      </x:c>
      <x:c r="D1625" s="25" t="str">
        <x:v>NOT_REVEALING</x:v>
      </x:c>
      <x:c r="E1625" s="25" t="str">
        <x:v>N/A</x:v>
      </x:c>
      <x:c r="F1625" s="26" t="str">
        <x:v>Same saved validation suite passed on buggy and fixed</x:v>
      </x:c>
      <x:c r="G1625" s="25" t="str">
        <x:v>true</x:v>
      </x:c>
      <x:c r="H1625" s="25" t="str">
        <x:v>NOT_REVEALING</x:v>
      </x:c>
      <x:c r="I1625" s="25" t="str">
        <x:v>PASS</x:v>
      </x:c>
      <x:c r="J1625" s="25" t="str">
        <x:v>PASS</x:v>
      </x:c>
      <x:c r="K1625" s="25" t="n">
        <x:v>4</x:v>
      </x:c>
      <x:c r="L1625" s="27" t="b">
        <x:v>0</x:v>
      </x:c>
      <x:c r="M1625" s="25" t="str">
        <x:v>Feedback-Directed Random Test Generation/rounds/Round2/state/Math.json</x:v>
      </x:c>
      <x:c r="N1625" s="25" t="str">
        <x:v>Feedback-Directed Random Test Generation/Result_Round2/Math_86/result.json</x:v>
      </x:c>
      <x:c r="O1625" s="25" t="str">
        <x:v>Feedback-Directed Random Test Generation/Result_Round2/Math_86/result.json</x:v>
      </x:c>
      <x:c r="P1625"/>
      <x:c r="Q1625" s="21" t="str"/>
      <x:c r="R1625" s="21" t="str"/>
      <x:c r="S1625" s="21" t="str"/>
      <x:c r="T1625" s="17" t="str">
        <x:v>false</x:v>
      </x:c>
      <x:c r="U1625" s="17" t="str">
        <x:v>true</x:v>
      </x:c>
      <x:c r="V1625" s="17" t="str">
        <x:v>false</x:v>
      </x:c>
    </x:row>
    <x:row r="1626" ht="80" customHeight="1">
      <x:c r="A1626" s="25" t="str">
        <x:v>Math</x:v>
      </x:c>
      <x:c r="B1626" s="25" t="n">
        <x:v>87</x:v>
      </x:c>
      <x:c r="C1626" s="25" t="str">
        <x:v>Round2</x:v>
      </x:c>
      <x:c r="D1626" s="25" t="str">
        <x:v>NOT_REVEALING</x:v>
      </x:c>
      <x:c r="E1626" s="25" t="str">
        <x:v>N/A</x:v>
      </x:c>
      <x:c r="F1626" s="26" t="str">
        <x:v>Same saved validation suite passed on buggy and fixed</x:v>
      </x:c>
      <x:c r="G1626" s="25" t="str">
        <x:v>true</x:v>
      </x:c>
      <x:c r="H1626" s="25" t="str">
        <x:v>NOT_REVEALING</x:v>
      </x:c>
      <x:c r="I1626" s="25" t="str">
        <x:v>PASS</x:v>
      </x:c>
      <x:c r="J1626" s="25" t="str">
        <x:v>PASS</x:v>
      </x:c>
      <x:c r="K1626" s="25" t="n">
        <x:v>2</x:v>
      </x:c>
      <x:c r="L1626" s="27" t="b">
        <x:v>0</x:v>
      </x:c>
      <x:c r="M1626" s="25" t="str">
        <x:v>Feedback-Directed Random Test Generation/rounds/Round2/state/Math.json</x:v>
      </x:c>
      <x:c r="N1626" s="25" t="str">
        <x:v>Feedback-Directed Random Test Generation/Result_Round2/Math_87/result.json</x:v>
      </x:c>
      <x:c r="O1626" s="25" t="str">
        <x:v>Feedback-Directed Random Test Generation/Result_Round2/Math_87/result.json</x:v>
      </x:c>
      <x:c r="P1626"/>
      <x:c r="Q1626" s="21" t="str"/>
      <x:c r="R1626" s="21" t="str"/>
      <x:c r="S1626" s="21" t="str"/>
      <x:c r="T1626" s="17" t="str">
        <x:v>false</x:v>
      </x:c>
      <x:c r="U1626" s="17" t="str">
        <x:v>true</x:v>
      </x:c>
      <x:c r="V1626" s="17" t="str">
        <x:v>false</x:v>
      </x:c>
    </x:row>
    <x:row r="1627" ht="80" customHeight="1">
      <x:c r="A1627" s="25" t="str">
        <x:v>Math</x:v>
      </x:c>
      <x:c r="B1627" s="25" t="n">
        <x:v>88</x:v>
      </x:c>
      <x:c r="C1627" s="25" t="str">
        <x:v>Round2</x:v>
      </x:c>
      <x:c r="D1627" s="25" t="str">
        <x:v>NOT_REVEALING</x:v>
      </x:c>
      <x:c r="E1627" s="25" t="str">
        <x:v>N/A</x:v>
      </x:c>
      <x:c r="F1627" s="26" t="str">
        <x:v>Same saved validation suite passed on buggy and fixed</x:v>
      </x:c>
      <x:c r="G1627" s="25" t="str">
        <x:v>true</x:v>
      </x:c>
      <x:c r="H1627" s="25" t="str">
        <x:v>NOT_REVEALING</x:v>
      </x:c>
      <x:c r="I1627" s="25" t="str">
        <x:v>PASS</x:v>
      </x:c>
      <x:c r="J1627" s="25" t="str">
        <x:v>PASS</x:v>
      </x:c>
      <x:c r="K1627" s="25" t="n">
        <x:v>2</x:v>
      </x:c>
      <x:c r="L1627" s="27" t="b">
        <x:v>0</x:v>
      </x:c>
      <x:c r="M1627" s="25" t="str">
        <x:v>Feedback-Directed Random Test Generation/rounds/Round2/state/Math.json</x:v>
      </x:c>
      <x:c r="N1627" s="25" t="str">
        <x:v>Feedback-Directed Random Test Generation/Result_Round2/Math_88/result.json</x:v>
      </x:c>
      <x:c r="O1627" s="25" t="str">
        <x:v>Feedback-Directed Random Test Generation/Result_Round2/Math_88/result.json</x:v>
      </x:c>
      <x:c r="P1627"/>
      <x:c r="Q1627" s="21" t="str"/>
      <x:c r="R1627" s="21" t="str"/>
      <x:c r="S1627" s="21" t="str"/>
      <x:c r="T1627" s="17" t="str">
        <x:v>false</x:v>
      </x:c>
      <x:c r="U1627" s="17" t="str">
        <x:v>true</x:v>
      </x:c>
      <x:c r="V1627" s="17" t="str">
        <x:v>false</x:v>
      </x:c>
    </x:row>
    <x:row r="1628" ht="80" customHeight="1">
      <x:c r="A1628" s="25" t="str">
        <x:v>Math</x:v>
      </x:c>
      <x:c r="B1628" s="25" t="n">
        <x:v>89</x:v>
      </x:c>
      <x:c r="C1628" s="25" t="str">
        <x:v>Round2</x:v>
      </x:c>
      <x:c r="D1628" s="25" t="str">
        <x:v>INCONCLUSIVE</x:v>
      </x:c>
      <x:c r="E1628" s="25" t="str">
        <x:v>N/A</x:v>
      </x:c>
      <x:c r="F1628" s="26" t="str">
        <x:v>Fixed also failed; assertion failure cannot be attributed to this bug</x:v>
      </x:c>
      <x:c r="G1628" s="25" t="str">
        <x:v>true</x:v>
      </x:c>
      <x:c r="H1628" s="25" t="str">
        <x:v>INCONCLUSIVE</x:v>
      </x:c>
      <x:c r="I1628" s="25" t="str">
        <x:v>PASS</x:v>
      </x:c>
      <x:c r="J1628" s="25" t="str">
        <x:v>FAIL</x:v>
      </x:c>
      <x:c r="K1628" s="25" t="n">
        <x:v>7</x:v>
      </x:c>
      <x:c r="L1628" s="27" t="b">
        <x:v>0</x:v>
      </x:c>
      <x:c r="M1628" s="25" t="str">
        <x:v>Feedback-Directed Random Test Generation/rounds/Round2/state/Math.json</x:v>
      </x:c>
      <x:c r="N1628" s="25" t="str">
        <x:v>Feedback-Directed Random Test Generation/Result_Round2/Math_89/result.json</x:v>
      </x:c>
      <x:c r="O1628" s="25" t="str">
        <x:v>Feedback-Directed Random Test Generation/Result_Round2/Math_89/result.json</x:v>
      </x:c>
      <x:c r="P1628"/>
      <x:c r="Q1628" s="21" t="str"/>
      <x:c r="R1628" s="21" t="str"/>
      <x:c r="S1628" s="21" t="str"/>
      <x:c r="T1628" s="17" t="str">
        <x:v>false</x:v>
      </x:c>
      <x:c r="U1628" s="17" t="str">
        <x:v>true</x:v>
      </x:c>
      <x:c r="V1628" s="17" t="str">
        <x:v>false</x:v>
      </x:c>
    </x:row>
    <x:row r="1629" ht="80" customHeight="1">
      <x:c r="A1629" s="25" t="str">
        <x:v>Math</x:v>
      </x:c>
      <x:c r="B1629" s="25" t="n">
        <x:v>90</x:v>
      </x:c>
      <x:c r="C1629" s="25" t="str">
        <x:v>Round2</x:v>
      </x:c>
      <x:c r="D1629" s="25" t="str">
        <x:v>INCONCLUSIVE</x:v>
      </x:c>
      <x:c r="E1629" s="25" t="str">
        <x:v>N/A</x:v>
      </x:c>
      <x:c r="F1629" s="26" t="str">
        <x:v>Fixed also failed; assertion failure cannot be attributed to this bug</x:v>
      </x:c>
      <x:c r="G1629" s="25" t="str">
        <x:v>true</x:v>
      </x:c>
      <x:c r="H1629" s="25" t="str">
        <x:v>INCONCLUSIVE</x:v>
      </x:c>
      <x:c r="I1629" s="25" t="str">
        <x:v>PASS</x:v>
      </x:c>
      <x:c r="J1629" s="25" t="str">
        <x:v>FAIL</x:v>
      </x:c>
      <x:c r="K1629" s="25" t="n">
        <x:v>7</x:v>
      </x:c>
      <x:c r="L1629" s="27" t="b">
        <x:v>0</x:v>
      </x:c>
      <x:c r="M1629" s="25" t="str">
        <x:v>Feedback-Directed Random Test Generation/rounds/Round2/state/Math.json</x:v>
      </x:c>
      <x:c r="N1629" s="25" t="str">
        <x:v>Feedback-Directed Random Test Generation/Result_Round2/Math_90/result.json</x:v>
      </x:c>
      <x:c r="O1629" s="25" t="str">
        <x:v>Feedback-Directed Random Test Generation/Result_Round2/Math_90/result.json</x:v>
      </x:c>
      <x:c r="P1629"/>
      <x:c r="Q1629" s="21" t="str"/>
      <x:c r="R1629" s="21" t="str"/>
      <x:c r="S1629" s="21" t="str"/>
      <x:c r="T1629" s="17" t="str">
        <x:v>false</x:v>
      </x:c>
      <x:c r="U1629" s="17" t="str">
        <x:v>true</x:v>
      </x:c>
      <x:c r="V1629" s="17" t="str">
        <x:v>false</x:v>
      </x:c>
    </x:row>
    <x:row r="1630" ht="80" customHeight="1">
      <x:c r="A1630" s="25" t="str">
        <x:v>Math</x:v>
      </x:c>
      <x:c r="B1630" s="25" t="n">
        <x:v>91</x:v>
      </x:c>
      <x:c r="C1630" s="25" t="str">
        <x:v>Round2</x:v>
      </x:c>
      <x:c r="D1630" s="25" t="str">
        <x:v>NOT_REVEALING</x:v>
      </x:c>
      <x:c r="E1630" s="25" t="str">
        <x:v>N/A</x:v>
      </x:c>
      <x:c r="F1630" s="26" t="str">
        <x:v>Same saved validation suite passed on buggy and fixed</x:v>
      </x:c>
      <x:c r="G1630" s="25" t="str">
        <x:v>true</x:v>
      </x:c>
      <x:c r="H1630" s="25" t="str">
        <x:v>NOT_REVEALING</x:v>
      </x:c>
      <x:c r="I1630" s="25" t="str">
        <x:v>PASS</x:v>
      </x:c>
      <x:c r="J1630" s="25" t="str">
        <x:v>PASS</x:v>
      </x:c>
      <x:c r="K1630" s="25" t="n">
        <x:v>8</x:v>
      </x:c>
      <x:c r="L1630" s="27" t="b">
        <x:v>0</x:v>
      </x:c>
      <x:c r="M1630" s="25" t="str">
        <x:v>Feedback-Directed Random Test Generation/rounds/Round2/state/Math.json</x:v>
      </x:c>
      <x:c r="N1630" s="25" t="str">
        <x:v>Feedback-Directed Random Test Generation/Result_Round2/Math_91/result.json</x:v>
      </x:c>
      <x:c r="O1630" s="25" t="str">
        <x:v>Feedback-Directed Random Test Generation/Result_Round2/Math_91/result.json</x:v>
      </x:c>
      <x:c r="P1630"/>
      <x:c r="Q1630" s="21" t="str"/>
      <x:c r="R1630" s="21" t="str"/>
      <x:c r="S1630" s="21" t="str"/>
      <x:c r="T1630" s="17" t="str">
        <x:v>false</x:v>
      </x:c>
      <x:c r="U1630" s="17" t="str">
        <x:v>true</x:v>
      </x:c>
      <x:c r="V1630" s="17" t="str">
        <x:v>false</x:v>
      </x:c>
    </x:row>
    <x:row r="1631" ht="80" customHeight="1">
      <x:c r="A1631" s="25" t="str">
        <x:v>Math</x:v>
      </x:c>
      <x:c r="B1631" s="25" t="n">
        <x:v>92</x:v>
      </x:c>
      <x:c r="C1631" s="25" t="str">
        <x:v>Round2</x:v>
      </x:c>
      <x:c r="D1631" s="25" t="str">
        <x:v>NOT_REVEALING</x:v>
      </x:c>
      <x:c r="E1631" s="25" t="str">
        <x:v>N/A</x:v>
      </x:c>
      <x:c r="F1631" s="26" t="str">
        <x:v>Same saved validation suite passed on buggy and fixed</x:v>
      </x:c>
      <x:c r="G1631" s="25" t="str">
        <x:v>true</x:v>
      </x:c>
      <x:c r="H1631" s="25" t="str">
        <x:v>NOT_REVEALING</x:v>
      </x:c>
      <x:c r="I1631" s="25" t="str">
        <x:v>PASS</x:v>
      </x:c>
      <x:c r="J1631" s="25" t="str">
        <x:v>PASS</x:v>
      </x:c>
      <x:c r="K1631" s="25" t="n">
        <x:v>2</x:v>
      </x:c>
      <x:c r="L1631" s="27" t="b">
        <x:v>0</x:v>
      </x:c>
      <x:c r="M1631" s="25" t="str">
        <x:v>Feedback-Directed Random Test Generation/rounds/Round2/state/Math.json</x:v>
      </x:c>
      <x:c r="N1631" s="25" t="str">
        <x:v>Feedback-Directed Random Test Generation/Result_Round2/Math_92/result.json</x:v>
      </x:c>
      <x:c r="O1631" s="25" t="str">
        <x:v>Feedback-Directed Random Test Generation/Result_Round2/Math_92/result.json</x:v>
      </x:c>
      <x:c r="P1631"/>
      <x:c r="Q1631" s="21" t="str"/>
      <x:c r="R1631" s="21" t="str"/>
      <x:c r="S1631" s="21" t="str"/>
      <x:c r="T1631" s="17" t="str">
        <x:v>false</x:v>
      </x:c>
      <x:c r="U1631" s="17" t="str">
        <x:v>true</x:v>
      </x:c>
      <x:c r="V1631" s="17" t="str">
        <x:v>false</x:v>
      </x:c>
    </x:row>
    <x:row r="1632" ht="80" customHeight="1">
      <x:c r="A1632" s="25" t="str">
        <x:v>Math</x:v>
      </x:c>
      <x:c r="B1632" s="25" t="n">
        <x:v>93</x:v>
      </x:c>
      <x:c r="C1632" s="25" t="str">
        <x:v>Round2</x:v>
      </x:c>
      <x:c r="D1632" s="25" t="str">
        <x:v>NOT_REVEALING</x:v>
      </x:c>
      <x:c r="E1632" s="25" t="str">
        <x:v>N/A</x:v>
      </x:c>
      <x:c r="F1632" s="26" t="str">
        <x:v>Same saved validation suite passed on buggy and fixed</x:v>
      </x:c>
      <x:c r="G1632" s="25" t="str">
        <x:v>true</x:v>
      </x:c>
      <x:c r="H1632" s="25" t="str">
        <x:v>NOT_REVEALING</x:v>
      </x:c>
      <x:c r="I1632" s="25" t="str">
        <x:v>PASS</x:v>
      </x:c>
      <x:c r="J1632" s="25" t="str">
        <x:v>PASS</x:v>
      </x:c>
      <x:c r="K1632" s="25" t="n">
        <x:v>2</x:v>
      </x:c>
      <x:c r="L1632" s="27" t="b">
        <x:v>0</x:v>
      </x:c>
      <x:c r="M1632" s="25" t="str">
        <x:v>Feedback-Directed Random Test Generation/rounds/Round2/state/Math.json</x:v>
      </x:c>
      <x:c r="N1632" s="25" t="str">
        <x:v>Feedback-Directed Random Test Generation/Result_Round2/Math_93/result.json</x:v>
      </x:c>
      <x:c r="O1632" s="25" t="str">
        <x:v>Feedback-Directed Random Test Generation/Result_Round2/Math_93/result.json</x:v>
      </x:c>
      <x:c r="P1632"/>
      <x:c r="Q1632" s="21" t="str"/>
      <x:c r="R1632" s="21" t="str"/>
      <x:c r="S1632" s="21" t="str"/>
      <x:c r="T1632" s="17" t="str">
        <x:v>false</x:v>
      </x:c>
      <x:c r="U1632" s="17" t="str">
        <x:v>true</x:v>
      </x:c>
      <x:c r="V1632" s="17" t="str">
        <x:v>false</x:v>
      </x:c>
    </x:row>
    <x:row r="1633" ht="80" customHeight="1">
      <x:c r="A1633" s="25" t="str">
        <x:v>Math</x:v>
      </x:c>
      <x:c r="B1633" s="25" t="n">
        <x:v>94</x:v>
      </x:c>
      <x:c r="C1633" s="25" t="str">
        <x:v>Round2</x:v>
      </x:c>
      <x:c r="D1633" s="25" t="str">
        <x:v>NOT_REVEALING</x:v>
      </x:c>
      <x:c r="E1633" s="25" t="str">
        <x:v>N/A</x:v>
      </x:c>
      <x:c r="F1633" s="26" t="str">
        <x:v>Same saved validation suite passed on buggy and fixed</x:v>
      </x:c>
      <x:c r="G1633" s="25" t="str">
        <x:v>true</x:v>
      </x:c>
      <x:c r="H1633" s="25" t="str">
        <x:v>NOT_REVEALING</x:v>
      </x:c>
      <x:c r="I1633" s="25" t="str">
        <x:v>PASS</x:v>
      </x:c>
      <x:c r="J1633" s="25" t="str">
        <x:v>PASS</x:v>
      </x:c>
      <x:c r="K1633" s="25" t="n">
        <x:v>2</x:v>
      </x:c>
      <x:c r="L1633" s="27" t="b">
        <x:v>0</x:v>
      </x:c>
      <x:c r="M1633" s="25" t="str">
        <x:v>Feedback-Directed Random Test Generation/rounds/Round2/state/Math.json</x:v>
      </x:c>
      <x:c r="N1633" s="25" t="str">
        <x:v>Feedback-Directed Random Test Generation/Result_Round2/Math_94/result.json</x:v>
      </x:c>
      <x:c r="O1633" s="25" t="str">
        <x:v>Feedback-Directed Random Test Generation/Result_Round2/Math_94/result.json</x:v>
      </x:c>
      <x:c r="P1633"/>
      <x:c r="Q1633" s="21" t="str"/>
      <x:c r="R1633" s="21" t="str"/>
      <x:c r="S1633" s="21" t="str"/>
      <x:c r="T1633" s="17" t="str">
        <x:v>false</x:v>
      </x:c>
      <x:c r="U1633" s="17" t="str">
        <x:v>true</x:v>
      </x:c>
      <x:c r="V1633" s="17" t="str">
        <x:v>false</x:v>
      </x:c>
    </x:row>
    <x:row r="1634" ht="80" customHeight="1">
      <x:c r="A1634" s="25" t="str">
        <x:v>Math</x:v>
      </x:c>
      <x:c r="B1634" s="25" t="n">
        <x:v>95</x:v>
      </x:c>
      <x:c r="C1634" s="25" t="str">
        <x:v>Round2</x:v>
      </x:c>
      <x:c r="D1634" s="25" t="str">
        <x:v>NOT_AVAILABLE</x:v>
      </x:c>
      <x:c r="E1634" s="25" t="str">
        <x:v>N/A</x:v>
      </x:c>
      <x:c r="F1634" s="26" t="str">
        <x:v>Paired buggy/fixed execution missing or could not run</x:v>
      </x:c>
      <x:c r="G1634" s="25" t="str">
        <x:v>true</x:v>
      </x:c>
      <x:c r="H1634" s="25" t="str">
        <x:v>NOT_AVAILABLE</x:v>
      </x:c>
      <x:c r="I1634" s="25" t="str">
        <x:v>PASS</x:v>
      </x:c>
      <x:c r="J1634" s="25" t="str">
        <x:v>NOT_RUN</x:v>
      </x:c>
      <x:c r="K1634" s="25" t="n">
        <x:v>13</x:v>
      </x:c>
      <x:c r="L1634" s="27" t="b">
        <x:v>0</x:v>
      </x:c>
      <x:c r="M1634" s="25" t="str">
        <x:v>Feedback-Directed Random Test Generation/rounds/Round2/state/Math.json</x:v>
      </x:c>
      <x:c r="N1634" s="25" t="str">
        <x:v>Feedback-Directed Random Test Generation/Result_Round2/Math_95/result.json</x:v>
      </x:c>
      <x:c r="O1634" s="25" t="str">
        <x:v>Feedback-Directed Random Test Generation/Result_Round2/Math_95/result.json</x:v>
      </x:c>
      <x:c r="P1634" t="str">
        <x:v>FIXED_NOT_RUN</x:v>
      </x:c>
      <x:c r="Q1634" s="21" t="str"/>
      <x:c r="R1634" s="21" t="str"/>
      <x:c r="S1634" s="21" t="str"/>
      <x:c r="T1634" s="17" t="str">
        <x:v>false</x:v>
      </x:c>
      <x:c r="U1634" s="17" t="str">
        <x:v>true</x:v>
      </x:c>
      <x:c r="V1634" s="17" t="str">
        <x:v>false</x:v>
      </x:c>
    </x:row>
    <x:row r="1635" ht="80" customHeight="1">
      <x:c r="A1635" s="25" t="str">
        <x:v>Math</x:v>
      </x:c>
      <x:c r="B1635" s="25" t="n">
        <x:v>96</x:v>
      </x:c>
      <x:c r="C1635" s="25" t="str">
        <x:v>Round2</x:v>
      </x:c>
      <x:c r="D1635" s="25" t="str">
        <x:v>NOT_REVEALING</x:v>
      </x:c>
      <x:c r="E1635" s="25" t="str">
        <x:v>N/A</x:v>
      </x:c>
      <x:c r="F1635" s="26" t="str">
        <x:v>Same saved validation suite passed on buggy and fixed</x:v>
      </x:c>
      <x:c r="G1635" s="25" t="str">
        <x:v>true</x:v>
      </x:c>
      <x:c r="H1635" s="25" t="str">
        <x:v>NOT_REVEALING</x:v>
      </x:c>
      <x:c r="I1635" s="25" t="str">
        <x:v>PASS</x:v>
      </x:c>
      <x:c r="J1635" s="25" t="str">
        <x:v>PASS</x:v>
      </x:c>
      <x:c r="K1635" s="25" t="n">
        <x:v>9</x:v>
      </x:c>
      <x:c r="L1635" s="27" t="b">
        <x:v>0</x:v>
      </x:c>
      <x:c r="M1635" s="25" t="str">
        <x:v>Feedback-Directed Random Test Generation/rounds/Round2/state/Math.json</x:v>
      </x:c>
      <x:c r="N1635" s="25" t="str">
        <x:v>Feedback-Directed Random Test Generation/Result_Round2/Math_96/result.json</x:v>
      </x:c>
      <x:c r="O1635" s="25" t="str">
        <x:v>Feedback-Directed Random Test Generation/Result_Round2/Math_96/result.json</x:v>
      </x:c>
      <x:c r="P1635"/>
      <x:c r="Q1635" s="21" t="str"/>
      <x:c r="R1635" s="21" t="str"/>
      <x:c r="S1635" s="21" t="str"/>
      <x:c r="T1635" s="17" t="str">
        <x:v>false</x:v>
      </x:c>
      <x:c r="U1635" s="17" t="str">
        <x:v>true</x:v>
      </x:c>
      <x:c r="V1635" s="17" t="str">
        <x:v>false</x:v>
      </x:c>
    </x:row>
    <x:row r="1636" ht="80" customHeight="1">
      <x:c r="A1636" s="25" t="str">
        <x:v>Math</x:v>
      </x:c>
      <x:c r="B1636" s="25" t="n">
        <x:v>97</x:v>
      </x:c>
      <x:c r="C1636" s="25" t="str">
        <x:v>Round2</x:v>
      </x:c>
      <x:c r="D1636" s="25" t="str">
        <x:v>NOT_REVEALING</x:v>
      </x:c>
      <x:c r="E1636" s="25" t="str">
        <x:v>N/A</x:v>
      </x:c>
      <x:c r="F1636" s="26" t="str">
        <x:v>Same saved validation suite passed on buggy and fixed</x:v>
      </x:c>
      <x:c r="G1636" s="25" t="str">
        <x:v>true</x:v>
      </x:c>
      <x:c r="H1636" s="25" t="str">
        <x:v>NOT_REVEALING</x:v>
      </x:c>
      <x:c r="I1636" s="25" t="str">
        <x:v>PASS</x:v>
      </x:c>
      <x:c r="J1636" s="25" t="str">
        <x:v>PASS</x:v>
      </x:c>
      <x:c r="K1636" s="25" t="n">
        <x:v>2</x:v>
      </x:c>
      <x:c r="L1636" s="27" t="b">
        <x:v>0</x:v>
      </x:c>
      <x:c r="M1636" s="25" t="str">
        <x:v>Feedback-Directed Random Test Generation/rounds/Round2/state/Math.json</x:v>
      </x:c>
      <x:c r="N1636" s="25" t="str">
        <x:v>Feedback-Directed Random Test Generation/Result_Round2/Math_97/result.json</x:v>
      </x:c>
      <x:c r="O1636" s="25" t="str">
        <x:v>Feedback-Directed Random Test Generation/Result_Round2/Math_97/result.json</x:v>
      </x:c>
      <x:c r="P1636"/>
      <x:c r="Q1636" s="21" t="str"/>
      <x:c r="R1636" s="21" t="str"/>
      <x:c r="S1636" s="21" t="str"/>
      <x:c r="T1636" s="17" t="str">
        <x:v>false</x:v>
      </x:c>
      <x:c r="U1636" s="17" t="str">
        <x:v>true</x:v>
      </x:c>
      <x:c r="V1636" s="17" t="str">
        <x:v>false</x:v>
      </x:c>
    </x:row>
    <x:row r="1637" ht="80" customHeight="1">
      <x:c r="A1637" s="25" t="str">
        <x:v>Math</x:v>
      </x:c>
      <x:c r="B1637" s="25" t="n">
        <x:v>98</x:v>
      </x:c>
      <x:c r="C1637" s="25" t="str">
        <x:v>Round2</x:v>
      </x:c>
      <x:c r="D1637" s="25" t="str">
        <x:v>INCONCLUSIVE</x:v>
      </x:c>
      <x:c r="E1637" s="25" t="str">
        <x:v>N/A</x:v>
      </x:c>
      <x:c r="F1637" s="26" t="str">
        <x:v>Fixed also failed; assertion failure cannot be attributed to this bug; Assertions failed with measured coverage; paired execution and stage checks determine status</x:v>
      </x:c>
      <x:c r="G1637" s="25" t="str">
        <x:v>true</x:v>
      </x:c>
      <x:c r="H1637" s="25" t="str">
        <x:v>INCONCLUSIVE</x:v>
      </x:c>
      <x:c r="I1637" s="25" t="str">
        <x:v>FAIL</x:v>
      </x:c>
      <x:c r="J1637" s="25" t="str">
        <x:v>FAIL</x:v>
      </x:c>
      <x:c r="K1637" s="25" t="n">
        <x:v>12</x:v>
      </x:c>
      <x:c r="L1637" s="27" t="b">
        <x:v>0</x:v>
      </x:c>
      <x:c r="M1637" s="25" t="str">
        <x:v>Feedback-Directed Random Test Generation/rounds/Round2/state/Math.json</x:v>
      </x:c>
      <x:c r="N1637" s="25" t="str">
        <x:v>Feedback-Directed Random Test Generation/Result_Round2/Math_98/result.json</x:v>
      </x:c>
      <x:c r="O1637" s="25" t="str">
        <x:v>Feedback-Directed Random Test Generation/Result_Round2/Math_98/result.json</x:v>
      </x:c>
      <x:c r="P1637"/>
      <x:c r="Q1637" s="21" t="str"/>
      <x:c r="R1637" s="21" t="str"/>
      <x:c r="S1637" s="21" t="str"/>
      <x:c r="T1637" s="17" t="str">
        <x:v>false</x:v>
      </x:c>
      <x:c r="U1637" s="17" t="str">
        <x:v>true</x:v>
      </x:c>
      <x:c r="V1637" s="17" t="str">
        <x:v>false</x:v>
      </x:c>
    </x:row>
    <x:row r="1638" ht="80" customHeight="1">
      <x:c r="A1638" s="25" t="str">
        <x:v>Math</x:v>
      </x:c>
      <x:c r="B1638" s="25" t="n">
        <x:v>99</x:v>
      </x:c>
      <x:c r="C1638" s="25" t="str">
        <x:v>Round2</x:v>
      </x:c>
      <x:c r="D1638" s="25" t="str">
        <x:v>NOT_REVEALING</x:v>
      </x:c>
      <x:c r="E1638" s="25" t="str">
        <x:v>N/A</x:v>
      </x:c>
      <x:c r="F1638" s="26" t="str">
        <x:v>Same saved validation suite passed on buggy and fixed</x:v>
      </x:c>
      <x:c r="G1638" s="25" t="str">
        <x:v>true</x:v>
      </x:c>
      <x:c r="H1638" s="25" t="str">
        <x:v>NOT_REVEALING</x:v>
      </x:c>
      <x:c r="I1638" s="25" t="str">
        <x:v>PASS</x:v>
      </x:c>
      <x:c r="J1638" s="25" t="str">
        <x:v>PASS</x:v>
      </x:c>
      <x:c r="K1638" s="25" t="n">
        <x:v>3</x:v>
      </x:c>
      <x:c r="L1638" s="27" t="b">
        <x:v>0</x:v>
      </x:c>
      <x:c r="M1638" s="25" t="str">
        <x:v>Feedback-Directed Random Test Generation/rounds/Round2/state/Math.json</x:v>
      </x:c>
      <x:c r="N1638" s="25" t="str">
        <x:v>Feedback-Directed Random Test Generation/Result_Round2/Math_99/result.json</x:v>
      </x:c>
      <x:c r="O1638" s="25" t="str">
        <x:v>Feedback-Directed Random Test Generation/Result_Round2/Math_99/result.json</x:v>
      </x:c>
      <x:c r="P1638"/>
      <x:c r="Q1638" s="21" t="str"/>
      <x:c r="R1638" s="21" t="str"/>
      <x:c r="S1638" s="21" t="str"/>
      <x:c r="T1638" s="17" t="str">
        <x:v>false</x:v>
      </x:c>
      <x:c r="U1638" s="17" t="str">
        <x:v>true</x:v>
      </x:c>
      <x:c r="V1638" s="17" t="str">
        <x:v>false</x:v>
      </x:c>
    </x:row>
    <x:row r="1639" ht="80" customHeight="1">
      <x:c r="A1639" s="25" t="str">
        <x:v>Math</x:v>
      </x:c>
      <x:c r="B1639" s="25" t="n">
        <x:v>100</x:v>
      </x:c>
      <x:c r="C1639" s="25" t="str">
        <x:v>Round2</x:v>
      </x:c>
      <x:c r="D1639" s="25" t="str">
        <x:v>NOT_REVEALING</x:v>
      </x:c>
      <x:c r="E1639" s="25" t="str">
        <x:v>N/A</x:v>
      </x:c>
      <x:c r="F1639" s="26" t="str">
        <x:v>Same saved validation suite passed on buggy and fixed</x:v>
      </x:c>
      <x:c r="G1639" s="25" t="str">
        <x:v>true</x:v>
      </x:c>
      <x:c r="H1639" s="25" t="str">
        <x:v>NOT_REVEALING</x:v>
      </x:c>
      <x:c r="I1639" s="25" t="str">
        <x:v>PASS</x:v>
      </x:c>
      <x:c r="J1639" s="25" t="str">
        <x:v>PASS</x:v>
      </x:c>
      <x:c r="K1639" s="25" t="n">
        <x:v>2</x:v>
      </x:c>
      <x:c r="L1639" s="27" t="b">
        <x:v>0</x:v>
      </x:c>
      <x:c r="M1639" s="25" t="str">
        <x:v>Feedback-Directed Random Test Generation/rounds/Round2/state/Math.json</x:v>
      </x:c>
      <x:c r="N1639" s="25" t="str">
        <x:v>Feedback-Directed Random Test Generation/Result_Round2/Math_100/result.json</x:v>
      </x:c>
      <x:c r="O1639" s="25" t="str">
        <x:v>Feedback-Directed Random Test Generation/Result_Round2/Math_100/result.json</x:v>
      </x:c>
      <x:c r="P1639"/>
      <x:c r="Q1639" s="21" t="str"/>
      <x:c r="R1639" s="21" t="str"/>
      <x:c r="S1639" s="21" t="str"/>
      <x:c r="T1639" s="17" t="str">
        <x:v>false</x:v>
      </x:c>
      <x:c r="U1639" s="17" t="str">
        <x:v>true</x:v>
      </x:c>
      <x:c r="V1639" s="17" t="str">
        <x:v>false</x:v>
      </x:c>
    </x:row>
    <x:row r="1640" ht="80" customHeight="1">
      <x:c r="A1640" s="25" t="str">
        <x:v>Math</x:v>
      </x:c>
      <x:c r="B1640" s="25" t="n">
        <x:v>101</x:v>
      </x:c>
      <x:c r="C1640" s="25" t="str">
        <x:v>Round2</x:v>
      </x:c>
      <x:c r="D1640" s="25" t="str">
        <x:v>NOT_REVEALING</x:v>
      </x:c>
      <x:c r="E1640" s="25" t="str">
        <x:v>N/A</x:v>
      </x:c>
      <x:c r="F1640" s="26" t="str">
        <x:v>Same saved validation suite passed on buggy and fixed</x:v>
      </x:c>
      <x:c r="G1640" s="25" t="str">
        <x:v>true</x:v>
      </x:c>
      <x:c r="H1640" s="25" t="str">
        <x:v>NOT_REVEALING</x:v>
      </x:c>
      <x:c r="I1640" s="25" t="str">
        <x:v>PASS</x:v>
      </x:c>
      <x:c r="J1640" s="25" t="str">
        <x:v>PASS</x:v>
      </x:c>
      <x:c r="K1640" s="25" t="n">
        <x:v>8</x:v>
      </x:c>
      <x:c r="L1640" s="27" t="b">
        <x:v>0</x:v>
      </x:c>
      <x:c r="M1640" s="25" t="str">
        <x:v>Feedback-Directed Random Test Generation/rounds/Round2/state/Math.json</x:v>
      </x:c>
      <x:c r="N1640" s="25" t="str">
        <x:v>Feedback-Directed Random Test Generation/Result_Round2/Math_101/result.json</x:v>
      </x:c>
      <x:c r="O1640" s="25" t="str">
        <x:v>Feedback-Directed Random Test Generation/Result_Round2/Math_101/result.json</x:v>
      </x:c>
      <x:c r="P1640"/>
      <x:c r="Q1640" s="21" t="str"/>
      <x:c r="R1640" s="21" t="str"/>
      <x:c r="S1640" s="21" t="str"/>
      <x:c r="T1640" s="17" t="str">
        <x:v>false</x:v>
      </x:c>
      <x:c r="U1640" s="17" t="str">
        <x:v>true</x:v>
      </x:c>
      <x:c r="V1640" s="17" t="str">
        <x:v>false</x:v>
      </x:c>
    </x:row>
    <x:row r="1641" ht="80" customHeight="1">
      <x:c r="A1641" s="25" t="str">
        <x:v>Math</x:v>
      </x:c>
      <x:c r="B1641" s="25" t="n">
        <x:v>102</x:v>
      </x:c>
      <x:c r="C1641" s="25" t="str">
        <x:v>Round2</x:v>
      </x:c>
      <x:c r="D1641" s="25" t="str">
        <x:v>INCONCLUSIVE</x:v>
      </x:c>
      <x:c r="E1641" s="25" t="str">
        <x:v>N/A</x:v>
      </x:c>
      <x:c r="F1641" s="26" t="str">
        <x:v>Fixed also failed; assertion failure cannot be attributed to this bug</x:v>
      </x:c>
      <x:c r="G1641" s="25" t="str">
        <x:v>true</x:v>
      </x:c>
      <x:c r="H1641" s="25" t="str">
        <x:v>INCONCLUSIVE</x:v>
      </x:c>
      <x:c r="I1641" s="25" t="str">
        <x:v>PASS</x:v>
      </x:c>
      <x:c r="J1641" s="25" t="str">
        <x:v>FAIL</x:v>
      </x:c>
      <x:c r="K1641" s="25" t="n">
        <x:v>7</x:v>
      </x:c>
      <x:c r="L1641" s="27" t="b">
        <x:v>0</x:v>
      </x:c>
      <x:c r="M1641" s="25" t="str">
        <x:v>Feedback-Directed Random Test Generation/rounds/Round2/state/Math.json</x:v>
      </x:c>
      <x:c r="N1641" s="25" t="str">
        <x:v>Feedback-Directed Random Test Generation/Result_Round2/Math_102/result.json</x:v>
      </x:c>
      <x:c r="O1641" s="25" t="str">
        <x:v>Feedback-Directed Random Test Generation/Result_Round2/Math_102/result.json</x:v>
      </x:c>
      <x:c r="P1641"/>
      <x:c r="Q1641" s="21" t="str"/>
      <x:c r="R1641" s="21" t="str"/>
      <x:c r="S1641" s="21" t="str"/>
      <x:c r="T1641" s="17" t="str">
        <x:v>false</x:v>
      </x:c>
      <x:c r="U1641" s="17" t="str">
        <x:v>true</x:v>
      </x:c>
      <x:c r="V1641" s="17" t="str">
        <x:v>false</x:v>
      </x:c>
    </x:row>
    <x:row r="1642" ht="80" customHeight="1">
      <x:c r="A1642" s="25" t="str">
        <x:v>Math</x:v>
      </x:c>
      <x:c r="B1642" s="25" t="n">
        <x:v>103</x:v>
      </x:c>
      <x:c r="C1642" s="25" t="str">
        <x:v>Round2</x:v>
      </x:c>
      <x:c r="D1642" s="25" t="str">
        <x:v>INCONCLUSIVE</x:v>
      </x:c>
      <x:c r="E1642" s="25" t="str">
        <x:v>N/A</x:v>
      </x:c>
      <x:c r="F1642" s="26" t="str">
        <x:v>Fixed also failed; assertion failure cannot be attributed to this bug</x:v>
      </x:c>
      <x:c r="G1642" s="25" t="str">
        <x:v>true</x:v>
      </x:c>
      <x:c r="H1642" s="25" t="str">
        <x:v>INCONCLUSIVE</x:v>
      </x:c>
      <x:c r="I1642" s="25" t="str">
        <x:v>PASS</x:v>
      </x:c>
      <x:c r="J1642" s="25" t="str">
        <x:v>FAIL</x:v>
      </x:c>
      <x:c r="K1642" s="25" t="n">
        <x:v>9</x:v>
      </x:c>
      <x:c r="L1642" s="27" t="b">
        <x:v>0</x:v>
      </x:c>
      <x:c r="M1642" s="25" t="str">
        <x:v>Feedback-Directed Random Test Generation/rounds/Round2/state/Math.json</x:v>
      </x:c>
      <x:c r="N1642" s="25" t="str">
        <x:v>Feedback-Directed Random Test Generation/Result_Round2/Math_103/result.json</x:v>
      </x:c>
      <x:c r="O1642" s="25" t="str">
        <x:v>Feedback-Directed Random Test Generation/Result_Round2/Math_103/result.json</x:v>
      </x:c>
      <x:c r="P1642"/>
      <x:c r="Q1642" s="21" t="str"/>
      <x:c r="R1642" s="21" t="str"/>
      <x:c r="S1642" s="21" t="str"/>
      <x:c r="T1642" s="17" t="str">
        <x:v>false</x:v>
      </x:c>
      <x:c r="U1642" s="17" t="str">
        <x:v>true</x:v>
      </x:c>
      <x:c r="V1642" s="17" t="str">
        <x:v>false</x:v>
      </x:c>
    </x:row>
    <x:row r="1643" ht="80" customHeight="1">
      <x:c r="A1643" s="25" t="str">
        <x:v>Math</x:v>
      </x:c>
      <x:c r="B1643" s="25" t="n">
        <x:v>104</x:v>
      </x:c>
      <x:c r="C1643" s="25" t="str">
        <x:v>Round2</x:v>
      </x:c>
      <x:c r="D1643" s="25" t="str">
        <x:v>INCONCLUSIVE</x:v>
      </x:c>
      <x:c r="E1643" s="25" t="str">
        <x:v>N/A</x:v>
      </x:c>
      <x:c r="F1643" s="26" t="str">
        <x:v>Fixed also failed; assertion failure cannot be attributed to this bug</x:v>
      </x:c>
      <x:c r="G1643" s="25" t="str">
        <x:v>true</x:v>
      </x:c>
      <x:c r="H1643" s="25" t="str">
        <x:v>INCONCLUSIVE</x:v>
      </x:c>
      <x:c r="I1643" s="25" t="str">
        <x:v>PASS</x:v>
      </x:c>
      <x:c r="J1643" s="25" t="str">
        <x:v>FAIL</x:v>
      </x:c>
      <x:c r="K1643" s="25" t="n">
        <x:v>8</x:v>
      </x:c>
      <x:c r="L1643" s="27" t="b">
        <x:v>0</x:v>
      </x:c>
      <x:c r="M1643" s="25" t="str">
        <x:v>Feedback-Directed Random Test Generation/rounds/Round2/state/Math.json</x:v>
      </x:c>
      <x:c r="N1643" s="25" t="str">
        <x:v>Feedback-Directed Random Test Generation/Result_Round2/Math_104/result.json</x:v>
      </x:c>
      <x:c r="O1643" s="25" t="str">
        <x:v>Feedback-Directed Random Test Generation/Result_Round2/Math_104/result.json</x:v>
      </x:c>
      <x:c r="P1643"/>
      <x:c r="Q1643" s="21" t="str"/>
      <x:c r="R1643" s="21" t="str"/>
      <x:c r="S1643" s="21" t="str"/>
      <x:c r="T1643" s="17" t="str">
        <x:v>false</x:v>
      </x:c>
      <x:c r="U1643" s="17" t="str">
        <x:v>true</x:v>
      </x:c>
      <x:c r="V1643" s="17" t="str">
        <x:v>false</x:v>
      </x:c>
    </x:row>
    <x:row r="1644" ht="80" customHeight="1">
      <x:c r="A1644" s="25" t="str">
        <x:v>Math</x:v>
      </x:c>
      <x:c r="B1644" s="25" t="n">
        <x:v>105</x:v>
      </x:c>
      <x:c r="C1644" s="25" t="str">
        <x:v>Round2</x:v>
      </x:c>
      <x:c r="D1644" s="25" t="str">
        <x:v>INCONCLUSIVE</x:v>
      </x:c>
      <x:c r="E1644" s="25" t="str">
        <x:v>N/A</x:v>
      </x:c>
      <x:c r="F1644" s="26" t="str">
        <x:v>Fixed also failed; assertion failure cannot be attributed to this bug</x:v>
      </x:c>
      <x:c r="G1644" s="25" t="str">
        <x:v>true</x:v>
      </x:c>
      <x:c r="H1644" s="25" t="str">
        <x:v>INCONCLUSIVE</x:v>
      </x:c>
      <x:c r="I1644" s="25" t="str">
        <x:v>PASS</x:v>
      </x:c>
      <x:c r="J1644" s="25" t="str">
        <x:v>FAIL</x:v>
      </x:c>
      <x:c r="K1644" s="25" t="n">
        <x:v>6</x:v>
      </x:c>
      <x:c r="L1644" s="27" t="b">
        <x:v>0</x:v>
      </x:c>
      <x:c r="M1644" s="25" t="str">
        <x:v>Feedback-Directed Random Test Generation/rounds/Round2/state/Math.json</x:v>
      </x:c>
      <x:c r="N1644" s="25" t="str">
        <x:v>Feedback-Directed Random Test Generation/Result_Round2/Math_105/result.json</x:v>
      </x:c>
      <x:c r="O1644" s="25" t="str">
        <x:v>Feedback-Directed Random Test Generation/Result_Round2/Math_105/result.json</x:v>
      </x:c>
      <x:c r="P1644"/>
      <x:c r="Q1644" s="21" t="str"/>
      <x:c r="R1644" s="21" t="str"/>
      <x:c r="S1644" s="21" t="str"/>
      <x:c r="T1644" s="17" t="str">
        <x:v>false</x:v>
      </x:c>
      <x:c r="U1644" s="17" t="str">
        <x:v>true</x:v>
      </x:c>
      <x:c r="V1644" s="17" t="str">
        <x:v>false</x:v>
      </x:c>
    </x:row>
    <x:row r="1645" ht="80" customHeight="1">
      <x:c r="A1645" s="25" t="str">
        <x:v>Math</x:v>
      </x:c>
      <x:c r="B1645" s="25" t="n">
        <x:v>106</x:v>
      </x:c>
      <x:c r="C1645" s="25" t="str">
        <x:v>Round2</x:v>
      </x:c>
      <x:c r="D1645" s="25" t="str">
        <x:v>NOT_REVEALING</x:v>
      </x:c>
      <x:c r="E1645" s="25" t="str">
        <x:v>N/A</x:v>
      </x:c>
      <x:c r="F1645" s="26" t="str">
        <x:v>Same saved validation suite passed on buggy and fixed</x:v>
      </x:c>
      <x:c r="G1645" s="25" t="str">
        <x:v>true</x:v>
      </x:c>
      <x:c r="H1645" s="25" t="str">
        <x:v>NOT_REVEALING</x:v>
      </x:c>
      <x:c r="I1645" s="25" t="str">
        <x:v>PASS</x:v>
      </x:c>
      <x:c r="J1645" s="25" t="str">
        <x:v>PASS</x:v>
      </x:c>
      <x:c r="K1645" s="25" t="n">
        <x:v>7</x:v>
      </x:c>
      <x:c r="L1645" s="27" t="b">
        <x:v>0</x:v>
      </x:c>
      <x:c r="M1645" s="25" t="str">
        <x:v>Feedback-Directed Random Test Generation/rounds/Round2/state/Math.json</x:v>
      </x:c>
      <x:c r="N1645" s="25" t="str">
        <x:v>Feedback-Directed Random Test Generation/Result_Round2/Math_106/result.json</x:v>
      </x:c>
      <x:c r="O1645" s="25" t="str">
        <x:v>Feedback-Directed Random Test Generation/Result_Round2/Math_106/result.json</x:v>
      </x:c>
      <x:c r="P1645"/>
      <x:c r="Q1645" s="21" t="str"/>
      <x:c r="R1645" s="21" t="str"/>
      <x:c r="S1645" s="21" t="str"/>
      <x:c r="T1645" s="17" t="str">
        <x:v>false</x:v>
      </x:c>
      <x:c r="U1645" s="17" t="str">
        <x:v>true</x:v>
      </x:c>
      <x:c r="V1645" s="17" t="str">
        <x:v>false</x:v>
      </x:c>
    </x:row>
    <x:row r="1646" ht="80" customHeight="1">
      <x:c r="A1646" s="25" t="str">
        <x:v>Mockito</x:v>
      </x:c>
      <x:c r="B1646" s="25" t="n">
        <x:v>1</x:v>
      </x:c>
      <x:c r="C1646" s="25" t="str">
        <x:v>Round2</x:v>
      </x:c>
      <x:c r="D1646" s="25" t="str">
        <x:v>FAIL</x:v>
      </x:c>
      <x:c r="E1646" s="25" t="str">
        <x:v>N/A</x:v>
      </x:c>
      <x:c r="F1646" s="26" t="str">
        <x:v>Latest same-round generation failed; older files/results are excluded</x:v>
      </x:c>
      <x:c r="G1646" s="25" t="str">
        <x:v>true</x:v>
      </x:c>
      <x:c r="H1646" s="25" t="str">
        <x:v>FAIL</x:v>
      </x:c>
      <x:c r="I1646" s="25"/>
      <x:c r="J1646" s="25"/>
      <x:c r="K1646" s="25" t="n">
        <x:v>0</x:v>
      </x:c>
      <x:c r="L1646" s="27" t="b">
        <x:v>1</x:v>
      </x:c>
      <x:c r="M1646" s="25" t="str">
        <x:v>Feedback-Directed Random Test Generation/rounds/Round2/state/Mockito.json</x:v>
      </x:c>
      <x:c r="N1646" s="25"/>
      <x:c r="O1646" s="25" t="str">
        <x:v>Feedback-Directed Random Test Generation/Result_Round2/Mockito_1/result.json</x:v>
      </x:c>
      <x:c r="P1646"/>
      <x:c r="Q1646" s="21" t="str"/>
      <x:c r="R1646" s="21" t="str"/>
      <x:c r="S1646" s="21" t="str"/>
      <x:c r="T1646" s="17" t="str">
        <x:v>false</x:v>
      </x:c>
      <x:c r="U1646" s="17" t="str">
        <x:v>false</x:v>
      </x:c>
      <x:c r="V1646" s="17" t="str">
        <x:v>false</x:v>
      </x:c>
    </x:row>
    <x:row r="1647" ht="80" customHeight="1">
      <x:c r="A1647" s="25" t="str">
        <x:v>Mockito</x:v>
      </x:c>
      <x:c r="B1647" s="25" t="n">
        <x:v>2</x:v>
      </x:c>
      <x:c r="C1647" s="25" t="str">
        <x:v>Round2</x:v>
      </x:c>
      <x:c r="D1647" s="25" t="str">
        <x:v>NOT_AVAILABLE</x:v>
      </x:c>
      <x:c r="E1647" s="25" t="str">
        <x:v>N/A</x:v>
      </x:c>
      <x:c r="F1647" s="26" t="str">
        <x:v>Tests exist but current coverage did not complete</x:v>
      </x:c>
      <x:c r="G1647" s="25" t="str">
        <x:v>true</x:v>
      </x:c>
      <x:c r="H1647" s="25" t="str">
        <x:v>NOT_AVAILABLE</x:v>
      </x:c>
      <x:c r="I1647" s="25" t="str">
        <x:v>NOT_RUN</x:v>
      </x:c>
      <x:c r="J1647" s="25" t="str">
        <x:v>NOT_RUN</x:v>
      </x:c>
      <x:c r="K1647" s="25" t="n">
        <x:v>13</x:v>
      </x:c>
      <x:c r="L1647" s="27" t="b">
        <x:v>0</x:v>
      </x:c>
      <x:c r="M1647" s="25" t="str">
        <x:v>Feedback-Directed Random Test Generation/rounds/Round2/state/Mockito.json</x:v>
      </x:c>
      <x:c r="N1647" s="25" t="str">
        <x:v>Feedback-Directed Random Test Generation/Result_Round2/Mockito_2/result.json</x:v>
      </x:c>
      <x:c r="O1647" s="25" t="str">
        <x:v>Feedback-Directed Random Test Generation/Result_Round2/Mockito_2/result.json</x:v>
      </x:c>
      <x:c r="P1647" t="str">
        <x:v>BOTH_NOT_RUN</x:v>
      </x:c>
      <x:c r="Q1647" s="21" t="str"/>
      <x:c r="R1647" s="21" t="str"/>
      <x:c r="S1647" s="21" t="str"/>
      <x:c r="T1647" s="17" t="str">
        <x:v>false</x:v>
      </x:c>
      <x:c r="U1647" s="17" t="str">
        <x:v>true</x:v>
      </x:c>
      <x:c r="V1647" s="17" t="str">
        <x:v>false</x:v>
      </x:c>
    </x:row>
    <x:row r="1648" ht="80" customHeight="1">
      <x:c r="A1648" s="25" t="str">
        <x:v>Mockito</x:v>
      </x:c>
      <x:c r="B1648" s="25" t="n">
        <x:v>3</x:v>
      </x:c>
      <x:c r="C1648" s="25" t="str">
        <x:v>Round2</x:v>
      </x:c>
      <x:c r="D1648" s="25" t="str">
        <x:v>FAIL</x:v>
      </x:c>
      <x:c r="E1648" s="25" t="str">
        <x:v>N/A</x:v>
      </x:c>
      <x:c r="F1648" s="26" t="str">
        <x:v>Latest same-round generation failed; older files/results are excluded</x:v>
      </x:c>
      <x:c r="G1648" s="25" t="str">
        <x:v>true</x:v>
      </x:c>
      <x:c r="H1648" s="25" t="str">
        <x:v>FAIL</x:v>
      </x:c>
      <x:c r="I1648" s="25"/>
      <x:c r="J1648" s="25"/>
      <x:c r="K1648" s="25" t="n">
        <x:v>0</x:v>
      </x:c>
      <x:c r="L1648" s="27" t="b">
        <x:v>1</x:v>
      </x:c>
      <x:c r="M1648" s="25" t="str">
        <x:v>Feedback-Directed Random Test Generation/rounds/Round2/state/Mockito.json</x:v>
      </x:c>
      <x:c r="N1648" s="25"/>
      <x:c r="O1648" s="25" t="str">
        <x:v>Feedback-Directed Random Test Generation/Result_Round2/Mockito_3/result.json</x:v>
      </x:c>
      <x:c r="P1648"/>
      <x:c r="Q1648" s="21" t="str"/>
      <x:c r="R1648" s="21" t="str"/>
      <x:c r="S1648" s="21" t="str"/>
      <x:c r="T1648" s="17" t="str">
        <x:v>false</x:v>
      </x:c>
      <x:c r="U1648" s="17" t="str">
        <x:v>false</x:v>
      </x:c>
      <x:c r="V1648" s="17" t="str">
        <x:v>false</x:v>
      </x:c>
    </x:row>
    <x:row r="1649" ht="80" customHeight="1">
      <x:c r="A1649" s="25" t="str">
        <x:v>Mockito</x:v>
      </x:c>
      <x:c r="B1649" s="25" t="n">
        <x:v>4</x:v>
      </x:c>
      <x:c r="C1649" s="25" t="str">
        <x:v>Round2</x:v>
      </x:c>
      <x:c r="D1649" s="25" t="str">
        <x:v>FAIL</x:v>
      </x:c>
      <x:c r="E1649" s="25" t="str">
        <x:v>N/A</x:v>
      </x:c>
      <x:c r="F1649" s="26" t="str">
        <x:v>Latest same-round generation failed; older files/results are excluded</x:v>
      </x:c>
      <x:c r="G1649" s="25" t="str">
        <x:v>true</x:v>
      </x:c>
      <x:c r="H1649" s="25" t="str">
        <x:v>FAIL</x:v>
      </x:c>
      <x:c r="I1649" s="25"/>
      <x:c r="J1649" s="25"/>
      <x:c r="K1649" s="25" t="n">
        <x:v>0</x:v>
      </x:c>
      <x:c r="L1649" s="27" t="b">
        <x:v>1</x:v>
      </x:c>
      <x:c r="M1649" s="25" t="str">
        <x:v>Feedback-Directed Random Test Generation/rounds/Round2/state/Mockito.json</x:v>
      </x:c>
      <x:c r="N1649" s="25"/>
      <x:c r="O1649" s="25" t="str">
        <x:v>Feedback-Directed Random Test Generation/Result_Round2/Mockito_4/result.json</x:v>
      </x:c>
      <x:c r="P1649"/>
      <x:c r="Q1649" s="21" t="str"/>
      <x:c r="R1649" s="21" t="str"/>
      <x:c r="S1649" s="21" t="str"/>
      <x:c r="T1649" s="17" t="str">
        <x:v>false</x:v>
      </x:c>
      <x:c r="U1649" s="17" t="str">
        <x:v>false</x:v>
      </x:c>
      <x:c r="V1649" s="17" t="str">
        <x:v>false</x:v>
      </x:c>
    </x:row>
    <x:row r="1650" ht="80" customHeight="1">
      <x:c r="A1650" s="25" t="str">
        <x:v>Mockito</x:v>
      </x:c>
      <x:c r="B1650" s="25" t="n">
        <x:v>5</x:v>
      </x:c>
      <x:c r="C1650" s="25" t="str">
        <x:v>Round2</x:v>
      </x:c>
      <x:c r="D1650" s="25" t="str">
        <x:v>FAIL</x:v>
      </x:c>
      <x:c r="E1650" s="25" t="str">
        <x:v>N/A</x:v>
      </x:c>
      <x:c r="F1650" s="26" t="str">
        <x:v>Latest same-round generation failed; older files/results are excluded</x:v>
      </x:c>
      <x:c r="G1650" s="25" t="str">
        <x:v>true</x:v>
      </x:c>
      <x:c r="H1650" s="25" t="str">
        <x:v>FAIL</x:v>
      </x:c>
      <x:c r="I1650" s="25"/>
      <x:c r="J1650" s="25"/>
      <x:c r="K1650" s="25" t="n">
        <x:v>0</x:v>
      </x:c>
      <x:c r="L1650" s="27" t="b">
        <x:v>1</x:v>
      </x:c>
      <x:c r="M1650" s="25" t="str">
        <x:v>Feedback-Directed Random Test Generation/rounds/Round2/state/Mockito.json</x:v>
      </x:c>
      <x:c r="N1650" s="25"/>
      <x:c r="O1650" s="25" t="str">
        <x:v>Feedback-Directed Random Test Generation/Result_Round2/Mockito_5/result.json</x:v>
      </x:c>
      <x:c r="P1650"/>
      <x:c r="Q1650" s="21" t="str"/>
      <x:c r="R1650" s="21" t="str"/>
      <x:c r="S1650" s="21" t="str"/>
      <x:c r="T1650" s="17" t="str">
        <x:v>false</x:v>
      </x:c>
      <x:c r="U1650" s="17" t="str">
        <x:v>false</x:v>
      </x:c>
      <x:c r="V1650" s="17" t="str">
        <x:v>false</x:v>
      </x:c>
    </x:row>
    <x:row r="1651" ht="80" customHeight="1">
      <x:c r="A1651" s="25" t="str">
        <x:v>Mockito</x:v>
      </x:c>
      <x:c r="B1651" s="25" t="n">
        <x:v>6</x:v>
      </x:c>
      <x:c r="C1651" s="25" t="str">
        <x:v>Round2</x:v>
      </x:c>
      <x:c r="D1651" s="25" t="str">
        <x:v>FAIL</x:v>
      </x:c>
      <x:c r="E1651" s="25" t="str">
        <x:v>N/A</x:v>
      </x:c>
      <x:c r="F1651" s="26" t="str">
        <x:v>Latest same-round generation failed; older files/results are excluded</x:v>
      </x:c>
      <x:c r="G1651" s="25" t="str">
        <x:v>true</x:v>
      </x:c>
      <x:c r="H1651" s="25" t="str">
        <x:v>FAIL</x:v>
      </x:c>
      <x:c r="I1651" s="25"/>
      <x:c r="J1651" s="25"/>
      <x:c r="K1651" s="25" t="n">
        <x:v>0</x:v>
      </x:c>
      <x:c r="L1651" s="27" t="b">
        <x:v>1</x:v>
      </x:c>
      <x:c r="M1651" s="25" t="str">
        <x:v>Feedback-Directed Random Test Generation/rounds/Round2/state/Mockito.json</x:v>
      </x:c>
      <x:c r="N1651" s="25"/>
      <x:c r="O1651" s="25" t="str">
        <x:v>Feedback-Directed Random Test Generation/Result_Round2/Mockito_6/result.json</x:v>
      </x:c>
      <x:c r="P1651"/>
      <x:c r="Q1651" s="21" t="str"/>
      <x:c r="R1651" s="21" t="str"/>
      <x:c r="S1651" s="21" t="str"/>
      <x:c r="T1651" s="17" t="str">
        <x:v>false</x:v>
      </x:c>
      <x:c r="U1651" s="17" t="str">
        <x:v>false</x:v>
      </x:c>
      <x:c r="V1651" s="17" t="str">
        <x:v>false</x:v>
      </x:c>
    </x:row>
    <x:row r="1652" ht="80" customHeight="1">
      <x:c r="A1652" s="25" t="str">
        <x:v>Mockito</x:v>
      </x:c>
      <x:c r="B1652" s="25" t="n">
        <x:v>7</x:v>
      </x:c>
      <x:c r="C1652" s="25" t="str">
        <x:v>Round2</x:v>
      </x:c>
      <x:c r="D1652" s="25" t="str">
        <x:v>FAIL</x:v>
      </x:c>
      <x:c r="E1652" s="25" t="str">
        <x:v>N/A</x:v>
      </x:c>
      <x:c r="F1652" s="26" t="str">
        <x:v>Latest same-round generation failed; older files/results are excluded</x:v>
      </x:c>
      <x:c r="G1652" s="25" t="str">
        <x:v>true</x:v>
      </x:c>
      <x:c r="H1652" s="25" t="str">
        <x:v>FAIL</x:v>
      </x:c>
      <x:c r="I1652" s="25"/>
      <x:c r="J1652" s="25"/>
      <x:c r="K1652" s="25" t="n">
        <x:v>0</x:v>
      </x:c>
      <x:c r="L1652" s="27" t="b">
        <x:v>1</x:v>
      </x:c>
      <x:c r="M1652" s="25" t="str">
        <x:v>Feedback-Directed Random Test Generation/rounds/Round2/state/Mockito.json</x:v>
      </x:c>
      <x:c r="N1652" s="25"/>
      <x:c r="O1652" s="25" t="str">
        <x:v>Feedback-Directed Random Test Generation/Result_Round2/Mockito_7/result.json</x:v>
      </x:c>
      <x:c r="P1652"/>
      <x:c r="Q1652" s="21" t="str"/>
      <x:c r="R1652" s="21" t="str"/>
      <x:c r="S1652" s="21" t="str"/>
      <x:c r="T1652" s="17" t="str">
        <x:v>false</x:v>
      </x:c>
      <x:c r="U1652" s="17" t="str">
        <x:v>false</x:v>
      </x:c>
      <x:c r="V1652" s="17" t="str">
        <x:v>false</x:v>
      </x:c>
    </x:row>
    <x:row r="1653" ht="80" customHeight="1">
      <x:c r="A1653" s="25" t="str">
        <x:v>Mockito</x:v>
      </x:c>
      <x:c r="B1653" s="25" t="n">
        <x:v>8</x:v>
      </x:c>
      <x:c r="C1653" s="25" t="str">
        <x:v>Round2</x:v>
      </x:c>
      <x:c r="D1653" s="25" t="str">
        <x:v>FAIL</x:v>
      </x:c>
      <x:c r="E1653" s="25" t="str">
        <x:v>N/A</x:v>
      </x:c>
      <x:c r="F1653" s="26" t="str">
        <x:v>Latest same-round generation failed; older files/results are excluded</x:v>
      </x:c>
      <x:c r="G1653" s="25" t="str">
        <x:v>true</x:v>
      </x:c>
      <x:c r="H1653" s="25" t="str">
        <x:v>FAIL</x:v>
      </x:c>
      <x:c r="I1653" s="25"/>
      <x:c r="J1653" s="25"/>
      <x:c r="K1653" s="25" t="n">
        <x:v>0</x:v>
      </x:c>
      <x:c r="L1653" s="27" t="b">
        <x:v>1</x:v>
      </x:c>
      <x:c r="M1653" s="25" t="str">
        <x:v>Feedback-Directed Random Test Generation/rounds/Round2/state/Mockito.json</x:v>
      </x:c>
      <x:c r="N1653" s="25"/>
      <x:c r="O1653" s="25" t="str">
        <x:v>Feedback-Directed Random Test Generation/Result_Round2/Mockito_8/result.json</x:v>
      </x:c>
      <x:c r="P1653"/>
      <x:c r="Q1653" s="21" t="str"/>
      <x:c r="R1653" s="21" t="str"/>
      <x:c r="S1653" s="21" t="str"/>
      <x:c r="T1653" s="17" t="str">
        <x:v>false</x:v>
      </x:c>
      <x:c r="U1653" s="17" t="str">
        <x:v>false</x:v>
      </x:c>
      <x:c r="V1653" s="17" t="str">
        <x:v>false</x:v>
      </x:c>
    </x:row>
    <x:row r="1654" ht="80" customHeight="1">
      <x:c r="A1654" s="25" t="str">
        <x:v>Mockito</x:v>
      </x:c>
      <x:c r="B1654" s="25" t="n">
        <x:v>9</x:v>
      </x:c>
      <x:c r="C1654" s="25" t="str">
        <x:v>Round2</x:v>
      </x:c>
      <x:c r="D1654" s="25" t="str">
        <x:v>FAIL</x:v>
      </x:c>
      <x:c r="E1654" s="25" t="str">
        <x:v>N/A</x:v>
      </x:c>
      <x:c r="F1654" s="26" t="str">
        <x:v>Latest same-round generation failed; older files/results are excluded</x:v>
      </x:c>
      <x:c r="G1654" s="25" t="str">
        <x:v>true</x:v>
      </x:c>
      <x:c r="H1654" s="25" t="str">
        <x:v>FAIL</x:v>
      </x:c>
      <x:c r="I1654" s="25"/>
      <x:c r="J1654" s="25"/>
      <x:c r="K1654" s="25" t="n">
        <x:v>0</x:v>
      </x:c>
      <x:c r="L1654" s="27" t="b">
        <x:v>1</x:v>
      </x:c>
      <x:c r="M1654" s="25" t="str">
        <x:v>Feedback-Directed Random Test Generation/rounds/Round2/state/Mockito.json</x:v>
      </x:c>
      <x:c r="N1654" s="25"/>
      <x:c r="O1654" s="25" t="str">
        <x:v>Feedback-Directed Random Test Generation/Result_Round2/Mockito_9/result.json</x:v>
      </x:c>
      <x:c r="P1654"/>
      <x:c r="Q1654" s="21" t="str"/>
      <x:c r="R1654" s="21" t="str"/>
      <x:c r="S1654" s="21" t="str"/>
      <x:c r="T1654" s="17" t="str">
        <x:v>false</x:v>
      </x:c>
      <x:c r="U1654" s="17" t="str">
        <x:v>false</x:v>
      </x:c>
      <x:c r="V1654" s="17" t="str">
        <x:v>false</x:v>
      </x:c>
    </x:row>
    <x:row r="1655" ht="80" customHeight="1">
      <x:c r="A1655" s="25" t="str">
        <x:v>Mockito</x:v>
      </x:c>
      <x:c r="B1655" s="25" t="n">
        <x:v>10</x:v>
      </x:c>
      <x:c r="C1655" s="25" t="str">
        <x:v>Round2</x:v>
      </x:c>
      <x:c r="D1655" s="25" t="str">
        <x:v>NOT_REVEALING</x:v>
      </x:c>
      <x:c r="E1655" s="25" t="str">
        <x:v>N/A</x:v>
      </x:c>
      <x:c r="F1655" s="26" t="str">
        <x:v>Same saved validation suite passed on buggy and fixed</x:v>
      </x:c>
      <x:c r="G1655" s="25" t="str">
        <x:v>true</x:v>
      </x:c>
      <x:c r="H1655" s="25" t="str">
        <x:v>NOT_REVEALING</x:v>
      </x:c>
      <x:c r="I1655" s="25" t="str">
        <x:v>PASS</x:v>
      </x:c>
      <x:c r="J1655" s="25" t="str">
        <x:v>PASS</x:v>
      </x:c>
      <x:c r="K1655" s="25" t="n">
        <x:v>2</x:v>
      </x:c>
      <x:c r="L1655" s="27" t="b">
        <x:v>0</x:v>
      </x:c>
      <x:c r="M1655" s="25" t="str">
        <x:v>Feedback-Directed Random Test Generation/rounds/Round2/state/Mockito.json</x:v>
      </x:c>
      <x:c r="N1655" s="25" t="str">
        <x:v>Feedback-Directed Random Test Generation/Result_Round2/Mockito_10/result.json</x:v>
      </x:c>
      <x:c r="O1655" s="25" t="str">
        <x:v>Feedback-Directed Random Test Generation/Result_Round2/Mockito_10/result.json</x:v>
      </x:c>
      <x:c r="P1655"/>
      <x:c r="Q1655" s="21" t="str"/>
      <x:c r="R1655" s="21" t="str"/>
      <x:c r="S1655" s="21" t="str"/>
      <x:c r="T1655" s="17" t="str">
        <x:v>false</x:v>
      </x:c>
      <x:c r="U1655" s="17" t="str">
        <x:v>true</x:v>
      </x:c>
      <x:c r="V1655" s="17" t="str">
        <x:v>false</x:v>
      </x:c>
    </x:row>
    <x:row r="1656" ht="80" customHeight="1">
      <x:c r="A1656" s="25" t="str">
        <x:v>Mockito</x:v>
      </x:c>
      <x:c r="B1656" s="25" t="n">
        <x:v>11</x:v>
      </x:c>
      <x:c r="C1656" s="25" t="str">
        <x:v>Round2</x:v>
      </x:c>
      <x:c r="D1656" s="25" t="str">
        <x:v>NOT_REVEALING</x:v>
      </x:c>
      <x:c r="E1656" s="25" t="str">
        <x:v>N/A</x:v>
      </x:c>
      <x:c r="F1656" s="26" t="str">
        <x:v>Same saved validation suite passed on buggy and fixed</x:v>
      </x:c>
      <x:c r="G1656" s="25" t="str">
        <x:v>true</x:v>
      </x:c>
      <x:c r="H1656" s="25" t="str">
        <x:v>NOT_REVEALING</x:v>
      </x:c>
      <x:c r="I1656" s="25" t="str">
        <x:v>PASS</x:v>
      </x:c>
      <x:c r="J1656" s="25" t="str">
        <x:v>PASS</x:v>
      </x:c>
      <x:c r="K1656" s="25" t="n">
        <x:v>2</x:v>
      </x:c>
      <x:c r="L1656" s="27" t="b">
        <x:v>0</x:v>
      </x:c>
      <x:c r="M1656" s="25" t="str">
        <x:v>Feedback-Directed Random Test Generation/rounds/Round2/state/Mockito.json</x:v>
      </x:c>
      <x:c r="N1656" s="25" t="str">
        <x:v>Feedback-Directed Random Test Generation/Result_Round2/Mockito_11/result.json</x:v>
      </x:c>
      <x:c r="O1656" s="25" t="str">
        <x:v>Feedback-Directed Random Test Generation/Result_Round2/Mockito_11/result.json</x:v>
      </x:c>
      <x:c r="P1656"/>
      <x:c r="Q1656" s="21" t="str"/>
      <x:c r="R1656" s="21" t="str"/>
      <x:c r="S1656" s="21" t="str"/>
      <x:c r="T1656" s="17" t="str">
        <x:v>false</x:v>
      </x:c>
      <x:c r="U1656" s="17" t="str">
        <x:v>true</x:v>
      </x:c>
      <x:c r="V1656" s="17" t="str">
        <x:v>false</x:v>
      </x:c>
    </x:row>
    <x:row r="1657" ht="80" customHeight="1">
      <x:c r="A1657" s="25" t="str">
        <x:v>Mockito</x:v>
      </x:c>
      <x:c r="B1657" s="25" t="n">
        <x:v>12</x:v>
      </x:c>
      <x:c r="C1657" s="25" t="str">
        <x:v>Round2</x:v>
      </x:c>
      <x:c r="D1657" s="25" t="str">
        <x:v>NOT_REVEALING</x:v>
      </x:c>
      <x:c r="E1657" s="25" t="str">
        <x:v>N/A</x:v>
      </x:c>
      <x:c r="F1657" s="26" t="str">
        <x:v>Same saved validation suite passed on buggy and fixed</x:v>
      </x:c>
      <x:c r="G1657" s="25" t="str">
        <x:v>true</x:v>
      </x:c>
      <x:c r="H1657" s="25" t="str">
        <x:v>NOT_REVEALING</x:v>
      </x:c>
      <x:c r="I1657" s="25" t="str">
        <x:v>PASS</x:v>
      </x:c>
      <x:c r="J1657" s="25" t="str">
        <x:v>PASS</x:v>
      </x:c>
      <x:c r="K1657" s="25" t="n">
        <x:v>2</x:v>
      </x:c>
      <x:c r="L1657" s="27" t="b">
        <x:v>0</x:v>
      </x:c>
      <x:c r="M1657" s="25" t="str">
        <x:v>Feedback-Directed Random Test Generation/rounds/Round2/state/Mockito.json</x:v>
      </x:c>
      <x:c r="N1657" s="25" t="str">
        <x:v>Feedback-Directed Random Test Generation/Result_Round2/Mockito_12/result.json</x:v>
      </x:c>
      <x:c r="O1657" s="25" t="str">
        <x:v>Feedback-Directed Random Test Generation/Result_Round2/Mockito_12/result.json</x:v>
      </x:c>
      <x:c r="P1657"/>
      <x:c r="Q1657" s="21" t="str"/>
      <x:c r="R1657" s="21" t="str"/>
      <x:c r="S1657" s="21" t="str"/>
      <x:c r="T1657" s="17" t="str">
        <x:v>false</x:v>
      </x:c>
      <x:c r="U1657" s="17" t="str">
        <x:v>true</x:v>
      </x:c>
      <x:c r="V1657" s="17" t="str">
        <x:v>false</x:v>
      </x:c>
    </x:row>
    <x:row r="1658" ht="80" customHeight="1">
      <x:c r="A1658" s="25" t="str">
        <x:v>Mockito</x:v>
      </x:c>
      <x:c r="B1658" s="25" t="n">
        <x:v>13</x:v>
      </x:c>
      <x:c r="C1658" s="25" t="str">
        <x:v>Round2</x:v>
      </x:c>
      <x:c r="D1658" s="25" t="str">
        <x:v>NOT_REVEALING</x:v>
      </x:c>
      <x:c r="E1658" s="25" t="str">
        <x:v>N/A</x:v>
      </x:c>
      <x:c r="F1658" s="26" t="str">
        <x:v>Same saved validation suite passed on buggy and fixed</x:v>
      </x:c>
      <x:c r="G1658" s="25" t="str">
        <x:v>true</x:v>
      </x:c>
      <x:c r="H1658" s="25" t="str">
        <x:v>NOT_REVEALING</x:v>
      </x:c>
      <x:c r="I1658" s="25" t="str">
        <x:v>PASS</x:v>
      </x:c>
      <x:c r="J1658" s="25" t="str">
        <x:v>PASS</x:v>
      </x:c>
      <x:c r="K1658" s="25" t="n">
        <x:v>5</x:v>
      </x:c>
      <x:c r="L1658" s="27" t="b">
        <x:v>0</x:v>
      </x:c>
      <x:c r="M1658" s="25" t="str">
        <x:v>Feedback-Directed Random Test Generation/rounds/Round2/state/Mockito.json</x:v>
      </x:c>
      <x:c r="N1658" s="25" t="str">
        <x:v>Feedback-Directed Random Test Generation/Result_Round2/Mockito_13/result.json</x:v>
      </x:c>
      <x:c r="O1658" s="25" t="str">
        <x:v>Feedback-Directed Random Test Generation/Result_Round2/Mockito_13/result.json</x:v>
      </x:c>
      <x:c r="P1658"/>
      <x:c r="Q1658" s="21" t="str"/>
      <x:c r="R1658" s="21" t="str"/>
      <x:c r="S1658" s="21" t="str"/>
      <x:c r="T1658" s="17" t="str">
        <x:v>false</x:v>
      </x:c>
      <x:c r="U1658" s="17" t="str">
        <x:v>true</x:v>
      </x:c>
      <x:c r="V1658" s="17" t="str">
        <x:v>false</x:v>
      </x:c>
    </x:row>
    <x:row r="1659" ht="80" customHeight="1">
      <x:c r="A1659" s="25" t="str">
        <x:v>Mockito</x:v>
      </x:c>
      <x:c r="B1659" s="25" t="n">
        <x:v>14</x:v>
      </x:c>
      <x:c r="C1659" s="25" t="str">
        <x:v>Round2</x:v>
      </x:c>
      <x:c r="D1659" s="25" t="str">
        <x:v>FAIL</x:v>
      </x:c>
      <x:c r="E1659" s="25" t="str">
        <x:v>N/A</x:v>
      </x:c>
      <x:c r="F1659" s="26" t="str">
        <x:v>Latest same-round generation failed; older files/results are excluded</x:v>
      </x:c>
      <x:c r="G1659" s="25" t="str">
        <x:v>true</x:v>
      </x:c>
      <x:c r="H1659" s="25" t="str">
        <x:v>FAIL</x:v>
      </x:c>
      <x:c r="I1659" s="25"/>
      <x:c r="J1659" s="25"/>
      <x:c r="K1659" s="25" t="n">
        <x:v>0</x:v>
      </x:c>
      <x:c r="L1659" s="27" t="b">
        <x:v>1</x:v>
      </x:c>
      <x:c r="M1659" s="25" t="str">
        <x:v>Feedback-Directed Random Test Generation/rounds/Round2/state/Mockito.json</x:v>
      </x:c>
      <x:c r="N1659" s="25"/>
      <x:c r="O1659" s="25" t="str">
        <x:v>Feedback-Directed Random Test Generation/Result_Round2/Mockito_14/result.json</x:v>
      </x:c>
      <x:c r="P1659"/>
      <x:c r="Q1659" s="21" t="str"/>
      <x:c r="R1659" s="21" t="str"/>
      <x:c r="S1659" s="21" t="str"/>
      <x:c r="T1659" s="17" t="str">
        <x:v>false</x:v>
      </x:c>
      <x:c r="U1659" s="17" t="str">
        <x:v>false</x:v>
      </x:c>
      <x:c r="V1659" s="17" t="str">
        <x:v>false</x:v>
      </x:c>
    </x:row>
    <x:row r="1660" ht="80" customHeight="1">
      <x:c r="A1660" s="25" t="str">
        <x:v>Mockito</x:v>
      </x:c>
      <x:c r="B1660" s="25" t="n">
        <x:v>15</x:v>
      </x:c>
      <x:c r="C1660" s="25" t="str">
        <x:v>Round2</x:v>
      </x:c>
      <x:c r="D1660" s="25" t="str">
        <x:v>NOT_REVEALING</x:v>
      </x:c>
      <x:c r="E1660" s="25" t="str">
        <x:v>N/A</x:v>
      </x:c>
      <x:c r="F1660" s="26" t="str">
        <x:v>Same saved validation suite passed on buggy and fixed</x:v>
      </x:c>
      <x:c r="G1660" s="25" t="str">
        <x:v>true</x:v>
      </x:c>
      <x:c r="H1660" s="25" t="str">
        <x:v>NOT_REVEALING</x:v>
      </x:c>
      <x:c r="I1660" s="25" t="str">
        <x:v>PASS</x:v>
      </x:c>
      <x:c r="J1660" s="25" t="str">
        <x:v>PASS</x:v>
      </x:c>
      <x:c r="K1660" s="25" t="n">
        <x:v>4</x:v>
      </x:c>
      <x:c r="L1660" s="27" t="b">
        <x:v>0</x:v>
      </x:c>
      <x:c r="M1660" s="25" t="str">
        <x:v>Feedback-Directed Random Test Generation/rounds/Round2/state/Mockito.json</x:v>
      </x:c>
      <x:c r="N1660" s="25" t="str">
        <x:v>Feedback-Directed Random Test Generation/Result_Round2/Mockito_15/result.json</x:v>
      </x:c>
      <x:c r="O1660" s="25" t="str">
        <x:v>Feedback-Directed Random Test Generation/Result_Round2/Mockito_15/result.json</x:v>
      </x:c>
      <x:c r="P1660"/>
      <x:c r="Q1660" s="21" t="str"/>
      <x:c r="R1660" s="21" t="str"/>
      <x:c r="S1660" s="21" t="str"/>
      <x:c r="T1660" s="17" t="str">
        <x:v>false</x:v>
      </x:c>
      <x:c r="U1660" s="17" t="str">
        <x:v>true</x:v>
      </x:c>
      <x:c r="V1660" s="17" t="str">
        <x:v>false</x:v>
      </x:c>
    </x:row>
    <x:row r="1661" ht="80" customHeight="1">
      <x:c r="A1661" s="25" t="str">
        <x:v>Mockito</x:v>
      </x:c>
      <x:c r="B1661" s="25" t="n">
        <x:v>16</x:v>
      </x:c>
      <x:c r="C1661" s="25" t="str">
        <x:v>Round2</x:v>
      </x:c>
      <x:c r="D1661" s="25" t="str">
        <x:v>FAIL</x:v>
      </x:c>
      <x:c r="E1661" s="25" t="str">
        <x:v>N/A</x:v>
      </x:c>
      <x:c r="F1661" s="26" t="str">
        <x:v>Latest same-round generation failed; older files/results are excluded</x:v>
      </x:c>
      <x:c r="G1661" s="25" t="str">
        <x:v>true</x:v>
      </x:c>
      <x:c r="H1661" s="25" t="str">
        <x:v>FAIL</x:v>
      </x:c>
      <x:c r="I1661" s="25"/>
      <x:c r="J1661" s="25"/>
      <x:c r="K1661" s="25" t="n">
        <x:v>0</x:v>
      </x:c>
      <x:c r="L1661" s="27" t="b">
        <x:v>1</x:v>
      </x:c>
      <x:c r="M1661" s="25" t="str">
        <x:v>Feedback-Directed Random Test Generation/rounds/Round2/state/Mockito.json</x:v>
      </x:c>
      <x:c r="N1661" s="25"/>
      <x:c r="O1661" s="25" t="str">
        <x:v>Feedback-Directed Random Test Generation/Result_Round2/Mockito_16/result.json</x:v>
      </x:c>
      <x:c r="P1661"/>
      <x:c r="Q1661" s="21" t="str"/>
      <x:c r="R1661" s="21" t="str"/>
      <x:c r="S1661" s="21" t="str"/>
      <x:c r="T1661" s="17" t="str">
        <x:v>false</x:v>
      </x:c>
      <x:c r="U1661" s="17" t="str">
        <x:v>false</x:v>
      </x:c>
      <x:c r="V1661" s="17" t="str">
        <x:v>false</x:v>
      </x:c>
    </x:row>
    <x:row r="1662" ht="80" customHeight="1">
      <x:c r="A1662" s="25" t="str">
        <x:v>Mockito</x:v>
      </x:c>
      <x:c r="B1662" s="25" t="n">
        <x:v>17</x:v>
      </x:c>
      <x:c r="C1662" s="25" t="str">
        <x:v>Round2</x:v>
      </x:c>
      <x:c r="D1662" s="25" t="str">
        <x:v>INCONCLUSIVE</x:v>
      </x:c>
      <x:c r="E1662" s="25" t="str">
        <x:v>N/A</x:v>
      </x:c>
      <x:c r="F1662" s="26" t="str">
        <x:v>Fixed also failed; assertion failure cannot be attributed to this bug</x:v>
      </x:c>
      <x:c r="G1662" s="25" t="str">
        <x:v>true</x:v>
      </x:c>
      <x:c r="H1662" s="25" t="str">
        <x:v>INCONCLUSIVE</x:v>
      </x:c>
      <x:c r="I1662" s="25" t="str">
        <x:v>PASS</x:v>
      </x:c>
      <x:c r="J1662" s="25" t="str">
        <x:v>FAIL</x:v>
      </x:c>
      <x:c r="K1662" s="25" t="n">
        <x:v>7</x:v>
      </x:c>
      <x:c r="L1662" s="27" t="b">
        <x:v>0</x:v>
      </x:c>
      <x:c r="M1662" s="25" t="str">
        <x:v>Feedback-Directed Random Test Generation/rounds/Round2/state/Mockito.json</x:v>
      </x:c>
      <x:c r="N1662" s="25" t="str">
        <x:v>Feedback-Directed Random Test Generation/Result_Round2/Mockito_17/result.json</x:v>
      </x:c>
      <x:c r="O1662" s="25" t="str">
        <x:v>Feedback-Directed Random Test Generation/Result_Round2/Mockito_17/result.json</x:v>
      </x:c>
      <x:c r="P1662"/>
      <x:c r="Q1662" s="21" t="str"/>
      <x:c r="R1662" s="21" t="str"/>
      <x:c r="S1662" s="21" t="str"/>
      <x:c r="T1662" s="17" t="str">
        <x:v>false</x:v>
      </x:c>
      <x:c r="U1662" s="17" t="str">
        <x:v>true</x:v>
      </x:c>
      <x:c r="V1662" s="17" t="str">
        <x:v>false</x:v>
      </x:c>
    </x:row>
    <x:row r="1663" ht="80" customHeight="1">
      <x:c r="A1663" s="25" t="str">
        <x:v>Mockito</x:v>
      </x:c>
      <x:c r="B1663" s="25" t="n">
        <x:v>18</x:v>
      </x:c>
      <x:c r="C1663" s="25" t="str">
        <x:v>Round2</x:v>
      </x:c>
      <x:c r="D1663" s="25" t="str">
        <x:v>FAIL</x:v>
      </x:c>
      <x:c r="E1663" s="25" t="str">
        <x:v>N/A</x:v>
      </x:c>
      <x:c r="F1663" s="26" t="str">
        <x:v>Latest same-round generation failed; older files/results are excluded</x:v>
      </x:c>
      <x:c r="G1663" s="25" t="str">
        <x:v>true</x:v>
      </x:c>
      <x:c r="H1663" s="25" t="str">
        <x:v>FAIL</x:v>
      </x:c>
      <x:c r="I1663" s="25"/>
      <x:c r="J1663" s="25"/>
      <x:c r="K1663" s="25" t="n">
        <x:v>0</x:v>
      </x:c>
      <x:c r="L1663" s="27" t="b">
        <x:v>1</x:v>
      </x:c>
      <x:c r="M1663" s="25" t="str">
        <x:v>Feedback-Directed Random Test Generation/rounds/Round2/state/Mockito.json</x:v>
      </x:c>
      <x:c r="N1663" s="25"/>
      <x:c r="O1663" s="25" t="str">
        <x:v>Feedback-Directed Random Test Generation/Result_Round2/Mockito_18/result.json</x:v>
      </x:c>
      <x:c r="P1663"/>
      <x:c r="Q1663" s="21" t="str"/>
      <x:c r="R1663" s="21" t="str"/>
      <x:c r="S1663" s="21" t="str"/>
      <x:c r="T1663" s="17" t="str">
        <x:v>false</x:v>
      </x:c>
      <x:c r="U1663" s="17" t="str">
        <x:v>false</x:v>
      </x:c>
      <x:c r="V1663" s="17" t="str">
        <x:v>false</x:v>
      </x:c>
    </x:row>
    <x:row r="1664" ht="80" customHeight="1">
      <x:c r="A1664" s="25" t="str">
        <x:v>Mockito</x:v>
      </x:c>
      <x:c r="B1664" s="25" t="n">
        <x:v>19</x:v>
      </x:c>
      <x:c r="C1664" s="25" t="str">
        <x:v>Round2</x:v>
      </x:c>
      <x:c r="D1664" s="25" t="str">
        <x:v>FAIL</x:v>
      </x:c>
      <x:c r="E1664" s="25" t="str">
        <x:v>N/A</x:v>
      </x:c>
      <x:c r="F1664" s="26" t="str">
        <x:v>Latest same-round generation failed; older files/results are excluded</x:v>
      </x:c>
      <x:c r="G1664" s="25" t="str">
        <x:v>true</x:v>
      </x:c>
      <x:c r="H1664" s="25" t="str">
        <x:v>FAIL</x:v>
      </x:c>
      <x:c r="I1664" s="25"/>
      <x:c r="J1664" s="25"/>
      <x:c r="K1664" s="25" t="n">
        <x:v>0</x:v>
      </x:c>
      <x:c r="L1664" s="27" t="b">
        <x:v>1</x:v>
      </x:c>
      <x:c r="M1664" s="25" t="str">
        <x:v>Feedback-Directed Random Test Generation/rounds/Round2/state/Mockito.json</x:v>
      </x:c>
      <x:c r="N1664" s="25"/>
      <x:c r="O1664" s="25" t="str">
        <x:v>Feedback-Directed Random Test Generation/Result_Round2/Mockito_19/result.json</x:v>
      </x:c>
      <x:c r="P1664"/>
      <x:c r="Q1664" s="21" t="str"/>
      <x:c r="R1664" s="21" t="str"/>
      <x:c r="S1664" s="21" t="str"/>
      <x:c r="T1664" s="17" t="str">
        <x:v>false</x:v>
      </x:c>
      <x:c r="U1664" s="17" t="str">
        <x:v>false</x:v>
      </x:c>
      <x:c r="V1664" s="17" t="str">
        <x:v>false</x:v>
      </x:c>
    </x:row>
    <x:row r="1665" ht="80" customHeight="1">
      <x:c r="A1665" s="25" t="str">
        <x:v>Mockito</x:v>
      </x:c>
      <x:c r="B1665" s="25" t="n">
        <x:v>20</x:v>
      </x:c>
      <x:c r="C1665" s="25" t="str">
        <x:v>Round2</x:v>
      </x:c>
      <x:c r="D1665" s="25" t="str">
        <x:v>FAIL</x:v>
      </x:c>
      <x:c r="E1665" s="25" t="str">
        <x:v>N/A</x:v>
      </x:c>
      <x:c r="F1665" s="26" t="str">
        <x:v>Latest same-round generation failed; older files/results are excluded</x:v>
      </x:c>
      <x:c r="G1665" s="25" t="str">
        <x:v>true</x:v>
      </x:c>
      <x:c r="H1665" s="25" t="str">
        <x:v>FAIL</x:v>
      </x:c>
      <x:c r="I1665" s="25"/>
      <x:c r="J1665" s="25"/>
      <x:c r="K1665" s="25" t="n">
        <x:v>0</x:v>
      </x:c>
      <x:c r="L1665" s="27" t="b">
        <x:v>1</x:v>
      </x:c>
      <x:c r="M1665" s="25" t="str">
        <x:v>Feedback-Directed Random Test Generation/rounds/Round2/state/Mockito.json</x:v>
      </x:c>
      <x:c r="N1665" s="25"/>
      <x:c r="O1665" s="25" t="str">
        <x:v>Feedback-Directed Random Test Generation/Result_Round2/Mockito_20/result.json</x:v>
      </x:c>
      <x:c r="P1665"/>
      <x:c r="Q1665" s="21" t="str"/>
      <x:c r="R1665" s="21" t="str"/>
      <x:c r="S1665" s="21" t="str"/>
      <x:c r="T1665" s="17" t="str">
        <x:v>false</x:v>
      </x:c>
      <x:c r="U1665" s="17" t="str">
        <x:v>false</x:v>
      </x:c>
      <x:c r="V1665" s="17" t="str">
        <x:v>false</x:v>
      </x:c>
    </x:row>
    <x:row r="1666" ht="80" customHeight="1">
      <x:c r="A1666" s="25" t="str">
        <x:v>Mockito</x:v>
      </x:c>
      <x:c r="B1666" s="25" t="n">
        <x:v>21</x:v>
      </x:c>
      <x:c r="C1666" s="25" t="str">
        <x:v>Round2</x:v>
      </x:c>
      <x:c r="D1666" s="25" t="str">
        <x:v>NOT_REVEALING</x:v>
      </x:c>
      <x:c r="E1666" s="25" t="str">
        <x:v>N/A</x:v>
      </x:c>
      <x:c r="F1666" s="26" t="str">
        <x:v>Same saved validation suite passed on buggy and fixed</x:v>
      </x:c>
      <x:c r="G1666" s="25" t="str">
        <x:v>true</x:v>
      </x:c>
      <x:c r="H1666" s="25" t="str">
        <x:v>NOT_REVEALING</x:v>
      </x:c>
      <x:c r="I1666" s="25" t="str">
        <x:v>PASS</x:v>
      </x:c>
      <x:c r="J1666" s="25" t="str">
        <x:v>PASS</x:v>
      </x:c>
      <x:c r="K1666" s="25" t="n">
        <x:v>6</x:v>
      </x:c>
      <x:c r="L1666" s="27" t="b">
        <x:v>0</x:v>
      </x:c>
      <x:c r="M1666" s="25" t="str">
        <x:v>Feedback-Directed Random Test Generation/rounds/Round2/state/Mockito.json</x:v>
      </x:c>
      <x:c r="N1666" s="25" t="str">
        <x:v>Feedback-Directed Random Test Generation/Result_Round2/Mockito_21/result.json</x:v>
      </x:c>
      <x:c r="O1666" s="25" t="str">
        <x:v>Feedback-Directed Random Test Generation/Result_Round2/Mockito_21/result.json</x:v>
      </x:c>
      <x:c r="P1666"/>
      <x:c r="Q1666" s="21" t="str"/>
      <x:c r="R1666" s="21" t="str"/>
      <x:c r="S1666" s="21" t="str"/>
      <x:c r="T1666" s="17" t="str">
        <x:v>false</x:v>
      </x:c>
      <x:c r="U1666" s="17" t="str">
        <x:v>true</x:v>
      </x:c>
      <x:c r="V1666" s="17" t="str">
        <x:v>false</x:v>
      </x:c>
    </x:row>
    <x:row r="1667" ht="80" customHeight="1">
      <x:c r="A1667" s="25" t="str">
        <x:v>Mockito</x:v>
      </x:c>
      <x:c r="B1667" s="25" t="n">
        <x:v>22</x:v>
      </x:c>
      <x:c r="C1667" s="25" t="str">
        <x:v>Round2</x:v>
      </x:c>
      <x:c r="D1667" s="25" t="str">
        <x:v>NOT_REVEALING</x:v>
      </x:c>
      <x:c r="E1667" s="25" t="str">
        <x:v>N/A</x:v>
      </x:c>
      <x:c r="F1667" s="26" t="str">
        <x:v>Same saved validation suite passed on buggy and fixed</x:v>
      </x:c>
      <x:c r="G1667" s="25" t="str">
        <x:v>true</x:v>
      </x:c>
      <x:c r="H1667" s="25" t="str">
        <x:v>NOT_REVEALING</x:v>
      </x:c>
      <x:c r="I1667" s="25" t="str">
        <x:v>PASS</x:v>
      </x:c>
      <x:c r="J1667" s="25" t="str">
        <x:v>PASS</x:v>
      </x:c>
      <x:c r="K1667" s="25" t="n">
        <x:v>10</x:v>
      </x:c>
      <x:c r="L1667" s="27" t="b">
        <x:v>0</x:v>
      </x:c>
      <x:c r="M1667" s="25" t="str">
        <x:v>Feedback-Directed Random Test Generation/rounds/Round2/state/Mockito.json</x:v>
      </x:c>
      <x:c r="N1667" s="25" t="str">
        <x:v>Feedback-Directed Random Test Generation/Result_Round2/Mockito_22/result.json</x:v>
      </x:c>
      <x:c r="O1667" s="25" t="str">
        <x:v>Feedback-Directed Random Test Generation/Result_Round2/Mockito_22/result.json</x:v>
      </x:c>
      <x:c r="P1667"/>
      <x:c r="Q1667" s="21" t="str"/>
      <x:c r="R1667" s="21" t="str"/>
      <x:c r="S1667" s="21" t="str"/>
      <x:c r="T1667" s="17" t="str">
        <x:v>false</x:v>
      </x:c>
      <x:c r="U1667" s="17" t="str">
        <x:v>true</x:v>
      </x:c>
      <x:c r="V1667" s="17" t="str">
        <x:v>false</x:v>
      </x:c>
    </x:row>
    <x:row r="1668" ht="80" customHeight="1">
      <x:c r="A1668" s="25" t="str">
        <x:v>Mockito</x:v>
      </x:c>
      <x:c r="B1668" s="25" t="n">
        <x:v>23</x:v>
      </x:c>
      <x:c r="C1668" s="25" t="str">
        <x:v>Round2</x:v>
      </x:c>
      <x:c r="D1668" s="25" t="str">
        <x:v>NOT_REVEALING</x:v>
      </x:c>
      <x:c r="E1668" s="25" t="str">
        <x:v>N/A</x:v>
      </x:c>
      <x:c r="F1668" s="26" t="str">
        <x:v>Same saved validation suite passed on buggy and fixed</x:v>
      </x:c>
      <x:c r="G1668" s="25" t="str">
        <x:v>true</x:v>
      </x:c>
      <x:c r="H1668" s="25" t="str">
        <x:v>NOT_REVEALING</x:v>
      </x:c>
      <x:c r="I1668" s="25" t="str">
        <x:v>PASS</x:v>
      </x:c>
      <x:c r="J1668" s="25" t="str">
        <x:v>PASS</x:v>
      </x:c>
      <x:c r="K1668" s="25" t="n">
        <x:v>2</x:v>
      </x:c>
      <x:c r="L1668" s="27" t="b">
        <x:v>0</x:v>
      </x:c>
      <x:c r="M1668" s="25" t="str">
        <x:v>Feedback-Directed Random Test Generation/rounds/Round2/state/Mockito.json</x:v>
      </x:c>
      <x:c r="N1668" s="25" t="str">
        <x:v>Feedback-Directed Random Test Generation/Result_Round2/Mockito_23/result.json</x:v>
      </x:c>
      <x:c r="O1668" s="25" t="str">
        <x:v>Feedback-Directed Random Test Generation/Result_Round2/Mockito_23/result.json</x:v>
      </x:c>
      <x:c r="P1668"/>
      <x:c r="Q1668" s="21" t="str"/>
      <x:c r="R1668" s="21" t="str"/>
      <x:c r="S1668" s="21" t="str"/>
      <x:c r="T1668" s="17" t="str">
        <x:v>false</x:v>
      </x:c>
      <x:c r="U1668" s="17" t="str">
        <x:v>true</x:v>
      </x:c>
      <x:c r="V1668" s="17" t="str">
        <x:v>false</x:v>
      </x:c>
    </x:row>
    <x:row r="1669" ht="80" customHeight="1">
      <x:c r="A1669" s="25" t="str">
        <x:v>Mockito</x:v>
      </x:c>
      <x:c r="B1669" s="25" t="n">
        <x:v>24</x:v>
      </x:c>
      <x:c r="C1669" s="25" t="str">
        <x:v>Round2</x:v>
      </x:c>
      <x:c r="D1669" s="25" t="str">
        <x:v>NOT_REVEALING</x:v>
      </x:c>
      <x:c r="E1669" s="25" t="str">
        <x:v>N/A</x:v>
      </x:c>
      <x:c r="F1669" s="26" t="str">
        <x:v>Same saved validation suite passed on buggy and fixed</x:v>
      </x:c>
      <x:c r="G1669" s="25" t="str">
        <x:v>true</x:v>
      </x:c>
      <x:c r="H1669" s="25" t="str">
        <x:v>NOT_REVEALING</x:v>
      </x:c>
      <x:c r="I1669" s="25" t="str">
        <x:v>PASS</x:v>
      </x:c>
      <x:c r="J1669" s="25" t="str">
        <x:v>PASS</x:v>
      </x:c>
      <x:c r="K1669" s="25" t="n">
        <x:v>2</x:v>
      </x:c>
      <x:c r="L1669" s="27" t="b">
        <x:v>0</x:v>
      </x:c>
      <x:c r="M1669" s="25" t="str">
        <x:v>Feedback-Directed Random Test Generation/rounds/Round2/state/Mockito.json</x:v>
      </x:c>
      <x:c r="N1669" s="25" t="str">
        <x:v>Feedback-Directed Random Test Generation/Result_Round2/Mockito_24/result.json</x:v>
      </x:c>
      <x:c r="O1669" s="25" t="str">
        <x:v>Feedback-Directed Random Test Generation/Result_Round2/Mockito_24/result.json</x:v>
      </x:c>
      <x:c r="P1669"/>
      <x:c r="Q1669" s="21" t="str"/>
      <x:c r="R1669" s="21" t="str"/>
      <x:c r="S1669" s="21" t="str"/>
      <x:c r="T1669" s="17" t="str">
        <x:v>false</x:v>
      </x:c>
      <x:c r="U1669" s="17" t="str">
        <x:v>true</x:v>
      </x:c>
      <x:c r="V1669" s="17" t="str">
        <x:v>false</x:v>
      </x:c>
    </x:row>
    <x:row r="1670" ht="80" customHeight="1">
      <x:c r="A1670" s="25" t="str">
        <x:v>Mockito</x:v>
      </x:c>
      <x:c r="B1670" s="25" t="n">
        <x:v>25</x:v>
      </x:c>
      <x:c r="C1670" s="25" t="str">
        <x:v>Round2</x:v>
      </x:c>
      <x:c r="D1670" s="25" t="str">
        <x:v>NOT_REVEALING</x:v>
      </x:c>
      <x:c r="E1670" s="25" t="str">
        <x:v>N/A</x:v>
      </x:c>
      <x:c r="F1670" s="26" t="str">
        <x:v>Same saved validation suite passed on buggy and fixed</x:v>
      </x:c>
      <x:c r="G1670" s="25" t="str">
        <x:v>true</x:v>
      </x:c>
      <x:c r="H1670" s="25" t="str">
        <x:v>NOT_REVEALING</x:v>
      </x:c>
      <x:c r="I1670" s="25" t="str">
        <x:v>PASS</x:v>
      </x:c>
      <x:c r="J1670" s="25" t="str">
        <x:v>PASS</x:v>
      </x:c>
      <x:c r="K1670" s="25" t="n">
        <x:v>2</x:v>
      </x:c>
      <x:c r="L1670" s="27" t="b">
        <x:v>0</x:v>
      </x:c>
      <x:c r="M1670" s="25" t="str">
        <x:v>Feedback-Directed Random Test Generation/rounds/Round2/state/Mockito.json</x:v>
      </x:c>
      <x:c r="N1670" s="25" t="str">
        <x:v>Feedback-Directed Random Test Generation/Result_Round2/Mockito_25/result.json</x:v>
      </x:c>
      <x:c r="O1670" s="25" t="str">
        <x:v>Feedback-Directed Random Test Generation/Result_Round2/Mockito_25/result.json</x:v>
      </x:c>
      <x:c r="P1670"/>
      <x:c r="Q1670" s="21" t="str"/>
      <x:c r="R1670" s="21" t="str"/>
      <x:c r="S1670" s="21" t="str"/>
      <x:c r="T1670" s="17" t="str">
        <x:v>false</x:v>
      </x:c>
      <x:c r="U1670" s="17" t="str">
        <x:v>true</x:v>
      </x:c>
      <x:c r="V1670" s="17" t="str">
        <x:v>false</x:v>
      </x:c>
    </x:row>
    <x:row r="1671" ht="80" customHeight="1">
      <x:c r="A1671" s="25" t="str">
        <x:v>Mockito</x:v>
      </x:c>
      <x:c r="B1671" s="25" t="n">
        <x:v>26</x:v>
      </x:c>
      <x:c r="C1671" s="25" t="str">
        <x:v>Round2</x:v>
      </x:c>
      <x:c r="D1671" s="25" t="str">
        <x:v>NOT_REVEALING</x:v>
      </x:c>
      <x:c r="E1671" s="25" t="str">
        <x:v>N/A</x:v>
      </x:c>
      <x:c r="F1671" s="26" t="str">
        <x:v>Same saved validation suite passed on buggy and fixed</x:v>
      </x:c>
      <x:c r="G1671" s="25" t="str">
        <x:v>true</x:v>
      </x:c>
      <x:c r="H1671" s="25" t="str">
        <x:v>NOT_REVEALING</x:v>
      </x:c>
      <x:c r="I1671" s="25" t="str">
        <x:v>PASS</x:v>
      </x:c>
      <x:c r="J1671" s="25" t="str">
        <x:v>PASS</x:v>
      </x:c>
      <x:c r="K1671" s="25" t="n">
        <x:v>2</x:v>
      </x:c>
      <x:c r="L1671" s="27" t="b">
        <x:v>0</x:v>
      </x:c>
      <x:c r="M1671" s="25" t="str">
        <x:v>Feedback-Directed Random Test Generation/rounds/Round2/state/Mockito.json</x:v>
      </x:c>
      <x:c r="N1671" s="25" t="str">
        <x:v>Feedback-Directed Random Test Generation/Result_Round2/Mockito_26/result.json</x:v>
      </x:c>
      <x:c r="O1671" s="25" t="str">
        <x:v>Feedback-Directed Random Test Generation/Result_Round2/Mockito_26/result.json</x:v>
      </x:c>
      <x:c r="P1671"/>
      <x:c r="Q1671" s="21" t="str"/>
      <x:c r="R1671" s="21" t="str"/>
      <x:c r="S1671" s="21" t="str"/>
      <x:c r="T1671" s="17" t="str">
        <x:v>false</x:v>
      </x:c>
      <x:c r="U1671" s="17" t="str">
        <x:v>true</x:v>
      </x:c>
      <x:c r="V1671" s="17" t="str">
        <x:v>false</x:v>
      </x:c>
    </x:row>
    <x:row r="1672" ht="80" customHeight="1">
      <x:c r="A1672" s="25" t="str">
        <x:v>Mockito</x:v>
      </x:c>
      <x:c r="B1672" s="25" t="n">
        <x:v>27</x:v>
      </x:c>
      <x:c r="C1672" s="25" t="str">
        <x:v>Round2</x:v>
      </x:c>
      <x:c r="D1672" s="25" t="str">
        <x:v>NOT_REVEALING</x:v>
      </x:c>
      <x:c r="E1672" s="25" t="str">
        <x:v>N/A</x:v>
      </x:c>
      <x:c r="F1672" s="26" t="str">
        <x:v>Same saved validation suite passed on buggy and fixed</x:v>
      </x:c>
      <x:c r="G1672" s="25" t="str">
        <x:v>true</x:v>
      </x:c>
      <x:c r="H1672" s="25" t="str">
        <x:v>NOT_REVEALING</x:v>
      </x:c>
      <x:c r="I1672" s="25" t="str">
        <x:v>PASS</x:v>
      </x:c>
      <x:c r="J1672" s="25" t="str">
        <x:v>PASS</x:v>
      </x:c>
      <x:c r="K1672" s="25" t="n">
        <x:v>9</x:v>
      </x:c>
      <x:c r="L1672" s="27" t="b">
        <x:v>0</x:v>
      </x:c>
      <x:c r="M1672" s="25" t="str">
        <x:v>Feedback-Directed Random Test Generation/rounds/Round2/state/Mockito.json</x:v>
      </x:c>
      <x:c r="N1672" s="25" t="str">
        <x:v>Feedback-Directed Random Test Generation/Result_Round2/Mockito_27/result.json</x:v>
      </x:c>
      <x:c r="O1672" s="25" t="str">
        <x:v>Feedback-Directed Random Test Generation/Result_Round2/Mockito_27/result.json</x:v>
      </x:c>
      <x:c r="P1672"/>
      <x:c r="Q1672" s="21" t="str"/>
      <x:c r="R1672" s="21" t="str"/>
      <x:c r="S1672" s="21" t="str"/>
      <x:c r="T1672" s="17" t="str">
        <x:v>false</x:v>
      </x:c>
      <x:c r="U1672" s="17" t="str">
        <x:v>true</x:v>
      </x:c>
      <x:c r="V1672" s="17" t="str">
        <x:v>false</x:v>
      </x:c>
    </x:row>
    <x:row r="1673" ht="80" customHeight="1">
      <x:c r="A1673" s="25" t="str">
        <x:v>Mockito</x:v>
      </x:c>
      <x:c r="B1673" s="25" t="n">
        <x:v>28</x:v>
      </x:c>
      <x:c r="C1673" s="25" t="str">
        <x:v>Round2</x:v>
      </x:c>
      <x:c r="D1673" s="25" t="str">
        <x:v>NOT_REVEALING</x:v>
      </x:c>
      <x:c r="E1673" s="25" t="str">
        <x:v>N/A</x:v>
      </x:c>
      <x:c r="F1673" s="26" t="str">
        <x:v>Same saved validation suite passed on buggy and fixed</x:v>
      </x:c>
      <x:c r="G1673" s="25" t="str">
        <x:v>true</x:v>
      </x:c>
      <x:c r="H1673" s="25" t="str">
        <x:v>NOT_REVEALING</x:v>
      </x:c>
      <x:c r="I1673" s="25" t="str">
        <x:v>PASS</x:v>
      </x:c>
      <x:c r="J1673" s="25" t="str">
        <x:v>PASS</x:v>
      </x:c>
      <x:c r="K1673" s="25" t="n">
        <x:v>2</x:v>
      </x:c>
      <x:c r="L1673" s="27" t="b">
        <x:v>0</x:v>
      </x:c>
      <x:c r="M1673" s="25" t="str">
        <x:v>Feedback-Directed Random Test Generation/rounds/Round2/state/Mockito.json</x:v>
      </x:c>
      <x:c r="N1673" s="25" t="str">
        <x:v>Feedback-Directed Random Test Generation/Result_Round2/Mockito_28/result.json</x:v>
      </x:c>
      <x:c r="O1673" s="25" t="str">
        <x:v>Feedback-Directed Random Test Generation/Result_Round2/Mockito_28/result.json</x:v>
      </x:c>
      <x:c r="P1673"/>
      <x:c r="Q1673" s="21" t="str"/>
      <x:c r="R1673" s="21" t="str"/>
      <x:c r="S1673" s="21" t="str"/>
      <x:c r="T1673" s="17" t="str">
        <x:v>false</x:v>
      </x:c>
      <x:c r="U1673" s="17" t="str">
        <x:v>true</x:v>
      </x:c>
      <x:c r="V1673" s="17" t="str">
        <x:v>false</x:v>
      </x:c>
    </x:row>
    <x:row r="1674" ht="80" customHeight="1">
      <x:c r="A1674" s="25" t="str">
        <x:v>Mockito</x:v>
      </x:c>
      <x:c r="B1674" s="25" t="n">
        <x:v>29</x:v>
      </x:c>
      <x:c r="C1674" s="25" t="str">
        <x:v>Round2</x:v>
      </x:c>
      <x:c r="D1674" s="25" t="str">
        <x:v>INCONCLUSIVE</x:v>
      </x:c>
      <x:c r="E1674" s="25" t="str">
        <x:v>N/A</x:v>
      </x:c>
      <x:c r="F1674" s="26" t="str">
        <x:v>Fixed also failed; assertion failure cannot be attributed to this bug</x:v>
      </x:c>
      <x:c r="G1674" s="25" t="str">
        <x:v>true</x:v>
      </x:c>
      <x:c r="H1674" s="25" t="str">
        <x:v>INCONCLUSIVE</x:v>
      </x:c>
      <x:c r="I1674" s="25" t="str">
        <x:v>PASS</x:v>
      </x:c>
      <x:c r="J1674" s="25" t="str">
        <x:v>FAIL</x:v>
      </x:c>
      <x:c r="K1674" s="25" t="n">
        <x:v>8</x:v>
      </x:c>
      <x:c r="L1674" s="27" t="b">
        <x:v>0</x:v>
      </x:c>
      <x:c r="M1674" s="25" t="str">
        <x:v>Feedback-Directed Random Test Generation/rounds/Round2/state/Mockito.json</x:v>
      </x:c>
      <x:c r="N1674" s="25" t="str">
        <x:v>Feedback-Directed Random Test Generation/Result_Round2/Mockito_29/result.json</x:v>
      </x:c>
      <x:c r="O1674" s="25" t="str">
        <x:v>Feedback-Directed Random Test Generation/Result_Round2/Mockito_29/result.json</x:v>
      </x:c>
      <x:c r="P1674"/>
      <x:c r="Q1674" s="21" t="str"/>
      <x:c r="R1674" s="21" t="str"/>
      <x:c r="S1674" s="21" t="str"/>
      <x:c r="T1674" s="17" t="str">
        <x:v>false</x:v>
      </x:c>
      <x:c r="U1674" s="17" t="str">
        <x:v>true</x:v>
      </x:c>
      <x:c r="V1674" s="17" t="str">
        <x:v>false</x:v>
      </x:c>
    </x:row>
    <x:row r="1675" ht="80" customHeight="1">
      <x:c r="A1675" s="25" t="str">
        <x:v>Mockito</x:v>
      </x:c>
      <x:c r="B1675" s="25" t="n">
        <x:v>30</x:v>
      </x:c>
      <x:c r="C1675" s="25" t="str">
        <x:v>Round2</x:v>
      </x:c>
      <x:c r="D1675" s="25" t="str">
        <x:v>NOT_AVAILABLE</x:v>
      </x:c>
      <x:c r="E1675" s="25" t="str">
        <x:v>N/A</x:v>
      </x:c>
      <x:c r="F1675" s="26" t="str">
        <x:v>fixed test_compile=FAIL; Assertions failed with measured coverage; paired execution and stage checks determine status</x:v>
      </x:c>
      <x:c r="G1675" s="25" t="str">
        <x:v>true</x:v>
      </x:c>
      <x:c r="H1675" s="25" t="str">
        <x:v>NOT_AVAILABLE</x:v>
      </x:c>
      <x:c r="I1675" s="25" t="str">
        <x:v>FAIL</x:v>
      </x:c>
      <x:c r="J1675" s="25" t="str">
        <x:v>NOT_RUN</x:v>
      </x:c>
      <x:c r="K1675" s="25" t="n">
        <x:v>6</x:v>
      </x:c>
      <x:c r="L1675" s="27" t="b">
        <x:v>0</x:v>
      </x:c>
      <x:c r="M1675" s="25" t="str">
        <x:v>Feedback-Directed Random Test Generation/rounds/Round2/state/Mockito.json</x:v>
      </x:c>
      <x:c r="N1675" s="25" t="str">
        <x:v>Feedback-Directed Random Test Generation/Result_Round2/Mockito_30/result.json</x:v>
      </x:c>
      <x:c r="O1675" s="25" t="str">
        <x:v>Feedback-Directed Random Test Generation/Result_Round2/Mockito_30/result.json</x:v>
      </x:c>
      <x:c r="P1675" t="str">
        <x:v>FIXED_NOT_RUN</x:v>
      </x:c>
      <x:c r="Q1675" s="21" t="str"/>
      <x:c r="R1675" s="21" t="str"/>
      <x:c r="S1675" s="21" t="str"/>
      <x:c r="T1675" s="17" t="str">
        <x:v>false</x:v>
      </x:c>
      <x:c r="U1675" s="17" t="str">
        <x:v>true</x:v>
      </x:c>
      <x:c r="V1675" s="17" t="str">
        <x:v>false</x:v>
      </x:c>
    </x:row>
    <x:row r="1676" ht="80" customHeight="1">
      <x:c r="A1676" s="25" t="str">
        <x:v>Mockito</x:v>
      </x:c>
      <x:c r="B1676" s="25" t="n">
        <x:v>31</x:v>
      </x:c>
      <x:c r="C1676" s="25" t="str">
        <x:v>Round2</x:v>
      </x:c>
      <x:c r="D1676" s="25" t="str">
        <x:v>NOT_REVEALING</x:v>
      </x:c>
      <x:c r="E1676" s="25" t="str">
        <x:v>N/A</x:v>
      </x:c>
      <x:c r="F1676" s="26" t="str">
        <x:v>Same saved validation suite passed on buggy and fixed</x:v>
      </x:c>
      <x:c r="G1676" s="25" t="str">
        <x:v>true</x:v>
      </x:c>
      <x:c r="H1676" s="25" t="str">
        <x:v>NOT_REVEALING</x:v>
      </x:c>
      <x:c r="I1676" s="25" t="str">
        <x:v>PASS</x:v>
      </x:c>
      <x:c r="J1676" s="25" t="str">
        <x:v>PASS</x:v>
      </x:c>
      <x:c r="K1676" s="25" t="n">
        <x:v>2</x:v>
      </x:c>
      <x:c r="L1676" s="27" t="b">
        <x:v>0</x:v>
      </x:c>
      <x:c r="M1676" s="25" t="str">
        <x:v>Feedback-Directed Random Test Generation/rounds/Round2/state/Mockito.json</x:v>
      </x:c>
      <x:c r="N1676" s="25" t="str">
        <x:v>Feedback-Directed Random Test Generation/Result_Round2/Mockito_31/result.json</x:v>
      </x:c>
      <x:c r="O1676" s="25" t="str">
        <x:v>Feedback-Directed Random Test Generation/Result_Round2/Mockito_31/result.json</x:v>
      </x:c>
      <x:c r="P1676"/>
      <x:c r="Q1676" s="21" t="str"/>
      <x:c r="R1676" s="21" t="str"/>
      <x:c r="S1676" s="21" t="str"/>
      <x:c r="T1676" s="17" t="str">
        <x:v>false</x:v>
      </x:c>
      <x:c r="U1676" s="17" t="str">
        <x:v>true</x:v>
      </x:c>
      <x:c r="V1676" s="17" t="str">
        <x:v>false</x:v>
      </x:c>
    </x:row>
    <x:row r="1677" ht="80" customHeight="1">
      <x:c r="A1677" s="25" t="str">
        <x:v>Mockito</x:v>
      </x:c>
      <x:c r="B1677" s="25" t="n">
        <x:v>32</x:v>
      </x:c>
      <x:c r="C1677" s="25" t="str">
        <x:v>Round2</x:v>
      </x:c>
      <x:c r="D1677" s="25" t="str">
        <x:v>NOT_REVEALING</x:v>
      </x:c>
      <x:c r="E1677" s="25" t="str">
        <x:v>N/A</x:v>
      </x:c>
      <x:c r="F1677" s="26" t="str">
        <x:v>Same saved validation suite passed on buggy and fixed</x:v>
      </x:c>
      <x:c r="G1677" s="25" t="str">
        <x:v>true</x:v>
      </x:c>
      <x:c r="H1677" s="25" t="str">
        <x:v>NOT_REVEALING</x:v>
      </x:c>
      <x:c r="I1677" s="25" t="str">
        <x:v>PASS</x:v>
      </x:c>
      <x:c r="J1677" s="25" t="str">
        <x:v>PASS</x:v>
      </x:c>
      <x:c r="K1677" s="25" t="n">
        <x:v>2</x:v>
      </x:c>
      <x:c r="L1677" s="27" t="b">
        <x:v>0</x:v>
      </x:c>
      <x:c r="M1677" s="25" t="str">
        <x:v>Feedback-Directed Random Test Generation/rounds/Round2/state/Mockito.json</x:v>
      </x:c>
      <x:c r="N1677" s="25" t="str">
        <x:v>Feedback-Directed Random Test Generation/Result_Round2/Mockito_32/result.json</x:v>
      </x:c>
      <x:c r="O1677" s="25" t="str">
        <x:v>Feedback-Directed Random Test Generation/Result_Round2/Mockito_32/result.json</x:v>
      </x:c>
      <x:c r="P1677"/>
      <x:c r="Q1677" s="21" t="str"/>
      <x:c r="R1677" s="21" t="str"/>
      <x:c r="S1677" s="21" t="str"/>
      <x:c r="T1677" s="17" t="str">
        <x:v>false</x:v>
      </x:c>
      <x:c r="U1677" s="17" t="str">
        <x:v>true</x:v>
      </x:c>
      <x:c r="V1677" s="17" t="str">
        <x:v>false</x:v>
      </x:c>
    </x:row>
    <x:row r="1678" ht="80" customHeight="1">
      <x:c r="A1678" s="25" t="str">
        <x:v>Mockito</x:v>
      </x:c>
      <x:c r="B1678" s="25" t="n">
        <x:v>33</x:v>
      </x:c>
      <x:c r="C1678" s="25" t="str">
        <x:v>Round2</x:v>
      </x:c>
      <x:c r="D1678" s="25" t="str">
        <x:v>NOT_REVEALING</x:v>
      </x:c>
      <x:c r="E1678" s="25" t="str">
        <x:v>N/A</x:v>
      </x:c>
      <x:c r="F1678" s="26" t="str">
        <x:v>Same saved validation suite passed on buggy and fixed</x:v>
      </x:c>
      <x:c r="G1678" s="25" t="str">
        <x:v>true</x:v>
      </x:c>
      <x:c r="H1678" s="25" t="str">
        <x:v>NOT_REVEALING</x:v>
      </x:c>
      <x:c r="I1678" s="25" t="str">
        <x:v>PASS</x:v>
      </x:c>
      <x:c r="J1678" s="25" t="str">
        <x:v>PASS</x:v>
      </x:c>
      <x:c r="K1678" s="25" t="n">
        <x:v>2</x:v>
      </x:c>
      <x:c r="L1678" s="27" t="b">
        <x:v>0</x:v>
      </x:c>
      <x:c r="M1678" s="25" t="str">
        <x:v>Feedback-Directed Random Test Generation/rounds/Round2/state/Mockito.json</x:v>
      </x:c>
      <x:c r="N1678" s="25" t="str">
        <x:v>Feedback-Directed Random Test Generation/Result_Round2/Mockito_33/result.json</x:v>
      </x:c>
      <x:c r="O1678" s="25" t="str">
        <x:v>Feedback-Directed Random Test Generation/Result_Round2/Mockito_33/result.json</x:v>
      </x:c>
      <x:c r="P1678"/>
      <x:c r="Q1678" s="21" t="str"/>
      <x:c r="R1678" s="21" t="str"/>
      <x:c r="S1678" s="21" t="str"/>
      <x:c r="T1678" s="17" t="str">
        <x:v>false</x:v>
      </x:c>
      <x:c r="U1678" s="17" t="str">
        <x:v>true</x:v>
      </x:c>
      <x:c r="V1678" s="17" t="str">
        <x:v>false</x:v>
      </x:c>
    </x:row>
    <x:row r="1679" ht="80" customHeight="1">
      <x:c r="A1679" s="25" t="str">
        <x:v>Mockito</x:v>
      </x:c>
      <x:c r="B1679" s="25" t="n">
        <x:v>34</x:v>
      </x:c>
      <x:c r="C1679" s="25" t="str">
        <x:v>Round2</x:v>
      </x:c>
      <x:c r="D1679" s="25" t="str">
        <x:v>NOT_REVEALING</x:v>
      </x:c>
      <x:c r="E1679" s="25" t="str">
        <x:v>N/A</x:v>
      </x:c>
      <x:c r="F1679" s="26" t="str">
        <x:v>Same saved validation suite passed on buggy and fixed</x:v>
      </x:c>
      <x:c r="G1679" s="25" t="str">
        <x:v>true</x:v>
      </x:c>
      <x:c r="H1679" s="25" t="str">
        <x:v>NOT_REVEALING</x:v>
      </x:c>
      <x:c r="I1679" s="25" t="str">
        <x:v>PASS</x:v>
      </x:c>
      <x:c r="J1679" s="25" t="str">
        <x:v>PASS</x:v>
      </x:c>
      <x:c r="K1679" s="25" t="n">
        <x:v>2</x:v>
      </x:c>
      <x:c r="L1679" s="27" t="b">
        <x:v>0</x:v>
      </x:c>
      <x:c r="M1679" s="25" t="str">
        <x:v>Feedback-Directed Random Test Generation/rounds/Round2/state/Mockito.json</x:v>
      </x:c>
      <x:c r="N1679" s="25" t="str">
        <x:v>Feedback-Directed Random Test Generation/Result_Round2/Mockito_34/result.json</x:v>
      </x:c>
      <x:c r="O1679" s="25" t="str">
        <x:v>Feedback-Directed Random Test Generation/Result_Round2/Mockito_34/result.json</x:v>
      </x:c>
      <x:c r="P1679"/>
      <x:c r="Q1679" s="21" t="str"/>
      <x:c r="R1679" s="21" t="str"/>
      <x:c r="S1679" s="21" t="str"/>
      <x:c r="T1679" s="17" t="str">
        <x:v>false</x:v>
      </x:c>
      <x:c r="U1679" s="17" t="str">
        <x:v>true</x:v>
      </x:c>
      <x:c r="V1679" s="17" t="str">
        <x:v>false</x:v>
      </x:c>
    </x:row>
    <x:row r="1680" ht="80" customHeight="1">
      <x:c r="A1680" s="25" t="str">
        <x:v>Mockito</x:v>
      </x:c>
      <x:c r="B1680" s="25" t="n">
        <x:v>35</x:v>
      </x:c>
      <x:c r="C1680" s="25" t="str">
        <x:v>Round2</x:v>
      </x:c>
      <x:c r="D1680" s="25" t="str">
        <x:v>INCONCLUSIVE</x:v>
      </x:c>
      <x:c r="E1680" s="25" t="str">
        <x:v>N/A</x:v>
      </x:c>
      <x:c r="F1680" s="26" t="str">
        <x:v>Fixed also failed; assertion failure cannot be attributed to this bug</x:v>
      </x:c>
      <x:c r="G1680" s="25" t="str">
        <x:v>true</x:v>
      </x:c>
      <x:c r="H1680" s="25" t="str">
        <x:v>INCONCLUSIVE</x:v>
      </x:c>
      <x:c r="I1680" s="25" t="str">
        <x:v>PASS</x:v>
      </x:c>
      <x:c r="J1680" s="25" t="str">
        <x:v>FAIL</x:v>
      </x:c>
      <x:c r="K1680" s="25" t="n">
        <x:v>8</x:v>
      </x:c>
      <x:c r="L1680" s="27" t="b">
        <x:v>0</x:v>
      </x:c>
      <x:c r="M1680" s="25" t="str">
        <x:v>Feedback-Directed Random Test Generation/rounds/Round2/state/Mockito.json</x:v>
      </x:c>
      <x:c r="N1680" s="25" t="str">
        <x:v>Feedback-Directed Random Test Generation/Result_Round2/Mockito_35/result.json</x:v>
      </x:c>
      <x:c r="O1680" s="25" t="str">
        <x:v>Feedback-Directed Random Test Generation/Result_Round2/Mockito_35/result.json</x:v>
      </x:c>
      <x:c r="P1680"/>
      <x:c r="Q1680" s="21" t="str"/>
      <x:c r="R1680" s="21" t="str"/>
      <x:c r="S1680" s="21" t="str"/>
      <x:c r="T1680" s="17" t="str">
        <x:v>false</x:v>
      </x:c>
      <x:c r="U1680" s="17" t="str">
        <x:v>true</x:v>
      </x:c>
      <x:c r="V1680" s="17" t="str">
        <x:v>false</x:v>
      </x:c>
    </x:row>
    <x:row r="1681" ht="80" customHeight="1">
      <x:c r="A1681" s="25" t="str">
        <x:v>Mockito</x:v>
      </x:c>
      <x:c r="B1681" s="25" t="n">
        <x:v>36</x:v>
      </x:c>
      <x:c r="C1681" s="25" t="str">
        <x:v>Round2</x:v>
      </x:c>
      <x:c r="D1681" s="25" t="str">
        <x:v>NOT_REVEALING</x:v>
      </x:c>
      <x:c r="E1681" s="25" t="str">
        <x:v>N/A</x:v>
      </x:c>
      <x:c r="F1681" s="26" t="str">
        <x:v>Same saved validation suite passed on buggy and fixed</x:v>
      </x:c>
      <x:c r="G1681" s="25" t="str">
        <x:v>true</x:v>
      </x:c>
      <x:c r="H1681" s="25" t="str">
        <x:v>NOT_REVEALING</x:v>
      </x:c>
      <x:c r="I1681" s="25" t="str">
        <x:v>PASS</x:v>
      </x:c>
      <x:c r="J1681" s="25" t="str">
        <x:v>PASS</x:v>
      </x:c>
      <x:c r="K1681" s="25" t="n">
        <x:v>16</x:v>
      </x:c>
      <x:c r="L1681" s="27" t="b">
        <x:v>0</x:v>
      </x:c>
      <x:c r="M1681" s="25" t="str">
        <x:v>Feedback-Directed Random Test Generation/rounds/Round2/state/Mockito.json</x:v>
      </x:c>
      <x:c r="N1681" s="25" t="str">
        <x:v>Feedback-Directed Random Test Generation/Result_Round2/Mockito_36/result.json</x:v>
      </x:c>
      <x:c r="O1681" s="25" t="str">
        <x:v>Feedback-Directed Random Test Generation/Result_Round2/Mockito_36/result.json</x:v>
      </x:c>
      <x:c r="P1681"/>
      <x:c r="Q1681" s="21" t="str"/>
      <x:c r="R1681" s="21" t="str"/>
      <x:c r="S1681" s="21" t="str"/>
      <x:c r="T1681" s="17" t="str">
        <x:v>false</x:v>
      </x:c>
      <x:c r="U1681" s="17" t="str">
        <x:v>true</x:v>
      </x:c>
      <x:c r="V1681" s="17" t="str">
        <x:v>false</x:v>
      </x:c>
    </x:row>
    <x:row r="1682" ht="80" customHeight="1">
      <x:c r="A1682" s="25" t="str">
        <x:v>Mockito</x:v>
      </x:c>
      <x:c r="B1682" s="25" t="n">
        <x:v>37</x:v>
      </x:c>
      <x:c r="C1682" s="25" t="str">
        <x:v>Round2</x:v>
      </x:c>
      <x:c r="D1682" s="25" t="str">
        <x:v>NOT_REVEALING</x:v>
      </x:c>
      <x:c r="E1682" s="25" t="str">
        <x:v>N/A</x:v>
      </x:c>
      <x:c r="F1682" s="26" t="str">
        <x:v>Same saved validation suite passed on buggy and fixed</x:v>
      </x:c>
      <x:c r="G1682" s="25" t="str">
        <x:v>true</x:v>
      </x:c>
      <x:c r="H1682" s="25" t="str">
        <x:v>NOT_REVEALING</x:v>
      </x:c>
      <x:c r="I1682" s="25" t="str">
        <x:v>PASS</x:v>
      </x:c>
      <x:c r="J1682" s="25" t="str">
        <x:v>PASS</x:v>
      </x:c>
      <x:c r="K1682" s="25" t="n">
        <x:v>2</x:v>
      </x:c>
      <x:c r="L1682" s="27" t="b">
        <x:v>0</x:v>
      </x:c>
      <x:c r="M1682" s="25" t="str">
        <x:v>Feedback-Directed Random Test Generation/rounds/Round2/state/Mockito.json</x:v>
      </x:c>
      <x:c r="N1682" s="25" t="str">
        <x:v>Feedback-Directed Random Test Generation/Result_Round2/Mockito_37/result.json</x:v>
      </x:c>
      <x:c r="O1682" s="25" t="str">
        <x:v>Feedback-Directed Random Test Generation/Result_Round2/Mockito_37/result.json</x:v>
      </x:c>
      <x:c r="P1682"/>
      <x:c r="Q1682" s="21" t="str"/>
      <x:c r="R1682" s="21" t="str"/>
      <x:c r="S1682" s="21" t="str"/>
      <x:c r="T1682" s="17" t="str">
        <x:v>false</x:v>
      </x:c>
      <x:c r="U1682" s="17" t="str">
        <x:v>true</x:v>
      </x:c>
      <x:c r="V1682" s="17" t="str">
        <x:v>false</x:v>
      </x:c>
    </x:row>
    <x:row r="1683" ht="80" customHeight="1">
      <x:c r="A1683" s="25" t="str">
        <x:v>Mockito</x:v>
      </x:c>
      <x:c r="B1683" s="25" t="n">
        <x:v>38</x:v>
      </x:c>
      <x:c r="C1683" s="25" t="str">
        <x:v>Round2</x:v>
      </x:c>
      <x:c r="D1683" s="25" t="str">
        <x:v>NOT_REVEALING</x:v>
      </x:c>
      <x:c r="E1683" s="25" t="str">
        <x:v>N/A</x:v>
      </x:c>
      <x:c r="F1683" s="26" t="str">
        <x:v>Same saved validation suite passed on buggy and fixed</x:v>
      </x:c>
      <x:c r="G1683" s="25" t="str">
        <x:v>true</x:v>
      </x:c>
      <x:c r="H1683" s="25" t="str">
        <x:v>NOT_REVEALING</x:v>
      </x:c>
      <x:c r="I1683" s="25" t="str">
        <x:v>PASS</x:v>
      </x:c>
      <x:c r="J1683" s="25" t="str">
        <x:v>PASS</x:v>
      </x:c>
      <x:c r="K1683" s="25" t="n">
        <x:v>4</x:v>
      </x:c>
      <x:c r="L1683" s="27" t="b">
        <x:v>0</x:v>
      </x:c>
      <x:c r="M1683" s="25" t="str">
        <x:v>Feedback-Directed Random Test Generation/rounds/Round2/state/Mockito.json</x:v>
      </x:c>
      <x:c r="N1683" s="25" t="str">
        <x:v>Feedback-Directed Random Test Generation/Result_Round2/Mockito_38/result.json</x:v>
      </x:c>
      <x:c r="O1683" s="25" t="str">
        <x:v>Feedback-Directed Random Test Generation/Result_Round2/Mockito_38/result.json</x:v>
      </x:c>
      <x:c r="P1683"/>
      <x:c r="Q1683" s="21" t="str"/>
      <x:c r="R1683" s="21" t="str"/>
      <x:c r="S1683" s="21" t="str"/>
      <x:c r="T1683" s="17" t="str">
        <x:v>false</x:v>
      </x:c>
      <x:c r="U1683" s="17" t="str">
        <x:v>true</x:v>
      </x:c>
      <x:c r="V1683" s="17" t="str">
        <x:v>false</x:v>
      </x:c>
    </x:row>
    <x:row r="1684" ht="80" customHeight="1">
      <x:c r="A1684" s="25" t="str">
        <x:v>Time</x:v>
      </x:c>
      <x:c r="B1684" s="25" t="n">
        <x:v>1</x:v>
      </x:c>
      <x:c r="C1684" s="25" t="str">
        <x:v>Round2</x:v>
      </x:c>
      <x:c r="D1684" s="25" t="str">
        <x:v>INCONCLUSIVE</x:v>
      </x:c>
      <x:c r="E1684" s="25" t="str">
        <x:v>N/A</x:v>
      </x:c>
      <x:c r="F1684" s="26" t="str">
        <x:v>Fixed also failed; assertion failure cannot be attributed to this bug; Assertions failed with measured coverage; paired execution and stage checks determine status</x:v>
      </x:c>
      <x:c r="G1684" s="25" t="str">
        <x:v>true</x:v>
      </x:c>
      <x:c r="H1684" s="25" t="str">
        <x:v>INCONCLUSIVE</x:v>
      </x:c>
      <x:c r="I1684" s="25" t="str">
        <x:v>FAIL</x:v>
      </x:c>
      <x:c r="J1684" s="25" t="str">
        <x:v>FAIL</x:v>
      </x:c>
      <x:c r="K1684" s="25" t="n">
        <x:v>12</x:v>
      </x:c>
      <x:c r="L1684" s="27" t="b">
        <x:v>0</x:v>
      </x:c>
      <x:c r="M1684" s="25" t="str">
        <x:v>Feedback-Directed Random Test Generation/rounds/Round2/state/Time.json</x:v>
      </x:c>
      <x:c r="N1684" s="25" t="str">
        <x:v>Feedback-Directed Random Test Generation/Result_Round2/Time_1/result.json</x:v>
      </x:c>
      <x:c r="O1684" s="25" t="str">
        <x:v>Feedback-Directed Random Test Generation/Result_Round2/Time_1/result.json</x:v>
      </x:c>
      <x:c r="P1684"/>
      <x:c r="Q1684" s="21" t="str"/>
      <x:c r="R1684" s="21" t="str"/>
      <x:c r="S1684" s="21" t="str"/>
      <x:c r="T1684" s="17" t="str">
        <x:v>false</x:v>
      </x:c>
      <x:c r="U1684" s="17" t="str">
        <x:v>true</x:v>
      </x:c>
      <x:c r="V1684" s="17" t="str">
        <x:v>false</x:v>
      </x:c>
    </x:row>
    <x:row r="1685" ht="80" customHeight="1">
      <x:c r="A1685" s="25" t="str">
        <x:v>Time</x:v>
      </x:c>
      <x:c r="B1685" s="25" t="n">
        <x:v>2</x:v>
      </x:c>
      <x:c r="C1685" s="25" t="str">
        <x:v>Round2</x:v>
      </x:c>
      <x:c r="D1685" s="25" t="str">
        <x:v>INCONCLUSIVE</x:v>
      </x:c>
      <x:c r="E1685" s="25" t="str">
        <x:v>N/A</x:v>
      </x:c>
      <x:c r="F1685" s="26" t="str">
        <x:v>Fixed also failed; assertion failure cannot be attributed to this bug; Assertions failed with measured coverage; paired execution and stage checks determine status</x:v>
      </x:c>
      <x:c r="G1685" s="25" t="str">
        <x:v>true</x:v>
      </x:c>
      <x:c r="H1685" s="25" t="str">
        <x:v>INCONCLUSIVE</x:v>
      </x:c>
      <x:c r="I1685" s="25" t="str">
        <x:v>FAIL</x:v>
      </x:c>
      <x:c r="J1685" s="25" t="str">
        <x:v>FAIL</x:v>
      </x:c>
      <x:c r="K1685" s="25" t="n">
        <x:v>12</x:v>
      </x:c>
      <x:c r="L1685" s="27" t="b">
        <x:v>0</x:v>
      </x:c>
      <x:c r="M1685" s="25" t="str">
        <x:v>Feedback-Directed Random Test Generation/rounds/Round2/state/Time.json</x:v>
      </x:c>
      <x:c r="N1685" s="25" t="str">
        <x:v>Feedback-Directed Random Test Generation/Result_Round2/Time_2/result.json</x:v>
      </x:c>
      <x:c r="O1685" s="25" t="str">
        <x:v>Feedback-Directed Random Test Generation/Result_Round2/Time_2/result.json</x:v>
      </x:c>
      <x:c r="P1685"/>
      <x:c r="Q1685" s="21" t="str"/>
      <x:c r="R1685" s="21" t="str"/>
      <x:c r="S1685" s="21" t="str"/>
      <x:c r="T1685" s="17" t="str">
        <x:v>false</x:v>
      </x:c>
      <x:c r="U1685" s="17" t="str">
        <x:v>true</x:v>
      </x:c>
      <x:c r="V1685" s="17" t="str">
        <x:v>false</x:v>
      </x:c>
    </x:row>
    <x:row r="1686" ht="80" customHeight="1">
      <x:c r="A1686" s="25" t="str">
        <x:v>Time</x:v>
      </x:c>
      <x:c r="B1686" s="25" t="n">
        <x:v>3</x:v>
      </x:c>
      <x:c r="C1686" s="25" t="str">
        <x:v>Round2</x:v>
      </x:c>
      <x:c r="D1686" s="25" t="str">
        <x:v>INCONCLUSIVE</x:v>
      </x:c>
      <x:c r="E1686" s="25" t="str">
        <x:v>N/A</x:v>
      </x:c>
      <x:c r="F1686" s="26" t="str">
        <x:v>Fixed also failed; assertion failure cannot be attributed to this bug; Assertions failed with measured coverage; paired execution and stage checks determine status</x:v>
      </x:c>
      <x:c r="G1686" s="25" t="str">
        <x:v>true</x:v>
      </x:c>
      <x:c r="H1686" s="25" t="str">
        <x:v>INCONCLUSIVE</x:v>
      </x:c>
      <x:c r="I1686" s="25" t="str">
        <x:v>FAIL</x:v>
      </x:c>
      <x:c r="J1686" s="25" t="str">
        <x:v>FAIL</x:v>
      </x:c>
      <x:c r="K1686" s="25" t="n">
        <x:v>10</x:v>
      </x:c>
      <x:c r="L1686" s="27" t="b">
        <x:v>0</x:v>
      </x:c>
      <x:c r="M1686" s="25" t="str">
        <x:v>Feedback-Directed Random Test Generation/rounds/Round2/state/Time.json</x:v>
      </x:c>
      <x:c r="N1686" s="25" t="str">
        <x:v>Feedback-Directed Random Test Generation/Result_Round2/Time_3/result.json</x:v>
      </x:c>
      <x:c r="O1686" s="25" t="str">
        <x:v>Feedback-Directed Random Test Generation/Result_Round2/Time_3/result.json</x:v>
      </x:c>
      <x:c r="P1686"/>
      <x:c r="Q1686" s="21" t="str"/>
      <x:c r="R1686" s="21" t="str"/>
      <x:c r="S1686" s="21" t="str"/>
      <x:c r="T1686" s="17" t="str">
        <x:v>false</x:v>
      </x:c>
      <x:c r="U1686" s="17" t="str">
        <x:v>true</x:v>
      </x:c>
      <x:c r="V1686" s="17" t="str">
        <x:v>false</x:v>
      </x:c>
    </x:row>
    <x:row r="1687" ht="80" customHeight="1">
      <x:c r="A1687" s="25" t="str">
        <x:v>Time</x:v>
      </x:c>
      <x:c r="B1687" s="25" t="n">
        <x:v>4</x:v>
      </x:c>
      <x:c r="C1687" s="25" t="str">
        <x:v>Round2</x:v>
      </x:c>
      <x:c r="D1687" s="25" t="str">
        <x:v>INCONCLUSIVE</x:v>
      </x:c>
      <x:c r="E1687" s="25" t="str">
        <x:v>N/A</x:v>
      </x:c>
      <x:c r="F1687" s="26" t="str">
        <x:v>Fixed also failed; assertion failure cannot be attributed to this bug; Assertions failed with measured coverage; paired execution and stage checks determine status</x:v>
      </x:c>
      <x:c r="G1687" s="25" t="str">
        <x:v>true</x:v>
      </x:c>
      <x:c r="H1687" s="25" t="str">
        <x:v>INCONCLUSIVE</x:v>
      </x:c>
      <x:c r="I1687" s="25" t="str">
        <x:v>FAIL</x:v>
      </x:c>
      <x:c r="J1687" s="25" t="str">
        <x:v>FAIL</x:v>
      </x:c>
      <x:c r="K1687" s="25" t="n">
        <x:v>11</x:v>
      </x:c>
      <x:c r="L1687" s="27" t="b">
        <x:v>0</x:v>
      </x:c>
      <x:c r="M1687" s="25" t="str">
        <x:v>Feedback-Directed Random Test Generation/rounds/Round2/state/Time.json</x:v>
      </x:c>
      <x:c r="N1687" s="25" t="str">
        <x:v>Feedback-Directed Random Test Generation/Result_Round2/Time_4/result.json</x:v>
      </x:c>
      <x:c r="O1687" s="25" t="str">
        <x:v>Feedback-Directed Random Test Generation/Result_Round2/Time_4/result.json</x:v>
      </x:c>
      <x:c r="P1687"/>
      <x:c r="Q1687" s="21" t="str"/>
      <x:c r="R1687" s="21" t="str"/>
      <x:c r="S1687" s="21" t="str"/>
      <x:c r="T1687" s="17" t="str">
        <x:v>false</x:v>
      </x:c>
      <x:c r="U1687" s="17" t="str">
        <x:v>true</x:v>
      </x:c>
      <x:c r="V1687" s="17" t="str">
        <x:v>false</x:v>
      </x:c>
    </x:row>
    <x:row r="1688" ht="80" customHeight="1">
      <x:c r="A1688" s="25" t="str">
        <x:v>Time</x:v>
      </x:c>
      <x:c r="B1688" s="25" t="n">
        <x:v>5</x:v>
      </x:c>
      <x:c r="C1688" s="25" t="str">
        <x:v>Round2</x:v>
      </x:c>
      <x:c r="D1688" s="25" t="str">
        <x:v>INCONCLUSIVE</x:v>
      </x:c>
      <x:c r="E1688" s="25" t="str">
        <x:v>N/A</x:v>
      </x:c>
      <x:c r="F1688" s="26" t="str">
        <x:v>Fixed also failed; assertion failure cannot be attributed to this bug; Assertions failed with measured coverage; paired execution and stage checks determine status</x:v>
      </x:c>
      <x:c r="G1688" s="25" t="str">
        <x:v>true</x:v>
      </x:c>
      <x:c r="H1688" s="25" t="str">
        <x:v>INCONCLUSIVE</x:v>
      </x:c>
      <x:c r="I1688" s="25" t="str">
        <x:v>FAIL</x:v>
      </x:c>
      <x:c r="J1688" s="25" t="str">
        <x:v>FAIL</x:v>
      </x:c>
      <x:c r="K1688" s="25" t="n">
        <x:v>10</x:v>
      </x:c>
      <x:c r="L1688" s="27" t="b">
        <x:v>0</x:v>
      </x:c>
      <x:c r="M1688" s="25" t="str">
        <x:v>Feedback-Directed Random Test Generation/rounds/Round2/state/Time.json</x:v>
      </x:c>
      <x:c r="N1688" s="25" t="str">
        <x:v>Feedback-Directed Random Test Generation/Result_Round2/Time_5/result.json</x:v>
      </x:c>
      <x:c r="O1688" s="25" t="str">
        <x:v>Feedback-Directed Random Test Generation/Result_Round2/Time_5/result.json</x:v>
      </x:c>
      <x:c r="P1688"/>
      <x:c r="Q1688" s="21" t="str"/>
      <x:c r="R1688" s="21" t="str"/>
      <x:c r="S1688" s="21" t="str"/>
      <x:c r="T1688" s="17" t="str">
        <x:v>false</x:v>
      </x:c>
      <x:c r="U1688" s="17" t="str">
        <x:v>true</x:v>
      </x:c>
      <x:c r="V1688" s="17" t="str">
        <x:v>false</x:v>
      </x:c>
    </x:row>
    <x:row r="1689" ht="80" customHeight="1">
      <x:c r="A1689" s="25" t="str">
        <x:v>Time</x:v>
      </x:c>
      <x:c r="B1689" s="25" t="n">
        <x:v>6</x:v>
      </x:c>
      <x:c r="C1689" s="25" t="str">
        <x:v>Round2</x:v>
      </x:c>
      <x:c r="D1689" s="25" t="str">
        <x:v>INCONCLUSIVE</x:v>
      </x:c>
      <x:c r="E1689" s="25" t="str">
        <x:v>N/A</x:v>
      </x:c>
      <x:c r="F1689" s="26" t="str">
        <x:v>Fixed also failed; assertion failure cannot be attributed to this bug; Assertions failed with measured coverage; paired execution and stage checks determine status</x:v>
      </x:c>
      <x:c r="G1689" s="25" t="str">
        <x:v>true</x:v>
      </x:c>
      <x:c r="H1689" s="25" t="str">
        <x:v>INCONCLUSIVE</x:v>
      </x:c>
      <x:c r="I1689" s="25" t="str">
        <x:v>FAIL</x:v>
      </x:c>
      <x:c r="J1689" s="25" t="str">
        <x:v>FAIL</x:v>
      </x:c>
      <x:c r="K1689" s="25" t="n">
        <x:v>13</x:v>
      </x:c>
      <x:c r="L1689" s="27" t="b">
        <x:v>0</x:v>
      </x:c>
      <x:c r="M1689" s="25" t="str">
        <x:v>Feedback-Directed Random Test Generation/rounds/Round2/state/Time.json</x:v>
      </x:c>
      <x:c r="N1689" s="25" t="str">
        <x:v>Feedback-Directed Random Test Generation/Result_Round2/Time_6/result.json</x:v>
      </x:c>
      <x:c r="O1689" s="25" t="str">
        <x:v>Feedback-Directed Random Test Generation/Result_Round2/Time_6/result.json</x:v>
      </x:c>
      <x:c r="P1689"/>
      <x:c r="Q1689" s="21" t="str"/>
      <x:c r="R1689" s="21" t="str"/>
      <x:c r="S1689" s="21" t="str"/>
      <x:c r="T1689" s="17" t="str">
        <x:v>false</x:v>
      </x:c>
      <x:c r="U1689" s="17" t="str">
        <x:v>true</x:v>
      </x:c>
      <x:c r="V1689" s="17" t="str">
        <x:v>false</x:v>
      </x:c>
    </x:row>
    <x:row r="1690" ht="80" customHeight="1">
      <x:c r="A1690" s="25" t="str">
        <x:v>Time</x:v>
      </x:c>
      <x:c r="B1690" s="25" t="n">
        <x:v>7</x:v>
      </x:c>
      <x:c r="C1690" s="25" t="str">
        <x:v>Round2</x:v>
      </x:c>
      <x:c r="D1690" s="25" t="str">
        <x:v>NOT_REVEALING</x:v>
      </x:c>
      <x:c r="E1690" s="25" t="str">
        <x:v>N/A</x:v>
      </x:c>
      <x:c r="F1690" s="26" t="str">
        <x:v>Same saved validation suite passed on buggy and fixed</x:v>
      </x:c>
      <x:c r="G1690" s="25" t="str">
        <x:v>true</x:v>
      </x:c>
      <x:c r="H1690" s="25" t="str">
        <x:v>NOT_REVEALING</x:v>
      </x:c>
      <x:c r="I1690" s="25" t="str">
        <x:v>PASS</x:v>
      </x:c>
      <x:c r="J1690" s="25" t="str">
        <x:v>PASS</x:v>
      </x:c>
      <x:c r="K1690" s="25" t="n">
        <x:v>14</x:v>
      </x:c>
      <x:c r="L1690" s="27" t="b">
        <x:v>0</x:v>
      </x:c>
      <x:c r="M1690" s="25" t="str">
        <x:v>Feedback-Directed Random Test Generation/rounds/Round2/state/Time.json</x:v>
      </x:c>
      <x:c r="N1690" s="25" t="str">
        <x:v>Feedback-Directed Random Test Generation/Result_Round2/Time_7/result.json</x:v>
      </x:c>
      <x:c r="O1690" s="25" t="str">
        <x:v>Feedback-Directed Random Test Generation/Result_Round2/Time_7/result.json</x:v>
      </x:c>
      <x:c r="P1690"/>
      <x:c r="Q1690" s="21" t="str"/>
      <x:c r="R1690" s="21" t="str"/>
      <x:c r="S1690" s="21" t="str"/>
      <x:c r="T1690" s="17" t="str">
        <x:v>false</x:v>
      </x:c>
      <x:c r="U1690" s="17" t="str">
        <x:v>true</x:v>
      </x:c>
      <x:c r="V1690" s="17" t="str">
        <x:v>false</x:v>
      </x:c>
    </x:row>
    <x:row r="1691" ht="80" customHeight="1">
      <x:c r="A1691" s="25" t="str">
        <x:v>Time</x:v>
      </x:c>
      <x:c r="B1691" s="25" t="n">
        <x:v>8</x:v>
      </x:c>
      <x:c r="C1691" s="25" t="str">
        <x:v>Round2</x:v>
      </x:c>
      <x:c r="D1691" s="25" t="str">
        <x:v>INCONCLUSIVE</x:v>
      </x:c>
      <x:c r="E1691" s="25" t="str">
        <x:v>N/A</x:v>
      </x:c>
      <x:c r="F1691" s="26" t="str">
        <x:v>Fixed also failed; assertion failure cannot be attributed to this bug; Assertions failed with measured coverage; paired execution and stage checks determine status</x:v>
      </x:c>
      <x:c r="G1691" s="25" t="str">
        <x:v>true</x:v>
      </x:c>
      <x:c r="H1691" s="25" t="str">
        <x:v>INCONCLUSIVE</x:v>
      </x:c>
      <x:c r="I1691" s="25" t="str">
        <x:v>FAIL</x:v>
      </x:c>
      <x:c r="J1691" s="25" t="str">
        <x:v>FAIL</x:v>
      </x:c>
      <x:c r="K1691" s="25" t="n">
        <x:v>12</x:v>
      </x:c>
      <x:c r="L1691" s="27" t="b">
        <x:v>0</x:v>
      </x:c>
      <x:c r="M1691" s="25" t="str">
        <x:v>Feedback-Directed Random Test Generation/rounds/Round2/state/Time.json</x:v>
      </x:c>
      <x:c r="N1691" s="25" t="str">
        <x:v>Feedback-Directed Random Test Generation/Result_Round2/Time_8/result.json</x:v>
      </x:c>
      <x:c r="O1691" s="25" t="str">
        <x:v>Feedback-Directed Random Test Generation/Result_Round2/Time_8/result.json</x:v>
      </x:c>
      <x:c r="P1691"/>
      <x:c r="Q1691" s="21" t="str"/>
      <x:c r="R1691" s="21" t="str"/>
      <x:c r="S1691" s="21" t="str"/>
      <x:c r="T1691" s="17" t="str">
        <x:v>false</x:v>
      </x:c>
      <x:c r="U1691" s="17" t="str">
        <x:v>true</x:v>
      </x:c>
      <x:c r="V1691" s="17" t="str">
        <x:v>false</x:v>
      </x:c>
    </x:row>
    <x:row r="1692" ht="80" customHeight="1">
      <x:c r="A1692" s="25" t="str">
        <x:v>Time</x:v>
      </x:c>
      <x:c r="B1692" s="25" t="n">
        <x:v>9</x:v>
      </x:c>
      <x:c r="C1692" s="25" t="str">
        <x:v>Round2</x:v>
      </x:c>
      <x:c r="D1692" s="25" t="str">
        <x:v>INCONCLUSIVE</x:v>
      </x:c>
      <x:c r="E1692" s="25" t="str">
        <x:v>N/A</x:v>
      </x:c>
      <x:c r="F1692" s="26" t="str">
        <x:v>Fixed also failed; assertion failure cannot be attributed to this bug; Assertions failed with measured coverage; paired execution and stage checks determine status</x:v>
      </x:c>
      <x:c r="G1692" s="25" t="str">
        <x:v>true</x:v>
      </x:c>
      <x:c r="H1692" s="25" t="str">
        <x:v>INCONCLUSIVE</x:v>
      </x:c>
      <x:c r="I1692" s="25" t="str">
        <x:v>FAIL</x:v>
      </x:c>
      <x:c r="J1692" s="25" t="str">
        <x:v>FAIL</x:v>
      </x:c>
      <x:c r="K1692" s="25" t="n">
        <x:v>12</x:v>
      </x:c>
      <x:c r="L1692" s="27" t="b">
        <x:v>0</x:v>
      </x:c>
      <x:c r="M1692" s="25" t="str">
        <x:v>Feedback-Directed Random Test Generation/rounds/Round2/state/Time.json</x:v>
      </x:c>
      <x:c r="N1692" s="25" t="str">
        <x:v>Feedback-Directed Random Test Generation/Result_Round2/Time_9/result.json</x:v>
      </x:c>
      <x:c r="O1692" s="25" t="str">
        <x:v>Feedback-Directed Random Test Generation/Result_Round2/Time_9/result.json</x:v>
      </x:c>
      <x:c r="P1692"/>
      <x:c r="Q1692" s="21" t="str"/>
      <x:c r="R1692" s="21" t="str"/>
      <x:c r="S1692" s="21" t="str"/>
      <x:c r="T1692" s="17" t="str">
        <x:v>false</x:v>
      </x:c>
      <x:c r="U1692" s="17" t="str">
        <x:v>true</x:v>
      </x:c>
      <x:c r="V1692" s="17" t="str">
        <x:v>false</x:v>
      </x:c>
    </x:row>
    <x:row r="1693" ht="80" customHeight="1">
      <x:c r="A1693" s="25" t="str">
        <x:v>Time</x:v>
      </x:c>
      <x:c r="B1693" s="25" t="n">
        <x:v>10</x:v>
      </x:c>
      <x:c r="C1693" s="25" t="str">
        <x:v>Round2</x:v>
      </x:c>
      <x:c r="D1693" s="25" t="str">
        <x:v>NOT_REVEALING</x:v>
      </x:c>
      <x:c r="E1693" s="25" t="str">
        <x:v>N/A</x:v>
      </x:c>
      <x:c r="F1693" s="26" t="str">
        <x:v>Same saved validation suite passed on buggy and fixed</x:v>
      </x:c>
      <x:c r="G1693" s="25" t="str">
        <x:v>true</x:v>
      </x:c>
      <x:c r="H1693" s="25" t="str">
        <x:v>NOT_REVEALING</x:v>
      </x:c>
      <x:c r="I1693" s="25" t="str">
        <x:v>PASS</x:v>
      </x:c>
      <x:c r="J1693" s="25" t="str">
        <x:v>PASS</x:v>
      </x:c>
      <x:c r="K1693" s="25" t="n">
        <x:v>2</x:v>
      </x:c>
      <x:c r="L1693" s="27" t="b">
        <x:v>0</x:v>
      </x:c>
      <x:c r="M1693" s="25" t="str">
        <x:v>Feedback-Directed Random Test Generation/rounds/Round2/state/Time.json</x:v>
      </x:c>
      <x:c r="N1693" s="25" t="str">
        <x:v>Feedback-Directed Random Test Generation/Result_Round2/Time_10/result.json</x:v>
      </x:c>
      <x:c r="O1693" s="25" t="str">
        <x:v>Feedback-Directed Random Test Generation/Result_Round2/Time_10/result.json</x:v>
      </x:c>
      <x:c r="P1693"/>
      <x:c r="Q1693" s="21" t="str"/>
      <x:c r="R1693" s="21" t="str"/>
      <x:c r="S1693" s="21" t="str"/>
      <x:c r="T1693" s="17" t="str">
        <x:v>false</x:v>
      </x:c>
      <x:c r="U1693" s="17" t="str">
        <x:v>true</x:v>
      </x:c>
      <x:c r="V1693" s="17" t="str">
        <x:v>false</x:v>
      </x:c>
    </x:row>
    <x:row r="1694" ht="80" customHeight="1">
      <x:c r="A1694" s="25" t="str">
        <x:v>Time</x:v>
      </x:c>
      <x:c r="B1694" s="25" t="n">
        <x:v>11</x:v>
      </x:c>
      <x:c r="C1694" s="25" t="str">
        <x:v>Round2</x:v>
      </x:c>
      <x:c r="D1694" s="25" t="str">
        <x:v>NOT_REVEALING</x:v>
      </x:c>
      <x:c r="E1694" s="25" t="str">
        <x:v>N/A</x:v>
      </x:c>
      <x:c r="F1694" s="26" t="str">
        <x:v>Same saved validation suite passed on buggy and fixed</x:v>
      </x:c>
      <x:c r="G1694" s="25" t="str">
        <x:v>true</x:v>
      </x:c>
      <x:c r="H1694" s="25" t="str">
        <x:v>NOT_REVEALING</x:v>
      </x:c>
      <x:c r="I1694" s="25" t="str">
        <x:v>PASS</x:v>
      </x:c>
      <x:c r="J1694" s="25" t="str">
        <x:v>PASS</x:v>
      </x:c>
      <x:c r="K1694" s="25" t="n">
        <x:v>14</x:v>
      </x:c>
      <x:c r="L1694" s="27" t="b">
        <x:v>0</x:v>
      </x:c>
      <x:c r="M1694" s="25" t="str">
        <x:v>Feedback-Directed Random Test Generation/rounds/Round2/state/Time.json</x:v>
      </x:c>
      <x:c r="N1694" s="25" t="str">
        <x:v>Feedback-Directed Random Test Generation/Result_Round2/Time_11/result.json</x:v>
      </x:c>
      <x:c r="O1694" s="25" t="str">
        <x:v>Feedback-Directed Random Test Generation/Result_Round2/Time_11/result.json</x:v>
      </x:c>
      <x:c r="P1694"/>
      <x:c r="Q1694" s="21" t="str"/>
      <x:c r="R1694" s="21" t="str"/>
      <x:c r="S1694" s="21" t="str"/>
      <x:c r="T1694" s="17" t="str">
        <x:v>false</x:v>
      </x:c>
      <x:c r="U1694" s="17" t="str">
        <x:v>true</x:v>
      </x:c>
      <x:c r="V1694" s="17" t="str">
        <x:v>false</x:v>
      </x:c>
    </x:row>
    <x:row r="1695" ht="80" customHeight="1">
      <x:c r="A1695" s="25" t="str">
        <x:v>Time</x:v>
      </x:c>
      <x:c r="B1695" s="25" t="n">
        <x:v>12</x:v>
      </x:c>
      <x:c r="C1695" s="25" t="str">
        <x:v>Round2</x:v>
      </x:c>
      <x:c r="D1695" s="25" t="str">
        <x:v>INCONCLUSIVE</x:v>
      </x:c>
      <x:c r="E1695" s="25" t="str">
        <x:v>N/A</x:v>
      </x:c>
      <x:c r="F1695" s="26" t="str">
        <x:v>Fixed also failed; assertion failure cannot be attributed to this bug; Assertions failed with measured coverage; paired execution and stage checks determine status</x:v>
      </x:c>
      <x:c r="G1695" s="25" t="str">
        <x:v>true</x:v>
      </x:c>
      <x:c r="H1695" s="25" t="str">
        <x:v>INCONCLUSIVE</x:v>
      </x:c>
      <x:c r="I1695" s="25" t="str">
        <x:v>FAIL</x:v>
      </x:c>
      <x:c r="J1695" s="25" t="str">
        <x:v>FAIL</x:v>
      </x:c>
      <x:c r="K1695" s="25" t="n">
        <x:v>11</x:v>
      </x:c>
      <x:c r="L1695" s="27" t="b">
        <x:v>0</x:v>
      </x:c>
      <x:c r="M1695" s="25" t="str">
        <x:v>Feedback-Directed Random Test Generation/rounds/Round2/state/Time.json</x:v>
      </x:c>
      <x:c r="N1695" s="25" t="str">
        <x:v>Feedback-Directed Random Test Generation/Result_Round2/Time_12/result.json</x:v>
      </x:c>
      <x:c r="O1695" s="25" t="str">
        <x:v>Feedback-Directed Random Test Generation/Result_Round2/Time_12/result.json</x:v>
      </x:c>
      <x:c r="P1695"/>
      <x:c r="Q1695" s="21" t="str"/>
      <x:c r="R1695" s="21" t="str"/>
      <x:c r="S1695" s="21" t="str"/>
      <x:c r="T1695" s="17" t="str">
        <x:v>false</x:v>
      </x:c>
      <x:c r="U1695" s="17" t="str">
        <x:v>true</x:v>
      </x:c>
      <x:c r="V1695" s="17" t="str">
        <x:v>false</x:v>
      </x:c>
    </x:row>
    <x:row r="1696" ht="80" customHeight="1">
      <x:c r="A1696" s="25" t="str">
        <x:v>Time</x:v>
      </x:c>
      <x:c r="B1696" s="25" t="n">
        <x:v>13</x:v>
      </x:c>
      <x:c r="C1696" s="25" t="str">
        <x:v>Round2</x:v>
      </x:c>
      <x:c r="D1696" s="25" t="str">
        <x:v>NOT_REVEALING</x:v>
      </x:c>
      <x:c r="E1696" s="25" t="str">
        <x:v>N/A</x:v>
      </x:c>
      <x:c r="F1696" s="26" t="str">
        <x:v>Same saved validation suite passed on buggy and fixed</x:v>
      </x:c>
      <x:c r="G1696" s="25" t="str">
        <x:v>true</x:v>
      </x:c>
      <x:c r="H1696" s="25" t="str">
        <x:v>NOT_REVEALING</x:v>
      </x:c>
      <x:c r="I1696" s="25" t="str">
        <x:v>PASS</x:v>
      </x:c>
      <x:c r="J1696" s="25" t="str">
        <x:v>PASS</x:v>
      </x:c>
      <x:c r="K1696" s="25" t="n">
        <x:v>12</x:v>
      </x:c>
      <x:c r="L1696" s="27" t="b">
        <x:v>0</x:v>
      </x:c>
      <x:c r="M1696" s="25" t="str">
        <x:v>Feedback-Directed Random Test Generation/rounds/Round2/state/Time.json</x:v>
      </x:c>
      <x:c r="N1696" s="25" t="str">
        <x:v>Feedback-Directed Random Test Generation/Result_Round2/Time_13/result.json</x:v>
      </x:c>
      <x:c r="O1696" s="25" t="str">
        <x:v>Feedback-Directed Random Test Generation/Result_Round2/Time_13/result.json</x:v>
      </x:c>
      <x:c r="P1696"/>
      <x:c r="Q1696" s="21" t="str"/>
      <x:c r="R1696" s="21" t="str"/>
      <x:c r="S1696" s="21" t="str"/>
      <x:c r="T1696" s="17" t="str">
        <x:v>false</x:v>
      </x:c>
      <x:c r="U1696" s="17" t="str">
        <x:v>true</x:v>
      </x:c>
      <x:c r="V1696" s="17" t="str">
        <x:v>false</x:v>
      </x:c>
    </x:row>
    <x:row r="1697" ht="80" customHeight="1">
      <x:c r="A1697" s="25" t="str">
        <x:v>Time</x:v>
      </x:c>
      <x:c r="B1697" s="25" t="n">
        <x:v>14</x:v>
      </x:c>
      <x:c r="C1697" s="25" t="str">
        <x:v>Round2</x:v>
      </x:c>
      <x:c r="D1697" s="25" t="str">
        <x:v>NOT_REVEALING</x:v>
      </x:c>
      <x:c r="E1697" s="25" t="str">
        <x:v>N/A</x:v>
      </x:c>
      <x:c r="F1697" s="26" t="str">
        <x:v>Same saved validation suite passed on buggy and fixed</x:v>
      </x:c>
      <x:c r="G1697" s="25" t="str">
        <x:v>true</x:v>
      </x:c>
      <x:c r="H1697" s="25" t="str">
        <x:v>NOT_REVEALING</x:v>
      </x:c>
      <x:c r="I1697" s="25" t="str">
        <x:v>PASS</x:v>
      </x:c>
      <x:c r="J1697" s="25" t="str">
        <x:v>PASS</x:v>
      </x:c>
      <x:c r="K1697" s="25" t="n">
        <x:v>2</x:v>
      </x:c>
      <x:c r="L1697" s="27" t="b">
        <x:v>0</x:v>
      </x:c>
      <x:c r="M1697" s="25" t="str">
        <x:v>Feedback-Directed Random Test Generation/rounds/Round2/state/Time.json</x:v>
      </x:c>
      <x:c r="N1697" s="25" t="str">
        <x:v>Feedback-Directed Random Test Generation/Result_Round2/Time_14/result.json</x:v>
      </x:c>
      <x:c r="O1697" s="25" t="str">
        <x:v>Feedback-Directed Random Test Generation/Result_Round2/Time_14/result.json</x:v>
      </x:c>
      <x:c r="P1697"/>
      <x:c r="Q1697" s="21" t="str"/>
      <x:c r="R1697" s="21" t="str"/>
      <x:c r="S1697" s="21" t="str"/>
      <x:c r="T1697" s="17" t="str">
        <x:v>false</x:v>
      </x:c>
      <x:c r="U1697" s="17" t="str">
        <x:v>true</x:v>
      </x:c>
      <x:c r="V1697" s="17" t="str">
        <x:v>false</x:v>
      </x:c>
    </x:row>
    <x:row r="1698" ht="80" customHeight="1">
      <x:c r="A1698" s="25" t="str">
        <x:v>Time</x:v>
      </x:c>
      <x:c r="B1698" s="25" t="n">
        <x:v>15</x:v>
      </x:c>
      <x:c r="C1698" s="25" t="str">
        <x:v>Round2</x:v>
      </x:c>
      <x:c r="D1698" s="25" t="str">
        <x:v>NOT_REVEALING</x:v>
      </x:c>
      <x:c r="E1698" s="25" t="str">
        <x:v>N/A</x:v>
      </x:c>
      <x:c r="F1698" s="26" t="str">
        <x:v>Same saved validation suite passed on buggy and fixed</x:v>
      </x:c>
      <x:c r="G1698" s="25" t="str">
        <x:v>true</x:v>
      </x:c>
      <x:c r="H1698" s="25" t="str">
        <x:v>NOT_REVEALING</x:v>
      </x:c>
      <x:c r="I1698" s="25" t="str">
        <x:v>PASS</x:v>
      </x:c>
      <x:c r="J1698" s="25" t="str">
        <x:v>PASS</x:v>
      </x:c>
      <x:c r="K1698" s="25" t="n">
        <x:v>24</x:v>
      </x:c>
      <x:c r="L1698" s="27" t="b">
        <x:v>0</x:v>
      </x:c>
      <x:c r="M1698" s="25" t="str">
        <x:v>Feedback-Directed Random Test Generation/rounds/Round2/state/Time.json</x:v>
      </x:c>
      <x:c r="N1698" s="25" t="str">
        <x:v>Feedback-Directed Random Test Generation/Result_Round2/Time_15/result.json</x:v>
      </x:c>
      <x:c r="O1698" s="25" t="str">
        <x:v>Feedback-Directed Random Test Generation/Result_Round2/Time_15/result.json</x:v>
      </x:c>
      <x:c r="P1698"/>
      <x:c r="Q1698" s="21" t="str"/>
      <x:c r="R1698" s="21" t="str"/>
      <x:c r="S1698" s="21" t="str"/>
      <x:c r="T1698" s="17" t="str">
        <x:v>false</x:v>
      </x:c>
      <x:c r="U1698" s="17" t="str">
        <x:v>true</x:v>
      </x:c>
      <x:c r="V1698" s="17" t="str">
        <x:v>false</x:v>
      </x:c>
    </x:row>
    <x:row r="1699" ht="80" customHeight="1">
      <x:c r="A1699" s="25" t="str">
        <x:v>Time</x:v>
      </x:c>
      <x:c r="B1699" s="25" t="n">
        <x:v>16</x:v>
      </x:c>
      <x:c r="C1699" s="25" t="str">
        <x:v>Round2</x:v>
      </x:c>
      <x:c r="D1699" s="25" t="str">
        <x:v>NOT_REVEALING</x:v>
      </x:c>
      <x:c r="E1699" s="25" t="str">
        <x:v>N/A</x:v>
      </x:c>
      <x:c r="F1699" s="26" t="str">
        <x:v>Same saved validation suite passed on buggy and fixed</x:v>
      </x:c>
      <x:c r="G1699" s="25" t="str">
        <x:v>true</x:v>
      </x:c>
      <x:c r="H1699" s="25" t="str">
        <x:v>NOT_REVEALING</x:v>
      </x:c>
      <x:c r="I1699" s="25" t="str">
        <x:v>PASS</x:v>
      </x:c>
      <x:c r="J1699" s="25" t="str">
        <x:v>PASS</x:v>
      </x:c>
      <x:c r="K1699" s="25" t="n">
        <x:v>13</x:v>
      </x:c>
      <x:c r="L1699" s="27" t="b">
        <x:v>0</x:v>
      </x:c>
      <x:c r="M1699" s="25" t="str">
        <x:v>Feedback-Directed Random Test Generation/rounds/Round2/state/Time.json</x:v>
      </x:c>
      <x:c r="N1699" s="25" t="str">
        <x:v>Feedback-Directed Random Test Generation/Result_Round2/Time_16/result.json</x:v>
      </x:c>
      <x:c r="O1699" s="25" t="str">
        <x:v>Feedback-Directed Random Test Generation/Result_Round2/Time_16/result.json</x:v>
      </x:c>
      <x:c r="P1699"/>
      <x:c r="Q1699" s="21" t="str"/>
      <x:c r="R1699" s="21" t="str"/>
      <x:c r="S1699" s="21" t="str"/>
      <x:c r="T1699" s="17" t="str">
        <x:v>false</x:v>
      </x:c>
      <x:c r="U1699" s="17" t="str">
        <x:v>true</x:v>
      </x:c>
      <x:c r="V1699" s="17" t="str">
        <x:v>false</x:v>
      </x:c>
    </x:row>
    <x:row r="1700" ht="80" customHeight="1">
      <x:c r="A1700" s="25" t="str">
        <x:v>Time</x:v>
      </x:c>
      <x:c r="B1700" s="25" t="n">
        <x:v>17</x:v>
      </x:c>
      <x:c r="C1700" s="25" t="str">
        <x:v>Round2</x:v>
      </x:c>
      <x:c r="D1700" s="25" t="str">
        <x:v>INCONCLUSIVE</x:v>
      </x:c>
      <x:c r="E1700" s="25" t="str">
        <x:v>N/A</x:v>
      </x:c>
      <x:c r="F1700" s="26" t="str">
        <x:v>Fixed also failed; assertion failure cannot be attributed to this bug; Assertions failed with measured coverage; paired execution and stage checks determine status</x:v>
      </x:c>
      <x:c r="G1700" s="25" t="str">
        <x:v>true</x:v>
      </x:c>
      <x:c r="H1700" s="25" t="str">
        <x:v>INCONCLUSIVE</x:v>
      </x:c>
      <x:c r="I1700" s="25" t="str">
        <x:v>FAIL</x:v>
      </x:c>
      <x:c r="J1700" s="25" t="str">
        <x:v>FAIL</x:v>
      </x:c>
      <x:c r="K1700" s="25" t="n">
        <x:v>11</x:v>
      </x:c>
      <x:c r="L1700" s="27" t="b">
        <x:v>0</x:v>
      </x:c>
      <x:c r="M1700" s="25" t="str">
        <x:v>Feedback-Directed Random Test Generation/rounds/Round2/state/Time.json</x:v>
      </x:c>
      <x:c r="N1700" s="25" t="str">
        <x:v>Feedback-Directed Random Test Generation/Result_Round2/Time_17/result.json</x:v>
      </x:c>
      <x:c r="O1700" s="25" t="str">
        <x:v>Feedback-Directed Random Test Generation/Result_Round2/Time_17/result.json</x:v>
      </x:c>
      <x:c r="P1700"/>
      <x:c r="Q1700" s="21" t="str"/>
      <x:c r="R1700" s="21" t="str"/>
      <x:c r="S1700" s="21" t="str"/>
      <x:c r="T1700" s="17" t="str">
        <x:v>false</x:v>
      </x:c>
      <x:c r="U1700" s="17" t="str">
        <x:v>true</x:v>
      </x:c>
      <x:c r="V1700" s="17" t="str">
        <x:v>false</x:v>
      </x:c>
    </x:row>
    <x:row r="1701" ht="80" customHeight="1">
      <x:c r="A1701" s="25" t="str">
        <x:v>Time</x:v>
      </x:c>
      <x:c r="B1701" s="25" t="n">
        <x:v>18</x:v>
      </x:c>
      <x:c r="C1701" s="25" t="str">
        <x:v>Round2</x:v>
      </x:c>
      <x:c r="D1701" s="25" t="str">
        <x:v>INCONCLUSIVE</x:v>
      </x:c>
      <x:c r="E1701" s="25" t="str">
        <x:v>N/A</x:v>
      </x:c>
      <x:c r="F1701" s="26" t="str">
        <x:v>Fixed also failed; assertion failure cannot be attributed to this bug; Assertions failed with measured coverage; paired execution and stage checks determine status</x:v>
      </x:c>
      <x:c r="G1701" s="25" t="str">
        <x:v>true</x:v>
      </x:c>
      <x:c r="H1701" s="25" t="str">
        <x:v>INCONCLUSIVE</x:v>
      </x:c>
      <x:c r="I1701" s="25" t="str">
        <x:v>FAIL</x:v>
      </x:c>
      <x:c r="J1701" s="25" t="str">
        <x:v>FAIL</x:v>
      </x:c>
      <x:c r="K1701" s="25" t="n">
        <x:v>13</x:v>
      </x:c>
      <x:c r="L1701" s="27" t="b">
        <x:v>0</x:v>
      </x:c>
      <x:c r="M1701" s="25" t="str">
        <x:v>Feedback-Directed Random Test Generation/rounds/Round2/state/Time.json</x:v>
      </x:c>
      <x:c r="N1701" s="25" t="str">
        <x:v>Feedback-Directed Random Test Generation/Result_Round2/Time_18/result.json</x:v>
      </x:c>
      <x:c r="O1701" s="25" t="str">
        <x:v>Feedback-Directed Random Test Generation/Result_Round2/Time_18/result.json</x:v>
      </x:c>
      <x:c r="P1701"/>
      <x:c r="Q1701" s="21" t="str"/>
      <x:c r="R1701" s="21" t="str"/>
      <x:c r="S1701" s="21" t="str"/>
      <x:c r="T1701" s="17" t="str">
        <x:v>false</x:v>
      </x:c>
      <x:c r="U1701" s="17" t="str">
        <x:v>true</x:v>
      </x:c>
      <x:c r="V1701" s="17" t="str">
        <x:v>false</x:v>
      </x:c>
    </x:row>
    <x:row r="1702" ht="80" customHeight="1">
      <x:c r="A1702" s="25" t="str">
        <x:v>Time</x:v>
      </x:c>
      <x:c r="B1702" s="25" t="n">
        <x:v>19</x:v>
      </x:c>
      <x:c r="C1702" s="25" t="str">
        <x:v>Round2</x:v>
      </x:c>
      <x:c r="D1702" s="25" t="str">
        <x:v>INCONCLUSIVE</x:v>
      </x:c>
      <x:c r="E1702" s="25" t="str">
        <x:v>N/A</x:v>
      </x:c>
      <x:c r="F1702" s="26" t="str">
        <x:v>Fixed also failed; assertion failure cannot be attributed to this bug; Assertions failed with measured coverage; paired execution and stage checks determine status</x:v>
      </x:c>
      <x:c r="G1702" s="25" t="str">
        <x:v>true</x:v>
      </x:c>
      <x:c r="H1702" s="25" t="str">
        <x:v>INCONCLUSIVE</x:v>
      </x:c>
      <x:c r="I1702" s="25" t="str">
        <x:v>FAIL</x:v>
      </x:c>
      <x:c r="J1702" s="25" t="str">
        <x:v>FAIL</x:v>
      </x:c>
      <x:c r="K1702" s="25" t="n">
        <x:v>12</x:v>
      </x:c>
      <x:c r="L1702" s="27" t="b">
        <x:v>0</x:v>
      </x:c>
      <x:c r="M1702" s="25" t="str">
        <x:v>Feedback-Directed Random Test Generation/rounds/Round2/state/Time.json</x:v>
      </x:c>
      <x:c r="N1702" s="25" t="str">
        <x:v>Feedback-Directed Random Test Generation/Result_Round2/Time_19/result.json</x:v>
      </x:c>
      <x:c r="O1702" s="25" t="str">
        <x:v>Feedback-Directed Random Test Generation/Result_Round2/Time_19/result.json</x:v>
      </x:c>
      <x:c r="P1702"/>
      <x:c r="Q1702" s="21" t="str"/>
      <x:c r="R1702" s="21" t="str"/>
      <x:c r="S1702" s="21" t="str"/>
      <x:c r="T1702" s="17" t="str">
        <x:v>false</x:v>
      </x:c>
      <x:c r="U1702" s="17" t="str">
        <x:v>true</x:v>
      </x:c>
      <x:c r="V1702" s="17" t="str">
        <x:v>false</x:v>
      </x:c>
    </x:row>
    <x:row r="1703" ht="80" customHeight="1">
      <x:c r="A1703" s="25" t="str">
        <x:v>Time</x:v>
      </x:c>
      <x:c r="B1703" s="25" t="n">
        <x:v>20</x:v>
      </x:c>
      <x:c r="C1703" s="25" t="str">
        <x:v>Round2</x:v>
      </x:c>
      <x:c r="D1703" s="25" t="str">
        <x:v>NOT_REVEALING</x:v>
      </x:c>
      <x:c r="E1703" s="25" t="str">
        <x:v>N/A</x:v>
      </x:c>
      <x:c r="F1703" s="26" t="str">
        <x:v>Same saved validation suite passed on buggy and fixed</x:v>
      </x:c>
      <x:c r="G1703" s="25" t="str">
        <x:v>true</x:v>
      </x:c>
      <x:c r="H1703" s="25" t="str">
        <x:v>NOT_REVEALING</x:v>
      </x:c>
      <x:c r="I1703" s="25" t="str">
        <x:v>PASS</x:v>
      </x:c>
      <x:c r="J1703" s="25" t="str">
        <x:v>PASS</x:v>
      </x:c>
      <x:c r="K1703" s="25" t="n">
        <x:v>13</x:v>
      </x:c>
      <x:c r="L1703" s="27" t="b">
        <x:v>0</x:v>
      </x:c>
      <x:c r="M1703" s="25" t="str">
        <x:v>Feedback-Directed Random Test Generation/rounds/Round2/state/Time.json</x:v>
      </x:c>
      <x:c r="N1703" s="25" t="str">
        <x:v>Feedback-Directed Random Test Generation/Result_Round2/Time_20/result.json</x:v>
      </x:c>
      <x:c r="O1703" s="25" t="str">
        <x:v>Feedback-Directed Random Test Generation/Result_Round2/Time_20/result.json</x:v>
      </x:c>
      <x:c r="P1703"/>
      <x:c r="Q1703" s="21" t="str"/>
      <x:c r="R1703" s="21" t="str"/>
      <x:c r="S1703" s="21" t="str"/>
      <x:c r="T1703" s="17" t="str">
        <x:v>false</x:v>
      </x:c>
      <x:c r="U1703" s="17" t="str">
        <x:v>true</x:v>
      </x:c>
      <x:c r="V1703" s="17" t="str">
        <x:v>false</x:v>
      </x:c>
    </x:row>
    <x:row r="1704" ht="80" customHeight="1">
      <x:c r="A1704" s="25" t="str">
        <x:v>Time</x:v>
      </x:c>
      <x:c r="B1704" s="25" t="n">
        <x:v>22</x:v>
      </x:c>
      <x:c r="C1704" s="25" t="str">
        <x:v>Round2</x:v>
      </x:c>
      <x:c r="D1704" s="25" t="str">
        <x:v>NOT_REVEALING</x:v>
      </x:c>
      <x:c r="E1704" s="25" t="str">
        <x:v>N/A</x:v>
      </x:c>
      <x:c r="F1704" s="26" t="str">
        <x:v>Same saved validation suite passed on buggy and fixed</x:v>
      </x:c>
      <x:c r="G1704" s="25" t="str">
        <x:v>true</x:v>
      </x:c>
      <x:c r="H1704" s="25" t="str">
        <x:v>NOT_REVEALING</x:v>
      </x:c>
      <x:c r="I1704" s="25" t="str">
        <x:v>PASS</x:v>
      </x:c>
      <x:c r="J1704" s="25" t="str">
        <x:v>PASS</x:v>
      </x:c>
      <x:c r="K1704" s="25" t="n">
        <x:v>2</x:v>
      </x:c>
      <x:c r="L1704" s="27" t="b">
        <x:v>0</x:v>
      </x:c>
      <x:c r="M1704" s="25" t="str">
        <x:v>Feedback-Directed Random Test Generation/rounds/Round2/state/Time.json</x:v>
      </x:c>
      <x:c r="N1704" s="25" t="str">
        <x:v>Feedback-Directed Random Test Generation/Result_Round2/Time_22/result.json</x:v>
      </x:c>
      <x:c r="O1704" s="25" t="str">
        <x:v>Feedback-Directed Random Test Generation/Result_Round2/Time_22/result.json</x:v>
      </x:c>
      <x:c r="P1704"/>
      <x:c r="Q1704" s="21" t="str"/>
      <x:c r="R1704" s="21" t="str"/>
      <x:c r="S1704" s="21" t="str"/>
      <x:c r="T1704" s="17" t="str">
        <x:v>false</x:v>
      </x:c>
      <x:c r="U1704" s="17" t="str">
        <x:v>true</x:v>
      </x:c>
      <x:c r="V1704" s="17" t="str">
        <x:v>false</x:v>
      </x:c>
    </x:row>
    <x:row r="1705" ht="80" customHeight="1">
      <x:c r="A1705" s="25" t="str">
        <x:v>Time</x:v>
      </x:c>
      <x:c r="B1705" s="25" t="n">
        <x:v>23</x:v>
      </x:c>
      <x:c r="C1705" s="25" t="str">
        <x:v>Round2</x:v>
      </x:c>
      <x:c r="D1705" s="25" t="str">
        <x:v>INCONCLUSIVE</x:v>
      </x:c>
      <x:c r="E1705" s="25" t="str">
        <x:v>N/A</x:v>
      </x:c>
      <x:c r="F1705" s="26" t="str">
        <x:v>Fixed also failed; assertion failure cannot be attributed to this bug; Assertions failed with measured coverage; paired execution and stage checks determine status</x:v>
      </x:c>
      <x:c r="G1705" s="25" t="str">
        <x:v>true</x:v>
      </x:c>
      <x:c r="H1705" s="25" t="str">
        <x:v>INCONCLUSIVE</x:v>
      </x:c>
      <x:c r="I1705" s="25" t="str">
        <x:v>FAIL</x:v>
      </x:c>
      <x:c r="J1705" s="25" t="str">
        <x:v>FAIL</x:v>
      </x:c>
      <x:c r="K1705" s="25" t="n">
        <x:v>12</x:v>
      </x:c>
      <x:c r="L1705" s="27" t="b">
        <x:v>0</x:v>
      </x:c>
      <x:c r="M1705" s="25" t="str">
        <x:v>Feedback-Directed Random Test Generation/rounds/Round2/state/Time.json</x:v>
      </x:c>
      <x:c r="N1705" s="25" t="str">
        <x:v>Feedback-Directed Random Test Generation/Result_Round2/Time_23/result.json</x:v>
      </x:c>
      <x:c r="O1705" s="25" t="str">
        <x:v>Feedback-Directed Random Test Generation/Result_Round2/Time_23/result.json</x:v>
      </x:c>
      <x:c r="P1705"/>
      <x:c r="Q1705" s="21" t="str"/>
      <x:c r="R1705" s="21" t="str"/>
      <x:c r="S1705" s="21" t="str"/>
      <x:c r="T1705" s="17" t="str">
        <x:v>false</x:v>
      </x:c>
      <x:c r="U1705" s="17" t="str">
        <x:v>true</x:v>
      </x:c>
      <x:c r="V1705" s="17" t="str">
        <x:v>false</x:v>
      </x:c>
    </x:row>
    <x:row r="1706" ht="80" customHeight="1">
      <x:c r="A1706" s="25" t="str">
        <x:v>Time</x:v>
      </x:c>
      <x:c r="B1706" s="25" t="n">
        <x:v>24</x:v>
      </x:c>
      <x:c r="C1706" s="25" t="str">
        <x:v>Round2</x:v>
      </x:c>
      <x:c r="D1706" s="25" t="str">
        <x:v>INCONCLUSIVE</x:v>
      </x:c>
      <x:c r="E1706" s="25" t="str">
        <x:v>N/A</x:v>
      </x:c>
      <x:c r="F1706" s="26" t="str">
        <x:v>Fixed also failed; assertion failure cannot be attributed to this bug; Assertions failed with measured coverage; paired execution and stage checks determine status</x:v>
      </x:c>
      <x:c r="G1706" s="25" t="str">
        <x:v>true</x:v>
      </x:c>
      <x:c r="H1706" s="25" t="str">
        <x:v>INCONCLUSIVE</x:v>
      </x:c>
      <x:c r="I1706" s="25" t="str">
        <x:v>FAIL</x:v>
      </x:c>
      <x:c r="J1706" s="25" t="str">
        <x:v>FAIL</x:v>
      </x:c>
      <x:c r="K1706" s="25" t="n">
        <x:v>4</x:v>
      </x:c>
      <x:c r="L1706" s="27" t="b">
        <x:v>0</x:v>
      </x:c>
      <x:c r="M1706" s="25" t="str">
        <x:v>Feedback-Directed Random Test Generation/rounds/Round2/state/Time.json</x:v>
      </x:c>
      <x:c r="N1706" s="25" t="str">
        <x:v>Feedback-Directed Random Test Generation/Result_Round2/Time_24/result.json</x:v>
      </x:c>
      <x:c r="O1706" s="25" t="str">
        <x:v>Feedback-Directed Random Test Generation/Result_Round2/Time_24/result.json</x:v>
      </x:c>
      <x:c r="P1706"/>
      <x:c r="Q1706" s="21" t="str"/>
      <x:c r="R1706" s="21" t="str"/>
      <x:c r="S1706" s="21" t="str"/>
      <x:c r="T1706" s="17" t="str">
        <x:v>false</x:v>
      </x:c>
      <x:c r="U1706" s="17" t="str">
        <x:v>true</x:v>
      </x:c>
      <x:c r="V1706" s="17" t="str">
        <x:v>false</x:v>
      </x:c>
    </x:row>
    <x:row r="1707" ht="80" customHeight="1">
      <x:c r="A1707" s="25" t="str">
        <x:v>Time</x:v>
      </x:c>
      <x:c r="B1707" s="25" t="n">
        <x:v>25</x:v>
      </x:c>
      <x:c r="C1707" s="25" t="str">
        <x:v>Round2</x:v>
      </x:c>
      <x:c r="D1707" s="25" t="str">
        <x:v>NOT_REVEALING</x:v>
      </x:c>
      <x:c r="E1707" s="25" t="str">
        <x:v>N/A</x:v>
      </x:c>
      <x:c r="F1707" s="26" t="str">
        <x:v>Same saved validation suite passed on buggy and fixed</x:v>
      </x:c>
      <x:c r="G1707" s="25" t="str">
        <x:v>true</x:v>
      </x:c>
      <x:c r="H1707" s="25" t="str">
        <x:v>NOT_REVEALING</x:v>
      </x:c>
      <x:c r="I1707" s="25" t="str">
        <x:v>PASS</x:v>
      </x:c>
      <x:c r="J1707" s="25" t="str">
        <x:v>PASS</x:v>
      </x:c>
      <x:c r="K1707" s="25" t="n">
        <x:v>12</x:v>
      </x:c>
      <x:c r="L1707" s="27" t="b">
        <x:v>0</x:v>
      </x:c>
      <x:c r="M1707" s="25" t="str">
        <x:v>Feedback-Directed Random Test Generation/rounds/Round2/state/Time.json</x:v>
      </x:c>
      <x:c r="N1707" s="25" t="str">
        <x:v>Feedback-Directed Random Test Generation/Result_Round2/Time_25/result.json</x:v>
      </x:c>
      <x:c r="O1707" s="25" t="str">
        <x:v>Feedback-Directed Random Test Generation/Result_Round2/Time_25/result.json</x:v>
      </x:c>
      <x:c r="P1707"/>
      <x:c r="Q1707" s="21" t="str"/>
      <x:c r="R1707" s="21" t="str"/>
      <x:c r="S1707" s="21" t="str"/>
      <x:c r="T1707" s="17" t="str">
        <x:v>false</x:v>
      </x:c>
      <x:c r="U1707" s="17" t="str">
        <x:v>true</x:v>
      </x:c>
      <x:c r="V1707" s="17" t="str">
        <x:v>false</x:v>
      </x:c>
    </x:row>
    <x:row r="1708" ht="80" customHeight="1">
      <x:c r="A1708" s="25" t="str">
        <x:v>Time</x:v>
      </x:c>
      <x:c r="B1708" s="25" t="n">
        <x:v>26</x:v>
      </x:c>
      <x:c r="C1708" s="25" t="str">
        <x:v>Round2</x:v>
      </x:c>
      <x:c r="D1708" s="25" t="str">
        <x:v>INCONCLUSIVE</x:v>
      </x:c>
      <x:c r="E1708" s="25" t="str">
        <x:v>N/A</x:v>
      </x:c>
      <x:c r="F1708" s="26" t="str">
        <x:v>Fixed also failed; assertion failure cannot be attributed to this bug; Assertions failed with measured coverage; paired execution and stage checks determine status</x:v>
      </x:c>
      <x:c r="G1708" s="25" t="str">
        <x:v>true</x:v>
      </x:c>
      <x:c r="H1708" s="25" t="str">
        <x:v>INCONCLUSIVE</x:v>
      </x:c>
      <x:c r="I1708" s="25" t="str">
        <x:v>FAIL</x:v>
      </x:c>
      <x:c r="J1708" s="25" t="str">
        <x:v>FAIL</x:v>
      </x:c>
      <x:c r="K1708" s="25" t="n">
        <x:v>12</x:v>
      </x:c>
      <x:c r="L1708" s="27" t="b">
        <x:v>0</x:v>
      </x:c>
      <x:c r="M1708" s="25" t="str">
        <x:v>Feedback-Directed Random Test Generation/rounds/Round2/state/Time.json</x:v>
      </x:c>
      <x:c r="N1708" s="25" t="str">
        <x:v>Feedback-Directed Random Test Generation/Result_Round2/Time_26/result.json</x:v>
      </x:c>
      <x:c r="O1708" s="25" t="str">
        <x:v>Feedback-Directed Random Test Generation/Result_Round2/Time_26/result.json</x:v>
      </x:c>
      <x:c r="P1708"/>
      <x:c r="Q1708" s="21" t="str"/>
      <x:c r="R1708" s="21" t="str"/>
      <x:c r="S1708" s="21" t="str"/>
      <x:c r="T1708" s="17" t="str">
        <x:v>false</x:v>
      </x:c>
      <x:c r="U1708" s="17" t="str">
        <x:v>true</x:v>
      </x:c>
      <x:c r="V1708" s="17" t="str">
        <x:v>false</x:v>
      </x:c>
    </x:row>
    <x:row r="1709" ht="80" customHeight="1">
      <x:c r="A1709" s="25" t="str">
        <x:v>Time</x:v>
      </x:c>
      <x:c r="B1709" s="25" t="n">
        <x:v>27</x:v>
      </x:c>
      <x:c r="C1709" s="25" t="str">
        <x:v>Round2</x:v>
      </x:c>
      <x:c r="D1709" s="25" t="str">
        <x:v>NOT_REVEALING</x:v>
      </x:c>
      <x:c r="E1709" s="25" t="str">
        <x:v>N/A</x:v>
      </x:c>
      <x:c r="F1709" s="26" t="str">
        <x:v>Same saved validation suite passed on buggy and fixed</x:v>
      </x:c>
      <x:c r="G1709" s="25" t="str">
        <x:v>true</x:v>
      </x:c>
      <x:c r="H1709" s="25" t="str">
        <x:v>NOT_REVEALING</x:v>
      </x:c>
      <x:c r="I1709" s="25" t="str">
        <x:v>PASS</x:v>
      </x:c>
      <x:c r="J1709" s="25" t="str">
        <x:v>PASS</x:v>
      </x:c>
      <x:c r="K1709" s="25" t="n">
        <x:v>11</x:v>
      </x:c>
      <x:c r="L1709" s="27" t="b">
        <x:v>0</x:v>
      </x:c>
      <x:c r="M1709" s="25" t="str">
        <x:v>Feedback-Directed Random Test Generation/rounds/Round2/state/Time.json</x:v>
      </x:c>
      <x:c r="N1709" s="25" t="str">
        <x:v>Feedback-Directed Random Test Generation/Result_Round2/Time_27/result.json</x:v>
      </x:c>
      <x:c r="O1709" s="25" t="str">
        <x:v>Feedback-Directed Random Test Generation/Result_Round2/Time_27/result.json</x:v>
      </x:c>
      <x:c r="P1709"/>
      <x:c r="Q1709" s="21" t="str"/>
      <x:c r="R1709" s="21" t="str"/>
      <x:c r="S1709" s="21" t="str"/>
      <x:c r="T1709" s="17" t="str">
        <x:v>false</x:v>
      </x:c>
      <x:c r="U1709" s="17" t="str">
        <x:v>true</x:v>
      </x:c>
      <x:c r="V1709" s="17" t="str">
        <x:v>false</x:v>
      </x:c>
    </x:row>
  </x:sheetData>
  <x:pageMargins left="0.7" right="0.7" top="0.75" bottom="0.75" header="0.3" footer="0.3"/>
  <x:tableParts count="1">
    <x:tablePart xmlns:r="http://schemas.openxmlformats.org/officeDocument/2006/relationships" r:id="Rcf6905cd3600462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24" hidden="0" customWidth="1"/>
    <x:col min="5" max="5" width="15" hidden="0" customWidth="1"/>
    <x:col min="6" max="6" width="15" hidden="0" customWidth="1"/>
  </x:cols>
  <x:sheetData>
    <x:row r="2">
      <x:c r="B2" s="29" t="str">
        <x:v>Bug verdicts by project and round</x:v>
      </x:c>
    </x:row>
    <x:row r="3" ht="32" customHeight="1">
      <x:c r="B3" s="31" t="str">
        <x:v>One bug per round. FAIL = no usable tests or latest whole-bug generation failed. Partial class failures use execution results. NOT_AVAILABLE = compile, run, coverage or paired validation unavailable.</x:v>
      </x:c>
      <x:c r="C3" s="31"/>
      <x:c r="D3" s="31"/>
      <x:c r="E3" s="31"/>
      <x:c r="F3" s="31"/>
      <x:c r="G3" s="31"/>
      <x:c r="H3" s="31"/>
      <x:c r="I3" s="31"/>
    </x:row>
    <x:row r="4" ht="32" customHeight="1">
      <x:c r="B4" s="31" t="str">
        <x:v>All rounds pools 2 recorded round(s), 1,708 cases. See BugResults for evidence and StatusChecks for totals.</x:v>
      </x:c>
      <x:c r="C4" s="31"/>
      <x:c r="D4" s="31"/>
      <x:c r="E4" s="31"/>
      <x:c r="F4" s="31"/>
      <x:c r="G4" s="31"/>
      <x:c r="H4" s="31"/>
      <x:c r="I4" s="31"/>
    </x:row>
    <x:row r="6" ht="42" customHeight="1">
      <x:c r="B6" s="20" t="str">
        <x:v>Project</x:v>
      </x:c>
      <x:c r="C6" s="20" t="str">
        <x:v>Round</x:v>
      </x:c>
      <x:c r="D6" s="20" t="str">
        <x:v>Verdict</x:v>
      </x:c>
      <x:c r="E6" s="20" t="str">
        <x:v>Count</x:v>
      </x:c>
      <x:c r="F6" s="20" t="str">
        <x:v>Share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REVEALING</x:v>
      </x:c>
      <x:c r="E7" s="17" t="n">
        <x:f>COUNTIF('BugResults'!$D$2:$D$1709,"REVEALING")</x:f>
        <x:v>2</x:v>
      </x:c>
      <x:c r="F7" s="33" t="n">
        <x:f>E7/1708</x:f>
        <x:v>0.00117096018735363</x:v>
      </x:c>
    </x:row>
    <x:row r="8" ht="23" customHeight="1">
      <x:c r="B8" s="17" t="str">
        <x:v>All projects</x:v>
      </x:c>
      <x:c r="C8" s="17" t="str">
        <x:v>All rounds</x:v>
      </x:c>
      <x:c r="D8" s="17" t="str">
        <x:v>NOT_REVEALING</x:v>
      </x:c>
      <x:c r="E8" s="17" t="n">
        <x:f>COUNTIF('BugResults'!$D$2:$D$1709,"NOT_REVEALING")</x:f>
        <x:v>1124</x:v>
      </x:c>
      <x:c r="F8" s="33" t="n">
        <x:f>E8/1708</x:f>
        <x:v>0.65807962529274</x:v>
      </x:c>
    </x:row>
    <x:row r="9" ht="23" customHeight="1">
      <x:c r="B9" s="17" t="str">
        <x:v>All projects</x:v>
      </x:c>
      <x:c r="C9" s="17" t="str">
        <x:v>All rounds</x:v>
      </x:c>
      <x:c r="D9" s="17" t="str">
        <x:v>NOT_AVAILABLE</x:v>
      </x:c>
      <x:c r="E9" s="17" t="n">
        <x:f>COUNTIF('BugResults'!$D$2:$D$1709,"NOT_AVAILABLE")</x:f>
        <x:v>41</x:v>
      </x:c>
      <x:c r="F9" s="33" t="n">
        <x:f>E9/1708</x:f>
        <x:v>0.024004683840749413</x:v>
      </x:c>
    </x:row>
    <x:row r="10" ht="23" customHeight="1">
      <x:c r="B10" s="17" t="str">
        <x:v>All projects</x:v>
      </x:c>
      <x:c r="C10" s="17" t="str">
        <x:v>All rounds</x:v>
      </x:c>
      <x:c r="D10" s="17" t="str">
        <x:v>INCONCLUSIVE</x:v>
      </x:c>
      <x:c r="E10" s="17" t="n">
        <x:f>COUNTIF('BugResults'!$D$2:$D$1709,"INCONCLUSIVE")</x:f>
        <x:v>504</x:v>
      </x:c>
      <x:c r="F10" s="33" t="n">
        <x:f>E10/1708</x:f>
        <x:v>0.29508196721311475</x:v>
      </x:c>
    </x:row>
    <x:row r="11" ht="23" customHeight="1">
      <x:c r="B11" s="17" t="str">
        <x:v>All projects</x:v>
      </x:c>
      <x:c r="C11" s="17" t="str">
        <x:v>All rounds</x:v>
      </x:c>
      <x:c r="D11" s="17" t="str">
        <x:v>FAIL</x:v>
      </x:c>
      <x:c r="E11" s="17" t="n">
        <x:f>COUNTIF('BugResults'!$D$2:$D$1709,"FAIL")</x:f>
        <x:v>37</x:v>
      </x:c>
      <x:c r="F11" s="33" t="n">
        <x:f>E11/1708</x:f>
        <x:v>0.021662763466042154</x:v>
      </x:c>
    </x:row>
    <x:row r="12" ht="23" customHeight="1">
      <x:c r="B12" s="17" t="str">
        <x:v>All projects</x:v>
      </x:c>
      <x:c r="C12" s="17" t="str">
        <x:v>Round1</x:v>
      </x:c>
      <x:c r="D12" s="17" t="str">
        <x:v>REVEALING</x:v>
      </x:c>
      <x:c r="E12" s="17" t="n">
        <x:f>COUNTIF('BugResults'!$D$2:$D$855,"REVEALING")</x:f>
        <x:v>1</x:v>
      </x:c>
      <x:c r="F12" s="33" t="n">
        <x:f>E12/854</x:f>
        <x:v>0.00117096018735363</x:v>
      </x:c>
    </x:row>
    <x:row r="13" ht="23" customHeight="1">
      <x:c r="B13" s="17" t="str">
        <x:v>All projects</x:v>
      </x:c>
      <x:c r="C13" s="17" t="str">
        <x:v>Round1</x:v>
      </x:c>
      <x:c r="D13" s="17" t="str">
        <x:v>NOT_REVEALING</x:v>
      </x:c>
      <x:c r="E13" s="17" t="n">
        <x:f>COUNTIF('BugResults'!$D$2:$D$855,"NOT_REVEALING")</x:f>
        <x:v>580</x:v>
      </x:c>
      <x:c r="F13" s="33" t="n">
        <x:f>E13/854</x:f>
        <x:v>0.6791569086651054</x:v>
      </x:c>
    </x:row>
    <x:row r="14" ht="23" customHeight="1">
      <x:c r="B14" s="17" t="str">
        <x:v>All projects</x:v>
      </x:c>
      <x:c r="C14" s="17" t="str">
        <x:v>Round1</x:v>
      </x:c>
      <x:c r="D14" s="17" t="str">
        <x:v>NOT_AVAILABLE</x:v>
      </x:c>
      <x:c r="E14" s="17" t="n">
        <x:f>COUNTIF('BugResults'!$D$2:$D$855,"NOT_AVAILABLE")</x:f>
        <x:v>26</x:v>
      </x:c>
      <x:c r="F14" s="33" t="n">
        <x:f>E14/854</x:f>
        <x:v>0.03044496487119438</x:v>
      </x:c>
    </x:row>
    <x:row r="15" ht="23" customHeight="1">
      <x:c r="B15" s="17" t="str">
        <x:v>All projects</x:v>
      </x:c>
      <x:c r="C15" s="17" t="str">
        <x:v>Round1</x:v>
      </x:c>
      <x:c r="D15" s="17" t="str">
        <x:v>INCONCLUSIVE</x:v>
      </x:c>
      <x:c r="E15" s="17" t="n">
        <x:f>COUNTIF('BugResults'!$D$2:$D$855,"INCONCLUSIVE")</x:f>
        <x:v>240</x:v>
      </x:c>
      <x:c r="F15" s="33" t="n">
        <x:f>E15/854</x:f>
        <x:v>0.2810304449648712</x:v>
      </x:c>
    </x:row>
    <x:row r="16" ht="23" customHeight="1">
      <x:c r="B16" s="17" t="str">
        <x:v>All projects</x:v>
      </x:c>
      <x:c r="C16" s="17" t="str">
        <x:v>Round1</x:v>
      </x:c>
      <x:c r="D16" s="17" t="str">
        <x:v>FAIL</x:v>
      </x:c>
      <x:c r="E16" s="17" t="n">
        <x:f>COUNTIF('BugResults'!$D$2:$D$855,"FAIL")</x:f>
        <x:v>7</x:v>
      </x:c>
      <x:c r="F16" s="33" t="n">
        <x:f>E16/854</x:f>
        <x:v>0.00819672131147541</x:v>
      </x:c>
    </x:row>
    <x:row r="17" ht="23" customHeight="1">
      <x:c r="B17" s="17" t="str">
        <x:v>All projects</x:v>
      </x:c>
      <x:c r="C17" s="17" t="str">
        <x:v>Round2</x:v>
      </x:c>
      <x:c r="D17" s="17" t="str">
        <x:v>REVEALING</x:v>
      </x:c>
      <x:c r="E17" s="17" t="n">
        <x:f>COUNTIF('BugResults'!$D$856:$D$1709,"REVEALING")</x:f>
        <x:v>1</x:v>
      </x:c>
      <x:c r="F17" s="33" t="n">
        <x:f>E17/854</x:f>
        <x:v>0.00117096018735363</x:v>
      </x:c>
    </x:row>
    <x:row r="18" ht="23" customHeight="1">
      <x:c r="B18" s="17" t="str">
        <x:v>All projects</x:v>
      </x:c>
      <x:c r="C18" s="17" t="str">
        <x:v>Round2</x:v>
      </x:c>
      <x:c r="D18" s="17" t="str">
        <x:v>NOT_REVEALING</x:v>
      </x:c>
      <x:c r="E18" s="17" t="n">
        <x:f>COUNTIF('BugResults'!$D$856:$D$1709,"NOT_REVEALING")</x:f>
        <x:v>544</x:v>
      </x:c>
      <x:c r="F18" s="33" t="n">
        <x:f>E18/854</x:f>
        <x:v>0.6370023419203747</x:v>
      </x:c>
    </x:row>
    <x:row r="19" ht="23" customHeight="1">
      <x:c r="B19" s="17" t="str">
        <x:v>All projects</x:v>
      </x:c>
      <x:c r="C19" s="17" t="str">
        <x:v>Round2</x:v>
      </x:c>
      <x:c r="D19" s="17" t="str">
        <x:v>NOT_AVAILABLE</x:v>
      </x:c>
      <x:c r="E19" s="17" t="n">
        <x:f>COUNTIF('BugResults'!$D$856:$D$1709,"NOT_AVAILABLE")</x:f>
        <x:v>15</x:v>
      </x:c>
      <x:c r="F19" s="33" t="n">
        <x:f>E19/854</x:f>
        <x:v>0.01756440281030445</x:v>
      </x:c>
    </x:row>
    <x:row r="20" ht="23" customHeight="1">
      <x:c r="B20" s="17" t="str">
        <x:v>All projects</x:v>
      </x:c>
      <x:c r="C20" s="17" t="str">
        <x:v>Round2</x:v>
      </x:c>
      <x:c r="D20" s="17" t="str">
        <x:v>INCONCLUSIVE</x:v>
      </x:c>
      <x:c r="E20" s="17" t="n">
        <x:f>COUNTIF('BugResults'!$D$856:$D$1709,"INCONCLUSIVE")</x:f>
        <x:v>264</x:v>
      </x:c>
      <x:c r="F20" s="33" t="n">
        <x:f>E20/854</x:f>
        <x:v>0.3091334894613583</x:v>
      </x:c>
    </x:row>
    <x:row r="21" ht="23" customHeight="1">
      <x:c r="B21" s="17" t="str">
        <x:v>All projects</x:v>
      </x:c>
      <x:c r="C21" s="17" t="str">
        <x:v>Round2</x:v>
      </x:c>
      <x:c r="D21" s="17" t="str">
        <x:v>FAIL</x:v>
      </x:c>
      <x:c r="E21" s="17" t="n">
        <x:f>COUNTIF('BugResults'!$D$856:$D$1709,"FAIL")</x:f>
        <x:v>30</x:v>
      </x:c>
      <x:c r="F21" s="33" t="n">
        <x:f>E21/854</x:f>
        <x:v>0.0351288056206089</x:v>
      </x:c>
    </x:row>
    <x:row r="22" ht="23" customHeight="1">
      <x:c r="B22" s="17" t="str">
        <x:v>Chart</x:v>
      </x:c>
      <x:c r="C22" s="17" t="str">
        <x:v>All rounds</x:v>
      </x:c>
      <x:c r="D22" s="17" t="str">
        <x:v>REVEALING</x:v>
      </x:c>
      <x:c r="E22" s="17" t="n">
        <x:f>COUNTIF('BugResults'!$D$2:$D$27,"REVEALING")+COUNTIF('BugResults'!$D$856:$D$881,"REVEALING")</x:f>
        <x:v>0</x:v>
      </x:c>
      <x:c r="F22" s="33" t="n">
        <x:f>E22/52</x:f>
        <x:v>0</x:v>
      </x:c>
    </x:row>
    <x:row r="23" ht="23" customHeight="1">
      <x:c r="B23" s="17" t="str">
        <x:v>Chart</x:v>
      </x:c>
      <x:c r="C23" s="17" t="str">
        <x:v>All rounds</x:v>
      </x:c>
      <x:c r="D23" s="17" t="str">
        <x:v>NOT_REVEALING</x:v>
      </x:c>
      <x:c r="E23" s="17" t="n">
        <x:f>COUNTIF('BugResults'!$D$2:$D$27,"NOT_REVEALING")+COUNTIF('BugResults'!$D$856:$D$881,"NOT_REVEALING")</x:f>
        <x:v>8</x:v>
      </x:c>
      <x:c r="F23" s="33" t="n">
        <x:f>E23/52</x:f>
        <x:v>0.15384615384615385</x:v>
      </x:c>
    </x:row>
    <x:row r="24" ht="23" customHeight="1">
      <x:c r="B24" s="17" t="str">
        <x:v>Chart</x:v>
      </x:c>
      <x:c r="C24" s="17" t="str">
        <x:v>All rounds</x:v>
      </x:c>
      <x:c r="D24" s="17" t="str">
        <x:v>NOT_AVAILABLE</x:v>
      </x:c>
      <x:c r="E24" s="17" t="n">
        <x:f>COUNTIF('BugResults'!$D$2:$D$27,"NOT_AVAILABLE")+COUNTIF('BugResults'!$D$856:$D$881,"NOT_AVAILABLE")</x:f>
        <x:v>0</x:v>
      </x:c>
      <x:c r="F24" s="33" t="n">
        <x:f>E24/52</x:f>
        <x:v>0</x:v>
      </x:c>
    </x:row>
    <x:row r="25" ht="23" customHeight="1">
      <x:c r="B25" s="17" t="str">
        <x:v>Chart</x:v>
      </x:c>
      <x:c r="C25" s="17" t="str">
        <x:v>All rounds</x:v>
      </x:c>
      <x:c r="D25" s="17" t="str">
        <x:v>INCONCLUSIVE</x:v>
      </x:c>
      <x:c r="E25" s="17" t="n">
        <x:f>COUNTIF('BugResults'!$D$2:$D$27,"INCONCLUSIVE")+COUNTIF('BugResults'!$D$856:$D$881,"INCONCLUSIVE")</x:f>
        <x:v>43</x:v>
      </x:c>
      <x:c r="F25" s="33" t="n">
        <x:f>E25/52</x:f>
        <x:v>0.8269230769230769</x:v>
      </x:c>
    </x:row>
    <x:row r="26" ht="23" customHeight="1">
      <x:c r="B26" s="17" t="str">
        <x:v>Chart</x:v>
      </x:c>
      <x:c r="C26" s="17" t="str">
        <x:v>All rounds</x:v>
      </x:c>
      <x:c r="D26" s="17" t="str">
        <x:v>FAIL</x:v>
      </x:c>
      <x:c r="E26" s="17" t="n">
        <x:f>COUNTIF('BugResults'!$D$2:$D$27,"FAIL")+COUNTIF('BugResults'!$D$856:$D$881,"FAIL")</x:f>
        <x:v>1</x:v>
      </x:c>
      <x:c r="F26" s="33" t="n">
        <x:f>E26/52</x:f>
        <x:v>0.019230769230769232</x:v>
      </x:c>
    </x:row>
    <x:row r="27" ht="23" customHeight="1">
      <x:c r="B27" s="17" t="str">
        <x:v>Chart</x:v>
      </x:c>
      <x:c r="C27" s="17" t="str">
        <x:v>Round1</x:v>
      </x:c>
      <x:c r="D27" s="17" t="str">
        <x:v>REVEALING</x:v>
      </x:c>
      <x:c r="E27" s="17" t="n">
        <x:f>COUNTIF('BugResults'!$D$2:$D$27,"REVEALING")</x:f>
        <x:v>0</x:v>
      </x:c>
      <x:c r="F27" s="33" t="n">
        <x:f>E27/26</x:f>
        <x:v>0</x:v>
      </x:c>
    </x:row>
    <x:row r="28" ht="23" customHeight="1">
      <x:c r="B28" s="17" t="str">
        <x:v>Chart</x:v>
      </x:c>
      <x:c r="C28" s="17" t="str">
        <x:v>Round1</x:v>
      </x:c>
      <x:c r="D28" s="17" t="str">
        <x:v>NOT_REVEALING</x:v>
      </x:c>
      <x:c r="E28" s="17" t="n">
        <x:f>COUNTIF('BugResults'!$D$2:$D$27,"NOT_REVEALING")</x:f>
        <x:v>4</x:v>
      </x:c>
      <x:c r="F28" s="33" t="n">
        <x:f>E28/26</x:f>
        <x:v>0.15384615384615385</x:v>
      </x:c>
    </x:row>
    <x:row r="29" ht="23" customHeight="1">
      <x:c r="B29" s="17" t="str">
        <x:v>Chart</x:v>
      </x:c>
      <x:c r="C29" s="17" t="str">
        <x:v>Round1</x:v>
      </x:c>
      <x:c r="D29" s="17" t="str">
        <x:v>NOT_AVAILABLE</x:v>
      </x:c>
      <x:c r="E29" s="17" t="n">
        <x:f>COUNTIF('BugResults'!$D$2:$D$27,"NOT_AVAILABLE")</x:f>
        <x:v>0</x:v>
      </x:c>
      <x:c r="F29" s="33" t="n">
        <x:f>E29/26</x:f>
        <x:v>0</x:v>
      </x:c>
    </x:row>
    <x:row r="30" ht="23" customHeight="1">
      <x:c r="B30" s="17" t="str">
        <x:v>Chart</x:v>
      </x:c>
      <x:c r="C30" s="17" t="str">
        <x:v>Round1</x:v>
      </x:c>
      <x:c r="D30" s="17" t="str">
        <x:v>INCONCLUSIVE</x:v>
      </x:c>
      <x:c r="E30" s="17" t="n">
        <x:f>COUNTIF('BugResults'!$D$2:$D$27,"INCONCLUSIVE")</x:f>
        <x:v>22</x:v>
      </x:c>
      <x:c r="F30" s="33" t="n">
        <x:f>E30/26</x:f>
        <x:v>0.8461538461538461</x:v>
      </x:c>
    </x:row>
    <x:row r="31" ht="23" customHeight="1">
      <x:c r="B31" s="17" t="str">
        <x:v>Chart</x:v>
      </x:c>
      <x:c r="C31" s="17" t="str">
        <x:v>Round1</x:v>
      </x:c>
      <x:c r="D31" s="17" t="str">
        <x:v>FAIL</x:v>
      </x:c>
      <x:c r="E31" s="17" t="n">
        <x:f>COUNTIF('BugResults'!$D$2:$D$27,"FAIL")</x:f>
        <x:v>0</x:v>
      </x:c>
      <x:c r="F31" s="33" t="n">
        <x:f>E31/26</x:f>
        <x:v>0</x:v>
      </x:c>
    </x:row>
    <x:row r="32" ht="23" customHeight="1">
      <x:c r="B32" s="17" t="str">
        <x:v>Chart</x:v>
      </x:c>
      <x:c r="C32" s="17" t="str">
        <x:v>Round2</x:v>
      </x:c>
      <x:c r="D32" s="17" t="str">
        <x:v>REVEALING</x:v>
      </x:c>
      <x:c r="E32" s="17" t="n">
        <x:f>COUNTIF('BugResults'!$D$856:$D$881,"REVEALING")</x:f>
        <x:v>0</x:v>
      </x:c>
      <x:c r="F32" s="33" t="n">
        <x:f>E32/26</x:f>
        <x:v>0</x:v>
      </x:c>
    </x:row>
    <x:row r="33" ht="23" customHeight="1">
      <x:c r="B33" s="17" t="str">
        <x:v>Chart</x:v>
      </x:c>
      <x:c r="C33" s="17" t="str">
        <x:v>Round2</x:v>
      </x:c>
      <x:c r="D33" s="17" t="str">
        <x:v>NOT_REVEALING</x:v>
      </x:c>
      <x:c r="E33" s="17" t="n">
        <x:f>COUNTIF('BugResults'!$D$856:$D$881,"NOT_REVEALING")</x:f>
        <x:v>4</x:v>
      </x:c>
      <x:c r="F33" s="33" t="n">
        <x:f>E33/26</x:f>
        <x:v>0.15384615384615385</x:v>
      </x:c>
    </x:row>
    <x:row r="34" ht="23" customHeight="1">
      <x:c r="B34" s="17" t="str">
        <x:v>Chart</x:v>
      </x:c>
      <x:c r="C34" s="17" t="str">
        <x:v>Round2</x:v>
      </x:c>
      <x:c r="D34" s="17" t="str">
        <x:v>NOT_AVAILABLE</x:v>
      </x:c>
      <x:c r="E34" s="17" t="n">
        <x:f>COUNTIF('BugResults'!$D$856:$D$881,"NOT_AVAILABLE")</x:f>
        <x:v>0</x:v>
      </x:c>
      <x:c r="F34" s="33" t="n">
        <x:f>E34/26</x:f>
        <x:v>0</x:v>
      </x:c>
    </x:row>
    <x:row r="35" ht="23" customHeight="1">
      <x:c r="B35" s="17" t="str">
        <x:v>Chart</x:v>
      </x:c>
      <x:c r="C35" s="17" t="str">
        <x:v>Round2</x:v>
      </x:c>
      <x:c r="D35" s="17" t="str">
        <x:v>INCONCLUSIVE</x:v>
      </x:c>
      <x:c r="E35" s="17" t="n">
        <x:f>COUNTIF('BugResults'!$D$856:$D$881,"INCONCLUSIVE")</x:f>
        <x:v>21</x:v>
      </x:c>
      <x:c r="F35" s="33" t="n">
        <x:f>E35/26</x:f>
        <x:v>0.8076923076923077</x:v>
      </x:c>
    </x:row>
    <x:row r="36" ht="23" customHeight="1">
      <x:c r="B36" s="17" t="str">
        <x:v>Chart</x:v>
      </x:c>
      <x:c r="C36" s="17" t="str">
        <x:v>Round2</x:v>
      </x:c>
      <x:c r="D36" s="17" t="str">
        <x:v>FAIL</x:v>
      </x:c>
      <x:c r="E36" s="17" t="n">
        <x:f>COUNTIF('BugResults'!$D$856:$D$881,"FAIL")</x:f>
        <x:v>1</x:v>
      </x:c>
      <x:c r="F36" s="33" t="n">
        <x:f>E36/26</x:f>
        <x:v>0.038461538461538464</x:v>
      </x:c>
    </x:row>
    <x:row r="37" ht="23" customHeight="1">
      <x:c r="B37" s="17" t="str">
        <x:v>Cli</x:v>
      </x:c>
      <x:c r="C37" s="17" t="str">
        <x:v>All rounds</x:v>
      </x:c>
      <x:c r="D37" s="17" t="str">
        <x:v>REVEALING</x:v>
      </x:c>
      <x:c r="E37" s="17" t="n">
        <x:f>COUNTIF('BugResults'!$D$28:$D$66,"REVEALING")+COUNTIF('BugResults'!$D$882:$D$920,"REVEALING")</x:f>
        <x:v>0</x:v>
      </x:c>
      <x:c r="F37" s="33" t="n">
        <x:f>E37/78</x:f>
        <x:v>0</x:v>
      </x:c>
    </x:row>
    <x:row r="38" ht="23" customHeight="1">
      <x:c r="B38" s="17" t="str">
        <x:v>Cli</x:v>
      </x:c>
      <x:c r="C38" s="17" t="str">
        <x:v>All rounds</x:v>
      </x:c>
      <x:c r="D38" s="17" t="str">
        <x:v>NOT_REVEALING</x:v>
      </x:c>
      <x:c r="E38" s="17" t="n">
        <x:f>COUNTIF('BugResults'!$D$28:$D$66,"NOT_REVEALING")+COUNTIF('BugResults'!$D$882:$D$920,"NOT_REVEALING")</x:f>
        <x:v>6</x:v>
      </x:c>
      <x:c r="F38" s="33" t="n">
        <x:f>E38/78</x:f>
        <x:v>0.07692307692307693</x:v>
      </x:c>
    </x:row>
    <x:row r="39" ht="23" customHeight="1">
      <x:c r="B39" s="17" t="str">
        <x:v>Cli</x:v>
      </x:c>
      <x:c r="C39" s="17" t="str">
        <x:v>All rounds</x:v>
      </x:c>
      <x:c r="D39" s="17" t="str">
        <x:v>NOT_AVAILABLE</x:v>
      </x:c>
      <x:c r="E39" s="17" t="n">
        <x:f>COUNTIF('BugResults'!$D$28:$D$66,"NOT_AVAILABLE")+COUNTIF('BugResults'!$D$882:$D$920,"NOT_AVAILABLE")</x:f>
        <x:v>0</x:v>
      </x:c>
      <x:c r="F39" s="33" t="n">
        <x:f>E39/78</x:f>
        <x:v>0</x:v>
      </x:c>
    </x:row>
    <x:row r="40" ht="23" customHeight="1">
      <x:c r="B40" s="17" t="str">
        <x:v>Cli</x:v>
      </x:c>
      <x:c r="C40" s="17" t="str">
        <x:v>All rounds</x:v>
      </x:c>
      <x:c r="D40" s="17" t="str">
        <x:v>INCONCLUSIVE</x:v>
      </x:c>
      <x:c r="E40" s="17" t="n">
        <x:f>COUNTIF('BugResults'!$D$28:$D$66,"INCONCLUSIVE")+COUNTIF('BugResults'!$D$882:$D$920,"INCONCLUSIVE")</x:f>
        <x:v>71</x:v>
      </x:c>
      <x:c r="F40" s="33" t="n">
        <x:f>E40/78</x:f>
        <x:v>0.9102564102564102</x:v>
      </x:c>
    </x:row>
    <x:row r="41" ht="23" customHeight="1">
      <x:c r="B41" s="17" t="str">
        <x:v>Cli</x:v>
      </x:c>
      <x:c r="C41" s="17" t="str">
        <x:v>All rounds</x:v>
      </x:c>
      <x:c r="D41" s="17" t="str">
        <x:v>FAIL</x:v>
      </x:c>
      <x:c r="E41" s="17" t="n">
        <x:f>COUNTIF('BugResults'!$D$28:$D$66,"FAIL")+COUNTIF('BugResults'!$D$882:$D$920,"FAIL")</x:f>
        <x:v>1</x:v>
      </x:c>
      <x:c r="F41" s="33" t="n">
        <x:f>E41/78</x:f>
        <x:v>0.01282051282051282</x:v>
      </x:c>
    </x:row>
    <x:row r="42" ht="23" customHeight="1">
      <x:c r="B42" s="17" t="str">
        <x:v>Cli</x:v>
      </x:c>
      <x:c r="C42" s="17" t="str">
        <x:v>Round1</x:v>
      </x:c>
      <x:c r="D42" s="17" t="str">
        <x:v>REVEALING</x:v>
      </x:c>
      <x:c r="E42" s="17" t="n">
        <x:f>COUNTIF('BugResults'!$D$28:$D$66,"REVEALING")</x:f>
        <x:v>0</x:v>
      </x:c>
      <x:c r="F42" s="33" t="n">
        <x:f>E42/39</x:f>
        <x:v>0</x:v>
      </x:c>
    </x:row>
    <x:row r="43" ht="23" customHeight="1">
      <x:c r="B43" s="17" t="str">
        <x:v>Cli</x:v>
      </x:c>
      <x:c r="C43" s="17" t="str">
        <x:v>Round1</x:v>
      </x:c>
      <x:c r="D43" s="17" t="str">
        <x:v>NOT_REVEALING</x:v>
      </x:c>
      <x:c r="E43" s="17" t="n">
        <x:f>COUNTIF('BugResults'!$D$28:$D$66,"NOT_REVEALING")</x:f>
        <x:v>3</x:v>
      </x:c>
      <x:c r="F43" s="33" t="n">
        <x:f>E43/39</x:f>
        <x:v>0.07692307692307693</x:v>
      </x:c>
    </x:row>
    <x:row r="44" ht="23" customHeight="1">
      <x:c r="B44" s="17" t="str">
        <x:v>Cli</x:v>
      </x:c>
      <x:c r="C44" s="17" t="str">
        <x:v>Round1</x:v>
      </x:c>
      <x:c r="D44" s="17" t="str">
        <x:v>NOT_AVAILABLE</x:v>
      </x:c>
      <x:c r="E44" s="17" t="n">
        <x:f>COUNTIF('BugResults'!$D$28:$D$66,"NOT_AVAILABLE")</x:f>
        <x:v>0</x:v>
      </x:c>
      <x:c r="F44" s="33" t="n">
        <x:f>E44/39</x:f>
        <x:v>0</x:v>
      </x:c>
    </x:row>
    <x:row r="45" ht="23" customHeight="1">
      <x:c r="B45" s="17" t="str">
        <x:v>Cli</x:v>
      </x:c>
      <x:c r="C45" s="17" t="str">
        <x:v>Round1</x:v>
      </x:c>
      <x:c r="D45" s="17" t="str">
        <x:v>INCONCLUSIVE</x:v>
      </x:c>
      <x:c r="E45" s="17" t="n">
        <x:f>COUNTIF('BugResults'!$D$28:$D$66,"INCONCLUSIVE")</x:f>
        <x:v>36</x:v>
      </x:c>
      <x:c r="F45" s="33" t="n">
        <x:f>E45/39</x:f>
        <x:v>0.9230769230769231</x:v>
      </x:c>
    </x:row>
    <x:row r="46" ht="23" customHeight="1">
      <x:c r="B46" s="17" t="str">
        <x:v>Cli</x:v>
      </x:c>
      <x:c r="C46" s="17" t="str">
        <x:v>Round1</x:v>
      </x:c>
      <x:c r="D46" s="17" t="str">
        <x:v>FAIL</x:v>
      </x:c>
      <x:c r="E46" s="17" t="n">
        <x:f>COUNTIF('BugResults'!$D$28:$D$66,"FAIL")</x:f>
        <x:v>0</x:v>
      </x:c>
      <x:c r="F46" s="33" t="n">
        <x:f>E46/39</x:f>
        <x:v>0</x:v>
      </x:c>
    </x:row>
    <x:row r="47" ht="23" customHeight="1">
      <x:c r="B47" s="17" t="str">
        <x:v>Cli</x:v>
      </x:c>
      <x:c r="C47" s="17" t="str">
        <x:v>Round2</x:v>
      </x:c>
      <x:c r="D47" s="17" t="str">
        <x:v>REVEALING</x:v>
      </x:c>
      <x:c r="E47" s="17" t="n">
        <x:f>COUNTIF('BugResults'!$D$882:$D$920,"REVEALING")</x:f>
        <x:v>0</x:v>
      </x:c>
      <x:c r="F47" s="33" t="n">
        <x:f>E47/39</x:f>
        <x:v>0</x:v>
      </x:c>
    </x:row>
    <x:row r="48" ht="23" customHeight="1">
      <x:c r="B48" s="17" t="str">
        <x:v>Cli</x:v>
      </x:c>
      <x:c r="C48" s="17" t="str">
        <x:v>Round2</x:v>
      </x:c>
      <x:c r="D48" s="17" t="str">
        <x:v>NOT_REVEALING</x:v>
      </x:c>
      <x:c r="E48" s="17" t="n">
        <x:f>COUNTIF('BugResults'!$D$882:$D$920,"NOT_REVEALING")</x:f>
        <x:v>3</x:v>
      </x:c>
      <x:c r="F48" s="33" t="n">
        <x:f>E48/39</x:f>
        <x:v>0.07692307692307693</x:v>
      </x:c>
    </x:row>
    <x:row r="49" ht="23" customHeight="1">
      <x:c r="B49" s="17" t="str">
        <x:v>Cli</x:v>
      </x:c>
      <x:c r="C49" s="17" t="str">
        <x:v>Round2</x:v>
      </x:c>
      <x:c r="D49" s="17" t="str">
        <x:v>NOT_AVAILABLE</x:v>
      </x:c>
      <x:c r="E49" s="17" t="n">
        <x:f>COUNTIF('BugResults'!$D$882:$D$920,"NOT_AVAILABLE")</x:f>
        <x:v>0</x:v>
      </x:c>
      <x:c r="F49" s="33" t="n">
        <x:f>E49/39</x:f>
        <x:v>0</x:v>
      </x:c>
    </x:row>
    <x:row r="50" ht="23" customHeight="1">
      <x:c r="B50" s="17" t="str">
        <x:v>Cli</x:v>
      </x:c>
      <x:c r="C50" s="17" t="str">
        <x:v>Round2</x:v>
      </x:c>
      <x:c r="D50" s="17" t="str">
        <x:v>INCONCLUSIVE</x:v>
      </x:c>
      <x:c r="E50" s="17" t="n">
        <x:f>COUNTIF('BugResults'!$D$882:$D$920,"INCONCLUSIVE")</x:f>
        <x:v>35</x:v>
      </x:c>
      <x:c r="F50" s="33" t="n">
        <x:f>E50/39</x:f>
        <x:v>0.8974358974358975</x:v>
      </x:c>
    </x:row>
    <x:row r="51" ht="23" customHeight="1">
      <x:c r="B51" s="17" t="str">
        <x:v>Cli</x:v>
      </x:c>
      <x:c r="C51" s="17" t="str">
        <x:v>Round2</x:v>
      </x:c>
      <x:c r="D51" s="17" t="str">
        <x:v>FAIL</x:v>
      </x:c>
      <x:c r="E51" s="17" t="n">
        <x:f>COUNTIF('BugResults'!$D$882:$D$920,"FAIL")</x:f>
        <x:v>1</x:v>
      </x:c>
      <x:c r="F51" s="33" t="n">
        <x:f>E51/39</x:f>
        <x:v>0.02564102564102564</x:v>
      </x:c>
    </x:row>
    <x:row r="52" ht="23" customHeight="1">
      <x:c r="B52" s="17" t="str">
        <x:v>Closure</x:v>
      </x:c>
      <x:c r="C52" s="17" t="str">
        <x:v>All rounds</x:v>
      </x:c>
      <x:c r="D52" s="17" t="str">
        <x:v>REVEALING</x:v>
      </x:c>
      <x:c r="E52" s="17" t="n">
        <x:f>COUNTIF('BugResults'!$D$67:$D$240,"REVEALING")+COUNTIF('BugResults'!$D$921:$D$1094,"REVEALING")</x:f>
        <x:v>0</x:v>
      </x:c>
      <x:c r="F52" s="33" t="n">
        <x:f>E52/348</x:f>
        <x:v>0</x:v>
      </x:c>
    </x:row>
    <x:row r="53" ht="23" customHeight="1">
      <x:c r="B53" s="17" t="str">
        <x:v>Closure</x:v>
      </x:c>
      <x:c r="C53" s="17" t="str">
        <x:v>All rounds</x:v>
      </x:c>
      <x:c r="D53" s="17" t="str">
        <x:v>NOT_REVEALING</x:v>
      </x:c>
      <x:c r="E53" s="17" t="n">
        <x:f>COUNTIF('BugResults'!$D$67:$D$240,"NOT_REVEALING")+COUNTIF('BugResults'!$D$921:$D$1094,"NOT_REVEALING")</x:f>
        <x:v>294</x:v>
      </x:c>
      <x:c r="F53" s="33" t="n">
        <x:f>E53/348</x:f>
        <x:v>0.8448275862068966</x:v>
      </x:c>
    </x:row>
    <x:row r="54" ht="23" customHeight="1">
      <x:c r="B54" s="17" t="str">
        <x:v>Closure</x:v>
      </x:c>
      <x:c r="C54" s="17" t="str">
        <x:v>All rounds</x:v>
      </x:c>
      <x:c r="D54" s="17" t="str">
        <x:v>NOT_AVAILABLE</x:v>
      </x:c>
      <x:c r="E54" s="17" t="n">
        <x:f>COUNTIF('BugResults'!$D$67:$D$240,"NOT_AVAILABLE")+COUNTIF('BugResults'!$D$921:$D$1094,"NOT_AVAILABLE")</x:f>
        <x:v>6</x:v>
      </x:c>
      <x:c r="F54" s="33" t="n">
        <x:f>E54/348</x:f>
        <x:v>0.017241379310344827</x:v>
      </x:c>
    </x:row>
    <x:row r="55" ht="23" customHeight="1">
      <x:c r="B55" s="17" t="str">
        <x:v>Closure</x:v>
      </x:c>
      <x:c r="C55" s="17" t="str">
        <x:v>All rounds</x:v>
      </x:c>
      <x:c r="D55" s="17" t="str">
        <x:v>INCONCLUSIVE</x:v>
      </x:c>
      <x:c r="E55" s="17" t="n">
        <x:f>COUNTIF('BugResults'!$D$67:$D$240,"INCONCLUSIVE")+COUNTIF('BugResults'!$D$921:$D$1094,"INCONCLUSIVE")</x:f>
        <x:v>42</x:v>
      </x:c>
      <x:c r="F55" s="33" t="n">
        <x:f>E55/348</x:f>
        <x:v>0.1206896551724138</x:v>
      </x:c>
    </x:row>
    <x:row r="56" ht="23" customHeight="1">
      <x:c r="B56" s="17" t="str">
        <x:v>Closure</x:v>
      </x:c>
      <x:c r="C56" s="17" t="str">
        <x:v>All rounds</x:v>
      </x:c>
      <x:c r="D56" s="17" t="str">
        <x:v>FAIL</x:v>
      </x:c>
      <x:c r="E56" s="17" t="n">
        <x:f>COUNTIF('BugResults'!$D$67:$D$240,"FAIL")+COUNTIF('BugResults'!$D$921:$D$1094,"FAIL")</x:f>
        <x:v>6</x:v>
      </x:c>
      <x:c r="F56" s="33" t="n">
        <x:f>E56/348</x:f>
        <x:v>0.017241379310344827</x:v>
      </x:c>
    </x:row>
    <x:row r="57" ht="23" customHeight="1">
      <x:c r="B57" s="17" t="str">
        <x:v>Closure</x:v>
      </x:c>
      <x:c r="C57" s="17" t="str">
        <x:v>Round1</x:v>
      </x:c>
      <x:c r="D57" s="17" t="str">
        <x:v>REVEALING</x:v>
      </x:c>
      <x:c r="E57" s="17" t="n">
        <x:f>COUNTIF('BugResults'!$D$67:$D$240,"REVEALING")</x:f>
        <x:v>0</x:v>
      </x:c>
      <x:c r="F57" s="33" t="n">
        <x:f>E57/174</x:f>
        <x:v>0</x:v>
      </x:c>
    </x:row>
    <x:row r="58" ht="23" customHeight="1">
      <x:c r="B58" s="17" t="str">
        <x:v>Closure</x:v>
      </x:c>
      <x:c r="C58" s="17" t="str">
        <x:v>Round1</x:v>
      </x:c>
      <x:c r="D58" s="17" t="str">
        <x:v>NOT_REVEALING</x:v>
      </x:c>
      <x:c r="E58" s="17" t="n">
        <x:f>COUNTIF('BugResults'!$D$67:$D$240,"NOT_REVEALING")</x:f>
        <x:v>148</x:v>
      </x:c>
      <x:c r="F58" s="33" t="n">
        <x:f>E58/174</x:f>
        <x:v>0.8505747126436781</x:v>
      </x:c>
    </x:row>
    <x:row r="59" ht="23" customHeight="1">
      <x:c r="B59" s="17" t="str">
        <x:v>Closure</x:v>
      </x:c>
      <x:c r="C59" s="17" t="str">
        <x:v>Round1</x:v>
      </x:c>
      <x:c r="D59" s="17" t="str">
        <x:v>NOT_AVAILABLE</x:v>
      </x:c>
      <x:c r="E59" s="17" t="n">
        <x:f>COUNTIF('BugResults'!$D$67:$D$240,"NOT_AVAILABLE")</x:f>
        <x:v>3</x:v>
      </x:c>
      <x:c r="F59" s="33" t="n">
        <x:f>E59/174</x:f>
        <x:v>0.017241379310344827</x:v>
      </x:c>
    </x:row>
    <x:row r="60" ht="23" customHeight="1">
      <x:c r="B60" s="17" t="str">
        <x:v>Closure</x:v>
      </x:c>
      <x:c r="C60" s="17" t="str">
        <x:v>Round1</x:v>
      </x:c>
      <x:c r="D60" s="17" t="str">
        <x:v>INCONCLUSIVE</x:v>
      </x:c>
      <x:c r="E60" s="17" t="n">
        <x:f>COUNTIF('BugResults'!$D$67:$D$240,"INCONCLUSIVE")</x:f>
        <x:v>23</x:v>
      </x:c>
      <x:c r="F60" s="33" t="n">
        <x:f>E60/174</x:f>
        <x:v>0.13218390804597702</x:v>
      </x:c>
    </x:row>
    <x:row r="61" ht="23" customHeight="1">
      <x:c r="B61" s="17" t="str">
        <x:v>Closure</x:v>
      </x:c>
      <x:c r="C61" s="17" t="str">
        <x:v>Round1</x:v>
      </x:c>
      <x:c r="D61" s="17" t="str">
        <x:v>FAIL</x:v>
      </x:c>
      <x:c r="E61" s="17" t="n">
        <x:f>COUNTIF('BugResults'!$D$67:$D$240,"FAIL")</x:f>
        <x:v>0</x:v>
      </x:c>
      <x:c r="F61" s="33" t="n">
        <x:f>E61/174</x:f>
        <x:v>0</x:v>
      </x:c>
    </x:row>
    <x:row r="62" ht="23" customHeight="1">
      <x:c r="B62" s="17" t="str">
        <x:v>Closure</x:v>
      </x:c>
      <x:c r="C62" s="17" t="str">
        <x:v>Round2</x:v>
      </x:c>
      <x:c r="D62" s="17" t="str">
        <x:v>REVEALING</x:v>
      </x:c>
      <x:c r="E62" s="17" t="n">
        <x:f>COUNTIF('BugResults'!$D$921:$D$1094,"REVEALING")</x:f>
        <x:v>0</x:v>
      </x:c>
      <x:c r="F62" s="33" t="n">
        <x:f>E62/174</x:f>
        <x:v>0</x:v>
      </x:c>
    </x:row>
    <x:row r="63" ht="23" customHeight="1">
      <x:c r="B63" s="17" t="str">
        <x:v>Closure</x:v>
      </x:c>
      <x:c r="C63" s="17" t="str">
        <x:v>Round2</x:v>
      </x:c>
      <x:c r="D63" s="17" t="str">
        <x:v>NOT_REVEALING</x:v>
      </x:c>
      <x:c r="E63" s="17" t="n">
        <x:f>COUNTIF('BugResults'!$D$921:$D$1094,"NOT_REVEALING")</x:f>
        <x:v>146</x:v>
      </x:c>
      <x:c r="F63" s="33" t="n">
        <x:f>E63/174</x:f>
        <x:v>0.8390804597701149</x:v>
      </x:c>
    </x:row>
    <x:row r="64" ht="23" customHeight="1">
      <x:c r="B64" s="17" t="str">
        <x:v>Closure</x:v>
      </x:c>
      <x:c r="C64" s="17" t="str">
        <x:v>Round2</x:v>
      </x:c>
      <x:c r="D64" s="17" t="str">
        <x:v>NOT_AVAILABLE</x:v>
      </x:c>
      <x:c r="E64" s="17" t="n">
        <x:f>COUNTIF('BugResults'!$D$921:$D$1094,"NOT_AVAILABLE")</x:f>
        <x:v>3</x:v>
      </x:c>
      <x:c r="F64" s="33" t="n">
        <x:f>E64/174</x:f>
        <x:v>0.017241379310344827</x:v>
      </x:c>
    </x:row>
    <x:row r="65" ht="23" customHeight="1">
      <x:c r="B65" s="17" t="str">
        <x:v>Closure</x:v>
      </x:c>
      <x:c r="C65" s="17" t="str">
        <x:v>Round2</x:v>
      </x:c>
      <x:c r="D65" s="17" t="str">
        <x:v>INCONCLUSIVE</x:v>
      </x:c>
      <x:c r="E65" s="17" t="n">
        <x:f>COUNTIF('BugResults'!$D$921:$D$1094,"INCONCLUSIVE")</x:f>
        <x:v>19</x:v>
      </x:c>
      <x:c r="F65" s="33" t="n">
        <x:f>E65/174</x:f>
        <x:v>0.10919540229885058</x:v>
      </x:c>
    </x:row>
    <x:row r="66" ht="23" customHeight="1">
      <x:c r="B66" s="17" t="str">
        <x:v>Closure</x:v>
      </x:c>
      <x:c r="C66" s="17" t="str">
        <x:v>Round2</x:v>
      </x:c>
      <x:c r="D66" s="17" t="str">
        <x:v>FAIL</x:v>
      </x:c>
      <x:c r="E66" s="17" t="n">
        <x:f>COUNTIF('BugResults'!$D$921:$D$1094,"FAIL")</x:f>
        <x:v>6</x:v>
      </x:c>
      <x:c r="F66" s="33" t="n">
        <x:f>E66/174</x:f>
        <x:v>0.034482758620689655</x:v>
      </x:c>
    </x:row>
    <x:row r="67" ht="23" customHeight="1">
      <x:c r="B67" s="17" t="str">
        <x:v>Codec</x:v>
      </x:c>
      <x:c r="C67" s="17" t="str">
        <x:v>All rounds</x:v>
      </x:c>
      <x:c r="D67" s="17" t="str">
        <x:v>REVEALING</x:v>
      </x:c>
      <x:c r="E67" s="17" t="n">
        <x:f>COUNTIF('BugResults'!$D$241:$D$258,"REVEALING")+COUNTIF('BugResults'!$D$1095:$D$1112,"REVEALING")</x:f>
        <x:v>2</x:v>
      </x:c>
      <x:c r="F67" s="33" t="n">
        <x:f>E67/36</x:f>
        <x:v>0.05555555555555555</x:v>
      </x:c>
    </x:row>
    <x:row r="68" ht="23" customHeight="1">
      <x:c r="B68" s="17" t="str">
        <x:v>Codec</x:v>
      </x:c>
      <x:c r="C68" s="17" t="str">
        <x:v>All rounds</x:v>
      </x:c>
      <x:c r="D68" s="17" t="str">
        <x:v>NOT_REVEALING</x:v>
      </x:c>
      <x:c r="E68" s="17" t="n">
        <x:f>COUNTIF('BugResults'!$D$241:$D$258,"NOT_REVEALING")+COUNTIF('BugResults'!$D$1095:$D$1112,"NOT_REVEALING")</x:f>
        <x:v>13</x:v>
      </x:c>
      <x:c r="F68" s="33" t="n">
        <x:f>E68/36</x:f>
        <x:v>0.3611111111111111</x:v>
      </x:c>
    </x:row>
    <x:row r="69" ht="23" customHeight="1">
      <x:c r="B69" s="17" t="str">
        <x:v>Codec</x:v>
      </x:c>
      <x:c r="C69" s="17" t="str">
        <x:v>All rounds</x:v>
      </x:c>
      <x:c r="D69" s="17" t="str">
        <x:v>NOT_AVAILABLE</x:v>
      </x:c>
      <x:c r="E69" s="17" t="n">
        <x:f>COUNTIF('BugResults'!$D$241:$D$258,"NOT_AVAILABLE")+COUNTIF('BugResults'!$D$1095:$D$1112,"NOT_AVAILABLE")</x:f>
        <x:v>2</x:v>
      </x:c>
      <x:c r="F69" s="33" t="n">
        <x:f>E69/36</x:f>
        <x:v>0.05555555555555555</x:v>
      </x:c>
    </x:row>
    <x:row r="70" ht="23" customHeight="1">
      <x:c r="B70" s="17" t="str">
        <x:v>Codec</x:v>
      </x:c>
      <x:c r="C70" s="17" t="str">
        <x:v>All rounds</x:v>
      </x:c>
      <x:c r="D70" s="17" t="str">
        <x:v>INCONCLUSIVE</x:v>
      </x:c>
      <x:c r="E70" s="17" t="n">
        <x:f>COUNTIF('BugResults'!$D$241:$D$258,"INCONCLUSIVE")+COUNTIF('BugResults'!$D$1095:$D$1112,"INCONCLUSIVE")</x:f>
        <x:v>17</x:v>
      </x:c>
      <x:c r="F70" s="33" t="n">
        <x:f>E70/36</x:f>
        <x:v>0.4722222222222222</x:v>
      </x:c>
    </x:row>
    <x:row r="71" ht="23" customHeight="1">
      <x:c r="B71" s="17" t="str">
        <x:v>Codec</x:v>
      </x:c>
      <x:c r="C71" s="17" t="str">
        <x:v>All rounds</x:v>
      </x:c>
      <x:c r="D71" s="17" t="str">
        <x:v>FAIL</x:v>
      </x:c>
      <x:c r="E71" s="17" t="n">
        <x:f>COUNTIF('BugResults'!$D$241:$D$258,"FAIL")+COUNTIF('BugResults'!$D$1095:$D$1112,"FAIL")</x:f>
        <x:v>2</x:v>
      </x:c>
      <x:c r="F71" s="33" t="n">
        <x:f>E71/36</x:f>
        <x:v>0.05555555555555555</x:v>
      </x:c>
    </x:row>
    <x:row r="72" ht="23" customHeight="1">
      <x:c r="B72" s="17" t="str">
        <x:v>Codec</x:v>
      </x:c>
      <x:c r="C72" s="17" t="str">
        <x:v>Round1</x:v>
      </x:c>
      <x:c r="D72" s="17" t="str">
        <x:v>REVEALING</x:v>
      </x:c>
      <x:c r="E72" s="17" t="n">
        <x:f>COUNTIF('BugResults'!$D$241:$D$258,"REVEALING")</x:f>
        <x:v>1</x:v>
      </x:c>
      <x:c r="F72" s="33" t="n">
        <x:f>E72/18</x:f>
        <x:v>0.05555555555555555</x:v>
      </x:c>
    </x:row>
    <x:row r="73" ht="23" customHeight="1">
      <x:c r="B73" s="17" t="str">
        <x:v>Codec</x:v>
      </x:c>
      <x:c r="C73" s="17" t="str">
        <x:v>Round1</x:v>
      </x:c>
      <x:c r="D73" s="17" t="str">
        <x:v>NOT_REVEALING</x:v>
      </x:c>
      <x:c r="E73" s="17" t="n">
        <x:f>COUNTIF('BugResults'!$D$241:$D$258,"NOT_REVEALING")</x:f>
        <x:v>8</x:v>
      </x:c>
      <x:c r="F73" s="33" t="n">
        <x:f>E73/18</x:f>
        <x:v>0.4444444444444444</x:v>
      </x:c>
    </x:row>
    <x:row r="74" ht="23" customHeight="1">
      <x:c r="B74" s="17" t="str">
        <x:v>Codec</x:v>
      </x:c>
      <x:c r="C74" s="17" t="str">
        <x:v>Round1</x:v>
      </x:c>
      <x:c r="D74" s="17" t="str">
        <x:v>NOT_AVAILABLE</x:v>
      </x:c>
      <x:c r="E74" s="17" t="n">
        <x:f>COUNTIF('BugResults'!$D$241:$D$258,"NOT_AVAILABLE")</x:f>
        <x:v>1</x:v>
      </x:c>
      <x:c r="F74" s="33" t="n">
        <x:f>E74/18</x:f>
        <x:v>0.05555555555555555</x:v>
      </x:c>
    </x:row>
    <x:row r="75" ht="23" customHeight="1">
      <x:c r="B75" s="17" t="str">
        <x:v>Codec</x:v>
      </x:c>
      <x:c r="C75" s="17" t="str">
        <x:v>Round1</x:v>
      </x:c>
      <x:c r="D75" s="17" t="str">
        <x:v>INCONCLUSIVE</x:v>
      </x:c>
      <x:c r="E75" s="17" t="n">
        <x:f>COUNTIF('BugResults'!$D$241:$D$258,"INCONCLUSIVE")</x:f>
        <x:v>7</x:v>
      </x:c>
      <x:c r="F75" s="33" t="n">
        <x:f>E75/18</x:f>
        <x:v>0.3888888888888889</x:v>
      </x:c>
    </x:row>
    <x:row r="76" ht="23" customHeight="1">
      <x:c r="B76" s="17" t="str">
        <x:v>Codec</x:v>
      </x:c>
      <x:c r="C76" s="17" t="str">
        <x:v>Round1</x:v>
      </x:c>
      <x:c r="D76" s="17" t="str">
        <x:v>FAIL</x:v>
      </x:c>
      <x:c r="E76" s="17" t="n">
        <x:f>COUNTIF('BugResults'!$D$241:$D$258,"FAIL")</x:f>
        <x:v>1</x:v>
      </x:c>
      <x:c r="F76" s="33" t="n">
        <x:f>E76/18</x:f>
        <x:v>0.05555555555555555</x:v>
      </x:c>
    </x:row>
    <x:row r="77" ht="23" customHeight="1">
      <x:c r="B77" s="17" t="str">
        <x:v>Codec</x:v>
      </x:c>
      <x:c r="C77" s="17" t="str">
        <x:v>Round2</x:v>
      </x:c>
      <x:c r="D77" s="17" t="str">
        <x:v>REVEALING</x:v>
      </x:c>
      <x:c r="E77" s="17" t="n">
        <x:f>COUNTIF('BugResults'!$D$1095:$D$1112,"REVEALING")</x:f>
        <x:v>1</x:v>
      </x:c>
      <x:c r="F77" s="33" t="n">
        <x:f>E77/18</x:f>
        <x:v>0.05555555555555555</x:v>
      </x:c>
    </x:row>
    <x:row r="78" ht="23" customHeight="1">
      <x:c r="B78" s="17" t="str">
        <x:v>Codec</x:v>
      </x:c>
      <x:c r="C78" s="17" t="str">
        <x:v>Round2</x:v>
      </x:c>
      <x:c r="D78" s="17" t="str">
        <x:v>NOT_REVEALING</x:v>
      </x:c>
      <x:c r="E78" s="17" t="n">
        <x:f>COUNTIF('BugResults'!$D$1095:$D$1112,"NOT_REVEALING")</x:f>
        <x:v>5</x:v>
      </x:c>
      <x:c r="F78" s="33" t="n">
        <x:f>E78/18</x:f>
        <x:v>0.2777777777777778</x:v>
      </x:c>
    </x:row>
    <x:row r="79" ht="23" customHeight="1">
      <x:c r="B79" s="17" t="str">
        <x:v>Codec</x:v>
      </x:c>
      <x:c r="C79" s="17" t="str">
        <x:v>Round2</x:v>
      </x:c>
      <x:c r="D79" s="17" t="str">
        <x:v>NOT_AVAILABLE</x:v>
      </x:c>
      <x:c r="E79" s="17" t="n">
        <x:f>COUNTIF('BugResults'!$D$1095:$D$1112,"NOT_AVAILABLE")</x:f>
        <x:v>1</x:v>
      </x:c>
      <x:c r="F79" s="33" t="n">
        <x:f>E79/18</x:f>
        <x:v>0.05555555555555555</x:v>
      </x:c>
    </x:row>
    <x:row r="80" ht="23" customHeight="1">
      <x:c r="B80" s="17" t="str">
        <x:v>Codec</x:v>
      </x:c>
      <x:c r="C80" s="17" t="str">
        <x:v>Round2</x:v>
      </x:c>
      <x:c r="D80" s="17" t="str">
        <x:v>INCONCLUSIVE</x:v>
      </x:c>
      <x:c r="E80" s="17" t="n">
        <x:f>COUNTIF('BugResults'!$D$1095:$D$1112,"INCONCLUSIVE")</x:f>
        <x:v>10</x:v>
      </x:c>
      <x:c r="F80" s="33" t="n">
        <x:f>E80/18</x:f>
        <x:v>0.5555555555555556</x:v>
      </x:c>
    </x:row>
    <x:row r="81" ht="23" customHeight="1">
      <x:c r="B81" s="17" t="str">
        <x:v>Codec</x:v>
      </x:c>
      <x:c r="C81" s="17" t="str">
        <x:v>Round2</x:v>
      </x:c>
      <x:c r="D81" s="17" t="str">
        <x:v>FAIL</x:v>
      </x:c>
      <x:c r="E81" s="17" t="n">
        <x:f>COUNTIF('BugResults'!$D$1095:$D$1112,"FAIL")</x:f>
        <x:v>1</x:v>
      </x:c>
      <x:c r="F81" s="33" t="n">
        <x:f>E81/18</x:f>
        <x:v>0.05555555555555555</x:v>
      </x:c>
    </x:row>
    <x:row r="82" ht="23" customHeight="1">
      <x:c r="B82" s="17" t="str">
        <x:v>Collections</x:v>
      </x:c>
      <x:c r="C82" s="17" t="str">
        <x:v>All rounds</x:v>
      </x:c>
      <x:c r="D82" s="17" t="str">
        <x:v>REVEALING</x:v>
      </x:c>
      <x:c r="E82" s="17" t="n">
        <x:f>COUNTIF('BugResults'!$D$259:$D$286,"REVEALING")+COUNTIF('BugResults'!$D$1113:$D$1140,"REVEALING")</x:f>
        <x:v>0</x:v>
      </x:c>
      <x:c r="F82" s="33" t="n">
        <x:f>E82/56</x:f>
        <x:v>0</x:v>
      </x:c>
    </x:row>
    <x:row r="83" ht="23" customHeight="1">
      <x:c r="B83" s="17" t="str">
        <x:v>Collections</x:v>
      </x:c>
      <x:c r="C83" s="17" t="str">
        <x:v>All rounds</x:v>
      </x:c>
      <x:c r="D83" s="17" t="str">
        <x:v>NOT_REVEALING</x:v>
      </x:c>
      <x:c r="E83" s="17" t="n">
        <x:f>COUNTIF('BugResults'!$D$259:$D$286,"NOT_REVEALING")+COUNTIF('BugResults'!$D$1113:$D$1140,"NOT_REVEALING")</x:f>
        <x:v>40</x:v>
      </x:c>
      <x:c r="F83" s="33" t="n">
        <x:f>E83/56</x:f>
        <x:v>0.7142857142857143</x:v>
      </x:c>
    </x:row>
    <x:row r="84" ht="23" customHeight="1">
      <x:c r="B84" s="17" t="str">
        <x:v>Collections</x:v>
      </x:c>
      <x:c r="C84" s="17" t="str">
        <x:v>All rounds</x:v>
      </x:c>
      <x:c r="D84" s="17" t="str">
        <x:v>NOT_AVAILABLE</x:v>
      </x:c>
      <x:c r="E84" s="17" t="n">
        <x:f>COUNTIF('BugResults'!$D$259:$D$286,"NOT_AVAILABLE")+COUNTIF('BugResults'!$D$1113:$D$1140,"NOT_AVAILABLE")</x:f>
        <x:v>0</x:v>
      </x:c>
      <x:c r="F84" s="33" t="n">
        <x:f>E84/56</x:f>
        <x:v>0</x:v>
      </x:c>
    </x:row>
    <x:row r="85" ht="23" customHeight="1">
      <x:c r="B85" s="17" t="str">
        <x:v>Collections</x:v>
      </x:c>
      <x:c r="C85" s="17" t="str">
        <x:v>All rounds</x:v>
      </x:c>
      <x:c r="D85" s="17" t="str">
        <x:v>INCONCLUSIVE</x:v>
      </x:c>
      <x:c r="E85" s="17" t="n">
        <x:f>COUNTIF('BugResults'!$D$259:$D$286,"INCONCLUSIVE")+COUNTIF('BugResults'!$D$1113:$D$1140,"INCONCLUSIVE")</x:f>
        <x:v>16</x:v>
      </x:c>
      <x:c r="F85" s="33" t="n">
        <x:f>E85/56</x:f>
        <x:v>0.2857142857142857</x:v>
      </x:c>
    </x:row>
    <x:row r="86" ht="23" customHeight="1">
      <x:c r="B86" s="17" t="str">
        <x:v>Collections</x:v>
      </x:c>
      <x:c r="C86" s="17" t="str">
        <x:v>All rounds</x:v>
      </x:c>
      <x:c r="D86" s="17" t="str">
        <x:v>FAIL</x:v>
      </x:c>
      <x:c r="E86" s="17" t="n">
        <x:f>COUNTIF('BugResults'!$D$259:$D$286,"FAIL")+COUNTIF('BugResults'!$D$1113:$D$1140,"FAIL")</x:f>
        <x:v>0</x:v>
      </x:c>
      <x:c r="F86" s="33" t="n">
        <x:f>E86/56</x:f>
        <x:v>0</x:v>
      </x:c>
    </x:row>
    <x:row r="87" ht="23" customHeight="1">
      <x:c r="B87" s="17" t="str">
        <x:v>Collections</x:v>
      </x:c>
      <x:c r="C87" s="17" t="str">
        <x:v>Round1</x:v>
      </x:c>
      <x:c r="D87" s="17" t="str">
        <x:v>REVEALING</x:v>
      </x:c>
      <x:c r="E87" s="17" t="n">
        <x:f>COUNTIF('BugResults'!$D$259:$D$286,"REVEALING")</x:f>
        <x:v>0</x:v>
      </x:c>
      <x:c r="F87" s="33" t="n">
        <x:f>E87/28</x:f>
        <x:v>0</x:v>
      </x:c>
    </x:row>
    <x:row r="88" ht="23" customHeight="1">
      <x:c r="B88" s="17" t="str">
        <x:v>Collections</x:v>
      </x:c>
      <x:c r="C88" s="17" t="str">
        <x:v>Round1</x:v>
      </x:c>
      <x:c r="D88" s="17" t="str">
        <x:v>NOT_REVEALING</x:v>
      </x:c>
      <x:c r="E88" s="17" t="n">
        <x:f>COUNTIF('BugResults'!$D$259:$D$286,"NOT_REVEALING")</x:f>
        <x:v>21</x:v>
      </x:c>
      <x:c r="F88" s="33" t="n">
        <x:f>E88/28</x:f>
        <x:v>0.75</x:v>
      </x:c>
    </x:row>
    <x:row r="89" ht="23" customHeight="1">
      <x:c r="B89" s="17" t="str">
        <x:v>Collections</x:v>
      </x:c>
      <x:c r="C89" s="17" t="str">
        <x:v>Round1</x:v>
      </x:c>
      <x:c r="D89" s="17" t="str">
        <x:v>NOT_AVAILABLE</x:v>
      </x:c>
      <x:c r="E89" s="17" t="n">
        <x:f>COUNTIF('BugResults'!$D$259:$D$286,"NOT_AVAILABLE")</x:f>
        <x:v>0</x:v>
      </x:c>
      <x:c r="F89" s="33" t="n">
        <x:f>E89/28</x:f>
        <x:v>0</x:v>
      </x:c>
    </x:row>
    <x:row r="90" ht="23" customHeight="1">
      <x:c r="B90" s="17" t="str">
        <x:v>Collections</x:v>
      </x:c>
      <x:c r="C90" s="17" t="str">
        <x:v>Round1</x:v>
      </x:c>
      <x:c r="D90" s="17" t="str">
        <x:v>INCONCLUSIVE</x:v>
      </x:c>
      <x:c r="E90" s="17" t="n">
        <x:f>COUNTIF('BugResults'!$D$259:$D$286,"INCONCLUSIVE")</x:f>
        <x:v>7</x:v>
      </x:c>
      <x:c r="F90" s="33" t="n">
        <x:f>E90/28</x:f>
        <x:v>0.25</x:v>
      </x:c>
    </x:row>
    <x:row r="91" ht="23" customHeight="1">
      <x:c r="B91" s="17" t="str">
        <x:v>Collections</x:v>
      </x:c>
      <x:c r="C91" s="17" t="str">
        <x:v>Round1</x:v>
      </x:c>
      <x:c r="D91" s="17" t="str">
        <x:v>FAIL</x:v>
      </x:c>
      <x:c r="E91" s="17" t="n">
        <x:f>COUNTIF('BugResults'!$D$259:$D$286,"FAIL")</x:f>
        <x:v>0</x:v>
      </x:c>
      <x:c r="F91" s="33" t="n">
        <x:f>E91/28</x:f>
        <x:v>0</x:v>
      </x:c>
    </x:row>
    <x:row r="92" ht="23" customHeight="1">
      <x:c r="B92" s="17" t="str">
        <x:v>Collections</x:v>
      </x:c>
      <x:c r="C92" s="17" t="str">
        <x:v>Round2</x:v>
      </x:c>
      <x:c r="D92" s="17" t="str">
        <x:v>REVEALING</x:v>
      </x:c>
      <x:c r="E92" s="17" t="n">
        <x:f>COUNTIF('BugResults'!$D$1113:$D$1140,"REVEALING")</x:f>
        <x:v>0</x:v>
      </x:c>
      <x:c r="F92" s="33" t="n">
        <x:f>E92/28</x:f>
        <x:v>0</x:v>
      </x:c>
    </x:row>
    <x:row r="93" ht="23" customHeight="1">
      <x:c r="B93" s="17" t="str">
        <x:v>Collections</x:v>
      </x:c>
      <x:c r="C93" s="17" t="str">
        <x:v>Round2</x:v>
      </x:c>
      <x:c r="D93" s="17" t="str">
        <x:v>NOT_REVEALING</x:v>
      </x:c>
      <x:c r="E93" s="17" t="n">
        <x:f>COUNTIF('BugResults'!$D$1113:$D$1140,"NOT_REVEALING")</x:f>
        <x:v>19</x:v>
      </x:c>
      <x:c r="F93" s="33" t="n">
        <x:f>E93/28</x:f>
        <x:v>0.6785714285714286</x:v>
      </x:c>
    </x:row>
    <x:row r="94" ht="23" customHeight="1">
      <x:c r="B94" s="17" t="str">
        <x:v>Collections</x:v>
      </x:c>
      <x:c r="C94" s="17" t="str">
        <x:v>Round2</x:v>
      </x:c>
      <x:c r="D94" s="17" t="str">
        <x:v>NOT_AVAILABLE</x:v>
      </x:c>
      <x:c r="E94" s="17" t="n">
        <x:f>COUNTIF('BugResults'!$D$1113:$D$1140,"NOT_AVAILABLE")</x:f>
        <x:v>0</x:v>
      </x:c>
      <x:c r="F94" s="33" t="n">
        <x:f>E94/28</x:f>
        <x:v>0</x:v>
      </x:c>
    </x:row>
    <x:row r="95" ht="23" customHeight="1">
      <x:c r="B95" s="17" t="str">
        <x:v>Collections</x:v>
      </x:c>
      <x:c r="C95" s="17" t="str">
        <x:v>Round2</x:v>
      </x:c>
      <x:c r="D95" s="17" t="str">
        <x:v>INCONCLUSIVE</x:v>
      </x:c>
      <x:c r="E95" s="17" t="n">
        <x:f>COUNTIF('BugResults'!$D$1113:$D$1140,"INCONCLUSIVE")</x:f>
        <x:v>9</x:v>
      </x:c>
      <x:c r="F95" s="33" t="n">
        <x:f>E95/28</x:f>
        <x:v>0.32142857142857145</x:v>
      </x:c>
    </x:row>
    <x:row r="96" ht="23" customHeight="1">
      <x:c r="B96" s="17" t="str">
        <x:v>Collections</x:v>
      </x:c>
      <x:c r="C96" s="17" t="str">
        <x:v>Round2</x:v>
      </x:c>
      <x:c r="D96" s="17" t="str">
        <x:v>FAIL</x:v>
      </x:c>
      <x:c r="E96" s="17" t="n">
        <x:f>COUNTIF('BugResults'!$D$1113:$D$1140,"FAIL")</x:f>
        <x:v>0</x:v>
      </x:c>
      <x:c r="F96" s="33" t="n">
        <x:f>E96/28</x:f>
        <x:v>0</x:v>
      </x:c>
    </x:row>
    <x:row r="97" ht="23" customHeight="1">
      <x:c r="B97" s="17" t="str">
        <x:v>Compress</x:v>
      </x:c>
      <x:c r="C97" s="17" t="str">
        <x:v>All rounds</x:v>
      </x:c>
      <x:c r="D97" s="17" t="str">
        <x:v>REVEALING</x:v>
      </x:c>
      <x:c r="E97" s="17" t="n">
        <x:f>COUNTIF('BugResults'!$D$287:$D$333,"REVEALING")+COUNTIF('BugResults'!$D$1141:$D$1187,"REVEALING")</x:f>
        <x:v>0</x:v>
      </x:c>
      <x:c r="F97" s="33" t="n">
        <x:f>E97/94</x:f>
        <x:v>0</x:v>
      </x:c>
    </x:row>
    <x:row r="98" ht="23" customHeight="1">
      <x:c r="B98" s="17" t="str">
        <x:v>Compress</x:v>
      </x:c>
      <x:c r="C98" s="17" t="str">
        <x:v>All rounds</x:v>
      </x:c>
      <x:c r="D98" s="17" t="str">
        <x:v>NOT_REVEALING</x:v>
      </x:c>
      <x:c r="E98" s="17" t="n">
        <x:f>COUNTIF('BugResults'!$D$287:$D$333,"NOT_REVEALING")+COUNTIF('BugResults'!$D$1141:$D$1187,"NOT_REVEALING")</x:f>
        <x:v>68</x:v>
      </x:c>
      <x:c r="F98" s="33" t="n">
        <x:f>E98/94</x:f>
        <x:v>0.723404255319149</x:v>
      </x:c>
    </x:row>
    <x:row r="99" ht="23" customHeight="1">
      <x:c r="B99" s="17" t="str">
        <x:v>Compress</x:v>
      </x:c>
      <x:c r="C99" s="17" t="str">
        <x:v>All rounds</x:v>
      </x:c>
      <x:c r="D99" s="17" t="str">
        <x:v>NOT_AVAILABLE</x:v>
      </x:c>
      <x:c r="E99" s="17" t="n">
        <x:f>COUNTIF('BugResults'!$D$287:$D$333,"NOT_AVAILABLE")+COUNTIF('BugResults'!$D$1141:$D$1187,"NOT_AVAILABLE")</x:f>
        <x:v>0</x:v>
      </x:c>
      <x:c r="F99" s="33" t="n">
        <x:f>E99/94</x:f>
        <x:v>0</x:v>
      </x:c>
    </x:row>
    <x:row r="100" ht="23" customHeight="1">
      <x:c r="B100" s="17" t="str">
        <x:v>Compress</x:v>
      </x:c>
      <x:c r="C100" s="17" t="str">
        <x:v>All rounds</x:v>
      </x:c>
      <x:c r="D100" s="17" t="str">
        <x:v>INCONCLUSIVE</x:v>
      </x:c>
      <x:c r="E100" s="17" t="n">
        <x:f>COUNTIF('BugResults'!$D$287:$D$333,"INCONCLUSIVE")+COUNTIF('BugResults'!$D$1141:$D$1187,"INCONCLUSIVE")</x:f>
        <x:v>26</x:v>
      </x:c>
      <x:c r="F100" s="33" t="n">
        <x:f>E100/94</x:f>
        <x:v>0.2765957446808511</x:v>
      </x:c>
    </x:row>
    <x:row r="101" ht="23" customHeight="1">
      <x:c r="B101" s="17" t="str">
        <x:v>Compress</x:v>
      </x:c>
      <x:c r="C101" s="17" t="str">
        <x:v>All rounds</x:v>
      </x:c>
      <x:c r="D101" s="17" t="str">
        <x:v>FAIL</x:v>
      </x:c>
      <x:c r="E101" s="17" t="n">
        <x:f>COUNTIF('BugResults'!$D$287:$D$333,"FAIL")+COUNTIF('BugResults'!$D$1141:$D$1187,"FAIL")</x:f>
        <x:v>0</x:v>
      </x:c>
      <x:c r="F101" s="33" t="n">
        <x:f>E101/94</x:f>
        <x:v>0</x:v>
      </x:c>
    </x:row>
    <x:row r="102" ht="23" customHeight="1">
      <x:c r="B102" s="17" t="str">
        <x:v>Compress</x:v>
      </x:c>
      <x:c r="C102" s="17" t="str">
        <x:v>Round1</x:v>
      </x:c>
      <x:c r="D102" s="17" t="str">
        <x:v>REVEALING</x:v>
      </x:c>
      <x:c r="E102" s="17" t="n">
        <x:f>COUNTIF('BugResults'!$D$287:$D$333,"REVEALING")</x:f>
        <x:v>0</x:v>
      </x:c>
      <x:c r="F102" s="33" t="n">
        <x:f>E102/47</x:f>
        <x:v>0</x:v>
      </x:c>
    </x:row>
    <x:row r="103" ht="23" customHeight="1">
      <x:c r="B103" s="17" t="str">
        <x:v>Compress</x:v>
      </x:c>
      <x:c r="C103" s="17" t="str">
        <x:v>Round1</x:v>
      </x:c>
      <x:c r="D103" s="17" t="str">
        <x:v>NOT_REVEALING</x:v>
      </x:c>
      <x:c r="E103" s="17" t="n">
        <x:f>COUNTIF('BugResults'!$D$287:$D$333,"NOT_REVEALING")</x:f>
        <x:v>37</x:v>
      </x:c>
      <x:c r="F103" s="33" t="n">
        <x:f>E103/47</x:f>
        <x:v>0.7872340425531915</x:v>
      </x:c>
    </x:row>
    <x:row r="104" ht="23" customHeight="1">
      <x:c r="B104" s="17" t="str">
        <x:v>Compress</x:v>
      </x:c>
      <x:c r="C104" s="17" t="str">
        <x:v>Round1</x:v>
      </x:c>
      <x:c r="D104" s="17" t="str">
        <x:v>NOT_AVAILABLE</x:v>
      </x:c>
      <x:c r="E104" s="17" t="n">
        <x:f>COUNTIF('BugResults'!$D$287:$D$333,"NOT_AVAILABLE")</x:f>
        <x:v>0</x:v>
      </x:c>
      <x:c r="F104" s="33" t="n">
        <x:f>E104/47</x:f>
        <x:v>0</x:v>
      </x:c>
    </x:row>
    <x:row r="105" ht="23" customHeight="1">
      <x:c r="B105" s="17" t="str">
        <x:v>Compress</x:v>
      </x:c>
      <x:c r="C105" s="17" t="str">
        <x:v>Round1</x:v>
      </x:c>
      <x:c r="D105" s="17" t="str">
        <x:v>INCONCLUSIVE</x:v>
      </x:c>
      <x:c r="E105" s="17" t="n">
        <x:f>COUNTIF('BugResults'!$D$287:$D$333,"INCONCLUSIVE")</x:f>
        <x:v>10</x:v>
      </x:c>
      <x:c r="F105" s="33" t="n">
        <x:f>E105/47</x:f>
        <x:v>0.2127659574468085</x:v>
      </x:c>
    </x:row>
    <x:row r="106" ht="23" customHeight="1">
      <x:c r="B106" s="17" t="str">
        <x:v>Compress</x:v>
      </x:c>
      <x:c r="C106" s="17" t="str">
        <x:v>Round1</x:v>
      </x:c>
      <x:c r="D106" s="17" t="str">
        <x:v>FAIL</x:v>
      </x:c>
      <x:c r="E106" s="17" t="n">
        <x:f>COUNTIF('BugResults'!$D$287:$D$333,"FAIL")</x:f>
        <x:v>0</x:v>
      </x:c>
      <x:c r="F106" s="33" t="n">
        <x:f>E106/47</x:f>
        <x:v>0</x:v>
      </x:c>
    </x:row>
    <x:row r="107" ht="23" customHeight="1">
      <x:c r="B107" s="17" t="str">
        <x:v>Compress</x:v>
      </x:c>
      <x:c r="C107" s="17" t="str">
        <x:v>Round2</x:v>
      </x:c>
      <x:c r="D107" s="17" t="str">
        <x:v>REVEALING</x:v>
      </x:c>
      <x:c r="E107" s="17" t="n">
        <x:f>COUNTIF('BugResults'!$D$1141:$D$1187,"REVEALING")</x:f>
        <x:v>0</x:v>
      </x:c>
      <x:c r="F107" s="33" t="n">
        <x:f>E107/47</x:f>
        <x:v>0</x:v>
      </x:c>
    </x:row>
    <x:row r="108" ht="23" customHeight="1">
      <x:c r="B108" s="17" t="str">
        <x:v>Compress</x:v>
      </x:c>
      <x:c r="C108" s="17" t="str">
        <x:v>Round2</x:v>
      </x:c>
      <x:c r="D108" s="17" t="str">
        <x:v>NOT_REVEALING</x:v>
      </x:c>
      <x:c r="E108" s="17" t="n">
        <x:f>COUNTIF('BugResults'!$D$1141:$D$1187,"NOT_REVEALING")</x:f>
        <x:v>31</x:v>
      </x:c>
      <x:c r="F108" s="33" t="n">
        <x:f>E108/47</x:f>
        <x:v>0.6595744680851063</x:v>
      </x:c>
    </x:row>
    <x:row r="109" ht="23" customHeight="1">
      <x:c r="B109" s="17" t="str">
        <x:v>Compress</x:v>
      </x:c>
      <x:c r="C109" s="17" t="str">
        <x:v>Round2</x:v>
      </x:c>
      <x:c r="D109" s="17" t="str">
        <x:v>NOT_AVAILABLE</x:v>
      </x:c>
      <x:c r="E109" s="17" t="n">
        <x:f>COUNTIF('BugResults'!$D$1141:$D$1187,"NOT_AVAILABLE")</x:f>
        <x:v>0</x:v>
      </x:c>
      <x:c r="F109" s="33" t="n">
        <x:f>E109/47</x:f>
        <x:v>0</x:v>
      </x:c>
    </x:row>
    <x:row r="110" ht="23" customHeight="1">
      <x:c r="B110" s="17" t="str">
        <x:v>Compress</x:v>
      </x:c>
      <x:c r="C110" s="17" t="str">
        <x:v>Round2</x:v>
      </x:c>
      <x:c r="D110" s="17" t="str">
        <x:v>INCONCLUSIVE</x:v>
      </x:c>
      <x:c r="E110" s="17" t="n">
        <x:f>COUNTIF('BugResults'!$D$1141:$D$1187,"INCONCLUSIVE")</x:f>
        <x:v>16</x:v>
      </x:c>
      <x:c r="F110" s="33" t="n">
        <x:f>E110/47</x:f>
        <x:v>0.3404255319148936</x:v>
      </x:c>
    </x:row>
    <x:row r="111" ht="23" customHeight="1">
      <x:c r="B111" s="17" t="str">
        <x:v>Compress</x:v>
      </x:c>
      <x:c r="C111" s="17" t="str">
        <x:v>Round2</x:v>
      </x:c>
      <x:c r="D111" s="17" t="str">
        <x:v>FAIL</x:v>
      </x:c>
      <x:c r="E111" s="17" t="n">
        <x:f>COUNTIF('BugResults'!$D$1141:$D$1187,"FAIL")</x:f>
        <x:v>0</x:v>
      </x:c>
      <x:c r="F111" s="33" t="n">
        <x:f>E111/47</x:f>
        <x:v>0</x:v>
      </x:c>
    </x:row>
    <x:row r="112" ht="23" customHeight="1">
      <x:c r="B112" s="17" t="str">
        <x:v>Csv</x:v>
      </x:c>
      <x:c r="C112" s="17" t="str">
        <x:v>All rounds</x:v>
      </x:c>
      <x:c r="D112" s="17" t="str">
        <x:v>REVEALING</x:v>
      </x:c>
      <x:c r="E112" s="17" t="n">
        <x:f>COUNTIF('BugResults'!$D$334:$D$349,"REVEALING")+COUNTIF('BugResults'!$D$1188:$D$1203,"REVEALING")</x:f>
        <x:v>0</x:v>
      </x:c>
      <x:c r="F112" s="33" t="n">
        <x:f>E112/32</x:f>
        <x:v>0</x:v>
      </x:c>
    </x:row>
    <x:row r="113" ht="23" customHeight="1">
      <x:c r="B113" s="17" t="str">
        <x:v>Csv</x:v>
      </x:c>
      <x:c r="C113" s="17" t="str">
        <x:v>All rounds</x:v>
      </x:c>
      <x:c r="D113" s="17" t="str">
        <x:v>NOT_REVEALING</x:v>
      </x:c>
      <x:c r="E113" s="17" t="n">
        <x:f>COUNTIF('BugResults'!$D$334:$D$349,"NOT_REVEALING")+COUNTIF('BugResults'!$D$1188:$D$1203,"NOT_REVEALING")</x:f>
        <x:v>22</x:v>
      </x:c>
      <x:c r="F113" s="33" t="n">
        <x:f>E113/32</x:f>
        <x:v>0.6875</x:v>
      </x:c>
    </x:row>
    <x:row r="114" ht="23" customHeight="1">
      <x:c r="B114" s="17" t="str">
        <x:v>Csv</x:v>
      </x:c>
      <x:c r="C114" s="17" t="str">
        <x:v>All rounds</x:v>
      </x:c>
      <x:c r="D114" s="17" t="str">
        <x:v>NOT_AVAILABLE</x:v>
      </x:c>
      <x:c r="E114" s="17" t="n">
        <x:f>COUNTIF('BugResults'!$D$334:$D$349,"NOT_AVAILABLE")+COUNTIF('BugResults'!$D$1188:$D$1203,"NOT_AVAILABLE")</x:f>
        <x:v>0</x:v>
      </x:c>
      <x:c r="F114" s="33" t="n">
        <x:f>E114/32</x:f>
        <x:v>0</x:v>
      </x:c>
    </x:row>
    <x:row r="115" ht="23" customHeight="1">
      <x:c r="B115" s="17" t="str">
        <x:v>Csv</x:v>
      </x:c>
      <x:c r="C115" s="17" t="str">
        <x:v>All rounds</x:v>
      </x:c>
      <x:c r="D115" s="17" t="str">
        <x:v>INCONCLUSIVE</x:v>
      </x:c>
      <x:c r="E115" s="17" t="n">
        <x:f>COUNTIF('BugResults'!$D$334:$D$349,"INCONCLUSIVE")+COUNTIF('BugResults'!$D$1188:$D$1203,"INCONCLUSIVE")</x:f>
        <x:v>10</x:v>
      </x:c>
      <x:c r="F115" s="33" t="n">
        <x:f>E115/32</x:f>
        <x:v>0.3125</x:v>
      </x:c>
    </x:row>
    <x:row r="116" ht="23" customHeight="1">
      <x:c r="B116" s="17" t="str">
        <x:v>Csv</x:v>
      </x:c>
      <x:c r="C116" s="17" t="str">
        <x:v>All rounds</x:v>
      </x:c>
      <x:c r="D116" s="17" t="str">
        <x:v>FAIL</x:v>
      </x:c>
      <x:c r="E116" s="17" t="n">
        <x:f>COUNTIF('BugResults'!$D$334:$D$349,"FAIL")+COUNTIF('BugResults'!$D$1188:$D$1203,"FAIL")</x:f>
        <x:v>0</x:v>
      </x:c>
      <x:c r="F116" s="33" t="n">
        <x:f>E116/32</x:f>
        <x:v>0</x:v>
      </x:c>
    </x:row>
    <x:row r="117" ht="23" customHeight="1">
      <x:c r="B117" s="17" t="str">
        <x:v>Csv</x:v>
      </x:c>
      <x:c r="C117" s="17" t="str">
        <x:v>Round1</x:v>
      </x:c>
      <x:c r="D117" s="17" t="str">
        <x:v>REVEALING</x:v>
      </x:c>
      <x:c r="E117" s="17" t="n">
        <x:f>COUNTIF('BugResults'!$D$334:$D$349,"REVEALING")</x:f>
        <x:v>0</x:v>
      </x:c>
      <x:c r="F117" s="33" t="n">
        <x:f>E117/16</x:f>
        <x:v>0</x:v>
      </x:c>
    </x:row>
    <x:row r="118" ht="23" customHeight="1">
      <x:c r="B118" s="17" t="str">
        <x:v>Csv</x:v>
      </x:c>
      <x:c r="C118" s="17" t="str">
        <x:v>Round1</x:v>
      </x:c>
      <x:c r="D118" s="17" t="str">
        <x:v>NOT_REVEALING</x:v>
      </x:c>
      <x:c r="E118" s="17" t="n">
        <x:f>COUNTIF('BugResults'!$D$334:$D$349,"NOT_REVEALING")</x:f>
        <x:v>11</x:v>
      </x:c>
      <x:c r="F118" s="33" t="n">
        <x:f>E118/16</x:f>
        <x:v>0.6875</x:v>
      </x:c>
    </x:row>
    <x:row r="119" ht="23" customHeight="1">
      <x:c r="B119" s="17" t="str">
        <x:v>Csv</x:v>
      </x:c>
      <x:c r="C119" s="17" t="str">
        <x:v>Round1</x:v>
      </x:c>
      <x:c r="D119" s="17" t="str">
        <x:v>NOT_AVAILABLE</x:v>
      </x:c>
      <x:c r="E119" s="17" t="n">
        <x:f>COUNTIF('BugResults'!$D$334:$D$349,"NOT_AVAILABLE")</x:f>
        <x:v>0</x:v>
      </x:c>
      <x:c r="F119" s="33" t="n">
        <x:f>E119/16</x:f>
        <x:v>0</x:v>
      </x:c>
    </x:row>
    <x:row r="120" ht="23" customHeight="1">
      <x:c r="B120" s="17" t="str">
        <x:v>Csv</x:v>
      </x:c>
      <x:c r="C120" s="17" t="str">
        <x:v>Round1</x:v>
      </x:c>
      <x:c r="D120" s="17" t="str">
        <x:v>INCONCLUSIVE</x:v>
      </x:c>
      <x:c r="E120" s="17" t="n">
        <x:f>COUNTIF('BugResults'!$D$334:$D$349,"INCONCLUSIVE")</x:f>
        <x:v>5</x:v>
      </x:c>
      <x:c r="F120" s="33" t="n">
        <x:f>E120/16</x:f>
        <x:v>0.3125</x:v>
      </x:c>
    </x:row>
    <x:row r="121" ht="23" customHeight="1">
      <x:c r="B121" s="17" t="str">
        <x:v>Csv</x:v>
      </x:c>
      <x:c r="C121" s="17" t="str">
        <x:v>Round1</x:v>
      </x:c>
      <x:c r="D121" s="17" t="str">
        <x:v>FAIL</x:v>
      </x:c>
      <x:c r="E121" s="17" t="n">
        <x:f>COUNTIF('BugResults'!$D$334:$D$349,"FAIL")</x:f>
        <x:v>0</x:v>
      </x:c>
      <x:c r="F121" s="33" t="n">
        <x:f>E121/16</x:f>
        <x:v>0</x:v>
      </x:c>
    </x:row>
    <x:row r="122" ht="23" customHeight="1">
      <x:c r="B122" s="17" t="str">
        <x:v>Csv</x:v>
      </x:c>
      <x:c r="C122" s="17" t="str">
        <x:v>Round2</x:v>
      </x:c>
      <x:c r="D122" s="17" t="str">
        <x:v>REVEALING</x:v>
      </x:c>
      <x:c r="E122" s="17" t="n">
        <x:f>COUNTIF('BugResults'!$D$1188:$D$1203,"REVEALING")</x:f>
        <x:v>0</x:v>
      </x:c>
      <x:c r="F122" s="33" t="n">
        <x:f>E122/16</x:f>
        <x:v>0</x:v>
      </x:c>
    </x:row>
    <x:row r="123" ht="23" customHeight="1">
      <x:c r="B123" s="17" t="str">
        <x:v>Csv</x:v>
      </x:c>
      <x:c r="C123" s="17" t="str">
        <x:v>Round2</x:v>
      </x:c>
      <x:c r="D123" s="17" t="str">
        <x:v>NOT_REVEALING</x:v>
      </x:c>
      <x:c r="E123" s="17" t="n">
        <x:f>COUNTIF('BugResults'!$D$1188:$D$1203,"NOT_REVEALING")</x:f>
        <x:v>11</x:v>
      </x:c>
      <x:c r="F123" s="33" t="n">
        <x:f>E123/16</x:f>
        <x:v>0.6875</x:v>
      </x:c>
    </x:row>
    <x:row r="124" ht="23" customHeight="1">
      <x:c r="B124" s="17" t="str">
        <x:v>Csv</x:v>
      </x:c>
      <x:c r="C124" s="17" t="str">
        <x:v>Round2</x:v>
      </x:c>
      <x:c r="D124" s="17" t="str">
        <x:v>NOT_AVAILABLE</x:v>
      </x:c>
      <x:c r="E124" s="17" t="n">
        <x:f>COUNTIF('BugResults'!$D$1188:$D$1203,"NOT_AVAILABLE")</x:f>
        <x:v>0</x:v>
      </x:c>
      <x:c r="F124" s="33" t="n">
        <x:f>E124/16</x:f>
        <x:v>0</x:v>
      </x:c>
    </x:row>
    <x:row r="125" ht="23" customHeight="1">
      <x:c r="B125" s="17" t="str">
        <x:v>Csv</x:v>
      </x:c>
      <x:c r="C125" s="17" t="str">
        <x:v>Round2</x:v>
      </x:c>
      <x:c r="D125" s="17" t="str">
        <x:v>INCONCLUSIVE</x:v>
      </x:c>
      <x:c r="E125" s="17" t="n">
        <x:f>COUNTIF('BugResults'!$D$1188:$D$1203,"INCONCLUSIVE")</x:f>
        <x:v>5</x:v>
      </x:c>
      <x:c r="F125" s="33" t="n">
        <x:f>E125/16</x:f>
        <x:v>0.3125</x:v>
      </x:c>
    </x:row>
    <x:row r="126" ht="23" customHeight="1">
      <x:c r="B126" s="17" t="str">
        <x:v>Csv</x:v>
      </x:c>
      <x:c r="C126" s="17" t="str">
        <x:v>Round2</x:v>
      </x:c>
      <x:c r="D126" s="17" t="str">
        <x:v>FAIL</x:v>
      </x:c>
      <x:c r="E126" s="17" t="n">
        <x:f>COUNTIF('BugResults'!$D$1188:$D$1203,"FAIL")</x:f>
        <x:v>0</x:v>
      </x:c>
      <x:c r="F126" s="33" t="n">
        <x:f>E126/16</x:f>
        <x:v>0</x:v>
      </x:c>
    </x:row>
    <x:row r="127" ht="23" customHeight="1">
      <x:c r="B127" s="17" t="str">
        <x:v>Gson</x:v>
      </x:c>
      <x:c r="C127" s="17" t="str">
        <x:v>All rounds</x:v>
      </x:c>
      <x:c r="D127" s="17" t="str">
        <x:v>REVEALING</x:v>
      </x:c>
      <x:c r="E127" s="17" t="n">
        <x:f>COUNTIF('BugResults'!$D$350:$D$367,"REVEALING")+COUNTIF('BugResults'!$D$1204:$D$1221,"REVEALING")</x:f>
        <x:v>0</x:v>
      </x:c>
      <x:c r="F127" s="33" t="n">
        <x:f>E127/36</x:f>
        <x:v>0</x:v>
      </x:c>
    </x:row>
    <x:row r="128" ht="23" customHeight="1">
      <x:c r="B128" s="17" t="str">
        <x:v>Gson</x:v>
      </x:c>
      <x:c r="C128" s="17" t="str">
        <x:v>All rounds</x:v>
      </x:c>
      <x:c r="D128" s="17" t="str">
        <x:v>NOT_REVEALING</x:v>
      </x:c>
      <x:c r="E128" s="17" t="n">
        <x:f>COUNTIF('BugResults'!$D$350:$D$367,"NOT_REVEALING")+COUNTIF('BugResults'!$D$1204:$D$1221,"NOT_REVEALING")</x:f>
        <x:v>29</x:v>
      </x:c>
      <x:c r="F128" s="33" t="n">
        <x:f>E128/36</x:f>
        <x:v>0.8055555555555556</x:v>
      </x:c>
    </x:row>
    <x:row r="129" ht="23" customHeight="1">
      <x:c r="B129" s="17" t="str">
        <x:v>Gson</x:v>
      </x:c>
      <x:c r="C129" s="17" t="str">
        <x:v>All rounds</x:v>
      </x:c>
      <x:c r="D129" s="17" t="str">
        <x:v>NOT_AVAILABLE</x:v>
      </x:c>
      <x:c r="E129" s="17" t="n">
        <x:f>COUNTIF('BugResults'!$D$350:$D$367,"NOT_AVAILABLE")+COUNTIF('BugResults'!$D$1204:$D$1221,"NOT_AVAILABLE")</x:f>
        <x:v>0</x:v>
      </x:c>
      <x:c r="F129" s="33" t="n">
        <x:f>E129/36</x:f>
        <x:v>0</x:v>
      </x:c>
    </x:row>
    <x:row r="130" ht="23" customHeight="1">
      <x:c r="B130" s="17" t="str">
        <x:v>Gson</x:v>
      </x:c>
      <x:c r="C130" s="17" t="str">
        <x:v>All rounds</x:v>
      </x:c>
      <x:c r="D130" s="17" t="str">
        <x:v>INCONCLUSIVE</x:v>
      </x:c>
      <x:c r="E130" s="17" t="n">
        <x:f>COUNTIF('BugResults'!$D$350:$D$367,"INCONCLUSIVE")+COUNTIF('BugResults'!$D$1204:$D$1221,"INCONCLUSIVE")</x:f>
        <x:v>7</x:v>
      </x:c>
      <x:c r="F130" s="33" t="n">
        <x:f>E130/36</x:f>
        <x:v>0.19444444444444445</x:v>
      </x:c>
    </x:row>
    <x:row r="131" ht="23" customHeight="1">
      <x:c r="B131" s="17" t="str">
        <x:v>Gson</x:v>
      </x:c>
      <x:c r="C131" s="17" t="str">
        <x:v>All rounds</x:v>
      </x:c>
      <x:c r="D131" s="17" t="str">
        <x:v>FAIL</x:v>
      </x:c>
      <x:c r="E131" s="17" t="n">
        <x:f>COUNTIF('BugResults'!$D$350:$D$367,"FAIL")+COUNTIF('BugResults'!$D$1204:$D$1221,"FAIL")</x:f>
        <x:v>0</x:v>
      </x:c>
      <x:c r="F131" s="33" t="n">
        <x:f>E131/36</x:f>
        <x:v>0</x:v>
      </x:c>
    </x:row>
    <x:row r="132" ht="23" customHeight="1">
      <x:c r="B132" s="17" t="str">
        <x:v>Gson</x:v>
      </x:c>
      <x:c r="C132" s="17" t="str">
        <x:v>Round1</x:v>
      </x:c>
      <x:c r="D132" s="17" t="str">
        <x:v>REVEALING</x:v>
      </x:c>
      <x:c r="E132" s="17" t="n">
        <x:f>COUNTIF('BugResults'!$D$350:$D$367,"REVEALING")</x:f>
        <x:v>0</x:v>
      </x:c>
      <x:c r="F132" s="33" t="n">
        <x:f>E132/18</x:f>
        <x:v>0</x:v>
      </x:c>
    </x:row>
    <x:row r="133" ht="23" customHeight="1">
      <x:c r="B133" s="17" t="str">
        <x:v>Gson</x:v>
      </x:c>
      <x:c r="C133" s="17" t="str">
        <x:v>Round1</x:v>
      </x:c>
      <x:c r="D133" s="17" t="str">
        <x:v>NOT_REVEALING</x:v>
      </x:c>
      <x:c r="E133" s="17" t="n">
        <x:f>COUNTIF('BugResults'!$D$350:$D$367,"NOT_REVEALING")</x:f>
        <x:v>15</x:v>
      </x:c>
      <x:c r="F133" s="33" t="n">
        <x:f>E133/18</x:f>
        <x:v>0.8333333333333334</x:v>
      </x:c>
    </x:row>
    <x:row r="134" ht="23" customHeight="1">
      <x:c r="B134" s="17" t="str">
        <x:v>Gson</x:v>
      </x:c>
      <x:c r="C134" s="17" t="str">
        <x:v>Round1</x:v>
      </x:c>
      <x:c r="D134" s="17" t="str">
        <x:v>NOT_AVAILABLE</x:v>
      </x:c>
      <x:c r="E134" s="17" t="n">
        <x:f>COUNTIF('BugResults'!$D$350:$D$367,"NOT_AVAILABLE")</x:f>
        <x:v>0</x:v>
      </x:c>
      <x:c r="F134" s="33" t="n">
        <x:f>E134/18</x:f>
        <x:v>0</x:v>
      </x:c>
    </x:row>
    <x:row r="135" ht="23" customHeight="1">
      <x:c r="B135" s="17" t="str">
        <x:v>Gson</x:v>
      </x:c>
      <x:c r="C135" s="17" t="str">
        <x:v>Round1</x:v>
      </x:c>
      <x:c r="D135" s="17" t="str">
        <x:v>INCONCLUSIVE</x:v>
      </x:c>
      <x:c r="E135" s="17" t="n">
        <x:f>COUNTIF('BugResults'!$D$350:$D$367,"INCONCLUSIVE")</x:f>
        <x:v>3</x:v>
      </x:c>
      <x:c r="F135" s="33" t="n">
        <x:f>E135/18</x:f>
        <x:v>0.16666666666666666</x:v>
      </x:c>
    </x:row>
    <x:row r="136" ht="23" customHeight="1">
      <x:c r="B136" s="17" t="str">
        <x:v>Gson</x:v>
      </x:c>
      <x:c r="C136" s="17" t="str">
        <x:v>Round1</x:v>
      </x:c>
      <x:c r="D136" s="17" t="str">
        <x:v>FAIL</x:v>
      </x:c>
      <x:c r="E136" s="17" t="n">
        <x:f>COUNTIF('BugResults'!$D$350:$D$367,"FAIL")</x:f>
        <x:v>0</x:v>
      </x:c>
      <x:c r="F136" s="33" t="n">
        <x:f>E136/18</x:f>
        <x:v>0</x:v>
      </x:c>
    </x:row>
    <x:row r="137" ht="23" customHeight="1">
      <x:c r="B137" s="17" t="str">
        <x:v>Gson</x:v>
      </x:c>
      <x:c r="C137" s="17" t="str">
        <x:v>Round2</x:v>
      </x:c>
      <x:c r="D137" s="17" t="str">
        <x:v>REVEALING</x:v>
      </x:c>
      <x:c r="E137" s="17" t="n">
        <x:f>COUNTIF('BugResults'!$D$1204:$D$1221,"REVEALING")</x:f>
        <x:v>0</x:v>
      </x:c>
      <x:c r="F137" s="33" t="n">
        <x:f>E137/18</x:f>
        <x:v>0</x:v>
      </x:c>
    </x:row>
    <x:row r="138" ht="23" customHeight="1">
      <x:c r="B138" s="17" t="str">
        <x:v>Gson</x:v>
      </x:c>
      <x:c r="C138" s="17" t="str">
        <x:v>Round2</x:v>
      </x:c>
      <x:c r="D138" s="17" t="str">
        <x:v>NOT_REVEALING</x:v>
      </x:c>
      <x:c r="E138" s="17" t="n">
        <x:f>COUNTIF('BugResults'!$D$1204:$D$1221,"NOT_REVEALING")</x:f>
        <x:v>14</x:v>
      </x:c>
      <x:c r="F138" s="33" t="n">
        <x:f>E138/18</x:f>
        <x:v>0.7777777777777778</x:v>
      </x:c>
    </x:row>
    <x:row r="139" ht="23" customHeight="1">
      <x:c r="B139" s="17" t="str">
        <x:v>Gson</x:v>
      </x:c>
      <x:c r="C139" s="17" t="str">
        <x:v>Round2</x:v>
      </x:c>
      <x:c r="D139" s="17" t="str">
        <x:v>NOT_AVAILABLE</x:v>
      </x:c>
      <x:c r="E139" s="17" t="n">
        <x:f>COUNTIF('BugResults'!$D$1204:$D$1221,"NOT_AVAILABLE")</x:f>
        <x:v>0</x:v>
      </x:c>
      <x:c r="F139" s="33" t="n">
        <x:f>E139/18</x:f>
        <x:v>0</x:v>
      </x:c>
    </x:row>
    <x:row r="140" ht="23" customHeight="1">
      <x:c r="B140" s="17" t="str">
        <x:v>Gson</x:v>
      </x:c>
      <x:c r="C140" s="17" t="str">
        <x:v>Round2</x:v>
      </x:c>
      <x:c r="D140" s="17" t="str">
        <x:v>INCONCLUSIVE</x:v>
      </x:c>
      <x:c r="E140" s="17" t="n">
        <x:f>COUNTIF('BugResults'!$D$1204:$D$1221,"INCONCLUSIVE")</x:f>
        <x:v>4</x:v>
      </x:c>
      <x:c r="F140" s="33" t="n">
        <x:f>E140/18</x:f>
        <x:v>0.2222222222222222</x:v>
      </x:c>
    </x:row>
    <x:row r="141" ht="23" customHeight="1">
      <x:c r="B141" s="17" t="str">
        <x:v>Gson</x:v>
      </x:c>
      <x:c r="C141" s="17" t="str">
        <x:v>Round2</x:v>
      </x:c>
      <x:c r="D141" s="17" t="str">
        <x:v>FAIL</x:v>
      </x:c>
      <x:c r="E141" s="17" t="n">
        <x:f>COUNTIF('BugResults'!$D$1204:$D$1221,"FAIL")</x:f>
        <x:v>0</x:v>
      </x:c>
      <x:c r="F141" s="33" t="n">
        <x:f>E141/18</x:f>
        <x:v>0</x:v>
      </x:c>
    </x:row>
    <x:row r="142" ht="23" customHeight="1">
      <x:c r="B142" s="17" t="str">
        <x:v>JacksonCore</x:v>
      </x:c>
      <x:c r="C142" s="17" t="str">
        <x:v>All rounds</x:v>
      </x:c>
      <x:c r="D142" s="17" t="str">
        <x:v>REVEALING</x:v>
      </x:c>
      <x:c r="E142" s="17" t="n">
        <x:f>COUNTIF('BugResults'!$D$368:$D$393,"REVEALING")+COUNTIF('BugResults'!$D$1222:$D$1247,"REVEALING")</x:f>
        <x:v>0</x:v>
      </x:c>
      <x:c r="F142" s="33" t="n">
        <x:f>E142/52</x:f>
        <x:v>0</x:v>
      </x:c>
    </x:row>
    <x:row r="143" ht="23" customHeight="1">
      <x:c r="B143" s="17" t="str">
        <x:v>JacksonCore</x:v>
      </x:c>
      <x:c r="C143" s="17" t="str">
        <x:v>All rounds</x:v>
      </x:c>
      <x:c r="D143" s="17" t="str">
        <x:v>NOT_REVEALING</x:v>
      </x:c>
      <x:c r="E143" s="17" t="n">
        <x:f>COUNTIF('BugResults'!$D$368:$D$393,"NOT_REVEALING")+COUNTIF('BugResults'!$D$1222:$D$1247,"NOT_REVEALING")</x:f>
        <x:v>40</x:v>
      </x:c>
      <x:c r="F143" s="33" t="n">
        <x:f>E143/52</x:f>
        <x:v>0.7692307692307693</x:v>
      </x:c>
    </x:row>
    <x:row r="144" ht="23" customHeight="1">
      <x:c r="B144" s="17" t="str">
        <x:v>JacksonCore</x:v>
      </x:c>
      <x:c r="C144" s="17" t="str">
        <x:v>All rounds</x:v>
      </x:c>
      <x:c r="D144" s="17" t="str">
        <x:v>NOT_AVAILABLE</x:v>
      </x:c>
      <x:c r="E144" s="17" t="n">
        <x:f>COUNTIF('BugResults'!$D$368:$D$393,"NOT_AVAILABLE")+COUNTIF('BugResults'!$D$1222:$D$1247,"NOT_AVAILABLE")</x:f>
        <x:v>0</x:v>
      </x:c>
      <x:c r="F144" s="33" t="n">
        <x:f>E144/52</x:f>
        <x:v>0</x:v>
      </x:c>
    </x:row>
    <x:row r="145" ht="23" customHeight="1">
      <x:c r="B145" s="17" t="str">
        <x:v>JacksonCore</x:v>
      </x:c>
      <x:c r="C145" s="17" t="str">
        <x:v>All rounds</x:v>
      </x:c>
      <x:c r="D145" s="17" t="str">
        <x:v>INCONCLUSIVE</x:v>
      </x:c>
      <x:c r="E145" s="17" t="n">
        <x:f>COUNTIF('BugResults'!$D$368:$D$393,"INCONCLUSIVE")+COUNTIF('BugResults'!$D$1222:$D$1247,"INCONCLUSIVE")</x:f>
        <x:v>12</x:v>
      </x:c>
      <x:c r="F145" s="33" t="n">
        <x:f>E145/52</x:f>
        <x:v>0.23076923076923078</x:v>
      </x:c>
    </x:row>
    <x:row r="146" ht="23" customHeight="1">
      <x:c r="B146" s="17" t="str">
        <x:v>JacksonCore</x:v>
      </x:c>
      <x:c r="C146" s="17" t="str">
        <x:v>All rounds</x:v>
      </x:c>
      <x:c r="D146" s="17" t="str">
        <x:v>FAIL</x:v>
      </x:c>
      <x:c r="E146" s="17" t="n">
        <x:f>COUNTIF('BugResults'!$D$368:$D$393,"FAIL")+COUNTIF('BugResults'!$D$1222:$D$1247,"FAIL")</x:f>
        <x:v>0</x:v>
      </x:c>
      <x:c r="F146" s="33" t="n">
        <x:f>E146/52</x:f>
        <x:v>0</x:v>
      </x:c>
    </x:row>
    <x:row r="147" ht="23" customHeight="1">
      <x:c r="B147" s="17" t="str">
        <x:v>JacksonCore</x:v>
      </x:c>
      <x:c r="C147" s="17" t="str">
        <x:v>Round1</x:v>
      </x:c>
      <x:c r="D147" s="17" t="str">
        <x:v>REVEALING</x:v>
      </x:c>
      <x:c r="E147" s="17" t="n">
        <x:f>COUNTIF('BugResults'!$D$368:$D$393,"REVEALING")</x:f>
        <x:v>0</x:v>
      </x:c>
      <x:c r="F147" s="33" t="n">
        <x:f>E147/26</x:f>
        <x:v>0</x:v>
      </x:c>
    </x:row>
    <x:row r="148" ht="23" customHeight="1">
      <x:c r="B148" s="17" t="str">
        <x:v>JacksonCore</x:v>
      </x:c>
      <x:c r="C148" s="17" t="str">
        <x:v>Round1</x:v>
      </x:c>
      <x:c r="D148" s="17" t="str">
        <x:v>NOT_REVEALING</x:v>
      </x:c>
      <x:c r="E148" s="17" t="n">
        <x:f>COUNTIF('BugResults'!$D$368:$D$393,"NOT_REVEALING")</x:f>
        <x:v>21</x:v>
      </x:c>
      <x:c r="F148" s="33" t="n">
        <x:f>E148/26</x:f>
        <x:v>0.8076923076923077</x:v>
      </x:c>
    </x:row>
    <x:row r="149" ht="23" customHeight="1">
      <x:c r="B149" s="17" t="str">
        <x:v>JacksonCore</x:v>
      </x:c>
      <x:c r="C149" s="17" t="str">
        <x:v>Round1</x:v>
      </x:c>
      <x:c r="D149" s="17" t="str">
        <x:v>NOT_AVAILABLE</x:v>
      </x:c>
      <x:c r="E149" s="17" t="n">
        <x:f>COUNTIF('BugResults'!$D$368:$D$393,"NOT_AVAILABLE")</x:f>
        <x:v>0</x:v>
      </x:c>
      <x:c r="F149" s="33" t="n">
        <x:f>E149/26</x:f>
        <x:v>0</x:v>
      </x:c>
    </x:row>
    <x:row r="150" ht="23" customHeight="1">
      <x:c r="B150" s="17" t="str">
        <x:v>JacksonCore</x:v>
      </x:c>
      <x:c r="C150" s="17" t="str">
        <x:v>Round1</x:v>
      </x:c>
      <x:c r="D150" s="17" t="str">
        <x:v>INCONCLUSIVE</x:v>
      </x:c>
      <x:c r="E150" s="17" t="n">
        <x:f>COUNTIF('BugResults'!$D$368:$D$393,"INCONCLUSIVE")</x:f>
        <x:v>5</x:v>
      </x:c>
      <x:c r="F150" s="33" t="n">
        <x:f>E150/26</x:f>
        <x:v>0.19230769230769232</x:v>
      </x:c>
    </x:row>
    <x:row r="151" ht="23" customHeight="1">
      <x:c r="B151" s="17" t="str">
        <x:v>JacksonCore</x:v>
      </x:c>
      <x:c r="C151" s="17" t="str">
        <x:v>Round1</x:v>
      </x:c>
      <x:c r="D151" s="17" t="str">
        <x:v>FAIL</x:v>
      </x:c>
      <x:c r="E151" s="17" t="n">
        <x:f>COUNTIF('BugResults'!$D$368:$D$393,"FAIL")</x:f>
        <x:v>0</x:v>
      </x:c>
      <x:c r="F151" s="33" t="n">
        <x:f>E151/26</x:f>
        <x:v>0</x:v>
      </x:c>
    </x:row>
    <x:row r="152" ht="23" customHeight="1">
      <x:c r="B152" s="17" t="str">
        <x:v>JacksonCore</x:v>
      </x:c>
      <x:c r="C152" s="17" t="str">
        <x:v>Round2</x:v>
      </x:c>
      <x:c r="D152" s="17" t="str">
        <x:v>REVEALING</x:v>
      </x:c>
      <x:c r="E152" s="17" t="n">
        <x:f>COUNTIF('BugResults'!$D$1222:$D$1247,"REVEALING")</x:f>
        <x:v>0</x:v>
      </x:c>
      <x:c r="F152" s="33" t="n">
        <x:f>E152/26</x:f>
        <x:v>0</x:v>
      </x:c>
    </x:row>
    <x:row r="153" ht="23" customHeight="1">
      <x:c r="B153" s="17" t="str">
        <x:v>JacksonCore</x:v>
      </x:c>
      <x:c r="C153" s="17" t="str">
        <x:v>Round2</x:v>
      </x:c>
      <x:c r="D153" s="17" t="str">
        <x:v>NOT_REVEALING</x:v>
      </x:c>
      <x:c r="E153" s="17" t="n">
        <x:f>COUNTIF('BugResults'!$D$1222:$D$1247,"NOT_REVEALING")</x:f>
        <x:v>19</x:v>
      </x:c>
      <x:c r="F153" s="33" t="n">
        <x:f>E153/26</x:f>
        <x:v>0.7307692307692307</x:v>
      </x:c>
    </x:row>
    <x:row r="154" ht="23" customHeight="1">
      <x:c r="B154" s="17" t="str">
        <x:v>JacksonCore</x:v>
      </x:c>
      <x:c r="C154" s="17" t="str">
        <x:v>Round2</x:v>
      </x:c>
      <x:c r="D154" s="17" t="str">
        <x:v>NOT_AVAILABLE</x:v>
      </x:c>
      <x:c r="E154" s="17" t="n">
        <x:f>COUNTIF('BugResults'!$D$1222:$D$1247,"NOT_AVAILABLE")</x:f>
        <x:v>0</x:v>
      </x:c>
      <x:c r="F154" s="33" t="n">
        <x:f>E154/26</x:f>
        <x:v>0</x:v>
      </x:c>
    </x:row>
    <x:row r="155" ht="23" customHeight="1">
      <x:c r="B155" s="17" t="str">
        <x:v>JacksonCore</x:v>
      </x:c>
      <x:c r="C155" s="17" t="str">
        <x:v>Round2</x:v>
      </x:c>
      <x:c r="D155" s="17" t="str">
        <x:v>INCONCLUSIVE</x:v>
      </x:c>
      <x:c r="E155" s="17" t="n">
        <x:f>COUNTIF('BugResults'!$D$1222:$D$1247,"INCONCLUSIVE")</x:f>
        <x:v>7</x:v>
      </x:c>
      <x:c r="F155" s="33" t="n">
        <x:f>E155/26</x:f>
        <x:v>0.2692307692307692</x:v>
      </x:c>
    </x:row>
    <x:row r="156" ht="23" customHeight="1">
      <x:c r="B156" s="17" t="str">
        <x:v>JacksonCore</x:v>
      </x:c>
      <x:c r="C156" s="17" t="str">
        <x:v>Round2</x:v>
      </x:c>
      <x:c r="D156" s="17" t="str">
        <x:v>FAIL</x:v>
      </x:c>
      <x:c r="E156" s="17" t="n">
        <x:f>COUNTIF('BugResults'!$D$1222:$D$1247,"FAIL")</x:f>
        <x:v>0</x:v>
      </x:c>
      <x:c r="F156" s="33" t="n">
        <x:f>E156/26</x:f>
        <x:v>0</x:v>
      </x:c>
    </x:row>
    <x:row r="157" ht="23" customHeight="1">
      <x:c r="B157" s="17" t="str">
        <x:v>JacksonDatabind</x:v>
      </x:c>
      <x:c r="C157" s="17" t="str">
        <x:v>All rounds</x:v>
      </x:c>
      <x:c r="D157" s="17" t="str">
        <x:v>REVEALING</x:v>
      </x:c>
      <x:c r="E157" s="17" t="n">
        <x:f>COUNTIF('BugResults'!$D$394:$D$503,"REVEALING")+COUNTIF('BugResults'!$D$1248:$D$1357,"REVEALING")</x:f>
        <x:v>0</x:v>
      </x:c>
      <x:c r="F157" s="33" t="n">
        <x:f>E157/220</x:f>
        <x:v>0</x:v>
      </x:c>
    </x:row>
    <x:row r="158" ht="23" customHeight="1">
      <x:c r="B158" s="17" t="str">
        <x:v>JacksonDatabind</x:v>
      </x:c>
      <x:c r="C158" s="17" t="str">
        <x:v>All rounds</x:v>
      </x:c>
      <x:c r="D158" s="17" t="str">
        <x:v>NOT_REVEALING</x:v>
      </x:c>
      <x:c r="E158" s="17" t="n">
        <x:f>COUNTIF('BugResults'!$D$394:$D$503,"NOT_REVEALING")+COUNTIF('BugResults'!$D$1248:$D$1357,"NOT_REVEALING")</x:f>
        <x:v>179</x:v>
      </x:c>
      <x:c r="F158" s="33" t="n">
        <x:f>E158/220</x:f>
        <x:v>0.8136363636363636</x:v>
      </x:c>
    </x:row>
    <x:row r="159" ht="23" customHeight="1">
      <x:c r="B159" s="17" t="str">
        <x:v>JacksonDatabind</x:v>
      </x:c>
      <x:c r="C159" s="17" t="str">
        <x:v>All rounds</x:v>
      </x:c>
      <x:c r="D159" s="17" t="str">
        <x:v>NOT_AVAILABLE</x:v>
      </x:c>
      <x:c r="E159" s="17" t="n">
        <x:f>COUNTIF('BugResults'!$D$394:$D$503,"NOT_AVAILABLE")+COUNTIF('BugResults'!$D$1248:$D$1357,"NOT_AVAILABLE")</x:f>
        <x:v>4</x:v>
      </x:c>
      <x:c r="F159" s="33" t="n">
        <x:f>E159/220</x:f>
        <x:v>0.01818181818181818</x:v>
      </x:c>
    </x:row>
    <x:row r="160" ht="23" customHeight="1">
      <x:c r="B160" s="17" t="str">
        <x:v>JacksonDatabind</x:v>
      </x:c>
      <x:c r="C160" s="17" t="str">
        <x:v>All rounds</x:v>
      </x:c>
      <x:c r="D160" s="17" t="str">
        <x:v>INCONCLUSIVE</x:v>
      </x:c>
      <x:c r="E160" s="17" t="n">
        <x:f>COUNTIF('BugResults'!$D$394:$D$503,"INCONCLUSIVE")+COUNTIF('BugResults'!$D$1248:$D$1357,"INCONCLUSIVE")</x:f>
        <x:v>33</x:v>
      </x:c>
      <x:c r="F160" s="33" t="n">
        <x:f>E160/220</x:f>
        <x:v>0.15</x:v>
      </x:c>
    </x:row>
    <x:row r="161" ht="23" customHeight="1">
      <x:c r="B161" s="17" t="str">
        <x:v>JacksonDatabind</x:v>
      </x:c>
      <x:c r="C161" s="17" t="str">
        <x:v>All rounds</x:v>
      </x:c>
      <x:c r="D161" s="17" t="str">
        <x:v>FAIL</x:v>
      </x:c>
      <x:c r="E161" s="17" t="n">
        <x:f>COUNTIF('BugResults'!$D$394:$D$503,"FAIL")+COUNTIF('BugResults'!$D$1248:$D$1357,"FAIL")</x:f>
        <x:v>4</x:v>
      </x:c>
      <x:c r="F161" s="33" t="n">
        <x:f>E161/220</x:f>
        <x:v>0.01818181818181818</x:v>
      </x:c>
    </x:row>
    <x:row r="162" ht="23" customHeight="1">
      <x:c r="B162" s="17" t="str">
        <x:v>JacksonDatabind</x:v>
      </x:c>
      <x:c r="C162" s="17" t="str">
        <x:v>Round1</x:v>
      </x:c>
      <x:c r="D162" s="17" t="str">
        <x:v>REVEALING</x:v>
      </x:c>
      <x:c r="E162" s="17" t="n">
        <x:f>COUNTIF('BugResults'!$D$394:$D$503,"REVEALING")</x:f>
        <x:v>0</x:v>
      </x:c>
      <x:c r="F162" s="33" t="n">
        <x:f>E162/110</x:f>
        <x:v>0</x:v>
      </x:c>
    </x:row>
    <x:row r="163" ht="23" customHeight="1">
      <x:c r="B163" s="17" t="str">
        <x:v>JacksonDatabind</x:v>
      </x:c>
      <x:c r="C163" s="17" t="str">
        <x:v>Round1</x:v>
      </x:c>
      <x:c r="D163" s="17" t="str">
        <x:v>NOT_REVEALING</x:v>
      </x:c>
      <x:c r="E163" s="17" t="n">
        <x:f>COUNTIF('BugResults'!$D$394:$D$503,"NOT_REVEALING")</x:f>
        <x:v>91</x:v>
      </x:c>
      <x:c r="F163" s="33" t="n">
        <x:f>E163/110</x:f>
        <x:v>0.8272727272727273</x:v>
      </x:c>
    </x:row>
    <x:row r="164" ht="23" customHeight="1">
      <x:c r="B164" s="17" t="str">
        <x:v>JacksonDatabind</x:v>
      </x:c>
      <x:c r="C164" s="17" t="str">
        <x:v>Round1</x:v>
      </x:c>
      <x:c r="D164" s="17" t="str">
        <x:v>NOT_AVAILABLE</x:v>
      </x:c>
      <x:c r="E164" s="17" t="n">
        <x:f>COUNTIF('BugResults'!$D$394:$D$503,"NOT_AVAILABLE")</x:f>
        <x:v>2</x:v>
      </x:c>
      <x:c r="F164" s="33" t="n">
        <x:f>E164/110</x:f>
        <x:v>0.01818181818181818</x:v>
      </x:c>
    </x:row>
    <x:row r="165" ht="23" customHeight="1">
      <x:c r="B165" s="17" t="str">
        <x:v>JacksonDatabind</x:v>
      </x:c>
      <x:c r="C165" s="17" t="str">
        <x:v>Round1</x:v>
      </x:c>
      <x:c r="D165" s="17" t="str">
        <x:v>INCONCLUSIVE</x:v>
      </x:c>
      <x:c r="E165" s="17" t="n">
        <x:f>COUNTIF('BugResults'!$D$394:$D$503,"INCONCLUSIVE")</x:f>
        <x:v>15</x:v>
      </x:c>
      <x:c r="F165" s="33" t="n">
        <x:f>E165/110</x:f>
        <x:v>0.13636363636363635</x:v>
      </x:c>
    </x:row>
    <x:row r="166" ht="23" customHeight="1">
      <x:c r="B166" s="17" t="str">
        <x:v>JacksonDatabind</x:v>
      </x:c>
      <x:c r="C166" s="17" t="str">
        <x:v>Round1</x:v>
      </x:c>
      <x:c r="D166" s="17" t="str">
        <x:v>FAIL</x:v>
      </x:c>
      <x:c r="E166" s="17" t="n">
        <x:f>COUNTIF('BugResults'!$D$394:$D$503,"FAIL")</x:f>
        <x:v>2</x:v>
      </x:c>
      <x:c r="F166" s="33" t="n">
        <x:f>E166/110</x:f>
        <x:v>0.01818181818181818</x:v>
      </x:c>
    </x:row>
    <x:row r="167" ht="23" customHeight="1">
      <x:c r="B167" s="17" t="str">
        <x:v>JacksonDatabind</x:v>
      </x:c>
      <x:c r="C167" s="17" t="str">
        <x:v>Round2</x:v>
      </x:c>
      <x:c r="D167" s="17" t="str">
        <x:v>REVEALING</x:v>
      </x:c>
      <x:c r="E167" s="17" t="n">
        <x:f>COUNTIF('BugResults'!$D$1248:$D$1357,"REVEALING")</x:f>
        <x:v>0</x:v>
      </x:c>
      <x:c r="F167" s="33" t="n">
        <x:f>E167/110</x:f>
        <x:v>0</x:v>
      </x:c>
    </x:row>
    <x:row r="168" ht="23" customHeight="1">
      <x:c r="B168" s="17" t="str">
        <x:v>JacksonDatabind</x:v>
      </x:c>
      <x:c r="C168" s="17" t="str">
        <x:v>Round2</x:v>
      </x:c>
      <x:c r="D168" s="17" t="str">
        <x:v>NOT_REVEALING</x:v>
      </x:c>
      <x:c r="E168" s="17" t="n">
        <x:f>COUNTIF('BugResults'!$D$1248:$D$1357,"NOT_REVEALING")</x:f>
        <x:v>88</x:v>
      </x:c>
      <x:c r="F168" s="33" t="n">
        <x:f>E168/110</x:f>
        <x:v>0.8</x:v>
      </x:c>
    </x:row>
    <x:row r="169" ht="23" customHeight="1">
      <x:c r="B169" s="17" t="str">
        <x:v>JacksonDatabind</x:v>
      </x:c>
      <x:c r="C169" s="17" t="str">
        <x:v>Round2</x:v>
      </x:c>
      <x:c r="D169" s="17" t="str">
        <x:v>NOT_AVAILABLE</x:v>
      </x:c>
      <x:c r="E169" s="17" t="n">
        <x:f>COUNTIF('BugResults'!$D$1248:$D$1357,"NOT_AVAILABLE")</x:f>
        <x:v>2</x:v>
      </x:c>
      <x:c r="F169" s="33" t="n">
        <x:f>E169/110</x:f>
        <x:v>0.01818181818181818</x:v>
      </x:c>
    </x:row>
    <x:row r="170" ht="23" customHeight="1">
      <x:c r="B170" s="17" t="str">
        <x:v>JacksonDatabind</x:v>
      </x:c>
      <x:c r="C170" s="17" t="str">
        <x:v>Round2</x:v>
      </x:c>
      <x:c r="D170" s="17" t="str">
        <x:v>INCONCLUSIVE</x:v>
      </x:c>
      <x:c r="E170" s="17" t="n">
        <x:f>COUNTIF('BugResults'!$D$1248:$D$1357,"INCONCLUSIVE")</x:f>
        <x:v>18</x:v>
      </x:c>
      <x:c r="F170" s="33" t="n">
        <x:f>E170/110</x:f>
        <x:v>0.16363636363636364</x:v>
      </x:c>
    </x:row>
    <x:row r="171" ht="23" customHeight="1">
      <x:c r="B171" s="17" t="str">
        <x:v>JacksonDatabind</x:v>
      </x:c>
      <x:c r="C171" s="17" t="str">
        <x:v>Round2</x:v>
      </x:c>
      <x:c r="D171" s="17" t="str">
        <x:v>FAIL</x:v>
      </x:c>
      <x:c r="E171" s="17" t="n">
        <x:f>COUNTIF('BugResults'!$D$1248:$D$1357,"FAIL")</x:f>
        <x:v>2</x:v>
      </x:c>
      <x:c r="F171" s="33" t="n">
        <x:f>E171/110</x:f>
        <x:v>0.01818181818181818</x:v>
      </x:c>
    </x:row>
    <x:row r="172" ht="23" customHeight="1">
      <x:c r="B172" s="17" t="str">
        <x:v>JacksonXml</x:v>
      </x:c>
      <x:c r="C172" s="17" t="str">
        <x:v>All rounds</x:v>
      </x:c>
      <x:c r="D172" s="17" t="str">
        <x:v>REVEALING</x:v>
      </x:c>
      <x:c r="E172" s="17" t="n">
        <x:f>COUNTIF('BugResults'!$D$504:$D$509,"REVEALING")+COUNTIF('BugResults'!$D$1358:$D$1363,"REVEALING")</x:f>
        <x:v>0</x:v>
      </x:c>
      <x:c r="F172" s="33" t="n">
        <x:f>E172/12</x:f>
        <x:v>0</x:v>
      </x:c>
    </x:row>
    <x:row r="173" ht="23" customHeight="1">
      <x:c r="B173" s="17" t="str">
        <x:v>JacksonXml</x:v>
      </x:c>
      <x:c r="C173" s="17" t="str">
        <x:v>All rounds</x:v>
      </x:c>
      <x:c r="D173" s="17" t="str">
        <x:v>NOT_REVEALING</x:v>
      </x:c>
      <x:c r="E173" s="17" t="n">
        <x:f>COUNTIF('BugResults'!$D$504:$D$509,"NOT_REVEALING")+COUNTIF('BugResults'!$D$1358:$D$1363,"NOT_REVEALING")</x:f>
        <x:v>8</x:v>
      </x:c>
      <x:c r="F173" s="33" t="n">
        <x:f>E173/12</x:f>
        <x:v>0.6666666666666666</x:v>
      </x:c>
    </x:row>
    <x:row r="174" ht="23" customHeight="1">
      <x:c r="B174" s="17" t="str">
        <x:v>JacksonXml</x:v>
      </x:c>
      <x:c r="C174" s="17" t="str">
        <x:v>All rounds</x:v>
      </x:c>
      <x:c r="D174" s="17" t="str">
        <x:v>NOT_AVAILABLE</x:v>
      </x:c>
      <x:c r="E174" s="17" t="n">
        <x:f>COUNTIF('BugResults'!$D$504:$D$509,"NOT_AVAILABLE")+COUNTIF('BugResults'!$D$1358:$D$1363,"NOT_AVAILABLE")</x:f>
        <x:v>0</x:v>
      </x:c>
      <x:c r="F174" s="33" t="n">
        <x:f>E174/12</x:f>
        <x:v>0</x:v>
      </x:c>
    </x:row>
    <x:row r="175" ht="23" customHeight="1">
      <x:c r="B175" s="17" t="str">
        <x:v>JacksonXml</x:v>
      </x:c>
      <x:c r="C175" s="17" t="str">
        <x:v>All rounds</x:v>
      </x:c>
      <x:c r="D175" s="17" t="str">
        <x:v>INCONCLUSIVE</x:v>
      </x:c>
      <x:c r="E175" s="17" t="n">
        <x:f>COUNTIF('BugResults'!$D$504:$D$509,"INCONCLUSIVE")+COUNTIF('BugResults'!$D$1358:$D$1363,"INCONCLUSIVE")</x:f>
        <x:v>4</x:v>
      </x:c>
      <x:c r="F175" s="33" t="n">
        <x:f>E175/12</x:f>
        <x:v>0.3333333333333333</x:v>
      </x:c>
    </x:row>
    <x:row r="176" ht="23" customHeight="1">
      <x:c r="B176" s="17" t="str">
        <x:v>JacksonXml</x:v>
      </x:c>
      <x:c r="C176" s="17" t="str">
        <x:v>All rounds</x:v>
      </x:c>
      <x:c r="D176" s="17" t="str">
        <x:v>FAIL</x:v>
      </x:c>
      <x:c r="E176" s="17" t="n">
        <x:f>COUNTIF('BugResults'!$D$504:$D$509,"FAIL")+COUNTIF('BugResults'!$D$1358:$D$1363,"FAIL")</x:f>
        <x:v>0</x:v>
      </x:c>
      <x:c r="F176" s="33" t="n">
        <x:f>E176/12</x:f>
        <x:v>0</x:v>
      </x:c>
    </x:row>
    <x:row r="177" ht="23" customHeight="1">
      <x:c r="B177" s="17" t="str">
        <x:v>JacksonXml</x:v>
      </x:c>
      <x:c r="C177" s="17" t="str">
        <x:v>Round1</x:v>
      </x:c>
      <x:c r="D177" s="17" t="str">
        <x:v>REVEALING</x:v>
      </x:c>
      <x:c r="E177" s="17" t="n">
        <x:f>COUNTIF('BugResults'!$D$504:$D$509,"REVEALING")</x:f>
        <x:v>0</x:v>
      </x:c>
      <x:c r="F177" s="33" t="n">
        <x:f>E177/6</x:f>
        <x:v>0</x:v>
      </x:c>
    </x:row>
    <x:row r="178" ht="23" customHeight="1">
      <x:c r="B178" s="17" t="str">
        <x:v>JacksonXml</x:v>
      </x:c>
      <x:c r="C178" s="17" t="str">
        <x:v>Round1</x:v>
      </x:c>
      <x:c r="D178" s="17" t="str">
        <x:v>NOT_REVEALING</x:v>
      </x:c>
      <x:c r="E178" s="17" t="n">
        <x:f>COUNTIF('BugResults'!$D$504:$D$509,"NOT_REVEALING")</x:f>
        <x:v>4</x:v>
      </x:c>
      <x:c r="F178" s="33" t="n">
        <x:f>E178/6</x:f>
        <x:v>0.6666666666666666</x:v>
      </x:c>
    </x:row>
    <x:row r="179" ht="23" customHeight="1">
      <x:c r="B179" s="17" t="str">
        <x:v>JacksonXml</x:v>
      </x:c>
      <x:c r="C179" s="17" t="str">
        <x:v>Round1</x:v>
      </x:c>
      <x:c r="D179" s="17" t="str">
        <x:v>NOT_AVAILABLE</x:v>
      </x:c>
      <x:c r="E179" s="17" t="n">
        <x:f>COUNTIF('BugResults'!$D$504:$D$509,"NOT_AVAILABLE")</x:f>
        <x:v>0</x:v>
      </x:c>
      <x:c r="F179" s="33" t="n">
        <x:f>E179/6</x:f>
        <x:v>0</x:v>
      </x:c>
    </x:row>
    <x:row r="180" ht="23" customHeight="1">
      <x:c r="B180" s="17" t="str">
        <x:v>JacksonXml</x:v>
      </x:c>
      <x:c r="C180" s="17" t="str">
        <x:v>Round1</x:v>
      </x:c>
      <x:c r="D180" s="17" t="str">
        <x:v>INCONCLUSIVE</x:v>
      </x:c>
      <x:c r="E180" s="17" t="n">
        <x:f>COUNTIF('BugResults'!$D$504:$D$509,"INCONCLUSIVE")</x:f>
        <x:v>2</x:v>
      </x:c>
      <x:c r="F180" s="33" t="n">
        <x:f>E180/6</x:f>
        <x:v>0.3333333333333333</x:v>
      </x:c>
    </x:row>
    <x:row r="181" ht="23" customHeight="1">
      <x:c r="B181" s="17" t="str">
        <x:v>JacksonXml</x:v>
      </x:c>
      <x:c r="C181" s="17" t="str">
        <x:v>Round1</x:v>
      </x:c>
      <x:c r="D181" s="17" t="str">
        <x:v>FAIL</x:v>
      </x:c>
      <x:c r="E181" s="17" t="n">
        <x:f>COUNTIF('BugResults'!$D$504:$D$509,"FAIL")</x:f>
        <x:v>0</x:v>
      </x:c>
      <x:c r="F181" s="33" t="n">
        <x:f>E181/6</x:f>
        <x:v>0</x:v>
      </x:c>
    </x:row>
    <x:row r="182" ht="23" customHeight="1">
      <x:c r="B182" s="17" t="str">
        <x:v>JacksonXml</x:v>
      </x:c>
      <x:c r="C182" s="17" t="str">
        <x:v>Round2</x:v>
      </x:c>
      <x:c r="D182" s="17" t="str">
        <x:v>REVEALING</x:v>
      </x:c>
      <x:c r="E182" s="17" t="n">
        <x:f>COUNTIF('BugResults'!$D$1358:$D$1363,"REVEALING")</x:f>
        <x:v>0</x:v>
      </x:c>
      <x:c r="F182" s="33" t="n">
        <x:f>E182/6</x:f>
        <x:v>0</x:v>
      </x:c>
    </x:row>
    <x:row r="183" ht="23" customHeight="1">
      <x:c r="B183" s="17" t="str">
        <x:v>JacksonXml</x:v>
      </x:c>
      <x:c r="C183" s="17" t="str">
        <x:v>Round2</x:v>
      </x:c>
      <x:c r="D183" s="17" t="str">
        <x:v>NOT_REVEALING</x:v>
      </x:c>
      <x:c r="E183" s="17" t="n">
        <x:f>COUNTIF('BugResults'!$D$1358:$D$1363,"NOT_REVEALING")</x:f>
        <x:v>4</x:v>
      </x:c>
      <x:c r="F183" s="33" t="n">
        <x:f>E183/6</x:f>
        <x:v>0.6666666666666666</x:v>
      </x:c>
    </x:row>
    <x:row r="184" ht="23" customHeight="1">
      <x:c r="B184" s="17" t="str">
        <x:v>JacksonXml</x:v>
      </x:c>
      <x:c r="C184" s="17" t="str">
        <x:v>Round2</x:v>
      </x:c>
      <x:c r="D184" s="17" t="str">
        <x:v>NOT_AVAILABLE</x:v>
      </x:c>
      <x:c r="E184" s="17" t="n">
        <x:f>COUNTIF('BugResults'!$D$1358:$D$1363,"NOT_AVAILABLE")</x:f>
        <x:v>0</x:v>
      </x:c>
      <x:c r="F184" s="33" t="n">
        <x:f>E184/6</x:f>
        <x:v>0</x:v>
      </x:c>
    </x:row>
    <x:row r="185" ht="23" customHeight="1">
      <x:c r="B185" s="17" t="str">
        <x:v>JacksonXml</x:v>
      </x:c>
      <x:c r="C185" s="17" t="str">
        <x:v>Round2</x:v>
      </x:c>
      <x:c r="D185" s="17" t="str">
        <x:v>INCONCLUSIVE</x:v>
      </x:c>
      <x:c r="E185" s="17" t="n">
        <x:f>COUNTIF('BugResults'!$D$1358:$D$1363,"INCONCLUSIVE")</x:f>
        <x:v>2</x:v>
      </x:c>
      <x:c r="F185" s="33" t="n">
        <x:f>E185/6</x:f>
        <x:v>0.3333333333333333</x:v>
      </x:c>
    </x:row>
    <x:row r="186" ht="23" customHeight="1">
      <x:c r="B186" s="17" t="str">
        <x:v>JacksonXml</x:v>
      </x:c>
      <x:c r="C186" s="17" t="str">
        <x:v>Round2</x:v>
      </x:c>
      <x:c r="D186" s="17" t="str">
        <x:v>FAIL</x:v>
      </x:c>
      <x:c r="E186" s="17" t="n">
        <x:f>COUNTIF('BugResults'!$D$1358:$D$1363,"FAIL")</x:f>
        <x:v>0</x:v>
      </x:c>
      <x:c r="F186" s="33" t="n">
        <x:f>E186/6</x:f>
        <x:v>0</x:v>
      </x:c>
    </x:row>
    <x:row r="187" ht="23" customHeight="1">
      <x:c r="B187" s="17" t="str">
        <x:v>Jsoup</x:v>
      </x:c>
      <x:c r="C187" s="17" t="str">
        <x:v>All rounds</x:v>
      </x:c>
      <x:c r="D187" s="17" t="str">
        <x:v>REVEALING</x:v>
      </x:c>
      <x:c r="E187" s="17" t="n">
        <x:f>COUNTIF('BugResults'!$D$510:$D$602,"REVEALING")+COUNTIF('BugResults'!$D$1364:$D$1456,"REVEALING")</x:f>
        <x:v>0</x:v>
      </x:c>
      <x:c r="F187" s="33" t="n">
        <x:f>E187/186</x:f>
        <x:v>0</x:v>
      </x:c>
    </x:row>
    <x:row r="188" ht="23" customHeight="1">
      <x:c r="B188" s="17" t="str">
        <x:v>Jsoup</x:v>
      </x:c>
      <x:c r="C188" s="17" t="str">
        <x:v>All rounds</x:v>
      </x:c>
      <x:c r="D188" s="17" t="str">
        <x:v>NOT_REVEALING</x:v>
      </x:c>
      <x:c r="E188" s="17" t="n">
        <x:f>COUNTIF('BugResults'!$D$510:$D$602,"NOT_REVEALING")+COUNTIF('BugResults'!$D$1364:$D$1456,"NOT_REVEALING")</x:f>
        <x:v>118</x:v>
      </x:c>
      <x:c r="F188" s="33" t="n">
        <x:f>E188/186</x:f>
        <x:v>0.6344086021505376</x:v>
      </x:c>
    </x:row>
    <x:row r="189" ht="23" customHeight="1">
      <x:c r="B189" s="17" t="str">
        <x:v>Jsoup</x:v>
      </x:c>
      <x:c r="C189" s="17" t="str">
        <x:v>All rounds</x:v>
      </x:c>
      <x:c r="D189" s="17" t="str">
        <x:v>NOT_AVAILABLE</x:v>
      </x:c>
      <x:c r="E189" s="17" t="n">
        <x:f>COUNTIF('BugResults'!$D$510:$D$602,"NOT_AVAILABLE")+COUNTIF('BugResults'!$D$1364:$D$1456,"NOT_AVAILABLE")</x:f>
        <x:v>8</x:v>
      </x:c>
      <x:c r="F189" s="33" t="n">
        <x:f>E189/186</x:f>
        <x:v>0.043010752688172046</x:v>
      </x:c>
    </x:row>
    <x:row r="190" ht="23" customHeight="1">
      <x:c r="B190" s="17" t="str">
        <x:v>Jsoup</x:v>
      </x:c>
      <x:c r="C190" s="17" t="str">
        <x:v>All rounds</x:v>
      </x:c>
      <x:c r="D190" s="17" t="str">
        <x:v>INCONCLUSIVE</x:v>
      </x:c>
      <x:c r="E190" s="17" t="n">
        <x:f>COUNTIF('BugResults'!$D$510:$D$602,"INCONCLUSIVE")+COUNTIF('BugResults'!$D$1364:$D$1456,"INCONCLUSIVE")</x:f>
        <x:v>60</x:v>
      </x:c>
      <x:c r="F190" s="33" t="n">
        <x:f>E190/186</x:f>
        <x:v>0.3225806451612903</x:v>
      </x:c>
    </x:row>
    <x:row r="191" ht="23" customHeight="1">
      <x:c r="B191" s="17" t="str">
        <x:v>Jsoup</x:v>
      </x:c>
      <x:c r="C191" s="17" t="str">
        <x:v>All rounds</x:v>
      </x:c>
      <x:c r="D191" s="17" t="str">
        <x:v>FAIL</x:v>
      </x:c>
      <x:c r="E191" s="17" t="n">
        <x:f>COUNTIF('BugResults'!$D$510:$D$602,"FAIL")+COUNTIF('BugResults'!$D$1364:$D$1456,"FAIL")</x:f>
        <x:v>0</x:v>
      </x:c>
      <x:c r="F191" s="33" t="n">
        <x:f>E191/186</x:f>
        <x:v>0</x:v>
      </x:c>
    </x:row>
    <x:row r="192" ht="23" customHeight="1">
      <x:c r="B192" s="17" t="str">
        <x:v>Jsoup</x:v>
      </x:c>
      <x:c r="C192" s="17" t="str">
        <x:v>Round1</x:v>
      </x:c>
      <x:c r="D192" s="17" t="str">
        <x:v>REVEALING</x:v>
      </x:c>
      <x:c r="E192" s="17" t="n">
        <x:f>COUNTIF('BugResults'!$D$510:$D$602,"REVEALING")</x:f>
        <x:v>0</x:v>
      </x:c>
      <x:c r="F192" s="33" t="n">
        <x:f>E192/93</x:f>
        <x:v>0</x:v>
      </x:c>
    </x:row>
    <x:row r="193" ht="23" customHeight="1">
      <x:c r="B193" s="17" t="str">
        <x:v>Jsoup</x:v>
      </x:c>
      <x:c r="C193" s="17" t="str">
        <x:v>Round1</x:v>
      </x:c>
      <x:c r="D193" s="17" t="str">
        <x:v>NOT_REVEALING</x:v>
      </x:c>
      <x:c r="E193" s="17" t="n">
        <x:f>COUNTIF('BugResults'!$D$510:$D$602,"NOT_REVEALING")</x:f>
        <x:v>59</x:v>
      </x:c>
      <x:c r="F193" s="33" t="n">
        <x:f>E193/93</x:f>
        <x:v>0.6344086021505376</x:v>
      </x:c>
    </x:row>
    <x:row r="194" ht="23" customHeight="1">
      <x:c r="B194" s="17" t="str">
        <x:v>Jsoup</x:v>
      </x:c>
      <x:c r="C194" s="17" t="str">
        <x:v>Round1</x:v>
      </x:c>
      <x:c r="D194" s="17" t="str">
        <x:v>NOT_AVAILABLE</x:v>
      </x:c>
      <x:c r="E194" s="17" t="n">
        <x:f>COUNTIF('BugResults'!$D$510:$D$602,"NOT_AVAILABLE")</x:f>
        <x:v>4</x:v>
      </x:c>
      <x:c r="F194" s="33" t="n">
        <x:f>E194/93</x:f>
        <x:v>0.043010752688172046</x:v>
      </x:c>
    </x:row>
    <x:row r="195" ht="23" customHeight="1">
      <x:c r="B195" s="17" t="str">
        <x:v>Jsoup</x:v>
      </x:c>
      <x:c r="C195" s="17" t="str">
        <x:v>Round1</x:v>
      </x:c>
      <x:c r="D195" s="17" t="str">
        <x:v>INCONCLUSIVE</x:v>
      </x:c>
      <x:c r="E195" s="17" t="n">
        <x:f>COUNTIF('BugResults'!$D$510:$D$602,"INCONCLUSIVE")</x:f>
        <x:v>30</x:v>
      </x:c>
      <x:c r="F195" s="33" t="n">
        <x:f>E195/93</x:f>
        <x:v>0.3225806451612903</x:v>
      </x:c>
    </x:row>
    <x:row r="196" ht="23" customHeight="1">
      <x:c r="B196" s="17" t="str">
        <x:v>Jsoup</x:v>
      </x:c>
      <x:c r="C196" s="17" t="str">
        <x:v>Round1</x:v>
      </x:c>
      <x:c r="D196" s="17" t="str">
        <x:v>FAIL</x:v>
      </x:c>
      <x:c r="E196" s="17" t="n">
        <x:f>COUNTIF('BugResults'!$D$510:$D$602,"FAIL")</x:f>
        <x:v>0</x:v>
      </x:c>
      <x:c r="F196" s="33" t="n">
        <x:f>E196/93</x:f>
        <x:v>0</x:v>
      </x:c>
    </x:row>
    <x:row r="197" ht="23" customHeight="1">
      <x:c r="B197" s="17" t="str">
        <x:v>Jsoup</x:v>
      </x:c>
      <x:c r="C197" s="17" t="str">
        <x:v>Round2</x:v>
      </x:c>
      <x:c r="D197" s="17" t="str">
        <x:v>REVEALING</x:v>
      </x:c>
      <x:c r="E197" s="17" t="n">
        <x:f>COUNTIF('BugResults'!$D$1364:$D$1456,"REVEALING")</x:f>
        <x:v>0</x:v>
      </x:c>
      <x:c r="F197" s="33" t="n">
        <x:f>E197/93</x:f>
        <x:v>0</x:v>
      </x:c>
    </x:row>
    <x:row r="198" ht="23" customHeight="1">
      <x:c r="B198" s="17" t="str">
        <x:v>Jsoup</x:v>
      </x:c>
      <x:c r="C198" s="17" t="str">
        <x:v>Round2</x:v>
      </x:c>
      <x:c r="D198" s="17" t="str">
        <x:v>NOT_REVEALING</x:v>
      </x:c>
      <x:c r="E198" s="17" t="n">
        <x:f>COUNTIF('BugResults'!$D$1364:$D$1456,"NOT_REVEALING")</x:f>
        <x:v>59</x:v>
      </x:c>
      <x:c r="F198" s="33" t="n">
        <x:f>E198/93</x:f>
        <x:v>0.6344086021505376</x:v>
      </x:c>
    </x:row>
    <x:row r="199" ht="23" customHeight="1">
      <x:c r="B199" s="17" t="str">
        <x:v>Jsoup</x:v>
      </x:c>
      <x:c r="C199" s="17" t="str">
        <x:v>Round2</x:v>
      </x:c>
      <x:c r="D199" s="17" t="str">
        <x:v>NOT_AVAILABLE</x:v>
      </x:c>
      <x:c r="E199" s="17" t="n">
        <x:f>COUNTIF('BugResults'!$D$1364:$D$1456,"NOT_AVAILABLE")</x:f>
        <x:v>4</x:v>
      </x:c>
      <x:c r="F199" s="33" t="n">
        <x:f>E199/93</x:f>
        <x:v>0.043010752688172046</x:v>
      </x:c>
    </x:row>
    <x:row r="200" ht="23" customHeight="1">
      <x:c r="B200" s="17" t="str">
        <x:v>Jsoup</x:v>
      </x:c>
      <x:c r="C200" s="17" t="str">
        <x:v>Round2</x:v>
      </x:c>
      <x:c r="D200" s="17" t="str">
        <x:v>INCONCLUSIVE</x:v>
      </x:c>
      <x:c r="E200" s="17" t="n">
        <x:f>COUNTIF('BugResults'!$D$1364:$D$1456,"INCONCLUSIVE")</x:f>
        <x:v>30</x:v>
      </x:c>
      <x:c r="F200" s="33" t="n">
        <x:f>E200/93</x:f>
        <x:v>0.3225806451612903</x:v>
      </x:c>
    </x:row>
    <x:row r="201" ht="23" customHeight="1">
      <x:c r="B201" s="17" t="str">
        <x:v>Jsoup</x:v>
      </x:c>
      <x:c r="C201" s="17" t="str">
        <x:v>Round2</x:v>
      </x:c>
      <x:c r="D201" s="17" t="str">
        <x:v>FAIL</x:v>
      </x:c>
      <x:c r="E201" s="17" t="n">
        <x:f>COUNTIF('BugResults'!$D$1364:$D$1456,"FAIL")</x:f>
        <x:v>0</x:v>
      </x:c>
      <x:c r="F201" s="33" t="n">
        <x:f>E201/93</x:f>
        <x:v>0</x:v>
      </x:c>
    </x:row>
    <x:row r="202" ht="23" customHeight="1">
      <x:c r="B202" s="17" t="str">
        <x:v>JxPath</x:v>
      </x:c>
      <x:c r="C202" s="17" t="str">
        <x:v>All rounds</x:v>
      </x:c>
      <x:c r="D202" s="17" t="str">
        <x:v>REVEALING</x:v>
      </x:c>
      <x:c r="E202" s="17" t="n">
        <x:f>COUNTIF('BugResults'!$D$603:$D$624,"REVEALING")+COUNTIF('BugResults'!$D$1457:$D$1478,"REVEALING")</x:f>
        <x:v>0</x:v>
      </x:c>
      <x:c r="F202" s="33" t="n">
        <x:f>E202/44</x:f>
        <x:v>0</x:v>
      </x:c>
    </x:row>
    <x:row r="203" ht="23" customHeight="1">
      <x:c r="B203" s="17" t="str">
        <x:v>JxPath</x:v>
      </x:c>
      <x:c r="C203" s="17" t="str">
        <x:v>All rounds</x:v>
      </x:c>
      <x:c r="D203" s="17" t="str">
        <x:v>NOT_REVEALING</x:v>
      </x:c>
      <x:c r="E203" s="17" t="n">
        <x:f>COUNTIF('BugResults'!$D$603:$D$624,"NOT_REVEALING")+COUNTIF('BugResults'!$D$1457:$D$1478,"NOT_REVEALING")</x:f>
        <x:v>40</x:v>
      </x:c>
      <x:c r="F203" s="33" t="n">
        <x:f>E203/44</x:f>
        <x:v>0.9090909090909091</x:v>
      </x:c>
    </x:row>
    <x:row r="204" ht="23" customHeight="1">
      <x:c r="B204" s="17" t="str">
        <x:v>JxPath</x:v>
      </x:c>
      <x:c r="C204" s="17" t="str">
        <x:v>All rounds</x:v>
      </x:c>
      <x:c r="D204" s="17" t="str">
        <x:v>NOT_AVAILABLE</x:v>
      </x:c>
      <x:c r="E204" s="17" t="n">
        <x:f>COUNTIF('BugResults'!$D$603:$D$624,"NOT_AVAILABLE")+COUNTIF('BugResults'!$D$1457:$D$1478,"NOT_AVAILABLE")</x:f>
        <x:v>0</x:v>
      </x:c>
      <x:c r="F204" s="33" t="n">
        <x:f>E204/44</x:f>
        <x:v>0</x:v>
      </x:c>
    </x:row>
    <x:row r="205" ht="23" customHeight="1">
      <x:c r="B205" s="17" t="str">
        <x:v>JxPath</x:v>
      </x:c>
      <x:c r="C205" s="17" t="str">
        <x:v>All rounds</x:v>
      </x:c>
      <x:c r="D205" s="17" t="str">
        <x:v>INCONCLUSIVE</x:v>
      </x:c>
      <x:c r="E205" s="17" t="n">
        <x:f>COUNTIF('BugResults'!$D$603:$D$624,"INCONCLUSIVE")+COUNTIF('BugResults'!$D$1457:$D$1478,"INCONCLUSIVE")</x:f>
        <x:v>4</x:v>
      </x:c>
      <x:c r="F205" s="33" t="n">
        <x:f>E205/44</x:f>
        <x:v>0.09090909090909091</x:v>
      </x:c>
    </x:row>
    <x:row r="206" ht="23" customHeight="1">
      <x:c r="B206" s="17" t="str">
        <x:v>JxPath</x:v>
      </x:c>
      <x:c r="C206" s="17" t="str">
        <x:v>All rounds</x:v>
      </x:c>
      <x:c r="D206" s="17" t="str">
        <x:v>FAIL</x:v>
      </x:c>
      <x:c r="E206" s="17" t="n">
        <x:f>COUNTIF('BugResults'!$D$603:$D$624,"FAIL")+COUNTIF('BugResults'!$D$1457:$D$1478,"FAIL")</x:f>
        <x:v>0</x:v>
      </x:c>
      <x:c r="F206" s="33" t="n">
        <x:f>E206/44</x:f>
        <x:v>0</x:v>
      </x:c>
    </x:row>
    <x:row r="207" ht="23" customHeight="1">
      <x:c r="B207" s="17" t="str">
        <x:v>JxPath</x:v>
      </x:c>
      <x:c r="C207" s="17" t="str">
        <x:v>Round1</x:v>
      </x:c>
      <x:c r="D207" s="17" t="str">
        <x:v>REVEALING</x:v>
      </x:c>
      <x:c r="E207" s="17" t="n">
        <x:f>COUNTIF('BugResults'!$D$603:$D$624,"REVEALING")</x:f>
        <x:v>0</x:v>
      </x:c>
      <x:c r="F207" s="33" t="n">
        <x:f>E207/22</x:f>
        <x:v>0</x:v>
      </x:c>
    </x:row>
    <x:row r="208" ht="23" customHeight="1">
      <x:c r="B208" s="17" t="str">
        <x:v>JxPath</x:v>
      </x:c>
      <x:c r="C208" s="17" t="str">
        <x:v>Round1</x:v>
      </x:c>
      <x:c r="D208" s="17" t="str">
        <x:v>NOT_REVEALING</x:v>
      </x:c>
      <x:c r="E208" s="17" t="n">
        <x:f>COUNTIF('BugResults'!$D$603:$D$624,"NOT_REVEALING")</x:f>
        <x:v>22</x:v>
      </x:c>
      <x:c r="F208" s="33" t="n">
        <x:f>E208/22</x:f>
        <x:v>1</x:v>
      </x:c>
    </x:row>
    <x:row r="209" ht="23" customHeight="1">
      <x:c r="B209" s="17" t="str">
        <x:v>JxPath</x:v>
      </x:c>
      <x:c r="C209" s="17" t="str">
        <x:v>Round1</x:v>
      </x:c>
      <x:c r="D209" s="17" t="str">
        <x:v>NOT_AVAILABLE</x:v>
      </x:c>
      <x:c r="E209" s="17" t="n">
        <x:f>COUNTIF('BugResults'!$D$603:$D$624,"NOT_AVAILABLE")</x:f>
        <x:v>0</x:v>
      </x:c>
      <x:c r="F209" s="33" t="n">
        <x:f>E209/22</x:f>
        <x:v>0</x:v>
      </x:c>
    </x:row>
    <x:row r="210" ht="23" customHeight="1">
      <x:c r="B210" s="17" t="str">
        <x:v>JxPath</x:v>
      </x:c>
      <x:c r="C210" s="17" t="str">
        <x:v>Round1</x:v>
      </x:c>
      <x:c r="D210" s="17" t="str">
        <x:v>INCONCLUSIVE</x:v>
      </x:c>
      <x:c r="E210" s="17" t="n">
        <x:f>COUNTIF('BugResults'!$D$603:$D$624,"INCONCLUSIVE")</x:f>
        <x:v>0</x:v>
      </x:c>
      <x:c r="F210" s="33" t="n">
        <x:f>E210/22</x:f>
        <x:v>0</x:v>
      </x:c>
    </x:row>
    <x:row r="211" ht="23" customHeight="1">
      <x:c r="B211" s="17" t="str">
        <x:v>JxPath</x:v>
      </x:c>
      <x:c r="C211" s="17" t="str">
        <x:v>Round1</x:v>
      </x:c>
      <x:c r="D211" s="17" t="str">
        <x:v>FAIL</x:v>
      </x:c>
      <x:c r="E211" s="17" t="n">
        <x:f>COUNTIF('BugResults'!$D$603:$D$624,"FAIL")</x:f>
        <x:v>0</x:v>
      </x:c>
      <x:c r="F211" s="33" t="n">
        <x:f>E211/22</x:f>
        <x:v>0</x:v>
      </x:c>
    </x:row>
    <x:row r="212" ht="23" customHeight="1">
      <x:c r="B212" s="17" t="str">
        <x:v>JxPath</x:v>
      </x:c>
      <x:c r="C212" s="17" t="str">
        <x:v>Round2</x:v>
      </x:c>
      <x:c r="D212" s="17" t="str">
        <x:v>REVEALING</x:v>
      </x:c>
      <x:c r="E212" s="17" t="n">
        <x:f>COUNTIF('BugResults'!$D$1457:$D$1478,"REVEALING")</x:f>
        <x:v>0</x:v>
      </x:c>
      <x:c r="F212" s="33" t="n">
        <x:f>E212/22</x:f>
        <x:v>0</x:v>
      </x:c>
    </x:row>
    <x:row r="213" ht="23" customHeight="1">
      <x:c r="B213" s="17" t="str">
        <x:v>JxPath</x:v>
      </x:c>
      <x:c r="C213" s="17" t="str">
        <x:v>Round2</x:v>
      </x:c>
      <x:c r="D213" s="17" t="str">
        <x:v>NOT_REVEALING</x:v>
      </x:c>
      <x:c r="E213" s="17" t="n">
        <x:f>COUNTIF('BugResults'!$D$1457:$D$1478,"NOT_REVEALING")</x:f>
        <x:v>18</x:v>
      </x:c>
      <x:c r="F213" s="33" t="n">
        <x:f>E213/22</x:f>
        <x:v>0.8181818181818182</x:v>
      </x:c>
    </x:row>
    <x:row r="214" ht="23" customHeight="1">
      <x:c r="B214" s="17" t="str">
        <x:v>JxPath</x:v>
      </x:c>
      <x:c r="C214" s="17" t="str">
        <x:v>Round2</x:v>
      </x:c>
      <x:c r="D214" s="17" t="str">
        <x:v>NOT_AVAILABLE</x:v>
      </x:c>
      <x:c r="E214" s="17" t="n">
        <x:f>COUNTIF('BugResults'!$D$1457:$D$1478,"NOT_AVAILABLE")</x:f>
        <x:v>0</x:v>
      </x:c>
      <x:c r="F214" s="33" t="n">
        <x:f>E214/22</x:f>
        <x:v>0</x:v>
      </x:c>
    </x:row>
    <x:row r="215" ht="23" customHeight="1">
      <x:c r="B215" s="17" t="str">
        <x:v>JxPath</x:v>
      </x:c>
      <x:c r="C215" s="17" t="str">
        <x:v>Round2</x:v>
      </x:c>
      <x:c r="D215" s="17" t="str">
        <x:v>INCONCLUSIVE</x:v>
      </x:c>
      <x:c r="E215" s="17" t="n">
        <x:f>COUNTIF('BugResults'!$D$1457:$D$1478,"INCONCLUSIVE")</x:f>
        <x:v>4</x:v>
      </x:c>
      <x:c r="F215" s="33" t="n">
        <x:f>E215/22</x:f>
        <x:v>0.18181818181818182</x:v>
      </x:c>
    </x:row>
    <x:row r="216" ht="23" customHeight="1">
      <x:c r="B216" s="17" t="str">
        <x:v>JxPath</x:v>
      </x:c>
      <x:c r="C216" s="17" t="str">
        <x:v>Round2</x:v>
      </x:c>
      <x:c r="D216" s="17" t="str">
        <x:v>FAIL</x:v>
      </x:c>
      <x:c r="E216" s="17" t="n">
        <x:f>COUNTIF('BugResults'!$D$1457:$D$1478,"FAIL")</x:f>
        <x:v>0</x:v>
      </x:c>
      <x:c r="F216" s="33" t="n">
        <x:f>E216/22</x:f>
        <x:v>0</x:v>
      </x:c>
    </x:row>
    <x:row r="217" ht="23" customHeight="1">
      <x:c r="B217" s="17" t="str">
        <x:v>Lang</x:v>
      </x:c>
      <x:c r="C217" s="17" t="str">
        <x:v>All rounds</x:v>
      </x:c>
      <x:c r="D217" s="17" t="str">
        <x:v>REVEALING</x:v>
      </x:c>
      <x:c r="E217" s="17" t="n">
        <x:f>COUNTIF('BugResults'!$D$625:$D$685,"REVEALING")+COUNTIF('BugResults'!$D$1479:$D$1539,"REVEALING")</x:f>
        <x:v>0</x:v>
      </x:c>
      <x:c r="F217" s="33" t="n">
        <x:f>E217/122</x:f>
        <x:v>0</x:v>
      </x:c>
    </x:row>
    <x:row r="218" ht="23" customHeight="1">
      <x:c r="B218" s="17" t="str">
        <x:v>Lang</x:v>
      </x:c>
      <x:c r="C218" s="17" t="str">
        <x:v>All rounds</x:v>
      </x:c>
      <x:c r="D218" s="17" t="str">
        <x:v>NOT_REVEALING</x:v>
      </x:c>
      <x:c r="E218" s="17" t="n">
        <x:f>COUNTIF('BugResults'!$D$625:$D$685,"NOT_REVEALING")+COUNTIF('BugResults'!$D$1479:$D$1539,"NOT_REVEALING")</x:f>
        <x:v>71</x:v>
      </x:c>
      <x:c r="F218" s="33" t="n">
        <x:f>E218/122</x:f>
        <x:v>0.5819672131147541</x:v>
      </x:c>
    </x:row>
    <x:row r="219" ht="23" customHeight="1">
      <x:c r="B219" s="17" t="str">
        <x:v>Lang</x:v>
      </x:c>
      <x:c r="C219" s="17" t="str">
        <x:v>All rounds</x:v>
      </x:c>
      <x:c r="D219" s="17" t="str">
        <x:v>NOT_AVAILABLE</x:v>
      </x:c>
      <x:c r="E219" s="17" t="n">
        <x:f>COUNTIF('BugResults'!$D$625:$D$685,"NOT_AVAILABLE")+COUNTIF('BugResults'!$D$1479:$D$1539,"NOT_AVAILABLE")</x:f>
        <x:v>4</x:v>
      </x:c>
      <x:c r="F219" s="33" t="n">
        <x:f>E219/122</x:f>
        <x:v>0.03278688524590164</x:v>
      </x:c>
    </x:row>
    <x:row r="220" ht="23" customHeight="1">
      <x:c r="B220" s="17" t="str">
        <x:v>Lang</x:v>
      </x:c>
      <x:c r="C220" s="17" t="str">
        <x:v>All rounds</x:v>
      </x:c>
      <x:c r="D220" s="17" t="str">
        <x:v>INCONCLUSIVE</x:v>
      </x:c>
      <x:c r="E220" s="17" t="n">
        <x:f>COUNTIF('BugResults'!$D$625:$D$685,"INCONCLUSIVE")+COUNTIF('BugResults'!$D$1479:$D$1539,"INCONCLUSIVE")</x:f>
        <x:v>43</x:v>
      </x:c>
      <x:c r="F220" s="33" t="n">
        <x:f>E220/122</x:f>
        <x:v>0.3524590163934426</x:v>
      </x:c>
    </x:row>
    <x:row r="221" ht="23" customHeight="1">
      <x:c r="B221" s="17" t="str">
        <x:v>Lang</x:v>
      </x:c>
      <x:c r="C221" s="17" t="str">
        <x:v>All rounds</x:v>
      </x:c>
      <x:c r="D221" s="17" t="str">
        <x:v>FAIL</x:v>
      </x:c>
      <x:c r="E221" s="17" t="n">
        <x:f>COUNTIF('BugResults'!$D$625:$D$685,"FAIL")+COUNTIF('BugResults'!$D$1479:$D$1539,"FAIL")</x:f>
        <x:v>4</x:v>
      </x:c>
      <x:c r="F221" s="33" t="n">
        <x:f>E221/122</x:f>
        <x:v>0.03278688524590164</x:v>
      </x:c>
    </x:row>
    <x:row r="222" ht="23" customHeight="1">
      <x:c r="B222" s="17" t="str">
        <x:v>Lang</x:v>
      </x:c>
      <x:c r="C222" s="17" t="str">
        <x:v>Round1</x:v>
      </x:c>
      <x:c r="D222" s="17" t="str">
        <x:v>REVEALING</x:v>
      </x:c>
      <x:c r="E222" s="17" t="n">
        <x:f>COUNTIF('BugResults'!$D$625:$D$685,"REVEALING")</x:f>
        <x:v>0</x:v>
      </x:c>
      <x:c r="F222" s="33" t="n">
        <x:f>E222/61</x:f>
        <x:v>0</x:v>
      </x:c>
    </x:row>
    <x:row r="223" ht="23" customHeight="1">
      <x:c r="B223" s="17" t="str">
        <x:v>Lang</x:v>
      </x:c>
      <x:c r="C223" s="17" t="str">
        <x:v>Round1</x:v>
      </x:c>
      <x:c r="D223" s="17" t="str">
        <x:v>NOT_REVEALING</x:v>
      </x:c>
      <x:c r="E223" s="17" t="n">
        <x:f>COUNTIF('BugResults'!$D$625:$D$685,"NOT_REVEALING")</x:f>
        <x:v>36</x:v>
      </x:c>
      <x:c r="F223" s="33" t="n">
        <x:f>E223/61</x:f>
        <x:v>0.5901639344262295</x:v>
      </x:c>
    </x:row>
    <x:row r="224" ht="23" customHeight="1">
      <x:c r="B224" s="17" t="str">
        <x:v>Lang</x:v>
      </x:c>
      <x:c r="C224" s="17" t="str">
        <x:v>Round1</x:v>
      </x:c>
      <x:c r="D224" s="17" t="str">
        <x:v>NOT_AVAILABLE</x:v>
      </x:c>
      <x:c r="E224" s="17" t="n">
        <x:f>COUNTIF('BugResults'!$D$625:$D$685,"NOT_AVAILABLE")</x:f>
        <x:v>2</x:v>
      </x:c>
      <x:c r="F224" s="33" t="n">
        <x:f>E224/61</x:f>
        <x:v>0.03278688524590164</x:v>
      </x:c>
    </x:row>
    <x:row r="225" ht="23" customHeight="1">
      <x:c r="B225" s="17" t="str">
        <x:v>Lang</x:v>
      </x:c>
      <x:c r="C225" s="17" t="str">
        <x:v>Round1</x:v>
      </x:c>
      <x:c r="D225" s="17" t="str">
        <x:v>INCONCLUSIVE</x:v>
      </x:c>
      <x:c r="E225" s="17" t="n">
        <x:f>COUNTIF('BugResults'!$D$625:$D$685,"INCONCLUSIVE")</x:f>
        <x:v>21</x:v>
      </x:c>
      <x:c r="F225" s="33" t="n">
        <x:f>E225/61</x:f>
        <x:v>0.3442622950819672</x:v>
      </x:c>
    </x:row>
    <x:row r="226" ht="23" customHeight="1">
      <x:c r="B226" s="17" t="str">
        <x:v>Lang</x:v>
      </x:c>
      <x:c r="C226" s="17" t="str">
        <x:v>Round1</x:v>
      </x:c>
      <x:c r="D226" s="17" t="str">
        <x:v>FAIL</x:v>
      </x:c>
      <x:c r="E226" s="17" t="n">
        <x:f>COUNTIF('BugResults'!$D$625:$D$685,"FAIL")</x:f>
        <x:v>2</x:v>
      </x:c>
      <x:c r="F226" s="33" t="n">
        <x:f>E226/61</x:f>
        <x:v>0.03278688524590164</x:v>
      </x:c>
    </x:row>
    <x:row r="227" ht="23" customHeight="1">
      <x:c r="B227" s="17" t="str">
        <x:v>Lang</x:v>
      </x:c>
      <x:c r="C227" s="17" t="str">
        <x:v>Round2</x:v>
      </x:c>
      <x:c r="D227" s="17" t="str">
        <x:v>REVEALING</x:v>
      </x:c>
      <x:c r="E227" s="17" t="n">
        <x:f>COUNTIF('BugResults'!$D$1479:$D$1539,"REVEALING")</x:f>
        <x:v>0</x:v>
      </x:c>
      <x:c r="F227" s="33" t="n">
        <x:f>E227/61</x:f>
        <x:v>0</x:v>
      </x:c>
    </x:row>
    <x:row r="228" ht="23" customHeight="1">
      <x:c r="B228" s="17" t="str">
        <x:v>Lang</x:v>
      </x:c>
      <x:c r="C228" s="17" t="str">
        <x:v>Round2</x:v>
      </x:c>
      <x:c r="D228" s="17" t="str">
        <x:v>NOT_REVEALING</x:v>
      </x:c>
      <x:c r="E228" s="17" t="n">
        <x:f>COUNTIF('BugResults'!$D$1479:$D$1539,"NOT_REVEALING")</x:f>
        <x:v>35</x:v>
      </x:c>
      <x:c r="F228" s="33" t="n">
        <x:f>E228/61</x:f>
        <x:v>0.5737704918032787</x:v>
      </x:c>
    </x:row>
    <x:row r="229" ht="23" customHeight="1">
      <x:c r="B229" s="17" t="str">
        <x:v>Lang</x:v>
      </x:c>
      <x:c r="C229" s="17" t="str">
        <x:v>Round2</x:v>
      </x:c>
      <x:c r="D229" s="17" t="str">
        <x:v>NOT_AVAILABLE</x:v>
      </x:c>
      <x:c r="E229" s="17" t="n">
        <x:f>COUNTIF('BugResults'!$D$1479:$D$1539,"NOT_AVAILABLE")</x:f>
        <x:v>2</x:v>
      </x:c>
      <x:c r="F229" s="33" t="n">
        <x:f>E229/61</x:f>
        <x:v>0.03278688524590164</x:v>
      </x:c>
    </x:row>
    <x:row r="230" ht="23" customHeight="1">
      <x:c r="B230" s="17" t="str">
        <x:v>Lang</x:v>
      </x:c>
      <x:c r="C230" s="17" t="str">
        <x:v>Round2</x:v>
      </x:c>
      <x:c r="D230" s="17" t="str">
        <x:v>INCONCLUSIVE</x:v>
      </x:c>
      <x:c r="E230" s="17" t="n">
        <x:f>COUNTIF('BugResults'!$D$1479:$D$1539,"INCONCLUSIVE")</x:f>
        <x:v>22</x:v>
      </x:c>
      <x:c r="F230" s="33" t="n">
        <x:f>E230/61</x:f>
        <x:v>0.36065573770491804</x:v>
      </x:c>
    </x:row>
    <x:row r="231" ht="23" customHeight="1">
      <x:c r="B231" s="17" t="str">
        <x:v>Lang</x:v>
      </x:c>
      <x:c r="C231" s="17" t="str">
        <x:v>Round2</x:v>
      </x:c>
      <x:c r="D231" s="17" t="str">
        <x:v>FAIL</x:v>
      </x:c>
      <x:c r="E231" s="17" t="n">
        <x:f>COUNTIF('BugResults'!$D$1479:$D$1539,"FAIL")</x:f>
        <x:v>2</x:v>
      </x:c>
      <x:c r="F231" s="33" t="n">
        <x:f>E231/61</x:f>
        <x:v>0.03278688524590164</x:v>
      </x:c>
    </x:row>
    <x:row r="232" ht="23" customHeight="1">
      <x:c r="B232" s="17" t="str">
        <x:v>Math</x:v>
      </x:c>
      <x:c r="C232" s="17" t="str">
        <x:v>All rounds</x:v>
      </x:c>
      <x:c r="D232" s="17" t="str">
        <x:v>REVEALING</x:v>
      </x:c>
      <x:c r="E232" s="17" t="n">
        <x:f>COUNTIF('BugResults'!$D$686:$D$791,"REVEALING")+COUNTIF('BugResults'!$D$1540:$D$1645,"REVEALING")</x:f>
        <x:v>0</x:v>
      </x:c>
      <x:c r="F232" s="33" t="n">
        <x:f>E232/212</x:f>
        <x:v>0</x:v>
      </x:c>
    </x:row>
    <x:row r="233" ht="23" customHeight="1">
      <x:c r="B233" s="17" t="str">
        <x:v>Math</x:v>
      </x:c>
      <x:c r="C233" s="17" t="str">
        <x:v>All rounds</x:v>
      </x:c>
      <x:c r="D233" s="17" t="str">
        <x:v>NOT_REVEALING</x:v>
      </x:c>
      <x:c r="E233" s="17" t="n">
        <x:f>COUNTIF('BugResults'!$D$686:$D$791,"NOT_REVEALING")+COUNTIF('BugResults'!$D$1540:$D$1645,"NOT_REVEALING")</x:f>
        <x:v>117</x:v>
      </x:c>
      <x:c r="F233" s="33" t="n">
        <x:f>E233/212</x:f>
        <x:v>0.5518867924528302</x:v>
      </x:c>
    </x:row>
    <x:row r="234" ht="23" customHeight="1">
      <x:c r="B234" s="17" t="str">
        <x:v>Math</x:v>
      </x:c>
      <x:c r="C234" s="17" t="str">
        <x:v>All rounds</x:v>
      </x:c>
      <x:c r="D234" s="17" t="str">
        <x:v>NOT_AVAILABLE</x:v>
      </x:c>
      <x:c r="E234" s="17" t="n">
        <x:f>COUNTIF('BugResults'!$D$686:$D$791,"NOT_AVAILABLE")+COUNTIF('BugResults'!$D$1540:$D$1645,"NOT_AVAILABLE")</x:f>
        <x:v>2</x:v>
      </x:c>
      <x:c r="F234" s="33" t="n">
        <x:f>E234/212</x:f>
        <x:v>0.009433962264150943</x:v>
      </x:c>
    </x:row>
    <x:row r="235" ht="23" customHeight="1">
      <x:c r="B235" s="17" t="str">
        <x:v>Math</x:v>
      </x:c>
      <x:c r="C235" s="17" t="str">
        <x:v>All rounds</x:v>
      </x:c>
      <x:c r="D235" s="17" t="str">
        <x:v>INCONCLUSIVE</x:v>
      </x:c>
      <x:c r="E235" s="17" t="n">
        <x:f>COUNTIF('BugResults'!$D$686:$D$791,"INCONCLUSIVE")+COUNTIF('BugResults'!$D$1540:$D$1645,"INCONCLUSIVE")</x:f>
        <x:v>89</x:v>
      </x:c>
      <x:c r="F235" s="33" t="n">
        <x:f>E235/212</x:f>
        <x:v>0.419811320754717</x:v>
      </x:c>
    </x:row>
    <x:row r="236" ht="23" customHeight="1">
      <x:c r="B236" s="17" t="str">
        <x:v>Math</x:v>
      </x:c>
      <x:c r="C236" s="17" t="str">
        <x:v>All rounds</x:v>
      </x:c>
      <x:c r="D236" s="17" t="str">
        <x:v>FAIL</x:v>
      </x:c>
      <x:c r="E236" s="17" t="n">
        <x:f>COUNTIF('BugResults'!$D$686:$D$791,"FAIL")+COUNTIF('BugResults'!$D$1540:$D$1645,"FAIL")</x:f>
        <x:v>4</x:v>
      </x:c>
      <x:c r="F236" s="33" t="n">
        <x:f>E236/212</x:f>
        <x:v>0.018867924528301886</x:v>
      </x:c>
    </x:row>
    <x:row r="237" ht="23" customHeight="1">
      <x:c r="B237" s="17" t="str">
        <x:v>Math</x:v>
      </x:c>
      <x:c r="C237" s="17" t="str">
        <x:v>Round1</x:v>
      </x:c>
      <x:c r="D237" s="17" t="str">
        <x:v>REVEALING</x:v>
      </x:c>
      <x:c r="E237" s="17" t="n">
        <x:f>COUNTIF('BugResults'!$D$686:$D$791,"REVEALING")</x:f>
        <x:v>0</x:v>
      </x:c>
      <x:c r="F237" s="33" t="n">
        <x:f>E237/106</x:f>
        <x:v>0</x:v>
      </x:c>
    </x:row>
    <x:row r="238" ht="23" customHeight="1">
      <x:c r="B238" s="17" t="str">
        <x:v>Math</x:v>
      </x:c>
      <x:c r="C238" s="17" t="str">
        <x:v>Round1</x:v>
      </x:c>
      <x:c r="D238" s="17" t="str">
        <x:v>NOT_REVEALING</x:v>
      </x:c>
      <x:c r="E238" s="17" t="n">
        <x:f>COUNTIF('BugResults'!$D$686:$D$791,"NOT_REVEALING")</x:f>
        <x:v>60</x:v>
      </x:c>
      <x:c r="F238" s="33" t="n">
        <x:f>E238/106</x:f>
        <x:v>0.5660377358490566</x:v>
      </x:c>
    </x:row>
    <x:row r="239" ht="23" customHeight="1">
      <x:c r="B239" s="17" t="str">
        <x:v>Math</x:v>
      </x:c>
      <x:c r="C239" s="17" t="str">
        <x:v>Round1</x:v>
      </x:c>
      <x:c r="D239" s="17" t="str">
        <x:v>NOT_AVAILABLE</x:v>
      </x:c>
      <x:c r="E239" s="17" t="n">
        <x:f>COUNTIF('BugResults'!$D$686:$D$791,"NOT_AVAILABLE")</x:f>
        <x:v>1</x:v>
      </x:c>
      <x:c r="F239" s="33" t="n">
        <x:f>E239/106</x:f>
        <x:v>0.009433962264150943</x:v>
      </x:c>
    </x:row>
    <x:row r="240" ht="23" customHeight="1">
      <x:c r="B240" s="17" t="str">
        <x:v>Math</x:v>
      </x:c>
      <x:c r="C240" s="17" t="str">
        <x:v>Round1</x:v>
      </x:c>
      <x:c r="D240" s="17" t="str">
        <x:v>INCONCLUSIVE</x:v>
      </x:c>
      <x:c r="E240" s="17" t="n">
        <x:f>COUNTIF('BugResults'!$D$686:$D$791,"INCONCLUSIVE")</x:f>
        <x:v>45</x:v>
      </x:c>
      <x:c r="F240" s="33" t="n">
        <x:f>E240/106</x:f>
        <x:v>0.42452830188679247</x:v>
      </x:c>
    </x:row>
    <x:row r="241" ht="23" customHeight="1">
      <x:c r="B241" s="17" t="str">
        <x:v>Math</x:v>
      </x:c>
      <x:c r="C241" s="17" t="str">
        <x:v>Round1</x:v>
      </x:c>
      <x:c r="D241" s="17" t="str">
        <x:v>FAIL</x:v>
      </x:c>
      <x:c r="E241" s="17" t="n">
        <x:f>COUNTIF('BugResults'!$D$686:$D$791,"FAIL")</x:f>
        <x:v>0</x:v>
      </x:c>
      <x:c r="F241" s="33" t="n">
        <x:f>E241/106</x:f>
        <x:v>0</x:v>
      </x:c>
    </x:row>
    <x:row r="242" ht="23" customHeight="1">
      <x:c r="B242" s="17" t="str">
        <x:v>Math</x:v>
      </x:c>
      <x:c r="C242" s="17" t="str">
        <x:v>Round2</x:v>
      </x:c>
      <x:c r="D242" s="17" t="str">
        <x:v>REVEALING</x:v>
      </x:c>
      <x:c r="E242" s="17" t="n">
        <x:f>COUNTIF('BugResults'!$D$1540:$D$1645,"REVEALING")</x:f>
        <x:v>0</x:v>
      </x:c>
      <x:c r="F242" s="33" t="n">
        <x:f>E242/106</x:f>
        <x:v>0</x:v>
      </x:c>
    </x:row>
    <x:row r="243" ht="23" customHeight="1">
      <x:c r="B243" s="17" t="str">
        <x:v>Math</x:v>
      </x:c>
      <x:c r="C243" s="17" t="str">
        <x:v>Round2</x:v>
      </x:c>
      <x:c r="D243" s="17" t="str">
        <x:v>NOT_REVEALING</x:v>
      </x:c>
      <x:c r="E243" s="17" t="n">
        <x:f>COUNTIF('BugResults'!$D$1540:$D$1645,"NOT_REVEALING")</x:f>
        <x:v>57</x:v>
      </x:c>
      <x:c r="F243" s="33" t="n">
        <x:f>E243/106</x:f>
        <x:v>0.5377358490566038</x:v>
      </x:c>
    </x:row>
    <x:row r="244" ht="23" customHeight="1">
      <x:c r="B244" s="17" t="str">
        <x:v>Math</x:v>
      </x:c>
      <x:c r="C244" s="17" t="str">
        <x:v>Round2</x:v>
      </x:c>
      <x:c r="D244" s="17" t="str">
        <x:v>NOT_AVAILABLE</x:v>
      </x:c>
      <x:c r="E244" s="17" t="n">
        <x:f>COUNTIF('BugResults'!$D$1540:$D$1645,"NOT_AVAILABLE")</x:f>
        <x:v>1</x:v>
      </x:c>
      <x:c r="F244" s="33" t="n">
        <x:f>E244/106</x:f>
        <x:v>0.009433962264150943</x:v>
      </x:c>
    </x:row>
    <x:row r="245" ht="23" customHeight="1">
      <x:c r="B245" s="17" t="str">
        <x:v>Math</x:v>
      </x:c>
      <x:c r="C245" s="17" t="str">
        <x:v>Round2</x:v>
      </x:c>
      <x:c r="D245" s="17" t="str">
        <x:v>INCONCLUSIVE</x:v>
      </x:c>
      <x:c r="E245" s="17" t="n">
        <x:f>COUNTIF('BugResults'!$D$1540:$D$1645,"INCONCLUSIVE")</x:f>
        <x:v>44</x:v>
      </x:c>
      <x:c r="F245" s="33" t="n">
        <x:f>E245/106</x:f>
        <x:v>0.41509433962264153</x:v>
      </x:c>
    </x:row>
    <x:row r="246" ht="23" customHeight="1">
      <x:c r="B246" s="17" t="str">
        <x:v>Math</x:v>
      </x:c>
      <x:c r="C246" s="17" t="str">
        <x:v>Round2</x:v>
      </x:c>
      <x:c r="D246" s="17" t="str">
        <x:v>FAIL</x:v>
      </x:c>
      <x:c r="E246" s="17" t="n">
        <x:f>COUNTIF('BugResults'!$D$1540:$D$1645,"FAIL")</x:f>
        <x:v>4</x:v>
      </x:c>
      <x:c r="F246" s="33" t="n">
        <x:f>E246/106</x:f>
        <x:v>0.03773584905660377</x:v>
      </x:c>
    </x:row>
    <x:row r="247" ht="23" customHeight="1">
      <x:c r="B247" s="17" t="str">
        <x:v>Mockito</x:v>
      </x:c>
      <x:c r="C247" s="17" t="str">
        <x:v>All rounds</x:v>
      </x:c>
      <x:c r="D247" s="17" t="str">
        <x:v>REVEALING</x:v>
      </x:c>
      <x:c r="E247" s="17" t="n">
        <x:f>COUNTIF('BugResults'!$D$792:$D$829,"REVEALING")+COUNTIF('BugResults'!$D$1646:$D$1683,"REVEALING")</x:f>
        <x:v>0</x:v>
      </x:c>
      <x:c r="F247" s="33" t="n">
        <x:f>E247/76</x:f>
        <x:v>0</x:v>
      </x:c>
    </x:row>
    <x:row r="248" ht="23" customHeight="1">
      <x:c r="B248" s="17" t="str">
        <x:v>Mockito</x:v>
      </x:c>
      <x:c r="C248" s="17" t="str">
        <x:v>All rounds</x:v>
      </x:c>
      <x:c r="D248" s="17" t="str">
        <x:v>NOT_REVEALING</x:v>
      </x:c>
      <x:c r="E248" s="17" t="n">
        <x:f>COUNTIF('BugResults'!$D$792:$D$829,"NOT_REVEALING")+COUNTIF('BugResults'!$D$1646:$D$1683,"NOT_REVEALING")</x:f>
        <x:v>41</x:v>
      </x:c>
      <x:c r="F248" s="33" t="n">
        <x:f>E248/76</x:f>
        <x:v>0.5394736842105263</x:v>
      </x:c>
    </x:row>
    <x:row r="249" ht="23" customHeight="1">
      <x:c r="B249" s="17" t="str">
        <x:v>Mockito</x:v>
      </x:c>
      <x:c r="C249" s="17" t="str">
        <x:v>All rounds</x:v>
      </x:c>
      <x:c r="D249" s="17" t="str">
        <x:v>NOT_AVAILABLE</x:v>
      </x:c>
      <x:c r="E249" s="17" t="n">
        <x:f>COUNTIF('BugResults'!$D$792:$D$829,"NOT_AVAILABLE")+COUNTIF('BugResults'!$D$1646:$D$1683,"NOT_AVAILABLE")</x:f>
        <x:v>15</x:v>
      </x:c>
      <x:c r="F249" s="33" t="n">
        <x:f>E249/76</x:f>
        <x:v>0.19736842105263158</x:v>
      </x:c>
    </x:row>
    <x:row r="250" ht="23" customHeight="1">
      <x:c r="B250" s="17" t="str">
        <x:v>Mockito</x:v>
      </x:c>
      <x:c r="C250" s="17" t="str">
        <x:v>All rounds</x:v>
      </x:c>
      <x:c r="D250" s="17" t="str">
        <x:v>INCONCLUSIVE</x:v>
      </x:c>
      <x:c r="E250" s="17" t="n">
        <x:f>COUNTIF('BugResults'!$D$792:$D$829,"INCONCLUSIVE")+COUNTIF('BugResults'!$D$1646:$D$1683,"INCONCLUSIVE")</x:f>
        <x:v>5</x:v>
      </x:c>
      <x:c r="F250" s="33" t="n">
        <x:f>E250/76</x:f>
        <x:v>0.06578947368421052</x:v>
      </x:c>
    </x:row>
    <x:row r="251" ht="23" customHeight="1">
      <x:c r="B251" s="17" t="str">
        <x:v>Mockito</x:v>
      </x:c>
      <x:c r="C251" s="17" t="str">
        <x:v>All rounds</x:v>
      </x:c>
      <x:c r="D251" s="17" t="str">
        <x:v>FAIL</x:v>
      </x:c>
      <x:c r="E251" s="17" t="n">
        <x:f>COUNTIF('BugResults'!$D$792:$D$829,"FAIL")+COUNTIF('BugResults'!$D$1646:$D$1683,"FAIL")</x:f>
        <x:v>15</x:v>
      </x:c>
      <x:c r="F251" s="33" t="n">
        <x:f>E251/76</x:f>
        <x:v>0.19736842105263158</x:v>
      </x:c>
    </x:row>
    <x:row r="252" ht="23" customHeight="1">
      <x:c r="B252" s="17" t="str">
        <x:v>Mockito</x:v>
      </x:c>
      <x:c r="C252" s="17" t="str">
        <x:v>Round1</x:v>
      </x:c>
      <x:c r="D252" s="17" t="str">
        <x:v>REVEALING</x:v>
      </x:c>
      <x:c r="E252" s="17" t="n">
        <x:f>COUNTIF('BugResults'!$D$792:$D$829,"REVEALING")</x:f>
        <x:v>0</x:v>
      </x:c>
      <x:c r="F252" s="33" t="n">
        <x:f>E252/38</x:f>
        <x:v>0</x:v>
      </x:c>
    </x:row>
    <x:row r="253" ht="23" customHeight="1">
      <x:c r="B253" s="17" t="str">
        <x:v>Mockito</x:v>
      </x:c>
      <x:c r="C253" s="17" t="str">
        <x:v>Round1</x:v>
      </x:c>
      <x:c r="D253" s="17" t="str">
        <x:v>NOT_REVEALING</x:v>
      </x:c>
      <x:c r="E253" s="17" t="n">
        <x:f>COUNTIF('BugResults'!$D$792:$D$829,"NOT_REVEALING")</x:f>
        <x:v>21</x:v>
      </x:c>
      <x:c r="F253" s="33" t="n">
        <x:f>E253/38</x:f>
        <x:v>0.5526315789473685</x:v>
      </x:c>
    </x:row>
    <x:row r="254" ht="23" customHeight="1">
      <x:c r="B254" s="17" t="str">
        <x:v>Mockito</x:v>
      </x:c>
      <x:c r="C254" s="17" t="str">
        <x:v>Round1</x:v>
      </x:c>
      <x:c r="D254" s="17" t="str">
        <x:v>NOT_AVAILABLE</x:v>
      </x:c>
      <x:c r="E254" s="17" t="n">
        <x:f>COUNTIF('BugResults'!$D$792:$D$829,"NOT_AVAILABLE")</x:f>
        <x:v>13</x:v>
      </x:c>
      <x:c r="F254" s="33" t="n">
        <x:f>E254/38</x:f>
        <x:v>0.34210526315789475</x:v>
      </x:c>
    </x:row>
    <x:row r="255" ht="23" customHeight="1">
      <x:c r="B255" s="17" t="str">
        <x:v>Mockito</x:v>
      </x:c>
      <x:c r="C255" s="17" t="str">
        <x:v>Round1</x:v>
      </x:c>
      <x:c r="D255" s="17" t="str">
        <x:v>INCONCLUSIVE</x:v>
      </x:c>
      <x:c r="E255" s="17" t="n">
        <x:f>COUNTIF('BugResults'!$D$792:$D$829,"INCONCLUSIVE")</x:f>
        <x:v>2</x:v>
      </x:c>
      <x:c r="F255" s="33" t="n">
        <x:f>E255/38</x:f>
        <x:v>0.05263157894736842</x:v>
      </x:c>
    </x:row>
    <x:row r="256" ht="23" customHeight="1">
      <x:c r="B256" s="17" t="str">
        <x:v>Mockito</x:v>
      </x:c>
      <x:c r="C256" s="17" t="str">
        <x:v>Round1</x:v>
      </x:c>
      <x:c r="D256" s="17" t="str">
        <x:v>FAIL</x:v>
      </x:c>
      <x:c r="E256" s="17" t="n">
        <x:f>COUNTIF('BugResults'!$D$792:$D$829,"FAIL")</x:f>
        <x:v>2</x:v>
      </x:c>
      <x:c r="F256" s="33" t="n">
        <x:f>E256/38</x:f>
        <x:v>0.05263157894736842</x:v>
      </x:c>
    </x:row>
    <x:row r="257" ht="23" customHeight="1">
      <x:c r="B257" s="17" t="str">
        <x:v>Mockito</x:v>
      </x:c>
      <x:c r="C257" s="17" t="str">
        <x:v>Round2</x:v>
      </x:c>
      <x:c r="D257" s="17" t="str">
        <x:v>REVEALING</x:v>
      </x:c>
      <x:c r="E257" s="17" t="n">
        <x:f>COUNTIF('BugResults'!$D$1646:$D$1683,"REVEALING")</x:f>
        <x:v>0</x:v>
      </x:c>
      <x:c r="F257" s="33" t="n">
        <x:f>E257/38</x:f>
        <x:v>0</x:v>
      </x:c>
    </x:row>
    <x:row r="258" ht="23" customHeight="1">
      <x:c r="B258" s="17" t="str">
        <x:v>Mockito</x:v>
      </x:c>
      <x:c r="C258" s="17" t="str">
        <x:v>Round2</x:v>
      </x:c>
      <x:c r="D258" s="17" t="str">
        <x:v>NOT_REVEALING</x:v>
      </x:c>
      <x:c r="E258" s="17" t="n">
        <x:f>COUNTIF('BugResults'!$D$1646:$D$1683,"NOT_REVEALING")</x:f>
        <x:v>20</x:v>
      </x:c>
      <x:c r="F258" s="33" t="n">
        <x:f>E258/38</x:f>
        <x:v>0.5263157894736842</x:v>
      </x:c>
    </x:row>
    <x:row r="259" ht="23" customHeight="1">
      <x:c r="B259" s="17" t="str">
        <x:v>Mockito</x:v>
      </x:c>
      <x:c r="C259" s="17" t="str">
        <x:v>Round2</x:v>
      </x:c>
      <x:c r="D259" s="17" t="str">
        <x:v>NOT_AVAILABLE</x:v>
      </x:c>
      <x:c r="E259" s="17" t="n">
        <x:f>COUNTIF('BugResults'!$D$1646:$D$1683,"NOT_AVAILABLE")</x:f>
        <x:v>2</x:v>
      </x:c>
      <x:c r="F259" s="33" t="n">
        <x:f>E259/38</x:f>
        <x:v>0.05263157894736842</x:v>
      </x:c>
    </x:row>
    <x:row r="260" ht="23" customHeight="1">
      <x:c r="B260" s="17" t="str">
        <x:v>Mockito</x:v>
      </x:c>
      <x:c r="C260" s="17" t="str">
        <x:v>Round2</x:v>
      </x:c>
      <x:c r="D260" s="17" t="str">
        <x:v>INCONCLUSIVE</x:v>
      </x:c>
      <x:c r="E260" s="17" t="n">
        <x:f>COUNTIF('BugResults'!$D$1646:$D$1683,"INCONCLUSIVE")</x:f>
        <x:v>3</x:v>
      </x:c>
      <x:c r="F260" s="33" t="n">
        <x:f>E260/38</x:f>
        <x:v>0.07894736842105263</x:v>
      </x:c>
    </x:row>
    <x:row r="261" ht="23" customHeight="1">
      <x:c r="B261" s="17" t="str">
        <x:v>Mockito</x:v>
      </x:c>
      <x:c r="C261" s="17" t="str">
        <x:v>Round2</x:v>
      </x:c>
      <x:c r="D261" s="17" t="str">
        <x:v>FAIL</x:v>
      </x:c>
      <x:c r="E261" s="17" t="n">
        <x:f>COUNTIF('BugResults'!$D$1646:$D$1683,"FAIL")</x:f>
        <x:v>13</x:v>
      </x:c>
      <x:c r="F261" s="33" t="n">
        <x:f>E261/38</x:f>
        <x:v>0.34210526315789475</x:v>
      </x:c>
    </x:row>
    <x:row r="262" ht="23" customHeight="1">
      <x:c r="B262" s="17" t="str">
        <x:v>Time</x:v>
      </x:c>
      <x:c r="C262" s="17" t="str">
        <x:v>All rounds</x:v>
      </x:c>
      <x:c r="D262" s="17" t="str">
        <x:v>REVEALING</x:v>
      </x:c>
      <x:c r="E262" s="17" t="n">
        <x:f>COUNTIF('BugResults'!$D$830:$D$855,"REVEALING")+COUNTIF('BugResults'!$D$1684:$D$1709,"REVEALING")</x:f>
        <x:v>0</x:v>
      </x:c>
      <x:c r="F262" s="33" t="n">
        <x:f>E262/52</x:f>
        <x:v>0</x:v>
      </x:c>
    </x:row>
    <x:row r="263" ht="23" customHeight="1">
      <x:c r="B263" s="17" t="str">
        <x:v>Time</x:v>
      </x:c>
      <x:c r="C263" s="17" t="str">
        <x:v>All rounds</x:v>
      </x:c>
      <x:c r="D263" s="17" t="str">
        <x:v>NOT_REVEALING</x:v>
      </x:c>
      <x:c r="E263" s="17" t="n">
        <x:f>COUNTIF('BugResults'!$D$830:$D$855,"NOT_REVEALING")+COUNTIF('BugResults'!$D$1684:$D$1709,"NOT_REVEALING")</x:f>
        <x:v>30</x:v>
      </x:c>
      <x:c r="F263" s="33" t="n">
        <x:f>E263/52</x:f>
        <x:v>0.5769230769230769</x:v>
      </x:c>
    </x:row>
    <x:row r="264" ht="23" customHeight="1">
      <x:c r="B264" s="17" t="str">
        <x:v>Time</x:v>
      </x:c>
      <x:c r="C264" s="17" t="str">
        <x:v>All rounds</x:v>
      </x:c>
      <x:c r="D264" s="17" t="str">
        <x:v>NOT_AVAILABLE</x:v>
      </x:c>
      <x:c r="E264" s="17" t="n">
        <x:f>COUNTIF('BugResults'!$D$830:$D$855,"NOT_AVAILABLE")+COUNTIF('BugResults'!$D$1684:$D$1709,"NOT_AVAILABLE")</x:f>
        <x:v>0</x:v>
      </x:c>
      <x:c r="F264" s="33" t="n">
        <x:f>E264/52</x:f>
        <x:v>0</x:v>
      </x:c>
    </x:row>
    <x:row r="265" ht="23" customHeight="1">
      <x:c r="B265" s="17" t="str">
        <x:v>Time</x:v>
      </x:c>
      <x:c r="C265" s="17" t="str">
        <x:v>All rounds</x:v>
      </x:c>
      <x:c r="D265" s="17" t="str">
        <x:v>INCONCLUSIVE</x:v>
      </x:c>
      <x:c r="E265" s="17" t="n">
        <x:f>COUNTIF('BugResults'!$D$830:$D$855,"INCONCLUSIVE")+COUNTIF('BugResults'!$D$1684:$D$1709,"INCONCLUSIVE")</x:f>
        <x:v>22</x:v>
      </x:c>
      <x:c r="F265" s="33" t="n">
        <x:f>E265/52</x:f>
        <x:v>0.4230769230769231</x:v>
      </x:c>
    </x:row>
    <x:row r="266" ht="23" customHeight="1">
      <x:c r="B266" s="17" t="str">
        <x:v>Time</x:v>
      </x:c>
      <x:c r="C266" s="17" t="str">
        <x:v>All rounds</x:v>
      </x:c>
      <x:c r="D266" s="17" t="str">
        <x:v>FAIL</x:v>
      </x:c>
      <x:c r="E266" s="17" t="n">
        <x:f>COUNTIF('BugResults'!$D$830:$D$855,"FAIL")+COUNTIF('BugResults'!$D$1684:$D$1709,"FAIL")</x:f>
        <x:v>0</x:v>
      </x:c>
      <x:c r="F266" s="33" t="n">
        <x:f>E266/52</x:f>
        <x:v>0</x:v>
      </x:c>
    </x:row>
    <x:row r="267" ht="23" customHeight="1">
      <x:c r="B267" s="17" t="str">
        <x:v>Time</x:v>
      </x:c>
      <x:c r="C267" s="17" t="str">
        <x:v>Round1</x:v>
      </x:c>
      <x:c r="D267" s="17" t="str">
        <x:v>REVEALING</x:v>
      </x:c>
      <x:c r="E267" s="17" t="n">
        <x:f>COUNTIF('BugResults'!$D$830:$D$855,"REVEALING")</x:f>
        <x:v>0</x:v>
      </x:c>
      <x:c r="F267" s="33" t="n">
        <x:f>E267/26</x:f>
        <x:v>0</x:v>
      </x:c>
    </x:row>
    <x:row r="268" ht="23" customHeight="1">
      <x:c r="B268" s="17" t="str">
        <x:v>Time</x:v>
      </x:c>
      <x:c r="C268" s="17" t="str">
        <x:v>Round1</x:v>
      </x:c>
      <x:c r="D268" s="17" t="str">
        <x:v>NOT_REVEALING</x:v>
      </x:c>
      <x:c r="E268" s="17" t="n">
        <x:f>COUNTIF('BugResults'!$D$830:$D$855,"NOT_REVEALING")</x:f>
        <x:v>19</x:v>
      </x:c>
      <x:c r="F268" s="33" t="n">
        <x:f>E268/26</x:f>
        <x:v>0.7307692307692307</x:v>
      </x:c>
    </x:row>
    <x:row r="269" ht="23" customHeight="1">
      <x:c r="B269" s="17" t="str">
        <x:v>Time</x:v>
      </x:c>
      <x:c r="C269" s="17" t="str">
        <x:v>Round1</x:v>
      </x:c>
      <x:c r="D269" s="17" t="str">
        <x:v>NOT_AVAILABLE</x:v>
      </x:c>
      <x:c r="E269" s="17" t="n">
        <x:f>COUNTIF('BugResults'!$D$830:$D$855,"NOT_AVAILABLE")</x:f>
        <x:v>0</x:v>
      </x:c>
      <x:c r="F269" s="33" t="n">
        <x:f>E269/26</x:f>
        <x:v>0</x:v>
      </x:c>
    </x:row>
    <x:row r="270" ht="23" customHeight="1">
      <x:c r="B270" s="17" t="str">
        <x:v>Time</x:v>
      </x:c>
      <x:c r="C270" s="17" t="str">
        <x:v>Round1</x:v>
      </x:c>
      <x:c r="D270" s="17" t="str">
        <x:v>INCONCLUSIVE</x:v>
      </x:c>
      <x:c r="E270" s="17" t="n">
        <x:f>COUNTIF('BugResults'!$D$830:$D$855,"INCONCLUSIVE")</x:f>
        <x:v>7</x:v>
      </x:c>
      <x:c r="F270" s="33" t="n">
        <x:f>E270/26</x:f>
        <x:v>0.2692307692307692</x:v>
      </x:c>
    </x:row>
    <x:row r="271" ht="23" customHeight="1">
      <x:c r="B271" s="17" t="str">
        <x:v>Time</x:v>
      </x:c>
      <x:c r="C271" s="17" t="str">
        <x:v>Round1</x:v>
      </x:c>
      <x:c r="D271" s="17" t="str">
        <x:v>FAIL</x:v>
      </x:c>
      <x:c r="E271" s="17" t="n">
        <x:f>COUNTIF('BugResults'!$D$830:$D$855,"FAIL")</x:f>
        <x:v>0</x:v>
      </x:c>
      <x:c r="F271" s="33" t="n">
        <x:f>E271/26</x:f>
        <x:v>0</x:v>
      </x:c>
    </x:row>
    <x:row r="272" ht="23" customHeight="1">
      <x:c r="B272" s="17" t="str">
        <x:v>Time</x:v>
      </x:c>
      <x:c r="C272" s="17" t="str">
        <x:v>Round2</x:v>
      </x:c>
      <x:c r="D272" s="17" t="str">
        <x:v>REVEALING</x:v>
      </x:c>
      <x:c r="E272" s="17" t="n">
        <x:f>COUNTIF('BugResults'!$D$1684:$D$1709,"REVEALING")</x:f>
        <x:v>0</x:v>
      </x:c>
      <x:c r="F272" s="33" t="n">
        <x:f>E272/26</x:f>
        <x:v>0</x:v>
      </x:c>
    </x:row>
    <x:row r="273" ht="23" customHeight="1">
      <x:c r="B273" s="17" t="str">
        <x:v>Time</x:v>
      </x:c>
      <x:c r="C273" s="17" t="str">
        <x:v>Round2</x:v>
      </x:c>
      <x:c r="D273" s="17" t="str">
        <x:v>NOT_REVEALING</x:v>
      </x:c>
      <x:c r="E273" s="17" t="n">
        <x:f>COUNTIF('BugResults'!$D$1684:$D$1709,"NOT_REVEALING")</x:f>
        <x:v>11</x:v>
      </x:c>
      <x:c r="F273" s="33" t="n">
        <x:f>E273/26</x:f>
        <x:v>0.4230769230769231</x:v>
      </x:c>
    </x:row>
    <x:row r="274" ht="23" customHeight="1">
      <x:c r="B274" s="17" t="str">
        <x:v>Time</x:v>
      </x:c>
      <x:c r="C274" s="17" t="str">
        <x:v>Round2</x:v>
      </x:c>
      <x:c r="D274" s="17" t="str">
        <x:v>NOT_AVAILABLE</x:v>
      </x:c>
      <x:c r="E274" s="17" t="n">
        <x:f>COUNTIF('BugResults'!$D$1684:$D$1709,"NOT_AVAILABLE")</x:f>
        <x:v>0</x:v>
      </x:c>
      <x:c r="F274" s="33" t="n">
        <x:f>E274/26</x:f>
        <x:v>0</x:v>
      </x:c>
    </x:row>
    <x:row r="275" ht="23" customHeight="1">
      <x:c r="B275" s="17" t="str">
        <x:v>Time</x:v>
      </x:c>
      <x:c r="C275" s="17" t="str">
        <x:v>Round2</x:v>
      </x:c>
      <x:c r="D275" s="17" t="str">
        <x:v>INCONCLUSIVE</x:v>
      </x:c>
      <x:c r="E275" s="17" t="n">
        <x:f>COUNTIF('BugResults'!$D$1684:$D$1709,"INCONCLUSIVE")</x:f>
        <x:v>15</x:v>
      </x:c>
      <x:c r="F275" s="33" t="n">
        <x:f>E275/26</x:f>
        <x:v>0.5769230769230769</x:v>
      </x:c>
    </x:row>
    <x:row r="276" ht="23" customHeight="1">
      <x:c r="B276" s="17" t="str">
        <x:v>Time</x:v>
      </x:c>
      <x:c r="C276" s="17" t="str">
        <x:v>Round2</x:v>
      </x:c>
      <x:c r="D276" s="17" t="str">
        <x:v>FAIL</x:v>
      </x:c>
      <x:c r="E276" s="17" t="n">
        <x:f>COUNTIF('BugResults'!$D$1684:$D$1709,"FAIL")</x:f>
        <x:v>0</x:v>
      </x:c>
      <x:c r="F276" s="33" t="n">
        <x:f>E276/26</x:f>
        <x:v>0</x:v>
      </x:c>
    </x:row>
  </x:sheetData>
  <x:mergeCells>
    <x:mergeCell ref="B3:I3"/>
    <x:mergeCell ref="B4:I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2">
      <x:c r="B2" t="str">
        <x:v>Five-status reconciliation</x:v>
      </x:c>
    </x:row>
    <x:row r="6" ht="42" customHeight="1">
      <x:c r="B6" s="20" t="str">
        <x:v>Project</x:v>
      </x:c>
      <x:c r="C6" s="20" t="str">
        <x:v>Round</x:v>
      </x:c>
      <x:c r="D6" s="20" t="str">
        <x:v>Resource cases</x:v>
      </x:c>
      <x:c r="E6" s="20" t="str">
        <x:v>Bug rows</x:v>
      </x:c>
      <x:c r="F6" s="20" t="str">
        <x:v>Status sum</x:v>
      </x:c>
      <x:c r="G6" s="20" t="str">
        <x:v>Difference</x:v>
      </x:c>
      <x:c r="H6" s="20" t="str">
        <x:v>Partial</x:v>
      </x:c>
      <x:c r="I6" s="20" t="str">
        <x:v>Class evidence missing</x:v>
      </x:c>
    </x:row>
    <x:row r="7" ht="23" customHeight="1">
      <x:c r="B7" s="17" t="str">
        <x:v>All projects</x:v>
      </x:c>
      <x:c r="C7" s="17" t="str">
        <x:v>All rounds</x:v>
      </x:c>
      <x:c r="D7" s="17" t="n">
        <x:v>1708</x:v>
      </x:c>
      <x:c r="E7" s="17" t="n">
        <x:f>COUNTA('BugResults'!$A$2:$A$1709)</x:f>
        <x:v>1708</x:v>
      </x:c>
      <x:c r="F7" s="17" t="n">
        <x:f>SUM('Verdicts'!E7:E11)</x:f>
        <x:v>1708</x:v>
      </x:c>
      <x:c r="G7" s="17" t="n">
        <x:f>F7-D7</x:f>
        <x:v>0</x:v>
      </x:c>
      <x:c r="H7" s="17" t="str">
        <x:f>"N/A"</x:f>
        <x:v>N/A</x:v>
      </x:c>
      <x:c r="I7" s="17" t="str">
        <x:f>"N/A"</x:f>
        <x:v>N/A</x:v>
      </x:c>
    </x:row>
    <x:row r="8" ht="23" customHeight="1">
      <x:c r="B8" s="17" t="str">
        <x:v>All projects</x:v>
      </x:c>
      <x:c r="C8" s="17" t="str">
        <x:v>Round1</x:v>
      </x:c>
      <x:c r="D8" s="17" t="n">
        <x:v>854</x:v>
      </x:c>
      <x:c r="E8" s="17" t="n">
        <x:f>COUNTA('BugResults'!$A$2:$A$855)</x:f>
        <x:v>854</x:v>
      </x:c>
      <x:c r="F8" s="17" t="n">
        <x:f>SUM('Verdicts'!E12:E16)</x:f>
        <x:v>854</x:v>
      </x:c>
      <x:c r="G8" s="17" t="n">
        <x:f>F8-D8</x:f>
        <x:v>0</x:v>
      </x:c>
      <x:c r="H8" s="17" t="str">
        <x:f>"N/A"</x:f>
        <x:v>N/A</x:v>
      </x:c>
      <x:c r="I8" s="17" t="str">
        <x:f>"N/A"</x:f>
        <x:v>N/A</x:v>
      </x:c>
    </x:row>
    <x:row r="9" ht="23" customHeight="1">
      <x:c r="B9" s="17" t="str">
        <x:v>All projects</x:v>
      </x:c>
      <x:c r="C9" s="17" t="str">
        <x:v>Round2</x:v>
      </x:c>
      <x:c r="D9" s="17" t="n">
        <x:v>854</x:v>
      </x:c>
      <x:c r="E9" s="17" t="n">
        <x:f>COUNTA('BugResults'!$A$856:$A$1709)</x:f>
        <x:v>854</x:v>
      </x:c>
      <x:c r="F9" s="17" t="n">
        <x:f>SUM('Verdicts'!E17:E21)</x:f>
        <x:v>854</x:v>
      </x:c>
      <x:c r="G9" s="17" t="n">
        <x:f>F9-D9</x:f>
        <x:v>0</x:v>
      </x:c>
      <x:c r="H9" s="17" t="str">
        <x:f>"N/A"</x:f>
        <x:v>N/A</x:v>
      </x:c>
      <x:c r="I9" s="17" t="str">
        <x:f>"N/A"</x:f>
        <x:v>N/A</x:v>
      </x:c>
    </x:row>
    <x:row r="10" ht="23" customHeight="1">
      <x:c r="B10" s="17" t="str">
        <x:v>Chart</x:v>
      </x:c>
      <x:c r="C10" s="17" t="str">
        <x:v>All rounds</x:v>
      </x:c>
      <x:c r="D10" s="17" t="n">
        <x:v>52</x:v>
      </x:c>
      <x:c r="E10" s="17" t="n">
        <x:f>COUNTA('BugResults'!$A$2:$A$27)+COUNTA('BugResults'!$A$856:$A$881)</x:f>
        <x:v>52</x:v>
      </x:c>
      <x:c r="F10" s="17" t="n">
        <x:f>SUM('Verdicts'!E22:E26)</x:f>
        <x:v>52</x:v>
      </x:c>
      <x:c r="G10" s="17" t="n">
        <x:f>F10-D10</x:f>
        <x:v>0</x:v>
      </x:c>
      <x:c r="H10" s="17" t="str">
        <x:f>"N/A"</x:f>
        <x:v>N/A</x:v>
      </x:c>
      <x:c r="I10" s="17" t="str">
        <x:f>"N/A"</x:f>
        <x:v>N/A</x:v>
      </x:c>
    </x:row>
    <x:row r="11" ht="23" customHeight="1">
      <x:c r="B11" s="17" t="str">
        <x:v>Chart</x:v>
      </x:c>
      <x:c r="C11" s="17" t="str">
        <x:v>Round1</x:v>
      </x:c>
      <x:c r="D11" s="17" t="n">
        <x:v>26</x:v>
      </x:c>
      <x:c r="E11" s="17" t="n">
        <x:f>COUNTA('BugResults'!$A$2:$A$27)</x:f>
        <x:v>26</x:v>
      </x:c>
      <x:c r="F11" s="17" t="n">
        <x:f>SUM('Verdicts'!E27:E31)</x:f>
        <x:v>26</x:v>
      </x:c>
      <x:c r="G11" s="17" t="n">
        <x:f>F11-D11</x:f>
        <x:v>0</x:v>
      </x:c>
      <x:c r="H11" s="17" t="str">
        <x:f>"N/A"</x:f>
        <x:v>N/A</x:v>
      </x:c>
      <x:c r="I11" s="17" t="str">
        <x:f>"N/A"</x:f>
        <x:v>N/A</x:v>
      </x:c>
    </x:row>
    <x:row r="12" ht="23" customHeight="1">
      <x:c r="B12" s="17" t="str">
        <x:v>Chart</x:v>
      </x:c>
      <x:c r="C12" s="17" t="str">
        <x:v>Round2</x:v>
      </x:c>
      <x:c r="D12" s="17" t="n">
        <x:v>26</x:v>
      </x:c>
      <x:c r="E12" s="17" t="n">
        <x:f>COUNTA('BugResults'!$A$856:$A$881)</x:f>
        <x:v>26</x:v>
      </x:c>
      <x:c r="F12" s="17" t="n">
        <x:f>SUM('Verdicts'!E32:E36)</x:f>
        <x:v>26</x:v>
      </x:c>
      <x:c r="G12" s="17" t="n">
        <x:f>F12-D12</x:f>
        <x:v>0</x:v>
      </x:c>
      <x:c r="H12" s="17" t="str">
        <x:f>"N/A"</x:f>
        <x:v>N/A</x:v>
      </x:c>
      <x:c r="I12" s="17" t="str">
        <x:f>"N/A"</x:f>
        <x:v>N/A</x:v>
      </x:c>
    </x:row>
    <x:row r="13" ht="23" customHeight="1">
      <x:c r="B13" s="17" t="str">
        <x:v>Cli</x:v>
      </x:c>
      <x:c r="C13" s="17" t="str">
        <x:v>All rounds</x:v>
      </x:c>
      <x:c r="D13" s="17" t="n">
        <x:v>78</x:v>
      </x:c>
      <x:c r="E13" s="17" t="n">
        <x:f>COUNTA('BugResults'!$A$28:$A$66)+COUNTA('BugResults'!$A$882:$A$920)</x:f>
        <x:v>78</x:v>
      </x:c>
      <x:c r="F13" s="17" t="n">
        <x:f>SUM('Verdicts'!E37:E41)</x:f>
        <x:v>78</x:v>
      </x:c>
      <x:c r="G13" s="17" t="n">
        <x:f>F13-D13</x:f>
        <x:v>0</x:v>
      </x:c>
      <x:c r="H13" s="17" t="str">
        <x:f>"N/A"</x:f>
        <x:v>N/A</x:v>
      </x:c>
      <x:c r="I13" s="17" t="str">
        <x:f>"N/A"</x:f>
        <x:v>N/A</x:v>
      </x:c>
    </x:row>
    <x:row r="14" ht="23" customHeight="1">
      <x:c r="B14" s="17" t="str">
        <x:v>Cli</x:v>
      </x:c>
      <x:c r="C14" s="17" t="str">
        <x:v>Round1</x:v>
      </x:c>
      <x:c r="D14" s="17" t="n">
        <x:v>39</x:v>
      </x:c>
      <x:c r="E14" s="17" t="n">
        <x:f>COUNTA('BugResults'!$A$28:$A$66)</x:f>
        <x:v>39</x:v>
      </x:c>
      <x:c r="F14" s="17" t="n">
        <x:f>SUM('Verdicts'!E42:E46)</x:f>
        <x:v>39</x:v>
      </x:c>
      <x:c r="G14" s="17" t="n">
        <x:f>F14-D14</x:f>
        <x:v>0</x:v>
      </x:c>
      <x:c r="H14" s="17" t="str">
        <x:f>"N/A"</x:f>
        <x:v>N/A</x:v>
      </x:c>
      <x:c r="I14" s="17" t="str">
        <x:f>"N/A"</x:f>
        <x:v>N/A</x:v>
      </x:c>
    </x:row>
    <x:row r="15" ht="23" customHeight="1">
      <x:c r="B15" s="17" t="str">
        <x:v>Cli</x:v>
      </x:c>
      <x:c r="C15" s="17" t="str">
        <x:v>Round2</x:v>
      </x:c>
      <x:c r="D15" s="17" t="n">
        <x:v>39</x:v>
      </x:c>
      <x:c r="E15" s="17" t="n">
        <x:f>COUNTA('BugResults'!$A$882:$A$920)</x:f>
        <x:v>39</x:v>
      </x:c>
      <x:c r="F15" s="17" t="n">
        <x:f>SUM('Verdicts'!E47:E51)</x:f>
        <x:v>39</x:v>
      </x:c>
      <x:c r="G15" s="17" t="n">
        <x:f>F15-D15</x:f>
        <x:v>0</x:v>
      </x:c>
      <x:c r="H15" s="17" t="str">
        <x:f>"N/A"</x:f>
        <x:v>N/A</x:v>
      </x:c>
      <x:c r="I15" s="17" t="str">
        <x:f>"N/A"</x:f>
        <x:v>N/A</x:v>
      </x:c>
    </x:row>
    <x:row r="16" ht="23" customHeight="1">
      <x:c r="B16" s="17" t="str">
        <x:v>Closure</x:v>
      </x:c>
      <x:c r="C16" s="17" t="str">
        <x:v>All rounds</x:v>
      </x:c>
      <x:c r="D16" s="17" t="n">
        <x:v>348</x:v>
      </x:c>
      <x:c r="E16" s="17" t="n">
        <x:f>COUNTA('BugResults'!$A$67:$A$240)+COUNTA('BugResults'!$A$921:$A$1094)</x:f>
        <x:v>348</x:v>
      </x:c>
      <x:c r="F16" s="17" t="n">
        <x:f>SUM('Verdicts'!E52:E56)</x:f>
        <x:v>348</x:v>
      </x:c>
      <x:c r="G16" s="17" t="n">
        <x:f>F16-D16</x:f>
        <x:v>0</x:v>
      </x:c>
      <x:c r="H16" s="17" t="str">
        <x:f>"N/A"</x:f>
        <x:v>N/A</x:v>
      </x:c>
      <x:c r="I16" s="17" t="str">
        <x:f>"N/A"</x:f>
        <x:v>N/A</x:v>
      </x:c>
    </x:row>
    <x:row r="17" ht="23" customHeight="1">
      <x:c r="B17" s="17" t="str">
        <x:v>Closure</x:v>
      </x:c>
      <x:c r="C17" s="17" t="str">
        <x:v>Round1</x:v>
      </x:c>
      <x:c r="D17" s="17" t="n">
        <x:v>174</x:v>
      </x:c>
      <x:c r="E17" s="17" t="n">
        <x:f>COUNTA('BugResults'!$A$67:$A$240)</x:f>
        <x:v>174</x:v>
      </x:c>
      <x:c r="F17" s="17" t="n">
        <x:f>SUM('Verdicts'!E57:E61)</x:f>
        <x:v>174</x:v>
      </x:c>
      <x:c r="G17" s="17" t="n">
        <x:f>F17-D17</x:f>
        <x:v>0</x:v>
      </x:c>
      <x:c r="H17" s="17" t="str">
        <x:f>"N/A"</x:f>
        <x:v>N/A</x:v>
      </x:c>
      <x:c r="I17" s="17" t="str">
        <x:f>"N/A"</x:f>
        <x:v>N/A</x:v>
      </x:c>
    </x:row>
    <x:row r="18" ht="23" customHeight="1">
      <x:c r="B18" s="17" t="str">
        <x:v>Closure</x:v>
      </x:c>
      <x:c r="C18" s="17" t="str">
        <x:v>Round2</x:v>
      </x:c>
      <x:c r="D18" s="17" t="n">
        <x:v>174</x:v>
      </x:c>
      <x:c r="E18" s="17" t="n">
        <x:f>COUNTA('BugResults'!$A$921:$A$1094)</x:f>
        <x:v>174</x:v>
      </x:c>
      <x:c r="F18" s="17" t="n">
        <x:f>SUM('Verdicts'!E62:E66)</x:f>
        <x:v>174</x:v>
      </x:c>
      <x:c r="G18" s="17" t="n">
        <x:f>F18-D18</x:f>
        <x:v>0</x:v>
      </x:c>
      <x:c r="H18" s="17" t="str">
        <x:f>"N/A"</x:f>
        <x:v>N/A</x:v>
      </x:c>
      <x:c r="I18" s="17" t="str">
        <x:f>"N/A"</x:f>
        <x:v>N/A</x:v>
      </x:c>
    </x:row>
    <x:row r="19" ht="23" customHeight="1">
      <x:c r="B19" s="17" t="str">
        <x:v>Codec</x:v>
      </x:c>
      <x:c r="C19" s="17" t="str">
        <x:v>All rounds</x:v>
      </x:c>
      <x:c r="D19" s="17" t="n">
        <x:v>36</x:v>
      </x:c>
      <x:c r="E19" s="17" t="n">
        <x:f>COUNTA('BugResults'!$A$241:$A$258)+COUNTA('BugResults'!$A$1095:$A$1112)</x:f>
        <x:v>36</x:v>
      </x:c>
      <x:c r="F19" s="17" t="n">
        <x:f>SUM('Verdicts'!E67:E71)</x:f>
        <x:v>36</x:v>
      </x:c>
      <x:c r="G19" s="17" t="n">
        <x:f>F19-D19</x:f>
        <x:v>0</x:v>
      </x:c>
      <x:c r="H19" s="17" t="str">
        <x:f>"N/A"</x:f>
        <x:v>N/A</x:v>
      </x:c>
      <x:c r="I19" s="17" t="str">
        <x:f>"N/A"</x:f>
        <x:v>N/A</x:v>
      </x:c>
    </x:row>
    <x:row r="20" ht="23" customHeight="1">
      <x:c r="B20" s="17" t="str">
        <x:v>Codec</x:v>
      </x:c>
      <x:c r="C20" s="17" t="str">
        <x:v>Round1</x:v>
      </x:c>
      <x:c r="D20" s="17" t="n">
        <x:v>18</x:v>
      </x:c>
      <x:c r="E20" s="17" t="n">
        <x:f>COUNTA('BugResults'!$A$241:$A$258)</x:f>
        <x:v>18</x:v>
      </x:c>
      <x:c r="F20" s="17" t="n">
        <x:f>SUM('Verdicts'!E72:E76)</x:f>
        <x:v>18</x:v>
      </x:c>
      <x:c r="G20" s="17" t="n">
        <x:f>F20-D20</x:f>
        <x:v>0</x:v>
      </x:c>
      <x:c r="H20" s="17" t="str">
        <x:f>"N/A"</x:f>
        <x:v>N/A</x:v>
      </x:c>
      <x:c r="I20" s="17" t="str">
        <x:f>"N/A"</x:f>
        <x:v>N/A</x:v>
      </x:c>
    </x:row>
    <x:row r="21" ht="23" customHeight="1">
      <x:c r="B21" s="17" t="str">
        <x:v>Codec</x:v>
      </x:c>
      <x:c r="C21" s="17" t="str">
        <x:v>Round2</x:v>
      </x:c>
      <x:c r="D21" s="17" t="n">
        <x:v>18</x:v>
      </x:c>
      <x:c r="E21" s="17" t="n">
        <x:f>COUNTA('BugResults'!$A$1095:$A$1112)</x:f>
        <x:v>18</x:v>
      </x:c>
      <x:c r="F21" s="17" t="n">
        <x:f>SUM('Verdicts'!E77:E81)</x:f>
        <x:v>18</x:v>
      </x:c>
      <x:c r="G21" s="17" t="n">
        <x:f>F21-D21</x:f>
        <x:v>0</x:v>
      </x:c>
      <x:c r="H21" s="17" t="str">
        <x:f>"N/A"</x:f>
        <x:v>N/A</x:v>
      </x:c>
      <x:c r="I21" s="17" t="str">
        <x:f>"N/A"</x:f>
        <x:v>N/A</x:v>
      </x:c>
    </x:row>
    <x:row r="22" ht="23" customHeight="1">
      <x:c r="B22" s="17" t="str">
        <x:v>Collections</x:v>
      </x:c>
      <x:c r="C22" s="17" t="str">
        <x:v>All rounds</x:v>
      </x:c>
      <x:c r="D22" s="17" t="n">
        <x:v>56</x:v>
      </x:c>
      <x:c r="E22" s="17" t="n">
        <x:f>COUNTA('BugResults'!$A$259:$A$286)+COUNTA('BugResults'!$A$1113:$A$1140)</x:f>
        <x:v>56</x:v>
      </x:c>
      <x:c r="F22" s="17" t="n">
        <x:f>SUM('Verdicts'!E82:E86)</x:f>
        <x:v>56</x:v>
      </x:c>
      <x:c r="G22" s="17" t="n">
        <x:f>F22-D22</x:f>
        <x:v>0</x:v>
      </x:c>
      <x:c r="H22" s="17" t="str">
        <x:f>"N/A"</x:f>
        <x:v>N/A</x:v>
      </x:c>
      <x:c r="I22" s="17" t="str">
        <x:f>"N/A"</x:f>
        <x:v>N/A</x:v>
      </x:c>
    </x:row>
    <x:row r="23" ht="23" customHeight="1">
      <x:c r="B23" s="17" t="str">
        <x:v>Collections</x:v>
      </x:c>
      <x:c r="C23" s="17" t="str">
        <x:v>Round1</x:v>
      </x:c>
      <x:c r="D23" s="17" t="n">
        <x:v>28</x:v>
      </x:c>
      <x:c r="E23" s="17" t="n">
        <x:f>COUNTA('BugResults'!$A$259:$A$286)</x:f>
        <x:v>28</x:v>
      </x:c>
      <x:c r="F23" s="17" t="n">
        <x:f>SUM('Verdicts'!E87:E91)</x:f>
        <x:v>28</x:v>
      </x:c>
      <x:c r="G23" s="17" t="n">
        <x:f>F23-D23</x:f>
        <x:v>0</x:v>
      </x:c>
      <x:c r="H23" s="17" t="str">
        <x:f>"N/A"</x:f>
        <x:v>N/A</x:v>
      </x:c>
      <x:c r="I23" s="17" t="str">
        <x:f>"N/A"</x:f>
        <x:v>N/A</x:v>
      </x:c>
    </x:row>
    <x:row r="24" ht="23" customHeight="1">
      <x:c r="B24" s="17" t="str">
        <x:v>Collections</x:v>
      </x:c>
      <x:c r="C24" s="17" t="str">
        <x:v>Round2</x:v>
      </x:c>
      <x:c r="D24" s="17" t="n">
        <x:v>28</x:v>
      </x:c>
      <x:c r="E24" s="17" t="n">
        <x:f>COUNTA('BugResults'!$A$1113:$A$1140)</x:f>
        <x:v>28</x:v>
      </x:c>
      <x:c r="F24" s="17" t="n">
        <x:f>SUM('Verdicts'!E92:E96)</x:f>
        <x:v>28</x:v>
      </x:c>
      <x:c r="G24" s="17" t="n">
        <x:f>F24-D24</x:f>
        <x:v>0</x:v>
      </x:c>
      <x:c r="H24" s="17" t="str">
        <x:f>"N/A"</x:f>
        <x:v>N/A</x:v>
      </x:c>
      <x:c r="I24" s="17" t="str">
        <x:f>"N/A"</x:f>
        <x:v>N/A</x:v>
      </x:c>
    </x:row>
    <x:row r="25" ht="23" customHeight="1">
      <x:c r="B25" s="17" t="str">
        <x:v>Compress</x:v>
      </x:c>
      <x:c r="C25" s="17" t="str">
        <x:v>All rounds</x:v>
      </x:c>
      <x:c r="D25" s="17" t="n">
        <x:v>94</x:v>
      </x:c>
      <x:c r="E25" s="17" t="n">
        <x:f>COUNTA('BugResults'!$A$287:$A$333)+COUNTA('BugResults'!$A$1141:$A$1187)</x:f>
        <x:v>94</x:v>
      </x:c>
      <x:c r="F25" s="17" t="n">
        <x:f>SUM('Verdicts'!E97:E101)</x:f>
        <x:v>94</x:v>
      </x:c>
      <x:c r="G25" s="17" t="n">
        <x:f>F25-D25</x:f>
        <x:v>0</x:v>
      </x:c>
      <x:c r="H25" s="17" t="str">
        <x:f>"N/A"</x:f>
        <x:v>N/A</x:v>
      </x:c>
      <x:c r="I25" s="17" t="str">
        <x:f>"N/A"</x:f>
        <x:v>N/A</x:v>
      </x:c>
    </x:row>
    <x:row r="26" ht="23" customHeight="1">
      <x:c r="B26" s="17" t="str">
        <x:v>Compress</x:v>
      </x:c>
      <x:c r="C26" s="17" t="str">
        <x:v>Round1</x:v>
      </x:c>
      <x:c r="D26" s="17" t="n">
        <x:v>47</x:v>
      </x:c>
      <x:c r="E26" s="17" t="n">
        <x:f>COUNTA('BugResults'!$A$287:$A$333)</x:f>
        <x:v>47</x:v>
      </x:c>
      <x:c r="F26" s="17" t="n">
        <x:f>SUM('Verdicts'!E102:E106)</x:f>
        <x:v>47</x:v>
      </x:c>
      <x:c r="G26" s="17" t="n">
        <x:f>F26-D26</x:f>
        <x:v>0</x:v>
      </x:c>
      <x:c r="H26" s="17" t="str">
        <x:f>"N/A"</x:f>
        <x:v>N/A</x:v>
      </x:c>
      <x:c r="I26" s="17" t="str">
        <x:f>"N/A"</x:f>
        <x:v>N/A</x:v>
      </x:c>
    </x:row>
    <x:row r="27" ht="23" customHeight="1">
      <x:c r="B27" s="17" t="str">
        <x:v>Compress</x:v>
      </x:c>
      <x:c r="C27" s="17" t="str">
        <x:v>Round2</x:v>
      </x:c>
      <x:c r="D27" s="17" t="n">
        <x:v>47</x:v>
      </x:c>
      <x:c r="E27" s="17" t="n">
        <x:f>COUNTA('BugResults'!$A$1141:$A$1187)</x:f>
        <x:v>47</x:v>
      </x:c>
      <x:c r="F27" s="17" t="n">
        <x:f>SUM('Verdicts'!E107:E111)</x:f>
        <x:v>47</x:v>
      </x:c>
      <x:c r="G27" s="17" t="n">
        <x:f>F27-D27</x:f>
        <x:v>0</x:v>
      </x:c>
      <x:c r="H27" s="17" t="str">
        <x:f>"N/A"</x:f>
        <x:v>N/A</x:v>
      </x:c>
      <x:c r="I27" s="17" t="str">
        <x:f>"N/A"</x:f>
        <x:v>N/A</x:v>
      </x:c>
    </x:row>
    <x:row r="28" ht="23" customHeight="1">
      <x:c r="B28" s="17" t="str">
        <x:v>Csv</x:v>
      </x:c>
      <x:c r="C28" s="17" t="str">
        <x:v>All rounds</x:v>
      </x:c>
      <x:c r="D28" s="17" t="n">
        <x:v>32</x:v>
      </x:c>
      <x:c r="E28" s="17" t="n">
        <x:f>COUNTA('BugResults'!$A$334:$A$349)+COUNTA('BugResults'!$A$1188:$A$1203)</x:f>
        <x:v>32</x:v>
      </x:c>
      <x:c r="F28" s="17" t="n">
        <x:f>SUM('Verdicts'!E112:E116)</x:f>
        <x:v>32</x:v>
      </x:c>
      <x:c r="G28" s="17" t="n">
        <x:f>F28-D28</x:f>
        <x:v>0</x:v>
      </x:c>
      <x:c r="H28" s="17" t="str">
        <x:f>"N/A"</x:f>
        <x:v>N/A</x:v>
      </x:c>
      <x:c r="I28" s="17" t="str">
        <x:f>"N/A"</x:f>
        <x:v>N/A</x:v>
      </x:c>
    </x:row>
    <x:row r="29" ht="23" customHeight="1">
      <x:c r="B29" s="17" t="str">
        <x:v>Csv</x:v>
      </x:c>
      <x:c r="C29" s="17" t="str">
        <x:v>Round1</x:v>
      </x:c>
      <x:c r="D29" s="17" t="n">
        <x:v>16</x:v>
      </x:c>
      <x:c r="E29" s="17" t="n">
        <x:f>COUNTA('BugResults'!$A$334:$A$349)</x:f>
        <x:v>16</x:v>
      </x:c>
      <x:c r="F29" s="17" t="n">
        <x:f>SUM('Verdicts'!E117:E121)</x:f>
        <x:v>16</x:v>
      </x:c>
      <x:c r="G29" s="17" t="n">
        <x:f>F29-D29</x:f>
        <x:v>0</x:v>
      </x:c>
      <x:c r="H29" s="17" t="str">
        <x:f>"N/A"</x:f>
        <x:v>N/A</x:v>
      </x:c>
      <x:c r="I29" s="17" t="str">
        <x:f>"N/A"</x:f>
        <x:v>N/A</x:v>
      </x:c>
    </x:row>
    <x:row r="30" ht="23" customHeight="1">
      <x:c r="B30" s="17" t="str">
        <x:v>Csv</x:v>
      </x:c>
      <x:c r="C30" s="17" t="str">
        <x:v>Round2</x:v>
      </x:c>
      <x:c r="D30" s="17" t="n">
        <x:v>16</x:v>
      </x:c>
      <x:c r="E30" s="17" t="n">
        <x:f>COUNTA('BugResults'!$A$1188:$A$1203)</x:f>
        <x:v>16</x:v>
      </x:c>
      <x:c r="F30" s="17" t="n">
        <x:f>SUM('Verdicts'!E122:E126)</x:f>
        <x:v>16</x:v>
      </x:c>
      <x:c r="G30" s="17" t="n">
        <x:f>F30-D30</x:f>
        <x:v>0</x:v>
      </x:c>
      <x:c r="H30" s="17" t="str">
        <x:f>"N/A"</x:f>
        <x:v>N/A</x:v>
      </x:c>
      <x:c r="I30" s="17" t="str">
        <x:f>"N/A"</x:f>
        <x:v>N/A</x:v>
      </x:c>
    </x:row>
    <x:row r="31" ht="23" customHeight="1">
      <x:c r="B31" s="17" t="str">
        <x:v>Gson</x:v>
      </x:c>
      <x:c r="C31" s="17" t="str">
        <x:v>All rounds</x:v>
      </x:c>
      <x:c r="D31" s="17" t="n">
        <x:v>36</x:v>
      </x:c>
      <x:c r="E31" s="17" t="n">
        <x:f>COUNTA('BugResults'!$A$350:$A$367)+COUNTA('BugResults'!$A$1204:$A$1221)</x:f>
        <x:v>36</x:v>
      </x:c>
      <x:c r="F31" s="17" t="n">
        <x:f>SUM('Verdicts'!E127:E131)</x:f>
        <x:v>36</x:v>
      </x:c>
      <x:c r="G31" s="17" t="n">
        <x:f>F31-D31</x:f>
        <x:v>0</x:v>
      </x:c>
      <x:c r="H31" s="17" t="str">
        <x:f>"N/A"</x:f>
        <x:v>N/A</x:v>
      </x:c>
      <x:c r="I31" s="17" t="str">
        <x:f>"N/A"</x:f>
        <x:v>N/A</x:v>
      </x:c>
    </x:row>
    <x:row r="32" ht="23" customHeight="1">
      <x:c r="B32" s="17" t="str">
        <x:v>Gson</x:v>
      </x:c>
      <x:c r="C32" s="17" t="str">
        <x:v>Round1</x:v>
      </x:c>
      <x:c r="D32" s="17" t="n">
        <x:v>18</x:v>
      </x:c>
      <x:c r="E32" s="17" t="n">
        <x:f>COUNTA('BugResults'!$A$350:$A$367)</x:f>
        <x:v>18</x:v>
      </x:c>
      <x:c r="F32" s="17" t="n">
        <x:f>SUM('Verdicts'!E132:E136)</x:f>
        <x:v>18</x:v>
      </x:c>
      <x:c r="G32" s="17" t="n">
        <x:f>F32-D32</x:f>
        <x:v>0</x:v>
      </x:c>
      <x:c r="H32" s="17" t="str">
        <x:f>"N/A"</x:f>
        <x:v>N/A</x:v>
      </x:c>
      <x:c r="I32" s="17" t="str">
        <x:f>"N/A"</x:f>
        <x:v>N/A</x:v>
      </x:c>
    </x:row>
    <x:row r="33" ht="23" customHeight="1">
      <x:c r="B33" s="17" t="str">
        <x:v>Gson</x:v>
      </x:c>
      <x:c r="C33" s="17" t="str">
        <x:v>Round2</x:v>
      </x:c>
      <x:c r="D33" s="17" t="n">
        <x:v>18</x:v>
      </x:c>
      <x:c r="E33" s="17" t="n">
        <x:f>COUNTA('BugResults'!$A$1204:$A$1221)</x:f>
        <x:v>18</x:v>
      </x:c>
      <x:c r="F33" s="17" t="n">
        <x:f>SUM('Verdicts'!E137:E141)</x:f>
        <x:v>18</x:v>
      </x:c>
      <x:c r="G33" s="17" t="n">
        <x:f>F33-D33</x:f>
        <x:v>0</x:v>
      </x:c>
      <x:c r="H33" s="17" t="str">
        <x:f>"N/A"</x:f>
        <x:v>N/A</x:v>
      </x:c>
      <x:c r="I33" s="17" t="str">
        <x:f>"N/A"</x:f>
        <x:v>N/A</x:v>
      </x:c>
    </x:row>
    <x:row r="34" ht="23" customHeight="1">
      <x:c r="B34" s="17" t="str">
        <x:v>JacksonCore</x:v>
      </x:c>
      <x:c r="C34" s="17" t="str">
        <x:v>All rounds</x:v>
      </x:c>
      <x:c r="D34" s="17" t="n">
        <x:v>52</x:v>
      </x:c>
      <x:c r="E34" s="17" t="n">
        <x:f>COUNTA('BugResults'!$A$368:$A$393)+COUNTA('BugResults'!$A$1222:$A$1247)</x:f>
        <x:v>52</x:v>
      </x:c>
      <x:c r="F34" s="17" t="n">
        <x:f>SUM('Verdicts'!E142:E146)</x:f>
        <x:v>52</x:v>
      </x:c>
      <x:c r="G34" s="17" t="n">
        <x:f>F34-D34</x:f>
        <x:v>0</x:v>
      </x:c>
      <x:c r="H34" s="17" t="str">
        <x:f>"N/A"</x:f>
        <x:v>N/A</x:v>
      </x:c>
      <x:c r="I34" s="17" t="str">
        <x:f>"N/A"</x:f>
        <x:v>N/A</x:v>
      </x:c>
    </x:row>
    <x:row r="35" ht="23" customHeight="1">
      <x:c r="B35" s="17" t="str">
        <x:v>JacksonCore</x:v>
      </x:c>
      <x:c r="C35" s="17" t="str">
        <x:v>Round1</x:v>
      </x:c>
      <x:c r="D35" s="17" t="n">
        <x:v>26</x:v>
      </x:c>
      <x:c r="E35" s="17" t="n">
        <x:f>COUNTA('BugResults'!$A$368:$A$393)</x:f>
        <x:v>26</x:v>
      </x:c>
      <x:c r="F35" s="17" t="n">
        <x:f>SUM('Verdicts'!E147:E151)</x:f>
        <x:v>26</x:v>
      </x:c>
      <x:c r="G35" s="17" t="n">
        <x:f>F35-D35</x:f>
        <x:v>0</x:v>
      </x:c>
      <x:c r="H35" s="17" t="str">
        <x:f>"N/A"</x:f>
        <x:v>N/A</x:v>
      </x:c>
      <x:c r="I35" s="17" t="str">
        <x:f>"N/A"</x:f>
        <x:v>N/A</x:v>
      </x:c>
    </x:row>
    <x:row r="36" ht="23" customHeight="1">
      <x:c r="B36" s="17" t="str">
        <x:v>JacksonCore</x:v>
      </x:c>
      <x:c r="C36" s="17" t="str">
        <x:v>Round2</x:v>
      </x:c>
      <x:c r="D36" s="17" t="n">
        <x:v>26</x:v>
      </x:c>
      <x:c r="E36" s="17" t="n">
        <x:f>COUNTA('BugResults'!$A$1222:$A$1247)</x:f>
        <x:v>26</x:v>
      </x:c>
      <x:c r="F36" s="17" t="n">
        <x:f>SUM('Verdicts'!E152:E156)</x:f>
        <x:v>26</x:v>
      </x:c>
      <x:c r="G36" s="17" t="n">
        <x:f>F36-D36</x:f>
        <x:v>0</x:v>
      </x:c>
      <x:c r="H36" s="17" t="str">
        <x:f>"N/A"</x:f>
        <x:v>N/A</x:v>
      </x:c>
      <x:c r="I36" s="17" t="str">
        <x:f>"N/A"</x:f>
        <x:v>N/A</x:v>
      </x:c>
    </x:row>
    <x:row r="37" ht="23" customHeight="1">
      <x:c r="B37" s="17" t="str">
        <x:v>JacksonDatabind</x:v>
      </x:c>
      <x:c r="C37" s="17" t="str">
        <x:v>All rounds</x:v>
      </x:c>
      <x:c r="D37" s="17" t="n">
        <x:v>220</x:v>
      </x:c>
      <x:c r="E37" s="17" t="n">
        <x:f>COUNTA('BugResults'!$A$394:$A$503)+COUNTA('BugResults'!$A$1248:$A$1357)</x:f>
        <x:v>220</x:v>
      </x:c>
      <x:c r="F37" s="17" t="n">
        <x:f>SUM('Verdicts'!E157:E161)</x:f>
        <x:v>220</x:v>
      </x:c>
      <x:c r="G37" s="17" t="n">
        <x:f>F37-D37</x:f>
        <x:v>0</x:v>
      </x:c>
      <x:c r="H37" s="17" t="str">
        <x:f>"N/A"</x:f>
        <x:v>N/A</x:v>
      </x:c>
      <x:c r="I37" s="17" t="str">
        <x:f>"N/A"</x:f>
        <x:v>N/A</x:v>
      </x:c>
    </x:row>
    <x:row r="38" ht="23" customHeight="1">
      <x:c r="B38" s="17" t="str">
        <x:v>JacksonDatabind</x:v>
      </x:c>
      <x:c r="C38" s="17" t="str">
        <x:v>Round1</x:v>
      </x:c>
      <x:c r="D38" s="17" t="n">
        <x:v>110</x:v>
      </x:c>
      <x:c r="E38" s="17" t="n">
        <x:f>COUNTA('BugResults'!$A$394:$A$503)</x:f>
        <x:v>110</x:v>
      </x:c>
      <x:c r="F38" s="17" t="n">
        <x:f>SUM('Verdicts'!E162:E166)</x:f>
        <x:v>110</x:v>
      </x:c>
      <x:c r="G38" s="17" t="n">
        <x:f>F38-D38</x:f>
        <x:v>0</x:v>
      </x:c>
      <x:c r="H38" s="17" t="str">
        <x:f>"N/A"</x:f>
        <x:v>N/A</x:v>
      </x:c>
      <x:c r="I38" s="17" t="str">
        <x:f>"N/A"</x:f>
        <x:v>N/A</x:v>
      </x:c>
    </x:row>
    <x:row r="39" ht="23" customHeight="1">
      <x:c r="B39" s="17" t="str">
        <x:v>JacksonDatabind</x:v>
      </x:c>
      <x:c r="C39" s="17" t="str">
        <x:v>Round2</x:v>
      </x:c>
      <x:c r="D39" s="17" t="n">
        <x:v>110</x:v>
      </x:c>
      <x:c r="E39" s="17" t="n">
        <x:f>COUNTA('BugResults'!$A$1248:$A$1357)</x:f>
        <x:v>110</x:v>
      </x:c>
      <x:c r="F39" s="17" t="n">
        <x:f>SUM('Verdicts'!E167:E171)</x:f>
        <x:v>110</x:v>
      </x:c>
      <x:c r="G39" s="17" t="n">
        <x:f>F39-D39</x:f>
        <x:v>0</x:v>
      </x:c>
      <x:c r="H39" s="17" t="str">
        <x:f>"N/A"</x:f>
        <x:v>N/A</x:v>
      </x:c>
      <x:c r="I39" s="17" t="str">
        <x:f>"N/A"</x:f>
        <x:v>N/A</x:v>
      </x:c>
    </x:row>
    <x:row r="40" ht="23" customHeight="1">
      <x:c r="B40" s="17" t="str">
        <x:v>JacksonXml</x:v>
      </x:c>
      <x:c r="C40" s="17" t="str">
        <x:v>All rounds</x:v>
      </x:c>
      <x:c r="D40" s="17" t="n">
        <x:v>12</x:v>
      </x:c>
      <x:c r="E40" s="17" t="n">
        <x:f>COUNTA('BugResults'!$A$504:$A$509)+COUNTA('BugResults'!$A$1358:$A$1363)</x:f>
        <x:v>12</x:v>
      </x:c>
      <x:c r="F40" s="17" t="n">
        <x:f>SUM('Verdicts'!E172:E176)</x:f>
        <x:v>12</x:v>
      </x:c>
      <x:c r="G40" s="17" t="n">
        <x:f>F40-D40</x:f>
        <x:v>0</x:v>
      </x:c>
      <x:c r="H40" s="17" t="str">
        <x:f>"N/A"</x:f>
        <x:v>N/A</x:v>
      </x:c>
      <x:c r="I40" s="17" t="str">
        <x:f>"N/A"</x:f>
        <x:v>N/A</x:v>
      </x:c>
    </x:row>
    <x:row r="41" ht="23" customHeight="1">
      <x:c r="B41" s="17" t="str">
        <x:v>JacksonXml</x:v>
      </x:c>
      <x:c r="C41" s="17" t="str">
        <x:v>Round1</x:v>
      </x:c>
      <x:c r="D41" s="17" t="n">
        <x:v>6</x:v>
      </x:c>
      <x:c r="E41" s="17" t="n">
        <x:f>COUNTA('BugResults'!$A$504:$A$509)</x:f>
        <x:v>6</x:v>
      </x:c>
      <x:c r="F41" s="17" t="n">
        <x:f>SUM('Verdicts'!E177:E181)</x:f>
        <x:v>6</x:v>
      </x:c>
      <x:c r="G41" s="17" t="n">
        <x:f>F41-D41</x:f>
        <x:v>0</x:v>
      </x:c>
      <x:c r="H41" s="17" t="str">
        <x:f>"N/A"</x:f>
        <x:v>N/A</x:v>
      </x:c>
      <x:c r="I41" s="17" t="str">
        <x:f>"N/A"</x:f>
        <x:v>N/A</x:v>
      </x:c>
    </x:row>
    <x:row r="42" ht="23" customHeight="1">
      <x:c r="B42" s="17" t="str">
        <x:v>JacksonXml</x:v>
      </x:c>
      <x:c r="C42" s="17" t="str">
        <x:v>Round2</x:v>
      </x:c>
      <x:c r="D42" s="17" t="n">
        <x:v>6</x:v>
      </x:c>
      <x:c r="E42" s="17" t="n">
        <x:f>COUNTA('BugResults'!$A$1358:$A$1363)</x:f>
        <x:v>6</x:v>
      </x:c>
      <x:c r="F42" s="17" t="n">
        <x:f>SUM('Verdicts'!E182:E186)</x:f>
        <x:v>6</x:v>
      </x:c>
      <x:c r="G42" s="17" t="n">
        <x:f>F42-D42</x:f>
        <x:v>0</x:v>
      </x:c>
      <x:c r="H42" s="17" t="str">
        <x:f>"N/A"</x:f>
        <x:v>N/A</x:v>
      </x:c>
      <x:c r="I42" s="17" t="str">
        <x:f>"N/A"</x:f>
        <x:v>N/A</x:v>
      </x:c>
    </x:row>
    <x:row r="43" ht="23" customHeight="1">
      <x:c r="B43" s="17" t="str">
        <x:v>Jsoup</x:v>
      </x:c>
      <x:c r="C43" s="17" t="str">
        <x:v>All rounds</x:v>
      </x:c>
      <x:c r="D43" s="17" t="n">
        <x:v>186</x:v>
      </x:c>
      <x:c r="E43" s="17" t="n">
        <x:f>COUNTA('BugResults'!$A$510:$A$602)+COUNTA('BugResults'!$A$1364:$A$1456)</x:f>
        <x:v>186</x:v>
      </x:c>
      <x:c r="F43" s="17" t="n">
        <x:f>SUM('Verdicts'!E187:E191)</x:f>
        <x:v>186</x:v>
      </x:c>
      <x:c r="G43" s="17" t="n">
        <x:f>F43-D43</x:f>
        <x:v>0</x:v>
      </x:c>
      <x:c r="H43" s="17" t="str">
        <x:f>"N/A"</x:f>
        <x:v>N/A</x:v>
      </x:c>
      <x:c r="I43" s="17" t="str">
        <x:f>"N/A"</x:f>
        <x:v>N/A</x:v>
      </x:c>
    </x:row>
    <x:row r="44" ht="23" customHeight="1">
      <x:c r="B44" s="17" t="str">
        <x:v>Jsoup</x:v>
      </x:c>
      <x:c r="C44" s="17" t="str">
        <x:v>Round1</x:v>
      </x:c>
      <x:c r="D44" s="17" t="n">
        <x:v>93</x:v>
      </x:c>
      <x:c r="E44" s="17" t="n">
        <x:f>COUNTA('BugResults'!$A$510:$A$602)</x:f>
        <x:v>93</x:v>
      </x:c>
      <x:c r="F44" s="17" t="n">
        <x:f>SUM('Verdicts'!E192:E196)</x:f>
        <x:v>93</x:v>
      </x:c>
      <x:c r="G44" s="17" t="n">
        <x:f>F44-D44</x:f>
        <x:v>0</x:v>
      </x:c>
      <x:c r="H44" s="17" t="str">
        <x:f>"N/A"</x:f>
        <x:v>N/A</x:v>
      </x:c>
      <x:c r="I44" s="17" t="str">
        <x:f>"N/A"</x:f>
        <x:v>N/A</x:v>
      </x:c>
    </x:row>
    <x:row r="45" ht="23" customHeight="1">
      <x:c r="B45" s="17" t="str">
        <x:v>Jsoup</x:v>
      </x:c>
      <x:c r="C45" s="17" t="str">
        <x:v>Round2</x:v>
      </x:c>
      <x:c r="D45" s="17" t="n">
        <x:v>93</x:v>
      </x:c>
      <x:c r="E45" s="17" t="n">
        <x:f>COUNTA('BugResults'!$A$1364:$A$1456)</x:f>
        <x:v>93</x:v>
      </x:c>
      <x:c r="F45" s="17" t="n">
        <x:f>SUM('Verdicts'!E197:E201)</x:f>
        <x:v>93</x:v>
      </x:c>
      <x:c r="G45" s="17" t="n">
        <x:f>F45-D45</x:f>
        <x:v>0</x:v>
      </x:c>
      <x:c r="H45" s="17" t="str">
        <x:f>"N/A"</x:f>
        <x:v>N/A</x:v>
      </x:c>
      <x:c r="I45" s="17" t="str">
        <x:f>"N/A"</x:f>
        <x:v>N/A</x:v>
      </x:c>
    </x:row>
    <x:row r="46" ht="23" customHeight="1">
      <x:c r="B46" s="17" t="str">
        <x:v>JxPath</x:v>
      </x:c>
      <x:c r="C46" s="17" t="str">
        <x:v>All rounds</x:v>
      </x:c>
      <x:c r="D46" s="17" t="n">
        <x:v>44</x:v>
      </x:c>
      <x:c r="E46" s="17" t="n">
        <x:f>COUNTA('BugResults'!$A$603:$A$624)+COUNTA('BugResults'!$A$1457:$A$1478)</x:f>
        <x:v>44</x:v>
      </x:c>
      <x:c r="F46" s="17" t="n">
        <x:f>SUM('Verdicts'!E202:E206)</x:f>
        <x:v>44</x:v>
      </x:c>
      <x:c r="G46" s="17" t="n">
        <x:f>F46-D46</x:f>
        <x:v>0</x:v>
      </x:c>
      <x:c r="H46" s="17" t="str">
        <x:f>"N/A"</x:f>
        <x:v>N/A</x:v>
      </x:c>
      <x:c r="I46" s="17" t="str">
        <x:f>"N/A"</x:f>
        <x:v>N/A</x:v>
      </x:c>
    </x:row>
    <x:row r="47" ht="23" customHeight="1">
      <x:c r="B47" s="17" t="str">
        <x:v>JxPath</x:v>
      </x:c>
      <x:c r="C47" s="17" t="str">
        <x:v>Round1</x:v>
      </x:c>
      <x:c r="D47" s="17" t="n">
        <x:v>22</x:v>
      </x:c>
      <x:c r="E47" s="17" t="n">
        <x:f>COUNTA('BugResults'!$A$603:$A$624)</x:f>
        <x:v>22</x:v>
      </x:c>
      <x:c r="F47" s="17" t="n">
        <x:f>SUM('Verdicts'!E207:E211)</x:f>
        <x:v>22</x:v>
      </x:c>
      <x:c r="G47" s="17" t="n">
        <x:f>F47-D47</x:f>
        <x:v>0</x:v>
      </x:c>
      <x:c r="H47" s="17" t="str">
        <x:f>"N/A"</x:f>
        <x:v>N/A</x:v>
      </x:c>
      <x:c r="I47" s="17" t="str">
        <x:f>"N/A"</x:f>
        <x:v>N/A</x:v>
      </x:c>
    </x:row>
    <x:row r="48" ht="23" customHeight="1">
      <x:c r="B48" s="17" t="str">
        <x:v>JxPath</x:v>
      </x:c>
      <x:c r="C48" s="17" t="str">
        <x:v>Round2</x:v>
      </x:c>
      <x:c r="D48" s="17" t="n">
        <x:v>22</x:v>
      </x:c>
      <x:c r="E48" s="17" t="n">
        <x:f>COUNTA('BugResults'!$A$1457:$A$1478)</x:f>
        <x:v>22</x:v>
      </x:c>
      <x:c r="F48" s="17" t="n">
        <x:f>SUM('Verdicts'!E212:E216)</x:f>
        <x:v>22</x:v>
      </x:c>
      <x:c r="G48" s="17" t="n">
        <x:f>F48-D48</x:f>
        <x:v>0</x:v>
      </x:c>
      <x:c r="H48" s="17" t="str">
        <x:f>"N/A"</x:f>
        <x:v>N/A</x:v>
      </x:c>
      <x:c r="I48" s="17" t="str">
        <x:f>"N/A"</x:f>
        <x:v>N/A</x:v>
      </x:c>
    </x:row>
    <x:row r="49" ht="23" customHeight="1">
      <x:c r="B49" s="17" t="str">
        <x:v>Lang</x:v>
      </x:c>
      <x:c r="C49" s="17" t="str">
        <x:v>All rounds</x:v>
      </x:c>
      <x:c r="D49" s="17" t="n">
        <x:v>122</x:v>
      </x:c>
      <x:c r="E49" s="17" t="n">
        <x:f>COUNTA('BugResults'!$A$625:$A$685)+COUNTA('BugResults'!$A$1479:$A$1539)</x:f>
        <x:v>122</x:v>
      </x:c>
      <x:c r="F49" s="17" t="n">
        <x:f>SUM('Verdicts'!E217:E221)</x:f>
        <x:v>122</x:v>
      </x:c>
      <x:c r="G49" s="17" t="n">
        <x:f>F49-D49</x:f>
        <x:v>0</x:v>
      </x:c>
      <x:c r="H49" s="17" t="str">
        <x:f>"N/A"</x:f>
        <x:v>N/A</x:v>
      </x:c>
      <x:c r="I49" s="17" t="str">
        <x:f>"N/A"</x:f>
        <x:v>N/A</x:v>
      </x:c>
    </x:row>
    <x:row r="50" ht="23" customHeight="1">
      <x:c r="B50" s="17" t="str">
        <x:v>Lang</x:v>
      </x:c>
      <x:c r="C50" s="17" t="str">
        <x:v>Round1</x:v>
      </x:c>
      <x:c r="D50" s="17" t="n">
        <x:v>61</x:v>
      </x:c>
      <x:c r="E50" s="17" t="n">
        <x:f>COUNTA('BugResults'!$A$625:$A$685)</x:f>
        <x:v>61</x:v>
      </x:c>
      <x:c r="F50" s="17" t="n">
        <x:f>SUM('Verdicts'!E222:E226)</x:f>
        <x:v>61</x:v>
      </x:c>
      <x:c r="G50" s="17" t="n">
        <x:f>F50-D50</x:f>
        <x:v>0</x:v>
      </x:c>
      <x:c r="H50" s="17" t="str">
        <x:f>"N/A"</x:f>
        <x:v>N/A</x:v>
      </x:c>
      <x:c r="I50" s="17" t="str">
        <x:f>"N/A"</x:f>
        <x:v>N/A</x:v>
      </x:c>
    </x:row>
    <x:row r="51" ht="23" customHeight="1">
      <x:c r="B51" s="17" t="str">
        <x:v>Lang</x:v>
      </x:c>
      <x:c r="C51" s="17" t="str">
        <x:v>Round2</x:v>
      </x:c>
      <x:c r="D51" s="17" t="n">
        <x:v>61</x:v>
      </x:c>
      <x:c r="E51" s="17" t="n">
        <x:f>COUNTA('BugResults'!$A$1479:$A$1539)</x:f>
        <x:v>61</x:v>
      </x:c>
      <x:c r="F51" s="17" t="n">
        <x:f>SUM('Verdicts'!E227:E231)</x:f>
        <x:v>61</x:v>
      </x:c>
      <x:c r="G51" s="17" t="n">
        <x:f>F51-D51</x:f>
        <x:v>0</x:v>
      </x:c>
      <x:c r="H51" s="17" t="str">
        <x:f>"N/A"</x:f>
        <x:v>N/A</x:v>
      </x:c>
      <x:c r="I51" s="17" t="str">
        <x:f>"N/A"</x:f>
        <x:v>N/A</x:v>
      </x:c>
    </x:row>
    <x:row r="52" ht="23" customHeight="1">
      <x:c r="B52" s="17" t="str">
        <x:v>Math</x:v>
      </x:c>
      <x:c r="C52" s="17" t="str">
        <x:v>All rounds</x:v>
      </x:c>
      <x:c r="D52" s="17" t="n">
        <x:v>212</x:v>
      </x:c>
      <x:c r="E52" s="17" t="n">
        <x:f>COUNTA('BugResults'!$A$686:$A$791)+COUNTA('BugResults'!$A$1540:$A$1645)</x:f>
        <x:v>212</x:v>
      </x:c>
      <x:c r="F52" s="17" t="n">
        <x:f>SUM('Verdicts'!E232:E236)</x:f>
        <x:v>212</x:v>
      </x:c>
      <x:c r="G52" s="17" t="n">
        <x:f>F52-D52</x:f>
        <x:v>0</x:v>
      </x:c>
      <x:c r="H52" s="17" t="str">
        <x:f>"N/A"</x:f>
        <x:v>N/A</x:v>
      </x:c>
      <x:c r="I52" s="17" t="str">
        <x:f>"N/A"</x:f>
        <x:v>N/A</x:v>
      </x:c>
    </x:row>
    <x:row r="53" ht="23" customHeight="1">
      <x:c r="B53" s="17" t="str">
        <x:v>Math</x:v>
      </x:c>
      <x:c r="C53" s="17" t="str">
        <x:v>Round1</x:v>
      </x:c>
      <x:c r="D53" s="17" t="n">
        <x:v>106</x:v>
      </x:c>
      <x:c r="E53" s="17" t="n">
        <x:f>COUNTA('BugResults'!$A$686:$A$791)</x:f>
        <x:v>106</x:v>
      </x:c>
      <x:c r="F53" s="17" t="n">
        <x:f>SUM('Verdicts'!E237:E241)</x:f>
        <x:v>106</x:v>
      </x:c>
      <x:c r="G53" s="17" t="n">
        <x:f>F53-D53</x:f>
        <x:v>0</x:v>
      </x:c>
      <x:c r="H53" s="17" t="str">
        <x:f>"N/A"</x:f>
        <x:v>N/A</x:v>
      </x:c>
      <x:c r="I53" s="17" t="str">
        <x:f>"N/A"</x:f>
        <x:v>N/A</x:v>
      </x:c>
    </x:row>
    <x:row r="54" ht="23" customHeight="1">
      <x:c r="B54" s="17" t="str">
        <x:v>Math</x:v>
      </x:c>
      <x:c r="C54" s="17" t="str">
        <x:v>Round2</x:v>
      </x:c>
      <x:c r="D54" s="17" t="n">
        <x:v>106</x:v>
      </x:c>
      <x:c r="E54" s="17" t="n">
        <x:f>COUNTA('BugResults'!$A$1540:$A$1645)</x:f>
        <x:v>106</x:v>
      </x:c>
      <x:c r="F54" s="17" t="n">
        <x:f>SUM('Verdicts'!E242:E246)</x:f>
        <x:v>106</x:v>
      </x:c>
      <x:c r="G54" s="17" t="n">
        <x:f>F54-D54</x:f>
        <x:v>0</x:v>
      </x:c>
      <x:c r="H54" s="17" t="str">
        <x:f>"N/A"</x:f>
        <x:v>N/A</x:v>
      </x:c>
      <x:c r="I54" s="17" t="str">
        <x:f>"N/A"</x:f>
        <x:v>N/A</x:v>
      </x:c>
    </x:row>
    <x:row r="55" ht="23" customHeight="1">
      <x:c r="B55" s="17" t="str">
        <x:v>Mockito</x:v>
      </x:c>
      <x:c r="C55" s="17" t="str">
        <x:v>All rounds</x:v>
      </x:c>
      <x:c r="D55" s="17" t="n">
        <x:v>76</x:v>
      </x:c>
      <x:c r="E55" s="17" t="n">
        <x:f>COUNTA('BugResults'!$A$792:$A$829)+COUNTA('BugResults'!$A$1646:$A$1683)</x:f>
        <x:v>76</x:v>
      </x:c>
      <x:c r="F55" s="17" t="n">
        <x:f>SUM('Verdicts'!E247:E251)</x:f>
        <x:v>76</x:v>
      </x:c>
      <x:c r="G55" s="17" t="n">
        <x:f>F55-D55</x:f>
        <x:v>0</x:v>
      </x:c>
      <x:c r="H55" s="17" t="str">
        <x:f>"N/A"</x:f>
        <x:v>N/A</x:v>
      </x:c>
      <x:c r="I55" s="17" t="str">
        <x:f>"N/A"</x:f>
        <x:v>N/A</x:v>
      </x:c>
    </x:row>
    <x:row r="56" ht="23" customHeight="1">
      <x:c r="B56" s="17" t="str">
        <x:v>Mockito</x:v>
      </x:c>
      <x:c r="C56" s="17" t="str">
        <x:v>Round1</x:v>
      </x:c>
      <x:c r="D56" s="17" t="n">
        <x:v>38</x:v>
      </x:c>
      <x:c r="E56" s="17" t="n">
        <x:f>COUNTA('BugResults'!$A$792:$A$829)</x:f>
        <x:v>38</x:v>
      </x:c>
      <x:c r="F56" s="17" t="n">
        <x:f>SUM('Verdicts'!E252:E256)</x:f>
        <x:v>38</x:v>
      </x:c>
      <x:c r="G56" s="17" t="n">
        <x:f>F56-D56</x:f>
        <x:v>0</x:v>
      </x:c>
      <x:c r="H56" s="17" t="str">
        <x:f>"N/A"</x:f>
        <x:v>N/A</x:v>
      </x:c>
      <x:c r="I56" s="17" t="str">
        <x:f>"N/A"</x:f>
        <x:v>N/A</x:v>
      </x:c>
    </x:row>
    <x:row r="57" ht="23" customHeight="1">
      <x:c r="B57" s="17" t="str">
        <x:v>Mockito</x:v>
      </x:c>
      <x:c r="C57" s="17" t="str">
        <x:v>Round2</x:v>
      </x:c>
      <x:c r="D57" s="17" t="n">
        <x:v>38</x:v>
      </x:c>
      <x:c r="E57" s="17" t="n">
        <x:f>COUNTA('BugResults'!$A$1646:$A$1683)</x:f>
        <x:v>38</x:v>
      </x:c>
      <x:c r="F57" s="17" t="n">
        <x:f>SUM('Verdicts'!E257:E261)</x:f>
        <x:v>38</x:v>
      </x:c>
      <x:c r="G57" s="17" t="n">
        <x:f>F57-D57</x:f>
        <x:v>0</x:v>
      </x:c>
      <x:c r="H57" s="17" t="str">
        <x:f>"N/A"</x:f>
        <x:v>N/A</x:v>
      </x:c>
      <x:c r="I57" s="17" t="str">
        <x:f>"N/A"</x:f>
        <x:v>N/A</x:v>
      </x:c>
    </x:row>
    <x:row r="58" ht="23" customHeight="1">
      <x:c r="B58" s="17" t="str">
        <x:v>Time</x:v>
      </x:c>
      <x:c r="C58" s="17" t="str">
        <x:v>All rounds</x:v>
      </x:c>
      <x:c r="D58" s="17" t="n">
        <x:v>52</x:v>
      </x:c>
      <x:c r="E58" s="17" t="n">
        <x:f>COUNTA('BugResults'!$A$830:$A$855)+COUNTA('BugResults'!$A$1684:$A$1709)</x:f>
        <x:v>52</x:v>
      </x:c>
      <x:c r="F58" s="17" t="n">
        <x:f>SUM('Verdicts'!E262:E266)</x:f>
        <x:v>52</x:v>
      </x:c>
      <x:c r="G58" s="17" t="n">
        <x:f>F58-D58</x:f>
        <x:v>0</x:v>
      </x:c>
      <x:c r="H58" s="17" t="str">
        <x:f>"N/A"</x:f>
        <x:v>N/A</x:v>
      </x:c>
      <x:c r="I58" s="17" t="str">
        <x:f>"N/A"</x:f>
        <x:v>N/A</x:v>
      </x:c>
    </x:row>
    <x:row r="59" ht="23" customHeight="1">
      <x:c r="B59" s="17" t="str">
        <x:v>Time</x:v>
      </x:c>
      <x:c r="C59" s="17" t="str">
        <x:v>Round1</x:v>
      </x:c>
      <x:c r="D59" s="17" t="n">
        <x:v>26</x:v>
      </x:c>
      <x:c r="E59" s="17" t="n">
        <x:f>COUNTA('BugResults'!$A$830:$A$855)</x:f>
        <x:v>26</x:v>
      </x:c>
      <x:c r="F59" s="17" t="n">
        <x:f>SUM('Verdicts'!E267:E271)</x:f>
        <x:v>26</x:v>
      </x:c>
      <x:c r="G59" s="17" t="n">
        <x:f>F59-D59</x:f>
        <x:v>0</x:v>
      </x:c>
      <x:c r="H59" s="17" t="str">
        <x:f>"N/A"</x:f>
        <x:v>N/A</x:v>
      </x:c>
      <x:c r="I59" s="17" t="str">
        <x:f>"N/A"</x:f>
        <x:v>N/A</x:v>
      </x:c>
    </x:row>
    <x:row r="60" ht="23" customHeight="1">
      <x:c r="B60" s="17" t="str">
        <x:v>Time</x:v>
      </x:c>
      <x:c r="C60" s="17" t="str">
        <x:v>Round2</x:v>
      </x:c>
      <x:c r="D60" s="17" t="n">
        <x:v>26</x:v>
      </x:c>
      <x:c r="E60" s="17" t="n">
        <x:f>COUNTA('BugResults'!$A$1684:$A$1709)</x:f>
        <x:v>26</x:v>
      </x:c>
      <x:c r="F60" s="17" t="n">
        <x:f>SUM('Verdicts'!E272:E276)</x:f>
        <x:v>26</x:v>
      </x:c>
      <x:c r="G60" s="17" t="n">
        <x:f>F60-D60</x:f>
        <x:v>0</x:v>
      </x:c>
      <x:c r="H60" s="17" t="str">
        <x:f>"N/A"</x:f>
        <x:v>N/A</x:v>
      </x:c>
      <x:c r="I60" s="17" t="str">
        <x:f>"N/A"</x:f>
        <x:v>N/A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30" hidden="0" customWidth="1"/>
    <x:col min="5" max="5" width="15" hidden="0" customWidth="1"/>
    <x:col min="6" max="6" width="15" hidden="0" customWidth="1"/>
    <x:col min="7" max="7" width="26" hidden="0" customWidth="1"/>
    <x:col min="8" max="8" width="15" hidden="0" customWidth="1"/>
  </x:cols>
  <x:sheetData>
    <x:row r="2">
      <x:c r="B2" s="29" t="str">
        <x:v>NOT_AVAILABLE by cause</x:v>
      </x:c>
    </x:row>
    <x:row r="3" ht="34" customHeight="1">
      <x:c r="B3" s="31" t="str">
        <x:v>Exclusive causes: buggy/fixed execution or compile unavailable first; coverage-only failure when both sides ran.</x:v>
      </x:c>
      <x:c r="C3" s="31"/>
      <x:c r="D3" s="31"/>
      <x:c r="E3" s="31"/>
      <x:c r="F3" s="31"/>
      <x:c r="G3" s="31"/>
      <x:c r="H3" s="31"/>
    </x:row>
    <x:row r="6" ht="42" customHeight="1">
      <x:c r="B6" s="20" t="str">
        <x:v>Project</x:v>
      </x:c>
      <x:c r="C6" s="20" t="str">
        <x:v>Round</x:v>
      </x:c>
      <x:c r="D6" s="20" t="str">
        <x:v>Cause</x:v>
      </x:c>
      <x:c r="E6" s="20" t="str">
        <x:v>Count</x:v>
      </x:c>
      <x:c r="F6" s="20" t="str">
        <x:v>Share of unavailable</x:v>
      </x:c>
      <x:c r="G6" s="20" t="str">
        <x:v>NOT_AVAILABLE</x:v>
      </x:c>
      <x:c r="H6" s="20" t="str">
        <x:v>Difference</x:v>
      </x:c>
    </x:row>
    <x:row r="7" ht="23" customHeight="1">
      <x:c r="B7" s="17" t="str">
        <x:v>All projects</x:v>
      </x:c>
      <x:c r="C7" s="17" t="str">
        <x:v>All rounds</x:v>
      </x:c>
      <x:c r="D7" s="17" t="str">
        <x:v>BUGGY_NOT_RUN</x:v>
      </x:c>
      <x:c r="E7" s="17" t="n">
        <x:f>COUNTIF('BugResults'!$P$2:$P$1709,"BUGGY_NOT_RUN")</x:f>
        <x:v>0</x:v>
      </x:c>
      <x:c r="F7" s="33" t="n">
        <x:f>IF('Verdicts'!E9=0,"—",E7/'Verdicts'!E9)</x:f>
        <x:v>0</x:v>
      </x:c>
      <x:c r="G7" s="17" t="n">
        <x:f>'Verdicts'!E9</x:f>
        <x:v>41</x:v>
      </x:c>
      <x:c r="H7" s="17" t="n">
        <x:f>SUM(E7:E10)-G7</x:f>
        <x:v>0</x:v>
      </x:c>
    </x:row>
    <x:row r="8" ht="23" customHeight="1">
      <x:c r="B8" s="17" t="str">
        <x:v>All projects</x:v>
      </x:c>
      <x:c r="C8" s="17" t="str">
        <x:v>All rounds</x:v>
      </x:c>
      <x:c r="D8" s="17" t="str">
        <x:v>FIXED_NOT_RUN</x:v>
      </x:c>
      <x:c r="E8" s="17" t="n">
        <x:f>COUNTIF('BugResults'!$P$2:$P$1709,"FIXED_NOT_RUN")</x:f>
        <x:v>22</x:v>
      </x:c>
      <x:c r="F8" s="33" t="n">
        <x:f>IF('Verdicts'!E9=0,"—",E8/'Verdicts'!E9)</x:f>
        <x:v>0.5365853658536586</x:v>
      </x:c>
      <x:c r="G8" s="17" t="n">
        <x:f>'Verdicts'!E9</x:f>
        <x:v>41</x:v>
      </x:c>
      <x:c r="H8" s="17"/>
    </x:row>
    <x:row r="9" ht="23" customHeight="1">
      <x:c r="B9" s="17" t="str">
        <x:v>All projects</x:v>
      </x:c>
      <x:c r="C9" s="17" t="str">
        <x:v>All rounds</x:v>
      </x:c>
      <x:c r="D9" s="17" t="str">
        <x:v>BOTH_NOT_RUN</x:v>
      </x:c>
      <x:c r="E9" s="17" t="n">
        <x:f>COUNTIF('BugResults'!$P$2:$P$1709,"BOTH_NOT_RUN")</x:f>
        <x:v>13</x:v>
      </x:c>
      <x:c r="F9" s="33" t="n">
        <x:f>IF('Verdicts'!E9=0,"—",E9/'Verdicts'!E9)</x:f>
        <x:v>0.3170731707317073</x:v>
      </x:c>
      <x:c r="G9" s="17" t="n">
        <x:f>'Verdicts'!E9</x:f>
        <x:v>41</x:v>
      </x:c>
      <x:c r="H9" s="17"/>
    </x:row>
    <x:row r="10" ht="23" customHeight="1">
      <x:c r="B10" s="17" t="str">
        <x:v>All projects</x:v>
      </x:c>
      <x:c r="C10" s="17" t="str">
        <x:v>All rounds</x:v>
      </x:c>
      <x:c r="D10" s="17" t="str">
        <x:v>COVERAGE_UNAVAILABLE</x:v>
      </x:c>
      <x:c r="E10" s="17" t="n">
        <x:f>COUNTIF('BugResults'!$P$2:$P$1709,"COVERAGE_UNAVAILABLE")</x:f>
        <x:v>6</x:v>
      </x:c>
      <x:c r="F10" s="33" t="n">
        <x:f>IF('Verdicts'!E9=0,"—",E10/'Verdicts'!E9)</x:f>
        <x:v>0.14634146341463414</x:v>
      </x:c>
      <x:c r="G10" s="17" t="n">
        <x:f>'Verdicts'!E9</x:f>
        <x:v>41</x:v>
      </x:c>
      <x:c r="H10" s="17"/>
    </x:row>
    <x:row r="11" ht="23" customHeight="1">
      <x:c r="B11" s="17" t="str">
        <x:v>All projects</x:v>
      </x:c>
      <x:c r="C11" s="17" t="str">
        <x:v>Round1</x:v>
      </x:c>
      <x:c r="D11" s="17" t="str">
        <x:v>BUGGY_NOT_RUN</x:v>
      </x:c>
      <x:c r="E11" s="17" t="n">
        <x:f>COUNTIF('BugResults'!$P$2:$P$855,"BUGGY_NOT_RUN")</x:f>
        <x:v>0</x:v>
      </x:c>
      <x:c r="F11" s="33" t="n">
        <x:f>IF('Verdicts'!E14=0,"—",E11/'Verdicts'!E14)</x:f>
        <x:v>0</x:v>
      </x:c>
      <x:c r="G11" s="17" t="n">
        <x:f>'Verdicts'!E14</x:f>
        <x:v>26</x:v>
      </x:c>
      <x:c r="H11" s="17" t="n">
        <x:f>SUM(E11:E14)-G11</x:f>
        <x:v>0</x:v>
      </x:c>
    </x:row>
    <x:row r="12" ht="23" customHeight="1">
      <x:c r="B12" s="17" t="str">
        <x:v>All projects</x:v>
      </x:c>
      <x:c r="C12" s="17" t="str">
        <x:v>Round1</x:v>
      </x:c>
      <x:c r="D12" s="17" t="str">
        <x:v>FIXED_NOT_RUN</x:v>
      </x:c>
      <x:c r="E12" s="17" t="n">
        <x:f>COUNTIF('BugResults'!$P$2:$P$855,"FIXED_NOT_RUN")</x:f>
        <x:v>11</x:v>
      </x:c>
      <x:c r="F12" s="33" t="n">
        <x:f>IF('Verdicts'!E14=0,"—",E12/'Verdicts'!E14)</x:f>
        <x:v>0.4230769230769231</x:v>
      </x:c>
      <x:c r="G12" s="17" t="n">
        <x:f>'Verdicts'!E14</x:f>
        <x:v>26</x:v>
      </x:c>
      <x:c r="H12" s="17"/>
    </x:row>
    <x:row r="13" ht="23" customHeight="1">
      <x:c r="B13" s="17" t="str">
        <x:v>All projects</x:v>
      </x:c>
      <x:c r="C13" s="17" t="str">
        <x:v>Round1</x:v>
      </x:c>
      <x:c r="D13" s="17" t="str">
        <x:v>BOTH_NOT_RUN</x:v>
      </x:c>
      <x:c r="E13" s="17" t="n">
        <x:f>COUNTIF('BugResults'!$P$2:$P$855,"BOTH_NOT_RUN")</x:f>
        <x:v>12</x:v>
      </x:c>
      <x:c r="F13" s="33" t="n">
        <x:f>IF('Verdicts'!E14=0,"—",E13/'Verdicts'!E14)</x:f>
        <x:v>0.46153846153846156</x:v>
      </x:c>
      <x:c r="G13" s="17" t="n">
        <x:f>'Verdicts'!E14</x:f>
        <x:v>26</x:v>
      </x:c>
      <x:c r="H13" s="17"/>
    </x:row>
    <x:row r="14" ht="23" customHeight="1">
      <x:c r="B14" s="17" t="str">
        <x:v>All projects</x:v>
      </x:c>
      <x:c r="C14" s="17" t="str">
        <x:v>Round1</x:v>
      </x:c>
      <x:c r="D14" s="17" t="str">
        <x:v>COVERAGE_UNAVAILABLE</x:v>
      </x:c>
      <x:c r="E14" s="17" t="n">
        <x:f>COUNTIF('BugResults'!$P$2:$P$855,"COVERAGE_UNAVAILABLE")</x:f>
        <x:v>3</x:v>
      </x:c>
      <x:c r="F14" s="33" t="n">
        <x:f>IF('Verdicts'!E14=0,"—",E14/'Verdicts'!E14)</x:f>
        <x:v>0.11538461538461539</x:v>
      </x:c>
      <x:c r="G14" s="17" t="n">
        <x:f>'Verdicts'!E14</x:f>
        <x:v>26</x:v>
      </x:c>
      <x:c r="H14" s="17"/>
    </x:row>
    <x:row r="15" ht="23" customHeight="1">
      <x:c r="B15" s="17" t="str">
        <x:v>All projects</x:v>
      </x:c>
      <x:c r="C15" s="17" t="str">
        <x:v>Round2</x:v>
      </x:c>
      <x:c r="D15" s="17" t="str">
        <x:v>BUGGY_NOT_RUN</x:v>
      </x:c>
      <x:c r="E15" s="17" t="n">
        <x:f>COUNTIF('BugResults'!$P$856:$P$1709,"BUGGY_NOT_RUN")</x:f>
        <x:v>0</x:v>
      </x:c>
      <x:c r="F15" s="33" t="n">
        <x:f>IF('Verdicts'!E19=0,"—",E15/'Verdicts'!E19)</x:f>
        <x:v>0</x:v>
      </x:c>
      <x:c r="G15" s="17" t="n">
        <x:f>'Verdicts'!E19</x:f>
        <x:v>15</x:v>
      </x:c>
      <x:c r="H15" s="17" t="n">
        <x:f>SUM(E15:E18)-G15</x:f>
        <x:v>0</x:v>
      </x:c>
    </x:row>
    <x:row r="16" ht="23" customHeight="1">
      <x:c r="B16" s="17" t="str">
        <x:v>All projects</x:v>
      </x:c>
      <x:c r="C16" s="17" t="str">
        <x:v>Round2</x:v>
      </x:c>
      <x:c r="D16" s="17" t="str">
        <x:v>FIXED_NOT_RUN</x:v>
      </x:c>
      <x:c r="E16" s="17" t="n">
        <x:f>COUNTIF('BugResults'!$P$856:$P$1709,"FIXED_NOT_RUN")</x:f>
        <x:v>11</x:v>
      </x:c>
      <x:c r="F16" s="33" t="n">
        <x:f>IF('Verdicts'!E19=0,"—",E16/'Verdicts'!E19)</x:f>
        <x:v>0.7333333333333333</x:v>
      </x:c>
      <x:c r="G16" s="17" t="n">
        <x:f>'Verdicts'!E19</x:f>
        <x:v>15</x:v>
      </x:c>
      <x:c r="H16" s="17"/>
    </x:row>
    <x:row r="17" ht="23" customHeight="1">
      <x:c r="B17" s="17" t="str">
        <x:v>All projects</x:v>
      </x:c>
      <x:c r="C17" s="17" t="str">
        <x:v>Round2</x:v>
      </x:c>
      <x:c r="D17" s="17" t="str">
        <x:v>BOTH_NOT_RUN</x:v>
      </x:c>
      <x:c r="E17" s="17" t="n">
        <x:f>COUNTIF('BugResults'!$P$856:$P$1709,"BOTH_NOT_RUN")</x:f>
        <x:v>1</x:v>
      </x:c>
      <x:c r="F17" s="33" t="n">
        <x:f>IF('Verdicts'!E19=0,"—",E17/'Verdicts'!E19)</x:f>
        <x:v>0.06666666666666667</x:v>
      </x:c>
      <x:c r="G17" s="17" t="n">
        <x:f>'Verdicts'!E19</x:f>
        <x:v>15</x:v>
      </x:c>
      <x:c r="H17" s="17"/>
    </x:row>
    <x:row r="18" ht="23" customHeight="1">
      <x:c r="B18" s="17" t="str">
        <x:v>All projects</x:v>
      </x:c>
      <x:c r="C18" s="17" t="str">
        <x:v>Round2</x:v>
      </x:c>
      <x:c r="D18" s="17" t="str">
        <x:v>COVERAGE_UNAVAILABLE</x:v>
      </x:c>
      <x:c r="E18" s="17" t="n">
        <x:f>COUNTIF('BugResults'!$P$856:$P$1709,"COVERAGE_UNAVAILABLE")</x:f>
        <x:v>3</x:v>
      </x:c>
      <x:c r="F18" s="33" t="n">
        <x:f>IF('Verdicts'!E19=0,"—",E18/'Verdicts'!E19)</x:f>
        <x:v>0.2</x:v>
      </x:c>
      <x:c r="G18" s="17" t="n">
        <x:f>'Verdicts'!E19</x:f>
        <x:v>15</x:v>
      </x:c>
      <x:c r="H18" s="17"/>
    </x:row>
    <x:row r="19" ht="23" customHeight="1">
      <x:c r="B19" s="17" t="str">
        <x:v>Chart</x:v>
      </x:c>
      <x:c r="C19" s="17" t="str">
        <x:v>All rounds</x:v>
      </x:c>
      <x:c r="D19" s="17" t="str">
        <x:v>BUGGY_NOT_RUN</x:v>
      </x:c>
      <x:c r="E19" s="17" t="n">
        <x:f>COUNTIF('BugResults'!$P$2:$P$27,"BUGGY_NOT_RUN")+COUNTIF('BugResults'!$P$856:$P$881,"BUGGY_NOT_RUN")</x:f>
        <x:v>0</x:v>
      </x:c>
      <x:c r="F19" s="33" t="str">
        <x:f>IF('Verdicts'!E24=0,"—",E19/'Verdicts'!E24)</x:f>
        <x:v>—</x:v>
      </x:c>
      <x:c r="G19" s="17" t="n">
        <x:f>'Verdicts'!E24</x:f>
        <x:v>0</x:v>
      </x:c>
      <x:c r="H19" s="17" t="n">
        <x:f>SUM(E19:E22)-G19</x:f>
        <x:v>0</x:v>
      </x:c>
    </x:row>
    <x:row r="20" ht="23" customHeight="1">
      <x:c r="B20" s="17" t="str">
        <x:v>Chart</x:v>
      </x:c>
      <x:c r="C20" s="17" t="str">
        <x:v>All rounds</x:v>
      </x:c>
      <x:c r="D20" s="17" t="str">
        <x:v>FIXED_NOT_RUN</x:v>
      </x:c>
      <x:c r="E20" s="17" t="n">
        <x:f>COUNTIF('BugResults'!$P$2:$P$27,"FIXED_NOT_RUN")+COUNTIF('BugResults'!$P$856:$P$881,"FIXED_NOT_RUN")</x:f>
        <x:v>0</x:v>
      </x:c>
      <x:c r="F20" s="33" t="str">
        <x:f>IF('Verdicts'!E24=0,"—",E20/'Verdicts'!E24)</x:f>
        <x:v>—</x:v>
      </x:c>
      <x:c r="G20" s="17" t="n">
        <x:f>'Verdicts'!E24</x:f>
        <x:v>0</x:v>
      </x:c>
      <x:c r="H20" s="17"/>
    </x:row>
    <x:row r="21" ht="23" customHeight="1">
      <x:c r="B21" s="17" t="str">
        <x:v>Chart</x:v>
      </x:c>
      <x:c r="C21" s="17" t="str">
        <x:v>All rounds</x:v>
      </x:c>
      <x:c r="D21" s="17" t="str">
        <x:v>BOTH_NOT_RUN</x:v>
      </x:c>
      <x:c r="E21" s="17" t="n">
        <x:f>COUNTIF('BugResults'!$P$2:$P$27,"BOTH_NOT_RUN")+COUNTIF('BugResults'!$P$856:$P$881,"BOTH_NOT_RUN")</x:f>
        <x:v>0</x:v>
      </x:c>
      <x:c r="F21" s="33" t="str">
        <x:f>IF('Verdicts'!E24=0,"—",E21/'Verdicts'!E24)</x:f>
        <x:v>—</x:v>
      </x:c>
      <x:c r="G21" s="17" t="n">
        <x:f>'Verdicts'!E24</x:f>
        <x:v>0</x:v>
      </x:c>
      <x:c r="H21" s="17"/>
    </x:row>
    <x:row r="22" ht="23" customHeight="1">
      <x:c r="B22" s="17" t="str">
        <x:v>Chart</x:v>
      </x:c>
      <x:c r="C22" s="17" t="str">
        <x:v>All rounds</x:v>
      </x:c>
      <x:c r="D22" s="17" t="str">
        <x:v>COVERAGE_UNAVAILABLE</x:v>
      </x:c>
      <x:c r="E22" s="17" t="n">
        <x:f>COUNTIF('BugResults'!$P$2:$P$27,"COVERAGE_UNAVAILABLE")+COUNTIF('BugResults'!$P$856:$P$881,"COVERAGE_UNAVAILABLE")</x:f>
        <x:v>0</x:v>
      </x:c>
      <x:c r="F22" s="33" t="str">
        <x:f>IF('Verdicts'!E24=0,"—",E22/'Verdicts'!E24)</x:f>
        <x:v>—</x:v>
      </x:c>
      <x:c r="G22" s="17" t="n">
        <x:f>'Verdicts'!E24</x:f>
        <x:v>0</x:v>
      </x:c>
      <x:c r="H22" s="17"/>
    </x:row>
    <x:row r="23" ht="23" customHeight="1">
      <x:c r="B23" s="17" t="str">
        <x:v>Chart</x:v>
      </x:c>
      <x:c r="C23" s="17" t="str">
        <x:v>Round1</x:v>
      </x:c>
      <x:c r="D23" s="17" t="str">
        <x:v>BUGGY_NOT_RUN</x:v>
      </x:c>
      <x:c r="E23" s="17" t="n">
        <x:f>COUNTIF('BugResults'!$P$2:$P$27,"BUGGY_NOT_RUN")</x:f>
        <x:v>0</x:v>
      </x:c>
      <x:c r="F23" s="33" t="str">
        <x:f>IF('Verdicts'!E29=0,"—",E23/'Verdicts'!E29)</x:f>
        <x:v>—</x:v>
      </x:c>
      <x:c r="G23" s="17" t="n">
        <x:f>'Verdicts'!E29</x:f>
        <x:v>0</x:v>
      </x:c>
      <x:c r="H23" s="17" t="n">
        <x:f>SUM(E23:E26)-G23</x:f>
        <x:v>0</x:v>
      </x:c>
    </x:row>
    <x:row r="24" ht="23" customHeight="1">
      <x:c r="B24" s="17" t="str">
        <x:v>Chart</x:v>
      </x:c>
      <x:c r="C24" s="17" t="str">
        <x:v>Round1</x:v>
      </x:c>
      <x:c r="D24" s="17" t="str">
        <x:v>FIXED_NOT_RUN</x:v>
      </x:c>
      <x:c r="E24" s="17" t="n">
        <x:f>COUNTIF('BugResults'!$P$2:$P$27,"FIXED_NOT_RUN")</x:f>
        <x:v>0</x:v>
      </x:c>
      <x:c r="F24" s="33" t="str">
        <x:f>IF('Verdicts'!E29=0,"—",E24/'Verdicts'!E29)</x:f>
        <x:v>—</x:v>
      </x:c>
      <x:c r="G24" s="17" t="n">
        <x:f>'Verdicts'!E29</x:f>
        <x:v>0</x:v>
      </x:c>
      <x:c r="H24" s="17"/>
    </x:row>
    <x:row r="25" ht="23" customHeight="1">
      <x:c r="B25" s="17" t="str">
        <x:v>Chart</x:v>
      </x:c>
      <x:c r="C25" s="17" t="str">
        <x:v>Round1</x:v>
      </x:c>
      <x:c r="D25" s="17" t="str">
        <x:v>BOTH_NOT_RUN</x:v>
      </x:c>
      <x:c r="E25" s="17" t="n">
        <x:f>COUNTIF('BugResults'!$P$2:$P$27,"BOTH_NOT_RUN")</x:f>
        <x:v>0</x:v>
      </x:c>
      <x:c r="F25" s="33" t="str">
        <x:f>IF('Verdicts'!E29=0,"—",E25/'Verdicts'!E29)</x:f>
        <x:v>—</x:v>
      </x:c>
      <x:c r="G25" s="17" t="n">
        <x:f>'Verdicts'!E29</x:f>
        <x:v>0</x:v>
      </x:c>
      <x:c r="H25" s="17"/>
    </x:row>
    <x:row r="26" ht="23" customHeight="1">
      <x:c r="B26" s="17" t="str">
        <x:v>Chart</x:v>
      </x:c>
      <x:c r="C26" s="17" t="str">
        <x:v>Round1</x:v>
      </x:c>
      <x:c r="D26" s="17" t="str">
        <x:v>COVERAGE_UNAVAILABLE</x:v>
      </x:c>
      <x:c r="E26" s="17" t="n">
        <x:f>COUNTIF('BugResults'!$P$2:$P$27,"COVERAGE_UNAVAILABLE")</x:f>
        <x:v>0</x:v>
      </x:c>
      <x:c r="F26" s="33" t="str">
        <x:f>IF('Verdicts'!E29=0,"—",E26/'Verdicts'!E29)</x:f>
        <x:v>—</x:v>
      </x:c>
      <x:c r="G26" s="17" t="n">
        <x:f>'Verdicts'!E29</x:f>
        <x:v>0</x:v>
      </x:c>
      <x:c r="H26" s="17"/>
    </x:row>
    <x:row r="27" ht="23" customHeight="1">
      <x:c r="B27" s="17" t="str">
        <x:v>Chart</x:v>
      </x:c>
      <x:c r="C27" s="17" t="str">
        <x:v>Round2</x:v>
      </x:c>
      <x:c r="D27" s="17" t="str">
        <x:v>BUGGY_NOT_RUN</x:v>
      </x:c>
      <x:c r="E27" s="17" t="n">
        <x:f>COUNTIF('BugResults'!$P$856:$P$881,"BUGGY_NOT_RUN")</x:f>
        <x:v>0</x:v>
      </x:c>
      <x:c r="F27" s="33" t="str">
        <x:f>IF('Verdicts'!E34=0,"—",E27/'Verdicts'!E34)</x:f>
        <x:v>—</x:v>
      </x:c>
      <x:c r="G27" s="17" t="n">
        <x:f>'Verdicts'!E34</x:f>
        <x:v>0</x:v>
      </x:c>
      <x:c r="H27" s="17" t="n">
        <x:f>SUM(E27:E30)-G27</x:f>
        <x:v>0</x:v>
      </x:c>
    </x:row>
    <x:row r="28" ht="23" customHeight="1">
      <x:c r="B28" s="17" t="str">
        <x:v>Chart</x:v>
      </x:c>
      <x:c r="C28" s="17" t="str">
        <x:v>Round2</x:v>
      </x:c>
      <x:c r="D28" s="17" t="str">
        <x:v>FIXED_NOT_RUN</x:v>
      </x:c>
      <x:c r="E28" s="17" t="n">
        <x:f>COUNTIF('BugResults'!$P$856:$P$881,"FIXED_NOT_RUN")</x:f>
        <x:v>0</x:v>
      </x:c>
      <x:c r="F28" s="33" t="str">
        <x:f>IF('Verdicts'!E34=0,"—",E28/'Verdicts'!E34)</x:f>
        <x:v>—</x:v>
      </x:c>
      <x:c r="G28" s="17" t="n">
        <x:f>'Verdicts'!E34</x:f>
        <x:v>0</x:v>
      </x:c>
      <x:c r="H28" s="17"/>
    </x:row>
    <x:row r="29" ht="23" customHeight="1">
      <x:c r="B29" s="17" t="str">
        <x:v>Chart</x:v>
      </x:c>
      <x:c r="C29" s="17" t="str">
        <x:v>Round2</x:v>
      </x:c>
      <x:c r="D29" s="17" t="str">
        <x:v>BOTH_NOT_RUN</x:v>
      </x:c>
      <x:c r="E29" s="17" t="n">
        <x:f>COUNTIF('BugResults'!$P$856:$P$881,"BOTH_NOT_RUN")</x:f>
        <x:v>0</x:v>
      </x:c>
      <x:c r="F29" s="33" t="str">
        <x:f>IF('Verdicts'!E34=0,"—",E29/'Verdicts'!E34)</x:f>
        <x:v>—</x:v>
      </x:c>
      <x:c r="G29" s="17" t="n">
        <x:f>'Verdicts'!E34</x:f>
        <x:v>0</x:v>
      </x:c>
      <x:c r="H29" s="17"/>
    </x:row>
    <x:row r="30" ht="23" customHeight="1">
      <x:c r="B30" s="17" t="str">
        <x:v>Chart</x:v>
      </x:c>
      <x:c r="C30" s="17" t="str">
        <x:v>Round2</x:v>
      </x:c>
      <x:c r="D30" s="17" t="str">
        <x:v>COVERAGE_UNAVAILABLE</x:v>
      </x:c>
      <x:c r="E30" s="17" t="n">
        <x:f>COUNTIF('BugResults'!$P$856:$P$881,"COVERAGE_UNAVAILABLE")</x:f>
        <x:v>0</x:v>
      </x:c>
      <x:c r="F30" s="33" t="str">
        <x:f>IF('Verdicts'!E34=0,"—",E30/'Verdicts'!E34)</x:f>
        <x:v>—</x:v>
      </x:c>
      <x:c r="G30" s="17" t="n">
        <x:f>'Verdicts'!E34</x:f>
        <x:v>0</x:v>
      </x:c>
      <x:c r="H30" s="17"/>
    </x:row>
    <x:row r="31" ht="23" customHeight="1">
      <x:c r="B31" s="17" t="str">
        <x:v>Cli</x:v>
      </x:c>
      <x:c r="C31" s="17" t="str">
        <x:v>All rounds</x:v>
      </x:c>
      <x:c r="D31" s="17" t="str">
        <x:v>BUGGY_NOT_RUN</x:v>
      </x:c>
      <x:c r="E31" s="17" t="n">
        <x:f>COUNTIF('BugResults'!$P$28:$P$66,"BUGGY_NOT_RUN")+COUNTIF('BugResults'!$P$882:$P$920,"BUGGY_NOT_RUN")</x:f>
        <x:v>0</x:v>
      </x:c>
      <x:c r="F31" s="33" t="str">
        <x:f>IF('Verdicts'!E39=0,"—",E31/'Verdicts'!E39)</x:f>
        <x:v>—</x:v>
      </x:c>
      <x:c r="G31" s="17" t="n">
        <x:f>'Verdicts'!E39</x:f>
        <x:v>0</x:v>
      </x:c>
      <x:c r="H31" s="17" t="n">
        <x:f>SUM(E31:E34)-G31</x:f>
        <x:v>0</x:v>
      </x:c>
    </x:row>
    <x:row r="32" ht="23" customHeight="1">
      <x:c r="B32" s="17" t="str">
        <x:v>Cli</x:v>
      </x:c>
      <x:c r="C32" s="17" t="str">
        <x:v>All rounds</x:v>
      </x:c>
      <x:c r="D32" s="17" t="str">
        <x:v>FIXED_NOT_RUN</x:v>
      </x:c>
      <x:c r="E32" s="17" t="n">
        <x:f>COUNTIF('BugResults'!$P$28:$P$66,"FIXED_NOT_RUN")+COUNTIF('BugResults'!$P$882:$P$920,"FIXED_NOT_RUN")</x:f>
        <x:v>0</x:v>
      </x:c>
      <x:c r="F32" s="33" t="str">
        <x:f>IF('Verdicts'!E39=0,"—",E32/'Verdicts'!E39)</x:f>
        <x:v>—</x:v>
      </x:c>
      <x:c r="G32" s="17" t="n">
        <x:f>'Verdicts'!E39</x:f>
        <x:v>0</x:v>
      </x:c>
      <x:c r="H32" s="17"/>
    </x:row>
    <x:row r="33" ht="23" customHeight="1">
      <x:c r="B33" s="17" t="str">
        <x:v>Cli</x:v>
      </x:c>
      <x:c r="C33" s="17" t="str">
        <x:v>All rounds</x:v>
      </x:c>
      <x:c r="D33" s="17" t="str">
        <x:v>BOTH_NOT_RUN</x:v>
      </x:c>
      <x:c r="E33" s="17" t="n">
        <x:f>COUNTIF('BugResults'!$P$28:$P$66,"BOTH_NOT_RUN")+COUNTIF('BugResults'!$P$882:$P$920,"BOTH_NOT_RUN")</x:f>
        <x:v>0</x:v>
      </x:c>
      <x:c r="F33" s="33" t="str">
        <x:f>IF('Verdicts'!E39=0,"—",E33/'Verdicts'!E39)</x:f>
        <x:v>—</x:v>
      </x:c>
      <x:c r="G33" s="17" t="n">
        <x:f>'Verdicts'!E39</x:f>
        <x:v>0</x:v>
      </x:c>
      <x:c r="H33" s="17"/>
    </x:row>
    <x:row r="34" ht="23" customHeight="1">
      <x:c r="B34" s="17" t="str">
        <x:v>Cli</x:v>
      </x:c>
      <x:c r="C34" s="17" t="str">
        <x:v>All rounds</x:v>
      </x:c>
      <x:c r="D34" s="17" t="str">
        <x:v>COVERAGE_UNAVAILABLE</x:v>
      </x:c>
      <x:c r="E34" s="17" t="n">
        <x:f>COUNTIF('BugResults'!$P$28:$P$66,"COVERAGE_UNAVAILABLE")+COUNTIF('BugResults'!$P$882:$P$920,"COVERAGE_UNAVAILABLE")</x:f>
        <x:v>0</x:v>
      </x:c>
      <x:c r="F34" s="33" t="str">
        <x:f>IF('Verdicts'!E39=0,"—",E34/'Verdicts'!E39)</x:f>
        <x:v>—</x:v>
      </x:c>
      <x:c r="G34" s="17" t="n">
        <x:f>'Verdicts'!E39</x:f>
        <x:v>0</x:v>
      </x:c>
      <x:c r="H34" s="17"/>
    </x:row>
    <x:row r="35" ht="23" customHeight="1">
      <x:c r="B35" s="17" t="str">
        <x:v>Cli</x:v>
      </x:c>
      <x:c r="C35" s="17" t="str">
        <x:v>Round1</x:v>
      </x:c>
      <x:c r="D35" s="17" t="str">
        <x:v>BUGGY_NOT_RUN</x:v>
      </x:c>
      <x:c r="E35" s="17" t="n">
        <x:f>COUNTIF('BugResults'!$P$28:$P$66,"BUGGY_NOT_RUN")</x:f>
        <x:v>0</x:v>
      </x:c>
      <x:c r="F35" s="33" t="str">
        <x:f>IF('Verdicts'!E44=0,"—",E35/'Verdicts'!E44)</x:f>
        <x:v>—</x:v>
      </x:c>
      <x:c r="G35" s="17" t="n">
        <x:f>'Verdicts'!E44</x:f>
        <x:v>0</x:v>
      </x:c>
      <x:c r="H35" s="17" t="n">
        <x:f>SUM(E35:E38)-G35</x:f>
        <x:v>0</x:v>
      </x:c>
    </x:row>
    <x:row r="36" ht="23" customHeight="1">
      <x:c r="B36" s="17" t="str">
        <x:v>Cli</x:v>
      </x:c>
      <x:c r="C36" s="17" t="str">
        <x:v>Round1</x:v>
      </x:c>
      <x:c r="D36" s="17" t="str">
        <x:v>FIXED_NOT_RUN</x:v>
      </x:c>
      <x:c r="E36" s="17" t="n">
        <x:f>COUNTIF('BugResults'!$P$28:$P$66,"FIXED_NOT_RUN")</x:f>
        <x:v>0</x:v>
      </x:c>
      <x:c r="F36" s="33" t="str">
        <x:f>IF('Verdicts'!E44=0,"—",E36/'Verdicts'!E44)</x:f>
        <x:v>—</x:v>
      </x:c>
      <x:c r="G36" s="17" t="n">
        <x:f>'Verdicts'!E44</x:f>
        <x:v>0</x:v>
      </x:c>
      <x:c r="H36" s="17"/>
    </x:row>
    <x:row r="37" ht="23" customHeight="1">
      <x:c r="B37" s="17" t="str">
        <x:v>Cli</x:v>
      </x:c>
      <x:c r="C37" s="17" t="str">
        <x:v>Round1</x:v>
      </x:c>
      <x:c r="D37" s="17" t="str">
        <x:v>BOTH_NOT_RUN</x:v>
      </x:c>
      <x:c r="E37" s="17" t="n">
        <x:f>COUNTIF('BugResults'!$P$28:$P$66,"BOTH_NOT_RUN")</x:f>
        <x:v>0</x:v>
      </x:c>
      <x:c r="F37" s="33" t="str">
        <x:f>IF('Verdicts'!E44=0,"—",E37/'Verdicts'!E44)</x:f>
        <x:v>—</x:v>
      </x:c>
      <x:c r="G37" s="17" t="n">
        <x:f>'Verdicts'!E44</x:f>
        <x:v>0</x:v>
      </x:c>
      <x:c r="H37" s="17"/>
    </x:row>
    <x:row r="38" ht="23" customHeight="1">
      <x:c r="B38" s="17" t="str">
        <x:v>Cli</x:v>
      </x:c>
      <x:c r="C38" s="17" t="str">
        <x:v>Round1</x:v>
      </x:c>
      <x:c r="D38" s="17" t="str">
        <x:v>COVERAGE_UNAVAILABLE</x:v>
      </x:c>
      <x:c r="E38" s="17" t="n">
        <x:f>COUNTIF('BugResults'!$P$28:$P$66,"COVERAGE_UNAVAILABLE")</x:f>
        <x:v>0</x:v>
      </x:c>
      <x:c r="F38" s="33" t="str">
        <x:f>IF('Verdicts'!E44=0,"—",E38/'Verdicts'!E44)</x:f>
        <x:v>—</x:v>
      </x:c>
      <x:c r="G38" s="17" t="n">
        <x:f>'Verdicts'!E44</x:f>
        <x:v>0</x:v>
      </x:c>
      <x:c r="H38" s="17"/>
    </x:row>
    <x:row r="39" ht="23" customHeight="1">
      <x:c r="B39" s="17" t="str">
        <x:v>Cli</x:v>
      </x:c>
      <x:c r="C39" s="17" t="str">
        <x:v>Round2</x:v>
      </x:c>
      <x:c r="D39" s="17" t="str">
        <x:v>BUGGY_NOT_RUN</x:v>
      </x:c>
      <x:c r="E39" s="17" t="n">
        <x:f>COUNTIF('BugResults'!$P$882:$P$920,"BUGGY_NOT_RUN")</x:f>
        <x:v>0</x:v>
      </x:c>
      <x:c r="F39" s="33" t="str">
        <x:f>IF('Verdicts'!E49=0,"—",E39/'Verdicts'!E49)</x:f>
        <x:v>—</x:v>
      </x:c>
      <x:c r="G39" s="17" t="n">
        <x:f>'Verdicts'!E49</x:f>
        <x:v>0</x:v>
      </x:c>
      <x:c r="H39" s="17" t="n">
        <x:f>SUM(E39:E42)-G39</x:f>
        <x:v>0</x:v>
      </x:c>
    </x:row>
    <x:row r="40" ht="23" customHeight="1">
      <x:c r="B40" s="17" t="str">
        <x:v>Cli</x:v>
      </x:c>
      <x:c r="C40" s="17" t="str">
        <x:v>Round2</x:v>
      </x:c>
      <x:c r="D40" s="17" t="str">
        <x:v>FIXED_NOT_RUN</x:v>
      </x:c>
      <x:c r="E40" s="17" t="n">
        <x:f>COUNTIF('BugResults'!$P$882:$P$920,"FIXED_NOT_RUN")</x:f>
        <x:v>0</x:v>
      </x:c>
      <x:c r="F40" s="33" t="str">
        <x:f>IF('Verdicts'!E49=0,"—",E40/'Verdicts'!E49)</x:f>
        <x:v>—</x:v>
      </x:c>
      <x:c r="G40" s="17" t="n">
        <x:f>'Verdicts'!E49</x:f>
        <x:v>0</x:v>
      </x:c>
      <x:c r="H40" s="17"/>
    </x:row>
    <x:row r="41" ht="23" customHeight="1">
      <x:c r="B41" s="17" t="str">
        <x:v>Cli</x:v>
      </x:c>
      <x:c r="C41" s="17" t="str">
        <x:v>Round2</x:v>
      </x:c>
      <x:c r="D41" s="17" t="str">
        <x:v>BOTH_NOT_RUN</x:v>
      </x:c>
      <x:c r="E41" s="17" t="n">
        <x:f>COUNTIF('BugResults'!$P$882:$P$920,"BOTH_NOT_RUN")</x:f>
        <x:v>0</x:v>
      </x:c>
      <x:c r="F41" s="33" t="str">
        <x:f>IF('Verdicts'!E49=0,"—",E41/'Verdicts'!E49)</x:f>
        <x:v>—</x:v>
      </x:c>
      <x:c r="G41" s="17" t="n">
        <x:f>'Verdicts'!E49</x:f>
        <x:v>0</x:v>
      </x:c>
      <x:c r="H41" s="17"/>
    </x:row>
    <x:row r="42" ht="23" customHeight="1">
      <x:c r="B42" s="17" t="str">
        <x:v>Cli</x:v>
      </x:c>
      <x:c r="C42" s="17" t="str">
        <x:v>Round2</x:v>
      </x:c>
      <x:c r="D42" s="17" t="str">
        <x:v>COVERAGE_UNAVAILABLE</x:v>
      </x:c>
      <x:c r="E42" s="17" t="n">
        <x:f>COUNTIF('BugResults'!$P$882:$P$920,"COVERAGE_UNAVAILABLE")</x:f>
        <x:v>0</x:v>
      </x:c>
      <x:c r="F42" s="33" t="str">
        <x:f>IF('Verdicts'!E49=0,"—",E42/'Verdicts'!E49)</x:f>
        <x:v>—</x:v>
      </x:c>
      <x:c r="G42" s="17" t="n">
        <x:f>'Verdicts'!E49</x:f>
        <x:v>0</x:v>
      </x:c>
      <x:c r="H42" s="17"/>
    </x:row>
    <x:row r="43" ht="23" customHeight="1">
      <x:c r="B43" s="17" t="str">
        <x:v>Closure</x:v>
      </x:c>
      <x:c r="C43" s="17" t="str">
        <x:v>All rounds</x:v>
      </x:c>
      <x:c r="D43" s="17" t="str">
        <x:v>BUGGY_NOT_RUN</x:v>
      </x:c>
      <x:c r="E43" s="17" t="n">
        <x:f>COUNTIF('BugResults'!$P$67:$P$240,"BUGGY_NOT_RUN")+COUNTIF('BugResults'!$P$921:$P$1094,"BUGGY_NOT_RUN")</x:f>
        <x:v>0</x:v>
      </x:c>
      <x:c r="F43" s="33" t="n">
        <x:f>IF('Verdicts'!E54=0,"—",E43/'Verdicts'!E54)</x:f>
        <x:v>0</x:v>
      </x:c>
      <x:c r="G43" s="17" t="n">
        <x:f>'Verdicts'!E54</x:f>
        <x:v>6</x:v>
      </x:c>
      <x:c r="H43" s="17" t="n">
        <x:f>SUM(E43:E46)-G43</x:f>
        <x:v>0</x:v>
      </x:c>
    </x:row>
    <x:row r="44" ht="23" customHeight="1">
      <x:c r="B44" s="17" t="str">
        <x:v>Closure</x:v>
      </x:c>
      <x:c r="C44" s="17" t="str">
        <x:v>All rounds</x:v>
      </x:c>
      <x:c r="D44" s="17" t="str">
        <x:v>FIXED_NOT_RUN</x:v>
      </x:c>
      <x:c r="E44" s="17" t="n">
        <x:f>COUNTIF('BugResults'!$P$67:$P$240,"FIXED_NOT_RUN")+COUNTIF('BugResults'!$P$921:$P$1094,"FIXED_NOT_RUN")</x:f>
        <x:v>6</x:v>
      </x:c>
      <x:c r="F44" s="33" t="n">
        <x:f>IF('Verdicts'!E54=0,"—",E44/'Verdicts'!E54)</x:f>
        <x:v>1</x:v>
      </x:c>
      <x:c r="G44" s="17" t="n">
        <x:f>'Verdicts'!E54</x:f>
        <x:v>6</x:v>
      </x:c>
      <x:c r="H44" s="17"/>
    </x:row>
    <x:row r="45" ht="23" customHeight="1">
      <x:c r="B45" s="17" t="str">
        <x:v>Closure</x:v>
      </x:c>
      <x:c r="C45" s="17" t="str">
        <x:v>All rounds</x:v>
      </x:c>
      <x:c r="D45" s="17" t="str">
        <x:v>BOTH_NOT_RUN</x:v>
      </x:c>
      <x:c r="E45" s="17" t="n">
        <x:f>COUNTIF('BugResults'!$P$67:$P$240,"BOTH_NOT_RUN")+COUNTIF('BugResults'!$P$921:$P$1094,"BOTH_NOT_RUN")</x:f>
        <x:v>0</x:v>
      </x:c>
      <x:c r="F45" s="33" t="n">
        <x:f>IF('Verdicts'!E54=0,"—",E45/'Verdicts'!E54)</x:f>
        <x:v>0</x:v>
      </x:c>
      <x:c r="G45" s="17" t="n">
        <x:f>'Verdicts'!E54</x:f>
        <x:v>6</x:v>
      </x:c>
      <x:c r="H45" s="17"/>
    </x:row>
    <x:row r="46" ht="23" customHeight="1">
      <x:c r="B46" s="17" t="str">
        <x:v>Closure</x:v>
      </x:c>
      <x:c r="C46" s="17" t="str">
        <x:v>All rounds</x:v>
      </x:c>
      <x:c r="D46" s="17" t="str">
        <x:v>COVERAGE_UNAVAILABLE</x:v>
      </x:c>
      <x:c r="E46" s="17" t="n">
        <x:f>COUNTIF('BugResults'!$P$67:$P$240,"COVERAGE_UNAVAILABLE")+COUNTIF('BugResults'!$P$921:$P$1094,"COVERAGE_UNAVAILABLE")</x:f>
        <x:v>0</x:v>
      </x:c>
      <x:c r="F46" s="33" t="n">
        <x:f>IF('Verdicts'!E54=0,"—",E46/'Verdicts'!E54)</x:f>
        <x:v>0</x:v>
      </x:c>
      <x:c r="G46" s="17" t="n">
        <x:f>'Verdicts'!E54</x:f>
        <x:v>6</x:v>
      </x:c>
      <x:c r="H46" s="17"/>
    </x:row>
    <x:row r="47" ht="23" customHeight="1">
      <x:c r="B47" s="17" t="str">
        <x:v>Closure</x:v>
      </x:c>
      <x:c r="C47" s="17" t="str">
        <x:v>Round1</x:v>
      </x:c>
      <x:c r="D47" s="17" t="str">
        <x:v>BUGGY_NOT_RUN</x:v>
      </x:c>
      <x:c r="E47" s="17" t="n">
        <x:f>COUNTIF('BugResults'!$P$67:$P$240,"BUGGY_NOT_RUN")</x:f>
        <x:v>0</x:v>
      </x:c>
      <x:c r="F47" s="33" t="n">
        <x:f>IF('Verdicts'!E59=0,"—",E47/'Verdicts'!E59)</x:f>
        <x:v>0</x:v>
      </x:c>
      <x:c r="G47" s="17" t="n">
        <x:f>'Verdicts'!E59</x:f>
        <x:v>3</x:v>
      </x:c>
      <x:c r="H47" s="17" t="n">
        <x:f>SUM(E47:E50)-G47</x:f>
        <x:v>0</x:v>
      </x:c>
    </x:row>
    <x:row r="48" ht="23" customHeight="1">
      <x:c r="B48" s="17" t="str">
        <x:v>Closure</x:v>
      </x:c>
      <x:c r="C48" s="17" t="str">
        <x:v>Round1</x:v>
      </x:c>
      <x:c r="D48" s="17" t="str">
        <x:v>FIXED_NOT_RUN</x:v>
      </x:c>
      <x:c r="E48" s="17" t="n">
        <x:f>COUNTIF('BugResults'!$P$67:$P$240,"FIXED_NOT_RUN")</x:f>
        <x:v>3</x:v>
      </x:c>
      <x:c r="F48" s="33" t="n">
        <x:f>IF('Verdicts'!E59=0,"—",E48/'Verdicts'!E59)</x:f>
        <x:v>1</x:v>
      </x:c>
      <x:c r="G48" s="17" t="n">
        <x:f>'Verdicts'!E59</x:f>
        <x:v>3</x:v>
      </x:c>
      <x:c r="H48" s="17"/>
    </x:row>
    <x:row r="49" ht="23" customHeight="1">
      <x:c r="B49" s="17" t="str">
        <x:v>Closure</x:v>
      </x:c>
      <x:c r="C49" s="17" t="str">
        <x:v>Round1</x:v>
      </x:c>
      <x:c r="D49" s="17" t="str">
        <x:v>BOTH_NOT_RUN</x:v>
      </x:c>
      <x:c r="E49" s="17" t="n">
        <x:f>COUNTIF('BugResults'!$P$67:$P$240,"BOTH_NOT_RUN")</x:f>
        <x:v>0</x:v>
      </x:c>
      <x:c r="F49" s="33" t="n">
        <x:f>IF('Verdicts'!E59=0,"—",E49/'Verdicts'!E59)</x:f>
        <x:v>0</x:v>
      </x:c>
      <x:c r="G49" s="17" t="n">
        <x:f>'Verdicts'!E59</x:f>
        <x:v>3</x:v>
      </x:c>
      <x:c r="H49" s="17"/>
    </x:row>
    <x:row r="50" ht="23" customHeight="1">
      <x:c r="B50" s="17" t="str">
        <x:v>Closure</x:v>
      </x:c>
      <x:c r="C50" s="17" t="str">
        <x:v>Round1</x:v>
      </x:c>
      <x:c r="D50" s="17" t="str">
        <x:v>COVERAGE_UNAVAILABLE</x:v>
      </x:c>
      <x:c r="E50" s="17" t="n">
        <x:f>COUNTIF('BugResults'!$P$67:$P$240,"COVERAGE_UNAVAILABLE")</x:f>
        <x:v>0</x:v>
      </x:c>
      <x:c r="F50" s="33" t="n">
        <x:f>IF('Verdicts'!E59=0,"—",E50/'Verdicts'!E59)</x:f>
        <x:v>0</x:v>
      </x:c>
      <x:c r="G50" s="17" t="n">
        <x:f>'Verdicts'!E59</x:f>
        <x:v>3</x:v>
      </x:c>
      <x:c r="H50" s="17"/>
    </x:row>
    <x:row r="51" ht="23" customHeight="1">
      <x:c r="B51" s="17" t="str">
        <x:v>Closure</x:v>
      </x:c>
      <x:c r="C51" s="17" t="str">
        <x:v>Round2</x:v>
      </x:c>
      <x:c r="D51" s="17" t="str">
        <x:v>BUGGY_NOT_RUN</x:v>
      </x:c>
      <x:c r="E51" s="17" t="n">
        <x:f>COUNTIF('BugResults'!$P$921:$P$1094,"BUGGY_NOT_RUN")</x:f>
        <x:v>0</x:v>
      </x:c>
      <x:c r="F51" s="33" t="n">
        <x:f>IF('Verdicts'!E64=0,"—",E51/'Verdicts'!E64)</x:f>
        <x:v>0</x:v>
      </x:c>
      <x:c r="G51" s="17" t="n">
        <x:f>'Verdicts'!E64</x:f>
        <x:v>3</x:v>
      </x:c>
      <x:c r="H51" s="17" t="n">
        <x:f>SUM(E51:E54)-G51</x:f>
        <x:v>0</x:v>
      </x:c>
    </x:row>
    <x:row r="52" ht="23" customHeight="1">
      <x:c r="B52" s="17" t="str">
        <x:v>Closure</x:v>
      </x:c>
      <x:c r="C52" s="17" t="str">
        <x:v>Round2</x:v>
      </x:c>
      <x:c r="D52" s="17" t="str">
        <x:v>FIXED_NOT_RUN</x:v>
      </x:c>
      <x:c r="E52" s="17" t="n">
        <x:f>COUNTIF('BugResults'!$P$921:$P$1094,"FIXED_NOT_RUN")</x:f>
        <x:v>3</x:v>
      </x:c>
      <x:c r="F52" s="33" t="n">
        <x:f>IF('Verdicts'!E64=0,"—",E52/'Verdicts'!E64)</x:f>
        <x:v>1</x:v>
      </x:c>
      <x:c r="G52" s="17" t="n">
        <x:f>'Verdicts'!E64</x:f>
        <x:v>3</x:v>
      </x:c>
      <x:c r="H52" s="17"/>
    </x:row>
    <x:row r="53" ht="23" customHeight="1">
      <x:c r="B53" s="17" t="str">
        <x:v>Closure</x:v>
      </x:c>
      <x:c r="C53" s="17" t="str">
        <x:v>Round2</x:v>
      </x:c>
      <x:c r="D53" s="17" t="str">
        <x:v>BOTH_NOT_RUN</x:v>
      </x:c>
      <x:c r="E53" s="17" t="n">
        <x:f>COUNTIF('BugResults'!$P$921:$P$1094,"BOTH_NOT_RUN")</x:f>
        <x:v>0</x:v>
      </x:c>
      <x:c r="F53" s="33" t="n">
        <x:f>IF('Verdicts'!E64=0,"—",E53/'Verdicts'!E64)</x:f>
        <x:v>0</x:v>
      </x:c>
      <x:c r="G53" s="17" t="n">
        <x:f>'Verdicts'!E64</x:f>
        <x:v>3</x:v>
      </x:c>
      <x:c r="H53" s="17"/>
    </x:row>
    <x:row r="54" ht="23" customHeight="1">
      <x:c r="B54" s="17" t="str">
        <x:v>Closure</x:v>
      </x:c>
      <x:c r="C54" s="17" t="str">
        <x:v>Round2</x:v>
      </x:c>
      <x:c r="D54" s="17" t="str">
        <x:v>COVERAGE_UNAVAILABLE</x:v>
      </x:c>
      <x:c r="E54" s="17" t="n">
        <x:f>COUNTIF('BugResults'!$P$921:$P$1094,"COVERAGE_UNAVAILABLE")</x:f>
        <x:v>0</x:v>
      </x:c>
      <x:c r="F54" s="33" t="n">
        <x:f>IF('Verdicts'!E64=0,"—",E54/'Verdicts'!E64)</x:f>
        <x:v>0</x:v>
      </x:c>
      <x:c r="G54" s="17" t="n">
        <x:f>'Verdicts'!E64</x:f>
        <x:v>3</x:v>
      </x:c>
      <x:c r="H54" s="17"/>
    </x:row>
    <x:row r="55" ht="23" customHeight="1">
      <x:c r="B55" s="17" t="str">
        <x:v>Codec</x:v>
      </x:c>
      <x:c r="C55" s="17" t="str">
        <x:v>All rounds</x:v>
      </x:c>
      <x:c r="D55" s="17" t="str">
        <x:v>BUGGY_NOT_RUN</x:v>
      </x:c>
      <x:c r="E55" s="17" t="n">
        <x:f>COUNTIF('BugResults'!$P$241:$P$258,"BUGGY_NOT_RUN")+COUNTIF('BugResults'!$P$1095:$P$1112,"BUGGY_NOT_RUN")</x:f>
        <x:v>0</x:v>
      </x:c>
      <x:c r="F55" s="33" t="n">
        <x:f>IF('Verdicts'!E69=0,"—",E55/'Verdicts'!E69)</x:f>
        <x:v>0</x:v>
      </x:c>
      <x:c r="G55" s="17" t="n">
        <x:f>'Verdicts'!E69</x:f>
        <x:v>2</x:v>
      </x:c>
      <x:c r="H55" s="17" t="n">
        <x:f>SUM(E55:E58)-G55</x:f>
        <x:v>0</x:v>
      </x:c>
    </x:row>
    <x:row r="56" ht="23" customHeight="1">
      <x:c r="B56" s="17" t="str">
        <x:v>Codec</x:v>
      </x:c>
      <x:c r="C56" s="17" t="str">
        <x:v>All rounds</x:v>
      </x:c>
      <x:c r="D56" s="17" t="str">
        <x:v>FIXED_NOT_RUN</x:v>
      </x:c>
      <x:c r="E56" s="17" t="n">
        <x:f>COUNTIF('BugResults'!$P$241:$P$258,"FIXED_NOT_RUN")+COUNTIF('BugResults'!$P$1095:$P$1112,"FIXED_NOT_RUN")</x:f>
        <x:v>2</x:v>
      </x:c>
      <x:c r="F56" s="33" t="n">
        <x:f>IF('Verdicts'!E69=0,"—",E56/'Verdicts'!E69)</x:f>
        <x:v>1</x:v>
      </x:c>
      <x:c r="G56" s="17" t="n">
        <x:f>'Verdicts'!E69</x:f>
        <x:v>2</x:v>
      </x:c>
      <x:c r="H56" s="17"/>
    </x:row>
    <x:row r="57" ht="23" customHeight="1">
      <x:c r="B57" s="17" t="str">
        <x:v>Codec</x:v>
      </x:c>
      <x:c r="C57" s="17" t="str">
        <x:v>All rounds</x:v>
      </x:c>
      <x:c r="D57" s="17" t="str">
        <x:v>BOTH_NOT_RUN</x:v>
      </x:c>
      <x:c r="E57" s="17" t="n">
        <x:f>COUNTIF('BugResults'!$P$241:$P$258,"BOTH_NOT_RUN")+COUNTIF('BugResults'!$P$1095:$P$1112,"BOTH_NOT_RUN")</x:f>
        <x:v>0</x:v>
      </x:c>
      <x:c r="F57" s="33" t="n">
        <x:f>IF('Verdicts'!E69=0,"—",E57/'Verdicts'!E69)</x:f>
        <x:v>0</x:v>
      </x:c>
      <x:c r="G57" s="17" t="n">
        <x:f>'Verdicts'!E69</x:f>
        <x:v>2</x:v>
      </x:c>
      <x:c r="H57" s="17"/>
    </x:row>
    <x:row r="58" ht="23" customHeight="1">
      <x:c r="B58" s="17" t="str">
        <x:v>Codec</x:v>
      </x:c>
      <x:c r="C58" s="17" t="str">
        <x:v>All rounds</x:v>
      </x:c>
      <x:c r="D58" s="17" t="str">
        <x:v>COVERAGE_UNAVAILABLE</x:v>
      </x:c>
      <x:c r="E58" s="17" t="n">
        <x:f>COUNTIF('BugResults'!$P$241:$P$258,"COVERAGE_UNAVAILABLE")+COUNTIF('BugResults'!$P$1095:$P$1112,"COVERAGE_UNAVAILABLE")</x:f>
        <x:v>0</x:v>
      </x:c>
      <x:c r="F58" s="33" t="n">
        <x:f>IF('Verdicts'!E69=0,"—",E58/'Verdicts'!E69)</x:f>
        <x:v>0</x:v>
      </x:c>
      <x:c r="G58" s="17" t="n">
        <x:f>'Verdicts'!E69</x:f>
        <x:v>2</x:v>
      </x:c>
      <x:c r="H58" s="17"/>
    </x:row>
    <x:row r="59" ht="23" customHeight="1">
      <x:c r="B59" s="17" t="str">
        <x:v>Codec</x:v>
      </x:c>
      <x:c r="C59" s="17" t="str">
        <x:v>Round1</x:v>
      </x:c>
      <x:c r="D59" s="17" t="str">
        <x:v>BUGGY_NOT_RUN</x:v>
      </x:c>
      <x:c r="E59" s="17" t="n">
        <x:f>COUNTIF('BugResults'!$P$241:$P$258,"BUGGY_NOT_RUN")</x:f>
        <x:v>0</x:v>
      </x:c>
      <x:c r="F59" s="33" t="n">
        <x:f>IF('Verdicts'!E74=0,"—",E59/'Verdicts'!E74)</x:f>
        <x:v>0</x:v>
      </x:c>
      <x:c r="G59" s="17" t="n">
        <x:f>'Verdicts'!E74</x:f>
        <x:v>1</x:v>
      </x:c>
      <x:c r="H59" s="17" t="n">
        <x:f>SUM(E59:E62)-G59</x:f>
        <x:v>0</x:v>
      </x:c>
    </x:row>
    <x:row r="60" ht="23" customHeight="1">
      <x:c r="B60" s="17" t="str">
        <x:v>Codec</x:v>
      </x:c>
      <x:c r="C60" s="17" t="str">
        <x:v>Round1</x:v>
      </x:c>
      <x:c r="D60" s="17" t="str">
        <x:v>FIXED_NOT_RUN</x:v>
      </x:c>
      <x:c r="E60" s="17" t="n">
        <x:f>COUNTIF('BugResults'!$P$241:$P$258,"FIXED_NOT_RUN")</x:f>
        <x:v>1</x:v>
      </x:c>
      <x:c r="F60" s="33" t="n">
        <x:f>IF('Verdicts'!E74=0,"—",E60/'Verdicts'!E74)</x:f>
        <x:v>1</x:v>
      </x:c>
      <x:c r="G60" s="17" t="n">
        <x:f>'Verdicts'!E74</x:f>
        <x:v>1</x:v>
      </x:c>
      <x:c r="H60" s="17"/>
    </x:row>
    <x:row r="61" ht="23" customHeight="1">
      <x:c r="B61" s="17" t="str">
        <x:v>Codec</x:v>
      </x:c>
      <x:c r="C61" s="17" t="str">
        <x:v>Round1</x:v>
      </x:c>
      <x:c r="D61" s="17" t="str">
        <x:v>BOTH_NOT_RUN</x:v>
      </x:c>
      <x:c r="E61" s="17" t="n">
        <x:f>COUNTIF('BugResults'!$P$241:$P$258,"BOTH_NOT_RUN")</x:f>
        <x:v>0</x:v>
      </x:c>
      <x:c r="F61" s="33" t="n">
        <x:f>IF('Verdicts'!E74=0,"—",E61/'Verdicts'!E74)</x:f>
        <x:v>0</x:v>
      </x:c>
      <x:c r="G61" s="17" t="n">
        <x:f>'Verdicts'!E74</x:f>
        <x:v>1</x:v>
      </x:c>
      <x:c r="H61" s="17"/>
    </x:row>
    <x:row r="62" ht="23" customHeight="1">
      <x:c r="B62" s="17" t="str">
        <x:v>Codec</x:v>
      </x:c>
      <x:c r="C62" s="17" t="str">
        <x:v>Round1</x:v>
      </x:c>
      <x:c r="D62" s="17" t="str">
        <x:v>COVERAGE_UNAVAILABLE</x:v>
      </x:c>
      <x:c r="E62" s="17" t="n">
        <x:f>COUNTIF('BugResults'!$P$241:$P$258,"COVERAGE_UNAVAILABLE")</x:f>
        <x:v>0</x:v>
      </x:c>
      <x:c r="F62" s="33" t="n">
        <x:f>IF('Verdicts'!E74=0,"—",E62/'Verdicts'!E74)</x:f>
        <x:v>0</x:v>
      </x:c>
      <x:c r="G62" s="17" t="n">
        <x:f>'Verdicts'!E74</x:f>
        <x:v>1</x:v>
      </x:c>
      <x:c r="H62" s="17"/>
    </x:row>
    <x:row r="63" ht="23" customHeight="1">
      <x:c r="B63" s="17" t="str">
        <x:v>Codec</x:v>
      </x:c>
      <x:c r="C63" s="17" t="str">
        <x:v>Round2</x:v>
      </x:c>
      <x:c r="D63" s="17" t="str">
        <x:v>BUGGY_NOT_RUN</x:v>
      </x:c>
      <x:c r="E63" s="17" t="n">
        <x:f>COUNTIF('BugResults'!$P$1095:$P$1112,"BUGGY_NOT_RUN")</x:f>
        <x:v>0</x:v>
      </x:c>
      <x:c r="F63" s="33" t="n">
        <x:f>IF('Verdicts'!E79=0,"—",E63/'Verdicts'!E79)</x:f>
        <x:v>0</x:v>
      </x:c>
      <x:c r="G63" s="17" t="n">
        <x:f>'Verdicts'!E79</x:f>
        <x:v>1</x:v>
      </x:c>
      <x:c r="H63" s="17" t="n">
        <x:f>SUM(E63:E66)-G63</x:f>
        <x:v>0</x:v>
      </x:c>
    </x:row>
    <x:row r="64" ht="23" customHeight="1">
      <x:c r="B64" s="17" t="str">
        <x:v>Codec</x:v>
      </x:c>
      <x:c r="C64" s="17" t="str">
        <x:v>Round2</x:v>
      </x:c>
      <x:c r="D64" s="17" t="str">
        <x:v>FIXED_NOT_RUN</x:v>
      </x:c>
      <x:c r="E64" s="17" t="n">
        <x:f>COUNTIF('BugResults'!$P$1095:$P$1112,"FIXED_NOT_RUN")</x:f>
        <x:v>1</x:v>
      </x:c>
      <x:c r="F64" s="33" t="n">
        <x:f>IF('Verdicts'!E79=0,"—",E64/'Verdicts'!E79)</x:f>
        <x:v>1</x:v>
      </x:c>
      <x:c r="G64" s="17" t="n">
        <x:f>'Verdicts'!E79</x:f>
        <x:v>1</x:v>
      </x:c>
      <x:c r="H64" s="17"/>
    </x:row>
    <x:row r="65" ht="23" customHeight="1">
      <x:c r="B65" s="17" t="str">
        <x:v>Codec</x:v>
      </x:c>
      <x:c r="C65" s="17" t="str">
        <x:v>Round2</x:v>
      </x:c>
      <x:c r="D65" s="17" t="str">
        <x:v>BOTH_NOT_RUN</x:v>
      </x:c>
      <x:c r="E65" s="17" t="n">
        <x:f>COUNTIF('BugResults'!$P$1095:$P$1112,"BOTH_NOT_RUN")</x:f>
        <x:v>0</x:v>
      </x:c>
      <x:c r="F65" s="33" t="n">
        <x:f>IF('Verdicts'!E79=0,"—",E65/'Verdicts'!E79)</x:f>
        <x:v>0</x:v>
      </x:c>
      <x:c r="G65" s="17" t="n">
        <x:f>'Verdicts'!E79</x:f>
        <x:v>1</x:v>
      </x:c>
      <x:c r="H65" s="17"/>
    </x:row>
    <x:row r="66" ht="23" customHeight="1">
      <x:c r="B66" s="17" t="str">
        <x:v>Codec</x:v>
      </x:c>
      <x:c r="C66" s="17" t="str">
        <x:v>Round2</x:v>
      </x:c>
      <x:c r="D66" s="17" t="str">
        <x:v>COVERAGE_UNAVAILABLE</x:v>
      </x:c>
      <x:c r="E66" s="17" t="n">
        <x:f>COUNTIF('BugResults'!$P$1095:$P$1112,"COVERAGE_UNAVAILABLE")</x:f>
        <x:v>0</x:v>
      </x:c>
      <x:c r="F66" s="33" t="n">
        <x:f>IF('Verdicts'!E79=0,"—",E66/'Verdicts'!E79)</x:f>
        <x:v>0</x:v>
      </x:c>
      <x:c r="G66" s="17" t="n">
        <x:f>'Verdicts'!E79</x:f>
        <x:v>1</x:v>
      </x:c>
      <x:c r="H66" s="17"/>
    </x:row>
    <x:row r="67" ht="23" customHeight="1">
      <x:c r="B67" s="17" t="str">
        <x:v>Collections</x:v>
      </x:c>
      <x:c r="C67" s="17" t="str">
        <x:v>All rounds</x:v>
      </x:c>
      <x:c r="D67" s="17" t="str">
        <x:v>BUGGY_NOT_RUN</x:v>
      </x:c>
      <x:c r="E67" s="17" t="n">
        <x:f>COUNTIF('BugResults'!$P$259:$P$286,"BUGGY_NOT_RUN")+COUNTIF('BugResults'!$P$1113:$P$1140,"BUGGY_NOT_RUN")</x:f>
        <x:v>0</x:v>
      </x:c>
      <x:c r="F67" s="33" t="str">
        <x:f>IF('Verdicts'!E84=0,"—",E67/'Verdicts'!E84)</x:f>
        <x:v>—</x:v>
      </x:c>
      <x:c r="G67" s="17" t="n">
        <x:f>'Verdicts'!E84</x:f>
        <x:v>0</x:v>
      </x:c>
      <x:c r="H67" s="17" t="n">
        <x:f>SUM(E67:E70)-G67</x:f>
        <x:v>0</x:v>
      </x:c>
    </x:row>
    <x:row r="68" ht="23" customHeight="1">
      <x:c r="B68" s="17" t="str">
        <x:v>Collections</x:v>
      </x:c>
      <x:c r="C68" s="17" t="str">
        <x:v>All rounds</x:v>
      </x:c>
      <x:c r="D68" s="17" t="str">
        <x:v>FIXED_NOT_RUN</x:v>
      </x:c>
      <x:c r="E68" s="17" t="n">
        <x:f>COUNTIF('BugResults'!$P$259:$P$286,"FIXED_NOT_RUN")+COUNTIF('BugResults'!$P$1113:$P$1140,"FIXED_NOT_RUN")</x:f>
        <x:v>0</x:v>
      </x:c>
      <x:c r="F68" s="33" t="str">
        <x:f>IF('Verdicts'!E84=0,"—",E68/'Verdicts'!E84)</x:f>
        <x:v>—</x:v>
      </x:c>
      <x:c r="G68" s="17" t="n">
        <x:f>'Verdicts'!E84</x:f>
        <x:v>0</x:v>
      </x:c>
      <x:c r="H68" s="17"/>
    </x:row>
    <x:row r="69" ht="23" customHeight="1">
      <x:c r="B69" s="17" t="str">
        <x:v>Collections</x:v>
      </x:c>
      <x:c r="C69" s="17" t="str">
        <x:v>All rounds</x:v>
      </x:c>
      <x:c r="D69" s="17" t="str">
        <x:v>BOTH_NOT_RUN</x:v>
      </x:c>
      <x:c r="E69" s="17" t="n">
        <x:f>COUNTIF('BugResults'!$P$259:$P$286,"BOTH_NOT_RUN")+COUNTIF('BugResults'!$P$1113:$P$1140,"BOTH_NOT_RUN")</x:f>
        <x:v>0</x:v>
      </x:c>
      <x:c r="F69" s="33" t="str">
        <x:f>IF('Verdicts'!E84=0,"—",E69/'Verdicts'!E84)</x:f>
        <x:v>—</x:v>
      </x:c>
      <x:c r="G69" s="17" t="n">
        <x:f>'Verdicts'!E84</x:f>
        <x:v>0</x:v>
      </x:c>
      <x:c r="H69" s="17"/>
    </x:row>
    <x:row r="70" ht="23" customHeight="1">
      <x:c r="B70" s="17" t="str">
        <x:v>Collections</x:v>
      </x:c>
      <x:c r="C70" s="17" t="str">
        <x:v>All rounds</x:v>
      </x:c>
      <x:c r="D70" s="17" t="str">
        <x:v>COVERAGE_UNAVAILABLE</x:v>
      </x:c>
      <x:c r="E70" s="17" t="n">
        <x:f>COUNTIF('BugResults'!$P$259:$P$286,"COVERAGE_UNAVAILABLE")+COUNTIF('BugResults'!$P$1113:$P$1140,"COVERAGE_UNAVAILABLE")</x:f>
        <x:v>0</x:v>
      </x:c>
      <x:c r="F70" s="33" t="str">
        <x:f>IF('Verdicts'!E84=0,"—",E70/'Verdicts'!E84)</x:f>
        <x:v>—</x:v>
      </x:c>
      <x:c r="G70" s="17" t="n">
        <x:f>'Verdicts'!E84</x:f>
        <x:v>0</x:v>
      </x:c>
      <x:c r="H70" s="17"/>
    </x:row>
    <x:row r="71" ht="23" customHeight="1">
      <x:c r="B71" s="17" t="str">
        <x:v>Collections</x:v>
      </x:c>
      <x:c r="C71" s="17" t="str">
        <x:v>Round1</x:v>
      </x:c>
      <x:c r="D71" s="17" t="str">
        <x:v>BUGGY_NOT_RUN</x:v>
      </x:c>
      <x:c r="E71" s="17" t="n">
        <x:f>COUNTIF('BugResults'!$P$259:$P$286,"BUGGY_NOT_RUN")</x:f>
        <x:v>0</x:v>
      </x:c>
      <x:c r="F71" s="33" t="str">
        <x:f>IF('Verdicts'!E89=0,"—",E71/'Verdicts'!E89)</x:f>
        <x:v>—</x:v>
      </x:c>
      <x:c r="G71" s="17" t="n">
        <x:f>'Verdicts'!E89</x:f>
        <x:v>0</x:v>
      </x:c>
      <x:c r="H71" s="17" t="n">
        <x:f>SUM(E71:E74)-G71</x:f>
        <x:v>0</x:v>
      </x:c>
    </x:row>
    <x:row r="72" ht="23" customHeight="1">
      <x:c r="B72" s="17" t="str">
        <x:v>Collections</x:v>
      </x:c>
      <x:c r="C72" s="17" t="str">
        <x:v>Round1</x:v>
      </x:c>
      <x:c r="D72" s="17" t="str">
        <x:v>FIXED_NOT_RUN</x:v>
      </x:c>
      <x:c r="E72" s="17" t="n">
        <x:f>COUNTIF('BugResults'!$P$259:$P$286,"FIXED_NOT_RUN")</x:f>
        <x:v>0</x:v>
      </x:c>
      <x:c r="F72" s="33" t="str">
        <x:f>IF('Verdicts'!E89=0,"—",E72/'Verdicts'!E89)</x:f>
        <x:v>—</x:v>
      </x:c>
      <x:c r="G72" s="17" t="n">
        <x:f>'Verdicts'!E89</x:f>
        <x:v>0</x:v>
      </x:c>
      <x:c r="H72" s="17"/>
    </x:row>
    <x:row r="73" ht="23" customHeight="1">
      <x:c r="B73" s="17" t="str">
        <x:v>Collections</x:v>
      </x:c>
      <x:c r="C73" s="17" t="str">
        <x:v>Round1</x:v>
      </x:c>
      <x:c r="D73" s="17" t="str">
        <x:v>BOTH_NOT_RUN</x:v>
      </x:c>
      <x:c r="E73" s="17" t="n">
        <x:f>COUNTIF('BugResults'!$P$259:$P$286,"BOTH_NOT_RUN")</x:f>
        <x:v>0</x:v>
      </x:c>
      <x:c r="F73" s="33" t="str">
        <x:f>IF('Verdicts'!E89=0,"—",E73/'Verdicts'!E89)</x:f>
        <x:v>—</x:v>
      </x:c>
      <x:c r="G73" s="17" t="n">
        <x:f>'Verdicts'!E89</x:f>
        <x:v>0</x:v>
      </x:c>
      <x:c r="H73" s="17"/>
    </x:row>
    <x:row r="74" ht="23" customHeight="1">
      <x:c r="B74" s="17" t="str">
        <x:v>Collections</x:v>
      </x:c>
      <x:c r="C74" s="17" t="str">
        <x:v>Round1</x:v>
      </x:c>
      <x:c r="D74" s="17" t="str">
        <x:v>COVERAGE_UNAVAILABLE</x:v>
      </x:c>
      <x:c r="E74" s="17" t="n">
        <x:f>COUNTIF('BugResults'!$P$259:$P$286,"COVERAGE_UNAVAILABLE")</x:f>
        <x:v>0</x:v>
      </x:c>
      <x:c r="F74" s="33" t="str">
        <x:f>IF('Verdicts'!E89=0,"—",E74/'Verdicts'!E89)</x:f>
        <x:v>—</x:v>
      </x:c>
      <x:c r="G74" s="17" t="n">
        <x:f>'Verdicts'!E89</x:f>
        <x:v>0</x:v>
      </x:c>
      <x:c r="H74" s="17"/>
    </x:row>
    <x:row r="75" ht="23" customHeight="1">
      <x:c r="B75" s="17" t="str">
        <x:v>Collections</x:v>
      </x:c>
      <x:c r="C75" s="17" t="str">
        <x:v>Round2</x:v>
      </x:c>
      <x:c r="D75" s="17" t="str">
        <x:v>BUGGY_NOT_RUN</x:v>
      </x:c>
      <x:c r="E75" s="17" t="n">
        <x:f>COUNTIF('BugResults'!$P$1113:$P$1140,"BUGGY_NOT_RUN")</x:f>
        <x:v>0</x:v>
      </x:c>
      <x:c r="F75" s="33" t="str">
        <x:f>IF('Verdicts'!E94=0,"—",E75/'Verdicts'!E94)</x:f>
        <x:v>—</x:v>
      </x:c>
      <x:c r="G75" s="17" t="n">
        <x:f>'Verdicts'!E94</x:f>
        <x:v>0</x:v>
      </x:c>
      <x:c r="H75" s="17" t="n">
        <x:f>SUM(E75:E78)-G75</x:f>
        <x:v>0</x:v>
      </x:c>
    </x:row>
    <x:row r="76" ht="23" customHeight="1">
      <x:c r="B76" s="17" t="str">
        <x:v>Collections</x:v>
      </x:c>
      <x:c r="C76" s="17" t="str">
        <x:v>Round2</x:v>
      </x:c>
      <x:c r="D76" s="17" t="str">
        <x:v>FIXED_NOT_RUN</x:v>
      </x:c>
      <x:c r="E76" s="17" t="n">
        <x:f>COUNTIF('BugResults'!$P$1113:$P$1140,"FIXED_NOT_RUN")</x:f>
        <x:v>0</x:v>
      </x:c>
      <x:c r="F76" s="33" t="str">
        <x:f>IF('Verdicts'!E94=0,"—",E76/'Verdicts'!E94)</x:f>
        <x:v>—</x:v>
      </x:c>
      <x:c r="G76" s="17" t="n">
        <x:f>'Verdicts'!E94</x:f>
        <x:v>0</x:v>
      </x:c>
      <x:c r="H76" s="17"/>
    </x:row>
    <x:row r="77" ht="23" customHeight="1">
      <x:c r="B77" s="17" t="str">
        <x:v>Collections</x:v>
      </x:c>
      <x:c r="C77" s="17" t="str">
        <x:v>Round2</x:v>
      </x:c>
      <x:c r="D77" s="17" t="str">
        <x:v>BOTH_NOT_RUN</x:v>
      </x:c>
      <x:c r="E77" s="17" t="n">
        <x:f>COUNTIF('BugResults'!$P$1113:$P$1140,"BOTH_NOT_RUN")</x:f>
        <x:v>0</x:v>
      </x:c>
      <x:c r="F77" s="33" t="str">
        <x:f>IF('Verdicts'!E94=0,"—",E77/'Verdicts'!E94)</x:f>
        <x:v>—</x:v>
      </x:c>
      <x:c r="G77" s="17" t="n">
        <x:f>'Verdicts'!E94</x:f>
        <x:v>0</x:v>
      </x:c>
      <x:c r="H77" s="17"/>
    </x:row>
    <x:row r="78" ht="23" customHeight="1">
      <x:c r="B78" s="17" t="str">
        <x:v>Collections</x:v>
      </x:c>
      <x:c r="C78" s="17" t="str">
        <x:v>Round2</x:v>
      </x:c>
      <x:c r="D78" s="17" t="str">
        <x:v>COVERAGE_UNAVAILABLE</x:v>
      </x:c>
      <x:c r="E78" s="17" t="n">
        <x:f>COUNTIF('BugResults'!$P$1113:$P$1140,"COVERAGE_UNAVAILABLE")</x:f>
        <x:v>0</x:v>
      </x:c>
      <x:c r="F78" s="33" t="str">
        <x:f>IF('Verdicts'!E94=0,"—",E78/'Verdicts'!E94)</x:f>
        <x:v>—</x:v>
      </x:c>
      <x:c r="G78" s="17" t="n">
        <x:f>'Verdicts'!E94</x:f>
        <x:v>0</x:v>
      </x:c>
      <x:c r="H78" s="17"/>
    </x:row>
    <x:row r="79" ht="23" customHeight="1">
      <x:c r="B79" s="17" t="str">
        <x:v>Compress</x:v>
      </x:c>
      <x:c r="C79" s="17" t="str">
        <x:v>All rounds</x:v>
      </x:c>
      <x:c r="D79" s="17" t="str">
        <x:v>BUGGY_NOT_RUN</x:v>
      </x:c>
      <x:c r="E79" s="17" t="n">
        <x:f>COUNTIF('BugResults'!$P$287:$P$333,"BUGGY_NOT_RUN")+COUNTIF('BugResults'!$P$1141:$P$1187,"BUGGY_NOT_RUN")</x:f>
        <x:v>0</x:v>
      </x:c>
      <x:c r="F79" s="33" t="str">
        <x:f>IF('Verdicts'!E99=0,"—",E79/'Verdicts'!E99)</x:f>
        <x:v>—</x:v>
      </x:c>
      <x:c r="G79" s="17" t="n">
        <x:f>'Verdicts'!E99</x:f>
        <x:v>0</x:v>
      </x:c>
      <x:c r="H79" s="17" t="n">
        <x:f>SUM(E79:E82)-G79</x:f>
        <x:v>0</x:v>
      </x:c>
    </x:row>
    <x:row r="80" ht="23" customHeight="1">
      <x:c r="B80" s="17" t="str">
        <x:v>Compress</x:v>
      </x:c>
      <x:c r="C80" s="17" t="str">
        <x:v>All rounds</x:v>
      </x:c>
      <x:c r="D80" s="17" t="str">
        <x:v>FIXED_NOT_RUN</x:v>
      </x:c>
      <x:c r="E80" s="17" t="n">
        <x:f>COUNTIF('BugResults'!$P$287:$P$333,"FIXED_NOT_RUN")+COUNTIF('BugResults'!$P$1141:$P$1187,"FIXED_NOT_RUN")</x:f>
        <x:v>0</x:v>
      </x:c>
      <x:c r="F80" s="33" t="str">
        <x:f>IF('Verdicts'!E99=0,"—",E80/'Verdicts'!E99)</x:f>
        <x:v>—</x:v>
      </x:c>
      <x:c r="G80" s="17" t="n">
        <x:f>'Verdicts'!E99</x:f>
        <x:v>0</x:v>
      </x:c>
      <x:c r="H80" s="17"/>
    </x:row>
    <x:row r="81" ht="23" customHeight="1">
      <x:c r="B81" s="17" t="str">
        <x:v>Compress</x:v>
      </x:c>
      <x:c r="C81" s="17" t="str">
        <x:v>All rounds</x:v>
      </x:c>
      <x:c r="D81" s="17" t="str">
        <x:v>BOTH_NOT_RUN</x:v>
      </x:c>
      <x:c r="E81" s="17" t="n">
        <x:f>COUNTIF('BugResults'!$P$287:$P$333,"BOTH_NOT_RUN")+COUNTIF('BugResults'!$P$1141:$P$1187,"BOTH_NOT_RUN")</x:f>
        <x:v>0</x:v>
      </x:c>
      <x:c r="F81" s="33" t="str">
        <x:f>IF('Verdicts'!E99=0,"—",E81/'Verdicts'!E99)</x:f>
        <x:v>—</x:v>
      </x:c>
      <x:c r="G81" s="17" t="n">
        <x:f>'Verdicts'!E99</x:f>
        <x:v>0</x:v>
      </x:c>
      <x:c r="H81" s="17"/>
    </x:row>
    <x:row r="82" ht="23" customHeight="1">
      <x:c r="B82" s="17" t="str">
        <x:v>Compress</x:v>
      </x:c>
      <x:c r="C82" s="17" t="str">
        <x:v>All rounds</x:v>
      </x:c>
      <x:c r="D82" s="17" t="str">
        <x:v>COVERAGE_UNAVAILABLE</x:v>
      </x:c>
      <x:c r="E82" s="17" t="n">
        <x:f>COUNTIF('BugResults'!$P$287:$P$333,"COVERAGE_UNAVAILABLE")+COUNTIF('BugResults'!$P$1141:$P$1187,"COVERAGE_UNAVAILABLE")</x:f>
        <x:v>0</x:v>
      </x:c>
      <x:c r="F82" s="33" t="str">
        <x:f>IF('Verdicts'!E99=0,"—",E82/'Verdicts'!E99)</x:f>
        <x:v>—</x:v>
      </x:c>
      <x:c r="G82" s="17" t="n">
        <x:f>'Verdicts'!E99</x:f>
        <x:v>0</x:v>
      </x:c>
      <x:c r="H82" s="17"/>
    </x:row>
    <x:row r="83" ht="23" customHeight="1">
      <x:c r="B83" s="17" t="str">
        <x:v>Compress</x:v>
      </x:c>
      <x:c r="C83" s="17" t="str">
        <x:v>Round1</x:v>
      </x:c>
      <x:c r="D83" s="17" t="str">
        <x:v>BUGGY_NOT_RUN</x:v>
      </x:c>
      <x:c r="E83" s="17" t="n">
        <x:f>COUNTIF('BugResults'!$P$287:$P$333,"BUGGY_NOT_RUN")</x:f>
        <x:v>0</x:v>
      </x:c>
      <x:c r="F83" s="33" t="str">
        <x:f>IF('Verdicts'!E104=0,"—",E83/'Verdicts'!E104)</x:f>
        <x:v>—</x:v>
      </x:c>
      <x:c r="G83" s="17" t="n">
        <x:f>'Verdicts'!E104</x:f>
        <x:v>0</x:v>
      </x:c>
      <x:c r="H83" s="17" t="n">
        <x:f>SUM(E83:E86)-G83</x:f>
        <x:v>0</x:v>
      </x:c>
    </x:row>
    <x:row r="84" ht="23" customHeight="1">
      <x:c r="B84" s="17" t="str">
        <x:v>Compress</x:v>
      </x:c>
      <x:c r="C84" s="17" t="str">
        <x:v>Round1</x:v>
      </x:c>
      <x:c r="D84" s="17" t="str">
        <x:v>FIXED_NOT_RUN</x:v>
      </x:c>
      <x:c r="E84" s="17" t="n">
        <x:f>COUNTIF('BugResults'!$P$287:$P$333,"FIXED_NOT_RUN")</x:f>
        <x:v>0</x:v>
      </x:c>
      <x:c r="F84" s="33" t="str">
        <x:f>IF('Verdicts'!E104=0,"—",E84/'Verdicts'!E104)</x:f>
        <x:v>—</x:v>
      </x:c>
      <x:c r="G84" s="17" t="n">
        <x:f>'Verdicts'!E104</x:f>
        <x:v>0</x:v>
      </x:c>
      <x:c r="H84" s="17"/>
    </x:row>
    <x:row r="85" ht="23" customHeight="1">
      <x:c r="B85" s="17" t="str">
        <x:v>Compress</x:v>
      </x:c>
      <x:c r="C85" s="17" t="str">
        <x:v>Round1</x:v>
      </x:c>
      <x:c r="D85" s="17" t="str">
        <x:v>BOTH_NOT_RUN</x:v>
      </x:c>
      <x:c r="E85" s="17" t="n">
        <x:f>COUNTIF('BugResults'!$P$287:$P$333,"BOTH_NOT_RUN")</x:f>
        <x:v>0</x:v>
      </x:c>
      <x:c r="F85" s="33" t="str">
        <x:f>IF('Verdicts'!E104=0,"—",E85/'Verdicts'!E104)</x:f>
        <x:v>—</x:v>
      </x:c>
      <x:c r="G85" s="17" t="n">
        <x:f>'Verdicts'!E104</x:f>
        <x:v>0</x:v>
      </x:c>
      <x:c r="H85" s="17"/>
    </x:row>
    <x:row r="86" ht="23" customHeight="1">
      <x:c r="B86" s="17" t="str">
        <x:v>Compress</x:v>
      </x:c>
      <x:c r="C86" s="17" t="str">
        <x:v>Round1</x:v>
      </x:c>
      <x:c r="D86" s="17" t="str">
        <x:v>COVERAGE_UNAVAILABLE</x:v>
      </x:c>
      <x:c r="E86" s="17" t="n">
        <x:f>COUNTIF('BugResults'!$P$287:$P$333,"COVERAGE_UNAVAILABLE")</x:f>
        <x:v>0</x:v>
      </x:c>
      <x:c r="F86" s="33" t="str">
        <x:f>IF('Verdicts'!E104=0,"—",E86/'Verdicts'!E104)</x:f>
        <x:v>—</x:v>
      </x:c>
      <x:c r="G86" s="17" t="n">
        <x:f>'Verdicts'!E104</x:f>
        <x:v>0</x:v>
      </x:c>
      <x:c r="H86" s="17"/>
    </x:row>
    <x:row r="87" ht="23" customHeight="1">
      <x:c r="B87" s="17" t="str">
        <x:v>Compress</x:v>
      </x:c>
      <x:c r="C87" s="17" t="str">
        <x:v>Round2</x:v>
      </x:c>
      <x:c r="D87" s="17" t="str">
        <x:v>BUGGY_NOT_RUN</x:v>
      </x:c>
      <x:c r="E87" s="17" t="n">
        <x:f>COUNTIF('BugResults'!$P$1141:$P$1187,"BUGGY_NOT_RUN")</x:f>
        <x:v>0</x:v>
      </x:c>
      <x:c r="F87" s="33" t="str">
        <x:f>IF('Verdicts'!E109=0,"—",E87/'Verdicts'!E109)</x:f>
        <x:v>—</x:v>
      </x:c>
      <x:c r="G87" s="17" t="n">
        <x:f>'Verdicts'!E109</x:f>
        <x:v>0</x:v>
      </x:c>
      <x:c r="H87" s="17" t="n">
        <x:f>SUM(E87:E90)-G87</x:f>
        <x:v>0</x:v>
      </x:c>
    </x:row>
    <x:row r="88" ht="23" customHeight="1">
      <x:c r="B88" s="17" t="str">
        <x:v>Compress</x:v>
      </x:c>
      <x:c r="C88" s="17" t="str">
        <x:v>Round2</x:v>
      </x:c>
      <x:c r="D88" s="17" t="str">
        <x:v>FIXED_NOT_RUN</x:v>
      </x:c>
      <x:c r="E88" s="17" t="n">
        <x:f>COUNTIF('BugResults'!$P$1141:$P$1187,"FIXED_NOT_RUN")</x:f>
        <x:v>0</x:v>
      </x:c>
      <x:c r="F88" s="33" t="str">
        <x:f>IF('Verdicts'!E109=0,"—",E88/'Verdicts'!E109)</x:f>
        <x:v>—</x:v>
      </x:c>
      <x:c r="G88" s="17" t="n">
        <x:f>'Verdicts'!E109</x:f>
        <x:v>0</x:v>
      </x:c>
      <x:c r="H88" s="17"/>
    </x:row>
    <x:row r="89" ht="23" customHeight="1">
      <x:c r="B89" s="17" t="str">
        <x:v>Compress</x:v>
      </x:c>
      <x:c r="C89" s="17" t="str">
        <x:v>Round2</x:v>
      </x:c>
      <x:c r="D89" s="17" t="str">
        <x:v>BOTH_NOT_RUN</x:v>
      </x:c>
      <x:c r="E89" s="17" t="n">
        <x:f>COUNTIF('BugResults'!$P$1141:$P$1187,"BOTH_NOT_RUN")</x:f>
        <x:v>0</x:v>
      </x:c>
      <x:c r="F89" s="33" t="str">
        <x:f>IF('Verdicts'!E109=0,"—",E89/'Verdicts'!E109)</x:f>
        <x:v>—</x:v>
      </x:c>
      <x:c r="G89" s="17" t="n">
        <x:f>'Verdicts'!E109</x:f>
        <x:v>0</x:v>
      </x:c>
      <x:c r="H89" s="17"/>
    </x:row>
    <x:row r="90" ht="23" customHeight="1">
      <x:c r="B90" s="17" t="str">
        <x:v>Compress</x:v>
      </x:c>
      <x:c r="C90" s="17" t="str">
        <x:v>Round2</x:v>
      </x:c>
      <x:c r="D90" s="17" t="str">
        <x:v>COVERAGE_UNAVAILABLE</x:v>
      </x:c>
      <x:c r="E90" s="17" t="n">
        <x:f>COUNTIF('BugResults'!$P$1141:$P$1187,"COVERAGE_UNAVAILABLE")</x:f>
        <x:v>0</x:v>
      </x:c>
      <x:c r="F90" s="33" t="str">
        <x:f>IF('Verdicts'!E109=0,"—",E90/'Verdicts'!E109)</x:f>
        <x:v>—</x:v>
      </x:c>
      <x:c r="G90" s="17" t="n">
        <x:f>'Verdicts'!E109</x:f>
        <x:v>0</x:v>
      </x:c>
      <x:c r="H90" s="17"/>
    </x:row>
    <x:row r="91" ht="23" customHeight="1">
      <x:c r="B91" s="17" t="str">
        <x:v>Csv</x:v>
      </x:c>
      <x:c r="C91" s="17" t="str">
        <x:v>All rounds</x:v>
      </x:c>
      <x:c r="D91" s="17" t="str">
        <x:v>BUGGY_NOT_RUN</x:v>
      </x:c>
      <x:c r="E91" s="17" t="n">
        <x:f>COUNTIF('BugResults'!$P$334:$P$349,"BUGGY_NOT_RUN")+COUNTIF('BugResults'!$P$1188:$P$1203,"BUGGY_NOT_RUN")</x:f>
        <x:v>0</x:v>
      </x:c>
      <x:c r="F91" s="33" t="str">
        <x:f>IF('Verdicts'!E114=0,"—",E91/'Verdicts'!E114)</x:f>
        <x:v>—</x:v>
      </x:c>
      <x:c r="G91" s="17" t="n">
        <x:f>'Verdicts'!E114</x:f>
        <x:v>0</x:v>
      </x:c>
      <x:c r="H91" s="17" t="n">
        <x:f>SUM(E91:E94)-G91</x:f>
        <x:v>0</x:v>
      </x:c>
    </x:row>
    <x:row r="92" ht="23" customHeight="1">
      <x:c r="B92" s="17" t="str">
        <x:v>Csv</x:v>
      </x:c>
      <x:c r="C92" s="17" t="str">
        <x:v>All rounds</x:v>
      </x:c>
      <x:c r="D92" s="17" t="str">
        <x:v>FIXED_NOT_RUN</x:v>
      </x:c>
      <x:c r="E92" s="17" t="n">
        <x:f>COUNTIF('BugResults'!$P$334:$P$349,"FIXED_NOT_RUN")+COUNTIF('BugResults'!$P$1188:$P$1203,"FIXED_NOT_RUN")</x:f>
        <x:v>0</x:v>
      </x:c>
      <x:c r="F92" s="33" t="str">
        <x:f>IF('Verdicts'!E114=0,"—",E92/'Verdicts'!E114)</x:f>
        <x:v>—</x:v>
      </x:c>
      <x:c r="G92" s="17" t="n">
        <x:f>'Verdicts'!E114</x:f>
        <x:v>0</x:v>
      </x:c>
      <x:c r="H92" s="17"/>
    </x:row>
    <x:row r="93" ht="23" customHeight="1">
      <x:c r="B93" s="17" t="str">
        <x:v>Csv</x:v>
      </x:c>
      <x:c r="C93" s="17" t="str">
        <x:v>All rounds</x:v>
      </x:c>
      <x:c r="D93" s="17" t="str">
        <x:v>BOTH_NOT_RUN</x:v>
      </x:c>
      <x:c r="E93" s="17" t="n">
        <x:f>COUNTIF('BugResults'!$P$334:$P$349,"BOTH_NOT_RUN")+COUNTIF('BugResults'!$P$1188:$P$1203,"BOTH_NOT_RUN")</x:f>
        <x:v>0</x:v>
      </x:c>
      <x:c r="F93" s="33" t="str">
        <x:f>IF('Verdicts'!E114=0,"—",E93/'Verdicts'!E114)</x:f>
        <x:v>—</x:v>
      </x:c>
      <x:c r="G93" s="17" t="n">
        <x:f>'Verdicts'!E114</x:f>
        <x:v>0</x:v>
      </x:c>
      <x:c r="H93" s="17"/>
    </x:row>
    <x:row r="94" ht="23" customHeight="1">
      <x:c r="B94" s="17" t="str">
        <x:v>Csv</x:v>
      </x:c>
      <x:c r="C94" s="17" t="str">
        <x:v>All rounds</x:v>
      </x:c>
      <x:c r="D94" s="17" t="str">
        <x:v>COVERAGE_UNAVAILABLE</x:v>
      </x:c>
      <x:c r="E94" s="17" t="n">
        <x:f>COUNTIF('BugResults'!$P$334:$P$349,"COVERAGE_UNAVAILABLE")+COUNTIF('BugResults'!$P$1188:$P$1203,"COVERAGE_UNAVAILABLE")</x:f>
        <x:v>0</x:v>
      </x:c>
      <x:c r="F94" s="33" t="str">
        <x:f>IF('Verdicts'!E114=0,"—",E94/'Verdicts'!E114)</x:f>
        <x:v>—</x:v>
      </x:c>
      <x:c r="G94" s="17" t="n">
        <x:f>'Verdicts'!E114</x:f>
        <x:v>0</x:v>
      </x:c>
      <x:c r="H94" s="17"/>
    </x:row>
    <x:row r="95" ht="23" customHeight="1">
      <x:c r="B95" s="17" t="str">
        <x:v>Csv</x:v>
      </x:c>
      <x:c r="C95" s="17" t="str">
        <x:v>Round1</x:v>
      </x:c>
      <x:c r="D95" s="17" t="str">
        <x:v>BUGGY_NOT_RUN</x:v>
      </x:c>
      <x:c r="E95" s="17" t="n">
        <x:f>COUNTIF('BugResults'!$P$334:$P$349,"BUGGY_NOT_RUN")</x:f>
        <x:v>0</x:v>
      </x:c>
      <x:c r="F95" s="33" t="str">
        <x:f>IF('Verdicts'!E119=0,"—",E95/'Verdicts'!E119)</x:f>
        <x:v>—</x:v>
      </x:c>
      <x:c r="G95" s="17" t="n">
        <x:f>'Verdicts'!E119</x:f>
        <x:v>0</x:v>
      </x:c>
      <x:c r="H95" s="17" t="n">
        <x:f>SUM(E95:E98)-G95</x:f>
        <x:v>0</x:v>
      </x:c>
    </x:row>
    <x:row r="96" ht="23" customHeight="1">
      <x:c r="B96" s="17" t="str">
        <x:v>Csv</x:v>
      </x:c>
      <x:c r="C96" s="17" t="str">
        <x:v>Round1</x:v>
      </x:c>
      <x:c r="D96" s="17" t="str">
        <x:v>FIXED_NOT_RUN</x:v>
      </x:c>
      <x:c r="E96" s="17" t="n">
        <x:f>COUNTIF('BugResults'!$P$334:$P$349,"FIXED_NOT_RUN")</x:f>
        <x:v>0</x:v>
      </x:c>
      <x:c r="F96" s="33" t="str">
        <x:f>IF('Verdicts'!E119=0,"—",E96/'Verdicts'!E119)</x:f>
        <x:v>—</x:v>
      </x:c>
      <x:c r="G96" s="17" t="n">
        <x:f>'Verdicts'!E119</x:f>
        <x:v>0</x:v>
      </x:c>
      <x:c r="H96" s="17"/>
    </x:row>
    <x:row r="97" ht="23" customHeight="1">
      <x:c r="B97" s="17" t="str">
        <x:v>Csv</x:v>
      </x:c>
      <x:c r="C97" s="17" t="str">
        <x:v>Round1</x:v>
      </x:c>
      <x:c r="D97" s="17" t="str">
        <x:v>BOTH_NOT_RUN</x:v>
      </x:c>
      <x:c r="E97" s="17" t="n">
        <x:f>COUNTIF('BugResults'!$P$334:$P$349,"BOTH_NOT_RUN")</x:f>
        <x:v>0</x:v>
      </x:c>
      <x:c r="F97" s="33" t="str">
        <x:f>IF('Verdicts'!E119=0,"—",E97/'Verdicts'!E119)</x:f>
        <x:v>—</x:v>
      </x:c>
      <x:c r="G97" s="17" t="n">
        <x:f>'Verdicts'!E119</x:f>
        <x:v>0</x:v>
      </x:c>
      <x:c r="H97" s="17"/>
    </x:row>
    <x:row r="98" ht="23" customHeight="1">
      <x:c r="B98" s="17" t="str">
        <x:v>Csv</x:v>
      </x:c>
      <x:c r="C98" s="17" t="str">
        <x:v>Round1</x:v>
      </x:c>
      <x:c r="D98" s="17" t="str">
        <x:v>COVERAGE_UNAVAILABLE</x:v>
      </x:c>
      <x:c r="E98" s="17" t="n">
        <x:f>COUNTIF('BugResults'!$P$334:$P$349,"COVERAGE_UNAVAILABLE")</x:f>
        <x:v>0</x:v>
      </x:c>
      <x:c r="F98" s="33" t="str">
        <x:f>IF('Verdicts'!E119=0,"—",E98/'Verdicts'!E119)</x:f>
        <x:v>—</x:v>
      </x:c>
      <x:c r="G98" s="17" t="n">
        <x:f>'Verdicts'!E119</x:f>
        <x:v>0</x:v>
      </x:c>
      <x:c r="H98" s="17"/>
    </x:row>
    <x:row r="99" ht="23" customHeight="1">
      <x:c r="B99" s="17" t="str">
        <x:v>Csv</x:v>
      </x:c>
      <x:c r="C99" s="17" t="str">
        <x:v>Round2</x:v>
      </x:c>
      <x:c r="D99" s="17" t="str">
        <x:v>BUGGY_NOT_RUN</x:v>
      </x:c>
      <x:c r="E99" s="17" t="n">
        <x:f>COUNTIF('BugResults'!$P$1188:$P$1203,"BUGGY_NOT_RUN")</x:f>
        <x:v>0</x:v>
      </x:c>
      <x:c r="F99" s="33" t="str">
        <x:f>IF('Verdicts'!E124=0,"—",E99/'Verdicts'!E124)</x:f>
        <x:v>—</x:v>
      </x:c>
      <x:c r="G99" s="17" t="n">
        <x:f>'Verdicts'!E124</x:f>
        <x:v>0</x:v>
      </x:c>
      <x:c r="H99" s="17" t="n">
        <x:f>SUM(E99:E102)-G99</x:f>
        <x:v>0</x:v>
      </x:c>
    </x:row>
    <x:row r="100" ht="23" customHeight="1">
      <x:c r="B100" s="17" t="str">
        <x:v>Csv</x:v>
      </x:c>
      <x:c r="C100" s="17" t="str">
        <x:v>Round2</x:v>
      </x:c>
      <x:c r="D100" s="17" t="str">
        <x:v>FIXED_NOT_RUN</x:v>
      </x:c>
      <x:c r="E100" s="17" t="n">
        <x:f>COUNTIF('BugResults'!$P$1188:$P$1203,"FIXED_NOT_RUN")</x:f>
        <x:v>0</x:v>
      </x:c>
      <x:c r="F100" s="33" t="str">
        <x:f>IF('Verdicts'!E124=0,"—",E100/'Verdicts'!E124)</x:f>
        <x:v>—</x:v>
      </x:c>
      <x:c r="G100" s="17" t="n">
        <x:f>'Verdicts'!E124</x:f>
        <x:v>0</x:v>
      </x:c>
      <x:c r="H100" s="17"/>
    </x:row>
    <x:row r="101" ht="23" customHeight="1">
      <x:c r="B101" s="17" t="str">
        <x:v>Csv</x:v>
      </x:c>
      <x:c r="C101" s="17" t="str">
        <x:v>Round2</x:v>
      </x:c>
      <x:c r="D101" s="17" t="str">
        <x:v>BOTH_NOT_RUN</x:v>
      </x:c>
      <x:c r="E101" s="17" t="n">
        <x:f>COUNTIF('BugResults'!$P$1188:$P$1203,"BOTH_NOT_RUN")</x:f>
        <x:v>0</x:v>
      </x:c>
      <x:c r="F101" s="33" t="str">
        <x:f>IF('Verdicts'!E124=0,"—",E101/'Verdicts'!E124)</x:f>
        <x:v>—</x:v>
      </x:c>
      <x:c r="G101" s="17" t="n">
        <x:f>'Verdicts'!E124</x:f>
        <x:v>0</x:v>
      </x:c>
      <x:c r="H101" s="17"/>
    </x:row>
    <x:row r="102" ht="23" customHeight="1">
      <x:c r="B102" s="17" t="str">
        <x:v>Csv</x:v>
      </x:c>
      <x:c r="C102" s="17" t="str">
        <x:v>Round2</x:v>
      </x:c>
      <x:c r="D102" s="17" t="str">
        <x:v>COVERAGE_UNAVAILABLE</x:v>
      </x:c>
      <x:c r="E102" s="17" t="n">
        <x:f>COUNTIF('BugResults'!$P$1188:$P$1203,"COVERAGE_UNAVAILABLE")</x:f>
        <x:v>0</x:v>
      </x:c>
      <x:c r="F102" s="33" t="str">
        <x:f>IF('Verdicts'!E124=0,"—",E102/'Verdicts'!E124)</x:f>
        <x:v>—</x:v>
      </x:c>
      <x:c r="G102" s="17" t="n">
        <x:f>'Verdicts'!E124</x:f>
        <x:v>0</x:v>
      </x:c>
      <x:c r="H102" s="17"/>
    </x:row>
    <x:row r="103" ht="23" customHeight="1">
      <x:c r="B103" s="17" t="str">
        <x:v>Gson</x:v>
      </x:c>
      <x:c r="C103" s="17" t="str">
        <x:v>All rounds</x:v>
      </x:c>
      <x:c r="D103" s="17" t="str">
        <x:v>BUGGY_NOT_RUN</x:v>
      </x:c>
      <x:c r="E103" s="17" t="n">
        <x:f>COUNTIF('BugResults'!$P$350:$P$367,"BUGGY_NOT_RUN")+COUNTIF('BugResults'!$P$1204:$P$1221,"BUGGY_NOT_RUN")</x:f>
        <x:v>0</x:v>
      </x:c>
      <x:c r="F103" s="33" t="str">
        <x:f>IF('Verdicts'!E129=0,"—",E103/'Verdicts'!E129)</x:f>
        <x:v>—</x:v>
      </x:c>
      <x:c r="G103" s="17" t="n">
        <x:f>'Verdicts'!E129</x:f>
        <x:v>0</x:v>
      </x:c>
      <x:c r="H103" s="17" t="n">
        <x:f>SUM(E103:E106)-G103</x:f>
        <x:v>0</x:v>
      </x:c>
    </x:row>
    <x:row r="104" ht="23" customHeight="1">
      <x:c r="B104" s="17" t="str">
        <x:v>Gson</x:v>
      </x:c>
      <x:c r="C104" s="17" t="str">
        <x:v>All rounds</x:v>
      </x:c>
      <x:c r="D104" s="17" t="str">
        <x:v>FIXED_NOT_RUN</x:v>
      </x:c>
      <x:c r="E104" s="17" t="n">
        <x:f>COUNTIF('BugResults'!$P$350:$P$367,"FIXED_NOT_RUN")+COUNTIF('BugResults'!$P$1204:$P$1221,"FIXED_NOT_RUN")</x:f>
        <x:v>0</x:v>
      </x:c>
      <x:c r="F104" s="33" t="str">
        <x:f>IF('Verdicts'!E129=0,"—",E104/'Verdicts'!E129)</x:f>
        <x:v>—</x:v>
      </x:c>
      <x:c r="G104" s="17" t="n">
        <x:f>'Verdicts'!E129</x:f>
        <x:v>0</x:v>
      </x:c>
      <x:c r="H104" s="17"/>
    </x:row>
    <x:row r="105" ht="23" customHeight="1">
      <x:c r="B105" s="17" t="str">
        <x:v>Gson</x:v>
      </x:c>
      <x:c r="C105" s="17" t="str">
        <x:v>All rounds</x:v>
      </x:c>
      <x:c r="D105" s="17" t="str">
        <x:v>BOTH_NOT_RUN</x:v>
      </x:c>
      <x:c r="E105" s="17" t="n">
        <x:f>COUNTIF('BugResults'!$P$350:$P$367,"BOTH_NOT_RUN")+COUNTIF('BugResults'!$P$1204:$P$1221,"BOTH_NOT_RUN")</x:f>
        <x:v>0</x:v>
      </x:c>
      <x:c r="F105" s="33" t="str">
        <x:f>IF('Verdicts'!E129=0,"—",E105/'Verdicts'!E129)</x:f>
        <x:v>—</x:v>
      </x:c>
      <x:c r="G105" s="17" t="n">
        <x:f>'Verdicts'!E129</x:f>
        <x:v>0</x:v>
      </x:c>
      <x:c r="H105" s="17"/>
    </x:row>
    <x:row r="106" ht="23" customHeight="1">
      <x:c r="B106" s="17" t="str">
        <x:v>Gson</x:v>
      </x:c>
      <x:c r="C106" s="17" t="str">
        <x:v>All rounds</x:v>
      </x:c>
      <x:c r="D106" s="17" t="str">
        <x:v>COVERAGE_UNAVAILABLE</x:v>
      </x:c>
      <x:c r="E106" s="17" t="n">
        <x:f>COUNTIF('BugResults'!$P$350:$P$367,"COVERAGE_UNAVAILABLE")+COUNTIF('BugResults'!$P$1204:$P$1221,"COVERAGE_UNAVAILABLE")</x:f>
        <x:v>0</x:v>
      </x:c>
      <x:c r="F106" s="33" t="str">
        <x:f>IF('Verdicts'!E129=0,"—",E106/'Verdicts'!E129)</x:f>
        <x:v>—</x:v>
      </x:c>
      <x:c r="G106" s="17" t="n">
        <x:f>'Verdicts'!E129</x:f>
        <x:v>0</x:v>
      </x:c>
      <x:c r="H106" s="17"/>
    </x:row>
    <x:row r="107" ht="23" customHeight="1">
      <x:c r="B107" s="17" t="str">
        <x:v>Gson</x:v>
      </x:c>
      <x:c r="C107" s="17" t="str">
        <x:v>Round1</x:v>
      </x:c>
      <x:c r="D107" s="17" t="str">
        <x:v>BUGGY_NOT_RUN</x:v>
      </x:c>
      <x:c r="E107" s="17" t="n">
        <x:f>COUNTIF('BugResults'!$P$350:$P$367,"BUGGY_NOT_RUN")</x:f>
        <x:v>0</x:v>
      </x:c>
      <x:c r="F107" s="33" t="str">
        <x:f>IF('Verdicts'!E134=0,"—",E107/'Verdicts'!E134)</x:f>
        <x:v>—</x:v>
      </x:c>
      <x:c r="G107" s="17" t="n">
        <x:f>'Verdicts'!E134</x:f>
        <x:v>0</x:v>
      </x:c>
      <x:c r="H107" s="17" t="n">
        <x:f>SUM(E107:E110)-G107</x:f>
        <x:v>0</x:v>
      </x:c>
    </x:row>
    <x:row r="108" ht="23" customHeight="1">
      <x:c r="B108" s="17" t="str">
        <x:v>Gson</x:v>
      </x:c>
      <x:c r="C108" s="17" t="str">
        <x:v>Round1</x:v>
      </x:c>
      <x:c r="D108" s="17" t="str">
        <x:v>FIXED_NOT_RUN</x:v>
      </x:c>
      <x:c r="E108" s="17" t="n">
        <x:f>COUNTIF('BugResults'!$P$350:$P$367,"FIXED_NOT_RUN")</x:f>
        <x:v>0</x:v>
      </x:c>
      <x:c r="F108" s="33" t="str">
        <x:f>IF('Verdicts'!E134=0,"—",E108/'Verdicts'!E134)</x:f>
        <x:v>—</x:v>
      </x:c>
      <x:c r="G108" s="17" t="n">
        <x:f>'Verdicts'!E134</x:f>
        <x:v>0</x:v>
      </x:c>
      <x:c r="H108" s="17"/>
    </x:row>
    <x:row r="109" ht="23" customHeight="1">
      <x:c r="B109" s="17" t="str">
        <x:v>Gson</x:v>
      </x:c>
      <x:c r="C109" s="17" t="str">
        <x:v>Round1</x:v>
      </x:c>
      <x:c r="D109" s="17" t="str">
        <x:v>BOTH_NOT_RUN</x:v>
      </x:c>
      <x:c r="E109" s="17" t="n">
        <x:f>COUNTIF('BugResults'!$P$350:$P$367,"BOTH_NOT_RUN")</x:f>
        <x:v>0</x:v>
      </x:c>
      <x:c r="F109" s="33" t="str">
        <x:f>IF('Verdicts'!E134=0,"—",E109/'Verdicts'!E134)</x:f>
        <x:v>—</x:v>
      </x:c>
      <x:c r="G109" s="17" t="n">
        <x:f>'Verdicts'!E134</x:f>
        <x:v>0</x:v>
      </x:c>
      <x:c r="H109" s="17"/>
    </x:row>
    <x:row r="110" ht="23" customHeight="1">
      <x:c r="B110" s="17" t="str">
        <x:v>Gson</x:v>
      </x:c>
      <x:c r="C110" s="17" t="str">
        <x:v>Round1</x:v>
      </x:c>
      <x:c r="D110" s="17" t="str">
        <x:v>COVERAGE_UNAVAILABLE</x:v>
      </x:c>
      <x:c r="E110" s="17" t="n">
        <x:f>COUNTIF('BugResults'!$P$350:$P$367,"COVERAGE_UNAVAILABLE")</x:f>
        <x:v>0</x:v>
      </x:c>
      <x:c r="F110" s="33" t="str">
        <x:f>IF('Verdicts'!E134=0,"—",E110/'Verdicts'!E134)</x:f>
        <x:v>—</x:v>
      </x:c>
      <x:c r="G110" s="17" t="n">
        <x:f>'Verdicts'!E134</x:f>
        <x:v>0</x:v>
      </x:c>
      <x:c r="H110" s="17"/>
    </x:row>
    <x:row r="111" ht="23" customHeight="1">
      <x:c r="B111" s="17" t="str">
        <x:v>Gson</x:v>
      </x:c>
      <x:c r="C111" s="17" t="str">
        <x:v>Round2</x:v>
      </x:c>
      <x:c r="D111" s="17" t="str">
        <x:v>BUGGY_NOT_RUN</x:v>
      </x:c>
      <x:c r="E111" s="17" t="n">
        <x:f>COUNTIF('BugResults'!$P$1204:$P$1221,"BUGGY_NOT_RUN")</x:f>
        <x:v>0</x:v>
      </x:c>
      <x:c r="F111" s="33" t="str">
        <x:f>IF('Verdicts'!E139=0,"—",E111/'Verdicts'!E139)</x:f>
        <x:v>—</x:v>
      </x:c>
      <x:c r="G111" s="17" t="n">
        <x:f>'Verdicts'!E139</x:f>
        <x:v>0</x:v>
      </x:c>
      <x:c r="H111" s="17" t="n">
        <x:f>SUM(E111:E114)-G111</x:f>
        <x:v>0</x:v>
      </x:c>
    </x:row>
    <x:row r="112" ht="23" customHeight="1">
      <x:c r="B112" s="17" t="str">
        <x:v>Gson</x:v>
      </x:c>
      <x:c r="C112" s="17" t="str">
        <x:v>Round2</x:v>
      </x:c>
      <x:c r="D112" s="17" t="str">
        <x:v>FIXED_NOT_RUN</x:v>
      </x:c>
      <x:c r="E112" s="17" t="n">
        <x:f>COUNTIF('BugResults'!$P$1204:$P$1221,"FIXED_NOT_RUN")</x:f>
        <x:v>0</x:v>
      </x:c>
      <x:c r="F112" s="33" t="str">
        <x:f>IF('Verdicts'!E139=0,"—",E112/'Verdicts'!E139)</x:f>
        <x:v>—</x:v>
      </x:c>
      <x:c r="G112" s="17" t="n">
        <x:f>'Verdicts'!E139</x:f>
        <x:v>0</x:v>
      </x:c>
      <x:c r="H112" s="17"/>
    </x:row>
    <x:row r="113" ht="23" customHeight="1">
      <x:c r="B113" s="17" t="str">
        <x:v>Gson</x:v>
      </x:c>
      <x:c r="C113" s="17" t="str">
        <x:v>Round2</x:v>
      </x:c>
      <x:c r="D113" s="17" t="str">
        <x:v>BOTH_NOT_RUN</x:v>
      </x:c>
      <x:c r="E113" s="17" t="n">
        <x:f>COUNTIF('BugResults'!$P$1204:$P$1221,"BOTH_NOT_RUN")</x:f>
        <x:v>0</x:v>
      </x:c>
      <x:c r="F113" s="33" t="str">
        <x:f>IF('Verdicts'!E139=0,"—",E113/'Verdicts'!E139)</x:f>
        <x:v>—</x:v>
      </x:c>
      <x:c r="G113" s="17" t="n">
        <x:f>'Verdicts'!E139</x:f>
        <x:v>0</x:v>
      </x:c>
      <x:c r="H113" s="17"/>
    </x:row>
    <x:row r="114" ht="23" customHeight="1">
      <x:c r="B114" s="17" t="str">
        <x:v>Gson</x:v>
      </x:c>
      <x:c r="C114" s="17" t="str">
        <x:v>Round2</x:v>
      </x:c>
      <x:c r="D114" s="17" t="str">
        <x:v>COVERAGE_UNAVAILABLE</x:v>
      </x:c>
      <x:c r="E114" s="17" t="n">
        <x:f>COUNTIF('BugResults'!$P$1204:$P$1221,"COVERAGE_UNAVAILABLE")</x:f>
        <x:v>0</x:v>
      </x:c>
      <x:c r="F114" s="33" t="str">
        <x:f>IF('Verdicts'!E139=0,"—",E114/'Verdicts'!E139)</x:f>
        <x:v>—</x:v>
      </x:c>
      <x:c r="G114" s="17" t="n">
        <x:f>'Verdicts'!E139</x:f>
        <x:v>0</x:v>
      </x:c>
      <x:c r="H114" s="17"/>
    </x:row>
    <x:row r="115" ht="23" customHeight="1">
      <x:c r="B115" s="17" t="str">
        <x:v>JacksonCore</x:v>
      </x:c>
      <x:c r="C115" s="17" t="str">
        <x:v>All rounds</x:v>
      </x:c>
      <x:c r="D115" s="17" t="str">
        <x:v>BUGGY_NOT_RUN</x:v>
      </x:c>
      <x:c r="E115" s="17" t="n">
        <x:f>COUNTIF('BugResults'!$P$368:$P$393,"BUGGY_NOT_RUN")+COUNTIF('BugResults'!$P$1222:$P$1247,"BUGGY_NOT_RUN")</x:f>
        <x:v>0</x:v>
      </x:c>
      <x:c r="F115" s="33" t="str">
        <x:f>IF('Verdicts'!E144=0,"—",E115/'Verdicts'!E144)</x:f>
        <x:v>—</x:v>
      </x:c>
      <x:c r="G115" s="17" t="n">
        <x:f>'Verdicts'!E144</x:f>
        <x:v>0</x:v>
      </x:c>
      <x:c r="H115" s="17" t="n">
        <x:f>SUM(E115:E118)-G115</x:f>
        <x:v>0</x:v>
      </x:c>
    </x:row>
    <x:row r="116" ht="23" customHeight="1">
      <x:c r="B116" s="17" t="str">
        <x:v>JacksonCore</x:v>
      </x:c>
      <x:c r="C116" s="17" t="str">
        <x:v>All rounds</x:v>
      </x:c>
      <x:c r="D116" s="17" t="str">
        <x:v>FIXED_NOT_RUN</x:v>
      </x:c>
      <x:c r="E116" s="17" t="n">
        <x:f>COUNTIF('BugResults'!$P$368:$P$393,"FIXED_NOT_RUN")+COUNTIF('BugResults'!$P$1222:$P$1247,"FIXED_NOT_RUN")</x:f>
        <x:v>0</x:v>
      </x:c>
      <x:c r="F116" s="33" t="str">
        <x:f>IF('Verdicts'!E144=0,"—",E116/'Verdicts'!E144)</x:f>
        <x:v>—</x:v>
      </x:c>
      <x:c r="G116" s="17" t="n">
        <x:f>'Verdicts'!E144</x:f>
        <x:v>0</x:v>
      </x:c>
      <x:c r="H116" s="17"/>
    </x:row>
    <x:row r="117" ht="23" customHeight="1">
      <x:c r="B117" s="17" t="str">
        <x:v>JacksonCore</x:v>
      </x:c>
      <x:c r="C117" s="17" t="str">
        <x:v>All rounds</x:v>
      </x:c>
      <x:c r="D117" s="17" t="str">
        <x:v>BOTH_NOT_RUN</x:v>
      </x:c>
      <x:c r="E117" s="17" t="n">
        <x:f>COUNTIF('BugResults'!$P$368:$P$393,"BOTH_NOT_RUN")+COUNTIF('BugResults'!$P$1222:$P$1247,"BOTH_NOT_RUN")</x:f>
        <x:v>0</x:v>
      </x:c>
      <x:c r="F117" s="33" t="str">
        <x:f>IF('Verdicts'!E144=0,"—",E117/'Verdicts'!E144)</x:f>
        <x:v>—</x:v>
      </x:c>
      <x:c r="G117" s="17" t="n">
        <x:f>'Verdicts'!E144</x:f>
        <x:v>0</x:v>
      </x:c>
      <x:c r="H117" s="17"/>
    </x:row>
    <x:row r="118" ht="23" customHeight="1">
      <x:c r="B118" s="17" t="str">
        <x:v>JacksonCore</x:v>
      </x:c>
      <x:c r="C118" s="17" t="str">
        <x:v>All rounds</x:v>
      </x:c>
      <x:c r="D118" s="17" t="str">
        <x:v>COVERAGE_UNAVAILABLE</x:v>
      </x:c>
      <x:c r="E118" s="17" t="n">
        <x:f>COUNTIF('BugResults'!$P$368:$P$393,"COVERAGE_UNAVAILABLE")+COUNTIF('BugResults'!$P$1222:$P$1247,"COVERAGE_UNAVAILABLE")</x:f>
        <x:v>0</x:v>
      </x:c>
      <x:c r="F118" s="33" t="str">
        <x:f>IF('Verdicts'!E144=0,"—",E118/'Verdicts'!E144)</x:f>
        <x:v>—</x:v>
      </x:c>
      <x:c r="G118" s="17" t="n">
        <x:f>'Verdicts'!E144</x:f>
        <x:v>0</x:v>
      </x:c>
      <x:c r="H118" s="17"/>
    </x:row>
    <x:row r="119" ht="23" customHeight="1">
      <x:c r="B119" s="17" t="str">
        <x:v>JacksonCore</x:v>
      </x:c>
      <x:c r="C119" s="17" t="str">
        <x:v>Round1</x:v>
      </x:c>
      <x:c r="D119" s="17" t="str">
        <x:v>BUGGY_NOT_RUN</x:v>
      </x:c>
      <x:c r="E119" s="17" t="n">
        <x:f>COUNTIF('BugResults'!$P$368:$P$393,"BUGGY_NOT_RUN")</x:f>
        <x:v>0</x:v>
      </x:c>
      <x:c r="F119" s="33" t="str">
        <x:f>IF('Verdicts'!E149=0,"—",E119/'Verdicts'!E149)</x:f>
        <x:v>—</x:v>
      </x:c>
      <x:c r="G119" s="17" t="n">
        <x:f>'Verdicts'!E149</x:f>
        <x:v>0</x:v>
      </x:c>
      <x:c r="H119" s="17" t="n">
        <x:f>SUM(E119:E122)-G119</x:f>
        <x:v>0</x:v>
      </x:c>
    </x:row>
    <x:row r="120" ht="23" customHeight="1">
      <x:c r="B120" s="17" t="str">
        <x:v>JacksonCore</x:v>
      </x:c>
      <x:c r="C120" s="17" t="str">
        <x:v>Round1</x:v>
      </x:c>
      <x:c r="D120" s="17" t="str">
        <x:v>FIXED_NOT_RUN</x:v>
      </x:c>
      <x:c r="E120" s="17" t="n">
        <x:f>COUNTIF('BugResults'!$P$368:$P$393,"FIXED_NOT_RUN")</x:f>
        <x:v>0</x:v>
      </x:c>
      <x:c r="F120" s="33" t="str">
        <x:f>IF('Verdicts'!E149=0,"—",E120/'Verdicts'!E149)</x:f>
        <x:v>—</x:v>
      </x:c>
      <x:c r="G120" s="17" t="n">
        <x:f>'Verdicts'!E149</x:f>
        <x:v>0</x:v>
      </x:c>
      <x:c r="H120" s="17"/>
    </x:row>
    <x:row r="121" ht="23" customHeight="1">
      <x:c r="B121" s="17" t="str">
        <x:v>JacksonCore</x:v>
      </x:c>
      <x:c r="C121" s="17" t="str">
        <x:v>Round1</x:v>
      </x:c>
      <x:c r="D121" s="17" t="str">
        <x:v>BOTH_NOT_RUN</x:v>
      </x:c>
      <x:c r="E121" s="17" t="n">
        <x:f>COUNTIF('BugResults'!$P$368:$P$393,"BOTH_NOT_RUN")</x:f>
        <x:v>0</x:v>
      </x:c>
      <x:c r="F121" s="33" t="str">
        <x:f>IF('Verdicts'!E149=0,"—",E121/'Verdicts'!E149)</x:f>
        <x:v>—</x:v>
      </x:c>
      <x:c r="G121" s="17" t="n">
        <x:f>'Verdicts'!E149</x:f>
        <x:v>0</x:v>
      </x:c>
      <x:c r="H121" s="17"/>
    </x:row>
    <x:row r="122" ht="23" customHeight="1">
      <x:c r="B122" s="17" t="str">
        <x:v>JacksonCore</x:v>
      </x:c>
      <x:c r="C122" s="17" t="str">
        <x:v>Round1</x:v>
      </x:c>
      <x:c r="D122" s="17" t="str">
        <x:v>COVERAGE_UNAVAILABLE</x:v>
      </x:c>
      <x:c r="E122" s="17" t="n">
        <x:f>COUNTIF('BugResults'!$P$368:$P$393,"COVERAGE_UNAVAILABLE")</x:f>
        <x:v>0</x:v>
      </x:c>
      <x:c r="F122" s="33" t="str">
        <x:f>IF('Verdicts'!E149=0,"—",E122/'Verdicts'!E149)</x:f>
        <x:v>—</x:v>
      </x:c>
      <x:c r="G122" s="17" t="n">
        <x:f>'Verdicts'!E149</x:f>
        <x:v>0</x:v>
      </x:c>
      <x:c r="H122" s="17"/>
    </x:row>
    <x:row r="123" ht="23" customHeight="1">
      <x:c r="B123" s="17" t="str">
        <x:v>JacksonCore</x:v>
      </x:c>
      <x:c r="C123" s="17" t="str">
        <x:v>Round2</x:v>
      </x:c>
      <x:c r="D123" s="17" t="str">
        <x:v>BUGGY_NOT_RUN</x:v>
      </x:c>
      <x:c r="E123" s="17" t="n">
        <x:f>COUNTIF('BugResults'!$P$1222:$P$1247,"BUGGY_NOT_RUN")</x:f>
        <x:v>0</x:v>
      </x:c>
      <x:c r="F123" s="33" t="str">
        <x:f>IF('Verdicts'!E154=0,"—",E123/'Verdicts'!E154)</x:f>
        <x:v>—</x:v>
      </x:c>
      <x:c r="G123" s="17" t="n">
        <x:f>'Verdicts'!E154</x:f>
        <x:v>0</x:v>
      </x:c>
      <x:c r="H123" s="17" t="n">
        <x:f>SUM(E123:E126)-G123</x:f>
        <x:v>0</x:v>
      </x:c>
    </x:row>
    <x:row r="124" ht="23" customHeight="1">
      <x:c r="B124" s="17" t="str">
        <x:v>JacksonCore</x:v>
      </x:c>
      <x:c r="C124" s="17" t="str">
        <x:v>Round2</x:v>
      </x:c>
      <x:c r="D124" s="17" t="str">
        <x:v>FIXED_NOT_RUN</x:v>
      </x:c>
      <x:c r="E124" s="17" t="n">
        <x:f>COUNTIF('BugResults'!$P$1222:$P$1247,"FIXED_NOT_RUN")</x:f>
        <x:v>0</x:v>
      </x:c>
      <x:c r="F124" s="33" t="str">
        <x:f>IF('Verdicts'!E154=0,"—",E124/'Verdicts'!E154)</x:f>
        <x:v>—</x:v>
      </x:c>
      <x:c r="G124" s="17" t="n">
        <x:f>'Verdicts'!E154</x:f>
        <x:v>0</x:v>
      </x:c>
      <x:c r="H124" s="17"/>
    </x:row>
    <x:row r="125" ht="23" customHeight="1">
      <x:c r="B125" s="17" t="str">
        <x:v>JacksonCore</x:v>
      </x:c>
      <x:c r="C125" s="17" t="str">
        <x:v>Round2</x:v>
      </x:c>
      <x:c r="D125" s="17" t="str">
        <x:v>BOTH_NOT_RUN</x:v>
      </x:c>
      <x:c r="E125" s="17" t="n">
        <x:f>COUNTIF('BugResults'!$P$1222:$P$1247,"BOTH_NOT_RUN")</x:f>
        <x:v>0</x:v>
      </x:c>
      <x:c r="F125" s="33" t="str">
        <x:f>IF('Verdicts'!E154=0,"—",E125/'Verdicts'!E154)</x:f>
        <x:v>—</x:v>
      </x:c>
      <x:c r="G125" s="17" t="n">
        <x:f>'Verdicts'!E154</x:f>
        <x:v>0</x:v>
      </x:c>
      <x:c r="H125" s="17"/>
    </x:row>
    <x:row r="126" ht="23" customHeight="1">
      <x:c r="B126" s="17" t="str">
        <x:v>JacksonCore</x:v>
      </x:c>
      <x:c r="C126" s="17" t="str">
        <x:v>Round2</x:v>
      </x:c>
      <x:c r="D126" s="17" t="str">
        <x:v>COVERAGE_UNAVAILABLE</x:v>
      </x:c>
      <x:c r="E126" s="17" t="n">
        <x:f>COUNTIF('BugResults'!$P$1222:$P$1247,"COVERAGE_UNAVAILABLE")</x:f>
        <x:v>0</x:v>
      </x:c>
      <x:c r="F126" s="33" t="str">
        <x:f>IF('Verdicts'!E154=0,"—",E126/'Verdicts'!E154)</x:f>
        <x:v>—</x:v>
      </x:c>
      <x:c r="G126" s="17" t="n">
        <x:f>'Verdicts'!E154</x:f>
        <x:v>0</x:v>
      </x:c>
      <x:c r="H126" s="17"/>
    </x:row>
    <x:row r="127" ht="23" customHeight="1">
      <x:c r="B127" s="17" t="str">
        <x:v>JacksonDatabind</x:v>
      </x:c>
      <x:c r="C127" s="17" t="str">
        <x:v>All rounds</x:v>
      </x:c>
      <x:c r="D127" s="17" t="str">
        <x:v>BUGGY_NOT_RUN</x:v>
      </x:c>
      <x:c r="E127" s="17" t="n">
        <x:f>COUNTIF('BugResults'!$P$394:$P$503,"BUGGY_NOT_RUN")+COUNTIF('BugResults'!$P$1248:$P$1357,"BUGGY_NOT_RUN")</x:f>
        <x:v>0</x:v>
      </x:c>
      <x:c r="F127" s="33" t="n">
        <x:f>IF('Verdicts'!E159=0,"—",E127/'Verdicts'!E159)</x:f>
        <x:v>0</x:v>
      </x:c>
      <x:c r="G127" s="17" t="n">
        <x:f>'Verdicts'!E159</x:f>
        <x:v>4</x:v>
      </x:c>
      <x:c r="H127" s="17" t="n">
        <x:f>SUM(E127:E130)-G127</x:f>
        <x:v>0</x:v>
      </x:c>
    </x:row>
    <x:row r="128" ht="23" customHeight="1">
      <x:c r="B128" s="17" t="str">
        <x:v>JacksonDatabind</x:v>
      </x:c>
      <x:c r="C128" s="17" t="str">
        <x:v>All rounds</x:v>
      </x:c>
      <x:c r="D128" s="17" t="str">
        <x:v>FIXED_NOT_RUN</x:v>
      </x:c>
      <x:c r="E128" s="17" t="n">
        <x:f>COUNTIF('BugResults'!$P$394:$P$503,"FIXED_NOT_RUN")+COUNTIF('BugResults'!$P$1248:$P$1357,"FIXED_NOT_RUN")</x:f>
        <x:v>4</x:v>
      </x:c>
      <x:c r="F128" s="33" t="n">
        <x:f>IF('Verdicts'!E159=0,"—",E128/'Verdicts'!E159)</x:f>
        <x:v>1</x:v>
      </x:c>
      <x:c r="G128" s="17" t="n">
        <x:f>'Verdicts'!E159</x:f>
        <x:v>4</x:v>
      </x:c>
      <x:c r="H128" s="17"/>
    </x:row>
    <x:row r="129" ht="23" customHeight="1">
      <x:c r="B129" s="17" t="str">
        <x:v>JacksonDatabind</x:v>
      </x:c>
      <x:c r="C129" s="17" t="str">
        <x:v>All rounds</x:v>
      </x:c>
      <x:c r="D129" s="17" t="str">
        <x:v>BOTH_NOT_RUN</x:v>
      </x:c>
      <x:c r="E129" s="17" t="n">
        <x:f>COUNTIF('BugResults'!$P$394:$P$503,"BOTH_NOT_RUN")+COUNTIF('BugResults'!$P$1248:$P$1357,"BOTH_NOT_RUN")</x:f>
        <x:v>0</x:v>
      </x:c>
      <x:c r="F129" s="33" t="n">
        <x:f>IF('Verdicts'!E159=0,"—",E129/'Verdicts'!E159)</x:f>
        <x:v>0</x:v>
      </x:c>
      <x:c r="G129" s="17" t="n">
        <x:f>'Verdicts'!E159</x:f>
        <x:v>4</x:v>
      </x:c>
      <x:c r="H129" s="17"/>
    </x:row>
    <x:row r="130" ht="23" customHeight="1">
      <x:c r="B130" s="17" t="str">
        <x:v>JacksonDatabind</x:v>
      </x:c>
      <x:c r="C130" s="17" t="str">
        <x:v>All rounds</x:v>
      </x:c>
      <x:c r="D130" s="17" t="str">
        <x:v>COVERAGE_UNAVAILABLE</x:v>
      </x:c>
      <x:c r="E130" s="17" t="n">
        <x:f>COUNTIF('BugResults'!$P$394:$P$503,"COVERAGE_UNAVAILABLE")+COUNTIF('BugResults'!$P$1248:$P$1357,"COVERAGE_UNAVAILABLE")</x:f>
        <x:v>0</x:v>
      </x:c>
      <x:c r="F130" s="33" t="n">
        <x:f>IF('Verdicts'!E159=0,"—",E130/'Verdicts'!E159)</x:f>
        <x:v>0</x:v>
      </x:c>
      <x:c r="G130" s="17" t="n">
        <x:f>'Verdicts'!E159</x:f>
        <x:v>4</x:v>
      </x:c>
      <x:c r="H130" s="17"/>
    </x:row>
    <x:row r="131" ht="23" customHeight="1">
      <x:c r="B131" s="17" t="str">
        <x:v>JacksonDatabind</x:v>
      </x:c>
      <x:c r="C131" s="17" t="str">
        <x:v>Round1</x:v>
      </x:c>
      <x:c r="D131" s="17" t="str">
        <x:v>BUGGY_NOT_RUN</x:v>
      </x:c>
      <x:c r="E131" s="17" t="n">
        <x:f>COUNTIF('BugResults'!$P$394:$P$503,"BUGGY_NOT_RUN")</x:f>
        <x:v>0</x:v>
      </x:c>
      <x:c r="F131" s="33" t="n">
        <x:f>IF('Verdicts'!E164=0,"—",E131/'Verdicts'!E164)</x:f>
        <x:v>0</x:v>
      </x:c>
      <x:c r="G131" s="17" t="n">
        <x:f>'Verdicts'!E164</x:f>
        <x:v>2</x:v>
      </x:c>
      <x:c r="H131" s="17" t="n">
        <x:f>SUM(E131:E134)-G131</x:f>
        <x:v>0</x:v>
      </x:c>
    </x:row>
    <x:row r="132" ht="23" customHeight="1">
      <x:c r="B132" s="17" t="str">
        <x:v>JacksonDatabind</x:v>
      </x:c>
      <x:c r="C132" s="17" t="str">
        <x:v>Round1</x:v>
      </x:c>
      <x:c r="D132" s="17" t="str">
        <x:v>FIXED_NOT_RUN</x:v>
      </x:c>
      <x:c r="E132" s="17" t="n">
        <x:f>COUNTIF('BugResults'!$P$394:$P$503,"FIXED_NOT_RUN")</x:f>
        <x:v>2</x:v>
      </x:c>
      <x:c r="F132" s="33" t="n">
        <x:f>IF('Verdicts'!E164=0,"—",E132/'Verdicts'!E164)</x:f>
        <x:v>1</x:v>
      </x:c>
      <x:c r="G132" s="17" t="n">
        <x:f>'Verdicts'!E164</x:f>
        <x:v>2</x:v>
      </x:c>
      <x:c r="H132" s="17"/>
    </x:row>
    <x:row r="133" ht="23" customHeight="1">
      <x:c r="B133" s="17" t="str">
        <x:v>JacksonDatabind</x:v>
      </x:c>
      <x:c r="C133" s="17" t="str">
        <x:v>Round1</x:v>
      </x:c>
      <x:c r="D133" s="17" t="str">
        <x:v>BOTH_NOT_RUN</x:v>
      </x:c>
      <x:c r="E133" s="17" t="n">
        <x:f>COUNTIF('BugResults'!$P$394:$P$503,"BOTH_NOT_RUN")</x:f>
        <x:v>0</x:v>
      </x:c>
      <x:c r="F133" s="33" t="n">
        <x:f>IF('Verdicts'!E164=0,"—",E133/'Verdicts'!E164)</x:f>
        <x:v>0</x:v>
      </x:c>
      <x:c r="G133" s="17" t="n">
        <x:f>'Verdicts'!E164</x:f>
        <x:v>2</x:v>
      </x:c>
      <x:c r="H133" s="17"/>
    </x:row>
    <x:row r="134" ht="23" customHeight="1">
      <x:c r="B134" s="17" t="str">
        <x:v>JacksonDatabind</x:v>
      </x:c>
      <x:c r="C134" s="17" t="str">
        <x:v>Round1</x:v>
      </x:c>
      <x:c r="D134" s="17" t="str">
        <x:v>COVERAGE_UNAVAILABLE</x:v>
      </x:c>
      <x:c r="E134" s="17" t="n">
        <x:f>COUNTIF('BugResults'!$P$394:$P$503,"COVERAGE_UNAVAILABLE")</x:f>
        <x:v>0</x:v>
      </x:c>
      <x:c r="F134" s="33" t="n">
        <x:f>IF('Verdicts'!E164=0,"—",E134/'Verdicts'!E164)</x:f>
        <x:v>0</x:v>
      </x:c>
      <x:c r="G134" s="17" t="n">
        <x:f>'Verdicts'!E164</x:f>
        <x:v>2</x:v>
      </x:c>
      <x:c r="H134" s="17"/>
    </x:row>
    <x:row r="135" ht="23" customHeight="1">
      <x:c r="B135" s="17" t="str">
        <x:v>JacksonDatabind</x:v>
      </x:c>
      <x:c r="C135" s="17" t="str">
        <x:v>Round2</x:v>
      </x:c>
      <x:c r="D135" s="17" t="str">
        <x:v>BUGGY_NOT_RUN</x:v>
      </x:c>
      <x:c r="E135" s="17" t="n">
        <x:f>COUNTIF('BugResults'!$P$1248:$P$1357,"BUGGY_NOT_RUN")</x:f>
        <x:v>0</x:v>
      </x:c>
      <x:c r="F135" s="33" t="n">
        <x:f>IF('Verdicts'!E169=0,"—",E135/'Verdicts'!E169)</x:f>
        <x:v>0</x:v>
      </x:c>
      <x:c r="G135" s="17" t="n">
        <x:f>'Verdicts'!E169</x:f>
        <x:v>2</x:v>
      </x:c>
      <x:c r="H135" s="17" t="n">
        <x:f>SUM(E135:E138)-G135</x:f>
        <x:v>0</x:v>
      </x:c>
    </x:row>
    <x:row r="136" ht="23" customHeight="1">
      <x:c r="B136" s="17" t="str">
        <x:v>JacksonDatabind</x:v>
      </x:c>
      <x:c r="C136" s="17" t="str">
        <x:v>Round2</x:v>
      </x:c>
      <x:c r="D136" s="17" t="str">
        <x:v>FIXED_NOT_RUN</x:v>
      </x:c>
      <x:c r="E136" s="17" t="n">
        <x:f>COUNTIF('BugResults'!$P$1248:$P$1357,"FIXED_NOT_RUN")</x:f>
        <x:v>2</x:v>
      </x:c>
      <x:c r="F136" s="33" t="n">
        <x:f>IF('Verdicts'!E169=0,"—",E136/'Verdicts'!E169)</x:f>
        <x:v>1</x:v>
      </x:c>
      <x:c r="G136" s="17" t="n">
        <x:f>'Verdicts'!E169</x:f>
        <x:v>2</x:v>
      </x:c>
      <x:c r="H136" s="17"/>
    </x:row>
    <x:row r="137" ht="23" customHeight="1">
      <x:c r="B137" s="17" t="str">
        <x:v>JacksonDatabind</x:v>
      </x:c>
      <x:c r="C137" s="17" t="str">
        <x:v>Round2</x:v>
      </x:c>
      <x:c r="D137" s="17" t="str">
        <x:v>BOTH_NOT_RUN</x:v>
      </x:c>
      <x:c r="E137" s="17" t="n">
        <x:f>COUNTIF('BugResults'!$P$1248:$P$1357,"BOTH_NOT_RUN")</x:f>
        <x:v>0</x:v>
      </x:c>
      <x:c r="F137" s="33" t="n">
        <x:f>IF('Verdicts'!E169=0,"—",E137/'Verdicts'!E169)</x:f>
        <x:v>0</x:v>
      </x:c>
      <x:c r="G137" s="17" t="n">
        <x:f>'Verdicts'!E169</x:f>
        <x:v>2</x:v>
      </x:c>
      <x:c r="H137" s="17"/>
    </x:row>
    <x:row r="138" ht="23" customHeight="1">
      <x:c r="B138" s="17" t="str">
        <x:v>JacksonDatabind</x:v>
      </x:c>
      <x:c r="C138" s="17" t="str">
        <x:v>Round2</x:v>
      </x:c>
      <x:c r="D138" s="17" t="str">
        <x:v>COVERAGE_UNAVAILABLE</x:v>
      </x:c>
      <x:c r="E138" s="17" t="n">
        <x:f>COUNTIF('BugResults'!$P$1248:$P$1357,"COVERAGE_UNAVAILABLE")</x:f>
        <x:v>0</x:v>
      </x:c>
      <x:c r="F138" s="33" t="n">
        <x:f>IF('Verdicts'!E169=0,"—",E138/'Verdicts'!E169)</x:f>
        <x:v>0</x:v>
      </x:c>
      <x:c r="G138" s="17" t="n">
        <x:f>'Verdicts'!E169</x:f>
        <x:v>2</x:v>
      </x:c>
      <x:c r="H138" s="17"/>
    </x:row>
    <x:row r="139" ht="23" customHeight="1">
      <x:c r="B139" s="17" t="str">
        <x:v>JacksonXml</x:v>
      </x:c>
      <x:c r="C139" s="17" t="str">
        <x:v>All rounds</x:v>
      </x:c>
      <x:c r="D139" s="17" t="str">
        <x:v>BUGGY_NOT_RUN</x:v>
      </x:c>
      <x:c r="E139" s="17" t="n">
        <x:f>COUNTIF('BugResults'!$P$504:$P$509,"BUGGY_NOT_RUN")+COUNTIF('BugResults'!$P$1358:$P$1363,"BUGGY_NOT_RUN")</x:f>
        <x:v>0</x:v>
      </x:c>
      <x:c r="F139" s="33" t="str">
        <x:f>IF('Verdicts'!E174=0,"—",E139/'Verdicts'!E174)</x:f>
        <x:v>—</x:v>
      </x:c>
      <x:c r="G139" s="17" t="n">
        <x:f>'Verdicts'!E174</x:f>
        <x:v>0</x:v>
      </x:c>
      <x:c r="H139" s="17" t="n">
        <x:f>SUM(E139:E142)-G139</x:f>
        <x:v>0</x:v>
      </x:c>
    </x:row>
    <x:row r="140" ht="23" customHeight="1">
      <x:c r="B140" s="17" t="str">
        <x:v>JacksonXml</x:v>
      </x:c>
      <x:c r="C140" s="17" t="str">
        <x:v>All rounds</x:v>
      </x:c>
      <x:c r="D140" s="17" t="str">
        <x:v>FIXED_NOT_RUN</x:v>
      </x:c>
      <x:c r="E140" s="17" t="n">
        <x:f>COUNTIF('BugResults'!$P$504:$P$509,"FIXED_NOT_RUN")+COUNTIF('BugResults'!$P$1358:$P$1363,"FIXED_NOT_RUN")</x:f>
        <x:v>0</x:v>
      </x:c>
      <x:c r="F140" s="33" t="str">
        <x:f>IF('Verdicts'!E174=0,"—",E140/'Verdicts'!E174)</x:f>
        <x:v>—</x:v>
      </x:c>
      <x:c r="G140" s="17" t="n">
        <x:f>'Verdicts'!E174</x:f>
        <x:v>0</x:v>
      </x:c>
      <x:c r="H140" s="17"/>
    </x:row>
    <x:row r="141" ht="23" customHeight="1">
      <x:c r="B141" s="17" t="str">
        <x:v>JacksonXml</x:v>
      </x:c>
      <x:c r="C141" s="17" t="str">
        <x:v>All rounds</x:v>
      </x:c>
      <x:c r="D141" s="17" t="str">
        <x:v>BOTH_NOT_RUN</x:v>
      </x:c>
      <x:c r="E141" s="17" t="n">
        <x:f>COUNTIF('BugResults'!$P$504:$P$509,"BOTH_NOT_RUN")+COUNTIF('BugResults'!$P$1358:$P$1363,"BOTH_NOT_RUN")</x:f>
        <x:v>0</x:v>
      </x:c>
      <x:c r="F141" s="33" t="str">
        <x:f>IF('Verdicts'!E174=0,"—",E141/'Verdicts'!E174)</x:f>
        <x:v>—</x:v>
      </x:c>
      <x:c r="G141" s="17" t="n">
        <x:f>'Verdicts'!E174</x:f>
        <x:v>0</x:v>
      </x:c>
      <x:c r="H141" s="17"/>
    </x:row>
    <x:row r="142" ht="23" customHeight="1">
      <x:c r="B142" s="17" t="str">
        <x:v>JacksonXml</x:v>
      </x:c>
      <x:c r="C142" s="17" t="str">
        <x:v>All rounds</x:v>
      </x:c>
      <x:c r="D142" s="17" t="str">
        <x:v>COVERAGE_UNAVAILABLE</x:v>
      </x:c>
      <x:c r="E142" s="17" t="n">
        <x:f>COUNTIF('BugResults'!$P$504:$P$509,"COVERAGE_UNAVAILABLE")+COUNTIF('BugResults'!$P$1358:$P$1363,"COVERAGE_UNAVAILABLE")</x:f>
        <x:v>0</x:v>
      </x:c>
      <x:c r="F142" s="33" t="str">
        <x:f>IF('Verdicts'!E174=0,"—",E142/'Verdicts'!E174)</x:f>
        <x:v>—</x:v>
      </x:c>
      <x:c r="G142" s="17" t="n">
        <x:f>'Verdicts'!E174</x:f>
        <x:v>0</x:v>
      </x:c>
      <x:c r="H142" s="17"/>
    </x:row>
    <x:row r="143" ht="23" customHeight="1">
      <x:c r="B143" s="17" t="str">
        <x:v>JacksonXml</x:v>
      </x:c>
      <x:c r="C143" s="17" t="str">
        <x:v>Round1</x:v>
      </x:c>
      <x:c r="D143" s="17" t="str">
        <x:v>BUGGY_NOT_RUN</x:v>
      </x:c>
      <x:c r="E143" s="17" t="n">
        <x:f>COUNTIF('BugResults'!$P$504:$P$509,"BUGGY_NOT_RUN")</x:f>
        <x:v>0</x:v>
      </x:c>
      <x:c r="F143" s="33" t="str">
        <x:f>IF('Verdicts'!E179=0,"—",E143/'Verdicts'!E179)</x:f>
        <x:v>—</x:v>
      </x:c>
      <x:c r="G143" s="17" t="n">
        <x:f>'Verdicts'!E179</x:f>
        <x:v>0</x:v>
      </x:c>
      <x:c r="H143" s="17" t="n">
        <x:f>SUM(E143:E146)-G143</x:f>
        <x:v>0</x:v>
      </x:c>
    </x:row>
    <x:row r="144" ht="23" customHeight="1">
      <x:c r="B144" s="17" t="str">
        <x:v>JacksonXml</x:v>
      </x:c>
      <x:c r="C144" s="17" t="str">
        <x:v>Round1</x:v>
      </x:c>
      <x:c r="D144" s="17" t="str">
        <x:v>FIXED_NOT_RUN</x:v>
      </x:c>
      <x:c r="E144" s="17" t="n">
        <x:f>COUNTIF('BugResults'!$P$504:$P$509,"FIXED_NOT_RUN")</x:f>
        <x:v>0</x:v>
      </x:c>
      <x:c r="F144" s="33" t="str">
        <x:f>IF('Verdicts'!E179=0,"—",E144/'Verdicts'!E179)</x:f>
        <x:v>—</x:v>
      </x:c>
      <x:c r="G144" s="17" t="n">
        <x:f>'Verdicts'!E179</x:f>
        <x:v>0</x:v>
      </x:c>
      <x:c r="H144" s="17"/>
    </x:row>
    <x:row r="145" ht="23" customHeight="1">
      <x:c r="B145" s="17" t="str">
        <x:v>JacksonXml</x:v>
      </x:c>
      <x:c r="C145" s="17" t="str">
        <x:v>Round1</x:v>
      </x:c>
      <x:c r="D145" s="17" t="str">
        <x:v>BOTH_NOT_RUN</x:v>
      </x:c>
      <x:c r="E145" s="17" t="n">
        <x:f>COUNTIF('BugResults'!$P$504:$P$509,"BOTH_NOT_RUN")</x:f>
        <x:v>0</x:v>
      </x:c>
      <x:c r="F145" s="33" t="str">
        <x:f>IF('Verdicts'!E179=0,"—",E145/'Verdicts'!E179)</x:f>
        <x:v>—</x:v>
      </x:c>
      <x:c r="G145" s="17" t="n">
        <x:f>'Verdicts'!E179</x:f>
        <x:v>0</x:v>
      </x:c>
      <x:c r="H145" s="17"/>
    </x:row>
    <x:row r="146" ht="23" customHeight="1">
      <x:c r="B146" s="17" t="str">
        <x:v>JacksonXml</x:v>
      </x:c>
      <x:c r="C146" s="17" t="str">
        <x:v>Round1</x:v>
      </x:c>
      <x:c r="D146" s="17" t="str">
        <x:v>COVERAGE_UNAVAILABLE</x:v>
      </x:c>
      <x:c r="E146" s="17" t="n">
        <x:f>COUNTIF('BugResults'!$P$504:$P$509,"COVERAGE_UNAVAILABLE")</x:f>
        <x:v>0</x:v>
      </x:c>
      <x:c r="F146" s="33" t="str">
        <x:f>IF('Verdicts'!E179=0,"—",E146/'Verdicts'!E179)</x:f>
        <x:v>—</x:v>
      </x:c>
      <x:c r="G146" s="17" t="n">
        <x:f>'Verdicts'!E179</x:f>
        <x:v>0</x:v>
      </x:c>
      <x:c r="H146" s="17"/>
    </x:row>
    <x:row r="147" ht="23" customHeight="1">
      <x:c r="B147" s="17" t="str">
        <x:v>JacksonXml</x:v>
      </x:c>
      <x:c r="C147" s="17" t="str">
        <x:v>Round2</x:v>
      </x:c>
      <x:c r="D147" s="17" t="str">
        <x:v>BUGGY_NOT_RUN</x:v>
      </x:c>
      <x:c r="E147" s="17" t="n">
        <x:f>COUNTIF('BugResults'!$P$1358:$P$1363,"BUGGY_NOT_RUN")</x:f>
        <x:v>0</x:v>
      </x:c>
      <x:c r="F147" s="33" t="str">
        <x:f>IF('Verdicts'!E184=0,"—",E147/'Verdicts'!E184)</x:f>
        <x:v>—</x:v>
      </x:c>
      <x:c r="G147" s="17" t="n">
        <x:f>'Verdicts'!E184</x:f>
        <x:v>0</x:v>
      </x:c>
      <x:c r="H147" s="17" t="n">
        <x:f>SUM(E147:E150)-G147</x:f>
        <x:v>0</x:v>
      </x:c>
    </x:row>
    <x:row r="148" ht="23" customHeight="1">
      <x:c r="B148" s="17" t="str">
        <x:v>JacksonXml</x:v>
      </x:c>
      <x:c r="C148" s="17" t="str">
        <x:v>Round2</x:v>
      </x:c>
      <x:c r="D148" s="17" t="str">
        <x:v>FIXED_NOT_RUN</x:v>
      </x:c>
      <x:c r="E148" s="17" t="n">
        <x:f>COUNTIF('BugResults'!$P$1358:$P$1363,"FIXED_NOT_RUN")</x:f>
        <x:v>0</x:v>
      </x:c>
      <x:c r="F148" s="33" t="str">
        <x:f>IF('Verdicts'!E184=0,"—",E148/'Verdicts'!E184)</x:f>
        <x:v>—</x:v>
      </x:c>
      <x:c r="G148" s="17" t="n">
        <x:f>'Verdicts'!E184</x:f>
        <x:v>0</x:v>
      </x:c>
      <x:c r="H148" s="17"/>
    </x:row>
    <x:row r="149" ht="23" customHeight="1">
      <x:c r="B149" s="17" t="str">
        <x:v>JacksonXml</x:v>
      </x:c>
      <x:c r="C149" s="17" t="str">
        <x:v>Round2</x:v>
      </x:c>
      <x:c r="D149" s="17" t="str">
        <x:v>BOTH_NOT_RUN</x:v>
      </x:c>
      <x:c r="E149" s="17" t="n">
        <x:f>COUNTIF('BugResults'!$P$1358:$P$1363,"BOTH_NOT_RUN")</x:f>
        <x:v>0</x:v>
      </x:c>
      <x:c r="F149" s="33" t="str">
        <x:f>IF('Verdicts'!E184=0,"—",E149/'Verdicts'!E184)</x:f>
        <x:v>—</x:v>
      </x:c>
      <x:c r="G149" s="17" t="n">
        <x:f>'Verdicts'!E184</x:f>
        <x:v>0</x:v>
      </x:c>
      <x:c r="H149" s="17"/>
    </x:row>
    <x:row r="150" ht="23" customHeight="1">
      <x:c r="B150" s="17" t="str">
        <x:v>JacksonXml</x:v>
      </x:c>
      <x:c r="C150" s="17" t="str">
        <x:v>Round2</x:v>
      </x:c>
      <x:c r="D150" s="17" t="str">
        <x:v>COVERAGE_UNAVAILABLE</x:v>
      </x:c>
      <x:c r="E150" s="17" t="n">
        <x:f>COUNTIF('BugResults'!$P$1358:$P$1363,"COVERAGE_UNAVAILABLE")</x:f>
        <x:v>0</x:v>
      </x:c>
      <x:c r="F150" s="33" t="str">
        <x:f>IF('Verdicts'!E184=0,"—",E150/'Verdicts'!E184)</x:f>
        <x:v>—</x:v>
      </x:c>
      <x:c r="G150" s="17" t="n">
        <x:f>'Verdicts'!E184</x:f>
        <x:v>0</x:v>
      </x:c>
      <x:c r="H150" s="17"/>
    </x:row>
    <x:row r="151" ht="23" customHeight="1">
      <x:c r="B151" s="17" t="str">
        <x:v>Jsoup</x:v>
      </x:c>
      <x:c r="C151" s="17" t="str">
        <x:v>All rounds</x:v>
      </x:c>
      <x:c r="D151" s="17" t="str">
        <x:v>BUGGY_NOT_RUN</x:v>
      </x:c>
      <x:c r="E151" s="17" t="n">
        <x:f>COUNTIF('BugResults'!$P$510:$P$602,"BUGGY_NOT_RUN")+COUNTIF('BugResults'!$P$1364:$P$1456,"BUGGY_NOT_RUN")</x:f>
        <x:v>0</x:v>
      </x:c>
      <x:c r="F151" s="33" t="n">
        <x:f>IF('Verdicts'!E189=0,"—",E151/'Verdicts'!E189)</x:f>
        <x:v>0</x:v>
      </x:c>
      <x:c r="G151" s="17" t="n">
        <x:f>'Verdicts'!E189</x:f>
        <x:v>8</x:v>
      </x:c>
      <x:c r="H151" s="17" t="n">
        <x:f>SUM(E151:E154)-G151</x:f>
        <x:v>0</x:v>
      </x:c>
    </x:row>
    <x:row r="152" ht="23" customHeight="1">
      <x:c r="B152" s="17" t="str">
        <x:v>Jsoup</x:v>
      </x:c>
      <x:c r="C152" s="17" t="str">
        <x:v>All rounds</x:v>
      </x:c>
      <x:c r="D152" s="17" t="str">
        <x:v>FIXED_NOT_RUN</x:v>
      </x:c>
      <x:c r="E152" s="17" t="n">
        <x:f>COUNTIF('BugResults'!$P$510:$P$602,"FIXED_NOT_RUN")+COUNTIF('BugResults'!$P$1364:$P$1456,"FIXED_NOT_RUN")</x:f>
        <x:v>2</x:v>
      </x:c>
      <x:c r="F152" s="33" t="n">
        <x:f>IF('Verdicts'!E189=0,"—",E152/'Verdicts'!E189)</x:f>
        <x:v>0.25</x:v>
      </x:c>
      <x:c r="G152" s="17" t="n">
        <x:f>'Verdicts'!E189</x:f>
        <x:v>8</x:v>
      </x:c>
      <x:c r="H152" s="17"/>
    </x:row>
    <x:row r="153" ht="23" customHeight="1">
      <x:c r="B153" s="17" t="str">
        <x:v>Jsoup</x:v>
      </x:c>
      <x:c r="C153" s="17" t="str">
        <x:v>All rounds</x:v>
      </x:c>
      <x:c r="D153" s="17" t="str">
        <x:v>BOTH_NOT_RUN</x:v>
      </x:c>
      <x:c r="E153" s="17" t="n">
        <x:f>COUNTIF('BugResults'!$P$510:$P$602,"BOTH_NOT_RUN")+COUNTIF('BugResults'!$P$1364:$P$1456,"BOTH_NOT_RUN")</x:f>
        <x:v>0</x:v>
      </x:c>
      <x:c r="F153" s="33" t="n">
        <x:f>IF('Verdicts'!E189=0,"—",E153/'Verdicts'!E189)</x:f>
        <x:v>0</x:v>
      </x:c>
      <x:c r="G153" s="17" t="n">
        <x:f>'Verdicts'!E189</x:f>
        <x:v>8</x:v>
      </x:c>
      <x:c r="H153" s="17"/>
    </x:row>
    <x:row r="154" ht="23" customHeight="1">
      <x:c r="B154" s="17" t="str">
        <x:v>Jsoup</x:v>
      </x:c>
      <x:c r="C154" s="17" t="str">
        <x:v>All rounds</x:v>
      </x:c>
      <x:c r="D154" s="17" t="str">
        <x:v>COVERAGE_UNAVAILABLE</x:v>
      </x:c>
      <x:c r="E154" s="17" t="n">
        <x:f>COUNTIF('BugResults'!$P$510:$P$602,"COVERAGE_UNAVAILABLE")+COUNTIF('BugResults'!$P$1364:$P$1456,"COVERAGE_UNAVAILABLE")</x:f>
        <x:v>6</x:v>
      </x:c>
      <x:c r="F154" s="33" t="n">
        <x:f>IF('Verdicts'!E189=0,"—",E154/'Verdicts'!E189)</x:f>
        <x:v>0.75</x:v>
      </x:c>
      <x:c r="G154" s="17" t="n">
        <x:f>'Verdicts'!E189</x:f>
        <x:v>8</x:v>
      </x:c>
      <x:c r="H154" s="17"/>
    </x:row>
    <x:row r="155" ht="23" customHeight="1">
      <x:c r="B155" s="17" t="str">
        <x:v>Jsoup</x:v>
      </x:c>
      <x:c r="C155" s="17" t="str">
        <x:v>Round1</x:v>
      </x:c>
      <x:c r="D155" s="17" t="str">
        <x:v>BUGGY_NOT_RUN</x:v>
      </x:c>
      <x:c r="E155" s="17" t="n">
        <x:f>COUNTIF('BugResults'!$P$510:$P$602,"BUGGY_NOT_RUN")</x:f>
        <x:v>0</x:v>
      </x:c>
      <x:c r="F155" s="33" t="n">
        <x:f>IF('Verdicts'!E194=0,"—",E155/'Verdicts'!E194)</x:f>
        <x:v>0</x:v>
      </x:c>
      <x:c r="G155" s="17" t="n">
        <x:f>'Verdicts'!E194</x:f>
        <x:v>4</x:v>
      </x:c>
      <x:c r="H155" s="17" t="n">
        <x:f>SUM(E155:E158)-G155</x:f>
        <x:v>0</x:v>
      </x:c>
    </x:row>
    <x:row r="156" ht="23" customHeight="1">
      <x:c r="B156" s="17" t="str">
        <x:v>Jsoup</x:v>
      </x:c>
      <x:c r="C156" s="17" t="str">
        <x:v>Round1</x:v>
      </x:c>
      <x:c r="D156" s="17" t="str">
        <x:v>FIXED_NOT_RUN</x:v>
      </x:c>
      <x:c r="E156" s="17" t="n">
        <x:f>COUNTIF('BugResults'!$P$510:$P$602,"FIXED_NOT_RUN")</x:f>
        <x:v>1</x:v>
      </x:c>
      <x:c r="F156" s="33" t="n">
        <x:f>IF('Verdicts'!E194=0,"—",E156/'Verdicts'!E194)</x:f>
        <x:v>0.25</x:v>
      </x:c>
      <x:c r="G156" s="17" t="n">
        <x:f>'Verdicts'!E194</x:f>
        <x:v>4</x:v>
      </x:c>
      <x:c r="H156" s="17"/>
    </x:row>
    <x:row r="157" ht="23" customHeight="1">
      <x:c r="B157" s="17" t="str">
        <x:v>Jsoup</x:v>
      </x:c>
      <x:c r="C157" s="17" t="str">
        <x:v>Round1</x:v>
      </x:c>
      <x:c r="D157" s="17" t="str">
        <x:v>BOTH_NOT_RUN</x:v>
      </x:c>
      <x:c r="E157" s="17" t="n">
        <x:f>COUNTIF('BugResults'!$P$510:$P$602,"BOTH_NOT_RUN")</x:f>
        <x:v>0</x:v>
      </x:c>
      <x:c r="F157" s="33" t="n">
        <x:f>IF('Verdicts'!E194=0,"—",E157/'Verdicts'!E194)</x:f>
        <x:v>0</x:v>
      </x:c>
      <x:c r="G157" s="17" t="n">
        <x:f>'Verdicts'!E194</x:f>
        <x:v>4</x:v>
      </x:c>
      <x:c r="H157" s="17"/>
    </x:row>
    <x:row r="158" ht="23" customHeight="1">
      <x:c r="B158" s="17" t="str">
        <x:v>Jsoup</x:v>
      </x:c>
      <x:c r="C158" s="17" t="str">
        <x:v>Round1</x:v>
      </x:c>
      <x:c r="D158" s="17" t="str">
        <x:v>COVERAGE_UNAVAILABLE</x:v>
      </x:c>
      <x:c r="E158" s="17" t="n">
        <x:f>COUNTIF('BugResults'!$P$510:$P$602,"COVERAGE_UNAVAILABLE")</x:f>
        <x:v>3</x:v>
      </x:c>
      <x:c r="F158" s="33" t="n">
        <x:f>IF('Verdicts'!E194=0,"—",E158/'Verdicts'!E194)</x:f>
        <x:v>0.75</x:v>
      </x:c>
      <x:c r="G158" s="17" t="n">
        <x:f>'Verdicts'!E194</x:f>
        <x:v>4</x:v>
      </x:c>
      <x:c r="H158" s="17"/>
    </x:row>
    <x:row r="159" ht="23" customHeight="1">
      <x:c r="B159" s="17" t="str">
        <x:v>Jsoup</x:v>
      </x:c>
      <x:c r="C159" s="17" t="str">
        <x:v>Round2</x:v>
      </x:c>
      <x:c r="D159" s="17" t="str">
        <x:v>BUGGY_NOT_RUN</x:v>
      </x:c>
      <x:c r="E159" s="17" t="n">
        <x:f>COUNTIF('BugResults'!$P$1364:$P$1456,"BUGGY_NOT_RUN")</x:f>
        <x:v>0</x:v>
      </x:c>
      <x:c r="F159" s="33" t="n">
        <x:f>IF('Verdicts'!E199=0,"—",E159/'Verdicts'!E199)</x:f>
        <x:v>0</x:v>
      </x:c>
      <x:c r="G159" s="17" t="n">
        <x:f>'Verdicts'!E199</x:f>
        <x:v>4</x:v>
      </x:c>
      <x:c r="H159" s="17" t="n">
        <x:f>SUM(E159:E162)-G159</x:f>
        <x:v>0</x:v>
      </x:c>
    </x:row>
    <x:row r="160" ht="23" customHeight="1">
      <x:c r="B160" s="17" t="str">
        <x:v>Jsoup</x:v>
      </x:c>
      <x:c r="C160" s="17" t="str">
        <x:v>Round2</x:v>
      </x:c>
      <x:c r="D160" s="17" t="str">
        <x:v>FIXED_NOT_RUN</x:v>
      </x:c>
      <x:c r="E160" s="17" t="n">
        <x:f>COUNTIF('BugResults'!$P$1364:$P$1456,"FIXED_NOT_RUN")</x:f>
        <x:v>1</x:v>
      </x:c>
      <x:c r="F160" s="33" t="n">
        <x:f>IF('Verdicts'!E199=0,"—",E160/'Verdicts'!E199)</x:f>
        <x:v>0.25</x:v>
      </x:c>
      <x:c r="G160" s="17" t="n">
        <x:f>'Verdicts'!E199</x:f>
        <x:v>4</x:v>
      </x:c>
      <x:c r="H160" s="17"/>
    </x:row>
    <x:row r="161" ht="23" customHeight="1">
      <x:c r="B161" s="17" t="str">
        <x:v>Jsoup</x:v>
      </x:c>
      <x:c r="C161" s="17" t="str">
        <x:v>Round2</x:v>
      </x:c>
      <x:c r="D161" s="17" t="str">
        <x:v>BOTH_NOT_RUN</x:v>
      </x:c>
      <x:c r="E161" s="17" t="n">
        <x:f>COUNTIF('BugResults'!$P$1364:$P$1456,"BOTH_NOT_RUN")</x:f>
        <x:v>0</x:v>
      </x:c>
      <x:c r="F161" s="33" t="n">
        <x:f>IF('Verdicts'!E199=0,"—",E161/'Verdicts'!E199)</x:f>
        <x:v>0</x:v>
      </x:c>
      <x:c r="G161" s="17" t="n">
        <x:f>'Verdicts'!E199</x:f>
        <x:v>4</x:v>
      </x:c>
      <x:c r="H161" s="17"/>
    </x:row>
    <x:row r="162" ht="23" customHeight="1">
      <x:c r="B162" s="17" t="str">
        <x:v>Jsoup</x:v>
      </x:c>
      <x:c r="C162" s="17" t="str">
        <x:v>Round2</x:v>
      </x:c>
      <x:c r="D162" s="17" t="str">
        <x:v>COVERAGE_UNAVAILABLE</x:v>
      </x:c>
      <x:c r="E162" s="17" t="n">
        <x:f>COUNTIF('BugResults'!$P$1364:$P$1456,"COVERAGE_UNAVAILABLE")</x:f>
        <x:v>3</x:v>
      </x:c>
      <x:c r="F162" s="33" t="n">
        <x:f>IF('Verdicts'!E199=0,"—",E162/'Verdicts'!E199)</x:f>
        <x:v>0.75</x:v>
      </x:c>
      <x:c r="G162" s="17" t="n">
        <x:f>'Verdicts'!E199</x:f>
        <x:v>4</x:v>
      </x:c>
      <x:c r="H162" s="17"/>
    </x:row>
    <x:row r="163" ht="23" customHeight="1">
      <x:c r="B163" s="17" t="str">
        <x:v>JxPath</x:v>
      </x:c>
      <x:c r="C163" s="17" t="str">
        <x:v>All rounds</x:v>
      </x:c>
      <x:c r="D163" s="17" t="str">
        <x:v>BUGGY_NOT_RUN</x:v>
      </x:c>
      <x:c r="E163" s="17" t="n">
        <x:f>COUNTIF('BugResults'!$P$603:$P$624,"BUGGY_NOT_RUN")+COUNTIF('BugResults'!$P$1457:$P$1478,"BUGGY_NOT_RUN")</x:f>
        <x:v>0</x:v>
      </x:c>
      <x:c r="F163" s="33" t="str">
        <x:f>IF('Verdicts'!E204=0,"—",E163/'Verdicts'!E204)</x:f>
        <x:v>—</x:v>
      </x:c>
      <x:c r="G163" s="17" t="n">
        <x:f>'Verdicts'!E204</x:f>
        <x:v>0</x:v>
      </x:c>
      <x:c r="H163" s="17" t="n">
        <x:f>SUM(E163:E166)-G163</x:f>
        <x:v>0</x:v>
      </x:c>
    </x:row>
    <x:row r="164" ht="23" customHeight="1">
      <x:c r="B164" s="17" t="str">
        <x:v>JxPath</x:v>
      </x:c>
      <x:c r="C164" s="17" t="str">
        <x:v>All rounds</x:v>
      </x:c>
      <x:c r="D164" s="17" t="str">
        <x:v>FIXED_NOT_RUN</x:v>
      </x:c>
      <x:c r="E164" s="17" t="n">
        <x:f>COUNTIF('BugResults'!$P$603:$P$624,"FIXED_NOT_RUN")+COUNTIF('BugResults'!$P$1457:$P$1478,"FIXED_NOT_RUN")</x:f>
        <x:v>0</x:v>
      </x:c>
      <x:c r="F164" s="33" t="str">
        <x:f>IF('Verdicts'!E204=0,"—",E164/'Verdicts'!E204)</x:f>
        <x:v>—</x:v>
      </x:c>
      <x:c r="G164" s="17" t="n">
        <x:f>'Verdicts'!E204</x:f>
        <x:v>0</x:v>
      </x:c>
      <x:c r="H164" s="17"/>
    </x:row>
    <x:row r="165" ht="23" customHeight="1">
      <x:c r="B165" s="17" t="str">
        <x:v>JxPath</x:v>
      </x:c>
      <x:c r="C165" s="17" t="str">
        <x:v>All rounds</x:v>
      </x:c>
      <x:c r="D165" s="17" t="str">
        <x:v>BOTH_NOT_RUN</x:v>
      </x:c>
      <x:c r="E165" s="17" t="n">
        <x:f>COUNTIF('BugResults'!$P$603:$P$624,"BOTH_NOT_RUN")+COUNTIF('BugResults'!$P$1457:$P$1478,"BOTH_NOT_RUN")</x:f>
        <x:v>0</x:v>
      </x:c>
      <x:c r="F165" s="33" t="str">
        <x:f>IF('Verdicts'!E204=0,"—",E165/'Verdicts'!E204)</x:f>
        <x:v>—</x:v>
      </x:c>
      <x:c r="G165" s="17" t="n">
        <x:f>'Verdicts'!E204</x:f>
        <x:v>0</x:v>
      </x:c>
      <x:c r="H165" s="17"/>
    </x:row>
    <x:row r="166" ht="23" customHeight="1">
      <x:c r="B166" s="17" t="str">
        <x:v>JxPath</x:v>
      </x:c>
      <x:c r="C166" s="17" t="str">
        <x:v>All rounds</x:v>
      </x:c>
      <x:c r="D166" s="17" t="str">
        <x:v>COVERAGE_UNAVAILABLE</x:v>
      </x:c>
      <x:c r="E166" s="17" t="n">
        <x:f>COUNTIF('BugResults'!$P$603:$P$624,"COVERAGE_UNAVAILABLE")+COUNTIF('BugResults'!$P$1457:$P$1478,"COVERAGE_UNAVAILABLE")</x:f>
        <x:v>0</x:v>
      </x:c>
      <x:c r="F166" s="33" t="str">
        <x:f>IF('Verdicts'!E204=0,"—",E166/'Verdicts'!E204)</x:f>
        <x:v>—</x:v>
      </x:c>
      <x:c r="G166" s="17" t="n">
        <x:f>'Verdicts'!E204</x:f>
        <x:v>0</x:v>
      </x:c>
      <x:c r="H166" s="17"/>
    </x:row>
    <x:row r="167" ht="23" customHeight="1">
      <x:c r="B167" s="17" t="str">
        <x:v>JxPath</x:v>
      </x:c>
      <x:c r="C167" s="17" t="str">
        <x:v>Round1</x:v>
      </x:c>
      <x:c r="D167" s="17" t="str">
        <x:v>BUGGY_NOT_RUN</x:v>
      </x:c>
      <x:c r="E167" s="17" t="n">
        <x:f>COUNTIF('BugResults'!$P$603:$P$624,"BUGGY_NOT_RUN")</x:f>
        <x:v>0</x:v>
      </x:c>
      <x:c r="F167" s="33" t="str">
        <x:f>IF('Verdicts'!E209=0,"—",E167/'Verdicts'!E209)</x:f>
        <x:v>—</x:v>
      </x:c>
      <x:c r="G167" s="17" t="n">
        <x:f>'Verdicts'!E209</x:f>
        <x:v>0</x:v>
      </x:c>
      <x:c r="H167" s="17" t="n">
        <x:f>SUM(E167:E170)-G167</x:f>
        <x:v>0</x:v>
      </x:c>
    </x:row>
    <x:row r="168" ht="23" customHeight="1">
      <x:c r="B168" s="17" t="str">
        <x:v>JxPath</x:v>
      </x:c>
      <x:c r="C168" s="17" t="str">
        <x:v>Round1</x:v>
      </x:c>
      <x:c r="D168" s="17" t="str">
        <x:v>FIXED_NOT_RUN</x:v>
      </x:c>
      <x:c r="E168" s="17" t="n">
        <x:f>COUNTIF('BugResults'!$P$603:$P$624,"FIXED_NOT_RUN")</x:f>
        <x:v>0</x:v>
      </x:c>
      <x:c r="F168" s="33" t="str">
        <x:f>IF('Verdicts'!E209=0,"—",E168/'Verdicts'!E209)</x:f>
        <x:v>—</x:v>
      </x:c>
      <x:c r="G168" s="17" t="n">
        <x:f>'Verdicts'!E209</x:f>
        <x:v>0</x:v>
      </x:c>
      <x:c r="H168" s="17"/>
    </x:row>
    <x:row r="169" ht="23" customHeight="1">
      <x:c r="B169" s="17" t="str">
        <x:v>JxPath</x:v>
      </x:c>
      <x:c r="C169" s="17" t="str">
        <x:v>Round1</x:v>
      </x:c>
      <x:c r="D169" s="17" t="str">
        <x:v>BOTH_NOT_RUN</x:v>
      </x:c>
      <x:c r="E169" s="17" t="n">
        <x:f>COUNTIF('BugResults'!$P$603:$P$624,"BOTH_NOT_RUN")</x:f>
        <x:v>0</x:v>
      </x:c>
      <x:c r="F169" s="33" t="str">
        <x:f>IF('Verdicts'!E209=0,"—",E169/'Verdicts'!E209)</x:f>
        <x:v>—</x:v>
      </x:c>
      <x:c r="G169" s="17" t="n">
        <x:f>'Verdicts'!E209</x:f>
        <x:v>0</x:v>
      </x:c>
      <x:c r="H169" s="17"/>
    </x:row>
    <x:row r="170" ht="23" customHeight="1">
      <x:c r="B170" s="17" t="str">
        <x:v>JxPath</x:v>
      </x:c>
      <x:c r="C170" s="17" t="str">
        <x:v>Round1</x:v>
      </x:c>
      <x:c r="D170" s="17" t="str">
        <x:v>COVERAGE_UNAVAILABLE</x:v>
      </x:c>
      <x:c r="E170" s="17" t="n">
        <x:f>COUNTIF('BugResults'!$P$603:$P$624,"COVERAGE_UNAVAILABLE")</x:f>
        <x:v>0</x:v>
      </x:c>
      <x:c r="F170" s="33" t="str">
        <x:f>IF('Verdicts'!E209=0,"—",E170/'Verdicts'!E209)</x:f>
        <x:v>—</x:v>
      </x:c>
      <x:c r="G170" s="17" t="n">
        <x:f>'Verdicts'!E209</x:f>
        <x:v>0</x:v>
      </x:c>
      <x:c r="H170" s="17"/>
    </x:row>
    <x:row r="171" ht="23" customHeight="1">
      <x:c r="B171" s="17" t="str">
        <x:v>JxPath</x:v>
      </x:c>
      <x:c r="C171" s="17" t="str">
        <x:v>Round2</x:v>
      </x:c>
      <x:c r="D171" s="17" t="str">
        <x:v>BUGGY_NOT_RUN</x:v>
      </x:c>
      <x:c r="E171" s="17" t="n">
        <x:f>COUNTIF('BugResults'!$P$1457:$P$1478,"BUGGY_NOT_RUN")</x:f>
        <x:v>0</x:v>
      </x:c>
      <x:c r="F171" s="33" t="str">
        <x:f>IF('Verdicts'!E214=0,"—",E171/'Verdicts'!E214)</x:f>
        <x:v>—</x:v>
      </x:c>
      <x:c r="G171" s="17" t="n">
        <x:f>'Verdicts'!E214</x:f>
        <x:v>0</x:v>
      </x:c>
      <x:c r="H171" s="17" t="n">
        <x:f>SUM(E171:E174)-G171</x:f>
        <x:v>0</x:v>
      </x:c>
    </x:row>
    <x:row r="172" ht="23" customHeight="1">
      <x:c r="B172" s="17" t="str">
        <x:v>JxPath</x:v>
      </x:c>
      <x:c r="C172" s="17" t="str">
        <x:v>Round2</x:v>
      </x:c>
      <x:c r="D172" s="17" t="str">
        <x:v>FIXED_NOT_RUN</x:v>
      </x:c>
      <x:c r="E172" s="17" t="n">
        <x:f>COUNTIF('BugResults'!$P$1457:$P$1478,"FIXED_NOT_RUN")</x:f>
        <x:v>0</x:v>
      </x:c>
      <x:c r="F172" s="33" t="str">
        <x:f>IF('Verdicts'!E214=0,"—",E172/'Verdicts'!E214)</x:f>
        <x:v>—</x:v>
      </x:c>
      <x:c r="G172" s="17" t="n">
        <x:f>'Verdicts'!E214</x:f>
        <x:v>0</x:v>
      </x:c>
      <x:c r="H172" s="17"/>
    </x:row>
    <x:row r="173" ht="23" customHeight="1">
      <x:c r="B173" s="17" t="str">
        <x:v>JxPath</x:v>
      </x:c>
      <x:c r="C173" s="17" t="str">
        <x:v>Round2</x:v>
      </x:c>
      <x:c r="D173" s="17" t="str">
        <x:v>BOTH_NOT_RUN</x:v>
      </x:c>
      <x:c r="E173" s="17" t="n">
        <x:f>COUNTIF('BugResults'!$P$1457:$P$1478,"BOTH_NOT_RUN")</x:f>
        <x:v>0</x:v>
      </x:c>
      <x:c r="F173" s="33" t="str">
        <x:f>IF('Verdicts'!E214=0,"—",E173/'Verdicts'!E214)</x:f>
        <x:v>—</x:v>
      </x:c>
      <x:c r="G173" s="17" t="n">
        <x:f>'Verdicts'!E214</x:f>
        <x:v>0</x:v>
      </x:c>
      <x:c r="H173" s="17"/>
    </x:row>
    <x:row r="174" ht="23" customHeight="1">
      <x:c r="B174" s="17" t="str">
        <x:v>JxPath</x:v>
      </x:c>
      <x:c r="C174" s="17" t="str">
        <x:v>Round2</x:v>
      </x:c>
      <x:c r="D174" s="17" t="str">
        <x:v>COVERAGE_UNAVAILABLE</x:v>
      </x:c>
      <x:c r="E174" s="17" t="n">
        <x:f>COUNTIF('BugResults'!$P$1457:$P$1478,"COVERAGE_UNAVAILABLE")</x:f>
        <x:v>0</x:v>
      </x:c>
      <x:c r="F174" s="33" t="str">
        <x:f>IF('Verdicts'!E214=0,"—",E174/'Verdicts'!E214)</x:f>
        <x:v>—</x:v>
      </x:c>
      <x:c r="G174" s="17" t="n">
        <x:f>'Verdicts'!E214</x:f>
        <x:v>0</x:v>
      </x:c>
      <x:c r="H174" s="17"/>
    </x:row>
    <x:row r="175" ht="23" customHeight="1">
      <x:c r="B175" s="17" t="str">
        <x:v>Lang</x:v>
      </x:c>
      <x:c r="C175" s="17" t="str">
        <x:v>All rounds</x:v>
      </x:c>
      <x:c r="D175" s="17" t="str">
        <x:v>BUGGY_NOT_RUN</x:v>
      </x:c>
      <x:c r="E175" s="17" t="n">
        <x:f>COUNTIF('BugResults'!$P$625:$P$685,"BUGGY_NOT_RUN")+COUNTIF('BugResults'!$P$1479:$P$1539,"BUGGY_NOT_RUN")</x:f>
        <x:v>0</x:v>
      </x:c>
      <x:c r="F175" s="33" t="n">
        <x:f>IF('Verdicts'!E219=0,"—",E175/'Verdicts'!E219)</x:f>
        <x:v>0</x:v>
      </x:c>
      <x:c r="G175" s="17" t="n">
        <x:f>'Verdicts'!E219</x:f>
        <x:v>4</x:v>
      </x:c>
      <x:c r="H175" s="17" t="n">
        <x:f>SUM(E175:E178)-G175</x:f>
        <x:v>0</x:v>
      </x:c>
    </x:row>
    <x:row r="176" ht="23" customHeight="1">
      <x:c r="B176" s="17" t="str">
        <x:v>Lang</x:v>
      </x:c>
      <x:c r="C176" s="17" t="str">
        <x:v>All rounds</x:v>
      </x:c>
      <x:c r="D176" s="17" t="str">
        <x:v>FIXED_NOT_RUN</x:v>
      </x:c>
      <x:c r="E176" s="17" t="n">
        <x:f>COUNTIF('BugResults'!$P$625:$P$685,"FIXED_NOT_RUN")+COUNTIF('BugResults'!$P$1479:$P$1539,"FIXED_NOT_RUN")</x:f>
        <x:v>4</x:v>
      </x:c>
      <x:c r="F176" s="33" t="n">
        <x:f>IF('Verdicts'!E219=0,"—",E176/'Verdicts'!E219)</x:f>
        <x:v>1</x:v>
      </x:c>
      <x:c r="G176" s="17" t="n">
        <x:f>'Verdicts'!E219</x:f>
        <x:v>4</x:v>
      </x:c>
      <x:c r="H176" s="17"/>
    </x:row>
    <x:row r="177" ht="23" customHeight="1">
      <x:c r="B177" s="17" t="str">
        <x:v>Lang</x:v>
      </x:c>
      <x:c r="C177" s="17" t="str">
        <x:v>All rounds</x:v>
      </x:c>
      <x:c r="D177" s="17" t="str">
        <x:v>BOTH_NOT_RUN</x:v>
      </x:c>
      <x:c r="E177" s="17" t="n">
        <x:f>COUNTIF('BugResults'!$P$625:$P$685,"BOTH_NOT_RUN")+COUNTIF('BugResults'!$P$1479:$P$1539,"BOTH_NOT_RUN")</x:f>
        <x:v>0</x:v>
      </x:c>
      <x:c r="F177" s="33" t="n">
        <x:f>IF('Verdicts'!E219=0,"—",E177/'Verdicts'!E219)</x:f>
        <x:v>0</x:v>
      </x:c>
      <x:c r="G177" s="17" t="n">
        <x:f>'Verdicts'!E219</x:f>
        <x:v>4</x:v>
      </x:c>
      <x:c r="H177" s="17"/>
    </x:row>
    <x:row r="178" ht="23" customHeight="1">
      <x:c r="B178" s="17" t="str">
        <x:v>Lang</x:v>
      </x:c>
      <x:c r="C178" s="17" t="str">
        <x:v>All rounds</x:v>
      </x:c>
      <x:c r="D178" s="17" t="str">
        <x:v>COVERAGE_UNAVAILABLE</x:v>
      </x:c>
      <x:c r="E178" s="17" t="n">
        <x:f>COUNTIF('BugResults'!$P$625:$P$685,"COVERAGE_UNAVAILABLE")+COUNTIF('BugResults'!$P$1479:$P$1539,"COVERAGE_UNAVAILABLE")</x:f>
        <x:v>0</x:v>
      </x:c>
      <x:c r="F178" s="33" t="n">
        <x:f>IF('Verdicts'!E219=0,"—",E178/'Verdicts'!E219)</x:f>
        <x:v>0</x:v>
      </x:c>
      <x:c r="G178" s="17" t="n">
        <x:f>'Verdicts'!E219</x:f>
        <x:v>4</x:v>
      </x:c>
      <x:c r="H178" s="17"/>
    </x:row>
    <x:row r="179" ht="23" customHeight="1">
      <x:c r="B179" s="17" t="str">
        <x:v>Lang</x:v>
      </x:c>
      <x:c r="C179" s="17" t="str">
        <x:v>Round1</x:v>
      </x:c>
      <x:c r="D179" s="17" t="str">
        <x:v>BUGGY_NOT_RUN</x:v>
      </x:c>
      <x:c r="E179" s="17" t="n">
        <x:f>COUNTIF('BugResults'!$P$625:$P$685,"BUGGY_NOT_RUN")</x:f>
        <x:v>0</x:v>
      </x:c>
      <x:c r="F179" s="33" t="n">
        <x:f>IF('Verdicts'!E224=0,"—",E179/'Verdicts'!E224)</x:f>
        <x:v>0</x:v>
      </x:c>
      <x:c r="G179" s="17" t="n">
        <x:f>'Verdicts'!E224</x:f>
        <x:v>2</x:v>
      </x:c>
      <x:c r="H179" s="17" t="n">
        <x:f>SUM(E179:E182)-G179</x:f>
        <x:v>0</x:v>
      </x:c>
    </x:row>
    <x:row r="180" ht="23" customHeight="1">
      <x:c r="B180" s="17" t="str">
        <x:v>Lang</x:v>
      </x:c>
      <x:c r="C180" s="17" t="str">
        <x:v>Round1</x:v>
      </x:c>
      <x:c r="D180" s="17" t="str">
        <x:v>FIXED_NOT_RUN</x:v>
      </x:c>
      <x:c r="E180" s="17" t="n">
        <x:f>COUNTIF('BugResults'!$P$625:$P$685,"FIXED_NOT_RUN")</x:f>
        <x:v>2</x:v>
      </x:c>
      <x:c r="F180" s="33" t="n">
        <x:f>IF('Verdicts'!E224=0,"—",E180/'Verdicts'!E224)</x:f>
        <x:v>1</x:v>
      </x:c>
      <x:c r="G180" s="17" t="n">
        <x:f>'Verdicts'!E224</x:f>
        <x:v>2</x:v>
      </x:c>
      <x:c r="H180" s="17"/>
    </x:row>
    <x:row r="181" ht="23" customHeight="1">
      <x:c r="B181" s="17" t="str">
        <x:v>Lang</x:v>
      </x:c>
      <x:c r="C181" s="17" t="str">
        <x:v>Round1</x:v>
      </x:c>
      <x:c r="D181" s="17" t="str">
        <x:v>BOTH_NOT_RUN</x:v>
      </x:c>
      <x:c r="E181" s="17" t="n">
        <x:f>COUNTIF('BugResults'!$P$625:$P$685,"BOTH_NOT_RUN")</x:f>
        <x:v>0</x:v>
      </x:c>
      <x:c r="F181" s="33" t="n">
        <x:f>IF('Verdicts'!E224=0,"—",E181/'Verdicts'!E224)</x:f>
        <x:v>0</x:v>
      </x:c>
      <x:c r="G181" s="17" t="n">
        <x:f>'Verdicts'!E224</x:f>
        <x:v>2</x:v>
      </x:c>
      <x:c r="H181" s="17"/>
    </x:row>
    <x:row r="182" ht="23" customHeight="1">
      <x:c r="B182" s="17" t="str">
        <x:v>Lang</x:v>
      </x:c>
      <x:c r="C182" s="17" t="str">
        <x:v>Round1</x:v>
      </x:c>
      <x:c r="D182" s="17" t="str">
        <x:v>COVERAGE_UNAVAILABLE</x:v>
      </x:c>
      <x:c r="E182" s="17" t="n">
        <x:f>COUNTIF('BugResults'!$P$625:$P$685,"COVERAGE_UNAVAILABLE")</x:f>
        <x:v>0</x:v>
      </x:c>
      <x:c r="F182" s="33" t="n">
        <x:f>IF('Verdicts'!E224=0,"—",E182/'Verdicts'!E224)</x:f>
        <x:v>0</x:v>
      </x:c>
      <x:c r="G182" s="17" t="n">
        <x:f>'Verdicts'!E224</x:f>
        <x:v>2</x:v>
      </x:c>
      <x:c r="H182" s="17"/>
    </x:row>
    <x:row r="183" ht="23" customHeight="1">
      <x:c r="B183" s="17" t="str">
        <x:v>Lang</x:v>
      </x:c>
      <x:c r="C183" s="17" t="str">
        <x:v>Round2</x:v>
      </x:c>
      <x:c r="D183" s="17" t="str">
        <x:v>BUGGY_NOT_RUN</x:v>
      </x:c>
      <x:c r="E183" s="17" t="n">
        <x:f>COUNTIF('BugResults'!$P$1479:$P$1539,"BUGGY_NOT_RUN")</x:f>
        <x:v>0</x:v>
      </x:c>
      <x:c r="F183" s="33" t="n">
        <x:f>IF('Verdicts'!E229=0,"—",E183/'Verdicts'!E229)</x:f>
        <x:v>0</x:v>
      </x:c>
      <x:c r="G183" s="17" t="n">
        <x:f>'Verdicts'!E229</x:f>
        <x:v>2</x:v>
      </x:c>
      <x:c r="H183" s="17" t="n">
        <x:f>SUM(E183:E186)-G183</x:f>
        <x:v>0</x:v>
      </x:c>
    </x:row>
    <x:row r="184" ht="23" customHeight="1">
      <x:c r="B184" s="17" t="str">
        <x:v>Lang</x:v>
      </x:c>
      <x:c r="C184" s="17" t="str">
        <x:v>Round2</x:v>
      </x:c>
      <x:c r="D184" s="17" t="str">
        <x:v>FIXED_NOT_RUN</x:v>
      </x:c>
      <x:c r="E184" s="17" t="n">
        <x:f>COUNTIF('BugResults'!$P$1479:$P$1539,"FIXED_NOT_RUN")</x:f>
        <x:v>2</x:v>
      </x:c>
      <x:c r="F184" s="33" t="n">
        <x:f>IF('Verdicts'!E229=0,"—",E184/'Verdicts'!E229)</x:f>
        <x:v>1</x:v>
      </x:c>
      <x:c r="G184" s="17" t="n">
        <x:f>'Verdicts'!E229</x:f>
        <x:v>2</x:v>
      </x:c>
      <x:c r="H184" s="17"/>
    </x:row>
    <x:row r="185" ht="23" customHeight="1">
      <x:c r="B185" s="17" t="str">
        <x:v>Lang</x:v>
      </x:c>
      <x:c r="C185" s="17" t="str">
        <x:v>Round2</x:v>
      </x:c>
      <x:c r="D185" s="17" t="str">
        <x:v>BOTH_NOT_RUN</x:v>
      </x:c>
      <x:c r="E185" s="17" t="n">
        <x:f>COUNTIF('BugResults'!$P$1479:$P$1539,"BOTH_NOT_RUN")</x:f>
        <x:v>0</x:v>
      </x:c>
      <x:c r="F185" s="33" t="n">
        <x:f>IF('Verdicts'!E229=0,"—",E185/'Verdicts'!E229)</x:f>
        <x:v>0</x:v>
      </x:c>
      <x:c r="G185" s="17" t="n">
        <x:f>'Verdicts'!E229</x:f>
        <x:v>2</x:v>
      </x:c>
      <x:c r="H185" s="17"/>
    </x:row>
    <x:row r="186" ht="23" customHeight="1">
      <x:c r="B186" s="17" t="str">
        <x:v>Lang</x:v>
      </x:c>
      <x:c r="C186" s="17" t="str">
        <x:v>Round2</x:v>
      </x:c>
      <x:c r="D186" s="17" t="str">
        <x:v>COVERAGE_UNAVAILABLE</x:v>
      </x:c>
      <x:c r="E186" s="17" t="n">
        <x:f>COUNTIF('BugResults'!$P$1479:$P$1539,"COVERAGE_UNAVAILABLE")</x:f>
        <x:v>0</x:v>
      </x:c>
      <x:c r="F186" s="33" t="n">
        <x:f>IF('Verdicts'!E229=0,"—",E186/'Verdicts'!E229)</x:f>
        <x:v>0</x:v>
      </x:c>
      <x:c r="G186" s="17" t="n">
        <x:f>'Verdicts'!E229</x:f>
        <x:v>2</x:v>
      </x:c>
      <x:c r="H186" s="17"/>
    </x:row>
    <x:row r="187" ht="23" customHeight="1">
      <x:c r="B187" s="17" t="str">
        <x:v>Math</x:v>
      </x:c>
      <x:c r="C187" s="17" t="str">
        <x:v>All rounds</x:v>
      </x:c>
      <x:c r="D187" s="17" t="str">
        <x:v>BUGGY_NOT_RUN</x:v>
      </x:c>
      <x:c r="E187" s="17" t="n">
        <x:f>COUNTIF('BugResults'!$P$686:$P$791,"BUGGY_NOT_RUN")+COUNTIF('BugResults'!$P$1540:$P$1645,"BUGGY_NOT_RUN")</x:f>
        <x:v>0</x:v>
      </x:c>
      <x:c r="F187" s="33" t="n">
        <x:f>IF('Verdicts'!E234=0,"—",E187/'Verdicts'!E234)</x:f>
        <x:v>0</x:v>
      </x:c>
      <x:c r="G187" s="17" t="n">
        <x:f>'Verdicts'!E234</x:f>
        <x:v>2</x:v>
      </x:c>
      <x:c r="H187" s="17" t="n">
        <x:f>SUM(E187:E190)-G187</x:f>
        <x:v>0</x:v>
      </x:c>
    </x:row>
    <x:row r="188" ht="23" customHeight="1">
      <x:c r="B188" s="17" t="str">
        <x:v>Math</x:v>
      </x:c>
      <x:c r="C188" s="17" t="str">
        <x:v>All rounds</x:v>
      </x:c>
      <x:c r="D188" s="17" t="str">
        <x:v>FIXED_NOT_RUN</x:v>
      </x:c>
      <x:c r="E188" s="17" t="n">
        <x:f>COUNTIF('BugResults'!$P$686:$P$791,"FIXED_NOT_RUN")+COUNTIF('BugResults'!$P$1540:$P$1645,"FIXED_NOT_RUN")</x:f>
        <x:v>2</x:v>
      </x:c>
      <x:c r="F188" s="33" t="n">
        <x:f>IF('Verdicts'!E234=0,"—",E188/'Verdicts'!E234)</x:f>
        <x:v>1</x:v>
      </x:c>
      <x:c r="G188" s="17" t="n">
        <x:f>'Verdicts'!E234</x:f>
        <x:v>2</x:v>
      </x:c>
      <x:c r="H188" s="17"/>
    </x:row>
    <x:row r="189" ht="23" customHeight="1">
      <x:c r="B189" s="17" t="str">
        <x:v>Math</x:v>
      </x:c>
      <x:c r="C189" s="17" t="str">
        <x:v>All rounds</x:v>
      </x:c>
      <x:c r="D189" s="17" t="str">
        <x:v>BOTH_NOT_RUN</x:v>
      </x:c>
      <x:c r="E189" s="17" t="n">
        <x:f>COUNTIF('BugResults'!$P$686:$P$791,"BOTH_NOT_RUN")+COUNTIF('BugResults'!$P$1540:$P$1645,"BOTH_NOT_RUN")</x:f>
        <x:v>0</x:v>
      </x:c>
      <x:c r="F189" s="33" t="n">
        <x:f>IF('Verdicts'!E234=0,"—",E189/'Verdicts'!E234)</x:f>
        <x:v>0</x:v>
      </x:c>
      <x:c r="G189" s="17" t="n">
        <x:f>'Verdicts'!E234</x:f>
        <x:v>2</x:v>
      </x:c>
      <x:c r="H189" s="17"/>
    </x:row>
    <x:row r="190" ht="23" customHeight="1">
      <x:c r="B190" s="17" t="str">
        <x:v>Math</x:v>
      </x:c>
      <x:c r="C190" s="17" t="str">
        <x:v>All rounds</x:v>
      </x:c>
      <x:c r="D190" s="17" t="str">
        <x:v>COVERAGE_UNAVAILABLE</x:v>
      </x:c>
      <x:c r="E190" s="17" t="n">
        <x:f>COUNTIF('BugResults'!$P$686:$P$791,"COVERAGE_UNAVAILABLE")+COUNTIF('BugResults'!$P$1540:$P$1645,"COVERAGE_UNAVAILABLE")</x:f>
        <x:v>0</x:v>
      </x:c>
      <x:c r="F190" s="33" t="n">
        <x:f>IF('Verdicts'!E234=0,"—",E190/'Verdicts'!E234)</x:f>
        <x:v>0</x:v>
      </x:c>
      <x:c r="G190" s="17" t="n">
        <x:f>'Verdicts'!E234</x:f>
        <x:v>2</x:v>
      </x:c>
      <x:c r="H190" s="17"/>
    </x:row>
    <x:row r="191" ht="23" customHeight="1">
      <x:c r="B191" s="17" t="str">
        <x:v>Math</x:v>
      </x:c>
      <x:c r="C191" s="17" t="str">
        <x:v>Round1</x:v>
      </x:c>
      <x:c r="D191" s="17" t="str">
        <x:v>BUGGY_NOT_RUN</x:v>
      </x:c>
      <x:c r="E191" s="17" t="n">
        <x:f>COUNTIF('BugResults'!$P$686:$P$791,"BUGGY_NOT_RUN")</x:f>
        <x:v>0</x:v>
      </x:c>
      <x:c r="F191" s="33" t="n">
        <x:f>IF('Verdicts'!E239=0,"—",E191/'Verdicts'!E239)</x:f>
        <x:v>0</x:v>
      </x:c>
      <x:c r="G191" s="17" t="n">
        <x:f>'Verdicts'!E239</x:f>
        <x:v>1</x:v>
      </x:c>
      <x:c r="H191" s="17" t="n">
        <x:f>SUM(E191:E194)-G191</x:f>
        <x:v>0</x:v>
      </x:c>
    </x:row>
    <x:row r="192" ht="23" customHeight="1">
      <x:c r="B192" s="17" t="str">
        <x:v>Math</x:v>
      </x:c>
      <x:c r="C192" s="17" t="str">
        <x:v>Round1</x:v>
      </x:c>
      <x:c r="D192" s="17" t="str">
        <x:v>FIXED_NOT_RUN</x:v>
      </x:c>
      <x:c r="E192" s="17" t="n">
        <x:f>COUNTIF('BugResults'!$P$686:$P$791,"FIXED_NOT_RUN")</x:f>
        <x:v>1</x:v>
      </x:c>
      <x:c r="F192" s="33" t="n">
        <x:f>IF('Verdicts'!E239=0,"—",E192/'Verdicts'!E239)</x:f>
        <x:v>1</x:v>
      </x:c>
      <x:c r="G192" s="17" t="n">
        <x:f>'Verdicts'!E239</x:f>
        <x:v>1</x:v>
      </x:c>
      <x:c r="H192" s="17"/>
    </x:row>
    <x:row r="193" ht="23" customHeight="1">
      <x:c r="B193" s="17" t="str">
        <x:v>Math</x:v>
      </x:c>
      <x:c r="C193" s="17" t="str">
        <x:v>Round1</x:v>
      </x:c>
      <x:c r="D193" s="17" t="str">
        <x:v>BOTH_NOT_RUN</x:v>
      </x:c>
      <x:c r="E193" s="17" t="n">
        <x:f>COUNTIF('BugResults'!$P$686:$P$791,"BOTH_NOT_RUN")</x:f>
        <x:v>0</x:v>
      </x:c>
      <x:c r="F193" s="33" t="n">
        <x:f>IF('Verdicts'!E239=0,"—",E193/'Verdicts'!E239)</x:f>
        <x:v>0</x:v>
      </x:c>
      <x:c r="G193" s="17" t="n">
        <x:f>'Verdicts'!E239</x:f>
        <x:v>1</x:v>
      </x:c>
      <x:c r="H193" s="17"/>
    </x:row>
    <x:row r="194" ht="23" customHeight="1">
      <x:c r="B194" s="17" t="str">
        <x:v>Math</x:v>
      </x:c>
      <x:c r="C194" s="17" t="str">
        <x:v>Round1</x:v>
      </x:c>
      <x:c r="D194" s="17" t="str">
        <x:v>COVERAGE_UNAVAILABLE</x:v>
      </x:c>
      <x:c r="E194" s="17" t="n">
        <x:f>COUNTIF('BugResults'!$P$686:$P$791,"COVERAGE_UNAVAILABLE")</x:f>
        <x:v>0</x:v>
      </x:c>
      <x:c r="F194" s="33" t="n">
        <x:f>IF('Verdicts'!E239=0,"—",E194/'Verdicts'!E239)</x:f>
        <x:v>0</x:v>
      </x:c>
      <x:c r="G194" s="17" t="n">
        <x:f>'Verdicts'!E239</x:f>
        <x:v>1</x:v>
      </x:c>
      <x:c r="H194" s="17"/>
    </x:row>
    <x:row r="195" ht="23" customHeight="1">
      <x:c r="B195" s="17" t="str">
        <x:v>Math</x:v>
      </x:c>
      <x:c r="C195" s="17" t="str">
        <x:v>Round2</x:v>
      </x:c>
      <x:c r="D195" s="17" t="str">
        <x:v>BUGGY_NOT_RUN</x:v>
      </x:c>
      <x:c r="E195" s="17" t="n">
        <x:f>COUNTIF('BugResults'!$P$1540:$P$1645,"BUGGY_NOT_RUN")</x:f>
        <x:v>0</x:v>
      </x:c>
      <x:c r="F195" s="33" t="n">
        <x:f>IF('Verdicts'!E244=0,"—",E195/'Verdicts'!E244)</x:f>
        <x:v>0</x:v>
      </x:c>
      <x:c r="G195" s="17" t="n">
        <x:f>'Verdicts'!E244</x:f>
        <x:v>1</x:v>
      </x:c>
      <x:c r="H195" s="17" t="n">
        <x:f>SUM(E195:E198)-G195</x:f>
        <x:v>0</x:v>
      </x:c>
    </x:row>
    <x:row r="196" ht="23" customHeight="1">
      <x:c r="B196" s="17" t="str">
        <x:v>Math</x:v>
      </x:c>
      <x:c r="C196" s="17" t="str">
        <x:v>Round2</x:v>
      </x:c>
      <x:c r="D196" s="17" t="str">
        <x:v>FIXED_NOT_RUN</x:v>
      </x:c>
      <x:c r="E196" s="17" t="n">
        <x:f>COUNTIF('BugResults'!$P$1540:$P$1645,"FIXED_NOT_RUN")</x:f>
        <x:v>1</x:v>
      </x:c>
      <x:c r="F196" s="33" t="n">
        <x:f>IF('Verdicts'!E244=0,"—",E196/'Verdicts'!E244)</x:f>
        <x:v>1</x:v>
      </x:c>
      <x:c r="G196" s="17" t="n">
        <x:f>'Verdicts'!E244</x:f>
        <x:v>1</x:v>
      </x:c>
      <x:c r="H196" s="17"/>
    </x:row>
    <x:row r="197" ht="23" customHeight="1">
      <x:c r="B197" s="17" t="str">
        <x:v>Math</x:v>
      </x:c>
      <x:c r="C197" s="17" t="str">
        <x:v>Round2</x:v>
      </x:c>
      <x:c r="D197" s="17" t="str">
        <x:v>BOTH_NOT_RUN</x:v>
      </x:c>
      <x:c r="E197" s="17" t="n">
        <x:f>COUNTIF('BugResults'!$P$1540:$P$1645,"BOTH_NOT_RUN")</x:f>
        <x:v>0</x:v>
      </x:c>
      <x:c r="F197" s="33" t="n">
        <x:f>IF('Verdicts'!E244=0,"—",E197/'Verdicts'!E244)</x:f>
        <x:v>0</x:v>
      </x:c>
      <x:c r="G197" s="17" t="n">
        <x:f>'Verdicts'!E244</x:f>
        <x:v>1</x:v>
      </x:c>
      <x:c r="H197" s="17"/>
    </x:row>
    <x:row r="198" ht="23" customHeight="1">
      <x:c r="B198" s="17" t="str">
        <x:v>Math</x:v>
      </x:c>
      <x:c r="C198" s="17" t="str">
        <x:v>Round2</x:v>
      </x:c>
      <x:c r="D198" s="17" t="str">
        <x:v>COVERAGE_UNAVAILABLE</x:v>
      </x:c>
      <x:c r="E198" s="17" t="n">
        <x:f>COUNTIF('BugResults'!$P$1540:$P$1645,"COVERAGE_UNAVAILABLE")</x:f>
        <x:v>0</x:v>
      </x:c>
      <x:c r="F198" s="33" t="n">
        <x:f>IF('Verdicts'!E244=0,"—",E198/'Verdicts'!E244)</x:f>
        <x:v>0</x:v>
      </x:c>
      <x:c r="G198" s="17" t="n">
        <x:f>'Verdicts'!E244</x:f>
        <x:v>1</x:v>
      </x:c>
      <x:c r="H198" s="17"/>
    </x:row>
    <x:row r="199" ht="23" customHeight="1">
      <x:c r="B199" s="17" t="str">
        <x:v>Mockito</x:v>
      </x:c>
      <x:c r="C199" s="17" t="str">
        <x:v>All rounds</x:v>
      </x:c>
      <x:c r="D199" s="17" t="str">
        <x:v>BUGGY_NOT_RUN</x:v>
      </x:c>
      <x:c r="E199" s="17" t="n">
        <x:f>COUNTIF('BugResults'!$P$792:$P$829,"BUGGY_NOT_RUN")+COUNTIF('BugResults'!$P$1646:$P$1683,"BUGGY_NOT_RUN")</x:f>
        <x:v>0</x:v>
      </x:c>
      <x:c r="F199" s="33" t="n">
        <x:f>IF('Verdicts'!E249=0,"—",E199/'Verdicts'!E249)</x:f>
        <x:v>0</x:v>
      </x:c>
      <x:c r="G199" s="17" t="n">
        <x:f>'Verdicts'!E249</x:f>
        <x:v>15</x:v>
      </x:c>
      <x:c r="H199" s="17" t="n">
        <x:f>SUM(E199:E202)-G199</x:f>
        <x:v>0</x:v>
      </x:c>
    </x:row>
    <x:row r="200" ht="23" customHeight="1">
      <x:c r="B200" s="17" t="str">
        <x:v>Mockito</x:v>
      </x:c>
      <x:c r="C200" s="17" t="str">
        <x:v>All rounds</x:v>
      </x:c>
      <x:c r="D200" s="17" t="str">
        <x:v>FIXED_NOT_RUN</x:v>
      </x:c>
      <x:c r="E200" s="17" t="n">
        <x:f>COUNTIF('BugResults'!$P$792:$P$829,"FIXED_NOT_RUN")+COUNTIF('BugResults'!$P$1646:$P$1683,"FIXED_NOT_RUN")</x:f>
        <x:v>2</x:v>
      </x:c>
      <x:c r="F200" s="33" t="n">
        <x:f>IF('Verdicts'!E249=0,"—",E200/'Verdicts'!E249)</x:f>
        <x:v>0.13333333333333333</x:v>
      </x:c>
      <x:c r="G200" s="17" t="n">
        <x:f>'Verdicts'!E249</x:f>
        <x:v>15</x:v>
      </x:c>
      <x:c r="H200" s="17"/>
    </x:row>
    <x:row r="201" ht="23" customHeight="1">
      <x:c r="B201" s="17" t="str">
        <x:v>Mockito</x:v>
      </x:c>
      <x:c r="C201" s="17" t="str">
        <x:v>All rounds</x:v>
      </x:c>
      <x:c r="D201" s="17" t="str">
        <x:v>BOTH_NOT_RUN</x:v>
      </x:c>
      <x:c r="E201" s="17" t="n">
        <x:f>COUNTIF('BugResults'!$P$792:$P$829,"BOTH_NOT_RUN")+COUNTIF('BugResults'!$P$1646:$P$1683,"BOTH_NOT_RUN")</x:f>
        <x:v>13</x:v>
      </x:c>
      <x:c r="F201" s="33" t="n">
        <x:f>IF('Verdicts'!E249=0,"—",E201/'Verdicts'!E249)</x:f>
        <x:v>0.8666666666666667</x:v>
      </x:c>
      <x:c r="G201" s="17" t="n">
        <x:f>'Verdicts'!E249</x:f>
        <x:v>15</x:v>
      </x:c>
      <x:c r="H201" s="17"/>
    </x:row>
    <x:row r="202" ht="23" customHeight="1">
      <x:c r="B202" s="17" t="str">
        <x:v>Mockito</x:v>
      </x:c>
      <x:c r="C202" s="17" t="str">
        <x:v>All rounds</x:v>
      </x:c>
      <x:c r="D202" s="17" t="str">
        <x:v>COVERAGE_UNAVAILABLE</x:v>
      </x:c>
      <x:c r="E202" s="17" t="n">
        <x:f>COUNTIF('BugResults'!$P$792:$P$829,"COVERAGE_UNAVAILABLE")+COUNTIF('BugResults'!$P$1646:$P$1683,"COVERAGE_UNAVAILABLE")</x:f>
        <x:v>0</x:v>
      </x:c>
      <x:c r="F202" s="33" t="n">
        <x:f>IF('Verdicts'!E249=0,"—",E202/'Verdicts'!E249)</x:f>
        <x:v>0</x:v>
      </x:c>
      <x:c r="G202" s="17" t="n">
        <x:f>'Verdicts'!E249</x:f>
        <x:v>15</x:v>
      </x:c>
      <x:c r="H202" s="17"/>
    </x:row>
    <x:row r="203" ht="23" customHeight="1">
      <x:c r="B203" s="17" t="str">
        <x:v>Mockito</x:v>
      </x:c>
      <x:c r="C203" s="17" t="str">
        <x:v>Round1</x:v>
      </x:c>
      <x:c r="D203" s="17" t="str">
        <x:v>BUGGY_NOT_RUN</x:v>
      </x:c>
      <x:c r="E203" s="17" t="n">
        <x:f>COUNTIF('BugResults'!$P$792:$P$829,"BUGGY_NOT_RUN")</x:f>
        <x:v>0</x:v>
      </x:c>
      <x:c r="F203" s="33" t="n">
        <x:f>IF('Verdicts'!E254=0,"—",E203/'Verdicts'!E254)</x:f>
        <x:v>0</x:v>
      </x:c>
      <x:c r="G203" s="17" t="n">
        <x:f>'Verdicts'!E254</x:f>
        <x:v>13</x:v>
      </x:c>
      <x:c r="H203" s="17" t="n">
        <x:f>SUM(E203:E206)-G203</x:f>
        <x:v>0</x:v>
      </x:c>
    </x:row>
    <x:row r="204" ht="23" customHeight="1">
      <x:c r="B204" s="17" t="str">
        <x:v>Mockito</x:v>
      </x:c>
      <x:c r="C204" s="17" t="str">
        <x:v>Round1</x:v>
      </x:c>
      <x:c r="D204" s="17" t="str">
        <x:v>FIXED_NOT_RUN</x:v>
      </x:c>
      <x:c r="E204" s="17" t="n">
        <x:f>COUNTIF('BugResults'!$P$792:$P$829,"FIXED_NOT_RUN")</x:f>
        <x:v>1</x:v>
      </x:c>
      <x:c r="F204" s="33" t="n">
        <x:f>IF('Verdicts'!E254=0,"—",E204/'Verdicts'!E254)</x:f>
        <x:v>0.07692307692307693</x:v>
      </x:c>
      <x:c r="G204" s="17" t="n">
        <x:f>'Verdicts'!E254</x:f>
        <x:v>13</x:v>
      </x:c>
      <x:c r="H204" s="17"/>
    </x:row>
    <x:row r="205" ht="23" customHeight="1">
      <x:c r="B205" s="17" t="str">
        <x:v>Mockito</x:v>
      </x:c>
      <x:c r="C205" s="17" t="str">
        <x:v>Round1</x:v>
      </x:c>
      <x:c r="D205" s="17" t="str">
        <x:v>BOTH_NOT_RUN</x:v>
      </x:c>
      <x:c r="E205" s="17" t="n">
        <x:f>COUNTIF('BugResults'!$P$792:$P$829,"BOTH_NOT_RUN")</x:f>
        <x:v>12</x:v>
      </x:c>
      <x:c r="F205" s="33" t="n">
        <x:f>IF('Verdicts'!E254=0,"—",E205/'Verdicts'!E254)</x:f>
        <x:v>0.9230769230769231</x:v>
      </x:c>
      <x:c r="G205" s="17" t="n">
        <x:f>'Verdicts'!E254</x:f>
        <x:v>13</x:v>
      </x:c>
      <x:c r="H205" s="17"/>
    </x:row>
    <x:row r="206" ht="23" customHeight="1">
      <x:c r="B206" s="17" t="str">
        <x:v>Mockito</x:v>
      </x:c>
      <x:c r="C206" s="17" t="str">
        <x:v>Round1</x:v>
      </x:c>
      <x:c r="D206" s="17" t="str">
        <x:v>COVERAGE_UNAVAILABLE</x:v>
      </x:c>
      <x:c r="E206" s="17" t="n">
        <x:f>COUNTIF('BugResults'!$P$792:$P$829,"COVERAGE_UNAVAILABLE")</x:f>
        <x:v>0</x:v>
      </x:c>
      <x:c r="F206" s="33" t="n">
        <x:f>IF('Verdicts'!E254=0,"—",E206/'Verdicts'!E254)</x:f>
        <x:v>0</x:v>
      </x:c>
      <x:c r="G206" s="17" t="n">
        <x:f>'Verdicts'!E254</x:f>
        <x:v>13</x:v>
      </x:c>
      <x:c r="H206" s="17"/>
    </x:row>
    <x:row r="207" ht="23" customHeight="1">
      <x:c r="B207" s="17" t="str">
        <x:v>Mockito</x:v>
      </x:c>
      <x:c r="C207" s="17" t="str">
        <x:v>Round2</x:v>
      </x:c>
      <x:c r="D207" s="17" t="str">
        <x:v>BUGGY_NOT_RUN</x:v>
      </x:c>
      <x:c r="E207" s="17" t="n">
        <x:f>COUNTIF('BugResults'!$P$1646:$P$1683,"BUGGY_NOT_RUN")</x:f>
        <x:v>0</x:v>
      </x:c>
      <x:c r="F207" s="33" t="n">
        <x:f>IF('Verdicts'!E259=0,"—",E207/'Verdicts'!E259)</x:f>
        <x:v>0</x:v>
      </x:c>
      <x:c r="G207" s="17" t="n">
        <x:f>'Verdicts'!E259</x:f>
        <x:v>2</x:v>
      </x:c>
      <x:c r="H207" s="17" t="n">
        <x:f>SUM(E207:E210)-G207</x:f>
        <x:v>0</x:v>
      </x:c>
    </x:row>
    <x:row r="208" ht="23" customHeight="1">
      <x:c r="B208" s="17" t="str">
        <x:v>Mockito</x:v>
      </x:c>
      <x:c r="C208" s="17" t="str">
        <x:v>Round2</x:v>
      </x:c>
      <x:c r="D208" s="17" t="str">
        <x:v>FIXED_NOT_RUN</x:v>
      </x:c>
      <x:c r="E208" s="17" t="n">
        <x:f>COUNTIF('BugResults'!$P$1646:$P$1683,"FIXED_NOT_RUN")</x:f>
        <x:v>1</x:v>
      </x:c>
      <x:c r="F208" s="33" t="n">
        <x:f>IF('Verdicts'!E259=0,"—",E208/'Verdicts'!E259)</x:f>
        <x:v>0.5</x:v>
      </x:c>
      <x:c r="G208" s="17" t="n">
        <x:f>'Verdicts'!E259</x:f>
        <x:v>2</x:v>
      </x:c>
      <x:c r="H208" s="17"/>
    </x:row>
    <x:row r="209" ht="23" customHeight="1">
      <x:c r="B209" s="17" t="str">
        <x:v>Mockito</x:v>
      </x:c>
      <x:c r="C209" s="17" t="str">
        <x:v>Round2</x:v>
      </x:c>
      <x:c r="D209" s="17" t="str">
        <x:v>BOTH_NOT_RUN</x:v>
      </x:c>
      <x:c r="E209" s="17" t="n">
        <x:f>COUNTIF('BugResults'!$P$1646:$P$1683,"BOTH_NOT_RUN")</x:f>
        <x:v>1</x:v>
      </x:c>
      <x:c r="F209" s="33" t="n">
        <x:f>IF('Verdicts'!E259=0,"—",E209/'Verdicts'!E259)</x:f>
        <x:v>0.5</x:v>
      </x:c>
      <x:c r="G209" s="17" t="n">
        <x:f>'Verdicts'!E259</x:f>
        <x:v>2</x:v>
      </x:c>
      <x:c r="H209" s="17"/>
    </x:row>
    <x:row r="210" ht="23" customHeight="1">
      <x:c r="B210" s="17" t="str">
        <x:v>Mockito</x:v>
      </x:c>
      <x:c r="C210" s="17" t="str">
        <x:v>Round2</x:v>
      </x:c>
      <x:c r="D210" s="17" t="str">
        <x:v>COVERAGE_UNAVAILABLE</x:v>
      </x:c>
      <x:c r="E210" s="17" t="n">
        <x:f>COUNTIF('BugResults'!$P$1646:$P$1683,"COVERAGE_UNAVAILABLE")</x:f>
        <x:v>0</x:v>
      </x:c>
      <x:c r="F210" s="33" t="n">
        <x:f>IF('Verdicts'!E259=0,"—",E210/'Verdicts'!E259)</x:f>
        <x:v>0</x:v>
      </x:c>
      <x:c r="G210" s="17" t="n">
        <x:f>'Verdicts'!E259</x:f>
        <x:v>2</x:v>
      </x:c>
      <x:c r="H210" s="17"/>
    </x:row>
    <x:row r="211" ht="23" customHeight="1">
      <x:c r="B211" s="17" t="str">
        <x:v>Time</x:v>
      </x:c>
      <x:c r="C211" s="17" t="str">
        <x:v>All rounds</x:v>
      </x:c>
      <x:c r="D211" s="17" t="str">
        <x:v>BUGGY_NOT_RUN</x:v>
      </x:c>
      <x:c r="E211" s="17" t="n">
        <x:f>COUNTIF('BugResults'!$P$830:$P$855,"BUGGY_NOT_RUN")+COUNTIF('BugResults'!$P$1684:$P$1709,"BUGGY_NOT_RUN")</x:f>
        <x:v>0</x:v>
      </x:c>
      <x:c r="F211" s="33" t="str">
        <x:f>IF('Verdicts'!E264=0,"—",E211/'Verdicts'!E264)</x:f>
        <x:v>—</x:v>
      </x:c>
      <x:c r="G211" s="17" t="n">
        <x:f>'Verdicts'!E264</x:f>
        <x:v>0</x:v>
      </x:c>
      <x:c r="H211" s="17" t="n">
        <x:f>SUM(E211:E214)-G211</x:f>
        <x:v>0</x:v>
      </x:c>
    </x:row>
    <x:row r="212" ht="23" customHeight="1">
      <x:c r="B212" s="17" t="str">
        <x:v>Time</x:v>
      </x:c>
      <x:c r="C212" s="17" t="str">
        <x:v>All rounds</x:v>
      </x:c>
      <x:c r="D212" s="17" t="str">
        <x:v>FIXED_NOT_RUN</x:v>
      </x:c>
      <x:c r="E212" s="17" t="n">
        <x:f>COUNTIF('BugResults'!$P$830:$P$855,"FIXED_NOT_RUN")+COUNTIF('BugResults'!$P$1684:$P$1709,"FIXED_NOT_RUN")</x:f>
        <x:v>0</x:v>
      </x:c>
      <x:c r="F212" s="33" t="str">
        <x:f>IF('Verdicts'!E264=0,"—",E212/'Verdicts'!E264)</x:f>
        <x:v>—</x:v>
      </x:c>
      <x:c r="G212" s="17" t="n">
        <x:f>'Verdicts'!E264</x:f>
        <x:v>0</x:v>
      </x:c>
      <x:c r="H212" s="17"/>
    </x:row>
    <x:row r="213" ht="23" customHeight="1">
      <x:c r="B213" s="17" t="str">
        <x:v>Time</x:v>
      </x:c>
      <x:c r="C213" s="17" t="str">
        <x:v>All rounds</x:v>
      </x:c>
      <x:c r="D213" s="17" t="str">
        <x:v>BOTH_NOT_RUN</x:v>
      </x:c>
      <x:c r="E213" s="17" t="n">
        <x:f>COUNTIF('BugResults'!$P$830:$P$855,"BOTH_NOT_RUN")+COUNTIF('BugResults'!$P$1684:$P$1709,"BOTH_NOT_RUN")</x:f>
        <x:v>0</x:v>
      </x:c>
      <x:c r="F213" s="33" t="str">
        <x:f>IF('Verdicts'!E264=0,"—",E213/'Verdicts'!E264)</x:f>
        <x:v>—</x:v>
      </x:c>
      <x:c r="G213" s="17" t="n">
        <x:f>'Verdicts'!E264</x:f>
        <x:v>0</x:v>
      </x:c>
      <x:c r="H213" s="17"/>
    </x:row>
    <x:row r="214" ht="23" customHeight="1">
      <x:c r="B214" s="17" t="str">
        <x:v>Time</x:v>
      </x:c>
      <x:c r="C214" s="17" t="str">
        <x:v>All rounds</x:v>
      </x:c>
      <x:c r="D214" s="17" t="str">
        <x:v>COVERAGE_UNAVAILABLE</x:v>
      </x:c>
      <x:c r="E214" s="17" t="n">
        <x:f>COUNTIF('BugResults'!$P$830:$P$855,"COVERAGE_UNAVAILABLE")+COUNTIF('BugResults'!$P$1684:$P$1709,"COVERAGE_UNAVAILABLE")</x:f>
        <x:v>0</x:v>
      </x:c>
      <x:c r="F214" s="33" t="str">
        <x:f>IF('Verdicts'!E264=0,"—",E214/'Verdicts'!E264)</x:f>
        <x:v>—</x:v>
      </x:c>
      <x:c r="G214" s="17" t="n">
        <x:f>'Verdicts'!E264</x:f>
        <x:v>0</x:v>
      </x:c>
      <x:c r="H214" s="17"/>
    </x:row>
    <x:row r="215" ht="23" customHeight="1">
      <x:c r="B215" s="17" t="str">
        <x:v>Time</x:v>
      </x:c>
      <x:c r="C215" s="17" t="str">
        <x:v>Round1</x:v>
      </x:c>
      <x:c r="D215" s="17" t="str">
        <x:v>BUGGY_NOT_RUN</x:v>
      </x:c>
      <x:c r="E215" s="17" t="n">
        <x:f>COUNTIF('BugResults'!$P$830:$P$855,"BUGGY_NOT_RUN")</x:f>
        <x:v>0</x:v>
      </x:c>
      <x:c r="F215" s="33" t="str">
        <x:f>IF('Verdicts'!E269=0,"—",E215/'Verdicts'!E269)</x:f>
        <x:v>—</x:v>
      </x:c>
      <x:c r="G215" s="17" t="n">
        <x:f>'Verdicts'!E269</x:f>
        <x:v>0</x:v>
      </x:c>
      <x:c r="H215" s="17" t="n">
        <x:f>SUM(E215:E218)-G215</x:f>
        <x:v>0</x:v>
      </x:c>
    </x:row>
    <x:row r="216" ht="23" customHeight="1">
      <x:c r="B216" s="17" t="str">
        <x:v>Time</x:v>
      </x:c>
      <x:c r="C216" s="17" t="str">
        <x:v>Round1</x:v>
      </x:c>
      <x:c r="D216" s="17" t="str">
        <x:v>FIXED_NOT_RUN</x:v>
      </x:c>
      <x:c r="E216" s="17" t="n">
        <x:f>COUNTIF('BugResults'!$P$830:$P$855,"FIXED_NOT_RUN")</x:f>
        <x:v>0</x:v>
      </x:c>
      <x:c r="F216" s="33" t="str">
        <x:f>IF('Verdicts'!E269=0,"—",E216/'Verdicts'!E269)</x:f>
        <x:v>—</x:v>
      </x:c>
      <x:c r="G216" s="17" t="n">
        <x:f>'Verdicts'!E269</x:f>
        <x:v>0</x:v>
      </x:c>
      <x:c r="H216" s="17"/>
    </x:row>
    <x:row r="217" ht="23" customHeight="1">
      <x:c r="B217" s="17" t="str">
        <x:v>Time</x:v>
      </x:c>
      <x:c r="C217" s="17" t="str">
        <x:v>Round1</x:v>
      </x:c>
      <x:c r="D217" s="17" t="str">
        <x:v>BOTH_NOT_RUN</x:v>
      </x:c>
      <x:c r="E217" s="17" t="n">
        <x:f>COUNTIF('BugResults'!$P$830:$P$855,"BOTH_NOT_RUN")</x:f>
        <x:v>0</x:v>
      </x:c>
      <x:c r="F217" s="33" t="str">
        <x:f>IF('Verdicts'!E269=0,"—",E217/'Verdicts'!E269)</x:f>
        <x:v>—</x:v>
      </x:c>
      <x:c r="G217" s="17" t="n">
        <x:f>'Verdicts'!E269</x:f>
        <x:v>0</x:v>
      </x:c>
      <x:c r="H217" s="17"/>
    </x:row>
    <x:row r="218" ht="23" customHeight="1">
      <x:c r="B218" s="17" t="str">
        <x:v>Time</x:v>
      </x:c>
      <x:c r="C218" s="17" t="str">
        <x:v>Round1</x:v>
      </x:c>
      <x:c r="D218" s="17" t="str">
        <x:v>COVERAGE_UNAVAILABLE</x:v>
      </x:c>
      <x:c r="E218" s="17" t="n">
        <x:f>COUNTIF('BugResults'!$P$830:$P$855,"COVERAGE_UNAVAILABLE")</x:f>
        <x:v>0</x:v>
      </x:c>
      <x:c r="F218" s="33" t="str">
        <x:f>IF('Verdicts'!E269=0,"—",E218/'Verdicts'!E269)</x:f>
        <x:v>—</x:v>
      </x:c>
      <x:c r="G218" s="17" t="n">
        <x:f>'Verdicts'!E269</x:f>
        <x:v>0</x:v>
      </x:c>
      <x:c r="H218" s="17"/>
    </x:row>
    <x:row r="219" ht="23" customHeight="1">
      <x:c r="B219" s="17" t="str">
        <x:v>Time</x:v>
      </x:c>
      <x:c r="C219" s="17" t="str">
        <x:v>Round2</x:v>
      </x:c>
      <x:c r="D219" s="17" t="str">
        <x:v>BUGGY_NOT_RUN</x:v>
      </x:c>
      <x:c r="E219" s="17" t="n">
        <x:f>COUNTIF('BugResults'!$P$1684:$P$1709,"BUGGY_NOT_RUN")</x:f>
        <x:v>0</x:v>
      </x:c>
      <x:c r="F219" s="33" t="str">
        <x:f>IF('Verdicts'!E274=0,"—",E219/'Verdicts'!E274)</x:f>
        <x:v>—</x:v>
      </x:c>
      <x:c r="G219" s="17" t="n">
        <x:f>'Verdicts'!E274</x:f>
        <x:v>0</x:v>
      </x:c>
      <x:c r="H219" s="17" t="n">
        <x:f>SUM(E219:E222)-G219</x:f>
        <x:v>0</x:v>
      </x:c>
    </x:row>
    <x:row r="220" ht="23" customHeight="1">
      <x:c r="B220" s="17" t="str">
        <x:v>Time</x:v>
      </x:c>
      <x:c r="C220" s="17" t="str">
        <x:v>Round2</x:v>
      </x:c>
      <x:c r="D220" s="17" t="str">
        <x:v>FIXED_NOT_RUN</x:v>
      </x:c>
      <x:c r="E220" s="17" t="n">
        <x:f>COUNTIF('BugResults'!$P$1684:$P$1709,"FIXED_NOT_RUN")</x:f>
        <x:v>0</x:v>
      </x:c>
      <x:c r="F220" s="33" t="str">
        <x:f>IF('Verdicts'!E274=0,"—",E220/'Verdicts'!E274)</x:f>
        <x:v>—</x:v>
      </x:c>
      <x:c r="G220" s="17" t="n">
        <x:f>'Verdicts'!E274</x:f>
        <x:v>0</x:v>
      </x:c>
      <x:c r="H220" s="17"/>
    </x:row>
    <x:row r="221" ht="23" customHeight="1">
      <x:c r="B221" s="17" t="str">
        <x:v>Time</x:v>
      </x:c>
      <x:c r="C221" s="17" t="str">
        <x:v>Round2</x:v>
      </x:c>
      <x:c r="D221" s="17" t="str">
        <x:v>BOTH_NOT_RUN</x:v>
      </x:c>
      <x:c r="E221" s="17" t="n">
        <x:f>COUNTIF('BugResults'!$P$1684:$P$1709,"BOTH_NOT_RUN")</x:f>
        <x:v>0</x:v>
      </x:c>
      <x:c r="F221" s="33" t="str">
        <x:f>IF('Verdicts'!E274=0,"—",E221/'Verdicts'!E274)</x:f>
        <x:v>—</x:v>
      </x:c>
      <x:c r="G221" s="17" t="n">
        <x:f>'Verdicts'!E274</x:f>
        <x:v>0</x:v>
      </x:c>
      <x:c r="H221" s="17"/>
    </x:row>
    <x:row r="222" ht="23" customHeight="1">
      <x:c r="B222" s="17" t="str">
        <x:v>Time</x:v>
      </x:c>
      <x:c r="C222" s="17" t="str">
        <x:v>Round2</x:v>
      </x:c>
      <x:c r="D222" s="17" t="str">
        <x:v>COVERAGE_UNAVAILABLE</x:v>
      </x:c>
      <x:c r="E222" s="17" t="n">
        <x:f>COUNTIF('BugResults'!$P$1684:$P$1709,"COVERAGE_UNAVAILABLE")</x:f>
        <x:v>0</x:v>
      </x:c>
      <x:c r="F222" s="33" t="str">
        <x:f>IF('Verdicts'!E274=0,"—",E222/'Verdicts'!E274)</x:f>
        <x:v>—</x:v>
      </x:c>
      <x:c r="G222" s="17" t="n">
        <x:f>'Verdicts'!E274</x:f>
        <x:v>0</x:v>
      </x:c>
      <x:c r="H222" s="17"/>
    </x:row>
  </x:sheetData>
  <x:mergeCells>
    <x:mergeCell ref="B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</x:cols>
  <x:sheetData>
    <x:row r="2">
      <x:c r="B2" s="29" t="str">
        <x:v>Coverage by project and round</x:v>
      </x:c>
    </x:row>
    <x:row r="3">
      <x:c r="B3" t="str">
        <x:v>A = failed measurement (0%). B = successful zero-total metric (N/A), excluded from both averages.</x:v>
      </x:c>
    </x:row>
    <x:row r="4" ht="32" customHeight="1">
      <x:c r="B4" s="31" t="str">
        <x:v>Buggy coverage is retained when fixed or paired validation is unavailable. Latest FAIL excludes stale values. Runnable = (total − A) / total.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Project</x:v>
      </x:c>
      <x:c r="C6" s="20" t="str">
        <x:v>Round</x:v>
      </x:c>
      <x:c r="D6" s="20" t="str">
        <x:v>Metric</x:v>
      </x:c>
      <x:c r="E6" s="20" t="str">
        <x:v>Total</x:v>
      </x:c>
      <x:c r="F6" s="20" t="str">
        <x:v>Numeric</x:v>
      </x:c>
      <x:c r="G6" s="20" t="str">
        <x:v>A: failure</x:v>
      </x:c>
      <x:c r="H6" s="20" t="str">
        <x:v>B: N/A</x:v>
      </x:c>
      <x:c r="I6" s="20" t="str">
        <x:v>Unresolved</x:v>
      </x:c>
      <x:c r="J6" s="20" t="str">
        <x:v>Recorded only</x:v>
      </x:c>
      <x:c r="K6" s="20" t="str">
        <x:v>All applicable</x:v>
      </x:c>
      <x:c r="L6" s="20" t="str">
        <x:v>Runnable</x:v>
      </x:c>
      <x:c r="M6" s="20" t="str">
        <x:v>n all (total − B)</x:v>
      </x:c>
    </x:row>
    <x:row r="7" ht="23" customHeight="1">
      <x:c r="B7" s="17" t="str">
        <x:v>All projects</x:v>
      </x:c>
      <x:c r="C7" s="17" t="str">
        <x:v>All rounds</x:v>
      </x:c>
      <x:c r="D7" s="17" t="str">
        <x:v>Coverage</x:v>
      </x:c>
      <x:c r="E7" s="39" t="n">
        <x:f>COUNTA('CoverageCases'!$D$2:$D$1709)</x:f>
        <x:v>1708</x:v>
      </x:c>
      <x:c r="F7" s="39" t="n">
        <x:f>COUNT('CoverageCases'!$O$2:$O$1709)</x:f>
        <x:v>1652</x:v>
      </x:c>
      <x:c r="G7" s="39" t="n">
        <x:f>COUNTIF('CoverageCases'!$G$2:$G$1709,"A")</x:f>
        <x:v>56</x:v>
      </x:c>
      <x:c r="H7" s="39" t="n">
        <x:f>COUNTIF('CoverageCases'!$G$2:$G$1709,"B")</x:f>
        <x:v>0</x:v>
      </x:c>
      <x:c r="I7" s="39" t="n">
        <x:f>COUNTIF('CoverageCases'!$G$2:$G$1709,"UNRESOLVED")</x:f>
        <x:v>0</x:v>
      </x:c>
      <x:c r="J7" s="32" t="n">
        <x:f>IF(F7=0,"—",(SUM('CoverageCases'!$O$2:$O$1709))/F7/100)</x:f>
        <x:v>0.31514497578692485</x:v>
      </x:c>
      <x:c r="K7" s="32" t="n">
        <x:f>IF(I7&gt;0,"Pending",IF(E7-H7=0,"—",(SUM('CoverageCases'!$O$2:$O$1709))/(E7-H7)/100))</x:f>
        <x:v>0.3048123536299765</x:v>
      </x:c>
      <x:c r="L7" s="32" t="n">
        <x:f>IF(I7&gt;0,"Pending",IF(E7=0,"—",(E7-G7)/E7))</x:f>
        <x:v>0.9672131147540983</x:v>
      </x:c>
      <x:c r="M7" s="39" t="n">
        <x:f>IF(I7&gt;0,"Pending",E7-H7)</x:f>
        <x:v>1708</x:v>
      </x:c>
    </x:row>
    <x:row r="8" ht="23" customHeight="1">
      <x:c r="B8" s="17" t="str">
        <x:v>All projects</x:v>
      </x:c>
      <x:c r="C8" s="17" t="str">
        <x:v>All rounds</x:v>
      </x:c>
      <x:c r="D8" s="17" t="str">
        <x:v>Line</x:v>
      </x:c>
      <x:c r="E8" s="39" t="n">
        <x:f>COUNTA('CoverageCases'!$D$1710:$D$3417)</x:f>
        <x:v>1708</x:v>
      </x:c>
      <x:c r="F8" s="39" t="n">
        <x:f>COUNT('CoverageCases'!$O$1710:$O$3417)</x:f>
        <x:v>1652</x:v>
      </x:c>
      <x:c r="G8" s="39" t="n">
        <x:f>COUNTIF('CoverageCases'!$G$1710:$G$3417,"A")</x:f>
        <x:v>56</x:v>
      </x:c>
      <x:c r="H8" s="39" t="n">
        <x:f>COUNTIF('CoverageCases'!$G$1710:$G$3417,"B")</x:f>
        <x:v>0</x:v>
      </x:c>
      <x:c r="I8" s="39" t="n">
        <x:f>COUNTIF('CoverageCases'!$G$1710:$G$3417,"UNRESOLVED")</x:f>
        <x:v>0</x:v>
      </x:c>
      <x:c r="J8" s="32" t="n">
        <x:f>IF(F8=0,"—",(SUM('CoverageCases'!$O$1710:$O$3417))/F8/100)</x:f>
        <x:v>0.34924243341404365</x:v>
      </x:c>
      <x:c r="K8" s="32" t="n">
        <x:f>IF(I8&gt;0,"Pending",IF(E8-H8=0,"—",(SUM('CoverageCases'!$O$1710:$O$3417))/(E8-H8)/100))</x:f>
        <x:v>0.33779186182669796</x:v>
      </x:c>
      <x:c r="L8" s="32" t="n">
        <x:f>IF(I8&gt;0,"Pending",IF(E8=0,"—",(E8-G8)/E8))</x:f>
        <x:v>0.9672131147540983</x:v>
      </x:c>
      <x:c r="M8" s="39" t="n">
        <x:f>IF(I8&gt;0,"Pending",E8-H8)</x:f>
        <x:v>1708</x:v>
      </x:c>
    </x:row>
    <x:row r="9" ht="23" customHeight="1">
      <x:c r="B9" s="17" t="str">
        <x:v>All projects</x:v>
      </x:c>
      <x:c r="C9" s="17" t="str">
        <x:v>All rounds</x:v>
      </x:c>
      <x:c r="D9" s="17" t="str">
        <x:v>Condition</x:v>
      </x:c>
      <x:c r="E9" s="39" t="n">
        <x:f>COUNTA('CoverageCases'!$D$3418:$D$5125)</x:f>
        <x:v>1708</x:v>
      </x:c>
      <x:c r="F9" s="39" t="n">
        <x:f>COUNT('CoverageCases'!$O$3418:$O$5125)</x:f>
        <x:v>1646</x:v>
      </x:c>
      <x:c r="G9" s="39" t="n">
        <x:f>COUNTIF('CoverageCases'!$G$3418:$G$5125,"A")</x:f>
        <x:v>56</x:v>
      </x:c>
      <x:c r="H9" s="39" t="n">
        <x:f>COUNTIF('CoverageCases'!$G$3418:$G$5125,"B")</x:f>
        <x:v>6</x:v>
      </x:c>
      <x:c r="I9" s="39" t="n">
        <x:f>COUNTIF('CoverageCases'!$G$3418:$G$5125,"UNRESOLVED")</x:f>
        <x:v>0</x:v>
      </x:c>
      <x:c r="J9" s="32" t="n">
        <x:f>IF(F9=0,"—",(SUM('CoverageCases'!$O$3418:$O$5125))/F9/100)</x:f>
        <x:v>0.2490974483596599</x:v>
      </x:c>
      <x:c r="K9" s="32" t="n">
        <x:f>IF(I9&gt;0,"Pending",IF(E9-H9=0,"—",(SUM('CoverageCases'!$O$3418:$O$5125))/(E9-H9)/100))</x:f>
        <x:v>0.24090152761457123</x:v>
      </x:c>
      <x:c r="L9" s="32" t="n">
        <x:f>IF(I9&gt;0,"Pending",IF(E9=0,"—",(E9-G9)/E9))</x:f>
        <x:v>0.9672131147540983</x:v>
      </x:c>
      <x:c r="M9" s="39" t="n">
        <x:f>IF(I9&gt;0,"Pending",E9-H9)</x:f>
        <x:v>1702</x:v>
      </x:c>
    </x:row>
    <x:row r="10" ht="23" customHeight="1">
      <x:c r="B10" s="17" t="str">
        <x:v>All projects</x:v>
      </x:c>
      <x:c r="C10" s="17" t="str">
        <x:v>Round1</x:v>
      </x:c>
      <x:c r="D10" s="17" t="str">
        <x:v>Coverage</x:v>
      </x:c>
      <x:c r="E10" s="39" t="n">
        <x:f>COUNTA('CoverageCases'!$D$2:$D$855)</x:f>
        <x:v>854</x:v>
      </x:c>
      <x:c r="F10" s="39" t="n">
        <x:f>COUNT('CoverageCases'!$O$2:$O$855)</x:f>
        <x:v>832</x:v>
      </x:c>
      <x:c r="G10" s="39" t="n">
        <x:f>COUNTIF('CoverageCases'!$G$2:$G$855,"A")</x:f>
        <x:v>22</x:v>
      </x:c>
      <x:c r="H10" s="39" t="n">
        <x:f>COUNTIF('CoverageCases'!$G$2:$G$855,"B")</x:f>
        <x:v>0</x:v>
      </x:c>
      <x:c r="I10" s="39" t="n">
        <x:f>COUNTIF('CoverageCases'!$G$2:$G$855,"UNRESOLVED")</x:f>
        <x:v>0</x:v>
      </x:c>
      <x:c r="J10" s="32" t="n">
        <x:f>IF(F10=0,"—",(SUM('CoverageCases'!$O$2:$O$855))/F10/100)</x:f>
        <x:v>0.2989756009615384</x:v>
      </x:c>
      <x:c r="K10" s="32" t="n">
        <x:f>IF(I10&gt;0,"Pending",IF(E10-H10=0,"—",(SUM('CoverageCases'!$O$2:$O$855))/(E10-H10)/100))</x:f>
        <x:v>0.2912736533957845</x:v>
      </x:c>
      <x:c r="L10" s="32" t="n">
        <x:f>IF(I10&gt;0,"Pending",IF(E10=0,"—",(E10-G10)/E10))</x:f>
        <x:v>0.9742388758782201</x:v>
      </x:c>
      <x:c r="M10" s="39" t="n">
        <x:f>IF(I10&gt;0,"Pending",E10-H10)</x:f>
        <x:v>854</x:v>
      </x:c>
    </x:row>
    <x:row r="11" ht="23" customHeight="1">
      <x:c r="B11" s="17" t="str">
        <x:v>All projects</x:v>
      </x:c>
      <x:c r="C11" s="17" t="str">
        <x:v>Round1</x:v>
      </x:c>
      <x:c r="D11" s="17" t="str">
        <x:v>Line</x:v>
      </x:c>
      <x:c r="E11" s="39" t="n">
        <x:f>COUNTA('CoverageCases'!$D$1710:$D$2563)</x:f>
        <x:v>854</x:v>
      </x:c>
      <x:c r="F11" s="39" t="n">
        <x:f>COUNT('CoverageCases'!$O$1710:$O$2563)</x:f>
        <x:v>832</x:v>
      </x:c>
      <x:c r="G11" s="39" t="n">
        <x:f>COUNTIF('CoverageCases'!$G$1710:$G$2563,"A")</x:f>
        <x:v>22</x:v>
      </x:c>
      <x:c r="H11" s="39" t="n">
        <x:f>COUNTIF('CoverageCases'!$G$1710:$G$2563,"B")</x:f>
        <x:v>0</x:v>
      </x:c>
      <x:c r="I11" s="39" t="n">
        <x:f>COUNTIF('CoverageCases'!$G$1710:$G$2563,"UNRESOLVED")</x:f>
        <x:v>0</x:v>
      </x:c>
      <x:c r="J11" s="32" t="n">
        <x:f>IF(F11=0,"—",(SUM('CoverageCases'!$O$1710:$O$2563))/F11/100)</x:f>
        <x:v>0.33371694711538497</x:v>
      </x:c>
      <x:c r="K11" s="32" t="n">
        <x:f>IF(I11&gt;0,"Pending",IF(E11-H11=0,"—",(SUM('CoverageCases'!$O$1710:$O$2563))/(E11-H11)/100))</x:f>
        <x:v>0.3251200234192041</x:v>
      </x:c>
      <x:c r="L11" s="32" t="n">
        <x:f>IF(I11&gt;0,"Pending",IF(E11=0,"—",(E11-G11)/E11))</x:f>
        <x:v>0.9742388758782201</x:v>
      </x:c>
      <x:c r="M11" s="39" t="n">
        <x:f>IF(I11&gt;0,"Pending",E11-H11)</x:f>
        <x:v>854</x:v>
      </x:c>
    </x:row>
    <x:row r="12" ht="23" customHeight="1">
      <x:c r="B12" s="17" t="str">
        <x:v>All projects</x:v>
      </x:c>
      <x:c r="C12" s="17" t="str">
        <x:v>Round1</x:v>
      </x:c>
      <x:c r="D12" s="17" t="str">
        <x:v>Condition</x:v>
      </x:c>
      <x:c r="E12" s="39" t="n">
        <x:f>COUNTA('CoverageCases'!$D$3418:$D$4271)</x:f>
        <x:v>854</x:v>
      </x:c>
      <x:c r="F12" s="39" t="n">
        <x:f>COUNT('CoverageCases'!$O$3418:$O$4271)</x:f>
        <x:v>829</x:v>
      </x:c>
      <x:c r="G12" s="39" t="n">
        <x:f>COUNTIF('CoverageCases'!$G$3418:$G$4271,"A")</x:f>
        <x:v>22</x:v>
      </x:c>
      <x:c r="H12" s="39" t="n">
        <x:f>COUNTIF('CoverageCases'!$G$3418:$G$4271,"B")</x:f>
        <x:v>3</x:v>
      </x:c>
      <x:c r="I12" s="39" t="n">
        <x:f>COUNTIF('CoverageCases'!$G$3418:$G$4271,"UNRESOLVED")</x:f>
        <x:v>0</x:v>
      </x:c>
      <x:c r="J12" s="32" t="n">
        <x:f>IF(F12=0,"—",(SUM('CoverageCases'!$O$3418:$O$4271))/F12/100)</x:f>
        <x:v>0.23104185765983132</x:v>
      </x:c>
      <x:c r="K12" s="32" t="n">
        <x:f>IF(I12&gt;0,"Pending",IF(E12-H12=0,"—",(SUM('CoverageCases'!$O$3418:$O$4271))/(E12-H12)/100))</x:f>
        <x:v>0.2250689776733257</x:v>
      </x:c>
      <x:c r="L12" s="32" t="n">
        <x:f>IF(I12&gt;0,"Pending",IF(E12=0,"—",(E12-G12)/E12))</x:f>
        <x:v>0.9742388758782201</x:v>
      </x:c>
      <x:c r="M12" s="39" t="n">
        <x:f>IF(I12&gt;0,"Pending",E12-H12)</x:f>
        <x:v>851</x:v>
      </x:c>
    </x:row>
    <x:row r="13" ht="23" customHeight="1">
      <x:c r="B13" s="17" t="str">
        <x:v>All projects</x:v>
      </x:c>
      <x:c r="C13" s="17" t="str">
        <x:v>Round2</x:v>
      </x:c>
      <x:c r="D13" s="17" t="str">
        <x:v>Coverage</x:v>
      </x:c>
      <x:c r="E13" s="39" t="n">
        <x:f>COUNTA('CoverageCases'!$D$856:$D$1709)</x:f>
        <x:v>854</x:v>
      </x:c>
      <x:c r="F13" s="39" t="n">
        <x:f>COUNT('CoverageCases'!$O$856:$O$1709)</x:f>
        <x:v>820</x:v>
      </x:c>
      <x:c r="G13" s="39" t="n">
        <x:f>COUNTIF('CoverageCases'!$G$856:$G$1709,"A")</x:f>
        <x:v>34</x:v>
      </x:c>
      <x:c r="H13" s="39" t="n">
        <x:f>COUNTIF('CoverageCases'!$G$856:$G$1709,"B")</x:f>
        <x:v>0</x:v>
      </x:c>
      <x:c r="I13" s="39" t="n">
        <x:f>COUNTIF('CoverageCases'!$G$856:$G$1709,"UNRESOLVED")</x:f>
        <x:v>0</x:v>
      </x:c>
      <x:c r="J13" s="32" t="n">
        <x:f>IF(F13=0,"—",(SUM('CoverageCases'!$O$856:$O$1709))/F13/100)</x:f>
        <x:v>0.3315509756097563</x:v>
      </x:c>
      <x:c r="K13" s="32" t="n">
        <x:f>IF(I13&gt;0,"Pending",IF(E13-H13=0,"—",(SUM('CoverageCases'!$O$856:$O$1709))/(E13-H13)/100))</x:f>
        <x:v>0.31835105386416884</x:v>
      </x:c>
      <x:c r="L13" s="32" t="n">
        <x:f>IF(I13&gt;0,"Pending",IF(E13=0,"—",(E13-G13)/E13))</x:f>
        <x:v>0.9601873536299765</x:v>
      </x:c>
      <x:c r="M13" s="39" t="n">
        <x:f>IF(I13&gt;0,"Pending",E13-H13)</x:f>
        <x:v>854</x:v>
      </x:c>
    </x:row>
    <x:row r="14" ht="23" customHeight="1">
      <x:c r="B14" s="17" t="str">
        <x:v>All projects</x:v>
      </x:c>
      <x:c r="C14" s="17" t="str">
        <x:v>Round2</x:v>
      </x:c>
      <x:c r="D14" s="17" t="str">
        <x:v>Line</x:v>
      </x:c>
      <x:c r="E14" s="39" t="n">
        <x:f>COUNTA('CoverageCases'!$D$2564:$D$3417)</x:f>
        <x:v>854</x:v>
      </x:c>
      <x:c r="F14" s="39" t="n">
        <x:f>COUNT('CoverageCases'!$O$2564:$O$3417)</x:f>
        <x:v>820</x:v>
      </x:c>
      <x:c r="G14" s="39" t="n">
        <x:f>COUNTIF('CoverageCases'!$G$2564:$G$3417,"A")</x:f>
        <x:v>34</x:v>
      </x:c>
      <x:c r="H14" s="39" t="n">
        <x:f>COUNTIF('CoverageCases'!$G$2564:$G$3417,"B")</x:f>
        <x:v>0</x:v>
      </x:c>
      <x:c r="I14" s="39" t="n">
        <x:f>COUNTIF('CoverageCases'!$G$2564:$G$3417,"UNRESOLVED")</x:f>
        <x:v>0</x:v>
      </x:c>
      <x:c r="J14" s="32" t="n">
        <x:f>IF(F14=0,"—",(SUM('CoverageCases'!$O$2564:$O$3417))/F14/100)</x:f>
        <x:v>0.3649951219512195</x:v>
      </x:c>
      <x:c r="K14" s="32" t="n">
        <x:f>IF(I14&gt;0,"Pending",IF(E14-H14=0,"—",(SUM('CoverageCases'!$O$2564:$O$3417))/(E14-H14)/100))</x:f>
        <x:v>0.350463700234192</x:v>
      </x:c>
      <x:c r="L14" s="32" t="n">
        <x:f>IF(I14&gt;0,"Pending",IF(E14=0,"—",(E14-G14)/E14))</x:f>
        <x:v>0.9601873536299765</x:v>
      </x:c>
      <x:c r="M14" s="39" t="n">
        <x:f>IF(I14&gt;0,"Pending",E14-H14)</x:f>
        <x:v>854</x:v>
      </x:c>
    </x:row>
    <x:row r="15" ht="23" customHeight="1">
      <x:c r="B15" s="17" t="str">
        <x:v>All projects</x:v>
      </x:c>
      <x:c r="C15" s="17" t="str">
        <x:v>Round2</x:v>
      </x:c>
      <x:c r="D15" s="17" t="str">
        <x:v>Condition</x:v>
      </x:c>
      <x:c r="E15" s="39" t="n">
        <x:f>COUNTA('CoverageCases'!$D$4272:$D$5125)</x:f>
        <x:v>854</x:v>
      </x:c>
      <x:c r="F15" s="39" t="n">
        <x:f>COUNT('CoverageCases'!$O$4272:$O$5125)</x:f>
        <x:v>817</x:v>
      </x:c>
      <x:c r="G15" s="39" t="n">
        <x:f>COUNTIF('CoverageCases'!$G$4272:$G$5125,"A")</x:f>
        <x:v>34</x:v>
      </x:c>
      <x:c r="H15" s="39" t="n">
        <x:f>COUNTIF('CoverageCases'!$G$4272:$G$5125,"B")</x:f>
        <x:v>3</x:v>
      </x:c>
      <x:c r="I15" s="39" t="n">
        <x:f>COUNTIF('CoverageCases'!$G$4272:$G$5125,"UNRESOLVED")</x:f>
        <x:v>0</x:v>
      </x:c>
      <x:c r="J15" s="32" t="n">
        <x:f>IF(F15=0,"—",(SUM('CoverageCases'!$O$4272:$O$5125))/F15/100)</x:f>
        <x:v>0.2674182374541004</x:v>
      </x:c>
      <x:c r="K15" s="32" t="n">
        <x:f>IF(I15&gt;0,"Pending",IF(E15-H15=0,"—",(SUM('CoverageCases'!$O$4272:$O$5125))/(E15-H15)/100))</x:f>
        <x:v>0.2567340775558168</x:v>
      </x:c>
      <x:c r="L15" s="32" t="n">
        <x:f>IF(I15&gt;0,"Pending",IF(E15=0,"—",(E15-G15)/E15))</x:f>
        <x:v>0.9601873536299765</x:v>
      </x:c>
      <x:c r="M15" s="39" t="n">
        <x:f>IF(I15&gt;0,"Pending",E15-H15)</x:f>
        <x:v>851</x:v>
      </x:c>
    </x:row>
    <x:row r="16" ht="23" customHeight="1">
      <x:c r="B16" s="17" t="str">
        <x:v>Chart</x:v>
      </x:c>
      <x:c r="C16" s="17" t="str">
        <x:v>All rounds</x:v>
      </x:c>
      <x:c r="D16" s="17" t="str">
        <x:v>Coverage</x:v>
      </x:c>
      <x:c r="E16" s="39" t="n">
        <x:f>COUNTA('CoverageCases'!$D$2:$D$27,'CoverageCases'!$D$856:$D$881)</x:f>
        <x:v>52</x:v>
      </x:c>
      <x:c r="F16" s="39" t="n">
        <x:f>COUNT('CoverageCases'!$O$2:$O$27,'CoverageCases'!$O$856:$O$881)</x:f>
        <x:v>51</x:v>
      </x:c>
      <x:c r="G16" s="39" t="n">
        <x:f>COUNTIF('CoverageCases'!$G$2:$G$27,"A")+COUNTIF('CoverageCases'!$G$856:$G$881,"A")</x:f>
        <x:v>1</x:v>
      </x:c>
      <x:c r="H16" s="39" t="n">
        <x:f>COUNTIF('CoverageCases'!$G$2:$G$27,"B")+COUNTIF('CoverageCases'!$G$856:$G$881,"B")</x:f>
        <x:v>0</x:v>
      </x:c>
      <x:c r="I16" s="39" t="n">
        <x:f>COUNTIF('CoverageCases'!$G$2:$G$27,"UNRESOLVED")+COUNTIF('CoverageCases'!$G$856:$G$881,"UNRESOLVED")</x:f>
        <x:v>0</x:v>
      </x:c>
      <x:c r="J16" s="32" t="n">
        <x:f>IF(F16=0,"—",(SUM('CoverageCases'!$O$2:$O$27,'CoverageCases'!$O$856:$O$881))/F16/100)</x:f>
        <x:v>0.5074313725490195</x:v>
      </x:c>
      <x:c r="K16" s="32" t="n">
        <x:f>IF(I16&gt;0,"Pending",IF(E16-H16=0,"—",(SUM('CoverageCases'!$O$2:$O$27,'CoverageCases'!$O$856:$O$881))/(E16-H16)/100))</x:f>
        <x:v>0.49767307692307683</x:v>
      </x:c>
      <x:c r="L16" s="32" t="n">
        <x:f>IF(I16&gt;0,"Pending",IF(E16=0,"—",(E16-G16)/E16))</x:f>
        <x:v>0.9807692307692307</x:v>
      </x:c>
      <x:c r="M16" s="39" t="n">
        <x:f>IF(I16&gt;0,"Pending",E16-H16)</x:f>
        <x:v>52</x:v>
      </x:c>
    </x:row>
    <x:row r="17" ht="23" customHeight="1">
      <x:c r="B17" s="17" t="str">
        <x:v>Chart</x:v>
      </x:c>
      <x:c r="C17" s="17" t="str">
        <x:v>All rounds</x:v>
      </x:c>
      <x:c r="D17" s="17" t="str">
        <x:v>Line</x:v>
      </x:c>
      <x:c r="E17" s="39" t="n">
        <x:f>COUNTA('CoverageCases'!$D$1710:$D$1735,'CoverageCases'!$D$2564:$D$2589)</x:f>
        <x:v>52</x:v>
      </x:c>
      <x:c r="F17" s="39" t="n">
        <x:f>COUNT('CoverageCases'!$O$1710:$O$1735,'CoverageCases'!$O$2564:$O$2589)</x:f>
        <x:v>51</x:v>
      </x:c>
      <x:c r="G17" s="39" t="n">
        <x:f>COUNTIF('CoverageCases'!$G$1710:$G$1735,"A")+COUNTIF('CoverageCases'!$G$2564:$G$2589,"A")</x:f>
        <x:v>1</x:v>
      </x:c>
      <x:c r="H17" s="39" t="n">
        <x:f>COUNTIF('CoverageCases'!$G$1710:$G$1735,"B")+COUNTIF('CoverageCases'!$G$2564:$G$2589,"B")</x:f>
        <x:v>0</x:v>
      </x:c>
      <x:c r="I17" s="39" t="n">
        <x:f>COUNTIF('CoverageCases'!$G$1710:$G$1735,"UNRESOLVED")+COUNTIF('CoverageCases'!$G$2564:$G$2589,"UNRESOLVED")</x:f>
        <x:v>0</x:v>
      </x:c>
      <x:c r="J17" s="32" t="n">
        <x:f>IF(F17=0,"—",(SUM('CoverageCases'!$O$1710:$O$1735,'CoverageCases'!$O$2564:$O$2589))/F17/100)</x:f>
        <x:v>0.538943137254902</x:v>
      </x:c>
      <x:c r="K17" s="32" t="n">
        <x:f>IF(I17&gt;0,"Pending",IF(E17-H17=0,"—",(SUM('CoverageCases'!$O$1710:$O$1735,'CoverageCases'!$O$2564:$O$2589))/(E17-H17)/100))</x:f>
        <x:v>0.5285788461538461</x:v>
      </x:c>
      <x:c r="L17" s="32" t="n">
        <x:f>IF(I17&gt;0,"Pending",IF(E17=0,"—",(E17-G17)/E17))</x:f>
        <x:v>0.9807692307692307</x:v>
      </x:c>
      <x:c r="M17" s="39" t="n">
        <x:f>IF(I17&gt;0,"Pending",E17-H17)</x:f>
        <x:v>52</x:v>
      </x:c>
    </x:row>
    <x:row r="18" ht="23" customHeight="1">
      <x:c r="B18" s="17" t="str">
        <x:v>Chart</x:v>
      </x:c>
      <x:c r="C18" s="17" t="str">
        <x:v>All rounds</x:v>
      </x:c>
      <x:c r="D18" s="17" t="str">
        <x:v>Condition</x:v>
      </x:c>
      <x:c r="E18" s="39" t="n">
        <x:f>COUNTA('CoverageCases'!$D$3418:$D$3443,'CoverageCases'!$D$4272:$D$4297)</x:f>
        <x:v>52</x:v>
      </x:c>
      <x:c r="F18" s="39" t="n">
        <x:f>COUNT('CoverageCases'!$O$3418:$O$3443,'CoverageCases'!$O$4272:$O$4297)</x:f>
        <x:v>49</x:v>
      </x:c>
      <x:c r="G18" s="39" t="n">
        <x:f>COUNTIF('CoverageCases'!$G$3418:$G$3443,"A")+COUNTIF('CoverageCases'!$G$4272:$G$4297,"A")</x:f>
        <x:v>1</x:v>
      </x:c>
      <x:c r="H18" s="39" t="n">
        <x:f>COUNTIF('CoverageCases'!$G$3418:$G$3443,"B")+COUNTIF('CoverageCases'!$G$4272:$G$4297,"B")</x:f>
        <x:v>2</x:v>
      </x:c>
      <x:c r="I18" s="39" t="n">
        <x:f>COUNTIF('CoverageCases'!$G$3418:$G$3443,"UNRESOLVED")+COUNTIF('CoverageCases'!$G$4272:$G$4297,"UNRESOLVED")</x:f>
        <x:v>0</x:v>
      </x:c>
      <x:c r="J18" s="32" t="n">
        <x:f>IF(F18=0,"—",(SUM('CoverageCases'!$O$3418:$O$3443,'CoverageCases'!$O$4272:$O$4297))/F18/100)</x:f>
        <x:v>0.4121</x:v>
      </x:c>
      <x:c r="K18" s="32" t="n">
        <x:f>IF(I18&gt;0,"Pending",IF(E18-H18=0,"—",(SUM('CoverageCases'!$O$3418:$O$3443,'CoverageCases'!$O$4272:$O$4297))/(E18-H18)/100))</x:f>
        <x:v>0.40385799999999994</x:v>
      </x:c>
      <x:c r="L18" s="32" t="n">
        <x:f>IF(I18&gt;0,"Pending",IF(E18=0,"—",(E18-G18)/E18))</x:f>
        <x:v>0.9807692307692307</x:v>
      </x:c>
      <x:c r="M18" s="39" t="n">
        <x:f>IF(I18&gt;0,"Pending",E18-H18)</x:f>
        <x:v>50</x:v>
      </x:c>
    </x:row>
    <x:row r="19" ht="23" customHeight="1">
      <x:c r="B19" s="17" t="str">
        <x:v>Chart</x:v>
      </x:c>
      <x:c r="C19" s="17" t="str">
        <x:v>Round1</x:v>
      </x:c>
      <x:c r="D19" s="17" t="str">
        <x:v>Coverage</x:v>
      </x:c>
      <x:c r="E19" s="39" t="n">
        <x:f>COUNTA('CoverageCases'!$D$2:$D$27)</x:f>
        <x:v>26</x:v>
      </x:c>
      <x:c r="F19" s="39" t="n">
        <x:f>COUNT('CoverageCases'!$O$2:$O$27)</x:f>
        <x:v>26</x:v>
      </x:c>
      <x:c r="G19" s="39" t="n">
        <x:f>COUNTIF('CoverageCases'!$G$2:$G$27,"A")</x:f>
        <x:v>0</x:v>
      </x:c>
      <x:c r="H19" s="39" t="n">
        <x:f>COUNTIF('CoverageCases'!$G$2:$G$27,"B")</x:f>
        <x:v>0</x:v>
      </x:c>
      <x:c r="I19" s="39" t="n">
        <x:f>COUNTIF('CoverageCases'!$G$2:$G$27,"UNRESOLVED")</x:f>
        <x:v>0</x:v>
      </x:c>
      <x:c r="J19" s="32" t="n">
        <x:f>IF(F19=0,"—",(SUM('CoverageCases'!$O$2:$O$27))/F19/100)</x:f>
        <x:v>0.5085846153846153</x:v>
      </x:c>
      <x:c r="K19" s="32" t="n">
        <x:f>IF(I19&gt;0,"Pending",IF(E19-H19=0,"—",(SUM('CoverageCases'!$O$2:$O$27))/(E19-H19)/100))</x:f>
        <x:v>0.5085846153846153</x:v>
      </x:c>
      <x:c r="L19" s="32" t="n">
        <x:f>IF(I19&gt;0,"Pending",IF(E19=0,"—",(E19-G19)/E19))</x:f>
        <x:v>1</x:v>
      </x:c>
      <x:c r="M19" s="39" t="n">
        <x:f>IF(I19&gt;0,"Pending",E19-H19)</x:f>
        <x:v>26</x:v>
      </x:c>
    </x:row>
    <x:row r="20" ht="23" customHeight="1">
      <x:c r="B20" s="17" t="str">
        <x:v>Chart</x:v>
      </x:c>
      <x:c r="C20" s="17" t="str">
        <x:v>Round1</x:v>
      </x:c>
      <x:c r="D20" s="17" t="str">
        <x:v>Line</x:v>
      </x:c>
      <x:c r="E20" s="39" t="n">
        <x:f>COUNTA('CoverageCases'!$D$1710:$D$1735)</x:f>
        <x:v>26</x:v>
      </x:c>
      <x:c r="F20" s="39" t="n">
        <x:f>COUNT('CoverageCases'!$O$1710:$O$1735)</x:f>
        <x:v>26</x:v>
      </x:c>
      <x:c r="G20" s="39" t="n">
        <x:f>COUNTIF('CoverageCases'!$G$1710:$G$1735,"A")</x:f>
        <x:v>0</x:v>
      </x:c>
      <x:c r="H20" s="39" t="n">
        <x:f>COUNTIF('CoverageCases'!$G$1710:$G$1735,"B")</x:f>
        <x:v>0</x:v>
      </x:c>
      <x:c r="I20" s="39" t="n">
        <x:f>COUNTIF('CoverageCases'!$G$1710:$G$1735,"UNRESOLVED")</x:f>
        <x:v>0</x:v>
      </x:c>
      <x:c r="J20" s="32" t="n">
        <x:f>IF(F20=0,"—",(SUM('CoverageCases'!$O$1710:$O$1735))/F20/100)</x:f>
        <x:v>0.5401423076923076</x:v>
      </x:c>
      <x:c r="K20" s="32" t="n">
        <x:f>IF(I20&gt;0,"Pending",IF(E20-H20=0,"—",(SUM('CoverageCases'!$O$1710:$O$1735))/(E20-H20)/100))</x:f>
        <x:v>0.5401423076923076</x:v>
      </x:c>
      <x:c r="L20" s="32" t="n">
        <x:f>IF(I20&gt;0,"Pending",IF(E20=0,"—",(E20-G20)/E20))</x:f>
        <x:v>1</x:v>
      </x:c>
      <x:c r="M20" s="39" t="n">
        <x:f>IF(I20&gt;0,"Pending",E20-H20)</x:f>
        <x:v>26</x:v>
      </x:c>
    </x:row>
    <x:row r="21" ht="23" customHeight="1">
      <x:c r="B21" s="17" t="str">
        <x:v>Chart</x:v>
      </x:c>
      <x:c r="C21" s="17" t="str">
        <x:v>Round1</x:v>
      </x:c>
      <x:c r="D21" s="17" t="str">
        <x:v>Condition</x:v>
      </x:c>
      <x:c r="E21" s="39" t="n">
        <x:f>COUNTA('CoverageCases'!$D$3418:$D$3443)</x:f>
        <x:v>26</x:v>
      </x:c>
      <x:c r="F21" s="39" t="n">
        <x:f>COUNT('CoverageCases'!$O$3418:$O$3443)</x:f>
        <x:v>25</x:v>
      </x:c>
      <x:c r="G21" s="39" t="n">
        <x:f>COUNTIF('CoverageCases'!$G$3418:$G$3443,"A")</x:f>
        <x:v>0</x:v>
      </x:c>
      <x:c r="H21" s="39" t="n">
        <x:f>COUNTIF('CoverageCases'!$G$3418:$G$3443,"B")</x:f>
        <x:v>1</x:v>
      </x:c>
      <x:c r="I21" s="39" t="n">
        <x:f>COUNTIF('CoverageCases'!$G$3418:$G$3443,"UNRESOLVED")</x:f>
        <x:v>0</x:v>
      </x:c>
      <x:c r="J21" s="32" t="n">
        <x:f>IF(F21=0,"—",(SUM('CoverageCases'!$O$3418:$O$3443))/F21/100)</x:f>
        <x:v>0.413832</x:v>
      </x:c>
      <x:c r="K21" s="32" t="n">
        <x:f>IF(I21&gt;0,"Pending",IF(E21-H21=0,"—",(SUM('CoverageCases'!$O$3418:$O$3443))/(E21-H21)/100))</x:f>
        <x:v>0.413832</x:v>
      </x:c>
      <x:c r="L21" s="32" t="n">
        <x:f>IF(I21&gt;0,"Pending",IF(E21=0,"—",(E21-G21)/E21))</x:f>
        <x:v>1</x:v>
      </x:c>
      <x:c r="M21" s="39" t="n">
        <x:f>IF(I21&gt;0,"Pending",E21-H21)</x:f>
        <x:v>25</x:v>
      </x:c>
    </x:row>
    <x:row r="22" ht="23" customHeight="1">
      <x:c r="B22" s="17" t="str">
        <x:v>Chart</x:v>
      </x:c>
      <x:c r="C22" s="17" t="str">
        <x:v>Round2</x:v>
      </x:c>
      <x:c r="D22" s="17" t="str">
        <x:v>Coverage</x:v>
      </x:c>
      <x:c r="E22" s="39" t="n">
        <x:f>COUNTA('CoverageCases'!$D$856:$D$881)</x:f>
        <x:v>26</x:v>
      </x:c>
      <x:c r="F22" s="39" t="n">
        <x:f>COUNT('CoverageCases'!$O$856:$O$881)</x:f>
        <x:v>25</x:v>
      </x:c>
      <x:c r="G22" s="39" t="n">
        <x:f>COUNTIF('CoverageCases'!$G$856:$G$881,"A")</x:f>
        <x:v>1</x:v>
      </x:c>
      <x:c r="H22" s="39" t="n">
        <x:f>COUNTIF('CoverageCases'!$G$856:$G$881,"B")</x:f>
        <x:v>0</x:v>
      </x:c>
      <x:c r="I22" s="39" t="n">
        <x:f>COUNTIF('CoverageCases'!$G$856:$G$881,"UNRESOLVED")</x:f>
        <x:v>0</x:v>
      </x:c>
      <x:c r="J22" s="32" t="n">
        <x:f>IF(F22=0,"—",(SUM('CoverageCases'!$O$856:$O$881))/F22/100)</x:f>
        <x:v>0.506232</x:v>
      </x:c>
      <x:c r="K22" s="32" t="n">
        <x:f>IF(I22&gt;0,"Pending",IF(E22-H22=0,"—",(SUM('CoverageCases'!$O$856:$O$881))/(E22-H22)/100))</x:f>
        <x:v>0.48676153846153847</x:v>
      </x:c>
      <x:c r="L22" s="32" t="n">
        <x:f>IF(I22&gt;0,"Pending",IF(E22=0,"—",(E22-G22)/E22))</x:f>
        <x:v>0.9615384615384616</x:v>
      </x:c>
      <x:c r="M22" s="39" t="n">
        <x:f>IF(I22&gt;0,"Pending",E22-H22)</x:f>
        <x:v>26</x:v>
      </x:c>
    </x:row>
    <x:row r="23" ht="23" customHeight="1">
      <x:c r="B23" s="17" t="str">
        <x:v>Chart</x:v>
      </x:c>
      <x:c r="C23" s="17" t="str">
        <x:v>Round2</x:v>
      </x:c>
      <x:c r="D23" s="17" t="str">
        <x:v>Line</x:v>
      </x:c>
      <x:c r="E23" s="39" t="n">
        <x:f>COUNTA('CoverageCases'!$D$2564:$D$2589)</x:f>
        <x:v>26</x:v>
      </x:c>
      <x:c r="F23" s="39" t="n">
        <x:f>COUNT('CoverageCases'!$O$2564:$O$2589)</x:f>
        <x:v>25</x:v>
      </x:c>
      <x:c r="G23" s="39" t="n">
        <x:f>COUNTIF('CoverageCases'!$G$2564:$G$2589,"A")</x:f>
        <x:v>1</x:v>
      </x:c>
      <x:c r="H23" s="39" t="n">
        <x:f>COUNTIF('CoverageCases'!$G$2564:$G$2589,"B")</x:f>
        <x:v>0</x:v>
      </x:c>
      <x:c r="I23" s="39" t="n">
        <x:f>COUNTIF('CoverageCases'!$G$2564:$G$2589,"UNRESOLVED")</x:f>
        <x:v>0</x:v>
      </x:c>
      <x:c r="J23" s="32" t="n">
        <x:f>IF(F23=0,"—",(SUM('CoverageCases'!$O$2564:$O$2589))/F23/100)</x:f>
        <x:v>0.537696</x:v>
      </x:c>
      <x:c r="K23" s="32" t="n">
        <x:f>IF(I23&gt;0,"Pending",IF(E23-H23=0,"—",(SUM('CoverageCases'!$O$2564:$O$2589))/(E23-H23)/100))</x:f>
        <x:v>0.5170153846153847</x:v>
      </x:c>
      <x:c r="L23" s="32" t="n">
        <x:f>IF(I23&gt;0,"Pending",IF(E23=0,"—",(E23-G23)/E23))</x:f>
        <x:v>0.9615384615384616</x:v>
      </x:c>
      <x:c r="M23" s="39" t="n">
        <x:f>IF(I23&gt;0,"Pending",E23-H23)</x:f>
        <x:v>26</x:v>
      </x:c>
    </x:row>
    <x:row r="24" ht="23" customHeight="1">
      <x:c r="B24" s="17" t="str">
        <x:v>Chart</x:v>
      </x:c>
      <x:c r="C24" s="17" t="str">
        <x:v>Round2</x:v>
      </x:c>
      <x:c r="D24" s="17" t="str">
        <x:v>Condition</x:v>
      </x:c>
      <x:c r="E24" s="39" t="n">
        <x:f>COUNTA('CoverageCases'!$D$4272:$D$4297)</x:f>
        <x:v>26</x:v>
      </x:c>
      <x:c r="F24" s="39" t="n">
        <x:f>COUNT('CoverageCases'!$O$4272:$O$4297)</x:f>
        <x:v>24</x:v>
      </x:c>
      <x:c r="G24" s="39" t="n">
        <x:f>COUNTIF('CoverageCases'!$G$4272:$G$4297,"A")</x:f>
        <x:v>1</x:v>
      </x:c>
      <x:c r="H24" s="39" t="n">
        <x:f>COUNTIF('CoverageCases'!$G$4272:$G$4297,"B")</x:f>
        <x:v>1</x:v>
      </x:c>
      <x:c r="I24" s="39" t="n">
        <x:f>COUNTIF('CoverageCases'!$G$4272:$G$4297,"UNRESOLVED")</x:f>
        <x:v>0</x:v>
      </x:c>
      <x:c r="J24" s="32" t="n">
        <x:f>IF(F24=0,"—",(SUM('CoverageCases'!$O$4272:$O$4297))/F24/100)</x:f>
        <x:v>0.4102958333333333</x:v>
      </x:c>
      <x:c r="K24" s="32" t="n">
        <x:f>IF(I24&gt;0,"Pending",IF(E24-H24=0,"—",(SUM('CoverageCases'!$O$4272:$O$4297))/(E24-H24)/100))</x:f>
        <x:v>0.39388399999999996</x:v>
      </x:c>
      <x:c r="L24" s="32" t="n">
        <x:f>IF(I24&gt;0,"Pending",IF(E24=0,"—",(E24-G24)/E24))</x:f>
        <x:v>0.9615384615384616</x:v>
      </x:c>
      <x:c r="M24" s="39" t="n">
        <x:f>IF(I24&gt;0,"Pending",E24-H24)</x:f>
        <x:v>25</x:v>
      </x:c>
    </x:row>
    <x:row r="25" ht="23" customHeight="1">
      <x:c r="B25" s="17" t="str">
        <x:v>Cli</x:v>
      </x:c>
      <x:c r="C25" s="17" t="str">
        <x:v>All rounds</x:v>
      </x:c>
      <x:c r="D25" s="17" t="str">
        <x:v>Coverage</x:v>
      </x:c>
      <x:c r="E25" s="39" t="n">
        <x:f>COUNTA('CoverageCases'!$D$28:$D$66,'CoverageCases'!$D$882:$D$920)</x:f>
        <x:v>78</x:v>
      </x:c>
      <x:c r="F25" s="39" t="n">
        <x:f>COUNT('CoverageCases'!$O$28:$O$66,'CoverageCases'!$O$882:$O$920)</x:f>
        <x:v>77</x:v>
      </x:c>
      <x:c r="G25" s="39" t="n">
        <x:f>COUNTIF('CoverageCases'!$G$28:$G$66,"A")+COUNTIF('CoverageCases'!$G$882:$G$920,"A")</x:f>
        <x:v>1</x:v>
      </x:c>
      <x:c r="H25" s="39" t="n">
        <x:f>COUNTIF('CoverageCases'!$G$28:$G$66,"B")+COUNTIF('CoverageCases'!$G$882:$G$920,"B")</x:f>
        <x:v>0</x:v>
      </x:c>
      <x:c r="I25" s="39" t="n">
        <x:f>COUNTIF('CoverageCases'!$G$28:$G$66,"UNRESOLVED")+COUNTIF('CoverageCases'!$G$882:$G$920,"UNRESOLVED")</x:f>
        <x:v>0</x:v>
      </x:c>
      <x:c r="J25" s="32" t="n">
        <x:f>IF(F25=0,"—",(SUM('CoverageCases'!$O$28:$O$66,'CoverageCases'!$O$882:$O$920))/F25/100)</x:f>
        <x:v>0.07993376623376623</x:v>
      </x:c>
      <x:c r="K25" s="32" t="n">
        <x:f>IF(I25&gt;0,"Pending",IF(E25-H25=0,"—",(SUM('CoverageCases'!$O$28:$O$66,'CoverageCases'!$O$882:$O$920))/(E25-H25)/100))</x:f>
        <x:v>0.07890897435897436</x:v>
      </x:c>
      <x:c r="L25" s="32" t="n">
        <x:f>IF(I25&gt;0,"Pending",IF(E25=0,"—",(E25-G25)/E25))</x:f>
        <x:v>0.9871794871794872</x:v>
      </x:c>
      <x:c r="M25" s="39" t="n">
        <x:f>IF(I25&gt;0,"Pending",E25-H25)</x:f>
        <x:v>78</x:v>
      </x:c>
    </x:row>
    <x:row r="26" ht="23" customHeight="1">
      <x:c r="B26" s="17" t="str">
        <x:v>Cli</x:v>
      </x:c>
      <x:c r="C26" s="17" t="str">
        <x:v>All rounds</x:v>
      </x:c>
      <x:c r="D26" s="17" t="str">
        <x:v>Line</x:v>
      </x:c>
      <x:c r="E26" s="39" t="n">
        <x:f>COUNTA('CoverageCases'!$D$1736:$D$1774,'CoverageCases'!$D$2590:$D$2628)</x:f>
        <x:v>78</x:v>
      </x:c>
      <x:c r="F26" s="39" t="n">
        <x:f>COUNT('CoverageCases'!$O$1736:$O$1774,'CoverageCases'!$O$2590:$O$2628)</x:f>
        <x:v>77</x:v>
      </x:c>
      <x:c r="G26" s="39" t="n">
        <x:f>COUNTIF('CoverageCases'!$G$1736:$G$1774,"A")+COUNTIF('CoverageCases'!$G$2590:$G$2628,"A")</x:f>
        <x:v>1</x:v>
      </x:c>
      <x:c r="H26" s="39" t="n">
        <x:f>COUNTIF('CoverageCases'!$G$1736:$G$1774,"B")+COUNTIF('CoverageCases'!$G$2590:$G$2628,"B")</x:f>
        <x:v>0</x:v>
      </x:c>
      <x:c r="I26" s="39" t="n">
        <x:f>COUNTIF('CoverageCases'!$G$1736:$G$1774,"UNRESOLVED")+COUNTIF('CoverageCases'!$G$2590:$G$2628,"UNRESOLVED")</x:f>
        <x:v>0</x:v>
      </x:c>
      <x:c r="J26" s="32" t="n">
        <x:f>IF(F26=0,"—",(SUM('CoverageCases'!$O$1736:$O$1774,'CoverageCases'!$O$2590:$O$2628))/F26/100)</x:f>
        <x:v>0.08587532467532467</x:v>
      </x:c>
      <x:c r="K26" s="32" t="n">
        <x:f>IF(I26&gt;0,"Pending",IF(E26-H26=0,"—",(SUM('CoverageCases'!$O$1736:$O$1774,'CoverageCases'!$O$2590:$O$2628))/(E26-H26)/100))</x:f>
        <x:v>0.08477435897435898</x:v>
      </x:c>
      <x:c r="L26" s="32" t="n">
        <x:f>IF(I26&gt;0,"Pending",IF(E26=0,"—",(E26-G26)/E26))</x:f>
        <x:v>0.9871794871794872</x:v>
      </x:c>
      <x:c r="M26" s="39" t="n">
        <x:f>IF(I26&gt;0,"Pending",E26-H26)</x:f>
        <x:v>78</x:v>
      </x:c>
    </x:row>
    <x:row r="27" ht="23" customHeight="1">
      <x:c r="B27" s="17" t="str">
        <x:v>Cli</x:v>
      </x:c>
      <x:c r="C27" s="17" t="str">
        <x:v>All rounds</x:v>
      </x:c>
      <x:c r="D27" s="17" t="str">
        <x:v>Condition</x:v>
      </x:c>
      <x:c r="E27" s="39" t="n">
        <x:f>COUNTA('CoverageCases'!$D$3444:$D$3482,'CoverageCases'!$D$4298:$D$4336)</x:f>
        <x:v>78</x:v>
      </x:c>
      <x:c r="F27" s="39" t="n">
        <x:f>COUNT('CoverageCases'!$O$3444:$O$3482,'CoverageCases'!$O$4298:$O$4336)</x:f>
        <x:v>77</x:v>
      </x:c>
      <x:c r="G27" s="39" t="n">
        <x:f>COUNTIF('CoverageCases'!$G$3444:$G$3482,"A")+COUNTIF('CoverageCases'!$G$4298:$G$4336,"A")</x:f>
        <x:v>1</x:v>
      </x:c>
      <x:c r="H27" s="39" t="n">
        <x:f>COUNTIF('CoverageCases'!$G$3444:$G$3482,"B")+COUNTIF('CoverageCases'!$G$4298:$G$4336,"B")</x:f>
        <x:v>0</x:v>
      </x:c>
      <x:c r="I27" s="39" t="n">
        <x:f>COUNTIF('CoverageCases'!$G$3444:$G$3482,"UNRESOLVED")+COUNTIF('CoverageCases'!$G$4298:$G$4336,"UNRESOLVED")</x:f>
        <x:v>0</x:v>
      </x:c>
      <x:c r="J27" s="32" t="n">
        <x:f>IF(F27=0,"—",(SUM('CoverageCases'!$O$3444:$O$3482,'CoverageCases'!$O$4298:$O$4336))/F27/100)</x:f>
        <x:v>0.06696623376623377</x:v>
      </x:c>
      <x:c r="K27" s="32" t="n">
        <x:f>IF(I27&gt;0,"Pending",IF(E27-H27=0,"—",(SUM('CoverageCases'!$O$3444:$O$3482,'CoverageCases'!$O$4298:$O$4336))/(E27-H27)/100))</x:f>
        <x:v>0.06610769230769231</x:v>
      </x:c>
      <x:c r="L27" s="32" t="n">
        <x:f>IF(I27&gt;0,"Pending",IF(E27=0,"—",(E27-G27)/E27))</x:f>
        <x:v>0.9871794871794872</x:v>
      </x:c>
      <x:c r="M27" s="39" t="n">
        <x:f>IF(I27&gt;0,"Pending",E27-H27)</x:f>
        <x:v>78</x:v>
      </x:c>
    </x:row>
    <x:row r="28" ht="23" customHeight="1">
      <x:c r="B28" s="17" t="str">
        <x:v>Cli</x:v>
      </x:c>
      <x:c r="C28" s="17" t="str">
        <x:v>Round1</x:v>
      </x:c>
      <x:c r="D28" s="17" t="str">
        <x:v>Coverage</x:v>
      </x:c>
      <x:c r="E28" s="39" t="n">
        <x:f>COUNTA('CoverageCases'!$D$28:$D$66)</x:f>
        <x:v>39</x:v>
      </x:c>
      <x:c r="F28" s="39" t="n">
        <x:f>COUNT('CoverageCases'!$O$28:$O$66)</x:f>
        <x:v>39</x:v>
      </x:c>
      <x:c r="G28" s="39" t="n">
        <x:f>COUNTIF('CoverageCases'!$G$28:$G$66,"A")</x:f>
        <x:v>0</x:v>
      </x:c>
      <x:c r="H28" s="39" t="n">
        <x:f>COUNTIF('CoverageCases'!$G$28:$G$66,"B")</x:f>
        <x:v>0</x:v>
      </x:c>
      <x:c r="I28" s="39" t="n">
        <x:f>COUNTIF('CoverageCases'!$G$28:$G$66,"UNRESOLVED")</x:f>
        <x:v>0</x:v>
      </x:c>
      <x:c r="J28" s="32" t="n">
        <x:f>IF(F28=0,"—",(SUM('CoverageCases'!$O$28:$O$66))/F28/100)</x:f>
        <x:v>0.07937179487179487</x:v>
      </x:c>
      <x:c r="K28" s="32" t="n">
        <x:f>IF(I28&gt;0,"Pending",IF(E28-H28=0,"—",(SUM('CoverageCases'!$O$28:$O$66))/(E28-H28)/100))</x:f>
        <x:v>0.07937179487179487</x:v>
      </x:c>
      <x:c r="L28" s="32" t="n">
        <x:f>IF(I28&gt;0,"Pending",IF(E28=0,"—",(E28-G28)/E28))</x:f>
        <x:v>1</x:v>
      </x:c>
      <x:c r="M28" s="39" t="n">
        <x:f>IF(I28&gt;0,"Pending",E28-H28)</x:f>
        <x:v>39</x:v>
      </x:c>
    </x:row>
    <x:row r="29" ht="23" customHeight="1">
      <x:c r="B29" s="17" t="str">
        <x:v>Cli</x:v>
      </x:c>
      <x:c r="C29" s="17" t="str">
        <x:v>Round1</x:v>
      </x:c>
      <x:c r="D29" s="17" t="str">
        <x:v>Line</x:v>
      </x:c>
      <x:c r="E29" s="39" t="n">
        <x:f>COUNTA('CoverageCases'!$D$1736:$D$1774)</x:f>
        <x:v>39</x:v>
      </x:c>
      <x:c r="F29" s="39" t="n">
        <x:f>COUNT('CoverageCases'!$O$1736:$O$1774)</x:f>
        <x:v>39</x:v>
      </x:c>
      <x:c r="G29" s="39" t="n">
        <x:f>COUNTIF('CoverageCases'!$G$1736:$G$1774,"A")</x:f>
        <x:v>0</x:v>
      </x:c>
      <x:c r="H29" s="39" t="n">
        <x:f>COUNTIF('CoverageCases'!$G$1736:$G$1774,"B")</x:f>
        <x:v>0</x:v>
      </x:c>
      <x:c r="I29" s="39" t="n">
        <x:f>COUNTIF('CoverageCases'!$G$1736:$G$1774,"UNRESOLVED")</x:f>
        <x:v>0</x:v>
      </x:c>
      <x:c r="J29" s="32" t="n">
        <x:f>IF(F29=0,"—",(SUM('CoverageCases'!$O$1736:$O$1774))/F29/100)</x:f>
        <x:v>0.0849102564102564</x:v>
      </x:c>
      <x:c r="K29" s="32" t="n">
        <x:f>IF(I29&gt;0,"Pending",IF(E29-H29=0,"—",(SUM('CoverageCases'!$O$1736:$O$1774))/(E29-H29)/100))</x:f>
        <x:v>0.0849102564102564</x:v>
      </x:c>
      <x:c r="L29" s="32" t="n">
        <x:f>IF(I29&gt;0,"Pending",IF(E29=0,"—",(E29-G29)/E29))</x:f>
        <x:v>1</x:v>
      </x:c>
      <x:c r="M29" s="39" t="n">
        <x:f>IF(I29&gt;0,"Pending",E29-H29)</x:f>
        <x:v>39</x:v>
      </x:c>
    </x:row>
    <x:row r="30" ht="23" customHeight="1">
      <x:c r="B30" s="17" t="str">
        <x:v>Cli</x:v>
      </x:c>
      <x:c r="C30" s="17" t="str">
        <x:v>Round1</x:v>
      </x:c>
      <x:c r="D30" s="17" t="str">
        <x:v>Condition</x:v>
      </x:c>
      <x:c r="E30" s="39" t="n">
        <x:f>COUNTA('CoverageCases'!$D$3444:$D$3482)</x:f>
        <x:v>39</x:v>
      </x:c>
      <x:c r="F30" s="39" t="n">
        <x:f>COUNT('CoverageCases'!$O$3444:$O$3482)</x:f>
        <x:v>39</x:v>
      </x:c>
      <x:c r="G30" s="39" t="n">
        <x:f>COUNTIF('CoverageCases'!$G$3444:$G$3482,"A")</x:f>
        <x:v>0</x:v>
      </x:c>
      <x:c r="H30" s="39" t="n">
        <x:f>COUNTIF('CoverageCases'!$G$3444:$G$3482,"B")</x:f>
        <x:v>0</x:v>
      </x:c>
      <x:c r="I30" s="39" t="n">
        <x:f>COUNTIF('CoverageCases'!$G$3444:$G$3482,"UNRESOLVED")</x:f>
        <x:v>0</x:v>
      </x:c>
      <x:c r="J30" s="32" t="n">
        <x:f>IF(F30=0,"—",(SUM('CoverageCases'!$O$3444:$O$3482))/F30/100)</x:f>
        <x:v>0.06746153846153848</x:v>
      </x:c>
      <x:c r="K30" s="32" t="n">
        <x:f>IF(I30&gt;0,"Pending",IF(E30-H30=0,"—",(SUM('CoverageCases'!$O$3444:$O$3482))/(E30-H30)/100))</x:f>
        <x:v>0.06746153846153848</x:v>
      </x:c>
      <x:c r="L30" s="32" t="n">
        <x:f>IF(I30&gt;0,"Pending",IF(E30=0,"—",(E30-G30)/E30))</x:f>
        <x:v>1</x:v>
      </x:c>
      <x:c r="M30" s="39" t="n">
        <x:f>IF(I30&gt;0,"Pending",E30-H30)</x:f>
        <x:v>39</x:v>
      </x:c>
    </x:row>
    <x:row r="31" ht="23" customHeight="1">
      <x:c r="B31" s="17" t="str">
        <x:v>Cli</x:v>
      </x:c>
      <x:c r="C31" s="17" t="str">
        <x:v>Round2</x:v>
      </x:c>
      <x:c r="D31" s="17" t="str">
        <x:v>Coverage</x:v>
      </x:c>
      <x:c r="E31" s="39" t="n">
        <x:f>COUNTA('CoverageCases'!$D$882:$D$920)</x:f>
        <x:v>39</x:v>
      </x:c>
      <x:c r="F31" s="39" t="n">
        <x:f>COUNT('CoverageCases'!$O$882:$O$920)</x:f>
        <x:v>38</x:v>
      </x:c>
      <x:c r="G31" s="39" t="n">
        <x:f>COUNTIF('CoverageCases'!$G$882:$G$920,"A")</x:f>
        <x:v>1</x:v>
      </x:c>
      <x:c r="H31" s="39" t="n">
        <x:f>COUNTIF('CoverageCases'!$G$882:$G$920,"B")</x:f>
        <x:v>0</x:v>
      </x:c>
      <x:c r="I31" s="39" t="n">
        <x:f>COUNTIF('CoverageCases'!$G$882:$G$920,"UNRESOLVED")</x:f>
        <x:v>0</x:v>
      </x:c>
      <x:c r="J31" s="32" t="n">
        <x:f>IF(F31=0,"—",(SUM('CoverageCases'!$O$882:$O$920))/F31/100)</x:f>
        <x:v>0.08051052631578949</x:v>
      </x:c>
      <x:c r="K31" s="32" t="n">
        <x:f>IF(I31&gt;0,"Pending",IF(E31-H31=0,"—",(SUM('CoverageCases'!$O$882:$O$920))/(E31-H31)/100))</x:f>
        <x:v>0.07844615384615386</x:v>
      </x:c>
      <x:c r="L31" s="32" t="n">
        <x:f>IF(I31&gt;0,"Pending",IF(E31=0,"—",(E31-G31)/E31))</x:f>
        <x:v>0.9743589743589743</x:v>
      </x:c>
      <x:c r="M31" s="39" t="n">
        <x:f>IF(I31&gt;0,"Pending",E31-H31)</x:f>
        <x:v>39</x:v>
      </x:c>
    </x:row>
    <x:row r="32" ht="23" customHeight="1">
      <x:c r="B32" s="17" t="str">
        <x:v>Cli</x:v>
      </x:c>
      <x:c r="C32" s="17" t="str">
        <x:v>Round2</x:v>
      </x:c>
      <x:c r="D32" s="17" t="str">
        <x:v>Line</x:v>
      </x:c>
      <x:c r="E32" s="39" t="n">
        <x:f>COUNTA('CoverageCases'!$D$2590:$D$2628)</x:f>
        <x:v>39</x:v>
      </x:c>
      <x:c r="F32" s="39" t="n">
        <x:f>COUNT('CoverageCases'!$O$2590:$O$2628)</x:f>
        <x:v>38</x:v>
      </x:c>
      <x:c r="G32" s="39" t="n">
        <x:f>COUNTIF('CoverageCases'!$G$2590:$G$2628,"A")</x:f>
        <x:v>1</x:v>
      </x:c>
      <x:c r="H32" s="39" t="n">
        <x:f>COUNTIF('CoverageCases'!$G$2590:$G$2628,"B")</x:f>
        <x:v>0</x:v>
      </x:c>
      <x:c r="I32" s="39" t="n">
        <x:f>COUNTIF('CoverageCases'!$G$2590:$G$2628,"UNRESOLVED")</x:f>
        <x:v>0</x:v>
      </x:c>
      <x:c r="J32" s="32" t="n">
        <x:f>IF(F32=0,"—",(SUM('CoverageCases'!$O$2590:$O$2628))/F32/100)</x:f>
        <x:v>0.08686578947368422</x:v>
      </x:c>
      <x:c r="K32" s="32" t="n">
        <x:f>IF(I32&gt;0,"Pending",IF(E32-H32=0,"—",(SUM('CoverageCases'!$O$2590:$O$2628))/(E32-H32)/100))</x:f>
        <x:v>0.08463846153846154</x:v>
      </x:c>
      <x:c r="L32" s="32" t="n">
        <x:f>IF(I32&gt;0,"Pending",IF(E32=0,"—",(E32-G32)/E32))</x:f>
        <x:v>0.9743589743589743</x:v>
      </x:c>
      <x:c r="M32" s="39" t="n">
        <x:f>IF(I32&gt;0,"Pending",E32-H32)</x:f>
        <x:v>39</x:v>
      </x:c>
    </x:row>
    <x:row r="33" ht="23" customHeight="1">
      <x:c r="B33" s="17" t="str">
        <x:v>Cli</x:v>
      </x:c>
      <x:c r="C33" s="17" t="str">
        <x:v>Round2</x:v>
      </x:c>
      <x:c r="D33" s="17" t="str">
        <x:v>Condition</x:v>
      </x:c>
      <x:c r="E33" s="39" t="n">
        <x:f>COUNTA('CoverageCases'!$D$4298:$D$4336)</x:f>
        <x:v>39</x:v>
      </x:c>
      <x:c r="F33" s="39" t="n">
        <x:f>COUNT('CoverageCases'!$O$4298:$O$4336)</x:f>
        <x:v>38</x:v>
      </x:c>
      <x:c r="G33" s="39" t="n">
        <x:f>COUNTIF('CoverageCases'!$G$4298:$G$4336,"A")</x:f>
        <x:v>1</x:v>
      </x:c>
      <x:c r="H33" s="39" t="n">
        <x:f>COUNTIF('CoverageCases'!$G$4298:$G$4336,"B")</x:f>
        <x:v>0</x:v>
      </x:c>
      <x:c r="I33" s="39" t="n">
        <x:f>COUNTIF('CoverageCases'!$G$4298:$G$4336,"UNRESOLVED")</x:f>
        <x:v>0</x:v>
      </x:c>
      <x:c r="J33" s="32" t="n">
        <x:f>IF(F33=0,"—",(SUM('CoverageCases'!$O$4298:$O$4336))/F33/100)</x:f>
        <x:v>0.0664578947368421</x:v>
      </x:c>
      <x:c r="K33" s="32" t="n">
        <x:f>IF(I33&gt;0,"Pending",IF(E33-H33=0,"—",(SUM('CoverageCases'!$O$4298:$O$4336))/(E33-H33)/100))</x:f>
        <x:v>0.06475384615384616</x:v>
      </x:c>
      <x:c r="L33" s="32" t="n">
        <x:f>IF(I33&gt;0,"Pending",IF(E33=0,"—",(E33-G33)/E33))</x:f>
        <x:v>0.9743589743589743</x:v>
      </x:c>
      <x:c r="M33" s="39" t="n">
        <x:f>IF(I33&gt;0,"Pending",E33-H33)</x:f>
        <x:v>39</x:v>
      </x:c>
    </x:row>
    <x:row r="34" ht="23" customHeight="1">
      <x:c r="B34" s="17" t="str">
        <x:v>Closure</x:v>
      </x:c>
      <x:c r="C34" s="17" t="str">
        <x:v>All rounds</x:v>
      </x:c>
      <x:c r="D34" s="17" t="str">
        <x:v>Coverage</x:v>
      </x:c>
      <x:c r="E34" s="39" t="n">
        <x:f>COUNTA('CoverageCases'!$D$67:$D$240,'CoverageCases'!$D$921:$D$1094)</x:f>
        <x:v>348</x:v>
      </x:c>
      <x:c r="F34" s="39" t="n">
        <x:f>COUNT('CoverageCases'!$O$67:$O$240,'CoverageCases'!$O$921:$O$1094)</x:f>
        <x:v>342</x:v>
      </x:c>
      <x:c r="G34" s="39" t="n">
        <x:f>COUNTIF('CoverageCases'!$G$67:$G$240,"A")+COUNTIF('CoverageCases'!$G$921:$G$1094,"A")</x:f>
        <x:v>6</x:v>
      </x:c>
      <x:c r="H34" s="39" t="n">
        <x:f>COUNTIF('CoverageCases'!$G$67:$G$240,"B")+COUNTIF('CoverageCases'!$G$921:$G$1094,"B")</x:f>
        <x:v>0</x:v>
      </x:c>
      <x:c r="I34" s="39" t="n">
        <x:f>COUNTIF('CoverageCases'!$G$67:$G$240,"UNRESOLVED")+COUNTIF('CoverageCases'!$G$921:$G$1094,"UNRESOLVED")</x:f>
        <x:v>0</x:v>
      </x:c>
      <x:c r="J34" s="32" t="n">
        <x:f>IF(F34=0,"—",(SUM('CoverageCases'!$O$67:$O$240,'CoverageCases'!$O$921:$O$1094))/F34/100)</x:f>
        <x:v>0.13068216374269</x:v>
      </x:c>
      <x:c r="K34" s="32" t="n">
        <x:f>IF(I34&gt;0,"Pending",IF(E34-H34=0,"—",(SUM('CoverageCases'!$O$67:$O$240,'CoverageCases'!$O$921:$O$1094))/(E34-H34)/100))</x:f>
        <x:v>0.1284290229885057</x:v>
      </x:c>
      <x:c r="L34" s="32" t="n">
        <x:f>IF(I34&gt;0,"Pending",IF(E34=0,"—",(E34-G34)/E34))</x:f>
        <x:v>0.9827586206896551</x:v>
      </x:c>
      <x:c r="M34" s="39" t="n">
        <x:f>IF(I34&gt;0,"Pending",E34-H34)</x:f>
        <x:v>348</x:v>
      </x:c>
    </x:row>
    <x:row r="35" ht="23" customHeight="1">
      <x:c r="B35" s="17" t="str">
        <x:v>Closure</x:v>
      </x:c>
      <x:c r="C35" s="17" t="str">
        <x:v>All rounds</x:v>
      </x:c>
      <x:c r="D35" s="17" t="str">
        <x:v>Line</x:v>
      </x:c>
      <x:c r="E35" s="39" t="n">
        <x:f>COUNTA('CoverageCases'!$D$1775:$D$1948,'CoverageCases'!$D$2629:$D$2802)</x:f>
        <x:v>348</x:v>
      </x:c>
      <x:c r="F35" s="39" t="n">
        <x:f>COUNT('CoverageCases'!$O$1775:$O$1948,'CoverageCases'!$O$2629:$O$2802)</x:f>
        <x:v>342</x:v>
      </x:c>
      <x:c r="G35" s="39" t="n">
        <x:f>COUNTIF('CoverageCases'!$G$1775:$G$1948,"A")+COUNTIF('CoverageCases'!$G$2629:$G$2802,"A")</x:f>
        <x:v>6</x:v>
      </x:c>
      <x:c r="H35" s="39" t="n">
        <x:f>COUNTIF('CoverageCases'!$G$1775:$G$1948,"B")+COUNTIF('CoverageCases'!$G$2629:$G$2802,"B")</x:f>
        <x:v>0</x:v>
      </x:c>
      <x:c r="I35" s="39" t="n">
        <x:f>COUNTIF('CoverageCases'!$G$1775:$G$1948,"UNRESOLVED")+COUNTIF('CoverageCases'!$G$2629:$G$2802,"UNRESOLVED")</x:f>
        <x:v>0</x:v>
      </x:c>
      <x:c r="J35" s="32" t="n">
        <x:f>IF(F35=0,"—",(SUM('CoverageCases'!$O$1775:$O$1948,'CoverageCases'!$O$2629:$O$2802))/F35/100)</x:f>
        <x:v>0.16357251461988306</x:v>
      </x:c>
      <x:c r="K35" s="32" t="n">
        <x:f>IF(I35&gt;0,"Pending",IF(E35-H35=0,"—",(SUM('CoverageCases'!$O$1775:$O$1948,'CoverageCases'!$O$2629:$O$2802))/(E35-H35)/100))</x:f>
        <x:v>0.1607522988505747</x:v>
      </x:c>
      <x:c r="L35" s="32" t="n">
        <x:f>IF(I35&gt;0,"Pending",IF(E35=0,"—",(E35-G35)/E35))</x:f>
        <x:v>0.9827586206896551</x:v>
      </x:c>
      <x:c r="M35" s="39" t="n">
        <x:f>IF(I35&gt;0,"Pending",E35-H35)</x:f>
        <x:v>348</x:v>
      </x:c>
    </x:row>
    <x:row r="36" ht="23" customHeight="1">
      <x:c r="B36" s="17" t="str">
        <x:v>Closure</x:v>
      </x:c>
      <x:c r="C36" s="17" t="str">
        <x:v>All rounds</x:v>
      </x:c>
      <x:c r="D36" s="17" t="str">
        <x:v>Condition</x:v>
      </x:c>
      <x:c r="E36" s="39" t="n">
        <x:f>COUNTA('CoverageCases'!$D$3483:$D$3656,'CoverageCases'!$D$4337:$D$4510)</x:f>
        <x:v>348</x:v>
      </x:c>
      <x:c r="F36" s="39" t="n">
        <x:f>COUNT('CoverageCases'!$O$3483:$O$3656,'CoverageCases'!$O$4337:$O$4510)</x:f>
        <x:v>342</x:v>
      </x:c>
      <x:c r="G36" s="39" t="n">
        <x:f>COUNTIF('CoverageCases'!$G$3483:$G$3656,"A")+COUNTIF('CoverageCases'!$G$4337:$G$4510,"A")</x:f>
        <x:v>6</x:v>
      </x:c>
      <x:c r="H36" s="39" t="n">
        <x:f>COUNTIF('CoverageCases'!$G$3483:$G$3656,"B")+COUNTIF('CoverageCases'!$G$4337:$G$4510,"B")</x:f>
        <x:v>0</x:v>
      </x:c>
      <x:c r="I36" s="39" t="n">
        <x:f>COUNTIF('CoverageCases'!$G$3483:$G$3656,"UNRESOLVED")+COUNTIF('CoverageCases'!$G$4337:$G$4510,"UNRESOLVED")</x:f>
        <x:v>0</x:v>
      </x:c>
      <x:c r="J36" s="32" t="n">
        <x:f>IF(F36=0,"—",(SUM('CoverageCases'!$O$3483:$O$3656,'CoverageCases'!$O$4337:$O$4510))/F36/100)</x:f>
        <x:v>0.0766292397660819</x:v>
      </x:c>
      <x:c r="K36" s="32" t="n">
        <x:f>IF(I36&gt;0,"Pending",IF(E36-H36=0,"—",(SUM('CoverageCases'!$O$3483:$O$3656,'CoverageCases'!$O$4337:$O$4510))/(E36-H36)/100))</x:f>
        <x:v>0.07530804597701152</x:v>
      </x:c>
      <x:c r="L36" s="32" t="n">
        <x:f>IF(I36&gt;0,"Pending",IF(E36=0,"—",(E36-G36)/E36))</x:f>
        <x:v>0.9827586206896551</x:v>
      </x:c>
      <x:c r="M36" s="39" t="n">
        <x:f>IF(I36&gt;0,"Pending",E36-H36)</x:f>
        <x:v>348</x:v>
      </x:c>
    </x:row>
    <x:row r="37" ht="23" customHeight="1">
      <x:c r="B37" s="17" t="str">
        <x:v>Closure</x:v>
      </x:c>
      <x:c r="C37" s="17" t="str">
        <x:v>Round1</x:v>
      </x:c>
      <x:c r="D37" s="17" t="str">
        <x:v>Coverage</x:v>
      </x:c>
      <x:c r="E37" s="39" t="n">
        <x:f>COUNTA('CoverageCases'!$D$67:$D$240)</x:f>
        <x:v>174</x:v>
      </x:c>
      <x:c r="F37" s="39" t="n">
        <x:f>COUNT('CoverageCases'!$O$67:$O$240)</x:f>
        <x:v>174</x:v>
      </x:c>
      <x:c r="G37" s="39" t="n">
        <x:f>COUNTIF('CoverageCases'!$G$67:$G$240,"A")</x:f>
        <x:v>0</x:v>
      </x:c>
      <x:c r="H37" s="39" t="n">
        <x:f>COUNTIF('CoverageCases'!$G$67:$G$240,"B")</x:f>
        <x:v>0</x:v>
      </x:c>
      <x:c r="I37" s="39" t="n">
        <x:f>COUNTIF('CoverageCases'!$G$67:$G$240,"UNRESOLVED")</x:f>
        <x:v>0</x:v>
      </x:c>
      <x:c r="J37" s="32" t="n">
        <x:f>IF(F37=0,"—",(SUM('CoverageCases'!$O$67:$O$240))/F37/100)</x:f>
        <x:v>0.13344712643678153</x:v>
      </x:c>
      <x:c r="K37" s="32" t="n">
        <x:f>IF(I37&gt;0,"Pending",IF(E37-H37=0,"—",(SUM('CoverageCases'!$O$67:$O$240))/(E37-H37)/100))</x:f>
        <x:v>0.13344712643678153</x:v>
      </x:c>
      <x:c r="L37" s="32" t="n">
        <x:f>IF(I37&gt;0,"Pending",IF(E37=0,"—",(E37-G37)/E37))</x:f>
        <x:v>1</x:v>
      </x:c>
      <x:c r="M37" s="39" t="n">
        <x:f>IF(I37&gt;0,"Pending",E37-H37)</x:f>
        <x:v>174</x:v>
      </x:c>
    </x:row>
    <x:row r="38" ht="23" customHeight="1">
      <x:c r="B38" s="17" t="str">
        <x:v>Closure</x:v>
      </x:c>
      <x:c r="C38" s="17" t="str">
        <x:v>Round1</x:v>
      </x:c>
      <x:c r="D38" s="17" t="str">
        <x:v>Line</x:v>
      </x:c>
      <x:c r="E38" s="39" t="n">
        <x:f>COUNTA('CoverageCases'!$D$1775:$D$1948)</x:f>
        <x:v>174</x:v>
      </x:c>
      <x:c r="F38" s="39" t="n">
        <x:f>COUNT('CoverageCases'!$O$1775:$O$1948)</x:f>
        <x:v>174</x:v>
      </x:c>
      <x:c r="G38" s="39" t="n">
        <x:f>COUNTIF('CoverageCases'!$G$1775:$G$1948,"A")</x:f>
        <x:v>0</x:v>
      </x:c>
      <x:c r="H38" s="39" t="n">
        <x:f>COUNTIF('CoverageCases'!$G$1775:$G$1948,"B")</x:f>
        <x:v>0</x:v>
      </x:c>
      <x:c r="I38" s="39" t="n">
        <x:f>COUNTIF('CoverageCases'!$G$1775:$G$1948,"UNRESOLVED")</x:f>
        <x:v>0</x:v>
      </x:c>
      <x:c r="J38" s="32" t="n">
        <x:f>IF(F38=0,"—",(SUM('CoverageCases'!$O$1775:$O$1948))/F38/100)</x:f>
        <x:v>0.16641954022988506</x:v>
      </x:c>
      <x:c r="K38" s="32" t="n">
        <x:f>IF(I38&gt;0,"Pending",IF(E38-H38=0,"—",(SUM('CoverageCases'!$O$1775:$O$1948))/(E38-H38)/100))</x:f>
        <x:v>0.16641954022988506</x:v>
      </x:c>
      <x:c r="L38" s="32" t="n">
        <x:f>IF(I38&gt;0,"Pending",IF(E38=0,"—",(E38-G38)/E38))</x:f>
        <x:v>1</x:v>
      </x:c>
      <x:c r="M38" s="39" t="n">
        <x:f>IF(I38&gt;0,"Pending",E38-H38)</x:f>
        <x:v>174</x:v>
      </x:c>
    </x:row>
    <x:row r="39" ht="23" customHeight="1">
      <x:c r="B39" s="17" t="str">
        <x:v>Closure</x:v>
      </x:c>
      <x:c r="C39" s="17" t="str">
        <x:v>Round1</x:v>
      </x:c>
      <x:c r="D39" s="17" t="str">
        <x:v>Condition</x:v>
      </x:c>
      <x:c r="E39" s="39" t="n">
        <x:f>COUNTA('CoverageCases'!$D$3483:$D$3656)</x:f>
        <x:v>174</x:v>
      </x:c>
      <x:c r="F39" s="39" t="n">
        <x:f>COUNT('CoverageCases'!$O$3483:$O$3656)</x:f>
        <x:v>174</x:v>
      </x:c>
      <x:c r="G39" s="39" t="n">
        <x:f>COUNTIF('CoverageCases'!$G$3483:$G$3656,"A")</x:f>
        <x:v>0</x:v>
      </x:c>
      <x:c r="H39" s="39" t="n">
        <x:f>COUNTIF('CoverageCases'!$G$3483:$G$3656,"B")</x:f>
        <x:v>0</x:v>
      </x:c>
      <x:c r="I39" s="39" t="n">
        <x:f>COUNTIF('CoverageCases'!$G$3483:$G$3656,"UNRESOLVED")</x:f>
        <x:v>0</x:v>
      </x:c>
      <x:c r="J39" s="32" t="n">
        <x:f>IF(F39=0,"—",(SUM('CoverageCases'!$O$3483:$O$3656))/F39/100)</x:f>
        <x:v>0.07704425287356323</x:v>
      </x:c>
      <x:c r="K39" s="32" t="n">
        <x:f>IF(I39&gt;0,"Pending",IF(E39-H39=0,"—",(SUM('CoverageCases'!$O$3483:$O$3656))/(E39-H39)/100))</x:f>
        <x:v>0.07704425287356323</x:v>
      </x:c>
      <x:c r="L39" s="32" t="n">
        <x:f>IF(I39&gt;0,"Pending",IF(E39=0,"—",(E39-G39)/E39))</x:f>
        <x:v>1</x:v>
      </x:c>
      <x:c r="M39" s="39" t="n">
        <x:f>IF(I39&gt;0,"Pending",E39-H39)</x:f>
        <x:v>174</x:v>
      </x:c>
    </x:row>
    <x:row r="40" ht="23" customHeight="1">
      <x:c r="B40" s="17" t="str">
        <x:v>Closure</x:v>
      </x:c>
      <x:c r="C40" s="17" t="str">
        <x:v>Round2</x:v>
      </x:c>
      <x:c r="D40" s="17" t="str">
        <x:v>Coverage</x:v>
      </x:c>
      <x:c r="E40" s="39" t="n">
        <x:f>COUNTA('CoverageCases'!$D$921:$D$1094)</x:f>
        <x:v>174</x:v>
      </x:c>
      <x:c r="F40" s="39" t="n">
        <x:f>COUNT('CoverageCases'!$O$921:$O$1094)</x:f>
        <x:v>168</x:v>
      </x:c>
      <x:c r="G40" s="39" t="n">
        <x:f>COUNTIF('CoverageCases'!$G$921:$G$1094,"A")</x:f>
        <x:v>6</x:v>
      </x:c>
      <x:c r="H40" s="39" t="n">
        <x:f>COUNTIF('CoverageCases'!$G$921:$G$1094,"B")</x:f>
        <x:v>0</x:v>
      </x:c>
      <x:c r="I40" s="39" t="n">
        <x:f>COUNTIF('CoverageCases'!$G$921:$G$1094,"UNRESOLVED")</x:f>
        <x:v>0</x:v>
      </x:c>
      <x:c r="J40" s="32" t="n">
        <x:f>IF(F40=0,"—",(SUM('CoverageCases'!$O$921:$O$1094))/F40/100)</x:f>
        <x:v>0.12781845238095232</x:v>
      </x:c>
      <x:c r="K40" s="32" t="n">
        <x:f>IF(I40&gt;0,"Pending",IF(E40-H40=0,"—",(SUM('CoverageCases'!$O$921:$O$1094))/(E40-H40)/100))</x:f>
        <x:v>0.12341091954022981</x:v>
      </x:c>
      <x:c r="L40" s="32" t="n">
        <x:f>IF(I40&gt;0,"Pending",IF(E40=0,"—",(E40-G40)/E40))</x:f>
        <x:v>0.9655172413793104</x:v>
      </x:c>
      <x:c r="M40" s="39" t="n">
        <x:f>IF(I40&gt;0,"Pending",E40-H40)</x:f>
        <x:v>174</x:v>
      </x:c>
    </x:row>
    <x:row r="41" ht="23" customHeight="1">
      <x:c r="B41" s="17" t="str">
        <x:v>Closure</x:v>
      </x:c>
      <x:c r="C41" s="17" t="str">
        <x:v>Round2</x:v>
      </x:c>
      <x:c r="D41" s="17" t="str">
        <x:v>Line</x:v>
      </x:c>
      <x:c r="E41" s="39" t="n">
        <x:f>COUNTA('CoverageCases'!$D$2629:$D$2802)</x:f>
        <x:v>174</x:v>
      </x:c>
      <x:c r="F41" s="39" t="n">
        <x:f>COUNT('CoverageCases'!$O$2629:$O$2802)</x:f>
        <x:v>168</x:v>
      </x:c>
      <x:c r="G41" s="39" t="n">
        <x:f>COUNTIF('CoverageCases'!$G$2629:$G$2802,"A")</x:f>
        <x:v>6</x:v>
      </x:c>
      <x:c r="H41" s="39" t="n">
        <x:f>COUNTIF('CoverageCases'!$G$2629:$G$2802,"B")</x:f>
        <x:v>0</x:v>
      </x:c>
      <x:c r="I41" s="39" t="n">
        <x:f>COUNTIF('CoverageCases'!$G$2629:$G$2802,"UNRESOLVED")</x:f>
        <x:v>0</x:v>
      </x:c>
      <x:c r="J41" s="32" t="n">
        <x:f>IF(F41=0,"—",(SUM('CoverageCases'!$O$2629:$O$2802))/F41/100)</x:f>
        <x:v>0.16062380952380953</x:v>
      </x:c>
      <x:c r="K41" s="32" t="n">
        <x:f>IF(I41&gt;0,"Pending",IF(E41-H41=0,"—",(SUM('CoverageCases'!$O$2629:$O$2802))/(E41-H41)/100))</x:f>
        <x:v>0.15508505747126436</x:v>
      </x:c>
      <x:c r="L41" s="32" t="n">
        <x:f>IF(I41&gt;0,"Pending",IF(E41=0,"—",(E41-G41)/E41))</x:f>
        <x:v>0.9655172413793104</x:v>
      </x:c>
      <x:c r="M41" s="39" t="n">
        <x:f>IF(I41&gt;0,"Pending",E41-H41)</x:f>
        <x:v>174</x:v>
      </x:c>
    </x:row>
    <x:row r="42" ht="23" customHeight="1">
      <x:c r="B42" s="17" t="str">
        <x:v>Closure</x:v>
      </x:c>
      <x:c r="C42" s="17" t="str">
        <x:v>Round2</x:v>
      </x:c>
      <x:c r="D42" s="17" t="str">
        <x:v>Condition</x:v>
      </x:c>
      <x:c r="E42" s="39" t="n">
        <x:f>COUNTA('CoverageCases'!$D$4337:$D$4510)</x:f>
        <x:v>174</x:v>
      </x:c>
      <x:c r="F42" s="39" t="n">
        <x:f>COUNT('CoverageCases'!$O$4337:$O$4510)</x:f>
        <x:v>168</x:v>
      </x:c>
      <x:c r="G42" s="39" t="n">
        <x:f>COUNTIF('CoverageCases'!$G$4337:$G$4510,"A")</x:f>
        <x:v>6</x:v>
      </x:c>
      <x:c r="H42" s="39" t="n">
        <x:f>COUNTIF('CoverageCases'!$G$4337:$G$4510,"B")</x:f>
        <x:v>0</x:v>
      </x:c>
      <x:c r="I42" s="39" t="n">
        <x:f>COUNTIF('CoverageCases'!$G$4337:$G$4510,"UNRESOLVED")</x:f>
        <x:v>0</x:v>
      </x:c>
      <x:c r="J42" s="32" t="n">
        <x:f>IF(F42=0,"—",(SUM('CoverageCases'!$O$4337:$O$4510))/F42/100)</x:f>
        <x:v>0.0761994047619048</x:v>
      </x:c>
      <x:c r="K42" s="32" t="n">
        <x:f>IF(I42&gt;0,"Pending",IF(E42-H42=0,"—",(SUM('CoverageCases'!$O$4337:$O$4510))/(E42-H42)/100))</x:f>
        <x:v>0.07357183908045979</x:v>
      </x:c>
      <x:c r="L42" s="32" t="n">
        <x:f>IF(I42&gt;0,"Pending",IF(E42=0,"—",(E42-G42)/E42))</x:f>
        <x:v>0.9655172413793104</x:v>
      </x:c>
      <x:c r="M42" s="39" t="n">
        <x:f>IF(I42&gt;0,"Pending",E42-H42)</x:f>
        <x:v>174</x:v>
      </x:c>
    </x:row>
    <x:row r="43" ht="23" customHeight="1">
      <x:c r="B43" s="17" t="str">
        <x:v>Codec</x:v>
      </x:c>
      <x:c r="C43" s="17" t="str">
        <x:v>All rounds</x:v>
      </x:c>
      <x:c r="D43" s="17" t="str">
        <x:v>Coverage</x:v>
      </x:c>
      <x:c r="E43" s="39" t="n">
        <x:f>COUNTA('CoverageCases'!$D$241:$D$258,'CoverageCases'!$D$1095:$D$1112)</x:f>
        <x:v>36</x:v>
      </x:c>
      <x:c r="F43" s="39" t="n">
        <x:f>COUNT('CoverageCases'!$O$241:$O$258,'CoverageCases'!$O$1095:$O$1112)</x:f>
        <x:v>34</x:v>
      </x:c>
      <x:c r="G43" s="39" t="n">
        <x:f>COUNTIF('CoverageCases'!$G$241:$G$258,"A")+COUNTIF('CoverageCases'!$G$1095:$G$1112,"A")</x:f>
        <x:v>2</x:v>
      </x:c>
      <x:c r="H43" s="39" t="n">
        <x:f>COUNTIF('CoverageCases'!$G$241:$G$258,"B")+COUNTIF('CoverageCases'!$G$1095:$G$1112,"B")</x:f>
        <x:v>0</x:v>
      </x:c>
      <x:c r="I43" s="39" t="n">
        <x:f>COUNTIF('CoverageCases'!$G$241:$G$258,"UNRESOLVED")+COUNTIF('CoverageCases'!$G$1095:$G$1112,"UNRESOLVED")</x:f>
        <x:v>0</x:v>
      </x:c>
      <x:c r="J43" s="32" t="n">
        <x:f>IF(F43=0,"—",(SUM('CoverageCases'!$O$241:$O$258,'CoverageCases'!$O$1095:$O$1112))/F43/100)</x:f>
        <x:v>0.741864705882353</x:v>
      </x:c>
      <x:c r="K43" s="32" t="n">
        <x:f>IF(I43&gt;0,"Pending",IF(E43-H43=0,"—",(SUM('CoverageCases'!$O$241:$O$258,'CoverageCases'!$O$1095:$O$1112))/(E43-H43)/100))</x:f>
        <x:v>0.70065</x:v>
      </x:c>
      <x:c r="L43" s="32" t="n">
        <x:f>IF(I43&gt;0,"Pending",IF(E43=0,"—",(E43-G43)/E43))</x:f>
        <x:v>0.9444444444444444</x:v>
      </x:c>
      <x:c r="M43" s="39" t="n">
        <x:f>IF(I43&gt;0,"Pending",E43-H43)</x:f>
        <x:v>36</x:v>
      </x:c>
    </x:row>
    <x:row r="44" ht="23" customHeight="1">
      <x:c r="B44" s="17" t="str">
        <x:v>Codec</x:v>
      </x:c>
      <x:c r="C44" s="17" t="str">
        <x:v>All rounds</x:v>
      </x:c>
      <x:c r="D44" s="17" t="str">
        <x:v>Line</x:v>
      </x:c>
      <x:c r="E44" s="39" t="n">
        <x:f>COUNTA('CoverageCases'!$D$1949:$D$1966,'CoverageCases'!$D$2803:$D$2820)</x:f>
        <x:v>36</x:v>
      </x:c>
      <x:c r="F44" s="39" t="n">
        <x:f>COUNT('CoverageCases'!$O$1949:$O$1966,'CoverageCases'!$O$2803:$O$2820)</x:f>
        <x:v>34</x:v>
      </x:c>
      <x:c r="G44" s="39" t="n">
        <x:f>COUNTIF('CoverageCases'!$G$1949:$G$1966,"A")+COUNTIF('CoverageCases'!$G$2803:$G$2820,"A")</x:f>
        <x:v>2</x:v>
      </x:c>
      <x:c r="H44" s="39" t="n">
        <x:f>COUNTIF('CoverageCases'!$G$1949:$G$1966,"B")+COUNTIF('CoverageCases'!$G$2803:$G$2820,"B")</x:f>
        <x:v>0</x:v>
      </x:c>
      <x:c r="I44" s="39" t="n">
        <x:f>COUNTIF('CoverageCases'!$G$1949:$G$1966,"UNRESOLVED")+COUNTIF('CoverageCases'!$G$2803:$G$2820,"UNRESOLVED")</x:f>
        <x:v>0</x:v>
      </x:c>
      <x:c r="J44" s="32" t="n">
        <x:f>IF(F44=0,"—",(SUM('CoverageCases'!$O$1949:$O$1966,'CoverageCases'!$O$2803:$O$2820))/F44/100)</x:f>
        <x:v>0.7933794117647059</x:v>
      </x:c>
      <x:c r="K44" s="32" t="n">
        <x:f>IF(I44&gt;0,"Pending",IF(E44-H44=0,"—",(SUM('CoverageCases'!$O$1949:$O$1966,'CoverageCases'!$O$2803:$O$2820))/(E44-H44)/100))</x:f>
        <x:v>0.7493027777777779</x:v>
      </x:c>
      <x:c r="L44" s="32" t="n">
        <x:f>IF(I44&gt;0,"Pending",IF(E44=0,"—",(E44-G44)/E44))</x:f>
        <x:v>0.9444444444444444</x:v>
      </x:c>
      <x:c r="M44" s="39" t="n">
        <x:f>IF(I44&gt;0,"Pending",E44-H44)</x:f>
        <x:v>36</x:v>
      </x:c>
    </x:row>
    <x:row r="45" ht="23" customHeight="1">
      <x:c r="B45" s="17" t="str">
        <x:v>Codec</x:v>
      </x:c>
      <x:c r="C45" s="17" t="str">
        <x:v>All rounds</x:v>
      </x:c>
      <x:c r="D45" s="17" t="str">
        <x:v>Condition</x:v>
      </x:c>
      <x:c r="E45" s="39" t="n">
        <x:f>COUNTA('CoverageCases'!$D$3657:$D$3674,'CoverageCases'!$D$4511:$D$4528)</x:f>
        <x:v>36</x:v>
      </x:c>
      <x:c r="F45" s="39" t="n">
        <x:f>COUNT('CoverageCases'!$O$3657:$O$3674,'CoverageCases'!$O$4511:$O$4528)</x:f>
        <x:v>34</x:v>
      </x:c>
      <x:c r="G45" s="39" t="n">
        <x:f>COUNTIF('CoverageCases'!$G$3657:$G$3674,"A")+COUNTIF('CoverageCases'!$G$4511:$G$4528,"A")</x:f>
        <x:v>2</x:v>
      </x:c>
      <x:c r="H45" s="39" t="n">
        <x:f>COUNTIF('CoverageCases'!$G$3657:$G$3674,"B")+COUNTIF('CoverageCases'!$G$4511:$G$4528,"B")</x:f>
        <x:v>0</x:v>
      </x:c>
      <x:c r="I45" s="39" t="n">
        <x:f>COUNTIF('CoverageCases'!$G$3657:$G$3674,"UNRESOLVED")+COUNTIF('CoverageCases'!$G$4511:$G$4528,"UNRESOLVED")</x:f>
        <x:v>0</x:v>
      </x:c>
      <x:c r="J45" s="32" t="n">
        <x:f>IF(F45=0,"—",(SUM('CoverageCases'!$O$3657:$O$3674,'CoverageCases'!$O$4511:$O$4528))/F45/100)</x:f>
        <x:v>0.6584617647058824</x:v>
      </x:c>
      <x:c r="K45" s="32" t="n">
        <x:f>IF(I45&gt;0,"Pending",IF(E45-H45=0,"—",(SUM('CoverageCases'!$O$3657:$O$3674,'CoverageCases'!$O$4511:$O$4528))/(E45-H45)/100))</x:f>
        <x:v>0.6218805555555555</x:v>
      </x:c>
      <x:c r="L45" s="32" t="n">
        <x:f>IF(I45&gt;0,"Pending",IF(E45=0,"—",(E45-G45)/E45))</x:f>
        <x:v>0.9444444444444444</x:v>
      </x:c>
      <x:c r="M45" s="39" t="n">
        <x:f>IF(I45&gt;0,"Pending",E45-H45)</x:f>
        <x:v>36</x:v>
      </x:c>
    </x:row>
    <x:row r="46" ht="23" customHeight="1">
      <x:c r="B46" s="17" t="str">
        <x:v>Codec</x:v>
      </x:c>
      <x:c r="C46" s="17" t="str">
        <x:v>Round1</x:v>
      </x:c>
      <x:c r="D46" s="17" t="str">
        <x:v>Coverage</x:v>
      </x:c>
      <x:c r="E46" s="39" t="n">
        <x:f>COUNTA('CoverageCases'!$D$241:$D$258)</x:f>
        <x:v>18</x:v>
      </x:c>
      <x:c r="F46" s="39" t="n">
        <x:f>COUNT('CoverageCases'!$O$241:$O$258)</x:f>
        <x:v>17</x:v>
      </x:c>
      <x:c r="G46" s="39" t="n">
        <x:f>COUNTIF('CoverageCases'!$G$241:$G$258,"A")</x:f>
        <x:v>1</x:v>
      </x:c>
      <x:c r="H46" s="39" t="n">
        <x:f>COUNTIF('CoverageCases'!$G$241:$G$258,"B")</x:f>
        <x:v>0</x:v>
      </x:c>
      <x:c r="I46" s="39" t="n">
        <x:f>COUNTIF('CoverageCases'!$G$241:$G$258,"UNRESOLVED")</x:f>
        <x:v>0</x:v>
      </x:c>
      <x:c r="J46" s="32" t="n">
        <x:f>IF(F46=0,"—",(SUM('CoverageCases'!$O$241:$O$258))/F46/100)</x:f>
        <x:v>0.7073</x:v>
      </x:c>
      <x:c r="K46" s="32" t="n">
        <x:f>IF(I46&gt;0,"Pending",IF(E46-H46=0,"—",(SUM('CoverageCases'!$O$241:$O$258))/(E46-H46)/100))</x:f>
        <x:v>0.6680055555555556</x:v>
      </x:c>
      <x:c r="L46" s="32" t="n">
        <x:f>IF(I46&gt;0,"Pending",IF(E46=0,"—",(E46-G46)/E46))</x:f>
        <x:v>0.9444444444444444</x:v>
      </x:c>
      <x:c r="M46" s="39" t="n">
        <x:f>IF(I46&gt;0,"Pending",E46-H46)</x:f>
        <x:v>18</x:v>
      </x:c>
    </x:row>
    <x:row r="47" ht="23" customHeight="1">
      <x:c r="B47" s="17" t="str">
        <x:v>Codec</x:v>
      </x:c>
      <x:c r="C47" s="17" t="str">
        <x:v>Round1</x:v>
      </x:c>
      <x:c r="D47" s="17" t="str">
        <x:v>Line</x:v>
      </x:c>
      <x:c r="E47" s="39" t="n">
        <x:f>COUNTA('CoverageCases'!$D$1949:$D$1966)</x:f>
        <x:v>18</x:v>
      </x:c>
      <x:c r="F47" s="39" t="n">
        <x:f>COUNT('CoverageCases'!$O$1949:$O$1966)</x:f>
        <x:v>17</x:v>
      </x:c>
      <x:c r="G47" s="39" t="n">
        <x:f>COUNTIF('CoverageCases'!$G$1949:$G$1966,"A")</x:f>
        <x:v>1</x:v>
      </x:c>
      <x:c r="H47" s="39" t="n">
        <x:f>COUNTIF('CoverageCases'!$G$1949:$G$1966,"B")</x:f>
        <x:v>0</x:v>
      </x:c>
      <x:c r="I47" s="39" t="n">
        <x:f>COUNTIF('CoverageCases'!$G$1949:$G$1966,"UNRESOLVED")</x:f>
        <x:v>0</x:v>
      </x:c>
      <x:c r="J47" s="32" t="n">
        <x:f>IF(F47=0,"—",(SUM('CoverageCases'!$O$1949:$O$1966))/F47/100)</x:f>
        <x:v>0.7645058823529414</x:v>
      </x:c>
      <x:c r="K47" s="32" t="n">
        <x:f>IF(I47&gt;0,"Pending",IF(E47-H47=0,"—",(SUM('CoverageCases'!$O$1949:$O$1966))/(E47-H47)/100))</x:f>
        <x:v>0.7220333333333335</x:v>
      </x:c>
      <x:c r="L47" s="32" t="n">
        <x:f>IF(I47&gt;0,"Pending",IF(E47=0,"—",(E47-G47)/E47))</x:f>
        <x:v>0.9444444444444444</x:v>
      </x:c>
      <x:c r="M47" s="39" t="n">
        <x:f>IF(I47&gt;0,"Pending",E47-H47)</x:f>
        <x:v>18</x:v>
      </x:c>
    </x:row>
    <x:row r="48" ht="23" customHeight="1">
      <x:c r="B48" s="17" t="str">
        <x:v>Codec</x:v>
      </x:c>
      <x:c r="C48" s="17" t="str">
        <x:v>Round1</x:v>
      </x:c>
      <x:c r="D48" s="17" t="str">
        <x:v>Condition</x:v>
      </x:c>
      <x:c r="E48" s="39" t="n">
        <x:f>COUNTA('CoverageCases'!$D$3657:$D$3674)</x:f>
        <x:v>18</x:v>
      </x:c>
      <x:c r="F48" s="39" t="n">
        <x:f>COUNT('CoverageCases'!$O$3657:$O$3674)</x:f>
        <x:v>17</x:v>
      </x:c>
      <x:c r="G48" s="39" t="n">
        <x:f>COUNTIF('CoverageCases'!$G$3657:$G$3674,"A")</x:f>
        <x:v>1</x:v>
      </x:c>
      <x:c r="H48" s="39" t="n">
        <x:f>COUNTIF('CoverageCases'!$G$3657:$G$3674,"B")</x:f>
        <x:v>0</x:v>
      </x:c>
      <x:c r="I48" s="39" t="n">
        <x:f>COUNTIF('CoverageCases'!$G$3657:$G$3674,"UNRESOLVED")</x:f>
        <x:v>0</x:v>
      </x:c>
      <x:c r="J48" s="32" t="n">
        <x:f>IF(F48=0,"—",(SUM('CoverageCases'!$O$3657:$O$3674))/F48/100)</x:f>
        <x:v>0.6149470588235293</x:v>
      </x:c>
      <x:c r="K48" s="32" t="n">
        <x:f>IF(I48&gt;0,"Pending",IF(E48-H48=0,"—",(SUM('CoverageCases'!$O$3657:$O$3674))/(E48-H48)/100))</x:f>
        <x:v>0.5807833333333332</x:v>
      </x:c>
      <x:c r="L48" s="32" t="n">
        <x:f>IF(I48&gt;0,"Pending",IF(E48=0,"—",(E48-G48)/E48))</x:f>
        <x:v>0.9444444444444444</x:v>
      </x:c>
      <x:c r="M48" s="39" t="n">
        <x:f>IF(I48&gt;0,"Pending",E48-H48)</x:f>
        <x:v>18</x:v>
      </x:c>
    </x:row>
    <x:row r="49" ht="23" customHeight="1">
      <x:c r="B49" s="17" t="str">
        <x:v>Codec</x:v>
      </x:c>
      <x:c r="C49" s="17" t="str">
        <x:v>Round2</x:v>
      </x:c>
      <x:c r="D49" s="17" t="str">
        <x:v>Coverage</x:v>
      </x:c>
      <x:c r="E49" s="39" t="n">
        <x:f>COUNTA('CoverageCases'!$D$1095:$D$1112)</x:f>
        <x:v>18</x:v>
      </x:c>
      <x:c r="F49" s="39" t="n">
        <x:f>COUNT('CoverageCases'!$O$1095:$O$1112)</x:f>
        <x:v>17</x:v>
      </x:c>
      <x:c r="G49" s="39" t="n">
        <x:f>COUNTIF('CoverageCases'!$G$1095:$G$1112,"A")</x:f>
        <x:v>1</x:v>
      </x:c>
      <x:c r="H49" s="39" t="n">
        <x:f>COUNTIF('CoverageCases'!$G$1095:$G$1112,"B")</x:f>
        <x:v>0</x:v>
      </x:c>
      <x:c r="I49" s="39" t="n">
        <x:f>COUNTIF('CoverageCases'!$G$1095:$G$1112,"UNRESOLVED")</x:f>
        <x:v>0</x:v>
      </x:c>
      <x:c r="J49" s="32" t="n">
        <x:f>IF(F49=0,"—",(SUM('CoverageCases'!$O$1095:$O$1112))/F49/100)</x:f>
        <x:v>0.7764294117647057</x:v>
      </x:c>
      <x:c r="K49" s="32" t="n">
        <x:f>IF(I49&gt;0,"Pending",IF(E49-H49=0,"—",(SUM('CoverageCases'!$O$1095:$O$1112))/(E49-H49)/100))</x:f>
        <x:v>0.7332944444444444</x:v>
      </x:c>
      <x:c r="L49" s="32" t="n">
        <x:f>IF(I49&gt;0,"Pending",IF(E49=0,"—",(E49-G49)/E49))</x:f>
        <x:v>0.9444444444444444</x:v>
      </x:c>
      <x:c r="M49" s="39" t="n">
        <x:f>IF(I49&gt;0,"Pending",E49-H49)</x:f>
        <x:v>18</x:v>
      </x:c>
    </x:row>
    <x:row r="50" ht="23" customHeight="1">
      <x:c r="B50" s="17" t="str">
        <x:v>Codec</x:v>
      </x:c>
      <x:c r="C50" s="17" t="str">
        <x:v>Round2</x:v>
      </x:c>
      <x:c r="D50" s="17" t="str">
        <x:v>Line</x:v>
      </x:c>
      <x:c r="E50" s="39" t="n">
        <x:f>COUNTA('CoverageCases'!$D$2803:$D$2820)</x:f>
        <x:v>18</x:v>
      </x:c>
      <x:c r="F50" s="39" t="n">
        <x:f>COUNT('CoverageCases'!$O$2803:$O$2820)</x:f>
        <x:v>17</x:v>
      </x:c>
      <x:c r="G50" s="39" t="n">
        <x:f>COUNTIF('CoverageCases'!$G$2803:$G$2820,"A")</x:f>
        <x:v>1</x:v>
      </x:c>
      <x:c r="H50" s="39" t="n">
        <x:f>COUNTIF('CoverageCases'!$G$2803:$G$2820,"B")</x:f>
        <x:v>0</x:v>
      </x:c>
      <x:c r="I50" s="39" t="n">
        <x:f>COUNTIF('CoverageCases'!$G$2803:$G$2820,"UNRESOLVED")</x:f>
        <x:v>0</x:v>
      </x:c>
      <x:c r="J50" s="32" t="n">
        <x:f>IF(F50=0,"—",(SUM('CoverageCases'!$O$2803:$O$2820))/F50/100)</x:f>
        <x:v>0.8222529411764705</x:v>
      </x:c>
      <x:c r="K50" s="32" t="n">
        <x:f>IF(I50&gt;0,"Pending",IF(E50-H50=0,"—",(SUM('CoverageCases'!$O$2803:$O$2820))/(E50-H50)/100))</x:f>
        <x:v>0.7765722222222222</x:v>
      </x:c>
      <x:c r="L50" s="32" t="n">
        <x:f>IF(I50&gt;0,"Pending",IF(E50=0,"—",(E50-G50)/E50))</x:f>
        <x:v>0.9444444444444444</x:v>
      </x:c>
      <x:c r="M50" s="39" t="n">
        <x:f>IF(I50&gt;0,"Pending",E50-H50)</x:f>
        <x:v>18</x:v>
      </x:c>
    </x:row>
    <x:row r="51" ht="23" customHeight="1">
      <x:c r="B51" s="17" t="str">
        <x:v>Codec</x:v>
      </x:c>
      <x:c r="C51" s="17" t="str">
        <x:v>Round2</x:v>
      </x:c>
      <x:c r="D51" s="17" t="str">
        <x:v>Condition</x:v>
      </x:c>
      <x:c r="E51" s="39" t="n">
        <x:f>COUNTA('CoverageCases'!$D$4511:$D$4528)</x:f>
        <x:v>18</x:v>
      </x:c>
      <x:c r="F51" s="39" t="n">
        <x:f>COUNT('CoverageCases'!$O$4511:$O$4528)</x:f>
        <x:v>17</x:v>
      </x:c>
      <x:c r="G51" s="39" t="n">
        <x:f>COUNTIF('CoverageCases'!$G$4511:$G$4528,"A")</x:f>
        <x:v>1</x:v>
      </x:c>
      <x:c r="H51" s="39" t="n">
        <x:f>COUNTIF('CoverageCases'!$G$4511:$G$4528,"B")</x:f>
        <x:v>0</x:v>
      </x:c>
      <x:c r="I51" s="39" t="n">
        <x:f>COUNTIF('CoverageCases'!$G$4511:$G$4528,"UNRESOLVED")</x:f>
        <x:v>0</x:v>
      </x:c>
      <x:c r="J51" s="32" t="n">
        <x:f>IF(F51=0,"—",(SUM('CoverageCases'!$O$4511:$O$4528))/F51/100)</x:f>
        <x:v>0.7019764705882353</x:v>
      </x:c>
      <x:c r="K51" s="32" t="n">
        <x:f>IF(I51&gt;0,"Pending",IF(E51-H51=0,"—",(SUM('CoverageCases'!$O$4511:$O$4528))/(E51-H51)/100))</x:f>
        <x:v>0.6629777777777778</x:v>
      </x:c>
      <x:c r="L51" s="32" t="n">
        <x:f>IF(I51&gt;0,"Pending",IF(E51=0,"—",(E51-G51)/E51))</x:f>
        <x:v>0.9444444444444444</x:v>
      </x:c>
      <x:c r="M51" s="39" t="n">
        <x:f>IF(I51&gt;0,"Pending",E51-H51)</x:f>
        <x:v>18</x:v>
      </x:c>
    </x:row>
    <x:row r="52" ht="23" customHeight="1">
      <x:c r="B52" s="17" t="str">
        <x:v>Collections</x:v>
      </x:c>
      <x:c r="C52" s="17" t="str">
        <x:v>All rounds</x:v>
      </x:c>
      <x:c r="D52" s="17" t="str">
        <x:v>Coverage</x:v>
      </x:c>
      <x:c r="E52" s="39" t="n">
        <x:f>COUNTA('CoverageCases'!$D$259:$D$286,'CoverageCases'!$D$1113:$D$1140)</x:f>
        <x:v>56</x:v>
      </x:c>
      <x:c r="F52" s="39" t="n">
        <x:f>COUNT('CoverageCases'!$O$259:$O$286,'CoverageCases'!$O$1113:$O$1140)</x:f>
        <x:v>56</x:v>
      </x:c>
      <x:c r="G52" s="39" t="n">
        <x:f>COUNTIF('CoverageCases'!$G$259:$G$286,"A")+COUNTIF('CoverageCases'!$G$1113:$G$1140,"A")</x:f>
        <x:v>0</x:v>
      </x:c>
      <x:c r="H52" s="39" t="n">
        <x:f>COUNTIF('CoverageCases'!$G$259:$G$286,"B")+COUNTIF('CoverageCases'!$G$1113:$G$1140,"B")</x:f>
        <x:v>0</x:v>
      </x:c>
      <x:c r="I52" s="39" t="n">
        <x:f>COUNTIF('CoverageCases'!$G$259:$G$286,"UNRESOLVED")+COUNTIF('CoverageCases'!$G$1113:$G$1140,"UNRESOLVED")</x:f>
        <x:v>0</x:v>
      </x:c>
      <x:c r="J52" s="32" t="n">
        <x:f>IF(F52=0,"—",(SUM('CoverageCases'!$O$259:$O$286,'CoverageCases'!$O$1113:$O$1140))/F52/100)</x:f>
        <x:v>0.45377321428571415</x:v>
      </x:c>
      <x:c r="K52" s="32" t="n">
        <x:f>IF(I52&gt;0,"Pending",IF(E52-H52=0,"—",(SUM('CoverageCases'!$O$259:$O$286,'CoverageCases'!$O$1113:$O$1140))/(E52-H52)/100))</x:f>
        <x:v>0.45377321428571415</x:v>
      </x:c>
      <x:c r="L52" s="32" t="n">
        <x:f>IF(I52&gt;0,"Pending",IF(E52=0,"—",(E52-G52)/E52))</x:f>
        <x:v>1</x:v>
      </x:c>
      <x:c r="M52" s="39" t="n">
        <x:f>IF(I52&gt;0,"Pending",E52-H52)</x:f>
        <x:v>56</x:v>
      </x:c>
    </x:row>
    <x:row r="53" ht="23" customHeight="1">
      <x:c r="B53" s="17" t="str">
        <x:v>Collections</x:v>
      </x:c>
      <x:c r="C53" s="17" t="str">
        <x:v>All rounds</x:v>
      </x:c>
      <x:c r="D53" s="17" t="str">
        <x:v>Line</x:v>
      </x:c>
      <x:c r="E53" s="39" t="n">
        <x:f>COUNTA('CoverageCases'!$D$1967:$D$1994,'CoverageCases'!$D$2821:$D$2848)</x:f>
        <x:v>56</x:v>
      </x:c>
      <x:c r="F53" s="39" t="n">
        <x:f>COUNT('CoverageCases'!$O$1967:$O$1994,'CoverageCases'!$O$2821:$O$2848)</x:f>
        <x:v>56</x:v>
      </x:c>
      <x:c r="G53" s="39" t="n">
        <x:f>COUNTIF('CoverageCases'!$G$1967:$G$1994,"A")+COUNTIF('CoverageCases'!$G$2821:$G$2848,"A")</x:f>
        <x:v>0</x:v>
      </x:c>
      <x:c r="H53" s="39" t="n">
        <x:f>COUNTIF('CoverageCases'!$G$1967:$G$1994,"B")+COUNTIF('CoverageCases'!$G$2821:$G$2848,"B")</x:f>
        <x:v>0</x:v>
      </x:c>
      <x:c r="I53" s="39" t="n">
        <x:f>COUNTIF('CoverageCases'!$G$1967:$G$1994,"UNRESOLVED")+COUNTIF('CoverageCases'!$G$2821:$G$2848,"UNRESOLVED")</x:f>
        <x:v>0</x:v>
      </x:c>
      <x:c r="J53" s="32" t="n">
        <x:f>IF(F53=0,"—",(SUM('CoverageCases'!$O$1967:$O$1994,'CoverageCases'!$O$2821:$O$2848))/F53/100)</x:f>
        <x:v>0.4781553571428572</x:v>
      </x:c>
      <x:c r="K53" s="32" t="n">
        <x:f>IF(I53&gt;0,"Pending",IF(E53-H53=0,"—",(SUM('CoverageCases'!$O$1967:$O$1994,'CoverageCases'!$O$2821:$O$2848))/(E53-H53)/100))</x:f>
        <x:v>0.4781553571428572</x:v>
      </x:c>
      <x:c r="L53" s="32" t="n">
        <x:f>IF(I53&gt;0,"Pending",IF(E53=0,"—",(E53-G53)/E53))</x:f>
        <x:v>1</x:v>
      </x:c>
      <x:c r="M53" s="39" t="n">
        <x:f>IF(I53&gt;0,"Pending",E53-H53)</x:f>
        <x:v>56</x:v>
      </x:c>
    </x:row>
    <x:row r="54" ht="23" customHeight="1">
      <x:c r="B54" s="17" t="str">
        <x:v>Collections</x:v>
      </x:c>
      <x:c r="C54" s="17" t="str">
        <x:v>All rounds</x:v>
      </x:c>
      <x:c r="D54" s="17" t="str">
        <x:v>Condition</x:v>
      </x:c>
      <x:c r="E54" s="39" t="n">
        <x:f>COUNTA('CoverageCases'!$D$3675:$D$3702,'CoverageCases'!$D$4529:$D$4556)</x:f>
        <x:v>56</x:v>
      </x:c>
      <x:c r="F54" s="39" t="n">
        <x:f>COUNT('CoverageCases'!$O$3675:$O$3702,'CoverageCases'!$O$4529:$O$4556)</x:f>
        <x:v>56</x:v>
      </x:c>
      <x:c r="G54" s="39" t="n">
        <x:f>COUNTIF('CoverageCases'!$G$3675:$G$3702,"A")+COUNTIF('CoverageCases'!$G$4529:$G$4556,"A")</x:f>
        <x:v>0</x:v>
      </x:c>
      <x:c r="H54" s="39" t="n">
        <x:f>COUNTIF('CoverageCases'!$G$3675:$G$3702,"B")+COUNTIF('CoverageCases'!$G$4529:$G$4556,"B")</x:f>
        <x:v>0</x:v>
      </x:c>
      <x:c r="I54" s="39" t="n">
        <x:f>COUNTIF('CoverageCases'!$G$3675:$G$3702,"UNRESOLVED")+COUNTIF('CoverageCases'!$G$4529:$G$4556,"UNRESOLVED")</x:f>
        <x:v>0</x:v>
      </x:c>
      <x:c r="J54" s="32" t="n">
        <x:f>IF(F54=0,"—",(SUM('CoverageCases'!$O$3675:$O$3702,'CoverageCases'!$O$4529:$O$4556))/F54/100)</x:f>
        <x:v>0.40199285714285715</x:v>
      </x:c>
      <x:c r="K54" s="32" t="n">
        <x:f>IF(I54&gt;0,"Pending",IF(E54-H54=0,"—",(SUM('CoverageCases'!$O$3675:$O$3702,'CoverageCases'!$O$4529:$O$4556))/(E54-H54)/100))</x:f>
        <x:v>0.40199285714285715</x:v>
      </x:c>
      <x:c r="L54" s="32" t="n">
        <x:f>IF(I54&gt;0,"Pending",IF(E54=0,"—",(E54-G54)/E54))</x:f>
        <x:v>1</x:v>
      </x:c>
      <x:c r="M54" s="39" t="n">
        <x:f>IF(I54&gt;0,"Pending",E54-H54)</x:f>
        <x:v>56</x:v>
      </x:c>
    </x:row>
    <x:row r="55" ht="23" customHeight="1">
      <x:c r="B55" s="17" t="str">
        <x:v>Collections</x:v>
      </x:c>
      <x:c r="C55" s="17" t="str">
        <x:v>Round1</x:v>
      </x:c>
      <x:c r="D55" s="17" t="str">
        <x:v>Coverage</x:v>
      </x:c>
      <x:c r="E55" s="39" t="n">
        <x:f>COUNTA('CoverageCases'!$D$259:$D$286)</x:f>
        <x:v>28</x:v>
      </x:c>
      <x:c r="F55" s="39" t="n">
        <x:f>COUNT('CoverageCases'!$O$259:$O$286)</x:f>
        <x:v>28</x:v>
      </x:c>
      <x:c r="G55" s="39" t="n">
        <x:f>COUNTIF('CoverageCases'!$G$259:$G$286,"A")</x:f>
        <x:v>0</x:v>
      </x:c>
      <x:c r="H55" s="39" t="n">
        <x:f>COUNTIF('CoverageCases'!$G$259:$G$286,"B")</x:f>
        <x:v>0</x:v>
      </x:c>
      <x:c r="I55" s="39" t="n">
        <x:f>COUNTIF('CoverageCases'!$G$259:$G$286,"UNRESOLVED")</x:f>
        <x:v>0</x:v>
      </x:c>
      <x:c r="J55" s="32" t="n">
        <x:f>IF(F55=0,"—",(SUM('CoverageCases'!$O$259:$O$286))/F55/100)</x:f>
        <x:v>0.37512142857142855</x:v>
      </x:c>
      <x:c r="K55" s="32" t="n">
        <x:f>IF(I55&gt;0,"Pending",IF(E55-H55=0,"—",(SUM('CoverageCases'!$O$259:$O$286))/(E55-H55)/100))</x:f>
        <x:v>0.37512142857142855</x:v>
      </x:c>
      <x:c r="L55" s="32" t="n">
        <x:f>IF(I55&gt;0,"Pending",IF(E55=0,"—",(E55-G55)/E55))</x:f>
        <x:v>1</x:v>
      </x:c>
      <x:c r="M55" s="39" t="n">
        <x:f>IF(I55&gt;0,"Pending",E55-H55)</x:f>
        <x:v>28</x:v>
      </x:c>
    </x:row>
    <x:row r="56" ht="23" customHeight="1">
      <x:c r="B56" s="17" t="str">
        <x:v>Collections</x:v>
      </x:c>
      <x:c r="C56" s="17" t="str">
        <x:v>Round1</x:v>
      </x:c>
      <x:c r="D56" s="17" t="str">
        <x:v>Line</x:v>
      </x:c>
      <x:c r="E56" s="39" t="n">
        <x:f>COUNTA('CoverageCases'!$D$1967:$D$1994)</x:f>
        <x:v>28</x:v>
      </x:c>
      <x:c r="F56" s="39" t="n">
        <x:f>COUNT('CoverageCases'!$O$1967:$O$1994)</x:f>
        <x:v>28</x:v>
      </x:c>
      <x:c r="G56" s="39" t="n">
        <x:f>COUNTIF('CoverageCases'!$G$1967:$G$1994,"A")</x:f>
        <x:v>0</x:v>
      </x:c>
      <x:c r="H56" s="39" t="n">
        <x:f>COUNTIF('CoverageCases'!$G$1967:$G$1994,"B")</x:f>
        <x:v>0</x:v>
      </x:c>
      <x:c r="I56" s="39" t="n">
        <x:f>COUNTIF('CoverageCases'!$G$1967:$G$1994,"UNRESOLVED")</x:f>
        <x:v>0</x:v>
      </x:c>
      <x:c r="J56" s="32" t="n">
        <x:f>IF(F56=0,"—",(SUM('CoverageCases'!$O$1967:$O$1994))/F56/100)</x:f>
        <x:v>0.4026321428571428</x:v>
      </x:c>
      <x:c r="K56" s="32" t="n">
        <x:f>IF(I56&gt;0,"Pending",IF(E56-H56=0,"—",(SUM('CoverageCases'!$O$1967:$O$1994))/(E56-H56)/100))</x:f>
        <x:v>0.4026321428571428</x:v>
      </x:c>
      <x:c r="L56" s="32" t="n">
        <x:f>IF(I56&gt;0,"Pending",IF(E56=0,"—",(E56-G56)/E56))</x:f>
        <x:v>1</x:v>
      </x:c>
      <x:c r="M56" s="39" t="n">
        <x:f>IF(I56&gt;0,"Pending",E56-H56)</x:f>
        <x:v>28</x:v>
      </x:c>
    </x:row>
    <x:row r="57" ht="23" customHeight="1">
      <x:c r="B57" s="17" t="str">
        <x:v>Collections</x:v>
      </x:c>
      <x:c r="C57" s="17" t="str">
        <x:v>Round1</x:v>
      </x:c>
      <x:c r="D57" s="17" t="str">
        <x:v>Condition</x:v>
      </x:c>
      <x:c r="E57" s="39" t="n">
        <x:f>COUNTA('CoverageCases'!$D$3675:$D$3702)</x:f>
        <x:v>28</x:v>
      </x:c>
      <x:c r="F57" s="39" t="n">
        <x:f>COUNT('CoverageCases'!$O$3675:$O$3702)</x:f>
        <x:v>28</x:v>
      </x:c>
      <x:c r="G57" s="39" t="n">
        <x:f>COUNTIF('CoverageCases'!$G$3675:$G$3702,"A")</x:f>
        <x:v>0</x:v>
      </x:c>
      <x:c r="H57" s="39" t="n">
        <x:f>COUNTIF('CoverageCases'!$G$3675:$G$3702,"B")</x:f>
        <x:v>0</x:v>
      </x:c>
      <x:c r="I57" s="39" t="n">
        <x:f>COUNTIF('CoverageCases'!$G$3675:$G$3702,"UNRESOLVED")</x:f>
        <x:v>0</x:v>
      </x:c>
      <x:c r="J57" s="32" t="n">
        <x:f>IF(F57=0,"—",(SUM('CoverageCases'!$O$3675:$O$3702))/F57/100)</x:f>
        <x:v>0.31120357142857136</x:v>
      </x:c>
      <x:c r="K57" s="32" t="n">
        <x:f>IF(I57&gt;0,"Pending",IF(E57-H57=0,"—",(SUM('CoverageCases'!$O$3675:$O$3702))/(E57-H57)/100))</x:f>
        <x:v>0.31120357142857136</x:v>
      </x:c>
      <x:c r="L57" s="32" t="n">
        <x:f>IF(I57&gt;0,"Pending",IF(E57=0,"—",(E57-G57)/E57))</x:f>
        <x:v>1</x:v>
      </x:c>
      <x:c r="M57" s="39" t="n">
        <x:f>IF(I57&gt;0,"Pending",E57-H57)</x:f>
        <x:v>28</x:v>
      </x:c>
    </x:row>
    <x:row r="58" ht="23" customHeight="1">
      <x:c r="B58" s="17" t="str">
        <x:v>Collections</x:v>
      </x:c>
      <x:c r="C58" s="17" t="str">
        <x:v>Round2</x:v>
      </x:c>
      <x:c r="D58" s="17" t="str">
        <x:v>Coverage</x:v>
      </x:c>
      <x:c r="E58" s="39" t="n">
        <x:f>COUNTA('CoverageCases'!$D$1113:$D$1140)</x:f>
        <x:v>28</x:v>
      </x:c>
      <x:c r="F58" s="39" t="n">
        <x:f>COUNT('CoverageCases'!$O$1113:$O$1140)</x:f>
        <x:v>28</x:v>
      </x:c>
      <x:c r="G58" s="39" t="n">
        <x:f>COUNTIF('CoverageCases'!$G$1113:$G$1140,"A")</x:f>
        <x:v>0</x:v>
      </x:c>
      <x:c r="H58" s="39" t="n">
        <x:f>COUNTIF('CoverageCases'!$G$1113:$G$1140,"B")</x:f>
        <x:v>0</x:v>
      </x:c>
      <x:c r="I58" s="39" t="n">
        <x:f>COUNTIF('CoverageCases'!$G$1113:$G$1140,"UNRESOLVED")</x:f>
        <x:v>0</x:v>
      </x:c>
      <x:c r="J58" s="32" t="n">
        <x:f>IF(F58=0,"—",(SUM('CoverageCases'!$O$1113:$O$1140))/F58/100)</x:f>
        <x:v>0.5324249999999998</x:v>
      </x:c>
      <x:c r="K58" s="32" t="n">
        <x:f>IF(I58&gt;0,"Pending",IF(E58-H58=0,"—",(SUM('CoverageCases'!$O$1113:$O$1140))/(E58-H58)/100))</x:f>
        <x:v>0.5324249999999998</x:v>
      </x:c>
      <x:c r="L58" s="32" t="n">
        <x:f>IF(I58&gt;0,"Pending",IF(E58=0,"—",(E58-G58)/E58))</x:f>
        <x:v>1</x:v>
      </x:c>
      <x:c r="M58" s="39" t="n">
        <x:f>IF(I58&gt;0,"Pending",E58-H58)</x:f>
        <x:v>28</x:v>
      </x:c>
    </x:row>
    <x:row r="59" ht="23" customHeight="1">
      <x:c r="B59" s="17" t="str">
        <x:v>Collections</x:v>
      </x:c>
      <x:c r="C59" s="17" t="str">
        <x:v>Round2</x:v>
      </x:c>
      <x:c r="D59" s="17" t="str">
        <x:v>Line</x:v>
      </x:c>
      <x:c r="E59" s="39" t="n">
        <x:f>COUNTA('CoverageCases'!$D$2821:$D$2848)</x:f>
        <x:v>28</x:v>
      </x:c>
      <x:c r="F59" s="39" t="n">
        <x:f>COUNT('CoverageCases'!$O$2821:$O$2848)</x:f>
        <x:v>28</x:v>
      </x:c>
      <x:c r="G59" s="39" t="n">
        <x:f>COUNTIF('CoverageCases'!$G$2821:$G$2848,"A")</x:f>
        <x:v>0</x:v>
      </x:c>
      <x:c r="H59" s="39" t="n">
        <x:f>COUNTIF('CoverageCases'!$G$2821:$G$2848,"B")</x:f>
        <x:v>0</x:v>
      </x:c>
      <x:c r="I59" s="39" t="n">
        <x:f>COUNTIF('CoverageCases'!$G$2821:$G$2848,"UNRESOLVED")</x:f>
        <x:v>0</x:v>
      </x:c>
      <x:c r="J59" s="32" t="n">
        <x:f>IF(F59=0,"—",(SUM('CoverageCases'!$O$2821:$O$2848))/F59/100)</x:f>
        <x:v>0.5536785714285714</x:v>
      </x:c>
      <x:c r="K59" s="32" t="n">
        <x:f>IF(I59&gt;0,"Pending",IF(E59-H59=0,"—",(SUM('CoverageCases'!$O$2821:$O$2848))/(E59-H59)/100))</x:f>
        <x:v>0.5536785714285714</x:v>
      </x:c>
      <x:c r="L59" s="32" t="n">
        <x:f>IF(I59&gt;0,"Pending",IF(E59=0,"—",(E59-G59)/E59))</x:f>
        <x:v>1</x:v>
      </x:c>
      <x:c r="M59" s="39" t="n">
        <x:f>IF(I59&gt;0,"Pending",E59-H59)</x:f>
        <x:v>28</x:v>
      </x:c>
    </x:row>
    <x:row r="60" ht="23" customHeight="1">
      <x:c r="B60" s="17" t="str">
        <x:v>Collections</x:v>
      </x:c>
      <x:c r="C60" s="17" t="str">
        <x:v>Round2</x:v>
      </x:c>
      <x:c r="D60" s="17" t="str">
        <x:v>Condition</x:v>
      </x:c>
      <x:c r="E60" s="39" t="n">
        <x:f>COUNTA('CoverageCases'!$D$4529:$D$4556)</x:f>
        <x:v>28</x:v>
      </x:c>
      <x:c r="F60" s="39" t="n">
        <x:f>COUNT('CoverageCases'!$O$4529:$O$4556)</x:f>
        <x:v>28</x:v>
      </x:c>
      <x:c r="G60" s="39" t="n">
        <x:f>COUNTIF('CoverageCases'!$G$4529:$G$4556,"A")</x:f>
        <x:v>0</x:v>
      </x:c>
      <x:c r="H60" s="39" t="n">
        <x:f>COUNTIF('CoverageCases'!$G$4529:$G$4556,"B")</x:f>
        <x:v>0</x:v>
      </x:c>
      <x:c r="I60" s="39" t="n">
        <x:f>COUNTIF('CoverageCases'!$G$4529:$G$4556,"UNRESOLVED")</x:f>
        <x:v>0</x:v>
      </x:c>
      <x:c r="J60" s="32" t="n">
        <x:f>IF(F60=0,"—",(SUM('CoverageCases'!$O$4529:$O$4556))/F60/100)</x:f>
        <x:v>0.4927821428571428</x:v>
      </x:c>
      <x:c r="K60" s="32" t="n">
        <x:f>IF(I60&gt;0,"Pending",IF(E60-H60=0,"—",(SUM('CoverageCases'!$O$4529:$O$4556))/(E60-H60)/100))</x:f>
        <x:v>0.4927821428571428</x:v>
      </x:c>
      <x:c r="L60" s="32" t="n">
        <x:f>IF(I60&gt;0,"Pending",IF(E60=0,"—",(E60-G60)/E60))</x:f>
        <x:v>1</x:v>
      </x:c>
      <x:c r="M60" s="39" t="n">
        <x:f>IF(I60&gt;0,"Pending",E60-H60)</x:f>
        <x:v>28</x:v>
      </x:c>
    </x:row>
    <x:row r="61" ht="23" customHeight="1">
      <x:c r="B61" s="17" t="str">
        <x:v>Compress</x:v>
      </x:c>
      <x:c r="C61" s="17" t="str">
        <x:v>All rounds</x:v>
      </x:c>
      <x:c r="D61" s="17" t="str">
        <x:v>Coverage</x:v>
      </x:c>
      <x:c r="E61" s="39" t="n">
        <x:f>COUNTA('CoverageCases'!$D$287:$D$333,'CoverageCases'!$D$1141:$D$1187)</x:f>
        <x:v>94</x:v>
      </x:c>
      <x:c r="F61" s="39" t="n">
        <x:f>COUNT('CoverageCases'!$O$287:$O$333,'CoverageCases'!$O$1141:$O$1187)</x:f>
        <x:v>94</x:v>
      </x:c>
      <x:c r="G61" s="39" t="n">
        <x:f>COUNTIF('CoverageCases'!$G$287:$G$333,"A")+COUNTIF('CoverageCases'!$G$1141:$G$1187,"A")</x:f>
        <x:v>0</x:v>
      </x:c>
      <x:c r="H61" s="39" t="n">
        <x:f>COUNTIF('CoverageCases'!$G$287:$G$333,"B")+COUNTIF('CoverageCases'!$G$1141:$G$1187,"B")</x:f>
        <x:v>0</x:v>
      </x:c>
      <x:c r="I61" s="39" t="n">
        <x:f>COUNTIF('CoverageCases'!$G$287:$G$333,"UNRESOLVED")+COUNTIF('CoverageCases'!$G$1141:$G$1187,"UNRESOLVED")</x:f>
        <x:v>0</x:v>
      </x:c>
      <x:c r="J61" s="32" t="n">
        <x:f>IF(F61=0,"—",(SUM('CoverageCases'!$O$287:$O$333,'CoverageCases'!$O$1141:$O$1187))/F61/100)</x:f>
        <x:v>0.39339361702127656</x:v>
      </x:c>
      <x:c r="K61" s="32" t="n">
        <x:f>IF(I61&gt;0,"Pending",IF(E61-H61=0,"—",(SUM('CoverageCases'!$O$287:$O$333,'CoverageCases'!$O$1141:$O$1187))/(E61-H61)/100))</x:f>
        <x:v>0.39339361702127656</x:v>
      </x:c>
      <x:c r="L61" s="32" t="n">
        <x:f>IF(I61&gt;0,"Pending",IF(E61=0,"—",(E61-G61)/E61))</x:f>
        <x:v>1</x:v>
      </x:c>
      <x:c r="M61" s="39" t="n">
        <x:f>IF(I61&gt;0,"Pending",E61-H61)</x:f>
        <x:v>94</x:v>
      </x:c>
    </x:row>
    <x:row r="62" ht="23" customHeight="1">
      <x:c r="B62" s="17" t="str">
        <x:v>Compress</x:v>
      </x:c>
      <x:c r="C62" s="17" t="str">
        <x:v>All rounds</x:v>
      </x:c>
      <x:c r="D62" s="17" t="str">
        <x:v>Line</x:v>
      </x:c>
      <x:c r="E62" s="39" t="n">
        <x:f>COUNTA('CoverageCases'!$D$1995:$D$2041,'CoverageCases'!$D$2849:$D$2895)</x:f>
        <x:v>94</x:v>
      </x:c>
      <x:c r="F62" s="39" t="n">
        <x:f>COUNT('CoverageCases'!$O$1995:$O$2041,'CoverageCases'!$O$2849:$O$2895)</x:f>
        <x:v>94</x:v>
      </x:c>
      <x:c r="G62" s="39" t="n">
        <x:f>COUNTIF('CoverageCases'!$G$1995:$G$2041,"A")+COUNTIF('CoverageCases'!$G$2849:$G$2895,"A")</x:f>
        <x:v>0</x:v>
      </x:c>
      <x:c r="H62" s="39" t="n">
        <x:f>COUNTIF('CoverageCases'!$G$1995:$G$2041,"B")+COUNTIF('CoverageCases'!$G$2849:$G$2895,"B")</x:f>
        <x:v>0</x:v>
      </x:c>
      <x:c r="I62" s="39" t="n">
        <x:f>COUNTIF('CoverageCases'!$G$1995:$G$2041,"UNRESOLVED")+COUNTIF('CoverageCases'!$G$2849:$G$2895,"UNRESOLVED")</x:f>
        <x:v>0</x:v>
      </x:c>
      <x:c r="J62" s="32" t="n">
        <x:f>IF(F62=0,"—",(SUM('CoverageCases'!$O$1995:$O$2041,'CoverageCases'!$O$2849:$O$2895))/F62/100)</x:f>
        <x:v>0.429063829787234</x:v>
      </x:c>
      <x:c r="K62" s="32" t="n">
        <x:f>IF(I62&gt;0,"Pending",IF(E62-H62=0,"—",(SUM('CoverageCases'!$O$1995:$O$2041,'CoverageCases'!$O$2849:$O$2895))/(E62-H62)/100))</x:f>
        <x:v>0.429063829787234</x:v>
      </x:c>
      <x:c r="L62" s="32" t="n">
        <x:f>IF(I62&gt;0,"Pending",IF(E62=0,"—",(E62-G62)/E62))</x:f>
        <x:v>1</x:v>
      </x:c>
      <x:c r="M62" s="39" t="n">
        <x:f>IF(I62&gt;0,"Pending",E62-H62)</x:f>
        <x:v>94</x:v>
      </x:c>
    </x:row>
    <x:row r="63" ht="23" customHeight="1">
      <x:c r="B63" s="17" t="str">
        <x:v>Compress</x:v>
      </x:c>
      <x:c r="C63" s="17" t="str">
        <x:v>All rounds</x:v>
      </x:c>
      <x:c r="D63" s="17" t="str">
        <x:v>Condition</x:v>
      </x:c>
      <x:c r="E63" s="39" t="n">
        <x:f>COUNTA('CoverageCases'!$D$3703:$D$3749,'CoverageCases'!$D$4557:$D$4603)</x:f>
        <x:v>94</x:v>
      </x:c>
      <x:c r="F63" s="39" t="n">
        <x:f>COUNT('CoverageCases'!$O$3703:$O$3749,'CoverageCases'!$O$4557:$O$4603)</x:f>
        <x:v>94</x:v>
      </x:c>
      <x:c r="G63" s="39" t="n">
        <x:f>COUNTIF('CoverageCases'!$G$3703:$G$3749,"A")+COUNTIF('CoverageCases'!$G$4557:$G$4603,"A")</x:f>
        <x:v>0</x:v>
      </x:c>
      <x:c r="H63" s="39" t="n">
        <x:f>COUNTIF('CoverageCases'!$G$3703:$G$3749,"B")+COUNTIF('CoverageCases'!$G$4557:$G$4603,"B")</x:f>
        <x:v>0</x:v>
      </x:c>
      <x:c r="I63" s="39" t="n">
        <x:f>COUNTIF('CoverageCases'!$G$3703:$G$3749,"UNRESOLVED")+COUNTIF('CoverageCases'!$G$4557:$G$4603,"UNRESOLVED")</x:f>
        <x:v>0</x:v>
      </x:c>
      <x:c r="J63" s="32" t="n">
        <x:f>IF(F63=0,"—",(SUM('CoverageCases'!$O$3703:$O$3749,'CoverageCases'!$O$4557:$O$4603))/F63/100)</x:f>
        <x:v>0.32416702127659575</x:v>
      </x:c>
      <x:c r="K63" s="32" t="n">
        <x:f>IF(I63&gt;0,"Pending",IF(E63-H63=0,"—",(SUM('CoverageCases'!$O$3703:$O$3749,'CoverageCases'!$O$4557:$O$4603))/(E63-H63)/100))</x:f>
        <x:v>0.32416702127659575</x:v>
      </x:c>
      <x:c r="L63" s="32" t="n">
        <x:f>IF(I63&gt;0,"Pending",IF(E63=0,"—",(E63-G63)/E63))</x:f>
        <x:v>1</x:v>
      </x:c>
      <x:c r="M63" s="39" t="n">
        <x:f>IF(I63&gt;0,"Pending",E63-H63)</x:f>
        <x:v>94</x:v>
      </x:c>
    </x:row>
    <x:row r="64" ht="23" customHeight="1">
      <x:c r="B64" s="17" t="str">
        <x:v>Compress</x:v>
      </x:c>
      <x:c r="C64" s="17" t="str">
        <x:v>Round1</x:v>
      </x:c>
      <x:c r="D64" s="17" t="str">
        <x:v>Coverage</x:v>
      </x:c>
      <x:c r="E64" s="39" t="n">
        <x:f>COUNTA('CoverageCases'!$D$287:$D$333)</x:f>
        <x:v>47</x:v>
      </x:c>
      <x:c r="F64" s="39" t="n">
        <x:f>COUNT('CoverageCases'!$O$287:$O$333)</x:f>
        <x:v>47</x:v>
      </x:c>
      <x:c r="G64" s="39" t="n">
        <x:f>COUNTIF('CoverageCases'!$G$287:$G$333,"A")</x:f>
        <x:v>0</x:v>
      </x:c>
      <x:c r="H64" s="39" t="n">
        <x:f>COUNTIF('CoverageCases'!$G$287:$G$333,"B")</x:f>
        <x:v>0</x:v>
      </x:c>
      <x:c r="I64" s="39" t="n">
        <x:f>COUNTIF('CoverageCases'!$G$287:$G$333,"UNRESOLVED")</x:f>
        <x:v>0</x:v>
      </x:c>
      <x:c r="J64" s="32" t="n">
        <x:f>IF(F64=0,"—",(SUM('CoverageCases'!$O$287:$O$333))/F64/100)</x:f>
        <x:v>0.30770425531914897</x:v>
      </x:c>
      <x:c r="K64" s="32" t="n">
        <x:f>IF(I64&gt;0,"Pending",IF(E64-H64=0,"—",(SUM('CoverageCases'!$O$287:$O$333))/(E64-H64)/100))</x:f>
        <x:v>0.30770425531914897</x:v>
      </x:c>
      <x:c r="L64" s="32" t="n">
        <x:f>IF(I64&gt;0,"Pending",IF(E64=0,"—",(E64-G64)/E64))</x:f>
        <x:v>1</x:v>
      </x:c>
      <x:c r="M64" s="39" t="n">
        <x:f>IF(I64&gt;0,"Pending",E64-H64)</x:f>
        <x:v>47</x:v>
      </x:c>
    </x:row>
    <x:row r="65" ht="23" customHeight="1">
      <x:c r="B65" s="17" t="str">
        <x:v>Compress</x:v>
      </x:c>
      <x:c r="C65" s="17" t="str">
        <x:v>Round1</x:v>
      </x:c>
      <x:c r="D65" s="17" t="str">
        <x:v>Line</x:v>
      </x:c>
      <x:c r="E65" s="39" t="n">
        <x:f>COUNTA('CoverageCases'!$D$1995:$D$2041)</x:f>
        <x:v>47</x:v>
      </x:c>
      <x:c r="F65" s="39" t="n">
        <x:f>COUNT('CoverageCases'!$O$1995:$O$2041)</x:f>
        <x:v>47</x:v>
      </x:c>
      <x:c r="G65" s="39" t="n">
        <x:f>COUNTIF('CoverageCases'!$G$1995:$G$2041,"A")</x:f>
        <x:v>0</x:v>
      </x:c>
      <x:c r="H65" s="39" t="n">
        <x:f>COUNTIF('CoverageCases'!$G$1995:$G$2041,"B")</x:f>
        <x:v>0</x:v>
      </x:c>
      <x:c r="I65" s="39" t="n">
        <x:f>COUNTIF('CoverageCases'!$G$1995:$G$2041,"UNRESOLVED")</x:f>
        <x:v>0</x:v>
      </x:c>
      <x:c r="J65" s="32" t="n">
        <x:f>IF(F65=0,"—",(SUM('CoverageCases'!$O$1995:$O$2041))/F65/100)</x:f>
        <x:v>0.34688297872340423</x:v>
      </x:c>
      <x:c r="K65" s="32" t="n">
        <x:f>IF(I65&gt;0,"Pending",IF(E65-H65=0,"—",(SUM('CoverageCases'!$O$1995:$O$2041))/(E65-H65)/100))</x:f>
        <x:v>0.34688297872340423</x:v>
      </x:c>
      <x:c r="L65" s="32" t="n">
        <x:f>IF(I65&gt;0,"Pending",IF(E65=0,"—",(E65-G65)/E65))</x:f>
        <x:v>1</x:v>
      </x:c>
      <x:c r="M65" s="39" t="n">
        <x:f>IF(I65&gt;0,"Pending",E65-H65)</x:f>
        <x:v>47</x:v>
      </x:c>
    </x:row>
    <x:row r="66" ht="23" customHeight="1">
      <x:c r="B66" s="17" t="str">
        <x:v>Compress</x:v>
      </x:c>
      <x:c r="C66" s="17" t="str">
        <x:v>Round1</x:v>
      </x:c>
      <x:c r="D66" s="17" t="str">
        <x:v>Condition</x:v>
      </x:c>
      <x:c r="E66" s="39" t="n">
        <x:f>COUNTA('CoverageCases'!$D$3703:$D$3749)</x:f>
        <x:v>47</x:v>
      </x:c>
      <x:c r="F66" s="39" t="n">
        <x:f>COUNT('CoverageCases'!$O$3703:$O$3749)</x:f>
        <x:v>47</x:v>
      </x:c>
      <x:c r="G66" s="39" t="n">
        <x:f>COUNTIF('CoverageCases'!$G$3703:$G$3749,"A")</x:f>
        <x:v>0</x:v>
      </x:c>
      <x:c r="H66" s="39" t="n">
        <x:f>COUNTIF('CoverageCases'!$G$3703:$G$3749,"B")</x:f>
        <x:v>0</x:v>
      </x:c>
      <x:c r="I66" s="39" t="n">
        <x:f>COUNTIF('CoverageCases'!$G$3703:$G$3749,"UNRESOLVED")</x:f>
        <x:v>0</x:v>
      </x:c>
      <x:c r="J66" s="32" t="n">
        <x:f>IF(F66=0,"—",(SUM('CoverageCases'!$O$3703:$O$3749))/F66/100)</x:f>
        <x:v>0.231</x:v>
      </x:c>
      <x:c r="K66" s="32" t="n">
        <x:f>IF(I66&gt;0,"Pending",IF(E66-H66=0,"—",(SUM('CoverageCases'!$O$3703:$O$3749))/(E66-H66)/100))</x:f>
        <x:v>0.231</x:v>
      </x:c>
      <x:c r="L66" s="32" t="n">
        <x:f>IF(I66&gt;0,"Pending",IF(E66=0,"—",(E66-G66)/E66))</x:f>
        <x:v>1</x:v>
      </x:c>
      <x:c r="M66" s="39" t="n">
        <x:f>IF(I66&gt;0,"Pending",E66-H66)</x:f>
        <x:v>47</x:v>
      </x:c>
    </x:row>
    <x:row r="67" ht="23" customHeight="1">
      <x:c r="B67" s="17" t="str">
        <x:v>Compress</x:v>
      </x:c>
      <x:c r="C67" s="17" t="str">
        <x:v>Round2</x:v>
      </x:c>
      <x:c r="D67" s="17" t="str">
        <x:v>Coverage</x:v>
      </x:c>
      <x:c r="E67" s="39" t="n">
        <x:f>COUNTA('CoverageCases'!$D$1141:$D$1187)</x:f>
        <x:v>47</x:v>
      </x:c>
      <x:c r="F67" s="39" t="n">
        <x:f>COUNT('CoverageCases'!$O$1141:$O$1187)</x:f>
        <x:v>47</x:v>
      </x:c>
      <x:c r="G67" s="39" t="n">
        <x:f>COUNTIF('CoverageCases'!$G$1141:$G$1187,"A")</x:f>
        <x:v>0</x:v>
      </x:c>
      <x:c r="H67" s="39" t="n">
        <x:f>COUNTIF('CoverageCases'!$G$1141:$G$1187,"B")</x:f>
        <x:v>0</x:v>
      </x:c>
      <x:c r="I67" s="39" t="n">
        <x:f>COUNTIF('CoverageCases'!$G$1141:$G$1187,"UNRESOLVED")</x:f>
        <x:v>0</x:v>
      </x:c>
      <x:c r="J67" s="32" t="n">
        <x:f>IF(F67=0,"—",(SUM('CoverageCases'!$O$1141:$O$1187))/F67/100)</x:f>
        <x:v>0.4790829787234042</x:v>
      </x:c>
      <x:c r="K67" s="32" t="n">
        <x:f>IF(I67&gt;0,"Pending",IF(E67-H67=0,"—",(SUM('CoverageCases'!$O$1141:$O$1187))/(E67-H67)/100))</x:f>
        <x:v>0.4790829787234042</x:v>
      </x:c>
      <x:c r="L67" s="32" t="n">
        <x:f>IF(I67&gt;0,"Pending",IF(E67=0,"—",(E67-G67)/E67))</x:f>
        <x:v>1</x:v>
      </x:c>
      <x:c r="M67" s="39" t="n">
        <x:f>IF(I67&gt;0,"Pending",E67-H67)</x:f>
        <x:v>47</x:v>
      </x:c>
    </x:row>
    <x:row r="68" ht="23" customHeight="1">
      <x:c r="B68" s="17" t="str">
        <x:v>Compress</x:v>
      </x:c>
      <x:c r="C68" s="17" t="str">
        <x:v>Round2</x:v>
      </x:c>
      <x:c r="D68" s="17" t="str">
        <x:v>Line</x:v>
      </x:c>
      <x:c r="E68" s="39" t="n">
        <x:f>COUNTA('CoverageCases'!$D$2849:$D$2895)</x:f>
        <x:v>47</x:v>
      </x:c>
      <x:c r="F68" s="39" t="n">
        <x:f>COUNT('CoverageCases'!$O$2849:$O$2895)</x:f>
        <x:v>47</x:v>
      </x:c>
      <x:c r="G68" s="39" t="n">
        <x:f>COUNTIF('CoverageCases'!$G$2849:$G$2895,"A")</x:f>
        <x:v>0</x:v>
      </x:c>
      <x:c r="H68" s="39" t="n">
        <x:f>COUNTIF('CoverageCases'!$G$2849:$G$2895,"B")</x:f>
        <x:v>0</x:v>
      </x:c>
      <x:c r="I68" s="39" t="n">
        <x:f>COUNTIF('CoverageCases'!$G$2849:$G$2895,"UNRESOLVED")</x:f>
        <x:v>0</x:v>
      </x:c>
      <x:c r="J68" s="32" t="n">
        <x:f>IF(F68=0,"—",(SUM('CoverageCases'!$O$2849:$O$2895))/F68/100)</x:f>
        <x:v>0.5112446808510637</x:v>
      </x:c>
      <x:c r="K68" s="32" t="n">
        <x:f>IF(I68&gt;0,"Pending",IF(E68-H68=0,"—",(SUM('CoverageCases'!$O$2849:$O$2895))/(E68-H68)/100))</x:f>
        <x:v>0.5112446808510637</x:v>
      </x:c>
      <x:c r="L68" s="32" t="n">
        <x:f>IF(I68&gt;0,"Pending",IF(E68=0,"—",(E68-G68)/E68))</x:f>
        <x:v>1</x:v>
      </x:c>
      <x:c r="M68" s="39" t="n">
        <x:f>IF(I68&gt;0,"Pending",E68-H68)</x:f>
        <x:v>47</x:v>
      </x:c>
    </x:row>
    <x:row r="69" ht="23" customHeight="1">
      <x:c r="B69" s="17" t="str">
        <x:v>Compress</x:v>
      </x:c>
      <x:c r="C69" s="17" t="str">
        <x:v>Round2</x:v>
      </x:c>
      <x:c r="D69" s="17" t="str">
        <x:v>Condition</x:v>
      </x:c>
      <x:c r="E69" s="39" t="n">
        <x:f>COUNTA('CoverageCases'!$D$4557:$D$4603)</x:f>
        <x:v>47</x:v>
      </x:c>
      <x:c r="F69" s="39" t="n">
        <x:f>COUNT('CoverageCases'!$O$4557:$O$4603)</x:f>
        <x:v>47</x:v>
      </x:c>
      <x:c r="G69" s="39" t="n">
        <x:f>COUNTIF('CoverageCases'!$G$4557:$G$4603,"A")</x:f>
        <x:v>0</x:v>
      </x:c>
      <x:c r="H69" s="39" t="n">
        <x:f>COUNTIF('CoverageCases'!$G$4557:$G$4603,"B")</x:f>
        <x:v>0</x:v>
      </x:c>
      <x:c r="I69" s="39" t="n">
        <x:f>COUNTIF('CoverageCases'!$G$4557:$G$4603,"UNRESOLVED")</x:f>
        <x:v>0</x:v>
      </x:c>
      <x:c r="J69" s="32" t="n">
        <x:f>IF(F69=0,"—",(SUM('CoverageCases'!$O$4557:$O$4603))/F69/100)</x:f>
        <x:v>0.4173340425531915</x:v>
      </x:c>
      <x:c r="K69" s="32" t="n">
        <x:f>IF(I69&gt;0,"Pending",IF(E69-H69=0,"—",(SUM('CoverageCases'!$O$4557:$O$4603))/(E69-H69)/100))</x:f>
        <x:v>0.4173340425531915</x:v>
      </x:c>
      <x:c r="L69" s="32" t="n">
        <x:f>IF(I69&gt;0,"Pending",IF(E69=0,"—",(E69-G69)/E69))</x:f>
        <x:v>1</x:v>
      </x:c>
      <x:c r="M69" s="39" t="n">
        <x:f>IF(I69&gt;0,"Pending",E69-H69)</x:f>
        <x:v>47</x:v>
      </x:c>
    </x:row>
    <x:row r="70" ht="23" customHeight="1">
      <x:c r="B70" s="17" t="str">
        <x:v>Csv</x:v>
      </x:c>
      <x:c r="C70" s="17" t="str">
        <x:v>All rounds</x:v>
      </x:c>
      <x:c r="D70" s="17" t="str">
        <x:v>Coverage</x:v>
      </x:c>
      <x:c r="E70" s="39" t="n">
        <x:f>COUNTA('CoverageCases'!$D$334:$D$349,'CoverageCases'!$D$1188:$D$1203)</x:f>
        <x:v>32</x:v>
      </x:c>
      <x:c r="F70" s="39" t="n">
        <x:f>COUNT('CoverageCases'!$O$334:$O$349,'CoverageCases'!$O$1188:$O$1203)</x:f>
        <x:v>32</x:v>
      </x:c>
      <x:c r="G70" s="39" t="n">
        <x:f>COUNTIF('CoverageCases'!$G$334:$G$349,"A")+COUNTIF('CoverageCases'!$G$1188:$G$1203,"A")</x:f>
        <x:v>0</x:v>
      </x:c>
      <x:c r="H70" s="39" t="n">
        <x:f>COUNTIF('CoverageCases'!$G$334:$G$349,"B")+COUNTIF('CoverageCases'!$G$1188:$G$1203,"B")</x:f>
        <x:v>0</x:v>
      </x:c>
      <x:c r="I70" s="39" t="n">
        <x:f>COUNTIF('CoverageCases'!$G$334:$G$349,"UNRESOLVED")+COUNTIF('CoverageCases'!$G$1188:$G$1203,"UNRESOLVED")</x:f>
        <x:v>0</x:v>
      </x:c>
      <x:c r="J70" s="32" t="n">
        <x:f>IF(F70=0,"—",(SUM('CoverageCases'!$O$334:$O$349,'CoverageCases'!$O$1188:$O$1203))/F70/100)</x:f>
        <x:v>0.347428125</x:v>
      </x:c>
      <x:c r="K70" s="32" t="n">
        <x:f>IF(I70&gt;0,"Pending",IF(E70-H70=0,"—",(SUM('CoverageCases'!$O$334:$O$349,'CoverageCases'!$O$1188:$O$1203))/(E70-H70)/100))</x:f>
        <x:v>0.347428125</x:v>
      </x:c>
      <x:c r="L70" s="32" t="n">
        <x:f>IF(I70&gt;0,"Pending",IF(E70=0,"—",(E70-G70)/E70))</x:f>
        <x:v>1</x:v>
      </x:c>
      <x:c r="M70" s="39" t="n">
        <x:f>IF(I70&gt;0,"Pending",E70-H70)</x:f>
        <x:v>32</x:v>
      </x:c>
    </x:row>
    <x:row r="71" ht="23" customHeight="1">
      <x:c r="B71" s="17" t="str">
        <x:v>Csv</x:v>
      </x:c>
      <x:c r="C71" s="17" t="str">
        <x:v>All rounds</x:v>
      </x:c>
      <x:c r="D71" s="17" t="str">
        <x:v>Line</x:v>
      </x:c>
      <x:c r="E71" s="39" t="n">
        <x:f>COUNTA('CoverageCases'!$D$2042:$D$2057,'CoverageCases'!$D$2896:$D$2911)</x:f>
        <x:v>32</x:v>
      </x:c>
      <x:c r="F71" s="39" t="n">
        <x:f>COUNT('CoverageCases'!$O$2042:$O$2057,'CoverageCases'!$O$2896:$O$2911)</x:f>
        <x:v>32</x:v>
      </x:c>
      <x:c r="G71" s="39" t="n">
        <x:f>COUNTIF('CoverageCases'!$G$2042:$G$2057,"A")+COUNTIF('CoverageCases'!$G$2896:$G$2911,"A")</x:f>
        <x:v>0</x:v>
      </x:c>
      <x:c r="H71" s="39" t="n">
        <x:f>COUNTIF('CoverageCases'!$G$2042:$G$2057,"B")+COUNTIF('CoverageCases'!$G$2896:$G$2911,"B")</x:f>
        <x:v>0</x:v>
      </x:c>
      <x:c r="I71" s="39" t="n">
        <x:f>COUNTIF('CoverageCases'!$G$2042:$G$2057,"UNRESOLVED")+COUNTIF('CoverageCases'!$G$2896:$G$2911,"UNRESOLVED")</x:f>
        <x:v>0</x:v>
      </x:c>
      <x:c r="J71" s="32" t="n">
        <x:f>IF(F71=0,"—",(SUM('CoverageCases'!$O$2042:$O$2057,'CoverageCases'!$O$2896:$O$2911))/F71/100)</x:f>
        <x:v>0.4079062500000001</x:v>
      </x:c>
      <x:c r="K71" s="32" t="n">
        <x:f>IF(I71&gt;0,"Pending",IF(E71-H71=0,"—",(SUM('CoverageCases'!$O$2042:$O$2057,'CoverageCases'!$O$2896:$O$2911))/(E71-H71)/100))</x:f>
        <x:v>0.4079062500000001</x:v>
      </x:c>
      <x:c r="L71" s="32" t="n">
        <x:f>IF(I71&gt;0,"Pending",IF(E71=0,"—",(E71-G71)/E71))</x:f>
        <x:v>1</x:v>
      </x:c>
      <x:c r="M71" s="39" t="n">
        <x:f>IF(I71&gt;0,"Pending",E71-H71)</x:f>
        <x:v>32</x:v>
      </x:c>
    </x:row>
    <x:row r="72" ht="23" customHeight="1">
      <x:c r="B72" s="17" t="str">
        <x:v>Csv</x:v>
      </x:c>
      <x:c r="C72" s="17" t="str">
        <x:v>All rounds</x:v>
      </x:c>
      <x:c r="D72" s="17" t="str">
        <x:v>Condition</x:v>
      </x:c>
      <x:c r="E72" s="39" t="n">
        <x:f>COUNTA('CoverageCases'!$D$3750:$D$3765,'CoverageCases'!$D$4604:$D$4619)</x:f>
        <x:v>32</x:v>
      </x:c>
      <x:c r="F72" s="39" t="n">
        <x:f>COUNT('CoverageCases'!$O$3750:$O$3765,'CoverageCases'!$O$4604:$O$4619)</x:f>
        <x:v>32</x:v>
      </x:c>
      <x:c r="G72" s="39" t="n">
        <x:f>COUNTIF('CoverageCases'!$G$3750:$G$3765,"A")+COUNTIF('CoverageCases'!$G$4604:$G$4619,"A")</x:f>
        <x:v>0</x:v>
      </x:c>
      <x:c r="H72" s="39" t="n">
        <x:f>COUNTIF('CoverageCases'!$G$3750:$G$3765,"B")+COUNTIF('CoverageCases'!$G$4604:$G$4619,"B")</x:f>
        <x:v>0</x:v>
      </x:c>
      <x:c r="I72" s="39" t="n">
        <x:f>COUNTIF('CoverageCases'!$G$3750:$G$3765,"UNRESOLVED")+COUNTIF('CoverageCases'!$G$4604:$G$4619,"UNRESOLVED")</x:f>
        <x:v>0</x:v>
      </x:c>
      <x:c r="J72" s="32" t="n">
        <x:f>IF(F72=0,"—",(SUM('CoverageCases'!$O$3750:$O$3765,'CoverageCases'!$O$4604:$O$4619))/F72/100)</x:f>
        <x:v>0.25559375</x:v>
      </x:c>
      <x:c r="K72" s="32" t="n">
        <x:f>IF(I72&gt;0,"Pending",IF(E72-H72=0,"—",(SUM('CoverageCases'!$O$3750:$O$3765,'CoverageCases'!$O$4604:$O$4619))/(E72-H72)/100))</x:f>
        <x:v>0.25559375</x:v>
      </x:c>
      <x:c r="L72" s="32" t="n">
        <x:f>IF(I72&gt;0,"Pending",IF(E72=0,"—",(E72-G72)/E72))</x:f>
        <x:v>1</x:v>
      </x:c>
      <x:c r="M72" s="39" t="n">
        <x:f>IF(I72&gt;0,"Pending",E72-H72)</x:f>
        <x:v>32</x:v>
      </x:c>
    </x:row>
    <x:row r="73" ht="23" customHeight="1">
      <x:c r="B73" s="17" t="str">
        <x:v>Csv</x:v>
      </x:c>
      <x:c r="C73" s="17" t="str">
        <x:v>Round1</x:v>
      </x:c>
      <x:c r="D73" s="17" t="str">
        <x:v>Coverage</x:v>
      </x:c>
      <x:c r="E73" s="39" t="n">
        <x:f>COUNTA('CoverageCases'!$D$334:$D$349)</x:f>
        <x:v>16</x:v>
      </x:c>
      <x:c r="F73" s="39" t="n">
        <x:f>COUNT('CoverageCases'!$O$334:$O$349)</x:f>
        <x:v>16</x:v>
      </x:c>
      <x:c r="G73" s="39" t="n">
        <x:f>COUNTIF('CoverageCases'!$G$334:$G$349,"A")</x:f>
        <x:v>0</x:v>
      </x:c>
      <x:c r="H73" s="39" t="n">
        <x:f>COUNTIF('CoverageCases'!$G$334:$G$349,"B")</x:f>
        <x:v>0</x:v>
      </x:c>
      <x:c r="I73" s="39" t="n">
        <x:f>COUNTIF('CoverageCases'!$G$334:$G$349,"UNRESOLVED")</x:f>
        <x:v>0</x:v>
      </x:c>
      <x:c r="J73" s="32" t="n">
        <x:f>IF(F73=0,"—",(SUM('CoverageCases'!$O$334:$O$349))/F73/100)</x:f>
        <x:v>0.2907375</x:v>
      </x:c>
      <x:c r="K73" s="32" t="n">
        <x:f>IF(I73&gt;0,"Pending",IF(E73-H73=0,"—",(SUM('CoverageCases'!$O$334:$O$349))/(E73-H73)/100))</x:f>
        <x:v>0.2907375</x:v>
      </x:c>
      <x:c r="L73" s="32" t="n">
        <x:f>IF(I73&gt;0,"Pending",IF(E73=0,"—",(E73-G73)/E73))</x:f>
        <x:v>1</x:v>
      </x:c>
      <x:c r="M73" s="39" t="n">
        <x:f>IF(I73&gt;0,"Pending",E73-H73)</x:f>
        <x:v>16</x:v>
      </x:c>
    </x:row>
    <x:row r="74" ht="23" customHeight="1">
      <x:c r="B74" s="17" t="str">
        <x:v>Csv</x:v>
      </x:c>
      <x:c r="C74" s="17" t="str">
        <x:v>Round1</x:v>
      </x:c>
      <x:c r="D74" s="17" t="str">
        <x:v>Line</x:v>
      </x:c>
      <x:c r="E74" s="39" t="n">
        <x:f>COUNTA('CoverageCases'!$D$2042:$D$2057)</x:f>
        <x:v>16</x:v>
      </x:c>
      <x:c r="F74" s="39" t="n">
        <x:f>COUNT('CoverageCases'!$O$2042:$O$2057)</x:f>
        <x:v>16</x:v>
      </x:c>
      <x:c r="G74" s="39" t="n">
        <x:f>COUNTIF('CoverageCases'!$G$2042:$G$2057,"A")</x:f>
        <x:v>0</x:v>
      </x:c>
      <x:c r="H74" s="39" t="n">
        <x:f>COUNTIF('CoverageCases'!$G$2042:$G$2057,"B")</x:f>
        <x:v>0</x:v>
      </x:c>
      <x:c r="I74" s="39" t="n">
        <x:f>COUNTIF('CoverageCases'!$G$2042:$G$2057,"UNRESOLVED")</x:f>
        <x:v>0</x:v>
      </x:c>
      <x:c r="J74" s="32" t="n">
        <x:f>IF(F74=0,"—",(SUM('CoverageCases'!$O$2042:$O$2057))/F74/100)</x:f>
        <x:v>0.3544375</x:v>
      </x:c>
      <x:c r="K74" s="32" t="n">
        <x:f>IF(I74&gt;0,"Pending",IF(E74-H74=0,"—",(SUM('CoverageCases'!$O$2042:$O$2057))/(E74-H74)/100))</x:f>
        <x:v>0.3544375</x:v>
      </x:c>
      <x:c r="L74" s="32" t="n">
        <x:f>IF(I74&gt;0,"Pending",IF(E74=0,"—",(E74-G74)/E74))</x:f>
        <x:v>1</x:v>
      </x:c>
      <x:c r="M74" s="39" t="n">
        <x:f>IF(I74&gt;0,"Pending",E74-H74)</x:f>
        <x:v>16</x:v>
      </x:c>
    </x:row>
    <x:row r="75" ht="23" customHeight="1">
      <x:c r="B75" s="17" t="str">
        <x:v>Csv</x:v>
      </x:c>
      <x:c r="C75" s="17" t="str">
        <x:v>Round1</x:v>
      </x:c>
      <x:c r="D75" s="17" t="str">
        <x:v>Condition</x:v>
      </x:c>
      <x:c r="E75" s="39" t="n">
        <x:f>COUNTA('CoverageCases'!$D$3750:$D$3765)</x:f>
        <x:v>16</x:v>
      </x:c>
      <x:c r="F75" s="39" t="n">
        <x:f>COUNT('CoverageCases'!$O$3750:$O$3765)</x:f>
        <x:v>16</x:v>
      </x:c>
      <x:c r="G75" s="39" t="n">
        <x:f>COUNTIF('CoverageCases'!$G$3750:$G$3765,"A")</x:f>
        <x:v>0</x:v>
      </x:c>
      <x:c r="H75" s="39" t="n">
        <x:f>COUNTIF('CoverageCases'!$G$3750:$G$3765,"B")</x:f>
        <x:v>0</x:v>
      </x:c>
      <x:c r="I75" s="39" t="n">
        <x:f>COUNTIF('CoverageCases'!$G$3750:$G$3765,"UNRESOLVED")</x:f>
        <x:v>0</x:v>
      </x:c>
      <x:c r="J75" s="32" t="n">
        <x:f>IF(F75=0,"—",(SUM('CoverageCases'!$O$3750:$O$3765))/F75/100)</x:f>
        <x:v>0.19616875</x:v>
      </x:c>
      <x:c r="K75" s="32" t="n">
        <x:f>IF(I75&gt;0,"Pending",IF(E75-H75=0,"—",(SUM('CoverageCases'!$O$3750:$O$3765))/(E75-H75)/100))</x:f>
        <x:v>0.19616875</x:v>
      </x:c>
      <x:c r="L75" s="32" t="n">
        <x:f>IF(I75&gt;0,"Pending",IF(E75=0,"—",(E75-G75)/E75))</x:f>
        <x:v>1</x:v>
      </x:c>
      <x:c r="M75" s="39" t="n">
        <x:f>IF(I75&gt;0,"Pending",E75-H75)</x:f>
        <x:v>16</x:v>
      </x:c>
    </x:row>
    <x:row r="76" ht="23" customHeight="1">
      <x:c r="B76" s="17" t="str">
        <x:v>Csv</x:v>
      </x:c>
      <x:c r="C76" s="17" t="str">
        <x:v>Round2</x:v>
      </x:c>
      <x:c r="D76" s="17" t="str">
        <x:v>Coverage</x:v>
      </x:c>
      <x:c r="E76" s="39" t="n">
        <x:f>COUNTA('CoverageCases'!$D$1188:$D$1203)</x:f>
        <x:v>16</x:v>
      </x:c>
      <x:c r="F76" s="39" t="n">
        <x:f>COUNT('CoverageCases'!$O$1188:$O$1203)</x:f>
        <x:v>16</x:v>
      </x:c>
      <x:c r="G76" s="39" t="n">
        <x:f>COUNTIF('CoverageCases'!$G$1188:$G$1203,"A")</x:f>
        <x:v>0</x:v>
      </x:c>
      <x:c r="H76" s="39" t="n">
        <x:f>COUNTIF('CoverageCases'!$G$1188:$G$1203,"B")</x:f>
        <x:v>0</x:v>
      </x:c>
      <x:c r="I76" s="39" t="n">
        <x:f>COUNTIF('CoverageCases'!$G$1188:$G$1203,"UNRESOLVED")</x:f>
        <x:v>0</x:v>
      </x:c>
      <x:c r="J76" s="32" t="n">
        <x:f>IF(F76=0,"—",(SUM('CoverageCases'!$O$1188:$O$1203))/F76/100)</x:f>
        <x:v>0.40411875</x:v>
      </x:c>
      <x:c r="K76" s="32" t="n">
        <x:f>IF(I76&gt;0,"Pending",IF(E76-H76=0,"—",(SUM('CoverageCases'!$O$1188:$O$1203))/(E76-H76)/100))</x:f>
        <x:v>0.40411875</x:v>
      </x:c>
      <x:c r="L76" s="32" t="n">
        <x:f>IF(I76&gt;0,"Pending",IF(E76=0,"—",(E76-G76)/E76))</x:f>
        <x:v>1</x:v>
      </x:c>
      <x:c r="M76" s="39" t="n">
        <x:f>IF(I76&gt;0,"Pending",E76-H76)</x:f>
        <x:v>16</x:v>
      </x:c>
    </x:row>
    <x:row r="77" ht="23" customHeight="1">
      <x:c r="B77" s="17" t="str">
        <x:v>Csv</x:v>
      </x:c>
      <x:c r="C77" s="17" t="str">
        <x:v>Round2</x:v>
      </x:c>
      <x:c r="D77" s="17" t="str">
        <x:v>Line</x:v>
      </x:c>
      <x:c r="E77" s="39" t="n">
        <x:f>COUNTA('CoverageCases'!$D$2896:$D$2911)</x:f>
        <x:v>16</x:v>
      </x:c>
      <x:c r="F77" s="39" t="n">
        <x:f>COUNT('CoverageCases'!$O$2896:$O$2911)</x:f>
        <x:v>16</x:v>
      </x:c>
      <x:c r="G77" s="39" t="n">
        <x:f>COUNTIF('CoverageCases'!$G$2896:$G$2911,"A")</x:f>
        <x:v>0</x:v>
      </x:c>
      <x:c r="H77" s="39" t="n">
        <x:f>COUNTIF('CoverageCases'!$G$2896:$G$2911,"B")</x:f>
        <x:v>0</x:v>
      </x:c>
      <x:c r="I77" s="39" t="n">
        <x:f>COUNTIF('CoverageCases'!$G$2896:$G$2911,"UNRESOLVED")</x:f>
        <x:v>0</x:v>
      </x:c>
      <x:c r="J77" s="32" t="n">
        <x:f>IF(F77=0,"—",(SUM('CoverageCases'!$O$2896:$O$2911))/F77/100)</x:f>
        <x:v>0.46137500000000004</x:v>
      </x:c>
      <x:c r="K77" s="32" t="n">
        <x:f>IF(I77&gt;0,"Pending",IF(E77-H77=0,"—",(SUM('CoverageCases'!$O$2896:$O$2911))/(E77-H77)/100))</x:f>
        <x:v>0.46137500000000004</x:v>
      </x:c>
      <x:c r="L77" s="32" t="n">
        <x:f>IF(I77&gt;0,"Pending",IF(E77=0,"—",(E77-G77)/E77))</x:f>
        <x:v>1</x:v>
      </x:c>
      <x:c r="M77" s="39" t="n">
        <x:f>IF(I77&gt;0,"Pending",E77-H77)</x:f>
        <x:v>16</x:v>
      </x:c>
    </x:row>
    <x:row r="78" ht="23" customHeight="1">
      <x:c r="B78" s="17" t="str">
        <x:v>Csv</x:v>
      </x:c>
      <x:c r="C78" s="17" t="str">
        <x:v>Round2</x:v>
      </x:c>
      <x:c r="D78" s="17" t="str">
        <x:v>Condition</x:v>
      </x:c>
      <x:c r="E78" s="39" t="n">
        <x:f>COUNTA('CoverageCases'!$D$4604:$D$4619)</x:f>
        <x:v>16</x:v>
      </x:c>
      <x:c r="F78" s="39" t="n">
        <x:f>COUNT('CoverageCases'!$O$4604:$O$4619)</x:f>
        <x:v>16</x:v>
      </x:c>
      <x:c r="G78" s="39" t="n">
        <x:f>COUNTIF('CoverageCases'!$G$4604:$G$4619,"A")</x:f>
        <x:v>0</x:v>
      </x:c>
      <x:c r="H78" s="39" t="n">
        <x:f>COUNTIF('CoverageCases'!$G$4604:$G$4619,"B")</x:f>
        <x:v>0</x:v>
      </x:c>
      <x:c r="I78" s="39" t="n">
        <x:f>COUNTIF('CoverageCases'!$G$4604:$G$4619,"UNRESOLVED")</x:f>
        <x:v>0</x:v>
      </x:c>
      <x:c r="J78" s="32" t="n">
        <x:f>IF(F78=0,"—",(SUM('CoverageCases'!$O$4604:$O$4619))/F78/100)</x:f>
        <x:v>0.31501875</x:v>
      </x:c>
      <x:c r="K78" s="32" t="n">
        <x:f>IF(I78&gt;0,"Pending",IF(E78-H78=0,"—",(SUM('CoverageCases'!$O$4604:$O$4619))/(E78-H78)/100))</x:f>
        <x:v>0.31501875</x:v>
      </x:c>
      <x:c r="L78" s="32" t="n">
        <x:f>IF(I78&gt;0,"Pending",IF(E78=0,"—",(E78-G78)/E78))</x:f>
        <x:v>1</x:v>
      </x:c>
      <x:c r="M78" s="39" t="n">
        <x:f>IF(I78&gt;0,"Pending",E78-H78)</x:f>
        <x:v>16</x:v>
      </x:c>
    </x:row>
    <x:row r="79" ht="23" customHeight="1">
      <x:c r="B79" s="17" t="str">
        <x:v>Gson</x:v>
      </x:c>
      <x:c r="C79" s="17" t="str">
        <x:v>All rounds</x:v>
      </x:c>
      <x:c r="D79" s="17" t="str">
        <x:v>Coverage</x:v>
      </x:c>
      <x:c r="E79" s="39" t="n">
        <x:f>COUNTA('CoverageCases'!$D$350:$D$367,'CoverageCases'!$D$1204:$D$1221)</x:f>
        <x:v>36</x:v>
      </x:c>
      <x:c r="F79" s="39" t="n">
        <x:f>COUNT('CoverageCases'!$O$350:$O$367,'CoverageCases'!$O$1204:$O$1221)</x:f>
        <x:v>36</x:v>
      </x:c>
      <x:c r="G79" s="39" t="n">
        <x:f>COUNTIF('CoverageCases'!$G$350:$G$367,"A")+COUNTIF('CoverageCases'!$G$1204:$G$1221,"A")</x:f>
        <x:v>0</x:v>
      </x:c>
      <x:c r="H79" s="39" t="n">
        <x:f>COUNTIF('CoverageCases'!$G$350:$G$367,"B")+COUNTIF('CoverageCases'!$G$1204:$G$1221,"B")</x:f>
        <x:v>0</x:v>
      </x:c>
      <x:c r="I79" s="39" t="n">
        <x:f>COUNTIF('CoverageCases'!$G$350:$G$367,"UNRESOLVED")+COUNTIF('CoverageCases'!$G$1204:$G$1221,"UNRESOLVED")</x:f>
        <x:v>0</x:v>
      </x:c>
      <x:c r="J79" s="32" t="n">
        <x:f>IF(F79=0,"—",(SUM('CoverageCases'!$O$350:$O$367,'CoverageCases'!$O$1204:$O$1221))/F79/100)</x:f>
        <x:v>0.10198888888888889</x:v>
      </x:c>
      <x:c r="K79" s="32" t="n">
        <x:f>IF(I79&gt;0,"Pending",IF(E79-H79=0,"—",(SUM('CoverageCases'!$O$350:$O$367,'CoverageCases'!$O$1204:$O$1221))/(E79-H79)/100))</x:f>
        <x:v>0.10198888888888889</x:v>
      </x:c>
      <x:c r="L79" s="32" t="n">
        <x:f>IF(I79&gt;0,"Pending",IF(E79=0,"—",(E79-G79)/E79))</x:f>
        <x:v>1</x:v>
      </x:c>
      <x:c r="M79" s="39" t="n">
        <x:f>IF(I79&gt;0,"Pending",E79-H79)</x:f>
        <x:v>36</x:v>
      </x:c>
    </x:row>
    <x:row r="80" ht="23" customHeight="1">
      <x:c r="B80" s="17" t="str">
        <x:v>Gson</x:v>
      </x:c>
      <x:c r="C80" s="17" t="str">
        <x:v>All rounds</x:v>
      </x:c>
      <x:c r="D80" s="17" t="str">
        <x:v>Line</x:v>
      </x:c>
      <x:c r="E80" s="39" t="n">
        <x:f>COUNTA('CoverageCases'!$D$2058:$D$2075,'CoverageCases'!$D$2912:$D$2929)</x:f>
        <x:v>36</x:v>
      </x:c>
      <x:c r="F80" s="39" t="n">
        <x:f>COUNT('CoverageCases'!$O$2058:$O$2075,'CoverageCases'!$O$2912:$O$2929)</x:f>
        <x:v>36</x:v>
      </x:c>
      <x:c r="G80" s="39" t="n">
        <x:f>COUNTIF('CoverageCases'!$G$2058:$G$2075,"A")+COUNTIF('CoverageCases'!$G$2912:$G$2929,"A")</x:f>
        <x:v>0</x:v>
      </x:c>
      <x:c r="H80" s="39" t="n">
        <x:f>COUNTIF('CoverageCases'!$G$2058:$G$2075,"B")+COUNTIF('CoverageCases'!$G$2912:$G$2929,"B")</x:f>
        <x:v>0</x:v>
      </x:c>
      <x:c r="I80" s="39" t="n">
        <x:f>COUNTIF('CoverageCases'!$G$2058:$G$2075,"UNRESOLVED")+COUNTIF('CoverageCases'!$G$2912:$G$2929,"UNRESOLVED")</x:f>
        <x:v>0</x:v>
      </x:c>
      <x:c r="J80" s="32" t="n">
        <x:f>IF(F80=0,"—",(SUM('CoverageCases'!$O$2058:$O$2075,'CoverageCases'!$O$2912:$O$2929))/F80/100)</x:f>
        <x:v>0.12634166666666666</x:v>
      </x:c>
      <x:c r="K80" s="32" t="n">
        <x:f>IF(I80&gt;0,"Pending",IF(E80-H80=0,"—",(SUM('CoverageCases'!$O$2058:$O$2075,'CoverageCases'!$O$2912:$O$2929))/(E80-H80)/100))</x:f>
        <x:v>0.12634166666666666</x:v>
      </x:c>
      <x:c r="L80" s="32" t="n">
        <x:f>IF(I80&gt;0,"Pending",IF(E80=0,"—",(E80-G80)/E80))</x:f>
        <x:v>1</x:v>
      </x:c>
      <x:c r="M80" s="39" t="n">
        <x:f>IF(I80&gt;0,"Pending",E80-H80)</x:f>
        <x:v>36</x:v>
      </x:c>
    </x:row>
    <x:row r="81" ht="23" customHeight="1">
      <x:c r="B81" s="17" t="str">
        <x:v>Gson</x:v>
      </x:c>
      <x:c r="C81" s="17" t="str">
        <x:v>All rounds</x:v>
      </x:c>
      <x:c r="D81" s="17" t="str">
        <x:v>Condition</x:v>
      </x:c>
      <x:c r="E81" s="39" t="n">
        <x:f>COUNTA('CoverageCases'!$D$3766:$D$3783,'CoverageCases'!$D$4620:$D$4637)</x:f>
        <x:v>36</x:v>
      </x:c>
      <x:c r="F81" s="39" t="n">
        <x:f>COUNT('CoverageCases'!$O$3766:$O$3783,'CoverageCases'!$O$4620:$O$4637)</x:f>
        <x:v>34</x:v>
      </x:c>
      <x:c r="G81" s="39" t="n">
        <x:f>COUNTIF('CoverageCases'!$G$3766:$G$3783,"A")+COUNTIF('CoverageCases'!$G$4620:$G$4637,"A")</x:f>
        <x:v>0</x:v>
      </x:c>
      <x:c r="H81" s="39" t="n">
        <x:f>COUNTIF('CoverageCases'!$G$3766:$G$3783,"B")+COUNTIF('CoverageCases'!$G$4620:$G$4637,"B")</x:f>
        <x:v>2</x:v>
      </x:c>
      <x:c r="I81" s="39" t="n">
        <x:f>COUNTIF('CoverageCases'!$G$3766:$G$3783,"UNRESOLVED")+COUNTIF('CoverageCases'!$G$4620:$G$4637,"UNRESOLVED")</x:f>
        <x:v>0</x:v>
      </x:c>
      <x:c r="J81" s="32" t="n">
        <x:f>IF(F81=0,"—",(SUM('CoverageCases'!$O$3766:$O$3783,'CoverageCases'!$O$4620:$O$4637))/F81/100)</x:f>
        <x:v>0.03241470588235294</x:v>
      </x:c>
      <x:c r="K81" s="32" t="n">
        <x:f>IF(I81&gt;0,"Pending",IF(E81-H81=0,"—",(SUM('CoverageCases'!$O$3766:$O$3783,'CoverageCases'!$O$4620:$O$4637))/(E81-H81)/100))</x:f>
        <x:v>0.03241470588235294</x:v>
      </x:c>
      <x:c r="L81" s="32" t="n">
        <x:f>IF(I81&gt;0,"Pending",IF(E81=0,"—",(E81-G81)/E81))</x:f>
        <x:v>1</x:v>
      </x:c>
      <x:c r="M81" s="39" t="n">
        <x:f>IF(I81&gt;0,"Pending",E81-H81)</x:f>
        <x:v>34</x:v>
      </x:c>
    </x:row>
    <x:row r="82" ht="23" customHeight="1">
      <x:c r="B82" s="17" t="str">
        <x:v>Gson</x:v>
      </x:c>
      <x:c r="C82" s="17" t="str">
        <x:v>Round1</x:v>
      </x:c>
      <x:c r="D82" s="17" t="str">
        <x:v>Coverage</x:v>
      </x:c>
      <x:c r="E82" s="39" t="n">
        <x:f>COUNTA('CoverageCases'!$D$350:$D$367)</x:f>
        <x:v>18</x:v>
      </x:c>
      <x:c r="F82" s="39" t="n">
        <x:f>COUNT('CoverageCases'!$O$350:$O$367)</x:f>
        <x:v>18</x:v>
      </x:c>
      <x:c r="G82" s="39" t="n">
        <x:f>COUNTIF('CoverageCases'!$G$350:$G$367,"A")</x:f>
        <x:v>0</x:v>
      </x:c>
      <x:c r="H82" s="39" t="n">
        <x:f>COUNTIF('CoverageCases'!$G$350:$G$367,"B")</x:f>
        <x:v>0</x:v>
      </x:c>
      <x:c r="I82" s="39" t="n">
        <x:f>COUNTIF('CoverageCases'!$G$350:$G$367,"UNRESOLVED")</x:f>
        <x:v>0</x:v>
      </x:c>
      <x:c r="J82" s="32" t="n">
        <x:f>IF(F82=0,"—",(SUM('CoverageCases'!$O$350:$O$367))/F82/100)</x:f>
        <x:v>0.09230555555555556</x:v>
      </x:c>
      <x:c r="K82" s="32" t="n">
        <x:f>IF(I82&gt;0,"Pending",IF(E82-H82=0,"—",(SUM('CoverageCases'!$O$350:$O$367))/(E82-H82)/100))</x:f>
        <x:v>0.09230555555555556</x:v>
      </x:c>
      <x:c r="L82" s="32" t="n">
        <x:f>IF(I82&gt;0,"Pending",IF(E82=0,"—",(E82-G82)/E82))</x:f>
        <x:v>1</x:v>
      </x:c>
      <x:c r="M82" s="39" t="n">
        <x:f>IF(I82&gt;0,"Pending",E82-H82)</x:f>
        <x:v>18</x:v>
      </x:c>
    </x:row>
    <x:row r="83" ht="23" customHeight="1">
      <x:c r="B83" s="17" t="str">
        <x:v>Gson</x:v>
      </x:c>
      <x:c r="C83" s="17" t="str">
        <x:v>Round1</x:v>
      </x:c>
      <x:c r="D83" s="17" t="str">
        <x:v>Line</x:v>
      </x:c>
      <x:c r="E83" s="39" t="n">
        <x:f>COUNTA('CoverageCases'!$D$2058:$D$2075)</x:f>
        <x:v>18</x:v>
      </x:c>
      <x:c r="F83" s="39" t="n">
        <x:f>COUNT('CoverageCases'!$O$2058:$O$2075)</x:f>
        <x:v>18</x:v>
      </x:c>
      <x:c r="G83" s="39" t="n">
        <x:f>COUNTIF('CoverageCases'!$G$2058:$G$2075,"A")</x:f>
        <x:v>0</x:v>
      </x:c>
      <x:c r="H83" s="39" t="n">
        <x:f>COUNTIF('CoverageCases'!$G$2058:$G$2075,"B")</x:f>
        <x:v>0</x:v>
      </x:c>
      <x:c r="I83" s="39" t="n">
        <x:f>COUNTIF('CoverageCases'!$G$2058:$G$2075,"UNRESOLVED")</x:f>
        <x:v>0</x:v>
      </x:c>
      <x:c r="J83" s="32" t="n">
        <x:f>IF(F83=0,"—",(SUM('CoverageCases'!$O$2058:$O$2075))/F83/100)</x:f>
        <x:v>0.11638888888888888</x:v>
      </x:c>
      <x:c r="K83" s="32" t="n">
        <x:f>IF(I83&gt;0,"Pending",IF(E83-H83=0,"—",(SUM('CoverageCases'!$O$2058:$O$2075))/(E83-H83)/100))</x:f>
        <x:v>0.11638888888888888</x:v>
      </x:c>
      <x:c r="L83" s="32" t="n">
        <x:f>IF(I83&gt;0,"Pending",IF(E83=0,"—",(E83-G83)/E83))</x:f>
        <x:v>1</x:v>
      </x:c>
      <x:c r="M83" s="39" t="n">
        <x:f>IF(I83&gt;0,"Pending",E83-H83)</x:f>
        <x:v>18</x:v>
      </x:c>
    </x:row>
    <x:row r="84" ht="23" customHeight="1">
      <x:c r="B84" s="17" t="str">
        <x:v>Gson</x:v>
      </x:c>
      <x:c r="C84" s="17" t="str">
        <x:v>Round1</x:v>
      </x:c>
      <x:c r="D84" s="17" t="str">
        <x:v>Condition</x:v>
      </x:c>
      <x:c r="E84" s="39" t="n">
        <x:f>COUNTA('CoverageCases'!$D$3766:$D$3783)</x:f>
        <x:v>18</x:v>
      </x:c>
      <x:c r="F84" s="39" t="n">
        <x:f>COUNT('CoverageCases'!$O$3766:$O$3783)</x:f>
        <x:v>17</x:v>
      </x:c>
      <x:c r="G84" s="39" t="n">
        <x:f>COUNTIF('CoverageCases'!$G$3766:$G$3783,"A")</x:f>
        <x:v>0</x:v>
      </x:c>
      <x:c r="H84" s="39" t="n">
        <x:f>COUNTIF('CoverageCases'!$G$3766:$G$3783,"B")</x:f>
        <x:v>1</x:v>
      </x:c>
      <x:c r="I84" s="39" t="n">
        <x:f>COUNTIF('CoverageCases'!$G$3766:$G$3783,"UNRESOLVED")</x:f>
        <x:v>0</x:v>
      </x:c>
      <x:c r="J84" s="32" t="n">
        <x:f>IF(F84=0,"—",(SUM('CoverageCases'!$O$3766:$O$3783))/F84/100)</x:f>
        <x:v>0.02277058823529412</x:v>
      </x:c>
      <x:c r="K84" s="32" t="n">
        <x:f>IF(I84&gt;0,"Pending",IF(E84-H84=0,"—",(SUM('CoverageCases'!$O$3766:$O$3783))/(E84-H84)/100))</x:f>
        <x:v>0.02277058823529412</x:v>
      </x:c>
      <x:c r="L84" s="32" t="n">
        <x:f>IF(I84&gt;0,"Pending",IF(E84=0,"—",(E84-G84)/E84))</x:f>
        <x:v>1</x:v>
      </x:c>
      <x:c r="M84" s="39" t="n">
        <x:f>IF(I84&gt;0,"Pending",E84-H84)</x:f>
        <x:v>17</x:v>
      </x:c>
    </x:row>
    <x:row r="85" ht="23" customHeight="1">
      <x:c r="B85" s="17" t="str">
        <x:v>Gson</x:v>
      </x:c>
      <x:c r="C85" s="17" t="str">
        <x:v>Round2</x:v>
      </x:c>
      <x:c r="D85" s="17" t="str">
        <x:v>Coverage</x:v>
      </x:c>
      <x:c r="E85" s="39" t="n">
        <x:f>COUNTA('CoverageCases'!$D$1204:$D$1221)</x:f>
        <x:v>18</x:v>
      </x:c>
      <x:c r="F85" s="39" t="n">
        <x:f>COUNT('CoverageCases'!$O$1204:$O$1221)</x:f>
        <x:v>18</x:v>
      </x:c>
      <x:c r="G85" s="39" t="n">
        <x:f>COUNTIF('CoverageCases'!$G$1204:$G$1221,"A")</x:f>
        <x:v>0</x:v>
      </x:c>
      <x:c r="H85" s="39" t="n">
        <x:f>COUNTIF('CoverageCases'!$G$1204:$G$1221,"B")</x:f>
        <x:v>0</x:v>
      </x:c>
      <x:c r="I85" s="39" t="n">
        <x:f>COUNTIF('CoverageCases'!$G$1204:$G$1221,"UNRESOLVED")</x:f>
        <x:v>0</x:v>
      </x:c>
      <x:c r="J85" s="32" t="n">
        <x:f>IF(F85=0,"—",(SUM('CoverageCases'!$O$1204:$O$1221))/F85/100)</x:f>
        <x:v>0.11167222222222223</x:v>
      </x:c>
      <x:c r="K85" s="32" t="n">
        <x:f>IF(I85&gt;0,"Pending",IF(E85-H85=0,"—",(SUM('CoverageCases'!$O$1204:$O$1221))/(E85-H85)/100))</x:f>
        <x:v>0.11167222222222223</x:v>
      </x:c>
      <x:c r="L85" s="32" t="n">
        <x:f>IF(I85&gt;0,"Pending",IF(E85=0,"—",(E85-G85)/E85))</x:f>
        <x:v>1</x:v>
      </x:c>
      <x:c r="M85" s="39" t="n">
        <x:f>IF(I85&gt;0,"Pending",E85-H85)</x:f>
        <x:v>18</x:v>
      </x:c>
    </x:row>
    <x:row r="86" ht="23" customHeight="1">
      <x:c r="B86" s="17" t="str">
        <x:v>Gson</x:v>
      </x:c>
      <x:c r="C86" s="17" t="str">
        <x:v>Round2</x:v>
      </x:c>
      <x:c r="D86" s="17" t="str">
        <x:v>Line</x:v>
      </x:c>
      <x:c r="E86" s="39" t="n">
        <x:f>COUNTA('CoverageCases'!$D$2912:$D$2929)</x:f>
        <x:v>18</x:v>
      </x:c>
      <x:c r="F86" s="39" t="n">
        <x:f>COUNT('CoverageCases'!$O$2912:$O$2929)</x:f>
        <x:v>18</x:v>
      </x:c>
      <x:c r="G86" s="39" t="n">
        <x:f>COUNTIF('CoverageCases'!$G$2912:$G$2929,"A")</x:f>
        <x:v>0</x:v>
      </x:c>
      <x:c r="H86" s="39" t="n">
        <x:f>COUNTIF('CoverageCases'!$G$2912:$G$2929,"B")</x:f>
        <x:v>0</x:v>
      </x:c>
      <x:c r="I86" s="39" t="n">
        <x:f>COUNTIF('CoverageCases'!$G$2912:$G$2929,"UNRESOLVED")</x:f>
        <x:v>0</x:v>
      </x:c>
      <x:c r="J86" s="32" t="n">
        <x:f>IF(F86=0,"—",(SUM('CoverageCases'!$O$2912:$O$2929))/F86/100)</x:f>
        <x:v>0.13629444444444444</x:v>
      </x:c>
      <x:c r="K86" s="32" t="n">
        <x:f>IF(I86&gt;0,"Pending",IF(E86-H86=0,"—",(SUM('CoverageCases'!$O$2912:$O$2929))/(E86-H86)/100))</x:f>
        <x:v>0.13629444444444444</x:v>
      </x:c>
      <x:c r="L86" s="32" t="n">
        <x:f>IF(I86&gt;0,"Pending",IF(E86=0,"—",(E86-G86)/E86))</x:f>
        <x:v>1</x:v>
      </x:c>
      <x:c r="M86" s="39" t="n">
        <x:f>IF(I86&gt;0,"Pending",E86-H86)</x:f>
        <x:v>18</x:v>
      </x:c>
    </x:row>
    <x:row r="87" ht="23" customHeight="1">
      <x:c r="B87" s="17" t="str">
        <x:v>Gson</x:v>
      </x:c>
      <x:c r="C87" s="17" t="str">
        <x:v>Round2</x:v>
      </x:c>
      <x:c r="D87" s="17" t="str">
        <x:v>Condition</x:v>
      </x:c>
      <x:c r="E87" s="39" t="n">
        <x:f>COUNTA('CoverageCases'!$D$4620:$D$4637)</x:f>
        <x:v>18</x:v>
      </x:c>
      <x:c r="F87" s="39" t="n">
        <x:f>COUNT('CoverageCases'!$O$4620:$O$4637)</x:f>
        <x:v>17</x:v>
      </x:c>
      <x:c r="G87" s="39" t="n">
        <x:f>COUNTIF('CoverageCases'!$G$4620:$G$4637,"A")</x:f>
        <x:v>0</x:v>
      </x:c>
      <x:c r="H87" s="39" t="n">
        <x:f>COUNTIF('CoverageCases'!$G$4620:$G$4637,"B")</x:f>
        <x:v>1</x:v>
      </x:c>
      <x:c r="I87" s="39" t="n">
        <x:f>COUNTIF('CoverageCases'!$G$4620:$G$4637,"UNRESOLVED")</x:f>
        <x:v>0</x:v>
      </x:c>
      <x:c r="J87" s="32" t="n">
        <x:f>IF(F87=0,"—",(SUM('CoverageCases'!$O$4620:$O$4637))/F87/100)</x:f>
        <x:v>0.04205882352941177</x:v>
      </x:c>
      <x:c r="K87" s="32" t="n">
        <x:f>IF(I87&gt;0,"Pending",IF(E87-H87=0,"—",(SUM('CoverageCases'!$O$4620:$O$4637))/(E87-H87)/100))</x:f>
        <x:v>0.04205882352941177</x:v>
      </x:c>
      <x:c r="L87" s="32" t="n">
        <x:f>IF(I87&gt;0,"Pending",IF(E87=0,"—",(E87-G87)/E87))</x:f>
        <x:v>1</x:v>
      </x:c>
      <x:c r="M87" s="39" t="n">
        <x:f>IF(I87&gt;0,"Pending",E87-H87)</x:f>
        <x:v>17</x:v>
      </x:c>
    </x:row>
    <x:row r="88" ht="23" customHeight="1">
      <x:c r="B88" s="17" t="str">
        <x:v>JacksonCore</x:v>
      </x:c>
      <x:c r="C88" s="17" t="str">
        <x:v>All rounds</x:v>
      </x:c>
      <x:c r="D88" s="17" t="str">
        <x:v>Coverage</x:v>
      </x:c>
      <x:c r="E88" s="39" t="n">
        <x:f>COUNTA('CoverageCases'!$D$368:$D$393,'CoverageCases'!$D$1222:$D$1247)</x:f>
        <x:v>52</x:v>
      </x:c>
      <x:c r="F88" s="39" t="n">
        <x:f>COUNT('CoverageCases'!$O$368:$O$393,'CoverageCases'!$O$1222:$O$1247)</x:f>
        <x:v>52</x:v>
      </x:c>
      <x:c r="G88" s="39" t="n">
        <x:f>COUNTIF('CoverageCases'!$G$368:$G$393,"A")+COUNTIF('CoverageCases'!$G$1222:$G$1247,"A")</x:f>
        <x:v>0</x:v>
      </x:c>
      <x:c r="H88" s="39" t="n">
        <x:f>COUNTIF('CoverageCases'!$G$368:$G$393,"B")+COUNTIF('CoverageCases'!$G$1222:$G$1247,"B")</x:f>
        <x:v>0</x:v>
      </x:c>
      <x:c r="I88" s="39" t="n">
        <x:f>COUNTIF('CoverageCases'!$G$368:$G$393,"UNRESOLVED")+COUNTIF('CoverageCases'!$G$1222:$G$1247,"UNRESOLVED")</x:f>
        <x:v>0</x:v>
      </x:c>
      <x:c r="J88" s="32" t="n">
        <x:f>IF(F88=0,"—",(SUM('CoverageCases'!$O$368:$O$393,'CoverageCases'!$O$1222:$O$1247))/F88/100)</x:f>
        <x:v>0.2535211538461538</x:v>
      </x:c>
      <x:c r="K88" s="32" t="n">
        <x:f>IF(I88&gt;0,"Pending",IF(E88-H88=0,"—",(SUM('CoverageCases'!$O$368:$O$393,'CoverageCases'!$O$1222:$O$1247))/(E88-H88)/100))</x:f>
        <x:v>0.2535211538461538</x:v>
      </x:c>
      <x:c r="L88" s="32" t="n">
        <x:f>IF(I88&gt;0,"Pending",IF(E88=0,"—",(E88-G88)/E88))</x:f>
        <x:v>1</x:v>
      </x:c>
      <x:c r="M88" s="39" t="n">
        <x:f>IF(I88&gt;0,"Pending",E88-H88)</x:f>
        <x:v>52</x:v>
      </x:c>
    </x:row>
    <x:row r="89" ht="23" customHeight="1">
      <x:c r="B89" s="17" t="str">
        <x:v>JacksonCore</x:v>
      </x:c>
      <x:c r="C89" s="17" t="str">
        <x:v>All rounds</x:v>
      </x:c>
      <x:c r="D89" s="17" t="str">
        <x:v>Line</x:v>
      </x:c>
      <x:c r="E89" s="39" t="n">
        <x:f>COUNTA('CoverageCases'!$D$2076:$D$2101,'CoverageCases'!$D$2930:$D$2955)</x:f>
        <x:v>52</x:v>
      </x:c>
      <x:c r="F89" s="39" t="n">
        <x:f>COUNT('CoverageCases'!$O$2076:$O$2101,'CoverageCases'!$O$2930:$O$2955)</x:f>
        <x:v>52</x:v>
      </x:c>
      <x:c r="G89" s="39" t="n">
        <x:f>COUNTIF('CoverageCases'!$G$2076:$G$2101,"A")+COUNTIF('CoverageCases'!$G$2930:$G$2955,"A")</x:f>
        <x:v>0</x:v>
      </x:c>
      <x:c r="H89" s="39" t="n">
        <x:f>COUNTIF('CoverageCases'!$G$2076:$G$2101,"B")+COUNTIF('CoverageCases'!$G$2930:$G$2955,"B")</x:f>
        <x:v>0</x:v>
      </x:c>
      <x:c r="I89" s="39" t="n">
        <x:f>COUNTIF('CoverageCases'!$G$2076:$G$2101,"UNRESOLVED")+COUNTIF('CoverageCases'!$G$2930:$G$2955,"UNRESOLVED")</x:f>
        <x:v>0</x:v>
      </x:c>
      <x:c r="J89" s="32" t="n">
        <x:f>IF(F89=0,"—",(SUM('CoverageCases'!$O$2076:$O$2101,'CoverageCases'!$O$2930:$O$2955))/F89/100)</x:f>
        <x:v>0.28488461538461535</x:v>
      </x:c>
      <x:c r="K89" s="32" t="n">
        <x:f>IF(I89&gt;0,"Pending",IF(E89-H89=0,"—",(SUM('CoverageCases'!$O$2076:$O$2101,'CoverageCases'!$O$2930:$O$2955))/(E89-H89)/100))</x:f>
        <x:v>0.28488461538461535</x:v>
      </x:c>
      <x:c r="L89" s="32" t="n">
        <x:f>IF(I89&gt;0,"Pending",IF(E89=0,"—",(E89-G89)/E89))</x:f>
        <x:v>1</x:v>
      </x:c>
      <x:c r="M89" s="39" t="n">
        <x:f>IF(I89&gt;0,"Pending",E89-H89)</x:f>
        <x:v>52</x:v>
      </x:c>
    </x:row>
    <x:row r="90" ht="23" customHeight="1">
      <x:c r="B90" s="17" t="str">
        <x:v>JacksonCore</x:v>
      </x:c>
      <x:c r="C90" s="17" t="str">
        <x:v>All rounds</x:v>
      </x:c>
      <x:c r="D90" s="17" t="str">
        <x:v>Condition</x:v>
      </x:c>
      <x:c r="E90" s="39" t="n">
        <x:f>COUNTA('CoverageCases'!$D$3784:$D$3809,'CoverageCases'!$D$4638:$D$4663)</x:f>
        <x:v>52</x:v>
      </x:c>
      <x:c r="F90" s="39" t="n">
        <x:f>COUNT('CoverageCases'!$O$3784:$O$3809,'CoverageCases'!$O$4638:$O$4663)</x:f>
        <x:v>52</x:v>
      </x:c>
      <x:c r="G90" s="39" t="n">
        <x:f>COUNTIF('CoverageCases'!$G$3784:$G$3809,"A")+COUNTIF('CoverageCases'!$G$4638:$G$4663,"A")</x:f>
        <x:v>0</x:v>
      </x:c>
      <x:c r="H90" s="39" t="n">
        <x:f>COUNTIF('CoverageCases'!$G$3784:$G$3809,"B")+COUNTIF('CoverageCases'!$G$4638:$G$4663,"B")</x:f>
        <x:v>0</x:v>
      </x:c>
      <x:c r="I90" s="39" t="n">
        <x:f>COUNTIF('CoverageCases'!$G$3784:$G$3809,"UNRESOLVED")+COUNTIF('CoverageCases'!$G$4638:$G$4663,"UNRESOLVED")</x:f>
        <x:v>0</x:v>
      </x:c>
      <x:c r="J90" s="32" t="n">
        <x:f>IF(F90=0,"—",(SUM('CoverageCases'!$O$3784:$O$3809,'CoverageCases'!$O$4638:$O$4663))/F90/100)</x:f>
        <x:v>0.1986884615384615</x:v>
      </x:c>
      <x:c r="K90" s="32" t="n">
        <x:f>IF(I90&gt;0,"Pending",IF(E90-H90=0,"—",(SUM('CoverageCases'!$O$3784:$O$3809,'CoverageCases'!$O$4638:$O$4663))/(E90-H90)/100))</x:f>
        <x:v>0.1986884615384615</x:v>
      </x:c>
      <x:c r="L90" s="32" t="n">
        <x:f>IF(I90&gt;0,"Pending",IF(E90=0,"—",(E90-G90)/E90))</x:f>
        <x:v>1</x:v>
      </x:c>
      <x:c r="M90" s="39" t="n">
        <x:f>IF(I90&gt;0,"Pending",E90-H90)</x:f>
        <x:v>52</x:v>
      </x:c>
    </x:row>
    <x:row r="91" ht="23" customHeight="1">
      <x:c r="B91" s="17" t="str">
        <x:v>JacksonCore</x:v>
      </x:c>
      <x:c r="C91" s="17" t="str">
        <x:v>Round1</x:v>
      </x:c>
      <x:c r="D91" s="17" t="str">
        <x:v>Coverage</x:v>
      </x:c>
      <x:c r="E91" s="39" t="n">
        <x:f>COUNTA('CoverageCases'!$D$368:$D$393)</x:f>
        <x:v>26</x:v>
      </x:c>
      <x:c r="F91" s="39" t="n">
        <x:f>COUNT('CoverageCases'!$O$368:$O$393)</x:f>
        <x:v>26</x:v>
      </x:c>
      <x:c r="G91" s="39" t="n">
        <x:f>COUNTIF('CoverageCases'!$G$368:$G$393,"A")</x:f>
        <x:v>0</x:v>
      </x:c>
      <x:c r="H91" s="39" t="n">
        <x:f>COUNTIF('CoverageCases'!$G$368:$G$393,"B")</x:f>
        <x:v>0</x:v>
      </x:c>
      <x:c r="I91" s="39" t="n">
        <x:f>COUNTIF('CoverageCases'!$G$368:$G$393,"UNRESOLVED")</x:f>
        <x:v>0</x:v>
      </x:c>
      <x:c r="J91" s="32" t="n">
        <x:f>IF(F91=0,"—",(SUM('CoverageCases'!$O$368:$O$393))/F91/100)</x:f>
        <x:v>0.19199615384615384</x:v>
      </x:c>
      <x:c r="K91" s="32" t="n">
        <x:f>IF(I91&gt;0,"Pending",IF(E91-H91=0,"—",(SUM('CoverageCases'!$O$368:$O$393))/(E91-H91)/100))</x:f>
        <x:v>0.19199615384615384</x:v>
      </x:c>
      <x:c r="L91" s="32" t="n">
        <x:f>IF(I91&gt;0,"Pending",IF(E91=0,"—",(E91-G91)/E91))</x:f>
        <x:v>1</x:v>
      </x:c>
      <x:c r="M91" s="39" t="n">
        <x:f>IF(I91&gt;0,"Pending",E91-H91)</x:f>
        <x:v>26</x:v>
      </x:c>
    </x:row>
    <x:row r="92" ht="23" customHeight="1">
      <x:c r="B92" s="17" t="str">
        <x:v>JacksonCore</x:v>
      </x:c>
      <x:c r="C92" s="17" t="str">
        <x:v>Round1</x:v>
      </x:c>
      <x:c r="D92" s="17" t="str">
        <x:v>Line</x:v>
      </x:c>
      <x:c r="E92" s="39" t="n">
        <x:f>COUNTA('CoverageCases'!$D$2076:$D$2101)</x:f>
        <x:v>26</x:v>
      </x:c>
      <x:c r="F92" s="39" t="n">
        <x:f>COUNT('CoverageCases'!$O$2076:$O$2101)</x:f>
        <x:v>26</x:v>
      </x:c>
      <x:c r="G92" s="39" t="n">
        <x:f>COUNTIF('CoverageCases'!$G$2076:$G$2101,"A")</x:f>
        <x:v>0</x:v>
      </x:c>
      <x:c r="H92" s="39" t="n">
        <x:f>COUNTIF('CoverageCases'!$G$2076:$G$2101,"B")</x:f>
        <x:v>0</x:v>
      </x:c>
      <x:c r="I92" s="39" t="n">
        <x:f>COUNTIF('CoverageCases'!$G$2076:$G$2101,"UNRESOLVED")</x:f>
        <x:v>0</x:v>
      </x:c>
      <x:c r="J92" s="32" t="n">
        <x:f>IF(F92=0,"—",(SUM('CoverageCases'!$O$2076:$O$2101))/F92/100)</x:f>
        <x:v>0.22218846153846145</x:v>
      </x:c>
      <x:c r="K92" s="32" t="n">
        <x:f>IF(I92&gt;0,"Pending",IF(E92-H92=0,"—",(SUM('CoverageCases'!$O$2076:$O$2101))/(E92-H92)/100))</x:f>
        <x:v>0.22218846153846145</x:v>
      </x:c>
      <x:c r="L92" s="32" t="n">
        <x:f>IF(I92&gt;0,"Pending",IF(E92=0,"—",(E92-G92)/E92))</x:f>
        <x:v>1</x:v>
      </x:c>
      <x:c r="M92" s="39" t="n">
        <x:f>IF(I92&gt;0,"Pending",E92-H92)</x:f>
        <x:v>26</x:v>
      </x:c>
    </x:row>
    <x:row r="93" ht="23" customHeight="1">
      <x:c r="B93" s="17" t="str">
        <x:v>JacksonCore</x:v>
      </x:c>
      <x:c r="C93" s="17" t="str">
        <x:v>Round1</x:v>
      </x:c>
      <x:c r="D93" s="17" t="str">
        <x:v>Condition</x:v>
      </x:c>
      <x:c r="E93" s="39" t="n">
        <x:f>COUNTA('CoverageCases'!$D$3784:$D$3809)</x:f>
        <x:v>26</x:v>
      </x:c>
      <x:c r="F93" s="39" t="n">
        <x:f>COUNT('CoverageCases'!$O$3784:$O$3809)</x:f>
        <x:v>26</x:v>
      </x:c>
      <x:c r="G93" s="39" t="n">
        <x:f>COUNTIF('CoverageCases'!$G$3784:$G$3809,"A")</x:f>
        <x:v>0</x:v>
      </x:c>
      <x:c r="H93" s="39" t="n">
        <x:f>COUNTIF('CoverageCases'!$G$3784:$G$3809,"B")</x:f>
        <x:v>0</x:v>
      </x:c>
      <x:c r="I93" s="39" t="n">
        <x:f>COUNTIF('CoverageCases'!$G$3784:$G$3809,"UNRESOLVED")</x:f>
        <x:v>0</x:v>
      </x:c>
      <x:c r="J93" s="32" t="n">
        <x:f>IF(F93=0,"—",(SUM('CoverageCases'!$O$3784:$O$3809))/F93/100)</x:f>
        <x:v>0.13833076923076923</x:v>
      </x:c>
      <x:c r="K93" s="32" t="n">
        <x:f>IF(I93&gt;0,"Pending",IF(E93-H93=0,"—",(SUM('CoverageCases'!$O$3784:$O$3809))/(E93-H93)/100))</x:f>
        <x:v>0.13833076923076923</x:v>
      </x:c>
      <x:c r="L93" s="32" t="n">
        <x:f>IF(I93&gt;0,"Pending",IF(E93=0,"—",(E93-G93)/E93))</x:f>
        <x:v>1</x:v>
      </x:c>
      <x:c r="M93" s="39" t="n">
        <x:f>IF(I93&gt;0,"Pending",E93-H93)</x:f>
        <x:v>26</x:v>
      </x:c>
    </x:row>
    <x:row r="94" ht="23" customHeight="1">
      <x:c r="B94" s="17" t="str">
        <x:v>JacksonCore</x:v>
      </x:c>
      <x:c r="C94" s="17" t="str">
        <x:v>Round2</x:v>
      </x:c>
      <x:c r="D94" s="17" t="str">
        <x:v>Coverage</x:v>
      </x:c>
      <x:c r="E94" s="39" t="n">
        <x:f>COUNTA('CoverageCases'!$D$1222:$D$1247)</x:f>
        <x:v>26</x:v>
      </x:c>
      <x:c r="F94" s="39" t="n">
        <x:f>COUNT('CoverageCases'!$O$1222:$O$1247)</x:f>
        <x:v>26</x:v>
      </x:c>
      <x:c r="G94" s="39" t="n">
        <x:f>COUNTIF('CoverageCases'!$G$1222:$G$1247,"A")</x:f>
        <x:v>0</x:v>
      </x:c>
      <x:c r="H94" s="39" t="n">
        <x:f>COUNTIF('CoverageCases'!$G$1222:$G$1247,"B")</x:f>
        <x:v>0</x:v>
      </x:c>
      <x:c r="I94" s="39" t="n">
        <x:f>COUNTIF('CoverageCases'!$G$1222:$G$1247,"UNRESOLVED")</x:f>
        <x:v>0</x:v>
      </x:c>
      <x:c r="J94" s="32" t="n">
        <x:f>IF(F94=0,"—",(SUM('CoverageCases'!$O$1222:$O$1247))/F94/100)</x:f>
        <x:v>0.3150461538461537</x:v>
      </x:c>
      <x:c r="K94" s="32" t="n">
        <x:f>IF(I94&gt;0,"Pending",IF(E94-H94=0,"—",(SUM('CoverageCases'!$O$1222:$O$1247))/(E94-H94)/100))</x:f>
        <x:v>0.3150461538461537</x:v>
      </x:c>
      <x:c r="L94" s="32" t="n">
        <x:f>IF(I94&gt;0,"Pending",IF(E94=0,"—",(E94-G94)/E94))</x:f>
        <x:v>1</x:v>
      </x:c>
      <x:c r="M94" s="39" t="n">
        <x:f>IF(I94&gt;0,"Pending",E94-H94)</x:f>
        <x:v>26</x:v>
      </x:c>
    </x:row>
    <x:row r="95" ht="23" customHeight="1">
      <x:c r="B95" s="17" t="str">
        <x:v>JacksonCore</x:v>
      </x:c>
      <x:c r="C95" s="17" t="str">
        <x:v>Round2</x:v>
      </x:c>
      <x:c r="D95" s="17" t="str">
        <x:v>Line</x:v>
      </x:c>
      <x:c r="E95" s="39" t="n">
        <x:f>COUNTA('CoverageCases'!$D$2930:$D$2955)</x:f>
        <x:v>26</x:v>
      </x:c>
      <x:c r="F95" s="39" t="n">
        <x:f>COUNT('CoverageCases'!$O$2930:$O$2955)</x:f>
        <x:v>26</x:v>
      </x:c>
      <x:c r="G95" s="39" t="n">
        <x:f>COUNTIF('CoverageCases'!$G$2930:$G$2955,"A")</x:f>
        <x:v>0</x:v>
      </x:c>
      <x:c r="H95" s="39" t="n">
        <x:f>COUNTIF('CoverageCases'!$G$2930:$G$2955,"B")</x:f>
        <x:v>0</x:v>
      </x:c>
      <x:c r="I95" s="39" t="n">
        <x:f>COUNTIF('CoverageCases'!$G$2930:$G$2955,"UNRESOLVED")</x:f>
        <x:v>0</x:v>
      </x:c>
      <x:c r="J95" s="32" t="n">
        <x:f>IF(F95=0,"—",(SUM('CoverageCases'!$O$2930:$O$2955))/F95/100)</x:f>
        <x:v>0.34758076923076914</x:v>
      </x:c>
      <x:c r="K95" s="32" t="n">
        <x:f>IF(I95&gt;0,"Pending",IF(E95-H95=0,"—",(SUM('CoverageCases'!$O$2930:$O$2955))/(E95-H95)/100))</x:f>
        <x:v>0.34758076923076914</x:v>
      </x:c>
      <x:c r="L95" s="32" t="n">
        <x:f>IF(I95&gt;0,"Pending",IF(E95=0,"—",(E95-G95)/E95))</x:f>
        <x:v>1</x:v>
      </x:c>
      <x:c r="M95" s="39" t="n">
        <x:f>IF(I95&gt;0,"Pending",E95-H95)</x:f>
        <x:v>26</x:v>
      </x:c>
    </x:row>
    <x:row r="96" ht="23" customHeight="1">
      <x:c r="B96" s="17" t="str">
        <x:v>JacksonCore</x:v>
      </x:c>
      <x:c r="C96" s="17" t="str">
        <x:v>Round2</x:v>
      </x:c>
      <x:c r="D96" s="17" t="str">
        <x:v>Condition</x:v>
      </x:c>
      <x:c r="E96" s="39" t="n">
        <x:f>COUNTA('CoverageCases'!$D$4638:$D$4663)</x:f>
        <x:v>26</x:v>
      </x:c>
      <x:c r="F96" s="39" t="n">
        <x:f>COUNT('CoverageCases'!$O$4638:$O$4663)</x:f>
        <x:v>26</x:v>
      </x:c>
      <x:c r="G96" s="39" t="n">
        <x:f>COUNTIF('CoverageCases'!$G$4638:$G$4663,"A")</x:f>
        <x:v>0</x:v>
      </x:c>
      <x:c r="H96" s="39" t="n">
        <x:f>COUNTIF('CoverageCases'!$G$4638:$G$4663,"B")</x:f>
        <x:v>0</x:v>
      </x:c>
      <x:c r="I96" s="39" t="n">
        <x:f>COUNTIF('CoverageCases'!$G$4638:$G$4663,"UNRESOLVED")</x:f>
        <x:v>0</x:v>
      </x:c>
      <x:c r="J96" s="32" t="n">
        <x:f>IF(F96=0,"—",(SUM('CoverageCases'!$O$4638:$O$4663))/F96/100)</x:f>
        <x:v>0.2590461538461538</x:v>
      </x:c>
      <x:c r="K96" s="32" t="n">
        <x:f>IF(I96&gt;0,"Pending",IF(E96-H96=0,"—",(SUM('CoverageCases'!$O$4638:$O$4663))/(E96-H96)/100))</x:f>
        <x:v>0.2590461538461538</x:v>
      </x:c>
      <x:c r="L96" s="32" t="n">
        <x:f>IF(I96&gt;0,"Pending",IF(E96=0,"—",(E96-G96)/E96))</x:f>
        <x:v>1</x:v>
      </x:c>
      <x:c r="M96" s="39" t="n">
        <x:f>IF(I96&gt;0,"Pending",E96-H96)</x:f>
        <x:v>26</x:v>
      </x:c>
    </x:row>
    <x:row r="97" ht="23" customHeight="1">
      <x:c r="B97" s="17" t="str">
        <x:v>JacksonDatabind</x:v>
      </x:c>
      <x:c r="C97" s="17" t="str">
        <x:v>All rounds</x:v>
      </x:c>
      <x:c r="D97" s="17" t="str">
        <x:v>Coverage</x:v>
      </x:c>
      <x:c r="E97" s="39" t="n">
        <x:f>COUNTA('CoverageCases'!$D$394:$D$503,'CoverageCases'!$D$1248:$D$1357)</x:f>
        <x:v>220</x:v>
      </x:c>
      <x:c r="F97" s="39" t="n">
        <x:f>COUNT('CoverageCases'!$O$394:$O$503,'CoverageCases'!$O$1248:$O$1357)</x:f>
        <x:v>216</x:v>
      </x:c>
      <x:c r="G97" s="39" t="n">
        <x:f>COUNTIF('CoverageCases'!$G$394:$G$503,"A")+COUNTIF('CoverageCases'!$G$1248:$G$1357,"A")</x:f>
        <x:v>4</x:v>
      </x:c>
      <x:c r="H97" s="39" t="n">
        <x:f>COUNTIF('CoverageCases'!$G$394:$G$503,"B")+COUNTIF('CoverageCases'!$G$1248:$G$1357,"B")</x:f>
        <x:v>0</x:v>
      </x:c>
      <x:c r="I97" s="39" t="n">
        <x:f>COUNTIF('CoverageCases'!$G$394:$G$503,"UNRESOLVED")+COUNTIF('CoverageCases'!$G$1248:$G$1357,"UNRESOLVED")</x:f>
        <x:v>0</x:v>
      </x:c>
      <x:c r="J97" s="32" t="n">
        <x:f>IF(F97=0,"—",(SUM('CoverageCases'!$O$394:$O$503,'CoverageCases'!$O$1248:$O$1357))/F97/100)</x:f>
        <x:v>0.19783981481481483</x:v>
      </x:c>
      <x:c r="K97" s="32" t="n">
        <x:f>IF(I97&gt;0,"Pending",IF(E97-H97=0,"—",(SUM('CoverageCases'!$O$394:$O$503,'CoverageCases'!$O$1248:$O$1357))/(E97-H97)/100))</x:f>
        <x:v>0.1942427272727273</x:v>
      </x:c>
      <x:c r="L97" s="32" t="n">
        <x:f>IF(I97&gt;0,"Pending",IF(E97=0,"—",(E97-G97)/E97))</x:f>
        <x:v>0.9818181818181818</x:v>
      </x:c>
      <x:c r="M97" s="39" t="n">
        <x:f>IF(I97&gt;0,"Pending",E97-H97)</x:f>
        <x:v>220</x:v>
      </x:c>
    </x:row>
    <x:row r="98" ht="23" customHeight="1">
      <x:c r="B98" s="17" t="str">
        <x:v>JacksonDatabind</x:v>
      </x:c>
      <x:c r="C98" s="17" t="str">
        <x:v>All rounds</x:v>
      </x:c>
      <x:c r="D98" s="17" t="str">
        <x:v>Line</x:v>
      </x:c>
      <x:c r="E98" s="39" t="n">
        <x:f>COUNTA('CoverageCases'!$D$2102:$D$2211,'CoverageCases'!$D$2956:$D$3065)</x:f>
        <x:v>220</x:v>
      </x:c>
      <x:c r="F98" s="39" t="n">
        <x:f>COUNT('CoverageCases'!$O$2102:$O$2211,'CoverageCases'!$O$2956:$O$3065)</x:f>
        <x:v>216</x:v>
      </x:c>
      <x:c r="G98" s="39" t="n">
        <x:f>COUNTIF('CoverageCases'!$G$2102:$G$2211,"A")+COUNTIF('CoverageCases'!$G$2956:$G$3065,"A")</x:f>
        <x:v>4</x:v>
      </x:c>
      <x:c r="H98" s="39" t="n">
        <x:f>COUNTIF('CoverageCases'!$G$2102:$G$2211,"B")+COUNTIF('CoverageCases'!$G$2956:$G$3065,"B")</x:f>
        <x:v>0</x:v>
      </x:c>
      <x:c r="I98" s="39" t="n">
        <x:f>COUNTIF('CoverageCases'!$G$2102:$G$2211,"UNRESOLVED")+COUNTIF('CoverageCases'!$G$2956:$G$3065,"UNRESOLVED")</x:f>
        <x:v>0</x:v>
      </x:c>
      <x:c r="J98" s="32" t="n">
        <x:f>IF(F98=0,"—",(SUM('CoverageCases'!$O$2102:$O$2211,'CoverageCases'!$O$2956:$O$3065))/F98/100)</x:f>
        <x:v>0.23101898148148137</x:v>
      </x:c>
      <x:c r="K98" s="32" t="n">
        <x:f>IF(I98&gt;0,"Pending",IF(E98-H98=0,"—",(SUM('CoverageCases'!$O$2102:$O$2211,'CoverageCases'!$O$2956:$O$3065))/(E98-H98)/100))</x:f>
        <x:v>0.22681863636363628</x:v>
      </x:c>
      <x:c r="L98" s="32" t="n">
        <x:f>IF(I98&gt;0,"Pending",IF(E98=0,"—",(E98-G98)/E98))</x:f>
        <x:v>0.9818181818181818</x:v>
      </x:c>
      <x:c r="M98" s="39" t="n">
        <x:f>IF(I98&gt;0,"Pending",E98-H98)</x:f>
        <x:v>220</x:v>
      </x:c>
    </x:row>
    <x:row r="99" ht="23" customHeight="1">
      <x:c r="B99" s="17" t="str">
        <x:v>JacksonDatabind</x:v>
      </x:c>
      <x:c r="C99" s="17" t="str">
        <x:v>All rounds</x:v>
      </x:c>
      <x:c r="D99" s="17" t="str">
        <x:v>Condition</x:v>
      </x:c>
      <x:c r="E99" s="39" t="n">
        <x:f>COUNTA('CoverageCases'!$D$3810:$D$3919,'CoverageCases'!$D$4664:$D$4773)</x:f>
        <x:v>220</x:v>
      </x:c>
      <x:c r="F99" s="39" t="n">
        <x:f>COUNT('CoverageCases'!$O$3810:$O$3919,'CoverageCases'!$O$4664:$O$4773)</x:f>
        <x:v>216</x:v>
      </x:c>
      <x:c r="G99" s="39" t="n">
        <x:f>COUNTIF('CoverageCases'!$G$3810:$G$3919,"A")+COUNTIF('CoverageCases'!$G$4664:$G$4773,"A")</x:f>
        <x:v>4</x:v>
      </x:c>
      <x:c r="H99" s="39" t="n">
        <x:f>COUNTIF('CoverageCases'!$G$3810:$G$3919,"B")+COUNTIF('CoverageCases'!$G$4664:$G$4773,"B")</x:f>
        <x:v>0</x:v>
      </x:c>
      <x:c r="I99" s="39" t="n">
        <x:f>COUNTIF('CoverageCases'!$G$3810:$G$3919,"UNRESOLVED")+COUNTIF('CoverageCases'!$G$4664:$G$4773,"UNRESOLVED")</x:f>
        <x:v>0</x:v>
      </x:c>
      <x:c r="J99" s="32" t="n">
        <x:f>IF(F99=0,"—",(SUM('CoverageCases'!$O$3810:$O$3919,'CoverageCases'!$O$4664:$O$4773))/F99/100)</x:f>
        <x:v>0.13111805555555556</x:v>
      </x:c>
      <x:c r="K99" s="32" t="n">
        <x:f>IF(I99&gt;0,"Pending",IF(E99-H99=0,"—",(SUM('CoverageCases'!$O$3810:$O$3919,'CoverageCases'!$O$4664:$O$4773))/(E99-H99)/100))</x:f>
        <x:v>0.1287340909090909</x:v>
      </x:c>
      <x:c r="L99" s="32" t="n">
        <x:f>IF(I99&gt;0,"Pending",IF(E99=0,"—",(E99-G99)/E99))</x:f>
        <x:v>0.9818181818181818</x:v>
      </x:c>
      <x:c r="M99" s="39" t="n">
        <x:f>IF(I99&gt;0,"Pending",E99-H99)</x:f>
        <x:v>220</x:v>
      </x:c>
    </x:row>
    <x:row r="100" ht="23" customHeight="1">
      <x:c r="B100" s="17" t="str">
        <x:v>JacksonDatabind</x:v>
      </x:c>
      <x:c r="C100" s="17" t="str">
        <x:v>Round1</x:v>
      </x:c>
      <x:c r="D100" s="17" t="str">
        <x:v>Coverage</x:v>
      </x:c>
      <x:c r="E100" s="39" t="n">
        <x:f>COUNTA('CoverageCases'!$D$394:$D$503)</x:f>
        <x:v>110</x:v>
      </x:c>
      <x:c r="F100" s="39" t="n">
        <x:f>COUNT('CoverageCases'!$O$394:$O$503)</x:f>
        <x:v>108</x:v>
      </x:c>
      <x:c r="G100" s="39" t="n">
        <x:f>COUNTIF('CoverageCases'!$G$394:$G$503,"A")</x:f>
        <x:v>2</x:v>
      </x:c>
      <x:c r="H100" s="39" t="n">
        <x:f>COUNTIF('CoverageCases'!$G$394:$G$503,"B")</x:f>
        <x:v>0</x:v>
      </x:c>
      <x:c r="I100" s="39" t="n">
        <x:f>COUNTIF('CoverageCases'!$G$394:$G$503,"UNRESOLVED")</x:f>
        <x:v>0</x:v>
      </x:c>
      <x:c r="J100" s="32" t="n">
        <x:f>IF(F100=0,"—",(SUM('CoverageCases'!$O$394:$O$503))/F100/100)</x:f>
        <x:v>0.19291481481481476</x:v>
      </x:c>
      <x:c r="K100" s="32" t="n">
        <x:f>IF(I100&gt;0,"Pending",IF(E100-H100=0,"—",(SUM('CoverageCases'!$O$394:$O$503))/(E100-H100)/100))</x:f>
        <x:v>0.1894072727272727</x:v>
      </x:c>
      <x:c r="L100" s="32" t="n">
        <x:f>IF(I100&gt;0,"Pending",IF(E100=0,"—",(E100-G100)/E100))</x:f>
        <x:v>0.9818181818181818</x:v>
      </x:c>
      <x:c r="M100" s="39" t="n">
        <x:f>IF(I100&gt;0,"Pending",E100-H100)</x:f>
        <x:v>110</x:v>
      </x:c>
    </x:row>
    <x:row r="101" ht="23" customHeight="1">
      <x:c r="B101" s="17" t="str">
        <x:v>JacksonDatabind</x:v>
      </x:c>
      <x:c r="C101" s="17" t="str">
        <x:v>Round1</x:v>
      </x:c>
      <x:c r="D101" s="17" t="str">
        <x:v>Line</x:v>
      </x:c>
      <x:c r="E101" s="39" t="n">
        <x:f>COUNTA('CoverageCases'!$D$2102:$D$2211)</x:f>
        <x:v>110</x:v>
      </x:c>
      <x:c r="F101" s="39" t="n">
        <x:f>COUNT('CoverageCases'!$O$2102:$O$2211)</x:f>
        <x:v>108</x:v>
      </x:c>
      <x:c r="G101" s="39" t="n">
        <x:f>COUNTIF('CoverageCases'!$G$2102:$G$2211,"A")</x:f>
        <x:v>2</x:v>
      </x:c>
      <x:c r="H101" s="39" t="n">
        <x:f>COUNTIF('CoverageCases'!$G$2102:$G$2211,"B")</x:f>
        <x:v>0</x:v>
      </x:c>
      <x:c r="I101" s="39" t="n">
        <x:f>COUNTIF('CoverageCases'!$G$2102:$G$2211,"UNRESOLVED")</x:f>
        <x:v>0</x:v>
      </x:c>
      <x:c r="J101" s="32" t="n">
        <x:f>IF(F101=0,"—",(SUM('CoverageCases'!$O$2102:$O$2211))/F101/100)</x:f>
        <x:v>0.22621296296296287</x:v>
      </x:c>
      <x:c r="K101" s="32" t="n">
        <x:f>IF(I101&gt;0,"Pending",IF(E101-H101=0,"—",(SUM('CoverageCases'!$O$2102:$O$2211))/(E101-H101)/100))</x:f>
        <x:v>0.2220999999999999</x:v>
      </x:c>
      <x:c r="L101" s="32" t="n">
        <x:f>IF(I101&gt;0,"Pending",IF(E101=0,"—",(E101-G101)/E101))</x:f>
        <x:v>0.9818181818181818</x:v>
      </x:c>
      <x:c r="M101" s="39" t="n">
        <x:f>IF(I101&gt;0,"Pending",E101-H101)</x:f>
        <x:v>110</x:v>
      </x:c>
    </x:row>
    <x:row r="102" ht="23" customHeight="1">
      <x:c r="B102" s="17" t="str">
        <x:v>JacksonDatabind</x:v>
      </x:c>
      <x:c r="C102" s="17" t="str">
        <x:v>Round1</x:v>
      </x:c>
      <x:c r="D102" s="17" t="str">
        <x:v>Condition</x:v>
      </x:c>
      <x:c r="E102" s="39" t="n">
        <x:f>COUNTA('CoverageCases'!$D$3810:$D$3919)</x:f>
        <x:v>110</x:v>
      </x:c>
      <x:c r="F102" s="39" t="n">
        <x:f>COUNT('CoverageCases'!$O$3810:$O$3919)</x:f>
        <x:v>108</x:v>
      </x:c>
      <x:c r="G102" s="39" t="n">
        <x:f>COUNTIF('CoverageCases'!$G$3810:$G$3919,"A")</x:f>
        <x:v>2</x:v>
      </x:c>
      <x:c r="H102" s="39" t="n">
        <x:f>COUNTIF('CoverageCases'!$G$3810:$G$3919,"B")</x:f>
        <x:v>0</x:v>
      </x:c>
      <x:c r="I102" s="39" t="n">
        <x:f>COUNTIF('CoverageCases'!$G$3810:$G$3919,"UNRESOLVED")</x:f>
        <x:v>0</x:v>
      </x:c>
      <x:c r="J102" s="32" t="n">
        <x:f>IF(F102=0,"—",(SUM('CoverageCases'!$O$3810:$O$3919))/F102/100)</x:f>
        <x:v>0.12684444444444445</x:v>
      </x:c>
      <x:c r="K102" s="32" t="n">
        <x:f>IF(I102&gt;0,"Pending",IF(E102-H102=0,"—",(SUM('CoverageCases'!$O$3810:$O$3919))/(E102-H102)/100))</x:f>
        <x:v>0.12453818181818184</x:v>
      </x:c>
      <x:c r="L102" s="32" t="n">
        <x:f>IF(I102&gt;0,"Pending",IF(E102=0,"—",(E102-G102)/E102))</x:f>
        <x:v>0.9818181818181818</x:v>
      </x:c>
      <x:c r="M102" s="39" t="n">
        <x:f>IF(I102&gt;0,"Pending",E102-H102)</x:f>
        <x:v>110</x:v>
      </x:c>
    </x:row>
    <x:row r="103" ht="23" customHeight="1">
      <x:c r="B103" s="17" t="str">
        <x:v>JacksonDatabind</x:v>
      </x:c>
      <x:c r="C103" s="17" t="str">
        <x:v>Round2</x:v>
      </x:c>
      <x:c r="D103" s="17" t="str">
        <x:v>Coverage</x:v>
      </x:c>
      <x:c r="E103" s="39" t="n">
        <x:f>COUNTA('CoverageCases'!$D$1248:$D$1357)</x:f>
        <x:v>110</x:v>
      </x:c>
      <x:c r="F103" s="39" t="n">
        <x:f>COUNT('CoverageCases'!$O$1248:$O$1357)</x:f>
        <x:v>108</x:v>
      </x:c>
      <x:c r="G103" s="39" t="n">
        <x:f>COUNTIF('CoverageCases'!$G$1248:$G$1357,"A")</x:f>
        <x:v>2</x:v>
      </x:c>
      <x:c r="H103" s="39" t="n">
        <x:f>COUNTIF('CoverageCases'!$G$1248:$G$1357,"B")</x:f>
        <x:v>0</x:v>
      </x:c>
      <x:c r="I103" s="39" t="n">
        <x:f>COUNTIF('CoverageCases'!$G$1248:$G$1357,"UNRESOLVED")</x:f>
        <x:v>0</x:v>
      </x:c>
      <x:c r="J103" s="32" t="n">
        <x:f>IF(F103=0,"—",(SUM('CoverageCases'!$O$1248:$O$1357))/F103/100)</x:f>
        <x:v>0.20276481481481481</x:v>
      </x:c>
      <x:c r="K103" s="32" t="n">
        <x:f>IF(I103&gt;0,"Pending",IF(E103-H103=0,"—",(SUM('CoverageCases'!$O$1248:$O$1357))/(E103-H103)/100))</x:f>
        <x:v>0.19907818181818182</x:v>
      </x:c>
      <x:c r="L103" s="32" t="n">
        <x:f>IF(I103&gt;0,"Pending",IF(E103=0,"—",(E103-G103)/E103))</x:f>
        <x:v>0.9818181818181818</x:v>
      </x:c>
      <x:c r="M103" s="39" t="n">
        <x:f>IF(I103&gt;0,"Pending",E103-H103)</x:f>
        <x:v>110</x:v>
      </x:c>
    </x:row>
    <x:row r="104" ht="23" customHeight="1">
      <x:c r="B104" s="17" t="str">
        <x:v>JacksonDatabind</x:v>
      </x:c>
      <x:c r="C104" s="17" t="str">
        <x:v>Round2</x:v>
      </x:c>
      <x:c r="D104" s="17" t="str">
        <x:v>Line</x:v>
      </x:c>
      <x:c r="E104" s="39" t="n">
        <x:f>COUNTA('CoverageCases'!$D$2956:$D$3065)</x:f>
        <x:v>110</x:v>
      </x:c>
      <x:c r="F104" s="39" t="n">
        <x:f>COUNT('CoverageCases'!$O$2956:$O$3065)</x:f>
        <x:v>108</x:v>
      </x:c>
      <x:c r="G104" s="39" t="n">
        <x:f>COUNTIF('CoverageCases'!$G$2956:$G$3065,"A")</x:f>
        <x:v>2</x:v>
      </x:c>
      <x:c r="H104" s="39" t="n">
        <x:f>COUNTIF('CoverageCases'!$G$2956:$G$3065,"B")</x:f>
        <x:v>0</x:v>
      </x:c>
      <x:c r="I104" s="39" t="n">
        <x:f>COUNTIF('CoverageCases'!$G$2956:$G$3065,"UNRESOLVED")</x:f>
        <x:v>0</x:v>
      </x:c>
      <x:c r="J104" s="32" t="n">
        <x:f>IF(F104=0,"—",(SUM('CoverageCases'!$O$2956:$O$3065))/F104/100)</x:f>
        <x:v>0.23582499999999984</x:v>
      </x:c>
      <x:c r="K104" s="32" t="n">
        <x:f>IF(I104&gt;0,"Pending",IF(E104-H104=0,"—",(SUM('CoverageCases'!$O$2956:$O$3065))/(E104-H104)/100))</x:f>
        <x:v>0.2315372727272726</x:v>
      </x:c>
      <x:c r="L104" s="32" t="n">
        <x:f>IF(I104&gt;0,"Pending",IF(E104=0,"—",(E104-G104)/E104))</x:f>
        <x:v>0.9818181818181818</x:v>
      </x:c>
      <x:c r="M104" s="39" t="n">
        <x:f>IF(I104&gt;0,"Pending",E104-H104)</x:f>
        <x:v>110</x:v>
      </x:c>
    </x:row>
    <x:row r="105" ht="23" customHeight="1">
      <x:c r="B105" s="17" t="str">
        <x:v>JacksonDatabind</x:v>
      </x:c>
      <x:c r="C105" s="17" t="str">
        <x:v>Round2</x:v>
      </x:c>
      <x:c r="D105" s="17" t="str">
        <x:v>Condition</x:v>
      </x:c>
      <x:c r="E105" s="39" t="n">
        <x:f>COUNTA('CoverageCases'!$D$4664:$D$4773)</x:f>
        <x:v>110</x:v>
      </x:c>
      <x:c r="F105" s="39" t="n">
        <x:f>COUNT('CoverageCases'!$O$4664:$O$4773)</x:f>
        <x:v>108</x:v>
      </x:c>
      <x:c r="G105" s="39" t="n">
        <x:f>COUNTIF('CoverageCases'!$G$4664:$G$4773,"A")</x:f>
        <x:v>2</x:v>
      </x:c>
      <x:c r="H105" s="39" t="n">
        <x:f>COUNTIF('CoverageCases'!$G$4664:$G$4773,"B")</x:f>
        <x:v>0</x:v>
      </x:c>
      <x:c r="I105" s="39" t="n">
        <x:f>COUNTIF('CoverageCases'!$G$4664:$G$4773,"UNRESOLVED")</x:f>
        <x:v>0</x:v>
      </x:c>
      <x:c r="J105" s="32" t="n">
        <x:f>IF(F105=0,"—",(SUM('CoverageCases'!$O$4664:$O$4773))/F105/100)</x:f>
        <x:v>0.13539166666666666</x:v>
      </x:c>
      <x:c r="K105" s="32" t="n">
        <x:f>IF(I105&gt;0,"Pending",IF(E105-H105=0,"—",(SUM('CoverageCases'!$O$4664:$O$4773))/(E105-H105)/100))</x:f>
        <x:v>0.13292999999999996</x:v>
      </x:c>
      <x:c r="L105" s="32" t="n">
        <x:f>IF(I105&gt;0,"Pending",IF(E105=0,"—",(E105-G105)/E105))</x:f>
        <x:v>0.9818181818181818</x:v>
      </x:c>
      <x:c r="M105" s="39" t="n">
        <x:f>IF(I105&gt;0,"Pending",E105-H105)</x:f>
        <x:v>110</x:v>
      </x:c>
    </x:row>
    <x:row r="106" ht="23" customHeight="1">
      <x:c r="B106" s="17" t="str">
        <x:v>JacksonXml</x:v>
      </x:c>
      <x:c r="C106" s="17" t="str">
        <x:v>All rounds</x:v>
      </x:c>
      <x:c r="D106" s="17" t="str">
        <x:v>Coverage</x:v>
      </x:c>
      <x:c r="E106" s="39" t="n">
        <x:f>COUNTA('CoverageCases'!$D$504:$D$509,'CoverageCases'!$D$1358:$D$1363)</x:f>
        <x:v>12</x:v>
      </x:c>
      <x:c r="F106" s="39" t="n">
        <x:f>COUNT('CoverageCases'!$O$504:$O$509,'CoverageCases'!$O$1358:$O$1363)</x:f>
        <x:v>12</x:v>
      </x:c>
      <x:c r="G106" s="39" t="n">
        <x:f>COUNTIF('CoverageCases'!$G$504:$G$509,"A")+COUNTIF('CoverageCases'!$G$1358:$G$1363,"A")</x:f>
        <x:v>0</x:v>
      </x:c>
      <x:c r="H106" s="39" t="n">
        <x:f>COUNTIF('CoverageCases'!$G$504:$G$509,"B")+COUNTIF('CoverageCases'!$G$1358:$G$1363,"B")</x:f>
        <x:v>0</x:v>
      </x:c>
      <x:c r="I106" s="39" t="n">
        <x:f>COUNTIF('CoverageCases'!$G$504:$G$509,"UNRESOLVED")+COUNTIF('CoverageCases'!$G$1358:$G$1363,"UNRESOLVED")</x:f>
        <x:v>0</x:v>
      </x:c>
      <x:c r="J106" s="32" t="n">
        <x:f>IF(F106=0,"—",(SUM('CoverageCases'!$O$504:$O$509,'CoverageCases'!$O$1358:$O$1363))/F106/100)</x:f>
        <x:v>0.09376666666666666</x:v>
      </x:c>
      <x:c r="K106" s="32" t="n">
        <x:f>IF(I106&gt;0,"Pending",IF(E106-H106=0,"—",(SUM('CoverageCases'!$O$504:$O$509,'CoverageCases'!$O$1358:$O$1363))/(E106-H106)/100))</x:f>
        <x:v>0.09376666666666666</x:v>
      </x:c>
      <x:c r="L106" s="32" t="n">
        <x:f>IF(I106&gt;0,"Pending",IF(E106=0,"—",(E106-G106)/E106))</x:f>
        <x:v>1</x:v>
      </x:c>
      <x:c r="M106" s="39" t="n">
        <x:f>IF(I106&gt;0,"Pending",E106-H106)</x:f>
        <x:v>12</x:v>
      </x:c>
    </x:row>
    <x:row r="107" ht="23" customHeight="1">
      <x:c r="B107" s="17" t="str">
        <x:v>JacksonXml</x:v>
      </x:c>
      <x:c r="C107" s="17" t="str">
        <x:v>All rounds</x:v>
      </x:c>
      <x:c r="D107" s="17" t="str">
        <x:v>Line</x:v>
      </x:c>
      <x:c r="E107" s="39" t="n">
        <x:f>COUNTA('CoverageCases'!$D$2212:$D$2217,'CoverageCases'!$D$3066:$D$3071)</x:f>
        <x:v>12</x:v>
      </x:c>
      <x:c r="F107" s="39" t="n">
        <x:f>COUNT('CoverageCases'!$O$2212:$O$2217,'CoverageCases'!$O$3066:$O$3071)</x:f>
        <x:v>12</x:v>
      </x:c>
      <x:c r="G107" s="39" t="n">
        <x:f>COUNTIF('CoverageCases'!$G$2212:$G$2217,"A")+COUNTIF('CoverageCases'!$G$3066:$G$3071,"A")</x:f>
        <x:v>0</x:v>
      </x:c>
      <x:c r="H107" s="39" t="n">
        <x:f>COUNTIF('CoverageCases'!$G$2212:$G$2217,"B")+COUNTIF('CoverageCases'!$G$3066:$G$3071,"B")</x:f>
        <x:v>0</x:v>
      </x:c>
      <x:c r="I107" s="39" t="n">
        <x:f>COUNTIF('CoverageCases'!$G$2212:$G$2217,"UNRESOLVED")+COUNTIF('CoverageCases'!$G$3066:$G$3071,"UNRESOLVED")</x:f>
        <x:v>0</x:v>
      </x:c>
      <x:c r="J107" s="32" t="n">
        <x:f>IF(F107=0,"—",(SUM('CoverageCases'!$O$2212:$O$2217,'CoverageCases'!$O$3066:$O$3071))/F107/100)</x:f>
        <x:v>0.11051666666666668</x:v>
      </x:c>
      <x:c r="K107" s="32" t="n">
        <x:f>IF(I107&gt;0,"Pending",IF(E107-H107=0,"—",(SUM('CoverageCases'!$O$2212:$O$2217,'CoverageCases'!$O$3066:$O$3071))/(E107-H107)/100))</x:f>
        <x:v>0.11051666666666668</x:v>
      </x:c>
      <x:c r="L107" s="32" t="n">
        <x:f>IF(I107&gt;0,"Pending",IF(E107=0,"—",(E107-G107)/E107))</x:f>
        <x:v>1</x:v>
      </x:c>
      <x:c r="M107" s="39" t="n">
        <x:f>IF(I107&gt;0,"Pending",E107-H107)</x:f>
        <x:v>12</x:v>
      </x:c>
    </x:row>
    <x:row r="108" ht="23" customHeight="1">
      <x:c r="B108" s="17" t="str">
        <x:v>JacksonXml</x:v>
      </x:c>
      <x:c r="C108" s="17" t="str">
        <x:v>All rounds</x:v>
      </x:c>
      <x:c r="D108" s="17" t="str">
        <x:v>Condition</x:v>
      </x:c>
      <x:c r="E108" s="39" t="n">
        <x:f>COUNTA('CoverageCases'!$D$3920:$D$3925,'CoverageCases'!$D$4774:$D$4779)</x:f>
        <x:v>12</x:v>
      </x:c>
      <x:c r="F108" s="39" t="n">
        <x:f>COUNT('CoverageCases'!$O$3920:$O$3925,'CoverageCases'!$O$4774:$O$4779)</x:f>
        <x:v>12</x:v>
      </x:c>
      <x:c r="G108" s="39" t="n">
        <x:f>COUNTIF('CoverageCases'!$G$3920:$G$3925,"A")+COUNTIF('CoverageCases'!$G$4774:$G$4779,"A")</x:f>
        <x:v>0</x:v>
      </x:c>
      <x:c r="H108" s="39" t="n">
        <x:f>COUNTIF('CoverageCases'!$G$3920:$G$3925,"B")+COUNTIF('CoverageCases'!$G$4774:$G$4779,"B")</x:f>
        <x:v>0</x:v>
      </x:c>
      <x:c r="I108" s="39" t="n">
        <x:f>COUNTIF('CoverageCases'!$G$3920:$G$3925,"UNRESOLVED")+COUNTIF('CoverageCases'!$G$4774:$G$4779,"UNRESOLVED")</x:f>
        <x:v>0</x:v>
      </x:c>
      <x:c r="J108" s="32" t="n">
        <x:f>IF(F108=0,"—",(SUM('CoverageCases'!$O$3920:$O$3925,'CoverageCases'!$O$4774:$O$4779))/F108/100)</x:f>
        <x:v>0.05963333333333334</x:v>
      </x:c>
      <x:c r="K108" s="32" t="n">
        <x:f>IF(I108&gt;0,"Pending",IF(E108-H108=0,"—",(SUM('CoverageCases'!$O$3920:$O$3925,'CoverageCases'!$O$4774:$O$4779))/(E108-H108)/100))</x:f>
        <x:v>0.05963333333333334</x:v>
      </x:c>
      <x:c r="L108" s="32" t="n">
        <x:f>IF(I108&gt;0,"Pending",IF(E108=0,"—",(E108-G108)/E108))</x:f>
        <x:v>1</x:v>
      </x:c>
      <x:c r="M108" s="39" t="n">
        <x:f>IF(I108&gt;0,"Pending",E108-H108)</x:f>
        <x:v>12</x:v>
      </x:c>
    </x:row>
    <x:row r="109" ht="23" customHeight="1">
      <x:c r="B109" s="17" t="str">
        <x:v>JacksonXml</x:v>
      </x:c>
      <x:c r="C109" s="17" t="str">
        <x:v>Round1</x:v>
      </x:c>
      <x:c r="D109" s="17" t="str">
        <x:v>Coverage</x:v>
      </x:c>
      <x:c r="E109" s="39" t="n">
        <x:f>COUNTA('CoverageCases'!$D$504:$D$509)</x:f>
        <x:v>6</x:v>
      </x:c>
      <x:c r="F109" s="39" t="n">
        <x:f>COUNT('CoverageCases'!$O$504:$O$509)</x:f>
        <x:v>6</x:v>
      </x:c>
      <x:c r="G109" s="39" t="n">
        <x:f>COUNTIF('CoverageCases'!$G$504:$G$509,"A")</x:f>
        <x:v>0</x:v>
      </x:c>
      <x:c r="H109" s="39" t="n">
        <x:f>COUNTIF('CoverageCases'!$G$504:$G$509,"B")</x:f>
        <x:v>0</x:v>
      </x:c>
      <x:c r="I109" s="39" t="n">
        <x:f>COUNTIF('CoverageCases'!$G$504:$G$509,"UNRESOLVED")</x:f>
        <x:v>0</x:v>
      </x:c>
      <x:c r="J109" s="32" t="n">
        <x:f>IF(F109=0,"—",(SUM('CoverageCases'!$O$504:$O$509))/F109/100)</x:f>
        <x:v>0.09376666666666666</x:v>
      </x:c>
      <x:c r="K109" s="32" t="n">
        <x:f>IF(I109&gt;0,"Pending",IF(E109-H109=0,"—",(SUM('CoverageCases'!$O$504:$O$509))/(E109-H109)/100))</x:f>
        <x:v>0.09376666666666666</x:v>
      </x:c>
      <x:c r="L109" s="32" t="n">
        <x:f>IF(I109&gt;0,"Pending",IF(E109=0,"—",(E109-G109)/E109))</x:f>
        <x:v>1</x:v>
      </x:c>
      <x:c r="M109" s="39" t="n">
        <x:f>IF(I109&gt;0,"Pending",E109-H109)</x:f>
        <x:v>6</x:v>
      </x:c>
    </x:row>
    <x:row r="110" ht="23" customHeight="1">
      <x:c r="B110" s="17" t="str">
        <x:v>JacksonXml</x:v>
      </x:c>
      <x:c r="C110" s="17" t="str">
        <x:v>Round1</x:v>
      </x:c>
      <x:c r="D110" s="17" t="str">
        <x:v>Line</x:v>
      </x:c>
      <x:c r="E110" s="39" t="n">
        <x:f>COUNTA('CoverageCases'!$D$2212:$D$2217)</x:f>
        <x:v>6</x:v>
      </x:c>
      <x:c r="F110" s="39" t="n">
        <x:f>COUNT('CoverageCases'!$O$2212:$O$2217)</x:f>
        <x:v>6</x:v>
      </x:c>
      <x:c r="G110" s="39" t="n">
        <x:f>COUNTIF('CoverageCases'!$G$2212:$G$2217,"A")</x:f>
        <x:v>0</x:v>
      </x:c>
      <x:c r="H110" s="39" t="n">
        <x:f>COUNTIF('CoverageCases'!$G$2212:$G$2217,"B")</x:f>
        <x:v>0</x:v>
      </x:c>
      <x:c r="I110" s="39" t="n">
        <x:f>COUNTIF('CoverageCases'!$G$2212:$G$2217,"UNRESOLVED")</x:f>
        <x:v>0</x:v>
      </x:c>
      <x:c r="J110" s="32" t="n">
        <x:f>IF(F110=0,"—",(SUM('CoverageCases'!$O$2212:$O$2217))/F110/100)</x:f>
        <x:v>0.11051666666666668</x:v>
      </x:c>
      <x:c r="K110" s="32" t="n">
        <x:f>IF(I110&gt;0,"Pending",IF(E110-H110=0,"—",(SUM('CoverageCases'!$O$2212:$O$2217))/(E110-H110)/100))</x:f>
        <x:v>0.11051666666666668</x:v>
      </x:c>
      <x:c r="L110" s="32" t="n">
        <x:f>IF(I110&gt;0,"Pending",IF(E110=0,"—",(E110-G110)/E110))</x:f>
        <x:v>1</x:v>
      </x:c>
      <x:c r="M110" s="39" t="n">
        <x:f>IF(I110&gt;0,"Pending",E110-H110)</x:f>
        <x:v>6</x:v>
      </x:c>
    </x:row>
    <x:row r="111" ht="23" customHeight="1">
      <x:c r="B111" s="17" t="str">
        <x:v>JacksonXml</x:v>
      </x:c>
      <x:c r="C111" s="17" t="str">
        <x:v>Round1</x:v>
      </x:c>
      <x:c r="D111" s="17" t="str">
        <x:v>Condition</x:v>
      </x:c>
      <x:c r="E111" s="39" t="n">
        <x:f>COUNTA('CoverageCases'!$D$3920:$D$3925)</x:f>
        <x:v>6</x:v>
      </x:c>
      <x:c r="F111" s="39" t="n">
        <x:f>COUNT('CoverageCases'!$O$3920:$O$3925)</x:f>
        <x:v>6</x:v>
      </x:c>
      <x:c r="G111" s="39" t="n">
        <x:f>COUNTIF('CoverageCases'!$G$3920:$G$3925,"A")</x:f>
        <x:v>0</x:v>
      </x:c>
      <x:c r="H111" s="39" t="n">
        <x:f>COUNTIF('CoverageCases'!$G$3920:$G$3925,"B")</x:f>
        <x:v>0</x:v>
      </x:c>
      <x:c r="I111" s="39" t="n">
        <x:f>COUNTIF('CoverageCases'!$G$3920:$G$3925,"UNRESOLVED")</x:f>
        <x:v>0</x:v>
      </x:c>
      <x:c r="J111" s="32" t="n">
        <x:f>IF(F111=0,"—",(SUM('CoverageCases'!$O$3920:$O$3925))/F111/100)</x:f>
        <x:v>0.05963333333333334</x:v>
      </x:c>
      <x:c r="K111" s="32" t="n">
        <x:f>IF(I111&gt;0,"Pending",IF(E111-H111=0,"—",(SUM('CoverageCases'!$O$3920:$O$3925))/(E111-H111)/100))</x:f>
        <x:v>0.05963333333333334</x:v>
      </x:c>
      <x:c r="L111" s="32" t="n">
        <x:f>IF(I111&gt;0,"Pending",IF(E111=0,"—",(E111-G111)/E111))</x:f>
        <x:v>1</x:v>
      </x:c>
      <x:c r="M111" s="39" t="n">
        <x:f>IF(I111&gt;0,"Pending",E111-H111)</x:f>
        <x:v>6</x:v>
      </x:c>
    </x:row>
    <x:row r="112" ht="23" customHeight="1">
      <x:c r="B112" s="17" t="str">
        <x:v>JacksonXml</x:v>
      </x:c>
      <x:c r="C112" s="17" t="str">
        <x:v>Round2</x:v>
      </x:c>
      <x:c r="D112" s="17" t="str">
        <x:v>Coverage</x:v>
      </x:c>
      <x:c r="E112" s="39" t="n">
        <x:f>COUNTA('CoverageCases'!$D$1358:$D$1363)</x:f>
        <x:v>6</x:v>
      </x:c>
      <x:c r="F112" s="39" t="n">
        <x:f>COUNT('CoverageCases'!$O$1358:$O$1363)</x:f>
        <x:v>6</x:v>
      </x:c>
      <x:c r="G112" s="39" t="n">
        <x:f>COUNTIF('CoverageCases'!$G$1358:$G$1363,"A")</x:f>
        <x:v>0</x:v>
      </x:c>
      <x:c r="H112" s="39" t="n">
        <x:f>COUNTIF('CoverageCases'!$G$1358:$G$1363,"B")</x:f>
        <x:v>0</x:v>
      </x:c>
      <x:c r="I112" s="39" t="n">
        <x:f>COUNTIF('CoverageCases'!$G$1358:$G$1363,"UNRESOLVED")</x:f>
        <x:v>0</x:v>
      </x:c>
      <x:c r="J112" s="32" t="n">
        <x:f>IF(F112=0,"—",(SUM('CoverageCases'!$O$1358:$O$1363))/F112/100)</x:f>
        <x:v>0.09376666666666666</x:v>
      </x:c>
      <x:c r="K112" s="32" t="n">
        <x:f>IF(I112&gt;0,"Pending",IF(E112-H112=0,"—",(SUM('CoverageCases'!$O$1358:$O$1363))/(E112-H112)/100))</x:f>
        <x:v>0.09376666666666666</x:v>
      </x:c>
      <x:c r="L112" s="32" t="n">
        <x:f>IF(I112&gt;0,"Pending",IF(E112=0,"—",(E112-G112)/E112))</x:f>
        <x:v>1</x:v>
      </x:c>
      <x:c r="M112" s="39" t="n">
        <x:f>IF(I112&gt;0,"Pending",E112-H112)</x:f>
        <x:v>6</x:v>
      </x:c>
    </x:row>
    <x:row r="113" ht="23" customHeight="1">
      <x:c r="B113" s="17" t="str">
        <x:v>JacksonXml</x:v>
      </x:c>
      <x:c r="C113" s="17" t="str">
        <x:v>Round2</x:v>
      </x:c>
      <x:c r="D113" s="17" t="str">
        <x:v>Line</x:v>
      </x:c>
      <x:c r="E113" s="39" t="n">
        <x:f>COUNTA('CoverageCases'!$D$3066:$D$3071)</x:f>
        <x:v>6</x:v>
      </x:c>
      <x:c r="F113" s="39" t="n">
        <x:f>COUNT('CoverageCases'!$O$3066:$O$3071)</x:f>
        <x:v>6</x:v>
      </x:c>
      <x:c r="G113" s="39" t="n">
        <x:f>COUNTIF('CoverageCases'!$G$3066:$G$3071,"A")</x:f>
        <x:v>0</x:v>
      </x:c>
      <x:c r="H113" s="39" t="n">
        <x:f>COUNTIF('CoverageCases'!$G$3066:$G$3071,"B")</x:f>
        <x:v>0</x:v>
      </x:c>
      <x:c r="I113" s="39" t="n">
        <x:f>COUNTIF('CoverageCases'!$G$3066:$G$3071,"UNRESOLVED")</x:f>
        <x:v>0</x:v>
      </x:c>
      <x:c r="J113" s="32" t="n">
        <x:f>IF(F113=0,"—",(SUM('CoverageCases'!$O$3066:$O$3071))/F113/100)</x:f>
        <x:v>0.11051666666666668</x:v>
      </x:c>
      <x:c r="K113" s="32" t="n">
        <x:f>IF(I113&gt;0,"Pending",IF(E113-H113=0,"—",(SUM('CoverageCases'!$O$3066:$O$3071))/(E113-H113)/100))</x:f>
        <x:v>0.11051666666666668</x:v>
      </x:c>
      <x:c r="L113" s="32" t="n">
        <x:f>IF(I113&gt;0,"Pending",IF(E113=0,"—",(E113-G113)/E113))</x:f>
        <x:v>1</x:v>
      </x:c>
      <x:c r="M113" s="39" t="n">
        <x:f>IF(I113&gt;0,"Pending",E113-H113)</x:f>
        <x:v>6</x:v>
      </x:c>
    </x:row>
    <x:row r="114" ht="23" customHeight="1">
      <x:c r="B114" s="17" t="str">
        <x:v>JacksonXml</x:v>
      </x:c>
      <x:c r="C114" s="17" t="str">
        <x:v>Round2</x:v>
      </x:c>
      <x:c r="D114" s="17" t="str">
        <x:v>Condition</x:v>
      </x:c>
      <x:c r="E114" s="39" t="n">
        <x:f>COUNTA('CoverageCases'!$D$4774:$D$4779)</x:f>
        <x:v>6</x:v>
      </x:c>
      <x:c r="F114" s="39" t="n">
        <x:f>COUNT('CoverageCases'!$O$4774:$O$4779)</x:f>
        <x:v>6</x:v>
      </x:c>
      <x:c r="G114" s="39" t="n">
        <x:f>COUNTIF('CoverageCases'!$G$4774:$G$4779,"A")</x:f>
        <x:v>0</x:v>
      </x:c>
      <x:c r="H114" s="39" t="n">
        <x:f>COUNTIF('CoverageCases'!$G$4774:$G$4779,"B")</x:f>
        <x:v>0</x:v>
      </x:c>
      <x:c r="I114" s="39" t="n">
        <x:f>COUNTIF('CoverageCases'!$G$4774:$G$4779,"UNRESOLVED")</x:f>
        <x:v>0</x:v>
      </x:c>
      <x:c r="J114" s="32" t="n">
        <x:f>IF(F114=0,"—",(SUM('CoverageCases'!$O$4774:$O$4779))/F114/100)</x:f>
        <x:v>0.05963333333333334</x:v>
      </x:c>
      <x:c r="K114" s="32" t="n">
        <x:f>IF(I114&gt;0,"Pending",IF(E114-H114=0,"—",(SUM('CoverageCases'!$O$4774:$O$4779))/(E114-H114)/100))</x:f>
        <x:v>0.05963333333333334</x:v>
      </x:c>
      <x:c r="L114" s="32" t="n">
        <x:f>IF(I114&gt;0,"Pending",IF(E114=0,"—",(E114-G114)/E114))</x:f>
        <x:v>1</x:v>
      </x:c>
      <x:c r="M114" s="39" t="n">
        <x:f>IF(I114&gt;0,"Pending",E114-H114)</x:f>
        <x:v>6</x:v>
      </x:c>
    </x:row>
    <x:row r="115" ht="23" customHeight="1">
      <x:c r="B115" s="17" t="str">
        <x:v>Jsoup</x:v>
      </x:c>
      <x:c r="C115" s="17" t="str">
        <x:v>All rounds</x:v>
      </x:c>
      <x:c r="D115" s="17" t="str">
        <x:v>Coverage</x:v>
      </x:c>
      <x:c r="E115" s="39" t="n">
        <x:f>COUNTA('CoverageCases'!$D$510:$D$602,'CoverageCases'!$D$1364:$D$1456)</x:f>
        <x:v>186</x:v>
      </x:c>
      <x:c r="F115" s="39" t="n">
        <x:f>COUNT('CoverageCases'!$O$510:$O$602,'CoverageCases'!$O$1364:$O$1456)</x:f>
        <x:v>180</x:v>
      </x:c>
      <x:c r="G115" s="39" t="n">
        <x:f>COUNTIF('CoverageCases'!$G$510:$G$602,"A")+COUNTIF('CoverageCases'!$G$1364:$G$1456,"A")</x:f>
        <x:v>6</x:v>
      </x:c>
      <x:c r="H115" s="39" t="n">
        <x:f>COUNTIF('CoverageCases'!$G$510:$G$602,"B")+COUNTIF('CoverageCases'!$G$1364:$G$1456,"B")</x:f>
        <x:v>0</x:v>
      </x:c>
      <x:c r="I115" s="39" t="n">
        <x:f>COUNTIF('CoverageCases'!$G$510:$G$602,"UNRESOLVED")+COUNTIF('CoverageCases'!$G$1364:$G$1456,"UNRESOLVED")</x:f>
        <x:v>0</x:v>
      </x:c>
      <x:c r="J115" s="32" t="n">
        <x:f>IF(F115=0,"—",(SUM('CoverageCases'!$O$510:$O$602,'CoverageCases'!$O$1364:$O$1456))/F115/100)</x:f>
        <x:v>0.3924983333333333</x:v>
      </x:c>
      <x:c r="K115" s="32" t="n">
        <x:f>IF(I115&gt;0,"Pending",IF(E115-H115=0,"—",(SUM('CoverageCases'!$O$510:$O$602,'CoverageCases'!$O$1364:$O$1456))/(E115-H115)/100))</x:f>
        <x:v>0.3798370967741935</x:v>
      </x:c>
      <x:c r="L115" s="32" t="n">
        <x:f>IF(I115&gt;0,"Pending",IF(E115=0,"—",(E115-G115)/E115))</x:f>
        <x:v>0.967741935483871</x:v>
      </x:c>
      <x:c r="M115" s="39" t="n">
        <x:f>IF(I115&gt;0,"Pending",E115-H115)</x:f>
        <x:v>186</x:v>
      </x:c>
    </x:row>
    <x:row r="116" ht="23" customHeight="1">
      <x:c r="B116" s="17" t="str">
        <x:v>Jsoup</x:v>
      </x:c>
      <x:c r="C116" s="17" t="str">
        <x:v>All rounds</x:v>
      </x:c>
      <x:c r="D116" s="17" t="str">
        <x:v>Line</x:v>
      </x:c>
      <x:c r="E116" s="39" t="n">
        <x:f>COUNTA('CoverageCases'!$D$2218:$D$2310,'CoverageCases'!$D$3072:$D$3164)</x:f>
        <x:v>186</x:v>
      </x:c>
      <x:c r="F116" s="39" t="n">
        <x:f>COUNT('CoverageCases'!$O$2218:$O$2310,'CoverageCases'!$O$3072:$O$3164)</x:f>
        <x:v>180</x:v>
      </x:c>
      <x:c r="G116" s="39" t="n">
        <x:f>COUNTIF('CoverageCases'!$G$2218:$G$2310,"A")+COUNTIF('CoverageCases'!$G$3072:$G$3164,"A")</x:f>
        <x:v>6</x:v>
      </x:c>
      <x:c r="H116" s="39" t="n">
        <x:f>COUNTIF('CoverageCases'!$G$2218:$G$2310,"B")+COUNTIF('CoverageCases'!$G$3072:$G$3164,"B")</x:f>
        <x:v>0</x:v>
      </x:c>
      <x:c r="I116" s="39" t="n">
        <x:f>COUNTIF('CoverageCases'!$G$2218:$G$2310,"UNRESOLVED")+COUNTIF('CoverageCases'!$G$3072:$G$3164,"UNRESOLVED")</x:f>
        <x:v>0</x:v>
      </x:c>
      <x:c r="J116" s="32" t="n">
        <x:f>IF(F116=0,"—",(SUM('CoverageCases'!$O$2218:$O$2310,'CoverageCases'!$O$3072:$O$3164))/F116/100)</x:f>
        <x:v>0.4386761111111111</x:v>
      </x:c>
      <x:c r="K116" s="32" t="n">
        <x:f>IF(I116&gt;0,"Pending",IF(E116-H116=0,"—",(SUM('CoverageCases'!$O$2218:$O$2310,'CoverageCases'!$O$3072:$O$3164))/(E116-H116)/100))</x:f>
        <x:v>0.4245252688172043</x:v>
      </x:c>
      <x:c r="L116" s="32" t="n">
        <x:f>IF(I116&gt;0,"Pending",IF(E116=0,"—",(E116-G116)/E116))</x:f>
        <x:v>0.967741935483871</x:v>
      </x:c>
      <x:c r="M116" s="39" t="n">
        <x:f>IF(I116&gt;0,"Pending",E116-H116)</x:f>
        <x:v>186</x:v>
      </x:c>
    </x:row>
    <x:row r="117" ht="23" customHeight="1">
      <x:c r="B117" s="17" t="str">
        <x:v>Jsoup</x:v>
      </x:c>
      <x:c r="C117" s="17" t="str">
        <x:v>All rounds</x:v>
      </x:c>
      <x:c r="D117" s="17" t="str">
        <x:v>Condition</x:v>
      </x:c>
      <x:c r="E117" s="39" t="n">
        <x:f>COUNTA('CoverageCases'!$D$3926:$D$4018,'CoverageCases'!$D$4780:$D$4872)</x:f>
        <x:v>186</x:v>
      </x:c>
      <x:c r="F117" s="39" t="n">
        <x:f>COUNT('CoverageCases'!$O$3926:$O$4018,'CoverageCases'!$O$4780:$O$4872)</x:f>
        <x:v>180</x:v>
      </x:c>
      <x:c r="G117" s="39" t="n">
        <x:f>COUNTIF('CoverageCases'!$G$3926:$G$4018,"A")+COUNTIF('CoverageCases'!$G$4780:$G$4872,"A")</x:f>
        <x:v>6</x:v>
      </x:c>
      <x:c r="H117" s="39" t="n">
        <x:f>COUNTIF('CoverageCases'!$G$3926:$G$4018,"B")+COUNTIF('CoverageCases'!$G$4780:$G$4872,"B")</x:f>
        <x:v>0</x:v>
      </x:c>
      <x:c r="I117" s="39" t="n">
        <x:f>COUNTIF('CoverageCases'!$G$3926:$G$4018,"UNRESOLVED")+COUNTIF('CoverageCases'!$G$4780:$G$4872,"UNRESOLVED")</x:f>
        <x:v>0</x:v>
      </x:c>
      <x:c r="J117" s="32" t="n">
        <x:f>IF(F117=0,"—",(SUM('CoverageCases'!$O$3926:$O$4018,'CoverageCases'!$O$4780:$O$4872))/F117/100)</x:f>
        <x:v>0.3037550000000001</x:v>
      </x:c>
      <x:c r="K117" s="32" t="n">
        <x:f>IF(I117&gt;0,"Pending",IF(E117-H117=0,"—",(SUM('CoverageCases'!$O$3926:$O$4018,'CoverageCases'!$O$4780:$O$4872))/(E117-H117)/100))</x:f>
        <x:v>0.29395645161290335</x:v>
      </x:c>
      <x:c r="L117" s="32" t="n">
        <x:f>IF(I117&gt;0,"Pending",IF(E117=0,"—",(E117-G117)/E117))</x:f>
        <x:v>0.967741935483871</x:v>
      </x:c>
      <x:c r="M117" s="39" t="n">
        <x:f>IF(I117&gt;0,"Pending",E117-H117)</x:f>
        <x:v>186</x:v>
      </x:c>
    </x:row>
    <x:row r="118" ht="23" customHeight="1">
      <x:c r="B118" s="17" t="str">
        <x:v>Jsoup</x:v>
      </x:c>
      <x:c r="C118" s="17" t="str">
        <x:v>Round1</x:v>
      </x:c>
      <x:c r="D118" s="17" t="str">
        <x:v>Coverage</x:v>
      </x:c>
      <x:c r="E118" s="39" t="n">
        <x:f>COUNTA('CoverageCases'!$D$510:$D$602)</x:f>
        <x:v>93</x:v>
      </x:c>
      <x:c r="F118" s="39" t="n">
        <x:f>COUNT('CoverageCases'!$O$510:$O$602)</x:f>
        <x:v>90</x:v>
      </x:c>
      <x:c r="G118" s="39" t="n">
        <x:f>COUNTIF('CoverageCases'!$G$510:$G$602,"A")</x:f>
        <x:v>3</x:v>
      </x:c>
      <x:c r="H118" s="39" t="n">
        <x:f>COUNTIF('CoverageCases'!$G$510:$G$602,"B")</x:f>
        <x:v>0</x:v>
      </x:c>
      <x:c r="I118" s="39" t="n">
        <x:f>COUNTIF('CoverageCases'!$G$510:$G$602,"UNRESOLVED")</x:f>
        <x:v>0</x:v>
      </x:c>
      <x:c r="J118" s="32" t="n">
        <x:f>IF(F118=0,"—",(SUM('CoverageCases'!$O$510:$O$602))/F118/100)</x:f>
        <x:v>0.39077333333333336</x:v>
      </x:c>
      <x:c r="K118" s="32" t="n">
        <x:f>IF(I118&gt;0,"Pending",IF(E118-H118=0,"—",(SUM('CoverageCases'!$O$510:$O$602))/(E118-H118)/100))</x:f>
        <x:v>0.3781677419354839</x:v>
      </x:c>
      <x:c r="L118" s="32" t="n">
        <x:f>IF(I118&gt;0,"Pending",IF(E118=0,"—",(E118-G118)/E118))</x:f>
        <x:v>0.967741935483871</x:v>
      </x:c>
      <x:c r="M118" s="39" t="n">
        <x:f>IF(I118&gt;0,"Pending",E118-H118)</x:f>
        <x:v>93</x:v>
      </x:c>
    </x:row>
    <x:row r="119" ht="23" customHeight="1">
      <x:c r="B119" s="17" t="str">
        <x:v>Jsoup</x:v>
      </x:c>
      <x:c r="C119" s="17" t="str">
        <x:v>Round1</x:v>
      </x:c>
      <x:c r="D119" s="17" t="str">
        <x:v>Line</x:v>
      </x:c>
      <x:c r="E119" s="39" t="n">
        <x:f>COUNTA('CoverageCases'!$D$2218:$D$2310)</x:f>
        <x:v>93</x:v>
      </x:c>
      <x:c r="F119" s="39" t="n">
        <x:f>COUNT('CoverageCases'!$O$2218:$O$2310)</x:f>
        <x:v>90</x:v>
      </x:c>
      <x:c r="G119" s="39" t="n">
        <x:f>COUNTIF('CoverageCases'!$G$2218:$G$2310,"A")</x:f>
        <x:v>3</x:v>
      </x:c>
      <x:c r="H119" s="39" t="n">
        <x:f>COUNTIF('CoverageCases'!$G$2218:$G$2310,"B")</x:f>
        <x:v>0</x:v>
      </x:c>
      <x:c r="I119" s="39" t="n">
        <x:f>COUNTIF('CoverageCases'!$G$2218:$G$2310,"UNRESOLVED")</x:f>
        <x:v>0</x:v>
      </x:c>
      <x:c r="J119" s="32" t="n">
        <x:f>IF(F119=0,"—",(SUM('CoverageCases'!$O$2218:$O$2310))/F119/100)</x:f>
        <x:v>0.4375300000000001</x:v>
      </x:c>
      <x:c r="K119" s="32" t="n">
        <x:f>IF(I119&gt;0,"Pending",IF(E119-H119=0,"—",(SUM('CoverageCases'!$O$2218:$O$2310))/(E119-H119)/100))</x:f>
        <x:v>0.42341612903225806</x:v>
      </x:c>
      <x:c r="L119" s="32" t="n">
        <x:f>IF(I119&gt;0,"Pending",IF(E119=0,"—",(E119-G119)/E119))</x:f>
        <x:v>0.967741935483871</x:v>
      </x:c>
      <x:c r="M119" s="39" t="n">
        <x:f>IF(I119&gt;0,"Pending",E119-H119)</x:f>
        <x:v>93</x:v>
      </x:c>
    </x:row>
    <x:row r="120" ht="23" customHeight="1">
      <x:c r="B120" s="17" t="str">
        <x:v>Jsoup</x:v>
      </x:c>
      <x:c r="C120" s="17" t="str">
        <x:v>Round1</x:v>
      </x:c>
      <x:c r="D120" s="17" t="str">
        <x:v>Condition</x:v>
      </x:c>
      <x:c r="E120" s="39" t="n">
        <x:f>COUNTA('CoverageCases'!$D$3926:$D$4018)</x:f>
        <x:v>93</x:v>
      </x:c>
      <x:c r="F120" s="39" t="n">
        <x:f>COUNT('CoverageCases'!$O$3926:$O$4018)</x:f>
        <x:v>90</x:v>
      </x:c>
      <x:c r="G120" s="39" t="n">
        <x:f>COUNTIF('CoverageCases'!$G$3926:$G$4018,"A")</x:f>
        <x:v>3</x:v>
      </x:c>
      <x:c r="H120" s="39" t="n">
        <x:f>COUNTIF('CoverageCases'!$G$3926:$G$4018,"B")</x:f>
        <x:v>0</x:v>
      </x:c>
      <x:c r="I120" s="39" t="n">
        <x:f>COUNTIF('CoverageCases'!$G$3926:$G$4018,"UNRESOLVED")</x:f>
        <x:v>0</x:v>
      </x:c>
      <x:c r="J120" s="32" t="n">
        <x:f>IF(F120=0,"—",(SUM('CoverageCases'!$O$3926:$O$4018))/F120/100)</x:f>
        <x:v>0.2994066666666668</x:v>
      </x:c>
      <x:c r="K120" s="32" t="n">
        <x:f>IF(I120&gt;0,"Pending",IF(E120-H120=0,"—",(SUM('CoverageCases'!$O$3926:$O$4018))/(E120-H120)/100))</x:f>
        <x:v>0.2897483870967743</x:v>
      </x:c>
      <x:c r="L120" s="32" t="n">
        <x:f>IF(I120&gt;0,"Pending",IF(E120=0,"—",(E120-G120)/E120))</x:f>
        <x:v>0.967741935483871</x:v>
      </x:c>
      <x:c r="M120" s="39" t="n">
        <x:f>IF(I120&gt;0,"Pending",E120-H120)</x:f>
        <x:v>93</x:v>
      </x:c>
    </x:row>
    <x:row r="121" ht="23" customHeight="1">
      <x:c r="B121" s="17" t="str">
        <x:v>Jsoup</x:v>
      </x:c>
      <x:c r="C121" s="17" t="str">
        <x:v>Round2</x:v>
      </x:c>
      <x:c r="D121" s="17" t="str">
        <x:v>Coverage</x:v>
      </x:c>
      <x:c r="E121" s="39" t="n">
        <x:f>COUNTA('CoverageCases'!$D$1364:$D$1456)</x:f>
        <x:v>93</x:v>
      </x:c>
      <x:c r="F121" s="39" t="n">
        <x:f>COUNT('CoverageCases'!$O$1364:$O$1456)</x:f>
        <x:v>90</x:v>
      </x:c>
      <x:c r="G121" s="39" t="n">
        <x:f>COUNTIF('CoverageCases'!$G$1364:$G$1456,"A")</x:f>
        <x:v>3</x:v>
      </x:c>
      <x:c r="H121" s="39" t="n">
        <x:f>COUNTIF('CoverageCases'!$G$1364:$G$1456,"B")</x:f>
        <x:v>0</x:v>
      </x:c>
      <x:c r="I121" s="39" t="n">
        <x:f>COUNTIF('CoverageCases'!$G$1364:$G$1456,"UNRESOLVED")</x:f>
        <x:v>0</x:v>
      </x:c>
      <x:c r="J121" s="32" t="n">
        <x:f>IF(F121=0,"—",(SUM('CoverageCases'!$O$1364:$O$1456))/F121/100)</x:f>
        <x:v>0.3942233333333332</x:v>
      </x:c>
      <x:c r="K121" s="32" t="n">
        <x:f>IF(I121&gt;0,"Pending",IF(E121-H121=0,"—",(SUM('CoverageCases'!$O$1364:$O$1456))/(E121-H121)/100))</x:f>
        <x:v>0.38150645161290314</x:v>
      </x:c>
      <x:c r="L121" s="32" t="n">
        <x:f>IF(I121&gt;0,"Pending",IF(E121=0,"—",(E121-G121)/E121))</x:f>
        <x:v>0.967741935483871</x:v>
      </x:c>
      <x:c r="M121" s="39" t="n">
        <x:f>IF(I121&gt;0,"Pending",E121-H121)</x:f>
        <x:v>93</x:v>
      </x:c>
    </x:row>
    <x:row r="122" ht="23" customHeight="1">
      <x:c r="B122" s="17" t="str">
        <x:v>Jsoup</x:v>
      </x:c>
      <x:c r="C122" s="17" t="str">
        <x:v>Round2</x:v>
      </x:c>
      <x:c r="D122" s="17" t="str">
        <x:v>Line</x:v>
      </x:c>
      <x:c r="E122" s="39" t="n">
        <x:f>COUNTA('CoverageCases'!$D$3072:$D$3164)</x:f>
        <x:v>93</x:v>
      </x:c>
      <x:c r="F122" s="39" t="n">
        <x:f>COUNT('CoverageCases'!$O$3072:$O$3164)</x:f>
        <x:v>90</x:v>
      </x:c>
      <x:c r="G122" s="39" t="n">
        <x:f>COUNTIF('CoverageCases'!$G$3072:$G$3164,"A")</x:f>
        <x:v>3</x:v>
      </x:c>
      <x:c r="H122" s="39" t="n">
        <x:f>COUNTIF('CoverageCases'!$G$3072:$G$3164,"B")</x:f>
        <x:v>0</x:v>
      </x:c>
      <x:c r="I122" s="39" t="n">
        <x:f>COUNTIF('CoverageCases'!$G$3072:$G$3164,"UNRESOLVED")</x:f>
        <x:v>0</x:v>
      </x:c>
      <x:c r="J122" s="32" t="n">
        <x:f>IF(F122=0,"—",(SUM('CoverageCases'!$O$3072:$O$3164))/F122/100)</x:f>
        <x:v>0.4398222222222221</x:v>
      </x:c>
      <x:c r="K122" s="32" t="n">
        <x:f>IF(I122&gt;0,"Pending",IF(E122-H122=0,"—",(SUM('CoverageCases'!$O$3072:$O$3164))/(E122-H122)/100))</x:f>
        <x:v>0.42563440860215046</x:v>
      </x:c>
      <x:c r="L122" s="32" t="n">
        <x:f>IF(I122&gt;0,"Pending",IF(E122=0,"—",(E122-G122)/E122))</x:f>
        <x:v>0.967741935483871</x:v>
      </x:c>
      <x:c r="M122" s="39" t="n">
        <x:f>IF(I122&gt;0,"Pending",E122-H122)</x:f>
        <x:v>93</x:v>
      </x:c>
    </x:row>
    <x:row r="123" ht="23" customHeight="1">
      <x:c r="B123" s="17" t="str">
        <x:v>Jsoup</x:v>
      </x:c>
      <x:c r="C123" s="17" t="str">
        <x:v>Round2</x:v>
      </x:c>
      <x:c r="D123" s="17" t="str">
        <x:v>Condition</x:v>
      </x:c>
      <x:c r="E123" s="39" t="n">
        <x:f>COUNTA('CoverageCases'!$D$4780:$D$4872)</x:f>
        <x:v>93</x:v>
      </x:c>
      <x:c r="F123" s="39" t="n">
        <x:f>COUNT('CoverageCases'!$O$4780:$O$4872)</x:f>
        <x:v>90</x:v>
      </x:c>
      <x:c r="G123" s="39" t="n">
        <x:f>COUNTIF('CoverageCases'!$G$4780:$G$4872,"A")</x:f>
        <x:v>3</x:v>
      </x:c>
      <x:c r="H123" s="39" t="n">
        <x:f>COUNTIF('CoverageCases'!$G$4780:$G$4872,"B")</x:f>
        <x:v>0</x:v>
      </x:c>
      <x:c r="I123" s="39" t="n">
        <x:f>COUNTIF('CoverageCases'!$G$4780:$G$4872,"UNRESOLVED")</x:f>
        <x:v>0</x:v>
      </x:c>
      <x:c r="J123" s="32" t="n">
        <x:f>IF(F123=0,"—",(SUM('CoverageCases'!$O$4780:$O$4872))/F123/100)</x:f>
        <x:v>0.30810333333333334</x:v>
      </x:c>
      <x:c r="K123" s="32" t="n">
        <x:f>IF(I123&gt;0,"Pending",IF(E123-H123=0,"—",(SUM('CoverageCases'!$O$4780:$O$4872))/(E123-H123)/100))</x:f>
        <x:v>0.2981645161290323</x:v>
      </x:c>
      <x:c r="L123" s="32" t="n">
        <x:f>IF(I123&gt;0,"Pending",IF(E123=0,"—",(E123-G123)/E123))</x:f>
        <x:v>0.967741935483871</x:v>
      </x:c>
      <x:c r="M123" s="39" t="n">
        <x:f>IF(I123&gt;0,"Pending",E123-H123)</x:f>
        <x:v>93</x:v>
      </x:c>
    </x:row>
    <x:row r="124" ht="23" customHeight="1">
      <x:c r="B124" s="17" t="str">
        <x:v>JxPath</x:v>
      </x:c>
      <x:c r="C124" s="17" t="str">
        <x:v>All rounds</x:v>
      </x:c>
      <x:c r="D124" s="17" t="str">
        <x:v>Coverage</x:v>
      </x:c>
      <x:c r="E124" s="39" t="n">
        <x:f>COUNTA('CoverageCases'!$D$603:$D$624,'CoverageCases'!$D$1457:$D$1478)</x:f>
        <x:v>44</x:v>
      </x:c>
      <x:c r="F124" s="39" t="n">
        <x:f>COUNT('CoverageCases'!$O$603:$O$624,'CoverageCases'!$O$1457:$O$1478)</x:f>
        <x:v>44</x:v>
      </x:c>
      <x:c r="G124" s="39" t="n">
        <x:f>COUNTIF('CoverageCases'!$G$603:$G$624,"A")+COUNTIF('CoverageCases'!$G$1457:$G$1478,"A")</x:f>
        <x:v>0</x:v>
      </x:c>
      <x:c r="H124" s="39" t="n">
        <x:f>COUNTIF('CoverageCases'!$G$603:$G$624,"B")+COUNTIF('CoverageCases'!$G$1457:$G$1478,"B")</x:f>
        <x:v>0</x:v>
      </x:c>
      <x:c r="I124" s="39" t="n">
        <x:f>COUNTIF('CoverageCases'!$G$603:$G$624,"UNRESOLVED")+COUNTIF('CoverageCases'!$G$1457:$G$1478,"UNRESOLVED")</x:f>
        <x:v>0</x:v>
      </x:c>
      <x:c r="J124" s="32" t="n">
        <x:f>IF(F124=0,"—",(SUM('CoverageCases'!$O$603:$O$624,'CoverageCases'!$O$1457:$O$1478))/F124/100)</x:f>
        <x:v>0.21722499999999992</x:v>
      </x:c>
      <x:c r="K124" s="32" t="n">
        <x:f>IF(I124&gt;0,"Pending",IF(E124-H124=0,"—",(SUM('CoverageCases'!$O$603:$O$624,'CoverageCases'!$O$1457:$O$1478))/(E124-H124)/100))</x:f>
        <x:v>0.21722499999999992</x:v>
      </x:c>
      <x:c r="L124" s="32" t="n">
        <x:f>IF(I124&gt;0,"Pending",IF(E124=0,"—",(E124-G124)/E124))</x:f>
        <x:v>1</x:v>
      </x:c>
      <x:c r="M124" s="39" t="n">
        <x:f>IF(I124&gt;0,"Pending",E124-H124)</x:f>
        <x:v>44</x:v>
      </x:c>
    </x:row>
    <x:row r="125" ht="23" customHeight="1">
      <x:c r="B125" s="17" t="str">
        <x:v>JxPath</x:v>
      </x:c>
      <x:c r="C125" s="17" t="str">
        <x:v>All rounds</x:v>
      </x:c>
      <x:c r="D125" s="17" t="str">
        <x:v>Line</x:v>
      </x:c>
      <x:c r="E125" s="39" t="n">
        <x:f>COUNTA('CoverageCases'!$D$2311:$D$2332,'CoverageCases'!$D$3165:$D$3186)</x:f>
        <x:v>44</x:v>
      </x:c>
      <x:c r="F125" s="39" t="n">
        <x:f>COUNT('CoverageCases'!$O$2311:$O$2332,'CoverageCases'!$O$3165:$O$3186)</x:f>
        <x:v>44</x:v>
      </x:c>
      <x:c r="G125" s="39" t="n">
        <x:f>COUNTIF('CoverageCases'!$G$2311:$G$2332,"A")+COUNTIF('CoverageCases'!$G$3165:$G$3186,"A")</x:f>
        <x:v>0</x:v>
      </x:c>
      <x:c r="H125" s="39" t="n">
        <x:f>COUNTIF('CoverageCases'!$G$2311:$G$2332,"B")+COUNTIF('CoverageCases'!$G$3165:$G$3186,"B")</x:f>
        <x:v>0</x:v>
      </x:c>
      <x:c r="I125" s="39" t="n">
        <x:f>COUNTIF('CoverageCases'!$G$2311:$G$2332,"UNRESOLVED")+COUNTIF('CoverageCases'!$G$3165:$G$3186,"UNRESOLVED")</x:f>
        <x:v>0</x:v>
      </x:c>
      <x:c r="J125" s="32" t="n">
        <x:f>IF(F125=0,"—",(SUM('CoverageCases'!$O$2311:$O$2332,'CoverageCases'!$O$3165:$O$3186))/F125/100)</x:f>
        <x:v>0.261675</x:v>
      </x:c>
      <x:c r="K125" s="32" t="n">
        <x:f>IF(I125&gt;0,"Pending",IF(E125-H125=0,"—",(SUM('CoverageCases'!$O$2311:$O$2332,'CoverageCases'!$O$3165:$O$3186))/(E125-H125)/100))</x:f>
        <x:v>0.261675</x:v>
      </x:c>
      <x:c r="L125" s="32" t="n">
        <x:f>IF(I125&gt;0,"Pending",IF(E125=0,"—",(E125-G125)/E125))</x:f>
        <x:v>1</x:v>
      </x:c>
      <x:c r="M125" s="39" t="n">
        <x:f>IF(I125&gt;0,"Pending",E125-H125)</x:f>
        <x:v>44</x:v>
      </x:c>
    </x:row>
    <x:row r="126" ht="23" customHeight="1">
      <x:c r="B126" s="17" t="str">
        <x:v>JxPath</x:v>
      </x:c>
      <x:c r="C126" s="17" t="str">
        <x:v>All rounds</x:v>
      </x:c>
      <x:c r="D126" s="17" t="str">
        <x:v>Condition</x:v>
      </x:c>
      <x:c r="E126" s="39" t="n">
        <x:f>COUNTA('CoverageCases'!$D$4019:$D$4040,'CoverageCases'!$D$4873:$D$4894)</x:f>
        <x:v>44</x:v>
      </x:c>
      <x:c r="F126" s="39" t="n">
        <x:f>COUNT('CoverageCases'!$O$4019:$O$4040,'CoverageCases'!$O$4873:$O$4894)</x:f>
        <x:v>44</x:v>
      </x:c>
      <x:c r="G126" s="39" t="n">
        <x:f>COUNTIF('CoverageCases'!$G$4019:$G$4040,"A")+COUNTIF('CoverageCases'!$G$4873:$G$4894,"A")</x:f>
        <x:v>0</x:v>
      </x:c>
      <x:c r="H126" s="39" t="n">
        <x:f>COUNTIF('CoverageCases'!$G$4019:$G$4040,"B")+COUNTIF('CoverageCases'!$G$4873:$G$4894,"B")</x:f>
        <x:v>0</x:v>
      </x:c>
      <x:c r="I126" s="39" t="n">
        <x:f>COUNTIF('CoverageCases'!$G$4019:$G$4040,"UNRESOLVED")+COUNTIF('CoverageCases'!$G$4873:$G$4894,"UNRESOLVED")</x:f>
        <x:v>0</x:v>
      </x:c>
      <x:c r="J126" s="32" t="n">
        <x:f>IF(F126=0,"—",(SUM('CoverageCases'!$O$4019:$O$4040,'CoverageCases'!$O$4873:$O$4894))/F126/100)</x:f>
        <x:v>0.13080454545454545</x:v>
      </x:c>
      <x:c r="K126" s="32" t="n">
        <x:f>IF(I126&gt;0,"Pending",IF(E126-H126=0,"—",(SUM('CoverageCases'!$O$4019:$O$4040,'CoverageCases'!$O$4873:$O$4894))/(E126-H126)/100))</x:f>
        <x:v>0.13080454545454545</x:v>
      </x:c>
      <x:c r="L126" s="32" t="n">
        <x:f>IF(I126&gt;0,"Pending",IF(E126=0,"—",(E126-G126)/E126))</x:f>
        <x:v>1</x:v>
      </x:c>
      <x:c r="M126" s="39" t="n">
        <x:f>IF(I126&gt;0,"Pending",E126-H126)</x:f>
        <x:v>44</x:v>
      </x:c>
    </x:row>
    <x:row r="127" ht="23" customHeight="1">
      <x:c r="B127" s="17" t="str">
        <x:v>JxPath</x:v>
      </x:c>
      <x:c r="C127" s="17" t="str">
        <x:v>Round1</x:v>
      </x:c>
      <x:c r="D127" s="17" t="str">
        <x:v>Coverage</x:v>
      </x:c>
      <x:c r="E127" s="39" t="n">
        <x:f>COUNTA('CoverageCases'!$D$603:$D$624)</x:f>
        <x:v>22</x:v>
      </x:c>
      <x:c r="F127" s="39" t="n">
        <x:f>COUNT('CoverageCases'!$O$603:$O$624)</x:f>
        <x:v>22</x:v>
      </x:c>
      <x:c r="G127" s="39" t="n">
        <x:f>COUNTIF('CoverageCases'!$G$603:$G$624,"A")</x:f>
        <x:v>0</x:v>
      </x:c>
      <x:c r="H127" s="39" t="n">
        <x:f>COUNTIF('CoverageCases'!$G$603:$G$624,"B")</x:f>
        <x:v>0</x:v>
      </x:c>
      <x:c r="I127" s="39" t="n">
        <x:f>COUNTIF('CoverageCases'!$G$603:$G$624,"UNRESOLVED")</x:f>
        <x:v>0</x:v>
      </x:c>
      <x:c r="J127" s="32" t="n">
        <x:f>IF(F127=0,"—",(SUM('CoverageCases'!$O$603:$O$624))/F127/100)</x:f>
        <x:v>0.15537727272727272</x:v>
      </x:c>
      <x:c r="K127" s="32" t="n">
        <x:f>IF(I127&gt;0,"Pending",IF(E127-H127=0,"—",(SUM('CoverageCases'!$O$603:$O$624))/(E127-H127)/100))</x:f>
        <x:v>0.15537727272727272</x:v>
      </x:c>
      <x:c r="L127" s="32" t="n">
        <x:f>IF(I127&gt;0,"Pending",IF(E127=0,"—",(E127-G127)/E127))</x:f>
        <x:v>1</x:v>
      </x:c>
      <x:c r="M127" s="39" t="n">
        <x:f>IF(I127&gt;0,"Pending",E127-H127)</x:f>
        <x:v>22</x:v>
      </x:c>
    </x:row>
    <x:row r="128" ht="23" customHeight="1">
      <x:c r="B128" s="17" t="str">
        <x:v>JxPath</x:v>
      </x:c>
      <x:c r="C128" s="17" t="str">
        <x:v>Round1</x:v>
      </x:c>
      <x:c r="D128" s="17" t="str">
        <x:v>Line</x:v>
      </x:c>
      <x:c r="E128" s="39" t="n">
        <x:f>COUNTA('CoverageCases'!$D$2311:$D$2332)</x:f>
        <x:v>22</x:v>
      </x:c>
      <x:c r="F128" s="39" t="n">
        <x:f>COUNT('CoverageCases'!$O$2311:$O$2332)</x:f>
        <x:v>22</x:v>
      </x:c>
      <x:c r="G128" s="39" t="n">
        <x:f>COUNTIF('CoverageCases'!$G$2311:$G$2332,"A")</x:f>
        <x:v>0</x:v>
      </x:c>
      <x:c r="H128" s="39" t="n">
        <x:f>COUNTIF('CoverageCases'!$G$2311:$G$2332,"B")</x:f>
        <x:v>0</x:v>
      </x:c>
      <x:c r="I128" s="39" t="n">
        <x:f>COUNTIF('CoverageCases'!$G$2311:$G$2332,"UNRESOLVED")</x:f>
        <x:v>0</x:v>
      </x:c>
      <x:c r="J128" s="32" t="n">
        <x:f>IF(F128=0,"—",(SUM('CoverageCases'!$O$2311:$O$2332))/F128/100)</x:f>
        <x:v>0.20244090909090912</x:v>
      </x:c>
      <x:c r="K128" s="32" t="n">
        <x:f>IF(I128&gt;0,"Pending",IF(E128-H128=0,"—",(SUM('CoverageCases'!$O$2311:$O$2332))/(E128-H128)/100))</x:f>
        <x:v>0.20244090909090912</x:v>
      </x:c>
      <x:c r="L128" s="32" t="n">
        <x:f>IF(I128&gt;0,"Pending",IF(E128=0,"—",(E128-G128)/E128))</x:f>
        <x:v>1</x:v>
      </x:c>
      <x:c r="M128" s="39" t="n">
        <x:f>IF(I128&gt;0,"Pending",E128-H128)</x:f>
        <x:v>22</x:v>
      </x:c>
    </x:row>
    <x:row r="129" ht="23" customHeight="1">
      <x:c r="B129" s="17" t="str">
        <x:v>JxPath</x:v>
      </x:c>
      <x:c r="C129" s="17" t="str">
        <x:v>Round1</x:v>
      </x:c>
      <x:c r="D129" s="17" t="str">
        <x:v>Condition</x:v>
      </x:c>
      <x:c r="E129" s="39" t="n">
        <x:f>COUNTA('CoverageCases'!$D$4019:$D$4040)</x:f>
        <x:v>22</x:v>
      </x:c>
      <x:c r="F129" s="39" t="n">
        <x:f>COUNT('CoverageCases'!$O$4019:$O$4040)</x:f>
        <x:v>22</x:v>
      </x:c>
      <x:c r="G129" s="39" t="n">
        <x:f>COUNTIF('CoverageCases'!$G$4019:$G$4040,"A")</x:f>
        <x:v>0</x:v>
      </x:c>
      <x:c r="H129" s="39" t="n">
        <x:f>COUNTIF('CoverageCases'!$G$4019:$G$4040,"B")</x:f>
        <x:v>0</x:v>
      </x:c>
      <x:c r="I129" s="39" t="n">
        <x:f>COUNTIF('CoverageCases'!$G$4019:$G$4040,"UNRESOLVED")</x:f>
        <x:v>0</x:v>
      </x:c>
      <x:c r="J129" s="32" t="n">
        <x:f>IF(F129=0,"—",(SUM('CoverageCases'!$O$4019:$O$4040))/F129/100)</x:f>
        <x:v>0.06537272727272728</x:v>
      </x:c>
      <x:c r="K129" s="32" t="n">
        <x:f>IF(I129&gt;0,"Pending",IF(E129-H129=0,"—",(SUM('CoverageCases'!$O$4019:$O$4040))/(E129-H129)/100))</x:f>
        <x:v>0.06537272727272728</x:v>
      </x:c>
      <x:c r="L129" s="32" t="n">
        <x:f>IF(I129&gt;0,"Pending",IF(E129=0,"—",(E129-G129)/E129))</x:f>
        <x:v>1</x:v>
      </x:c>
      <x:c r="M129" s="39" t="n">
        <x:f>IF(I129&gt;0,"Pending",E129-H129)</x:f>
        <x:v>22</x:v>
      </x:c>
    </x:row>
    <x:row r="130" ht="23" customHeight="1">
      <x:c r="B130" s="17" t="str">
        <x:v>JxPath</x:v>
      </x:c>
      <x:c r="C130" s="17" t="str">
        <x:v>Round2</x:v>
      </x:c>
      <x:c r="D130" s="17" t="str">
        <x:v>Coverage</x:v>
      </x:c>
      <x:c r="E130" s="39" t="n">
        <x:f>COUNTA('CoverageCases'!$D$1457:$D$1478)</x:f>
        <x:v>22</x:v>
      </x:c>
      <x:c r="F130" s="39" t="n">
        <x:f>COUNT('CoverageCases'!$O$1457:$O$1478)</x:f>
        <x:v>22</x:v>
      </x:c>
      <x:c r="G130" s="39" t="n">
        <x:f>COUNTIF('CoverageCases'!$G$1457:$G$1478,"A")</x:f>
        <x:v>0</x:v>
      </x:c>
      <x:c r="H130" s="39" t="n">
        <x:f>COUNTIF('CoverageCases'!$G$1457:$G$1478,"B")</x:f>
        <x:v>0</x:v>
      </x:c>
      <x:c r="I130" s="39" t="n">
        <x:f>COUNTIF('CoverageCases'!$G$1457:$G$1478,"UNRESOLVED")</x:f>
        <x:v>0</x:v>
      </x:c>
      <x:c r="J130" s="32" t="n">
        <x:f>IF(F130=0,"—",(SUM('CoverageCases'!$O$1457:$O$1478))/F130/100)</x:f>
        <x:v>0.2790727272727272</x:v>
      </x:c>
      <x:c r="K130" s="32" t="n">
        <x:f>IF(I130&gt;0,"Pending",IF(E130-H130=0,"—",(SUM('CoverageCases'!$O$1457:$O$1478))/(E130-H130)/100))</x:f>
        <x:v>0.2790727272727272</x:v>
      </x:c>
      <x:c r="L130" s="32" t="n">
        <x:f>IF(I130&gt;0,"Pending",IF(E130=0,"—",(E130-G130)/E130))</x:f>
        <x:v>1</x:v>
      </x:c>
      <x:c r="M130" s="39" t="n">
        <x:f>IF(I130&gt;0,"Pending",E130-H130)</x:f>
        <x:v>22</x:v>
      </x:c>
    </x:row>
    <x:row r="131" ht="23" customHeight="1">
      <x:c r="B131" s="17" t="str">
        <x:v>JxPath</x:v>
      </x:c>
      <x:c r="C131" s="17" t="str">
        <x:v>Round2</x:v>
      </x:c>
      <x:c r="D131" s="17" t="str">
        <x:v>Line</x:v>
      </x:c>
      <x:c r="E131" s="39" t="n">
        <x:f>COUNTA('CoverageCases'!$D$3165:$D$3186)</x:f>
        <x:v>22</x:v>
      </x:c>
      <x:c r="F131" s="39" t="n">
        <x:f>COUNT('CoverageCases'!$O$3165:$O$3186)</x:f>
        <x:v>22</x:v>
      </x:c>
      <x:c r="G131" s="39" t="n">
        <x:f>COUNTIF('CoverageCases'!$G$3165:$G$3186,"A")</x:f>
        <x:v>0</x:v>
      </x:c>
      <x:c r="H131" s="39" t="n">
        <x:f>COUNTIF('CoverageCases'!$G$3165:$G$3186,"B")</x:f>
        <x:v>0</x:v>
      </x:c>
      <x:c r="I131" s="39" t="n">
        <x:f>COUNTIF('CoverageCases'!$G$3165:$G$3186,"UNRESOLVED")</x:f>
        <x:v>0</x:v>
      </x:c>
      <x:c r="J131" s="32" t="n">
        <x:f>IF(F131=0,"—",(SUM('CoverageCases'!$O$3165:$O$3186))/F131/100)</x:f>
        <x:v>0.32090909090909087</x:v>
      </x:c>
      <x:c r="K131" s="32" t="n">
        <x:f>IF(I131&gt;0,"Pending",IF(E131-H131=0,"—",(SUM('CoverageCases'!$O$3165:$O$3186))/(E131-H131)/100))</x:f>
        <x:v>0.32090909090909087</x:v>
      </x:c>
      <x:c r="L131" s="32" t="n">
        <x:f>IF(I131&gt;0,"Pending",IF(E131=0,"—",(E131-G131)/E131))</x:f>
        <x:v>1</x:v>
      </x:c>
      <x:c r="M131" s="39" t="n">
        <x:f>IF(I131&gt;0,"Pending",E131-H131)</x:f>
        <x:v>22</x:v>
      </x:c>
    </x:row>
    <x:row r="132" ht="23" customHeight="1">
      <x:c r="B132" s="17" t="str">
        <x:v>JxPath</x:v>
      </x:c>
      <x:c r="C132" s="17" t="str">
        <x:v>Round2</x:v>
      </x:c>
      <x:c r="D132" s="17" t="str">
        <x:v>Condition</x:v>
      </x:c>
      <x:c r="E132" s="39" t="n">
        <x:f>COUNTA('CoverageCases'!$D$4873:$D$4894)</x:f>
        <x:v>22</x:v>
      </x:c>
      <x:c r="F132" s="39" t="n">
        <x:f>COUNT('CoverageCases'!$O$4873:$O$4894)</x:f>
        <x:v>22</x:v>
      </x:c>
      <x:c r="G132" s="39" t="n">
        <x:f>COUNTIF('CoverageCases'!$G$4873:$G$4894,"A")</x:f>
        <x:v>0</x:v>
      </x:c>
      <x:c r="H132" s="39" t="n">
        <x:f>COUNTIF('CoverageCases'!$G$4873:$G$4894,"B")</x:f>
        <x:v>0</x:v>
      </x:c>
      <x:c r="I132" s="39" t="n">
        <x:f>COUNTIF('CoverageCases'!$G$4873:$G$4894,"UNRESOLVED")</x:f>
        <x:v>0</x:v>
      </x:c>
      <x:c r="J132" s="32" t="n">
        <x:f>IF(F132=0,"—",(SUM('CoverageCases'!$O$4873:$O$4894))/F132/100)</x:f>
        <x:v>0.19623636363636363</x:v>
      </x:c>
      <x:c r="K132" s="32" t="n">
        <x:f>IF(I132&gt;0,"Pending",IF(E132-H132=0,"—",(SUM('CoverageCases'!$O$4873:$O$4894))/(E132-H132)/100))</x:f>
        <x:v>0.19623636363636363</x:v>
      </x:c>
      <x:c r="L132" s="32" t="n">
        <x:f>IF(I132&gt;0,"Pending",IF(E132=0,"—",(E132-G132)/E132))</x:f>
        <x:v>1</x:v>
      </x:c>
      <x:c r="M132" s="39" t="n">
        <x:f>IF(I132&gt;0,"Pending",E132-H132)</x:f>
        <x:v>22</x:v>
      </x:c>
    </x:row>
    <x:row r="133" ht="23" customHeight="1">
      <x:c r="B133" s="17" t="str">
        <x:v>Lang</x:v>
      </x:c>
      <x:c r="C133" s="17" t="str">
        <x:v>All rounds</x:v>
      </x:c>
      <x:c r="D133" s="17" t="str">
        <x:v>Coverage</x:v>
      </x:c>
      <x:c r="E133" s="39" t="n">
        <x:f>COUNTA('CoverageCases'!$D$625:$D$685,'CoverageCases'!$D$1479:$D$1539)</x:f>
        <x:v>122</x:v>
      </x:c>
      <x:c r="F133" s="39" t="n">
        <x:f>COUNT('CoverageCases'!$O$625:$O$685,'CoverageCases'!$O$1479:$O$1539)</x:f>
        <x:v>118</x:v>
      </x:c>
      <x:c r="G133" s="39" t="n">
        <x:f>COUNTIF('CoverageCases'!$G$625:$G$685,"A")+COUNTIF('CoverageCases'!$G$1479:$G$1539,"A")</x:f>
        <x:v>4</x:v>
      </x:c>
      <x:c r="H133" s="39" t="n">
        <x:f>COUNTIF('CoverageCases'!$G$625:$G$685,"B")+COUNTIF('CoverageCases'!$G$1479:$G$1539,"B")</x:f>
        <x:v>0</x:v>
      </x:c>
      <x:c r="I133" s="39" t="n">
        <x:f>COUNTIF('CoverageCases'!$G$625:$G$685,"UNRESOLVED")+COUNTIF('CoverageCases'!$G$1479:$G$1539,"UNRESOLVED")</x:f>
        <x:v>0</x:v>
      </x:c>
      <x:c r="J133" s="32" t="n">
        <x:f>IF(F133=0,"—",(SUM('CoverageCases'!$O$625:$O$685,'CoverageCases'!$O$1479:$O$1539))/F133/100)</x:f>
        <x:v>0.6094805084745765</x:v>
      </x:c>
      <x:c r="K133" s="32" t="n">
        <x:f>IF(I133&gt;0,"Pending",IF(E133-H133=0,"—",(SUM('CoverageCases'!$O$625:$O$685,'CoverageCases'!$O$1479:$O$1539))/(E133-H133)/100))</x:f>
        <x:v>0.5894975409836067</x:v>
      </x:c>
      <x:c r="L133" s="32" t="n">
        <x:f>IF(I133&gt;0,"Pending",IF(E133=0,"—",(E133-G133)/E133))</x:f>
        <x:v>0.9672131147540983</x:v>
      </x:c>
      <x:c r="M133" s="39" t="n">
        <x:f>IF(I133&gt;0,"Pending",E133-H133)</x:f>
        <x:v>122</x:v>
      </x:c>
    </x:row>
    <x:row r="134" ht="23" customHeight="1">
      <x:c r="B134" s="17" t="str">
        <x:v>Lang</x:v>
      </x:c>
      <x:c r="C134" s="17" t="str">
        <x:v>All rounds</x:v>
      </x:c>
      <x:c r="D134" s="17" t="str">
        <x:v>Line</x:v>
      </x:c>
      <x:c r="E134" s="39" t="n">
        <x:f>COUNTA('CoverageCases'!$D$2333:$D$2393,'CoverageCases'!$D$3187:$D$3247)</x:f>
        <x:v>122</x:v>
      </x:c>
      <x:c r="F134" s="39" t="n">
        <x:f>COUNT('CoverageCases'!$O$2333:$O$2393,'CoverageCases'!$O$3187:$O$3247)</x:f>
        <x:v>118</x:v>
      </x:c>
      <x:c r="G134" s="39" t="n">
        <x:f>COUNTIF('CoverageCases'!$G$2333:$G$2393,"A")+COUNTIF('CoverageCases'!$G$3187:$G$3247,"A")</x:f>
        <x:v>4</x:v>
      </x:c>
      <x:c r="H134" s="39" t="n">
        <x:f>COUNTIF('CoverageCases'!$G$2333:$G$2393,"B")+COUNTIF('CoverageCases'!$G$3187:$G$3247,"B")</x:f>
        <x:v>0</x:v>
      </x:c>
      <x:c r="I134" s="39" t="n">
        <x:f>COUNTIF('CoverageCases'!$G$2333:$G$2393,"UNRESOLVED")+COUNTIF('CoverageCases'!$G$3187:$G$3247,"UNRESOLVED")</x:f>
        <x:v>0</x:v>
      </x:c>
      <x:c r="J134" s="32" t="n">
        <x:f>IF(F134=0,"—",(SUM('CoverageCases'!$O$2333:$O$2393,'CoverageCases'!$O$3187:$O$3247))/F134/100)</x:f>
        <x:v>0.6519228813559321</x:v>
      </x:c>
      <x:c r="K134" s="32" t="n">
        <x:f>IF(I134&gt;0,"Pending",IF(E134-H134=0,"—",(SUM('CoverageCases'!$O$2333:$O$2393,'CoverageCases'!$O$3187:$O$3247))/(E134-H134)/100))</x:f>
        <x:v>0.6305483606557376</x:v>
      </x:c>
      <x:c r="L134" s="32" t="n">
        <x:f>IF(I134&gt;0,"Pending",IF(E134=0,"—",(E134-G134)/E134))</x:f>
        <x:v>0.9672131147540983</x:v>
      </x:c>
      <x:c r="M134" s="39" t="n">
        <x:f>IF(I134&gt;0,"Pending",E134-H134)</x:f>
        <x:v>122</x:v>
      </x:c>
    </x:row>
    <x:row r="135" ht="23" customHeight="1">
      <x:c r="B135" s="17" t="str">
        <x:v>Lang</x:v>
      </x:c>
      <x:c r="C135" s="17" t="str">
        <x:v>All rounds</x:v>
      </x:c>
      <x:c r="D135" s="17" t="str">
        <x:v>Condition</x:v>
      </x:c>
      <x:c r="E135" s="39" t="n">
        <x:f>COUNTA('CoverageCases'!$D$4041:$D$4101,'CoverageCases'!$D$4895:$D$4955)</x:f>
        <x:v>122</x:v>
      </x:c>
      <x:c r="F135" s="39" t="n">
        <x:f>COUNT('CoverageCases'!$O$4041:$O$4101,'CoverageCases'!$O$4895:$O$4955)</x:f>
        <x:v>118</x:v>
      </x:c>
      <x:c r="G135" s="39" t="n">
        <x:f>COUNTIF('CoverageCases'!$G$4041:$G$4101,"A")+COUNTIF('CoverageCases'!$G$4895:$G$4955,"A")</x:f>
        <x:v>4</x:v>
      </x:c>
      <x:c r="H135" s="39" t="n">
        <x:f>COUNTIF('CoverageCases'!$G$4041:$G$4101,"B")+COUNTIF('CoverageCases'!$G$4895:$G$4955,"B")</x:f>
        <x:v>0</x:v>
      </x:c>
      <x:c r="I135" s="39" t="n">
        <x:f>COUNTIF('CoverageCases'!$G$4041:$G$4101,"UNRESOLVED")+COUNTIF('CoverageCases'!$G$4895:$G$4955,"UNRESOLVED")</x:f>
        <x:v>0</x:v>
      </x:c>
      <x:c r="J135" s="32" t="n">
        <x:f>IF(F135=0,"—",(SUM('CoverageCases'!$O$4041:$O$4101,'CoverageCases'!$O$4895:$O$4955))/F135/100)</x:f>
        <x:v>0.5527237288135592</x:v>
      </x:c>
      <x:c r="K135" s="32" t="n">
        <x:f>IF(I135&gt;0,"Pending",IF(E135-H135=0,"—",(SUM('CoverageCases'!$O$4041:$O$4101,'CoverageCases'!$O$4895:$O$4955))/(E135-H135)/100))</x:f>
        <x:v>0.5346016393442623</x:v>
      </x:c>
      <x:c r="L135" s="32" t="n">
        <x:f>IF(I135&gt;0,"Pending",IF(E135=0,"—",(E135-G135)/E135))</x:f>
        <x:v>0.9672131147540983</x:v>
      </x:c>
      <x:c r="M135" s="39" t="n">
        <x:f>IF(I135&gt;0,"Pending",E135-H135)</x:f>
        <x:v>122</x:v>
      </x:c>
    </x:row>
    <x:row r="136" ht="23" customHeight="1">
      <x:c r="B136" s="17" t="str">
        <x:v>Lang</x:v>
      </x:c>
      <x:c r="C136" s="17" t="str">
        <x:v>Round1</x:v>
      </x:c>
      <x:c r="D136" s="17" t="str">
        <x:v>Coverage</x:v>
      </x:c>
      <x:c r="E136" s="39" t="n">
        <x:f>COUNTA('CoverageCases'!$D$625:$D$685)</x:f>
        <x:v>61</x:v>
      </x:c>
      <x:c r="F136" s="39" t="n">
        <x:f>COUNT('CoverageCases'!$O$625:$O$685)</x:f>
        <x:v>59</x:v>
      </x:c>
      <x:c r="G136" s="39" t="n">
        <x:f>COUNTIF('CoverageCases'!$G$625:$G$685,"A")</x:f>
        <x:v>2</x:v>
      </x:c>
      <x:c r="H136" s="39" t="n">
        <x:f>COUNTIF('CoverageCases'!$G$625:$G$685,"B")</x:f>
        <x:v>0</x:v>
      </x:c>
      <x:c r="I136" s="39" t="n">
        <x:f>COUNTIF('CoverageCases'!$G$625:$G$685,"UNRESOLVED")</x:f>
        <x:v>0</x:v>
      </x:c>
      <x:c r="J136" s="32" t="n">
        <x:f>IF(F136=0,"—",(SUM('CoverageCases'!$O$625:$O$685))/F136/100)</x:f>
        <x:v>0.6128033898305086</x:v>
      </x:c>
      <x:c r="K136" s="32" t="n">
        <x:f>IF(I136&gt;0,"Pending",IF(E136-H136=0,"—",(SUM('CoverageCases'!$O$625:$O$685))/(E136-H136)/100))</x:f>
        <x:v>0.5927114754098362</x:v>
      </x:c>
      <x:c r="L136" s="32" t="n">
        <x:f>IF(I136&gt;0,"Pending",IF(E136=0,"—",(E136-G136)/E136))</x:f>
        <x:v>0.9672131147540983</x:v>
      </x:c>
      <x:c r="M136" s="39" t="n">
        <x:f>IF(I136&gt;0,"Pending",E136-H136)</x:f>
        <x:v>61</x:v>
      </x:c>
    </x:row>
    <x:row r="137" ht="23" customHeight="1">
      <x:c r="B137" s="17" t="str">
        <x:v>Lang</x:v>
      </x:c>
      <x:c r="C137" s="17" t="str">
        <x:v>Round1</x:v>
      </x:c>
      <x:c r="D137" s="17" t="str">
        <x:v>Line</x:v>
      </x:c>
      <x:c r="E137" s="39" t="n">
        <x:f>COUNTA('CoverageCases'!$D$2333:$D$2393)</x:f>
        <x:v>61</x:v>
      </x:c>
      <x:c r="F137" s="39" t="n">
        <x:f>COUNT('CoverageCases'!$O$2333:$O$2393)</x:f>
        <x:v>59</x:v>
      </x:c>
      <x:c r="G137" s="39" t="n">
        <x:f>COUNTIF('CoverageCases'!$G$2333:$G$2393,"A")</x:f>
        <x:v>2</x:v>
      </x:c>
      <x:c r="H137" s="39" t="n">
        <x:f>COUNTIF('CoverageCases'!$G$2333:$G$2393,"B")</x:f>
        <x:v>0</x:v>
      </x:c>
      <x:c r="I137" s="39" t="n">
        <x:f>COUNTIF('CoverageCases'!$G$2333:$G$2393,"UNRESOLVED")</x:f>
        <x:v>0</x:v>
      </x:c>
      <x:c r="J137" s="32" t="n">
        <x:f>IF(F137=0,"—",(SUM('CoverageCases'!$O$2333:$O$2393))/F137/100)</x:f>
        <x:v>0.6544779661016947</x:v>
      </x:c>
      <x:c r="K137" s="32" t="n">
        <x:f>IF(I137&gt;0,"Pending",IF(E137-H137=0,"—",(SUM('CoverageCases'!$O$2333:$O$2393))/(E137-H137)/100))</x:f>
        <x:v>0.6330196721311474</x:v>
      </x:c>
      <x:c r="L137" s="32" t="n">
        <x:f>IF(I137&gt;0,"Pending",IF(E137=0,"—",(E137-G137)/E137))</x:f>
        <x:v>0.9672131147540983</x:v>
      </x:c>
      <x:c r="M137" s="39" t="n">
        <x:f>IF(I137&gt;0,"Pending",E137-H137)</x:f>
        <x:v>61</x:v>
      </x:c>
    </x:row>
    <x:row r="138" ht="23" customHeight="1">
      <x:c r="B138" s="17" t="str">
        <x:v>Lang</x:v>
      </x:c>
      <x:c r="C138" s="17" t="str">
        <x:v>Round1</x:v>
      </x:c>
      <x:c r="D138" s="17" t="str">
        <x:v>Condition</x:v>
      </x:c>
      <x:c r="E138" s="39" t="n">
        <x:f>COUNTA('CoverageCases'!$D$4041:$D$4101)</x:f>
        <x:v>61</x:v>
      </x:c>
      <x:c r="F138" s="39" t="n">
        <x:f>COUNT('CoverageCases'!$O$4041:$O$4101)</x:f>
        <x:v>59</x:v>
      </x:c>
      <x:c r="G138" s="39" t="n">
        <x:f>COUNTIF('CoverageCases'!$G$4041:$G$4101,"A")</x:f>
        <x:v>2</x:v>
      </x:c>
      <x:c r="H138" s="39" t="n">
        <x:f>COUNTIF('CoverageCases'!$G$4041:$G$4101,"B")</x:f>
        <x:v>0</x:v>
      </x:c>
      <x:c r="I138" s="39" t="n">
        <x:f>COUNTIF('CoverageCases'!$G$4041:$G$4101,"UNRESOLVED")</x:f>
        <x:v>0</x:v>
      </x:c>
      <x:c r="J138" s="32" t="n">
        <x:f>IF(F138=0,"—",(SUM('CoverageCases'!$O$4041:$O$4101))/F138/100)</x:f>
        <x:v>0.5569728813559321</x:v>
      </x:c>
      <x:c r="K138" s="32" t="n">
        <x:f>IF(I138&gt;0,"Pending",IF(E138-H138=0,"—",(SUM('CoverageCases'!$O$4041:$O$4101))/(E138-H138)/100))</x:f>
        <x:v>0.538711475409836</x:v>
      </x:c>
      <x:c r="L138" s="32" t="n">
        <x:f>IF(I138&gt;0,"Pending",IF(E138=0,"—",(E138-G138)/E138))</x:f>
        <x:v>0.9672131147540983</x:v>
      </x:c>
      <x:c r="M138" s="39" t="n">
        <x:f>IF(I138&gt;0,"Pending",E138-H138)</x:f>
        <x:v>61</x:v>
      </x:c>
    </x:row>
    <x:row r="139" ht="23" customHeight="1">
      <x:c r="B139" s="17" t="str">
        <x:v>Lang</x:v>
      </x:c>
      <x:c r="C139" s="17" t="str">
        <x:v>Round2</x:v>
      </x:c>
      <x:c r="D139" s="17" t="str">
        <x:v>Coverage</x:v>
      </x:c>
      <x:c r="E139" s="39" t="n">
        <x:f>COUNTA('CoverageCases'!$D$1479:$D$1539)</x:f>
        <x:v>61</x:v>
      </x:c>
      <x:c r="F139" s="39" t="n">
        <x:f>COUNT('CoverageCases'!$O$1479:$O$1539)</x:f>
        <x:v>59</x:v>
      </x:c>
      <x:c r="G139" s="39" t="n">
        <x:f>COUNTIF('CoverageCases'!$G$1479:$G$1539,"A")</x:f>
        <x:v>2</x:v>
      </x:c>
      <x:c r="H139" s="39" t="n">
        <x:f>COUNTIF('CoverageCases'!$G$1479:$G$1539,"B")</x:f>
        <x:v>0</x:v>
      </x:c>
      <x:c r="I139" s="39" t="n">
        <x:f>COUNTIF('CoverageCases'!$G$1479:$G$1539,"UNRESOLVED")</x:f>
        <x:v>0</x:v>
      </x:c>
      <x:c r="J139" s="32" t="n">
        <x:f>IF(F139=0,"—",(SUM('CoverageCases'!$O$1479:$O$1539))/F139/100)</x:f>
        <x:v>0.6061576271186442</x:v>
      </x:c>
      <x:c r="K139" s="32" t="n">
        <x:f>IF(I139&gt;0,"Pending",IF(E139-H139=0,"—",(SUM('CoverageCases'!$O$1479:$O$1539))/(E139-H139)/100))</x:f>
        <x:v>0.5862836065573771</x:v>
      </x:c>
      <x:c r="L139" s="32" t="n">
        <x:f>IF(I139&gt;0,"Pending",IF(E139=0,"—",(E139-G139)/E139))</x:f>
        <x:v>0.9672131147540983</x:v>
      </x:c>
      <x:c r="M139" s="39" t="n">
        <x:f>IF(I139&gt;0,"Pending",E139-H139)</x:f>
        <x:v>61</x:v>
      </x:c>
    </x:row>
    <x:row r="140" ht="23" customHeight="1">
      <x:c r="B140" s="17" t="str">
        <x:v>Lang</x:v>
      </x:c>
      <x:c r="C140" s="17" t="str">
        <x:v>Round2</x:v>
      </x:c>
      <x:c r="D140" s="17" t="str">
        <x:v>Line</x:v>
      </x:c>
      <x:c r="E140" s="39" t="n">
        <x:f>COUNTA('CoverageCases'!$D$3187:$D$3247)</x:f>
        <x:v>61</x:v>
      </x:c>
      <x:c r="F140" s="39" t="n">
        <x:f>COUNT('CoverageCases'!$O$3187:$O$3247)</x:f>
        <x:v>59</x:v>
      </x:c>
      <x:c r="G140" s="39" t="n">
        <x:f>COUNTIF('CoverageCases'!$G$3187:$G$3247,"A")</x:f>
        <x:v>2</x:v>
      </x:c>
      <x:c r="H140" s="39" t="n">
        <x:f>COUNTIF('CoverageCases'!$G$3187:$G$3247,"B")</x:f>
        <x:v>0</x:v>
      </x:c>
      <x:c r="I140" s="39" t="n">
        <x:f>COUNTIF('CoverageCases'!$G$3187:$G$3247,"UNRESOLVED")</x:f>
        <x:v>0</x:v>
      </x:c>
      <x:c r="J140" s="32" t="n">
        <x:f>IF(F140=0,"—",(SUM('CoverageCases'!$O$3187:$O$3247))/F140/100)</x:f>
        <x:v>0.6493677966101693</x:v>
      </x:c>
      <x:c r="K140" s="32" t="n">
        <x:f>IF(I140&gt;0,"Pending",IF(E140-H140=0,"—",(SUM('CoverageCases'!$O$3187:$O$3247))/(E140-H140)/100))</x:f>
        <x:v>0.6280770491803277</x:v>
      </x:c>
      <x:c r="L140" s="32" t="n">
        <x:f>IF(I140&gt;0,"Pending",IF(E140=0,"—",(E140-G140)/E140))</x:f>
        <x:v>0.9672131147540983</x:v>
      </x:c>
      <x:c r="M140" s="39" t="n">
        <x:f>IF(I140&gt;0,"Pending",E140-H140)</x:f>
        <x:v>61</x:v>
      </x:c>
    </x:row>
    <x:row r="141" ht="23" customHeight="1">
      <x:c r="B141" s="17" t="str">
        <x:v>Lang</x:v>
      </x:c>
      <x:c r="C141" s="17" t="str">
        <x:v>Round2</x:v>
      </x:c>
      <x:c r="D141" s="17" t="str">
        <x:v>Condition</x:v>
      </x:c>
      <x:c r="E141" s="39" t="n">
        <x:f>COUNTA('CoverageCases'!$D$4895:$D$4955)</x:f>
        <x:v>61</x:v>
      </x:c>
      <x:c r="F141" s="39" t="n">
        <x:f>COUNT('CoverageCases'!$O$4895:$O$4955)</x:f>
        <x:v>59</x:v>
      </x:c>
      <x:c r="G141" s="39" t="n">
        <x:f>COUNTIF('CoverageCases'!$G$4895:$G$4955,"A")</x:f>
        <x:v>2</x:v>
      </x:c>
      <x:c r="H141" s="39" t="n">
        <x:f>COUNTIF('CoverageCases'!$G$4895:$G$4955,"B")</x:f>
        <x:v>0</x:v>
      </x:c>
      <x:c r="I141" s="39" t="n">
        <x:f>COUNTIF('CoverageCases'!$G$4895:$G$4955,"UNRESOLVED")</x:f>
        <x:v>0</x:v>
      </x:c>
      <x:c r="J141" s="32" t="n">
        <x:f>IF(F141=0,"—",(SUM('CoverageCases'!$O$4895:$O$4955))/F141/100)</x:f>
        <x:v>0.5484745762711865</x:v>
      </x:c>
      <x:c r="K141" s="32" t="n">
        <x:f>IF(I141&gt;0,"Pending",IF(E141-H141=0,"—",(SUM('CoverageCases'!$O$4895:$O$4955))/(E141-H141)/100))</x:f>
        <x:v>0.5304918032786886</x:v>
      </x:c>
      <x:c r="L141" s="32" t="n">
        <x:f>IF(I141&gt;0,"Pending",IF(E141=0,"—",(E141-G141)/E141))</x:f>
        <x:v>0.9672131147540983</x:v>
      </x:c>
      <x:c r="M141" s="39" t="n">
        <x:f>IF(I141&gt;0,"Pending",E141-H141)</x:f>
        <x:v>61</x:v>
      </x:c>
    </x:row>
    <x:row r="142" ht="23" customHeight="1">
      <x:c r="B142" s="17" t="str">
        <x:v>Math</x:v>
      </x:c>
      <x:c r="C142" s="17" t="str">
        <x:v>All rounds</x:v>
      </x:c>
      <x:c r="D142" s="17" t="str">
        <x:v>Coverage</x:v>
      </x:c>
      <x:c r="E142" s="39" t="n">
        <x:f>COUNTA('CoverageCases'!$D$686:$D$791,'CoverageCases'!$D$1540:$D$1645)</x:f>
        <x:v>212</x:v>
      </x:c>
      <x:c r="F142" s="39" t="n">
        <x:f>COUNT('CoverageCases'!$O$686:$O$791,'CoverageCases'!$O$1540:$O$1645)</x:f>
        <x:v>208</x:v>
      </x:c>
      <x:c r="G142" s="39" t="n">
        <x:f>COUNTIF('CoverageCases'!$G$686:$G$791,"A")+COUNTIF('CoverageCases'!$G$1540:$G$1645,"A")</x:f>
        <x:v>4</x:v>
      </x:c>
      <x:c r="H142" s="39" t="n">
        <x:f>COUNTIF('CoverageCases'!$G$686:$G$791,"B")+COUNTIF('CoverageCases'!$G$1540:$G$1645,"B")</x:f>
        <x:v>0</x:v>
      </x:c>
      <x:c r="I142" s="39" t="n">
        <x:f>COUNTIF('CoverageCases'!$G$686:$G$791,"UNRESOLVED")+COUNTIF('CoverageCases'!$G$1540:$G$1645,"UNRESOLVED")</x:f>
        <x:v>0</x:v>
      </x:c>
      <x:c r="J142" s="32" t="n">
        <x:f>IF(F142=0,"—",(SUM('CoverageCases'!$O$686:$O$791,'CoverageCases'!$O$1540:$O$1645))/F142/100)</x:f>
        <x:v>0.4603442307692307</x:v>
      </x:c>
      <x:c r="K142" s="32" t="n">
        <x:f>IF(I142&gt;0,"Pending",IF(E142-H142=0,"—",(SUM('CoverageCases'!$O$686:$O$791,'CoverageCases'!$O$1540:$O$1645))/(E142-H142)/100))</x:f>
        <x:v>0.45165849056603763</x:v>
      </x:c>
      <x:c r="L142" s="32" t="n">
        <x:f>IF(I142&gt;0,"Pending",IF(E142=0,"—",(E142-G142)/E142))</x:f>
        <x:v>0.9811320754716981</x:v>
      </x:c>
      <x:c r="M142" s="39" t="n">
        <x:f>IF(I142&gt;0,"Pending",E142-H142)</x:f>
        <x:v>212</x:v>
      </x:c>
    </x:row>
    <x:row r="143" ht="23" customHeight="1">
      <x:c r="B143" s="17" t="str">
        <x:v>Math</x:v>
      </x:c>
      <x:c r="C143" s="17" t="str">
        <x:v>All rounds</x:v>
      </x:c>
      <x:c r="D143" s="17" t="str">
        <x:v>Line</x:v>
      </x:c>
      <x:c r="E143" s="39" t="n">
        <x:f>COUNTA('CoverageCases'!$D$2394:$D$2499,'CoverageCases'!$D$3248:$D$3353)</x:f>
        <x:v>212</x:v>
      </x:c>
      <x:c r="F143" s="39" t="n">
        <x:f>COUNT('CoverageCases'!$O$2394:$O$2499,'CoverageCases'!$O$3248:$O$3353)</x:f>
        <x:v>208</x:v>
      </x:c>
      <x:c r="G143" s="39" t="n">
        <x:f>COUNTIF('CoverageCases'!$G$2394:$G$2499,"A")+COUNTIF('CoverageCases'!$G$3248:$G$3353,"A")</x:f>
        <x:v>4</x:v>
      </x:c>
      <x:c r="H143" s="39" t="n">
        <x:f>COUNTIF('CoverageCases'!$G$2394:$G$2499,"B")+COUNTIF('CoverageCases'!$G$3248:$G$3353,"B")</x:f>
        <x:v>0</x:v>
      </x:c>
      <x:c r="I143" s="39" t="n">
        <x:f>COUNTIF('CoverageCases'!$G$2394:$G$2499,"UNRESOLVED")+COUNTIF('CoverageCases'!$G$3248:$G$3353,"UNRESOLVED")</x:f>
        <x:v>0</x:v>
      </x:c>
      <x:c r="J143" s="32" t="n">
        <x:f>IF(F143=0,"—",(SUM('CoverageCases'!$O$2394:$O$2499,'CoverageCases'!$O$3248:$O$3353))/F143/100)</x:f>
        <x:v>0.48458076923076915</x:v>
      </x:c>
      <x:c r="K143" s="32" t="n">
        <x:f>IF(I143&gt;0,"Pending",IF(E143-H143=0,"—",(SUM('CoverageCases'!$O$2394:$O$2499,'CoverageCases'!$O$3248:$O$3353))/(E143-H143)/100))</x:f>
        <x:v>0.4754377358490566</x:v>
      </x:c>
      <x:c r="L143" s="32" t="n">
        <x:f>IF(I143&gt;0,"Pending",IF(E143=0,"—",(E143-G143)/E143))</x:f>
        <x:v>0.9811320754716981</x:v>
      </x:c>
      <x:c r="M143" s="39" t="n">
        <x:f>IF(I143&gt;0,"Pending",E143-H143)</x:f>
        <x:v>212</x:v>
      </x:c>
    </x:row>
    <x:row r="144" ht="23" customHeight="1">
      <x:c r="B144" s="17" t="str">
        <x:v>Math</x:v>
      </x:c>
      <x:c r="C144" s="17" t="str">
        <x:v>All rounds</x:v>
      </x:c>
      <x:c r="D144" s="17" t="str">
        <x:v>Condition</x:v>
      </x:c>
      <x:c r="E144" s="39" t="n">
        <x:f>COUNTA('CoverageCases'!$D$4102:$D$4207,'CoverageCases'!$D$4956:$D$5061)</x:f>
        <x:v>212</x:v>
      </x:c>
      <x:c r="F144" s="39" t="n">
        <x:f>COUNT('CoverageCases'!$O$4102:$O$4207,'CoverageCases'!$O$4956:$O$5061)</x:f>
        <x:v>208</x:v>
      </x:c>
      <x:c r="G144" s="39" t="n">
        <x:f>COUNTIF('CoverageCases'!$G$4102:$G$4207,"A")+COUNTIF('CoverageCases'!$G$4956:$G$5061,"A")</x:f>
        <x:v>4</x:v>
      </x:c>
      <x:c r="H144" s="39" t="n">
        <x:f>COUNTIF('CoverageCases'!$G$4102:$G$4207,"B")+COUNTIF('CoverageCases'!$G$4956:$G$5061,"B")</x:f>
        <x:v>0</x:v>
      </x:c>
      <x:c r="I144" s="39" t="n">
        <x:f>COUNTIF('CoverageCases'!$G$4102:$G$4207,"UNRESOLVED")+COUNTIF('CoverageCases'!$G$4956:$G$5061,"UNRESOLVED")</x:f>
        <x:v>0</x:v>
      </x:c>
      <x:c r="J144" s="32" t="n">
        <x:f>IF(F144=0,"—",(SUM('CoverageCases'!$O$4102:$O$4207,'CoverageCases'!$O$4956:$O$5061))/F144/100)</x:f>
        <x:v>0.4097538461538462</x:v>
      </x:c>
      <x:c r="K144" s="32" t="n">
        <x:f>IF(I144&gt;0,"Pending",IF(E144-H144=0,"—",(SUM('CoverageCases'!$O$4102:$O$4207,'CoverageCases'!$O$4956:$O$5061))/(E144-H144)/100))</x:f>
        <x:v>0.402022641509434</x:v>
      </x:c>
      <x:c r="L144" s="32" t="n">
        <x:f>IF(I144&gt;0,"Pending",IF(E144=0,"—",(E144-G144)/E144))</x:f>
        <x:v>0.9811320754716981</x:v>
      </x:c>
      <x:c r="M144" s="39" t="n">
        <x:f>IF(I144&gt;0,"Pending",E144-H144)</x:f>
        <x:v>212</x:v>
      </x:c>
    </x:row>
    <x:row r="145" ht="23" customHeight="1">
      <x:c r="B145" s="17" t="str">
        <x:v>Math</x:v>
      </x:c>
      <x:c r="C145" s="17" t="str">
        <x:v>Round1</x:v>
      </x:c>
      <x:c r="D145" s="17" t="str">
        <x:v>Coverage</x:v>
      </x:c>
      <x:c r="E145" s="39" t="n">
        <x:f>COUNTA('CoverageCases'!$D$686:$D$791)</x:f>
        <x:v>106</x:v>
      </x:c>
      <x:c r="F145" s="39" t="n">
        <x:f>COUNT('CoverageCases'!$O$686:$O$791)</x:f>
        <x:v>106</x:v>
      </x:c>
      <x:c r="G145" s="39" t="n">
        <x:f>COUNTIF('CoverageCases'!$G$686:$G$791,"A")</x:f>
        <x:v>0</x:v>
      </x:c>
      <x:c r="H145" s="39" t="n">
        <x:f>COUNTIF('CoverageCases'!$G$686:$G$791,"B")</x:f>
        <x:v>0</x:v>
      </x:c>
      <x:c r="I145" s="39" t="n">
        <x:f>COUNTIF('CoverageCases'!$G$686:$G$791,"UNRESOLVED")</x:f>
        <x:v>0</x:v>
      </x:c>
      <x:c r="J145" s="32" t="n">
        <x:f>IF(F145=0,"—",(SUM('CoverageCases'!$O$686:$O$791))/F145/100)</x:f>
        <x:v>0.46061415094339614</x:v>
      </x:c>
      <x:c r="K145" s="32" t="n">
        <x:f>IF(I145&gt;0,"Pending",IF(E145-H145=0,"—",(SUM('CoverageCases'!$O$686:$O$791))/(E145-H145)/100))</x:f>
        <x:v>0.46061415094339614</x:v>
      </x:c>
      <x:c r="L145" s="32" t="n">
        <x:f>IF(I145&gt;0,"Pending",IF(E145=0,"—",(E145-G145)/E145))</x:f>
        <x:v>1</x:v>
      </x:c>
      <x:c r="M145" s="39" t="n">
        <x:f>IF(I145&gt;0,"Pending",E145-H145)</x:f>
        <x:v>106</x:v>
      </x:c>
    </x:row>
    <x:row r="146" ht="23" customHeight="1">
      <x:c r="B146" s="17" t="str">
        <x:v>Math</x:v>
      </x:c>
      <x:c r="C146" s="17" t="str">
        <x:v>Round1</x:v>
      </x:c>
      <x:c r="D146" s="17" t="str">
        <x:v>Line</x:v>
      </x:c>
      <x:c r="E146" s="39" t="n">
        <x:f>COUNTA('CoverageCases'!$D$2394:$D$2499)</x:f>
        <x:v>106</x:v>
      </x:c>
      <x:c r="F146" s="39" t="n">
        <x:f>COUNT('CoverageCases'!$O$2394:$O$2499)</x:f>
        <x:v>106</x:v>
      </x:c>
      <x:c r="G146" s="39" t="n">
        <x:f>COUNTIF('CoverageCases'!$G$2394:$G$2499,"A")</x:f>
        <x:v>0</x:v>
      </x:c>
      <x:c r="H146" s="39" t="n">
        <x:f>COUNTIF('CoverageCases'!$G$2394:$G$2499,"B")</x:f>
        <x:v>0</x:v>
      </x:c>
      <x:c r="I146" s="39" t="n">
        <x:f>COUNTIF('CoverageCases'!$G$2394:$G$2499,"UNRESOLVED")</x:f>
        <x:v>0</x:v>
      </x:c>
      <x:c r="J146" s="32" t="n">
        <x:f>IF(F146=0,"—",(SUM('CoverageCases'!$O$2394:$O$2499))/F146/100)</x:f>
        <x:v>0.485245283018868</x:v>
      </x:c>
      <x:c r="K146" s="32" t="n">
        <x:f>IF(I146&gt;0,"Pending",IF(E146-H146=0,"—",(SUM('CoverageCases'!$O$2394:$O$2499))/(E146-H146)/100))</x:f>
        <x:v>0.485245283018868</x:v>
      </x:c>
      <x:c r="L146" s="32" t="n">
        <x:f>IF(I146&gt;0,"Pending",IF(E146=0,"—",(E146-G146)/E146))</x:f>
        <x:v>1</x:v>
      </x:c>
      <x:c r="M146" s="39" t="n">
        <x:f>IF(I146&gt;0,"Pending",E146-H146)</x:f>
        <x:v>106</x:v>
      </x:c>
    </x:row>
    <x:row r="147" ht="23" customHeight="1">
      <x:c r="B147" s="17" t="str">
        <x:v>Math</x:v>
      </x:c>
      <x:c r="C147" s="17" t="str">
        <x:v>Round1</x:v>
      </x:c>
      <x:c r="D147" s="17" t="str">
        <x:v>Condition</x:v>
      </x:c>
      <x:c r="E147" s="39" t="n">
        <x:f>COUNTA('CoverageCases'!$D$4102:$D$4207)</x:f>
        <x:v>106</x:v>
      </x:c>
      <x:c r="F147" s="39" t="n">
        <x:f>COUNT('CoverageCases'!$O$4102:$O$4207)</x:f>
        <x:v>106</x:v>
      </x:c>
      <x:c r="G147" s="39" t="n">
        <x:f>COUNTIF('CoverageCases'!$G$4102:$G$4207,"A")</x:f>
        <x:v>0</x:v>
      </x:c>
      <x:c r="H147" s="39" t="n">
        <x:f>COUNTIF('CoverageCases'!$G$4102:$G$4207,"B")</x:f>
        <x:v>0</x:v>
      </x:c>
      <x:c r="I147" s="39" t="n">
        <x:f>COUNTIF('CoverageCases'!$G$4102:$G$4207,"UNRESOLVED")</x:f>
        <x:v>0</x:v>
      </x:c>
      <x:c r="J147" s="32" t="n">
        <x:f>IF(F147=0,"—",(SUM('CoverageCases'!$O$4102:$O$4207))/F147/100)</x:f>
        <x:v>0.4097198113207547</x:v>
      </x:c>
      <x:c r="K147" s="32" t="n">
        <x:f>IF(I147&gt;0,"Pending",IF(E147-H147=0,"—",(SUM('CoverageCases'!$O$4102:$O$4207))/(E147-H147)/100))</x:f>
        <x:v>0.4097198113207547</x:v>
      </x:c>
      <x:c r="L147" s="32" t="n">
        <x:f>IF(I147&gt;0,"Pending",IF(E147=0,"—",(E147-G147)/E147))</x:f>
        <x:v>1</x:v>
      </x:c>
      <x:c r="M147" s="39" t="n">
        <x:f>IF(I147&gt;0,"Pending",E147-H147)</x:f>
        <x:v>106</x:v>
      </x:c>
    </x:row>
    <x:row r="148" ht="23" customHeight="1">
      <x:c r="B148" s="17" t="str">
        <x:v>Math</x:v>
      </x:c>
      <x:c r="C148" s="17" t="str">
        <x:v>Round2</x:v>
      </x:c>
      <x:c r="D148" s="17" t="str">
        <x:v>Coverage</x:v>
      </x:c>
      <x:c r="E148" s="39" t="n">
        <x:f>COUNTA('CoverageCases'!$D$1540:$D$1645)</x:f>
        <x:v>106</x:v>
      </x:c>
      <x:c r="F148" s="39" t="n">
        <x:f>COUNT('CoverageCases'!$O$1540:$O$1645)</x:f>
        <x:v>102</x:v>
      </x:c>
      <x:c r="G148" s="39" t="n">
        <x:f>COUNTIF('CoverageCases'!$G$1540:$G$1645,"A")</x:f>
        <x:v>4</x:v>
      </x:c>
      <x:c r="H148" s="39" t="n">
        <x:f>COUNTIF('CoverageCases'!$G$1540:$G$1645,"B")</x:f>
        <x:v>0</x:v>
      </x:c>
      <x:c r="I148" s="39" t="n">
        <x:f>COUNTIF('CoverageCases'!$G$1540:$G$1645,"UNRESOLVED")</x:f>
        <x:v>0</x:v>
      </x:c>
      <x:c r="J148" s="32" t="n">
        <x:f>IF(F148=0,"—",(SUM('CoverageCases'!$O$1540:$O$1645))/F148/100)</x:f>
        <x:v>0.460063725490196</x:v>
      </x:c>
      <x:c r="K148" s="32" t="n">
        <x:f>IF(I148&gt;0,"Pending",IF(E148-H148=0,"—",(SUM('CoverageCases'!$O$1540:$O$1645))/(E148-H148)/100))</x:f>
        <x:v>0.4427028301886791</x:v>
      </x:c>
      <x:c r="L148" s="32" t="n">
        <x:f>IF(I148&gt;0,"Pending",IF(E148=0,"—",(E148-G148)/E148))</x:f>
        <x:v>0.9622641509433962</x:v>
      </x:c>
      <x:c r="M148" s="39" t="n">
        <x:f>IF(I148&gt;0,"Pending",E148-H148)</x:f>
        <x:v>106</x:v>
      </x:c>
    </x:row>
    <x:row r="149" ht="23" customHeight="1">
      <x:c r="B149" s="17" t="str">
        <x:v>Math</x:v>
      </x:c>
      <x:c r="C149" s="17" t="str">
        <x:v>Round2</x:v>
      </x:c>
      <x:c r="D149" s="17" t="str">
        <x:v>Line</x:v>
      </x:c>
      <x:c r="E149" s="39" t="n">
        <x:f>COUNTA('CoverageCases'!$D$3248:$D$3353)</x:f>
        <x:v>106</x:v>
      </x:c>
      <x:c r="F149" s="39" t="n">
        <x:f>COUNT('CoverageCases'!$O$3248:$O$3353)</x:f>
        <x:v>102</x:v>
      </x:c>
      <x:c r="G149" s="39" t="n">
        <x:f>COUNTIF('CoverageCases'!$G$3248:$G$3353,"A")</x:f>
        <x:v>4</x:v>
      </x:c>
      <x:c r="H149" s="39" t="n">
        <x:f>COUNTIF('CoverageCases'!$G$3248:$G$3353,"B")</x:f>
        <x:v>0</x:v>
      </x:c>
      <x:c r="I149" s="39" t="n">
        <x:f>COUNTIF('CoverageCases'!$G$3248:$G$3353,"UNRESOLVED")</x:f>
        <x:v>0</x:v>
      </x:c>
      <x:c r="J149" s="32" t="n">
        <x:f>IF(F149=0,"—",(SUM('CoverageCases'!$O$3248:$O$3353))/F149/100)</x:f>
        <x:v>0.48389019607843126</x:v>
      </x:c>
      <x:c r="K149" s="32" t="n">
        <x:f>IF(I149&gt;0,"Pending",IF(E149-H149=0,"—",(SUM('CoverageCases'!$O$3248:$O$3353))/(E149-H149)/100))</x:f>
        <x:v>0.4656301886792451</x:v>
      </x:c>
      <x:c r="L149" s="32" t="n">
        <x:f>IF(I149&gt;0,"Pending",IF(E149=0,"—",(E149-G149)/E149))</x:f>
        <x:v>0.9622641509433962</x:v>
      </x:c>
      <x:c r="M149" s="39" t="n">
        <x:f>IF(I149&gt;0,"Pending",E149-H149)</x:f>
        <x:v>106</x:v>
      </x:c>
    </x:row>
    <x:row r="150" ht="23" customHeight="1">
      <x:c r="B150" s="17" t="str">
        <x:v>Math</x:v>
      </x:c>
      <x:c r="C150" s="17" t="str">
        <x:v>Round2</x:v>
      </x:c>
      <x:c r="D150" s="17" t="str">
        <x:v>Condition</x:v>
      </x:c>
      <x:c r="E150" s="39" t="n">
        <x:f>COUNTA('CoverageCases'!$D$4956:$D$5061)</x:f>
        <x:v>106</x:v>
      </x:c>
      <x:c r="F150" s="39" t="n">
        <x:f>COUNT('CoverageCases'!$O$4956:$O$5061)</x:f>
        <x:v>102</x:v>
      </x:c>
      <x:c r="G150" s="39" t="n">
        <x:f>COUNTIF('CoverageCases'!$G$4956:$G$5061,"A")</x:f>
        <x:v>4</x:v>
      </x:c>
      <x:c r="H150" s="39" t="n">
        <x:f>COUNTIF('CoverageCases'!$G$4956:$G$5061,"B")</x:f>
        <x:v>0</x:v>
      </x:c>
      <x:c r="I150" s="39" t="n">
        <x:f>COUNTIF('CoverageCases'!$G$4956:$G$5061,"UNRESOLVED")</x:f>
        <x:v>0</x:v>
      </x:c>
      <x:c r="J150" s="32" t="n">
        <x:f>IF(F150=0,"—",(SUM('CoverageCases'!$O$4956:$O$5061))/F150/100)</x:f>
        <x:v>0.4097892156862746</x:v>
      </x:c>
      <x:c r="K150" s="32" t="n">
        <x:f>IF(I150&gt;0,"Pending",IF(E150-H150=0,"—",(SUM('CoverageCases'!$O$4956:$O$5061))/(E150-H150)/100))</x:f>
        <x:v>0.3943254716981132</x:v>
      </x:c>
      <x:c r="L150" s="32" t="n">
        <x:f>IF(I150&gt;0,"Pending",IF(E150=0,"—",(E150-G150)/E150))</x:f>
        <x:v>0.9622641509433962</x:v>
      </x:c>
      <x:c r="M150" s="39" t="n">
        <x:f>IF(I150&gt;0,"Pending",E150-H150)</x:f>
        <x:v>106</x:v>
      </x:c>
    </x:row>
    <x:row r="151" ht="23" customHeight="1">
      <x:c r="B151" s="17" t="str">
        <x:v>Mockito</x:v>
      </x:c>
      <x:c r="C151" s="17" t="str">
        <x:v>All rounds</x:v>
      </x:c>
      <x:c r="D151" s="17" t="str">
        <x:v>Coverage</x:v>
      </x:c>
      <x:c r="E151" s="39" t="n">
        <x:f>COUNTA('CoverageCases'!$D$792:$D$829,'CoverageCases'!$D$1646:$D$1683)</x:f>
        <x:v>76</x:v>
      </x:c>
      <x:c r="F151" s="39" t="n">
        <x:f>COUNT('CoverageCases'!$O$792:$O$829,'CoverageCases'!$O$1646:$O$1683)</x:f>
        <x:v>48</x:v>
      </x:c>
      <x:c r="G151" s="39" t="n">
        <x:f>COUNTIF('CoverageCases'!$G$792:$G$829,"A")+COUNTIF('CoverageCases'!$G$1646:$G$1683,"A")</x:f>
        <x:v>28</x:v>
      </x:c>
      <x:c r="H151" s="39" t="n">
        <x:f>COUNTIF('CoverageCases'!$G$792:$G$829,"B")+COUNTIF('CoverageCases'!$G$1646:$G$1683,"B")</x:f>
        <x:v>0</x:v>
      </x:c>
      <x:c r="I151" s="39" t="n">
        <x:f>COUNTIF('CoverageCases'!$G$792:$G$829,"UNRESOLVED")+COUNTIF('CoverageCases'!$G$1646:$G$1683,"UNRESOLVED")</x:f>
        <x:v>0</x:v>
      </x:c>
      <x:c r="J151" s="32" t="n">
        <x:f>IF(F151=0,"—",(SUM('CoverageCases'!$O$792:$O$829,'CoverageCases'!$O$1646:$O$1683))/F151/100)</x:f>
        <x:v>0.2949833333333334</x:v>
      </x:c>
      <x:c r="K151" s="32" t="n">
        <x:f>IF(I151&gt;0,"Pending",IF(E151-H151=0,"—",(SUM('CoverageCases'!$O$792:$O$829,'CoverageCases'!$O$1646:$O$1683))/(E151-H151)/100))</x:f>
        <x:v>0.18630526315789475</x:v>
      </x:c>
      <x:c r="L151" s="32" t="n">
        <x:f>IF(I151&gt;0,"Pending",IF(E151=0,"—",(E151-G151)/E151))</x:f>
        <x:v>0.631578947368421</x:v>
      </x:c>
      <x:c r="M151" s="39" t="n">
        <x:f>IF(I151&gt;0,"Pending",E151-H151)</x:f>
        <x:v>76</x:v>
      </x:c>
    </x:row>
    <x:row r="152" ht="23" customHeight="1">
      <x:c r="B152" s="17" t="str">
        <x:v>Mockito</x:v>
      </x:c>
      <x:c r="C152" s="17" t="str">
        <x:v>All rounds</x:v>
      </x:c>
      <x:c r="D152" s="17" t="str">
        <x:v>Line</x:v>
      </x:c>
      <x:c r="E152" s="39" t="n">
        <x:f>COUNTA('CoverageCases'!$D$2500:$D$2537,'CoverageCases'!$D$3354:$D$3391)</x:f>
        <x:v>76</x:v>
      </x:c>
      <x:c r="F152" s="39" t="n">
        <x:f>COUNT('CoverageCases'!$O$2500:$O$2537,'CoverageCases'!$O$3354:$O$3391)</x:f>
        <x:v>48</x:v>
      </x:c>
      <x:c r="G152" s="39" t="n">
        <x:f>COUNTIF('CoverageCases'!$G$2500:$G$2537,"A")+COUNTIF('CoverageCases'!$G$3354:$G$3391,"A")</x:f>
        <x:v>28</x:v>
      </x:c>
      <x:c r="H152" s="39" t="n">
        <x:f>COUNTIF('CoverageCases'!$G$2500:$G$2537,"B")+COUNTIF('CoverageCases'!$G$3354:$G$3391,"B")</x:f>
        <x:v>0</x:v>
      </x:c>
      <x:c r="I152" s="39" t="n">
        <x:f>COUNTIF('CoverageCases'!$G$2500:$G$2537,"UNRESOLVED")+COUNTIF('CoverageCases'!$G$3354:$G$3391,"UNRESOLVED")</x:f>
        <x:v>0</x:v>
      </x:c>
      <x:c r="J152" s="32" t="n">
        <x:f>IF(F152=0,"—",(SUM('CoverageCases'!$O$2500:$O$2537,'CoverageCases'!$O$3354:$O$3391))/F152/100)</x:f>
        <x:v>0.3368395833333333</x:v>
      </x:c>
      <x:c r="K152" s="32" t="n">
        <x:f>IF(I152&gt;0,"Pending",IF(E152-H152=0,"—",(SUM('CoverageCases'!$O$2500:$O$2537,'CoverageCases'!$O$3354:$O$3391))/(E152-H152)/100))</x:f>
        <x:v>0.2127407894736842</x:v>
      </x:c>
      <x:c r="L152" s="32" t="n">
        <x:f>IF(I152&gt;0,"Pending",IF(E152=0,"—",(E152-G152)/E152))</x:f>
        <x:v>0.631578947368421</x:v>
      </x:c>
      <x:c r="M152" s="39" t="n">
        <x:f>IF(I152&gt;0,"Pending",E152-H152)</x:f>
        <x:v>76</x:v>
      </x:c>
    </x:row>
    <x:row r="153" ht="23" customHeight="1">
      <x:c r="B153" s="17" t="str">
        <x:v>Mockito</x:v>
      </x:c>
      <x:c r="C153" s="17" t="str">
        <x:v>All rounds</x:v>
      </x:c>
      <x:c r="D153" s="17" t="str">
        <x:v>Condition</x:v>
      </x:c>
      <x:c r="E153" s="39" t="n">
        <x:f>COUNTA('CoverageCases'!$D$4208:$D$4245,'CoverageCases'!$D$5062:$D$5099)</x:f>
        <x:v>76</x:v>
      </x:c>
      <x:c r="F153" s="39" t="n">
        <x:f>COUNT('CoverageCases'!$O$4208:$O$4245,'CoverageCases'!$O$5062:$O$5099)</x:f>
        <x:v>46</x:v>
      </x:c>
      <x:c r="G153" s="39" t="n">
        <x:f>COUNTIF('CoverageCases'!$G$4208:$G$4245,"A")+COUNTIF('CoverageCases'!$G$5062:$G$5099,"A")</x:f>
        <x:v>28</x:v>
      </x:c>
      <x:c r="H153" s="39" t="n">
        <x:f>COUNTIF('CoverageCases'!$G$4208:$G$4245,"B")+COUNTIF('CoverageCases'!$G$5062:$G$5099,"B")</x:f>
        <x:v>2</x:v>
      </x:c>
      <x:c r="I153" s="39" t="n">
        <x:f>COUNTIF('CoverageCases'!$G$4208:$G$4245,"UNRESOLVED")+COUNTIF('CoverageCases'!$G$5062:$G$5099,"UNRESOLVED")</x:f>
        <x:v>0</x:v>
      </x:c>
      <x:c r="J153" s="32" t="n">
        <x:f>IF(F153=0,"—",(SUM('CoverageCases'!$O$4208:$O$4245,'CoverageCases'!$O$5062:$O$5099))/F153/100)</x:f>
        <x:v>0.14185217391304347</x:v>
      </x:c>
      <x:c r="K153" s="32" t="n">
        <x:f>IF(I153&gt;0,"Pending",IF(E153-H153=0,"—",(SUM('CoverageCases'!$O$4208:$O$4245,'CoverageCases'!$O$5062:$O$5099))/(E153-H153)/100))</x:f>
        <x:v>0.08817837837837837</x:v>
      </x:c>
      <x:c r="L153" s="32" t="n">
        <x:f>IF(I153&gt;0,"Pending",IF(E153=0,"—",(E153-G153)/E153))</x:f>
        <x:v>0.631578947368421</x:v>
      </x:c>
      <x:c r="M153" s="39" t="n">
        <x:f>IF(I153&gt;0,"Pending",E153-H153)</x:f>
        <x:v>74</x:v>
      </x:c>
    </x:row>
    <x:row r="154" ht="23" customHeight="1">
      <x:c r="B154" s="17" t="str">
        <x:v>Mockito</x:v>
      </x:c>
      <x:c r="C154" s="17" t="str">
        <x:v>Round1</x:v>
      </x:c>
      <x:c r="D154" s="17" t="str">
        <x:v>Coverage</x:v>
      </x:c>
      <x:c r="E154" s="39" t="n">
        <x:f>COUNTA('CoverageCases'!$D$792:$D$829)</x:f>
        <x:v>38</x:v>
      </x:c>
      <x:c r="F154" s="39" t="n">
        <x:f>COUNT('CoverageCases'!$O$792:$O$829)</x:f>
        <x:v>24</x:v>
      </x:c>
      <x:c r="G154" s="39" t="n">
        <x:f>COUNTIF('CoverageCases'!$G$792:$G$829,"A")</x:f>
        <x:v>14</x:v>
      </x:c>
      <x:c r="H154" s="39" t="n">
        <x:f>COUNTIF('CoverageCases'!$G$792:$G$829,"B")</x:f>
        <x:v>0</x:v>
      </x:c>
      <x:c r="I154" s="39" t="n">
        <x:f>COUNTIF('CoverageCases'!$G$792:$G$829,"UNRESOLVED")</x:f>
        <x:v>0</x:v>
      </x:c>
      <x:c r="J154" s="32" t="n">
        <x:f>IF(F154=0,"—",(SUM('CoverageCases'!$O$792:$O$829))/F154/100)</x:f>
        <x:v>0.2909916666666667</x:v>
      </x:c>
      <x:c r="K154" s="32" t="n">
        <x:f>IF(I154&gt;0,"Pending",IF(E154-H154=0,"—",(SUM('CoverageCases'!$O$792:$O$829))/(E154-H154)/100))</x:f>
        <x:v>0.1837842105263158</x:v>
      </x:c>
      <x:c r="L154" s="32" t="n">
        <x:f>IF(I154&gt;0,"Pending",IF(E154=0,"—",(E154-G154)/E154))</x:f>
        <x:v>0.631578947368421</x:v>
      </x:c>
      <x:c r="M154" s="39" t="n">
        <x:f>IF(I154&gt;0,"Pending",E154-H154)</x:f>
        <x:v>38</x:v>
      </x:c>
    </x:row>
    <x:row r="155" ht="23" customHeight="1">
      <x:c r="B155" s="17" t="str">
        <x:v>Mockito</x:v>
      </x:c>
      <x:c r="C155" s="17" t="str">
        <x:v>Round1</x:v>
      </x:c>
      <x:c r="D155" s="17" t="str">
        <x:v>Line</x:v>
      </x:c>
      <x:c r="E155" s="39" t="n">
        <x:f>COUNTA('CoverageCases'!$D$2500:$D$2537)</x:f>
        <x:v>38</x:v>
      </x:c>
      <x:c r="F155" s="39" t="n">
        <x:f>COUNT('CoverageCases'!$O$2500:$O$2537)</x:f>
        <x:v>24</x:v>
      </x:c>
      <x:c r="G155" s="39" t="n">
        <x:f>COUNTIF('CoverageCases'!$G$2500:$G$2537,"A")</x:f>
        <x:v>14</x:v>
      </x:c>
      <x:c r="H155" s="39" t="n">
        <x:f>COUNTIF('CoverageCases'!$G$2500:$G$2537,"B")</x:f>
        <x:v>0</x:v>
      </x:c>
      <x:c r="I155" s="39" t="n">
        <x:f>COUNTIF('CoverageCases'!$G$2500:$G$2537,"UNRESOLVED")</x:f>
        <x:v>0</x:v>
      </x:c>
      <x:c r="J155" s="32" t="n">
        <x:f>IF(F155=0,"—",(SUM('CoverageCases'!$O$2500:$O$2537))/F155/100)</x:f>
        <x:v>0.3351083333333333</x:v>
      </x:c>
      <x:c r="K155" s="32" t="n">
        <x:f>IF(I155&gt;0,"Pending",IF(E155-H155=0,"—",(SUM('CoverageCases'!$O$2500:$O$2537))/(E155-H155)/100))</x:f>
        <x:v>0.21164736842105264</x:v>
      </x:c>
      <x:c r="L155" s="32" t="n">
        <x:f>IF(I155&gt;0,"Pending",IF(E155=0,"—",(E155-G155)/E155))</x:f>
        <x:v>0.631578947368421</x:v>
      </x:c>
      <x:c r="M155" s="39" t="n">
        <x:f>IF(I155&gt;0,"Pending",E155-H155)</x:f>
        <x:v>38</x:v>
      </x:c>
    </x:row>
    <x:row r="156" ht="23" customHeight="1">
      <x:c r="B156" s="17" t="str">
        <x:v>Mockito</x:v>
      </x:c>
      <x:c r="C156" s="17" t="str">
        <x:v>Round1</x:v>
      </x:c>
      <x:c r="D156" s="17" t="str">
        <x:v>Condition</x:v>
      </x:c>
      <x:c r="E156" s="39" t="n">
        <x:f>COUNTA('CoverageCases'!$D$4208:$D$4245)</x:f>
        <x:v>38</x:v>
      </x:c>
      <x:c r="F156" s="39" t="n">
        <x:f>COUNT('CoverageCases'!$O$4208:$O$4245)</x:f>
        <x:v>23</x:v>
      </x:c>
      <x:c r="G156" s="39" t="n">
        <x:f>COUNTIF('CoverageCases'!$G$4208:$G$4245,"A")</x:f>
        <x:v>14</x:v>
      </x:c>
      <x:c r="H156" s="39" t="n">
        <x:f>COUNTIF('CoverageCases'!$G$4208:$G$4245,"B")</x:f>
        <x:v>1</x:v>
      </x:c>
      <x:c r="I156" s="39" t="n">
        <x:f>COUNTIF('CoverageCases'!$G$4208:$G$4245,"UNRESOLVED")</x:f>
        <x:v>0</x:v>
      </x:c>
      <x:c r="J156" s="32" t="n">
        <x:f>IF(F156=0,"—",(SUM('CoverageCases'!$O$4208:$O$4245))/F156/100)</x:f>
        <x:v>0.1336173913043478</x:v>
      </x:c>
      <x:c r="K156" s="32" t="n">
        <x:f>IF(I156&gt;0,"Pending",IF(E156-H156=0,"—",(SUM('CoverageCases'!$O$4208:$O$4245))/(E156-H156)/100))</x:f>
        <x:v>0.08305945945945944</x:v>
      </x:c>
      <x:c r="L156" s="32" t="n">
        <x:f>IF(I156&gt;0,"Pending",IF(E156=0,"—",(E156-G156)/E156))</x:f>
        <x:v>0.631578947368421</x:v>
      </x:c>
      <x:c r="M156" s="39" t="n">
        <x:f>IF(I156&gt;0,"Pending",E156-H156)</x:f>
        <x:v>37</x:v>
      </x:c>
    </x:row>
    <x:row r="157" ht="23" customHeight="1">
      <x:c r="B157" s="17" t="str">
        <x:v>Mockito</x:v>
      </x:c>
      <x:c r="C157" s="17" t="str">
        <x:v>Round2</x:v>
      </x:c>
      <x:c r="D157" s="17" t="str">
        <x:v>Coverage</x:v>
      </x:c>
      <x:c r="E157" s="39" t="n">
        <x:f>COUNTA('CoverageCases'!$D$1646:$D$1683)</x:f>
        <x:v>38</x:v>
      </x:c>
      <x:c r="F157" s="39" t="n">
        <x:f>COUNT('CoverageCases'!$O$1646:$O$1683)</x:f>
        <x:v>24</x:v>
      </x:c>
      <x:c r="G157" s="39" t="n">
        <x:f>COUNTIF('CoverageCases'!$G$1646:$G$1683,"A")</x:f>
        <x:v>14</x:v>
      </x:c>
      <x:c r="H157" s="39" t="n">
        <x:f>COUNTIF('CoverageCases'!$G$1646:$G$1683,"B")</x:f>
        <x:v>0</x:v>
      </x:c>
      <x:c r="I157" s="39" t="n">
        <x:f>COUNTIF('CoverageCases'!$G$1646:$G$1683,"UNRESOLVED")</x:f>
        <x:v>0</x:v>
      </x:c>
      <x:c r="J157" s="32" t="n">
        <x:f>IF(F157=0,"—",(SUM('CoverageCases'!$O$1646:$O$1683))/F157/100)</x:f>
        <x:v>0.29897500000000005</x:v>
      </x:c>
      <x:c r="K157" s="32" t="n">
        <x:f>IF(I157&gt;0,"Pending",IF(E157-H157=0,"—",(SUM('CoverageCases'!$O$1646:$O$1683))/(E157-H157)/100))</x:f>
        <x:v>0.18882631578947373</x:v>
      </x:c>
      <x:c r="L157" s="32" t="n">
        <x:f>IF(I157&gt;0,"Pending",IF(E157=0,"—",(E157-G157)/E157))</x:f>
        <x:v>0.631578947368421</x:v>
      </x:c>
      <x:c r="M157" s="39" t="n">
        <x:f>IF(I157&gt;0,"Pending",E157-H157)</x:f>
        <x:v>38</x:v>
      </x:c>
    </x:row>
    <x:row r="158" ht="23" customHeight="1">
      <x:c r="B158" s="17" t="str">
        <x:v>Mockito</x:v>
      </x:c>
      <x:c r="C158" s="17" t="str">
        <x:v>Round2</x:v>
      </x:c>
      <x:c r="D158" s="17" t="str">
        <x:v>Line</x:v>
      </x:c>
      <x:c r="E158" s="39" t="n">
        <x:f>COUNTA('CoverageCases'!$D$3354:$D$3391)</x:f>
        <x:v>38</x:v>
      </x:c>
      <x:c r="F158" s="39" t="n">
        <x:f>COUNT('CoverageCases'!$O$3354:$O$3391)</x:f>
        <x:v>24</x:v>
      </x:c>
      <x:c r="G158" s="39" t="n">
        <x:f>COUNTIF('CoverageCases'!$G$3354:$G$3391,"A")</x:f>
        <x:v>14</x:v>
      </x:c>
      <x:c r="H158" s="39" t="n">
        <x:f>COUNTIF('CoverageCases'!$G$3354:$G$3391,"B")</x:f>
        <x:v>0</x:v>
      </x:c>
      <x:c r="I158" s="39" t="n">
        <x:f>COUNTIF('CoverageCases'!$G$3354:$G$3391,"UNRESOLVED")</x:f>
        <x:v>0</x:v>
      </x:c>
      <x:c r="J158" s="32" t="n">
        <x:f>IF(F158=0,"—",(SUM('CoverageCases'!$O$3354:$O$3391))/F158/100)</x:f>
        <x:v>0.33857083333333327</x:v>
      </x:c>
      <x:c r="K158" s="32" t="n">
        <x:f>IF(I158&gt;0,"Pending",IF(E158-H158=0,"—",(SUM('CoverageCases'!$O$3354:$O$3391))/(E158-H158)/100))</x:f>
        <x:v>0.21383421052631577</x:v>
      </x:c>
      <x:c r="L158" s="32" t="n">
        <x:f>IF(I158&gt;0,"Pending",IF(E158=0,"—",(E158-G158)/E158))</x:f>
        <x:v>0.631578947368421</x:v>
      </x:c>
      <x:c r="M158" s="39" t="n">
        <x:f>IF(I158&gt;0,"Pending",E158-H158)</x:f>
        <x:v>38</x:v>
      </x:c>
    </x:row>
    <x:row r="159" ht="23" customHeight="1">
      <x:c r="B159" s="17" t="str">
        <x:v>Mockito</x:v>
      </x:c>
      <x:c r="C159" s="17" t="str">
        <x:v>Round2</x:v>
      </x:c>
      <x:c r="D159" s="17" t="str">
        <x:v>Condition</x:v>
      </x:c>
      <x:c r="E159" s="39" t="n">
        <x:f>COUNTA('CoverageCases'!$D$5062:$D$5099)</x:f>
        <x:v>38</x:v>
      </x:c>
      <x:c r="F159" s="39" t="n">
        <x:f>COUNT('CoverageCases'!$O$5062:$O$5099)</x:f>
        <x:v>23</x:v>
      </x:c>
      <x:c r="G159" s="39" t="n">
        <x:f>COUNTIF('CoverageCases'!$G$5062:$G$5099,"A")</x:f>
        <x:v>14</x:v>
      </x:c>
      <x:c r="H159" s="39" t="n">
        <x:f>COUNTIF('CoverageCases'!$G$5062:$G$5099,"B")</x:f>
        <x:v>1</x:v>
      </x:c>
      <x:c r="I159" s="39" t="n">
        <x:f>COUNTIF('CoverageCases'!$G$5062:$G$5099,"UNRESOLVED")</x:f>
        <x:v>0</x:v>
      </x:c>
      <x:c r="J159" s="32" t="n">
        <x:f>IF(F159=0,"—",(SUM('CoverageCases'!$O$5062:$O$5099))/F159/100)</x:f>
        <x:v>0.15008695652173912</x:v>
      </x:c>
      <x:c r="K159" s="32" t="n">
        <x:f>IF(I159&gt;0,"Pending",IF(E159-H159=0,"—",(SUM('CoverageCases'!$O$5062:$O$5099))/(E159-H159)/100))</x:f>
        <x:v>0.0932972972972973</x:v>
      </x:c>
      <x:c r="L159" s="32" t="n">
        <x:f>IF(I159&gt;0,"Pending",IF(E159=0,"—",(E159-G159)/E159))</x:f>
        <x:v>0.631578947368421</x:v>
      </x:c>
      <x:c r="M159" s="39" t="n">
        <x:f>IF(I159&gt;0,"Pending",E159-H159)</x:f>
        <x:v>37</x:v>
      </x:c>
    </x:row>
    <x:row r="160" ht="23" customHeight="1">
      <x:c r="B160" s="17" t="str">
        <x:v>Time</x:v>
      </x:c>
      <x:c r="C160" s="17" t="str">
        <x:v>All rounds</x:v>
      </x:c>
      <x:c r="D160" s="17" t="str">
        <x:v>Coverage</x:v>
      </x:c>
      <x:c r="E160" s="39" t="n">
        <x:f>COUNTA('CoverageCases'!$D$830:$D$855,'CoverageCases'!$D$1684:$D$1709)</x:f>
        <x:v>52</x:v>
      </x:c>
      <x:c r="F160" s="39" t="n">
        <x:f>COUNT('CoverageCases'!$O$830:$O$855,'CoverageCases'!$O$1684:$O$1709)</x:f>
        <x:v>52</x:v>
      </x:c>
      <x:c r="G160" s="39" t="n">
        <x:f>COUNTIF('CoverageCases'!$G$830:$G$855,"A")+COUNTIF('CoverageCases'!$G$1684:$G$1709,"A")</x:f>
        <x:v>0</x:v>
      </x:c>
      <x:c r="H160" s="39" t="n">
        <x:f>COUNTIF('CoverageCases'!$G$830:$G$855,"B")+COUNTIF('CoverageCases'!$G$1684:$G$1709,"B")</x:f>
        <x:v>0</x:v>
      </x:c>
      <x:c r="I160" s="39" t="n">
        <x:f>COUNTIF('CoverageCases'!$G$830:$G$855,"UNRESOLVED")+COUNTIF('CoverageCases'!$G$1684:$G$1709,"UNRESOLVED")</x:f>
        <x:v>0</x:v>
      </x:c>
      <x:c r="J160" s="32" t="n">
        <x:f>IF(F160=0,"—",(SUM('CoverageCases'!$O$830:$O$855,'CoverageCases'!$O$1684:$O$1709))/F160/100)</x:f>
        <x:v>0.43097115384615386</x:v>
      </x:c>
      <x:c r="K160" s="32" t="n">
        <x:f>IF(I160&gt;0,"Pending",IF(E160-H160=0,"—",(SUM('CoverageCases'!$O$830:$O$855,'CoverageCases'!$O$1684:$O$1709))/(E160-H160)/100))</x:f>
        <x:v>0.43097115384615386</x:v>
      </x:c>
      <x:c r="L160" s="32" t="n">
        <x:f>IF(I160&gt;0,"Pending",IF(E160=0,"—",(E160-G160)/E160))</x:f>
        <x:v>1</x:v>
      </x:c>
      <x:c r="M160" s="39" t="n">
        <x:f>IF(I160&gt;0,"Pending",E160-H160)</x:f>
        <x:v>52</x:v>
      </x:c>
    </x:row>
    <x:row r="161" ht="23" customHeight="1">
      <x:c r="B161" s="17" t="str">
        <x:v>Time</x:v>
      </x:c>
      <x:c r="C161" s="17" t="str">
        <x:v>All rounds</x:v>
      </x:c>
      <x:c r="D161" s="17" t="str">
        <x:v>Line</x:v>
      </x:c>
      <x:c r="E161" s="39" t="n">
        <x:f>COUNTA('CoverageCases'!$D$2538:$D$2563,'CoverageCases'!$D$3392:$D$3417)</x:f>
        <x:v>52</x:v>
      </x:c>
      <x:c r="F161" s="39" t="n">
        <x:f>COUNT('CoverageCases'!$O$2538:$O$2563,'CoverageCases'!$O$3392:$O$3417)</x:f>
        <x:v>52</x:v>
      </x:c>
      <x:c r="G161" s="39" t="n">
        <x:f>COUNTIF('CoverageCases'!$G$2538:$G$2563,"A")+COUNTIF('CoverageCases'!$G$3392:$G$3417,"A")</x:f>
        <x:v>0</x:v>
      </x:c>
      <x:c r="H161" s="39" t="n">
        <x:f>COUNTIF('CoverageCases'!$G$2538:$G$2563,"B")+COUNTIF('CoverageCases'!$G$3392:$G$3417,"B")</x:f>
        <x:v>0</x:v>
      </x:c>
      <x:c r="I161" s="39" t="n">
        <x:f>COUNTIF('CoverageCases'!$G$2538:$G$2563,"UNRESOLVED")+COUNTIF('CoverageCases'!$G$3392:$G$3417,"UNRESOLVED")</x:f>
        <x:v>0</x:v>
      </x:c>
      <x:c r="J161" s="32" t="n">
        <x:f>IF(F161=0,"—",(SUM('CoverageCases'!$O$2538:$O$2563,'CoverageCases'!$O$3392:$O$3417))/F161/100)</x:f>
        <x:v>0.47730000000000006</x:v>
      </x:c>
      <x:c r="K161" s="32" t="n">
        <x:f>IF(I161&gt;0,"Pending",IF(E161-H161=0,"—",(SUM('CoverageCases'!$O$2538:$O$2563,'CoverageCases'!$O$3392:$O$3417))/(E161-H161)/100))</x:f>
        <x:v>0.47730000000000006</x:v>
      </x:c>
      <x:c r="L161" s="32" t="n">
        <x:f>IF(I161&gt;0,"Pending",IF(E161=0,"—",(E161-G161)/E161))</x:f>
        <x:v>1</x:v>
      </x:c>
      <x:c r="M161" s="39" t="n">
        <x:f>IF(I161&gt;0,"Pending",E161-H161)</x:f>
        <x:v>52</x:v>
      </x:c>
    </x:row>
    <x:row r="162" ht="23" customHeight="1">
      <x:c r="B162" s="17" t="str">
        <x:v>Time</x:v>
      </x:c>
      <x:c r="C162" s="17" t="str">
        <x:v>All rounds</x:v>
      </x:c>
      <x:c r="D162" s="17" t="str">
        <x:v>Condition</x:v>
      </x:c>
      <x:c r="E162" s="39" t="n">
        <x:f>COUNTA('CoverageCases'!$D$4246:$D$4271,'CoverageCases'!$D$5100:$D$5125)</x:f>
        <x:v>52</x:v>
      </x:c>
      <x:c r="F162" s="39" t="n">
        <x:f>COUNT('CoverageCases'!$O$4246:$O$4271,'CoverageCases'!$O$5100:$O$5125)</x:f>
        <x:v>52</x:v>
      </x:c>
      <x:c r="G162" s="39" t="n">
        <x:f>COUNTIF('CoverageCases'!$G$4246:$G$4271,"A")+COUNTIF('CoverageCases'!$G$5100:$G$5125,"A")</x:f>
        <x:v>0</x:v>
      </x:c>
      <x:c r="H162" s="39" t="n">
        <x:f>COUNTIF('CoverageCases'!$G$4246:$G$4271,"B")+COUNTIF('CoverageCases'!$G$5100:$G$5125,"B")</x:f>
        <x:v>0</x:v>
      </x:c>
      <x:c r="I162" s="39" t="n">
        <x:f>COUNTIF('CoverageCases'!$G$4246:$G$4271,"UNRESOLVED")+COUNTIF('CoverageCases'!$G$5100:$G$5125,"UNRESOLVED")</x:f>
        <x:v>0</x:v>
      </x:c>
      <x:c r="J162" s="32" t="n">
        <x:f>IF(F162=0,"—",(SUM('CoverageCases'!$O$4246:$O$4271,'CoverageCases'!$O$5100:$O$5125))/F162/100)</x:f>
        <x:v>0.3275038461538462</x:v>
      </x:c>
      <x:c r="K162" s="32" t="n">
        <x:f>IF(I162&gt;0,"Pending",IF(E162-H162=0,"—",(SUM('CoverageCases'!$O$4246:$O$4271,'CoverageCases'!$O$5100:$O$5125))/(E162-H162)/100))</x:f>
        <x:v>0.3275038461538462</x:v>
      </x:c>
      <x:c r="L162" s="32" t="n">
        <x:f>IF(I162&gt;0,"Pending",IF(E162=0,"—",(E162-G162)/E162))</x:f>
        <x:v>1</x:v>
      </x:c>
      <x:c r="M162" s="39" t="n">
        <x:f>IF(I162&gt;0,"Pending",E162-H162)</x:f>
        <x:v>52</x:v>
      </x:c>
    </x:row>
    <x:row r="163" ht="23" customHeight="1">
      <x:c r="B163" s="17" t="str">
        <x:v>Time</x:v>
      </x:c>
      <x:c r="C163" s="17" t="str">
        <x:v>Round1</x:v>
      </x:c>
      <x:c r="D163" s="17" t="str">
        <x:v>Coverage</x:v>
      </x:c>
      <x:c r="E163" s="39" t="n">
        <x:f>COUNTA('CoverageCases'!$D$830:$D$855)</x:f>
        <x:v>26</x:v>
      </x:c>
      <x:c r="F163" s="39" t="n">
        <x:f>COUNT('CoverageCases'!$O$830:$O$855)</x:f>
        <x:v>26</x:v>
      </x:c>
      <x:c r="G163" s="39" t="n">
        <x:f>COUNTIF('CoverageCases'!$G$830:$G$855,"A")</x:f>
        <x:v>0</x:v>
      </x:c>
      <x:c r="H163" s="39" t="n">
        <x:f>COUNTIF('CoverageCases'!$G$830:$G$855,"B")</x:f>
        <x:v>0</x:v>
      </x:c>
      <x:c r="I163" s="39" t="n">
        <x:f>COUNTIF('CoverageCases'!$G$830:$G$855,"UNRESOLVED")</x:f>
        <x:v>0</x:v>
      </x:c>
      <x:c r="J163" s="32" t="n">
        <x:f>IF(F163=0,"—",(SUM('CoverageCases'!$O$830:$O$855))/F163/100)</x:f>
        <x:v>0.34480000000000005</x:v>
      </x:c>
      <x:c r="K163" s="32" t="n">
        <x:f>IF(I163&gt;0,"Pending",IF(E163-H163=0,"—",(SUM('CoverageCases'!$O$830:$O$855))/(E163-H163)/100))</x:f>
        <x:v>0.34480000000000005</x:v>
      </x:c>
      <x:c r="L163" s="32" t="n">
        <x:f>IF(I163&gt;0,"Pending",IF(E163=0,"—",(E163-G163)/E163))</x:f>
        <x:v>1</x:v>
      </x:c>
      <x:c r="M163" s="39" t="n">
        <x:f>IF(I163&gt;0,"Pending",E163-H163)</x:f>
        <x:v>26</x:v>
      </x:c>
    </x:row>
    <x:row r="164" ht="23" customHeight="1">
      <x:c r="B164" s="17" t="str">
        <x:v>Time</x:v>
      </x:c>
      <x:c r="C164" s="17" t="str">
        <x:v>Round1</x:v>
      </x:c>
      <x:c r="D164" s="17" t="str">
        <x:v>Line</x:v>
      </x:c>
      <x:c r="E164" s="39" t="n">
        <x:f>COUNTA('CoverageCases'!$D$2538:$D$2563)</x:f>
        <x:v>26</x:v>
      </x:c>
      <x:c r="F164" s="39" t="n">
        <x:f>COUNT('CoverageCases'!$O$2538:$O$2563)</x:f>
        <x:v>26</x:v>
      </x:c>
      <x:c r="G164" s="39" t="n">
        <x:f>COUNTIF('CoverageCases'!$G$2538:$G$2563,"A")</x:f>
        <x:v>0</x:v>
      </x:c>
      <x:c r="H164" s="39" t="n">
        <x:f>COUNTIF('CoverageCases'!$G$2538:$G$2563,"B")</x:f>
        <x:v>0</x:v>
      </x:c>
      <x:c r="I164" s="39" t="n">
        <x:f>COUNTIF('CoverageCases'!$G$2538:$G$2563,"UNRESOLVED")</x:f>
        <x:v>0</x:v>
      </x:c>
      <x:c r="J164" s="32" t="n">
        <x:f>IF(F164=0,"—",(SUM('CoverageCases'!$O$2538:$O$2563))/F164/100)</x:f>
        <x:v>0.39251153846153847</x:v>
      </x:c>
      <x:c r="K164" s="32" t="n">
        <x:f>IF(I164&gt;0,"Pending",IF(E164-H164=0,"—",(SUM('CoverageCases'!$O$2538:$O$2563))/(E164-H164)/100))</x:f>
        <x:v>0.39251153846153847</x:v>
      </x:c>
      <x:c r="L164" s="32" t="n">
        <x:f>IF(I164&gt;0,"Pending",IF(E164=0,"—",(E164-G164)/E164))</x:f>
        <x:v>1</x:v>
      </x:c>
      <x:c r="M164" s="39" t="n">
        <x:f>IF(I164&gt;0,"Pending",E164-H164)</x:f>
        <x:v>26</x:v>
      </x:c>
    </x:row>
    <x:row r="165" ht="23" customHeight="1">
      <x:c r="B165" s="17" t="str">
        <x:v>Time</x:v>
      </x:c>
      <x:c r="C165" s="17" t="str">
        <x:v>Round1</x:v>
      </x:c>
      <x:c r="D165" s="17" t="str">
        <x:v>Condition</x:v>
      </x:c>
      <x:c r="E165" s="39" t="n">
        <x:f>COUNTA('CoverageCases'!$D$4246:$D$4271)</x:f>
        <x:v>26</x:v>
      </x:c>
      <x:c r="F165" s="39" t="n">
        <x:f>COUNT('CoverageCases'!$O$4246:$O$4271)</x:f>
        <x:v>26</x:v>
      </x:c>
      <x:c r="G165" s="39" t="n">
        <x:f>COUNTIF('CoverageCases'!$G$4246:$G$4271,"A")</x:f>
        <x:v>0</x:v>
      </x:c>
      <x:c r="H165" s="39" t="n">
        <x:f>COUNTIF('CoverageCases'!$G$4246:$G$4271,"B")</x:f>
        <x:v>0</x:v>
      </x:c>
      <x:c r="I165" s="39" t="n">
        <x:f>COUNTIF('CoverageCases'!$G$4246:$G$4271,"UNRESOLVED")</x:f>
        <x:v>0</x:v>
      </x:c>
      <x:c r="J165" s="32" t="n">
        <x:f>IF(F165=0,"—",(SUM('CoverageCases'!$O$4246:$O$4271))/F165/100)</x:f>
        <x:v>0.23835769230769238</x:v>
      </x:c>
      <x:c r="K165" s="32" t="n">
        <x:f>IF(I165&gt;0,"Pending",IF(E165-H165=0,"—",(SUM('CoverageCases'!$O$4246:$O$4271))/(E165-H165)/100))</x:f>
        <x:v>0.23835769230769238</x:v>
      </x:c>
      <x:c r="L165" s="32" t="n">
        <x:f>IF(I165&gt;0,"Pending",IF(E165=0,"—",(E165-G165)/E165))</x:f>
        <x:v>1</x:v>
      </x:c>
      <x:c r="M165" s="39" t="n">
        <x:f>IF(I165&gt;0,"Pending",E165-H165)</x:f>
        <x:v>26</x:v>
      </x:c>
    </x:row>
    <x:row r="166" ht="23" customHeight="1">
      <x:c r="B166" s="17" t="str">
        <x:v>Time</x:v>
      </x:c>
      <x:c r="C166" s="17" t="str">
        <x:v>Round2</x:v>
      </x:c>
      <x:c r="D166" s="17" t="str">
        <x:v>Coverage</x:v>
      </x:c>
      <x:c r="E166" s="39" t="n">
        <x:f>COUNTA('CoverageCases'!$D$1684:$D$1709)</x:f>
        <x:v>26</x:v>
      </x:c>
      <x:c r="F166" s="39" t="n">
        <x:f>COUNT('CoverageCases'!$O$1684:$O$1709)</x:f>
        <x:v>26</x:v>
      </x:c>
      <x:c r="G166" s="39" t="n">
        <x:f>COUNTIF('CoverageCases'!$G$1684:$G$1709,"A")</x:f>
        <x:v>0</x:v>
      </x:c>
      <x:c r="H166" s="39" t="n">
        <x:f>COUNTIF('CoverageCases'!$G$1684:$G$1709,"B")</x:f>
        <x:v>0</x:v>
      </x:c>
      <x:c r="I166" s="39" t="n">
        <x:f>COUNTIF('CoverageCases'!$G$1684:$G$1709,"UNRESOLVED")</x:f>
        <x:v>0</x:v>
      </x:c>
      <x:c r="J166" s="32" t="n">
        <x:f>IF(F166=0,"—",(SUM('CoverageCases'!$O$1684:$O$1709))/F166/100)</x:f>
        <x:v>0.5171423076923076</x:v>
      </x:c>
      <x:c r="K166" s="32" t="n">
        <x:f>IF(I166&gt;0,"Pending",IF(E166-H166=0,"—",(SUM('CoverageCases'!$O$1684:$O$1709))/(E166-H166)/100))</x:f>
        <x:v>0.5171423076923076</x:v>
      </x:c>
      <x:c r="L166" s="32" t="n">
        <x:f>IF(I166&gt;0,"Pending",IF(E166=0,"—",(E166-G166)/E166))</x:f>
        <x:v>1</x:v>
      </x:c>
      <x:c r="M166" s="39" t="n">
        <x:f>IF(I166&gt;0,"Pending",E166-H166)</x:f>
        <x:v>26</x:v>
      </x:c>
    </x:row>
    <x:row r="167" ht="23" customHeight="1">
      <x:c r="B167" s="17" t="str">
        <x:v>Time</x:v>
      </x:c>
      <x:c r="C167" s="17" t="str">
        <x:v>Round2</x:v>
      </x:c>
      <x:c r="D167" s="17" t="str">
        <x:v>Line</x:v>
      </x:c>
      <x:c r="E167" s="39" t="n">
        <x:f>COUNTA('CoverageCases'!$D$3392:$D$3417)</x:f>
        <x:v>26</x:v>
      </x:c>
      <x:c r="F167" s="39" t="n">
        <x:f>COUNT('CoverageCases'!$O$3392:$O$3417)</x:f>
        <x:v>26</x:v>
      </x:c>
      <x:c r="G167" s="39" t="n">
        <x:f>COUNTIF('CoverageCases'!$G$3392:$G$3417,"A")</x:f>
        <x:v>0</x:v>
      </x:c>
      <x:c r="H167" s="39" t="n">
        <x:f>COUNTIF('CoverageCases'!$G$3392:$G$3417,"B")</x:f>
        <x:v>0</x:v>
      </x:c>
      <x:c r="I167" s="39" t="n">
        <x:f>COUNTIF('CoverageCases'!$G$3392:$G$3417,"UNRESOLVED")</x:f>
        <x:v>0</x:v>
      </x:c>
      <x:c r="J167" s="32" t="n">
        <x:f>IF(F167=0,"—",(SUM('CoverageCases'!$O$3392:$O$3417))/F167/100)</x:f>
        <x:v>0.5620884615384615</x:v>
      </x:c>
      <x:c r="K167" s="32" t="n">
        <x:f>IF(I167&gt;0,"Pending",IF(E167-H167=0,"—",(SUM('CoverageCases'!$O$3392:$O$3417))/(E167-H167)/100))</x:f>
        <x:v>0.5620884615384615</x:v>
      </x:c>
      <x:c r="L167" s="32" t="n">
        <x:f>IF(I167&gt;0,"Pending",IF(E167=0,"—",(E167-G167)/E167))</x:f>
        <x:v>1</x:v>
      </x:c>
      <x:c r="M167" s="39" t="n">
        <x:f>IF(I167&gt;0,"Pending",E167-H167)</x:f>
        <x:v>26</x:v>
      </x:c>
    </x:row>
    <x:row r="168" ht="23" customHeight="1">
      <x:c r="B168" s="17" t="str">
        <x:v>Time</x:v>
      </x:c>
      <x:c r="C168" s="17" t="str">
        <x:v>Round2</x:v>
      </x:c>
      <x:c r="D168" s="17" t="str">
        <x:v>Condition</x:v>
      </x:c>
      <x:c r="E168" s="39" t="n">
        <x:f>COUNTA('CoverageCases'!$D$5100:$D$5125)</x:f>
        <x:v>26</x:v>
      </x:c>
      <x:c r="F168" s="39" t="n">
        <x:f>COUNT('CoverageCases'!$O$5100:$O$5125)</x:f>
        <x:v>26</x:v>
      </x:c>
      <x:c r="G168" s="39" t="n">
        <x:f>COUNTIF('CoverageCases'!$G$5100:$G$5125,"A")</x:f>
        <x:v>0</x:v>
      </x:c>
      <x:c r="H168" s="39" t="n">
        <x:f>COUNTIF('CoverageCases'!$G$5100:$G$5125,"B")</x:f>
        <x:v>0</x:v>
      </x:c>
      <x:c r="I168" s="39" t="n">
        <x:f>COUNTIF('CoverageCases'!$G$5100:$G$5125,"UNRESOLVED")</x:f>
        <x:v>0</x:v>
      </x:c>
      <x:c r="J168" s="32" t="n">
        <x:f>IF(F168=0,"—",(SUM('CoverageCases'!$O$5100:$O$5125))/F168/100)</x:f>
        <x:v>0.4166499999999999</x:v>
      </x:c>
      <x:c r="K168" s="32" t="n">
        <x:f>IF(I168&gt;0,"Pending",IF(E168-H168=0,"—",(SUM('CoverageCases'!$O$5100:$O$5125))/(E168-H168)/100))</x:f>
        <x:v>0.4166499999999999</x:v>
      </x:c>
      <x:c r="L168" s="32" t="n">
        <x:f>IF(I168&gt;0,"Pending",IF(E168=0,"—",(E168-G168)/E168))</x:f>
        <x:v>1</x:v>
      </x:c>
      <x:c r="M168" s="39" t="n">
        <x:f>IF(I168&gt;0,"Pending",E168-H168)</x:f>
        <x:v>26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64" hidden="0" customWidth="1"/>
    <x:col min="14" max="14" width="64" hidden="0" customWidth="1"/>
    <x:col min="15" max="15" width="22" hidden="0" customWidth="1"/>
    <x:col min="16" max="16" width="24" hidden="0" customWidth="1"/>
    <x:col min="17" max="17" width="64" hidden="0" customWidth="1"/>
  </x:cols>
  <x:sheetData>
    <x:row r="1" ht="42" customHeight="1">
      <x:c r="A1" s="37" t="str">
        <x:v>Method</x:v>
      </x:c>
      <x:c r="B1" s="37" t="str">
        <x:v>Project</x:v>
      </x:c>
      <x:c r="C1" s="37" t="str">
        <x:v>Round</x:v>
      </x:c>
      <x:c r="D1" s="37" t="str">
        <x:v>Target</x:v>
      </x:c>
      <x:c r="E1" s="37" t="str">
        <x:v>Metric</x:v>
      </x:c>
      <x:c r="F1" s="37" t="str">
        <x:v>Measurable total</x:v>
      </x:c>
      <x:c r="G1" s="37" t="str">
        <x:v>Class</x:v>
      </x:c>
      <x:c r="H1" s="37" t="str">
        <x:v>Raw coverage (%)</x:v>
      </x:c>
      <x:c r="I1" s="37" t="str">
        <x:v>Coverage status</x:v>
      </x:c>
      <x:c r="J1" s="37" t="str">
        <x:v>Compile</x:v>
      </x:c>
      <x:c r="K1" s="37" t="str">
        <x:v>Test compile</x:v>
      </x:c>
      <x:c r="L1" s="37" t="str">
        <x:v>Buggy result</x:v>
      </x:c>
      <x:c r="M1" s="37" t="str">
        <x:v>Reason</x:v>
      </x:c>
      <x:c r="N1" s="37" t="str">
        <x:v>Coverage source</x:v>
      </x:c>
      <x:c r="O1" s="37" t="str">
        <x:v>Eligible coverage (%)</x:v>
      </x:c>
      <x:c r="P1" s="37" t="str">
        <x:v>Latest verdict</x:v>
      </x:c>
      <x:c r="Q1" s="37" t="str">
        <x:v>Verdict source</x:v>
      </x:c>
    </x:row>
    <x:row r="2">
      <x:c r="A2" s="34" t="str">
        <x:v>randoop</x:v>
      </x:c>
      <x:c r="B2" s="34" t="str">
        <x:v>Chart</x:v>
      </x:c>
      <x:c r="C2" s="34" t="str">
        <x:v>Round1</x:v>
      </x:c>
      <x:c r="D2" s="34" t="str">
        <x:v>Chart_1</x:v>
      </x:c>
      <x:c r="E2" s="34" t="str">
        <x:v>Coverage</x:v>
      </x:c>
      <x:c r="F2" s="34" t="n">
        <x:v>816</x:v>
      </x:c>
      <x:c r="G2" s="34" t="str">
        <x:v>RECORDED</x:v>
      </x:c>
      <x:c r="H2" s="38" t="n">
        <x:f>IF(ISNUMBER('Data'!G2),'Data'!G2*100,"")</x:f>
        <x:v>0</x:v>
      </x:c>
      <x:c r="I2" s="34" t="str">
        <x:v>PASS</x:v>
      </x:c>
      <x:c r="J2" s="34" t="str">
        <x:v>PASS</x:v>
      </x:c>
      <x:c r="K2" s="34" t="str">
        <x:v>PASS</x:v>
      </x:c>
      <x:c r="L2" s="34" t="str">
        <x:v>PASS</x:v>
      </x:c>
      <x:c r="M2" s="34" t="str">
        <x:v>numeric coverage for applicable metric</x:v>
      </x:c>
      <x:c r="N2" s="34" t="str">
        <x:v>Feedback-Directed Random Test Generation/Result/Chart_1/result.json</x:v>
      </x:c>
      <x:c r="O2" s="38" t="n">
        <x:f>IF(AND(G2="RECORDED",ISNUMBER(H2)),H2,"")</x:f>
        <x:v>0</x:v>
      </x:c>
      <x:c r="P2" s="34" t="str">
        <x:v>NOT_REVEALING</x:v>
      </x:c>
      <x:c r="Q2" s="34" t="str">
        <x:v>Feedback-Directed Random Test Generation/Result/Chart_1/result.json</x:v>
      </x:c>
    </x:row>
    <x:row r="3">
      <x:c r="A3" s="34" t="str">
        <x:v>randoop</x:v>
      </x:c>
      <x:c r="B3" s="34" t="str">
        <x:v>Chart</x:v>
      </x:c>
      <x:c r="C3" s="34" t="str">
        <x:v>Round1</x:v>
      </x:c>
      <x:c r="D3" s="34" t="str">
        <x:v>Chart_2</x:v>
      </x:c>
      <x:c r="E3" s="34" t="str">
        <x:v>Coverage</x:v>
      </x:c>
      <x:c r="F3" s="34" t="n">
        <x:v>1345</x:v>
      </x:c>
      <x:c r="G3" s="34" t="str">
        <x:v>RECORDED</x:v>
      </x:c>
      <x:c r="H3" s="38" t="n">
        <x:f>IF(ISNUMBER('Data'!G3),'Data'!G3*100,"")</x:f>
        <x:v>37.4</x:v>
      </x:c>
      <x:c r="I3" s="34" t="str">
        <x:v>PASS</x:v>
      </x:c>
      <x:c r="J3" s="34" t="str">
        <x:v>PASS</x:v>
      </x:c>
      <x:c r="K3" s="34" t="str">
        <x:v>PASS</x:v>
      </x:c>
      <x:c r="L3" s="34" t="str">
        <x:v>FAIL</x:v>
      </x:c>
      <x:c r="M3" s="34" t="str">
        <x:v>numeric coverage for applicable metric</x:v>
      </x:c>
      <x:c r="N3" s="34" t="str">
        <x:v>Feedback-Directed Random Test Generation/Result/Chart_2/result.json</x:v>
      </x:c>
      <x:c r="O3" s="38" t="n">
        <x:f>IF(AND(G3="RECORDED",ISNUMBER(H3)),H3,"")</x:f>
        <x:v>37.4</x:v>
      </x:c>
      <x:c r="P3" s="34" t="str">
        <x:v>INCONCLUSIVE</x:v>
      </x:c>
      <x:c r="Q3" s="34" t="str">
        <x:v>Feedback-Directed Random Test Generation/Result/Chart_2/result.json</x:v>
      </x:c>
    </x:row>
    <x:row r="4">
      <x:c r="A4" s="34" t="str">
        <x:v>randoop</x:v>
      </x:c>
      <x:c r="B4" s="34" t="str">
        <x:v>Chart</x:v>
      </x:c>
      <x:c r="C4" s="34" t="str">
        <x:v>Round1</x:v>
      </x:c>
      <x:c r="D4" s="34" t="str">
        <x:v>Chart_3</x:v>
      </x:c>
      <x:c r="E4" s="34" t="str">
        <x:v>Coverage</x:v>
      </x:c>
      <x:c r="F4" s="34" t="n">
        <x:v>566</x:v>
      </x:c>
      <x:c r="G4" s="34" t="str">
        <x:v>RECORDED</x:v>
      </x:c>
      <x:c r="H4" s="38" t="n">
        <x:f>IF(ISNUMBER('Data'!G4),'Data'!G4*100,"")</x:f>
        <x:v>26.5</x:v>
      </x:c>
      <x:c r="I4" s="34" t="str">
        <x:v>PASS</x:v>
      </x:c>
      <x:c r="J4" s="34" t="str">
        <x:v>PASS</x:v>
      </x:c>
      <x:c r="K4" s="34" t="str">
        <x:v>PASS</x:v>
      </x:c>
      <x:c r="L4" s="34" t="str">
        <x:v>PASS</x:v>
      </x:c>
      <x:c r="M4" s="34" t="str">
        <x:v>numeric coverage for applicable metric</x:v>
      </x:c>
      <x:c r="N4" s="34" t="str">
        <x:v>Feedback-Directed Random Test Generation/Result/Chart_3/result.json</x:v>
      </x:c>
      <x:c r="O4" s="38" t="n">
        <x:f>IF(AND(G4="RECORDED",ISNUMBER(H4)),H4,"")</x:f>
        <x:v>26.5</x:v>
      </x:c>
      <x:c r="P4" s="34" t="str">
        <x:v>NOT_REVEALING</x:v>
      </x:c>
      <x:c r="Q4" s="34" t="str">
        <x:v>Feedback-Directed Random Test Generation/Result/Chart_3/result.json</x:v>
      </x:c>
    </x:row>
    <x:row r="5">
      <x:c r="A5" s="34" t="str">
        <x:v>randoop</x:v>
      </x:c>
      <x:c r="B5" s="34" t="str">
        <x:v>Chart</x:v>
      </x:c>
      <x:c r="C5" s="34" t="str">
        <x:v>Round1</x:v>
      </x:c>
      <x:c r="D5" s="34" t="str">
        <x:v>Chart_4</x:v>
      </x:c>
      <x:c r="E5" s="34" t="str">
        <x:v>Coverage</x:v>
      </x:c>
      <x:c r="F5" s="34" t="n">
        <x:v>2772</x:v>
      </x:c>
      <x:c r="G5" s="34" t="str">
        <x:v>RECORDED</x:v>
      </x:c>
      <x:c r="H5" s="38" t="n">
        <x:f>IF(ISNUMBER('Data'!G5),'Data'!G5*100,"")</x:f>
        <x:v>46</x:v>
      </x:c>
      <x:c r="I5" s="34" t="str">
        <x:v>PASS</x:v>
      </x:c>
      <x:c r="J5" s="34" t="str">
        <x:v>PASS</x:v>
      </x:c>
      <x:c r="K5" s="34" t="str">
        <x:v>PASS</x:v>
      </x:c>
      <x:c r="L5" s="34" t="str">
        <x:v>FAIL</x:v>
      </x:c>
      <x:c r="M5" s="34" t="str">
        <x:v>numeric coverage for applicable metric</x:v>
      </x:c>
      <x:c r="N5" s="34" t="str">
        <x:v>Feedback-Directed Random Test Generation/Result/Chart_4/result.json</x:v>
      </x:c>
      <x:c r="O5" s="38" t="n">
        <x:f>IF(AND(G5="RECORDED",ISNUMBER(H5)),H5,"")</x:f>
        <x:v>46</x:v>
      </x:c>
      <x:c r="P5" s="34" t="str">
        <x:v>INCONCLUSIVE</x:v>
      </x:c>
      <x:c r="Q5" s="34" t="str">
        <x:v>Feedback-Directed Random Test Generation/Result/Chart_4/result.json</x:v>
      </x:c>
    </x:row>
    <x:row r="6">
      <x:c r="A6" s="34" t="str">
        <x:v>randoop</x:v>
      </x:c>
      <x:c r="B6" s="34" t="str">
        <x:v>Chart</x:v>
      </x:c>
      <x:c r="C6" s="34" t="str">
        <x:v>Round1</x:v>
      </x:c>
      <x:c r="D6" s="34" t="str">
        <x:v>Chart_5</x:v>
      </x:c>
      <x:c r="E6" s="34" t="str">
        <x:v>Coverage</x:v>
      </x:c>
      <x:c r="F6" s="34" t="n">
        <x:v>252</x:v>
      </x:c>
      <x:c r="G6" s="34" t="str">
        <x:v>RECORDED</x:v>
      </x:c>
      <x:c r="H6" s="38" t="n">
        <x:f>IF(ISNUMBER('Data'!G6),'Data'!G6*100,"")</x:f>
        <x:v>84.52</x:v>
      </x:c>
      <x:c r="I6" s="34" t="str">
        <x:v>PASS</x:v>
      </x:c>
      <x:c r="J6" s="34" t="str">
        <x:v>PASS</x:v>
      </x:c>
      <x:c r="K6" s="34" t="str">
        <x:v>PASS</x:v>
      </x:c>
      <x:c r="L6" s="34" t="str">
        <x:v>PASS</x:v>
      </x:c>
      <x:c r="M6" s="34" t="str">
        <x:v>numeric coverage for applicable metric</x:v>
      </x:c>
      <x:c r="N6" s="34" t="str">
        <x:v>Feedback-Directed Random Test Generation/Result/Chart_5/result.json</x:v>
      </x:c>
      <x:c r="O6" s="38" t="n">
        <x:f>IF(AND(G6="RECORDED",ISNUMBER(H6)),H6,"")</x:f>
        <x:v>84.52</x:v>
      </x:c>
      <x:c r="P6" s="34" t="str">
        <x:v>INCONCLUSIVE</x:v>
      </x:c>
      <x:c r="Q6" s="34" t="str">
        <x:v>Feedback-Directed Random Test Generation/Result/Chart_5/result.json</x:v>
      </x:c>
    </x:row>
    <x:row r="7">
      <x:c r="A7" s="34" t="str">
        <x:v>randoop</x:v>
      </x:c>
      <x:c r="B7" s="34" t="str">
        <x:v>Chart</x:v>
      </x:c>
      <x:c r="C7" s="34" t="str">
        <x:v>Round1</x:v>
      </x:c>
      <x:c r="D7" s="34" t="str">
        <x:v>Chart_6</x:v>
      </x:c>
      <x:c r="E7" s="34" t="str">
        <x:v>Coverage</x:v>
      </x:c>
      <x:c r="F7" s="34" t="n">
        <x:v>41</x:v>
      </x:c>
      <x:c r="G7" s="34" t="str">
        <x:v>RECORDED</x:v>
      </x:c>
      <x:c r="H7" s="38" t="n">
        <x:f>IF(ISNUMBER('Data'!G7),'Data'!G7*100,"")</x:f>
        <x:v>34.15</x:v>
      </x:c>
      <x:c r="I7" s="34" t="str">
        <x:v>PASS</x:v>
      </x:c>
      <x:c r="J7" s="34" t="str">
        <x:v>PASS</x:v>
      </x:c>
      <x:c r="K7" s="34" t="str">
        <x:v>PASS</x:v>
      </x:c>
      <x:c r="L7" s="34" t="str">
        <x:v>FAIL</x:v>
      </x:c>
      <x:c r="M7" s="34" t="str">
        <x:v>numeric coverage for applicable metric</x:v>
      </x:c>
      <x:c r="N7" s="34" t="str">
        <x:v>Feedback-Directed Random Test Generation/Result/Chart_6/result.json</x:v>
      </x:c>
      <x:c r="O7" s="38" t="n">
        <x:f>IF(AND(G7="RECORDED",ISNUMBER(H7)),H7,"")</x:f>
        <x:v>34.15</x:v>
      </x:c>
      <x:c r="P7" s="34" t="str">
        <x:v>INCONCLUSIVE</x:v>
      </x:c>
      <x:c r="Q7" s="34" t="str">
        <x:v>Feedback-Directed Random Test Generation/Result/Chart_6/result.json</x:v>
      </x:c>
    </x:row>
    <x:row r="8">
      <x:c r="A8" s="34" t="str">
        <x:v>randoop</x:v>
      </x:c>
      <x:c r="B8" s="34" t="str">
        <x:v>Chart</x:v>
      </x:c>
      <x:c r="C8" s="34" t="str">
        <x:v>Round1</x:v>
      </x:c>
      <x:c r="D8" s="34" t="str">
        <x:v>Chart_7</x:v>
      </x:c>
      <x:c r="E8" s="34" t="str">
        <x:v>Coverage</x:v>
      </x:c>
      <x:c r="F8" s="34" t="n">
        <x:v>213</x:v>
      </x:c>
      <x:c r="G8" s="34" t="str">
        <x:v>RECORDED</x:v>
      </x:c>
      <x:c r="H8" s="38" t="n">
        <x:f>IF(ISNUMBER('Data'!G8),'Data'!G8*100,"")</x:f>
        <x:v>41.78</x:v>
      </x:c>
      <x:c r="I8" s="34" t="str">
        <x:v>PASS</x:v>
      </x:c>
      <x:c r="J8" s="34" t="str">
        <x:v>PASS</x:v>
      </x:c>
      <x:c r="K8" s="34" t="str">
        <x:v>PASS</x:v>
      </x:c>
      <x:c r="L8" s="34" t="str">
        <x:v>PASS</x:v>
      </x:c>
      <x:c r="M8" s="34" t="str">
        <x:v>numeric coverage for applicable metric</x:v>
      </x:c>
      <x:c r="N8" s="34" t="str">
        <x:v>Feedback-Directed Random Test Generation/Result/Chart_7/result.json</x:v>
      </x:c>
      <x:c r="O8" s="38" t="n">
        <x:f>IF(AND(G8="RECORDED",ISNUMBER(H8)),H8,"")</x:f>
        <x:v>41.78</x:v>
      </x:c>
      <x:c r="P8" s="34" t="str">
        <x:v>NOT_REVEALING</x:v>
      </x:c>
      <x:c r="Q8" s="34" t="str">
        <x:v>Feedback-Directed Random Test Generation/Result/Chart_7/result.json</x:v>
      </x:c>
    </x:row>
    <x:row r="9">
      <x:c r="A9" s="34" t="str">
        <x:v>randoop</x:v>
      </x:c>
      <x:c r="B9" s="34" t="str">
        <x:v>Chart</x:v>
      </x:c>
      <x:c r="C9" s="34" t="str">
        <x:v>Round1</x:v>
      </x:c>
      <x:c r="D9" s="34" t="str">
        <x:v>Chart_8</x:v>
      </x:c>
      <x:c r="E9" s="34" t="str">
        <x:v>Coverage</x:v>
      </x:c>
      <x:c r="F9" s="34" t="n">
        <x:v>230</x:v>
      </x:c>
      <x:c r="G9" s="34" t="str">
        <x:v>RECORDED</x:v>
      </x:c>
      <x:c r="H9" s="38" t="n">
        <x:f>IF(ISNUMBER('Data'!G9),'Data'!G9*100,"")</x:f>
        <x:v>84.78</x:v>
      </x:c>
      <x:c r="I9" s="34" t="str">
        <x:v>PASS</x:v>
      </x:c>
      <x:c r="J9" s="34" t="str">
        <x:v>PASS</x:v>
      </x:c>
      <x:c r="K9" s="34" t="str">
        <x:v>PASS</x:v>
      </x:c>
      <x:c r="L9" s="34" t="str">
        <x:v>FAIL</x:v>
      </x:c>
      <x:c r="M9" s="34" t="str">
        <x:v>numeric coverage for applicable metric</x:v>
      </x:c>
      <x:c r="N9" s="34" t="str">
        <x:v>Feedback-Directed Random Test Generation/Result/Chart_8/result.json</x:v>
      </x:c>
      <x:c r="O9" s="38" t="n">
        <x:f>IF(AND(G9="RECORDED",ISNUMBER(H9)),H9,"")</x:f>
        <x:v>84.78</x:v>
      </x:c>
      <x:c r="P9" s="34" t="str">
        <x:v>INCONCLUSIVE</x:v>
      </x:c>
      <x:c r="Q9" s="34" t="str">
        <x:v>Feedback-Directed Random Test Generation/Result/Chart_8/result.json</x:v>
      </x:c>
    </x:row>
    <x:row r="10">
      <x:c r="A10" s="34" t="str">
        <x:v>randoop</x:v>
      </x:c>
      <x:c r="B10" s="34" t="str">
        <x:v>Chart</x:v>
      </x:c>
      <x:c r="C10" s="34" t="str">
        <x:v>Round1</x:v>
      </x:c>
      <x:c r="D10" s="34" t="str">
        <x:v>Chart_9</x:v>
      </x:c>
      <x:c r="E10" s="34" t="str">
        <x:v>Coverage</x:v>
      </x:c>
      <x:c r="F10" s="34" t="n">
        <x:v>417</x:v>
      </x:c>
      <x:c r="G10" s="34" t="str">
        <x:v>RECORDED</x:v>
      </x:c>
      <x:c r="H10" s="38" t="n">
        <x:f>IF(ISNUMBER('Data'!G10),'Data'!G10*100,"")</x:f>
        <x:v>42.21</x:v>
      </x:c>
      <x:c r="I10" s="34" t="str">
        <x:v>PASS</x:v>
      </x:c>
      <x:c r="J10" s="34" t="str">
        <x:v>PASS</x:v>
      </x:c>
      <x:c r="K10" s="34" t="str">
        <x:v>PASS</x:v>
      </x:c>
      <x:c r="L10" s="34" t="str">
        <x:v>FAIL</x:v>
      </x:c>
      <x:c r="M10" s="34" t="str">
        <x:v>numeric coverage for applicable metric</x:v>
      </x:c>
      <x:c r="N10" s="34" t="str">
        <x:v>Feedback-Directed Random Test Generation/Result/Chart_9/result.json</x:v>
      </x:c>
      <x:c r="O10" s="38" t="n">
        <x:f>IF(AND(G10="RECORDED",ISNUMBER(H10)),H10,"")</x:f>
        <x:v>42.21</x:v>
      </x:c>
      <x:c r="P10" s="34" t="str">
        <x:v>INCONCLUSIVE</x:v>
      </x:c>
      <x:c r="Q10" s="34" t="str">
        <x:v>Feedback-Directed Random Test Generation/Result/Chart_9/result.json</x:v>
      </x:c>
    </x:row>
    <x:row r="11">
      <x:c r="A11" s="34" t="str">
        <x:v>randoop</x:v>
      </x:c>
      <x:c r="B11" s="34" t="str">
        <x:v>Chart</x:v>
      </x:c>
      <x:c r="C11" s="34" t="str">
        <x:v>Round1</x:v>
      </x:c>
      <x:c r="D11" s="34" t="str">
        <x:v>Chart_10</x:v>
      </x:c>
      <x:c r="E11" s="34" t="str">
        <x:v>Coverage</x:v>
      </x:c>
      <x:c r="F11" s="34" t="n">
        <x:v>3</x:v>
      </x:c>
      <x:c r="G11" s="34" t="str">
        <x:v>RECORDED</x:v>
      </x:c>
      <x:c r="H11" s="38" t="n">
        <x:f>IF(ISNUMBER('Data'!G11),'Data'!G11*100,"")</x:f>
        <x:v>100</x:v>
      </x:c>
      <x:c r="I11" s="34" t="str">
        <x:v>PASS</x:v>
      </x:c>
      <x:c r="J11" s="34" t="str">
        <x:v>PASS</x:v>
      </x:c>
      <x:c r="K11" s="34" t="str">
        <x:v>PASS</x:v>
      </x:c>
      <x:c r="L11" s="34" t="str">
        <x:v>PASS</x:v>
      </x:c>
      <x:c r="M11" s="34" t="str">
        <x:v>numeric coverage for applicable metric</x:v>
      </x:c>
      <x:c r="N11" s="34" t="str">
        <x:v>Feedback-Directed Random Test Generation/Result/Chart_10/result.json</x:v>
      </x:c>
      <x:c r="O11" s="38" t="n">
        <x:f>IF(AND(G11="RECORDED",ISNUMBER(H11)),H11,"")</x:f>
        <x:v>100</x:v>
      </x:c>
      <x:c r="P11" s="34" t="str">
        <x:v>INCONCLUSIVE</x:v>
      </x:c>
      <x:c r="Q11" s="34" t="str">
        <x:v>Feedback-Directed Random Test Generation/Result/Chart_10/result.json</x:v>
      </x:c>
    </x:row>
    <x:row r="12">
      <x:c r="A12" s="34" t="str">
        <x:v>randoop</x:v>
      </x:c>
      <x:c r="B12" s="34" t="str">
        <x:v>Chart</x:v>
      </x:c>
      <x:c r="C12" s="34" t="str">
        <x:v>Round1</x:v>
      </x:c>
      <x:c r="D12" s="34" t="str">
        <x:v>Chart_11</x:v>
      </x:c>
      <x:c r="E12" s="34" t="str">
        <x:v>Coverage</x:v>
      </x:c>
      <x:c r="F12" s="34" t="n">
        <x:v>313</x:v>
      </x:c>
      <x:c r="G12" s="34" t="str">
        <x:v>RECORDED</x:v>
      </x:c>
      <x:c r="H12" s="38" t="n">
        <x:f>IF(ISNUMBER('Data'!G12),'Data'!G12*100,"")</x:f>
        <x:v>46.96</x:v>
      </x:c>
      <x:c r="I12" s="34" t="str">
        <x:v>PASS</x:v>
      </x:c>
      <x:c r="J12" s="34" t="str">
        <x:v>PASS</x:v>
      </x:c>
      <x:c r="K12" s="34" t="str">
        <x:v>PASS</x:v>
      </x:c>
      <x:c r="L12" s="34" t="str">
        <x:v>PASS</x:v>
      </x:c>
      <x:c r="M12" s="34" t="str">
        <x:v>numeric coverage for applicable metric</x:v>
      </x:c>
      <x:c r="N12" s="34" t="str">
        <x:v>Feedback-Directed Random Test Generation/Result/Chart_11/result.json</x:v>
      </x:c>
      <x:c r="O12" s="38" t="n">
        <x:f>IF(AND(G12="RECORDED",ISNUMBER(H12)),H12,"")</x:f>
        <x:v>46.96</x:v>
      </x:c>
      <x:c r="P12" s="34" t="str">
        <x:v>INCONCLUSIVE</x:v>
      </x:c>
      <x:c r="Q12" s="34" t="str">
        <x:v>Feedback-Directed Random Test Generation/Result/Chart_11/result.json</x:v>
      </x:c>
    </x:row>
    <x:row r="13">
      <x:c r="A13" s="34" t="str">
        <x:v>randoop</x:v>
      </x:c>
      <x:c r="B13" s="34" t="str">
        <x:v>Chart</x:v>
      </x:c>
      <x:c r="C13" s="34" t="str">
        <x:v>Round1</x:v>
      </x:c>
      <x:c r="D13" s="34" t="str">
        <x:v>Chart_12</x:v>
      </x:c>
      <x:c r="E13" s="34" t="str">
        <x:v>Coverage</x:v>
      </x:c>
      <x:c r="F13" s="34" t="n">
        <x:v>274</x:v>
      </x:c>
      <x:c r="G13" s="34" t="str">
        <x:v>RECORDED</x:v>
      </x:c>
      <x:c r="H13" s="38" t="n">
        <x:f>IF(ISNUMBER('Data'!G13),'Data'!G13*100,"")</x:f>
        <x:v>35.77</x:v>
      </x:c>
      <x:c r="I13" s="34" t="str">
        <x:v>PASS</x:v>
      </x:c>
      <x:c r="J13" s="34" t="str">
        <x:v>PASS</x:v>
      </x:c>
      <x:c r="K13" s="34" t="str">
        <x:v>PASS</x:v>
      </x:c>
      <x:c r="L13" s="34" t="str">
        <x:v>FAIL</x:v>
      </x:c>
      <x:c r="M13" s="34" t="str">
        <x:v>numeric coverage for applicable metric</x:v>
      </x:c>
      <x:c r="N13" s="34" t="str">
        <x:v>Feedback-Directed Random Test Generation/Result/Chart_12/result.json</x:v>
      </x:c>
      <x:c r="O13" s="38" t="n">
        <x:f>IF(AND(G13="RECORDED",ISNUMBER(H13)),H13,"")</x:f>
        <x:v>35.77</x:v>
      </x:c>
      <x:c r="P13" s="34" t="str">
        <x:v>INCONCLUSIVE</x:v>
      </x:c>
      <x:c r="Q13" s="34" t="str">
        <x:v>Feedback-Directed Random Test Generation/Result/Chart_12/result.json</x:v>
      </x:c>
    </x:row>
    <x:row r="14">
      <x:c r="A14" s="34" t="str">
        <x:v>randoop</x:v>
      </x:c>
      <x:c r="B14" s="34" t="str">
        <x:v>Chart</x:v>
      </x:c>
      <x:c r="C14" s="34" t="str">
        <x:v>Round1</x:v>
      </x:c>
      <x:c r="D14" s="34" t="str">
        <x:v>Chart_13</x:v>
      </x:c>
      <x:c r="E14" s="34" t="str">
        <x:v>Coverage</x:v>
      </x:c>
      <x:c r="F14" s="34" t="n">
        <x:v>349</x:v>
      </x:c>
      <x:c r="G14" s="34" t="str">
        <x:v>RECORDED</x:v>
      </x:c>
      <x:c r="H14" s="38" t="n">
        <x:f>IF(ISNUMBER('Data'!G14),'Data'!G14*100,"")</x:f>
        <x:v>26.07</x:v>
      </x:c>
      <x:c r="I14" s="34" t="str">
        <x:v>PASS</x:v>
      </x:c>
      <x:c r="J14" s="34" t="str">
        <x:v>PASS</x:v>
      </x:c>
      <x:c r="K14" s="34" t="str">
        <x:v>PASS</x:v>
      </x:c>
      <x:c r="L14" s="34" t="str">
        <x:v>FAIL</x:v>
      </x:c>
      <x:c r="M14" s="34" t="str">
        <x:v>numeric coverage for applicable metric</x:v>
      </x:c>
      <x:c r="N14" s="34" t="str">
        <x:v>Feedback-Directed Random Test Generation/Result/Chart_13/result.json</x:v>
      </x:c>
      <x:c r="O14" s="38" t="n">
        <x:f>IF(AND(G14="RECORDED",ISNUMBER(H14)),H14,"")</x:f>
        <x:v>26.07</x:v>
      </x:c>
      <x:c r="P14" s="34" t="str">
        <x:v>INCONCLUSIVE</x:v>
      </x:c>
      <x:c r="Q14" s="34" t="str">
        <x:v>Feedback-Directed Random Test Generation/Result/Chart_13/result.json</x:v>
      </x:c>
    </x:row>
    <x:row r="15">
      <x:c r="A15" s="34" t="str">
        <x:v>randoop</x:v>
      </x:c>
      <x:c r="B15" s="34" t="str">
        <x:v>Chart</x:v>
      </x:c>
      <x:c r="C15" s="34" t="str">
        <x:v>Round1</x:v>
      </x:c>
      <x:c r="D15" s="34" t="str">
        <x:v>Chart_14</x:v>
      </x:c>
      <x:c r="E15" s="34" t="str">
        <x:v>Coverage</x:v>
      </x:c>
      <x:c r="F15" s="34" t="n">
        <x:v>4158</x:v>
      </x:c>
      <x:c r="G15" s="34" t="str">
        <x:v>RECORDED</x:v>
      </x:c>
      <x:c r="H15" s="38" t="n">
        <x:f>IF(ISNUMBER('Data'!G15),'Data'!G15*100,"")</x:f>
        <x:v>48.94</x:v>
      </x:c>
      <x:c r="I15" s="34" t="str">
        <x:v>PASS</x:v>
      </x:c>
      <x:c r="J15" s="34" t="str">
        <x:v>PASS</x:v>
      </x:c>
      <x:c r="K15" s="34" t="str">
        <x:v>PASS</x:v>
      </x:c>
      <x:c r="L15" s="34" t="str">
        <x:v>FAIL</x:v>
      </x:c>
      <x:c r="M15" s="34" t="str">
        <x:v>numeric coverage for applicable metric</x:v>
      </x:c>
      <x:c r="N15" s="34" t="str">
        <x:v>Feedback-Directed Random Test Generation/Result/Chart_14/result.json</x:v>
      </x:c>
      <x:c r="O15" s="38" t="n">
        <x:f>IF(AND(G15="RECORDED",ISNUMBER(H15)),H15,"")</x:f>
        <x:v>48.94</x:v>
      </x:c>
      <x:c r="P15" s="34" t="str">
        <x:v>INCONCLUSIVE</x:v>
      </x:c>
      <x:c r="Q15" s="34" t="str">
        <x:v>Feedback-Directed Random Test Generation/Result/Chart_14/result.json</x:v>
      </x:c>
    </x:row>
    <x:row r="16">
      <x:c r="A16" s="34" t="str">
        <x:v>randoop</x:v>
      </x:c>
      <x:c r="B16" s="34" t="str">
        <x:v>Chart</x:v>
      </x:c>
      <x:c r="C16" s="34" t="str">
        <x:v>Round1</x:v>
      </x:c>
      <x:c r="D16" s="34" t="str">
        <x:v>Chart_15</x:v>
      </x:c>
      <x:c r="E16" s="34" t="str">
        <x:v>Coverage</x:v>
      </x:c>
      <x:c r="F16" s="34" t="n">
        <x:v>1148</x:v>
      </x:c>
      <x:c r="G16" s="34" t="str">
        <x:v>RECORDED</x:v>
      </x:c>
      <x:c r="H16" s="38" t="n">
        <x:f>IF(ISNUMBER('Data'!G16),'Data'!G16*100,"")</x:f>
        <x:v>44.86</x:v>
      </x:c>
      <x:c r="I16" s="34" t="str">
        <x:v>PASS</x:v>
      </x:c>
      <x:c r="J16" s="34" t="str">
        <x:v>PASS</x:v>
      </x:c>
      <x:c r="K16" s="34" t="str">
        <x:v>PASS</x:v>
      </x:c>
      <x:c r="L16" s="34" t="str">
        <x:v>FAIL</x:v>
      </x:c>
      <x:c r="M16" s="34" t="str">
        <x:v>numeric coverage for applicable metric</x:v>
      </x:c>
      <x:c r="N16" s="34" t="str">
        <x:v>Feedback-Directed Random Test Generation/Result/Chart_15/result.json</x:v>
      </x:c>
      <x:c r="O16" s="38" t="n">
        <x:f>IF(AND(G16="RECORDED",ISNUMBER(H16)),H16,"")</x:f>
        <x:v>44.86</x:v>
      </x:c>
      <x:c r="P16" s="34" t="str">
        <x:v>INCONCLUSIVE</x:v>
      </x:c>
      <x:c r="Q16" s="34" t="str">
        <x:v>Feedback-Directed Random Test Generation/Result/Chart_15/result.json</x:v>
      </x:c>
    </x:row>
    <x:row r="17">
      <x:c r="A17" s="34" t="str">
        <x:v>randoop</x:v>
      </x:c>
      <x:c r="B17" s="34" t="str">
        <x:v>Chart</x:v>
      </x:c>
      <x:c r="C17" s="34" t="str">
        <x:v>Round1</x:v>
      </x:c>
      <x:c r="D17" s="34" t="str">
        <x:v>Chart_16</x:v>
      </x:c>
      <x:c r="E17" s="34" t="str">
        <x:v>Coverage</x:v>
      </x:c>
      <x:c r="F17" s="34" t="n">
        <x:v>316</x:v>
      </x:c>
      <x:c r="G17" s="34" t="str">
        <x:v>RECORDED</x:v>
      </x:c>
      <x:c r="H17" s="38" t="n">
        <x:f>IF(ISNUMBER('Data'!G17),'Data'!G17*100,"")</x:f>
        <x:v>80.7</x:v>
      </x:c>
      <x:c r="I17" s="34" t="str">
        <x:v>PASS</x:v>
      </x:c>
      <x:c r="J17" s="34" t="str">
        <x:v>PASS</x:v>
      </x:c>
      <x:c r="K17" s="34" t="str">
        <x:v>PASS</x:v>
      </x:c>
      <x:c r="L17" s="34" t="str">
        <x:v>FAIL</x:v>
      </x:c>
      <x:c r="M17" s="34" t="str">
        <x:v>numeric coverage for applicable metric</x:v>
      </x:c>
      <x:c r="N17" s="34" t="str">
        <x:v>Feedback-Directed Random Test Generation/Result/Chart_16/result.json</x:v>
      </x:c>
      <x:c r="O17" s="38" t="n">
        <x:f>IF(AND(G17="RECORDED",ISNUMBER(H17)),H17,"")</x:f>
        <x:v>80.7</x:v>
      </x:c>
      <x:c r="P17" s="34" t="str">
        <x:v>INCONCLUSIVE</x:v>
      </x:c>
      <x:c r="Q17" s="34" t="str">
        <x:v>Feedback-Directed Random Test Generation/Result/Chart_16/result.json</x:v>
      </x:c>
    </x:row>
    <x:row r="18">
      <x:c r="A18" s="34" t="str">
        <x:v>randoop</x:v>
      </x:c>
      <x:c r="B18" s="34" t="str">
        <x:v>Chart</x:v>
      </x:c>
      <x:c r="C18" s="34" t="str">
        <x:v>Round1</x:v>
      </x:c>
      <x:c r="D18" s="34" t="str">
        <x:v>Chart_17</x:v>
      </x:c>
      <x:c r="E18" s="34" t="str">
        <x:v>Coverage</x:v>
      </x:c>
      <x:c r="F18" s="34" t="n">
        <x:v>416</x:v>
      </x:c>
      <x:c r="G18" s="34" t="str">
        <x:v>RECORDED</x:v>
      </x:c>
      <x:c r="H18" s="38" t="n">
        <x:f>IF(ISNUMBER('Data'!G18),'Data'!G18*100,"")</x:f>
        <x:v>41.59</x:v>
      </x:c>
      <x:c r="I18" s="34" t="str">
        <x:v>PASS</x:v>
      </x:c>
      <x:c r="J18" s="34" t="str">
        <x:v>PASS</x:v>
      </x:c>
      <x:c r="K18" s="34" t="str">
        <x:v>PASS</x:v>
      </x:c>
      <x:c r="L18" s="34" t="str">
        <x:v>FAIL</x:v>
      </x:c>
      <x:c r="M18" s="34" t="str">
        <x:v>numeric coverage for applicable metric</x:v>
      </x:c>
      <x:c r="N18" s="34" t="str">
        <x:v>Feedback-Directed Random Test Generation/Result/Chart_17/result.json</x:v>
      </x:c>
      <x:c r="O18" s="38" t="n">
        <x:f>IF(AND(G18="RECORDED",ISNUMBER(H18)),H18,"")</x:f>
        <x:v>41.59</x:v>
      </x:c>
      <x:c r="P18" s="34" t="str">
        <x:v>INCONCLUSIVE</x:v>
      </x:c>
      <x:c r="Q18" s="34" t="str">
        <x:v>Feedback-Directed Random Test Generation/Result/Chart_17/result.json</x:v>
      </x:c>
    </x:row>
    <x:row r="19">
      <x:c r="A19" s="34" t="str">
        <x:v>randoop</x:v>
      </x:c>
      <x:c r="B19" s="34" t="str">
        <x:v>Chart</x:v>
      </x:c>
      <x:c r="C19" s="34" t="str">
        <x:v>Round1</x:v>
      </x:c>
      <x:c r="D19" s="34" t="str">
        <x:v>Chart_18</x:v>
      </x:c>
      <x:c r="E19" s="34" t="str">
        <x:v>Coverage</x:v>
      </x:c>
      <x:c r="F19" s="34" t="n">
        <x:v>388</x:v>
      </x:c>
      <x:c r="G19" s="34" t="str">
        <x:v>RECORDED</x:v>
      </x:c>
      <x:c r="H19" s="38" t="n">
        <x:f>IF(ISNUMBER('Data'!G19),'Data'!G19*100,"")</x:f>
        <x:v>79.9</x:v>
      </x:c>
      <x:c r="I19" s="34" t="str">
        <x:v>PASS</x:v>
      </x:c>
      <x:c r="J19" s="34" t="str">
        <x:v>PASS</x:v>
      </x:c>
      <x:c r="K19" s="34" t="str">
        <x:v>PASS</x:v>
      </x:c>
      <x:c r="L19" s="34" t="str">
        <x:v>PASS</x:v>
      </x:c>
      <x:c r="M19" s="34" t="str">
        <x:v>numeric coverage for applicable metric</x:v>
      </x:c>
      <x:c r="N19" s="34" t="str">
        <x:v>Feedback-Directed Random Test Generation/Result/Chart_18/result.json</x:v>
      </x:c>
      <x:c r="O19" s="38" t="n">
        <x:f>IF(AND(G19="RECORDED",ISNUMBER(H19)),H19,"")</x:f>
        <x:v>79.9</x:v>
      </x:c>
      <x:c r="P19" s="34" t="str">
        <x:v>INCONCLUSIVE</x:v>
      </x:c>
      <x:c r="Q19" s="34" t="str">
        <x:v>Feedback-Directed Random Test Generation/Result/Chart_18/result.json</x:v>
      </x:c>
    </x:row>
    <x:row r="20">
      <x:c r="A20" s="34" t="str">
        <x:v>randoop</x:v>
      </x:c>
      <x:c r="B20" s="34" t="str">
        <x:v>Chart</x:v>
      </x:c>
      <x:c r="C20" s="34" t="str">
        <x:v>Round1</x:v>
      </x:c>
      <x:c r="D20" s="34" t="str">
        <x:v>Chart_19</x:v>
      </x:c>
      <x:c r="E20" s="34" t="str">
        <x:v>Coverage</x:v>
      </x:c>
      <x:c r="F20" s="34" t="n">
        <x:v>1730</x:v>
      </x:c>
      <x:c r="G20" s="34" t="str">
        <x:v>RECORDED</x:v>
      </x:c>
      <x:c r="H20" s="38" t="n">
        <x:f>IF(ISNUMBER('Data'!G20),'Data'!G20*100,"")</x:f>
        <x:v>54.90999999999999</x:v>
      </x:c>
      <x:c r="I20" s="34" t="str">
        <x:v>PASS</x:v>
      </x:c>
      <x:c r="J20" s="34" t="str">
        <x:v>PASS</x:v>
      </x:c>
      <x:c r="K20" s="34" t="str">
        <x:v>PASS</x:v>
      </x:c>
      <x:c r="L20" s="34" t="str">
        <x:v>FAIL</x:v>
      </x:c>
      <x:c r="M20" s="34" t="str">
        <x:v>numeric coverage for applicable metric</x:v>
      </x:c>
      <x:c r="N20" s="34" t="str">
        <x:v>Feedback-Directed Random Test Generation/Result/Chart_19/result.json</x:v>
      </x:c>
      <x:c r="O20" s="38" t="n">
        <x:f>IF(AND(G20="RECORDED",ISNUMBER(H20)),H20,"")</x:f>
        <x:v>54.90999999999999</x:v>
      </x:c>
      <x:c r="P20" s="34" t="str">
        <x:v>INCONCLUSIVE</x:v>
      </x:c>
      <x:c r="Q20" s="34" t="str">
        <x:v>Feedback-Directed Random Test Generation/Result/Chart_19/result.json</x:v>
      </x:c>
    </x:row>
    <x:row r="21">
      <x:c r="A21" s="34" t="str">
        <x:v>randoop</x:v>
      </x:c>
      <x:c r="B21" s="34" t="str">
        <x:v>Chart</x:v>
      </x:c>
      <x:c r="C21" s="34" t="str">
        <x:v>Round1</x:v>
      </x:c>
      <x:c r="D21" s="34" t="str">
        <x:v>Chart_20</x:v>
      </x:c>
      <x:c r="E21" s="34" t="str">
        <x:v>Coverage</x:v>
      </x:c>
      <x:c r="F21" s="34" t="n">
        <x:v>30</x:v>
      </x:c>
      <x:c r="G21" s="34" t="str">
        <x:v>RECORDED</x:v>
      </x:c>
      <x:c r="H21" s="38" t="n">
        <x:f>IF(ISNUMBER('Data'!G21),'Data'!G21*100,"")</x:f>
        <x:v>86.67</x:v>
      </x:c>
      <x:c r="I21" s="34" t="str">
        <x:v>PASS</x:v>
      </x:c>
      <x:c r="J21" s="34" t="str">
        <x:v>PASS</x:v>
      </x:c>
      <x:c r="K21" s="34" t="str">
        <x:v>PASS</x:v>
      </x:c>
      <x:c r="L21" s="34" t="str">
        <x:v>FAIL</x:v>
      </x:c>
      <x:c r="M21" s="34" t="str">
        <x:v>numeric coverage for applicable metric</x:v>
      </x:c>
      <x:c r="N21" s="34" t="str">
        <x:v>Feedback-Directed Random Test Generation/Result/Chart_20/result.json</x:v>
      </x:c>
      <x:c r="O21" s="38" t="n">
        <x:f>IF(AND(G21="RECORDED",ISNUMBER(H21)),H21,"")</x:f>
        <x:v>86.67</x:v>
      </x:c>
      <x:c r="P21" s="34" t="str">
        <x:v>INCONCLUSIVE</x:v>
      </x:c>
      <x:c r="Q21" s="34" t="str">
        <x:v>Feedback-Directed Random Test Generation/Result/Chart_20/result.json</x:v>
      </x:c>
    </x:row>
    <x:row r="22">
      <x:c r="A22" s="34" t="str">
        <x:v>randoop</x:v>
      </x:c>
      <x:c r="B22" s="34" t="str">
        <x:v>Chart</x:v>
      </x:c>
      <x:c r="C22" s="34" t="str">
        <x:v>Round1</x:v>
      </x:c>
      <x:c r="D22" s="34" t="str">
        <x:v>Chart_21</x:v>
      </x:c>
      <x:c r="E22" s="34" t="str">
        <x:v>Coverage</x:v>
      </x:c>
      <x:c r="F22" s="34" t="n">
        <x:v>221</x:v>
      </x:c>
      <x:c r="G22" s="34" t="str">
        <x:v>RECORDED</x:v>
      </x:c>
      <x:c r="H22" s="38" t="n">
        <x:f>IF(ISNUMBER('Data'!G22),'Data'!G22*100,"")</x:f>
        <x:v>45.25</x:v>
      </x:c>
      <x:c r="I22" s="34" t="str">
        <x:v>PASS</x:v>
      </x:c>
      <x:c r="J22" s="34" t="str">
        <x:v>PASS</x:v>
      </x:c>
      <x:c r="K22" s="34" t="str">
        <x:v>PASS</x:v>
      </x:c>
      <x:c r="L22" s="34" t="str">
        <x:v>FAIL</x:v>
      </x:c>
      <x:c r="M22" s="34" t="str">
        <x:v>numeric coverage for applicable metric</x:v>
      </x:c>
      <x:c r="N22" s="34" t="str">
        <x:v>Feedback-Directed Random Test Generation/Result/Chart_21/result.json</x:v>
      </x:c>
      <x:c r="O22" s="38" t="n">
        <x:f>IF(AND(G22="RECORDED",ISNUMBER(H22)),H22,"")</x:f>
        <x:v>45.25</x:v>
      </x:c>
      <x:c r="P22" s="34" t="str">
        <x:v>INCONCLUSIVE</x:v>
      </x:c>
      <x:c r="Q22" s="34" t="str">
        <x:v>Feedback-Directed Random Test Generation/Result/Chart_21/result.json</x:v>
      </x:c>
    </x:row>
    <x:row r="23">
      <x:c r="A23" s="34" t="str">
        <x:v>randoop</x:v>
      </x:c>
      <x:c r="B23" s="34" t="str">
        <x:v>Chart</x:v>
      </x:c>
      <x:c r="C23" s="34" t="str">
        <x:v>Round1</x:v>
      </x:c>
      <x:c r="D23" s="34" t="str">
        <x:v>Chart_22</x:v>
      </x:c>
      <x:c r="E23" s="34" t="str">
        <x:v>Coverage</x:v>
      </x:c>
      <x:c r="F23" s="34" t="n">
        <x:v>182</x:v>
      </x:c>
      <x:c r="G23" s="34" t="str">
        <x:v>RECORDED</x:v>
      </x:c>
      <x:c r="H23" s="38" t="n">
        <x:f>IF(ISNUMBER('Data'!G23),'Data'!G23*100,"")</x:f>
        <x:v>90.66</x:v>
      </x:c>
      <x:c r="I23" s="34" t="str">
        <x:v>PASS</x:v>
      </x:c>
      <x:c r="J23" s="34" t="str">
        <x:v>PASS</x:v>
      </x:c>
      <x:c r="K23" s="34" t="str">
        <x:v>PASS</x:v>
      </x:c>
      <x:c r="L23" s="34" t="str">
        <x:v>FAIL</x:v>
      </x:c>
      <x:c r="M23" s="34" t="str">
        <x:v>numeric coverage for applicable metric</x:v>
      </x:c>
      <x:c r="N23" s="34" t="str">
        <x:v>Feedback-Directed Random Test Generation/Result/Chart_22/result.json</x:v>
      </x:c>
      <x:c r="O23" s="38" t="n">
        <x:f>IF(AND(G23="RECORDED",ISNUMBER(H23)),H23,"")</x:f>
        <x:v>90.66</x:v>
      </x:c>
      <x:c r="P23" s="34" t="str">
        <x:v>INCONCLUSIVE</x:v>
      </x:c>
      <x:c r="Q23" s="34" t="str">
        <x:v>Feedback-Directed Random Test Generation/Result/Chart_22/result.json</x:v>
      </x:c>
    </x:row>
    <x:row r="24">
      <x:c r="A24" s="34" t="str">
        <x:v>randoop</x:v>
      </x:c>
      <x:c r="B24" s="34" t="str">
        <x:v>Chart</x:v>
      </x:c>
      <x:c r="C24" s="34" t="str">
        <x:v>Round1</x:v>
      </x:c>
      <x:c r="D24" s="34" t="str">
        <x:v>Chart_23</x:v>
      </x:c>
      <x:c r="E24" s="34" t="str">
        <x:v>Coverage</x:v>
      </x:c>
      <x:c r="F24" s="34" t="n">
        <x:v>190</x:v>
      </x:c>
      <x:c r="G24" s="34" t="str">
        <x:v>RECORDED</x:v>
      </x:c>
      <x:c r="H24" s="38" t="n">
        <x:f>IF(ISNUMBER('Data'!G24),'Data'!G24*100,"")</x:f>
        <x:v>34.21</x:v>
      </x:c>
      <x:c r="I24" s="34" t="str">
        <x:v>PASS</x:v>
      </x:c>
      <x:c r="J24" s="34" t="str">
        <x:v>PASS</x:v>
      </x:c>
      <x:c r="K24" s="34" t="str">
        <x:v>PASS</x:v>
      </x:c>
      <x:c r="L24" s="34" t="str">
        <x:v>FAIL</x:v>
      </x:c>
      <x:c r="M24" s="34" t="str">
        <x:v>numeric coverage for applicable metric</x:v>
      </x:c>
      <x:c r="N24" s="34" t="str">
        <x:v>Feedback-Directed Random Test Generation/Result/Chart_23/result.json</x:v>
      </x:c>
      <x:c r="O24" s="38" t="n">
        <x:f>IF(AND(G24="RECORDED",ISNUMBER(H24)),H24,"")</x:f>
        <x:v>34.21</x:v>
      </x:c>
      <x:c r="P24" s="34" t="str">
        <x:v>INCONCLUSIVE</x:v>
      </x:c>
      <x:c r="Q24" s="34" t="str">
        <x:v>Feedback-Directed Random Test Generation/Result/Chart_23/result.json</x:v>
      </x:c>
    </x:row>
    <x:row r="25">
      <x:c r="A25" s="34" t="str">
        <x:v>randoop</x:v>
      </x:c>
      <x:c r="B25" s="34" t="str">
        <x:v>Chart</x:v>
      </x:c>
      <x:c r="C25" s="34" t="str">
        <x:v>Round1</x:v>
      </x:c>
      <x:c r="D25" s="34" t="str">
        <x:v>Chart_24</x:v>
      </x:c>
      <x:c r="E25" s="34" t="str">
        <x:v>Coverage</x:v>
      </x:c>
      <x:c r="F25" s="34" t="n">
        <x:v>35</x:v>
      </x:c>
      <x:c r="G25" s="34" t="str">
        <x:v>RECORDED</x:v>
      </x:c>
      <x:c r="H25" s="38" t="n">
        <x:f>IF(ISNUMBER('Data'!G25),'Data'!G25*100,"")</x:f>
        <x:v>94.29</x:v>
      </x:c>
      <x:c r="I25" s="34" t="str">
        <x:v>PASS</x:v>
      </x:c>
      <x:c r="J25" s="34" t="str">
        <x:v>PASS</x:v>
      </x:c>
      <x:c r="K25" s="34" t="str">
        <x:v>PASS</x:v>
      </x:c>
      <x:c r="L25" s="34" t="str">
        <x:v>FAIL</x:v>
      </x:c>
      <x:c r="M25" s="34" t="str">
        <x:v>numeric coverage for applicable metric</x:v>
      </x:c>
      <x:c r="N25" s="34" t="str">
        <x:v>Feedback-Directed Random Test Generation/Result/Chart_24/result.json</x:v>
      </x:c>
      <x:c r="O25" s="38" t="n">
        <x:f>IF(AND(G25="RECORDED",ISNUMBER(H25)),H25,"")</x:f>
        <x:v>94.29</x:v>
      </x:c>
      <x:c r="P25" s="34" t="str">
        <x:v>INCONCLUSIVE</x:v>
      </x:c>
      <x:c r="Q25" s="34" t="str">
        <x:v>Feedback-Directed Random Test Generation/Result/Chart_24/result.json</x:v>
      </x:c>
    </x:row>
    <x:row r="26">
      <x:c r="A26" s="34" t="str">
        <x:v>randoop</x:v>
      </x:c>
      <x:c r="B26" s="34" t="str">
        <x:v>Chart</x:v>
      </x:c>
      <x:c r="C26" s="34" t="str">
        <x:v>Round1</x:v>
      </x:c>
      <x:c r="D26" s="34" t="str">
        <x:v>Chart_25</x:v>
      </x:c>
      <x:c r="E26" s="34" t="str">
        <x:v>Coverage</x:v>
      </x:c>
      <x:c r="F26" s="34" t="n">
        <x:v>256</x:v>
      </x:c>
      <x:c r="G26" s="34" t="str">
        <x:v>RECORDED</x:v>
      </x:c>
      <x:c r="H26" s="38" t="n">
        <x:f>IF(ISNUMBER('Data'!G26),'Data'!G26*100,"")</x:f>
        <x:v>12.11</x:v>
      </x:c>
      <x:c r="I26" s="34" t="str">
        <x:v>PASS</x:v>
      </x:c>
      <x:c r="J26" s="34" t="str">
        <x:v>PASS</x:v>
      </x:c>
      <x:c r="K26" s="34" t="str">
        <x:v>PASS</x:v>
      </x:c>
      <x:c r="L26" s="34" t="str">
        <x:v>FAIL</x:v>
      </x:c>
      <x:c r="M26" s="34" t="str">
        <x:v>numeric coverage for applicable metric</x:v>
      </x:c>
      <x:c r="N26" s="34" t="str">
        <x:v>Feedback-Directed Random Test Generation/Result/Chart_25/result.json</x:v>
      </x:c>
      <x:c r="O26" s="38" t="n">
        <x:f>IF(AND(G26="RECORDED",ISNUMBER(H26)),H26,"")</x:f>
        <x:v>12.11</x:v>
      </x:c>
      <x:c r="P26" s="34" t="str">
        <x:v>INCONCLUSIVE</x:v>
      </x:c>
      <x:c r="Q26" s="34" t="str">
        <x:v>Feedback-Directed Random Test Generation/Result/Chart_25/result.json</x:v>
      </x:c>
    </x:row>
    <x:row r="27">
      <x:c r="A27" s="34" t="str">
        <x:v>randoop</x:v>
      </x:c>
      <x:c r="B27" s="34" t="str">
        <x:v>Chart</x:v>
      </x:c>
      <x:c r="C27" s="34" t="str">
        <x:v>Round1</x:v>
      </x:c>
      <x:c r="D27" s="34" t="str">
        <x:v>Chart_26</x:v>
      </x:c>
      <x:c r="E27" s="34" t="str">
        <x:v>Coverage</x:v>
      </x:c>
      <x:c r="F27" s="34" t="n">
        <x:v>478</x:v>
      </x:c>
      <x:c r="G27" s="34" t="str">
        <x:v>RECORDED</x:v>
      </x:c>
      <x:c r="H27" s="38" t="n">
        <x:f>IF(ISNUMBER('Data'!G27),'Data'!G27*100,"")</x:f>
        <x:v>2.09</x:v>
      </x:c>
      <x:c r="I27" s="34" t="str">
        <x:v>PASS</x:v>
      </x:c>
      <x:c r="J27" s="34" t="str">
        <x:v>PASS</x:v>
      </x:c>
      <x:c r="K27" s="34" t="str">
        <x:v>PASS</x:v>
      </x:c>
      <x:c r="L27" s="34" t="str">
        <x:v>PASS</x:v>
      </x:c>
      <x:c r="M27" s="34" t="str">
        <x:v>numeric coverage for applicable metric</x:v>
      </x:c>
      <x:c r="N27" s="34" t="str">
        <x:v>Feedback-Directed Random Test Generation/Result/Chart_26/result.json</x:v>
      </x:c>
      <x:c r="O27" s="38" t="n">
        <x:f>IF(AND(G27="RECORDED",ISNUMBER(H27)),H27,"")</x:f>
        <x:v>2.09</x:v>
      </x:c>
      <x:c r="P27" s="34" t="str">
        <x:v>NOT_REVEALING</x:v>
      </x:c>
      <x:c r="Q27" s="34" t="str">
        <x:v>Feedback-Directed Random Test Generation/Result/Chart_26/result.json</x:v>
      </x:c>
    </x:row>
    <x:row r="28">
      <x:c r="A28" s="34" t="str">
        <x:v>randoop</x:v>
      </x:c>
      <x:c r="B28" s="34" t="str">
        <x:v>Cli</x:v>
      </x:c>
      <x:c r="C28" s="34" t="str">
        <x:v>Round1</x:v>
      </x:c>
      <x:c r="D28" s="34" t="str">
        <x:v>Cli_1</x:v>
      </x:c>
      <x:c r="E28" s="34" t="str">
        <x:v>Coverage</x:v>
      </x:c>
      <x:c r="F28" s="34" t="n">
        <x:v>59</x:v>
      </x:c>
      <x:c r="G28" s="34" t="str">
        <x:v>RECORDED</x:v>
      </x:c>
      <x:c r="H28" s="38" t="n">
        <x:f>IF(ISNUMBER('Data'!G28),'Data'!G28*100,"")</x:f>
        <x:v>0</x:v>
      </x:c>
      <x:c r="I28" s="34" t="str">
        <x:v>PASS</x:v>
      </x:c>
      <x:c r="J28" s="34" t="str">
        <x:v>PASS</x:v>
      </x:c>
      <x:c r="K28" s="34" t="str">
        <x:v>PASS</x:v>
      </x:c>
      <x:c r="L28" s="34" t="str">
        <x:v>FAIL</x:v>
      </x:c>
      <x:c r="M28" s="34" t="str">
        <x:v>numeric coverage for applicable metric</x:v>
      </x:c>
      <x:c r="N28" s="34" t="str">
        <x:v>Feedback-Directed Random Test Generation/Result/Cli_1/result.json</x:v>
      </x:c>
      <x:c r="O28" s="38" t="n">
        <x:f>IF(AND(G28="RECORDED",ISNUMBER(H28)),H28,"")</x:f>
        <x:v>0</x:v>
      </x:c>
      <x:c r="P28" s="34" t="str">
        <x:v>INCONCLUSIVE</x:v>
      </x:c>
      <x:c r="Q28" s="34" t="str">
        <x:v>Feedback-Directed Random Test Generation/Result/Cli_1/result.json</x:v>
      </x:c>
    </x:row>
    <x:row r="29">
      <x:c r="A29" s="34" t="str">
        <x:v>randoop</x:v>
      </x:c>
      <x:c r="B29" s="34" t="str">
        <x:v>Cli</x:v>
      </x:c>
      <x:c r="C29" s="34" t="str">
        <x:v>Round1</x:v>
      </x:c>
      <x:c r="D29" s="34" t="str">
        <x:v>Cli_2</x:v>
      </x:c>
      <x:c r="E29" s="34" t="str">
        <x:v>Coverage</x:v>
      </x:c>
      <x:c r="F29" s="34" t="n">
        <x:v>110</x:v>
      </x:c>
      <x:c r="G29" s="34" t="str">
        <x:v>RECORDED</x:v>
      </x:c>
      <x:c r="H29" s="38" t="n">
        <x:f>IF(ISNUMBER('Data'!G29),'Data'!G29*100,"")</x:f>
        <x:v>0</x:v>
      </x:c>
      <x:c r="I29" s="34" t="str">
        <x:v>PASS</x:v>
      </x:c>
      <x:c r="J29" s="34" t="str">
        <x:v>PASS</x:v>
      </x:c>
      <x:c r="K29" s="34" t="str">
        <x:v>PASS</x:v>
      </x:c>
      <x:c r="L29" s="34" t="str">
        <x:v>FAIL</x:v>
      </x:c>
      <x:c r="M29" s="34" t="str">
        <x:v>numeric coverage for applicable metric</x:v>
      </x:c>
      <x:c r="N29" s="34" t="str">
        <x:v>Feedback-Directed Random Test Generation/Result/Cli_2/result.json</x:v>
      </x:c>
      <x:c r="O29" s="38" t="n">
        <x:f>IF(AND(G29="RECORDED",ISNUMBER(H29)),H29,"")</x:f>
        <x:v>0</x:v>
      </x:c>
      <x:c r="P29" s="34" t="str">
        <x:v>INCONCLUSIVE</x:v>
      </x:c>
      <x:c r="Q29" s="34" t="str">
        <x:v>Feedback-Directed Random Test Generation/Result/Cli_2/result.json</x:v>
      </x:c>
    </x:row>
    <x:row r="30">
      <x:c r="A30" s="34" t="str">
        <x:v>randoop</x:v>
      </x:c>
      <x:c r="B30" s="34" t="str">
        <x:v>Cli</x:v>
      </x:c>
      <x:c r="C30" s="34" t="str">
        <x:v>Round1</x:v>
      </x:c>
      <x:c r="D30" s="34" t="str">
        <x:v>Cli_3</x:v>
      </x:c>
      <x:c r="E30" s="34" t="str">
        <x:v>Coverage</x:v>
      </x:c>
      <x:c r="F30" s="34" t="n">
        <x:v>75</x:v>
      </x:c>
      <x:c r="G30" s="34" t="str">
        <x:v>RECORDED</x:v>
      </x:c>
      <x:c r="H30" s="38" t="n">
        <x:f>IF(ISNUMBER('Data'!G30),'Data'!G30*100,"")</x:f>
        <x:v>0</x:v>
      </x:c>
      <x:c r="I30" s="34" t="str">
        <x:v>PASS</x:v>
      </x:c>
      <x:c r="J30" s="34" t="str">
        <x:v>PASS</x:v>
      </x:c>
      <x:c r="K30" s="34" t="str">
        <x:v>PASS</x:v>
      </x:c>
      <x:c r="L30" s="34" t="str">
        <x:v>FAIL</x:v>
      </x:c>
      <x:c r="M30" s="34" t="str">
        <x:v>numeric coverage for applicable metric</x:v>
      </x:c>
      <x:c r="N30" s="34" t="str">
        <x:v>Feedback-Directed Random Test Generation/Result/Cli_3/result.json</x:v>
      </x:c>
      <x:c r="O30" s="38" t="n">
        <x:f>IF(AND(G30="RECORDED",ISNUMBER(H30)),H30,"")</x:f>
        <x:v>0</x:v>
      </x:c>
      <x:c r="P30" s="34" t="str">
        <x:v>INCONCLUSIVE</x:v>
      </x:c>
      <x:c r="Q30" s="34" t="str">
        <x:v>Feedback-Directed Random Test Generation/Result/Cli_3/result.json</x:v>
      </x:c>
    </x:row>
    <x:row r="31">
      <x:c r="A31" s="34" t="str">
        <x:v>randoop</x:v>
      </x:c>
      <x:c r="B31" s="34" t="str">
        <x:v>Cli</x:v>
      </x:c>
      <x:c r="C31" s="34" t="str">
        <x:v>Round1</x:v>
      </x:c>
      <x:c r="D31" s="34" t="str">
        <x:v>Cli_4</x:v>
      </x:c>
      <x:c r="E31" s="34" t="str">
        <x:v>Coverage</x:v>
      </x:c>
      <x:c r="F31" s="34" t="n">
        <x:v>167</x:v>
      </x:c>
      <x:c r="G31" s="34" t="str">
        <x:v>RECORDED</x:v>
      </x:c>
      <x:c r="H31" s="38" t="n">
        <x:f>IF(ISNUMBER('Data'!G31),'Data'!G31*100,"")</x:f>
        <x:v>0</x:v>
      </x:c>
      <x:c r="I31" s="34" t="str">
        <x:v>PASS</x:v>
      </x:c>
      <x:c r="J31" s="34" t="str">
        <x:v>PASS</x:v>
      </x:c>
      <x:c r="K31" s="34" t="str">
        <x:v>PASS</x:v>
      </x:c>
      <x:c r="L31" s="34" t="str">
        <x:v>FAIL</x:v>
      </x:c>
      <x:c r="M31" s="34" t="str">
        <x:v>numeric coverage for applicable metric</x:v>
      </x:c>
      <x:c r="N31" s="34" t="str">
        <x:v>Feedback-Directed Random Test Generation/Result/Cli_4/result.json</x:v>
      </x:c>
      <x:c r="O31" s="38" t="n">
        <x:f>IF(AND(G31="RECORDED",ISNUMBER(H31)),H31,"")</x:f>
        <x:v>0</x:v>
      </x:c>
      <x:c r="P31" s="34" t="str">
        <x:v>INCONCLUSIVE</x:v>
      </x:c>
      <x:c r="Q31" s="34" t="str">
        <x:v>Feedback-Directed Random Test Generation/Result/Cli_4/result.json</x:v>
      </x:c>
    </x:row>
    <x:row r="32">
      <x:c r="A32" s="34" t="str">
        <x:v>randoop</x:v>
      </x:c>
      <x:c r="B32" s="34" t="str">
        <x:v>Cli</x:v>
      </x:c>
      <x:c r="C32" s="34" t="str">
        <x:v>Round1</x:v>
      </x:c>
      <x:c r="D32" s="34" t="str">
        <x:v>Cli_5</x:v>
      </x:c>
      <x:c r="E32" s="34" t="str">
        <x:v>Coverage</x:v>
      </x:c>
      <x:c r="F32" s="34" t="n">
        <x:v>19</x:v>
      </x:c>
      <x:c r="G32" s="34" t="str">
        <x:v>RECORDED</x:v>
      </x:c>
      <x:c r="H32" s="38" t="n">
        <x:f>IF(ISNUMBER('Data'!G32),'Data'!G32*100,"")</x:f>
        <x:v>0</x:v>
      </x:c>
      <x:c r="I32" s="34" t="str">
        <x:v>PASS</x:v>
      </x:c>
      <x:c r="J32" s="34" t="str">
        <x:v>PASS</x:v>
      </x:c>
      <x:c r="K32" s="34" t="str">
        <x:v>PASS</x:v>
      </x:c>
      <x:c r="L32" s="34" t="str">
        <x:v>FAIL</x:v>
      </x:c>
      <x:c r="M32" s="34" t="str">
        <x:v>numeric coverage for applicable metric</x:v>
      </x:c>
      <x:c r="N32" s="34" t="str">
        <x:v>Feedback-Directed Random Test Generation/Result/Cli_5/result.json</x:v>
      </x:c>
      <x:c r="O32" s="38" t="n">
        <x:f>IF(AND(G32="RECORDED",ISNUMBER(H32)),H32,"")</x:f>
        <x:v>0</x:v>
      </x:c>
      <x:c r="P32" s="34" t="str">
        <x:v>INCONCLUSIVE</x:v>
      </x:c>
      <x:c r="Q32" s="34" t="str">
        <x:v>Feedback-Directed Random Test Generation/Result/Cli_5/result.json</x:v>
      </x:c>
    </x:row>
    <x:row r="33">
      <x:c r="A33" s="34" t="str">
        <x:v>randoop</x:v>
      </x:c>
      <x:c r="B33" s="34" t="str">
        <x:v>Cli</x:v>
      </x:c>
      <x:c r="C33" s="34" t="str">
        <x:v>Round1</x:v>
      </x:c>
      <x:c r="D33" s="34" t="str">
        <x:v>Cli_7</x:v>
      </x:c>
      <x:c r="E33" s="34" t="str">
        <x:v>Coverage</x:v>
      </x:c>
      <x:c r="F33" s="34" t="n">
        <x:v>95</x:v>
      </x:c>
      <x:c r="G33" s="34" t="str">
        <x:v>RECORDED</x:v>
      </x:c>
      <x:c r="H33" s="38" t="n">
        <x:f>IF(ISNUMBER('Data'!G33),'Data'!G33*100,"")</x:f>
        <x:v>0</x:v>
      </x:c>
      <x:c r="I33" s="34" t="str">
        <x:v>PASS</x:v>
      </x:c>
      <x:c r="J33" s="34" t="str">
        <x:v>PASS</x:v>
      </x:c>
      <x:c r="K33" s="34" t="str">
        <x:v>PASS</x:v>
      </x:c>
      <x:c r="L33" s="34" t="str">
        <x:v>FAIL</x:v>
      </x:c>
      <x:c r="M33" s="34" t="str">
        <x:v>numeric coverage for applicable metric</x:v>
      </x:c>
      <x:c r="N33" s="34" t="str">
        <x:v>Feedback-Directed Random Test Generation/Result/Cli_7/result.json</x:v>
      </x:c>
      <x:c r="O33" s="38" t="n">
        <x:f>IF(AND(G33="RECORDED",ISNUMBER(H33)),H33,"")</x:f>
        <x:v>0</x:v>
      </x:c>
      <x:c r="P33" s="34" t="str">
        <x:v>INCONCLUSIVE</x:v>
      </x:c>
      <x:c r="Q33" s="34" t="str">
        <x:v>Feedback-Directed Random Test Generation/Result/Cli_7/result.json</x:v>
      </x:c>
    </x:row>
    <x:row r="34">
      <x:c r="A34" s="34" t="str">
        <x:v>randoop</x:v>
      </x:c>
      <x:c r="B34" s="34" t="str">
        <x:v>Cli</x:v>
      </x:c>
      <x:c r="C34" s="34" t="str">
        <x:v>Round1</x:v>
      </x:c>
      <x:c r="D34" s="34" t="str">
        <x:v>Cli_8</x:v>
      </x:c>
      <x:c r="E34" s="34" t="str">
        <x:v>Coverage</x:v>
      </x:c>
      <x:c r="F34" s="34" t="n">
        <x:v>296</x:v>
      </x:c>
      <x:c r="G34" s="34" t="str">
        <x:v>RECORDED</x:v>
      </x:c>
      <x:c r="H34" s="38" t="n">
        <x:f>IF(ISNUMBER('Data'!G34),'Data'!G34*100,"")</x:f>
        <x:v>0</x:v>
      </x:c>
      <x:c r="I34" s="34" t="str">
        <x:v>PASS</x:v>
      </x:c>
      <x:c r="J34" s="34" t="str">
        <x:v>PASS</x:v>
      </x:c>
      <x:c r="K34" s="34" t="str">
        <x:v>PASS</x:v>
      </x:c>
      <x:c r="L34" s="34" t="str">
        <x:v>FAIL</x:v>
      </x:c>
      <x:c r="M34" s="34" t="str">
        <x:v>numeric coverage for applicable metric</x:v>
      </x:c>
      <x:c r="N34" s="34" t="str">
        <x:v>Feedback-Directed Random Test Generation/Result/Cli_8/result.json</x:v>
      </x:c>
      <x:c r="O34" s="38" t="n">
        <x:f>IF(AND(G34="RECORDED",ISNUMBER(H34)),H34,"")</x:f>
        <x:v>0</x:v>
      </x:c>
      <x:c r="P34" s="34" t="str">
        <x:v>INCONCLUSIVE</x:v>
      </x:c>
      <x:c r="Q34" s="34" t="str">
        <x:v>Feedback-Directed Random Test Generation/Result/Cli_8/result.json</x:v>
      </x:c>
    </x:row>
    <x:row r="35">
      <x:c r="A35" s="34" t="str">
        <x:v>randoop</x:v>
      </x:c>
      <x:c r="B35" s="34" t="str">
        <x:v>Cli</x:v>
      </x:c>
      <x:c r="C35" s="34" t="str">
        <x:v>Round1</x:v>
      </x:c>
      <x:c r="D35" s="34" t="str">
        <x:v>Cli_9</x:v>
      </x:c>
      <x:c r="E35" s="34" t="str">
        <x:v>Coverage</x:v>
      </x:c>
      <x:c r="F35" s="34" t="n">
        <x:v>175</x:v>
      </x:c>
      <x:c r="G35" s="34" t="str">
        <x:v>RECORDED</x:v>
      </x:c>
      <x:c r="H35" s="38" t="n">
        <x:f>IF(ISNUMBER('Data'!G35),'Data'!G35*100,"")</x:f>
        <x:v>0</x:v>
      </x:c>
      <x:c r="I35" s="34" t="str">
        <x:v>PASS</x:v>
      </x:c>
      <x:c r="J35" s="34" t="str">
        <x:v>PASS</x:v>
      </x:c>
      <x:c r="K35" s="34" t="str">
        <x:v>PASS</x:v>
      </x:c>
      <x:c r="L35" s="34" t="str">
        <x:v>FAIL</x:v>
      </x:c>
      <x:c r="M35" s="34" t="str">
        <x:v>numeric coverage for applicable metric</x:v>
      </x:c>
      <x:c r="N35" s="34" t="str">
        <x:v>Feedback-Directed Random Test Generation/Result/Cli_9/result.json</x:v>
      </x:c>
      <x:c r="O35" s="38" t="n">
        <x:f>IF(AND(G35="RECORDED",ISNUMBER(H35)),H35,"")</x:f>
        <x:v>0</x:v>
      </x:c>
      <x:c r="P35" s="34" t="str">
        <x:v>INCONCLUSIVE</x:v>
      </x:c>
      <x:c r="Q35" s="34" t="str">
        <x:v>Feedback-Directed Random Test Generation/Result/Cli_9/result.json</x:v>
      </x:c>
    </x:row>
    <x:row r="36">
      <x:c r="A36" s="34" t="str">
        <x:v>randoop</x:v>
      </x:c>
      <x:c r="B36" s="34" t="str">
        <x:v>Cli</x:v>
      </x:c>
      <x:c r="C36" s="34" t="str">
        <x:v>Round1</x:v>
      </x:c>
      <x:c r="D36" s="34" t="str">
        <x:v>Cli_10</x:v>
      </x:c>
      <x:c r="E36" s="34" t="str">
        <x:v>Coverage</x:v>
      </x:c>
      <x:c r="F36" s="34" t="n">
        <x:v>176</x:v>
      </x:c>
      <x:c r="G36" s="34" t="str">
        <x:v>RECORDED</x:v>
      </x:c>
      <x:c r="H36" s="38" t="n">
        <x:f>IF(ISNUMBER('Data'!G36),'Data'!G36*100,"")</x:f>
        <x:v>0</x:v>
      </x:c>
      <x:c r="I36" s="34" t="str">
        <x:v>PASS</x:v>
      </x:c>
      <x:c r="J36" s="34" t="str">
        <x:v>PASS</x:v>
      </x:c>
      <x:c r="K36" s="34" t="str">
        <x:v>PASS</x:v>
      </x:c>
      <x:c r="L36" s="34" t="str">
        <x:v>FAIL</x:v>
      </x:c>
      <x:c r="M36" s="34" t="str">
        <x:v>numeric coverage for applicable metric</x:v>
      </x:c>
      <x:c r="N36" s="34" t="str">
        <x:v>Feedback-Directed Random Test Generation/Result/Cli_10/result.json</x:v>
      </x:c>
      <x:c r="O36" s="38" t="n">
        <x:f>IF(AND(G36="RECORDED",ISNUMBER(H36)),H36,"")</x:f>
        <x:v>0</x:v>
      </x:c>
      <x:c r="P36" s="34" t="str">
        <x:v>INCONCLUSIVE</x:v>
      </x:c>
      <x:c r="Q36" s="34" t="str">
        <x:v>Feedback-Directed Random Test Generation/Result/Cli_10/result.json</x:v>
      </x:c>
    </x:row>
    <x:row r="37">
      <x:c r="A37" s="34" t="str">
        <x:v>randoop</x:v>
      </x:c>
      <x:c r="B37" s="34" t="str">
        <x:v>Cli</x:v>
      </x:c>
      <x:c r="C37" s="34" t="str">
        <x:v>Round1</x:v>
      </x:c>
      <x:c r="D37" s="34" t="str">
        <x:v>Cli_11</x:v>
      </x:c>
      <x:c r="E37" s="34" t="str">
        <x:v>Coverage</x:v>
      </x:c>
      <x:c r="F37" s="34" t="n">
        <x:v>304</x:v>
      </x:c>
      <x:c r="G37" s="34" t="str">
        <x:v>RECORDED</x:v>
      </x:c>
      <x:c r="H37" s="38" t="n">
        <x:f>IF(ISNUMBER('Data'!G37),'Data'!G37*100,"")</x:f>
        <x:v>0</x:v>
      </x:c>
      <x:c r="I37" s="34" t="str">
        <x:v>PASS</x:v>
      </x:c>
      <x:c r="J37" s="34" t="str">
        <x:v>PASS</x:v>
      </x:c>
      <x:c r="K37" s="34" t="str">
        <x:v>PASS</x:v>
      </x:c>
      <x:c r="L37" s="34" t="str">
        <x:v>FAIL</x:v>
      </x:c>
      <x:c r="M37" s="34" t="str">
        <x:v>numeric coverage for applicable metric</x:v>
      </x:c>
      <x:c r="N37" s="34" t="str">
        <x:v>Feedback-Directed Random Test Generation/Result/Cli_11/result.json</x:v>
      </x:c>
      <x:c r="O37" s="38" t="n">
        <x:f>IF(AND(G37="RECORDED",ISNUMBER(H37)),H37,"")</x:f>
        <x:v>0</x:v>
      </x:c>
      <x:c r="P37" s="34" t="str">
        <x:v>INCONCLUSIVE</x:v>
      </x:c>
      <x:c r="Q37" s="34" t="str">
        <x:v>Feedback-Directed Random Test Generation/Result/Cli_11/result.json</x:v>
      </x:c>
    </x:row>
    <x:row r="38">
      <x:c r="A38" s="34" t="str">
        <x:v>randoop</x:v>
      </x:c>
      <x:c r="B38" s="34" t="str">
        <x:v>Cli</x:v>
      </x:c>
      <x:c r="C38" s="34" t="str">
        <x:v>Round1</x:v>
      </x:c>
      <x:c r="D38" s="34" t="str">
        <x:v>Cli_12</x:v>
      </x:c>
      <x:c r="E38" s="34" t="str">
        <x:v>Coverage</x:v>
      </x:c>
      <x:c r="F38" s="34" t="n">
        <x:v>41</x:v>
      </x:c>
      <x:c r="G38" s="34" t="str">
        <x:v>RECORDED</x:v>
      </x:c>
      <x:c r="H38" s="38" t="n">
        <x:f>IF(ISNUMBER('Data'!G38),'Data'!G38*100,"")</x:f>
        <x:v>0</x:v>
      </x:c>
      <x:c r="I38" s="34" t="str">
        <x:v>PASS</x:v>
      </x:c>
      <x:c r="J38" s="34" t="str">
        <x:v>PASS</x:v>
      </x:c>
      <x:c r="K38" s="34" t="str">
        <x:v>PASS</x:v>
      </x:c>
      <x:c r="L38" s="34" t="str">
        <x:v>FAIL</x:v>
      </x:c>
      <x:c r="M38" s="34" t="str">
        <x:v>numeric coverage for applicable metric</x:v>
      </x:c>
      <x:c r="N38" s="34" t="str">
        <x:v>Feedback-Directed Random Test Generation/Result/Cli_12/result.json</x:v>
      </x:c>
      <x:c r="O38" s="38" t="n">
        <x:f>IF(AND(G38="RECORDED",ISNUMBER(H38)),H38,"")</x:f>
        <x:v>0</x:v>
      </x:c>
      <x:c r="P38" s="34" t="str">
        <x:v>INCONCLUSIVE</x:v>
      </x:c>
      <x:c r="Q38" s="34" t="str">
        <x:v>Feedback-Directed Random Test Generation/Result/Cli_12/result.json</x:v>
      </x:c>
    </x:row>
    <x:row r="39">
      <x:c r="A39" s="34" t="str">
        <x:v>randoop</x:v>
      </x:c>
      <x:c r="B39" s="34" t="str">
        <x:v>Cli</x:v>
      </x:c>
      <x:c r="C39" s="34" t="str">
        <x:v>Round1</x:v>
      </x:c>
      <x:c r="D39" s="34" t="str">
        <x:v>Cli_13</x:v>
      </x:c>
      <x:c r="E39" s="34" t="str">
        <x:v>Coverage</x:v>
      </x:c>
      <x:c r="F39" s="34" t="n">
        <x:v>309</x:v>
      </x:c>
      <x:c r="G39" s="34" t="str">
        <x:v>RECORDED</x:v>
      </x:c>
      <x:c r="H39" s="38" t="n">
        <x:f>IF(ISNUMBER('Data'!G39),'Data'!G39*100,"")</x:f>
        <x:v>0</x:v>
      </x:c>
      <x:c r="I39" s="34" t="str">
        <x:v>PASS</x:v>
      </x:c>
      <x:c r="J39" s="34" t="str">
        <x:v>PASS</x:v>
      </x:c>
      <x:c r="K39" s="34" t="str">
        <x:v>PASS</x:v>
      </x:c>
      <x:c r="L39" s="34" t="str">
        <x:v>FAIL</x:v>
      </x:c>
      <x:c r="M39" s="34" t="str">
        <x:v>numeric coverage for applicable metric</x:v>
      </x:c>
      <x:c r="N39" s="34" t="str">
        <x:v>Feedback-Directed Random Test Generation/Result/Cli_13/result.json</x:v>
      </x:c>
      <x:c r="O39" s="38" t="n">
        <x:f>IF(AND(G39="RECORDED",ISNUMBER(H39)),H39,"")</x:f>
        <x:v>0</x:v>
      </x:c>
      <x:c r="P39" s="34" t="str">
        <x:v>INCONCLUSIVE</x:v>
      </x:c>
      <x:c r="Q39" s="34" t="str">
        <x:v>Feedback-Directed Random Test Generation/Result/Cli_13/result.json</x:v>
      </x:c>
    </x:row>
    <x:row r="40">
      <x:c r="A40" s="34" t="str">
        <x:v>randoop</x:v>
      </x:c>
      <x:c r="B40" s="34" t="str">
        <x:v>Cli</x:v>
      </x:c>
      <x:c r="C40" s="34" t="str">
        <x:v>Round1</x:v>
      </x:c>
      <x:c r="D40" s="34" t="str">
        <x:v>Cli_14</x:v>
      </x:c>
      <x:c r="E40" s="34" t="str">
        <x:v>Coverage</x:v>
      </x:c>
      <x:c r="F40" s="34" t="n">
        <x:v>317</x:v>
      </x:c>
      <x:c r="G40" s="34" t="str">
        <x:v>RECORDED</x:v>
      </x:c>
      <x:c r="H40" s="38" t="n">
        <x:f>IF(ISNUMBER('Data'!G40),'Data'!G40*100,"")</x:f>
        <x:v>0</x:v>
      </x:c>
      <x:c r="I40" s="34" t="str">
        <x:v>PASS</x:v>
      </x:c>
      <x:c r="J40" s="34" t="str">
        <x:v>PASS</x:v>
      </x:c>
      <x:c r="K40" s="34" t="str">
        <x:v>PASS</x:v>
      </x:c>
      <x:c r="L40" s="34" t="str">
        <x:v>FAIL</x:v>
      </x:c>
      <x:c r="M40" s="34" t="str">
        <x:v>numeric coverage for applicable metric</x:v>
      </x:c>
      <x:c r="N40" s="34" t="str">
        <x:v>Feedback-Directed Random Test Generation/Result/Cli_14/result.json</x:v>
      </x:c>
      <x:c r="O40" s="38" t="n">
        <x:f>IF(AND(G40="RECORDED",ISNUMBER(H40)),H40,"")</x:f>
        <x:v>0</x:v>
      </x:c>
      <x:c r="P40" s="34" t="str">
        <x:v>INCONCLUSIVE</x:v>
      </x:c>
      <x:c r="Q40" s="34" t="str">
        <x:v>Feedback-Directed Random Test Generation/Result/Cli_14/result.json</x:v>
      </x:c>
    </x:row>
    <x:row r="41">
      <x:c r="A41" s="34" t="str">
        <x:v>randoop</x:v>
      </x:c>
      <x:c r="B41" s="34" t="str">
        <x:v>Cli</x:v>
      </x:c>
      <x:c r="C41" s="34" t="str">
        <x:v>Round1</x:v>
      </x:c>
      <x:c r="D41" s="34" t="str">
        <x:v>Cli_15</x:v>
      </x:c>
      <x:c r="E41" s="34" t="str">
        <x:v>Coverage</x:v>
      </x:c>
      <x:c r="F41" s="34" t="n">
        <x:v>139</x:v>
      </x:c>
      <x:c r="G41" s="34" t="str">
        <x:v>RECORDED</x:v>
      </x:c>
      <x:c r="H41" s="38" t="n">
        <x:f>IF(ISNUMBER('Data'!G41),'Data'!G41*100,"")</x:f>
        <x:v>0</x:v>
      </x:c>
      <x:c r="I41" s="34" t="str">
        <x:v>PASS</x:v>
      </x:c>
      <x:c r="J41" s="34" t="str">
        <x:v>PASS</x:v>
      </x:c>
      <x:c r="K41" s="34" t="str">
        <x:v>PASS</x:v>
      </x:c>
      <x:c r="L41" s="34" t="str">
        <x:v>FAIL</x:v>
      </x:c>
      <x:c r="M41" s="34" t="str">
        <x:v>numeric coverage for applicable metric</x:v>
      </x:c>
      <x:c r="N41" s="34" t="str">
        <x:v>Feedback-Directed Random Test Generation/Result/Cli_15/result.json</x:v>
      </x:c>
      <x:c r="O41" s="38" t="n">
        <x:f>IF(AND(G41="RECORDED",ISNUMBER(H41)),H41,"")</x:f>
        <x:v>0</x:v>
      </x:c>
      <x:c r="P41" s="34" t="str">
        <x:v>INCONCLUSIVE</x:v>
      </x:c>
      <x:c r="Q41" s="34" t="str">
        <x:v>Feedback-Directed Random Test Generation/Result/Cli_15/result.json</x:v>
      </x:c>
    </x:row>
    <x:row r="42">
      <x:c r="A42" s="34" t="str">
        <x:v>randoop</x:v>
      </x:c>
      <x:c r="B42" s="34" t="str">
        <x:v>Cli</x:v>
      </x:c>
      <x:c r="C42" s="34" t="str">
        <x:v>Round1</x:v>
      </x:c>
      <x:c r="D42" s="34" t="str">
        <x:v>Cli_16</x:v>
      </x:c>
      <x:c r="E42" s="34" t="str">
        <x:v>Coverage</x:v>
      </x:c>
      <x:c r="F42" s="34" t="n">
        <x:v>561</x:v>
      </x:c>
      <x:c r="G42" s="34" t="str">
        <x:v>RECORDED</x:v>
      </x:c>
      <x:c r="H42" s="38" t="n">
        <x:f>IF(ISNUMBER('Data'!G42),'Data'!G42*100,"")</x:f>
        <x:v>0</x:v>
      </x:c>
      <x:c r="I42" s="34" t="str">
        <x:v>PASS</x:v>
      </x:c>
      <x:c r="J42" s="34" t="str">
        <x:v>PASS</x:v>
      </x:c>
      <x:c r="K42" s="34" t="str">
        <x:v>PASS</x:v>
      </x:c>
      <x:c r="L42" s="34" t="str">
        <x:v>FAIL</x:v>
      </x:c>
      <x:c r="M42" s="34" t="str">
        <x:v>numeric coverage for applicable metric</x:v>
      </x:c>
      <x:c r="N42" s="34" t="str">
        <x:v>Feedback-Directed Random Test Generation/Result/Cli_16/result.json</x:v>
      </x:c>
      <x:c r="O42" s="38" t="n">
        <x:f>IF(AND(G42="RECORDED",ISNUMBER(H42)),H42,"")</x:f>
        <x:v>0</x:v>
      </x:c>
      <x:c r="P42" s="34" t="str">
        <x:v>INCONCLUSIVE</x:v>
      </x:c>
      <x:c r="Q42" s="34" t="str">
        <x:v>Feedback-Directed Random Test Generation/Result/Cli_16/result.json</x:v>
      </x:c>
    </x:row>
    <x:row r="43">
      <x:c r="A43" s="34" t="str">
        <x:v>randoop</x:v>
      </x:c>
      <x:c r="B43" s="34" t="str">
        <x:v>Cli</x:v>
      </x:c>
      <x:c r="C43" s="34" t="str">
        <x:v>Round1</x:v>
      </x:c>
      <x:c r="D43" s="34" t="str">
        <x:v>Cli_17</x:v>
      </x:c>
      <x:c r="E43" s="34" t="str">
        <x:v>Coverage</x:v>
      </x:c>
      <x:c r="F43" s="34" t="n">
        <x:v>109</x:v>
      </x:c>
      <x:c r="G43" s="34" t="str">
        <x:v>RECORDED</x:v>
      </x:c>
      <x:c r="H43" s="38" t="n">
        <x:f>IF(ISNUMBER('Data'!G43),'Data'!G43*100,"")</x:f>
        <x:v>0</x:v>
      </x:c>
      <x:c r="I43" s="34" t="str">
        <x:v>PASS</x:v>
      </x:c>
      <x:c r="J43" s="34" t="str">
        <x:v>PASS</x:v>
      </x:c>
      <x:c r="K43" s="34" t="str">
        <x:v>PASS</x:v>
      </x:c>
      <x:c r="L43" s="34" t="str">
        <x:v>FAIL</x:v>
      </x:c>
      <x:c r="M43" s="34" t="str">
        <x:v>numeric coverage for applicable metric</x:v>
      </x:c>
      <x:c r="N43" s="34" t="str">
        <x:v>Feedback-Directed Random Test Generation/Result/Cli_17/result.json</x:v>
      </x:c>
      <x:c r="O43" s="38" t="n">
        <x:f>IF(AND(G43="RECORDED",ISNUMBER(H43)),H43,"")</x:f>
        <x:v>0</x:v>
      </x:c>
      <x:c r="P43" s="34" t="str">
        <x:v>INCONCLUSIVE</x:v>
      </x:c>
      <x:c r="Q43" s="34" t="str">
        <x:v>Feedback-Directed Random Test Generation/Result/Cli_17/result.json</x:v>
      </x:c>
    </x:row>
    <x:row r="44">
      <x:c r="A44" s="34" t="str">
        <x:v>randoop</x:v>
      </x:c>
      <x:c r="B44" s="34" t="str">
        <x:v>Cli</x:v>
      </x:c>
      <x:c r="C44" s="34" t="str">
        <x:v>Round1</x:v>
      </x:c>
      <x:c r="D44" s="34" t="str">
        <x:v>Cli_18</x:v>
      </x:c>
      <x:c r="E44" s="34" t="str">
        <x:v>Coverage</x:v>
      </x:c>
      <x:c r="F44" s="34" t="n">
        <x:v>108</x:v>
      </x:c>
      <x:c r="G44" s="34" t="str">
        <x:v>RECORDED</x:v>
      </x:c>
      <x:c r="H44" s="38" t="n">
        <x:f>IF(ISNUMBER('Data'!G44),'Data'!G44*100,"")</x:f>
        <x:v>0</x:v>
      </x:c>
      <x:c r="I44" s="34" t="str">
        <x:v>PASS</x:v>
      </x:c>
      <x:c r="J44" s="34" t="str">
        <x:v>PASS</x:v>
      </x:c>
      <x:c r="K44" s="34" t="str">
        <x:v>PASS</x:v>
      </x:c>
      <x:c r="L44" s="34" t="str">
        <x:v>FAIL</x:v>
      </x:c>
      <x:c r="M44" s="34" t="str">
        <x:v>numeric coverage for applicable metric</x:v>
      </x:c>
      <x:c r="N44" s="34" t="str">
        <x:v>Feedback-Directed Random Test Generation/Result/Cli_18/result.json</x:v>
      </x:c>
      <x:c r="O44" s="38" t="n">
        <x:f>IF(AND(G44="RECORDED",ISNUMBER(H44)),H44,"")</x:f>
        <x:v>0</x:v>
      </x:c>
      <x:c r="P44" s="34" t="str">
        <x:v>INCONCLUSIVE</x:v>
      </x:c>
      <x:c r="Q44" s="34" t="str">
        <x:v>Feedback-Directed Random Test Generation/Result/Cli_18/result.json</x:v>
      </x:c>
    </x:row>
    <x:row r="45">
      <x:c r="A45" s="34" t="str">
        <x:v>randoop</x:v>
      </x:c>
      <x:c r="B45" s="34" t="str">
        <x:v>Cli</x:v>
      </x:c>
      <x:c r="C45" s="34" t="str">
        <x:v>Round1</x:v>
      </x:c>
      <x:c r="D45" s="34" t="str">
        <x:v>Cli_19</x:v>
      </x:c>
      <x:c r="E45" s="34" t="str">
        <x:v>Coverage</x:v>
      </x:c>
      <x:c r="F45" s="34" t="n">
        <x:v>107</x:v>
      </x:c>
      <x:c r="G45" s="34" t="str">
        <x:v>RECORDED</x:v>
      </x:c>
      <x:c r="H45" s="38" t="n">
        <x:f>IF(ISNUMBER('Data'!G45),'Data'!G45*100,"")</x:f>
        <x:v>0</x:v>
      </x:c>
      <x:c r="I45" s="34" t="str">
        <x:v>PASS</x:v>
      </x:c>
      <x:c r="J45" s="34" t="str">
        <x:v>PASS</x:v>
      </x:c>
      <x:c r="K45" s="34" t="str">
        <x:v>PASS</x:v>
      </x:c>
      <x:c r="L45" s="34" t="str">
        <x:v>FAIL</x:v>
      </x:c>
      <x:c r="M45" s="34" t="str">
        <x:v>numeric coverage for applicable metric</x:v>
      </x:c>
      <x:c r="N45" s="34" t="str">
        <x:v>Feedback-Directed Random Test Generation/Result/Cli_19/result.json</x:v>
      </x:c>
      <x:c r="O45" s="38" t="n">
        <x:f>IF(AND(G45="RECORDED",ISNUMBER(H45)),H45,"")</x:f>
        <x:v>0</x:v>
      </x:c>
      <x:c r="P45" s="34" t="str">
        <x:v>INCONCLUSIVE</x:v>
      </x:c>
      <x:c r="Q45" s="34" t="str">
        <x:v>Feedback-Directed Random Test Generation/Result/Cli_19/result.json</x:v>
      </x:c>
    </x:row>
    <x:row r="46">
      <x:c r="A46" s="34" t="str">
        <x:v>randoop</x:v>
      </x:c>
      <x:c r="B46" s="34" t="str">
        <x:v>Cli</x:v>
      </x:c>
      <x:c r="C46" s="34" t="str">
        <x:v>Round1</x:v>
      </x:c>
      <x:c r="D46" s="34" t="str">
        <x:v>Cli_20</x:v>
      </x:c>
      <x:c r="E46" s="34" t="str">
        <x:v>Coverage</x:v>
      </x:c>
      <x:c r="F46" s="34" t="n">
        <x:v>106</x:v>
      </x:c>
      <x:c r="G46" s="34" t="str">
        <x:v>RECORDED</x:v>
      </x:c>
      <x:c r="H46" s="38" t="n">
        <x:f>IF(ISNUMBER('Data'!G46),'Data'!G46*100,"")</x:f>
        <x:v>0</x:v>
      </x:c>
      <x:c r="I46" s="34" t="str">
        <x:v>PASS</x:v>
      </x:c>
      <x:c r="J46" s="34" t="str">
        <x:v>PASS</x:v>
      </x:c>
      <x:c r="K46" s="34" t="str">
        <x:v>PASS</x:v>
      </x:c>
      <x:c r="L46" s="34" t="str">
        <x:v>FAIL</x:v>
      </x:c>
      <x:c r="M46" s="34" t="str">
        <x:v>numeric coverage for applicable metric</x:v>
      </x:c>
      <x:c r="N46" s="34" t="str">
        <x:v>Feedback-Directed Random Test Generation/Result/Cli_20/result.json</x:v>
      </x:c>
      <x:c r="O46" s="38" t="n">
        <x:f>IF(AND(G46="RECORDED",ISNUMBER(H46)),H46,"")</x:f>
        <x:v>0</x:v>
      </x:c>
      <x:c r="P46" s="34" t="str">
        <x:v>INCONCLUSIVE</x:v>
      </x:c>
      <x:c r="Q46" s="34" t="str">
        <x:v>Feedback-Directed Random Test Generation/Result/Cli_20/result.json</x:v>
      </x:c>
    </x:row>
    <x:row r="47">
      <x:c r="A47" s="34" t="str">
        <x:v>randoop</x:v>
      </x:c>
      <x:c r="B47" s="34" t="str">
        <x:v>Cli</x:v>
      </x:c>
      <x:c r="C47" s="34" t="str">
        <x:v>Round1</x:v>
      </x:c>
      <x:c r="D47" s="34" t="str">
        <x:v>Cli_21</x:v>
      </x:c>
      <x:c r="E47" s="34" t="str">
        <x:v>Coverage</x:v>
      </x:c>
      <x:c r="F47" s="34" t="n">
        <x:v>482</x:v>
      </x:c>
      <x:c r="G47" s="34" t="str">
        <x:v>RECORDED</x:v>
      </x:c>
      <x:c r="H47" s="38" t="n">
        <x:f>IF(ISNUMBER('Data'!G47),'Data'!G47*100,"")</x:f>
        <x:v>0</x:v>
      </x:c>
      <x:c r="I47" s="34" t="str">
        <x:v>PASS</x:v>
      </x:c>
      <x:c r="J47" s="34" t="str">
        <x:v>PASS</x:v>
      </x:c>
      <x:c r="K47" s="34" t="str">
        <x:v>PASS</x:v>
      </x:c>
      <x:c r="L47" s="34" t="str">
        <x:v>FAIL</x:v>
      </x:c>
      <x:c r="M47" s="34" t="str">
        <x:v>numeric coverage for applicable metric</x:v>
      </x:c>
      <x:c r="N47" s="34" t="str">
        <x:v>Feedback-Directed Random Test Generation/Result/Cli_21/result.json</x:v>
      </x:c>
      <x:c r="O47" s="38" t="n">
        <x:f>IF(AND(G47="RECORDED",ISNUMBER(H47)),H47,"")</x:f>
        <x:v>0</x:v>
      </x:c>
      <x:c r="P47" s="34" t="str">
        <x:v>INCONCLUSIVE</x:v>
      </x:c>
      <x:c r="Q47" s="34" t="str">
        <x:v>Feedback-Directed Random Test Generation/Result/Cli_21/result.json</x:v>
      </x:c>
    </x:row>
    <x:row r="48">
      <x:c r="A48" s="34" t="str">
        <x:v>randoop</x:v>
      </x:c>
      <x:c r="B48" s="34" t="str">
        <x:v>Cli</x:v>
      </x:c>
      <x:c r="C48" s="34" t="str">
        <x:v>Round1</x:v>
      </x:c>
      <x:c r="D48" s="34" t="str">
        <x:v>Cli_22</x:v>
      </x:c>
      <x:c r="E48" s="34" t="str">
        <x:v>Coverage</x:v>
      </x:c>
      <x:c r="F48" s="34" t="n">
        <x:v>95</x:v>
      </x:c>
      <x:c r="G48" s="34" t="str">
        <x:v>RECORDED</x:v>
      </x:c>
      <x:c r="H48" s="38" t="n">
        <x:f>IF(ISNUMBER('Data'!G48),'Data'!G48*100,"")</x:f>
        <x:v>0</x:v>
      </x:c>
      <x:c r="I48" s="34" t="str">
        <x:v>PASS</x:v>
      </x:c>
      <x:c r="J48" s="34" t="str">
        <x:v>PASS</x:v>
      </x:c>
      <x:c r="K48" s="34" t="str">
        <x:v>PASS</x:v>
      </x:c>
      <x:c r="L48" s="34" t="str">
        <x:v>FAIL</x:v>
      </x:c>
      <x:c r="M48" s="34" t="str">
        <x:v>numeric coverage for applicable metric</x:v>
      </x:c>
      <x:c r="N48" s="34" t="str">
        <x:v>Feedback-Directed Random Test Generation/Result/Cli_22/result.json</x:v>
      </x:c>
      <x:c r="O48" s="38" t="n">
        <x:f>IF(AND(G48="RECORDED",ISNUMBER(H48)),H48,"")</x:f>
        <x:v>0</x:v>
      </x:c>
      <x:c r="P48" s="34" t="str">
        <x:v>INCONCLUSIVE</x:v>
      </x:c>
      <x:c r="Q48" s="34" t="str">
        <x:v>Feedback-Directed Random Test Generation/Result/Cli_22/result.json</x:v>
      </x:c>
    </x:row>
    <x:row r="49">
      <x:c r="A49" s="34" t="str">
        <x:v>randoop</x:v>
      </x:c>
      <x:c r="B49" s="34" t="str">
        <x:v>Cli</x:v>
      </x:c>
      <x:c r="C49" s="34" t="str">
        <x:v>Round1</x:v>
      </x:c>
      <x:c r="D49" s="34" t="str">
        <x:v>Cli_23</x:v>
      </x:c>
      <x:c r="E49" s="34" t="str">
        <x:v>Coverage</x:v>
      </x:c>
      <x:c r="F49" s="34" t="n">
        <x:v>306</x:v>
      </x:c>
      <x:c r="G49" s="34" t="str">
        <x:v>RECORDED</x:v>
      </x:c>
      <x:c r="H49" s="38" t="n">
        <x:f>IF(ISNUMBER('Data'!G49),'Data'!G49*100,"")</x:f>
        <x:v>0</x:v>
      </x:c>
      <x:c r="I49" s="34" t="str">
        <x:v>PASS</x:v>
      </x:c>
      <x:c r="J49" s="34" t="str">
        <x:v>PASS</x:v>
      </x:c>
      <x:c r="K49" s="34" t="str">
        <x:v>PASS</x:v>
      </x:c>
      <x:c r="L49" s="34" t="str">
        <x:v>FAIL</x:v>
      </x:c>
      <x:c r="M49" s="34" t="str">
        <x:v>numeric coverage for applicable metric</x:v>
      </x:c>
      <x:c r="N49" s="34" t="str">
        <x:v>Feedback-Directed Random Test Generation/Result/Cli_23/result.json</x:v>
      </x:c>
      <x:c r="O49" s="38" t="n">
        <x:f>IF(AND(G49="RECORDED",ISNUMBER(H49)),H49,"")</x:f>
        <x:v>0</x:v>
      </x:c>
      <x:c r="P49" s="34" t="str">
        <x:v>INCONCLUSIVE</x:v>
      </x:c>
      <x:c r="Q49" s="34" t="str">
        <x:v>Feedback-Directed Random Test Generation/Result/Cli_23/result.json</x:v>
      </x:c>
    </x:row>
    <x:row r="50">
      <x:c r="A50" s="34" t="str">
        <x:v>randoop</x:v>
      </x:c>
      <x:c r="B50" s="34" t="str">
        <x:v>Cli</x:v>
      </x:c>
      <x:c r="C50" s="34" t="str">
        <x:v>Round1</x:v>
      </x:c>
      <x:c r="D50" s="34" t="str">
        <x:v>Cli_24</x:v>
      </x:c>
      <x:c r="E50" s="34" t="str">
        <x:v>Coverage</x:v>
      </x:c>
      <x:c r="F50" s="34" t="n">
        <x:v>310</x:v>
      </x:c>
      <x:c r="G50" s="34" t="str">
        <x:v>RECORDED</x:v>
      </x:c>
      <x:c r="H50" s="38" t="n">
        <x:f>IF(ISNUMBER('Data'!G50),'Data'!G50*100,"")</x:f>
        <x:v>0</x:v>
      </x:c>
      <x:c r="I50" s="34" t="str">
        <x:v>PASS</x:v>
      </x:c>
      <x:c r="J50" s="34" t="str">
        <x:v>PASS</x:v>
      </x:c>
      <x:c r="K50" s="34" t="str">
        <x:v>PASS</x:v>
      </x:c>
      <x:c r="L50" s="34" t="str">
        <x:v>FAIL</x:v>
      </x:c>
      <x:c r="M50" s="34" t="str">
        <x:v>numeric coverage for applicable metric</x:v>
      </x:c>
      <x:c r="N50" s="34" t="str">
        <x:v>Feedback-Directed Random Test Generation/Result/Cli_24/result.json</x:v>
      </x:c>
      <x:c r="O50" s="38" t="n">
        <x:f>IF(AND(G50="RECORDED",ISNUMBER(H50)),H50,"")</x:f>
        <x:v>0</x:v>
      </x:c>
      <x:c r="P50" s="34" t="str">
        <x:v>INCONCLUSIVE</x:v>
      </x:c>
      <x:c r="Q50" s="34" t="str">
        <x:v>Feedback-Directed Random Test Generation/Result/Cli_24/result.json</x:v>
      </x:c>
    </x:row>
    <x:row r="51">
      <x:c r="A51" s="34" t="str">
        <x:v>randoop</x:v>
      </x:c>
      <x:c r="B51" s="34" t="str">
        <x:v>Cli</x:v>
      </x:c>
      <x:c r="C51" s="34" t="str">
        <x:v>Round1</x:v>
      </x:c>
      <x:c r="D51" s="34" t="str">
        <x:v>Cli_25</x:v>
      </x:c>
      <x:c r="E51" s="34" t="str">
        <x:v>Coverage</x:v>
      </x:c>
      <x:c r="F51" s="34" t="n">
        <x:v>310</x:v>
      </x:c>
      <x:c r="G51" s="34" t="str">
        <x:v>RECORDED</x:v>
      </x:c>
      <x:c r="H51" s="38" t="n">
        <x:f>IF(ISNUMBER('Data'!G51),'Data'!G51*100,"")</x:f>
        <x:v>0</x:v>
      </x:c>
      <x:c r="I51" s="34" t="str">
        <x:v>PASS</x:v>
      </x:c>
      <x:c r="J51" s="34" t="str">
        <x:v>PASS</x:v>
      </x:c>
      <x:c r="K51" s="34" t="str">
        <x:v>PASS</x:v>
      </x:c>
      <x:c r="L51" s="34" t="str">
        <x:v>FAIL</x:v>
      </x:c>
      <x:c r="M51" s="34" t="str">
        <x:v>numeric coverage for applicable metric</x:v>
      </x:c>
      <x:c r="N51" s="34" t="str">
        <x:v>Feedback-Directed Random Test Generation/Result/Cli_25/result.json</x:v>
      </x:c>
      <x:c r="O51" s="38" t="n">
        <x:f>IF(AND(G51="RECORDED",ISNUMBER(H51)),H51,"")</x:f>
        <x:v>0</x:v>
      </x:c>
      <x:c r="P51" s="34" t="str">
        <x:v>INCONCLUSIVE</x:v>
      </x:c>
      <x:c r="Q51" s="34" t="str">
        <x:v>Feedback-Directed Random Test Generation/Result/Cli_25/result.json</x:v>
      </x:c>
    </x:row>
    <x:row r="52">
      <x:c r="A52" s="34" t="str">
        <x:v>randoop</x:v>
      </x:c>
      <x:c r="B52" s="34" t="str">
        <x:v>Cli</x:v>
      </x:c>
      <x:c r="C52" s="34" t="str">
        <x:v>Round1</x:v>
      </x:c>
      <x:c r="D52" s="34" t="str">
        <x:v>Cli_26</x:v>
      </x:c>
      <x:c r="E52" s="34" t="str">
        <x:v>Coverage</x:v>
      </x:c>
      <x:c r="F52" s="34" t="n">
        <x:v>65</x:v>
      </x:c>
      <x:c r="G52" s="34" t="str">
        <x:v>RECORDED</x:v>
      </x:c>
      <x:c r="H52" s="38" t="n">
        <x:f>IF(ISNUMBER('Data'!G52),'Data'!G52*100,"")</x:f>
        <x:v>0</x:v>
      </x:c>
      <x:c r="I52" s="34" t="str">
        <x:v>PASS</x:v>
      </x:c>
      <x:c r="J52" s="34" t="str">
        <x:v>PASS</x:v>
      </x:c>
      <x:c r="K52" s="34" t="str">
        <x:v>PASS</x:v>
      </x:c>
      <x:c r="L52" s="34" t="str">
        <x:v>FAIL</x:v>
      </x:c>
      <x:c r="M52" s="34" t="str">
        <x:v>numeric coverage for applicable metric</x:v>
      </x:c>
      <x:c r="N52" s="34" t="str">
        <x:v>Feedback-Directed Random Test Generation/Result/Cli_26/result.json</x:v>
      </x:c>
      <x:c r="O52" s="38" t="n">
        <x:f>IF(AND(G52="RECORDED",ISNUMBER(H52)),H52,"")</x:f>
        <x:v>0</x:v>
      </x:c>
      <x:c r="P52" s="34" t="str">
        <x:v>INCONCLUSIVE</x:v>
      </x:c>
      <x:c r="Q52" s="34" t="str">
        <x:v>Feedback-Directed Random Test Generation/Result/Cli_26/result.json</x:v>
      </x:c>
    </x:row>
    <x:row r="53">
      <x:c r="A53" s="34" t="str">
        <x:v>randoop</x:v>
      </x:c>
      <x:c r="B53" s="34" t="str">
        <x:v>Cli</x:v>
      </x:c>
      <x:c r="C53" s="34" t="str">
        <x:v>Round1</x:v>
      </x:c>
      <x:c r="D53" s="34" t="str">
        <x:v>Cli_27</x:v>
      </x:c>
      <x:c r="E53" s="34" t="str">
        <x:v>Coverage</x:v>
      </x:c>
      <x:c r="F53" s="34" t="n">
        <x:v>46</x:v>
      </x:c>
      <x:c r="G53" s="34" t="str">
        <x:v>RECORDED</x:v>
      </x:c>
      <x:c r="H53" s="38" t="n">
        <x:f>IF(ISNUMBER('Data'!G53),'Data'!G53*100,"")</x:f>
        <x:v>0</x:v>
      </x:c>
      <x:c r="I53" s="34" t="str">
        <x:v>PASS</x:v>
      </x:c>
      <x:c r="J53" s="34" t="str">
        <x:v>PASS</x:v>
      </x:c>
      <x:c r="K53" s="34" t="str">
        <x:v>PASS</x:v>
      </x:c>
      <x:c r="L53" s="34" t="str">
        <x:v>FAIL</x:v>
      </x:c>
      <x:c r="M53" s="34" t="str">
        <x:v>numeric coverage for applicable metric</x:v>
      </x:c>
      <x:c r="N53" s="34" t="str">
        <x:v>Feedback-Directed Random Test Generation/Result/Cli_27/result.json</x:v>
      </x:c>
      <x:c r="O53" s="38" t="n">
        <x:f>IF(AND(G53="RECORDED",ISNUMBER(H53)),H53,"")</x:f>
        <x:v>0</x:v>
      </x:c>
      <x:c r="P53" s="34" t="str">
        <x:v>INCONCLUSIVE</x:v>
      </x:c>
      <x:c r="Q53" s="34" t="str">
        <x:v>Feedback-Directed Random Test Generation/Result/Cli_27/result.json</x:v>
      </x:c>
    </x:row>
    <x:row r="54">
      <x:c r="A54" s="34" t="str">
        <x:v>randoop</x:v>
      </x:c>
      <x:c r="B54" s="34" t="str">
        <x:v>Cli</x:v>
      </x:c>
      <x:c r="C54" s="34" t="str">
        <x:v>Round1</x:v>
      </x:c>
      <x:c r="D54" s="34" t="str">
        <x:v>Cli_28</x:v>
      </x:c>
      <x:c r="E54" s="34" t="str">
        <x:v>Coverage</x:v>
      </x:c>
      <x:c r="F54" s="34" t="n">
        <x:v>169</x:v>
      </x:c>
      <x:c r="G54" s="34" t="str">
        <x:v>RECORDED</x:v>
      </x:c>
      <x:c r="H54" s="38" t="n">
        <x:f>IF(ISNUMBER('Data'!G54),'Data'!G54*100,"")</x:f>
        <x:v>0</x:v>
      </x:c>
      <x:c r="I54" s="34" t="str">
        <x:v>PASS</x:v>
      </x:c>
      <x:c r="J54" s="34" t="str">
        <x:v>PASS</x:v>
      </x:c>
      <x:c r="K54" s="34" t="str">
        <x:v>PASS</x:v>
      </x:c>
      <x:c r="L54" s="34" t="str">
        <x:v>FAIL</x:v>
      </x:c>
      <x:c r="M54" s="34" t="str">
        <x:v>numeric coverage for applicable metric</x:v>
      </x:c>
      <x:c r="N54" s="34" t="str">
        <x:v>Feedback-Directed Random Test Generation/Result/Cli_28/result.json</x:v>
      </x:c>
      <x:c r="O54" s="38" t="n">
        <x:f>IF(AND(G54="RECORDED",ISNUMBER(H54)),H54,"")</x:f>
        <x:v>0</x:v>
      </x:c>
      <x:c r="P54" s="34" t="str">
        <x:v>INCONCLUSIVE</x:v>
      </x:c>
      <x:c r="Q54" s="34" t="str">
        <x:v>Feedback-Directed Random Test Generation/Result/Cli_28/result.json</x:v>
      </x:c>
    </x:row>
    <x:row r="55">
      <x:c r="A55" s="34" t="str">
        <x:v>randoop</x:v>
      </x:c>
      <x:c r="B55" s="34" t="str">
        <x:v>Cli</x:v>
      </x:c>
      <x:c r="C55" s="34" t="str">
        <x:v>Round1</x:v>
      </x:c>
      <x:c r="D55" s="34" t="str">
        <x:v>Cli_29</x:v>
      </x:c>
      <x:c r="E55" s="34" t="str">
        <x:v>Coverage</x:v>
      </x:c>
      <x:c r="F55" s="34" t="n">
        <x:v>24</x:v>
      </x:c>
      <x:c r="G55" s="34" t="str">
        <x:v>RECORDED</x:v>
      </x:c>
      <x:c r="H55" s="38" t="n">
        <x:f>IF(ISNUMBER('Data'!G55),'Data'!G55*100,"")</x:f>
        <x:v>0</x:v>
      </x:c>
      <x:c r="I55" s="34" t="str">
        <x:v>PASS</x:v>
      </x:c>
      <x:c r="J55" s="34" t="str">
        <x:v>PASS</x:v>
      </x:c>
      <x:c r="K55" s="34" t="str">
        <x:v>PASS</x:v>
      </x:c>
      <x:c r="L55" s="34" t="str">
        <x:v>FAIL</x:v>
      </x:c>
      <x:c r="M55" s="34" t="str">
        <x:v>numeric coverage for applicable metric</x:v>
      </x:c>
      <x:c r="N55" s="34" t="str">
        <x:v>Feedback-Directed Random Test Generation/Result/Cli_29/result.json</x:v>
      </x:c>
      <x:c r="O55" s="38" t="n">
        <x:f>IF(AND(G55="RECORDED",ISNUMBER(H55)),H55,"")</x:f>
        <x:v>0</x:v>
      </x:c>
      <x:c r="P55" s="34" t="str">
        <x:v>INCONCLUSIVE</x:v>
      </x:c>
      <x:c r="Q55" s="34" t="str">
        <x:v>Feedback-Directed Random Test Generation/Result/Cli_29/result.json</x:v>
      </x:c>
    </x:row>
    <x:row r="56">
      <x:c r="A56" s="34" t="str">
        <x:v>randoop</x:v>
      </x:c>
      <x:c r="B56" s="34" t="str">
        <x:v>Cli</x:v>
      </x:c>
      <x:c r="C56" s="34" t="str">
        <x:v>Round1</x:v>
      </x:c>
      <x:c r="D56" s="34" t="str">
        <x:v>Cli_30</x:v>
      </x:c>
      <x:c r="E56" s="34" t="str">
        <x:v>Coverage</x:v>
      </x:c>
      <x:c r="F56" s="34" t="n">
        <x:v>506</x:v>
      </x:c>
      <x:c r="G56" s="34" t="str">
        <x:v>RECORDED</x:v>
      </x:c>
      <x:c r="H56" s="38" t="n">
        <x:f>IF(ISNUMBER('Data'!G56),'Data'!G56*100,"")</x:f>
        <x:v>0</x:v>
      </x:c>
      <x:c r="I56" s="34" t="str">
        <x:v>PASS</x:v>
      </x:c>
      <x:c r="J56" s="34" t="str">
        <x:v>PASS</x:v>
      </x:c>
      <x:c r="K56" s="34" t="str">
        <x:v>PASS</x:v>
      </x:c>
      <x:c r="L56" s="34" t="str">
        <x:v>FAIL</x:v>
      </x:c>
      <x:c r="M56" s="34" t="str">
        <x:v>numeric coverage for applicable metric</x:v>
      </x:c>
      <x:c r="N56" s="34" t="str">
        <x:v>Feedback-Directed Random Test Generation/Result/Cli_30/result.json</x:v>
      </x:c>
      <x:c r="O56" s="38" t="n">
        <x:f>IF(AND(G56="RECORDED",ISNUMBER(H56)),H56,"")</x:f>
        <x:v>0</x:v>
      </x:c>
      <x:c r="P56" s="34" t="str">
        <x:v>INCONCLUSIVE</x:v>
      </x:c>
      <x:c r="Q56" s="34" t="str">
        <x:v>Feedback-Directed Random Test Generation/Result/Cli_30/result.json</x:v>
      </x:c>
    </x:row>
    <x:row r="57">
      <x:c r="A57" s="34" t="str">
        <x:v>randoop</x:v>
      </x:c>
      <x:c r="B57" s="34" t="str">
        <x:v>Cli</x:v>
      </x:c>
      <x:c r="C57" s="34" t="str">
        <x:v>Round1</x:v>
      </x:c>
      <x:c r="D57" s="34" t="str">
        <x:v>Cli_31</x:v>
      </x:c>
      <x:c r="E57" s="34" t="str">
        <x:v>Coverage</x:v>
      </x:c>
      <x:c r="F57" s="34" t="n">
        <x:v>594</x:v>
      </x:c>
      <x:c r="G57" s="34" t="str">
        <x:v>RECORDED</x:v>
      </x:c>
      <x:c r="H57" s="38" t="n">
        <x:f>IF(ISNUMBER('Data'!G57),'Data'!G57*100,"")</x:f>
        <x:v>0</x:v>
      </x:c>
      <x:c r="I57" s="34" t="str">
        <x:v>PASS</x:v>
      </x:c>
      <x:c r="J57" s="34" t="str">
        <x:v>PASS</x:v>
      </x:c>
      <x:c r="K57" s="34" t="str">
        <x:v>PASS</x:v>
      </x:c>
      <x:c r="L57" s="34" t="str">
        <x:v>FAIL</x:v>
      </x:c>
      <x:c r="M57" s="34" t="str">
        <x:v>numeric coverage for applicable metric</x:v>
      </x:c>
      <x:c r="N57" s="34" t="str">
        <x:v>Feedback-Directed Random Test Generation/Result/Cli_31/result.json</x:v>
      </x:c>
      <x:c r="O57" s="38" t="n">
        <x:f>IF(AND(G57="RECORDED",ISNUMBER(H57)),H57,"")</x:f>
        <x:v>0</x:v>
      </x:c>
      <x:c r="P57" s="34" t="str">
        <x:v>INCONCLUSIVE</x:v>
      </x:c>
      <x:c r="Q57" s="34" t="str">
        <x:v>Feedback-Directed Random Test Generation/Result/Cli_31/result.json</x:v>
      </x:c>
    </x:row>
    <x:row r="58">
      <x:c r="A58" s="34" t="str">
        <x:v>randoop</x:v>
      </x:c>
      <x:c r="B58" s="34" t="str">
        <x:v>Cli</x:v>
      </x:c>
      <x:c r="C58" s="34" t="str">
        <x:v>Round1</x:v>
      </x:c>
      <x:c r="D58" s="34" t="str">
        <x:v>Cli_32</x:v>
      </x:c>
      <x:c r="E58" s="34" t="str">
        <x:v>Coverage</x:v>
      </x:c>
      <x:c r="F58" s="34" t="n">
        <x:v>325</x:v>
      </x:c>
      <x:c r="G58" s="34" t="str">
        <x:v>RECORDED</x:v>
      </x:c>
      <x:c r="H58" s="38" t="n">
        <x:f>IF(ISNUMBER('Data'!G58),'Data'!G58*100,"")</x:f>
        <x:v>0</x:v>
      </x:c>
      <x:c r="I58" s="34" t="str">
        <x:v>PASS</x:v>
      </x:c>
      <x:c r="J58" s="34" t="str">
        <x:v>PASS</x:v>
      </x:c>
      <x:c r="K58" s="34" t="str">
        <x:v>PASS</x:v>
      </x:c>
      <x:c r="L58" s="34" t="str">
        <x:v>FAIL</x:v>
      </x:c>
      <x:c r="M58" s="34" t="str">
        <x:v>numeric coverage for applicable metric</x:v>
      </x:c>
      <x:c r="N58" s="34" t="str">
        <x:v>Feedback-Directed Random Test Generation/Result/Cli_32/result.json</x:v>
      </x:c>
      <x:c r="O58" s="38" t="n">
        <x:f>IF(AND(G58="RECORDED",ISNUMBER(H58)),H58,"")</x:f>
        <x:v>0</x:v>
      </x:c>
      <x:c r="P58" s="34" t="str">
        <x:v>INCONCLUSIVE</x:v>
      </x:c>
      <x:c r="Q58" s="34" t="str">
        <x:v>Feedback-Directed Random Test Generation/Result/Cli_32/result.json</x:v>
      </x:c>
    </x:row>
    <x:row r="59">
      <x:c r="A59" s="34" t="str">
        <x:v>randoop</x:v>
      </x:c>
      <x:c r="B59" s="34" t="str">
        <x:v>Cli</x:v>
      </x:c>
      <x:c r="C59" s="34" t="str">
        <x:v>Round1</x:v>
      </x:c>
      <x:c r="D59" s="34" t="str">
        <x:v>Cli_33</x:v>
      </x:c>
      <x:c r="E59" s="34" t="str">
        <x:v>Coverage</x:v>
      </x:c>
      <x:c r="F59" s="34" t="n">
        <x:v>315</x:v>
      </x:c>
      <x:c r="G59" s="34" t="str">
        <x:v>RECORDED</x:v>
      </x:c>
      <x:c r="H59" s="38" t="n">
        <x:f>IF(ISNUMBER('Data'!G59),'Data'!G59*100,"")</x:f>
        <x:v>0</x:v>
      </x:c>
      <x:c r="I59" s="34" t="str">
        <x:v>PASS</x:v>
      </x:c>
      <x:c r="J59" s="34" t="str">
        <x:v>PASS</x:v>
      </x:c>
      <x:c r="K59" s="34" t="str">
        <x:v>PASS</x:v>
      </x:c>
      <x:c r="L59" s="34" t="str">
        <x:v>FAIL</x:v>
      </x:c>
      <x:c r="M59" s="34" t="str">
        <x:v>numeric coverage for applicable metric</x:v>
      </x:c>
      <x:c r="N59" s="34" t="str">
        <x:v>Feedback-Directed Random Test Generation/Result/Cli_33/result.json</x:v>
      </x:c>
      <x:c r="O59" s="38" t="n">
        <x:f>IF(AND(G59="RECORDED",ISNUMBER(H59)),H59,"")</x:f>
        <x:v>0</x:v>
      </x:c>
      <x:c r="P59" s="34" t="str">
        <x:v>INCONCLUSIVE</x:v>
      </x:c>
      <x:c r="Q59" s="34" t="str">
        <x:v>Feedback-Directed Random Test Generation/Result/Cli_33/result.json</x:v>
      </x:c>
    </x:row>
    <x:row r="60">
      <x:c r="A60" s="34" t="str">
        <x:v>randoop</x:v>
      </x:c>
      <x:c r="B60" s="34" t="str">
        <x:v>Cli</x:v>
      </x:c>
      <x:c r="C60" s="34" t="str">
        <x:v>Round1</x:v>
      </x:c>
      <x:c r="D60" s="34" t="str">
        <x:v>Cli_34</x:v>
      </x:c>
      <x:c r="E60" s="34" t="str">
        <x:v>Coverage</x:v>
      </x:c>
      <x:c r="F60" s="34" t="n">
        <x:v>268</x:v>
      </x:c>
      <x:c r="G60" s="34" t="str">
        <x:v>RECORDED</x:v>
      </x:c>
      <x:c r="H60" s="38" t="n">
        <x:f>IF(ISNUMBER('Data'!G60),'Data'!G60*100,"")</x:f>
        <x:v>0</x:v>
      </x:c>
      <x:c r="I60" s="34" t="str">
        <x:v>PASS</x:v>
      </x:c>
      <x:c r="J60" s="34" t="str">
        <x:v>PASS</x:v>
      </x:c>
      <x:c r="K60" s="34" t="str">
        <x:v>PASS</x:v>
      </x:c>
      <x:c r="L60" s="34" t="str">
        <x:v>FAIL</x:v>
      </x:c>
      <x:c r="M60" s="34" t="str">
        <x:v>numeric coverage for applicable metric</x:v>
      </x:c>
      <x:c r="N60" s="34" t="str">
        <x:v>Feedback-Directed Random Test Generation/Result/Cli_34/result.json</x:v>
      </x:c>
      <x:c r="O60" s="38" t="n">
        <x:f>IF(AND(G60="RECORDED",ISNUMBER(H60)),H60,"")</x:f>
        <x:v>0</x:v>
      </x:c>
      <x:c r="P60" s="34" t="str">
        <x:v>INCONCLUSIVE</x:v>
      </x:c>
      <x:c r="Q60" s="34" t="str">
        <x:v>Feedback-Directed Random Test Generation/Result/Cli_34/result.json</x:v>
      </x:c>
    </x:row>
    <x:row r="61">
      <x:c r="A61" s="34" t="str">
        <x:v>randoop</x:v>
      </x:c>
      <x:c r="B61" s="34" t="str">
        <x:v>Cli</x:v>
      </x:c>
      <x:c r="C61" s="34" t="str">
        <x:v>Round1</x:v>
      </x:c>
      <x:c r="D61" s="34" t="str">
        <x:v>Cli_35</x:v>
      </x:c>
      <x:c r="E61" s="34" t="str">
        <x:v>Coverage</x:v>
      </x:c>
      <x:c r="F61" s="34" t="n">
        <x:v>77</x:v>
      </x:c>
      <x:c r="G61" s="34" t="str">
        <x:v>RECORDED</x:v>
      </x:c>
      <x:c r="H61" s="38" t="n">
        <x:f>IF(ISNUMBER('Data'!G61),'Data'!G61*100,"")</x:f>
        <x:v>77.92</x:v>
      </x:c>
      <x:c r="I61" s="34" t="str">
        <x:v>PASS</x:v>
      </x:c>
      <x:c r="J61" s="34" t="str">
        <x:v>PASS</x:v>
      </x:c>
      <x:c r="K61" s="34" t="str">
        <x:v>PASS</x:v>
      </x:c>
      <x:c r="L61" s="34" t="str">
        <x:v>PASS</x:v>
      </x:c>
      <x:c r="M61" s="34" t="str">
        <x:v>numeric coverage for applicable metric</x:v>
      </x:c>
      <x:c r="N61" s="34" t="str">
        <x:v>Feedback-Directed Random Test Generation/Result/Cli_35/result.json</x:v>
      </x:c>
      <x:c r="O61" s="38" t="n">
        <x:f>IF(AND(G61="RECORDED",ISNUMBER(H61)),H61,"")</x:f>
        <x:v>77.92</x:v>
      </x:c>
      <x:c r="P61" s="34" t="str">
        <x:v>NOT_REVEALING</x:v>
      </x:c>
      <x:c r="Q61" s="34" t="str">
        <x:v>Feedback-Directed Random Test Generation/Result/Cli_35/result.json</x:v>
      </x:c>
    </x:row>
    <x:row r="62">
      <x:c r="A62" s="34" t="str">
        <x:v>randoop</x:v>
      </x:c>
      <x:c r="B62" s="34" t="str">
        <x:v>Cli</x:v>
      </x:c>
      <x:c r="C62" s="34" t="str">
        <x:v>Round1</x:v>
      </x:c>
      <x:c r="D62" s="34" t="str">
        <x:v>Cli_36</x:v>
      </x:c>
      <x:c r="E62" s="34" t="str">
        <x:v>Coverage</x:v>
      </x:c>
      <x:c r="F62" s="34" t="n">
        <x:v>130</x:v>
      </x:c>
      <x:c r="G62" s="34" t="str">
        <x:v>RECORDED</x:v>
      </x:c>
      <x:c r="H62" s="38" t="n">
        <x:f>IF(ISNUMBER('Data'!G62),'Data'!G62*100,"")</x:f>
        <x:v>89.23</x:v>
      </x:c>
      <x:c r="I62" s="34" t="str">
        <x:v>PASS</x:v>
      </x:c>
      <x:c r="J62" s="34" t="str">
        <x:v>PASS</x:v>
      </x:c>
      <x:c r="K62" s="34" t="str">
        <x:v>PASS</x:v>
      </x:c>
      <x:c r="L62" s="34" t="str">
        <x:v>PASS</x:v>
      </x:c>
      <x:c r="M62" s="34" t="str">
        <x:v>numeric coverage for applicable metric</x:v>
      </x:c>
      <x:c r="N62" s="34" t="str">
        <x:v>Feedback-Directed Random Test Generation/Result/Cli_36/result.json</x:v>
      </x:c>
      <x:c r="O62" s="38" t="n">
        <x:f>IF(AND(G62="RECORDED",ISNUMBER(H62)),H62,"")</x:f>
        <x:v>89.23</x:v>
      </x:c>
      <x:c r="P62" s="34" t="str">
        <x:v>NOT_REVEALING</x:v>
      </x:c>
      <x:c r="Q62" s="34" t="str">
        <x:v>Feedback-Directed Random Test Generation/Result/Cli_36/result.json</x:v>
      </x:c>
    </x:row>
    <x:row r="63">
      <x:c r="A63" s="34" t="str">
        <x:v>randoop</x:v>
      </x:c>
      <x:c r="B63" s="34" t="str">
        <x:v>Cli</x:v>
      </x:c>
      <x:c r="C63" s="34" t="str">
        <x:v>Round1</x:v>
      </x:c>
      <x:c r="D63" s="34" t="str">
        <x:v>Cli_37</x:v>
      </x:c>
      <x:c r="E63" s="34" t="str">
        <x:v>Coverage</x:v>
      </x:c>
      <x:c r="F63" s="34" t="n">
        <x:v>345</x:v>
      </x:c>
      <x:c r="G63" s="34" t="str">
        <x:v>RECORDED</x:v>
      </x:c>
      <x:c r="H63" s="38" t="n">
        <x:f>IF(ISNUMBER('Data'!G63),'Data'!G63*100,"")</x:f>
        <x:v>4.35</x:v>
      </x:c>
      <x:c r="I63" s="34" t="str">
        <x:v>PASS</x:v>
      </x:c>
      <x:c r="J63" s="34" t="str">
        <x:v>PASS</x:v>
      </x:c>
      <x:c r="K63" s="34" t="str">
        <x:v>PASS</x:v>
      </x:c>
      <x:c r="L63" s="34" t="str">
        <x:v>FAIL</x:v>
      </x:c>
      <x:c r="M63" s="34" t="str">
        <x:v>numeric coverage for applicable metric</x:v>
      </x:c>
      <x:c r="N63" s="34" t="str">
        <x:v>Feedback-Directed Random Test Generation/Result/Cli_37/result.json</x:v>
      </x:c>
      <x:c r="O63" s="38" t="n">
        <x:f>IF(AND(G63="RECORDED",ISNUMBER(H63)),H63,"")</x:f>
        <x:v>4.35</x:v>
      </x:c>
      <x:c r="P63" s="34" t="str">
        <x:v>INCONCLUSIVE</x:v>
      </x:c>
      <x:c r="Q63" s="34" t="str">
        <x:v>Feedback-Directed Random Test Generation/Result/Cli_37/result.json</x:v>
      </x:c>
    </x:row>
    <x:row r="64">
      <x:c r="A64" s="34" t="str">
        <x:v>randoop</x:v>
      </x:c>
      <x:c r="B64" s="34" t="str">
        <x:v>Cli</x:v>
      </x:c>
      <x:c r="C64" s="34" t="str">
        <x:v>Round1</x:v>
      </x:c>
      <x:c r="D64" s="34" t="str">
        <x:v>Cli_38</x:v>
      </x:c>
      <x:c r="E64" s="34" t="str">
        <x:v>Coverage</x:v>
      </x:c>
      <x:c r="F64" s="34" t="n">
        <x:v>349</x:v>
      </x:c>
      <x:c r="G64" s="34" t="str">
        <x:v>RECORDED</x:v>
      </x:c>
      <x:c r="H64" s="38" t="n">
        <x:f>IF(ISNUMBER('Data'!G64),'Data'!G64*100,"")</x:f>
        <x:v>4.3</x:v>
      </x:c>
      <x:c r="I64" s="34" t="str">
        <x:v>PASS</x:v>
      </x:c>
      <x:c r="J64" s="34" t="str">
        <x:v>PASS</x:v>
      </x:c>
      <x:c r="K64" s="34" t="str">
        <x:v>PASS</x:v>
      </x:c>
      <x:c r="L64" s="34" t="str">
        <x:v>FAIL</x:v>
      </x:c>
      <x:c r="M64" s="34" t="str">
        <x:v>numeric coverage for applicable metric</x:v>
      </x:c>
      <x:c r="N64" s="34" t="str">
        <x:v>Feedback-Directed Random Test Generation/Result/Cli_38/result.json</x:v>
      </x:c>
      <x:c r="O64" s="38" t="n">
        <x:f>IF(AND(G64="RECORDED",ISNUMBER(H64)),H64,"")</x:f>
        <x:v>4.3</x:v>
      </x:c>
      <x:c r="P64" s="34" t="str">
        <x:v>INCONCLUSIVE</x:v>
      </x:c>
      <x:c r="Q64" s="34" t="str">
        <x:v>Feedback-Directed Random Test Generation/Result/Cli_38/result.json</x:v>
      </x:c>
    </x:row>
    <x:row r="65">
      <x:c r="A65" s="34" t="str">
        <x:v>randoop</x:v>
      </x:c>
      <x:c r="B65" s="34" t="str">
        <x:v>Cli</x:v>
      </x:c>
      <x:c r="C65" s="34" t="str">
        <x:v>Round1</x:v>
      </x:c>
      <x:c r="D65" s="34" t="str">
        <x:v>Cli_39</x:v>
      </x:c>
      <x:c r="E65" s="34" t="str">
        <x:v>Coverage</x:v>
      </x:c>
      <x:c r="F65" s="34" t="n">
        <x:v>62</x:v>
      </x:c>
      <x:c r="G65" s="34" t="str">
        <x:v>RECORDED</x:v>
      </x:c>
      <x:c r="H65" s="38" t="n">
        <x:f>IF(ISNUMBER('Data'!G65),'Data'!G65*100,"")</x:f>
        <x:v>64.52</x:v>
      </x:c>
      <x:c r="I65" s="34" t="str">
        <x:v>PASS</x:v>
      </x:c>
      <x:c r="J65" s="34" t="str">
        <x:v>PASS</x:v>
      </x:c>
      <x:c r="K65" s="34" t="str">
        <x:v>PASS</x:v>
      </x:c>
      <x:c r="L65" s="34" t="str">
        <x:v>PASS</x:v>
      </x:c>
      <x:c r="M65" s="34" t="str">
        <x:v>numeric coverage for applicable metric</x:v>
      </x:c>
      <x:c r="N65" s="34" t="str">
        <x:v>Feedback-Directed Random Test Generation/Result/Cli_39/result.json</x:v>
      </x:c>
      <x:c r="O65" s="38" t="n">
        <x:f>IF(AND(G65="RECORDED",ISNUMBER(H65)),H65,"")</x:f>
        <x:v>64.52</x:v>
      </x:c>
      <x:c r="P65" s="34" t="str">
        <x:v>NOT_REVEALING</x:v>
      </x:c>
      <x:c r="Q65" s="34" t="str">
        <x:v>Feedback-Directed Random Test Generation/Result/Cli_39/result.json</x:v>
      </x:c>
    </x:row>
    <x:row r="66">
      <x:c r="A66" s="34" t="str">
        <x:v>randoop</x:v>
      </x:c>
      <x:c r="B66" s="34" t="str">
        <x:v>Cli</x:v>
      </x:c>
      <x:c r="C66" s="34" t="str">
        <x:v>Round1</x:v>
      </x:c>
      <x:c r="D66" s="34" t="str">
        <x:v>Cli_40</x:v>
      </x:c>
      <x:c r="E66" s="34" t="str">
        <x:v>Coverage</x:v>
      </x:c>
      <x:c r="F66" s="34" t="n">
        <x:v>65</x:v>
      </x:c>
      <x:c r="G66" s="34" t="str">
        <x:v>RECORDED</x:v>
      </x:c>
      <x:c r="H66" s="38" t="n">
        <x:f>IF(ISNUMBER('Data'!G66),'Data'!G66*100,"")</x:f>
        <x:v>69.23</x:v>
      </x:c>
      <x:c r="I66" s="34" t="str">
        <x:v>PASS</x:v>
      </x:c>
      <x:c r="J66" s="34" t="str">
        <x:v>PASS</x:v>
      </x:c>
      <x:c r="K66" s="34" t="str">
        <x:v>PASS</x:v>
      </x:c>
      <x:c r="L66" s="34" t="str">
        <x:v>PASS</x:v>
      </x:c>
      <x:c r="M66" s="34" t="str">
        <x:v>numeric coverage for applicable metric</x:v>
      </x:c>
      <x:c r="N66" s="34" t="str">
        <x:v>Feedback-Directed Random Test Generation/Result/Cli_40/result.json</x:v>
      </x:c>
      <x:c r="O66" s="38" t="n">
        <x:f>IF(AND(G66="RECORDED",ISNUMBER(H66)),H66,"")</x:f>
        <x:v>69.23</x:v>
      </x:c>
      <x:c r="P66" s="34" t="str">
        <x:v>INCONCLUSIVE</x:v>
      </x:c>
      <x:c r="Q66" s="34" t="str">
        <x:v>Feedback-Directed Random Test Generation/Result/Cli_40/result.json</x:v>
      </x:c>
    </x:row>
    <x:row r="67">
      <x:c r="A67" s="34" t="str">
        <x:v>randoop</x:v>
      </x:c>
      <x:c r="B67" s="34" t="str">
        <x:v>Closure</x:v>
      </x:c>
      <x:c r="C67" s="34" t="str">
        <x:v>Round1</x:v>
      </x:c>
      <x:c r="D67" s="34" t="str">
        <x:v>Closure_1</x:v>
      </x:c>
      <x:c r="E67" s="34" t="str">
        <x:v>Coverage</x:v>
      </x:c>
      <x:c r="F67" s="34" t="n">
        <x:v>675</x:v>
      </x:c>
      <x:c r="G67" s="34" t="str">
        <x:v>RECORDED</x:v>
      </x:c>
      <x:c r="H67" s="38" t="n">
        <x:f>IF(ISNUMBER('Data'!G67),'Data'!G67*100,"")</x:f>
        <x:v>1.9299999999999997</x:v>
      </x:c>
      <x:c r="I67" s="34" t="str">
        <x:v>PASS</x:v>
      </x:c>
      <x:c r="J67" s="34" t="str">
        <x:v>PASS</x:v>
      </x:c>
      <x:c r="K67" s="34" t="str">
        <x:v>PASS</x:v>
      </x:c>
      <x:c r="L67" s="34" t="str">
        <x:v>PASS</x:v>
      </x:c>
      <x:c r="M67" s="34" t="str">
        <x:v>numeric coverage for applicable metric</x:v>
      </x:c>
      <x:c r="N67" s="34" t="str">
        <x:v>Feedback-Directed Random Test Generation/Result/Closure_1/result.json</x:v>
      </x:c>
      <x:c r="O67" s="38" t="n">
        <x:f>IF(AND(G67="RECORDED",ISNUMBER(H67)),H67,"")</x:f>
        <x:v>1.9299999999999997</x:v>
      </x:c>
      <x:c r="P67" s="34" t="str">
        <x:v>NOT_REVEALING</x:v>
      </x:c>
      <x:c r="Q67" s="34" t="str">
        <x:v>Feedback-Directed Random Test Generation/Result/Closure_1/result.json</x:v>
      </x:c>
    </x:row>
    <x:row r="68">
      <x:c r="A68" s="34" t="str">
        <x:v>randoop</x:v>
      </x:c>
      <x:c r="B68" s="34" t="str">
        <x:v>Closure</x:v>
      </x:c>
      <x:c r="C68" s="34" t="str">
        <x:v>Round1</x:v>
      </x:c>
      <x:c r="D68" s="34" t="str">
        <x:v>Closure_2</x:v>
      </x:c>
      <x:c r="E68" s="34" t="str">
        <x:v>Coverage</x:v>
      </x:c>
      <x:c r="F68" s="34" t="n">
        <x:v>1394</x:v>
      </x:c>
      <x:c r="G68" s="34" t="str">
        <x:v>RECORDED</x:v>
      </x:c>
      <x:c r="H68" s="38" t="n">
        <x:f>IF(ISNUMBER('Data'!G68),'Data'!G68*100,"")</x:f>
        <x:v>5.38</x:v>
      </x:c>
      <x:c r="I68" s="34" t="str">
        <x:v>PASS</x:v>
      </x:c>
      <x:c r="J68" s="34" t="str">
        <x:v>PASS</x:v>
      </x:c>
      <x:c r="K68" s="34" t="str">
        <x:v>PASS</x:v>
      </x:c>
      <x:c r="L68" s="34" t="str">
        <x:v>PASS</x:v>
      </x:c>
      <x:c r="M68" s="34" t="str">
        <x:v>numeric coverage for applicable metric</x:v>
      </x:c>
      <x:c r="N68" s="34" t="str">
        <x:v>Feedback-Directed Random Test Generation/Result/Closure_2/result.json</x:v>
      </x:c>
      <x:c r="O68" s="38" t="n">
        <x:f>IF(AND(G68="RECORDED",ISNUMBER(H68)),H68,"")</x:f>
        <x:v>5.38</x:v>
      </x:c>
      <x:c r="P68" s="34" t="str">
        <x:v>NOT_REVEALING</x:v>
      </x:c>
      <x:c r="Q68" s="34" t="str">
        <x:v>Feedback-Directed Random Test Generation/Result/Closure_2/result.json</x:v>
      </x:c>
    </x:row>
    <x:row r="69">
      <x:c r="A69" s="34" t="str">
        <x:v>randoop</x:v>
      </x:c>
      <x:c r="B69" s="34" t="str">
        <x:v>Closure</x:v>
      </x:c>
      <x:c r="C69" s="34" t="str">
        <x:v>Round1</x:v>
      </x:c>
      <x:c r="D69" s="34" t="str">
        <x:v>Closure_3</x:v>
      </x:c>
      <x:c r="E69" s="34" t="str">
        <x:v>Coverage</x:v>
      </x:c>
      <x:c r="F69" s="34" t="n">
        <x:v>303</x:v>
      </x:c>
      <x:c r="G69" s="34" t="str">
        <x:v>RECORDED</x:v>
      </x:c>
      <x:c r="H69" s="38" t="n">
        <x:f>IF(ISNUMBER('Data'!G69),'Data'!G69*100,"")</x:f>
        <x:v>3.3000000000000003</x:v>
      </x:c>
      <x:c r="I69" s="34" t="str">
        <x:v>PASS</x:v>
      </x:c>
      <x:c r="J69" s="34" t="str">
        <x:v>PASS</x:v>
      </x:c>
      <x:c r="K69" s="34" t="str">
        <x:v>PASS</x:v>
      </x:c>
      <x:c r="L69" s="34" t="str">
        <x:v>PASS</x:v>
      </x:c>
      <x:c r="M69" s="34" t="str">
        <x:v>numeric coverage for applicable metric</x:v>
      </x:c>
      <x:c r="N69" s="34" t="str">
        <x:v>Feedback-Directed Random Test Generation/Result/Closure_3/result.json</x:v>
      </x:c>
      <x:c r="O69" s="38" t="n">
        <x:f>IF(AND(G69="RECORDED",ISNUMBER(H69)),H69,"")</x:f>
        <x:v>3.3000000000000003</x:v>
      </x:c>
      <x:c r="P69" s="34" t="str">
        <x:v>NOT_REVEALING</x:v>
      </x:c>
      <x:c r="Q69" s="34" t="str">
        <x:v>Feedback-Directed Random Test Generation/Result/Closure_3/result.json</x:v>
      </x:c>
    </x:row>
    <x:row r="70">
      <x:c r="A70" s="34" t="str">
        <x:v>randoop</x:v>
      </x:c>
      <x:c r="B70" s="34" t="str">
        <x:v>Closure</x:v>
      </x:c>
      <x:c r="C70" s="34" t="str">
        <x:v>Round1</x:v>
      </x:c>
      <x:c r="D70" s="34" t="str">
        <x:v>Closure_4</x:v>
      </x:c>
      <x:c r="E70" s="34" t="str">
        <x:v>Coverage</x:v>
      </x:c>
      <x:c r="F70" s="34" t="n">
        <x:v>218</x:v>
      </x:c>
      <x:c r="G70" s="34" t="str">
        <x:v>RECORDED</x:v>
      </x:c>
      <x:c r="H70" s="38" t="n">
        <x:f>IF(ISNUMBER('Data'!G70),'Data'!G70*100,"")</x:f>
        <x:v>0.45999999999999996</x:v>
      </x:c>
      <x:c r="I70" s="34" t="str">
        <x:v>PASS</x:v>
      </x:c>
      <x:c r="J70" s="34" t="str">
        <x:v>PASS</x:v>
      </x:c>
      <x:c r="K70" s="34" t="str">
        <x:v>PASS</x:v>
      </x:c>
      <x:c r="L70" s="34" t="str">
        <x:v>PASS</x:v>
      </x:c>
      <x:c r="M70" s="34" t="str">
        <x:v>numeric coverage for applicable metric</x:v>
      </x:c>
      <x:c r="N70" s="34" t="str">
        <x:v>Feedback-Directed Random Test Generation/Result/Closure_4/result.json</x:v>
      </x:c>
      <x:c r="O70" s="38" t="n">
        <x:f>IF(AND(G70="RECORDED",ISNUMBER(H70)),H70,"")</x:f>
        <x:v>0.45999999999999996</x:v>
      </x:c>
      <x:c r="P70" s="34" t="str">
        <x:v>NOT_REVEALING</x:v>
      </x:c>
      <x:c r="Q70" s="34" t="str">
        <x:v>Feedback-Directed Random Test Generation/Result/Closure_4/result.json</x:v>
      </x:c>
    </x:row>
    <x:row r="71">
      <x:c r="A71" s="34" t="str">
        <x:v>randoop</x:v>
      </x:c>
      <x:c r="B71" s="34" t="str">
        <x:v>Closure</x:v>
      </x:c>
      <x:c r="C71" s="34" t="str">
        <x:v>Round1</x:v>
      </x:c>
      <x:c r="D71" s="34" t="str">
        <x:v>Closure_5</x:v>
      </x:c>
      <x:c r="E71" s="34" t="str">
        <x:v>Coverage</x:v>
      </x:c>
      <x:c r="F71" s="34" t="n">
        <x:v>289</x:v>
      </x:c>
      <x:c r="G71" s="34" t="str">
        <x:v>RECORDED</x:v>
      </x:c>
      <x:c r="H71" s="38" t="n">
        <x:f>IF(ISNUMBER('Data'!G71),'Data'!G71*100,"")</x:f>
        <x:v>2.77</x:v>
      </x:c>
      <x:c r="I71" s="34" t="str">
        <x:v>PASS</x:v>
      </x:c>
      <x:c r="J71" s="34" t="str">
        <x:v>PASS</x:v>
      </x:c>
      <x:c r="K71" s="34" t="str">
        <x:v>PASS</x:v>
      </x:c>
      <x:c r="L71" s="34" t="str">
        <x:v>PASS</x:v>
      </x:c>
      <x:c r="M71" s="34" t="str">
        <x:v>numeric coverage for applicable metric</x:v>
      </x:c>
      <x:c r="N71" s="34" t="str">
        <x:v>Feedback-Directed Random Test Generation/Result/Closure_5/result.json</x:v>
      </x:c>
      <x:c r="O71" s="38" t="n">
        <x:f>IF(AND(G71="RECORDED",ISNUMBER(H71)),H71,"")</x:f>
        <x:v>2.77</x:v>
      </x:c>
      <x:c r="P71" s="34" t="str">
        <x:v>NOT_REVEALING</x:v>
      </x:c>
      <x:c r="Q71" s="34" t="str">
        <x:v>Feedback-Directed Random Test Generation/Result/Closure_5/result.json</x:v>
      </x:c>
    </x:row>
    <x:row r="72">
      <x:c r="A72" s="34" t="str">
        <x:v>randoop</x:v>
      </x:c>
      <x:c r="B72" s="34" t="str">
        <x:v>Closure</x:v>
      </x:c>
      <x:c r="C72" s="34" t="str">
        <x:v>Round1</x:v>
      </x:c>
      <x:c r="D72" s="34" t="str">
        <x:v>Closure_6</x:v>
      </x:c>
      <x:c r="E72" s="34" t="str">
        <x:v>Coverage</x:v>
      </x:c>
      <x:c r="F72" s="34" t="n">
        <x:v>503</x:v>
      </x:c>
      <x:c r="G72" s="34" t="str">
        <x:v>RECORDED</x:v>
      </x:c>
      <x:c r="H72" s="38" t="n">
        <x:f>IF(ISNUMBER('Data'!G72),'Data'!G72*100,"")</x:f>
        <x:v>4.77</x:v>
      </x:c>
      <x:c r="I72" s="34" t="str">
        <x:v>PASS</x:v>
      </x:c>
      <x:c r="J72" s="34" t="str">
        <x:v>PASS</x:v>
      </x:c>
      <x:c r="K72" s="34" t="str">
        <x:v>PASS</x:v>
      </x:c>
      <x:c r="L72" s="34" t="str">
        <x:v>PASS</x:v>
      </x:c>
      <x:c r="M72" s="34" t="str">
        <x:v>numeric coverage for applicable metric</x:v>
      </x:c>
      <x:c r="N72" s="34" t="str">
        <x:v>Feedback-Directed Random Test Generation/Result/Closure_6/result.json</x:v>
      </x:c>
      <x:c r="O72" s="38" t="n">
        <x:f>IF(AND(G72="RECORDED",ISNUMBER(H72)),H72,"")</x:f>
        <x:v>4.77</x:v>
      </x:c>
      <x:c r="P72" s="34" t="str">
        <x:v>NOT_REVEALING</x:v>
      </x:c>
      <x:c r="Q72" s="34" t="str">
        <x:v>Feedback-Directed Random Test Generation/Result/Closure_6/result.json</x:v>
      </x:c>
    </x:row>
    <x:row r="73">
      <x:c r="A73" s="34" t="str">
        <x:v>randoop</x:v>
      </x:c>
      <x:c r="B73" s="34" t="str">
        <x:v>Closure</x:v>
      </x:c>
      <x:c r="C73" s="34" t="str">
        <x:v>Round1</x:v>
      </x:c>
      <x:c r="D73" s="34" t="str">
        <x:v>Closure_7</x:v>
      </x:c>
      <x:c r="E73" s="34" t="str">
        <x:v>Coverage</x:v>
      </x:c>
      <x:c r="F73" s="34" t="n">
        <x:v>269</x:v>
      </x:c>
      <x:c r="G73" s="34" t="str">
        <x:v>RECORDED</x:v>
      </x:c>
      <x:c r="H73" s="38" t="n">
        <x:f>IF(ISNUMBER('Data'!G73),'Data'!G73*100,"")</x:f>
        <x:v>0</x:v>
      </x:c>
      <x:c r="I73" s="34" t="str">
        <x:v>PASS</x:v>
      </x:c>
      <x:c r="J73" s="34" t="str">
        <x:v>PASS</x:v>
      </x:c>
      <x:c r="K73" s="34" t="str">
        <x:v>PASS</x:v>
      </x:c>
      <x:c r="L73" s="34" t="str">
        <x:v>PASS</x:v>
      </x:c>
      <x:c r="M73" s="34" t="str">
        <x:v>numeric coverage for applicable metric</x:v>
      </x:c>
      <x:c r="N73" s="34" t="str">
        <x:v>Feedback-Directed Random Test Generation/Result/Closure_7/result.json</x:v>
      </x:c>
      <x:c r="O73" s="38" t="n">
        <x:f>IF(AND(G73="RECORDED",ISNUMBER(H73)),H73,"")</x:f>
        <x:v>0</x:v>
      </x:c>
      <x:c r="P73" s="34" t="str">
        <x:v>NOT_REVEALING</x:v>
      </x:c>
      <x:c r="Q73" s="34" t="str">
        <x:v>Feedback-Directed Random Test Generation/Result/Closure_7/result.json</x:v>
      </x:c>
    </x:row>
    <x:row r="74">
      <x:c r="A74" s="34" t="str">
        <x:v>randoop</x:v>
      </x:c>
      <x:c r="B74" s="34" t="str">
        <x:v>Closure</x:v>
      </x:c>
      <x:c r="C74" s="34" t="str">
        <x:v>Round1</x:v>
      </x:c>
      <x:c r="D74" s="34" t="str">
        <x:v>Closure_8</x:v>
      </x:c>
      <x:c r="E74" s="34" t="str">
        <x:v>Coverage</x:v>
      </x:c>
      <x:c r="F74" s="34" t="n">
        <x:v>136</x:v>
      </x:c>
      <x:c r="G74" s="34" t="str">
        <x:v>RECORDED</x:v>
      </x:c>
      <x:c r="H74" s="38" t="n">
        <x:f>IF(ISNUMBER('Data'!G74),'Data'!G74*100,"")</x:f>
        <x:v>2.94</x:v>
      </x:c>
      <x:c r="I74" s="34" t="str">
        <x:v>PASS</x:v>
      </x:c>
      <x:c r="J74" s="34" t="str">
        <x:v>PASS</x:v>
      </x:c>
      <x:c r="K74" s="34" t="str">
        <x:v>PASS</x:v>
      </x:c>
      <x:c r="L74" s="34" t="str">
        <x:v>PASS</x:v>
      </x:c>
      <x:c r="M74" s="34" t="str">
        <x:v>numeric coverage for applicable metric</x:v>
      </x:c>
      <x:c r="N74" s="34" t="str">
        <x:v>Feedback-Directed Random Test Generation/Result/Closure_8/result.json</x:v>
      </x:c>
      <x:c r="O74" s="38" t="n">
        <x:f>IF(AND(G74="RECORDED",ISNUMBER(H74)),H74,"")</x:f>
        <x:v>2.94</x:v>
      </x:c>
      <x:c r="P74" s="34" t="str">
        <x:v>NOT_REVEALING</x:v>
      </x:c>
      <x:c r="Q74" s="34" t="str">
        <x:v>Feedback-Directed Random Test Generation/Result/Closure_8/result.json</x:v>
      </x:c>
    </x:row>
    <x:row r="75">
      <x:c r="A75" s="34" t="str">
        <x:v>randoop</x:v>
      </x:c>
      <x:c r="B75" s="34" t="str">
        <x:v>Closure</x:v>
      </x:c>
      <x:c r="C75" s="34" t="str">
        <x:v>Round1</x:v>
      </x:c>
      <x:c r="D75" s="34" t="str">
        <x:v>Closure_9</x:v>
      </x:c>
      <x:c r="E75" s="34" t="str">
        <x:v>Coverage</x:v>
      </x:c>
      <x:c r="F75" s="34" t="n">
        <x:v>151</x:v>
      </x:c>
      <x:c r="G75" s="34" t="str">
        <x:v>RECORDED</x:v>
      </x:c>
      <x:c r="H75" s="38" t="n">
        <x:f>IF(ISNUMBER('Data'!G75),'Data'!G75*100,"")</x:f>
        <x:v>23.18</x:v>
      </x:c>
      <x:c r="I75" s="34" t="str">
        <x:v>PASS</x:v>
      </x:c>
      <x:c r="J75" s="34" t="str">
        <x:v>PASS</x:v>
      </x:c>
      <x:c r="K75" s="34" t="str">
        <x:v>PASS</x:v>
      </x:c>
      <x:c r="L75" s="34" t="str">
        <x:v>PASS</x:v>
      </x:c>
      <x:c r="M75" s="34" t="str">
        <x:v>numeric coverage for applicable metric</x:v>
      </x:c>
      <x:c r="N75" s="34" t="str">
        <x:v>Feedback-Directed Random Test Generation/Result/Closure_9/result.json</x:v>
      </x:c>
      <x:c r="O75" s="38" t="n">
        <x:f>IF(AND(G75="RECORDED",ISNUMBER(H75)),H75,"")</x:f>
        <x:v>23.18</x:v>
      </x:c>
      <x:c r="P75" s="34" t="str">
        <x:v>NOT_REVEALING</x:v>
      </x:c>
      <x:c r="Q75" s="34" t="str">
        <x:v>Feedback-Directed Random Test Generation/Result/Closure_9/result.json</x:v>
      </x:c>
    </x:row>
    <x:row r="76">
      <x:c r="A76" s="34" t="str">
        <x:v>randoop</x:v>
      </x:c>
      <x:c r="B76" s="34" t="str">
        <x:v>Closure</x:v>
      </x:c>
      <x:c r="C76" s="34" t="str">
        <x:v>Round1</x:v>
      </x:c>
      <x:c r="D76" s="34" t="str">
        <x:v>Closure_10</x:v>
      </x:c>
      <x:c r="E76" s="34" t="str">
        <x:v>Coverage</x:v>
      </x:c>
      <x:c r="F76" s="34" t="n">
        <x:v>2060</x:v>
      </x:c>
      <x:c r="G76" s="34" t="str">
        <x:v>RECORDED</x:v>
      </x:c>
      <x:c r="H76" s="38" t="n">
        <x:f>IF(ISNUMBER('Data'!G76),'Data'!G76*100,"")</x:f>
        <x:v>34.81</x:v>
      </x:c>
      <x:c r="I76" s="34" t="str">
        <x:v>PASS</x:v>
      </x:c>
      <x:c r="J76" s="34" t="str">
        <x:v>PASS</x:v>
      </x:c>
      <x:c r="K76" s="34" t="str">
        <x:v>PASS</x:v>
      </x:c>
      <x:c r="L76" s="34" t="str">
        <x:v>FAIL</x:v>
      </x:c>
      <x:c r="M76" s="34" t="str">
        <x:v>numeric coverage for applicable metric</x:v>
      </x:c>
      <x:c r="N76" s="34" t="str">
        <x:v>Feedback-Directed Random Test Generation/Result/Closure_10/result.json</x:v>
      </x:c>
      <x:c r="O76" s="38" t="n">
        <x:f>IF(AND(G76="RECORDED",ISNUMBER(H76)),H76,"")</x:f>
        <x:v>34.81</x:v>
      </x:c>
      <x:c r="P76" s="34" t="str">
        <x:v>INCONCLUSIVE</x:v>
      </x:c>
      <x:c r="Q76" s="34" t="str">
        <x:v>Feedback-Directed Random Test Generation/Result/Closure_10/result.json</x:v>
      </x:c>
    </x:row>
    <x:row r="77">
      <x:c r="A77" s="34" t="str">
        <x:v>randoop</x:v>
      </x:c>
      <x:c r="B77" s="34" t="str">
        <x:v>Closure</x:v>
      </x:c>
      <x:c r="C77" s="34" t="str">
        <x:v>Round1</x:v>
      </x:c>
      <x:c r="D77" s="34" t="str">
        <x:v>Closure_11</x:v>
      </x:c>
      <x:c r="E77" s="34" t="str">
        <x:v>Coverage</x:v>
      </x:c>
      <x:c r="F77" s="34" t="n">
        <x:v>1327</x:v>
      </x:c>
      <x:c r="G77" s="34" t="str">
        <x:v>RECORDED</x:v>
      </x:c>
      <x:c r="H77" s="38" t="n">
        <x:f>IF(ISNUMBER('Data'!G77),'Data'!G77*100,"")</x:f>
        <x:v>5.2</x:v>
      </x:c>
      <x:c r="I77" s="34" t="str">
        <x:v>PASS</x:v>
      </x:c>
      <x:c r="J77" s="34" t="str">
        <x:v>PASS</x:v>
      </x:c>
      <x:c r="K77" s="34" t="str">
        <x:v>PASS</x:v>
      </x:c>
      <x:c r="L77" s="34" t="str">
        <x:v>PASS</x:v>
      </x:c>
      <x:c r="M77" s="34" t="str">
        <x:v>numeric coverage for applicable metric</x:v>
      </x:c>
      <x:c r="N77" s="34" t="str">
        <x:v>Feedback-Directed Random Test Generation/Result/Closure_11/result.json</x:v>
      </x:c>
      <x:c r="O77" s="38" t="n">
        <x:f>IF(AND(G77="RECORDED",ISNUMBER(H77)),H77,"")</x:f>
        <x:v>5.2</x:v>
      </x:c>
      <x:c r="P77" s="34" t="str">
        <x:v>NOT_REVEALING</x:v>
      </x:c>
      <x:c r="Q77" s="34" t="str">
        <x:v>Feedback-Directed Random Test Generation/Result/Closure_11/result.json</x:v>
      </x:c>
    </x:row>
    <x:row r="78">
      <x:c r="A78" s="34" t="str">
        <x:v>randoop</x:v>
      </x:c>
      <x:c r="B78" s="34" t="str">
        <x:v>Closure</x:v>
      </x:c>
      <x:c r="C78" s="34" t="str">
        <x:v>Round1</x:v>
      </x:c>
      <x:c r="D78" s="34" t="str">
        <x:v>Closure_12</x:v>
      </x:c>
      <x:c r="E78" s="34" t="str">
        <x:v>Coverage</x:v>
      </x:c>
      <x:c r="F78" s="34" t="n">
        <x:v>136</x:v>
      </x:c>
      <x:c r="G78" s="34" t="str">
        <x:v>RECORDED</x:v>
      </x:c>
      <x:c r="H78" s="38" t="n">
        <x:f>IF(ISNUMBER('Data'!G78),'Data'!G78*100,"")</x:f>
        <x:v>10.29</x:v>
      </x:c>
      <x:c r="I78" s="34" t="str">
        <x:v>PASS</x:v>
      </x:c>
      <x:c r="J78" s="34" t="str">
        <x:v>PASS</x:v>
      </x:c>
      <x:c r="K78" s="34" t="str">
        <x:v>PASS</x:v>
      </x:c>
      <x:c r="L78" s="34" t="str">
        <x:v>PASS</x:v>
      </x:c>
      <x:c r="M78" s="34" t="str">
        <x:v>numeric coverage for applicable metric</x:v>
      </x:c>
      <x:c r="N78" s="34" t="str">
        <x:v>Feedback-Directed Random Test Generation/Result/Closure_12/result.json</x:v>
      </x:c>
      <x:c r="O78" s="38" t="n">
        <x:f>IF(AND(G78="RECORDED",ISNUMBER(H78)),H78,"")</x:f>
        <x:v>10.29</x:v>
      </x:c>
      <x:c r="P78" s="34" t="str">
        <x:v>NOT_REVEALING</x:v>
      </x:c>
      <x:c r="Q78" s="34" t="str">
        <x:v>Feedback-Directed Random Test Generation/Result/Closure_12/result.json</x:v>
      </x:c>
    </x:row>
    <x:row r="79">
      <x:c r="A79" s="34" t="str">
        <x:v>randoop</x:v>
      </x:c>
      <x:c r="B79" s="34" t="str">
        <x:v>Closure</x:v>
      </x:c>
      <x:c r="C79" s="34" t="str">
        <x:v>Round1</x:v>
      </x:c>
      <x:c r="D79" s="34" t="str">
        <x:v>Closure_13</x:v>
      </x:c>
      <x:c r="E79" s="34" t="str">
        <x:v>Coverage</x:v>
      </x:c>
      <x:c r="F79" s="34" t="n">
        <x:v>126</x:v>
      </x:c>
      <x:c r="G79" s="34" t="str">
        <x:v>RECORDED</x:v>
      </x:c>
      <x:c r="H79" s="38" t="n">
        <x:f>IF(ISNUMBER('Data'!G79),'Data'!G79*100,"")</x:f>
        <x:v>0</x:v>
      </x:c>
      <x:c r="I79" s="34" t="str">
        <x:v>PASS</x:v>
      </x:c>
      <x:c r="J79" s="34" t="str">
        <x:v>PASS</x:v>
      </x:c>
      <x:c r="K79" s="34" t="str">
        <x:v>PASS</x:v>
      </x:c>
      <x:c r="L79" s="34" t="str">
        <x:v>PASS</x:v>
      </x:c>
      <x:c r="M79" s="34" t="str">
        <x:v>numeric coverage for applicable metric</x:v>
      </x:c>
      <x:c r="N79" s="34" t="str">
        <x:v>Feedback-Directed Random Test Generation/Result/Closure_13/result.json</x:v>
      </x:c>
      <x:c r="O79" s="38" t="n">
        <x:f>IF(AND(G79="RECORDED",ISNUMBER(H79)),H79,"")</x:f>
        <x:v>0</x:v>
      </x:c>
      <x:c r="P79" s="34" t="str">
        <x:v>NOT_REVEALING</x:v>
      </x:c>
      <x:c r="Q79" s="34" t="str">
        <x:v>Feedback-Directed Random Test Generation/Result/Closure_13/result.json</x:v>
      </x:c>
    </x:row>
    <x:row r="80">
      <x:c r="A80" s="34" t="str">
        <x:v>randoop</x:v>
      </x:c>
      <x:c r="B80" s="34" t="str">
        <x:v>Closure</x:v>
      </x:c>
      <x:c r="C80" s="34" t="str">
        <x:v>Round1</x:v>
      </x:c>
      <x:c r="D80" s="34" t="str">
        <x:v>Closure_14</x:v>
      </x:c>
      <x:c r="E80" s="34" t="str">
        <x:v>Coverage</x:v>
      </x:c>
      <x:c r="F80" s="34" t="n">
        <x:v>683</x:v>
      </x:c>
      <x:c r="G80" s="34" t="str">
        <x:v>RECORDED</x:v>
      </x:c>
      <x:c r="H80" s="38" t="n">
        <x:f>IF(ISNUMBER('Data'!G80),'Data'!G80*100,"")</x:f>
        <x:v>4.25</x:v>
      </x:c>
      <x:c r="I80" s="34" t="str">
        <x:v>PASS</x:v>
      </x:c>
      <x:c r="J80" s="34" t="str">
        <x:v>PASS</x:v>
      </x:c>
      <x:c r="K80" s="34" t="str">
        <x:v>PASS</x:v>
      </x:c>
      <x:c r="L80" s="34" t="str">
        <x:v>PASS</x:v>
      </x:c>
      <x:c r="M80" s="34" t="str">
        <x:v>numeric coverage for applicable metric</x:v>
      </x:c>
      <x:c r="N80" s="34" t="str">
        <x:v>Feedback-Directed Random Test Generation/Result/Closure_14/result.json</x:v>
      </x:c>
      <x:c r="O80" s="38" t="n">
        <x:f>IF(AND(G80="RECORDED",ISNUMBER(H80)),H80,"")</x:f>
        <x:v>4.25</x:v>
      </x:c>
      <x:c r="P80" s="34" t="str">
        <x:v>NOT_REVEALING</x:v>
      </x:c>
      <x:c r="Q80" s="34" t="str">
        <x:v>Feedback-Directed Random Test Generation/Result/Closure_14/result.json</x:v>
      </x:c>
    </x:row>
    <x:row r="81">
      <x:c r="A81" s="34" t="str">
        <x:v>randoop</x:v>
      </x:c>
      <x:c r="B81" s="34" t="str">
        <x:v>Closure</x:v>
      </x:c>
      <x:c r="C81" s="34" t="str">
        <x:v>Round1</x:v>
      </x:c>
      <x:c r="D81" s="34" t="str">
        <x:v>Closure_15</x:v>
      </x:c>
      <x:c r="E81" s="34" t="str">
        <x:v>Coverage</x:v>
      </x:c>
      <x:c r="F81" s="34" t="n">
        <x:v>285</x:v>
      </x:c>
      <x:c r="G81" s="34" t="str">
        <x:v>RECORDED</x:v>
      </x:c>
      <x:c r="H81" s="38" t="n">
        <x:f>IF(ISNUMBER('Data'!G81),'Data'!G81*100,"")</x:f>
        <x:v>3.16</x:v>
      </x:c>
      <x:c r="I81" s="34" t="str">
        <x:v>PASS</x:v>
      </x:c>
      <x:c r="J81" s="34" t="str">
        <x:v>PASS</x:v>
      </x:c>
      <x:c r="K81" s="34" t="str">
        <x:v>PASS</x:v>
      </x:c>
      <x:c r="L81" s="34" t="str">
        <x:v>PASS</x:v>
      </x:c>
      <x:c r="M81" s="34" t="str">
        <x:v>numeric coverage for applicable metric</x:v>
      </x:c>
      <x:c r="N81" s="34" t="str">
        <x:v>Feedback-Directed Random Test Generation/Result/Closure_15/result.json</x:v>
      </x:c>
      <x:c r="O81" s="38" t="n">
        <x:f>IF(AND(G81="RECORDED",ISNUMBER(H81)),H81,"")</x:f>
        <x:v>3.16</x:v>
      </x:c>
      <x:c r="P81" s="34" t="str">
        <x:v>NOT_REVEALING</x:v>
      </x:c>
      <x:c r="Q81" s="34" t="str">
        <x:v>Feedback-Directed Random Test Generation/Result/Closure_15/result.json</x:v>
      </x:c>
    </x:row>
    <x:row r="82">
      <x:c r="A82" s="34" t="str">
        <x:v>randoop</x:v>
      </x:c>
      <x:c r="B82" s="34" t="str">
        <x:v>Closure</x:v>
      </x:c>
      <x:c r="C82" s="34" t="str">
        <x:v>Round1</x:v>
      </x:c>
      <x:c r="D82" s="34" t="str">
        <x:v>Closure_16</x:v>
      </x:c>
      <x:c r="E82" s="34" t="str">
        <x:v>Coverage</x:v>
      </x:c>
      <x:c r="F82" s="34" t="n">
        <x:v>326</x:v>
      </x:c>
      <x:c r="G82" s="34" t="str">
        <x:v>RECORDED</x:v>
      </x:c>
      <x:c r="H82" s="38" t="n">
        <x:f>IF(ISNUMBER('Data'!G82),'Data'!G82*100,"")</x:f>
        <x:v>7.670000000000001</x:v>
      </x:c>
      <x:c r="I82" s="34" t="str">
        <x:v>PASS</x:v>
      </x:c>
      <x:c r="J82" s="34" t="str">
        <x:v>PASS</x:v>
      </x:c>
      <x:c r="K82" s="34" t="str">
        <x:v>PASS</x:v>
      </x:c>
      <x:c r="L82" s="34" t="str">
        <x:v>PASS</x:v>
      </x:c>
      <x:c r="M82" s="34" t="str">
        <x:v>numeric coverage for applicable metric</x:v>
      </x:c>
      <x:c r="N82" s="34" t="str">
        <x:v>Feedback-Directed Random Test Generation/Result/Closure_16/result.json</x:v>
      </x:c>
      <x:c r="O82" s="38" t="n">
        <x:f>IF(AND(G82="RECORDED",ISNUMBER(H82)),H82,"")</x:f>
        <x:v>7.670000000000001</x:v>
      </x:c>
      <x:c r="P82" s="34" t="str">
        <x:v>NOT_REVEALING</x:v>
      </x:c>
      <x:c r="Q82" s="34" t="str">
        <x:v>Feedback-Directed Random Test Generation/Result/Closure_16/result.json</x:v>
      </x:c>
    </x:row>
    <x:row r="83">
      <x:c r="A83" s="34" t="str">
        <x:v>randoop</x:v>
      </x:c>
      <x:c r="B83" s="34" t="str">
        <x:v>Closure</x:v>
      </x:c>
      <x:c r="C83" s="34" t="str">
        <x:v>Round1</x:v>
      </x:c>
      <x:c r="D83" s="34" t="str">
        <x:v>Closure_17</x:v>
      </x:c>
      <x:c r="E83" s="34" t="str">
        <x:v>Coverage</x:v>
      </x:c>
      <x:c r="F83" s="34" t="n">
        <x:v>1567</x:v>
      </x:c>
      <x:c r="G83" s="34" t="str">
        <x:v>RECORDED</x:v>
      </x:c>
      <x:c r="H83" s="38" t="n">
        <x:f>IF(ISNUMBER('Data'!G83),'Data'!G83*100,"")</x:f>
        <x:v>1.6</x:v>
      </x:c>
      <x:c r="I83" s="34" t="str">
        <x:v>PASS</x:v>
      </x:c>
      <x:c r="J83" s="34" t="str">
        <x:v>PASS</x:v>
      </x:c>
      <x:c r="K83" s="34" t="str">
        <x:v>PASS</x:v>
      </x:c>
      <x:c r="L83" s="34" t="str">
        <x:v>PASS</x:v>
      </x:c>
      <x:c r="M83" s="34" t="str">
        <x:v>numeric coverage for applicable metric</x:v>
      </x:c>
      <x:c r="N83" s="34" t="str">
        <x:v>Feedback-Directed Random Test Generation/Result/Closure_17/result.json</x:v>
      </x:c>
      <x:c r="O83" s="38" t="n">
        <x:f>IF(AND(G83="RECORDED",ISNUMBER(H83)),H83,"")</x:f>
        <x:v>1.6</x:v>
      </x:c>
      <x:c r="P83" s="34" t="str">
        <x:v>NOT_REVEALING</x:v>
      </x:c>
      <x:c r="Q83" s="34" t="str">
        <x:v>Feedback-Directed Random Test Generation/Result/Closure_17/result.json</x:v>
      </x:c>
    </x:row>
    <x:row r="84">
      <x:c r="A84" s="34" t="str">
        <x:v>randoop</x:v>
      </x:c>
      <x:c r="B84" s="34" t="str">
        <x:v>Closure</x:v>
      </x:c>
      <x:c r="C84" s="34" t="str">
        <x:v>Round1</x:v>
      </x:c>
      <x:c r="D84" s="34" t="str">
        <x:v>Closure_18</x:v>
      </x:c>
      <x:c r="E84" s="34" t="str">
        <x:v>Coverage</x:v>
      </x:c>
      <x:c r="F84" s="34" t="n">
        <x:v>1422</x:v>
      </x:c>
      <x:c r="G84" s="34" t="str">
        <x:v>RECORDED</x:v>
      </x:c>
      <x:c r="H84" s="38" t="n">
        <x:f>IF(ISNUMBER('Data'!G84),'Data'!G84*100,"")</x:f>
        <x:v>54.15</x:v>
      </x:c>
      <x:c r="I84" s="34" t="str">
        <x:v>PASS</x:v>
      </x:c>
      <x:c r="J84" s="34" t="str">
        <x:v>PASS</x:v>
      </x:c>
      <x:c r="K84" s="34" t="str">
        <x:v>PASS</x:v>
      </x:c>
      <x:c r="L84" s="34" t="str">
        <x:v>FAIL</x:v>
      </x:c>
      <x:c r="M84" s="34" t="str">
        <x:v>numeric coverage for applicable metric</x:v>
      </x:c>
      <x:c r="N84" s="34" t="str">
        <x:v>Feedback-Directed Random Test Generation/Result/Closure_18/result.json</x:v>
      </x:c>
      <x:c r="O84" s="38" t="n">
        <x:f>IF(AND(G84="RECORDED",ISNUMBER(H84)),H84,"")</x:f>
        <x:v>54.15</x:v>
      </x:c>
      <x:c r="P84" s="34" t="str">
        <x:v>INCONCLUSIVE</x:v>
      </x:c>
      <x:c r="Q84" s="34" t="str">
        <x:v>Feedback-Directed Random Test Generation/Result/Closure_18/result.json</x:v>
      </x:c>
    </x:row>
    <x:row r="85">
      <x:c r="A85" s="34" t="str">
        <x:v>randoop</x:v>
      </x:c>
      <x:c r="B85" s="34" t="str">
        <x:v>Closure</x:v>
      </x:c>
      <x:c r="C85" s="34" t="str">
        <x:v>Round1</x:v>
      </x:c>
      <x:c r="D85" s="34" t="str">
        <x:v>Closure_19</x:v>
      </x:c>
      <x:c r="E85" s="34" t="str">
        <x:v>Coverage</x:v>
      </x:c>
      <x:c r="F85" s="34" t="n">
        <x:v>265</x:v>
      </x:c>
      <x:c r="G85" s="34" t="str">
        <x:v>RECORDED</x:v>
      </x:c>
      <x:c r="H85" s="38" t="n">
        <x:f>IF(ISNUMBER('Data'!G85),'Data'!G85*100,"")</x:f>
        <x:v>0</x:v>
      </x:c>
      <x:c r="I85" s="34" t="str">
        <x:v>PASS</x:v>
      </x:c>
      <x:c r="J85" s="34" t="str">
        <x:v>PASS</x:v>
      </x:c>
      <x:c r="K85" s="34" t="str">
        <x:v>PASS</x:v>
      </x:c>
      <x:c r="L85" s="34" t="str">
        <x:v>PASS</x:v>
      </x:c>
      <x:c r="M85" s="34" t="str">
        <x:v>numeric coverage for applicable metric</x:v>
      </x:c>
      <x:c r="N85" s="34" t="str">
        <x:v>Feedback-Directed Random Test Generation/Result/Closure_19/result.json</x:v>
      </x:c>
      <x:c r="O85" s="38" t="n">
        <x:f>IF(AND(G85="RECORDED",ISNUMBER(H85)),H85,"")</x:f>
        <x:v>0</x:v>
      </x:c>
      <x:c r="P85" s="34" t="str">
        <x:v>NOT_REVEALING</x:v>
      </x:c>
      <x:c r="Q85" s="34" t="str">
        <x:v>Feedback-Directed Random Test Generation/Result/Closure_19/result.json</x:v>
      </x:c>
    </x:row>
    <x:row r="86">
      <x:c r="A86" s="34" t="str">
        <x:v>randoop</x:v>
      </x:c>
      <x:c r="B86" s="34" t="str">
        <x:v>Closure</x:v>
      </x:c>
      <x:c r="C86" s="34" t="str">
        <x:v>Round1</x:v>
      </x:c>
      <x:c r="D86" s="34" t="str">
        <x:v>Closure_20</x:v>
      </x:c>
      <x:c r="E86" s="34" t="str">
        <x:v>Coverage</x:v>
      </x:c>
      <x:c r="F86" s="34" t="n">
        <x:v>1280</x:v>
      </x:c>
      <x:c r="G86" s="34" t="str">
        <x:v>RECORDED</x:v>
      </x:c>
      <x:c r="H86" s="38" t="n">
        <x:f>IF(ISNUMBER('Data'!G86),'Data'!G86*100,"")</x:f>
        <x:v>2.11</x:v>
      </x:c>
      <x:c r="I86" s="34" t="str">
        <x:v>PASS</x:v>
      </x:c>
      <x:c r="J86" s="34" t="str">
        <x:v>PASS</x:v>
      </x:c>
      <x:c r="K86" s="34" t="str">
        <x:v>PASS</x:v>
      </x:c>
      <x:c r="L86" s="34" t="str">
        <x:v>PASS</x:v>
      </x:c>
      <x:c r="M86" s="34" t="str">
        <x:v>numeric coverage for applicable metric</x:v>
      </x:c>
      <x:c r="N86" s="34" t="str">
        <x:v>Feedback-Directed Random Test Generation/Result/Closure_20/result.json</x:v>
      </x:c>
      <x:c r="O86" s="38" t="n">
        <x:f>IF(AND(G86="RECORDED",ISNUMBER(H86)),H86,"")</x:f>
        <x:v>2.11</x:v>
      </x:c>
      <x:c r="P86" s="34" t="str">
        <x:v>NOT_REVEALING</x:v>
      </x:c>
      <x:c r="Q86" s="34" t="str">
        <x:v>Feedback-Directed Random Test Generation/Result/Closure_20/result.json</x:v>
      </x:c>
    </x:row>
    <x:row r="87">
      <x:c r="A87" s="34" t="str">
        <x:v>randoop</x:v>
      </x:c>
      <x:c r="B87" s="34" t="str">
        <x:v>Closure</x:v>
      </x:c>
      <x:c r="C87" s="34" t="str">
        <x:v>Round1</x:v>
      </x:c>
      <x:c r="D87" s="34" t="str">
        <x:v>Closure_21</x:v>
      </x:c>
      <x:c r="E87" s="34" t="str">
        <x:v>Coverage</x:v>
      </x:c>
      <x:c r="F87" s="34" t="n">
        <x:v>141</x:v>
      </x:c>
      <x:c r="G87" s="34" t="str">
        <x:v>RECORDED</x:v>
      </x:c>
      <x:c r="H87" s="38" t="n">
        <x:f>IF(ISNUMBER('Data'!G87),'Data'!G87*100,"")</x:f>
        <x:v>10.64</x:v>
      </x:c>
      <x:c r="I87" s="34" t="str">
        <x:v>PASS</x:v>
      </x:c>
      <x:c r="J87" s="34" t="str">
        <x:v>PASS</x:v>
      </x:c>
      <x:c r="K87" s="34" t="str">
        <x:v>PASS</x:v>
      </x:c>
      <x:c r="L87" s="34" t="str">
        <x:v>PASS</x:v>
      </x:c>
      <x:c r="M87" s="34" t="str">
        <x:v>numeric coverage for applicable metric</x:v>
      </x:c>
      <x:c r="N87" s="34" t="str">
        <x:v>Feedback-Directed Random Test Generation/Result/Closure_21/result.json</x:v>
      </x:c>
      <x:c r="O87" s="38" t="n">
        <x:f>IF(AND(G87="RECORDED",ISNUMBER(H87)),H87,"")</x:f>
        <x:v>10.64</x:v>
      </x:c>
      <x:c r="P87" s="34" t="str">
        <x:v>NOT_REVEALING</x:v>
      </x:c>
      <x:c r="Q87" s="34" t="str">
        <x:v>Feedback-Directed Random Test Generation/Result/Closure_21/result.json</x:v>
      </x:c>
    </x:row>
    <x:row r="88">
      <x:c r="A88" s="34" t="str">
        <x:v>randoop</x:v>
      </x:c>
      <x:c r="B88" s="34" t="str">
        <x:v>Closure</x:v>
      </x:c>
      <x:c r="C88" s="34" t="str">
        <x:v>Round1</x:v>
      </x:c>
      <x:c r="D88" s="34" t="str">
        <x:v>Closure_22</x:v>
      </x:c>
      <x:c r="E88" s="34" t="str">
        <x:v>Coverage</x:v>
      </x:c>
      <x:c r="F88" s="34" t="n">
        <x:v>158</x:v>
      </x:c>
      <x:c r="G88" s="34" t="str">
        <x:v>RECORDED</x:v>
      </x:c>
      <x:c r="H88" s="38" t="n">
        <x:f>IF(ISNUMBER('Data'!G88),'Data'!G88*100,"")</x:f>
        <x:v>9.49</x:v>
      </x:c>
      <x:c r="I88" s="34" t="str">
        <x:v>PASS</x:v>
      </x:c>
      <x:c r="J88" s="34" t="str">
        <x:v>PASS</x:v>
      </x:c>
      <x:c r="K88" s="34" t="str">
        <x:v>PASS</x:v>
      </x:c>
      <x:c r="L88" s="34" t="str">
        <x:v>PASS</x:v>
      </x:c>
      <x:c r="M88" s="34" t="str">
        <x:v>numeric coverage for applicable metric</x:v>
      </x:c>
      <x:c r="N88" s="34" t="str">
        <x:v>Feedback-Directed Random Test Generation/Result/Closure_22/result.json</x:v>
      </x:c>
      <x:c r="O88" s="38" t="n">
        <x:f>IF(AND(G88="RECORDED",ISNUMBER(H88)),H88,"")</x:f>
        <x:v>9.49</x:v>
      </x:c>
      <x:c r="P88" s="34" t="str">
        <x:v>NOT_REVEALING</x:v>
      </x:c>
      <x:c r="Q88" s="34" t="str">
        <x:v>Feedback-Directed Random Test Generation/Result/Closure_22/result.json</x:v>
      </x:c>
    </x:row>
    <x:row r="89">
      <x:c r="A89" s="34" t="str">
        <x:v>randoop</x:v>
      </x:c>
      <x:c r="B89" s="34" t="str">
        <x:v>Closure</x:v>
      </x:c>
      <x:c r="C89" s="34" t="str">
        <x:v>Round1</x:v>
      </x:c>
      <x:c r="D89" s="34" t="str">
        <x:v>Closure_23</x:v>
      </x:c>
      <x:c r="E89" s="34" t="str">
        <x:v>Coverage</x:v>
      </x:c>
      <x:c r="F89" s="34" t="n">
        <x:v>1238</x:v>
      </x:c>
      <x:c r="G89" s="34" t="str">
        <x:v>RECORDED</x:v>
      </x:c>
      <x:c r="H89" s="38" t="n">
        <x:f>IF(ISNUMBER('Data'!G89),'Data'!G89*100,"")</x:f>
        <x:v>1.21</x:v>
      </x:c>
      <x:c r="I89" s="34" t="str">
        <x:v>PASS</x:v>
      </x:c>
      <x:c r="J89" s="34" t="str">
        <x:v>PASS</x:v>
      </x:c>
      <x:c r="K89" s="34" t="str">
        <x:v>PASS</x:v>
      </x:c>
      <x:c r="L89" s="34" t="str">
        <x:v>PASS</x:v>
      </x:c>
      <x:c r="M89" s="34" t="str">
        <x:v>numeric coverage for applicable metric</x:v>
      </x:c>
      <x:c r="N89" s="34" t="str">
        <x:v>Feedback-Directed Random Test Generation/Result/Closure_23/result.json</x:v>
      </x:c>
      <x:c r="O89" s="38" t="n">
        <x:f>IF(AND(G89="RECORDED",ISNUMBER(H89)),H89,"")</x:f>
        <x:v>1.21</x:v>
      </x:c>
      <x:c r="P89" s="34" t="str">
        <x:v>NOT_REVEALING</x:v>
      </x:c>
      <x:c r="Q89" s="34" t="str">
        <x:v>Feedback-Directed Random Test Generation/Result/Closure_23/result.json</x:v>
      </x:c>
    </x:row>
    <x:row r="90">
      <x:c r="A90" s="34" t="str">
        <x:v>randoop</x:v>
      </x:c>
      <x:c r="B90" s="34" t="str">
        <x:v>Closure</x:v>
      </x:c>
      <x:c r="C90" s="34" t="str">
        <x:v>Round1</x:v>
      </x:c>
      <x:c r="D90" s="34" t="str">
        <x:v>Closure_24</x:v>
      </x:c>
      <x:c r="E90" s="34" t="str">
        <x:v>Coverage</x:v>
      </x:c>
      <x:c r="F90" s="34" t="n">
        <x:v>277</x:v>
      </x:c>
      <x:c r="G90" s="34" t="str">
        <x:v>RECORDED</x:v>
      </x:c>
      <x:c r="H90" s="38" t="n">
        <x:f>IF(ISNUMBER('Data'!G90),'Data'!G90*100,"")</x:f>
        <x:v>8.3</x:v>
      </x:c>
      <x:c r="I90" s="34" t="str">
        <x:v>PASS</x:v>
      </x:c>
      <x:c r="J90" s="34" t="str">
        <x:v>PASS</x:v>
      </x:c>
      <x:c r="K90" s="34" t="str">
        <x:v>PASS</x:v>
      </x:c>
      <x:c r="L90" s="34" t="str">
        <x:v>PASS</x:v>
      </x:c>
      <x:c r="M90" s="34" t="str">
        <x:v>numeric coverage for applicable metric</x:v>
      </x:c>
      <x:c r="N90" s="34" t="str">
        <x:v>Feedback-Directed Random Test Generation/Result/Closure_24/result.json</x:v>
      </x:c>
      <x:c r="O90" s="38" t="n">
        <x:f>IF(AND(G90="RECORDED",ISNUMBER(H90)),H90,"")</x:f>
        <x:v>8.3</x:v>
      </x:c>
      <x:c r="P90" s="34" t="str">
        <x:v>NOT_REVEALING</x:v>
      </x:c>
      <x:c r="Q90" s="34" t="str">
        <x:v>Feedback-Directed Random Test Generation/Result/Closure_24/result.json</x:v>
      </x:c>
    </x:row>
    <x:row r="91">
      <x:c r="A91" s="34" t="str">
        <x:v>randoop</x:v>
      </x:c>
      <x:c r="B91" s="34" t="str">
        <x:v>Closure</x:v>
      </x:c>
      <x:c r="C91" s="34" t="str">
        <x:v>Round1</x:v>
      </x:c>
      <x:c r="D91" s="34" t="str">
        <x:v>Closure_25</x:v>
      </x:c>
      <x:c r="E91" s="34" t="str">
        <x:v>Coverage</x:v>
      </x:c>
      <x:c r="F91" s="34" t="n">
        <x:v>1012</x:v>
      </x:c>
      <x:c r="G91" s="34" t="str">
        <x:v>RECORDED</x:v>
      </x:c>
      <x:c r="H91" s="38" t="n">
        <x:f>IF(ISNUMBER('Data'!G91),'Data'!G91*100,"")</x:f>
        <x:v>0.9899999999999999</x:v>
      </x:c>
      <x:c r="I91" s="34" t="str">
        <x:v>PASS</x:v>
      </x:c>
      <x:c r="J91" s="34" t="str">
        <x:v>PASS</x:v>
      </x:c>
      <x:c r="K91" s="34" t="str">
        <x:v>PASS</x:v>
      </x:c>
      <x:c r="L91" s="34" t="str">
        <x:v>PASS</x:v>
      </x:c>
      <x:c r="M91" s="34" t="str">
        <x:v>numeric coverage for applicable metric</x:v>
      </x:c>
      <x:c r="N91" s="34" t="str">
        <x:v>Feedback-Directed Random Test Generation/Result/Closure_25/result.json</x:v>
      </x:c>
      <x:c r="O91" s="38" t="n">
        <x:f>IF(AND(G91="RECORDED",ISNUMBER(H91)),H91,"")</x:f>
        <x:v>0.9899999999999999</x:v>
      </x:c>
      <x:c r="P91" s="34" t="str">
        <x:v>NOT_REVEALING</x:v>
      </x:c>
      <x:c r="Q91" s="34" t="str">
        <x:v>Feedback-Directed Random Test Generation/Result/Closure_25/result.json</x:v>
      </x:c>
    </x:row>
    <x:row r="92">
      <x:c r="A92" s="34" t="str">
        <x:v>randoop</x:v>
      </x:c>
      <x:c r="B92" s="34" t="str">
        <x:v>Closure</x:v>
      </x:c>
      <x:c r="C92" s="34" t="str">
        <x:v>Round1</x:v>
      </x:c>
      <x:c r="D92" s="34" t="str">
        <x:v>Closure_26</x:v>
      </x:c>
      <x:c r="E92" s="34" t="str">
        <x:v>Coverage</x:v>
      </x:c>
      <x:c r="F92" s="34" t="n">
        <x:v>147</x:v>
      </x:c>
      <x:c r="G92" s="34" t="str">
        <x:v>RECORDED</x:v>
      </x:c>
      <x:c r="H92" s="38" t="n">
        <x:f>IF(ISNUMBER('Data'!G92),'Data'!G92*100,"")</x:f>
        <x:v>23.81</x:v>
      </x:c>
      <x:c r="I92" s="34" t="str">
        <x:v>PASS</x:v>
      </x:c>
      <x:c r="J92" s="34" t="str">
        <x:v>PASS</x:v>
      </x:c>
      <x:c r="K92" s="34" t="str">
        <x:v>PASS</x:v>
      </x:c>
      <x:c r="L92" s="34" t="str">
        <x:v>PASS</x:v>
      </x:c>
      <x:c r="M92" s="34" t="str">
        <x:v>numeric coverage for applicable metric</x:v>
      </x:c>
      <x:c r="N92" s="34" t="str">
        <x:v>Feedback-Directed Random Test Generation/Result/Closure_26/result.json</x:v>
      </x:c>
      <x:c r="O92" s="38" t="n">
        <x:f>IF(AND(G92="RECORDED",ISNUMBER(H92)),H92,"")</x:f>
        <x:v>23.81</x:v>
      </x:c>
      <x:c r="P92" s="34" t="str">
        <x:v>NOT_REVEALING</x:v>
      </x:c>
      <x:c r="Q92" s="34" t="str">
        <x:v>Feedback-Directed Random Test Generation/Result/Closure_26/result.json</x:v>
      </x:c>
    </x:row>
    <x:row r="93">
      <x:c r="A93" s="34" t="str">
        <x:v>randoop</x:v>
      </x:c>
      <x:c r="B93" s="34" t="str">
        <x:v>Closure</x:v>
      </x:c>
      <x:c r="C93" s="34" t="str">
        <x:v>Round1</x:v>
      </x:c>
      <x:c r="D93" s="34" t="str">
        <x:v>Closure_27</x:v>
      </x:c>
      <x:c r="E93" s="34" t="str">
        <x:v>Coverage</x:v>
      </x:c>
      <x:c r="F93" s="34" t="n">
        <x:v>247</x:v>
      </x:c>
      <x:c r="G93" s="34" t="str">
        <x:v>RECORDED</x:v>
      </x:c>
      <x:c r="H93" s="38" t="n">
        <x:f>IF(ISNUMBER('Data'!G93),'Data'!G93*100,"")</x:f>
        <x:v>76.92</x:v>
      </x:c>
      <x:c r="I93" s="34" t="str">
        <x:v>PASS</x:v>
      </x:c>
      <x:c r="J93" s="34" t="str">
        <x:v>PASS</x:v>
      </x:c>
      <x:c r="K93" s="34" t="str">
        <x:v>PASS</x:v>
      </x:c>
      <x:c r="L93" s="34" t="str">
        <x:v>PASS</x:v>
      </x:c>
      <x:c r="M93" s="34" t="str">
        <x:v>numeric coverage for applicable metric</x:v>
      </x:c>
      <x:c r="N93" s="34" t="str">
        <x:v>Feedback-Directed Random Test Generation/Result/Closure_27/result.json</x:v>
      </x:c>
      <x:c r="O93" s="38" t="n">
        <x:f>IF(AND(G93="RECORDED",ISNUMBER(H93)),H93,"")</x:f>
        <x:v>76.92</x:v>
      </x:c>
      <x:c r="P93" s="34" t="str">
        <x:v>INCONCLUSIVE</x:v>
      </x:c>
      <x:c r="Q93" s="34" t="str">
        <x:v>Feedback-Directed Random Test Generation/Result/Closure_27/result.json</x:v>
      </x:c>
    </x:row>
    <x:row r="94">
      <x:c r="A94" s="34" t="str">
        <x:v>randoop</x:v>
      </x:c>
      <x:c r="B94" s="34" t="str">
        <x:v>Closure</x:v>
      </x:c>
      <x:c r="C94" s="34" t="str">
        <x:v>Round1</x:v>
      </x:c>
      <x:c r="D94" s="34" t="str">
        <x:v>Closure_28</x:v>
      </x:c>
      <x:c r="E94" s="34" t="str">
        <x:v>Coverage</x:v>
      </x:c>
      <x:c r="F94" s="34" t="n">
        <x:v>28</x:v>
      </x:c>
      <x:c r="G94" s="34" t="str">
        <x:v>RECORDED</x:v>
      </x:c>
      <x:c r="H94" s="38" t="n">
        <x:f>IF(ISNUMBER('Data'!G94),'Data'!G94*100,"")</x:f>
        <x:v>46.43</x:v>
      </x:c>
      <x:c r="I94" s="34" t="str">
        <x:v>PASS</x:v>
      </x:c>
      <x:c r="J94" s="34" t="str">
        <x:v>PASS</x:v>
      </x:c>
      <x:c r="K94" s="34" t="str">
        <x:v>PASS</x:v>
      </x:c>
      <x:c r="L94" s="34" t="str">
        <x:v>PASS</x:v>
      </x:c>
      <x:c r="M94" s="34" t="str">
        <x:v>numeric coverage for applicable metric</x:v>
      </x:c>
      <x:c r="N94" s="34" t="str">
        <x:v>Feedback-Directed Random Test Generation/Result/Closure_28/result.json</x:v>
      </x:c>
      <x:c r="O94" s="38" t="n">
        <x:f>IF(AND(G94="RECORDED",ISNUMBER(H94)),H94,"")</x:f>
        <x:v>46.43</x:v>
      </x:c>
      <x:c r="P94" s="34" t="str">
        <x:v>NOT_REVEALING</x:v>
      </x:c>
      <x:c r="Q94" s="34" t="str">
        <x:v>Feedback-Directed Random Test Generation/Result/Closure_28/result.json</x:v>
      </x:c>
    </x:row>
    <x:row r="95">
      <x:c r="A95" s="34" t="str">
        <x:v>randoop</x:v>
      </x:c>
      <x:c r="B95" s="34" t="str">
        <x:v>Closure</x:v>
      </x:c>
      <x:c r="C95" s="34" t="str">
        <x:v>Round1</x:v>
      </x:c>
      <x:c r="D95" s="34" t="str">
        <x:v>Closure_29</x:v>
      </x:c>
      <x:c r="E95" s="34" t="str">
        <x:v>Coverage</x:v>
      </x:c>
      <x:c r="F95" s="34" t="n">
        <x:v>278</x:v>
      </x:c>
      <x:c r="G95" s="34" t="str">
        <x:v>RECORDED</x:v>
      </x:c>
      <x:c r="H95" s="38" t="n">
        <x:f>IF(ISNUMBER('Data'!G95),'Data'!G95*100,"")</x:f>
        <x:v>2.88</x:v>
      </x:c>
      <x:c r="I95" s="34" t="str">
        <x:v>PASS</x:v>
      </x:c>
      <x:c r="J95" s="34" t="str">
        <x:v>PASS</x:v>
      </x:c>
      <x:c r="K95" s="34" t="str">
        <x:v>PASS</x:v>
      </x:c>
      <x:c r="L95" s="34" t="str">
        <x:v>PASS</x:v>
      </x:c>
      <x:c r="M95" s="34" t="str">
        <x:v>numeric coverage for applicable metric</x:v>
      </x:c>
      <x:c r="N95" s="34" t="str">
        <x:v>Feedback-Directed Random Test Generation/Result/Closure_29/result.json</x:v>
      </x:c>
      <x:c r="O95" s="38" t="n">
        <x:f>IF(AND(G95="RECORDED",ISNUMBER(H95)),H95,"")</x:f>
        <x:v>2.88</x:v>
      </x:c>
      <x:c r="P95" s="34" t="str">
        <x:v>NOT_REVEALING</x:v>
      </x:c>
      <x:c r="Q95" s="34" t="str">
        <x:v>Feedback-Directed Random Test Generation/Result/Closure_29/result.json</x:v>
      </x:c>
    </x:row>
    <x:row r="96">
      <x:c r="A96" s="34" t="str">
        <x:v>randoop</x:v>
      </x:c>
      <x:c r="B96" s="34" t="str">
        <x:v>Closure</x:v>
      </x:c>
      <x:c r="C96" s="34" t="str">
        <x:v>Round1</x:v>
      </x:c>
      <x:c r="D96" s="34" t="str">
        <x:v>Closure_30</x:v>
      </x:c>
      <x:c r="E96" s="34" t="str">
        <x:v>Coverage</x:v>
      </x:c>
      <x:c r="F96" s="34" t="n">
        <x:v>553</x:v>
      </x:c>
      <x:c r="G96" s="34" t="str">
        <x:v>RECORDED</x:v>
      </x:c>
      <x:c r="H96" s="38" t="n">
        <x:f>IF(ISNUMBER('Data'!G96),'Data'!G96*100,"")</x:f>
        <x:v>4.52</x:v>
      </x:c>
      <x:c r="I96" s="34" t="str">
        <x:v>PASS</x:v>
      </x:c>
      <x:c r="J96" s="34" t="str">
        <x:v>PASS</x:v>
      </x:c>
      <x:c r="K96" s="34" t="str">
        <x:v>PASS</x:v>
      </x:c>
      <x:c r="L96" s="34" t="str">
        <x:v>FAIL</x:v>
      </x:c>
      <x:c r="M96" s="34" t="str">
        <x:v>numeric coverage for applicable metric</x:v>
      </x:c>
      <x:c r="N96" s="34" t="str">
        <x:v>Feedback-Directed Random Test Generation/Result/Closure_30/result.json</x:v>
      </x:c>
      <x:c r="O96" s="38" t="n">
        <x:f>IF(AND(G96="RECORDED",ISNUMBER(H96)),H96,"")</x:f>
        <x:v>4.52</x:v>
      </x:c>
      <x:c r="P96" s="34" t="str">
        <x:v>INCONCLUSIVE</x:v>
      </x:c>
      <x:c r="Q96" s="34" t="str">
        <x:v>Feedback-Directed Random Test Generation/Result/Closure_30/result.json</x:v>
      </x:c>
    </x:row>
    <x:row r="97">
      <x:c r="A97" s="34" t="str">
        <x:v>randoop</x:v>
      </x:c>
      <x:c r="B97" s="34" t="str">
        <x:v>Closure</x:v>
      </x:c>
      <x:c r="C97" s="34" t="str">
        <x:v>Round1</x:v>
      </x:c>
      <x:c r="D97" s="34" t="str">
        <x:v>Closure_31</x:v>
      </x:c>
      <x:c r="E97" s="34" t="str">
        <x:v>Coverage</x:v>
      </x:c>
      <x:c r="F97" s="34" t="n">
        <x:v>1382</x:v>
      </x:c>
      <x:c r="G97" s="34" t="str">
        <x:v>RECORDED</x:v>
      </x:c>
      <x:c r="H97" s="38" t="n">
        <x:f>IF(ISNUMBER('Data'!G97),'Data'!G97*100,"")</x:f>
        <x:v>46.67</x:v>
      </x:c>
      <x:c r="I97" s="34" t="str">
        <x:v>PASS</x:v>
      </x:c>
      <x:c r="J97" s="34" t="str">
        <x:v>PASS</x:v>
      </x:c>
      <x:c r="K97" s="34" t="str">
        <x:v>PASS</x:v>
      </x:c>
      <x:c r="L97" s="34" t="str">
        <x:v>FAIL</x:v>
      </x:c>
      <x:c r="M97" s="34" t="str">
        <x:v>numeric coverage for applicable metric</x:v>
      </x:c>
      <x:c r="N97" s="34" t="str">
        <x:v>Feedback-Directed Random Test Generation/Result/Closure_31/result.json</x:v>
      </x:c>
      <x:c r="O97" s="38" t="n">
        <x:f>IF(AND(G97="RECORDED",ISNUMBER(H97)),H97,"")</x:f>
        <x:v>46.67</x:v>
      </x:c>
      <x:c r="P97" s="34" t="str">
        <x:v>INCONCLUSIVE</x:v>
      </x:c>
      <x:c r="Q97" s="34" t="str">
        <x:v>Feedback-Directed Random Test Generation/Result/Closure_31/result.json</x:v>
      </x:c>
    </x:row>
    <x:row r="98">
      <x:c r="A98" s="34" t="str">
        <x:v>randoop</x:v>
      </x:c>
      <x:c r="B98" s="34" t="str">
        <x:v>Closure</x:v>
      </x:c>
      <x:c r="C98" s="34" t="str">
        <x:v>Round1</x:v>
      </x:c>
      <x:c r="D98" s="34" t="str">
        <x:v>Closure_32</x:v>
      </x:c>
      <x:c r="E98" s="34" t="str">
        <x:v>Coverage</x:v>
      </x:c>
      <x:c r="F98" s="34" t="n">
        <x:v>1653</x:v>
      </x:c>
      <x:c r="G98" s="34" t="str">
        <x:v>RECORDED</x:v>
      </x:c>
      <x:c r="H98" s="38" t="n">
        <x:f>IF(ISNUMBER('Data'!G98),'Data'!G98*100,"")</x:f>
        <x:v>7.139999999999999</x:v>
      </x:c>
      <x:c r="I98" s="34" t="str">
        <x:v>PASS</x:v>
      </x:c>
      <x:c r="J98" s="34" t="str">
        <x:v>PASS</x:v>
      </x:c>
      <x:c r="K98" s="34" t="str">
        <x:v>PASS</x:v>
      </x:c>
      <x:c r="L98" s="34" t="str">
        <x:v>PASS</x:v>
      </x:c>
      <x:c r="M98" s="34" t="str">
        <x:v>numeric coverage for applicable metric</x:v>
      </x:c>
      <x:c r="N98" s="34" t="str">
        <x:v>Feedback-Directed Random Test Generation/Result/Closure_32/result.json</x:v>
      </x:c>
      <x:c r="O98" s="38" t="n">
        <x:f>IF(AND(G98="RECORDED",ISNUMBER(H98)),H98,"")</x:f>
        <x:v>7.139999999999999</x:v>
      </x:c>
      <x:c r="P98" s="34" t="str">
        <x:v>NOT_REVEALING</x:v>
      </x:c>
      <x:c r="Q98" s="34" t="str">
        <x:v>Feedback-Directed Random Test Generation/Result/Closure_32/result.json</x:v>
      </x:c>
    </x:row>
    <x:row r="99">
      <x:c r="A99" s="34" t="str">
        <x:v>randoop</x:v>
      </x:c>
      <x:c r="B99" s="34" t="str">
        <x:v>Closure</x:v>
      </x:c>
      <x:c r="C99" s="34" t="str">
        <x:v>Round1</x:v>
      </x:c>
      <x:c r="D99" s="34" t="str">
        <x:v>Closure_33</x:v>
      </x:c>
      <x:c r="E99" s="34" t="str">
        <x:v>Coverage</x:v>
      </x:c>
      <x:c r="F99" s="34" t="n">
        <x:v>396</x:v>
      </x:c>
      <x:c r="G99" s="34" t="str">
        <x:v>RECORDED</x:v>
      </x:c>
      <x:c r="H99" s="38" t="n">
        <x:f>IF(ISNUMBER('Data'!G99),'Data'!G99*100,"")</x:f>
        <x:v>51.519999999999996</x:v>
      </x:c>
      <x:c r="I99" s="34" t="str">
        <x:v>PASS</x:v>
      </x:c>
      <x:c r="J99" s="34" t="str">
        <x:v>PASS</x:v>
      </x:c>
      <x:c r="K99" s="34" t="str">
        <x:v>PASS</x:v>
      </x:c>
      <x:c r="L99" s="34" t="str">
        <x:v>PASS</x:v>
      </x:c>
      <x:c r="M99" s="34" t="str">
        <x:v>numeric coverage for applicable metric</x:v>
      </x:c>
      <x:c r="N99" s="34" t="str">
        <x:v>Feedback-Directed Random Test Generation/Result/Closure_33/result.json</x:v>
      </x:c>
      <x:c r="O99" s="38" t="n">
        <x:f>IF(AND(G99="RECORDED",ISNUMBER(H99)),H99,"")</x:f>
        <x:v>51.519999999999996</x:v>
      </x:c>
      <x:c r="P99" s="34" t="str">
        <x:v>INCONCLUSIVE</x:v>
      </x:c>
      <x:c r="Q99" s="34" t="str">
        <x:v>Feedback-Directed Random Test Generation/Result/Closure_33/result.json</x:v>
      </x:c>
    </x:row>
    <x:row r="100">
      <x:c r="A100" s="34" t="str">
        <x:v>randoop</x:v>
      </x:c>
      <x:c r="B100" s="34" t="str">
        <x:v>Closure</x:v>
      </x:c>
      <x:c r="C100" s="34" t="str">
        <x:v>Round1</x:v>
      </x:c>
      <x:c r="D100" s="34" t="str">
        <x:v>Closure_34</x:v>
      </x:c>
      <x:c r="E100" s="34" t="str">
        <x:v>Coverage</x:v>
      </x:c>
      <x:c r="F100" s="34" t="n">
        <x:v>1438</x:v>
      </x:c>
      <x:c r="G100" s="34" t="str">
        <x:v>RECORDED</x:v>
      </x:c>
      <x:c r="H100" s="38" t="n">
        <x:f>IF(ISNUMBER('Data'!G100),'Data'!G100*100,"")</x:f>
        <x:v>8.07</x:v>
      </x:c>
      <x:c r="I100" s="34" t="str">
        <x:v>PASS</x:v>
      </x:c>
      <x:c r="J100" s="34" t="str">
        <x:v>PASS</x:v>
      </x:c>
      <x:c r="K100" s="34" t="str">
        <x:v>PASS</x:v>
      </x:c>
      <x:c r="L100" s="34" t="str">
        <x:v>PASS</x:v>
      </x:c>
      <x:c r="M100" s="34" t="str">
        <x:v>numeric coverage for applicable metric</x:v>
      </x:c>
      <x:c r="N100" s="34" t="str">
        <x:v>Feedback-Directed Random Test Generation/Result/Closure_34/result.json</x:v>
      </x:c>
      <x:c r="O100" s="38" t="n">
        <x:f>IF(AND(G100="RECORDED",ISNUMBER(H100)),H100,"")</x:f>
        <x:v>8.07</x:v>
      </x:c>
      <x:c r="P100" s="34" t="str">
        <x:v>NOT_REVEALING</x:v>
      </x:c>
      <x:c r="Q100" s="34" t="str">
        <x:v>Feedback-Directed Random Test Generation/Result/Closure_34/result.json</x:v>
      </x:c>
    </x:row>
    <x:row r="101">
      <x:c r="A101" s="34" t="str">
        <x:v>randoop</x:v>
      </x:c>
      <x:c r="B101" s="34" t="str">
        <x:v>Closure</x:v>
      </x:c>
      <x:c r="C101" s="34" t="str">
        <x:v>Round1</x:v>
      </x:c>
      <x:c r="D101" s="34" t="str">
        <x:v>Closure_35</x:v>
      </x:c>
      <x:c r="E101" s="34" t="str">
        <x:v>Coverage</x:v>
      </x:c>
      <x:c r="F101" s="34" t="n">
        <x:v>1050</x:v>
      </x:c>
      <x:c r="G101" s="34" t="str">
        <x:v>RECORDED</x:v>
      </x:c>
      <x:c r="H101" s="38" t="n">
        <x:f>IF(ISNUMBER('Data'!G101),'Data'!G101*100,"")</x:f>
        <x:v>0.95</x:v>
      </x:c>
      <x:c r="I101" s="34" t="str">
        <x:v>PASS</x:v>
      </x:c>
      <x:c r="J101" s="34" t="str">
        <x:v>PASS</x:v>
      </x:c>
      <x:c r="K101" s="34" t="str">
        <x:v>PASS</x:v>
      </x:c>
      <x:c r="L101" s="34" t="str">
        <x:v>PASS</x:v>
      </x:c>
      <x:c r="M101" s="34" t="str">
        <x:v>numeric coverage for applicable metric</x:v>
      </x:c>
      <x:c r="N101" s="34" t="str">
        <x:v>Feedback-Directed Random Test Generation/Result/Closure_35/result.json</x:v>
      </x:c>
      <x:c r="O101" s="38" t="n">
        <x:f>IF(AND(G101="RECORDED",ISNUMBER(H101)),H101,"")</x:f>
        <x:v>0.95</x:v>
      </x:c>
      <x:c r="P101" s="34" t="str">
        <x:v>NOT_REVEALING</x:v>
      </x:c>
      <x:c r="Q101" s="34" t="str">
        <x:v>Feedback-Directed Random Test Generation/Result/Closure_35/result.json</x:v>
      </x:c>
    </x:row>
    <x:row r="102">
      <x:c r="A102" s="34" t="str">
        <x:v>randoop</x:v>
      </x:c>
      <x:c r="B102" s="34" t="str">
        <x:v>Closure</x:v>
      </x:c>
      <x:c r="C102" s="34" t="str">
        <x:v>Round1</x:v>
      </x:c>
      <x:c r="D102" s="34" t="str">
        <x:v>Closure_36</x:v>
      </x:c>
      <x:c r="E102" s="34" t="str">
        <x:v>Coverage</x:v>
      </x:c>
      <x:c r="F102" s="34" t="n">
        <x:v>521</x:v>
      </x:c>
      <x:c r="G102" s="34" t="str">
        <x:v>RECORDED</x:v>
      </x:c>
      <x:c r="H102" s="38" t="n">
        <x:f>IF(ISNUMBER('Data'!G102),'Data'!G102*100,"")</x:f>
        <x:v>4.99</x:v>
      </x:c>
      <x:c r="I102" s="34" t="str">
        <x:v>PASS</x:v>
      </x:c>
      <x:c r="J102" s="34" t="str">
        <x:v>PASS</x:v>
      </x:c>
      <x:c r="K102" s="34" t="str">
        <x:v>PASS</x:v>
      </x:c>
      <x:c r="L102" s="34" t="str">
        <x:v>PASS</x:v>
      </x:c>
      <x:c r="M102" s="34" t="str">
        <x:v>numeric coverage for applicable metric</x:v>
      </x:c>
      <x:c r="N102" s="34" t="str">
        <x:v>Feedback-Directed Random Test Generation/Result/Closure_36/result.json</x:v>
      </x:c>
      <x:c r="O102" s="38" t="n">
        <x:f>IF(AND(G102="RECORDED",ISNUMBER(H102)),H102,"")</x:f>
        <x:v>4.99</x:v>
      </x:c>
      <x:c r="P102" s="34" t="str">
        <x:v>NOT_REVEALING</x:v>
      </x:c>
      <x:c r="Q102" s="34" t="str">
        <x:v>Feedback-Directed Random Test Generation/Result/Closure_36/result.json</x:v>
      </x:c>
    </x:row>
    <x:row r="103">
      <x:c r="A103" s="34" t="str">
        <x:v>randoop</x:v>
      </x:c>
      <x:c r="B103" s="34" t="str">
        <x:v>Closure</x:v>
      </x:c>
      <x:c r="C103" s="34" t="str">
        <x:v>Round1</x:v>
      </x:c>
      <x:c r="D103" s="34" t="str">
        <x:v>Closure_37</x:v>
      </x:c>
      <x:c r="E103" s="34" t="str">
        <x:v>Coverage</x:v>
      </x:c>
      <x:c r="F103" s="34" t="n">
        <x:v>1217</x:v>
      </x:c>
      <x:c r="G103" s="34" t="str">
        <x:v>RECORDED</x:v>
      </x:c>
      <x:c r="H103" s="38" t="n">
        <x:f>IF(ISNUMBER('Data'!G103),'Data'!G103*100,"")</x:f>
        <x:v>6.819999999999999</x:v>
      </x:c>
      <x:c r="I103" s="34" t="str">
        <x:v>PASS</x:v>
      </x:c>
      <x:c r="J103" s="34" t="str">
        <x:v>PASS</x:v>
      </x:c>
      <x:c r="K103" s="34" t="str">
        <x:v>PASS</x:v>
      </x:c>
      <x:c r="L103" s="34" t="str">
        <x:v>PASS</x:v>
      </x:c>
      <x:c r="M103" s="34" t="str">
        <x:v>numeric coverage for applicable metric</x:v>
      </x:c>
      <x:c r="N103" s="34" t="str">
        <x:v>Feedback-Directed Random Test Generation/Result/Closure_37/result.json</x:v>
      </x:c>
      <x:c r="O103" s="38" t="n">
        <x:f>IF(AND(G103="RECORDED",ISNUMBER(H103)),H103,"")</x:f>
        <x:v>6.819999999999999</x:v>
      </x:c>
      <x:c r="P103" s="34" t="str">
        <x:v>NOT_REVEALING</x:v>
      </x:c>
      <x:c r="Q103" s="34" t="str">
        <x:v>Feedback-Directed Random Test Generation/Result/Closure_37/result.json</x:v>
      </x:c>
    </x:row>
    <x:row r="104">
      <x:c r="A104" s="34" t="str">
        <x:v>randoop</x:v>
      </x:c>
      <x:c r="B104" s="34" t="str">
        <x:v>Closure</x:v>
      </x:c>
      <x:c r="C104" s="34" t="str">
        <x:v>Round1</x:v>
      </x:c>
      <x:c r="D104" s="34" t="str">
        <x:v>Closure_38</x:v>
      </x:c>
      <x:c r="E104" s="34" t="str">
        <x:v>Coverage</x:v>
      </x:c>
      <x:c r="F104" s="34" t="n">
        <x:v>176</x:v>
      </x:c>
      <x:c r="G104" s="34" t="str">
        <x:v>RECORDED</x:v>
      </x:c>
      <x:c r="H104" s="38" t="n">
        <x:f>IF(ISNUMBER('Data'!G104),'Data'!G104*100,"")</x:f>
        <x:v>5.68</x:v>
      </x:c>
      <x:c r="I104" s="34" t="str">
        <x:v>PASS</x:v>
      </x:c>
      <x:c r="J104" s="34" t="str">
        <x:v>PASS</x:v>
      </x:c>
      <x:c r="K104" s="34" t="str">
        <x:v>PASS</x:v>
      </x:c>
      <x:c r="L104" s="34" t="str">
        <x:v>PASS</x:v>
      </x:c>
      <x:c r="M104" s="34" t="str">
        <x:v>numeric coverage for applicable metric</x:v>
      </x:c>
      <x:c r="N104" s="34" t="str">
        <x:v>Feedback-Directed Random Test Generation/Result/Closure_38/result.json</x:v>
      </x:c>
      <x:c r="O104" s="38" t="n">
        <x:f>IF(AND(G104="RECORDED",ISNUMBER(H104)),H104,"")</x:f>
        <x:v>5.68</x:v>
      </x:c>
      <x:c r="P104" s="34" t="str">
        <x:v>NOT_REVEALING</x:v>
      </x:c>
      <x:c r="Q104" s="34" t="str">
        <x:v>Feedback-Directed Random Test Generation/Result/Closure_38/result.json</x:v>
      </x:c>
    </x:row>
    <x:row r="105">
      <x:c r="A105" s="34" t="str">
        <x:v>randoop</x:v>
      </x:c>
      <x:c r="B105" s="34" t="str">
        <x:v>Closure</x:v>
      </x:c>
      <x:c r="C105" s="34" t="str">
        <x:v>Round1</x:v>
      </x:c>
      <x:c r="D105" s="34" t="str">
        <x:v>Closure_39</x:v>
      </x:c>
      <x:c r="E105" s="34" t="str">
        <x:v>Coverage</x:v>
      </x:c>
      <x:c r="F105" s="34" t="n">
        <x:v>373</x:v>
      </x:c>
      <x:c r="G105" s="34" t="str">
        <x:v>RECORDED</x:v>
      </x:c>
      <x:c r="H105" s="38" t="n">
        <x:f>IF(ISNUMBER('Data'!G105),'Data'!G105*100,"")</x:f>
        <x:v>53.07999999999999</x:v>
      </x:c>
      <x:c r="I105" s="34" t="str">
        <x:v>PASS</x:v>
      </x:c>
      <x:c r="J105" s="34" t="str">
        <x:v>PASS</x:v>
      </x:c>
      <x:c r="K105" s="34" t="str">
        <x:v>PASS</x:v>
      </x:c>
      <x:c r="L105" s="34" t="str">
        <x:v>PASS</x:v>
      </x:c>
      <x:c r="M105" s="34" t="str">
        <x:v>numeric coverage for applicable metric</x:v>
      </x:c>
      <x:c r="N105" s="34" t="str">
        <x:v>Feedback-Directed Random Test Generation/Result/Closure_39/result.json</x:v>
      </x:c>
      <x:c r="O105" s="38" t="n">
        <x:f>IF(AND(G105="RECORDED",ISNUMBER(H105)),H105,"")</x:f>
        <x:v>53.07999999999999</x:v>
      </x:c>
      <x:c r="P105" s="34" t="str">
        <x:v>NOT_REVEALING</x:v>
      </x:c>
      <x:c r="Q105" s="34" t="str">
        <x:v>Feedback-Directed Random Test Generation/Result/Closure_39/result.json</x:v>
      </x:c>
    </x:row>
    <x:row r="106">
      <x:c r="A106" s="34" t="str">
        <x:v>randoop</x:v>
      </x:c>
      <x:c r="B106" s="34" t="str">
        <x:v>Closure</x:v>
      </x:c>
      <x:c r="C106" s="34" t="str">
        <x:v>Round1</x:v>
      </x:c>
      <x:c r="D106" s="34" t="str">
        <x:v>Closure_40</x:v>
      </x:c>
      <x:c r="E106" s="34" t="str">
        <x:v>Coverage</x:v>
      </x:c>
      <x:c r="F106" s="34" t="n">
        <x:v>1148</x:v>
      </x:c>
      <x:c r="G106" s="34" t="str">
        <x:v>RECORDED</x:v>
      </x:c>
      <x:c r="H106" s="38" t="n">
        <x:f>IF(ISNUMBER('Data'!G106),'Data'!G106*100,"")</x:f>
        <x:v>5.14</x:v>
      </x:c>
      <x:c r="I106" s="34" t="str">
        <x:v>PASS</x:v>
      </x:c>
      <x:c r="J106" s="34" t="str">
        <x:v>PASS</x:v>
      </x:c>
      <x:c r="K106" s="34" t="str">
        <x:v>PASS</x:v>
      </x:c>
      <x:c r="L106" s="34" t="str">
        <x:v>PASS</x:v>
      </x:c>
      <x:c r="M106" s="34" t="str">
        <x:v>numeric coverage for applicable metric</x:v>
      </x:c>
      <x:c r="N106" s="34" t="str">
        <x:v>Feedback-Directed Random Test Generation/Result/Closure_40/result.json</x:v>
      </x:c>
      <x:c r="O106" s="38" t="n">
        <x:f>IF(AND(G106="RECORDED",ISNUMBER(H106)),H106,"")</x:f>
        <x:v>5.14</x:v>
      </x:c>
      <x:c r="P106" s="34" t="str">
        <x:v>NOT_REVEALING</x:v>
      </x:c>
      <x:c r="Q106" s="34" t="str">
        <x:v>Feedback-Directed Random Test Generation/Result/Closure_40/result.json</x:v>
      </x:c>
    </x:row>
    <x:row r="107">
      <x:c r="A107" s="34" t="str">
        <x:v>randoop</x:v>
      </x:c>
      <x:c r="B107" s="34" t="str">
        <x:v>Closure</x:v>
      </x:c>
      <x:c r="C107" s="34" t="str">
        <x:v>Round1</x:v>
      </x:c>
      <x:c r="D107" s="34" t="str">
        <x:v>Closure_41</x:v>
      </x:c>
      <x:c r="E107" s="34" t="str">
        <x:v>Coverage</x:v>
      </x:c>
      <x:c r="F107" s="34" t="n">
        <x:v>576</x:v>
      </x:c>
      <x:c r="G107" s="34" t="str">
        <x:v>RECORDED</x:v>
      </x:c>
      <x:c r="H107" s="38" t="n">
        <x:f>IF(ISNUMBER('Data'!G107),'Data'!G107*100,"")</x:f>
        <x:v>9.2</x:v>
      </x:c>
      <x:c r="I107" s="34" t="str">
        <x:v>PASS</x:v>
      </x:c>
      <x:c r="J107" s="34" t="str">
        <x:v>PASS</x:v>
      </x:c>
      <x:c r="K107" s="34" t="str">
        <x:v>PASS</x:v>
      </x:c>
      <x:c r="L107" s="34" t="str">
        <x:v>PASS</x:v>
      </x:c>
      <x:c r="M107" s="34" t="str">
        <x:v>numeric coverage for applicable metric</x:v>
      </x:c>
      <x:c r="N107" s="34" t="str">
        <x:v>Feedback-Directed Random Test Generation/Result/Closure_41/result.json</x:v>
      </x:c>
      <x:c r="O107" s="38" t="n">
        <x:f>IF(AND(G107="RECORDED",ISNUMBER(H107)),H107,"")</x:f>
        <x:v>9.2</x:v>
      </x:c>
      <x:c r="P107" s="34" t="str">
        <x:v>NOT_REVEALING</x:v>
      </x:c>
      <x:c r="Q107" s="34" t="str">
        <x:v>Feedback-Directed Random Test Generation/Result/Closure_41/result.json</x:v>
      </x:c>
    </x:row>
    <x:row r="108">
      <x:c r="A108" s="34" t="str">
        <x:v>randoop</x:v>
      </x:c>
      <x:c r="B108" s="34" t="str">
        <x:v>Closure</x:v>
      </x:c>
      <x:c r="C108" s="34" t="str">
        <x:v>Round1</x:v>
      </x:c>
      <x:c r="D108" s="34" t="str">
        <x:v>Closure_42</x:v>
      </x:c>
      <x:c r="E108" s="34" t="str">
        <x:v>Coverage</x:v>
      </x:c>
      <x:c r="F108" s="34" t="n">
        <x:v>877</x:v>
      </x:c>
      <x:c r="G108" s="34" t="str">
        <x:v>RECORDED</x:v>
      </x:c>
      <x:c r="H108" s="38" t="n">
        <x:f>IF(ISNUMBER('Data'!G108),'Data'!G108*100,"")</x:f>
        <x:v>2.96</x:v>
      </x:c>
      <x:c r="I108" s="34" t="str">
        <x:v>PASS</x:v>
      </x:c>
      <x:c r="J108" s="34" t="str">
        <x:v>PASS</x:v>
      </x:c>
      <x:c r="K108" s="34" t="str">
        <x:v>PASS</x:v>
      </x:c>
      <x:c r="L108" s="34" t="str">
        <x:v>PASS</x:v>
      </x:c>
      <x:c r="M108" s="34" t="str">
        <x:v>numeric coverage for applicable metric</x:v>
      </x:c>
      <x:c r="N108" s="34" t="str">
        <x:v>Feedback-Directed Random Test Generation/Result/Closure_42/result.json</x:v>
      </x:c>
      <x:c r="O108" s="38" t="n">
        <x:f>IF(AND(G108="RECORDED",ISNUMBER(H108)),H108,"")</x:f>
        <x:v>2.96</x:v>
      </x:c>
      <x:c r="P108" s="34" t="str">
        <x:v>NOT_REVEALING</x:v>
      </x:c>
      <x:c r="Q108" s="34" t="str">
        <x:v>Feedback-Directed Random Test Generation/Result/Closure_42/result.json</x:v>
      </x:c>
    </x:row>
    <x:row r="109">
      <x:c r="A109" s="34" t="str">
        <x:v>randoop</x:v>
      </x:c>
      <x:c r="B109" s="34" t="str">
        <x:v>Closure</x:v>
      </x:c>
      <x:c r="C109" s="34" t="str">
        <x:v>Round1</x:v>
      </x:c>
      <x:c r="D109" s="34" t="str">
        <x:v>Closure_43</x:v>
      </x:c>
      <x:c r="E109" s="34" t="str">
        <x:v>Coverage</x:v>
      </x:c>
      <x:c r="F109" s="34" t="n">
        <x:v>1489</x:v>
      </x:c>
      <x:c r="G109" s="34" t="str">
        <x:v>RECORDED</x:v>
      </x:c>
      <x:c r="H109" s="38" t="n">
        <x:f>IF(ISNUMBER('Data'!G109),'Data'!G109*100,"")</x:f>
        <x:v>1.68</x:v>
      </x:c>
      <x:c r="I109" s="34" t="str">
        <x:v>PASS</x:v>
      </x:c>
      <x:c r="J109" s="34" t="str">
        <x:v>PASS</x:v>
      </x:c>
      <x:c r="K109" s="34" t="str">
        <x:v>PASS</x:v>
      </x:c>
      <x:c r="L109" s="34" t="str">
        <x:v>PASS</x:v>
      </x:c>
      <x:c r="M109" s="34" t="str">
        <x:v>numeric coverage for applicable metric</x:v>
      </x:c>
      <x:c r="N109" s="34" t="str">
        <x:v>Feedback-Directed Random Test Generation/Result/Closure_43/result.json</x:v>
      </x:c>
      <x:c r="O109" s="38" t="n">
        <x:f>IF(AND(G109="RECORDED",ISNUMBER(H109)),H109,"")</x:f>
        <x:v>1.68</x:v>
      </x:c>
      <x:c r="P109" s="34" t="str">
        <x:v>NOT_REVEALING</x:v>
      </x:c>
      <x:c r="Q109" s="34" t="str">
        <x:v>Feedback-Directed Random Test Generation/Result/Closure_43/result.json</x:v>
      </x:c>
    </x:row>
    <x:row r="110">
      <x:c r="A110" s="34" t="str">
        <x:v>randoop</x:v>
      </x:c>
      <x:c r="B110" s="34" t="str">
        <x:v>Closure</x:v>
      </x:c>
      <x:c r="C110" s="34" t="str">
        <x:v>Round1</x:v>
      </x:c>
      <x:c r="D110" s="34" t="str">
        <x:v>Closure_44</x:v>
      </x:c>
      <x:c r="E110" s="34" t="str">
        <x:v>Coverage</x:v>
      </x:c>
      <x:c r="F110" s="34" t="n">
        <x:v>169</x:v>
      </x:c>
      <x:c r="G110" s="34" t="str">
        <x:v>RECORDED</x:v>
      </x:c>
      <x:c r="H110" s="38" t="n">
        <x:f>IF(ISNUMBER('Data'!G110),'Data'!G110*100,"")</x:f>
        <x:v>5.92</x:v>
      </x:c>
      <x:c r="I110" s="34" t="str">
        <x:v>PASS</x:v>
      </x:c>
      <x:c r="J110" s="34" t="str">
        <x:v>PASS</x:v>
      </x:c>
      <x:c r="K110" s="34" t="str">
        <x:v>PASS</x:v>
      </x:c>
      <x:c r="L110" s="34" t="str">
        <x:v>PASS</x:v>
      </x:c>
      <x:c r="M110" s="34" t="str">
        <x:v>numeric coverage for applicable metric</x:v>
      </x:c>
      <x:c r="N110" s="34" t="str">
        <x:v>Feedback-Directed Random Test Generation/Result/Closure_44/result.json</x:v>
      </x:c>
      <x:c r="O110" s="38" t="n">
        <x:f>IF(AND(G110="RECORDED",ISNUMBER(H110)),H110,"")</x:f>
        <x:v>5.92</x:v>
      </x:c>
      <x:c r="P110" s="34" t="str">
        <x:v>NOT_REVEALING</x:v>
      </x:c>
      <x:c r="Q110" s="34" t="str">
        <x:v>Feedback-Directed Random Test Generation/Result/Closure_44/result.json</x:v>
      </x:c>
    </x:row>
    <x:row r="111">
      <x:c r="A111" s="34" t="str">
        <x:v>randoop</x:v>
      </x:c>
      <x:c r="B111" s="34" t="str">
        <x:v>Closure</x:v>
      </x:c>
      <x:c r="C111" s="34" t="str">
        <x:v>Round1</x:v>
      </x:c>
      <x:c r="D111" s="34" t="str">
        <x:v>Closure_45</x:v>
      </x:c>
      <x:c r="E111" s="34" t="str">
        <x:v>Coverage</x:v>
      </x:c>
      <x:c r="F111" s="34" t="n">
        <x:v>665</x:v>
      </x:c>
      <x:c r="G111" s="34" t="str">
        <x:v>RECORDED</x:v>
      </x:c>
      <x:c r="H111" s="38" t="n">
        <x:f>IF(ISNUMBER('Data'!G111),'Data'!G111*100,"")</x:f>
        <x:v>1.95</x:v>
      </x:c>
      <x:c r="I111" s="34" t="str">
        <x:v>PASS</x:v>
      </x:c>
      <x:c r="J111" s="34" t="str">
        <x:v>PASS</x:v>
      </x:c>
      <x:c r="K111" s="34" t="str">
        <x:v>PASS</x:v>
      </x:c>
      <x:c r="L111" s="34" t="str">
        <x:v>PASS</x:v>
      </x:c>
      <x:c r="M111" s="34" t="str">
        <x:v>numeric coverage for applicable metric</x:v>
      </x:c>
      <x:c r="N111" s="34" t="str">
        <x:v>Feedback-Directed Random Test Generation/Result/Closure_45/result.json</x:v>
      </x:c>
      <x:c r="O111" s="38" t="n">
        <x:f>IF(AND(G111="RECORDED",ISNUMBER(H111)),H111,"")</x:f>
        <x:v>1.95</x:v>
      </x:c>
      <x:c r="P111" s="34" t="str">
        <x:v>NOT_REVEALING</x:v>
      </x:c>
      <x:c r="Q111" s="34" t="str">
        <x:v>Feedback-Directed Random Test Generation/Result/Closure_45/result.json</x:v>
      </x:c>
    </x:row>
    <x:row r="112">
      <x:c r="A112" s="34" t="str">
        <x:v>randoop</x:v>
      </x:c>
      <x:c r="B112" s="34" t="str">
        <x:v>Closure</x:v>
      </x:c>
      <x:c r="C112" s="34" t="str">
        <x:v>Round1</x:v>
      </x:c>
      <x:c r="D112" s="34" t="str">
        <x:v>Closure_46</x:v>
      </x:c>
      <x:c r="E112" s="34" t="str">
        <x:v>Coverage</x:v>
      </x:c>
      <x:c r="F112" s="34" t="n">
        <x:v>189</x:v>
      </x:c>
      <x:c r="G112" s="34" t="str">
        <x:v>RECORDED</x:v>
      </x:c>
      <x:c r="H112" s="38" t="n">
        <x:f>IF(ISNUMBER('Data'!G112),'Data'!G112*100,"")</x:f>
        <x:v>1.06</x:v>
      </x:c>
      <x:c r="I112" s="34" t="str">
        <x:v>PASS</x:v>
      </x:c>
      <x:c r="J112" s="34" t="str">
        <x:v>PASS</x:v>
      </x:c>
      <x:c r="K112" s="34" t="str">
        <x:v>PASS</x:v>
      </x:c>
      <x:c r="L112" s="34" t="str">
        <x:v>PASS</x:v>
      </x:c>
      <x:c r="M112" s="34" t="str">
        <x:v>numeric coverage for applicable metric</x:v>
      </x:c>
      <x:c r="N112" s="34" t="str">
        <x:v>Feedback-Directed Random Test Generation/Result/Closure_46/result.json</x:v>
      </x:c>
      <x:c r="O112" s="38" t="n">
        <x:f>IF(AND(G112="RECORDED",ISNUMBER(H112)),H112,"")</x:f>
        <x:v>1.06</x:v>
      </x:c>
      <x:c r="P112" s="34" t="str">
        <x:v>NOT_REVEALING</x:v>
      </x:c>
      <x:c r="Q112" s="34" t="str">
        <x:v>Feedback-Directed Random Test Generation/Result/Closure_46/result.json</x:v>
      </x:c>
    </x:row>
    <x:row r="113">
      <x:c r="A113" s="34" t="str">
        <x:v>randoop</x:v>
      </x:c>
      <x:c r="B113" s="34" t="str">
        <x:v>Closure</x:v>
      </x:c>
      <x:c r="C113" s="34" t="str">
        <x:v>Round1</x:v>
      </x:c>
      <x:c r="D113" s="34" t="str">
        <x:v>Closure_47</x:v>
      </x:c>
      <x:c r="E113" s="34" t="str">
        <x:v>Coverage</x:v>
      </x:c>
      <x:c r="F113" s="34" t="n">
        <x:v>520</x:v>
      </x:c>
      <x:c r="G113" s="34" t="str">
        <x:v>RECORDED</x:v>
      </x:c>
      <x:c r="H113" s="38" t="n">
        <x:f>IF(ISNUMBER('Data'!G113),'Data'!G113*100,"")</x:f>
        <x:v>13.269999999999998</x:v>
      </x:c>
      <x:c r="I113" s="34" t="str">
        <x:v>PASS</x:v>
      </x:c>
      <x:c r="J113" s="34" t="str">
        <x:v>PASS</x:v>
      </x:c>
      <x:c r="K113" s="34" t="str">
        <x:v>PASS</x:v>
      </x:c>
      <x:c r="L113" s="34" t="str">
        <x:v>FAIL</x:v>
      </x:c>
      <x:c r="M113" s="34" t="str">
        <x:v>numeric coverage for applicable metric</x:v>
      </x:c>
      <x:c r="N113" s="34" t="str">
        <x:v>Feedback-Directed Random Test Generation/Result/Closure_47/result.json</x:v>
      </x:c>
      <x:c r="O113" s="38" t="n">
        <x:f>IF(AND(G113="RECORDED",ISNUMBER(H113)),H113,"")</x:f>
        <x:v>13.269999999999998</x:v>
      </x:c>
      <x:c r="P113" s="34" t="str">
        <x:v>INCONCLUSIVE</x:v>
      </x:c>
      <x:c r="Q113" s="34" t="str">
        <x:v>Feedback-Directed Random Test Generation/Result/Closure_47/result.json</x:v>
      </x:c>
    </x:row>
    <x:row r="114">
      <x:c r="A114" s="34" t="str">
        <x:v>randoop</x:v>
      </x:c>
      <x:c r="B114" s="34" t="str">
        <x:v>Closure</x:v>
      </x:c>
      <x:c r="C114" s="34" t="str">
        <x:v>Round1</x:v>
      </x:c>
      <x:c r="D114" s="34" t="str">
        <x:v>Closure_48</x:v>
      </x:c>
      <x:c r="E114" s="34" t="str">
        <x:v>Coverage</x:v>
      </x:c>
      <x:c r="F114" s="34" t="n">
        <x:v>1473</x:v>
      </x:c>
      <x:c r="G114" s="34" t="str">
        <x:v>RECORDED</x:v>
      </x:c>
      <x:c r="H114" s="38" t="n">
        <x:f>IF(ISNUMBER('Data'!G114),'Data'!G114*100,"")</x:f>
        <x:v>1.7000000000000002</x:v>
      </x:c>
      <x:c r="I114" s="34" t="str">
        <x:v>PASS</x:v>
      </x:c>
      <x:c r="J114" s="34" t="str">
        <x:v>PASS</x:v>
      </x:c>
      <x:c r="K114" s="34" t="str">
        <x:v>PASS</x:v>
      </x:c>
      <x:c r="L114" s="34" t="str">
        <x:v>PASS</x:v>
      </x:c>
      <x:c r="M114" s="34" t="str">
        <x:v>numeric coverage for applicable metric</x:v>
      </x:c>
      <x:c r="N114" s="34" t="str">
        <x:v>Feedback-Directed Random Test Generation/Result/Closure_48/result.json</x:v>
      </x:c>
      <x:c r="O114" s="38" t="n">
        <x:f>IF(AND(G114="RECORDED",ISNUMBER(H114)),H114,"")</x:f>
        <x:v>1.7000000000000002</x:v>
      </x:c>
      <x:c r="P114" s="34" t="str">
        <x:v>NOT_REVEALING</x:v>
      </x:c>
      <x:c r="Q114" s="34" t="str">
        <x:v>Feedback-Directed Random Test Generation/Result/Closure_48/result.json</x:v>
      </x:c>
    </x:row>
    <x:row r="115">
      <x:c r="A115" s="34" t="str">
        <x:v>randoop</x:v>
      </x:c>
      <x:c r="B115" s="34" t="str">
        <x:v>Closure</x:v>
      </x:c>
      <x:c r="C115" s="34" t="str">
        <x:v>Round1</x:v>
      </x:c>
      <x:c r="D115" s="34" t="str">
        <x:v>Closure_49</x:v>
      </x:c>
      <x:c r="E115" s="34" t="str">
        <x:v>Coverage</x:v>
      </x:c>
      <x:c r="F115" s="34" t="n">
        <x:v>298</x:v>
      </x:c>
      <x:c r="G115" s="34" t="str">
        <x:v>RECORDED</x:v>
      </x:c>
      <x:c r="H115" s="38" t="n">
        <x:f>IF(ISNUMBER('Data'!G115),'Data'!G115*100,"")</x:f>
        <x:v>30.870000000000005</x:v>
      </x:c>
      <x:c r="I115" s="34" t="str">
        <x:v>PASS</x:v>
      </x:c>
      <x:c r="J115" s="34" t="str">
        <x:v>PASS</x:v>
      </x:c>
      <x:c r="K115" s="34" t="str">
        <x:v>PASS</x:v>
      </x:c>
      <x:c r="L115" s="34" t="str">
        <x:v>PASS</x:v>
      </x:c>
      <x:c r="M115" s="34" t="str">
        <x:v>numeric coverage for applicable metric</x:v>
      </x:c>
      <x:c r="N115" s="34" t="str">
        <x:v>Feedback-Directed Random Test Generation/Result/Closure_49/result.json</x:v>
      </x:c>
      <x:c r="O115" s="38" t="n">
        <x:f>IF(AND(G115="RECORDED",ISNUMBER(H115)),H115,"")</x:f>
        <x:v>30.870000000000005</x:v>
      </x:c>
      <x:c r="P115" s="34" t="str">
        <x:v>NOT_REVEALING</x:v>
      </x:c>
      <x:c r="Q115" s="34" t="str">
        <x:v>Feedback-Directed Random Test Generation/Result/Closure_49/result.json</x:v>
      </x:c>
    </x:row>
    <x:row r="116">
      <x:c r="A116" s="34" t="str">
        <x:v>randoop</x:v>
      </x:c>
      <x:c r="B116" s="34" t="str">
        <x:v>Closure</x:v>
      </x:c>
      <x:c r="C116" s="34" t="str">
        <x:v>Round1</x:v>
      </x:c>
      <x:c r="D116" s="34" t="str">
        <x:v>Closure_50</x:v>
      </x:c>
      <x:c r="E116" s="34" t="str">
        <x:v>Coverage</x:v>
      </x:c>
      <x:c r="F116" s="34" t="n">
        <x:v>553</x:v>
      </x:c>
      <x:c r="G116" s="34" t="str">
        <x:v>RECORDED</x:v>
      </x:c>
      <x:c r="H116" s="38" t="n">
        <x:f>IF(ISNUMBER('Data'!G116),'Data'!G116*100,"")</x:f>
        <x:v>0.54</x:v>
      </x:c>
      <x:c r="I116" s="34" t="str">
        <x:v>PASS</x:v>
      </x:c>
      <x:c r="J116" s="34" t="str">
        <x:v>PASS</x:v>
      </x:c>
      <x:c r="K116" s="34" t="str">
        <x:v>PASS</x:v>
      </x:c>
      <x:c r="L116" s="34" t="str">
        <x:v>PASS</x:v>
      </x:c>
      <x:c r="M116" s="34" t="str">
        <x:v>numeric coverage for applicable metric</x:v>
      </x:c>
      <x:c r="N116" s="34" t="str">
        <x:v>Feedback-Directed Random Test Generation/Result/Closure_50/result.json</x:v>
      </x:c>
      <x:c r="O116" s="38" t="n">
        <x:f>IF(AND(G116="RECORDED",ISNUMBER(H116)),H116,"")</x:f>
        <x:v>0.54</x:v>
      </x:c>
      <x:c r="P116" s="34" t="str">
        <x:v>NOT_REVEALING</x:v>
      </x:c>
      <x:c r="Q116" s="34" t="str">
        <x:v>Feedback-Directed Random Test Generation/Result/Closure_50/result.json</x:v>
      </x:c>
    </x:row>
    <x:row r="117">
      <x:c r="A117" s="34" t="str">
        <x:v>randoop</x:v>
      </x:c>
      <x:c r="B117" s="34" t="str">
        <x:v>Closure</x:v>
      </x:c>
      <x:c r="C117" s="34" t="str">
        <x:v>Round1</x:v>
      </x:c>
      <x:c r="D117" s="34" t="str">
        <x:v>Closure_51</x:v>
      </x:c>
      <x:c r="E117" s="34" t="str">
        <x:v>Coverage</x:v>
      </x:c>
      <x:c r="F117" s="34" t="n">
        <x:v>162</x:v>
      </x:c>
      <x:c r="G117" s="34" t="str">
        <x:v>RECORDED</x:v>
      </x:c>
      <x:c r="H117" s="38" t="n">
        <x:f>IF(ISNUMBER('Data'!G117),'Data'!G117*100,"")</x:f>
        <x:v>3.7000000000000006</x:v>
      </x:c>
      <x:c r="I117" s="34" t="str">
        <x:v>PASS</x:v>
      </x:c>
      <x:c r="J117" s="34" t="str">
        <x:v>PASS</x:v>
      </x:c>
      <x:c r="K117" s="34" t="str">
        <x:v>PASS</x:v>
      </x:c>
      <x:c r="L117" s="34" t="str">
        <x:v>PASS</x:v>
      </x:c>
      <x:c r="M117" s="34" t="str">
        <x:v>numeric coverage for applicable metric</x:v>
      </x:c>
      <x:c r="N117" s="34" t="str">
        <x:v>Feedback-Directed Random Test Generation/Result/Closure_51/result.json</x:v>
      </x:c>
      <x:c r="O117" s="38" t="n">
        <x:f>IF(AND(G117="RECORDED",ISNUMBER(H117)),H117,"")</x:f>
        <x:v>3.7000000000000006</x:v>
      </x:c>
      <x:c r="P117" s="34" t="str">
        <x:v>NOT_REVEALING</x:v>
      </x:c>
      <x:c r="Q117" s="34" t="str">
        <x:v>Feedback-Directed Random Test Generation/Result/Closure_51/result.json</x:v>
      </x:c>
    </x:row>
    <x:row r="118">
      <x:c r="A118" s="34" t="str">
        <x:v>randoop</x:v>
      </x:c>
      <x:c r="B118" s="34" t="str">
        <x:v>Closure</x:v>
      </x:c>
      <x:c r="C118" s="34" t="str">
        <x:v>Round1</x:v>
      </x:c>
      <x:c r="D118" s="34" t="str">
        <x:v>Closure_52</x:v>
      </x:c>
      <x:c r="E118" s="34" t="str">
        <x:v>Coverage</x:v>
      </x:c>
      <x:c r="F118" s="34" t="n">
        <x:v>1046</x:v>
      </x:c>
      <x:c r="G118" s="34" t="str">
        <x:v>RECORDED</x:v>
      </x:c>
      <x:c r="H118" s="38" t="n">
        <x:f>IF(ISNUMBER('Data'!G118),'Data'!G118*100,"")</x:f>
        <x:v>11.19</x:v>
      </x:c>
      <x:c r="I118" s="34" t="str">
        <x:v>PASS</x:v>
      </x:c>
      <x:c r="J118" s="34" t="str">
        <x:v>PASS</x:v>
      </x:c>
      <x:c r="K118" s="34" t="str">
        <x:v>PASS</x:v>
      </x:c>
      <x:c r="L118" s="34" t="str">
        <x:v>PASS</x:v>
      </x:c>
      <x:c r="M118" s="34" t="str">
        <x:v>numeric coverage for applicable metric</x:v>
      </x:c>
      <x:c r="N118" s="34" t="str">
        <x:v>Feedback-Directed Random Test Generation/Result/Closure_52/result.json</x:v>
      </x:c>
      <x:c r="O118" s="38" t="n">
        <x:f>IF(AND(G118="RECORDED",ISNUMBER(H118)),H118,"")</x:f>
        <x:v>11.19</x:v>
      </x:c>
      <x:c r="P118" s="34" t="str">
        <x:v>NOT_REVEALING</x:v>
      </x:c>
      <x:c r="Q118" s="34" t="str">
        <x:v>Feedback-Directed Random Test Generation/Result/Closure_52/result.json</x:v>
      </x:c>
    </x:row>
    <x:row r="119">
      <x:c r="A119" s="34" t="str">
        <x:v>randoop</x:v>
      </x:c>
      <x:c r="B119" s="34" t="str">
        <x:v>Closure</x:v>
      </x:c>
      <x:c r="C119" s="34" t="str">
        <x:v>Round1</x:v>
      </x:c>
      <x:c r="D119" s="34" t="str">
        <x:v>Closure_53</x:v>
      </x:c>
      <x:c r="E119" s="34" t="str">
        <x:v>Coverage</x:v>
      </x:c>
      <x:c r="F119" s="34" t="n">
        <x:v>282</x:v>
      </x:c>
      <x:c r="G119" s="34" t="str">
        <x:v>RECORDED</x:v>
      </x:c>
      <x:c r="H119" s="38" t="n">
        <x:f>IF(ISNUMBER('Data'!G119),'Data'!G119*100,"")</x:f>
        <x:v>2.84</x:v>
      </x:c>
      <x:c r="I119" s="34" t="str">
        <x:v>PASS</x:v>
      </x:c>
      <x:c r="J119" s="34" t="str">
        <x:v>PASS</x:v>
      </x:c>
      <x:c r="K119" s="34" t="str">
        <x:v>PASS</x:v>
      </x:c>
      <x:c r="L119" s="34" t="str">
        <x:v>PASS</x:v>
      </x:c>
      <x:c r="M119" s="34" t="str">
        <x:v>numeric coverage for applicable metric</x:v>
      </x:c>
      <x:c r="N119" s="34" t="str">
        <x:v>Feedback-Directed Random Test Generation/Result/Closure_53/result.json</x:v>
      </x:c>
      <x:c r="O119" s="38" t="n">
        <x:f>IF(AND(G119="RECORDED",ISNUMBER(H119)),H119,"")</x:f>
        <x:v>2.84</x:v>
      </x:c>
      <x:c r="P119" s="34" t="str">
        <x:v>NOT_REVEALING</x:v>
      </x:c>
      <x:c r="Q119" s="34" t="str">
        <x:v>Feedback-Directed Random Test Generation/Result/Closure_53/result.json</x:v>
      </x:c>
    </x:row>
    <x:row r="120">
      <x:c r="A120" s="34" t="str">
        <x:v>randoop</x:v>
      </x:c>
      <x:c r="B120" s="34" t="str">
        <x:v>Closure</x:v>
      </x:c>
      <x:c r="C120" s="34" t="str">
        <x:v>Round1</x:v>
      </x:c>
      <x:c r="D120" s="34" t="str">
        <x:v>Closure_54</x:v>
      </x:c>
      <x:c r="E120" s="34" t="str">
        <x:v>Coverage</x:v>
      </x:c>
      <x:c r="F120" s="34" t="n">
        <x:v>2100</x:v>
      </x:c>
      <x:c r="G120" s="34" t="str">
        <x:v>RECORDED</x:v>
      </x:c>
      <x:c r="H120" s="38" t="n">
        <x:f>IF(ISNUMBER('Data'!G120),'Data'!G120*100,"")</x:f>
        <x:v>1.19</x:v>
      </x:c>
      <x:c r="I120" s="34" t="str">
        <x:v>PASS</x:v>
      </x:c>
      <x:c r="J120" s="34" t="str">
        <x:v>PASS</x:v>
      </x:c>
      <x:c r="K120" s="34" t="str">
        <x:v>PASS</x:v>
      </x:c>
      <x:c r="L120" s="34" t="str">
        <x:v>PASS</x:v>
      </x:c>
      <x:c r="M120" s="34" t="str">
        <x:v>numeric coverage for applicable metric</x:v>
      </x:c>
      <x:c r="N120" s="34" t="str">
        <x:v>Feedback-Directed Random Test Generation/Result/Closure_54/result.json</x:v>
      </x:c>
      <x:c r="O120" s="38" t="n">
        <x:f>IF(AND(G120="RECORDED",ISNUMBER(H120)),H120,"")</x:f>
        <x:v>1.19</x:v>
      </x:c>
      <x:c r="P120" s="34" t="str">
        <x:v>NOT_REVEALING</x:v>
      </x:c>
      <x:c r="Q120" s="34" t="str">
        <x:v>Feedback-Directed Random Test Generation/Result/Closure_54/result.json</x:v>
      </x:c>
    </x:row>
    <x:row r="121">
      <x:c r="A121" s="34" t="str">
        <x:v>randoop</x:v>
      </x:c>
      <x:c r="B121" s="34" t="str">
        <x:v>Closure</x:v>
      </x:c>
      <x:c r="C121" s="34" t="str">
        <x:v>Round1</x:v>
      </x:c>
      <x:c r="D121" s="34" t="str">
        <x:v>Closure_55</x:v>
      </x:c>
      <x:c r="E121" s="34" t="str">
        <x:v>Coverage</x:v>
      </x:c>
      <x:c r="F121" s="34" t="n">
        <x:v>234</x:v>
      </x:c>
      <x:c r="G121" s="34" t="str">
        <x:v>RECORDED</x:v>
      </x:c>
      <x:c r="H121" s="38" t="n">
        <x:f>IF(ISNUMBER('Data'!G121),'Data'!G121*100,"")</x:f>
        <x:v>8.12</x:v>
      </x:c>
      <x:c r="I121" s="34" t="str">
        <x:v>PASS</x:v>
      </x:c>
      <x:c r="J121" s="34" t="str">
        <x:v>PASS</x:v>
      </x:c>
      <x:c r="K121" s="34" t="str">
        <x:v>PASS</x:v>
      </x:c>
      <x:c r="L121" s="34" t="str">
        <x:v>PASS</x:v>
      </x:c>
      <x:c r="M121" s="34" t="str">
        <x:v>numeric coverage for applicable metric</x:v>
      </x:c>
      <x:c r="N121" s="34" t="str">
        <x:v>Feedback-Directed Random Test Generation/Result/Closure_55/result.json</x:v>
      </x:c>
      <x:c r="O121" s="38" t="n">
        <x:f>IF(AND(G121="RECORDED",ISNUMBER(H121)),H121,"")</x:f>
        <x:v>8.12</x:v>
      </x:c>
      <x:c r="P121" s="34" t="str">
        <x:v>NOT_REVEALING</x:v>
      </x:c>
      <x:c r="Q121" s="34" t="str">
        <x:v>Feedback-Directed Random Test Generation/Result/Closure_55/result.json</x:v>
      </x:c>
    </x:row>
    <x:row r="122">
      <x:c r="A122" s="34" t="str">
        <x:v>randoop</x:v>
      </x:c>
      <x:c r="B122" s="34" t="str">
        <x:v>Closure</x:v>
      </x:c>
      <x:c r="C122" s="34" t="str">
        <x:v>Round1</x:v>
      </x:c>
      <x:c r="D122" s="34" t="str">
        <x:v>Closure_56</x:v>
      </x:c>
      <x:c r="E122" s="34" t="str">
        <x:v>Coverage</x:v>
      </x:c>
      <x:c r="F122" s="34" t="n">
        <x:v>190</x:v>
      </x:c>
      <x:c r="G122" s="34" t="str">
        <x:v>RECORDED</x:v>
      </x:c>
      <x:c r="H122" s="38" t="n">
        <x:f>IF(ISNUMBER('Data'!G122),'Data'!G122*100,"")</x:f>
        <x:v>83.16</x:v>
      </x:c>
      <x:c r="I122" s="34" t="str">
        <x:v>PASS</x:v>
      </x:c>
      <x:c r="J122" s="34" t="str">
        <x:v>PASS</x:v>
      </x:c>
      <x:c r="K122" s="34" t="str">
        <x:v>PASS</x:v>
      </x:c>
      <x:c r="L122" s="34" t="str">
        <x:v>FAIL</x:v>
      </x:c>
      <x:c r="M122" s="34" t="str">
        <x:v>numeric coverage for applicable metric</x:v>
      </x:c>
      <x:c r="N122" s="34" t="str">
        <x:v>Feedback-Directed Random Test Generation/Result/Closure_56/result.json</x:v>
      </x:c>
      <x:c r="O122" s="38" t="n">
        <x:f>IF(AND(G122="RECORDED",ISNUMBER(H122)),H122,"")</x:f>
        <x:v>83.16</x:v>
      </x:c>
      <x:c r="P122" s="34" t="str">
        <x:v>INCONCLUSIVE</x:v>
      </x:c>
      <x:c r="Q122" s="34" t="str">
        <x:v>Feedback-Directed Random Test Generation/Result/Closure_56/result.json</x:v>
      </x:c>
    </x:row>
    <x:row r="123">
      <x:c r="A123" s="34" t="str">
        <x:v>randoop</x:v>
      </x:c>
      <x:c r="B123" s="34" t="str">
        <x:v>Closure</x:v>
      </x:c>
      <x:c r="C123" s="34" t="str">
        <x:v>Round1</x:v>
      </x:c>
      <x:c r="D123" s="34" t="str">
        <x:v>Closure_57</x:v>
      </x:c>
      <x:c r="E123" s="34" t="str">
        <x:v>Coverage</x:v>
      </x:c>
      <x:c r="F123" s="34" t="n">
        <x:v>239</x:v>
      </x:c>
      <x:c r="G123" s="34" t="str">
        <x:v>RECORDED</x:v>
      </x:c>
      <x:c r="H123" s="38" t="n">
        <x:f>IF(ISNUMBER('Data'!G123),'Data'!G123*100,"")</x:f>
        <x:v>11.3</x:v>
      </x:c>
      <x:c r="I123" s="34" t="str">
        <x:v>PASS</x:v>
      </x:c>
      <x:c r="J123" s="34" t="str">
        <x:v>PASS</x:v>
      </x:c>
      <x:c r="K123" s="34" t="str">
        <x:v>PASS</x:v>
      </x:c>
      <x:c r="L123" s="34" t="str">
        <x:v>PASS</x:v>
      </x:c>
      <x:c r="M123" s="34" t="str">
        <x:v>numeric coverage for applicable metric</x:v>
      </x:c>
      <x:c r="N123" s="34" t="str">
        <x:v>Feedback-Directed Random Test Generation/Result/Closure_57/result.json</x:v>
      </x:c>
      <x:c r="O123" s="38" t="n">
        <x:f>IF(AND(G123="RECORDED",ISNUMBER(H123)),H123,"")</x:f>
        <x:v>11.3</x:v>
      </x:c>
      <x:c r="P123" s="34" t="str">
        <x:v>NOT_REVEALING</x:v>
      </x:c>
      <x:c r="Q123" s="34" t="str">
        <x:v>Feedback-Directed Random Test Generation/Result/Closure_57/result.json</x:v>
      </x:c>
    </x:row>
    <x:row r="124">
      <x:c r="A124" s="34" t="str">
        <x:v>randoop</x:v>
      </x:c>
      <x:c r="B124" s="34" t="str">
        <x:v>Closure</x:v>
      </x:c>
      <x:c r="C124" s="34" t="str">
        <x:v>Round1</x:v>
      </x:c>
      <x:c r="D124" s="34" t="str">
        <x:v>Closure_58</x:v>
      </x:c>
      <x:c r="E124" s="34" t="str">
        <x:v>Coverage</x:v>
      </x:c>
      <x:c r="F124" s="34" t="n">
        <x:v>156</x:v>
      </x:c>
      <x:c r="G124" s="34" t="str">
        <x:v>RECORDED</x:v>
      </x:c>
      <x:c r="H124" s="38" t="n">
        <x:f>IF(ISNUMBER('Data'!G124),'Data'!G124*100,"")</x:f>
        <x:v>1.92</x:v>
      </x:c>
      <x:c r="I124" s="34" t="str">
        <x:v>PASS</x:v>
      </x:c>
      <x:c r="J124" s="34" t="str">
        <x:v>PASS</x:v>
      </x:c>
      <x:c r="K124" s="34" t="str">
        <x:v>PASS</x:v>
      </x:c>
      <x:c r="L124" s="34" t="str">
        <x:v>PASS</x:v>
      </x:c>
      <x:c r="M124" s="34" t="str">
        <x:v>numeric coverage for applicable metric</x:v>
      </x:c>
      <x:c r="N124" s="34" t="str">
        <x:v>Feedback-Directed Random Test Generation/Result/Closure_58/result.json</x:v>
      </x:c>
      <x:c r="O124" s="38" t="n">
        <x:f>IF(AND(G124="RECORDED",ISNUMBER(H124)),H124,"")</x:f>
        <x:v>1.92</x:v>
      </x:c>
      <x:c r="P124" s="34" t="str">
        <x:v>NOT_REVEALING</x:v>
      </x:c>
      <x:c r="Q124" s="34" t="str">
        <x:v>Feedback-Directed Random Test Generation/Result/Closure_58/result.json</x:v>
      </x:c>
    </x:row>
    <x:row r="125">
      <x:c r="A125" s="34" t="str">
        <x:v>randoop</x:v>
      </x:c>
      <x:c r="B125" s="34" t="str">
        <x:v>Closure</x:v>
      </x:c>
      <x:c r="C125" s="34" t="str">
        <x:v>Round1</x:v>
      </x:c>
      <x:c r="D125" s="34" t="str">
        <x:v>Closure_59</x:v>
      </x:c>
      <x:c r="E125" s="34" t="str">
        <x:v>Coverage</x:v>
      </x:c>
      <x:c r="F125" s="34" t="n">
        <x:v>1144</x:v>
      </x:c>
      <x:c r="G125" s="34" t="str">
        <x:v>RECORDED</x:v>
      </x:c>
      <x:c r="H125" s="38" t="n">
        <x:f>IF(ISNUMBER('Data'!G125),'Data'!G125*100,"")</x:f>
        <x:v>40.3</x:v>
      </x:c>
      <x:c r="I125" s="34" t="str">
        <x:v>PASS</x:v>
      </x:c>
      <x:c r="J125" s="34" t="str">
        <x:v>PASS</x:v>
      </x:c>
      <x:c r="K125" s="34" t="str">
        <x:v>PASS</x:v>
      </x:c>
      <x:c r="L125" s="34" t="str">
        <x:v>FAIL</x:v>
      </x:c>
      <x:c r="M125" s="34" t="str">
        <x:v>numeric coverage for applicable metric</x:v>
      </x:c>
      <x:c r="N125" s="34" t="str">
        <x:v>Feedback-Directed Random Test Generation/Result/Closure_59/result.json</x:v>
      </x:c>
      <x:c r="O125" s="38" t="n">
        <x:f>IF(AND(G125="RECORDED",ISNUMBER(H125)),H125,"")</x:f>
        <x:v>40.3</x:v>
      </x:c>
      <x:c r="P125" s="34" t="str">
        <x:v>INCONCLUSIVE</x:v>
      </x:c>
      <x:c r="Q125" s="34" t="str">
        <x:v>Feedback-Directed Random Test Generation/Result/Closure_59/result.json</x:v>
      </x:c>
    </x:row>
    <x:row r="126">
      <x:c r="A126" s="34" t="str">
        <x:v>randoop</x:v>
      </x:c>
      <x:c r="B126" s="34" t="str">
        <x:v>Closure</x:v>
      </x:c>
      <x:c r="C126" s="34" t="str">
        <x:v>Round1</x:v>
      </x:c>
      <x:c r="D126" s="34" t="str">
        <x:v>Closure_60</x:v>
      </x:c>
      <x:c r="E126" s="34" t="str">
        <x:v>Coverage</x:v>
      </x:c>
      <x:c r="F126" s="34" t="n">
        <x:v>1861</x:v>
      </x:c>
      <x:c r="G126" s="34" t="str">
        <x:v>RECORDED</x:v>
      </x:c>
      <x:c r="H126" s="38" t="n">
        <x:f>IF(ISNUMBER('Data'!G126),'Data'!G126*100,"")</x:f>
        <x:v>38.69</x:v>
      </x:c>
      <x:c r="I126" s="34" t="str">
        <x:v>PASS</x:v>
      </x:c>
      <x:c r="J126" s="34" t="str">
        <x:v>PASS</x:v>
      </x:c>
      <x:c r="K126" s="34" t="str">
        <x:v>PASS</x:v>
      </x:c>
      <x:c r="L126" s="34" t="str">
        <x:v>PASS</x:v>
      </x:c>
      <x:c r="M126" s="34" t="str">
        <x:v>numeric coverage for applicable metric</x:v>
      </x:c>
      <x:c r="N126" s="34" t="str">
        <x:v>Feedback-Directed Random Test Generation/Result/Closure_60/result.json</x:v>
      </x:c>
      <x:c r="O126" s="38" t="n">
        <x:f>IF(AND(G126="RECORDED",ISNUMBER(H126)),H126,"")</x:f>
        <x:v>38.69</x:v>
      </x:c>
      <x:c r="P126" s="34" t="str">
        <x:v>NOT_REVEALING</x:v>
      </x:c>
      <x:c r="Q126" s="34" t="str">
        <x:v>Feedback-Directed Random Test Generation/Result/Closure_60/result.json</x:v>
      </x:c>
    </x:row>
    <x:row r="127">
      <x:c r="A127" s="34" t="str">
        <x:v>randoop</x:v>
      </x:c>
      <x:c r="B127" s="34" t="str">
        <x:v>Closure</x:v>
      </x:c>
      <x:c r="C127" s="34" t="str">
        <x:v>Round1</x:v>
      </x:c>
      <x:c r="D127" s="34" t="str">
        <x:v>Closure_61</x:v>
      </x:c>
      <x:c r="E127" s="34" t="str">
        <x:v>Coverage</x:v>
      </x:c>
      <x:c r="F127" s="34" t="n">
        <x:v>1852</x:v>
      </x:c>
      <x:c r="G127" s="34" t="str">
        <x:v>RECORDED</x:v>
      </x:c>
      <x:c r="H127" s="38" t="n">
        <x:f>IF(ISNUMBER('Data'!G127),'Data'!G127*100,"")</x:f>
        <x:v>38.98</x:v>
      </x:c>
      <x:c r="I127" s="34" t="str">
        <x:v>PASS</x:v>
      </x:c>
      <x:c r="J127" s="34" t="str">
        <x:v>PASS</x:v>
      </x:c>
      <x:c r="K127" s="34" t="str">
        <x:v>PASS</x:v>
      </x:c>
      <x:c r="L127" s="34" t="str">
        <x:v>PASS</x:v>
      </x:c>
      <x:c r="M127" s="34" t="str">
        <x:v>numeric coverage for applicable metric</x:v>
      </x:c>
      <x:c r="N127" s="34" t="str">
        <x:v>Feedback-Directed Random Test Generation/Result/Closure_61/result.json</x:v>
      </x:c>
      <x:c r="O127" s="38" t="n">
        <x:f>IF(AND(G127="RECORDED",ISNUMBER(H127)),H127,"")</x:f>
        <x:v>38.98</x:v>
      </x:c>
      <x:c r="P127" s="34" t="str">
        <x:v>NOT_REVEALING</x:v>
      </x:c>
      <x:c r="Q127" s="34" t="str">
        <x:v>Feedback-Directed Random Test Generation/Result/Closure_61/result.json</x:v>
      </x:c>
    </x:row>
    <x:row r="128">
      <x:c r="A128" s="34" t="str">
        <x:v>randoop</x:v>
      </x:c>
      <x:c r="B128" s="34" t="str">
        <x:v>Closure</x:v>
      </x:c>
      <x:c r="C128" s="34" t="str">
        <x:v>Round1</x:v>
      </x:c>
      <x:c r="D128" s="34" t="str">
        <x:v>Closure_62</x:v>
      </x:c>
      <x:c r="E128" s="34" t="str">
        <x:v>Coverage</x:v>
      </x:c>
      <x:c r="F128" s="34" t="n">
        <x:v>106</x:v>
      </x:c>
      <x:c r="G128" s="34" t="str">
        <x:v>RECORDED</x:v>
      </x:c>
      <x:c r="H128" s="38" t="n">
        <x:f>IF(ISNUMBER('Data'!G128),'Data'!G128*100,"")</x:f>
        <x:v>18.87</x:v>
      </x:c>
      <x:c r="I128" s="34" t="str">
        <x:v>PASS</x:v>
      </x:c>
      <x:c r="J128" s="34" t="str">
        <x:v>PASS</x:v>
      </x:c>
      <x:c r="K128" s="34" t="str">
        <x:v>PASS</x:v>
      </x:c>
      <x:c r="L128" s="34" t="str">
        <x:v>PASS</x:v>
      </x:c>
      <x:c r="M128" s="34" t="str">
        <x:v>numeric coverage for applicable metric</x:v>
      </x:c>
      <x:c r="N128" s="34" t="str">
        <x:v>Feedback-Directed Random Test Generation/Result/Closure_62/result.json</x:v>
      </x:c>
      <x:c r="O128" s="38" t="n">
        <x:f>IF(AND(G128="RECORDED",ISNUMBER(H128)),H128,"")</x:f>
        <x:v>18.87</x:v>
      </x:c>
      <x:c r="P128" s="34" t="str">
        <x:v>NOT_REVEALING</x:v>
      </x:c>
      <x:c r="Q128" s="34" t="str">
        <x:v>Feedback-Directed Random Test Generation/Result/Closure_62/result.json</x:v>
      </x:c>
    </x:row>
    <x:row r="129">
      <x:c r="A129" s="34" t="str">
        <x:v>randoop</x:v>
      </x:c>
      <x:c r="B129" s="34" t="str">
        <x:v>Closure</x:v>
      </x:c>
      <x:c r="C129" s="34" t="str">
        <x:v>Round1</x:v>
      </x:c>
      <x:c r="D129" s="34" t="str">
        <x:v>Closure_64</x:v>
      </x:c>
      <x:c r="E129" s="34" t="str">
        <x:v>Coverage</x:v>
      </x:c>
      <x:c r="F129" s="34" t="n">
        <x:v>1113</x:v>
      </x:c>
      <x:c r="G129" s="34" t="str">
        <x:v>RECORDED</x:v>
      </x:c>
      <x:c r="H129" s="38" t="n">
        <x:f>IF(ISNUMBER('Data'!G129),'Data'!G129*100,"")</x:f>
        <x:v>42.32</x:v>
      </x:c>
      <x:c r="I129" s="34" t="str">
        <x:v>PASS</x:v>
      </x:c>
      <x:c r="J129" s="34" t="str">
        <x:v>PASS</x:v>
      </x:c>
      <x:c r="K129" s="34" t="str">
        <x:v>PASS</x:v>
      </x:c>
      <x:c r="L129" s="34" t="str">
        <x:v>FAIL</x:v>
      </x:c>
      <x:c r="M129" s="34" t="str">
        <x:v>numeric coverage for applicable metric</x:v>
      </x:c>
      <x:c r="N129" s="34" t="str">
        <x:v>Feedback-Directed Random Test Generation/Result/Closure_64/result.json</x:v>
      </x:c>
      <x:c r="O129" s="38" t="n">
        <x:f>IF(AND(G129="RECORDED",ISNUMBER(H129)),H129,"")</x:f>
        <x:v>42.32</x:v>
      </x:c>
      <x:c r="P129" s="34" t="str">
        <x:v>INCONCLUSIVE</x:v>
      </x:c>
      <x:c r="Q129" s="34" t="str">
        <x:v>Feedback-Directed Random Test Generation/Result/Closure_64/result.json</x:v>
      </x:c>
    </x:row>
    <x:row r="130">
      <x:c r="A130" s="34" t="str">
        <x:v>randoop</x:v>
      </x:c>
      <x:c r="B130" s="34" t="str">
        <x:v>Closure</x:v>
      </x:c>
      <x:c r="C130" s="34" t="str">
        <x:v>Round1</x:v>
      </x:c>
      <x:c r="D130" s="34" t="str">
        <x:v>Closure_65</x:v>
      </x:c>
      <x:c r="E130" s="34" t="str">
        <x:v>Coverage</x:v>
      </x:c>
      <x:c r="F130" s="34" t="n">
        <x:v>1046</x:v>
      </x:c>
      <x:c r="G130" s="34" t="str">
        <x:v>RECORDED</x:v>
      </x:c>
      <x:c r="H130" s="38" t="n">
        <x:f>IF(ISNUMBER('Data'!G130),'Data'!G130*100,"")</x:f>
        <x:v>11.19</x:v>
      </x:c>
      <x:c r="I130" s="34" t="str">
        <x:v>PASS</x:v>
      </x:c>
      <x:c r="J130" s="34" t="str">
        <x:v>PASS</x:v>
      </x:c>
      <x:c r="K130" s="34" t="str">
        <x:v>PASS</x:v>
      </x:c>
      <x:c r="L130" s="34" t="str">
        <x:v>PASS</x:v>
      </x:c>
      <x:c r="M130" s="34" t="str">
        <x:v>numeric coverage for applicable metric</x:v>
      </x:c>
      <x:c r="N130" s="34" t="str">
        <x:v>Feedback-Directed Random Test Generation/Result/Closure_65/result.json</x:v>
      </x:c>
      <x:c r="O130" s="38" t="n">
        <x:f>IF(AND(G130="RECORDED",ISNUMBER(H130)),H130,"")</x:f>
        <x:v>11.19</x:v>
      </x:c>
      <x:c r="P130" s="34" t="str">
        <x:v>NOT_REVEALING</x:v>
      </x:c>
      <x:c r="Q130" s="34" t="str">
        <x:v>Feedback-Directed Random Test Generation/Result/Closure_65/result.json</x:v>
      </x:c>
    </x:row>
    <x:row r="131">
      <x:c r="A131" s="34" t="str">
        <x:v>randoop</x:v>
      </x:c>
      <x:c r="B131" s="34" t="str">
        <x:v>Closure</x:v>
      </x:c>
      <x:c r="C131" s="34" t="str">
        <x:v>Round1</x:v>
      </x:c>
      <x:c r="D131" s="34" t="str">
        <x:v>Closure_66</x:v>
      </x:c>
      <x:c r="E131" s="34" t="str">
        <x:v>Coverage</x:v>
      </x:c>
      <x:c r="F131" s="34" t="n">
        <x:v>1291</x:v>
      </x:c>
      <x:c r="G131" s="34" t="str">
        <x:v>RECORDED</x:v>
      </x:c>
      <x:c r="H131" s="38" t="n">
        <x:f>IF(ISNUMBER('Data'!G131),'Data'!G131*100,"")</x:f>
        <x:v>5.34</x:v>
      </x:c>
      <x:c r="I131" s="34" t="str">
        <x:v>PASS</x:v>
      </x:c>
      <x:c r="J131" s="34" t="str">
        <x:v>PASS</x:v>
      </x:c>
      <x:c r="K131" s="34" t="str">
        <x:v>PASS</x:v>
      </x:c>
      <x:c r="L131" s="34" t="str">
        <x:v>PASS</x:v>
      </x:c>
      <x:c r="M131" s="34" t="str">
        <x:v>numeric coverage for applicable metric</x:v>
      </x:c>
      <x:c r="N131" s="34" t="str">
        <x:v>Feedback-Directed Random Test Generation/Result/Closure_66/result.json</x:v>
      </x:c>
      <x:c r="O131" s="38" t="n">
        <x:f>IF(AND(G131="RECORDED",ISNUMBER(H131)),H131,"")</x:f>
        <x:v>5.34</x:v>
      </x:c>
      <x:c r="P131" s="34" t="str">
        <x:v>NOT_REVEALING</x:v>
      </x:c>
      <x:c r="Q131" s="34" t="str">
        <x:v>Feedback-Directed Random Test Generation/Result/Closure_66/result.json</x:v>
      </x:c>
    </x:row>
    <x:row r="132">
      <x:c r="A132" s="34" t="str">
        <x:v>randoop</x:v>
      </x:c>
      <x:c r="B132" s="34" t="str">
        <x:v>Closure</x:v>
      </x:c>
      <x:c r="C132" s="34" t="str">
        <x:v>Round1</x:v>
      </x:c>
      <x:c r="D132" s="34" t="str">
        <x:v>Closure_67</x:v>
      </x:c>
      <x:c r="E132" s="34" t="str">
        <x:v>Coverage</x:v>
      </x:c>
      <x:c r="F132" s="34" t="n">
        <x:v>397</x:v>
      </x:c>
      <x:c r="G132" s="34" t="str">
        <x:v>RECORDED</x:v>
      </x:c>
      <x:c r="H132" s="38" t="n">
        <x:f>IF(ISNUMBER('Data'!G132),'Data'!G132*100,"")</x:f>
        <x:v>26.700000000000003</x:v>
      </x:c>
      <x:c r="I132" s="34" t="str">
        <x:v>PASS</x:v>
      </x:c>
      <x:c r="J132" s="34" t="str">
        <x:v>PASS</x:v>
      </x:c>
      <x:c r="K132" s="34" t="str">
        <x:v>PASS</x:v>
      </x:c>
      <x:c r="L132" s="34" t="str">
        <x:v>PASS</x:v>
      </x:c>
      <x:c r="M132" s="34" t="str">
        <x:v>numeric coverage for applicable metric</x:v>
      </x:c>
      <x:c r="N132" s="34" t="str">
        <x:v>Feedback-Directed Random Test Generation/Result/Closure_67/result.json</x:v>
      </x:c>
      <x:c r="O132" s="38" t="n">
        <x:f>IF(AND(G132="RECORDED",ISNUMBER(H132)),H132,"")</x:f>
        <x:v>26.700000000000003</x:v>
      </x:c>
      <x:c r="P132" s="34" t="str">
        <x:v>NOT_REVEALING</x:v>
      </x:c>
      <x:c r="Q132" s="34" t="str">
        <x:v>Feedback-Directed Random Test Generation/Result/Closure_67/result.json</x:v>
      </x:c>
    </x:row>
    <x:row r="133">
      <x:c r="A133" s="34" t="str">
        <x:v>randoop</x:v>
      </x:c>
      <x:c r="B133" s="34" t="str">
        <x:v>Closure</x:v>
      </x:c>
      <x:c r="C133" s="34" t="str">
        <x:v>Round1</x:v>
      </x:c>
      <x:c r="D133" s="34" t="str">
        <x:v>Closure_68</x:v>
      </x:c>
      <x:c r="E133" s="34" t="str">
        <x:v>Coverage</x:v>
      </x:c>
      <x:c r="F133" s="34" t="n">
        <x:v>1601</x:v>
      </x:c>
      <x:c r="G133" s="34" t="str">
        <x:v>RECORDED</x:v>
      </x:c>
      <x:c r="H133" s="38" t="n">
        <x:f>IF(ISNUMBER('Data'!G133),'Data'!G133*100,"")</x:f>
        <x:v>6.43</x:v>
      </x:c>
      <x:c r="I133" s="34" t="str">
        <x:v>PASS</x:v>
      </x:c>
      <x:c r="J133" s="34" t="str">
        <x:v>PASS</x:v>
      </x:c>
      <x:c r="K133" s="34" t="str">
        <x:v>PASS</x:v>
      </x:c>
      <x:c r="L133" s="34" t="str">
        <x:v>PASS</x:v>
      </x:c>
      <x:c r="M133" s="34" t="str">
        <x:v>numeric coverage for applicable metric</x:v>
      </x:c>
      <x:c r="N133" s="34" t="str">
        <x:v>Feedback-Directed Random Test Generation/Result/Closure_68/result.json</x:v>
      </x:c>
      <x:c r="O133" s="38" t="n">
        <x:f>IF(AND(G133="RECORDED",ISNUMBER(H133)),H133,"")</x:f>
        <x:v>6.43</x:v>
      </x:c>
      <x:c r="P133" s="34" t="str">
        <x:v>NOT_REVEALING</x:v>
      </x:c>
      <x:c r="Q133" s="34" t="str">
        <x:v>Feedback-Directed Random Test Generation/Result/Closure_68/result.json</x:v>
      </x:c>
    </x:row>
    <x:row r="134">
      <x:c r="A134" s="34" t="str">
        <x:v>randoop</x:v>
      </x:c>
      <x:c r="B134" s="34" t="str">
        <x:v>Closure</x:v>
      </x:c>
      <x:c r="C134" s="34" t="str">
        <x:v>Round1</x:v>
      </x:c>
      <x:c r="D134" s="34" t="str">
        <x:v>Closure_69</x:v>
      </x:c>
      <x:c r="E134" s="34" t="str">
        <x:v>Coverage</x:v>
      </x:c>
      <x:c r="F134" s="34" t="n">
        <x:v>1275</x:v>
      </x:c>
      <x:c r="G134" s="34" t="str">
        <x:v>RECORDED</x:v>
      </x:c>
      <x:c r="H134" s="38" t="n">
        <x:f>IF(ISNUMBER('Data'!G134),'Data'!G134*100,"")</x:f>
        <x:v>5.41</x:v>
      </x:c>
      <x:c r="I134" s="34" t="str">
        <x:v>PASS</x:v>
      </x:c>
      <x:c r="J134" s="34" t="str">
        <x:v>PASS</x:v>
      </x:c>
      <x:c r="K134" s="34" t="str">
        <x:v>PASS</x:v>
      </x:c>
      <x:c r="L134" s="34" t="str">
        <x:v>PASS</x:v>
      </x:c>
      <x:c r="M134" s="34" t="str">
        <x:v>numeric coverage for applicable metric</x:v>
      </x:c>
      <x:c r="N134" s="34" t="str">
        <x:v>Feedback-Directed Random Test Generation/Result/Closure_69/result.json</x:v>
      </x:c>
      <x:c r="O134" s="38" t="n">
        <x:f>IF(AND(G134="RECORDED",ISNUMBER(H134)),H134,"")</x:f>
        <x:v>5.41</x:v>
      </x:c>
      <x:c r="P134" s="34" t="str">
        <x:v>NOT_REVEALING</x:v>
      </x:c>
      <x:c r="Q134" s="34" t="str">
        <x:v>Feedback-Directed Random Test Generation/Result/Closure_69/result.json</x:v>
      </x:c>
    </x:row>
    <x:row r="135">
      <x:c r="A135" s="34" t="str">
        <x:v>randoop</x:v>
      </x:c>
      <x:c r="B135" s="34" t="str">
        <x:v>Closure</x:v>
      </x:c>
      <x:c r="C135" s="34" t="str">
        <x:v>Round1</x:v>
      </x:c>
      <x:c r="D135" s="34" t="str">
        <x:v>Closure_70</x:v>
      </x:c>
      <x:c r="E135" s="34" t="str">
        <x:v>Coverage</x:v>
      </x:c>
      <x:c r="F135" s="34" t="n">
        <x:v>1427</x:v>
      </x:c>
      <x:c r="G135" s="34" t="str">
        <x:v>RECORDED</x:v>
      </x:c>
      <x:c r="H135" s="38" t="n">
        <x:f>IF(ISNUMBER('Data'!G135),'Data'!G135*100,"")</x:f>
        <x:v>1.54</x:v>
      </x:c>
      <x:c r="I135" s="34" t="str">
        <x:v>PASS</x:v>
      </x:c>
      <x:c r="J135" s="34" t="str">
        <x:v>PASS</x:v>
      </x:c>
      <x:c r="K135" s="34" t="str">
        <x:v>PASS</x:v>
      </x:c>
      <x:c r="L135" s="34" t="str">
        <x:v>PASS</x:v>
      </x:c>
      <x:c r="M135" s="34" t="str">
        <x:v>numeric coverage for applicable metric</x:v>
      </x:c>
      <x:c r="N135" s="34" t="str">
        <x:v>Feedback-Directed Random Test Generation/Result/Closure_70/result.json</x:v>
      </x:c>
      <x:c r="O135" s="38" t="n">
        <x:f>IF(AND(G135="RECORDED",ISNUMBER(H135)),H135,"")</x:f>
        <x:v>1.54</x:v>
      </x:c>
      <x:c r="P135" s="34" t="str">
        <x:v>NOT_REVEALING</x:v>
      </x:c>
      <x:c r="Q135" s="34" t="str">
        <x:v>Feedback-Directed Random Test Generation/Result/Closure_70/result.json</x:v>
      </x:c>
    </x:row>
    <x:row r="136">
      <x:c r="A136" s="34" t="str">
        <x:v>randoop</x:v>
      </x:c>
      <x:c r="B136" s="34" t="str">
        <x:v>Closure</x:v>
      </x:c>
      <x:c r="C136" s="34" t="str">
        <x:v>Round1</x:v>
      </x:c>
      <x:c r="D136" s="34" t="str">
        <x:v>Closure_71</x:v>
      </x:c>
      <x:c r="E136" s="34" t="str">
        <x:v>Coverage</x:v>
      </x:c>
      <x:c r="F136" s="34" t="n">
        <x:v>489</x:v>
      </x:c>
      <x:c r="G136" s="34" t="str">
        <x:v>RECORDED</x:v>
      </x:c>
      <x:c r="H136" s="38" t="n">
        <x:f>IF(ISNUMBER('Data'!G136),'Data'!G136*100,"")</x:f>
        <x:v>4.91</x:v>
      </x:c>
      <x:c r="I136" s="34" t="str">
        <x:v>PASS</x:v>
      </x:c>
      <x:c r="J136" s="34" t="str">
        <x:v>PASS</x:v>
      </x:c>
      <x:c r="K136" s="34" t="str">
        <x:v>PASS</x:v>
      </x:c>
      <x:c r="L136" s="34" t="str">
        <x:v>PASS</x:v>
      </x:c>
      <x:c r="M136" s="34" t="str">
        <x:v>numeric coverage for applicable metric</x:v>
      </x:c>
      <x:c r="N136" s="34" t="str">
        <x:v>Feedback-Directed Random Test Generation/Result/Closure_71/result.json</x:v>
      </x:c>
      <x:c r="O136" s="38" t="n">
        <x:f>IF(AND(G136="RECORDED",ISNUMBER(H136)),H136,"")</x:f>
        <x:v>4.91</x:v>
      </x:c>
      <x:c r="P136" s="34" t="str">
        <x:v>NOT_REVEALING</x:v>
      </x:c>
      <x:c r="Q136" s="34" t="str">
        <x:v>Feedback-Directed Random Test Generation/Result/Closure_71/result.json</x:v>
      </x:c>
    </x:row>
    <x:row r="137">
      <x:c r="A137" s="34" t="str">
        <x:v>randoop</x:v>
      </x:c>
      <x:c r="B137" s="34" t="str">
        <x:v>Closure</x:v>
      </x:c>
      <x:c r="C137" s="34" t="str">
        <x:v>Round1</x:v>
      </x:c>
      <x:c r="D137" s="34" t="str">
        <x:v>Closure_72</x:v>
      </x:c>
      <x:c r="E137" s="34" t="str">
        <x:v>Coverage</x:v>
      </x:c>
      <x:c r="F137" s="34" t="n">
        <x:v>317</x:v>
      </x:c>
      <x:c r="G137" s="34" t="str">
        <x:v>RECORDED</x:v>
      </x:c>
      <x:c r="H137" s="38" t="n">
        <x:f>IF(ISNUMBER('Data'!G137),'Data'!G137*100,"")</x:f>
        <x:v>11.04</x:v>
      </x:c>
      <x:c r="I137" s="34" t="str">
        <x:v>PASS</x:v>
      </x:c>
      <x:c r="J137" s="34" t="str">
        <x:v>PASS</x:v>
      </x:c>
      <x:c r="K137" s="34" t="str">
        <x:v>PASS</x:v>
      </x:c>
      <x:c r="L137" s="34" t="str">
        <x:v>PASS</x:v>
      </x:c>
      <x:c r="M137" s="34" t="str">
        <x:v>numeric coverage for applicable metric</x:v>
      </x:c>
      <x:c r="N137" s="34" t="str">
        <x:v>Feedback-Directed Random Test Generation/Result/Closure_72/result.json</x:v>
      </x:c>
      <x:c r="O137" s="38" t="n">
        <x:f>IF(AND(G137="RECORDED",ISNUMBER(H137)),H137,"")</x:f>
        <x:v>11.04</x:v>
      </x:c>
      <x:c r="P137" s="34" t="str">
        <x:v>NOT_REVEALING</x:v>
      </x:c>
      <x:c r="Q137" s="34" t="str">
        <x:v>Feedback-Directed Random Test Generation/Result/Closure_72/result.json</x:v>
      </x:c>
    </x:row>
    <x:row r="138">
      <x:c r="A138" s="34" t="str">
        <x:v>randoop</x:v>
      </x:c>
      <x:c r="B138" s="34" t="str">
        <x:v>Closure</x:v>
      </x:c>
      <x:c r="C138" s="34" t="str">
        <x:v>Round1</x:v>
      </x:c>
      <x:c r="D138" s="34" t="str">
        <x:v>Closure_73</x:v>
      </x:c>
      <x:c r="E138" s="34" t="str">
        <x:v>Coverage</x:v>
      </x:c>
      <x:c r="F138" s="34" t="n">
        <x:v>1035</x:v>
      </x:c>
      <x:c r="G138" s="34" t="str">
        <x:v>RECORDED</x:v>
      </x:c>
      <x:c r="H138" s="38" t="n">
        <x:f>IF(ISNUMBER('Data'!G138),'Data'!G138*100,"")</x:f>
        <x:v>10.14</x:v>
      </x:c>
      <x:c r="I138" s="34" t="str">
        <x:v>PASS</x:v>
      </x:c>
      <x:c r="J138" s="34" t="str">
        <x:v>PASS</x:v>
      </x:c>
      <x:c r="K138" s="34" t="str">
        <x:v>PASS</x:v>
      </x:c>
      <x:c r="L138" s="34" t="str">
        <x:v>PASS</x:v>
      </x:c>
      <x:c r="M138" s="34" t="str">
        <x:v>numeric coverage for applicable metric</x:v>
      </x:c>
      <x:c r="N138" s="34" t="str">
        <x:v>Feedback-Directed Random Test Generation/Result/Closure_73/result.json</x:v>
      </x:c>
      <x:c r="O138" s="38" t="n">
        <x:f>IF(AND(G138="RECORDED",ISNUMBER(H138)),H138,"")</x:f>
        <x:v>10.14</x:v>
      </x:c>
      <x:c r="P138" s="34" t="str">
        <x:v>NOT_REVEALING</x:v>
      </x:c>
      <x:c r="Q138" s="34" t="str">
        <x:v>Feedback-Directed Random Test Generation/Result/Closure_73/result.json</x:v>
      </x:c>
    </x:row>
    <x:row r="139">
      <x:c r="A139" s="34" t="str">
        <x:v>randoop</x:v>
      </x:c>
      <x:c r="B139" s="34" t="str">
        <x:v>Closure</x:v>
      </x:c>
      <x:c r="C139" s="34" t="str">
        <x:v>Round1</x:v>
      </x:c>
      <x:c r="D139" s="34" t="str">
        <x:v>Closure_74</x:v>
      </x:c>
      <x:c r="E139" s="34" t="str">
        <x:v>Coverage</x:v>
      </x:c>
      <x:c r="F139" s="34" t="n">
        <x:v>1419</x:v>
      </x:c>
      <x:c r="G139" s="34" t="str">
        <x:v>RECORDED</x:v>
      </x:c>
      <x:c r="H139" s="38" t="n">
        <x:f>IF(ISNUMBER('Data'!G139),'Data'!G139*100,"")</x:f>
        <x:v>0.9899999999999999</x:v>
      </x:c>
      <x:c r="I139" s="34" t="str">
        <x:v>PASS</x:v>
      </x:c>
      <x:c r="J139" s="34" t="str">
        <x:v>PASS</x:v>
      </x:c>
      <x:c r="K139" s="34" t="str">
        <x:v>PASS</x:v>
      </x:c>
      <x:c r="L139" s="34" t="str">
        <x:v>PASS</x:v>
      </x:c>
      <x:c r="M139" s="34" t="str">
        <x:v>numeric coverage for applicable metric</x:v>
      </x:c>
      <x:c r="N139" s="34" t="str">
        <x:v>Feedback-Directed Random Test Generation/Result/Closure_74/result.json</x:v>
      </x:c>
      <x:c r="O139" s="38" t="n">
        <x:f>IF(AND(G139="RECORDED",ISNUMBER(H139)),H139,"")</x:f>
        <x:v>0.9899999999999999</x:v>
      </x:c>
      <x:c r="P139" s="34" t="str">
        <x:v>NOT_REVEALING</x:v>
      </x:c>
      <x:c r="Q139" s="34" t="str">
        <x:v>Feedback-Directed Random Test Generation/Result/Closure_74/result.json</x:v>
      </x:c>
    </x:row>
    <x:row r="140">
      <x:c r="A140" s="34" t="str">
        <x:v>randoop</x:v>
      </x:c>
      <x:c r="B140" s="34" t="str">
        <x:v>Closure</x:v>
      </x:c>
      <x:c r="C140" s="34" t="str">
        <x:v>Round1</x:v>
      </x:c>
      <x:c r="D140" s="34" t="str">
        <x:v>Closure_75</x:v>
      </x:c>
      <x:c r="E140" s="34" t="str">
        <x:v>Coverage</x:v>
      </x:c>
      <x:c r="F140" s="34" t="n">
        <x:v>1811</x:v>
      </x:c>
      <x:c r="G140" s="34" t="str">
        <x:v>RECORDED</x:v>
      </x:c>
      <x:c r="H140" s="38" t="n">
        <x:f>IF(ISNUMBER('Data'!G140),'Data'!G140*100,"")</x:f>
        <x:v>40.42</x:v>
      </x:c>
      <x:c r="I140" s="34" t="str">
        <x:v>PASS</x:v>
      </x:c>
      <x:c r="J140" s="34" t="str">
        <x:v>PASS</x:v>
      </x:c>
      <x:c r="K140" s="34" t="str">
        <x:v>PASS</x:v>
      </x:c>
      <x:c r="L140" s="34" t="str">
        <x:v>PASS</x:v>
      </x:c>
      <x:c r="M140" s="34" t="str">
        <x:v>numeric coverage for applicable metric</x:v>
      </x:c>
      <x:c r="N140" s="34" t="str">
        <x:v>Feedback-Directed Random Test Generation/Result/Closure_75/result.json</x:v>
      </x:c>
      <x:c r="O140" s="38" t="n">
        <x:f>IF(AND(G140="RECORDED",ISNUMBER(H140)),H140,"")</x:f>
        <x:v>40.42</x:v>
      </x:c>
      <x:c r="P140" s="34" t="str">
        <x:v>NOT_REVEALING</x:v>
      </x:c>
      <x:c r="Q140" s="34" t="str">
        <x:v>Feedback-Directed Random Test Generation/Result/Closure_75/result.json</x:v>
      </x:c>
    </x:row>
    <x:row r="141">
      <x:c r="A141" s="34" t="str">
        <x:v>randoop</x:v>
      </x:c>
      <x:c r="B141" s="34" t="str">
        <x:v>Closure</x:v>
      </x:c>
      <x:c r="C141" s="34" t="str">
        <x:v>Round1</x:v>
      </x:c>
      <x:c r="D141" s="34" t="str">
        <x:v>Closure_76</x:v>
      </x:c>
      <x:c r="E141" s="34" t="str">
        <x:v>Coverage</x:v>
      </x:c>
      <x:c r="F141" s="34" t="n">
        <x:v>265</x:v>
      </x:c>
      <x:c r="G141" s="34" t="str">
        <x:v>RECORDED</x:v>
      </x:c>
      <x:c r="H141" s="38" t="n">
        <x:f>IF(ISNUMBER('Data'!G141),'Data'!G141*100,"")</x:f>
        <x:v>3.4000000000000004</x:v>
      </x:c>
      <x:c r="I141" s="34" t="str">
        <x:v>PASS</x:v>
      </x:c>
      <x:c r="J141" s="34" t="str">
        <x:v>PASS</x:v>
      </x:c>
      <x:c r="K141" s="34" t="str">
        <x:v>PASS</x:v>
      </x:c>
      <x:c r="L141" s="34" t="str">
        <x:v>PASS</x:v>
      </x:c>
      <x:c r="M141" s="34" t="str">
        <x:v>numeric coverage for applicable metric</x:v>
      </x:c>
      <x:c r="N141" s="34" t="str">
        <x:v>Feedback-Directed Random Test Generation/Result/Closure_76/result.json</x:v>
      </x:c>
      <x:c r="O141" s="38" t="n">
        <x:f>IF(AND(G141="RECORDED",ISNUMBER(H141)),H141,"")</x:f>
        <x:v>3.4000000000000004</x:v>
      </x:c>
      <x:c r="P141" s="34" t="str">
        <x:v>NOT_REVEALING</x:v>
      </x:c>
      <x:c r="Q141" s="34" t="str">
        <x:v>Feedback-Directed Random Test Generation/Result/Closure_76/result.json</x:v>
      </x:c>
    </x:row>
    <x:row r="142">
      <x:c r="A142" s="34" t="str">
        <x:v>randoop</x:v>
      </x:c>
      <x:c r="B142" s="34" t="str">
        <x:v>Closure</x:v>
      </x:c>
      <x:c r="C142" s="34" t="str">
        <x:v>Round1</x:v>
      </x:c>
      <x:c r="D142" s="34" t="str">
        <x:v>Closure_77</x:v>
      </x:c>
      <x:c r="E142" s="34" t="str">
        <x:v>Coverage</x:v>
      </x:c>
      <x:c r="F142" s="34" t="n">
        <x:v>1002</x:v>
      </x:c>
      <x:c r="G142" s="34" t="str">
        <x:v>RECORDED</x:v>
      </x:c>
      <x:c r="H142" s="38" t="n">
        <x:f>IF(ISNUMBER('Data'!G142),'Data'!G142*100,"")</x:f>
        <x:v>8.78</x:v>
      </x:c>
      <x:c r="I142" s="34" t="str">
        <x:v>PASS</x:v>
      </x:c>
      <x:c r="J142" s="34" t="str">
        <x:v>PASS</x:v>
      </x:c>
      <x:c r="K142" s="34" t="str">
        <x:v>PASS</x:v>
      </x:c>
      <x:c r="L142" s="34" t="str">
        <x:v>PASS</x:v>
      </x:c>
      <x:c r="M142" s="34" t="str">
        <x:v>numeric coverage for applicable metric</x:v>
      </x:c>
      <x:c r="N142" s="34" t="str">
        <x:v>Feedback-Directed Random Test Generation/Result/Closure_77/result.json</x:v>
      </x:c>
      <x:c r="O142" s="38" t="n">
        <x:f>IF(AND(G142="RECORDED",ISNUMBER(H142)),H142,"")</x:f>
        <x:v>8.78</x:v>
      </x:c>
      <x:c r="P142" s="34" t="str">
        <x:v>NOT_REVEALING</x:v>
      </x:c>
      <x:c r="Q142" s="34" t="str">
        <x:v>Feedback-Directed Random Test Generation/Result/Closure_77/result.json</x:v>
      </x:c>
    </x:row>
    <x:row r="143">
      <x:c r="A143" s="34" t="str">
        <x:v>randoop</x:v>
      </x:c>
      <x:c r="B143" s="34" t="str">
        <x:v>Closure</x:v>
      </x:c>
      <x:c r="C143" s="34" t="str">
        <x:v>Round1</x:v>
      </x:c>
      <x:c r="D143" s="34" t="str">
        <x:v>Closure_78</x:v>
      </x:c>
      <x:c r="E143" s="34" t="str">
        <x:v>Coverage</x:v>
      </x:c>
      <x:c r="F143" s="34" t="n">
        <x:v>1344</x:v>
      </x:c>
      <x:c r="G143" s="34" t="str">
        <x:v>RECORDED</x:v>
      </x:c>
      <x:c r="H143" s="38" t="n">
        <x:f>IF(ISNUMBER('Data'!G143),'Data'!G143*100,"")</x:f>
        <x:v>1.04</x:v>
      </x:c>
      <x:c r="I143" s="34" t="str">
        <x:v>PASS</x:v>
      </x:c>
      <x:c r="J143" s="34" t="str">
        <x:v>PASS</x:v>
      </x:c>
      <x:c r="K143" s="34" t="str">
        <x:v>PASS</x:v>
      </x:c>
      <x:c r="L143" s="34" t="str">
        <x:v>PASS</x:v>
      </x:c>
      <x:c r="M143" s="34" t="str">
        <x:v>numeric coverage for applicable metric</x:v>
      </x:c>
      <x:c r="N143" s="34" t="str">
        <x:v>Feedback-Directed Random Test Generation/Result/Closure_78/result.json</x:v>
      </x:c>
      <x:c r="O143" s="38" t="n">
        <x:f>IF(AND(G143="RECORDED",ISNUMBER(H143)),H143,"")</x:f>
        <x:v>1.04</x:v>
      </x:c>
      <x:c r="P143" s="34" t="str">
        <x:v>NOT_REVEALING</x:v>
      </x:c>
      <x:c r="Q143" s="34" t="str">
        <x:v>Feedback-Directed Random Test Generation/Result/Closure_78/result.json</x:v>
      </x:c>
    </x:row>
    <x:row r="144">
      <x:c r="A144" s="34" t="str">
        <x:v>randoop</x:v>
      </x:c>
      <x:c r="B144" s="34" t="str">
        <x:v>Closure</x:v>
      </x:c>
      <x:c r="C144" s="34" t="str">
        <x:v>Round1</x:v>
      </x:c>
      <x:c r="D144" s="34" t="str">
        <x:v>Closure_79</x:v>
      </x:c>
      <x:c r="E144" s="34" t="str">
        <x:v>Coverage</x:v>
      </x:c>
      <x:c r="F144" s="34" t="n">
        <x:v>629</x:v>
      </x:c>
      <x:c r="G144" s="34" t="str">
        <x:v>RECORDED</x:v>
      </x:c>
      <x:c r="H144" s="38" t="n">
        <x:f>IF(ISNUMBER('Data'!G144),'Data'!G144*100,"")</x:f>
        <x:v>7.629999999999999</x:v>
      </x:c>
      <x:c r="I144" s="34" t="str">
        <x:v>PASS</x:v>
      </x:c>
      <x:c r="J144" s="34" t="str">
        <x:v>PASS</x:v>
      </x:c>
      <x:c r="K144" s="34" t="str">
        <x:v>PASS</x:v>
      </x:c>
      <x:c r="L144" s="34" t="str">
        <x:v>PASS</x:v>
      </x:c>
      <x:c r="M144" s="34" t="str">
        <x:v>numeric coverage for applicable metric</x:v>
      </x:c>
      <x:c r="N144" s="34" t="str">
        <x:v>Feedback-Directed Random Test Generation/Result/Closure_79/result.json</x:v>
      </x:c>
      <x:c r="O144" s="38" t="n">
        <x:f>IF(AND(G144="RECORDED",ISNUMBER(H144)),H144,"")</x:f>
        <x:v>7.629999999999999</x:v>
      </x:c>
      <x:c r="P144" s="34" t="str">
        <x:v>NOT_REVEALING</x:v>
      </x:c>
      <x:c r="Q144" s="34" t="str">
        <x:v>Feedback-Directed Random Test Generation/Result/Closure_79/result.json</x:v>
      </x:c>
    </x:row>
    <x:row r="145">
      <x:c r="A145" s="34" t="str">
        <x:v>randoop</x:v>
      </x:c>
      <x:c r="B145" s="34" t="str">
        <x:v>Closure</x:v>
      </x:c>
      <x:c r="C145" s="34" t="str">
        <x:v>Round1</x:v>
      </x:c>
      <x:c r="D145" s="34" t="str">
        <x:v>Closure_80</x:v>
      </x:c>
      <x:c r="E145" s="34" t="str">
        <x:v>Coverage</x:v>
      </x:c>
      <x:c r="F145" s="34" t="n">
        <x:v>1802</x:v>
      </x:c>
      <x:c r="G145" s="34" t="str">
        <x:v>RECORDED</x:v>
      </x:c>
      <x:c r="H145" s="38" t="n">
        <x:f>IF(ISNUMBER('Data'!G145),'Data'!G145*100,"")</x:f>
        <x:v>38.24</x:v>
      </x:c>
      <x:c r="I145" s="34" t="str">
        <x:v>PASS</x:v>
      </x:c>
      <x:c r="J145" s="34" t="str">
        <x:v>PASS</x:v>
      </x:c>
      <x:c r="K145" s="34" t="str">
        <x:v>PASS</x:v>
      </x:c>
      <x:c r="L145" s="34" t="str">
        <x:v>PASS</x:v>
      </x:c>
      <x:c r="M145" s="34" t="str">
        <x:v>numeric coverage for applicable metric</x:v>
      </x:c>
      <x:c r="N145" s="34" t="str">
        <x:v>Feedback-Directed Random Test Generation/Result/Closure_80/result.json</x:v>
      </x:c>
      <x:c r="O145" s="38" t="n">
        <x:f>IF(AND(G145="RECORDED",ISNUMBER(H145)),H145,"")</x:f>
        <x:v>38.24</x:v>
      </x:c>
      <x:c r="P145" s="34" t="str">
        <x:v>NOT_REVEALING</x:v>
      </x:c>
      <x:c r="Q145" s="34" t="str">
        <x:v>Feedback-Directed Random Test Generation/Result/Closure_80/result.json</x:v>
      </x:c>
    </x:row>
    <x:row r="146">
      <x:c r="A146" s="34" t="str">
        <x:v>randoop</x:v>
      </x:c>
      <x:c r="B146" s="34" t="str">
        <x:v>Closure</x:v>
      </x:c>
      <x:c r="C146" s="34" t="str">
        <x:v>Round1</x:v>
      </x:c>
      <x:c r="D146" s="34" t="str">
        <x:v>Closure_81</x:v>
      </x:c>
      <x:c r="E146" s="34" t="str">
        <x:v>Coverage</x:v>
      </x:c>
      <x:c r="F146" s="34" t="n">
        <x:v>906</x:v>
      </x:c>
      <x:c r="G146" s="34" t="str">
        <x:v>RECORDED</x:v>
      </x:c>
      <x:c r="H146" s="38" t="n">
        <x:f>IF(ISNUMBER('Data'!G146),'Data'!G146*100,"")</x:f>
        <x:v>0.11</x:v>
      </x:c>
      <x:c r="I146" s="34" t="str">
        <x:v>PASS</x:v>
      </x:c>
      <x:c r="J146" s="34" t="str">
        <x:v>PASS</x:v>
      </x:c>
      <x:c r="K146" s="34" t="str">
        <x:v>PASS</x:v>
      </x:c>
      <x:c r="L146" s="34" t="str">
        <x:v>PASS</x:v>
      </x:c>
      <x:c r="M146" s="34" t="str">
        <x:v>numeric coverage for applicable metric</x:v>
      </x:c>
      <x:c r="N146" s="34" t="str">
        <x:v>Feedback-Directed Random Test Generation/Result/Closure_81/result.json</x:v>
      </x:c>
      <x:c r="O146" s="38" t="n">
        <x:f>IF(AND(G146="RECORDED",ISNUMBER(H146)),H146,"")</x:f>
        <x:v>0.11</x:v>
      </x:c>
      <x:c r="P146" s="34" t="str">
        <x:v>NOT_REVEALING</x:v>
      </x:c>
      <x:c r="Q146" s="34" t="str">
        <x:v>Feedback-Directed Random Test Generation/Result/Closure_81/result.json</x:v>
      </x:c>
    </x:row>
    <x:row r="147">
      <x:c r="A147" s="34" t="str">
        <x:v>randoop</x:v>
      </x:c>
      <x:c r="B147" s="34" t="str">
        <x:v>Closure</x:v>
      </x:c>
      <x:c r="C147" s="34" t="str">
        <x:v>Round1</x:v>
      </x:c>
      <x:c r="D147" s="34" t="str">
        <x:v>Closure_82</x:v>
      </x:c>
      <x:c r="E147" s="34" t="str">
        <x:v>Coverage</x:v>
      </x:c>
      <x:c r="F147" s="34" t="n">
        <x:v>378</x:v>
      </x:c>
      <x:c r="G147" s="34" t="str">
        <x:v>RECORDED</x:v>
      </x:c>
      <x:c r="H147" s="38" t="n">
        <x:f>IF(ISNUMBER('Data'!G147),'Data'!G147*100,"")</x:f>
        <x:v>3.44</x:v>
      </x:c>
      <x:c r="I147" s="34" t="str">
        <x:v>PASS</x:v>
      </x:c>
      <x:c r="J147" s="34" t="str">
        <x:v>PASS</x:v>
      </x:c>
      <x:c r="K147" s="34" t="str">
        <x:v>PASS</x:v>
      </x:c>
      <x:c r="L147" s="34" t="str">
        <x:v>PASS</x:v>
      </x:c>
      <x:c r="M147" s="34" t="str">
        <x:v>numeric coverage for applicable metric</x:v>
      </x:c>
      <x:c r="N147" s="34" t="str">
        <x:v>Feedback-Directed Random Test Generation/Result/Closure_82/result.json</x:v>
      </x:c>
      <x:c r="O147" s="38" t="n">
        <x:f>IF(AND(G147="RECORDED",ISNUMBER(H147)),H147,"")</x:f>
        <x:v>3.44</x:v>
      </x:c>
      <x:c r="P147" s="34" t="str">
        <x:v>NOT_REVEALING</x:v>
      </x:c>
      <x:c r="Q147" s="34" t="str">
        <x:v>Feedback-Directed Random Test Generation/Result/Closure_82/result.json</x:v>
      </x:c>
    </x:row>
    <x:row r="148">
      <x:c r="A148" s="34" t="str">
        <x:v>randoop</x:v>
      </x:c>
      <x:c r="B148" s="34" t="str">
        <x:v>Closure</x:v>
      </x:c>
      <x:c r="C148" s="34" t="str">
        <x:v>Round1</x:v>
      </x:c>
      <x:c r="D148" s="34" t="str">
        <x:v>Closure_83</x:v>
      </x:c>
      <x:c r="E148" s="34" t="str">
        <x:v>Coverage</x:v>
      </x:c>
      <x:c r="F148" s="34" t="n">
        <x:v>229</x:v>
      </x:c>
      <x:c r="G148" s="34" t="str">
        <x:v>RECORDED</x:v>
      </x:c>
      <x:c r="H148" s="38" t="n">
        <x:f>IF(ISNUMBER('Data'!G148),'Data'!G148*100,"")</x:f>
        <x:v>45.85</x:v>
      </x:c>
      <x:c r="I148" s="34" t="str">
        <x:v>PASS</x:v>
      </x:c>
      <x:c r="J148" s="34" t="str">
        <x:v>PASS</x:v>
      </x:c>
      <x:c r="K148" s="34" t="str">
        <x:v>PASS</x:v>
      </x:c>
      <x:c r="L148" s="34" t="str">
        <x:v>FAIL</x:v>
      </x:c>
      <x:c r="M148" s="34" t="str">
        <x:v>numeric coverage for applicable metric</x:v>
      </x:c>
      <x:c r="N148" s="34" t="str">
        <x:v>Feedback-Directed Random Test Generation/Result/Closure_83/result.json</x:v>
      </x:c>
      <x:c r="O148" s="38" t="n">
        <x:f>IF(AND(G148="RECORDED",ISNUMBER(H148)),H148,"")</x:f>
        <x:v>45.85</x:v>
      </x:c>
      <x:c r="P148" s="34" t="str">
        <x:v>INCONCLUSIVE</x:v>
      </x:c>
      <x:c r="Q148" s="34" t="str">
        <x:v>Feedback-Directed Random Test Generation/Result/Closure_83/result.json</x:v>
      </x:c>
    </x:row>
    <x:row r="149">
      <x:c r="A149" s="34" t="str">
        <x:v>randoop</x:v>
      </x:c>
      <x:c r="B149" s="34" t="str">
        <x:v>Closure</x:v>
      </x:c>
      <x:c r="C149" s="34" t="str">
        <x:v>Round1</x:v>
      </x:c>
      <x:c r="D149" s="34" t="str">
        <x:v>Closure_84</x:v>
      </x:c>
      <x:c r="E149" s="34" t="str">
        <x:v>Coverage</x:v>
      </x:c>
      <x:c r="F149" s="34" t="n">
        <x:v>845</x:v>
      </x:c>
      <x:c r="G149" s="34" t="str">
        <x:v>RECORDED</x:v>
      </x:c>
      <x:c r="H149" s="38" t="n">
        <x:f>IF(ISNUMBER('Data'!G149),'Data'!G149*100,"")</x:f>
        <x:v>0.12</x:v>
      </x:c>
      <x:c r="I149" s="34" t="str">
        <x:v>PASS</x:v>
      </x:c>
      <x:c r="J149" s="34" t="str">
        <x:v>PASS</x:v>
      </x:c>
      <x:c r="K149" s="34" t="str">
        <x:v>PASS</x:v>
      </x:c>
      <x:c r="L149" s="34" t="str">
        <x:v>PASS</x:v>
      </x:c>
      <x:c r="M149" s="34" t="str">
        <x:v>numeric coverage for applicable metric</x:v>
      </x:c>
      <x:c r="N149" s="34" t="str">
        <x:v>Feedback-Directed Random Test Generation/Result/Closure_84/result.json</x:v>
      </x:c>
      <x:c r="O149" s="38" t="n">
        <x:f>IF(AND(G149="RECORDED",ISNUMBER(H149)),H149,"")</x:f>
        <x:v>0.12</x:v>
      </x:c>
      <x:c r="P149" s="34" t="str">
        <x:v>NOT_REVEALING</x:v>
      </x:c>
      <x:c r="Q149" s="34" t="str">
        <x:v>Feedback-Directed Random Test Generation/Result/Closure_84/result.json</x:v>
      </x:c>
    </x:row>
    <x:row r="150">
      <x:c r="A150" s="34" t="str">
        <x:v>randoop</x:v>
      </x:c>
      <x:c r="B150" s="34" t="str">
        <x:v>Closure</x:v>
      </x:c>
      <x:c r="C150" s="34" t="str">
        <x:v>Round1</x:v>
      </x:c>
      <x:c r="D150" s="34" t="str">
        <x:v>Closure_85</x:v>
      </x:c>
      <x:c r="E150" s="34" t="str">
        <x:v>Coverage</x:v>
      </x:c>
      <x:c r="F150" s="34" t="n">
        <x:v>134</x:v>
      </x:c>
      <x:c r="G150" s="34" t="str">
        <x:v>RECORDED</x:v>
      </x:c>
      <x:c r="H150" s="38" t="n">
        <x:f>IF(ISNUMBER('Data'!G150),'Data'!G150*100,"")</x:f>
        <x:v>10.45</x:v>
      </x:c>
      <x:c r="I150" s="34" t="str">
        <x:v>PASS</x:v>
      </x:c>
      <x:c r="J150" s="34" t="str">
        <x:v>PASS</x:v>
      </x:c>
      <x:c r="K150" s="34" t="str">
        <x:v>PASS</x:v>
      </x:c>
      <x:c r="L150" s="34" t="str">
        <x:v>PASS</x:v>
      </x:c>
      <x:c r="M150" s="34" t="str">
        <x:v>numeric coverage for applicable metric</x:v>
      </x:c>
      <x:c r="N150" s="34" t="str">
        <x:v>Feedback-Directed Random Test Generation/Result/Closure_85/result.json</x:v>
      </x:c>
      <x:c r="O150" s="38" t="n">
        <x:f>IF(AND(G150="RECORDED",ISNUMBER(H150)),H150,"")</x:f>
        <x:v>10.45</x:v>
      </x:c>
      <x:c r="P150" s="34" t="str">
        <x:v>NOT_REVEALING</x:v>
      </x:c>
      <x:c r="Q150" s="34" t="str">
        <x:v>Feedback-Directed Random Test Generation/Result/Closure_85/result.json</x:v>
      </x:c>
    </x:row>
    <x:row r="151">
      <x:c r="A151" s="34" t="str">
        <x:v>randoop</x:v>
      </x:c>
      <x:c r="B151" s="34" t="str">
        <x:v>Closure</x:v>
      </x:c>
      <x:c r="C151" s="34" t="str">
        <x:v>Round1</x:v>
      </x:c>
      <x:c r="D151" s="34" t="str">
        <x:v>Closure_86</x:v>
      </x:c>
      <x:c r="E151" s="34" t="str">
        <x:v>Coverage</x:v>
      </x:c>
      <x:c r="F151" s="34" t="n">
        <x:v>1478</x:v>
      </x:c>
      <x:c r="G151" s="34" t="str">
        <x:v>RECORDED</x:v>
      </x:c>
      <x:c r="H151" s="38" t="n">
        <x:f>IF(ISNUMBER('Data'!G151),'Data'!G151*100,"")</x:f>
        <x:v>36.6</x:v>
      </x:c>
      <x:c r="I151" s="34" t="str">
        <x:v>PASS</x:v>
      </x:c>
      <x:c r="J151" s="34" t="str">
        <x:v>PASS</x:v>
      </x:c>
      <x:c r="K151" s="34" t="str">
        <x:v>PASS</x:v>
      </x:c>
      <x:c r="L151" s="34" t="str">
        <x:v>PASS</x:v>
      </x:c>
      <x:c r="M151" s="34" t="str">
        <x:v>numeric coverage for applicable metric</x:v>
      </x:c>
      <x:c r="N151" s="34" t="str">
        <x:v>Feedback-Directed Random Test Generation/Result/Closure_86/result.json</x:v>
      </x:c>
      <x:c r="O151" s="38" t="n">
        <x:f>IF(AND(G151="RECORDED",ISNUMBER(H151)),H151,"")</x:f>
        <x:v>36.6</x:v>
      </x:c>
      <x:c r="P151" s="34" t="str">
        <x:v>NOT_REVEALING</x:v>
      </x:c>
      <x:c r="Q151" s="34" t="str">
        <x:v>Feedback-Directed Random Test Generation/Result/Closure_86/result.json</x:v>
      </x:c>
    </x:row>
    <x:row r="152">
      <x:c r="A152" s="34" t="str">
        <x:v>randoop</x:v>
      </x:c>
      <x:c r="B152" s="34" t="str">
        <x:v>Closure</x:v>
      </x:c>
      <x:c r="C152" s="34" t="str">
        <x:v>Round1</x:v>
      </x:c>
      <x:c r="D152" s="34" t="str">
        <x:v>Closure_87</x:v>
      </x:c>
      <x:c r="E152" s="34" t="str">
        <x:v>Coverage</x:v>
      </x:c>
      <x:c r="F152" s="34" t="n">
        <x:v>764</x:v>
      </x:c>
      <x:c r="G152" s="34" t="str">
        <x:v>RECORDED</x:v>
      </x:c>
      <x:c r="H152" s="38" t="n">
        <x:f>IF(ISNUMBER('Data'!G152),'Data'!G152*100,"")</x:f>
        <x:v>1.96</x:v>
      </x:c>
      <x:c r="I152" s="34" t="str">
        <x:v>PASS</x:v>
      </x:c>
      <x:c r="J152" s="34" t="str">
        <x:v>PASS</x:v>
      </x:c>
      <x:c r="K152" s="34" t="str">
        <x:v>PASS</x:v>
      </x:c>
      <x:c r="L152" s="34" t="str">
        <x:v>PASS</x:v>
      </x:c>
      <x:c r="M152" s="34" t="str">
        <x:v>numeric coverage for applicable metric</x:v>
      </x:c>
      <x:c r="N152" s="34" t="str">
        <x:v>Feedback-Directed Random Test Generation/Result/Closure_87/result.json</x:v>
      </x:c>
      <x:c r="O152" s="38" t="n">
        <x:f>IF(AND(G152="RECORDED",ISNUMBER(H152)),H152,"")</x:f>
        <x:v>1.96</x:v>
      </x:c>
      <x:c r="P152" s="34" t="str">
        <x:v>NOT_REVEALING</x:v>
      </x:c>
      <x:c r="Q152" s="34" t="str">
        <x:v>Feedback-Directed Random Test Generation/Result/Closure_87/result.json</x:v>
      </x:c>
    </x:row>
    <x:row r="153">
      <x:c r="A153" s="34" t="str">
        <x:v>randoop</x:v>
      </x:c>
      <x:c r="B153" s="34" t="str">
        <x:v>Closure</x:v>
      </x:c>
      <x:c r="C153" s="34" t="str">
        <x:v>Round1</x:v>
      </x:c>
      <x:c r="D153" s="34" t="str">
        <x:v>Closure_88</x:v>
      </x:c>
      <x:c r="E153" s="34" t="str">
        <x:v>Coverage</x:v>
      </x:c>
      <x:c r="F153" s="34" t="n">
        <x:v>232</x:v>
      </x:c>
      <x:c r="G153" s="34" t="str">
        <x:v>RECORDED</x:v>
      </x:c>
      <x:c r="H153" s="38" t="n">
        <x:f>IF(ISNUMBER('Data'!G153),'Data'!G153*100,"")</x:f>
        <x:v>3.88</x:v>
      </x:c>
      <x:c r="I153" s="34" t="str">
        <x:v>PASS</x:v>
      </x:c>
      <x:c r="J153" s="34" t="str">
        <x:v>PASS</x:v>
      </x:c>
      <x:c r="K153" s="34" t="str">
        <x:v>PASS</x:v>
      </x:c>
      <x:c r="L153" s="34" t="str">
        <x:v>PASS</x:v>
      </x:c>
      <x:c r="M153" s="34" t="str">
        <x:v>numeric coverage for applicable metric</x:v>
      </x:c>
      <x:c r="N153" s="34" t="str">
        <x:v>Feedback-Directed Random Test Generation/Result/Closure_88/result.json</x:v>
      </x:c>
      <x:c r="O153" s="38" t="n">
        <x:f>IF(AND(G153="RECORDED",ISNUMBER(H153)),H153,"")</x:f>
        <x:v>3.88</x:v>
      </x:c>
      <x:c r="P153" s="34" t="str">
        <x:v>NOT_REVEALING</x:v>
      </x:c>
      <x:c r="Q153" s="34" t="str">
        <x:v>Feedback-Directed Random Test Generation/Result/Closure_88/result.json</x:v>
      </x:c>
    </x:row>
    <x:row r="154">
      <x:c r="A154" s="34" t="str">
        <x:v>randoop</x:v>
      </x:c>
      <x:c r="B154" s="34" t="str">
        <x:v>Closure</x:v>
      </x:c>
      <x:c r="C154" s="34" t="str">
        <x:v>Round1</x:v>
      </x:c>
      <x:c r="D154" s="34" t="str">
        <x:v>Closure_89</x:v>
      </x:c>
      <x:c r="E154" s="34" t="str">
        <x:v>Coverage</x:v>
      </x:c>
      <x:c r="F154" s="34" t="n">
        <x:v>1235</x:v>
      </x:c>
      <x:c r="G154" s="34" t="str">
        <x:v>RECORDED</x:v>
      </x:c>
      <x:c r="H154" s="38" t="n">
        <x:f>IF(ISNUMBER('Data'!G154),'Data'!G154*100,"")</x:f>
        <x:v>17.33</x:v>
      </x:c>
      <x:c r="I154" s="34" t="str">
        <x:v>PASS</x:v>
      </x:c>
      <x:c r="J154" s="34" t="str">
        <x:v>PASS</x:v>
      </x:c>
      <x:c r="K154" s="34" t="str">
        <x:v>PASS</x:v>
      </x:c>
      <x:c r="L154" s="34" t="str">
        <x:v>PASS</x:v>
      </x:c>
      <x:c r="M154" s="34" t="str">
        <x:v>numeric coverage for applicable metric</x:v>
      </x:c>
      <x:c r="N154" s="34" t="str">
        <x:v>Feedback-Directed Random Test Generation/Result/Closure_89/result.json</x:v>
      </x:c>
      <x:c r="O154" s="38" t="n">
        <x:f>IF(AND(G154="RECORDED",ISNUMBER(H154)),H154,"")</x:f>
        <x:v>17.33</x:v>
      </x:c>
      <x:c r="P154" s="34" t="str">
        <x:v>NOT_REVEALING</x:v>
      </x:c>
      <x:c r="Q154" s="34" t="str">
        <x:v>Feedback-Directed Random Test Generation/Result/Closure_89/result.json</x:v>
      </x:c>
    </x:row>
    <x:row r="155">
      <x:c r="A155" s="34" t="str">
        <x:v>randoop</x:v>
      </x:c>
      <x:c r="B155" s="34" t="str">
        <x:v>Closure</x:v>
      </x:c>
      <x:c r="C155" s="34" t="str">
        <x:v>Round1</x:v>
      </x:c>
      <x:c r="D155" s="34" t="str">
        <x:v>Closure_90</x:v>
      </x:c>
      <x:c r="E155" s="34" t="str">
        <x:v>Coverage</x:v>
      </x:c>
      <x:c r="F155" s="34" t="n">
        <x:v>1178</x:v>
      </x:c>
      <x:c r="G155" s="34" t="str">
        <x:v>RECORDED</x:v>
      </x:c>
      <x:c r="H155" s="38" t="n">
        <x:f>IF(ISNUMBER('Data'!G155),'Data'!G155*100,"")</x:f>
        <x:v>2.21</x:v>
      </x:c>
      <x:c r="I155" s="34" t="str">
        <x:v>PASS</x:v>
      </x:c>
      <x:c r="J155" s="34" t="str">
        <x:v>PASS</x:v>
      </x:c>
      <x:c r="K155" s="34" t="str">
        <x:v>PASS</x:v>
      </x:c>
      <x:c r="L155" s="34" t="str">
        <x:v>PASS</x:v>
      </x:c>
      <x:c r="M155" s="34" t="str">
        <x:v>numeric coverage for applicable metric</x:v>
      </x:c>
      <x:c r="N155" s="34" t="str">
        <x:v>Feedback-Directed Random Test Generation/Result/Closure_90/result.json</x:v>
      </x:c>
      <x:c r="O155" s="38" t="n">
        <x:f>IF(AND(G155="RECORDED",ISNUMBER(H155)),H155,"")</x:f>
        <x:v>2.21</x:v>
      </x:c>
      <x:c r="P155" s="34" t="str">
        <x:v>NOT_REVEALING</x:v>
      </x:c>
      <x:c r="Q155" s="34" t="str">
        <x:v>Feedback-Directed Random Test Generation/Result/Closure_90/result.json</x:v>
      </x:c>
    </x:row>
    <x:row r="156">
      <x:c r="A156" s="34" t="str">
        <x:v>randoop</x:v>
      </x:c>
      <x:c r="B156" s="34" t="str">
        <x:v>Closure</x:v>
      </x:c>
      <x:c r="C156" s="34" t="str">
        <x:v>Round1</x:v>
      </x:c>
      <x:c r="D156" s="34" t="str">
        <x:v>Closure_91</x:v>
      </x:c>
      <x:c r="E156" s="34" t="str">
        <x:v>Coverage</x:v>
      </x:c>
      <x:c r="F156" s="34" t="n">
        <x:v>117</x:v>
      </x:c>
      <x:c r="G156" s="34" t="str">
        <x:v>RECORDED</x:v>
      </x:c>
      <x:c r="H156" s="38" t="n">
        <x:f>IF(ISNUMBER('Data'!G156),'Data'!G156*100,"")</x:f>
        <x:v>6.84</x:v>
      </x:c>
      <x:c r="I156" s="34" t="str">
        <x:v>PASS</x:v>
      </x:c>
      <x:c r="J156" s="34" t="str">
        <x:v>PASS</x:v>
      </x:c>
      <x:c r="K156" s="34" t="str">
        <x:v>PASS</x:v>
      </x:c>
      <x:c r="L156" s="34" t="str">
        <x:v>PASS</x:v>
      </x:c>
      <x:c r="M156" s="34" t="str">
        <x:v>numeric coverage for applicable metric</x:v>
      </x:c>
      <x:c r="N156" s="34" t="str">
        <x:v>Feedback-Directed Random Test Generation/Result/Closure_91/result.json</x:v>
      </x:c>
      <x:c r="O156" s="38" t="n">
        <x:f>IF(AND(G156="RECORDED",ISNUMBER(H156)),H156,"")</x:f>
        <x:v>6.84</x:v>
      </x:c>
      <x:c r="P156" s="34" t="str">
        <x:v>NOT_REVEALING</x:v>
      </x:c>
      <x:c r="Q156" s="34" t="str">
        <x:v>Feedback-Directed Random Test Generation/Result/Closure_91/result.json</x:v>
      </x:c>
    </x:row>
    <x:row r="157">
      <x:c r="A157" s="34" t="str">
        <x:v>randoop</x:v>
      </x:c>
      <x:c r="B157" s="34" t="str">
        <x:v>Closure</x:v>
      </x:c>
      <x:c r="C157" s="34" t="str">
        <x:v>Round1</x:v>
      </x:c>
      <x:c r="D157" s="34" t="str">
        <x:v>Closure_92</x:v>
      </x:c>
      <x:c r="E157" s="34" t="str">
        <x:v>Coverage</x:v>
      </x:c>
      <x:c r="F157" s="34" t="n">
        <x:v>667</x:v>
      </x:c>
      <x:c r="G157" s="34" t="str">
        <x:v>RECORDED</x:v>
      </x:c>
      <x:c r="H157" s="38" t="n">
        <x:f>IF(ISNUMBER('Data'!G157),'Data'!G157*100,"")</x:f>
        <x:v>3</x:v>
      </x:c>
      <x:c r="I157" s="34" t="str">
        <x:v>PASS</x:v>
      </x:c>
      <x:c r="J157" s="34" t="str">
        <x:v>PASS</x:v>
      </x:c>
      <x:c r="K157" s="34" t="str">
        <x:v>PASS</x:v>
      </x:c>
      <x:c r="L157" s="34" t="str">
        <x:v>PASS</x:v>
      </x:c>
      <x:c r="M157" s="34" t="str">
        <x:v>numeric coverage for applicable metric</x:v>
      </x:c>
      <x:c r="N157" s="34" t="str">
        <x:v>Feedback-Directed Random Test Generation/Result/Closure_92/result.json</x:v>
      </x:c>
      <x:c r="O157" s="38" t="n">
        <x:f>IF(AND(G157="RECORDED",ISNUMBER(H157)),H157,"")</x:f>
        <x:v>3</x:v>
      </x:c>
      <x:c r="P157" s="34" t="str">
        <x:v>NOT_REVEALING</x:v>
      </x:c>
      <x:c r="Q157" s="34" t="str">
        <x:v>Feedback-Directed Random Test Generation/Result/Closure_92/result.json</x:v>
      </x:c>
    </x:row>
    <x:row r="158">
      <x:c r="A158" s="34" t="str">
        <x:v>randoop</x:v>
      </x:c>
      <x:c r="B158" s="34" t="str">
        <x:v>Closure</x:v>
      </x:c>
      <x:c r="C158" s="34" t="str">
        <x:v>Round1</x:v>
      </x:c>
      <x:c r="D158" s="34" t="str">
        <x:v>Closure_94</x:v>
      </x:c>
      <x:c r="E158" s="34" t="str">
        <x:v>Coverage</x:v>
      </x:c>
      <x:c r="F158" s="34" t="n">
        <x:v>1344</x:v>
      </x:c>
      <x:c r="G158" s="34" t="str">
        <x:v>RECORDED</x:v>
      </x:c>
      <x:c r="H158" s="38" t="n">
        <x:f>IF(ISNUMBER('Data'!G158),'Data'!G158*100,"")</x:f>
        <x:v>45.01</x:v>
      </x:c>
      <x:c r="I158" s="34" t="str">
        <x:v>PASS</x:v>
      </x:c>
      <x:c r="J158" s="34" t="str">
        <x:v>PASS</x:v>
      </x:c>
      <x:c r="K158" s="34" t="str">
        <x:v>PASS</x:v>
      </x:c>
      <x:c r="L158" s="34" t="str">
        <x:v>FAIL</x:v>
      </x:c>
      <x:c r="M158" s="34" t="str">
        <x:v>numeric coverage for applicable metric</x:v>
      </x:c>
      <x:c r="N158" s="34" t="str">
        <x:v>Feedback-Directed Random Test Generation/Result/Closure_94/result.json</x:v>
      </x:c>
      <x:c r="O158" s="38" t="n">
        <x:f>IF(AND(G158="RECORDED",ISNUMBER(H158)),H158,"")</x:f>
        <x:v>45.01</x:v>
      </x:c>
      <x:c r="P158" s="34" t="str">
        <x:v>INCONCLUSIVE</x:v>
      </x:c>
      <x:c r="Q158" s="34" t="str">
        <x:v>Feedback-Directed Random Test Generation/Result/Closure_94/result.json</x:v>
      </x:c>
    </x:row>
    <x:row r="159">
      <x:c r="A159" s="34" t="str">
        <x:v>randoop</x:v>
      </x:c>
      <x:c r="B159" s="34" t="str">
        <x:v>Closure</x:v>
      </x:c>
      <x:c r="C159" s="34" t="str">
        <x:v>Round1</x:v>
      </x:c>
      <x:c r="D159" s="34" t="str">
        <x:v>Closure_95</x:v>
      </x:c>
      <x:c r="E159" s="34" t="str">
        <x:v>Coverage</x:v>
      </x:c>
      <x:c r="F159" s="34" t="n">
        <x:v>1150</x:v>
      </x:c>
      <x:c r="G159" s="34" t="str">
        <x:v>RECORDED</x:v>
      </x:c>
      <x:c r="H159" s="38" t="n">
        <x:f>IF(ISNUMBER('Data'!G159),'Data'!G159*100,"")</x:f>
        <x:v>0.96</x:v>
      </x:c>
      <x:c r="I159" s="34" t="str">
        <x:v>PASS</x:v>
      </x:c>
      <x:c r="J159" s="34" t="str">
        <x:v>PASS</x:v>
      </x:c>
      <x:c r="K159" s="34" t="str">
        <x:v>PASS</x:v>
      </x:c>
      <x:c r="L159" s="34" t="str">
        <x:v>PASS</x:v>
      </x:c>
      <x:c r="M159" s="34" t="str">
        <x:v>numeric coverage for applicable metric</x:v>
      </x:c>
      <x:c r="N159" s="34" t="str">
        <x:v>Feedback-Directed Random Test Generation/Result/Closure_95/result.json</x:v>
      </x:c>
      <x:c r="O159" s="38" t="n">
        <x:f>IF(AND(G159="RECORDED",ISNUMBER(H159)),H159,"")</x:f>
        <x:v>0.96</x:v>
      </x:c>
      <x:c r="P159" s="34" t="str">
        <x:v>NOT_REVEALING</x:v>
      </x:c>
      <x:c r="Q159" s="34" t="str">
        <x:v>Feedback-Directed Random Test Generation/Result/Closure_95/result.json</x:v>
      </x:c>
    </x:row>
    <x:row r="160">
      <x:c r="A160" s="34" t="str">
        <x:v>randoop</x:v>
      </x:c>
      <x:c r="B160" s="34" t="str">
        <x:v>Closure</x:v>
      </x:c>
      <x:c r="C160" s="34" t="str">
        <x:v>Round1</x:v>
      </x:c>
      <x:c r="D160" s="34" t="str">
        <x:v>Closure_96</x:v>
      </x:c>
      <x:c r="E160" s="34" t="str">
        <x:v>Coverage</x:v>
      </x:c>
      <x:c r="F160" s="34" t="n">
        <x:v>1110</x:v>
      </x:c>
      <x:c r="G160" s="34" t="str">
        <x:v>RECORDED</x:v>
      </x:c>
      <x:c r="H160" s="38" t="n">
        <x:f>IF(ISNUMBER('Data'!G160),'Data'!G160*100,"")</x:f>
        <x:v>5.86</x:v>
      </x:c>
      <x:c r="I160" s="34" t="str">
        <x:v>PASS</x:v>
      </x:c>
      <x:c r="J160" s="34" t="str">
        <x:v>PASS</x:v>
      </x:c>
      <x:c r="K160" s="34" t="str">
        <x:v>PASS</x:v>
      </x:c>
      <x:c r="L160" s="34" t="str">
        <x:v>PASS</x:v>
      </x:c>
      <x:c r="M160" s="34" t="str">
        <x:v>numeric coverage for applicable metric</x:v>
      </x:c>
      <x:c r="N160" s="34" t="str">
        <x:v>Feedback-Directed Random Test Generation/Result/Closure_96/result.json</x:v>
      </x:c>
      <x:c r="O160" s="38" t="n">
        <x:f>IF(AND(G160="RECORDED",ISNUMBER(H160)),H160,"")</x:f>
        <x:v>5.86</x:v>
      </x:c>
      <x:c r="P160" s="34" t="str">
        <x:v>NOT_REVEALING</x:v>
      </x:c>
      <x:c r="Q160" s="34" t="str">
        <x:v>Feedback-Directed Random Test Generation/Result/Closure_96/result.json</x:v>
      </x:c>
    </x:row>
    <x:row r="161">
      <x:c r="A161" s="34" t="str">
        <x:v>randoop</x:v>
      </x:c>
      <x:c r="B161" s="34" t="str">
        <x:v>Closure</x:v>
      </x:c>
      <x:c r="C161" s="34" t="str">
        <x:v>Round1</x:v>
      </x:c>
      <x:c r="D161" s="34" t="str">
        <x:v>Closure_97</x:v>
      </x:c>
      <x:c r="E161" s="34" t="str">
        <x:v>Coverage</x:v>
      </x:c>
      <x:c r="F161" s="34" t="n">
        <x:v>992</x:v>
      </x:c>
      <x:c r="G161" s="34" t="str">
        <x:v>RECORDED</x:v>
      </x:c>
      <x:c r="H161" s="38" t="n">
        <x:f>IF(ISNUMBER('Data'!G161),'Data'!G161*100,"")</x:f>
        <x:v>1.41</x:v>
      </x:c>
      <x:c r="I161" s="34" t="str">
        <x:v>PASS</x:v>
      </x:c>
      <x:c r="J161" s="34" t="str">
        <x:v>PASS</x:v>
      </x:c>
      <x:c r="K161" s="34" t="str">
        <x:v>PASS</x:v>
      </x:c>
      <x:c r="L161" s="34" t="str">
        <x:v>PASS</x:v>
      </x:c>
      <x:c r="M161" s="34" t="str">
        <x:v>numeric coverage for applicable metric</x:v>
      </x:c>
      <x:c r="N161" s="34" t="str">
        <x:v>Feedback-Directed Random Test Generation/Result/Closure_97/result.json</x:v>
      </x:c>
      <x:c r="O161" s="38" t="n">
        <x:f>IF(AND(G161="RECORDED",ISNUMBER(H161)),H161,"")</x:f>
        <x:v>1.41</x:v>
      </x:c>
      <x:c r="P161" s="34" t="str">
        <x:v>NOT_REVEALING</x:v>
      </x:c>
      <x:c r="Q161" s="34" t="str">
        <x:v>Feedback-Directed Random Test Generation/Result/Closure_97/result.json</x:v>
      </x:c>
    </x:row>
    <x:row r="162">
      <x:c r="A162" s="34" t="str">
        <x:v>randoop</x:v>
      </x:c>
      <x:c r="B162" s="34" t="str">
        <x:v>Closure</x:v>
      </x:c>
      <x:c r="C162" s="34" t="str">
        <x:v>Round1</x:v>
      </x:c>
      <x:c r="D162" s="34" t="str">
        <x:v>Closure_98</x:v>
      </x:c>
      <x:c r="E162" s="34" t="str">
        <x:v>Coverage</x:v>
      </x:c>
      <x:c r="F162" s="34" t="n">
        <x:v>295</x:v>
      </x:c>
      <x:c r="G162" s="34" t="str">
        <x:v>RECORDED</x:v>
      </x:c>
      <x:c r="H162" s="38" t="n">
        <x:f>IF(ISNUMBER('Data'!G162),'Data'!G162*100,"")</x:f>
        <x:v>27.12</x:v>
      </x:c>
      <x:c r="I162" s="34" t="str">
        <x:v>PASS</x:v>
      </x:c>
      <x:c r="J162" s="34" t="str">
        <x:v>PASS</x:v>
      </x:c>
      <x:c r="K162" s="34" t="str">
        <x:v>PASS</x:v>
      </x:c>
      <x:c r="L162" s="34" t="str">
        <x:v>PASS</x:v>
      </x:c>
      <x:c r="M162" s="34" t="str">
        <x:v>numeric coverage for applicable metric</x:v>
      </x:c>
      <x:c r="N162" s="34" t="str">
        <x:v>Feedback-Directed Random Test Generation/Result/Closure_98/result.json</x:v>
      </x:c>
      <x:c r="O162" s="38" t="n">
        <x:f>IF(AND(G162="RECORDED",ISNUMBER(H162)),H162,"")</x:f>
        <x:v>27.12</x:v>
      </x:c>
      <x:c r="P162" s="34" t="str">
        <x:v>NOT_REVEALING</x:v>
      </x:c>
      <x:c r="Q162" s="34" t="str">
        <x:v>Feedback-Directed Random Test Generation/Result/Closure_98/result.json</x:v>
      </x:c>
    </x:row>
    <x:row r="163">
      <x:c r="A163" s="34" t="str">
        <x:v>randoop</x:v>
      </x:c>
      <x:c r="B163" s="34" t="str">
        <x:v>Closure</x:v>
      </x:c>
      <x:c r="C163" s="34" t="str">
        <x:v>Round1</x:v>
      </x:c>
      <x:c r="D163" s="34" t="str">
        <x:v>Closure_99</x:v>
      </x:c>
      <x:c r="E163" s="34" t="str">
        <x:v>Coverage</x:v>
      </x:c>
      <x:c r="F163" s="34" t="n">
        <x:v>105</x:v>
      </x:c>
      <x:c r="G163" s="34" t="str">
        <x:v>RECORDED</x:v>
      </x:c>
      <x:c r="H163" s="38" t="n">
        <x:f>IF(ISNUMBER('Data'!G163),'Data'!G163*100,"")</x:f>
        <x:v>7.62</x:v>
      </x:c>
      <x:c r="I163" s="34" t="str">
        <x:v>PASS</x:v>
      </x:c>
      <x:c r="J163" s="34" t="str">
        <x:v>PASS</x:v>
      </x:c>
      <x:c r="K163" s="34" t="str">
        <x:v>PASS</x:v>
      </x:c>
      <x:c r="L163" s="34" t="str">
        <x:v>PASS</x:v>
      </x:c>
      <x:c r="M163" s="34" t="str">
        <x:v>numeric coverage for applicable metric</x:v>
      </x:c>
      <x:c r="N163" s="34" t="str">
        <x:v>Feedback-Directed Random Test Generation/Result/Closure_99/result.json</x:v>
      </x:c>
      <x:c r="O163" s="38" t="n">
        <x:f>IF(AND(G163="RECORDED",ISNUMBER(H163)),H163,"")</x:f>
        <x:v>7.62</x:v>
      </x:c>
      <x:c r="P163" s="34" t="str">
        <x:v>NOT_REVEALING</x:v>
      </x:c>
      <x:c r="Q163" s="34" t="str">
        <x:v>Feedback-Directed Random Test Generation/Result/Closure_99/result.json</x:v>
      </x:c>
    </x:row>
    <x:row r="164">
      <x:c r="A164" s="34" t="str">
        <x:v>randoop</x:v>
      </x:c>
      <x:c r="B164" s="34" t="str">
        <x:v>Closure</x:v>
      </x:c>
      <x:c r="C164" s="34" t="str">
        <x:v>Round1</x:v>
      </x:c>
      <x:c r="D164" s="34" t="str">
        <x:v>Closure_100</x:v>
      </x:c>
      <x:c r="E164" s="34" t="str">
        <x:v>Coverage</x:v>
      </x:c>
      <x:c r="F164" s="34" t="n">
        <x:v>86</x:v>
      </x:c>
      <x:c r="G164" s="34" t="str">
        <x:v>RECORDED</x:v>
      </x:c>
      <x:c r="H164" s="38" t="n">
        <x:f>IF(ISNUMBER('Data'!G164),'Data'!G164*100,"")</x:f>
        <x:v>9.3</x:v>
      </x:c>
      <x:c r="I164" s="34" t="str">
        <x:v>PASS</x:v>
      </x:c>
      <x:c r="J164" s="34" t="str">
        <x:v>PASS</x:v>
      </x:c>
      <x:c r="K164" s="34" t="str">
        <x:v>PASS</x:v>
      </x:c>
      <x:c r="L164" s="34" t="str">
        <x:v>PASS</x:v>
      </x:c>
      <x:c r="M164" s="34" t="str">
        <x:v>numeric coverage for applicable metric</x:v>
      </x:c>
      <x:c r="N164" s="34" t="str">
        <x:v>Feedback-Directed Random Test Generation/Result/Closure_100/result.json</x:v>
      </x:c>
      <x:c r="O164" s="38" t="n">
        <x:f>IF(AND(G164="RECORDED",ISNUMBER(H164)),H164,"")</x:f>
        <x:v>9.3</x:v>
      </x:c>
      <x:c r="P164" s="34" t="str">
        <x:v>NOT_REVEALING</x:v>
      </x:c>
      <x:c r="Q164" s="34" t="str">
        <x:v>Feedback-Directed Random Test Generation/Result/Closure_100/result.json</x:v>
      </x:c>
    </x:row>
    <x:row r="165">
      <x:c r="A165" s="34" t="str">
        <x:v>randoop</x:v>
      </x:c>
      <x:c r="B165" s="34" t="str">
        <x:v>Closure</x:v>
      </x:c>
      <x:c r="C165" s="34" t="str">
        <x:v>Round1</x:v>
      </x:c>
      <x:c r="D165" s="34" t="str">
        <x:v>Closure_101</x:v>
      </x:c>
      <x:c r="E165" s="34" t="str">
        <x:v>Coverage</x:v>
      </x:c>
      <x:c r="F165" s="34" t="n">
        <x:v>189</x:v>
      </x:c>
      <x:c r="G165" s="34" t="str">
        <x:v>RECORDED</x:v>
      </x:c>
      <x:c r="H165" s="38" t="n">
        <x:f>IF(ISNUMBER('Data'!G165),'Data'!G165*100,"")</x:f>
        <x:v>39.68</x:v>
      </x:c>
      <x:c r="I165" s="34" t="str">
        <x:v>PASS</x:v>
      </x:c>
      <x:c r="J165" s="34" t="str">
        <x:v>PASS</x:v>
      </x:c>
      <x:c r="K165" s="34" t="str">
        <x:v>PASS</x:v>
      </x:c>
      <x:c r="L165" s="34" t="str">
        <x:v>PASS</x:v>
      </x:c>
      <x:c r="M165" s="34" t="str">
        <x:v>numeric coverage for applicable metric</x:v>
      </x:c>
      <x:c r="N165" s="34" t="str">
        <x:v>Feedback-Directed Random Test Generation/Result/Closure_101/result.json</x:v>
      </x:c>
      <x:c r="O165" s="38" t="n">
        <x:f>IF(AND(G165="RECORDED",ISNUMBER(H165)),H165,"")</x:f>
        <x:v>39.68</x:v>
      </x:c>
      <x:c r="P165" s="34" t="str">
        <x:v>NOT_REVEALING</x:v>
      </x:c>
      <x:c r="Q165" s="34" t="str">
        <x:v>Feedback-Directed Random Test Generation/Result/Closure_101/result.json</x:v>
      </x:c>
    </x:row>
    <x:row r="166">
      <x:c r="A166" s="34" t="str">
        <x:v>randoop</x:v>
      </x:c>
      <x:c r="B166" s="34" t="str">
        <x:v>Closure</x:v>
      </x:c>
      <x:c r="C166" s="34" t="str">
        <x:v>Round1</x:v>
      </x:c>
      <x:c r="D166" s="34" t="str">
        <x:v>Closure_102</x:v>
      </x:c>
      <x:c r="E166" s="34" t="str">
        <x:v>Coverage</x:v>
      </x:c>
      <x:c r="F166" s="34" t="n">
        <x:v>295</x:v>
      </x:c>
      <x:c r="G166" s="34" t="str">
        <x:v>RECORDED</x:v>
      </x:c>
      <x:c r="H166" s="38" t="n">
        <x:f>IF(ISNUMBER('Data'!G166),'Data'!G166*100,"")</x:f>
        <x:v>7.12</x:v>
      </x:c>
      <x:c r="I166" s="34" t="str">
        <x:v>PASS</x:v>
      </x:c>
      <x:c r="J166" s="34" t="str">
        <x:v>PASS</x:v>
      </x:c>
      <x:c r="K166" s="34" t="str">
        <x:v>PASS</x:v>
      </x:c>
      <x:c r="L166" s="34" t="str">
        <x:v>PASS</x:v>
      </x:c>
      <x:c r="M166" s="34" t="str">
        <x:v>numeric coverage for applicable metric</x:v>
      </x:c>
      <x:c r="N166" s="34" t="str">
        <x:v>Feedback-Directed Random Test Generation/Result/Closure_102/result.json</x:v>
      </x:c>
      <x:c r="O166" s="38" t="n">
        <x:f>IF(AND(G166="RECORDED",ISNUMBER(H166)),H166,"")</x:f>
        <x:v>7.12</x:v>
      </x:c>
      <x:c r="P166" s="34" t="str">
        <x:v>NOT_REVEALING</x:v>
      </x:c>
      <x:c r="Q166" s="34" t="str">
        <x:v>Feedback-Directed Random Test Generation/Result/Closure_102/result.json</x:v>
      </x:c>
    </x:row>
    <x:row r="167">
      <x:c r="A167" s="34" t="str">
        <x:v>randoop</x:v>
      </x:c>
      <x:c r="B167" s="34" t="str">
        <x:v>Closure</x:v>
      </x:c>
      <x:c r="C167" s="34" t="str">
        <x:v>Round1</x:v>
      </x:c>
      <x:c r="D167" s="34" t="str">
        <x:v>Closure_103</x:v>
      </x:c>
      <x:c r="E167" s="34" t="str">
        <x:v>Coverage</x:v>
      </x:c>
      <x:c r="F167" s="34" t="n">
        <x:v>1276</x:v>
      </x:c>
      <x:c r="G167" s="34" t="str">
        <x:v>RECORDED</x:v>
      </x:c>
      <x:c r="H167" s="38" t="n">
        <x:f>IF(ISNUMBER('Data'!G167),'Data'!G167*100,"")</x:f>
        <x:v>2.12</x:v>
      </x:c>
      <x:c r="I167" s="34" t="str">
        <x:v>PASS</x:v>
      </x:c>
      <x:c r="J167" s="34" t="str">
        <x:v>PASS</x:v>
      </x:c>
      <x:c r="K167" s="34" t="str">
        <x:v>PASS</x:v>
      </x:c>
      <x:c r="L167" s="34" t="str">
        <x:v>PASS</x:v>
      </x:c>
      <x:c r="M167" s="34" t="str">
        <x:v>numeric coverage for applicable metric</x:v>
      </x:c>
      <x:c r="N167" s="34" t="str">
        <x:v>Feedback-Directed Random Test Generation/Result/Closure_103/result.json</x:v>
      </x:c>
      <x:c r="O167" s="38" t="n">
        <x:f>IF(AND(G167="RECORDED",ISNUMBER(H167)),H167,"")</x:f>
        <x:v>2.12</x:v>
      </x:c>
      <x:c r="P167" s="34" t="str">
        <x:v>NOT_REVEALING</x:v>
      </x:c>
      <x:c r="Q167" s="34" t="str">
        <x:v>Feedback-Directed Random Test Generation/Result/Closure_103/result.json</x:v>
      </x:c>
    </x:row>
    <x:row r="168">
      <x:c r="A168" s="34" t="str">
        <x:v>randoop</x:v>
      </x:c>
      <x:c r="B168" s="34" t="str">
        <x:v>Closure</x:v>
      </x:c>
      <x:c r="C168" s="34" t="str">
        <x:v>Round1</x:v>
      </x:c>
      <x:c r="D168" s="34" t="str">
        <x:v>Closure_104</x:v>
      </x:c>
      <x:c r="E168" s="34" t="str">
        <x:v>Coverage</x:v>
      </x:c>
      <x:c r="F168" s="34" t="n">
        <x:v>316</x:v>
      </x:c>
      <x:c r="G168" s="34" t="str">
        <x:v>RECORDED</x:v>
      </x:c>
      <x:c r="H168" s="38" t="n">
        <x:f>IF(ISNUMBER('Data'!G168),'Data'!G168*100,"")</x:f>
        <x:v>62.029999999999994</x:v>
      </x:c>
      <x:c r="I168" s="34" t="str">
        <x:v>PASS</x:v>
      </x:c>
      <x:c r="J168" s="34" t="str">
        <x:v>PASS</x:v>
      </x:c>
      <x:c r="K168" s="34" t="str">
        <x:v>PASS</x:v>
      </x:c>
      <x:c r="L168" s="34" t="str">
        <x:v>PASS</x:v>
      </x:c>
      <x:c r="M168" s="34" t="str">
        <x:v>numeric coverage for applicable metric</x:v>
      </x:c>
      <x:c r="N168" s="34" t="str">
        <x:v>Feedback-Directed Random Test Generation/Result/Closure_104/result.json</x:v>
      </x:c>
      <x:c r="O168" s="38" t="n">
        <x:f>IF(AND(G168="RECORDED",ISNUMBER(H168)),H168,"")</x:f>
        <x:v>62.029999999999994</x:v>
      </x:c>
      <x:c r="P168" s="34" t="str">
        <x:v>NOT_REVEALING</x:v>
      </x:c>
      <x:c r="Q168" s="34" t="str">
        <x:v>Feedback-Directed Random Test Generation/Result/Closure_104/result.json</x:v>
      </x:c>
    </x:row>
    <x:row r="169">
      <x:c r="A169" s="34" t="str">
        <x:v>randoop</x:v>
      </x:c>
      <x:c r="B169" s="34" t="str">
        <x:v>Closure</x:v>
      </x:c>
      <x:c r="C169" s="34" t="str">
        <x:v>Round1</x:v>
      </x:c>
      <x:c r="D169" s="34" t="str">
        <x:v>Closure_105</x:v>
      </x:c>
      <x:c r="E169" s="34" t="str">
        <x:v>Coverage</x:v>
      </x:c>
      <x:c r="F169" s="34" t="n">
        <x:v>1732</x:v>
      </x:c>
      <x:c r="G169" s="34" t="str">
        <x:v>RECORDED</x:v>
      </x:c>
      <x:c r="H169" s="38" t="n">
        <x:f>IF(ISNUMBER('Data'!G169),'Data'!G169*100,"")</x:f>
        <x:v>0.9199999999999999</x:v>
      </x:c>
      <x:c r="I169" s="34" t="str">
        <x:v>PASS</x:v>
      </x:c>
      <x:c r="J169" s="34" t="str">
        <x:v>PASS</x:v>
      </x:c>
      <x:c r="K169" s="34" t="str">
        <x:v>PASS</x:v>
      </x:c>
      <x:c r="L169" s="34" t="str">
        <x:v>PASS</x:v>
      </x:c>
      <x:c r="M169" s="34" t="str">
        <x:v>numeric coverage for applicable metric</x:v>
      </x:c>
      <x:c r="N169" s="34" t="str">
        <x:v>Feedback-Directed Random Test Generation/Result/Closure_105/result.json</x:v>
      </x:c>
      <x:c r="O169" s="38" t="n">
        <x:f>IF(AND(G169="RECORDED",ISNUMBER(H169)),H169,"")</x:f>
        <x:v>0.9199999999999999</x:v>
      </x:c>
      <x:c r="P169" s="34" t="str">
        <x:v>NOT_REVEALING</x:v>
      </x:c>
      <x:c r="Q169" s="34" t="str">
        <x:v>Feedback-Directed Random Test Generation/Result/Closure_105/result.json</x:v>
      </x:c>
    </x:row>
    <x:row r="170">
      <x:c r="A170" s="34" t="str">
        <x:v>randoop</x:v>
      </x:c>
      <x:c r="B170" s="34" t="str">
        <x:v>Closure</x:v>
      </x:c>
      <x:c r="C170" s="34" t="str">
        <x:v>Round1</x:v>
      </x:c>
      <x:c r="D170" s="34" t="str">
        <x:v>Closure_106</x:v>
      </x:c>
      <x:c r="E170" s="34" t="str">
        <x:v>Coverage</x:v>
      </x:c>
      <x:c r="F170" s="34" t="n">
        <x:v>1063</x:v>
      </x:c>
      <x:c r="G170" s="34" t="str">
        <x:v>RECORDED</x:v>
      </x:c>
      <x:c r="H170" s="38" t="n">
        <x:f>IF(ISNUMBER('Data'!G170),'Data'!G170*100,"")</x:f>
        <x:v>41.2</x:v>
      </x:c>
      <x:c r="I170" s="34" t="str">
        <x:v>PASS</x:v>
      </x:c>
      <x:c r="J170" s="34" t="str">
        <x:v>PASS</x:v>
      </x:c>
      <x:c r="K170" s="34" t="str">
        <x:v>PASS</x:v>
      </x:c>
      <x:c r="L170" s="34" t="str">
        <x:v>PASS</x:v>
      </x:c>
      <x:c r="M170" s="34" t="str">
        <x:v>numeric coverage for applicable metric</x:v>
      </x:c>
      <x:c r="N170" s="34" t="str">
        <x:v>Feedback-Directed Random Test Generation/Result/Closure_106/result.json</x:v>
      </x:c>
      <x:c r="O170" s="38" t="n">
        <x:f>IF(AND(G170="RECORDED",ISNUMBER(H170)),H170,"")</x:f>
        <x:v>41.2</x:v>
      </x:c>
      <x:c r="P170" s="34" t="str">
        <x:v>NOT_REVEALING</x:v>
      </x:c>
      <x:c r="Q170" s="34" t="str">
        <x:v>Feedback-Directed Random Test Generation/Result/Closure_106/result.json</x:v>
      </x:c>
    </x:row>
    <x:row r="171">
      <x:c r="A171" s="34" t="str">
        <x:v>randoop</x:v>
      </x:c>
      <x:c r="B171" s="34" t="str">
        <x:v>Closure</x:v>
      </x:c>
      <x:c r="C171" s="34" t="str">
        <x:v>Round1</x:v>
      </x:c>
      <x:c r="D171" s="34" t="str">
        <x:v>Closure_107</x:v>
      </x:c>
      <x:c r="E171" s="34" t="str">
        <x:v>Coverage</x:v>
      </x:c>
      <x:c r="F171" s="34" t="n">
        <x:v>397</x:v>
      </x:c>
      <x:c r="G171" s="34" t="str">
        <x:v>RECORDED</x:v>
      </x:c>
      <x:c r="H171" s="38" t="n">
        <x:f>IF(ISNUMBER('Data'!G171),'Data'!G171*100,"")</x:f>
        <x:v>44.84</x:v>
      </x:c>
      <x:c r="I171" s="34" t="str">
        <x:v>PASS</x:v>
      </x:c>
      <x:c r="J171" s="34" t="str">
        <x:v>PASS</x:v>
      </x:c>
      <x:c r="K171" s="34" t="str">
        <x:v>PASS</x:v>
      </x:c>
      <x:c r="L171" s="34" t="str">
        <x:v>FAIL</x:v>
      </x:c>
      <x:c r="M171" s="34" t="str">
        <x:v>numeric coverage for applicable metric</x:v>
      </x:c>
      <x:c r="N171" s="34" t="str">
        <x:v>Feedback-Directed Random Test Generation/Result/Closure_107/result.json</x:v>
      </x:c>
      <x:c r="O171" s="38" t="n">
        <x:f>IF(AND(G171="RECORDED",ISNUMBER(H171)),H171,"")</x:f>
        <x:v>44.84</x:v>
      </x:c>
      <x:c r="P171" s="34" t="str">
        <x:v>INCONCLUSIVE</x:v>
      </x:c>
      <x:c r="Q171" s="34" t="str">
        <x:v>Feedback-Directed Random Test Generation/Result/Closure_107/result.json</x:v>
      </x:c>
    </x:row>
    <x:row r="172">
      <x:c r="A172" s="34" t="str">
        <x:v>randoop</x:v>
      </x:c>
      <x:c r="B172" s="34" t="str">
        <x:v>Closure</x:v>
      </x:c>
      <x:c r="C172" s="34" t="str">
        <x:v>Round1</x:v>
      </x:c>
      <x:c r="D172" s="34" t="str">
        <x:v>Closure_108</x:v>
      </x:c>
      <x:c r="E172" s="34" t="str">
        <x:v>Coverage</x:v>
      </x:c>
      <x:c r="F172" s="34" t="n">
        <x:v>419</x:v>
      </x:c>
      <x:c r="G172" s="34" t="str">
        <x:v>RECORDED</x:v>
      </x:c>
      <x:c r="H172" s="38" t="n">
        <x:f>IF(ISNUMBER('Data'!G172),'Data'!G172*100,"")</x:f>
        <x:v>6.4399999999999995</x:v>
      </x:c>
      <x:c r="I172" s="34" t="str">
        <x:v>PASS</x:v>
      </x:c>
      <x:c r="J172" s="34" t="str">
        <x:v>PASS</x:v>
      </x:c>
      <x:c r="K172" s="34" t="str">
        <x:v>PASS</x:v>
      </x:c>
      <x:c r="L172" s="34" t="str">
        <x:v>PASS</x:v>
      </x:c>
      <x:c r="M172" s="34" t="str">
        <x:v>numeric coverage for applicable metric</x:v>
      </x:c>
      <x:c r="N172" s="34" t="str">
        <x:v>Feedback-Directed Random Test Generation/Result/Closure_108/result.json</x:v>
      </x:c>
      <x:c r="O172" s="38" t="n">
        <x:f>IF(AND(G172="RECORDED",ISNUMBER(H172)),H172,"")</x:f>
        <x:v>6.4399999999999995</x:v>
      </x:c>
      <x:c r="P172" s="34" t="str">
        <x:v>NOT_REVEALING</x:v>
      </x:c>
      <x:c r="Q172" s="34" t="str">
        <x:v>Feedback-Directed Random Test Generation/Result/Closure_108/result.json</x:v>
      </x:c>
    </x:row>
    <x:row r="173">
      <x:c r="A173" s="34" t="str">
        <x:v>randoop</x:v>
      </x:c>
      <x:c r="B173" s="34" t="str">
        <x:v>Closure</x:v>
      </x:c>
      <x:c r="C173" s="34" t="str">
        <x:v>Round1</x:v>
      </x:c>
      <x:c r="D173" s="34" t="str">
        <x:v>Closure_109</x:v>
      </x:c>
      <x:c r="E173" s="34" t="str">
        <x:v>Coverage</x:v>
      </x:c>
      <x:c r="F173" s="34" t="n">
        <x:v>1853</x:v>
      </x:c>
      <x:c r="G173" s="34" t="str">
        <x:v>RECORDED</x:v>
      </x:c>
      <x:c r="H173" s="38" t="n">
        <x:f>IF(ISNUMBER('Data'!G173),'Data'!G173*100,"")</x:f>
        <x:v>6.480000000000001</x:v>
      </x:c>
      <x:c r="I173" s="34" t="str">
        <x:v>PASS</x:v>
      </x:c>
      <x:c r="J173" s="34" t="str">
        <x:v>PASS</x:v>
      </x:c>
      <x:c r="K173" s="34" t="str">
        <x:v>PASS</x:v>
      </x:c>
      <x:c r="L173" s="34" t="str">
        <x:v>PASS</x:v>
      </x:c>
      <x:c r="M173" s="34" t="str">
        <x:v>numeric coverage for applicable metric</x:v>
      </x:c>
      <x:c r="N173" s="34" t="str">
        <x:v>Feedback-Directed Random Test Generation/Result/Closure_109/result.json</x:v>
      </x:c>
      <x:c r="O173" s="38" t="n">
        <x:f>IF(AND(G173="RECORDED",ISNUMBER(H173)),H173,"")</x:f>
        <x:v>6.480000000000001</x:v>
      </x:c>
      <x:c r="P173" s="34" t="str">
        <x:v>NOT_REVEALING</x:v>
      </x:c>
      <x:c r="Q173" s="34" t="str">
        <x:v>Feedback-Directed Random Test Generation/Result/Closure_109/result.json</x:v>
      </x:c>
    </x:row>
    <x:row r="174">
      <x:c r="A174" s="34" t="str">
        <x:v>randoop</x:v>
      </x:c>
      <x:c r="B174" s="34" t="str">
        <x:v>Closure</x:v>
      </x:c>
      <x:c r="C174" s="34" t="str">
        <x:v>Round1</x:v>
      </x:c>
      <x:c r="D174" s="34" t="str">
        <x:v>Closure_110</x:v>
      </x:c>
      <x:c r="E174" s="34" t="str">
        <x:v>Coverage</x:v>
      </x:c>
      <x:c r="F174" s="34" t="n">
        <x:v>1818</x:v>
      </x:c>
      <x:c r="G174" s="34" t="str">
        <x:v>RECORDED</x:v>
      </x:c>
      <x:c r="H174" s="38" t="n">
        <x:f>IF(ISNUMBER('Data'!G174),'Data'!G174*100,"")</x:f>
        <x:v>57.59000000000001</x:v>
      </x:c>
      <x:c r="I174" s="34" t="str">
        <x:v>PASS</x:v>
      </x:c>
      <x:c r="J174" s="34" t="str">
        <x:v>PASS</x:v>
      </x:c>
      <x:c r="K174" s="34" t="str">
        <x:v>PASS</x:v>
      </x:c>
      <x:c r="L174" s="34" t="str">
        <x:v>FAIL</x:v>
      </x:c>
      <x:c r="M174" s="34" t="str">
        <x:v>numeric coverage for applicable metric</x:v>
      </x:c>
      <x:c r="N174" s="34" t="str">
        <x:v>Feedback-Directed Random Test Generation/Result/Closure_110/result.json</x:v>
      </x:c>
      <x:c r="O174" s="38" t="n">
        <x:f>IF(AND(G174="RECORDED",ISNUMBER(H174)),H174,"")</x:f>
        <x:v>57.59000000000001</x:v>
      </x:c>
      <x:c r="P174" s="34" t="str">
        <x:v>INCONCLUSIVE</x:v>
      </x:c>
      <x:c r="Q174" s="34" t="str">
        <x:v>Feedback-Directed Random Test Generation/Result/Closure_110/result.json</x:v>
      </x:c>
    </x:row>
    <x:row r="175">
      <x:c r="A175" s="34" t="str">
        <x:v>randoop</x:v>
      </x:c>
      <x:c r="B175" s="34" t="str">
        <x:v>Closure</x:v>
      </x:c>
      <x:c r="C175" s="34" t="str">
        <x:v>Round1</x:v>
      </x:c>
      <x:c r="D175" s="34" t="str">
        <x:v>Closure_111</x:v>
      </x:c>
      <x:c r="E175" s="34" t="str">
        <x:v>Coverage</x:v>
      </x:c>
      <x:c r="F175" s="34" t="n">
        <x:v>140</x:v>
      </x:c>
      <x:c r="G175" s="34" t="str">
        <x:v>RECORDED</x:v>
      </x:c>
      <x:c r="H175" s="38" t="n">
        <x:f>IF(ISNUMBER('Data'!G175),'Data'!G175*100,"")</x:f>
        <x:v>0.71</x:v>
      </x:c>
      <x:c r="I175" s="34" t="str">
        <x:v>PASS</x:v>
      </x:c>
      <x:c r="J175" s="34" t="str">
        <x:v>PASS</x:v>
      </x:c>
      <x:c r="K175" s="34" t="str">
        <x:v>PASS</x:v>
      </x:c>
      <x:c r="L175" s="34" t="str">
        <x:v>PASS</x:v>
      </x:c>
      <x:c r="M175" s="34" t="str">
        <x:v>numeric coverage for applicable metric</x:v>
      </x:c>
      <x:c r="N175" s="34" t="str">
        <x:v>Feedback-Directed Random Test Generation/Result/Closure_111/result.json</x:v>
      </x:c>
      <x:c r="O175" s="38" t="n">
        <x:f>IF(AND(G175="RECORDED",ISNUMBER(H175)),H175,"")</x:f>
        <x:v>0.71</x:v>
      </x:c>
      <x:c r="P175" s="34" t="str">
        <x:v>NOT_REVEALING</x:v>
      </x:c>
      <x:c r="Q175" s="34" t="str">
        <x:v>Feedback-Directed Random Test Generation/Result/Closure_111/result.json</x:v>
      </x:c>
    </x:row>
    <x:row r="176">
      <x:c r="A176" s="34" t="str">
        <x:v>randoop</x:v>
      </x:c>
      <x:c r="B176" s="34" t="str">
        <x:v>Closure</x:v>
      </x:c>
      <x:c r="C176" s="34" t="str">
        <x:v>Round1</x:v>
      </x:c>
      <x:c r="D176" s="34" t="str">
        <x:v>Closure_112</x:v>
      </x:c>
      <x:c r="E176" s="34" t="str">
        <x:v>Coverage</x:v>
      </x:c>
      <x:c r="F176" s="34" t="n">
        <x:v>1178</x:v>
      </x:c>
      <x:c r="G176" s="34" t="str">
        <x:v>RECORDED</x:v>
      </x:c>
      <x:c r="H176" s="38" t="n">
        <x:f>IF(ISNUMBER('Data'!G176),'Data'!G176*100,"")</x:f>
        <x:v>0.51</x:v>
      </x:c>
      <x:c r="I176" s="34" t="str">
        <x:v>PASS</x:v>
      </x:c>
      <x:c r="J176" s="34" t="str">
        <x:v>PASS</x:v>
      </x:c>
      <x:c r="K176" s="34" t="str">
        <x:v>PASS</x:v>
      </x:c>
      <x:c r="L176" s="34" t="str">
        <x:v>PASS</x:v>
      </x:c>
      <x:c r="M176" s="34" t="str">
        <x:v>numeric coverage for applicable metric</x:v>
      </x:c>
      <x:c r="N176" s="34" t="str">
        <x:v>Feedback-Directed Random Test Generation/Result/Closure_112/result.json</x:v>
      </x:c>
      <x:c r="O176" s="38" t="n">
        <x:f>IF(AND(G176="RECORDED",ISNUMBER(H176)),H176,"")</x:f>
        <x:v>0.51</x:v>
      </x:c>
      <x:c r="P176" s="34" t="str">
        <x:v>NOT_REVEALING</x:v>
      </x:c>
      <x:c r="Q176" s="34" t="str">
        <x:v>Feedback-Directed Random Test Generation/Result/Closure_112/result.json</x:v>
      </x:c>
    </x:row>
    <x:row r="177">
      <x:c r="A177" s="34" t="str">
        <x:v>randoop</x:v>
      </x:c>
      <x:c r="B177" s="34" t="str">
        <x:v>Closure</x:v>
      </x:c>
      <x:c r="C177" s="34" t="str">
        <x:v>Round1</x:v>
      </x:c>
      <x:c r="D177" s="34" t="str">
        <x:v>Closure_113</x:v>
      </x:c>
      <x:c r="E177" s="34" t="str">
        <x:v>Coverage</x:v>
      </x:c>
      <x:c r="F177" s="34" t="n">
        <x:v>890</x:v>
      </x:c>
      <x:c r="G177" s="34" t="str">
        <x:v>RECORDED</x:v>
      </x:c>
      <x:c r="H177" s="38" t="n">
        <x:f>IF(ISNUMBER('Data'!G177),'Data'!G177*100,"")</x:f>
        <x:v>3.15</x:v>
      </x:c>
      <x:c r="I177" s="34" t="str">
        <x:v>PASS</x:v>
      </x:c>
      <x:c r="J177" s="34" t="str">
        <x:v>PASS</x:v>
      </x:c>
      <x:c r="K177" s="34" t="str">
        <x:v>PASS</x:v>
      </x:c>
      <x:c r="L177" s="34" t="str">
        <x:v>PASS</x:v>
      </x:c>
      <x:c r="M177" s="34" t="str">
        <x:v>numeric coverage for applicable metric</x:v>
      </x:c>
      <x:c r="N177" s="34" t="str">
        <x:v>Feedback-Directed Random Test Generation/Result/Closure_113/result.json</x:v>
      </x:c>
      <x:c r="O177" s="38" t="n">
        <x:f>IF(AND(G177="RECORDED",ISNUMBER(H177)),H177,"")</x:f>
        <x:v>3.15</x:v>
      </x:c>
      <x:c r="P177" s="34" t="str">
        <x:v>NOT_REVEALING</x:v>
      </x:c>
      <x:c r="Q177" s="34" t="str">
        <x:v>Feedback-Directed Random Test Generation/Result/Closure_113/result.json</x:v>
      </x:c>
    </x:row>
    <x:row r="178">
      <x:c r="A178" s="34" t="str">
        <x:v>randoop</x:v>
      </x:c>
      <x:c r="B178" s="34" t="str">
        <x:v>Closure</x:v>
      </x:c>
      <x:c r="C178" s="34" t="str">
        <x:v>Round1</x:v>
      </x:c>
      <x:c r="D178" s="34" t="str">
        <x:v>Closure_114</x:v>
      </x:c>
      <x:c r="E178" s="34" t="str">
        <x:v>Coverage</x:v>
      </x:c>
      <x:c r="F178" s="34" t="n">
        <x:v>1216</x:v>
      </x:c>
      <x:c r="G178" s="34" t="str">
        <x:v>RECORDED</x:v>
      </x:c>
      <x:c r="H178" s="38" t="n">
        <x:f>IF(ISNUMBER('Data'!G178),'Data'!G178*100,"")</x:f>
        <x:v>4.93</x:v>
      </x:c>
      <x:c r="I178" s="34" t="str">
        <x:v>PASS</x:v>
      </x:c>
      <x:c r="J178" s="34" t="str">
        <x:v>PASS</x:v>
      </x:c>
      <x:c r="K178" s="34" t="str">
        <x:v>PASS</x:v>
      </x:c>
      <x:c r="L178" s="34" t="str">
        <x:v>PASS</x:v>
      </x:c>
      <x:c r="M178" s="34" t="str">
        <x:v>numeric coverage for applicable metric</x:v>
      </x:c>
      <x:c r="N178" s="34" t="str">
        <x:v>Feedback-Directed Random Test Generation/Result/Closure_114/result.json</x:v>
      </x:c>
      <x:c r="O178" s="38" t="n">
        <x:f>IF(AND(G178="RECORDED",ISNUMBER(H178)),H178,"")</x:f>
        <x:v>4.93</x:v>
      </x:c>
      <x:c r="P178" s="34" t="str">
        <x:v>NOT_REVEALING</x:v>
      </x:c>
      <x:c r="Q178" s="34" t="str">
        <x:v>Feedback-Directed Random Test Generation/Result/Closure_114/result.json</x:v>
      </x:c>
    </x:row>
    <x:row r="179">
      <x:c r="A179" s="34" t="str">
        <x:v>randoop</x:v>
      </x:c>
      <x:c r="B179" s="34" t="str">
        <x:v>Closure</x:v>
      </x:c>
      <x:c r="C179" s="34" t="str">
        <x:v>Round1</x:v>
      </x:c>
      <x:c r="D179" s="34" t="str">
        <x:v>Closure_115</x:v>
      </x:c>
      <x:c r="E179" s="34" t="str">
        <x:v>Coverage</x:v>
      </x:c>
      <x:c r="F179" s="34" t="n">
        <x:v>537</x:v>
      </x:c>
      <x:c r="G179" s="34" t="str">
        <x:v>RECORDED</x:v>
      </x:c>
      <x:c r="H179" s="38" t="n">
        <x:f>IF(ISNUMBER('Data'!G179),'Data'!G179*100,"")</x:f>
        <x:v>3.17</x:v>
      </x:c>
      <x:c r="I179" s="34" t="str">
        <x:v>PASS</x:v>
      </x:c>
      <x:c r="J179" s="34" t="str">
        <x:v>PASS</x:v>
      </x:c>
      <x:c r="K179" s="34" t="str">
        <x:v>PASS</x:v>
      </x:c>
      <x:c r="L179" s="34" t="str">
        <x:v>PASS</x:v>
      </x:c>
      <x:c r="M179" s="34" t="str">
        <x:v>numeric coverage for applicable metric</x:v>
      </x:c>
      <x:c r="N179" s="34" t="str">
        <x:v>Feedback-Directed Random Test Generation/Result/Closure_115/result.json</x:v>
      </x:c>
      <x:c r="O179" s="38" t="n">
        <x:f>IF(AND(G179="RECORDED",ISNUMBER(H179)),H179,"")</x:f>
        <x:v>3.17</x:v>
      </x:c>
      <x:c r="P179" s="34" t="str">
        <x:v>NOT_REVEALING</x:v>
      </x:c>
      <x:c r="Q179" s="34" t="str">
        <x:v>Feedback-Directed Random Test Generation/Result/Closure_115/result.json</x:v>
      </x:c>
    </x:row>
    <x:row r="180">
      <x:c r="A180" s="34" t="str">
        <x:v>randoop</x:v>
      </x:c>
      <x:c r="B180" s="34" t="str">
        <x:v>Closure</x:v>
      </x:c>
      <x:c r="C180" s="34" t="str">
        <x:v>Round1</x:v>
      </x:c>
      <x:c r="D180" s="34" t="str">
        <x:v>Closure_116</x:v>
      </x:c>
      <x:c r="E180" s="34" t="str">
        <x:v>Coverage</x:v>
      </x:c>
      <x:c r="F180" s="34" t="n">
        <x:v>521</x:v>
      </x:c>
      <x:c r="G180" s="34" t="str">
        <x:v>RECORDED</x:v>
      </x:c>
      <x:c r="H180" s="38" t="n">
        <x:f>IF(ISNUMBER('Data'!G180),'Data'!G180*100,"")</x:f>
        <x:v>3.26</x:v>
      </x:c>
      <x:c r="I180" s="34" t="str">
        <x:v>PASS</x:v>
      </x:c>
      <x:c r="J180" s="34" t="str">
        <x:v>PASS</x:v>
      </x:c>
      <x:c r="K180" s="34" t="str">
        <x:v>PASS</x:v>
      </x:c>
      <x:c r="L180" s="34" t="str">
        <x:v>PASS</x:v>
      </x:c>
      <x:c r="M180" s="34" t="str">
        <x:v>numeric coverage for applicable metric</x:v>
      </x:c>
      <x:c r="N180" s="34" t="str">
        <x:v>Feedback-Directed Random Test Generation/Result/Closure_116/result.json</x:v>
      </x:c>
      <x:c r="O180" s="38" t="n">
        <x:f>IF(AND(G180="RECORDED",ISNUMBER(H180)),H180,"")</x:f>
        <x:v>3.26</x:v>
      </x:c>
      <x:c r="P180" s="34" t="str">
        <x:v>NOT_REVEALING</x:v>
      </x:c>
      <x:c r="Q180" s="34" t="str">
        <x:v>Feedback-Directed Random Test Generation/Result/Closure_116/result.json</x:v>
      </x:c>
    </x:row>
    <x:row r="181">
      <x:c r="A181" s="34" t="str">
        <x:v>randoop</x:v>
      </x:c>
      <x:c r="B181" s="34" t="str">
        <x:v>Closure</x:v>
      </x:c>
      <x:c r="C181" s="34" t="str">
        <x:v>Round1</x:v>
      </x:c>
      <x:c r="D181" s="34" t="str">
        <x:v>Closure_117</x:v>
      </x:c>
      <x:c r="E181" s="34" t="str">
        <x:v>Coverage</x:v>
      </x:c>
      <x:c r="F181" s="34" t="n">
        <x:v>495</x:v>
      </x:c>
      <x:c r="G181" s="34" t="str">
        <x:v>RECORDED</x:v>
      </x:c>
      <x:c r="H181" s="38" t="n">
        <x:f>IF(ISNUMBER('Data'!G181),'Data'!G181*100,"")</x:f>
        <x:v>4.85</x:v>
      </x:c>
      <x:c r="I181" s="34" t="str">
        <x:v>PASS</x:v>
      </x:c>
      <x:c r="J181" s="34" t="str">
        <x:v>PASS</x:v>
      </x:c>
      <x:c r="K181" s="34" t="str">
        <x:v>PASS</x:v>
      </x:c>
      <x:c r="L181" s="34" t="str">
        <x:v>PASS</x:v>
      </x:c>
      <x:c r="M181" s="34" t="str">
        <x:v>numeric coverage for applicable metric</x:v>
      </x:c>
      <x:c r="N181" s="34" t="str">
        <x:v>Feedback-Directed Random Test Generation/Result/Closure_117/result.json</x:v>
      </x:c>
      <x:c r="O181" s="38" t="n">
        <x:f>IF(AND(G181="RECORDED",ISNUMBER(H181)),H181,"")</x:f>
        <x:v>4.85</x:v>
      </x:c>
      <x:c r="P181" s="34" t="str">
        <x:v>NOT_REVEALING</x:v>
      </x:c>
      <x:c r="Q181" s="34" t="str">
        <x:v>Feedback-Directed Random Test Generation/Result/Closure_117/result.json</x:v>
      </x:c>
    </x:row>
    <x:row r="182">
      <x:c r="A182" s="34" t="str">
        <x:v>randoop</x:v>
      </x:c>
      <x:c r="B182" s="34" t="str">
        <x:v>Closure</x:v>
      </x:c>
      <x:c r="C182" s="34" t="str">
        <x:v>Round1</x:v>
      </x:c>
      <x:c r="D182" s="34" t="str">
        <x:v>Closure_118</x:v>
      </x:c>
      <x:c r="E182" s="34" t="str">
        <x:v>Coverage</x:v>
      </x:c>
      <x:c r="F182" s="34" t="n">
        <x:v>788</x:v>
      </x:c>
      <x:c r="G182" s="34" t="str">
        <x:v>RECORDED</x:v>
      </x:c>
      <x:c r="H182" s="38" t="n">
        <x:f>IF(ISNUMBER('Data'!G182),'Data'!G182*100,"")</x:f>
        <x:v>1.4</x:v>
      </x:c>
      <x:c r="I182" s="34" t="str">
        <x:v>PASS</x:v>
      </x:c>
      <x:c r="J182" s="34" t="str">
        <x:v>PASS</x:v>
      </x:c>
      <x:c r="K182" s="34" t="str">
        <x:v>PASS</x:v>
      </x:c>
      <x:c r="L182" s="34" t="str">
        <x:v>PASS</x:v>
      </x:c>
      <x:c r="M182" s="34" t="str">
        <x:v>numeric coverage for applicable metric</x:v>
      </x:c>
      <x:c r="N182" s="34" t="str">
        <x:v>Feedback-Directed Random Test Generation/Result/Closure_118/result.json</x:v>
      </x:c>
      <x:c r="O182" s="38" t="n">
        <x:f>IF(AND(G182="RECORDED",ISNUMBER(H182)),H182,"")</x:f>
        <x:v>1.4</x:v>
      </x:c>
      <x:c r="P182" s="34" t="str">
        <x:v>NOT_REVEALING</x:v>
      </x:c>
      <x:c r="Q182" s="34" t="str">
        <x:v>Feedback-Directed Random Test Generation/Result/Closure_118/result.json</x:v>
      </x:c>
    </x:row>
    <x:row r="183">
      <x:c r="A183" s="34" t="str">
        <x:v>randoop</x:v>
      </x:c>
      <x:c r="B183" s="34" t="str">
        <x:v>Closure</x:v>
      </x:c>
      <x:c r="C183" s="34" t="str">
        <x:v>Round1</x:v>
      </x:c>
      <x:c r="D183" s="34" t="str">
        <x:v>Closure_119</x:v>
      </x:c>
      <x:c r="E183" s="34" t="str">
        <x:v>Coverage</x:v>
      </x:c>
      <x:c r="F183" s="34" t="n">
        <x:v>842</x:v>
      </x:c>
      <x:c r="G183" s="34" t="str">
        <x:v>RECORDED</x:v>
      </x:c>
      <x:c r="H183" s="38" t="n">
        <x:f>IF(ISNUMBER('Data'!G183),'Data'!G183*100,"")</x:f>
        <x:v>26.839999999999996</x:v>
      </x:c>
      <x:c r="I183" s="34" t="str">
        <x:v>PASS</x:v>
      </x:c>
      <x:c r="J183" s="34" t="str">
        <x:v>PASS</x:v>
      </x:c>
      <x:c r="K183" s="34" t="str">
        <x:v>PASS</x:v>
      </x:c>
      <x:c r="L183" s="34" t="str">
        <x:v>PASS</x:v>
      </x:c>
      <x:c r="M183" s="34" t="str">
        <x:v>numeric coverage for applicable metric</x:v>
      </x:c>
      <x:c r="N183" s="34" t="str">
        <x:v>Feedback-Directed Random Test Generation/Result/Closure_119/result.json</x:v>
      </x:c>
      <x:c r="O183" s="38" t="n">
        <x:f>IF(AND(G183="RECORDED",ISNUMBER(H183)),H183,"")</x:f>
        <x:v>26.839999999999996</x:v>
      </x:c>
      <x:c r="P183" s="34" t="str">
        <x:v>NOT_REVEALING</x:v>
      </x:c>
      <x:c r="Q183" s="34" t="str">
        <x:v>Feedback-Directed Random Test Generation/Result/Closure_119/result.json</x:v>
      </x:c>
    </x:row>
    <x:row r="184">
      <x:c r="A184" s="34" t="str">
        <x:v>randoop</x:v>
      </x:c>
      <x:c r="B184" s="34" t="str">
        <x:v>Closure</x:v>
      </x:c>
      <x:c r="C184" s="34" t="str">
        <x:v>Round1</x:v>
      </x:c>
      <x:c r="D184" s="34" t="str">
        <x:v>Closure_120</x:v>
      </x:c>
      <x:c r="E184" s="34" t="str">
        <x:v>Coverage</x:v>
      </x:c>
      <x:c r="F184" s="34" t="n">
        <x:v>360</x:v>
      </x:c>
      <x:c r="G184" s="34" t="str">
        <x:v>RECORDED</x:v>
      </x:c>
      <x:c r="H184" s="38" t="n">
        <x:f>IF(ISNUMBER('Data'!G184),'Data'!G184*100,"")</x:f>
        <x:v>24.44</x:v>
      </x:c>
      <x:c r="I184" s="34" t="str">
        <x:v>PASS</x:v>
      </x:c>
      <x:c r="J184" s="34" t="str">
        <x:v>PASS</x:v>
      </x:c>
      <x:c r="K184" s="34" t="str">
        <x:v>PASS</x:v>
      </x:c>
      <x:c r="L184" s="34" t="str">
        <x:v>PASS</x:v>
      </x:c>
      <x:c r="M184" s="34" t="str">
        <x:v>numeric coverage for applicable metric</x:v>
      </x:c>
      <x:c r="N184" s="34" t="str">
        <x:v>Feedback-Directed Random Test Generation/Result/Closure_120/result.json</x:v>
      </x:c>
      <x:c r="O184" s="38" t="n">
        <x:f>IF(AND(G184="RECORDED",ISNUMBER(H184)),H184,"")</x:f>
        <x:v>24.44</x:v>
      </x:c>
      <x:c r="P184" s="34" t="str">
        <x:v>NOT_REVEALING</x:v>
      </x:c>
      <x:c r="Q184" s="34" t="str">
        <x:v>Feedback-Directed Random Test Generation/Result/Closure_120/result.json</x:v>
      </x:c>
    </x:row>
    <x:row r="185">
      <x:c r="A185" s="34" t="str">
        <x:v>randoop</x:v>
      </x:c>
      <x:c r="B185" s="34" t="str">
        <x:v>Closure</x:v>
      </x:c>
      <x:c r="C185" s="34" t="str">
        <x:v>Round1</x:v>
      </x:c>
      <x:c r="D185" s="34" t="str">
        <x:v>Closure_121</x:v>
      </x:c>
      <x:c r="E185" s="34" t="str">
        <x:v>Coverage</x:v>
      </x:c>
      <x:c r="F185" s="34" t="n">
        <x:v>533</x:v>
      </x:c>
      <x:c r="G185" s="34" t="str">
        <x:v>RECORDED</x:v>
      </x:c>
      <x:c r="H185" s="38" t="n">
        <x:f>IF(ISNUMBER('Data'!G185),'Data'!G185*100,"")</x:f>
        <x:v>4.88</x:v>
      </x:c>
      <x:c r="I185" s="34" t="str">
        <x:v>PASS</x:v>
      </x:c>
      <x:c r="J185" s="34" t="str">
        <x:v>PASS</x:v>
      </x:c>
      <x:c r="K185" s="34" t="str">
        <x:v>PASS</x:v>
      </x:c>
      <x:c r="L185" s="34" t="str">
        <x:v>PASS</x:v>
      </x:c>
      <x:c r="M185" s="34" t="str">
        <x:v>numeric coverage for applicable metric</x:v>
      </x:c>
      <x:c r="N185" s="34" t="str">
        <x:v>Feedback-Directed Random Test Generation/Result/Closure_121/result.json</x:v>
      </x:c>
      <x:c r="O185" s="38" t="n">
        <x:f>IF(AND(G185="RECORDED",ISNUMBER(H185)),H185,"")</x:f>
        <x:v>4.88</x:v>
      </x:c>
      <x:c r="P185" s="34" t="str">
        <x:v>NOT_REVEALING</x:v>
      </x:c>
      <x:c r="Q185" s="34" t="str">
        <x:v>Feedback-Directed Random Test Generation/Result/Closure_121/result.json</x:v>
      </x:c>
    </x:row>
    <x:row r="186">
      <x:c r="A186" s="34" t="str">
        <x:v>randoop</x:v>
      </x:c>
      <x:c r="B186" s="34" t="str">
        <x:v>Closure</x:v>
      </x:c>
      <x:c r="C186" s="34" t="str">
        <x:v>Round1</x:v>
      </x:c>
      <x:c r="D186" s="34" t="str">
        <x:v>Closure_122</x:v>
      </x:c>
      <x:c r="E186" s="34" t="str">
        <x:v>Coverage</x:v>
      </x:c>
      <x:c r="F186" s="34" t="n">
        <x:v>1049</x:v>
      </x:c>
      <x:c r="G186" s="34" t="str">
        <x:v>RECORDED</x:v>
      </x:c>
      <x:c r="H186" s="38" t="n">
        <x:f>IF(ISNUMBER('Data'!G186),'Data'!G186*100,"")</x:f>
        <x:v>2.57</x:v>
      </x:c>
      <x:c r="I186" s="34" t="str">
        <x:v>PASS</x:v>
      </x:c>
      <x:c r="J186" s="34" t="str">
        <x:v>PASS</x:v>
      </x:c>
      <x:c r="K186" s="34" t="str">
        <x:v>PASS</x:v>
      </x:c>
      <x:c r="L186" s="34" t="str">
        <x:v>PASS</x:v>
      </x:c>
      <x:c r="M186" s="34" t="str">
        <x:v>numeric coverage for applicable metric</x:v>
      </x:c>
      <x:c r="N186" s="34" t="str">
        <x:v>Feedback-Directed Random Test Generation/Result/Closure_122/result.json</x:v>
      </x:c>
      <x:c r="O186" s="38" t="n">
        <x:f>IF(AND(G186="RECORDED",ISNUMBER(H186)),H186,"")</x:f>
        <x:v>2.57</x:v>
      </x:c>
      <x:c r="P186" s="34" t="str">
        <x:v>NOT_REVEALING</x:v>
      </x:c>
      <x:c r="Q186" s="34" t="str">
        <x:v>Feedback-Directed Random Test Generation/Result/Closure_122/result.json</x:v>
      </x:c>
    </x:row>
    <x:row r="187">
      <x:c r="A187" s="34" t="str">
        <x:v>randoop</x:v>
      </x:c>
      <x:c r="B187" s="34" t="str">
        <x:v>Closure</x:v>
      </x:c>
      <x:c r="C187" s="34" t="str">
        <x:v>Round1</x:v>
      </x:c>
      <x:c r="D187" s="34" t="str">
        <x:v>Closure_123</x:v>
      </x:c>
      <x:c r="E187" s="34" t="str">
        <x:v>Coverage</x:v>
      </x:c>
      <x:c r="F187" s="34" t="n">
        <x:v>1135</x:v>
      </x:c>
      <x:c r="G187" s="34" t="str">
        <x:v>RECORDED</x:v>
      </x:c>
      <x:c r="H187" s="38" t="n">
        <x:f>IF(ISNUMBER('Data'!G187),'Data'!G187*100,"")</x:f>
        <x:v>7.31</x:v>
      </x:c>
      <x:c r="I187" s="34" t="str">
        <x:v>PASS</x:v>
      </x:c>
      <x:c r="J187" s="34" t="str">
        <x:v>PASS</x:v>
      </x:c>
      <x:c r="K187" s="34" t="str">
        <x:v>PASS</x:v>
      </x:c>
      <x:c r="L187" s="34" t="str">
        <x:v>PASS</x:v>
      </x:c>
      <x:c r="M187" s="34" t="str">
        <x:v>numeric coverage for applicable metric</x:v>
      </x:c>
      <x:c r="N187" s="34" t="str">
        <x:v>Feedback-Directed Random Test Generation/Result/Closure_123/result.json</x:v>
      </x:c>
      <x:c r="O187" s="38" t="n">
        <x:f>IF(AND(G187="RECORDED",ISNUMBER(H187)),H187,"")</x:f>
        <x:v>7.31</x:v>
      </x:c>
      <x:c r="P187" s="34" t="str">
        <x:v>NOT_REVEALING</x:v>
      </x:c>
      <x:c r="Q187" s="34" t="str">
        <x:v>Feedback-Directed Random Test Generation/Result/Closure_123/result.json</x:v>
      </x:c>
    </x:row>
    <x:row r="188">
      <x:c r="A188" s="34" t="str">
        <x:v>randoop</x:v>
      </x:c>
      <x:c r="B188" s="34" t="str">
        <x:v>Closure</x:v>
      </x:c>
      <x:c r="C188" s="34" t="str">
        <x:v>Round1</x:v>
      </x:c>
      <x:c r="D188" s="34" t="str">
        <x:v>Closure_124</x:v>
      </x:c>
      <x:c r="E188" s="34" t="str">
        <x:v>Coverage</x:v>
      </x:c>
      <x:c r="F188" s="34" t="n">
        <x:v>146</x:v>
      </x:c>
      <x:c r="G188" s="34" t="str">
        <x:v>RECORDED</x:v>
      </x:c>
      <x:c r="H188" s="38" t="n">
        <x:f>IF(ISNUMBER('Data'!G188),'Data'!G188*100,"")</x:f>
        <x:v>1.37</x:v>
      </x:c>
      <x:c r="I188" s="34" t="str">
        <x:v>PASS</x:v>
      </x:c>
      <x:c r="J188" s="34" t="str">
        <x:v>PASS</x:v>
      </x:c>
      <x:c r="K188" s="34" t="str">
        <x:v>PASS</x:v>
      </x:c>
      <x:c r="L188" s="34" t="str">
        <x:v>PASS</x:v>
      </x:c>
      <x:c r="M188" s="34" t="str">
        <x:v>numeric coverage for applicable metric</x:v>
      </x:c>
      <x:c r="N188" s="34" t="str">
        <x:v>Feedback-Directed Random Test Generation/Result/Closure_124/result.json</x:v>
      </x:c>
      <x:c r="O188" s="38" t="n">
        <x:f>IF(AND(G188="RECORDED",ISNUMBER(H188)),H188,"")</x:f>
        <x:v>1.37</x:v>
      </x:c>
      <x:c r="P188" s="34" t="str">
        <x:v>NOT_REVEALING</x:v>
      </x:c>
      <x:c r="Q188" s="34" t="str">
        <x:v>Feedback-Directed Random Test Generation/Result/Closure_124/result.json</x:v>
      </x:c>
    </x:row>
    <x:row r="189">
      <x:c r="A189" s="34" t="str">
        <x:v>randoop</x:v>
      </x:c>
      <x:c r="B189" s="34" t="str">
        <x:v>Closure</x:v>
      </x:c>
      <x:c r="C189" s="34" t="str">
        <x:v>Round1</x:v>
      </x:c>
      <x:c r="D189" s="34" t="str">
        <x:v>Closure_125</x:v>
      </x:c>
      <x:c r="E189" s="34" t="str">
        <x:v>Coverage</x:v>
      </x:c>
      <x:c r="F189" s="34" t="n">
        <x:v>1516</x:v>
      </x:c>
      <x:c r="G189" s="34" t="str">
        <x:v>RECORDED</x:v>
      </x:c>
      <x:c r="H189" s="38" t="n">
        <x:f>IF(ISNUMBER('Data'!G189),'Data'!G189*100,"")</x:f>
        <x:v>4.95</x:v>
      </x:c>
      <x:c r="I189" s="34" t="str">
        <x:v>PASS</x:v>
      </x:c>
      <x:c r="J189" s="34" t="str">
        <x:v>PASS</x:v>
      </x:c>
      <x:c r="K189" s="34" t="str">
        <x:v>PASS</x:v>
      </x:c>
      <x:c r="L189" s="34" t="str">
        <x:v>PASS</x:v>
      </x:c>
      <x:c r="M189" s="34" t="str">
        <x:v>numeric coverage for applicable metric</x:v>
      </x:c>
      <x:c r="N189" s="34" t="str">
        <x:v>Feedback-Directed Random Test Generation/Result/Closure_125/result.json</x:v>
      </x:c>
      <x:c r="O189" s="38" t="n">
        <x:f>IF(AND(G189="RECORDED",ISNUMBER(H189)),H189,"")</x:f>
        <x:v>4.95</x:v>
      </x:c>
      <x:c r="P189" s="34" t="str">
        <x:v>NOT_REVEALING</x:v>
      </x:c>
      <x:c r="Q189" s="34" t="str">
        <x:v>Feedback-Directed Random Test Generation/Result/Closure_125/result.json</x:v>
      </x:c>
    </x:row>
    <x:row r="190">
      <x:c r="A190" s="34" t="str">
        <x:v>randoop</x:v>
      </x:c>
      <x:c r="B190" s="34" t="str">
        <x:v>Closure</x:v>
      </x:c>
      <x:c r="C190" s="34" t="str">
        <x:v>Round1</x:v>
      </x:c>
      <x:c r="D190" s="34" t="str">
        <x:v>Closure_126</x:v>
      </x:c>
      <x:c r="E190" s="34" t="str">
        <x:v>Coverage</x:v>
      </x:c>
      <x:c r="F190" s="34" t="n">
        <x:v>171</x:v>
      </x:c>
      <x:c r="G190" s="34" t="str">
        <x:v>RECORDED</x:v>
      </x:c>
      <x:c r="H190" s="38" t="n">
        <x:f>IF(ISNUMBER('Data'!G190),'Data'!G190*100,"")</x:f>
        <x:v>4.09</x:v>
      </x:c>
      <x:c r="I190" s="34" t="str">
        <x:v>PASS</x:v>
      </x:c>
      <x:c r="J190" s="34" t="str">
        <x:v>PASS</x:v>
      </x:c>
      <x:c r="K190" s="34" t="str">
        <x:v>PASS</x:v>
      </x:c>
      <x:c r="L190" s="34" t="str">
        <x:v>PASS</x:v>
      </x:c>
      <x:c r="M190" s="34" t="str">
        <x:v>numeric coverage for applicable metric</x:v>
      </x:c>
      <x:c r="N190" s="34" t="str">
        <x:v>Feedback-Directed Random Test Generation/Result/Closure_126/result.json</x:v>
      </x:c>
      <x:c r="O190" s="38" t="n">
        <x:f>IF(AND(G190="RECORDED",ISNUMBER(H190)),H190,"")</x:f>
        <x:v>4.09</x:v>
      </x:c>
      <x:c r="P190" s="34" t="str">
        <x:v>NOT_REVEALING</x:v>
      </x:c>
      <x:c r="Q190" s="34" t="str">
        <x:v>Feedback-Directed Random Test Generation/Result/Closure_126/result.json</x:v>
      </x:c>
    </x:row>
    <x:row r="191">
      <x:c r="A191" s="34" t="str">
        <x:v>randoop</x:v>
      </x:c>
      <x:c r="B191" s="34" t="str">
        <x:v>Closure</x:v>
      </x:c>
      <x:c r="C191" s="34" t="str">
        <x:v>Round1</x:v>
      </x:c>
      <x:c r="D191" s="34" t="str">
        <x:v>Closure_127</x:v>
      </x:c>
      <x:c r="E191" s="34" t="str">
        <x:v>Coverage</x:v>
      </x:c>
      <x:c r="F191" s="34" t="n">
        <x:v>147</x:v>
      </x:c>
      <x:c r="G191" s="34" t="str">
        <x:v>RECORDED</x:v>
      </x:c>
      <x:c r="H191" s="38" t="n">
        <x:f>IF(ISNUMBER('Data'!G191),'Data'!G191*100,"")</x:f>
        <x:v>5.44</x:v>
      </x:c>
      <x:c r="I191" s="34" t="str">
        <x:v>PASS</x:v>
      </x:c>
      <x:c r="J191" s="34" t="str">
        <x:v>PASS</x:v>
      </x:c>
      <x:c r="K191" s="34" t="str">
        <x:v>PASS</x:v>
      </x:c>
      <x:c r="L191" s="34" t="str">
        <x:v>PASS</x:v>
      </x:c>
      <x:c r="M191" s="34" t="str">
        <x:v>numeric coverage for applicable metric</x:v>
      </x:c>
      <x:c r="N191" s="34" t="str">
        <x:v>Feedback-Directed Random Test Generation/Result/Closure_127/result.json</x:v>
      </x:c>
      <x:c r="O191" s="38" t="n">
        <x:f>IF(AND(G191="RECORDED",ISNUMBER(H191)),H191,"")</x:f>
        <x:v>5.44</x:v>
      </x:c>
      <x:c r="P191" s="34" t="str">
        <x:v>NOT_REVEALING</x:v>
      </x:c>
      <x:c r="Q191" s="34" t="str">
        <x:v>Feedback-Directed Random Test Generation/Result/Closure_127/result.json</x:v>
      </x:c>
    </x:row>
    <x:row r="192">
      <x:c r="A192" s="34" t="str">
        <x:v>randoop</x:v>
      </x:c>
      <x:c r="B192" s="34" t="str">
        <x:v>Closure</x:v>
      </x:c>
      <x:c r="C192" s="34" t="str">
        <x:v>Round1</x:v>
      </x:c>
      <x:c r="D192" s="34" t="str">
        <x:v>Closure_128</x:v>
      </x:c>
      <x:c r="E192" s="34" t="str">
        <x:v>Coverage</x:v>
      </x:c>
      <x:c r="F192" s="34" t="n">
        <x:v>1115</x:v>
      </x:c>
      <x:c r="G192" s="34" t="str">
        <x:v>RECORDED</x:v>
      </x:c>
      <x:c r="H192" s="38" t="n">
        <x:f>IF(ISNUMBER('Data'!G192),'Data'!G192*100,"")</x:f>
        <x:v>7.26</x:v>
      </x:c>
      <x:c r="I192" s="34" t="str">
        <x:v>PASS</x:v>
      </x:c>
      <x:c r="J192" s="34" t="str">
        <x:v>PASS</x:v>
      </x:c>
      <x:c r="K192" s="34" t="str">
        <x:v>PASS</x:v>
      </x:c>
      <x:c r="L192" s="34" t="str">
        <x:v>PASS</x:v>
      </x:c>
      <x:c r="M192" s="34" t="str">
        <x:v>numeric coverage for applicable metric</x:v>
      </x:c>
      <x:c r="N192" s="34" t="str">
        <x:v>Feedback-Directed Random Test Generation/Result/Closure_128/result.json</x:v>
      </x:c>
      <x:c r="O192" s="38" t="n">
        <x:f>IF(AND(G192="RECORDED",ISNUMBER(H192)),H192,"")</x:f>
        <x:v>7.26</x:v>
      </x:c>
      <x:c r="P192" s="34" t="str">
        <x:v>NOT_REVEALING</x:v>
      </x:c>
      <x:c r="Q192" s="34" t="str">
        <x:v>Feedback-Directed Random Test Generation/Result/Closure_128/result.json</x:v>
      </x:c>
    </x:row>
    <x:row r="193">
      <x:c r="A193" s="34" t="str">
        <x:v>randoop</x:v>
      </x:c>
      <x:c r="B193" s="34" t="str">
        <x:v>Closure</x:v>
      </x:c>
      <x:c r="C193" s="34" t="str">
        <x:v>Round1</x:v>
      </x:c>
      <x:c r="D193" s="34" t="str">
        <x:v>Closure_129</x:v>
      </x:c>
      <x:c r="E193" s="34" t="str">
        <x:v>Coverage</x:v>
      </x:c>
      <x:c r="F193" s="34" t="n">
        <x:v>123</x:v>
      </x:c>
      <x:c r="G193" s="34" t="str">
        <x:v>RECORDED</x:v>
      </x:c>
      <x:c r="H193" s="38" t="n">
        <x:f>IF(ISNUMBER('Data'!G193),'Data'!G193*100,"")</x:f>
        <x:v>17.07</x:v>
      </x:c>
      <x:c r="I193" s="34" t="str">
        <x:v>PASS</x:v>
      </x:c>
      <x:c r="J193" s="34" t="str">
        <x:v>PASS</x:v>
      </x:c>
      <x:c r="K193" s="34" t="str">
        <x:v>PASS</x:v>
      </x:c>
      <x:c r="L193" s="34" t="str">
        <x:v>PASS</x:v>
      </x:c>
      <x:c r="M193" s="34" t="str">
        <x:v>numeric coverage for applicable metric</x:v>
      </x:c>
      <x:c r="N193" s="34" t="str">
        <x:v>Feedback-Directed Random Test Generation/Result/Closure_129/result.json</x:v>
      </x:c>
      <x:c r="O193" s="38" t="n">
        <x:f>IF(AND(G193="RECORDED",ISNUMBER(H193)),H193,"")</x:f>
        <x:v>17.07</x:v>
      </x:c>
      <x:c r="P193" s="34" t="str">
        <x:v>NOT_REVEALING</x:v>
      </x:c>
      <x:c r="Q193" s="34" t="str">
        <x:v>Feedback-Directed Random Test Generation/Result/Closure_129/result.json</x:v>
      </x:c>
    </x:row>
    <x:row r="194">
      <x:c r="A194" s="34" t="str">
        <x:v>randoop</x:v>
      </x:c>
      <x:c r="B194" s="34" t="str">
        <x:v>Closure</x:v>
      </x:c>
      <x:c r="C194" s="34" t="str">
        <x:v>Round1</x:v>
      </x:c>
      <x:c r="D194" s="34" t="str">
        <x:v>Closure_130</x:v>
      </x:c>
      <x:c r="E194" s="34" t="str">
        <x:v>Coverage</x:v>
      </x:c>
      <x:c r="F194" s="34" t="n">
        <x:v>635</x:v>
      </x:c>
      <x:c r="G194" s="34" t="str">
        <x:v>RECORDED</x:v>
      </x:c>
      <x:c r="H194" s="38" t="n">
        <x:f>IF(ISNUMBER('Data'!G194),'Data'!G194*100,"")</x:f>
        <x:v>3.3099999999999996</x:v>
      </x:c>
      <x:c r="I194" s="34" t="str">
        <x:v>PASS</x:v>
      </x:c>
      <x:c r="J194" s="34" t="str">
        <x:v>PASS</x:v>
      </x:c>
      <x:c r="K194" s="34" t="str">
        <x:v>PASS</x:v>
      </x:c>
      <x:c r="L194" s="34" t="str">
        <x:v>PASS</x:v>
      </x:c>
      <x:c r="M194" s="34" t="str">
        <x:v>numeric coverage for applicable metric</x:v>
      </x:c>
      <x:c r="N194" s="34" t="str">
        <x:v>Feedback-Directed Random Test Generation/Result/Closure_130/result.json</x:v>
      </x:c>
      <x:c r="O194" s="38" t="n">
        <x:f>IF(AND(G194="RECORDED",ISNUMBER(H194)),H194,"")</x:f>
        <x:v>3.3099999999999996</x:v>
      </x:c>
      <x:c r="P194" s="34" t="str">
        <x:v>NOT_REVEALING</x:v>
      </x:c>
      <x:c r="Q194" s="34" t="str">
        <x:v>Feedback-Directed Random Test Generation/Result/Closure_130/result.json</x:v>
      </x:c>
    </x:row>
    <x:row r="195">
      <x:c r="A195" s="34" t="str">
        <x:v>randoop</x:v>
      </x:c>
      <x:c r="B195" s="34" t="str">
        <x:v>Closure</x:v>
      </x:c>
      <x:c r="C195" s="34" t="str">
        <x:v>Round1</x:v>
      </x:c>
      <x:c r="D195" s="34" t="str">
        <x:v>Closure_131</x:v>
      </x:c>
      <x:c r="E195" s="34" t="str">
        <x:v>Coverage</x:v>
      </x:c>
      <x:c r="F195" s="34" t="n">
        <x:v>278</x:v>
      </x:c>
      <x:c r="G195" s="34" t="str">
        <x:v>RECORDED</x:v>
      </x:c>
      <x:c r="H195" s="38" t="n">
        <x:f>IF(ISNUMBER('Data'!G195),'Data'!G195*100,"")</x:f>
        <x:v>9.71</x:v>
      </x:c>
      <x:c r="I195" s="34" t="str">
        <x:v>PASS</x:v>
      </x:c>
      <x:c r="J195" s="34" t="str">
        <x:v>PASS</x:v>
      </x:c>
      <x:c r="K195" s="34" t="str">
        <x:v>PASS</x:v>
      </x:c>
      <x:c r="L195" s="34" t="str">
        <x:v>PASS</x:v>
      </x:c>
      <x:c r="M195" s="34" t="str">
        <x:v>numeric coverage for applicable metric</x:v>
      </x:c>
      <x:c r="N195" s="34" t="str">
        <x:v>Feedback-Directed Random Test Generation/Result/Closure_131/result.json</x:v>
      </x:c>
      <x:c r="O195" s="38" t="n">
        <x:f>IF(AND(G195="RECORDED",ISNUMBER(H195)),H195,"")</x:f>
        <x:v>9.71</x:v>
      </x:c>
      <x:c r="P195" s="34" t="str">
        <x:v>NOT_REVEALING</x:v>
      </x:c>
      <x:c r="Q195" s="34" t="str">
        <x:v>Feedback-Directed Random Test Generation/Result/Closure_131/result.json</x:v>
      </x:c>
    </x:row>
    <x:row r="196">
      <x:c r="A196" s="34" t="str">
        <x:v>randoop</x:v>
      </x:c>
      <x:c r="B196" s="34" t="str">
        <x:v>Closure</x:v>
      </x:c>
      <x:c r="C196" s="34" t="str">
        <x:v>Round1</x:v>
      </x:c>
      <x:c r="D196" s="34" t="str">
        <x:v>Closure_132</x:v>
      </x:c>
      <x:c r="E196" s="34" t="str">
        <x:v>Coverage</x:v>
      </x:c>
      <x:c r="F196" s="34" t="n">
        <x:v>1287</x:v>
      </x:c>
      <x:c r="G196" s="34" t="str">
        <x:v>RECORDED</x:v>
      </x:c>
      <x:c r="H196" s="38" t="n">
        <x:f>IF(ISNUMBER('Data'!G196),'Data'!G196*100,"")</x:f>
        <x:v>2.25</x:v>
      </x:c>
      <x:c r="I196" s="34" t="str">
        <x:v>PASS</x:v>
      </x:c>
      <x:c r="J196" s="34" t="str">
        <x:v>PASS</x:v>
      </x:c>
      <x:c r="K196" s="34" t="str">
        <x:v>PASS</x:v>
      </x:c>
      <x:c r="L196" s="34" t="str">
        <x:v>PASS</x:v>
      </x:c>
      <x:c r="M196" s="34" t="str">
        <x:v>numeric coverage for applicable metric</x:v>
      </x:c>
      <x:c r="N196" s="34" t="str">
        <x:v>Feedback-Directed Random Test Generation/Result/Closure_132/result.json</x:v>
      </x:c>
      <x:c r="O196" s="38" t="n">
        <x:f>IF(AND(G196="RECORDED",ISNUMBER(H196)),H196,"")</x:f>
        <x:v>2.25</x:v>
      </x:c>
      <x:c r="P196" s="34" t="str">
        <x:v>NOT_REVEALING</x:v>
      </x:c>
      <x:c r="Q196" s="34" t="str">
        <x:v>Feedback-Directed Random Test Generation/Result/Closure_132/result.json</x:v>
      </x:c>
    </x:row>
    <x:row r="197">
      <x:c r="A197" s="34" t="str">
        <x:v>randoop</x:v>
      </x:c>
      <x:c r="B197" s="34" t="str">
        <x:v>Closure</x:v>
      </x:c>
      <x:c r="C197" s="34" t="str">
        <x:v>Round1</x:v>
      </x:c>
      <x:c r="D197" s="34" t="str">
        <x:v>Closure_133</x:v>
      </x:c>
      <x:c r="E197" s="34" t="str">
        <x:v>Coverage</x:v>
      </x:c>
      <x:c r="F197" s="34" t="n">
        <x:v>1744</x:v>
      </x:c>
      <x:c r="G197" s="34" t="str">
        <x:v>RECORDED</x:v>
      </x:c>
      <x:c r="H197" s="38" t="n">
        <x:f>IF(ISNUMBER('Data'!G197),'Data'!G197*100,"")</x:f>
        <x:v>6.77</x:v>
      </x:c>
      <x:c r="I197" s="34" t="str">
        <x:v>PASS</x:v>
      </x:c>
      <x:c r="J197" s="34" t="str">
        <x:v>PASS</x:v>
      </x:c>
      <x:c r="K197" s="34" t="str">
        <x:v>PASS</x:v>
      </x:c>
      <x:c r="L197" s="34" t="str">
        <x:v>PASS</x:v>
      </x:c>
      <x:c r="M197" s="34" t="str">
        <x:v>numeric coverage for applicable metric</x:v>
      </x:c>
      <x:c r="N197" s="34" t="str">
        <x:v>Feedback-Directed Random Test Generation/Result/Closure_133/result.json</x:v>
      </x:c>
      <x:c r="O197" s="38" t="n">
        <x:f>IF(AND(G197="RECORDED",ISNUMBER(H197)),H197,"")</x:f>
        <x:v>6.77</x:v>
      </x:c>
      <x:c r="P197" s="34" t="str">
        <x:v>NOT_REVEALING</x:v>
      </x:c>
      <x:c r="Q197" s="34" t="str">
        <x:v>Feedback-Directed Random Test Generation/Result/Closure_133/result.json</x:v>
      </x:c>
    </x:row>
    <x:row r="198">
      <x:c r="A198" s="34" t="str">
        <x:v>randoop</x:v>
      </x:c>
      <x:c r="B198" s="34" t="str">
        <x:v>Closure</x:v>
      </x:c>
      <x:c r="C198" s="34" t="str">
        <x:v>Round1</x:v>
      </x:c>
      <x:c r="D198" s="34" t="str">
        <x:v>Closure_134</x:v>
      </x:c>
      <x:c r="E198" s="34" t="str">
        <x:v>Coverage</x:v>
      </x:c>
      <x:c r="F198" s="34" t="n">
        <x:v>1415</x:v>
      </x:c>
      <x:c r="G198" s="34" t="str">
        <x:v>RECORDED</x:v>
      </x:c>
      <x:c r="H198" s="38" t="n">
        <x:f>IF(ISNUMBER('Data'!G198),'Data'!G198*100,"")</x:f>
        <x:v>1.91</x:v>
      </x:c>
      <x:c r="I198" s="34" t="str">
        <x:v>PASS</x:v>
      </x:c>
      <x:c r="J198" s="34" t="str">
        <x:v>PASS</x:v>
      </x:c>
      <x:c r="K198" s="34" t="str">
        <x:v>PASS</x:v>
      </x:c>
      <x:c r="L198" s="34" t="str">
        <x:v>PASS</x:v>
      </x:c>
      <x:c r="M198" s="34" t="str">
        <x:v>numeric coverage for applicable metric</x:v>
      </x:c>
      <x:c r="N198" s="34" t="str">
        <x:v>Feedback-Directed Random Test Generation/Result/Closure_134/result.json</x:v>
      </x:c>
      <x:c r="O198" s="38" t="n">
        <x:f>IF(AND(G198="RECORDED",ISNUMBER(H198)),H198,"")</x:f>
        <x:v>1.91</x:v>
      </x:c>
      <x:c r="P198" s="34" t="str">
        <x:v>NOT_REVEALING</x:v>
      </x:c>
      <x:c r="Q198" s="34" t="str">
        <x:v>Feedback-Directed Random Test Generation/Result/Closure_134/result.json</x:v>
      </x:c>
    </x:row>
    <x:row r="199">
      <x:c r="A199" s="34" t="str">
        <x:v>randoop</x:v>
      </x:c>
      <x:c r="B199" s="34" t="str">
        <x:v>Closure</x:v>
      </x:c>
      <x:c r="C199" s="34" t="str">
        <x:v>Round1</x:v>
      </x:c>
      <x:c r="D199" s="34" t="str">
        <x:v>Closure_135</x:v>
      </x:c>
      <x:c r="E199" s="34" t="str">
        <x:v>Coverage</x:v>
      </x:c>
      <x:c r="F199" s="34" t="n">
        <x:v>742</x:v>
      </x:c>
      <x:c r="G199" s="34" t="str">
        <x:v>RECORDED</x:v>
      </x:c>
      <x:c r="H199" s="38" t="n">
        <x:f>IF(ISNUMBER('Data'!G199),'Data'!G199*100,"")</x:f>
        <x:v>1.35</x:v>
      </x:c>
      <x:c r="I199" s="34" t="str">
        <x:v>PASS</x:v>
      </x:c>
      <x:c r="J199" s="34" t="str">
        <x:v>PASS</x:v>
      </x:c>
      <x:c r="K199" s="34" t="str">
        <x:v>PASS</x:v>
      </x:c>
      <x:c r="L199" s="34" t="str">
        <x:v>PASS</x:v>
      </x:c>
      <x:c r="M199" s="34" t="str">
        <x:v>numeric coverage for applicable metric</x:v>
      </x:c>
      <x:c r="N199" s="34" t="str">
        <x:v>Feedback-Directed Random Test Generation/Result/Closure_135/result.json</x:v>
      </x:c>
      <x:c r="O199" s="38" t="n">
        <x:f>IF(AND(G199="RECORDED",ISNUMBER(H199)),H199,"")</x:f>
        <x:v>1.35</x:v>
      </x:c>
      <x:c r="P199" s="34" t="str">
        <x:v>NOT_REVEALING</x:v>
      </x:c>
      <x:c r="Q199" s="34" t="str">
        <x:v>Feedback-Directed Random Test Generation/Result/Closure_135/result.json</x:v>
      </x:c>
    </x:row>
    <x:row r="200">
      <x:c r="A200" s="34" t="str">
        <x:v>randoop</x:v>
      </x:c>
      <x:c r="B200" s="34" t="str">
        <x:v>Closure</x:v>
      </x:c>
      <x:c r="C200" s="34" t="str">
        <x:v>Round1</x:v>
      </x:c>
      <x:c r="D200" s="34" t="str">
        <x:v>Closure_136</x:v>
      </x:c>
      <x:c r="E200" s="34" t="str">
        <x:v>Coverage</x:v>
      </x:c>
      <x:c r="F200" s="34" t="n">
        <x:v>413</x:v>
      </x:c>
      <x:c r="G200" s="34" t="str">
        <x:v>RECORDED</x:v>
      </x:c>
      <x:c r="H200" s="38" t="n">
        <x:f>IF(ISNUMBER('Data'!G200),'Data'!G200*100,"")</x:f>
        <x:v>13.08</x:v>
      </x:c>
      <x:c r="I200" s="34" t="str">
        <x:v>PASS</x:v>
      </x:c>
      <x:c r="J200" s="34" t="str">
        <x:v>PASS</x:v>
      </x:c>
      <x:c r="K200" s="34" t="str">
        <x:v>PASS</x:v>
      </x:c>
      <x:c r="L200" s="34" t="str">
        <x:v>PASS</x:v>
      </x:c>
      <x:c r="M200" s="34" t="str">
        <x:v>numeric coverage for applicable metric</x:v>
      </x:c>
      <x:c r="N200" s="34" t="str">
        <x:v>Feedback-Directed Random Test Generation/Result/Closure_136/result.json</x:v>
      </x:c>
      <x:c r="O200" s="38" t="n">
        <x:f>IF(AND(G200="RECORDED",ISNUMBER(H200)),H200,"")</x:f>
        <x:v>13.08</x:v>
      </x:c>
      <x:c r="P200" s="34" t="str">
        <x:v>NOT_REVEALING</x:v>
      </x:c>
      <x:c r="Q200" s="34" t="str">
        <x:v>Feedback-Directed Random Test Generation/Result/Closure_136/result.json</x:v>
      </x:c>
    </x:row>
    <x:row r="201">
      <x:c r="A201" s="34" t="str">
        <x:v>randoop</x:v>
      </x:c>
      <x:c r="B201" s="34" t="str">
        <x:v>Closure</x:v>
      </x:c>
      <x:c r="C201" s="34" t="str">
        <x:v>Round1</x:v>
      </x:c>
      <x:c r="D201" s="34" t="str">
        <x:v>Closure_137</x:v>
      </x:c>
      <x:c r="E201" s="34" t="str">
        <x:v>Coverage</x:v>
      </x:c>
      <x:c r="F201" s="34" t="n">
        <x:v>1624</x:v>
      </x:c>
      <x:c r="G201" s="34" t="str">
        <x:v>RECORDED</x:v>
      </x:c>
      <x:c r="H201" s="38" t="n">
        <x:f>IF(ISNUMBER('Data'!G201),'Data'!G201*100,"")</x:f>
        <x:v>36.45</x:v>
      </x:c>
      <x:c r="I201" s="34" t="str">
        <x:v>PASS</x:v>
      </x:c>
      <x:c r="J201" s="34" t="str">
        <x:v>PASS</x:v>
      </x:c>
      <x:c r="K201" s="34" t="str">
        <x:v>PASS</x:v>
      </x:c>
      <x:c r="L201" s="34" t="str">
        <x:v>FAIL</x:v>
      </x:c>
      <x:c r="M201" s="34" t="str">
        <x:v>numeric coverage for applicable metric</x:v>
      </x:c>
      <x:c r="N201" s="34" t="str">
        <x:v>Feedback-Directed Random Test Generation/Result/Closure_137/result.json</x:v>
      </x:c>
      <x:c r="O201" s="38" t="n">
        <x:f>IF(AND(G201="RECORDED",ISNUMBER(H201)),H201,"")</x:f>
        <x:v>36.45</x:v>
      </x:c>
      <x:c r="P201" s="34" t="str">
        <x:v>INCONCLUSIVE</x:v>
      </x:c>
      <x:c r="Q201" s="34" t="str">
        <x:v>Feedback-Directed Random Test Generation/Result/Closure_137/result.json</x:v>
      </x:c>
    </x:row>
    <x:row r="202">
      <x:c r="A202" s="34" t="str">
        <x:v>randoop</x:v>
      </x:c>
      <x:c r="B202" s="34" t="str">
        <x:v>Closure</x:v>
      </x:c>
      <x:c r="C202" s="34" t="str">
        <x:v>Round1</x:v>
      </x:c>
      <x:c r="D202" s="34" t="str">
        <x:v>Closure_138</x:v>
      </x:c>
      <x:c r="E202" s="34" t="str">
        <x:v>Coverage</x:v>
      </x:c>
      <x:c r="F202" s="34" t="n">
        <x:v>978</x:v>
      </x:c>
      <x:c r="G202" s="34" t="str">
        <x:v>RECORDED</x:v>
      </x:c>
      <x:c r="H202" s="38" t="n">
        <x:f>IF(ISNUMBER('Data'!G202),'Data'!G202*100,"")</x:f>
        <x:v>0.1</x:v>
      </x:c>
      <x:c r="I202" s="34" t="str">
        <x:v>PASS</x:v>
      </x:c>
      <x:c r="J202" s="34" t="str">
        <x:v>PASS</x:v>
      </x:c>
      <x:c r="K202" s="34" t="str">
        <x:v>PASS</x:v>
      </x:c>
      <x:c r="L202" s="34" t="str">
        <x:v>PASS</x:v>
      </x:c>
      <x:c r="M202" s="34" t="str">
        <x:v>numeric coverage for applicable metric</x:v>
      </x:c>
      <x:c r="N202" s="34" t="str">
        <x:v>Feedback-Directed Random Test Generation/Result/Closure_138/result.json</x:v>
      </x:c>
      <x:c r="O202" s="38" t="n">
        <x:f>IF(AND(G202="RECORDED",ISNUMBER(H202)),H202,"")</x:f>
        <x:v>0.1</x:v>
      </x:c>
      <x:c r="P202" s="34" t="str">
        <x:v>NOT_REVEALING</x:v>
      </x:c>
      <x:c r="Q202" s="34" t="str">
        <x:v>Feedback-Directed Random Test Generation/Result/Closure_138/result.json</x:v>
      </x:c>
    </x:row>
    <x:row r="203">
      <x:c r="A203" s="34" t="str">
        <x:v>randoop</x:v>
      </x:c>
      <x:c r="B203" s="34" t="str">
        <x:v>Closure</x:v>
      </x:c>
      <x:c r="C203" s="34" t="str">
        <x:v>Round1</x:v>
      </x:c>
      <x:c r="D203" s="34" t="str">
        <x:v>Closure_139</x:v>
      </x:c>
      <x:c r="E203" s="34" t="str">
        <x:v>Coverage</x:v>
      </x:c>
      <x:c r="F203" s="34" t="n">
        <x:v>308</x:v>
      </x:c>
      <x:c r="G203" s="34" t="str">
        <x:v>RECORDED</x:v>
      </x:c>
      <x:c r="H203" s="38" t="n">
        <x:f>IF(ISNUMBER('Data'!G203),'Data'!G203*100,"")</x:f>
        <x:v>8.12</x:v>
      </x:c>
      <x:c r="I203" s="34" t="str">
        <x:v>PASS</x:v>
      </x:c>
      <x:c r="J203" s="34" t="str">
        <x:v>PASS</x:v>
      </x:c>
      <x:c r="K203" s="34" t="str">
        <x:v>PASS</x:v>
      </x:c>
      <x:c r="L203" s="34" t="str">
        <x:v>PASS</x:v>
      </x:c>
      <x:c r="M203" s="34" t="str">
        <x:v>numeric coverage for applicable metric</x:v>
      </x:c>
      <x:c r="N203" s="34" t="str">
        <x:v>Feedback-Directed Random Test Generation/Result/Closure_139/result.json</x:v>
      </x:c>
      <x:c r="O203" s="38" t="n">
        <x:f>IF(AND(G203="RECORDED",ISNUMBER(H203)),H203,"")</x:f>
        <x:v>8.12</x:v>
      </x:c>
      <x:c r="P203" s="34" t="str">
        <x:v>NOT_REVEALING</x:v>
      </x:c>
      <x:c r="Q203" s="34" t="str">
        <x:v>Feedback-Directed Random Test Generation/Result/Closure_139/result.json</x:v>
      </x:c>
    </x:row>
    <x:row r="204">
      <x:c r="A204" s="34" t="str">
        <x:v>randoop</x:v>
      </x:c>
      <x:c r="B204" s="34" t="str">
        <x:v>Closure</x:v>
      </x:c>
      <x:c r="C204" s="34" t="str">
        <x:v>Round1</x:v>
      </x:c>
      <x:c r="D204" s="34" t="str">
        <x:v>Closure_140</x:v>
      </x:c>
      <x:c r="E204" s="34" t="str">
        <x:v>Coverage</x:v>
      </x:c>
      <x:c r="F204" s="34" t="n">
        <x:v>901</x:v>
      </x:c>
      <x:c r="G204" s="34" t="str">
        <x:v>RECORDED</x:v>
      </x:c>
      <x:c r="H204" s="38" t="n">
        <x:f>IF(ISNUMBER('Data'!G204),'Data'!G204*100,"")</x:f>
        <x:v>42.62</x:v>
      </x:c>
      <x:c r="I204" s="34" t="str">
        <x:v>PASS</x:v>
      </x:c>
      <x:c r="J204" s="34" t="str">
        <x:v>PASS</x:v>
      </x:c>
      <x:c r="K204" s="34" t="str">
        <x:v>PASS</x:v>
      </x:c>
      <x:c r="L204" s="34" t="str">
        <x:v>FAIL</x:v>
      </x:c>
      <x:c r="M204" s="34" t="str">
        <x:v>numeric coverage for applicable metric</x:v>
      </x:c>
      <x:c r="N204" s="34" t="str">
        <x:v>Feedback-Directed Random Test Generation/Result/Closure_140/result.json</x:v>
      </x:c>
      <x:c r="O204" s="38" t="n">
        <x:f>IF(AND(G204="RECORDED",ISNUMBER(H204)),H204,"")</x:f>
        <x:v>42.62</x:v>
      </x:c>
      <x:c r="P204" s="34" t="str">
        <x:v>INCONCLUSIVE</x:v>
      </x:c>
      <x:c r="Q204" s="34" t="str">
        <x:v>Feedback-Directed Random Test Generation/Result/Closure_140/result.json</x:v>
      </x:c>
    </x:row>
    <x:row r="205">
      <x:c r="A205" s="34" t="str">
        <x:v>randoop</x:v>
      </x:c>
      <x:c r="B205" s="34" t="str">
        <x:v>Closure</x:v>
      </x:c>
      <x:c r="C205" s="34" t="str">
        <x:v>Round1</x:v>
      </x:c>
      <x:c r="D205" s="34" t="str">
        <x:v>Closure_141</x:v>
      </x:c>
      <x:c r="E205" s="34" t="str">
        <x:v>Coverage</x:v>
      </x:c>
      <x:c r="F205" s="34" t="n">
        <x:v>1537</x:v>
      </x:c>
      <x:c r="G205" s="34" t="str">
        <x:v>RECORDED</x:v>
      </x:c>
      <x:c r="H205" s="38" t="n">
        <x:f>IF(ISNUMBER('Data'!G205),'Data'!G205*100,"")</x:f>
        <x:v>37.22</x:v>
      </x:c>
      <x:c r="I205" s="34" t="str">
        <x:v>PASS</x:v>
      </x:c>
      <x:c r="J205" s="34" t="str">
        <x:v>PASS</x:v>
      </x:c>
      <x:c r="K205" s="34" t="str">
        <x:v>PASS</x:v>
      </x:c>
      <x:c r="L205" s="34" t="str">
        <x:v>FAIL</x:v>
      </x:c>
      <x:c r="M205" s="34" t="str">
        <x:v>numeric coverage for applicable metric</x:v>
      </x:c>
      <x:c r="N205" s="34" t="str">
        <x:v>Feedback-Directed Random Test Generation/Result/Closure_141/result.json</x:v>
      </x:c>
      <x:c r="O205" s="38" t="n">
        <x:f>IF(AND(G205="RECORDED",ISNUMBER(H205)),H205,"")</x:f>
        <x:v>37.22</x:v>
      </x:c>
      <x:c r="P205" s="34" t="str">
        <x:v>INCONCLUSIVE</x:v>
      </x:c>
      <x:c r="Q205" s="34" t="str">
        <x:v>Feedback-Directed Random Test Generation/Result/Closure_141/result.json</x:v>
      </x:c>
    </x:row>
    <x:row r="206">
      <x:c r="A206" s="34" t="str">
        <x:v>randoop</x:v>
      </x:c>
      <x:c r="B206" s="34" t="str">
        <x:v>Closure</x:v>
      </x:c>
      <x:c r="C206" s="34" t="str">
        <x:v>Round1</x:v>
      </x:c>
      <x:c r="D206" s="34" t="str">
        <x:v>Closure_142</x:v>
      </x:c>
      <x:c r="E206" s="34" t="str">
        <x:v>Coverage</x:v>
      </x:c>
      <x:c r="F206" s="34" t="n">
        <x:v>1672</x:v>
      </x:c>
      <x:c r="G206" s="34" t="str">
        <x:v>RECORDED</x:v>
      </x:c>
      <x:c r="H206" s="38" t="n">
        <x:f>IF(ISNUMBER('Data'!G206),'Data'!G206*100,"")</x:f>
        <x:v>6.1</x:v>
      </x:c>
      <x:c r="I206" s="34" t="str">
        <x:v>PASS</x:v>
      </x:c>
      <x:c r="J206" s="34" t="str">
        <x:v>PASS</x:v>
      </x:c>
      <x:c r="K206" s="34" t="str">
        <x:v>PASS</x:v>
      </x:c>
      <x:c r="L206" s="34" t="str">
        <x:v>PASS</x:v>
      </x:c>
      <x:c r="M206" s="34" t="str">
        <x:v>numeric coverage for applicable metric</x:v>
      </x:c>
      <x:c r="N206" s="34" t="str">
        <x:v>Feedback-Directed Random Test Generation/Result/Closure_142/result.json</x:v>
      </x:c>
      <x:c r="O206" s="38" t="n">
        <x:f>IF(AND(G206="RECORDED",ISNUMBER(H206)),H206,"")</x:f>
        <x:v>6.1</x:v>
      </x:c>
      <x:c r="P206" s="34" t="str">
        <x:v>NOT_REVEALING</x:v>
      </x:c>
      <x:c r="Q206" s="34" t="str">
        <x:v>Feedback-Directed Random Test Generation/Result/Closure_142/result.json</x:v>
      </x:c>
    </x:row>
    <x:row r="207">
      <x:c r="A207" s="34" t="str">
        <x:v>randoop</x:v>
      </x:c>
      <x:c r="B207" s="34" t="str">
        <x:v>Closure</x:v>
      </x:c>
      <x:c r="C207" s="34" t="str">
        <x:v>Round1</x:v>
      </x:c>
      <x:c r="D207" s="34" t="str">
        <x:v>Closure_143</x:v>
      </x:c>
      <x:c r="E207" s="34" t="str">
        <x:v>Coverage</x:v>
      </x:c>
      <x:c r="F207" s="34" t="n">
        <x:v>708</x:v>
      </x:c>
      <x:c r="G207" s="34" t="str">
        <x:v>RECORDED</x:v>
      </x:c>
      <x:c r="H207" s="38" t="n">
        <x:f>IF(ISNUMBER('Data'!G207),'Data'!G207*100,"")</x:f>
        <x:v>24.72</x:v>
      </x:c>
      <x:c r="I207" s="34" t="str">
        <x:v>PASS</x:v>
      </x:c>
      <x:c r="J207" s="34" t="str">
        <x:v>PASS</x:v>
      </x:c>
      <x:c r="K207" s="34" t="str">
        <x:v>PASS</x:v>
      </x:c>
      <x:c r="L207" s="34" t="str">
        <x:v>PASS</x:v>
      </x:c>
      <x:c r="M207" s="34" t="str">
        <x:v>numeric coverage for applicable metric</x:v>
      </x:c>
      <x:c r="N207" s="34" t="str">
        <x:v>Feedback-Directed Random Test Generation/Result/Closure_143/result.json</x:v>
      </x:c>
      <x:c r="O207" s="38" t="n">
        <x:f>IF(AND(G207="RECORDED",ISNUMBER(H207)),H207,"")</x:f>
        <x:v>24.72</x:v>
      </x:c>
      <x:c r="P207" s="34" t="str">
        <x:v>NOT_REVEALING</x:v>
      </x:c>
      <x:c r="Q207" s="34" t="str">
        <x:v>Feedback-Directed Random Test Generation/Result/Closure_143/result.json</x:v>
      </x:c>
    </x:row>
    <x:row r="208">
      <x:c r="A208" s="34" t="str">
        <x:v>randoop</x:v>
      </x:c>
      <x:c r="B208" s="34" t="str">
        <x:v>Closure</x:v>
      </x:c>
      <x:c r="C208" s="34" t="str">
        <x:v>Round1</x:v>
      </x:c>
      <x:c r="D208" s="34" t="str">
        <x:v>Closure_144</x:v>
      </x:c>
      <x:c r="E208" s="34" t="str">
        <x:v>Coverage</x:v>
      </x:c>
      <x:c r="F208" s="34" t="n">
        <x:v>2121</x:v>
      </x:c>
      <x:c r="G208" s="34" t="str">
        <x:v>RECORDED</x:v>
      </x:c>
      <x:c r="H208" s="38" t="n">
        <x:f>IF(ISNUMBER('Data'!G208),'Data'!G208*100,"")</x:f>
        <x:v>3.06</x:v>
      </x:c>
      <x:c r="I208" s="34" t="str">
        <x:v>PASS</x:v>
      </x:c>
      <x:c r="J208" s="34" t="str">
        <x:v>PASS</x:v>
      </x:c>
      <x:c r="K208" s="34" t="str">
        <x:v>PASS</x:v>
      </x:c>
      <x:c r="L208" s="34" t="str">
        <x:v>PASS</x:v>
      </x:c>
      <x:c r="M208" s="34" t="str">
        <x:v>numeric coverage for applicable metric</x:v>
      </x:c>
      <x:c r="N208" s="34" t="str">
        <x:v>Feedback-Directed Random Test Generation/Result/Closure_144/result.json</x:v>
      </x:c>
      <x:c r="O208" s="38" t="n">
        <x:f>IF(AND(G208="RECORDED",ISNUMBER(H208)),H208,"")</x:f>
        <x:v>3.06</x:v>
      </x:c>
      <x:c r="P208" s="34" t="str">
        <x:v>NOT_REVEALING</x:v>
      </x:c>
      <x:c r="Q208" s="34" t="str">
        <x:v>Feedback-Directed Random Test Generation/Result/Closure_144/result.json</x:v>
      </x:c>
    </x:row>
    <x:row r="209">
      <x:c r="A209" s="34" t="str">
        <x:v>randoop</x:v>
      </x:c>
      <x:c r="B209" s="34" t="str">
        <x:v>Closure</x:v>
      </x:c>
      <x:c r="C209" s="34" t="str">
        <x:v>Round1</x:v>
      </x:c>
      <x:c r="D209" s="34" t="str">
        <x:v>Closure_145</x:v>
      </x:c>
      <x:c r="E209" s="34" t="str">
        <x:v>Coverage</x:v>
      </x:c>
      <x:c r="F209" s="34" t="n">
        <x:v>889</x:v>
      </x:c>
      <x:c r="G209" s="34" t="str">
        <x:v>RECORDED</x:v>
      </x:c>
      <x:c r="H209" s="38" t="n">
        <x:f>IF(ISNUMBER('Data'!G209),'Data'!G209*100,"")</x:f>
        <x:v>9.67</x:v>
      </x:c>
      <x:c r="I209" s="34" t="str">
        <x:v>PASS</x:v>
      </x:c>
      <x:c r="J209" s="34" t="str">
        <x:v>PASS</x:v>
      </x:c>
      <x:c r="K209" s="34" t="str">
        <x:v>PASS</x:v>
      </x:c>
      <x:c r="L209" s="34" t="str">
        <x:v>PASS</x:v>
      </x:c>
      <x:c r="M209" s="34" t="str">
        <x:v>numeric coverage for applicable metric</x:v>
      </x:c>
      <x:c r="N209" s="34" t="str">
        <x:v>Feedback-Directed Random Test Generation/Result/Closure_145/result.json</x:v>
      </x:c>
      <x:c r="O209" s="38" t="n">
        <x:f>IF(AND(G209="RECORDED",ISNUMBER(H209)),H209,"")</x:f>
        <x:v>9.67</x:v>
      </x:c>
      <x:c r="P209" s="34" t="str">
        <x:v>NOT_REVEALING</x:v>
      </x:c>
      <x:c r="Q209" s="34" t="str">
        <x:v>Feedback-Directed Random Test Generation/Result/Closure_145/result.json</x:v>
      </x:c>
    </x:row>
    <x:row r="210">
      <x:c r="A210" s="34" t="str">
        <x:v>randoop</x:v>
      </x:c>
      <x:c r="B210" s="34" t="str">
        <x:v>Closure</x:v>
      </x:c>
      <x:c r="C210" s="34" t="str">
        <x:v>Round1</x:v>
      </x:c>
      <x:c r="D210" s="34" t="str">
        <x:v>Closure_146</x:v>
      </x:c>
      <x:c r="E210" s="34" t="str">
        <x:v>Coverage</x:v>
      </x:c>
      <x:c r="F210" s="34" t="n">
        <x:v>312</x:v>
      </x:c>
      <x:c r="G210" s="34" t="str">
        <x:v>RECORDED</x:v>
      </x:c>
      <x:c r="H210" s="38" t="n">
        <x:f>IF(ISNUMBER('Data'!G210),'Data'!G210*100,"")</x:f>
        <x:v>3.85</x:v>
      </x:c>
      <x:c r="I210" s="34" t="str">
        <x:v>PASS</x:v>
      </x:c>
      <x:c r="J210" s="34" t="str">
        <x:v>PASS</x:v>
      </x:c>
      <x:c r="K210" s="34" t="str">
        <x:v>PASS</x:v>
      </x:c>
      <x:c r="L210" s="34" t="str">
        <x:v>PASS</x:v>
      </x:c>
      <x:c r="M210" s="34" t="str">
        <x:v>numeric coverage for applicable metric</x:v>
      </x:c>
      <x:c r="N210" s="34" t="str">
        <x:v>Feedback-Directed Random Test Generation/Result/Closure_146/result.json</x:v>
      </x:c>
      <x:c r="O210" s="38" t="n">
        <x:f>IF(AND(G210="RECORDED",ISNUMBER(H210)),H210,"")</x:f>
        <x:v>3.85</x:v>
      </x:c>
      <x:c r="P210" s="34" t="str">
        <x:v>NOT_REVEALING</x:v>
      </x:c>
      <x:c r="Q210" s="34" t="str">
        <x:v>Feedback-Directed Random Test Generation/Result/Closure_146/result.json</x:v>
      </x:c>
    </x:row>
    <x:row r="211">
      <x:c r="A211" s="34" t="str">
        <x:v>randoop</x:v>
      </x:c>
      <x:c r="B211" s="34" t="str">
        <x:v>Closure</x:v>
      </x:c>
      <x:c r="C211" s="34" t="str">
        <x:v>Round1</x:v>
      </x:c>
      <x:c r="D211" s="34" t="str">
        <x:v>Closure_147</x:v>
      </x:c>
      <x:c r="E211" s="34" t="str">
        <x:v>Coverage</x:v>
      </x:c>
      <x:c r="F211" s="34" t="n">
        <x:v>352</x:v>
      </x:c>
      <x:c r="G211" s="34" t="str">
        <x:v>RECORDED</x:v>
      </x:c>
      <x:c r="H211" s="38" t="n">
        <x:f>IF(ISNUMBER('Data'!G211),'Data'!G211*100,"")</x:f>
        <x:v>7.39</x:v>
      </x:c>
      <x:c r="I211" s="34" t="str">
        <x:v>PASS</x:v>
      </x:c>
      <x:c r="J211" s="34" t="str">
        <x:v>PASS</x:v>
      </x:c>
      <x:c r="K211" s="34" t="str">
        <x:v>PASS</x:v>
      </x:c>
      <x:c r="L211" s="34" t="str">
        <x:v>PASS</x:v>
      </x:c>
      <x:c r="M211" s="34" t="str">
        <x:v>numeric coverage for applicable metric</x:v>
      </x:c>
      <x:c r="N211" s="34" t="str">
        <x:v>Feedback-Directed Random Test Generation/Result/Closure_147/result.json</x:v>
      </x:c>
      <x:c r="O211" s="38" t="n">
        <x:f>IF(AND(G211="RECORDED",ISNUMBER(H211)),H211,"")</x:f>
        <x:v>7.39</x:v>
      </x:c>
      <x:c r="P211" s="34" t="str">
        <x:v>NOT_REVEALING</x:v>
      </x:c>
      <x:c r="Q211" s="34" t="str">
        <x:v>Feedback-Directed Random Test Generation/Result/Closure_147/result.json</x:v>
      </x:c>
    </x:row>
    <x:row r="212">
      <x:c r="A212" s="34" t="str">
        <x:v>randoop</x:v>
      </x:c>
      <x:c r="B212" s="34" t="str">
        <x:v>Closure</x:v>
      </x:c>
      <x:c r="C212" s="34" t="str">
        <x:v>Round1</x:v>
      </x:c>
      <x:c r="D212" s="34" t="str">
        <x:v>Closure_148</x:v>
      </x:c>
      <x:c r="E212" s="34" t="str">
        <x:v>Coverage</x:v>
      </x:c>
      <x:c r="F212" s="34" t="n">
        <x:v>1211</x:v>
      </x:c>
      <x:c r="G212" s="34" t="str">
        <x:v>RECORDED</x:v>
      </x:c>
      <x:c r="H212" s="38" t="n">
        <x:f>IF(ISNUMBER('Data'!G212),'Data'!G212*100,"")</x:f>
        <x:v>3.72</x:v>
      </x:c>
      <x:c r="I212" s="34" t="str">
        <x:v>PASS</x:v>
      </x:c>
      <x:c r="J212" s="34" t="str">
        <x:v>PASS</x:v>
      </x:c>
      <x:c r="K212" s="34" t="str">
        <x:v>PASS</x:v>
      </x:c>
      <x:c r="L212" s="34" t="str">
        <x:v>PASS</x:v>
      </x:c>
      <x:c r="M212" s="34" t="str">
        <x:v>numeric coverage for applicable metric</x:v>
      </x:c>
      <x:c r="N212" s="34" t="str">
        <x:v>Feedback-Directed Random Test Generation/Result/Closure_148/result.json</x:v>
      </x:c>
      <x:c r="O212" s="38" t="n">
        <x:f>IF(AND(G212="RECORDED",ISNUMBER(H212)),H212,"")</x:f>
        <x:v>3.72</x:v>
      </x:c>
      <x:c r="P212" s="34" t="str">
        <x:v>NOT_AVAILABLE</x:v>
      </x:c>
      <x:c r="Q212" s="34" t="str">
        <x:v>Feedback-Directed Random Test Generation/Result/Closure_148/result.json</x:v>
      </x:c>
    </x:row>
    <x:row r="213">
      <x:c r="A213" s="34" t="str">
        <x:v>randoop</x:v>
      </x:c>
      <x:c r="B213" s="34" t="str">
        <x:v>Closure</x:v>
      </x:c>
      <x:c r="C213" s="34" t="str">
        <x:v>Round1</x:v>
      </x:c>
      <x:c r="D213" s="34" t="str">
        <x:v>Closure_149</x:v>
      </x:c>
      <x:c r="E213" s="34" t="str">
        <x:v>Coverage</x:v>
      </x:c>
      <x:c r="F213" s="34" t="n">
        <x:v>2228</x:v>
      </x:c>
      <x:c r="G213" s="34" t="str">
        <x:v>RECORDED</x:v>
      </x:c>
      <x:c r="H213" s="38" t="n">
        <x:f>IF(ISNUMBER('Data'!G213),'Data'!G213*100,"")</x:f>
        <x:v>2.51</x:v>
      </x:c>
      <x:c r="I213" s="34" t="str">
        <x:v>PASS</x:v>
      </x:c>
      <x:c r="J213" s="34" t="str">
        <x:v>PASS</x:v>
      </x:c>
      <x:c r="K213" s="34" t="str">
        <x:v>PASS</x:v>
      </x:c>
      <x:c r="L213" s="34" t="str">
        <x:v>FAIL</x:v>
      </x:c>
      <x:c r="M213" s="34" t="str">
        <x:v>numeric coverage for applicable metric</x:v>
      </x:c>
      <x:c r="N213" s="34" t="str">
        <x:v>Feedback-Directed Random Test Generation/Result/Closure_149/result.json</x:v>
      </x:c>
      <x:c r="O213" s="38" t="n">
        <x:f>IF(AND(G213="RECORDED",ISNUMBER(H213)),H213,"")</x:f>
        <x:v>2.51</x:v>
      </x:c>
      <x:c r="P213" s="34" t="str">
        <x:v>INCONCLUSIVE</x:v>
      </x:c>
      <x:c r="Q213" s="34" t="str">
        <x:v>Feedback-Directed Random Test Generation/Result/Closure_149/result.json</x:v>
      </x:c>
    </x:row>
    <x:row r="214">
      <x:c r="A214" s="34" t="str">
        <x:v>randoop</x:v>
      </x:c>
      <x:c r="B214" s="34" t="str">
        <x:v>Closure</x:v>
      </x:c>
      <x:c r="C214" s="34" t="str">
        <x:v>Round1</x:v>
      </x:c>
      <x:c r="D214" s="34" t="str">
        <x:v>Closure_150</x:v>
      </x:c>
      <x:c r="E214" s="34" t="str">
        <x:v>Coverage</x:v>
      </x:c>
      <x:c r="F214" s="34" t="n">
        <x:v>1152</x:v>
      </x:c>
      <x:c r="G214" s="34" t="str">
        <x:v>RECORDED</x:v>
      </x:c>
      <x:c r="H214" s="38" t="n">
        <x:f>IF(ISNUMBER('Data'!G214),'Data'!G214*100,"")</x:f>
        <x:v>0.95</x:v>
      </x:c>
      <x:c r="I214" s="34" t="str">
        <x:v>PASS</x:v>
      </x:c>
      <x:c r="J214" s="34" t="str">
        <x:v>PASS</x:v>
      </x:c>
      <x:c r="K214" s="34" t="str">
        <x:v>PASS</x:v>
      </x:c>
      <x:c r="L214" s="34" t="str">
        <x:v>PASS</x:v>
      </x:c>
      <x:c r="M214" s="34" t="str">
        <x:v>numeric coverage for applicable metric</x:v>
      </x:c>
      <x:c r="N214" s="34" t="str">
        <x:v>Feedback-Directed Random Test Generation/Result/Closure_150/result.json</x:v>
      </x:c>
      <x:c r="O214" s="38" t="n">
        <x:f>IF(AND(G214="RECORDED",ISNUMBER(H214)),H214,"")</x:f>
        <x:v>0.95</x:v>
      </x:c>
      <x:c r="P214" s="34" t="str">
        <x:v>NOT_REVEALING</x:v>
      </x:c>
      <x:c r="Q214" s="34" t="str">
        <x:v>Feedback-Directed Random Test Generation/Result/Closure_150/result.json</x:v>
      </x:c>
    </x:row>
    <x:row r="215">
      <x:c r="A215" s="34" t="str">
        <x:v>randoop</x:v>
      </x:c>
      <x:c r="B215" s="34" t="str">
        <x:v>Closure</x:v>
      </x:c>
      <x:c r="C215" s="34" t="str">
        <x:v>Round1</x:v>
      </x:c>
      <x:c r="D215" s="34" t="str">
        <x:v>Closure_151</x:v>
      </x:c>
      <x:c r="E215" s="34" t="str">
        <x:v>Coverage</x:v>
      </x:c>
      <x:c r="F215" s="34" t="n">
        <x:v>216</x:v>
      </x:c>
      <x:c r="G215" s="34" t="str">
        <x:v>RECORDED</x:v>
      </x:c>
      <x:c r="H215" s="38" t="n">
        <x:f>IF(ISNUMBER('Data'!G215),'Data'!G215*100,"")</x:f>
        <x:v>46.3</x:v>
      </x:c>
      <x:c r="I215" s="34" t="str">
        <x:v>PASS</x:v>
      </x:c>
      <x:c r="J215" s="34" t="str">
        <x:v>PASS</x:v>
      </x:c>
      <x:c r="K215" s="34" t="str">
        <x:v>PASS</x:v>
      </x:c>
      <x:c r="L215" s="34" t="str">
        <x:v>FAIL</x:v>
      </x:c>
      <x:c r="M215" s="34" t="str">
        <x:v>numeric coverage for applicable metric</x:v>
      </x:c>
      <x:c r="N215" s="34" t="str">
        <x:v>Feedback-Directed Random Test Generation/Result/Closure_151/result.json</x:v>
      </x:c>
      <x:c r="O215" s="38" t="n">
        <x:f>IF(AND(G215="RECORDED",ISNUMBER(H215)),H215,"")</x:f>
        <x:v>46.3</x:v>
      </x:c>
      <x:c r="P215" s="34" t="str">
        <x:v>INCONCLUSIVE</x:v>
      </x:c>
      <x:c r="Q215" s="34" t="str">
        <x:v>Feedback-Directed Random Test Generation/Result/Closure_151/result.json</x:v>
      </x:c>
    </x:row>
    <x:row r="216">
      <x:c r="A216" s="34" t="str">
        <x:v>randoop</x:v>
      </x:c>
      <x:c r="B216" s="34" t="str">
        <x:v>Closure</x:v>
      </x:c>
      <x:c r="C216" s="34" t="str">
        <x:v>Round1</x:v>
      </x:c>
      <x:c r="D216" s="34" t="str">
        <x:v>Closure_152</x:v>
      </x:c>
      <x:c r="E216" s="34" t="str">
        <x:v>Coverage</x:v>
      </x:c>
      <x:c r="F216" s="34" t="n">
        <x:v>633</x:v>
      </x:c>
      <x:c r="G216" s="34" t="str">
        <x:v>RECORDED</x:v>
      </x:c>
      <x:c r="H216" s="38" t="n">
        <x:f>IF(ISNUMBER('Data'!G216),'Data'!G216*100,"")</x:f>
        <x:v>0.79</x:v>
      </x:c>
      <x:c r="I216" s="34" t="str">
        <x:v>PASS</x:v>
      </x:c>
      <x:c r="J216" s="34" t="str">
        <x:v>PASS</x:v>
      </x:c>
      <x:c r="K216" s="34" t="str">
        <x:v>PASS</x:v>
      </x:c>
      <x:c r="L216" s="34" t="str">
        <x:v>PASS</x:v>
      </x:c>
      <x:c r="M216" s="34" t="str">
        <x:v>numeric coverage for applicable metric</x:v>
      </x:c>
      <x:c r="N216" s="34" t="str">
        <x:v>Feedback-Directed Random Test Generation/Result/Closure_152/result.json</x:v>
      </x:c>
      <x:c r="O216" s="38" t="n">
        <x:f>IF(AND(G216="RECORDED",ISNUMBER(H216)),H216,"")</x:f>
        <x:v>0.79</x:v>
      </x:c>
      <x:c r="P216" s="34" t="str">
        <x:v>NOT_REVEALING</x:v>
      </x:c>
      <x:c r="Q216" s="34" t="str">
        <x:v>Feedback-Directed Random Test Generation/Result/Closure_152/result.json</x:v>
      </x:c>
    </x:row>
    <x:row r="217">
      <x:c r="A217" s="34" t="str">
        <x:v>randoop</x:v>
      </x:c>
      <x:c r="B217" s="34" t="str">
        <x:v>Closure</x:v>
      </x:c>
      <x:c r="C217" s="34" t="str">
        <x:v>Round1</x:v>
      </x:c>
      <x:c r="D217" s="34" t="str">
        <x:v>Closure_153</x:v>
      </x:c>
      <x:c r="E217" s="34" t="str">
        <x:v>Coverage</x:v>
      </x:c>
      <x:c r="F217" s="34" t="n">
        <x:v>596</x:v>
      </x:c>
      <x:c r="G217" s="34" t="str">
        <x:v>RECORDED</x:v>
      </x:c>
      <x:c r="H217" s="38" t="n">
        <x:f>IF(ISNUMBER('Data'!G217),'Data'!G217*100,"")</x:f>
        <x:v>7.719999999999999</x:v>
      </x:c>
      <x:c r="I217" s="34" t="str">
        <x:v>PASS</x:v>
      </x:c>
      <x:c r="J217" s="34" t="str">
        <x:v>PASS</x:v>
      </x:c>
      <x:c r="K217" s="34" t="str">
        <x:v>PASS</x:v>
      </x:c>
      <x:c r="L217" s="34" t="str">
        <x:v>PASS</x:v>
      </x:c>
      <x:c r="M217" s="34" t="str">
        <x:v>numeric coverage for applicable metric</x:v>
      </x:c>
      <x:c r="N217" s="34" t="str">
        <x:v>Feedback-Directed Random Test Generation/Result/Closure_153/result.json</x:v>
      </x:c>
      <x:c r="O217" s="38" t="n">
        <x:f>IF(AND(G217="RECORDED",ISNUMBER(H217)),H217,"")</x:f>
        <x:v>7.719999999999999</x:v>
      </x:c>
      <x:c r="P217" s="34" t="str">
        <x:v>NOT_REVEALING</x:v>
      </x:c>
      <x:c r="Q217" s="34" t="str">
        <x:v>Feedback-Directed Random Test Generation/Result/Closure_153/result.json</x:v>
      </x:c>
    </x:row>
    <x:row r="218">
      <x:c r="A218" s="34" t="str">
        <x:v>randoop</x:v>
      </x:c>
      <x:c r="B218" s="34" t="str">
        <x:v>Closure</x:v>
      </x:c>
      <x:c r="C218" s="34" t="str">
        <x:v>Round1</x:v>
      </x:c>
      <x:c r="D218" s="34" t="str">
        <x:v>Closure_154</x:v>
      </x:c>
      <x:c r="E218" s="34" t="str">
        <x:v>Coverage</x:v>
      </x:c>
      <x:c r="F218" s="34" t="n">
        <x:v>1630</x:v>
      </x:c>
      <x:c r="G218" s="34" t="str">
        <x:v>RECORDED</x:v>
      </x:c>
      <x:c r="H218" s="38" t="n">
        <x:f>IF(ISNUMBER('Data'!G218),'Data'!G218*100,"")</x:f>
        <x:v>5.09</x:v>
      </x:c>
      <x:c r="I218" s="34" t="str">
        <x:v>PASS</x:v>
      </x:c>
      <x:c r="J218" s="34" t="str">
        <x:v>PASS</x:v>
      </x:c>
      <x:c r="K218" s="34" t="str">
        <x:v>PASS</x:v>
      </x:c>
      <x:c r="L218" s="34" t="str">
        <x:v>PASS</x:v>
      </x:c>
      <x:c r="M218" s="34" t="str">
        <x:v>numeric coverage for applicable metric</x:v>
      </x:c>
      <x:c r="N218" s="34" t="str">
        <x:v>Feedback-Directed Random Test Generation/Result/Closure_154/result.json</x:v>
      </x:c>
      <x:c r="O218" s="38" t="n">
        <x:f>IF(AND(G218="RECORDED",ISNUMBER(H218)),H218,"")</x:f>
        <x:v>5.09</x:v>
      </x:c>
      <x:c r="P218" s="34" t="str">
        <x:v>NOT_AVAILABLE</x:v>
      </x:c>
      <x:c r="Q218" s="34" t="str">
        <x:v>Feedback-Directed Random Test Generation/Result/Closure_154/result.json</x:v>
      </x:c>
    </x:row>
    <x:row r="219">
      <x:c r="A219" s="34" t="str">
        <x:v>randoop</x:v>
      </x:c>
      <x:c r="B219" s="34" t="str">
        <x:v>Closure</x:v>
      </x:c>
      <x:c r="C219" s="34" t="str">
        <x:v>Round1</x:v>
      </x:c>
      <x:c r="D219" s="34" t="str">
        <x:v>Closure_155</x:v>
      </x:c>
      <x:c r="E219" s="34" t="str">
        <x:v>Coverage</x:v>
      </x:c>
      <x:c r="F219" s="34" t="n">
        <x:v>988</x:v>
      </x:c>
      <x:c r="G219" s="34" t="str">
        <x:v>RECORDED</x:v>
      </x:c>
      <x:c r="H219" s="38" t="n">
        <x:f>IF(ISNUMBER('Data'!G219),'Data'!G219*100,"")</x:f>
        <x:v>18.02</x:v>
      </x:c>
      <x:c r="I219" s="34" t="str">
        <x:v>PASS</x:v>
      </x:c>
      <x:c r="J219" s="34" t="str">
        <x:v>PASS</x:v>
      </x:c>
      <x:c r="K219" s="34" t="str">
        <x:v>PASS</x:v>
      </x:c>
      <x:c r="L219" s="34" t="str">
        <x:v>FAIL</x:v>
      </x:c>
      <x:c r="M219" s="34" t="str">
        <x:v>numeric coverage for applicable metric</x:v>
      </x:c>
      <x:c r="N219" s="34" t="str">
        <x:v>Feedback-Directed Random Test Generation/Result/Closure_155/result.json</x:v>
      </x:c>
      <x:c r="O219" s="38" t="n">
        <x:f>IF(AND(G219="RECORDED",ISNUMBER(H219)),H219,"")</x:f>
        <x:v>18.02</x:v>
      </x:c>
      <x:c r="P219" s="34" t="str">
        <x:v>INCONCLUSIVE</x:v>
      </x:c>
      <x:c r="Q219" s="34" t="str">
        <x:v>Feedback-Directed Random Test Generation/Result/Closure_155/result.json</x:v>
      </x:c>
    </x:row>
    <x:row r="220">
      <x:c r="A220" s="34" t="str">
        <x:v>randoop</x:v>
      </x:c>
      <x:c r="B220" s="34" t="str">
        <x:v>Closure</x:v>
      </x:c>
      <x:c r="C220" s="34" t="str">
        <x:v>Round1</x:v>
      </x:c>
      <x:c r="D220" s="34" t="str">
        <x:v>Closure_156</x:v>
      </x:c>
      <x:c r="E220" s="34" t="str">
        <x:v>Coverage</x:v>
      </x:c>
      <x:c r="F220" s="34" t="n">
        <x:v>575</x:v>
      </x:c>
      <x:c r="G220" s="34" t="str">
        <x:v>RECORDED</x:v>
      </x:c>
      <x:c r="H220" s="38" t="n">
        <x:f>IF(ISNUMBER('Data'!G220),'Data'!G220*100,"")</x:f>
        <x:v>3.65</x:v>
      </x:c>
      <x:c r="I220" s="34" t="str">
        <x:v>PASS</x:v>
      </x:c>
      <x:c r="J220" s="34" t="str">
        <x:v>PASS</x:v>
      </x:c>
      <x:c r="K220" s="34" t="str">
        <x:v>PASS</x:v>
      </x:c>
      <x:c r="L220" s="34" t="str">
        <x:v>PASS</x:v>
      </x:c>
      <x:c r="M220" s="34" t="str">
        <x:v>numeric coverage for applicable metric</x:v>
      </x:c>
      <x:c r="N220" s="34" t="str">
        <x:v>Feedback-Directed Random Test Generation/Result/Closure_156/result.json</x:v>
      </x:c>
      <x:c r="O220" s="38" t="n">
        <x:f>IF(AND(G220="RECORDED",ISNUMBER(H220)),H220,"")</x:f>
        <x:v>3.65</x:v>
      </x:c>
      <x:c r="P220" s="34" t="str">
        <x:v>NOT_REVEALING</x:v>
      </x:c>
      <x:c r="Q220" s="34" t="str">
        <x:v>Feedback-Directed Random Test Generation/Result/Closure_156/result.json</x:v>
      </x:c>
    </x:row>
    <x:row r="221">
      <x:c r="A221" s="34" t="str">
        <x:v>randoop</x:v>
      </x:c>
      <x:c r="B221" s="34" t="str">
        <x:v>Closure</x:v>
      </x:c>
      <x:c r="C221" s="34" t="str">
        <x:v>Round1</x:v>
      </x:c>
      <x:c r="D221" s="34" t="str">
        <x:v>Closure_157</x:v>
      </x:c>
      <x:c r="E221" s="34" t="str">
        <x:v>Coverage</x:v>
      </x:c>
      <x:c r="F221" s="34" t="n">
        <x:v>2187</x:v>
      </x:c>
      <x:c r="G221" s="34" t="str">
        <x:v>RECORDED</x:v>
      </x:c>
      <x:c r="H221" s="38" t="n">
        <x:f>IF(ISNUMBER('Data'!G221),'Data'!G221*100,"")</x:f>
        <x:v>5.08</x:v>
      </x:c>
      <x:c r="I221" s="34" t="str">
        <x:v>PASS</x:v>
      </x:c>
      <x:c r="J221" s="34" t="str">
        <x:v>PASS</x:v>
      </x:c>
      <x:c r="K221" s="34" t="str">
        <x:v>PASS</x:v>
      </x:c>
      <x:c r="L221" s="34" t="str">
        <x:v>PASS</x:v>
      </x:c>
      <x:c r="M221" s="34" t="str">
        <x:v>numeric coverage for applicable metric</x:v>
      </x:c>
      <x:c r="N221" s="34" t="str">
        <x:v>Feedback-Directed Random Test Generation/Result/Closure_157/result.json</x:v>
      </x:c>
      <x:c r="O221" s="38" t="n">
        <x:f>IF(AND(G221="RECORDED",ISNUMBER(H221)),H221,"")</x:f>
        <x:v>5.08</x:v>
      </x:c>
      <x:c r="P221" s="34" t="str">
        <x:v>NOT_REVEALING</x:v>
      </x:c>
      <x:c r="Q221" s="34" t="str">
        <x:v>Feedback-Directed Random Test Generation/Result/Closure_157/result.json</x:v>
      </x:c>
    </x:row>
    <x:row r="222">
      <x:c r="A222" s="34" t="str">
        <x:v>randoop</x:v>
      </x:c>
      <x:c r="B222" s="34" t="str">
        <x:v>Closure</x:v>
      </x:c>
      <x:c r="C222" s="34" t="str">
        <x:v>Round1</x:v>
      </x:c>
      <x:c r="D222" s="34" t="str">
        <x:v>Closure_158</x:v>
      </x:c>
      <x:c r="E222" s="34" t="str">
        <x:v>Coverage</x:v>
      </x:c>
      <x:c r="F222" s="34" t="n">
        <x:v>1225</x:v>
      </x:c>
      <x:c r="G222" s="34" t="str">
        <x:v>RECORDED</x:v>
      </x:c>
      <x:c r="H222" s="38" t="n">
        <x:f>IF(ISNUMBER('Data'!G222),'Data'!G222*100,"")</x:f>
        <x:v>4.16</x:v>
      </x:c>
      <x:c r="I222" s="34" t="str">
        <x:v>PASS</x:v>
      </x:c>
      <x:c r="J222" s="34" t="str">
        <x:v>PASS</x:v>
      </x:c>
      <x:c r="K222" s="34" t="str">
        <x:v>PASS</x:v>
      </x:c>
      <x:c r="L222" s="34" t="str">
        <x:v>PASS</x:v>
      </x:c>
      <x:c r="M222" s="34" t="str">
        <x:v>numeric coverage for applicable metric</x:v>
      </x:c>
      <x:c r="N222" s="34" t="str">
        <x:v>Feedback-Directed Random Test Generation/Result/Closure_158/result.json</x:v>
      </x:c>
      <x:c r="O222" s="38" t="n">
        <x:f>IF(AND(G222="RECORDED",ISNUMBER(H222)),H222,"")</x:f>
        <x:v>4.16</x:v>
      </x:c>
      <x:c r="P222" s="34" t="str">
        <x:v>NOT_REVEALING</x:v>
      </x:c>
      <x:c r="Q222" s="34" t="str">
        <x:v>Feedback-Directed Random Test Generation/Result/Closure_158/result.json</x:v>
      </x:c>
    </x:row>
    <x:row r="223">
      <x:c r="A223" s="34" t="str">
        <x:v>randoop</x:v>
      </x:c>
      <x:c r="B223" s="34" t="str">
        <x:v>Closure</x:v>
      </x:c>
      <x:c r="C223" s="34" t="str">
        <x:v>Round1</x:v>
      </x:c>
      <x:c r="D223" s="34" t="str">
        <x:v>Closure_159</x:v>
      </x:c>
      <x:c r="E223" s="34" t="str">
        <x:v>Coverage</x:v>
      </x:c>
      <x:c r="F223" s="34" t="n">
        <x:v>678</x:v>
      </x:c>
      <x:c r="G223" s="34" t="str">
        <x:v>RECORDED</x:v>
      </x:c>
      <x:c r="H223" s="38" t="n">
        <x:f>IF(ISNUMBER('Data'!G223),'Data'!G223*100,"")</x:f>
        <x:v>0.88</x:v>
      </x:c>
      <x:c r="I223" s="34" t="str">
        <x:v>PASS</x:v>
      </x:c>
      <x:c r="J223" s="34" t="str">
        <x:v>PASS</x:v>
      </x:c>
      <x:c r="K223" s="34" t="str">
        <x:v>PASS</x:v>
      </x:c>
      <x:c r="L223" s="34" t="str">
        <x:v>PASS</x:v>
      </x:c>
      <x:c r="M223" s="34" t="str">
        <x:v>numeric coverage for applicable metric</x:v>
      </x:c>
      <x:c r="N223" s="34" t="str">
        <x:v>Feedback-Directed Random Test Generation/Result/Closure_159/result.json</x:v>
      </x:c>
      <x:c r="O223" s="38" t="n">
        <x:f>IF(AND(G223="RECORDED",ISNUMBER(H223)),H223,"")</x:f>
        <x:v>0.88</x:v>
      </x:c>
      <x:c r="P223" s="34" t="str">
        <x:v>NOT_REVEALING</x:v>
      </x:c>
      <x:c r="Q223" s="34" t="str">
        <x:v>Feedback-Directed Random Test Generation/Result/Closure_159/result.json</x:v>
      </x:c>
    </x:row>
    <x:row r="224">
      <x:c r="A224" s="34" t="str">
        <x:v>randoop</x:v>
      </x:c>
      <x:c r="B224" s="34" t="str">
        <x:v>Closure</x:v>
      </x:c>
      <x:c r="C224" s="34" t="str">
        <x:v>Round1</x:v>
      </x:c>
      <x:c r="D224" s="34" t="str">
        <x:v>Closure_160</x:v>
      </x:c>
      <x:c r="E224" s="34" t="str">
        <x:v>Coverage</x:v>
      </x:c>
      <x:c r="F224" s="34" t="n">
        <x:v>1114</x:v>
      </x:c>
      <x:c r="G224" s="34" t="str">
        <x:v>RECORDED</x:v>
      </x:c>
      <x:c r="H224" s="38" t="n">
        <x:f>IF(ISNUMBER('Data'!G224),'Data'!G224*100,"")</x:f>
        <x:v>42.46</x:v>
      </x:c>
      <x:c r="I224" s="34" t="str">
        <x:v>PASS</x:v>
      </x:c>
      <x:c r="J224" s="34" t="str">
        <x:v>PASS</x:v>
      </x:c>
      <x:c r="K224" s="34" t="str">
        <x:v>PASS</x:v>
      </x:c>
      <x:c r="L224" s="34" t="str">
        <x:v>FAIL</x:v>
      </x:c>
      <x:c r="M224" s="34" t="str">
        <x:v>numeric coverage for applicable metric</x:v>
      </x:c>
      <x:c r="N224" s="34" t="str">
        <x:v>Feedback-Directed Random Test Generation/Result/Closure_160/result.json</x:v>
      </x:c>
      <x:c r="O224" s="38" t="n">
        <x:f>IF(AND(G224="RECORDED",ISNUMBER(H224)),H224,"")</x:f>
        <x:v>42.46</x:v>
      </x:c>
      <x:c r="P224" s="34" t="str">
        <x:v>INCONCLUSIVE</x:v>
      </x:c>
      <x:c r="Q224" s="34" t="str">
        <x:v>Feedback-Directed Random Test Generation/Result/Closure_160/result.json</x:v>
      </x:c>
    </x:row>
    <x:row r="225">
      <x:c r="A225" s="34" t="str">
        <x:v>randoop</x:v>
      </x:c>
      <x:c r="B225" s="34" t="str">
        <x:v>Closure</x:v>
      </x:c>
      <x:c r="C225" s="34" t="str">
        <x:v>Round1</x:v>
      </x:c>
      <x:c r="D225" s="34" t="str">
        <x:v>Closure_161</x:v>
      </x:c>
      <x:c r="E225" s="34" t="str">
        <x:v>Coverage</x:v>
      </x:c>
      <x:c r="F225" s="34" t="n">
        <x:v>1134</x:v>
      </x:c>
      <x:c r="G225" s="34" t="str">
        <x:v>RECORDED</x:v>
      </x:c>
      <x:c r="H225" s="38" t="n">
        <x:f>IF(ISNUMBER('Data'!G225),'Data'!G225*100,"")</x:f>
        <x:v>1.15</x:v>
      </x:c>
      <x:c r="I225" s="34" t="str">
        <x:v>PASS</x:v>
      </x:c>
      <x:c r="J225" s="34" t="str">
        <x:v>PASS</x:v>
      </x:c>
      <x:c r="K225" s="34" t="str">
        <x:v>PASS</x:v>
      </x:c>
      <x:c r="L225" s="34" t="str">
        <x:v>PASS</x:v>
      </x:c>
      <x:c r="M225" s="34" t="str">
        <x:v>numeric coverage for applicable metric</x:v>
      </x:c>
      <x:c r="N225" s="34" t="str">
        <x:v>Feedback-Directed Random Test Generation/Result/Closure_161/result.json</x:v>
      </x:c>
      <x:c r="O225" s="38" t="n">
        <x:f>IF(AND(G225="RECORDED",ISNUMBER(H225)),H225,"")</x:f>
        <x:v>1.15</x:v>
      </x:c>
      <x:c r="P225" s="34" t="str">
        <x:v>NOT_REVEALING</x:v>
      </x:c>
      <x:c r="Q225" s="34" t="str">
        <x:v>Feedback-Directed Random Test Generation/Result/Closure_161/result.json</x:v>
      </x:c>
    </x:row>
    <x:row r="226">
      <x:c r="A226" s="34" t="str">
        <x:v>randoop</x:v>
      </x:c>
      <x:c r="B226" s="34" t="str">
        <x:v>Closure</x:v>
      </x:c>
      <x:c r="C226" s="34" t="str">
        <x:v>Round1</x:v>
      </x:c>
      <x:c r="D226" s="34" t="str">
        <x:v>Closure_162</x:v>
      </x:c>
      <x:c r="E226" s="34" t="str">
        <x:v>Coverage</x:v>
      </x:c>
      <x:c r="F226" s="34" t="n">
        <x:v>486</x:v>
      </x:c>
      <x:c r="G226" s="34" t="str">
        <x:v>RECORDED</x:v>
      </x:c>
      <x:c r="H226" s="38" t="n">
        <x:f>IF(ISNUMBER('Data'!G226),'Data'!G226*100,"")</x:f>
        <x:v>33.13</x:v>
      </x:c>
      <x:c r="I226" s="34" t="str">
        <x:v>PASS</x:v>
      </x:c>
      <x:c r="J226" s="34" t="str">
        <x:v>PASS</x:v>
      </x:c>
      <x:c r="K226" s="34" t="str">
        <x:v>PASS</x:v>
      </x:c>
      <x:c r="L226" s="34" t="str">
        <x:v>FAIL</x:v>
      </x:c>
      <x:c r="M226" s="34" t="str">
        <x:v>numeric coverage for applicable metric</x:v>
      </x:c>
      <x:c r="N226" s="34" t="str">
        <x:v>Feedback-Directed Random Test Generation/Result/Closure_162/result.json</x:v>
      </x:c>
      <x:c r="O226" s="38" t="n">
        <x:f>IF(AND(G226="RECORDED",ISNUMBER(H226)),H226,"")</x:f>
        <x:v>33.13</x:v>
      </x:c>
      <x:c r="P226" s="34" t="str">
        <x:v>INCONCLUSIVE</x:v>
      </x:c>
      <x:c r="Q226" s="34" t="str">
        <x:v>Feedback-Directed Random Test Generation/Result/Closure_162/result.json</x:v>
      </x:c>
    </x:row>
    <x:row r="227">
      <x:c r="A227" s="34" t="str">
        <x:v>randoop</x:v>
      </x:c>
      <x:c r="B227" s="34" t="str">
        <x:v>Closure</x:v>
      </x:c>
      <x:c r="C227" s="34" t="str">
        <x:v>Round1</x:v>
      </x:c>
      <x:c r="D227" s="34" t="str">
        <x:v>Closure_163</x:v>
      </x:c>
      <x:c r="E227" s="34" t="str">
        <x:v>Coverage</x:v>
      </x:c>
      <x:c r="F227" s="34" t="n">
        <x:v>497</x:v>
      </x:c>
      <x:c r="G227" s="34" t="str">
        <x:v>RECORDED</x:v>
      </x:c>
      <x:c r="H227" s="38" t="n">
        <x:f>IF(ISNUMBER('Data'!G227),'Data'!G227*100,"")</x:f>
        <x:v>23.94</x:v>
      </x:c>
      <x:c r="I227" s="34" t="str">
        <x:v>PASS</x:v>
      </x:c>
      <x:c r="J227" s="34" t="str">
        <x:v>PASS</x:v>
      </x:c>
      <x:c r="K227" s="34" t="str">
        <x:v>PASS</x:v>
      </x:c>
      <x:c r="L227" s="34" t="str">
        <x:v>PASS</x:v>
      </x:c>
      <x:c r="M227" s="34" t="str">
        <x:v>numeric coverage for applicable metric</x:v>
      </x:c>
      <x:c r="N227" s="34" t="str">
        <x:v>Feedback-Directed Random Test Generation/Result/Closure_163/result.json</x:v>
      </x:c>
      <x:c r="O227" s="38" t="n">
        <x:f>IF(AND(G227="RECORDED",ISNUMBER(H227)),H227,"")</x:f>
        <x:v>23.94</x:v>
      </x:c>
      <x:c r="P227" s="34" t="str">
        <x:v>NOT_AVAILABLE</x:v>
      </x:c>
      <x:c r="Q227" s="34" t="str">
        <x:v>Feedback-Directed Random Test Generation/Result/Closure_163/result.json</x:v>
      </x:c>
    </x:row>
    <x:row r="228">
      <x:c r="A228" s="34" t="str">
        <x:v>randoop</x:v>
      </x:c>
      <x:c r="B228" s="34" t="str">
        <x:v>Closure</x:v>
      </x:c>
      <x:c r="C228" s="34" t="str">
        <x:v>Round1</x:v>
      </x:c>
      <x:c r="D228" s="34" t="str">
        <x:v>Closure_164</x:v>
      </x:c>
      <x:c r="E228" s="34" t="str">
        <x:v>Coverage</x:v>
      </x:c>
      <x:c r="F228" s="34" t="n">
        <x:v>159</x:v>
      </x:c>
      <x:c r="G228" s="34" t="str">
        <x:v>RECORDED</x:v>
      </x:c>
      <x:c r="H228" s="38" t="n">
        <x:f>IF(ISNUMBER('Data'!G228),'Data'!G228*100,"")</x:f>
        <x:v>3.1400000000000006</x:v>
      </x:c>
      <x:c r="I228" s="34" t="str">
        <x:v>PASS</x:v>
      </x:c>
      <x:c r="J228" s="34" t="str">
        <x:v>PASS</x:v>
      </x:c>
      <x:c r="K228" s="34" t="str">
        <x:v>PASS</x:v>
      </x:c>
      <x:c r="L228" s="34" t="str">
        <x:v>PASS</x:v>
      </x:c>
      <x:c r="M228" s="34" t="str">
        <x:v>numeric coverage for applicable metric</x:v>
      </x:c>
      <x:c r="N228" s="34" t="str">
        <x:v>Feedback-Directed Random Test Generation/Result/Closure_164/result.json</x:v>
      </x:c>
      <x:c r="O228" s="38" t="n">
        <x:f>IF(AND(G228="RECORDED",ISNUMBER(H228)),H228,"")</x:f>
        <x:v>3.1400000000000006</x:v>
      </x:c>
      <x:c r="P228" s="34" t="str">
        <x:v>NOT_REVEALING</x:v>
      </x:c>
      <x:c r="Q228" s="34" t="str">
        <x:v>Feedback-Directed Random Test Generation/Result/Closure_164/result.json</x:v>
      </x:c>
    </x:row>
    <x:row r="229">
      <x:c r="A229" s="34" t="str">
        <x:v>randoop</x:v>
      </x:c>
      <x:c r="B229" s="34" t="str">
        <x:v>Closure</x:v>
      </x:c>
      <x:c r="C229" s="34" t="str">
        <x:v>Round1</x:v>
      </x:c>
      <x:c r="D229" s="34" t="str">
        <x:v>Closure_165</x:v>
      </x:c>
      <x:c r="E229" s="34" t="str">
        <x:v>Coverage</x:v>
      </x:c>
      <x:c r="F229" s="34" t="n">
        <x:v>1117</x:v>
      </x:c>
      <x:c r="G229" s="34" t="str">
        <x:v>RECORDED</x:v>
      </x:c>
      <x:c r="H229" s="38" t="n">
        <x:f>IF(ISNUMBER('Data'!G229),'Data'!G229*100,"")</x:f>
        <x:v>61.95</x:v>
      </x:c>
      <x:c r="I229" s="34" t="str">
        <x:v>PASS</x:v>
      </x:c>
      <x:c r="J229" s="34" t="str">
        <x:v>PASS</x:v>
      </x:c>
      <x:c r="K229" s="34" t="str">
        <x:v>PASS</x:v>
      </x:c>
      <x:c r="L229" s="34" t="str">
        <x:v>PASS</x:v>
      </x:c>
      <x:c r="M229" s="34" t="str">
        <x:v>numeric coverage for applicable metric</x:v>
      </x:c>
      <x:c r="N229" s="34" t="str">
        <x:v>Feedback-Directed Random Test Generation/Result/Closure_165/result.json</x:v>
      </x:c>
      <x:c r="O229" s="38" t="n">
        <x:f>IF(AND(G229="RECORDED",ISNUMBER(H229)),H229,"")</x:f>
        <x:v>61.95</x:v>
      </x:c>
      <x:c r="P229" s="34" t="str">
        <x:v>NOT_REVEALING</x:v>
      </x:c>
      <x:c r="Q229" s="34" t="str">
        <x:v>Feedback-Directed Random Test Generation/Result/Closure_165/result.json</x:v>
      </x:c>
    </x:row>
    <x:row r="230">
      <x:c r="A230" s="34" t="str">
        <x:v>randoop</x:v>
      </x:c>
      <x:c r="B230" s="34" t="str">
        <x:v>Closure</x:v>
      </x:c>
      <x:c r="C230" s="34" t="str">
        <x:v>Round1</x:v>
      </x:c>
      <x:c r="D230" s="34" t="str">
        <x:v>Closure_166</x:v>
      </x:c>
      <x:c r="E230" s="34" t="str">
        <x:v>Coverage</x:v>
      </x:c>
      <x:c r="F230" s="34" t="n">
        <x:v>402</x:v>
      </x:c>
      <x:c r="G230" s="34" t="str">
        <x:v>RECORDED</x:v>
      </x:c>
      <x:c r="H230" s="38" t="n">
        <x:f>IF(ISNUMBER('Data'!G230),'Data'!G230*100,"")</x:f>
        <x:v>54.98</x:v>
      </x:c>
      <x:c r="I230" s="34" t="str">
        <x:v>PASS</x:v>
      </x:c>
      <x:c r="J230" s="34" t="str">
        <x:v>PASS</x:v>
      </x:c>
      <x:c r="K230" s="34" t="str">
        <x:v>PASS</x:v>
      </x:c>
      <x:c r="L230" s="34" t="str">
        <x:v>PASS</x:v>
      </x:c>
      <x:c r="M230" s="34" t="str">
        <x:v>numeric coverage for applicable metric</x:v>
      </x:c>
      <x:c r="N230" s="34" t="str">
        <x:v>Feedback-Directed Random Test Generation/Result/Closure_166/result.json</x:v>
      </x:c>
      <x:c r="O230" s="38" t="n">
        <x:f>IF(AND(G230="RECORDED",ISNUMBER(H230)),H230,"")</x:f>
        <x:v>54.98</x:v>
      </x:c>
      <x:c r="P230" s="34" t="str">
        <x:v>NOT_REVEALING</x:v>
      </x:c>
      <x:c r="Q230" s="34" t="str">
        <x:v>Feedback-Directed Random Test Generation/Result/Closure_166/result.json</x:v>
      </x:c>
    </x:row>
    <x:row r="231">
      <x:c r="A231" s="34" t="str">
        <x:v>randoop</x:v>
      </x:c>
      <x:c r="B231" s="34" t="str">
        <x:v>Closure</x:v>
      </x:c>
      <x:c r="C231" s="34" t="str">
        <x:v>Round1</x:v>
      </x:c>
      <x:c r="D231" s="34" t="str">
        <x:v>Closure_167</x:v>
      </x:c>
      <x:c r="E231" s="34" t="str">
        <x:v>Coverage</x:v>
      </x:c>
      <x:c r="F231" s="34" t="n">
        <x:v>886</x:v>
      </x:c>
      <x:c r="G231" s="34" t="str">
        <x:v>RECORDED</x:v>
      </x:c>
      <x:c r="H231" s="38" t="n">
        <x:f>IF(ISNUMBER('Data'!G231),'Data'!G231*100,"")</x:f>
        <x:v>2.6</x:v>
      </x:c>
      <x:c r="I231" s="34" t="str">
        <x:v>PASS</x:v>
      </x:c>
      <x:c r="J231" s="34" t="str">
        <x:v>PASS</x:v>
      </x:c>
      <x:c r="K231" s="34" t="str">
        <x:v>PASS</x:v>
      </x:c>
      <x:c r="L231" s="34" t="str">
        <x:v>PASS</x:v>
      </x:c>
      <x:c r="M231" s="34" t="str">
        <x:v>numeric coverage for applicable metric</x:v>
      </x:c>
      <x:c r="N231" s="34" t="str">
        <x:v>Feedback-Directed Random Test Generation/Result/Closure_167/result.json</x:v>
      </x:c>
      <x:c r="O231" s="38" t="n">
        <x:f>IF(AND(G231="RECORDED",ISNUMBER(H231)),H231,"")</x:f>
        <x:v>2.6</x:v>
      </x:c>
      <x:c r="P231" s="34" t="str">
        <x:v>NOT_REVEALING</x:v>
      </x:c>
      <x:c r="Q231" s="34" t="str">
        <x:v>Feedback-Directed Random Test Generation/Result/Closure_167/result.json</x:v>
      </x:c>
    </x:row>
    <x:row r="232">
      <x:c r="A232" s="34" t="str">
        <x:v>randoop</x:v>
      </x:c>
      <x:c r="B232" s="34" t="str">
        <x:v>Closure</x:v>
      </x:c>
      <x:c r="C232" s="34" t="str">
        <x:v>Round1</x:v>
      </x:c>
      <x:c r="D232" s="34" t="str">
        <x:v>Closure_168</x:v>
      </x:c>
      <x:c r="E232" s="34" t="str">
        <x:v>Coverage</x:v>
      </x:c>
      <x:c r="F232" s="34" t="n">
        <x:v>1598</x:v>
      </x:c>
      <x:c r="G232" s="34" t="str">
        <x:v>RECORDED</x:v>
      </x:c>
      <x:c r="H232" s="38" t="n">
        <x:f>IF(ISNUMBER('Data'!G232),'Data'!G232*100,"")</x:f>
        <x:v>1.56</x:v>
      </x:c>
      <x:c r="I232" s="34" t="str">
        <x:v>PASS</x:v>
      </x:c>
      <x:c r="J232" s="34" t="str">
        <x:v>PASS</x:v>
      </x:c>
      <x:c r="K232" s="34" t="str">
        <x:v>PASS</x:v>
      </x:c>
      <x:c r="L232" s="34" t="str">
        <x:v>PASS</x:v>
      </x:c>
      <x:c r="M232" s="34" t="str">
        <x:v>numeric coverage for applicable metric</x:v>
      </x:c>
      <x:c r="N232" s="34" t="str">
        <x:v>Feedback-Directed Random Test Generation/Result/Closure_168/result.json</x:v>
      </x:c>
      <x:c r="O232" s="38" t="n">
        <x:f>IF(AND(G232="RECORDED",ISNUMBER(H232)),H232,"")</x:f>
        <x:v>1.56</x:v>
      </x:c>
      <x:c r="P232" s="34" t="str">
        <x:v>NOT_REVEALING</x:v>
      </x:c>
      <x:c r="Q232" s="34" t="str">
        <x:v>Feedback-Directed Random Test Generation/Result/Closure_168/result.json</x:v>
      </x:c>
    </x:row>
    <x:row r="233">
      <x:c r="A233" s="34" t="str">
        <x:v>randoop</x:v>
      </x:c>
      <x:c r="B233" s="34" t="str">
        <x:v>Closure</x:v>
      </x:c>
      <x:c r="C233" s="34" t="str">
        <x:v>Round1</x:v>
      </x:c>
      <x:c r="D233" s="34" t="str">
        <x:v>Closure_169</x:v>
      </x:c>
      <x:c r="E233" s="34" t="str">
        <x:v>Coverage</x:v>
      </x:c>
      <x:c r="F233" s="34" t="n">
        <x:v>2289</x:v>
      </x:c>
      <x:c r="G233" s="34" t="str">
        <x:v>RECORDED</x:v>
      </x:c>
      <x:c r="H233" s="38" t="n">
        <x:f>IF(ISNUMBER('Data'!G233),'Data'!G233*100,"")</x:f>
        <x:v>11.88</x:v>
      </x:c>
      <x:c r="I233" s="34" t="str">
        <x:v>PASS</x:v>
      </x:c>
      <x:c r="J233" s="34" t="str">
        <x:v>PASS</x:v>
      </x:c>
      <x:c r="K233" s="34" t="str">
        <x:v>PASS</x:v>
      </x:c>
      <x:c r="L233" s="34" t="str">
        <x:v>PASS</x:v>
      </x:c>
      <x:c r="M233" s="34" t="str">
        <x:v>numeric coverage for applicable metric</x:v>
      </x:c>
      <x:c r="N233" s="34" t="str">
        <x:v>Feedback-Directed Random Test Generation/Result/Closure_169/result.json</x:v>
      </x:c>
      <x:c r="O233" s="38" t="n">
        <x:f>IF(AND(G233="RECORDED",ISNUMBER(H233)),H233,"")</x:f>
        <x:v>11.88</x:v>
      </x:c>
      <x:c r="P233" s="34" t="str">
        <x:v>NOT_REVEALING</x:v>
      </x:c>
      <x:c r="Q233" s="34" t="str">
        <x:v>Feedback-Directed Random Test Generation/Result/Closure_169/result.json</x:v>
      </x:c>
    </x:row>
    <x:row r="234">
      <x:c r="A234" s="34" t="str">
        <x:v>randoop</x:v>
      </x:c>
      <x:c r="B234" s="34" t="str">
        <x:v>Closure</x:v>
      </x:c>
      <x:c r="C234" s="34" t="str">
        <x:v>Round1</x:v>
      </x:c>
      <x:c r="D234" s="34" t="str">
        <x:v>Closure_170</x:v>
      </x:c>
      <x:c r="E234" s="34" t="str">
        <x:v>Coverage</x:v>
      </x:c>
      <x:c r="F234" s="34" t="n">
        <x:v>311</x:v>
      </x:c>
      <x:c r="G234" s="34" t="str">
        <x:v>RECORDED</x:v>
      </x:c>
      <x:c r="H234" s="38" t="n">
        <x:f>IF(ISNUMBER('Data'!G234),'Data'!G234*100,"")</x:f>
        <x:v>3.2199999999999998</x:v>
      </x:c>
      <x:c r="I234" s="34" t="str">
        <x:v>PASS</x:v>
      </x:c>
      <x:c r="J234" s="34" t="str">
        <x:v>PASS</x:v>
      </x:c>
      <x:c r="K234" s="34" t="str">
        <x:v>PASS</x:v>
      </x:c>
      <x:c r="L234" s="34" t="str">
        <x:v>PASS</x:v>
      </x:c>
      <x:c r="M234" s="34" t="str">
        <x:v>numeric coverage for applicable metric</x:v>
      </x:c>
      <x:c r="N234" s="34" t="str">
        <x:v>Feedback-Directed Random Test Generation/Result/Closure_170/result.json</x:v>
      </x:c>
      <x:c r="O234" s="38" t="n">
        <x:f>IF(AND(G234="RECORDED",ISNUMBER(H234)),H234,"")</x:f>
        <x:v>3.2199999999999998</x:v>
      </x:c>
      <x:c r="P234" s="34" t="str">
        <x:v>NOT_REVEALING</x:v>
      </x:c>
      <x:c r="Q234" s="34" t="str">
        <x:v>Feedback-Directed Random Test Generation/Result/Closure_170/result.json</x:v>
      </x:c>
    </x:row>
    <x:row r="235">
      <x:c r="A235" s="34" t="str">
        <x:v>randoop</x:v>
      </x:c>
      <x:c r="B235" s="34" t="str">
        <x:v>Closure</x:v>
      </x:c>
      <x:c r="C235" s="34" t="str">
        <x:v>Round1</x:v>
      </x:c>
      <x:c r="D235" s="34" t="str">
        <x:v>Closure_171</x:v>
      </x:c>
      <x:c r="E235" s="34" t="str">
        <x:v>Coverage</x:v>
      </x:c>
      <x:c r="F235" s="34" t="n">
        <x:v>2869</x:v>
      </x:c>
      <x:c r="G235" s="34" t="str">
        <x:v>RECORDED</x:v>
      </x:c>
      <x:c r="H235" s="38" t="n">
        <x:f>IF(ISNUMBER('Data'!G235),'Data'!G235*100,"")</x:f>
        <x:v>1.08</x:v>
      </x:c>
      <x:c r="I235" s="34" t="str">
        <x:v>PASS</x:v>
      </x:c>
      <x:c r="J235" s="34" t="str">
        <x:v>PASS</x:v>
      </x:c>
      <x:c r="K235" s="34" t="str">
        <x:v>PASS</x:v>
      </x:c>
      <x:c r="L235" s="34" t="str">
        <x:v>PASS</x:v>
      </x:c>
      <x:c r="M235" s="34" t="str">
        <x:v>numeric coverage for applicable metric</x:v>
      </x:c>
      <x:c r="N235" s="34" t="str">
        <x:v>Feedback-Directed Random Test Generation/Result/Closure_171/result.json</x:v>
      </x:c>
      <x:c r="O235" s="38" t="n">
        <x:f>IF(AND(G235="RECORDED",ISNUMBER(H235)),H235,"")</x:f>
        <x:v>1.08</x:v>
      </x:c>
      <x:c r="P235" s="34" t="str">
        <x:v>NOT_REVEALING</x:v>
      </x:c>
      <x:c r="Q235" s="34" t="str">
        <x:v>Feedback-Directed Random Test Generation/Result/Closure_171/result.json</x:v>
      </x:c>
    </x:row>
    <x:row r="236">
      <x:c r="A236" s="34" t="str">
        <x:v>randoop</x:v>
      </x:c>
      <x:c r="B236" s="34" t="str">
        <x:v>Closure</x:v>
      </x:c>
      <x:c r="C236" s="34" t="str">
        <x:v>Round1</x:v>
      </x:c>
      <x:c r="D236" s="34" t="str">
        <x:v>Closure_172</x:v>
      </x:c>
      <x:c r="E236" s="34" t="str">
        <x:v>Coverage</x:v>
      </x:c>
      <x:c r="F236" s="34" t="n">
        <x:v>1713</x:v>
      </x:c>
      <x:c r="G236" s="34" t="str">
        <x:v>RECORDED</x:v>
      </x:c>
      <x:c r="H236" s="38" t="n">
        <x:f>IF(ISNUMBER('Data'!G236),'Data'!G236*100,"")</x:f>
        <x:v>1.46</x:v>
      </x:c>
      <x:c r="I236" s="34" t="str">
        <x:v>PASS</x:v>
      </x:c>
      <x:c r="J236" s="34" t="str">
        <x:v>PASS</x:v>
      </x:c>
      <x:c r="K236" s="34" t="str">
        <x:v>PASS</x:v>
      </x:c>
      <x:c r="L236" s="34" t="str">
        <x:v>PASS</x:v>
      </x:c>
      <x:c r="M236" s="34" t="str">
        <x:v>numeric coverage for applicable metric</x:v>
      </x:c>
      <x:c r="N236" s="34" t="str">
        <x:v>Feedback-Directed Random Test Generation/Result/Closure_172/result.json</x:v>
      </x:c>
      <x:c r="O236" s="38" t="n">
        <x:f>IF(AND(G236="RECORDED",ISNUMBER(H236)),H236,"")</x:f>
        <x:v>1.46</x:v>
      </x:c>
      <x:c r="P236" s="34" t="str">
        <x:v>NOT_REVEALING</x:v>
      </x:c>
      <x:c r="Q236" s="34" t="str">
        <x:v>Feedback-Directed Random Test Generation/Result/Closure_172/result.json</x:v>
      </x:c>
    </x:row>
    <x:row r="237">
      <x:c r="A237" s="34" t="str">
        <x:v>randoop</x:v>
      </x:c>
      <x:c r="B237" s="34" t="str">
        <x:v>Closure</x:v>
      </x:c>
      <x:c r="C237" s="34" t="str">
        <x:v>Round1</x:v>
      </x:c>
      <x:c r="D237" s="34" t="str">
        <x:v>Closure_173</x:v>
      </x:c>
      <x:c r="E237" s="34" t="str">
        <x:v>Coverage</x:v>
      </x:c>
      <x:c r="F237" s="34" t="n">
        <x:v>1602</x:v>
      </x:c>
      <x:c r="G237" s="34" t="str">
        <x:v>RECORDED</x:v>
      </x:c>
      <x:c r="H237" s="38" t="n">
        <x:f>IF(ISNUMBER('Data'!G237),'Data'!G237*100,"")</x:f>
        <x:v>6.18</x:v>
      </x:c>
      <x:c r="I237" s="34" t="str">
        <x:v>PASS</x:v>
      </x:c>
      <x:c r="J237" s="34" t="str">
        <x:v>PASS</x:v>
      </x:c>
      <x:c r="K237" s="34" t="str">
        <x:v>PASS</x:v>
      </x:c>
      <x:c r="L237" s="34" t="str">
        <x:v>PASS</x:v>
      </x:c>
      <x:c r="M237" s="34" t="str">
        <x:v>numeric coverage for applicable metric</x:v>
      </x:c>
      <x:c r="N237" s="34" t="str">
        <x:v>Feedback-Directed Random Test Generation/Result/Closure_173/result.json</x:v>
      </x:c>
      <x:c r="O237" s="38" t="n">
        <x:f>IF(AND(G237="RECORDED",ISNUMBER(H237)),H237,"")</x:f>
        <x:v>6.18</x:v>
      </x:c>
      <x:c r="P237" s="34" t="str">
        <x:v>NOT_REVEALING</x:v>
      </x:c>
      <x:c r="Q237" s="34" t="str">
        <x:v>Feedback-Directed Random Test Generation/Result/Closure_173/result.json</x:v>
      </x:c>
    </x:row>
    <x:row r="238">
      <x:c r="A238" s="34" t="str">
        <x:v>randoop</x:v>
      </x:c>
      <x:c r="B238" s="34" t="str">
        <x:v>Closure</x:v>
      </x:c>
      <x:c r="C238" s="34" t="str">
        <x:v>Round1</x:v>
      </x:c>
      <x:c r="D238" s="34" t="str">
        <x:v>Closure_174</x:v>
      </x:c>
      <x:c r="E238" s="34" t="str">
        <x:v>Coverage</x:v>
      </x:c>
      <x:c r="F238" s="34" t="n">
        <x:v>2629</x:v>
      </x:c>
      <x:c r="G238" s="34" t="str">
        <x:v>RECORDED</x:v>
      </x:c>
      <x:c r="H238" s="38" t="n">
        <x:f>IF(ISNUMBER('Data'!G238),'Data'!G238*100,"")</x:f>
        <x:v>31.11</x:v>
      </x:c>
      <x:c r="I238" s="34" t="str">
        <x:v>PASS</x:v>
      </x:c>
      <x:c r="J238" s="34" t="str">
        <x:v>PASS</x:v>
      </x:c>
      <x:c r="K238" s="34" t="str">
        <x:v>PASS</x:v>
      </x:c>
      <x:c r="L238" s="34" t="str">
        <x:v>FAIL</x:v>
      </x:c>
      <x:c r="M238" s="34" t="str">
        <x:v>numeric coverage for applicable metric</x:v>
      </x:c>
      <x:c r="N238" s="34" t="str">
        <x:v>Feedback-Directed Random Test Generation/Result/Closure_174/result.json</x:v>
      </x:c>
      <x:c r="O238" s="38" t="n">
        <x:f>IF(AND(G238="RECORDED",ISNUMBER(H238)),H238,"")</x:f>
        <x:v>31.11</x:v>
      </x:c>
      <x:c r="P238" s="34" t="str">
        <x:v>INCONCLUSIVE</x:v>
      </x:c>
      <x:c r="Q238" s="34" t="str">
        <x:v>Feedback-Directed Random Test Generation/Result/Closure_174/result.json</x:v>
      </x:c>
    </x:row>
    <x:row r="239">
      <x:c r="A239" s="34" t="str">
        <x:v>randoop</x:v>
      </x:c>
      <x:c r="B239" s="34" t="str">
        <x:v>Closure</x:v>
      </x:c>
      <x:c r="C239" s="34" t="str">
        <x:v>Round1</x:v>
      </x:c>
      <x:c r="D239" s="34" t="str">
        <x:v>Closure_175</x:v>
      </x:c>
      <x:c r="E239" s="34" t="str">
        <x:v>Coverage</x:v>
      </x:c>
      <x:c r="F239" s="34" t="n">
        <x:v>521</x:v>
      </x:c>
      <x:c r="G239" s="34" t="str">
        <x:v>RECORDED</x:v>
      </x:c>
      <x:c r="H239" s="38" t="n">
        <x:f>IF(ISNUMBER('Data'!G239),'Data'!G239*100,"")</x:f>
        <x:v>1.34</x:v>
      </x:c>
      <x:c r="I239" s="34" t="str">
        <x:v>PASS</x:v>
      </x:c>
      <x:c r="J239" s="34" t="str">
        <x:v>PASS</x:v>
      </x:c>
      <x:c r="K239" s="34" t="str">
        <x:v>PASS</x:v>
      </x:c>
      <x:c r="L239" s="34" t="str">
        <x:v>PASS</x:v>
      </x:c>
      <x:c r="M239" s="34" t="str">
        <x:v>numeric coverage for applicable metric</x:v>
      </x:c>
      <x:c r="N239" s="34" t="str">
        <x:v>Feedback-Directed Random Test Generation/Result/Closure_175/result.json</x:v>
      </x:c>
      <x:c r="O239" s="38" t="n">
        <x:f>IF(AND(G239="RECORDED",ISNUMBER(H239)),H239,"")</x:f>
        <x:v>1.34</x:v>
      </x:c>
      <x:c r="P239" s="34" t="str">
        <x:v>NOT_REVEALING</x:v>
      </x:c>
      <x:c r="Q239" s="34" t="str">
        <x:v>Feedback-Directed Random Test Generation/Result/Closure_175/result.json</x:v>
      </x:c>
    </x:row>
    <x:row r="240">
      <x:c r="A240" s="34" t="str">
        <x:v>randoop</x:v>
      </x:c>
      <x:c r="B240" s="34" t="str">
        <x:v>Closure</x:v>
      </x:c>
      <x:c r="C240" s="34" t="str">
        <x:v>Round1</x:v>
      </x:c>
      <x:c r="D240" s="34" t="str">
        <x:v>Closure_176</x:v>
      </x:c>
      <x:c r="E240" s="34" t="str">
        <x:v>Coverage</x:v>
      </x:c>
      <x:c r="F240" s="34" t="n">
        <x:v>1217</x:v>
      </x:c>
      <x:c r="G240" s="34" t="str">
        <x:v>RECORDED</x:v>
      </x:c>
      <x:c r="H240" s="38" t="n">
        <x:f>IF(ISNUMBER('Data'!G240),'Data'!G240*100,"")</x:f>
        <x:v>0.4099999999999999</x:v>
      </x:c>
      <x:c r="I240" s="34" t="str">
        <x:v>PASS</x:v>
      </x:c>
      <x:c r="J240" s="34" t="str">
        <x:v>PASS</x:v>
      </x:c>
      <x:c r="K240" s="34" t="str">
        <x:v>PASS</x:v>
      </x:c>
      <x:c r="L240" s="34" t="str">
        <x:v>PASS</x:v>
      </x:c>
      <x:c r="M240" s="34" t="str">
        <x:v>numeric coverage for applicable metric</x:v>
      </x:c>
      <x:c r="N240" s="34" t="str">
        <x:v>Feedback-Directed Random Test Generation/Result/Closure_176/result.json</x:v>
      </x:c>
      <x:c r="O240" s="38" t="n">
        <x:f>IF(AND(G240="RECORDED",ISNUMBER(H240)),H240,"")</x:f>
        <x:v>0.4099999999999999</x:v>
      </x:c>
      <x:c r="P240" s="34" t="str">
        <x:v>NOT_REVEALING</x:v>
      </x:c>
      <x:c r="Q240" s="34" t="str">
        <x:v>Feedback-Directed Random Test Generation/Result/Closure_176/result.json</x:v>
      </x:c>
    </x:row>
    <x:row r="241">
      <x:c r="A241" s="34" t="str">
        <x:v>randoop</x:v>
      </x:c>
      <x:c r="B241" s="34" t="str">
        <x:v>Codec</x:v>
      </x:c>
      <x:c r="C241" s="34" t="str">
        <x:v>Round1</x:v>
      </x:c>
      <x:c r="D241" s="34" t="str">
        <x:v>Codec_1</x:v>
      </x:c>
      <x:c r="E241" s="34" t="str">
        <x:v>Coverage</x:v>
      </x:c>
      <x:c r="F241" s="34" t="n">
        <x:v>440</x:v>
      </x:c>
      <x:c r="G241" s="34" t="str">
        <x:v>RECORDED</x:v>
      </x:c>
      <x:c r="H241" s="38" t="n">
        <x:f>IF(ISNUMBER('Data'!G241),'Data'!G241*100,"")</x:f>
        <x:v>41.36</x:v>
      </x:c>
      <x:c r="I241" s="34" t="str">
        <x:v>PASS</x:v>
      </x:c>
      <x:c r="J241" s="34" t="str">
        <x:v>PASS</x:v>
      </x:c>
      <x:c r="K241" s="34" t="str">
        <x:v>PASS</x:v>
      </x:c>
      <x:c r="L241" s="34" t="str">
        <x:v>FAIL</x:v>
      </x:c>
      <x:c r="M241" s="34" t="str">
        <x:v>numeric coverage for applicable metric</x:v>
      </x:c>
      <x:c r="N241" s="34" t="str">
        <x:v>Feedback-Directed Random Test Generation/Result/Codec_1/result.json</x:v>
      </x:c>
      <x:c r="O241" s="38" t="n">
        <x:f>IF(AND(G241="RECORDED",ISNUMBER(H241)),H241,"")</x:f>
        <x:v>41.36</x:v>
      </x:c>
      <x:c r="P241" s="34" t="str">
        <x:v>INCONCLUSIVE</x:v>
      </x:c>
      <x:c r="Q241" s="34" t="str">
        <x:v>Feedback-Directed Random Test Generation/Result/Codec_1/result.json</x:v>
      </x:c>
    </x:row>
    <x:row r="242">
      <x:c r="A242" s="34" t="str">
        <x:v>randoop</x:v>
      </x:c>
      <x:c r="B242" s="34" t="str">
        <x:v>Codec</x:v>
      </x:c>
      <x:c r="C242" s="34" t="str">
        <x:v>Round1</x:v>
      </x:c>
      <x:c r="D242" s="34" t="str">
        <x:v>Codec_2</x:v>
      </x:c>
      <x:c r="E242" s="34" t="str">
        <x:v>Coverage</x:v>
      </x:c>
      <x:c r="F242" s="34" t="n">
        <x:v>360</x:v>
      </x:c>
      <x:c r="G242" s="34" t="str">
        <x:v>RECORDED</x:v>
      </x:c>
      <x:c r="H242" s="38" t="n">
        <x:f>IF(ISNUMBER('Data'!G242),'Data'!G242*100,"")</x:f>
        <x:v>93.06</x:v>
      </x:c>
      <x:c r="I242" s="34" t="str">
        <x:v>PASS</x:v>
      </x:c>
      <x:c r="J242" s="34" t="str">
        <x:v>PASS</x:v>
      </x:c>
      <x:c r="K242" s="34" t="str">
        <x:v>PASS</x:v>
      </x:c>
      <x:c r="L242" s="34" t="str">
        <x:v>PASS</x:v>
      </x:c>
      <x:c r="M242" s="34" t="str">
        <x:v>numeric coverage for applicable metric</x:v>
      </x:c>
      <x:c r="N242" s="34" t="str">
        <x:v>Feedback-Directed Random Test Generation/Result/Codec_2/result.json</x:v>
      </x:c>
      <x:c r="O242" s="38" t="n">
        <x:f>IF(AND(G242="RECORDED",ISNUMBER(H242)),H242,"")</x:f>
        <x:v>93.06</x:v>
      </x:c>
      <x:c r="P242" s="34" t="str">
        <x:v>NOT_REVEALING</x:v>
      </x:c>
      <x:c r="Q242" s="34" t="str">
        <x:v>Feedback-Directed Random Test Generation/Result/Codec_2/result.json</x:v>
      </x:c>
    </x:row>
    <x:row r="243">
      <x:c r="A243" s="34" t="str">
        <x:v>randoop</x:v>
      </x:c>
      <x:c r="B243" s="34" t="str">
        <x:v>Codec</x:v>
      </x:c>
      <x:c r="C243" s="34" t="str">
        <x:v>Round1</x:v>
      </x:c>
      <x:c r="D243" s="34" t="str">
        <x:v>Codec_3</x:v>
      </x:c>
      <x:c r="E243" s="34" t="str">
        <x:v>Coverage</x:v>
      </x:c>
      <x:c r="F243" s="34" t="n">
        <x:v>903</x:v>
      </x:c>
      <x:c r="G243" s="34" t="str">
        <x:v>RECORDED</x:v>
      </x:c>
      <x:c r="H243" s="38" t="n">
        <x:f>IF(ISNUMBER('Data'!G243),'Data'!G243*100,"")</x:f>
        <x:v>16.06</x:v>
      </x:c>
      <x:c r="I243" s="34" t="str">
        <x:v>PASS</x:v>
      </x:c>
      <x:c r="J243" s="34" t="str">
        <x:v>PASS</x:v>
      </x:c>
      <x:c r="K243" s="34" t="str">
        <x:v>PASS</x:v>
      </x:c>
      <x:c r="L243" s="34" t="str">
        <x:v>FAIL</x:v>
      </x:c>
      <x:c r="M243" s="34" t="str">
        <x:v>numeric coverage for applicable metric</x:v>
      </x:c>
      <x:c r="N243" s="34" t="str">
        <x:v>Feedback-Directed Random Test Generation/Result/Codec_3/result.json</x:v>
      </x:c>
      <x:c r="O243" s="38" t="n">
        <x:f>IF(AND(G243="RECORDED",ISNUMBER(H243)),H243,"")</x:f>
        <x:v>16.06</x:v>
      </x:c>
      <x:c r="P243" s="34" t="str">
        <x:v>INCONCLUSIVE</x:v>
      </x:c>
      <x:c r="Q243" s="34" t="str">
        <x:v>Feedback-Directed Random Test Generation/Result/Codec_3/result.json</x:v>
      </x:c>
    </x:row>
    <x:row r="244">
      <x:c r="A244" s="34" t="str">
        <x:v>randoop</x:v>
      </x:c>
      <x:c r="B244" s="34" t="str">
        <x:v>Codec</x:v>
      </x:c>
      <x:c r="C244" s="34" t="str">
        <x:v>Round1</x:v>
      </x:c>
      <x:c r="D244" s="34" t="str">
        <x:v>Codec_4</x:v>
      </x:c>
      <x:c r="E244" s="34" t="str">
        <x:v>Coverage</x:v>
      </x:c>
      <x:c r="F244" s="34" t="n">
        <x:v>389</x:v>
      </x:c>
      <x:c r="G244" s="34" t="str">
        <x:v>RECORDED</x:v>
      </x:c>
      <x:c r="H244" s="38" t="n">
        <x:f>IF(ISNUMBER('Data'!G244),'Data'!G244*100,"")</x:f>
        <x:v>92.8</x:v>
      </x:c>
      <x:c r="I244" s="34" t="str">
        <x:v>PASS</x:v>
      </x:c>
      <x:c r="J244" s="34" t="str">
        <x:v>PASS</x:v>
      </x:c>
      <x:c r="K244" s="34" t="str">
        <x:v>PASS</x:v>
      </x:c>
      <x:c r="L244" s="34" t="str">
        <x:v>PASS</x:v>
      </x:c>
      <x:c r="M244" s="34" t="str">
        <x:v>numeric coverage for applicable metric</x:v>
      </x:c>
      <x:c r="N244" s="34" t="str">
        <x:v>Feedback-Directed Random Test Generation/Result/Codec_4/result.json</x:v>
      </x:c>
      <x:c r="O244" s="38" t="n">
        <x:f>IF(AND(G244="RECORDED",ISNUMBER(H244)),H244,"")</x:f>
        <x:v>92.8</x:v>
      </x:c>
      <x:c r="P244" s="34" t="str">
        <x:v>INCONCLUSIVE</x:v>
      </x:c>
      <x:c r="Q244" s="34" t="str">
        <x:v>Feedback-Directed Random Test Generation/Result/Codec_4/result.json</x:v>
      </x:c>
    </x:row>
    <x:row r="245">
      <x:c r="A245" s="34" t="str">
        <x:v>randoop</x:v>
      </x:c>
      <x:c r="B245" s="34" t="str">
        <x:v>Codec</x:v>
      </x:c>
      <x:c r="C245" s="34" t="str">
        <x:v>Round1</x:v>
      </x:c>
      <x:c r="D245" s="34" t="str">
        <x:v>Codec_5</x:v>
      </x:c>
      <x:c r="E245" s="34" t="str">
        <x:v>Coverage</x:v>
      </x:c>
      <x:c r="F245" s="34" t="n">
        <x:v>389</x:v>
      </x:c>
      <x:c r="G245" s="34" t="str">
        <x:v>RECORDED</x:v>
      </x:c>
      <x:c r="H245" s="38" t="n">
        <x:f>IF(ISNUMBER('Data'!G245),'Data'!G245*100,"")</x:f>
        <x:v>89.2</x:v>
      </x:c>
      <x:c r="I245" s="34" t="str">
        <x:v>PASS</x:v>
      </x:c>
      <x:c r="J245" s="34" t="str">
        <x:v>PASS</x:v>
      </x:c>
      <x:c r="K245" s="34" t="str">
        <x:v>PASS</x:v>
      </x:c>
      <x:c r="L245" s="34" t="str">
        <x:v>PASS</x:v>
      </x:c>
      <x:c r="M245" s="34" t="str">
        <x:v>numeric coverage for applicable metric</x:v>
      </x:c>
      <x:c r="N245" s="34" t="str">
        <x:v>Feedback-Directed Random Test Generation/Result/Codec_5/result.json</x:v>
      </x:c>
      <x:c r="O245" s="38" t="n">
        <x:f>IF(AND(G245="RECORDED",ISNUMBER(H245)),H245,"")</x:f>
        <x:v>89.2</x:v>
      </x:c>
      <x:c r="P245" s="34" t="str">
        <x:v>NOT_REVEALING</x:v>
      </x:c>
      <x:c r="Q245" s="34" t="str">
        <x:v>Feedback-Directed Random Test Generation/Result/Codec_5/result.json</x:v>
      </x:c>
    </x:row>
    <x:row r="246">
      <x:c r="A246" s="34" t="str">
        <x:v>randoop</x:v>
      </x:c>
      <x:c r="B246" s="34" t="str">
        <x:v>Codec</x:v>
      </x:c>
      <x:c r="C246" s="34" t="str">
        <x:v>Round1</x:v>
      </x:c>
      <x:c r="D246" s="34" t="str">
        <x:v>Codec_6</x:v>
      </x:c>
      <x:c r="E246" s="34" t="str">
        <x:v>Coverage</x:v>
      </x:c>
      <x:c r="F246" s="34" t="n">
        <x:v>63</x:v>
      </x:c>
      <x:c r="G246" s="34" t="str">
        <x:v>RECORDED</x:v>
      </x:c>
      <x:c r="H246" s="38" t="n">
        <x:f>IF(ISNUMBER('Data'!G246),'Data'!G246*100,"")</x:f>
        <x:v>55.559999999999995</x:v>
      </x:c>
      <x:c r="I246" s="34" t="str">
        <x:v>PASS</x:v>
      </x:c>
      <x:c r="J246" s="34" t="str">
        <x:v>PASS</x:v>
      </x:c>
      <x:c r="K246" s="34" t="str">
        <x:v>PASS</x:v>
      </x:c>
      <x:c r="L246" s="34" t="str">
        <x:v>PASS</x:v>
      </x:c>
      <x:c r="M246" s="34" t="str">
        <x:v>numeric coverage for applicable metric</x:v>
      </x:c>
      <x:c r="N246" s="34" t="str">
        <x:v>Feedback-Directed Random Test Generation/Result/Codec_6/result.json</x:v>
      </x:c>
      <x:c r="O246" s="38" t="n">
        <x:f>IF(AND(G246="RECORDED",ISNUMBER(H246)),H246,"")</x:f>
        <x:v>55.559999999999995</x:v>
      </x:c>
      <x:c r="P246" s="34" t="str">
        <x:v>NOT_REVEALING</x:v>
      </x:c>
      <x:c r="Q246" s="34" t="str">
        <x:v>Feedback-Directed Random Test Generation/Result/Codec_6/result.json</x:v>
      </x:c>
    </x:row>
    <x:row r="247">
      <x:c r="A247" s="34" t="str">
        <x:v>randoop</x:v>
      </x:c>
      <x:c r="B247" s="34" t="str">
        <x:v>Codec</x:v>
      </x:c>
      <x:c r="C247" s="34" t="str">
        <x:v>Round1</x:v>
      </x:c>
      <x:c r="D247" s="34" t="str">
        <x:v>Codec_7</x:v>
      </x:c>
      <x:c r="E247" s="34" t="str">
        <x:v>Coverage</x:v>
      </x:c>
      <x:c r="F247" s="34" t="n">
        <x:v>395</x:v>
      </x:c>
      <x:c r="G247" s="34" t="str">
        <x:v>RECORDED</x:v>
      </x:c>
      <x:c r="H247" s="38" t="n">
        <x:f>IF(ISNUMBER('Data'!G247),'Data'!G247*100,"")</x:f>
        <x:v>88.86</x:v>
      </x:c>
      <x:c r="I247" s="34" t="str">
        <x:v>PASS</x:v>
      </x:c>
      <x:c r="J247" s="34" t="str">
        <x:v>PASS</x:v>
      </x:c>
      <x:c r="K247" s="34" t="str">
        <x:v>PASS</x:v>
      </x:c>
      <x:c r="L247" s="34" t="str">
        <x:v>PASS</x:v>
      </x:c>
      <x:c r="M247" s="34" t="str">
        <x:v>numeric coverage for applicable metric</x:v>
      </x:c>
      <x:c r="N247" s="34" t="str">
        <x:v>Feedback-Directed Random Test Generation/Result/Codec_7/result.json</x:v>
      </x:c>
      <x:c r="O247" s="38" t="n">
        <x:f>IF(AND(G247="RECORDED",ISNUMBER(H247)),H247,"")</x:f>
        <x:v>88.86</x:v>
      </x:c>
      <x:c r="P247" s="34" t="str">
        <x:v>INCONCLUSIVE</x:v>
      </x:c>
      <x:c r="Q247" s="34" t="str">
        <x:v>Feedback-Directed Random Test Generation/Result/Codec_7/result.json</x:v>
      </x:c>
    </x:row>
    <x:row r="248">
      <x:c r="A248" s="34" t="str">
        <x:v>randoop</x:v>
      </x:c>
      <x:c r="B248" s="34" t="str">
        <x:v>Codec</x:v>
      </x:c>
      <x:c r="C248" s="34" t="str">
        <x:v>Round1</x:v>
      </x:c>
      <x:c r="D248" s="34" t="str">
        <x:v>Codec_8</x:v>
      </x:c>
      <x:c r="E248" s="34" t="str">
        <x:v>Coverage</x:v>
      </x:c>
      <x:c r="F248" s="34" t="n">
        <x:v>447</x:v>
      </x:c>
      <x:c r="G248" s="34" t="str">
        <x:v>RECORDED</x:v>
      </x:c>
      <x:c r="H248" s="38" t="n">
        <x:f>IF(ISNUMBER('Data'!G248),'Data'!G248*100,"")</x:f>
        <x:v>80.31</x:v>
      </x:c>
      <x:c r="I248" s="34" t="str">
        <x:v>PASS</x:v>
      </x:c>
      <x:c r="J248" s="34" t="str">
        <x:v>PASS</x:v>
      </x:c>
      <x:c r="K248" s="34" t="str">
        <x:v>PASS</x:v>
      </x:c>
      <x:c r="L248" s="34" t="str">
        <x:v>PASS</x:v>
      </x:c>
      <x:c r="M248" s="34" t="str">
        <x:v>numeric coverage for applicable metric</x:v>
      </x:c>
      <x:c r="N248" s="34" t="str">
        <x:v>Feedback-Directed Random Test Generation/Result/Codec_8/result.json</x:v>
      </x:c>
      <x:c r="O248" s="38" t="n">
        <x:f>IF(AND(G248="RECORDED",ISNUMBER(H248)),H248,"")</x:f>
        <x:v>80.31</x:v>
      </x:c>
      <x:c r="P248" s="34" t="str">
        <x:v>NOT_AVAILABLE</x:v>
      </x:c>
      <x:c r="Q248" s="34" t="str">
        <x:v>Feedback-Directed Random Test Generation/Result/Codec_8/result.json</x:v>
      </x:c>
    </x:row>
    <x:row r="249">
      <x:c r="A249" s="34" t="str">
        <x:v>randoop</x:v>
      </x:c>
      <x:c r="B249" s="34" t="str">
        <x:v>Codec</x:v>
      </x:c>
      <x:c r="C249" s="34" t="str">
        <x:v>Round1</x:v>
      </x:c>
      <x:c r="D249" s="34" t="str">
        <x:v>Codec_9</x:v>
      </x:c>
      <x:c r="E249" s="34" t="str">
        <x:v>Coverage</x:v>
      </x:c>
      <x:c r="F249" s="34" t="n">
        <x:v>372</x:v>
      </x:c>
      <x:c r="G249" s="34" t="str">
        <x:v>RECORDED</x:v>
      </x:c>
      <x:c r="H249" s="38" t="n">
        <x:f>IF(ISNUMBER('Data'!G249),'Data'!G249*100,"")</x:f>
        <x:v>89.25</x:v>
      </x:c>
      <x:c r="I249" s="34" t="str">
        <x:v>PASS</x:v>
      </x:c>
      <x:c r="J249" s="34" t="str">
        <x:v>PASS</x:v>
      </x:c>
      <x:c r="K249" s="34" t="str">
        <x:v>PASS</x:v>
      </x:c>
      <x:c r="L249" s="34" t="str">
        <x:v>PASS</x:v>
      </x:c>
      <x:c r="M249" s="34" t="str">
        <x:v>numeric coverage for applicable metric</x:v>
      </x:c>
      <x:c r="N249" s="34" t="str">
        <x:v>Feedback-Directed Random Test Generation/Result/Codec_9/result.json</x:v>
      </x:c>
      <x:c r="O249" s="38" t="n">
        <x:f>IF(AND(G249="RECORDED",ISNUMBER(H249)),H249,"")</x:f>
        <x:v>89.25</x:v>
      </x:c>
      <x:c r="P249" s="34" t="str">
        <x:v>NOT_REVEALING</x:v>
      </x:c>
      <x:c r="Q249" s="34" t="str">
        <x:v>Feedback-Directed Random Test Generation/Result/Codec_9/result.json</x:v>
      </x:c>
    </x:row>
    <x:row r="250">
      <x:c r="A250" s="34" t="str">
        <x:v>randoop</x:v>
      </x:c>
      <x:c r="B250" s="34" t="str">
        <x:v>Codec</x:v>
      </x:c>
      <x:c r="C250" s="34" t="str">
        <x:v>Round1</x:v>
      </x:c>
      <x:c r="D250" s="34" t="str">
        <x:v>Codec_10</x:v>
      </x:c>
      <x:c r="E250" s="34" t="str">
        <x:v>Coverage</x:v>
      </x:c>
      <x:c r="F250" s="34" t="n">
        <x:v>75</x:v>
      </x:c>
      <x:c r="G250" s="34" t="str">
        <x:v>RECORDED</x:v>
      </x:c>
      <x:c r="H250" s="38" t="n">
        <x:f>IF(ISNUMBER('Data'!G250),'Data'!G250*100,"")</x:f>
        <x:v>98.67</x:v>
      </x:c>
      <x:c r="I250" s="34" t="str">
        <x:v>PASS</x:v>
      </x:c>
      <x:c r="J250" s="34" t="str">
        <x:v>PASS</x:v>
      </x:c>
      <x:c r="K250" s="34" t="str">
        <x:v>PASS</x:v>
      </x:c>
      <x:c r="L250" s="34" t="str">
        <x:v>PASS</x:v>
      </x:c>
      <x:c r="M250" s="34" t="str">
        <x:v>numeric coverage for applicable metric</x:v>
      </x:c>
      <x:c r="N250" s="34" t="str">
        <x:v>Feedback-Directed Random Test Generation/Result/Codec_10/result.json</x:v>
      </x:c>
      <x:c r="O250" s="38" t="n">
        <x:f>IF(AND(G250="RECORDED",ISNUMBER(H250)),H250,"")</x:f>
        <x:v>98.67</x:v>
      </x:c>
      <x:c r="P250" s="34" t="str">
        <x:v>NOT_REVEALING</x:v>
      </x:c>
      <x:c r="Q250" s="34" t="str">
        <x:v>Feedback-Directed Random Test Generation/Result/Codec_10/result.json</x:v>
      </x:c>
    </x:row>
    <x:row r="251">
      <x:c r="A251" s="34" t="str">
        <x:v>randoop</x:v>
      </x:c>
      <x:c r="B251" s="34" t="str">
        <x:v>Codec</x:v>
      </x:c>
      <x:c r="C251" s="34" t="str">
        <x:v>Round1</x:v>
      </x:c>
      <x:c r="D251" s="34" t="str">
        <x:v>Codec_11</x:v>
      </x:c>
      <x:c r="E251" s="34" t="str">
        <x:v>Coverage</x:v>
      </x:c>
      <x:c r="F251" s="34" t="n">
        <x:v>117</x:v>
      </x:c>
      <x:c r="G251" s="34" t="str">
        <x:v>RECORDED</x:v>
      </x:c>
      <x:c r="H251" s="38" t="n">
        <x:f>IF(ISNUMBER('Data'!G251),'Data'!G251*100,"")</x:f>
        <x:v>82.91</x:v>
      </x:c>
      <x:c r="I251" s="34" t="str">
        <x:v>PASS</x:v>
      </x:c>
      <x:c r="J251" s="34" t="str">
        <x:v>PASS</x:v>
      </x:c>
      <x:c r="K251" s="34" t="str">
        <x:v>PASS</x:v>
      </x:c>
      <x:c r="L251" s="34" t="str">
        <x:v>PASS</x:v>
      </x:c>
      <x:c r="M251" s="34" t="str">
        <x:v>numeric coverage for applicable metric</x:v>
      </x:c>
      <x:c r="N251" s="34" t="str">
        <x:v>Feedback-Directed Random Test Generation/Result/Codec_11/result.json</x:v>
      </x:c>
      <x:c r="O251" s="38" t="n">
        <x:f>IF(AND(G251="RECORDED",ISNUMBER(H251)),H251,"")</x:f>
        <x:v>82.91</x:v>
      </x:c>
      <x:c r="P251" s="34" t="str">
        <x:v>INCONCLUSIVE</x:v>
      </x:c>
      <x:c r="Q251" s="34" t="str">
        <x:v>Feedback-Directed Random Test Generation/Result/Codec_11/result.json</x:v>
      </x:c>
    </x:row>
    <x:row r="252">
      <x:c r="A252" s="34" t="str">
        <x:v>randoop</x:v>
      </x:c>
      <x:c r="B252" s="34" t="str">
        <x:v>Codec</x:v>
      </x:c>
      <x:c r="C252" s="34" t="str">
        <x:v>Round1</x:v>
      </x:c>
      <x:c r="D252" s="34" t="str">
        <x:v>Codec_12</x:v>
      </x:c>
      <x:c r="E252" s="34" t="str">
        <x:v>Coverage</x:v>
      </x:c>
      <x:c r="F252" s="34" t="n">
        <x:v>57</x:v>
      </x:c>
      <x:c r="G252" s="34" t="str">
        <x:v>RECORDED</x:v>
      </x:c>
      <x:c r="H252" s="38" t="n">
        <x:f>IF(ISNUMBER('Data'!G252),'Data'!G252*100,"")</x:f>
        <x:v>54.39000000000001</x:v>
      </x:c>
      <x:c r="I252" s="34" t="str">
        <x:v>PASS</x:v>
      </x:c>
      <x:c r="J252" s="34" t="str">
        <x:v>PASS</x:v>
      </x:c>
      <x:c r="K252" s="34" t="str">
        <x:v>PASS</x:v>
      </x:c>
      <x:c r="L252" s="34" t="str">
        <x:v>PASS</x:v>
      </x:c>
      <x:c r="M252" s="34" t="str">
        <x:v>numeric coverage for applicable metric</x:v>
      </x:c>
      <x:c r="N252" s="34" t="str">
        <x:v>Feedback-Directed Random Test Generation/Result/Codec_12/result.json</x:v>
      </x:c>
      <x:c r="O252" s="38" t="n">
        <x:f>IF(AND(G252="RECORDED",ISNUMBER(H252)),H252,"")</x:f>
        <x:v>54.39000000000001</x:v>
      </x:c>
      <x:c r="P252" s="34" t="str">
        <x:v>INCONCLUSIVE</x:v>
      </x:c>
      <x:c r="Q252" s="34" t="str">
        <x:v>Feedback-Directed Random Test Generation/Result/Codec_12/result.json</x:v>
      </x:c>
    </x:row>
    <x:row r="253">
      <x:c r="A253" s="34" t="str">
        <x:v>randoop</x:v>
      </x:c>
      <x:c r="B253" s="34" t="str">
        <x:v>Codec</x:v>
      </x:c>
      <x:c r="C253" s="34" t="str">
        <x:v>Round1</x:v>
      </x:c>
      <x:c r="D253" s="34" t="str">
        <x:v>Codec_13</x:v>
      </x:c>
      <x:c r="E253" s="34" t="str">
        <x:v>Coverage</x:v>
      </x:c>
      <x:c r="F253" s="34" t="n">
        <x:v>939</x:v>
      </x:c>
      <x:c r="G253" s="34" t="str">
        <x:v>RECORDED</x:v>
      </x:c>
      <x:c r="H253" s="38" t="n">
        <x:f>IF(ISNUMBER('Data'!G253),'Data'!G253*100,"")</x:f>
        <x:v>17.25</x:v>
      </x:c>
      <x:c r="I253" s="34" t="str">
        <x:v>PASS</x:v>
      </x:c>
      <x:c r="J253" s="34" t="str">
        <x:v>PASS</x:v>
      </x:c>
      <x:c r="K253" s="34" t="str">
        <x:v>PASS</x:v>
      </x:c>
      <x:c r="L253" s="34" t="str">
        <x:v>FAIL</x:v>
      </x:c>
      <x:c r="M253" s="34" t="str">
        <x:v>numeric coverage for applicable metric</x:v>
      </x:c>
      <x:c r="N253" s="34" t="str">
        <x:v>Feedback-Directed Random Test Generation/Result/Codec_13/result.json</x:v>
      </x:c>
      <x:c r="O253" s="38" t="n">
        <x:f>IF(AND(G253="RECORDED",ISNUMBER(H253)),H253,"")</x:f>
        <x:v>17.25</x:v>
      </x:c>
      <x:c r="P253" s="34" t="str">
        <x:v>REVEALING</x:v>
      </x:c>
      <x:c r="Q253" s="34" t="str">
        <x:v>Feedback-Directed Random Test Generation/Result/Codec_13/result.json</x:v>
      </x:c>
    </x:row>
    <x:row r="254">
      <x:c r="A254" s="34" t="str">
        <x:v>randoop</x:v>
      </x:c>
      <x:c r="B254" s="34" t="str">
        <x:v>Codec</x:v>
      </x:c>
      <x:c r="C254" s="34" t="str">
        <x:v>Round1</x:v>
      </x:c>
      <x:c r="D254" s="34" t="str">
        <x:v>Codec_14</x:v>
      </x:c>
      <x:c r="E254" s="34" t="str">
        <x:v>Coverage</x:v>
      </x:c>
      <x:c r="F254" s="34" t="n">
        <x:v>0</x:v>
      </x:c>
      <x:c r="G254" s="34" t="str">
        <x:v>A</x:v>
      </x:c>
      <x:c r="H254" s="38" t="str">
        <x:f>IF(ISNUMBER('Data'!G254),'Data'!G254*100,"")</x:f>
      </x:c>
      <x:c r="I254" s="34"/>
      <x:c r="J254" s="34"/>
      <x:c r="K254" s="34"/>
      <x:c r="L254" s="34" t="str">
        <x:v>NOT_RUN</x:v>
      </x:c>
      <x:c r="M254" s="34" t="str">
        <x:v>Latest same-round generation failed; older files/results are excluded</x:v>
      </x:c>
      <x:c r="N254" s="34" t="str">
        <x:v>Feedback-Directed Random Test Generation/report.csv</x:v>
      </x:c>
      <x:c r="O254" s="38" t="str">
        <x:f>IF(AND(G254="RECORDED",ISNUMBER(H254)),H254,"")</x:f>
      </x:c>
      <x:c r="P254" s="34" t="str">
        <x:v>FAIL</x:v>
      </x:c>
      <x:c r="Q254" s="34"/>
    </x:row>
    <x:row r="255">
      <x:c r="A255" s="34" t="str">
        <x:v>randoop</x:v>
      </x:c>
      <x:c r="B255" s="34" t="str">
        <x:v>Codec</x:v>
      </x:c>
      <x:c r="C255" s="34" t="str">
        <x:v>Round1</x:v>
      </x:c>
      <x:c r="D255" s="34" t="str">
        <x:v>Codec_15</x:v>
      </x:c>
      <x:c r="E255" s="34" t="str">
        <x:v>Coverage</x:v>
      </x:c>
      <x:c r="F255" s="34" t="n">
        <x:v>85</x:v>
      </x:c>
      <x:c r="G255" s="34" t="str">
        <x:v>RECORDED</x:v>
      </x:c>
      <x:c r="H255" s="38" t="n">
        <x:f>IF(ISNUMBER('Data'!G255),'Data'!G255*100,"")</x:f>
        <x:v>67.06</x:v>
      </x:c>
      <x:c r="I255" s="34" t="str">
        <x:v>PASS</x:v>
      </x:c>
      <x:c r="J255" s="34" t="str">
        <x:v>PASS</x:v>
      </x:c>
      <x:c r="K255" s="34" t="str">
        <x:v>PASS</x:v>
      </x:c>
      <x:c r="L255" s="34" t="str">
        <x:v>PASS</x:v>
      </x:c>
      <x:c r="M255" s="34" t="str">
        <x:v>numeric coverage for applicable metric</x:v>
      </x:c>
      <x:c r="N255" s="34" t="str">
        <x:v>Feedback-Directed Random Test Generation/Result/Codec_15/result.json</x:v>
      </x:c>
      <x:c r="O255" s="38" t="n">
        <x:f>IF(AND(G255="RECORDED",ISNUMBER(H255)),H255,"")</x:f>
        <x:v>67.06</x:v>
      </x:c>
      <x:c r="P255" s="34" t="str">
        <x:v>NOT_REVEALING</x:v>
      </x:c>
      <x:c r="Q255" s="34" t="str">
        <x:v>Feedback-Directed Random Test Generation/Result/Codec_15/result.json</x:v>
      </x:c>
    </x:row>
    <x:row r="256">
      <x:c r="A256" s="34" t="str">
        <x:v>randoop</x:v>
      </x:c>
      <x:c r="B256" s="34" t="str">
        <x:v>Codec</x:v>
      </x:c>
      <x:c r="C256" s="34" t="str">
        <x:v>Round1</x:v>
      </x:c>
      <x:c r="D256" s="34" t="str">
        <x:v>Codec_16</x:v>
      </x:c>
      <x:c r="E256" s="34" t="str">
        <x:v>Coverage</x:v>
      </x:c>
      <x:c r="F256" s="34" t="n">
        <x:v>241</x:v>
      </x:c>
      <x:c r="G256" s="34" t="str">
        <x:v>RECORDED</x:v>
      </x:c>
      <x:c r="H256" s="38" t="n">
        <x:f>IF(ISNUMBER('Data'!G256),'Data'!G256*100,"")</x:f>
        <x:v>76.35</x:v>
      </x:c>
      <x:c r="I256" s="34" t="str">
        <x:v>PASS</x:v>
      </x:c>
      <x:c r="J256" s="34" t="str">
        <x:v>PASS</x:v>
      </x:c>
      <x:c r="K256" s="34" t="str">
        <x:v>PASS</x:v>
      </x:c>
      <x:c r="L256" s="34" t="str">
        <x:v>PASS</x:v>
      </x:c>
      <x:c r="M256" s="34" t="str">
        <x:v>numeric coverage for applicable metric</x:v>
      </x:c>
      <x:c r="N256" s="34" t="str">
        <x:v>Feedback-Directed Random Test Generation/Result/Codec_16/result.json</x:v>
      </x:c>
      <x:c r="O256" s="38" t="n">
        <x:f>IF(AND(G256="RECORDED",ISNUMBER(H256)),H256,"")</x:f>
        <x:v>76.35</x:v>
      </x:c>
      <x:c r="P256" s="34" t="str">
        <x:v>NOT_REVEALING</x:v>
      </x:c>
      <x:c r="Q256" s="34" t="str">
        <x:v>Feedback-Directed Random Test Generation/Result/Codec_16/result.json</x:v>
      </x:c>
    </x:row>
    <x:row r="257">
      <x:c r="A257" s="34" t="str">
        <x:v>randoop</x:v>
      </x:c>
      <x:c r="B257" s="34" t="str">
        <x:v>Codec</x:v>
      </x:c>
      <x:c r="C257" s="34" t="str">
        <x:v>Round1</x:v>
      </x:c>
      <x:c r="D257" s="34" t="str">
        <x:v>Codec_17</x:v>
      </x:c>
      <x:c r="E257" s="34" t="str">
        <x:v>Coverage</x:v>
      </x:c>
      <x:c r="F257" s="34" t="n">
        <x:v>59</x:v>
      </x:c>
      <x:c r="G257" s="34" t="str">
        <x:v>RECORDED</x:v>
      </x:c>
      <x:c r="H257" s="38" t="n">
        <x:f>IF(ISNUMBER('Data'!G257),'Data'!G257*100,"")</x:f>
        <x:v>79.66</x:v>
      </x:c>
      <x:c r="I257" s="34" t="str">
        <x:v>PASS</x:v>
      </x:c>
      <x:c r="J257" s="34" t="str">
        <x:v>PASS</x:v>
      </x:c>
      <x:c r="K257" s="34" t="str">
        <x:v>PASS</x:v>
      </x:c>
      <x:c r="L257" s="34" t="str">
        <x:v>PASS</x:v>
      </x:c>
      <x:c r="M257" s="34" t="str">
        <x:v>numeric coverage for applicable metric</x:v>
      </x:c>
      <x:c r="N257" s="34" t="str">
        <x:v>Feedback-Directed Random Test Generation/Result/Codec_17/result.json</x:v>
      </x:c>
      <x:c r="O257" s="38" t="n">
        <x:f>IF(AND(G257="RECORDED",ISNUMBER(H257)),H257,"")</x:f>
        <x:v>79.66</x:v>
      </x:c>
      <x:c r="P257" s="34" t="str">
        <x:v>INCONCLUSIVE</x:v>
      </x:c>
      <x:c r="Q257" s="34" t="str">
        <x:v>Feedback-Directed Random Test Generation/Result/Codec_17/result.json</x:v>
      </x:c>
    </x:row>
    <x:row r="258">
      <x:c r="A258" s="34" t="str">
        <x:v>randoop</x:v>
      </x:c>
      <x:c r="B258" s="34" t="str">
        <x:v>Codec</x:v>
      </x:c>
      <x:c r="C258" s="34" t="str">
        <x:v>Round1</x:v>
      </x:c>
      <x:c r="D258" s="34" t="str">
        <x:v>Codec_18</x:v>
      </x:c>
      <x:c r="E258" s="34" t="str">
        <x:v>Coverage</x:v>
      </x:c>
      <x:c r="F258" s="34" t="n">
        <x:v>59</x:v>
      </x:c>
      <x:c r="G258" s="34" t="str">
        <x:v>RECORDED</x:v>
      </x:c>
      <x:c r="H258" s="38" t="n">
        <x:f>IF(ISNUMBER('Data'!G258),'Data'!G258*100,"")</x:f>
        <x:v>79.66</x:v>
      </x:c>
      <x:c r="I258" s="34" t="str">
        <x:v>PASS</x:v>
      </x:c>
      <x:c r="J258" s="34" t="str">
        <x:v>PASS</x:v>
      </x:c>
      <x:c r="K258" s="34" t="str">
        <x:v>PASS</x:v>
      </x:c>
      <x:c r="L258" s="34" t="str">
        <x:v>PASS</x:v>
      </x:c>
      <x:c r="M258" s="34" t="str">
        <x:v>numeric coverage for applicable metric</x:v>
      </x:c>
      <x:c r="N258" s="34" t="str">
        <x:v>Feedback-Directed Random Test Generation/Result/Codec_18/result.json</x:v>
      </x:c>
      <x:c r="O258" s="38" t="n">
        <x:f>IF(AND(G258="RECORDED",ISNUMBER(H258)),H258,"")</x:f>
        <x:v>79.66</x:v>
      </x:c>
      <x:c r="P258" s="34" t="str">
        <x:v>NOT_REVEALING</x:v>
      </x:c>
      <x:c r="Q258" s="34" t="str">
        <x:v>Feedback-Directed Random Test Generation/Result/Codec_18/result.json</x:v>
      </x:c>
    </x:row>
    <x:row r="259">
      <x:c r="A259" s="34" t="str">
        <x:v>randoop</x:v>
      </x:c>
      <x:c r="B259" s="34" t="str">
        <x:v>Collections</x:v>
      </x:c>
      <x:c r="C259" s="34" t="str">
        <x:v>Round1</x:v>
      </x:c>
      <x:c r="D259" s="34" t="str">
        <x:v>Collections_1</x:v>
      </x:c>
      <x:c r="E259" s="34" t="str">
        <x:v>Coverage</x:v>
      </x:c>
      <x:c r="F259" s="34" t="n">
        <x:v>867</x:v>
      </x:c>
      <x:c r="G259" s="34" t="str">
        <x:v>RECORDED</x:v>
      </x:c>
      <x:c r="H259" s="38" t="n">
        <x:f>IF(ISNUMBER('Data'!G259),'Data'!G259*100,"")</x:f>
        <x:v>10.15</x:v>
      </x:c>
      <x:c r="I259" s="34" t="str">
        <x:v>PASS</x:v>
      </x:c>
      <x:c r="J259" s="34" t="str">
        <x:v>PASS</x:v>
      </x:c>
      <x:c r="K259" s="34" t="str">
        <x:v>PASS</x:v>
      </x:c>
      <x:c r="L259" s="34" t="str">
        <x:v>FAIL</x:v>
      </x:c>
      <x:c r="M259" s="34" t="str">
        <x:v>numeric coverage for applicable metric</x:v>
      </x:c>
      <x:c r="N259" s="34" t="str">
        <x:v>Feedback-Directed Random Test Generation/Result/Collections_1/result.json</x:v>
      </x:c>
      <x:c r="O259" s="38" t="n">
        <x:f>IF(AND(G259="RECORDED",ISNUMBER(H259)),H259,"")</x:f>
        <x:v>10.15</x:v>
      </x:c>
      <x:c r="P259" s="34" t="str">
        <x:v>INCONCLUSIVE</x:v>
      </x:c>
      <x:c r="Q259" s="34" t="str">
        <x:v>Feedback-Directed Random Test Generation/Result/Collections_1/result.json</x:v>
      </x:c>
    </x:row>
    <x:row r="260">
      <x:c r="A260" s="34" t="str">
        <x:v>randoop</x:v>
      </x:c>
      <x:c r="B260" s="34" t="str">
        <x:v>Collections</x:v>
      </x:c>
      <x:c r="C260" s="34" t="str">
        <x:v>Round1</x:v>
      </x:c>
      <x:c r="D260" s="34" t="str">
        <x:v>Collections_2</x:v>
      </x:c>
      <x:c r="E260" s="34" t="str">
        <x:v>Coverage</x:v>
      </x:c>
      <x:c r="F260" s="34" t="n">
        <x:v>733</x:v>
      </x:c>
      <x:c r="G260" s="34" t="str">
        <x:v>RECORDED</x:v>
      </x:c>
      <x:c r="H260" s="38" t="n">
        <x:f>IF(ISNUMBER('Data'!G260),'Data'!G260*100,"")</x:f>
        <x:v>45.16</x:v>
      </x:c>
      <x:c r="I260" s="34" t="str">
        <x:v>PASS</x:v>
      </x:c>
      <x:c r="J260" s="34" t="str">
        <x:v>PASS</x:v>
      </x:c>
      <x:c r="K260" s="34" t="str">
        <x:v>PASS</x:v>
      </x:c>
      <x:c r="L260" s="34" t="str">
        <x:v>PASS</x:v>
      </x:c>
      <x:c r="M260" s="34" t="str">
        <x:v>numeric coverage for applicable metric</x:v>
      </x:c>
      <x:c r="N260" s="34" t="str">
        <x:v>Feedback-Directed Random Test Generation/Result/Collections_2/result.json</x:v>
      </x:c>
      <x:c r="O260" s="38" t="n">
        <x:f>IF(AND(G260="RECORDED",ISNUMBER(H260)),H260,"")</x:f>
        <x:v>45.16</x:v>
      </x:c>
      <x:c r="P260" s="34" t="str">
        <x:v>INCONCLUSIVE</x:v>
      </x:c>
      <x:c r="Q260" s="34" t="str">
        <x:v>Feedback-Directed Random Test Generation/Result/Collections_2/result.json</x:v>
      </x:c>
    </x:row>
    <x:row r="261">
      <x:c r="A261" s="34" t="str">
        <x:v>randoop</x:v>
      </x:c>
      <x:c r="B261" s="34" t="str">
        <x:v>Collections</x:v>
      </x:c>
      <x:c r="C261" s="34" t="str">
        <x:v>Round1</x:v>
      </x:c>
      <x:c r="D261" s="34" t="str">
        <x:v>Collections_3</x:v>
      </x:c>
      <x:c r="E261" s="34" t="str">
        <x:v>Coverage</x:v>
      </x:c>
      <x:c r="F261" s="34" t="n">
        <x:v>573</x:v>
      </x:c>
      <x:c r="G261" s="34" t="str">
        <x:v>RECORDED</x:v>
      </x:c>
      <x:c r="H261" s="38" t="n">
        <x:f>IF(ISNUMBER('Data'!G261),'Data'!G261*100,"")</x:f>
        <x:v>33.16</x:v>
      </x:c>
      <x:c r="I261" s="34" t="str">
        <x:v>PASS</x:v>
      </x:c>
      <x:c r="J261" s="34" t="str">
        <x:v>PASS</x:v>
      </x:c>
      <x:c r="K261" s="34" t="str">
        <x:v>PASS</x:v>
      </x:c>
      <x:c r="L261" s="34" t="str">
        <x:v>FAIL</x:v>
      </x:c>
      <x:c r="M261" s="34" t="str">
        <x:v>numeric coverage for applicable metric</x:v>
      </x:c>
      <x:c r="N261" s="34" t="str">
        <x:v>Feedback-Directed Random Test Generation/Result/Collections_3/result.json</x:v>
      </x:c>
      <x:c r="O261" s="38" t="n">
        <x:f>IF(AND(G261="RECORDED",ISNUMBER(H261)),H261,"")</x:f>
        <x:v>33.16</x:v>
      </x:c>
      <x:c r="P261" s="34" t="str">
        <x:v>INCONCLUSIVE</x:v>
      </x:c>
      <x:c r="Q261" s="34" t="str">
        <x:v>Feedback-Directed Random Test Generation/Result/Collections_3/result.json</x:v>
      </x:c>
    </x:row>
    <x:row r="262">
      <x:c r="A262" s="34" t="str">
        <x:v>randoop</x:v>
      </x:c>
      <x:c r="B262" s="34" t="str">
        <x:v>Collections</x:v>
      </x:c>
      <x:c r="C262" s="34" t="str">
        <x:v>Round1</x:v>
      </x:c>
      <x:c r="D262" s="34" t="str">
        <x:v>Collections_4</x:v>
      </x:c>
      <x:c r="E262" s="34" t="str">
        <x:v>Coverage</x:v>
      </x:c>
      <x:c r="F262" s="34" t="n">
        <x:v>159</x:v>
      </x:c>
      <x:c r="G262" s="34" t="str">
        <x:v>RECORDED</x:v>
      </x:c>
      <x:c r="H262" s="38" t="n">
        <x:f>IF(ISNUMBER('Data'!G262),'Data'!G262*100,"")</x:f>
        <x:v>32.7</x:v>
      </x:c>
      <x:c r="I262" s="34" t="str">
        <x:v>PASS</x:v>
      </x:c>
      <x:c r="J262" s="34" t="str">
        <x:v>PASS</x:v>
      </x:c>
      <x:c r="K262" s="34" t="str">
        <x:v>PASS</x:v>
      </x:c>
      <x:c r="L262" s="34" t="str">
        <x:v>PASS</x:v>
      </x:c>
      <x:c r="M262" s="34" t="str">
        <x:v>numeric coverage for applicable metric</x:v>
      </x:c>
      <x:c r="N262" s="34" t="str">
        <x:v>Feedback-Directed Random Test Generation/Result/Collections_4/result.json</x:v>
      </x:c>
      <x:c r="O262" s="38" t="n">
        <x:f>IF(AND(G262="RECORDED",ISNUMBER(H262)),H262,"")</x:f>
        <x:v>32.7</x:v>
      </x:c>
      <x:c r="P262" s="34" t="str">
        <x:v>NOT_REVEALING</x:v>
      </x:c>
      <x:c r="Q262" s="34" t="str">
        <x:v>Feedback-Directed Random Test Generation/Result/Collections_4/result.json</x:v>
      </x:c>
    </x:row>
    <x:row r="263">
      <x:c r="A263" s="34" t="str">
        <x:v>randoop</x:v>
      </x:c>
      <x:c r="B263" s="34" t="str">
        <x:v>Collections</x:v>
      </x:c>
      <x:c r="C263" s="34" t="str">
        <x:v>Round1</x:v>
      </x:c>
      <x:c r="D263" s="34" t="str">
        <x:v>Collections_5</x:v>
      </x:c>
      <x:c r="E263" s="34" t="str">
        <x:v>Coverage</x:v>
      </x:c>
      <x:c r="F263" s="34" t="n">
        <x:v>102</x:v>
      </x:c>
      <x:c r="G263" s="34" t="str">
        <x:v>RECORDED</x:v>
      </x:c>
      <x:c r="H263" s="38" t="n">
        <x:f>IF(ISNUMBER('Data'!G263),'Data'!G263*100,"")</x:f>
        <x:v>5.88</x:v>
      </x:c>
      <x:c r="I263" s="34" t="str">
        <x:v>PASS</x:v>
      </x:c>
      <x:c r="J263" s="34" t="str">
        <x:v>PASS</x:v>
      </x:c>
      <x:c r="K263" s="34" t="str">
        <x:v>PASS</x:v>
      </x:c>
      <x:c r="L263" s="34" t="str">
        <x:v>PASS</x:v>
      </x:c>
      <x:c r="M263" s="34" t="str">
        <x:v>numeric coverage for applicable metric</x:v>
      </x:c>
      <x:c r="N263" s="34" t="str">
        <x:v>Feedback-Directed Random Test Generation/Result/Collections_5/result.json</x:v>
      </x:c>
      <x:c r="O263" s="38" t="n">
        <x:f>IF(AND(G263="RECORDED",ISNUMBER(H263)),H263,"")</x:f>
        <x:v>5.88</x:v>
      </x:c>
      <x:c r="P263" s="34" t="str">
        <x:v>NOT_REVEALING</x:v>
      </x:c>
      <x:c r="Q263" s="34" t="str">
        <x:v>Feedback-Directed Random Test Generation/Result/Collections_5/result.json</x:v>
      </x:c>
    </x:row>
    <x:row r="264">
      <x:c r="A264" s="34" t="str">
        <x:v>randoop</x:v>
      </x:c>
      <x:c r="B264" s="34" t="str">
        <x:v>Collections</x:v>
      </x:c>
      <x:c r="C264" s="34" t="str">
        <x:v>Round1</x:v>
      </x:c>
      <x:c r="D264" s="34" t="str">
        <x:v>Collections_6</x:v>
      </x:c>
      <x:c r="E264" s="34" t="str">
        <x:v>Coverage</x:v>
      </x:c>
      <x:c r="F264" s="34" t="n">
        <x:v>871</x:v>
      </x:c>
      <x:c r="G264" s="34" t="str">
        <x:v>RECORDED</x:v>
      </x:c>
      <x:c r="H264" s="38" t="n">
        <x:f>IF(ISNUMBER('Data'!G264),'Data'!G264*100,"")</x:f>
        <x:v>9.41</x:v>
      </x:c>
      <x:c r="I264" s="34" t="str">
        <x:v>PASS</x:v>
      </x:c>
      <x:c r="J264" s="34" t="str">
        <x:v>PASS</x:v>
      </x:c>
      <x:c r="K264" s="34" t="str">
        <x:v>PASS</x:v>
      </x:c>
      <x:c r="L264" s="34" t="str">
        <x:v>FAIL</x:v>
      </x:c>
      <x:c r="M264" s="34" t="str">
        <x:v>numeric coverage for applicable metric</x:v>
      </x:c>
      <x:c r="N264" s="34" t="str">
        <x:v>Feedback-Directed Random Test Generation/Result/Collections_6/result.json</x:v>
      </x:c>
      <x:c r="O264" s="38" t="n">
        <x:f>IF(AND(G264="RECORDED",ISNUMBER(H264)),H264,"")</x:f>
        <x:v>9.41</x:v>
      </x:c>
      <x:c r="P264" s="34" t="str">
        <x:v>INCONCLUSIVE</x:v>
      </x:c>
      <x:c r="Q264" s="34" t="str">
        <x:v>Feedback-Directed Random Test Generation/Result/Collections_6/result.json</x:v>
      </x:c>
    </x:row>
    <x:row r="265">
      <x:c r="A265" s="34" t="str">
        <x:v>randoop</x:v>
      </x:c>
      <x:c r="B265" s="34" t="str">
        <x:v>Collections</x:v>
      </x:c>
      <x:c r="C265" s="34" t="str">
        <x:v>Round1</x:v>
      </x:c>
      <x:c r="D265" s="34" t="str">
        <x:v>Collections_7</x:v>
      </x:c>
      <x:c r="E265" s="34" t="str">
        <x:v>Coverage</x:v>
      </x:c>
      <x:c r="F265" s="34" t="n">
        <x:v>763</x:v>
      </x:c>
      <x:c r="G265" s="34" t="str">
        <x:v>RECORDED</x:v>
      </x:c>
      <x:c r="H265" s="38" t="n">
        <x:f>IF(ISNUMBER('Data'!G265),'Data'!G265*100,"")</x:f>
        <x:v>44.43</x:v>
      </x:c>
      <x:c r="I265" s="34" t="str">
        <x:v>PASS</x:v>
      </x:c>
      <x:c r="J265" s="34" t="str">
        <x:v>PASS</x:v>
      </x:c>
      <x:c r="K265" s="34" t="str">
        <x:v>PASS</x:v>
      </x:c>
      <x:c r="L265" s="34" t="str">
        <x:v>PASS</x:v>
      </x:c>
      <x:c r="M265" s="34" t="str">
        <x:v>numeric coverage for applicable metric</x:v>
      </x:c>
      <x:c r="N265" s="34" t="str">
        <x:v>Feedback-Directed Random Test Generation/Result/Collections_7/result.json</x:v>
      </x:c>
      <x:c r="O265" s="38" t="n">
        <x:f>IF(AND(G265="RECORDED",ISNUMBER(H265)),H265,"")</x:f>
        <x:v>44.43</x:v>
      </x:c>
      <x:c r="P265" s="34" t="str">
        <x:v>NOT_REVEALING</x:v>
      </x:c>
      <x:c r="Q265" s="34" t="str">
        <x:v>Feedback-Directed Random Test Generation/Result/Collections_7/result.json</x:v>
      </x:c>
    </x:row>
    <x:row r="266">
      <x:c r="A266" s="34" t="str">
        <x:v>randoop</x:v>
      </x:c>
      <x:c r="B266" s="34" t="str">
        <x:v>Collections</x:v>
      </x:c>
      <x:c r="C266" s="34" t="str">
        <x:v>Round1</x:v>
      </x:c>
      <x:c r="D266" s="34" t="str">
        <x:v>Collections_8</x:v>
      </x:c>
      <x:c r="E266" s="34" t="str">
        <x:v>Coverage</x:v>
      </x:c>
      <x:c r="F266" s="34" t="n">
        <x:v>124</x:v>
      </x:c>
      <x:c r="G266" s="34" t="str">
        <x:v>RECORDED</x:v>
      </x:c>
      <x:c r="H266" s="38" t="n">
        <x:f>IF(ISNUMBER('Data'!G266),'Data'!G266*100,"")</x:f>
        <x:v>62.9</x:v>
      </x:c>
      <x:c r="I266" s="34" t="str">
        <x:v>PASS</x:v>
      </x:c>
      <x:c r="J266" s="34" t="str">
        <x:v>PASS</x:v>
      </x:c>
      <x:c r="K266" s="34" t="str">
        <x:v>PASS</x:v>
      </x:c>
      <x:c r="L266" s="34" t="str">
        <x:v>PASS</x:v>
      </x:c>
      <x:c r="M266" s="34" t="str">
        <x:v>numeric coverage for applicable metric</x:v>
      </x:c>
      <x:c r="N266" s="34" t="str">
        <x:v>Feedback-Directed Random Test Generation/Result/Collections_8/result.json</x:v>
      </x:c>
      <x:c r="O266" s="38" t="n">
        <x:f>IF(AND(G266="RECORDED",ISNUMBER(H266)),H266,"")</x:f>
        <x:v>62.9</x:v>
      </x:c>
      <x:c r="P266" s="34" t="str">
        <x:v>NOT_REVEALING</x:v>
      </x:c>
      <x:c r="Q266" s="34" t="str">
        <x:v>Feedback-Directed Random Test Generation/Result/Collections_8/result.json</x:v>
      </x:c>
    </x:row>
    <x:row r="267">
      <x:c r="A267" s="34" t="str">
        <x:v>randoop</x:v>
      </x:c>
      <x:c r="B267" s="34" t="str">
        <x:v>Collections</x:v>
      </x:c>
      <x:c r="C267" s="34" t="str">
        <x:v>Round1</x:v>
      </x:c>
      <x:c r="D267" s="34" t="str">
        <x:v>Collections_9</x:v>
      </x:c>
      <x:c r="E267" s="34" t="str">
        <x:v>Coverage</x:v>
      </x:c>
      <x:c r="F267" s="34" t="n">
        <x:v>771</x:v>
      </x:c>
      <x:c r="G267" s="34" t="str">
        <x:v>RECORDED</x:v>
      </x:c>
      <x:c r="H267" s="38" t="n">
        <x:f>IF(ISNUMBER('Data'!G267),'Data'!G267*100,"")</x:f>
        <x:v>53.18000000000001</x:v>
      </x:c>
      <x:c r="I267" s="34" t="str">
        <x:v>PASS</x:v>
      </x:c>
      <x:c r="J267" s="34" t="str">
        <x:v>PASS</x:v>
      </x:c>
      <x:c r="K267" s="34" t="str">
        <x:v>PASS</x:v>
      </x:c>
      <x:c r="L267" s="34" t="str">
        <x:v>PASS</x:v>
      </x:c>
      <x:c r="M267" s="34" t="str">
        <x:v>numeric coverage for applicable metric</x:v>
      </x:c>
      <x:c r="N267" s="34" t="str">
        <x:v>Feedback-Directed Random Test Generation/Result/Collections_9/result.json</x:v>
      </x:c>
      <x:c r="O267" s="38" t="n">
        <x:f>IF(AND(G267="RECORDED",ISNUMBER(H267)),H267,"")</x:f>
        <x:v>53.18000000000001</x:v>
      </x:c>
      <x:c r="P267" s="34" t="str">
        <x:v>NOT_REVEALING</x:v>
      </x:c>
      <x:c r="Q267" s="34" t="str">
        <x:v>Feedback-Directed Random Test Generation/Result/Collections_9/result.json</x:v>
      </x:c>
    </x:row>
    <x:row r="268">
      <x:c r="A268" s="34" t="str">
        <x:v>randoop</x:v>
      </x:c>
      <x:c r="B268" s="34" t="str">
        <x:v>Collections</x:v>
      </x:c>
      <x:c r="C268" s="34" t="str">
        <x:v>Round1</x:v>
      </x:c>
      <x:c r="D268" s="34" t="str">
        <x:v>Collections_10</x:v>
      </x:c>
      <x:c r="E268" s="34" t="str">
        <x:v>Coverage</x:v>
      </x:c>
      <x:c r="F268" s="34" t="n">
        <x:v>167</x:v>
      </x:c>
      <x:c r="G268" s="34" t="str">
        <x:v>RECORDED</x:v>
      </x:c>
      <x:c r="H268" s="38" t="n">
        <x:f>IF(ISNUMBER('Data'!G268),'Data'!G268*100,"")</x:f>
        <x:v>31.739999999999995</x:v>
      </x:c>
      <x:c r="I268" s="34" t="str">
        <x:v>PASS</x:v>
      </x:c>
      <x:c r="J268" s="34" t="str">
        <x:v>PASS</x:v>
      </x:c>
      <x:c r="K268" s="34" t="str">
        <x:v>PASS</x:v>
      </x:c>
      <x:c r="L268" s="34" t="str">
        <x:v>PASS</x:v>
      </x:c>
      <x:c r="M268" s="34" t="str">
        <x:v>numeric coverage for applicable metric</x:v>
      </x:c>
      <x:c r="N268" s="34" t="str">
        <x:v>Feedback-Directed Random Test Generation/Result/Collections_10/result.json</x:v>
      </x:c>
      <x:c r="O268" s="38" t="n">
        <x:f>IF(AND(G268="RECORDED",ISNUMBER(H268)),H268,"")</x:f>
        <x:v>31.739999999999995</x:v>
      </x:c>
      <x:c r="P268" s="34" t="str">
        <x:v>NOT_REVEALING</x:v>
      </x:c>
      <x:c r="Q268" s="34" t="str">
        <x:v>Feedback-Directed Random Test Generation/Result/Collections_10/result.json</x:v>
      </x:c>
    </x:row>
    <x:row r="269">
      <x:c r="A269" s="34" t="str">
        <x:v>randoop</x:v>
      </x:c>
      <x:c r="B269" s="34" t="str">
        <x:v>Collections</x:v>
      </x:c>
      <x:c r="C269" s="34" t="str">
        <x:v>Round1</x:v>
      </x:c>
      <x:c r="D269" s="34" t="str">
        <x:v>Collections_11</x:v>
      </x:c>
      <x:c r="E269" s="34" t="str">
        <x:v>Coverage</x:v>
      </x:c>
      <x:c r="F269" s="34" t="n">
        <x:v>47</x:v>
      </x:c>
      <x:c r="G269" s="34" t="str">
        <x:v>RECORDED</x:v>
      </x:c>
      <x:c r="H269" s="38" t="n">
        <x:f>IF(ISNUMBER('Data'!G269),'Data'!G269*100,"")</x:f>
        <x:v>95.74</x:v>
      </x:c>
      <x:c r="I269" s="34" t="str">
        <x:v>PASS</x:v>
      </x:c>
      <x:c r="J269" s="34" t="str">
        <x:v>PASS</x:v>
      </x:c>
      <x:c r="K269" s="34" t="str">
        <x:v>PASS</x:v>
      </x:c>
      <x:c r="L269" s="34" t="str">
        <x:v>PASS</x:v>
      </x:c>
      <x:c r="M269" s="34" t="str">
        <x:v>numeric coverage for applicable metric</x:v>
      </x:c>
      <x:c r="N269" s="34" t="str">
        <x:v>Feedback-Directed Random Test Generation/Result/Collections_11/result.json</x:v>
      </x:c>
      <x:c r="O269" s="38" t="n">
        <x:f>IF(AND(G269="RECORDED",ISNUMBER(H269)),H269,"")</x:f>
        <x:v>95.74</x:v>
      </x:c>
      <x:c r="P269" s="34" t="str">
        <x:v>NOT_REVEALING</x:v>
      </x:c>
      <x:c r="Q269" s="34" t="str">
        <x:v>Feedback-Directed Random Test Generation/Result/Collections_11/result.json</x:v>
      </x:c>
    </x:row>
    <x:row r="270">
      <x:c r="A270" s="34" t="str">
        <x:v>randoop</x:v>
      </x:c>
      <x:c r="B270" s="34" t="str">
        <x:v>Collections</x:v>
      </x:c>
      <x:c r="C270" s="34" t="str">
        <x:v>Round1</x:v>
      </x:c>
      <x:c r="D270" s="34" t="str">
        <x:v>Collections_12</x:v>
      </x:c>
      <x:c r="E270" s="34" t="str">
        <x:v>Coverage</x:v>
      </x:c>
      <x:c r="F270" s="34" t="n">
        <x:v>767</x:v>
      </x:c>
      <x:c r="G270" s="34" t="str">
        <x:v>RECORDED</x:v>
      </x:c>
      <x:c r="H270" s="38" t="n">
        <x:f>IF(ISNUMBER('Data'!G270),'Data'!G270*100,"")</x:f>
        <x:v>53.459999999999994</x:v>
      </x:c>
      <x:c r="I270" s="34" t="str">
        <x:v>PASS</x:v>
      </x:c>
      <x:c r="J270" s="34" t="str">
        <x:v>PASS</x:v>
      </x:c>
      <x:c r="K270" s="34" t="str">
        <x:v>PASS</x:v>
      </x:c>
      <x:c r="L270" s="34" t="str">
        <x:v>PASS</x:v>
      </x:c>
      <x:c r="M270" s="34" t="str">
        <x:v>numeric coverage for applicable metric</x:v>
      </x:c>
      <x:c r="N270" s="34" t="str">
        <x:v>Feedback-Directed Random Test Generation/Result/Collections_12/result.json</x:v>
      </x:c>
      <x:c r="O270" s="38" t="n">
        <x:f>IF(AND(G270="RECORDED",ISNUMBER(H270)),H270,"")</x:f>
        <x:v>53.459999999999994</x:v>
      </x:c>
      <x:c r="P270" s="34" t="str">
        <x:v>NOT_REVEALING</x:v>
      </x:c>
      <x:c r="Q270" s="34" t="str">
        <x:v>Feedback-Directed Random Test Generation/Result/Collections_12/result.json</x:v>
      </x:c>
    </x:row>
    <x:row r="271">
      <x:c r="A271" s="34" t="str">
        <x:v>randoop</x:v>
      </x:c>
      <x:c r="B271" s="34" t="str">
        <x:v>Collections</x:v>
      </x:c>
      <x:c r="C271" s="34" t="str">
        <x:v>Round1</x:v>
      </x:c>
      <x:c r="D271" s="34" t="str">
        <x:v>Collections_13</x:v>
      </x:c>
      <x:c r="E271" s="34" t="str">
        <x:v>Coverage</x:v>
      </x:c>
      <x:c r="F271" s="34" t="n">
        <x:v>768</x:v>
      </x:c>
      <x:c r="G271" s="34" t="str">
        <x:v>RECORDED</x:v>
      </x:c>
      <x:c r="H271" s="38" t="n">
        <x:f>IF(ISNUMBER('Data'!G271),'Data'!G271*100,"")</x:f>
        <x:v>53.52</x:v>
      </x:c>
      <x:c r="I271" s="34" t="str">
        <x:v>PASS</x:v>
      </x:c>
      <x:c r="J271" s="34" t="str">
        <x:v>PASS</x:v>
      </x:c>
      <x:c r="K271" s="34" t="str">
        <x:v>PASS</x:v>
      </x:c>
      <x:c r="L271" s="34" t="str">
        <x:v>PASS</x:v>
      </x:c>
      <x:c r="M271" s="34" t="str">
        <x:v>numeric coverage for applicable metric</x:v>
      </x:c>
      <x:c r="N271" s="34" t="str">
        <x:v>Feedback-Directed Random Test Generation/Result/Collections_13/result.json</x:v>
      </x:c>
      <x:c r="O271" s="38" t="n">
        <x:f>IF(AND(G271="RECORDED",ISNUMBER(H271)),H271,"")</x:f>
        <x:v>53.52</x:v>
      </x:c>
      <x:c r="P271" s="34" t="str">
        <x:v>NOT_REVEALING</x:v>
      </x:c>
      <x:c r="Q271" s="34" t="str">
        <x:v>Feedback-Directed Random Test Generation/Result/Collections_13/result.json</x:v>
      </x:c>
    </x:row>
    <x:row r="272">
      <x:c r="A272" s="34" t="str">
        <x:v>randoop</x:v>
      </x:c>
      <x:c r="B272" s="34" t="str">
        <x:v>Collections</x:v>
      </x:c>
      <x:c r="C272" s="34" t="str">
        <x:v>Round1</x:v>
      </x:c>
      <x:c r="D272" s="34" t="str">
        <x:v>Collections_14</x:v>
      </x:c>
      <x:c r="E272" s="34" t="str">
        <x:v>Coverage</x:v>
      </x:c>
      <x:c r="F272" s="34" t="n">
        <x:v>20</x:v>
      </x:c>
      <x:c r="G272" s="34" t="str">
        <x:v>RECORDED</x:v>
      </x:c>
      <x:c r="H272" s="38" t="n">
        <x:f>IF(ISNUMBER('Data'!G272),'Data'!G272*100,"")</x:f>
        <x:v>50</x:v>
      </x:c>
      <x:c r="I272" s="34" t="str">
        <x:v>PASS</x:v>
      </x:c>
      <x:c r="J272" s="34" t="str">
        <x:v>PASS</x:v>
      </x:c>
      <x:c r="K272" s="34" t="str">
        <x:v>PASS</x:v>
      </x:c>
      <x:c r="L272" s="34" t="str">
        <x:v>PASS</x:v>
      </x:c>
      <x:c r="M272" s="34" t="str">
        <x:v>numeric coverage for applicable metric</x:v>
      </x:c>
      <x:c r="N272" s="34" t="str">
        <x:v>Feedback-Directed Random Test Generation/Result/Collections_14/result.json</x:v>
      </x:c>
      <x:c r="O272" s="38" t="n">
        <x:f>IF(AND(G272="RECORDED",ISNUMBER(H272)),H272,"")</x:f>
        <x:v>50</x:v>
      </x:c>
      <x:c r="P272" s="34" t="str">
        <x:v>NOT_REVEALING</x:v>
      </x:c>
      <x:c r="Q272" s="34" t="str">
        <x:v>Feedback-Directed Random Test Generation/Result/Collections_14/result.json</x:v>
      </x:c>
    </x:row>
    <x:row r="273">
      <x:c r="A273" s="34" t="str">
        <x:v>randoop</x:v>
      </x:c>
      <x:c r="B273" s="34" t="str">
        <x:v>Collections</x:v>
      </x:c>
      <x:c r="C273" s="34" t="str">
        <x:v>Round1</x:v>
      </x:c>
      <x:c r="D273" s="34" t="str">
        <x:v>Collections_15</x:v>
      </x:c>
      <x:c r="E273" s="34" t="str">
        <x:v>Coverage</x:v>
      </x:c>
      <x:c r="F273" s="34" t="n">
        <x:v>108</x:v>
      </x:c>
      <x:c r="G273" s="34" t="str">
        <x:v>RECORDED</x:v>
      </x:c>
      <x:c r="H273" s="38" t="n">
        <x:f>IF(ISNUMBER('Data'!G273),'Data'!G273*100,"")</x:f>
        <x:v>5.56</x:v>
      </x:c>
      <x:c r="I273" s="34" t="str">
        <x:v>PASS</x:v>
      </x:c>
      <x:c r="J273" s="34" t="str">
        <x:v>PASS</x:v>
      </x:c>
      <x:c r="K273" s="34" t="str">
        <x:v>PASS</x:v>
      </x:c>
      <x:c r="L273" s="34" t="str">
        <x:v>PASS</x:v>
      </x:c>
      <x:c r="M273" s="34" t="str">
        <x:v>numeric coverage for applicable metric</x:v>
      </x:c>
      <x:c r="N273" s="34" t="str">
        <x:v>Feedback-Directed Random Test Generation/Result/Collections_15/result.json</x:v>
      </x:c>
      <x:c r="O273" s="38" t="n">
        <x:f>IF(AND(G273="RECORDED",ISNUMBER(H273)),H273,"")</x:f>
        <x:v>5.56</x:v>
      </x:c>
      <x:c r="P273" s="34" t="str">
        <x:v>NOT_REVEALING</x:v>
      </x:c>
      <x:c r="Q273" s="34" t="str">
        <x:v>Feedback-Directed Random Test Generation/Result/Collections_15/result.json</x:v>
      </x:c>
    </x:row>
    <x:row r="274">
      <x:c r="A274" s="34" t="str">
        <x:v>randoop</x:v>
      </x:c>
      <x:c r="B274" s="34" t="str">
        <x:v>Collections</x:v>
      </x:c>
      <x:c r="C274" s="34" t="str">
        <x:v>Round1</x:v>
      </x:c>
      <x:c r="D274" s="34" t="str">
        <x:v>Collections_16</x:v>
      </x:c>
      <x:c r="E274" s="34" t="str">
        <x:v>Coverage</x:v>
      </x:c>
      <x:c r="F274" s="34" t="n">
        <x:v>108</x:v>
      </x:c>
      <x:c r="G274" s="34" t="str">
        <x:v>RECORDED</x:v>
      </x:c>
      <x:c r="H274" s="38" t="n">
        <x:f>IF(ISNUMBER('Data'!G274),'Data'!G274*100,"")</x:f>
        <x:v>5.56</x:v>
      </x:c>
      <x:c r="I274" s="34" t="str">
        <x:v>PASS</x:v>
      </x:c>
      <x:c r="J274" s="34" t="str">
        <x:v>PASS</x:v>
      </x:c>
      <x:c r="K274" s="34" t="str">
        <x:v>PASS</x:v>
      </x:c>
      <x:c r="L274" s="34" t="str">
        <x:v>PASS</x:v>
      </x:c>
      <x:c r="M274" s="34" t="str">
        <x:v>numeric coverage for applicable metric</x:v>
      </x:c>
      <x:c r="N274" s="34" t="str">
        <x:v>Feedback-Directed Random Test Generation/Result/Collections_16/result.json</x:v>
      </x:c>
      <x:c r="O274" s="38" t="n">
        <x:f>IF(AND(G274="RECORDED",ISNUMBER(H274)),H274,"")</x:f>
        <x:v>5.56</x:v>
      </x:c>
      <x:c r="P274" s="34" t="str">
        <x:v>NOT_REVEALING</x:v>
      </x:c>
      <x:c r="Q274" s="34" t="str">
        <x:v>Feedback-Directed Random Test Generation/Result/Collections_16/result.json</x:v>
      </x:c>
    </x:row>
    <x:row r="275">
      <x:c r="A275" s="34" t="str">
        <x:v>randoop</x:v>
      </x:c>
      <x:c r="B275" s="34" t="str">
        <x:v>Collections</x:v>
      </x:c>
      <x:c r="C275" s="34" t="str">
        <x:v>Round1</x:v>
      </x:c>
      <x:c r="D275" s="34" t="str">
        <x:v>Collections_17</x:v>
      </x:c>
      <x:c r="E275" s="34" t="str">
        <x:v>Coverage</x:v>
      </x:c>
      <x:c r="F275" s="34" t="n">
        <x:v>18</x:v>
      </x:c>
      <x:c r="G275" s="34" t="str">
        <x:v>RECORDED</x:v>
      </x:c>
      <x:c r="H275" s="38" t="n">
        <x:f>IF(ISNUMBER('Data'!G275),'Data'!G275*100,"")</x:f>
        <x:v>61.11</x:v>
      </x:c>
      <x:c r="I275" s="34" t="str">
        <x:v>PASS</x:v>
      </x:c>
      <x:c r="J275" s="34" t="str">
        <x:v>PASS</x:v>
      </x:c>
      <x:c r="K275" s="34" t="str">
        <x:v>PASS</x:v>
      </x:c>
      <x:c r="L275" s="34" t="str">
        <x:v>PASS</x:v>
      </x:c>
      <x:c r="M275" s="34" t="str">
        <x:v>numeric coverage for applicable metric</x:v>
      </x:c>
      <x:c r="N275" s="34" t="str">
        <x:v>Feedback-Directed Random Test Generation/Result/Collections_17/result.json</x:v>
      </x:c>
      <x:c r="O275" s="38" t="n">
        <x:f>IF(AND(G275="RECORDED",ISNUMBER(H275)),H275,"")</x:f>
        <x:v>61.11</x:v>
      </x:c>
      <x:c r="P275" s="34" t="str">
        <x:v>INCONCLUSIVE</x:v>
      </x:c>
      <x:c r="Q275" s="34" t="str">
        <x:v>Feedback-Directed Random Test Generation/Result/Collections_17/result.json</x:v>
      </x:c>
    </x:row>
    <x:row r="276">
      <x:c r="A276" s="34" t="str">
        <x:v>randoop</x:v>
      </x:c>
      <x:c r="B276" s="34" t="str">
        <x:v>Collections</x:v>
      </x:c>
      <x:c r="C276" s="34" t="str">
        <x:v>Round1</x:v>
      </x:c>
      <x:c r="D276" s="34" t="str">
        <x:v>Collections_18</x:v>
      </x:c>
      <x:c r="E276" s="34" t="str">
        <x:v>Coverage</x:v>
      </x:c>
      <x:c r="F276" s="34" t="n">
        <x:v>129</x:v>
      </x:c>
      <x:c r="G276" s="34" t="str">
        <x:v>RECORDED</x:v>
      </x:c>
      <x:c r="H276" s="38" t="n">
        <x:f>IF(ISNUMBER('Data'!G276),'Data'!G276*100,"")</x:f>
        <x:v>72.09</x:v>
      </x:c>
      <x:c r="I276" s="34" t="str">
        <x:v>PASS</x:v>
      </x:c>
      <x:c r="J276" s="34" t="str">
        <x:v>PASS</x:v>
      </x:c>
      <x:c r="K276" s="34" t="str">
        <x:v>PASS</x:v>
      </x:c>
      <x:c r="L276" s="34" t="str">
        <x:v>FAIL</x:v>
      </x:c>
      <x:c r="M276" s="34" t="str">
        <x:v>numeric coverage for applicable metric</x:v>
      </x:c>
      <x:c r="N276" s="34" t="str">
        <x:v>Feedback-Directed Random Test Generation/Result/Collections_18/result.json</x:v>
      </x:c>
      <x:c r="O276" s="38" t="n">
        <x:f>IF(AND(G276="RECORDED",ISNUMBER(H276)),H276,"")</x:f>
        <x:v>72.09</x:v>
      </x:c>
      <x:c r="P276" s="34" t="str">
        <x:v>INCONCLUSIVE</x:v>
      </x:c>
      <x:c r="Q276" s="34" t="str">
        <x:v>Feedback-Directed Random Test Generation/Result/Collections_18/result.json</x:v>
      </x:c>
    </x:row>
    <x:row r="277">
      <x:c r="A277" s="34" t="str">
        <x:v>randoop</x:v>
      </x:c>
      <x:c r="B277" s="34" t="str">
        <x:v>Collections</x:v>
      </x:c>
      <x:c r="C277" s="34" t="str">
        <x:v>Round1</x:v>
      </x:c>
      <x:c r="D277" s="34" t="str">
        <x:v>Collections_19</x:v>
      </x:c>
      <x:c r="E277" s="34" t="str">
        <x:v>Coverage</x:v>
      </x:c>
      <x:c r="F277" s="34" t="n">
        <x:v>147</x:v>
      </x:c>
      <x:c r="G277" s="34" t="str">
        <x:v>RECORDED</x:v>
      </x:c>
      <x:c r="H277" s="38" t="n">
        <x:f>IF(ISNUMBER('Data'!G277),'Data'!G277*100,"")</x:f>
        <x:v>53.74</x:v>
      </x:c>
      <x:c r="I277" s="34" t="str">
        <x:v>PASS</x:v>
      </x:c>
      <x:c r="J277" s="34" t="str">
        <x:v>PASS</x:v>
      </x:c>
      <x:c r="K277" s="34" t="str">
        <x:v>PASS</x:v>
      </x:c>
      <x:c r="L277" s="34" t="str">
        <x:v>PASS</x:v>
      </x:c>
      <x:c r="M277" s="34" t="str">
        <x:v>numeric coverage for applicable metric</x:v>
      </x:c>
      <x:c r="N277" s="34" t="str">
        <x:v>Feedback-Directed Random Test Generation/Result/Collections_19/result.json</x:v>
      </x:c>
      <x:c r="O277" s="38" t="n">
        <x:f>IF(AND(G277="RECORDED",ISNUMBER(H277)),H277,"")</x:f>
        <x:v>53.74</x:v>
      </x:c>
      <x:c r="P277" s="34" t="str">
        <x:v>NOT_REVEALING</x:v>
      </x:c>
      <x:c r="Q277" s="34" t="str">
        <x:v>Feedback-Directed Random Test Generation/Result/Collections_19/result.json</x:v>
      </x:c>
    </x:row>
    <x:row r="278">
      <x:c r="A278" s="34" t="str">
        <x:v>randoop</x:v>
      </x:c>
      <x:c r="B278" s="34" t="str">
        <x:v>Collections</x:v>
      </x:c>
      <x:c r="C278" s="34" t="str">
        <x:v>Round1</x:v>
      </x:c>
      <x:c r="D278" s="34" t="str">
        <x:v>Collections_20</x:v>
      </x:c>
      <x:c r="E278" s="34" t="str">
        <x:v>Coverage</x:v>
      </x:c>
      <x:c r="F278" s="34" t="n">
        <x:v>447</x:v>
      </x:c>
      <x:c r="G278" s="34" t="str">
        <x:v>RECORDED</x:v>
      </x:c>
      <x:c r="H278" s="38" t="n">
        <x:f>IF(ISNUMBER('Data'!G278),'Data'!G278*100,"")</x:f>
        <x:v>42.51</x:v>
      </x:c>
      <x:c r="I278" s="34" t="str">
        <x:v>PASS</x:v>
      </x:c>
      <x:c r="J278" s="34" t="str">
        <x:v>PASS</x:v>
      </x:c>
      <x:c r="K278" s="34" t="str">
        <x:v>PASS</x:v>
      </x:c>
      <x:c r="L278" s="34" t="str">
        <x:v>PASS</x:v>
      </x:c>
      <x:c r="M278" s="34" t="str">
        <x:v>numeric coverage for applicable metric</x:v>
      </x:c>
      <x:c r="N278" s="34" t="str">
        <x:v>Feedback-Directed Random Test Generation/Result/Collections_20/result.json</x:v>
      </x:c>
      <x:c r="O278" s="38" t="n">
        <x:f>IF(AND(G278="RECORDED",ISNUMBER(H278)),H278,"")</x:f>
        <x:v>42.51</x:v>
      </x:c>
      <x:c r="P278" s="34" t="str">
        <x:v>NOT_REVEALING</x:v>
      </x:c>
      <x:c r="Q278" s="34" t="str">
        <x:v>Feedback-Directed Random Test Generation/Result/Collections_20/result.json</x:v>
      </x:c>
    </x:row>
    <x:row r="279">
      <x:c r="A279" s="34" t="str">
        <x:v>randoop</x:v>
      </x:c>
      <x:c r="B279" s="34" t="str">
        <x:v>Collections</x:v>
      </x:c>
      <x:c r="C279" s="34" t="str">
        <x:v>Round1</x:v>
      </x:c>
      <x:c r="D279" s="34" t="str">
        <x:v>Collections_21</x:v>
      </x:c>
      <x:c r="E279" s="34" t="str">
        <x:v>Coverage</x:v>
      </x:c>
      <x:c r="F279" s="34" t="n">
        <x:v>147</x:v>
      </x:c>
      <x:c r="G279" s="34" t="str">
        <x:v>RECORDED</x:v>
      </x:c>
      <x:c r="H279" s="38" t="n">
        <x:f>IF(ISNUMBER('Data'!G279),'Data'!G279*100,"")</x:f>
        <x:v>53.74</x:v>
      </x:c>
      <x:c r="I279" s="34" t="str">
        <x:v>PASS</x:v>
      </x:c>
      <x:c r="J279" s="34" t="str">
        <x:v>PASS</x:v>
      </x:c>
      <x:c r="K279" s="34" t="str">
        <x:v>PASS</x:v>
      </x:c>
      <x:c r="L279" s="34" t="str">
        <x:v>PASS</x:v>
      </x:c>
      <x:c r="M279" s="34" t="str">
        <x:v>numeric coverage for applicable metric</x:v>
      </x:c>
      <x:c r="N279" s="34" t="str">
        <x:v>Feedback-Directed Random Test Generation/Result/Collections_21/result.json</x:v>
      </x:c>
      <x:c r="O279" s="38" t="n">
        <x:f>IF(AND(G279="RECORDED",ISNUMBER(H279)),H279,"")</x:f>
        <x:v>53.74</x:v>
      </x:c>
      <x:c r="P279" s="34" t="str">
        <x:v>NOT_REVEALING</x:v>
      </x:c>
      <x:c r="Q279" s="34" t="str">
        <x:v>Feedback-Directed Random Test Generation/Result/Collections_21/result.json</x:v>
      </x:c>
    </x:row>
    <x:row r="280">
      <x:c r="A280" s="34" t="str">
        <x:v>randoop</x:v>
      </x:c>
      <x:c r="B280" s="34" t="str">
        <x:v>Collections</x:v>
      </x:c>
      <x:c r="C280" s="34" t="str">
        <x:v>Round1</x:v>
      </x:c>
      <x:c r="D280" s="34" t="str">
        <x:v>Collections_22</x:v>
      </x:c>
      <x:c r="E280" s="34" t="str">
        <x:v>Coverage</x:v>
      </x:c>
      <x:c r="F280" s="34" t="n">
        <x:v>247</x:v>
      </x:c>
      <x:c r="G280" s="34" t="str">
        <x:v>RECORDED</x:v>
      </x:c>
      <x:c r="H280" s="38" t="n">
        <x:f>IF(ISNUMBER('Data'!G280),'Data'!G280*100,"")</x:f>
        <x:v>23.89</x:v>
      </x:c>
      <x:c r="I280" s="34" t="str">
        <x:v>PASS</x:v>
      </x:c>
      <x:c r="J280" s="34" t="str">
        <x:v>PASS</x:v>
      </x:c>
      <x:c r="K280" s="34" t="str">
        <x:v>PASS</x:v>
      </x:c>
      <x:c r="L280" s="34" t="str">
        <x:v>FAIL</x:v>
      </x:c>
      <x:c r="M280" s="34" t="str">
        <x:v>numeric coverage for applicable metric</x:v>
      </x:c>
      <x:c r="N280" s="34" t="str">
        <x:v>Feedback-Directed Random Test Generation/Result/Collections_22/result.json</x:v>
      </x:c>
      <x:c r="O280" s="38" t="n">
        <x:f>IF(AND(G280="RECORDED",ISNUMBER(H280)),H280,"")</x:f>
        <x:v>23.89</x:v>
      </x:c>
      <x:c r="P280" s="34" t="str">
        <x:v>INCONCLUSIVE</x:v>
      </x:c>
      <x:c r="Q280" s="34" t="str">
        <x:v>Feedback-Directed Random Test Generation/Result/Collections_22/result.json</x:v>
      </x:c>
    </x:row>
    <x:row r="281">
      <x:c r="A281" s="34" t="str">
        <x:v>randoop</x:v>
      </x:c>
      <x:c r="B281" s="34" t="str">
        <x:v>Collections</x:v>
      </x:c>
      <x:c r="C281" s="34" t="str">
        <x:v>Round1</x:v>
      </x:c>
      <x:c r="D281" s="34" t="str">
        <x:v>Collections_23</x:v>
      </x:c>
      <x:c r="E281" s="34" t="str">
        <x:v>Coverage</x:v>
      </x:c>
      <x:c r="F281" s="34" t="n">
        <x:v>36</x:v>
      </x:c>
      <x:c r="G281" s="34" t="str">
        <x:v>RECORDED</x:v>
      </x:c>
      <x:c r="H281" s="38" t="n">
        <x:f>IF(ISNUMBER('Data'!G281),'Data'!G281*100,"")</x:f>
        <x:v>0</x:v>
      </x:c>
      <x:c r="I281" s="34" t="str">
        <x:v>PASS</x:v>
      </x:c>
      <x:c r="J281" s="34" t="str">
        <x:v>PASS</x:v>
      </x:c>
      <x:c r="K281" s="34" t="str">
        <x:v>PASS</x:v>
      </x:c>
      <x:c r="L281" s="34" t="str">
        <x:v>PASS</x:v>
      </x:c>
      <x:c r="M281" s="34" t="str">
        <x:v>numeric coverage for applicable metric</x:v>
      </x:c>
      <x:c r="N281" s="34" t="str">
        <x:v>Feedback-Directed Random Test Generation/Result/Collections_23/result.json</x:v>
      </x:c>
      <x:c r="O281" s="38" t="n">
        <x:f>IF(AND(G281="RECORDED",ISNUMBER(H281)),H281,"")</x:f>
        <x:v>0</x:v>
      </x:c>
      <x:c r="P281" s="34" t="str">
        <x:v>NOT_REVEALING</x:v>
      </x:c>
      <x:c r="Q281" s="34" t="str">
        <x:v>Feedback-Directed Random Test Generation/Result/Collections_23/result.json</x:v>
      </x:c>
    </x:row>
    <x:row r="282">
      <x:c r="A282" s="34" t="str">
        <x:v>randoop</x:v>
      </x:c>
      <x:c r="B282" s="34" t="str">
        <x:v>Collections</x:v>
      </x:c>
      <x:c r="C282" s="34" t="str">
        <x:v>Round1</x:v>
      </x:c>
      <x:c r="D282" s="34" t="str">
        <x:v>Collections_24</x:v>
      </x:c>
      <x:c r="E282" s="34" t="str">
        <x:v>Coverage</x:v>
      </x:c>
      <x:c r="F282" s="34" t="n">
        <x:v>38</x:v>
      </x:c>
      <x:c r="G282" s="34" t="str">
        <x:v>RECORDED</x:v>
      </x:c>
      <x:c r="H282" s="38" t="n">
        <x:f>IF(ISNUMBER('Data'!G282),'Data'!G282*100,"")</x:f>
        <x:v>0</x:v>
      </x:c>
      <x:c r="I282" s="34" t="str">
        <x:v>PASS</x:v>
      </x:c>
      <x:c r="J282" s="34" t="str">
        <x:v>PASS</x:v>
      </x:c>
      <x:c r="K282" s="34" t="str">
        <x:v>PASS</x:v>
      </x:c>
      <x:c r="L282" s="34" t="str">
        <x:v>PASS</x:v>
      </x:c>
      <x:c r="M282" s="34" t="str">
        <x:v>numeric coverage for applicable metric</x:v>
      </x:c>
      <x:c r="N282" s="34" t="str">
        <x:v>Feedback-Directed Random Test Generation/Result/Collections_24/result.json</x:v>
      </x:c>
      <x:c r="O282" s="38" t="n">
        <x:f>IF(AND(G282="RECORDED",ISNUMBER(H282)),H282,"")</x:f>
        <x:v>0</x:v>
      </x:c>
      <x:c r="P282" s="34" t="str">
        <x:v>NOT_REVEALING</x:v>
      </x:c>
      <x:c r="Q282" s="34" t="str">
        <x:v>Feedback-Directed Random Test Generation/Result/Collections_24/result.json</x:v>
      </x:c>
    </x:row>
    <x:row r="283">
      <x:c r="A283" s="34" t="str">
        <x:v>randoop</x:v>
      </x:c>
      <x:c r="B283" s="34" t="str">
        <x:v>Collections</x:v>
      </x:c>
      <x:c r="C283" s="34" t="str">
        <x:v>Round1</x:v>
      </x:c>
      <x:c r="D283" s="34" t="str">
        <x:v>Collections_25</x:v>
      </x:c>
      <x:c r="E283" s="34" t="str">
        <x:v>Coverage</x:v>
      </x:c>
      <x:c r="F283" s="34" t="n">
        <x:v>339</x:v>
      </x:c>
      <x:c r="G283" s="34" t="str">
        <x:v>RECORDED</x:v>
      </x:c>
      <x:c r="H283" s="38" t="n">
        <x:f>IF(ISNUMBER('Data'!G283),'Data'!G283*100,"")</x:f>
        <x:v>16.52</x:v>
      </x:c>
      <x:c r="I283" s="34" t="str">
        <x:v>PASS</x:v>
      </x:c>
      <x:c r="J283" s="34" t="str">
        <x:v>PASS</x:v>
      </x:c>
      <x:c r="K283" s="34" t="str">
        <x:v>PASS</x:v>
      </x:c>
      <x:c r="L283" s="34" t="str">
        <x:v>PASS</x:v>
      </x:c>
      <x:c r="M283" s="34" t="str">
        <x:v>numeric coverage for applicable metric</x:v>
      </x:c>
      <x:c r="N283" s="34" t="str">
        <x:v>Feedback-Directed Random Test Generation/Result/Collections_25/result.json</x:v>
      </x:c>
      <x:c r="O283" s="38" t="n">
        <x:f>IF(AND(G283="RECORDED",ISNUMBER(H283)),H283,"")</x:f>
        <x:v>16.52</x:v>
      </x:c>
      <x:c r="P283" s="34" t="str">
        <x:v>NOT_REVEALING</x:v>
      </x:c>
      <x:c r="Q283" s="34" t="str">
        <x:v>Feedback-Directed Random Test Generation/Result/Collections_25/result.json</x:v>
      </x:c>
    </x:row>
    <x:row r="284">
      <x:c r="A284" s="34" t="str">
        <x:v>randoop</x:v>
      </x:c>
      <x:c r="B284" s="34" t="str">
        <x:v>Collections</x:v>
      </x:c>
      <x:c r="C284" s="34" t="str">
        <x:v>Round1</x:v>
      </x:c>
      <x:c r="D284" s="34" t="str">
        <x:v>Collections_26</x:v>
      </x:c>
      <x:c r="E284" s="34" t="str">
        <x:v>Coverage</x:v>
      </x:c>
      <x:c r="F284" s="34" t="n">
        <x:v>49</x:v>
      </x:c>
      <x:c r="G284" s="34" t="str">
        <x:v>RECORDED</x:v>
      </x:c>
      <x:c r="H284" s="38" t="n">
        <x:f>IF(ISNUMBER('Data'!G284),'Data'!G284*100,"")</x:f>
        <x:v>91.84</x:v>
      </x:c>
      <x:c r="I284" s="34" t="str">
        <x:v>PASS</x:v>
      </x:c>
      <x:c r="J284" s="34" t="str">
        <x:v>PASS</x:v>
      </x:c>
      <x:c r="K284" s="34" t="str">
        <x:v>PASS</x:v>
      </x:c>
      <x:c r="L284" s="34" t="str">
        <x:v>PASS</x:v>
      </x:c>
      <x:c r="M284" s="34" t="str">
        <x:v>numeric coverage for applicable metric</x:v>
      </x:c>
      <x:c r="N284" s="34" t="str">
        <x:v>Feedback-Directed Random Test Generation/Result/Collections_26/result.json</x:v>
      </x:c>
      <x:c r="O284" s="38" t="n">
        <x:f>IF(AND(G284="RECORDED",ISNUMBER(H284)),H284,"")</x:f>
        <x:v>91.84</x:v>
      </x:c>
      <x:c r="P284" s="34" t="str">
        <x:v>NOT_REVEALING</x:v>
      </x:c>
      <x:c r="Q284" s="34" t="str">
        <x:v>Feedback-Directed Random Test Generation/Result/Collections_26/result.json</x:v>
      </x:c>
    </x:row>
    <x:row r="285">
      <x:c r="A285" s="34" t="str">
        <x:v>randoop</x:v>
      </x:c>
      <x:c r="B285" s="34" t="str">
        <x:v>Collections</x:v>
      </x:c>
      <x:c r="C285" s="34" t="str">
        <x:v>Round1</x:v>
      </x:c>
      <x:c r="D285" s="34" t="str">
        <x:v>Collections_27</x:v>
      </x:c>
      <x:c r="E285" s="34" t="str">
        <x:v>Coverage</x:v>
      </x:c>
      <x:c r="F285" s="34" t="n">
        <x:v>177</x:v>
      </x:c>
      <x:c r="G285" s="34" t="str">
        <x:v>RECORDED</x:v>
      </x:c>
      <x:c r="H285" s="38" t="n">
        <x:f>IF(ISNUMBER('Data'!G285),'Data'!G285*100,"")</x:f>
        <x:v>38.98</x:v>
      </x:c>
      <x:c r="I285" s="34" t="str">
        <x:v>PASS</x:v>
      </x:c>
      <x:c r="J285" s="34" t="str">
        <x:v>PASS</x:v>
      </x:c>
      <x:c r="K285" s="34" t="str">
        <x:v>PASS</x:v>
      </x:c>
      <x:c r="L285" s="34" t="str">
        <x:v>PASS</x:v>
      </x:c>
      <x:c r="M285" s="34" t="str">
        <x:v>numeric coverage for applicable metric</x:v>
      </x:c>
      <x:c r="N285" s="34" t="str">
        <x:v>Feedback-Directed Random Test Generation/Result/Collections_27/result.json</x:v>
      </x:c>
      <x:c r="O285" s="38" t="n">
        <x:f>IF(AND(G285="RECORDED",ISNUMBER(H285)),H285,"")</x:f>
        <x:v>38.98</x:v>
      </x:c>
      <x:c r="P285" s="34" t="str">
        <x:v>NOT_REVEALING</x:v>
      </x:c>
      <x:c r="Q285" s="34" t="str">
        <x:v>Feedback-Directed Random Test Generation/Result/Collections_27/result.json</x:v>
      </x:c>
    </x:row>
    <x:row r="286">
      <x:c r="A286" s="34" t="str">
        <x:v>randoop</x:v>
      </x:c>
      <x:c r="B286" s="34" t="str">
        <x:v>Collections</x:v>
      </x:c>
      <x:c r="C286" s="34" t="str">
        <x:v>Round1</x:v>
      </x:c>
      <x:c r="D286" s="34" t="str">
        <x:v>Collections_28</x:v>
      </x:c>
      <x:c r="E286" s="34" t="str">
        <x:v>Coverage</x:v>
      </x:c>
      <x:c r="F286" s="34" t="n">
        <x:v>1365</x:v>
      </x:c>
      <x:c r="G286" s="34" t="str">
        <x:v>RECORDED</x:v>
      </x:c>
      <x:c r="H286" s="38" t="n">
        <x:f>IF(ISNUMBER('Data'!G286),'Data'!G286*100,"")</x:f>
        <x:v>3.37</x:v>
      </x:c>
      <x:c r="I286" s="34" t="str">
        <x:v>PASS</x:v>
      </x:c>
      <x:c r="J286" s="34" t="str">
        <x:v>PASS</x:v>
      </x:c>
      <x:c r="K286" s="34" t="str">
        <x:v>PASS</x:v>
      </x:c>
      <x:c r="L286" s="34" t="str">
        <x:v>PASS</x:v>
      </x:c>
      <x:c r="M286" s="34" t="str">
        <x:v>numeric coverage for applicable metric</x:v>
      </x:c>
      <x:c r="N286" s="34" t="str">
        <x:v>Feedback-Directed Random Test Generation/Result/Collections_28/result.json</x:v>
      </x:c>
      <x:c r="O286" s="38" t="n">
        <x:f>IF(AND(G286="RECORDED",ISNUMBER(H286)),H286,"")</x:f>
        <x:v>3.37</x:v>
      </x:c>
      <x:c r="P286" s="34" t="str">
        <x:v>NOT_REVEALING</x:v>
      </x:c>
      <x:c r="Q286" s="34" t="str">
        <x:v>Feedback-Directed Random Test Generation/Result/Collections_28/result.json</x:v>
      </x:c>
    </x:row>
    <x:row r="287">
      <x:c r="A287" s="34" t="str">
        <x:v>randoop</x:v>
      </x:c>
      <x:c r="B287" s="34" t="str">
        <x:v>Compress</x:v>
      </x:c>
      <x:c r="C287" s="34" t="str">
        <x:v>Round1</x:v>
      </x:c>
      <x:c r="D287" s="34" t="str">
        <x:v>Compress_1</x:v>
      </x:c>
      <x:c r="E287" s="34" t="str">
        <x:v>Coverage</x:v>
      </x:c>
      <x:c r="F287" s="34" t="n">
        <x:v>223</x:v>
      </x:c>
      <x:c r="G287" s="34" t="str">
        <x:v>RECORDED</x:v>
      </x:c>
      <x:c r="H287" s="38" t="n">
        <x:f>IF(ISNUMBER('Data'!G287),'Data'!G287*100,"")</x:f>
        <x:v>29.15</x:v>
      </x:c>
      <x:c r="I287" s="34" t="str">
        <x:v>PASS</x:v>
      </x:c>
      <x:c r="J287" s="34" t="str">
        <x:v>PASS</x:v>
      </x:c>
      <x:c r="K287" s="34" t="str">
        <x:v>PASS</x:v>
      </x:c>
      <x:c r="L287" s="34" t="str">
        <x:v>PASS</x:v>
      </x:c>
      <x:c r="M287" s="34" t="str">
        <x:v>numeric coverage for applicable metric</x:v>
      </x:c>
      <x:c r="N287" s="34" t="str">
        <x:v>Feedback-Directed Random Test Generation/Result/Compress_1/result.json</x:v>
      </x:c>
      <x:c r="O287" s="38" t="n">
        <x:f>IF(AND(G287="RECORDED",ISNUMBER(H287)),H287,"")</x:f>
        <x:v>29.15</x:v>
      </x:c>
      <x:c r="P287" s="34" t="str">
        <x:v>INCONCLUSIVE</x:v>
      </x:c>
      <x:c r="Q287" s="34" t="str">
        <x:v>Feedback-Directed Random Test Generation/Result/Compress_1/result.json</x:v>
      </x:c>
    </x:row>
    <x:row r="288">
      <x:c r="A288" s="34" t="str">
        <x:v>randoop</x:v>
      </x:c>
      <x:c r="B288" s="34" t="str">
        <x:v>Compress</x:v>
      </x:c>
      <x:c r="C288" s="34" t="str">
        <x:v>Round1</x:v>
      </x:c>
      <x:c r="D288" s="34" t="str">
        <x:v>Compress_2</x:v>
      </x:c>
      <x:c r="E288" s="34" t="str">
        <x:v>Coverage</x:v>
      </x:c>
      <x:c r="F288" s="34" t="n">
        <x:v>115</x:v>
      </x:c>
      <x:c r="G288" s="34" t="str">
        <x:v>RECORDED</x:v>
      </x:c>
      <x:c r="H288" s="38" t="n">
        <x:f>IF(ISNUMBER('Data'!G288),'Data'!G288*100,"")</x:f>
        <x:v>22.61</x:v>
      </x:c>
      <x:c r="I288" s="34" t="str">
        <x:v>PASS</x:v>
      </x:c>
      <x:c r="J288" s="34" t="str">
        <x:v>PASS</x:v>
      </x:c>
      <x:c r="K288" s="34" t="str">
        <x:v>PASS</x:v>
      </x:c>
      <x:c r="L288" s="34" t="str">
        <x:v>PASS</x:v>
      </x:c>
      <x:c r="M288" s="34" t="str">
        <x:v>numeric coverage for applicable metric</x:v>
      </x:c>
      <x:c r="N288" s="34" t="str">
        <x:v>Feedback-Directed Random Test Generation/Result/Compress_2/result.json</x:v>
      </x:c>
      <x:c r="O288" s="38" t="n">
        <x:f>IF(AND(G288="RECORDED",ISNUMBER(H288)),H288,"")</x:f>
        <x:v>22.61</x:v>
      </x:c>
      <x:c r="P288" s="34" t="str">
        <x:v>NOT_REVEALING</x:v>
      </x:c>
      <x:c r="Q288" s="34" t="str">
        <x:v>Feedback-Directed Random Test Generation/Result/Compress_2/result.json</x:v>
      </x:c>
    </x:row>
    <x:row r="289">
      <x:c r="A289" s="34" t="str">
        <x:v>randoop</x:v>
      </x:c>
      <x:c r="B289" s="34" t="str">
        <x:v>Compress</x:v>
      </x:c>
      <x:c r="C289" s="34" t="str">
        <x:v>Round1</x:v>
      </x:c>
      <x:c r="D289" s="34" t="str">
        <x:v>Compress_3</x:v>
      </x:c>
      <x:c r="E289" s="34" t="str">
        <x:v>Coverage</x:v>
      </x:c>
      <x:c r="F289" s="34" t="n">
        <x:v>118</x:v>
      </x:c>
      <x:c r="G289" s="34" t="str">
        <x:v>RECORDED</x:v>
      </x:c>
      <x:c r="H289" s="38" t="n">
        <x:f>IF(ISNUMBER('Data'!G289),'Data'!G289*100,"")</x:f>
        <x:v>39.83</x:v>
      </x:c>
      <x:c r="I289" s="34" t="str">
        <x:v>PASS</x:v>
      </x:c>
      <x:c r="J289" s="34" t="str">
        <x:v>PASS</x:v>
      </x:c>
      <x:c r="K289" s="34" t="str">
        <x:v>PASS</x:v>
      </x:c>
      <x:c r="L289" s="34" t="str">
        <x:v>PASS</x:v>
      </x:c>
      <x:c r="M289" s="34" t="str">
        <x:v>numeric coverage for applicable metric</x:v>
      </x:c>
      <x:c r="N289" s="34" t="str">
        <x:v>Feedback-Directed Random Test Generation/Result/Compress_3/result.json</x:v>
      </x:c>
      <x:c r="O289" s="38" t="n">
        <x:f>IF(AND(G289="RECORDED",ISNUMBER(H289)),H289,"")</x:f>
        <x:v>39.83</x:v>
      </x:c>
      <x:c r="P289" s="34" t="str">
        <x:v>NOT_REVEALING</x:v>
      </x:c>
      <x:c r="Q289" s="34" t="str">
        <x:v>Feedback-Directed Random Test Generation/Result/Compress_3/result.json</x:v>
      </x:c>
    </x:row>
    <x:row r="290">
      <x:c r="A290" s="34" t="str">
        <x:v>randoop</x:v>
      </x:c>
      <x:c r="B290" s="34" t="str">
        <x:v>Compress</x:v>
      </x:c>
      <x:c r="C290" s="34" t="str">
        <x:v>Round1</x:v>
      </x:c>
      <x:c r="D290" s="34" t="str">
        <x:v>Compress_4</x:v>
      </x:c>
      <x:c r="E290" s="34" t="str">
        <x:v>Coverage</x:v>
      </x:c>
      <x:c r="F290" s="34" t="n">
        <x:v>869</x:v>
      </x:c>
      <x:c r="G290" s="34" t="str">
        <x:v>RECORDED</x:v>
      </x:c>
      <x:c r="H290" s="38" t="n">
        <x:f>IF(ISNUMBER('Data'!G290),'Data'!G290*100,"")</x:f>
        <x:v>13.919999999999998</x:v>
      </x:c>
      <x:c r="I290" s="34" t="str">
        <x:v>PASS</x:v>
      </x:c>
      <x:c r="J290" s="34" t="str">
        <x:v>PASS</x:v>
      </x:c>
      <x:c r="K290" s="34" t="str">
        <x:v>PASS</x:v>
      </x:c>
      <x:c r="L290" s="34" t="str">
        <x:v>PASS</x:v>
      </x:c>
      <x:c r="M290" s="34" t="str">
        <x:v>numeric coverage for applicable metric</x:v>
      </x:c>
      <x:c r="N290" s="34" t="str">
        <x:v>Feedback-Directed Random Test Generation/Result/Compress_4/result.json</x:v>
      </x:c>
      <x:c r="O290" s="38" t="n">
        <x:f>IF(AND(G290="RECORDED",ISNUMBER(H290)),H290,"")</x:f>
        <x:v>13.919999999999998</x:v>
      </x:c>
      <x:c r="P290" s="34" t="str">
        <x:v>INCONCLUSIVE</x:v>
      </x:c>
      <x:c r="Q290" s="34" t="str">
        <x:v>Feedback-Directed Random Test Generation/Result/Compress_4/result.json</x:v>
      </x:c>
    </x:row>
    <x:row r="291">
      <x:c r="A291" s="34" t="str">
        <x:v>randoop</x:v>
      </x:c>
      <x:c r="B291" s="34" t="str">
        <x:v>Compress</x:v>
      </x:c>
      <x:c r="C291" s="34" t="str">
        <x:v>Round1</x:v>
      </x:c>
      <x:c r="D291" s="34" t="str">
        <x:v>Compress_5</x:v>
      </x:c>
      <x:c r="E291" s="34" t="str">
        <x:v>Coverage</x:v>
      </x:c>
      <x:c r="F291" s="34" t="n">
        <x:v>255</x:v>
      </x:c>
      <x:c r="G291" s="34" t="str">
        <x:v>RECORDED</x:v>
      </x:c>
      <x:c r="H291" s="38" t="n">
        <x:f>IF(ISNUMBER('Data'!G291),'Data'!G291*100,"")</x:f>
        <x:v>30.2</x:v>
      </x:c>
      <x:c r="I291" s="34" t="str">
        <x:v>PASS</x:v>
      </x:c>
      <x:c r="J291" s="34" t="str">
        <x:v>PASS</x:v>
      </x:c>
      <x:c r="K291" s="34" t="str">
        <x:v>PASS</x:v>
      </x:c>
      <x:c r="L291" s="34" t="str">
        <x:v>PASS</x:v>
      </x:c>
      <x:c r="M291" s="34" t="str">
        <x:v>numeric coverage for applicable metric</x:v>
      </x:c>
      <x:c r="N291" s="34" t="str">
        <x:v>Feedback-Directed Random Test Generation/Result/Compress_5/result.json</x:v>
      </x:c>
      <x:c r="O291" s="38" t="n">
        <x:f>IF(AND(G291="RECORDED",ISNUMBER(H291)),H291,"")</x:f>
        <x:v>30.2</x:v>
      </x:c>
      <x:c r="P291" s="34" t="str">
        <x:v>NOT_REVEALING</x:v>
      </x:c>
      <x:c r="Q291" s="34" t="str">
        <x:v>Feedback-Directed Random Test Generation/Result/Compress_5/result.json</x:v>
      </x:c>
    </x:row>
    <x:row r="292">
      <x:c r="A292" s="34" t="str">
        <x:v>randoop</x:v>
      </x:c>
      <x:c r="B292" s="34" t="str">
        <x:v>Compress</x:v>
      </x:c>
      <x:c r="C292" s="34" t="str">
        <x:v>Round1</x:v>
      </x:c>
      <x:c r="D292" s="34" t="str">
        <x:v>Compress_6</x:v>
      </x:c>
      <x:c r="E292" s="34" t="str">
        <x:v>Coverage</x:v>
      </x:c>
      <x:c r="F292" s="34" t="n">
        <x:v>196</x:v>
      </x:c>
      <x:c r="G292" s="34" t="str">
        <x:v>RECORDED</x:v>
      </x:c>
      <x:c r="H292" s="38" t="n">
        <x:f>IF(ISNUMBER('Data'!G292),'Data'!G292*100,"")</x:f>
        <x:v>41.33</x:v>
      </x:c>
      <x:c r="I292" s="34" t="str">
        <x:v>PASS</x:v>
      </x:c>
      <x:c r="J292" s="34" t="str">
        <x:v>PASS</x:v>
      </x:c>
      <x:c r="K292" s="34" t="str">
        <x:v>PASS</x:v>
      </x:c>
      <x:c r="L292" s="34" t="str">
        <x:v>FAIL</x:v>
      </x:c>
      <x:c r="M292" s="34" t="str">
        <x:v>numeric coverage for applicable metric</x:v>
      </x:c>
      <x:c r="N292" s="34" t="str">
        <x:v>Feedback-Directed Random Test Generation/Result/Compress_6/result.json</x:v>
      </x:c>
      <x:c r="O292" s="38" t="n">
        <x:f>IF(AND(G292="RECORDED",ISNUMBER(H292)),H292,"")</x:f>
        <x:v>41.33</x:v>
      </x:c>
      <x:c r="P292" s="34" t="str">
        <x:v>INCONCLUSIVE</x:v>
      </x:c>
      <x:c r="Q292" s="34" t="str">
        <x:v>Feedback-Directed Random Test Generation/Result/Compress_6/result.json</x:v>
      </x:c>
    </x:row>
    <x:row r="293">
      <x:c r="A293" s="34" t="str">
        <x:v>randoop</x:v>
      </x:c>
      <x:c r="B293" s="34" t="str">
        <x:v>Compress</x:v>
      </x:c>
      <x:c r="C293" s="34" t="str">
        <x:v>Round1</x:v>
      </x:c>
      <x:c r="D293" s="34" t="str">
        <x:v>Compress_7</x:v>
      </x:c>
      <x:c r="E293" s="34" t="str">
        <x:v>Coverage</x:v>
      </x:c>
      <x:c r="F293" s="34" t="n">
        <x:v>101</x:v>
      </x:c>
      <x:c r="G293" s="34" t="str">
        <x:v>RECORDED</x:v>
      </x:c>
      <x:c r="H293" s="38" t="n">
        <x:f>IF(ISNUMBER('Data'!G293),'Data'!G293*100,"")</x:f>
        <x:v>75.25</x:v>
      </x:c>
      <x:c r="I293" s="34" t="str">
        <x:v>PASS</x:v>
      </x:c>
      <x:c r="J293" s="34" t="str">
        <x:v>PASS</x:v>
      </x:c>
      <x:c r="K293" s="34" t="str">
        <x:v>PASS</x:v>
      </x:c>
      <x:c r="L293" s="34" t="str">
        <x:v>PASS</x:v>
      </x:c>
      <x:c r="M293" s="34" t="str">
        <x:v>numeric coverage for applicable metric</x:v>
      </x:c>
      <x:c r="N293" s="34" t="str">
        <x:v>Feedback-Directed Random Test Generation/Result/Compress_7/result.json</x:v>
      </x:c>
      <x:c r="O293" s="38" t="n">
        <x:f>IF(AND(G293="RECORDED",ISNUMBER(H293)),H293,"")</x:f>
        <x:v>75.25</x:v>
      </x:c>
      <x:c r="P293" s="34" t="str">
        <x:v>INCONCLUSIVE</x:v>
      </x:c>
      <x:c r="Q293" s="34" t="str">
        <x:v>Feedback-Directed Random Test Generation/Result/Compress_7/result.json</x:v>
      </x:c>
    </x:row>
    <x:row r="294">
      <x:c r="A294" s="34" t="str">
        <x:v>randoop</x:v>
      </x:c>
      <x:c r="B294" s="34" t="str">
        <x:v>Compress</x:v>
      </x:c>
      <x:c r="C294" s="34" t="str">
        <x:v>Round1</x:v>
      </x:c>
      <x:c r="D294" s="34" t="str">
        <x:v>Compress_8</x:v>
      </x:c>
      <x:c r="E294" s="34" t="str">
        <x:v>Coverage</x:v>
      </x:c>
      <x:c r="F294" s="34" t="n">
        <x:v>108</x:v>
      </x:c>
      <x:c r="G294" s="34" t="str">
        <x:v>RECORDED</x:v>
      </x:c>
      <x:c r="H294" s="38" t="n">
        <x:f>IF(ISNUMBER('Data'!G294),'Data'!G294*100,"")</x:f>
        <x:v>76.85</x:v>
      </x:c>
      <x:c r="I294" s="34" t="str">
        <x:v>PASS</x:v>
      </x:c>
      <x:c r="J294" s="34" t="str">
        <x:v>PASS</x:v>
      </x:c>
      <x:c r="K294" s="34" t="str">
        <x:v>PASS</x:v>
      </x:c>
      <x:c r="L294" s="34" t="str">
        <x:v>PASS</x:v>
      </x:c>
      <x:c r="M294" s="34" t="str">
        <x:v>numeric coverage for applicable metric</x:v>
      </x:c>
      <x:c r="N294" s="34" t="str">
        <x:v>Feedback-Directed Random Test Generation/Result/Compress_8/result.json</x:v>
      </x:c>
      <x:c r="O294" s="38" t="n">
        <x:f>IF(AND(G294="RECORDED",ISNUMBER(H294)),H294,"")</x:f>
        <x:v>76.85</x:v>
      </x:c>
      <x:c r="P294" s="34" t="str">
        <x:v>INCONCLUSIVE</x:v>
      </x:c>
      <x:c r="Q294" s="34" t="str">
        <x:v>Feedback-Directed Random Test Generation/Result/Compress_8/result.json</x:v>
      </x:c>
    </x:row>
    <x:row r="295">
      <x:c r="A295" s="34" t="str">
        <x:v>randoop</x:v>
      </x:c>
      <x:c r="B295" s="34" t="str">
        <x:v>Compress</x:v>
      </x:c>
      <x:c r="C295" s="34" t="str">
        <x:v>Round1</x:v>
      </x:c>
      <x:c r="D295" s="34" t="str">
        <x:v>Compress_9</x:v>
      </x:c>
      <x:c r="E295" s="34" t="str">
        <x:v>Coverage</x:v>
      </x:c>
      <x:c r="F295" s="34" t="n">
        <x:v>152</x:v>
      </x:c>
      <x:c r="G295" s="34" t="str">
        <x:v>RECORDED</x:v>
      </x:c>
      <x:c r="H295" s="38" t="n">
        <x:f>IF(ISNUMBER('Data'!G295),'Data'!G295*100,"")</x:f>
        <x:v>37.5</x:v>
      </x:c>
      <x:c r="I295" s="34" t="str">
        <x:v>PASS</x:v>
      </x:c>
      <x:c r="J295" s="34" t="str">
        <x:v>PASS</x:v>
      </x:c>
      <x:c r="K295" s="34" t="str">
        <x:v>PASS</x:v>
      </x:c>
      <x:c r="L295" s="34" t="str">
        <x:v>PASS</x:v>
      </x:c>
      <x:c r="M295" s="34" t="str">
        <x:v>numeric coverage for applicable metric</x:v>
      </x:c>
      <x:c r="N295" s="34" t="str">
        <x:v>Feedback-Directed Random Test Generation/Result/Compress_9/result.json</x:v>
      </x:c>
      <x:c r="O295" s="38" t="n">
        <x:f>IF(AND(G295="RECORDED",ISNUMBER(H295)),H295,"")</x:f>
        <x:v>37.5</x:v>
      </x:c>
      <x:c r="P295" s="34" t="str">
        <x:v>NOT_REVEALING</x:v>
      </x:c>
      <x:c r="Q295" s="34" t="str">
        <x:v>Feedback-Directed Random Test Generation/Result/Compress_9/result.json</x:v>
      </x:c>
    </x:row>
    <x:row r="296">
      <x:c r="A296" s="34" t="str">
        <x:v>randoop</x:v>
      </x:c>
      <x:c r="B296" s="34" t="str">
        <x:v>Compress</x:v>
      </x:c>
      <x:c r="C296" s="34" t="str">
        <x:v>Round1</x:v>
      </x:c>
      <x:c r="D296" s="34" t="str">
        <x:v>Compress_10</x:v>
      </x:c>
      <x:c r="E296" s="34" t="str">
        <x:v>Coverage</x:v>
      </x:c>
      <x:c r="F296" s="34" t="n">
        <x:v>417</x:v>
      </x:c>
      <x:c r="G296" s="34" t="str">
        <x:v>RECORDED</x:v>
      </x:c>
      <x:c r="H296" s="38" t="n">
        <x:f>IF(ISNUMBER('Data'!G296),'Data'!G296*100,"")</x:f>
        <x:v>4.56</x:v>
      </x:c>
      <x:c r="I296" s="34" t="str">
        <x:v>PASS</x:v>
      </x:c>
      <x:c r="J296" s="34" t="str">
        <x:v>PASS</x:v>
      </x:c>
      <x:c r="K296" s="34" t="str">
        <x:v>PASS</x:v>
      </x:c>
      <x:c r="L296" s="34" t="str">
        <x:v>PASS</x:v>
      </x:c>
      <x:c r="M296" s="34" t="str">
        <x:v>numeric coverage for applicable metric</x:v>
      </x:c>
      <x:c r="N296" s="34" t="str">
        <x:v>Feedback-Directed Random Test Generation/Result/Compress_10/result.json</x:v>
      </x:c>
      <x:c r="O296" s="38" t="n">
        <x:f>IF(AND(G296="RECORDED",ISNUMBER(H296)),H296,"")</x:f>
        <x:v>4.56</x:v>
      </x:c>
      <x:c r="P296" s="34" t="str">
        <x:v>NOT_REVEALING</x:v>
      </x:c>
      <x:c r="Q296" s="34" t="str">
        <x:v>Feedback-Directed Random Test Generation/Result/Compress_10/result.json</x:v>
      </x:c>
    </x:row>
    <x:row r="297">
      <x:c r="A297" s="34" t="str">
        <x:v>randoop</x:v>
      </x:c>
      <x:c r="B297" s="34" t="str">
        <x:v>Compress</x:v>
      </x:c>
      <x:c r="C297" s="34" t="str">
        <x:v>Round1</x:v>
      </x:c>
      <x:c r="D297" s="34" t="str">
        <x:v>Compress_11</x:v>
      </x:c>
      <x:c r="E297" s="34" t="str">
        <x:v>Coverage</x:v>
      </x:c>
      <x:c r="F297" s="34" t="n">
        <x:v>115</x:v>
      </x:c>
      <x:c r="G297" s="34" t="str">
        <x:v>RECORDED</x:v>
      </x:c>
      <x:c r="H297" s="38" t="n">
        <x:f>IF(ISNUMBER('Data'!G297),'Data'!G297*100,"")</x:f>
        <x:v>12.17</x:v>
      </x:c>
      <x:c r="I297" s="34" t="str">
        <x:v>PASS</x:v>
      </x:c>
      <x:c r="J297" s="34" t="str">
        <x:v>PASS</x:v>
      </x:c>
      <x:c r="K297" s="34" t="str">
        <x:v>PASS</x:v>
      </x:c>
      <x:c r="L297" s="34" t="str">
        <x:v>PASS</x:v>
      </x:c>
      <x:c r="M297" s="34" t="str">
        <x:v>numeric coverage for applicable metric</x:v>
      </x:c>
      <x:c r="N297" s="34" t="str">
        <x:v>Feedback-Directed Random Test Generation/Result/Compress_11/result.json</x:v>
      </x:c>
      <x:c r="O297" s="38" t="n">
        <x:f>IF(AND(G297="RECORDED",ISNUMBER(H297)),H297,"")</x:f>
        <x:v>12.17</x:v>
      </x:c>
      <x:c r="P297" s="34" t="str">
        <x:v>NOT_REVEALING</x:v>
      </x:c>
      <x:c r="Q297" s="34" t="str">
        <x:v>Feedback-Directed Random Test Generation/Result/Compress_11/result.json</x:v>
      </x:c>
    </x:row>
    <x:row r="298">
      <x:c r="A298" s="34" t="str">
        <x:v>randoop</x:v>
      </x:c>
      <x:c r="B298" s="34" t="str">
        <x:v>Compress</x:v>
      </x:c>
      <x:c r="C298" s="34" t="str">
        <x:v>Round1</x:v>
      </x:c>
      <x:c r="D298" s="34" t="str">
        <x:v>Compress_12</x:v>
      </x:c>
      <x:c r="E298" s="34" t="str">
        <x:v>Coverage</x:v>
      </x:c>
      <x:c r="F298" s="34" t="n">
        <x:v>305</x:v>
      </x:c>
      <x:c r="G298" s="34" t="str">
        <x:v>RECORDED</x:v>
      </x:c>
      <x:c r="H298" s="38" t="n">
        <x:f>IF(ISNUMBER('Data'!G298),'Data'!G298*100,"")</x:f>
        <x:v>21.64</x:v>
      </x:c>
      <x:c r="I298" s="34" t="str">
        <x:v>PASS</x:v>
      </x:c>
      <x:c r="J298" s="34" t="str">
        <x:v>PASS</x:v>
      </x:c>
      <x:c r="K298" s="34" t="str">
        <x:v>PASS</x:v>
      </x:c>
      <x:c r="L298" s="34" t="str">
        <x:v>PASS</x:v>
      </x:c>
      <x:c r="M298" s="34" t="str">
        <x:v>numeric coverage for applicable metric</x:v>
      </x:c>
      <x:c r="N298" s="34" t="str">
        <x:v>Feedback-Directed Random Test Generation/Result/Compress_12/result.json</x:v>
      </x:c>
      <x:c r="O298" s="38" t="n">
        <x:f>IF(AND(G298="RECORDED",ISNUMBER(H298)),H298,"")</x:f>
        <x:v>21.64</x:v>
      </x:c>
      <x:c r="P298" s="34" t="str">
        <x:v>NOT_REVEALING</x:v>
      </x:c>
      <x:c r="Q298" s="34" t="str">
        <x:v>Feedback-Directed Random Test Generation/Result/Compress_12/result.json</x:v>
      </x:c>
    </x:row>
    <x:row r="299">
      <x:c r="A299" s="34" t="str">
        <x:v>randoop</x:v>
      </x:c>
      <x:c r="B299" s="34" t="str">
        <x:v>Compress</x:v>
      </x:c>
      <x:c r="C299" s="34" t="str">
        <x:v>Round1</x:v>
      </x:c>
      <x:c r="D299" s="34" t="str">
        <x:v>Compress_13</x:v>
      </x:c>
      <x:c r="E299" s="34" t="str">
        <x:v>Coverage</x:v>
      </x:c>
      <x:c r="F299" s="34" t="n">
        <x:v>304</x:v>
      </x:c>
      <x:c r="G299" s="34" t="str">
        <x:v>RECORDED</x:v>
      </x:c>
      <x:c r="H299" s="38" t="n">
        <x:f>IF(ISNUMBER('Data'!G299),'Data'!G299*100,"")</x:f>
        <x:v>37.5</x:v>
      </x:c>
      <x:c r="I299" s="34" t="str">
        <x:v>PASS</x:v>
      </x:c>
      <x:c r="J299" s="34" t="str">
        <x:v>PASS</x:v>
      </x:c>
      <x:c r="K299" s="34" t="str">
        <x:v>PASS</x:v>
      </x:c>
      <x:c r="L299" s="34" t="str">
        <x:v>PASS</x:v>
      </x:c>
      <x:c r="M299" s="34" t="str">
        <x:v>numeric coverage for applicable metric</x:v>
      </x:c>
      <x:c r="N299" s="34" t="str">
        <x:v>Feedback-Directed Random Test Generation/Result/Compress_13/result.json</x:v>
      </x:c>
      <x:c r="O299" s="38" t="n">
        <x:f>IF(AND(G299="RECORDED",ISNUMBER(H299)),H299,"")</x:f>
        <x:v>37.5</x:v>
      </x:c>
      <x:c r="P299" s="34" t="str">
        <x:v>NOT_REVEALING</x:v>
      </x:c>
      <x:c r="Q299" s="34" t="str">
        <x:v>Feedback-Directed Random Test Generation/Result/Compress_13/result.json</x:v>
      </x:c>
    </x:row>
    <x:row r="300">
      <x:c r="A300" s="34" t="str">
        <x:v>randoop</x:v>
      </x:c>
      <x:c r="B300" s="34" t="str">
        <x:v>Compress</x:v>
      </x:c>
      <x:c r="C300" s="34" t="str">
        <x:v>Round1</x:v>
      </x:c>
      <x:c r="D300" s="34" t="str">
        <x:v>Compress_14</x:v>
      </x:c>
      <x:c r="E300" s="34" t="str">
        <x:v>Coverage</x:v>
      </x:c>
      <x:c r="F300" s="34" t="n">
        <x:v>167</x:v>
      </x:c>
      <x:c r="G300" s="34" t="str">
        <x:v>RECORDED</x:v>
      </x:c>
      <x:c r="H300" s="38" t="n">
        <x:f>IF(ISNUMBER('Data'!G300),'Data'!G300*100,"")</x:f>
        <x:v>49.7</x:v>
      </x:c>
      <x:c r="I300" s="34" t="str">
        <x:v>PASS</x:v>
      </x:c>
      <x:c r="J300" s="34" t="str">
        <x:v>PASS</x:v>
      </x:c>
      <x:c r="K300" s="34" t="str">
        <x:v>PASS</x:v>
      </x:c>
      <x:c r="L300" s="34" t="str">
        <x:v>PASS</x:v>
      </x:c>
      <x:c r="M300" s="34" t="str">
        <x:v>numeric coverage for applicable metric</x:v>
      </x:c>
      <x:c r="N300" s="34" t="str">
        <x:v>Feedback-Directed Random Test Generation/Result/Compress_14/result.json</x:v>
      </x:c>
      <x:c r="O300" s="38" t="n">
        <x:f>IF(AND(G300="RECORDED",ISNUMBER(H300)),H300,"")</x:f>
        <x:v>49.7</x:v>
      </x:c>
      <x:c r="P300" s="34" t="str">
        <x:v>NOT_REVEALING</x:v>
      </x:c>
      <x:c r="Q300" s="34" t="str">
        <x:v>Feedback-Directed Random Test Generation/Result/Compress_14/result.json</x:v>
      </x:c>
    </x:row>
    <x:row r="301">
      <x:c r="A301" s="34" t="str">
        <x:v>randoop</x:v>
      </x:c>
      <x:c r="B301" s="34" t="str">
        <x:v>Compress</x:v>
      </x:c>
      <x:c r="C301" s="34" t="str">
        <x:v>Round1</x:v>
      </x:c>
      <x:c r="D301" s="34" t="str">
        <x:v>Compress_15</x:v>
      </x:c>
      <x:c r="E301" s="34" t="str">
        <x:v>Coverage</x:v>
      </x:c>
      <x:c r="F301" s="34" t="n">
        <x:v>313</x:v>
      </x:c>
      <x:c r="G301" s="34" t="str">
        <x:v>RECORDED</x:v>
      </x:c>
      <x:c r="H301" s="38" t="n">
        <x:f>IF(ISNUMBER('Data'!G301),'Data'!G301*100,"")</x:f>
        <x:v>36.1</x:v>
      </x:c>
      <x:c r="I301" s="34" t="str">
        <x:v>PASS</x:v>
      </x:c>
      <x:c r="J301" s="34" t="str">
        <x:v>PASS</x:v>
      </x:c>
      <x:c r="K301" s="34" t="str">
        <x:v>PASS</x:v>
      </x:c>
      <x:c r="L301" s="34" t="str">
        <x:v>PASS</x:v>
      </x:c>
      <x:c r="M301" s="34" t="str">
        <x:v>numeric coverage for applicable metric</x:v>
      </x:c>
      <x:c r="N301" s="34" t="str">
        <x:v>Feedback-Directed Random Test Generation/Result/Compress_15/result.json</x:v>
      </x:c>
      <x:c r="O301" s="38" t="n">
        <x:f>IF(AND(G301="RECORDED",ISNUMBER(H301)),H301,"")</x:f>
        <x:v>36.1</x:v>
      </x:c>
      <x:c r="P301" s="34" t="str">
        <x:v>NOT_REVEALING</x:v>
      </x:c>
      <x:c r="Q301" s="34" t="str">
        <x:v>Feedback-Directed Random Test Generation/Result/Compress_15/result.json</x:v>
      </x:c>
    </x:row>
    <x:row r="302">
      <x:c r="A302" s="34" t="str">
        <x:v>randoop</x:v>
      </x:c>
      <x:c r="B302" s="34" t="str">
        <x:v>Compress</x:v>
      </x:c>
      <x:c r="C302" s="34" t="str">
        <x:v>Round1</x:v>
      </x:c>
      <x:c r="D302" s="34" t="str">
        <x:v>Compress_16</x:v>
      </x:c>
      <x:c r="E302" s="34" t="str">
        <x:v>Coverage</x:v>
      </x:c>
      <x:c r="F302" s="34" t="n">
        <x:v>118</x:v>
      </x:c>
      <x:c r="G302" s="34" t="str">
        <x:v>RECORDED</x:v>
      </x:c>
      <x:c r="H302" s="38" t="n">
        <x:f>IF(ISNUMBER('Data'!G302),'Data'!G302*100,"")</x:f>
        <x:v>11.86</x:v>
      </x:c>
      <x:c r="I302" s="34" t="str">
        <x:v>PASS</x:v>
      </x:c>
      <x:c r="J302" s="34" t="str">
        <x:v>PASS</x:v>
      </x:c>
      <x:c r="K302" s="34" t="str">
        <x:v>PASS</x:v>
      </x:c>
      <x:c r="L302" s="34" t="str">
        <x:v>PASS</x:v>
      </x:c>
      <x:c r="M302" s="34" t="str">
        <x:v>numeric coverage for applicable metric</x:v>
      </x:c>
      <x:c r="N302" s="34" t="str">
        <x:v>Feedback-Directed Random Test Generation/Result/Compress_16/result.json</x:v>
      </x:c>
      <x:c r="O302" s="38" t="n">
        <x:f>IF(AND(G302="RECORDED",ISNUMBER(H302)),H302,"")</x:f>
        <x:v>11.86</x:v>
      </x:c>
      <x:c r="P302" s="34" t="str">
        <x:v>NOT_REVEALING</x:v>
      </x:c>
      <x:c r="Q302" s="34" t="str">
        <x:v>Feedback-Directed Random Test Generation/Result/Compress_16/result.json</x:v>
      </x:c>
    </x:row>
    <x:row r="303">
      <x:c r="A303" s="34" t="str">
        <x:v>randoop</x:v>
      </x:c>
      <x:c r="B303" s="34" t="str">
        <x:v>Compress</x:v>
      </x:c>
      <x:c r="C303" s="34" t="str">
        <x:v>Round1</x:v>
      </x:c>
      <x:c r="D303" s="34" t="str">
        <x:v>Compress_17</x:v>
      </x:c>
      <x:c r="E303" s="34" t="str">
        <x:v>Coverage</x:v>
      </x:c>
      <x:c r="F303" s="34" t="n">
        <x:v>295</x:v>
      </x:c>
      <x:c r="G303" s="34" t="str">
        <x:v>RECORDED</x:v>
      </x:c>
      <x:c r="H303" s="38" t="n">
        <x:f>IF(ISNUMBER('Data'!G303),'Data'!G303*100,"")</x:f>
        <x:v>40.68</x:v>
      </x:c>
      <x:c r="I303" s="34" t="str">
        <x:v>PASS</x:v>
      </x:c>
      <x:c r="J303" s="34" t="str">
        <x:v>PASS</x:v>
      </x:c>
      <x:c r="K303" s="34" t="str">
        <x:v>PASS</x:v>
      </x:c>
      <x:c r="L303" s="34" t="str">
        <x:v>PASS</x:v>
      </x:c>
      <x:c r="M303" s="34" t="str">
        <x:v>numeric coverage for applicable metric</x:v>
      </x:c>
      <x:c r="N303" s="34" t="str">
        <x:v>Feedback-Directed Random Test Generation/Result/Compress_17/result.json</x:v>
      </x:c>
      <x:c r="O303" s="38" t="n">
        <x:f>IF(AND(G303="RECORDED",ISNUMBER(H303)),H303,"")</x:f>
        <x:v>40.68</x:v>
      </x:c>
      <x:c r="P303" s="34" t="str">
        <x:v>NOT_REVEALING</x:v>
      </x:c>
      <x:c r="Q303" s="34" t="str">
        <x:v>Feedback-Directed Random Test Generation/Result/Compress_17/result.json</x:v>
      </x:c>
    </x:row>
    <x:row r="304">
      <x:c r="A304" s="34" t="str">
        <x:v>randoop</x:v>
      </x:c>
      <x:c r="B304" s="34" t="str">
        <x:v>Compress</x:v>
      </x:c>
      <x:c r="C304" s="34" t="str">
        <x:v>Round1</x:v>
      </x:c>
      <x:c r="D304" s="34" t="str">
        <x:v>Compress_18</x:v>
      </x:c>
      <x:c r="E304" s="34" t="str">
        <x:v>Coverage</x:v>
      </x:c>
      <x:c r="F304" s="34" t="n">
        <x:v>286</x:v>
      </x:c>
      <x:c r="G304" s="34" t="str">
        <x:v>RECORDED</x:v>
      </x:c>
      <x:c r="H304" s="38" t="n">
        <x:f>IF(ISNUMBER('Data'!G304),'Data'!G304*100,"")</x:f>
        <x:v>30.769999999999996</x:v>
      </x:c>
      <x:c r="I304" s="34" t="str">
        <x:v>PASS</x:v>
      </x:c>
      <x:c r="J304" s="34" t="str">
        <x:v>PASS</x:v>
      </x:c>
      <x:c r="K304" s="34" t="str">
        <x:v>PASS</x:v>
      </x:c>
      <x:c r="L304" s="34" t="str">
        <x:v>PASS</x:v>
      </x:c>
      <x:c r="M304" s="34" t="str">
        <x:v>numeric coverage for applicable metric</x:v>
      </x:c>
      <x:c r="N304" s="34" t="str">
        <x:v>Feedback-Directed Random Test Generation/Result/Compress_18/result.json</x:v>
      </x:c>
      <x:c r="O304" s="38" t="n">
        <x:f>IF(AND(G304="RECORDED",ISNUMBER(H304)),H304,"")</x:f>
        <x:v>30.769999999999996</x:v>
      </x:c>
      <x:c r="P304" s="34" t="str">
        <x:v>NOT_REVEALING</x:v>
      </x:c>
      <x:c r="Q304" s="34" t="str">
        <x:v>Feedback-Directed Random Test Generation/Result/Compress_18/result.json</x:v>
      </x:c>
    </x:row>
    <x:row r="305">
      <x:c r="A305" s="34" t="str">
        <x:v>randoop</x:v>
      </x:c>
      <x:c r="B305" s="34" t="str">
        <x:v>Compress</x:v>
      </x:c>
      <x:c r="C305" s="34" t="str">
        <x:v>Round1</x:v>
      </x:c>
      <x:c r="D305" s="34" t="str">
        <x:v>Compress_19</x:v>
      </x:c>
      <x:c r="E305" s="34" t="str">
        <x:v>Coverage</x:v>
      </x:c>
      <x:c r="F305" s="34" t="n">
        <x:v>165</x:v>
      </x:c>
      <x:c r="G305" s="34" t="str">
        <x:v>RECORDED</x:v>
      </x:c>
      <x:c r="H305" s="38" t="n">
        <x:f>IF(ISNUMBER('Data'!G305),'Data'!G305*100,"")</x:f>
        <x:v>36.97</x:v>
      </x:c>
      <x:c r="I305" s="34" t="str">
        <x:v>PASS</x:v>
      </x:c>
      <x:c r="J305" s="34" t="str">
        <x:v>PASS</x:v>
      </x:c>
      <x:c r="K305" s="34" t="str">
        <x:v>PASS</x:v>
      </x:c>
      <x:c r="L305" s="34" t="str">
        <x:v>PASS</x:v>
      </x:c>
      <x:c r="M305" s="34" t="str">
        <x:v>numeric coverage for applicable metric</x:v>
      </x:c>
      <x:c r="N305" s="34" t="str">
        <x:v>Feedback-Directed Random Test Generation/Result/Compress_19/result.json</x:v>
      </x:c>
      <x:c r="O305" s="38" t="n">
        <x:f>IF(AND(G305="RECORDED",ISNUMBER(H305)),H305,"")</x:f>
        <x:v>36.97</x:v>
      </x:c>
      <x:c r="P305" s="34" t="str">
        <x:v>NOT_REVEALING</x:v>
      </x:c>
      <x:c r="Q305" s="34" t="str">
        <x:v>Feedback-Directed Random Test Generation/Result/Compress_19/result.json</x:v>
      </x:c>
    </x:row>
    <x:row r="306">
      <x:c r="A306" s="34" t="str">
        <x:v>randoop</x:v>
      </x:c>
      <x:c r="B306" s="34" t="str">
        <x:v>Compress</x:v>
      </x:c>
      <x:c r="C306" s="34" t="str">
        <x:v>Round1</x:v>
      </x:c>
      <x:c r="D306" s="34" t="str">
        <x:v>Compress_20</x:v>
      </x:c>
      <x:c r="E306" s="34" t="str">
        <x:v>Coverage</x:v>
      </x:c>
      <x:c r="F306" s="34" t="n">
        <x:v>328</x:v>
      </x:c>
      <x:c r="G306" s="34" t="str">
        <x:v>RECORDED</x:v>
      </x:c>
      <x:c r="H306" s="38" t="n">
        <x:f>IF(ISNUMBER('Data'!G306),'Data'!G306*100,"")</x:f>
        <x:v>24.09</x:v>
      </x:c>
      <x:c r="I306" s="34" t="str">
        <x:v>PASS</x:v>
      </x:c>
      <x:c r="J306" s="34" t="str">
        <x:v>PASS</x:v>
      </x:c>
      <x:c r="K306" s="34" t="str">
        <x:v>PASS</x:v>
      </x:c>
      <x:c r="L306" s="34" t="str">
        <x:v>PASS</x:v>
      </x:c>
      <x:c r="M306" s="34" t="str">
        <x:v>numeric coverage for applicable metric</x:v>
      </x:c>
      <x:c r="N306" s="34" t="str">
        <x:v>Feedback-Directed Random Test Generation/Result/Compress_20/result.json</x:v>
      </x:c>
      <x:c r="O306" s="38" t="n">
        <x:f>IF(AND(G306="RECORDED",ISNUMBER(H306)),H306,"")</x:f>
        <x:v>24.09</x:v>
      </x:c>
      <x:c r="P306" s="34" t="str">
        <x:v>NOT_REVEALING</x:v>
      </x:c>
      <x:c r="Q306" s="34" t="str">
        <x:v>Feedback-Directed Random Test Generation/Result/Compress_20/result.json</x:v>
      </x:c>
    </x:row>
    <x:row r="307">
      <x:c r="A307" s="34" t="str">
        <x:v>randoop</x:v>
      </x:c>
      <x:c r="B307" s="34" t="str">
        <x:v>Compress</x:v>
      </x:c>
      <x:c r="C307" s="34" t="str">
        <x:v>Round1</x:v>
      </x:c>
      <x:c r="D307" s="34" t="str">
        <x:v>Compress_21</x:v>
      </x:c>
      <x:c r="E307" s="34" t="str">
        <x:v>Coverage</x:v>
      </x:c>
      <x:c r="F307" s="34" t="n">
        <x:v>526</x:v>
      </x:c>
      <x:c r="G307" s="34" t="str">
        <x:v>RECORDED</x:v>
      </x:c>
      <x:c r="H307" s="38" t="n">
        <x:f>IF(ISNUMBER('Data'!G307),'Data'!G307*100,"")</x:f>
        <x:v>1.71</x:v>
      </x:c>
      <x:c r="I307" s="34" t="str">
        <x:v>PASS</x:v>
      </x:c>
      <x:c r="J307" s="34" t="str">
        <x:v>PASS</x:v>
      </x:c>
      <x:c r="K307" s="34" t="str">
        <x:v>PASS</x:v>
      </x:c>
      <x:c r="L307" s="34" t="str">
        <x:v>PASS</x:v>
      </x:c>
      <x:c r="M307" s="34" t="str">
        <x:v>numeric coverage for applicable metric</x:v>
      </x:c>
      <x:c r="N307" s="34" t="str">
        <x:v>Feedback-Directed Random Test Generation/Result/Compress_21/result.json</x:v>
      </x:c>
      <x:c r="O307" s="38" t="n">
        <x:f>IF(AND(G307="RECORDED",ISNUMBER(H307)),H307,"")</x:f>
        <x:v>1.71</x:v>
      </x:c>
      <x:c r="P307" s="34" t="str">
        <x:v>NOT_REVEALING</x:v>
      </x:c>
      <x:c r="Q307" s="34" t="str">
        <x:v>Feedback-Directed Random Test Generation/Result/Compress_21/result.json</x:v>
      </x:c>
    </x:row>
    <x:row r="308">
      <x:c r="A308" s="34" t="str">
        <x:v>randoop</x:v>
      </x:c>
      <x:c r="B308" s="34" t="str">
        <x:v>Compress</x:v>
      </x:c>
      <x:c r="C308" s="34" t="str">
        <x:v>Round1</x:v>
      </x:c>
      <x:c r="D308" s="34" t="str">
        <x:v>Compress_22</x:v>
      </x:c>
      <x:c r="E308" s="34" t="str">
        <x:v>Coverage</x:v>
      </x:c>
      <x:c r="F308" s="34" t="n">
        <x:v>767</x:v>
      </x:c>
      <x:c r="G308" s="34" t="str">
        <x:v>RECORDED</x:v>
      </x:c>
      <x:c r="H308" s="38" t="n">
        <x:f>IF(ISNUMBER('Data'!G308),'Data'!G308*100,"")</x:f>
        <x:v>2.35</x:v>
      </x:c>
      <x:c r="I308" s="34" t="str">
        <x:v>PASS</x:v>
      </x:c>
      <x:c r="J308" s="34" t="str">
        <x:v>PASS</x:v>
      </x:c>
      <x:c r="K308" s="34" t="str">
        <x:v>PASS</x:v>
      </x:c>
      <x:c r="L308" s="34" t="str">
        <x:v>PASS</x:v>
      </x:c>
      <x:c r="M308" s="34" t="str">
        <x:v>numeric coverage for applicable metric</x:v>
      </x:c>
      <x:c r="N308" s="34" t="str">
        <x:v>Feedback-Directed Random Test Generation/Result/Compress_22/result.json</x:v>
      </x:c>
      <x:c r="O308" s="38" t="n">
        <x:f>IF(AND(G308="RECORDED",ISNUMBER(H308)),H308,"")</x:f>
        <x:v>2.35</x:v>
      </x:c>
      <x:c r="P308" s="34" t="str">
        <x:v>NOT_REVEALING</x:v>
      </x:c>
      <x:c r="Q308" s="34" t="str">
        <x:v>Feedback-Directed Random Test Generation/Result/Compress_22/result.json</x:v>
      </x:c>
    </x:row>
    <x:row r="309">
      <x:c r="A309" s="34" t="str">
        <x:v>randoop</x:v>
      </x:c>
      <x:c r="B309" s="34" t="str">
        <x:v>Compress</x:v>
      </x:c>
      <x:c r="C309" s="34" t="str">
        <x:v>Round1</x:v>
      </x:c>
      <x:c r="D309" s="34" t="str">
        <x:v>Compress_23</x:v>
      </x:c>
      <x:c r="E309" s="34" t="str">
        <x:v>Coverage</x:v>
      </x:c>
      <x:c r="F309" s="34" t="n">
        <x:v>137</x:v>
      </x:c>
      <x:c r="G309" s="34" t="str">
        <x:v>RECORDED</x:v>
      </x:c>
      <x:c r="H309" s="38" t="n">
        <x:f>IF(ISNUMBER('Data'!G309),'Data'!G309*100,"")</x:f>
        <x:v>31.39</x:v>
      </x:c>
      <x:c r="I309" s="34" t="str">
        <x:v>PASS</x:v>
      </x:c>
      <x:c r="J309" s="34" t="str">
        <x:v>PASS</x:v>
      </x:c>
      <x:c r="K309" s="34" t="str">
        <x:v>PASS</x:v>
      </x:c>
      <x:c r="L309" s="34" t="str">
        <x:v>FAIL</x:v>
      </x:c>
      <x:c r="M309" s="34" t="str">
        <x:v>numeric coverage for applicable metric</x:v>
      </x:c>
      <x:c r="N309" s="34" t="str">
        <x:v>Feedback-Directed Random Test Generation/Result/Compress_23/result.json</x:v>
      </x:c>
      <x:c r="O309" s="38" t="n">
        <x:f>IF(AND(G309="RECORDED",ISNUMBER(H309)),H309,"")</x:f>
        <x:v>31.39</x:v>
      </x:c>
      <x:c r="P309" s="34" t="str">
        <x:v>INCONCLUSIVE</x:v>
      </x:c>
      <x:c r="Q309" s="34" t="str">
        <x:v>Feedback-Directed Random Test Generation/Result/Compress_23/result.json</x:v>
      </x:c>
    </x:row>
    <x:row r="310">
      <x:c r="A310" s="34" t="str">
        <x:v>randoop</x:v>
      </x:c>
      <x:c r="B310" s="34" t="str">
        <x:v>Compress</x:v>
      </x:c>
      <x:c r="C310" s="34" t="str">
        <x:v>Round1</x:v>
      </x:c>
      <x:c r="D310" s="34" t="str">
        <x:v>Compress_24</x:v>
      </x:c>
      <x:c r="E310" s="34" t="str">
        <x:v>Coverage</x:v>
      </x:c>
      <x:c r="F310" s="34" t="n">
        <x:v>298</x:v>
      </x:c>
      <x:c r="G310" s="34" t="str">
        <x:v>RECORDED</x:v>
      </x:c>
      <x:c r="H310" s="38" t="n">
        <x:f>IF(ISNUMBER('Data'!G310),'Data'!G310*100,"")</x:f>
        <x:v>40.27</x:v>
      </x:c>
      <x:c r="I310" s="34" t="str">
        <x:v>PASS</x:v>
      </x:c>
      <x:c r="J310" s="34" t="str">
        <x:v>PASS</x:v>
      </x:c>
      <x:c r="K310" s="34" t="str">
        <x:v>PASS</x:v>
      </x:c>
      <x:c r="L310" s="34" t="str">
        <x:v>PASS</x:v>
      </x:c>
      <x:c r="M310" s="34" t="str">
        <x:v>numeric coverage for applicable metric</x:v>
      </x:c>
      <x:c r="N310" s="34" t="str">
        <x:v>Feedback-Directed Random Test Generation/Result/Compress_24/result.json</x:v>
      </x:c>
      <x:c r="O310" s="38" t="n">
        <x:f>IF(AND(G310="RECORDED",ISNUMBER(H310)),H310,"")</x:f>
        <x:v>40.27</x:v>
      </x:c>
      <x:c r="P310" s="34" t="str">
        <x:v>NOT_REVEALING</x:v>
      </x:c>
      <x:c r="Q310" s="34" t="str">
        <x:v>Feedback-Directed Random Test Generation/Result/Compress_24/result.json</x:v>
      </x:c>
    </x:row>
    <x:row r="311">
      <x:c r="A311" s="34" t="str">
        <x:v>randoop</x:v>
      </x:c>
      <x:c r="B311" s="34" t="str">
        <x:v>Compress</x:v>
      </x:c>
      <x:c r="C311" s="34" t="str">
        <x:v>Round1</x:v>
      </x:c>
      <x:c r="D311" s="34" t="str">
        <x:v>Compress_25</x:v>
      </x:c>
      <x:c r="E311" s="34" t="str">
        <x:v>Coverage</x:v>
      </x:c>
      <x:c r="F311" s="34" t="n">
        <x:v>653</x:v>
      </x:c>
      <x:c r="G311" s="34" t="str">
        <x:v>RECORDED</x:v>
      </x:c>
      <x:c r="H311" s="38" t="n">
        <x:f>IF(ISNUMBER('Data'!G311),'Data'!G311*100,"")</x:f>
        <x:v>8.73</x:v>
      </x:c>
      <x:c r="I311" s="34" t="str">
        <x:v>PASS</x:v>
      </x:c>
      <x:c r="J311" s="34" t="str">
        <x:v>PASS</x:v>
      </x:c>
      <x:c r="K311" s="34" t="str">
        <x:v>PASS</x:v>
      </x:c>
      <x:c r="L311" s="34" t="str">
        <x:v>PASS</x:v>
      </x:c>
      <x:c r="M311" s="34" t="str">
        <x:v>numeric coverage for applicable metric</x:v>
      </x:c>
      <x:c r="N311" s="34" t="str">
        <x:v>Feedback-Directed Random Test Generation/Result/Compress_25/result.json</x:v>
      </x:c>
      <x:c r="O311" s="38" t="n">
        <x:f>IF(AND(G311="RECORDED",ISNUMBER(H311)),H311,"")</x:f>
        <x:v>8.73</x:v>
      </x:c>
      <x:c r="P311" s="34" t="str">
        <x:v>NOT_REVEALING</x:v>
      </x:c>
      <x:c r="Q311" s="34" t="str">
        <x:v>Feedback-Directed Random Test Generation/Result/Compress_25/result.json</x:v>
      </x:c>
    </x:row>
    <x:row r="312">
      <x:c r="A312" s="34" t="str">
        <x:v>randoop</x:v>
      </x:c>
      <x:c r="B312" s="34" t="str">
        <x:v>Compress</x:v>
      </x:c>
      <x:c r="C312" s="34" t="str">
        <x:v>Round1</x:v>
      </x:c>
      <x:c r="D312" s="34" t="str">
        <x:v>Compress_26</x:v>
      </x:c>
      <x:c r="E312" s="34" t="str">
        <x:v>Coverage</x:v>
      </x:c>
      <x:c r="F312" s="34" t="n">
        <x:v>54</x:v>
      </x:c>
      <x:c r="G312" s="34" t="str">
        <x:v>RECORDED</x:v>
      </x:c>
      <x:c r="H312" s="38" t="n">
        <x:f>IF(ISNUMBER('Data'!G312),'Data'!G312*100,"")</x:f>
        <x:v>57.41</x:v>
      </x:c>
      <x:c r="I312" s="34" t="str">
        <x:v>PASS</x:v>
      </x:c>
      <x:c r="J312" s="34" t="str">
        <x:v>PASS</x:v>
      </x:c>
      <x:c r="K312" s="34" t="str">
        <x:v>PASS</x:v>
      </x:c>
      <x:c r="L312" s="34" t="str">
        <x:v>PASS</x:v>
      </x:c>
      <x:c r="M312" s="34" t="str">
        <x:v>numeric coverage for applicable metric</x:v>
      </x:c>
      <x:c r="N312" s="34" t="str">
        <x:v>Feedback-Directed Random Test Generation/Result/Compress_26/result.json</x:v>
      </x:c>
      <x:c r="O312" s="38" t="n">
        <x:f>IF(AND(G312="RECORDED",ISNUMBER(H312)),H312,"")</x:f>
        <x:v>57.41</x:v>
      </x:c>
      <x:c r="P312" s="34" t="str">
        <x:v>NOT_REVEALING</x:v>
      </x:c>
      <x:c r="Q312" s="34" t="str">
        <x:v>Feedback-Directed Random Test Generation/Result/Compress_26/result.json</x:v>
      </x:c>
    </x:row>
    <x:row r="313">
      <x:c r="A313" s="34" t="str">
        <x:v>randoop</x:v>
      </x:c>
      <x:c r="B313" s="34" t="str">
        <x:v>Compress</x:v>
      </x:c>
      <x:c r="C313" s="34" t="str">
        <x:v>Round1</x:v>
      </x:c>
      <x:c r="D313" s="34" t="str">
        <x:v>Compress_27</x:v>
      </x:c>
      <x:c r="E313" s="34" t="str">
        <x:v>Coverage</x:v>
      </x:c>
      <x:c r="F313" s="34" t="n">
        <x:v>294</x:v>
      </x:c>
      <x:c r="G313" s="34" t="str">
        <x:v>RECORDED</x:v>
      </x:c>
      <x:c r="H313" s="38" t="n">
        <x:f>IF(ISNUMBER('Data'!G313),'Data'!G313*100,"")</x:f>
        <x:v>40.82</x:v>
      </x:c>
      <x:c r="I313" s="34" t="str">
        <x:v>PASS</x:v>
      </x:c>
      <x:c r="J313" s="34" t="str">
        <x:v>PASS</x:v>
      </x:c>
      <x:c r="K313" s="34" t="str">
        <x:v>PASS</x:v>
      </x:c>
      <x:c r="L313" s="34" t="str">
        <x:v>PASS</x:v>
      </x:c>
      <x:c r="M313" s="34" t="str">
        <x:v>numeric coverage for applicable metric</x:v>
      </x:c>
      <x:c r="N313" s="34" t="str">
        <x:v>Feedback-Directed Random Test Generation/Result/Compress_27/result.json</x:v>
      </x:c>
      <x:c r="O313" s="38" t="n">
        <x:f>IF(AND(G313="RECORDED",ISNUMBER(H313)),H313,"")</x:f>
        <x:v>40.82</x:v>
      </x:c>
      <x:c r="P313" s="34" t="str">
        <x:v>NOT_REVEALING</x:v>
      </x:c>
      <x:c r="Q313" s="34" t="str">
        <x:v>Feedback-Directed Random Test Generation/Result/Compress_27/result.json</x:v>
      </x:c>
    </x:row>
    <x:row r="314">
      <x:c r="A314" s="34" t="str">
        <x:v>randoop</x:v>
      </x:c>
      <x:c r="B314" s="34" t="str">
        <x:v>Compress</x:v>
      </x:c>
      <x:c r="C314" s="34" t="str">
        <x:v>Round1</x:v>
      </x:c>
      <x:c r="D314" s="34" t="str">
        <x:v>Compress_28</x:v>
      </x:c>
      <x:c r="E314" s="34" t="str">
        <x:v>Coverage</x:v>
      </x:c>
      <x:c r="F314" s="34" t="n">
        <x:v>335</x:v>
      </x:c>
      <x:c r="G314" s="34" t="str">
        <x:v>RECORDED</x:v>
      </x:c>
      <x:c r="H314" s="38" t="n">
        <x:f>IF(ISNUMBER('Data'!G314),'Data'!G314*100,"")</x:f>
        <x:v>27.16</x:v>
      </x:c>
      <x:c r="I314" s="34" t="str">
        <x:v>PASS</x:v>
      </x:c>
      <x:c r="J314" s="34" t="str">
        <x:v>PASS</x:v>
      </x:c>
      <x:c r="K314" s="34" t="str">
        <x:v>PASS</x:v>
      </x:c>
      <x:c r="L314" s="34" t="str">
        <x:v>PASS</x:v>
      </x:c>
      <x:c r="M314" s="34" t="str">
        <x:v>numeric coverage for applicable metric</x:v>
      </x:c>
      <x:c r="N314" s="34" t="str">
        <x:v>Feedback-Directed Random Test Generation/Result/Compress_28/result.json</x:v>
      </x:c>
      <x:c r="O314" s="38" t="n">
        <x:f>IF(AND(G314="RECORDED",ISNUMBER(H314)),H314,"")</x:f>
        <x:v>27.16</x:v>
      </x:c>
      <x:c r="P314" s="34" t="str">
        <x:v>NOT_REVEALING</x:v>
      </x:c>
      <x:c r="Q314" s="34" t="str">
        <x:v>Feedback-Directed Random Test Generation/Result/Compress_28/result.json</x:v>
      </x:c>
    </x:row>
    <x:row r="315">
      <x:c r="A315" s="34" t="str">
        <x:v>randoop</x:v>
      </x:c>
      <x:c r="B315" s="34" t="str">
        <x:v>Compress</x:v>
      </x:c>
      <x:c r="C315" s="34" t="str">
        <x:v>Round1</x:v>
      </x:c>
      <x:c r="D315" s="34" t="str">
        <x:v>Compress_29</x:v>
      </x:c>
      <x:c r="E315" s="34" t="str">
        <x:v>Coverage</x:v>
      </x:c>
      <x:c r="F315" s="34" t="n">
        <x:v>2494</x:v>
      </x:c>
      <x:c r="G315" s="34" t="str">
        <x:v>RECORDED</x:v>
      </x:c>
      <x:c r="H315" s="38" t="n">
        <x:f>IF(ISNUMBER('Data'!G315),'Data'!G315*100,"")</x:f>
        <x:v>7.42</x:v>
      </x:c>
      <x:c r="I315" s="34" t="str">
        <x:v>PASS</x:v>
      </x:c>
      <x:c r="J315" s="34" t="str">
        <x:v>PASS</x:v>
      </x:c>
      <x:c r="K315" s="34" t="str">
        <x:v>PASS</x:v>
      </x:c>
      <x:c r="L315" s="34" t="str">
        <x:v>PASS</x:v>
      </x:c>
      <x:c r="M315" s="34" t="str">
        <x:v>numeric coverage for applicable metric</x:v>
      </x:c>
      <x:c r="N315" s="34" t="str">
        <x:v>Feedback-Directed Random Test Generation/Result/Compress_29/result.json</x:v>
      </x:c>
      <x:c r="O315" s="38" t="n">
        <x:f>IF(AND(G315="RECORDED",ISNUMBER(H315)),H315,"")</x:f>
        <x:v>7.42</x:v>
      </x:c>
      <x:c r="P315" s="34" t="str">
        <x:v>NOT_REVEALING</x:v>
      </x:c>
      <x:c r="Q315" s="34" t="str">
        <x:v>Feedback-Directed Random Test Generation/Result/Compress_29/result.json</x:v>
      </x:c>
    </x:row>
    <x:row r="316">
      <x:c r="A316" s="34" t="str">
        <x:v>randoop</x:v>
      </x:c>
      <x:c r="B316" s="34" t="str">
        <x:v>Compress</x:v>
      </x:c>
      <x:c r="C316" s="34" t="str">
        <x:v>Round1</x:v>
      </x:c>
      <x:c r="D316" s="34" t="str">
        <x:v>Compress_30</x:v>
      </x:c>
      <x:c r="E316" s="34" t="str">
        <x:v>Coverage</x:v>
      </x:c>
      <x:c r="F316" s="34" t="n">
        <x:v>755</x:v>
      </x:c>
      <x:c r="G316" s="34" t="str">
        <x:v>RECORDED</x:v>
      </x:c>
      <x:c r="H316" s="38" t="n">
        <x:f>IF(ISNUMBER('Data'!G316),'Data'!G316*100,"")</x:f>
        <x:v>2.25</x:v>
      </x:c>
      <x:c r="I316" s="34" t="str">
        <x:v>PASS</x:v>
      </x:c>
      <x:c r="J316" s="34" t="str">
        <x:v>PASS</x:v>
      </x:c>
      <x:c r="K316" s="34" t="str">
        <x:v>PASS</x:v>
      </x:c>
      <x:c r="L316" s="34" t="str">
        <x:v>PASS</x:v>
      </x:c>
      <x:c r="M316" s="34" t="str">
        <x:v>numeric coverage for applicable metric</x:v>
      </x:c>
      <x:c r="N316" s="34" t="str">
        <x:v>Feedback-Directed Random Test Generation/Result/Compress_30/result.json</x:v>
      </x:c>
      <x:c r="O316" s="38" t="n">
        <x:f>IF(AND(G316="RECORDED",ISNUMBER(H316)),H316,"")</x:f>
        <x:v>2.25</x:v>
      </x:c>
      <x:c r="P316" s="34" t="str">
        <x:v>NOT_REVEALING</x:v>
      </x:c>
      <x:c r="Q316" s="34" t="str">
        <x:v>Feedback-Directed Random Test Generation/Result/Compress_30/result.json</x:v>
      </x:c>
    </x:row>
    <x:row r="317">
      <x:c r="A317" s="34" t="str">
        <x:v>randoop</x:v>
      </x:c>
      <x:c r="B317" s="34" t="str">
        <x:v>Compress</x:v>
      </x:c>
      <x:c r="C317" s="34" t="str">
        <x:v>Round1</x:v>
      </x:c>
      <x:c r="D317" s="34" t="str">
        <x:v>Compress_31</x:v>
      </x:c>
      <x:c r="E317" s="34" t="str">
        <x:v>Coverage</x:v>
      </x:c>
      <x:c r="F317" s="34" t="n">
        <x:v>292</x:v>
      </x:c>
      <x:c r="G317" s="34" t="str">
        <x:v>RECORDED</x:v>
      </x:c>
      <x:c r="H317" s="38" t="n">
        <x:f>IF(ISNUMBER('Data'!G317),'Data'!G317*100,"")</x:f>
        <x:v>41.1</x:v>
      </x:c>
      <x:c r="I317" s="34" t="str">
        <x:v>PASS</x:v>
      </x:c>
      <x:c r="J317" s="34" t="str">
        <x:v>PASS</x:v>
      </x:c>
      <x:c r="K317" s="34" t="str">
        <x:v>PASS</x:v>
      </x:c>
      <x:c r="L317" s="34" t="str">
        <x:v>PASS</x:v>
      </x:c>
      <x:c r="M317" s="34" t="str">
        <x:v>numeric coverage for applicable metric</x:v>
      </x:c>
      <x:c r="N317" s="34" t="str">
        <x:v>Feedback-Directed Random Test Generation/Result/Compress_31/result.json</x:v>
      </x:c>
      <x:c r="O317" s="38" t="n">
        <x:f>IF(AND(G317="RECORDED",ISNUMBER(H317)),H317,"")</x:f>
        <x:v>41.1</x:v>
      </x:c>
      <x:c r="P317" s="34" t="str">
        <x:v>NOT_REVEALING</x:v>
      </x:c>
      <x:c r="Q317" s="34" t="str">
        <x:v>Feedback-Directed Random Test Generation/Result/Compress_31/result.json</x:v>
      </x:c>
    </x:row>
    <x:row r="318">
      <x:c r="A318" s="34" t="str">
        <x:v>randoop</x:v>
      </x:c>
      <x:c r="B318" s="34" t="str">
        <x:v>Compress</x:v>
      </x:c>
      <x:c r="C318" s="34" t="str">
        <x:v>Round1</x:v>
      </x:c>
      <x:c r="D318" s="34" t="str">
        <x:v>Compress_32</x:v>
      </x:c>
      <x:c r="E318" s="34" t="str">
        <x:v>Coverage</x:v>
      </x:c>
      <x:c r="F318" s="34" t="n">
        <x:v>346</x:v>
      </x:c>
      <x:c r="G318" s="34" t="str">
        <x:v>RECORDED</x:v>
      </x:c>
      <x:c r="H318" s="38" t="n">
        <x:f>IF(ISNUMBER('Data'!G318),'Data'!G318*100,"")</x:f>
        <x:v>24.57</x:v>
      </x:c>
      <x:c r="I318" s="34" t="str">
        <x:v>PASS</x:v>
      </x:c>
      <x:c r="J318" s="34" t="str">
        <x:v>PASS</x:v>
      </x:c>
      <x:c r="K318" s="34" t="str">
        <x:v>PASS</x:v>
      </x:c>
      <x:c r="L318" s="34" t="str">
        <x:v>PASS</x:v>
      </x:c>
      <x:c r="M318" s="34" t="str">
        <x:v>numeric coverage for applicable metric</x:v>
      </x:c>
      <x:c r="N318" s="34" t="str">
        <x:v>Feedback-Directed Random Test Generation/Result/Compress_32/result.json</x:v>
      </x:c>
      <x:c r="O318" s="38" t="n">
        <x:f>IF(AND(G318="RECORDED",ISNUMBER(H318)),H318,"")</x:f>
        <x:v>24.57</x:v>
      </x:c>
      <x:c r="P318" s="34" t="str">
        <x:v>NOT_REVEALING</x:v>
      </x:c>
      <x:c r="Q318" s="34" t="str">
        <x:v>Feedback-Directed Random Test Generation/Result/Compress_32/result.json</x:v>
      </x:c>
    </x:row>
    <x:row r="319">
      <x:c r="A319" s="34" t="str">
        <x:v>randoop</x:v>
      </x:c>
      <x:c r="B319" s="34" t="str">
        <x:v>Compress</x:v>
      </x:c>
      <x:c r="C319" s="34" t="str">
        <x:v>Round1</x:v>
      </x:c>
      <x:c r="D319" s="34" t="str">
        <x:v>Compress_33</x:v>
      </x:c>
      <x:c r="E319" s="34" t="str">
        <x:v>Coverage</x:v>
      </x:c>
      <x:c r="F319" s="34" t="n">
        <x:v>160</x:v>
      </x:c>
      <x:c r="G319" s="34" t="str">
        <x:v>RECORDED</x:v>
      </x:c>
      <x:c r="H319" s="38" t="n">
        <x:f>IF(ISNUMBER('Data'!G319),'Data'!G319*100,"")</x:f>
        <x:v>18.12</x:v>
      </x:c>
      <x:c r="I319" s="34" t="str">
        <x:v>PASS</x:v>
      </x:c>
      <x:c r="J319" s="34" t="str">
        <x:v>PASS</x:v>
      </x:c>
      <x:c r="K319" s="34" t="str">
        <x:v>PASS</x:v>
      </x:c>
      <x:c r="L319" s="34" t="str">
        <x:v>PASS</x:v>
      </x:c>
      <x:c r="M319" s="34" t="str">
        <x:v>numeric coverage for applicable metric</x:v>
      </x:c>
      <x:c r="N319" s="34" t="str">
        <x:v>Feedback-Directed Random Test Generation/Result/Compress_33/result.json</x:v>
      </x:c>
      <x:c r="O319" s="38" t="n">
        <x:f>IF(AND(G319="RECORDED",ISNUMBER(H319)),H319,"")</x:f>
        <x:v>18.12</x:v>
      </x:c>
      <x:c r="P319" s="34" t="str">
        <x:v>NOT_REVEALING</x:v>
      </x:c>
      <x:c r="Q319" s="34" t="str">
        <x:v>Feedback-Directed Random Test Generation/Result/Compress_33/result.json</x:v>
      </x:c>
    </x:row>
    <x:row r="320">
      <x:c r="A320" s="34" t="str">
        <x:v>randoop</x:v>
      </x:c>
      <x:c r="B320" s="34" t="str">
        <x:v>Compress</x:v>
      </x:c>
      <x:c r="C320" s="34" t="str">
        <x:v>Round1</x:v>
      </x:c>
      <x:c r="D320" s="34" t="str">
        <x:v>Compress_34</x:v>
      </x:c>
      <x:c r="E320" s="34" t="str">
        <x:v>Coverage</x:v>
      </x:c>
      <x:c r="F320" s="34" t="n">
        <x:v>84</x:v>
      </x:c>
      <x:c r="G320" s="34" t="str">
        <x:v>RECORDED</x:v>
      </x:c>
      <x:c r="H320" s="38" t="n">
        <x:f>IF(ISNUMBER('Data'!G320),'Data'!G320*100,"")</x:f>
        <x:v>77.38</x:v>
      </x:c>
      <x:c r="I320" s="34" t="str">
        <x:v>PASS</x:v>
      </x:c>
      <x:c r="J320" s="34" t="str">
        <x:v>PASS</x:v>
      </x:c>
      <x:c r="K320" s="34" t="str">
        <x:v>PASS</x:v>
      </x:c>
      <x:c r="L320" s="34" t="str">
        <x:v>PASS</x:v>
      </x:c>
      <x:c r="M320" s="34" t="str">
        <x:v>numeric coverage for applicable metric</x:v>
      </x:c>
      <x:c r="N320" s="34" t="str">
        <x:v>Feedback-Directed Random Test Generation/Result/Compress_34/result.json</x:v>
      </x:c>
      <x:c r="O320" s="38" t="n">
        <x:f>IF(AND(G320="RECORDED",ISNUMBER(H320)),H320,"")</x:f>
        <x:v>77.38</x:v>
      </x:c>
      <x:c r="P320" s="34" t="str">
        <x:v>NOT_REVEALING</x:v>
      </x:c>
      <x:c r="Q320" s="34" t="str">
        <x:v>Feedback-Directed Random Test Generation/Result/Compress_34/result.json</x:v>
      </x:c>
    </x:row>
    <x:row r="321">
      <x:c r="A321" s="34" t="str">
        <x:v>randoop</x:v>
      </x:c>
      <x:c r="B321" s="34" t="str">
        <x:v>Compress</x:v>
      </x:c>
      <x:c r="C321" s="34" t="str">
        <x:v>Round1</x:v>
      </x:c>
      <x:c r="D321" s="34" t="str">
        <x:v>Compress_35</x:v>
      </x:c>
      <x:c r="E321" s="34" t="str">
        <x:v>Coverage</x:v>
      </x:c>
      <x:c r="F321" s="34" t="n">
        <x:v>286</x:v>
      </x:c>
      <x:c r="G321" s="34" t="str">
        <x:v>RECORDED</x:v>
      </x:c>
      <x:c r="H321" s="38" t="n">
        <x:f>IF(ISNUMBER('Data'!G321),'Data'!G321*100,"")</x:f>
        <x:v>41.61</x:v>
      </x:c>
      <x:c r="I321" s="34" t="str">
        <x:v>PASS</x:v>
      </x:c>
      <x:c r="J321" s="34" t="str">
        <x:v>PASS</x:v>
      </x:c>
      <x:c r="K321" s="34" t="str">
        <x:v>PASS</x:v>
      </x:c>
      <x:c r="L321" s="34" t="str">
        <x:v>PASS</x:v>
      </x:c>
      <x:c r="M321" s="34" t="str">
        <x:v>numeric coverage for applicable metric</x:v>
      </x:c>
      <x:c r="N321" s="34" t="str">
        <x:v>Feedback-Directed Random Test Generation/Result/Compress_35/result.json</x:v>
      </x:c>
      <x:c r="O321" s="38" t="n">
        <x:f>IF(AND(G321="RECORDED",ISNUMBER(H321)),H321,"")</x:f>
        <x:v>41.61</x:v>
      </x:c>
      <x:c r="P321" s="34" t="str">
        <x:v>INCONCLUSIVE</x:v>
      </x:c>
      <x:c r="Q321" s="34" t="str">
        <x:v>Feedback-Directed Random Test Generation/Result/Compress_35/result.json</x:v>
      </x:c>
    </x:row>
    <x:row r="322">
      <x:c r="A322" s="34" t="str">
        <x:v>randoop</x:v>
      </x:c>
      <x:c r="B322" s="34" t="str">
        <x:v>Compress</x:v>
      </x:c>
      <x:c r="C322" s="34" t="str">
        <x:v>Round1</x:v>
      </x:c>
      <x:c r="D322" s="34" t="str">
        <x:v>Compress_36</x:v>
      </x:c>
      <x:c r="E322" s="34" t="str">
        <x:v>Coverage</x:v>
      </x:c>
      <x:c r="F322" s="34" t="n">
        <x:v>836</x:v>
      </x:c>
      <x:c r="G322" s="34" t="str">
        <x:v>RECORDED</x:v>
      </x:c>
      <x:c r="H322" s="38" t="n">
        <x:f>IF(ISNUMBER('Data'!G322),'Data'!G322*100,"")</x:f>
        <x:v>2.51</x:v>
      </x:c>
      <x:c r="I322" s="34" t="str">
        <x:v>PASS</x:v>
      </x:c>
      <x:c r="J322" s="34" t="str">
        <x:v>PASS</x:v>
      </x:c>
      <x:c r="K322" s="34" t="str">
        <x:v>PASS</x:v>
      </x:c>
      <x:c r="L322" s="34" t="str">
        <x:v>PASS</x:v>
      </x:c>
      <x:c r="M322" s="34" t="str">
        <x:v>numeric coverage for applicable metric</x:v>
      </x:c>
      <x:c r="N322" s="34" t="str">
        <x:v>Feedback-Directed Random Test Generation/Result/Compress_36/result.json</x:v>
      </x:c>
      <x:c r="O322" s="38" t="n">
        <x:f>IF(AND(G322="RECORDED",ISNUMBER(H322)),H322,"")</x:f>
        <x:v>2.51</x:v>
      </x:c>
      <x:c r="P322" s="34" t="str">
        <x:v>NOT_REVEALING</x:v>
      </x:c>
      <x:c r="Q322" s="34" t="str">
        <x:v>Feedback-Directed Random Test Generation/Result/Compress_36/result.json</x:v>
      </x:c>
    </x:row>
    <x:row r="323">
      <x:c r="A323" s="34" t="str">
        <x:v>randoop</x:v>
      </x:c>
      <x:c r="B323" s="34" t="str">
        <x:v>Compress</x:v>
      </x:c>
      <x:c r="C323" s="34" t="str">
        <x:v>Round1</x:v>
      </x:c>
      <x:c r="D323" s="34" t="str">
        <x:v>Compress_37</x:v>
      </x:c>
      <x:c r="E323" s="34" t="str">
        <x:v>Coverage</x:v>
      </x:c>
      <x:c r="F323" s="34" t="n">
        <x:v>389</x:v>
      </x:c>
      <x:c r="G323" s="34" t="str">
        <x:v>RECORDED</x:v>
      </x:c>
      <x:c r="H323" s="38" t="n">
        <x:f>IF(ISNUMBER('Data'!G323),'Data'!G323*100,"")</x:f>
        <x:v>23.14</x:v>
      </x:c>
      <x:c r="I323" s="34" t="str">
        <x:v>PASS</x:v>
      </x:c>
      <x:c r="J323" s="34" t="str">
        <x:v>PASS</x:v>
      </x:c>
      <x:c r="K323" s="34" t="str">
        <x:v>PASS</x:v>
      </x:c>
      <x:c r="L323" s="34" t="str">
        <x:v>PASS</x:v>
      </x:c>
      <x:c r="M323" s="34" t="str">
        <x:v>numeric coverage for applicable metric</x:v>
      </x:c>
      <x:c r="N323" s="34" t="str">
        <x:v>Feedback-Directed Random Test Generation/Result/Compress_37/result.json</x:v>
      </x:c>
      <x:c r="O323" s="38" t="n">
        <x:f>IF(AND(G323="RECORDED",ISNUMBER(H323)),H323,"")</x:f>
        <x:v>23.14</x:v>
      </x:c>
      <x:c r="P323" s="34" t="str">
        <x:v>NOT_REVEALING</x:v>
      </x:c>
      <x:c r="Q323" s="34" t="str">
        <x:v>Feedback-Directed Random Test Generation/Result/Compress_37/result.json</x:v>
      </x:c>
    </x:row>
    <x:row r="324">
      <x:c r="A324" s="34" t="str">
        <x:v>randoop</x:v>
      </x:c>
      <x:c r="B324" s="34" t="str">
        <x:v>Compress</x:v>
      </x:c>
      <x:c r="C324" s="34" t="str">
        <x:v>Round1</x:v>
      </x:c>
      <x:c r="D324" s="34" t="str">
        <x:v>Compress_38</x:v>
      </x:c>
      <x:c r="E324" s="34" t="str">
        <x:v>Coverage</x:v>
      </x:c>
      <x:c r="F324" s="34" t="n">
        <x:v>447</x:v>
      </x:c>
      <x:c r="G324" s="34" t="str">
        <x:v>RECORDED</x:v>
      </x:c>
      <x:c r="H324" s="38" t="n">
        <x:f>IF(ISNUMBER('Data'!G324),'Data'!G324*100,"")</x:f>
        <x:v>31.540000000000003</x:v>
      </x:c>
      <x:c r="I324" s="34" t="str">
        <x:v>PASS</x:v>
      </x:c>
      <x:c r="J324" s="34" t="str">
        <x:v>PASS</x:v>
      </x:c>
      <x:c r="K324" s="34" t="str">
        <x:v>PASS</x:v>
      </x:c>
      <x:c r="L324" s="34" t="str">
        <x:v>PASS</x:v>
      </x:c>
      <x:c r="M324" s="34" t="str">
        <x:v>numeric coverage for applicable metric</x:v>
      </x:c>
      <x:c r="N324" s="34" t="str">
        <x:v>Feedback-Directed Random Test Generation/Result/Compress_38/result.json</x:v>
      </x:c>
      <x:c r="O324" s="38" t="n">
        <x:f>IF(AND(G324="RECORDED",ISNUMBER(H324)),H324,"")</x:f>
        <x:v>31.540000000000003</x:v>
      </x:c>
      <x:c r="P324" s="34" t="str">
        <x:v>NOT_REVEALING</x:v>
      </x:c>
      <x:c r="Q324" s="34" t="str">
        <x:v>Feedback-Directed Random Test Generation/Result/Compress_38/result.json</x:v>
      </x:c>
    </x:row>
    <x:row r="325">
      <x:c r="A325" s="34" t="str">
        <x:v>randoop</x:v>
      </x:c>
      <x:c r="B325" s="34" t="str">
        <x:v>Compress</x:v>
      </x:c>
      <x:c r="C325" s="34" t="str">
        <x:v>Round1</x:v>
      </x:c>
      <x:c r="D325" s="34" t="str">
        <x:v>Compress_39</x:v>
      </x:c>
      <x:c r="E325" s="34" t="str">
        <x:v>Coverage</x:v>
      </x:c>
      <x:c r="F325" s="34" t="n">
        <x:v>98</x:v>
      </x:c>
      <x:c r="G325" s="34" t="str">
        <x:v>RECORDED</x:v>
      </x:c>
      <x:c r="H325" s="38" t="n">
        <x:f>IF(ISNUMBER('Data'!G325),'Data'!G325*100,"")</x:f>
        <x:v>71.43</x:v>
      </x:c>
      <x:c r="I325" s="34" t="str">
        <x:v>PASS</x:v>
      </x:c>
      <x:c r="J325" s="34" t="str">
        <x:v>PASS</x:v>
      </x:c>
      <x:c r="K325" s="34" t="str">
        <x:v>PASS</x:v>
      </x:c>
      <x:c r="L325" s="34" t="str">
        <x:v>FAIL</x:v>
      </x:c>
      <x:c r="M325" s="34" t="str">
        <x:v>numeric coverage for applicable metric</x:v>
      </x:c>
      <x:c r="N325" s="34" t="str">
        <x:v>Feedback-Directed Random Test Generation/Result/Compress_39/result.json</x:v>
      </x:c>
      <x:c r="O325" s="38" t="n">
        <x:f>IF(AND(G325="RECORDED",ISNUMBER(H325)),H325,"")</x:f>
        <x:v>71.43</x:v>
      </x:c>
      <x:c r="P325" s="34" t="str">
        <x:v>INCONCLUSIVE</x:v>
      </x:c>
      <x:c r="Q325" s="34" t="str">
        <x:v>Feedback-Directed Random Test Generation/Result/Compress_39/result.json</x:v>
      </x:c>
    </x:row>
    <x:row r="326">
      <x:c r="A326" s="34" t="str">
        <x:v>randoop</x:v>
      </x:c>
      <x:c r="B326" s="34" t="str">
        <x:v>Compress</x:v>
      </x:c>
      <x:c r="C326" s="34" t="str">
        <x:v>Round1</x:v>
      </x:c>
      <x:c r="D326" s="34" t="str">
        <x:v>Compress_40</x:v>
      </x:c>
      <x:c r="E326" s="34" t="str">
        <x:v>Coverage</x:v>
      </x:c>
      <x:c r="F326" s="34" t="n">
        <x:v>45</x:v>
      </x:c>
      <x:c r="G326" s="34" t="str">
        <x:v>RECORDED</x:v>
      </x:c>
      <x:c r="H326" s="38" t="n">
        <x:f>IF(ISNUMBER('Data'!G326),'Data'!G326*100,"")</x:f>
        <x:v>64.44</x:v>
      </x:c>
      <x:c r="I326" s="34" t="str">
        <x:v>PASS</x:v>
      </x:c>
      <x:c r="J326" s="34" t="str">
        <x:v>PASS</x:v>
      </x:c>
      <x:c r="K326" s="34" t="str">
        <x:v>PASS</x:v>
      </x:c>
      <x:c r="L326" s="34" t="str">
        <x:v>PASS</x:v>
      </x:c>
      <x:c r="M326" s="34" t="str">
        <x:v>numeric coverage for applicable metric</x:v>
      </x:c>
      <x:c r="N326" s="34" t="str">
        <x:v>Feedback-Directed Random Test Generation/Result/Compress_40/result.json</x:v>
      </x:c>
      <x:c r="O326" s="38" t="n">
        <x:f>IF(AND(G326="RECORDED",ISNUMBER(H326)),H326,"")</x:f>
        <x:v>64.44</x:v>
      </x:c>
      <x:c r="P326" s="34" t="str">
        <x:v>NOT_REVEALING</x:v>
      </x:c>
      <x:c r="Q326" s="34" t="str">
        <x:v>Feedback-Directed Random Test Generation/Result/Compress_40/result.json</x:v>
      </x:c>
    </x:row>
    <x:row r="327">
      <x:c r="A327" s="34" t="str">
        <x:v>randoop</x:v>
      </x:c>
      <x:c r="B327" s="34" t="str">
        <x:v>Compress</x:v>
      </x:c>
      <x:c r="C327" s="34" t="str">
        <x:v>Round1</x:v>
      </x:c>
      <x:c r="D327" s="34" t="str">
        <x:v>Compress_41</x:v>
      </x:c>
      <x:c r="E327" s="34" t="str">
        <x:v>Coverage</x:v>
      </x:c>
      <x:c r="F327" s="34" t="n">
        <x:v>672</x:v>
      </x:c>
      <x:c r="G327" s="34" t="str">
        <x:v>RECORDED</x:v>
      </x:c>
      <x:c r="H327" s="38" t="n">
        <x:f>IF(ISNUMBER('Data'!G327),'Data'!G327*100,"")</x:f>
        <x:v>11.01</x:v>
      </x:c>
      <x:c r="I327" s="34" t="str">
        <x:v>PASS</x:v>
      </x:c>
      <x:c r="J327" s="34" t="str">
        <x:v>PASS</x:v>
      </x:c>
      <x:c r="K327" s="34" t="str">
        <x:v>PASS</x:v>
      </x:c>
      <x:c r="L327" s="34" t="str">
        <x:v>PASS</x:v>
      </x:c>
      <x:c r="M327" s="34" t="str">
        <x:v>numeric coverage for applicable metric</x:v>
      </x:c>
      <x:c r="N327" s="34" t="str">
        <x:v>Feedback-Directed Random Test Generation/Result/Compress_41/result.json</x:v>
      </x:c>
      <x:c r="O327" s="38" t="n">
        <x:f>IF(AND(G327="RECORDED",ISNUMBER(H327)),H327,"")</x:f>
        <x:v>11.01</x:v>
      </x:c>
      <x:c r="P327" s="34" t="str">
        <x:v>NOT_REVEALING</x:v>
      </x:c>
      <x:c r="Q327" s="34" t="str">
        <x:v>Feedback-Directed Random Test Generation/Result/Compress_41/result.json</x:v>
      </x:c>
    </x:row>
    <x:row r="328">
      <x:c r="A328" s="34" t="str">
        <x:v>randoop</x:v>
      </x:c>
      <x:c r="B328" s="34" t="str">
        <x:v>Compress</x:v>
      </x:c>
      <x:c r="C328" s="34" t="str">
        <x:v>Round1</x:v>
      </x:c>
      <x:c r="D328" s="34" t="str">
        <x:v>Compress_42</x:v>
      </x:c>
      <x:c r="E328" s="34" t="str">
        <x:v>Coverage</x:v>
      </x:c>
      <x:c r="F328" s="34" t="n">
        <x:v>376</x:v>
      </x:c>
      <x:c r="G328" s="34" t="str">
        <x:v>RECORDED</x:v>
      </x:c>
      <x:c r="H328" s="38" t="n">
        <x:f>IF(ISNUMBER('Data'!G328),'Data'!G328*100,"")</x:f>
        <x:v>18.62</x:v>
      </x:c>
      <x:c r="I328" s="34" t="str">
        <x:v>PASS</x:v>
      </x:c>
      <x:c r="J328" s="34" t="str">
        <x:v>PASS</x:v>
      </x:c>
      <x:c r="K328" s="34" t="str">
        <x:v>PASS</x:v>
      </x:c>
      <x:c r="L328" s="34" t="str">
        <x:v>PASS</x:v>
      </x:c>
      <x:c r="M328" s="34" t="str">
        <x:v>numeric coverage for applicable metric</x:v>
      </x:c>
      <x:c r="N328" s="34" t="str">
        <x:v>Feedback-Directed Random Test Generation/Result/Compress_42/result.json</x:v>
      </x:c>
      <x:c r="O328" s="38" t="n">
        <x:f>IF(AND(G328="RECORDED",ISNUMBER(H328)),H328,"")</x:f>
        <x:v>18.62</x:v>
      </x:c>
      <x:c r="P328" s="34" t="str">
        <x:v>NOT_REVEALING</x:v>
      </x:c>
      <x:c r="Q328" s="34" t="str">
        <x:v>Feedback-Directed Random Test Generation/Result/Compress_42/result.json</x:v>
      </x:c>
    </x:row>
    <x:row r="329">
      <x:c r="A329" s="34" t="str">
        <x:v>randoop</x:v>
      </x:c>
      <x:c r="B329" s="34" t="str">
        <x:v>Compress</x:v>
      </x:c>
      <x:c r="C329" s="34" t="str">
        <x:v>Round1</x:v>
      </x:c>
      <x:c r="D329" s="34" t="str">
        <x:v>Compress_43</x:v>
      </x:c>
      <x:c r="E329" s="34" t="str">
        <x:v>Coverage</x:v>
      </x:c>
      <x:c r="F329" s="34" t="n">
        <x:v>833</x:v>
      </x:c>
      <x:c r="G329" s="34" t="str">
        <x:v>RECORDED</x:v>
      </x:c>
      <x:c r="H329" s="38" t="n">
        <x:f>IF(ISNUMBER('Data'!G329),'Data'!G329*100,"")</x:f>
        <x:v>7.919999999999999</x:v>
      </x:c>
      <x:c r="I329" s="34" t="str">
        <x:v>PASS</x:v>
      </x:c>
      <x:c r="J329" s="34" t="str">
        <x:v>PASS</x:v>
      </x:c>
      <x:c r="K329" s="34" t="str">
        <x:v>PASS</x:v>
      </x:c>
      <x:c r="L329" s="34" t="str">
        <x:v>PASS</x:v>
      </x:c>
      <x:c r="M329" s="34" t="str">
        <x:v>numeric coverage for applicable metric</x:v>
      </x:c>
      <x:c r="N329" s="34" t="str">
        <x:v>Feedback-Directed Random Test Generation/Result/Compress_43/result.json</x:v>
      </x:c>
      <x:c r="O329" s="38" t="n">
        <x:f>IF(AND(G329="RECORDED",ISNUMBER(H329)),H329,"")</x:f>
        <x:v>7.919999999999999</x:v>
      </x:c>
      <x:c r="P329" s="34" t="str">
        <x:v>NOT_REVEALING</x:v>
      </x:c>
      <x:c r="Q329" s="34" t="str">
        <x:v>Feedback-Directed Random Test Generation/Result/Compress_43/result.json</x:v>
      </x:c>
    </x:row>
    <x:row r="330">
      <x:c r="A330" s="34" t="str">
        <x:v>randoop</x:v>
      </x:c>
      <x:c r="B330" s="34" t="str">
        <x:v>Compress</x:v>
      </x:c>
      <x:c r="C330" s="34" t="str">
        <x:v>Round1</x:v>
      </x:c>
      <x:c r="D330" s="34" t="str">
        <x:v>Compress_44</x:v>
      </x:c>
      <x:c r="E330" s="34" t="str">
        <x:v>Coverage</x:v>
      </x:c>
      <x:c r="F330" s="34" t="n">
        <x:v>23</x:v>
      </x:c>
      <x:c r="G330" s="34" t="str">
        <x:v>RECORDED</x:v>
      </x:c>
      <x:c r="H330" s="38" t="n">
        <x:f>IF(ISNUMBER('Data'!G330),'Data'!G330*100,"")</x:f>
        <x:v>39.13</x:v>
      </x:c>
      <x:c r="I330" s="34" t="str">
        <x:v>PASS</x:v>
      </x:c>
      <x:c r="J330" s="34" t="str">
        <x:v>PASS</x:v>
      </x:c>
      <x:c r="K330" s="34" t="str">
        <x:v>PASS</x:v>
      </x:c>
      <x:c r="L330" s="34" t="str">
        <x:v>PASS</x:v>
      </x:c>
      <x:c r="M330" s="34" t="str">
        <x:v>numeric coverage for applicable metric</x:v>
      </x:c>
      <x:c r="N330" s="34" t="str">
        <x:v>Feedback-Directed Random Test Generation/Result/Compress_44/result.json</x:v>
      </x:c>
      <x:c r="O330" s="38" t="n">
        <x:f>IF(AND(G330="RECORDED",ISNUMBER(H330)),H330,"")</x:f>
        <x:v>39.13</x:v>
      </x:c>
      <x:c r="P330" s="34" t="str">
        <x:v>INCONCLUSIVE</x:v>
      </x:c>
      <x:c r="Q330" s="34" t="str">
        <x:v>Feedback-Directed Random Test Generation/Result/Compress_44/result.json</x:v>
      </x:c>
    </x:row>
    <x:row r="331">
      <x:c r="A331" s="34" t="str">
        <x:v>randoop</x:v>
      </x:c>
      <x:c r="B331" s="34" t="str">
        <x:v>Compress</x:v>
      </x:c>
      <x:c r="C331" s="34" t="str">
        <x:v>Round1</x:v>
      </x:c>
      <x:c r="D331" s="34" t="str">
        <x:v>Compress_45</x:v>
      </x:c>
      <x:c r="E331" s="34" t="str">
        <x:v>Coverage</x:v>
      </x:c>
      <x:c r="F331" s="34" t="n">
        <x:v>279</x:v>
      </x:c>
      <x:c r="G331" s="34" t="str">
        <x:v>RECORDED</x:v>
      </x:c>
      <x:c r="H331" s="38" t="n">
        <x:f>IF(ISNUMBER('Data'!G331),'Data'!G331*100,"")</x:f>
        <x:v>35.48</x:v>
      </x:c>
      <x:c r="I331" s="34" t="str">
        <x:v>PASS</x:v>
      </x:c>
      <x:c r="J331" s="34" t="str">
        <x:v>PASS</x:v>
      </x:c>
      <x:c r="K331" s="34" t="str">
        <x:v>PASS</x:v>
      </x:c>
      <x:c r="L331" s="34" t="str">
        <x:v>PASS</x:v>
      </x:c>
      <x:c r="M331" s="34" t="str">
        <x:v>numeric coverage for applicable metric</x:v>
      </x:c>
      <x:c r="N331" s="34" t="str">
        <x:v>Feedback-Directed Random Test Generation/Result/Compress_45/result.json</x:v>
      </x:c>
      <x:c r="O331" s="38" t="n">
        <x:f>IF(AND(G331="RECORDED",ISNUMBER(H331)),H331,"")</x:f>
        <x:v>35.48</x:v>
      </x:c>
      <x:c r="P331" s="34" t="str">
        <x:v>INCONCLUSIVE</x:v>
      </x:c>
      <x:c r="Q331" s="34" t="str">
        <x:v>Feedback-Directed Random Test Generation/Result/Compress_45/result.json</x:v>
      </x:c>
    </x:row>
    <x:row r="332">
      <x:c r="A332" s="34" t="str">
        <x:v>randoop</x:v>
      </x:c>
      <x:c r="B332" s="34" t="str">
        <x:v>Compress</x:v>
      </x:c>
      <x:c r="C332" s="34" t="str">
        <x:v>Round1</x:v>
      </x:c>
      <x:c r="D332" s="34" t="str">
        <x:v>Compress_46</x:v>
      </x:c>
      <x:c r="E332" s="34" t="str">
        <x:v>Coverage</x:v>
      </x:c>
      <x:c r="F332" s="34" t="n">
        <x:v>215</x:v>
      </x:c>
      <x:c r="G332" s="34" t="str">
        <x:v>RECORDED</x:v>
      </x:c>
      <x:c r="H332" s="38" t="n">
        <x:f>IF(ISNUMBER('Data'!G332),'Data'!G332*100,"")</x:f>
        <x:v>35.35</x:v>
      </x:c>
      <x:c r="I332" s="34" t="str">
        <x:v>PASS</x:v>
      </x:c>
      <x:c r="J332" s="34" t="str">
        <x:v>PASS</x:v>
      </x:c>
      <x:c r="K332" s="34" t="str">
        <x:v>PASS</x:v>
      </x:c>
      <x:c r="L332" s="34" t="str">
        <x:v>PASS</x:v>
      </x:c>
      <x:c r="M332" s="34" t="str">
        <x:v>numeric coverage for applicable metric</x:v>
      </x:c>
      <x:c r="N332" s="34" t="str">
        <x:v>Feedback-Directed Random Test Generation/Result/Compress_46/result.json</x:v>
      </x:c>
      <x:c r="O332" s="38" t="n">
        <x:f>IF(AND(G332="RECORDED",ISNUMBER(H332)),H332,"")</x:f>
        <x:v>35.35</x:v>
      </x:c>
      <x:c r="P332" s="34" t="str">
        <x:v>NOT_REVEALING</x:v>
      </x:c>
      <x:c r="Q332" s="34" t="str">
        <x:v>Feedback-Directed Random Test Generation/Result/Compress_46/result.json</x:v>
      </x:c>
    </x:row>
    <x:row r="333">
      <x:c r="A333" s="34" t="str">
        <x:v>randoop</x:v>
      </x:c>
      <x:c r="B333" s="34" t="str">
        <x:v>Compress</x:v>
      </x:c>
      <x:c r="C333" s="34" t="str">
        <x:v>Round1</x:v>
      </x:c>
      <x:c r="D333" s="34" t="str">
        <x:v>Compress_47</x:v>
      </x:c>
      <x:c r="E333" s="34" t="str">
        <x:v>Coverage</x:v>
      </x:c>
      <x:c r="F333" s="34" t="n">
        <x:v>703</x:v>
      </x:c>
      <x:c r="G333" s="34" t="str">
        <x:v>RECORDED</x:v>
      </x:c>
      <x:c r="H333" s="38" t="n">
        <x:f>IF(ISNUMBER('Data'!G333),'Data'!G333*100,"")</x:f>
        <x:v>10.67</x:v>
      </x:c>
      <x:c r="I333" s="34" t="str">
        <x:v>PASS</x:v>
      </x:c>
      <x:c r="J333" s="34" t="str">
        <x:v>PASS</x:v>
      </x:c>
      <x:c r="K333" s="34" t="str">
        <x:v>PASS</x:v>
      </x:c>
      <x:c r="L333" s="34" t="str">
        <x:v>PASS</x:v>
      </x:c>
      <x:c r="M333" s="34" t="str">
        <x:v>numeric coverage for applicable metric</x:v>
      </x:c>
      <x:c r="N333" s="34" t="str">
        <x:v>Feedback-Directed Random Test Generation/Result/Compress_47/result.json</x:v>
      </x:c>
      <x:c r="O333" s="38" t="n">
        <x:f>IF(AND(G333="RECORDED",ISNUMBER(H333)),H333,"")</x:f>
        <x:v>10.67</x:v>
      </x:c>
      <x:c r="P333" s="34" t="str">
        <x:v>NOT_REVEALING</x:v>
      </x:c>
      <x:c r="Q333" s="34" t="str">
        <x:v>Feedback-Directed Random Test Generation/Result/Compress_47/result.json</x:v>
      </x:c>
    </x:row>
    <x:row r="334">
      <x:c r="A334" s="34" t="str">
        <x:v>randoop</x:v>
      </x:c>
      <x:c r="B334" s="34" t="str">
        <x:v>Csv</x:v>
      </x:c>
      <x:c r="C334" s="34" t="str">
        <x:v>Round1</x:v>
      </x:c>
      <x:c r="D334" s="34" t="str">
        <x:v>Csv_1</x:v>
      </x:c>
      <x:c r="E334" s="34" t="str">
        <x:v>Coverage</x:v>
      </x:c>
      <x:c r="F334" s="34" t="n">
        <x:v>59</x:v>
      </x:c>
      <x:c r="G334" s="34" t="str">
        <x:v>RECORDED</x:v>
      </x:c>
      <x:c r="H334" s="38" t="n">
        <x:f>IF(ISNUMBER('Data'!G334),'Data'!G334*100,"")</x:f>
        <x:v>1.69</x:v>
      </x:c>
      <x:c r="I334" s="34" t="str">
        <x:v>PASS</x:v>
      </x:c>
      <x:c r="J334" s="34" t="str">
        <x:v>PASS</x:v>
      </x:c>
      <x:c r="K334" s="34" t="str">
        <x:v>PASS</x:v>
      </x:c>
      <x:c r="L334" s="34" t="str">
        <x:v>PASS</x:v>
      </x:c>
      <x:c r="M334" s="34" t="str">
        <x:v>numeric coverage for applicable metric</x:v>
      </x:c>
      <x:c r="N334" s="34" t="str">
        <x:v>Feedback-Directed Random Test Generation/Result/Csv_1/result.json</x:v>
      </x:c>
      <x:c r="O334" s="38" t="n">
        <x:f>IF(AND(G334="RECORDED",ISNUMBER(H334)),H334,"")</x:f>
        <x:v>1.69</x:v>
      </x:c>
      <x:c r="P334" s="34" t="str">
        <x:v>NOT_REVEALING</x:v>
      </x:c>
      <x:c r="Q334" s="34" t="str">
        <x:v>Feedback-Directed Random Test Generation/Result/Csv_1/result.json</x:v>
      </x:c>
    </x:row>
    <x:row r="335">
      <x:c r="A335" s="34" t="str">
        <x:v>randoop</x:v>
      </x:c>
      <x:c r="B335" s="34" t="str">
        <x:v>Csv</x:v>
      </x:c>
      <x:c r="C335" s="34" t="str">
        <x:v>Round1</x:v>
      </x:c>
      <x:c r="D335" s="34" t="str">
        <x:v>Csv_2</x:v>
      </x:c>
      <x:c r="E335" s="34" t="str">
        <x:v>Coverage</x:v>
      </x:c>
      <x:c r="F335" s="34" t="n">
        <x:v>37</x:v>
      </x:c>
      <x:c r="G335" s="34" t="str">
        <x:v>RECORDED</x:v>
      </x:c>
      <x:c r="H335" s="38" t="n">
        <x:f>IF(ISNUMBER('Data'!G335),'Data'!G335*100,"")</x:f>
        <x:v>64.86</x:v>
      </x:c>
      <x:c r="I335" s="34" t="str">
        <x:v>PASS</x:v>
      </x:c>
      <x:c r="J335" s="34" t="str">
        <x:v>PASS</x:v>
      </x:c>
      <x:c r="K335" s="34" t="str">
        <x:v>PASS</x:v>
      </x:c>
      <x:c r="L335" s="34" t="str">
        <x:v>PASS</x:v>
      </x:c>
      <x:c r="M335" s="34" t="str">
        <x:v>numeric coverage for applicable metric</x:v>
      </x:c>
      <x:c r="N335" s="34" t="str">
        <x:v>Feedback-Directed Random Test Generation/Result/Csv_2/result.json</x:v>
      </x:c>
      <x:c r="O335" s="38" t="n">
        <x:f>IF(AND(G335="RECORDED",ISNUMBER(H335)),H335,"")</x:f>
        <x:v>64.86</x:v>
      </x:c>
      <x:c r="P335" s="34" t="str">
        <x:v>NOT_REVEALING</x:v>
      </x:c>
      <x:c r="Q335" s="34" t="str">
        <x:v>Feedback-Directed Random Test Generation/Result/Csv_2/result.json</x:v>
      </x:c>
    </x:row>
    <x:row r="336">
      <x:c r="A336" s="34" t="str">
        <x:v>randoop</x:v>
      </x:c>
      <x:c r="B336" s="34" t="str">
        <x:v>Csv</x:v>
      </x:c>
      <x:c r="C336" s="34" t="str">
        <x:v>Round1</x:v>
      </x:c>
      <x:c r="D336" s="34" t="str">
        <x:v>Csv_3</x:v>
      </x:c>
      <x:c r="E336" s="34" t="str">
        <x:v>Coverage</x:v>
      </x:c>
      <x:c r="F336" s="34" t="n">
        <x:v>82</x:v>
      </x:c>
      <x:c r="G336" s="34" t="str">
        <x:v>RECORDED</x:v>
      </x:c>
      <x:c r="H336" s="38" t="n">
        <x:f>IF(ISNUMBER('Data'!G336),'Data'!G336*100,"")</x:f>
        <x:v>0</x:v>
      </x:c>
      <x:c r="I336" s="34" t="str">
        <x:v>PASS</x:v>
      </x:c>
      <x:c r="J336" s="34" t="str">
        <x:v>PASS</x:v>
      </x:c>
      <x:c r="K336" s="34" t="str">
        <x:v>PASS</x:v>
      </x:c>
      <x:c r="L336" s="34" t="str">
        <x:v>PASS</x:v>
      </x:c>
      <x:c r="M336" s="34" t="str">
        <x:v>numeric coverage for applicable metric</x:v>
      </x:c>
      <x:c r="N336" s="34" t="str">
        <x:v>Feedback-Directed Random Test Generation/Result/Csv_3/result.json</x:v>
      </x:c>
      <x:c r="O336" s="38" t="n">
        <x:f>IF(AND(G336="RECORDED",ISNUMBER(H336)),H336,"")</x:f>
        <x:v>0</x:v>
      </x:c>
      <x:c r="P336" s="34" t="str">
        <x:v>NOT_REVEALING</x:v>
      </x:c>
      <x:c r="Q336" s="34" t="str">
        <x:v>Feedback-Directed Random Test Generation/Result/Csv_3/result.json</x:v>
      </x:c>
    </x:row>
    <x:row r="337">
      <x:c r="A337" s="34" t="str">
        <x:v>randoop</x:v>
      </x:c>
      <x:c r="B337" s="34" t="str">
        <x:v>Csv</x:v>
      </x:c>
      <x:c r="C337" s="34" t="str">
        <x:v>Round1</x:v>
      </x:c>
      <x:c r="D337" s="34" t="str">
        <x:v>Csv_4</x:v>
      </x:c>
      <x:c r="E337" s="34" t="str">
        <x:v>Coverage</x:v>
      </x:c>
      <x:c r="F337" s="34" t="n">
        <x:v>150</x:v>
      </x:c>
      <x:c r="G337" s="34" t="str">
        <x:v>RECORDED</x:v>
      </x:c>
      <x:c r="H337" s="38" t="n">
        <x:f>IF(ISNUMBER('Data'!G337),'Data'!G337*100,"")</x:f>
        <x:v>2.67</x:v>
      </x:c>
      <x:c r="I337" s="34" t="str">
        <x:v>PASS</x:v>
      </x:c>
      <x:c r="J337" s="34" t="str">
        <x:v>PASS</x:v>
      </x:c>
      <x:c r="K337" s="34" t="str">
        <x:v>PASS</x:v>
      </x:c>
      <x:c r="L337" s="34" t="str">
        <x:v>PASS</x:v>
      </x:c>
      <x:c r="M337" s="34" t="str">
        <x:v>numeric coverage for applicable metric</x:v>
      </x:c>
      <x:c r="N337" s="34" t="str">
        <x:v>Feedback-Directed Random Test Generation/Result/Csv_4/result.json</x:v>
      </x:c>
      <x:c r="O337" s="38" t="n">
        <x:f>IF(AND(G337="RECORDED",ISNUMBER(H337)),H337,"")</x:f>
        <x:v>2.67</x:v>
      </x:c>
      <x:c r="P337" s="34" t="str">
        <x:v>NOT_REVEALING</x:v>
      </x:c>
      <x:c r="Q337" s="34" t="str">
        <x:v>Feedback-Directed Random Test Generation/Result/Csv_4/result.json</x:v>
      </x:c>
    </x:row>
    <x:row r="338">
      <x:c r="A338" s="34" t="str">
        <x:v>randoop</x:v>
      </x:c>
      <x:c r="B338" s="34" t="str">
        <x:v>Csv</x:v>
      </x:c>
      <x:c r="C338" s="34" t="str">
        <x:v>Round1</x:v>
      </x:c>
      <x:c r="D338" s="34" t="str">
        <x:v>Csv_5</x:v>
      </x:c>
      <x:c r="E338" s="34" t="str">
        <x:v>Coverage</x:v>
      </x:c>
      <x:c r="F338" s="34" t="n">
        <x:v>273</x:v>
      </x:c>
      <x:c r="G338" s="34" t="str">
        <x:v>RECORDED</x:v>
      </x:c>
      <x:c r="H338" s="38" t="n">
        <x:f>IF(ISNUMBER('Data'!G338),'Data'!G338*100,"")</x:f>
        <x:v>1.1</x:v>
      </x:c>
      <x:c r="I338" s="34" t="str">
        <x:v>PASS</x:v>
      </x:c>
      <x:c r="J338" s="34" t="str">
        <x:v>PASS</x:v>
      </x:c>
      <x:c r="K338" s="34" t="str">
        <x:v>PASS</x:v>
      </x:c>
      <x:c r="L338" s="34" t="str">
        <x:v>PASS</x:v>
      </x:c>
      <x:c r="M338" s="34" t="str">
        <x:v>numeric coverage for applicable metric</x:v>
      </x:c>
      <x:c r="N338" s="34" t="str">
        <x:v>Feedback-Directed Random Test Generation/Result/Csv_5/result.json</x:v>
      </x:c>
      <x:c r="O338" s="38" t="n">
        <x:f>IF(AND(G338="RECORDED",ISNUMBER(H338)),H338,"")</x:f>
        <x:v>1.1</x:v>
      </x:c>
      <x:c r="P338" s="34" t="str">
        <x:v>NOT_REVEALING</x:v>
      </x:c>
      <x:c r="Q338" s="34" t="str">
        <x:v>Feedback-Directed Random Test Generation/Result/Csv_5/result.json</x:v>
      </x:c>
    </x:row>
    <x:row r="339">
      <x:c r="A339" s="34" t="str">
        <x:v>randoop</x:v>
      </x:c>
      <x:c r="B339" s="34" t="str">
        <x:v>Csv</x:v>
      </x:c>
      <x:c r="C339" s="34" t="str">
        <x:v>Round1</x:v>
      </x:c>
      <x:c r="D339" s="34" t="str">
        <x:v>Csv_6</x:v>
      </x:c>
      <x:c r="E339" s="34" t="str">
        <x:v>Coverage</x:v>
      </x:c>
      <x:c r="F339" s="34" t="n">
        <x:v>53</x:v>
      </x:c>
      <x:c r="G339" s="34" t="str">
        <x:v>RECORDED</x:v>
      </x:c>
      <x:c r="H339" s="38" t="n">
        <x:f>IF(ISNUMBER('Data'!G339),'Data'!G339*100,"")</x:f>
        <x:v>52.83</x:v>
      </x:c>
      <x:c r="I339" s="34" t="str">
        <x:v>PASS</x:v>
      </x:c>
      <x:c r="J339" s="34" t="str">
        <x:v>PASS</x:v>
      </x:c>
      <x:c r="K339" s="34" t="str">
        <x:v>PASS</x:v>
      </x:c>
      <x:c r="L339" s="34" t="str">
        <x:v>PASS</x:v>
      </x:c>
      <x:c r="M339" s="34" t="str">
        <x:v>numeric coverage for applicable metric</x:v>
      </x:c>
      <x:c r="N339" s="34" t="str">
        <x:v>Feedback-Directed Random Test Generation/Result/Csv_6/result.json</x:v>
      </x:c>
      <x:c r="O339" s="38" t="n">
        <x:f>IF(AND(G339="RECORDED",ISNUMBER(H339)),H339,"")</x:f>
        <x:v>52.83</x:v>
      </x:c>
      <x:c r="P339" s="34" t="str">
        <x:v>NOT_REVEALING</x:v>
      </x:c>
      <x:c r="Q339" s="34" t="str">
        <x:v>Feedback-Directed Random Test Generation/Result/Csv_6/result.json</x:v>
      </x:c>
    </x:row>
    <x:row r="340">
      <x:c r="A340" s="34" t="str">
        <x:v>randoop</x:v>
      </x:c>
      <x:c r="B340" s="34" t="str">
        <x:v>Csv</x:v>
      </x:c>
      <x:c r="C340" s="34" t="str">
        <x:v>Round1</x:v>
      </x:c>
      <x:c r="D340" s="34" t="str">
        <x:v>Csv_7</x:v>
      </x:c>
      <x:c r="E340" s="34" t="str">
        <x:v>Coverage</x:v>
      </x:c>
      <x:c r="F340" s="34" t="n">
        <x:v>151</x:v>
      </x:c>
      <x:c r="G340" s="34" t="str">
        <x:v>RECORDED</x:v>
      </x:c>
      <x:c r="H340" s="38" t="n">
        <x:f>IF(ISNUMBER('Data'!G340),'Data'!G340*100,"")</x:f>
        <x:v>5.3</x:v>
      </x:c>
      <x:c r="I340" s="34" t="str">
        <x:v>PASS</x:v>
      </x:c>
      <x:c r="J340" s="34" t="str">
        <x:v>PASS</x:v>
      </x:c>
      <x:c r="K340" s="34" t="str">
        <x:v>PASS</x:v>
      </x:c>
      <x:c r="L340" s="34" t="str">
        <x:v>PASS</x:v>
      </x:c>
      <x:c r="M340" s="34" t="str">
        <x:v>numeric coverage for applicable metric</x:v>
      </x:c>
      <x:c r="N340" s="34" t="str">
        <x:v>Feedback-Directed Random Test Generation/Result/Csv_7/result.json</x:v>
      </x:c>
      <x:c r="O340" s="38" t="n">
        <x:f>IF(AND(G340="RECORDED",ISNUMBER(H340)),H340,"")</x:f>
        <x:v>5.3</x:v>
      </x:c>
      <x:c r="P340" s="34" t="str">
        <x:v>NOT_REVEALING</x:v>
      </x:c>
      <x:c r="Q340" s="34" t="str">
        <x:v>Feedback-Directed Random Test Generation/Result/Csv_7/result.json</x:v>
      </x:c>
    </x:row>
    <x:row r="341">
      <x:c r="A341" s="34" t="str">
        <x:v>randoop</x:v>
      </x:c>
      <x:c r="B341" s="34" t="str">
        <x:v>Csv</x:v>
      </x:c>
      <x:c r="C341" s="34" t="str">
        <x:v>Round1</x:v>
      </x:c>
      <x:c r="D341" s="34" t="str">
        <x:v>Csv_8</x:v>
      </x:c>
      <x:c r="E341" s="34" t="str">
        <x:v>Coverage</x:v>
      </x:c>
      <x:c r="F341" s="34" t="n">
        <x:v>319</x:v>
      </x:c>
      <x:c r="G341" s="34" t="str">
        <x:v>RECORDED</x:v>
      </x:c>
      <x:c r="H341" s="38" t="n">
        <x:f>IF(ISNUMBER('Data'!G341),'Data'!G341*100,"")</x:f>
        <x:v>52.98</x:v>
      </x:c>
      <x:c r="I341" s="34" t="str">
        <x:v>PASS</x:v>
      </x:c>
      <x:c r="J341" s="34" t="str">
        <x:v>PASS</x:v>
      </x:c>
      <x:c r="K341" s="34" t="str">
        <x:v>PASS</x:v>
      </x:c>
      <x:c r="L341" s="34" t="str">
        <x:v>PASS</x:v>
      </x:c>
      <x:c r="M341" s="34" t="str">
        <x:v>numeric coverage for applicable metric</x:v>
      </x:c>
      <x:c r="N341" s="34" t="str">
        <x:v>Feedback-Directed Random Test Generation/Result/Csv_8/result.json</x:v>
      </x:c>
      <x:c r="O341" s="38" t="n">
        <x:f>IF(AND(G341="RECORDED",ISNUMBER(H341)),H341,"")</x:f>
        <x:v>52.98</x:v>
      </x:c>
      <x:c r="P341" s="34" t="str">
        <x:v>INCONCLUSIVE</x:v>
      </x:c>
      <x:c r="Q341" s="34" t="str">
        <x:v>Feedback-Directed Random Test Generation/Result/Csv_8/result.json</x:v>
      </x:c>
    </x:row>
    <x:row r="342">
      <x:c r="A342" s="34" t="str">
        <x:v>randoop</x:v>
      </x:c>
      <x:c r="B342" s="34" t="str">
        <x:v>Csv</x:v>
      </x:c>
      <x:c r="C342" s="34" t="str">
        <x:v>Round1</x:v>
      </x:c>
      <x:c r="D342" s="34" t="str">
        <x:v>Csv_9</x:v>
      </x:c>
      <x:c r="E342" s="34" t="str">
        <x:v>Coverage</x:v>
      </x:c>
      <x:c r="F342" s="34" t="n">
        <x:v>58</x:v>
      </x:c>
      <x:c r="G342" s="34" t="str">
        <x:v>RECORDED</x:v>
      </x:c>
      <x:c r="H342" s="38" t="n">
        <x:f>IF(ISNUMBER('Data'!G342),'Data'!G342*100,"")</x:f>
        <x:v>48.28</x:v>
      </x:c>
      <x:c r="I342" s="34" t="str">
        <x:v>PASS</x:v>
      </x:c>
      <x:c r="J342" s="34" t="str">
        <x:v>PASS</x:v>
      </x:c>
      <x:c r="K342" s="34" t="str">
        <x:v>PASS</x:v>
      </x:c>
      <x:c r="L342" s="34" t="str">
        <x:v>PASS</x:v>
      </x:c>
      <x:c r="M342" s="34" t="str">
        <x:v>numeric coverage for applicable metric</x:v>
      </x:c>
      <x:c r="N342" s="34" t="str">
        <x:v>Feedback-Directed Random Test Generation/Result/Csv_9/result.json</x:v>
      </x:c>
      <x:c r="O342" s="38" t="n">
        <x:f>IF(AND(G342="RECORDED",ISNUMBER(H342)),H342,"")</x:f>
        <x:v>48.28</x:v>
      </x:c>
      <x:c r="P342" s="34" t="str">
        <x:v>INCONCLUSIVE</x:v>
      </x:c>
      <x:c r="Q342" s="34" t="str">
        <x:v>Feedback-Directed Random Test Generation/Result/Csv_9/result.json</x:v>
      </x:c>
    </x:row>
    <x:row r="343">
      <x:c r="A343" s="34" t="str">
        <x:v>randoop</x:v>
      </x:c>
      <x:c r="B343" s="34" t="str">
        <x:v>Csv</x:v>
      </x:c>
      <x:c r="C343" s="34" t="str">
        <x:v>Round1</x:v>
      </x:c>
      <x:c r="D343" s="34" t="str">
        <x:v>Csv_10</x:v>
      </x:c>
      <x:c r="E343" s="34" t="str">
        <x:v>Coverage</x:v>
      </x:c>
      <x:c r="F343" s="34" t="n">
        <x:v>277</x:v>
      </x:c>
      <x:c r="G343" s="34" t="str">
        <x:v>RECORDED</x:v>
      </x:c>
      <x:c r="H343" s="38" t="n">
        <x:f>IF(ISNUMBER('Data'!G343),'Data'!G343*100,"")</x:f>
        <x:v>1.08</x:v>
      </x:c>
      <x:c r="I343" s="34" t="str">
        <x:v>PASS</x:v>
      </x:c>
      <x:c r="J343" s="34" t="str">
        <x:v>PASS</x:v>
      </x:c>
      <x:c r="K343" s="34" t="str">
        <x:v>PASS</x:v>
      </x:c>
      <x:c r="L343" s="34" t="str">
        <x:v>PASS</x:v>
      </x:c>
      <x:c r="M343" s="34" t="str">
        <x:v>numeric coverage for applicable metric</x:v>
      </x:c>
      <x:c r="N343" s="34" t="str">
        <x:v>Feedback-Directed Random Test Generation/Result/Csv_10/result.json</x:v>
      </x:c>
      <x:c r="O343" s="38" t="n">
        <x:f>IF(AND(G343="RECORDED",ISNUMBER(H343)),H343,"")</x:f>
        <x:v>1.08</x:v>
      </x:c>
      <x:c r="P343" s="34" t="str">
        <x:v>NOT_REVEALING</x:v>
      </x:c>
      <x:c r="Q343" s="34" t="str">
        <x:v>Feedback-Directed Random Test Generation/Result/Csv_10/result.json</x:v>
      </x:c>
    </x:row>
    <x:row r="344">
      <x:c r="A344" s="34" t="str">
        <x:v>randoop</x:v>
      </x:c>
      <x:c r="B344" s="34" t="str">
        <x:v>Csv</x:v>
      </x:c>
      <x:c r="C344" s="34" t="str">
        <x:v>Round1</x:v>
      </x:c>
      <x:c r="D344" s="34" t="str">
        <x:v>Csv_11</x:v>
      </x:c>
      <x:c r="E344" s="34" t="str">
        <x:v>Coverage</x:v>
      </x:c>
      <x:c r="F344" s="34" t="n">
        <x:v>164</x:v>
      </x:c>
      <x:c r="G344" s="34" t="str">
        <x:v>RECORDED</x:v>
      </x:c>
      <x:c r="H344" s="38" t="n">
        <x:f>IF(ISNUMBER('Data'!G344),'Data'!G344*100,"")</x:f>
        <x:v>4.88</x:v>
      </x:c>
      <x:c r="I344" s="34" t="str">
        <x:v>PASS</x:v>
      </x:c>
      <x:c r="J344" s="34" t="str">
        <x:v>PASS</x:v>
      </x:c>
      <x:c r="K344" s="34" t="str">
        <x:v>PASS</x:v>
      </x:c>
      <x:c r="L344" s="34" t="str">
        <x:v>PASS</x:v>
      </x:c>
      <x:c r="M344" s="34" t="str">
        <x:v>numeric coverage for applicable metric</x:v>
      </x:c>
      <x:c r="N344" s="34" t="str">
        <x:v>Feedback-Directed Random Test Generation/Result/Csv_11/result.json</x:v>
      </x:c>
      <x:c r="O344" s="38" t="n">
        <x:f>IF(AND(G344="RECORDED",ISNUMBER(H344)),H344,"")</x:f>
        <x:v>4.88</x:v>
      </x:c>
      <x:c r="P344" s="34" t="str">
        <x:v>NOT_REVEALING</x:v>
      </x:c>
      <x:c r="Q344" s="34" t="str">
        <x:v>Feedback-Directed Random Test Generation/Result/Csv_11/result.json</x:v>
      </x:c>
    </x:row>
    <x:row r="345">
      <x:c r="A345" s="34" t="str">
        <x:v>randoop</x:v>
      </x:c>
      <x:c r="B345" s="34" t="str">
        <x:v>Csv</x:v>
      </x:c>
      <x:c r="C345" s="34" t="str">
        <x:v>Round1</x:v>
      </x:c>
      <x:c r="D345" s="34" t="str">
        <x:v>Csv_12</x:v>
      </x:c>
      <x:c r="E345" s="34" t="str">
        <x:v>Coverage</x:v>
      </x:c>
      <x:c r="F345" s="34" t="n">
        <x:v>324</x:v>
      </x:c>
      <x:c r="G345" s="34" t="str">
        <x:v>RECORDED</x:v>
      </x:c>
      <x:c r="H345" s="38" t="n">
        <x:f>IF(ISNUMBER('Data'!G345),'Data'!G345*100,"")</x:f>
        <x:v>56.169999999999995</x:v>
      </x:c>
      <x:c r="I345" s="34" t="str">
        <x:v>PASS</x:v>
      </x:c>
      <x:c r="J345" s="34" t="str">
        <x:v>PASS</x:v>
      </x:c>
      <x:c r="K345" s="34" t="str">
        <x:v>PASS</x:v>
      </x:c>
      <x:c r="L345" s="34" t="str">
        <x:v>PASS</x:v>
      </x:c>
      <x:c r="M345" s="34" t="str">
        <x:v>numeric coverage for applicable metric</x:v>
      </x:c>
      <x:c r="N345" s="34" t="str">
        <x:v>Feedback-Directed Random Test Generation/Result/Csv_12/result.json</x:v>
      </x:c>
      <x:c r="O345" s="38" t="n">
        <x:f>IF(AND(G345="RECORDED",ISNUMBER(H345)),H345,"")</x:f>
        <x:v>56.169999999999995</x:v>
      </x:c>
      <x:c r="P345" s="34" t="str">
        <x:v>NOT_REVEALING</x:v>
      </x:c>
      <x:c r="Q345" s="34" t="str">
        <x:v>Feedback-Directed Random Test Generation/Result/Csv_12/result.json</x:v>
      </x:c>
    </x:row>
    <x:row r="346">
      <x:c r="A346" s="34" t="str">
        <x:v>randoop</x:v>
      </x:c>
      <x:c r="B346" s="34" t="str">
        <x:v>Csv</x:v>
      </x:c>
      <x:c r="C346" s="34" t="str">
        <x:v>Round1</x:v>
      </x:c>
      <x:c r="D346" s="34" t="str">
        <x:v>Csv_13</x:v>
      </x:c>
      <x:c r="E346" s="34" t="str">
        <x:v>Coverage</x:v>
      </x:c>
      <x:c r="F346" s="34" t="n">
        <x:v>674</x:v>
      </x:c>
      <x:c r="G346" s="34" t="str">
        <x:v>RECORDED</x:v>
      </x:c>
      <x:c r="H346" s="38" t="n">
        <x:f>IF(ISNUMBER('Data'!G346),'Data'!G346*100,"")</x:f>
        <x:v>56.230000000000004</x:v>
      </x:c>
      <x:c r="I346" s="34" t="str">
        <x:v>PASS</x:v>
      </x:c>
      <x:c r="J346" s="34" t="str">
        <x:v>PASS</x:v>
      </x:c>
      <x:c r="K346" s="34" t="str">
        <x:v>PASS</x:v>
      </x:c>
      <x:c r="L346" s="34" t="str">
        <x:v>FAIL</x:v>
      </x:c>
      <x:c r="M346" s="34" t="str">
        <x:v>numeric coverage for applicable metric</x:v>
      </x:c>
      <x:c r="N346" s="34" t="str">
        <x:v>Feedback-Directed Random Test Generation/Result/Csv_13/result.json</x:v>
      </x:c>
      <x:c r="O346" s="38" t="n">
        <x:f>IF(AND(G346="RECORDED",ISNUMBER(H346)),H346,"")</x:f>
        <x:v>56.230000000000004</x:v>
      </x:c>
      <x:c r="P346" s="34" t="str">
        <x:v>INCONCLUSIVE</x:v>
      </x:c>
      <x:c r="Q346" s="34" t="str">
        <x:v>Feedback-Directed Random Test Generation/Result/Csv_13/result.json</x:v>
      </x:c>
    </x:row>
    <x:row r="347">
      <x:c r="A347" s="34" t="str">
        <x:v>randoop</x:v>
      </x:c>
      <x:c r="B347" s="34" t="str">
        <x:v>Csv</x:v>
      </x:c>
      <x:c r="C347" s="34" t="str">
        <x:v>Round1</x:v>
      </x:c>
      <x:c r="D347" s="34" t="str">
        <x:v>Csv_14</x:v>
      </x:c>
      <x:c r="E347" s="34" t="str">
        <x:v>Coverage</x:v>
      </x:c>
      <x:c r="F347" s="34" t="n">
        <x:v>628</x:v>
      </x:c>
      <x:c r="G347" s="34" t="str">
        <x:v>RECORDED</x:v>
      </x:c>
      <x:c r="H347" s="38" t="n">
        <x:f>IF(ISNUMBER('Data'!G347),'Data'!G347*100,"")</x:f>
        <x:v>56.37</x:v>
      </x:c>
      <x:c r="I347" s="34" t="str">
        <x:v>PASS</x:v>
      </x:c>
      <x:c r="J347" s="34" t="str">
        <x:v>PASS</x:v>
      </x:c>
      <x:c r="K347" s="34" t="str">
        <x:v>PASS</x:v>
      </x:c>
      <x:c r="L347" s="34" t="str">
        <x:v>FAIL</x:v>
      </x:c>
      <x:c r="M347" s="34" t="str">
        <x:v>numeric coverage for applicable metric</x:v>
      </x:c>
      <x:c r="N347" s="34" t="str">
        <x:v>Feedback-Directed Random Test Generation/Result/Csv_14/result.json</x:v>
      </x:c>
      <x:c r="O347" s="38" t="n">
        <x:f>IF(AND(G347="RECORDED",ISNUMBER(H347)),H347,"")</x:f>
        <x:v>56.37</x:v>
      </x:c>
      <x:c r="P347" s="34" t="str">
        <x:v>INCONCLUSIVE</x:v>
      </x:c>
      <x:c r="Q347" s="34" t="str">
        <x:v>Feedback-Directed Random Test Generation/Result/Csv_14/result.json</x:v>
      </x:c>
    </x:row>
    <x:row r="348">
      <x:c r="A348" s="34" t="str">
        <x:v>randoop</x:v>
      </x:c>
      <x:c r="B348" s="34" t="str">
        <x:v>Csv</x:v>
      </x:c>
      <x:c r="C348" s="34" t="str">
        <x:v>Round1</x:v>
      </x:c>
      <x:c r="D348" s="34" t="str">
        <x:v>Csv_15</x:v>
      </x:c>
      <x:c r="E348" s="34" t="str">
        <x:v>Coverage</x:v>
      </x:c>
      <x:c r="F348" s="34" t="n">
        <x:v>672</x:v>
      </x:c>
      <x:c r="G348" s="34" t="str">
        <x:v>RECORDED</x:v>
      </x:c>
      <x:c r="H348" s="38" t="n">
        <x:f>IF(ISNUMBER('Data'!G348),'Data'!G348*100,"")</x:f>
        <x:v>54.459999999999994</x:v>
      </x:c>
      <x:c r="I348" s="34" t="str">
        <x:v>PASS</x:v>
      </x:c>
      <x:c r="J348" s="34" t="str">
        <x:v>PASS</x:v>
      </x:c>
      <x:c r="K348" s="34" t="str">
        <x:v>PASS</x:v>
      </x:c>
      <x:c r="L348" s="34" t="str">
        <x:v>FAIL</x:v>
      </x:c>
      <x:c r="M348" s="34" t="str">
        <x:v>numeric coverage for applicable metric</x:v>
      </x:c>
      <x:c r="N348" s="34" t="str">
        <x:v>Feedback-Directed Random Test Generation/Result/Csv_15/result.json</x:v>
      </x:c>
      <x:c r="O348" s="38" t="n">
        <x:f>IF(AND(G348="RECORDED",ISNUMBER(H348)),H348,"")</x:f>
        <x:v>54.459999999999994</x:v>
      </x:c>
      <x:c r="P348" s="34" t="str">
        <x:v>INCONCLUSIVE</x:v>
      </x:c>
      <x:c r="Q348" s="34" t="str">
        <x:v>Feedback-Directed Random Test Generation/Result/Csv_15/result.json</x:v>
      </x:c>
    </x:row>
    <x:row r="349">
      <x:c r="A349" s="34" t="str">
        <x:v>randoop</x:v>
      </x:c>
      <x:c r="B349" s="34" t="str">
        <x:v>Csv</x:v>
      </x:c>
      <x:c r="C349" s="34" t="str">
        <x:v>Round1</x:v>
      </x:c>
      <x:c r="D349" s="34" t="str">
        <x:v>Csv_16</x:v>
      </x:c>
      <x:c r="E349" s="34" t="str">
        <x:v>Coverage</x:v>
      </x:c>
      <x:c r="F349" s="34" t="n">
        <x:v>191</x:v>
      </x:c>
      <x:c r="G349" s="34" t="str">
        <x:v>RECORDED</x:v>
      </x:c>
      <x:c r="H349" s="38" t="n">
        <x:f>IF(ISNUMBER('Data'!G349),'Data'!G349*100,"")</x:f>
        <x:v>6.280000000000001</x:v>
      </x:c>
      <x:c r="I349" s="34" t="str">
        <x:v>PASS</x:v>
      </x:c>
      <x:c r="J349" s="34" t="str">
        <x:v>PASS</x:v>
      </x:c>
      <x:c r="K349" s="34" t="str">
        <x:v>PASS</x:v>
      </x:c>
      <x:c r="L349" s="34" t="str">
        <x:v>PASS</x:v>
      </x:c>
      <x:c r="M349" s="34" t="str">
        <x:v>numeric coverage for applicable metric</x:v>
      </x:c>
      <x:c r="N349" s="34" t="str">
        <x:v>Feedback-Directed Random Test Generation/Result/Csv_16/result.json</x:v>
      </x:c>
      <x:c r="O349" s="38" t="n">
        <x:f>IF(AND(G349="RECORDED",ISNUMBER(H349)),H349,"")</x:f>
        <x:v>6.280000000000001</x:v>
      </x:c>
      <x:c r="P349" s="34" t="str">
        <x:v>NOT_REVEALING</x:v>
      </x:c>
      <x:c r="Q349" s="34" t="str">
        <x:v>Feedback-Directed Random Test Generation/Result/Csv_16/result.json</x:v>
      </x:c>
    </x:row>
    <x:row r="350">
      <x:c r="A350" s="34" t="str">
        <x:v>randoop</x:v>
      </x:c>
      <x:c r="B350" s="34" t="str">
        <x:v>Gson</x:v>
      </x:c>
      <x:c r="C350" s="34" t="str">
        <x:v>Round1</x:v>
      </x:c>
      <x:c r="D350" s="34" t="str">
        <x:v>Gson_1</x:v>
      </x:c>
      <x:c r="E350" s="34" t="str">
        <x:v>Coverage</x:v>
      </x:c>
      <x:c r="F350" s="34" t="n">
        <x:v>70</x:v>
      </x:c>
      <x:c r="G350" s="34" t="str">
        <x:v>RECORDED</x:v>
      </x:c>
      <x:c r="H350" s="38" t="n">
        <x:f>IF(ISNUMBER('Data'!G350),'Data'!G350*100,"")</x:f>
        <x:v>4.29</x:v>
      </x:c>
      <x:c r="I350" s="34" t="str">
        <x:v>PASS</x:v>
      </x:c>
      <x:c r="J350" s="34" t="str">
        <x:v>PASS</x:v>
      </x:c>
      <x:c r="K350" s="34" t="str">
        <x:v>PASS</x:v>
      </x:c>
      <x:c r="L350" s="34" t="str">
        <x:v>PASS</x:v>
      </x:c>
      <x:c r="M350" s="34" t="str">
        <x:v>numeric coverage for applicable metric</x:v>
      </x:c>
      <x:c r="N350" s="34" t="str">
        <x:v>Feedback-Directed Random Test Generation/Result/Gson_1/result.json</x:v>
      </x:c>
      <x:c r="O350" s="38" t="n">
        <x:f>IF(AND(G350="RECORDED",ISNUMBER(H350)),H350,"")</x:f>
        <x:v>4.29</x:v>
      </x:c>
      <x:c r="P350" s="34" t="str">
        <x:v>NOT_REVEALING</x:v>
      </x:c>
      <x:c r="Q350" s="34" t="str">
        <x:v>Feedback-Directed Random Test Generation/Result/Gson_1/result.json</x:v>
      </x:c>
    </x:row>
    <x:row r="351">
      <x:c r="A351" s="34" t="str">
        <x:v>randoop</x:v>
      </x:c>
      <x:c r="B351" s="34" t="str">
        <x:v>Gson</x:v>
      </x:c>
      <x:c r="C351" s="34" t="str">
        <x:v>Round1</x:v>
      </x:c>
      <x:c r="D351" s="34" t="str">
        <x:v>Gson_2</x:v>
      </x:c>
      <x:c r="E351" s="34" t="str">
        <x:v>Coverage</x:v>
      </x:c>
      <x:c r="F351" s="34" t="n">
        <x:v>634</x:v>
      </x:c>
      <x:c r="G351" s="34" t="str">
        <x:v>RECORDED</x:v>
      </x:c>
      <x:c r="H351" s="38" t="n">
        <x:f>IF(ISNUMBER('Data'!G351),'Data'!G351*100,"")</x:f>
        <x:v>13.88</x:v>
      </x:c>
      <x:c r="I351" s="34" t="str">
        <x:v>PASS</x:v>
      </x:c>
      <x:c r="J351" s="34" t="str">
        <x:v>PASS</x:v>
      </x:c>
      <x:c r="K351" s="34" t="str">
        <x:v>PASS</x:v>
      </x:c>
      <x:c r="L351" s="34" t="str">
        <x:v>PASS</x:v>
      </x:c>
      <x:c r="M351" s="34" t="str">
        <x:v>numeric coverage for applicable metric</x:v>
      </x:c>
      <x:c r="N351" s="34" t="str">
        <x:v>Feedback-Directed Random Test Generation/Result/Gson_2/result.json</x:v>
      </x:c>
      <x:c r="O351" s="38" t="n">
        <x:f>IF(AND(G351="RECORDED",ISNUMBER(H351)),H351,"")</x:f>
        <x:v>13.88</x:v>
      </x:c>
      <x:c r="P351" s="34" t="str">
        <x:v>NOT_REVEALING</x:v>
      </x:c>
      <x:c r="Q351" s="34" t="str">
        <x:v>Feedback-Directed Random Test Generation/Result/Gson_2/result.json</x:v>
      </x:c>
    </x:row>
    <x:row r="352">
      <x:c r="A352" s="34" t="str">
        <x:v>randoop</x:v>
      </x:c>
      <x:c r="B352" s="34" t="str">
        <x:v>Gson</x:v>
      </x:c>
      <x:c r="C352" s="34" t="str">
        <x:v>Round1</x:v>
      </x:c>
      <x:c r="D352" s="34" t="str">
        <x:v>Gson_3</x:v>
      </x:c>
      <x:c r="E352" s="34" t="str">
        <x:v>Coverage</x:v>
      </x:c>
      <x:c r="F352" s="34" t="n">
        <x:v>118</x:v>
      </x:c>
      <x:c r="G352" s="34" t="str">
        <x:v>RECORDED</x:v>
      </x:c>
      <x:c r="H352" s="38" t="n">
        <x:f>IF(ISNUMBER('Data'!G352),'Data'!G352*100,"")</x:f>
        <x:v>0</x:v>
      </x:c>
      <x:c r="I352" s="34" t="str">
        <x:v>PASS</x:v>
      </x:c>
      <x:c r="J352" s="34" t="str">
        <x:v>PASS</x:v>
      </x:c>
      <x:c r="K352" s="34" t="str">
        <x:v>PASS</x:v>
      </x:c>
      <x:c r="L352" s="34" t="str">
        <x:v>PASS</x:v>
      </x:c>
      <x:c r="M352" s="34" t="str">
        <x:v>numeric coverage for applicable metric</x:v>
      </x:c>
      <x:c r="N352" s="34" t="str">
        <x:v>Feedback-Directed Random Test Generation/Result/Gson_3/result.json</x:v>
      </x:c>
      <x:c r="O352" s="38" t="n">
        <x:f>IF(AND(G352="RECORDED",ISNUMBER(H352)),H352,"")</x:f>
        <x:v>0</x:v>
      </x:c>
      <x:c r="P352" s="34" t="str">
        <x:v>NOT_REVEALING</x:v>
      </x:c>
      <x:c r="Q352" s="34" t="str">
        <x:v>Feedback-Directed Random Test Generation/Result/Gson_3/result.json</x:v>
      </x:c>
    </x:row>
    <x:row r="353">
      <x:c r="A353" s="34" t="str">
        <x:v>randoop</x:v>
      </x:c>
      <x:c r="B353" s="34" t="str">
        <x:v>Gson</x:v>
      </x:c>
      <x:c r="C353" s="34" t="str">
        <x:v>Round1</x:v>
      </x:c>
      <x:c r="D353" s="34" t="str">
        <x:v>Gson_4</x:v>
      </x:c>
      <x:c r="E353" s="34" t="str">
        <x:v>Coverage</x:v>
      </x:c>
      <x:c r="F353" s="34" t="n">
        <x:v>1447</x:v>
      </x:c>
      <x:c r="G353" s="34" t="str">
        <x:v>RECORDED</x:v>
      </x:c>
      <x:c r="H353" s="38" t="n">
        <x:f>IF(ISNUMBER('Data'!G353),'Data'!G353*100,"")</x:f>
        <x:v>3.46</x:v>
      </x:c>
      <x:c r="I353" s="34" t="str">
        <x:v>PASS</x:v>
      </x:c>
      <x:c r="J353" s="34" t="str">
        <x:v>PASS</x:v>
      </x:c>
      <x:c r="K353" s="34" t="str">
        <x:v>PASS</x:v>
      </x:c>
      <x:c r="L353" s="34" t="str">
        <x:v>PASS</x:v>
      </x:c>
      <x:c r="M353" s="34" t="str">
        <x:v>numeric coverage for applicable metric</x:v>
      </x:c>
      <x:c r="N353" s="34" t="str">
        <x:v>Feedback-Directed Random Test Generation/Result/Gson_4/result.json</x:v>
      </x:c>
      <x:c r="O353" s="38" t="n">
        <x:f>IF(AND(G353="RECORDED",ISNUMBER(H353)),H353,"")</x:f>
        <x:v>3.46</x:v>
      </x:c>
      <x:c r="P353" s="34" t="str">
        <x:v>NOT_REVEALING</x:v>
      </x:c>
      <x:c r="Q353" s="34" t="str">
        <x:v>Feedback-Directed Random Test Generation/Result/Gson_4/result.json</x:v>
      </x:c>
    </x:row>
    <x:row r="354">
      <x:c r="A354" s="34" t="str">
        <x:v>randoop</x:v>
      </x:c>
      <x:c r="B354" s="34" t="str">
        <x:v>Gson</x:v>
      </x:c>
      <x:c r="C354" s="34" t="str">
        <x:v>Round1</x:v>
      </x:c>
      <x:c r="D354" s="34" t="str">
        <x:v>Gson_5</x:v>
      </x:c>
      <x:c r="E354" s="34" t="str">
        <x:v>Coverage</x:v>
      </x:c>
      <x:c r="F354" s="34" t="n">
        <x:v>239</x:v>
      </x:c>
      <x:c r="G354" s="34" t="str">
        <x:v>RECORDED</x:v>
      </x:c>
      <x:c r="H354" s="38" t="n">
        <x:f>IF(ISNUMBER('Data'!G354),'Data'!G354*100,"")</x:f>
        <x:v>3.35</x:v>
      </x:c>
      <x:c r="I354" s="34" t="str">
        <x:v>PASS</x:v>
      </x:c>
      <x:c r="J354" s="34" t="str">
        <x:v>PASS</x:v>
      </x:c>
      <x:c r="K354" s="34" t="str">
        <x:v>PASS</x:v>
      </x:c>
      <x:c r="L354" s="34" t="str">
        <x:v>PASS</x:v>
      </x:c>
      <x:c r="M354" s="34" t="str">
        <x:v>numeric coverage for applicable metric</x:v>
      </x:c>
      <x:c r="N354" s="34" t="str">
        <x:v>Feedback-Directed Random Test Generation/Result/Gson_5/result.json</x:v>
      </x:c>
      <x:c r="O354" s="38" t="n">
        <x:f>IF(AND(G354="RECORDED",ISNUMBER(H354)),H354,"")</x:f>
        <x:v>3.35</x:v>
      </x:c>
      <x:c r="P354" s="34" t="str">
        <x:v>NOT_REVEALING</x:v>
      </x:c>
      <x:c r="Q354" s="34" t="str">
        <x:v>Feedback-Directed Random Test Generation/Result/Gson_5/result.json</x:v>
      </x:c>
    </x:row>
    <x:row r="355">
      <x:c r="A355" s="34" t="str">
        <x:v>randoop</x:v>
      </x:c>
      <x:c r="B355" s="34" t="str">
        <x:v>Gson</x:v>
      </x:c>
      <x:c r="C355" s="34" t="str">
        <x:v>Round1</x:v>
      </x:c>
      <x:c r="D355" s="34" t="str">
        <x:v>Gson_6</x:v>
      </x:c>
      <x:c r="E355" s="34" t="str">
        <x:v>Coverage</x:v>
      </x:c>
      <x:c r="F355" s="34" t="n">
        <x:v>26</x:v>
      </x:c>
      <x:c r="G355" s="34" t="str">
        <x:v>RECORDED</x:v>
      </x:c>
      <x:c r="H355" s="38" t="n">
        <x:f>IF(ISNUMBER('Data'!G355),'Data'!G355*100,"")</x:f>
        <x:v>11.54</x:v>
      </x:c>
      <x:c r="I355" s="34" t="str">
        <x:v>PASS</x:v>
      </x:c>
      <x:c r="J355" s="34" t="str">
        <x:v>PASS</x:v>
      </x:c>
      <x:c r="K355" s="34" t="str">
        <x:v>PASS</x:v>
      </x:c>
      <x:c r="L355" s="34" t="str">
        <x:v>PASS</x:v>
      </x:c>
      <x:c r="M355" s="34" t="str">
        <x:v>numeric coverage for applicable metric</x:v>
      </x:c>
      <x:c r="N355" s="34" t="str">
        <x:v>Feedback-Directed Random Test Generation/Result/Gson_6/result.json</x:v>
      </x:c>
      <x:c r="O355" s="38" t="n">
        <x:f>IF(AND(G355="RECORDED",ISNUMBER(H355)),H355,"")</x:f>
        <x:v>11.54</x:v>
      </x:c>
      <x:c r="P355" s="34" t="str">
        <x:v>NOT_REVEALING</x:v>
      </x:c>
      <x:c r="Q355" s="34" t="str">
        <x:v>Feedback-Directed Random Test Generation/Result/Gson_6/result.json</x:v>
      </x:c>
    </x:row>
    <x:row r="356">
      <x:c r="A356" s="34" t="str">
        <x:v>randoop</x:v>
      </x:c>
      <x:c r="B356" s="34" t="str">
        <x:v>Gson</x:v>
      </x:c>
      <x:c r="C356" s="34" t="str">
        <x:v>Round1</x:v>
      </x:c>
      <x:c r="D356" s="34" t="str">
        <x:v>Gson_7</x:v>
      </x:c>
      <x:c r="E356" s="34" t="str">
        <x:v>Coverage</x:v>
      </x:c>
      <x:c r="F356" s="34" t="n">
        <x:v>1153</x:v>
      </x:c>
      <x:c r="G356" s="34" t="str">
        <x:v>RECORDED</x:v>
      </x:c>
      <x:c r="H356" s="38" t="n">
        <x:f>IF(ISNUMBER('Data'!G356),'Data'!G356*100,"")</x:f>
        <x:v>1.73</x:v>
      </x:c>
      <x:c r="I356" s="34" t="str">
        <x:v>PASS</x:v>
      </x:c>
      <x:c r="J356" s="34" t="str">
        <x:v>PASS</x:v>
      </x:c>
      <x:c r="K356" s="34" t="str">
        <x:v>PASS</x:v>
      </x:c>
      <x:c r="L356" s="34" t="str">
        <x:v>PASS</x:v>
      </x:c>
      <x:c r="M356" s="34" t="str">
        <x:v>numeric coverage for applicable metric</x:v>
      </x:c>
      <x:c r="N356" s="34" t="str">
        <x:v>Feedback-Directed Random Test Generation/Result/Gson_7/result.json</x:v>
      </x:c>
      <x:c r="O356" s="38" t="n">
        <x:f>IF(AND(G356="RECORDED",ISNUMBER(H356)),H356,"")</x:f>
        <x:v>1.73</x:v>
      </x:c>
      <x:c r="P356" s="34" t="str">
        <x:v>NOT_REVEALING</x:v>
      </x:c>
      <x:c r="Q356" s="34" t="str">
        <x:v>Feedback-Directed Random Test Generation/Result/Gson_7/result.json</x:v>
      </x:c>
    </x:row>
    <x:row r="357">
      <x:c r="A357" s="34" t="str">
        <x:v>randoop</x:v>
      </x:c>
      <x:c r="B357" s="34" t="str">
        <x:v>Gson</x:v>
      </x:c>
      <x:c r="C357" s="34" t="str">
        <x:v>Round1</x:v>
      </x:c>
      <x:c r="D357" s="34" t="str">
        <x:v>Gson_8</x:v>
      </x:c>
      <x:c r="E357" s="34" t="str">
        <x:v>Coverage</x:v>
      </x:c>
      <x:c r="F357" s="34" t="n">
        <x:v>31</x:v>
      </x:c>
      <x:c r="G357" s="34" t="str">
        <x:v>RECORDED</x:v>
      </x:c>
      <x:c r="H357" s="38" t="n">
        <x:f>IF(ISNUMBER('Data'!G357),'Data'!G357*100,"")</x:f>
        <x:v>25.81</x:v>
      </x:c>
      <x:c r="I357" s="34" t="str">
        <x:v>PASS</x:v>
      </x:c>
      <x:c r="J357" s="34" t="str">
        <x:v>PASS</x:v>
      </x:c>
      <x:c r="K357" s="34" t="str">
        <x:v>PASS</x:v>
      </x:c>
      <x:c r="L357" s="34" t="str">
        <x:v>PASS</x:v>
      </x:c>
      <x:c r="M357" s="34" t="str">
        <x:v>numeric coverage for applicable metric</x:v>
      </x:c>
      <x:c r="N357" s="34" t="str">
        <x:v>Feedback-Directed Random Test Generation/Result/Gson_8/result.json</x:v>
      </x:c>
      <x:c r="O357" s="38" t="n">
        <x:f>IF(AND(G357="RECORDED",ISNUMBER(H357)),H357,"")</x:f>
        <x:v>25.81</x:v>
      </x:c>
      <x:c r="P357" s="34" t="str">
        <x:v>NOT_REVEALING</x:v>
      </x:c>
      <x:c r="Q357" s="34" t="str">
        <x:v>Feedback-Directed Random Test Generation/Result/Gson_8/result.json</x:v>
      </x:c>
    </x:row>
    <x:row r="358">
      <x:c r="A358" s="34" t="str">
        <x:v>randoop</x:v>
      </x:c>
      <x:c r="B358" s="34" t="str">
        <x:v>Gson</x:v>
      </x:c>
      <x:c r="C358" s="34" t="str">
        <x:v>Round1</x:v>
      </x:c>
      <x:c r="D358" s="34" t="str">
        <x:v>Gson_9</x:v>
      </x:c>
      <x:c r="E358" s="34" t="str">
        <x:v>Coverage</x:v>
      </x:c>
      <x:c r="F358" s="34" t="n">
        <x:v>1111</x:v>
      </x:c>
      <x:c r="G358" s="34" t="str">
        <x:v>RECORDED</x:v>
      </x:c>
      <x:c r="H358" s="38" t="n">
        <x:f>IF(ISNUMBER('Data'!G358),'Data'!G358*100,"")</x:f>
        <x:v>9.63</x:v>
      </x:c>
      <x:c r="I358" s="34" t="str">
        <x:v>PASS</x:v>
      </x:c>
      <x:c r="J358" s="34" t="str">
        <x:v>PASS</x:v>
      </x:c>
      <x:c r="K358" s="34" t="str">
        <x:v>PASS</x:v>
      </x:c>
      <x:c r="L358" s="34" t="str">
        <x:v>PASS</x:v>
      </x:c>
      <x:c r="M358" s="34" t="str">
        <x:v>numeric coverage for applicable metric</x:v>
      </x:c>
      <x:c r="N358" s="34" t="str">
        <x:v>Feedback-Directed Random Test Generation/Result/Gson_9/result.json</x:v>
      </x:c>
      <x:c r="O358" s="38" t="n">
        <x:f>IF(AND(G358="RECORDED",ISNUMBER(H358)),H358,"")</x:f>
        <x:v>9.63</x:v>
      </x:c>
      <x:c r="P358" s="34" t="str">
        <x:v>NOT_REVEALING</x:v>
      </x:c>
      <x:c r="Q358" s="34" t="str">
        <x:v>Feedback-Directed Random Test Generation/Result/Gson_9/result.json</x:v>
      </x:c>
    </x:row>
    <x:row r="359">
      <x:c r="A359" s="34" t="str">
        <x:v>randoop</x:v>
      </x:c>
      <x:c r="B359" s="34" t="str">
        <x:v>Gson</x:v>
      </x:c>
      <x:c r="C359" s="34" t="str">
        <x:v>Round1</x:v>
      </x:c>
      <x:c r="D359" s="34" t="str">
        <x:v>Gson_10</x:v>
      </x:c>
      <x:c r="E359" s="34" t="str">
        <x:v>Coverage</x:v>
      </x:c>
      <x:c r="F359" s="34" t="n">
        <x:v>175</x:v>
      </x:c>
      <x:c r="G359" s="34" t="str">
        <x:v>RECORDED</x:v>
      </x:c>
      <x:c r="H359" s="38" t="n">
        <x:f>IF(ISNUMBER('Data'!G359),'Data'!G359*100,"")</x:f>
        <x:v>9.14</x:v>
      </x:c>
      <x:c r="I359" s="34" t="str">
        <x:v>PASS</x:v>
      </x:c>
      <x:c r="J359" s="34" t="str">
        <x:v>PASS</x:v>
      </x:c>
      <x:c r="K359" s="34" t="str">
        <x:v>PASS</x:v>
      </x:c>
      <x:c r="L359" s="34" t="str">
        <x:v>FAIL</x:v>
      </x:c>
      <x:c r="M359" s="34" t="str">
        <x:v>numeric coverage for applicable metric</x:v>
      </x:c>
      <x:c r="N359" s="34" t="str">
        <x:v>Feedback-Directed Random Test Generation/Result/Gson_10/result.json</x:v>
      </x:c>
      <x:c r="O359" s="38" t="n">
        <x:f>IF(AND(G359="RECORDED",ISNUMBER(H359)),H359,"")</x:f>
        <x:v>9.14</x:v>
      </x:c>
      <x:c r="P359" s="34" t="str">
        <x:v>INCONCLUSIVE</x:v>
      </x:c>
      <x:c r="Q359" s="34" t="str">
        <x:v>Feedback-Directed Random Test Generation/Result/Gson_10/result.json</x:v>
      </x:c>
    </x:row>
    <x:row r="360">
      <x:c r="A360" s="34" t="str">
        <x:v>randoop</x:v>
      </x:c>
      <x:c r="B360" s="34" t="str">
        <x:v>Gson</x:v>
      </x:c>
      <x:c r="C360" s="34" t="str">
        <x:v>Round1</x:v>
      </x:c>
      <x:c r="D360" s="34" t="str">
        <x:v>Gson_11</x:v>
      </x:c>
      <x:c r="E360" s="34" t="str">
        <x:v>Coverage</x:v>
      </x:c>
      <x:c r="F360" s="34" t="n">
        <x:v>696</x:v>
      </x:c>
      <x:c r="G360" s="34" t="str">
        <x:v>RECORDED</x:v>
      </x:c>
      <x:c r="H360" s="38" t="n">
        <x:f>IF(ISNUMBER('Data'!G360),'Data'!G360*100,"")</x:f>
        <x:v>15.370000000000001</x:v>
      </x:c>
      <x:c r="I360" s="34" t="str">
        <x:v>PASS</x:v>
      </x:c>
      <x:c r="J360" s="34" t="str">
        <x:v>PASS</x:v>
      </x:c>
      <x:c r="K360" s="34" t="str">
        <x:v>PASS</x:v>
      </x:c>
      <x:c r="L360" s="34" t="str">
        <x:v>PASS</x:v>
      </x:c>
      <x:c r="M360" s="34" t="str">
        <x:v>numeric coverage for applicable metric</x:v>
      </x:c>
      <x:c r="N360" s="34" t="str">
        <x:v>Feedback-Directed Random Test Generation/Result/Gson_11/result.json</x:v>
      </x:c>
      <x:c r="O360" s="38" t="n">
        <x:f>IF(AND(G360="RECORDED",ISNUMBER(H360)),H360,"")</x:f>
        <x:v>15.370000000000001</x:v>
      </x:c>
      <x:c r="P360" s="34" t="str">
        <x:v>NOT_REVEALING</x:v>
      </x:c>
      <x:c r="Q360" s="34" t="str">
        <x:v>Feedback-Directed Random Test Generation/Result/Gson_11/result.json</x:v>
      </x:c>
    </x:row>
    <x:row r="361">
      <x:c r="A361" s="34" t="str">
        <x:v>randoop</x:v>
      </x:c>
      <x:c r="B361" s="34" t="str">
        <x:v>Gson</x:v>
      </x:c>
      <x:c r="C361" s="34" t="str">
        <x:v>Round1</x:v>
      </x:c>
      <x:c r="D361" s="34" t="str">
        <x:v>Gson_12</x:v>
      </x:c>
      <x:c r="E361" s="34" t="str">
        <x:v>Coverage</x:v>
      </x:c>
      <x:c r="F361" s="34" t="n">
        <x:v>254</x:v>
      </x:c>
      <x:c r="G361" s="34" t="str">
        <x:v>RECORDED</x:v>
      </x:c>
      <x:c r="H361" s="38" t="n">
        <x:f>IF(ISNUMBER('Data'!G361),'Data'!G361*100,"")</x:f>
        <x:v>22.83</x:v>
      </x:c>
      <x:c r="I361" s="34" t="str">
        <x:v>PASS</x:v>
      </x:c>
      <x:c r="J361" s="34" t="str">
        <x:v>PASS</x:v>
      </x:c>
      <x:c r="K361" s="34" t="str">
        <x:v>PASS</x:v>
      </x:c>
      <x:c r="L361" s="34" t="str">
        <x:v>FAIL</x:v>
      </x:c>
      <x:c r="M361" s="34" t="str">
        <x:v>numeric coverage for applicable metric</x:v>
      </x:c>
      <x:c r="N361" s="34" t="str">
        <x:v>Feedback-Directed Random Test Generation/Result/Gson_12/result.json</x:v>
      </x:c>
      <x:c r="O361" s="38" t="n">
        <x:f>IF(AND(G361="RECORDED",ISNUMBER(H361)),H361,"")</x:f>
        <x:v>22.83</x:v>
      </x:c>
      <x:c r="P361" s="34" t="str">
        <x:v>INCONCLUSIVE</x:v>
      </x:c>
      <x:c r="Q361" s="34" t="str">
        <x:v>Feedback-Directed Random Test Generation/Result/Gson_12/result.json</x:v>
      </x:c>
    </x:row>
    <x:row r="362">
      <x:c r="A362" s="34" t="str">
        <x:v>randoop</x:v>
      </x:c>
      <x:c r="B362" s="34" t="str">
        <x:v>Gson</x:v>
      </x:c>
      <x:c r="C362" s="34" t="str">
        <x:v>Round1</x:v>
      </x:c>
      <x:c r="D362" s="34" t="str">
        <x:v>Gson_13</x:v>
      </x:c>
      <x:c r="E362" s="34" t="str">
        <x:v>Coverage</x:v>
      </x:c>
      <x:c r="F362" s="34" t="n">
        <x:v>1167</x:v>
      </x:c>
      <x:c r="G362" s="34" t="str">
        <x:v>RECORDED</x:v>
      </x:c>
      <x:c r="H362" s="38" t="n">
        <x:f>IF(ISNUMBER('Data'!G362),'Data'!G362*100,"")</x:f>
        <x:v>1.71</x:v>
      </x:c>
      <x:c r="I362" s="34" t="str">
        <x:v>PASS</x:v>
      </x:c>
      <x:c r="J362" s="34" t="str">
        <x:v>PASS</x:v>
      </x:c>
      <x:c r="K362" s="34" t="str">
        <x:v>PASS</x:v>
      </x:c>
      <x:c r="L362" s="34" t="str">
        <x:v>PASS</x:v>
      </x:c>
      <x:c r="M362" s="34" t="str">
        <x:v>numeric coverage for applicable metric</x:v>
      </x:c>
      <x:c r="N362" s="34" t="str">
        <x:v>Feedback-Directed Random Test Generation/Result/Gson_13/result.json</x:v>
      </x:c>
      <x:c r="O362" s="38" t="n">
        <x:f>IF(AND(G362="RECORDED",ISNUMBER(H362)),H362,"")</x:f>
        <x:v>1.71</x:v>
      </x:c>
      <x:c r="P362" s="34" t="str">
        <x:v>NOT_REVEALING</x:v>
      </x:c>
      <x:c r="Q362" s="34" t="str">
        <x:v>Feedback-Directed Random Test Generation/Result/Gson_13/result.json</x:v>
      </x:c>
    </x:row>
    <x:row r="363">
      <x:c r="A363" s="34" t="str">
        <x:v>randoop</x:v>
      </x:c>
      <x:c r="B363" s="34" t="str">
        <x:v>Gson</x:v>
      </x:c>
      <x:c r="C363" s="34" t="str">
        <x:v>Round1</x:v>
      </x:c>
      <x:c r="D363" s="34" t="str">
        <x:v>Gson_14</x:v>
      </x:c>
      <x:c r="E363" s="34" t="str">
        <x:v>Coverage</x:v>
      </x:c>
      <x:c r="F363" s="34" t="n">
        <x:v>433</x:v>
      </x:c>
      <x:c r="G363" s="34" t="str">
        <x:v>RECORDED</x:v>
      </x:c>
      <x:c r="H363" s="38" t="n">
        <x:f>IF(ISNUMBER('Data'!G363),'Data'!G363*100,"")</x:f>
        <x:v>0.22999999999999998</x:v>
      </x:c>
      <x:c r="I363" s="34" t="str">
        <x:v>PASS</x:v>
      </x:c>
      <x:c r="J363" s="34" t="str">
        <x:v>PASS</x:v>
      </x:c>
      <x:c r="K363" s="34" t="str">
        <x:v>PASS</x:v>
      </x:c>
      <x:c r="L363" s="34" t="str">
        <x:v>PASS</x:v>
      </x:c>
      <x:c r="M363" s="34" t="str">
        <x:v>numeric coverage for applicable metric</x:v>
      </x:c>
      <x:c r="N363" s="34" t="str">
        <x:v>Feedback-Directed Random Test Generation/Result/Gson_14/result.json</x:v>
      </x:c>
      <x:c r="O363" s="38" t="n">
        <x:f>IF(AND(G363="RECORDED",ISNUMBER(H363)),H363,"")</x:f>
        <x:v>0.22999999999999998</x:v>
      </x:c>
      <x:c r="P363" s="34" t="str">
        <x:v>NOT_REVEALING</x:v>
      </x:c>
      <x:c r="Q363" s="34" t="str">
        <x:v>Feedback-Directed Random Test Generation/Result/Gson_14/result.json</x:v>
      </x:c>
    </x:row>
    <x:row r="364">
      <x:c r="A364" s="34" t="str">
        <x:v>randoop</x:v>
      </x:c>
      <x:c r="B364" s="34" t="str">
        <x:v>Gson</x:v>
      </x:c>
      <x:c r="C364" s="34" t="str">
        <x:v>Round1</x:v>
      </x:c>
      <x:c r="D364" s="34" t="str">
        <x:v>Gson_15</x:v>
      </x:c>
      <x:c r="E364" s="34" t="str">
        <x:v>Coverage</x:v>
      </x:c>
      <x:c r="F364" s="34" t="n">
        <x:v>290</x:v>
      </x:c>
      <x:c r="G364" s="34" t="str">
        <x:v>RECORDED</x:v>
      </x:c>
      <x:c r="H364" s="38" t="n">
        <x:f>IF(ISNUMBER('Data'!G364),'Data'!G364*100,"")</x:f>
        <x:v>10.34</x:v>
      </x:c>
      <x:c r="I364" s="34" t="str">
        <x:v>PASS</x:v>
      </x:c>
      <x:c r="J364" s="34" t="str">
        <x:v>PASS</x:v>
      </x:c>
      <x:c r="K364" s="34" t="str">
        <x:v>PASS</x:v>
      </x:c>
      <x:c r="L364" s="34" t="str">
        <x:v>PASS</x:v>
      </x:c>
      <x:c r="M364" s="34" t="str">
        <x:v>numeric coverage for applicable metric</x:v>
      </x:c>
      <x:c r="N364" s="34" t="str">
        <x:v>Feedback-Directed Random Test Generation/Result/Gson_15/result.json</x:v>
      </x:c>
      <x:c r="O364" s="38" t="n">
        <x:f>IF(AND(G364="RECORDED",ISNUMBER(H364)),H364,"")</x:f>
        <x:v>10.34</x:v>
      </x:c>
      <x:c r="P364" s="34" t="str">
        <x:v>NOT_REVEALING</x:v>
      </x:c>
      <x:c r="Q364" s="34" t="str">
        <x:v>Feedback-Directed Random Test Generation/Result/Gson_15/result.json</x:v>
      </x:c>
    </x:row>
    <x:row r="365">
      <x:c r="A365" s="34" t="str">
        <x:v>randoop</x:v>
      </x:c>
      <x:c r="B365" s="34" t="str">
        <x:v>Gson</x:v>
      </x:c>
      <x:c r="C365" s="34" t="str">
        <x:v>Round1</x:v>
      </x:c>
      <x:c r="D365" s="34" t="str">
        <x:v>Gson_16</x:v>
      </x:c>
      <x:c r="E365" s="34" t="str">
        <x:v>Coverage</x:v>
      </x:c>
      <x:c r="F365" s="34" t="n">
        <x:v>442</x:v>
      </x:c>
      <x:c r="G365" s="34" t="str">
        <x:v>RECORDED</x:v>
      </x:c>
      <x:c r="H365" s="38" t="n">
        <x:f>IF(ISNUMBER('Data'!G365),'Data'!G365*100,"")</x:f>
        <x:v>0.22999999999999998</x:v>
      </x:c>
      <x:c r="I365" s="34" t="str">
        <x:v>PASS</x:v>
      </x:c>
      <x:c r="J365" s="34" t="str">
        <x:v>PASS</x:v>
      </x:c>
      <x:c r="K365" s="34" t="str">
        <x:v>PASS</x:v>
      </x:c>
      <x:c r="L365" s="34" t="str">
        <x:v>PASS</x:v>
      </x:c>
      <x:c r="M365" s="34" t="str">
        <x:v>numeric coverage for applicable metric</x:v>
      </x:c>
      <x:c r="N365" s="34" t="str">
        <x:v>Feedback-Directed Random Test Generation/Result/Gson_16/result.json</x:v>
      </x:c>
      <x:c r="O365" s="38" t="n">
        <x:f>IF(AND(G365="RECORDED",ISNUMBER(H365)),H365,"")</x:f>
        <x:v>0.22999999999999998</x:v>
      </x:c>
      <x:c r="P365" s="34" t="str">
        <x:v>NOT_REVEALING</x:v>
      </x:c>
      <x:c r="Q365" s="34" t="str">
        <x:v>Feedback-Directed Random Test Generation/Result/Gson_16/result.json</x:v>
      </x:c>
    </x:row>
    <x:row r="366">
      <x:c r="A366" s="34" t="str">
        <x:v>randoop</x:v>
      </x:c>
      <x:c r="B366" s="34" t="str">
        <x:v>Gson</x:v>
      </x:c>
      <x:c r="C366" s="34" t="str">
        <x:v>Round1</x:v>
      </x:c>
      <x:c r="D366" s="34" t="str">
        <x:v>Gson_17</x:v>
      </x:c>
      <x:c r="E366" s="34" t="str">
        <x:v>Coverage</x:v>
      </x:c>
      <x:c r="F366" s="34" t="n">
        <x:v>71</x:v>
      </x:c>
      <x:c r="G366" s="34" t="str">
        <x:v>RECORDED</x:v>
      </x:c>
      <x:c r="H366" s="38" t="n">
        <x:f>IF(ISNUMBER('Data'!G366),'Data'!G366*100,"")</x:f>
        <x:v>32.39</x:v>
      </x:c>
      <x:c r="I366" s="34" t="str">
        <x:v>PASS</x:v>
      </x:c>
      <x:c r="J366" s="34" t="str">
        <x:v>PASS</x:v>
      </x:c>
      <x:c r="K366" s="34" t="str">
        <x:v>PASS</x:v>
      </x:c>
      <x:c r="L366" s="34" t="str">
        <x:v>PASS</x:v>
      </x:c>
      <x:c r="M366" s="34" t="str">
        <x:v>numeric coverage for applicable metric</x:v>
      </x:c>
      <x:c r="N366" s="34" t="str">
        <x:v>Feedback-Directed Random Test Generation/Result/Gson_17/result.json</x:v>
      </x:c>
      <x:c r="O366" s="38" t="n">
        <x:f>IF(AND(G366="RECORDED",ISNUMBER(H366)),H366,"")</x:f>
        <x:v>32.39</x:v>
      </x:c>
      <x:c r="P366" s="34" t="str">
        <x:v>INCONCLUSIVE</x:v>
      </x:c>
      <x:c r="Q366" s="34" t="str">
        <x:v>Feedback-Directed Random Test Generation/Result/Gson_17/result.json</x:v>
      </x:c>
    </x:row>
    <x:row r="367">
      <x:c r="A367" s="34" t="str">
        <x:v>randoop</x:v>
      </x:c>
      <x:c r="B367" s="34" t="str">
        <x:v>Gson</x:v>
      </x:c>
      <x:c r="C367" s="34" t="str">
        <x:v>Round1</x:v>
      </x:c>
      <x:c r="D367" s="34" t="str">
        <x:v>Gson_18</x:v>
      </x:c>
      <x:c r="E367" s="34" t="str">
        <x:v>Coverage</x:v>
      </x:c>
      <x:c r="F367" s="34" t="n">
        <x:v>447</x:v>
      </x:c>
      <x:c r="G367" s="34" t="str">
        <x:v>RECORDED</x:v>
      </x:c>
      <x:c r="H367" s="38" t="n">
        <x:f>IF(ISNUMBER('Data'!G367),'Data'!G367*100,"")</x:f>
        <x:v>0.22</x:v>
      </x:c>
      <x:c r="I367" s="34" t="str">
        <x:v>PASS</x:v>
      </x:c>
      <x:c r="J367" s="34" t="str">
        <x:v>PASS</x:v>
      </x:c>
      <x:c r="K367" s="34" t="str">
        <x:v>PASS</x:v>
      </x:c>
      <x:c r="L367" s="34" t="str">
        <x:v>PASS</x:v>
      </x:c>
      <x:c r="M367" s="34" t="str">
        <x:v>numeric coverage for applicable metric</x:v>
      </x:c>
      <x:c r="N367" s="34" t="str">
        <x:v>Feedback-Directed Random Test Generation/Result/Gson_18/result.json</x:v>
      </x:c>
      <x:c r="O367" s="38" t="n">
        <x:f>IF(AND(G367="RECORDED",ISNUMBER(H367)),H367,"")</x:f>
        <x:v>0.22</x:v>
      </x:c>
      <x:c r="P367" s="34" t="str">
        <x:v>NOT_REVEALING</x:v>
      </x:c>
      <x:c r="Q367" s="34" t="str">
        <x:v>Feedback-Directed Random Test Generation/Result/Gson_18/result.json</x:v>
      </x:c>
    </x:row>
    <x:row r="368">
      <x:c r="A368" s="34" t="str">
        <x:v>randoop</x:v>
      </x:c>
      <x:c r="B368" s="34" t="str">
        <x:v>JacksonCore</x:v>
      </x:c>
      <x:c r="C368" s="34" t="str">
        <x:v>Round1</x:v>
      </x:c>
      <x:c r="D368" s="34" t="str">
        <x:v>JacksonCore_1</x:v>
      </x:c>
      <x:c r="E368" s="34" t="str">
        <x:v>Coverage</x:v>
      </x:c>
      <x:c r="F368" s="34" t="n">
        <x:v>636</x:v>
      </x:c>
      <x:c r="G368" s="34" t="str">
        <x:v>RECORDED</x:v>
      </x:c>
      <x:c r="H368" s="38" t="n">
        <x:f>IF(ISNUMBER('Data'!G368),'Data'!G368*100,"")</x:f>
        <x:v>40.09</x:v>
      </x:c>
      <x:c r="I368" s="34" t="str">
        <x:v>PASS</x:v>
      </x:c>
      <x:c r="J368" s="34" t="str">
        <x:v>PASS</x:v>
      </x:c>
      <x:c r="K368" s="34" t="str">
        <x:v>PASS</x:v>
      </x:c>
      <x:c r="L368" s="34" t="str">
        <x:v>PASS</x:v>
      </x:c>
      <x:c r="M368" s="34" t="str">
        <x:v>numeric coverage for applicable metric</x:v>
      </x:c>
      <x:c r="N368" s="34" t="str">
        <x:v>Feedback-Directed Random Test Generation/Result/JacksonCore_1/result.json</x:v>
      </x:c>
      <x:c r="O368" s="38" t="n">
        <x:f>IF(AND(G368="RECORDED",ISNUMBER(H368)),H368,"")</x:f>
        <x:v>40.09</x:v>
      </x:c>
      <x:c r="P368" s="34" t="str">
        <x:v>INCONCLUSIVE</x:v>
      </x:c>
      <x:c r="Q368" s="34" t="str">
        <x:v>Feedback-Directed Random Test Generation/Result/JacksonCore_1/result.json</x:v>
      </x:c>
    </x:row>
    <x:row r="369">
      <x:c r="A369" s="34" t="str">
        <x:v>randoop</x:v>
      </x:c>
      <x:c r="B369" s="34" t="str">
        <x:v>JacksonCore</x:v>
      </x:c>
      <x:c r="C369" s="34" t="str">
        <x:v>Round1</x:v>
      </x:c>
      <x:c r="D369" s="34" t="str">
        <x:v>JacksonCore_2</x:v>
      </x:c>
      <x:c r="E369" s="34" t="str">
        <x:v>Coverage</x:v>
      </x:c>
      <x:c r="F369" s="34" t="n">
        <x:v>4161</x:v>
      </x:c>
      <x:c r="G369" s="34" t="str">
        <x:v>RECORDED</x:v>
      </x:c>
      <x:c r="H369" s="38" t="n">
        <x:f>IF(ISNUMBER('Data'!G369),'Data'!G369*100,"")</x:f>
        <x:v>0.24</x:v>
      </x:c>
      <x:c r="I369" s="34" t="str">
        <x:v>PASS</x:v>
      </x:c>
      <x:c r="J369" s="34" t="str">
        <x:v>PASS</x:v>
      </x:c>
      <x:c r="K369" s="34" t="str">
        <x:v>PASS</x:v>
      </x:c>
      <x:c r="L369" s="34" t="str">
        <x:v>PASS</x:v>
      </x:c>
      <x:c r="M369" s="34" t="str">
        <x:v>numeric coverage for applicable metric</x:v>
      </x:c>
      <x:c r="N369" s="34" t="str">
        <x:v>Feedback-Directed Random Test Generation/Result/JacksonCore_2/result.json</x:v>
      </x:c>
      <x:c r="O369" s="38" t="n">
        <x:f>IF(AND(G369="RECORDED",ISNUMBER(H369)),H369,"")</x:f>
        <x:v>0.24</x:v>
      </x:c>
      <x:c r="P369" s="34" t="str">
        <x:v>NOT_REVEALING</x:v>
      </x:c>
      <x:c r="Q369" s="34" t="str">
        <x:v>Feedback-Directed Random Test Generation/Result/JacksonCore_2/result.json</x:v>
      </x:c>
    </x:row>
    <x:row r="370">
      <x:c r="A370" s="34" t="str">
        <x:v>randoop</x:v>
      </x:c>
      <x:c r="B370" s="34" t="str">
        <x:v>JacksonCore</x:v>
      </x:c>
      <x:c r="C370" s="34" t="str">
        <x:v>Round1</x:v>
      </x:c>
      <x:c r="D370" s="34" t="str">
        <x:v>JacksonCore_3</x:v>
      </x:c>
      <x:c r="E370" s="34" t="str">
        <x:v>Coverage</x:v>
      </x:c>
      <x:c r="F370" s="34" t="n">
        <x:v>2554</x:v>
      </x:c>
      <x:c r="G370" s="34" t="str">
        <x:v>RECORDED</x:v>
      </x:c>
      <x:c r="H370" s="38" t="n">
        <x:f>IF(ISNUMBER('Data'!G370),'Data'!G370*100,"")</x:f>
        <x:v>0.35</x:v>
      </x:c>
      <x:c r="I370" s="34" t="str">
        <x:v>PASS</x:v>
      </x:c>
      <x:c r="J370" s="34" t="str">
        <x:v>PASS</x:v>
      </x:c>
      <x:c r="K370" s="34" t="str">
        <x:v>PASS</x:v>
      </x:c>
      <x:c r="L370" s="34" t="str">
        <x:v>PASS</x:v>
      </x:c>
      <x:c r="M370" s="34" t="str">
        <x:v>numeric coverage for applicable metric</x:v>
      </x:c>
      <x:c r="N370" s="34" t="str">
        <x:v>Feedback-Directed Random Test Generation/Result/JacksonCore_3/result.json</x:v>
      </x:c>
      <x:c r="O370" s="38" t="n">
        <x:f>IF(AND(G370="RECORDED",ISNUMBER(H370)),H370,"")</x:f>
        <x:v>0.35</x:v>
      </x:c>
      <x:c r="P370" s="34" t="str">
        <x:v>NOT_REVEALING</x:v>
      </x:c>
      <x:c r="Q370" s="34" t="str">
        <x:v>Feedback-Directed Random Test Generation/Result/JacksonCore_3/result.json</x:v>
      </x:c>
    </x:row>
    <x:row r="371">
      <x:c r="A371" s="34" t="str">
        <x:v>randoop</x:v>
      </x:c>
      <x:c r="B371" s="34" t="str">
        <x:v>JacksonCore</x:v>
      </x:c>
      <x:c r="C371" s="34" t="str">
        <x:v>Round1</x:v>
      </x:c>
      <x:c r="D371" s="34" t="str">
        <x:v>JacksonCore_4</x:v>
      </x:c>
      <x:c r="E371" s="34" t="str">
        <x:v>Coverage</x:v>
      </x:c>
      <x:c r="F371" s="34" t="n">
        <x:v>396</x:v>
      </x:c>
      <x:c r="G371" s="34" t="str">
        <x:v>RECORDED</x:v>
      </x:c>
      <x:c r="H371" s="38" t="n">
        <x:f>IF(ISNUMBER('Data'!G371),'Data'!G371*100,"")</x:f>
        <x:v>48.23</x:v>
      </x:c>
      <x:c r="I371" s="34" t="str">
        <x:v>PASS</x:v>
      </x:c>
      <x:c r="J371" s="34" t="str">
        <x:v>PASS</x:v>
      </x:c>
      <x:c r="K371" s="34" t="str">
        <x:v>PASS</x:v>
      </x:c>
      <x:c r="L371" s="34" t="str">
        <x:v>PASS</x:v>
      </x:c>
      <x:c r="M371" s="34" t="str">
        <x:v>numeric coverage for applicable metric</x:v>
      </x:c>
      <x:c r="N371" s="34" t="str">
        <x:v>Feedback-Directed Random Test Generation/Result/JacksonCore_4/result.json</x:v>
      </x:c>
      <x:c r="O371" s="38" t="n">
        <x:f>IF(AND(G371="RECORDED",ISNUMBER(H371)),H371,"")</x:f>
        <x:v>48.23</x:v>
      </x:c>
      <x:c r="P371" s="34" t="str">
        <x:v>NOT_REVEALING</x:v>
      </x:c>
      <x:c r="Q371" s="34" t="str">
        <x:v>Feedback-Directed Random Test Generation/Result/JacksonCore_4/result.json</x:v>
      </x:c>
    </x:row>
    <x:row r="372">
      <x:c r="A372" s="34" t="str">
        <x:v>randoop</x:v>
      </x:c>
      <x:c r="B372" s="34" t="str">
        <x:v>JacksonCore</x:v>
      </x:c>
      <x:c r="C372" s="34" t="str">
        <x:v>Round1</x:v>
      </x:c>
      <x:c r="D372" s="34" t="str">
        <x:v>JacksonCore_5</x:v>
      </x:c>
      <x:c r="E372" s="34" t="str">
        <x:v>Coverage</x:v>
      </x:c>
      <x:c r="F372" s="34" t="n">
        <x:v>146</x:v>
      </x:c>
      <x:c r="G372" s="34" t="str">
        <x:v>RECORDED</x:v>
      </x:c>
      <x:c r="H372" s="38" t="n">
        <x:f>IF(ISNUMBER('Data'!G372),'Data'!G372*100,"")</x:f>
        <x:v>56.16</x:v>
      </x:c>
      <x:c r="I372" s="34" t="str">
        <x:v>PASS</x:v>
      </x:c>
      <x:c r="J372" s="34" t="str">
        <x:v>PASS</x:v>
      </x:c>
      <x:c r="K372" s="34" t="str">
        <x:v>PASS</x:v>
      </x:c>
      <x:c r="L372" s="34" t="str">
        <x:v>PASS</x:v>
      </x:c>
      <x:c r="M372" s="34" t="str">
        <x:v>numeric coverage for applicable metric</x:v>
      </x:c>
      <x:c r="N372" s="34" t="str">
        <x:v>Feedback-Directed Random Test Generation/Result/JacksonCore_5/result.json</x:v>
      </x:c>
      <x:c r="O372" s="38" t="n">
        <x:f>IF(AND(G372="RECORDED",ISNUMBER(H372)),H372,"")</x:f>
        <x:v>56.16</x:v>
      </x:c>
      <x:c r="P372" s="34" t="str">
        <x:v>NOT_REVEALING</x:v>
      </x:c>
      <x:c r="Q372" s="34" t="str">
        <x:v>Feedback-Directed Random Test Generation/Result/JacksonCore_5/result.json</x:v>
      </x:c>
    </x:row>
    <x:row r="373">
      <x:c r="A373" s="34" t="str">
        <x:v>randoop</x:v>
      </x:c>
      <x:c r="B373" s="34" t="str">
        <x:v>JacksonCore</x:v>
      </x:c>
      <x:c r="C373" s="34" t="str">
        <x:v>Round1</x:v>
      </x:c>
      <x:c r="D373" s="34" t="str">
        <x:v>JacksonCore_6</x:v>
      </x:c>
      <x:c r="E373" s="34" t="str">
        <x:v>Coverage</x:v>
      </x:c>
      <x:c r="F373" s="34" t="n">
        <x:v>146</x:v>
      </x:c>
      <x:c r="G373" s="34" t="str">
        <x:v>RECORDED</x:v>
      </x:c>
      <x:c r="H373" s="38" t="n">
        <x:f>IF(ISNUMBER('Data'!G373),'Data'!G373*100,"")</x:f>
        <x:v>56.16</x:v>
      </x:c>
      <x:c r="I373" s="34" t="str">
        <x:v>PASS</x:v>
      </x:c>
      <x:c r="J373" s="34" t="str">
        <x:v>PASS</x:v>
      </x:c>
      <x:c r="K373" s="34" t="str">
        <x:v>PASS</x:v>
      </x:c>
      <x:c r="L373" s="34" t="str">
        <x:v>PASS</x:v>
      </x:c>
      <x:c r="M373" s="34" t="str">
        <x:v>numeric coverage for applicable metric</x:v>
      </x:c>
      <x:c r="N373" s="34" t="str">
        <x:v>Feedback-Directed Random Test Generation/Result/JacksonCore_6/result.json</x:v>
      </x:c>
      <x:c r="O373" s="38" t="n">
        <x:f>IF(AND(G373="RECORDED",ISNUMBER(H373)),H373,"")</x:f>
        <x:v>56.16</x:v>
      </x:c>
      <x:c r="P373" s="34" t="str">
        <x:v>NOT_REVEALING</x:v>
      </x:c>
      <x:c r="Q373" s="34" t="str">
        <x:v>Feedback-Directed Random Test Generation/Result/JacksonCore_6/result.json</x:v>
      </x:c>
    </x:row>
    <x:row r="374">
      <x:c r="A374" s="34" t="str">
        <x:v>randoop</x:v>
      </x:c>
      <x:c r="B374" s="34" t="str">
        <x:v>JacksonCore</x:v>
      </x:c>
      <x:c r="C374" s="34" t="str">
        <x:v>Round1</x:v>
      </x:c>
      <x:c r="D374" s="34" t="str">
        <x:v>JacksonCore_7</x:v>
      </x:c>
      <x:c r="E374" s="34" t="str">
        <x:v>Coverage</x:v>
      </x:c>
      <x:c r="F374" s="34" t="n">
        <x:v>102</x:v>
      </x:c>
      <x:c r="G374" s="34" t="str">
        <x:v>RECORDED</x:v>
      </x:c>
      <x:c r="H374" s="38" t="n">
        <x:f>IF(ISNUMBER('Data'!G374),'Data'!G374*100,"")</x:f>
        <x:v>28.43</x:v>
      </x:c>
      <x:c r="I374" s="34" t="str">
        <x:v>PASS</x:v>
      </x:c>
      <x:c r="J374" s="34" t="str">
        <x:v>PASS</x:v>
      </x:c>
      <x:c r="K374" s="34" t="str">
        <x:v>PASS</x:v>
      </x:c>
      <x:c r="L374" s="34" t="str">
        <x:v>PASS</x:v>
      </x:c>
      <x:c r="M374" s="34" t="str">
        <x:v>numeric coverage for applicable metric</x:v>
      </x:c>
      <x:c r="N374" s="34" t="str">
        <x:v>Feedback-Directed Random Test Generation/Result/JacksonCore_7/result.json</x:v>
      </x:c>
      <x:c r="O374" s="38" t="n">
        <x:f>IF(AND(G374="RECORDED",ISNUMBER(H374)),H374,"")</x:f>
        <x:v>28.43</x:v>
      </x:c>
      <x:c r="P374" s="34" t="str">
        <x:v>NOT_REVEALING</x:v>
      </x:c>
      <x:c r="Q374" s="34" t="str">
        <x:v>Feedback-Directed Random Test Generation/Result/JacksonCore_7/result.json</x:v>
      </x:c>
    </x:row>
    <x:row r="375">
      <x:c r="A375" s="34" t="str">
        <x:v>randoop</x:v>
      </x:c>
      <x:c r="B375" s="34" t="str">
        <x:v>JacksonCore</x:v>
      </x:c>
      <x:c r="C375" s="34" t="str">
        <x:v>Round1</x:v>
      </x:c>
      <x:c r="D375" s="34" t="str">
        <x:v>JacksonCore_8</x:v>
      </x:c>
      <x:c r="E375" s="34" t="str">
        <x:v>Coverage</x:v>
      </x:c>
      <x:c r="F375" s="34" t="n">
        <x:v>409</x:v>
      </x:c>
      <x:c r="G375" s="34" t="str">
        <x:v>RECORDED</x:v>
      </x:c>
      <x:c r="H375" s="38" t="n">
        <x:f>IF(ISNUMBER('Data'!G375),'Data'!G375*100,"")</x:f>
        <x:v>45.72</x:v>
      </x:c>
      <x:c r="I375" s="34" t="str">
        <x:v>PASS</x:v>
      </x:c>
      <x:c r="J375" s="34" t="str">
        <x:v>PASS</x:v>
      </x:c>
      <x:c r="K375" s="34" t="str">
        <x:v>PASS</x:v>
      </x:c>
      <x:c r="L375" s="34" t="str">
        <x:v>FAIL</x:v>
      </x:c>
      <x:c r="M375" s="34" t="str">
        <x:v>numeric coverage for applicable metric</x:v>
      </x:c>
      <x:c r="N375" s="34" t="str">
        <x:v>Feedback-Directed Random Test Generation/Result/JacksonCore_8/result.json</x:v>
      </x:c>
      <x:c r="O375" s="38" t="n">
        <x:f>IF(AND(G375="RECORDED",ISNUMBER(H375)),H375,"")</x:f>
        <x:v>45.72</x:v>
      </x:c>
      <x:c r="P375" s="34" t="str">
        <x:v>INCONCLUSIVE</x:v>
      </x:c>
      <x:c r="Q375" s="34" t="str">
        <x:v>Feedback-Directed Random Test Generation/Result/JacksonCore_8/result.json</x:v>
      </x:c>
    </x:row>
    <x:row r="376">
      <x:c r="A376" s="34" t="str">
        <x:v>randoop</x:v>
      </x:c>
      <x:c r="B376" s="34" t="str">
        <x:v>JacksonCore</x:v>
      </x:c>
      <x:c r="C376" s="34" t="str">
        <x:v>Round1</x:v>
      </x:c>
      <x:c r="D376" s="34" t="str">
        <x:v>JacksonCore_9</x:v>
      </x:c>
      <x:c r="E376" s="34" t="str">
        <x:v>Coverage</x:v>
      </x:c>
      <x:c r="F376" s="34" t="n">
        <x:v>5373</x:v>
      </x:c>
      <x:c r="G376" s="34" t="str">
        <x:v>RECORDED</x:v>
      </x:c>
      <x:c r="H376" s="38" t="n">
        <x:f>IF(ISNUMBER('Data'!G376),'Data'!G376*100,"")</x:f>
        <x:v>0.19</x:v>
      </x:c>
      <x:c r="I376" s="34" t="str">
        <x:v>PASS</x:v>
      </x:c>
      <x:c r="J376" s="34" t="str">
        <x:v>PASS</x:v>
      </x:c>
      <x:c r="K376" s="34" t="str">
        <x:v>PASS</x:v>
      </x:c>
      <x:c r="L376" s="34" t="str">
        <x:v>PASS</x:v>
      </x:c>
      <x:c r="M376" s="34" t="str">
        <x:v>numeric coverage for applicable metric</x:v>
      </x:c>
      <x:c r="N376" s="34" t="str">
        <x:v>Feedback-Directed Random Test Generation/Result/JacksonCore_9/result.json</x:v>
      </x:c>
      <x:c r="O376" s="38" t="n">
        <x:f>IF(AND(G376="RECORDED",ISNUMBER(H376)),H376,"")</x:f>
        <x:v>0.19</x:v>
      </x:c>
      <x:c r="P376" s="34" t="str">
        <x:v>NOT_REVEALING</x:v>
      </x:c>
      <x:c r="Q376" s="34" t="str">
        <x:v>Feedback-Directed Random Test Generation/Result/JacksonCore_9/result.json</x:v>
      </x:c>
    </x:row>
    <x:row r="377">
      <x:c r="A377" s="34" t="str">
        <x:v>randoop</x:v>
      </x:c>
      <x:c r="B377" s="34" t="str">
        <x:v>JacksonCore</x:v>
      </x:c>
      <x:c r="C377" s="34" t="str">
        <x:v>Round1</x:v>
      </x:c>
      <x:c r="D377" s="34" t="str">
        <x:v>JacksonCore_10</x:v>
      </x:c>
      <x:c r="E377" s="34" t="str">
        <x:v>Coverage</x:v>
      </x:c>
      <x:c r="F377" s="34" t="n">
        <x:v>731</x:v>
      </x:c>
      <x:c r="G377" s="34" t="str">
        <x:v>RECORDED</x:v>
      </x:c>
      <x:c r="H377" s="38" t="n">
        <x:f>IF(ISNUMBER('Data'!G377),'Data'!G377*100,"")</x:f>
        <x:v>25.17</x:v>
      </x:c>
      <x:c r="I377" s="34" t="str">
        <x:v>PASS</x:v>
      </x:c>
      <x:c r="J377" s="34" t="str">
        <x:v>PASS</x:v>
      </x:c>
      <x:c r="K377" s="34" t="str">
        <x:v>PASS</x:v>
      </x:c>
      <x:c r="L377" s="34" t="str">
        <x:v>FAIL</x:v>
      </x:c>
      <x:c r="M377" s="34" t="str">
        <x:v>numeric coverage for applicable metric</x:v>
      </x:c>
      <x:c r="N377" s="34" t="str">
        <x:v>Feedback-Directed Random Test Generation/Result/JacksonCore_10/result.json</x:v>
      </x:c>
      <x:c r="O377" s="38" t="n">
        <x:f>IF(AND(G377="RECORDED",ISNUMBER(H377)),H377,"")</x:f>
        <x:v>25.17</x:v>
      </x:c>
      <x:c r="P377" s="34" t="str">
        <x:v>INCONCLUSIVE</x:v>
      </x:c>
      <x:c r="Q377" s="34" t="str">
        <x:v>Feedback-Directed Random Test Generation/Result/JacksonCore_10/result.json</x:v>
      </x:c>
    </x:row>
    <x:row r="378">
      <x:c r="A378" s="34" t="str">
        <x:v>randoop</x:v>
      </x:c>
      <x:c r="B378" s="34" t="str">
        <x:v>JacksonCore</x:v>
      </x:c>
      <x:c r="C378" s="34" t="str">
        <x:v>Round1</x:v>
      </x:c>
      <x:c r="D378" s="34" t="str">
        <x:v>JacksonCore_11</x:v>
      </x:c>
      <x:c r="E378" s="34" t="str">
        <x:v>Coverage</x:v>
      </x:c>
      <x:c r="F378" s="34" t="n">
        <x:v>736</x:v>
      </x:c>
      <x:c r="G378" s="34" t="str">
        <x:v>RECORDED</x:v>
      </x:c>
      <x:c r="H378" s="38" t="n">
        <x:f>IF(ISNUMBER('Data'!G378),'Data'!G378*100,"")</x:f>
        <x:v>25.14</x:v>
      </x:c>
      <x:c r="I378" s="34" t="str">
        <x:v>PASS</x:v>
      </x:c>
      <x:c r="J378" s="34" t="str">
        <x:v>PASS</x:v>
      </x:c>
      <x:c r="K378" s="34" t="str">
        <x:v>PASS</x:v>
      </x:c>
      <x:c r="L378" s="34" t="str">
        <x:v>FAIL</x:v>
      </x:c>
      <x:c r="M378" s="34" t="str">
        <x:v>numeric coverage for applicable metric</x:v>
      </x:c>
      <x:c r="N378" s="34" t="str">
        <x:v>Feedback-Directed Random Test Generation/Result/JacksonCore_11/result.json</x:v>
      </x:c>
      <x:c r="O378" s="38" t="n">
        <x:f>IF(AND(G378="RECORDED",ISNUMBER(H378)),H378,"")</x:f>
        <x:v>25.14</x:v>
      </x:c>
      <x:c r="P378" s="34" t="str">
        <x:v>INCONCLUSIVE</x:v>
      </x:c>
      <x:c r="Q378" s="34" t="str">
        <x:v>Feedback-Directed Random Test Generation/Result/JacksonCore_11/result.json</x:v>
      </x:c>
    </x:row>
    <x:row r="379">
      <x:c r="A379" s="34" t="str">
        <x:v>randoop</x:v>
      </x:c>
      <x:c r="B379" s="34" t="str">
        <x:v>JacksonCore</x:v>
      </x:c>
      <x:c r="C379" s="34" t="str">
        <x:v>Round1</x:v>
      </x:c>
      <x:c r="D379" s="34" t="str">
        <x:v>JacksonCore_12</x:v>
      </x:c>
      <x:c r="E379" s="34" t="str">
        <x:v>Coverage</x:v>
      </x:c>
      <x:c r="F379" s="34" t="n">
        <x:v>5445</x:v>
      </x:c>
      <x:c r="G379" s="34" t="str">
        <x:v>RECORDED</x:v>
      </x:c>
      <x:c r="H379" s="38" t="n">
        <x:f>IF(ISNUMBER('Data'!G379),'Data'!G379*100,"")</x:f>
        <x:v>0.2</x:v>
      </x:c>
      <x:c r="I379" s="34" t="str">
        <x:v>PASS</x:v>
      </x:c>
      <x:c r="J379" s="34" t="str">
        <x:v>PASS</x:v>
      </x:c>
      <x:c r="K379" s="34" t="str">
        <x:v>PASS</x:v>
      </x:c>
      <x:c r="L379" s="34" t="str">
        <x:v>PASS</x:v>
      </x:c>
      <x:c r="M379" s="34" t="str">
        <x:v>numeric coverage for applicable metric</x:v>
      </x:c>
      <x:c r="N379" s="34" t="str">
        <x:v>Feedback-Directed Random Test Generation/Result/JacksonCore_12/result.json</x:v>
      </x:c>
      <x:c r="O379" s="38" t="n">
        <x:f>IF(AND(G379="RECORDED",ISNUMBER(H379)),H379,"")</x:f>
        <x:v>0.2</x:v>
      </x:c>
      <x:c r="P379" s="34" t="str">
        <x:v>NOT_REVEALING</x:v>
      </x:c>
      <x:c r="Q379" s="34" t="str">
        <x:v>Feedback-Directed Random Test Generation/Result/JacksonCore_12/result.json</x:v>
      </x:c>
    </x:row>
    <x:row r="380">
      <x:c r="A380" s="34" t="str">
        <x:v>randoop</x:v>
      </x:c>
      <x:c r="B380" s="34" t="str">
        <x:v>JacksonCore</x:v>
      </x:c>
      <x:c r="C380" s="34" t="str">
        <x:v>Round1</x:v>
      </x:c>
      <x:c r="D380" s="34" t="str">
        <x:v>JacksonCore_13</x:v>
      </x:c>
      <x:c r="E380" s="34" t="str">
        <x:v>Coverage</x:v>
      </x:c>
      <x:c r="F380" s="34" t="n">
        <x:v>43</x:v>
      </x:c>
      <x:c r="G380" s="34" t="str">
        <x:v>RECORDED</x:v>
      </x:c>
      <x:c r="H380" s="38" t="n">
        <x:f>IF(ISNUMBER('Data'!G380),'Data'!G380*100,"")</x:f>
        <x:v>2.33</x:v>
      </x:c>
      <x:c r="I380" s="34" t="str">
        <x:v>PASS</x:v>
      </x:c>
      <x:c r="J380" s="34" t="str">
        <x:v>PASS</x:v>
      </x:c>
      <x:c r="K380" s="34" t="str">
        <x:v>PASS</x:v>
      </x:c>
      <x:c r="L380" s="34" t="str">
        <x:v>PASS</x:v>
      </x:c>
      <x:c r="M380" s="34" t="str">
        <x:v>numeric coverage for applicable metric</x:v>
      </x:c>
      <x:c r="N380" s="34" t="str">
        <x:v>Feedback-Directed Random Test Generation/Result/JacksonCore_13/result.json</x:v>
      </x:c>
      <x:c r="O380" s="38" t="n">
        <x:f>IF(AND(G380="RECORDED",ISNUMBER(H380)),H380,"")</x:f>
        <x:v>2.33</x:v>
      </x:c>
      <x:c r="P380" s="34" t="str">
        <x:v>NOT_REVEALING</x:v>
      </x:c>
      <x:c r="Q380" s="34" t="str">
        <x:v>Feedback-Directed Random Test Generation/Result/JacksonCore_13/result.json</x:v>
      </x:c>
    </x:row>
    <x:row r="381">
      <x:c r="A381" s="34" t="str">
        <x:v>randoop</x:v>
      </x:c>
      <x:c r="B381" s="34" t="str">
        <x:v>JacksonCore</x:v>
      </x:c>
      <x:c r="C381" s="34" t="str">
        <x:v>Round1</x:v>
      </x:c>
      <x:c r="D381" s="34" t="str">
        <x:v>JacksonCore_14</x:v>
      </x:c>
      <x:c r="E381" s="34" t="str">
        <x:v>Coverage</x:v>
      </x:c>
      <x:c r="F381" s="34" t="n">
        <x:v>90</x:v>
      </x:c>
      <x:c r="G381" s="34" t="str">
        <x:v>RECORDED</x:v>
      </x:c>
      <x:c r="H381" s="38" t="n">
        <x:f>IF(ISNUMBER('Data'!G381),'Data'!G381*100,"")</x:f>
        <x:v>52.22</x:v>
      </x:c>
      <x:c r="I381" s="34" t="str">
        <x:v>PASS</x:v>
      </x:c>
      <x:c r="J381" s="34" t="str">
        <x:v>PASS</x:v>
      </x:c>
      <x:c r="K381" s="34" t="str">
        <x:v>PASS</x:v>
      </x:c>
      <x:c r="L381" s="34" t="str">
        <x:v>PASS</x:v>
      </x:c>
      <x:c r="M381" s="34" t="str">
        <x:v>numeric coverage for applicable metric</x:v>
      </x:c>
      <x:c r="N381" s="34" t="str">
        <x:v>Feedback-Directed Random Test Generation/Result/JacksonCore_14/result.json</x:v>
      </x:c>
      <x:c r="O381" s="38" t="n">
        <x:f>IF(AND(G381="RECORDED",ISNUMBER(H381)),H381,"")</x:f>
        <x:v>52.22</x:v>
      </x:c>
      <x:c r="P381" s="34" t="str">
        <x:v>NOT_REVEALING</x:v>
      </x:c>
      <x:c r="Q381" s="34" t="str">
        <x:v>Feedback-Directed Random Test Generation/Result/JacksonCore_14/result.json</x:v>
      </x:c>
    </x:row>
    <x:row r="382">
      <x:c r="A382" s="34" t="str">
        <x:v>randoop</x:v>
      </x:c>
      <x:c r="B382" s="34" t="str">
        <x:v>JacksonCore</x:v>
      </x:c>
      <x:c r="C382" s="34" t="str">
        <x:v>Round1</x:v>
      </x:c>
      <x:c r="D382" s="34" t="str">
        <x:v>JacksonCore_15</x:v>
      </x:c>
      <x:c r="E382" s="34" t="str">
        <x:v>Coverage</x:v>
      </x:c>
      <x:c r="F382" s="34" t="n">
        <x:v>624</x:v>
      </x:c>
      <x:c r="G382" s="34" t="str">
        <x:v>RECORDED</x:v>
      </x:c>
      <x:c r="H382" s="38" t="n">
        <x:f>IF(ISNUMBER('Data'!G382),'Data'!G382*100,"")</x:f>
        <x:v>4.97</x:v>
      </x:c>
      <x:c r="I382" s="34" t="str">
        <x:v>PASS</x:v>
      </x:c>
      <x:c r="J382" s="34" t="str">
        <x:v>PASS</x:v>
      </x:c>
      <x:c r="K382" s="34" t="str">
        <x:v>PASS</x:v>
      </x:c>
      <x:c r="L382" s="34" t="str">
        <x:v>PASS</x:v>
      </x:c>
      <x:c r="M382" s="34" t="str">
        <x:v>numeric coverage for applicable metric</x:v>
      </x:c>
      <x:c r="N382" s="34" t="str">
        <x:v>Feedback-Directed Random Test Generation/Result/JacksonCore_15/result.json</x:v>
      </x:c>
      <x:c r="O382" s="38" t="n">
        <x:f>IF(AND(G382="RECORDED",ISNUMBER(H382)),H382,"")</x:f>
        <x:v>4.97</x:v>
      </x:c>
      <x:c r="P382" s="34" t="str">
        <x:v>NOT_REVEALING</x:v>
      </x:c>
      <x:c r="Q382" s="34" t="str">
        <x:v>Feedback-Directed Random Test Generation/Result/JacksonCore_15/result.json</x:v>
      </x:c>
    </x:row>
    <x:row r="383">
      <x:c r="A383" s="34" t="str">
        <x:v>randoop</x:v>
      </x:c>
      <x:c r="B383" s="34" t="str">
        <x:v>JacksonCore</x:v>
      </x:c>
      <x:c r="C383" s="34" t="str">
        <x:v>Round1</x:v>
      </x:c>
      <x:c r="D383" s="34" t="str">
        <x:v>JacksonCore_16</x:v>
      </x:c>
      <x:c r="E383" s="34" t="str">
        <x:v>Coverage</x:v>
      </x:c>
      <x:c r="F383" s="34" t="n">
        <x:v>55</x:v>
      </x:c>
      <x:c r="G383" s="34" t="str">
        <x:v>RECORDED</x:v>
      </x:c>
      <x:c r="H383" s="38" t="n">
        <x:f>IF(ISNUMBER('Data'!G383),'Data'!G383*100,"")</x:f>
        <x:v>25.45</x:v>
      </x:c>
      <x:c r="I383" s="34" t="str">
        <x:v>PASS</x:v>
      </x:c>
      <x:c r="J383" s="34" t="str">
        <x:v>PASS</x:v>
      </x:c>
      <x:c r="K383" s="34" t="str">
        <x:v>PASS</x:v>
      </x:c>
      <x:c r="L383" s="34" t="str">
        <x:v>PASS</x:v>
      </x:c>
      <x:c r="M383" s="34" t="str">
        <x:v>numeric coverage for applicable metric</x:v>
      </x:c>
      <x:c r="N383" s="34" t="str">
        <x:v>Feedback-Directed Random Test Generation/Result/JacksonCore_16/result.json</x:v>
      </x:c>
      <x:c r="O383" s="38" t="n">
        <x:f>IF(AND(G383="RECORDED",ISNUMBER(H383)),H383,"")</x:f>
        <x:v>25.45</x:v>
      </x:c>
      <x:c r="P383" s="34" t="str">
        <x:v>INCONCLUSIVE</x:v>
      </x:c>
      <x:c r="Q383" s="34" t="str">
        <x:v>Feedback-Directed Random Test Generation/Result/JacksonCore_16/result.json</x:v>
      </x:c>
    </x:row>
    <x:row r="384">
      <x:c r="A384" s="34" t="str">
        <x:v>randoop</x:v>
      </x:c>
      <x:c r="B384" s="34" t="str">
        <x:v>JacksonCore</x:v>
      </x:c>
      <x:c r="C384" s="34" t="str">
        <x:v>Round1</x:v>
      </x:c>
      <x:c r="D384" s="34" t="str">
        <x:v>JacksonCore_17</x:v>
      </x:c>
      <x:c r="E384" s="34" t="str">
        <x:v>Coverage</x:v>
      </x:c>
      <x:c r="F384" s="34" t="n">
        <x:v>1514</x:v>
      </x:c>
      <x:c r="G384" s="34" t="str">
        <x:v>RECORDED</x:v>
      </x:c>
      <x:c r="H384" s="38" t="n">
        <x:f>IF(ISNUMBER('Data'!G384),'Data'!G384*100,"")</x:f>
        <x:v>1.06</x:v>
      </x:c>
      <x:c r="I384" s="34" t="str">
        <x:v>PASS</x:v>
      </x:c>
      <x:c r="J384" s="34" t="str">
        <x:v>PASS</x:v>
      </x:c>
      <x:c r="K384" s="34" t="str">
        <x:v>PASS</x:v>
      </x:c>
      <x:c r="L384" s="34" t="str">
        <x:v>PASS</x:v>
      </x:c>
      <x:c r="M384" s="34" t="str">
        <x:v>numeric coverage for applicable metric</x:v>
      </x:c>
      <x:c r="N384" s="34" t="str">
        <x:v>Feedback-Directed Random Test Generation/Result/JacksonCore_17/result.json</x:v>
      </x:c>
      <x:c r="O384" s="38" t="n">
        <x:f>IF(AND(G384="RECORDED",ISNUMBER(H384)),H384,"")</x:f>
        <x:v>1.06</x:v>
      </x:c>
      <x:c r="P384" s="34" t="str">
        <x:v>NOT_REVEALING</x:v>
      </x:c>
      <x:c r="Q384" s="34" t="str">
        <x:v>Feedback-Directed Random Test Generation/Result/JacksonCore_17/result.json</x:v>
      </x:c>
    </x:row>
    <x:row r="385">
      <x:c r="A385" s="34" t="str">
        <x:v>randoop</x:v>
      </x:c>
      <x:c r="B385" s="34" t="str">
        <x:v>JacksonCore</x:v>
      </x:c>
      <x:c r="C385" s="34" t="str">
        <x:v>Round1</x:v>
      </x:c>
      <x:c r="D385" s="34" t="str">
        <x:v>JacksonCore_18</x:v>
      </x:c>
      <x:c r="E385" s="34" t="str">
        <x:v>Coverage</x:v>
      </x:c>
      <x:c r="F385" s="34" t="n">
        <x:v>3197</x:v>
      </x:c>
      <x:c r="G385" s="34" t="str">
        <x:v>RECORDED</x:v>
      </x:c>
      <x:c r="H385" s="38" t="n">
        <x:f>IF(ISNUMBER('Data'!G385),'Data'!G385*100,"")</x:f>
        <x:v>1.06</x:v>
      </x:c>
      <x:c r="I385" s="34" t="str">
        <x:v>PASS</x:v>
      </x:c>
      <x:c r="J385" s="34" t="str">
        <x:v>PASS</x:v>
      </x:c>
      <x:c r="K385" s="34" t="str">
        <x:v>PASS</x:v>
      </x:c>
      <x:c r="L385" s="34" t="str">
        <x:v>PASS</x:v>
      </x:c>
      <x:c r="M385" s="34" t="str">
        <x:v>numeric coverage for applicable metric</x:v>
      </x:c>
      <x:c r="N385" s="34" t="str">
        <x:v>Feedback-Directed Random Test Generation/Result/JacksonCore_18/result.json</x:v>
      </x:c>
      <x:c r="O385" s="38" t="n">
        <x:f>IF(AND(G385="RECORDED",ISNUMBER(H385)),H385,"")</x:f>
        <x:v>1.06</x:v>
      </x:c>
      <x:c r="P385" s="34" t="str">
        <x:v>NOT_REVEALING</x:v>
      </x:c>
      <x:c r="Q385" s="34" t="str">
        <x:v>Feedback-Directed Random Test Generation/Result/JacksonCore_18/result.json</x:v>
      </x:c>
    </x:row>
    <x:row r="386">
      <x:c r="A386" s="34" t="str">
        <x:v>randoop</x:v>
      </x:c>
      <x:c r="B386" s="34" t="str">
        <x:v>JacksonCore</x:v>
      </x:c>
      <x:c r="C386" s="34" t="str">
        <x:v>Round1</x:v>
      </x:c>
      <x:c r="D386" s="34" t="str">
        <x:v>JacksonCore_19</x:v>
      </x:c>
      <x:c r="E386" s="34" t="str">
        <x:v>Coverage</x:v>
      </x:c>
      <x:c r="F386" s="34" t="n">
        <x:v>5451</x:v>
      </x:c>
      <x:c r="G386" s="34" t="str">
        <x:v>RECORDED</x:v>
      </x:c>
      <x:c r="H386" s="38" t="n">
        <x:f>IF(ISNUMBER('Data'!G386),'Data'!G386*100,"")</x:f>
        <x:v>0.2</x:v>
      </x:c>
      <x:c r="I386" s="34" t="str">
        <x:v>PASS</x:v>
      </x:c>
      <x:c r="J386" s="34" t="str">
        <x:v>PASS</x:v>
      </x:c>
      <x:c r="K386" s="34" t="str">
        <x:v>PASS</x:v>
      </x:c>
      <x:c r="L386" s="34" t="str">
        <x:v>PASS</x:v>
      </x:c>
      <x:c r="M386" s="34" t="str">
        <x:v>numeric coverage for applicable metric</x:v>
      </x:c>
      <x:c r="N386" s="34" t="str">
        <x:v>Feedback-Directed Random Test Generation/Result/JacksonCore_19/result.json</x:v>
      </x:c>
      <x:c r="O386" s="38" t="n">
        <x:f>IF(AND(G386="RECORDED",ISNUMBER(H386)),H386,"")</x:f>
        <x:v>0.2</x:v>
      </x:c>
      <x:c r="P386" s="34" t="str">
        <x:v>NOT_REVEALING</x:v>
      </x:c>
      <x:c r="Q386" s="34" t="str">
        <x:v>Feedback-Directed Random Test Generation/Result/JacksonCore_19/result.json</x:v>
      </x:c>
    </x:row>
    <x:row r="387">
      <x:c r="A387" s="34" t="str">
        <x:v>randoop</x:v>
      </x:c>
      <x:c r="B387" s="34" t="str">
        <x:v>JacksonCore</x:v>
      </x:c>
      <x:c r="C387" s="34" t="str">
        <x:v>Round1</x:v>
      </x:c>
      <x:c r="D387" s="34" t="str">
        <x:v>JacksonCore_20</x:v>
      </x:c>
      <x:c r="E387" s="34" t="str">
        <x:v>Coverage</x:v>
      </x:c>
      <x:c r="F387" s="34" t="n">
        <x:v>356</x:v>
      </x:c>
      <x:c r="G387" s="34" t="str">
        <x:v>RECORDED</x:v>
      </x:c>
      <x:c r="H387" s="38" t="n">
        <x:f>IF(ISNUMBER('Data'!G387),'Data'!G387*100,"")</x:f>
        <x:v>8.15</x:v>
      </x:c>
      <x:c r="I387" s="34" t="str">
        <x:v>PASS</x:v>
      </x:c>
      <x:c r="J387" s="34" t="str">
        <x:v>PASS</x:v>
      </x:c>
      <x:c r="K387" s="34" t="str">
        <x:v>PASS</x:v>
      </x:c>
      <x:c r="L387" s="34" t="str">
        <x:v>PASS</x:v>
      </x:c>
      <x:c r="M387" s="34" t="str">
        <x:v>numeric coverage for applicable metric</x:v>
      </x:c>
      <x:c r="N387" s="34" t="str">
        <x:v>Feedback-Directed Random Test Generation/Result/JacksonCore_20/result.json</x:v>
      </x:c>
      <x:c r="O387" s="38" t="n">
        <x:f>IF(AND(G387="RECORDED",ISNUMBER(H387)),H387,"")</x:f>
        <x:v>8.15</x:v>
      </x:c>
      <x:c r="P387" s="34" t="str">
        <x:v>NOT_REVEALING</x:v>
      </x:c>
      <x:c r="Q387" s="34" t="str">
        <x:v>Feedback-Directed Random Test Generation/Result/JacksonCore_20/result.json</x:v>
      </x:c>
    </x:row>
    <x:row r="388">
      <x:c r="A388" s="34" t="str">
        <x:v>randoop</x:v>
      </x:c>
      <x:c r="B388" s="34" t="str">
        <x:v>JacksonCore</x:v>
      </x:c>
      <x:c r="C388" s="34" t="str">
        <x:v>Round1</x:v>
      </x:c>
      <x:c r="D388" s="34" t="str">
        <x:v>JacksonCore_21</x:v>
      </x:c>
      <x:c r="E388" s="34" t="str">
        <x:v>Coverage</x:v>
      </x:c>
      <x:c r="F388" s="34" t="n">
        <x:v>654</x:v>
      </x:c>
      <x:c r="G388" s="34" t="str">
        <x:v>RECORDED</x:v>
      </x:c>
      <x:c r="H388" s="38" t="n">
        <x:f>IF(ISNUMBER('Data'!G388),'Data'!G388*100,"")</x:f>
        <x:v>5.2</x:v>
      </x:c>
      <x:c r="I388" s="34" t="str">
        <x:v>PASS</x:v>
      </x:c>
      <x:c r="J388" s="34" t="str">
        <x:v>PASS</x:v>
      </x:c>
      <x:c r="K388" s="34" t="str">
        <x:v>PASS</x:v>
      </x:c>
      <x:c r="L388" s="34" t="str">
        <x:v>PASS</x:v>
      </x:c>
      <x:c r="M388" s="34" t="str">
        <x:v>numeric coverage for applicable metric</x:v>
      </x:c>
      <x:c r="N388" s="34" t="str">
        <x:v>Feedback-Directed Random Test Generation/Result/JacksonCore_21/result.json</x:v>
      </x:c>
      <x:c r="O388" s="38" t="n">
        <x:f>IF(AND(G388="RECORDED",ISNUMBER(H388)),H388,"")</x:f>
        <x:v>5.2</x:v>
      </x:c>
      <x:c r="P388" s="34" t="str">
        <x:v>NOT_REVEALING</x:v>
      </x:c>
      <x:c r="Q388" s="34" t="str">
        <x:v>Feedback-Directed Random Test Generation/Result/JacksonCore_21/result.json</x:v>
      </x:c>
    </x:row>
    <x:row r="389">
      <x:c r="A389" s="34" t="str">
        <x:v>randoop</x:v>
      </x:c>
      <x:c r="B389" s="34" t="str">
        <x:v>JacksonCore</x:v>
      </x:c>
      <x:c r="C389" s="34" t="str">
        <x:v>Round1</x:v>
      </x:c>
      <x:c r="D389" s="34" t="str">
        <x:v>JacksonCore_22</x:v>
      </x:c>
      <x:c r="E389" s="34" t="str">
        <x:v>Coverage</x:v>
      </x:c>
      <x:c r="F389" s="34" t="n">
        <x:v>648</x:v>
      </x:c>
      <x:c r="G389" s="34" t="str">
        <x:v>RECORDED</x:v>
      </x:c>
      <x:c r="H389" s="38" t="n">
        <x:f>IF(ISNUMBER('Data'!G389),'Data'!G389*100,"")</x:f>
        <x:v>5.25</x:v>
      </x:c>
      <x:c r="I389" s="34" t="str">
        <x:v>PASS</x:v>
      </x:c>
      <x:c r="J389" s="34" t="str">
        <x:v>PASS</x:v>
      </x:c>
      <x:c r="K389" s="34" t="str">
        <x:v>PASS</x:v>
      </x:c>
      <x:c r="L389" s="34" t="str">
        <x:v>PASS</x:v>
      </x:c>
      <x:c r="M389" s="34" t="str">
        <x:v>numeric coverage for applicable metric</x:v>
      </x:c>
      <x:c r="N389" s="34" t="str">
        <x:v>Feedback-Directed Random Test Generation/Result/JacksonCore_22/result.json</x:v>
      </x:c>
      <x:c r="O389" s="38" t="n">
        <x:f>IF(AND(G389="RECORDED",ISNUMBER(H389)),H389,"")</x:f>
        <x:v>5.25</x:v>
      </x:c>
      <x:c r="P389" s="34" t="str">
        <x:v>NOT_REVEALING</x:v>
      </x:c>
      <x:c r="Q389" s="34" t="str">
        <x:v>Feedback-Directed Random Test Generation/Result/JacksonCore_22/result.json</x:v>
      </x:c>
    </x:row>
    <x:row r="390">
      <x:c r="A390" s="34" t="str">
        <x:v>randoop</x:v>
      </x:c>
      <x:c r="B390" s="34" t="str">
        <x:v>JacksonCore</x:v>
      </x:c>
      <x:c r="C390" s="34" t="str">
        <x:v>Round1</x:v>
      </x:c>
      <x:c r="D390" s="34" t="str">
        <x:v>JacksonCore_23</x:v>
      </x:c>
      <x:c r="E390" s="34" t="str">
        <x:v>Coverage</x:v>
      </x:c>
      <x:c r="F390" s="34" t="n">
        <x:v>146</x:v>
      </x:c>
      <x:c r="G390" s="34" t="str">
        <x:v>RECORDED</x:v>
      </x:c>
      <x:c r="H390" s="38" t="n">
        <x:f>IF(ISNUMBER('Data'!G390),'Data'!G390*100,"")</x:f>
        <x:v>63.7</x:v>
      </x:c>
      <x:c r="I390" s="34" t="str">
        <x:v>PASS</x:v>
      </x:c>
      <x:c r="J390" s="34" t="str">
        <x:v>PASS</x:v>
      </x:c>
      <x:c r="K390" s="34" t="str">
        <x:v>PASS</x:v>
      </x:c>
      <x:c r="L390" s="34" t="str">
        <x:v>PASS</x:v>
      </x:c>
      <x:c r="M390" s="34" t="str">
        <x:v>numeric coverage for applicable metric</x:v>
      </x:c>
      <x:c r="N390" s="34" t="str">
        <x:v>Feedback-Directed Random Test Generation/Result/JacksonCore_23/result.json</x:v>
      </x:c>
      <x:c r="O390" s="38" t="n">
        <x:f>IF(AND(G390="RECORDED",ISNUMBER(H390)),H390,"")</x:f>
        <x:v>63.7</x:v>
      </x:c>
      <x:c r="P390" s="34" t="str">
        <x:v>NOT_REVEALING</x:v>
      </x:c>
      <x:c r="Q390" s="34" t="str">
        <x:v>Feedback-Directed Random Test Generation/Result/JacksonCore_23/result.json</x:v>
      </x:c>
    </x:row>
    <x:row r="391">
      <x:c r="A391" s="34" t="str">
        <x:v>randoop</x:v>
      </x:c>
      <x:c r="B391" s="34" t="str">
        <x:v>JacksonCore</x:v>
      </x:c>
      <x:c r="C391" s="34" t="str">
        <x:v>Round1</x:v>
      </x:c>
      <x:c r="D391" s="34" t="str">
        <x:v>JacksonCore_24</x:v>
      </x:c>
      <x:c r="E391" s="34" t="str">
        <x:v>Coverage</x:v>
      </x:c>
      <x:c r="F391" s="34" t="n">
        <x:v>1018</x:v>
      </x:c>
      <x:c r="G391" s="34" t="str">
        <x:v>RECORDED</x:v>
      </x:c>
      <x:c r="H391" s="38" t="n">
        <x:f>IF(ISNUMBER('Data'!G391),'Data'!G391*100,"")</x:f>
        <x:v>2.95</x:v>
      </x:c>
      <x:c r="I391" s="34" t="str">
        <x:v>PASS</x:v>
      </x:c>
      <x:c r="J391" s="34" t="str">
        <x:v>PASS</x:v>
      </x:c>
      <x:c r="K391" s="34" t="str">
        <x:v>PASS</x:v>
      </x:c>
      <x:c r="L391" s="34" t="str">
        <x:v>PASS</x:v>
      </x:c>
      <x:c r="M391" s="34" t="str">
        <x:v>numeric coverage for applicable metric</x:v>
      </x:c>
      <x:c r="N391" s="34" t="str">
        <x:v>Feedback-Directed Random Test Generation/Result/JacksonCore_24/result.json</x:v>
      </x:c>
      <x:c r="O391" s="38" t="n">
        <x:f>IF(AND(G391="RECORDED",ISNUMBER(H391)),H391,"")</x:f>
        <x:v>2.95</x:v>
      </x:c>
      <x:c r="P391" s="34" t="str">
        <x:v>NOT_REVEALING</x:v>
      </x:c>
      <x:c r="Q391" s="34" t="str">
        <x:v>Feedback-Directed Random Test Generation/Result/JacksonCore_24/result.json</x:v>
      </x:c>
    </x:row>
    <x:row r="392">
      <x:c r="A392" s="34" t="str">
        <x:v>randoop</x:v>
      </x:c>
      <x:c r="B392" s="34" t="str">
        <x:v>JacksonCore</x:v>
      </x:c>
      <x:c r="C392" s="34" t="str">
        <x:v>Round1</x:v>
      </x:c>
      <x:c r="D392" s="34" t="str">
        <x:v>JacksonCore_25</x:v>
      </x:c>
      <x:c r="E392" s="34" t="str">
        <x:v>Coverage</x:v>
      </x:c>
      <x:c r="F392" s="34" t="n">
        <x:v>2522</x:v>
      </x:c>
      <x:c r="G392" s="34" t="str">
        <x:v>RECORDED</x:v>
      </x:c>
      <x:c r="H392" s="38" t="n">
        <x:f>IF(ISNUMBER('Data'!G392),'Data'!G392*100,"")</x:f>
        <x:v>0.16</x:v>
      </x:c>
      <x:c r="I392" s="34" t="str">
        <x:v>PASS</x:v>
      </x:c>
      <x:c r="J392" s="34" t="str">
        <x:v>PASS</x:v>
      </x:c>
      <x:c r="K392" s="34" t="str">
        <x:v>PASS</x:v>
      </x:c>
      <x:c r="L392" s="34" t="str">
        <x:v>PASS</x:v>
      </x:c>
      <x:c r="M392" s="34" t="str">
        <x:v>numeric coverage for applicable metric</x:v>
      </x:c>
      <x:c r="N392" s="34" t="str">
        <x:v>Feedback-Directed Random Test Generation/Result/JacksonCore_25/result.json</x:v>
      </x:c>
      <x:c r="O392" s="38" t="n">
        <x:f>IF(AND(G392="RECORDED",ISNUMBER(H392)),H392,"")</x:f>
        <x:v>0.16</x:v>
      </x:c>
      <x:c r="P392" s="34" t="str">
        <x:v>NOT_REVEALING</x:v>
      </x:c>
      <x:c r="Q392" s="34" t="str">
        <x:v>Feedback-Directed Random Test Generation/Result/JacksonCore_25/result.json</x:v>
      </x:c>
    </x:row>
    <x:row r="393">
      <x:c r="A393" s="34" t="str">
        <x:v>randoop</x:v>
      </x:c>
      <x:c r="B393" s="34" t="str">
        <x:v>JacksonCore</x:v>
      </x:c>
      <x:c r="C393" s="34" t="str">
        <x:v>Round1</x:v>
      </x:c>
      <x:c r="D393" s="34" t="str">
        <x:v>JacksonCore_26</x:v>
      </x:c>
      <x:c r="E393" s="34" t="str">
        <x:v>Coverage</x:v>
      </x:c>
      <x:c r="F393" s="34" t="n">
        <x:v>2433</x:v>
      </x:c>
      <x:c r="G393" s="34" t="str">
        <x:v>RECORDED</x:v>
      </x:c>
      <x:c r="H393" s="38" t="n">
        <x:f>IF(ISNUMBER('Data'!G393),'Data'!G393*100,"")</x:f>
        <x:v>0.4099999999999999</x:v>
      </x:c>
      <x:c r="I393" s="34" t="str">
        <x:v>PASS</x:v>
      </x:c>
      <x:c r="J393" s="34" t="str">
        <x:v>PASS</x:v>
      </x:c>
      <x:c r="K393" s="34" t="str">
        <x:v>PASS</x:v>
      </x:c>
      <x:c r="L393" s="34" t="str">
        <x:v>PASS</x:v>
      </x:c>
      <x:c r="M393" s="34" t="str">
        <x:v>numeric coverage for applicable metric</x:v>
      </x:c>
      <x:c r="N393" s="34" t="str">
        <x:v>Feedback-Directed Random Test Generation/Result/JacksonCore_26/result.json</x:v>
      </x:c>
      <x:c r="O393" s="38" t="n">
        <x:f>IF(AND(G393="RECORDED",ISNUMBER(H393)),H393,"")</x:f>
        <x:v>0.4099999999999999</x:v>
      </x:c>
      <x:c r="P393" s="34" t="str">
        <x:v>NOT_REVEALING</x:v>
      </x:c>
      <x:c r="Q393" s="34" t="str">
        <x:v>Feedback-Directed Random Test Generation/Result/JacksonCore_26/result.json</x:v>
      </x:c>
    </x:row>
    <x:row r="394">
      <x:c r="A394" s="34" t="str">
        <x:v>randoop</x:v>
      </x:c>
      <x:c r="B394" s="34" t="str">
        <x:v>JacksonDatabind</x:v>
      </x:c>
      <x:c r="C394" s="34" t="str">
        <x:v>Round1</x:v>
      </x:c>
      <x:c r="D394" s="34" t="str">
        <x:v>JacksonDatabind_1</x:v>
      </x:c>
      <x:c r="E394" s="34" t="str">
        <x:v>Coverage</x:v>
      </x:c>
      <x:c r="F394" s="34" t="n">
        <x:v>299</x:v>
      </x:c>
      <x:c r="G394" s="34" t="str">
        <x:v>RECORDED</x:v>
      </x:c>
      <x:c r="H394" s="38" t="n">
        <x:f>IF(ISNUMBER('Data'!G394),'Data'!G394*100,"")</x:f>
        <x:v>1.67</x:v>
      </x:c>
      <x:c r="I394" s="34" t="str">
        <x:v>PASS</x:v>
      </x:c>
      <x:c r="J394" s="34" t="str">
        <x:v>PASS</x:v>
      </x:c>
      <x:c r="K394" s="34" t="str">
        <x:v>PASS</x:v>
      </x:c>
      <x:c r="L394" s="34" t="str">
        <x:v>PASS</x:v>
      </x:c>
      <x:c r="M394" s="34" t="str">
        <x:v>numeric coverage for applicable metric</x:v>
      </x:c>
      <x:c r="N394" s="34" t="str">
        <x:v>Feedback-Directed Random Test Generation/Result/JacksonDatabind_1/result.json</x:v>
      </x:c>
      <x:c r="O394" s="38" t="n">
        <x:f>IF(AND(G394="RECORDED",ISNUMBER(H394)),H394,"")</x:f>
        <x:v>1.67</x:v>
      </x:c>
      <x:c r="P394" s="34" t="str">
        <x:v>NOT_REVEALING</x:v>
      </x:c>
      <x:c r="Q394" s="34" t="str">
        <x:v>Feedback-Directed Random Test Generation/Result/JacksonDatabind_1/result.json</x:v>
      </x:c>
    </x:row>
    <x:row r="395">
      <x:c r="A395" s="34" t="str">
        <x:v>randoop</x:v>
      </x:c>
      <x:c r="B395" s="34" t="str">
        <x:v>JacksonDatabind</x:v>
      </x:c>
      <x:c r="C395" s="34" t="str">
        <x:v>Round1</x:v>
      </x:c>
      <x:c r="D395" s="34" t="str">
        <x:v>JacksonDatabind_2</x:v>
      </x:c>
      <x:c r="E395" s="34" t="str">
        <x:v>Coverage</x:v>
      </x:c>
      <x:c r="F395" s="34" t="n">
        <x:v>908</x:v>
      </x:c>
      <x:c r="G395" s="34" t="str">
        <x:v>RECORDED</x:v>
      </x:c>
      <x:c r="H395" s="38" t="n">
        <x:f>IF(ISNUMBER('Data'!G395),'Data'!G395*100,"")</x:f>
        <x:v>76.21</x:v>
      </x:c>
      <x:c r="I395" s="34" t="str">
        <x:v>PASS</x:v>
      </x:c>
      <x:c r="J395" s="34" t="str">
        <x:v>PASS</x:v>
      </x:c>
      <x:c r="K395" s="34" t="str">
        <x:v>PASS</x:v>
      </x:c>
      <x:c r="L395" s="34" t="str">
        <x:v>PASS</x:v>
      </x:c>
      <x:c r="M395" s="34" t="str">
        <x:v>numeric coverage for applicable metric</x:v>
      </x:c>
      <x:c r="N395" s="34" t="str">
        <x:v>Feedback-Directed Random Test Generation/Result/JacksonDatabind_2/result.json</x:v>
      </x:c>
      <x:c r="O395" s="38" t="n">
        <x:f>IF(AND(G395="RECORDED",ISNUMBER(H395)),H395,"")</x:f>
        <x:v>76.21</x:v>
      </x:c>
      <x:c r="P395" s="34" t="str">
        <x:v>INCONCLUSIVE</x:v>
      </x:c>
      <x:c r="Q395" s="34" t="str">
        <x:v>Feedback-Directed Random Test Generation/Result/JacksonDatabind_2/result.json</x:v>
      </x:c>
    </x:row>
    <x:row r="396">
      <x:c r="A396" s="34" t="str">
        <x:v>randoop</x:v>
      </x:c>
      <x:c r="B396" s="34" t="str">
        <x:v>JacksonDatabind</x:v>
      </x:c>
      <x:c r="C396" s="34" t="str">
        <x:v>Round1</x:v>
      </x:c>
      <x:c r="D396" s="34" t="str">
        <x:v>JacksonDatabind_3</x:v>
      </x:c>
      <x:c r="E396" s="34" t="str">
        <x:v>Coverage</x:v>
      </x:c>
      <x:c r="F396" s="34" t="n">
        <x:v>98</x:v>
      </x:c>
      <x:c r="G396" s="34" t="str">
        <x:v>RECORDED</x:v>
      </x:c>
      <x:c r="H396" s="38" t="n">
        <x:f>IF(ISNUMBER('Data'!G396),'Data'!G396*100,"")</x:f>
        <x:v>12.24</x:v>
      </x:c>
      <x:c r="I396" s="34" t="str">
        <x:v>PASS</x:v>
      </x:c>
      <x:c r="J396" s="34" t="str">
        <x:v>PASS</x:v>
      </x:c>
      <x:c r="K396" s="34" t="str">
        <x:v>PASS</x:v>
      </x:c>
      <x:c r="L396" s="34" t="str">
        <x:v>PASS</x:v>
      </x:c>
      <x:c r="M396" s="34" t="str">
        <x:v>numeric coverage for applicable metric</x:v>
      </x:c>
      <x:c r="N396" s="34" t="str">
        <x:v>Feedback-Directed Random Test Generation/Result/JacksonDatabind_3/result.json</x:v>
      </x:c>
      <x:c r="O396" s="38" t="n">
        <x:f>IF(AND(G396="RECORDED",ISNUMBER(H396)),H396,"")</x:f>
        <x:v>12.24</x:v>
      </x:c>
      <x:c r="P396" s="34" t="str">
        <x:v>NOT_REVEALING</x:v>
      </x:c>
      <x:c r="Q396" s="34" t="str">
        <x:v>Feedback-Directed Random Test Generation/Result/JacksonDatabind_3/result.json</x:v>
      </x:c>
    </x:row>
    <x:row r="397">
      <x:c r="A397" s="34" t="str">
        <x:v>randoop</x:v>
      </x:c>
      <x:c r="B397" s="34" t="str">
        <x:v>JacksonDatabind</x:v>
      </x:c>
      <x:c r="C397" s="34" t="str">
        <x:v>Round1</x:v>
      </x:c>
      <x:c r="D397" s="34" t="str">
        <x:v>JacksonDatabind_4</x:v>
      </x:c>
      <x:c r="E397" s="34" t="str">
        <x:v>Coverage</x:v>
      </x:c>
      <x:c r="F397" s="34" t="n">
        <x:v>98</x:v>
      </x:c>
      <x:c r="G397" s="34" t="str">
        <x:v>RECORDED</x:v>
      </x:c>
      <x:c r="H397" s="38" t="n">
        <x:f>IF(ISNUMBER('Data'!G397),'Data'!G397*100,"")</x:f>
        <x:v>12.24</x:v>
      </x:c>
      <x:c r="I397" s="34" t="str">
        <x:v>PASS</x:v>
      </x:c>
      <x:c r="J397" s="34" t="str">
        <x:v>PASS</x:v>
      </x:c>
      <x:c r="K397" s="34" t="str">
        <x:v>PASS</x:v>
      </x:c>
      <x:c r="L397" s="34" t="str">
        <x:v>PASS</x:v>
      </x:c>
      <x:c r="M397" s="34" t="str">
        <x:v>numeric coverage for applicable metric</x:v>
      </x:c>
      <x:c r="N397" s="34" t="str">
        <x:v>Feedback-Directed Random Test Generation/Result/JacksonDatabind_4/result.json</x:v>
      </x:c>
      <x:c r="O397" s="38" t="n">
        <x:f>IF(AND(G397="RECORDED",ISNUMBER(H397)),H397,"")</x:f>
        <x:v>12.24</x:v>
      </x:c>
      <x:c r="P397" s="34" t="str">
        <x:v>NOT_REVEALING</x:v>
      </x:c>
      <x:c r="Q397" s="34" t="str">
        <x:v>Feedback-Directed Random Test Generation/Result/JacksonDatabind_4/result.json</x:v>
      </x:c>
    </x:row>
    <x:row r="398">
      <x:c r="A398" s="34" t="str">
        <x:v>randoop</x:v>
      </x:c>
      <x:c r="B398" s="34" t="str">
        <x:v>JacksonDatabind</x:v>
      </x:c>
      <x:c r="C398" s="34" t="str">
        <x:v>Round1</x:v>
      </x:c>
      <x:c r="D398" s="34" t="str">
        <x:v>JacksonDatabind_5</x:v>
      </x:c>
      <x:c r="E398" s="34" t="str">
        <x:v>Coverage</x:v>
      </x:c>
      <x:c r="F398" s="34" t="n">
        <x:v>637</x:v>
      </x:c>
      <x:c r="G398" s="34" t="str">
        <x:v>RECORDED</x:v>
      </x:c>
      <x:c r="H398" s="38" t="n">
        <x:f>IF(ISNUMBER('Data'!G398),'Data'!G398*100,"")</x:f>
        <x:v>0</x:v>
      </x:c>
      <x:c r="I398" s="34" t="str">
        <x:v>PASS</x:v>
      </x:c>
      <x:c r="J398" s="34" t="str">
        <x:v>PASS</x:v>
      </x:c>
      <x:c r="K398" s="34" t="str">
        <x:v>PASS</x:v>
      </x:c>
      <x:c r="L398" s="34" t="str">
        <x:v>PASS</x:v>
      </x:c>
      <x:c r="M398" s="34" t="str">
        <x:v>numeric coverage for applicable metric</x:v>
      </x:c>
      <x:c r="N398" s="34" t="str">
        <x:v>Feedback-Directed Random Test Generation/Result/JacksonDatabind_5/result.json</x:v>
      </x:c>
      <x:c r="O398" s="38" t="n">
        <x:f>IF(AND(G398="RECORDED",ISNUMBER(H398)),H398,"")</x:f>
        <x:v>0</x:v>
      </x:c>
      <x:c r="P398" s="34" t="str">
        <x:v>NOT_REVEALING</x:v>
      </x:c>
      <x:c r="Q398" s="34" t="str">
        <x:v>Feedback-Directed Random Test Generation/Result/JacksonDatabind_5/result.json</x:v>
      </x:c>
    </x:row>
    <x:row r="399">
      <x:c r="A399" s="34" t="str">
        <x:v>randoop</x:v>
      </x:c>
      <x:c r="B399" s="34" t="str">
        <x:v>JacksonDatabind</x:v>
      </x:c>
      <x:c r="C399" s="34" t="str">
        <x:v>Round1</x:v>
      </x:c>
      <x:c r="D399" s="34" t="str">
        <x:v>JacksonDatabind_6</x:v>
      </x:c>
      <x:c r="E399" s="34" t="str">
        <x:v>Coverage</x:v>
      </x:c>
      <x:c r="F399" s="34" t="n">
        <x:v>243</x:v>
      </x:c>
      <x:c r="G399" s="34" t="str">
        <x:v>RECORDED</x:v>
      </x:c>
      <x:c r="H399" s="38" t="n">
        <x:f>IF(ISNUMBER('Data'!G399),'Data'!G399*100,"")</x:f>
        <x:v>84.77</x:v>
      </x:c>
      <x:c r="I399" s="34" t="str">
        <x:v>PASS</x:v>
      </x:c>
      <x:c r="J399" s="34" t="str">
        <x:v>PASS</x:v>
      </x:c>
      <x:c r="K399" s="34" t="str">
        <x:v>PASS</x:v>
      </x:c>
      <x:c r="L399" s="34" t="str">
        <x:v>FAIL</x:v>
      </x:c>
      <x:c r="M399" s="34" t="str">
        <x:v>numeric coverage for applicable metric</x:v>
      </x:c>
      <x:c r="N399" s="34" t="str">
        <x:v>Feedback-Directed Random Test Generation/Result/JacksonDatabind_6/result.json</x:v>
      </x:c>
      <x:c r="O399" s="38" t="n">
        <x:f>IF(AND(G399="RECORDED",ISNUMBER(H399)),H399,"")</x:f>
        <x:v>84.77</x:v>
      </x:c>
      <x:c r="P399" s="34" t="str">
        <x:v>INCONCLUSIVE</x:v>
      </x:c>
      <x:c r="Q399" s="34" t="str">
        <x:v>Feedback-Directed Random Test Generation/Result/JacksonDatabind_6/result.json</x:v>
      </x:c>
    </x:row>
    <x:row r="400">
      <x:c r="A400" s="34" t="str">
        <x:v>randoop</x:v>
      </x:c>
      <x:c r="B400" s="34" t="str">
        <x:v>JacksonDatabind</x:v>
      </x:c>
      <x:c r="C400" s="34" t="str">
        <x:v>Round1</x:v>
      </x:c>
      <x:c r="D400" s="34" t="str">
        <x:v>JacksonDatabind_7</x:v>
      </x:c>
      <x:c r="E400" s="34" t="str">
        <x:v>Coverage</x:v>
      </x:c>
      <x:c r="F400" s="34" t="n">
        <x:v>932</x:v>
      </x:c>
      <x:c r="G400" s="34" t="str">
        <x:v>RECORDED</x:v>
      </x:c>
      <x:c r="H400" s="38" t="n">
        <x:f>IF(ISNUMBER('Data'!G400),'Data'!G400*100,"")</x:f>
        <x:v>75.86</x:v>
      </x:c>
      <x:c r="I400" s="34" t="str">
        <x:v>PASS</x:v>
      </x:c>
      <x:c r="J400" s="34" t="str">
        <x:v>PASS</x:v>
      </x:c>
      <x:c r="K400" s="34" t="str">
        <x:v>PASS</x:v>
      </x:c>
      <x:c r="L400" s="34" t="str">
        <x:v>PASS</x:v>
      </x:c>
      <x:c r="M400" s="34" t="str">
        <x:v>numeric coverage for applicable metric</x:v>
      </x:c>
      <x:c r="N400" s="34" t="str">
        <x:v>Feedback-Directed Random Test Generation/Result/JacksonDatabind_7/result.json</x:v>
      </x:c>
      <x:c r="O400" s="38" t="n">
        <x:f>IF(AND(G400="RECORDED",ISNUMBER(H400)),H400,"")</x:f>
        <x:v>75.86</x:v>
      </x:c>
      <x:c r="P400" s="34" t="str">
        <x:v>NOT_REVEALING</x:v>
      </x:c>
      <x:c r="Q400" s="34" t="str">
        <x:v>Feedback-Directed Random Test Generation/Result/JacksonDatabind_7/result.json</x:v>
      </x:c>
    </x:row>
    <x:row r="401">
      <x:c r="A401" s="34" t="str">
        <x:v>randoop</x:v>
      </x:c>
      <x:c r="B401" s="34" t="str">
        <x:v>JacksonDatabind</x:v>
      </x:c>
      <x:c r="C401" s="34" t="str">
        <x:v>Round1</x:v>
      </x:c>
      <x:c r="D401" s="34" t="str">
        <x:v>JacksonDatabind_8</x:v>
      </x:c>
      <x:c r="E401" s="34" t="str">
        <x:v>Coverage</x:v>
      </x:c>
      <x:c r="F401" s="34" t="n">
        <x:v>180</x:v>
      </x:c>
      <x:c r="G401" s="34" t="str">
        <x:v>RECORDED</x:v>
      </x:c>
      <x:c r="H401" s="38" t="n">
        <x:f>IF(ISNUMBER('Data'!G401),'Data'!G401*100,"")</x:f>
        <x:v>50</x:v>
      </x:c>
      <x:c r="I401" s="34" t="str">
        <x:v>PASS</x:v>
      </x:c>
      <x:c r="J401" s="34" t="str">
        <x:v>PASS</x:v>
      </x:c>
      <x:c r="K401" s="34" t="str">
        <x:v>PASS</x:v>
      </x:c>
      <x:c r="L401" s="34" t="str">
        <x:v>PASS</x:v>
      </x:c>
      <x:c r="M401" s="34" t="str">
        <x:v>numeric coverage for applicable metric</x:v>
      </x:c>
      <x:c r="N401" s="34" t="str">
        <x:v>Feedback-Directed Random Test Generation/Result/JacksonDatabind_8/result.json</x:v>
      </x:c>
      <x:c r="O401" s="38" t="n">
        <x:f>IF(AND(G401="RECORDED",ISNUMBER(H401)),H401,"")</x:f>
        <x:v>50</x:v>
      </x:c>
      <x:c r="P401" s="34" t="str">
        <x:v>NOT_REVEALING</x:v>
      </x:c>
      <x:c r="Q401" s="34" t="str">
        <x:v>Feedback-Directed Random Test Generation/Result/JacksonDatabind_8/result.json</x:v>
      </x:c>
    </x:row>
    <x:row r="402">
      <x:c r="A402" s="34" t="str">
        <x:v>randoop</x:v>
      </x:c>
      <x:c r="B402" s="34" t="str">
        <x:v>JacksonDatabind</x:v>
      </x:c>
      <x:c r="C402" s="34" t="str">
        <x:v>Round1</x:v>
      </x:c>
      <x:c r="D402" s="34" t="str">
        <x:v>JacksonDatabind_9</x:v>
      </x:c>
      <x:c r="E402" s="34" t="str">
        <x:v>Coverage</x:v>
      </x:c>
      <x:c r="F402" s="34" t="n">
        <x:v>12</x:v>
      </x:c>
      <x:c r="G402" s="34" t="str">
        <x:v>RECORDED</x:v>
      </x:c>
      <x:c r="H402" s="38" t="n">
        <x:f>IF(ISNUMBER('Data'!G402),'Data'!G402*100,"")</x:f>
        <x:v>8.33</x:v>
      </x:c>
      <x:c r="I402" s="34" t="str">
        <x:v>PASS</x:v>
      </x:c>
      <x:c r="J402" s="34" t="str">
        <x:v>PASS</x:v>
      </x:c>
      <x:c r="K402" s="34" t="str">
        <x:v>PASS</x:v>
      </x:c>
      <x:c r="L402" s="34" t="str">
        <x:v>PASS</x:v>
      </x:c>
      <x:c r="M402" s="34" t="str">
        <x:v>numeric coverage for applicable metric</x:v>
      </x:c>
      <x:c r="N402" s="34" t="str">
        <x:v>Feedback-Directed Random Test Generation/Result/JacksonDatabind_9/result.json</x:v>
      </x:c>
      <x:c r="O402" s="38" t="n">
        <x:f>IF(AND(G402="RECORDED",ISNUMBER(H402)),H402,"")</x:f>
        <x:v>8.33</x:v>
      </x:c>
      <x:c r="P402" s="34" t="str">
        <x:v>NOT_REVEALING</x:v>
      </x:c>
      <x:c r="Q402" s="34" t="str">
        <x:v>Feedback-Directed Random Test Generation/Result/JacksonDatabind_9/result.json</x:v>
      </x:c>
    </x:row>
    <x:row r="403">
      <x:c r="A403" s="34" t="str">
        <x:v>randoop</x:v>
      </x:c>
      <x:c r="B403" s="34" t="str">
        <x:v>JacksonDatabind</x:v>
      </x:c>
      <x:c r="C403" s="34" t="str">
        <x:v>Round1</x:v>
      </x:c>
      <x:c r="D403" s="34" t="str">
        <x:v>JacksonDatabind_10</x:v>
      </x:c>
      <x:c r="E403" s="34" t="str">
        <x:v>Coverage</x:v>
      </x:c>
      <x:c r="F403" s="34" t="n">
        <x:v>439</x:v>
      </x:c>
      <x:c r="G403" s="34" t="str">
        <x:v>RECORDED</x:v>
      </x:c>
      <x:c r="H403" s="38" t="n">
        <x:f>IF(ISNUMBER('Data'!G403),'Data'!G403*100,"")</x:f>
        <x:v>8.88</x:v>
      </x:c>
      <x:c r="I403" s="34" t="str">
        <x:v>PASS</x:v>
      </x:c>
      <x:c r="J403" s="34" t="str">
        <x:v>PASS</x:v>
      </x:c>
      <x:c r="K403" s="34" t="str">
        <x:v>PASS</x:v>
      </x:c>
      <x:c r="L403" s="34" t="str">
        <x:v>PASS</x:v>
      </x:c>
      <x:c r="M403" s="34" t="str">
        <x:v>numeric coverage for applicable metric</x:v>
      </x:c>
      <x:c r="N403" s="34" t="str">
        <x:v>Feedback-Directed Random Test Generation/Result/JacksonDatabind_10/result.json</x:v>
      </x:c>
      <x:c r="O403" s="38" t="n">
        <x:f>IF(AND(G403="RECORDED",ISNUMBER(H403)),H403,"")</x:f>
        <x:v>8.88</x:v>
      </x:c>
      <x:c r="P403" s="34" t="str">
        <x:v>INCONCLUSIVE</x:v>
      </x:c>
      <x:c r="Q403" s="34" t="str">
        <x:v>Feedback-Directed Random Test Generation/Result/JacksonDatabind_10/result.json</x:v>
      </x:c>
    </x:row>
    <x:row r="404">
      <x:c r="A404" s="34" t="str">
        <x:v>randoop</x:v>
      </x:c>
      <x:c r="B404" s="34" t="str">
        <x:v>JacksonDatabind</x:v>
      </x:c>
      <x:c r="C404" s="34" t="str">
        <x:v>Round1</x:v>
      </x:c>
      <x:c r="D404" s="34" t="str">
        <x:v>JacksonDatabind_11</x:v>
      </x:c>
      <x:c r="E404" s="34" t="str">
        <x:v>Coverage</x:v>
      </x:c>
      <x:c r="F404" s="34" t="n">
        <x:v>518</x:v>
      </x:c>
      <x:c r="G404" s="34" t="str">
        <x:v>RECORDED</x:v>
      </x:c>
      <x:c r="H404" s="38" t="n">
        <x:f>IF(ISNUMBER('Data'!G404),'Data'!G404*100,"")</x:f>
        <x:v>14.48</x:v>
      </x:c>
      <x:c r="I404" s="34" t="str">
        <x:v>PASS</x:v>
      </x:c>
      <x:c r="J404" s="34" t="str">
        <x:v>PASS</x:v>
      </x:c>
      <x:c r="K404" s="34" t="str">
        <x:v>PASS</x:v>
      </x:c>
      <x:c r="L404" s="34" t="str">
        <x:v>PASS</x:v>
      </x:c>
      <x:c r="M404" s="34" t="str">
        <x:v>numeric coverage for applicable metric</x:v>
      </x:c>
      <x:c r="N404" s="34" t="str">
        <x:v>Feedback-Directed Random Test Generation/Result/JacksonDatabind_11/result.json</x:v>
      </x:c>
      <x:c r="O404" s="38" t="n">
        <x:f>IF(AND(G404="RECORDED",ISNUMBER(H404)),H404,"")</x:f>
        <x:v>14.48</x:v>
      </x:c>
      <x:c r="P404" s="34" t="str">
        <x:v>NOT_REVEALING</x:v>
      </x:c>
      <x:c r="Q404" s="34" t="str">
        <x:v>Feedback-Directed Random Test Generation/Result/JacksonDatabind_11/result.json</x:v>
      </x:c>
    </x:row>
    <x:row r="405">
      <x:c r="A405" s="34" t="str">
        <x:v>randoop</x:v>
      </x:c>
      <x:c r="B405" s="34" t="str">
        <x:v>JacksonDatabind</x:v>
      </x:c>
      <x:c r="C405" s="34" t="str">
        <x:v>Round1</x:v>
      </x:c>
      <x:c r="D405" s="34" t="str">
        <x:v>JacksonDatabind_12</x:v>
      </x:c>
      <x:c r="E405" s="34" t="str">
        <x:v>Coverage</x:v>
      </x:c>
      <x:c r="F405" s="34" t="n">
        <x:v>404</x:v>
      </x:c>
      <x:c r="G405" s="34" t="str">
        <x:v>RECORDED</x:v>
      </x:c>
      <x:c r="H405" s="38" t="n">
        <x:f>IF(ISNUMBER('Data'!G405),'Data'!G405*100,"")</x:f>
        <x:v>2.23</x:v>
      </x:c>
      <x:c r="I405" s="34" t="str">
        <x:v>PASS</x:v>
      </x:c>
      <x:c r="J405" s="34" t="str">
        <x:v>PASS</x:v>
      </x:c>
      <x:c r="K405" s="34" t="str">
        <x:v>PASS</x:v>
      </x:c>
      <x:c r="L405" s="34" t="str">
        <x:v>PASS</x:v>
      </x:c>
      <x:c r="M405" s="34" t="str">
        <x:v>numeric coverage for applicable metric</x:v>
      </x:c>
      <x:c r="N405" s="34" t="str">
        <x:v>Feedback-Directed Random Test Generation/Result/JacksonDatabind_12/result.json</x:v>
      </x:c>
      <x:c r="O405" s="38" t="n">
        <x:f>IF(AND(G405="RECORDED",ISNUMBER(H405)),H405,"")</x:f>
        <x:v>2.23</x:v>
      </x:c>
      <x:c r="P405" s="34" t="str">
        <x:v>NOT_REVEALING</x:v>
      </x:c>
      <x:c r="Q405" s="34" t="str">
        <x:v>Feedback-Directed Random Test Generation/Result/JacksonDatabind_12/result.json</x:v>
      </x:c>
    </x:row>
    <x:row r="406">
      <x:c r="A406" s="34" t="str">
        <x:v>randoop</x:v>
      </x:c>
      <x:c r="B406" s="34" t="str">
        <x:v>JacksonDatabind</x:v>
      </x:c>
      <x:c r="C406" s="34" t="str">
        <x:v>Round1</x:v>
      </x:c>
      <x:c r="D406" s="34" t="str">
        <x:v>JacksonDatabind_13</x:v>
      </x:c>
      <x:c r="E406" s="34" t="str">
        <x:v>Coverage</x:v>
      </x:c>
      <x:c r="F406" s="34" t="n">
        <x:v>200</x:v>
      </x:c>
      <x:c r="G406" s="34" t="str">
        <x:v>RECORDED</x:v>
      </x:c>
      <x:c r="H406" s="38" t="n">
        <x:f>IF(ISNUMBER('Data'!G406),'Data'!G406*100,"")</x:f>
        <x:v>4.5</x:v>
      </x:c>
      <x:c r="I406" s="34" t="str">
        <x:v>PASS</x:v>
      </x:c>
      <x:c r="J406" s="34" t="str">
        <x:v>PASS</x:v>
      </x:c>
      <x:c r="K406" s="34" t="str">
        <x:v>PASS</x:v>
      </x:c>
      <x:c r="L406" s="34" t="str">
        <x:v>PASS</x:v>
      </x:c>
      <x:c r="M406" s="34" t="str">
        <x:v>numeric coverage for applicable metric</x:v>
      </x:c>
      <x:c r="N406" s="34" t="str">
        <x:v>Feedback-Directed Random Test Generation/Result/JacksonDatabind_13/result.json</x:v>
      </x:c>
      <x:c r="O406" s="38" t="n">
        <x:f>IF(AND(G406="RECORDED",ISNUMBER(H406)),H406,"")</x:f>
        <x:v>4.5</x:v>
      </x:c>
      <x:c r="P406" s="34" t="str">
        <x:v>NOT_REVEALING</x:v>
      </x:c>
      <x:c r="Q406" s="34" t="str">
        <x:v>Feedback-Directed Random Test Generation/Result/JacksonDatabind_13/result.json</x:v>
      </x:c>
    </x:row>
    <x:row r="407">
      <x:c r="A407" s="34" t="str">
        <x:v>randoop</x:v>
      </x:c>
      <x:c r="B407" s="34" t="str">
        <x:v>JacksonDatabind</x:v>
      </x:c>
      <x:c r="C407" s="34" t="str">
        <x:v>Round1</x:v>
      </x:c>
      <x:c r="D407" s="34" t="str">
        <x:v>JacksonDatabind_14</x:v>
      </x:c>
      <x:c r="E407" s="34" t="str">
        <x:v>Coverage</x:v>
      </x:c>
      <x:c r="F407" s="34" t="n">
        <x:v>532</x:v>
      </x:c>
      <x:c r="G407" s="34" t="str">
        <x:v>RECORDED</x:v>
      </x:c>
      <x:c r="H407" s="38" t="n">
        <x:f>IF(ISNUMBER('Data'!G407),'Data'!G407*100,"")</x:f>
        <x:v>2.44</x:v>
      </x:c>
      <x:c r="I407" s="34" t="str">
        <x:v>PASS</x:v>
      </x:c>
      <x:c r="J407" s="34" t="str">
        <x:v>PASS</x:v>
      </x:c>
      <x:c r="K407" s="34" t="str">
        <x:v>PASS</x:v>
      </x:c>
      <x:c r="L407" s="34" t="str">
        <x:v>PASS</x:v>
      </x:c>
      <x:c r="M407" s="34" t="str">
        <x:v>numeric coverage for applicable metric</x:v>
      </x:c>
      <x:c r="N407" s="34" t="str">
        <x:v>Feedback-Directed Random Test Generation/Result/JacksonDatabind_14/result.json</x:v>
      </x:c>
      <x:c r="O407" s="38" t="n">
        <x:f>IF(AND(G407="RECORDED",ISNUMBER(H407)),H407,"")</x:f>
        <x:v>2.44</x:v>
      </x:c>
      <x:c r="P407" s="34" t="str">
        <x:v>NOT_REVEALING</x:v>
      </x:c>
      <x:c r="Q407" s="34" t="str">
        <x:v>Feedback-Directed Random Test Generation/Result/JacksonDatabind_14/result.json</x:v>
      </x:c>
    </x:row>
    <x:row r="408">
      <x:c r="A408" s="34" t="str">
        <x:v>randoop</x:v>
      </x:c>
      <x:c r="B408" s="34" t="str">
        <x:v>JacksonDatabind</x:v>
      </x:c>
      <x:c r="C408" s="34" t="str">
        <x:v>Round1</x:v>
      </x:c>
      <x:c r="D408" s="34" t="str">
        <x:v>JacksonDatabind_15</x:v>
      </x:c>
      <x:c r="E408" s="34" t="str">
        <x:v>Coverage</x:v>
      </x:c>
      <x:c r="F408" s="34" t="n">
        <x:v>1231</x:v>
      </x:c>
      <x:c r="G408" s="34" t="str">
        <x:v>RECORDED</x:v>
      </x:c>
      <x:c r="H408" s="38" t="n">
        <x:f>IF(ISNUMBER('Data'!G408),'Data'!G408*100,"")</x:f>
        <x:v>4.79</x:v>
      </x:c>
      <x:c r="I408" s="34" t="str">
        <x:v>PASS</x:v>
      </x:c>
      <x:c r="J408" s="34" t="str">
        <x:v>PASS</x:v>
      </x:c>
      <x:c r="K408" s="34" t="str">
        <x:v>PASS</x:v>
      </x:c>
      <x:c r="L408" s="34" t="str">
        <x:v>PASS</x:v>
      </x:c>
      <x:c r="M408" s="34" t="str">
        <x:v>numeric coverage for applicable metric</x:v>
      </x:c>
      <x:c r="N408" s="34" t="str">
        <x:v>Feedback-Directed Random Test Generation/Result/JacksonDatabind_15/result.json</x:v>
      </x:c>
      <x:c r="O408" s="38" t="n">
        <x:f>IF(AND(G408="RECORDED",ISNUMBER(H408)),H408,"")</x:f>
        <x:v>4.79</x:v>
      </x:c>
      <x:c r="P408" s="34" t="str">
        <x:v>NOT_REVEALING</x:v>
      </x:c>
      <x:c r="Q408" s="34" t="str">
        <x:v>Feedback-Directed Random Test Generation/Result/JacksonDatabind_15/result.json</x:v>
      </x:c>
    </x:row>
    <x:row r="409">
      <x:c r="A409" s="34" t="str">
        <x:v>randoop</x:v>
      </x:c>
      <x:c r="B409" s="34" t="str">
        <x:v>JacksonDatabind</x:v>
      </x:c>
      <x:c r="C409" s="34" t="str">
        <x:v>Round1</x:v>
      </x:c>
      <x:c r="D409" s="34" t="str">
        <x:v>JacksonDatabind_16</x:v>
      </x:c>
      <x:c r="E409" s="34" t="str">
        <x:v>Coverage</x:v>
      </x:c>
      <x:c r="F409" s="34" t="n">
        <x:v>71</x:v>
      </x:c>
      <x:c r="G409" s="34" t="str">
        <x:v>RECORDED</x:v>
      </x:c>
      <x:c r="H409" s="38" t="n">
        <x:f>IF(ISNUMBER('Data'!G409),'Data'!G409*100,"")</x:f>
        <x:v>30.990000000000002</x:v>
      </x:c>
      <x:c r="I409" s="34" t="str">
        <x:v>PASS</x:v>
      </x:c>
      <x:c r="J409" s="34" t="str">
        <x:v>PASS</x:v>
      </x:c>
      <x:c r="K409" s="34" t="str">
        <x:v>PASS</x:v>
      </x:c>
      <x:c r="L409" s="34" t="str">
        <x:v>PASS</x:v>
      </x:c>
      <x:c r="M409" s="34" t="str">
        <x:v>numeric coverage for applicable metric</x:v>
      </x:c>
      <x:c r="N409" s="34" t="str">
        <x:v>Feedback-Directed Random Test Generation/Result/JacksonDatabind_16/result.json</x:v>
      </x:c>
      <x:c r="O409" s="38" t="n">
        <x:f>IF(AND(G409="RECORDED",ISNUMBER(H409)),H409,"")</x:f>
        <x:v>30.990000000000002</x:v>
      </x:c>
      <x:c r="P409" s="34" t="str">
        <x:v>NOT_REVEALING</x:v>
      </x:c>
      <x:c r="Q409" s="34" t="str">
        <x:v>Feedback-Directed Random Test Generation/Result/JacksonDatabind_16/result.json</x:v>
      </x:c>
    </x:row>
    <x:row r="410">
      <x:c r="A410" s="34" t="str">
        <x:v>randoop</x:v>
      </x:c>
      <x:c r="B410" s="34" t="str">
        <x:v>JacksonDatabind</x:v>
      </x:c>
      <x:c r="C410" s="34" t="str">
        <x:v>Round1</x:v>
      </x:c>
      <x:c r="D410" s="34" t="str">
        <x:v>JacksonDatabind_17</x:v>
      </x:c>
      <x:c r="E410" s="34" t="str">
        <x:v>Coverage</x:v>
      </x:c>
      <x:c r="F410" s="34" t="n">
        <x:v>830</x:v>
      </x:c>
      <x:c r="G410" s="34" t="str">
        <x:v>RECORDED</x:v>
      </x:c>
      <x:c r="H410" s="38" t="n">
        <x:f>IF(ISNUMBER('Data'!G410),'Data'!G410*100,"")</x:f>
        <x:v>55.66</x:v>
      </x:c>
      <x:c r="I410" s="34" t="str">
        <x:v>PASS</x:v>
      </x:c>
      <x:c r="J410" s="34" t="str">
        <x:v>PASS</x:v>
      </x:c>
      <x:c r="K410" s="34" t="str">
        <x:v>PASS</x:v>
      </x:c>
      <x:c r="L410" s="34" t="str">
        <x:v>PASS</x:v>
      </x:c>
      <x:c r="M410" s="34" t="str">
        <x:v>numeric coverage for applicable metric</x:v>
      </x:c>
      <x:c r="N410" s="34" t="str">
        <x:v>Feedback-Directed Random Test Generation/Result/JacksonDatabind_17/result.json</x:v>
      </x:c>
      <x:c r="O410" s="38" t="n">
        <x:f>IF(AND(G410="RECORDED",ISNUMBER(H410)),H410,"")</x:f>
        <x:v>55.66</x:v>
      </x:c>
      <x:c r="P410" s="34" t="str">
        <x:v>INCONCLUSIVE</x:v>
      </x:c>
      <x:c r="Q410" s="34" t="str">
        <x:v>Feedback-Directed Random Test Generation/Result/JacksonDatabind_17/result.json</x:v>
      </x:c>
    </x:row>
    <x:row r="411">
      <x:c r="A411" s="34" t="str">
        <x:v>randoop</x:v>
      </x:c>
      <x:c r="B411" s="34" t="str">
        <x:v>JacksonDatabind</x:v>
      </x:c>
      <x:c r="C411" s="34" t="str">
        <x:v>Round1</x:v>
      </x:c>
      <x:c r="D411" s="34" t="str">
        <x:v>JacksonDatabind_18</x:v>
      </x:c>
      <x:c r="E411" s="34" t="str">
        <x:v>Coverage</x:v>
      </x:c>
      <x:c r="F411" s="34" t="n">
        <x:v>102</x:v>
      </x:c>
      <x:c r="G411" s="34" t="str">
        <x:v>RECORDED</x:v>
      </x:c>
      <x:c r="H411" s="38" t="n">
        <x:f>IF(ISNUMBER('Data'!G411),'Data'!G411*100,"")</x:f>
        <x:v>13.73</x:v>
      </x:c>
      <x:c r="I411" s="34" t="str">
        <x:v>PASS</x:v>
      </x:c>
      <x:c r="J411" s="34" t="str">
        <x:v>PASS</x:v>
      </x:c>
      <x:c r="K411" s="34" t="str">
        <x:v>PASS</x:v>
      </x:c>
      <x:c r="L411" s="34" t="str">
        <x:v>PASS</x:v>
      </x:c>
      <x:c r="M411" s="34" t="str">
        <x:v>numeric coverage for applicable metric</x:v>
      </x:c>
      <x:c r="N411" s="34" t="str">
        <x:v>Feedback-Directed Random Test Generation/Result/JacksonDatabind_18/result.json</x:v>
      </x:c>
      <x:c r="O411" s="38" t="n">
        <x:f>IF(AND(G411="RECORDED",ISNUMBER(H411)),H411,"")</x:f>
        <x:v>13.73</x:v>
      </x:c>
      <x:c r="P411" s="34" t="str">
        <x:v>NOT_REVEALING</x:v>
      </x:c>
      <x:c r="Q411" s="34" t="str">
        <x:v>Feedback-Directed Random Test Generation/Result/JacksonDatabind_18/result.json</x:v>
      </x:c>
    </x:row>
    <x:row r="412">
      <x:c r="A412" s="34" t="str">
        <x:v>randoop</x:v>
      </x:c>
      <x:c r="B412" s="34" t="str">
        <x:v>JacksonDatabind</x:v>
      </x:c>
      <x:c r="C412" s="34" t="str">
        <x:v>Round1</x:v>
      </x:c>
      <x:c r="D412" s="34" t="str">
        <x:v>JacksonDatabind_19</x:v>
      </x:c>
      <x:c r="E412" s="34" t="str">
        <x:v>Coverage</x:v>
      </x:c>
      <x:c r="F412" s="34" t="n">
        <x:v>577</x:v>
      </x:c>
      <x:c r="G412" s="34" t="str">
        <x:v>RECORDED</x:v>
      </x:c>
      <x:c r="H412" s="38" t="n">
        <x:f>IF(ISNUMBER('Data'!G412),'Data'!G412*100,"")</x:f>
        <x:v>19.06</x:v>
      </x:c>
      <x:c r="I412" s="34" t="str">
        <x:v>PASS</x:v>
      </x:c>
      <x:c r="J412" s="34" t="str">
        <x:v>PASS</x:v>
      </x:c>
      <x:c r="K412" s="34" t="str">
        <x:v>PASS</x:v>
      </x:c>
      <x:c r="L412" s="34" t="str">
        <x:v>PASS</x:v>
      </x:c>
      <x:c r="M412" s="34" t="str">
        <x:v>numeric coverage for applicable metric</x:v>
      </x:c>
      <x:c r="N412" s="34" t="str">
        <x:v>Feedback-Directed Random Test Generation/Result/JacksonDatabind_19/result.json</x:v>
      </x:c>
      <x:c r="O412" s="38" t="n">
        <x:f>IF(AND(G412="RECORDED",ISNUMBER(H412)),H412,"")</x:f>
        <x:v>19.06</x:v>
      </x:c>
      <x:c r="P412" s="34" t="str">
        <x:v>NOT_REVEALING</x:v>
      </x:c>
      <x:c r="Q412" s="34" t="str">
        <x:v>Feedback-Directed Random Test Generation/Result/JacksonDatabind_19/result.json</x:v>
      </x:c>
    </x:row>
    <x:row r="413">
      <x:c r="A413" s="34" t="str">
        <x:v>randoop</x:v>
      </x:c>
      <x:c r="B413" s="34" t="str">
        <x:v>JacksonDatabind</x:v>
      </x:c>
      <x:c r="C413" s="34" t="str">
        <x:v>Round1</x:v>
      </x:c>
      <x:c r="D413" s="34" t="str">
        <x:v>JacksonDatabind_20</x:v>
      </x:c>
      <x:c r="E413" s="34" t="str">
        <x:v>Coverage</x:v>
      </x:c>
      <x:c r="F413" s="34" t="n">
        <x:v>270</x:v>
      </x:c>
      <x:c r="G413" s="34" t="str">
        <x:v>RECORDED</x:v>
      </x:c>
      <x:c r="H413" s="38" t="n">
        <x:f>IF(ISNUMBER('Data'!G413),'Data'!G413*100,"")</x:f>
        <x:v>81.85</x:v>
      </x:c>
      <x:c r="I413" s="34" t="str">
        <x:v>PASS</x:v>
      </x:c>
      <x:c r="J413" s="34" t="str">
        <x:v>PASS</x:v>
      </x:c>
      <x:c r="K413" s="34" t="str">
        <x:v>PASS</x:v>
      </x:c>
      <x:c r="L413" s="34" t="str">
        <x:v>PASS</x:v>
      </x:c>
      <x:c r="M413" s="34" t="str">
        <x:v>numeric coverage for applicable metric</x:v>
      </x:c>
      <x:c r="N413" s="34" t="str">
        <x:v>Feedback-Directed Random Test Generation/Result/JacksonDatabind_20/result.json</x:v>
      </x:c>
      <x:c r="O413" s="38" t="n">
        <x:f>IF(AND(G413="RECORDED",ISNUMBER(H413)),H413,"")</x:f>
        <x:v>81.85</x:v>
      </x:c>
      <x:c r="P413" s="34" t="str">
        <x:v>NOT_REVEALING</x:v>
      </x:c>
      <x:c r="Q413" s="34" t="str">
        <x:v>Feedback-Directed Random Test Generation/Result/JacksonDatabind_20/result.json</x:v>
      </x:c>
    </x:row>
    <x:row r="414">
      <x:c r="A414" s="34" t="str">
        <x:v>randoop</x:v>
      </x:c>
      <x:c r="B414" s="34" t="str">
        <x:v>JacksonDatabind</x:v>
      </x:c>
      <x:c r="C414" s="34" t="str">
        <x:v>Round1</x:v>
      </x:c>
      <x:c r="D414" s="34" t="str">
        <x:v>JacksonDatabind_21</x:v>
      </x:c>
      <x:c r="E414" s="34" t="str">
        <x:v>Coverage</x:v>
      </x:c>
      <x:c r="F414" s="34" t="n">
        <x:v>582</x:v>
      </x:c>
      <x:c r="G414" s="34" t="str">
        <x:v>RECORDED</x:v>
      </x:c>
      <x:c r="H414" s="38" t="n">
        <x:f>IF(ISNUMBER('Data'!G414),'Data'!G414*100,"")</x:f>
        <x:v>13.23</x:v>
      </x:c>
      <x:c r="I414" s="34" t="str">
        <x:v>PASS</x:v>
      </x:c>
      <x:c r="J414" s="34" t="str">
        <x:v>PASS</x:v>
      </x:c>
      <x:c r="K414" s="34" t="str">
        <x:v>PASS</x:v>
      </x:c>
      <x:c r="L414" s="34" t="str">
        <x:v>PASS</x:v>
      </x:c>
      <x:c r="M414" s="34" t="str">
        <x:v>numeric coverage for applicable metric</x:v>
      </x:c>
      <x:c r="N414" s="34" t="str">
        <x:v>Feedback-Directed Random Test Generation/Result/JacksonDatabind_21/result.json</x:v>
      </x:c>
      <x:c r="O414" s="38" t="n">
        <x:f>IF(AND(G414="RECORDED",ISNUMBER(H414)),H414,"")</x:f>
        <x:v>13.23</x:v>
      </x:c>
      <x:c r="P414" s="34" t="str">
        <x:v>NOT_REVEALING</x:v>
      </x:c>
      <x:c r="Q414" s="34" t="str">
        <x:v>Feedback-Directed Random Test Generation/Result/JacksonDatabind_21/result.json</x:v>
      </x:c>
    </x:row>
    <x:row r="415">
      <x:c r="A415" s="34" t="str">
        <x:v>randoop</x:v>
      </x:c>
      <x:c r="B415" s="34" t="str">
        <x:v>JacksonDatabind</x:v>
      </x:c>
      <x:c r="C415" s="34" t="str">
        <x:v>Round1</x:v>
      </x:c>
      <x:c r="D415" s="34" t="str">
        <x:v>JacksonDatabind_22</x:v>
      </x:c>
      <x:c r="E415" s="34" t="str">
        <x:v>Coverage</x:v>
      </x:c>
      <x:c r="F415" s="34" t="n">
        <x:v>1047</x:v>
      </x:c>
      <x:c r="G415" s="34" t="str">
        <x:v>RECORDED</x:v>
      </x:c>
      <x:c r="H415" s="38" t="n">
        <x:f>IF(ISNUMBER('Data'!G415),'Data'!G415*100,"")</x:f>
        <x:v>11.27</x:v>
      </x:c>
      <x:c r="I415" s="34" t="str">
        <x:v>PASS</x:v>
      </x:c>
      <x:c r="J415" s="34" t="str">
        <x:v>PASS</x:v>
      </x:c>
      <x:c r="K415" s="34" t="str">
        <x:v>PASS</x:v>
      </x:c>
      <x:c r="L415" s="34" t="str">
        <x:v>PASS</x:v>
      </x:c>
      <x:c r="M415" s="34" t="str">
        <x:v>numeric coverage for applicable metric</x:v>
      </x:c>
      <x:c r="N415" s="34" t="str">
        <x:v>Feedback-Directed Random Test Generation/Result/JacksonDatabind_22/result.json</x:v>
      </x:c>
      <x:c r="O415" s="38" t="n">
        <x:f>IF(AND(G415="RECORDED",ISNUMBER(H415)),H415,"")</x:f>
        <x:v>11.27</x:v>
      </x:c>
      <x:c r="P415" s="34" t="str">
        <x:v>NOT_AVAILABLE</x:v>
      </x:c>
      <x:c r="Q415" s="34" t="str">
        <x:v>Feedback-Directed Random Test Generation/Result/JacksonDatabind_22/result.json</x:v>
      </x:c>
    </x:row>
    <x:row r="416">
      <x:c r="A416" s="34" t="str">
        <x:v>randoop</x:v>
      </x:c>
      <x:c r="B416" s="34" t="str">
        <x:v>JacksonDatabind</x:v>
      </x:c>
      <x:c r="C416" s="34" t="str">
        <x:v>Round1</x:v>
      </x:c>
      <x:c r="D416" s="34" t="str">
        <x:v>JacksonDatabind_23</x:v>
      </x:c>
      <x:c r="E416" s="34" t="str">
        <x:v>Coverage</x:v>
      </x:c>
      <x:c r="F416" s="34" t="n">
        <x:v>93</x:v>
      </x:c>
      <x:c r="G416" s="34" t="str">
        <x:v>RECORDED</x:v>
      </x:c>
      <x:c r="H416" s="38" t="n">
        <x:f>IF(ISNUMBER('Data'!G416),'Data'!G416*100,"")</x:f>
        <x:v>49.46</x:v>
      </x:c>
      <x:c r="I416" s="34" t="str">
        <x:v>PASS</x:v>
      </x:c>
      <x:c r="J416" s="34" t="str">
        <x:v>PASS</x:v>
      </x:c>
      <x:c r="K416" s="34" t="str">
        <x:v>PASS</x:v>
      </x:c>
      <x:c r="L416" s="34" t="str">
        <x:v>PASS</x:v>
      </x:c>
      <x:c r="M416" s="34" t="str">
        <x:v>numeric coverage for applicable metric</x:v>
      </x:c>
      <x:c r="N416" s="34" t="str">
        <x:v>Feedback-Directed Random Test Generation/Result/JacksonDatabind_23/result.json</x:v>
      </x:c>
      <x:c r="O416" s="38" t="n">
        <x:f>IF(AND(G416="RECORDED",ISNUMBER(H416)),H416,"")</x:f>
        <x:v>49.46</x:v>
      </x:c>
      <x:c r="P416" s="34" t="str">
        <x:v>INCONCLUSIVE</x:v>
      </x:c>
      <x:c r="Q416" s="34" t="str">
        <x:v>Feedback-Directed Random Test Generation/Result/JacksonDatabind_23/result.json</x:v>
      </x:c>
    </x:row>
    <x:row r="417">
      <x:c r="A417" s="34" t="str">
        <x:v>randoop</x:v>
      </x:c>
      <x:c r="B417" s="34" t="str">
        <x:v>JacksonDatabind</x:v>
      </x:c>
      <x:c r="C417" s="34" t="str">
        <x:v>Round1</x:v>
      </x:c>
      <x:c r="D417" s="34" t="str">
        <x:v>JacksonDatabind_24</x:v>
      </x:c>
      <x:c r="E417" s="34" t="str">
        <x:v>Coverage</x:v>
      </x:c>
      <x:c r="F417" s="34" t="n">
        <x:v>93</x:v>
      </x:c>
      <x:c r="G417" s="34" t="str">
        <x:v>RECORDED</x:v>
      </x:c>
      <x:c r="H417" s="38" t="n">
        <x:f>IF(ISNUMBER('Data'!G417),'Data'!G417*100,"")</x:f>
        <x:v>0</x:v>
      </x:c>
      <x:c r="I417" s="34" t="str">
        <x:v>PASS</x:v>
      </x:c>
      <x:c r="J417" s="34" t="str">
        <x:v>PASS</x:v>
      </x:c>
      <x:c r="K417" s="34" t="str">
        <x:v>PASS</x:v>
      </x:c>
      <x:c r="L417" s="34" t="str">
        <x:v>PASS</x:v>
      </x:c>
      <x:c r="M417" s="34" t="str">
        <x:v>numeric coverage for applicable metric</x:v>
      </x:c>
      <x:c r="N417" s="34" t="str">
        <x:v>Feedback-Directed Random Test Generation/Result/JacksonDatabind_24/result.json</x:v>
      </x:c>
      <x:c r="O417" s="38" t="n">
        <x:f>IF(AND(G417="RECORDED",ISNUMBER(H417)),H417,"")</x:f>
        <x:v>0</x:v>
      </x:c>
      <x:c r="P417" s="34" t="str">
        <x:v>NOT_REVEALING</x:v>
      </x:c>
      <x:c r="Q417" s="34" t="str">
        <x:v>Feedback-Directed Random Test Generation/Result/JacksonDatabind_24/result.json</x:v>
      </x:c>
    </x:row>
    <x:row r="418">
      <x:c r="A418" s="34" t="str">
        <x:v>randoop</x:v>
      </x:c>
      <x:c r="B418" s="34" t="str">
        <x:v>JacksonDatabind</x:v>
      </x:c>
      <x:c r="C418" s="34" t="str">
        <x:v>Round1</x:v>
      </x:c>
      <x:c r="D418" s="34" t="str">
        <x:v>JacksonDatabind_25</x:v>
      </x:c>
      <x:c r="E418" s="34" t="str">
        <x:v>Coverage</x:v>
      </x:c>
      <x:c r="F418" s="34" t="n">
        <x:v>1828</x:v>
      </x:c>
      <x:c r="G418" s="34" t="str">
        <x:v>RECORDED</x:v>
      </x:c>
      <x:c r="H418" s="38" t="n">
        <x:f>IF(ISNUMBER('Data'!G418),'Data'!G418*100,"")</x:f>
        <x:v>2.74</x:v>
      </x:c>
      <x:c r="I418" s="34" t="str">
        <x:v>PASS</x:v>
      </x:c>
      <x:c r="J418" s="34" t="str">
        <x:v>PASS</x:v>
      </x:c>
      <x:c r="K418" s="34" t="str">
        <x:v>PASS</x:v>
      </x:c>
      <x:c r="L418" s="34" t="str">
        <x:v>PASS</x:v>
      </x:c>
      <x:c r="M418" s="34" t="str">
        <x:v>numeric coverage for applicable metric</x:v>
      </x:c>
      <x:c r="N418" s="34" t="str">
        <x:v>Feedback-Directed Random Test Generation/Result/JacksonDatabind_25/result.json</x:v>
      </x:c>
      <x:c r="O418" s="38" t="n">
        <x:f>IF(AND(G418="RECORDED",ISNUMBER(H418)),H418,"")</x:f>
        <x:v>2.74</x:v>
      </x:c>
      <x:c r="P418" s="34" t="str">
        <x:v>NOT_REVEALING</x:v>
      </x:c>
      <x:c r="Q418" s="34" t="str">
        <x:v>Feedback-Directed Random Test Generation/Result/JacksonDatabind_25/result.json</x:v>
      </x:c>
    </x:row>
    <x:row r="419">
      <x:c r="A419" s="34" t="str">
        <x:v>randoop</x:v>
      </x:c>
      <x:c r="B419" s="34" t="str">
        <x:v>JacksonDatabind</x:v>
      </x:c>
      <x:c r="C419" s="34" t="str">
        <x:v>Round1</x:v>
      </x:c>
      <x:c r="D419" s="34" t="str">
        <x:v>JacksonDatabind_26</x:v>
      </x:c>
      <x:c r="E419" s="34" t="str">
        <x:v>Coverage</x:v>
      </x:c>
      <x:c r="F419" s="34" t="n">
        <x:v>415</x:v>
      </x:c>
      <x:c r="G419" s="34" t="str">
        <x:v>RECORDED</x:v>
      </x:c>
      <x:c r="H419" s="38" t="n">
        <x:f>IF(ISNUMBER('Data'!G419),'Data'!G419*100,"")</x:f>
        <x:v>36.87</x:v>
      </x:c>
      <x:c r="I419" s="34" t="str">
        <x:v>PASS</x:v>
      </x:c>
      <x:c r="J419" s="34" t="str">
        <x:v>PASS</x:v>
      </x:c>
      <x:c r="K419" s="34" t="str">
        <x:v>PASS</x:v>
      </x:c>
      <x:c r="L419" s="34" t="str">
        <x:v>FAIL</x:v>
      </x:c>
      <x:c r="M419" s="34" t="str">
        <x:v>numeric coverage for applicable metric</x:v>
      </x:c>
      <x:c r="N419" s="34" t="str">
        <x:v>Feedback-Directed Random Test Generation/Result/JacksonDatabind_26/result.json</x:v>
      </x:c>
      <x:c r="O419" s="38" t="n">
        <x:f>IF(AND(G419="RECORDED",ISNUMBER(H419)),H419,"")</x:f>
        <x:v>36.87</x:v>
      </x:c>
      <x:c r="P419" s="34" t="str">
        <x:v>INCONCLUSIVE</x:v>
      </x:c>
      <x:c r="Q419" s="34" t="str">
        <x:v>Feedback-Directed Random Test Generation/Result/JacksonDatabind_26/result.json</x:v>
      </x:c>
    </x:row>
    <x:row r="420">
      <x:c r="A420" s="34" t="str">
        <x:v>randoop</x:v>
      </x:c>
      <x:c r="B420" s="34" t="str">
        <x:v>JacksonDatabind</x:v>
      </x:c>
      <x:c r="C420" s="34" t="str">
        <x:v>Round1</x:v>
      </x:c>
      <x:c r="D420" s="34" t="str">
        <x:v>JacksonDatabind_27</x:v>
      </x:c>
      <x:c r="E420" s="34" t="str">
        <x:v>Coverage</x:v>
      </x:c>
      <x:c r="F420" s="34" t="n">
        <x:v>614</x:v>
      </x:c>
      <x:c r="G420" s="34" t="str">
        <x:v>RECORDED</x:v>
      </x:c>
      <x:c r="H420" s="38" t="n">
        <x:f>IF(ISNUMBER('Data'!G420),'Data'!G420*100,"")</x:f>
        <x:v>0.98</x:v>
      </x:c>
      <x:c r="I420" s="34" t="str">
        <x:v>PASS</x:v>
      </x:c>
      <x:c r="J420" s="34" t="str">
        <x:v>PASS</x:v>
      </x:c>
      <x:c r="K420" s="34" t="str">
        <x:v>PASS</x:v>
      </x:c>
      <x:c r="L420" s="34" t="str">
        <x:v>PASS</x:v>
      </x:c>
      <x:c r="M420" s="34" t="str">
        <x:v>numeric coverage for applicable metric</x:v>
      </x:c>
      <x:c r="N420" s="34" t="str">
        <x:v>Feedback-Directed Random Test Generation/Result/JacksonDatabind_27/result.json</x:v>
      </x:c>
      <x:c r="O420" s="38" t="n">
        <x:f>IF(AND(G420="RECORDED",ISNUMBER(H420)),H420,"")</x:f>
        <x:v>0.98</x:v>
      </x:c>
      <x:c r="P420" s="34" t="str">
        <x:v>NOT_REVEALING</x:v>
      </x:c>
      <x:c r="Q420" s="34" t="str">
        <x:v>Feedback-Directed Random Test Generation/Result/JacksonDatabind_27/result.json</x:v>
      </x:c>
    </x:row>
    <x:row r="421">
      <x:c r="A421" s="34" t="str">
        <x:v>randoop</x:v>
      </x:c>
      <x:c r="B421" s="34" t="str">
        <x:v>JacksonDatabind</x:v>
      </x:c>
      <x:c r="C421" s="34" t="str">
        <x:v>Round1</x:v>
      </x:c>
      <x:c r="D421" s="34" t="str">
        <x:v>JacksonDatabind_28</x:v>
      </x:c>
      <x:c r="E421" s="34" t="str">
        <x:v>Coverage</x:v>
      </x:c>
      <x:c r="F421" s="34" t="n">
        <x:v>44</x:v>
      </x:c>
      <x:c r="G421" s="34" t="str">
        <x:v>RECORDED</x:v>
      </x:c>
      <x:c r="H421" s="38" t="n">
        <x:f>IF(ISNUMBER('Data'!G421),'Data'!G421*100,"")</x:f>
        <x:v>31.819999999999997</x:v>
      </x:c>
      <x:c r="I421" s="34" t="str">
        <x:v>PASS</x:v>
      </x:c>
      <x:c r="J421" s="34" t="str">
        <x:v>PASS</x:v>
      </x:c>
      <x:c r="K421" s="34" t="str">
        <x:v>PASS</x:v>
      </x:c>
      <x:c r="L421" s="34" t="str">
        <x:v>PASS</x:v>
      </x:c>
      <x:c r="M421" s="34" t="str">
        <x:v>numeric coverage for applicable metric</x:v>
      </x:c>
      <x:c r="N421" s="34" t="str">
        <x:v>Feedback-Directed Random Test Generation/Result/JacksonDatabind_28/result.json</x:v>
      </x:c>
      <x:c r="O421" s="38" t="n">
        <x:f>IF(AND(G421="RECORDED",ISNUMBER(H421)),H421,"")</x:f>
        <x:v>31.819999999999997</x:v>
      </x:c>
      <x:c r="P421" s="34" t="str">
        <x:v>NOT_REVEALING</x:v>
      </x:c>
      <x:c r="Q421" s="34" t="str">
        <x:v>Feedback-Directed Random Test Generation/Result/JacksonDatabind_28/result.json</x:v>
      </x:c>
    </x:row>
    <x:row r="422">
      <x:c r="A422" s="34" t="str">
        <x:v>randoop</x:v>
      </x:c>
      <x:c r="B422" s="34" t="str">
        <x:v>JacksonDatabind</x:v>
      </x:c>
      <x:c r="C422" s="34" t="str">
        <x:v>Round1</x:v>
      </x:c>
      <x:c r="D422" s="34" t="str">
        <x:v>JacksonDatabind_29</x:v>
      </x:c>
      <x:c r="E422" s="34" t="str">
        <x:v>Coverage</x:v>
      </x:c>
      <x:c r="F422" s="34" t="n">
        <x:v>203</x:v>
      </x:c>
      <x:c r="G422" s="34" t="str">
        <x:v>RECORDED</x:v>
      </x:c>
      <x:c r="H422" s="38" t="n">
        <x:f>IF(ISNUMBER('Data'!G422),'Data'!G422*100,"")</x:f>
        <x:v>21.67</x:v>
      </x:c>
      <x:c r="I422" s="34" t="str">
        <x:v>PASS</x:v>
      </x:c>
      <x:c r="J422" s="34" t="str">
        <x:v>PASS</x:v>
      </x:c>
      <x:c r="K422" s="34" t="str">
        <x:v>PASS</x:v>
      </x:c>
      <x:c r="L422" s="34" t="str">
        <x:v>PASS</x:v>
      </x:c>
      <x:c r="M422" s="34" t="str">
        <x:v>numeric coverage for applicable metric</x:v>
      </x:c>
      <x:c r="N422" s="34" t="str">
        <x:v>Feedback-Directed Random Test Generation/Result/JacksonDatabind_29/result.json</x:v>
      </x:c>
      <x:c r="O422" s="38" t="n">
        <x:f>IF(AND(G422="RECORDED",ISNUMBER(H422)),H422,"")</x:f>
        <x:v>21.67</x:v>
      </x:c>
      <x:c r="P422" s="34" t="str">
        <x:v>NOT_REVEALING</x:v>
      </x:c>
      <x:c r="Q422" s="34" t="str">
        <x:v>Feedback-Directed Random Test Generation/Result/JacksonDatabind_29/result.json</x:v>
      </x:c>
    </x:row>
    <x:row r="423">
      <x:c r="A423" s="34" t="str">
        <x:v>randoop</x:v>
      </x:c>
      <x:c r="B423" s="34" t="str">
        <x:v>JacksonDatabind</x:v>
      </x:c>
      <x:c r="C423" s="34" t="str">
        <x:v>Round1</x:v>
      </x:c>
      <x:c r="D423" s="34" t="str">
        <x:v>JacksonDatabind_30</x:v>
      </x:c>
      <x:c r="E423" s="34" t="str">
        <x:v>Coverage</x:v>
      </x:c>
      <x:c r="F423" s="34" t="n">
        <x:v>0</x:v>
      </x:c>
      <x:c r="G423" s="34" t="str">
        <x:v>A</x:v>
      </x:c>
      <x:c r="H423" s="38" t="str">
        <x:f>IF(ISNUMBER('Data'!G423),'Data'!G423*100,"")</x:f>
      </x:c>
      <x:c r="I423" s="34"/>
      <x:c r="J423" s="34"/>
      <x:c r="K423" s="34"/>
      <x:c r="L423" s="34" t="str">
        <x:v>NOT_RUN</x:v>
      </x:c>
      <x:c r="M423" s="34" t="str">
        <x:v>Latest same-round generation failed; older files/results are excluded</x:v>
      </x:c>
      <x:c r="N423" s="34" t="str">
        <x:v>Feedback-Directed Random Test Generation/report.csv</x:v>
      </x:c>
      <x:c r="O423" s="38" t="str">
        <x:f>IF(AND(G423="RECORDED",ISNUMBER(H423)),H423,"")</x:f>
      </x:c>
      <x:c r="P423" s="34" t="str">
        <x:v>FAIL</x:v>
      </x:c>
      <x:c r="Q423" s="34"/>
    </x:row>
    <x:row r="424">
      <x:c r="A424" s="34" t="str">
        <x:v>randoop</x:v>
      </x:c>
      <x:c r="B424" s="34" t="str">
        <x:v>JacksonDatabind</x:v>
      </x:c>
      <x:c r="C424" s="34" t="str">
        <x:v>Round1</x:v>
      </x:c>
      <x:c r="D424" s="34" t="str">
        <x:v>JacksonDatabind_31</x:v>
      </x:c>
      <x:c r="E424" s="34" t="str">
        <x:v>Coverage</x:v>
      </x:c>
      <x:c r="F424" s="34" t="n">
        <x:v>997</x:v>
      </x:c>
      <x:c r="G424" s="34" t="str">
        <x:v>RECORDED</x:v>
      </x:c>
      <x:c r="H424" s="38" t="n">
        <x:f>IF(ISNUMBER('Data'!G424),'Data'!G424*100,"")</x:f>
        <x:v>72.72</x:v>
      </x:c>
      <x:c r="I424" s="34" t="str">
        <x:v>PASS</x:v>
      </x:c>
      <x:c r="J424" s="34" t="str">
        <x:v>PASS</x:v>
      </x:c>
      <x:c r="K424" s="34" t="str">
        <x:v>PASS</x:v>
      </x:c>
      <x:c r="L424" s="34" t="str">
        <x:v>PASS</x:v>
      </x:c>
      <x:c r="M424" s="34" t="str">
        <x:v>numeric coverage for applicable metric</x:v>
      </x:c>
      <x:c r="N424" s="34" t="str">
        <x:v>Feedback-Directed Random Test Generation/Result/JacksonDatabind_31/result.json</x:v>
      </x:c>
      <x:c r="O424" s="38" t="n">
        <x:f>IF(AND(G424="RECORDED",ISNUMBER(H424)),H424,"")</x:f>
        <x:v>72.72</x:v>
      </x:c>
      <x:c r="P424" s="34" t="str">
        <x:v>NOT_REVEALING</x:v>
      </x:c>
      <x:c r="Q424" s="34" t="str">
        <x:v>Feedback-Directed Random Test Generation/Result/JacksonDatabind_31/result.json</x:v>
      </x:c>
    </x:row>
    <x:row r="425">
      <x:c r="A425" s="34" t="str">
        <x:v>randoop</x:v>
      </x:c>
      <x:c r="B425" s="34" t="str">
        <x:v>JacksonDatabind</x:v>
      </x:c>
      <x:c r="C425" s="34" t="str">
        <x:v>Round1</x:v>
      </x:c>
      <x:c r="D425" s="34" t="str">
        <x:v>JacksonDatabind_32</x:v>
      </x:c>
      <x:c r="E425" s="34" t="str">
        <x:v>Coverage</x:v>
      </x:c>
      <x:c r="F425" s="34" t="n">
        <x:v>407</x:v>
      </x:c>
      <x:c r="G425" s="34" t="str">
        <x:v>RECORDED</x:v>
      </x:c>
      <x:c r="H425" s="38" t="n">
        <x:f>IF(ISNUMBER('Data'!G425),'Data'!G425*100,"")</x:f>
        <x:v>11.79</x:v>
      </x:c>
      <x:c r="I425" s="34" t="str">
        <x:v>PASS</x:v>
      </x:c>
      <x:c r="J425" s="34" t="str">
        <x:v>PASS</x:v>
      </x:c>
      <x:c r="K425" s="34" t="str">
        <x:v>PASS</x:v>
      </x:c>
      <x:c r="L425" s="34" t="str">
        <x:v>FAIL</x:v>
      </x:c>
      <x:c r="M425" s="34" t="str">
        <x:v>numeric coverage for applicable metric</x:v>
      </x:c>
      <x:c r="N425" s="34" t="str">
        <x:v>Feedback-Directed Random Test Generation/Result/JacksonDatabind_32/result.json</x:v>
      </x:c>
      <x:c r="O425" s="38" t="n">
        <x:f>IF(AND(G425="RECORDED",ISNUMBER(H425)),H425,"")</x:f>
        <x:v>11.79</x:v>
      </x:c>
      <x:c r="P425" s="34" t="str">
        <x:v>INCONCLUSIVE</x:v>
      </x:c>
      <x:c r="Q425" s="34" t="str">
        <x:v>Feedback-Directed Random Test Generation/Result/JacksonDatabind_32/result.json</x:v>
      </x:c>
    </x:row>
    <x:row r="426">
      <x:c r="A426" s="34" t="str">
        <x:v>randoop</x:v>
      </x:c>
      <x:c r="B426" s="34" t="str">
        <x:v>JacksonDatabind</x:v>
      </x:c>
      <x:c r="C426" s="34" t="str">
        <x:v>Round1</x:v>
      </x:c>
      <x:c r="D426" s="34" t="str">
        <x:v>JacksonDatabind_33</x:v>
      </x:c>
      <x:c r="E426" s="34" t="str">
        <x:v>Coverage</x:v>
      </x:c>
      <x:c r="F426" s="34" t="n">
        <x:v>644</x:v>
      </x:c>
      <x:c r="G426" s="34" t="str">
        <x:v>RECORDED</x:v>
      </x:c>
      <x:c r="H426" s="38" t="n">
        <x:f>IF(ISNUMBER('Data'!G426),'Data'!G426*100,"")</x:f>
        <x:v>11.96</x:v>
      </x:c>
      <x:c r="I426" s="34" t="str">
        <x:v>PASS</x:v>
      </x:c>
      <x:c r="J426" s="34" t="str">
        <x:v>PASS</x:v>
      </x:c>
      <x:c r="K426" s="34" t="str">
        <x:v>PASS</x:v>
      </x:c>
      <x:c r="L426" s="34" t="str">
        <x:v>PASS</x:v>
      </x:c>
      <x:c r="M426" s="34" t="str">
        <x:v>numeric coverage for applicable metric</x:v>
      </x:c>
      <x:c r="N426" s="34" t="str">
        <x:v>Feedback-Directed Random Test Generation/Result/JacksonDatabind_33/result.json</x:v>
      </x:c>
      <x:c r="O426" s="38" t="n">
        <x:f>IF(AND(G426="RECORDED",ISNUMBER(H426)),H426,"")</x:f>
        <x:v>11.96</x:v>
      </x:c>
      <x:c r="P426" s="34" t="str">
        <x:v>NOT_REVEALING</x:v>
      </x:c>
      <x:c r="Q426" s="34" t="str">
        <x:v>Feedback-Directed Random Test Generation/Result/JacksonDatabind_33/result.json</x:v>
      </x:c>
    </x:row>
    <x:row r="427">
      <x:c r="A427" s="34" t="str">
        <x:v>randoop</x:v>
      </x:c>
      <x:c r="B427" s="34" t="str">
        <x:v>JacksonDatabind</x:v>
      </x:c>
      <x:c r="C427" s="34" t="str">
        <x:v>Round1</x:v>
      </x:c>
      <x:c r="D427" s="34" t="str">
        <x:v>JacksonDatabind_34</x:v>
      </x:c>
      <x:c r="E427" s="34" t="str">
        <x:v>Coverage</x:v>
      </x:c>
      <x:c r="F427" s="34" t="n">
        <x:v>53</x:v>
      </x:c>
      <x:c r="G427" s="34" t="str">
        <x:v>RECORDED</x:v>
      </x:c>
      <x:c r="H427" s="38" t="n">
        <x:f>IF(ISNUMBER('Data'!G427),'Data'!G427*100,"")</x:f>
        <x:v>75.47</x:v>
      </x:c>
      <x:c r="I427" s="34" t="str">
        <x:v>PASS</x:v>
      </x:c>
      <x:c r="J427" s="34" t="str">
        <x:v>PASS</x:v>
      </x:c>
      <x:c r="K427" s="34" t="str">
        <x:v>PASS</x:v>
      </x:c>
      <x:c r="L427" s="34" t="str">
        <x:v>PASS</x:v>
      </x:c>
      <x:c r="M427" s="34" t="str">
        <x:v>numeric coverage for applicable metric</x:v>
      </x:c>
      <x:c r="N427" s="34" t="str">
        <x:v>Feedback-Directed Random Test Generation/Result/JacksonDatabind_34/result.json</x:v>
      </x:c>
      <x:c r="O427" s="38" t="n">
        <x:f>IF(AND(G427="RECORDED",ISNUMBER(H427)),H427,"")</x:f>
        <x:v>75.47</x:v>
      </x:c>
      <x:c r="P427" s="34" t="str">
        <x:v>NOT_REVEALING</x:v>
      </x:c>
      <x:c r="Q427" s="34" t="str">
        <x:v>Feedback-Directed Random Test Generation/Result/JacksonDatabind_34/result.json</x:v>
      </x:c>
    </x:row>
    <x:row r="428">
      <x:c r="A428" s="34" t="str">
        <x:v>randoop</x:v>
      </x:c>
      <x:c r="B428" s="34" t="str">
        <x:v>JacksonDatabind</x:v>
      </x:c>
      <x:c r="C428" s="34" t="str">
        <x:v>Round1</x:v>
      </x:c>
      <x:c r="D428" s="34" t="str">
        <x:v>JacksonDatabind_35</x:v>
      </x:c>
      <x:c r="E428" s="34" t="str">
        <x:v>Coverage</x:v>
      </x:c>
      <x:c r="F428" s="34" t="n">
        <x:v>50</x:v>
      </x:c>
      <x:c r="G428" s="34" t="str">
        <x:v>RECORDED</x:v>
      </x:c>
      <x:c r="H428" s="38" t="n">
        <x:f>IF(ISNUMBER('Data'!G428),'Data'!G428*100,"")</x:f>
        <x:v>2</x:v>
      </x:c>
      <x:c r="I428" s="34" t="str">
        <x:v>PASS</x:v>
      </x:c>
      <x:c r="J428" s="34" t="str">
        <x:v>PASS</x:v>
      </x:c>
      <x:c r="K428" s="34" t="str">
        <x:v>PASS</x:v>
      </x:c>
      <x:c r="L428" s="34" t="str">
        <x:v>PASS</x:v>
      </x:c>
      <x:c r="M428" s="34" t="str">
        <x:v>numeric coverage for applicable metric</x:v>
      </x:c>
      <x:c r="N428" s="34" t="str">
        <x:v>Feedback-Directed Random Test Generation/Result/JacksonDatabind_35/result.json</x:v>
      </x:c>
      <x:c r="O428" s="38" t="n">
        <x:f>IF(AND(G428="RECORDED",ISNUMBER(H428)),H428,"")</x:f>
        <x:v>2</x:v>
      </x:c>
      <x:c r="P428" s="34" t="str">
        <x:v>NOT_REVEALING</x:v>
      </x:c>
      <x:c r="Q428" s="34" t="str">
        <x:v>Feedback-Directed Random Test Generation/Result/JacksonDatabind_35/result.json</x:v>
      </x:c>
    </x:row>
    <x:row r="429">
      <x:c r="A429" s="34" t="str">
        <x:v>randoop</x:v>
      </x:c>
      <x:c r="B429" s="34" t="str">
        <x:v>JacksonDatabind</x:v>
      </x:c>
      <x:c r="C429" s="34" t="str">
        <x:v>Round1</x:v>
      </x:c>
      <x:c r="D429" s="34" t="str">
        <x:v>JacksonDatabind_36</x:v>
      </x:c>
      <x:c r="E429" s="34" t="str">
        <x:v>Coverage</x:v>
      </x:c>
      <x:c r="F429" s="34" t="n">
        <x:v>323</x:v>
      </x:c>
      <x:c r="G429" s="34" t="str">
        <x:v>RECORDED</x:v>
      </x:c>
      <x:c r="H429" s="38" t="n">
        <x:f>IF(ISNUMBER('Data'!G429),'Data'!G429*100,"")</x:f>
        <x:v>79.88</x:v>
      </x:c>
      <x:c r="I429" s="34" t="str">
        <x:v>PASS</x:v>
      </x:c>
      <x:c r="J429" s="34" t="str">
        <x:v>PASS</x:v>
      </x:c>
      <x:c r="K429" s="34" t="str">
        <x:v>PASS</x:v>
      </x:c>
      <x:c r="L429" s="34" t="str">
        <x:v>FAIL</x:v>
      </x:c>
      <x:c r="M429" s="34" t="str">
        <x:v>numeric coverage for applicable metric</x:v>
      </x:c>
      <x:c r="N429" s="34" t="str">
        <x:v>Feedback-Directed Random Test Generation/Result/JacksonDatabind_36/result.json</x:v>
      </x:c>
      <x:c r="O429" s="38" t="n">
        <x:f>IF(AND(G429="RECORDED",ISNUMBER(H429)),H429,"")</x:f>
        <x:v>79.88</x:v>
      </x:c>
      <x:c r="P429" s="34" t="str">
        <x:v>INCONCLUSIVE</x:v>
      </x:c>
      <x:c r="Q429" s="34" t="str">
        <x:v>Feedback-Directed Random Test Generation/Result/JacksonDatabind_36/result.json</x:v>
      </x:c>
    </x:row>
    <x:row r="430">
      <x:c r="A430" s="34" t="str">
        <x:v>randoop</x:v>
      </x:c>
      <x:c r="B430" s="34" t="str">
        <x:v>JacksonDatabind</x:v>
      </x:c>
      <x:c r="C430" s="34" t="str">
        <x:v>Round1</x:v>
      </x:c>
      <x:c r="D430" s="34" t="str">
        <x:v>JacksonDatabind_37</x:v>
      </x:c>
      <x:c r="E430" s="34" t="str">
        <x:v>Coverage</x:v>
      </x:c>
      <x:c r="F430" s="34" t="n">
        <x:v>99</x:v>
      </x:c>
      <x:c r="G430" s="34" t="str">
        <x:v>RECORDED</x:v>
      </x:c>
      <x:c r="H430" s="38" t="n">
        <x:f>IF(ISNUMBER('Data'!G430),'Data'!G430*100,"")</x:f>
        <x:v>0</x:v>
      </x:c>
      <x:c r="I430" s="34" t="str">
        <x:v>PASS</x:v>
      </x:c>
      <x:c r="J430" s="34" t="str">
        <x:v>PASS</x:v>
      </x:c>
      <x:c r="K430" s="34" t="str">
        <x:v>PASS</x:v>
      </x:c>
      <x:c r="L430" s="34" t="str">
        <x:v>PASS</x:v>
      </x:c>
      <x:c r="M430" s="34" t="str">
        <x:v>numeric coverage for applicable metric</x:v>
      </x:c>
      <x:c r="N430" s="34" t="str">
        <x:v>Feedback-Directed Random Test Generation/Result/JacksonDatabind_37/result.json</x:v>
      </x:c>
      <x:c r="O430" s="38" t="n">
        <x:f>IF(AND(G430="RECORDED",ISNUMBER(H430)),H430,"")</x:f>
        <x:v>0</x:v>
      </x:c>
      <x:c r="P430" s="34" t="str">
        <x:v>NOT_REVEALING</x:v>
      </x:c>
      <x:c r="Q430" s="34" t="str">
        <x:v>Feedback-Directed Random Test Generation/Result/JacksonDatabind_37/result.json</x:v>
      </x:c>
    </x:row>
    <x:row r="431">
      <x:c r="A431" s="34" t="str">
        <x:v>randoop</x:v>
      </x:c>
      <x:c r="B431" s="34" t="str">
        <x:v>JacksonDatabind</x:v>
      </x:c>
      <x:c r="C431" s="34" t="str">
        <x:v>Round1</x:v>
      </x:c>
      <x:c r="D431" s="34" t="str">
        <x:v>JacksonDatabind_38</x:v>
      </x:c>
      <x:c r="E431" s="34" t="str">
        <x:v>Coverage</x:v>
      </x:c>
      <x:c r="F431" s="34" t="n">
        <x:v>164</x:v>
      </x:c>
      <x:c r="G431" s="34" t="str">
        <x:v>RECORDED</x:v>
      </x:c>
      <x:c r="H431" s="38" t="n">
        <x:f>IF(ISNUMBER('Data'!G431),'Data'!G431*100,"")</x:f>
        <x:v>1.83</x:v>
      </x:c>
      <x:c r="I431" s="34" t="str">
        <x:v>PASS</x:v>
      </x:c>
      <x:c r="J431" s="34" t="str">
        <x:v>PASS</x:v>
      </x:c>
      <x:c r="K431" s="34" t="str">
        <x:v>PASS</x:v>
      </x:c>
      <x:c r="L431" s="34" t="str">
        <x:v>PASS</x:v>
      </x:c>
      <x:c r="M431" s="34" t="str">
        <x:v>numeric coverage for applicable metric</x:v>
      </x:c>
      <x:c r="N431" s="34" t="str">
        <x:v>Feedback-Directed Random Test Generation/Result/JacksonDatabind_38/result.json</x:v>
      </x:c>
      <x:c r="O431" s="38" t="n">
        <x:f>IF(AND(G431="RECORDED",ISNUMBER(H431)),H431,"")</x:f>
        <x:v>1.83</x:v>
      </x:c>
      <x:c r="P431" s="34" t="str">
        <x:v>NOT_REVEALING</x:v>
      </x:c>
      <x:c r="Q431" s="34" t="str">
        <x:v>Feedback-Directed Random Test Generation/Result/JacksonDatabind_38/result.json</x:v>
      </x:c>
    </x:row>
    <x:row r="432">
      <x:c r="A432" s="34" t="str">
        <x:v>randoop</x:v>
      </x:c>
      <x:c r="B432" s="34" t="str">
        <x:v>JacksonDatabind</x:v>
      </x:c>
      <x:c r="C432" s="34" t="str">
        <x:v>Round1</x:v>
      </x:c>
      <x:c r="D432" s="34" t="str">
        <x:v>JacksonDatabind_39</x:v>
      </x:c>
      <x:c r="E432" s="34" t="str">
        <x:v>Coverage</x:v>
      </x:c>
      <x:c r="F432" s="34" t="n">
        <x:v>9</x:v>
      </x:c>
      <x:c r="G432" s="34" t="str">
        <x:v>RECORDED</x:v>
      </x:c>
      <x:c r="H432" s="38" t="n">
        <x:f>IF(ISNUMBER('Data'!G432),'Data'!G432*100,"")</x:f>
        <x:v>22.22</x:v>
      </x:c>
      <x:c r="I432" s="34" t="str">
        <x:v>PASS</x:v>
      </x:c>
      <x:c r="J432" s="34" t="str">
        <x:v>PASS</x:v>
      </x:c>
      <x:c r="K432" s="34" t="str">
        <x:v>PASS</x:v>
      </x:c>
      <x:c r="L432" s="34" t="str">
        <x:v>PASS</x:v>
      </x:c>
      <x:c r="M432" s="34" t="str">
        <x:v>numeric coverage for applicable metric</x:v>
      </x:c>
      <x:c r="N432" s="34" t="str">
        <x:v>Feedback-Directed Random Test Generation/Result/JacksonDatabind_39/result.json</x:v>
      </x:c>
      <x:c r="O432" s="38" t="n">
        <x:f>IF(AND(G432="RECORDED",ISNUMBER(H432)),H432,"")</x:f>
        <x:v>22.22</x:v>
      </x:c>
      <x:c r="P432" s="34" t="str">
        <x:v>NOT_REVEALING</x:v>
      </x:c>
      <x:c r="Q432" s="34" t="str">
        <x:v>Feedback-Directed Random Test Generation/Result/JacksonDatabind_39/result.json</x:v>
      </x:c>
    </x:row>
    <x:row r="433">
      <x:c r="A433" s="34" t="str">
        <x:v>randoop</x:v>
      </x:c>
      <x:c r="B433" s="34" t="str">
        <x:v>JacksonDatabind</x:v>
      </x:c>
      <x:c r="C433" s="34" t="str">
        <x:v>Round1</x:v>
      </x:c>
      <x:c r="D433" s="34" t="str">
        <x:v>JacksonDatabind_40</x:v>
      </x:c>
      <x:c r="E433" s="34" t="str">
        <x:v>Coverage</x:v>
      </x:c>
      <x:c r="F433" s="34" t="n">
        <x:v>349</x:v>
      </x:c>
      <x:c r="G433" s="34" t="str">
        <x:v>RECORDED</x:v>
      </x:c>
      <x:c r="H433" s="38" t="n">
        <x:f>IF(ISNUMBER('Data'!G433),'Data'!G433*100,"")</x:f>
        <x:v>20.63</x:v>
      </x:c>
      <x:c r="I433" s="34" t="str">
        <x:v>PASS</x:v>
      </x:c>
      <x:c r="J433" s="34" t="str">
        <x:v>PASS</x:v>
      </x:c>
      <x:c r="K433" s="34" t="str">
        <x:v>PASS</x:v>
      </x:c>
      <x:c r="L433" s="34" t="str">
        <x:v>PASS</x:v>
      </x:c>
      <x:c r="M433" s="34" t="str">
        <x:v>numeric coverage for applicable metric</x:v>
      </x:c>
      <x:c r="N433" s="34" t="str">
        <x:v>Feedback-Directed Random Test Generation/Result/JacksonDatabind_40/result.json</x:v>
      </x:c>
      <x:c r="O433" s="38" t="n">
        <x:f>IF(AND(G433="RECORDED",ISNUMBER(H433)),H433,"")</x:f>
        <x:v>20.63</x:v>
      </x:c>
      <x:c r="P433" s="34" t="str">
        <x:v>INCONCLUSIVE</x:v>
      </x:c>
      <x:c r="Q433" s="34" t="str">
        <x:v>Feedback-Directed Random Test Generation/Result/JacksonDatabind_40/result.json</x:v>
      </x:c>
    </x:row>
    <x:row r="434">
      <x:c r="A434" s="34" t="str">
        <x:v>randoop</x:v>
      </x:c>
      <x:c r="B434" s="34" t="str">
        <x:v>JacksonDatabind</x:v>
      </x:c>
      <x:c r="C434" s="34" t="str">
        <x:v>Round1</x:v>
      </x:c>
      <x:c r="D434" s="34" t="str">
        <x:v>JacksonDatabind_41</x:v>
      </x:c>
      <x:c r="E434" s="34" t="str">
        <x:v>Coverage</x:v>
      </x:c>
      <x:c r="F434" s="34" t="n">
        <x:v>552</x:v>
      </x:c>
      <x:c r="G434" s="34" t="str">
        <x:v>RECORDED</x:v>
      </x:c>
      <x:c r="H434" s="38" t="n">
        <x:f>IF(ISNUMBER('Data'!G434),'Data'!G434*100,"")</x:f>
        <x:v>19.93</x:v>
      </x:c>
      <x:c r="I434" s="34" t="str">
        <x:v>PASS</x:v>
      </x:c>
      <x:c r="J434" s="34" t="str">
        <x:v>PASS</x:v>
      </x:c>
      <x:c r="K434" s="34" t="str">
        <x:v>PASS</x:v>
      </x:c>
      <x:c r="L434" s="34" t="str">
        <x:v>PASS</x:v>
      </x:c>
      <x:c r="M434" s="34" t="str">
        <x:v>numeric coverage for applicable metric</x:v>
      </x:c>
      <x:c r="N434" s="34" t="str">
        <x:v>Feedback-Directed Random Test Generation/Result/JacksonDatabind_41/result.json</x:v>
      </x:c>
      <x:c r="O434" s="38" t="n">
        <x:f>IF(AND(G434="RECORDED",ISNUMBER(H434)),H434,"")</x:f>
        <x:v>19.93</x:v>
      </x:c>
      <x:c r="P434" s="34" t="str">
        <x:v>NOT_REVEALING</x:v>
      </x:c>
      <x:c r="Q434" s="34" t="str">
        <x:v>Feedback-Directed Random Test Generation/Result/JacksonDatabind_41/result.json</x:v>
      </x:c>
    </x:row>
    <x:row r="435">
      <x:c r="A435" s="34" t="str">
        <x:v>randoop</x:v>
      </x:c>
      <x:c r="B435" s="34" t="str">
        <x:v>JacksonDatabind</x:v>
      </x:c>
      <x:c r="C435" s="34" t="str">
        <x:v>Round1</x:v>
      </x:c>
      <x:c r="D435" s="34" t="str">
        <x:v>JacksonDatabind_42</x:v>
      </x:c>
      <x:c r="E435" s="34" t="str">
        <x:v>Coverage</x:v>
      </x:c>
      <x:c r="F435" s="34" t="n">
        <x:v>189</x:v>
      </x:c>
      <x:c r="G435" s="34" t="str">
        <x:v>RECORDED</x:v>
      </x:c>
      <x:c r="H435" s="38" t="n">
        <x:f>IF(ISNUMBER('Data'!G435),'Data'!G435*100,"")</x:f>
        <x:v>0.53</x:v>
      </x:c>
      <x:c r="I435" s="34" t="str">
        <x:v>PASS</x:v>
      </x:c>
      <x:c r="J435" s="34" t="str">
        <x:v>PASS</x:v>
      </x:c>
      <x:c r="K435" s="34" t="str">
        <x:v>PASS</x:v>
      </x:c>
      <x:c r="L435" s="34" t="str">
        <x:v>PASS</x:v>
      </x:c>
      <x:c r="M435" s="34" t="str">
        <x:v>numeric coverage for applicable metric</x:v>
      </x:c>
      <x:c r="N435" s="34" t="str">
        <x:v>Feedback-Directed Random Test Generation/Result/JacksonDatabind_42/result.json</x:v>
      </x:c>
      <x:c r="O435" s="38" t="n">
        <x:f>IF(AND(G435="RECORDED",ISNUMBER(H435)),H435,"")</x:f>
        <x:v>0.53</x:v>
      </x:c>
      <x:c r="P435" s="34" t="str">
        <x:v>NOT_REVEALING</x:v>
      </x:c>
      <x:c r="Q435" s="34" t="str">
        <x:v>Feedback-Directed Random Test Generation/Result/JacksonDatabind_42/result.json</x:v>
      </x:c>
    </x:row>
    <x:row r="436">
      <x:c r="A436" s="34" t="str">
        <x:v>randoop</x:v>
      </x:c>
      <x:c r="B436" s="34" t="str">
        <x:v>JacksonDatabind</x:v>
      </x:c>
      <x:c r="C436" s="34" t="str">
        <x:v>Round1</x:v>
      </x:c>
      <x:c r="D436" s="34" t="str">
        <x:v>JacksonDatabind_43</x:v>
      </x:c>
      <x:c r="E436" s="34" t="str">
        <x:v>Coverage</x:v>
      </x:c>
      <x:c r="F436" s="34" t="n">
        <x:v>38</x:v>
      </x:c>
      <x:c r="G436" s="34" t="str">
        <x:v>RECORDED</x:v>
      </x:c>
      <x:c r="H436" s="38" t="n">
        <x:f>IF(ISNUMBER('Data'!G436),'Data'!G436*100,"")</x:f>
        <x:v>5.26</x:v>
      </x:c>
      <x:c r="I436" s="34" t="str">
        <x:v>PASS</x:v>
      </x:c>
      <x:c r="J436" s="34" t="str">
        <x:v>PASS</x:v>
      </x:c>
      <x:c r="K436" s="34" t="str">
        <x:v>PASS</x:v>
      </x:c>
      <x:c r="L436" s="34" t="str">
        <x:v>PASS</x:v>
      </x:c>
      <x:c r="M436" s="34" t="str">
        <x:v>numeric coverage for applicable metric</x:v>
      </x:c>
      <x:c r="N436" s="34" t="str">
        <x:v>Feedback-Directed Random Test Generation/Result/JacksonDatabind_43/result.json</x:v>
      </x:c>
      <x:c r="O436" s="38" t="n">
        <x:f>IF(AND(G436="RECORDED",ISNUMBER(H436)),H436,"")</x:f>
        <x:v>5.26</x:v>
      </x:c>
      <x:c r="P436" s="34" t="str">
        <x:v>NOT_REVEALING</x:v>
      </x:c>
      <x:c r="Q436" s="34" t="str">
        <x:v>Feedback-Directed Random Test Generation/Result/JacksonDatabind_43/result.json</x:v>
      </x:c>
    </x:row>
    <x:row r="437">
      <x:c r="A437" s="34" t="str">
        <x:v>randoop</x:v>
      </x:c>
      <x:c r="B437" s="34" t="str">
        <x:v>JacksonDatabind</x:v>
      </x:c>
      <x:c r="C437" s="34" t="str">
        <x:v>Round1</x:v>
      </x:c>
      <x:c r="D437" s="34" t="str">
        <x:v>JacksonDatabind_44</x:v>
      </x:c>
      <x:c r="E437" s="34" t="str">
        <x:v>Coverage</x:v>
      </x:c>
      <x:c r="F437" s="34" t="n">
        <x:v>111</x:v>
      </x:c>
      <x:c r="G437" s="34" t="str">
        <x:v>RECORDED</x:v>
      </x:c>
      <x:c r="H437" s="38" t="n">
        <x:f>IF(ISNUMBER('Data'!G437),'Data'!G437*100,"")</x:f>
        <x:v>0</x:v>
      </x:c>
      <x:c r="I437" s="34" t="str">
        <x:v>PASS</x:v>
      </x:c>
      <x:c r="J437" s="34" t="str">
        <x:v>PASS</x:v>
      </x:c>
      <x:c r="K437" s="34" t="str">
        <x:v>PASS</x:v>
      </x:c>
      <x:c r="L437" s="34" t="str">
        <x:v>PASS</x:v>
      </x:c>
      <x:c r="M437" s="34" t="str">
        <x:v>numeric coverage for applicable metric</x:v>
      </x:c>
      <x:c r="N437" s="34" t="str">
        <x:v>Feedback-Directed Random Test Generation/Result/JacksonDatabind_44/result.json</x:v>
      </x:c>
      <x:c r="O437" s="38" t="n">
        <x:f>IF(AND(G437="RECORDED",ISNUMBER(H437)),H437,"")</x:f>
        <x:v>0</x:v>
      </x:c>
      <x:c r="P437" s="34" t="str">
        <x:v>NOT_REVEALING</x:v>
      </x:c>
      <x:c r="Q437" s="34" t="str">
        <x:v>Feedback-Directed Random Test Generation/Result/JacksonDatabind_44/result.json</x:v>
      </x:c>
    </x:row>
    <x:row r="438">
      <x:c r="A438" s="34" t="str">
        <x:v>randoop</x:v>
      </x:c>
      <x:c r="B438" s="34" t="str">
        <x:v>JacksonDatabind</x:v>
      </x:c>
      <x:c r="C438" s="34" t="str">
        <x:v>Round1</x:v>
      </x:c>
      <x:c r="D438" s="34" t="str">
        <x:v>JacksonDatabind_45</x:v>
      </x:c>
      <x:c r="E438" s="34" t="str">
        <x:v>Coverage</x:v>
      </x:c>
      <x:c r="F438" s="34" t="n">
        <x:v>72</x:v>
      </x:c>
      <x:c r="G438" s="34" t="str">
        <x:v>RECORDED</x:v>
      </x:c>
      <x:c r="H438" s="38" t="n">
        <x:f>IF(ISNUMBER('Data'!G438),'Data'!G438*100,"")</x:f>
        <x:v>0</x:v>
      </x:c>
      <x:c r="I438" s="34" t="str">
        <x:v>PASS</x:v>
      </x:c>
      <x:c r="J438" s="34" t="str">
        <x:v>PASS</x:v>
      </x:c>
      <x:c r="K438" s="34" t="str">
        <x:v>PASS</x:v>
      </x:c>
      <x:c r="L438" s="34" t="str">
        <x:v>PASS</x:v>
      </x:c>
      <x:c r="M438" s="34" t="str">
        <x:v>numeric coverage for applicable metric</x:v>
      </x:c>
      <x:c r="N438" s="34" t="str">
        <x:v>Feedback-Directed Random Test Generation/Result/JacksonDatabind_45/result.json</x:v>
      </x:c>
      <x:c r="O438" s="38" t="n">
        <x:f>IF(AND(G438="RECORDED",ISNUMBER(H438)),H438,"")</x:f>
        <x:v>0</x:v>
      </x:c>
      <x:c r="P438" s="34" t="str">
        <x:v>NOT_REVEALING</x:v>
      </x:c>
      <x:c r="Q438" s="34" t="str">
        <x:v>Feedback-Directed Random Test Generation/Result/JacksonDatabind_45/result.json</x:v>
      </x:c>
    </x:row>
    <x:row r="439">
      <x:c r="A439" s="34" t="str">
        <x:v>randoop</x:v>
      </x:c>
      <x:c r="B439" s="34" t="str">
        <x:v>JacksonDatabind</x:v>
      </x:c>
      <x:c r="C439" s="34" t="str">
        <x:v>Round1</x:v>
      </x:c>
      <x:c r="D439" s="34" t="str">
        <x:v>JacksonDatabind_46</x:v>
      </x:c>
      <x:c r="E439" s="34" t="str">
        <x:v>Coverage</x:v>
      </x:c>
      <x:c r="F439" s="34" t="n">
        <x:v>74</x:v>
      </x:c>
      <x:c r="G439" s="34" t="str">
        <x:v>RECORDED</x:v>
      </x:c>
      <x:c r="H439" s="38" t="n">
        <x:f>IF(ISNUMBER('Data'!G439),'Data'!G439*100,"")</x:f>
        <x:v>0</x:v>
      </x:c>
      <x:c r="I439" s="34" t="str">
        <x:v>PASS</x:v>
      </x:c>
      <x:c r="J439" s="34" t="str">
        <x:v>PASS</x:v>
      </x:c>
      <x:c r="K439" s="34" t="str">
        <x:v>PASS</x:v>
      </x:c>
      <x:c r="L439" s="34" t="str">
        <x:v>PASS</x:v>
      </x:c>
      <x:c r="M439" s="34" t="str">
        <x:v>numeric coverage for applicable metric</x:v>
      </x:c>
      <x:c r="N439" s="34" t="str">
        <x:v>Feedback-Directed Random Test Generation/Result/JacksonDatabind_46/result.json</x:v>
      </x:c>
      <x:c r="O439" s="38" t="n">
        <x:f>IF(AND(G439="RECORDED",ISNUMBER(H439)),H439,"")</x:f>
        <x:v>0</x:v>
      </x:c>
      <x:c r="P439" s="34" t="str">
        <x:v>NOT_REVEALING</x:v>
      </x:c>
      <x:c r="Q439" s="34" t="str">
        <x:v>Feedback-Directed Random Test Generation/Result/JacksonDatabind_46/result.json</x:v>
      </x:c>
    </x:row>
    <x:row r="440">
      <x:c r="A440" s="34" t="str">
        <x:v>randoop</x:v>
      </x:c>
      <x:c r="B440" s="34" t="str">
        <x:v>JacksonDatabind</x:v>
      </x:c>
      <x:c r="C440" s="34" t="str">
        <x:v>Round1</x:v>
      </x:c>
      <x:c r="D440" s="34" t="str">
        <x:v>JacksonDatabind_47</x:v>
      </x:c>
      <x:c r="E440" s="34" t="str">
        <x:v>Coverage</x:v>
      </x:c>
      <x:c r="F440" s="34" t="n">
        <x:v>0</x:v>
      </x:c>
      <x:c r="G440" s="34" t="str">
        <x:v>A</x:v>
      </x:c>
      <x:c r="H440" s="38" t="str">
        <x:f>IF(ISNUMBER('Data'!G440),'Data'!G440*100,"")</x:f>
      </x:c>
      <x:c r="I440" s="34"/>
      <x:c r="J440" s="34"/>
      <x:c r="K440" s="34"/>
      <x:c r="L440" s="34" t="str">
        <x:v>NOT_RUN</x:v>
      </x:c>
      <x:c r="M440" s="34" t="str">
        <x:v>Latest same-round generation failed; older files/results are excluded</x:v>
      </x:c>
      <x:c r="N440" s="34" t="str">
        <x:v>Feedback-Directed Random Test Generation/report.csv</x:v>
      </x:c>
      <x:c r="O440" s="38" t="str">
        <x:f>IF(AND(G440="RECORDED",ISNUMBER(H440)),H440,"")</x:f>
      </x:c>
      <x:c r="P440" s="34" t="str">
        <x:v>FAIL</x:v>
      </x:c>
      <x:c r="Q440" s="34"/>
    </x:row>
    <x:row r="441">
      <x:c r="A441" s="34" t="str">
        <x:v>randoop</x:v>
      </x:c>
      <x:c r="B441" s="34" t="str">
        <x:v>JacksonDatabind</x:v>
      </x:c>
      <x:c r="C441" s="34" t="str">
        <x:v>Round1</x:v>
      </x:c>
      <x:c r="D441" s="34" t="str">
        <x:v>JacksonDatabind_48</x:v>
      </x:c>
      <x:c r="E441" s="34" t="str">
        <x:v>Coverage</x:v>
      </x:c>
      <x:c r="F441" s="34" t="n">
        <x:v>823</x:v>
      </x:c>
      <x:c r="G441" s="34" t="str">
        <x:v>RECORDED</x:v>
      </x:c>
      <x:c r="H441" s="38" t="n">
        <x:f>IF(ISNUMBER('Data'!G441),'Data'!G441*100,"")</x:f>
        <x:v>52.49</x:v>
      </x:c>
      <x:c r="I441" s="34" t="str">
        <x:v>PASS</x:v>
      </x:c>
      <x:c r="J441" s="34" t="str">
        <x:v>PASS</x:v>
      </x:c>
      <x:c r="K441" s="34" t="str">
        <x:v>PASS</x:v>
      </x:c>
      <x:c r="L441" s="34" t="str">
        <x:v>PASS</x:v>
      </x:c>
      <x:c r="M441" s="34" t="str">
        <x:v>numeric coverage for applicable metric</x:v>
      </x:c>
      <x:c r="N441" s="34" t="str">
        <x:v>Feedback-Directed Random Test Generation/Result/JacksonDatabind_48/result.json</x:v>
      </x:c>
      <x:c r="O441" s="38" t="n">
        <x:f>IF(AND(G441="RECORDED",ISNUMBER(H441)),H441,"")</x:f>
        <x:v>52.49</x:v>
      </x:c>
      <x:c r="P441" s="34" t="str">
        <x:v>NOT_REVEALING</x:v>
      </x:c>
      <x:c r="Q441" s="34" t="str">
        <x:v>Feedback-Directed Random Test Generation/Result/JacksonDatabind_48/result.json</x:v>
      </x:c>
    </x:row>
    <x:row r="442">
      <x:c r="A442" s="34" t="str">
        <x:v>randoop</x:v>
      </x:c>
      <x:c r="B442" s="34" t="str">
        <x:v>JacksonDatabind</x:v>
      </x:c>
      <x:c r="C442" s="34" t="str">
        <x:v>Round1</x:v>
      </x:c>
      <x:c r="D442" s="34" t="str">
        <x:v>JacksonDatabind_49</x:v>
      </x:c>
      <x:c r="E442" s="34" t="str">
        <x:v>Coverage</x:v>
      </x:c>
      <x:c r="F442" s="34" t="n">
        <x:v>33</x:v>
      </x:c>
      <x:c r="G442" s="34" t="str">
        <x:v>RECORDED</x:v>
      </x:c>
      <x:c r="H442" s="38" t="n">
        <x:f>IF(ISNUMBER('Data'!G442),'Data'!G442*100,"")</x:f>
        <x:v>0</x:v>
      </x:c>
      <x:c r="I442" s="34" t="str">
        <x:v>PASS</x:v>
      </x:c>
      <x:c r="J442" s="34" t="str">
        <x:v>PASS</x:v>
      </x:c>
      <x:c r="K442" s="34" t="str">
        <x:v>PASS</x:v>
      </x:c>
      <x:c r="L442" s="34" t="str">
        <x:v>PASS</x:v>
      </x:c>
      <x:c r="M442" s="34" t="str">
        <x:v>numeric coverage for applicable metric</x:v>
      </x:c>
      <x:c r="N442" s="34" t="str">
        <x:v>Feedback-Directed Random Test Generation/Result/JacksonDatabind_49/result.json</x:v>
      </x:c>
      <x:c r="O442" s="38" t="n">
        <x:f>IF(AND(G442="RECORDED",ISNUMBER(H442)),H442,"")</x:f>
        <x:v>0</x:v>
      </x:c>
      <x:c r="P442" s="34" t="str">
        <x:v>NOT_REVEALING</x:v>
      </x:c>
      <x:c r="Q442" s="34" t="str">
        <x:v>Feedback-Directed Random Test Generation/Result/JacksonDatabind_49/result.json</x:v>
      </x:c>
    </x:row>
    <x:row r="443">
      <x:c r="A443" s="34" t="str">
        <x:v>randoop</x:v>
      </x:c>
      <x:c r="B443" s="34" t="str">
        <x:v>JacksonDatabind</x:v>
      </x:c>
      <x:c r="C443" s="34" t="str">
        <x:v>Round1</x:v>
      </x:c>
      <x:c r="D443" s="34" t="str">
        <x:v>JacksonDatabind_50</x:v>
      </x:c>
      <x:c r="E443" s="34" t="str">
        <x:v>Coverage</x:v>
      </x:c>
      <x:c r="F443" s="34" t="n">
        <x:v>642</x:v>
      </x:c>
      <x:c r="G443" s="34" t="str">
        <x:v>RECORDED</x:v>
      </x:c>
      <x:c r="H443" s="38" t="n">
        <x:f>IF(ISNUMBER('Data'!G443),'Data'!G443*100,"")</x:f>
        <x:v>1.09</x:v>
      </x:c>
      <x:c r="I443" s="34" t="str">
        <x:v>PASS</x:v>
      </x:c>
      <x:c r="J443" s="34" t="str">
        <x:v>PASS</x:v>
      </x:c>
      <x:c r="K443" s="34" t="str">
        <x:v>PASS</x:v>
      </x:c>
      <x:c r="L443" s="34" t="str">
        <x:v>PASS</x:v>
      </x:c>
      <x:c r="M443" s="34" t="str">
        <x:v>numeric coverage for applicable metric</x:v>
      </x:c>
      <x:c r="N443" s="34" t="str">
        <x:v>Feedback-Directed Random Test Generation/Result/JacksonDatabind_50/result.json</x:v>
      </x:c>
      <x:c r="O443" s="38" t="n">
        <x:f>IF(AND(G443="RECORDED",ISNUMBER(H443)),H443,"")</x:f>
        <x:v>1.09</x:v>
      </x:c>
      <x:c r="P443" s="34" t="str">
        <x:v>NOT_REVEALING</x:v>
      </x:c>
      <x:c r="Q443" s="34" t="str">
        <x:v>Feedback-Directed Random Test Generation/Result/JacksonDatabind_50/result.json</x:v>
      </x:c>
    </x:row>
    <x:row r="444">
      <x:c r="A444" s="34" t="str">
        <x:v>randoop</x:v>
      </x:c>
      <x:c r="B444" s="34" t="str">
        <x:v>JacksonDatabind</x:v>
      </x:c>
      <x:c r="C444" s="34" t="str">
        <x:v>Round1</x:v>
      </x:c>
      <x:c r="D444" s="34" t="str">
        <x:v>JacksonDatabind_51</x:v>
      </x:c>
      <x:c r="E444" s="34" t="str">
        <x:v>Coverage</x:v>
      </x:c>
      <x:c r="F444" s="34" t="n">
        <x:v>108</x:v>
      </x:c>
      <x:c r="G444" s="34" t="str">
        <x:v>RECORDED</x:v>
      </x:c>
      <x:c r="H444" s="38" t="n">
        <x:f>IF(ISNUMBER('Data'!G444),'Data'!G444*100,"")</x:f>
        <x:v>0</x:v>
      </x:c>
      <x:c r="I444" s="34" t="str">
        <x:v>PASS</x:v>
      </x:c>
      <x:c r="J444" s="34" t="str">
        <x:v>PASS</x:v>
      </x:c>
      <x:c r="K444" s="34" t="str">
        <x:v>PASS</x:v>
      </x:c>
      <x:c r="L444" s="34" t="str">
        <x:v>PASS</x:v>
      </x:c>
      <x:c r="M444" s="34" t="str">
        <x:v>numeric coverage for applicable metric</x:v>
      </x:c>
      <x:c r="N444" s="34" t="str">
        <x:v>Feedback-Directed Random Test Generation/Result/JacksonDatabind_51/result.json</x:v>
      </x:c>
      <x:c r="O444" s="38" t="n">
        <x:f>IF(AND(G444="RECORDED",ISNUMBER(H444)),H444,"")</x:f>
        <x:v>0</x:v>
      </x:c>
      <x:c r="P444" s="34" t="str">
        <x:v>NOT_REVEALING</x:v>
      </x:c>
      <x:c r="Q444" s="34" t="str">
        <x:v>Feedback-Directed Random Test Generation/Result/JacksonDatabind_51/result.json</x:v>
      </x:c>
    </x:row>
    <x:row r="445">
      <x:c r="A445" s="34" t="str">
        <x:v>randoop</x:v>
      </x:c>
      <x:c r="B445" s="34" t="str">
        <x:v>JacksonDatabind</x:v>
      </x:c>
      <x:c r="C445" s="34" t="str">
        <x:v>Round1</x:v>
      </x:c>
      <x:c r="D445" s="34" t="str">
        <x:v>JacksonDatabind_52</x:v>
      </x:c>
      <x:c r="E445" s="34" t="str">
        <x:v>Coverage</x:v>
      </x:c>
      <x:c r="F445" s="34" t="n">
        <x:v>1173</x:v>
      </x:c>
      <x:c r="G445" s="34" t="str">
        <x:v>RECORDED</x:v>
      </x:c>
      <x:c r="H445" s="38" t="n">
        <x:f>IF(ISNUMBER('Data'!G445),'Data'!G445*100,"")</x:f>
        <x:v>3.5000000000000004</x:v>
      </x:c>
      <x:c r="I445" s="34" t="str">
        <x:v>PASS</x:v>
      </x:c>
      <x:c r="J445" s="34" t="str">
        <x:v>PASS</x:v>
      </x:c>
      <x:c r="K445" s="34" t="str">
        <x:v>PASS</x:v>
      </x:c>
      <x:c r="L445" s="34" t="str">
        <x:v>PASS</x:v>
      </x:c>
      <x:c r="M445" s="34" t="str">
        <x:v>numeric coverage for applicable metric</x:v>
      </x:c>
      <x:c r="N445" s="34" t="str">
        <x:v>Feedback-Directed Random Test Generation/Result/JacksonDatabind_52/result.json</x:v>
      </x:c>
      <x:c r="O445" s="38" t="n">
        <x:f>IF(AND(G445="RECORDED",ISNUMBER(H445)),H445,"")</x:f>
        <x:v>3.5000000000000004</x:v>
      </x:c>
      <x:c r="P445" s="34" t="str">
        <x:v>NOT_REVEALING</x:v>
      </x:c>
      <x:c r="Q445" s="34" t="str">
        <x:v>Feedback-Directed Random Test Generation/Result/JacksonDatabind_52/result.json</x:v>
      </x:c>
    </x:row>
    <x:row r="446">
      <x:c r="A446" s="34" t="str">
        <x:v>randoop</x:v>
      </x:c>
      <x:c r="B446" s="34" t="str">
        <x:v>JacksonDatabind</x:v>
      </x:c>
      <x:c r="C446" s="34" t="str">
        <x:v>Round1</x:v>
      </x:c>
      <x:c r="D446" s="34" t="str">
        <x:v>JacksonDatabind_53</x:v>
      </x:c>
      <x:c r="E446" s="34" t="str">
        <x:v>Coverage</x:v>
      </x:c>
      <x:c r="F446" s="34" t="n">
        <x:v>851</x:v>
      </x:c>
      <x:c r="G446" s="34" t="str">
        <x:v>RECORDED</x:v>
      </x:c>
      <x:c r="H446" s="38" t="n">
        <x:f>IF(ISNUMBER('Data'!G446),'Data'!G446*100,"")</x:f>
        <x:v>35.02</x:v>
      </x:c>
      <x:c r="I446" s="34" t="str">
        <x:v>PASS</x:v>
      </x:c>
      <x:c r="J446" s="34" t="str">
        <x:v>PASS</x:v>
      </x:c>
      <x:c r="K446" s="34" t="str">
        <x:v>PASS</x:v>
      </x:c>
      <x:c r="L446" s="34" t="str">
        <x:v>PASS</x:v>
      </x:c>
      <x:c r="M446" s="34" t="str">
        <x:v>numeric coverage for applicable metric</x:v>
      </x:c>
      <x:c r="N446" s="34" t="str">
        <x:v>Feedback-Directed Random Test Generation/Result/JacksonDatabind_53/result.json</x:v>
      </x:c>
      <x:c r="O446" s="38" t="n">
        <x:f>IF(AND(G446="RECORDED",ISNUMBER(H446)),H446,"")</x:f>
        <x:v>35.02</x:v>
      </x:c>
      <x:c r="P446" s="34" t="str">
        <x:v>NOT_AVAILABLE</x:v>
      </x:c>
      <x:c r="Q446" s="34" t="str">
        <x:v>Feedback-Directed Random Test Generation/Result/JacksonDatabind_53/result.json</x:v>
      </x:c>
    </x:row>
    <x:row r="447">
      <x:c r="A447" s="34" t="str">
        <x:v>randoop</x:v>
      </x:c>
      <x:c r="B447" s="34" t="str">
        <x:v>JacksonDatabind</x:v>
      </x:c>
      <x:c r="C447" s="34" t="str">
        <x:v>Round1</x:v>
      </x:c>
      <x:c r="D447" s="34" t="str">
        <x:v>JacksonDatabind_54</x:v>
      </x:c>
      <x:c r="E447" s="34" t="str">
        <x:v>Coverage</x:v>
      </x:c>
      <x:c r="F447" s="34" t="n">
        <x:v>164</x:v>
      </x:c>
      <x:c r="G447" s="34" t="str">
        <x:v>RECORDED</x:v>
      </x:c>
      <x:c r="H447" s="38" t="n">
        <x:f>IF(ISNUMBER('Data'!G447),'Data'!G447*100,"")</x:f>
        <x:v>3.66</x:v>
      </x:c>
      <x:c r="I447" s="34" t="str">
        <x:v>PASS</x:v>
      </x:c>
      <x:c r="J447" s="34" t="str">
        <x:v>PASS</x:v>
      </x:c>
      <x:c r="K447" s="34" t="str">
        <x:v>PASS</x:v>
      </x:c>
      <x:c r="L447" s="34" t="str">
        <x:v>PASS</x:v>
      </x:c>
      <x:c r="M447" s="34" t="str">
        <x:v>numeric coverage for applicable metric</x:v>
      </x:c>
      <x:c r="N447" s="34" t="str">
        <x:v>Feedback-Directed Random Test Generation/Result/JacksonDatabind_54/result.json</x:v>
      </x:c>
      <x:c r="O447" s="38" t="n">
        <x:f>IF(AND(G447="RECORDED",ISNUMBER(H447)),H447,"")</x:f>
        <x:v>3.66</x:v>
      </x:c>
      <x:c r="P447" s="34" t="str">
        <x:v>NOT_REVEALING</x:v>
      </x:c>
      <x:c r="Q447" s="34" t="str">
        <x:v>Feedback-Directed Random Test Generation/Result/JacksonDatabind_54/result.json</x:v>
      </x:c>
    </x:row>
    <x:row r="448">
      <x:c r="A448" s="34" t="str">
        <x:v>randoop</x:v>
      </x:c>
      <x:c r="B448" s="34" t="str">
        <x:v>JacksonDatabind</x:v>
      </x:c>
      <x:c r="C448" s="34" t="str">
        <x:v>Round1</x:v>
      </x:c>
      <x:c r="D448" s="34" t="str">
        <x:v>JacksonDatabind_55</x:v>
      </x:c>
      <x:c r="E448" s="34" t="str">
        <x:v>Coverage</x:v>
      </x:c>
      <x:c r="F448" s="34" t="n">
        <x:v>98</x:v>
      </x:c>
      <x:c r="G448" s="34" t="str">
        <x:v>RECORDED</x:v>
      </x:c>
      <x:c r="H448" s="38" t="n">
        <x:f>IF(ISNUMBER('Data'!G448),'Data'!G448*100,"")</x:f>
        <x:v>18.37</x:v>
      </x:c>
      <x:c r="I448" s="34" t="str">
        <x:v>PASS</x:v>
      </x:c>
      <x:c r="J448" s="34" t="str">
        <x:v>PASS</x:v>
      </x:c>
      <x:c r="K448" s="34" t="str">
        <x:v>PASS</x:v>
      </x:c>
      <x:c r="L448" s="34" t="str">
        <x:v>PASS</x:v>
      </x:c>
      <x:c r="M448" s="34" t="str">
        <x:v>numeric coverage for applicable metric</x:v>
      </x:c>
      <x:c r="N448" s="34" t="str">
        <x:v>Feedback-Directed Random Test Generation/Result/JacksonDatabind_55/result.json</x:v>
      </x:c>
      <x:c r="O448" s="38" t="n">
        <x:f>IF(AND(G448="RECORDED",ISNUMBER(H448)),H448,"")</x:f>
        <x:v>18.37</x:v>
      </x:c>
      <x:c r="P448" s="34" t="str">
        <x:v>NOT_REVEALING</x:v>
      </x:c>
      <x:c r="Q448" s="34" t="str">
        <x:v>Feedback-Directed Random Test Generation/Result/JacksonDatabind_55/result.json</x:v>
      </x:c>
    </x:row>
    <x:row r="449">
      <x:c r="A449" s="34" t="str">
        <x:v>randoop</x:v>
      </x:c>
      <x:c r="B449" s="34" t="str">
        <x:v>JacksonDatabind</x:v>
      </x:c>
      <x:c r="C449" s="34" t="str">
        <x:v>Round1</x:v>
      </x:c>
      <x:c r="D449" s="34" t="str">
        <x:v>JacksonDatabind_56</x:v>
      </x:c>
      <x:c r="E449" s="34" t="str">
        <x:v>Coverage</x:v>
      </x:c>
      <x:c r="F449" s="34" t="n">
        <x:v>193</x:v>
      </x:c>
      <x:c r="G449" s="34" t="str">
        <x:v>RECORDED</x:v>
      </x:c>
      <x:c r="H449" s="38" t="n">
        <x:f>IF(ISNUMBER('Data'!G449),'Data'!G449*100,"")</x:f>
        <x:v>0.52</x:v>
      </x:c>
      <x:c r="I449" s="34" t="str">
        <x:v>PASS</x:v>
      </x:c>
      <x:c r="J449" s="34" t="str">
        <x:v>PASS</x:v>
      </x:c>
      <x:c r="K449" s="34" t="str">
        <x:v>PASS</x:v>
      </x:c>
      <x:c r="L449" s="34" t="str">
        <x:v>PASS</x:v>
      </x:c>
      <x:c r="M449" s="34" t="str">
        <x:v>numeric coverage for applicable metric</x:v>
      </x:c>
      <x:c r="N449" s="34" t="str">
        <x:v>Feedback-Directed Random Test Generation/Result/JacksonDatabind_56/result.json</x:v>
      </x:c>
      <x:c r="O449" s="38" t="n">
        <x:f>IF(AND(G449="RECORDED",ISNUMBER(H449)),H449,"")</x:f>
        <x:v>0.52</x:v>
      </x:c>
      <x:c r="P449" s="34" t="str">
        <x:v>NOT_REVEALING</x:v>
      </x:c>
      <x:c r="Q449" s="34" t="str">
        <x:v>Feedback-Directed Random Test Generation/Result/JacksonDatabind_56/result.json</x:v>
      </x:c>
    </x:row>
    <x:row r="450">
      <x:c r="A450" s="34" t="str">
        <x:v>randoop</x:v>
      </x:c>
      <x:c r="B450" s="34" t="str">
        <x:v>JacksonDatabind</x:v>
      </x:c>
      <x:c r="C450" s="34" t="str">
        <x:v>Round1</x:v>
      </x:c>
      <x:c r="D450" s="34" t="str">
        <x:v>JacksonDatabind_57</x:v>
      </x:c>
      <x:c r="E450" s="34" t="str">
        <x:v>Coverage</x:v>
      </x:c>
      <x:c r="F450" s="34" t="n">
        <x:v>564</x:v>
      </x:c>
      <x:c r="G450" s="34" t="str">
        <x:v>RECORDED</x:v>
      </x:c>
      <x:c r="H450" s="38" t="n">
        <x:f>IF(ISNUMBER('Data'!G450),'Data'!G450*100,"")</x:f>
        <x:v>2.66</x:v>
      </x:c>
      <x:c r="I450" s="34" t="str">
        <x:v>PASS</x:v>
      </x:c>
      <x:c r="J450" s="34" t="str">
        <x:v>PASS</x:v>
      </x:c>
      <x:c r="K450" s="34" t="str">
        <x:v>PASS</x:v>
      </x:c>
      <x:c r="L450" s="34" t="str">
        <x:v>PASS</x:v>
      </x:c>
      <x:c r="M450" s="34" t="str">
        <x:v>numeric coverage for applicable metric</x:v>
      </x:c>
      <x:c r="N450" s="34" t="str">
        <x:v>Feedback-Directed Random Test Generation/Result/JacksonDatabind_57/result.json</x:v>
      </x:c>
      <x:c r="O450" s="38" t="n">
        <x:f>IF(AND(G450="RECORDED",ISNUMBER(H450)),H450,"")</x:f>
        <x:v>2.66</x:v>
      </x:c>
      <x:c r="P450" s="34" t="str">
        <x:v>NOT_REVEALING</x:v>
      </x:c>
      <x:c r="Q450" s="34" t="str">
        <x:v>Feedback-Directed Random Test Generation/Result/JacksonDatabind_57/result.json</x:v>
      </x:c>
    </x:row>
    <x:row r="451">
      <x:c r="A451" s="34" t="str">
        <x:v>randoop</x:v>
      </x:c>
      <x:c r="B451" s="34" t="str">
        <x:v>JacksonDatabind</x:v>
      </x:c>
      <x:c r="C451" s="34" t="str">
        <x:v>Round1</x:v>
      </x:c>
      <x:c r="D451" s="34" t="str">
        <x:v>JacksonDatabind_58</x:v>
      </x:c>
      <x:c r="E451" s="34" t="str">
        <x:v>Coverage</x:v>
      </x:c>
      <x:c r="F451" s="34" t="n">
        <x:v>517</x:v>
      </x:c>
      <x:c r="G451" s="34" t="str">
        <x:v>RECORDED</x:v>
      </x:c>
      <x:c r="H451" s="38" t="n">
        <x:f>IF(ISNUMBER('Data'!G451),'Data'!G451*100,"")</x:f>
        <x:v>6.77</x:v>
      </x:c>
      <x:c r="I451" s="34" t="str">
        <x:v>PASS</x:v>
      </x:c>
      <x:c r="J451" s="34" t="str">
        <x:v>PASS</x:v>
      </x:c>
      <x:c r="K451" s="34" t="str">
        <x:v>PASS</x:v>
      </x:c>
      <x:c r="L451" s="34" t="str">
        <x:v>PASS</x:v>
      </x:c>
      <x:c r="M451" s="34" t="str">
        <x:v>numeric coverage for applicable metric</x:v>
      </x:c>
      <x:c r="N451" s="34" t="str">
        <x:v>Feedback-Directed Random Test Generation/Result/JacksonDatabind_58/result.json</x:v>
      </x:c>
      <x:c r="O451" s="38" t="n">
        <x:f>IF(AND(G451="RECORDED",ISNUMBER(H451)),H451,"")</x:f>
        <x:v>6.77</x:v>
      </x:c>
      <x:c r="P451" s="34" t="str">
        <x:v>NOT_REVEALING</x:v>
      </x:c>
      <x:c r="Q451" s="34" t="str">
        <x:v>Feedback-Directed Random Test Generation/Result/JacksonDatabind_58/result.json</x:v>
      </x:c>
    </x:row>
    <x:row r="452">
      <x:c r="A452" s="34" t="str">
        <x:v>randoop</x:v>
      </x:c>
      <x:c r="B452" s="34" t="str">
        <x:v>JacksonDatabind</x:v>
      </x:c>
      <x:c r="C452" s="34" t="str">
        <x:v>Round1</x:v>
      </x:c>
      <x:c r="D452" s="34" t="str">
        <x:v>JacksonDatabind_59</x:v>
      </x:c>
      <x:c r="E452" s="34" t="str">
        <x:v>Coverage</x:v>
      </x:c>
      <x:c r="F452" s="34" t="n">
        <x:v>881</x:v>
      </x:c>
      <x:c r="G452" s="34" t="str">
        <x:v>RECORDED</x:v>
      </x:c>
      <x:c r="H452" s="38" t="n">
        <x:f>IF(ISNUMBER('Data'!G452),'Data'!G452*100,"")</x:f>
        <x:v>23.27</x:v>
      </x:c>
      <x:c r="I452" s="34" t="str">
        <x:v>PASS</x:v>
      </x:c>
      <x:c r="J452" s="34" t="str">
        <x:v>PASS</x:v>
      </x:c>
      <x:c r="K452" s="34" t="str">
        <x:v>PASS</x:v>
      </x:c>
      <x:c r="L452" s="34" t="str">
        <x:v>PASS</x:v>
      </x:c>
      <x:c r="M452" s="34" t="str">
        <x:v>numeric coverage for applicable metric</x:v>
      </x:c>
      <x:c r="N452" s="34" t="str">
        <x:v>Feedback-Directed Random Test Generation/Result/JacksonDatabind_59/result.json</x:v>
      </x:c>
      <x:c r="O452" s="38" t="n">
        <x:f>IF(AND(G452="RECORDED",ISNUMBER(H452)),H452,"")</x:f>
        <x:v>23.27</x:v>
      </x:c>
      <x:c r="P452" s="34" t="str">
        <x:v>NOT_REVEALING</x:v>
      </x:c>
      <x:c r="Q452" s="34" t="str">
        <x:v>Feedback-Directed Random Test Generation/Result/JacksonDatabind_59/result.json</x:v>
      </x:c>
    </x:row>
    <x:row r="453">
      <x:c r="A453" s="34" t="str">
        <x:v>randoop</x:v>
      </x:c>
      <x:c r="B453" s="34" t="str">
        <x:v>JacksonDatabind</x:v>
      </x:c>
      <x:c r="C453" s="34" t="str">
        <x:v>Round1</x:v>
      </x:c>
      <x:c r="D453" s="34" t="str">
        <x:v>JacksonDatabind_60</x:v>
      </x:c>
      <x:c r="E453" s="34" t="str">
        <x:v>Coverage</x:v>
      </x:c>
      <x:c r="F453" s="34" t="n">
        <x:v>184</x:v>
      </x:c>
      <x:c r="G453" s="34" t="str">
        <x:v>RECORDED</x:v>
      </x:c>
      <x:c r="H453" s="38" t="n">
        <x:f>IF(ISNUMBER('Data'!G453),'Data'!G453*100,"")</x:f>
        <x:v>0</x:v>
      </x:c>
      <x:c r="I453" s="34" t="str">
        <x:v>PASS</x:v>
      </x:c>
      <x:c r="J453" s="34" t="str">
        <x:v>PASS</x:v>
      </x:c>
      <x:c r="K453" s="34" t="str">
        <x:v>PASS</x:v>
      </x:c>
      <x:c r="L453" s="34" t="str">
        <x:v>PASS</x:v>
      </x:c>
      <x:c r="M453" s="34" t="str">
        <x:v>numeric coverage for applicable metric</x:v>
      </x:c>
      <x:c r="N453" s="34" t="str">
        <x:v>Feedback-Directed Random Test Generation/Result/JacksonDatabind_60/result.json</x:v>
      </x:c>
      <x:c r="O453" s="38" t="n">
        <x:f>IF(AND(G453="RECORDED",ISNUMBER(H453)),H453,"")</x:f>
        <x:v>0</x:v>
      </x:c>
      <x:c r="P453" s="34" t="str">
        <x:v>NOT_REVEALING</x:v>
      </x:c>
      <x:c r="Q453" s="34" t="str">
        <x:v>Feedback-Directed Random Test Generation/Result/JacksonDatabind_60/result.json</x:v>
      </x:c>
    </x:row>
    <x:row r="454">
      <x:c r="A454" s="34" t="str">
        <x:v>randoop</x:v>
      </x:c>
      <x:c r="B454" s="34" t="str">
        <x:v>JacksonDatabind</x:v>
      </x:c>
      <x:c r="C454" s="34" t="str">
        <x:v>Round1</x:v>
      </x:c>
      <x:c r="D454" s="34" t="str">
        <x:v>JacksonDatabind_61</x:v>
      </x:c>
      <x:c r="E454" s="34" t="str">
        <x:v>Coverage</x:v>
      </x:c>
      <x:c r="F454" s="34" t="n">
        <x:v>979</x:v>
      </x:c>
      <x:c r="G454" s="34" t="str">
        <x:v>RECORDED</x:v>
      </x:c>
      <x:c r="H454" s="38" t="n">
        <x:f>IF(ISNUMBER('Data'!G454),'Data'!G454*100,"")</x:f>
        <x:v>35.96</x:v>
      </x:c>
      <x:c r="I454" s="34" t="str">
        <x:v>PASS</x:v>
      </x:c>
      <x:c r="J454" s="34" t="str">
        <x:v>PASS</x:v>
      </x:c>
      <x:c r="K454" s="34" t="str">
        <x:v>PASS</x:v>
      </x:c>
      <x:c r="L454" s="34" t="str">
        <x:v>FAIL</x:v>
      </x:c>
      <x:c r="M454" s="34" t="str">
        <x:v>numeric coverage for applicable metric</x:v>
      </x:c>
      <x:c r="N454" s="34" t="str">
        <x:v>Feedback-Directed Random Test Generation/Result/JacksonDatabind_61/result.json</x:v>
      </x:c>
      <x:c r="O454" s="38" t="n">
        <x:f>IF(AND(G454="RECORDED",ISNUMBER(H454)),H454,"")</x:f>
        <x:v>35.96</x:v>
      </x:c>
      <x:c r="P454" s="34" t="str">
        <x:v>INCONCLUSIVE</x:v>
      </x:c>
      <x:c r="Q454" s="34" t="str">
        <x:v>Feedback-Directed Random Test Generation/Result/JacksonDatabind_61/result.json</x:v>
      </x:c>
    </x:row>
    <x:row r="455">
      <x:c r="A455" s="34" t="str">
        <x:v>randoop</x:v>
      </x:c>
      <x:c r="B455" s="34" t="str">
        <x:v>JacksonDatabind</x:v>
      </x:c>
      <x:c r="C455" s="34" t="str">
        <x:v>Round1</x:v>
      </x:c>
      <x:c r="D455" s="34" t="str">
        <x:v>JacksonDatabind_62</x:v>
      </x:c>
      <x:c r="E455" s="34" t="str">
        <x:v>Coverage</x:v>
      </x:c>
      <x:c r="F455" s="34" t="n">
        <x:v>201</x:v>
      </x:c>
      <x:c r="G455" s="34" t="str">
        <x:v>RECORDED</x:v>
      </x:c>
      <x:c r="H455" s="38" t="n">
        <x:f>IF(ISNUMBER('Data'!G455),'Data'!G455*100,"")</x:f>
        <x:v>27.36</x:v>
      </x:c>
      <x:c r="I455" s="34" t="str">
        <x:v>PASS</x:v>
      </x:c>
      <x:c r="J455" s="34" t="str">
        <x:v>PASS</x:v>
      </x:c>
      <x:c r="K455" s="34" t="str">
        <x:v>PASS</x:v>
      </x:c>
      <x:c r="L455" s="34" t="str">
        <x:v>PASS</x:v>
      </x:c>
      <x:c r="M455" s="34" t="str">
        <x:v>numeric coverage for applicable metric</x:v>
      </x:c>
      <x:c r="N455" s="34" t="str">
        <x:v>Feedback-Directed Random Test Generation/Result/JacksonDatabind_62/result.json</x:v>
      </x:c>
      <x:c r="O455" s="38" t="n">
        <x:f>IF(AND(G455="RECORDED",ISNUMBER(H455)),H455,"")</x:f>
        <x:v>27.36</x:v>
      </x:c>
      <x:c r="P455" s="34" t="str">
        <x:v>NOT_REVEALING</x:v>
      </x:c>
      <x:c r="Q455" s="34" t="str">
        <x:v>Feedback-Directed Random Test Generation/Result/JacksonDatabind_62/result.json</x:v>
      </x:c>
    </x:row>
    <x:row r="456">
      <x:c r="A456" s="34" t="str">
        <x:v>randoop</x:v>
      </x:c>
      <x:c r="B456" s="34" t="str">
        <x:v>JacksonDatabind</x:v>
      </x:c>
      <x:c r="C456" s="34" t="str">
        <x:v>Round1</x:v>
      </x:c>
      <x:c r="D456" s="34" t="str">
        <x:v>JacksonDatabind_63</x:v>
      </x:c>
      <x:c r="E456" s="34" t="str">
        <x:v>Coverage</x:v>
      </x:c>
      <x:c r="F456" s="34" t="n">
        <x:v>167</x:v>
      </x:c>
      <x:c r="G456" s="34" t="str">
        <x:v>RECORDED</x:v>
      </x:c>
      <x:c r="H456" s="38" t="n">
        <x:f>IF(ISNUMBER('Data'!G456),'Data'!G456*100,"")</x:f>
        <x:v>85.03</x:v>
      </x:c>
      <x:c r="I456" s="34" t="str">
        <x:v>PASS</x:v>
      </x:c>
      <x:c r="J456" s="34" t="str">
        <x:v>PASS</x:v>
      </x:c>
      <x:c r="K456" s="34" t="str">
        <x:v>PASS</x:v>
      </x:c>
      <x:c r="L456" s="34" t="str">
        <x:v>PASS</x:v>
      </x:c>
      <x:c r="M456" s="34" t="str">
        <x:v>numeric coverage for applicable metric</x:v>
      </x:c>
      <x:c r="N456" s="34" t="str">
        <x:v>Feedback-Directed Random Test Generation/Result/JacksonDatabind_63/result.json</x:v>
      </x:c>
      <x:c r="O456" s="38" t="n">
        <x:f>IF(AND(G456="RECORDED",ISNUMBER(H456)),H456,"")</x:f>
        <x:v>85.03</x:v>
      </x:c>
      <x:c r="P456" s="34" t="str">
        <x:v>INCONCLUSIVE</x:v>
      </x:c>
      <x:c r="Q456" s="34" t="str">
        <x:v>Feedback-Directed Random Test Generation/Result/JacksonDatabind_63/result.json</x:v>
      </x:c>
    </x:row>
    <x:row r="457">
      <x:c r="A457" s="34" t="str">
        <x:v>randoop</x:v>
      </x:c>
      <x:c r="B457" s="34" t="str">
        <x:v>JacksonDatabind</x:v>
      </x:c>
      <x:c r="C457" s="34" t="str">
        <x:v>Round1</x:v>
      </x:c>
      <x:c r="D457" s="34" t="str">
        <x:v>JacksonDatabind_64</x:v>
      </x:c>
      <x:c r="E457" s="34" t="str">
        <x:v>Coverage</x:v>
      </x:c>
      <x:c r="F457" s="34" t="n">
        <x:v>178</x:v>
      </x:c>
      <x:c r="G457" s="34" t="str">
        <x:v>RECORDED</x:v>
      </x:c>
      <x:c r="H457" s="38" t="n">
        <x:f>IF(ISNUMBER('Data'!G457),'Data'!G457*100,"")</x:f>
        <x:v>3.37</x:v>
      </x:c>
      <x:c r="I457" s="34" t="str">
        <x:v>PASS</x:v>
      </x:c>
      <x:c r="J457" s="34" t="str">
        <x:v>PASS</x:v>
      </x:c>
      <x:c r="K457" s="34" t="str">
        <x:v>PASS</x:v>
      </x:c>
      <x:c r="L457" s="34" t="str">
        <x:v>PASS</x:v>
      </x:c>
      <x:c r="M457" s="34" t="str">
        <x:v>numeric coverage for applicable metric</x:v>
      </x:c>
      <x:c r="N457" s="34" t="str">
        <x:v>Feedback-Directed Random Test Generation/Result/JacksonDatabind_64/result.json</x:v>
      </x:c>
      <x:c r="O457" s="38" t="n">
        <x:f>IF(AND(G457="RECORDED",ISNUMBER(H457)),H457,"")</x:f>
        <x:v>3.37</x:v>
      </x:c>
      <x:c r="P457" s="34" t="str">
        <x:v>NOT_REVEALING</x:v>
      </x:c>
      <x:c r="Q457" s="34" t="str">
        <x:v>Feedback-Directed Random Test Generation/Result/JacksonDatabind_64/result.json</x:v>
      </x:c>
    </x:row>
    <x:row r="458">
      <x:c r="A458" s="34" t="str">
        <x:v>randoop</x:v>
      </x:c>
      <x:c r="B458" s="34" t="str">
        <x:v>JacksonDatabind</x:v>
      </x:c>
      <x:c r="C458" s="34" t="str">
        <x:v>Round1</x:v>
      </x:c>
      <x:c r="D458" s="34" t="str">
        <x:v>JacksonDatabind_66</x:v>
      </x:c>
      <x:c r="E458" s="34" t="str">
        <x:v>Coverage</x:v>
      </x:c>
      <x:c r="F458" s="34" t="n">
        <x:v>251</x:v>
      </x:c>
      <x:c r="G458" s="34" t="str">
        <x:v>RECORDED</x:v>
      </x:c>
      <x:c r="H458" s="38" t="n">
        <x:f>IF(ISNUMBER('Data'!G458),'Data'!G458*100,"")</x:f>
        <x:v>0.8</x:v>
      </x:c>
      <x:c r="I458" s="34" t="str">
        <x:v>PASS</x:v>
      </x:c>
      <x:c r="J458" s="34" t="str">
        <x:v>PASS</x:v>
      </x:c>
      <x:c r="K458" s="34" t="str">
        <x:v>PASS</x:v>
      </x:c>
      <x:c r="L458" s="34" t="str">
        <x:v>PASS</x:v>
      </x:c>
      <x:c r="M458" s="34" t="str">
        <x:v>numeric coverage for applicable metric</x:v>
      </x:c>
      <x:c r="N458" s="34" t="str">
        <x:v>Feedback-Directed Random Test Generation/Result/JacksonDatabind_66/result.json</x:v>
      </x:c>
      <x:c r="O458" s="38" t="n">
        <x:f>IF(AND(G458="RECORDED",ISNUMBER(H458)),H458,"")</x:f>
        <x:v>0.8</x:v>
      </x:c>
      <x:c r="P458" s="34" t="str">
        <x:v>NOT_REVEALING</x:v>
      </x:c>
      <x:c r="Q458" s="34" t="str">
        <x:v>Feedback-Directed Random Test Generation/Result/JacksonDatabind_66/result.json</x:v>
      </x:c>
    </x:row>
    <x:row r="459">
      <x:c r="A459" s="34" t="str">
        <x:v>randoop</x:v>
      </x:c>
      <x:c r="B459" s="34" t="str">
        <x:v>JacksonDatabind</x:v>
      </x:c>
      <x:c r="C459" s="34" t="str">
        <x:v>Round1</x:v>
      </x:c>
      <x:c r="D459" s="34" t="str">
        <x:v>JacksonDatabind_67</x:v>
      </x:c>
      <x:c r="E459" s="34" t="str">
        <x:v>Coverage</x:v>
      </x:c>
      <x:c r="F459" s="34" t="n">
        <x:v>1405</x:v>
      </x:c>
      <x:c r="G459" s="34" t="str">
        <x:v>RECORDED</x:v>
      </x:c>
      <x:c r="H459" s="38" t="n">
        <x:f>IF(ISNUMBER('Data'!G459),'Data'!G459*100,"")</x:f>
        <x:v>1.49</x:v>
      </x:c>
      <x:c r="I459" s="34" t="str">
        <x:v>PASS</x:v>
      </x:c>
      <x:c r="J459" s="34" t="str">
        <x:v>PASS</x:v>
      </x:c>
      <x:c r="K459" s="34" t="str">
        <x:v>PASS</x:v>
      </x:c>
      <x:c r="L459" s="34" t="str">
        <x:v>PASS</x:v>
      </x:c>
      <x:c r="M459" s="34" t="str">
        <x:v>numeric coverage for applicable metric</x:v>
      </x:c>
      <x:c r="N459" s="34" t="str">
        <x:v>Feedback-Directed Random Test Generation/Result/JacksonDatabind_67/result.json</x:v>
      </x:c>
      <x:c r="O459" s="38" t="n">
        <x:f>IF(AND(G459="RECORDED",ISNUMBER(H459)),H459,"")</x:f>
        <x:v>1.49</x:v>
      </x:c>
      <x:c r="P459" s="34" t="str">
        <x:v>NOT_REVEALING</x:v>
      </x:c>
      <x:c r="Q459" s="34" t="str">
        <x:v>Feedback-Directed Random Test Generation/Result/JacksonDatabind_67/result.json</x:v>
      </x:c>
    </x:row>
    <x:row r="460">
      <x:c r="A460" s="34" t="str">
        <x:v>randoop</x:v>
      </x:c>
      <x:c r="B460" s="34" t="str">
        <x:v>JacksonDatabind</x:v>
      </x:c>
      <x:c r="C460" s="34" t="str">
        <x:v>Round1</x:v>
      </x:c>
      <x:c r="D460" s="34" t="str">
        <x:v>JacksonDatabind_68</x:v>
      </x:c>
      <x:c r="E460" s="34" t="str">
        <x:v>Coverage</x:v>
      </x:c>
      <x:c r="F460" s="34" t="n">
        <x:v>961</x:v>
      </x:c>
      <x:c r="G460" s="34" t="str">
        <x:v>RECORDED</x:v>
      </x:c>
      <x:c r="H460" s="38" t="n">
        <x:f>IF(ISNUMBER('Data'!G460),'Data'!G460*100,"")</x:f>
        <x:v>0.1</x:v>
      </x:c>
      <x:c r="I460" s="34" t="str">
        <x:v>PASS</x:v>
      </x:c>
      <x:c r="J460" s="34" t="str">
        <x:v>PASS</x:v>
      </x:c>
      <x:c r="K460" s="34" t="str">
        <x:v>PASS</x:v>
      </x:c>
      <x:c r="L460" s="34" t="str">
        <x:v>PASS</x:v>
      </x:c>
      <x:c r="M460" s="34" t="str">
        <x:v>numeric coverage for applicable metric</x:v>
      </x:c>
      <x:c r="N460" s="34" t="str">
        <x:v>Feedback-Directed Random Test Generation/Result/JacksonDatabind_68/result.json</x:v>
      </x:c>
      <x:c r="O460" s="38" t="n">
        <x:f>IF(AND(G460="RECORDED",ISNUMBER(H460)),H460,"")</x:f>
        <x:v>0.1</x:v>
      </x:c>
      <x:c r="P460" s="34" t="str">
        <x:v>NOT_REVEALING</x:v>
      </x:c>
      <x:c r="Q460" s="34" t="str">
        <x:v>Feedback-Directed Random Test Generation/Result/JacksonDatabind_68/result.json</x:v>
      </x:c>
    </x:row>
    <x:row r="461">
      <x:c r="A461" s="34" t="str">
        <x:v>randoop</x:v>
      </x:c>
      <x:c r="B461" s="34" t="str">
        <x:v>JacksonDatabind</x:v>
      </x:c>
      <x:c r="C461" s="34" t="str">
        <x:v>Round1</x:v>
      </x:c>
      <x:c r="D461" s="34" t="str">
        <x:v>JacksonDatabind_69</x:v>
      </x:c>
      <x:c r="E461" s="34" t="str">
        <x:v>Coverage</x:v>
      </x:c>
      <x:c r="F461" s="34" t="n">
        <x:v>201</x:v>
      </x:c>
      <x:c r="G461" s="34" t="str">
        <x:v>RECORDED</x:v>
      </x:c>
      <x:c r="H461" s="38" t="n">
        <x:f>IF(ISNUMBER('Data'!G461),'Data'!G461*100,"")</x:f>
        <x:v>8.96</x:v>
      </x:c>
      <x:c r="I461" s="34" t="str">
        <x:v>PASS</x:v>
      </x:c>
      <x:c r="J461" s="34" t="str">
        <x:v>PASS</x:v>
      </x:c>
      <x:c r="K461" s="34" t="str">
        <x:v>PASS</x:v>
      </x:c>
      <x:c r="L461" s="34" t="str">
        <x:v>PASS</x:v>
      </x:c>
      <x:c r="M461" s="34" t="str">
        <x:v>numeric coverage for applicable metric</x:v>
      </x:c>
      <x:c r="N461" s="34" t="str">
        <x:v>Feedback-Directed Random Test Generation/Result/JacksonDatabind_69/result.json</x:v>
      </x:c>
      <x:c r="O461" s="38" t="n">
        <x:f>IF(AND(G461="RECORDED",ISNUMBER(H461)),H461,"")</x:f>
        <x:v>8.96</x:v>
      </x:c>
      <x:c r="P461" s="34" t="str">
        <x:v>NOT_REVEALING</x:v>
      </x:c>
      <x:c r="Q461" s="34" t="str">
        <x:v>Feedback-Directed Random Test Generation/Result/JacksonDatabind_69/result.json</x:v>
      </x:c>
    </x:row>
    <x:row r="462">
      <x:c r="A462" s="34" t="str">
        <x:v>randoop</x:v>
      </x:c>
      <x:c r="B462" s="34" t="str">
        <x:v>JacksonDatabind</x:v>
      </x:c>
      <x:c r="C462" s="34" t="str">
        <x:v>Round1</x:v>
      </x:c>
      <x:c r="D462" s="34" t="str">
        <x:v>JacksonDatabind_70</x:v>
      </x:c>
      <x:c r="E462" s="34" t="str">
        <x:v>Coverage</x:v>
      </x:c>
      <x:c r="F462" s="34" t="n">
        <x:v>364</x:v>
      </x:c>
      <x:c r="G462" s="34" t="str">
        <x:v>RECORDED</x:v>
      </x:c>
      <x:c r="H462" s="38" t="n">
        <x:f>IF(ISNUMBER('Data'!G462),'Data'!G462*100,"")</x:f>
        <x:v>31.59</x:v>
      </x:c>
      <x:c r="I462" s="34" t="str">
        <x:v>PASS</x:v>
      </x:c>
      <x:c r="J462" s="34" t="str">
        <x:v>PASS</x:v>
      </x:c>
      <x:c r="K462" s="34" t="str">
        <x:v>PASS</x:v>
      </x:c>
      <x:c r="L462" s="34" t="str">
        <x:v>PASS</x:v>
      </x:c>
      <x:c r="M462" s="34" t="str">
        <x:v>numeric coverage for applicable metric</x:v>
      </x:c>
      <x:c r="N462" s="34" t="str">
        <x:v>Feedback-Directed Random Test Generation/Result/JacksonDatabind_70/result.json</x:v>
      </x:c>
      <x:c r="O462" s="38" t="n">
        <x:f>IF(AND(G462="RECORDED",ISNUMBER(H462)),H462,"")</x:f>
        <x:v>31.59</x:v>
      </x:c>
      <x:c r="P462" s="34" t="str">
        <x:v>NOT_REVEALING</x:v>
      </x:c>
      <x:c r="Q462" s="34" t="str">
        <x:v>Feedback-Directed Random Test Generation/Result/JacksonDatabind_70/result.json</x:v>
      </x:c>
    </x:row>
    <x:row r="463">
      <x:c r="A463" s="34" t="str">
        <x:v>randoop</x:v>
      </x:c>
      <x:c r="B463" s="34" t="str">
        <x:v>JacksonDatabind</x:v>
      </x:c>
      <x:c r="C463" s="34" t="str">
        <x:v>Round1</x:v>
      </x:c>
      <x:c r="D463" s="34" t="str">
        <x:v>JacksonDatabind_71</x:v>
      </x:c>
      <x:c r="E463" s="34" t="str">
        <x:v>Coverage</x:v>
      </x:c>
      <x:c r="F463" s="34" t="n">
        <x:v>244</x:v>
      </x:c>
      <x:c r="G463" s="34" t="str">
        <x:v>RECORDED</x:v>
      </x:c>
      <x:c r="H463" s="38" t="n">
        <x:f>IF(ISNUMBER('Data'!G463),'Data'!G463*100,"")</x:f>
        <x:v>0.8199999999999998</x:v>
      </x:c>
      <x:c r="I463" s="34" t="str">
        <x:v>PASS</x:v>
      </x:c>
      <x:c r="J463" s="34" t="str">
        <x:v>PASS</x:v>
      </x:c>
      <x:c r="K463" s="34" t="str">
        <x:v>PASS</x:v>
      </x:c>
      <x:c r="L463" s="34" t="str">
        <x:v>PASS</x:v>
      </x:c>
      <x:c r="M463" s="34" t="str">
        <x:v>numeric coverage for applicable metric</x:v>
      </x:c>
      <x:c r="N463" s="34" t="str">
        <x:v>Feedback-Directed Random Test Generation/Result/JacksonDatabind_71/result.json</x:v>
      </x:c>
      <x:c r="O463" s="38" t="n">
        <x:f>IF(AND(G463="RECORDED",ISNUMBER(H463)),H463,"")</x:f>
        <x:v>0.8199999999999998</x:v>
      </x:c>
      <x:c r="P463" s="34" t="str">
        <x:v>NOT_REVEALING</x:v>
      </x:c>
      <x:c r="Q463" s="34" t="str">
        <x:v>Feedback-Directed Random Test Generation/Result/JacksonDatabind_71/result.json</x:v>
      </x:c>
    </x:row>
    <x:row r="464">
      <x:c r="A464" s="34" t="str">
        <x:v>randoop</x:v>
      </x:c>
      <x:c r="B464" s="34" t="str">
        <x:v>JacksonDatabind</x:v>
      </x:c>
      <x:c r="C464" s="34" t="str">
        <x:v>Round1</x:v>
      </x:c>
      <x:c r="D464" s="34" t="str">
        <x:v>JacksonDatabind_72</x:v>
      </x:c>
      <x:c r="E464" s="34" t="str">
        <x:v>Coverage</x:v>
      </x:c>
      <x:c r="F464" s="34" t="n">
        <x:v>57</x:v>
      </x:c>
      <x:c r="G464" s="34" t="str">
        <x:v>RECORDED</x:v>
      </x:c>
      <x:c r="H464" s="38" t="n">
        <x:f>IF(ISNUMBER('Data'!G464),'Data'!G464*100,"")</x:f>
        <x:v>3.51</x:v>
      </x:c>
      <x:c r="I464" s="34" t="str">
        <x:v>PASS</x:v>
      </x:c>
      <x:c r="J464" s="34" t="str">
        <x:v>PASS</x:v>
      </x:c>
      <x:c r="K464" s="34" t="str">
        <x:v>PASS</x:v>
      </x:c>
      <x:c r="L464" s="34" t="str">
        <x:v>PASS</x:v>
      </x:c>
      <x:c r="M464" s="34" t="str">
        <x:v>numeric coverage for applicable metric</x:v>
      </x:c>
      <x:c r="N464" s="34" t="str">
        <x:v>Feedback-Directed Random Test Generation/Result/JacksonDatabind_72/result.json</x:v>
      </x:c>
      <x:c r="O464" s="38" t="n">
        <x:f>IF(AND(G464="RECORDED",ISNUMBER(H464)),H464,"")</x:f>
        <x:v>3.51</x:v>
      </x:c>
      <x:c r="P464" s="34" t="str">
        <x:v>NOT_REVEALING</x:v>
      </x:c>
      <x:c r="Q464" s="34" t="str">
        <x:v>Feedback-Directed Random Test Generation/Result/JacksonDatabind_72/result.json</x:v>
      </x:c>
    </x:row>
    <x:row r="465">
      <x:c r="A465" s="34" t="str">
        <x:v>randoop</x:v>
      </x:c>
      <x:c r="B465" s="34" t="str">
        <x:v>JacksonDatabind</x:v>
      </x:c>
      <x:c r="C465" s="34" t="str">
        <x:v>Round1</x:v>
      </x:c>
      <x:c r="D465" s="34" t="str">
        <x:v>JacksonDatabind_73</x:v>
      </x:c>
      <x:c r="E465" s="34" t="str">
        <x:v>Coverage</x:v>
      </x:c>
      <x:c r="F465" s="34" t="n">
        <x:v>1644</x:v>
      </x:c>
      <x:c r="G465" s="34" t="str">
        <x:v>RECORDED</x:v>
      </x:c>
      <x:c r="H465" s="38" t="n">
        <x:f>IF(ISNUMBER('Data'!G465),'Data'!G465*100,"")</x:f>
        <x:v>4.87</x:v>
      </x:c>
      <x:c r="I465" s="34" t="str">
        <x:v>PASS</x:v>
      </x:c>
      <x:c r="J465" s="34" t="str">
        <x:v>PASS</x:v>
      </x:c>
      <x:c r="K465" s="34" t="str">
        <x:v>PASS</x:v>
      </x:c>
      <x:c r="L465" s="34" t="str">
        <x:v>PASS</x:v>
      </x:c>
      <x:c r="M465" s="34" t="str">
        <x:v>numeric coverage for applicable metric</x:v>
      </x:c>
      <x:c r="N465" s="34" t="str">
        <x:v>Feedback-Directed Random Test Generation/Result/JacksonDatabind_73/result.json</x:v>
      </x:c>
      <x:c r="O465" s="38" t="n">
        <x:f>IF(AND(G465="RECORDED",ISNUMBER(H465)),H465,"")</x:f>
        <x:v>4.87</x:v>
      </x:c>
      <x:c r="P465" s="34" t="str">
        <x:v>NOT_REVEALING</x:v>
      </x:c>
      <x:c r="Q465" s="34" t="str">
        <x:v>Feedback-Directed Random Test Generation/Result/JacksonDatabind_73/result.json</x:v>
      </x:c>
    </x:row>
    <x:row r="466">
      <x:c r="A466" s="34" t="str">
        <x:v>randoop</x:v>
      </x:c>
      <x:c r="B466" s="34" t="str">
        <x:v>JacksonDatabind</x:v>
      </x:c>
      <x:c r="C466" s="34" t="str">
        <x:v>Round1</x:v>
      </x:c>
      <x:c r="D466" s="34" t="str">
        <x:v>JacksonDatabind_74</x:v>
      </x:c>
      <x:c r="E466" s="34" t="str">
        <x:v>Coverage</x:v>
      </x:c>
      <x:c r="F466" s="34" t="n">
        <x:v>92</x:v>
      </x:c>
      <x:c r="G466" s="34" t="str">
        <x:v>RECORDED</x:v>
      </x:c>
      <x:c r="H466" s="38" t="n">
        <x:f>IF(ISNUMBER('Data'!G466),'Data'!G466*100,"")</x:f>
        <x:v>16.3</x:v>
      </x:c>
      <x:c r="I466" s="34" t="str">
        <x:v>PASS</x:v>
      </x:c>
      <x:c r="J466" s="34" t="str">
        <x:v>PASS</x:v>
      </x:c>
      <x:c r="K466" s="34" t="str">
        <x:v>PASS</x:v>
      </x:c>
      <x:c r="L466" s="34" t="str">
        <x:v>PASS</x:v>
      </x:c>
      <x:c r="M466" s="34" t="str">
        <x:v>numeric coverage for applicable metric</x:v>
      </x:c>
      <x:c r="N466" s="34" t="str">
        <x:v>Feedback-Directed Random Test Generation/Result/JacksonDatabind_74/result.json</x:v>
      </x:c>
      <x:c r="O466" s="38" t="n">
        <x:f>IF(AND(G466="RECORDED",ISNUMBER(H466)),H466,"")</x:f>
        <x:v>16.3</x:v>
      </x:c>
      <x:c r="P466" s="34" t="str">
        <x:v>NOT_REVEALING</x:v>
      </x:c>
      <x:c r="Q466" s="34" t="str">
        <x:v>Feedback-Directed Random Test Generation/Result/JacksonDatabind_74/result.json</x:v>
      </x:c>
    </x:row>
    <x:row r="467">
      <x:c r="A467" s="34" t="str">
        <x:v>randoop</x:v>
      </x:c>
      <x:c r="B467" s="34" t="str">
        <x:v>JacksonDatabind</x:v>
      </x:c>
      <x:c r="C467" s="34" t="str">
        <x:v>Round1</x:v>
      </x:c>
      <x:c r="D467" s="34" t="str">
        <x:v>JacksonDatabind_75</x:v>
      </x:c>
      <x:c r="E467" s="34" t="str">
        <x:v>Coverage</x:v>
      </x:c>
      <x:c r="F467" s="34" t="n">
        <x:v>119</x:v>
      </x:c>
      <x:c r="G467" s="34" t="str">
        <x:v>RECORDED</x:v>
      </x:c>
      <x:c r="H467" s="38" t="n">
        <x:f>IF(ISNUMBER('Data'!G467),'Data'!G467*100,"")</x:f>
        <x:v>1.68</x:v>
      </x:c>
      <x:c r="I467" s="34" t="str">
        <x:v>PASS</x:v>
      </x:c>
      <x:c r="J467" s="34" t="str">
        <x:v>PASS</x:v>
      </x:c>
      <x:c r="K467" s="34" t="str">
        <x:v>PASS</x:v>
      </x:c>
      <x:c r="L467" s="34" t="str">
        <x:v>PASS</x:v>
      </x:c>
      <x:c r="M467" s="34" t="str">
        <x:v>numeric coverage for applicable metric</x:v>
      </x:c>
      <x:c r="N467" s="34" t="str">
        <x:v>Feedback-Directed Random Test Generation/Result/JacksonDatabind_75/result.json</x:v>
      </x:c>
      <x:c r="O467" s="38" t="n">
        <x:f>IF(AND(G467="RECORDED",ISNUMBER(H467)),H467,"")</x:f>
        <x:v>1.68</x:v>
      </x:c>
      <x:c r="P467" s="34" t="str">
        <x:v>NOT_REVEALING</x:v>
      </x:c>
      <x:c r="Q467" s="34" t="str">
        <x:v>Feedback-Directed Random Test Generation/Result/JacksonDatabind_75/result.json</x:v>
      </x:c>
    </x:row>
    <x:row r="468">
      <x:c r="A468" s="34" t="str">
        <x:v>randoop</x:v>
      </x:c>
      <x:c r="B468" s="34" t="str">
        <x:v>JacksonDatabind</x:v>
      </x:c>
      <x:c r="C468" s="34" t="str">
        <x:v>Round1</x:v>
      </x:c>
      <x:c r="D468" s="34" t="str">
        <x:v>JacksonDatabind_76</x:v>
      </x:c>
      <x:c r="E468" s="34" t="str">
        <x:v>Coverage</x:v>
      </x:c>
      <x:c r="F468" s="34" t="n">
        <x:v>488</x:v>
      </x:c>
      <x:c r="G468" s="34" t="str">
        <x:v>RECORDED</x:v>
      </x:c>
      <x:c r="H468" s="38" t="n">
        <x:f>IF(ISNUMBER('Data'!G468),'Data'!G468*100,"")</x:f>
        <x:v>1.43</x:v>
      </x:c>
      <x:c r="I468" s="34" t="str">
        <x:v>PASS</x:v>
      </x:c>
      <x:c r="J468" s="34" t="str">
        <x:v>PASS</x:v>
      </x:c>
      <x:c r="K468" s="34" t="str">
        <x:v>PASS</x:v>
      </x:c>
      <x:c r="L468" s="34" t="str">
        <x:v>PASS</x:v>
      </x:c>
      <x:c r="M468" s="34" t="str">
        <x:v>numeric coverage for applicable metric</x:v>
      </x:c>
      <x:c r="N468" s="34" t="str">
        <x:v>Feedback-Directed Random Test Generation/Result/JacksonDatabind_76/result.json</x:v>
      </x:c>
      <x:c r="O468" s="38" t="n">
        <x:f>IF(AND(G468="RECORDED",ISNUMBER(H468)),H468,"")</x:f>
        <x:v>1.43</x:v>
      </x:c>
      <x:c r="P468" s="34" t="str">
        <x:v>NOT_REVEALING</x:v>
      </x:c>
      <x:c r="Q468" s="34" t="str">
        <x:v>Feedback-Directed Random Test Generation/Result/JacksonDatabind_76/result.json</x:v>
      </x:c>
    </x:row>
    <x:row r="469">
      <x:c r="A469" s="34" t="str">
        <x:v>randoop</x:v>
      </x:c>
      <x:c r="B469" s="34" t="str">
        <x:v>JacksonDatabind</x:v>
      </x:c>
      <x:c r="C469" s="34" t="str">
        <x:v>Round1</x:v>
      </x:c>
      <x:c r="D469" s="34" t="str">
        <x:v>JacksonDatabind_77</x:v>
      </x:c>
      <x:c r="E469" s="34" t="str">
        <x:v>Coverage</x:v>
      </x:c>
      <x:c r="F469" s="34" t="n">
        <x:v>526</x:v>
      </x:c>
      <x:c r="G469" s="34" t="str">
        <x:v>RECORDED</x:v>
      </x:c>
      <x:c r="H469" s="38" t="n">
        <x:f>IF(ISNUMBER('Data'!G469),'Data'!G469*100,"")</x:f>
        <x:v>6.65</x:v>
      </x:c>
      <x:c r="I469" s="34" t="str">
        <x:v>PASS</x:v>
      </x:c>
      <x:c r="J469" s="34" t="str">
        <x:v>PASS</x:v>
      </x:c>
      <x:c r="K469" s="34" t="str">
        <x:v>PASS</x:v>
      </x:c>
      <x:c r="L469" s="34" t="str">
        <x:v>PASS</x:v>
      </x:c>
      <x:c r="M469" s="34" t="str">
        <x:v>numeric coverage for applicable metric</x:v>
      </x:c>
      <x:c r="N469" s="34" t="str">
        <x:v>Feedback-Directed Random Test Generation/Result/JacksonDatabind_77/result.json</x:v>
      </x:c>
      <x:c r="O469" s="38" t="n">
        <x:f>IF(AND(G469="RECORDED",ISNUMBER(H469)),H469,"")</x:f>
        <x:v>6.65</x:v>
      </x:c>
      <x:c r="P469" s="34" t="str">
        <x:v>NOT_REVEALING</x:v>
      </x:c>
      <x:c r="Q469" s="34" t="str">
        <x:v>Feedback-Directed Random Test Generation/Result/JacksonDatabind_77/result.json</x:v>
      </x:c>
    </x:row>
    <x:row r="470">
      <x:c r="A470" s="34" t="str">
        <x:v>randoop</x:v>
      </x:c>
      <x:c r="B470" s="34" t="str">
        <x:v>JacksonDatabind</x:v>
      </x:c>
      <x:c r="C470" s="34" t="str">
        <x:v>Round1</x:v>
      </x:c>
      <x:c r="D470" s="34" t="str">
        <x:v>JacksonDatabind_78</x:v>
      </x:c>
      <x:c r="E470" s="34" t="str">
        <x:v>Coverage</x:v>
      </x:c>
      <x:c r="F470" s="34" t="n">
        <x:v>548</x:v>
      </x:c>
      <x:c r="G470" s="34" t="str">
        <x:v>RECORDED</x:v>
      </x:c>
      <x:c r="H470" s="38" t="n">
        <x:f>IF(ISNUMBER('Data'!G470),'Data'!G470*100,"")</x:f>
        <x:v>7.12</x:v>
      </x:c>
      <x:c r="I470" s="34" t="str">
        <x:v>PASS</x:v>
      </x:c>
      <x:c r="J470" s="34" t="str">
        <x:v>PASS</x:v>
      </x:c>
      <x:c r="K470" s="34" t="str">
        <x:v>PASS</x:v>
      </x:c>
      <x:c r="L470" s="34" t="str">
        <x:v>PASS</x:v>
      </x:c>
      <x:c r="M470" s="34" t="str">
        <x:v>numeric coverage for applicable metric</x:v>
      </x:c>
      <x:c r="N470" s="34" t="str">
        <x:v>Feedback-Directed Random Test Generation/Result/JacksonDatabind_78/result.json</x:v>
      </x:c>
      <x:c r="O470" s="38" t="n">
        <x:f>IF(AND(G470="RECORDED",ISNUMBER(H470)),H470,"")</x:f>
        <x:v>7.12</x:v>
      </x:c>
      <x:c r="P470" s="34" t="str">
        <x:v>NOT_REVEALING</x:v>
      </x:c>
      <x:c r="Q470" s="34" t="str">
        <x:v>Feedback-Directed Random Test Generation/Result/JacksonDatabind_78/result.json</x:v>
      </x:c>
    </x:row>
    <x:row r="471">
      <x:c r="A471" s="34" t="str">
        <x:v>randoop</x:v>
      </x:c>
      <x:c r="B471" s="34" t="str">
        <x:v>JacksonDatabind</x:v>
      </x:c>
      <x:c r="C471" s="34" t="str">
        <x:v>Round1</x:v>
      </x:c>
      <x:c r="D471" s="34" t="str">
        <x:v>JacksonDatabind_79</x:v>
      </x:c>
      <x:c r="E471" s="34" t="str">
        <x:v>Coverage</x:v>
      </x:c>
      <x:c r="F471" s="34" t="n">
        <x:v>1387</x:v>
      </x:c>
      <x:c r="G471" s="34" t="str">
        <x:v>RECORDED</x:v>
      </x:c>
      <x:c r="H471" s="38" t="n">
        <x:f>IF(ISNUMBER('Data'!G471),'Data'!G471*100,"")</x:f>
        <x:v>7.139999999999999</x:v>
      </x:c>
      <x:c r="I471" s="34" t="str">
        <x:v>PASS</x:v>
      </x:c>
      <x:c r="J471" s="34" t="str">
        <x:v>PASS</x:v>
      </x:c>
      <x:c r="K471" s="34" t="str">
        <x:v>PASS</x:v>
      </x:c>
      <x:c r="L471" s="34" t="str">
        <x:v>PASS</x:v>
      </x:c>
      <x:c r="M471" s="34" t="str">
        <x:v>numeric coverage for applicable metric</x:v>
      </x:c>
      <x:c r="N471" s="34" t="str">
        <x:v>Feedback-Directed Random Test Generation/Result/JacksonDatabind_79/result.json</x:v>
      </x:c>
      <x:c r="O471" s="38" t="n">
        <x:f>IF(AND(G471="RECORDED",ISNUMBER(H471)),H471,"")</x:f>
        <x:v>7.139999999999999</x:v>
      </x:c>
      <x:c r="P471" s="34" t="str">
        <x:v>NOT_REVEALING</x:v>
      </x:c>
      <x:c r="Q471" s="34" t="str">
        <x:v>Feedback-Directed Random Test Generation/Result/JacksonDatabind_79/result.json</x:v>
      </x:c>
    </x:row>
    <x:row r="472">
      <x:c r="A472" s="34" t="str">
        <x:v>randoop</x:v>
      </x:c>
      <x:c r="B472" s="34" t="str">
        <x:v>JacksonDatabind</x:v>
      </x:c>
      <x:c r="C472" s="34" t="str">
        <x:v>Round1</x:v>
      </x:c>
      <x:c r="D472" s="34" t="str">
        <x:v>JacksonDatabind_80</x:v>
      </x:c>
      <x:c r="E472" s="34" t="str">
        <x:v>Coverage</x:v>
      </x:c>
      <x:c r="F472" s="34" t="n">
        <x:v>202</x:v>
      </x:c>
      <x:c r="G472" s="34" t="str">
        <x:v>RECORDED</x:v>
      </x:c>
      <x:c r="H472" s="38" t="n">
        <x:f>IF(ISNUMBER('Data'!G472),'Data'!G472*100,"")</x:f>
        <x:v>8.42</x:v>
      </x:c>
      <x:c r="I472" s="34" t="str">
        <x:v>PASS</x:v>
      </x:c>
      <x:c r="J472" s="34" t="str">
        <x:v>PASS</x:v>
      </x:c>
      <x:c r="K472" s="34" t="str">
        <x:v>PASS</x:v>
      </x:c>
      <x:c r="L472" s="34" t="str">
        <x:v>PASS</x:v>
      </x:c>
      <x:c r="M472" s="34" t="str">
        <x:v>numeric coverage for applicable metric</x:v>
      </x:c>
      <x:c r="N472" s="34" t="str">
        <x:v>Feedback-Directed Random Test Generation/Result/JacksonDatabind_80/result.json</x:v>
      </x:c>
      <x:c r="O472" s="38" t="n">
        <x:f>IF(AND(G472="RECORDED",ISNUMBER(H472)),H472,"")</x:f>
        <x:v>8.42</x:v>
      </x:c>
      <x:c r="P472" s="34" t="str">
        <x:v>NOT_REVEALING</x:v>
      </x:c>
      <x:c r="Q472" s="34" t="str">
        <x:v>Feedback-Directed Random Test Generation/Result/JacksonDatabind_80/result.json</x:v>
      </x:c>
    </x:row>
    <x:row r="473">
      <x:c r="A473" s="34" t="str">
        <x:v>randoop</x:v>
      </x:c>
      <x:c r="B473" s="34" t="str">
        <x:v>JacksonDatabind</x:v>
      </x:c>
      <x:c r="C473" s="34" t="str">
        <x:v>Round1</x:v>
      </x:c>
      <x:c r="D473" s="34" t="str">
        <x:v>JacksonDatabind_81</x:v>
      </x:c>
      <x:c r="E473" s="34" t="str">
        <x:v>Coverage</x:v>
      </x:c>
      <x:c r="F473" s="34" t="n">
        <x:v>897</x:v>
      </x:c>
      <x:c r="G473" s="34" t="str">
        <x:v>RECORDED</x:v>
      </x:c>
      <x:c r="H473" s="38" t="n">
        <x:f>IF(ISNUMBER('Data'!G473),'Data'!G473*100,"")</x:f>
        <x:v>10.81</x:v>
      </x:c>
      <x:c r="I473" s="34" t="str">
        <x:v>PASS</x:v>
      </x:c>
      <x:c r="J473" s="34" t="str">
        <x:v>PASS</x:v>
      </x:c>
      <x:c r="K473" s="34" t="str">
        <x:v>PASS</x:v>
      </x:c>
      <x:c r="L473" s="34" t="str">
        <x:v>PASS</x:v>
      </x:c>
      <x:c r="M473" s="34" t="str">
        <x:v>numeric coverage for applicable metric</x:v>
      </x:c>
      <x:c r="N473" s="34" t="str">
        <x:v>Feedback-Directed Random Test Generation/Result/JacksonDatabind_81/result.json</x:v>
      </x:c>
      <x:c r="O473" s="38" t="n">
        <x:f>IF(AND(G473="RECORDED",ISNUMBER(H473)),H473,"")</x:f>
        <x:v>10.81</x:v>
      </x:c>
      <x:c r="P473" s="34" t="str">
        <x:v>NOT_REVEALING</x:v>
      </x:c>
      <x:c r="Q473" s="34" t="str">
        <x:v>Feedback-Directed Random Test Generation/Result/JacksonDatabind_81/result.json</x:v>
      </x:c>
    </x:row>
    <x:row r="474">
      <x:c r="A474" s="34" t="str">
        <x:v>randoop</x:v>
      </x:c>
      <x:c r="B474" s="34" t="str">
        <x:v>JacksonDatabind</x:v>
      </x:c>
      <x:c r="C474" s="34" t="str">
        <x:v>Round1</x:v>
      </x:c>
      <x:c r="D474" s="34" t="str">
        <x:v>JacksonDatabind_82</x:v>
      </x:c>
      <x:c r="E474" s="34" t="str">
        <x:v>Coverage</x:v>
      </x:c>
      <x:c r="F474" s="34" t="n">
        <x:v>567</x:v>
      </x:c>
      <x:c r="G474" s="34" t="str">
        <x:v>RECORDED</x:v>
      </x:c>
      <x:c r="H474" s="38" t="n">
        <x:f>IF(ISNUMBER('Data'!G474),'Data'!G474*100,"")</x:f>
        <x:v>9.17</x:v>
      </x:c>
      <x:c r="I474" s="34" t="str">
        <x:v>PASS</x:v>
      </x:c>
      <x:c r="J474" s="34" t="str">
        <x:v>PASS</x:v>
      </x:c>
      <x:c r="K474" s="34" t="str">
        <x:v>PASS</x:v>
      </x:c>
      <x:c r="L474" s="34" t="str">
        <x:v>PASS</x:v>
      </x:c>
      <x:c r="M474" s="34" t="str">
        <x:v>numeric coverage for applicable metric</x:v>
      </x:c>
      <x:c r="N474" s="34" t="str">
        <x:v>Feedback-Directed Random Test Generation/Result/JacksonDatabind_82/result.json</x:v>
      </x:c>
      <x:c r="O474" s="38" t="n">
        <x:f>IF(AND(G474="RECORDED",ISNUMBER(H474)),H474,"")</x:f>
        <x:v>9.17</x:v>
      </x:c>
      <x:c r="P474" s="34" t="str">
        <x:v>NOT_REVEALING</x:v>
      </x:c>
      <x:c r="Q474" s="34" t="str">
        <x:v>Feedback-Directed Random Test Generation/Result/JacksonDatabind_82/result.json</x:v>
      </x:c>
    </x:row>
    <x:row r="475">
      <x:c r="A475" s="34" t="str">
        <x:v>randoop</x:v>
      </x:c>
      <x:c r="B475" s="34" t="str">
        <x:v>JacksonDatabind</x:v>
      </x:c>
      <x:c r="C475" s="34" t="str">
        <x:v>Round1</x:v>
      </x:c>
      <x:c r="D475" s="34" t="str">
        <x:v>JacksonDatabind_83</x:v>
      </x:c>
      <x:c r="E475" s="34" t="str">
        <x:v>Coverage</x:v>
      </x:c>
      <x:c r="F475" s="34" t="n">
        <x:v>210</x:v>
      </x:c>
      <x:c r="G475" s="34" t="str">
        <x:v>RECORDED</x:v>
      </x:c>
      <x:c r="H475" s="38" t="n">
        <x:f>IF(ISNUMBER('Data'!G475),'Data'!G475*100,"")</x:f>
        <x:v>0.48</x:v>
      </x:c>
      <x:c r="I475" s="34" t="str">
        <x:v>PASS</x:v>
      </x:c>
      <x:c r="J475" s="34" t="str">
        <x:v>PASS</x:v>
      </x:c>
      <x:c r="K475" s="34" t="str">
        <x:v>PASS</x:v>
      </x:c>
      <x:c r="L475" s="34" t="str">
        <x:v>PASS</x:v>
      </x:c>
      <x:c r="M475" s="34" t="str">
        <x:v>numeric coverage for applicable metric</x:v>
      </x:c>
      <x:c r="N475" s="34" t="str">
        <x:v>Feedback-Directed Random Test Generation/Result/JacksonDatabind_83/result.json</x:v>
      </x:c>
      <x:c r="O475" s="38" t="n">
        <x:f>IF(AND(G475="RECORDED",ISNUMBER(H475)),H475,"")</x:f>
        <x:v>0.48</x:v>
      </x:c>
      <x:c r="P475" s="34" t="str">
        <x:v>NOT_REVEALING</x:v>
      </x:c>
      <x:c r="Q475" s="34" t="str">
        <x:v>Feedback-Directed Random Test Generation/Result/JacksonDatabind_83/result.json</x:v>
      </x:c>
    </x:row>
    <x:row r="476">
      <x:c r="A476" s="34" t="str">
        <x:v>randoop</x:v>
      </x:c>
      <x:c r="B476" s="34" t="str">
        <x:v>JacksonDatabind</x:v>
      </x:c>
      <x:c r="C476" s="34" t="str">
        <x:v>Round1</x:v>
      </x:c>
      <x:c r="D476" s="34" t="str">
        <x:v>JacksonDatabind_84</x:v>
      </x:c>
      <x:c r="E476" s="34" t="str">
        <x:v>Coverage</x:v>
      </x:c>
      <x:c r="F476" s="34" t="n">
        <x:v>44</x:v>
      </x:c>
      <x:c r="G476" s="34" t="str">
        <x:v>RECORDED</x:v>
      </x:c>
      <x:c r="H476" s="38" t="n">
        <x:f>IF(ISNUMBER('Data'!G476),'Data'!G476*100,"")</x:f>
        <x:v>0</x:v>
      </x:c>
      <x:c r="I476" s="34" t="str">
        <x:v>PASS</x:v>
      </x:c>
      <x:c r="J476" s="34" t="str">
        <x:v>PASS</x:v>
      </x:c>
      <x:c r="K476" s="34" t="str">
        <x:v>PASS</x:v>
      </x:c>
      <x:c r="L476" s="34" t="str">
        <x:v>PASS</x:v>
      </x:c>
      <x:c r="M476" s="34" t="str">
        <x:v>numeric coverage for applicable metric</x:v>
      </x:c>
      <x:c r="N476" s="34" t="str">
        <x:v>Feedback-Directed Random Test Generation/Result/JacksonDatabind_84/result.json</x:v>
      </x:c>
      <x:c r="O476" s="38" t="n">
        <x:f>IF(AND(G476="RECORDED",ISNUMBER(H476)),H476,"")</x:f>
        <x:v>0</x:v>
      </x:c>
      <x:c r="P476" s="34" t="str">
        <x:v>NOT_REVEALING</x:v>
      </x:c>
      <x:c r="Q476" s="34" t="str">
        <x:v>Feedback-Directed Random Test Generation/Result/JacksonDatabind_84/result.json</x:v>
      </x:c>
    </x:row>
    <x:row r="477">
      <x:c r="A477" s="34" t="str">
        <x:v>randoop</x:v>
      </x:c>
      <x:c r="B477" s="34" t="str">
        <x:v>JacksonDatabind</x:v>
      </x:c>
      <x:c r="C477" s="34" t="str">
        <x:v>Round1</x:v>
      </x:c>
      <x:c r="D477" s="34" t="str">
        <x:v>JacksonDatabind_85</x:v>
      </x:c>
      <x:c r="E477" s="34" t="str">
        <x:v>Coverage</x:v>
      </x:c>
      <x:c r="F477" s="34" t="n">
        <x:v>81</x:v>
      </x:c>
      <x:c r="G477" s="34" t="str">
        <x:v>RECORDED</x:v>
      </x:c>
      <x:c r="H477" s="38" t="n">
        <x:f>IF(ISNUMBER('Data'!G477),'Data'!G477*100,"")</x:f>
        <x:v>0</x:v>
      </x:c>
      <x:c r="I477" s="34" t="str">
        <x:v>PASS</x:v>
      </x:c>
      <x:c r="J477" s="34" t="str">
        <x:v>PASS</x:v>
      </x:c>
      <x:c r="K477" s="34" t="str">
        <x:v>PASS</x:v>
      </x:c>
      <x:c r="L477" s="34" t="str">
        <x:v>PASS</x:v>
      </x:c>
      <x:c r="M477" s="34" t="str">
        <x:v>numeric coverage for applicable metric</x:v>
      </x:c>
      <x:c r="N477" s="34" t="str">
        <x:v>Feedback-Directed Random Test Generation/Result/JacksonDatabind_85/result.json</x:v>
      </x:c>
      <x:c r="O477" s="38" t="n">
        <x:f>IF(AND(G477="RECORDED",ISNUMBER(H477)),H477,"")</x:f>
        <x:v>0</x:v>
      </x:c>
      <x:c r="P477" s="34" t="str">
        <x:v>NOT_REVEALING</x:v>
      </x:c>
      <x:c r="Q477" s="34" t="str">
        <x:v>Feedback-Directed Random Test Generation/Result/JacksonDatabind_85/result.json</x:v>
      </x:c>
    </x:row>
    <x:row r="478">
      <x:c r="A478" s="34" t="str">
        <x:v>randoop</x:v>
      </x:c>
      <x:c r="B478" s="34" t="str">
        <x:v>JacksonDatabind</x:v>
      </x:c>
      <x:c r="C478" s="34" t="str">
        <x:v>Round1</x:v>
      </x:c>
      <x:c r="D478" s="34" t="str">
        <x:v>JacksonDatabind_86</x:v>
      </x:c>
      <x:c r="E478" s="34" t="str">
        <x:v>Coverage</x:v>
      </x:c>
      <x:c r="F478" s="34" t="n">
        <x:v>44</x:v>
      </x:c>
      <x:c r="G478" s="34" t="str">
        <x:v>RECORDED</x:v>
      </x:c>
      <x:c r="H478" s="38" t="n">
        <x:f>IF(ISNUMBER('Data'!G478),'Data'!G478*100,"")</x:f>
        <x:v>0</x:v>
      </x:c>
      <x:c r="I478" s="34" t="str">
        <x:v>PASS</x:v>
      </x:c>
      <x:c r="J478" s="34" t="str">
        <x:v>PASS</x:v>
      </x:c>
      <x:c r="K478" s="34" t="str">
        <x:v>PASS</x:v>
      </x:c>
      <x:c r="L478" s="34" t="str">
        <x:v>PASS</x:v>
      </x:c>
      <x:c r="M478" s="34" t="str">
        <x:v>numeric coverage for applicable metric</x:v>
      </x:c>
      <x:c r="N478" s="34" t="str">
        <x:v>Feedback-Directed Random Test Generation/Result/JacksonDatabind_86/result.json</x:v>
      </x:c>
      <x:c r="O478" s="38" t="n">
        <x:f>IF(AND(G478="RECORDED",ISNUMBER(H478)),H478,"")</x:f>
        <x:v>0</x:v>
      </x:c>
      <x:c r="P478" s="34" t="str">
        <x:v>NOT_REVEALING</x:v>
      </x:c>
      <x:c r="Q478" s="34" t="str">
        <x:v>Feedback-Directed Random Test Generation/Result/JacksonDatabind_86/result.json</x:v>
      </x:c>
    </x:row>
    <x:row r="479">
      <x:c r="A479" s="34" t="str">
        <x:v>randoop</x:v>
      </x:c>
      <x:c r="B479" s="34" t="str">
        <x:v>JacksonDatabind</x:v>
      </x:c>
      <x:c r="C479" s="34" t="str">
        <x:v>Round1</x:v>
      </x:c>
      <x:c r="D479" s="34" t="str">
        <x:v>JacksonDatabind_87</x:v>
      </x:c>
      <x:c r="E479" s="34" t="str">
        <x:v>Coverage</x:v>
      </x:c>
      <x:c r="F479" s="34" t="n">
        <x:v>338</x:v>
      </x:c>
      <x:c r="G479" s="34" t="str">
        <x:v>RECORDED</x:v>
      </x:c>
      <x:c r="H479" s="38" t="n">
        <x:f>IF(ISNUMBER('Data'!G479),'Data'!G479*100,"")</x:f>
        <x:v>69.82</x:v>
      </x:c>
      <x:c r="I479" s="34" t="str">
        <x:v>PASS</x:v>
      </x:c>
      <x:c r="J479" s="34" t="str">
        <x:v>PASS</x:v>
      </x:c>
      <x:c r="K479" s="34" t="str">
        <x:v>PASS</x:v>
      </x:c>
      <x:c r="L479" s="34" t="str">
        <x:v>PASS</x:v>
      </x:c>
      <x:c r="M479" s="34" t="str">
        <x:v>numeric coverage for applicable metric</x:v>
      </x:c>
      <x:c r="N479" s="34" t="str">
        <x:v>Feedback-Directed Random Test Generation/Result/JacksonDatabind_87/result.json</x:v>
      </x:c>
      <x:c r="O479" s="38" t="n">
        <x:f>IF(AND(G479="RECORDED",ISNUMBER(H479)),H479,"")</x:f>
        <x:v>69.82</x:v>
      </x:c>
      <x:c r="P479" s="34" t="str">
        <x:v>INCONCLUSIVE</x:v>
      </x:c>
      <x:c r="Q479" s="34" t="str">
        <x:v>Feedback-Directed Random Test Generation/Result/JacksonDatabind_87/result.json</x:v>
      </x:c>
    </x:row>
    <x:row r="480">
      <x:c r="A480" s="34" t="str">
        <x:v>randoop</x:v>
      </x:c>
      <x:c r="B480" s="34" t="str">
        <x:v>JacksonDatabind</x:v>
      </x:c>
      <x:c r="C480" s="34" t="str">
        <x:v>Round1</x:v>
      </x:c>
      <x:c r="D480" s="34" t="str">
        <x:v>JacksonDatabind_88</x:v>
      </x:c>
      <x:c r="E480" s="34" t="str">
        <x:v>Coverage</x:v>
      </x:c>
      <x:c r="F480" s="34" t="n">
        <x:v>74</x:v>
      </x:c>
      <x:c r="G480" s="34" t="str">
        <x:v>RECORDED</x:v>
      </x:c>
      <x:c r="H480" s="38" t="n">
        <x:f>IF(ISNUMBER('Data'!G480),'Data'!G480*100,"")</x:f>
        <x:v>29.73</x:v>
      </x:c>
      <x:c r="I480" s="34" t="str">
        <x:v>PASS</x:v>
      </x:c>
      <x:c r="J480" s="34" t="str">
        <x:v>PASS</x:v>
      </x:c>
      <x:c r="K480" s="34" t="str">
        <x:v>PASS</x:v>
      </x:c>
      <x:c r="L480" s="34" t="str">
        <x:v>PASS</x:v>
      </x:c>
      <x:c r="M480" s="34" t="str">
        <x:v>numeric coverage for applicable metric</x:v>
      </x:c>
      <x:c r="N480" s="34" t="str">
        <x:v>Feedback-Directed Random Test Generation/Result/JacksonDatabind_88/result.json</x:v>
      </x:c>
      <x:c r="O480" s="38" t="n">
        <x:f>IF(AND(G480="RECORDED",ISNUMBER(H480)),H480,"")</x:f>
        <x:v>29.73</x:v>
      </x:c>
      <x:c r="P480" s="34" t="str">
        <x:v>NOT_REVEALING</x:v>
      </x:c>
      <x:c r="Q480" s="34" t="str">
        <x:v>Feedback-Directed Random Test Generation/Result/JacksonDatabind_88/result.json</x:v>
      </x:c>
    </x:row>
    <x:row r="481">
      <x:c r="A481" s="34" t="str">
        <x:v>randoop</x:v>
      </x:c>
      <x:c r="B481" s="34" t="str">
        <x:v>JacksonDatabind</x:v>
      </x:c>
      <x:c r="C481" s="34" t="str">
        <x:v>Round1</x:v>
      </x:c>
      <x:c r="D481" s="34" t="str">
        <x:v>JacksonDatabind_90</x:v>
      </x:c>
      <x:c r="E481" s="34" t="str">
        <x:v>Coverage</x:v>
      </x:c>
      <x:c r="F481" s="34" t="n">
        <x:v>323</x:v>
      </x:c>
      <x:c r="G481" s="34" t="str">
        <x:v>RECORDED</x:v>
      </x:c>
      <x:c r="H481" s="38" t="n">
        <x:f>IF(ISNUMBER('Data'!G481),'Data'!G481*100,"")</x:f>
        <x:v>38.08</x:v>
      </x:c>
      <x:c r="I481" s="34" t="str">
        <x:v>PASS</x:v>
      </x:c>
      <x:c r="J481" s="34" t="str">
        <x:v>PASS</x:v>
      </x:c>
      <x:c r="K481" s="34" t="str">
        <x:v>PASS</x:v>
      </x:c>
      <x:c r="L481" s="34" t="str">
        <x:v>PASS</x:v>
      </x:c>
      <x:c r="M481" s="34" t="str">
        <x:v>numeric coverage for applicable metric</x:v>
      </x:c>
      <x:c r="N481" s="34" t="str">
        <x:v>Feedback-Directed Random Test Generation/Result/JacksonDatabind_90/result.json</x:v>
      </x:c>
      <x:c r="O481" s="38" t="n">
        <x:f>IF(AND(G481="RECORDED",ISNUMBER(H481)),H481,"")</x:f>
        <x:v>38.08</x:v>
      </x:c>
      <x:c r="P481" s="34" t="str">
        <x:v>NOT_REVEALING</x:v>
      </x:c>
      <x:c r="Q481" s="34" t="str">
        <x:v>Feedback-Directed Random Test Generation/Result/JacksonDatabind_90/result.json</x:v>
      </x:c>
    </x:row>
    <x:row r="482">
      <x:c r="A482" s="34" t="str">
        <x:v>randoop</x:v>
      </x:c>
      <x:c r="B482" s="34" t="str">
        <x:v>JacksonDatabind</x:v>
      </x:c>
      <x:c r="C482" s="34" t="str">
        <x:v>Round1</x:v>
      </x:c>
      <x:c r="D482" s="34" t="str">
        <x:v>JacksonDatabind_91</x:v>
      </x:c>
      <x:c r="E482" s="34" t="str">
        <x:v>Coverage</x:v>
      </x:c>
      <x:c r="F482" s="34" t="n">
        <x:v>286</x:v>
      </x:c>
      <x:c r="G482" s="34" t="str">
        <x:v>RECORDED</x:v>
      </x:c>
      <x:c r="H482" s="38" t="n">
        <x:f>IF(ISNUMBER('Data'!G482),'Data'!G482*100,"")</x:f>
        <x:v>8.74</x:v>
      </x:c>
      <x:c r="I482" s="34" t="str">
        <x:v>PASS</x:v>
      </x:c>
      <x:c r="J482" s="34" t="str">
        <x:v>PASS</x:v>
      </x:c>
      <x:c r="K482" s="34" t="str">
        <x:v>PASS</x:v>
      </x:c>
      <x:c r="L482" s="34" t="str">
        <x:v>PASS</x:v>
      </x:c>
      <x:c r="M482" s="34" t="str">
        <x:v>numeric coverage for applicable metric</x:v>
      </x:c>
      <x:c r="N482" s="34" t="str">
        <x:v>Feedback-Directed Random Test Generation/Result/JacksonDatabind_91/result.json</x:v>
      </x:c>
      <x:c r="O482" s="38" t="n">
        <x:f>IF(AND(G482="RECORDED",ISNUMBER(H482)),H482,"")</x:f>
        <x:v>8.74</x:v>
      </x:c>
      <x:c r="P482" s="34" t="str">
        <x:v>NOT_REVEALING</x:v>
      </x:c>
      <x:c r="Q482" s="34" t="str">
        <x:v>Feedback-Directed Random Test Generation/Result/JacksonDatabind_91/result.json</x:v>
      </x:c>
    </x:row>
    <x:row r="483">
      <x:c r="A483" s="34" t="str">
        <x:v>randoop</x:v>
      </x:c>
      <x:c r="B483" s="34" t="str">
        <x:v>JacksonDatabind</x:v>
      </x:c>
      <x:c r="C483" s="34" t="str">
        <x:v>Round1</x:v>
      </x:c>
      <x:c r="D483" s="34" t="str">
        <x:v>JacksonDatabind_92</x:v>
      </x:c>
      <x:c r="E483" s="34" t="str">
        <x:v>Coverage</x:v>
      </x:c>
      <x:c r="F483" s="34" t="n">
        <x:v>547</x:v>
      </x:c>
      <x:c r="G483" s="34" t="str">
        <x:v>RECORDED</x:v>
      </x:c>
      <x:c r="H483" s="38" t="n">
        <x:f>IF(ISNUMBER('Data'!G483),'Data'!G483*100,"")</x:f>
        <x:v>8.96</x:v>
      </x:c>
      <x:c r="I483" s="34" t="str">
        <x:v>PASS</x:v>
      </x:c>
      <x:c r="J483" s="34" t="str">
        <x:v>PASS</x:v>
      </x:c>
      <x:c r="K483" s="34" t="str">
        <x:v>PASS</x:v>
      </x:c>
      <x:c r="L483" s="34" t="str">
        <x:v>PASS</x:v>
      </x:c>
      <x:c r="M483" s="34" t="str">
        <x:v>numeric coverage for applicable metric</x:v>
      </x:c>
      <x:c r="N483" s="34" t="str">
        <x:v>Feedback-Directed Random Test Generation/Result/JacksonDatabind_92/result.json</x:v>
      </x:c>
      <x:c r="O483" s="38" t="n">
        <x:f>IF(AND(G483="RECORDED",ISNUMBER(H483)),H483,"")</x:f>
        <x:v>8.96</x:v>
      </x:c>
      <x:c r="P483" s="34" t="str">
        <x:v>NOT_REVEALING</x:v>
      </x:c>
      <x:c r="Q483" s="34" t="str">
        <x:v>Feedback-Directed Random Test Generation/Result/JacksonDatabind_92/result.json</x:v>
      </x:c>
    </x:row>
    <x:row r="484">
      <x:c r="A484" s="34" t="str">
        <x:v>randoop</x:v>
      </x:c>
      <x:c r="B484" s="34" t="str">
        <x:v>JacksonDatabind</x:v>
      </x:c>
      <x:c r="C484" s="34" t="str">
        <x:v>Round1</x:v>
      </x:c>
      <x:c r="D484" s="34" t="str">
        <x:v>JacksonDatabind_93</x:v>
      </x:c>
      <x:c r="E484" s="34" t="str">
        <x:v>Coverage</x:v>
      </x:c>
      <x:c r="F484" s="34" t="n">
        <x:v>46</x:v>
      </x:c>
      <x:c r="G484" s="34" t="str">
        <x:v>RECORDED</x:v>
      </x:c>
      <x:c r="H484" s="38" t="n">
        <x:f>IF(ISNUMBER('Data'!G484),'Data'!G484*100,"")</x:f>
        <x:v>52.17</x:v>
      </x:c>
      <x:c r="I484" s="34" t="str">
        <x:v>PASS</x:v>
      </x:c>
      <x:c r="J484" s="34" t="str">
        <x:v>PASS</x:v>
      </x:c>
      <x:c r="K484" s="34" t="str">
        <x:v>PASS</x:v>
      </x:c>
      <x:c r="L484" s="34" t="str">
        <x:v>PASS</x:v>
      </x:c>
      <x:c r="M484" s="34" t="str">
        <x:v>numeric coverage for applicable metric</x:v>
      </x:c>
      <x:c r="N484" s="34" t="str">
        <x:v>Feedback-Directed Random Test Generation/Result/JacksonDatabind_93/result.json</x:v>
      </x:c>
      <x:c r="O484" s="38" t="n">
        <x:f>IF(AND(G484="RECORDED",ISNUMBER(H484)),H484,"")</x:f>
        <x:v>52.17</x:v>
      </x:c>
      <x:c r="P484" s="34" t="str">
        <x:v>NOT_REVEALING</x:v>
      </x:c>
      <x:c r="Q484" s="34" t="str">
        <x:v>Feedback-Directed Random Test Generation/Result/JacksonDatabind_93/result.json</x:v>
      </x:c>
    </x:row>
    <x:row r="485">
      <x:c r="A485" s="34" t="str">
        <x:v>randoop</x:v>
      </x:c>
      <x:c r="B485" s="34" t="str">
        <x:v>JacksonDatabind</x:v>
      </x:c>
      <x:c r="C485" s="34" t="str">
        <x:v>Round1</x:v>
      </x:c>
      <x:c r="D485" s="34" t="str">
        <x:v>JacksonDatabind_94</x:v>
      </x:c>
      <x:c r="E485" s="34" t="str">
        <x:v>Coverage</x:v>
      </x:c>
      <x:c r="F485" s="34" t="n">
        <x:v>49</x:v>
      </x:c>
      <x:c r="G485" s="34" t="str">
        <x:v>RECORDED</x:v>
      </x:c>
      <x:c r="H485" s="38" t="n">
        <x:f>IF(ISNUMBER('Data'!G485),'Data'!G485*100,"")</x:f>
        <x:v>44.9</x:v>
      </x:c>
      <x:c r="I485" s="34" t="str">
        <x:v>PASS</x:v>
      </x:c>
      <x:c r="J485" s="34" t="str">
        <x:v>PASS</x:v>
      </x:c>
      <x:c r="K485" s="34" t="str">
        <x:v>PASS</x:v>
      </x:c>
      <x:c r="L485" s="34" t="str">
        <x:v>FAIL</x:v>
      </x:c>
      <x:c r="M485" s="34" t="str">
        <x:v>numeric coverage for applicable metric</x:v>
      </x:c>
      <x:c r="N485" s="34" t="str">
        <x:v>Feedback-Directed Random Test Generation/Result/JacksonDatabind_94/result.json</x:v>
      </x:c>
      <x:c r="O485" s="38" t="n">
        <x:f>IF(AND(G485="RECORDED",ISNUMBER(H485)),H485,"")</x:f>
        <x:v>44.9</x:v>
      </x:c>
      <x:c r="P485" s="34" t="str">
        <x:v>INCONCLUSIVE</x:v>
      </x:c>
      <x:c r="Q485" s="34" t="str">
        <x:v>Feedback-Directed Random Test Generation/Result/JacksonDatabind_94/result.json</x:v>
      </x:c>
    </x:row>
    <x:row r="486">
      <x:c r="A486" s="34" t="str">
        <x:v>randoop</x:v>
      </x:c>
      <x:c r="B486" s="34" t="str">
        <x:v>JacksonDatabind</x:v>
      </x:c>
      <x:c r="C486" s="34" t="str">
        <x:v>Round1</x:v>
      </x:c>
      <x:c r="D486" s="34" t="str">
        <x:v>JacksonDatabind_95</x:v>
      </x:c>
      <x:c r="E486" s="34" t="str">
        <x:v>Coverage</x:v>
      </x:c>
      <x:c r="F486" s="34" t="n">
        <x:v>730</x:v>
      </x:c>
      <x:c r="G486" s="34" t="str">
        <x:v>RECORDED</x:v>
      </x:c>
      <x:c r="H486" s="38" t="n">
        <x:f>IF(ISNUMBER('Data'!G486),'Data'!G486*100,"")</x:f>
        <x:v>43.56</x:v>
      </x:c>
      <x:c r="I486" s="34" t="str">
        <x:v>PASS</x:v>
      </x:c>
      <x:c r="J486" s="34" t="str">
        <x:v>PASS</x:v>
      </x:c>
      <x:c r="K486" s="34" t="str">
        <x:v>PASS</x:v>
      </x:c>
      <x:c r="L486" s="34" t="str">
        <x:v>PASS</x:v>
      </x:c>
      <x:c r="M486" s="34" t="str">
        <x:v>numeric coverage for applicable metric</x:v>
      </x:c>
      <x:c r="N486" s="34" t="str">
        <x:v>Feedback-Directed Random Test Generation/Result/JacksonDatabind_95/result.json</x:v>
      </x:c>
      <x:c r="O486" s="38" t="n">
        <x:f>IF(AND(G486="RECORDED",ISNUMBER(H486)),H486,"")</x:f>
        <x:v>43.56</x:v>
      </x:c>
      <x:c r="P486" s="34" t="str">
        <x:v>NOT_REVEALING</x:v>
      </x:c>
      <x:c r="Q486" s="34" t="str">
        <x:v>Feedback-Directed Random Test Generation/Result/JacksonDatabind_95/result.json</x:v>
      </x:c>
    </x:row>
    <x:row r="487">
      <x:c r="A487" s="34" t="str">
        <x:v>randoop</x:v>
      </x:c>
      <x:c r="B487" s="34" t="str">
        <x:v>JacksonDatabind</x:v>
      </x:c>
      <x:c r="C487" s="34" t="str">
        <x:v>Round1</x:v>
      </x:c>
      <x:c r="D487" s="34" t="str">
        <x:v>JacksonDatabind_96</x:v>
      </x:c>
      <x:c r="E487" s="34" t="str">
        <x:v>Coverage</x:v>
      </x:c>
      <x:c r="F487" s="34" t="n">
        <x:v>1503</x:v>
      </x:c>
      <x:c r="G487" s="34" t="str">
        <x:v>RECORDED</x:v>
      </x:c>
      <x:c r="H487" s="38" t="n">
        <x:f>IF(ISNUMBER('Data'!G487),'Data'!G487*100,"")</x:f>
        <x:v>1.4</x:v>
      </x:c>
      <x:c r="I487" s="34" t="str">
        <x:v>PASS</x:v>
      </x:c>
      <x:c r="J487" s="34" t="str">
        <x:v>PASS</x:v>
      </x:c>
      <x:c r="K487" s="34" t="str">
        <x:v>PASS</x:v>
      </x:c>
      <x:c r="L487" s="34" t="str">
        <x:v>PASS</x:v>
      </x:c>
      <x:c r="M487" s="34" t="str">
        <x:v>numeric coverage for applicable metric</x:v>
      </x:c>
      <x:c r="N487" s="34" t="str">
        <x:v>Feedback-Directed Random Test Generation/Result/JacksonDatabind_96/result.json</x:v>
      </x:c>
      <x:c r="O487" s="38" t="n">
        <x:f>IF(AND(G487="RECORDED",ISNUMBER(H487)),H487,"")</x:f>
        <x:v>1.4</x:v>
      </x:c>
      <x:c r="P487" s="34" t="str">
        <x:v>NOT_REVEALING</x:v>
      </x:c>
      <x:c r="Q487" s="34" t="str">
        <x:v>Feedback-Directed Random Test Generation/Result/JacksonDatabind_96/result.json</x:v>
      </x:c>
    </x:row>
    <x:row r="488">
      <x:c r="A488" s="34" t="str">
        <x:v>randoop</x:v>
      </x:c>
      <x:c r="B488" s="34" t="str">
        <x:v>JacksonDatabind</x:v>
      </x:c>
      <x:c r="C488" s="34" t="str">
        <x:v>Round1</x:v>
      </x:c>
      <x:c r="D488" s="34" t="str">
        <x:v>JacksonDatabind_97</x:v>
      </x:c>
      <x:c r="E488" s="34" t="str">
        <x:v>Coverage</x:v>
      </x:c>
      <x:c r="F488" s="34" t="n">
        <x:v>75</x:v>
      </x:c>
      <x:c r="G488" s="34" t="str">
        <x:v>RECORDED</x:v>
      </x:c>
      <x:c r="H488" s="38" t="n">
        <x:f>IF(ISNUMBER('Data'!G488),'Data'!G488*100,"")</x:f>
        <x:v>76</x:v>
      </x:c>
      <x:c r="I488" s="34" t="str">
        <x:v>PASS</x:v>
      </x:c>
      <x:c r="J488" s="34" t="str">
        <x:v>PASS</x:v>
      </x:c>
      <x:c r="K488" s="34" t="str">
        <x:v>PASS</x:v>
      </x:c>
      <x:c r="L488" s="34" t="str">
        <x:v>PASS</x:v>
      </x:c>
      <x:c r="M488" s="34" t="str">
        <x:v>numeric coverage for applicable metric</x:v>
      </x:c>
      <x:c r="N488" s="34" t="str">
        <x:v>Feedback-Directed Random Test Generation/Result/JacksonDatabind_97/result.json</x:v>
      </x:c>
      <x:c r="O488" s="38" t="n">
        <x:f>IF(AND(G488="RECORDED",ISNUMBER(H488)),H488,"")</x:f>
        <x:v>76</x:v>
      </x:c>
      <x:c r="P488" s="34" t="str">
        <x:v>NOT_REVEALING</x:v>
      </x:c>
      <x:c r="Q488" s="34" t="str">
        <x:v>Feedback-Directed Random Test Generation/Result/JacksonDatabind_97/result.json</x:v>
      </x:c>
    </x:row>
    <x:row r="489">
      <x:c r="A489" s="34" t="str">
        <x:v>randoop</x:v>
      </x:c>
      <x:c r="B489" s="34" t="str">
        <x:v>JacksonDatabind</x:v>
      </x:c>
      <x:c r="C489" s="34" t="str">
        <x:v>Round1</x:v>
      </x:c>
      <x:c r="D489" s="34" t="str">
        <x:v>JacksonDatabind_98</x:v>
      </x:c>
      <x:c r="E489" s="34" t="str">
        <x:v>Coverage</x:v>
      </x:c>
      <x:c r="F489" s="34" t="n">
        <x:v>299</x:v>
      </x:c>
      <x:c r="G489" s="34" t="str">
        <x:v>RECORDED</x:v>
      </x:c>
      <x:c r="H489" s="38" t="n">
        <x:f>IF(ISNUMBER('Data'!G489),'Data'!G489*100,"")</x:f>
        <x:v>17.06</x:v>
      </x:c>
      <x:c r="I489" s="34" t="str">
        <x:v>PASS</x:v>
      </x:c>
      <x:c r="J489" s="34" t="str">
        <x:v>PASS</x:v>
      </x:c>
      <x:c r="K489" s="34" t="str">
        <x:v>PASS</x:v>
      </x:c>
      <x:c r="L489" s="34" t="str">
        <x:v>PASS</x:v>
      </x:c>
      <x:c r="M489" s="34" t="str">
        <x:v>numeric coverage for applicable metric</x:v>
      </x:c>
      <x:c r="N489" s="34" t="str">
        <x:v>Feedback-Directed Random Test Generation/Result/JacksonDatabind_98/result.json</x:v>
      </x:c>
      <x:c r="O489" s="38" t="n">
        <x:f>IF(AND(G489="RECORDED",ISNUMBER(H489)),H489,"")</x:f>
        <x:v>17.06</x:v>
      </x:c>
      <x:c r="P489" s="34" t="str">
        <x:v>NOT_REVEALING</x:v>
      </x:c>
      <x:c r="Q489" s="34" t="str">
        <x:v>Feedback-Directed Random Test Generation/Result/JacksonDatabind_98/result.json</x:v>
      </x:c>
    </x:row>
    <x:row r="490">
      <x:c r="A490" s="34" t="str">
        <x:v>randoop</x:v>
      </x:c>
      <x:c r="B490" s="34" t="str">
        <x:v>JacksonDatabind</x:v>
      </x:c>
      <x:c r="C490" s="34" t="str">
        <x:v>Round1</x:v>
      </x:c>
      <x:c r="D490" s="34" t="str">
        <x:v>JacksonDatabind_99</x:v>
      </x:c>
      <x:c r="E490" s="34" t="str">
        <x:v>Coverage</x:v>
      </x:c>
      <x:c r="F490" s="34" t="n">
        <x:v>98</x:v>
      </x:c>
      <x:c r="G490" s="34" t="str">
        <x:v>RECORDED</x:v>
      </x:c>
      <x:c r="H490" s="38" t="n">
        <x:f>IF(ISNUMBER('Data'!G490),'Data'!G490*100,"")</x:f>
        <x:v>4.08</x:v>
      </x:c>
      <x:c r="I490" s="34" t="str">
        <x:v>PASS</x:v>
      </x:c>
      <x:c r="J490" s="34" t="str">
        <x:v>PASS</x:v>
      </x:c>
      <x:c r="K490" s="34" t="str">
        <x:v>PASS</x:v>
      </x:c>
      <x:c r="L490" s="34" t="str">
        <x:v>PASS</x:v>
      </x:c>
      <x:c r="M490" s="34" t="str">
        <x:v>numeric coverage for applicable metric</x:v>
      </x:c>
      <x:c r="N490" s="34" t="str">
        <x:v>Feedback-Directed Random Test Generation/Result/JacksonDatabind_99/result.json</x:v>
      </x:c>
      <x:c r="O490" s="38" t="n">
        <x:f>IF(AND(G490="RECORDED",ISNUMBER(H490)),H490,"")</x:f>
        <x:v>4.08</x:v>
      </x:c>
      <x:c r="P490" s="34" t="str">
        <x:v>NOT_REVEALING</x:v>
      </x:c>
      <x:c r="Q490" s="34" t="str">
        <x:v>Feedback-Directed Random Test Generation/Result/JacksonDatabind_99/result.json</x:v>
      </x:c>
    </x:row>
    <x:row r="491">
      <x:c r="A491" s="34" t="str">
        <x:v>randoop</x:v>
      </x:c>
      <x:c r="B491" s="34" t="str">
        <x:v>JacksonDatabind</x:v>
      </x:c>
      <x:c r="C491" s="34" t="str">
        <x:v>Round1</x:v>
      </x:c>
      <x:c r="D491" s="34" t="str">
        <x:v>JacksonDatabind_100</x:v>
      </x:c>
      <x:c r="E491" s="34" t="str">
        <x:v>Coverage</x:v>
      </x:c>
      <x:c r="F491" s="34" t="n">
        <x:v>204</x:v>
      </x:c>
      <x:c r="G491" s="34" t="str">
        <x:v>RECORDED</x:v>
      </x:c>
      <x:c r="H491" s="38" t="n">
        <x:f>IF(ISNUMBER('Data'!G491),'Data'!G491*100,"")</x:f>
        <x:v>1.96</x:v>
      </x:c>
      <x:c r="I491" s="34" t="str">
        <x:v>PASS</x:v>
      </x:c>
      <x:c r="J491" s="34" t="str">
        <x:v>PASS</x:v>
      </x:c>
      <x:c r="K491" s="34" t="str">
        <x:v>PASS</x:v>
      </x:c>
      <x:c r="L491" s="34" t="str">
        <x:v>PASS</x:v>
      </x:c>
      <x:c r="M491" s="34" t="str">
        <x:v>numeric coverage for applicable metric</x:v>
      </x:c>
      <x:c r="N491" s="34" t="str">
        <x:v>Feedback-Directed Random Test Generation/Result/JacksonDatabind_100/result.json</x:v>
      </x:c>
      <x:c r="O491" s="38" t="n">
        <x:f>IF(AND(G491="RECORDED",ISNUMBER(H491)),H491,"")</x:f>
        <x:v>1.96</x:v>
      </x:c>
      <x:c r="P491" s="34" t="str">
        <x:v>NOT_REVEALING</x:v>
      </x:c>
      <x:c r="Q491" s="34" t="str">
        <x:v>Feedback-Directed Random Test Generation/Result/JacksonDatabind_100/result.json</x:v>
      </x:c>
    </x:row>
    <x:row r="492">
      <x:c r="A492" s="34" t="str">
        <x:v>randoop</x:v>
      </x:c>
      <x:c r="B492" s="34" t="str">
        <x:v>JacksonDatabind</x:v>
      </x:c>
      <x:c r="C492" s="34" t="str">
        <x:v>Round1</x:v>
      </x:c>
      <x:c r="D492" s="34" t="str">
        <x:v>JacksonDatabind_101</x:v>
      </x:c>
      <x:c r="E492" s="34" t="str">
        <x:v>Coverage</x:v>
      </x:c>
      <x:c r="F492" s="34" t="n">
        <x:v>712</x:v>
      </x:c>
      <x:c r="G492" s="34" t="str">
        <x:v>RECORDED</x:v>
      </x:c>
      <x:c r="H492" s="38" t="n">
        <x:f>IF(ISNUMBER('Data'!G492),'Data'!G492*100,"")</x:f>
        <x:v>1.12</x:v>
      </x:c>
      <x:c r="I492" s="34" t="str">
        <x:v>PASS</x:v>
      </x:c>
      <x:c r="J492" s="34" t="str">
        <x:v>PASS</x:v>
      </x:c>
      <x:c r="K492" s="34" t="str">
        <x:v>PASS</x:v>
      </x:c>
      <x:c r="L492" s="34" t="str">
        <x:v>PASS</x:v>
      </x:c>
      <x:c r="M492" s="34" t="str">
        <x:v>numeric coverage for applicable metric</x:v>
      </x:c>
      <x:c r="N492" s="34" t="str">
        <x:v>Feedback-Directed Random Test Generation/Result/JacksonDatabind_101/result.json</x:v>
      </x:c>
      <x:c r="O492" s="38" t="n">
        <x:f>IF(AND(G492="RECORDED",ISNUMBER(H492)),H492,"")</x:f>
        <x:v>1.12</x:v>
      </x:c>
      <x:c r="P492" s="34" t="str">
        <x:v>NOT_REVEALING</x:v>
      </x:c>
      <x:c r="Q492" s="34" t="str">
        <x:v>Feedback-Directed Random Test Generation/Result/JacksonDatabind_101/result.json</x:v>
      </x:c>
    </x:row>
    <x:row r="493">
      <x:c r="A493" s="34" t="str">
        <x:v>randoop</x:v>
      </x:c>
      <x:c r="B493" s="34" t="str">
        <x:v>JacksonDatabind</x:v>
      </x:c>
      <x:c r="C493" s="34" t="str">
        <x:v>Round1</x:v>
      </x:c>
      <x:c r="D493" s="34" t="str">
        <x:v>JacksonDatabind_102</x:v>
      </x:c>
      <x:c r="E493" s="34" t="str">
        <x:v>Coverage</x:v>
      </x:c>
      <x:c r="F493" s="34" t="n">
        <x:v>123</x:v>
      </x:c>
      <x:c r="G493" s="34" t="str">
        <x:v>RECORDED</x:v>
      </x:c>
      <x:c r="H493" s="38" t="n">
        <x:f>IF(ISNUMBER('Data'!G493),'Data'!G493*100,"")</x:f>
        <x:v>0</x:v>
      </x:c>
      <x:c r="I493" s="34" t="str">
        <x:v>PASS</x:v>
      </x:c>
      <x:c r="J493" s="34" t="str">
        <x:v>PASS</x:v>
      </x:c>
      <x:c r="K493" s="34" t="str">
        <x:v>PASS</x:v>
      </x:c>
      <x:c r="L493" s="34" t="str">
        <x:v>PASS</x:v>
      </x:c>
      <x:c r="M493" s="34" t="str">
        <x:v>numeric coverage for applicable metric</x:v>
      </x:c>
      <x:c r="N493" s="34" t="str">
        <x:v>Feedback-Directed Random Test Generation/Result/JacksonDatabind_102/result.json</x:v>
      </x:c>
      <x:c r="O493" s="38" t="n">
        <x:f>IF(AND(G493="RECORDED",ISNUMBER(H493)),H493,"")</x:f>
        <x:v>0</x:v>
      </x:c>
      <x:c r="P493" s="34" t="str">
        <x:v>NOT_REVEALING</x:v>
      </x:c>
      <x:c r="Q493" s="34" t="str">
        <x:v>Feedback-Directed Random Test Generation/Result/JacksonDatabind_102/result.json</x:v>
      </x:c>
    </x:row>
    <x:row r="494">
      <x:c r="A494" s="34" t="str">
        <x:v>randoop</x:v>
      </x:c>
      <x:c r="B494" s="34" t="str">
        <x:v>JacksonDatabind</x:v>
      </x:c>
      <x:c r="C494" s="34" t="str">
        <x:v>Round1</x:v>
      </x:c>
      <x:c r="D494" s="34" t="str">
        <x:v>JacksonDatabind_103</x:v>
      </x:c>
      <x:c r="E494" s="34" t="str">
        <x:v>Coverage</x:v>
      </x:c>
      <x:c r="F494" s="34" t="n">
        <x:v>6791</x:v>
      </x:c>
      <x:c r="G494" s="34" t="str">
        <x:v>RECORDED</x:v>
      </x:c>
      <x:c r="H494" s="38" t="n">
        <x:f>IF(ISNUMBER('Data'!G494),'Data'!G494*100,"")</x:f>
        <x:v>12.24</x:v>
      </x:c>
      <x:c r="I494" s="34" t="str">
        <x:v>PASS</x:v>
      </x:c>
      <x:c r="J494" s="34" t="str">
        <x:v>PASS</x:v>
      </x:c>
      <x:c r="K494" s="34" t="str">
        <x:v>PASS</x:v>
      </x:c>
      <x:c r="L494" s="34" t="str">
        <x:v>FAIL</x:v>
      </x:c>
      <x:c r="M494" s="34" t="str">
        <x:v>numeric coverage for applicable metric</x:v>
      </x:c>
      <x:c r="N494" s="34" t="str">
        <x:v>Feedback-Directed Random Test Generation/Result/JacksonDatabind_103/result.json</x:v>
      </x:c>
      <x:c r="O494" s="38" t="n">
        <x:f>IF(AND(G494="RECORDED",ISNUMBER(H494)),H494,"")</x:f>
        <x:v>12.24</x:v>
      </x:c>
      <x:c r="P494" s="34" t="str">
        <x:v>INCONCLUSIVE</x:v>
      </x:c>
      <x:c r="Q494" s="34" t="str">
        <x:v>Feedback-Directed Random Test Generation/Result/JacksonDatabind_103/result.json</x:v>
      </x:c>
    </x:row>
    <x:row r="495">
      <x:c r="A495" s="34" t="str">
        <x:v>randoop</x:v>
      </x:c>
      <x:c r="B495" s="34" t="str">
        <x:v>JacksonDatabind</x:v>
      </x:c>
      <x:c r="C495" s="34" t="str">
        <x:v>Round1</x:v>
      </x:c>
      <x:c r="D495" s="34" t="str">
        <x:v>JacksonDatabind_104</x:v>
      </x:c>
      <x:c r="E495" s="34" t="str">
        <x:v>Coverage</x:v>
      </x:c>
      <x:c r="F495" s="34" t="n">
        <x:v>395</x:v>
      </x:c>
      <x:c r="G495" s="34" t="str">
        <x:v>RECORDED</x:v>
      </x:c>
      <x:c r="H495" s="38" t="n">
        <x:f>IF(ISNUMBER('Data'!G495),'Data'!G495*100,"")</x:f>
        <x:v>81.01</x:v>
      </x:c>
      <x:c r="I495" s="34" t="str">
        <x:v>PASS</x:v>
      </x:c>
      <x:c r="J495" s="34" t="str">
        <x:v>PASS</x:v>
      </x:c>
      <x:c r="K495" s="34" t="str">
        <x:v>PASS</x:v>
      </x:c>
      <x:c r="L495" s="34" t="str">
        <x:v>FAIL</x:v>
      </x:c>
      <x:c r="M495" s="34" t="str">
        <x:v>numeric coverage for applicable metric</x:v>
      </x:c>
      <x:c r="N495" s="34" t="str">
        <x:v>Feedback-Directed Random Test Generation/Result/JacksonDatabind_104/result.json</x:v>
      </x:c>
      <x:c r="O495" s="38" t="n">
        <x:f>IF(AND(G495="RECORDED",ISNUMBER(H495)),H495,"")</x:f>
        <x:v>81.01</x:v>
      </x:c>
      <x:c r="P495" s="34" t="str">
        <x:v>INCONCLUSIVE</x:v>
      </x:c>
      <x:c r="Q495" s="34" t="str">
        <x:v>Feedback-Directed Random Test Generation/Result/JacksonDatabind_104/result.json</x:v>
      </x:c>
    </x:row>
    <x:row r="496">
      <x:c r="A496" s="34" t="str">
        <x:v>randoop</x:v>
      </x:c>
      <x:c r="B496" s="34" t="str">
        <x:v>JacksonDatabind</x:v>
      </x:c>
      <x:c r="C496" s="34" t="str">
        <x:v>Round1</x:v>
      </x:c>
      <x:c r="D496" s="34" t="str">
        <x:v>JacksonDatabind_105</x:v>
      </x:c>
      <x:c r="E496" s="34" t="str">
        <x:v>Coverage</x:v>
      </x:c>
      <x:c r="F496" s="34" t="n">
        <x:v>31</x:v>
      </x:c>
      <x:c r="G496" s="34" t="str">
        <x:v>RECORDED</x:v>
      </x:c>
      <x:c r="H496" s="38" t="n">
        <x:f>IF(ISNUMBER('Data'!G496),'Data'!G496*100,"")</x:f>
        <x:v>19.35</x:v>
      </x:c>
      <x:c r="I496" s="34" t="str">
        <x:v>PASS</x:v>
      </x:c>
      <x:c r="J496" s="34" t="str">
        <x:v>PASS</x:v>
      </x:c>
      <x:c r="K496" s="34" t="str">
        <x:v>PASS</x:v>
      </x:c>
      <x:c r="L496" s="34" t="str">
        <x:v>PASS</x:v>
      </x:c>
      <x:c r="M496" s="34" t="str">
        <x:v>numeric coverage for applicable metric</x:v>
      </x:c>
      <x:c r="N496" s="34" t="str">
        <x:v>Feedback-Directed Random Test Generation/Result/JacksonDatabind_105/result.json</x:v>
      </x:c>
      <x:c r="O496" s="38" t="n">
        <x:f>IF(AND(G496="RECORDED",ISNUMBER(H496)),H496,"")</x:f>
        <x:v>19.35</x:v>
      </x:c>
      <x:c r="P496" s="34" t="str">
        <x:v>NOT_REVEALING</x:v>
      </x:c>
      <x:c r="Q496" s="34" t="str">
        <x:v>Feedback-Directed Random Test Generation/Result/JacksonDatabind_105/result.json</x:v>
      </x:c>
    </x:row>
    <x:row r="497">
      <x:c r="A497" s="34" t="str">
        <x:v>randoop</x:v>
      </x:c>
      <x:c r="B497" s="34" t="str">
        <x:v>JacksonDatabind</x:v>
      </x:c>
      <x:c r="C497" s="34" t="str">
        <x:v>Round1</x:v>
      </x:c>
      <x:c r="D497" s="34" t="str">
        <x:v>JacksonDatabind_106</x:v>
      </x:c>
      <x:c r="E497" s="34" t="str">
        <x:v>Coverage</x:v>
      </x:c>
      <x:c r="F497" s="34" t="n">
        <x:v>198</x:v>
      </x:c>
      <x:c r="G497" s="34" t="str">
        <x:v>RECORDED</x:v>
      </x:c>
      <x:c r="H497" s="38" t="n">
        <x:f>IF(ISNUMBER('Data'!G497),'Data'!G497*100,"")</x:f>
        <x:v>2.02</x:v>
      </x:c>
      <x:c r="I497" s="34" t="str">
        <x:v>PASS</x:v>
      </x:c>
      <x:c r="J497" s="34" t="str">
        <x:v>PASS</x:v>
      </x:c>
      <x:c r="K497" s="34" t="str">
        <x:v>PASS</x:v>
      </x:c>
      <x:c r="L497" s="34" t="str">
        <x:v>PASS</x:v>
      </x:c>
      <x:c r="M497" s="34" t="str">
        <x:v>numeric coverage for applicable metric</x:v>
      </x:c>
      <x:c r="N497" s="34" t="str">
        <x:v>Feedback-Directed Random Test Generation/Result/JacksonDatabind_106/result.json</x:v>
      </x:c>
      <x:c r="O497" s="38" t="n">
        <x:f>IF(AND(G497="RECORDED",ISNUMBER(H497)),H497,"")</x:f>
        <x:v>2.02</x:v>
      </x:c>
      <x:c r="P497" s="34" t="str">
        <x:v>NOT_REVEALING</x:v>
      </x:c>
      <x:c r="Q497" s="34" t="str">
        <x:v>Feedback-Directed Random Test Generation/Result/JacksonDatabind_106/result.json</x:v>
      </x:c>
    </x:row>
    <x:row r="498">
      <x:c r="A498" s="34" t="str">
        <x:v>randoop</x:v>
      </x:c>
      <x:c r="B498" s="34" t="str">
        <x:v>JacksonDatabind</x:v>
      </x:c>
      <x:c r="C498" s="34" t="str">
        <x:v>Round1</x:v>
      </x:c>
      <x:c r="D498" s="34" t="str">
        <x:v>JacksonDatabind_107</x:v>
      </x:c>
      <x:c r="E498" s="34" t="str">
        <x:v>Coverage</x:v>
      </x:c>
      <x:c r="F498" s="34" t="n">
        <x:v>109</x:v>
      </x:c>
      <x:c r="G498" s="34" t="str">
        <x:v>RECORDED</x:v>
      </x:c>
      <x:c r="H498" s="38" t="n">
        <x:f>IF(ISNUMBER('Data'!G498),'Data'!G498*100,"")</x:f>
        <x:v>0</x:v>
      </x:c>
      <x:c r="I498" s="34" t="str">
        <x:v>PASS</x:v>
      </x:c>
      <x:c r="J498" s="34" t="str">
        <x:v>PASS</x:v>
      </x:c>
      <x:c r="K498" s="34" t="str">
        <x:v>PASS</x:v>
      </x:c>
      <x:c r="L498" s="34" t="str">
        <x:v>PASS</x:v>
      </x:c>
      <x:c r="M498" s="34" t="str">
        <x:v>numeric coverage for applicable metric</x:v>
      </x:c>
      <x:c r="N498" s="34" t="str">
        <x:v>Feedback-Directed Random Test Generation/Result/JacksonDatabind_107/result.json</x:v>
      </x:c>
      <x:c r="O498" s="38" t="n">
        <x:f>IF(AND(G498="RECORDED",ISNUMBER(H498)),H498,"")</x:f>
        <x:v>0</x:v>
      </x:c>
      <x:c r="P498" s="34" t="str">
        <x:v>NOT_REVEALING</x:v>
      </x:c>
      <x:c r="Q498" s="34" t="str">
        <x:v>Feedback-Directed Random Test Generation/Result/JacksonDatabind_107/result.json</x:v>
      </x:c>
    </x:row>
    <x:row r="499">
      <x:c r="A499" s="34" t="str">
        <x:v>randoop</x:v>
      </x:c>
      <x:c r="B499" s="34" t="str">
        <x:v>JacksonDatabind</x:v>
      </x:c>
      <x:c r="C499" s="34" t="str">
        <x:v>Round1</x:v>
      </x:c>
      <x:c r="D499" s="34" t="str">
        <x:v>JacksonDatabind_108</x:v>
      </x:c>
      <x:c r="E499" s="34" t="str">
        <x:v>Coverage</x:v>
      </x:c>
      <x:c r="F499" s="34" t="n">
        <x:v>615</x:v>
      </x:c>
      <x:c r="G499" s="34" t="str">
        <x:v>RECORDED</x:v>
      </x:c>
      <x:c r="H499" s="38" t="n">
        <x:f>IF(ISNUMBER('Data'!G499),'Data'!G499*100,"")</x:f>
        <x:v>2.44</x:v>
      </x:c>
      <x:c r="I499" s="34" t="str">
        <x:v>PASS</x:v>
      </x:c>
      <x:c r="J499" s="34" t="str">
        <x:v>PASS</x:v>
      </x:c>
      <x:c r="K499" s="34" t="str">
        <x:v>PASS</x:v>
      </x:c>
      <x:c r="L499" s="34" t="str">
        <x:v>PASS</x:v>
      </x:c>
      <x:c r="M499" s="34" t="str">
        <x:v>numeric coverage for applicable metric</x:v>
      </x:c>
      <x:c r="N499" s="34" t="str">
        <x:v>Feedback-Directed Random Test Generation/Result/JacksonDatabind_108/result.json</x:v>
      </x:c>
      <x:c r="O499" s="38" t="n">
        <x:f>IF(AND(G499="RECORDED",ISNUMBER(H499)),H499,"")</x:f>
        <x:v>2.44</x:v>
      </x:c>
      <x:c r="P499" s="34" t="str">
        <x:v>NOT_REVEALING</x:v>
      </x:c>
      <x:c r="Q499" s="34" t="str">
        <x:v>Feedback-Directed Random Test Generation/Result/JacksonDatabind_108/result.json</x:v>
      </x:c>
    </x:row>
    <x:row r="500">
      <x:c r="A500" s="34" t="str">
        <x:v>randoop</x:v>
      </x:c>
      <x:c r="B500" s="34" t="str">
        <x:v>JacksonDatabind</x:v>
      </x:c>
      <x:c r="C500" s="34" t="str">
        <x:v>Round1</x:v>
      </x:c>
      <x:c r="D500" s="34" t="str">
        <x:v>JacksonDatabind_109</x:v>
      </x:c>
      <x:c r="E500" s="34" t="str">
        <x:v>Coverage</x:v>
      </x:c>
      <x:c r="F500" s="34" t="n">
        <x:v>133</x:v>
      </x:c>
      <x:c r="G500" s="34" t="str">
        <x:v>RECORDED</x:v>
      </x:c>
      <x:c r="H500" s="38" t="n">
        <x:f>IF(ISNUMBER('Data'!G500),'Data'!G500*100,"")</x:f>
        <x:v>59.4</x:v>
      </x:c>
      <x:c r="I500" s="34" t="str">
        <x:v>PASS</x:v>
      </x:c>
      <x:c r="J500" s="34" t="str">
        <x:v>PASS</x:v>
      </x:c>
      <x:c r="K500" s="34" t="str">
        <x:v>PASS</x:v>
      </x:c>
      <x:c r="L500" s="34" t="str">
        <x:v>PASS</x:v>
      </x:c>
      <x:c r="M500" s="34" t="str">
        <x:v>numeric coverage for applicable metric</x:v>
      </x:c>
      <x:c r="N500" s="34" t="str">
        <x:v>Feedback-Directed Random Test Generation/Result/JacksonDatabind_109/result.json</x:v>
      </x:c>
      <x:c r="O500" s="38" t="n">
        <x:f>IF(AND(G500="RECORDED",ISNUMBER(H500)),H500,"")</x:f>
        <x:v>59.4</x:v>
      </x:c>
      <x:c r="P500" s="34" t="str">
        <x:v>NOT_REVEALING</x:v>
      </x:c>
      <x:c r="Q500" s="34" t="str">
        <x:v>Feedback-Directed Random Test Generation/Result/JacksonDatabind_109/result.json</x:v>
      </x:c>
    </x:row>
    <x:row r="501">
      <x:c r="A501" s="34" t="str">
        <x:v>randoop</x:v>
      </x:c>
      <x:c r="B501" s="34" t="str">
        <x:v>JacksonDatabind</x:v>
      </x:c>
      <x:c r="C501" s="34" t="str">
        <x:v>Round1</x:v>
      </x:c>
      <x:c r="D501" s="34" t="str">
        <x:v>JacksonDatabind_110</x:v>
      </x:c>
      <x:c r="E501" s="34" t="str">
        <x:v>Coverage</x:v>
      </x:c>
      <x:c r="F501" s="34" t="n">
        <x:v>83</x:v>
      </x:c>
      <x:c r="G501" s="34" t="str">
        <x:v>RECORDED</x:v>
      </x:c>
      <x:c r="H501" s="38" t="n">
        <x:f>IF(ISNUMBER('Data'!G501),'Data'!G501*100,"")</x:f>
        <x:v>15.659999999999998</x:v>
      </x:c>
      <x:c r="I501" s="34" t="str">
        <x:v>PASS</x:v>
      </x:c>
      <x:c r="J501" s="34" t="str">
        <x:v>PASS</x:v>
      </x:c>
      <x:c r="K501" s="34" t="str">
        <x:v>PASS</x:v>
      </x:c>
      <x:c r="L501" s="34" t="str">
        <x:v>PASS</x:v>
      </x:c>
      <x:c r="M501" s="34" t="str">
        <x:v>numeric coverage for applicable metric</x:v>
      </x:c>
      <x:c r="N501" s="34" t="str">
        <x:v>Feedback-Directed Random Test Generation/Result/JacksonDatabind_110/result.json</x:v>
      </x:c>
      <x:c r="O501" s="38" t="n">
        <x:f>IF(AND(G501="RECORDED",ISNUMBER(H501)),H501,"")</x:f>
        <x:v>15.659999999999998</x:v>
      </x:c>
      <x:c r="P501" s="34" t="str">
        <x:v>NOT_REVEALING</x:v>
      </x:c>
      <x:c r="Q501" s="34" t="str">
        <x:v>Feedback-Directed Random Test Generation/Result/JacksonDatabind_110/result.json</x:v>
      </x:c>
    </x:row>
    <x:row r="502">
      <x:c r="A502" s="34" t="str">
        <x:v>randoop</x:v>
      </x:c>
      <x:c r="B502" s="34" t="str">
        <x:v>JacksonDatabind</x:v>
      </x:c>
      <x:c r="C502" s="34" t="str">
        <x:v>Round1</x:v>
      </x:c>
      <x:c r="D502" s="34" t="str">
        <x:v>JacksonDatabind_111</x:v>
      </x:c>
      <x:c r="E502" s="34" t="str">
        <x:v>Coverage</x:v>
      </x:c>
      <x:c r="F502" s="34" t="n">
        <x:v>439</x:v>
      </x:c>
      <x:c r="G502" s="34" t="str">
        <x:v>RECORDED</x:v>
      </x:c>
      <x:c r="H502" s="38" t="n">
        <x:f>IF(ISNUMBER('Data'!G502),'Data'!G502*100,"")</x:f>
        <x:v>21.18</x:v>
      </x:c>
      <x:c r="I502" s="34" t="str">
        <x:v>PASS</x:v>
      </x:c>
      <x:c r="J502" s="34" t="str">
        <x:v>PASS</x:v>
      </x:c>
      <x:c r="K502" s="34" t="str">
        <x:v>PASS</x:v>
      </x:c>
      <x:c r="L502" s="34" t="str">
        <x:v>PASS</x:v>
      </x:c>
      <x:c r="M502" s="34" t="str">
        <x:v>numeric coverage for applicable metric</x:v>
      </x:c>
      <x:c r="N502" s="34" t="str">
        <x:v>Feedback-Directed Random Test Generation/Result/JacksonDatabind_111/result.json</x:v>
      </x:c>
      <x:c r="O502" s="38" t="n">
        <x:f>IF(AND(G502="RECORDED",ISNUMBER(H502)),H502,"")</x:f>
        <x:v>21.18</x:v>
      </x:c>
      <x:c r="P502" s="34" t="str">
        <x:v>NOT_REVEALING</x:v>
      </x:c>
      <x:c r="Q502" s="34" t="str">
        <x:v>Feedback-Directed Random Test Generation/Result/JacksonDatabind_111/result.json</x:v>
      </x:c>
    </x:row>
    <x:row r="503">
      <x:c r="A503" s="34" t="str">
        <x:v>randoop</x:v>
      </x:c>
      <x:c r="B503" s="34" t="str">
        <x:v>JacksonDatabind</x:v>
      </x:c>
      <x:c r="C503" s="34" t="str">
        <x:v>Round1</x:v>
      </x:c>
      <x:c r="D503" s="34" t="str">
        <x:v>JacksonDatabind_112</x:v>
      </x:c>
      <x:c r="E503" s="34" t="str">
        <x:v>Coverage</x:v>
      </x:c>
      <x:c r="F503" s="34" t="n">
        <x:v>146</x:v>
      </x:c>
      <x:c r="G503" s="34" t="str">
        <x:v>RECORDED</x:v>
      </x:c>
      <x:c r="H503" s="38" t="n">
        <x:f>IF(ISNUMBER('Data'!G503),'Data'!G503*100,"")</x:f>
        <x:v>0</x:v>
      </x:c>
      <x:c r="I503" s="34" t="str">
        <x:v>PASS</x:v>
      </x:c>
      <x:c r="J503" s="34" t="str">
        <x:v>PASS</x:v>
      </x:c>
      <x:c r="K503" s="34" t="str">
        <x:v>PASS</x:v>
      </x:c>
      <x:c r="L503" s="34" t="str">
        <x:v>PASS</x:v>
      </x:c>
      <x:c r="M503" s="34" t="str">
        <x:v>numeric coverage for applicable metric</x:v>
      </x:c>
      <x:c r="N503" s="34" t="str">
        <x:v>Feedback-Directed Random Test Generation/Result/JacksonDatabind_112/result.json</x:v>
      </x:c>
      <x:c r="O503" s="38" t="n">
        <x:f>IF(AND(G503="RECORDED",ISNUMBER(H503)),H503,"")</x:f>
        <x:v>0</x:v>
      </x:c>
      <x:c r="P503" s="34" t="str">
        <x:v>NOT_REVEALING</x:v>
      </x:c>
      <x:c r="Q503" s="34" t="str">
        <x:v>Feedback-Directed Random Test Generation/Result/JacksonDatabind_112/result.json</x:v>
      </x:c>
    </x:row>
    <x:row r="504">
      <x:c r="A504" s="34" t="str">
        <x:v>randoop</x:v>
      </x:c>
      <x:c r="B504" s="34" t="str">
        <x:v>JacksonXml</x:v>
      </x:c>
      <x:c r="C504" s="34" t="str">
        <x:v>Round1</x:v>
      </x:c>
      <x:c r="D504" s="34" t="str">
        <x:v>JacksonXml_1</x:v>
      </x:c>
      <x:c r="E504" s="34" t="str">
        <x:v>Coverage</x:v>
      </x:c>
      <x:c r="F504" s="34" t="n">
        <x:v>441</x:v>
      </x:c>
      <x:c r="G504" s="34" t="str">
        <x:v>RECORDED</x:v>
      </x:c>
      <x:c r="H504" s="38" t="n">
        <x:f>IF(ISNUMBER('Data'!G504),'Data'!G504*100,"")</x:f>
        <x:v>3.17</x:v>
      </x:c>
      <x:c r="I504" s="34" t="str">
        <x:v>PASS</x:v>
      </x:c>
      <x:c r="J504" s="34" t="str">
        <x:v>PASS</x:v>
      </x:c>
      <x:c r="K504" s="34" t="str">
        <x:v>PASS</x:v>
      </x:c>
      <x:c r="L504" s="34" t="str">
        <x:v>PASS</x:v>
      </x:c>
      <x:c r="M504" s="34" t="str">
        <x:v>numeric coverage for applicable metric</x:v>
      </x:c>
      <x:c r="N504" s="34" t="str">
        <x:v>Feedback-Directed Random Test Generation/Result/JacksonXml_1/result.json</x:v>
      </x:c>
      <x:c r="O504" s="38" t="n">
        <x:f>IF(AND(G504="RECORDED",ISNUMBER(H504)),H504,"")</x:f>
        <x:v>3.17</x:v>
      </x:c>
      <x:c r="P504" s="34" t="str">
        <x:v>NOT_REVEALING</x:v>
      </x:c>
      <x:c r="Q504" s="34" t="str">
        <x:v>Feedback-Directed Random Test Generation/Result/JacksonXml_1/result.json</x:v>
      </x:c>
    </x:row>
    <x:row r="505">
      <x:c r="A505" s="34" t="str">
        <x:v>randoop</x:v>
      </x:c>
      <x:c r="B505" s="34" t="str">
        <x:v>JacksonXml</x:v>
      </x:c>
      <x:c r="C505" s="34" t="str">
        <x:v>Round1</x:v>
      </x:c>
      <x:c r="D505" s="34" t="str">
        <x:v>JacksonXml_2</x:v>
      </x:c>
      <x:c r="E505" s="34" t="str">
        <x:v>Coverage</x:v>
      </x:c>
      <x:c r="F505" s="34" t="n">
        <x:v>244</x:v>
      </x:c>
      <x:c r="G505" s="34" t="str">
        <x:v>RECORDED</x:v>
      </x:c>
      <x:c r="H505" s="38" t="n">
        <x:f>IF(ISNUMBER('Data'!G505),'Data'!G505*100,"")</x:f>
        <x:v>1.6399999999999997</x:v>
      </x:c>
      <x:c r="I505" s="34" t="str">
        <x:v>PASS</x:v>
      </x:c>
      <x:c r="J505" s="34" t="str">
        <x:v>PASS</x:v>
      </x:c>
      <x:c r="K505" s="34" t="str">
        <x:v>PASS</x:v>
      </x:c>
      <x:c r="L505" s="34" t="str">
        <x:v>PASS</x:v>
      </x:c>
      <x:c r="M505" s="34" t="str">
        <x:v>numeric coverage for applicable metric</x:v>
      </x:c>
      <x:c r="N505" s="34" t="str">
        <x:v>Feedback-Directed Random Test Generation/Result/JacksonXml_2/result.json</x:v>
      </x:c>
      <x:c r="O505" s="38" t="n">
        <x:f>IF(AND(G505="RECORDED",ISNUMBER(H505)),H505,"")</x:f>
        <x:v>1.6399999999999997</x:v>
      </x:c>
      <x:c r="P505" s="34" t="str">
        <x:v>NOT_REVEALING</x:v>
      </x:c>
      <x:c r="Q505" s="34" t="str">
        <x:v>Feedback-Directed Random Test Generation/Result/JacksonXml_2/result.json</x:v>
      </x:c>
    </x:row>
    <x:row r="506">
      <x:c r="A506" s="34" t="str">
        <x:v>randoop</x:v>
      </x:c>
      <x:c r="B506" s="34" t="str">
        <x:v>JacksonXml</x:v>
      </x:c>
      <x:c r="C506" s="34" t="str">
        <x:v>Round1</x:v>
      </x:c>
      <x:c r="D506" s="34" t="str">
        <x:v>JacksonXml_3</x:v>
      </x:c>
      <x:c r="E506" s="34" t="str">
        <x:v>Coverage</x:v>
      </x:c>
      <x:c r="F506" s="34" t="n">
        <x:v>446</x:v>
      </x:c>
      <x:c r="G506" s="34" t="str">
        <x:v>RECORDED</x:v>
      </x:c>
      <x:c r="H506" s="38" t="n">
        <x:f>IF(ISNUMBER('Data'!G506),'Data'!G506*100,"")</x:f>
        <x:v>3.1400000000000006</x:v>
      </x:c>
      <x:c r="I506" s="34" t="str">
        <x:v>PASS</x:v>
      </x:c>
      <x:c r="J506" s="34" t="str">
        <x:v>PASS</x:v>
      </x:c>
      <x:c r="K506" s="34" t="str">
        <x:v>PASS</x:v>
      </x:c>
      <x:c r="L506" s="34" t="str">
        <x:v>PASS</x:v>
      </x:c>
      <x:c r="M506" s="34" t="str">
        <x:v>numeric coverage for applicable metric</x:v>
      </x:c>
      <x:c r="N506" s="34" t="str">
        <x:v>Feedback-Directed Random Test Generation/Result/JacksonXml_3/result.json</x:v>
      </x:c>
      <x:c r="O506" s="38" t="n">
        <x:f>IF(AND(G506="RECORDED",ISNUMBER(H506)),H506,"")</x:f>
        <x:v>3.1400000000000006</x:v>
      </x:c>
      <x:c r="P506" s="34" t="str">
        <x:v>NOT_REVEALING</x:v>
      </x:c>
      <x:c r="Q506" s="34" t="str">
        <x:v>Feedback-Directed Random Test Generation/Result/JacksonXml_3/result.json</x:v>
      </x:c>
    </x:row>
    <x:row r="507">
      <x:c r="A507" s="34" t="str">
        <x:v>randoop</x:v>
      </x:c>
      <x:c r="B507" s="34" t="str">
        <x:v>JacksonXml</x:v>
      </x:c>
      <x:c r="C507" s="34" t="str">
        <x:v>Round1</x:v>
      </x:c>
      <x:c r="D507" s="34" t="str">
        <x:v>JacksonXml_4</x:v>
      </x:c>
      <x:c r="E507" s="34" t="str">
        <x:v>Coverage</x:v>
      </x:c>
      <x:c r="F507" s="34" t="n">
        <x:v>177</x:v>
      </x:c>
      <x:c r="G507" s="34" t="str">
        <x:v>RECORDED</x:v>
      </x:c>
      <x:c r="H507" s="38" t="n">
        <x:f>IF(ISNUMBER('Data'!G507),'Data'!G507*100,"")</x:f>
        <x:v>19.21</x:v>
      </x:c>
      <x:c r="I507" s="34" t="str">
        <x:v>PASS</x:v>
      </x:c>
      <x:c r="J507" s="34" t="str">
        <x:v>PASS</x:v>
      </x:c>
      <x:c r="K507" s="34" t="str">
        <x:v>PASS</x:v>
      </x:c>
      <x:c r="L507" s="34" t="str">
        <x:v>PASS</x:v>
      </x:c>
      <x:c r="M507" s="34" t="str">
        <x:v>numeric coverage for applicable metric</x:v>
      </x:c>
      <x:c r="N507" s="34" t="str">
        <x:v>Feedback-Directed Random Test Generation/Result/JacksonXml_4/result.json</x:v>
      </x:c>
      <x:c r="O507" s="38" t="n">
        <x:f>IF(AND(G507="RECORDED",ISNUMBER(H507)),H507,"")</x:f>
        <x:v>19.21</x:v>
      </x:c>
      <x:c r="P507" s="34" t="str">
        <x:v>INCONCLUSIVE</x:v>
      </x:c>
      <x:c r="Q507" s="34" t="str">
        <x:v>Feedback-Directed Random Test Generation/Result/JacksonXml_4/result.json</x:v>
      </x:c>
    </x:row>
    <x:row r="508">
      <x:c r="A508" s="34" t="str">
        <x:v>randoop</x:v>
      </x:c>
      <x:c r="B508" s="34" t="str">
        <x:v>JacksonXml</x:v>
      </x:c>
      <x:c r="C508" s="34" t="str">
        <x:v>Round1</x:v>
      </x:c>
      <x:c r="D508" s="34" t="str">
        <x:v>JacksonXml_5</x:v>
      </x:c>
      <x:c r="E508" s="34" t="str">
        <x:v>Coverage</x:v>
      </x:c>
      <x:c r="F508" s="34" t="n">
        <x:v>144</x:v>
      </x:c>
      <x:c r="G508" s="34" t="str">
        <x:v>RECORDED</x:v>
      </x:c>
      <x:c r="H508" s="38" t="n">
        <x:f>IF(ISNUMBER('Data'!G508),'Data'!G508*100,"")</x:f>
        <x:v>25</x:v>
      </x:c>
      <x:c r="I508" s="34" t="str">
        <x:v>PASS</x:v>
      </x:c>
      <x:c r="J508" s="34" t="str">
        <x:v>PASS</x:v>
      </x:c>
      <x:c r="K508" s="34" t="str">
        <x:v>PASS</x:v>
      </x:c>
      <x:c r="L508" s="34" t="str">
        <x:v>PASS</x:v>
      </x:c>
      <x:c r="M508" s="34" t="str">
        <x:v>numeric coverage for applicable metric</x:v>
      </x:c>
      <x:c r="N508" s="34" t="str">
        <x:v>Feedback-Directed Random Test Generation/Result/JacksonXml_5/result.json</x:v>
      </x:c>
      <x:c r="O508" s="38" t="n">
        <x:f>IF(AND(G508="RECORDED",ISNUMBER(H508)),H508,"")</x:f>
        <x:v>25</x:v>
      </x:c>
      <x:c r="P508" s="34" t="str">
        <x:v>INCONCLUSIVE</x:v>
      </x:c>
      <x:c r="Q508" s="34" t="str">
        <x:v>Feedback-Directed Random Test Generation/Result/JacksonXml_5/result.json</x:v>
      </x:c>
    </x:row>
    <x:row r="509">
      <x:c r="A509" s="34" t="str">
        <x:v>randoop</x:v>
      </x:c>
      <x:c r="B509" s="34" t="str">
        <x:v>JacksonXml</x:v>
      </x:c>
      <x:c r="C509" s="34" t="str">
        <x:v>Round1</x:v>
      </x:c>
      <x:c r="D509" s="34" t="str">
        <x:v>JacksonXml_6</x:v>
      </x:c>
      <x:c r="E509" s="34" t="str">
        <x:v>Coverage</x:v>
      </x:c>
      <x:c r="F509" s="34" t="n">
        <x:v>707</x:v>
      </x:c>
      <x:c r="G509" s="34" t="str">
        <x:v>RECORDED</x:v>
      </x:c>
      <x:c r="H509" s="38" t="n">
        <x:f>IF(ISNUMBER('Data'!G509),'Data'!G509*100,"")</x:f>
        <x:v>4.1</x:v>
      </x:c>
      <x:c r="I509" s="34" t="str">
        <x:v>PASS</x:v>
      </x:c>
      <x:c r="J509" s="34" t="str">
        <x:v>PASS</x:v>
      </x:c>
      <x:c r="K509" s="34" t="str">
        <x:v>PASS</x:v>
      </x:c>
      <x:c r="L509" s="34" t="str">
        <x:v>PASS</x:v>
      </x:c>
      <x:c r="M509" s="34" t="str">
        <x:v>numeric coverage for applicable metric</x:v>
      </x:c>
      <x:c r="N509" s="34" t="str">
        <x:v>Feedback-Directed Random Test Generation/Result/JacksonXml_6/result.json</x:v>
      </x:c>
      <x:c r="O509" s="38" t="n">
        <x:f>IF(AND(G509="RECORDED",ISNUMBER(H509)),H509,"")</x:f>
        <x:v>4.1</x:v>
      </x:c>
      <x:c r="P509" s="34" t="str">
        <x:v>NOT_REVEALING</x:v>
      </x:c>
      <x:c r="Q509" s="34" t="str">
        <x:v>Feedback-Directed Random Test Generation/Result/JacksonXml_6/result.json</x:v>
      </x:c>
    </x:row>
    <x:row r="510">
      <x:c r="A510" s="34" t="str">
        <x:v>randoop</x:v>
      </x:c>
      <x:c r="B510" s="34" t="str">
        <x:v>Jsoup</x:v>
      </x:c>
      <x:c r="C510" s="34" t="str">
        <x:v>Round1</x:v>
      </x:c>
      <x:c r="D510" s="34" t="str">
        <x:v>Jsoup_1</x:v>
      </x:c>
      <x:c r="E510" s="34" t="str">
        <x:v>Coverage</x:v>
      </x:c>
      <x:c r="F510" s="34" t="n">
        <x:v>64</x:v>
      </x:c>
      <x:c r="G510" s="34" t="str">
        <x:v>RECORDED</x:v>
      </x:c>
      <x:c r="H510" s="38" t="n">
        <x:f>IF(ISNUMBER('Data'!G510),'Data'!G510*100,"")</x:f>
        <x:v>100</x:v>
      </x:c>
      <x:c r="I510" s="34" t="str">
        <x:v>PASS</x:v>
      </x:c>
      <x:c r="J510" s="34" t="str">
        <x:v>PASS</x:v>
      </x:c>
      <x:c r="K510" s="34" t="str">
        <x:v>PASS</x:v>
      </x:c>
      <x:c r="L510" s="34" t="str">
        <x:v>FAIL</x:v>
      </x:c>
      <x:c r="M510" s="34" t="str">
        <x:v>numeric coverage for applicable metric</x:v>
      </x:c>
      <x:c r="N510" s="34" t="str">
        <x:v>Feedback-Directed Random Test Generation/Result/Jsoup_1/result.json</x:v>
      </x:c>
      <x:c r="O510" s="38" t="n">
        <x:f>IF(AND(G510="RECORDED",ISNUMBER(H510)),H510,"")</x:f>
        <x:v>100</x:v>
      </x:c>
      <x:c r="P510" s="34" t="str">
        <x:v>INCONCLUSIVE</x:v>
      </x:c>
      <x:c r="Q510" s="34" t="str">
        <x:v>Feedback-Directed Random Test Generation/Result/Jsoup_1/result.json</x:v>
      </x:c>
    </x:row>
    <x:row r="511">
      <x:c r="A511" s="34" t="str">
        <x:v>randoop</x:v>
      </x:c>
      <x:c r="B511" s="34" t="str">
        <x:v>Jsoup</x:v>
      </x:c>
      <x:c r="C511" s="34" t="str">
        <x:v>Round1</x:v>
      </x:c>
      <x:c r="D511" s="34" t="str">
        <x:v>Jsoup_2</x:v>
      </x:c>
      <x:c r="E511" s="34" t="str">
        <x:v>Coverage</x:v>
      </x:c>
      <x:c r="F511" s="34" t="n">
        <x:v>248</x:v>
      </x:c>
      <x:c r="G511" s="34" t="str">
        <x:v>RECORDED</x:v>
      </x:c>
      <x:c r="H511" s="38" t="n">
        <x:f>IF(ISNUMBER('Data'!G511),'Data'!G511*100,"")</x:f>
        <x:v>17.74</x:v>
      </x:c>
      <x:c r="I511" s="34" t="str">
        <x:v>PASS</x:v>
      </x:c>
      <x:c r="J511" s="34" t="str">
        <x:v>PASS</x:v>
      </x:c>
      <x:c r="K511" s="34" t="str">
        <x:v>PASS</x:v>
      </x:c>
      <x:c r="L511" s="34" t="str">
        <x:v>PASS</x:v>
      </x:c>
      <x:c r="M511" s="34" t="str">
        <x:v>numeric coverage for applicable metric</x:v>
      </x:c>
      <x:c r="N511" s="34" t="str">
        <x:v>Feedback-Directed Random Test Generation/Result/Jsoup_2/result.json</x:v>
      </x:c>
      <x:c r="O511" s="38" t="n">
        <x:f>IF(AND(G511="RECORDED",ISNUMBER(H511)),H511,"")</x:f>
        <x:v>17.74</x:v>
      </x:c>
      <x:c r="P511" s="34" t="str">
        <x:v>NOT_REVEALING</x:v>
      </x:c>
      <x:c r="Q511" s="34" t="str">
        <x:v>Feedback-Directed Random Test Generation/Result/Jsoup_2/result.json</x:v>
      </x:c>
    </x:row>
    <x:row r="512">
      <x:c r="A512" s="34" t="str">
        <x:v>randoop</x:v>
      </x:c>
      <x:c r="B512" s="34" t="str">
        <x:v>Jsoup</x:v>
      </x:c>
      <x:c r="C512" s="34" t="str">
        <x:v>Round1</x:v>
      </x:c>
      <x:c r="D512" s="34" t="str">
        <x:v>Jsoup_3</x:v>
      </x:c>
      <x:c r="E512" s="34" t="str">
        <x:v>Coverage</x:v>
      </x:c>
      <x:c r="F512" s="34" t="n">
        <x:v>887</x:v>
      </x:c>
      <x:c r="G512" s="34" t="str">
        <x:v>RECORDED</x:v>
      </x:c>
      <x:c r="H512" s="38" t="n">
        <x:f>IF(ISNUMBER('Data'!G512),'Data'!G512*100,"")</x:f>
        <x:v>81.17</x:v>
      </x:c>
      <x:c r="I512" s="34" t="str">
        <x:v>PASS</x:v>
      </x:c>
      <x:c r="J512" s="34" t="str">
        <x:v>PASS</x:v>
      </x:c>
      <x:c r="K512" s="34" t="str">
        <x:v>PASS</x:v>
      </x:c>
      <x:c r="L512" s="34" t="str">
        <x:v>FAIL</x:v>
      </x:c>
      <x:c r="M512" s="34" t="str">
        <x:v>numeric coverage for applicable metric</x:v>
      </x:c>
      <x:c r="N512" s="34" t="str">
        <x:v>Feedback-Directed Random Test Generation/Result/Jsoup_3/result.json</x:v>
      </x:c>
      <x:c r="O512" s="38" t="n">
        <x:f>IF(AND(G512="RECORDED",ISNUMBER(H512)),H512,"")</x:f>
        <x:v>81.17</x:v>
      </x:c>
      <x:c r="P512" s="34" t="str">
        <x:v>INCONCLUSIVE</x:v>
      </x:c>
      <x:c r="Q512" s="34" t="str">
        <x:v>Feedback-Directed Random Test Generation/Result/Jsoup_3/result.json</x:v>
      </x:c>
    </x:row>
    <x:row r="513">
      <x:c r="A513" s="34" t="str">
        <x:v>randoop</x:v>
      </x:c>
      <x:c r="B513" s="34" t="str">
        <x:v>Jsoup</x:v>
      </x:c>
      <x:c r="C513" s="34" t="str">
        <x:v>Round1</x:v>
      </x:c>
      <x:c r="D513" s="34" t="str">
        <x:v>Jsoup_4</x:v>
      </x:c>
      <x:c r="E513" s="34" t="str">
        <x:v>Coverage</x:v>
      </x:c>
      <x:c r="F513" s="34" t="n">
        <x:v>0</x:v>
      </x:c>
      <x:c r="G513" s="34" t="str">
        <x:v>A</x:v>
      </x:c>
      <x:c r="H513" s="38" t="str">
        <x:f>IF(ISNUMBER('Data'!G513),'Data'!G513*100,"")</x:f>
      </x:c>
      <x:c r="I513" s="34" t="str">
        <x:v>FAIL</x:v>
      </x:c>
      <x:c r="J513" s="34" t="str">
        <x:v>PASS</x:v>
      </x:c>
      <x:c r="K513" s="34" t="str">
        <x:v>PASS</x:v>
      </x:c>
      <x:c r="L513" s="34" t="str">
        <x:v>PASS</x:v>
      </x:c>
      <x:c r="M513" s="34" t="str">
        <x:v>coverage unavailable or execution/compile failed</x:v>
      </x:c>
      <x:c r="N513" s="34" t="str">
        <x:v>Feedback-Directed Random Test Generation/Result/Jsoup_4/result.json</x:v>
      </x:c>
      <x:c r="O513" s="38" t="str">
        <x:f>IF(AND(G513="RECORDED",ISNUMBER(H513)),H513,"")</x:f>
      </x:c>
      <x:c r="P513" s="34" t="str">
        <x:v>NOT_AVAILABLE</x:v>
      </x:c>
      <x:c r="Q513" s="34" t="str">
        <x:v>Feedback-Directed Random Test Generation/Result/Jsoup_4/result.json</x:v>
      </x:c>
    </x:row>
    <x:row r="514">
      <x:c r="A514" s="34" t="str">
        <x:v>randoop</x:v>
      </x:c>
      <x:c r="B514" s="34" t="str">
        <x:v>Jsoup</x:v>
      </x:c>
      <x:c r="C514" s="34" t="str">
        <x:v>Round1</x:v>
      </x:c>
      <x:c r="D514" s="34" t="str">
        <x:v>Jsoup_5</x:v>
      </x:c>
      <x:c r="E514" s="34" t="str">
        <x:v>Coverage</x:v>
      </x:c>
      <x:c r="F514" s="34" t="n">
        <x:v>264</x:v>
      </x:c>
      <x:c r="G514" s="34" t="str">
        <x:v>RECORDED</x:v>
      </x:c>
      <x:c r="H514" s="38" t="n">
        <x:f>IF(ISNUMBER('Data'!G514),'Data'!G514*100,"")</x:f>
        <x:v>18.94</x:v>
      </x:c>
      <x:c r="I514" s="34" t="str">
        <x:v>PASS</x:v>
      </x:c>
      <x:c r="J514" s="34" t="str">
        <x:v>PASS</x:v>
      </x:c>
      <x:c r="K514" s="34" t="str">
        <x:v>PASS</x:v>
      </x:c>
      <x:c r="L514" s="34" t="str">
        <x:v>PASS</x:v>
      </x:c>
      <x:c r="M514" s="34" t="str">
        <x:v>numeric coverage for applicable metric</x:v>
      </x:c>
      <x:c r="N514" s="34" t="str">
        <x:v>Feedback-Directed Random Test Generation/Result/Jsoup_5/result.json</x:v>
      </x:c>
      <x:c r="O514" s="38" t="n">
        <x:f>IF(AND(G514="RECORDED",ISNUMBER(H514)),H514,"")</x:f>
        <x:v>18.94</x:v>
      </x:c>
      <x:c r="P514" s="34" t="str">
        <x:v>NOT_REVEALING</x:v>
      </x:c>
      <x:c r="Q514" s="34" t="str">
        <x:v>Feedback-Directed Random Test Generation/Result/Jsoup_5/result.json</x:v>
      </x:c>
    </x:row>
    <x:row r="515">
      <x:c r="A515" s="34" t="str">
        <x:v>randoop</x:v>
      </x:c>
      <x:c r="B515" s="34" t="str">
        <x:v>Jsoup</x:v>
      </x:c>
      <x:c r="C515" s="34" t="str">
        <x:v>Round1</x:v>
      </x:c>
      <x:c r="D515" s="34" t="str">
        <x:v>Jsoup_6</x:v>
      </x:c>
      <x:c r="E515" s="34" t="str">
        <x:v>Coverage</x:v>
      </x:c>
      <x:c r="F515" s="34" t="n">
        <x:v>0</x:v>
      </x:c>
      <x:c r="G515" s="34" t="str">
        <x:v>A</x:v>
      </x:c>
      <x:c r="H515" s="38" t="str">
        <x:f>IF(ISNUMBER('Data'!G515),'Data'!G515*100,"")</x:f>
      </x:c>
      <x:c r="I515" s="34" t="str">
        <x:v>FAIL</x:v>
      </x:c>
      <x:c r="J515" s="34" t="str">
        <x:v>PASS</x:v>
      </x:c>
      <x:c r="K515" s="34" t="str">
        <x:v>PASS</x:v>
      </x:c>
      <x:c r="L515" s="34" t="str">
        <x:v>PASS</x:v>
      </x:c>
      <x:c r="M515" s="34" t="str">
        <x:v>coverage unavailable or execution/compile failed</x:v>
      </x:c>
      <x:c r="N515" s="34" t="str">
        <x:v>Feedback-Directed Random Test Generation/Result/Jsoup_6/result.json</x:v>
      </x:c>
      <x:c r="O515" s="38" t="str">
        <x:f>IF(AND(G515="RECORDED",ISNUMBER(H515)),H515,"")</x:f>
      </x:c>
      <x:c r="P515" s="34" t="str">
        <x:v>NOT_AVAILABLE</x:v>
      </x:c>
      <x:c r="Q515" s="34" t="str">
        <x:v>Feedback-Directed Random Test Generation/Result/Jsoup_6/result.json</x:v>
      </x:c>
    </x:row>
    <x:row r="516">
      <x:c r="A516" s="34" t="str">
        <x:v>randoop</x:v>
      </x:c>
      <x:c r="B516" s="34" t="str">
        <x:v>Jsoup</x:v>
      </x:c>
      <x:c r="C516" s="34" t="str">
        <x:v>Round1</x:v>
      </x:c>
      <x:c r="D516" s="34" t="str">
        <x:v>Jsoup_7</x:v>
      </x:c>
      <x:c r="E516" s="34" t="str">
        <x:v>Coverage</x:v>
      </x:c>
      <x:c r="F516" s="34" t="n">
        <x:v>106</x:v>
      </x:c>
      <x:c r="G516" s="34" t="str">
        <x:v>RECORDED</x:v>
      </x:c>
      <x:c r="H516" s="38" t="n">
        <x:f>IF(ISNUMBER('Data'!G516),'Data'!G516*100,"")</x:f>
        <x:v>99.06</x:v>
      </x:c>
      <x:c r="I516" s="34" t="str">
        <x:v>PASS</x:v>
      </x:c>
      <x:c r="J516" s="34" t="str">
        <x:v>PASS</x:v>
      </x:c>
      <x:c r="K516" s="34" t="str">
        <x:v>PASS</x:v>
      </x:c>
      <x:c r="L516" s="34" t="str">
        <x:v>FAIL</x:v>
      </x:c>
      <x:c r="M516" s="34" t="str">
        <x:v>numeric coverage for applicable metric</x:v>
      </x:c>
      <x:c r="N516" s="34" t="str">
        <x:v>Feedback-Directed Random Test Generation/Result/Jsoup_7/result.json</x:v>
      </x:c>
      <x:c r="O516" s="38" t="n">
        <x:f>IF(AND(G516="RECORDED",ISNUMBER(H516)),H516,"")</x:f>
        <x:v>99.06</x:v>
      </x:c>
      <x:c r="P516" s="34" t="str">
        <x:v>INCONCLUSIVE</x:v>
      </x:c>
      <x:c r="Q516" s="34" t="str">
        <x:v>Feedback-Directed Random Test Generation/Result/Jsoup_7/result.json</x:v>
      </x:c>
    </x:row>
    <x:row r="517">
      <x:c r="A517" s="34" t="str">
        <x:v>randoop</x:v>
      </x:c>
      <x:c r="B517" s="34" t="str">
        <x:v>Jsoup</x:v>
      </x:c>
      <x:c r="C517" s="34" t="str">
        <x:v>Round1</x:v>
      </x:c>
      <x:c r="D517" s="34" t="str">
        <x:v>Jsoup_8</x:v>
      </x:c>
      <x:c r="E517" s="34" t="str">
        <x:v>Coverage</x:v>
      </x:c>
      <x:c r="F517" s="34" t="n">
        <x:v>179</x:v>
      </x:c>
      <x:c r="G517" s="34" t="str">
        <x:v>RECORDED</x:v>
      </x:c>
      <x:c r="H517" s="38" t="n">
        <x:f>IF(ISNUMBER('Data'!G517),'Data'!G517*100,"")</x:f>
        <x:v>0</x:v>
      </x:c>
      <x:c r="I517" s="34" t="str">
        <x:v>PASS</x:v>
      </x:c>
      <x:c r="J517" s="34" t="str">
        <x:v>PASS</x:v>
      </x:c>
      <x:c r="K517" s="34" t="str">
        <x:v>PASS</x:v>
      </x:c>
      <x:c r="L517" s="34" t="str">
        <x:v>PASS</x:v>
      </x:c>
      <x:c r="M517" s="34" t="str">
        <x:v>numeric coverage for applicable metric</x:v>
      </x:c>
      <x:c r="N517" s="34" t="str">
        <x:v>Feedback-Directed Random Test Generation/Result/Jsoup_8/result.json</x:v>
      </x:c>
      <x:c r="O517" s="38" t="n">
        <x:f>IF(AND(G517="RECORDED",ISNUMBER(H517)),H517,"")</x:f>
        <x:v>0</x:v>
      </x:c>
      <x:c r="P517" s="34" t="str">
        <x:v>NOT_REVEALING</x:v>
      </x:c>
      <x:c r="Q517" s="34" t="str">
        <x:v>Feedback-Directed Random Test Generation/Result/Jsoup_8/result.json</x:v>
      </x:c>
    </x:row>
    <x:row r="518">
      <x:c r="A518" s="34" t="str">
        <x:v>randoop</x:v>
      </x:c>
      <x:c r="B518" s="34" t="str">
        <x:v>Jsoup</x:v>
      </x:c>
      <x:c r="C518" s="34" t="str">
        <x:v>Round1</x:v>
      </x:c>
      <x:c r="D518" s="34" t="str">
        <x:v>Jsoup_9</x:v>
      </x:c>
      <x:c r="E518" s="34" t="str">
        <x:v>Coverage</x:v>
      </x:c>
      <x:c r="F518" s="34" t="n">
        <x:v>0</x:v>
      </x:c>
      <x:c r="G518" s="34" t="str">
        <x:v>A</x:v>
      </x:c>
      <x:c r="H518" s="38" t="str">
        <x:f>IF(ISNUMBER('Data'!G518),'Data'!G518*100,"")</x:f>
      </x:c>
      <x:c r="I518" s="34" t="str">
        <x:v>FAIL</x:v>
      </x:c>
      <x:c r="J518" s="34" t="str">
        <x:v>PASS</x:v>
      </x:c>
      <x:c r="K518" s="34" t="str">
        <x:v>PASS</x:v>
      </x:c>
      <x:c r="L518" s="34" t="str">
        <x:v>PASS</x:v>
      </x:c>
      <x:c r="M518" s="34" t="str">
        <x:v>coverage unavailable or execution/compile failed</x:v>
      </x:c>
      <x:c r="N518" s="34" t="str">
        <x:v>Feedback-Directed Random Test Generation/Result/Jsoup_9/result.json</x:v>
      </x:c>
      <x:c r="O518" s="38" t="str">
        <x:f>IF(AND(G518="RECORDED",ISNUMBER(H518)),H518,"")</x:f>
      </x:c>
      <x:c r="P518" s="34" t="str">
        <x:v>NOT_AVAILABLE</x:v>
      </x:c>
      <x:c r="Q518" s="34" t="str">
        <x:v>Feedback-Directed Random Test Generation/Result/Jsoup_9/result.json</x:v>
      </x:c>
    </x:row>
    <x:row r="519">
      <x:c r="A519" s="34" t="str">
        <x:v>randoop</x:v>
      </x:c>
      <x:c r="B519" s="34" t="str">
        <x:v>Jsoup</x:v>
      </x:c>
      <x:c r="C519" s="34" t="str">
        <x:v>Round1</x:v>
      </x:c>
      <x:c r="D519" s="34" t="str">
        <x:v>Jsoup_10</x:v>
      </x:c>
      <x:c r="E519" s="34" t="str">
        <x:v>Coverage</x:v>
      </x:c>
      <x:c r="F519" s="34" t="n">
        <x:v>202</x:v>
      </x:c>
      <x:c r="G519" s="34" t="str">
        <x:v>RECORDED</x:v>
      </x:c>
      <x:c r="H519" s="38" t="n">
        <x:f>IF(ISNUMBER('Data'!G519),'Data'!G519*100,"")</x:f>
        <x:v>0</x:v>
      </x:c>
      <x:c r="I519" s="34" t="str">
        <x:v>PASS</x:v>
      </x:c>
      <x:c r="J519" s="34" t="str">
        <x:v>PASS</x:v>
      </x:c>
      <x:c r="K519" s="34" t="str">
        <x:v>PASS</x:v>
      </x:c>
      <x:c r="L519" s="34" t="str">
        <x:v>PASS</x:v>
      </x:c>
      <x:c r="M519" s="34" t="str">
        <x:v>numeric coverage for applicable metric</x:v>
      </x:c>
      <x:c r="N519" s="34" t="str">
        <x:v>Feedback-Directed Random Test Generation/Result/Jsoup_10/result.json</x:v>
      </x:c>
      <x:c r="O519" s="38" t="n">
        <x:f>IF(AND(G519="RECORDED",ISNUMBER(H519)),H519,"")</x:f>
        <x:v>0</x:v>
      </x:c>
      <x:c r="P519" s="34" t="str">
        <x:v>NOT_REVEALING</x:v>
      </x:c>
      <x:c r="Q519" s="34" t="str">
        <x:v>Feedback-Directed Random Test Generation/Result/Jsoup_10/result.json</x:v>
      </x:c>
    </x:row>
    <x:row r="520">
      <x:c r="A520" s="34" t="str">
        <x:v>randoop</x:v>
      </x:c>
      <x:c r="B520" s="34" t="str">
        <x:v>Jsoup</x:v>
      </x:c>
      <x:c r="C520" s="34" t="str">
        <x:v>Round1</x:v>
      </x:c>
      <x:c r="D520" s="34" t="str">
        <x:v>Jsoup_11</x:v>
      </x:c>
      <x:c r="E520" s="34" t="str">
        <x:v>Coverage</x:v>
      </x:c>
      <x:c r="F520" s="34" t="n">
        <x:v>318</x:v>
      </x:c>
      <x:c r="G520" s="34" t="str">
        <x:v>RECORDED</x:v>
      </x:c>
      <x:c r="H520" s="38" t="n">
        <x:f>IF(ISNUMBER('Data'!G520),'Data'!G520*100,"")</x:f>
        <x:v>3.46</x:v>
      </x:c>
      <x:c r="I520" s="34" t="str">
        <x:v>PASS</x:v>
      </x:c>
      <x:c r="J520" s="34" t="str">
        <x:v>PASS</x:v>
      </x:c>
      <x:c r="K520" s="34" t="str">
        <x:v>PASS</x:v>
      </x:c>
      <x:c r="L520" s="34" t="str">
        <x:v>PASS</x:v>
      </x:c>
      <x:c r="M520" s="34" t="str">
        <x:v>numeric coverage for applicable metric</x:v>
      </x:c>
      <x:c r="N520" s="34" t="str">
        <x:v>Feedback-Directed Random Test Generation/Result/Jsoup_11/result.json</x:v>
      </x:c>
      <x:c r="O520" s="38" t="n">
        <x:f>IF(AND(G520="RECORDED",ISNUMBER(H520)),H520,"")</x:f>
        <x:v>3.46</x:v>
      </x:c>
      <x:c r="P520" s="34" t="str">
        <x:v>NOT_REVEALING</x:v>
      </x:c>
      <x:c r="Q520" s="34" t="str">
        <x:v>Feedback-Directed Random Test Generation/Result/Jsoup_11/result.json</x:v>
      </x:c>
    </x:row>
    <x:row r="521">
      <x:c r="A521" s="34" t="str">
        <x:v>randoop</x:v>
      </x:c>
      <x:c r="B521" s="34" t="str">
        <x:v>Jsoup</x:v>
      </x:c>
      <x:c r="C521" s="34" t="str">
        <x:v>Round1</x:v>
      </x:c>
      <x:c r="D521" s="34" t="str">
        <x:v>Jsoup_12</x:v>
      </x:c>
      <x:c r="E521" s="34" t="str">
        <x:v>Coverage</x:v>
      </x:c>
      <x:c r="F521" s="34" t="n">
        <x:v>350</x:v>
      </x:c>
      <x:c r="G521" s="34" t="str">
        <x:v>RECORDED</x:v>
      </x:c>
      <x:c r="H521" s="38" t="n">
        <x:f>IF(ISNUMBER('Data'!G521),'Data'!G521*100,"")</x:f>
        <x:v>5.43</x:v>
      </x:c>
      <x:c r="I521" s="34" t="str">
        <x:v>PASS</x:v>
      </x:c>
      <x:c r="J521" s="34" t="str">
        <x:v>PASS</x:v>
      </x:c>
      <x:c r="K521" s="34" t="str">
        <x:v>PASS</x:v>
      </x:c>
      <x:c r="L521" s="34" t="str">
        <x:v>PASS</x:v>
      </x:c>
      <x:c r="M521" s="34" t="str">
        <x:v>numeric coverage for applicable metric</x:v>
      </x:c>
      <x:c r="N521" s="34" t="str">
        <x:v>Feedback-Directed Random Test Generation/Result/Jsoup_12/result.json</x:v>
      </x:c>
      <x:c r="O521" s="38" t="n">
        <x:f>IF(AND(G521="RECORDED",ISNUMBER(H521)),H521,"")</x:f>
        <x:v>5.43</x:v>
      </x:c>
      <x:c r="P521" s="34" t="str">
        <x:v>NOT_REVEALING</x:v>
      </x:c>
      <x:c r="Q521" s="34" t="str">
        <x:v>Feedback-Directed Random Test Generation/Result/Jsoup_12/result.json</x:v>
      </x:c>
    </x:row>
    <x:row r="522">
      <x:c r="A522" s="34" t="str">
        <x:v>randoop</x:v>
      </x:c>
      <x:c r="B522" s="34" t="str">
        <x:v>Jsoup</x:v>
      </x:c>
      <x:c r="C522" s="34" t="str">
        <x:v>Round1</x:v>
      </x:c>
      <x:c r="D522" s="34" t="str">
        <x:v>Jsoup_13</x:v>
      </x:c>
      <x:c r="E522" s="34" t="str">
        <x:v>Coverage</x:v>
      </x:c>
      <x:c r="F522" s="34" t="n">
        <x:v>258</x:v>
      </x:c>
      <x:c r="G522" s="34" t="str">
        <x:v>RECORDED</x:v>
      </x:c>
      <x:c r="H522" s="38" t="n">
        <x:f>IF(ISNUMBER('Data'!G522),'Data'!G522*100,"")</x:f>
        <x:v>0</x:v>
      </x:c>
      <x:c r="I522" s="34" t="str">
        <x:v>PASS</x:v>
      </x:c>
      <x:c r="J522" s="34" t="str">
        <x:v>PASS</x:v>
      </x:c>
      <x:c r="K522" s="34" t="str">
        <x:v>PASS</x:v>
      </x:c>
      <x:c r="L522" s="34" t="str">
        <x:v>PASS</x:v>
      </x:c>
      <x:c r="M522" s="34" t="str">
        <x:v>numeric coverage for applicable metric</x:v>
      </x:c>
      <x:c r="N522" s="34" t="str">
        <x:v>Feedback-Directed Random Test Generation/Result/Jsoup_13/result.json</x:v>
      </x:c>
      <x:c r="O522" s="38" t="n">
        <x:f>IF(AND(G522="RECORDED",ISNUMBER(H522)),H522,"")</x:f>
        <x:v>0</x:v>
      </x:c>
      <x:c r="P522" s="34" t="str">
        <x:v>NOT_REVEALING</x:v>
      </x:c>
      <x:c r="Q522" s="34" t="str">
        <x:v>Feedback-Directed Random Test Generation/Result/Jsoup_13/result.json</x:v>
      </x:c>
    </x:row>
    <x:row r="523">
      <x:c r="A523" s="34" t="str">
        <x:v>randoop</x:v>
      </x:c>
      <x:c r="B523" s="34" t="str">
        <x:v>Jsoup</x:v>
      </x:c>
      <x:c r="C523" s="34" t="str">
        <x:v>Round1</x:v>
      </x:c>
      <x:c r="D523" s="34" t="str">
        <x:v>Jsoup_14</x:v>
      </x:c>
      <x:c r="E523" s="34" t="str">
        <x:v>Coverage</x:v>
      </x:c>
      <x:c r="F523" s="34" t="n">
        <x:v>1743</x:v>
      </x:c>
      <x:c r="G523" s="34" t="str">
        <x:v>RECORDED</x:v>
      </x:c>
      <x:c r="H523" s="38" t="n">
        <x:f>IF(ISNUMBER('Data'!G523),'Data'!G523*100,"")</x:f>
        <x:v>15.78</x:v>
      </x:c>
      <x:c r="I523" s="34" t="str">
        <x:v>PASS</x:v>
      </x:c>
      <x:c r="J523" s="34" t="str">
        <x:v>PASS</x:v>
      </x:c>
      <x:c r="K523" s="34" t="str">
        <x:v>PASS</x:v>
      </x:c>
      <x:c r="L523" s="34" t="str">
        <x:v>PASS</x:v>
      </x:c>
      <x:c r="M523" s="34" t="str">
        <x:v>numeric coverage for applicable metric</x:v>
      </x:c>
      <x:c r="N523" s="34" t="str">
        <x:v>Feedback-Directed Random Test Generation/Result/Jsoup_14/result.json</x:v>
      </x:c>
      <x:c r="O523" s="38" t="n">
        <x:f>IF(AND(G523="RECORDED",ISNUMBER(H523)),H523,"")</x:f>
        <x:v>15.78</x:v>
      </x:c>
      <x:c r="P523" s="34" t="str">
        <x:v>NOT_REVEALING</x:v>
      </x:c>
      <x:c r="Q523" s="34" t="str">
        <x:v>Feedback-Directed Random Test Generation/Result/Jsoup_14/result.json</x:v>
      </x:c>
    </x:row>
    <x:row r="524">
      <x:c r="A524" s="34" t="str">
        <x:v>randoop</x:v>
      </x:c>
      <x:c r="B524" s="34" t="str">
        <x:v>Jsoup</x:v>
      </x:c>
      <x:c r="C524" s="34" t="str">
        <x:v>Round1</x:v>
      </x:c>
      <x:c r="D524" s="34" t="str">
        <x:v>Jsoup_15</x:v>
      </x:c>
      <x:c r="E524" s="34" t="str">
        <x:v>Coverage</x:v>
      </x:c>
      <x:c r="F524" s="34" t="n">
        <x:v>1826</x:v>
      </x:c>
      <x:c r="G524" s="34" t="str">
        <x:v>RECORDED</x:v>
      </x:c>
      <x:c r="H524" s="38" t="n">
        <x:f>IF(ISNUMBER('Data'!G524),'Data'!G524*100,"")</x:f>
        <x:v>4</x:v>
      </x:c>
      <x:c r="I524" s="34" t="str">
        <x:v>PASS</x:v>
      </x:c>
      <x:c r="J524" s="34" t="str">
        <x:v>PASS</x:v>
      </x:c>
      <x:c r="K524" s="34" t="str">
        <x:v>PASS</x:v>
      </x:c>
      <x:c r="L524" s="34" t="str">
        <x:v>PASS</x:v>
      </x:c>
      <x:c r="M524" s="34" t="str">
        <x:v>numeric coverage for applicable metric</x:v>
      </x:c>
      <x:c r="N524" s="34" t="str">
        <x:v>Feedback-Directed Random Test Generation/Result/Jsoup_15/result.json</x:v>
      </x:c>
      <x:c r="O524" s="38" t="n">
        <x:f>IF(AND(G524="RECORDED",ISNUMBER(H524)),H524,"")</x:f>
        <x:v>4</x:v>
      </x:c>
      <x:c r="P524" s="34" t="str">
        <x:v>NOT_REVEALING</x:v>
      </x:c>
      <x:c r="Q524" s="34" t="str">
        <x:v>Feedback-Directed Random Test Generation/Result/Jsoup_15/result.json</x:v>
      </x:c>
    </x:row>
    <x:row r="525">
      <x:c r="A525" s="34" t="str">
        <x:v>randoop</x:v>
      </x:c>
      <x:c r="B525" s="34" t="str">
        <x:v>Jsoup</x:v>
      </x:c>
      <x:c r="C525" s="34" t="str">
        <x:v>Round1</x:v>
      </x:c>
      <x:c r="D525" s="34" t="str">
        <x:v>Jsoup_16</x:v>
      </x:c>
      <x:c r="E525" s="34" t="str">
        <x:v>Coverage</x:v>
      </x:c>
      <x:c r="F525" s="34" t="n">
        <x:v>18</x:v>
      </x:c>
      <x:c r="G525" s="34" t="str">
        <x:v>RECORDED</x:v>
      </x:c>
      <x:c r="H525" s="38" t="n">
        <x:f>IF(ISNUMBER('Data'!G525),'Data'!G525*100,"")</x:f>
        <x:v>83.33</x:v>
      </x:c>
      <x:c r="I525" s="34" t="str">
        <x:v>PASS</x:v>
      </x:c>
      <x:c r="J525" s="34" t="str">
        <x:v>PASS</x:v>
      </x:c>
      <x:c r="K525" s="34" t="str">
        <x:v>PASS</x:v>
      </x:c>
      <x:c r="L525" s="34" t="str">
        <x:v>PASS</x:v>
      </x:c>
      <x:c r="M525" s="34" t="str">
        <x:v>numeric coverage for applicable metric</x:v>
      </x:c>
      <x:c r="N525" s="34" t="str">
        <x:v>Feedback-Directed Random Test Generation/Result/Jsoup_16/result.json</x:v>
      </x:c>
      <x:c r="O525" s="38" t="n">
        <x:f>IF(AND(G525="RECORDED",ISNUMBER(H525)),H525,"")</x:f>
        <x:v>83.33</x:v>
      </x:c>
      <x:c r="P525" s="34" t="str">
        <x:v>INCONCLUSIVE</x:v>
      </x:c>
      <x:c r="Q525" s="34" t="str">
        <x:v>Feedback-Directed Random Test Generation/Result/Jsoup_16/result.json</x:v>
      </x:c>
    </x:row>
    <x:row r="526">
      <x:c r="A526" s="34" t="str">
        <x:v>randoop</x:v>
      </x:c>
      <x:c r="B526" s="34" t="str">
        <x:v>Jsoup</x:v>
      </x:c>
      <x:c r="C526" s="34" t="str">
        <x:v>Round1</x:v>
      </x:c>
      <x:c r="D526" s="34" t="str">
        <x:v>Jsoup_17</x:v>
      </x:c>
      <x:c r="E526" s="34" t="str">
        <x:v>Coverage</x:v>
      </x:c>
      <x:c r="F526" s="34" t="n">
        <x:v>1826</x:v>
      </x:c>
      <x:c r="G526" s="34" t="str">
        <x:v>RECORDED</x:v>
      </x:c>
      <x:c r="H526" s="38" t="n">
        <x:f>IF(ISNUMBER('Data'!G526),'Data'!G526*100,"")</x:f>
        <x:v>4</x:v>
      </x:c>
      <x:c r="I526" s="34" t="str">
        <x:v>PASS</x:v>
      </x:c>
      <x:c r="J526" s="34" t="str">
        <x:v>PASS</x:v>
      </x:c>
      <x:c r="K526" s="34" t="str">
        <x:v>PASS</x:v>
      </x:c>
      <x:c r="L526" s="34" t="str">
        <x:v>PASS</x:v>
      </x:c>
      <x:c r="M526" s="34" t="str">
        <x:v>numeric coverage for applicable metric</x:v>
      </x:c>
      <x:c r="N526" s="34" t="str">
        <x:v>Feedback-Directed Random Test Generation/Result/Jsoup_17/result.json</x:v>
      </x:c>
      <x:c r="O526" s="38" t="n">
        <x:f>IF(AND(G526="RECORDED",ISNUMBER(H526)),H526,"")</x:f>
        <x:v>4</x:v>
      </x:c>
      <x:c r="P526" s="34" t="str">
        <x:v>NOT_REVEALING</x:v>
      </x:c>
      <x:c r="Q526" s="34" t="str">
        <x:v>Feedback-Directed Random Test Generation/Result/Jsoup_17/result.json</x:v>
      </x:c>
    </x:row>
    <x:row r="527">
      <x:c r="A527" s="34" t="str">
        <x:v>randoop</x:v>
      </x:c>
      <x:c r="B527" s="34" t="str">
        <x:v>Jsoup</x:v>
      </x:c>
      <x:c r="C527" s="34" t="str">
        <x:v>Round1</x:v>
      </x:c>
      <x:c r="D527" s="34" t="str">
        <x:v>Jsoup_18</x:v>
      </x:c>
      <x:c r="E527" s="34" t="str">
        <x:v>Coverage</x:v>
      </x:c>
      <x:c r="F527" s="34" t="n">
        <x:v>179</x:v>
      </x:c>
      <x:c r="G527" s="34" t="str">
        <x:v>RECORDED</x:v>
      </x:c>
      <x:c r="H527" s="38" t="n">
        <x:f>IF(ISNUMBER('Data'!G527),'Data'!G527*100,"")</x:f>
        <x:v>91.06</x:v>
      </x:c>
      <x:c r="I527" s="34" t="str">
        <x:v>PASS</x:v>
      </x:c>
      <x:c r="J527" s="34" t="str">
        <x:v>PASS</x:v>
      </x:c>
      <x:c r="K527" s="34" t="str">
        <x:v>PASS</x:v>
      </x:c>
      <x:c r="L527" s="34" t="str">
        <x:v>PASS</x:v>
      </x:c>
      <x:c r="M527" s="34" t="str">
        <x:v>numeric coverage for applicable metric</x:v>
      </x:c>
      <x:c r="N527" s="34" t="str">
        <x:v>Feedback-Directed Random Test Generation/Result/Jsoup_18/result.json</x:v>
      </x:c>
      <x:c r="O527" s="38" t="n">
        <x:f>IF(AND(G527="RECORDED",ISNUMBER(H527)),H527,"")</x:f>
        <x:v>91.06</x:v>
      </x:c>
      <x:c r="P527" s="34" t="str">
        <x:v>INCONCLUSIVE</x:v>
      </x:c>
      <x:c r="Q527" s="34" t="str">
        <x:v>Feedback-Directed Random Test Generation/Result/Jsoup_18/result.json</x:v>
      </x:c>
    </x:row>
    <x:row r="528">
      <x:c r="A528" s="34" t="str">
        <x:v>randoop</x:v>
      </x:c>
      <x:c r="B528" s="34" t="str">
        <x:v>Jsoup</x:v>
      </x:c>
      <x:c r="C528" s="34" t="str">
        <x:v>Round1</x:v>
      </x:c>
      <x:c r="D528" s="34" t="str">
        <x:v>Jsoup_19</x:v>
      </x:c>
      <x:c r="E528" s="34" t="str">
        <x:v>Coverage</x:v>
      </x:c>
      <x:c r="F528" s="34" t="n">
        <x:v>199</x:v>
      </x:c>
      <x:c r="G528" s="34" t="str">
        <x:v>RECORDED</x:v>
      </x:c>
      <x:c r="H528" s="38" t="n">
        <x:f>IF(ISNUMBER('Data'!G528),'Data'!G528*100,"")</x:f>
        <x:v>78.39</x:v>
      </x:c>
      <x:c r="I528" s="34" t="str">
        <x:v>PASS</x:v>
      </x:c>
      <x:c r="J528" s="34" t="str">
        <x:v>PASS</x:v>
      </x:c>
      <x:c r="K528" s="34" t="str">
        <x:v>PASS</x:v>
      </x:c>
      <x:c r="L528" s="34" t="str">
        <x:v>PASS</x:v>
      </x:c>
      <x:c r="M528" s="34" t="str">
        <x:v>numeric coverage for applicable metric</x:v>
      </x:c>
      <x:c r="N528" s="34" t="str">
        <x:v>Feedback-Directed Random Test Generation/Result/Jsoup_19/result.json</x:v>
      </x:c>
      <x:c r="O528" s="38" t="n">
        <x:f>IF(AND(G528="RECORDED",ISNUMBER(H528)),H528,"")</x:f>
        <x:v>78.39</x:v>
      </x:c>
      <x:c r="P528" s="34" t="str">
        <x:v>NOT_REVEALING</x:v>
      </x:c>
      <x:c r="Q528" s="34" t="str">
        <x:v>Feedback-Directed Random Test Generation/Result/Jsoup_19/result.json</x:v>
      </x:c>
    </x:row>
    <x:row r="529">
      <x:c r="A529" s="34" t="str">
        <x:v>randoop</x:v>
      </x:c>
      <x:c r="B529" s="34" t="str">
        <x:v>Jsoup</x:v>
      </x:c>
      <x:c r="C529" s="34" t="str">
        <x:v>Round1</x:v>
      </x:c>
      <x:c r="D529" s="34" t="str">
        <x:v>Jsoup_20</x:v>
      </x:c>
      <x:c r="E529" s="34" t="str">
        <x:v>Coverage</x:v>
      </x:c>
      <x:c r="F529" s="34" t="n">
        <x:v>66</x:v>
      </x:c>
      <x:c r="G529" s="34" t="str">
        <x:v>RECORDED</x:v>
      </x:c>
      <x:c r="H529" s="38" t="n">
        <x:f>IF(ISNUMBER('Data'!G529),'Data'!G529*100,"")</x:f>
        <x:v>31.819999999999997</x:v>
      </x:c>
      <x:c r="I529" s="34" t="str">
        <x:v>PASS</x:v>
      </x:c>
      <x:c r="J529" s="34" t="str">
        <x:v>PASS</x:v>
      </x:c>
      <x:c r="K529" s="34" t="str">
        <x:v>PASS</x:v>
      </x:c>
      <x:c r="L529" s="34" t="str">
        <x:v>PASS</x:v>
      </x:c>
      <x:c r="M529" s="34" t="str">
        <x:v>numeric coverage for applicable metric</x:v>
      </x:c>
      <x:c r="N529" s="34" t="str">
        <x:v>Feedback-Directed Random Test Generation/Result/Jsoup_20/result.json</x:v>
      </x:c>
      <x:c r="O529" s="38" t="n">
        <x:f>IF(AND(G529="RECORDED",ISNUMBER(H529)),H529,"")</x:f>
        <x:v>31.819999999999997</x:v>
      </x:c>
      <x:c r="P529" s="34" t="str">
        <x:v>NOT_REVEALING</x:v>
      </x:c>
      <x:c r="Q529" s="34" t="str">
        <x:v>Feedback-Directed Random Test Generation/Result/Jsoup_20/result.json</x:v>
      </x:c>
    </x:row>
    <x:row r="530">
      <x:c r="A530" s="34" t="str">
        <x:v>randoop</x:v>
      </x:c>
      <x:c r="B530" s="34" t="str">
        <x:v>Jsoup</x:v>
      </x:c>
      <x:c r="C530" s="34" t="str">
        <x:v>Round1</x:v>
      </x:c>
      <x:c r="D530" s="34" t="str">
        <x:v>Jsoup_21</x:v>
      </x:c>
      <x:c r="E530" s="34" t="str">
        <x:v>Coverage</x:v>
      </x:c>
      <x:c r="F530" s="34" t="n">
        <x:v>285</x:v>
      </x:c>
      <x:c r="G530" s="34" t="str">
        <x:v>RECORDED</x:v>
      </x:c>
      <x:c r="H530" s="38" t="n">
        <x:f>IF(ISNUMBER('Data'!G530),'Data'!G530*100,"")</x:f>
        <x:v>34.39</x:v>
      </x:c>
      <x:c r="I530" s="34" t="str">
        <x:v>PASS</x:v>
      </x:c>
      <x:c r="J530" s="34" t="str">
        <x:v>PASS</x:v>
      </x:c>
      <x:c r="K530" s="34" t="str">
        <x:v>PASS</x:v>
      </x:c>
      <x:c r="L530" s="34" t="str">
        <x:v>PASS</x:v>
      </x:c>
      <x:c r="M530" s="34" t="str">
        <x:v>numeric coverage for applicable metric</x:v>
      </x:c>
      <x:c r="N530" s="34" t="str">
        <x:v>Feedback-Directed Random Test Generation/Result/Jsoup_21/result.json</x:v>
      </x:c>
      <x:c r="O530" s="38" t="n">
        <x:f>IF(AND(G530="RECORDED",ISNUMBER(H530)),H530,"")</x:f>
        <x:v>34.39</x:v>
      </x:c>
      <x:c r="P530" s="34" t="str">
        <x:v>NOT_REVEALING</x:v>
      </x:c>
      <x:c r="Q530" s="34" t="str">
        <x:v>Feedback-Directed Random Test Generation/Result/Jsoup_21/result.json</x:v>
      </x:c>
    </x:row>
    <x:row r="531">
      <x:c r="A531" s="34" t="str">
        <x:v>randoop</x:v>
      </x:c>
      <x:c r="B531" s="34" t="str">
        <x:v>Jsoup</x:v>
      </x:c>
      <x:c r="C531" s="34" t="str">
        <x:v>Round1</x:v>
      </x:c>
      <x:c r="D531" s="34" t="str">
        <x:v>Jsoup_22</x:v>
      </x:c>
      <x:c r="E531" s="34" t="str">
        <x:v>Coverage</x:v>
      </x:c>
      <x:c r="F531" s="34" t="n">
        <x:v>939</x:v>
      </x:c>
      <x:c r="G531" s="34" t="str">
        <x:v>RECORDED</x:v>
      </x:c>
      <x:c r="H531" s="38" t="n">
        <x:f>IF(ISNUMBER('Data'!G531),'Data'!G531*100,"")</x:f>
        <x:v>21.62</x:v>
      </x:c>
      <x:c r="I531" s="34" t="str">
        <x:v>PASS</x:v>
      </x:c>
      <x:c r="J531" s="34" t="str">
        <x:v>PASS</x:v>
      </x:c>
      <x:c r="K531" s="34" t="str">
        <x:v>PASS</x:v>
      </x:c>
      <x:c r="L531" s="34" t="str">
        <x:v>PASS</x:v>
      </x:c>
      <x:c r="M531" s="34" t="str">
        <x:v>numeric coverage for applicable metric</x:v>
      </x:c>
      <x:c r="N531" s="34" t="str">
        <x:v>Feedback-Directed Random Test Generation/Result/Jsoup_22/result.json</x:v>
      </x:c>
      <x:c r="O531" s="38" t="n">
        <x:f>IF(AND(G531="RECORDED",ISNUMBER(H531)),H531,"")</x:f>
        <x:v>21.62</x:v>
      </x:c>
      <x:c r="P531" s="34" t="str">
        <x:v>NOT_REVEALING</x:v>
      </x:c>
      <x:c r="Q531" s="34" t="str">
        <x:v>Feedback-Directed Random Test Generation/Result/Jsoup_22/result.json</x:v>
      </x:c>
    </x:row>
    <x:row r="532">
      <x:c r="A532" s="34" t="str">
        <x:v>randoop</x:v>
      </x:c>
      <x:c r="B532" s="34" t="str">
        <x:v>Jsoup</x:v>
      </x:c>
      <x:c r="C532" s="34" t="str">
        <x:v>Round1</x:v>
      </x:c>
      <x:c r="D532" s="34" t="str">
        <x:v>Jsoup_23</x:v>
      </x:c>
      <x:c r="E532" s="34" t="str">
        <x:v>Coverage</x:v>
      </x:c>
      <x:c r="F532" s="34" t="n">
        <x:v>369</x:v>
      </x:c>
      <x:c r="G532" s="34" t="str">
        <x:v>RECORDED</x:v>
      </x:c>
      <x:c r="H532" s="38" t="n">
        <x:f>IF(ISNUMBER('Data'!G532),'Data'!G532*100,"")</x:f>
        <x:v>59.89</x:v>
      </x:c>
      <x:c r="I532" s="34" t="str">
        <x:v>PASS</x:v>
      </x:c>
      <x:c r="J532" s="34" t="str">
        <x:v>PASS</x:v>
      </x:c>
      <x:c r="K532" s="34" t="str">
        <x:v>PASS</x:v>
      </x:c>
      <x:c r="L532" s="34" t="str">
        <x:v>PASS</x:v>
      </x:c>
      <x:c r="M532" s="34" t="str">
        <x:v>numeric coverage for applicable metric</x:v>
      </x:c>
      <x:c r="N532" s="34" t="str">
        <x:v>Feedback-Directed Random Test Generation/Result/Jsoup_23/result.json</x:v>
      </x:c>
      <x:c r="O532" s="38" t="n">
        <x:f>IF(AND(G532="RECORDED",ISNUMBER(H532)),H532,"")</x:f>
        <x:v>59.89</x:v>
      </x:c>
      <x:c r="P532" s="34" t="str">
        <x:v>NOT_REVEALING</x:v>
      </x:c>
      <x:c r="Q532" s="34" t="str">
        <x:v>Feedback-Directed Random Test Generation/Result/Jsoup_23/result.json</x:v>
      </x:c>
    </x:row>
    <x:row r="533">
      <x:c r="A533" s="34" t="str">
        <x:v>randoop</x:v>
      </x:c>
      <x:c r="B533" s="34" t="str">
        <x:v>Jsoup</x:v>
      </x:c>
      <x:c r="C533" s="34" t="str">
        <x:v>Round1</x:v>
      </x:c>
      <x:c r="D533" s="34" t="str">
        <x:v>Jsoup_24</x:v>
      </x:c>
      <x:c r="E533" s="34" t="str">
        <x:v>Coverage</x:v>
      </x:c>
      <x:c r="F533" s="34" t="n">
        <x:v>1549</x:v>
      </x:c>
      <x:c r="G533" s="34" t="str">
        <x:v>RECORDED</x:v>
      </x:c>
      <x:c r="H533" s="38" t="n">
        <x:f>IF(ISNUMBER('Data'!G533),'Data'!G533*100,"")</x:f>
        <x:v>13.11</x:v>
      </x:c>
      <x:c r="I533" s="34" t="str">
        <x:v>PASS</x:v>
      </x:c>
      <x:c r="J533" s="34" t="str">
        <x:v>PASS</x:v>
      </x:c>
      <x:c r="K533" s="34" t="str">
        <x:v>PASS</x:v>
      </x:c>
      <x:c r="L533" s="34" t="str">
        <x:v>PASS</x:v>
      </x:c>
      <x:c r="M533" s="34" t="str">
        <x:v>numeric coverage for applicable metric</x:v>
      </x:c>
      <x:c r="N533" s="34" t="str">
        <x:v>Feedback-Directed Random Test Generation/Result/Jsoup_24/result.json</x:v>
      </x:c>
      <x:c r="O533" s="38" t="n">
        <x:f>IF(AND(G533="RECORDED",ISNUMBER(H533)),H533,"")</x:f>
        <x:v>13.11</x:v>
      </x:c>
      <x:c r="P533" s="34" t="str">
        <x:v>NOT_REVEALING</x:v>
      </x:c>
      <x:c r="Q533" s="34" t="str">
        <x:v>Feedback-Directed Random Test Generation/Result/Jsoup_24/result.json</x:v>
      </x:c>
    </x:row>
    <x:row r="534">
      <x:c r="A534" s="34" t="str">
        <x:v>randoop</x:v>
      </x:c>
      <x:c r="B534" s="34" t="str">
        <x:v>Jsoup</x:v>
      </x:c>
      <x:c r="C534" s="34" t="str">
        <x:v>Round1</x:v>
      </x:c>
      <x:c r="D534" s="34" t="str">
        <x:v>Jsoup_25</x:v>
      </x:c>
      <x:c r="E534" s="34" t="str">
        <x:v>Coverage</x:v>
      </x:c>
      <x:c r="F534" s="34" t="n">
        <x:v>136</x:v>
      </x:c>
      <x:c r="G534" s="34" t="str">
        <x:v>RECORDED</x:v>
      </x:c>
      <x:c r="H534" s="38" t="n">
        <x:f>IF(ISNUMBER('Data'!G534),'Data'!G534*100,"")</x:f>
        <x:v>72.06</x:v>
      </x:c>
      <x:c r="I534" s="34" t="str">
        <x:v>PASS</x:v>
      </x:c>
      <x:c r="J534" s="34" t="str">
        <x:v>PASS</x:v>
      </x:c>
      <x:c r="K534" s="34" t="str">
        <x:v>PASS</x:v>
      </x:c>
      <x:c r="L534" s="34" t="str">
        <x:v>PASS</x:v>
      </x:c>
      <x:c r="M534" s="34" t="str">
        <x:v>numeric coverage for applicable metric</x:v>
      </x:c>
      <x:c r="N534" s="34" t="str">
        <x:v>Feedback-Directed Random Test Generation/Result/Jsoup_25/result.json</x:v>
      </x:c>
      <x:c r="O534" s="38" t="n">
        <x:f>IF(AND(G534="RECORDED",ISNUMBER(H534)),H534,"")</x:f>
        <x:v>72.06</x:v>
      </x:c>
      <x:c r="P534" s="34" t="str">
        <x:v>NOT_REVEALING</x:v>
      </x:c>
      <x:c r="Q534" s="34" t="str">
        <x:v>Feedback-Directed Random Test Generation/Result/Jsoup_25/result.json</x:v>
      </x:c>
    </x:row>
    <x:row r="535">
      <x:c r="A535" s="34" t="str">
        <x:v>randoop</x:v>
      </x:c>
      <x:c r="B535" s="34" t="str">
        <x:v>Jsoup</x:v>
      </x:c>
      <x:c r="C535" s="34" t="str">
        <x:v>Round1</x:v>
      </x:c>
      <x:c r="D535" s="34" t="str">
        <x:v>Jsoup_26</x:v>
      </x:c>
      <x:c r="E535" s="34" t="str">
        <x:v>Coverage</x:v>
      </x:c>
      <x:c r="F535" s="34" t="n">
        <x:v>63</x:v>
      </x:c>
      <x:c r="G535" s="34" t="str">
        <x:v>RECORDED</x:v>
      </x:c>
      <x:c r="H535" s="38" t="n">
        <x:f>IF(ISNUMBER('Data'!G535),'Data'!G535*100,"")</x:f>
        <x:v>3.17</x:v>
      </x:c>
      <x:c r="I535" s="34" t="str">
        <x:v>PASS</x:v>
      </x:c>
      <x:c r="J535" s="34" t="str">
        <x:v>PASS</x:v>
      </x:c>
      <x:c r="K535" s="34" t="str">
        <x:v>PASS</x:v>
      </x:c>
      <x:c r="L535" s="34" t="str">
        <x:v>PASS</x:v>
      </x:c>
      <x:c r="M535" s="34" t="str">
        <x:v>numeric coverage for applicable metric</x:v>
      </x:c>
      <x:c r="N535" s="34" t="str">
        <x:v>Feedback-Directed Random Test Generation/Result/Jsoup_26/result.json</x:v>
      </x:c>
      <x:c r="O535" s="38" t="n">
        <x:f>IF(AND(G535="RECORDED",ISNUMBER(H535)),H535,"")</x:f>
        <x:v>3.17</x:v>
      </x:c>
      <x:c r="P535" s="34" t="str">
        <x:v>NOT_REVEALING</x:v>
      </x:c>
      <x:c r="Q535" s="34" t="str">
        <x:v>Feedback-Directed Random Test Generation/Result/Jsoup_26/result.json</x:v>
      </x:c>
    </x:row>
    <x:row r="536">
      <x:c r="A536" s="34" t="str">
        <x:v>randoop</x:v>
      </x:c>
      <x:c r="B536" s="34" t="str">
        <x:v>Jsoup</x:v>
      </x:c>
      <x:c r="C536" s="34" t="str">
        <x:v>Round1</x:v>
      </x:c>
      <x:c r="D536" s="34" t="str">
        <x:v>Jsoup_27</x:v>
      </x:c>
      <x:c r="E536" s="34" t="str">
        <x:v>Coverage</x:v>
      </x:c>
      <x:c r="F536" s="34" t="n">
        <x:v>72</x:v>
      </x:c>
      <x:c r="G536" s="34" t="str">
        <x:v>RECORDED</x:v>
      </x:c>
      <x:c r="H536" s="38" t="n">
        <x:f>IF(ISNUMBER('Data'!G536),'Data'!G536*100,"")</x:f>
        <x:v>29.17</x:v>
      </x:c>
      <x:c r="I536" s="34" t="str">
        <x:v>PASS</x:v>
      </x:c>
      <x:c r="J536" s="34" t="str">
        <x:v>PASS</x:v>
      </x:c>
      <x:c r="K536" s="34" t="str">
        <x:v>PASS</x:v>
      </x:c>
      <x:c r="L536" s="34" t="str">
        <x:v>PASS</x:v>
      </x:c>
      <x:c r="M536" s="34" t="str">
        <x:v>numeric coverage for applicable metric</x:v>
      </x:c>
      <x:c r="N536" s="34" t="str">
        <x:v>Feedback-Directed Random Test Generation/Result/Jsoup_27/result.json</x:v>
      </x:c>
      <x:c r="O536" s="38" t="n">
        <x:f>IF(AND(G536="RECORDED",ISNUMBER(H536)),H536,"")</x:f>
        <x:v>29.17</x:v>
      </x:c>
      <x:c r="P536" s="34" t="str">
        <x:v>NOT_REVEALING</x:v>
      </x:c>
      <x:c r="Q536" s="34" t="str">
        <x:v>Feedback-Directed Random Test Generation/Result/Jsoup_27/result.json</x:v>
      </x:c>
    </x:row>
    <x:row r="537">
      <x:c r="A537" s="34" t="str">
        <x:v>randoop</x:v>
      </x:c>
      <x:c r="B537" s="34" t="str">
        <x:v>Jsoup</x:v>
      </x:c>
      <x:c r="C537" s="34" t="str">
        <x:v>Round1</x:v>
      </x:c>
      <x:c r="D537" s="34" t="str">
        <x:v>Jsoup_28</x:v>
      </x:c>
      <x:c r="E537" s="34" t="str">
        <x:v>Coverage</x:v>
      </x:c>
      <x:c r="F537" s="34" t="n">
        <x:v>345</x:v>
      </x:c>
      <x:c r="G537" s="34" t="str">
        <x:v>RECORDED</x:v>
      </x:c>
      <x:c r="H537" s="38" t="n">
        <x:f>IF(ISNUMBER('Data'!G537),'Data'!G537*100,"")</x:f>
        <x:v>48.7</x:v>
      </x:c>
      <x:c r="I537" s="34" t="str">
        <x:v>PASS</x:v>
      </x:c>
      <x:c r="J537" s="34" t="str">
        <x:v>PASS</x:v>
      </x:c>
      <x:c r="K537" s="34" t="str">
        <x:v>PASS</x:v>
      </x:c>
      <x:c r="L537" s="34" t="str">
        <x:v>PASS</x:v>
      </x:c>
      <x:c r="M537" s="34" t="str">
        <x:v>numeric coverage for applicable metric</x:v>
      </x:c>
      <x:c r="N537" s="34" t="str">
        <x:v>Feedback-Directed Random Test Generation/Result/Jsoup_28/result.json</x:v>
      </x:c>
      <x:c r="O537" s="38" t="n">
        <x:f>IF(AND(G537="RECORDED",ISNUMBER(H537)),H537,"")</x:f>
        <x:v>48.7</x:v>
      </x:c>
      <x:c r="P537" s="34" t="str">
        <x:v>NOT_REVEALING</x:v>
      </x:c>
      <x:c r="Q537" s="34" t="str">
        <x:v>Feedback-Directed Random Test Generation/Result/Jsoup_28/result.json</x:v>
      </x:c>
    </x:row>
    <x:row r="538">
      <x:c r="A538" s="34" t="str">
        <x:v>randoop</x:v>
      </x:c>
      <x:c r="B538" s="34" t="str">
        <x:v>Jsoup</x:v>
      </x:c>
      <x:c r="C538" s="34" t="str">
        <x:v>Round1</x:v>
      </x:c>
      <x:c r="D538" s="34" t="str">
        <x:v>Jsoup_29</x:v>
      </x:c>
      <x:c r="E538" s="34" t="str">
        <x:v>Coverage</x:v>
      </x:c>
      <x:c r="F538" s="34" t="n">
        <x:v>153</x:v>
      </x:c>
      <x:c r="G538" s="34" t="str">
        <x:v>RECORDED</x:v>
      </x:c>
      <x:c r="H538" s="38" t="n">
        <x:f>IF(ISNUMBER('Data'!G538),'Data'!G538*100,"")</x:f>
        <x:v>87.58</x:v>
      </x:c>
      <x:c r="I538" s="34" t="str">
        <x:v>PASS</x:v>
      </x:c>
      <x:c r="J538" s="34" t="str">
        <x:v>PASS</x:v>
      </x:c>
      <x:c r="K538" s="34" t="str">
        <x:v>PASS</x:v>
      </x:c>
      <x:c r="L538" s="34" t="str">
        <x:v>FAIL</x:v>
      </x:c>
      <x:c r="M538" s="34" t="str">
        <x:v>numeric coverage for applicable metric</x:v>
      </x:c>
      <x:c r="N538" s="34" t="str">
        <x:v>Feedback-Directed Random Test Generation/Result/Jsoup_29/result.json</x:v>
      </x:c>
      <x:c r="O538" s="38" t="n">
        <x:f>IF(AND(G538="RECORDED",ISNUMBER(H538)),H538,"")</x:f>
        <x:v>87.58</x:v>
      </x:c>
      <x:c r="P538" s="34" t="str">
        <x:v>INCONCLUSIVE</x:v>
      </x:c>
      <x:c r="Q538" s="34" t="str">
        <x:v>Feedback-Directed Random Test Generation/Result/Jsoup_29/result.json</x:v>
      </x:c>
    </x:row>
    <x:row r="539">
      <x:c r="A539" s="34" t="str">
        <x:v>randoop</x:v>
      </x:c>
      <x:c r="B539" s="34" t="str">
        <x:v>Jsoup</x:v>
      </x:c>
      <x:c r="C539" s="34" t="str">
        <x:v>Round1</x:v>
      </x:c>
      <x:c r="D539" s="34" t="str">
        <x:v>Jsoup_30</x:v>
      </x:c>
      <x:c r="E539" s="34" t="str">
        <x:v>Coverage</x:v>
      </x:c>
      <x:c r="F539" s="34" t="n">
        <x:v>66</x:v>
      </x:c>
      <x:c r="G539" s="34" t="str">
        <x:v>RECORDED</x:v>
      </x:c>
      <x:c r="H539" s="38" t="n">
        <x:f>IF(ISNUMBER('Data'!G539),'Data'!G539*100,"")</x:f>
        <x:v>3.03</x:v>
      </x:c>
      <x:c r="I539" s="34" t="str">
        <x:v>PASS</x:v>
      </x:c>
      <x:c r="J539" s="34" t="str">
        <x:v>PASS</x:v>
      </x:c>
      <x:c r="K539" s="34" t="str">
        <x:v>PASS</x:v>
      </x:c>
      <x:c r="L539" s="34" t="str">
        <x:v>PASS</x:v>
      </x:c>
      <x:c r="M539" s="34" t="str">
        <x:v>numeric coverage for applicable metric</x:v>
      </x:c>
      <x:c r="N539" s="34" t="str">
        <x:v>Feedback-Directed Random Test Generation/Result/Jsoup_30/result.json</x:v>
      </x:c>
      <x:c r="O539" s="38" t="n">
        <x:f>IF(AND(G539="RECORDED",ISNUMBER(H539)),H539,"")</x:f>
        <x:v>3.03</x:v>
      </x:c>
      <x:c r="P539" s="34" t="str">
        <x:v>NOT_REVEALING</x:v>
      </x:c>
      <x:c r="Q539" s="34" t="str">
        <x:v>Feedback-Directed Random Test Generation/Result/Jsoup_30/result.json</x:v>
      </x:c>
    </x:row>
    <x:row r="540">
      <x:c r="A540" s="34" t="str">
        <x:v>randoop</x:v>
      </x:c>
      <x:c r="B540" s="34" t="str">
        <x:v>Jsoup</x:v>
      </x:c>
      <x:c r="C540" s="34" t="str">
        <x:v>Round1</x:v>
      </x:c>
      <x:c r="D540" s="34" t="str">
        <x:v>Jsoup_31</x:v>
      </x:c>
      <x:c r="E540" s="34" t="str">
        <x:v>Coverage</x:v>
      </x:c>
      <x:c r="F540" s="34" t="n">
        <x:v>1766</x:v>
      </x:c>
      <x:c r="G540" s="34" t="str">
        <x:v>RECORDED</x:v>
      </x:c>
      <x:c r="H540" s="38" t="n">
        <x:f>IF(ISNUMBER('Data'!G540),'Data'!G540*100,"")</x:f>
        <x:v>21.8</x:v>
      </x:c>
      <x:c r="I540" s="34" t="str">
        <x:v>PASS</x:v>
      </x:c>
      <x:c r="J540" s="34" t="str">
        <x:v>PASS</x:v>
      </x:c>
      <x:c r="K540" s="34" t="str">
        <x:v>PASS</x:v>
      </x:c>
      <x:c r="L540" s="34" t="str">
        <x:v>FAIL</x:v>
      </x:c>
      <x:c r="M540" s="34" t="str">
        <x:v>numeric coverage for applicable metric</x:v>
      </x:c>
      <x:c r="N540" s="34" t="str">
        <x:v>Feedback-Directed Random Test Generation/Result/Jsoup_31/result.json</x:v>
      </x:c>
      <x:c r="O540" s="38" t="n">
        <x:f>IF(AND(G540="RECORDED",ISNUMBER(H540)),H540,"")</x:f>
        <x:v>21.8</x:v>
      </x:c>
      <x:c r="P540" s="34" t="str">
        <x:v>INCONCLUSIVE</x:v>
      </x:c>
      <x:c r="Q540" s="34" t="str">
        <x:v>Feedback-Directed Random Test Generation/Result/Jsoup_31/result.json</x:v>
      </x:c>
    </x:row>
    <x:row r="541">
      <x:c r="A541" s="34" t="str">
        <x:v>randoop</x:v>
      </x:c>
      <x:c r="B541" s="34" t="str">
        <x:v>Jsoup</x:v>
      </x:c>
      <x:c r="C541" s="34" t="str">
        <x:v>Round1</x:v>
      </x:c>
      <x:c r="D541" s="34" t="str">
        <x:v>Jsoup_32</x:v>
      </x:c>
      <x:c r="E541" s="34" t="str">
        <x:v>Coverage</x:v>
      </x:c>
      <x:c r="F541" s="34" t="n">
        <x:v>443</x:v>
      </x:c>
      <x:c r="G541" s="34" t="str">
        <x:v>RECORDED</x:v>
      </x:c>
      <x:c r="H541" s="38" t="n">
        <x:f>IF(ISNUMBER('Data'!G541),'Data'!G541*100,"")</x:f>
        <x:v>0.68</x:v>
      </x:c>
      <x:c r="I541" s="34" t="str">
        <x:v>PASS</x:v>
      </x:c>
      <x:c r="J541" s="34" t="str">
        <x:v>PASS</x:v>
      </x:c>
      <x:c r="K541" s="34" t="str">
        <x:v>PASS</x:v>
      </x:c>
      <x:c r="L541" s="34" t="str">
        <x:v>PASS</x:v>
      </x:c>
      <x:c r="M541" s="34" t="str">
        <x:v>numeric coverage for applicable metric</x:v>
      </x:c>
      <x:c r="N541" s="34" t="str">
        <x:v>Feedback-Directed Random Test Generation/Result/Jsoup_32/result.json</x:v>
      </x:c>
      <x:c r="O541" s="38" t="n">
        <x:f>IF(AND(G541="RECORDED",ISNUMBER(H541)),H541,"")</x:f>
        <x:v>0.68</x:v>
      </x:c>
      <x:c r="P541" s="34" t="str">
        <x:v>NOT_REVEALING</x:v>
      </x:c>
      <x:c r="Q541" s="34" t="str">
        <x:v>Feedback-Directed Random Test Generation/Result/Jsoup_32/result.json</x:v>
      </x:c>
    </x:row>
    <x:row r="542">
      <x:c r="A542" s="34" t="str">
        <x:v>randoop</x:v>
      </x:c>
      <x:c r="B542" s="34" t="str">
        <x:v>Jsoup</x:v>
      </x:c>
      <x:c r="C542" s="34" t="str">
        <x:v>Round1</x:v>
      </x:c>
      <x:c r="D542" s="34" t="str">
        <x:v>Jsoup_33</x:v>
      </x:c>
      <x:c r="E542" s="34" t="str">
        <x:v>Coverage</x:v>
      </x:c>
      <x:c r="F542" s="34" t="n">
        <x:v>595</x:v>
      </x:c>
      <x:c r="G542" s="34" t="str">
        <x:v>RECORDED</x:v>
      </x:c>
      <x:c r="H542" s="38" t="n">
        <x:f>IF(ISNUMBER('Data'!G542),'Data'!G542*100,"")</x:f>
        <x:v>72.27</x:v>
      </x:c>
      <x:c r="I542" s="34" t="str">
        <x:v>PASS</x:v>
      </x:c>
      <x:c r="J542" s="34" t="str">
        <x:v>PASS</x:v>
      </x:c>
      <x:c r="K542" s="34" t="str">
        <x:v>PASS</x:v>
      </x:c>
      <x:c r="L542" s="34" t="str">
        <x:v>FAIL</x:v>
      </x:c>
      <x:c r="M542" s="34" t="str">
        <x:v>numeric coverage for applicable metric</x:v>
      </x:c>
      <x:c r="N542" s="34" t="str">
        <x:v>Feedback-Directed Random Test Generation/Result/Jsoup_33/result.json</x:v>
      </x:c>
      <x:c r="O542" s="38" t="n">
        <x:f>IF(AND(G542="RECORDED",ISNUMBER(H542)),H542,"")</x:f>
        <x:v>72.27</x:v>
      </x:c>
      <x:c r="P542" s="34" t="str">
        <x:v>INCONCLUSIVE</x:v>
      </x:c>
      <x:c r="Q542" s="34" t="str">
        <x:v>Feedback-Directed Random Test Generation/Result/Jsoup_33/result.json</x:v>
      </x:c>
    </x:row>
    <x:row r="543">
      <x:c r="A543" s="34" t="str">
        <x:v>randoop</x:v>
      </x:c>
      <x:c r="B543" s="34" t="str">
        <x:v>Jsoup</x:v>
      </x:c>
      <x:c r="C543" s="34" t="str">
        <x:v>Round1</x:v>
      </x:c>
      <x:c r="D543" s="34" t="str">
        <x:v>Jsoup_34</x:v>
      </x:c>
      <x:c r="E543" s="34" t="str">
        <x:v>Coverage</x:v>
      </x:c>
      <x:c r="F543" s="34" t="n">
        <x:v>266</x:v>
      </x:c>
      <x:c r="G543" s="34" t="str">
        <x:v>RECORDED</x:v>
      </x:c>
      <x:c r="H543" s="38" t="n">
        <x:f>IF(ISNUMBER('Data'!G543),'Data'!G543*100,"")</x:f>
        <x:v>89.85</x:v>
      </x:c>
      <x:c r="I543" s="34" t="str">
        <x:v>PASS</x:v>
      </x:c>
      <x:c r="J543" s="34" t="str">
        <x:v>PASS</x:v>
      </x:c>
      <x:c r="K543" s="34" t="str">
        <x:v>PASS</x:v>
      </x:c>
      <x:c r="L543" s="34" t="str">
        <x:v>PASS</x:v>
      </x:c>
      <x:c r="M543" s="34" t="str">
        <x:v>numeric coverage for applicable metric</x:v>
      </x:c>
      <x:c r="N543" s="34" t="str">
        <x:v>Feedback-Directed Random Test Generation/Result/Jsoup_34/result.json</x:v>
      </x:c>
      <x:c r="O543" s="38" t="n">
        <x:f>IF(AND(G543="RECORDED",ISNUMBER(H543)),H543,"")</x:f>
        <x:v>89.85</x:v>
      </x:c>
      <x:c r="P543" s="34" t="str">
        <x:v>INCONCLUSIVE</x:v>
      </x:c>
      <x:c r="Q543" s="34" t="str">
        <x:v>Feedback-Directed Random Test Generation/Result/Jsoup_34/result.json</x:v>
      </x:c>
    </x:row>
    <x:row r="544">
      <x:c r="A544" s="34" t="str">
        <x:v>randoop</x:v>
      </x:c>
      <x:c r="B544" s="34" t="str">
        <x:v>Jsoup</x:v>
      </x:c>
      <x:c r="C544" s="34" t="str">
        <x:v>Round1</x:v>
      </x:c>
      <x:c r="D544" s="34" t="str">
        <x:v>Jsoup_35</x:v>
      </x:c>
      <x:c r="E544" s="34" t="str">
        <x:v>Coverage</x:v>
      </x:c>
      <x:c r="F544" s="34" t="n">
        <x:v>1827</x:v>
      </x:c>
      <x:c r="G544" s="34" t="str">
        <x:v>RECORDED</x:v>
      </x:c>
      <x:c r="H544" s="38" t="n">
        <x:f>IF(ISNUMBER('Data'!G544),'Data'!G544*100,"")</x:f>
        <x:v>4</x:v>
      </x:c>
      <x:c r="I544" s="34" t="str">
        <x:v>PASS</x:v>
      </x:c>
      <x:c r="J544" s="34" t="str">
        <x:v>PASS</x:v>
      </x:c>
      <x:c r="K544" s="34" t="str">
        <x:v>PASS</x:v>
      </x:c>
      <x:c r="L544" s="34" t="str">
        <x:v>PASS</x:v>
      </x:c>
      <x:c r="M544" s="34" t="str">
        <x:v>numeric coverage for applicable metric</x:v>
      </x:c>
      <x:c r="N544" s="34" t="str">
        <x:v>Feedback-Directed Random Test Generation/Result/Jsoup_35/result.json</x:v>
      </x:c>
      <x:c r="O544" s="38" t="n">
        <x:f>IF(AND(G544="RECORDED",ISNUMBER(H544)),H544,"")</x:f>
        <x:v>4</x:v>
      </x:c>
      <x:c r="P544" s="34" t="str">
        <x:v>NOT_REVEALING</x:v>
      </x:c>
      <x:c r="Q544" s="34" t="str">
        <x:v>Feedback-Directed Random Test Generation/Result/Jsoup_35/result.json</x:v>
      </x:c>
    </x:row>
    <x:row r="545">
      <x:c r="A545" s="34" t="str">
        <x:v>randoop</x:v>
      </x:c>
      <x:c r="B545" s="34" t="str">
        <x:v>Jsoup</x:v>
      </x:c>
      <x:c r="C545" s="34" t="str">
        <x:v>Round1</x:v>
      </x:c>
      <x:c r="D545" s="34" t="str">
        <x:v>Jsoup_36</x:v>
      </x:c>
      <x:c r="E545" s="34" t="str">
        <x:v>Coverage</x:v>
      </x:c>
      <x:c r="F545" s="34" t="n">
        <x:v>98</x:v>
      </x:c>
      <x:c r="G545" s="34" t="str">
        <x:v>RECORDED</x:v>
      </x:c>
      <x:c r="H545" s="38" t="n">
        <x:f>IF(ISNUMBER('Data'!G545),'Data'!G545*100,"")</x:f>
        <x:v>29.59</x:v>
      </x:c>
      <x:c r="I545" s="34" t="str">
        <x:v>PASS</x:v>
      </x:c>
      <x:c r="J545" s="34" t="str">
        <x:v>PASS</x:v>
      </x:c>
      <x:c r="K545" s="34" t="str">
        <x:v>PASS</x:v>
      </x:c>
      <x:c r="L545" s="34" t="str">
        <x:v>PASS</x:v>
      </x:c>
      <x:c r="M545" s="34" t="str">
        <x:v>numeric coverage for applicable metric</x:v>
      </x:c>
      <x:c r="N545" s="34" t="str">
        <x:v>Feedback-Directed Random Test Generation/Result/Jsoup_36/result.json</x:v>
      </x:c>
      <x:c r="O545" s="38" t="n">
        <x:f>IF(AND(G545="RECORDED",ISNUMBER(H545)),H545,"")</x:f>
        <x:v>29.59</x:v>
      </x:c>
      <x:c r="P545" s="34" t="str">
        <x:v>NOT_REVEALING</x:v>
      </x:c>
      <x:c r="Q545" s="34" t="str">
        <x:v>Feedback-Directed Random Test Generation/Result/Jsoup_36/result.json</x:v>
      </x:c>
    </x:row>
    <x:row r="546">
      <x:c r="A546" s="34" t="str">
        <x:v>randoop</x:v>
      </x:c>
      <x:c r="B546" s="34" t="str">
        <x:v>Jsoup</x:v>
      </x:c>
      <x:c r="C546" s="34" t="str">
        <x:v>Round1</x:v>
      </x:c>
      <x:c r="D546" s="34" t="str">
        <x:v>Jsoup_37</x:v>
      </x:c>
      <x:c r="E546" s="34" t="str">
        <x:v>Coverage</x:v>
      </x:c>
      <x:c r="F546" s="34" t="n">
        <x:v>459</x:v>
      </x:c>
      <x:c r="G546" s="34" t="str">
        <x:v>RECORDED</x:v>
      </x:c>
      <x:c r="H546" s="38" t="n">
        <x:f>IF(ISNUMBER('Data'!G546),'Data'!G546*100,"")</x:f>
        <x:v>1.31</x:v>
      </x:c>
      <x:c r="I546" s="34" t="str">
        <x:v>PASS</x:v>
      </x:c>
      <x:c r="J546" s="34" t="str">
        <x:v>PASS</x:v>
      </x:c>
      <x:c r="K546" s="34" t="str">
        <x:v>PASS</x:v>
      </x:c>
      <x:c r="L546" s="34" t="str">
        <x:v>PASS</x:v>
      </x:c>
      <x:c r="M546" s="34" t="str">
        <x:v>numeric coverage for applicable metric</x:v>
      </x:c>
      <x:c r="N546" s="34" t="str">
        <x:v>Feedback-Directed Random Test Generation/Result/Jsoup_37/result.json</x:v>
      </x:c>
      <x:c r="O546" s="38" t="n">
        <x:f>IF(AND(G546="RECORDED",ISNUMBER(H546)),H546,"")</x:f>
        <x:v>1.31</x:v>
      </x:c>
      <x:c r="P546" s="34" t="str">
        <x:v>NOT_REVEALING</x:v>
      </x:c>
      <x:c r="Q546" s="34" t="str">
        <x:v>Feedback-Directed Random Test Generation/Result/Jsoup_37/result.json</x:v>
      </x:c>
    </x:row>
    <x:row r="547">
      <x:c r="A547" s="34" t="str">
        <x:v>randoop</x:v>
      </x:c>
      <x:c r="B547" s="34" t="str">
        <x:v>Jsoup</x:v>
      </x:c>
      <x:c r="C547" s="34" t="str">
        <x:v>Round1</x:v>
      </x:c>
      <x:c r="D547" s="34" t="str">
        <x:v>Jsoup_38</x:v>
      </x:c>
      <x:c r="E547" s="34" t="str">
        <x:v>Coverage</x:v>
      </x:c>
      <x:c r="F547" s="34" t="n">
        <x:v>1846</x:v>
      </x:c>
      <x:c r="G547" s="34" t="str">
        <x:v>RECORDED</x:v>
      </x:c>
      <x:c r="H547" s="38" t="n">
        <x:f>IF(ISNUMBER('Data'!G547),'Data'!G547*100,"")</x:f>
        <x:v>3.95</x:v>
      </x:c>
      <x:c r="I547" s="34" t="str">
        <x:v>PASS</x:v>
      </x:c>
      <x:c r="J547" s="34" t="str">
        <x:v>PASS</x:v>
      </x:c>
      <x:c r="K547" s="34" t="str">
        <x:v>PASS</x:v>
      </x:c>
      <x:c r="L547" s="34" t="str">
        <x:v>PASS</x:v>
      </x:c>
      <x:c r="M547" s="34" t="str">
        <x:v>numeric coverage for applicable metric</x:v>
      </x:c>
      <x:c r="N547" s="34" t="str">
        <x:v>Feedback-Directed Random Test Generation/Result/Jsoup_38/result.json</x:v>
      </x:c>
      <x:c r="O547" s="38" t="n">
        <x:f>IF(AND(G547="RECORDED",ISNUMBER(H547)),H547,"")</x:f>
        <x:v>3.95</x:v>
      </x:c>
      <x:c r="P547" s="34" t="str">
        <x:v>NOT_REVEALING</x:v>
      </x:c>
      <x:c r="Q547" s="34" t="str">
        <x:v>Feedback-Directed Random Test Generation/Result/Jsoup_38/result.json</x:v>
      </x:c>
    </x:row>
    <x:row r="548">
      <x:c r="A548" s="34" t="str">
        <x:v>randoop</x:v>
      </x:c>
      <x:c r="B548" s="34" t="str">
        <x:v>Jsoup</x:v>
      </x:c>
      <x:c r="C548" s="34" t="str">
        <x:v>Round1</x:v>
      </x:c>
      <x:c r="D548" s="34" t="str">
        <x:v>Jsoup_39</x:v>
      </x:c>
      <x:c r="E548" s="34" t="str">
        <x:v>Coverage</x:v>
      </x:c>
      <x:c r="F548" s="34" t="n">
        <x:v>121</x:v>
      </x:c>
      <x:c r="G548" s="34" t="str">
        <x:v>RECORDED</x:v>
      </x:c>
      <x:c r="H548" s="38" t="n">
        <x:f>IF(ISNUMBER('Data'!G548),'Data'!G548*100,"")</x:f>
        <x:v>23.97</x:v>
      </x:c>
      <x:c r="I548" s="34" t="str">
        <x:v>PASS</x:v>
      </x:c>
      <x:c r="J548" s="34" t="str">
        <x:v>PASS</x:v>
      </x:c>
      <x:c r="K548" s="34" t="str">
        <x:v>PASS</x:v>
      </x:c>
      <x:c r="L548" s="34" t="str">
        <x:v>PASS</x:v>
      </x:c>
      <x:c r="M548" s="34" t="str">
        <x:v>numeric coverage for applicable metric</x:v>
      </x:c>
      <x:c r="N548" s="34" t="str">
        <x:v>Feedback-Directed Random Test Generation/Result/Jsoup_39/result.json</x:v>
      </x:c>
      <x:c r="O548" s="38" t="n">
        <x:f>IF(AND(G548="RECORDED",ISNUMBER(H548)),H548,"")</x:f>
        <x:v>23.97</x:v>
      </x:c>
      <x:c r="P548" s="34" t="str">
        <x:v>NOT_REVEALING</x:v>
      </x:c>
      <x:c r="Q548" s="34" t="str">
        <x:v>Feedback-Directed Random Test Generation/Result/Jsoup_39/result.json</x:v>
      </x:c>
    </x:row>
    <x:row r="549">
      <x:c r="A549" s="34" t="str">
        <x:v>randoop</x:v>
      </x:c>
      <x:c r="B549" s="34" t="str">
        <x:v>Jsoup</x:v>
      </x:c>
      <x:c r="C549" s="34" t="str">
        <x:v>Round1</x:v>
      </x:c>
      <x:c r="D549" s="34" t="str">
        <x:v>Jsoup_40</x:v>
      </x:c>
      <x:c r="E549" s="34" t="str">
        <x:v>Coverage</x:v>
      </x:c>
      <x:c r="F549" s="34" t="n">
        <x:v>23</x:v>
      </x:c>
      <x:c r="G549" s="34" t="str">
        <x:v>RECORDED</x:v>
      </x:c>
      <x:c r="H549" s="38" t="n">
        <x:f>IF(ISNUMBER('Data'!G549),'Data'!G549*100,"")</x:f>
        <x:v>82.61</x:v>
      </x:c>
      <x:c r="I549" s="34" t="str">
        <x:v>PASS</x:v>
      </x:c>
      <x:c r="J549" s="34" t="str">
        <x:v>PASS</x:v>
      </x:c>
      <x:c r="K549" s="34" t="str">
        <x:v>PASS</x:v>
      </x:c>
      <x:c r="L549" s="34" t="str">
        <x:v>PASS</x:v>
      </x:c>
      <x:c r="M549" s="34" t="str">
        <x:v>numeric coverage for applicable metric</x:v>
      </x:c>
      <x:c r="N549" s="34" t="str">
        <x:v>Feedback-Directed Random Test Generation/Result/Jsoup_40/result.json</x:v>
      </x:c>
      <x:c r="O549" s="38" t="n">
        <x:f>IF(AND(G549="RECORDED",ISNUMBER(H549)),H549,"")</x:f>
        <x:v>82.61</x:v>
      </x:c>
      <x:c r="P549" s="34" t="str">
        <x:v>INCONCLUSIVE</x:v>
      </x:c>
      <x:c r="Q549" s="34" t="str">
        <x:v>Feedback-Directed Random Test Generation/Result/Jsoup_40/result.json</x:v>
      </x:c>
    </x:row>
    <x:row r="550">
      <x:c r="A550" s="34" t="str">
        <x:v>randoop</x:v>
      </x:c>
      <x:c r="B550" s="34" t="str">
        <x:v>Jsoup</x:v>
      </x:c>
      <x:c r="C550" s="34" t="str">
        <x:v>Round1</x:v>
      </x:c>
      <x:c r="D550" s="34" t="str">
        <x:v>Jsoup_41</x:v>
      </x:c>
      <x:c r="E550" s="34" t="str">
        <x:v>Coverage</x:v>
      </x:c>
      <x:c r="F550" s="34" t="n">
        <x:v>500</x:v>
      </x:c>
      <x:c r="G550" s="34" t="str">
        <x:v>RECORDED</x:v>
      </x:c>
      <x:c r="H550" s="38" t="n">
        <x:f>IF(ISNUMBER('Data'!G550),'Data'!G550*100,"")</x:f>
        <x:v>1.2</x:v>
      </x:c>
      <x:c r="I550" s="34" t="str">
        <x:v>PASS</x:v>
      </x:c>
      <x:c r="J550" s="34" t="str">
        <x:v>PASS</x:v>
      </x:c>
      <x:c r="K550" s="34" t="str">
        <x:v>PASS</x:v>
      </x:c>
      <x:c r="L550" s="34" t="str">
        <x:v>PASS</x:v>
      </x:c>
      <x:c r="M550" s="34" t="str">
        <x:v>numeric coverage for applicable metric</x:v>
      </x:c>
      <x:c r="N550" s="34" t="str">
        <x:v>Feedback-Directed Random Test Generation/Result/Jsoup_41/result.json</x:v>
      </x:c>
      <x:c r="O550" s="38" t="n">
        <x:f>IF(AND(G550="RECORDED",ISNUMBER(H550)),H550,"")</x:f>
        <x:v>1.2</x:v>
      </x:c>
      <x:c r="P550" s="34" t="str">
        <x:v>NOT_REVEALING</x:v>
      </x:c>
      <x:c r="Q550" s="34" t="str">
        <x:v>Feedback-Directed Random Test Generation/Result/Jsoup_41/result.json</x:v>
      </x:c>
    </x:row>
    <x:row r="551">
      <x:c r="A551" s="34" t="str">
        <x:v>randoop</x:v>
      </x:c>
      <x:c r="B551" s="34" t="str">
        <x:v>Jsoup</x:v>
      </x:c>
      <x:c r="C551" s="34" t="str">
        <x:v>Round1</x:v>
      </x:c>
      <x:c r="D551" s="34" t="str">
        <x:v>Jsoup_42</x:v>
      </x:c>
      <x:c r="E551" s="34" t="str">
        <x:v>Coverage</x:v>
      </x:c>
      <x:c r="F551" s="34" t="n">
        <x:v>64</x:v>
      </x:c>
      <x:c r="G551" s="34" t="str">
        <x:v>RECORDED</x:v>
      </x:c>
      <x:c r="H551" s="38" t="n">
        <x:f>IF(ISNUMBER('Data'!G551),'Data'!G551*100,"")</x:f>
        <x:v>1.56</x:v>
      </x:c>
      <x:c r="I551" s="34" t="str">
        <x:v>PASS</x:v>
      </x:c>
      <x:c r="J551" s="34" t="str">
        <x:v>PASS</x:v>
      </x:c>
      <x:c r="K551" s="34" t="str">
        <x:v>PASS</x:v>
      </x:c>
      <x:c r="L551" s="34" t="str">
        <x:v>PASS</x:v>
      </x:c>
      <x:c r="M551" s="34" t="str">
        <x:v>numeric coverage for applicable metric</x:v>
      </x:c>
      <x:c r="N551" s="34" t="str">
        <x:v>Feedback-Directed Random Test Generation/Result/Jsoup_42/result.json</x:v>
      </x:c>
      <x:c r="O551" s="38" t="n">
        <x:f>IF(AND(G551="RECORDED",ISNUMBER(H551)),H551,"")</x:f>
        <x:v>1.56</x:v>
      </x:c>
      <x:c r="P551" s="34" t="str">
        <x:v>NOT_REVEALING</x:v>
      </x:c>
      <x:c r="Q551" s="34" t="str">
        <x:v>Feedback-Directed Random Test Generation/Result/Jsoup_42/result.json</x:v>
      </x:c>
    </x:row>
    <x:row r="552">
      <x:c r="A552" s="34" t="str">
        <x:v>randoop</x:v>
      </x:c>
      <x:c r="B552" s="34" t="str">
        <x:v>Jsoup</x:v>
      </x:c>
      <x:c r="C552" s="34" t="str">
        <x:v>Round1</x:v>
      </x:c>
      <x:c r="D552" s="34" t="str">
        <x:v>Jsoup_43</x:v>
      </x:c>
      <x:c r="E552" s="34" t="str">
        <x:v>Coverage</x:v>
      </x:c>
      <x:c r="F552" s="34" t="n">
        <x:v>502</x:v>
      </x:c>
      <x:c r="G552" s="34" t="str">
        <x:v>RECORDED</x:v>
      </x:c>
      <x:c r="H552" s="38" t="n">
        <x:f>IF(ISNUMBER('Data'!G552),'Data'!G552*100,"")</x:f>
        <x:v>1.39</x:v>
      </x:c>
      <x:c r="I552" s="34" t="str">
        <x:v>PASS</x:v>
      </x:c>
      <x:c r="J552" s="34" t="str">
        <x:v>PASS</x:v>
      </x:c>
      <x:c r="K552" s="34" t="str">
        <x:v>PASS</x:v>
      </x:c>
      <x:c r="L552" s="34" t="str">
        <x:v>PASS</x:v>
      </x:c>
      <x:c r="M552" s="34" t="str">
        <x:v>numeric coverage for applicable metric</x:v>
      </x:c>
      <x:c r="N552" s="34" t="str">
        <x:v>Feedback-Directed Random Test Generation/Result/Jsoup_43/result.json</x:v>
      </x:c>
      <x:c r="O552" s="38" t="n">
        <x:f>IF(AND(G552="RECORDED",ISNUMBER(H552)),H552,"")</x:f>
        <x:v>1.39</x:v>
      </x:c>
      <x:c r="P552" s="34" t="str">
        <x:v>NOT_REVEALING</x:v>
      </x:c>
      <x:c r="Q552" s="34" t="str">
        <x:v>Feedback-Directed Random Test Generation/Result/Jsoup_43/result.json</x:v>
      </x:c>
    </x:row>
    <x:row r="553">
      <x:c r="A553" s="34" t="str">
        <x:v>randoop</x:v>
      </x:c>
      <x:c r="B553" s="34" t="str">
        <x:v>Jsoup</x:v>
      </x:c>
      <x:c r="C553" s="34" t="str">
        <x:v>Round1</x:v>
      </x:c>
      <x:c r="D553" s="34" t="str">
        <x:v>Jsoup_44</x:v>
      </x:c>
      <x:c r="E553" s="34" t="str">
        <x:v>Coverage</x:v>
      </x:c>
      <x:c r="F553" s="34" t="n">
        <x:v>34</x:v>
      </x:c>
      <x:c r="G553" s="34" t="str">
        <x:v>RECORDED</x:v>
      </x:c>
      <x:c r="H553" s="38" t="n">
        <x:f>IF(ISNUMBER('Data'!G553),'Data'!G553*100,"")</x:f>
        <x:v>0</x:v>
      </x:c>
      <x:c r="I553" s="34" t="str">
        <x:v>PASS</x:v>
      </x:c>
      <x:c r="J553" s="34" t="str">
        <x:v>PASS</x:v>
      </x:c>
      <x:c r="K553" s="34" t="str">
        <x:v>PASS</x:v>
      </x:c>
      <x:c r="L553" s="34" t="str">
        <x:v>PASS</x:v>
      </x:c>
      <x:c r="M553" s="34" t="str">
        <x:v>numeric coverage for applicable metric</x:v>
      </x:c>
      <x:c r="N553" s="34" t="str">
        <x:v>Feedback-Directed Random Test Generation/Result/Jsoup_44/result.json</x:v>
      </x:c>
      <x:c r="O553" s="38" t="n">
        <x:f>IF(AND(G553="RECORDED",ISNUMBER(H553)),H553,"")</x:f>
        <x:v>0</x:v>
      </x:c>
      <x:c r="P553" s="34" t="str">
        <x:v>NOT_REVEALING</x:v>
      </x:c>
      <x:c r="Q553" s="34" t="str">
        <x:v>Feedback-Directed Random Test Generation/Result/Jsoup_44/result.json</x:v>
      </x:c>
    </x:row>
    <x:row r="554">
      <x:c r="A554" s="34" t="str">
        <x:v>randoop</x:v>
      </x:c>
      <x:c r="B554" s="34" t="str">
        <x:v>Jsoup</x:v>
      </x:c>
      <x:c r="C554" s="34" t="str">
        <x:v>Round1</x:v>
      </x:c>
      <x:c r="D554" s="34" t="str">
        <x:v>Jsoup_45</x:v>
      </x:c>
      <x:c r="E554" s="34" t="str">
        <x:v>Coverage</x:v>
      </x:c>
      <x:c r="F554" s="34" t="n">
        <x:v>578</x:v>
      </x:c>
      <x:c r="G554" s="34" t="str">
        <x:v>RECORDED</x:v>
      </x:c>
      <x:c r="H554" s="38" t="n">
        <x:f>IF(ISNUMBER('Data'!G554),'Data'!G554*100,"")</x:f>
        <x:v>74.57</x:v>
      </x:c>
      <x:c r="I554" s="34" t="str">
        <x:v>PASS</x:v>
      </x:c>
      <x:c r="J554" s="34" t="str">
        <x:v>PASS</x:v>
      </x:c>
      <x:c r="K554" s="34" t="str">
        <x:v>PASS</x:v>
      </x:c>
      <x:c r="L554" s="34" t="str">
        <x:v>FAIL</x:v>
      </x:c>
      <x:c r="M554" s="34" t="str">
        <x:v>numeric coverage for applicable metric</x:v>
      </x:c>
      <x:c r="N554" s="34" t="str">
        <x:v>Feedback-Directed Random Test Generation/Result/Jsoup_45/result.json</x:v>
      </x:c>
      <x:c r="O554" s="38" t="n">
        <x:f>IF(AND(G554="RECORDED",ISNUMBER(H554)),H554,"")</x:f>
        <x:v>74.57</x:v>
      </x:c>
      <x:c r="P554" s="34" t="str">
        <x:v>INCONCLUSIVE</x:v>
      </x:c>
      <x:c r="Q554" s="34" t="str">
        <x:v>Feedback-Directed Random Test Generation/Result/Jsoup_45/result.json</x:v>
      </x:c>
    </x:row>
    <x:row r="555">
      <x:c r="A555" s="34" t="str">
        <x:v>randoop</x:v>
      </x:c>
      <x:c r="B555" s="34" t="str">
        <x:v>Jsoup</x:v>
      </x:c>
      <x:c r="C555" s="34" t="str">
        <x:v>Round1</x:v>
      </x:c>
      <x:c r="D555" s="34" t="str">
        <x:v>Jsoup_46</x:v>
      </x:c>
      <x:c r="E555" s="34" t="str">
        <x:v>Coverage</x:v>
      </x:c>
      <x:c r="F555" s="34" t="n">
        <x:v>169</x:v>
      </x:c>
      <x:c r="G555" s="34" t="str">
        <x:v>RECORDED</x:v>
      </x:c>
      <x:c r="H555" s="38" t="n">
        <x:f>IF(ISNUMBER('Data'!G555),'Data'!G555*100,"")</x:f>
        <x:v>38.46</x:v>
      </x:c>
      <x:c r="I555" s="34" t="str">
        <x:v>PASS</x:v>
      </x:c>
      <x:c r="J555" s="34" t="str">
        <x:v>PASS</x:v>
      </x:c>
      <x:c r="K555" s="34" t="str">
        <x:v>PASS</x:v>
      </x:c>
      <x:c r="L555" s="34" t="str">
        <x:v>PASS</x:v>
      </x:c>
      <x:c r="M555" s="34" t="str">
        <x:v>numeric coverage for applicable metric</x:v>
      </x:c>
      <x:c r="N555" s="34" t="str">
        <x:v>Feedback-Directed Random Test Generation/Result/Jsoup_46/result.json</x:v>
      </x:c>
      <x:c r="O555" s="38" t="n">
        <x:f>IF(AND(G555="RECORDED",ISNUMBER(H555)),H555,"")</x:f>
        <x:v>38.46</x:v>
      </x:c>
      <x:c r="P555" s="34" t="str">
        <x:v>NOT_REVEALING</x:v>
      </x:c>
      <x:c r="Q555" s="34" t="str">
        <x:v>Feedback-Directed Random Test Generation/Result/Jsoup_46/result.json</x:v>
      </x:c>
    </x:row>
    <x:row r="556">
      <x:c r="A556" s="34" t="str">
        <x:v>randoop</x:v>
      </x:c>
      <x:c r="B556" s="34" t="str">
        <x:v>Jsoup</x:v>
      </x:c>
      <x:c r="C556" s="34" t="str">
        <x:v>Round1</x:v>
      </x:c>
      <x:c r="D556" s="34" t="str">
        <x:v>Jsoup_47</x:v>
      </x:c>
      <x:c r="E556" s="34" t="str">
        <x:v>Coverage</x:v>
      </x:c>
      <x:c r="F556" s="34" t="n">
        <x:v>169</x:v>
      </x:c>
      <x:c r="G556" s="34" t="str">
        <x:v>RECORDED</x:v>
      </x:c>
      <x:c r="H556" s="38" t="n">
        <x:f>IF(ISNUMBER('Data'!G556),'Data'!G556*100,"")</x:f>
        <x:v>38.46</x:v>
      </x:c>
      <x:c r="I556" s="34" t="str">
        <x:v>PASS</x:v>
      </x:c>
      <x:c r="J556" s="34" t="str">
        <x:v>PASS</x:v>
      </x:c>
      <x:c r="K556" s="34" t="str">
        <x:v>PASS</x:v>
      </x:c>
      <x:c r="L556" s="34" t="str">
        <x:v>PASS</x:v>
      </x:c>
      <x:c r="M556" s="34" t="str">
        <x:v>numeric coverage for applicable metric</x:v>
      </x:c>
      <x:c r="N556" s="34" t="str">
        <x:v>Feedback-Directed Random Test Generation/Result/Jsoup_47/result.json</x:v>
      </x:c>
      <x:c r="O556" s="38" t="n">
        <x:f>IF(AND(G556="RECORDED",ISNUMBER(H556)),H556,"")</x:f>
        <x:v>38.46</x:v>
      </x:c>
      <x:c r="P556" s="34" t="str">
        <x:v>NOT_REVEALING</x:v>
      </x:c>
      <x:c r="Q556" s="34" t="str">
        <x:v>Feedback-Directed Random Test Generation/Result/Jsoup_47/result.json</x:v>
      </x:c>
    </x:row>
    <x:row r="557">
      <x:c r="A557" s="34" t="str">
        <x:v>randoop</x:v>
      </x:c>
      <x:c r="B557" s="34" t="str">
        <x:v>Jsoup</x:v>
      </x:c>
      <x:c r="C557" s="34" t="str">
        <x:v>Round1</x:v>
      </x:c>
      <x:c r="D557" s="34" t="str">
        <x:v>Jsoup_48</x:v>
      </x:c>
      <x:c r="E557" s="34" t="str">
        <x:v>Coverage</x:v>
      </x:c>
      <x:c r="F557" s="34" t="n">
        <x:v>639</x:v>
      </x:c>
      <x:c r="G557" s="34" t="str">
        <x:v>RECORDED</x:v>
      </x:c>
      <x:c r="H557" s="38" t="n">
        <x:f>IF(ISNUMBER('Data'!G557),'Data'!G557*100,"")</x:f>
        <x:v>21.44</x:v>
      </x:c>
      <x:c r="I557" s="34" t="str">
        <x:v>PASS</x:v>
      </x:c>
      <x:c r="J557" s="34" t="str">
        <x:v>PASS</x:v>
      </x:c>
      <x:c r="K557" s="34" t="str">
        <x:v>PASS</x:v>
      </x:c>
      <x:c r="L557" s="34" t="str">
        <x:v>PASS</x:v>
      </x:c>
      <x:c r="M557" s="34" t="str">
        <x:v>numeric coverage for applicable metric</x:v>
      </x:c>
      <x:c r="N557" s="34" t="str">
        <x:v>Feedback-Directed Random Test Generation/Result/Jsoup_48/result.json</x:v>
      </x:c>
      <x:c r="O557" s="38" t="n">
        <x:f>IF(AND(G557="RECORDED",ISNUMBER(H557)),H557,"")</x:f>
        <x:v>21.44</x:v>
      </x:c>
      <x:c r="P557" s="34" t="str">
        <x:v>NOT_REVEALING</x:v>
      </x:c>
      <x:c r="Q557" s="34" t="str">
        <x:v>Feedback-Directed Random Test Generation/Result/Jsoup_48/result.json</x:v>
      </x:c>
    </x:row>
    <x:row r="558">
      <x:c r="A558" s="34" t="str">
        <x:v>randoop</x:v>
      </x:c>
      <x:c r="B558" s="34" t="str">
        <x:v>Jsoup</x:v>
      </x:c>
      <x:c r="C558" s="34" t="str">
        <x:v>Round1</x:v>
      </x:c>
      <x:c r="D558" s="34" t="str">
        <x:v>Jsoup_49</x:v>
      </x:c>
      <x:c r="E558" s="34" t="str">
        <x:v>Coverage</x:v>
      </x:c>
      <x:c r="F558" s="34" t="n">
        <x:v>333</x:v>
      </x:c>
      <x:c r="G558" s="34" t="str">
        <x:v>RECORDED</x:v>
      </x:c>
      <x:c r="H558" s="38" t="n">
        <x:f>IF(ISNUMBER('Data'!G558),'Data'!G558*100,"")</x:f>
        <x:v>0</x:v>
      </x:c>
      <x:c r="I558" s="34" t="str">
        <x:v>PASS</x:v>
      </x:c>
      <x:c r="J558" s="34" t="str">
        <x:v>PASS</x:v>
      </x:c>
      <x:c r="K558" s="34" t="str">
        <x:v>PASS</x:v>
      </x:c>
      <x:c r="L558" s="34" t="str">
        <x:v>PASS</x:v>
      </x:c>
      <x:c r="M558" s="34" t="str">
        <x:v>numeric coverage for applicable metric</x:v>
      </x:c>
      <x:c r="N558" s="34" t="str">
        <x:v>Feedback-Directed Random Test Generation/Result/Jsoup_49/result.json</x:v>
      </x:c>
      <x:c r="O558" s="38" t="n">
        <x:f>IF(AND(G558="RECORDED",ISNUMBER(H558)),H558,"")</x:f>
        <x:v>0</x:v>
      </x:c>
      <x:c r="P558" s="34" t="str">
        <x:v>NOT_REVEALING</x:v>
      </x:c>
      <x:c r="Q558" s="34" t="str">
        <x:v>Feedback-Directed Random Test Generation/Result/Jsoup_49/result.json</x:v>
      </x:c>
    </x:row>
    <x:row r="559">
      <x:c r="A559" s="34" t="str">
        <x:v>randoop</x:v>
      </x:c>
      <x:c r="B559" s="34" t="str">
        <x:v>Jsoup</x:v>
      </x:c>
      <x:c r="C559" s="34" t="str">
        <x:v>Round1</x:v>
      </x:c>
      <x:c r="D559" s="34" t="str">
        <x:v>Jsoup_50</x:v>
      </x:c>
      <x:c r="E559" s="34" t="str">
        <x:v>Coverage</x:v>
      </x:c>
      <x:c r="F559" s="34" t="n">
        <x:v>140</x:v>
      </x:c>
      <x:c r="G559" s="34" t="str">
        <x:v>RECORDED</x:v>
      </x:c>
      <x:c r="H559" s="38" t="n">
        <x:f>IF(ISNUMBER('Data'!G559),'Data'!G559*100,"")</x:f>
        <x:v>33.57</x:v>
      </x:c>
      <x:c r="I559" s="34" t="str">
        <x:v>PASS</x:v>
      </x:c>
      <x:c r="J559" s="34" t="str">
        <x:v>PASS</x:v>
      </x:c>
      <x:c r="K559" s="34" t="str">
        <x:v>PASS</x:v>
      </x:c>
      <x:c r="L559" s="34" t="str">
        <x:v>PASS</x:v>
      </x:c>
      <x:c r="M559" s="34" t="str">
        <x:v>numeric coverage for applicable metric</x:v>
      </x:c>
      <x:c r="N559" s="34" t="str">
        <x:v>Feedback-Directed Random Test Generation/Result/Jsoup_50/result.json</x:v>
      </x:c>
      <x:c r="O559" s="38" t="n">
        <x:f>IF(AND(G559="RECORDED",ISNUMBER(H559)),H559,"")</x:f>
        <x:v>33.57</x:v>
      </x:c>
      <x:c r="P559" s="34" t="str">
        <x:v>INCONCLUSIVE</x:v>
      </x:c>
      <x:c r="Q559" s="34" t="str">
        <x:v>Feedback-Directed Random Test Generation/Result/Jsoup_50/result.json</x:v>
      </x:c>
    </x:row>
    <x:row r="560">
      <x:c r="A560" s="34" t="str">
        <x:v>randoop</x:v>
      </x:c>
      <x:c r="B560" s="34" t="str">
        <x:v>Jsoup</x:v>
      </x:c>
      <x:c r="C560" s="34" t="str">
        <x:v>Round1</x:v>
      </x:c>
      <x:c r="D560" s="34" t="str">
        <x:v>Jsoup_51</x:v>
      </x:c>
      <x:c r="E560" s="34" t="str">
        <x:v>Coverage</x:v>
      </x:c>
      <x:c r="F560" s="34" t="n">
        <x:v>381</x:v>
      </x:c>
      <x:c r="G560" s="34" t="str">
        <x:v>RECORDED</x:v>
      </x:c>
      <x:c r="H560" s="38" t="n">
        <x:f>IF(ISNUMBER('Data'!G560),'Data'!G560*100,"")</x:f>
        <x:v>87.93</x:v>
      </x:c>
      <x:c r="I560" s="34" t="str">
        <x:v>PASS</x:v>
      </x:c>
      <x:c r="J560" s="34" t="str">
        <x:v>PASS</x:v>
      </x:c>
      <x:c r="K560" s="34" t="str">
        <x:v>PASS</x:v>
      </x:c>
      <x:c r="L560" s="34" t="str">
        <x:v>PASS</x:v>
      </x:c>
      <x:c r="M560" s="34" t="str">
        <x:v>numeric coverage for applicable metric</x:v>
      </x:c>
      <x:c r="N560" s="34" t="str">
        <x:v>Feedback-Directed Random Test Generation/Result/Jsoup_51/result.json</x:v>
      </x:c>
      <x:c r="O560" s="38" t="n">
        <x:f>IF(AND(G560="RECORDED",ISNUMBER(H560)),H560,"")</x:f>
        <x:v>87.93</x:v>
      </x:c>
      <x:c r="P560" s="34" t="str">
        <x:v>NOT_REVEALING</x:v>
      </x:c>
      <x:c r="Q560" s="34" t="str">
        <x:v>Feedback-Directed Random Test Generation/Result/Jsoup_51/result.json</x:v>
      </x:c>
    </x:row>
    <x:row r="561">
      <x:c r="A561" s="34" t="str">
        <x:v>randoop</x:v>
      </x:c>
      <x:c r="B561" s="34" t="str">
        <x:v>Jsoup</x:v>
      </x:c>
      <x:c r="C561" s="34" t="str">
        <x:v>Round1</x:v>
      </x:c>
      <x:c r="D561" s="34" t="str">
        <x:v>Jsoup_52</x:v>
      </x:c>
      <x:c r="E561" s="34" t="str">
        <x:v>Coverage</x:v>
      </x:c>
      <x:c r="F561" s="34" t="n">
        <x:v>318</x:v>
      </x:c>
      <x:c r="G561" s="34" t="str">
        <x:v>RECORDED</x:v>
      </x:c>
      <x:c r="H561" s="38" t="n">
        <x:f>IF(ISNUMBER('Data'!G561),'Data'!G561*100,"")</x:f>
        <x:v>14.78</x:v>
      </x:c>
      <x:c r="I561" s="34" t="str">
        <x:v>PASS</x:v>
      </x:c>
      <x:c r="J561" s="34" t="str">
        <x:v>PASS</x:v>
      </x:c>
      <x:c r="K561" s="34" t="str">
        <x:v>PASS</x:v>
      </x:c>
      <x:c r="L561" s="34" t="str">
        <x:v>FAIL</x:v>
      </x:c>
      <x:c r="M561" s="34" t="str">
        <x:v>numeric coverage for applicable metric</x:v>
      </x:c>
      <x:c r="N561" s="34" t="str">
        <x:v>Feedback-Directed Random Test Generation/Result/Jsoup_52/result.json</x:v>
      </x:c>
      <x:c r="O561" s="38" t="n">
        <x:f>IF(AND(G561="RECORDED",ISNUMBER(H561)),H561,"")</x:f>
        <x:v>14.78</x:v>
      </x:c>
      <x:c r="P561" s="34" t="str">
        <x:v>INCONCLUSIVE</x:v>
      </x:c>
      <x:c r="Q561" s="34" t="str">
        <x:v>Feedback-Directed Random Test Generation/Result/Jsoup_52/result.json</x:v>
      </x:c>
    </x:row>
    <x:row r="562">
      <x:c r="A562" s="34" t="str">
        <x:v>randoop</x:v>
      </x:c>
      <x:c r="B562" s="34" t="str">
        <x:v>Jsoup</x:v>
      </x:c>
      <x:c r="C562" s="34" t="str">
        <x:v>Round1</x:v>
      </x:c>
      <x:c r="D562" s="34" t="str">
        <x:v>Jsoup_53</x:v>
      </x:c>
      <x:c r="E562" s="34" t="str">
        <x:v>Coverage</x:v>
      </x:c>
      <x:c r="F562" s="34" t="n">
        <x:v>238</x:v>
      </x:c>
      <x:c r="G562" s="34" t="str">
        <x:v>RECORDED</x:v>
      </x:c>
      <x:c r="H562" s="38" t="n">
        <x:f>IF(ISNUMBER('Data'!G562),'Data'!G562*100,"")</x:f>
        <x:v>91.6</x:v>
      </x:c>
      <x:c r="I562" s="34" t="str">
        <x:v>PASS</x:v>
      </x:c>
      <x:c r="J562" s="34" t="str">
        <x:v>PASS</x:v>
      </x:c>
      <x:c r="K562" s="34" t="str">
        <x:v>PASS</x:v>
      </x:c>
      <x:c r="L562" s="34" t="str">
        <x:v>PASS</x:v>
      </x:c>
      <x:c r="M562" s="34" t="str">
        <x:v>numeric coverage for applicable metric</x:v>
      </x:c>
      <x:c r="N562" s="34" t="str">
        <x:v>Feedback-Directed Random Test Generation/Result/Jsoup_53/result.json</x:v>
      </x:c>
      <x:c r="O562" s="38" t="n">
        <x:f>IF(AND(G562="RECORDED",ISNUMBER(H562)),H562,"")</x:f>
        <x:v>91.6</x:v>
      </x:c>
      <x:c r="P562" s="34" t="str">
        <x:v>NOT_REVEALING</x:v>
      </x:c>
      <x:c r="Q562" s="34" t="str">
        <x:v>Feedback-Directed Random Test Generation/Result/Jsoup_53/result.json</x:v>
      </x:c>
    </x:row>
    <x:row r="563">
      <x:c r="A563" s="34" t="str">
        <x:v>randoop</x:v>
      </x:c>
      <x:c r="B563" s="34" t="str">
        <x:v>Jsoup</x:v>
      </x:c>
      <x:c r="C563" s="34" t="str">
        <x:v>Round1</x:v>
      </x:c>
      <x:c r="D563" s="34" t="str">
        <x:v>Jsoup_54</x:v>
      </x:c>
      <x:c r="E563" s="34" t="str">
        <x:v>Coverage</x:v>
      </x:c>
      <x:c r="F563" s="34" t="n">
        <x:v>97</x:v>
      </x:c>
      <x:c r="G563" s="34" t="str">
        <x:v>RECORDED</x:v>
      </x:c>
      <x:c r="H563" s="38" t="n">
        <x:f>IF(ISNUMBER('Data'!G563),'Data'!G563*100,"")</x:f>
        <x:v>24.74</x:v>
      </x:c>
      <x:c r="I563" s="34" t="str">
        <x:v>PASS</x:v>
      </x:c>
      <x:c r="J563" s="34" t="str">
        <x:v>PASS</x:v>
      </x:c>
      <x:c r="K563" s="34" t="str">
        <x:v>PASS</x:v>
      </x:c>
      <x:c r="L563" s="34" t="str">
        <x:v>PASS</x:v>
      </x:c>
      <x:c r="M563" s="34" t="str">
        <x:v>numeric coverage for applicable metric</x:v>
      </x:c>
      <x:c r="N563" s="34" t="str">
        <x:v>Feedback-Directed Random Test Generation/Result/Jsoup_54/result.json</x:v>
      </x:c>
      <x:c r="O563" s="38" t="n">
        <x:f>IF(AND(G563="RECORDED",ISNUMBER(H563)),H563,"")</x:f>
        <x:v>24.74</x:v>
      </x:c>
      <x:c r="P563" s="34" t="str">
        <x:v>NOT_REVEALING</x:v>
      </x:c>
      <x:c r="Q563" s="34" t="str">
        <x:v>Feedback-Directed Random Test Generation/Result/Jsoup_54/result.json</x:v>
      </x:c>
    </x:row>
    <x:row r="564">
      <x:c r="A564" s="34" t="str">
        <x:v>randoop</x:v>
      </x:c>
      <x:c r="B564" s="34" t="str">
        <x:v>Jsoup</x:v>
      </x:c>
      <x:c r="C564" s="34" t="str">
        <x:v>Round1</x:v>
      </x:c>
      <x:c r="D564" s="34" t="str">
        <x:v>Jsoup_55</x:v>
      </x:c>
      <x:c r="E564" s="34" t="str">
        <x:v>Coverage</x:v>
      </x:c>
      <x:c r="F564" s="34" t="n">
        <x:v>1473</x:v>
      </x:c>
      <x:c r="G564" s="34" t="str">
        <x:v>RECORDED</x:v>
      </x:c>
      <x:c r="H564" s="38" t="n">
        <x:f>IF(ISNUMBER('Data'!G564),'Data'!G564*100,"")</x:f>
        <x:v>14.730000000000002</x:v>
      </x:c>
      <x:c r="I564" s="34" t="str">
        <x:v>PASS</x:v>
      </x:c>
      <x:c r="J564" s="34" t="str">
        <x:v>PASS</x:v>
      </x:c>
      <x:c r="K564" s="34" t="str">
        <x:v>PASS</x:v>
      </x:c>
      <x:c r="L564" s="34" t="str">
        <x:v>PASS</x:v>
      </x:c>
      <x:c r="M564" s="34" t="str">
        <x:v>numeric coverage for applicable metric</x:v>
      </x:c>
      <x:c r="N564" s="34" t="str">
        <x:v>Feedback-Directed Random Test Generation/Result/Jsoup_55/result.json</x:v>
      </x:c>
      <x:c r="O564" s="38" t="n">
        <x:f>IF(AND(G564="RECORDED",ISNUMBER(H564)),H564,"")</x:f>
        <x:v>14.730000000000002</x:v>
      </x:c>
      <x:c r="P564" s="34" t="str">
        <x:v>NOT_REVEALING</x:v>
      </x:c>
      <x:c r="Q564" s="34" t="str">
        <x:v>Feedback-Directed Random Test Generation/Result/Jsoup_55/result.json</x:v>
      </x:c>
    </x:row>
    <x:row r="565">
      <x:c r="A565" s="34" t="str">
        <x:v>randoop</x:v>
      </x:c>
      <x:c r="B565" s="34" t="str">
        <x:v>Jsoup</x:v>
      </x:c>
      <x:c r="C565" s="34" t="str">
        <x:v>Round1</x:v>
      </x:c>
      <x:c r="D565" s="34" t="str">
        <x:v>Jsoup_56</x:v>
      </x:c>
      <x:c r="E565" s="34" t="str">
        <x:v>Coverage</x:v>
      </x:c>
      <x:c r="F565" s="34" t="n">
        <x:v>3664</x:v>
      </x:c>
      <x:c r="G565" s="34" t="str">
        <x:v>RECORDED</x:v>
      </x:c>
      <x:c r="H565" s="38" t="n">
        <x:f>IF(ISNUMBER('Data'!G565),'Data'!G565*100,"")</x:f>
        <x:v>30.81</x:v>
      </x:c>
      <x:c r="I565" s="34" t="str">
        <x:v>PASS</x:v>
      </x:c>
      <x:c r="J565" s="34" t="str">
        <x:v>PASS</x:v>
      </x:c>
      <x:c r="K565" s="34" t="str">
        <x:v>PASS</x:v>
      </x:c>
      <x:c r="L565" s="34" t="str">
        <x:v>FAIL</x:v>
      </x:c>
      <x:c r="M565" s="34" t="str">
        <x:v>numeric coverage for applicable metric</x:v>
      </x:c>
      <x:c r="N565" s="34" t="str">
        <x:v>Feedback-Directed Random Test Generation/Result/Jsoup_56/result.json</x:v>
      </x:c>
      <x:c r="O565" s="38" t="n">
        <x:f>IF(AND(G565="RECORDED",ISNUMBER(H565)),H565,"")</x:f>
        <x:v>30.81</x:v>
      </x:c>
      <x:c r="P565" s="34" t="str">
        <x:v>INCONCLUSIVE</x:v>
      </x:c>
      <x:c r="Q565" s="34" t="str">
        <x:v>Feedback-Directed Random Test Generation/Result/Jsoup_56/result.json</x:v>
      </x:c>
    </x:row>
    <x:row r="566">
      <x:c r="A566" s="34" t="str">
        <x:v>randoop</x:v>
      </x:c>
      <x:c r="B566" s="34" t="str">
        <x:v>Jsoup</x:v>
      </x:c>
      <x:c r="C566" s="34" t="str">
        <x:v>Round1</x:v>
      </x:c>
      <x:c r="D566" s="34" t="str">
        <x:v>Jsoup_57</x:v>
      </x:c>
      <x:c r="E566" s="34" t="str">
        <x:v>Coverage</x:v>
      </x:c>
      <x:c r="F566" s="34" t="n">
        <x:v>203</x:v>
      </x:c>
      <x:c r="G566" s="34" t="str">
        <x:v>RECORDED</x:v>
      </x:c>
      <x:c r="H566" s="38" t="n">
        <x:f>IF(ISNUMBER('Data'!G566),'Data'!G566*100,"")</x:f>
        <x:v>79.8</x:v>
      </x:c>
      <x:c r="I566" s="34" t="str">
        <x:v>PASS</x:v>
      </x:c>
      <x:c r="J566" s="34" t="str">
        <x:v>PASS</x:v>
      </x:c>
      <x:c r="K566" s="34" t="str">
        <x:v>PASS</x:v>
      </x:c>
      <x:c r="L566" s="34" t="str">
        <x:v>PASS</x:v>
      </x:c>
      <x:c r="M566" s="34" t="str">
        <x:v>numeric coverage for applicable metric</x:v>
      </x:c>
      <x:c r="N566" s="34" t="str">
        <x:v>Feedback-Directed Random Test Generation/Result/Jsoup_57/result.json</x:v>
      </x:c>
      <x:c r="O566" s="38" t="n">
        <x:f>IF(AND(G566="RECORDED",ISNUMBER(H566)),H566,"")</x:f>
        <x:v>79.8</x:v>
      </x:c>
      <x:c r="P566" s="34" t="str">
        <x:v>NOT_REVEALING</x:v>
      </x:c>
      <x:c r="Q566" s="34" t="str">
        <x:v>Feedback-Directed Random Test Generation/Result/Jsoup_57/result.json</x:v>
      </x:c>
    </x:row>
    <x:row r="567">
      <x:c r="A567" s="34" t="str">
        <x:v>randoop</x:v>
      </x:c>
      <x:c r="B567" s="34" t="str">
        <x:v>Jsoup</x:v>
      </x:c>
      <x:c r="C567" s="34" t="str">
        <x:v>Round1</x:v>
      </x:c>
      <x:c r="D567" s="34" t="str">
        <x:v>Jsoup_58</x:v>
      </x:c>
      <x:c r="E567" s="34" t="str">
        <x:v>Coverage</x:v>
      </x:c>
      <x:c r="F567" s="34" t="n">
        <x:v>159</x:v>
      </x:c>
      <x:c r="G567" s="34" t="str">
        <x:v>RECORDED</x:v>
      </x:c>
      <x:c r="H567" s="38" t="n">
        <x:f>IF(ISNUMBER('Data'!G567),'Data'!G567*100,"")</x:f>
        <x:v>37.11</x:v>
      </x:c>
      <x:c r="I567" s="34" t="str">
        <x:v>PASS</x:v>
      </x:c>
      <x:c r="J567" s="34" t="str">
        <x:v>PASS</x:v>
      </x:c>
      <x:c r="K567" s="34" t="str">
        <x:v>PASS</x:v>
      </x:c>
      <x:c r="L567" s="34" t="str">
        <x:v>PASS</x:v>
      </x:c>
      <x:c r="M567" s="34" t="str">
        <x:v>numeric coverage for applicable metric</x:v>
      </x:c>
      <x:c r="N567" s="34" t="str">
        <x:v>Feedback-Directed Random Test Generation/Result/Jsoup_58/result.json</x:v>
      </x:c>
      <x:c r="O567" s="38" t="n">
        <x:f>IF(AND(G567="RECORDED",ISNUMBER(H567)),H567,"")</x:f>
        <x:v>37.11</x:v>
      </x:c>
      <x:c r="P567" s="34" t="str">
        <x:v>NOT_REVEALING</x:v>
      </x:c>
      <x:c r="Q567" s="34" t="str">
        <x:v>Feedback-Directed Random Test Generation/Result/Jsoup_58/result.json</x:v>
      </x:c>
    </x:row>
    <x:row r="568">
      <x:c r="A568" s="34" t="str">
        <x:v>randoop</x:v>
      </x:c>
      <x:c r="B568" s="34" t="str">
        <x:v>Jsoup</x:v>
      </x:c>
      <x:c r="C568" s="34" t="str">
        <x:v>Round1</x:v>
      </x:c>
      <x:c r="D568" s="34" t="str">
        <x:v>Jsoup_59</x:v>
      </x:c>
      <x:c r="E568" s="34" t="str">
        <x:v>Coverage</x:v>
      </x:c>
      <x:c r="F568" s="34" t="n">
        <x:v>204</x:v>
      </x:c>
      <x:c r="G568" s="34" t="str">
        <x:v>RECORDED</x:v>
      </x:c>
      <x:c r="H568" s="38" t="n">
        <x:f>IF(ISNUMBER('Data'!G568),'Data'!G568*100,"")</x:f>
        <x:v>99.51</x:v>
      </x:c>
      <x:c r="I568" s="34" t="str">
        <x:v>PASS</x:v>
      </x:c>
      <x:c r="J568" s="34" t="str">
        <x:v>PASS</x:v>
      </x:c>
      <x:c r="K568" s="34" t="str">
        <x:v>PASS</x:v>
      </x:c>
      <x:c r="L568" s="34" t="str">
        <x:v>PASS</x:v>
      </x:c>
      <x:c r="M568" s="34" t="str">
        <x:v>numeric coverage for applicable metric</x:v>
      </x:c>
      <x:c r="N568" s="34" t="str">
        <x:v>Feedback-Directed Random Test Generation/Result/Jsoup_59/result.json</x:v>
      </x:c>
      <x:c r="O568" s="38" t="n">
        <x:f>IF(AND(G568="RECORDED",ISNUMBER(H568)),H568,"")</x:f>
        <x:v>99.51</x:v>
      </x:c>
      <x:c r="P568" s="34" t="str">
        <x:v>NOT_REVEALING</x:v>
      </x:c>
      <x:c r="Q568" s="34" t="str">
        <x:v>Feedback-Directed Random Test Generation/Result/Jsoup_59/result.json</x:v>
      </x:c>
    </x:row>
    <x:row r="569">
      <x:c r="A569" s="34" t="str">
        <x:v>randoop</x:v>
      </x:c>
      <x:c r="B569" s="34" t="str">
        <x:v>Jsoup</x:v>
      </x:c>
      <x:c r="C569" s="34" t="str">
        <x:v>Round1</x:v>
      </x:c>
      <x:c r="D569" s="34" t="str">
        <x:v>Jsoup_60</x:v>
      </x:c>
      <x:c r="E569" s="34" t="str">
        <x:v>Coverage</x:v>
      </x:c>
      <x:c r="F569" s="34" t="n">
        <x:v>623</x:v>
      </x:c>
      <x:c r="G569" s="34" t="str">
        <x:v>RECORDED</x:v>
      </x:c>
      <x:c r="H569" s="38" t="n">
        <x:f>IF(ISNUMBER('Data'!G569),'Data'!G569*100,"")</x:f>
        <x:v>51.849999999999994</x:v>
      </x:c>
      <x:c r="I569" s="34" t="str">
        <x:v>PASS</x:v>
      </x:c>
      <x:c r="J569" s="34" t="str">
        <x:v>PASS</x:v>
      </x:c>
      <x:c r="K569" s="34" t="str">
        <x:v>PASS</x:v>
      </x:c>
      <x:c r="L569" s="34" t="str">
        <x:v>PASS</x:v>
      </x:c>
      <x:c r="M569" s="34" t="str">
        <x:v>numeric coverage for applicable metric</x:v>
      </x:c>
      <x:c r="N569" s="34" t="str">
        <x:v>Feedback-Directed Random Test Generation/Result/Jsoup_60/result.json</x:v>
      </x:c>
      <x:c r="O569" s="38" t="n">
        <x:f>IF(AND(G569="RECORDED",ISNUMBER(H569)),H569,"")</x:f>
        <x:v>51.849999999999994</x:v>
      </x:c>
      <x:c r="P569" s="34" t="str">
        <x:v>INCONCLUSIVE</x:v>
      </x:c>
      <x:c r="Q569" s="34" t="str">
        <x:v>Feedback-Directed Random Test Generation/Result/Jsoup_60/result.json</x:v>
      </x:c>
    </x:row>
    <x:row r="570">
      <x:c r="A570" s="34" t="str">
        <x:v>randoop</x:v>
      </x:c>
      <x:c r="B570" s="34" t="str">
        <x:v>Jsoup</x:v>
      </x:c>
      <x:c r="C570" s="34" t="str">
        <x:v>Round1</x:v>
      </x:c>
      <x:c r="D570" s="34" t="str">
        <x:v>Jsoup_61</x:v>
      </x:c>
      <x:c r="E570" s="34" t="str">
        <x:v>Coverage</x:v>
      </x:c>
      <x:c r="F570" s="34" t="n">
        <x:v>536</x:v>
      </x:c>
      <x:c r="G570" s="34" t="str">
        <x:v>RECORDED</x:v>
      </x:c>
      <x:c r="H570" s="38" t="n">
        <x:f>IF(ISNUMBER('Data'!G570),'Data'!G570*100,"")</x:f>
        <x:v>82.28</x:v>
      </x:c>
      <x:c r="I570" s="34" t="str">
        <x:v>PASS</x:v>
      </x:c>
      <x:c r="J570" s="34" t="str">
        <x:v>PASS</x:v>
      </x:c>
      <x:c r="K570" s="34" t="str">
        <x:v>PASS</x:v>
      </x:c>
      <x:c r="L570" s="34" t="str">
        <x:v>FAIL</x:v>
      </x:c>
      <x:c r="M570" s="34" t="str">
        <x:v>numeric coverage for applicable metric</x:v>
      </x:c>
      <x:c r="N570" s="34" t="str">
        <x:v>Feedback-Directed Random Test Generation/Result/Jsoup_61/result.json</x:v>
      </x:c>
      <x:c r="O570" s="38" t="n">
        <x:f>IF(AND(G570="RECORDED",ISNUMBER(H570)),H570,"")</x:f>
        <x:v>82.28</x:v>
      </x:c>
      <x:c r="P570" s="34" t="str">
        <x:v>INCONCLUSIVE</x:v>
      </x:c>
      <x:c r="Q570" s="34" t="str">
        <x:v>Feedback-Directed Random Test Generation/Result/Jsoup_61/result.json</x:v>
      </x:c>
    </x:row>
    <x:row r="571">
      <x:c r="A571" s="34" t="str">
        <x:v>randoop</x:v>
      </x:c>
      <x:c r="B571" s="34" t="str">
        <x:v>Jsoup</x:v>
      </x:c>
      <x:c r="C571" s="34" t="str">
        <x:v>Round1</x:v>
      </x:c>
      <x:c r="D571" s="34" t="str">
        <x:v>Jsoup_62</x:v>
      </x:c>
      <x:c r="E571" s="34" t="str">
        <x:v>Coverage</x:v>
      </x:c>
      <x:c r="F571" s="34" t="n">
        <x:v>1860</x:v>
      </x:c>
      <x:c r="G571" s="34" t="str">
        <x:v>RECORDED</x:v>
      </x:c>
      <x:c r="H571" s="38" t="n">
        <x:f>IF(ISNUMBER('Data'!G571),'Data'!G571*100,"")</x:f>
        <x:v>3.92</x:v>
      </x:c>
      <x:c r="I571" s="34" t="str">
        <x:v>PASS</x:v>
      </x:c>
      <x:c r="J571" s="34" t="str">
        <x:v>PASS</x:v>
      </x:c>
      <x:c r="K571" s="34" t="str">
        <x:v>PASS</x:v>
      </x:c>
      <x:c r="L571" s="34" t="str">
        <x:v>PASS</x:v>
      </x:c>
      <x:c r="M571" s="34" t="str">
        <x:v>numeric coverage for applicable metric</x:v>
      </x:c>
      <x:c r="N571" s="34" t="str">
        <x:v>Feedback-Directed Random Test Generation/Result/Jsoup_62/result.json</x:v>
      </x:c>
      <x:c r="O571" s="38" t="n">
        <x:f>IF(AND(G571="RECORDED",ISNUMBER(H571)),H571,"")</x:f>
        <x:v>3.92</x:v>
      </x:c>
      <x:c r="P571" s="34" t="str">
        <x:v>NOT_REVEALING</x:v>
      </x:c>
      <x:c r="Q571" s="34" t="str">
        <x:v>Feedback-Directed Random Test Generation/Result/Jsoup_62/result.json</x:v>
      </x:c>
    </x:row>
    <x:row r="572">
      <x:c r="A572" s="34" t="str">
        <x:v>randoop</x:v>
      </x:c>
      <x:c r="B572" s="34" t="str">
        <x:v>Jsoup</x:v>
      </x:c>
      <x:c r="C572" s="34" t="str">
        <x:v>Round1</x:v>
      </x:c>
      <x:c r="D572" s="34" t="str">
        <x:v>Jsoup_63</x:v>
      </x:c>
      <x:c r="E572" s="34" t="str">
        <x:v>Coverage</x:v>
      </x:c>
      <x:c r="F572" s="34" t="n">
        <x:v>839</x:v>
      </x:c>
      <x:c r="G572" s="34" t="str">
        <x:v>RECORDED</x:v>
      </x:c>
      <x:c r="H572" s="38" t="n">
        <x:f>IF(ISNUMBER('Data'!G572),'Data'!G572*100,"")</x:f>
        <x:v>56.02</x:v>
      </x:c>
      <x:c r="I572" s="34" t="str">
        <x:v>PASS</x:v>
      </x:c>
      <x:c r="J572" s="34" t="str">
        <x:v>PASS</x:v>
      </x:c>
      <x:c r="K572" s="34" t="str">
        <x:v>PASS</x:v>
      </x:c>
      <x:c r="L572" s="34" t="str">
        <x:v>FAIL</x:v>
      </x:c>
      <x:c r="M572" s="34" t="str">
        <x:v>numeric coverage for applicable metric</x:v>
      </x:c>
      <x:c r="N572" s="34" t="str">
        <x:v>Feedback-Directed Random Test Generation/Result/Jsoup_63/result.json</x:v>
      </x:c>
      <x:c r="O572" s="38" t="n">
        <x:f>IF(AND(G572="RECORDED",ISNUMBER(H572)),H572,"")</x:f>
        <x:v>56.02</x:v>
      </x:c>
      <x:c r="P572" s="34" t="str">
        <x:v>NOT_AVAILABLE</x:v>
      </x:c>
      <x:c r="Q572" s="34" t="str">
        <x:v>Feedback-Directed Random Test Generation/Result/Jsoup_63/result.json</x:v>
      </x:c>
    </x:row>
    <x:row r="573">
      <x:c r="A573" s="34" t="str">
        <x:v>randoop</x:v>
      </x:c>
      <x:c r="B573" s="34" t="str">
        <x:v>Jsoup</x:v>
      </x:c>
      <x:c r="C573" s="34" t="str">
        <x:v>Round1</x:v>
      </x:c>
      <x:c r="D573" s="34" t="str">
        <x:v>Jsoup_64</x:v>
      </x:c>
      <x:c r="E573" s="34" t="str">
        <x:v>Coverage</x:v>
      </x:c>
      <x:c r="F573" s="34" t="n">
        <x:v>1883</x:v>
      </x:c>
      <x:c r="G573" s="34" t="str">
        <x:v>RECORDED</x:v>
      </x:c>
      <x:c r="H573" s="38" t="n">
        <x:f>IF(ISNUMBER('Data'!G573),'Data'!G573*100,"")</x:f>
        <x:v>3.88</x:v>
      </x:c>
      <x:c r="I573" s="34" t="str">
        <x:v>PASS</x:v>
      </x:c>
      <x:c r="J573" s="34" t="str">
        <x:v>PASS</x:v>
      </x:c>
      <x:c r="K573" s="34" t="str">
        <x:v>PASS</x:v>
      </x:c>
      <x:c r="L573" s="34" t="str">
        <x:v>PASS</x:v>
      </x:c>
      <x:c r="M573" s="34" t="str">
        <x:v>numeric coverage for applicable metric</x:v>
      </x:c>
      <x:c r="N573" s="34" t="str">
        <x:v>Feedback-Directed Random Test Generation/Result/Jsoup_64/result.json</x:v>
      </x:c>
      <x:c r="O573" s="38" t="n">
        <x:f>IF(AND(G573="RECORDED",ISNUMBER(H573)),H573,"")</x:f>
        <x:v>3.88</x:v>
      </x:c>
      <x:c r="P573" s="34" t="str">
        <x:v>NOT_REVEALING</x:v>
      </x:c>
      <x:c r="Q573" s="34" t="str">
        <x:v>Feedback-Directed Random Test Generation/Result/Jsoup_64/result.json</x:v>
      </x:c>
    </x:row>
    <x:row r="574">
      <x:c r="A574" s="34" t="str">
        <x:v>randoop</x:v>
      </x:c>
      <x:c r="B574" s="34" t="str">
        <x:v>Jsoup</x:v>
      </x:c>
      <x:c r="C574" s="34" t="str">
        <x:v>Round1</x:v>
      </x:c>
      <x:c r="D574" s="34" t="str">
        <x:v>Jsoup_65</x:v>
      </x:c>
      <x:c r="E574" s="34" t="str">
        <x:v>Coverage</x:v>
      </x:c>
      <x:c r="F574" s="34" t="n">
        <x:v>2464</x:v>
      </x:c>
      <x:c r="G574" s="34" t="str">
        <x:v>RECORDED</x:v>
      </x:c>
      <x:c r="H574" s="38" t="n">
        <x:f>IF(ISNUMBER('Data'!G574),'Data'!G574*100,"")</x:f>
        <x:v>28.04</x:v>
      </x:c>
      <x:c r="I574" s="34" t="str">
        <x:v>PASS</x:v>
      </x:c>
      <x:c r="J574" s="34" t="str">
        <x:v>PASS</x:v>
      </x:c>
      <x:c r="K574" s="34" t="str">
        <x:v>PASS</x:v>
      </x:c>
      <x:c r="L574" s="34" t="str">
        <x:v>FAIL</x:v>
      </x:c>
      <x:c r="M574" s="34" t="str">
        <x:v>numeric coverage for applicable metric</x:v>
      </x:c>
      <x:c r="N574" s="34" t="str">
        <x:v>Feedback-Directed Random Test Generation/Result/Jsoup_65/result.json</x:v>
      </x:c>
      <x:c r="O574" s="38" t="n">
        <x:f>IF(AND(G574="RECORDED",ISNUMBER(H574)),H574,"")</x:f>
        <x:v>28.04</x:v>
      </x:c>
      <x:c r="P574" s="34" t="str">
        <x:v>INCONCLUSIVE</x:v>
      </x:c>
      <x:c r="Q574" s="34" t="str">
        <x:v>Feedback-Directed Random Test Generation/Result/Jsoup_65/result.json</x:v>
      </x:c>
    </x:row>
    <x:row r="575">
      <x:c r="A575" s="34" t="str">
        <x:v>randoop</x:v>
      </x:c>
      <x:c r="B575" s="34" t="str">
        <x:v>Jsoup</x:v>
      </x:c>
      <x:c r="C575" s="34" t="str">
        <x:v>Round1</x:v>
      </x:c>
      <x:c r="D575" s="34" t="str">
        <x:v>Jsoup_66</x:v>
      </x:c>
      <x:c r="E575" s="34" t="str">
        <x:v>Coverage</x:v>
      </x:c>
      <x:c r="F575" s="34" t="n">
        <x:v>594</x:v>
      </x:c>
      <x:c r="G575" s="34" t="str">
        <x:v>RECORDED</x:v>
      </x:c>
      <x:c r="H575" s="38" t="n">
        <x:f>IF(ISNUMBER('Data'!G575),'Data'!G575*100,"")</x:f>
        <x:v>84.51</x:v>
      </x:c>
      <x:c r="I575" s="34" t="str">
        <x:v>PASS</x:v>
      </x:c>
      <x:c r="J575" s="34" t="str">
        <x:v>PASS</x:v>
      </x:c>
      <x:c r="K575" s="34" t="str">
        <x:v>PASS</x:v>
      </x:c>
      <x:c r="L575" s="34" t="str">
        <x:v>FAIL</x:v>
      </x:c>
      <x:c r="M575" s="34" t="str">
        <x:v>numeric coverage for applicable metric</x:v>
      </x:c>
      <x:c r="N575" s="34" t="str">
        <x:v>Feedback-Directed Random Test Generation/Result/Jsoup_66/result.json</x:v>
      </x:c>
      <x:c r="O575" s="38" t="n">
        <x:f>IF(AND(G575="RECORDED",ISNUMBER(H575)),H575,"")</x:f>
        <x:v>84.51</x:v>
      </x:c>
      <x:c r="P575" s="34" t="str">
        <x:v>INCONCLUSIVE</x:v>
      </x:c>
      <x:c r="Q575" s="34" t="str">
        <x:v>Feedback-Directed Random Test Generation/Result/Jsoup_66/result.json</x:v>
      </x:c>
    </x:row>
    <x:row r="576">
      <x:c r="A576" s="34" t="str">
        <x:v>randoop</x:v>
      </x:c>
      <x:c r="B576" s="34" t="str">
        <x:v>Jsoup</x:v>
      </x:c>
      <x:c r="C576" s="34" t="str">
        <x:v>Round1</x:v>
      </x:c>
      <x:c r="D576" s="34" t="str">
        <x:v>Jsoup_67</x:v>
      </x:c>
      <x:c r="E576" s="34" t="str">
        <x:v>Coverage</x:v>
      </x:c>
      <x:c r="F576" s="34" t="n">
        <x:v>581</x:v>
      </x:c>
      <x:c r="G576" s="34" t="str">
        <x:v>RECORDED</x:v>
      </x:c>
      <x:c r="H576" s="38" t="n">
        <x:f>IF(ISNUMBER('Data'!G576),'Data'!G576*100,"")</x:f>
        <x:v>64.37</x:v>
      </x:c>
      <x:c r="I576" s="34" t="str">
        <x:v>PASS</x:v>
      </x:c>
      <x:c r="J576" s="34" t="str">
        <x:v>PASS</x:v>
      </x:c>
      <x:c r="K576" s="34" t="str">
        <x:v>PASS</x:v>
      </x:c>
      <x:c r="L576" s="34" t="str">
        <x:v>FAIL</x:v>
      </x:c>
      <x:c r="M576" s="34" t="str">
        <x:v>numeric coverage for applicable metric</x:v>
      </x:c>
      <x:c r="N576" s="34" t="str">
        <x:v>Feedback-Directed Random Test Generation/Result/Jsoup_67/result.json</x:v>
      </x:c>
      <x:c r="O576" s="38" t="n">
        <x:f>IF(AND(G576="RECORDED",ISNUMBER(H576)),H576,"")</x:f>
        <x:v>64.37</x:v>
      </x:c>
      <x:c r="P576" s="34" t="str">
        <x:v>INCONCLUSIVE</x:v>
      </x:c>
      <x:c r="Q576" s="34" t="str">
        <x:v>Feedback-Directed Random Test Generation/Result/Jsoup_67/result.json</x:v>
      </x:c>
    </x:row>
    <x:row r="577">
      <x:c r="A577" s="34" t="str">
        <x:v>randoop</x:v>
      </x:c>
      <x:c r="B577" s="34" t="str">
        <x:v>Jsoup</x:v>
      </x:c>
      <x:c r="C577" s="34" t="str">
        <x:v>Round1</x:v>
      </x:c>
      <x:c r="D577" s="34" t="str">
        <x:v>Jsoup_68</x:v>
      </x:c>
      <x:c r="E577" s="34" t="str">
        <x:v>Coverage</x:v>
      </x:c>
      <x:c r="F577" s="34" t="n">
        <x:v>586</x:v>
      </x:c>
      <x:c r="G577" s="34" t="str">
        <x:v>RECORDED</x:v>
      </x:c>
      <x:c r="H577" s="38" t="n">
        <x:f>IF(ISNUMBER('Data'!G577),'Data'!G577*100,"")</x:f>
        <x:v>69.11</x:v>
      </x:c>
      <x:c r="I577" s="34" t="str">
        <x:v>PASS</x:v>
      </x:c>
      <x:c r="J577" s="34" t="str">
        <x:v>PASS</x:v>
      </x:c>
      <x:c r="K577" s="34" t="str">
        <x:v>PASS</x:v>
      </x:c>
      <x:c r="L577" s="34" t="str">
        <x:v>FAIL</x:v>
      </x:c>
      <x:c r="M577" s="34" t="str">
        <x:v>numeric coverage for applicable metric</x:v>
      </x:c>
      <x:c r="N577" s="34" t="str">
        <x:v>Feedback-Directed Random Test Generation/Result/Jsoup_68/result.json</x:v>
      </x:c>
      <x:c r="O577" s="38" t="n">
        <x:f>IF(AND(G577="RECORDED",ISNUMBER(H577)),H577,"")</x:f>
        <x:v>69.11</x:v>
      </x:c>
      <x:c r="P577" s="34" t="str">
        <x:v>INCONCLUSIVE</x:v>
      </x:c>
      <x:c r="Q577" s="34" t="str">
        <x:v>Feedback-Directed Random Test Generation/Result/Jsoup_68/result.json</x:v>
      </x:c>
    </x:row>
    <x:row r="578">
      <x:c r="A578" s="34" t="str">
        <x:v>randoop</x:v>
      </x:c>
      <x:c r="B578" s="34" t="str">
        <x:v>Jsoup</x:v>
      </x:c>
      <x:c r="C578" s="34" t="str">
        <x:v>Round1</x:v>
      </x:c>
      <x:c r="D578" s="34" t="str">
        <x:v>Jsoup_69</x:v>
      </x:c>
      <x:c r="E578" s="34" t="str">
        <x:v>Coverage</x:v>
      </x:c>
      <x:c r="F578" s="34" t="n">
        <x:v>67</x:v>
      </x:c>
      <x:c r="G578" s="34" t="str">
        <x:v>RECORDED</x:v>
      </x:c>
      <x:c r="H578" s="38" t="n">
        <x:f>IF(ISNUMBER('Data'!G578),'Data'!G578*100,"")</x:f>
        <x:v>1.49</x:v>
      </x:c>
      <x:c r="I578" s="34" t="str">
        <x:v>PASS</x:v>
      </x:c>
      <x:c r="J578" s="34" t="str">
        <x:v>PASS</x:v>
      </x:c>
      <x:c r="K578" s="34" t="str">
        <x:v>PASS</x:v>
      </x:c>
      <x:c r="L578" s="34" t="str">
        <x:v>PASS</x:v>
      </x:c>
      <x:c r="M578" s="34" t="str">
        <x:v>numeric coverage for applicable metric</x:v>
      </x:c>
      <x:c r="N578" s="34" t="str">
        <x:v>Feedback-Directed Random Test Generation/Result/Jsoup_69/result.json</x:v>
      </x:c>
      <x:c r="O578" s="38" t="n">
        <x:f>IF(AND(G578="RECORDED",ISNUMBER(H578)),H578,"")</x:f>
        <x:v>1.49</x:v>
      </x:c>
      <x:c r="P578" s="34" t="str">
        <x:v>NOT_REVEALING</x:v>
      </x:c>
      <x:c r="Q578" s="34" t="str">
        <x:v>Feedback-Directed Random Test Generation/Result/Jsoup_69/result.json</x:v>
      </x:c>
    </x:row>
    <x:row r="579">
      <x:c r="A579" s="34" t="str">
        <x:v>randoop</x:v>
      </x:c>
      <x:c r="B579" s="34" t="str">
        <x:v>Jsoup</x:v>
      </x:c>
      <x:c r="C579" s="34" t="str">
        <x:v>Round1</x:v>
      </x:c>
      <x:c r="D579" s="34" t="str">
        <x:v>Jsoup_70</x:v>
      </x:c>
      <x:c r="E579" s="34" t="str">
        <x:v>Coverage</x:v>
      </x:c>
      <x:c r="F579" s="34" t="n">
        <x:v>600</x:v>
      </x:c>
      <x:c r="G579" s="34" t="str">
        <x:v>RECORDED</x:v>
      </x:c>
      <x:c r="H579" s="38" t="n">
        <x:f>IF(ISNUMBER('Data'!G579),'Data'!G579*100,"")</x:f>
        <x:v>83.5</x:v>
      </x:c>
      <x:c r="I579" s="34" t="str">
        <x:v>PASS</x:v>
      </x:c>
      <x:c r="J579" s="34" t="str">
        <x:v>PASS</x:v>
      </x:c>
      <x:c r="K579" s="34" t="str">
        <x:v>PASS</x:v>
      </x:c>
      <x:c r="L579" s="34" t="str">
        <x:v>FAIL</x:v>
      </x:c>
      <x:c r="M579" s="34" t="str">
        <x:v>numeric coverage for applicable metric</x:v>
      </x:c>
      <x:c r="N579" s="34" t="str">
        <x:v>Feedback-Directed Random Test Generation/Result/Jsoup_70/result.json</x:v>
      </x:c>
      <x:c r="O579" s="38" t="n">
        <x:f>IF(AND(G579="RECORDED",ISNUMBER(H579)),H579,"")</x:f>
        <x:v>83.5</x:v>
      </x:c>
      <x:c r="P579" s="34" t="str">
        <x:v>INCONCLUSIVE</x:v>
      </x:c>
      <x:c r="Q579" s="34" t="str">
        <x:v>Feedback-Directed Random Test Generation/Result/Jsoup_70/result.json</x:v>
      </x:c>
    </x:row>
    <x:row r="580">
      <x:c r="A580" s="34" t="str">
        <x:v>randoop</x:v>
      </x:c>
      <x:c r="B580" s="34" t="str">
        <x:v>Jsoup</x:v>
      </x:c>
      <x:c r="C580" s="34" t="str">
        <x:v>Round1</x:v>
      </x:c>
      <x:c r="D580" s="34" t="str">
        <x:v>Jsoup_71</x:v>
      </x:c>
      <x:c r="E580" s="34" t="str">
        <x:v>Coverage</x:v>
      </x:c>
      <x:c r="F580" s="34" t="n">
        <x:v>678</x:v>
      </x:c>
      <x:c r="G580" s="34" t="str">
        <x:v>RECORDED</x:v>
      </x:c>
      <x:c r="H580" s="38" t="n">
        <x:f>IF(ISNUMBER('Data'!G580),'Data'!G580*100,"")</x:f>
        <x:v>58.26</x:v>
      </x:c>
      <x:c r="I580" s="34" t="str">
        <x:v>PASS</x:v>
      </x:c>
      <x:c r="J580" s="34" t="str">
        <x:v>PASS</x:v>
      </x:c>
      <x:c r="K580" s="34" t="str">
        <x:v>PASS</x:v>
      </x:c>
      <x:c r="L580" s="34" t="str">
        <x:v>PASS</x:v>
      </x:c>
      <x:c r="M580" s="34" t="str">
        <x:v>numeric coverage for applicable metric</x:v>
      </x:c>
      <x:c r="N580" s="34" t="str">
        <x:v>Feedback-Directed Random Test Generation/Result/Jsoup_71/result.json</x:v>
      </x:c>
      <x:c r="O580" s="38" t="n">
        <x:f>IF(AND(G580="RECORDED",ISNUMBER(H580)),H580,"")</x:f>
        <x:v>58.26</x:v>
      </x:c>
      <x:c r="P580" s="34" t="str">
        <x:v>NOT_REVEALING</x:v>
      </x:c>
      <x:c r="Q580" s="34" t="str">
        <x:v>Feedback-Directed Random Test Generation/Result/Jsoup_71/result.json</x:v>
      </x:c>
    </x:row>
    <x:row r="581">
      <x:c r="A581" s="34" t="str">
        <x:v>randoop</x:v>
      </x:c>
      <x:c r="B581" s="34" t="str">
        <x:v>Jsoup</x:v>
      </x:c>
      <x:c r="C581" s="34" t="str">
        <x:v>Round1</x:v>
      </x:c>
      <x:c r="D581" s="34" t="str">
        <x:v>Jsoup_72</x:v>
      </x:c>
      <x:c r="E581" s="34" t="str">
        <x:v>Coverage</x:v>
      </x:c>
      <x:c r="F581" s="34" t="n">
        <x:v>426</x:v>
      </x:c>
      <x:c r="G581" s="34" t="str">
        <x:v>RECORDED</x:v>
      </x:c>
      <x:c r="H581" s="38" t="n">
        <x:f>IF(ISNUMBER('Data'!G581),'Data'!G581*100,"")</x:f>
        <x:v>88.73</x:v>
      </x:c>
      <x:c r="I581" s="34" t="str">
        <x:v>PASS</x:v>
      </x:c>
      <x:c r="J581" s="34" t="str">
        <x:v>PASS</x:v>
      </x:c>
      <x:c r="K581" s="34" t="str">
        <x:v>PASS</x:v>
      </x:c>
      <x:c r="L581" s="34" t="str">
        <x:v>PASS</x:v>
      </x:c>
      <x:c r="M581" s="34" t="str">
        <x:v>numeric coverage for applicable metric</x:v>
      </x:c>
      <x:c r="N581" s="34" t="str">
        <x:v>Feedback-Directed Random Test Generation/Result/Jsoup_72/result.json</x:v>
      </x:c>
      <x:c r="O581" s="38" t="n">
        <x:f>IF(AND(G581="RECORDED",ISNUMBER(H581)),H581,"")</x:f>
        <x:v>88.73</x:v>
      </x:c>
      <x:c r="P581" s="34" t="str">
        <x:v>INCONCLUSIVE</x:v>
      </x:c>
      <x:c r="Q581" s="34" t="str">
        <x:v>Feedback-Directed Random Test Generation/Result/Jsoup_72/result.json</x:v>
      </x:c>
    </x:row>
    <x:row r="582">
      <x:c r="A582" s="34" t="str">
        <x:v>randoop</x:v>
      </x:c>
      <x:c r="B582" s="34" t="str">
        <x:v>Jsoup</x:v>
      </x:c>
      <x:c r="C582" s="34" t="str">
        <x:v>Round1</x:v>
      </x:c>
      <x:c r="D582" s="34" t="str">
        <x:v>Jsoup_73</x:v>
      </x:c>
      <x:c r="E582" s="34" t="str">
        <x:v>Coverage</x:v>
      </x:c>
      <x:c r="F582" s="34" t="n">
        <x:v>99</x:v>
      </x:c>
      <x:c r="G582" s="34" t="str">
        <x:v>RECORDED</x:v>
      </x:c>
      <x:c r="H582" s="38" t="n">
        <x:f>IF(ISNUMBER('Data'!G582),'Data'!G582*100,"")</x:f>
        <x:v>24.24</x:v>
      </x:c>
      <x:c r="I582" s="34" t="str">
        <x:v>PASS</x:v>
      </x:c>
      <x:c r="J582" s="34" t="str">
        <x:v>PASS</x:v>
      </x:c>
      <x:c r="K582" s="34" t="str">
        <x:v>PASS</x:v>
      </x:c>
      <x:c r="L582" s="34" t="str">
        <x:v>PASS</x:v>
      </x:c>
      <x:c r="M582" s="34" t="str">
        <x:v>numeric coverage for applicable metric</x:v>
      </x:c>
      <x:c r="N582" s="34" t="str">
        <x:v>Feedback-Directed Random Test Generation/Result/Jsoup_73/result.json</x:v>
      </x:c>
      <x:c r="O582" s="38" t="n">
        <x:f>IF(AND(G582="RECORDED",ISNUMBER(H582)),H582,"")</x:f>
        <x:v>24.24</x:v>
      </x:c>
      <x:c r="P582" s="34" t="str">
        <x:v>INCONCLUSIVE</x:v>
      </x:c>
      <x:c r="Q582" s="34" t="str">
        <x:v>Feedback-Directed Random Test Generation/Result/Jsoup_73/result.json</x:v>
      </x:c>
    </x:row>
    <x:row r="583">
      <x:c r="A583" s="34" t="str">
        <x:v>randoop</x:v>
      </x:c>
      <x:c r="B583" s="34" t="str">
        <x:v>Jsoup</x:v>
      </x:c>
      <x:c r="C583" s="34" t="str">
        <x:v>Round1</x:v>
      </x:c>
      <x:c r="D583" s="34" t="str">
        <x:v>Jsoup_74</x:v>
      </x:c>
      <x:c r="E583" s="34" t="str">
        <x:v>Coverage</x:v>
      </x:c>
      <x:c r="F583" s="34" t="n">
        <x:v>157</x:v>
      </x:c>
      <x:c r="G583" s="34" t="str">
        <x:v>RECORDED</x:v>
      </x:c>
      <x:c r="H583" s="38" t="n">
        <x:f>IF(ISNUMBER('Data'!G583),'Data'!G583*100,"")</x:f>
        <x:v>83.44</x:v>
      </x:c>
      <x:c r="I583" s="34" t="str">
        <x:v>PASS</x:v>
      </x:c>
      <x:c r="J583" s="34" t="str">
        <x:v>PASS</x:v>
      </x:c>
      <x:c r="K583" s="34" t="str">
        <x:v>PASS</x:v>
      </x:c>
      <x:c r="L583" s="34" t="str">
        <x:v>PASS</x:v>
      </x:c>
      <x:c r="M583" s="34" t="str">
        <x:v>numeric coverage for applicable metric</x:v>
      </x:c>
      <x:c r="N583" s="34" t="str">
        <x:v>Feedback-Directed Random Test Generation/Result/Jsoup_74/result.json</x:v>
      </x:c>
      <x:c r="O583" s="38" t="n">
        <x:f>IF(AND(G583="RECORDED",ISNUMBER(H583)),H583,"")</x:f>
        <x:v>83.44</x:v>
      </x:c>
      <x:c r="P583" s="34" t="str">
        <x:v>NOT_REVEALING</x:v>
      </x:c>
      <x:c r="Q583" s="34" t="str">
        <x:v>Feedback-Directed Random Test Generation/Result/Jsoup_74/result.json</x:v>
      </x:c>
    </x:row>
    <x:row r="584">
      <x:c r="A584" s="34" t="str">
        <x:v>randoop</x:v>
      </x:c>
      <x:c r="B584" s="34" t="str">
        <x:v>Jsoup</x:v>
      </x:c>
      <x:c r="C584" s="34" t="str">
        <x:v>Round1</x:v>
      </x:c>
      <x:c r="D584" s="34" t="str">
        <x:v>Jsoup_75</x:v>
      </x:c>
      <x:c r="E584" s="34" t="str">
        <x:v>Coverage</x:v>
      </x:c>
      <x:c r="F584" s="34" t="n">
        <x:v>252</x:v>
      </x:c>
      <x:c r="G584" s="34" t="str">
        <x:v>RECORDED</x:v>
      </x:c>
      <x:c r="H584" s="38" t="n">
        <x:f>IF(ISNUMBER('Data'!G584),'Data'!G584*100,"")</x:f>
        <x:v>80.95</x:v>
      </x:c>
      <x:c r="I584" s="34" t="str">
        <x:v>PASS</x:v>
      </x:c>
      <x:c r="J584" s="34" t="str">
        <x:v>PASS</x:v>
      </x:c>
      <x:c r="K584" s="34" t="str">
        <x:v>PASS</x:v>
      </x:c>
      <x:c r="L584" s="34" t="str">
        <x:v>PASS</x:v>
      </x:c>
      <x:c r="M584" s="34" t="str">
        <x:v>numeric coverage for applicable metric</x:v>
      </x:c>
      <x:c r="N584" s="34" t="str">
        <x:v>Feedback-Directed Random Test Generation/Result/Jsoup_75/result.json</x:v>
      </x:c>
      <x:c r="O584" s="38" t="n">
        <x:f>IF(AND(G584="RECORDED",ISNUMBER(H584)),H584,"")</x:f>
        <x:v>80.95</x:v>
      </x:c>
      <x:c r="P584" s="34" t="str">
        <x:v>INCONCLUSIVE</x:v>
      </x:c>
      <x:c r="Q584" s="34" t="str">
        <x:v>Feedback-Directed Random Test Generation/Result/Jsoup_75/result.json</x:v>
      </x:c>
    </x:row>
    <x:row r="585">
      <x:c r="A585" s="34" t="str">
        <x:v>randoop</x:v>
      </x:c>
      <x:c r="B585" s="34" t="str">
        <x:v>Jsoup</x:v>
      </x:c>
      <x:c r="C585" s="34" t="str">
        <x:v>Round1</x:v>
      </x:c>
      <x:c r="D585" s="34" t="str">
        <x:v>Jsoup_76</x:v>
      </x:c>
      <x:c r="E585" s="34" t="str">
        <x:v>Coverage</x:v>
      </x:c>
      <x:c r="F585" s="34" t="n">
        <x:v>1892</x:v>
      </x:c>
      <x:c r="G585" s="34" t="str">
        <x:v>RECORDED</x:v>
      </x:c>
      <x:c r="H585" s="38" t="n">
        <x:f>IF(ISNUMBER('Data'!G585),'Data'!G585*100,"")</x:f>
        <x:v>3.8599999999999994</x:v>
      </x:c>
      <x:c r="I585" s="34" t="str">
        <x:v>PASS</x:v>
      </x:c>
      <x:c r="J585" s="34" t="str">
        <x:v>PASS</x:v>
      </x:c>
      <x:c r="K585" s="34" t="str">
        <x:v>PASS</x:v>
      </x:c>
      <x:c r="L585" s="34" t="str">
        <x:v>PASS</x:v>
      </x:c>
      <x:c r="M585" s="34" t="str">
        <x:v>numeric coverage for applicable metric</x:v>
      </x:c>
      <x:c r="N585" s="34" t="str">
        <x:v>Feedback-Directed Random Test Generation/Result/Jsoup_76/result.json</x:v>
      </x:c>
      <x:c r="O585" s="38" t="n">
        <x:f>IF(AND(G585="RECORDED",ISNUMBER(H585)),H585,"")</x:f>
        <x:v>3.8599999999999994</x:v>
      </x:c>
      <x:c r="P585" s="34" t="str">
        <x:v>NOT_REVEALING</x:v>
      </x:c>
      <x:c r="Q585" s="34" t="str">
        <x:v>Feedback-Directed Random Test Generation/Result/Jsoup_76/result.json</x:v>
      </x:c>
    </x:row>
    <x:row r="586">
      <x:c r="A586" s="34" t="str">
        <x:v>randoop</x:v>
      </x:c>
      <x:c r="B586" s="34" t="str">
        <x:v>Jsoup</x:v>
      </x:c>
      <x:c r="C586" s="34" t="str">
        <x:v>Round1</x:v>
      </x:c>
      <x:c r="D586" s="34" t="str">
        <x:v>Jsoup_77</x:v>
      </x:c>
      <x:c r="E586" s="34" t="str">
        <x:v>Coverage</x:v>
      </x:c>
      <x:c r="F586" s="34" t="n">
        <x:v>100</x:v>
      </x:c>
      <x:c r="G586" s="34" t="str">
        <x:v>RECORDED</x:v>
      </x:c>
      <x:c r="H586" s="38" t="n">
        <x:f>IF(ISNUMBER('Data'!G586),'Data'!G586*100,"")</x:f>
        <x:v>37</x:v>
      </x:c>
      <x:c r="I586" s="34" t="str">
        <x:v>PASS</x:v>
      </x:c>
      <x:c r="J586" s="34" t="str">
        <x:v>PASS</x:v>
      </x:c>
      <x:c r="K586" s="34" t="str">
        <x:v>PASS</x:v>
      </x:c>
      <x:c r="L586" s="34" t="str">
        <x:v>PASS</x:v>
      </x:c>
      <x:c r="M586" s="34" t="str">
        <x:v>numeric coverage for applicable metric</x:v>
      </x:c>
      <x:c r="N586" s="34" t="str">
        <x:v>Feedback-Directed Random Test Generation/Result/Jsoup_77/result.json</x:v>
      </x:c>
      <x:c r="O586" s="38" t="n">
        <x:f>IF(AND(G586="RECORDED",ISNUMBER(H586)),H586,"")</x:f>
        <x:v>37</x:v>
      </x:c>
      <x:c r="P586" s="34" t="str">
        <x:v>NOT_REVEALING</x:v>
      </x:c>
      <x:c r="Q586" s="34" t="str">
        <x:v>Feedback-Directed Random Test Generation/Result/Jsoup_77/result.json</x:v>
      </x:c>
    </x:row>
    <x:row r="587">
      <x:c r="A587" s="34" t="str">
        <x:v>randoop</x:v>
      </x:c>
      <x:c r="B587" s="34" t="str">
        <x:v>Jsoup</x:v>
      </x:c>
      <x:c r="C587" s="34" t="str">
        <x:v>Round1</x:v>
      </x:c>
      <x:c r="D587" s="34" t="str">
        <x:v>Jsoup_78</x:v>
      </x:c>
      <x:c r="E587" s="34" t="str">
        <x:v>Coverage</x:v>
      </x:c>
      <x:c r="F587" s="34" t="n">
        <x:v>197</x:v>
      </x:c>
      <x:c r="G587" s="34" t="str">
        <x:v>RECORDED</x:v>
      </x:c>
      <x:c r="H587" s="38" t="n">
        <x:f>IF(ISNUMBER('Data'!G587),'Data'!G587*100,"")</x:f>
        <x:v>17.77</x:v>
      </x:c>
      <x:c r="I587" s="34" t="str">
        <x:v>PASS</x:v>
      </x:c>
      <x:c r="J587" s="34" t="str">
        <x:v>PASS</x:v>
      </x:c>
      <x:c r="K587" s="34" t="str">
        <x:v>PASS</x:v>
      </x:c>
      <x:c r="L587" s="34" t="str">
        <x:v>PASS</x:v>
      </x:c>
      <x:c r="M587" s="34" t="str">
        <x:v>numeric coverage for applicable metric</x:v>
      </x:c>
      <x:c r="N587" s="34" t="str">
        <x:v>Feedback-Directed Random Test Generation/Result/Jsoup_78/result.json</x:v>
      </x:c>
      <x:c r="O587" s="38" t="n">
        <x:f>IF(AND(G587="RECORDED",ISNUMBER(H587)),H587,"")</x:f>
        <x:v>17.77</x:v>
      </x:c>
      <x:c r="P587" s="34" t="str">
        <x:v>NOT_REVEALING</x:v>
      </x:c>
      <x:c r="Q587" s="34" t="str">
        <x:v>Feedback-Directed Random Test Generation/Result/Jsoup_78/result.json</x:v>
      </x:c>
    </x:row>
    <x:row r="588">
      <x:c r="A588" s="34" t="str">
        <x:v>randoop</x:v>
      </x:c>
      <x:c r="B588" s="34" t="str">
        <x:v>Jsoup</x:v>
      </x:c>
      <x:c r="C588" s="34" t="str">
        <x:v>Round1</x:v>
      </x:c>
      <x:c r="D588" s="34" t="str">
        <x:v>Jsoup_79</x:v>
      </x:c>
      <x:c r="E588" s="34" t="str">
        <x:v>Coverage</x:v>
      </x:c>
      <x:c r="F588" s="34" t="n">
        <x:v>47</x:v>
      </x:c>
      <x:c r="G588" s="34" t="str">
        <x:v>RECORDED</x:v>
      </x:c>
      <x:c r="H588" s="38" t="n">
        <x:f>IF(ISNUMBER('Data'!G588),'Data'!G588*100,"")</x:f>
        <x:v>0</x:v>
      </x:c>
      <x:c r="I588" s="34" t="str">
        <x:v>PASS</x:v>
      </x:c>
      <x:c r="J588" s="34" t="str">
        <x:v>PASS</x:v>
      </x:c>
      <x:c r="K588" s="34" t="str">
        <x:v>PASS</x:v>
      </x:c>
      <x:c r="L588" s="34" t="str">
        <x:v>PASS</x:v>
      </x:c>
      <x:c r="M588" s="34" t="str">
        <x:v>numeric coverage for applicable metric</x:v>
      </x:c>
      <x:c r="N588" s="34" t="str">
        <x:v>Feedback-Directed Random Test Generation/Result/Jsoup_79/result.json</x:v>
      </x:c>
      <x:c r="O588" s="38" t="n">
        <x:f>IF(AND(G588="RECORDED",ISNUMBER(H588)),H588,"")</x:f>
        <x:v>0</x:v>
      </x:c>
      <x:c r="P588" s="34" t="str">
        <x:v>NOT_REVEALING</x:v>
      </x:c>
      <x:c r="Q588" s="34" t="str">
        <x:v>Feedback-Directed Random Test Generation/Result/Jsoup_79/result.json</x:v>
      </x:c>
    </x:row>
    <x:row r="589">
      <x:c r="A589" s="34" t="str">
        <x:v>randoop</x:v>
      </x:c>
      <x:c r="B589" s="34" t="str">
        <x:v>Jsoup</x:v>
      </x:c>
      <x:c r="C589" s="34" t="str">
        <x:v>Round1</x:v>
      </x:c>
      <x:c r="D589" s="34" t="str">
        <x:v>Jsoup_80</x:v>
      </x:c>
      <x:c r="E589" s="34" t="str">
        <x:v>Coverage</x:v>
      </x:c>
      <x:c r="F589" s="34" t="n">
        <x:v>100</x:v>
      </x:c>
      <x:c r="G589" s="34" t="str">
        <x:v>RECORDED</x:v>
      </x:c>
      <x:c r="H589" s="38" t="n">
        <x:f>IF(ISNUMBER('Data'!G589),'Data'!G589*100,"")</x:f>
        <x:v>37</x:v>
      </x:c>
      <x:c r="I589" s="34" t="str">
        <x:v>PASS</x:v>
      </x:c>
      <x:c r="J589" s="34" t="str">
        <x:v>PASS</x:v>
      </x:c>
      <x:c r="K589" s="34" t="str">
        <x:v>PASS</x:v>
      </x:c>
      <x:c r="L589" s="34" t="str">
        <x:v>PASS</x:v>
      </x:c>
      <x:c r="M589" s="34" t="str">
        <x:v>numeric coverage for applicable metric</x:v>
      </x:c>
      <x:c r="N589" s="34" t="str">
        <x:v>Feedback-Directed Random Test Generation/Result/Jsoup_80/result.json</x:v>
      </x:c>
      <x:c r="O589" s="38" t="n">
        <x:f>IF(AND(G589="RECORDED",ISNUMBER(H589)),H589,"")</x:f>
        <x:v>37</x:v>
      </x:c>
      <x:c r="P589" s="34" t="str">
        <x:v>NOT_REVEALING</x:v>
      </x:c>
      <x:c r="Q589" s="34" t="str">
        <x:v>Feedback-Directed Random Test Generation/Result/Jsoup_80/result.json</x:v>
      </x:c>
    </x:row>
    <x:row r="590">
      <x:c r="A590" s="34" t="str">
        <x:v>randoop</x:v>
      </x:c>
      <x:c r="B590" s="34" t="str">
        <x:v>Jsoup</x:v>
      </x:c>
      <x:c r="C590" s="34" t="str">
        <x:v>Round1</x:v>
      </x:c>
      <x:c r="D590" s="34" t="str">
        <x:v>Jsoup_81</x:v>
      </x:c>
      <x:c r="E590" s="34" t="str">
        <x:v>Coverage</x:v>
      </x:c>
      <x:c r="F590" s="34" t="n">
        <x:v>211</x:v>
      </x:c>
      <x:c r="G590" s="34" t="str">
        <x:v>RECORDED</x:v>
      </x:c>
      <x:c r="H590" s="38" t="n">
        <x:f>IF(ISNUMBER('Data'!G590),'Data'!G590*100,"")</x:f>
        <x:v>16.59</x:v>
      </x:c>
      <x:c r="I590" s="34" t="str">
        <x:v>PASS</x:v>
      </x:c>
      <x:c r="J590" s="34" t="str">
        <x:v>PASS</x:v>
      </x:c>
      <x:c r="K590" s="34" t="str">
        <x:v>PASS</x:v>
      </x:c>
      <x:c r="L590" s="34" t="str">
        <x:v>PASS</x:v>
      </x:c>
      <x:c r="M590" s="34" t="str">
        <x:v>numeric coverage for applicable metric</x:v>
      </x:c>
      <x:c r="N590" s="34" t="str">
        <x:v>Feedback-Directed Random Test Generation/Result/Jsoup_81/result.json</x:v>
      </x:c>
      <x:c r="O590" s="38" t="n">
        <x:f>IF(AND(G590="RECORDED",ISNUMBER(H590)),H590,"")</x:f>
        <x:v>16.59</x:v>
      </x:c>
      <x:c r="P590" s="34" t="str">
        <x:v>NOT_REVEALING</x:v>
      </x:c>
      <x:c r="Q590" s="34" t="str">
        <x:v>Feedback-Directed Random Test Generation/Result/Jsoup_81/result.json</x:v>
      </x:c>
    </x:row>
    <x:row r="591">
      <x:c r="A591" s="34" t="str">
        <x:v>randoop</x:v>
      </x:c>
      <x:c r="B591" s="34" t="str">
        <x:v>Jsoup</x:v>
      </x:c>
      <x:c r="C591" s="34" t="str">
        <x:v>Round1</x:v>
      </x:c>
      <x:c r="D591" s="34" t="str">
        <x:v>Jsoup_82</x:v>
      </x:c>
      <x:c r="E591" s="34" t="str">
        <x:v>Coverage</x:v>
      </x:c>
      <x:c r="F591" s="34" t="n">
        <x:v>209</x:v>
      </x:c>
      <x:c r="G591" s="34" t="str">
        <x:v>RECORDED</x:v>
      </x:c>
      <x:c r="H591" s="38" t="n">
        <x:f>IF(ISNUMBER('Data'!G591),'Data'!G591*100,"")</x:f>
        <x:v>14.35</x:v>
      </x:c>
      <x:c r="I591" s="34" t="str">
        <x:v>PASS</x:v>
      </x:c>
      <x:c r="J591" s="34" t="str">
        <x:v>PASS</x:v>
      </x:c>
      <x:c r="K591" s="34" t="str">
        <x:v>PASS</x:v>
      </x:c>
      <x:c r="L591" s="34" t="str">
        <x:v>PASS</x:v>
      </x:c>
      <x:c r="M591" s="34" t="str">
        <x:v>numeric coverage for applicable metric</x:v>
      </x:c>
      <x:c r="N591" s="34" t="str">
        <x:v>Feedback-Directed Random Test Generation/Result/Jsoup_82/result.json</x:v>
      </x:c>
      <x:c r="O591" s="38" t="n">
        <x:f>IF(AND(G591="RECORDED",ISNUMBER(H591)),H591,"")</x:f>
        <x:v>14.35</x:v>
      </x:c>
      <x:c r="P591" s="34" t="str">
        <x:v>NOT_REVEALING</x:v>
      </x:c>
      <x:c r="Q591" s="34" t="str">
        <x:v>Feedback-Directed Random Test Generation/Result/Jsoup_82/result.json</x:v>
      </x:c>
    </x:row>
    <x:row r="592">
      <x:c r="A592" s="34" t="str">
        <x:v>randoop</x:v>
      </x:c>
      <x:c r="B592" s="34" t="str">
        <x:v>Jsoup</x:v>
      </x:c>
      <x:c r="C592" s="34" t="str">
        <x:v>Round1</x:v>
      </x:c>
      <x:c r="D592" s="34" t="str">
        <x:v>Jsoup_83</x:v>
      </x:c>
      <x:c r="E592" s="34" t="str">
        <x:v>Coverage</x:v>
      </x:c>
      <x:c r="F592" s="34" t="n">
        <x:v>1926</x:v>
      </x:c>
      <x:c r="G592" s="34" t="str">
        <x:v>RECORDED</x:v>
      </x:c>
      <x:c r="H592" s="38" t="n">
        <x:f>IF(ISNUMBER('Data'!G592),'Data'!G592*100,"")</x:f>
        <x:v>39.41</x:v>
      </x:c>
      <x:c r="I592" s="34" t="str">
        <x:v>PASS</x:v>
      </x:c>
      <x:c r="J592" s="34" t="str">
        <x:v>PASS</x:v>
      </x:c>
      <x:c r="K592" s="34" t="str">
        <x:v>PASS</x:v>
      </x:c>
      <x:c r="L592" s="34" t="str">
        <x:v>PASS</x:v>
      </x:c>
      <x:c r="M592" s="34" t="str">
        <x:v>numeric coverage for applicable metric</x:v>
      </x:c>
      <x:c r="N592" s="34" t="str">
        <x:v>Feedback-Directed Random Test Generation/Result/Jsoup_83/result.json</x:v>
      </x:c>
      <x:c r="O592" s="38" t="n">
        <x:f>IF(AND(G592="RECORDED",ISNUMBER(H592)),H592,"")</x:f>
        <x:v>39.41</x:v>
      </x:c>
      <x:c r="P592" s="34" t="str">
        <x:v>NOT_REVEALING</x:v>
      </x:c>
      <x:c r="Q592" s="34" t="str">
        <x:v>Feedback-Directed Random Test Generation/Result/Jsoup_83/result.json</x:v>
      </x:c>
    </x:row>
    <x:row r="593">
      <x:c r="A593" s="34" t="str">
        <x:v>randoop</x:v>
      </x:c>
      <x:c r="B593" s="34" t="str">
        <x:v>Jsoup</x:v>
      </x:c>
      <x:c r="C593" s="34" t="str">
        <x:v>Round1</x:v>
      </x:c>
      <x:c r="D593" s="34" t="str">
        <x:v>Jsoup_84</x:v>
      </x:c>
      <x:c r="E593" s="34" t="str">
        <x:v>Coverage</x:v>
      </x:c>
      <x:c r="F593" s="34" t="n">
        <x:v>104</x:v>
      </x:c>
      <x:c r="G593" s="34" t="str">
        <x:v>RECORDED</x:v>
      </x:c>
      <x:c r="H593" s="38" t="n">
        <x:f>IF(ISNUMBER('Data'!G593),'Data'!G593*100,"")</x:f>
        <x:v>25.96</x:v>
      </x:c>
      <x:c r="I593" s="34" t="str">
        <x:v>PASS</x:v>
      </x:c>
      <x:c r="J593" s="34" t="str">
        <x:v>PASS</x:v>
      </x:c>
      <x:c r="K593" s="34" t="str">
        <x:v>PASS</x:v>
      </x:c>
      <x:c r="L593" s="34" t="str">
        <x:v>PASS</x:v>
      </x:c>
      <x:c r="M593" s="34" t="str">
        <x:v>numeric coverage for applicable metric</x:v>
      </x:c>
      <x:c r="N593" s="34" t="str">
        <x:v>Feedback-Directed Random Test Generation/Result/Jsoup_84/result.json</x:v>
      </x:c>
      <x:c r="O593" s="38" t="n">
        <x:f>IF(AND(G593="RECORDED",ISNUMBER(H593)),H593,"")</x:f>
        <x:v>25.96</x:v>
      </x:c>
      <x:c r="P593" s="34" t="str">
        <x:v>NOT_REVEALING</x:v>
      </x:c>
      <x:c r="Q593" s="34" t="str">
        <x:v>Feedback-Directed Random Test Generation/Result/Jsoup_84/result.json</x:v>
      </x:c>
    </x:row>
    <x:row r="594">
      <x:c r="A594" s="34" t="str">
        <x:v>randoop</x:v>
      </x:c>
      <x:c r="B594" s="34" t="str">
        <x:v>Jsoup</x:v>
      </x:c>
      <x:c r="C594" s="34" t="str">
        <x:v>Round1</x:v>
      </x:c>
      <x:c r="D594" s="34" t="str">
        <x:v>Jsoup_85</x:v>
      </x:c>
      <x:c r="E594" s="34" t="str">
        <x:v>Coverage</x:v>
      </x:c>
      <x:c r="F594" s="34" t="n">
        <x:v>115</x:v>
      </x:c>
      <x:c r="G594" s="34" t="str">
        <x:v>RECORDED</x:v>
      </x:c>
      <x:c r="H594" s="38" t="n">
        <x:f>IF(ISNUMBER('Data'!G594),'Data'!G594*100,"")</x:f>
        <x:v>60.870000000000005</x:v>
      </x:c>
      <x:c r="I594" s="34" t="str">
        <x:v>PASS</x:v>
      </x:c>
      <x:c r="J594" s="34" t="str">
        <x:v>PASS</x:v>
      </x:c>
      <x:c r="K594" s="34" t="str">
        <x:v>PASS</x:v>
      </x:c>
      <x:c r="L594" s="34" t="str">
        <x:v>FAIL</x:v>
      </x:c>
      <x:c r="M594" s="34" t="str">
        <x:v>numeric coverage for applicable metric</x:v>
      </x:c>
      <x:c r="N594" s="34" t="str">
        <x:v>Feedback-Directed Random Test Generation/Result/Jsoup_85/result.json</x:v>
      </x:c>
      <x:c r="O594" s="38" t="n">
        <x:f>IF(AND(G594="RECORDED",ISNUMBER(H594)),H594,"")</x:f>
        <x:v>60.870000000000005</x:v>
      </x:c>
      <x:c r="P594" s="34" t="str">
        <x:v>INCONCLUSIVE</x:v>
      </x:c>
      <x:c r="Q594" s="34" t="str">
        <x:v>Feedback-Directed Random Test Generation/Result/Jsoup_85/result.json</x:v>
      </x:c>
    </x:row>
    <x:row r="595">
      <x:c r="A595" s="34" t="str">
        <x:v>randoop</x:v>
      </x:c>
      <x:c r="B595" s="34" t="str">
        <x:v>Jsoup</x:v>
      </x:c>
      <x:c r="C595" s="34" t="str">
        <x:v>Round1</x:v>
      </x:c>
      <x:c r="D595" s="34" t="str">
        <x:v>Jsoup_86</x:v>
      </x:c>
      <x:c r="E595" s="34" t="str">
        <x:v>Coverage</x:v>
      </x:c>
      <x:c r="F595" s="34" t="n">
        <x:v>37</x:v>
      </x:c>
      <x:c r="G595" s="34" t="str">
        <x:v>RECORDED</x:v>
      </x:c>
      <x:c r="H595" s="38" t="n">
        <x:f>IF(ISNUMBER('Data'!G595),'Data'!G595*100,"")</x:f>
        <x:v>89.19</x:v>
      </x:c>
      <x:c r="I595" s="34" t="str">
        <x:v>PASS</x:v>
      </x:c>
      <x:c r="J595" s="34" t="str">
        <x:v>PASS</x:v>
      </x:c>
      <x:c r="K595" s="34" t="str">
        <x:v>PASS</x:v>
      </x:c>
      <x:c r="L595" s="34" t="str">
        <x:v>FAIL</x:v>
      </x:c>
      <x:c r="M595" s="34" t="str">
        <x:v>numeric coverage for applicable metric</x:v>
      </x:c>
      <x:c r="N595" s="34" t="str">
        <x:v>Feedback-Directed Random Test Generation/Result/Jsoup_86/result.json</x:v>
      </x:c>
      <x:c r="O595" s="38" t="n">
        <x:f>IF(AND(G595="RECORDED",ISNUMBER(H595)),H595,"")</x:f>
        <x:v>89.19</x:v>
      </x:c>
      <x:c r="P595" s="34" t="str">
        <x:v>INCONCLUSIVE</x:v>
      </x:c>
      <x:c r="Q595" s="34" t="str">
        <x:v>Feedback-Directed Random Test Generation/Result/Jsoup_86/result.json</x:v>
      </x:c>
    </x:row>
    <x:row r="596">
      <x:c r="A596" s="34" t="str">
        <x:v>randoop</x:v>
      </x:c>
      <x:c r="B596" s="34" t="str">
        <x:v>Jsoup</x:v>
      </x:c>
      <x:c r="C596" s="34" t="str">
        <x:v>Round1</x:v>
      </x:c>
      <x:c r="D596" s="34" t="str">
        <x:v>Jsoup_87</x:v>
      </x:c>
      <x:c r="E596" s="34" t="str">
        <x:v>Coverage</x:v>
      </x:c>
      <x:c r="F596" s="34" t="n">
        <x:v>3265</x:v>
      </x:c>
      <x:c r="G596" s="34" t="str">
        <x:v>RECORDED</x:v>
      </x:c>
      <x:c r="H596" s="38" t="n">
        <x:f>IF(ISNUMBER('Data'!G596),'Data'!G596*100,"")</x:f>
        <x:v>37.34</x:v>
      </x:c>
      <x:c r="I596" s="34" t="str">
        <x:v>PASS</x:v>
      </x:c>
      <x:c r="J596" s="34" t="str">
        <x:v>PASS</x:v>
      </x:c>
      <x:c r="K596" s="34" t="str">
        <x:v>PASS</x:v>
      </x:c>
      <x:c r="L596" s="34" t="str">
        <x:v>FAIL</x:v>
      </x:c>
      <x:c r="M596" s="34" t="str">
        <x:v>numeric coverage for applicable metric</x:v>
      </x:c>
      <x:c r="N596" s="34" t="str">
        <x:v>Feedback-Directed Random Test Generation/Result/Jsoup_87/result.json</x:v>
      </x:c>
      <x:c r="O596" s="38" t="n">
        <x:f>IF(AND(G596="RECORDED",ISNUMBER(H596)),H596,"")</x:f>
        <x:v>37.34</x:v>
      </x:c>
      <x:c r="P596" s="34" t="str">
        <x:v>INCONCLUSIVE</x:v>
      </x:c>
      <x:c r="Q596" s="34" t="str">
        <x:v>Feedback-Directed Random Test Generation/Result/Jsoup_87/result.json</x:v>
      </x:c>
    </x:row>
    <x:row r="597">
      <x:c r="A597" s="34" t="str">
        <x:v>randoop</x:v>
      </x:c>
      <x:c r="B597" s="34" t="str">
        <x:v>Jsoup</x:v>
      </x:c>
      <x:c r="C597" s="34" t="str">
        <x:v>Round1</x:v>
      </x:c>
      <x:c r="D597" s="34" t="str">
        <x:v>Jsoup_88</x:v>
      </x:c>
      <x:c r="E597" s="34" t="str">
        <x:v>Coverage</x:v>
      </x:c>
      <x:c r="F597" s="34" t="n">
        <x:v>116</x:v>
      </x:c>
      <x:c r="G597" s="34" t="str">
        <x:v>RECORDED</x:v>
      </x:c>
      <x:c r="H597" s="38" t="n">
        <x:f>IF(ISNUMBER('Data'!G597),'Data'!G597*100,"")</x:f>
        <x:v>61.21</x:v>
      </x:c>
      <x:c r="I597" s="34" t="str">
        <x:v>PASS</x:v>
      </x:c>
      <x:c r="J597" s="34" t="str">
        <x:v>PASS</x:v>
      </x:c>
      <x:c r="K597" s="34" t="str">
        <x:v>PASS</x:v>
      </x:c>
      <x:c r="L597" s="34" t="str">
        <x:v>FAIL</x:v>
      </x:c>
      <x:c r="M597" s="34" t="str">
        <x:v>numeric coverage for applicable metric</x:v>
      </x:c>
      <x:c r="N597" s="34" t="str">
        <x:v>Feedback-Directed Random Test Generation/Result/Jsoup_88/result.json</x:v>
      </x:c>
      <x:c r="O597" s="38" t="n">
        <x:f>IF(AND(G597="RECORDED",ISNUMBER(H597)),H597,"")</x:f>
        <x:v>61.21</x:v>
      </x:c>
      <x:c r="P597" s="34" t="str">
        <x:v>INCONCLUSIVE</x:v>
      </x:c>
      <x:c r="Q597" s="34" t="str">
        <x:v>Feedback-Directed Random Test Generation/Result/Jsoup_88/result.json</x:v>
      </x:c>
    </x:row>
    <x:row r="598">
      <x:c r="A598" s="34" t="str">
        <x:v>randoop</x:v>
      </x:c>
      <x:c r="B598" s="34" t="str">
        <x:v>Jsoup</x:v>
      </x:c>
      <x:c r="C598" s="34" t="str">
        <x:v>Round1</x:v>
      </x:c>
      <x:c r="D598" s="34" t="str">
        <x:v>Jsoup_89</x:v>
      </x:c>
      <x:c r="E598" s="34" t="str">
        <x:v>Coverage</x:v>
      </x:c>
      <x:c r="F598" s="34" t="n">
        <x:v>116</x:v>
      </x:c>
      <x:c r="G598" s="34" t="str">
        <x:v>RECORDED</x:v>
      </x:c>
      <x:c r="H598" s="38" t="n">
        <x:f>IF(ISNUMBER('Data'!G598),'Data'!G598*100,"")</x:f>
        <x:v>61.21</x:v>
      </x:c>
      <x:c r="I598" s="34" t="str">
        <x:v>PASS</x:v>
      </x:c>
      <x:c r="J598" s="34" t="str">
        <x:v>PASS</x:v>
      </x:c>
      <x:c r="K598" s="34" t="str">
        <x:v>PASS</x:v>
      </x:c>
      <x:c r="L598" s="34" t="str">
        <x:v>FAIL</x:v>
      </x:c>
      <x:c r="M598" s="34" t="str">
        <x:v>numeric coverage for applicable metric</x:v>
      </x:c>
      <x:c r="N598" s="34" t="str">
        <x:v>Feedback-Directed Random Test Generation/Result/Jsoup_89/result.json</x:v>
      </x:c>
      <x:c r="O598" s="38" t="n">
        <x:f>IF(AND(G598="RECORDED",ISNUMBER(H598)),H598,"")</x:f>
        <x:v>61.21</x:v>
      </x:c>
      <x:c r="P598" s="34" t="str">
        <x:v>INCONCLUSIVE</x:v>
      </x:c>
      <x:c r="Q598" s="34" t="str">
        <x:v>Feedback-Directed Random Test Generation/Result/Jsoup_89/result.json</x:v>
      </x:c>
    </x:row>
    <x:row r="599">
      <x:c r="A599" s="34" t="str">
        <x:v>randoop</x:v>
      </x:c>
      <x:c r="B599" s="34" t="str">
        <x:v>Jsoup</x:v>
      </x:c>
      <x:c r="C599" s="34" t="str">
        <x:v>Round1</x:v>
      </x:c>
      <x:c r="D599" s="34" t="str">
        <x:v>Jsoup_90</x:v>
      </x:c>
      <x:c r="E599" s="34" t="str">
        <x:v>Coverage</x:v>
      </x:c>
      <x:c r="F599" s="34" t="n">
        <x:v>830</x:v>
      </x:c>
      <x:c r="G599" s="34" t="str">
        <x:v>RECORDED</x:v>
      </x:c>
      <x:c r="H599" s="38" t="n">
        <x:f>IF(ISNUMBER('Data'!G599),'Data'!G599*100,"")</x:f>
        <x:v>43.01</x:v>
      </x:c>
      <x:c r="I599" s="34" t="str">
        <x:v>PASS</x:v>
      </x:c>
      <x:c r="J599" s="34" t="str">
        <x:v>PASS</x:v>
      </x:c>
      <x:c r="K599" s="34" t="str">
        <x:v>PASS</x:v>
      </x:c>
      <x:c r="L599" s="34" t="str">
        <x:v>PASS</x:v>
      </x:c>
      <x:c r="M599" s="34" t="str">
        <x:v>numeric coverage for applicable metric</x:v>
      </x:c>
      <x:c r="N599" s="34" t="str">
        <x:v>Feedback-Directed Random Test Generation/Result/Jsoup_90/result.json</x:v>
      </x:c>
      <x:c r="O599" s="38" t="n">
        <x:f>IF(AND(G599="RECORDED",ISNUMBER(H599)),H599,"")</x:f>
        <x:v>43.01</x:v>
      </x:c>
      <x:c r="P599" s="34" t="str">
        <x:v>NOT_REVEALING</x:v>
      </x:c>
      <x:c r="Q599" s="34" t="str">
        <x:v>Feedback-Directed Random Test Generation/Result/Jsoup_90/result.json</x:v>
      </x:c>
    </x:row>
    <x:row r="600">
      <x:c r="A600" s="34" t="str">
        <x:v>randoop</x:v>
      </x:c>
      <x:c r="B600" s="34" t="str">
        <x:v>Jsoup</x:v>
      </x:c>
      <x:c r="C600" s="34" t="str">
        <x:v>Round1</x:v>
      </x:c>
      <x:c r="D600" s="34" t="str">
        <x:v>Jsoup_91</x:v>
      </x:c>
      <x:c r="E600" s="34" t="str">
        <x:v>Coverage</x:v>
      </x:c>
      <x:c r="F600" s="34" t="n">
        <x:v>439</x:v>
      </x:c>
      <x:c r="G600" s="34" t="str">
        <x:v>RECORDED</x:v>
      </x:c>
      <x:c r="H600" s="38" t="n">
        <x:f>IF(ISNUMBER('Data'!G600),'Data'!G600*100,"")</x:f>
        <x:v>25.509999999999998</x:v>
      </x:c>
      <x:c r="I600" s="34" t="str">
        <x:v>PASS</x:v>
      </x:c>
      <x:c r="J600" s="34" t="str">
        <x:v>PASS</x:v>
      </x:c>
      <x:c r="K600" s="34" t="str">
        <x:v>PASS</x:v>
      </x:c>
      <x:c r="L600" s="34" t="str">
        <x:v>PASS</x:v>
      </x:c>
      <x:c r="M600" s="34" t="str">
        <x:v>numeric coverage for applicable metric</x:v>
      </x:c>
      <x:c r="N600" s="34" t="str">
        <x:v>Feedback-Directed Random Test Generation/Result/Jsoup_91/result.json</x:v>
      </x:c>
      <x:c r="O600" s="38" t="n">
        <x:f>IF(AND(G600="RECORDED",ISNUMBER(H600)),H600,"")</x:f>
        <x:v>25.509999999999998</x:v>
      </x:c>
      <x:c r="P600" s="34" t="str">
        <x:v>NOT_REVEALING</x:v>
      </x:c>
      <x:c r="Q600" s="34" t="str">
        <x:v>Feedback-Directed Random Test Generation/Result/Jsoup_91/result.json</x:v>
      </x:c>
    </x:row>
    <x:row r="601">
      <x:c r="A601" s="34" t="str">
        <x:v>randoop</x:v>
      </x:c>
      <x:c r="B601" s="34" t="str">
        <x:v>Jsoup</x:v>
      </x:c>
      <x:c r="C601" s="34" t="str">
        <x:v>Round1</x:v>
      </x:c>
      <x:c r="D601" s="34" t="str">
        <x:v>Jsoup_92</x:v>
      </x:c>
      <x:c r="E601" s="34" t="str">
        <x:v>Coverage</x:v>
      </x:c>
      <x:c r="F601" s="34" t="n">
        <x:v>1162</x:v>
      </x:c>
      <x:c r="G601" s="34" t="str">
        <x:v>RECORDED</x:v>
      </x:c>
      <x:c r="H601" s="38" t="n">
        <x:f>IF(ISNUMBER('Data'!G601),'Data'!G601*100,"")</x:f>
        <x:v>52.07000000000001</x:v>
      </x:c>
      <x:c r="I601" s="34" t="str">
        <x:v>PASS</x:v>
      </x:c>
      <x:c r="J601" s="34" t="str">
        <x:v>PASS</x:v>
      </x:c>
      <x:c r="K601" s="34" t="str">
        <x:v>PASS</x:v>
      </x:c>
      <x:c r="L601" s="34" t="str">
        <x:v>FAIL</x:v>
      </x:c>
      <x:c r="M601" s="34" t="str">
        <x:v>numeric coverage for applicable metric</x:v>
      </x:c>
      <x:c r="N601" s="34" t="str">
        <x:v>Feedback-Directed Random Test Generation/Result/Jsoup_92/result.json</x:v>
      </x:c>
      <x:c r="O601" s="38" t="n">
        <x:f>IF(AND(G601="RECORDED",ISNUMBER(H601)),H601,"")</x:f>
        <x:v>52.07000000000001</x:v>
      </x:c>
      <x:c r="P601" s="34" t="str">
        <x:v>INCONCLUSIVE</x:v>
      </x:c>
      <x:c r="Q601" s="34" t="str">
        <x:v>Feedback-Directed Random Test Generation/Result/Jsoup_92/result.json</x:v>
      </x:c>
    </x:row>
    <x:row r="602">
      <x:c r="A602" s="34" t="str">
        <x:v>randoop</x:v>
      </x:c>
      <x:c r="B602" s="34" t="str">
        <x:v>Jsoup</x:v>
      </x:c>
      <x:c r="C602" s="34" t="str">
        <x:v>Round1</x:v>
      </x:c>
      <x:c r="D602" s="34" t="str">
        <x:v>Jsoup_93</x:v>
      </x:c>
      <x:c r="E602" s="34" t="str">
        <x:v>Coverage</x:v>
      </x:c>
      <x:c r="F602" s="34" t="n">
        <x:v>70</x:v>
      </x:c>
      <x:c r="G602" s="34" t="str">
        <x:v>RECORDED</x:v>
      </x:c>
      <x:c r="H602" s="38" t="n">
        <x:f>IF(ISNUMBER('Data'!G602),'Data'!G602*100,"")</x:f>
        <x:v>1.43</x:v>
      </x:c>
      <x:c r="I602" s="34" t="str">
        <x:v>PASS</x:v>
      </x:c>
      <x:c r="J602" s="34" t="str">
        <x:v>PASS</x:v>
      </x:c>
      <x:c r="K602" s="34" t="str">
        <x:v>PASS</x:v>
      </x:c>
      <x:c r="L602" s="34" t="str">
        <x:v>PASS</x:v>
      </x:c>
      <x:c r="M602" s="34" t="str">
        <x:v>numeric coverage for applicable metric</x:v>
      </x:c>
      <x:c r="N602" s="34" t="str">
        <x:v>Feedback-Directed Random Test Generation/Result/Jsoup_93/result.json</x:v>
      </x:c>
      <x:c r="O602" s="38" t="n">
        <x:f>IF(AND(G602="RECORDED",ISNUMBER(H602)),H602,"")</x:f>
        <x:v>1.43</x:v>
      </x:c>
      <x:c r="P602" s="34" t="str">
        <x:v>NOT_REVEALING</x:v>
      </x:c>
      <x:c r="Q602" s="34" t="str">
        <x:v>Feedback-Directed Random Test Generation/Result/Jsoup_93/result.json</x:v>
      </x:c>
    </x:row>
    <x:row r="603">
      <x:c r="A603" s="34" t="str">
        <x:v>randoop</x:v>
      </x:c>
      <x:c r="B603" s="34" t="str">
        <x:v>JxPath</x:v>
      </x:c>
      <x:c r="C603" s="34" t="str">
        <x:v>Round1</x:v>
      </x:c>
      <x:c r="D603" s="34" t="str">
        <x:v>JxPath_1</x:v>
      </x:c>
      <x:c r="E603" s="34" t="str">
        <x:v>Coverage</x:v>
      </x:c>
      <x:c r="F603" s="34" t="n">
        <x:v>1329</x:v>
      </x:c>
      <x:c r="G603" s="34" t="str">
        <x:v>RECORDED</x:v>
      </x:c>
      <x:c r="H603" s="38" t="n">
        <x:f>IF(ISNUMBER('Data'!G603),'Data'!G603*100,"")</x:f>
        <x:v>7.980000000000001</x:v>
      </x:c>
      <x:c r="I603" s="34" t="str">
        <x:v>PASS</x:v>
      </x:c>
      <x:c r="J603" s="34" t="str">
        <x:v>PASS</x:v>
      </x:c>
      <x:c r="K603" s="34" t="str">
        <x:v>PASS</x:v>
      </x:c>
      <x:c r="L603" s="34" t="str">
        <x:v>PASS</x:v>
      </x:c>
      <x:c r="M603" s="34" t="str">
        <x:v>numeric coverage for applicable metric</x:v>
      </x:c>
      <x:c r="N603" s="34" t="str">
        <x:v>Feedback-Directed Random Test Generation/Result/JxPath_1/result.json</x:v>
      </x:c>
      <x:c r="O603" s="38" t="n">
        <x:f>IF(AND(G603="RECORDED",ISNUMBER(H603)),H603,"")</x:f>
        <x:v>7.980000000000001</x:v>
      </x:c>
      <x:c r="P603" s="34" t="str">
        <x:v>NOT_REVEALING</x:v>
      </x:c>
      <x:c r="Q603" s="34" t="str">
        <x:v>Feedback-Directed Random Test Generation/Result/JxPath_1/result.json</x:v>
      </x:c>
    </x:row>
    <x:row r="604">
      <x:c r="A604" s="34" t="str">
        <x:v>randoop</x:v>
      </x:c>
      <x:c r="B604" s="34" t="str">
        <x:v>JxPath</x:v>
      </x:c>
      <x:c r="C604" s="34" t="str">
        <x:v>Round1</x:v>
      </x:c>
      <x:c r="D604" s="34" t="str">
        <x:v>JxPath_2</x:v>
      </x:c>
      <x:c r="E604" s="34" t="str">
        <x:v>Coverage</x:v>
      </x:c>
      <x:c r="F604" s="34" t="n">
        <x:v>50</x:v>
      </x:c>
      <x:c r="G604" s="34" t="str">
        <x:v>RECORDED</x:v>
      </x:c>
      <x:c r="H604" s="38" t="n">
        <x:f>IF(ISNUMBER('Data'!G604),'Data'!G604*100,"")</x:f>
        <x:v>34</x:v>
      </x:c>
      <x:c r="I604" s="34" t="str">
        <x:v>PASS</x:v>
      </x:c>
      <x:c r="J604" s="34" t="str">
        <x:v>PASS</x:v>
      </x:c>
      <x:c r="K604" s="34" t="str">
        <x:v>PASS</x:v>
      </x:c>
      <x:c r="L604" s="34" t="str">
        <x:v>PASS</x:v>
      </x:c>
      <x:c r="M604" s="34" t="str">
        <x:v>numeric coverage for applicable metric</x:v>
      </x:c>
      <x:c r="N604" s="34" t="str">
        <x:v>Feedback-Directed Random Test Generation/Result/JxPath_2/result.json</x:v>
      </x:c>
      <x:c r="O604" s="38" t="n">
        <x:f>IF(AND(G604="RECORDED",ISNUMBER(H604)),H604,"")</x:f>
        <x:v>34</x:v>
      </x:c>
      <x:c r="P604" s="34" t="str">
        <x:v>NOT_REVEALING</x:v>
      </x:c>
      <x:c r="Q604" s="34" t="str">
        <x:v>Feedback-Directed Random Test Generation/Result/JxPath_2/result.json</x:v>
      </x:c>
    </x:row>
    <x:row r="605">
      <x:c r="A605" s="34" t="str">
        <x:v>randoop</x:v>
      </x:c>
      <x:c r="B605" s="34" t="str">
        <x:v>JxPath</x:v>
      </x:c>
      <x:c r="C605" s="34" t="str">
        <x:v>Round1</x:v>
      </x:c>
      <x:c r="D605" s="34" t="str">
        <x:v>JxPath_3</x:v>
      </x:c>
      <x:c r="E605" s="34" t="str">
        <x:v>Coverage</x:v>
      </x:c>
      <x:c r="F605" s="34" t="n">
        <x:v>103</x:v>
      </x:c>
      <x:c r="G605" s="34" t="str">
        <x:v>RECORDED</x:v>
      </x:c>
      <x:c r="H605" s="38" t="n">
        <x:f>IF(ISNUMBER('Data'!G605),'Data'!G605*100,"")</x:f>
        <x:v>29.13</x:v>
      </x:c>
      <x:c r="I605" s="34" t="str">
        <x:v>PASS</x:v>
      </x:c>
      <x:c r="J605" s="34" t="str">
        <x:v>PASS</x:v>
      </x:c>
      <x:c r="K605" s="34" t="str">
        <x:v>PASS</x:v>
      </x:c>
      <x:c r="L605" s="34" t="str">
        <x:v>PASS</x:v>
      </x:c>
      <x:c r="M605" s="34" t="str">
        <x:v>numeric coverage for applicable metric</x:v>
      </x:c>
      <x:c r="N605" s="34" t="str">
        <x:v>Feedback-Directed Random Test Generation/Result/JxPath_3/result.json</x:v>
      </x:c>
      <x:c r="O605" s="38" t="n">
        <x:f>IF(AND(G605="RECORDED",ISNUMBER(H605)),H605,"")</x:f>
        <x:v>29.13</x:v>
      </x:c>
      <x:c r="P605" s="34" t="str">
        <x:v>NOT_REVEALING</x:v>
      </x:c>
      <x:c r="Q605" s="34" t="str">
        <x:v>Feedback-Directed Random Test Generation/Result/JxPath_3/result.json</x:v>
      </x:c>
    </x:row>
    <x:row r="606">
      <x:c r="A606" s="34" t="str">
        <x:v>randoop</x:v>
      </x:c>
      <x:c r="B606" s="34" t="str">
        <x:v>JxPath</x:v>
      </x:c>
      <x:c r="C606" s="34" t="str">
        <x:v>Round1</x:v>
      </x:c>
      <x:c r="D606" s="34" t="str">
        <x:v>JxPath_4</x:v>
      </x:c>
      <x:c r="E606" s="34" t="str">
        <x:v>Coverage</x:v>
      </x:c>
      <x:c r="F606" s="34" t="n">
        <x:v>1296</x:v>
      </x:c>
      <x:c r="G606" s="34" t="str">
        <x:v>RECORDED</x:v>
      </x:c>
      <x:c r="H606" s="38" t="n">
        <x:f>IF(ISNUMBER('Data'!G606),'Data'!G606*100,"")</x:f>
        <x:v>8.1</x:v>
      </x:c>
      <x:c r="I606" s="34" t="str">
        <x:v>PASS</x:v>
      </x:c>
      <x:c r="J606" s="34" t="str">
        <x:v>PASS</x:v>
      </x:c>
      <x:c r="K606" s="34" t="str">
        <x:v>PASS</x:v>
      </x:c>
      <x:c r="L606" s="34" t="str">
        <x:v>PASS</x:v>
      </x:c>
      <x:c r="M606" s="34" t="str">
        <x:v>numeric coverage for applicable metric</x:v>
      </x:c>
      <x:c r="N606" s="34" t="str">
        <x:v>Feedback-Directed Random Test Generation/Result/JxPath_4/result.json</x:v>
      </x:c>
      <x:c r="O606" s="38" t="n">
        <x:f>IF(AND(G606="RECORDED",ISNUMBER(H606)),H606,"")</x:f>
        <x:v>8.1</x:v>
      </x:c>
      <x:c r="P606" s="34" t="str">
        <x:v>NOT_REVEALING</x:v>
      </x:c>
      <x:c r="Q606" s="34" t="str">
        <x:v>Feedback-Directed Random Test Generation/Result/JxPath_4/result.json</x:v>
      </x:c>
    </x:row>
    <x:row r="607">
      <x:c r="A607" s="34" t="str">
        <x:v>randoop</x:v>
      </x:c>
      <x:c r="B607" s="34" t="str">
        <x:v>JxPath</x:v>
      </x:c>
      <x:c r="C607" s="34" t="str">
        <x:v>Round1</x:v>
      </x:c>
      <x:c r="D607" s="34" t="str">
        <x:v>JxPath_5</x:v>
      </x:c>
      <x:c r="E607" s="34" t="str">
        <x:v>Coverage</x:v>
      </x:c>
      <x:c r="F607" s="34" t="n">
        <x:v>309</x:v>
      </x:c>
      <x:c r="G607" s="34" t="str">
        <x:v>RECORDED</x:v>
      </x:c>
      <x:c r="H607" s="38" t="n">
        <x:f>IF(ISNUMBER('Data'!G607),'Data'!G607*100,"")</x:f>
        <x:v>32.69</x:v>
      </x:c>
      <x:c r="I607" s="34" t="str">
        <x:v>PASS</x:v>
      </x:c>
      <x:c r="J607" s="34" t="str">
        <x:v>PASS</x:v>
      </x:c>
      <x:c r="K607" s="34" t="str">
        <x:v>PASS</x:v>
      </x:c>
      <x:c r="L607" s="34" t="str">
        <x:v>PASS</x:v>
      </x:c>
      <x:c r="M607" s="34" t="str">
        <x:v>numeric coverage for applicable metric</x:v>
      </x:c>
      <x:c r="N607" s="34" t="str">
        <x:v>Feedback-Directed Random Test Generation/Result/JxPath_5/result.json</x:v>
      </x:c>
      <x:c r="O607" s="38" t="n">
        <x:f>IF(AND(G607="RECORDED",ISNUMBER(H607)),H607,"")</x:f>
        <x:v>32.69</x:v>
      </x:c>
      <x:c r="P607" s="34" t="str">
        <x:v>NOT_REVEALING</x:v>
      </x:c>
      <x:c r="Q607" s="34" t="str">
        <x:v>Feedback-Directed Random Test Generation/Result/JxPath_5/result.json</x:v>
      </x:c>
    </x:row>
    <x:row r="608">
      <x:c r="A608" s="34" t="str">
        <x:v>randoop</x:v>
      </x:c>
      <x:c r="B608" s="34" t="str">
        <x:v>JxPath</x:v>
      </x:c>
      <x:c r="C608" s="34" t="str">
        <x:v>Round1</x:v>
      </x:c>
      <x:c r="D608" s="34" t="str">
        <x:v>JxPath_6</x:v>
      </x:c>
      <x:c r="E608" s="34" t="str">
        <x:v>Coverage</x:v>
      </x:c>
      <x:c r="F608" s="34" t="n">
        <x:v>115</x:v>
      </x:c>
      <x:c r="G608" s="34" t="str">
        <x:v>RECORDED</x:v>
      </x:c>
      <x:c r="H608" s="38" t="n">
        <x:f>IF(ISNUMBER('Data'!G608),'Data'!G608*100,"")</x:f>
        <x:v>0</x:v>
      </x:c>
      <x:c r="I608" s="34" t="str">
        <x:v>PASS</x:v>
      </x:c>
      <x:c r="J608" s="34" t="str">
        <x:v>PASS</x:v>
      </x:c>
      <x:c r="K608" s="34" t="str">
        <x:v>PASS</x:v>
      </x:c>
      <x:c r="L608" s="34" t="str">
        <x:v>PASS</x:v>
      </x:c>
      <x:c r="M608" s="34" t="str">
        <x:v>numeric coverage for applicable metric</x:v>
      </x:c>
      <x:c r="N608" s="34" t="str">
        <x:v>Feedback-Directed Random Test Generation/Result/JxPath_6/result.json</x:v>
      </x:c>
      <x:c r="O608" s="38" t="n">
        <x:f>IF(AND(G608="RECORDED",ISNUMBER(H608)),H608,"")</x:f>
        <x:v>0</x:v>
      </x:c>
      <x:c r="P608" s="34" t="str">
        <x:v>NOT_REVEALING</x:v>
      </x:c>
      <x:c r="Q608" s="34" t="str">
        <x:v>Feedback-Directed Random Test Generation/Result/JxPath_6/result.json</x:v>
      </x:c>
    </x:row>
    <x:row r="609">
      <x:c r="A609" s="34" t="str">
        <x:v>randoop</x:v>
      </x:c>
      <x:c r="B609" s="34" t="str">
        <x:v>JxPath</x:v>
      </x:c>
      <x:c r="C609" s="34" t="str">
        <x:v>Round1</x:v>
      </x:c>
      <x:c r="D609" s="34" t="str">
        <x:v>JxPath_7</x:v>
      </x:c>
      <x:c r="E609" s="34" t="str">
        <x:v>Coverage</x:v>
      </x:c>
      <x:c r="F609" s="34" t="n">
        <x:v>36</x:v>
      </x:c>
      <x:c r="G609" s="34" t="str">
        <x:v>RECORDED</x:v>
      </x:c>
      <x:c r="H609" s="38" t="n">
        <x:f>IF(ISNUMBER('Data'!G609),'Data'!G609*100,"")</x:f>
        <x:v>52.78</x:v>
      </x:c>
      <x:c r="I609" s="34" t="str">
        <x:v>PASS</x:v>
      </x:c>
      <x:c r="J609" s="34" t="str">
        <x:v>PASS</x:v>
      </x:c>
      <x:c r="K609" s="34" t="str">
        <x:v>PASS</x:v>
      </x:c>
      <x:c r="L609" s="34" t="str">
        <x:v>PASS</x:v>
      </x:c>
      <x:c r="M609" s="34" t="str">
        <x:v>numeric coverage for applicable metric</x:v>
      </x:c>
      <x:c r="N609" s="34" t="str">
        <x:v>Feedback-Directed Random Test Generation/Result/JxPath_7/result.json</x:v>
      </x:c>
      <x:c r="O609" s="38" t="n">
        <x:f>IF(AND(G609="RECORDED",ISNUMBER(H609)),H609,"")</x:f>
        <x:v>52.78</x:v>
      </x:c>
      <x:c r="P609" s="34" t="str">
        <x:v>NOT_REVEALING</x:v>
      </x:c>
      <x:c r="Q609" s="34" t="str">
        <x:v>Feedback-Directed Random Test Generation/Result/JxPath_7/result.json</x:v>
      </x:c>
    </x:row>
    <x:row r="610">
      <x:c r="A610" s="34" t="str">
        <x:v>randoop</x:v>
      </x:c>
      <x:c r="B610" s="34" t="str">
        <x:v>JxPath</x:v>
      </x:c>
      <x:c r="C610" s="34" t="str">
        <x:v>Round1</x:v>
      </x:c>
      <x:c r="D610" s="34" t="str">
        <x:v>JxPath_8</x:v>
      </x:c>
      <x:c r="E610" s="34" t="str">
        <x:v>Coverage</x:v>
      </x:c>
      <x:c r="F610" s="34" t="n">
        <x:v>71</x:v>
      </x:c>
      <x:c r="G610" s="34" t="str">
        <x:v>RECORDED</x:v>
      </x:c>
      <x:c r="H610" s="38" t="n">
        <x:f>IF(ISNUMBER('Data'!G610),'Data'!G610*100,"")</x:f>
        <x:v>0</x:v>
      </x:c>
      <x:c r="I610" s="34" t="str">
        <x:v>PASS</x:v>
      </x:c>
      <x:c r="J610" s="34" t="str">
        <x:v>PASS</x:v>
      </x:c>
      <x:c r="K610" s="34" t="str">
        <x:v>PASS</x:v>
      </x:c>
      <x:c r="L610" s="34" t="str">
        <x:v>PASS</x:v>
      </x:c>
      <x:c r="M610" s="34" t="str">
        <x:v>numeric coverage for applicable metric</x:v>
      </x:c>
      <x:c r="N610" s="34" t="str">
        <x:v>Feedback-Directed Random Test Generation/Result/JxPath_8/result.json</x:v>
      </x:c>
      <x:c r="O610" s="38" t="n">
        <x:f>IF(AND(G610="RECORDED",ISNUMBER(H610)),H610,"")</x:f>
        <x:v>0</x:v>
      </x:c>
      <x:c r="P610" s="34" t="str">
        <x:v>NOT_REVEALING</x:v>
      </x:c>
      <x:c r="Q610" s="34" t="str">
        <x:v>Feedback-Directed Random Test Generation/Result/JxPath_8/result.json</x:v>
      </x:c>
    </x:row>
    <x:row r="611">
      <x:c r="A611" s="34" t="str">
        <x:v>randoop</x:v>
      </x:c>
      <x:c r="B611" s="34" t="str">
        <x:v>JxPath</x:v>
      </x:c>
      <x:c r="C611" s="34" t="str">
        <x:v>Round1</x:v>
      </x:c>
      <x:c r="D611" s="34" t="str">
        <x:v>JxPath_9</x:v>
      </x:c>
      <x:c r="E611" s="34" t="str">
        <x:v>Coverage</x:v>
      </x:c>
      <x:c r="F611" s="34" t="n">
        <x:v>129</x:v>
      </x:c>
      <x:c r="G611" s="34" t="str">
        <x:v>RECORDED</x:v>
      </x:c>
      <x:c r="H611" s="38" t="n">
        <x:f>IF(ISNUMBER('Data'!G611),'Data'!G611*100,"")</x:f>
        <x:v>11.63</x:v>
      </x:c>
      <x:c r="I611" s="34" t="str">
        <x:v>PASS</x:v>
      </x:c>
      <x:c r="J611" s="34" t="str">
        <x:v>PASS</x:v>
      </x:c>
      <x:c r="K611" s="34" t="str">
        <x:v>PASS</x:v>
      </x:c>
      <x:c r="L611" s="34" t="str">
        <x:v>PASS</x:v>
      </x:c>
      <x:c r="M611" s="34" t="str">
        <x:v>numeric coverage for applicable metric</x:v>
      </x:c>
      <x:c r="N611" s="34" t="str">
        <x:v>Feedback-Directed Random Test Generation/Result/JxPath_9/result.json</x:v>
      </x:c>
      <x:c r="O611" s="38" t="n">
        <x:f>IF(AND(G611="RECORDED",ISNUMBER(H611)),H611,"")</x:f>
        <x:v>11.63</x:v>
      </x:c>
      <x:c r="P611" s="34" t="str">
        <x:v>NOT_REVEALING</x:v>
      </x:c>
      <x:c r="Q611" s="34" t="str">
        <x:v>Feedback-Directed Random Test Generation/Result/JxPath_9/result.json</x:v>
      </x:c>
    </x:row>
    <x:row r="612">
      <x:c r="A612" s="34" t="str">
        <x:v>randoop</x:v>
      </x:c>
      <x:c r="B612" s="34" t="str">
        <x:v>JxPath</x:v>
      </x:c>
      <x:c r="C612" s="34" t="str">
        <x:v>Round1</x:v>
      </x:c>
      <x:c r="D612" s="34" t="str">
        <x:v>JxPath_10</x:v>
      </x:c>
      <x:c r="E612" s="34" t="str">
        <x:v>Coverage</x:v>
      </x:c>
      <x:c r="F612" s="34" t="n">
        <x:v>79</x:v>
      </x:c>
      <x:c r="G612" s="34" t="str">
        <x:v>RECORDED</x:v>
      </x:c>
      <x:c r="H612" s="38" t="n">
        <x:f>IF(ISNUMBER('Data'!G612),'Data'!G612*100,"")</x:f>
        <x:v>0</x:v>
      </x:c>
      <x:c r="I612" s="34" t="str">
        <x:v>PASS</x:v>
      </x:c>
      <x:c r="J612" s="34" t="str">
        <x:v>PASS</x:v>
      </x:c>
      <x:c r="K612" s="34" t="str">
        <x:v>PASS</x:v>
      </x:c>
      <x:c r="L612" s="34" t="str">
        <x:v>PASS</x:v>
      </x:c>
      <x:c r="M612" s="34" t="str">
        <x:v>numeric coverage for applicable metric</x:v>
      </x:c>
      <x:c r="N612" s="34" t="str">
        <x:v>Feedback-Directed Random Test Generation/Result/JxPath_10/result.json</x:v>
      </x:c>
      <x:c r="O612" s="38" t="n">
        <x:f>IF(AND(G612="RECORDED",ISNUMBER(H612)),H612,"")</x:f>
        <x:v>0</x:v>
      </x:c>
      <x:c r="P612" s="34" t="str">
        <x:v>NOT_REVEALING</x:v>
      </x:c>
      <x:c r="Q612" s="34" t="str">
        <x:v>Feedback-Directed Random Test Generation/Result/JxPath_10/result.json</x:v>
      </x:c>
    </x:row>
    <x:row r="613">
      <x:c r="A613" s="34" t="str">
        <x:v>randoop</x:v>
      </x:c>
      <x:c r="B613" s="34" t="str">
        <x:v>JxPath</x:v>
      </x:c>
      <x:c r="C613" s="34" t="str">
        <x:v>Round1</x:v>
      </x:c>
      <x:c r="D613" s="34" t="str">
        <x:v>JxPath_11</x:v>
      </x:c>
      <x:c r="E613" s="34" t="str">
        <x:v>Coverage</x:v>
      </x:c>
      <x:c r="F613" s="34" t="n">
        <x:v>194</x:v>
      </x:c>
      <x:c r="G613" s="34" t="str">
        <x:v>RECORDED</x:v>
      </x:c>
      <x:c r="H613" s="38" t="n">
        <x:f>IF(ISNUMBER('Data'!G613),'Data'!G613*100,"")</x:f>
        <x:v>5.15</x:v>
      </x:c>
      <x:c r="I613" s="34" t="str">
        <x:v>PASS</x:v>
      </x:c>
      <x:c r="J613" s="34" t="str">
        <x:v>PASS</x:v>
      </x:c>
      <x:c r="K613" s="34" t="str">
        <x:v>PASS</x:v>
      </x:c>
      <x:c r="L613" s="34" t="str">
        <x:v>PASS</x:v>
      </x:c>
      <x:c r="M613" s="34" t="str">
        <x:v>numeric coverage for applicable metric</x:v>
      </x:c>
      <x:c r="N613" s="34" t="str">
        <x:v>Feedback-Directed Random Test Generation/Result/JxPath_11/result.json</x:v>
      </x:c>
      <x:c r="O613" s="38" t="n">
        <x:f>IF(AND(G613="RECORDED",ISNUMBER(H613)),H613,"")</x:f>
        <x:v>5.15</x:v>
      </x:c>
      <x:c r="P613" s="34" t="str">
        <x:v>NOT_REVEALING</x:v>
      </x:c>
      <x:c r="Q613" s="34" t="str">
        <x:v>Feedback-Directed Random Test Generation/Result/JxPath_11/result.json</x:v>
      </x:c>
    </x:row>
    <x:row r="614">
      <x:c r="A614" s="34" t="str">
        <x:v>randoop</x:v>
      </x:c>
      <x:c r="B614" s="34" t="str">
        <x:v>JxPath</x:v>
      </x:c>
      <x:c r="C614" s="34" t="str">
        <x:v>Round1</x:v>
      </x:c>
      <x:c r="D614" s="34" t="str">
        <x:v>JxPath_12</x:v>
      </x:c>
      <x:c r="E614" s="34" t="str">
        <x:v>Coverage</x:v>
      </x:c>
      <x:c r="F614" s="34" t="n">
        <x:v>628</x:v>
      </x:c>
      <x:c r="G614" s="34" t="str">
        <x:v>RECORDED</x:v>
      </x:c>
      <x:c r="H614" s="38" t="n">
        <x:f>IF(ISNUMBER('Data'!G614),'Data'!G614*100,"")</x:f>
        <x:v>11.94</x:v>
      </x:c>
      <x:c r="I614" s="34" t="str">
        <x:v>PASS</x:v>
      </x:c>
      <x:c r="J614" s="34" t="str">
        <x:v>PASS</x:v>
      </x:c>
      <x:c r="K614" s="34" t="str">
        <x:v>PASS</x:v>
      </x:c>
      <x:c r="L614" s="34" t="str">
        <x:v>PASS</x:v>
      </x:c>
      <x:c r="M614" s="34" t="str">
        <x:v>numeric coverage for applicable metric</x:v>
      </x:c>
      <x:c r="N614" s="34" t="str">
        <x:v>Feedback-Directed Random Test Generation/Result/JxPath_12/result.json</x:v>
      </x:c>
      <x:c r="O614" s="38" t="n">
        <x:f>IF(AND(G614="RECORDED",ISNUMBER(H614)),H614,"")</x:f>
        <x:v>11.94</x:v>
      </x:c>
      <x:c r="P614" s="34" t="str">
        <x:v>NOT_REVEALING</x:v>
      </x:c>
      <x:c r="Q614" s="34" t="str">
        <x:v>Feedback-Directed Random Test Generation/Result/JxPath_12/result.json</x:v>
      </x:c>
    </x:row>
    <x:row r="615">
      <x:c r="A615" s="34" t="str">
        <x:v>randoop</x:v>
      </x:c>
      <x:c r="B615" s="34" t="str">
        <x:v>JxPath</x:v>
      </x:c>
      <x:c r="C615" s="34" t="str">
        <x:v>Round1</x:v>
      </x:c>
      <x:c r="D615" s="34" t="str">
        <x:v>JxPath_13</x:v>
      </x:c>
      <x:c r="E615" s="34" t="str">
        <x:v>Coverage</x:v>
      </x:c>
      <x:c r="F615" s="34" t="n">
        <x:v>717</x:v>
      </x:c>
      <x:c r="G615" s="34" t="str">
        <x:v>RECORDED</x:v>
      </x:c>
      <x:c r="H615" s="38" t="n">
        <x:f>IF(ISNUMBER('Data'!G615),'Data'!G615*100,"")</x:f>
        <x:v>8.79</x:v>
      </x:c>
      <x:c r="I615" s="34" t="str">
        <x:v>PASS</x:v>
      </x:c>
      <x:c r="J615" s="34" t="str">
        <x:v>PASS</x:v>
      </x:c>
      <x:c r="K615" s="34" t="str">
        <x:v>PASS</x:v>
      </x:c>
      <x:c r="L615" s="34" t="str">
        <x:v>PASS</x:v>
      </x:c>
      <x:c r="M615" s="34" t="str">
        <x:v>numeric coverage for applicable metric</x:v>
      </x:c>
      <x:c r="N615" s="34" t="str">
        <x:v>Feedback-Directed Random Test Generation/Result/JxPath_13/result.json</x:v>
      </x:c>
      <x:c r="O615" s="38" t="n">
        <x:f>IF(AND(G615="RECORDED",ISNUMBER(H615)),H615,"")</x:f>
        <x:v>8.79</x:v>
      </x:c>
      <x:c r="P615" s="34" t="str">
        <x:v>NOT_REVEALING</x:v>
      </x:c>
      <x:c r="Q615" s="34" t="str">
        <x:v>Feedback-Directed Random Test Generation/Result/JxPath_13/result.json</x:v>
      </x:c>
    </x:row>
    <x:row r="616">
      <x:c r="A616" s="34" t="str">
        <x:v>randoop</x:v>
      </x:c>
      <x:c r="B616" s="34" t="str">
        <x:v>JxPath</x:v>
      </x:c>
      <x:c r="C616" s="34" t="str">
        <x:v>Round1</x:v>
      </x:c>
      <x:c r="D616" s="34" t="str">
        <x:v>JxPath_14</x:v>
      </x:c>
      <x:c r="E616" s="34" t="str">
        <x:v>Coverage</x:v>
      </x:c>
      <x:c r="F616" s="34" t="n">
        <x:v>567</x:v>
      </x:c>
      <x:c r="G616" s="34" t="str">
        <x:v>RECORDED</x:v>
      </x:c>
      <x:c r="H616" s="38" t="n">
        <x:f>IF(ISNUMBER('Data'!G616),'Data'!G616*100,"")</x:f>
        <x:v>13.23</x:v>
      </x:c>
      <x:c r="I616" s="34" t="str">
        <x:v>PASS</x:v>
      </x:c>
      <x:c r="J616" s="34" t="str">
        <x:v>PASS</x:v>
      </x:c>
      <x:c r="K616" s="34" t="str">
        <x:v>PASS</x:v>
      </x:c>
      <x:c r="L616" s="34" t="str">
        <x:v>PASS</x:v>
      </x:c>
      <x:c r="M616" s="34" t="str">
        <x:v>numeric coverage for applicable metric</x:v>
      </x:c>
      <x:c r="N616" s="34" t="str">
        <x:v>Feedback-Directed Random Test Generation/Result/JxPath_14/result.json</x:v>
      </x:c>
      <x:c r="O616" s="38" t="n">
        <x:f>IF(AND(G616="RECORDED",ISNUMBER(H616)),H616,"")</x:f>
        <x:v>13.23</x:v>
      </x:c>
      <x:c r="P616" s="34" t="str">
        <x:v>NOT_REVEALING</x:v>
      </x:c>
      <x:c r="Q616" s="34" t="str">
        <x:v>Feedback-Directed Random Test Generation/Result/JxPath_14/result.json</x:v>
      </x:c>
    </x:row>
    <x:row r="617">
      <x:c r="A617" s="34" t="str">
        <x:v>randoop</x:v>
      </x:c>
      <x:c r="B617" s="34" t="str">
        <x:v>JxPath</x:v>
      </x:c>
      <x:c r="C617" s="34" t="str">
        <x:v>Round1</x:v>
      </x:c>
      <x:c r="D617" s="34" t="str">
        <x:v>JxPath_15</x:v>
      </x:c>
      <x:c r="E617" s="34" t="str">
        <x:v>Coverage</x:v>
      </x:c>
      <x:c r="F617" s="34" t="n">
        <x:v>30</x:v>
      </x:c>
      <x:c r="G617" s="34" t="str">
        <x:v>RECORDED</x:v>
      </x:c>
      <x:c r="H617" s="38" t="n">
        <x:f>IF(ISNUMBER('Data'!G617),'Data'!G617*100,"")</x:f>
        <x:v>46.67</x:v>
      </x:c>
      <x:c r="I617" s="34" t="str">
        <x:v>PASS</x:v>
      </x:c>
      <x:c r="J617" s="34" t="str">
        <x:v>PASS</x:v>
      </x:c>
      <x:c r="K617" s="34" t="str">
        <x:v>PASS</x:v>
      </x:c>
      <x:c r="L617" s="34" t="str">
        <x:v>PASS</x:v>
      </x:c>
      <x:c r="M617" s="34" t="str">
        <x:v>numeric coverage for applicable metric</x:v>
      </x:c>
      <x:c r="N617" s="34" t="str">
        <x:v>Feedback-Directed Random Test Generation/Result/JxPath_15/result.json</x:v>
      </x:c>
      <x:c r="O617" s="38" t="n">
        <x:f>IF(AND(G617="RECORDED",ISNUMBER(H617)),H617,"")</x:f>
        <x:v>46.67</x:v>
      </x:c>
      <x:c r="P617" s="34" t="str">
        <x:v>NOT_REVEALING</x:v>
      </x:c>
      <x:c r="Q617" s="34" t="str">
        <x:v>Feedback-Directed Random Test Generation/Result/JxPath_15/result.json</x:v>
      </x:c>
    </x:row>
    <x:row r="618">
      <x:c r="A618" s="34" t="str">
        <x:v>randoop</x:v>
      </x:c>
      <x:c r="B618" s="34" t="str">
        <x:v>JxPath</x:v>
      </x:c>
      <x:c r="C618" s="34" t="str">
        <x:v>Round1</x:v>
      </x:c>
      <x:c r="D618" s="34" t="str">
        <x:v>JxPath_16</x:v>
      </x:c>
      <x:c r="E618" s="34" t="str">
        <x:v>Coverage</x:v>
      </x:c>
      <x:c r="F618" s="34" t="n">
        <x:v>1359</x:v>
      </x:c>
      <x:c r="G618" s="34" t="str">
        <x:v>RECORDED</x:v>
      </x:c>
      <x:c r="H618" s="38" t="n">
        <x:f>IF(ISNUMBER('Data'!G618),'Data'!G618*100,"")</x:f>
        <x:v>6.99</x:v>
      </x:c>
      <x:c r="I618" s="34" t="str">
        <x:v>PASS</x:v>
      </x:c>
      <x:c r="J618" s="34" t="str">
        <x:v>PASS</x:v>
      </x:c>
      <x:c r="K618" s="34" t="str">
        <x:v>PASS</x:v>
      </x:c>
      <x:c r="L618" s="34" t="str">
        <x:v>PASS</x:v>
      </x:c>
      <x:c r="M618" s="34" t="str">
        <x:v>numeric coverage for applicable metric</x:v>
      </x:c>
      <x:c r="N618" s="34" t="str">
        <x:v>Feedback-Directed Random Test Generation/Result/JxPath_16/result.json</x:v>
      </x:c>
      <x:c r="O618" s="38" t="n">
        <x:f>IF(AND(G618="RECORDED",ISNUMBER(H618)),H618,"")</x:f>
        <x:v>6.99</x:v>
      </x:c>
      <x:c r="P618" s="34" t="str">
        <x:v>NOT_REVEALING</x:v>
      </x:c>
      <x:c r="Q618" s="34" t="str">
        <x:v>Feedback-Directed Random Test Generation/Result/JxPath_16/result.json</x:v>
      </x:c>
    </x:row>
    <x:row r="619">
      <x:c r="A619" s="34" t="str">
        <x:v>randoop</x:v>
      </x:c>
      <x:c r="B619" s="34" t="str">
        <x:v>JxPath</x:v>
      </x:c>
      <x:c r="C619" s="34" t="str">
        <x:v>Round1</x:v>
      </x:c>
      <x:c r="D619" s="34" t="str">
        <x:v>JxPath_17</x:v>
      </x:c>
      <x:c r="E619" s="34" t="str">
        <x:v>Coverage</x:v>
      </x:c>
      <x:c r="F619" s="34" t="n">
        <x:v>199</x:v>
      </x:c>
      <x:c r="G619" s="34" t="str">
        <x:v>RECORDED</x:v>
      </x:c>
      <x:c r="H619" s="38" t="n">
        <x:f>IF(ISNUMBER('Data'!G619),'Data'!G619*100,"")</x:f>
        <x:v>5.03</x:v>
      </x:c>
      <x:c r="I619" s="34" t="str">
        <x:v>PASS</x:v>
      </x:c>
      <x:c r="J619" s="34" t="str">
        <x:v>PASS</x:v>
      </x:c>
      <x:c r="K619" s="34" t="str">
        <x:v>PASS</x:v>
      </x:c>
      <x:c r="L619" s="34" t="str">
        <x:v>PASS</x:v>
      </x:c>
      <x:c r="M619" s="34" t="str">
        <x:v>numeric coverage for applicable metric</x:v>
      </x:c>
      <x:c r="N619" s="34" t="str">
        <x:v>Feedback-Directed Random Test Generation/Result/JxPath_17/result.json</x:v>
      </x:c>
      <x:c r="O619" s="38" t="n">
        <x:f>IF(AND(G619="RECORDED",ISNUMBER(H619)),H619,"")</x:f>
        <x:v>5.03</x:v>
      </x:c>
      <x:c r="P619" s="34" t="str">
        <x:v>NOT_REVEALING</x:v>
      </x:c>
      <x:c r="Q619" s="34" t="str">
        <x:v>Feedback-Directed Random Test Generation/Result/JxPath_17/result.json</x:v>
      </x:c>
    </x:row>
    <x:row r="620">
      <x:c r="A620" s="34" t="str">
        <x:v>randoop</x:v>
      </x:c>
      <x:c r="B620" s="34" t="str">
        <x:v>JxPath</x:v>
      </x:c>
      <x:c r="C620" s="34" t="str">
        <x:v>Round1</x:v>
      </x:c>
      <x:c r="D620" s="34" t="str">
        <x:v>JxPath_18</x:v>
      </x:c>
      <x:c r="E620" s="34" t="str">
        <x:v>Coverage</x:v>
      </x:c>
      <x:c r="F620" s="34" t="n">
        <x:v>43</x:v>
      </x:c>
      <x:c r="G620" s="34" t="str">
        <x:v>RECORDED</x:v>
      </x:c>
      <x:c r="H620" s="38" t="n">
        <x:f>IF(ISNUMBER('Data'!G620),'Data'!G620*100,"")</x:f>
        <x:v>48.84</x:v>
      </x:c>
      <x:c r="I620" s="34" t="str">
        <x:v>PASS</x:v>
      </x:c>
      <x:c r="J620" s="34" t="str">
        <x:v>PASS</x:v>
      </x:c>
      <x:c r="K620" s="34" t="str">
        <x:v>PASS</x:v>
      </x:c>
      <x:c r="L620" s="34" t="str">
        <x:v>PASS</x:v>
      </x:c>
      <x:c r="M620" s="34" t="str">
        <x:v>numeric coverage for applicable metric</x:v>
      </x:c>
      <x:c r="N620" s="34" t="str">
        <x:v>Feedback-Directed Random Test Generation/Result/JxPath_18/result.json</x:v>
      </x:c>
      <x:c r="O620" s="38" t="n">
        <x:f>IF(AND(G620="RECORDED",ISNUMBER(H620)),H620,"")</x:f>
        <x:v>48.84</x:v>
      </x:c>
      <x:c r="P620" s="34" t="str">
        <x:v>NOT_REVEALING</x:v>
      </x:c>
      <x:c r="Q620" s="34" t="str">
        <x:v>Feedback-Directed Random Test Generation/Result/JxPath_18/result.json</x:v>
      </x:c>
    </x:row>
    <x:row r="621">
      <x:c r="A621" s="34" t="str">
        <x:v>randoop</x:v>
      </x:c>
      <x:c r="B621" s="34" t="str">
        <x:v>JxPath</x:v>
      </x:c>
      <x:c r="C621" s="34" t="str">
        <x:v>Round1</x:v>
      </x:c>
      <x:c r="D621" s="34" t="str">
        <x:v>JxPath_19</x:v>
      </x:c>
      <x:c r="E621" s="34" t="str">
        <x:v>Coverage</x:v>
      </x:c>
      <x:c r="F621" s="34" t="n">
        <x:v>1289</x:v>
      </x:c>
      <x:c r="G621" s="34" t="str">
        <x:v>RECORDED</x:v>
      </x:c>
      <x:c r="H621" s="38" t="n">
        <x:f>IF(ISNUMBER('Data'!G621),'Data'!G621*100,"")</x:f>
        <x:v>6.98</x:v>
      </x:c>
      <x:c r="I621" s="34" t="str">
        <x:v>PASS</x:v>
      </x:c>
      <x:c r="J621" s="34" t="str">
        <x:v>PASS</x:v>
      </x:c>
      <x:c r="K621" s="34" t="str">
        <x:v>PASS</x:v>
      </x:c>
      <x:c r="L621" s="34" t="str">
        <x:v>PASS</x:v>
      </x:c>
      <x:c r="M621" s="34" t="str">
        <x:v>numeric coverage for applicable metric</x:v>
      </x:c>
      <x:c r="N621" s="34" t="str">
        <x:v>Feedback-Directed Random Test Generation/Result/JxPath_19/result.json</x:v>
      </x:c>
      <x:c r="O621" s="38" t="n">
        <x:f>IF(AND(G621="RECORDED",ISNUMBER(H621)),H621,"")</x:f>
        <x:v>6.98</x:v>
      </x:c>
      <x:c r="P621" s="34" t="str">
        <x:v>NOT_REVEALING</x:v>
      </x:c>
      <x:c r="Q621" s="34" t="str">
        <x:v>Feedback-Directed Random Test Generation/Result/JxPath_19/result.json</x:v>
      </x:c>
    </x:row>
    <x:row r="622">
      <x:c r="A622" s="34" t="str">
        <x:v>randoop</x:v>
      </x:c>
      <x:c r="B622" s="34" t="str">
        <x:v>JxPath</x:v>
      </x:c>
      <x:c r="C622" s="34" t="str">
        <x:v>Round1</x:v>
      </x:c>
      <x:c r="D622" s="34" t="str">
        <x:v>JxPath_20</x:v>
      </x:c>
      <x:c r="E622" s="34" t="str">
        <x:v>Coverage</x:v>
      </x:c>
      <x:c r="F622" s="34" t="n">
        <x:v>79</x:v>
      </x:c>
      <x:c r="G622" s="34" t="str">
        <x:v>RECORDED</x:v>
      </x:c>
      <x:c r="H622" s="38" t="n">
        <x:f>IF(ISNUMBER('Data'!G622),'Data'!G622*100,"")</x:f>
        <x:v>0</x:v>
      </x:c>
      <x:c r="I622" s="34" t="str">
        <x:v>PASS</x:v>
      </x:c>
      <x:c r="J622" s="34" t="str">
        <x:v>PASS</x:v>
      </x:c>
      <x:c r="K622" s="34" t="str">
        <x:v>PASS</x:v>
      </x:c>
      <x:c r="L622" s="34" t="str">
        <x:v>PASS</x:v>
      </x:c>
      <x:c r="M622" s="34" t="str">
        <x:v>numeric coverage for applicable metric</x:v>
      </x:c>
      <x:c r="N622" s="34" t="str">
        <x:v>Feedback-Directed Random Test Generation/Result/JxPath_20/result.json</x:v>
      </x:c>
      <x:c r="O622" s="38" t="n">
        <x:f>IF(AND(G622="RECORDED",ISNUMBER(H622)),H622,"")</x:f>
        <x:v>0</x:v>
      </x:c>
      <x:c r="P622" s="34" t="str">
        <x:v>NOT_REVEALING</x:v>
      </x:c>
      <x:c r="Q622" s="34" t="str">
        <x:v>Feedback-Directed Random Test Generation/Result/JxPath_20/result.json</x:v>
      </x:c>
    </x:row>
    <x:row r="623">
      <x:c r="A623" s="34" t="str">
        <x:v>randoop</x:v>
      </x:c>
      <x:c r="B623" s="34" t="str">
        <x:v>JxPath</x:v>
      </x:c>
      <x:c r="C623" s="34" t="str">
        <x:v>Round1</x:v>
      </x:c>
      <x:c r="D623" s="34" t="str">
        <x:v>JxPath_21</x:v>
      </x:c>
      <x:c r="E623" s="34" t="str">
        <x:v>Coverage</x:v>
      </x:c>
      <x:c r="F623" s="34" t="n">
        <x:v>122</x:v>
      </x:c>
      <x:c r="G623" s="34" t="str">
        <x:v>RECORDED</x:v>
      </x:c>
      <x:c r="H623" s="38" t="n">
        <x:f>IF(ISNUMBER('Data'!G623),'Data'!G623*100,"")</x:f>
        <x:v>4.1</x:v>
      </x:c>
      <x:c r="I623" s="34" t="str">
        <x:v>PASS</x:v>
      </x:c>
      <x:c r="J623" s="34" t="str">
        <x:v>PASS</x:v>
      </x:c>
      <x:c r="K623" s="34" t="str">
        <x:v>PASS</x:v>
      </x:c>
      <x:c r="L623" s="34" t="str">
        <x:v>PASS</x:v>
      </x:c>
      <x:c r="M623" s="34" t="str">
        <x:v>numeric coverage for applicable metric</x:v>
      </x:c>
      <x:c r="N623" s="34" t="str">
        <x:v>Feedback-Directed Random Test Generation/Result/JxPath_21/result.json</x:v>
      </x:c>
      <x:c r="O623" s="38" t="n">
        <x:f>IF(AND(G623="RECORDED",ISNUMBER(H623)),H623,"")</x:f>
        <x:v>4.1</x:v>
      </x:c>
      <x:c r="P623" s="34" t="str">
        <x:v>NOT_REVEALING</x:v>
      </x:c>
      <x:c r="Q623" s="34" t="str">
        <x:v>Feedback-Directed Random Test Generation/Result/JxPath_21/result.json</x:v>
      </x:c>
    </x:row>
    <x:row r="624">
      <x:c r="A624" s="34" t="str">
        <x:v>randoop</x:v>
      </x:c>
      <x:c r="B624" s="34" t="str">
        <x:v>JxPath</x:v>
      </x:c>
      <x:c r="C624" s="34" t="str">
        <x:v>Round1</x:v>
      </x:c>
      <x:c r="D624" s="34" t="str">
        <x:v>JxPath_22</x:v>
      </x:c>
      <x:c r="E624" s="34" t="str">
        <x:v>Coverage</x:v>
      </x:c>
      <x:c r="F624" s="34" t="n">
        <x:v>628</x:v>
      </x:c>
      <x:c r="G624" s="34" t="str">
        <x:v>RECORDED</x:v>
      </x:c>
      <x:c r="H624" s="38" t="n">
        <x:f>IF(ISNUMBER('Data'!G624),'Data'!G624*100,"")</x:f>
        <x:v>7.8</x:v>
      </x:c>
      <x:c r="I624" s="34" t="str">
        <x:v>PASS</x:v>
      </x:c>
      <x:c r="J624" s="34" t="str">
        <x:v>PASS</x:v>
      </x:c>
      <x:c r="K624" s="34" t="str">
        <x:v>PASS</x:v>
      </x:c>
      <x:c r="L624" s="34" t="str">
        <x:v>PASS</x:v>
      </x:c>
      <x:c r="M624" s="34" t="str">
        <x:v>numeric coverage for applicable metric</x:v>
      </x:c>
      <x:c r="N624" s="34" t="str">
        <x:v>Feedback-Directed Random Test Generation/Result/JxPath_22/result.json</x:v>
      </x:c>
      <x:c r="O624" s="38" t="n">
        <x:f>IF(AND(G624="RECORDED",ISNUMBER(H624)),H624,"")</x:f>
        <x:v>7.8</x:v>
      </x:c>
      <x:c r="P624" s="34" t="str">
        <x:v>NOT_REVEALING</x:v>
      </x:c>
      <x:c r="Q624" s="34" t="str">
        <x:v>Feedback-Directed Random Test Generation/Result/JxPath_22/result.json</x:v>
      </x:c>
    </x:row>
    <x:row r="625">
      <x:c r="A625" s="34" t="str">
        <x:v>randoop</x:v>
      </x:c>
      <x:c r="B625" s="34" t="str">
        <x:v>Lang</x:v>
      </x:c>
      <x:c r="C625" s="34" t="str">
        <x:v>Round1</x:v>
      </x:c>
      <x:c r="D625" s="34" t="str">
        <x:v>Lang_1</x:v>
      </x:c>
      <x:c r="E625" s="34" t="str">
        <x:v>Coverage</x:v>
      </x:c>
      <x:c r="F625" s="34" t="n">
        <x:v>713</x:v>
      </x:c>
      <x:c r="G625" s="34" t="str">
        <x:v>RECORDED</x:v>
      </x:c>
      <x:c r="H625" s="38" t="n">
        <x:f>IF(ISNUMBER('Data'!G625),'Data'!G625*100,"")</x:f>
        <x:v>54.559999999999995</x:v>
      </x:c>
      <x:c r="I625" s="34" t="str">
        <x:v>PASS</x:v>
      </x:c>
      <x:c r="J625" s="34" t="str">
        <x:v>PASS</x:v>
      </x:c>
      <x:c r="K625" s="34" t="str">
        <x:v>PASS</x:v>
      </x:c>
      <x:c r="L625" s="34" t="str">
        <x:v>PASS</x:v>
      </x:c>
      <x:c r="M625" s="34" t="str">
        <x:v>numeric coverage for applicable metric</x:v>
      </x:c>
      <x:c r="N625" s="34" t="str">
        <x:v>Feedback-Directed Random Test Generation/Result/Lang_1/result.json</x:v>
      </x:c>
      <x:c r="O625" s="38" t="n">
        <x:f>IF(AND(G625="RECORDED",ISNUMBER(H625)),H625,"")</x:f>
        <x:v>54.559999999999995</x:v>
      </x:c>
      <x:c r="P625" s="34" t="str">
        <x:v>NOT_REVEALING</x:v>
      </x:c>
      <x:c r="Q625" s="34" t="str">
        <x:v>Feedback-Directed Random Test Generation/Result/Lang_1/result.json</x:v>
      </x:c>
    </x:row>
    <x:row r="626">
      <x:c r="A626" s="34" t="str">
        <x:v>randoop</x:v>
      </x:c>
      <x:c r="B626" s="34" t="str">
        <x:v>Lang</x:v>
      </x:c>
      <x:c r="C626" s="34" t="str">
        <x:v>Round1</x:v>
      </x:c>
      <x:c r="D626" s="34" t="str">
        <x:v>Lang_3</x:v>
      </x:c>
      <x:c r="E626" s="34" t="str">
        <x:v>Coverage</x:v>
      </x:c>
      <x:c r="F626" s="34" t="n">
        <x:v>707</x:v>
      </x:c>
      <x:c r="G626" s="34" t="str">
        <x:v>RECORDED</x:v>
      </x:c>
      <x:c r="H626" s="38" t="n">
        <x:f>IF(ISNUMBER('Data'!G626),'Data'!G626*100,"")</x:f>
        <x:v>55.02</x:v>
      </x:c>
      <x:c r="I626" s="34" t="str">
        <x:v>PASS</x:v>
      </x:c>
      <x:c r="J626" s="34" t="str">
        <x:v>PASS</x:v>
      </x:c>
      <x:c r="K626" s="34" t="str">
        <x:v>PASS</x:v>
      </x:c>
      <x:c r="L626" s="34" t="str">
        <x:v>PASS</x:v>
      </x:c>
      <x:c r="M626" s="34" t="str">
        <x:v>numeric coverage for applicable metric</x:v>
      </x:c>
      <x:c r="N626" s="34" t="str">
        <x:v>Feedback-Directed Random Test Generation/Result/Lang_3/result.json</x:v>
      </x:c>
      <x:c r="O626" s="38" t="n">
        <x:f>IF(AND(G626="RECORDED",ISNUMBER(H626)),H626,"")</x:f>
        <x:v>55.02</x:v>
      </x:c>
      <x:c r="P626" s="34" t="str">
        <x:v>NOT_REVEALING</x:v>
      </x:c>
      <x:c r="Q626" s="34" t="str">
        <x:v>Feedback-Directed Random Test Generation/Result/Lang_3/result.json</x:v>
      </x:c>
    </x:row>
    <x:row r="627">
      <x:c r="A627" s="34" t="str">
        <x:v>randoop</x:v>
      </x:c>
      <x:c r="B627" s="34" t="str">
        <x:v>Lang</x:v>
      </x:c>
      <x:c r="C627" s="34" t="str">
        <x:v>Round1</x:v>
      </x:c>
      <x:c r="D627" s="34" t="str">
        <x:v>Lang_4</x:v>
      </x:c>
      <x:c r="E627" s="34" t="str">
        <x:v>Coverage</x:v>
      </x:c>
      <x:c r="F627" s="34" t="n">
        <x:v>39</x:v>
      </x:c>
      <x:c r="G627" s="34" t="str">
        <x:v>RECORDED</x:v>
      </x:c>
      <x:c r="H627" s="38" t="n">
        <x:f>IF(ISNUMBER('Data'!G627),'Data'!G627*100,"")</x:f>
        <x:v>100</x:v>
      </x:c>
      <x:c r="I627" s="34" t="str">
        <x:v>PASS</x:v>
      </x:c>
      <x:c r="J627" s="34" t="str">
        <x:v>PASS</x:v>
      </x:c>
      <x:c r="K627" s="34" t="str">
        <x:v>PASS</x:v>
      </x:c>
      <x:c r="L627" s="34" t="str">
        <x:v>PASS</x:v>
      </x:c>
      <x:c r="M627" s="34" t="str">
        <x:v>numeric coverage for applicable metric</x:v>
      </x:c>
      <x:c r="N627" s="34" t="str">
        <x:v>Feedback-Directed Random Test Generation/Result/Lang_4/result.json</x:v>
      </x:c>
      <x:c r="O627" s="38" t="n">
        <x:f>IF(AND(G627="RECORDED",ISNUMBER(H627)),H627,"")</x:f>
        <x:v>100</x:v>
      </x:c>
      <x:c r="P627" s="34" t="str">
        <x:v>NOT_REVEALING</x:v>
      </x:c>
      <x:c r="Q627" s="34" t="str">
        <x:v>Feedback-Directed Random Test Generation/Result/Lang_4/result.json</x:v>
      </x:c>
    </x:row>
    <x:row r="628">
      <x:c r="A628" s="34" t="str">
        <x:v>randoop</x:v>
      </x:c>
      <x:c r="B628" s="34" t="str">
        <x:v>Lang</x:v>
      </x:c>
      <x:c r="C628" s="34" t="str">
        <x:v>Round1</x:v>
      </x:c>
      <x:c r="D628" s="34" t="str">
        <x:v>Lang_5</x:v>
      </x:c>
      <x:c r="E628" s="34" t="str">
        <x:v>Coverage</x:v>
      </x:c>
      <x:c r="F628" s="34" t="n">
        <x:v>138</x:v>
      </x:c>
      <x:c r="G628" s="34" t="str">
        <x:v>RECORDED</x:v>
      </x:c>
      <x:c r="H628" s="38" t="n">
        <x:f>IF(ISNUMBER('Data'!G628),'Data'!G628*100,"")</x:f>
        <x:v>55.8</x:v>
      </x:c>
      <x:c r="I628" s="34" t="str">
        <x:v>PASS</x:v>
      </x:c>
      <x:c r="J628" s="34" t="str">
        <x:v>PASS</x:v>
      </x:c>
      <x:c r="K628" s="34" t="str">
        <x:v>PASS</x:v>
      </x:c>
      <x:c r="L628" s="34" t="str">
        <x:v>PASS</x:v>
      </x:c>
      <x:c r="M628" s="34" t="str">
        <x:v>numeric coverage for applicable metric</x:v>
      </x:c>
      <x:c r="N628" s="34" t="str">
        <x:v>Feedback-Directed Random Test Generation/Result/Lang_5/result.json</x:v>
      </x:c>
      <x:c r="O628" s="38" t="n">
        <x:f>IF(AND(G628="RECORDED",ISNUMBER(H628)),H628,"")</x:f>
        <x:v>55.8</x:v>
      </x:c>
      <x:c r="P628" s="34" t="str">
        <x:v>NOT_REVEALING</x:v>
      </x:c>
      <x:c r="Q628" s="34" t="str">
        <x:v>Feedback-Directed Random Test Generation/Result/Lang_5/result.json</x:v>
      </x:c>
    </x:row>
    <x:row r="629">
      <x:c r="A629" s="34" t="str">
        <x:v>randoop</x:v>
      </x:c>
      <x:c r="B629" s="34" t="str">
        <x:v>Lang</x:v>
      </x:c>
      <x:c r="C629" s="34" t="str">
        <x:v>Round1</x:v>
      </x:c>
      <x:c r="D629" s="34" t="str">
        <x:v>Lang_6</x:v>
      </x:c>
      <x:c r="E629" s="34" t="str">
        <x:v>Coverage</x:v>
      </x:c>
      <x:c r="F629" s="34" t="n">
        <x:v>42</x:v>
      </x:c>
      <x:c r="G629" s="34" t="str">
        <x:v>RECORDED</x:v>
      </x:c>
      <x:c r="H629" s="38" t="n">
        <x:f>IF(ISNUMBER('Data'!G629),'Data'!G629*100,"")</x:f>
        <x:v>2.38</x:v>
      </x:c>
      <x:c r="I629" s="34" t="str">
        <x:v>PASS</x:v>
      </x:c>
      <x:c r="J629" s="34" t="str">
        <x:v>PASS</x:v>
      </x:c>
      <x:c r="K629" s="34" t="str">
        <x:v>PASS</x:v>
      </x:c>
      <x:c r="L629" s="34" t="str">
        <x:v>PASS</x:v>
      </x:c>
      <x:c r="M629" s="34" t="str">
        <x:v>numeric coverage for applicable metric</x:v>
      </x:c>
      <x:c r="N629" s="34" t="str">
        <x:v>Feedback-Directed Random Test Generation/Result/Lang_6/result.json</x:v>
      </x:c>
      <x:c r="O629" s="38" t="n">
        <x:f>IF(AND(G629="RECORDED",ISNUMBER(H629)),H629,"")</x:f>
        <x:v>2.38</x:v>
      </x:c>
      <x:c r="P629" s="34" t="str">
        <x:v>NOT_REVEALING</x:v>
      </x:c>
      <x:c r="Q629" s="34" t="str">
        <x:v>Feedback-Directed Random Test Generation/Result/Lang_6/result.json</x:v>
      </x:c>
    </x:row>
    <x:row r="630">
      <x:c r="A630" s="34" t="str">
        <x:v>randoop</x:v>
      </x:c>
      <x:c r="B630" s="34" t="str">
        <x:v>Lang</x:v>
      </x:c>
      <x:c r="C630" s="34" t="str">
        <x:v>Round1</x:v>
      </x:c>
      <x:c r="D630" s="34" t="str">
        <x:v>Lang_7</x:v>
      </x:c>
      <x:c r="E630" s="34" t="str">
        <x:v>Coverage</x:v>
      </x:c>
      <x:c r="F630" s="34" t="n">
        <x:v>746</x:v>
      </x:c>
      <x:c r="G630" s="34" t="str">
        <x:v>RECORDED</x:v>
      </x:c>
      <x:c r="H630" s="38" t="n">
        <x:f>IF(ISNUMBER('Data'!G630),'Data'!G630*100,"")</x:f>
        <x:v>58.85</x:v>
      </x:c>
      <x:c r="I630" s="34" t="str">
        <x:v>PASS</x:v>
      </x:c>
      <x:c r="J630" s="34" t="str">
        <x:v>PASS</x:v>
      </x:c>
      <x:c r="K630" s="34" t="str">
        <x:v>PASS</x:v>
      </x:c>
      <x:c r="L630" s="34" t="str">
        <x:v>PASS</x:v>
      </x:c>
      <x:c r="M630" s="34" t="str">
        <x:v>numeric coverage for applicable metric</x:v>
      </x:c>
      <x:c r="N630" s="34" t="str">
        <x:v>Feedback-Directed Random Test Generation/Result/Lang_7/result.json</x:v>
      </x:c>
      <x:c r="O630" s="38" t="n">
        <x:f>IF(AND(G630="RECORDED",ISNUMBER(H630)),H630,"")</x:f>
        <x:v>58.85</x:v>
      </x:c>
      <x:c r="P630" s="34" t="str">
        <x:v>NOT_REVEALING</x:v>
      </x:c>
      <x:c r="Q630" s="34" t="str">
        <x:v>Feedback-Directed Random Test Generation/Result/Lang_7/result.json</x:v>
      </x:c>
    </x:row>
    <x:row r="631">
      <x:c r="A631" s="34" t="str">
        <x:v>randoop</x:v>
      </x:c>
      <x:c r="B631" s="34" t="str">
        <x:v>Lang</x:v>
      </x:c>
      <x:c r="C631" s="34" t="str">
        <x:v>Round1</x:v>
      </x:c>
      <x:c r="D631" s="34" t="str">
        <x:v>Lang_8</x:v>
      </x:c>
      <x:c r="E631" s="34" t="str">
        <x:v>Coverage</x:v>
      </x:c>
      <x:c r="F631" s="34" t="n">
        <x:v>487</x:v>
      </x:c>
      <x:c r="G631" s="34" t="str">
        <x:v>RECORDED</x:v>
      </x:c>
      <x:c r="H631" s="38" t="n">
        <x:f>IF(ISNUMBER('Data'!G631),'Data'!G631*100,"")</x:f>
        <x:v>4.11</x:v>
      </x:c>
      <x:c r="I631" s="34" t="str">
        <x:v>PASS</x:v>
      </x:c>
      <x:c r="J631" s="34" t="str">
        <x:v>PASS</x:v>
      </x:c>
      <x:c r="K631" s="34" t="str">
        <x:v>PASS</x:v>
      </x:c>
      <x:c r="L631" s="34" t="str">
        <x:v>PASS</x:v>
      </x:c>
      <x:c r="M631" s="34" t="str">
        <x:v>numeric coverage for applicable metric</x:v>
      </x:c>
      <x:c r="N631" s="34" t="str">
        <x:v>Feedback-Directed Random Test Generation/Result/Lang_8/result.json</x:v>
      </x:c>
      <x:c r="O631" s="38" t="n">
        <x:f>IF(AND(G631="RECORDED",ISNUMBER(H631)),H631,"")</x:f>
        <x:v>4.11</x:v>
      </x:c>
      <x:c r="P631" s="34" t="str">
        <x:v>NOT_REVEALING</x:v>
      </x:c>
      <x:c r="Q631" s="34" t="str">
        <x:v>Feedback-Directed Random Test Generation/Result/Lang_8/result.json</x:v>
      </x:c>
    </x:row>
    <x:row r="632">
      <x:c r="A632" s="34" t="str">
        <x:v>randoop</x:v>
      </x:c>
      <x:c r="B632" s="34" t="str">
        <x:v>Lang</x:v>
      </x:c>
      <x:c r="C632" s="34" t="str">
        <x:v>Round1</x:v>
      </x:c>
      <x:c r="D632" s="34" t="str">
        <x:v>Lang_9</x:v>
      </x:c>
      <x:c r="E632" s="34" t="str">
        <x:v>Coverage</x:v>
      </x:c>
      <x:c r="F632" s="34" t="n">
        <x:v>396</x:v>
      </x:c>
      <x:c r="G632" s="34" t="str">
        <x:v>RECORDED</x:v>
      </x:c>
      <x:c r="H632" s="38" t="n">
        <x:f>IF(ISNUMBER('Data'!G632),'Data'!G632*100,"")</x:f>
        <x:v>10.1</x:v>
      </x:c>
      <x:c r="I632" s="34" t="str">
        <x:v>PASS</x:v>
      </x:c>
      <x:c r="J632" s="34" t="str">
        <x:v>PASS</x:v>
      </x:c>
      <x:c r="K632" s="34" t="str">
        <x:v>PASS</x:v>
      </x:c>
      <x:c r="L632" s="34" t="str">
        <x:v>PASS</x:v>
      </x:c>
      <x:c r="M632" s="34" t="str">
        <x:v>numeric coverage for applicable metric</x:v>
      </x:c>
      <x:c r="N632" s="34" t="str">
        <x:v>Feedback-Directed Random Test Generation/Result/Lang_9/result.json</x:v>
      </x:c>
      <x:c r="O632" s="38" t="n">
        <x:f>IF(AND(G632="RECORDED",ISNUMBER(H632)),H632,"")</x:f>
        <x:v>10.1</x:v>
      </x:c>
      <x:c r="P632" s="34" t="str">
        <x:v>NOT_REVEALING</x:v>
      </x:c>
      <x:c r="Q632" s="34" t="str">
        <x:v>Feedback-Directed Random Test Generation/Result/Lang_9/result.json</x:v>
      </x:c>
    </x:row>
    <x:row r="633">
      <x:c r="A633" s="34" t="str">
        <x:v>randoop</x:v>
      </x:c>
      <x:c r="B633" s="34" t="str">
        <x:v>Lang</x:v>
      </x:c>
      <x:c r="C633" s="34" t="str">
        <x:v>Round1</x:v>
      </x:c>
      <x:c r="D633" s="34" t="str">
        <x:v>Lang_10</x:v>
      </x:c>
      <x:c r="E633" s="34" t="str">
        <x:v>Coverage</x:v>
      </x:c>
      <x:c r="F633" s="34" t="n">
        <x:v>406</x:v>
      </x:c>
      <x:c r="G633" s="34" t="str">
        <x:v>RECORDED</x:v>
      </x:c>
      <x:c r="H633" s="38" t="n">
        <x:f>IF(ISNUMBER('Data'!G633),'Data'!G633*100,"")</x:f>
        <x:v>9.85</x:v>
      </x:c>
      <x:c r="I633" s="34" t="str">
        <x:v>PASS</x:v>
      </x:c>
      <x:c r="J633" s="34" t="str">
        <x:v>PASS</x:v>
      </x:c>
      <x:c r="K633" s="34" t="str">
        <x:v>PASS</x:v>
      </x:c>
      <x:c r="L633" s="34" t="str">
        <x:v>PASS</x:v>
      </x:c>
      <x:c r="M633" s="34" t="str">
        <x:v>numeric coverage for applicable metric</x:v>
      </x:c>
      <x:c r="N633" s="34" t="str">
        <x:v>Feedback-Directed Random Test Generation/Result/Lang_10/result.json</x:v>
      </x:c>
      <x:c r="O633" s="38" t="n">
        <x:f>IF(AND(G633="RECORDED",ISNUMBER(H633)),H633,"")</x:f>
        <x:v>9.85</x:v>
      </x:c>
      <x:c r="P633" s="34" t="str">
        <x:v>NOT_REVEALING</x:v>
      </x:c>
      <x:c r="Q633" s="34" t="str">
        <x:v>Feedback-Directed Random Test Generation/Result/Lang_10/result.json</x:v>
      </x:c>
    </x:row>
    <x:row r="634">
      <x:c r="A634" s="34" t="str">
        <x:v>randoop</x:v>
      </x:c>
      <x:c r="B634" s="34" t="str">
        <x:v>Lang</x:v>
      </x:c>
      <x:c r="C634" s="34" t="str">
        <x:v>Round1</x:v>
      </x:c>
      <x:c r="D634" s="34" t="str">
        <x:v>Lang_11</x:v>
      </x:c>
      <x:c r="E634" s="34" t="str">
        <x:v>Coverage</x:v>
      </x:c>
      <x:c r="F634" s="34" t="n">
        <x:v>0</x:v>
      </x:c>
      <x:c r="G634" s="34" t="str">
        <x:v>A</x:v>
      </x:c>
      <x:c r="H634" s="38" t="str">
        <x:f>IF(ISNUMBER('Data'!G634),'Data'!G634*100,"")</x:f>
      </x:c>
      <x:c r="I634" s="34"/>
      <x:c r="J634" s="34"/>
      <x:c r="K634" s="34"/>
      <x:c r="L634" s="34" t="str">
        <x:v>NOT_RUN</x:v>
      </x:c>
      <x:c r="M634" s="34" t="str">
        <x:v>Latest same-round generation failed; older files/results are excluded</x:v>
      </x:c>
      <x:c r="N634" s="34" t="str">
        <x:v>Feedback-Directed Random Test Generation/report.csv</x:v>
      </x:c>
      <x:c r="O634" s="38" t="str">
        <x:f>IF(AND(G634="RECORDED",ISNUMBER(H634)),H634,"")</x:f>
      </x:c>
      <x:c r="P634" s="34" t="str">
        <x:v>FAIL</x:v>
      </x:c>
      <x:c r="Q634" s="34"/>
    </x:row>
    <x:row r="635">
      <x:c r="A635" s="34" t="str">
        <x:v>randoop</x:v>
      </x:c>
      <x:c r="B635" s="34" t="str">
        <x:v>Lang</x:v>
      </x:c>
      <x:c r="C635" s="34" t="str">
        <x:v>Round1</x:v>
      </x:c>
      <x:c r="D635" s="34" t="str">
        <x:v>Lang_12</x:v>
      </x:c>
      <x:c r="E635" s="34" t="str">
        <x:v>Coverage</x:v>
      </x:c>
      <x:c r="F635" s="34" t="n">
        <x:v>0</x:v>
      </x:c>
      <x:c r="G635" s="34" t="str">
        <x:v>A</x:v>
      </x:c>
      <x:c r="H635" s="38" t="str">
        <x:f>IF(ISNUMBER('Data'!G635),'Data'!G635*100,"")</x:f>
      </x:c>
      <x:c r="I635" s="34"/>
      <x:c r="J635" s="34"/>
      <x:c r="K635" s="34"/>
      <x:c r="L635" s="34" t="str">
        <x:v>NOT_RUN</x:v>
      </x:c>
      <x:c r="M635" s="34" t="str">
        <x:v>Latest same-round generation failed; older files/results are excluded</x:v>
      </x:c>
      <x:c r="N635" s="34" t="str">
        <x:v>Feedback-Directed Random Test Generation/report.csv</x:v>
      </x:c>
      <x:c r="O635" s="38" t="str">
        <x:f>IF(AND(G635="RECORDED",ISNUMBER(H635)),H635,"")</x:f>
      </x:c>
      <x:c r="P635" s="34" t="str">
        <x:v>FAIL</x:v>
      </x:c>
      <x:c r="Q635" s="34"/>
    </x:row>
    <x:row r="636">
      <x:c r="A636" s="34" t="str">
        <x:v>randoop</x:v>
      </x:c>
      <x:c r="B636" s="34" t="str">
        <x:v>Lang</x:v>
      </x:c>
      <x:c r="C636" s="34" t="str">
        <x:v>Round1</x:v>
      </x:c>
      <x:c r="D636" s="34" t="str">
        <x:v>Lang_13</x:v>
      </x:c>
      <x:c r="E636" s="34" t="str">
        <x:v>Coverage</x:v>
      </x:c>
      <x:c r="F636" s="34" t="n">
        <x:v>78</x:v>
      </x:c>
      <x:c r="G636" s="34" t="str">
        <x:v>RECORDED</x:v>
      </x:c>
      <x:c r="H636" s="38" t="n">
        <x:f>IF(ISNUMBER('Data'!G636),'Data'!G636*100,"")</x:f>
        <x:v>76.92</x:v>
      </x:c>
      <x:c r="I636" s="34" t="str">
        <x:v>PASS</x:v>
      </x:c>
      <x:c r="J636" s="34" t="str">
        <x:v>PASS</x:v>
      </x:c>
      <x:c r="K636" s="34" t="str">
        <x:v>PASS</x:v>
      </x:c>
      <x:c r="L636" s="34" t="str">
        <x:v>PASS</x:v>
      </x:c>
      <x:c r="M636" s="34" t="str">
        <x:v>numeric coverage for applicable metric</x:v>
      </x:c>
      <x:c r="N636" s="34" t="str">
        <x:v>Feedback-Directed Random Test Generation/Result/Lang_13/result.json</x:v>
      </x:c>
      <x:c r="O636" s="38" t="n">
        <x:f>IF(AND(G636="RECORDED",ISNUMBER(H636)),H636,"")</x:f>
        <x:v>76.92</x:v>
      </x:c>
      <x:c r="P636" s="34" t="str">
        <x:v>NOT_REVEALING</x:v>
      </x:c>
      <x:c r="Q636" s="34" t="str">
        <x:v>Feedback-Directed Random Test Generation/Result/Lang_13/result.json</x:v>
      </x:c>
    </x:row>
    <x:row r="637">
      <x:c r="A637" s="34" t="str">
        <x:v>randoop</x:v>
      </x:c>
      <x:c r="B637" s="34" t="str">
        <x:v>Lang</x:v>
      </x:c>
      <x:c r="C637" s="34" t="str">
        <x:v>Round1</x:v>
      </x:c>
      <x:c r="D637" s="34" t="str">
        <x:v>Lang_14</x:v>
      </x:c>
      <x:c r="E637" s="34" t="str">
        <x:v>Coverage</x:v>
      </x:c>
      <x:c r="F637" s="34" t="n">
        <x:v>2433</x:v>
      </x:c>
      <x:c r="G637" s="34" t="str">
        <x:v>RECORDED</x:v>
      </x:c>
      <x:c r="H637" s="38" t="n">
        <x:f>IF(ISNUMBER('Data'!G637),'Data'!G637*100,"")</x:f>
        <x:v>85.49</x:v>
      </x:c>
      <x:c r="I637" s="34" t="str">
        <x:v>PASS</x:v>
      </x:c>
      <x:c r="J637" s="34" t="str">
        <x:v>PASS</x:v>
      </x:c>
      <x:c r="K637" s="34" t="str">
        <x:v>PASS</x:v>
      </x:c>
      <x:c r="L637" s="34" t="str">
        <x:v>PASS</x:v>
      </x:c>
      <x:c r="M637" s="34" t="str">
        <x:v>numeric coverage for applicable metric</x:v>
      </x:c>
      <x:c r="N637" s="34" t="str">
        <x:v>Feedback-Directed Random Test Generation/Result/Lang_14/result.json</x:v>
      </x:c>
      <x:c r="O637" s="38" t="n">
        <x:f>IF(AND(G637="RECORDED",ISNUMBER(H637)),H637,"")</x:f>
        <x:v>85.49</x:v>
      </x:c>
      <x:c r="P637" s="34" t="str">
        <x:v>NOT_REVEALING</x:v>
      </x:c>
      <x:c r="Q637" s="34" t="str">
        <x:v>Feedback-Directed Random Test Generation/Result/Lang_14/result.json</x:v>
      </x:c>
    </x:row>
    <x:row r="638">
      <x:c r="A638" s="34" t="str">
        <x:v>randoop</x:v>
      </x:c>
      <x:c r="B638" s="34" t="str">
        <x:v>Lang</x:v>
      </x:c>
      <x:c r="C638" s="34" t="str">
        <x:v>Round1</x:v>
      </x:c>
      <x:c r="D638" s="34" t="str">
        <x:v>Lang_15</x:v>
      </x:c>
      <x:c r="E638" s="34" t="str">
        <x:v>Coverage</x:v>
      </x:c>
      <x:c r="F638" s="34" t="n">
        <x:v>583</x:v>
      </x:c>
      <x:c r="G638" s="34" t="str">
        <x:v>RECORDED</x:v>
      </x:c>
      <x:c r="H638" s="38" t="n">
        <x:f>IF(ISNUMBER('Data'!G638),'Data'!G638*100,"")</x:f>
        <x:v>14.92</x:v>
      </x:c>
      <x:c r="I638" s="34" t="str">
        <x:v>PASS</x:v>
      </x:c>
      <x:c r="J638" s="34" t="str">
        <x:v>PASS</x:v>
      </x:c>
      <x:c r="K638" s="34" t="str">
        <x:v>PASS</x:v>
      </x:c>
      <x:c r="L638" s="34" t="str">
        <x:v>PASS</x:v>
      </x:c>
      <x:c r="M638" s="34" t="str">
        <x:v>numeric coverage for applicable metric</x:v>
      </x:c>
      <x:c r="N638" s="34" t="str">
        <x:v>Feedback-Directed Random Test Generation/Result/Lang_15/result.json</x:v>
      </x:c>
      <x:c r="O638" s="38" t="n">
        <x:f>IF(AND(G638="RECORDED",ISNUMBER(H638)),H638,"")</x:f>
        <x:v>14.92</x:v>
      </x:c>
      <x:c r="P638" s="34" t="str">
        <x:v>NOT_REVEALING</x:v>
      </x:c>
      <x:c r="Q638" s="34" t="str">
        <x:v>Feedback-Directed Random Test Generation/Result/Lang_15/result.json</x:v>
      </x:c>
    </x:row>
    <x:row r="639">
      <x:c r="A639" s="34" t="str">
        <x:v>randoop</x:v>
      </x:c>
      <x:c r="B639" s="34" t="str">
        <x:v>Lang</x:v>
      </x:c>
      <x:c r="C639" s="34" t="str">
        <x:v>Round1</x:v>
      </x:c>
      <x:c r="D639" s="34" t="str">
        <x:v>Lang_16</x:v>
      </x:c>
      <x:c r="E639" s="34" t="str">
        <x:v>Coverage</x:v>
      </x:c>
      <x:c r="F639" s="34" t="n">
        <x:v>733</x:v>
      </x:c>
      <x:c r="G639" s="34" t="str">
        <x:v>RECORDED</x:v>
      </x:c>
      <x:c r="H639" s="38" t="n">
        <x:f>IF(ISNUMBER('Data'!G639),'Data'!G639*100,"")</x:f>
        <x:v>59.62</x:v>
      </x:c>
      <x:c r="I639" s="34" t="str">
        <x:v>PASS</x:v>
      </x:c>
      <x:c r="J639" s="34" t="str">
        <x:v>PASS</x:v>
      </x:c>
      <x:c r="K639" s="34" t="str">
        <x:v>PASS</x:v>
      </x:c>
      <x:c r="L639" s="34" t="str">
        <x:v>PASS</x:v>
      </x:c>
      <x:c r="M639" s="34" t="str">
        <x:v>numeric coverage for applicable metric</x:v>
      </x:c>
      <x:c r="N639" s="34" t="str">
        <x:v>Feedback-Directed Random Test Generation/Result/Lang_16/result.json</x:v>
      </x:c>
      <x:c r="O639" s="38" t="n">
        <x:f>IF(AND(G639="RECORDED",ISNUMBER(H639)),H639,"")</x:f>
        <x:v>59.62</x:v>
      </x:c>
      <x:c r="P639" s="34" t="str">
        <x:v>NOT_REVEALING</x:v>
      </x:c>
      <x:c r="Q639" s="34" t="str">
        <x:v>Feedback-Directed Random Test Generation/Result/Lang_16/result.json</x:v>
      </x:c>
    </x:row>
    <x:row r="640">
      <x:c r="A640" s="34" t="str">
        <x:v>randoop</x:v>
      </x:c>
      <x:c r="B640" s="34" t="str">
        <x:v>Lang</x:v>
      </x:c>
      <x:c r="C640" s="34" t="str">
        <x:v>Round1</x:v>
      </x:c>
      <x:c r="D640" s="34" t="str">
        <x:v>Lang_17</x:v>
      </x:c>
      <x:c r="E640" s="34" t="str">
        <x:v>Coverage</x:v>
      </x:c>
      <x:c r="F640" s="34" t="n">
        <x:v>47</x:v>
      </x:c>
      <x:c r="G640" s="34" t="str">
        <x:v>RECORDED</x:v>
      </x:c>
      <x:c r="H640" s="38" t="n">
        <x:f>IF(ISNUMBER('Data'!G640),'Data'!G640*100,"")</x:f>
        <x:v>2.13</x:v>
      </x:c>
      <x:c r="I640" s="34" t="str">
        <x:v>PASS</x:v>
      </x:c>
      <x:c r="J640" s="34" t="str">
        <x:v>PASS</x:v>
      </x:c>
      <x:c r="K640" s="34" t="str">
        <x:v>PASS</x:v>
      </x:c>
      <x:c r="L640" s="34" t="str">
        <x:v>PASS</x:v>
      </x:c>
      <x:c r="M640" s="34" t="str">
        <x:v>numeric coverage for applicable metric</x:v>
      </x:c>
      <x:c r="N640" s="34" t="str">
        <x:v>Feedback-Directed Random Test Generation/Result/Lang_17/result.json</x:v>
      </x:c>
      <x:c r="O640" s="38" t="n">
        <x:f>IF(AND(G640="RECORDED",ISNUMBER(H640)),H640,"")</x:f>
        <x:v>2.13</x:v>
      </x:c>
      <x:c r="P640" s="34" t="str">
        <x:v>NOT_REVEALING</x:v>
      </x:c>
      <x:c r="Q640" s="34" t="str">
        <x:v>Feedback-Directed Random Test Generation/Result/Lang_17/result.json</x:v>
      </x:c>
    </x:row>
    <x:row r="641">
      <x:c r="A641" s="34" t="str">
        <x:v>randoop</x:v>
      </x:c>
      <x:c r="B641" s="34" t="str">
        <x:v>Lang</x:v>
      </x:c>
      <x:c r="C641" s="34" t="str">
        <x:v>Round1</x:v>
      </x:c>
      <x:c r="D641" s="34" t="str">
        <x:v>Lang_19</x:v>
      </x:c>
      <x:c r="E641" s="34" t="str">
        <x:v>Coverage</x:v>
      </x:c>
      <x:c r="F641" s="34" t="n">
        <x:v>45</x:v>
      </x:c>
      <x:c r="G641" s="34" t="str">
        <x:v>RECORDED</x:v>
      </x:c>
      <x:c r="H641" s="38" t="n">
        <x:f>IF(ISNUMBER('Data'!G641),'Data'!G641*100,"")</x:f>
        <x:v>11.11</x:v>
      </x:c>
      <x:c r="I641" s="34" t="str">
        <x:v>PASS</x:v>
      </x:c>
      <x:c r="J641" s="34" t="str">
        <x:v>PASS</x:v>
      </x:c>
      <x:c r="K641" s="34" t="str">
        <x:v>PASS</x:v>
      </x:c>
      <x:c r="L641" s="34" t="str">
        <x:v>PASS</x:v>
      </x:c>
      <x:c r="M641" s="34" t="str">
        <x:v>numeric coverage for applicable metric</x:v>
      </x:c>
      <x:c r="N641" s="34" t="str">
        <x:v>Feedback-Directed Random Test Generation/Result/Lang_19/result.json</x:v>
      </x:c>
      <x:c r="O641" s="38" t="n">
        <x:f>IF(AND(G641="RECORDED",ISNUMBER(H641)),H641,"")</x:f>
        <x:v>11.11</x:v>
      </x:c>
      <x:c r="P641" s="34" t="str">
        <x:v>NOT_REVEALING</x:v>
      </x:c>
      <x:c r="Q641" s="34" t="str">
        <x:v>Feedback-Directed Random Test Generation/Result/Lang_19/result.json</x:v>
      </x:c>
    </x:row>
    <x:row r="642">
      <x:c r="A642" s="34" t="str">
        <x:v>randoop</x:v>
      </x:c>
      <x:c r="B642" s="34" t="str">
        <x:v>Lang</x:v>
      </x:c>
      <x:c r="C642" s="34" t="str">
        <x:v>Round1</x:v>
      </x:c>
      <x:c r="D642" s="34" t="str">
        <x:v>Lang_20</x:v>
      </x:c>
      <x:c r="E642" s="34" t="str">
        <x:v>Coverage</x:v>
      </x:c>
      <x:c r="F642" s="34" t="n">
        <x:v>2447</x:v>
      </x:c>
      <x:c r="G642" s="34" t="str">
        <x:v>RECORDED</x:v>
      </x:c>
      <x:c r="H642" s="38" t="n">
        <x:f>IF(ISNUMBER('Data'!G642),'Data'!G642*100,"")</x:f>
        <x:v>85.12</x:v>
      </x:c>
      <x:c r="I642" s="34" t="str">
        <x:v>PASS</x:v>
      </x:c>
      <x:c r="J642" s="34" t="str">
        <x:v>PASS</x:v>
      </x:c>
      <x:c r="K642" s="34" t="str">
        <x:v>PASS</x:v>
      </x:c>
      <x:c r="L642" s="34" t="str">
        <x:v>PASS</x:v>
      </x:c>
      <x:c r="M642" s="34" t="str">
        <x:v>numeric coverage for applicable metric</x:v>
      </x:c>
      <x:c r="N642" s="34" t="str">
        <x:v>Feedback-Directed Random Test Generation/Result/Lang_20/result.json</x:v>
      </x:c>
      <x:c r="O642" s="38" t="n">
        <x:f>IF(AND(G642="RECORDED",ISNUMBER(H642)),H642,"")</x:f>
        <x:v>85.12</x:v>
      </x:c>
      <x:c r="P642" s="34" t="str">
        <x:v>NOT_REVEALING</x:v>
      </x:c>
      <x:c r="Q642" s="34" t="str">
        <x:v>Feedback-Directed Random Test Generation/Result/Lang_20/result.json</x:v>
      </x:c>
    </x:row>
    <x:row r="643">
      <x:c r="A643" s="34" t="str">
        <x:v>randoop</x:v>
      </x:c>
      <x:c r="B643" s="34" t="str">
        <x:v>Lang</x:v>
      </x:c>
      <x:c r="C643" s="34" t="str">
        <x:v>Round1</x:v>
      </x:c>
      <x:c r="D643" s="34" t="str">
        <x:v>Lang_21</x:v>
      </x:c>
      <x:c r="E643" s="34" t="str">
        <x:v>Coverage</x:v>
      </x:c>
      <x:c r="F643" s="34" t="n">
        <x:v>537</x:v>
      </x:c>
      <x:c r="G643" s="34" t="str">
        <x:v>RECORDED</x:v>
      </x:c>
      <x:c r="H643" s="38" t="n">
        <x:f>IF(ISNUMBER('Data'!G643),'Data'!G643*100,"")</x:f>
        <x:v>90.69</x:v>
      </x:c>
      <x:c r="I643" s="34" t="str">
        <x:v>PASS</x:v>
      </x:c>
      <x:c r="J643" s="34" t="str">
        <x:v>PASS</x:v>
      </x:c>
      <x:c r="K643" s="34" t="str">
        <x:v>PASS</x:v>
      </x:c>
      <x:c r="L643" s="34" t="str">
        <x:v>FAIL</x:v>
      </x:c>
      <x:c r="M643" s="34" t="str">
        <x:v>numeric coverage for applicable metric</x:v>
      </x:c>
      <x:c r="N643" s="34" t="str">
        <x:v>Feedback-Directed Random Test Generation/Result/Lang_21/result.json</x:v>
      </x:c>
      <x:c r="O643" s="38" t="n">
        <x:f>IF(AND(G643="RECORDED",ISNUMBER(H643)),H643,"")</x:f>
        <x:v>90.69</x:v>
      </x:c>
      <x:c r="P643" s="34" t="str">
        <x:v>INCONCLUSIVE</x:v>
      </x:c>
      <x:c r="Q643" s="34" t="str">
        <x:v>Feedback-Directed Random Test Generation/Result/Lang_21/result.json</x:v>
      </x:c>
    </x:row>
    <x:row r="644">
      <x:c r="A644" s="34" t="str">
        <x:v>randoop</x:v>
      </x:c>
      <x:c r="B644" s="34" t="str">
        <x:v>Lang</x:v>
      </x:c>
      <x:c r="C644" s="34" t="str">
        <x:v>Round1</x:v>
      </x:c>
      <x:c r="D644" s="34" t="str">
        <x:v>Lang_22</x:v>
      </x:c>
      <x:c r="E644" s="34" t="str">
        <x:v>Coverage</x:v>
      </x:c>
      <x:c r="F644" s="34" t="n">
        <x:v>466</x:v>
      </x:c>
      <x:c r="G644" s="34" t="str">
        <x:v>RECORDED</x:v>
      </x:c>
      <x:c r="H644" s="38" t="n">
        <x:f>IF(ISNUMBER('Data'!G644),'Data'!G644*100,"")</x:f>
        <x:v>89.48</x:v>
      </x:c>
      <x:c r="I644" s="34" t="str">
        <x:v>PASS</x:v>
      </x:c>
      <x:c r="J644" s="34" t="str">
        <x:v>PASS</x:v>
      </x:c>
      <x:c r="K644" s="34" t="str">
        <x:v>PASS</x:v>
      </x:c>
      <x:c r="L644" s="34" t="str">
        <x:v>FAIL</x:v>
      </x:c>
      <x:c r="M644" s="34" t="str">
        <x:v>numeric coverage for applicable metric</x:v>
      </x:c>
      <x:c r="N644" s="34" t="str">
        <x:v>Feedback-Directed Random Test Generation/Result/Lang_22/result.json</x:v>
      </x:c>
      <x:c r="O644" s="38" t="n">
        <x:f>IF(AND(G644="RECORDED",ISNUMBER(H644)),H644,"")</x:f>
        <x:v>89.48</x:v>
      </x:c>
      <x:c r="P644" s="34" t="str">
        <x:v>INCONCLUSIVE</x:v>
      </x:c>
      <x:c r="Q644" s="34" t="str">
        <x:v>Feedback-Directed Random Test Generation/Result/Lang_22/result.json</x:v>
      </x:c>
    </x:row>
    <x:row r="645">
      <x:c r="A645" s="34" t="str">
        <x:v>randoop</x:v>
      </x:c>
      <x:c r="B645" s="34" t="str">
        <x:v>Lang</x:v>
      </x:c>
      <x:c r="C645" s="34" t="str">
        <x:v>Round1</x:v>
      </x:c>
      <x:c r="D645" s="34" t="str">
        <x:v>Lang_23</x:v>
      </x:c>
      <x:c r="E645" s="34" t="str">
        <x:v>Coverage</x:v>
      </x:c>
      <x:c r="F645" s="34" t="n">
        <x:v>266</x:v>
      </x:c>
      <x:c r="G645" s="34" t="str">
        <x:v>RECORDED</x:v>
      </x:c>
      <x:c r="H645" s="38" t="n">
        <x:f>IF(ISNUMBER('Data'!G645),'Data'!G645*100,"")</x:f>
        <x:v>7.139999999999999</x:v>
      </x:c>
      <x:c r="I645" s="34" t="str">
        <x:v>PASS</x:v>
      </x:c>
      <x:c r="J645" s="34" t="str">
        <x:v>PASS</x:v>
      </x:c>
      <x:c r="K645" s="34" t="str">
        <x:v>PASS</x:v>
      </x:c>
      <x:c r="L645" s="34" t="str">
        <x:v>PASS</x:v>
      </x:c>
      <x:c r="M645" s="34" t="str">
        <x:v>numeric coverage for applicable metric</x:v>
      </x:c>
      <x:c r="N645" s="34" t="str">
        <x:v>Feedback-Directed Random Test Generation/Result/Lang_23/result.json</x:v>
      </x:c>
      <x:c r="O645" s="38" t="n">
        <x:f>IF(AND(G645="RECORDED",ISNUMBER(H645)),H645,"")</x:f>
        <x:v>7.139999999999999</x:v>
      </x:c>
      <x:c r="P645" s="34" t="str">
        <x:v>NOT_REVEALING</x:v>
      </x:c>
      <x:c r="Q645" s="34" t="str">
        <x:v>Feedback-Directed Random Test Generation/Result/Lang_23/result.json</x:v>
      </x:c>
    </x:row>
    <x:row r="646">
      <x:c r="A646" s="34" t="str">
        <x:v>randoop</x:v>
      </x:c>
      <x:c r="B646" s="34" t="str">
        <x:v>Lang</x:v>
      </x:c>
      <x:c r="C646" s="34" t="str">
        <x:v>Round1</x:v>
      </x:c>
      <x:c r="D646" s="34" t="str">
        <x:v>Lang_24</x:v>
      </x:c>
      <x:c r="E646" s="34" t="str">
        <x:v>Coverage</x:v>
      </x:c>
      <x:c r="F646" s="34" t="n">
        <x:v>732</x:v>
      </x:c>
      <x:c r="G646" s="34" t="str">
        <x:v>RECORDED</x:v>
      </x:c>
      <x:c r="H646" s="38" t="n">
        <x:f>IF(ISNUMBER('Data'!G646),'Data'!G646*100,"")</x:f>
        <x:v>59.84</x:v>
      </x:c>
      <x:c r="I646" s="34" t="str">
        <x:v>PASS</x:v>
      </x:c>
      <x:c r="J646" s="34" t="str">
        <x:v>PASS</x:v>
      </x:c>
      <x:c r="K646" s="34" t="str">
        <x:v>PASS</x:v>
      </x:c>
      <x:c r="L646" s="34" t="str">
        <x:v>PASS</x:v>
      </x:c>
      <x:c r="M646" s="34" t="str">
        <x:v>numeric coverage for applicable metric</x:v>
      </x:c>
      <x:c r="N646" s="34" t="str">
        <x:v>Feedback-Directed Random Test Generation/Result/Lang_24/result.json</x:v>
      </x:c>
      <x:c r="O646" s="38" t="n">
        <x:f>IF(AND(G646="RECORDED",ISNUMBER(H646)),H646,"")</x:f>
        <x:v>59.84</x:v>
      </x:c>
      <x:c r="P646" s="34" t="str">
        <x:v>NOT_REVEALING</x:v>
      </x:c>
      <x:c r="Q646" s="34" t="str">
        <x:v>Feedback-Directed Random Test Generation/Result/Lang_24/result.json</x:v>
      </x:c>
    </x:row>
    <x:row r="647">
      <x:c r="A647" s="34" t="str">
        <x:v>randoop</x:v>
      </x:c>
      <x:c r="B647" s="34" t="str">
        <x:v>Lang</x:v>
      </x:c>
      <x:c r="C647" s="34" t="str">
        <x:v>Round1</x:v>
      </x:c>
      <x:c r="D647" s="34" t="str">
        <x:v>Lang_26</x:v>
      </x:c>
      <x:c r="E647" s="34" t="str">
        <x:v>Coverage</x:v>
      </x:c>
      <x:c r="F647" s="34" t="n">
        <x:v>693</x:v>
      </x:c>
      <x:c r="G647" s="34" t="str">
        <x:v>RECORDED</x:v>
      </x:c>
      <x:c r="H647" s="38" t="n">
        <x:f>IF(ISNUMBER('Data'!G647),'Data'!G647*100,"")</x:f>
        <x:v>73.3</x:v>
      </x:c>
      <x:c r="I647" s="34" t="str">
        <x:v>PASS</x:v>
      </x:c>
      <x:c r="J647" s="34" t="str">
        <x:v>PASS</x:v>
      </x:c>
      <x:c r="K647" s="34" t="str">
        <x:v>PASS</x:v>
      </x:c>
      <x:c r="L647" s="34" t="str">
        <x:v>FAIL</x:v>
      </x:c>
      <x:c r="M647" s="34" t="str">
        <x:v>numeric coverage for applicable metric</x:v>
      </x:c>
      <x:c r="N647" s="34" t="str">
        <x:v>Feedback-Directed Random Test Generation/Result/Lang_26/result.json</x:v>
      </x:c>
      <x:c r="O647" s="38" t="n">
        <x:f>IF(AND(G647="RECORDED",ISNUMBER(H647)),H647,"")</x:f>
        <x:v>73.3</x:v>
      </x:c>
      <x:c r="P647" s="34" t="str">
        <x:v>INCONCLUSIVE</x:v>
      </x:c>
      <x:c r="Q647" s="34" t="str">
        <x:v>Feedback-Directed Random Test Generation/Result/Lang_26/result.json</x:v>
      </x:c>
    </x:row>
    <x:row r="648">
      <x:c r="A648" s="34" t="str">
        <x:v>randoop</x:v>
      </x:c>
      <x:c r="B648" s="34" t="str">
        <x:v>Lang</x:v>
      </x:c>
      <x:c r="C648" s="34" t="str">
        <x:v>Round1</x:v>
      </x:c>
      <x:c r="D648" s="34" t="str">
        <x:v>Lang_27</x:v>
      </x:c>
      <x:c r="E648" s="34" t="str">
        <x:v>Coverage</x:v>
      </x:c>
      <x:c r="F648" s="34" t="n">
        <x:v>726</x:v>
      </x:c>
      <x:c r="G648" s="34" t="str">
        <x:v>RECORDED</x:v>
      </x:c>
      <x:c r="H648" s="38" t="n">
        <x:f>IF(ISNUMBER('Data'!G648),'Data'!G648*100,"")</x:f>
        <x:v>60.33</x:v>
      </x:c>
      <x:c r="I648" s="34" t="str">
        <x:v>PASS</x:v>
      </x:c>
      <x:c r="J648" s="34" t="str">
        <x:v>PASS</x:v>
      </x:c>
      <x:c r="K648" s="34" t="str">
        <x:v>PASS</x:v>
      </x:c>
      <x:c r="L648" s="34" t="str">
        <x:v>PASS</x:v>
      </x:c>
      <x:c r="M648" s="34" t="str">
        <x:v>numeric coverage for applicable metric</x:v>
      </x:c>
      <x:c r="N648" s="34" t="str">
        <x:v>Feedback-Directed Random Test Generation/Result/Lang_27/result.json</x:v>
      </x:c>
      <x:c r="O648" s="38" t="n">
        <x:f>IF(AND(G648="RECORDED",ISNUMBER(H648)),H648,"")</x:f>
        <x:v>60.33</x:v>
      </x:c>
      <x:c r="P648" s="34" t="str">
        <x:v>NOT_REVEALING</x:v>
      </x:c>
      <x:c r="Q648" s="34" t="str">
        <x:v>Feedback-Directed Random Test Generation/Result/Lang_27/result.json</x:v>
      </x:c>
    </x:row>
    <x:row r="649">
      <x:c r="A649" s="34" t="str">
        <x:v>randoop</x:v>
      </x:c>
      <x:c r="B649" s="34" t="str">
        <x:v>Lang</x:v>
      </x:c>
      <x:c r="C649" s="34" t="str">
        <x:v>Round1</x:v>
      </x:c>
      <x:c r="D649" s="34" t="str">
        <x:v>Lang_28</x:v>
      </x:c>
      <x:c r="E649" s="34" t="str">
        <x:v>Coverage</x:v>
      </x:c>
      <x:c r="F649" s="34" t="n">
        <x:v>34</x:v>
      </x:c>
      <x:c r="G649" s="34" t="str">
        <x:v>RECORDED</x:v>
      </x:c>
      <x:c r="H649" s="38" t="n">
        <x:f>IF(ISNUMBER('Data'!G649),'Data'!G649*100,"")</x:f>
        <x:v>11.76</x:v>
      </x:c>
      <x:c r="I649" s="34" t="str">
        <x:v>PASS</x:v>
      </x:c>
      <x:c r="J649" s="34" t="str">
        <x:v>PASS</x:v>
      </x:c>
      <x:c r="K649" s="34" t="str">
        <x:v>PASS</x:v>
      </x:c>
      <x:c r="L649" s="34" t="str">
        <x:v>PASS</x:v>
      </x:c>
      <x:c r="M649" s="34" t="str">
        <x:v>numeric coverage for applicable metric</x:v>
      </x:c>
      <x:c r="N649" s="34" t="str">
        <x:v>Feedback-Directed Random Test Generation/Result/Lang_28/result.json</x:v>
      </x:c>
      <x:c r="O649" s="38" t="n">
        <x:f>IF(AND(G649="RECORDED",ISNUMBER(H649)),H649,"")</x:f>
        <x:v>11.76</x:v>
      </x:c>
      <x:c r="P649" s="34" t="str">
        <x:v>NOT_REVEALING</x:v>
      </x:c>
      <x:c r="Q649" s="34" t="str">
        <x:v>Feedback-Directed Random Test Generation/Result/Lang_28/result.json</x:v>
      </x:c>
    </x:row>
    <x:row r="650">
      <x:c r="A650" s="34" t="str">
        <x:v>randoop</x:v>
      </x:c>
      <x:c r="B650" s="34" t="str">
        <x:v>Lang</x:v>
      </x:c>
      <x:c r="C650" s="34" t="str">
        <x:v>Round1</x:v>
      </x:c>
      <x:c r="D650" s="34" t="str">
        <x:v>Lang_29</x:v>
      </x:c>
      <x:c r="E650" s="34" t="str">
        <x:v>Coverage</x:v>
      </x:c>
      <x:c r="F650" s="34" t="n">
        <x:v>191</x:v>
      </x:c>
      <x:c r="G650" s="34" t="str">
        <x:v>RECORDED</x:v>
      </x:c>
      <x:c r="H650" s="38" t="n">
        <x:f>IF(ISNUMBER('Data'!G650),'Data'!G650*100,"")</x:f>
        <x:v>87.43</x:v>
      </x:c>
      <x:c r="I650" s="34" t="str">
        <x:v>PASS</x:v>
      </x:c>
      <x:c r="J650" s="34" t="str">
        <x:v>PASS</x:v>
      </x:c>
      <x:c r="K650" s="34" t="str">
        <x:v>PASS</x:v>
      </x:c>
      <x:c r="L650" s="34" t="str">
        <x:v>PASS</x:v>
      </x:c>
      <x:c r="M650" s="34" t="str">
        <x:v>numeric coverage for applicable metric</x:v>
      </x:c>
      <x:c r="N650" s="34" t="str">
        <x:v>Feedback-Directed Random Test Generation/Result/Lang_29/result.json</x:v>
      </x:c>
      <x:c r="O650" s="38" t="n">
        <x:f>IF(AND(G650="RECORDED",ISNUMBER(H650)),H650,"")</x:f>
        <x:v>87.43</x:v>
      </x:c>
      <x:c r="P650" s="34" t="str">
        <x:v>NOT_REVEALING</x:v>
      </x:c>
      <x:c r="Q650" s="34" t="str">
        <x:v>Feedback-Directed Random Test Generation/Result/Lang_29/result.json</x:v>
      </x:c>
    </x:row>
    <x:row r="651">
      <x:c r="A651" s="34" t="str">
        <x:v>randoop</x:v>
      </x:c>
      <x:c r="B651" s="34" t="str">
        <x:v>Lang</x:v>
      </x:c>
      <x:c r="C651" s="34" t="str">
        <x:v>Round1</x:v>
      </x:c>
      <x:c r="D651" s="34" t="str">
        <x:v>Lang_30</x:v>
      </x:c>
      <x:c r="E651" s="34" t="str">
        <x:v>Coverage</x:v>
      </x:c>
      <x:c r="F651" s="34" t="n">
        <x:v>2244</x:v>
      </x:c>
      <x:c r="G651" s="34" t="str">
        <x:v>RECORDED</x:v>
      </x:c>
      <x:c r="H651" s="38" t="n">
        <x:f>IF(ISNUMBER('Data'!G651),'Data'!G651*100,"")</x:f>
        <x:v>84.31</x:v>
      </x:c>
      <x:c r="I651" s="34" t="str">
        <x:v>PASS</x:v>
      </x:c>
      <x:c r="J651" s="34" t="str">
        <x:v>PASS</x:v>
      </x:c>
      <x:c r="K651" s="34" t="str">
        <x:v>PASS</x:v>
      </x:c>
      <x:c r="L651" s="34" t="str">
        <x:v>PASS</x:v>
      </x:c>
      <x:c r="M651" s="34" t="str">
        <x:v>numeric coverage for applicable metric</x:v>
      </x:c>
      <x:c r="N651" s="34" t="str">
        <x:v>Feedback-Directed Random Test Generation/Result/Lang_30/result.json</x:v>
      </x:c>
      <x:c r="O651" s="38" t="n">
        <x:f>IF(AND(G651="RECORDED",ISNUMBER(H651)),H651,"")</x:f>
        <x:v>84.31</x:v>
      </x:c>
      <x:c r="P651" s="34" t="str">
        <x:v>NOT_AVAILABLE</x:v>
      </x:c>
      <x:c r="Q651" s="34" t="str">
        <x:v>Feedback-Directed Random Test Generation/Result/Lang_30/result.json</x:v>
      </x:c>
    </x:row>
    <x:row r="652">
      <x:c r="A652" s="34" t="str">
        <x:v>randoop</x:v>
      </x:c>
      <x:c r="B652" s="34" t="str">
        <x:v>Lang</x:v>
      </x:c>
      <x:c r="C652" s="34" t="str">
        <x:v>Round1</x:v>
      </x:c>
      <x:c r="D652" s="34" t="str">
        <x:v>Lang_31</x:v>
      </x:c>
      <x:c r="E652" s="34" t="str">
        <x:v>Coverage</x:v>
      </x:c>
      <x:c r="F652" s="34" t="n">
        <x:v>2223</x:v>
      </x:c>
      <x:c r="G652" s="34" t="str">
        <x:v>RECORDED</x:v>
      </x:c>
      <x:c r="H652" s="38" t="n">
        <x:f>IF(ISNUMBER('Data'!G652),'Data'!G652*100,"")</x:f>
        <x:v>84.57</x:v>
      </x:c>
      <x:c r="I652" s="34" t="str">
        <x:v>PASS</x:v>
      </x:c>
      <x:c r="J652" s="34" t="str">
        <x:v>PASS</x:v>
      </x:c>
      <x:c r="K652" s="34" t="str">
        <x:v>PASS</x:v>
      </x:c>
      <x:c r="L652" s="34" t="str">
        <x:v>PASS</x:v>
      </x:c>
      <x:c r="M652" s="34" t="str">
        <x:v>numeric coverage for applicable metric</x:v>
      </x:c>
      <x:c r="N652" s="34" t="str">
        <x:v>Feedback-Directed Random Test Generation/Result/Lang_31/result.json</x:v>
      </x:c>
      <x:c r="O652" s="38" t="n">
        <x:f>IF(AND(G652="RECORDED",ISNUMBER(H652)),H652,"")</x:f>
        <x:v>84.57</x:v>
      </x:c>
      <x:c r="P652" s="34" t="str">
        <x:v>NOT_REVEALING</x:v>
      </x:c>
      <x:c r="Q652" s="34" t="str">
        <x:v>Feedback-Directed Random Test Generation/Result/Lang_31/result.json</x:v>
      </x:c>
    </x:row>
    <x:row r="653">
      <x:c r="A653" s="34" t="str">
        <x:v>randoop</x:v>
      </x:c>
      <x:c r="B653" s="34" t="str">
        <x:v>Lang</x:v>
      </x:c>
      <x:c r="C653" s="34" t="str">
        <x:v>Round1</x:v>
      </x:c>
      <x:c r="D653" s="34" t="str">
        <x:v>Lang_32</x:v>
      </x:c>
      <x:c r="E653" s="34" t="str">
        <x:v>Coverage</x:v>
      </x:c>
      <x:c r="F653" s="34" t="n">
        <x:v>232</x:v>
      </x:c>
      <x:c r="G653" s="34" t="str">
        <x:v>RECORDED</x:v>
      </x:c>
      <x:c r="H653" s="38" t="n">
        <x:f>IF(ISNUMBER('Data'!G653),'Data'!G653*100,"")</x:f>
        <x:v>95.26</x:v>
      </x:c>
      <x:c r="I653" s="34" t="str">
        <x:v>PASS</x:v>
      </x:c>
      <x:c r="J653" s="34" t="str">
        <x:v>PASS</x:v>
      </x:c>
      <x:c r="K653" s="34" t="str">
        <x:v>PASS</x:v>
      </x:c>
      <x:c r="L653" s="34" t="str">
        <x:v>FAIL</x:v>
      </x:c>
      <x:c r="M653" s="34" t="str">
        <x:v>numeric coverage for applicable metric</x:v>
      </x:c>
      <x:c r="N653" s="34" t="str">
        <x:v>Feedback-Directed Random Test Generation/Result/Lang_32/result.json</x:v>
      </x:c>
      <x:c r="O653" s="38" t="n">
        <x:f>IF(AND(G653="RECORDED",ISNUMBER(H653)),H653,"")</x:f>
        <x:v>95.26</x:v>
      </x:c>
      <x:c r="P653" s="34" t="str">
        <x:v>INCONCLUSIVE</x:v>
      </x:c>
      <x:c r="Q653" s="34" t="str">
        <x:v>Feedback-Directed Random Test Generation/Result/Lang_32/result.json</x:v>
      </x:c>
    </x:row>
    <x:row r="654">
      <x:c r="A654" s="34" t="str">
        <x:v>randoop</x:v>
      </x:c>
      <x:c r="B654" s="34" t="str">
        <x:v>Lang</x:v>
      </x:c>
      <x:c r="C654" s="34" t="str">
        <x:v>Round1</x:v>
      </x:c>
      <x:c r="D654" s="34" t="str">
        <x:v>Lang_33</x:v>
      </x:c>
      <x:c r="E654" s="34" t="str">
        <x:v>Coverage</x:v>
      </x:c>
      <x:c r="F654" s="34" t="n">
        <x:v>502</x:v>
      </x:c>
      <x:c r="G654" s="34" t="str">
        <x:v>RECORDED</x:v>
      </x:c>
      <x:c r="H654" s="38" t="n">
        <x:f>IF(ISNUMBER('Data'!G654),'Data'!G654*100,"")</x:f>
        <x:v>54.17999999999999</x:v>
      </x:c>
      <x:c r="I654" s="34" t="str">
        <x:v>PASS</x:v>
      </x:c>
      <x:c r="J654" s="34" t="str">
        <x:v>PASS</x:v>
      </x:c>
      <x:c r="K654" s="34" t="str">
        <x:v>PASS</x:v>
      </x:c>
      <x:c r="L654" s="34" t="str">
        <x:v>PASS</x:v>
      </x:c>
      <x:c r="M654" s="34" t="str">
        <x:v>numeric coverage for applicable metric</x:v>
      </x:c>
      <x:c r="N654" s="34" t="str">
        <x:v>Feedback-Directed Random Test Generation/Result/Lang_33/result.json</x:v>
      </x:c>
      <x:c r="O654" s="38" t="n">
        <x:f>IF(AND(G654="RECORDED",ISNUMBER(H654)),H654,"")</x:f>
        <x:v>54.17999999999999</x:v>
      </x:c>
      <x:c r="P654" s="34" t="str">
        <x:v>INCONCLUSIVE</x:v>
      </x:c>
      <x:c r="Q654" s="34" t="str">
        <x:v>Feedback-Directed Random Test Generation/Result/Lang_33/result.json</x:v>
      </x:c>
    </x:row>
    <x:row r="655">
      <x:c r="A655" s="34" t="str">
        <x:v>randoop</x:v>
      </x:c>
      <x:c r="B655" s="34" t="str">
        <x:v>Lang</x:v>
      </x:c>
      <x:c r="C655" s="34" t="str">
        <x:v>Round1</x:v>
      </x:c>
      <x:c r="D655" s="34" t="str">
        <x:v>Lang_34</x:v>
      </x:c>
      <x:c r="E655" s="34" t="str">
        <x:v>Coverage</x:v>
      </x:c>
      <x:c r="F655" s="34" t="n">
        <x:v>731</x:v>
      </x:c>
      <x:c r="G655" s="34" t="str">
        <x:v>RECORDED</x:v>
      </x:c>
      <x:c r="H655" s="38" t="n">
        <x:f>IF(ISNUMBER('Data'!G655),'Data'!G655*100,"")</x:f>
        <x:v>56.63</x:v>
      </x:c>
      <x:c r="I655" s="34" t="str">
        <x:v>PASS</x:v>
      </x:c>
      <x:c r="J655" s="34" t="str">
        <x:v>PASS</x:v>
      </x:c>
      <x:c r="K655" s="34" t="str">
        <x:v>PASS</x:v>
      </x:c>
      <x:c r="L655" s="34" t="str">
        <x:v>FAIL</x:v>
      </x:c>
      <x:c r="M655" s="34" t="str">
        <x:v>numeric coverage for applicable metric</x:v>
      </x:c>
      <x:c r="N655" s="34" t="str">
        <x:v>Feedback-Directed Random Test Generation/Result/Lang_34/result.json</x:v>
      </x:c>
      <x:c r="O655" s="38" t="n">
        <x:f>IF(AND(G655="RECORDED",ISNUMBER(H655)),H655,"")</x:f>
        <x:v>56.63</x:v>
      </x:c>
      <x:c r="P655" s="34" t="str">
        <x:v>INCONCLUSIVE</x:v>
      </x:c>
      <x:c r="Q655" s="34" t="str">
        <x:v>Feedback-Directed Random Test Generation/Result/Lang_34/result.json</x:v>
      </x:c>
    </x:row>
    <x:row r="656">
      <x:c r="A656" s="34" t="str">
        <x:v>randoop</x:v>
      </x:c>
      <x:c r="B656" s="34" t="str">
        <x:v>Lang</x:v>
      </x:c>
      <x:c r="C656" s="34" t="str">
        <x:v>Round1</x:v>
      </x:c>
      <x:c r="D656" s="34" t="str">
        <x:v>Lang_35</x:v>
      </x:c>
      <x:c r="E656" s="34" t="str">
        <x:v>Coverage</x:v>
      </x:c>
      <x:c r="F656" s="34" t="n">
        <x:v>1770</x:v>
      </x:c>
      <x:c r="G656" s="34" t="str">
        <x:v>RECORDED</x:v>
      </x:c>
      <x:c r="H656" s="38" t="n">
        <x:f>IF(ISNUMBER('Data'!G656),'Data'!G656*100,"")</x:f>
        <x:v>96.16</x:v>
      </x:c>
      <x:c r="I656" s="34" t="str">
        <x:v>PASS</x:v>
      </x:c>
      <x:c r="J656" s="34" t="str">
        <x:v>PASS</x:v>
      </x:c>
      <x:c r="K656" s="34" t="str">
        <x:v>PASS</x:v>
      </x:c>
      <x:c r="L656" s="34" t="str">
        <x:v>PASS</x:v>
      </x:c>
      <x:c r="M656" s="34" t="str">
        <x:v>numeric coverage for applicable metric</x:v>
      </x:c>
      <x:c r="N656" s="34" t="str">
        <x:v>Feedback-Directed Random Test Generation/Result/Lang_35/result.json</x:v>
      </x:c>
      <x:c r="O656" s="38" t="n">
        <x:f>IF(AND(G656="RECORDED",ISNUMBER(H656)),H656,"")</x:f>
        <x:v>96.16</x:v>
      </x:c>
      <x:c r="P656" s="34" t="str">
        <x:v>NOT_REVEALING</x:v>
      </x:c>
      <x:c r="Q656" s="34" t="str">
        <x:v>Feedback-Directed Random Test Generation/Result/Lang_35/result.json</x:v>
      </x:c>
    </x:row>
    <x:row r="657">
      <x:c r="A657" s="34" t="str">
        <x:v>randoop</x:v>
      </x:c>
      <x:c r="B657" s="34" t="str">
        <x:v>Lang</x:v>
      </x:c>
      <x:c r="C657" s="34" t="str">
        <x:v>Round1</x:v>
      </x:c>
      <x:c r="D657" s="34" t="str">
        <x:v>Lang_36</x:v>
      </x:c>
      <x:c r="E657" s="34" t="str">
        <x:v>Coverage</x:v>
      </x:c>
      <x:c r="F657" s="34" t="n">
        <x:v>714</x:v>
      </x:c>
      <x:c r="G657" s="34" t="str">
        <x:v>RECORDED</x:v>
      </x:c>
      <x:c r="H657" s="38" t="n">
        <x:f>IF(ISNUMBER('Data'!G657),'Data'!G657*100,"")</x:f>
        <x:v>61.199999999999996</x:v>
      </x:c>
      <x:c r="I657" s="34" t="str">
        <x:v>PASS</x:v>
      </x:c>
      <x:c r="J657" s="34" t="str">
        <x:v>PASS</x:v>
      </x:c>
      <x:c r="K657" s="34" t="str">
        <x:v>PASS</x:v>
      </x:c>
      <x:c r="L657" s="34" t="str">
        <x:v>PASS</x:v>
      </x:c>
      <x:c r="M657" s="34" t="str">
        <x:v>numeric coverage for applicable metric</x:v>
      </x:c>
      <x:c r="N657" s="34" t="str">
        <x:v>Feedback-Directed Random Test Generation/Result/Lang_36/result.json</x:v>
      </x:c>
      <x:c r="O657" s="38" t="n">
        <x:f>IF(AND(G657="RECORDED",ISNUMBER(H657)),H657,"")</x:f>
        <x:v>61.199999999999996</x:v>
      </x:c>
      <x:c r="P657" s="34" t="str">
        <x:v>NOT_REVEALING</x:v>
      </x:c>
      <x:c r="Q657" s="34" t="str">
        <x:v>Feedback-Directed Random Test Generation/Result/Lang_36/result.json</x:v>
      </x:c>
    </x:row>
    <x:row r="658">
      <x:c r="A658" s="34" t="str">
        <x:v>randoop</x:v>
      </x:c>
      <x:c r="B658" s="34" t="str">
        <x:v>Lang</x:v>
      </x:c>
      <x:c r="C658" s="34" t="str">
        <x:v>Round1</x:v>
      </x:c>
      <x:c r="D658" s="34" t="str">
        <x:v>Lang_37</x:v>
      </x:c>
      <x:c r="E658" s="34" t="str">
        <x:v>Coverage</x:v>
      </x:c>
      <x:c r="F658" s="34" t="n">
        <x:v>1755</x:v>
      </x:c>
      <x:c r="G658" s="34" t="str">
        <x:v>RECORDED</x:v>
      </x:c>
      <x:c r="H658" s="38" t="n">
        <x:f>IF(ISNUMBER('Data'!G658),'Data'!G658*100,"")</x:f>
        <x:v>96.35</x:v>
      </x:c>
      <x:c r="I658" s="34" t="str">
        <x:v>PASS</x:v>
      </x:c>
      <x:c r="J658" s="34" t="str">
        <x:v>PASS</x:v>
      </x:c>
      <x:c r="K658" s="34" t="str">
        <x:v>PASS</x:v>
      </x:c>
      <x:c r="L658" s="34" t="str">
        <x:v>PASS</x:v>
      </x:c>
      <x:c r="M658" s="34" t="str">
        <x:v>numeric coverage for applicable metric</x:v>
      </x:c>
      <x:c r="N658" s="34" t="str">
        <x:v>Feedback-Directed Random Test Generation/Result/Lang_37/result.json</x:v>
      </x:c>
      <x:c r="O658" s="38" t="n">
        <x:f>IF(AND(G658="RECORDED",ISNUMBER(H658)),H658,"")</x:f>
        <x:v>96.35</x:v>
      </x:c>
      <x:c r="P658" s="34" t="str">
        <x:v>INCONCLUSIVE</x:v>
      </x:c>
      <x:c r="Q658" s="34" t="str">
        <x:v>Feedback-Directed Random Test Generation/Result/Lang_37/result.json</x:v>
      </x:c>
    </x:row>
    <x:row r="659">
      <x:c r="A659" s="34" t="str">
        <x:v>randoop</x:v>
      </x:c>
      <x:c r="B659" s="34" t="str">
        <x:v>Lang</x:v>
      </x:c>
      <x:c r="C659" s="34" t="str">
        <x:v>Round1</x:v>
      </x:c>
      <x:c r="D659" s="34" t="str">
        <x:v>Lang_38</x:v>
      </x:c>
      <x:c r="E659" s="34" t="str">
        <x:v>Coverage</x:v>
      </x:c>
      <x:c r="F659" s="34" t="n">
        <x:v>692</x:v>
      </x:c>
      <x:c r="G659" s="34" t="str">
        <x:v>RECORDED</x:v>
      </x:c>
      <x:c r="H659" s="38" t="n">
        <x:f>IF(ISNUMBER('Data'!G659),'Data'!G659*100,"")</x:f>
        <x:v>73.41</x:v>
      </x:c>
      <x:c r="I659" s="34" t="str">
        <x:v>PASS</x:v>
      </x:c>
      <x:c r="J659" s="34" t="str">
        <x:v>PASS</x:v>
      </x:c>
      <x:c r="K659" s="34" t="str">
        <x:v>PASS</x:v>
      </x:c>
      <x:c r="L659" s="34" t="str">
        <x:v>FAIL</x:v>
      </x:c>
      <x:c r="M659" s="34" t="str">
        <x:v>numeric coverage for applicable metric</x:v>
      </x:c>
      <x:c r="N659" s="34" t="str">
        <x:v>Feedback-Directed Random Test Generation/Result/Lang_38/result.json</x:v>
      </x:c>
      <x:c r="O659" s="38" t="n">
        <x:f>IF(AND(G659="RECORDED",ISNUMBER(H659)),H659,"")</x:f>
        <x:v>73.41</x:v>
      </x:c>
      <x:c r="P659" s="34" t="str">
        <x:v>INCONCLUSIVE</x:v>
      </x:c>
      <x:c r="Q659" s="34" t="str">
        <x:v>Feedback-Directed Random Test Generation/Result/Lang_38/result.json</x:v>
      </x:c>
    </x:row>
    <x:row r="660">
      <x:c r="A660" s="34" t="str">
        <x:v>randoop</x:v>
      </x:c>
      <x:c r="B660" s="34" t="str">
        <x:v>Lang</x:v>
      </x:c>
      <x:c r="C660" s="34" t="str">
        <x:v>Round1</x:v>
      </x:c>
      <x:c r="D660" s="34" t="str">
        <x:v>Lang_39</x:v>
      </x:c>
      <x:c r="E660" s="34" t="str">
        <x:v>Coverage</x:v>
      </x:c>
      <x:c r="F660" s="34" t="n">
        <x:v>2131</x:v>
      </x:c>
      <x:c r="G660" s="34" t="str">
        <x:v>RECORDED</x:v>
      </x:c>
      <x:c r="H660" s="38" t="n">
        <x:f>IF(ISNUMBER('Data'!G660),'Data'!G660*100,"")</x:f>
        <x:v>82.87</x:v>
      </x:c>
      <x:c r="I660" s="34" t="str">
        <x:v>PASS</x:v>
      </x:c>
      <x:c r="J660" s="34" t="str">
        <x:v>PASS</x:v>
      </x:c>
      <x:c r="K660" s="34" t="str">
        <x:v>PASS</x:v>
      </x:c>
      <x:c r="L660" s="34" t="str">
        <x:v>PASS</x:v>
      </x:c>
      <x:c r="M660" s="34" t="str">
        <x:v>numeric coverage for applicable metric</x:v>
      </x:c>
      <x:c r="N660" s="34" t="str">
        <x:v>Feedback-Directed Random Test Generation/Result/Lang_39/result.json</x:v>
      </x:c>
      <x:c r="O660" s="38" t="n">
        <x:f>IF(AND(G660="RECORDED",ISNUMBER(H660)),H660,"")</x:f>
        <x:v>82.87</x:v>
      </x:c>
      <x:c r="P660" s="34" t="str">
        <x:v>NOT_REVEALING</x:v>
      </x:c>
      <x:c r="Q660" s="34" t="str">
        <x:v>Feedback-Directed Random Test Generation/Result/Lang_39/result.json</x:v>
      </x:c>
    </x:row>
    <x:row r="661">
      <x:c r="A661" s="34" t="str">
        <x:v>randoop</x:v>
      </x:c>
      <x:c r="B661" s="34" t="str">
        <x:v>Lang</x:v>
      </x:c>
      <x:c r="C661" s="34" t="str">
        <x:v>Round1</x:v>
      </x:c>
      <x:c r="D661" s="34" t="str">
        <x:v>Lang_40</x:v>
      </x:c>
      <x:c r="E661" s="34" t="str">
        <x:v>Coverage</x:v>
      </x:c>
      <x:c r="F661" s="34" t="n">
        <x:v>2093</x:v>
      </x:c>
      <x:c r="G661" s="34" t="str">
        <x:v>RECORDED</x:v>
      </x:c>
      <x:c r="H661" s="38" t="n">
        <x:f>IF(ISNUMBER('Data'!G661),'Data'!G661*100,"")</x:f>
        <x:v>83.8</x:v>
      </x:c>
      <x:c r="I661" s="34" t="str">
        <x:v>PASS</x:v>
      </x:c>
      <x:c r="J661" s="34" t="str">
        <x:v>PASS</x:v>
      </x:c>
      <x:c r="K661" s="34" t="str">
        <x:v>PASS</x:v>
      </x:c>
      <x:c r="L661" s="34" t="str">
        <x:v>PASS</x:v>
      </x:c>
      <x:c r="M661" s="34" t="str">
        <x:v>numeric coverage for applicable metric</x:v>
      </x:c>
      <x:c r="N661" s="34" t="str">
        <x:v>Feedback-Directed Random Test Generation/Result/Lang_40/result.json</x:v>
      </x:c>
      <x:c r="O661" s="38" t="n">
        <x:f>IF(AND(G661="RECORDED",ISNUMBER(H661)),H661,"")</x:f>
        <x:v>83.8</x:v>
      </x:c>
      <x:c r="P661" s="34" t="str">
        <x:v>NOT_REVEALING</x:v>
      </x:c>
      <x:c r="Q661" s="34" t="str">
        <x:v>Feedback-Directed Random Test Generation/Result/Lang_40/result.json</x:v>
      </x:c>
    </x:row>
    <x:row r="662">
      <x:c r="A662" s="34" t="str">
        <x:v>randoop</x:v>
      </x:c>
      <x:c r="B662" s="34" t="str">
        <x:v>Lang</x:v>
      </x:c>
      <x:c r="C662" s="34" t="str">
        <x:v>Round1</x:v>
      </x:c>
      <x:c r="D662" s="34" t="str">
        <x:v>Lang_41</x:v>
      </x:c>
      <x:c r="E662" s="34" t="str">
        <x:v>Coverage</x:v>
      </x:c>
      <x:c r="F662" s="34" t="n">
        <x:v>471</x:v>
      </x:c>
      <x:c r="G662" s="34" t="str">
        <x:v>RECORDED</x:v>
      </x:c>
      <x:c r="H662" s="38" t="n">
        <x:f>IF(ISNUMBER('Data'!G662),'Data'!G662*100,"")</x:f>
        <x:v>48.41</x:v>
      </x:c>
      <x:c r="I662" s="34" t="str">
        <x:v>PASS</x:v>
      </x:c>
      <x:c r="J662" s="34" t="str">
        <x:v>PASS</x:v>
      </x:c>
      <x:c r="K662" s="34" t="str">
        <x:v>PASS</x:v>
      </x:c>
      <x:c r="L662" s="34" t="str">
        <x:v>PASS</x:v>
      </x:c>
      <x:c r="M662" s="34" t="str">
        <x:v>numeric coverage for applicable metric</x:v>
      </x:c>
      <x:c r="N662" s="34" t="str">
        <x:v>Feedback-Directed Random Test Generation/Result/Lang_41/result.json</x:v>
      </x:c>
      <x:c r="O662" s="38" t="n">
        <x:f>IF(AND(G662="RECORDED",ISNUMBER(H662)),H662,"")</x:f>
        <x:v>48.41</x:v>
      </x:c>
      <x:c r="P662" s="34" t="str">
        <x:v>INCONCLUSIVE</x:v>
      </x:c>
      <x:c r="Q662" s="34" t="str">
        <x:v>Feedback-Directed Random Test Generation/Result/Lang_41/result.json</x:v>
      </x:c>
    </x:row>
    <x:row r="663">
      <x:c r="A663" s="34" t="str">
        <x:v>randoop</x:v>
      </x:c>
      <x:c r="B663" s="34" t="str">
        <x:v>Lang</x:v>
      </x:c>
      <x:c r="C663" s="34" t="str">
        <x:v>Round1</x:v>
      </x:c>
      <x:c r="D663" s="34" t="str">
        <x:v>Lang_42</x:v>
      </x:c>
      <x:c r="E663" s="34" t="str">
        <x:v>Coverage</x:v>
      </x:c>
      <x:c r="F663" s="34" t="n">
        <x:v>271</x:v>
      </x:c>
      <x:c r="G663" s="34" t="str">
        <x:v>RECORDED</x:v>
      </x:c>
      <x:c r="H663" s="38" t="n">
        <x:f>IF(ISNUMBER('Data'!G663),'Data'!G663*100,"")</x:f>
        <x:v>68.27</x:v>
      </x:c>
      <x:c r="I663" s="34" t="str">
        <x:v>PASS</x:v>
      </x:c>
      <x:c r="J663" s="34" t="str">
        <x:v>PASS</x:v>
      </x:c>
      <x:c r="K663" s="34" t="str">
        <x:v>PASS</x:v>
      </x:c>
      <x:c r="L663" s="34" t="str">
        <x:v>FAIL</x:v>
      </x:c>
      <x:c r="M663" s="34" t="str">
        <x:v>numeric coverage for applicable metric</x:v>
      </x:c>
      <x:c r="N663" s="34" t="str">
        <x:v>Feedback-Directed Random Test Generation/Result/Lang_42/result.json</x:v>
      </x:c>
      <x:c r="O663" s="38" t="n">
        <x:f>IF(AND(G663="RECORDED",ISNUMBER(H663)),H663,"")</x:f>
        <x:v>68.27</x:v>
      </x:c>
      <x:c r="P663" s="34" t="str">
        <x:v>INCONCLUSIVE</x:v>
      </x:c>
      <x:c r="Q663" s="34" t="str">
        <x:v>Feedback-Directed Random Test Generation/Result/Lang_42/result.json</x:v>
      </x:c>
    </x:row>
    <x:row r="664">
      <x:c r="A664" s="34" t="str">
        <x:v>randoop</x:v>
      </x:c>
      <x:c r="B664" s="34" t="str">
        <x:v>Lang</x:v>
      </x:c>
      <x:c r="C664" s="34" t="str">
        <x:v>Round1</x:v>
      </x:c>
      <x:c r="D664" s="34" t="str">
        <x:v>Lang_43</x:v>
      </x:c>
      <x:c r="E664" s="34" t="str">
        <x:v>Coverage</x:v>
      </x:c>
      <x:c r="F664" s="34" t="n">
        <x:v>265</x:v>
      </x:c>
      <x:c r="G664" s="34" t="str">
        <x:v>RECORDED</x:v>
      </x:c>
      <x:c r="H664" s="38" t="n">
        <x:f>IF(ISNUMBER('Data'!G664),'Data'!G664*100,"")</x:f>
        <x:v>7.919999999999999</x:v>
      </x:c>
      <x:c r="I664" s="34" t="str">
        <x:v>PASS</x:v>
      </x:c>
      <x:c r="J664" s="34" t="str">
        <x:v>PASS</x:v>
      </x:c>
      <x:c r="K664" s="34" t="str">
        <x:v>PASS</x:v>
      </x:c>
      <x:c r="L664" s="34" t="str">
        <x:v>PASS</x:v>
      </x:c>
      <x:c r="M664" s="34" t="str">
        <x:v>numeric coverage for applicable metric</x:v>
      </x:c>
      <x:c r="N664" s="34" t="str">
        <x:v>Feedback-Directed Random Test Generation/Result/Lang_43/result.json</x:v>
      </x:c>
      <x:c r="O664" s="38" t="n">
        <x:f>IF(AND(G664="RECORDED",ISNUMBER(H664)),H664,"")</x:f>
        <x:v>7.919999999999999</x:v>
      </x:c>
      <x:c r="P664" s="34" t="str">
        <x:v>NOT_REVEALING</x:v>
      </x:c>
      <x:c r="Q664" s="34" t="str">
        <x:v>Feedback-Directed Random Test Generation/Result/Lang_43/result.json</x:v>
      </x:c>
    </x:row>
    <x:row r="665">
      <x:c r="A665" s="34" t="str">
        <x:v>randoop</x:v>
      </x:c>
      <x:c r="B665" s="34" t="str">
        <x:v>Lang</x:v>
      </x:c>
      <x:c r="C665" s="34" t="str">
        <x:v>Round1</x:v>
      </x:c>
      <x:c r="D665" s="34" t="str">
        <x:v>Lang_44</x:v>
      </x:c>
      <x:c r="E665" s="34" t="str">
        <x:v>Coverage</x:v>
      </x:c>
      <x:c r="F665" s="34" t="n">
        <x:v>406</x:v>
      </x:c>
      <x:c r="G665" s="34" t="str">
        <x:v>RECORDED</x:v>
      </x:c>
      <x:c r="H665" s="38" t="n">
        <x:f>IF(ISNUMBER('Data'!G665),'Data'!G665*100,"")</x:f>
        <x:v>37.93</x:v>
      </x:c>
      <x:c r="I665" s="34" t="str">
        <x:v>PASS</x:v>
      </x:c>
      <x:c r="J665" s="34" t="str">
        <x:v>PASS</x:v>
      </x:c>
      <x:c r="K665" s="34" t="str">
        <x:v>PASS</x:v>
      </x:c>
      <x:c r="L665" s="34" t="str">
        <x:v>PASS</x:v>
      </x:c>
      <x:c r="M665" s="34" t="str">
        <x:v>numeric coverage for applicable metric</x:v>
      </x:c>
      <x:c r="N665" s="34" t="str">
        <x:v>Feedback-Directed Random Test Generation/Result/Lang_44/result.json</x:v>
      </x:c>
      <x:c r="O665" s="38" t="n">
        <x:f>IF(AND(G665="RECORDED",ISNUMBER(H665)),H665,"")</x:f>
        <x:v>37.93</x:v>
      </x:c>
      <x:c r="P665" s="34" t="str">
        <x:v>NOT_REVEALING</x:v>
      </x:c>
      <x:c r="Q665" s="34" t="str">
        <x:v>Feedback-Directed Random Test Generation/Result/Lang_44/result.json</x:v>
      </x:c>
    </x:row>
    <x:row r="666">
      <x:c r="A666" s="34" t="str">
        <x:v>randoop</x:v>
      </x:c>
      <x:c r="B666" s="34" t="str">
        <x:v>Lang</x:v>
      </x:c>
      <x:c r="C666" s="34" t="str">
        <x:v>Round1</x:v>
      </x:c>
      <x:c r="D666" s="34" t="str">
        <x:v>Lang_45</x:v>
      </x:c>
      <x:c r="E666" s="34" t="str">
        <x:v>Coverage</x:v>
      </x:c>
      <x:c r="F666" s="34" t="n">
        <x:v>240</x:v>
      </x:c>
      <x:c r="G666" s="34" t="str">
        <x:v>RECORDED</x:v>
      </x:c>
      <x:c r="H666" s="38" t="n">
        <x:f>IF(ISNUMBER('Data'!G666),'Data'!G666*100,"")</x:f>
        <x:v>83.33</x:v>
      </x:c>
      <x:c r="I666" s="34" t="str">
        <x:v>PASS</x:v>
      </x:c>
      <x:c r="J666" s="34" t="str">
        <x:v>PASS</x:v>
      </x:c>
      <x:c r="K666" s="34" t="str">
        <x:v>PASS</x:v>
      </x:c>
      <x:c r="L666" s="34" t="str">
        <x:v>PASS</x:v>
      </x:c>
      <x:c r="M666" s="34" t="str">
        <x:v>numeric coverage for applicable metric</x:v>
      </x:c>
      <x:c r="N666" s="34" t="str">
        <x:v>Feedback-Directed Random Test Generation/Result/Lang_45/result.json</x:v>
      </x:c>
      <x:c r="O666" s="38" t="n">
        <x:f>IF(AND(G666="RECORDED",ISNUMBER(H666)),H666,"")</x:f>
        <x:v>83.33</x:v>
      </x:c>
      <x:c r="P666" s="34" t="str">
        <x:v>INCONCLUSIVE</x:v>
      </x:c>
      <x:c r="Q666" s="34" t="str">
        <x:v>Feedback-Directed Random Test Generation/Result/Lang_45/result.json</x:v>
      </x:c>
    </x:row>
    <x:row r="667">
      <x:c r="A667" s="34" t="str">
        <x:v>randoop</x:v>
      </x:c>
      <x:c r="B667" s="34" t="str">
        <x:v>Lang</x:v>
      </x:c>
      <x:c r="C667" s="34" t="str">
        <x:v>Round1</x:v>
      </x:c>
      <x:c r="D667" s="34" t="str">
        <x:v>Lang_46</x:v>
      </x:c>
      <x:c r="E667" s="34" t="str">
        <x:v>Coverage</x:v>
      </x:c>
      <x:c r="F667" s="34" t="n">
        <x:v>328</x:v>
      </x:c>
      <x:c r="G667" s="34" t="str">
        <x:v>RECORDED</x:v>
      </x:c>
      <x:c r="H667" s="38" t="n">
        <x:f>IF(ISNUMBER('Data'!G667),'Data'!G667*100,"")</x:f>
        <x:v>40.24</x:v>
      </x:c>
      <x:c r="I667" s="34" t="str">
        <x:v>PASS</x:v>
      </x:c>
      <x:c r="J667" s="34" t="str">
        <x:v>PASS</x:v>
      </x:c>
      <x:c r="K667" s="34" t="str">
        <x:v>PASS</x:v>
      </x:c>
      <x:c r="L667" s="34" t="str">
        <x:v>PASS</x:v>
      </x:c>
      <x:c r="M667" s="34" t="str">
        <x:v>numeric coverage for applicable metric</x:v>
      </x:c>
      <x:c r="N667" s="34" t="str">
        <x:v>Feedback-Directed Random Test Generation/Result/Lang_46/result.json</x:v>
      </x:c>
      <x:c r="O667" s="38" t="n">
        <x:f>IF(AND(G667="RECORDED",ISNUMBER(H667)),H667,"")</x:f>
        <x:v>40.24</x:v>
      </x:c>
      <x:c r="P667" s="34" t="str">
        <x:v>NOT_REVEALING</x:v>
      </x:c>
      <x:c r="Q667" s="34" t="str">
        <x:v>Feedback-Directed Random Test Generation/Result/Lang_46/result.json</x:v>
      </x:c>
    </x:row>
    <x:row r="668">
      <x:c r="A668" s="34" t="str">
        <x:v>randoop</x:v>
      </x:c>
      <x:c r="B668" s="34" t="str">
        <x:v>Lang</x:v>
      </x:c>
      <x:c r="C668" s="34" t="str">
        <x:v>Round1</x:v>
      </x:c>
      <x:c r="D668" s="34" t="str">
        <x:v>Lang_47</x:v>
      </x:c>
      <x:c r="E668" s="34" t="str">
        <x:v>Coverage</x:v>
      </x:c>
      <x:c r="F668" s="34" t="n">
        <x:v>1188</x:v>
      </x:c>
      <x:c r="G668" s="34" t="str">
        <x:v>RECORDED</x:v>
      </x:c>
      <x:c r="H668" s="38" t="n">
        <x:f>IF(ISNUMBER('Data'!G668),'Data'!G668*100,"")</x:f>
        <x:v>94.11</x:v>
      </x:c>
      <x:c r="I668" s="34" t="str">
        <x:v>PASS</x:v>
      </x:c>
      <x:c r="J668" s="34" t="str">
        <x:v>PASS</x:v>
      </x:c>
      <x:c r="K668" s="34" t="str">
        <x:v>PASS</x:v>
      </x:c>
      <x:c r="L668" s="34" t="str">
        <x:v>FAIL</x:v>
      </x:c>
      <x:c r="M668" s="34" t="str">
        <x:v>numeric coverage for applicable metric</x:v>
      </x:c>
      <x:c r="N668" s="34" t="str">
        <x:v>Feedback-Directed Random Test Generation/Result/Lang_47/result.json</x:v>
      </x:c>
      <x:c r="O668" s="38" t="n">
        <x:f>IF(AND(G668="RECORDED",ISNUMBER(H668)),H668,"")</x:f>
        <x:v>94.11</x:v>
      </x:c>
      <x:c r="P668" s="34" t="str">
        <x:v>INCONCLUSIVE</x:v>
      </x:c>
      <x:c r="Q668" s="34" t="str">
        <x:v>Feedback-Directed Random Test Generation/Result/Lang_47/result.json</x:v>
      </x:c>
    </x:row>
    <x:row r="669">
      <x:c r="A669" s="34" t="str">
        <x:v>randoop</x:v>
      </x:c>
      <x:c r="B669" s="34" t="str">
        <x:v>Lang</x:v>
      </x:c>
      <x:c r="C669" s="34" t="str">
        <x:v>Round1</x:v>
      </x:c>
      <x:c r="D669" s="34" t="str">
        <x:v>Lang_49</x:v>
      </x:c>
      <x:c r="E669" s="34" t="str">
        <x:v>Coverage</x:v>
      </x:c>
      <x:c r="F669" s="34" t="n">
        <x:v>460</x:v>
      </x:c>
      <x:c r="G669" s="34" t="str">
        <x:v>RECORDED</x:v>
      </x:c>
      <x:c r="H669" s="38" t="n">
        <x:f>IF(ISNUMBER('Data'!G669),'Data'!G669*100,"")</x:f>
        <x:v>88.48</x:v>
      </x:c>
      <x:c r="I669" s="34" t="str">
        <x:v>PASS</x:v>
      </x:c>
      <x:c r="J669" s="34" t="str">
        <x:v>PASS</x:v>
      </x:c>
      <x:c r="K669" s="34" t="str">
        <x:v>PASS</x:v>
      </x:c>
      <x:c r="L669" s="34" t="str">
        <x:v>PASS</x:v>
      </x:c>
      <x:c r="M669" s="34" t="str">
        <x:v>numeric coverage for applicable metric</x:v>
      </x:c>
      <x:c r="N669" s="34" t="str">
        <x:v>Feedback-Directed Random Test Generation/Result/Lang_49/result.json</x:v>
      </x:c>
      <x:c r="O669" s="38" t="n">
        <x:f>IF(AND(G669="RECORDED",ISNUMBER(H669)),H669,"")</x:f>
        <x:v>88.48</x:v>
      </x:c>
      <x:c r="P669" s="34" t="str">
        <x:v>NOT_REVEALING</x:v>
      </x:c>
      <x:c r="Q669" s="34" t="str">
        <x:v>Feedback-Directed Random Test Generation/Result/Lang_49/result.json</x:v>
      </x:c>
    </x:row>
    <x:row r="670">
      <x:c r="A670" s="34" t="str">
        <x:v>randoop</x:v>
      </x:c>
      <x:c r="B670" s="34" t="str">
        <x:v>Lang</x:v>
      </x:c>
      <x:c r="C670" s="34" t="str">
        <x:v>Round1</x:v>
      </x:c>
      <x:c r="D670" s="34" t="str">
        <x:v>Lang_50</x:v>
      </x:c>
      <x:c r="E670" s="34" t="str">
        <x:v>Coverage</x:v>
      </x:c>
      <x:c r="F670" s="34" t="n">
        <x:v>699</x:v>
      </x:c>
      <x:c r="G670" s="34" t="str">
        <x:v>RECORDED</x:v>
      </x:c>
      <x:c r="H670" s="38" t="n">
        <x:f>IF(ISNUMBER('Data'!G670),'Data'!G670*100,"")</x:f>
        <x:v>76.68</x:v>
      </x:c>
      <x:c r="I670" s="34" t="str">
        <x:v>PASS</x:v>
      </x:c>
      <x:c r="J670" s="34" t="str">
        <x:v>PASS</x:v>
      </x:c>
      <x:c r="K670" s="34" t="str">
        <x:v>PASS</x:v>
      </x:c>
      <x:c r="L670" s="34" t="str">
        <x:v>FAIL</x:v>
      </x:c>
      <x:c r="M670" s="34" t="str">
        <x:v>numeric coverage for applicable metric</x:v>
      </x:c>
      <x:c r="N670" s="34" t="str">
        <x:v>Feedback-Directed Random Test Generation/Result/Lang_50/result.json</x:v>
      </x:c>
      <x:c r="O670" s="38" t="n">
        <x:f>IF(AND(G670="RECORDED",ISNUMBER(H670)),H670,"")</x:f>
        <x:v>76.68</x:v>
      </x:c>
      <x:c r="P670" s="34" t="str">
        <x:v>INCONCLUSIVE</x:v>
      </x:c>
      <x:c r="Q670" s="34" t="str">
        <x:v>Feedback-Directed Random Test Generation/Result/Lang_50/result.json</x:v>
      </x:c>
    </x:row>
    <x:row r="671">
      <x:c r="A671" s="34" t="str">
        <x:v>randoop</x:v>
      </x:c>
      <x:c r="B671" s="34" t="str">
        <x:v>Lang</x:v>
      </x:c>
      <x:c r="C671" s="34" t="str">
        <x:v>Round1</x:v>
      </x:c>
      <x:c r="D671" s="34" t="str">
        <x:v>Lang_51</x:v>
      </x:c>
      <x:c r="E671" s="34" t="str">
        <x:v>Coverage</x:v>
      </x:c>
      <x:c r="F671" s="34" t="n">
        <x:v>383</x:v>
      </x:c>
      <x:c r="G671" s="34" t="str">
        <x:v>RECORDED</x:v>
      </x:c>
      <x:c r="H671" s="38" t="n">
        <x:f>IF(ISNUMBER('Data'!G671),'Data'!G671*100,"")</x:f>
        <x:v>67.36</x:v>
      </x:c>
      <x:c r="I671" s="34" t="str">
        <x:v>PASS</x:v>
      </x:c>
      <x:c r="J671" s="34" t="str">
        <x:v>PASS</x:v>
      </x:c>
      <x:c r="K671" s="34" t="str">
        <x:v>PASS</x:v>
      </x:c>
      <x:c r="L671" s="34" t="str">
        <x:v>PASS</x:v>
      </x:c>
      <x:c r="M671" s="34" t="str">
        <x:v>numeric coverage for applicable metric</x:v>
      </x:c>
      <x:c r="N671" s="34" t="str">
        <x:v>Feedback-Directed Random Test Generation/Result/Lang_51/result.json</x:v>
      </x:c>
      <x:c r="O671" s="38" t="n">
        <x:f>IF(AND(G671="RECORDED",ISNUMBER(H671)),H671,"")</x:f>
        <x:v>67.36</x:v>
      </x:c>
      <x:c r="P671" s="34" t="str">
        <x:v>NOT_REVEALING</x:v>
      </x:c>
      <x:c r="Q671" s="34" t="str">
        <x:v>Feedback-Directed Random Test Generation/Result/Lang_51/result.json</x:v>
      </x:c>
    </x:row>
    <x:row r="672">
      <x:c r="A672" s="34" t="str">
        <x:v>randoop</x:v>
      </x:c>
      <x:c r="B672" s="34" t="str">
        <x:v>Lang</x:v>
      </x:c>
      <x:c r="C672" s="34" t="str">
        <x:v>Round1</x:v>
      </x:c>
      <x:c r="D672" s="34" t="str">
        <x:v>Lang_52</x:v>
      </x:c>
      <x:c r="E672" s="34" t="str">
        <x:v>Coverage</x:v>
      </x:c>
      <x:c r="F672" s="34" t="n">
        <x:v>259</x:v>
      </x:c>
      <x:c r="G672" s="34" t="str">
        <x:v>RECORDED</x:v>
      </x:c>
      <x:c r="H672" s="38" t="n">
        <x:f>IF(ISNUMBER('Data'!G672),'Data'!G672*100,"")</x:f>
        <x:v>40.93</x:v>
      </x:c>
      <x:c r="I672" s="34" t="str">
        <x:v>PASS</x:v>
      </x:c>
      <x:c r="J672" s="34" t="str">
        <x:v>PASS</x:v>
      </x:c>
      <x:c r="K672" s="34" t="str">
        <x:v>PASS</x:v>
      </x:c>
      <x:c r="L672" s="34" t="str">
        <x:v>PASS</x:v>
      </x:c>
      <x:c r="M672" s="34" t="str">
        <x:v>numeric coverage for applicable metric</x:v>
      </x:c>
      <x:c r="N672" s="34" t="str">
        <x:v>Feedback-Directed Random Test Generation/Result/Lang_52/result.json</x:v>
      </x:c>
      <x:c r="O672" s="38" t="n">
        <x:f>IF(AND(G672="RECORDED",ISNUMBER(H672)),H672,"")</x:f>
        <x:v>40.93</x:v>
      </x:c>
      <x:c r="P672" s="34" t="str">
        <x:v>NOT_REVEALING</x:v>
      </x:c>
      <x:c r="Q672" s="34" t="str">
        <x:v>Feedback-Directed Random Test Generation/Result/Lang_52/result.json</x:v>
      </x:c>
    </x:row>
    <x:row r="673">
      <x:c r="A673" s="34" t="str">
        <x:v>randoop</x:v>
      </x:c>
      <x:c r="B673" s="34" t="str">
        <x:v>Lang</x:v>
      </x:c>
      <x:c r="C673" s="34" t="str">
        <x:v>Round1</x:v>
      </x:c>
      <x:c r="D673" s="34" t="str">
        <x:v>Lang_53</x:v>
      </x:c>
      <x:c r="E673" s="34" t="str">
        <x:v>Coverage</x:v>
      </x:c>
      <x:c r="F673" s="34" t="n">
        <x:v>392</x:v>
      </x:c>
      <x:c r="G673" s="34" t="str">
        <x:v>RECORDED</x:v>
      </x:c>
      <x:c r="H673" s="38" t="n">
        <x:f>IF(ISNUMBER('Data'!G673),'Data'!G673*100,"")</x:f>
        <x:v>78.32</x:v>
      </x:c>
      <x:c r="I673" s="34" t="str">
        <x:v>PASS</x:v>
      </x:c>
      <x:c r="J673" s="34" t="str">
        <x:v>PASS</x:v>
      </x:c>
      <x:c r="K673" s="34" t="str">
        <x:v>PASS</x:v>
      </x:c>
      <x:c r="L673" s="34" t="str">
        <x:v>FAIL</x:v>
      </x:c>
      <x:c r="M673" s="34" t="str">
        <x:v>numeric coverage for applicable metric</x:v>
      </x:c>
      <x:c r="N673" s="34" t="str">
        <x:v>Feedback-Directed Random Test Generation/Result/Lang_53/result.json</x:v>
      </x:c>
      <x:c r="O673" s="38" t="n">
        <x:f>IF(AND(G673="RECORDED",ISNUMBER(H673)),H673,"")</x:f>
        <x:v>78.32</x:v>
      </x:c>
      <x:c r="P673" s="34" t="str">
        <x:v>INCONCLUSIVE</x:v>
      </x:c>
      <x:c r="Q673" s="34" t="str">
        <x:v>Feedback-Directed Random Test Generation/Result/Lang_53/result.json</x:v>
      </x:c>
    </x:row>
    <x:row r="674">
      <x:c r="A674" s="34" t="str">
        <x:v>randoop</x:v>
      </x:c>
      <x:c r="B674" s="34" t="str">
        <x:v>Lang</x:v>
      </x:c>
      <x:c r="C674" s="34" t="str">
        <x:v>Round1</x:v>
      </x:c>
      <x:c r="D674" s="34" t="str">
        <x:v>Lang_54</x:v>
      </x:c>
      <x:c r="E674" s="34" t="str">
        <x:v>Coverage</x:v>
      </x:c>
      <x:c r="F674" s="34" t="n">
        <x:v>143</x:v>
      </x:c>
      <x:c r="G674" s="34" t="str">
        <x:v>RECORDED</x:v>
      </x:c>
      <x:c r="H674" s="38" t="n">
        <x:f>IF(ISNUMBER('Data'!G674),'Data'!G674*100,"")</x:f>
        <x:v>51.05</x:v>
      </x:c>
      <x:c r="I674" s="34" t="str">
        <x:v>PASS</x:v>
      </x:c>
      <x:c r="J674" s="34" t="str">
        <x:v>PASS</x:v>
      </x:c>
      <x:c r="K674" s="34" t="str">
        <x:v>PASS</x:v>
      </x:c>
      <x:c r="L674" s="34" t="str">
        <x:v>PASS</x:v>
      </x:c>
      <x:c r="M674" s="34" t="str">
        <x:v>numeric coverage for applicable metric</x:v>
      </x:c>
      <x:c r="N674" s="34" t="str">
        <x:v>Feedback-Directed Random Test Generation/Result/Lang_54/result.json</x:v>
      </x:c>
      <x:c r="O674" s="38" t="n">
        <x:f>IF(AND(G674="RECORDED",ISNUMBER(H674)),H674,"")</x:f>
        <x:v>51.05</x:v>
      </x:c>
      <x:c r="P674" s="34" t="str">
        <x:v>NOT_REVEALING</x:v>
      </x:c>
      <x:c r="Q674" s="34" t="str">
        <x:v>Feedback-Directed Random Test Generation/Result/Lang_54/result.json</x:v>
      </x:c>
    </x:row>
    <x:row r="675">
      <x:c r="A675" s="34" t="str">
        <x:v>randoop</x:v>
      </x:c>
      <x:c r="B675" s="34" t="str">
        <x:v>Lang</x:v>
      </x:c>
      <x:c r="C675" s="34" t="str">
        <x:v>Round1</x:v>
      </x:c>
      <x:c r="D675" s="34" t="str">
        <x:v>Lang_55</x:v>
      </x:c>
      <x:c r="E675" s="34" t="str">
        <x:v>Coverage</x:v>
      </x:c>
      <x:c r="F675" s="34" t="n">
        <x:v>83</x:v>
      </x:c>
      <x:c r="G675" s="34" t="str">
        <x:v>RECORDED</x:v>
      </x:c>
      <x:c r="H675" s="38" t="n">
        <x:f>IF(ISNUMBER('Data'!G675),'Data'!G675*100,"")</x:f>
        <x:v>97.59</x:v>
      </x:c>
      <x:c r="I675" s="34" t="str">
        <x:v>PASS</x:v>
      </x:c>
      <x:c r="J675" s="34" t="str">
        <x:v>PASS</x:v>
      </x:c>
      <x:c r="K675" s="34" t="str">
        <x:v>PASS</x:v>
      </x:c>
      <x:c r="L675" s="34" t="str">
        <x:v>FAIL</x:v>
      </x:c>
      <x:c r="M675" s="34" t="str">
        <x:v>numeric coverage for applicable metric</x:v>
      </x:c>
      <x:c r="N675" s="34" t="str">
        <x:v>Feedback-Directed Random Test Generation/Result/Lang_55/result.json</x:v>
      </x:c>
      <x:c r="O675" s="38" t="n">
        <x:f>IF(AND(G675="RECORDED",ISNUMBER(H675)),H675,"")</x:f>
        <x:v>97.59</x:v>
      </x:c>
      <x:c r="P675" s="34" t="str">
        <x:v>INCONCLUSIVE</x:v>
      </x:c>
      <x:c r="Q675" s="34" t="str">
        <x:v>Feedback-Directed Random Test Generation/Result/Lang_55/result.json</x:v>
      </x:c>
    </x:row>
    <x:row r="676">
      <x:c r="A676" s="34" t="str">
        <x:v>randoop</x:v>
      </x:c>
      <x:c r="B676" s="34" t="str">
        <x:v>Lang</x:v>
      </x:c>
      <x:c r="C676" s="34" t="str">
        <x:v>Round1</x:v>
      </x:c>
      <x:c r="D676" s="34" t="str">
        <x:v>Lang_56</x:v>
      </x:c>
      <x:c r="E676" s="34" t="str">
        <x:v>Coverage</x:v>
      </x:c>
      <x:c r="F676" s="34" t="n">
        <x:v>696</x:v>
      </x:c>
      <x:c r="G676" s="34" t="str">
        <x:v>RECORDED</x:v>
      </x:c>
      <x:c r="H676" s="38" t="n">
        <x:f>IF(ISNUMBER('Data'!G676),'Data'!G676*100,"")</x:f>
        <x:v>77.01</x:v>
      </x:c>
      <x:c r="I676" s="34" t="str">
        <x:v>PASS</x:v>
      </x:c>
      <x:c r="J676" s="34" t="str">
        <x:v>PASS</x:v>
      </x:c>
      <x:c r="K676" s="34" t="str">
        <x:v>PASS</x:v>
      </x:c>
      <x:c r="L676" s="34" t="str">
        <x:v>FAIL</x:v>
      </x:c>
      <x:c r="M676" s="34" t="str">
        <x:v>numeric coverage for applicable metric</x:v>
      </x:c>
      <x:c r="N676" s="34" t="str">
        <x:v>Feedback-Directed Random Test Generation/Result/Lang_56/result.json</x:v>
      </x:c>
      <x:c r="O676" s="38" t="n">
        <x:f>IF(AND(G676="RECORDED",ISNUMBER(H676)),H676,"")</x:f>
        <x:v>77.01</x:v>
      </x:c>
      <x:c r="P676" s="34" t="str">
        <x:v>INCONCLUSIVE</x:v>
      </x:c>
      <x:c r="Q676" s="34" t="str">
        <x:v>Feedback-Directed Random Test Generation/Result/Lang_56/result.json</x:v>
      </x:c>
    </x:row>
    <x:row r="677">
      <x:c r="A677" s="34" t="str">
        <x:v>randoop</x:v>
      </x:c>
      <x:c r="B677" s="34" t="str">
        <x:v>Lang</x:v>
      </x:c>
      <x:c r="C677" s="34" t="str">
        <x:v>Round1</x:v>
      </x:c>
      <x:c r="D677" s="34" t="str">
        <x:v>Lang_57</x:v>
      </x:c>
      <x:c r="E677" s="34" t="str">
        <x:v>Coverage</x:v>
      </x:c>
      <x:c r="F677" s="34" t="n">
        <x:v>143</x:v>
      </x:c>
      <x:c r="G677" s="34" t="str">
        <x:v>RECORDED</x:v>
      </x:c>
      <x:c r="H677" s="38" t="n">
        <x:f>IF(ISNUMBER('Data'!G677),'Data'!G677*100,"")</x:f>
        <x:v>50.35000000000001</x:v>
      </x:c>
      <x:c r="I677" s="34" t="str">
        <x:v>PASS</x:v>
      </x:c>
      <x:c r="J677" s="34" t="str">
        <x:v>PASS</x:v>
      </x:c>
      <x:c r="K677" s="34" t="str">
        <x:v>PASS</x:v>
      </x:c>
      <x:c r="L677" s="34" t="str">
        <x:v>PASS</x:v>
      </x:c>
      <x:c r="M677" s="34" t="str">
        <x:v>numeric coverage for applicable metric</x:v>
      </x:c>
      <x:c r="N677" s="34" t="str">
        <x:v>Feedback-Directed Random Test Generation/Result/Lang_57/result.json</x:v>
      </x:c>
      <x:c r="O677" s="38" t="n">
        <x:f>IF(AND(G677="RECORDED",ISNUMBER(H677)),H677,"")</x:f>
        <x:v>50.35000000000001</x:v>
      </x:c>
      <x:c r="P677" s="34" t="str">
        <x:v>NOT_REVEALING</x:v>
      </x:c>
      <x:c r="Q677" s="34" t="str">
        <x:v>Feedback-Directed Random Test Generation/Result/Lang_57/result.json</x:v>
      </x:c>
    </x:row>
    <x:row r="678">
      <x:c r="A678" s="34" t="str">
        <x:v>randoop</x:v>
      </x:c>
      <x:c r="B678" s="34" t="str">
        <x:v>Lang</x:v>
      </x:c>
      <x:c r="C678" s="34" t="str">
        <x:v>Round1</x:v>
      </x:c>
      <x:c r="D678" s="34" t="str">
        <x:v>Lang_58</x:v>
      </x:c>
      <x:c r="E678" s="34" t="str">
        <x:v>Coverage</x:v>
      </x:c>
      <x:c r="F678" s="34" t="n">
        <x:v>855</x:v>
      </x:c>
      <x:c r="G678" s="34" t="str">
        <x:v>RECORDED</x:v>
      </x:c>
      <x:c r="H678" s="38" t="n">
        <x:f>IF(ISNUMBER('Data'!G678),'Data'!G678*100,"")</x:f>
        <x:v>65.38</x:v>
      </x:c>
      <x:c r="I678" s="34" t="str">
        <x:v>PASS</x:v>
      </x:c>
      <x:c r="J678" s="34" t="str">
        <x:v>PASS</x:v>
      </x:c>
      <x:c r="K678" s="34" t="str">
        <x:v>PASS</x:v>
      </x:c>
      <x:c r="L678" s="34" t="str">
        <x:v>PASS</x:v>
      </x:c>
      <x:c r="M678" s="34" t="str">
        <x:v>numeric coverage for applicable metric</x:v>
      </x:c>
      <x:c r="N678" s="34" t="str">
        <x:v>Feedback-Directed Random Test Generation/Result/Lang_58/result.json</x:v>
      </x:c>
      <x:c r="O678" s="38" t="n">
        <x:f>IF(AND(G678="RECORDED",ISNUMBER(H678)),H678,"")</x:f>
        <x:v>65.38</x:v>
      </x:c>
      <x:c r="P678" s="34" t="str">
        <x:v>NOT_REVEALING</x:v>
      </x:c>
      <x:c r="Q678" s="34" t="str">
        <x:v>Feedback-Directed Random Test Generation/Result/Lang_58/result.json</x:v>
      </x:c>
    </x:row>
    <x:row r="679">
      <x:c r="A679" s="34" t="str">
        <x:v>randoop</x:v>
      </x:c>
      <x:c r="B679" s="34" t="str">
        <x:v>Lang</x:v>
      </x:c>
      <x:c r="C679" s="34" t="str">
        <x:v>Round1</x:v>
      </x:c>
      <x:c r="D679" s="34" t="str">
        <x:v>Lang_59</x:v>
      </x:c>
      <x:c r="E679" s="34" t="str">
        <x:v>Coverage</x:v>
      </x:c>
      <x:c r="F679" s="34" t="n">
        <x:v>1120</x:v>
      </x:c>
      <x:c r="G679" s="34" t="str">
        <x:v>RECORDED</x:v>
      </x:c>
      <x:c r="H679" s="38" t="n">
        <x:f>IF(ISNUMBER('Data'!G679),'Data'!G679*100,"")</x:f>
        <x:v>94.2</x:v>
      </x:c>
      <x:c r="I679" s="34" t="str">
        <x:v>PASS</x:v>
      </x:c>
      <x:c r="J679" s="34" t="str">
        <x:v>PASS</x:v>
      </x:c>
      <x:c r="K679" s="34" t="str">
        <x:v>PASS</x:v>
      </x:c>
      <x:c r="L679" s="34" t="str">
        <x:v>FAIL</x:v>
      </x:c>
      <x:c r="M679" s="34" t="str">
        <x:v>numeric coverage for applicable metric</x:v>
      </x:c>
      <x:c r="N679" s="34" t="str">
        <x:v>Feedback-Directed Random Test Generation/Result/Lang_59/result.json</x:v>
      </x:c>
      <x:c r="O679" s="38" t="n">
        <x:f>IF(AND(G679="RECORDED",ISNUMBER(H679)),H679,"")</x:f>
        <x:v>94.2</x:v>
      </x:c>
      <x:c r="P679" s="34" t="str">
        <x:v>INCONCLUSIVE</x:v>
      </x:c>
      <x:c r="Q679" s="34" t="str">
        <x:v>Feedback-Directed Random Test Generation/Result/Lang_59/result.json</x:v>
      </x:c>
    </x:row>
    <x:row r="680">
      <x:c r="A680" s="34" t="str">
        <x:v>randoop</x:v>
      </x:c>
      <x:c r="B680" s="34" t="str">
        <x:v>Lang</x:v>
      </x:c>
      <x:c r="C680" s="34" t="str">
        <x:v>Round1</x:v>
      </x:c>
      <x:c r="D680" s="34" t="str">
        <x:v>Lang_60</x:v>
      </x:c>
      <x:c r="E680" s="34" t="str">
        <x:v>Coverage</x:v>
      </x:c>
      <x:c r="F680" s="34" t="n">
        <x:v>1120</x:v>
      </x:c>
      <x:c r="G680" s="34" t="str">
        <x:v>RECORDED</x:v>
      </x:c>
      <x:c r="H680" s="38" t="n">
        <x:f>IF(ISNUMBER('Data'!G680),'Data'!G680*100,"")</x:f>
        <x:v>92.59</x:v>
      </x:c>
      <x:c r="I680" s="34" t="str">
        <x:v>PASS</x:v>
      </x:c>
      <x:c r="J680" s="34" t="str">
        <x:v>PASS</x:v>
      </x:c>
      <x:c r="K680" s="34" t="str">
        <x:v>PASS</x:v>
      </x:c>
      <x:c r="L680" s="34" t="str">
        <x:v>FAIL</x:v>
      </x:c>
      <x:c r="M680" s="34" t="str">
        <x:v>numeric coverage for applicable metric</x:v>
      </x:c>
      <x:c r="N680" s="34" t="str">
        <x:v>Feedback-Directed Random Test Generation/Result/Lang_60/result.json</x:v>
      </x:c>
      <x:c r="O680" s="38" t="n">
        <x:f>IF(AND(G680="RECORDED",ISNUMBER(H680)),H680,"")</x:f>
        <x:v>92.59</x:v>
      </x:c>
      <x:c r="P680" s="34" t="str">
        <x:v>INCONCLUSIVE</x:v>
      </x:c>
      <x:c r="Q680" s="34" t="str">
        <x:v>Feedback-Directed Random Test Generation/Result/Lang_60/result.json</x:v>
      </x:c>
    </x:row>
    <x:row r="681">
      <x:c r="A681" s="34" t="str">
        <x:v>randoop</x:v>
      </x:c>
      <x:c r="B681" s="34" t="str">
        <x:v>Lang</x:v>
      </x:c>
      <x:c r="C681" s="34" t="str">
        <x:v>Round1</x:v>
      </x:c>
      <x:c r="D681" s="34" t="str">
        <x:v>Lang_61</x:v>
      </x:c>
      <x:c r="E681" s="34" t="str">
        <x:v>Coverage</x:v>
      </x:c>
      <x:c r="F681" s="34" t="n">
        <x:v>1120</x:v>
      </x:c>
      <x:c r="G681" s="34" t="str">
        <x:v>RECORDED</x:v>
      </x:c>
      <x:c r="H681" s="38" t="n">
        <x:f>IF(ISNUMBER('Data'!G681),'Data'!G681*100,"")</x:f>
        <x:v>93.75</x:v>
      </x:c>
      <x:c r="I681" s="34" t="str">
        <x:v>PASS</x:v>
      </x:c>
      <x:c r="J681" s="34" t="str">
        <x:v>PASS</x:v>
      </x:c>
      <x:c r="K681" s="34" t="str">
        <x:v>PASS</x:v>
      </x:c>
      <x:c r="L681" s="34" t="str">
        <x:v>FAIL</x:v>
      </x:c>
      <x:c r="M681" s="34" t="str">
        <x:v>numeric coverage for applicable metric</x:v>
      </x:c>
      <x:c r="N681" s="34" t="str">
        <x:v>Feedback-Directed Random Test Generation/Result/Lang_61/result.json</x:v>
      </x:c>
      <x:c r="O681" s="38" t="n">
        <x:f>IF(AND(G681="RECORDED",ISNUMBER(H681)),H681,"")</x:f>
        <x:v>93.75</x:v>
      </x:c>
      <x:c r="P681" s="34" t="str">
        <x:v>INCONCLUSIVE</x:v>
      </x:c>
      <x:c r="Q681" s="34" t="str">
        <x:v>Feedback-Directed Random Test Generation/Result/Lang_61/result.json</x:v>
      </x:c>
    </x:row>
    <x:row r="682">
      <x:c r="A682" s="34" t="str">
        <x:v>randoop</x:v>
      </x:c>
      <x:c r="B682" s="34" t="str">
        <x:v>Lang</x:v>
      </x:c>
      <x:c r="C682" s="34" t="str">
        <x:v>Round1</x:v>
      </x:c>
      <x:c r="D682" s="34" t="str">
        <x:v>Lang_62</x:v>
      </x:c>
      <x:c r="E682" s="34" t="str">
        <x:v>Coverage</x:v>
      </x:c>
      <x:c r="F682" s="34" t="n">
        <x:v>331</x:v>
      </x:c>
      <x:c r="G682" s="34" t="str">
        <x:v>RECORDED</x:v>
      </x:c>
      <x:c r="H682" s="38" t="n">
        <x:f>IF(ISNUMBER('Data'!G682),'Data'!G682*100,"")</x:f>
        <x:v>58.01</x:v>
      </x:c>
      <x:c r="I682" s="34" t="str">
        <x:v>PASS</x:v>
      </x:c>
      <x:c r="J682" s="34" t="str">
        <x:v>PASS</x:v>
      </x:c>
      <x:c r="K682" s="34" t="str">
        <x:v>PASS</x:v>
      </x:c>
      <x:c r="L682" s="34" t="str">
        <x:v>FAIL</x:v>
      </x:c>
      <x:c r="M682" s="34" t="str">
        <x:v>numeric coverage for applicable metric</x:v>
      </x:c>
      <x:c r="N682" s="34" t="str">
        <x:v>Feedback-Directed Random Test Generation/Result/Lang_62/result.json</x:v>
      </x:c>
      <x:c r="O682" s="38" t="n">
        <x:f>IF(AND(G682="RECORDED",ISNUMBER(H682)),H682,"")</x:f>
        <x:v>58.01</x:v>
      </x:c>
      <x:c r="P682" s="34" t="str">
        <x:v>INCONCLUSIVE</x:v>
      </x:c>
      <x:c r="Q682" s="34" t="str">
        <x:v>Feedback-Directed Random Test Generation/Result/Lang_62/result.json</x:v>
      </x:c>
    </x:row>
    <x:row r="683">
      <x:c r="A683" s="34" t="str">
        <x:v>randoop</x:v>
      </x:c>
      <x:c r="B683" s="34" t="str">
        <x:v>Lang</x:v>
      </x:c>
      <x:c r="C683" s="34" t="str">
        <x:v>Round1</x:v>
      </x:c>
      <x:c r="D683" s="34" t="str">
        <x:v>Lang_63</x:v>
      </x:c>
      <x:c r="E683" s="34" t="str">
        <x:v>Coverage</x:v>
      </x:c>
      <x:c r="F683" s="34" t="n">
        <x:v>387</x:v>
      </x:c>
      <x:c r="G683" s="34" t="str">
        <x:v>RECORDED</x:v>
      </x:c>
      <x:c r="H683" s="38" t="n">
        <x:f>IF(ISNUMBER('Data'!G683),'Data'!G683*100,"")</x:f>
        <x:v>72.09</x:v>
      </x:c>
      <x:c r="I683" s="34" t="str">
        <x:v>PASS</x:v>
      </x:c>
      <x:c r="J683" s="34" t="str">
        <x:v>PASS</x:v>
      </x:c>
      <x:c r="K683" s="34" t="str">
        <x:v>PASS</x:v>
      </x:c>
      <x:c r="L683" s="34" t="str">
        <x:v>PASS</x:v>
      </x:c>
      <x:c r="M683" s="34" t="str">
        <x:v>numeric coverage for applicable metric</x:v>
      </x:c>
      <x:c r="N683" s="34" t="str">
        <x:v>Feedback-Directed Random Test Generation/Result/Lang_63/result.json</x:v>
      </x:c>
      <x:c r="O683" s="38" t="n">
        <x:f>IF(AND(G683="RECORDED",ISNUMBER(H683)),H683,"")</x:f>
        <x:v>72.09</x:v>
      </x:c>
      <x:c r="P683" s="34" t="str">
        <x:v>NOT_AVAILABLE</x:v>
      </x:c>
      <x:c r="Q683" s="34" t="str">
        <x:v>Feedback-Directed Random Test Generation/Result/Lang_63/result.json</x:v>
      </x:c>
    </x:row>
    <x:row r="684">
      <x:c r="A684" s="34" t="str">
        <x:v>randoop</x:v>
      </x:c>
      <x:c r="B684" s="34" t="str">
        <x:v>Lang</x:v>
      </x:c>
      <x:c r="C684" s="34" t="str">
        <x:v>Round1</x:v>
      </x:c>
      <x:c r="D684" s="34" t="str">
        <x:v>Lang_64</x:v>
      </x:c>
      <x:c r="E684" s="34" t="str">
        <x:v>Coverage</x:v>
      </x:c>
      <x:c r="F684" s="34" t="n">
        <x:v>26</x:v>
      </x:c>
      <x:c r="G684" s="34" t="str">
        <x:v>RECORDED</x:v>
      </x:c>
      <x:c r="H684" s="38" t="n">
        <x:f>IF(ISNUMBER('Data'!G684),'Data'!G684*100,"")</x:f>
        <x:v>19.23</x:v>
      </x:c>
      <x:c r="I684" s="34" t="str">
        <x:v>PASS</x:v>
      </x:c>
      <x:c r="J684" s="34" t="str">
        <x:v>PASS</x:v>
      </x:c>
      <x:c r="K684" s="34" t="str">
        <x:v>PASS</x:v>
      </x:c>
      <x:c r="L684" s="34" t="str">
        <x:v>PASS</x:v>
      </x:c>
      <x:c r="M684" s="34" t="str">
        <x:v>numeric coverage for applicable metric</x:v>
      </x:c>
      <x:c r="N684" s="34" t="str">
        <x:v>Feedback-Directed Random Test Generation/Result/Lang_64/result.json</x:v>
      </x:c>
      <x:c r="O684" s="38" t="n">
        <x:f>IF(AND(G684="RECORDED",ISNUMBER(H684)),H684,"")</x:f>
        <x:v>19.23</x:v>
      </x:c>
      <x:c r="P684" s="34" t="str">
        <x:v>NOT_REVEALING</x:v>
      </x:c>
      <x:c r="Q684" s="34" t="str">
        <x:v>Feedback-Directed Random Test Generation/Result/Lang_64/result.json</x:v>
      </x:c>
    </x:row>
    <x:row r="685">
      <x:c r="A685" s="34" t="str">
        <x:v>randoop</x:v>
      </x:c>
      <x:c r="B685" s="34" t="str">
        <x:v>Lang</x:v>
      </x:c>
      <x:c r="C685" s="34" t="str">
        <x:v>Round1</x:v>
      </x:c>
      <x:c r="D685" s="34" t="str">
        <x:v>Lang_65</x:v>
      </x:c>
      <x:c r="E685" s="34" t="str">
        <x:v>Coverage</x:v>
      </x:c>
      <x:c r="F685" s="34" t="n">
        <x:v>344</x:v>
      </x:c>
      <x:c r="G685" s="34" t="str">
        <x:v>RECORDED</x:v>
      </x:c>
      <x:c r="H685" s="38" t="n">
        <x:f>IF(ISNUMBER('Data'!G685),'Data'!G685*100,"")</x:f>
        <x:v>77.62</x:v>
      </x:c>
      <x:c r="I685" s="34" t="str">
        <x:v>PASS</x:v>
      </x:c>
      <x:c r="J685" s="34" t="str">
        <x:v>PASS</x:v>
      </x:c>
      <x:c r="K685" s="34" t="str">
        <x:v>PASS</x:v>
      </x:c>
      <x:c r="L685" s="34" t="str">
        <x:v>FAIL</x:v>
      </x:c>
      <x:c r="M685" s="34" t="str">
        <x:v>numeric coverage for applicable metric</x:v>
      </x:c>
      <x:c r="N685" s="34" t="str">
        <x:v>Feedback-Directed Random Test Generation/Result/Lang_65/result.json</x:v>
      </x:c>
      <x:c r="O685" s="38" t="n">
        <x:f>IF(AND(G685="RECORDED",ISNUMBER(H685)),H685,"")</x:f>
        <x:v>77.62</x:v>
      </x:c>
      <x:c r="P685" s="34" t="str">
        <x:v>INCONCLUSIVE</x:v>
      </x:c>
      <x:c r="Q685" s="34" t="str">
        <x:v>Feedback-Directed Random Test Generation/Result/Lang_65/result.json</x:v>
      </x:c>
    </x:row>
    <x:row r="686">
      <x:c r="A686" s="34" t="str">
        <x:v>randoop</x:v>
      </x:c>
      <x:c r="B686" s="34" t="str">
        <x:v>Math</x:v>
      </x:c>
      <x:c r="C686" s="34" t="str">
        <x:v>Round1</x:v>
      </x:c>
      <x:c r="D686" s="34" t="str">
        <x:v>Math_1</x:v>
      </x:c>
      <x:c r="E686" s="34" t="str">
        <x:v>Coverage</x:v>
      </x:c>
      <x:c r="F686" s="34" t="n">
        <x:v>617</x:v>
      </x:c>
      <x:c r="G686" s="34" t="str">
        <x:v>RECORDED</x:v>
      </x:c>
      <x:c r="H686" s="38" t="n">
        <x:f>IF(ISNUMBER('Data'!G686),'Data'!G686*100,"")</x:f>
        <x:v>92.06</x:v>
      </x:c>
      <x:c r="I686" s="34" t="str">
        <x:v>PASS</x:v>
      </x:c>
      <x:c r="J686" s="34" t="str">
        <x:v>PASS</x:v>
      </x:c>
      <x:c r="K686" s="34" t="str">
        <x:v>PASS</x:v>
      </x:c>
      <x:c r="L686" s="34" t="str">
        <x:v>FAIL</x:v>
      </x:c>
      <x:c r="M686" s="34" t="str">
        <x:v>numeric coverage for applicable metric</x:v>
      </x:c>
      <x:c r="N686" s="34" t="str">
        <x:v>Feedback-Directed Random Test Generation/Result/Math_1/result.json</x:v>
      </x:c>
      <x:c r="O686" s="38" t="n">
        <x:f>IF(AND(G686="RECORDED",ISNUMBER(H686)),H686,"")</x:f>
        <x:v>92.06</x:v>
      </x:c>
      <x:c r="P686" s="34" t="str">
        <x:v>INCONCLUSIVE</x:v>
      </x:c>
      <x:c r="Q686" s="34" t="str">
        <x:v>Feedback-Directed Random Test Generation/Result/Math_1/result.json</x:v>
      </x:c>
    </x:row>
    <x:row r="687">
      <x:c r="A687" s="34" t="str">
        <x:v>randoop</x:v>
      </x:c>
      <x:c r="B687" s="34" t="str">
        <x:v>Math</x:v>
      </x:c>
      <x:c r="C687" s="34" t="str">
        <x:v>Round1</x:v>
      </x:c>
      <x:c r="D687" s="34" t="str">
        <x:v>Math_2</x:v>
      </x:c>
      <x:c r="E687" s="34" t="str">
        <x:v>Coverage</x:v>
      </x:c>
      <x:c r="F687" s="34" t="n">
        <x:v>100</x:v>
      </x:c>
      <x:c r="G687" s="34" t="str">
        <x:v>RECORDED</x:v>
      </x:c>
      <x:c r="H687" s="38" t="n">
        <x:f>IF(ISNUMBER('Data'!G687),'Data'!G687*100,"")</x:f>
        <x:v>100</x:v>
      </x:c>
      <x:c r="I687" s="34" t="str">
        <x:v>PASS</x:v>
      </x:c>
      <x:c r="J687" s="34" t="str">
        <x:v>PASS</x:v>
      </x:c>
      <x:c r="K687" s="34" t="str">
        <x:v>PASS</x:v>
      </x:c>
      <x:c r="L687" s="34" t="str">
        <x:v>FAIL</x:v>
      </x:c>
      <x:c r="M687" s="34" t="str">
        <x:v>numeric coverage for applicable metric</x:v>
      </x:c>
      <x:c r="N687" s="34" t="str">
        <x:v>Feedback-Directed Random Test Generation/Result/Math_2/result.json</x:v>
      </x:c>
      <x:c r="O687" s="38" t="n">
        <x:f>IF(AND(G687="RECORDED",ISNUMBER(H687)),H687,"")</x:f>
        <x:v>100</x:v>
      </x:c>
      <x:c r="P687" s="34" t="str">
        <x:v>INCONCLUSIVE</x:v>
      </x:c>
      <x:c r="Q687" s="34" t="str">
        <x:v>Feedback-Directed Random Test Generation/Result/Math_2/result.json</x:v>
      </x:c>
    </x:row>
    <x:row r="688">
      <x:c r="A688" s="34" t="str">
        <x:v>randoop</x:v>
      </x:c>
      <x:c r="B688" s="34" t="str">
        <x:v>Math</x:v>
      </x:c>
      <x:c r="C688" s="34" t="str">
        <x:v>Round1</x:v>
      </x:c>
      <x:c r="D688" s="34" t="str">
        <x:v>Math_3</x:v>
      </x:c>
      <x:c r="E688" s="34" t="str">
        <x:v>Coverage</x:v>
      </x:c>
      <x:c r="F688" s="34" t="n">
        <x:v>655</x:v>
      </x:c>
      <x:c r="G688" s="34" t="str">
        <x:v>RECORDED</x:v>
      </x:c>
      <x:c r="H688" s="38" t="n">
        <x:f>IF(ISNUMBER('Data'!G688),'Data'!G688*100,"")</x:f>
        <x:v>89.01</x:v>
      </x:c>
      <x:c r="I688" s="34" t="str">
        <x:v>PASS</x:v>
      </x:c>
      <x:c r="J688" s="34" t="str">
        <x:v>PASS</x:v>
      </x:c>
      <x:c r="K688" s="34" t="str">
        <x:v>PASS</x:v>
      </x:c>
      <x:c r="L688" s="34" t="str">
        <x:v>PASS</x:v>
      </x:c>
      <x:c r="M688" s="34" t="str">
        <x:v>numeric coverage for applicable metric</x:v>
      </x:c>
      <x:c r="N688" s="34" t="str">
        <x:v>Feedback-Directed Random Test Generation/Result/Math_3/result.json</x:v>
      </x:c>
      <x:c r="O688" s="38" t="n">
        <x:f>IF(AND(G688="RECORDED",ISNUMBER(H688)),H688,"")</x:f>
        <x:v>89.01</x:v>
      </x:c>
      <x:c r="P688" s="34" t="str">
        <x:v>INCONCLUSIVE</x:v>
      </x:c>
      <x:c r="Q688" s="34" t="str">
        <x:v>Feedback-Directed Random Test Generation/Result/Math_3/result.json</x:v>
      </x:c>
    </x:row>
    <x:row r="689">
      <x:c r="A689" s="34" t="str">
        <x:v>randoop</x:v>
      </x:c>
      <x:c r="B689" s="34" t="str">
        <x:v>Math</x:v>
      </x:c>
      <x:c r="C689" s="34" t="str">
        <x:v>Round1</x:v>
      </x:c>
      <x:c r="D689" s="34" t="str">
        <x:v>Math_4</x:v>
      </x:c>
      <x:c r="E689" s="34" t="str">
        <x:v>Coverage</x:v>
      </x:c>
      <x:c r="F689" s="34" t="n">
        <x:v>128</x:v>
      </x:c>
      <x:c r="G689" s="34" t="str">
        <x:v>RECORDED</x:v>
      </x:c>
      <x:c r="H689" s="38" t="n">
        <x:f>IF(ISNUMBER('Data'!G689),'Data'!G689*100,"")</x:f>
        <x:v>18.75</x:v>
      </x:c>
      <x:c r="I689" s="34" t="str">
        <x:v>PASS</x:v>
      </x:c>
      <x:c r="J689" s="34" t="str">
        <x:v>PASS</x:v>
      </x:c>
      <x:c r="K689" s="34" t="str">
        <x:v>PASS</x:v>
      </x:c>
      <x:c r="L689" s="34" t="str">
        <x:v>PASS</x:v>
      </x:c>
      <x:c r="M689" s="34" t="str">
        <x:v>numeric coverage for applicable metric</x:v>
      </x:c>
      <x:c r="N689" s="34" t="str">
        <x:v>Feedback-Directed Random Test Generation/Result/Math_4/result.json</x:v>
      </x:c>
      <x:c r="O689" s="38" t="n">
        <x:f>IF(AND(G689="RECORDED",ISNUMBER(H689)),H689,"")</x:f>
        <x:v>18.75</x:v>
      </x:c>
      <x:c r="P689" s="34" t="str">
        <x:v>NOT_REVEALING</x:v>
      </x:c>
      <x:c r="Q689" s="34" t="str">
        <x:v>Feedback-Directed Random Test Generation/Result/Math_4/result.json</x:v>
      </x:c>
    </x:row>
    <x:row r="690">
      <x:c r="A690" s="34" t="str">
        <x:v>randoop</x:v>
      </x:c>
      <x:c r="B690" s="34" t="str">
        <x:v>Math</x:v>
      </x:c>
      <x:c r="C690" s="34" t="str">
        <x:v>Round1</x:v>
      </x:c>
      <x:c r="D690" s="34" t="str">
        <x:v>Math_5</x:v>
      </x:c>
      <x:c r="E690" s="34" t="str">
        <x:v>Coverage</x:v>
      </x:c>
      <x:c r="F690" s="34" t="n">
        <x:v>396</x:v>
      </x:c>
      <x:c r="G690" s="34" t="str">
        <x:v>RECORDED</x:v>
      </x:c>
      <x:c r="H690" s="38" t="n">
        <x:f>IF(ISNUMBER('Data'!G690),'Data'!G690*100,"")</x:f>
        <x:v>96.72</x:v>
      </x:c>
      <x:c r="I690" s="34" t="str">
        <x:v>PASS</x:v>
      </x:c>
      <x:c r="J690" s="34" t="str">
        <x:v>PASS</x:v>
      </x:c>
      <x:c r="K690" s="34" t="str">
        <x:v>PASS</x:v>
      </x:c>
      <x:c r="L690" s="34" t="str">
        <x:v>FAIL</x:v>
      </x:c>
      <x:c r="M690" s="34" t="str">
        <x:v>numeric coverage for applicable metric</x:v>
      </x:c>
      <x:c r="N690" s="34" t="str">
        <x:v>Feedback-Directed Random Test Generation/Result/Math_5/result.json</x:v>
      </x:c>
      <x:c r="O690" s="38" t="n">
        <x:f>IF(AND(G690="RECORDED",ISNUMBER(H690)),H690,"")</x:f>
        <x:v>96.72</x:v>
      </x:c>
      <x:c r="P690" s="34" t="str">
        <x:v>INCONCLUSIVE</x:v>
      </x:c>
      <x:c r="Q690" s="34" t="str">
        <x:v>Feedback-Directed Random Test Generation/Result/Math_5/result.json</x:v>
      </x:c>
    </x:row>
    <x:row r="691">
      <x:c r="A691" s="34" t="str">
        <x:v>randoop</x:v>
      </x:c>
      <x:c r="B691" s="34" t="str">
        <x:v>Math</x:v>
      </x:c>
      <x:c r="C691" s="34" t="str">
        <x:v>Round1</x:v>
      </x:c>
      <x:c r="D691" s="34" t="str">
        <x:v>Math_6</x:v>
      </x:c>
      <x:c r="E691" s="34" t="str">
        <x:v>Coverage</x:v>
      </x:c>
      <x:c r="F691" s="34" t="n">
        <x:v>1791</x:v>
      </x:c>
      <x:c r="G691" s="34" t="str">
        <x:v>RECORDED</x:v>
      </x:c>
      <x:c r="H691" s="38" t="n">
        <x:f>IF(ISNUMBER('Data'!G691),'Data'!G691*100,"")</x:f>
        <x:v>12.12</x:v>
      </x:c>
      <x:c r="I691" s="34" t="str">
        <x:v>PASS</x:v>
      </x:c>
      <x:c r="J691" s="34" t="str">
        <x:v>PASS</x:v>
      </x:c>
      <x:c r="K691" s="34" t="str">
        <x:v>PASS</x:v>
      </x:c>
      <x:c r="L691" s="34" t="str">
        <x:v>FAIL</x:v>
      </x:c>
      <x:c r="M691" s="34" t="str">
        <x:v>numeric coverage for applicable metric</x:v>
      </x:c>
      <x:c r="N691" s="34" t="str">
        <x:v>Feedback-Directed Random Test Generation/Result/Math_6/result.json</x:v>
      </x:c>
      <x:c r="O691" s="38" t="n">
        <x:f>IF(AND(G691="RECORDED",ISNUMBER(H691)),H691,"")</x:f>
        <x:v>12.12</x:v>
      </x:c>
      <x:c r="P691" s="34" t="str">
        <x:v>INCONCLUSIVE</x:v>
      </x:c>
      <x:c r="Q691" s="34" t="str">
        <x:v>Feedback-Directed Random Test Generation/Result/Math_6/result.json</x:v>
      </x:c>
    </x:row>
    <x:row r="692">
      <x:c r="A692" s="34" t="str">
        <x:v>randoop</x:v>
      </x:c>
      <x:c r="B692" s="34" t="str">
        <x:v>Math</x:v>
      </x:c>
      <x:c r="C692" s="34" t="str">
        <x:v>Round1</x:v>
      </x:c>
      <x:c r="D692" s="34" t="str">
        <x:v>Math_7</x:v>
      </x:c>
      <x:c r="E692" s="34" t="str">
        <x:v>Coverage</x:v>
      </x:c>
      <x:c r="F692" s="34" t="n">
        <x:v>180</x:v>
      </x:c>
      <x:c r="G692" s="34" t="str">
        <x:v>RECORDED</x:v>
      </x:c>
      <x:c r="H692" s="38" t="n">
        <x:f>IF(ISNUMBER('Data'!G692),'Data'!G692*100,"")</x:f>
        <x:v>0</x:v>
      </x:c>
      <x:c r="I692" s="34" t="str">
        <x:v>PASS</x:v>
      </x:c>
      <x:c r="J692" s="34" t="str">
        <x:v>PASS</x:v>
      </x:c>
      <x:c r="K692" s="34" t="str">
        <x:v>PASS</x:v>
      </x:c>
      <x:c r="L692" s="34" t="str">
        <x:v>PASS</x:v>
      </x:c>
      <x:c r="M692" s="34" t="str">
        <x:v>numeric coverage for applicable metric</x:v>
      </x:c>
      <x:c r="N692" s="34" t="str">
        <x:v>Feedback-Directed Random Test Generation/Result/Math_7/result.json</x:v>
      </x:c>
      <x:c r="O692" s="38" t="n">
        <x:f>IF(AND(G692="RECORDED",ISNUMBER(H692)),H692,"")</x:f>
        <x:v>0</x:v>
      </x:c>
      <x:c r="P692" s="34" t="str">
        <x:v>NOT_REVEALING</x:v>
      </x:c>
      <x:c r="Q692" s="34" t="str">
        <x:v>Feedback-Directed Random Test Generation/Result/Math_7/result.json</x:v>
      </x:c>
    </x:row>
    <x:row r="693">
      <x:c r="A693" s="34" t="str">
        <x:v>randoop</x:v>
      </x:c>
      <x:c r="B693" s="34" t="str">
        <x:v>Math</x:v>
      </x:c>
      <x:c r="C693" s="34" t="str">
        <x:v>Round1</x:v>
      </x:c>
      <x:c r="D693" s="34" t="str">
        <x:v>Math_8</x:v>
      </x:c>
      <x:c r="E693" s="34" t="str">
        <x:v>Coverage</x:v>
      </x:c>
      <x:c r="F693" s="34" t="n">
        <x:v>64</x:v>
      </x:c>
      <x:c r="G693" s="34" t="str">
        <x:v>RECORDED</x:v>
      </x:c>
      <x:c r="H693" s="38" t="n">
        <x:f>IF(ISNUMBER('Data'!G693),'Data'!G693*100,"")</x:f>
        <x:v>12.5</x:v>
      </x:c>
      <x:c r="I693" s="34" t="str">
        <x:v>PASS</x:v>
      </x:c>
      <x:c r="J693" s="34" t="str">
        <x:v>PASS</x:v>
      </x:c>
      <x:c r="K693" s="34" t="str">
        <x:v>PASS</x:v>
      </x:c>
      <x:c r="L693" s="34" t="str">
        <x:v>PASS</x:v>
      </x:c>
      <x:c r="M693" s="34" t="str">
        <x:v>numeric coverage for applicable metric</x:v>
      </x:c>
      <x:c r="N693" s="34" t="str">
        <x:v>Feedback-Directed Random Test Generation/Result/Math_8/result.json</x:v>
      </x:c>
      <x:c r="O693" s="38" t="n">
        <x:f>IF(AND(G693="RECORDED",ISNUMBER(H693)),H693,"")</x:f>
        <x:v>12.5</x:v>
      </x:c>
      <x:c r="P693" s="34" t="str">
        <x:v>NOT_REVEALING</x:v>
      </x:c>
      <x:c r="Q693" s="34" t="str">
        <x:v>Feedback-Directed Random Test Generation/Result/Math_8/result.json</x:v>
      </x:c>
    </x:row>
    <x:row r="694">
      <x:c r="A694" s="34" t="str">
        <x:v>randoop</x:v>
      </x:c>
      <x:c r="B694" s="34" t="str">
        <x:v>Math</x:v>
      </x:c>
      <x:c r="C694" s="34" t="str">
        <x:v>Round1</x:v>
      </x:c>
      <x:c r="D694" s="34" t="str">
        <x:v>Math_9</x:v>
      </x:c>
      <x:c r="E694" s="34" t="str">
        <x:v>Coverage</x:v>
      </x:c>
      <x:c r="F694" s="34" t="n">
        <x:v>62</x:v>
      </x:c>
      <x:c r="G694" s="34" t="str">
        <x:v>RECORDED</x:v>
      </x:c>
      <x:c r="H694" s="38" t="n">
        <x:f>IF(ISNUMBER('Data'!G694),'Data'!G694*100,"")</x:f>
        <x:v>8.06</x:v>
      </x:c>
      <x:c r="I694" s="34" t="str">
        <x:v>PASS</x:v>
      </x:c>
      <x:c r="J694" s="34" t="str">
        <x:v>PASS</x:v>
      </x:c>
      <x:c r="K694" s="34" t="str">
        <x:v>PASS</x:v>
      </x:c>
      <x:c r="L694" s="34" t="str">
        <x:v>PASS</x:v>
      </x:c>
      <x:c r="M694" s="34" t="str">
        <x:v>numeric coverage for applicable metric</x:v>
      </x:c>
      <x:c r="N694" s="34" t="str">
        <x:v>Feedback-Directed Random Test Generation/Result/Math_9/result.json</x:v>
      </x:c>
      <x:c r="O694" s="38" t="n">
        <x:f>IF(AND(G694="RECORDED",ISNUMBER(H694)),H694,"")</x:f>
        <x:v>8.06</x:v>
      </x:c>
      <x:c r="P694" s="34" t="str">
        <x:v>NOT_REVEALING</x:v>
      </x:c>
      <x:c r="Q694" s="34" t="str">
        <x:v>Feedback-Directed Random Test Generation/Result/Math_9/result.json</x:v>
      </x:c>
    </x:row>
    <x:row r="695">
      <x:c r="A695" s="34" t="str">
        <x:v>randoop</x:v>
      </x:c>
      <x:c r="B695" s="34" t="str">
        <x:v>Math</x:v>
      </x:c>
      <x:c r="C695" s="34" t="str">
        <x:v>Round1</x:v>
      </x:c>
      <x:c r="D695" s="34" t="str">
        <x:v>Math_10</x:v>
      </x:c>
      <x:c r="E695" s="34" t="str">
        <x:v>Coverage</x:v>
      </x:c>
      <x:c r="F695" s="34" t="n">
        <x:v>839</x:v>
      </x:c>
      <x:c r="G695" s="34" t="str">
        <x:v>RECORDED</x:v>
      </x:c>
      <x:c r="H695" s="38" t="n">
        <x:f>IF(ISNUMBER('Data'!G695),'Data'!G695*100,"")</x:f>
        <x:v>27.529999999999998</x:v>
      </x:c>
      <x:c r="I695" s="34" t="str">
        <x:v>PASS</x:v>
      </x:c>
      <x:c r="J695" s="34" t="str">
        <x:v>PASS</x:v>
      </x:c>
      <x:c r="K695" s="34" t="str">
        <x:v>PASS</x:v>
      </x:c>
      <x:c r="L695" s="34" t="str">
        <x:v>PASS</x:v>
      </x:c>
      <x:c r="M695" s="34" t="str">
        <x:v>numeric coverage for applicable metric</x:v>
      </x:c>
      <x:c r="N695" s="34" t="str">
        <x:v>Feedback-Directed Random Test Generation/Result/Math_10/result.json</x:v>
      </x:c>
      <x:c r="O695" s="38" t="n">
        <x:f>IF(AND(G695="RECORDED",ISNUMBER(H695)),H695,"")</x:f>
        <x:v>27.529999999999998</x:v>
      </x:c>
      <x:c r="P695" s="34" t="str">
        <x:v>NOT_REVEALING</x:v>
      </x:c>
      <x:c r="Q695" s="34" t="str">
        <x:v>Feedback-Directed Random Test Generation/Result/Math_10/result.json</x:v>
      </x:c>
    </x:row>
    <x:row r="696">
      <x:c r="A696" s="34" t="str">
        <x:v>randoop</x:v>
      </x:c>
      <x:c r="B696" s="34" t="str">
        <x:v>Math</x:v>
      </x:c>
      <x:c r="C696" s="34" t="str">
        <x:v>Round1</x:v>
      </x:c>
      <x:c r="D696" s="34" t="str">
        <x:v>Math_11</x:v>
      </x:c>
      <x:c r="E696" s="34" t="str">
        <x:v>Coverage</x:v>
      </x:c>
      <x:c r="F696" s="34" t="n">
        <x:v>87</x:v>
      </x:c>
      <x:c r="G696" s="34" t="str">
        <x:v>RECORDED</x:v>
      </x:c>
      <x:c r="H696" s="38" t="n">
        <x:f>IF(ISNUMBER('Data'!G696),'Data'!G696*100,"")</x:f>
        <x:v>100</x:v>
      </x:c>
      <x:c r="I696" s="34" t="str">
        <x:v>PASS</x:v>
      </x:c>
      <x:c r="J696" s="34" t="str">
        <x:v>PASS</x:v>
      </x:c>
      <x:c r="K696" s="34" t="str">
        <x:v>PASS</x:v>
      </x:c>
      <x:c r="L696" s="34" t="str">
        <x:v>PASS</x:v>
      </x:c>
      <x:c r="M696" s="34" t="str">
        <x:v>numeric coverage for applicable metric</x:v>
      </x:c>
      <x:c r="N696" s="34" t="str">
        <x:v>Feedback-Directed Random Test Generation/Result/Math_11/result.json</x:v>
      </x:c>
      <x:c r="O696" s="38" t="n">
        <x:f>IF(AND(G696="RECORDED",ISNUMBER(H696)),H696,"")</x:f>
        <x:v>100</x:v>
      </x:c>
      <x:c r="P696" s="34" t="str">
        <x:v>INCONCLUSIVE</x:v>
      </x:c>
      <x:c r="Q696" s="34" t="str">
        <x:v>Feedback-Directed Random Test Generation/Result/Math_11/result.json</x:v>
      </x:c>
    </x:row>
    <x:row r="697">
      <x:c r="A697" s="34" t="str">
        <x:v>randoop</x:v>
      </x:c>
      <x:c r="B697" s="34" t="str">
        <x:v>Math</x:v>
      </x:c>
      <x:c r="C697" s="34" t="str">
        <x:v>Round1</x:v>
      </x:c>
      <x:c r="D697" s="34" t="str">
        <x:v>Math_12</x:v>
      </x:c>
      <x:c r="E697" s="34" t="str">
        <x:v>Coverage</x:v>
      </x:c>
      <x:c r="F697" s="34" t="n">
        <x:v>62</x:v>
      </x:c>
      <x:c r="G697" s="34" t="str">
        <x:v>RECORDED</x:v>
      </x:c>
      <x:c r="H697" s="38" t="n">
        <x:f>IF(ISNUMBER('Data'!G697),'Data'!G697*100,"")</x:f>
        <x:v>0</x:v>
      </x:c>
      <x:c r="I697" s="34" t="str">
        <x:v>PASS</x:v>
      </x:c>
      <x:c r="J697" s="34" t="str">
        <x:v>PASS</x:v>
      </x:c>
      <x:c r="K697" s="34" t="str">
        <x:v>PASS</x:v>
      </x:c>
      <x:c r="L697" s="34" t="str">
        <x:v>PASS</x:v>
      </x:c>
      <x:c r="M697" s="34" t="str">
        <x:v>numeric coverage for applicable metric</x:v>
      </x:c>
      <x:c r="N697" s="34" t="str">
        <x:v>Feedback-Directed Random Test Generation/Result/Math_12/result.json</x:v>
      </x:c>
      <x:c r="O697" s="38" t="n">
        <x:f>IF(AND(G697="RECORDED",ISNUMBER(H697)),H697,"")</x:f>
        <x:v>0</x:v>
      </x:c>
      <x:c r="P697" s="34" t="str">
        <x:v>NOT_REVEALING</x:v>
      </x:c>
      <x:c r="Q697" s="34" t="str">
        <x:v>Feedback-Directed Random Test Generation/Result/Math_12/result.json</x:v>
      </x:c>
    </x:row>
    <x:row r="698">
      <x:c r="A698" s="34" t="str">
        <x:v>randoop</x:v>
      </x:c>
      <x:c r="B698" s="34" t="str">
        <x:v>Math</x:v>
      </x:c>
      <x:c r="C698" s="34" t="str">
        <x:v>Round1</x:v>
      </x:c>
      <x:c r="D698" s="34" t="str">
        <x:v>Math_13</x:v>
      </x:c>
      <x:c r="E698" s="34" t="str">
        <x:v>Coverage</x:v>
      </x:c>
      <x:c r="F698" s="34" t="n">
        <x:v>99</x:v>
      </x:c>
      <x:c r="G698" s="34" t="str">
        <x:v>RECORDED</x:v>
      </x:c>
      <x:c r="H698" s="38" t="n">
        <x:f>IF(ISNUMBER('Data'!G698),'Data'!G698*100,"")</x:f>
        <x:v>0</x:v>
      </x:c>
      <x:c r="I698" s="34" t="str">
        <x:v>PASS</x:v>
      </x:c>
      <x:c r="J698" s="34" t="str">
        <x:v>PASS</x:v>
      </x:c>
      <x:c r="K698" s="34" t="str">
        <x:v>PASS</x:v>
      </x:c>
      <x:c r="L698" s="34" t="str">
        <x:v>PASS</x:v>
      </x:c>
      <x:c r="M698" s="34" t="str">
        <x:v>numeric coverage for applicable metric</x:v>
      </x:c>
      <x:c r="N698" s="34" t="str">
        <x:v>Feedback-Directed Random Test Generation/Result/Math_13/result.json</x:v>
      </x:c>
      <x:c r="O698" s="38" t="n">
        <x:f>IF(AND(G698="RECORDED",ISNUMBER(H698)),H698,"")</x:f>
        <x:v>0</x:v>
      </x:c>
      <x:c r="P698" s="34" t="str">
        <x:v>NOT_REVEALING</x:v>
      </x:c>
      <x:c r="Q698" s="34" t="str">
        <x:v>Feedback-Directed Random Test Generation/Result/Math_13/result.json</x:v>
      </x:c>
    </x:row>
    <x:row r="699">
      <x:c r="A699" s="34" t="str">
        <x:v>randoop</x:v>
      </x:c>
      <x:c r="B699" s="34" t="str">
        <x:v>Math</x:v>
      </x:c>
      <x:c r="C699" s="34" t="str">
        <x:v>Round1</x:v>
      </x:c>
      <x:c r="D699" s="34" t="str">
        <x:v>Math_14</x:v>
      </x:c>
      <x:c r="E699" s="34" t="str">
        <x:v>Coverage</x:v>
      </x:c>
      <x:c r="F699" s="34" t="n">
        <x:v>65</x:v>
      </x:c>
      <x:c r="G699" s="34" t="str">
        <x:v>RECORDED</x:v>
      </x:c>
      <x:c r="H699" s="38" t="n">
        <x:f>IF(ISNUMBER('Data'!G699),'Data'!G699*100,"")</x:f>
        <x:v>21.54</x:v>
      </x:c>
      <x:c r="I699" s="34" t="str">
        <x:v>PASS</x:v>
      </x:c>
      <x:c r="J699" s="34" t="str">
        <x:v>PASS</x:v>
      </x:c>
      <x:c r="K699" s="34" t="str">
        <x:v>PASS</x:v>
      </x:c>
      <x:c r="L699" s="34" t="str">
        <x:v>PASS</x:v>
      </x:c>
      <x:c r="M699" s="34" t="str">
        <x:v>numeric coverage for applicable metric</x:v>
      </x:c>
      <x:c r="N699" s="34" t="str">
        <x:v>Feedback-Directed Random Test Generation/Result/Math_14/result.json</x:v>
      </x:c>
      <x:c r="O699" s="38" t="n">
        <x:f>IF(AND(G699="RECORDED",ISNUMBER(H699)),H699,"")</x:f>
        <x:v>21.54</x:v>
      </x:c>
      <x:c r="P699" s="34" t="str">
        <x:v>INCONCLUSIVE</x:v>
      </x:c>
      <x:c r="Q699" s="34" t="str">
        <x:v>Feedback-Directed Random Test Generation/Result/Math_14/result.json</x:v>
      </x:c>
    </x:row>
    <x:row r="700">
      <x:c r="A700" s="34" t="str">
        <x:v>randoop</x:v>
      </x:c>
      <x:c r="B700" s="34" t="str">
        <x:v>Math</x:v>
      </x:c>
      <x:c r="C700" s="34" t="str">
        <x:v>Round1</x:v>
      </x:c>
      <x:c r="D700" s="34" t="str">
        <x:v>Math_15</x:v>
      </x:c>
      <x:c r="E700" s="34" t="str">
        <x:v>Coverage</x:v>
      </x:c>
      <x:c r="F700" s="34" t="n">
        <x:v>2295</x:v>
      </x:c>
      <x:c r="G700" s="34" t="str">
        <x:v>RECORDED</x:v>
      </x:c>
      <x:c r="H700" s="38" t="n">
        <x:f>IF(ISNUMBER('Data'!G700),'Data'!G700*100,"")</x:f>
        <x:v>86.75</x:v>
      </x:c>
      <x:c r="I700" s="34" t="str">
        <x:v>PASS</x:v>
      </x:c>
      <x:c r="J700" s="34" t="str">
        <x:v>PASS</x:v>
      </x:c>
      <x:c r="K700" s="34" t="str">
        <x:v>PASS</x:v>
      </x:c>
      <x:c r="L700" s="34" t="str">
        <x:v>PASS</x:v>
      </x:c>
      <x:c r="M700" s="34" t="str">
        <x:v>numeric coverage for applicable metric</x:v>
      </x:c>
      <x:c r="N700" s="34" t="str">
        <x:v>Feedback-Directed Random Test Generation/Result/Math_15/result.json</x:v>
      </x:c>
      <x:c r="O700" s="38" t="n">
        <x:f>IF(AND(G700="RECORDED",ISNUMBER(H700)),H700,"")</x:f>
        <x:v>86.75</x:v>
      </x:c>
      <x:c r="P700" s="34" t="str">
        <x:v>NOT_REVEALING</x:v>
      </x:c>
      <x:c r="Q700" s="34" t="str">
        <x:v>Feedback-Directed Random Test Generation/Result/Math_15/result.json</x:v>
      </x:c>
    </x:row>
    <x:row r="701">
      <x:c r="A701" s="34" t="str">
        <x:v>randoop</x:v>
      </x:c>
      <x:c r="B701" s="34" t="str">
        <x:v>Math</x:v>
      </x:c>
      <x:c r="C701" s="34" t="str">
        <x:v>Round1</x:v>
      </x:c>
      <x:c r="D701" s="34" t="str">
        <x:v>Math_16</x:v>
      </x:c>
      <x:c r="E701" s="34" t="str">
        <x:v>Coverage</x:v>
      </x:c>
      <x:c r="F701" s="34" t="n">
        <x:v>2274</x:v>
      </x:c>
      <x:c r="G701" s="34" t="str">
        <x:v>RECORDED</x:v>
      </x:c>
      <x:c r="H701" s="38" t="n">
        <x:f>IF(ISNUMBER('Data'!G701),'Data'!G701*100,"")</x:f>
        <x:v>24.8</x:v>
      </x:c>
      <x:c r="I701" s="34" t="str">
        <x:v>PASS</x:v>
      </x:c>
      <x:c r="J701" s="34" t="str">
        <x:v>PASS</x:v>
      </x:c>
      <x:c r="K701" s="34" t="str">
        <x:v>PASS</x:v>
      </x:c>
      <x:c r="L701" s="34" t="str">
        <x:v>PASS</x:v>
      </x:c>
      <x:c r="M701" s="34" t="str">
        <x:v>numeric coverage for applicable metric</x:v>
      </x:c>
      <x:c r="N701" s="34" t="str">
        <x:v>Feedback-Directed Random Test Generation/Result/Math_16/result.json</x:v>
      </x:c>
      <x:c r="O701" s="38" t="n">
        <x:f>IF(AND(G701="RECORDED",ISNUMBER(H701)),H701,"")</x:f>
        <x:v>24.8</x:v>
      </x:c>
      <x:c r="P701" s="34" t="str">
        <x:v>NOT_REVEALING</x:v>
      </x:c>
      <x:c r="Q701" s="34" t="str">
        <x:v>Feedback-Directed Random Test Generation/Result/Math_16/result.json</x:v>
      </x:c>
    </x:row>
    <x:row r="702">
      <x:c r="A702" s="34" t="str">
        <x:v>randoop</x:v>
      </x:c>
      <x:c r="B702" s="34" t="str">
        <x:v>Math</x:v>
      </x:c>
      <x:c r="C702" s="34" t="str">
        <x:v>Round1</x:v>
      </x:c>
      <x:c r="D702" s="34" t="str">
        <x:v>Math_17</x:v>
      </x:c>
      <x:c r="E702" s="34" t="str">
        <x:v>Coverage</x:v>
      </x:c>
      <x:c r="F702" s="34" t="n">
        <x:v>1767</x:v>
      </x:c>
      <x:c r="G702" s="34" t="str">
        <x:v>RECORDED</x:v>
      </x:c>
      <x:c r="H702" s="38" t="n">
        <x:f>IF(ISNUMBER('Data'!G702),'Data'!G702*100,"")</x:f>
        <x:v>0.91</x:v>
      </x:c>
      <x:c r="I702" s="34" t="str">
        <x:v>PASS</x:v>
      </x:c>
      <x:c r="J702" s="34" t="str">
        <x:v>PASS</x:v>
      </x:c>
      <x:c r="K702" s="34" t="str">
        <x:v>PASS</x:v>
      </x:c>
      <x:c r="L702" s="34" t="str">
        <x:v>PASS</x:v>
      </x:c>
      <x:c r="M702" s="34" t="str">
        <x:v>numeric coverage for applicable metric</x:v>
      </x:c>
      <x:c r="N702" s="34" t="str">
        <x:v>Feedback-Directed Random Test Generation/Result/Math_17/result.json</x:v>
      </x:c>
      <x:c r="O702" s="38" t="n">
        <x:f>IF(AND(G702="RECORDED",ISNUMBER(H702)),H702,"")</x:f>
        <x:v>0.91</x:v>
      </x:c>
      <x:c r="P702" s="34" t="str">
        <x:v>NOT_REVEALING</x:v>
      </x:c>
      <x:c r="Q702" s="34" t="str">
        <x:v>Feedback-Directed Random Test Generation/Result/Math_17/result.json</x:v>
      </x:c>
    </x:row>
    <x:row r="703">
      <x:c r="A703" s="34" t="str">
        <x:v>randoop</x:v>
      </x:c>
      <x:c r="B703" s="34" t="str">
        <x:v>Math</x:v>
      </x:c>
      <x:c r="C703" s="34" t="str">
        <x:v>Round1</x:v>
      </x:c>
      <x:c r="D703" s="34" t="str">
        <x:v>Math_18</x:v>
      </x:c>
      <x:c r="E703" s="34" t="str">
        <x:v>Coverage</x:v>
      </x:c>
      <x:c r="F703" s="34" t="n">
        <x:v>786</x:v>
      </x:c>
      <x:c r="G703" s="34" t="str">
        <x:v>RECORDED</x:v>
      </x:c>
      <x:c r="H703" s="38" t="n">
        <x:f>IF(ISNUMBER('Data'!G703),'Data'!G703*100,"")</x:f>
        <x:v>4.45</x:v>
      </x:c>
      <x:c r="I703" s="34" t="str">
        <x:v>PASS</x:v>
      </x:c>
      <x:c r="J703" s="34" t="str">
        <x:v>PASS</x:v>
      </x:c>
      <x:c r="K703" s="34" t="str">
        <x:v>PASS</x:v>
      </x:c>
      <x:c r="L703" s="34" t="str">
        <x:v>FAIL</x:v>
      </x:c>
      <x:c r="M703" s="34" t="str">
        <x:v>numeric coverage for applicable metric</x:v>
      </x:c>
      <x:c r="N703" s="34" t="str">
        <x:v>Feedback-Directed Random Test Generation/Result/Math_18/result.json</x:v>
      </x:c>
      <x:c r="O703" s="38" t="n">
        <x:f>IF(AND(G703="RECORDED",ISNUMBER(H703)),H703,"")</x:f>
        <x:v>4.45</x:v>
      </x:c>
      <x:c r="P703" s="34" t="str">
        <x:v>INCONCLUSIVE</x:v>
      </x:c>
      <x:c r="Q703" s="34" t="str">
        <x:v>Feedback-Directed Random Test Generation/Result/Math_18/result.json</x:v>
      </x:c>
    </x:row>
    <x:row r="704">
      <x:c r="A704" s="34" t="str">
        <x:v>randoop</x:v>
      </x:c>
      <x:c r="B704" s="34" t="str">
        <x:v>Math</x:v>
      </x:c>
      <x:c r="C704" s="34" t="str">
        <x:v>Round1</x:v>
      </x:c>
      <x:c r="D704" s="34" t="str">
        <x:v>Math_19</x:v>
      </x:c>
      <x:c r="E704" s="34" t="str">
        <x:v>Coverage</x:v>
      </x:c>
      <x:c r="F704" s="34" t="n">
        <x:v>773</x:v>
      </x:c>
      <x:c r="G704" s="34" t="str">
        <x:v>RECORDED</x:v>
      </x:c>
      <x:c r="H704" s="38" t="n">
        <x:f>IF(ISNUMBER('Data'!G704),'Data'!G704*100,"")</x:f>
        <x:v>4.53</x:v>
      </x:c>
      <x:c r="I704" s="34" t="str">
        <x:v>PASS</x:v>
      </x:c>
      <x:c r="J704" s="34" t="str">
        <x:v>PASS</x:v>
      </x:c>
      <x:c r="K704" s="34" t="str">
        <x:v>PASS</x:v>
      </x:c>
      <x:c r="L704" s="34" t="str">
        <x:v>FAIL</x:v>
      </x:c>
      <x:c r="M704" s="34" t="str">
        <x:v>numeric coverage for applicable metric</x:v>
      </x:c>
      <x:c r="N704" s="34" t="str">
        <x:v>Feedback-Directed Random Test Generation/Result/Math_19/result.json</x:v>
      </x:c>
      <x:c r="O704" s="38" t="n">
        <x:f>IF(AND(G704="RECORDED",ISNUMBER(H704)),H704,"")</x:f>
        <x:v>4.53</x:v>
      </x:c>
      <x:c r="P704" s="34" t="str">
        <x:v>INCONCLUSIVE</x:v>
      </x:c>
      <x:c r="Q704" s="34" t="str">
        <x:v>Feedback-Directed Random Test Generation/Result/Math_19/result.json</x:v>
      </x:c>
    </x:row>
    <x:row r="705">
      <x:c r="A705" s="34" t="str">
        <x:v>randoop</x:v>
      </x:c>
      <x:c r="B705" s="34" t="str">
        <x:v>Math</x:v>
      </x:c>
      <x:c r="C705" s="34" t="str">
        <x:v>Round1</x:v>
      </x:c>
      <x:c r="D705" s="34" t="str">
        <x:v>Math_20</x:v>
      </x:c>
      <x:c r="E705" s="34" t="str">
        <x:v>Coverage</x:v>
      </x:c>
      <x:c r="F705" s="34" t="n">
        <x:v>768</x:v>
      </x:c>
      <x:c r="G705" s="34" t="str">
        <x:v>RECORDED</x:v>
      </x:c>
      <x:c r="H705" s="38" t="n">
        <x:f>IF(ISNUMBER('Data'!G705),'Data'!G705*100,"")</x:f>
        <x:v>4.56</x:v>
      </x:c>
      <x:c r="I705" s="34" t="str">
        <x:v>PASS</x:v>
      </x:c>
      <x:c r="J705" s="34" t="str">
        <x:v>PASS</x:v>
      </x:c>
      <x:c r="K705" s="34" t="str">
        <x:v>PASS</x:v>
      </x:c>
      <x:c r="L705" s="34" t="str">
        <x:v>FAIL</x:v>
      </x:c>
      <x:c r="M705" s="34" t="str">
        <x:v>numeric coverage for applicable metric</x:v>
      </x:c>
      <x:c r="N705" s="34" t="str">
        <x:v>Feedback-Directed Random Test Generation/Result/Math_20/result.json</x:v>
      </x:c>
      <x:c r="O705" s="38" t="n">
        <x:f>IF(AND(G705="RECORDED",ISNUMBER(H705)),H705,"")</x:f>
        <x:v>4.56</x:v>
      </x:c>
      <x:c r="P705" s="34" t="str">
        <x:v>INCONCLUSIVE</x:v>
      </x:c>
      <x:c r="Q705" s="34" t="str">
        <x:v>Feedback-Directed Random Test Generation/Result/Math_20/result.json</x:v>
      </x:c>
    </x:row>
    <x:row r="706">
      <x:c r="A706" s="34" t="str">
        <x:v>randoop</x:v>
      </x:c>
      <x:c r="B706" s="34" t="str">
        <x:v>Math</x:v>
      </x:c>
      <x:c r="C706" s="34" t="str">
        <x:v>Round1</x:v>
      </x:c>
      <x:c r="D706" s="34" t="str">
        <x:v>Math_21</x:v>
      </x:c>
      <x:c r="E706" s="34" t="str">
        <x:v>Coverage</x:v>
      </x:c>
      <x:c r="F706" s="34" t="n">
        <x:v>80</x:v>
      </x:c>
      <x:c r="G706" s="34" t="str">
        <x:v>RECORDED</x:v>
      </x:c>
      <x:c r="H706" s="38" t="n">
        <x:f>IF(ISNUMBER('Data'!G706),'Data'!G706*100,"")</x:f>
        <x:v>2.5</x:v>
      </x:c>
      <x:c r="I706" s="34" t="str">
        <x:v>PASS</x:v>
      </x:c>
      <x:c r="J706" s="34" t="str">
        <x:v>PASS</x:v>
      </x:c>
      <x:c r="K706" s="34" t="str">
        <x:v>PASS</x:v>
      </x:c>
      <x:c r="L706" s="34" t="str">
        <x:v>PASS</x:v>
      </x:c>
      <x:c r="M706" s="34" t="str">
        <x:v>numeric coverage for applicable metric</x:v>
      </x:c>
      <x:c r="N706" s="34" t="str">
        <x:v>Feedback-Directed Random Test Generation/Result/Math_21/result.json</x:v>
      </x:c>
      <x:c r="O706" s="38" t="n">
        <x:f>IF(AND(G706="RECORDED",ISNUMBER(H706)),H706,"")</x:f>
        <x:v>2.5</x:v>
      </x:c>
      <x:c r="P706" s="34" t="str">
        <x:v>NOT_REVEALING</x:v>
      </x:c>
      <x:c r="Q706" s="34" t="str">
        <x:v>Feedback-Directed Random Test Generation/Result/Math_21/result.json</x:v>
      </x:c>
    </x:row>
    <x:row r="707">
      <x:c r="A707" s="34" t="str">
        <x:v>randoop</x:v>
      </x:c>
      <x:c r="B707" s="34" t="str">
        <x:v>Math</x:v>
      </x:c>
      <x:c r="C707" s="34" t="str">
        <x:v>Round1</x:v>
      </x:c>
      <x:c r="D707" s="34" t="str">
        <x:v>Math_22</x:v>
      </x:c>
      <x:c r="E707" s="34" t="str">
        <x:v>Coverage</x:v>
      </x:c>
      <x:c r="F707" s="34" t="n">
        <x:v>108</x:v>
      </x:c>
      <x:c r="G707" s="34" t="str">
        <x:v>RECORDED</x:v>
      </x:c>
      <x:c r="H707" s="38" t="n">
        <x:f>IF(ISNUMBER('Data'!G707),'Data'!G707*100,"")</x:f>
        <x:v>100</x:v>
      </x:c>
      <x:c r="I707" s="34" t="str">
        <x:v>PASS</x:v>
      </x:c>
      <x:c r="J707" s="34" t="str">
        <x:v>PASS</x:v>
      </x:c>
      <x:c r="K707" s="34" t="str">
        <x:v>PASS</x:v>
      </x:c>
      <x:c r="L707" s="34" t="str">
        <x:v>FAIL</x:v>
      </x:c>
      <x:c r="M707" s="34" t="str">
        <x:v>numeric coverage for applicable metric</x:v>
      </x:c>
      <x:c r="N707" s="34" t="str">
        <x:v>Feedback-Directed Random Test Generation/Result/Math_22/result.json</x:v>
      </x:c>
      <x:c r="O707" s="38" t="n">
        <x:f>IF(AND(G707="RECORDED",ISNUMBER(H707)),H707,"")</x:f>
        <x:v>100</x:v>
      </x:c>
      <x:c r="P707" s="34" t="str">
        <x:v>INCONCLUSIVE</x:v>
      </x:c>
      <x:c r="Q707" s="34" t="str">
        <x:v>Feedback-Directed Random Test Generation/Result/Math_22/result.json</x:v>
      </x:c>
    </x:row>
    <x:row r="708">
      <x:c r="A708" s="34" t="str">
        <x:v>randoop</x:v>
      </x:c>
      <x:c r="B708" s="34" t="str">
        <x:v>Math</x:v>
      </x:c>
      <x:c r="C708" s="34" t="str">
        <x:v>Round1</x:v>
      </x:c>
      <x:c r="D708" s="34" t="str">
        <x:v>Math_23</x:v>
      </x:c>
      <x:c r="E708" s="34" t="str">
        <x:v>Coverage</x:v>
      </x:c>
      <x:c r="F708" s="34" t="n">
        <x:v>195</x:v>
      </x:c>
      <x:c r="G708" s="34" t="str">
        <x:v>RECORDED</x:v>
      </x:c>
      <x:c r="H708" s="38" t="n">
        <x:f>IF(ISNUMBER('Data'!G708),'Data'!G708*100,"")</x:f>
        <x:v>16.92</x:v>
      </x:c>
      <x:c r="I708" s="34" t="str">
        <x:v>PASS</x:v>
      </x:c>
      <x:c r="J708" s="34" t="str">
        <x:v>PASS</x:v>
      </x:c>
      <x:c r="K708" s="34" t="str">
        <x:v>PASS</x:v>
      </x:c>
      <x:c r="L708" s="34" t="str">
        <x:v>PASS</x:v>
      </x:c>
      <x:c r="M708" s="34" t="str">
        <x:v>numeric coverage for applicable metric</x:v>
      </x:c>
      <x:c r="N708" s="34" t="str">
        <x:v>Feedback-Directed Random Test Generation/Result/Math_23/result.json</x:v>
      </x:c>
      <x:c r="O708" s="38" t="n">
        <x:f>IF(AND(G708="RECORDED",ISNUMBER(H708)),H708,"")</x:f>
        <x:v>16.92</x:v>
      </x:c>
      <x:c r="P708" s="34" t="str">
        <x:v>NOT_REVEALING</x:v>
      </x:c>
      <x:c r="Q708" s="34" t="str">
        <x:v>Feedback-Directed Random Test Generation/Result/Math_23/result.json</x:v>
      </x:c>
    </x:row>
    <x:row r="709">
      <x:c r="A709" s="34" t="str">
        <x:v>randoop</x:v>
      </x:c>
      <x:c r="B709" s="34" t="str">
        <x:v>Math</x:v>
      </x:c>
      <x:c r="C709" s="34" t="str">
        <x:v>Round1</x:v>
      </x:c>
      <x:c r="D709" s="34" t="str">
        <x:v>Math_24</x:v>
      </x:c>
      <x:c r="E709" s="34" t="str">
        <x:v>Coverage</x:v>
      </x:c>
      <x:c r="F709" s="34" t="n">
        <x:v>194</x:v>
      </x:c>
      <x:c r="G709" s="34" t="str">
        <x:v>RECORDED</x:v>
      </x:c>
      <x:c r="H709" s="38" t="n">
        <x:f>IF(ISNUMBER('Data'!G709),'Data'!G709*100,"")</x:f>
        <x:v>17.01</x:v>
      </x:c>
      <x:c r="I709" s="34" t="str">
        <x:v>PASS</x:v>
      </x:c>
      <x:c r="J709" s="34" t="str">
        <x:v>PASS</x:v>
      </x:c>
      <x:c r="K709" s="34" t="str">
        <x:v>PASS</x:v>
      </x:c>
      <x:c r="L709" s="34" t="str">
        <x:v>PASS</x:v>
      </x:c>
      <x:c r="M709" s="34" t="str">
        <x:v>numeric coverage for applicable metric</x:v>
      </x:c>
      <x:c r="N709" s="34" t="str">
        <x:v>Feedback-Directed Random Test Generation/Result/Math_24/result.json</x:v>
      </x:c>
      <x:c r="O709" s="38" t="n">
        <x:f>IF(AND(G709="RECORDED",ISNUMBER(H709)),H709,"")</x:f>
        <x:v>17.01</x:v>
      </x:c>
      <x:c r="P709" s="34" t="str">
        <x:v>NOT_REVEALING</x:v>
      </x:c>
      <x:c r="Q709" s="34" t="str">
        <x:v>Feedback-Directed Random Test Generation/Result/Math_24/result.json</x:v>
      </x:c>
    </x:row>
    <x:row r="710">
      <x:c r="A710" s="34" t="str">
        <x:v>randoop</x:v>
      </x:c>
      <x:c r="B710" s="34" t="str">
        <x:v>Math</x:v>
      </x:c>
      <x:c r="C710" s="34" t="str">
        <x:v>Round1</x:v>
      </x:c>
      <x:c r="D710" s="34" t="str">
        <x:v>Math_25</x:v>
      </x:c>
      <x:c r="E710" s="34" t="str">
        <x:v>Coverage</x:v>
      </x:c>
      <x:c r="F710" s="34" t="n">
        <x:v>122</x:v>
      </x:c>
      <x:c r="G710" s="34" t="str">
        <x:v>RECORDED</x:v>
      </x:c>
      <x:c r="H710" s="38" t="n">
        <x:f>IF(ISNUMBER('Data'!G710),'Data'!G710*100,"")</x:f>
        <x:v>98.36</x:v>
      </x:c>
      <x:c r="I710" s="34" t="str">
        <x:v>PASS</x:v>
      </x:c>
      <x:c r="J710" s="34" t="str">
        <x:v>PASS</x:v>
      </x:c>
      <x:c r="K710" s="34" t="str">
        <x:v>PASS</x:v>
      </x:c>
      <x:c r="L710" s="34" t="str">
        <x:v>PASS</x:v>
      </x:c>
      <x:c r="M710" s="34" t="str">
        <x:v>numeric coverage for applicable metric</x:v>
      </x:c>
      <x:c r="N710" s="34" t="str">
        <x:v>Feedback-Directed Random Test Generation/Result/Math_25/result.json</x:v>
      </x:c>
      <x:c r="O710" s="38" t="n">
        <x:f>IF(AND(G710="RECORDED",ISNUMBER(H710)),H710,"")</x:f>
        <x:v>98.36</x:v>
      </x:c>
      <x:c r="P710" s="34" t="str">
        <x:v>NOT_REVEALING</x:v>
      </x:c>
      <x:c r="Q710" s="34" t="str">
        <x:v>Feedback-Directed Random Test Generation/Result/Math_25/result.json</x:v>
      </x:c>
    </x:row>
    <x:row r="711">
      <x:c r="A711" s="34" t="str">
        <x:v>randoop</x:v>
      </x:c>
      <x:c r="B711" s="34" t="str">
        <x:v>Math</x:v>
      </x:c>
      <x:c r="C711" s="34" t="str">
        <x:v>Round1</x:v>
      </x:c>
      <x:c r="D711" s="34" t="str">
        <x:v>Math_26</x:v>
      </x:c>
      <x:c r="E711" s="34" t="str">
        <x:v>Coverage</x:v>
      </x:c>
      <x:c r="F711" s="34" t="n">
        <x:v>277</x:v>
      </x:c>
      <x:c r="G711" s="34" t="str">
        <x:v>RECORDED</x:v>
      </x:c>
      <x:c r="H711" s="38" t="n">
        <x:f>IF(ISNUMBER('Data'!G711),'Data'!G711*100,"")</x:f>
        <x:v>90.97</x:v>
      </x:c>
      <x:c r="I711" s="34" t="str">
        <x:v>PASS</x:v>
      </x:c>
      <x:c r="J711" s="34" t="str">
        <x:v>PASS</x:v>
      </x:c>
      <x:c r="K711" s="34" t="str">
        <x:v>PASS</x:v>
      </x:c>
      <x:c r="L711" s="34" t="str">
        <x:v>PASS</x:v>
      </x:c>
      <x:c r="M711" s="34" t="str">
        <x:v>numeric coverage for applicable metric</x:v>
      </x:c>
      <x:c r="N711" s="34" t="str">
        <x:v>Feedback-Directed Random Test Generation/Result/Math_26/result.json</x:v>
      </x:c>
      <x:c r="O711" s="38" t="n">
        <x:f>IF(AND(G711="RECORDED",ISNUMBER(H711)),H711,"")</x:f>
        <x:v>90.97</x:v>
      </x:c>
      <x:c r="P711" s="34" t="str">
        <x:v>NOT_REVEALING</x:v>
      </x:c>
      <x:c r="Q711" s="34" t="str">
        <x:v>Feedback-Directed Random Test Generation/Result/Math_26/result.json</x:v>
      </x:c>
    </x:row>
    <x:row r="712">
      <x:c r="A712" s="34" t="str">
        <x:v>randoop</x:v>
      </x:c>
      <x:c r="B712" s="34" t="str">
        <x:v>Math</x:v>
      </x:c>
      <x:c r="C712" s="34" t="str">
        <x:v>Round1</x:v>
      </x:c>
      <x:c r="D712" s="34" t="str">
        <x:v>Math_27</x:v>
      </x:c>
      <x:c r="E712" s="34" t="str">
        <x:v>Coverage</x:v>
      </x:c>
      <x:c r="F712" s="34" t="n">
        <x:v>277</x:v>
      </x:c>
      <x:c r="G712" s="34" t="str">
        <x:v>RECORDED</x:v>
      </x:c>
      <x:c r="H712" s="38" t="n">
        <x:f>IF(ISNUMBER('Data'!G712),'Data'!G712*100,"")</x:f>
        <x:v>90.97</x:v>
      </x:c>
      <x:c r="I712" s="34" t="str">
        <x:v>PASS</x:v>
      </x:c>
      <x:c r="J712" s="34" t="str">
        <x:v>PASS</x:v>
      </x:c>
      <x:c r="K712" s="34" t="str">
        <x:v>PASS</x:v>
      </x:c>
      <x:c r="L712" s="34" t="str">
        <x:v>PASS</x:v>
      </x:c>
      <x:c r="M712" s="34" t="str">
        <x:v>numeric coverage for applicable metric</x:v>
      </x:c>
      <x:c r="N712" s="34" t="str">
        <x:v>Feedback-Directed Random Test Generation/Result/Math_27/result.json</x:v>
      </x:c>
      <x:c r="O712" s="38" t="n">
        <x:f>IF(AND(G712="RECORDED",ISNUMBER(H712)),H712,"")</x:f>
        <x:v>90.97</x:v>
      </x:c>
      <x:c r="P712" s="34" t="str">
        <x:v>INCONCLUSIVE</x:v>
      </x:c>
      <x:c r="Q712" s="34" t="str">
        <x:v>Feedback-Directed Random Test Generation/Result/Math_27/result.json</x:v>
      </x:c>
    </x:row>
    <x:row r="713">
      <x:c r="A713" s="34" t="str">
        <x:v>randoop</x:v>
      </x:c>
      <x:c r="B713" s="34" t="str">
        <x:v>Math</x:v>
      </x:c>
      <x:c r="C713" s="34" t="str">
        <x:v>Round1</x:v>
      </x:c>
      <x:c r="D713" s="34" t="str">
        <x:v>Math_28</x:v>
      </x:c>
      <x:c r="E713" s="34" t="str">
        <x:v>Coverage</x:v>
      </x:c>
      <x:c r="F713" s="34" t="n">
        <x:v>127</x:v>
      </x:c>
      <x:c r="G713" s="34" t="str">
        <x:v>RECORDED</x:v>
      </x:c>
      <x:c r="H713" s="38" t="n">
        <x:f>IF(ISNUMBER('Data'!G713),'Data'!G713*100,"")</x:f>
        <x:v>13.390000000000002</x:v>
      </x:c>
      <x:c r="I713" s="34" t="str">
        <x:v>PASS</x:v>
      </x:c>
      <x:c r="J713" s="34" t="str">
        <x:v>PASS</x:v>
      </x:c>
      <x:c r="K713" s="34" t="str">
        <x:v>PASS</x:v>
      </x:c>
      <x:c r="L713" s="34" t="str">
        <x:v>FAIL</x:v>
      </x:c>
      <x:c r="M713" s="34" t="str">
        <x:v>numeric coverage for applicable metric</x:v>
      </x:c>
      <x:c r="N713" s="34" t="str">
        <x:v>Feedback-Directed Random Test Generation/Result/Math_28/result.json</x:v>
      </x:c>
      <x:c r="O713" s="38" t="n">
        <x:f>IF(AND(G713="RECORDED",ISNUMBER(H713)),H713,"")</x:f>
        <x:v>13.390000000000002</x:v>
      </x:c>
      <x:c r="P713" s="34" t="str">
        <x:v>INCONCLUSIVE</x:v>
      </x:c>
      <x:c r="Q713" s="34" t="str">
        <x:v>Feedback-Directed Random Test Generation/Result/Math_28/result.json</x:v>
      </x:c>
    </x:row>
    <x:row r="714">
      <x:c r="A714" s="34" t="str">
        <x:v>randoop</x:v>
      </x:c>
      <x:c r="B714" s="34" t="str">
        <x:v>Math</x:v>
      </x:c>
      <x:c r="C714" s="34" t="str">
        <x:v>Round1</x:v>
      </x:c>
      <x:c r="D714" s="34" t="str">
        <x:v>Math_29</x:v>
      </x:c>
      <x:c r="E714" s="34" t="str">
        <x:v>Coverage</x:v>
      </x:c>
      <x:c r="F714" s="34" t="n">
        <x:v>455</x:v>
      </x:c>
      <x:c r="G714" s="34" t="str">
        <x:v>RECORDED</x:v>
      </x:c>
      <x:c r="H714" s="38" t="n">
        <x:f>IF(ISNUMBER('Data'!G714),'Data'!G714*100,"")</x:f>
        <x:v>94.51</x:v>
      </x:c>
      <x:c r="I714" s="34" t="str">
        <x:v>PASS</x:v>
      </x:c>
      <x:c r="J714" s="34" t="str">
        <x:v>PASS</x:v>
      </x:c>
      <x:c r="K714" s="34" t="str">
        <x:v>PASS</x:v>
      </x:c>
      <x:c r="L714" s="34" t="str">
        <x:v>FAIL</x:v>
      </x:c>
      <x:c r="M714" s="34" t="str">
        <x:v>numeric coverage for applicable metric</x:v>
      </x:c>
      <x:c r="N714" s="34" t="str">
        <x:v>Feedback-Directed Random Test Generation/Result/Math_29/result.json</x:v>
      </x:c>
      <x:c r="O714" s="38" t="n">
        <x:f>IF(AND(G714="RECORDED",ISNUMBER(H714)),H714,"")</x:f>
        <x:v>94.51</x:v>
      </x:c>
      <x:c r="P714" s="34" t="str">
        <x:v>INCONCLUSIVE</x:v>
      </x:c>
      <x:c r="Q714" s="34" t="str">
        <x:v>Feedback-Directed Random Test Generation/Result/Math_29/result.json</x:v>
      </x:c>
    </x:row>
    <x:row r="715">
      <x:c r="A715" s="34" t="str">
        <x:v>randoop</x:v>
      </x:c>
      <x:c r="B715" s="34" t="str">
        <x:v>Math</x:v>
      </x:c>
      <x:c r="C715" s="34" t="str">
        <x:v>Round1</x:v>
      </x:c>
      <x:c r="D715" s="34" t="str">
        <x:v>Math_30</x:v>
      </x:c>
      <x:c r="E715" s="34" t="str">
        <x:v>Coverage</x:v>
      </x:c>
      <x:c r="F715" s="34" t="n">
        <x:v>44</x:v>
      </x:c>
      <x:c r="G715" s="34" t="str">
        <x:v>RECORDED</x:v>
      </x:c>
      <x:c r="H715" s="38" t="n">
        <x:f>IF(ISNUMBER('Data'!G715),'Data'!G715*100,"")</x:f>
        <x:v>100</x:v>
      </x:c>
      <x:c r="I715" s="34" t="str">
        <x:v>PASS</x:v>
      </x:c>
      <x:c r="J715" s="34" t="str">
        <x:v>PASS</x:v>
      </x:c>
      <x:c r="K715" s="34" t="str">
        <x:v>PASS</x:v>
      </x:c>
      <x:c r="L715" s="34" t="str">
        <x:v>PASS</x:v>
      </x:c>
      <x:c r="M715" s="34" t="str">
        <x:v>numeric coverage for applicable metric</x:v>
      </x:c>
      <x:c r="N715" s="34" t="str">
        <x:v>Feedback-Directed Random Test Generation/Result/Math_30/result.json</x:v>
      </x:c>
      <x:c r="O715" s="38" t="n">
        <x:f>IF(AND(G715="RECORDED",ISNUMBER(H715)),H715,"")</x:f>
        <x:v>100</x:v>
      </x:c>
      <x:c r="P715" s="34" t="str">
        <x:v>NOT_REVEALING</x:v>
      </x:c>
      <x:c r="Q715" s="34" t="str">
        <x:v>Feedback-Directed Random Test Generation/Result/Math_30/result.json</x:v>
      </x:c>
    </x:row>
    <x:row r="716">
      <x:c r="A716" s="34" t="str">
        <x:v>randoop</x:v>
      </x:c>
      <x:c r="B716" s="34" t="str">
        <x:v>Math</x:v>
      </x:c>
      <x:c r="C716" s="34" t="str">
        <x:v>Round1</x:v>
      </x:c>
      <x:c r="D716" s="34" t="str">
        <x:v>Math_31</x:v>
      </x:c>
      <x:c r="E716" s="34" t="str">
        <x:v>Coverage</x:v>
      </x:c>
      <x:c r="F716" s="34" t="n">
        <x:v>89</x:v>
      </x:c>
      <x:c r="G716" s="34" t="str">
        <x:v>RECORDED</x:v>
      </x:c>
      <x:c r="H716" s="38" t="n">
        <x:f>IF(ISNUMBER('Data'!G716),'Data'!G716*100,"")</x:f>
        <x:v>0</x:v>
      </x:c>
      <x:c r="I716" s="34" t="str">
        <x:v>PASS</x:v>
      </x:c>
      <x:c r="J716" s="34" t="str">
        <x:v>PASS</x:v>
      </x:c>
      <x:c r="K716" s="34" t="str">
        <x:v>PASS</x:v>
      </x:c>
      <x:c r="L716" s="34" t="str">
        <x:v>PASS</x:v>
      </x:c>
      <x:c r="M716" s="34" t="str">
        <x:v>numeric coverage for applicable metric</x:v>
      </x:c>
      <x:c r="N716" s="34" t="str">
        <x:v>Feedback-Directed Random Test Generation/Result/Math_31/result.json</x:v>
      </x:c>
      <x:c r="O716" s="38" t="n">
        <x:f>IF(AND(G716="RECORDED",ISNUMBER(H716)),H716,"")</x:f>
        <x:v>0</x:v>
      </x:c>
      <x:c r="P716" s="34" t="str">
        <x:v>NOT_REVEALING</x:v>
      </x:c>
      <x:c r="Q716" s="34" t="str">
        <x:v>Feedback-Directed Random Test Generation/Result/Math_31/result.json</x:v>
      </x:c>
    </x:row>
    <x:row r="717">
      <x:c r="A717" s="34" t="str">
        <x:v>randoop</x:v>
      </x:c>
      <x:c r="B717" s="34" t="str">
        <x:v>Math</x:v>
      </x:c>
      <x:c r="C717" s="34" t="str">
        <x:v>Round1</x:v>
      </x:c>
      <x:c r="D717" s="34" t="str">
        <x:v>Math_32</x:v>
      </x:c>
      <x:c r="E717" s="34" t="str">
        <x:v>Coverage</x:v>
      </x:c>
      <x:c r="F717" s="34" t="n">
        <x:v>249</x:v>
      </x:c>
      <x:c r="G717" s="34" t="str">
        <x:v>RECORDED</x:v>
      </x:c>
      <x:c r="H717" s="38" t="n">
        <x:f>IF(ISNUMBER('Data'!G717),'Data'!G717*100,"")</x:f>
        <x:v>67.87</x:v>
      </x:c>
      <x:c r="I717" s="34" t="str">
        <x:v>PASS</x:v>
      </x:c>
      <x:c r="J717" s="34" t="str">
        <x:v>PASS</x:v>
      </x:c>
      <x:c r="K717" s="34" t="str">
        <x:v>PASS</x:v>
      </x:c>
      <x:c r="L717" s="34" t="str">
        <x:v>FAIL</x:v>
      </x:c>
      <x:c r="M717" s="34" t="str">
        <x:v>numeric coverage for applicable metric</x:v>
      </x:c>
      <x:c r="N717" s="34" t="str">
        <x:v>Feedback-Directed Random Test Generation/Result/Math_32/result.json</x:v>
      </x:c>
      <x:c r="O717" s="38" t="n">
        <x:f>IF(AND(G717="RECORDED",ISNUMBER(H717)),H717,"")</x:f>
        <x:v>67.87</x:v>
      </x:c>
      <x:c r="P717" s="34" t="str">
        <x:v>INCONCLUSIVE</x:v>
      </x:c>
      <x:c r="Q717" s="34" t="str">
        <x:v>Feedback-Directed Random Test Generation/Result/Math_32/result.json</x:v>
      </x:c>
    </x:row>
    <x:row r="718">
      <x:c r="A718" s="34" t="str">
        <x:v>randoop</x:v>
      </x:c>
      <x:c r="B718" s="34" t="str">
        <x:v>Math</x:v>
      </x:c>
      <x:c r="C718" s="34" t="str">
        <x:v>Round1</x:v>
      </x:c>
      <x:c r="D718" s="34" t="str">
        <x:v>Math_33</x:v>
      </x:c>
      <x:c r="E718" s="34" t="str">
        <x:v>Coverage</x:v>
      </x:c>
      <x:c r="F718" s="34" t="n">
        <x:v>309</x:v>
      </x:c>
      <x:c r="G718" s="34" t="str">
        <x:v>RECORDED</x:v>
      </x:c>
      <x:c r="H718" s="38" t="n">
        <x:f>IF(ISNUMBER('Data'!G718),'Data'!G718*100,"")</x:f>
        <x:v>4.85</x:v>
      </x:c>
      <x:c r="I718" s="34" t="str">
        <x:v>PASS</x:v>
      </x:c>
      <x:c r="J718" s="34" t="str">
        <x:v>PASS</x:v>
      </x:c>
      <x:c r="K718" s="34" t="str">
        <x:v>PASS</x:v>
      </x:c>
      <x:c r="L718" s="34" t="str">
        <x:v>PASS</x:v>
      </x:c>
      <x:c r="M718" s="34" t="str">
        <x:v>numeric coverage for applicable metric</x:v>
      </x:c>
      <x:c r="N718" s="34" t="str">
        <x:v>Feedback-Directed Random Test Generation/Result/Math_33/result.json</x:v>
      </x:c>
      <x:c r="O718" s="38" t="n">
        <x:f>IF(AND(G718="RECORDED",ISNUMBER(H718)),H718,"")</x:f>
        <x:v>4.85</x:v>
      </x:c>
      <x:c r="P718" s="34" t="str">
        <x:v>NOT_REVEALING</x:v>
      </x:c>
      <x:c r="Q718" s="34" t="str">
        <x:v>Feedback-Directed Random Test Generation/Result/Math_33/result.json</x:v>
      </x:c>
    </x:row>
    <x:row r="719">
      <x:c r="A719" s="34" t="str">
        <x:v>randoop</x:v>
      </x:c>
      <x:c r="B719" s="34" t="str">
        <x:v>Math</x:v>
      </x:c>
      <x:c r="C719" s="34" t="str">
        <x:v>Round1</x:v>
      </x:c>
      <x:c r="D719" s="34" t="str">
        <x:v>Math_34</x:v>
      </x:c>
      <x:c r="E719" s="34" t="str">
        <x:v>Coverage</x:v>
      </x:c>
      <x:c r="F719" s="34" t="n">
        <x:v>72</x:v>
      </x:c>
      <x:c r="G719" s="34" t="str">
        <x:v>RECORDED</x:v>
      </x:c>
      <x:c r="H719" s="38" t="n">
        <x:f>IF(ISNUMBER('Data'!G719),'Data'!G719*100,"")</x:f>
        <x:v>0</x:v>
      </x:c>
      <x:c r="I719" s="34" t="str">
        <x:v>PASS</x:v>
      </x:c>
      <x:c r="J719" s="34" t="str">
        <x:v>PASS</x:v>
      </x:c>
      <x:c r="K719" s="34" t="str">
        <x:v>PASS</x:v>
      </x:c>
      <x:c r="L719" s="34" t="str">
        <x:v>PASS</x:v>
      </x:c>
      <x:c r="M719" s="34" t="str">
        <x:v>numeric coverage for applicable metric</x:v>
      </x:c>
      <x:c r="N719" s="34" t="str">
        <x:v>Feedback-Directed Random Test Generation/Result/Math_34/result.json</x:v>
      </x:c>
      <x:c r="O719" s="38" t="n">
        <x:f>IF(AND(G719="RECORDED",ISNUMBER(H719)),H719,"")</x:f>
        <x:v>0</x:v>
      </x:c>
      <x:c r="P719" s="34" t="str">
        <x:v>NOT_REVEALING</x:v>
      </x:c>
      <x:c r="Q719" s="34" t="str">
        <x:v>Feedback-Directed Random Test Generation/Result/Math_34/result.json</x:v>
      </x:c>
    </x:row>
    <x:row r="720">
      <x:c r="A720" s="34" t="str">
        <x:v>randoop</x:v>
      </x:c>
      <x:c r="B720" s="34" t="str">
        <x:v>Math</x:v>
      </x:c>
      <x:c r="C720" s="34" t="str">
        <x:v>Round1</x:v>
      </x:c>
      <x:c r="D720" s="34" t="str">
        <x:v>Math_35</x:v>
      </x:c>
      <x:c r="E720" s="34" t="str">
        <x:v>Coverage</x:v>
      </x:c>
      <x:c r="F720" s="34" t="n">
        <x:v>25</x:v>
      </x:c>
      <x:c r="G720" s="34" t="str">
        <x:v>RECORDED</x:v>
      </x:c>
      <x:c r="H720" s="38" t="n">
        <x:f>IF(ISNUMBER('Data'!G720),'Data'!G720*100,"")</x:f>
        <x:v>100</x:v>
      </x:c>
      <x:c r="I720" s="34" t="str">
        <x:v>PASS</x:v>
      </x:c>
      <x:c r="J720" s="34" t="str">
        <x:v>PASS</x:v>
      </x:c>
      <x:c r="K720" s="34" t="str">
        <x:v>PASS</x:v>
      </x:c>
      <x:c r="L720" s="34" t="str">
        <x:v>PASS</x:v>
      </x:c>
      <x:c r="M720" s="34" t="str">
        <x:v>numeric coverage for applicable metric</x:v>
      </x:c>
      <x:c r="N720" s="34" t="str">
        <x:v>Feedback-Directed Random Test Generation/Result/Math_35/result.json</x:v>
      </x:c>
      <x:c r="O720" s="38" t="n">
        <x:f>IF(AND(G720="RECORDED",ISNUMBER(H720)),H720,"")</x:f>
        <x:v>100</x:v>
      </x:c>
      <x:c r="P720" s="34" t="str">
        <x:v>INCONCLUSIVE</x:v>
      </x:c>
      <x:c r="Q720" s="34" t="str">
        <x:v>Feedback-Directed Random Test Generation/Result/Math_35/result.json</x:v>
      </x:c>
    </x:row>
    <x:row r="721">
      <x:c r="A721" s="34" t="str">
        <x:v>randoop</x:v>
      </x:c>
      <x:c r="B721" s="34" t="str">
        <x:v>Math</x:v>
      </x:c>
      <x:c r="C721" s="34" t="str">
        <x:v>Round1</x:v>
      </x:c>
      <x:c r="D721" s="34" t="str">
        <x:v>Math_36</x:v>
      </x:c>
      <x:c r="E721" s="34" t="str">
        <x:v>Coverage</x:v>
      </x:c>
      <x:c r="F721" s="34" t="n">
        <x:v>322</x:v>
      </x:c>
      <x:c r="G721" s="34" t="str">
        <x:v>RECORDED</x:v>
      </x:c>
      <x:c r="H721" s="38" t="n">
        <x:f>IF(ISNUMBER('Data'!G721),'Data'!G721*100,"")</x:f>
        <x:v>62.11</x:v>
      </x:c>
      <x:c r="I721" s="34" t="str">
        <x:v>PASS</x:v>
      </x:c>
      <x:c r="J721" s="34" t="str">
        <x:v>PASS</x:v>
      </x:c>
      <x:c r="K721" s="34" t="str">
        <x:v>PASS</x:v>
      </x:c>
      <x:c r="L721" s="34" t="str">
        <x:v>PASS</x:v>
      </x:c>
      <x:c r="M721" s="34" t="str">
        <x:v>numeric coverage for applicable metric</x:v>
      </x:c>
      <x:c r="N721" s="34" t="str">
        <x:v>Feedback-Directed Random Test Generation/Result/Math_36/result.json</x:v>
      </x:c>
      <x:c r="O721" s="38" t="n">
        <x:f>IF(AND(G721="RECORDED",ISNUMBER(H721)),H721,"")</x:f>
        <x:v>62.11</x:v>
      </x:c>
      <x:c r="P721" s="34" t="str">
        <x:v>NOT_REVEALING</x:v>
      </x:c>
      <x:c r="Q721" s="34" t="str">
        <x:v>Feedback-Directed Random Test Generation/Result/Math_36/result.json</x:v>
      </x:c>
    </x:row>
    <x:row r="722">
      <x:c r="A722" s="34" t="str">
        <x:v>randoop</x:v>
      </x:c>
      <x:c r="B722" s="34" t="str">
        <x:v>Math</x:v>
      </x:c>
      <x:c r="C722" s="34" t="str">
        <x:v>Round1</x:v>
      </x:c>
      <x:c r="D722" s="34" t="str">
        <x:v>Math_37</x:v>
      </x:c>
      <x:c r="E722" s="34" t="str">
        <x:v>Coverage</x:v>
      </x:c>
      <x:c r="F722" s="34" t="n">
        <x:v>378</x:v>
      </x:c>
      <x:c r="G722" s="34" t="str">
        <x:v>RECORDED</x:v>
      </x:c>
      <x:c r="H722" s="38" t="n">
        <x:f>IF(ISNUMBER('Data'!G722),'Data'!G722*100,"")</x:f>
        <x:v>96.83</x:v>
      </x:c>
      <x:c r="I722" s="34" t="str">
        <x:v>PASS</x:v>
      </x:c>
      <x:c r="J722" s="34" t="str">
        <x:v>PASS</x:v>
      </x:c>
      <x:c r="K722" s="34" t="str">
        <x:v>PASS</x:v>
      </x:c>
      <x:c r="L722" s="34" t="str">
        <x:v>FAIL</x:v>
      </x:c>
      <x:c r="M722" s="34" t="str">
        <x:v>numeric coverage for applicable metric</x:v>
      </x:c>
      <x:c r="N722" s="34" t="str">
        <x:v>Feedback-Directed Random Test Generation/Result/Math_37/result.json</x:v>
      </x:c>
      <x:c r="O722" s="38" t="n">
        <x:f>IF(AND(G722="RECORDED",ISNUMBER(H722)),H722,"")</x:f>
        <x:v>96.83</x:v>
      </x:c>
      <x:c r="P722" s="34" t="str">
        <x:v>INCONCLUSIVE</x:v>
      </x:c>
      <x:c r="Q722" s="34" t="str">
        <x:v>Feedback-Directed Random Test Generation/Result/Math_37/result.json</x:v>
      </x:c>
    </x:row>
    <x:row r="723">
      <x:c r="A723" s="34" t="str">
        <x:v>randoop</x:v>
      </x:c>
      <x:c r="B723" s="34" t="str">
        <x:v>Math</x:v>
      </x:c>
      <x:c r="C723" s="34" t="str">
        <x:v>Round1</x:v>
      </x:c>
      <x:c r="D723" s="34" t="str">
        <x:v>Math_38</x:v>
      </x:c>
      <x:c r="E723" s="34" t="str">
        <x:v>Coverage</x:v>
      </x:c>
      <x:c r="F723" s="34" t="n">
        <x:v>1824</x:v>
      </x:c>
      <x:c r="G723" s="34" t="str">
        <x:v>RECORDED</x:v>
      </x:c>
      <x:c r="H723" s="38" t="n">
        <x:f>IF(ISNUMBER('Data'!G723),'Data'!G723*100,"")</x:f>
        <x:v>0.44</x:v>
      </x:c>
      <x:c r="I723" s="34" t="str">
        <x:v>PASS</x:v>
      </x:c>
      <x:c r="J723" s="34" t="str">
        <x:v>PASS</x:v>
      </x:c>
      <x:c r="K723" s="34" t="str">
        <x:v>PASS</x:v>
      </x:c>
      <x:c r="L723" s="34" t="str">
        <x:v>FAIL</x:v>
      </x:c>
      <x:c r="M723" s="34" t="str">
        <x:v>numeric coverage for applicable metric</x:v>
      </x:c>
      <x:c r="N723" s="34" t="str">
        <x:v>Feedback-Directed Random Test Generation/Result/Math_38/result.json</x:v>
      </x:c>
      <x:c r="O723" s="38" t="n">
        <x:f>IF(AND(G723="RECORDED",ISNUMBER(H723)),H723,"")</x:f>
        <x:v>0.44</x:v>
      </x:c>
      <x:c r="P723" s="34" t="str">
        <x:v>INCONCLUSIVE</x:v>
      </x:c>
      <x:c r="Q723" s="34" t="str">
        <x:v>Feedback-Directed Random Test Generation/Result/Math_38/result.json</x:v>
      </x:c>
    </x:row>
    <x:row r="724">
      <x:c r="A724" s="34" t="str">
        <x:v>randoop</x:v>
      </x:c>
      <x:c r="B724" s="34" t="str">
        <x:v>Math</x:v>
      </x:c>
      <x:c r="C724" s="34" t="str">
        <x:v>Round1</x:v>
      </x:c>
      <x:c r="D724" s="34" t="str">
        <x:v>Math_39</x:v>
      </x:c>
      <x:c r="E724" s="34" t="str">
        <x:v>Coverage</x:v>
      </x:c>
      <x:c r="F724" s="34" t="n">
        <x:v>155</x:v>
      </x:c>
      <x:c r="G724" s="34" t="str">
        <x:v>RECORDED</x:v>
      </x:c>
      <x:c r="H724" s="38" t="n">
        <x:f>IF(ISNUMBER('Data'!G724),'Data'!G724*100,"")</x:f>
        <x:v>0</x:v>
      </x:c>
      <x:c r="I724" s="34" t="str">
        <x:v>PASS</x:v>
      </x:c>
      <x:c r="J724" s="34" t="str">
        <x:v>PASS</x:v>
      </x:c>
      <x:c r="K724" s="34" t="str">
        <x:v>PASS</x:v>
      </x:c>
      <x:c r="L724" s="34" t="str">
        <x:v>PASS</x:v>
      </x:c>
      <x:c r="M724" s="34" t="str">
        <x:v>numeric coverage for applicable metric</x:v>
      </x:c>
      <x:c r="N724" s="34" t="str">
        <x:v>Feedback-Directed Random Test Generation/Result/Math_39/result.json</x:v>
      </x:c>
      <x:c r="O724" s="38" t="n">
        <x:f>IF(AND(G724="RECORDED",ISNUMBER(H724)),H724,"")</x:f>
        <x:v>0</x:v>
      </x:c>
      <x:c r="P724" s="34" t="str">
        <x:v>NOT_REVEALING</x:v>
      </x:c>
      <x:c r="Q724" s="34" t="str">
        <x:v>Feedback-Directed Random Test Generation/Result/Math_39/result.json</x:v>
      </x:c>
    </x:row>
    <x:row r="725">
      <x:c r="A725" s="34" t="str">
        <x:v>randoop</x:v>
      </x:c>
      <x:c r="B725" s="34" t="str">
        <x:v>Math</x:v>
      </x:c>
      <x:c r="C725" s="34" t="str">
        <x:v>Round1</x:v>
      </x:c>
      <x:c r="D725" s="34" t="str">
        <x:v>Math_40</x:v>
      </x:c>
      <x:c r="E725" s="34" t="str">
        <x:v>Coverage</x:v>
      </x:c>
      <x:c r="F725" s="34" t="n">
        <x:v>192</x:v>
      </x:c>
      <x:c r="G725" s="34" t="str">
        <x:v>RECORDED</x:v>
      </x:c>
      <x:c r="H725" s="38" t="n">
        <x:f>IF(ISNUMBER('Data'!G725),'Data'!G725*100,"")</x:f>
        <x:v>19.27</x:v>
      </x:c>
      <x:c r="I725" s="34" t="str">
        <x:v>PASS</x:v>
      </x:c>
      <x:c r="J725" s="34" t="str">
        <x:v>PASS</x:v>
      </x:c>
      <x:c r="K725" s="34" t="str">
        <x:v>PASS</x:v>
      </x:c>
      <x:c r="L725" s="34" t="str">
        <x:v>PASS</x:v>
      </x:c>
      <x:c r="M725" s="34" t="str">
        <x:v>numeric coverage for applicable metric</x:v>
      </x:c>
      <x:c r="N725" s="34" t="str">
        <x:v>Feedback-Directed Random Test Generation/Result/Math_40/result.json</x:v>
      </x:c>
      <x:c r="O725" s="38" t="n">
        <x:f>IF(AND(G725="RECORDED",ISNUMBER(H725)),H725,"")</x:f>
        <x:v>19.27</x:v>
      </x:c>
      <x:c r="P725" s="34" t="str">
        <x:v>NOT_REVEALING</x:v>
      </x:c>
      <x:c r="Q725" s="34" t="str">
        <x:v>Feedback-Directed Random Test Generation/Result/Math_40/result.json</x:v>
      </x:c>
    </x:row>
    <x:row r="726">
      <x:c r="A726" s="34" t="str">
        <x:v>randoop</x:v>
      </x:c>
      <x:c r="B726" s="34" t="str">
        <x:v>Math</x:v>
      </x:c>
      <x:c r="C726" s="34" t="str">
        <x:v>Round1</x:v>
      </x:c>
      <x:c r="D726" s="34" t="str">
        <x:v>Math_41</x:v>
      </x:c>
      <x:c r="E726" s="34" t="str">
        <x:v>Coverage</x:v>
      </x:c>
      <x:c r="F726" s="34" t="n">
        <x:v>158</x:v>
      </x:c>
      <x:c r="G726" s="34" t="str">
        <x:v>RECORDED</x:v>
      </x:c>
      <x:c r="H726" s="38" t="n">
        <x:f>IF(ISNUMBER('Data'!G726),'Data'!G726*100,"")</x:f>
        <x:v>74.68</x:v>
      </x:c>
      <x:c r="I726" s="34" t="str">
        <x:v>PASS</x:v>
      </x:c>
      <x:c r="J726" s="34" t="str">
        <x:v>PASS</x:v>
      </x:c>
      <x:c r="K726" s="34" t="str">
        <x:v>PASS</x:v>
      </x:c>
      <x:c r="L726" s="34" t="str">
        <x:v>PASS</x:v>
      </x:c>
      <x:c r="M726" s="34" t="str">
        <x:v>numeric coverage for applicable metric</x:v>
      </x:c>
      <x:c r="N726" s="34" t="str">
        <x:v>Feedback-Directed Random Test Generation/Result/Math_41/result.json</x:v>
      </x:c>
      <x:c r="O726" s="38" t="n">
        <x:f>IF(AND(G726="RECORDED",ISNUMBER(H726)),H726,"")</x:f>
        <x:v>74.68</x:v>
      </x:c>
      <x:c r="P726" s="34" t="str">
        <x:v>NOT_REVEALING</x:v>
      </x:c>
      <x:c r="Q726" s="34" t="str">
        <x:v>Feedback-Directed Random Test Generation/Result/Math_41/result.json</x:v>
      </x:c>
    </x:row>
    <x:row r="727">
      <x:c r="A727" s="34" t="str">
        <x:v>randoop</x:v>
      </x:c>
      <x:c r="B727" s="34" t="str">
        <x:v>Math</x:v>
      </x:c>
      <x:c r="C727" s="34" t="str">
        <x:v>Round1</x:v>
      </x:c>
      <x:c r="D727" s="34" t="str">
        <x:v>Math_42</x:v>
      </x:c>
      <x:c r="E727" s="34" t="str">
        <x:v>Coverage</x:v>
      </x:c>
      <x:c r="F727" s="34" t="n">
        <x:v>303</x:v>
      </x:c>
      <x:c r="G727" s="34" t="str">
        <x:v>RECORDED</x:v>
      </x:c>
      <x:c r="H727" s="38" t="n">
        <x:f>IF(ISNUMBER('Data'!G727),'Data'!G727*100,"")</x:f>
        <x:v>4.95</x:v>
      </x:c>
      <x:c r="I727" s="34" t="str">
        <x:v>PASS</x:v>
      </x:c>
      <x:c r="J727" s="34" t="str">
        <x:v>PASS</x:v>
      </x:c>
      <x:c r="K727" s="34" t="str">
        <x:v>PASS</x:v>
      </x:c>
      <x:c r="L727" s="34" t="str">
        <x:v>PASS</x:v>
      </x:c>
      <x:c r="M727" s="34" t="str">
        <x:v>numeric coverage for applicable metric</x:v>
      </x:c>
      <x:c r="N727" s="34" t="str">
        <x:v>Feedback-Directed Random Test Generation/Result/Math_42/result.json</x:v>
      </x:c>
      <x:c r="O727" s="38" t="n">
        <x:f>IF(AND(G727="RECORDED",ISNUMBER(H727)),H727,"")</x:f>
        <x:v>4.95</x:v>
      </x:c>
      <x:c r="P727" s="34" t="str">
        <x:v>NOT_REVEALING</x:v>
      </x:c>
      <x:c r="Q727" s="34" t="str">
        <x:v>Feedback-Directed Random Test Generation/Result/Math_42/result.json</x:v>
      </x:c>
    </x:row>
    <x:row r="728">
      <x:c r="A728" s="34" t="str">
        <x:v>randoop</x:v>
      </x:c>
      <x:c r="B728" s="34" t="str">
        <x:v>Math</x:v>
      </x:c>
      <x:c r="C728" s="34" t="str">
        <x:v>Round1</x:v>
      </x:c>
      <x:c r="D728" s="34" t="str">
        <x:v>Math_43</x:v>
      </x:c>
      <x:c r="E728" s="34" t="str">
        <x:v>Coverage</x:v>
      </x:c>
      <x:c r="F728" s="34" t="n">
        <x:v>250</x:v>
      </x:c>
      <x:c r="G728" s="34" t="str">
        <x:v>RECORDED</x:v>
      </x:c>
      <x:c r="H728" s="38" t="n">
        <x:f>IF(ISNUMBER('Data'!G728),'Data'!G728*100,"")</x:f>
        <x:v>94.8</x:v>
      </x:c>
      <x:c r="I728" s="34" t="str">
        <x:v>PASS</x:v>
      </x:c>
      <x:c r="J728" s="34" t="str">
        <x:v>PASS</x:v>
      </x:c>
      <x:c r="K728" s="34" t="str">
        <x:v>PASS</x:v>
      </x:c>
      <x:c r="L728" s="34" t="str">
        <x:v>FAIL</x:v>
      </x:c>
      <x:c r="M728" s="34" t="str">
        <x:v>numeric coverage for applicable metric</x:v>
      </x:c>
      <x:c r="N728" s="34" t="str">
        <x:v>Feedback-Directed Random Test Generation/Result/Math_43/result.json</x:v>
      </x:c>
      <x:c r="O728" s="38" t="n">
        <x:f>IF(AND(G728="RECORDED",ISNUMBER(H728)),H728,"")</x:f>
        <x:v>94.8</x:v>
      </x:c>
      <x:c r="P728" s="34" t="str">
        <x:v>INCONCLUSIVE</x:v>
      </x:c>
      <x:c r="Q728" s="34" t="str">
        <x:v>Feedback-Directed Random Test Generation/Result/Math_43/result.json</x:v>
      </x:c>
    </x:row>
    <x:row r="729">
      <x:c r="A729" s="34" t="str">
        <x:v>randoop</x:v>
      </x:c>
      <x:c r="B729" s="34" t="str">
        <x:v>Math</x:v>
      </x:c>
      <x:c r="C729" s="34" t="str">
        <x:v>Round1</x:v>
      </x:c>
      <x:c r="D729" s="34" t="str">
        <x:v>Math_44</x:v>
      </x:c>
      <x:c r="E729" s="34" t="str">
        <x:v>Coverage</x:v>
      </x:c>
      <x:c r="F729" s="34" t="n">
        <x:v>159</x:v>
      </x:c>
      <x:c r="G729" s="34" t="str">
        <x:v>RECORDED</x:v>
      </x:c>
      <x:c r="H729" s="38" t="n">
        <x:f>IF(ISNUMBER('Data'!G729),'Data'!G729*100,"")</x:f>
        <x:v>0</x:v>
      </x:c>
      <x:c r="I729" s="34" t="str">
        <x:v>PASS</x:v>
      </x:c>
      <x:c r="J729" s="34" t="str">
        <x:v>PASS</x:v>
      </x:c>
      <x:c r="K729" s="34" t="str">
        <x:v>PASS</x:v>
      </x:c>
      <x:c r="L729" s="34" t="str">
        <x:v>PASS</x:v>
      </x:c>
      <x:c r="M729" s="34" t="str">
        <x:v>numeric coverage for applicable metric</x:v>
      </x:c>
      <x:c r="N729" s="34" t="str">
        <x:v>Feedback-Directed Random Test Generation/Result/Math_44/result.json</x:v>
      </x:c>
      <x:c r="O729" s="38" t="n">
        <x:f>IF(AND(G729="RECORDED",ISNUMBER(H729)),H729,"")</x:f>
        <x:v>0</x:v>
      </x:c>
      <x:c r="P729" s="34" t="str">
        <x:v>NOT_REVEALING</x:v>
      </x:c>
      <x:c r="Q729" s="34" t="str">
        <x:v>Feedback-Directed Random Test Generation/Result/Math_44/result.json</x:v>
      </x:c>
    </x:row>
    <x:row r="730">
      <x:c r="A730" s="34" t="str">
        <x:v>randoop</x:v>
      </x:c>
      <x:c r="B730" s="34" t="str">
        <x:v>Math</x:v>
      </x:c>
      <x:c r="C730" s="34" t="str">
        <x:v>Round1</x:v>
      </x:c>
      <x:c r="D730" s="34" t="str">
        <x:v>Math_45</x:v>
      </x:c>
      <x:c r="E730" s="34" t="str">
        <x:v>Coverage</x:v>
      </x:c>
      <x:c r="F730" s="34" t="n">
        <x:v>119</x:v>
      </x:c>
      <x:c r="G730" s="34" t="str">
        <x:v>RECORDED</x:v>
      </x:c>
      <x:c r="H730" s="38" t="n">
        <x:f>IF(ISNUMBER('Data'!G730),'Data'!G730*100,"")</x:f>
        <x:v>79.83</x:v>
      </x:c>
      <x:c r="I730" s="34" t="str">
        <x:v>PASS</x:v>
      </x:c>
      <x:c r="J730" s="34" t="str">
        <x:v>PASS</x:v>
      </x:c>
      <x:c r="K730" s="34" t="str">
        <x:v>PASS</x:v>
      </x:c>
      <x:c r="L730" s="34" t="str">
        <x:v>PASS</x:v>
      </x:c>
      <x:c r="M730" s="34" t="str">
        <x:v>numeric coverage for applicable metric</x:v>
      </x:c>
      <x:c r="N730" s="34" t="str">
        <x:v>Feedback-Directed Random Test Generation/Result/Math_45/result.json</x:v>
      </x:c>
      <x:c r="O730" s="38" t="n">
        <x:f>IF(AND(G730="RECORDED",ISNUMBER(H730)),H730,"")</x:f>
        <x:v>79.83</x:v>
      </x:c>
      <x:c r="P730" s="34" t="str">
        <x:v>NOT_REVEALING</x:v>
      </x:c>
      <x:c r="Q730" s="34" t="str">
        <x:v>Feedback-Directed Random Test Generation/Result/Math_45/result.json</x:v>
      </x:c>
    </x:row>
    <x:row r="731">
      <x:c r="A731" s="34" t="str">
        <x:v>randoop</x:v>
      </x:c>
      <x:c r="B731" s="34" t="str">
        <x:v>Math</x:v>
      </x:c>
      <x:c r="C731" s="34" t="str">
        <x:v>Round1</x:v>
      </x:c>
      <x:c r="D731" s="34" t="str">
        <x:v>Math_46</x:v>
      </x:c>
      <x:c r="E731" s="34" t="str">
        <x:v>Coverage</x:v>
      </x:c>
      <x:c r="F731" s="34" t="n">
        <x:v>350</x:v>
      </x:c>
      <x:c r="G731" s="34" t="str">
        <x:v>RECORDED</x:v>
      </x:c>
      <x:c r="H731" s="38" t="n">
        <x:f>IF(ISNUMBER('Data'!G731),'Data'!G731*100,"")</x:f>
        <x:v>97.14</x:v>
      </x:c>
      <x:c r="I731" s="34" t="str">
        <x:v>PASS</x:v>
      </x:c>
      <x:c r="J731" s="34" t="str">
        <x:v>PASS</x:v>
      </x:c>
      <x:c r="K731" s="34" t="str">
        <x:v>PASS</x:v>
      </x:c>
      <x:c r="L731" s="34" t="str">
        <x:v>FAIL</x:v>
      </x:c>
      <x:c r="M731" s="34" t="str">
        <x:v>numeric coverage for applicable metric</x:v>
      </x:c>
      <x:c r="N731" s="34" t="str">
        <x:v>Feedback-Directed Random Test Generation/Result/Math_46/result.json</x:v>
      </x:c>
      <x:c r="O731" s="38" t="n">
        <x:f>IF(AND(G731="RECORDED",ISNUMBER(H731)),H731,"")</x:f>
        <x:v>97.14</x:v>
      </x:c>
      <x:c r="P731" s="34" t="str">
        <x:v>INCONCLUSIVE</x:v>
      </x:c>
      <x:c r="Q731" s="34" t="str">
        <x:v>Feedback-Directed Random Test Generation/Result/Math_46/result.json</x:v>
      </x:c>
    </x:row>
    <x:row r="732">
      <x:c r="A732" s="34" t="str">
        <x:v>randoop</x:v>
      </x:c>
      <x:c r="B732" s="34" t="str">
        <x:v>Math</x:v>
      </x:c>
      <x:c r="C732" s="34" t="str">
        <x:v>Round1</x:v>
      </x:c>
      <x:c r="D732" s="34" t="str">
        <x:v>Math_47</x:v>
      </x:c>
      <x:c r="E732" s="34" t="str">
        <x:v>Coverage</x:v>
      </x:c>
      <x:c r="F732" s="34" t="n">
        <x:v>343</x:v>
      </x:c>
      <x:c r="G732" s="34" t="str">
        <x:v>RECORDED</x:v>
      </x:c>
      <x:c r="H732" s="38" t="n">
        <x:f>IF(ISNUMBER('Data'!G732),'Data'!G732*100,"")</x:f>
        <x:v>96.21</x:v>
      </x:c>
      <x:c r="I732" s="34" t="str">
        <x:v>PASS</x:v>
      </x:c>
      <x:c r="J732" s="34" t="str">
        <x:v>PASS</x:v>
      </x:c>
      <x:c r="K732" s="34" t="str">
        <x:v>PASS</x:v>
      </x:c>
      <x:c r="L732" s="34" t="str">
        <x:v>FAIL</x:v>
      </x:c>
      <x:c r="M732" s="34" t="str">
        <x:v>numeric coverage for applicable metric</x:v>
      </x:c>
      <x:c r="N732" s="34" t="str">
        <x:v>Feedback-Directed Random Test Generation/Result/Math_47/result.json</x:v>
      </x:c>
      <x:c r="O732" s="38" t="n">
        <x:f>IF(AND(G732="RECORDED",ISNUMBER(H732)),H732,"")</x:f>
        <x:v>96.21</x:v>
      </x:c>
      <x:c r="P732" s="34" t="str">
        <x:v>INCONCLUSIVE</x:v>
      </x:c>
      <x:c r="Q732" s="34" t="str">
        <x:v>Feedback-Directed Random Test Generation/Result/Math_47/result.json</x:v>
      </x:c>
    </x:row>
    <x:row r="733">
      <x:c r="A733" s="34" t="str">
        <x:v>randoop</x:v>
      </x:c>
      <x:c r="B733" s="34" t="str">
        <x:v>Math</x:v>
      </x:c>
      <x:c r="C733" s="34" t="str">
        <x:v>Round1</x:v>
      </x:c>
      <x:c r="D733" s="34" t="str">
        <x:v>Math_48</x:v>
      </x:c>
      <x:c r="E733" s="34" t="str">
        <x:v>Coverage</x:v>
      </x:c>
      <x:c r="F733" s="34" t="n">
        <x:v>119</x:v>
      </x:c>
      <x:c r="G733" s="34" t="str">
        <x:v>RECORDED</x:v>
      </x:c>
      <x:c r="H733" s="38" t="n">
        <x:f>IF(ISNUMBER('Data'!G733),'Data'!G733*100,"")</x:f>
        <x:v>3.36</x:v>
      </x:c>
      <x:c r="I733" s="34" t="str">
        <x:v>PASS</x:v>
      </x:c>
      <x:c r="J733" s="34" t="str">
        <x:v>PASS</x:v>
      </x:c>
      <x:c r="K733" s="34" t="str">
        <x:v>PASS</x:v>
      </x:c>
      <x:c r="L733" s="34" t="str">
        <x:v>PASS</x:v>
      </x:c>
      <x:c r="M733" s="34" t="str">
        <x:v>numeric coverage for applicable metric</x:v>
      </x:c>
      <x:c r="N733" s="34" t="str">
        <x:v>Feedback-Directed Random Test Generation/Result/Math_48/result.json</x:v>
      </x:c>
      <x:c r="O733" s="38" t="n">
        <x:f>IF(AND(G733="RECORDED",ISNUMBER(H733)),H733,"")</x:f>
        <x:v>3.36</x:v>
      </x:c>
      <x:c r="P733" s="34" t="str">
        <x:v>NOT_REVEALING</x:v>
      </x:c>
      <x:c r="Q733" s="34" t="str">
        <x:v>Feedback-Directed Random Test Generation/Result/Math_48/result.json</x:v>
      </x:c>
    </x:row>
    <x:row r="734">
      <x:c r="A734" s="34" t="str">
        <x:v>randoop</x:v>
      </x:c>
      <x:c r="B734" s="34" t="str">
        <x:v>Math</x:v>
      </x:c>
      <x:c r="C734" s="34" t="str">
        <x:v>Round1</x:v>
      </x:c>
      <x:c r="D734" s="34" t="str">
        <x:v>Math_49</x:v>
      </x:c>
      <x:c r="E734" s="34" t="str">
        <x:v>Coverage</x:v>
      </x:c>
      <x:c r="F734" s="34" t="n">
        <x:v>530</x:v>
      </x:c>
      <x:c r="G734" s="34" t="str">
        <x:v>RECORDED</x:v>
      </x:c>
      <x:c r="H734" s="38" t="n">
        <x:f>IF(ISNUMBER('Data'!G734),'Data'!G734*100,"")</x:f>
        <x:v>68.68</x:v>
      </x:c>
      <x:c r="I734" s="34" t="str">
        <x:v>PASS</x:v>
      </x:c>
      <x:c r="J734" s="34" t="str">
        <x:v>PASS</x:v>
      </x:c>
      <x:c r="K734" s="34" t="str">
        <x:v>PASS</x:v>
      </x:c>
      <x:c r="L734" s="34" t="str">
        <x:v>FAIL</x:v>
      </x:c>
      <x:c r="M734" s="34" t="str">
        <x:v>numeric coverage for applicable metric</x:v>
      </x:c>
      <x:c r="N734" s="34" t="str">
        <x:v>Feedback-Directed Random Test Generation/Result/Math_49/result.json</x:v>
      </x:c>
      <x:c r="O734" s="38" t="n">
        <x:f>IF(AND(G734="RECORDED",ISNUMBER(H734)),H734,"")</x:f>
        <x:v>68.68</x:v>
      </x:c>
      <x:c r="P734" s="34" t="str">
        <x:v>INCONCLUSIVE</x:v>
      </x:c>
      <x:c r="Q734" s="34" t="str">
        <x:v>Feedback-Directed Random Test Generation/Result/Math_49/result.json</x:v>
      </x:c>
    </x:row>
    <x:row r="735">
      <x:c r="A735" s="34" t="str">
        <x:v>randoop</x:v>
      </x:c>
      <x:c r="B735" s="34" t="str">
        <x:v>Math</x:v>
      </x:c>
      <x:c r="C735" s="34" t="str">
        <x:v>Round1</x:v>
      </x:c>
      <x:c r="D735" s="34" t="str">
        <x:v>Math_50</x:v>
      </x:c>
      <x:c r="E735" s="34" t="str">
        <x:v>Coverage</x:v>
      </x:c>
      <x:c r="F735" s="34" t="n">
        <x:v>123</x:v>
      </x:c>
      <x:c r="G735" s="34" t="str">
        <x:v>RECORDED</x:v>
      </x:c>
      <x:c r="H735" s="38" t="n">
        <x:f>IF(ISNUMBER('Data'!G735),'Data'!G735*100,"")</x:f>
        <x:v>3.25</x:v>
      </x:c>
      <x:c r="I735" s="34" t="str">
        <x:v>PASS</x:v>
      </x:c>
      <x:c r="J735" s="34" t="str">
        <x:v>PASS</x:v>
      </x:c>
      <x:c r="K735" s="34" t="str">
        <x:v>PASS</x:v>
      </x:c>
      <x:c r="L735" s="34" t="str">
        <x:v>PASS</x:v>
      </x:c>
      <x:c r="M735" s="34" t="str">
        <x:v>numeric coverage for applicable metric</x:v>
      </x:c>
      <x:c r="N735" s="34" t="str">
        <x:v>Feedback-Directed Random Test Generation/Result/Math_50/result.json</x:v>
      </x:c>
      <x:c r="O735" s="38" t="n">
        <x:f>IF(AND(G735="RECORDED",ISNUMBER(H735)),H735,"")</x:f>
        <x:v>3.25</x:v>
      </x:c>
      <x:c r="P735" s="34" t="str">
        <x:v>NOT_REVEALING</x:v>
      </x:c>
      <x:c r="Q735" s="34" t="str">
        <x:v>Feedback-Directed Random Test Generation/Result/Math_50/result.json</x:v>
      </x:c>
    </x:row>
    <x:row r="736">
      <x:c r="A736" s="34" t="str">
        <x:v>randoop</x:v>
      </x:c>
      <x:c r="B736" s="34" t="str">
        <x:v>Math</x:v>
      </x:c>
      <x:c r="C736" s="34" t="str">
        <x:v>Round1</x:v>
      </x:c>
      <x:c r="D736" s="34" t="str">
        <x:v>Math_51</x:v>
      </x:c>
      <x:c r="E736" s="34" t="str">
        <x:v>Coverage</x:v>
      </x:c>
      <x:c r="F736" s="34" t="n">
        <x:v>116</x:v>
      </x:c>
      <x:c r="G736" s="34" t="str">
        <x:v>RECORDED</x:v>
      </x:c>
      <x:c r="H736" s="38" t="n">
        <x:f>IF(ISNUMBER('Data'!G736),'Data'!G736*100,"")</x:f>
        <x:v>3.45</x:v>
      </x:c>
      <x:c r="I736" s="34" t="str">
        <x:v>PASS</x:v>
      </x:c>
      <x:c r="J736" s="34" t="str">
        <x:v>PASS</x:v>
      </x:c>
      <x:c r="K736" s="34" t="str">
        <x:v>PASS</x:v>
      </x:c>
      <x:c r="L736" s="34" t="str">
        <x:v>PASS</x:v>
      </x:c>
      <x:c r="M736" s="34" t="str">
        <x:v>numeric coverage for applicable metric</x:v>
      </x:c>
      <x:c r="N736" s="34" t="str">
        <x:v>Feedback-Directed Random Test Generation/Result/Math_51/result.json</x:v>
      </x:c>
      <x:c r="O736" s="38" t="n">
        <x:f>IF(AND(G736="RECORDED",ISNUMBER(H736)),H736,"")</x:f>
        <x:v>3.45</x:v>
      </x:c>
      <x:c r="P736" s="34" t="str">
        <x:v>NOT_REVEALING</x:v>
      </x:c>
      <x:c r="Q736" s="34" t="str">
        <x:v>Feedback-Directed Random Test Generation/Result/Math_51/result.json</x:v>
      </x:c>
    </x:row>
    <x:row r="737">
      <x:c r="A737" s="34" t="str">
        <x:v>randoop</x:v>
      </x:c>
      <x:c r="B737" s="34" t="str">
        <x:v>Math</x:v>
      </x:c>
      <x:c r="C737" s="34" t="str">
        <x:v>Round1</x:v>
      </x:c>
      <x:c r="D737" s="34" t="str">
        <x:v>Math_52</x:v>
      </x:c>
      <x:c r="E737" s="34" t="str">
        <x:v>Coverage</x:v>
      </x:c>
      <x:c r="F737" s="34" t="n">
        <x:v>489</x:v>
      </x:c>
      <x:c r="G737" s="34" t="str">
        <x:v>RECORDED</x:v>
      </x:c>
      <x:c r="H737" s="38" t="n">
        <x:f>IF(ISNUMBER('Data'!G737),'Data'!G737*100,"")</x:f>
        <x:v>61.75999999999999</x:v>
      </x:c>
      <x:c r="I737" s="34" t="str">
        <x:v>PASS</x:v>
      </x:c>
      <x:c r="J737" s="34" t="str">
        <x:v>PASS</x:v>
      </x:c>
      <x:c r="K737" s="34" t="str">
        <x:v>PASS</x:v>
      </x:c>
      <x:c r="L737" s="34" t="str">
        <x:v>FAIL</x:v>
      </x:c>
      <x:c r="M737" s="34" t="str">
        <x:v>numeric coverage for applicable metric</x:v>
      </x:c>
      <x:c r="N737" s="34" t="str">
        <x:v>Feedback-Directed Random Test Generation/Result/Math_52/result.json</x:v>
      </x:c>
      <x:c r="O737" s="38" t="n">
        <x:f>IF(AND(G737="RECORDED",ISNUMBER(H737)),H737,"")</x:f>
        <x:v>61.75999999999999</x:v>
      </x:c>
      <x:c r="P737" s="34" t="str">
        <x:v>INCONCLUSIVE</x:v>
      </x:c>
      <x:c r="Q737" s="34" t="str">
        <x:v>Feedback-Directed Random Test Generation/Result/Math_52/result.json</x:v>
      </x:c>
    </x:row>
    <x:row r="738">
      <x:c r="A738" s="34" t="str">
        <x:v>randoop</x:v>
      </x:c>
      <x:c r="B738" s="34" t="str">
        <x:v>Math</x:v>
      </x:c>
      <x:c r="C738" s="34" t="str">
        <x:v>Round1</x:v>
      </x:c>
      <x:c r="D738" s="34" t="str">
        <x:v>Math_53</x:v>
      </x:c>
      <x:c r="E738" s="34" t="str">
        <x:v>Coverage</x:v>
      </x:c>
      <x:c r="F738" s="34" t="n">
        <x:v>284</x:v>
      </x:c>
      <x:c r="G738" s="34" t="str">
        <x:v>RECORDED</x:v>
      </x:c>
      <x:c r="H738" s="38" t="n">
        <x:f>IF(ISNUMBER('Data'!G738),'Data'!G738*100,"")</x:f>
        <x:v>96.83</x:v>
      </x:c>
      <x:c r="I738" s="34" t="str">
        <x:v>PASS</x:v>
      </x:c>
      <x:c r="J738" s="34" t="str">
        <x:v>PASS</x:v>
      </x:c>
      <x:c r="K738" s="34" t="str">
        <x:v>PASS</x:v>
      </x:c>
      <x:c r="L738" s="34" t="str">
        <x:v>FAIL</x:v>
      </x:c>
      <x:c r="M738" s="34" t="str">
        <x:v>numeric coverage for applicable metric</x:v>
      </x:c>
      <x:c r="N738" s="34" t="str">
        <x:v>Feedback-Directed Random Test Generation/Result/Math_53/result.json</x:v>
      </x:c>
      <x:c r="O738" s="38" t="n">
        <x:f>IF(AND(G738="RECORDED",ISNUMBER(H738)),H738,"")</x:f>
        <x:v>96.83</x:v>
      </x:c>
      <x:c r="P738" s="34" t="str">
        <x:v>INCONCLUSIVE</x:v>
      </x:c>
      <x:c r="Q738" s="34" t="str">
        <x:v>Feedback-Directed Random Test Generation/Result/Math_53/result.json</x:v>
      </x:c>
    </x:row>
    <x:row r="739">
      <x:c r="A739" s="34" t="str">
        <x:v>randoop</x:v>
      </x:c>
      <x:c r="B739" s="34" t="str">
        <x:v>Math</x:v>
      </x:c>
      <x:c r="C739" s="34" t="str">
        <x:v>Round1</x:v>
      </x:c>
      <x:c r="D739" s="34" t="str">
        <x:v>Math_54</x:v>
      </x:c>
      <x:c r="E739" s="34" t="str">
        <x:v>Coverage</x:v>
      </x:c>
      <x:c r="F739" s="34" t="n">
        <x:v>1690</x:v>
      </x:c>
      <x:c r="G739" s="34" t="str">
        <x:v>RECORDED</x:v>
      </x:c>
      <x:c r="H739" s="38" t="n">
        <x:f>IF(ISNUMBER('Data'!G739),'Data'!G739*100,"")</x:f>
        <x:v>0.95</x:v>
      </x:c>
      <x:c r="I739" s="34" t="str">
        <x:v>PASS</x:v>
      </x:c>
      <x:c r="J739" s="34" t="str">
        <x:v>PASS</x:v>
      </x:c>
      <x:c r="K739" s="34" t="str">
        <x:v>PASS</x:v>
      </x:c>
      <x:c r="L739" s="34" t="str">
        <x:v>PASS</x:v>
      </x:c>
      <x:c r="M739" s="34" t="str">
        <x:v>numeric coverage for applicable metric</x:v>
      </x:c>
      <x:c r="N739" s="34" t="str">
        <x:v>Feedback-Directed Random Test Generation/Result/Math_54/result.json</x:v>
      </x:c>
      <x:c r="O739" s="38" t="n">
        <x:f>IF(AND(G739="RECORDED",ISNUMBER(H739)),H739,"")</x:f>
        <x:v>0.95</x:v>
      </x:c>
      <x:c r="P739" s="34" t="str">
        <x:v>NOT_REVEALING</x:v>
      </x:c>
      <x:c r="Q739" s="34" t="str">
        <x:v>Feedback-Directed Random Test Generation/Result/Math_54/result.json</x:v>
      </x:c>
    </x:row>
    <x:row r="740">
      <x:c r="A740" s="34" t="str">
        <x:v>randoop</x:v>
      </x:c>
      <x:c r="B740" s="34" t="str">
        <x:v>Math</x:v>
      </x:c>
      <x:c r="C740" s="34" t="str">
        <x:v>Round1</x:v>
      </x:c>
      <x:c r="D740" s="34" t="str">
        <x:v>Math_55</x:v>
      </x:c>
      <x:c r="E740" s="34" t="str">
        <x:v>Coverage</x:v>
      </x:c>
      <x:c r="F740" s="34" t="n">
        <x:v>164</x:v>
      </x:c>
      <x:c r="G740" s="34" t="str">
        <x:v>RECORDED</x:v>
      </x:c>
      <x:c r="H740" s="38" t="n">
        <x:f>IF(ISNUMBER('Data'!G740),'Data'!G740*100,"")</x:f>
        <x:v>95.12</x:v>
      </x:c>
      <x:c r="I740" s="34" t="str">
        <x:v>PASS</x:v>
      </x:c>
      <x:c r="J740" s="34" t="str">
        <x:v>PASS</x:v>
      </x:c>
      <x:c r="K740" s="34" t="str">
        <x:v>PASS</x:v>
      </x:c>
      <x:c r="L740" s="34" t="str">
        <x:v>FAIL</x:v>
      </x:c>
      <x:c r="M740" s="34" t="str">
        <x:v>numeric coverage for applicable metric</x:v>
      </x:c>
      <x:c r="N740" s="34" t="str">
        <x:v>Feedback-Directed Random Test Generation/Result/Math_55/result.json</x:v>
      </x:c>
      <x:c r="O740" s="38" t="n">
        <x:f>IF(AND(G740="RECORDED",ISNUMBER(H740)),H740,"")</x:f>
        <x:v>95.12</x:v>
      </x:c>
      <x:c r="P740" s="34" t="str">
        <x:v>INCONCLUSIVE</x:v>
      </x:c>
      <x:c r="Q740" s="34" t="str">
        <x:v>Feedback-Directed Random Test Generation/Result/Math_55/result.json</x:v>
      </x:c>
    </x:row>
    <x:row r="741">
      <x:c r="A741" s="34" t="str">
        <x:v>randoop</x:v>
      </x:c>
      <x:c r="B741" s="34" t="str">
        <x:v>Math</x:v>
      </x:c>
      <x:c r="C741" s="34" t="str">
        <x:v>Round1</x:v>
      </x:c>
      <x:c r="D741" s="34" t="str">
        <x:v>Math_56</x:v>
      </x:c>
      <x:c r="E741" s="34" t="str">
        <x:v>Coverage</x:v>
      </x:c>
      <x:c r="F741" s="34" t="n">
        <x:v>109</x:v>
      </x:c>
      <x:c r="G741" s="34" t="str">
        <x:v>RECORDED</x:v>
      </x:c>
      <x:c r="H741" s="38" t="n">
        <x:f>IF(ISNUMBER('Data'!G741),'Data'!G741*100,"")</x:f>
        <x:v>95.41</x:v>
      </x:c>
      <x:c r="I741" s="34" t="str">
        <x:v>PASS</x:v>
      </x:c>
      <x:c r="J741" s="34" t="str">
        <x:v>PASS</x:v>
      </x:c>
      <x:c r="K741" s="34" t="str">
        <x:v>PASS</x:v>
      </x:c>
      <x:c r="L741" s="34" t="str">
        <x:v>PASS</x:v>
      </x:c>
      <x:c r="M741" s="34" t="str">
        <x:v>numeric coverage for applicable metric</x:v>
      </x:c>
      <x:c r="N741" s="34" t="str">
        <x:v>Feedback-Directed Random Test Generation/Result/Math_56/result.json</x:v>
      </x:c>
      <x:c r="O741" s="38" t="n">
        <x:f>IF(AND(G741="RECORDED",ISNUMBER(H741)),H741,"")</x:f>
        <x:v>95.41</x:v>
      </x:c>
      <x:c r="P741" s="34" t="str">
        <x:v>INCONCLUSIVE</x:v>
      </x:c>
      <x:c r="Q741" s="34" t="str">
        <x:v>Feedback-Directed Random Test Generation/Result/Math_56/result.json</x:v>
      </x:c>
    </x:row>
    <x:row r="742">
      <x:c r="A742" s="34" t="str">
        <x:v>randoop</x:v>
      </x:c>
      <x:c r="B742" s="34" t="str">
        <x:v>Math</x:v>
      </x:c>
      <x:c r="C742" s="34" t="str">
        <x:v>Round1</x:v>
      </x:c>
      <x:c r="D742" s="34" t="str">
        <x:v>Math_57</x:v>
      </x:c>
      <x:c r="E742" s="34" t="str">
        <x:v>Coverage</x:v>
      </x:c>
      <x:c r="F742" s="34" t="n">
        <x:v>174</x:v>
      </x:c>
      <x:c r="G742" s="34" t="str">
        <x:v>RECORDED</x:v>
      </x:c>
      <x:c r="H742" s="38" t="n">
        <x:f>IF(ISNUMBER('Data'!G742),'Data'!G742*100,"")</x:f>
        <x:v>2.87</x:v>
      </x:c>
      <x:c r="I742" s="34" t="str">
        <x:v>PASS</x:v>
      </x:c>
      <x:c r="J742" s="34" t="str">
        <x:v>PASS</x:v>
      </x:c>
      <x:c r="K742" s="34" t="str">
        <x:v>PASS</x:v>
      </x:c>
      <x:c r="L742" s="34" t="str">
        <x:v>PASS</x:v>
      </x:c>
      <x:c r="M742" s="34" t="str">
        <x:v>numeric coverage for applicable metric</x:v>
      </x:c>
      <x:c r="N742" s="34" t="str">
        <x:v>Feedback-Directed Random Test Generation/Result/Math_57/result.json</x:v>
      </x:c>
      <x:c r="O742" s="38" t="n">
        <x:f>IF(AND(G742="RECORDED",ISNUMBER(H742)),H742,"")</x:f>
        <x:v>2.87</x:v>
      </x:c>
      <x:c r="P742" s="34" t="str">
        <x:v>NOT_REVEALING</x:v>
      </x:c>
      <x:c r="Q742" s="34" t="str">
        <x:v>Feedback-Directed Random Test Generation/Result/Math_57/result.json</x:v>
      </x:c>
    </x:row>
    <x:row r="743">
      <x:c r="A743" s="34" t="str">
        <x:v>randoop</x:v>
      </x:c>
      <x:c r="B743" s="34" t="str">
        <x:v>Math</x:v>
      </x:c>
      <x:c r="C743" s="34" t="str">
        <x:v>Round1</x:v>
      </x:c>
      <x:c r="D743" s="34" t="str">
        <x:v>Math_58</x:v>
      </x:c>
      <x:c r="E743" s="34" t="str">
        <x:v>Coverage</x:v>
      </x:c>
      <x:c r="F743" s="34" t="n">
        <x:v>154</x:v>
      </x:c>
      <x:c r="G743" s="34" t="str">
        <x:v>RECORDED</x:v>
      </x:c>
      <x:c r="H743" s="38" t="n">
        <x:f>IF(ISNUMBER('Data'!G743),'Data'!G743*100,"")</x:f>
        <x:v>90.26</x:v>
      </x:c>
      <x:c r="I743" s="34" t="str">
        <x:v>PASS</x:v>
      </x:c>
      <x:c r="J743" s="34" t="str">
        <x:v>PASS</x:v>
      </x:c>
      <x:c r="K743" s="34" t="str">
        <x:v>PASS</x:v>
      </x:c>
      <x:c r="L743" s="34" t="str">
        <x:v>PASS</x:v>
      </x:c>
      <x:c r="M743" s="34" t="str">
        <x:v>numeric coverage for applicable metric</x:v>
      </x:c>
      <x:c r="N743" s="34" t="str">
        <x:v>Feedback-Directed Random Test Generation/Result/Math_58/result.json</x:v>
      </x:c>
      <x:c r="O743" s="38" t="n">
        <x:f>IF(AND(G743="RECORDED",ISNUMBER(H743)),H743,"")</x:f>
        <x:v>90.26</x:v>
      </x:c>
      <x:c r="P743" s="34" t="str">
        <x:v>NOT_REVEALING</x:v>
      </x:c>
      <x:c r="Q743" s="34" t="str">
        <x:v>Feedback-Directed Random Test Generation/Result/Math_58/result.json</x:v>
      </x:c>
    </x:row>
    <x:row r="744">
      <x:c r="A744" s="34" t="str">
        <x:v>randoop</x:v>
      </x:c>
      <x:c r="B744" s="34" t="str">
        <x:v>Math</x:v>
      </x:c>
      <x:c r="C744" s="34" t="str">
        <x:v>Round1</x:v>
      </x:c>
      <x:c r="D744" s="34" t="str">
        <x:v>Math_59</x:v>
      </x:c>
      <x:c r="E744" s="34" t="str">
        <x:v>Coverage</x:v>
      </x:c>
      <x:c r="F744" s="34" t="n">
        <x:v>2201</x:v>
      </x:c>
      <x:c r="G744" s="34" t="str">
        <x:v>RECORDED</x:v>
      </x:c>
      <x:c r="H744" s="38" t="n">
        <x:f>IF(ISNUMBER('Data'!G744),'Data'!G744*100,"")</x:f>
        <x:v>88.96</x:v>
      </x:c>
      <x:c r="I744" s="34" t="str">
        <x:v>PASS</x:v>
      </x:c>
      <x:c r="J744" s="34" t="str">
        <x:v>PASS</x:v>
      </x:c>
      <x:c r="K744" s="34" t="str">
        <x:v>PASS</x:v>
      </x:c>
      <x:c r="L744" s="34" t="str">
        <x:v>PASS</x:v>
      </x:c>
      <x:c r="M744" s="34" t="str">
        <x:v>numeric coverage for applicable metric</x:v>
      </x:c>
      <x:c r="N744" s="34" t="str">
        <x:v>Feedback-Directed Random Test Generation/Result/Math_59/result.json</x:v>
      </x:c>
      <x:c r="O744" s="38" t="n">
        <x:f>IF(AND(G744="RECORDED",ISNUMBER(H744)),H744,"")</x:f>
        <x:v>88.96</x:v>
      </x:c>
      <x:c r="P744" s="34" t="str">
        <x:v>INCONCLUSIVE</x:v>
      </x:c>
      <x:c r="Q744" s="34" t="str">
        <x:v>Feedback-Directed Random Test Generation/Result/Math_59/result.json</x:v>
      </x:c>
    </x:row>
    <x:row r="745">
      <x:c r="A745" s="34" t="str">
        <x:v>randoop</x:v>
      </x:c>
      <x:c r="B745" s="34" t="str">
        <x:v>Math</x:v>
      </x:c>
      <x:c r="C745" s="34" t="str">
        <x:v>Round1</x:v>
      </x:c>
      <x:c r="D745" s="34" t="str">
        <x:v>Math_60</x:v>
      </x:c>
      <x:c r="E745" s="34" t="str">
        <x:v>Coverage</x:v>
      </x:c>
      <x:c r="F745" s="34" t="n">
        <x:v>65</x:v>
      </x:c>
      <x:c r="G745" s="34" t="str">
        <x:v>RECORDED</x:v>
      </x:c>
      <x:c r="H745" s="38" t="n">
        <x:f>IF(ISNUMBER('Data'!G745),'Data'!G745*100,"")</x:f>
        <x:v>75.38</x:v>
      </x:c>
      <x:c r="I745" s="34" t="str">
        <x:v>PASS</x:v>
      </x:c>
      <x:c r="J745" s="34" t="str">
        <x:v>PASS</x:v>
      </x:c>
      <x:c r="K745" s="34" t="str">
        <x:v>PASS</x:v>
      </x:c>
      <x:c r="L745" s="34" t="str">
        <x:v>PASS</x:v>
      </x:c>
      <x:c r="M745" s="34" t="str">
        <x:v>numeric coverage for applicable metric</x:v>
      </x:c>
      <x:c r="N745" s="34" t="str">
        <x:v>Feedback-Directed Random Test Generation/Result/Math_60/result.json</x:v>
      </x:c>
      <x:c r="O745" s="38" t="n">
        <x:f>IF(AND(G745="RECORDED",ISNUMBER(H745)),H745,"")</x:f>
        <x:v>75.38</x:v>
      </x:c>
      <x:c r="P745" s="34" t="str">
        <x:v>NOT_REVEALING</x:v>
      </x:c>
      <x:c r="Q745" s="34" t="str">
        <x:v>Feedback-Directed Random Test Generation/Result/Math_60/result.json</x:v>
      </x:c>
    </x:row>
    <x:row r="746">
      <x:c r="A746" s="34" t="str">
        <x:v>randoop</x:v>
      </x:c>
      <x:c r="B746" s="34" t="str">
        <x:v>Math</x:v>
      </x:c>
      <x:c r="C746" s="34" t="str">
        <x:v>Round1</x:v>
      </x:c>
      <x:c r="D746" s="34" t="str">
        <x:v>Math_61</x:v>
      </x:c>
      <x:c r="E746" s="34" t="str">
        <x:v>Coverage</x:v>
      </x:c>
      <x:c r="F746" s="34" t="n">
        <x:v>46</x:v>
      </x:c>
      <x:c r="G746" s="34" t="str">
        <x:v>RECORDED</x:v>
      </x:c>
      <x:c r="H746" s="38" t="n">
        <x:f>IF(ISNUMBER('Data'!G746),'Data'!G746*100,"")</x:f>
        <x:v>86.96</x:v>
      </x:c>
      <x:c r="I746" s="34" t="str">
        <x:v>PASS</x:v>
      </x:c>
      <x:c r="J746" s="34" t="str">
        <x:v>PASS</x:v>
      </x:c>
      <x:c r="K746" s="34" t="str">
        <x:v>PASS</x:v>
      </x:c>
      <x:c r="L746" s="34" t="str">
        <x:v>PASS</x:v>
      </x:c>
      <x:c r="M746" s="34" t="str">
        <x:v>numeric coverage for applicable metric</x:v>
      </x:c>
      <x:c r="N746" s="34" t="str">
        <x:v>Feedback-Directed Random Test Generation/Result/Math_61/result.json</x:v>
      </x:c>
      <x:c r="O746" s="38" t="n">
        <x:f>IF(AND(G746="RECORDED",ISNUMBER(H746)),H746,"")</x:f>
        <x:v>86.96</x:v>
      </x:c>
      <x:c r="P746" s="34" t="str">
        <x:v>INCONCLUSIVE</x:v>
      </x:c>
      <x:c r="Q746" s="34" t="str">
        <x:v>Feedback-Directed Random Test Generation/Result/Math_61/result.json</x:v>
      </x:c>
    </x:row>
    <x:row r="747">
      <x:c r="A747" s="34" t="str">
        <x:v>randoop</x:v>
      </x:c>
      <x:c r="B747" s="34" t="str">
        <x:v>Math</x:v>
      </x:c>
      <x:c r="C747" s="34" t="str">
        <x:v>Round1</x:v>
      </x:c>
      <x:c r="D747" s="34" t="str">
        <x:v>Math_62</x:v>
      </x:c>
      <x:c r="E747" s="34" t="str">
        <x:v>Coverage</x:v>
      </x:c>
      <x:c r="F747" s="34" t="n">
        <x:v>65</x:v>
      </x:c>
      <x:c r="G747" s="34" t="str">
        <x:v>RECORDED</x:v>
      </x:c>
      <x:c r="H747" s="38" t="n">
        <x:f>IF(ISNUMBER('Data'!G747),'Data'!G747*100,"")</x:f>
        <x:v>0</x:v>
      </x:c>
      <x:c r="I747" s="34" t="str">
        <x:v>PASS</x:v>
      </x:c>
      <x:c r="J747" s="34" t="str">
        <x:v>PASS</x:v>
      </x:c>
      <x:c r="K747" s="34" t="str">
        <x:v>PASS</x:v>
      </x:c>
      <x:c r="L747" s="34" t="str">
        <x:v>PASS</x:v>
      </x:c>
      <x:c r="M747" s="34" t="str">
        <x:v>numeric coverage for applicable metric</x:v>
      </x:c>
      <x:c r="N747" s="34" t="str">
        <x:v>Feedback-Directed Random Test Generation/Result/Math_62/result.json</x:v>
      </x:c>
      <x:c r="O747" s="38" t="n">
        <x:f>IF(AND(G747="RECORDED",ISNUMBER(H747)),H747,"")</x:f>
        <x:v>0</x:v>
      </x:c>
      <x:c r="P747" s="34" t="str">
        <x:v>NOT_REVEALING</x:v>
      </x:c>
      <x:c r="Q747" s="34" t="str">
        <x:v>Feedback-Directed Random Test Generation/Result/Math_62/result.json</x:v>
      </x:c>
    </x:row>
    <x:row r="748">
      <x:c r="A748" s="34" t="str">
        <x:v>randoop</x:v>
      </x:c>
      <x:c r="B748" s="34" t="str">
        <x:v>Math</x:v>
      </x:c>
      <x:c r="C748" s="34" t="str">
        <x:v>Round1</x:v>
      </x:c>
      <x:c r="D748" s="34" t="str">
        <x:v>Math_63</x:v>
      </x:c>
      <x:c r="E748" s="34" t="str">
        <x:v>Coverage</x:v>
      </x:c>
      <x:c r="F748" s="34" t="n">
        <x:v>959</x:v>
      </x:c>
      <x:c r="G748" s="34" t="str">
        <x:v>RECORDED</x:v>
      </x:c>
      <x:c r="H748" s="38" t="n">
        <x:f>IF(ISNUMBER('Data'!G748),'Data'!G748*100,"")</x:f>
        <x:v>78.1</x:v>
      </x:c>
      <x:c r="I748" s="34" t="str">
        <x:v>PASS</x:v>
      </x:c>
      <x:c r="J748" s="34" t="str">
        <x:v>PASS</x:v>
      </x:c>
      <x:c r="K748" s="34" t="str">
        <x:v>PASS</x:v>
      </x:c>
      <x:c r="L748" s="34" t="str">
        <x:v>PASS</x:v>
      </x:c>
      <x:c r="M748" s="34" t="str">
        <x:v>numeric coverage for applicable metric</x:v>
      </x:c>
      <x:c r="N748" s="34" t="str">
        <x:v>Feedback-Directed Random Test Generation/Result/Math_63/result.json</x:v>
      </x:c>
      <x:c r="O748" s="38" t="n">
        <x:f>IF(AND(G748="RECORDED",ISNUMBER(H748)),H748,"")</x:f>
        <x:v>78.1</x:v>
      </x:c>
      <x:c r="P748" s="34" t="str">
        <x:v>NOT_REVEALING</x:v>
      </x:c>
      <x:c r="Q748" s="34" t="str">
        <x:v>Feedback-Directed Random Test Generation/Result/Math_63/result.json</x:v>
      </x:c>
    </x:row>
    <x:row r="749">
      <x:c r="A749" s="34" t="str">
        <x:v>randoop</x:v>
      </x:c>
      <x:c r="B749" s="34" t="str">
        <x:v>Math</x:v>
      </x:c>
      <x:c r="C749" s="34" t="str">
        <x:v>Round1</x:v>
      </x:c>
      <x:c r="D749" s="34" t="str">
        <x:v>Math_64</x:v>
      </x:c>
      <x:c r="E749" s="34" t="str">
        <x:v>Coverage</x:v>
      </x:c>
      <x:c r="F749" s="34" t="n">
        <x:v>542</x:v>
      </x:c>
      <x:c r="G749" s="34" t="str">
        <x:v>RECORDED</x:v>
      </x:c>
      <x:c r="H749" s="38" t="n">
        <x:f>IF(ISNUMBER('Data'!G749),'Data'!G749*100,"")</x:f>
        <x:v>6.27</x:v>
      </x:c>
      <x:c r="I749" s="34" t="str">
        <x:v>PASS</x:v>
      </x:c>
      <x:c r="J749" s="34" t="str">
        <x:v>PASS</x:v>
      </x:c>
      <x:c r="K749" s="34" t="str">
        <x:v>PASS</x:v>
      </x:c>
      <x:c r="L749" s="34" t="str">
        <x:v>FAIL</x:v>
      </x:c>
      <x:c r="M749" s="34" t="str">
        <x:v>numeric coverage for applicable metric</x:v>
      </x:c>
      <x:c r="N749" s="34" t="str">
        <x:v>Feedback-Directed Random Test Generation/Result/Math_64/result.json</x:v>
      </x:c>
      <x:c r="O749" s="38" t="n">
        <x:f>IF(AND(G749="RECORDED",ISNUMBER(H749)),H749,"")</x:f>
        <x:v>6.27</x:v>
      </x:c>
      <x:c r="P749" s="34" t="str">
        <x:v>INCONCLUSIVE</x:v>
      </x:c>
      <x:c r="Q749" s="34" t="str">
        <x:v>Feedback-Directed Random Test Generation/Result/Math_64/result.json</x:v>
      </x:c>
    </x:row>
    <x:row r="750">
      <x:c r="A750" s="34" t="str">
        <x:v>randoop</x:v>
      </x:c>
      <x:c r="B750" s="34" t="str">
        <x:v>Math</x:v>
      </x:c>
      <x:c r="C750" s="34" t="str">
        <x:v>Round1</x:v>
      </x:c>
      <x:c r="D750" s="34" t="str">
        <x:v>Math_65</x:v>
      </x:c>
      <x:c r="E750" s="34" t="str">
        <x:v>Coverage</x:v>
      </x:c>
      <x:c r="F750" s="34" t="n">
        <x:v>126</x:v>
      </x:c>
      <x:c r="G750" s="34" t="str">
        <x:v>RECORDED</x:v>
      </x:c>
      <x:c r="H750" s="38" t="n">
        <x:f>IF(ISNUMBER('Data'!G750),'Data'!G750*100,"")</x:f>
        <x:v>0</x:v>
      </x:c>
      <x:c r="I750" s="34" t="str">
        <x:v>PASS</x:v>
      </x:c>
      <x:c r="J750" s="34" t="str">
        <x:v>PASS</x:v>
      </x:c>
      <x:c r="K750" s="34" t="str">
        <x:v>PASS</x:v>
      </x:c>
      <x:c r="L750" s="34" t="str">
        <x:v>PASS</x:v>
      </x:c>
      <x:c r="M750" s="34" t="str">
        <x:v>numeric coverage for applicable metric</x:v>
      </x:c>
      <x:c r="N750" s="34" t="str">
        <x:v>Feedback-Directed Random Test Generation/Result/Math_65/result.json</x:v>
      </x:c>
      <x:c r="O750" s="38" t="n">
        <x:f>IF(AND(G750="RECORDED",ISNUMBER(H750)),H750,"")</x:f>
        <x:v>0</x:v>
      </x:c>
      <x:c r="P750" s="34" t="str">
        <x:v>NOT_REVEALING</x:v>
      </x:c>
      <x:c r="Q750" s="34" t="str">
        <x:v>Feedback-Directed Random Test Generation/Result/Math_65/result.json</x:v>
      </x:c>
    </x:row>
    <x:row r="751">
      <x:c r="A751" s="34" t="str">
        <x:v>randoop</x:v>
      </x:c>
      <x:c r="B751" s="34" t="str">
        <x:v>Math</x:v>
      </x:c>
      <x:c r="C751" s="34" t="str">
        <x:v>Round1</x:v>
      </x:c>
      <x:c r="D751" s="34" t="str">
        <x:v>Math_66</x:v>
      </x:c>
      <x:c r="E751" s="34" t="str">
        <x:v>Coverage</x:v>
      </x:c>
      <x:c r="F751" s="34" t="n">
        <x:v>160</x:v>
      </x:c>
      <x:c r="G751" s="34" t="str">
        <x:v>RECORDED</x:v>
      </x:c>
      <x:c r="H751" s="38" t="n">
        <x:f>IF(ISNUMBER('Data'!G751),'Data'!G751*100,"")</x:f>
        <x:v>21.25</x:v>
      </x:c>
      <x:c r="I751" s="34" t="str">
        <x:v>PASS</x:v>
      </x:c>
      <x:c r="J751" s="34" t="str">
        <x:v>PASS</x:v>
      </x:c>
      <x:c r="K751" s="34" t="str">
        <x:v>PASS</x:v>
      </x:c>
      <x:c r="L751" s="34" t="str">
        <x:v>PASS</x:v>
      </x:c>
      <x:c r="M751" s="34" t="str">
        <x:v>numeric coverage for applicable metric</x:v>
      </x:c>
      <x:c r="N751" s="34" t="str">
        <x:v>Feedback-Directed Random Test Generation/Result/Math_66/result.json</x:v>
      </x:c>
      <x:c r="O751" s="38" t="n">
        <x:f>IF(AND(G751="RECORDED",ISNUMBER(H751)),H751,"")</x:f>
        <x:v>21.25</x:v>
      </x:c>
      <x:c r="P751" s="34" t="str">
        <x:v>INCONCLUSIVE</x:v>
      </x:c>
      <x:c r="Q751" s="34" t="str">
        <x:v>Feedback-Directed Random Test Generation/Result/Math_66/result.json</x:v>
      </x:c>
    </x:row>
    <x:row r="752">
      <x:c r="A752" s="34" t="str">
        <x:v>randoop</x:v>
      </x:c>
      <x:c r="B752" s="34" t="str">
        <x:v>Math</x:v>
      </x:c>
      <x:c r="C752" s="34" t="str">
        <x:v>Round1</x:v>
      </x:c>
      <x:c r="D752" s="34" t="str">
        <x:v>Math_67</x:v>
      </x:c>
      <x:c r="E752" s="34" t="str">
        <x:v>Coverage</x:v>
      </x:c>
      <x:c r="F752" s="34" t="n">
        <x:v>127</x:v>
      </x:c>
      <x:c r="G752" s="34" t="str">
        <x:v>RECORDED</x:v>
      </x:c>
      <x:c r="H752" s="38" t="n">
        <x:f>IF(ISNUMBER('Data'!G752),'Data'!G752*100,"")</x:f>
        <x:v>41.73</x:v>
      </x:c>
      <x:c r="I752" s="34" t="str">
        <x:v>PASS</x:v>
      </x:c>
      <x:c r="J752" s="34" t="str">
        <x:v>PASS</x:v>
      </x:c>
      <x:c r="K752" s="34" t="str">
        <x:v>PASS</x:v>
      </x:c>
      <x:c r="L752" s="34" t="str">
        <x:v>PASS</x:v>
      </x:c>
      <x:c r="M752" s="34" t="str">
        <x:v>numeric coverage for applicable metric</x:v>
      </x:c>
      <x:c r="N752" s="34" t="str">
        <x:v>Feedback-Directed Random Test Generation/Result/Math_67/result.json</x:v>
      </x:c>
      <x:c r="O752" s="38" t="n">
        <x:f>IF(AND(G752="RECORDED",ISNUMBER(H752)),H752,"")</x:f>
        <x:v>41.73</x:v>
      </x:c>
      <x:c r="P752" s="34" t="str">
        <x:v>NOT_REVEALING</x:v>
      </x:c>
      <x:c r="Q752" s="34" t="str">
        <x:v>Feedback-Directed Random Test Generation/Result/Math_67/result.json</x:v>
      </x:c>
    </x:row>
    <x:row r="753">
      <x:c r="A753" s="34" t="str">
        <x:v>randoop</x:v>
      </x:c>
      <x:c r="B753" s="34" t="str">
        <x:v>Math</x:v>
      </x:c>
      <x:c r="C753" s="34" t="str">
        <x:v>Round1</x:v>
      </x:c>
      <x:c r="D753" s="34" t="str">
        <x:v>Math_68</x:v>
      </x:c>
      <x:c r="E753" s="34" t="str">
        <x:v>Coverage</x:v>
      </x:c>
      <x:c r="F753" s="34" t="n">
        <x:v>528</x:v>
      </x:c>
      <x:c r="G753" s="34" t="str">
        <x:v>RECORDED</x:v>
      </x:c>
      <x:c r="H753" s="38" t="n">
        <x:f>IF(ISNUMBER('Data'!G753),'Data'!G753*100,"")</x:f>
        <x:v>5.68</x:v>
      </x:c>
      <x:c r="I753" s="34" t="str">
        <x:v>PASS</x:v>
      </x:c>
      <x:c r="J753" s="34" t="str">
        <x:v>PASS</x:v>
      </x:c>
      <x:c r="K753" s="34" t="str">
        <x:v>PASS</x:v>
      </x:c>
      <x:c r="L753" s="34" t="str">
        <x:v>FAIL</x:v>
      </x:c>
      <x:c r="M753" s="34" t="str">
        <x:v>numeric coverage for applicable metric</x:v>
      </x:c>
      <x:c r="N753" s="34" t="str">
        <x:v>Feedback-Directed Random Test Generation/Result/Math_68/result.json</x:v>
      </x:c>
      <x:c r="O753" s="38" t="n">
        <x:f>IF(AND(G753="RECORDED",ISNUMBER(H753)),H753,"")</x:f>
        <x:v>5.68</x:v>
      </x:c>
      <x:c r="P753" s="34" t="str">
        <x:v>INCONCLUSIVE</x:v>
      </x:c>
      <x:c r="Q753" s="34" t="str">
        <x:v>Feedback-Directed Random Test Generation/Result/Math_68/result.json</x:v>
      </x:c>
    </x:row>
    <x:row r="754">
      <x:c r="A754" s="34" t="str">
        <x:v>randoop</x:v>
      </x:c>
      <x:c r="B754" s="34" t="str">
        <x:v>Math</x:v>
      </x:c>
      <x:c r="C754" s="34" t="str">
        <x:v>Round1</x:v>
      </x:c>
      <x:c r="D754" s="34" t="str">
        <x:v>Math_69</x:v>
      </x:c>
      <x:c r="E754" s="34" t="str">
        <x:v>Coverage</x:v>
      </x:c>
      <x:c r="F754" s="34" t="n">
        <x:v>105</x:v>
      </x:c>
      <x:c r="G754" s="34" t="str">
        <x:v>RECORDED</x:v>
      </x:c>
      <x:c r="H754" s="38" t="n">
        <x:f>IF(ISNUMBER('Data'!G754),'Data'!G754*100,"")</x:f>
        <x:v>92.38</x:v>
      </x:c>
      <x:c r="I754" s="34" t="str">
        <x:v>PASS</x:v>
      </x:c>
      <x:c r="J754" s="34" t="str">
        <x:v>PASS</x:v>
      </x:c>
      <x:c r="K754" s="34" t="str">
        <x:v>PASS</x:v>
      </x:c>
      <x:c r="L754" s="34" t="str">
        <x:v>FAIL</x:v>
      </x:c>
      <x:c r="M754" s="34" t="str">
        <x:v>numeric coverage for applicable metric</x:v>
      </x:c>
      <x:c r="N754" s="34" t="str">
        <x:v>Feedback-Directed Random Test Generation/Result/Math_69/result.json</x:v>
      </x:c>
      <x:c r="O754" s="38" t="n">
        <x:f>IF(AND(G754="RECORDED",ISNUMBER(H754)),H754,"")</x:f>
        <x:v>92.38</x:v>
      </x:c>
      <x:c r="P754" s="34" t="str">
        <x:v>INCONCLUSIVE</x:v>
      </x:c>
      <x:c r="Q754" s="34" t="str">
        <x:v>Feedback-Directed Random Test Generation/Result/Math_69/result.json</x:v>
      </x:c>
    </x:row>
    <x:row r="755">
      <x:c r="A755" s="34" t="str">
        <x:v>randoop</x:v>
      </x:c>
      <x:c r="B755" s="34" t="str">
        <x:v>Math</x:v>
      </x:c>
      <x:c r="C755" s="34" t="str">
        <x:v>Round1</x:v>
      </x:c>
      <x:c r="D755" s="34" t="str">
        <x:v>Math_70</x:v>
      </x:c>
      <x:c r="E755" s="34" t="str">
        <x:v>Coverage</x:v>
      </x:c>
      <x:c r="F755" s="34" t="n">
        <x:v>29</x:v>
      </x:c>
      <x:c r="G755" s="34" t="str">
        <x:v>RECORDED</x:v>
      </x:c>
      <x:c r="H755" s="38" t="n">
        <x:f>IF(ISNUMBER('Data'!G755),'Data'!G755*100,"")</x:f>
        <x:v>51.72</x:v>
      </x:c>
      <x:c r="I755" s="34" t="str">
        <x:v>PASS</x:v>
      </x:c>
      <x:c r="J755" s="34" t="str">
        <x:v>PASS</x:v>
      </x:c>
      <x:c r="K755" s="34" t="str">
        <x:v>PASS</x:v>
      </x:c>
      <x:c r="L755" s="34" t="str">
        <x:v>FAIL</x:v>
      </x:c>
      <x:c r="M755" s="34" t="str">
        <x:v>numeric coverage for applicable metric</x:v>
      </x:c>
      <x:c r="N755" s="34" t="str">
        <x:v>Feedback-Directed Random Test Generation/Result/Math_70/result.json</x:v>
      </x:c>
      <x:c r="O755" s="38" t="n">
        <x:f>IF(AND(G755="RECORDED",ISNUMBER(H755)),H755,"")</x:f>
        <x:v>51.72</x:v>
      </x:c>
      <x:c r="P755" s="34" t="str">
        <x:v>INCONCLUSIVE</x:v>
      </x:c>
      <x:c r="Q755" s="34" t="str">
        <x:v>Feedback-Directed Random Test Generation/Result/Math_70/result.json</x:v>
      </x:c>
    </x:row>
    <x:row r="756">
      <x:c r="A756" s="34" t="str">
        <x:v>randoop</x:v>
      </x:c>
      <x:c r="B756" s="34" t="str">
        <x:v>Math</x:v>
      </x:c>
      <x:c r="C756" s="34" t="str">
        <x:v>Round1</x:v>
      </x:c>
      <x:c r="D756" s="34" t="str">
        <x:v>Math_71</x:v>
      </x:c>
      <x:c r="E756" s="34" t="str">
        <x:v>Coverage</x:v>
      </x:c>
      <x:c r="F756" s="34" t="n">
        <x:v>295</x:v>
      </x:c>
      <x:c r="G756" s="34" t="str">
        <x:v>RECORDED</x:v>
      </x:c>
      <x:c r="H756" s="38" t="n">
        <x:f>IF(ISNUMBER('Data'!G756),'Data'!G756*100,"")</x:f>
        <x:v>0</x:v>
      </x:c>
      <x:c r="I756" s="34" t="str">
        <x:v>PASS</x:v>
      </x:c>
      <x:c r="J756" s="34" t="str">
        <x:v>PASS</x:v>
      </x:c>
      <x:c r="K756" s="34" t="str">
        <x:v>PASS</x:v>
      </x:c>
      <x:c r="L756" s="34" t="str">
        <x:v>PASS</x:v>
      </x:c>
      <x:c r="M756" s="34" t="str">
        <x:v>numeric coverage for applicable metric</x:v>
      </x:c>
      <x:c r="N756" s="34" t="str">
        <x:v>Feedback-Directed Random Test Generation/Result/Math_71/result.json</x:v>
      </x:c>
      <x:c r="O756" s="38" t="n">
        <x:f>IF(AND(G756="RECORDED",ISNUMBER(H756)),H756,"")</x:f>
        <x:v>0</x:v>
      </x:c>
      <x:c r="P756" s="34" t="str">
        <x:v>NOT_REVEALING</x:v>
      </x:c>
      <x:c r="Q756" s="34" t="str">
        <x:v>Feedback-Directed Random Test Generation/Result/Math_71/result.json</x:v>
      </x:c>
    </x:row>
    <x:row r="757">
      <x:c r="A757" s="34" t="str">
        <x:v>randoop</x:v>
      </x:c>
      <x:c r="B757" s="34" t="str">
        <x:v>Math</x:v>
      </x:c>
      <x:c r="C757" s="34" t="str">
        <x:v>Round1</x:v>
      </x:c>
      <x:c r="D757" s="34" t="str">
        <x:v>Math_72</x:v>
      </x:c>
      <x:c r="E757" s="34" t="str">
        <x:v>Coverage</x:v>
      </x:c>
      <x:c r="F757" s="34" t="n">
        <x:v>161</x:v>
      </x:c>
      <x:c r="G757" s="34" t="str">
        <x:v>RECORDED</x:v>
      </x:c>
      <x:c r="H757" s="38" t="n">
        <x:f>IF(ISNUMBER('Data'!G757),'Data'!G757*100,"")</x:f>
        <x:v>7.449999999999999</x:v>
      </x:c>
      <x:c r="I757" s="34" t="str">
        <x:v>PASS</x:v>
      </x:c>
      <x:c r="J757" s="34" t="str">
        <x:v>PASS</x:v>
      </x:c>
      <x:c r="K757" s="34" t="str">
        <x:v>PASS</x:v>
      </x:c>
      <x:c r="L757" s="34" t="str">
        <x:v>FAIL</x:v>
      </x:c>
      <x:c r="M757" s="34" t="str">
        <x:v>numeric coverage for applicable metric</x:v>
      </x:c>
      <x:c r="N757" s="34" t="str">
        <x:v>Feedback-Directed Random Test Generation/Result/Math_72/result.json</x:v>
      </x:c>
      <x:c r="O757" s="38" t="n">
        <x:f>IF(AND(G757="RECORDED",ISNUMBER(H757)),H757,"")</x:f>
        <x:v>7.449999999999999</x:v>
      </x:c>
      <x:c r="P757" s="34" t="str">
        <x:v>INCONCLUSIVE</x:v>
      </x:c>
      <x:c r="Q757" s="34" t="str">
        <x:v>Feedback-Directed Random Test Generation/Result/Math_72/result.json</x:v>
      </x:c>
    </x:row>
    <x:row r="758">
      <x:c r="A758" s="34" t="str">
        <x:v>randoop</x:v>
      </x:c>
      <x:c r="B758" s="34" t="str">
        <x:v>Math</x:v>
      </x:c>
      <x:c r="C758" s="34" t="str">
        <x:v>Round1</x:v>
      </x:c>
      <x:c r="D758" s="34" t="str">
        <x:v>Math_73</x:v>
      </x:c>
      <x:c r="E758" s="34" t="str">
        <x:v>Coverage</x:v>
      </x:c>
      <x:c r="F758" s="34" t="n">
        <x:v>156</x:v>
      </x:c>
      <x:c r="G758" s="34" t="str">
        <x:v>RECORDED</x:v>
      </x:c>
      <x:c r="H758" s="38" t="n">
        <x:f>IF(ISNUMBER('Data'!G758),'Data'!G758*100,"")</x:f>
        <x:v>7.690000000000001</x:v>
      </x:c>
      <x:c r="I758" s="34" t="str">
        <x:v>PASS</x:v>
      </x:c>
      <x:c r="J758" s="34" t="str">
        <x:v>PASS</x:v>
      </x:c>
      <x:c r="K758" s="34" t="str">
        <x:v>PASS</x:v>
      </x:c>
      <x:c r="L758" s="34" t="str">
        <x:v>FAIL</x:v>
      </x:c>
      <x:c r="M758" s="34" t="str">
        <x:v>numeric coverage for applicable metric</x:v>
      </x:c>
      <x:c r="N758" s="34" t="str">
        <x:v>Feedback-Directed Random Test Generation/Result/Math_73/result.json</x:v>
      </x:c>
      <x:c r="O758" s="38" t="n">
        <x:f>IF(AND(G758="RECORDED",ISNUMBER(H758)),H758,"")</x:f>
        <x:v>7.690000000000001</x:v>
      </x:c>
      <x:c r="P758" s="34" t="str">
        <x:v>INCONCLUSIVE</x:v>
      </x:c>
      <x:c r="Q758" s="34" t="str">
        <x:v>Feedback-Directed Random Test Generation/Result/Math_73/result.json</x:v>
      </x:c>
    </x:row>
    <x:row r="759">
      <x:c r="A759" s="34" t="str">
        <x:v>randoop</x:v>
      </x:c>
      <x:c r="B759" s="34" t="str">
        <x:v>Math</x:v>
      </x:c>
      <x:c r="C759" s="34" t="str">
        <x:v>Round1</x:v>
      </x:c>
      <x:c r="D759" s="34" t="str">
        <x:v>Math_74</x:v>
      </x:c>
      <x:c r="E759" s="34" t="str">
        <x:v>Coverage</x:v>
      </x:c>
      <x:c r="F759" s="34" t="n">
        <x:v>176</x:v>
      </x:c>
      <x:c r="G759" s="34" t="str">
        <x:v>RECORDED</x:v>
      </x:c>
      <x:c r="H759" s="38" t="n">
        <x:f>IF(ISNUMBER('Data'!G759),'Data'!G759*100,"")</x:f>
        <x:v>0</x:v>
      </x:c>
      <x:c r="I759" s="34" t="str">
        <x:v>PASS</x:v>
      </x:c>
      <x:c r="J759" s="34" t="str">
        <x:v>PASS</x:v>
      </x:c>
      <x:c r="K759" s="34" t="str">
        <x:v>PASS</x:v>
      </x:c>
      <x:c r="L759" s="34" t="str">
        <x:v>PASS</x:v>
      </x:c>
      <x:c r="M759" s="34" t="str">
        <x:v>numeric coverage for applicable metric</x:v>
      </x:c>
      <x:c r="N759" s="34" t="str">
        <x:v>Feedback-Directed Random Test Generation/Result/Math_74/result.json</x:v>
      </x:c>
      <x:c r="O759" s="38" t="n">
        <x:f>IF(AND(G759="RECORDED",ISNUMBER(H759)),H759,"")</x:f>
        <x:v>0</x:v>
      </x:c>
      <x:c r="P759" s="34" t="str">
        <x:v>NOT_REVEALING</x:v>
      </x:c>
      <x:c r="Q759" s="34" t="str">
        <x:v>Feedback-Directed Random Test Generation/Result/Math_74/result.json</x:v>
      </x:c>
    </x:row>
    <x:row r="760">
      <x:c r="A760" s="34" t="str">
        <x:v>randoop</x:v>
      </x:c>
      <x:c r="B760" s="34" t="str">
        <x:v>Math</x:v>
      </x:c>
      <x:c r="C760" s="34" t="str">
        <x:v>Round1</x:v>
      </x:c>
      <x:c r="D760" s="34" t="str">
        <x:v>Math_75</x:v>
      </x:c>
      <x:c r="E760" s="34" t="str">
        <x:v>Coverage</x:v>
      </x:c>
      <x:c r="F760" s="34" t="n">
        <x:v>182</x:v>
      </x:c>
      <x:c r="G760" s="34" t="str">
        <x:v>RECORDED</x:v>
      </x:c>
      <x:c r="H760" s="38" t="n">
        <x:f>IF(ISNUMBER('Data'!G760),'Data'!G760*100,"")</x:f>
        <x:v>89.01</x:v>
      </x:c>
      <x:c r="I760" s="34" t="str">
        <x:v>PASS</x:v>
      </x:c>
      <x:c r="J760" s="34" t="str">
        <x:v>PASS</x:v>
      </x:c>
      <x:c r="K760" s="34" t="str">
        <x:v>PASS</x:v>
      </x:c>
      <x:c r="L760" s="34" t="str">
        <x:v>PASS</x:v>
      </x:c>
      <x:c r="M760" s="34" t="str">
        <x:v>numeric coverage for applicable metric</x:v>
      </x:c>
      <x:c r="N760" s="34" t="str">
        <x:v>Feedback-Directed Random Test Generation/Result/Math_75/result.json</x:v>
      </x:c>
      <x:c r="O760" s="38" t="n">
        <x:f>IF(AND(G760="RECORDED",ISNUMBER(H760)),H760,"")</x:f>
        <x:v>89.01</x:v>
      </x:c>
      <x:c r="P760" s="34" t="str">
        <x:v>INCONCLUSIVE</x:v>
      </x:c>
      <x:c r="Q760" s="34" t="str">
        <x:v>Feedback-Directed Random Test Generation/Result/Math_75/result.json</x:v>
      </x:c>
    </x:row>
    <x:row r="761">
      <x:c r="A761" s="34" t="str">
        <x:v>randoop</x:v>
      </x:c>
      <x:c r="B761" s="34" t="str">
        <x:v>Math</x:v>
      </x:c>
      <x:c r="C761" s="34" t="str">
        <x:v>Round1</x:v>
      </x:c>
      <x:c r="D761" s="34" t="str">
        <x:v>Math_76</x:v>
      </x:c>
      <x:c r="E761" s="34" t="str">
        <x:v>Coverage</x:v>
      </x:c>
      <x:c r="F761" s="34" t="n">
        <x:v>188</x:v>
      </x:c>
      <x:c r="G761" s="34" t="str">
        <x:v>RECORDED</x:v>
      </x:c>
      <x:c r="H761" s="38" t="n">
        <x:f>IF(ISNUMBER('Data'!G761),'Data'!G761*100,"")</x:f>
        <x:v>1.6</x:v>
      </x:c>
      <x:c r="I761" s="34" t="str">
        <x:v>PASS</x:v>
      </x:c>
      <x:c r="J761" s="34" t="str">
        <x:v>PASS</x:v>
      </x:c>
      <x:c r="K761" s="34" t="str">
        <x:v>PASS</x:v>
      </x:c>
      <x:c r="L761" s="34" t="str">
        <x:v>PASS</x:v>
      </x:c>
      <x:c r="M761" s="34" t="str">
        <x:v>numeric coverage for applicable metric</x:v>
      </x:c>
      <x:c r="N761" s="34" t="str">
        <x:v>Feedback-Directed Random Test Generation/Result/Math_76/result.json</x:v>
      </x:c>
      <x:c r="O761" s="38" t="n">
        <x:f>IF(AND(G761="RECORDED",ISNUMBER(H761)),H761,"")</x:f>
        <x:v>1.6</x:v>
      </x:c>
      <x:c r="P761" s="34" t="str">
        <x:v>NOT_REVEALING</x:v>
      </x:c>
      <x:c r="Q761" s="34" t="str">
        <x:v>Feedback-Directed Random Test Generation/Result/Math_76/result.json</x:v>
      </x:c>
    </x:row>
    <x:row r="762">
      <x:c r="A762" s="34" t="str">
        <x:v>randoop</x:v>
      </x:c>
      <x:c r="B762" s="34" t="str">
        <x:v>Math</x:v>
      </x:c>
      <x:c r="C762" s="34" t="str">
        <x:v>Round1</x:v>
      </x:c>
      <x:c r="D762" s="34" t="str">
        <x:v>Math_77</x:v>
      </x:c>
      <x:c r="E762" s="34" t="str">
        <x:v>Coverage</x:v>
      </x:c>
      <x:c r="F762" s="34" t="n">
        <x:v>1137</x:v>
      </x:c>
      <x:c r="G762" s="34" t="str">
        <x:v>RECORDED</x:v>
      </x:c>
      <x:c r="H762" s="38" t="n">
        <x:f>IF(ISNUMBER('Data'!G762),'Data'!G762*100,"")</x:f>
        <x:v>83.29</x:v>
      </x:c>
      <x:c r="I762" s="34" t="str">
        <x:v>PASS</x:v>
      </x:c>
      <x:c r="J762" s="34" t="str">
        <x:v>PASS</x:v>
      </x:c>
      <x:c r="K762" s="34" t="str">
        <x:v>PASS</x:v>
      </x:c>
      <x:c r="L762" s="34" t="str">
        <x:v>FAIL</x:v>
      </x:c>
      <x:c r="M762" s="34" t="str">
        <x:v>numeric coverage for applicable metric</x:v>
      </x:c>
      <x:c r="N762" s="34" t="str">
        <x:v>Feedback-Directed Random Test Generation/Result/Math_77/result.json</x:v>
      </x:c>
      <x:c r="O762" s="38" t="n">
        <x:f>IF(AND(G762="RECORDED",ISNUMBER(H762)),H762,"")</x:f>
        <x:v>83.29</x:v>
      </x:c>
      <x:c r="P762" s="34" t="str">
        <x:v>INCONCLUSIVE</x:v>
      </x:c>
      <x:c r="Q762" s="34" t="str">
        <x:v>Feedback-Directed Random Test Generation/Result/Math_77/result.json</x:v>
      </x:c>
    </x:row>
    <x:row r="763">
      <x:c r="A763" s="34" t="str">
        <x:v>randoop</x:v>
      </x:c>
      <x:c r="B763" s="34" t="str">
        <x:v>Math</x:v>
      </x:c>
      <x:c r="C763" s="34" t="str">
        <x:v>Round1</x:v>
      </x:c>
      <x:c r="D763" s="34" t="str">
        <x:v>Math_78</x:v>
      </x:c>
      <x:c r="E763" s="34" t="str">
        <x:v>Coverage</x:v>
      </x:c>
      <x:c r="F763" s="34" t="n">
        <x:v>140</x:v>
      </x:c>
      <x:c r="G763" s="34" t="str">
        <x:v>RECORDED</x:v>
      </x:c>
      <x:c r="H763" s="38" t="n">
        <x:f>IF(ISNUMBER('Data'!G763),'Data'!G763*100,"")</x:f>
        <x:v>20.71</x:v>
      </x:c>
      <x:c r="I763" s="34" t="str">
        <x:v>PASS</x:v>
      </x:c>
      <x:c r="J763" s="34" t="str">
        <x:v>PASS</x:v>
      </x:c>
      <x:c r="K763" s="34" t="str">
        <x:v>PASS</x:v>
      </x:c>
      <x:c r="L763" s="34" t="str">
        <x:v>PASS</x:v>
      </x:c>
      <x:c r="M763" s="34" t="str">
        <x:v>numeric coverage for applicable metric</x:v>
      </x:c>
      <x:c r="N763" s="34" t="str">
        <x:v>Feedback-Directed Random Test Generation/Result/Math_78/result.json</x:v>
      </x:c>
      <x:c r="O763" s="38" t="n">
        <x:f>IF(AND(G763="RECORDED",ISNUMBER(H763)),H763,"")</x:f>
        <x:v>20.71</x:v>
      </x:c>
      <x:c r="P763" s="34" t="str">
        <x:v>NOT_REVEALING</x:v>
      </x:c>
      <x:c r="Q763" s="34" t="str">
        <x:v>Feedback-Directed Random Test Generation/Result/Math_78/result.json</x:v>
      </x:c>
    </x:row>
    <x:row r="764">
      <x:c r="A764" s="34" t="str">
        <x:v>randoop</x:v>
      </x:c>
      <x:c r="B764" s="34" t="str">
        <x:v>Math</x:v>
      </x:c>
      <x:c r="C764" s="34" t="str">
        <x:v>Round1</x:v>
      </x:c>
      <x:c r="D764" s="34" t="str">
        <x:v>Math_79</x:v>
      </x:c>
      <x:c r="E764" s="34" t="str">
        <x:v>Coverage</x:v>
      </x:c>
      <x:c r="F764" s="34" t="n">
        <x:v>765</x:v>
      </x:c>
      <x:c r="G764" s="34" t="str">
        <x:v>RECORDED</x:v>
      </x:c>
      <x:c r="H764" s="38" t="n">
        <x:f>IF(ISNUMBER('Data'!G764),'Data'!G764*100,"")</x:f>
        <x:v>31.5</x:v>
      </x:c>
      <x:c r="I764" s="34" t="str">
        <x:v>PASS</x:v>
      </x:c>
      <x:c r="J764" s="34" t="str">
        <x:v>PASS</x:v>
      </x:c>
      <x:c r="K764" s="34" t="str">
        <x:v>PASS</x:v>
      </x:c>
      <x:c r="L764" s="34" t="str">
        <x:v>PASS</x:v>
      </x:c>
      <x:c r="M764" s="34" t="str">
        <x:v>numeric coverage for applicable metric</x:v>
      </x:c>
      <x:c r="N764" s="34" t="str">
        <x:v>Feedback-Directed Random Test Generation/Result/Math_79/result.json</x:v>
      </x:c>
      <x:c r="O764" s="38" t="n">
        <x:f>IF(AND(G764="RECORDED",ISNUMBER(H764)),H764,"")</x:f>
        <x:v>31.5</x:v>
      </x:c>
      <x:c r="P764" s="34" t="str">
        <x:v>NOT_REVEALING</x:v>
      </x:c>
      <x:c r="Q764" s="34" t="str">
        <x:v>Feedback-Directed Random Test Generation/Result/Math_79/result.json</x:v>
      </x:c>
    </x:row>
    <x:row r="765">
      <x:c r="A765" s="34" t="str">
        <x:v>randoop</x:v>
      </x:c>
      <x:c r="B765" s="34" t="str">
        <x:v>Math</x:v>
      </x:c>
      <x:c r="C765" s="34" t="str">
        <x:v>Round1</x:v>
      </x:c>
      <x:c r="D765" s="34" t="str">
        <x:v>Math_80</x:v>
      </x:c>
      <x:c r="E765" s="34" t="str">
        <x:v>Coverage</x:v>
      </x:c>
      <x:c r="F765" s="34" t="n">
        <x:v>1269</x:v>
      </x:c>
      <x:c r="G765" s="34" t="str">
        <x:v>RECORDED</x:v>
      </x:c>
      <x:c r="H765" s="38" t="n">
        <x:f>IF(ISNUMBER('Data'!G765),'Data'!G765*100,"")</x:f>
        <x:v>18.12</x:v>
      </x:c>
      <x:c r="I765" s="34" t="str">
        <x:v>PASS</x:v>
      </x:c>
      <x:c r="J765" s="34" t="str">
        <x:v>PASS</x:v>
      </x:c>
      <x:c r="K765" s="34" t="str">
        <x:v>PASS</x:v>
      </x:c>
      <x:c r="L765" s="34" t="str">
        <x:v>PASS</x:v>
      </x:c>
      <x:c r="M765" s="34" t="str">
        <x:v>numeric coverage for applicable metric</x:v>
      </x:c>
      <x:c r="N765" s="34" t="str">
        <x:v>Feedback-Directed Random Test Generation/Result/Math_80/result.json</x:v>
      </x:c>
      <x:c r="O765" s="38" t="n">
        <x:f>IF(AND(G765="RECORDED",ISNUMBER(H765)),H765,"")</x:f>
        <x:v>18.12</x:v>
      </x:c>
      <x:c r="P765" s="34" t="str">
        <x:v>NOT_REVEALING</x:v>
      </x:c>
      <x:c r="Q765" s="34" t="str">
        <x:v>Feedback-Directed Random Test Generation/Result/Math_80/result.json</x:v>
      </x:c>
    </x:row>
    <x:row r="766">
      <x:c r="A766" s="34" t="str">
        <x:v>randoop</x:v>
      </x:c>
      <x:c r="B766" s="34" t="str">
        <x:v>Math</x:v>
      </x:c>
      <x:c r="C766" s="34" t="str">
        <x:v>Round1</x:v>
      </x:c>
      <x:c r="D766" s="34" t="str">
        <x:v>Math_81</x:v>
      </x:c>
      <x:c r="E766" s="34" t="str">
        <x:v>Coverage</x:v>
      </x:c>
      <x:c r="F766" s="34" t="n">
        <x:v>1268</x:v>
      </x:c>
      <x:c r="G766" s="34" t="str">
        <x:v>RECORDED</x:v>
      </x:c>
      <x:c r="H766" s="38" t="n">
        <x:f>IF(ISNUMBER('Data'!G766),'Data'!G766*100,"")</x:f>
        <x:v>18.06</x:v>
      </x:c>
      <x:c r="I766" s="34" t="str">
        <x:v>PASS</x:v>
      </x:c>
      <x:c r="J766" s="34" t="str">
        <x:v>PASS</x:v>
      </x:c>
      <x:c r="K766" s="34" t="str">
        <x:v>PASS</x:v>
      </x:c>
      <x:c r="L766" s="34" t="str">
        <x:v>PASS</x:v>
      </x:c>
      <x:c r="M766" s="34" t="str">
        <x:v>numeric coverage for applicable metric</x:v>
      </x:c>
      <x:c r="N766" s="34" t="str">
        <x:v>Feedback-Directed Random Test Generation/Result/Math_81/result.json</x:v>
      </x:c>
      <x:c r="O766" s="38" t="n">
        <x:f>IF(AND(G766="RECORDED",ISNUMBER(H766)),H766,"")</x:f>
        <x:v>18.06</x:v>
      </x:c>
      <x:c r="P766" s="34" t="str">
        <x:v>NOT_REVEALING</x:v>
      </x:c>
      <x:c r="Q766" s="34" t="str">
        <x:v>Feedback-Directed Random Test Generation/Result/Math_81/result.json</x:v>
      </x:c>
    </x:row>
    <x:row r="767">
      <x:c r="A767" s="34" t="str">
        <x:v>randoop</x:v>
      </x:c>
      <x:c r="B767" s="34" t="str">
        <x:v>Math</x:v>
      </x:c>
      <x:c r="C767" s="34" t="str">
        <x:v>Round1</x:v>
      </x:c>
      <x:c r="D767" s="34" t="str">
        <x:v>Math_82</x:v>
      </x:c>
      <x:c r="E767" s="34" t="str">
        <x:v>Coverage</x:v>
      </x:c>
      <x:c r="F767" s="34" t="n">
        <x:v>96</x:v>
      </x:c>
      <x:c r="G767" s="34" t="str">
        <x:v>RECORDED</x:v>
      </x:c>
      <x:c r="H767" s="38" t="n">
        <x:f>IF(ISNUMBER('Data'!G767),'Data'!G767*100,"")</x:f>
        <x:v>13.54</x:v>
      </x:c>
      <x:c r="I767" s="34" t="str">
        <x:v>PASS</x:v>
      </x:c>
      <x:c r="J767" s="34" t="str">
        <x:v>PASS</x:v>
      </x:c>
      <x:c r="K767" s="34" t="str">
        <x:v>PASS</x:v>
      </x:c>
      <x:c r="L767" s="34" t="str">
        <x:v>FAIL</x:v>
      </x:c>
      <x:c r="M767" s="34" t="str">
        <x:v>numeric coverage for applicable metric</x:v>
      </x:c>
      <x:c r="N767" s="34" t="str">
        <x:v>Feedback-Directed Random Test Generation/Result/Math_82/result.json</x:v>
      </x:c>
      <x:c r="O767" s="38" t="n">
        <x:f>IF(AND(G767="RECORDED",ISNUMBER(H767)),H767,"")</x:f>
        <x:v>13.54</x:v>
      </x:c>
      <x:c r="P767" s="34" t="str">
        <x:v>INCONCLUSIVE</x:v>
      </x:c>
      <x:c r="Q767" s="34" t="str">
        <x:v>Feedback-Directed Random Test Generation/Result/Math_82/result.json</x:v>
      </x:c>
    </x:row>
    <x:row r="768">
      <x:c r="A768" s="34" t="str">
        <x:v>randoop</x:v>
      </x:c>
      <x:c r="B768" s="34" t="str">
        <x:v>Math</x:v>
      </x:c>
      <x:c r="C768" s="34" t="str">
        <x:v>Round1</x:v>
      </x:c>
      <x:c r="D768" s="34" t="str">
        <x:v>Math_83</x:v>
      </x:c>
      <x:c r="E768" s="34" t="str">
        <x:v>Coverage</x:v>
      </x:c>
      <x:c r="F768" s="34" t="n">
        <x:v>247</x:v>
      </x:c>
      <x:c r="G768" s="34" t="str">
        <x:v>RECORDED</x:v>
      </x:c>
      <x:c r="H768" s="38" t="n">
        <x:f>IF(ISNUMBER('Data'!G768),'Data'!G768*100,"")</x:f>
        <x:v>2.43</x:v>
      </x:c>
      <x:c r="I768" s="34" t="str">
        <x:v>PASS</x:v>
      </x:c>
      <x:c r="J768" s="34" t="str">
        <x:v>PASS</x:v>
      </x:c>
      <x:c r="K768" s="34" t="str">
        <x:v>PASS</x:v>
      </x:c>
      <x:c r="L768" s="34" t="str">
        <x:v>PASS</x:v>
      </x:c>
      <x:c r="M768" s="34" t="str">
        <x:v>numeric coverage for applicable metric</x:v>
      </x:c>
      <x:c r="N768" s="34" t="str">
        <x:v>Feedback-Directed Random Test Generation/Result/Math_83/result.json</x:v>
      </x:c>
      <x:c r="O768" s="38" t="n">
        <x:f>IF(AND(G768="RECORDED",ISNUMBER(H768)),H768,"")</x:f>
        <x:v>2.43</x:v>
      </x:c>
      <x:c r="P768" s="34" t="str">
        <x:v>NOT_REVEALING</x:v>
      </x:c>
      <x:c r="Q768" s="34" t="str">
        <x:v>Feedback-Directed Random Test Generation/Result/Math_83/result.json</x:v>
      </x:c>
    </x:row>
    <x:row r="769">
      <x:c r="A769" s="34" t="str">
        <x:v>randoop</x:v>
      </x:c>
      <x:c r="B769" s="34" t="str">
        <x:v>Math</x:v>
      </x:c>
      <x:c r="C769" s="34" t="str">
        <x:v>Round1</x:v>
      </x:c>
      <x:c r="D769" s="34" t="str">
        <x:v>Math_84</x:v>
      </x:c>
      <x:c r="E769" s="34" t="str">
        <x:v>Coverage</x:v>
      </x:c>
      <x:c r="F769" s="34" t="n">
        <x:v>44</x:v>
      </x:c>
      <x:c r="G769" s="34" t="str">
        <x:v>RECORDED</x:v>
      </x:c>
      <x:c r="H769" s="38" t="n">
        <x:f>IF(ISNUMBER('Data'!G769),'Data'!G769*100,"")</x:f>
        <x:v>25</x:v>
      </x:c>
      <x:c r="I769" s="34" t="str">
        <x:v>PASS</x:v>
      </x:c>
      <x:c r="J769" s="34" t="str">
        <x:v>PASS</x:v>
      </x:c>
      <x:c r="K769" s="34" t="str">
        <x:v>PASS</x:v>
      </x:c>
      <x:c r="L769" s="34" t="str">
        <x:v>PASS</x:v>
      </x:c>
      <x:c r="M769" s="34" t="str">
        <x:v>numeric coverage for applicable metric</x:v>
      </x:c>
      <x:c r="N769" s="34" t="str">
        <x:v>Feedback-Directed Random Test Generation/Result/Math_84/result.json</x:v>
      </x:c>
      <x:c r="O769" s="38" t="n">
        <x:f>IF(AND(G769="RECORDED",ISNUMBER(H769)),H769,"")</x:f>
        <x:v>25</x:v>
      </x:c>
      <x:c r="P769" s="34" t="str">
        <x:v>NOT_REVEALING</x:v>
      </x:c>
      <x:c r="Q769" s="34" t="str">
        <x:v>Feedback-Directed Random Test Generation/Result/Math_84/result.json</x:v>
      </x:c>
    </x:row>
    <x:row r="770">
      <x:c r="A770" s="34" t="str">
        <x:v>randoop</x:v>
      </x:c>
      <x:c r="B770" s="34" t="str">
        <x:v>Math</x:v>
      </x:c>
      <x:c r="C770" s="34" t="str">
        <x:v>Round1</x:v>
      </x:c>
      <x:c r="D770" s="34" t="str">
        <x:v>Math_85</x:v>
      </x:c>
      <x:c r="E770" s="34" t="str">
        <x:v>Coverage</x:v>
      </x:c>
      <x:c r="F770" s="34" t="n">
        <x:v>60</x:v>
      </x:c>
      <x:c r="G770" s="34" t="str">
        <x:v>RECORDED</x:v>
      </x:c>
      <x:c r="H770" s="38" t="n">
        <x:f>IF(ISNUMBER('Data'!G770),'Data'!G770*100,"")</x:f>
        <x:v>16.67</x:v>
      </x:c>
      <x:c r="I770" s="34" t="str">
        <x:v>PASS</x:v>
      </x:c>
      <x:c r="J770" s="34" t="str">
        <x:v>PASS</x:v>
      </x:c>
      <x:c r="K770" s="34" t="str">
        <x:v>PASS</x:v>
      </x:c>
      <x:c r="L770" s="34" t="str">
        <x:v>PASS</x:v>
      </x:c>
      <x:c r="M770" s="34" t="str">
        <x:v>numeric coverage for applicable metric</x:v>
      </x:c>
      <x:c r="N770" s="34" t="str">
        <x:v>Feedback-Directed Random Test Generation/Result/Math_85/result.json</x:v>
      </x:c>
      <x:c r="O770" s="38" t="n">
        <x:f>IF(AND(G770="RECORDED",ISNUMBER(H770)),H770,"")</x:f>
        <x:v>16.67</x:v>
      </x:c>
      <x:c r="P770" s="34" t="str">
        <x:v>NOT_REVEALING</x:v>
      </x:c>
      <x:c r="Q770" s="34" t="str">
        <x:v>Feedback-Directed Random Test Generation/Result/Math_85/result.json</x:v>
      </x:c>
    </x:row>
    <x:row r="771">
      <x:c r="A771" s="34" t="str">
        <x:v>randoop</x:v>
      </x:c>
      <x:c r="B771" s="34" t="str">
        <x:v>Math</x:v>
      </x:c>
      <x:c r="C771" s="34" t="str">
        <x:v>Round1</x:v>
      </x:c>
      <x:c r="D771" s="34" t="str">
        <x:v>Math_86</x:v>
      </x:c>
      <x:c r="E771" s="34" t="str">
        <x:v>Coverage</x:v>
      </x:c>
      <x:c r="F771" s="34" t="n">
        <x:v>176</x:v>
      </x:c>
      <x:c r="G771" s="34" t="str">
        <x:v>RECORDED</x:v>
      </x:c>
      <x:c r="H771" s="38" t="n">
        <x:f>IF(ISNUMBER('Data'!G771),'Data'!G771*100,"")</x:f>
        <x:v>1.7000000000000002</x:v>
      </x:c>
      <x:c r="I771" s="34" t="str">
        <x:v>PASS</x:v>
      </x:c>
      <x:c r="J771" s="34" t="str">
        <x:v>PASS</x:v>
      </x:c>
      <x:c r="K771" s="34" t="str">
        <x:v>PASS</x:v>
      </x:c>
      <x:c r="L771" s="34" t="str">
        <x:v>PASS</x:v>
      </x:c>
      <x:c r="M771" s="34" t="str">
        <x:v>numeric coverage for applicable metric</x:v>
      </x:c>
      <x:c r="N771" s="34" t="str">
        <x:v>Feedback-Directed Random Test Generation/Result/Math_86/result.json</x:v>
      </x:c>
      <x:c r="O771" s="38" t="n">
        <x:f>IF(AND(G771="RECORDED",ISNUMBER(H771)),H771,"")</x:f>
        <x:v>1.7000000000000002</x:v>
      </x:c>
      <x:c r="P771" s="34" t="str">
        <x:v>NOT_REVEALING</x:v>
      </x:c>
      <x:c r="Q771" s="34" t="str">
        <x:v>Feedback-Directed Random Test Generation/Result/Math_86/result.json</x:v>
      </x:c>
    </x:row>
    <x:row r="772">
      <x:c r="A772" s="34" t="str">
        <x:v>randoop</x:v>
      </x:c>
      <x:c r="B772" s="34" t="str">
        <x:v>Math</x:v>
      </x:c>
      <x:c r="C772" s="34" t="str">
        <x:v>Round1</x:v>
      </x:c>
      <x:c r="D772" s="34" t="str">
        <x:v>Math_87</x:v>
      </x:c>
      <x:c r="E772" s="34" t="str">
        <x:v>Coverage</x:v>
      </x:c>
      <x:c r="F772" s="34" t="n">
        <x:v>242</x:v>
      </x:c>
      <x:c r="G772" s="34" t="str">
        <x:v>RECORDED</x:v>
      </x:c>
      <x:c r="H772" s="38" t="n">
        <x:f>IF(ISNUMBER('Data'!G772),'Data'!G772*100,"")</x:f>
        <x:v>2.48</x:v>
      </x:c>
      <x:c r="I772" s="34" t="str">
        <x:v>PASS</x:v>
      </x:c>
      <x:c r="J772" s="34" t="str">
        <x:v>PASS</x:v>
      </x:c>
      <x:c r="K772" s="34" t="str">
        <x:v>PASS</x:v>
      </x:c>
      <x:c r="L772" s="34" t="str">
        <x:v>PASS</x:v>
      </x:c>
      <x:c r="M772" s="34" t="str">
        <x:v>numeric coverage for applicable metric</x:v>
      </x:c>
      <x:c r="N772" s="34" t="str">
        <x:v>Feedback-Directed Random Test Generation/Result/Math_87/result.json</x:v>
      </x:c>
      <x:c r="O772" s="38" t="n">
        <x:f>IF(AND(G772="RECORDED",ISNUMBER(H772)),H772,"")</x:f>
        <x:v>2.48</x:v>
      </x:c>
      <x:c r="P772" s="34" t="str">
        <x:v>NOT_REVEALING</x:v>
      </x:c>
      <x:c r="Q772" s="34" t="str">
        <x:v>Feedback-Directed Random Test Generation/Result/Math_87/result.json</x:v>
      </x:c>
    </x:row>
    <x:row r="773">
      <x:c r="A773" s="34" t="str">
        <x:v>randoop</x:v>
      </x:c>
      <x:c r="B773" s="34" t="str">
        <x:v>Math</x:v>
      </x:c>
      <x:c r="C773" s="34" t="str">
        <x:v>Round1</x:v>
      </x:c>
      <x:c r="D773" s="34" t="str">
        <x:v>Math_88</x:v>
      </x:c>
      <x:c r="E773" s="34" t="str">
        <x:v>Coverage</x:v>
      </x:c>
      <x:c r="F773" s="34" t="n">
        <x:v>246</x:v>
      </x:c>
      <x:c r="G773" s="34" t="str">
        <x:v>RECORDED</x:v>
      </x:c>
      <x:c r="H773" s="38" t="n">
        <x:f>IF(ISNUMBER('Data'!G773),'Data'!G773*100,"")</x:f>
        <x:v>2.44</x:v>
      </x:c>
      <x:c r="I773" s="34" t="str">
        <x:v>PASS</x:v>
      </x:c>
      <x:c r="J773" s="34" t="str">
        <x:v>PASS</x:v>
      </x:c>
      <x:c r="K773" s="34" t="str">
        <x:v>PASS</x:v>
      </x:c>
      <x:c r="L773" s="34" t="str">
        <x:v>PASS</x:v>
      </x:c>
      <x:c r="M773" s="34" t="str">
        <x:v>numeric coverage for applicable metric</x:v>
      </x:c>
      <x:c r="N773" s="34" t="str">
        <x:v>Feedback-Directed Random Test Generation/Result/Math_88/result.json</x:v>
      </x:c>
      <x:c r="O773" s="38" t="n">
        <x:f>IF(AND(G773="RECORDED",ISNUMBER(H773)),H773,"")</x:f>
        <x:v>2.44</x:v>
      </x:c>
      <x:c r="P773" s="34" t="str">
        <x:v>NOT_REVEALING</x:v>
      </x:c>
      <x:c r="Q773" s="34" t="str">
        <x:v>Feedback-Directed Random Test Generation/Result/Math_88/result.json</x:v>
      </x:c>
    </x:row>
    <x:row r="774">
      <x:c r="A774" s="34" t="str">
        <x:v>randoop</x:v>
      </x:c>
      <x:c r="B774" s="34" t="str">
        <x:v>Math</x:v>
      </x:c>
      <x:c r="C774" s="34" t="str">
        <x:v>Round1</x:v>
      </x:c>
      <x:c r="D774" s="34" t="str">
        <x:v>Math_89</x:v>
      </x:c>
      <x:c r="E774" s="34" t="str">
        <x:v>Coverage</x:v>
      </x:c>
      <x:c r="F774" s="34" t="n">
        <x:v>140</x:v>
      </x:c>
      <x:c r="G774" s="34" t="str">
        <x:v>RECORDED</x:v>
      </x:c>
      <x:c r="H774" s="38" t="n">
        <x:f>IF(ISNUMBER('Data'!G774),'Data'!G774*100,"")</x:f>
        <x:v>97.86</x:v>
      </x:c>
      <x:c r="I774" s="34" t="str">
        <x:v>PASS</x:v>
      </x:c>
      <x:c r="J774" s="34" t="str">
        <x:v>PASS</x:v>
      </x:c>
      <x:c r="K774" s="34" t="str">
        <x:v>PASS</x:v>
      </x:c>
      <x:c r="L774" s="34" t="str">
        <x:v>PASS</x:v>
      </x:c>
      <x:c r="M774" s="34" t="str">
        <x:v>numeric coverage for applicable metric</x:v>
      </x:c>
      <x:c r="N774" s="34" t="str">
        <x:v>Feedback-Directed Random Test Generation/Result/Math_89/result.json</x:v>
      </x:c>
      <x:c r="O774" s="38" t="n">
        <x:f>IF(AND(G774="RECORDED",ISNUMBER(H774)),H774,"")</x:f>
        <x:v>97.86</x:v>
      </x:c>
      <x:c r="P774" s="34" t="str">
        <x:v>INCONCLUSIVE</x:v>
      </x:c>
      <x:c r="Q774" s="34" t="str">
        <x:v>Feedback-Directed Random Test Generation/Result/Math_89/result.json</x:v>
      </x:c>
    </x:row>
    <x:row r="775">
      <x:c r="A775" s="34" t="str">
        <x:v>randoop</x:v>
      </x:c>
      <x:c r="B775" s="34" t="str">
        <x:v>Math</x:v>
      </x:c>
      <x:c r="C775" s="34" t="str">
        <x:v>Round1</x:v>
      </x:c>
      <x:c r="D775" s="34" t="str">
        <x:v>Math_90</x:v>
      </x:c>
      <x:c r="E775" s="34" t="str">
        <x:v>Coverage</x:v>
      </x:c>
      <x:c r="F775" s="34" t="n">
        <x:v>138</x:v>
      </x:c>
      <x:c r="G775" s="34" t="str">
        <x:v>RECORDED</x:v>
      </x:c>
      <x:c r="H775" s="38" t="n">
        <x:f>IF(ISNUMBER('Data'!G775),'Data'!G775*100,"")</x:f>
        <x:v>97.83</x:v>
      </x:c>
      <x:c r="I775" s="34" t="str">
        <x:v>PASS</x:v>
      </x:c>
      <x:c r="J775" s="34" t="str">
        <x:v>PASS</x:v>
      </x:c>
      <x:c r="K775" s="34" t="str">
        <x:v>PASS</x:v>
      </x:c>
      <x:c r="L775" s="34" t="str">
        <x:v>PASS</x:v>
      </x:c>
      <x:c r="M775" s="34" t="str">
        <x:v>numeric coverage for applicable metric</x:v>
      </x:c>
      <x:c r="N775" s="34" t="str">
        <x:v>Feedback-Directed Random Test Generation/Result/Math_90/result.json</x:v>
      </x:c>
      <x:c r="O775" s="38" t="n">
        <x:f>IF(AND(G775="RECORDED",ISNUMBER(H775)),H775,"")</x:f>
        <x:v>97.83</x:v>
      </x:c>
      <x:c r="P775" s="34" t="str">
        <x:v>INCONCLUSIVE</x:v>
      </x:c>
      <x:c r="Q775" s="34" t="str">
        <x:v>Feedback-Directed Random Test Generation/Result/Math_90/result.json</x:v>
      </x:c>
    </x:row>
    <x:row r="776">
      <x:c r="A776" s="34" t="str">
        <x:v>randoop</x:v>
      </x:c>
      <x:c r="B776" s="34" t="str">
        <x:v>Math</x:v>
      </x:c>
      <x:c r="C776" s="34" t="str">
        <x:v>Round1</x:v>
      </x:c>
      <x:c r="D776" s="34" t="str">
        <x:v>Math_91</x:v>
      </x:c>
      <x:c r="E776" s="34" t="str">
        <x:v>Coverage</x:v>
      </x:c>
      <x:c r="F776" s="34" t="n">
        <x:v>253</x:v>
      </x:c>
      <x:c r="G776" s="34" t="str">
        <x:v>RECORDED</x:v>
      </x:c>
      <x:c r="H776" s="38" t="n">
        <x:f>IF(ISNUMBER('Data'!G776),'Data'!G776*100,"")</x:f>
        <x:v>89.33</x:v>
      </x:c>
      <x:c r="I776" s="34" t="str">
        <x:v>PASS</x:v>
      </x:c>
      <x:c r="J776" s="34" t="str">
        <x:v>PASS</x:v>
      </x:c>
      <x:c r="K776" s="34" t="str">
        <x:v>PASS</x:v>
      </x:c>
      <x:c r="L776" s="34" t="str">
        <x:v>PASS</x:v>
      </x:c>
      <x:c r="M776" s="34" t="str">
        <x:v>numeric coverage for applicable metric</x:v>
      </x:c>
      <x:c r="N776" s="34" t="str">
        <x:v>Feedback-Directed Random Test Generation/Result/Math_91/result.json</x:v>
      </x:c>
      <x:c r="O776" s="38" t="n">
        <x:f>IF(AND(G776="RECORDED",ISNUMBER(H776)),H776,"")</x:f>
        <x:v>89.33</x:v>
      </x:c>
      <x:c r="P776" s="34" t="str">
        <x:v>NOT_REVEALING</x:v>
      </x:c>
      <x:c r="Q776" s="34" t="str">
        <x:v>Feedback-Directed Random Test Generation/Result/Math_91/result.json</x:v>
      </x:c>
    </x:row>
    <x:row r="777">
      <x:c r="A777" s="34" t="str">
        <x:v>randoop</x:v>
      </x:c>
      <x:c r="B777" s="34" t="str">
        <x:v>Math</x:v>
      </x:c>
      <x:c r="C777" s="34" t="str">
        <x:v>Round1</x:v>
      </x:c>
      <x:c r="D777" s="34" t="str">
        <x:v>Math_92</x:v>
      </x:c>
      <x:c r="E777" s="34" t="str">
        <x:v>Coverage</x:v>
      </x:c>
      <x:c r="F777" s="34" t="n">
        <x:v>454</x:v>
      </x:c>
      <x:c r="G777" s="34" t="str">
        <x:v>RECORDED</x:v>
      </x:c>
      <x:c r="H777" s="38" t="n">
        <x:f>IF(ISNUMBER('Data'!G777),'Data'!G777*100,"")</x:f>
        <x:v>57.269999999999996</x:v>
      </x:c>
      <x:c r="I777" s="34" t="str">
        <x:v>PASS</x:v>
      </x:c>
      <x:c r="J777" s="34" t="str">
        <x:v>PASS</x:v>
      </x:c>
      <x:c r="K777" s="34" t="str">
        <x:v>PASS</x:v>
      </x:c>
      <x:c r="L777" s="34" t="str">
        <x:v>PASS</x:v>
      </x:c>
      <x:c r="M777" s="34" t="str">
        <x:v>numeric coverage for applicable metric</x:v>
      </x:c>
      <x:c r="N777" s="34" t="str">
        <x:v>Feedback-Directed Random Test Generation/Result/Math_92/result.json</x:v>
      </x:c>
      <x:c r="O777" s="38" t="n">
        <x:f>IF(AND(G777="RECORDED",ISNUMBER(H777)),H777,"")</x:f>
        <x:v>57.269999999999996</x:v>
      </x:c>
      <x:c r="P777" s="34" t="str">
        <x:v>INCONCLUSIVE</x:v>
      </x:c>
      <x:c r="Q777" s="34" t="str">
        <x:v>Feedback-Directed Random Test Generation/Result/Math_92/result.json</x:v>
      </x:c>
    </x:row>
    <x:row r="778">
      <x:c r="A778" s="34" t="str">
        <x:v>randoop</x:v>
      </x:c>
      <x:c r="B778" s="34" t="str">
        <x:v>Math</x:v>
      </x:c>
      <x:c r="C778" s="34" t="str">
        <x:v>Round1</x:v>
      </x:c>
      <x:c r="D778" s="34" t="str">
        <x:v>Math_93</x:v>
      </x:c>
      <x:c r="E778" s="34" t="str">
        <x:v>Coverage</x:v>
      </x:c>
      <x:c r="F778" s="34" t="n">
        <x:v>443</x:v>
      </x:c>
      <x:c r="G778" s="34" t="str">
        <x:v>RECORDED</x:v>
      </x:c>
      <x:c r="H778" s="38" t="n">
        <x:f>IF(ISNUMBER('Data'!G778),'Data'!G778*100,"")</x:f>
        <x:v>56.66</x:v>
      </x:c>
      <x:c r="I778" s="34" t="str">
        <x:v>PASS</x:v>
      </x:c>
      <x:c r="J778" s="34" t="str">
        <x:v>PASS</x:v>
      </x:c>
      <x:c r="K778" s="34" t="str">
        <x:v>PASS</x:v>
      </x:c>
      <x:c r="L778" s="34" t="str">
        <x:v>PASS</x:v>
      </x:c>
      <x:c r="M778" s="34" t="str">
        <x:v>numeric coverage for applicable metric</x:v>
      </x:c>
      <x:c r="N778" s="34" t="str">
        <x:v>Feedback-Directed Random Test Generation/Result/Math_93/result.json</x:v>
      </x:c>
      <x:c r="O778" s="38" t="n">
        <x:f>IF(AND(G778="RECORDED",ISNUMBER(H778)),H778,"")</x:f>
        <x:v>56.66</x:v>
      </x:c>
      <x:c r="P778" s="34" t="str">
        <x:v>NOT_REVEALING</x:v>
      </x:c>
      <x:c r="Q778" s="34" t="str">
        <x:v>Feedback-Directed Random Test Generation/Result/Math_93/result.json</x:v>
      </x:c>
    </x:row>
    <x:row r="779">
      <x:c r="A779" s="34" t="str">
        <x:v>randoop</x:v>
      </x:c>
      <x:c r="B779" s="34" t="str">
        <x:v>Math</x:v>
      </x:c>
      <x:c r="C779" s="34" t="str">
        <x:v>Round1</x:v>
      </x:c>
      <x:c r="D779" s="34" t="str">
        <x:v>Math_94</x:v>
      </x:c>
      <x:c r="E779" s="34" t="str">
        <x:v>Coverage</x:v>
      </x:c>
      <x:c r="F779" s="34" t="n">
        <x:v>440</x:v>
      </x:c>
      <x:c r="G779" s="34" t="str">
        <x:v>RECORDED</x:v>
      </x:c>
      <x:c r="H779" s="38" t="n">
        <x:f>IF(ISNUMBER('Data'!G779),'Data'!G779*100,"")</x:f>
        <x:v>56.59</x:v>
      </x:c>
      <x:c r="I779" s="34" t="str">
        <x:v>PASS</x:v>
      </x:c>
      <x:c r="J779" s="34" t="str">
        <x:v>PASS</x:v>
      </x:c>
      <x:c r="K779" s="34" t="str">
        <x:v>PASS</x:v>
      </x:c>
      <x:c r="L779" s="34" t="str">
        <x:v>PASS</x:v>
      </x:c>
      <x:c r="M779" s="34" t="str">
        <x:v>numeric coverage for applicable metric</x:v>
      </x:c>
      <x:c r="N779" s="34" t="str">
        <x:v>Feedback-Directed Random Test Generation/Result/Math_94/result.json</x:v>
      </x:c>
      <x:c r="O779" s="38" t="n">
        <x:f>IF(AND(G779="RECORDED",ISNUMBER(H779)),H779,"")</x:f>
        <x:v>56.59</x:v>
      </x:c>
      <x:c r="P779" s="34" t="str">
        <x:v>NOT_REVEALING</x:v>
      </x:c>
      <x:c r="Q779" s="34" t="str">
        <x:v>Feedback-Directed Random Test Generation/Result/Math_94/result.json</x:v>
      </x:c>
    </x:row>
    <x:row r="780">
      <x:c r="A780" s="34" t="str">
        <x:v>randoop</x:v>
      </x:c>
      <x:c r="B780" s="34" t="str">
        <x:v>Math</x:v>
      </x:c>
      <x:c r="C780" s="34" t="str">
        <x:v>Round1</x:v>
      </x:c>
      <x:c r="D780" s="34" t="str">
        <x:v>Math_95</x:v>
      </x:c>
      <x:c r="E780" s="34" t="str">
        <x:v>Coverage</x:v>
      </x:c>
      <x:c r="F780" s="34" t="n">
        <x:v>40</x:v>
      </x:c>
      <x:c r="G780" s="34" t="str">
        <x:v>RECORDED</x:v>
      </x:c>
      <x:c r="H780" s="38" t="n">
        <x:f>IF(ISNUMBER('Data'!G780),'Data'!G780*100,"")</x:f>
        <x:v>100</x:v>
      </x:c>
      <x:c r="I780" s="34" t="str">
        <x:v>PASS</x:v>
      </x:c>
      <x:c r="J780" s="34" t="str">
        <x:v>PASS</x:v>
      </x:c>
      <x:c r="K780" s="34" t="str">
        <x:v>PASS</x:v>
      </x:c>
      <x:c r="L780" s="34" t="str">
        <x:v>PASS</x:v>
      </x:c>
      <x:c r="M780" s="34" t="str">
        <x:v>numeric coverage for applicable metric</x:v>
      </x:c>
      <x:c r="N780" s="34" t="str">
        <x:v>Feedback-Directed Random Test Generation/Result/Math_95/result.json</x:v>
      </x:c>
      <x:c r="O780" s="38" t="n">
        <x:f>IF(AND(G780="RECORDED",ISNUMBER(H780)),H780,"")</x:f>
        <x:v>100</x:v>
      </x:c>
      <x:c r="P780" s="34" t="str">
        <x:v>NOT_AVAILABLE</x:v>
      </x:c>
      <x:c r="Q780" s="34" t="str">
        <x:v>Feedback-Directed Random Test Generation/Result/Math_95/result.json</x:v>
      </x:c>
    </x:row>
    <x:row r="781">
      <x:c r="A781" s="34" t="str">
        <x:v>randoop</x:v>
      </x:c>
      <x:c r="B781" s="34" t="str">
        <x:v>Math</x:v>
      </x:c>
      <x:c r="C781" s="34" t="str">
        <x:v>Round1</x:v>
      </x:c>
      <x:c r="D781" s="34" t="str">
        <x:v>Math_96</x:v>
      </x:c>
      <x:c r="E781" s="34" t="str">
        <x:v>Coverage</x:v>
      </x:c>
      <x:c r="F781" s="34" t="n">
        <x:v>244</x:v>
      </x:c>
      <x:c r="G781" s="34" t="str">
        <x:v>RECORDED</x:v>
      </x:c>
      <x:c r="H781" s="38" t="n">
        <x:f>IF(ISNUMBER('Data'!G781),'Data'!G781*100,"")</x:f>
        <x:v>92.62</x:v>
      </x:c>
      <x:c r="I781" s="34" t="str">
        <x:v>PASS</x:v>
      </x:c>
      <x:c r="J781" s="34" t="str">
        <x:v>PASS</x:v>
      </x:c>
      <x:c r="K781" s="34" t="str">
        <x:v>PASS</x:v>
      </x:c>
      <x:c r="L781" s="34" t="str">
        <x:v>PASS</x:v>
      </x:c>
      <x:c r="M781" s="34" t="str">
        <x:v>numeric coverage for applicable metric</x:v>
      </x:c>
      <x:c r="N781" s="34" t="str">
        <x:v>Feedback-Directed Random Test Generation/Result/Math_96/result.json</x:v>
      </x:c>
      <x:c r="O781" s="38" t="n">
        <x:f>IF(AND(G781="RECORDED",ISNUMBER(H781)),H781,"")</x:f>
        <x:v>92.62</x:v>
      </x:c>
      <x:c r="P781" s="34" t="str">
        <x:v>NOT_REVEALING</x:v>
      </x:c>
      <x:c r="Q781" s="34" t="str">
        <x:v>Feedback-Directed Random Test Generation/Result/Math_96/result.json</x:v>
      </x:c>
    </x:row>
    <x:row r="782">
      <x:c r="A782" s="34" t="str">
        <x:v>randoop</x:v>
      </x:c>
      <x:c r="B782" s="34" t="str">
        <x:v>Math</x:v>
      </x:c>
      <x:c r="C782" s="34" t="str">
        <x:v>Round1</x:v>
      </x:c>
      <x:c r="D782" s="34" t="str">
        <x:v>Math_97</x:v>
      </x:c>
      <x:c r="E782" s="34" t="str">
        <x:v>Coverage</x:v>
      </x:c>
      <x:c r="F782" s="34" t="n">
        <x:v>135</x:v>
      </x:c>
      <x:c r="G782" s="34" t="str">
        <x:v>RECORDED</x:v>
      </x:c>
      <x:c r="H782" s="38" t="n">
        <x:f>IF(ISNUMBER('Data'!G782),'Data'!G782*100,"")</x:f>
        <x:v>0.74</x:v>
      </x:c>
      <x:c r="I782" s="34" t="str">
        <x:v>PASS</x:v>
      </x:c>
      <x:c r="J782" s="34" t="str">
        <x:v>PASS</x:v>
      </x:c>
      <x:c r="K782" s="34" t="str">
        <x:v>PASS</x:v>
      </x:c>
      <x:c r="L782" s="34" t="str">
        <x:v>PASS</x:v>
      </x:c>
      <x:c r="M782" s="34" t="str">
        <x:v>numeric coverage for applicable metric</x:v>
      </x:c>
      <x:c r="N782" s="34" t="str">
        <x:v>Feedback-Directed Random Test Generation/Result/Math_97/result.json</x:v>
      </x:c>
      <x:c r="O782" s="38" t="n">
        <x:f>IF(AND(G782="RECORDED",ISNUMBER(H782)),H782,"")</x:f>
        <x:v>0.74</x:v>
      </x:c>
      <x:c r="P782" s="34" t="str">
        <x:v>NOT_REVEALING</x:v>
      </x:c>
      <x:c r="Q782" s="34" t="str">
        <x:v>Feedback-Directed Random Test Generation/Result/Math_97/result.json</x:v>
      </x:c>
    </x:row>
    <x:row r="783">
      <x:c r="A783" s="34" t="str">
        <x:v>randoop</x:v>
      </x:c>
      <x:c r="B783" s="34" t="str">
        <x:v>Math</x:v>
      </x:c>
      <x:c r="C783" s="34" t="str">
        <x:v>Round1</x:v>
      </x:c>
      <x:c r="D783" s="34" t="str">
        <x:v>Math_98</x:v>
      </x:c>
      <x:c r="E783" s="34" t="str">
        <x:v>Coverage</x:v>
      </x:c>
      <x:c r="F783" s="34" t="n">
        <x:v>1472</x:v>
      </x:c>
      <x:c r="G783" s="34" t="str">
        <x:v>RECORDED</x:v>
      </x:c>
      <x:c r="H783" s="38" t="n">
        <x:f>IF(ISNUMBER('Data'!G783),'Data'!G783*100,"")</x:f>
        <x:v>78.74</x:v>
      </x:c>
      <x:c r="I783" s="34" t="str">
        <x:v>PASS</x:v>
      </x:c>
      <x:c r="J783" s="34" t="str">
        <x:v>PASS</x:v>
      </x:c>
      <x:c r="K783" s="34" t="str">
        <x:v>PASS</x:v>
      </x:c>
      <x:c r="L783" s="34" t="str">
        <x:v>FAIL</x:v>
      </x:c>
      <x:c r="M783" s="34" t="str">
        <x:v>numeric coverage for applicable metric</x:v>
      </x:c>
      <x:c r="N783" s="34" t="str">
        <x:v>Feedback-Directed Random Test Generation/Result/Math_98/result.json</x:v>
      </x:c>
      <x:c r="O783" s="38" t="n">
        <x:f>IF(AND(G783="RECORDED",ISNUMBER(H783)),H783,"")</x:f>
        <x:v>78.74</x:v>
      </x:c>
      <x:c r="P783" s="34" t="str">
        <x:v>INCONCLUSIVE</x:v>
      </x:c>
      <x:c r="Q783" s="34" t="str">
        <x:v>Feedback-Directed Random Test Generation/Result/Math_98/result.json</x:v>
      </x:c>
    </x:row>
    <x:row r="784">
      <x:c r="A784" s="34" t="str">
        <x:v>randoop</x:v>
      </x:c>
      <x:c r="B784" s="34" t="str">
        <x:v>Math</x:v>
      </x:c>
      <x:c r="C784" s="34" t="str">
        <x:v>Round1</x:v>
      </x:c>
      <x:c r="D784" s="34" t="str">
        <x:v>Math_99</x:v>
      </x:c>
      <x:c r="E784" s="34" t="str">
        <x:v>Coverage</x:v>
      </x:c>
      <x:c r="F784" s="34" t="n">
        <x:v>540</x:v>
      </x:c>
      <x:c r="G784" s="34" t="str">
        <x:v>RECORDED</x:v>
      </x:c>
      <x:c r="H784" s="38" t="n">
        <x:f>IF(ISNUMBER('Data'!G784),'Data'!G784*100,"")</x:f>
        <x:v>76.85</x:v>
      </x:c>
      <x:c r="I784" s="34" t="str">
        <x:v>PASS</x:v>
      </x:c>
      <x:c r="J784" s="34" t="str">
        <x:v>PASS</x:v>
      </x:c>
      <x:c r="K784" s="34" t="str">
        <x:v>PASS</x:v>
      </x:c>
      <x:c r="L784" s="34" t="str">
        <x:v>PASS</x:v>
      </x:c>
      <x:c r="M784" s="34" t="str">
        <x:v>numeric coverage for applicable metric</x:v>
      </x:c>
      <x:c r="N784" s="34" t="str">
        <x:v>Feedback-Directed Random Test Generation/Result/Math_99/result.json</x:v>
      </x:c>
      <x:c r="O784" s="38" t="n">
        <x:f>IF(AND(G784="RECORDED",ISNUMBER(H784)),H784,"")</x:f>
        <x:v>76.85</x:v>
      </x:c>
      <x:c r="P784" s="34" t="str">
        <x:v>NOT_REVEALING</x:v>
      </x:c>
      <x:c r="Q784" s="34" t="str">
        <x:v>Feedback-Directed Random Test Generation/Result/Math_99/result.json</x:v>
      </x:c>
    </x:row>
    <x:row r="785">
      <x:c r="A785" s="34" t="str">
        <x:v>randoop</x:v>
      </x:c>
      <x:c r="B785" s="34" t="str">
        <x:v>Math</x:v>
      </x:c>
      <x:c r="C785" s="34" t="str">
        <x:v>Round1</x:v>
      </x:c>
      <x:c r="D785" s="34" t="str">
        <x:v>Math_100</x:v>
      </x:c>
      <x:c r="E785" s="34" t="str">
        <x:v>Coverage</x:v>
      </x:c>
      <x:c r="F785" s="34" t="n">
        <x:v>95</x:v>
      </x:c>
      <x:c r="G785" s="34" t="str">
        <x:v>RECORDED</x:v>
      </x:c>
      <x:c r="H785" s="38" t="n">
        <x:f>IF(ISNUMBER('Data'!G785),'Data'!G785*100,"")</x:f>
        <x:v>0</x:v>
      </x:c>
      <x:c r="I785" s="34" t="str">
        <x:v>PASS</x:v>
      </x:c>
      <x:c r="J785" s="34" t="str">
        <x:v>PASS</x:v>
      </x:c>
      <x:c r="K785" s="34" t="str">
        <x:v>PASS</x:v>
      </x:c>
      <x:c r="L785" s="34" t="str">
        <x:v>PASS</x:v>
      </x:c>
      <x:c r="M785" s="34" t="str">
        <x:v>numeric coverage for applicable metric</x:v>
      </x:c>
      <x:c r="N785" s="34" t="str">
        <x:v>Feedback-Directed Random Test Generation/Result/Math_100/result.json</x:v>
      </x:c>
      <x:c r="O785" s="38" t="n">
        <x:f>IF(AND(G785="RECORDED",ISNUMBER(H785)),H785,"")</x:f>
        <x:v>0</x:v>
      </x:c>
      <x:c r="P785" s="34" t="str">
        <x:v>NOT_REVEALING</x:v>
      </x:c>
      <x:c r="Q785" s="34" t="str">
        <x:v>Feedback-Directed Random Test Generation/Result/Math_100/result.json</x:v>
      </x:c>
    </x:row>
    <x:row r="786">
      <x:c r="A786" s="34" t="str">
        <x:v>randoop</x:v>
      </x:c>
      <x:c r="B786" s="34" t="str">
        <x:v>Math</x:v>
      </x:c>
      <x:c r="C786" s="34" t="str">
        <x:v>Round1</x:v>
      </x:c>
      <x:c r="D786" s="34" t="str">
        <x:v>Math_101</x:v>
      </x:c>
      <x:c r="E786" s="34" t="str">
        <x:v>Coverage</x:v>
      </x:c>
      <x:c r="F786" s="34" t="n">
        <x:v>195</x:v>
      </x:c>
      <x:c r="G786" s="34" t="str">
        <x:v>RECORDED</x:v>
      </x:c>
      <x:c r="H786" s="38" t="n">
        <x:f>IF(ISNUMBER('Data'!G786),'Data'!G786*100,"")</x:f>
        <x:v>70.77</x:v>
      </x:c>
      <x:c r="I786" s="34" t="str">
        <x:v>PASS</x:v>
      </x:c>
      <x:c r="J786" s="34" t="str">
        <x:v>PASS</x:v>
      </x:c>
      <x:c r="K786" s="34" t="str">
        <x:v>PASS</x:v>
      </x:c>
      <x:c r="L786" s="34" t="str">
        <x:v>PASS</x:v>
      </x:c>
      <x:c r="M786" s="34" t="str">
        <x:v>numeric coverage for applicable metric</x:v>
      </x:c>
      <x:c r="N786" s="34" t="str">
        <x:v>Feedback-Directed Random Test Generation/Result/Math_101/result.json</x:v>
      </x:c>
      <x:c r="O786" s="38" t="n">
        <x:f>IF(AND(G786="RECORDED",ISNUMBER(H786)),H786,"")</x:f>
        <x:v>70.77</x:v>
      </x:c>
      <x:c r="P786" s="34" t="str">
        <x:v>NOT_REVEALING</x:v>
      </x:c>
      <x:c r="Q786" s="34" t="str">
        <x:v>Feedback-Directed Random Test Generation/Result/Math_101/result.json</x:v>
      </x:c>
    </x:row>
    <x:row r="787">
      <x:c r="A787" s="34" t="str">
        <x:v>randoop</x:v>
      </x:c>
      <x:c r="B787" s="34" t="str">
        <x:v>Math</x:v>
      </x:c>
      <x:c r="C787" s="34" t="str">
        <x:v>Round1</x:v>
      </x:c>
      <x:c r="D787" s="34" t="str">
        <x:v>Math_102</x:v>
      </x:c>
      <x:c r="E787" s="34" t="str">
        <x:v>Coverage</x:v>
      </x:c>
      <x:c r="F787" s="34" t="n">
        <x:v>197</x:v>
      </x:c>
      <x:c r="G787" s="34" t="str">
        <x:v>RECORDED</x:v>
      </x:c>
      <x:c r="H787" s="38" t="n">
        <x:f>IF(ISNUMBER('Data'!G787),'Data'!G787*100,"")</x:f>
        <x:v>91.88</x:v>
      </x:c>
      <x:c r="I787" s="34" t="str">
        <x:v>PASS</x:v>
      </x:c>
      <x:c r="J787" s="34" t="str">
        <x:v>PASS</x:v>
      </x:c>
      <x:c r="K787" s="34" t="str">
        <x:v>PASS</x:v>
      </x:c>
      <x:c r="L787" s="34" t="str">
        <x:v>PASS</x:v>
      </x:c>
      <x:c r="M787" s="34" t="str">
        <x:v>numeric coverage for applicable metric</x:v>
      </x:c>
      <x:c r="N787" s="34" t="str">
        <x:v>Feedback-Directed Random Test Generation/Result/Math_102/result.json</x:v>
      </x:c>
      <x:c r="O787" s="38" t="n">
        <x:f>IF(AND(G787="RECORDED",ISNUMBER(H787)),H787,"")</x:f>
        <x:v>91.88</x:v>
      </x:c>
      <x:c r="P787" s="34" t="str">
        <x:v>INCONCLUSIVE</x:v>
      </x:c>
      <x:c r="Q787" s="34" t="str">
        <x:v>Feedback-Directed Random Test Generation/Result/Math_102/result.json</x:v>
      </x:c>
    </x:row>
    <x:row r="788">
      <x:c r="A788" s="34" t="str">
        <x:v>randoop</x:v>
      </x:c>
      <x:c r="B788" s="34" t="str">
        <x:v>Math</x:v>
      </x:c>
      <x:c r="C788" s="34" t="str">
        <x:v>Round1</x:v>
      </x:c>
      <x:c r="D788" s="34" t="str">
        <x:v>Math_103</x:v>
      </x:c>
      <x:c r="E788" s="34" t="str">
        <x:v>Coverage</x:v>
      </x:c>
      <x:c r="F788" s="34" t="n">
        <x:v>51</x:v>
      </x:c>
      <x:c r="G788" s="34" t="str">
        <x:v>RECORDED</x:v>
      </x:c>
      <x:c r="H788" s="38" t="n">
        <x:f>IF(ISNUMBER('Data'!G788),'Data'!G788*100,"")</x:f>
        <x:v>100</x:v>
      </x:c>
      <x:c r="I788" s="34" t="str">
        <x:v>PASS</x:v>
      </x:c>
      <x:c r="J788" s="34" t="str">
        <x:v>PASS</x:v>
      </x:c>
      <x:c r="K788" s="34" t="str">
        <x:v>PASS</x:v>
      </x:c>
      <x:c r="L788" s="34" t="str">
        <x:v>PASS</x:v>
      </x:c>
      <x:c r="M788" s="34" t="str">
        <x:v>numeric coverage for applicable metric</x:v>
      </x:c>
      <x:c r="N788" s="34" t="str">
        <x:v>Feedback-Directed Random Test Generation/Result/Math_103/result.json</x:v>
      </x:c>
      <x:c r="O788" s="38" t="n">
        <x:f>IF(AND(G788="RECORDED",ISNUMBER(H788)),H788,"")</x:f>
        <x:v>100</x:v>
      </x:c>
      <x:c r="P788" s="34" t="str">
        <x:v>INCONCLUSIVE</x:v>
      </x:c>
      <x:c r="Q788" s="34" t="str">
        <x:v>Feedback-Directed Random Test Generation/Result/Math_103/result.json</x:v>
      </x:c>
    </x:row>
    <x:row r="789">
      <x:c r="A789" s="34" t="str">
        <x:v>randoop</x:v>
      </x:c>
      <x:c r="B789" s="34" t="str">
        <x:v>Math</x:v>
      </x:c>
      <x:c r="C789" s="34" t="str">
        <x:v>Round1</x:v>
      </x:c>
      <x:c r="D789" s="34" t="str">
        <x:v>Math_104</x:v>
      </x:c>
      <x:c r="E789" s="34" t="str">
        <x:v>Coverage</x:v>
      </x:c>
      <x:c r="F789" s="34" t="n">
        <x:v>87</x:v>
      </x:c>
      <x:c r="G789" s="34" t="str">
        <x:v>RECORDED</x:v>
      </x:c>
      <x:c r="H789" s="38" t="n">
        <x:f>IF(ISNUMBER('Data'!G789),'Data'!G789*100,"")</x:f>
        <x:v>97.7</x:v>
      </x:c>
      <x:c r="I789" s="34" t="str">
        <x:v>PASS</x:v>
      </x:c>
      <x:c r="J789" s="34" t="str">
        <x:v>PASS</x:v>
      </x:c>
      <x:c r="K789" s="34" t="str">
        <x:v>PASS</x:v>
      </x:c>
      <x:c r="L789" s="34" t="str">
        <x:v>PASS</x:v>
      </x:c>
      <x:c r="M789" s="34" t="str">
        <x:v>numeric coverage for applicable metric</x:v>
      </x:c>
      <x:c r="N789" s="34" t="str">
        <x:v>Feedback-Directed Random Test Generation/Result/Math_104/result.json</x:v>
      </x:c>
      <x:c r="O789" s="38" t="n">
        <x:f>IF(AND(G789="RECORDED",ISNUMBER(H789)),H789,"")</x:f>
        <x:v>97.7</x:v>
      </x:c>
      <x:c r="P789" s="34" t="str">
        <x:v>INCONCLUSIVE</x:v>
      </x:c>
      <x:c r="Q789" s="34" t="str">
        <x:v>Feedback-Directed Random Test Generation/Result/Math_104/result.json</x:v>
      </x:c>
    </x:row>
    <x:row r="790">
      <x:c r="A790" s="34" t="str">
        <x:v>randoop</x:v>
      </x:c>
      <x:c r="B790" s="34" t="str">
        <x:v>Math</x:v>
      </x:c>
      <x:c r="C790" s="34" t="str">
        <x:v>Round1</x:v>
      </x:c>
      <x:c r="D790" s="34" t="str">
        <x:v>Math_105</x:v>
      </x:c>
      <x:c r="E790" s="34" t="str">
        <x:v>Coverage</x:v>
      </x:c>
      <x:c r="F790" s="34" t="n">
        <x:v>89</x:v>
      </x:c>
      <x:c r="G790" s="34" t="str">
        <x:v>RECORDED</x:v>
      </x:c>
      <x:c r="H790" s="38" t="n">
        <x:f>IF(ISNUMBER('Data'!G790),'Data'!G790*100,"")</x:f>
        <x:v>94.38</x:v>
      </x:c>
      <x:c r="I790" s="34" t="str">
        <x:v>PASS</x:v>
      </x:c>
      <x:c r="J790" s="34" t="str">
        <x:v>PASS</x:v>
      </x:c>
      <x:c r="K790" s="34" t="str">
        <x:v>PASS</x:v>
      </x:c>
      <x:c r="L790" s="34" t="str">
        <x:v>PASS</x:v>
      </x:c>
      <x:c r="M790" s="34" t="str">
        <x:v>numeric coverage for applicable metric</x:v>
      </x:c>
      <x:c r="N790" s="34" t="str">
        <x:v>Feedback-Directed Random Test Generation/Result/Math_105/result.json</x:v>
      </x:c>
      <x:c r="O790" s="38" t="n">
        <x:f>IF(AND(G790="RECORDED",ISNUMBER(H790)),H790,"")</x:f>
        <x:v>94.38</x:v>
      </x:c>
      <x:c r="P790" s="34" t="str">
        <x:v>NOT_REVEALING</x:v>
      </x:c>
      <x:c r="Q790" s="34" t="str">
        <x:v>Feedback-Directed Random Test Generation/Result/Math_105/result.json</x:v>
      </x:c>
    </x:row>
    <x:row r="791">
      <x:c r="A791" s="34" t="str">
        <x:v>randoop</x:v>
      </x:c>
      <x:c r="B791" s="34" t="str">
        <x:v>Math</x:v>
      </x:c>
      <x:c r="C791" s="34" t="str">
        <x:v>Round1</x:v>
      </x:c>
      <x:c r="D791" s="34" t="str">
        <x:v>Math_106</x:v>
      </x:c>
      <x:c r="E791" s="34" t="str">
        <x:v>Coverage</x:v>
      </x:c>
      <x:c r="F791" s="34" t="n">
        <x:v>72</x:v>
      </x:c>
      <x:c r="G791" s="34" t="str">
        <x:v>RECORDED</x:v>
      </x:c>
      <x:c r="H791" s="38" t="n">
        <x:f>IF(ISNUMBER('Data'!G791),'Data'!G791*100,"")</x:f>
        <x:v>83.33</x:v>
      </x:c>
      <x:c r="I791" s="34" t="str">
        <x:v>PASS</x:v>
      </x:c>
      <x:c r="J791" s="34" t="str">
        <x:v>PASS</x:v>
      </x:c>
      <x:c r="K791" s="34" t="str">
        <x:v>PASS</x:v>
      </x:c>
      <x:c r="L791" s="34" t="str">
        <x:v>PASS</x:v>
      </x:c>
      <x:c r="M791" s="34" t="str">
        <x:v>numeric coverage for applicable metric</x:v>
      </x:c>
      <x:c r="N791" s="34" t="str">
        <x:v>Feedback-Directed Random Test Generation/Result/Math_106/result.json</x:v>
      </x:c>
      <x:c r="O791" s="38" t="n">
        <x:f>IF(AND(G791="RECORDED",ISNUMBER(H791)),H791,"")</x:f>
        <x:v>83.33</x:v>
      </x:c>
      <x:c r="P791" s="34" t="str">
        <x:v>NOT_REVEALING</x:v>
      </x:c>
      <x:c r="Q791" s="34" t="str">
        <x:v>Feedback-Directed Random Test Generation/Result/Math_106/result.json</x:v>
      </x:c>
    </x:row>
    <x:row r="792">
      <x:c r="A792" s="34" t="str">
        <x:v>randoop</x:v>
      </x:c>
      <x:c r="B792" s="34" t="str">
        <x:v>Mockito</x:v>
      </x:c>
      <x:c r="C792" s="34" t="str">
        <x:v>Round1</x:v>
      </x:c>
      <x:c r="D792" s="34" t="str">
        <x:v>Mockito_1</x:v>
      </x:c>
      <x:c r="E792" s="34" t="str">
        <x:v>Coverage</x:v>
      </x:c>
      <x:c r="F792" s="34" t="n">
        <x:v>0</x:v>
      </x:c>
      <x:c r="G792" s="34" t="str">
        <x:v>A</x:v>
      </x:c>
      <x:c r="H792" s="38" t="str">
        <x:f>IF(ISNUMBER('Data'!G792),'Data'!G792*100,"")</x:f>
      </x:c>
      <x:c r="I792" s="34"/>
      <x:c r="J792" s="34" t="str">
        <x:v>FAIL</x:v>
      </x:c>
      <x:c r="K792" s="34"/>
      <x:c r="L792" s="34" t="str">
        <x:v>NOT_RUN</x:v>
      </x:c>
      <x:c r="M792" s="34" t="str">
        <x:v>coverage unavailable or execution/compile failed</x:v>
      </x:c>
      <x:c r="N792" s="34" t="str">
        <x:v>Feedback-Directed Random Test Generation/Result/Mockito_1/result.json</x:v>
      </x:c>
      <x:c r="O792" s="38" t="str">
        <x:f>IF(AND(G792="RECORDED",ISNUMBER(H792)),H792,"")</x:f>
      </x:c>
      <x:c r="P792" s="34" t="str">
        <x:v>NOT_AVAILABLE</x:v>
      </x:c>
      <x:c r="Q792" s="34" t="str">
        <x:v>Feedback-Directed Random Test Generation/Result/Mockito_1/result.json</x:v>
      </x:c>
    </x:row>
    <x:row r="793">
      <x:c r="A793" s="34" t="str">
        <x:v>randoop</x:v>
      </x:c>
      <x:c r="B793" s="34" t="str">
        <x:v>Mockito</x:v>
      </x:c>
      <x:c r="C793" s="34" t="str">
        <x:v>Round1</x:v>
      </x:c>
      <x:c r="D793" s="34" t="str">
        <x:v>Mockito_2</x:v>
      </x:c>
      <x:c r="E793" s="34" t="str">
        <x:v>Coverage</x:v>
      </x:c>
      <x:c r="F793" s="34" t="n">
        <x:v>0</x:v>
      </x:c>
      <x:c r="G793" s="34" t="str">
        <x:v>A</x:v>
      </x:c>
      <x:c r="H793" s="38" t="str">
        <x:f>IF(ISNUMBER('Data'!G793),'Data'!G793*100,"")</x:f>
      </x:c>
      <x:c r="I793" s="34"/>
      <x:c r="J793" s="34" t="str">
        <x:v>FAIL</x:v>
      </x:c>
      <x:c r="K793" s="34"/>
      <x:c r="L793" s="34" t="str">
        <x:v>NOT_RUN</x:v>
      </x:c>
      <x:c r="M793" s="34" t="str">
        <x:v>coverage unavailable or execution/compile failed</x:v>
      </x:c>
      <x:c r="N793" s="34" t="str">
        <x:v>Feedback-Directed Random Test Generation/Result/Mockito_2/result.json</x:v>
      </x:c>
      <x:c r="O793" s="38" t="str">
        <x:f>IF(AND(G793="RECORDED",ISNUMBER(H793)),H793,"")</x:f>
      </x:c>
      <x:c r="P793" s="34" t="str">
        <x:v>NOT_AVAILABLE</x:v>
      </x:c>
      <x:c r="Q793" s="34" t="str">
        <x:v>Feedback-Directed Random Test Generation/Result/Mockito_2/result.json</x:v>
      </x:c>
    </x:row>
    <x:row r="794">
      <x:c r="A794" s="34" t="str">
        <x:v>randoop</x:v>
      </x:c>
      <x:c r="B794" s="34" t="str">
        <x:v>Mockito</x:v>
      </x:c>
      <x:c r="C794" s="34" t="str">
        <x:v>Round1</x:v>
      </x:c>
      <x:c r="D794" s="34" t="str">
        <x:v>Mockito_3</x:v>
      </x:c>
      <x:c r="E794" s="34" t="str">
        <x:v>Coverage</x:v>
      </x:c>
      <x:c r="F794" s="34" t="n">
        <x:v>0</x:v>
      </x:c>
      <x:c r="G794" s="34" t="str">
        <x:v>A</x:v>
      </x:c>
      <x:c r="H794" s="38" t="str">
        <x:f>IF(ISNUMBER('Data'!G794),'Data'!G794*100,"")</x:f>
      </x:c>
      <x:c r="I794" s="34"/>
      <x:c r="J794" s="34" t="str">
        <x:v>FAIL</x:v>
      </x:c>
      <x:c r="K794" s="34"/>
      <x:c r="L794" s="34" t="str">
        <x:v>NOT_RUN</x:v>
      </x:c>
      <x:c r="M794" s="34" t="str">
        <x:v>coverage unavailable or execution/compile failed</x:v>
      </x:c>
      <x:c r="N794" s="34" t="str">
        <x:v>Feedback-Directed Random Test Generation/Result/Mockito_3/result.json</x:v>
      </x:c>
      <x:c r="O794" s="38" t="str">
        <x:f>IF(AND(G794="RECORDED",ISNUMBER(H794)),H794,"")</x:f>
      </x:c>
      <x:c r="P794" s="34" t="str">
        <x:v>NOT_AVAILABLE</x:v>
      </x:c>
      <x:c r="Q794" s="34" t="str">
        <x:v>Feedback-Directed Random Test Generation/Result/Mockito_3/result.json</x:v>
      </x:c>
    </x:row>
    <x:row r="795">
      <x:c r="A795" s="34" t="str">
        <x:v>randoop</x:v>
      </x:c>
      <x:c r="B795" s="34" t="str">
        <x:v>Mockito</x:v>
      </x:c>
      <x:c r="C795" s="34" t="str">
        <x:v>Round1</x:v>
      </x:c>
      <x:c r="D795" s="34" t="str">
        <x:v>Mockito_4</x:v>
      </x:c>
      <x:c r="E795" s="34" t="str">
        <x:v>Coverage</x:v>
      </x:c>
      <x:c r="F795" s="34" t="n">
        <x:v>0</x:v>
      </x:c>
      <x:c r="G795" s="34" t="str">
        <x:v>A</x:v>
      </x:c>
      <x:c r="H795" s="38" t="str">
        <x:f>IF(ISNUMBER('Data'!G795),'Data'!G795*100,"")</x:f>
      </x:c>
      <x:c r="I795" s="34"/>
      <x:c r="J795" s="34" t="str">
        <x:v>FAIL</x:v>
      </x:c>
      <x:c r="K795" s="34"/>
      <x:c r="L795" s="34" t="str">
        <x:v>NOT_RUN</x:v>
      </x:c>
      <x:c r="M795" s="34" t="str">
        <x:v>coverage unavailable or execution/compile failed</x:v>
      </x:c>
      <x:c r="N795" s="34" t="str">
        <x:v>Feedback-Directed Random Test Generation/Result/Mockito_4/result.json</x:v>
      </x:c>
      <x:c r="O795" s="38" t="str">
        <x:f>IF(AND(G795="RECORDED",ISNUMBER(H795)),H795,"")</x:f>
      </x:c>
      <x:c r="P795" s="34" t="str">
        <x:v>NOT_AVAILABLE</x:v>
      </x:c>
      <x:c r="Q795" s="34" t="str">
        <x:v>Feedback-Directed Random Test Generation/Result/Mockito_4/result.json</x:v>
      </x:c>
    </x:row>
    <x:row r="796">
      <x:c r="A796" s="34" t="str">
        <x:v>randoop</x:v>
      </x:c>
      <x:c r="B796" s="34" t="str">
        <x:v>Mockito</x:v>
      </x:c>
      <x:c r="C796" s="34" t="str">
        <x:v>Round1</x:v>
      </x:c>
      <x:c r="D796" s="34" t="str">
        <x:v>Mockito_5</x:v>
      </x:c>
      <x:c r="E796" s="34" t="str">
        <x:v>Coverage</x:v>
      </x:c>
      <x:c r="F796" s="34" t="n">
        <x:v>0</x:v>
      </x:c>
      <x:c r="G796" s="34" t="str">
        <x:v>A</x:v>
      </x:c>
      <x:c r="H796" s="38" t="str">
        <x:f>IF(ISNUMBER('Data'!G796),'Data'!G796*100,"")</x:f>
      </x:c>
      <x:c r="I796" s="34"/>
      <x:c r="J796" s="34" t="str">
        <x:v>FAIL</x:v>
      </x:c>
      <x:c r="K796" s="34"/>
      <x:c r="L796" s="34" t="str">
        <x:v>NOT_RUN</x:v>
      </x:c>
      <x:c r="M796" s="34" t="str">
        <x:v>coverage unavailable or execution/compile failed</x:v>
      </x:c>
      <x:c r="N796" s="34" t="str">
        <x:v>Feedback-Directed Random Test Generation/Result/Mockito_5/result.json</x:v>
      </x:c>
      <x:c r="O796" s="38" t="str">
        <x:f>IF(AND(G796="RECORDED",ISNUMBER(H796)),H796,"")</x:f>
      </x:c>
      <x:c r="P796" s="34" t="str">
        <x:v>NOT_AVAILABLE</x:v>
      </x:c>
      <x:c r="Q796" s="34" t="str">
        <x:v>Feedback-Directed Random Test Generation/Result/Mockito_5/result.json</x:v>
      </x:c>
    </x:row>
    <x:row r="797">
      <x:c r="A797" s="34" t="str">
        <x:v>randoop</x:v>
      </x:c>
      <x:c r="B797" s="34" t="str">
        <x:v>Mockito</x:v>
      </x:c>
      <x:c r="C797" s="34" t="str">
        <x:v>Round1</x:v>
      </x:c>
      <x:c r="D797" s="34" t="str">
        <x:v>Mockito_6</x:v>
      </x:c>
      <x:c r="E797" s="34" t="str">
        <x:v>Coverage</x:v>
      </x:c>
      <x:c r="F797" s="34" t="n">
        <x:v>0</x:v>
      </x:c>
      <x:c r="G797" s="34" t="str">
        <x:v>A</x:v>
      </x:c>
      <x:c r="H797" s="38" t="str">
        <x:f>IF(ISNUMBER('Data'!G797),'Data'!G797*100,"")</x:f>
      </x:c>
      <x:c r="I797" s="34"/>
      <x:c r="J797" s="34" t="str">
        <x:v>FAIL</x:v>
      </x:c>
      <x:c r="K797" s="34"/>
      <x:c r="L797" s="34" t="str">
        <x:v>NOT_RUN</x:v>
      </x:c>
      <x:c r="M797" s="34" t="str">
        <x:v>coverage unavailable or execution/compile failed</x:v>
      </x:c>
      <x:c r="N797" s="34" t="str">
        <x:v>Feedback-Directed Random Test Generation/Result/Mockito_6/result.json</x:v>
      </x:c>
      <x:c r="O797" s="38" t="str">
        <x:f>IF(AND(G797="RECORDED",ISNUMBER(H797)),H797,"")</x:f>
      </x:c>
      <x:c r="P797" s="34" t="str">
        <x:v>NOT_AVAILABLE</x:v>
      </x:c>
      <x:c r="Q797" s="34" t="str">
        <x:v>Feedback-Directed Random Test Generation/Result/Mockito_6/result.json</x:v>
      </x:c>
    </x:row>
    <x:row r="798">
      <x:c r="A798" s="34" t="str">
        <x:v>randoop</x:v>
      </x:c>
      <x:c r="B798" s="34" t="str">
        <x:v>Mockito</x:v>
      </x:c>
      <x:c r="C798" s="34" t="str">
        <x:v>Round1</x:v>
      </x:c>
      <x:c r="D798" s="34" t="str">
        <x:v>Mockito_7</x:v>
      </x:c>
      <x:c r="E798" s="34" t="str">
        <x:v>Coverage</x:v>
      </x:c>
      <x:c r="F798" s="34" t="n">
        <x:v>0</x:v>
      </x:c>
      <x:c r="G798" s="34" t="str">
        <x:v>A</x:v>
      </x:c>
      <x:c r="H798" s="38" t="str">
        <x:f>IF(ISNUMBER('Data'!G798),'Data'!G798*100,"")</x:f>
      </x:c>
      <x:c r="I798" s="34"/>
      <x:c r="J798" s="34" t="str">
        <x:v>FAIL</x:v>
      </x:c>
      <x:c r="K798" s="34"/>
      <x:c r="L798" s="34" t="str">
        <x:v>NOT_RUN</x:v>
      </x:c>
      <x:c r="M798" s="34" t="str">
        <x:v>coverage unavailable or execution/compile failed</x:v>
      </x:c>
      <x:c r="N798" s="34" t="str">
        <x:v>Feedback-Directed Random Test Generation/Result/Mockito_7/result.json</x:v>
      </x:c>
      <x:c r="O798" s="38" t="str">
        <x:f>IF(AND(G798="RECORDED",ISNUMBER(H798)),H798,"")</x:f>
      </x:c>
      <x:c r="P798" s="34" t="str">
        <x:v>NOT_AVAILABLE</x:v>
      </x:c>
      <x:c r="Q798" s="34" t="str">
        <x:v>Feedback-Directed Random Test Generation/Result/Mockito_7/result.json</x:v>
      </x:c>
    </x:row>
    <x:row r="799">
      <x:c r="A799" s="34" t="str">
        <x:v>randoop</x:v>
      </x:c>
      <x:c r="B799" s="34" t="str">
        <x:v>Mockito</x:v>
      </x:c>
      <x:c r="C799" s="34" t="str">
        <x:v>Round1</x:v>
      </x:c>
      <x:c r="D799" s="34" t="str">
        <x:v>Mockito_8</x:v>
      </x:c>
      <x:c r="E799" s="34" t="str">
        <x:v>Coverage</x:v>
      </x:c>
      <x:c r="F799" s="34" t="n">
        <x:v>0</x:v>
      </x:c>
      <x:c r="G799" s="34" t="str">
        <x:v>A</x:v>
      </x:c>
      <x:c r="H799" s="38" t="str">
        <x:f>IF(ISNUMBER('Data'!G799),'Data'!G799*100,"")</x:f>
      </x:c>
      <x:c r="I799" s="34"/>
      <x:c r="J799" s="34" t="str">
        <x:v>FAIL</x:v>
      </x:c>
      <x:c r="K799" s="34"/>
      <x:c r="L799" s="34" t="str">
        <x:v>NOT_RUN</x:v>
      </x:c>
      <x:c r="M799" s="34" t="str">
        <x:v>coverage unavailable or execution/compile failed</x:v>
      </x:c>
      <x:c r="N799" s="34" t="str">
        <x:v>Feedback-Directed Random Test Generation/Result/Mockito_8/result.json</x:v>
      </x:c>
      <x:c r="O799" s="38" t="str">
        <x:f>IF(AND(G799="RECORDED",ISNUMBER(H799)),H799,"")</x:f>
      </x:c>
      <x:c r="P799" s="34" t="str">
        <x:v>NOT_AVAILABLE</x:v>
      </x:c>
      <x:c r="Q799" s="34" t="str">
        <x:v>Feedback-Directed Random Test Generation/Result/Mockito_8/result.json</x:v>
      </x:c>
    </x:row>
    <x:row r="800">
      <x:c r="A800" s="34" t="str">
        <x:v>randoop</x:v>
      </x:c>
      <x:c r="B800" s="34" t="str">
        <x:v>Mockito</x:v>
      </x:c>
      <x:c r="C800" s="34" t="str">
        <x:v>Round1</x:v>
      </x:c>
      <x:c r="D800" s="34" t="str">
        <x:v>Mockito_9</x:v>
      </x:c>
      <x:c r="E800" s="34" t="str">
        <x:v>Coverage</x:v>
      </x:c>
      <x:c r="F800" s="34" t="n">
        <x:v>0</x:v>
      </x:c>
      <x:c r="G800" s="34" t="str">
        <x:v>A</x:v>
      </x:c>
      <x:c r="H800" s="38" t="str">
        <x:f>IF(ISNUMBER('Data'!G800),'Data'!G800*100,"")</x:f>
      </x:c>
      <x:c r="I800" s="34"/>
      <x:c r="J800" s="34" t="str">
        <x:v>FAIL</x:v>
      </x:c>
      <x:c r="K800" s="34"/>
      <x:c r="L800" s="34" t="str">
        <x:v>NOT_RUN</x:v>
      </x:c>
      <x:c r="M800" s="34" t="str">
        <x:v>coverage unavailable or execution/compile failed</x:v>
      </x:c>
      <x:c r="N800" s="34" t="str">
        <x:v>Feedback-Directed Random Test Generation/Result/Mockito_9/result.json</x:v>
      </x:c>
      <x:c r="O800" s="38" t="str">
        <x:f>IF(AND(G800="RECORDED",ISNUMBER(H800)),H800,"")</x:f>
      </x:c>
      <x:c r="P800" s="34" t="str">
        <x:v>NOT_AVAILABLE</x:v>
      </x:c>
      <x:c r="Q800" s="34" t="str">
        <x:v>Feedback-Directed Random Test Generation/Result/Mockito_9/result.json</x:v>
      </x:c>
    </x:row>
    <x:row r="801">
      <x:c r="A801" s="34" t="str">
        <x:v>randoop</x:v>
      </x:c>
      <x:c r="B801" s="34" t="str">
        <x:v>Mockito</x:v>
      </x:c>
      <x:c r="C801" s="34" t="str">
        <x:v>Round1</x:v>
      </x:c>
      <x:c r="D801" s="34" t="str">
        <x:v>Mockito_10</x:v>
      </x:c>
      <x:c r="E801" s="34" t="str">
        <x:v>Coverage</x:v>
      </x:c>
      <x:c r="F801" s="34" t="n">
        <x:v>50</x:v>
      </x:c>
      <x:c r="G801" s="34" t="str">
        <x:v>RECORDED</x:v>
      </x:c>
      <x:c r="H801" s="38" t="n">
        <x:f>IF(ISNUMBER('Data'!G801),'Data'!G801*100,"")</x:f>
        <x:v>8</x:v>
      </x:c>
      <x:c r="I801" s="34" t="str">
        <x:v>PASS</x:v>
      </x:c>
      <x:c r="J801" s="34" t="str">
        <x:v>PASS</x:v>
      </x:c>
      <x:c r="K801" s="34" t="str">
        <x:v>PASS</x:v>
      </x:c>
      <x:c r="L801" s="34" t="str">
        <x:v>PASS</x:v>
      </x:c>
      <x:c r="M801" s="34" t="str">
        <x:v>numeric coverage for applicable metric</x:v>
      </x:c>
      <x:c r="N801" s="34" t="str">
        <x:v>Feedback-Directed Random Test Generation/Result/Mockito_10/result.json</x:v>
      </x:c>
      <x:c r="O801" s="38" t="n">
        <x:f>IF(AND(G801="RECORDED",ISNUMBER(H801)),H801,"")</x:f>
        <x:v>8</x:v>
      </x:c>
      <x:c r="P801" s="34" t="str">
        <x:v>NOT_REVEALING</x:v>
      </x:c>
      <x:c r="Q801" s="34" t="str">
        <x:v>Feedback-Directed Random Test Generation/Result/Mockito_10/result.json</x:v>
      </x:c>
    </x:row>
    <x:row r="802">
      <x:c r="A802" s="34" t="str">
        <x:v>randoop</x:v>
      </x:c>
      <x:c r="B802" s="34" t="str">
        <x:v>Mockito</x:v>
      </x:c>
      <x:c r="C802" s="34" t="str">
        <x:v>Round1</x:v>
      </x:c>
      <x:c r="D802" s="34" t="str">
        <x:v>Mockito_11</x:v>
      </x:c>
      <x:c r="E802" s="34" t="str">
        <x:v>Coverage</x:v>
      </x:c>
      <x:c r="F802" s="34" t="n">
        <x:v>20</x:v>
      </x:c>
      <x:c r="G802" s="34" t="str">
        <x:v>RECORDED</x:v>
      </x:c>
      <x:c r="H802" s="38" t="n">
        <x:f>IF(ISNUMBER('Data'!G802),'Data'!G802*100,"")</x:f>
        <x:v>0</x:v>
      </x:c>
      <x:c r="I802" s="34" t="str">
        <x:v>PASS</x:v>
      </x:c>
      <x:c r="J802" s="34" t="str">
        <x:v>PASS</x:v>
      </x:c>
      <x:c r="K802" s="34" t="str">
        <x:v>PASS</x:v>
      </x:c>
      <x:c r="L802" s="34" t="str">
        <x:v>PASS</x:v>
      </x:c>
      <x:c r="M802" s="34" t="str">
        <x:v>numeric coverage for applicable metric</x:v>
      </x:c>
      <x:c r="N802" s="34" t="str">
        <x:v>Feedback-Directed Random Test Generation/Result/Mockito_11/result.json</x:v>
      </x:c>
      <x:c r="O802" s="38" t="n">
        <x:f>IF(AND(G802="RECORDED",ISNUMBER(H802)),H802,"")</x:f>
        <x:v>0</x:v>
      </x:c>
      <x:c r="P802" s="34" t="str">
        <x:v>NOT_REVEALING</x:v>
      </x:c>
      <x:c r="Q802" s="34" t="str">
        <x:v>Feedback-Directed Random Test Generation/Result/Mockito_11/result.json</x:v>
      </x:c>
    </x:row>
    <x:row r="803">
      <x:c r="A803" s="34" t="str">
        <x:v>randoop</x:v>
      </x:c>
      <x:c r="B803" s="34" t="str">
        <x:v>Mockito</x:v>
      </x:c>
      <x:c r="C803" s="34" t="str">
        <x:v>Round1</x:v>
      </x:c>
      <x:c r="D803" s="34" t="str">
        <x:v>Mockito_12</x:v>
      </x:c>
      <x:c r="E803" s="34" t="str">
        <x:v>Coverage</x:v>
      </x:c>
      <x:c r="F803" s="34" t="n">
        <x:v>10</x:v>
      </x:c>
      <x:c r="G803" s="34" t="str">
        <x:v>RECORDED</x:v>
      </x:c>
      <x:c r="H803" s="38" t="n">
        <x:f>IF(ISNUMBER('Data'!G803),'Data'!G803*100,"")</x:f>
        <x:v>20</x:v>
      </x:c>
      <x:c r="I803" s="34" t="str">
        <x:v>PASS</x:v>
      </x:c>
      <x:c r="J803" s="34" t="str">
        <x:v>PASS</x:v>
      </x:c>
      <x:c r="K803" s="34" t="str">
        <x:v>PASS</x:v>
      </x:c>
      <x:c r="L803" s="34" t="str">
        <x:v>PASS</x:v>
      </x:c>
      <x:c r="M803" s="34" t="str">
        <x:v>numeric coverage for applicable metric</x:v>
      </x:c>
      <x:c r="N803" s="34" t="str">
        <x:v>Feedback-Directed Random Test Generation/Result/Mockito_12/result.json</x:v>
      </x:c>
      <x:c r="O803" s="38" t="n">
        <x:f>IF(AND(G803="RECORDED",ISNUMBER(H803)),H803,"")</x:f>
        <x:v>20</x:v>
      </x:c>
      <x:c r="P803" s="34" t="str">
        <x:v>NOT_REVEALING</x:v>
      </x:c>
      <x:c r="Q803" s="34" t="str">
        <x:v>Feedback-Directed Random Test Generation/Result/Mockito_12/result.json</x:v>
      </x:c>
    </x:row>
    <x:row r="804">
      <x:c r="A804" s="34" t="str">
        <x:v>randoop</x:v>
      </x:c>
      <x:c r="B804" s="34" t="str">
        <x:v>Mockito</x:v>
      </x:c>
      <x:c r="C804" s="34" t="str">
        <x:v>Round1</x:v>
      </x:c>
      <x:c r="D804" s="34" t="str">
        <x:v>Mockito_13</x:v>
      </x:c>
      <x:c r="E804" s="34" t="str">
        <x:v>Coverage</x:v>
      </x:c>
      <x:c r="F804" s="34" t="n">
        <x:v>50</x:v>
      </x:c>
      <x:c r="G804" s="34" t="str">
        <x:v>RECORDED</x:v>
      </x:c>
      <x:c r="H804" s="38" t="n">
        <x:f>IF(ISNUMBER('Data'!G804),'Data'!G804*100,"")</x:f>
        <x:v>42</x:v>
      </x:c>
      <x:c r="I804" s="34" t="str">
        <x:v>PASS</x:v>
      </x:c>
      <x:c r="J804" s="34" t="str">
        <x:v>PASS</x:v>
      </x:c>
      <x:c r="K804" s="34" t="str">
        <x:v>PASS</x:v>
      </x:c>
      <x:c r="L804" s="34" t="str">
        <x:v>PASS</x:v>
      </x:c>
      <x:c r="M804" s="34" t="str">
        <x:v>numeric coverage for applicable metric</x:v>
      </x:c>
      <x:c r="N804" s="34" t="str">
        <x:v>Feedback-Directed Random Test Generation/Result/Mockito_13/result.json</x:v>
      </x:c>
      <x:c r="O804" s="38" t="n">
        <x:f>IF(AND(G804="RECORDED",ISNUMBER(H804)),H804,"")</x:f>
        <x:v>42</x:v>
      </x:c>
      <x:c r="P804" s="34" t="str">
        <x:v>NOT_REVEALING</x:v>
      </x:c>
      <x:c r="Q804" s="34" t="str">
        <x:v>Feedback-Directed Random Test Generation/Result/Mockito_13/result.json</x:v>
      </x:c>
    </x:row>
    <x:row r="805">
      <x:c r="A805" s="34" t="str">
        <x:v>randoop</x:v>
      </x:c>
      <x:c r="B805" s="34" t="str">
        <x:v>Mockito</x:v>
      </x:c>
      <x:c r="C805" s="34" t="str">
        <x:v>Round1</x:v>
      </x:c>
      <x:c r="D805" s="34" t="str">
        <x:v>Mockito_14</x:v>
      </x:c>
      <x:c r="E805" s="34" t="str">
        <x:v>Coverage</x:v>
      </x:c>
      <x:c r="F805" s="34" t="n">
        <x:v>138</x:v>
      </x:c>
      <x:c r="G805" s="34" t="str">
        <x:v>A</x:v>
      </x:c>
      <x:c r="H805" s="38" t="n">
        <x:f>IF(ISNUMBER('Data'!G805),'Data'!G805*100,"")</x:f>
        <x:v>56.52</x:v>
      </x:c>
      <x:c r="I805" s="34" t="str">
        <x:v>PASS</x:v>
      </x:c>
      <x:c r="J805" s="34" t="str">
        <x:v>PASS</x:v>
      </x:c>
      <x:c r="K805" s="34" t="str">
        <x:v>PASS</x:v>
      </x:c>
      <x:c r="L805" s="34" t="str">
        <x:v>FAIL</x:v>
      </x:c>
      <x:c r="M805" s="34" t="str">
        <x:v>Latest same-round generation failed; older files/results are excluded</x:v>
      </x:c>
      <x:c r="N805" s="34" t="str">
        <x:v>Feedback-Directed Random Test Generation/Result/Mockito_14/result.json</x:v>
      </x:c>
      <x:c r="O805" s="38" t="str">
        <x:f>IF(AND(G805="RECORDED",ISNUMBER(H805)),H805,"")</x:f>
      </x:c>
      <x:c r="P805" s="34" t="str">
        <x:v>FAIL</x:v>
      </x:c>
      <x:c r="Q805" s="34" t="str">
        <x:v>Feedback-Directed Random Test Generation/Result/Mockito_14/result.json</x:v>
      </x:c>
    </x:row>
    <x:row r="806">
      <x:c r="A806" s="34" t="str">
        <x:v>randoop</x:v>
      </x:c>
      <x:c r="B806" s="34" t="str">
        <x:v>Mockito</x:v>
      </x:c>
      <x:c r="C806" s="34" t="str">
        <x:v>Round1</x:v>
      </x:c>
      <x:c r="D806" s="34" t="str">
        <x:v>Mockito_15</x:v>
      </x:c>
      <x:c r="E806" s="34" t="str">
        <x:v>Coverage</x:v>
      </x:c>
      <x:c r="F806" s="34" t="n">
        <x:v>15</x:v>
      </x:c>
      <x:c r="G806" s="34" t="str">
        <x:v>RECORDED</x:v>
      </x:c>
      <x:c r="H806" s="38" t="n">
        <x:f>IF(ISNUMBER('Data'!G806),'Data'!G806*100,"")</x:f>
        <x:v>33.33</x:v>
      </x:c>
      <x:c r="I806" s="34" t="str">
        <x:v>PASS</x:v>
      </x:c>
      <x:c r="J806" s="34" t="str">
        <x:v>PASS</x:v>
      </x:c>
      <x:c r="K806" s="34" t="str">
        <x:v>PASS</x:v>
      </x:c>
      <x:c r="L806" s="34" t="str">
        <x:v>PASS</x:v>
      </x:c>
      <x:c r="M806" s="34" t="str">
        <x:v>numeric coverage for applicable metric</x:v>
      </x:c>
      <x:c r="N806" s="34" t="str">
        <x:v>Feedback-Directed Random Test Generation/Result/Mockito_15/result.json</x:v>
      </x:c>
      <x:c r="O806" s="38" t="n">
        <x:f>IF(AND(G806="RECORDED",ISNUMBER(H806)),H806,"")</x:f>
        <x:v>33.33</x:v>
      </x:c>
      <x:c r="P806" s="34" t="str">
        <x:v>NOT_REVEALING</x:v>
      </x:c>
      <x:c r="Q806" s="34" t="str">
        <x:v>Feedback-Directed Random Test Generation/Result/Mockito_15/result.json</x:v>
      </x:c>
    </x:row>
    <x:row r="807">
      <x:c r="A807" s="34" t="str">
        <x:v>randoop</x:v>
      </x:c>
      <x:c r="B807" s="34" t="str">
        <x:v>Mockito</x:v>
      </x:c>
      <x:c r="C807" s="34" t="str">
        <x:v>Round1</x:v>
      </x:c>
      <x:c r="D807" s="34" t="str">
        <x:v>Mockito_16</x:v>
      </x:c>
      <x:c r="E807" s="34" t="str">
        <x:v>Coverage</x:v>
      </x:c>
      <x:c r="F807" s="34" t="n">
        <x:v>130</x:v>
      </x:c>
      <x:c r="G807" s="34" t="str">
        <x:v>A</x:v>
      </x:c>
      <x:c r="H807" s="38" t="n">
        <x:f>IF(ISNUMBER('Data'!G807),'Data'!G807*100,"")</x:f>
        <x:v>68.46</x:v>
      </x:c>
      <x:c r="I807" s="34" t="str">
        <x:v>PASS</x:v>
      </x:c>
      <x:c r="J807" s="34" t="str">
        <x:v>PASS</x:v>
      </x:c>
      <x:c r="K807" s="34" t="str">
        <x:v>PASS</x:v>
      </x:c>
      <x:c r="L807" s="34" t="str">
        <x:v>FAIL</x:v>
      </x:c>
      <x:c r="M807" s="34" t="str">
        <x:v>Latest same-round generation failed; older files/results are excluded</x:v>
      </x:c>
      <x:c r="N807" s="34" t="str">
        <x:v>Feedback-Directed Random Test Generation/Result/Mockito_16/result.json</x:v>
      </x:c>
      <x:c r="O807" s="38" t="str">
        <x:f>IF(AND(G807="RECORDED",ISNUMBER(H807)),H807,"")</x:f>
      </x:c>
      <x:c r="P807" s="34" t="str">
        <x:v>FAIL</x:v>
      </x:c>
      <x:c r="Q807" s="34" t="str">
        <x:v>Feedback-Directed Random Test Generation/Result/Mockito_16/result.json</x:v>
      </x:c>
    </x:row>
    <x:row r="808">
      <x:c r="A808" s="34" t="str">
        <x:v>randoop</x:v>
      </x:c>
      <x:c r="B808" s="34" t="str">
        <x:v>Mockito</x:v>
      </x:c>
      <x:c r="C808" s="34" t="str">
        <x:v>Round1</x:v>
      </x:c>
      <x:c r="D808" s="34" t="str">
        <x:v>Mockito_17</x:v>
      </x:c>
      <x:c r="E808" s="34" t="str">
        <x:v>Coverage</x:v>
      </x:c>
      <x:c r="F808" s="34" t="n">
        <x:v>93</x:v>
      </x:c>
      <x:c r="G808" s="34" t="str">
        <x:v>RECORDED</x:v>
      </x:c>
      <x:c r="H808" s="38" t="n">
        <x:f>IF(ISNUMBER('Data'!G808),'Data'!G808*100,"")</x:f>
        <x:v>53.76</x:v>
      </x:c>
      <x:c r="I808" s="34" t="str">
        <x:v>PASS</x:v>
      </x:c>
      <x:c r="J808" s="34" t="str">
        <x:v>PASS</x:v>
      </x:c>
      <x:c r="K808" s="34" t="str">
        <x:v>PASS</x:v>
      </x:c>
      <x:c r="L808" s="34" t="str">
        <x:v>PASS</x:v>
      </x:c>
      <x:c r="M808" s="34" t="str">
        <x:v>numeric coverage for applicable metric</x:v>
      </x:c>
      <x:c r="N808" s="34" t="str">
        <x:v>Feedback-Directed Random Test Generation/Result/Mockito_17/result.json</x:v>
      </x:c>
      <x:c r="O808" s="38" t="n">
        <x:f>IF(AND(G808="RECORDED",ISNUMBER(H808)),H808,"")</x:f>
        <x:v>53.76</x:v>
      </x:c>
      <x:c r="P808" s="34" t="str">
        <x:v>INCONCLUSIVE</x:v>
      </x:c>
      <x:c r="Q808" s="34" t="str">
        <x:v>Feedback-Directed Random Test Generation/Result/Mockito_17/result.json</x:v>
      </x:c>
    </x:row>
    <x:row r="809">
      <x:c r="A809" s="34" t="str">
        <x:v>randoop</x:v>
      </x:c>
      <x:c r="B809" s="34" t="str">
        <x:v>Mockito</x:v>
      </x:c>
      <x:c r="C809" s="34" t="str">
        <x:v>Round1</x:v>
      </x:c>
      <x:c r="D809" s="34" t="str">
        <x:v>Mockito_18</x:v>
      </x:c>
      <x:c r="E809" s="34" t="str">
        <x:v>Coverage</x:v>
      </x:c>
      <x:c r="F809" s="34" t="n">
        <x:v>0</x:v>
      </x:c>
      <x:c r="G809" s="34" t="str">
        <x:v>A</x:v>
      </x:c>
      <x:c r="H809" s="38" t="str">
        <x:f>IF(ISNUMBER('Data'!G809),'Data'!G809*100,"")</x:f>
      </x:c>
      <x:c r="I809" s="34"/>
      <x:c r="J809" s="34" t="str">
        <x:v>FAIL</x:v>
      </x:c>
      <x:c r="K809" s="34"/>
      <x:c r="L809" s="34" t="str">
        <x:v>NOT_RUN</x:v>
      </x:c>
      <x:c r="M809" s="34" t="str">
        <x:v>coverage unavailable or execution/compile failed</x:v>
      </x:c>
      <x:c r="N809" s="34" t="str">
        <x:v>Feedback-Directed Random Test Generation/Result/Mockito_18/result.json</x:v>
      </x:c>
      <x:c r="O809" s="38" t="str">
        <x:f>IF(AND(G809="RECORDED",ISNUMBER(H809)),H809,"")</x:f>
      </x:c>
      <x:c r="P809" s="34" t="str">
        <x:v>NOT_AVAILABLE</x:v>
      </x:c>
      <x:c r="Q809" s="34" t="str">
        <x:v>Feedback-Directed Random Test Generation/Result/Mockito_18/result.json</x:v>
      </x:c>
    </x:row>
    <x:row r="810">
      <x:c r="A810" s="34" t="str">
        <x:v>randoop</x:v>
      </x:c>
      <x:c r="B810" s="34" t="str">
        <x:v>Mockito</x:v>
      </x:c>
      <x:c r="C810" s="34" t="str">
        <x:v>Round1</x:v>
      </x:c>
      <x:c r="D810" s="34" t="str">
        <x:v>Mockito_19</x:v>
      </x:c>
      <x:c r="E810" s="34" t="str">
        <x:v>Coverage</x:v>
      </x:c>
      <x:c r="F810" s="34" t="n">
        <x:v>0</x:v>
      </x:c>
      <x:c r="G810" s="34" t="str">
        <x:v>A</x:v>
      </x:c>
      <x:c r="H810" s="38" t="str">
        <x:f>IF(ISNUMBER('Data'!G810),'Data'!G810*100,"")</x:f>
      </x:c>
      <x:c r="I810" s="34"/>
      <x:c r="J810" s="34" t="str">
        <x:v>FAIL</x:v>
      </x:c>
      <x:c r="K810" s="34"/>
      <x:c r="L810" s="34" t="str">
        <x:v>NOT_RUN</x:v>
      </x:c>
      <x:c r="M810" s="34" t="str">
        <x:v>coverage unavailable or execution/compile failed</x:v>
      </x:c>
      <x:c r="N810" s="34" t="str">
        <x:v>Feedback-Directed Random Test Generation/Result/Mockito_19/result.json</x:v>
      </x:c>
      <x:c r="O810" s="38" t="str">
        <x:f>IF(AND(G810="RECORDED",ISNUMBER(H810)),H810,"")</x:f>
      </x:c>
      <x:c r="P810" s="34" t="str">
        <x:v>NOT_AVAILABLE</x:v>
      </x:c>
      <x:c r="Q810" s="34" t="str">
        <x:v>Feedback-Directed Random Test Generation/Result/Mockito_19/result.json</x:v>
      </x:c>
    </x:row>
    <x:row r="811">
      <x:c r="A811" s="34" t="str">
        <x:v>randoop</x:v>
      </x:c>
      <x:c r="B811" s="34" t="str">
        <x:v>Mockito</x:v>
      </x:c>
      <x:c r="C811" s="34" t="str">
        <x:v>Round1</x:v>
      </x:c>
      <x:c r="D811" s="34" t="str">
        <x:v>Mockito_20</x:v>
      </x:c>
      <x:c r="E811" s="34" t="str">
        <x:v>Coverage</x:v>
      </x:c>
      <x:c r="F811" s="34" t="n">
        <x:v>0</x:v>
      </x:c>
      <x:c r="G811" s="34" t="str">
        <x:v>A</x:v>
      </x:c>
      <x:c r="H811" s="38" t="str">
        <x:f>IF(ISNUMBER('Data'!G811),'Data'!G811*100,"")</x:f>
      </x:c>
      <x:c r="I811" s="34"/>
      <x:c r="J811" s="34" t="str">
        <x:v>FAIL</x:v>
      </x:c>
      <x:c r="K811" s="34"/>
      <x:c r="L811" s="34" t="str">
        <x:v>NOT_RUN</x:v>
      </x:c>
      <x:c r="M811" s="34" t="str">
        <x:v>coverage unavailable or execution/compile failed</x:v>
      </x:c>
      <x:c r="N811" s="34" t="str">
        <x:v>Feedback-Directed Random Test Generation/Result/Mockito_20/result.json</x:v>
      </x:c>
      <x:c r="O811" s="38" t="str">
        <x:f>IF(AND(G811="RECORDED",ISNUMBER(H811)),H811,"")</x:f>
      </x:c>
      <x:c r="P811" s="34" t="str">
        <x:v>NOT_AVAILABLE</x:v>
      </x:c>
      <x:c r="Q811" s="34" t="str">
        <x:v>Feedback-Directed Random Test Generation/Result/Mockito_20/result.json</x:v>
      </x:c>
    </x:row>
    <x:row r="812">
      <x:c r="A812" s="34" t="str">
        <x:v>randoop</x:v>
      </x:c>
      <x:c r="B812" s="34" t="str">
        <x:v>Mockito</x:v>
      </x:c>
      <x:c r="C812" s="34" t="str">
        <x:v>Round1</x:v>
      </x:c>
      <x:c r="D812" s="34" t="str">
        <x:v>Mockito_21</x:v>
      </x:c>
      <x:c r="E812" s="34" t="str">
        <x:v>Coverage</x:v>
      </x:c>
      <x:c r="F812" s="34" t="n">
        <x:v>18</x:v>
      </x:c>
      <x:c r="G812" s="34" t="str">
        <x:v>RECORDED</x:v>
      </x:c>
      <x:c r="H812" s="38" t="n">
        <x:f>IF(ISNUMBER('Data'!G812),'Data'!G812*100,"")</x:f>
        <x:v>16.67</x:v>
      </x:c>
      <x:c r="I812" s="34" t="str">
        <x:v>PASS</x:v>
      </x:c>
      <x:c r="J812" s="34" t="str">
        <x:v>PASS</x:v>
      </x:c>
      <x:c r="K812" s="34" t="str">
        <x:v>PASS</x:v>
      </x:c>
      <x:c r="L812" s="34" t="str">
        <x:v>PASS</x:v>
      </x:c>
      <x:c r="M812" s="34" t="str">
        <x:v>numeric coverage for applicable metric</x:v>
      </x:c>
      <x:c r="N812" s="34" t="str">
        <x:v>Feedback-Directed Random Test Generation/Result/Mockito_21/result.json</x:v>
      </x:c>
      <x:c r="O812" s="38" t="n">
        <x:f>IF(AND(G812="RECORDED",ISNUMBER(H812)),H812,"")</x:f>
        <x:v>16.67</x:v>
      </x:c>
      <x:c r="P812" s="34" t="str">
        <x:v>NOT_REVEALING</x:v>
      </x:c>
      <x:c r="Q812" s="34" t="str">
        <x:v>Feedback-Directed Random Test Generation/Result/Mockito_21/result.json</x:v>
      </x:c>
    </x:row>
    <x:row r="813">
      <x:c r="A813" s="34" t="str">
        <x:v>randoop</x:v>
      </x:c>
      <x:c r="B813" s="34" t="str">
        <x:v>Mockito</x:v>
      </x:c>
      <x:c r="C813" s="34" t="str">
        <x:v>Round1</x:v>
      </x:c>
      <x:c r="D813" s="34" t="str">
        <x:v>Mockito_22</x:v>
      </x:c>
      <x:c r="E813" s="34" t="str">
        <x:v>Coverage</x:v>
      </x:c>
      <x:c r="F813" s="34" t="n">
        <x:v>37</x:v>
      </x:c>
      <x:c r="G813" s="34" t="str">
        <x:v>RECORDED</x:v>
      </x:c>
      <x:c r="H813" s="38" t="n">
        <x:f>IF(ISNUMBER('Data'!G813),'Data'!G813*100,"")</x:f>
        <x:v>45.95</x:v>
      </x:c>
      <x:c r="I813" s="34" t="str">
        <x:v>PASS</x:v>
      </x:c>
      <x:c r="J813" s="34" t="str">
        <x:v>PASS</x:v>
      </x:c>
      <x:c r="K813" s="34" t="str">
        <x:v>PASS</x:v>
      </x:c>
      <x:c r="L813" s="34" t="str">
        <x:v>PASS</x:v>
      </x:c>
      <x:c r="M813" s="34" t="str">
        <x:v>numeric coverage for applicable metric</x:v>
      </x:c>
      <x:c r="N813" s="34" t="str">
        <x:v>Feedback-Directed Random Test Generation/Result/Mockito_22/result.json</x:v>
      </x:c>
      <x:c r="O813" s="38" t="n">
        <x:f>IF(AND(G813="RECORDED",ISNUMBER(H813)),H813,"")</x:f>
        <x:v>45.95</x:v>
      </x:c>
      <x:c r="P813" s="34" t="str">
        <x:v>NOT_REVEALING</x:v>
      </x:c>
      <x:c r="Q813" s="34" t="str">
        <x:v>Feedback-Directed Random Test Generation/Result/Mockito_22/result.json</x:v>
      </x:c>
    </x:row>
    <x:row r="814">
      <x:c r="A814" s="34" t="str">
        <x:v>randoop</x:v>
      </x:c>
      <x:c r="B814" s="34" t="str">
        <x:v>Mockito</x:v>
      </x:c>
      <x:c r="C814" s="34" t="str">
        <x:v>Round1</x:v>
      </x:c>
      <x:c r="D814" s="34" t="str">
        <x:v>Mockito_23</x:v>
      </x:c>
      <x:c r="E814" s="34" t="str">
        <x:v>Coverage</x:v>
      </x:c>
      <x:c r="F814" s="34" t="n">
        <x:v>41</x:v>
      </x:c>
      <x:c r="G814" s="34" t="str">
        <x:v>RECORDED</x:v>
      </x:c>
      <x:c r="H814" s="38" t="n">
        <x:f>IF(ISNUMBER('Data'!G814),'Data'!G814*100,"")</x:f>
        <x:v>14.63</x:v>
      </x:c>
      <x:c r="I814" s="34" t="str">
        <x:v>PASS</x:v>
      </x:c>
      <x:c r="J814" s="34" t="str">
        <x:v>PASS</x:v>
      </x:c>
      <x:c r="K814" s="34" t="str">
        <x:v>PASS</x:v>
      </x:c>
      <x:c r="L814" s="34" t="str">
        <x:v>PASS</x:v>
      </x:c>
      <x:c r="M814" s="34" t="str">
        <x:v>numeric coverage for applicable metric</x:v>
      </x:c>
      <x:c r="N814" s="34" t="str">
        <x:v>Feedback-Directed Random Test Generation/Result/Mockito_23/result.json</x:v>
      </x:c>
      <x:c r="O814" s="38" t="n">
        <x:f>IF(AND(G814="RECORDED",ISNUMBER(H814)),H814,"")</x:f>
        <x:v>14.63</x:v>
      </x:c>
      <x:c r="P814" s="34" t="str">
        <x:v>NOT_REVEALING</x:v>
      </x:c>
      <x:c r="Q814" s="34" t="str">
        <x:v>Feedback-Directed Random Test Generation/Result/Mockito_23/result.json</x:v>
      </x:c>
    </x:row>
    <x:row r="815">
      <x:c r="A815" s="34" t="str">
        <x:v>randoop</x:v>
      </x:c>
      <x:c r="B815" s="34" t="str">
        <x:v>Mockito</x:v>
      </x:c>
      <x:c r="C815" s="34" t="str">
        <x:v>Round1</x:v>
      </x:c>
      <x:c r="D815" s="34" t="str">
        <x:v>Mockito_24</x:v>
      </x:c>
      <x:c r="E815" s="34" t="str">
        <x:v>Coverage</x:v>
      </x:c>
      <x:c r="F815" s="34" t="n">
        <x:v>80</x:v>
      </x:c>
      <x:c r="G815" s="34" t="str">
        <x:v>RECORDED</x:v>
      </x:c>
      <x:c r="H815" s="38" t="n">
        <x:f>IF(ISNUMBER('Data'!G815),'Data'!G815*100,"")</x:f>
        <x:v>5</x:v>
      </x:c>
      <x:c r="I815" s="34" t="str">
        <x:v>PASS</x:v>
      </x:c>
      <x:c r="J815" s="34" t="str">
        <x:v>PASS</x:v>
      </x:c>
      <x:c r="K815" s="34" t="str">
        <x:v>PASS</x:v>
      </x:c>
      <x:c r="L815" s="34" t="str">
        <x:v>PASS</x:v>
      </x:c>
      <x:c r="M815" s="34" t="str">
        <x:v>numeric coverage for applicable metric</x:v>
      </x:c>
      <x:c r="N815" s="34" t="str">
        <x:v>Feedback-Directed Random Test Generation/Result/Mockito_24/result.json</x:v>
      </x:c>
      <x:c r="O815" s="38" t="n">
        <x:f>IF(AND(G815="RECORDED",ISNUMBER(H815)),H815,"")</x:f>
        <x:v>5</x:v>
      </x:c>
      <x:c r="P815" s="34" t="str">
        <x:v>NOT_REVEALING</x:v>
      </x:c>
      <x:c r="Q815" s="34" t="str">
        <x:v>Feedback-Directed Random Test Generation/Result/Mockito_24/result.json</x:v>
      </x:c>
    </x:row>
    <x:row r="816">
      <x:c r="A816" s="34" t="str">
        <x:v>randoop</x:v>
      </x:c>
      <x:c r="B816" s="34" t="str">
        <x:v>Mockito</x:v>
      </x:c>
      <x:c r="C816" s="34" t="str">
        <x:v>Round1</x:v>
      </x:c>
      <x:c r="D816" s="34" t="str">
        <x:v>Mockito_25</x:v>
      </x:c>
      <x:c r="E816" s="34" t="str">
        <x:v>Coverage</x:v>
      </x:c>
      <x:c r="F816" s="34" t="n">
        <x:v>29</x:v>
      </x:c>
      <x:c r="G816" s="34" t="str">
        <x:v>RECORDED</x:v>
      </x:c>
      <x:c r="H816" s="38" t="n">
        <x:f>IF(ISNUMBER('Data'!G816),'Data'!G816*100,"")</x:f>
        <x:v>17.24</x:v>
      </x:c>
      <x:c r="I816" s="34" t="str">
        <x:v>PASS</x:v>
      </x:c>
      <x:c r="J816" s="34" t="str">
        <x:v>PASS</x:v>
      </x:c>
      <x:c r="K816" s="34" t="str">
        <x:v>PASS</x:v>
      </x:c>
      <x:c r="L816" s="34" t="str">
        <x:v>PASS</x:v>
      </x:c>
      <x:c r="M816" s="34" t="str">
        <x:v>numeric coverage for applicable metric</x:v>
      </x:c>
      <x:c r="N816" s="34" t="str">
        <x:v>Feedback-Directed Random Test Generation/Result/Mockito_25/result.json</x:v>
      </x:c>
      <x:c r="O816" s="38" t="n">
        <x:f>IF(AND(G816="RECORDED",ISNUMBER(H816)),H816,"")</x:f>
        <x:v>17.24</x:v>
      </x:c>
      <x:c r="P816" s="34" t="str">
        <x:v>NOT_REVEALING</x:v>
      </x:c>
      <x:c r="Q816" s="34" t="str">
        <x:v>Feedback-Directed Random Test Generation/Result/Mockito_25/result.json</x:v>
      </x:c>
    </x:row>
    <x:row r="817">
      <x:c r="A817" s="34" t="str">
        <x:v>randoop</x:v>
      </x:c>
      <x:c r="B817" s="34" t="str">
        <x:v>Mockito</x:v>
      </x:c>
      <x:c r="C817" s="34" t="str">
        <x:v>Round1</x:v>
      </x:c>
      <x:c r="D817" s="34" t="str">
        <x:v>Mockito_26</x:v>
      </x:c>
      <x:c r="E817" s="34" t="str">
        <x:v>Coverage</x:v>
      </x:c>
      <x:c r="F817" s="34" t="n">
        <x:v>38</x:v>
      </x:c>
      <x:c r="G817" s="34" t="str">
        <x:v>RECORDED</x:v>
      </x:c>
      <x:c r="H817" s="38" t="n">
        <x:f>IF(ISNUMBER('Data'!G817),'Data'!G817*100,"")</x:f>
        <x:v>78.95</x:v>
      </x:c>
      <x:c r="I817" s="34" t="str">
        <x:v>PASS</x:v>
      </x:c>
      <x:c r="J817" s="34" t="str">
        <x:v>PASS</x:v>
      </x:c>
      <x:c r="K817" s="34" t="str">
        <x:v>PASS</x:v>
      </x:c>
      <x:c r="L817" s="34" t="str">
        <x:v>PASS</x:v>
      </x:c>
      <x:c r="M817" s="34" t="str">
        <x:v>numeric coverage for applicable metric</x:v>
      </x:c>
      <x:c r="N817" s="34" t="str">
        <x:v>Feedback-Directed Random Test Generation/Result/Mockito_26/result.json</x:v>
      </x:c>
      <x:c r="O817" s="38" t="n">
        <x:f>IF(AND(G817="RECORDED",ISNUMBER(H817)),H817,"")</x:f>
        <x:v>78.95</x:v>
      </x:c>
      <x:c r="P817" s="34" t="str">
        <x:v>NOT_REVEALING</x:v>
      </x:c>
      <x:c r="Q817" s="34" t="str">
        <x:v>Feedback-Directed Random Test Generation/Result/Mockito_26/result.json</x:v>
      </x:c>
    </x:row>
    <x:row r="818">
      <x:c r="A818" s="34" t="str">
        <x:v>randoop</x:v>
      </x:c>
      <x:c r="B818" s="34" t="str">
        <x:v>Mockito</x:v>
      </x:c>
      <x:c r="C818" s="34" t="str">
        <x:v>Round1</x:v>
      </x:c>
      <x:c r="D818" s="34" t="str">
        <x:v>Mockito_27</x:v>
      </x:c>
      <x:c r="E818" s="34" t="str">
        <x:v>Coverage</x:v>
      </x:c>
      <x:c r="F818" s="34" t="n">
        <x:v>64</x:v>
      </x:c>
      <x:c r="G818" s="34" t="str">
        <x:v>RECORDED</x:v>
      </x:c>
      <x:c r="H818" s="38" t="n">
        <x:f>IF(ISNUMBER('Data'!G818),'Data'!G818*100,"")</x:f>
        <x:v>34.38</x:v>
      </x:c>
      <x:c r="I818" s="34" t="str">
        <x:v>PASS</x:v>
      </x:c>
      <x:c r="J818" s="34" t="str">
        <x:v>PASS</x:v>
      </x:c>
      <x:c r="K818" s="34" t="str">
        <x:v>PASS</x:v>
      </x:c>
      <x:c r="L818" s="34" t="str">
        <x:v>PASS</x:v>
      </x:c>
      <x:c r="M818" s="34" t="str">
        <x:v>numeric coverage for applicable metric</x:v>
      </x:c>
      <x:c r="N818" s="34" t="str">
        <x:v>Feedback-Directed Random Test Generation/Result/Mockito_27/result.json</x:v>
      </x:c>
      <x:c r="O818" s="38" t="n">
        <x:f>IF(AND(G818="RECORDED",ISNUMBER(H818)),H818,"")</x:f>
        <x:v>34.38</x:v>
      </x:c>
      <x:c r="P818" s="34" t="str">
        <x:v>NOT_REVEALING</x:v>
      </x:c>
      <x:c r="Q818" s="34" t="str">
        <x:v>Feedback-Directed Random Test Generation/Result/Mockito_27/result.json</x:v>
      </x:c>
    </x:row>
    <x:row r="819">
      <x:c r="A819" s="34" t="str">
        <x:v>randoop</x:v>
      </x:c>
      <x:c r="B819" s="34" t="str">
        <x:v>Mockito</x:v>
      </x:c>
      <x:c r="C819" s="34" t="str">
        <x:v>Round1</x:v>
      </x:c>
      <x:c r="D819" s="34" t="str">
        <x:v>Mockito_28</x:v>
      </x:c>
      <x:c r="E819" s="34" t="str">
        <x:v>Coverage</x:v>
      </x:c>
      <x:c r="F819" s="34" t="n">
        <x:v>40</x:v>
      </x:c>
      <x:c r="G819" s="34" t="str">
        <x:v>RECORDED</x:v>
      </x:c>
      <x:c r="H819" s="38" t="n">
        <x:f>IF(ISNUMBER('Data'!G819),'Data'!G819*100,"")</x:f>
        <x:v>17.5</x:v>
      </x:c>
      <x:c r="I819" s="34" t="str">
        <x:v>PASS</x:v>
      </x:c>
      <x:c r="J819" s="34" t="str">
        <x:v>PASS</x:v>
      </x:c>
      <x:c r="K819" s="34" t="str">
        <x:v>PASS</x:v>
      </x:c>
      <x:c r="L819" s="34" t="str">
        <x:v>PASS</x:v>
      </x:c>
      <x:c r="M819" s="34" t="str">
        <x:v>numeric coverage for applicable metric</x:v>
      </x:c>
      <x:c r="N819" s="34" t="str">
        <x:v>Feedback-Directed Random Test Generation/Result/Mockito_28/result.json</x:v>
      </x:c>
      <x:c r="O819" s="38" t="n">
        <x:f>IF(AND(G819="RECORDED",ISNUMBER(H819)),H819,"")</x:f>
        <x:v>17.5</x:v>
      </x:c>
      <x:c r="P819" s="34" t="str">
        <x:v>NOT_REVEALING</x:v>
      </x:c>
      <x:c r="Q819" s="34" t="str">
        <x:v>Feedback-Directed Random Test Generation/Result/Mockito_28/result.json</x:v>
      </x:c>
    </x:row>
    <x:row r="820">
      <x:c r="A820" s="34" t="str">
        <x:v>randoop</x:v>
      </x:c>
      <x:c r="B820" s="34" t="str">
        <x:v>Mockito</x:v>
      </x:c>
      <x:c r="C820" s="34" t="str">
        <x:v>Round1</x:v>
      </x:c>
      <x:c r="D820" s="34" t="str">
        <x:v>Mockito_29</x:v>
      </x:c>
      <x:c r="E820" s="34" t="str">
        <x:v>Coverage</x:v>
      </x:c>
      <x:c r="F820" s="34" t="n">
        <x:v>21</x:v>
      </x:c>
      <x:c r="G820" s="34" t="str">
        <x:v>RECORDED</x:v>
      </x:c>
      <x:c r="H820" s="38" t="n">
        <x:f>IF(ISNUMBER('Data'!G820),'Data'!G820*100,"")</x:f>
        <x:v>90.48</x:v>
      </x:c>
      <x:c r="I820" s="34" t="str">
        <x:v>PASS</x:v>
      </x:c>
      <x:c r="J820" s="34" t="str">
        <x:v>PASS</x:v>
      </x:c>
      <x:c r="K820" s="34" t="str">
        <x:v>PASS</x:v>
      </x:c>
      <x:c r="L820" s="34" t="str">
        <x:v>PASS</x:v>
      </x:c>
      <x:c r="M820" s="34" t="str">
        <x:v>numeric coverage for applicable metric</x:v>
      </x:c>
      <x:c r="N820" s="34" t="str">
        <x:v>Feedback-Directed Random Test Generation/Result/Mockito_29/result.json</x:v>
      </x:c>
      <x:c r="O820" s="38" t="n">
        <x:f>IF(AND(G820="RECORDED",ISNUMBER(H820)),H820,"")</x:f>
        <x:v>90.48</x:v>
      </x:c>
      <x:c r="P820" s="34" t="str">
        <x:v>NOT_REVEALING</x:v>
      </x:c>
      <x:c r="Q820" s="34" t="str">
        <x:v>Feedback-Directed Random Test Generation/Result/Mockito_29/result.json</x:v>
      </x:c>
    </x:row>
    <x:row r="821">
      <x:c r="A821" s="34" t="str">
        <x:v>randoop</x:v>
      </x:c>
      <x:c r="B821" s="34" t="str">
        <x:v>Mockito</x:v>
      </x:c>
      <x:c r="C821" s="34" t="str">
        <x:v>Round1</x:v>
      </x:c>
      <x:c r="D821" s="34" t="str">
        <x:v>Mockito_30</x:v>
      </x:c>
      <x:c r="E821" s="34" t="str">
        <x:v>Coverage</x:v>
      </x:c>
      <x:c r="F821" s="34" t="n">
        <x:v>126</x:v>
      </x:c>
      <x:c r="G821" s="34" t="str">
        <x:v>RECORDED</x:v>
      </x:c>
      <x:c r="H821" s="38" t="n">
        <x:f>IF(ISNUMBER('Data'!G821),'Data'!G821*100,"")</x:f>
        <x:v>50</x:v>
      </x:c>
      <x:c r="I821" s="34" t="str">
        <x:v>PASS</x:v>
      </x:c>
      <x:c r="J821" s="34" t="str">
        <x:v>PASS</x:v>
      </x:c>
      <x:c r="K821" s="34" t="str">
        <x:v>PASS</x:v>
      </x:c>
      <x:c r="L821" s="34" t="str">
        <x:v>FAIL</x:v>
      </x:c>
      <x:c r="M821" s="34" t="str">
        <x:v>numeric coverage for applicable metric</x:v>
      </x:c>
      <x:c r="N821" s="34" t="str">
        <x:v>Feedback-Directed Random Test Generation/Result/Mockito_30/result.json</x:v>
      </x:c>
      <x:c r="O821" s="38" t="n">
        <x:f>IF(AND(G821="RECORDED",ISNUMBER(H821)),H821,"")</x:f>
        <x:v>50</x:v>
      </x:c>
      <x:c r="P821" s="34" t="str">
        <x:v>NOT_AVAILABLE</x:v>
      </x:c>
      <x:c r="Q821" s="34" t="str">
        <x:v>Feedback-Directed Random Test Generation/Result/Mockito_30/result.json</x:v>
      </x:c>
    </x:row>
    <x:row r="822">
      <x:c r="A822" s="34" t="str">
        <x:v>randoop</x:v>
      </x:c>
      <x:c r="B822" s="34" t="str">
        <x:v>Mockito</x:v>
      </x:c>
      <x:c r="C822" s="34" t="str">
        <x:v>Round1</x:v>
      </x:c>
      <x:c r="D822" s="34" t="str">
        <x:v>Mockito_31</x:v>
      </x:c>
      <x:c r="E822" s="34" t="str">
        <x:v>Coverage</x:v>
      </x:c>
      <x:c r="F822" s="34" t="n">
        <x:v>25</x:v>
      </x:c>
      <x:c r="G822" s="34" t="str">
        <x:v>RECORDED</x:v>
      </x:c>
      <x:c r="H822" s="38" t="n">
        <x:f>IF(ISNUMBER('Data'!G822),'Data'!G822*100,"")</x:f>
        <x:v>12</x:v>
      </x:c>
      <x:c r="I822" s="34" t="str">
        <x:v>PASS</x:v>
      </x:c>
      <x:c r="J822" s="34" t="str">
        <x:v>PASS</x:v>
      </x:c>
      <x:c r="K822" s="34" t="str">
        <x:v>PASS</x:v>
      </x:c>
      <x:c r="L822" s="34" t="str">
        <x:v>PASS</x:v>
      </x:c>
      <x:c r="M822" s="34" t="str">
        <x:v>numeric coverage for applicable metric</x:v>
      </x:c>
      <x:c r="N822" s="34" t="str">
        <x:v>Feedback-Directed Random Test Generation/Result/Mockito_31/result.json</x:v>
      </x:c>
      <x:c r="O822" s="38" t="n">
        <x:f>IF(AND(G822="RECORDED",ISNUMBER(H822)),H822,"")</x:f>
        <x:v>12</x:v>
      </x:c>
      <x:c r="P822" s="34" t="str">
        <x:v>NOT_REVEALING</x:v>
      </x:c>
      <x:c r="Q822" s="34" t="str">
        <x:v>Feedback-Directed Random Test Generation/Result/Mockito_31/result.json</x:v>
      </x:c>
    </x:row>
    <x:row r="823">
      <x:c r="A823" s="34" t="str">
        <x:v>randoop</x:v>
      </x:c>
      <x:c r="B823" s="34" t="str">
        <x:v>Mockito</x:v>
      </x:c>
      <x:c r="C823" s="34" t="str">
        <x:v>Round1</x:v>
      </x:c>
      <x:c r="D823" s="34" t="str">
        <x:v>Mockito_32</x:v>
      </x:c>
      <x:c r="E823" s="34" t="str">
        <x:v>Coverage</x:v>
      </x:c>
      <x:c r="F823" s="34" t="n">
        <x:v>35</x:v>
      </x:c>
      <x:c r="G823" s="34" t="str">
        <x:v>RECORDED</x:v>
      </x:c>
      <x:c r="H823" s="38" t="n">
        <x:f>IF(ISNUMBER('Data'!G823),'Data'!G823*100,"")</x:f>
        <x:v>5.71</x:v>
      </x:c>
      <x:c r="I823" s="34" t="str">
        <x:v>PASS</x:v>
      </x:c>
      <x:c r="J823" s="34" t="str">
        <x:v>PASS</x:v>
      </x:c>
      <x:c r="K823" s="34" t="str">
        <x:v>PASS</x:v>
      </x:c>
      <x:c r="L823" s="34" t="str">
        <x:v>PASS</x:v>
      </x:c>
      <x:c r="M823" s="34" t="str">
        <x:v>numeric coverage for applicable metric</x:v>
      </x:c>
      <x:c r="N823" s="34" t="str">
        <x:v>Feedback-Directed Random Test Generation/Result/Mockito_32/result.json</x:v>
      </x:c>
      <x:c r="O823" s="38" t="n">
        <x:f>IF(AND(G823="RECORDED",ISNUMBER(H823)),H823,"")</x:f>
        <x:v>5.71</x:v>
      </x:c>
      <x:c r="P823" s="34" t="str">
        <x:v>NOT_REVEALING</x:v>
      </x:c>
      <x:c r="Q823" s="34" t="str">
        <x:v>Feedback-Directed Random Test Generation/Result/Mockito_32/result.json</x:v>
      </x:c>
    </x:row>
    <x:row r="824">
      <x:c r="A824" s="34" t="str">
        <x:v>randoop</x:v>
      </x:c>
      <x:c r="B824" s="34" t="str">
        <x:v>Mockito</x:v>
      </x:c>
      <x:c r="C824" s="34" t="str">
        <x:v>Round1</x:v>
      </x:c>
      <x:c r="D824" s="34" t="str">
        <x:v>Mockito_33</x:v>
      </x:c>
      <x:c r="E824" s="34" t="str">
        <x:v>Coverage</x:v>
      </x:c>
      <x:c r="F824" s="34" t="n">
        <x:v>77</x:v>
      </x:c>
      <x:c r="G824" s="34" t="str">
        <x:v>RECORDED</x:v>
      </x:c>
      <x:c r="H824" s="38" t="n">
        <x:f>IF(ISNUMBER('Data'!G824),'Data'!G824*100,"")</x:f>
        <x:v>12.990000000000002</x:v>
      </x:c>
      <x:c r="I824" s="34" t="str">
        <x:v>PASS</x:v>
      </x:c>
      <x:c r="J824" s="34" t="str">
        <x:v>PASS</x:v>
      </x:c>
      <x:c r="K824" s="34" t="str">
        <x:v>PASS</x:v>
      </x:c>
      <x:c r="L824" s="34" t="str">
        <x:v>PASS</x:v>
      </x:c>
      <x:c r="M824" s="34" t="str">
        <x:v>numeric coverage for applicable metric</x:v>
      </x:c>
      <x:c r="N824" s="34" t="str">
        <x:v>Feedback-Directed Random Test Generation/Result/Mockito_33/result.json</x:v>
      </x:c>
      <x:c r="O824" s="38" t="n">
        <x:f>IF(AND(G824="RECORDED",ISNUMBER(H824)),H824,"")</x:f>
        <x:v>12.990000000000002</x:v>
      </x:c>
      <x:c r="P824" s="34" t="str">
        <x:v>NOT_REVEALING</x:v>
      </x:c>
      <x:c r="Q824" s="34" t="str">
        <x:v>Feedback-Directed Random Test Generation/Result/Mockito_33/result.json</x:v>
      </x:c>
    </x:row>
    <x:row r="825">
      <x:c r="A825" s="34" t="str">
        <x:v>randoop</x:v>
      </x:c>
      <x:c r="B825" s="34" t="str">
        <x:v>Mockito</x:v>
      </x:c>
      <x:c r="C825" s="34" t="str">
        <x:v>Round1</x:v>
      </x:c>
      <x:c r="D825" s="34" t="str">
        <x:v>Mockito_34</x:v>
      </x:c>
      <x:c r="E825" s="34" t="str">
        <x:v>Coverage</x:v>
      </x:c>
      <x:c r="F825" s="34" t="n">
        <x:v>66</x:v>
      </x:c>
      <x:c r="G825" s="34" t="str">
        <x:v>RECORDED</x:v>
      </x:c>
      <x:c r="H825" s="38" t="n">
        <x:f>IF(ISNUMBER('Data'!G825),'Data'!G825*100,"")</x:f>
        <x:v>9.09</x:v>
      </x:c>
      <x:c r="I825" s="34" t="str">
        <x:v>PASS</x:v>
      </x:c>
      <x:c r="J825" s="34" t="str">
        <x:v>PASS</x:v>
      </x:c>
      <x:c r="K825" s="34" t="str">
        <x:v>PASS</x:v>
      </x:c>
      <x:c r="L825" s="34" t="str">
        <x:v>PASS</x:v>
      </x:c>
      <x:c r="M825" s="34" t="str">
        <x:v>numeric coverage for applicable metric</x:v>
      </x:c>
      <x:c r="N825" s="34" t="str">
        <x:v>Feedback-Directed Random Test Generation/Result/Mockito_34/result.json</x:v>
      </x:c>
      <x:c r="O825" s="38" t="n">
        <x:f>IF(AND(G825="RECORDED",ISNUMBER(H825)),H825,"")</x:f>
        <x:v>9.09</x:v>
      </x:c>
      <x:c r="P825" s="34" t="str">
        <x:v>NOT_REVEALING</x:v>
      </x:c>
      <x:c r="Q825" s="34" t="str">
        <x:v>Feedback-Directed Random Test Generation/Result/Mockito_34/result.json</x:v>
      </x:c>
    </x:row>
    <x:row r="826">
      <x:c r="A826" s="34" t="str">
        <x:v>randoop</x:v>
      </x:c>
      <x:c r="B826" s="34" t="str">
        <x:v>Mockito</x:v>
      </x:c>
      <x:c r="C826" s="34" t="str">
        <x:v>Round1</x:v>
      </x:c>
      <x:c r="D826" s="34" t="str">
        <x:v>Mockito_35</x:v>
      </x:c>
      <x:c r="E826" s="34" t="str">
        <x:v>Coverage</x:v>
      </x:c>
      <x:c r="F826" s="34" t="n">
        <x:v>51</x:v>
      </x:c>
      <x:c r="G826" s="34" t="str">
        <x:v>RECORDED</x:v>
      </x:c>
      <x:c r="H826" s="38" t="n">
        <x:f>IF(ISNUMBER('Data'!G826),'Data'!G826*100,"")</x:f>
        <x:v>88.24</x:v>
      </x:c>
      <x:c r="I826" s="34" t="str">
        <x:v>PASS</x:v>
      </x:c>
      <x:c r="J826" s="34" t="str">
        <x:v>PASS</x:v>
      </x:c>
      <x:c r="K826" s="34" t="str">
        <x:v>PASS</x:v>
      </x:c>
      <x:c r="L826" s="34" t="str">
        <x:v>PASS</x:v>
      </x:c>
      <x:c r="M826" s="34" t="str">
        <x:v>numeric coverage for applicable metric</x:v>
      </x:c>
      <x:c r="N826" s="34" t="str">
        <x:v>Feedback-Directed Random Test Generation/Result/Mockito_35/result.json</x:v>
      </x:c>
      <x:c r="O826" s="38" t="n">
        <x:f>IF(AND(G826="RECORDED",ISNUMBER(H826)),H826,"")</x:f>
        <x:v>88.24</x:v>
      </x:c>
      <x:c r="P826" s="34" t="str">
        <x:v>INCONCLUSIVE</x:v>
      </x:c>
      <x:c r="Q826" s="34" t="str">
        <x:v>Feedback-Directed Random Test Generation/Result/Mockito_35/result.json</x:v>
      </x:c>
    </x:row>
    <x:row r="827">
      <x:c r="A827" s="34" t="str">
        <x:v>randoop</x:v>
      </x:c>
      <x:c r="B827" s="34" t="str">
        <x:v>Mockito</x:v>
      </x:c>
      <x:c r="C827" s="34" t="str">
        <x:v>Round1</x:v>
      </x:c>
      <x:c r="D827" s="34" t="str">
        <x:v>Mockito_36</x:v>
      </x:c>
      <x:c r="E827" s="34" t="str">
        <x:v>Coverage</x:v>
      </x:c>
      <x:c r="F827" s="34" t="n">
        <x:v>112</x:v>
      </x:c>
      <x:c r="G827" s="34" t="str">
        <x:v>RECORDED</x:v>
      </x:c>
      <x:c r="H827" s="38" t="n">
        <x:f>IF(ISNUMBER('Data'!G827),'Data'!G827*100,"")</x:f>
        <x:v>5.36</x:v>
      </x:c>
      <x:c r="I827" s="34" t="str">
        <x:v>PASS</x:v>
      </x:c>
      <x:c r="J827" s="34" t="str">
        <x:v>PASS</x:v>
      </x:c>
      <x:c r="K827" s="34" t="str">
        <x:v>PASS</x:v>
      </x:c>
      <x:c r="L827" s="34" t="str">
        <x:v>PASS</x:v>
      </x:c>
      <x:c r="M827" s="34" t="str">
        <x:v>numeric coverage for applicable metric</x:v>
      </x:c>
      <x:c r="N827" s="34" t="str">
        <x:v>Feedback-Directed Random Test Generation/Result/Mockito_36/result.json</x:v>
      </x:c>
      <x:c r="O827" s="38" t="n">
        <x:f>IF(AND(G827="RECORDED",ISNUMBER(H827)),H827,"")</x:f>
        <x:v>5.36</x:v>
      </x:c>
      <x:c r="P827" s="34" t="str">
        <x:v>NOT_REVEALING</x:v>
      </x:c>
      <x:c r="Q827" s="34" t="str">
        <x:v>Feedback-Directed Random Test Generation/Result/Mockito_36/result.json</x:v>
      </x:c>
    </x:row>
    <x:row r="828">
      <x:c r="A828" s="34" t="str">
        <x:v>randoop</x:v>
      </x:c>
      <x:c r="B828" s="34" t="str">
        <x:v>Mockito</x:v>
      </x:c>
      <x:c r="C828" s="34" t="str">
        <x:v>Round1</x:v>
      </x:c>
      <x:c r="D828" s="34" t="str">
        <x:v>Mockito_37</x:v>
      </x:c>
      <x:c r="E828" s="34" t="str">
        <x:v>Coverage</x:v>
      </x:c>
      <x:c r="F828" s="34" t="n">
        <x:v>53</x:v>
      </x:c>
      <x:c r="G828" s="34" t="str">
        <x:v>RECORDED</x:v>
      </x:c>
      <x:c r="H828" s="38" t="n">
        <x:f>IF(ISNUMBER('Data'!G828),'Data'!G828*100,"")</x:f>
        <x:v>3.7699999999999996</x:v>
      </x:c>
      <x:c r="I828" s="34" t="str">
        <x:v>PASS</x:v>
      </x:c>
      <x:c r="J828" s="34" t="str">
        <x:v>PASS</x:v>
      </x:c>
      <x:c r="K828" s="34" t="str">
        <x:v>PASS</x:v>
      </x:c>
      <x:c r="L828" s="34" t="str">
        <x:v>PASS</x:v>
      </x:c>
      <x:c r="M828" s="34" t="str">
        <x:v>numeric coverage for applicable metric</x:v>
      </x:c>
      <x:c r="N828" s="34" t="str">
        <x:v>Feedback-Directed Random Test Generation/Result/Mockito_37/result.json</x:v>
      </x:c>
      <x:c r="O828" s="38" t="n">
        <x:f>IF(AND(G828="RECORDED",ISNUMBER(H828)),H828,"")</x:f>
        <x:v>3.7699999999999996</x:v>
      </x:c>
      <x:c r="P828" s="34" t="str">
        <x:v>NOT_REVEALING</x:v>
      </x:c>
      <x:c r="Q828" s="34" t="str">
        <x:v>Feedback-Directed Random Test Generation/Result/Mockito_37/result.json</x:v>
      </x:c>
    </x:row>
    <x:row r="829">
      <x:c r="A829" s="34" t="str">
        <x:v>randoop</x:v>
      </x:c>
      <x:c r="B829" s="34" t="str">
        <x:v>Mockito</x:v>
      </x:c>
      <x:c r="C829" s="34" t="str">
        <x:v>Round1</x:v>
      </x:c>
      <x:c r="D829" s="34" t="str">
        <x:v>Mockito_38</x:v>
      </x:c>
      <x:c r="E829" s="34" t="str">
        <x:v>Coverage</x:v>
      </x:c>
      <x:c r="F829" s="34" t="n">
        <x:v>30</x:v>
      </x:c>
      <x:c r="G829" s="34" t="str">
        <x:v>RECORDED</x:v>
      </x:c>
      <x:c r="H829" s="38" t="n">
        <x:f>IF(ISNUMBER('Data'!G829),'Data'!G829*100,"")</x:f>
        <x:v>33.33</x:v>
      </x:c>
      <x:c r="I829" s="34" t="str">
        <x:v>PASS</x:v>
      </x:c>
      <x:c r="J829" s="34" t="str">
        <x:v>PASS</x:v>
      </x:c>
      <x:c r="K829" s="34" t="str">
        <x:v>PASS</x:v>
      </x:c>
      <x:c r="L829" s="34" t="str">
        <x:v>PASS</x:v>
      </x:c>
      <x:c r="M829" s="34" t="str">
        <x:v>numeric coverage for applicable metric</x:v>
      </x:c>
      <x:c r="N829" s="34" t="str">
        <x:v>Feedback-Directed Random Test Generation/Result/Mockito_38/result.json</x:v>
      </x:c>
      <x:c r="O829" s="38" t="n">
        <x:f>IF(AND(G829="RECORDED",ISNUMBER(H829)),H829,"")</x:f>
        <x:v>33.33</x:v>
      </x:c>
      <x:c r="P829" s="34" t="str">
        <x:v>NOT_REVEALING</x:v>
      </x:c>
      <x:c r="Q829" s="34" t="str">
        <x:v>Feedback-Directed Random Test Generation/Result/Mockito_38/result.json</x:v>
      </x:c>
    </x:row>
    <x:row r="830">
      <x:c r="A830" s="34" t="str">
        <x:v>randoop</x:v>
      </x:c>
      <x:c r="B830" s="34" t="str">
        <x:v>Time</x:v>
      </x:c>
      <x:c r="C830" s="34" t="str">
        <x:v>Round1</x:v>
      </x:c>
      <x:c r="D830" s="34" t="str">
        <x:v>Time_1</x:v>
      </x:c>
      <x:c r="E830" s="34" t="str">
        <x:v>Coverage</x:v>
      </x:c>
      <x:c r="F830" s="34" t="n">
        <x:v>419</x:v>
      </x:c>
      <x:c r="G830" s="34" t="str">
        <x:v>RECORDED</x:v>
      </x:c>
      <x:c r="H830" s="38" t="n">
        <x:f>IF(ISNUMBER('Data'!G830),'Data'!G830*100,"")</x:f>
        <x:v>27.68</x:v>
      </x:c>
      <x:c r="I830" s="34" t="str">
        <x:v>PASS</x:v>
      </x:c>
      <x:c r="J830" s="34" t="str">
        <x:v>PASS</x:v>
      </x:c>
      <x:c r="K830" s="34" t="str">
        <x:v>PASS</x:v>
      </x:c>
      <x:c r="L830" s="34" t="str">
        <x:v>PASS</x:v>
      </x:c>
      <x:c r="M830" s="34" t="str">
        <x:v>numeric coverage for applicable metric</x:v>
      </x:c>
      <x:c r="N830" s="34" t="str">
        <x:v>Feedback-Directed Random Test Generation/Result/Time_1/result.json</x:v>
      </x:c>
      <x:c r="O830" s="38" t="n">
        <x:f>IF(AND(G830="RECORDED",ISNUMBER(H830)),H830,"")</x:f>
        <x:v>27.68</x:v>
      </x:c>
      <x:c r="P830" s="34" t="str">
        <x:v>NOT_REVEALING</x:v>
      </x:c>
      <x:c r="Q830" s="34" t="str">
        <x:v>Feedback-Directed Random Test Generation/Result/Time_1/result.json</x:v>
      </x:c>
    </x:row>
    <x:row r="831">
      <x:c r="A831" s="34" t="str">
        <x:v>randoop</x:v>
      </x:c>
      <x:c r="B831" s="34" t="str">
        <x:v>Time</x:v>
      </x:c>
      <x:c r="C831" s="34" t="str">
        <x:v>Round1</x:v>
      </x:c>
      <x:c r="D831" s="34" t="str">
        <x:v>Time_2</x:v>
      </x:c>
      <x:c r="E831" s="34" t="str">
        <x:v>Coverage</x:v>
      </x:c>
      <x:c r="F831" s="34" t="n">
        <x:v>415</x:v>
      </x:c>
      <x:c r="G831" s="34" t="str">
        <x:v>RECORDED</x:v>
      </x:c>
      <x:c r="H831" s="38" t="n">
        <x:f>IF(ISNUMBER('Data'!G831),'Data'!G831*100,"")</x:f>
        <x:v>27.949999999999996</x:v>
      </x:c>
      <x:c r="I831" s="34" t="str">
        <x:v>PASS</x:v>
      </x:c>
      <x:c r="J831" s="34" t="str">
        <x:v>PASS</x:v>
      </x:c>
      <x:c r="K831" s="34" t="str">
        <x:v>PASS</x:v>
      </x:c>
      <x:c r="L831" s="34" t="str">
        <x:v>PASS</x:v>
      </x:c>
      <x:c r="M831" s="34" t="str">
        <x:v>numeric coverage for applicable metric</x:v>
      </x:c>
      <x:c r="N831" s="34" t="str">
        <x:v>Feedback-Directed Random Test Generation/Result/Time_2/result.json</x:v>
      </x:c>
      <x:c r="O831" s="38" t="n">
        <x:f>IF(AND(G831="RECORDED",ISNUMBER(H831)),H831,"")</x:f>
        <x:v>27.949999999999996</x:v>
      </x:c>
      <x:c r="P831" s="34" t="str">
        <x:v>NOT_REVEALING</x:v>
      </x:c>
      <x:c r="Q831" s="34" t="str">
        <x:v>Feedback-Directed Random Test Generation/Result/Time_2/result.json</x:v>
      </x:c>
    </x:row>
    <x:row r="832">
      <x:c r="A832" s="34" t="str">
        <x:v>randoop</x:v>
      </x:c>
      <x:c r="B832" s="34" t="str">
        <x:v>Time</x:v>
      </x:c>
      <x:c r="C832" s="34" t="str">
        <x:v>Round1</x:v>
      </x:c>
      <x:c r="D832" s="34" t="str">
        <x:v>Time_3</x:v>
      </x:c>
      <x:c r="E832" s="34" t="str">
        <x:v>Coverage</x:v>
      </x:c>
      <x:c r="F832" s="34" t="n">
        <x:v>281</x:v>
      </x:c>
      <x:c r="G832" s="34" t="str">
        <x:v>RECORDED</x:v>
      </x:c>
      <x:c r="H832" s="38" t="n">
        <x:f>IF(ISNUMBER('Data'!G832),'Data'!G832*100,"")</x:f>
        <x:v>36.3</x:v>
      </x:c>
      <x:c r="I832" s="34" t="str">
        <x:v>PASS</x:v>
      </x:c>
      <x:c r="J832" s="34" t="str">
        <x:v>PASS</x:v>
      </x:c>
      <x:c r="K832" s="34" t="str">
        <x:v>PASS</x:v>
      </x:c>
      <x:c r="L832" s="34" t="str">
        <x:v>FAIL</x:v>
      </x:c>
      <x:c r="M832" s="34" t="str">
        <x:v>numeric coverage for applicable metric</x:v>
      </x:c>
      <x:c r="N832" s="34" t="str">
        <x:v>Feedback-Directed Random Test Generation/Result/Time_3/result.json</x:v>
      </x:c>
      <x:c r="O832" s="38" t="n">
        <x:f>IF(AND(G832="RECORDED",ISNUMBER(H832)),H832,"")</x:f>
        <x:v>36.3</x:v>
      </x:c>
      <x:c r="P832" s="34" t="str">
        <x:v>INCONCLUSIVE</x:v>
      </x:c>
      <x:c r="Q832" s="34" t="str">
        <x:v>Feedback-Directed Random Test Generation/Result/Time_3/result.json</x:v>
      </x:c>
    </x:row>
    <x:row r="833">
      <x:c r="A833" s="34" t="str">
        <x:v>randoop</x:v>
      </x:c>
      <x:c r="B833" s="34" t="str">
        <x:v>Time</x:v>
      </x:c>
      <x:c r="C833" s="34" t="str">
        <x:v>Round1</x:v>
      </x:c>
      <x:c r="D833" s="34" t="str">
        <x:v>Time_4</x:v>
      </x:c>
      <x:c r="E833" s="34" t="str">
        <x:v>Coverage</x:v>
      </x:c>
      <x:c r="F833" s="34" t="n">
        <x:v>359</x:v>
      </x:c>
      <x:c r="G833" s="34" t="str">
        <x:v>RECORDED</x:v>
      </x:c>
      <x:c r="H833" s="38" t="n">
        <x:f>IF(ISNUMBER('Data'!G833),'Data'!G833*100,"")</x:f>
        <x:v>34.26</x:v>
      </x:c>
      <x:c r="I833" s="34" t="str">
        <x:v>PASS</x:v>
      </x:c>
      <x:c r="J833" s="34" t="str">
        <x:v>PASS</x:v>
      </x:c>
      <x:c r="K833" s="34" t="str">
        <x:v>PASS</x:v>
      </x:c>
      <x:c r="L833" s="34" t="str">
        <x:v>PASS</x:v>
      </x:c>
      <x:c r="M833" s="34" t="str">
        <x:v>numeric coverage for applicable metric</x:v>
      </x:c>
      <x:c r="N833" s="34" t="str">
        <x:v>Feedback-Directed Random Test Generation/Result/Time_4/result.json</x:v>
      </x:c>
      <x:c r="O833" s="38" t="n">
        <x:f>IF(AND(G833="RECORDED",ISNUMBER(H833)),H833,"")</x:f>
        <x:v>34.26</x:v>
      </x:c>
      <x:c r="P833" s="34" t="str">
        <x:v>NOT_REVEALING</x:v>
      </x:c>
      <x:c r="Q833" s="34" t="str">
        <x:v>Feedback-Directed Random Test Generation/Result/Time_4/result.json</x:v>
      </x:c>
    </x:row>
    <x:row r="834">
      <x:c r="A834" s="34" t="str">
        <x:v>randoop</x:v>
      </x:c>
      <x:c r="B834" s="34" t="str">
        <x:v>Time</x:v>
      </x:c>
      <x:c r="C834" s="34" t="str">
        <x:v>Round1</x:v>
      </x:c>
      <x:c r="D834" s="34" t="str">
        <x:v>Time_5</x:v>
      </x:c>
      <x:c r="E834" s="34" t="str">
        <x:v>Coverage</x:v>
      </x:c>
      <x:c r="F834" s="34" t="n">
        <x:v>345</x:v>
      </x:c>
      <x:c r="G834" s="34" t="str">
        <x:v>RECORDED</x:v>
      </x:c>
      <x:c r="H834" s="38" t="n">
        <x:f>IF(ISNUMBER('Data'!G834),'Data'!G834*100,"")</x:f>
        <x:v>51.88</x:v>
      </x:c>
      <x:c r="I834" s="34" t="str">
        <x:v>PASS</x:v>
      </x:c>
      <x:c r="J834" s="34" t="str">
        <x:v>PASS</x:v>
      </x:c>
      <x:c r="K834" s="34" t="str">
        <x:v>PASS</x:v>
      </x:c>
      <x:c r="L834" s="34" t="str">
        <x:v>PASS</x:v>
      </x:c>
      <x:c r="M834" s="34" t="str">
        <x:v>numeric coverage for applicable metric</x:v>
      </x:c>
      <x:c r="N834" s="34" t="str">
        <x:v>Feedback-Directed Random Test Generation/Result/Time_5/result.json</x:v>
      </x:c>
      <x:c r="O834" s="38" t="n">
        <x:f>IF(AND(G834="RECORDED",ISNUMBER(H834)),H834,"")</x:f>
        <x:v>51.88</x:v>
      </x:c>
      <x:c r="P834" s="34" t="str">
        <x:v>NOT_REVEALING</x:v>
      </x:c>
      <x:c r="Q834" s="34" t="str">
        <x:v>Feedback-Directed Random Test Generation/Result/Time_5/result.json</x:v>
      </x:c>
    </x:row>
    <x:row r="835">
      <x:c r="A835" s="34" t="str">
        <x:v>randoop</x:v>
      </x:c>
      <x:c r="B835" s="34" t="str">
        <x:v>Time</x:v>
      </x:c>
      <x:c r="C835" s="34" t="str">
        <x:v>Round1</x:v>
      </x:c>
      <x:c r="D835" s="34" t="str">
        <x:v>Time_6</x:v>
      </x:c>
      <x:c r="E835" s="34" t="str">
        <x:v>Coverage</x:v>
      </x:c>
      <x:c r="F835" s="34" t="n">
        <x:v>529</x:v>
      </x:c>
      <x:c r="G835" s="34" t="str">
        <x:v>RECORDED</x:v>
      </x:c>
      <x:c r="H835" s="38" t="n">
        <x:f>IF(ISNUMBER('Data'!G835),'Data'!G835*100,"")</x:f>
        <x:v>36.48</x:v>
      </x:c>
      <x:c r="I835" s="34" t="str">
        <x:v>PASS</x:v>
      </x:c>
      <x:c r="J835" s="34" t="str">
        <x:v>PASS</x:v>
      </x:c>
      <x:c r="K835" s="34" t="str">
        <x:v>PASS</x:v>
      </x:c>
      <x:c r="L835" s="34" t="str">
        <x:v>PASS</x:v>
      </x:c>
      <x:c r="M835" s="34" t="str">
        <x:v>numeric coverage for applicable metric</x:v>
      </x:c>
      <x:c r="N835" s="34" t="str">
        <x:v>Feedback-Directed Random Test Generation/Result/Time_6/result.json</x:v>
      </x:c>
      <x:c r="O835" s="38" t="n">
        <x:f>IF(AND(G835="RECORDED",ISNUMBER(H835)),H835,"")</x:f>
        <x:v>36.48</x:v>
      </x:c>
      <x:c r="P835" s="34" t="str">
        <x:v>NOT_REVEALING</x:v>
      </x:c>
      <x:c r="Q835" s="34" t="str">
        <x:v>Feedback-Directed Random Test Generation/Result/Time_6/result.json</x:v>
      </x:c>
    </x:row>
    <x:row r="836">
      <x:c r="A836" s="34" t="str">
        <x:v>randoop</x:v>
      </x:c>
      <x:c r="B836" s="34" t="str">
        <x:v>Time</x:v>
      </x:c>
      <x:c r="C836" s="34" t="str">
        <x:v>Round1</x:v>
      </x:c>
      <x:c r="D836" s="34" t="str">
        <x:v>Time_7</x:v>
      </x:c>
      <x:c r="E836" s="34" t="str">
        <x:v>Coverage</x:v>
      </x:c>
      <x:c r="F836" s="34" t="n">
        <x:v>296</x:v>
      </x:c>
      <x:c r="G836" s="34" t="str">
        <x:v>RECORDED</x:v>
      </x:c>
      <x:c r="H836" s="38" t="n">
        <x:f>IF(ISNUMBER('Data'!G836),'Data'!G836*100,"")</x:f>
        <x:v>26.35</x:v>
      </x:c>
      <x:c r="I836" s="34" t="str">
        <x:v>PASS</x:v>
      </x:c>
      <x:c r="J836" s="34" t="str">
        <x:v>PASS</x:v>
      </x:c>
      <x:c r="K836" s="34" t="str">
        <x:v>PASS</x:v>
      </x:c>
      <x:c r="L836" s="34" t="str">
        <x:v>PASS</x:v>
      </x:c>
      <x:c r="M836" s="34" t="str">
        <x:v>numeric coverage for applicable metric</x:v>
      </x:c>
      <x:c r="N836" s="34" t="str">
        <x:v>Feedback-Directed Random Test Generation/Result/Time_7/result.json</x:v>
      </x:c>
      <x:c r="O836" s="38" t="n">
        <x:f>IF(AND(G836="RECORDED",ISNUMBER(H836)),H836,"")</x:f>
        <x:v>26.35</x:v>
      </x:c>
      <x:c r="P836" s="34" t="str">
        <x:v>NOT_REVEALING</x:v>
      </x:c>
      <x:c r="Q836" s="34" t="str">
        <x:v>Feedback-Directed Random Test Generation/Result/Time_7/result.json</x:v>
      </x:c>
    </x:row>
    <x:row r="837">
      <x:c r="A837" s="34" t="str">
        <x:v>randoop</x:v>
      </x:c>
      <x:c r="B837" s="34" t="str">
        <x:v>Time</x:v>
      </x:c>
      <x:c r="C837" s="34" t="str">
        <x:v>Round1</x:v>
      </x:c>
      <x:c r="D837" s="34" t="str">
        <x:v>Time_8</x:v>
      </x:c>
      <x:c r="E837" s="34" t="str">
        <x:v>Coverage</x:v>
      </x:c>
      <x:c r="F837" s="34" t="n">
        <x:v>533</x:v>
      </x:c>
      <x:c r="G837" s="34" t="str">
        <x:v>RECORDED</x:v>
      </x:c>
      <x:c r="H837" s="38" t="n">
        <x:f>IF(ISNUMBER('Data'!G837),'Data'!G837*100,"")</x:f>
        <x:v>62.1</x:v>
      </x:c>
      <x:c r="I837" s="34" t="str">
        <x:v>PASS</x:v>
      </x:c>
      <x:c r="J837" s="34" t="str">
        <x:v>PASS</x:v>
      </x:c>
      <x:c r="K837" s="34" t="str">
        <x:v>PASS</x:v>
      </x:c>
      <x:c r="L837" s="34" t="str">
        <x:v>FAIL</x:v>
      </x:c>
      <x:c r="M837" s="34" t="str">
        <x:v>numeric coverage for applicable metric</x:v>
      </x:c>
      <x:c r="N837" s="34" t="str">
        <x:v>Feedback-Directed Random Test Generation/Result/Time_8/result.json</x:v>
      </x:c>
      <x:c r="O837" s="38" t="n">
        <x:f>IF(AND(G837="RECORDED",ISNUMBER(H837)),H837,"")</x:f>
        <x:v>62.1</x:v>
      </x:c>
      <x:c r="P837" s="34" t="str">
        <x:v>INCONCLUSIVE</x:v>
      </x:c>
      <x:c r="Q837" s="34" t="str">
        <x:v>Feedback-Directed Random Test Generation/Result/Time_8/result.json</x:v>
      </x:c>
    </x:row>
    <x:row r="838">
      <x:c r="A838" s="34" t="str">
        <x:v>randoop</x:v>
      </x:c>
      <x:c r="B838" s="34" t="str">
        <x:v>Time</x:v>
      </x:c>
      <x:c r="C838" s="34" t="str">
        <x:v>Round1</x:v>
      </x:c>
      <x:c r="D838" s="34" t="str">
        <x:v>Time_9</x:v>
      </x:c>
      <x:c r="E838" s="34" t="str">
        <x:v>Coverage</x:v>
      </x:c>
      <x:c r="F838" s="34" t="n">
        <x:v>521</x:v>
      </x:c>
      <x:c r="G838" s="34" t="str">
        <x:v>RECORDED</x:v>
      </x:c>
      <x:c r="H838" s="38" t="n">
        <x:f>IF(ISNUMBER('Data'!G838),'Data'!G838*100,"")</x:f>
        <x:v>46.26</x:v>
      </x:c>
      <x:c r="I838" s="34" t="str">
        <x:v>PASS</x:v>
      </x:c>
      <x:c r="J838" s="34" t="str">
        <x:v>PASS</x:v>
      </x:c>
      <x:c r="K838" s="34" t="str">
        <x:v>PASS</x:v>
      </x:c>
      <x:c r="L838" s="34" t="str">
        <x:v>PASS</x:v>
      </x:c>
      <x:c r="M838" s="34" t="str">
        <x:v>numeric coverage for applicable metric</x:v>
      </x:c>
      <x:c r="N838" s="34" t="str">
        <x:v>Feedback-Directed Random Test Generation/Result/Time_9/result.json</x:v>
      </x:c>
      <x:c r="O838" s="38" t="n">
        <x:f>IF(AND(G838="RECORDED",ISNUMBER(H838)),H838,"")</x:f>
        <x:v>46.26</x:v>
      </x:c>
      <x:c r="P838" s="34" t="str">
        <x:v>INCONCLUSIVE</x:v>
      </x:c>
      <x:c r="Q838" s="34" t="str">
        <x:v>Feedback-Directed Random Test Generation/Result/Time_9/result.json</x:v>
      </x:c>
    </x:row>
    <x:row r="839">
      <x:c r="A839" s="34" t="str">
        <x:v>randoop</x:v>
      </x:c>
      <x:c r="B839" s="34" t="str">
        <x:v>Time</x:v>
      </x:c>
      <x:c r="C839" s="34" t="str">
        <x:v>Round1</x:v>
      </x:c>
      <x:c r="D839" s="34" t="str">
        <x:v>Time_10</x:v>
      </x:c>
      <x:c r="E839" s="34" t="str">
        <x:v>Coverage</x:v>
      </x:c>
      <x:c r="F839" s="34" t="n">
        <x:v>117</x:v>
      </x:c>
      <x:c r="G839" s="34" t="str">
        <x:v>RECORDED</x:v>
      </x:c>
      <x:c r="H839" s="38" t="n">
        <x:f>IF(ISNUMBER('Data'!G839),'Data'!G839*100,"")</x:f>
        <x:v>7.690000000000001</x:v>
      </x:c>
      <x:c r="I839" s="34" t="str">
        <x:v>PASS</x:v>
      </x:c>
      <x:c r="J839" s="34" t="str">
        <x:v>PASS</x:v>
      </x:c>
      <x:c r="K839" s="34" t="str">
        <x:v>PASS</x:v>
      </x:c>
      <x:c r="L839" s="34" t="str">
        <x:v>PASS</x:v>
      </x:c>
      <x:c r="M839" s="34" t="str">
        <x:v>numeric coverage for applicable metric</x:v>
      </x:c>
      <x:c r="N839" s="34" t="str">
        <x:v>Feedback-Directed Random Test Generation/Result/Time_10/result.json</x:v>
      </x:c>
      <x:c r="O839" s="38" t="n">
        <x:f>IF(AND(G839="RECORDED",ISNUMBER(H839)),H839,"")</x:f>
        <x:v>7.690000000000001</x:v>
      </x:c>
      <x:c r="P839" s="34" t="str">
        <x:v>NOT_REVEALING</x:v>
      </x:c>
      <x:c r="Q839" s="34" t="str">
        <x:v>Feedback-Directed Random Test Generation/Result/Time_10/result.json</x:v>
      </x:c>
    </x:row>
    <x:row r="840">
      <x:c r="A840" s="34" t="str">
        <x:v>randoop</x:v>
      </x:c>
      <x:c r="B840" s="34" t="str">
        <x:v>Time</x:v>
      </x:c>
      <x:c r="C840" s="34" t="str">
        <x:v>Round1</x:v>
      </x:c>
      <x:c r="D840" s="34" t="str">
        <x:v>Time_11</x:v>
      </x:c>
      <x:c r="E840" s="34" t="str">
        <x:v>Coverage</x:v>
      </x:c>
      <x:c r="F840" s="34" t="n">
        <x:v>586</x:v>
      </x:c>
      <x:c r="G840" s="34" t="str">
        <x:v>RECORDED</x:v>
      </x:c>
      <x:c r="H840" s="38" t="n">
        <x:f>IF(ISNUMBER('Data'!G840),'Data'!G840*100,"")</x:f>
        <x:v>15.869999999999997</x:v>
      </x:c>
      <x:c r="I840" s="34" t="str">
        <x:v>PASS</x:v>
      </x:c>
      <x:c r="J840" s="34" t="str">
        <x:v>PASS</x:v>
      </x:c>
      <x:c r="K840" s="34" t="str">
        <x:v>PASS</x:v>
      </x:c>
      <x:c r="L840" s="34" t="str">
        <x:v>PASS</x:v>
      </x:c>
      <x:c r="M840" s="34" t="str">
        <x:v>numeric coverage for applicable metric</x:v>
      </x:c>
      <x:c r="N840" s="34" t="str">
        <x:v>Feedback-Directed Random Test Generation/Result/Time_11/result.json</x:v>
      </x:c>
      <x:c r="O840" s="38" t="n">
        <x:f>IF(AND(G840="RECORDED",ISNUMBER(H840)),H840,"")</x:f>
        <x:v>15.869999999999997</x:v>
      </x:c>
      <x:c r="P840" s="34" t="str">
        <x:v>NOT_REVEALING</x:v>
      </x:c>
      <x:c r="Q840" s="34" t="str">
        <x:v>Feedback-Directed Random Test Generation/Result/Time_11/result.json</x:v>
      </x:c>
    </x:row>
    <x:row r="841">
      <x:c r="A841" s="34" t="str">
        <x:v>randoop</x:v>
      </x:c>
      <x:c r="B841" s="34" t="str">
        <x:v>Time</x:v>
      </x:c>
      <x:c r="C841" s="34" t="str">
        <x:v>Round1</x:v>
      </x:c>
      <x:c r="D841" s="34" t="str">
        <x:v>Time_12</x:v>
      </x:c>
      <x:c r="E841" s="34" t="str">
        <x:v>Coverage</x:v>
      </x:c>
      <x:c r="F841" s="34" t="n">
        <x:v>900</x:v>
      </x:c>
      <x:c r="G841" s="34" t="str">
        <x:v>RECORDED</x:v>
      </x:c>
      <x:c r="H841" s="38" t="n">
        <x:f>IF(ISNUMBER('Data'!G841),'Data'!G841*100,"")</x:f>
        <x:v>24.33</x:v>
      </x:c>
      <x:c r="I841" s="34" t="str">
        <x:v>PASS</x:v>
      </x:c>
      <x:c r="J841" s="34" t="str">
        <x:v>PASS</x:v>
      </x:c>
      <x:c r="K841" s="34" t="str">
        <x:v>PASS</x:v>
      </x:c>
      <x:c r="L841" s="34" t="str">
        <x:v>FAIL</x:v>
      </x:c>
      <x:c r="M841" s="34" t="str">
        <x:v>numeric coverage for applicable metric</x:v>
      </x:c>
      <x:c r="N841" s="34" t="str">
        <x:v>Feedback-Directed Random Test Generation/Result/Time_12/result.json</x:v>
      </x:c>
      <x:c r="O841" s="38" t="n">
        <x:f>IF(AND(G841="RECORDED",ISNUMBER(H841)),H841,"")</x:f>
        <x:v>24.33</x:v>
      </x:c>
      <x:c r="P841" s="34" t="str">
        <x:v>INCONCLUSIVE</x:v>
      </x:c>
      <x:c r="Q841" s="34" t="str">
        <x:v>Feedback-Directed Random Test Generation/Result/Time_12/result.json</x:v>
      </x:c>
    </x:row>
    <x:row r="842">
      <x:c r="A842" s="34" t="str">
        <x:v>randoop</x:v>
      </x:c>
      <x:c r="B842" s="34" t="str">
        <x:v>Time</x:v>
      </x:c>
      <x:c r="C842" s="34" t="str">
        <x:v>Round1</x:v>
      </x:c>
      <x:c r="D842" s="34" t="str">
        <x:v>Time_13</x:v>
      </x:c>
      <x:c r="E842" s="34" t="str">
        <x:v>Coverage</x:v>
      </x:c>
      <x:c r="F842" s="34" t="n">
        <x:v>1124</x:v>
      </x:c>
      <x:c r="G842" s="34" t="str">
        <x:v>RECORDED</x:v>
      </x:c>
      <x:c r="H842" s="38" t="n">
        <x:f>IF(ISNUMBER('Data'!G842),'Data'!G842*100,"")</x:f>
        <x:v>29.89</x:v>
      </x:c>
      <x:c r="I842" s="34" t="str">
        <x:v>PASS</x:v>
      </x:c>
      <x:c r="J842" s="34" t="str">
        <x:v>PASS</x:v>
      </x:c>
      <x:c r="K842" s="34" t="str">
        <x:v>PASS</x:v>
      </x:c>
      <x:c r="L842" s="34" t="str">
        <x:v>PASS</x:v>
      </x:c>
      <x:c r="M842" s="34" t="str">
        <x:v>numeric coverage for applicable metric</x:v>
      </x:c>
      <x:c r="N842" s="34" t="str">
        <x:v>Feedback-Directed Random Test Generation/Result/Time_13/result.json</x:v>
      </x:c>
      <x:c r="O842" s="38" t="n">
        <x:f>IF(AND(G842="RECORDED",ISNUMBER(H842)),H842,"")</x:f>
        <x:v>29.89</x:v>
      </x:c>
      <x:c r="P842" s="34" t="str">
        <x:v>NOT_REVEALING</x:v>
      </x:c>
      <x:c r="Q842" s="34" t="str">
        <x:v>Feedback-Directed Random Test Generation/Result/Time_13/result.json</x:v>
      </x:c>
    </x:row>
    <x:row r="843">
      <x:c r="A843" s="34" t="str">
        <x:v>randoop</x:v>
      </x:c>
      <x:c r="B843" s="34" t="str">
        <x:v>Time</x:v>
      </x:c>
      <x:c r="C843" s="34" t="str">
        <x:v>Round1</x:v>
      </x:c>
      <x:c r="D843" s="34" t="str">
        <x:v>Time_14</x:v>
      </x:c>
      <x:c r="E843" s="34" t="str">
        <x:v>Coverage</x:v>
      </x:c>
      <x:c r="F843" s="34" t="n">
        <x:v>160</x:v>
      </x:c>
      <x:c r="G843" s="34" t="str">
        <x:v>RECORDED</x:v>
      </x:c>
      <x:c r="H843" s="38" t="n">
        <x:f>IF(ISNUMBER('Data'!G843),'Data'!G843*100,"")</x:f>
        <x:v>0.62</x:v>
      </x:c>
      <x:c r="I843" s="34" t="str">
        <x:v>PASS</x:v>
      </x:c>
      <x:c r="J843" s="34" t="str">
        <x:v>PASS</x:v>
      </x:c>
      <x:c r="K843" s="34" t="str">
        <x:v>PASS</x:v>
      </x:c>
      <x:c r="L843" s="34" t="str">
        <x:v>PASS</x:v>
      </x:c>
      <x:c r="M843" s="34" t="str">
        <x:v>numeric coverage for applicable metric</x:v>
      </x:c>
      <x:c r="N843" s="34" t="str">
        <x:v>Feedback-Directed Random Test Generation/Result/Time_14/result.json</x:v>
      </x:c>
      <x:c r="O843" s="38" t="n">
        <x:f>IF(AND(G843="RECORDED",ISNUMBER(H843)),H843,"")</x:f>
        <x:v>0.62</x:v>
      </x:c>
      <x:c r="P843" s="34" t="str">
        <x:v>NOT_REVEALING</x:v>
      </x:c>
      <x:c r="Q843" s="34" t="str">
        <x:v>Feedback-Directed Random Test Generation/Result/Time_14/result.json</x:v>
      </x:c>
    </x:row>
    <x:row r="844">
      <x:c r="A844" s="34" t="str">
        <x:v>randoop</x:v>
      </x:c>
      <x:c r="B844" s="34" t="str">
        <x:v>Time</x:v>
      </x:c>
      <x:c r="C844" s="34" t="str">
        <x:v>Round1</x:v>
      </x:c>
      <x:c r="D844" s="34" t="str">
        <x:v>Time_15</x:v>
      </x:c>
      <x:c r="E844" s="34" t="str">
        <x:v>Coverage</x:v>
      </x:c>
      <x:c r="F844" s="34" t="n">
        <x:v>145</x:v>
      </x:c>
      <x:c r="G844" s="34" t="str">
        <x:v>RECORDED</x:v>
      </x:c>
      <x:c r="H844" s="38" t="n">
        <x:f>IF(ISNUMBER('Data'!G844),'Data'!G844*100,"")</x:f>
        <x:v>68.97</x:v>
      </x:c>
      <x:c r="I844" s="34" t="str">
        <x:v>PASS</x:v>
      </x:c>
      <x:c r="J844" s="34" t="str">
        <x:v>PASS</x:v>
      </x:c>
      <x:c r="K844" s="34" t="str">
        <x:v>PASS</x:v>
      </x:c>
      <x:c r="L844" s="34" t="str">
        <x:v>PASS</x:v>
      </x:c>
      <x:c r="M844" s="34" t="str">
        <x:v>numeric coverage for applicable metric</x:v>
      </x:c>
      <x:c r="N844" s="34" t="str">
        <x:v>Feedback-Directed Random Test Generation/Result/Time_15/result.json</x:v>
      </x:c>
      <x:c r="O844" s="38" t="n">
        <x:f>IF(AND(G844="RECORDED",ISNUMBER(H844)),H844,"")</x:f>
        <x:v>68.97</x:v>
      </x:c>
      <x:c r="P844" s="34" t="str">
        <x:v>NOT_REVEALING</x:v>
      </x:c>
      <x:c r="Q844" s="34" t="str">
        <x:v>Feedback-Directed Random Test Generation/Result/Time_15/result.json</x:v>
      </x:c>
    </x:row>
    <x:row r="845">
      <x:c r="A845" s="34" t="str">
        <x:v>randoop</x:v>
      </x:c>
      <x:c r="B845" s="34" t="str">
        <x:v>Time</x:v>
      </x:c>
      <x:c r="C845" s="34" t="str">
        <x:v>Round1</x:v>
      </x:c>
      <x:c r="D845" s="34" t="str">
        <x:v>Time_16</x:v>
      </x:c>
      <x:c r="E845" s="34" t="str">
        <x:v>Coverage</x:v>
      </x:c>
      <x:c r="F845" s="34" t="n">
        <x:v>295</x:v>
      </x:c>
      <x:c r="G845" s="34" t="str">
        <x:v>RECORDED</x:v>
      </x:c>
      <x:c r="H845" s="38" t="n">
        <x:f>IF(ISNUMBER('Data'!G845),'Data'!G845*100,"")</x:f>
        <x:v>26.44</x:v>
      </x:c>
      <x:c r="I845" s="34" t="str">
        <x:v>PASS</x:v>
      </x:c>
      <x:c r="J845" s="34" t="str">
        <x:v>PASS</x:v>
      </x:c>
      <x:c r="K845" s="34" t="str">
        <x:v>PASS</x:v>
      </x:c>
      <x:c r="L845" s="34" t="str">
        <x:v>PASS</x:v>
      </x:c>
      <x:c r="M845" s="34" t="str">
        <x:v>numeric coverage for applicable metric</x:v>
      </x:c>
      <x:c r="N845" s="34" t="str">
        <x:v>Feedback-Directed Random Test Generation/Result/Time_16/result.json</x:v>
      </x:c>
      <x:c r="O845" s="38" t="n">
        <x:f>IF(AND(G845="RECORDED",ISNUMBER(H845)),H845,"")</x:f>
        <x:v>26.44</x:v>
      </x:c>
      <x:c r="P845" s="34" t="str">
        <x:v>NOT_REVEALING</x:v>
      </x:c>
      <x:c r="Q845" s="34" t="str">
        <x:v>Feedback-Directed Random Test Generation/Result/Time_16/result.json</x:v>
      </x:c>
    </x:row>
    <x:row r="846">
      <x:c r="A846" s="34" t="str">
        <x:v>randoop</x:v>
      </x:c>
      <x:c r="B846" s="34" t="str">
        <x:v>Time</x:v>
      </x:c>
      <x:c r="C846" s="34" t="str">
        <x:v>Round1</x:v>
      </x:c>
      <x:c r="D846" s="34" t="str">
        <x:v>Time_17</x:v>
      </x:c>
      <x:c r="E846" s="34" t="str">
        <x:v>Coverage</x:v>
      </x:c>
      <x:c r="F846" s="34" t="n">
        <x:v>505</x:v>
      </x:c>
      <x:c r="G846" s="34" t="str">
        <x:v>RECORDED</x:v>
      </x:c>
      <x:c r="H846" s="38" t="n">
        <x:f>IF(ISNUMBER('Data'!G846),'Data'!G846*100,"")</x:f>
        <x:v>45.54</x:v>
      </x:c>
      <x:c r="I846" s="34" t="str">
        <x:v>PASS</x:v>
      </x:c>
      <x:c r="J846" s="34" t="str">
        <x:v>PASS</x:v>
      </x:c>
      <x:c r="K846" s="34" t="str">
        <x:v>PASS</x:v>
      </x:c>
      <x:c r="L846" s="34" t="str">
        <x:v>PASS</x:v>
      </x:c>
      <x:c r="M846" s="34" t="str">
        <x:v>numeric coverage for applicable metric</x:v>
      </x:c>
      <x:c r="N846" s="34" t="str">
        <x:v>Feedback-Directed Random Test Generation/Result/Time_17/result.json</x:v>
      </x:c>
      <x:c r="O846" s="38" t="n">
        <x:f>IF(AND(G846="RECORDED",ISNUMBER(H846)),H846,"")</x:f>
        <x:v>45.54</x:v>
      </x:c>
      <x:c r="P846" s="34" t="str">
        <x:v>NOT_REVEALING</x:v>
      </x:c>
      <x:c r="Q846" s="34" t="str">
        <x:v>Feedback-Directed Random Test Generation/Result/Time_17/result.json</x:v>
      </x:c>
    </x:row>
    <x:row r="847">
      <x:c r="A847" s="34" t="str">
        <x:v>randoop</x:v>
      </x:c>
      <x:c r="B847" s="34" t="str">
        <x:v>Time</x:v>
      </x:c>
      <x:c r="C847" s="34" t="str">
        <x:v>Round1</x:v>
      </x:c>
      <x:c r="D847" s="34" t="str">
        <x:v>Time_18</x:v>
      </x:c>
      <x:c r="E847" s="34" t="str">
        <x:v>Coverage</x:v>
      </x:c>
      <x:c r="F847" s="34" t="n">
        <x:v>496</x:v>
      </x:c>
      <x:c r="G847" s="34" t="str">
        <x:v>RECORDED</x:v>
      </x:c>
      <x:c r="H847" s="38" t="n">
        <x:f>IF(ISNUMBER('Data'!G847),'Data'!G847*100,"")</x:f>
        <x:v>37.7</x:v>
      </x:c>
      <x:c r="I847" s="34" t="str">
        <x:v>PASS</x:v>
      </x:c>
      <x:c r="J847" s="34" t="str">
        <x:v>PASS</x:v>
      </x:c>
      <x:c r="K847" s="34" t="str">
        <x:v>PASS</x:v>
      </x:c>
      <x:c r="L847" s="34" t="str">
        <x:v>PASS</x:v>
      </x:c>
      <x:c r="M847" s="34" t="str">
        <x:v>numeric coverage for applicable metric</x:v>
      </x:c>
      <x:c r="N847" s="34" t="str">
        <x:v>Feedback-Directed Random Test Generation/Result/Time_18/result.json</x:v>
      </x:c>
      <x:c r="O847" s="38" t="n">
        <x:f>IF(AND(G847="RECORDED",ISNUMBER(H847)),H847,"")</x:f>
        <x:v>37.7</x:v>
      </x:c>
      <x:c r="P847" s="34" t="str">
        <x:v>NOT_REVEALING</x:v>
      </x:c>
      <x:c r="Q847" s="34" t="str">
        <x:v>Feedback-Directed Random Test Generation/Result/Time_18/result.json</x:v>
      </x:c>
    </x:row>
    <x:row r="848">
      <x:c r="A848" s="34" t="str">
        <x:v>randoop</x:v>
      </x:c>
      <x:c r="B848" s="34" t="str">
        <x:v>Time</x:v>
      </x:c>
      <x:c r="C848" s="34" t="str">
        <x:v>Round1</x:v>
      </x:c>
      <x:c r="D848" s="34" t="str">
        <x:v>Time_19</x:v>
      </x:c>
      <x:c r="E848" s="34" t="str">
        <x:v>Coverage</x:v>
      </x:c>
      <x:c r="F848" s="34" t="n">
        <x:v>505</x:v>
      </x:c>
      <x:c r="G848" s="34" t="str">
        <x:v>RECORDED</x:v>
      </x:c>
      <x:c r="H848" s="38" t="n">
        <x:f>IF(ISNUMBER('Data'!G848),'Data'!G848*100,"")</x:f>
        <x:v>47.72</x:v>
      </x:c>
      <x:c r="I848" s="34" t="str">
        <x:v>PASS</x:v>
      </x:c>
      <x:c r="J848" s="34" t="str">
        <x:v>PASS</x:v>
      </x:c>
      <x:c r="K848" s="34" t="str">
        <x:v>PASS</x:v>
      </x:c>
      <x:c r="L848" s="34" t="str">
        <x:v>PASS</x:v>
      </x:c>
      <x:c r="M848" s="34" t="str">
        <x:v>numeric coverage for applicable metric</x:v>
      </x:c>
      <x:c r="N848" s="34" t="str">
        <x:v>Feedback-Directed Random Test Generation/Result/Time_19/result.json</x:v>
      </x:c>
      <x:c r="O848" s="38" t="n">
        <x:f>IF(AND(G848="RECORDED",ISNUMBER(H848)),H848,"")</x:f>
        <x:v>47.72</x:v>
      </x:c>
      <x:c r="P848" s="34" t="str">
        <x:v>NOT_REVEALING</x:v>
      </x:c>
      <x:c r="Q848" s="34" t="str">
        <x:v>Feedback-Directed Random Test Generation/Result/Time_19/result.json</x:v>
      </x:c>
    </x:row>
    <x:row r="849">
      <x:c r="A849" s="34" t="str">
        <x:v>randoop</x:v>
      </x:c>
      <x:c r="B849" s="34" t="str">
        <x:v>Time</x:v>
      </x:c>
      <x:c r="C849" s="34" t="str">
        <x:v>Round1</x:v>
      </x:c>
      <x:c r="D849" s="34" t="str">
        <x:v>Time_20</x:v>
      </x:c>
      <x:c r="E849" s="34" t="str">
        <x:v>Coverage</x:v>
      </x:c>
      <x:c r="F849" s="34" t="n">
        <x:v>1622</x:v>
      </x:c>
      <x:c r="G849" s="34" t="str">
        <x:v>RECORDED</x:v>
      </x:c>
      <x:c r="H849" s="38" t="n">
        <x:f>IF(ISNUMBER('Data'!G849),'Data'!G849*100,"")</x:f>
        <x:v>11.41</x:v>
      </x:c>
      <x:c r="I849" s="34" t="str">
        <x:v>PASS</x:v>
      </x:c>
      <x:c r="J849" s="34" t="str">
        <x:v>PASS</x:v>
      </x:c>
      <x:c r="K849" s="34" t="str">
        <x:v>PASS</x:v>
      </x:c>
      <x:c r="L849" s="34" t="str">
        <x:v>PASS</x:v>
      </x:c>
      <x:c r="M849" s="34" t="str">
        <x:v>numeric coverage for applicable metric</x:v>
      </x:c>
      <x:c r="N849" s="34" t="str">
        <x:v>Feedback-Directed Random Test Generation/Result/Time_20/result.json</x:v>
      </x:c>
      <x:c r="O849" s="38" t="n">
        <x:f>IF(AND(G849="RECORDED",ISNUMBER(H849)),H849,"")</x:f>
        <x:v>11.41</x:v>
      </x:c>
      <x:c r="P849" s="34" t="str">
        <x:v>NOT_REVEALING</x:v>
      </x:c>
      <x:c r="Q849" s="34" t="str">
        <x:v>Feedback-Directed Random Test Generation/Result/Time_20/result.json</x:v>
      </x:c>
    </x:row>
    <x:row r="850">
      <x:c r="A850" s="34" t="str">
        <x:v>randoop</x:v>
      </x:c>
      <x:c r="B850" s="34" t="str">
        <x:v>Time</x:v>
      </x:c>
      <x:c r="C850" s="34" t="str">
        <x:v>Round1</x:v>
      </x:c>
      <x:c r="D850" s="34" t="str">
        <x:v>Time_22</x:v>
      </x:c>
      <x:c r="E850" s="34" t="str">
        <x:v>Coverage</x:v>
      </x:c>
      <x:c r="F850" s="34" t="n">
        <x:v>229</x:v>
      </x:c>
      <x:c r="G850" s="34" t="str">
        <x:v>RECORDED</x:v>
      </x:c>
      <x:c r="H850" s="38" t="n">
        <x:f>IF(ISNUMBER('Data'!G850),'Data'!G850*100,"")</x:f>
        <x:v>0</x:v>
      </x:c>
      <x:c r="I850" s="34" t="str">
        <x:v>PASS</x:v>
      </x:c>
      <x:c r="J850" s="34" t="str">
        <x:v>PASS</x:v>
      </x:c>
      <x:c r="K850" s="34" t="str">
        <x:v>PASS</x:v>
      </x:c>
      <x:c r="L850" s="34" t="str">
        <x:v>PASS</x:v>
      </x:c>
      <x:c r="M850" s="34" t="str">
        <x:v>numeric coverage for applicable metric</x:v>
      </x:c>
      <x:c r="N850" s="34" t="str">
        <x:v>Feedback-Directed Random Test Generation/Result/Time_22/result.json</x:v>
      </x:c>
      <x:c r="O850" s="38" t="n">
        <x:f>IF(AND(G850="RECORDED",ISNUMBER(H850)),H850,"")</x:f>
        <x:v>0</x:v>
      </x:c>
      <x:c r="P850" s="34" t="str">
        <x:v>NOT_REVEALING</x:v>
      </x:c>
      <x:c r="Q850" s="34" t="str">
        <x:v>Feedback-Directed Random Test Generation/Result/Time_22/result.json</x:v>
      </x:c>
    </x:row>
    <x:row r="851">
      <x:c r="A851" s="34" t="str">
        <x:v>randoop</x:v>
      </x:c>
      <x:c r="B851" s="34" t="str">
        <x:v>Time</x:v>
      </x:c>
      <x:c r="C851" s="34" t="str">
        <x:v>Round1</x:v>
      </x:c>
      <x:c r="D851" s="34" t="str">
        <x:v>Time_23</x:v>
      </x:c>
      <x:c r="E851" s="34" t="str">
        <x:v>Coverage</x:v>
      </x:c>
      <x:c r="F851" s="34" t="n">
        <x:v>504</x:v>
      </x:c>
      <x:c r="G851" s="34" t="str">
        <x:v>RECORDED</x:v>
      </x:c>
      <x:c r="H851" s="38" t="n">
        <x:f>IF(ISNUMBER('Data'!G851),'Data'!G851*100,"")</x:f>
        <x:v>47.42</x:v>
      </x:c>
      <x:c r="I851" s="34" t="str">
        <x:v>PASS</x:v>
      </x:c>
      <x:c r="J851" s="34" t="str">
        <x:v>PASS</x:v>
      </x:c>
      <x:c r="K851" s="34" t="str">
        <x:v>PASS</x:v>
      </x:c>
      <x:c r="L851" s="34" t="str">
        <x:v>PASS</x:v>
      </x:c>
      <x:c r="M851" s="34" t="str">
        <x:v>numeric coverage for applicable metric</x:v>
      </x:c>
      <x:c r="N851" s="34" t="str">
        <x:v>Feedback-Directed Random Test Generation/Result/Time_23/result.json</x:v>
      </x:c>
      <x:c r="O851" s="38" t="n">
        <x:f>IF(AND(G851="RECORDED",ISNUMBER(H851)),H851,"")</x:f>
        <x:v>47.42</x:v>
      </x:c>
      <x:c r="P851" s="34" t="str">
        <x:v>NOT_REVEALING</x:v>
      </x:c>
      <x:c r="Q851" s="34" t="str">
        <x:v>Feedback-Directed Random Test Generation/Result/Time_23/result.json</x:v>
      </x:c>
    </x:row>
    <x:row r="852">
      <x:c r="A852" s="34" t="str">
        <x:v>randoop</x:v>
      </x:c>
      <x:c r="B852" s="34" t="str">
        <x:v>Time</x:v>
      </x:c>
      <x:c r="C852" s="34" t="str">
        <x:v>Round1</x:v>
      </x:c>
      <x:c r="D852" s="34" t="str">
        <x:v>Time_24</x:v>
      </x:c>
      <x:c r="E852" s="34" t="str">
        <x:v>Coverage</x:v>
      </x:c>
      <x:c r="F852" s="34" t="n">
        <x:v>208</x:v>
      </x:c>
      <x:c r="G852" s="34" t="str">
        <x:v>RECORDED</x:v>
      </x:c>
      <x:c r="H852" s="38" t="n">
        <x:f>IF(ISNUMBER('Data'!G852),'Data'!G852*100,"")</x:f>
        <x:v>48.56</x:v>
      </x:c>
      <x:c r="I852" s="34" t="str">
        <x:v>PASS</x:v>
      </x:c>
      <x:c r="J852" s="34" t="str">
        <x:v>PASS</x:v>
      </x:c>
      <x:c r="K852" s="34" t="str">
        <x:v>PASS</x:v>
      </x:c>
      <x:c r="L852" s="34" t="str">
        <x:v>FAIL</x:v>
      </x:c>
      <x:c r="M852" s="34" t="str">
        <x:v>numeric coverage for applicable metric</x:v>
      </x:c>
      <x:c r="N852" s="34" t="str">
        <x:v>Feedback-Directed Random Test Generation/Result/Time_24/result.json</x:v>
      </x:c>
      <x:c r="O852" s="38" t="n">
        <x:f>IF(AND(G852="RECORDED",ISNUMBER(H852)),H852,"")</x:f>
        <x:v>48.56</x:v>
      </x:c>
      <x:c r="P852" s="34" t="str">
        <x:v>INCONCLUSIVE</x:v>
      </x:c>
      <x:c r="Q852" s="34" t="str">
        <x:v>Feedback-Directed Random Test Generation/Result/Time_24/result.json</x:v>
      </x:c>
    </x:row>
    <x:row r="853">
      <x:c r="A853" s="34" t="str">
        <x:v>randoop</x:v>
      </x:c>
      <x:c r="B853" s="34" t="str">
        <x:v>Time</x:v>
      </x:c>
      <x:c r="C853" s="34" t="str">
        <x:v>Round1</x:v>
      </x:c>
      <x:c r="D853" s="34" t="str">
        <x:v>Time_25</x:v>
      </x:c>
      <x:c r="E853" s="34" t="str">
        <x:v>Coverage</x:v>
      </x:c>
      <x:c r="F853" s="34" t="n">
        <x:v>480</x:v>
      </x:c>
      <x:c r="G853" s="34" t="str">
        <x:v>RECORDED</x:v>
      </x:c>
      <x:c r="H853" s="38" t="n">
        <x:f>IF(ISNUMBER('Data'!G853),'Data'!G853*100,"")</x:f>
        <x:v>63.96000000000001</x:v>
      </x:c>
      <x:c r="I853" s="34" t="str">
        <x:v>PASS</x:v>
      </x:c>
      <x:c r="J853" s="34" t="str">
        <x:v>PASS</x:v>
      </x:c>
      <x:c r="K853" s="34" t="str">
        <x:v>PASS</x:v>
      </x:c>
      <x:c r="L853" s="34" t="str">
        <x:v>FAIL</x:v>
      </x:c>
      <x:c r="M853" s="34" t="str">
        <x:v>numeric coverage for applicable metric</x:v>
      </x:c>
      <x:c r="N853" s="34" t="str">
        <x:v>Feedback-Directed Random Test Generation/Result/Time_25/result.json</x:v>
      </x:c>
      <x:c r="O853" s="38" t="n">
        <x:f>IF(AND(G853="RECORDED",ISNUMBER(H853)),H853,"")</x:f>
        <x:v>63.96000000000001</x:v>
      </x:c>
      <x:c r="P853" s="34" t="str">
        <x:v>INCONCLUSIVE</x:v>
      </x:c>
      <x:c r="Q853" s="34" t="str">
        <x:v>Feedback-Directed Random Test Generation/Result/Time_25/result.json</x:v>
      </x:c>
    </x:row>
    <x:row r="854">
      <x:c r="A854" s="34" t="str">
        <x:v>randoop</x:v>
      </x:c>
      <x:c r="B854" s="34" t="str">
        <x:v>Time</x:v>
      </x:c>
      <x:c r="C854" s="34" t="str">
        <x:v>Round1</x:v>
      </x:c>
      <x:c r="D854" s="34" t="str">
        <x:v>Time_26</x:v>
      </x:c>
      <x:c r="E854" s="34" t="str">
        <x:v>Coverage</x:v>
      </x:c>
      <x:c r="F854" s="34" t="n">
        <x:v>807</x:v>
      </x:c>
      <x:c r="G854" s="34" t="str">
        <x:v>RECORDED</x:v>
      </x:c>
      <x:c r="H854" s="38" t="n">
        <x:f>IF(ISNUMBER('Data'!G854),'Data'!G854*100,"")</x:f>
        <x:v>41.26</x:v>
      </x:c>
      <x:c r="I854" s="34" t="str">
        <x:v>PASS</x:v>
      </x:c>
      <x:c r="J854" s="34" t="str">
        <x:v>PASS</x:v>
      </x:c>
      <x:c r="K854" s="34" t="str">
        <x:v>PASS</x:v>
      </x:c>
      <x:c r="L854" s="34" t="str">
        <x:v>FAIL</x:v>
      </x:c>
      <x:c r="M854" s="34" t="str">
        <x:v>numeric coverage for applicable metric</x:v>
      </x:c>
      <x:c r="N854" s="34" t="str">
        <x:v>Feedback-Directed Random Test Generation/Result/Time_26/result.json</x:v>
      </x:c>
      <x:c r="O854" s="38" t="n">
        <x:f>IF(AND(G854="RECORDED",ISNUMBER(H854)),H854,"")</x:f>
        <x:v>41.26</x:v>
      </x:c>
      <x:c r="P854" s="34" t="str">
        <x:v>INCONCLUSIVE</x:v>
      </x:c>
      <x:c r="Q854" s="34" t="str">
        <x:v>Feedback-Directed Random Test Generation/Result/Time_26/result.json</x:v>
      </x:c>
    </x:row>
    <x:row r="855">
      <x:c r="A855" s="34" t="str">
        <x:v>randoop</x:v>
      </x:c>
      <x:c r="B855" s="34" t="str">
        <x:v>Time</x:v>
      </x:c>
      <x:c r="C855" s="34" t="str">
        <x:v>Round1</x:v>
      </x:c>
      <x:c r="D855" s="34" t="str">
        <x:v>Time_27</x:v>
      </x:c>
      <x:c r="E855" s="34" t="str">
        <x:v>Coverage</x:v>
      </x:c>
      <x:c r="F855" s="34" t="n">
        <x:v>1116</x:v>
      </x:c>
      <x:c r="G855" s="34" t="str">
        <x:v>RECORDED</x:v>
      </x:c>
      <x:c r="H855" s="38" t="n">
        <x:f>IF(ISNUMBER('Data'!G855),'Data'!G855*100,"")</x:f>
        <x:v>29.84</x:v>
      </x:c>
      <x:c r="I855" s="34" t="str">
        <x:v>PASS</x:v>
      </x:c>
      <x:c r="J855" s="34" t="str">
        <x:v>PASS</x:v>
      </x:c>
      <x:c r="K855" s="34" t="str">
        <x:v>PASS</x:v>
      </x:c>
      <x:c r="L855" s="34" t="str">
        <x:v>PASS</x:v>
      </x:c>
      <x:c r="M855" s="34" t="str">
        <x:v>numeric coverage for applicable metric</x:v>
      </x:c>
      <x:c r="N855" s="34" t="str">
        <x:v>Feedback-Directed Random Test Generation/Result/Time_27/result.json</x:v>
      </x:c>
      <x:c r="O855" s="38" t="n">
        <x:f>IF(AND(G855="RECORDED",ISNUMBER(H855)),H855,"")</x:f>
        <x:v>29.84</x:v>
      </x:c>
      <x:c r="P855" s="34" t="str">
        <x:v>NOT_REVEALING</x:v>
      </x:c>
      <x:c r="Q855" s="34" t="str">
        <x:v>Feedback-Directed Random Test Generation/Result/Time_27/result.json</x:v>
      </x:c>
    </x:row>
    <x:row r="856">
      <x:c r="A856" s="34" t="str">
        <x:v>randoop</x:v>
      </x:c>
      <x:c r="B856" s="34" t="str">
        <x:v>Chart</x:v>
      </x:c>
      <x:c r="C856" s="34" t="str">
        <x:v>Round2</x:v>
      </x:c>
      <x:c r="D856" s="34" t="str">
        <x:v>Chart_1</x:v>
      </x:c>
      <x:c r="E856" s="34" t="str">
        <x:v>Coverage</x:v>
      </x:c>
      <x:c r="F856" s="34" t="n">
        <x:v>816</x:v>
      </x:c>
      <x:c r="G856" s="34" t="str">
        <x:v>RECORDED</x:v>
      </x:c>
      <x:c r="H856" s="38" t="n">
        <x:f>IF(ISNUMBER('Data'!G856),'Data'!G856*100,"")</x:f>
        <x:v>0</x:v>
      </x:c>
      <x:c r="I856" s="34" t="str">
        <x:v>PASS</x:v>
      </x:c>
      <x:c r="J856" s="34" t="str">
        <x:v>PASS</x:v>
      </x:c>
      <x:c r="K856" s="34" t="str">
        <x:v>PASS</x:v>
      </x:c>
      <x:c r="L856" s="34" t="str">
        <x:v>PASS</x:v>
      </x:c>
      <x:c r="M856" s="34" t="str">
        <x:v>numeric coverage for applicable metric</x:v>
      </x:c>
      <x:c r="N856" s="34" t="str">
        <x:v>Feedback-Directed Random Test Generation/Result_Round2/Chart_1/result.json</x:v>
      </x:c>
      <x:c r="O856" s="38" t="n">
        <x:f>IF(AND(G856="RECORDED",ISNUMBER(H856)),H856,"")</x:f>
        <x:v>0</x:v>
      </x:c>
      <x:c r="P856" s="34" t="str">
        <x:v>NOT_REVEALING</x:v>
      </x:c>
      <x:c r="Q856" s="34" t="str">
        <x:v>Feedback-Directed Random Test Generation/Result_Round2/Chart_1/result.json</x:v>
      </x:c>
    </x:row>
    <x:row r="857">
      <x:c r="A857" s="34" t="str">
        <x:v>randoop</x:v>
      </x:c>
      <x:c r="B857" s="34" t="str">
        <x:v>Chart</x:v>
      </x:c>
      <x:c r="C857" s="34" t="str">
        <x:v>Round2</x:v>
      </x:c>
      <x:c r="D857" s="34" t="str">
        <x:v>Chart_2</x:v>
      </x:c>
      <x:c r="E857" s="34" t="str">
        <x:v>Coverage</x:v>
      </x:c>
      <x:c r="F857" s="34" t="n">
        <x:v>1345</x:v>
      </x:c>
      <x:c r="G857" s="34" t="str">
        <x:v>RECORDED</x:v>
      </x:c>
      <x:c r="H857" s="38" t="n">
        <x:f>IF(ISNUMBER('Data'!G857),'Data'!G857*100,"")</x:f>
        <x:v>37.25</x:v>
      </x:c>
      <x:c r="I857" s="34" t="str">
        <x:v>PASS</x:v>
      </x:c>
      <x:c r="J857" s="34" t="str">
        <x:v>PASS</x:v>
      </x:c>
      <x:c r="K857" s="34" t="str">
        <x:v>PASS</x:v>
      </x:c>
      <x:c r="L857" s="34" t="str">
        <x:v>FAIL</x:v>
      </x:c>
      <x:c r="M857" s="34" t="str">
        <x:v>numeric coverage for applicable metric</x:v>
      </x:c>
      <x:c r="N857" s="34" t="str">
        <x:v>Feedback-Directed Random Test Generation/Result_Round2/Chart_2/result.json</x:v>
      </x:c>
      <x:c r="O857" s="38" t="n">
        <x:f>IF(AND(G857="RECORDED",ISNUMBER(H857)),H857,"")</x:f>
        <x:v>37.25</x:v>
      </x:c>
      <x:c r="P857" s="34" t="str">
        <x:v>INCONCLUSIVE</x:v>
      </x:c>
      <x:c r="Q857" s="34" t="str">
        <x:v>Feedback-Directed Random Test Generation/Result_Round2/Chart_2/result.json</x:v>
      </x:c>
    </x:row>
    <x:row r="858">
      <x:c r="A858" s="34" t="str">
        <x:v>randoop</x:v>
      </x:c>
      <x:c r="B858" s="34" t="str">
        <x:v>Chart</x:v>
      </x:c>
      <x:c r="C858" s="34" t="str">
        <x:v>Round2</x:v>
      </x:c>
      <x:c r="D858" s="34" t="str">
        <x:v>Chart_3</x:v>
      </x:c>
      <x:c r="E858" s="34" t="str">
        <x:v>Coverage</x:v>
      </x:c>
      <x:c r="F858" s="34" t="n">
        <x:v>566</x:v>
      </x:c>
      <x:c r="G858" s="34" t="str">
        <x:v>RECORDED</x:v>
      </x:c>
      <x:c r="H858" s="38" t="n">
        <x:f>IF(ISNUMBER('Data'!G858),'Data'!G858*100,"")</x:f>
        <x:v>26.86</x:v>
      </x:c>
      <x:c r="I858" s="34" t="str">
        <x:v>PASS</x:v>
      </x:c>
      <x:c r="J858" s="34" t="str">
        <x:v>PASS</x:v>
      </x:c>
      <x:c r="K858" s="34" t="str">
        <x:v>PASS</x:v>
      </x:c>
      <x:c r="L858" s="34" t="str">
        <x:v>PASS</x:v>
      </x:c>
      <x:c r="M858" s="34" t="str">
        <x:v>numeric coverage for applicable metric</x:v>
      </x:c>
      <x:c r="N858" s="34" t="str">
        <x:v>Feedback-Directed Random Test Generation/Result_Round2/Chart_3/result.json</x:v>
      </x:c>
      <x:c r="O858" s="38" t="n">
        <x:f>IF(AND(G858="RECORDED",ISNUMBER(H858)),H858,"")</x:f>
        <x:v>26.86</x:v>
      </x:c>
      <x:c r="P858" s="34" t="str">
        <x:v>NOT_REVEALING</x:v>
      </x:c>
      <x:c r="Q858" s="34" t="str">
        <x:v>Feedback-Directed Random Test Generation/Result_Round2/Chart_3/result.json</x:v>
      </x:c>
    </x:row>
    <x:row r="859">
      <x:c r="A859" s="34" t="str">
        <x:v>randoop</x:v>
      </x:c>
      <x:c r="B859" s="34" t="str">
        <x:v>Chart</x:v>
      </x:c>
      <x:c r="C859" s="34" t="str">
        <x:v>Round2</x:v>
      </x:c>
      <x:c r="D859" s="34" t="str">
        <x:v>Chart_4</x:v>
      </x:c>
      <x:c r="E859" s="34" t="str">
        <x:v>Coverage</x:v>
      </x:c>
      <x:c r="F859" s="34" t="n">
        <x:v>2772</x:v>
      </x:c>
      <x:c r="G859" s="34" t="str">
        <x:v>RECORDED</x:v>
      </x:c>
      <x:c r="H859" s="38" t="n">
        <x:f>IF(ISNUMBER('Data'!G859),'Data'!G859*100,"")</x:f>
        <x:v>45.74</x:v>
      </x:c>
      <x:c r="I859" s="34" t="str">
        <x:v>PASS</x:v>
      </x:c>
      <x:c r="J859" s="34" t="str">
        <x:v>PASS</x:v>
      </x:c>
      <x:c r="K859" s="34" t="str">
        <x:v>PASS</x:v>
      </x:c>
      <x:c r="L859" s="34" t="str">
        <x:v>FAIL</x:v>
      </x:c>
      <x:c r="M859" s="34" t="str">
        <x:v>numeric coverage for applicable metric</x:v>
      </x:c>
      <x:c r="N859" s="34" t="str">
        <x:v>Feedback-Directed Random Test Generation/Result_Round2/Chart_4/result.json</x:v>
      </x:c>
      <x:c r="O859" s="38" t="n">
        <x:f>IF(AND(G859="RECORDED",ISNUMBER(H859)),H859,"")</x:f>
        <x:v>45.74</x:v>
      </x:c>
      <x:c r="P859" s="34" t="str">
        <x:v>INCONCLUSIVE</x:v>
      </x:c>
      <x:c r="Q859" s="34" t="str">
        <x:v>Feedback-Directed Random Test Generation/Result_Round2/Chart_4/result.json</x:v>
      </x:c>
    </x:row>
    <x:row r="860">
      <x:c r="A860" s="34" t="str">
        <x:v>randoop</x:v>
      </x:c>
      <x:c r="B860" s="34" t="str">
        <x:v>Chart</x:v>
      </x:c>
      <x:c r="C860" s="34" t="str">
        <x:v>Round2</x:v>
      </x:c>
      <x:c r="D860" s="34" t="str">
        <x:v>Chart_5</x:v>
      </x:c>
      <x:c r="E860" s="34" t="str">
        <x:v>Coverage</x:v>
      </x:c>
      <x:c r="F860" s="34" t="n">
        <x:v>252</x:v>
      </x:c>
      <x:c r="G860" s="34" t="str">
        <x:v>RECORDED</x:v>
      </x:c>
      <x:c r="H860" s="38" t="n">
        <x:f>IF(ISNUMBER('Data'!G860),'Data'!G860*100,"")</x:f>
        <x:v>83.73</x:v>
      </x:c>
      <x:c r="I860" s="34" t="str">
        <x:v>PASS</x:v>
      </x:c>
      <x:c r="J860" s="34" t="str">
        <x:v>PASS</x:v>
      </x:c>
      <x:c r="K860" s="34" t="str">
        <x:v>PASS</x:v>
      </x:c>
      <x:c r="L860" s="34" t="str">
        <x:v>PASS</x:v>
      </x:c>
      <x:c r="M860" s="34" t="str">
        <x:v>numeric coverage for applicable metric</x:v>
      </x:c>
      <x:c r="N860" s="34" t="str">
        <x:v>Feedback-Directed Random Test Generation/Result_Round2/Chart_5/result.json</x:v>
      </x:c>
      <x:c r="O860" s="38" t="n">
        <x:f>IF(AND(G860="RECORDED",ISNUMBER(H860)),H860,"")</x:f>
        <x:v>83.73</x:v>
      </x:c>
      <x:c r="P860" s="34" t="str">
        <x:v>INCONCLUSIVE</x:v>
      </x:c>
      <x:c r="Q860" s="34" t="str">
        <x:v>Feedback-Directed Random Test Generation/Result_Round2/Chart_5/result.json</x:v>
      </x:c>
    </x:row>
    <x:row r="861">
      <x:c r="A861" s="34" t="str">
        <x:v>randoop</x:v>
      </x:c>
      <x:c r="B861" s="34" t="str">
        <x:v>Chart</x:v>
      </x:c>
      <x:c r="C861" s="34" t="str">
        <x:v>Round2</x:v>
      </x:c>
      <x:c r="D861" s="34" t="str">
        <x:v>Chart_6</x:v>
      </x:c>
      <x:c r="E861" s="34" t="str">
        <x:v>Coverage</x:v>
      </x:c>
      <x:c r="F861" s="34" t="n">
        <x:v>41</x:v>
      </x:c>
      <x:c r="G861" s="34" t="str">
        <x:v>RECORDED</x:v>
      </x:c>
      <x:c r="H861" s="38" t="n">
        <x:f>IF(ISNUMBER('Data'!G861),'Data'!G861*100,"")</x:f>
        <x:v>34.15</x:v>
      </x:c>
      <x:c r="I861" s="34" t="str">
        <x:v>PASS</x:v>
      </x:c>
      <x:c r="J861" s="34" t="str">
        <x:v>PASS</x:v>
      </x:c>
      <x:c r="K861" s="34" t="str">
        <x:v>PASS</x:v>
      </x:c>
      <x:c r="L861" s="34" t="str">
        <x:v>FAIL</x:v>
      </x:c>
      <x:c r="M861" s="34" t="str">
        <x:v>numeric coverage for applicable metric</x:v>
      </x:c>
      <x:c r="N861" s="34" t="str">
        <x:v>Feedback-Directed Random Test Generation/Result_Round2/Chart_6/result.json</x:v>
      </x:c>
      <x:c r="O861" s="38" t="n">
        <x:f>IF(AND(G861="RECORDED",ISNUMBER(H861)),H861,"")</x:f>
        <x:v>34.15</x:v>
      </x:c>
      <x:c r="P861" s="34" t="str">
        <x:v>INCONCLUSIVE</x:v>
      </x:c>
      <x:c r="Q861" s="34" t="str">
        <x:v>Feedback-Directed Random Test Generation/Result_Round2/Chart_6/result.json</x:v>
      </x:c>
    </x:row>
    <x:row r="862">
      <x:c r="A862" s="34" t="str">
        <x:v>randoop</x:v>
      </x:c>
      <x:c r="B862" s="34" t="str">
        <x:v>Chart</x:v>
      </x:c>
      <x:c r="C862" s="34" t="str">
        <x:v>Round2</x:v>
      </x:c>
      <x:c r="D862" s="34" t="str">
        <x:v>Chart_7</x:v>
      </x:c>
      <x:c r="E862" s="34" t="str">
        <x:v>Coverage</x:v>
      </x:c>
      <x:c r="F862" s="34" t="n">
        <x:v>213</x:v>
      </x:c>
      <x:c r="G862" s="34" t="str">
        <x:v>RECORDED</x:v>
      </x:c>
      <x:c r="H862" s="38" t="n">
        <x:f>IF(ISNUMBER('Data'!G862),'Data'!G862*100,"")</x:f>
        <x:v>41.78</x:v>
      </x:c>
      <x:c r="I862" s="34" t="str">
        <x:v>PASS</x:v>
      </x:c>
      <x:c r="J862" s="34" t="str">
        <x:v>PASS</x:v>
      </x:c>
      <x:c r="K862" s="34" t="str">
        <x:v>PASS</x:v>
      </x:c>
      <x:c r="L862" s="34" t="str">
        <x:v>PASS</x:v>
      </x:c>
      <x:c r="M862" s="34" t="str">
        <x:v>numeric coverage for applicable metric</x:v>
      </x:c>
      <x:c r="N862" s="34" t="str">
        <x:v>Feedback-Directed Random Test Generation/Result_Round2/Chart_7/result.json</x:v>
      </x:c>
      <x:c r="O862" s="38" t="n">
        <x:f>IF(AND(G862="RECORDED",ISNUMBER(H862)),H862,"")</x:f>
        <x:v>41.78</x:v>
      </x:c>
      <x:c r="P862" s="34" t="str">
        <x:v>NOT_REVEALING</x:v>
      </x:c>
      <x:c r="Q862" s="34" t="str">
        <x:v>Feedback-Directed Random Test Generation/Result_Round2/Chart_7/result.json</x:v>
      </x:c>
    </x:row>
    <x:row r="863">
      <x:c r="A863" s="34" t="str">
        <x:v>randoop</x:v>
      </x:c>
      <x:c r="B863" s="34" t="str">
        <x:v>Chart</x:v>
      </x:c>
      <x:c r="C863" s="34" t="str">
        <x:v>Round2</x:v>
      </x:c>
      <x:c r="D863" s="34" t="str">
        <x:v>Chart_8</x:v>
      </x:c>
      <x:c r="E863" s="34" t="str">
        <x:v>Coverage</x:v>
      </x:c>
      <x:c r="F863" s="34" t="n">
        <x:v>230</x:v>
      </x:c>
      <x:c r="G863" s="34" t="str">
        <x:v>RECORDED</x:v>
      </x:c>
      <x:c r="H863" s="38" t="n">
        <x:f>IF(ISNUMBER('Data'!G863),'Data'!G863*100,"")</x:f>
        <x:v>81.3</x:v>
      </x:c>
      <x:c r="I863" s="34" t="str">
        <x:v>PASS</x:v>
      </x:c>
      <x:c r="J863" s="34" t="str">
        <x:v>PASS</x:v>
      </x:c>
      <x:c r="K863" s="34" t="str">
        <x:v>PASS</x:v>
      </x:c>
      <x:c r="L863" s="34" t="str">
        <x:v>FAIL</x:v>
      </x:c>
      <x:c r="M863" s="34" t="str">
        <x:v>numeric coverage for applicable metric</x:v>
      </x:c>
      <x:c r="N863" s="34" t="str">
        <x:v>Feedback-Directed Random Test Generation/Result_Round2/Chart_8/result.json</x:v>
      </x:c>
      <x:c r="O863" s="38" t="n">
        <x:f>IF(AND(G863="RECORDED",ISNUMBER(H863)),H863,"")</x:f>
        <x:v>81.3</x:v>
      </x:c>
      <x:c r="P863" s="34" t="str">
        <x:v>INCONCLUSIVE</x:v>
      </x:c>
      <x:c r="Q863" s="34" t="str">
        <x:v>Feedback-Directed Random Test Generation/Result_Round2/Chart_8/result.json</x:v>
      </x:c>
    </x:row>
    <x:row r="864">
      <x:c r="A864" s="34" t="str">
        <x:v>randoop</x:v>
      </x:c>
      <x:c r="B864" s="34" t="str">
        <x:v>Chart</x:v>
      </x:c>
      <x:c r="C864" s="34" t="str">
        <x:v>Round2</x:v>
      </x:c>
      <x:c r="D864" s="34" t="str">
        <x:v>Chart_9</x:v>
      </x:c>
      <x:c r="E864" s="34" t="str">
        <x:v>Coverage</x:v>
      </x:c>
      <x:c r="F864" s="34" t="n">
        <x:v>417</x:v>
      </x:c>
      <x:c r="G864" s="34" t="str">
        <x:v>RECORDED</x:v>
      </x:c>
      <x:c r="H864" s="38" t="n">
        <x:f>IF(ISNUMBER('Data'!G864),'Data'!G864*100,"")</x:f>
        <x:v>42.21</x:v>
      </x:c>
      <x:c r="I864" s="34" t="str">
        <x:v>PASS</x:v>
      </x:c>
      <x:c r="J864" s="34" t="str">
        <x:v>PASS</x:v>
      </x:c>
      <x:c r="K864" s="34" t="str">
        <x:v>PASS</x:v>
      </x:c>
      <x:c r="L864" s="34" t="str">
        <x:v>FAIL</x:v>
      </x:c>
      <x:c r="M864" s="34" t="str">
        <x:v>numeric coverage for applicable metric</x:v>
      </x:c>
      <x:c r="N864" s="34" t="str">
        <x:v>Feedback-Directed Random Test Generation/Result_Round2/Chart_9/result.json</x:v>
      </x:c>
      <x:c r="O864" s="38" t="n">
        <x:f>IF(AND(G864="RECORDED",ISNUMBER(H864)),H864,"")</x:f>
        <x:v>42.21</x:v>
      </x:c>
      <x:c r="P864" s="34" t="str">
        <x:v>INCONCLUSIVE</x:v>
      </x:c>
      <x:c r="Q864" s="34" t="str">
        <x:v>Feedback-Directed Random Test Generation/Result_Round2/Chart_9/result.json</x:v>
      </x:c>
    </x:row>
    <x:row r="865">
      <x:c r="A865" s="34" t="str">
        <x:v>randoop</x:v>
      </x:c>
      <x:c r="B865" s="34" t="str">
        <x:v>Chart</x:v>
      </x:c>
      <x:c r="C865" s="34" t="str">
        <x:v>Round2</x:v>
      </x:c>
      <x:c r="D865" s="34" t="str">
        <x:v>Chart_10</x:v>
      </x:c>
      <x:c r="E865" s="34" t="str">
        <x:v>Coverage</x:v>
      </x:c>
      <x:c r="F865" s="34" t="n">
        <x:v>3</x:v>
      </x:c>
      <x:c r="G865" s="34" t="str">
        <x:v>RECORDED</x:v>
      </x:c>
      <x:c r="H865" s="38" t="n">
        <x:f>IF(ISNUMBER('Data'!G865),'Data'!G865*100,"")</x:f>
        <x:v>100</x:v>
      </x:c>
      <x:c r="I865" s="34" t="str">
        <x:v>PASS</x:v>
      </x:c>
      <x:c r="J865" s="34" t="str">
        <x:v>PASS</x:v>
      </x:c>
      <x:c r="K865" s="34" t="str">
        <x:v>PASS</x:v>
      </x:c>
      <x:c r="L865" s="34" t="str">
        <x:v>PASS</x:v>
      </x:c>
      <x:c r="M865" s="34" t="str">
        <x:v>numeric coverage for applicable metric</x:v>
      </x:c>
      <x:c r="N865" s="34" t="str">
        <x:v>Feedback-Directed Random Test Generation/Result_Round2/Chart_10/result.json</x:v>
      </x:c>
      <x:c r="O865" s="38" t="n">
        <x:f>IF(AND(G865="RECORDED",ISNUMBER(H865)),H865,"")</x:f>
        <x:v>100</x:v>
      </x:c>
      <x:c r="P865" s="34" t="str">
        <x:v>INCONCLUSIVE</x:v>
      </x:c>
      <x:c r="Q865" s="34" t="str">
        <x:v>Feedback-Directed Random Test Generation/Result_Round2/Chart_10/result.json</x:v>
      </x:c>
    </x:row>
    <x:row r="866">
      <x:c r="A866" s="34" t="str">
        <x:v>randoop</x:v>
      </x:c>
      <x:c r="B866" s="34" t="str">
        <x:v>Chart</x:v>
      </x:c>
      <x:c r="C866" s="34" t="str">
        <x:v>Round2</x:v>
      </x:c>
      <x:c r="D866" s="34" t="str">
        <x:v>Chart_11</x:v>
      </x:c>
      <x:c r="E866" s="34" t="str">
        <x:v>Coverage</x:v>
      </x:c>
      <x:c r="F866" s="34" t="n">
        <x:v>313</x:v>
      </x:c>
      <x:c r="G866" s="34" t="str">
        <x:v>RECORDED</x:v>
      </x:c>
      <x:c r="H866" s="38" t="n">
        <x:f>IF(ISNUMBER('Data'!G866),'Data'!G866*100,"")</x:f>
        <x:v>46.96</x:v>
      </x:c>
      <x:c r="I866" s="34" t="str">
        <x:v>PASS</x:v>
      </x:c>
      <x:c r="J866" s="34" t="str">
        <x:v>PASS</x:v>
      </x:c>
      <x:c r="K866" s="34" t="str">
        <x:v>PASS</x:v>
      </x:c>
      <x:c r="L866" s="34" t="str">
        <x:v>PASS</x:v>
      </x:c>
      <x:c r="M866" s="34" t="str">
        <x:v>numeric coverage for applicable metric</x:v>
      </x:c>
      <x:c r="N866" s="34" t="str">
        <x:v>Feedback-Directed Random Test Generation/Result_Round2/Chart_11/result.json</x:v>
      </x:c>
      <x:c r="O866" s="38" t="n">
        <x:f>IF(AND(G866="RECORDED",ISNUMBER(H866)),H866,"")</x:f>
        <x:v>46.96</x:v>
      </x:c>
      <x:c r="P866" s="34" t="str">
        <x:v>INCONCLUSIVE</x:v>
      </x:c>
      <x:c r="Q866" s="34" t="str">
        <x:v>Feedback-Directed Random Test Generation/Result_Round2/Chart_11/result.json</x:v>
      </x:c>
    </x:row>
    <x:row r="867">
      <x:c r="A867" s="34" t="str">
        <x:v>randoop</x:v>
      </x:c>
      <x:c r="B867" s="34" t="str">
        <x:v>Chart</x:v>
      </x:c>
      <x:c r="C867" s="34" t="str">
        <x:v>Round2</x:v>
      </x:c>
      <x:c r="D867" s="34" t="str">
        <x:v>Chart_12</x:v>
      </x:c>
      <x:c r="E867" s="34" t="str">
        <x:v>Coverage</x:v>
      </x:c>
      <x:c r="F867" s="34" t="n">
        <x:v>274</x:v>
      </x:c>
      <x:c r="G867" s="34" t="str">
        <x:v>RECORDED</x:v>
      </x:c>
      <x:c r="H867" s="38" t="n">
        <x:f>IF(ISNUMBER('Data'!G867),'Data'!G867*100,"")</x:f>
        <x:v>35.04</x:v>
      </x:c>
      <x:c r="I867" s="34" t="str">
        <x:v>PASS</x:v>
      </x:c>
      <x:c r="J867" s="34" t="str">
        <x:v>PASS</x:v>
      </x:c>
      <x:c r="K867" s="34" t="str">
        <x:v>PASS</x:v>
      </x:c>
      <x:c r="L867" s="34" t="str">
        <x:v>FAIL</x:v>
      </x:c>
      <x:c r="M867" s="34" t="str">
        <x:v>numeric coverage for applicable metric</x:v>
      </x:c>
      <x:c r="N867" s="34" t="str">
        <x:v>Feedback-Directed Random Test Generation/Result_Round2/Chart_12/result.json</x:v>
      </x:c>
      <x:c r="O867" s="38" t="n">
        <x:f>IF(AND(G867="RECORDED",ISNUMBER(H867)),H867,"")</x:f>
        <x:v>35.04</x:v>
      </x:c>
      <x:c r="P867" s="34" t="str">
        <x:v>INCONCLUSIVE</x:v>
      </x:c>
      <x:c r="Q867" s="34" t="str">
        <x:v>Feedback-Directed Random Test Generation/Result_Round2/Chart_12/result.json</x:v>
      </x:c>
    </x:row>
    <x:row r="868">
      <x:c r="A868" s="34" t="str">
        <x:v>randoop</x:v>
      </x:c>
      <x:c r="B868" s="34" t="str">
        <x:v>Chart</x:v>
      </x:c>
      <x:c r="C868" s="34" t="str">
        <x:v>Round2</x:v>
      </x:c>
      <x:c r="D868" s="34" t="str">
        <x:v>Chart_13</x:v>
      </x:c>
      <x:c r="E868" s="34" t="str">
        <x:v>Coverage</x:v>
      </x:c>
      <x:c r="F868" s="34" t="n">
        <x:v>349</x:v>
      </x:c>
      <x:c r="G868" s="34" t="str">
        <x:v>RECORDED</x:v>
      </x:c>
      <x:c r="H868" s="38" t="n">
        <x:f>IF(ISNUMBER('Data'!G868),'Data'!G868*100,"")</x:f>
        <x:v>26.07</x:v>
      </x:c>
      <x:c r="I868" s="34" t="str">
        <x:v>PASS</x:v>
      </x:c>
      <x:c r="J868" s="34" t="str">
        <x:v>PASS</x:v>
      </x:c>
      <x:c r="K868" s="34" t="str">
        <x:v>PASS</x:v>
      </x:c>
      <x:c r="L868" s="34" t="str">
        <x:v>FAIL</x:v>
      </x:c>
      <x:c r="M868" s="34" t="str">
        <x:v>numeric coverage for applicable metric</x:v>
      </x:c>
      <x:c r="N868" s="34" t="str">
        <x:v>Feedback-Directed Random Test Generation/Result_Round2/Chart_13/result.json</x:v>
      </x:c>
      <x:c r="O868" s="38" t="n">
        <x:f>IF(AND(G868="RECORDED",ISNUMBER(H868)),H868,"")</x:f>
        <x:v>26.07</x:v>
      </x:c>
      <x:c r="P868" s="34" t="str">
        <x:v>INCONCLUSIVE</x:v>
      </x:c>
      <x:c r="Q868" s="34" t="str">
        <x:v>Feedback-Directed Random Test Generation/Result_Round2/Chart_13/result.json</x:v>
      </x:c>
    </x:row>
    <x:row r="869">
      <x:c r="A869" s="34" t="str">
        <x:v>randoop</x:v>
      </x:c>
      <x:c r="B869" s="34" t="str">
        <x:v>Chart</x:v>
      </x:c>
      <x:c r="C869" s="34" t="str">
        <x:v>Round2</x:v>
      </x:c>
      <x:c r="D869" s="34" t="str">
        <x:v>Chart_14</x:v>
      </x:c>
      <x:c r="E869" s="34" t="str">
        <x:v>Coverage</x:v>
      </x:c>
      <x:c r="F869" s="34" t="n">
        <x:v>4158</x:v>
      </x:c>
      <x:c r="G869" s="34" t="str">
        <x:v>RECORDED</x:v>
      </x:c>
      <x:c r="H869" s="38" t="n">
        <x:f>IF(ISNUMBER('Data'!G869),'Data'!G869*100,"")</x:f>
        <x:v>49.13</x:v>
      </x:c>
      <x:c r="I869" s="34" t="str">
        <x:v>PASS</x:v>
      </x:c>
      <x:c r="J869" s="34" t="str">
        <x:v>PASS</x:v>
      </x:c>
      <x:c r="K869" s="34" t="str">
        <x:v>PASS</x:v>
      </x:c>
      <x:c r="L869" s="34" t="str">
        <x:v>FAIL</x:v>
      </x:c>
      <x:c r="M869" s="34" t="str">
        <x:v>numeric coverage for applicable metric</x:v>
      </x:c>
      <x:c r="N869" s="34" t="str">
        <x:v>Feedback-Directed Random Test Generation/Result_Round2/Chart_14/result.json</x:v>
      </x:c>
      <x:c r="O869" s="38" t="n">
        <x:f>IF(AND(G869="RECORDED",ISNUMBER(H869)),H869,"")</x:f>
        <x:v>49.13</x:v>
      </x:c>
      <x:c r="P869" s="34" t="str">
        <x:v>INCONCLUSIVE</x:v>
      </x:c>
      <x:c r="Q869" s="34" t="str">
        <x:v>Feedback-Directed Random Test Generation/Result_Round2/Chart_14/result.json</x:v>
      </x:c>
    </x:row>
    <x:row r="870">
      <x:c r="A870" s="34" t="str">
        <x:v>randoop</x:v>
      </x:c>
      <x:c r="B870" s="34" t="str">
        <x:v>Chart</x:v>
      </x:c>
      <x:c r="C870" s="34" t="str">
        <x:v>Round2</x:v>
      </x:c>
      <x:c r="D870" s="34" t="str">
        <x:v>Chart_15</x:v>
      </x:c>
      <x:c r="E870" s="34" t="str">
        <x:v>Coverage</x:v>
      </x:c>
      <x:c r="F870" s="34" t="n">
        <x:v>1148</x:v>
      </x:c>
      <x:c r="G870" s="34" t="str">
        <x:v>RECORDED</x:v>
      </x:c>
      <x:c r="H870" s="38" t="n">
        <x:f>IF(ISNUMBER('Data'!G870),'Data'!G870*100,"")</x:f>
        <x:v>44.69</x:v>
      </x:c>
      <x:c r="I870" s="34" t="str">
        <x:v>PASS</x:v>
      </x:c>
      <x:c r="J870" s="34" t="str">
        <x:v>PASS</x:v>
      </x:c>
      <x:c r="K870" s="34" t="str">
        <x:v>PASS</x:v>
      </x:c>
      <x:c r="L870" s="34" t="str">
        <x:v>FAIL</x:v>
      </x:c>
      <x:c r="M870" s="34" t="str">
        <x:v>numeric coverage for applicable metric</x:v>
      </x:c>
      <x:c r="N870" s="34" t="str">
        <x:v>Feedback-Directed Random Test Generation/Result_Round2/Chart_15/result.json</x:v>
      </x:c>
      <x:c r="O870" s="38" t="n">
        <x:f>IF(AND(G870="RECORDED",ISNUMBER(H870)),H870,"")</x:f>
        <x:v>44.69</x:v>
      </x:c>
      <x:c r="P870" s="34" t="str">
        <x:v>INCONCLUSIVE</x:v>
      </x:c>
      <x:c r="Q870" s="34" t="str">
        <x:v>Feedback-Directed Random Test Generation/Result_Round2/Chart_15/result.json</x:v>
      </x:c>
    </x:row>
    <x:row r="871">
      <x:c r="A871" s="34" t="str">
        <x:v>randoop</x:v>
      </x:c>
      <x:c r="B871" s="34" t="str">
        <x:v>Chart</x:v>
      </x:c>
      <x:c r="C871" s="34" t="str">
        <x:v>Round2</x:v>
      </x:c>
      <x:c r="D871" s="34" t="str">
        <x:v>Chart_16</x:v>
      </x:c>
      <x:c r="E871" s="34" t="str">
        <x:v>Coverage</x:v>
      </x:c>
      <x:c r="F871" s="34" t="n">
        <x:v>316</x:v>
      </x:c>
      <x:c r="G871" s="34" t="str">
        <x:v>RECORDED</x:v>
      </x:c>
      <x:c r="H871" s="38" t="n">
        <x:f>IF(ISNUMBER('Data'!G871),'Data'!G871*100,"")</x:f>
        <x:v>82.91</x:v>
      </x:c>
      <x:c r="I871" s="34" t="str">
        <x:v>PASS</x:v>
      </x:c>
      <x:c r="J871" s="34" t="str">
        <x:v>PASS</x:v>
      </x:c>
      <x:c r="K871" s="34" t="str">
        <x:v>PASS</x:v>
      </x:c>
      <x:c r="L871" s="34" t="str">
        <x:v>FAIL</x:v>
      </x:c>
      <x:c r="M871" s="34" t="str">
        <x:v>numeric coverage for applicable metric</x:v>
      </x:c>
      <x:c r="N871" s="34" t="str">
        <x:v>Feedback-Directed Random Test Generation/Result_Round2/Chart_16/result.json</x:v>
      </x:c>
      <x:c r="O871" s="38" t="n">
        <x:f>IF(AND(G871="RECORDED",ISNUMBER(H871)),H871,"")</x:f>
        <x:v>82.91</x:v>
      </x:c>
      <x:c r="P871" s="34" t="str">
        <x:v>INCONCLUSIVE</x:v>
      </x:c>
      <x:c r="Q871" s="34" t="str">
        <x:v>Feedback-Directed Random Test Generation/Result_Round2/Chart_16/result.json</x:v>
      </x:c>
    </x:row>
    <x:row r="872">
      <x:c r="A872" s="34" t="str">
        <x:v>randoop</x:v>
      </x:c>
      <x:c r="B872" s="34" t="str">
        <x:v>Chart</x:v>
      </x:c>
      <x:c r="C872" s="34" t="str">
        <x:v>Round2</x:v>
      </x:c>
      <x:c r="D872" s="34" t="str">
        <x:v>Chart_17</x:v>
      </x:c>
      <x:c r="E872" s="34" t="str">
        <x:v>Coverage</x:v>
      </x:c>
      <x:c r="F872" s="34" t="n">
        <x:v>416</x:v>
      </x:c>
      <x:c r="G872" s="34" t="str">
        <x:v>RECORDED</x:v>
      </x:c>
      <x:c r="H872" s="38" t="n">
        <x:f>IF(ISNUMBER('Data'!G872),'Data'!G872*100,"")</x:f>
        <x:v>41.83</x:v>
      </x:c>
      <x:c r="I872" s="34" t="str">
        <x:v>PASS</x:v>
      </x:c>
      <x:c r="J872" s="34" t="str">
        <x:v>PASS</x:v>
      </x:c>
      <x:c r="K872" s="34" t="str">
        <x:v>PASS</x:v>
      </x:c>
      <x:c r="L872" s="34" t="str">
        <x:v>FAIL</x:v>
      </x:c>
      <x:c r="M872" s="34" t="str">
        <x:v>numeric coverage for applicable metric</x:v>
      </x:c>
      <x:c r="N872" s="34" t="str">
        <x:v>Feedback-Directed Random Test Generation/Result_Round2/Chart_17/result.json</x:v>
      </x:c>
      <x:c r="O872" s="38" t="n">
        <x:f>IF(AND(G872="RECORDED",ISNUMBER(H872)),H872,"")</x:f>
        <x:v>41.83</x:v>
      </x:c>
      <x:c r="P872" s="34" t="str">
        <x:v>INCONCLUSIVE</x:v>
      </x:c>
      <x:c r="Q872" s="34" t="str">
        <x:v>Feedback-Directed Random Test Generation/Result_Round2/Chart_17/result.json</x:v>
      </x:c>
    </x:row>
    <x:row r="873">
      <x:c r="A873" s="34" t="str">
        <x:v>randoop</x:v>
      </x:c>
      <x:c r="B873" s="34" t="str">
        <x:v>Chart</x:v>
      </x:c>
      <x:c r="C873" s="34" t="str">
        <x:v>Round2</x:v>
      </x:c>
      <x:c r="D873" s="34" t="str">
        <x:v>Chart_18</x:v>
      </x:c>
      <x:c r="E873" s="34" t="str">
        <x:v>Coverage</x:v>
      </x:c>
      <x:c r="F873" s="34" t="n">
        <x:v>388</x:v>
      </x:c>
      <x:c r="G873" s="34" t="str">
        <x:v>RECORDED</x:v>
      </x:c>
      <x:c r="H873" s="38" t="n">
        <x:f>IF(ISNUMBER('Data'!G873),'Data'!G873*100,"")</x:f>
        <x:v>81.7</x:v>
      </x:c>
      <x:c r="I873" s="34" t="str">
        <x:v>PASS</x:v>
      </x:c>
      <x:c r="J873" s="34" t="str">
        <x:v>PASS</x:v>
      </x:c>
      <x:c r="K873" s="34" t="str">
        <x:v>PASS</x:v>
      </x:c>
      <x:c r="L873" s="34" t="str">
        <x:v>PASS</x:v>
      </x:c>
      <x:c r="M873" s="34" t="str">
        <x:v>numeric coverage for applicable metric</x:v>
      </x:c>
      <x:c r="N873" s="34" t="str">
        <x:v>Feedback-Directed Random Test Generation/Result_Round2/Chart_18/result.json</x:v>
      </x:c>
      <x:c r="O873" s="38" t="n">
        <x:f>IF(AND(G873="RECORDED",ISNUMBER(H873)),H873,"")</x:f>
        <x:v>81.7</x:v>
      </x:c>
      <x:c r="P873" s="34" t="str">
        <x:v>INCONCLUSIVE</x:v>
      </x:c>
      <x:c r="Q873" s="34" t="str">
        <x:v>Feedback-Directed Random Test Generation/Result_Round2/Chart_18/result.json</x:v>
      </x:c>
    </x:row>
    <x:row r="874">
      <x:c r="A874" s="34" t="str">
        <x:v>randoop</x:v>
      </x:c>
      <x:c r="B874" s="34" t="str">
        <x:v>Chart</x:v>
      </x:c>
      <x:c r="C874" s="34" t="str">
        <x:v>Round2</x:v>
      </x:c>
      <x:c r="D874" s="34" t="str">
        <x:v>Chart_19</x:v>
      </x:c>
      <x:c r="E874" s="34" t="str">
        <x:v>Coverage</x:v>
      </x:c>
      <x:c r="F874" s="34" t="n">
        <x:v>0</x:v>
      </x:c>
      <x:c r="G874" s="34" t="str">
        <x:v>A</x:v>
      </x:c>
      <x:c r="H874" s="38" t="str">
        <x:f>IF(ISNUMBER('Data'!G874),'Data'!G874*100,"")</x:f>
      </x:c>
      <x:c r="I874" s="34"/>
      <x:c r="J874" s="34"/>
      <x:c r="K874" s="34"/>
      <x:c r="L874" s="34" t="str">
        <x:v>NOT_RUN</x:v>
      </x:c>
      <x:c r="M874" s="34" t="str">
        <x:v>Latest same-round generation failed; older files/results are excluded</x:v>
      </x:c>
      <x:c r="N874" s="34" t="str">
        <x:v>Feedback-Directed Random Test Generation/report_Round2.csv</x:v>
      </x:c>
      <x:c r="O874" s="38" t="str">
        <x:f>IF(AND(G874="RECORDED",ISNUMBER(H874)),H874,"")</x:f>
      </x:c>
      <x:c r="P874" s="34" t="str">
        <x:v>FAIL</x:v>
      </x:c>
      <x:c r="Q874" s="34"/>
    </x:row>
    <x:row r="875">
      <x:c r="A875" s="34" t="str">
        <x:v>randoop</x:v>
      </x:c>
      <x:c r="B875" s="34" t="str">
        <x:v>Chart</x:v>
      </x:c>
      <x:c r="C875" s="34" t="str">
        <x:v>Round2</x:v>
      </x:c>
      <x:c r="D875" s="34" t="str">
        <x:v>Chart_20</x:v>
      </x:c>
      <x:c r="E875" s="34" t="str">
        <x:v>Coverage</x:v>
      </x:c>
      <x:c r="F875" s="34" t="n">
        <x:v>30</x:v>
      </x:c>
      <x:c r="G875" s="34" t="str">
        <x:v>RECORDED</x:v>
      </x:c>
      <x:c r="H875" s="38" t="n">
        <x:f>IF(ISNUMBER('Data'!G875),'Data'!G875*100,"")</x:f>
        <x:v>86.67</x:v>
      </x:c>
      <x:c r="I875" s="34" t="str">
        <x:v>PASS</x:v>
      </x:c>
      <x:c r="J875" s="34" t="str">
        <x:v>PASS</x:v>
      </x:c>
      <x:c r="K875" s="34" t="str">
        <x:v>PASS</x:v>
      </x:c>
      <x:c r="L875" s="34" t="str">
        <x:v>FAIL</x:v>
      </x:c>
      <x:c r="M875" s="34" t="str">
        <x:v>numeric coverage for applicable metric</x:v>
      </x:c>
      <x:c r="N875" s="34" t="str">
        <x:v>Feedback-Directed Random Test Generation/Result_Round2/Chart_20/result.json</x:v>
      </x:c>
      <x:c r="O875" s="38" t="n">
        <x:f>IF(AND(G875="RECORDED",ISNUMBER(H875)),H875,"")</x:f>
        <x:v>86.67</x:v>
      </x:c>
      <x:c r="P875" s="34" t="str">
        <x:v>INCONCLUSIVE</x:v>
      </x:c>
      <x:c r="Q875" s="34" t="str">
        <x:v>Feedback-Directed Random Test Generation/Result_Round2/Chart_20/result.json</x:v>
      </x:c>
    </x:row>
    <x:row r="876">
      <x:c r="A876" s="34" t="str">
        <x:v>randoop</x:v>
      </x:c>
      <x:c r="B876" s="34" t="str">
        <x:v>Chart</x:v>
      </x:c>
      <x:c r="C876" s="34" t="str">
        <x:v>Round2</x:v>
      </x:c>
      <x:c r="D876" s="34" t="str">
        <x:v>Chart_21</x:v>
      </x:c>
      <x:c r="E876" s="34" t="str">
        <x:v>Coverage</x:v>
      </x:c>
      <x:c r="F876" s="34" t="n">
        <x:v>221</x:v>
      </x:c>
      <x:c r="G876" s="34" t="str">
        <x:v>RECORDED</x:v>
      </x:c>
      <x:c r="H876" s="38" t="n">
        <x:f>IF(ISNUMBER('Data'!G876),'Data'!G876*100,"")</x:f>
        <x:v>45.25</x:v>
      </x:c>
      <x:c r="I876" s="34" t="str">
        <x:v>PASS</x:v>
      </x:c>
      <x:c r="J876" s="34" t="str">
        <x:v>PASS</x:v>
      </x:c>
      <x:c r="K876" s="34" t="str">
        <x:v>PASS</x:v>
      </x:c>
      <x:c r="L876" s="34" t="str">
        <x:v>FAIL</x:v>
      </x:c>
      <x:c r="M876" s="34" t="str">
        <x:v>numeric coverage for applicable metric</x:v>
      </x:c>
      <x:c r="N876" s="34" t="str">
        <x:v>Feedback-Directed Random Test Generation/Result_Round2/Chart_21/result.json</x:v>
      </x:c>
      <x:c r="O876" s="38" t="n">
        <x:f>IF(AND(G876="RECORDED",ISNUMBER(H876)),H876,"")</x:f>
        <x:v>45.25</x:v>
      </x:c>
      <x:c r="P876" s="34" t="str">
        <x:v>INCONCLUSIVE</x:v>
      </x:c>
      <x:c r="Q876" s="34" t="str">
        <x:v>Feedback-Directed Random Test Generation/Result_Round2/Chart_21/result.json</x:v>
      </x:c>
    </x:row>
    <x:row r="877">
      <x:c r="A877" s="34" t="str">
        <x:v>randoop</x:v>
      </x:c>
      <x:c r="B877" s="34" t="str">
        <x:v>Chart</x:v>
      </x:c>
      <x:c r="C877" s="34" t="str">
        <x:v>Round2</x:v>
      </x:c>
      <x:c r="D877" s="34" t="str">
        <x:v>Chart_22</x:v>
      </x:c>
      <x:c r="E877" s="34" t="str">
        <x:v>Coverage</x:v>
      </x:c>
      <x:c r="F877" s="34" t="n">
        <x:v>182</x:v>
      </x:c>
      <x:c r="G877" s="34" t="str">
        <x:v>RECORDED</x:v>
      </x:c>
      <x:c r="H877" s="38" t="n">
        <x:f>IF(ISNUMBER('Data'!G877),'Data'!G877*100,"")</x:f>
        <x:v>90.66</x:v>
      </x:c>
      <x:c r="I877" s="34" t="str">
        <x:v>PASS</x:v>
      </x:c>
      <x:c r="J877" s="34" t="str">
        <x:v>PASS</x:v>
      </x:c>
      <x:c r="K877" s="34" t="str">
        <x:v>PASS</x:v>
      </x:c>
      <x:c r="L877" s="34" t="str">
        <x:v>FAIL</x:v>
      </x:c>
      <x:c r="M877" s="34" t="str">
        <x:v>numeric coverage for applicable metric</x:v>
      </x:c>
      <x:c r="N877" s="34" t="str">
        <x:v>Feedback-Directed Random Test Generation/Result_Round2/Chart_22/result.json</x:v>
      </x:c>
      <x:c r="O877" s="38" t="n">
        <x:f>IF(AND(G877="RECORDED",ISNUMBER(H877)),H877,"")</x:f>
        <x:v>90.66</x:v>
      </x:c>
      <x:c r="P877" s="34" t="str">
        <x:v>INCONCLUSIVE</x:v>
      </x:c>
      <x:c r="Q877" s="34" t="str">
        <x:v>Feedback-Directed Random Test Generation/Result_Round2/Chart_22/result.json</x:v>
      </x:c>
    </x:row>
    <x:row r="878">
      <x:c r="A878" s="34" t="str">
        <x:v>randoop</x:v>
      </x:c>
      <x:c r="B878" s="34" t="str">
        <x:v>Chart</x:v>
      </x:c>
      <x:c r="C878" s="34" t="str">
        <x:v>Round2</x:v>
      </x:c>
      <x:c r="D878" s="34" t="str">
        <x:v>Chart_23</x:v>
      </x:c>
      <x:c r="E878" s="34" t="str">
        <x:v>Coverage</x:v>
      </x:c>
      <x:c r="F878" s="34" t="n">
        <x:v>190</x:v>
      </x:c>
      <x:c r="G878" s="34" t="str">
        <x:v>RECORDED</x:v>
      </x:c>
      <x:c r="H878" s="38" t="n">
        <x:f>IF(ISNUMBER('Data'!G878),'Data'!G878*100,"")</x:f>
        <x:v>33.16</x:v>
      </x:c>
      <x:c r="I878" s="34" t="str">
        <x:v>PASS</x:v>
      </x:c>
      <x:c r="J878" s="34" t="str">
        <x:v>PASS</x:v>
      </x:c>
      <x:c r="K878" s="34" t="str">
        <x:v>PASS</x:v>
      </x:c>
      <x:c r="L878" s="34" t="str">
        <x:v>FAIL</x:v>
      </x:c>
      <x:c r="M878" s="34" t="str">
        <x:v>numeric coverage for applicable metric</x:v>
      </x:c>
      <x:c r="N878" s="34" t="str">
        <x:v>Feedback-Directed Random Test Generation/Result_Round2/Chart_23/result.json</x:v>
      </x:c>
      <x:c r="O878" s="38" t="n">
        <x:f>IF(AND(G878="RECORDED",ISNUMBER(H878)),H878,"")</x:f>
        <x:v>33.16</x:v>
      </x:c>
      <x:c r="P878" s="34" t="str">
        <x:v>INCONCLUSIVE</x:v>
      </x:c>
      <x:c r="Q878" s="34" t="str">
        <x:v>Feedback-Directed Random Test Generation/Result_Round2/Chart_23/result.json</x:v>
      </x:c>
    </x:row>
    <x:row r="879">
      <x:c r="A879" s="34" t="str">
        <x:v>randoop</x:v>
      </x:c>
      <x:c r="B879" s="34" t="str">
        <x:v>Chart</x:v>
      </x:c>
      <x:c r="C879" s="34" t="str">
        <x:v>Round2</x:v>
      </x:c>
      <x:c r="D879" s="34" t="str">
        <x:v>Chart_24</x:v>
      </x:c>
      <x:c r="E879" s="34" t="str">
        <x:v>Coverage</x:v>
      </x:c>
      <x:c r="F879" s="34" t="n">
        <x:v>35</x:v>
      </x:c>
      <x:c r="G879" s="34" t="str">
        <x:v>RECORDED</x:v>
      </x:c>
      <x:c r="H879" s="38" t="n">
        <x:f>IF(ISNUMBER('Data'!G879),'Data'!G879*100,"")</x:f>
        <x:v>94.29</x:v>
      </x:c>
      <x:c r="I879" s="34" t="str">
        <x:v>PASS</x:v>
      </x:c>
      <x:c r="J879" s="34" t="str">
        <x:v>PASS</x:v>
      </x:c>
      <x:c r="K879" s="34" t="str">
        <x:v>PASS</x:v>
      </x:c>
      <x:c r="L879" s="34" t="str">
        <x:v>FAIL</x:v>
      </x:c>
      <x:c r="M879" s="34" t="str">
        <x:v>numeric coverage for applicable metric</x:v>
      </x:c>
      <x:c r="N879" s="34" t="str">
        <x:v>Feedback-Directed Random Test Generation/Result_Round2/Chart_24/result.json</x:v>
      </x:c>
      <x:c r="O879" s="38" t="n">
        <x:f>IF(AND(G879="RECORDED",ISNUMBER(H879)),H879,"")</x:f>
        <x:v>94.29</x:v>
      </x:c>
      <x:c r="P879" s="34" t="str">
        <x:v>INCONCLUSIVE</x:v>
      </x:c>
      <x:c r="Q879" s="34" t="str">
        <x:v>Feedback-Directed Random Test Generation/Result_Round2/Chart_24/result.json</x:v>
      </x:c>
    </x:row>
    <x:row r="880">
      <x:c r="A880" s="34" t="str">
        <x:v>randoop</x:v>
      </x:c>
      <x:c r="B880" s="34" t="str">
        <x:v>Chart</x:v>
      </x:c>
      <x:c r="C880" s="34" t="str">
        <x:v>Round2</x:v>
      </x:c>
      <x:c r="D880" s="34" t="str">
        <x:v>Chart_25</x:v>
      </x:c>
      <x:c r="E880" s="34" t="str">
        <x:v>Coverage</x:v>
      </x:c>
      <x:c r="F880" s="34" t="n">
        <x:v>256</x:v>
      </x:c>
      <x:c r="G880" s="34" t="str">
        <x:v>RECORDED</x:v>
      </x:c>
      <x:c r="H880" s="38" t="n">
        <x:f>IF(ISNUMBER('Data'!G880),'Data'!G880*100,"")</x:f>
        <x:v>12.11</x:v>
      </x:c>
      <x:c r="I880" s="34" t="str">
        <x:v>PASS</x:v>
      </x:c>
      <x:c r="J880" s="34" t="str">
        <x:v>PASS</x:v>
      </x:c>
      <x:c r="K880" s="34" t="str">
        <x:v>PASS</x:v>
      </x:c>
      <x:c r="L880" s="34" t="str">
        <x:v>FAIL</x:v>
      </x:c>
      <x:c r="M880" s="34" t="str">
        <x:v>numeric coverage for applicable metric</x:v>
      </x:c>
      <x:c r="N880" s="34" t="str">
        <x:v>Feedback-Directed Random Test Generation/Result_Round2/Chart_25/result.json</x:v>
      </x:c>
      <x:c r="O880" s="38" t="n">
        <x:f>IF(AND(G880="RECORDED",ISNUMBER(H880)),H880,"")</x:f>
        <x:v>12.11</x:v>
      </x:c>
      <x:c r="P880" s="34" t="str">
        <x:v>INCONCLUSIVE</x:v>
      </x:c>
      <x:c r="Q880" s="34" t="str">
        <x:v>Feedback-Directed Random Test Generation/Result_Round2/Chart_25/result.json</x:v>
      </x:c>
    </x:row>
    <x:row r="881">
      <x:c r="A881" s="34" t="str">
        <x:v>randoop</x:v>
      </x:c>
      <x:c r="B881" s="34" t="str">
        <x:v>Chart</x:v>
      </x:c>
      <x:c r="C881" s="34" t="str">
        <x:v>Round2</x:v>
      </x:c>
      <x:c r="D881" s="34" t="str">
        <x:v>Chart_26</x:v>
      </x:c>
      <x:c r="E881" s="34" t="str">
        <x:v>Coverage</x:v>
      </x:c>
      <x:c r="F881" s="34" t="n">
        <x:v>478</x:v>
      </x:c>
      <x:c r="G881" s="34" t="str">
        <x:v>RECORDED</x:v>
      </x:c>
      <x:c r="H881" s="38" t="n">
        <x:f>IF(ISNUMBER('Data'!G881),'Data'!G881*100,"")</x:f>
        <x:v>2.09</x:v>
      </x:c>
      <x:c r="I881" s="34" t="str">
        <x:v>PASS</x:v>
      </x:c>
      <x:c r="J881" s="34" t="str">
        <x:v>PASS</x:v>
      </x:c>
      <x:c r="K881" s="34" t="str">
        <x:v>PASS</x:v>
      </x:c>
      <x:c r="L881" s="34" t="str">
        <x:v>PASS</x:v>
      </x:c>
      <x:c r="M881" s="34" t="str">
        <x:v>numeric coverage for applicable metric</x:v>
      </x:c>
      <x:c r="N881" s="34" t="str">
        <x:v>Feedback-Directed Random Test Generation/Result_Round2/Chart_26/result.json</x:v>
      </x:c>
      <x:c r="O881" s="38" t="n">
        <x:f>IF(AND(G881="RECORDED",ISNUMBER(H881)),H881,"")</x:f>
        <x:v>2.09</x:v>
      </x:c>
      <x:c r="P881" s="34" t="str">
        <x:v>NOT_REVEALING</x:v>
      </x:c>
      <x:c r="Q881" s="34" t="str">
        <x:v>Feedback-Directed Random Test Generation/Result_Round2/Chart_26/result.json</x:v>
      </x:c>
    </x:row>
    <x:row r="882">
      <x:c r="A882" s="34" t="str">
        <x:v>randoop</x:v>
      </x:c>
      <x:c r="B882" s="34" t="str">
        <x:v>Cli</x:v>
      </x:c>
      <x:c r="C882" s="34" t="str">
        <x:v>Round2</x:v>
      </x:c>
      <x:c r="D882" s="34" t="str">
        <x:v>Cli_1</x:v>
      </x:c>
      <x:c r="E882" s="34" t="str">
        <x:v>Coverage</x:v>
      </x:c>
      <x:c r="F882" s="34" t="n">
        <x:v>59</x:v>
      </x:c>
      <x:c r="G882" s="34" t="str">
        <x:v>RECORDED</x:v>
      </x:c>
      <x:c r="H882" s="38" t="n">
        <x:f>IF(ISNUMBER('Data'!G882),'Data'!G882*100,"")</x:f>
        <x:v>0</x:v>
      </x:c>
      <x:c r="I882" s="34" t="str">
        <x:v>PASS</x:v>
      </x:c>
      <x:c r="J882" s="34" t="str">
        <x:v>PASS</x:v>
      </x:c>
      <x:c r="K882" s="34" t="str">
        <x:v>PASS</x:v>
      </x:c>
      <x:c r="L882" s="34" t="str">
        <x:v>FAIL</x:v>
      </x:c>
      <x:c r="M882" s="34" t="str">
        <x:v>numeric coverage for applicable metric</x:v>
      </x:c>
      <x:c r="N882" s="34" t="str">
        <x:v>Feedback-Directed Random Test Generation/Result_Round2/Cli_1/result.json</x:v>
      </x:c>
      <x:c r="O882" s="38" t="n">
        <x:f>IF(AND(G882="RECORDED",ISNUMBER(H882)),H882,"")</x:f>
        <x:v>0</x:v>
      </x:c>
      <x:c r="P882" s="34" t="str">
        <x:v>INCONCLUSIVE</x:v>
      </x:c>
      <x:c r="Q882" s="34" t="str">
        <x:v>Feedback-Directed Random Test Generation/Result_Round2/Cli_1/result.json</x:v>
      </x:c>
    </x:row>
    <x:row r="883">
      <x:c r="A883" s="34" t="str">
        <x:v>randoop</x:v>
      </x:c>
      <x:c r="B883" s="34" t="str">
        <x:v>Cli</x:v>
      </x:c>
      <x:c r="C883" s="34" t="str">
        <x:v>Round2</x:v>
      </x:c>
      <x:c r="D883" s="34" t="str">
        <x:v>Cli_2</x:v>
      </x:c>
      <x:c r="E883" s="34" t="str">
        <x:v>Coverage</x:v>
      </x:c>
      <x:c r="F883" s="34" t="n">
        <x:v>110</x:v>
      </x:c>
      <x:c r="G883" s="34" t="str">
        <x:v>RECORDED</x:v>
      </x:c>
      <x:c r="H883" s="38" t="n">
        <x:f>IF(ISNUMBER('Data'!G883),'Data'!G883*100,"")</x:f>
        <x:v>0</x:v>
      </x:c>
      <x:c r="I883" s="34" t="str">
        <x:v>PASS</x:v>
      </x:c>
      <x:c r="J883" s="34" t="str">
        <x:v>PASS</x:v>
      </x:c>
      <x:c r="K883" s="34" t="str">
        <x:v>PASS</x:v>
      </x:c>
      <x:c r="L883" s="34" t="str">
        <x:v>FAIL</x:v>
      </x:c>
      <x:c r="M883" s="34" t="str">
        <x:v>numeric coverage for applicable metric</x:v>
      </x:c>
      <x:c r="N883" s="34" t="str">
        <x:v>Feedback-Directed Random Test Generation/Result_Round2/Cli_2/result.json</x:v>
      </x:c>
      <x:c r="O883" s="38" t="n">
        <x:f>IF(AND(G883="RECORDED",ISNUMBER(H883)),H883,"")</x:f>
        <x:v>0</x:v>
      </x:c>
      <x:c r="P883" s="34" t="str">
        <x:v>INCONCLUSIVE</x:v>
      </x:c>
      <x:c r="Q883" s="34" t="str">
        <x:v>Feedback-Directed Random Test Generation/Result_Round2/Cli_2/result.json</x:v>
      </x:c>
    </x:row>
    <x:row r="884">
      <x:c r="A884" s="34" t="str">
        <x:v>randoop</x:v>
      </x:c>
      <x:c r="B884" s="34" t="str">
        <x:v>Cli</x:v>
      </x:c>
      <x:c r="C884" s="34" t="str">
        <x:v>Round2</x:v>
      </x:c>
      <x:c r="D884" s="34" t="str">
        <x:v>Cli_3</x:v>
      </x:c>
      <x:c r="E884" s="34" t="str">
        <x:v>Coverage</x:v>
      </x:c>
      <x:c r="F884" s="34" t="n">
        <x:v>75</x:v>
      </x:c>
      <x:c r="G884" s="34" t="str">
        <x:v>RECORDED</x:v>
      </x:c>
      <x:c r="H884" s="38" t="n">
        <x:f>IF(ISNUMBER('Data'!G884),'Data'!G884*100,"")</x:f>
        <x:v>0</x:v>
      </x:c>
      <x:c r="I884" s="34" t="str">
        <x:v>PASS</x:v>
      </x:c>
      <x:c r="J884" s="34" t="str">
        <x:v>PASS</x:v>
      </x:c>
      <x:c r="K884" s="34" t="str">
        <x:v>PASS</x:v>
      </x:c>
      <x:c r="L884" s="34" t="str">
        <x:v>FAIL</x:v>
      </x:c>
      <x:c r="M884" s="34" t="str">
        <x:v>numeric coverage for applicable metric</x:v>
      </x:c>
      <x:c r="N884" s="34" t="str">
        <x:v>Feedback-Directed Random Test Generation/Result_Round2/Cli_3/result.json</x:v>
      </x:c>
      <x:c r="O884" s="38" t="n">
        <x:f>IF(AND(G884="RECORDED",ISNUMBER(H884)),H884,"")</x:f>
        <x:v>0</x:v>
      </x:c>
      <x:c r="P884" s="34" t="str">
        <x:v>INCONCLUSIVE</x:v>
      </x:c>
      <x:c r="Q884" s="34" t="str">
        <x:v>Feedback-Directed Random Test Generation/Result_Round2/Cli_3/result.json</x:v>
      </x:c>
    </x:row>
    <x:row r="885">
      <x:c r="A885" s="34" t="str">
        <x:v>randoop</x:v>
      </x:c>
      <x:c r="B885" s="34" t="str">
        <x:v>Cli</x:v>
      </x:c>
      <x:c r="C885" s="34" t="str">
        <x:v>Round2</x:v>
      </x:c>
      <x:c r="D885" s="34" t="str">
        <x:v>Cli_4</x:v>
      </x:c>
      <x:c r="E885" s="34" t="str">
        <x:v>Coverage</x:v>
      </x:c>
      <x:c r="F885" s="34" t="n">
        <x:v>167</x:v>
      </x:c>
      <x:c r="G885" s="34" t="str">
        <x:v>RECORDED</x:v>
      </x:c>
      <x:c r="H885" s="38" t="n">
        <x:f>IF(ISNUMBER('Data'!G885),'Data'!G885*100,"")</x:f>
        <x:v>0</x:v>
      </x:c>
      <x:c r="I885" s="34" t="str">
        <x:v>PASS</x:v>
      </x:c>
      <x:c r="J885" s="34" t="str">
        <x:v>PASS</x:v>
      </x:c>
      <x:c r="K885" s="34" t="str">
        <x:v>PASS</x:v>
      </x:c>
      <x:c r="L885" s="34" t="str">
        <x:v>FAIL</x:v>
      </x:c>
      <x:c r="M885" s="34" t="str">
        <x:v>numeric coverage for applicable metric</x:v>
      </x:c>
      <x:c r="N885" s="34" t="str">
        <x:v>Feedback-Directed Random Test Generation/Result_Round2/Cli_4/result.json</x:v>
      </x:c>
      <x:c r="O885" s="38" t="n">
        <x:f>IF(AND(G885="RECORDED",ISNUMBER(H885)),H885,"")</x:f>
        <x:v>0</x:v>
      </x:c>
      <x:c r="P885" s="34" t="str">
        <x:v>INCONCLUSIVE</x:v>
      </x:c>
      <x:c r="Q885" s="34" t="str">
        <x:v>Feedback-Directed Random Test Generation/Result_Round2/Cli_4/result.json</x:v>
      </x:c>
    </x:row>
    <x:row r="886">
      <x:c r="A886" s="34" t="str">
        <x:v>randoop</x:v>
      </x:c>
      <x:c r="B886" s="34" t="str">
        <x:v>Cli</x:v>
      </x:c>
      <x:c r="C886" s="34" t="str">
        <x:v>Round2</x:v>
      </x:c>
      <x:c r="D886" s="34" t="str">
        <x:v>Cli_5</x:v>
      </x:c>
      <x:c r="E886" s="34" t="str">
        <x:v>Coverage</x:v>
      </x:c>
      <x:c r="F886" s="34" t="n">
        <x:v>19</x:v>
      </x:c>
      <x:c r="G886" s="34" t="str">
        <x:v>RECORDED</x:v>
      </x:c>
      <x:c r="H886" s="38" t="n">
        <x:f>IF(ISNUMBER('Data'!G886),'Data'!G886*100,"")</x:f>
        <x:v>0</x:v>
      </x:c>
      <x:c r="I886" s="34" t="str">
        <x:v>PASS</x:v>
      </x:c>
      <x:c r="J886" s="34" t="str">
        <x:v>PASS</x:v>
      </x:c>
      <x:c r="K886" s="34" t="str">
        <x:v>PASS</x:v>
      </x:c>
      <x:c r="L886" s="34" t="str">
        <x:v>FAIL</x:v>
      </x:c>
      <x:c r="M886" s="34" t="str">
        <x:v>numeric coverage for applicable metric</x:v>
      </x:c>
      <x:c r="N886" s="34" t="str">
        <x:v>Feedback-Directed Random Test Generation/Result_Round2/Cli_5/result.json</x:v>
      </x:c>
      <x:c r="O886" s="38" t="n">
        <x:f>IF(AND(G886="RECORDED",ISNUMBER(H886)),H886,"")</x:f>
        <x:v>0</x:v>
      </x:c>
      <x:c r="P886" s="34" t="str">
        <x:v>INCONCLUSIVE</x:v>
      </x:c>
      <x:c r="Q886" s="34" t="str">
        <x:v>Feedback-Directed Random Test Generation/Result_Round2/Cli_5/result.json</x:v>
      </x:c>
    </x:row>
    <x:row r="887">
      <x:c r="A887" s="34" t="str">
        <x:v>randoop</x:v>
      </x:c>
      <x:c r="B887" s="34" t="str">
        <x:v>Cli</x:v>
      </x:c>
      <x:c r="C887" s="34" t="str">
        <x:v>Round2</x:v>
      </x:c>
      <x:c r="D887" s="34" t="str">
        <x:v>Cli_7</x:v>
      </x:c>
      <x:c r="E887" s="34" t="str">
        <x:v>Coverage</x:v>
      </x:c>
      <x:c r="F887" s="34" t="n">
        <x:v>95</x:v>
      </x:c>
      <x:c r="G887" s="34" t="str">
        <x:v>RECORDED</x:v>
      </x:c>
      <x:c r="H887" s="38" t="n">
        <x:f>IF(ISNUMBER('Data'!G887),'Data'!G887*100,"")</x:f>
        <x:v>0</x:v>
      </x:c>
      <x:c r="I887" s="34" t="str">
        <x:v>PASS</x:v>
      </x:c>
      <x:c r="J887" s="34" t="str">
        <x:v>PASS</x:v>
      </x:c>
      <x:c r="K887" s="34" t="str">
        <x:v>PASS</x:v>
      </x:c>
      <x:c r="L887" s="34" t="str">
        <x:v>FAIL</x:v>
      </x:c>
      <x:c r="M887" s="34" t="str">
        <x:v>numeric coverage for applicable metric</x:v>
      </x:c>
      <x:c r="N887" s="34" t="str">
        <x:v>Feedback-Directed Random Test Generation/Result_Round2/Cli_7/result.json</x:v>
      </x:c>
      <x:c r="O887" s="38" t="n">
        <x:f>IF(AND(G887="RECORDED",ISNUMBER(H887)),H887,"")</x:f>
        <x:v>0</x:v>
      </x:c>
      <x:c r="P887" s="34" t="str">
        <x:v>INCONCLUSIVE</x:v>
      </x:c>
      <x:c r="Q887" s="34" t="str">
        <x:v>Feedback-Directed Random Test Generation/Result_Round2/Cli_7/result.json</x:v>
      </x:c>
    </x:row>
    <x:row r="888">
      <x:c r="A888" s="34" t="str">
        <x:v>randoop</x:v>
      </x:c>
      <x:c r="B888" s="34" t="str">
        <x:v>Cli</x:v>
      </x:c>
      <x:c r="C888" s="34" t="str">
        <x:v>Round2</x:v>
      </x:c>
      <x:c r="D888" s="34" t="str">
        <x:v>Cli_8</x:v>
      </x:c>
      <x:c r="E888" s="34" t="str">
        <x:v>Coverage</x:v>
      </x:c>
      <x:c r="F888" s="34" t="n">
        <x:v>296</x:v>
      </x:c>
      <x:c r="G888" s="34" t="str">
        <x:v>RECORDED</x:v>
      </x:c>
      <x:c r="H888" s="38" t="n">
        <x:f>IF(ISNUMBER('Data'!G888),'Data'!G888*100,"")</x:f>
        <x:v>0</x:v>
      </x:c>
      <x:c r="I888" s="34" t="str">
        <x:v>PASS</x:v>
      </x:c>
      <x:c r="J888" s="34" t="str">
        <x:v>PASS</x:v>
      </x:c>
      <x:c r="K888" s="34" t="str">
        <x:v>PASS</x:v>
      </x:c>
      <x:c r="L888" s="34" t="str">
        <x:v>FAIL</x:v>
      </x:c>
      <x:c r="M888" s="34" t="str">
        <x:v>numeric coverage for applicable metric</x:v>
      </x:c>
      <x:c r="N888" s="34" t="str">
        <x:v>Feedback-Directed Random Test Generation/Result_Round2/Cli_8/result.json</x:v>
      </x:c>
      <x:c r="O888" s="38" t="n">
        <x:f>IF(AND(G888="RECORDED",ISNUMBER(H888)),H888,"")</x:f>
        <x:v>0</x:v>
      </x:c>
      <x:c r="P888" s="34" t="str">
        <x:v>INCONCLUSIVE</x:v>
      </x:c>
      <x:c r="Q888" s="34" t="str">
        <x:v>Feedback-Directed Random Test Generation/Result_Round2/Cli_8/result.json</x:v>
      </x:c>
    </x:row>
    <x:row r="889">
      <x:c r="A889" s="34" t="str">
        <x:v>randoop</x:v>
      </x:c>
      <x:c r="B889" s="34" t="str">
        <x:v>Cli</x:v>
      </x:c>
      <x:c r="C889" s="34" t="str">
        <x:v>Round2</x:v>
      </x:c>
      <x:c r="D889" s="34" t="str">
        <x:v>Cli_9</x:v>
      </x:c>
      <x:c r="E889" s="34" t="str">
        <x:v>Coverage</x:v>
      </x:c>
      <x:c r="F889" s="34" t="n">
        <x:v>175</x:v>
      </x:c>
      <x:c r="G889" s="34" t="str">
        <x:v>RECORDED</x:v>
      </x:c>
      <x:c r="H889" s="38" t="n">
        <x:f>IF(ISNUMBER('Data'!G889),'Data'!G889*100,"")</x:f>
        <x:v>0</x:v>
      </x:c>
      <x:c r="I889" s="34" t="str">
        <x:v>PASS</x:v>
      </x:c>
      <x:c r="J889" s="34" t="str">
        <x:v>PASS</x:v>
      </x:c>
      <x:c r="K889" s="34" t="str">
        <x:v>PASS</x:v>
      </x:c>
      <x:c r="L889" s="34" t="str">
        <x:v>FAIL</x:v>
      </x:c>
      <x:c r="M889" s="34" t="str">
        <x:v>numeric coverage for applicable metric</x:v>
      </x:c>
      <x:c r="N889" s="34" t="str">
        <x:v>Feedback-Directed Random Test Generation/Result_Round2/Cli_9/result.json</x:v>
      </x:c>
      <x:c r="O889" s="38" t="n">
        <x:f>IF(AND(G889="RECORDED",ISNUMBER(H889)),H889,"")</x:f>
        <x:v>0</x:v>
      </x:c>
      <x:c r="P889" s="34" t="str">
        <x:v>INCONCLUSIVE</x:v>
      </x:c>
      <x:c r="Q889" s="34" t="str">
        <x:v>Feedback-Directed Random Test Generation/Result_Round2/Cli_9/result.json</x:v>
      </x:c>
    </x:row>
    <x:row r="890">
      <x:c r="A890" s="34" t="str">
        <x:v>randoop</x:v>
      </x:c>
      <x:c r="B890" s="34" t="str">
        <x:v>Cli</x:v>
      </x:c>
      <x:c r="C890" s="34" t="str">
        <x:v>Round2</x:v>
      </x:c>
      <x:c r="D890" s="34" t="str">
        <x:v>Cli_10</x:v>
      </x:c>
      <x:c r="E890" s="34" t="str">
        <x:v>Coverage</x:v>
      </x:c>
      <x:c r="F890" s="34" t="n">
        <x:v>176</x:v>
      </x:c>
      <x:c r="G890" s="34" t="str">
        <x:v>RECORDED</x:v>
      </x:c>
      <x:c r="H890" s="38" t="n">
        <x:f>IF(ISNUMBER('Data'!G890),'Data'!G890*100,"")</x:f>
        <x:v>0</x:v>
      </x:c>
      <x:c r="I890" s="34" t="str">
        <x:v>PASS</x:v>
      </x:c>
      <x:c r="J890" s="34" t="str">
        <x:v>PASS</x:v>
      </x:c>
      <x:c r="K890" s="34" t="str">
        <x:v>PASS</x:v>
      </x:c>
      <x:c r="L890" s="34" t="str">
        <x:v>FAIL</x:v>
      </x:c>
      <x:c r="M890" s="34" t="str">
        <x:v>numeric coverage for applicable metric</x:v>
      </x:c>
      <x:c r="N890" s="34" t="str">
        <x:v>Feedback-Directed Random Test Generation/Result_Round2/Cli_10/result.json</x:v>
      </x:c>
      <x:c r="O890" s="38" t="n">
        <x:f>IF(AND(G890="RECORDED",ISNUMBER(H890)),H890,"")</x:f>
        <x:v>0</x:v>
      </x:c>
      <x:c r="P890" s="34" t="str">
        <x:v>INCONCLUSIVE</x:v>
      </x:c>
      <x:c r="Q890" s="34" t="str">
        <x:v>Feedback-Directed Random Test Generation/Result_Round2/Cli_10/result.json</x:v>
      </x:c>
    </x:row>
    <x:row r="891">
      <x:c r="A891" s="34" t="str">
        <x:v>randoop</x:v>
      </x:c>
      <x:c r="B891" s="34" t="str">
        <x:v>Cli</x:v>
      </x:c>
      <x:c r="C891" s="34" t="str">
        <x:v>Round2</x:v>
      </x:c>
      <x:c r="D891" s="34" t="str">
        <x:v>Cli_11</x:v>
      </x:c>
      <x:c r="E891" s="34" t="str">
        <x:v>Coverage</x:v>
      </x:c>
      <x:c r="F891" s="34" t="n">
        <x:v>304</x:v>
      </x:c>
      <x:c r="G891" s="34" t="str">
        <x:v>RECORDED</x:v>
      </x:c>
      <x:c r="H891" s="38" t="n">
        <x:f>IF(ISNUMBER('Data'!G891),'Data'!G891*100,"")</x:f>
        <x:v>0</x:v>
      </x:c>
      <x:c r="I891" s="34" t="str">
        <x:v>PASS</x:v>
      </x:c>
      <x:c r="J891" s="34" t="str">
        <x:v>PASS</x:v>
      </x:c>
      <x:c r="K891" s="34" t="str">
        <x:v>PASS</x:v>
      </x:c>
      <x:c r="L891" s="34" t="str">
        <x:v>FAIL</x:v>
      </x:c>
      <x:c r="M891" s="34" t="str">
        <x:v>numeric coverage for applicable metric</x:v>
      </x:c>
      <x:c r="N891" s="34" t="str">
        <x:v>Feedback-Directed Random Test Generation/Result_Round2/Cli_11/result.json</x:v>
      </x:c>
      <x:c r="O891" s="38" t="n">
        <x:f>IF(AND(G891="RECORDED",ISNUMBER(H891)),H891,"")</x:f>
        <x:v>0</x:v>
      </x:c>
      <x:c r="P891" s="34" t="str">
        <x:v>INCONCLUSIVE</x:v>
      </x:c>
      <x:c r="Q891" s="34" t="str">
        <x:v>Feedback-Directed Random Test Generation/Result_Round2/Cli_11/result.json</x:v>
      </x:c>
    </x:row>
    <x:row r="892">
      <x:c r="A892" s="34" t="str">
        <x:v>randoop</x:v>
      </x:c>
      <x:c r="B892" s="34" t="str">
        <x:v>Cli</x:v>
      </x:c>
      <x:c r="C892" s="34" t="str">
        <x:v>Round2</x:v>
      </x:c>
      <x:c r="D892" s="34" t="str">
        <x:v>Cli_12</x:v>
      </x:c>
      <x:c r="E892" s="34" t="str">
        <x:v>Coverage</x:v>
      </x:c>
      <x:c r="F892" s="34" t="n">
        <x:v>41</x:v>
      </x:c>
      <x:c r="G892" s="34" t="str">
        <x:v>RECORDED</x:v>
      </x:c>
      <x:c r="H892" s="38" t="n">
        <x:f>IF(ISNUMBER('Data'!G892),'Data'!G892*100,"")</x:f>
        <x:v>0</x:v>
      </x:c>
      <x:c r="I892" s="34" t="str">
        <x:v>PASS</x:v>
      </x:c>
      <x:c r="J892" s="34" t="str">
        <x:v>PASS</x:v>
      </x:c>
      <x:c r="K892" s="34" t="str">
        <x:v>PASS</x:v>
      </x:c>
      <x:c r="L892" s="34" t="str">
        <x:v>FAIL</x:v>
      </x:c>
      <x:c r="M892" s="34" t="str">
        <x:v>numeric coverage for applicable metric</x:v>
      </x:c>
      <x:c r="N892" s="34" t="str">
        <x:v>Feedback-Directed Random Test Generation/Result_Round2/Cli_12/result.json</x:v>
      </x:c>
      <x:c r="O892" s="38" t="n">
        <x:f>IF(AND(G892="RECORDED",ISNUMBER(H892)),H892,"")</x:f>
        <x:v>0</x:v>
      </x:c>
      <x:c r="P892" s="34" t="str">
        <x:v>INCONCLUSIVE</x:v>
      </x:c>
      <x:c r="Q892" s="34" t="str">
        <x:v>Feedback-Directed Random Test Generation/Result_Round2/Cli_12/result.json</x:v>
      </x:c>
    </x:row>
    <x:row r="893">
      <x:c r="A893" s="34" t="str">
        <x:v>randoop</x:v>
      </x:c>
      <x:c r="B893" s="34" t="str">
        <x:v>Cli</x:v>
      </x:c>
      <x:c r="C893" s="34" t="str">
        <x:v>Round2</x:v>
      </x:c>
      <x:c r="D893" s="34" t="str">
        <x:v>Cli_13</x:v>
      </x:c>
      <x:c r="E893" s="34" t="str">
        <x:v>Coverage</x:v>
      </x:c>
      <x:c r="F893" s="34" t="n">
        <x:v>309</x:v>
      </x:c>
      <x:c r="G893" s="34" t="str">
        <x:v>RECORDED</x:v>
      </x:c>
      <x:c r="H893" s="38" t="n">
        <x:f>IF(ISNUMBER('Data'!G893),'Data'!G893*100,"")</x:f>
        <x:v>0</x:v>
      </x:c>
      <x:c r="I893" s="34" t="str">
        <x:v>PASS</x:v>
      </x:c>
      <x:c r="J893" s="34" t="str">
        <x:v>PASS</x:v>
      </x:c>
      <x:c r="K893" s="34" t="str">
        <x:v>PASS</x:v>
      </x:c>
      <x:c r="L893" s="34" t="str">
        <x:v>FAIL</x:v>
      </x:c>
      <x:c r="M893" s="34" t="str">
        <x:v>numeric coverage for applicable metric</x:v>
      </x:c>
      <x:c r="N893" s="34" t="str">
        <x:v>Feedback-Directed Random Test Generation/Result_Round2/Cli_13/result.json</x:v>
      </x:c>
      <x:c r="O893" s="38" t="n">
        <x:f>IF(AND(G893="RECORDED",ISNUMBER(H893)),H893,"")</x:f>
        <x:v>0</x:v>
      </x:c>
      <x:c r="P893" s="34" t="str">
        <x:v>INCONCLUSIVE</x:v>
      </x:c>
      <x:c r="Q893" s="34" t="str">
        <x:v>Feedback-Directed Random Test Generation/Result_Round2/Cli_13/result.json</x:v>
      </x:c>
    </x:row>
    <x:row r="894">
      <x:c r="A894" s="34" t="str">
        <x:v>randoop</x:v>
      </x:c>
      <x:c r="B894" s="34" t="str">
        <x:v>Cli</x:v>
      </x:c>
      <x:c r="C894" s="34" t="str">
        <x:v>Round2</x:v>
      </x:c>
      <x:c r="D894" s="34" t="str">
        <x:v>Cli_14</x:v>
      </x:c>
      <x:c r="E894" s="34" t="str">
        <x:v>Coverage</x:v>
      </x:c>
      <x:c r="F894" s="34" t="n">
        <x:v>317</x:v>
      </x:c>
      <x:c r="G894" s="34" t="str">
        <x:v>RECORDED</x:v>
      </x:c>
      <x:c r="H894" s="38" t="n">
        <x:f>IF(ISNUMBER('Data'!G894),'Data'!G894*100,"")</x:f>
        <x:v>0</x:v>
      </x:c>
      <x:c r="I894" s="34" t="str">
        <x:v>PASS</x:v>
      </x:c>
      <x:c r="J894" s="34" t="str">
        <x:v>PASS</x:v>
      </x:c>
      <x:c r="K894" s="34" t="str">
        <x:v>PASS</x:v>
      </x:c>
      <x:c r="L894" s="34" t="str">
        <x:v>FAIL</x:v>
      </x:c>
      <x:c r="M894" s="34" t="str">
        <x:v>numeric coverage for applicable metric</x:v>
      </x:c>
      <x:c r="N894" s="34" t="str">
        <x:v>Feedback-Directed Random Test Generation/Result_Round2/Cli_14/result.json</x:v>
      </x:c>
      <x:c r="O894" s="38" t="n">
        <x:f>IF(AND(G894="RECORDED",ISNUMBER(H894)),H894,"")</x:f>
        <x:v>0</x:v>
      </x:c>
      <x:c r="P894" s="34" t="str">
        <x:v>INCONCLUSIVE</x:v>
      </x:c>
      <x:c r="Q894" s="34" t="str">
        <x:v>Feedback-Directed Random Test Generation/Result_Round2/Cli_14/result.json</x:v>
      </x:c>
    </x:row>
    <x:row r="895">
      <x:c r="A895" s="34" t="str">
        <x:v>randoop</x:v>
      </x:c>
      <x:c r="B895" s="34" t="str">
        <x:v>Cli</x:v>
      </x:c>
      <x:c r="C895" s="34" t="str">
        <x:v>Round2</x:v>
      </x:c>
      <x:c r="D895" s="34" t="str">
        <x:v>Cli_15</x:v>
      </x:c>
      <x:c r="E895" s="34" t="str">
        <x:v>Coverage</x:v>
      </x:c>
      <x:c r="F895" s="34" t="n">
        <x:v>139</x:v>
      </x:c>
      <x:c r="G895" s="34" t="str">
        <x:v>RECORDED</x:v>
      </x:c>
      <x:c r="H895" s="38" t="n">
        <x:f>IF(ISNUMBER('Data'!G895),'Data'!G895*100,"")</x:f>
        <x:v>0</x:v>
      </x:c>
      <x:c r="I895" s="34" t="str">
        <x:v>PASS</x:v>
      </x:c>
      <x:c r="J895" s="34" t="str">
        <x:v>PASS</x:v>
      </x:c>
      <x:c r="K895" s="34" t="str">
        <x:v>PASS</x:v>
      </x:c>
      <x:c r="L895" s="34" t="str">
        <x:v>FAIL</x:v>
      </x:c>
      <x:c r="M895" s="34" t="str">
        <x:v>numeric coverage for applicable metric</x:v>
      </x:c>
      <x:c r="N895" s="34" t="str">
        <x:v>Feedback-Directed Random Test Generation/Result_Round2/Cli_15/result.json</x:v>
      </x:c>
      <x:c r="O895" s="38" t="n">
        <x:f>IF(AND(G895="RECORDED",ISNUMBER(H895)),H895,"")</x:f>
        <x:v>0</x:v>
      </x:c>
      <x:c r="P895" s="34" t="str">
        <x:v>INCONCLUSIVE</x:v>
      </x:c>
      <x:c r="Q895" s="34" t="str">
        <x:v>Feedback-Directed Random Test Generation/Result_Round2/Cli_15/result.json</x:v>
      </x:c>
    </x:row>
    <x:row r="896">
      <x:c r="A896" s="34" t="str">
        <x:v>randoop</x:v>
      </x:c>
      <x:c r="B896" s="34" t="str">
        <x:v>Cli</x:v>
      </x:c>
      <x:c r="C896" s="34" t="str">
        <x:v>Round2</x:v>
      </x:c>
      <x:c r="D896" s="34" t="str">
        <x:v>Cli_16</x:v>
      </x:c>
      <x:c r="E896" s="34" t="str">
        <x:v>Coverage</x:v>
      </x:c>
      <x:c r="F896" s="34" t="n">
        <x:v>561</x:v>
      </x:c>
      <x:c r="G896" s="34" t="str">
        <x:v>RECORDED</x:v>
      </x:c>
      <x:c r="H896" s="38" t="n">
        <x:f>IF(ISNUMBER('Data'!G896),'Data'!G896*100,"")</x:f>
        <x:v>0</x:v>
      </x:c>
      <x:c r="I896" s="34" t="str">
        <x:v>PASS</x:v>
      </x:c>
      <x:c r="J896" s="34" t="str">
        <x:v>PASS</x:v>
      </x:c>
      <x:c r="K896" s="34" t="str">
        <x:v>PASS</x:v>
      </x:c>
      <x:c r="L896" s="34" t="str">
        <x:v>FAIL</x:v>
      </x:c>
      <x:c r="M896" s="34" t="str">
        <x:v>numeric coverage for applicable metric</x:v>
      </x:c>
      <x:c r="N896" s="34" t="str">
        <x:v>Feedback-Directed Random Test Generation/Result_Round2/Cli_16/result.json</x:v>
      </x:c>
      <x:c r="O896" s="38" t="n">
        <x:f>IF(AND(G896="RECORDED",ISNUMBER(H896)),H896,"")</x:f>
        <x:v>0</x:v>
      </x:c>
      <x:c r="P896" s="34" t="str">
        <x:v>INCONCLUSIVE</x:v>
      </x:c>
      <x:c r="Q896" s="34" t="str">
        <x:v>Feedback-Directed Random Test Generation/Result_Round2/Cli_16/result.json</x:v>
      </x:c>
    </x:row>
    <x:row r="897">
      <x:c r="A897" s="34" t="str">
        <x:v>randoop</x:v>
      </x:c>
      <x:c r="B897" s="34" t="str">
        <x:v>Cli</x:v>
      </x:c>
      <x:c r="C897" s="34" t="str">
        <x:v>Round2</x:v>
      </x:c>
      <x:c r="D897" s="34" t="str">
        <x:v>Cli_17</x:v>
      </x:c>
      <x:c r="E897" s="34" t="str">
        <x:v>Coverage</x:v>
      </x:c>
      <x:c r="F897" s="34" t="n">
        <x:v>109</x:v>
      </x:c>
      <x:c r="G897" s="34" t="str">
        <x:v>RECORDED</x:v>
      </x:c>
      <x:c r="H897" s="38" t="n">
        <x:f>IF(ISNUMBER('Data'!G897),'Data'!G897*100,"")</x:f>
        <x:v>0</x:v>
      </x:c>
      <x:c r="I897" s="34" t="str">
        <x:v>PASS</x:v>
      </x:c>
      <x:c r="J897" s="34" t="str">
        <x:v>PASS</x:v>
      </x:c>
      <x:c r="K897" s="34" t="str">
        <x:v>PASS</x:v>
      </x:c>
      <x:c r="L897" s="34" t="str">
        <x:v>FAIL</x:v>
      </x:c>
      <x:c r="M897" s="34" t="str">
        <x:v>numeric coverage for applicable metric</x:v>
      </x:c>
      <x:c r="N897" s="34" t="str">
        <x:v>Feedback-Directed Random Test Generation/Result_Round2/Cli_17/result.json</x:v>
      </x:c>
      <x:c r="O897" s="38" t="n">
        <x:f>IF(AND(G897="RECORDED",ISNUMBER(H897)),H897,"")</x:f>
        <x:v>0</x:v>
      </x:c>
      <x:c r="P897" s="34" t="str">
        <x:v>INCONCLUSIVE</x:v>
      </x:c>
      <x:c r="Q897" s="34" t="str">
        <x:v>Feedback-Directed Random Test Generation/Result_Round2/Cli_17/result.json</x:v>
      </x:c>
    </x:row>
    <x:row r="898">
      <x:c r="A898" s="34" t="str">
        <x:v>randoop</x:v>
      </x:c>
      <x:c r="B898" s="34" t="str">
        <x:v>Cli</x:v>
      </x:c>
      <x:c r="C898" s="34" t="str">
        <x:v>Round2</x:v>
      </x:c>
      <x:c r="D898" s="34" t="str">
        <x:v>Cli_18</x:v>
      </x:c>
      <x:c r="E898" s="34" t="str">
        <x:v>Coverage</x:v>
      </x:c>
      <x:c r="F898" s="34" t="n">
        <x:v>108</x:v>
      </x:c>
      <x:c r="G898" s="34" t="str">
        <x:v>RECORDED</x:v>
      </x:c>
      <x:c r="H898" s="38" t="n">
        <x:f>IF(ISNUMBER('Data'!G898),'Data'!G898*100,"")</x:f>
        <x:v>0</x:v>
      </x:c>
      <x:c r="I898" s="34" t="str">
        <x:v>PASS</x:v>
      </x:c>
      <x:c r="J898" s="34" t="str">
        <x:v>PASS</x:v>
      </x:c>
      <x:c r="K898" s="34" t="str">
        <x:v>PASS</x:v>
      </x:c>
      <x:c r="L898" s="34" t="str">
        <x:v>FAIL</x:v>
      </x:c>
      <x:c r="M898" s="34" t="str">
        <x:v>numeric coverage for applicable metric</x:v>
      </x:c>
      <x:c r="N898" s="34" t="str">
        <x:v>Feedback-Directed Random Test Generation/Result_Round2/Cli_18/result.json</x:v>
      </x:c>
      <x:c r="O898" s="38" t="n">
        <x:f>IF(AND(G898="RECORDED",ISNUMBER(H898)),H898,"")</x:f>
        <x:v>0</x:v>
      </x:c>
      <x:c r="P898" s="34" t="str">
        <x:v>INCONCLUSIVE</x:v>
      </x:c>
      <x:c r="Q898" s="34" t="str">
        <x:v>Feedback-Directed Random Test Generation/Result_Round2/Cli_18/result.json</x:v>
      </x:c>
    </x:row>
    <x:row r="899">
      <x:c r="A899" s="34" t="str">
        <x:v>randoop</x:v>
      </x:c>
      <x:c r="B899" s="34" t="str">
        <x:v>Cli</x:v>
      </x:c>
      <x:c r="C899" s="34" t="str">
        <x:v>Round2</x:v>
      </x:c>
      <x:c r="D899" s="34" t="str">
        <x:v>Cli_19</x:v>
      </x:c>
      <x:c r="E899" s="34" t="str">
        <x:v>Coverage</x:v>
      </x:c>
      <x:c r="F899" s="34" t="n">
        <x:v>107</x:v>
      </x:c>
      <x:c r="G899" s="34" t="str">
        <x:v>RECORDED</x:v>
      </x:c>
      <x:c r="H899" s="38" t="n">
        <x:f>IF(ISNUMBER('Data'!G899),'Data'!G899*100,"")</x:f>
        <x:v>0</x:v>
      </x:c>
      <x:c r="I899" s="34" t="str">
        <x:v>PASS</x:v>
      </x:c>
      <x:c r="J899" s="34" t="str">
        <x:v>PASS</x:v>
      </x:c>
      <x:c r="K899" s="34" t="str">
        <x:v>PASS</x:v>
      </x:c>
      <x:c r="L899" s="34" t="str">
        <x:v>FAIL</x:v>
      </x:c>
      <x:c r="M899" s="34" t="str">
        <x:v>numeric coverage for applicable metric</x:v>
      </x:c>
      <x:c r="N899" s="34" t="str">
        <x:v>Feedback-Directed Random Test Generation/Result_Round2/Cli_19/result.json</x:v>
      </x:c>
      <x:c r="O899" s="38" t="n">
        <x:f>IF(AND(G899="RECORDED",ISNUMBER(H899)),H899,"")</x:f>
        <x:v>0</x:v>
      </x:c>
      <x:c r="P899" s="34" t="str">
        <x:v>INCONCLUSIVE</x:v>
      </x:c>
      <x:c r="Q899" s="34" t="str">
        <x:v>Feedback-Directed Random Test Generation/Result_Round2/Cli_19/result.json</x:v>
      </x:c>
    </x:row>
    <x:row r="900">
      <x:c r="A900" s="34" t="str">
        <x:v>randoop</x:v>
      </x:c>
      <x:c r="B900" s="34" t="str">
        <x:v>Cli</x:v>
      </x:c>
      <x:c r="C900" s="34" t="str">
        <x:v>Round2</x:v>
      </x:c>
      <x:c r="D900" s="34" t="str">
        <x:v>Cli_20</x:v>
      </x:c>
      <x:c r="E900" s="34" t="str">
        <x:v>Coverage</x:v>
      </x:c>
      <x:c r="F900" s="34" t="n">
        <x:v>106</x:v>
      </x:c>
      <x:c r="G900" s="34" t="str">
        <x:v>RECORDED</x:v>
      </x:c>
      <x:c r="H900" s="38" t="n">
        <x:f>IF(ISNUMBER('Data'!G900),'Data'!G900*100,"")</x:f>
        <x:v>0</x:v>
      </x:c>
      <x:c r="I900" s="34" t="str">
        <x:v>PASS</x:v>
      </x:c>
      <x:c r="J900" s="34" t="str">
        <x:v>PASS</x:v>
      </x:c>
      <x:c r="K900" s="34" t="str">
        <x:v>PASS</x:v>
      </x:c>
      <x:c r="L900" s="34" t="str">
        <x:v>FAIL</x:v>
      </x:c>
      <x:c r="M900" s="34" t="str">
        <x:v>numeric coverage for applicable metric</x:v>
      </x:c>
      <x:c r="N900" s="34" t="str">
        <x:v>Feedback-Directed Random Test Generation/Result_Round2/Cli_20/result.json</x:v>
      </x:c>
      <x:c r="O900" s="38" t="n">
        <x:f>IF(AND(G900="RECORDED",ISNUMBER(H900)),H900,"")</x:f>
        <x:v>0</x:v>
      </x:c>
      <x:c r="P900" s="34" t="str">
        <x:v>INCONCLUSIVE</x:v>
      </x:c>
      <x:c r="Q900" s="34" t="str">
        <x:v>Feedback-Directed Random Test Generation/Result_Round2/Cli_20/result.json</x:v>
      </x:c>
    </x:row>
    <x:row r="901">
      <x:c r="A901" s="34" t="str">
        <x:v>randoop</x:v>
      </x:c>
      <x:c r="B901" s="34" t="str">
        <x:v>Cli</x:v>
      </x:c>
      <x:c r="C901" s="34" t="str">
        <x:v>Round2</x:v>
      </x:c>
      <x:c r="D901" s="34" t="str">
        <x:v>Cli_21</x:v>
      </x:c>
      <x:c r="E901" s="34" t="str">
        <x:v>Coverage</x:v>
      </x:c>
      <x:c r="F901" s="34" t="n">
        <x:v>482</x:v>
      </x:c>
      <x:c r="G901" s="34" t="str">
        <x:v>RECORDED</x:v>
      </x:c>
      <x:c r="H901" s="38" t="n">
        <x:f>IF(ISNUMBER('Data'!G901),'Data'!G901*100,"")</x:f>
        <x:v>0</x:v>
      </x:c>
      <x:c r="I901" s="34" t="str">
        <x:v>PASS</x:v>
      </x:c>
      <x:c r="J901" s="34" t="str">
        <x:v>PASS</x:v>
      </x:c>
      <x:c r="K901" s="34" t="str">
        <x:v>PASS</x:v>
      </x:c>
      <x:c r="L901" s="34" t="str">
        <x:v>FAIL</x:v>
      </x:c>
      <x:c r="M901" s="34" t="str">
        <x:v>numeric coverage for applicable metric</x:v>
      </x:c>
      <x:c r="N901" s="34" t="str">
        <x:v>Feedback-Directed Random Test Generation/Result_Round2/Cli_21/result.json</x:v>
      </x:c>
      <x:c r="O901" s="38" t="n">
        <x:f>IF(AND(G901="RECORDED",ISNUMBER(H901)),H901,"")</x:f>
        <x:v>0</x:v>
      </x:c>
      <x:c r="P901" s="34" t="str">
        <x:v>INCONCLUSIVE</x:v>
      </x:c>
      <x:c r="Q901" s="34" t="str">
        <x:v>Feedback-Directed Random Test Generation/Result_Round2/Cli_21/result.json</x:v>
      </x:c>
    </x:row>
    <x:row r="902">
      <x:c r="A902" s="34" t="str">
        <x:v>randoop</x:v>
      </x:c>
      <x:c r="B902" s="34" t="str">
        <x:v>Cli</x:v>
      </x:c>
      <x:c r="C902" s="34" t="str">
        <x:v>Round2</x:v>
      </x:c>
      <x:c r="D902" s="34" t="str">
        <x:v>Cli_22</x:v>
      </x:c>
      <x:c r="E902" s="34" t="str">
        <x:v>Coverage</x:v>
      </x:c>
      <x:c r="F902" s="34" t="n">
        <x:v>95</x:v>
      </x:c>
      <x:c r="G902" s="34" t="str">
        <x:v>RECORDED</x:v>
      </x:c>
      <x:c r="H902" s="38" t="n">
        <x:f>IF(ISNUMBER('Data'!G902),'Data'!G902*100,"")</x:f>
        <x:v>0</x:v>
      </x:c>
      <x:c r="I902" s="34" t="str">
        <x:v>PASS</x:v>
      </x:c>
      <x:c r="J902" s="34" t="str">
        <x:v>PASS</x:v>
      </x:c>
      <x:c r="K902" s="34" t="str">
        <x:v>PASS</x:v>
      </x:c>
      <x:c r="L902" s="34" t="str">
        <x:v>FAIL</x:v>
      </x:c>
      <x:c r="M902" s="34" t="str">
        <x:v>numeric coverage for applicable metric</x:v>
      </x:c>
      <x:c r="N902" s="34" t="str">
        <x:v>Feedback-Directed Random Test Generation/Result_Round2/Cli_22/result.json</x:v>
      </x:c>
      <x:c r="O902" s="38" t="n">
        <x:f>IF(AND(G902="RECORDED",ISNUMBER(H902)),H902,"")</x:f>
        <x:v>0</x:v>
      </x:c>
      <x:c r="P902" s="34" t="str">
        <x:v>INCONCLUSIVE</x:v>
      </x:c>
      <x:c r="Q902" s="34" t="str">
        <x:v>Feedback-Directed Random Test Generation/Result_Round2/Cli_22/result.json</x:v>
      </x:c>
    </x:row>
    <x:row r="903">
      <x:c r="A903" s="34" t="str">
        <x:v>randoop</x:v>
      </x:c>
      <x:c r="B903" s="34" t="str">
        <x:v>Cli</x:v>
      </x:c>
      <x:c r="C903" s="34" t="str">
        <x:v>Round2</x:v>
      </x:c>
      <x:c r="D903" s="34" t="str">
        <x:v>Cli_23</x:v>
      </x:c>
      <x:c r="E903" s="34" t="str">
        <x:v>Coverage</x:v>
      </x:c>
      <x:c r="F903" s="34" t="n">
        <x:v>306</x:v>
      </x:c>
      <x:c r="G903" s="34" t="str">
        <x:v>RECORDED</x:v>
      </x:c>
      <x:c r="H903" s="38" t="n">
        <x:f>IF(ISNUMBER('Data'!G903),'Data'!G903*100,"")</x:f>
        <x:v>0</x:v>
      </x:c>
      <x:c r="I903" s="34" t="str">
        <x:v>PASS</x:v>
      </x:c>
      <x:c r="J903" s="34" t="str">
        <x:v>PASS</x:v>
      </x:c>
      <x:c r="K903" s="34" t="str">
        <x:v>PASS</x:v>
      </x:c>
      <x:c r="L903" s="34" t="str">
        <x:v>FAIL</x:v>
      </x:c>
      <x:c r="M903" s="34" t="str">
        <x:v>numeric coverage for applicable metric</x:v>
      </x:c>
      <x:c r="N903" s="34" t="str">
        <x:v>Feedback-Directed Random Test Generation/Result_Round2/Cli_23/result.json</x:v>
      </x:c>
      <x:c r="O903" s="38" t="n">
        <x:f>IF(AND(G903="RECORDED",ISNUMBER(H903)),H903,"")</x:f>
        <x:v>0</x:v>
      </x:c>
      <x:c r="P903" s="34" t="str">
        <x:v>INCONCLUSIVE</x:v>
      </x:c>
      <x:c r="Q903" s="34" t="str">
        <x:v>Feedback-Directed Random Test Generation/Result_Round2/Cli_23/result.json</x:v>
      </x:c>
    </x:row>
    <x:row r="904">
      <x:c r="A904" s="34" t="str">
        <x:v>randoop</x:v>
      </x:c>
      <x:c r="B904" s="34" t="str">
        <x:v>Cli</x:v>
      </x:c>
      <x:c r="C904" s="34" t="str">
        <x:v>Round2</x:v>
      </x:c>
      <x:c r="D904" s="34" t="str">
        <x:v>Cli_24</x:v>
      </x:c>
      <x:c r="E904" s="34" t="str">
        <x:v>Coverage</x:v>
      </x:c>
      <x:c r="F904" s="34" t="n">
        <x:v>310</x:v>
      </x:c>
      <x:c r="G904" s="34" t="str">
        <x:v>RECORDED</x:v>
      </x:c>
      <x:c r="H904" s="38" t="n">
        <x:f>IF(ISNUMBER('Data'!G904),'Data'!G904*100,"")</x:f>
        <x:v>0</x:v>
      </x:c>
      <x:c r="I904" s="34" t="str">
        <x:v>PASS</x:v>
      </x:c>
      <x:c r="J904" s="34" t="str">
        <x:v>PASS</x:v>
      </x:c>
      <x:c r="K904" s="34" t="str">
        <x:v>PASS</x:v>
      </x:c>
      <x:c r="L904" s="34" t="str">
        <x:v>FAIL</x:v>
      </x:c>
      <x:c r="M904" s="34" t="str">
        <x:v>numeric coverage for applicable metric</x:v>
      </x:c>
      <x:c r="N904" s="34" t="str">
        <x:v>Feedback-Directed Random Test Generation/Result_Round2/Cli_24/result.json</x:v>
      </x:c>
      <x:c r="O904" s="38" t="n">
        <x:f>IF(AND(G904="RECORDED",ISNUMBER(H904)),H904,"")</x:f>
        <x:v>0</x:v>
      </x:c>
      <x:c r="P904" s="34" t="str">
        <x:v>INCONCLUSIVE</x:v>
      </x:c>
      <x:c r="Q904" s="34" t="str">
        <x:v>Feedback-Directed Random Test Generation/Result_Round2/Cli_24/result.json</x:v>
      </x:c>
    </x:row>
    <x:row r="905">
      <x:c r="A905" s="34" t="str">
        <x:v>randoop</x:v>
      </x:c>
      <x:c r="B905" s="34" t="str">
        <x:v>Cli</x:v>
      </x:c>
      <x:c r="C905" s="34" t="str">
        <x:v>Round2</x:v>
      </x:c>
      <x:c r="D905" s="34" t="str">
        <x:v>Cli_25</x:v>
      </x:c>
      <x:c r="E905" s="34" t="str">
        <x:v>Coverage</x:v>
      </x:c>
      <x:c r="F905" s="34" t="n">
        <x:v>310</x:v>
      </x:c>
      <x:c r="G905" s="34" t="str">
        <x:v>RECORDED</x:v>
      </x:c>
      <x:c r="H905" s="38" t="n">
        <x:f>IF(ISNUMBER('Data'!G905),'Data'!G905*100,"")</x:f>
        <x:v>0</x:v>
      </x:c>
      <x:c r="I905" s="34" t="str">
        <x:v>PASS</x:v>
      </x:c>
      <x:c r="J905" s="34" t="str">
        <x:v>PASS</x:v>
      </x:c>
      <x:c r="K905" s="34" t="str">
        <x:v>PASS</x:v>
      </x:c>
      <x:c r="L905" s="34" t="str">
        <x:v>FAIL</x:v>
      </x:c>
      <x:c r="M905" s="34" t="str">
        <x:v>numeric coverage for applicable metric</x:v>
      </x:c>
      <x:c r="N905" s="34" t="str">
        <x:v>Feedback-Directed Random Test Generation/Result_Round2/Cli_25/result.json</x:v>
      </x:c>
      <x:c r="O905" s="38" t="n">
        <x:f>IF(AND(G905="RECORDED",ISNUMBER(H905)),H905,"")</x:f>
        <x:v>0</x:v>
      </x:c>
      <x:c r="P905" s="34" t="str">
        <x:v>INCONCLUSIVE</x:v>
      </x:c>
      <x:c r="Q905" s="34" t="str">
        <x:v>Feedback-Directed Random Test Generation/Result_Round2/Cli_25/result.json</x:v>
      </x:c>
    </x:row>
    <x:row r="906">
      <x:c r="A906" s="34" t="str">
        <x:v>randoop</x:v>
      </x:c>
      <x:c r="B906" s="34" t="str">
        <x:v>Cli</x:v>
      </x:c>
      <x:c r="C906" s="34" t="str">
        <x:v>Round2</x:v>
      </x:c>
      <x:c r="D906" s="34" t="str">
        <x:v>Cli_26</x:v>
      </x:c>
      <x:c r="E906" s="34" t="str">
        <x:v>Coverage</x:v>
      </x:c>
      <x:c r="F906" s="34" t="n">
        <x:v>65</x:v>
      </x:c>
      <x:c r="G906" s="34" t="str">
        <x:v>RECORDED</x:v>
      </x:c>
      <x:c r="H906" s="38" t="n">
        <x:f>IF(ISNUMBER('Data'!G906),'Data'!G906*100,"")</x:f>
        <x:v>0</x:v>
      </x:c>
      <x:c r="I906" s="34" t="str">
        <x:v>PASS</x:v>
      </x:c>
      <x:c r="J906" s="34" t="str">
        <x:v>PASS</x:v>
      </x:c>
      <x:c r="K906" s="34" t="str">
        <x:v>PASS</x:v>
      </x:c>
      <x:c r="L906" s="34" t="str">
        <x:v>FAIL</x:v>
      </x:c>
      <x:c r="M906" s="34" t="str">
        <x:v>numeric coverage for applicable metric</x:v>
      </x:c>
      <x:c r="N906" s="34" t="str">
        <x:v>Feedback-Directed Random Test Generation/Result_Round2/Cli_26/result.json</x:v>
      </x:c>
      <x:c r="O906" s="38" t="n">
        <x:f>IF(AND(G906="RECORDED",ISNUMBER(H906)),H906,"")</x:f>
        <x:v>0</x:v>
      </x:c>
      <x:c r="P906" s="34" t="str">
        <x:v>INCONCLUSIVE</x:v>
      </x:c>
      <x:c r="Q906" s="34" t="str">
        <x:v>Feedback-Directed Random Test Generation/Result_Round2/Cli_26/result.json</x:v>
      </x:c>
    </x:row>
    <x:row r="907">
      <x:c r="A907" s="34" t="str">
        <x:v>randoop</x:v>
      </x:c>
      <x:c r="B907" s="34" t="str">
        <x:v>Cli</x:v>
      </x:c>
      <x:c r="C907" s="34" t="str">
        <x:v>Round2</x:v>
      </x:c>
      <x:c r="D907" s="34" t="str">
        <x:v>Cli_27</x:v>
      </x:c>
      <x:c r="E907" s="34" t="str">
        <x:v>Coverage</x:v>
      </x:c>
      <x:c r="F907" s="34" t="n">
        <x:v>46</x:v>
      </x:c>
      <x:c r="G907" s="34" t="str">
        <x:v>RECORDED</x:v>
      </x:c>
      <x:c r="H907" s="38" t="n">
        <x:f>IF(ISNUMBER('Data'!G907),'Data'!G907*100,"")</x:f>
        <x:v>0</x:v>
      </x:c>
      <x:c r="I907" s="34" t="str">
        <x:v>PASS</x:v>
      </x:c>
      <x:c r="J907" s="34" t="str">
        <x:v>PASS</x:v>
      </x:c>
      <x:c r="K907" s="34" t="str">
        <x:v>PASS</x:v>
      </x:c>
      <x:c r="L907" s="34" t="str">
        <x:v>FAIL</x:v>
      </x:c>
      <x:c r="M907" s="34" t="str">
        <x:v>numeric coverage for applicable metric</x:v>
      </x:c>
      <x:c r="N907" s="34" t="str">
        <x:v>Feedback-Directed Random Test Generation/Result_Round2/Cli_27/result.json</x:v>
      </x:c>
      <x:c r="O907" s="38" t="n">
        <x:f>IF(AND(G907="RECORDED",ISNUMBER(H907)),H907,"")</x:f>
        <x:v>0</x:v>
      </x:c>
      <x:c r="P907" s="34" t="str">
        <x:v>INCONCLUSIVE</x:v>
      </x:c>
      <x:c r="Q907" s="34" t="str">
        <x:v>Feedback-Directed Random Test Generation/Result_Round2/Cli_27/result.json</x:v>
      </x:c>
    </x:row>
    <x:row r="908">
      <x:c r="A908" s="34" t="str">
        <x:v>randoop</x:v>
      </x:c>
      <x:c r="B908" s="34" t="str">
        <x:v>Cli</x:v>
      </x:c>
      <x:c r="C908" s="34" t="str">
        <x:v>Round2</x:v>
      </x:c>
      <x:c r="D908" s="34" t="str">
        <x:v>Cli_28</x:v>
      </x:c>
      <x:c r="E908" s="34" t="str">
        <x:v>Coverage</x:v>
      </x:c>
      <x:c r="F908" s="34" t="n">
        <x:v>169</x:v>
      </x:c>
      <x:c r="G908" s="34" t="str">
        <x:v>RECORDED</x:v>
      </x:c>
      <x:c r="H908" s="38" t="n">
        <x:f>IF(ISNUMBER('Data'!G908),'Data'!G908*100,"")</x:f>
        <x:v>0</x:v>
      </x:c>
      <x:c r="I908" s="34" t="str">
        <x:v>PASS</x:v>
      </x:c>
      <x:c r="J908" s="34" t="str">
        <x:v>PASS</x:v>
      </x:c>
      <x:c r="K908" s="34" t="str">
        <x:v>PASS</x:v>
      </x:c>
      <x:c r="L908" s="34" t="str">
        <x:v>FAIL</x:v>
      </x:c>
      <x:c r="M908" s="34" t="str">
        <x:v>numeric coverage for applicable metric</x:v>
      </x:c>
      <x:c r="N908" s="34" t="str">
        <x:v>Feedback-Directed Random Test Generation/Result_Round2/Cli_28/result.json</x:v>
      </x:c>
      <x:c r="O908" s="38" t="n">
        <x:f>IF(AND(G908="RECORDED",ISNUMBER(H908)),H908,"")</x:f>
        <x:v>0</x:v>
      </x:c>
      <x:c r="P908" s="34" t="str">
        <x:v>INCONCLUSIVE</x:v>
      </x:c>
      <x:c r="Q908" s="34" t="str">
        <x:v>Feedback-Directed Random Test Generation/Result_Round2/Cli_28/result.json</x:v>
      </x:c>
    </x:row>
    <x:row r="909">
      <x:c r="A909" s="34" t="str">
        <x:v>randoop</x:v>
      </x:c>
      <x:c r="B909" s="34" t="str">
        <x:v>Cli</x:v>
      </x:c>
      <x:c r="C909" s="34" t="str">
        <x:v>Round2</x:v>
      </x:c>
      <x:c r="D909" s="34" t="str">
        <x:v>Cli_29</x:v>
      </x:c>
      <x:c r="E909" s="34" t="str">
        <x:v>Coverage</x:v>
      </x:c>
      <x:c r="F909" s="34" t="n">
        <x:v>24</x:v>
      </x:c>
      <x:c r="G909" s="34" t="str">
        <x:v>RECORDED</x:v>
      </x:c>
      <x:c r="H909" s="38" t="n">
        <x:f>IF(ISNUMBER('Data'!G909),'Data'!G909*100,"")</x:f>
        <x:v>0</x:v>
      </x:c>
      <x:c r="I909" s="34" t="str">
        <x:v>PASS</x:v>
      </x:c>
      <x:c r="J909" s="34" t="str">
        <x:v>PASS</x:v>
      </x:c>
      <x:c r="K909" s="34" t="str">
        <x:v>PASS</x:v>
      </x:c>
      <x:c r="L909" s="34" t="str">
        <x:v>FAIL</x:v>
      </x:c>
      <x:c r="M909" s="34" t="str">
        <x:v>numeric coverage for applicable metric</x:v>
      </x:c>
      <x:c r="N909" s="34" t="str">
        <x:v>Feedback-Directed Random Test Generation/Result_Round2/Cli_29/result.json</x:v>
      </x:c>
      <x:c r="O909" s="38" t="n">
        <x:f>IF(AND(G909="RECORDED",ISNUMBER(H909)),H909,"")</x:f>
        <x:v>0</x:v>
      </x:c>
      <x:c r="P909" s="34" t="str">
        <x:v>INCONCLUSIVE</x:v>
      </x:c>
      <x:c r="Q909" s="34" t="str">
        <x:v>Feedback-Directed Random Test Generation/Result_Round2/Cli_29/result.json</x:v>
      </x:c>
    </x:row>
    <x:row r="910">
      <x:c r="A910" s="34" t="str">
        <x:v>randoop</x:v>
      </x:c>
      <x:c r="B910" s="34" t="str">
        <x:v>Cli</x:v>
      </x:c>
      <x:c r="C910" s="34" t="str">
        <x:v>Round2</x:v>
      </x:c>
      <x:c r="D910" s="34" t="str">
        <x:v>Cli_30</x:v>
      </x:c>
      <x:c r="E910" s="34" t="str">
        <x:v>Coverage</x:v>
      </x:c>
      <x:c r="F910" s="34" t="n">
        <x:v>506</x:v>
      </x:c>
      <x:c r="G910" s="34" t="str">
        <x:v>RECORDED</x:v>
      </x:c>
      <x:c r="H910" s="38" t="n">
        <x:f>IF(ISNUMBER('Data'!G910),'Data'!G910*100,"")</x:f>
        <x:v>0</x:v>
      </x:c>
      <x:c r="I910" s="34" t="str">
        <x:v>PASS</x:v>
      </x:c>
      <x:c r="J910" s="34" t="str">
        <x:v>PASS</x:v>
      </x:c>
      <x:c r="K910" s="34" t="str">
        <x:v>PASS</x:v>
      </x:c>
      <x:c r="L910" s="34" t="str">
        <x:v>FAIL</x:v>
      </x:c>
      <x:c r="M910" s="34" t="str">
        <x:v>numeric coverage for applicable metric</x:v>
      </x:c>
      <x:c r="N910" s="34" t="str">
        <x:v>Feedback-Directed Random Test Generation/Result_Round2/Cli_30/result.json</x:v>
      </x:c>
      <x:c r="O910" s="38" t="n">
        <x:f>IF(AND(G910="RECORDED",ISNUMBER(H910)),H910,"")</x:f>
        <x:v>0</x:v>
      </x:c>
      <x:c r="P910" s="34" t="str">
        <x:v>INCONCLUSIVE</x:v>
      </x:c>
      <x:c r="Q910" s="34" t="str">
        <x:v>Feedback-Directed Random Test Generation/Result_Round2/Cli_30/result.json</x:v>
      </x:c>
    </x:row>
    <x:row r="911">
      <x:c r="A911" s="34" t="str">
        <x:v>randoop</x:v>
      </x:c>
      <x:c r="B911" s="34" t="str">
        <x:v>Cli</x:v>
      </x:c>
      <x:c r="C911" s="34" t="str">
        <x:v>Round2</x:v>
      </x:c>
      <x:c r="D911" s="34" t="str">
        <x:v>Cli_31</x:v>
      </x:c>
      <x:c r="E911" s="34" t="str">
        <x:v>Coverage</x:v>
      </x:c>
      <x:c r="F911" s="34" t="n">
        <x:v>594</x:v>
      </x:c>
      <x:c r="G911" s="34" t="str">
        <x:v>RECORDED</x:v>
      </x:c>
      <x:c r="H911" s="38" t="n">
        <x:f>IF(ISNUMBER('Data'!G911),'Data'!G911*100,"")</x:f>
        <x:v>0</x:v>
      </x:c>
      <x:c r="I911" s="34" t="str">
        <x:v>PASS</x:v>
      </x:c>
      <x:c r="J911" s="34" t="str">
        <x:v>PASS</x:v>
      </x:c>
      <x:c r="K911" s="34" t="str">
        <x:v>PASS</x:v>
      </x:c>
      <x:c r="L911" s="34" t="str">
        <x:v>FAIL</x:v>
      </x:c>
      <x:c r="M911" s="34" t="str">
        <x:v>numeric coverage for applicable metric</x:v>
      </x:c>
      <x:c r="N911" s="34" t="str">
        <x:v>Feedback-Directed Random Test Generation/Result_Round2/Cli_31/result.json</x:v>
      </x:c>
      <x:c r="O911" s="38" t="n">
        <x:f>IF(AND(G911="RECORDED",ISNUMBER(H911)),H911,"")</x:f>
        <x:v>0</x:v>
      </x:c>
      <x:c r="P911" s="34" t="str">
        <x:v>INCONCLUSIVE</x:v>
      </x:c>
      <x:c r="Q911" s="34" t="str">
        <x:v>Feedback-Directed Random Test Generation/Result_Round2/Cli_31/result.json</x:v>
      </x:c>
    </x:row>
    <x:row r="912">
      <x:c r="A912" s="34" t="str">
        <x:v>randoop</x:v>
      </x:c>
      <x:c r="B912" s="34" t="str">
        <x:v>Cli</x:v>
      </x:c>
      <x:c r="C912" s="34" t="str">
        <x:v>Round2</x:v>
      </x:c>
      <x:c r="D912" s="34" t="str">
        <x:v>Cli_32</x:v>
      </x:c>
      <x:c r="E912" s="34" t="str">
        <x:v>Coverage</x:v>
      </x:c>
      <x:c r="F912" s="34" t="n">
        <x:v>325</x:v>
      </x:c>
      <x:c r="G912" s="34" t="str">
        <x:v>RECORDED</x:v>
      </x:c>
      <x:c r="H912" s="38" t="n">
        <x:f>IF(ISNUMBER('Data'!G912),'Data'!G912*100,"")</x:f>
        <x:v>0</x:v>
      </x:c>
      <x:c r="I912" s="34" t="str">
        <x:v>PASS</x:v>
      </x:c>
      <x:c r="J912" s="34" t="str">
        <x:v>PASS</x:v>
      </x:c>
      <x:c r="K912" s="34" t="str">
        <x:v>PASS</x:v>
      </x:c>
      <x:c r="L912" s="34" t="str">
        <x:v>FAIL</x:v>
      </x:c>
      <x:c r="M912" s="34" t="str">
        <x:v>numeric coverage for applicable metric</x:v>
      </x:c>
      <x:c r="N912" s="34" t="str">
        <x:v>Feedback-Directed Random Test Generation/Result_Round2/Cli_32/result.json</x:v>
      </x:c>
      <x:c r="O912" s="38" t="n">
        <x:f>IF(AND(G912="RECORDED",ISNUMBER(H912)),H912,"")</x:f>
        <x:v>0</x:v>
      </x:c>
      <x:c r="P912" s="34" t="str">
        <x:v>INCONCLUSIVE</x:v>
      </x:c>
      <x:c r="Q912" s="34" t="str">
        <x:v>Feedback-Directed Random Test Generation/Result_Round2/Cli_32/result.json</x:v>
      </x:c>
    </x:row>
    <x:row r="913">
      <x:c r="A913" s="34" t="str">
        <x:v>randoop</x:v>
      </x:c>
      <x:c r="B913" s="34" t="str">
        <x:v>Cli</x:v>
      </x:c>
      <x:c r="C913" s="34" t="str">
        <x:v>Round2</x:v>
      </x:c>
      <x:c r="D913" s="34" t="str">
        <x:v>Cli_33</x:v>
      </x:c>
      <x:c r="E913" s="34" t="str">
        <x:v>Coverage</x:v>
      </x:c>
      <x:c r="F913" s="34" t="n">
        <x:v>315</x:v>
      </x:c>
      <x:c r="G913" s="34" t="str">
        <x:v>RECORDED</x:v>
      </x:c>
      <x:c r="H913" s="38" t="n">
        <x:f>IF(ISNUMBER('Data'!G913),'Data'!G913*100,"")</x:f>
        <x:v>0</x:v>
      </x:c>
      <x:c r="I913" s="34" t="str">
        <x:v>PASS</x:v>
      </x:c>
      <x:c r="J913" s="34" t="str">
        <x:v>PASS</x:v>
      </x:c>
      <x:c r="K913" s="34" t="str">
        <x:v>PASS</x:v>
      </x:c>
      <x:c r="L913" s="34" t="str">
        <x:v>FAIL</x:v>
      </x:c>
      <x:c r="M913" s="34" t="str">
        <x:v>numeric coverage for applicable metric</x:v>
      </x:c>
      <x:c r="N913" s="34" t="str">
        <x:v>Feedback-Directed Random Test Generation/Result_Round2/Cli_33/result.json</x:v>
      </x:c>
      <x:c r="O913" s="38" t="n">
        <x:f>IF(AND(G913="RECORDED",ISNUMBER(H913)),H913,"")</x:f>
        <x:v>0</x:v>
      </x:c>
      <x:c r="P913" s="34" t="str">
        <x:v>INCONCLUSIVE</x:v>
      </x:c>
      <x:c r="Q913" s="34" t="str">
        <x:v>Feedback-Directed Random Test Generation/Result_Round2/Cli_33/result.json</x:v>
      </x:c>
    </x:row>
    <x:row r="914">
      <x:c r="A914" s="34" t="str">
        <x:v>randoop</x:v>
      </x:c>
      <x:c r="B914" s="34" t="str">
        <x:v>Cli</x:v>
      </x:c>
      <x:c r="C914" s="34" t="str">
        <x:v>Round2</x:v>
      </x:c>
      <x:c r="D914" s="34" t="str">
        <x:v>Cli_34</x:v>
      </x:c>
      <x:c r="E914" s="34" t="str">
        <x:v>Coverage</x:v>
      </x:c>
      <x:c r="F914" s="34" t="n">
        <x:v>0</x:v>
      </x:c>
      <x:c r="G914" s="34" t="str">
        <x:v>A</x:v>
      </x:c>
      <x:c r="H914" s="38" t="str">
        <x:f>IF(ISNUMBER('Data'!G914),'Data'!G914*100,"")</x:f>
      </x:c>
      <x:c r="I914" s="34"/>
      <x:c r="J914" s="34"/>
      <x:c r="K914" s="34"/>
      <x:c r="L914" s="34" t="str">
        <x:v>NOT_RUN</x:v>
      </x:c>
      <x:c r="M914" s="34" t="str">
        <x:v>Latest same-round generation failed; older files/results are excluded</x:v>
      </x:c>
      <x:c r="N914" s="34" t="str">
        <x:v>Feedback-Directed Random Test Generation/report_Round2.csv</x:v>
      </x:c>
      <x:c r="O914" s="38" t="str">
        <x:f>IF(AND(G914="RECORDED",ISNUMBER(H914)),H914,"")</x:f>
      </x:c>
      <x:c r="P914" s="34" t="str">
        <x:v>FAIL</x:v>
      </x:c>
      <x:c r="Q914" s="34"/>
    </x:row>
    <x:row r="915">
      <x:c r="A915" s="34" t="str">
        <x:v>randoop</x:v>
      </x:c>
      <x:c r="B915" s="34" t="str">
        <x:v>Cli</x:v>
      </x:c>
      <x:c r="C915" s="34" t="str">
        <x:v>Round2</x:v>
      </x:c>
      <x:c r="D915" s="34" t="str">
        <x:v>Cli_35</x:v>
      </x:c>
      <x:c r="E915" s="34" t="str">
        <x:v>Coverage</x:v>
      </x:c>
      <x:c r="F915" s="34" t="n">
        <x:v>77</x:v>
      </x:c>
      <x:c r="G915" s="34" t="str">
        <x:v>RECORDED</x:v>
      </x:c>
      <x:c r="H915" s="38" t="n">
        <x:f>IF(ISNUMBER('Data'!G915),'Data'!G915*100,"")</x:f>
        <x:v>76.62</x:v>
      </x:c>
      <x:c r="I915" s="34" t="str">
        <x:v>PASS</x:v>
      </x:c>
      <x:c r="J915" s="34" t="str">
        <x:v>PASS</x:v>
      </x:c>
      <x:c r="K915" s="34" t="str">
        <x:v>PASS</x:v>
      </x:c>
      <x:c r="L915" s="34" t="str">
        <x:v>PASS</x:v>
      </x:c>
      <x:c r="M915" s="34" t="str">
        <x:v>numeric coverage for applicable metric</x:v>
      </x:c>
      <x:c r="N915" s="34" t="str">
        <x:v>Feedback-Directed Random Test Generation/Result_Round2/Cli_35/result.json</x:v>
      </x:c>
      <x:c r="O915" s="38" t="n">
        <x:f>IF(AND(G915="RECORDED",ISNUMBER(H915)),H915,"")</x:f>
        <x:v>76.62</x:v>
      </x:c>
      <x:c r="P915" s="34" t="str">
        <x:v>NOT_REVEALING</x:v>
      </x:c>
      <x:c r="Q915" s="34" t="str">
        <x:v>Feedback-Directed Random Test Generation/Result_Round2/Cli_35/result.json</x:v>
      </x:c>
    </x:row>
    <x:row r="916">
      <x:c r="A916" s="34" t="str">
        <x:v>randoop</x:v>
      </x:c>
      <x:c r="B916" s="34" t="str">
        <x:v>Cli</x:v>
      </x:c>
      <x:c r="C916" s="34" t="str">
        <x:v>Round2</x:v>
      </x:c>
      <x:c r="D916" s="34" t="str">
        <x:v>Cli_36</x:v>
      </x:c>
      <x:c r="E916" s="34" t="str">
        <x:v>Coverage</x:v>
      </x:c>
      <x:c r="F916" s="34" t="n">
        <x:v>130</x:v>
      </x:c>
      <x:c r="G916" s="34" t="str">
        <x:v>RECORDED</x:v>
      </x:c>
      <x:c r="H916" s="38" t="n">
        <x:f>IF(ISNUMBER('Data'!G916),'Data'!G916*100,"")</x:f>
        <x:v>86.92</x:v>
      </x:c>
      <x:c r="I916" s="34" t="str">
        <x:v>PASS</x:v>
      </x:c>
      <x:c r="J916" s="34" t="str">
        <x:v>PASS</x:v>
      </x:c>
      <x:c r="K916" s="34" t="str">
        <x:v>PASS</x:v>
      </x:c>
      <x:c r="L916" s="34" t="str">
        <x:v>PASS</x:v>
      </x:c>
      <x:c r="M916" s="34" t="str">
        <x:v>numeric coverage for applicable metric</x:v>
      </x:c>
      <x:c r="N916" s="34" t="str">
        <x:v>Feedback-Directed Random Test Generation/Result_Round2/Cli_36/result.json</x:v>
      </x:c>
      <x:c r="O916" s="38" t="n">
        <x:f>IF(AND(G916="RECORDED",ISNUMBER(H916)),H916,"")</x:f>
        <x:v>86.92</x:v>
      </x:c>
      <x:c r="P916" s="34" t="str">
        <x:v>NOT_REVEALING</x:v>
      </x:c>
      <x:c r="Q916" s="34" t="str">
        <x:v>Feedback-Directed Random Test Generation/Result_Round2/Cli_36/result.json</x:v>
      </x:c>
    </x:row>
    <x:row r="917">
      <x:c r="A917" s="34" t="str">
        <x:v>randoop</x:v>
      </x:c>
      <x:c r="B917" s="34" t="str">
        <x:v>Cli</x:v>
      </x:c>
      <x:c r="C917" s="34" t="str">
        <x:v>Round2</x:v>
      </x:c>
      <x:c r="D917" s="34" t="str">
        <x:v>Cli_37</x:v>
      </x:c>
      <x:c r="E917" s="34" t="str">
        <x:v>Coverage</x:v>
      </x:c>
      <x:c r="F917" s="34" t="n">
        <x:v>345</x:v>
      </x:c>
      <x:c r="G917" s="34" t="str">
        <x:v>RECORDED</x:v>
      </x:c>
      <x:c r="H917" s="38" t="n">
        <x:f>IF(ISNUMBER('Data'!G917),'Data'!G917*100,"")</x:f>
        <x:v>4.35</x:v>
      </x:c>
      <x:c r="I917" s="34" t="str">
        <x:v>PASS</x:v>
      </x:c>
      <x:c r="J917" s="34" t="str">
        <x:v>PASS</x:v>
      </x:c>
      <x:c r="K917" s="34" t="str">
        <x:v>PASS</x:v>
      </x:c>
      <x:c r="L917" s="34" t="str">
        <x:v>FAIL</x:v>
      </x:c>
      <x:c r="M917" s="34" t="str">
        <x:v>numeric coverage for applicable metric</x:v>
      </x:c>
      <x:c r="N917" s="34" t="str">
        <x:v>Feedback-Directed Random Test Generation/Result_Round2/Cli_37/result.json</x:v>
      </x:c>
      <x:c r="O917" s="38" t="n">
        <x:f>IF(AND(G917="RECORDED",ISNUMBER(H917)),H917,"")</x:f>
        <x:v>4.35</x:v>
      </x:c>
      <x:c r="P917" s="34" t="str">
        <x:v>INCONCLUSIVE</x:v>
      </x:c>
      <x:c r="Q917" s="34" t="str">
        <x:v>Feedback-Directed Random Test Generation/Result_Round2/Cli_37/result.json</x:v>
      </x:c>
    </x:row>
    <x:row r="918">
      <x:c r="A918" s="34" t="str">
        <x:v>randoop</x:v>
      </x:c>
      <x:c r="B918" s="34" t="str">
        <x:v>Cli</x:v>
      </x:c>
      <x:c r="C918" s="34" t="str">
        <x:v>Round2</x:v>
      </x:c>
      <x:c r="D918" s="34" t="str">
        <x:v>Cli_38</x:v>
      </x:c>
      <x:c r="E918" s="34" t="str">
        <x:v>Coverage</x:v>
      </x:c>
      <x:c r="F918" s="34" t="n">
        <x:v>349</x:v>
      </x:c>
      <x:c r="G918" s="34" t="str">
        <x:v>RECORDED</x:v>
      </x:c>
      <x:c r="H918" s="38" t="n">
        <x:f>IF(ISNUMBER('Data'!G918),'Data'!G918*100,"")</x:f>
        <x:v>4.3</x:v>
      </x:c>
      <x:c r="I918" s="34" t="str">
        <x:v>PASS</x:v>
      </x:c>
      <x:c r="J918" s="34" t="str">
        <x:v>PASS</x:v>
      </x:c>
      <x:c r="K918" s="34" t="str">
        <x:v>PASS</x:v>
      </x:c>
      <x:c r="L918" s="34" t="str">
        <x:v>FAIL</x:v>
      </x:c>
      <x:c r="M918" s="34" t="str">
        <x:v>numeric coverage for applicable metric</x:v>
      </x:c>
      <x:c r="N918" s="34" t="str">
        <x:v>Feedback-Directed Random Test Generation/Result_Round2/Cli_38/result.json</x:v>
      </x:c>
      <x:c r="O918" s="38" t="n">
        <x:f>IF(AND(G918="RECORDED",ISNUMBER(H918)),H918,"")</x:f>
        <x:v>4.3</x:v>
      </x:c>
      <x:c r="P918" s="34" t="str">
        <x:v>INCONCLUSIVE</x:v>
      </x:c>
      <x:c r="Q918" s="34" t="str">
        <x:v>Feedback-Directed Random Test Generation/Result_Round2/Cli_38/result.json</x:v>
      </x:c>
    </x:row>
    <x:row r="919">
      <x:c r="A919" s="34" t="str">
        <x:v>randoop</x:v>
      </x:c>
      <x:c r="B919" s="34" t="str">
        <x:v>Cli</x:v>
      </x:c>
      <x:c r="C919" s="34" t="str">
        <x:v>Round2</x:v>
      </x:c>
      <x:c r="D919" s="34" t="str">
        <x:v>Cli_39</x:v>
      </x:c>
      <x:c r="E919" s="34" t="str">
        <x:v>Coverage</x:v>
      </x:c>
      <x:c r="F919" s="34" t="n">
        <x:v>62</x:v>
      </x:c>
      <x:c r="G919" s="34" t="str">
        <x:v>RECORDED</x:v>
      </x:c>
      <x:c r="H919" s="38" t="n">
        <x:f>IF(ISNUMBER('Data'!G919),'Data'!G919*100,"")</x:f>
        <x:v>64.52</x:v>
      </x:c>
      <x:c r="I919" s="34" t="str">
        <x:v>PASS</x:v>
      </x:c>
      <x:c r="J919" s="34" t="str">
        <x:v>PASS</x:v>
      </x:c>
      <x:c r="K919" s="34" t="str">
        <x:v>PASS</x:v>
      </x:c>
      <x:c r="L919" s="34" t="str">
        <x:v>PASS</x:v>
      </x:c>
      <x:c r="M919" s="34" t="str">
        <x:v>numeric coverage for applicable metric</x:v>
      </x:c>
      <x:c r="N919" s="34" t="str">
        <x:v>Feedback-Directed Random Test Generation/Result_Round2/Cli_39/result.json</x:v>
      </x:c>
      <x:c r="O919" s="38" t="n">
        <x:f>IF(AND(G919="RECORDED",ISNUMBER(H919)),H919,"")</x:f>
        <x:v>64.52</x:v>
      </x:c>
      <x:c r="P919" s="34" t="str">
        <x:v>NOT_REVEALING</x:v>
      </x:c>
      <x:c r="Q919" s="34" t="str">
        <x:v>Feedback-Directed Random Test Generation/Result_Round2/Cli_39/result.json</x:v>
      </x:c>
    </x:row>
    <x:row r="920">
      <x:c r="A920" s="34" t="str">
        <x:v>randoop</x:v>
      </x:c>
      <x:c r="B920" s="34" t="str">
        <x:v>Cli</x:v>
      </x:c>
      <x:c r="C920" s="34" t="str">
        <x:v>Round2</x:v>
      </x:c>
      <x:c r="D920" s="34" t="str">
        <x:v>Cli_40</x:v>
      </x:c>
      <x:c r="E920" s="34" t="str">
        <x:v>Coverage</x:v>
      </x:c>
      <x:c r="F920" s="34" t="n">
        <x:v>65</x:v>
      </x:c>
      <x:c r="G920" s="34" t="str">
        <x:v>RECORDED</x:v>
      </x:c>
      <x:c r="H920" s="38" t="n">
        <x:f>IF(ISNUMBER('Data'!G920),'Data'!G920*100,"")</x:f>
        <x:v>69.23</x:v>
      </x:c>
      <x:c r="I920" s="34" t="str">
        <x:v>PASS</x:v>
      </x:c>
      <x:c r="J920" s="34" t="str">
        <x:v>PASS</x:v>
      </x:c>
      <x:c r="K920" s="34" t="str">
        <x:v>PASS</x:v>
      </x:c>
      <x:c r="L920" s="34" t="str">
        <x:v>PASS</x:v>
      </x:c>
      <x:c r="M920" s="34" t="str">
        <x:v>numeric coverage for applicable metric</x:v>
      </x:c>
      <x:c r="N920" s="34" t="str">
        <x:v>Feedback-Directed Random Test Generation/Result_Round2/Cli_40/result.json</x:v>
      </x:c>
      <x:c r="O920" s="38" t="n">
        <x:f>IF(AND(G920="RECORDED",ISNUMBER(H920)),H920,"")</x:f>
        <x:v>69.23</x:v>
      </x:c>
      <x:c r="P920" s="34" t="str">
        <x:v>INCONCLUSIVE</x:v>
      </x:c>
      <x:c r="Q920" s="34" t="str">
        <x:v>Feedback-Directed Random Test Generation/Result_Round2/Cli_40/result.json</x:v>
      </x:c>
    </x:row>
    <x:row r="921">
      <x:c r="A921" s="34" t="str">
        <x:v>randoop</x:v>
      </x:c>
      <x:c r="B921" s="34" t="str">
        <x:v>Closure</x:v>
      </x:c>
      <x:c r="C921" s="34" t="str">
        <x:v>Round2</x:v>
      </x:c>
      <x:c r="D921" s="34" t="str">
        <x:v>Closure_1</x:v>
      </x:c>
      <x:c r="E921" s="34" t="str">
        <x:v>Coverage</x:v>
      </x:c>
      <x:c r="F921" s="34" t="n">
        <x:v>675</x:v>
      </x:c>
      <x:c r="G921" s="34" t="str">
        <x:v>RECORDED</x:v>
      </x:c>
      <x:c r="H921" s="38" t="n">
        <x:f>IF(ISNUMBER('Data'!G921),'Data'!G921*100,"")</x:f>
        <x:v>1.9299999999999997</x:v>
      </x:c>
      <x:c r="I921" s="34" t="str">
        <x:v>PASS</x:v>
      </x:c>
      <x:c r="J921" s="34" t="str">
        <x:v>PASS</x:v>
      </x:c>
      <x:c r="K921" s="34" t="str">
        <x:v>PASS</x:v>
      </x:c>
      <x:c r="L921" s="34" t="str">
        <x:v>PASS</x:v>
      </x:c>
      <x:c r="M921" s="34" t="str">
        <x:v>numeric coverage for applicable metric</x:v>
      </x:c>
      <x:c r="N921" s="34" t="str">
        <x:v>Feedback-Directed Random Test Generation/Result_Round2/Closure_1/result.json</x:v>
      </x:c>
      <x:c r="O921" s="38" t="n">
        <x:f>IF(AND(G921="RECORDED",ISNUMBER(H921)),H921,"")</x:f>
        <x:v>1.9299999999999997</x:v>
      </x:c>
      <x:c r="P921" s="34" t="str">
        <x:v>NOT_REVEALING</x:v>
      </x:c>
      <x:c r="Q921" s="34" t="str">
        <x:v>Feedback-Directed Random Test Generation/Result_Round2/Closure_1/result.json</x:v>
      </x:c>
    </x:row>
    <x:row r="922">
      <x:c r="A922" s="34" t="str">
        <x:v>randoop</x:v>
      </x:c>
      <x:c r="B922" s="34" t="str">
        <x:v>Closure</x:v>
      </x:c>
      <x:c r="C922" s="34" t="str">
        <x:v>Round2</x:v>
      </x:c>
      <x:c r="D922" s="34" t="str">
        <x:v>Closure_2</x:v>
      </x:c>
      <x:c r="E922" s="34" t="str">
        <x:v>Coverage</x:v>
      </x:c>
      <x:c r="F922" s="34" t="n">
        <x:v>1394</x:v>
      </x:c>
      <x:c r="G922" s="34" t="str">
        <x:v>RECORDED</x:v>
      </x:c>
      <x:c r="H922" s="38" t="n">
        <x:f>IF(ISNUMBER('Data'!G922),'Data'!G922*100,"")</x:f>
        <x:v>5.38</x:v>
      </x:c>
      <x:c r="I922" s="34" t="str">
        <x:v>PASS</x:v>
      </x:c>
      <x:c r="J922" s="34" t="str">
        <x:v>PASS</x:v>
      </x:c>
      <x:c r="K922" s="34" t="str">
        <x:v>PASS</x:v>
      </x:c>
      <x:c r="L922" s="34" t="str">
        <x:v>PASS</x:v>
      </x:c>
      <x:c r="M922" s="34" t="str">
        <x:v>numeric coverage for applicable metric</x:v>
      </x:c>
      <x:c r="N922" s="34" t="str">
        <x:v>Feedback-Directed Random Test Generation/Result_Round2/Closure_2/result.json</x:v>
      </x:c>
      <x:c r="O922" s="38" t="n">
        <x:f>IF(AND(G922="RECORDED",ISNUMBER(H922)),H922,"")</x:f>
        <x:v>5.38</x:v>
      </x:c>
      <x:c r="P922" s="34" t="str">
        <x:v>NOT_REVEALING</x:v>
      </x:c>
      <x:c r="Q922" s="34" t="str">
        <x:v>Feedback-Directed Random Test Generation/Result_Round2/Closure_2/result.json</x:v>
      </x:c>
    </x:row>
    <x:row r="923">
      <x:c r="A923" s="34" t="str">
        <x:v>randoop</x:v>
      </x:c>
      <x:c r="B923" s="34" t="str">
        <x:v>Closure</x:v>
      </x:c>
      <x:c r="C923" s="34" t="str">
        <x:v>Round2</x:v>
      </x:c>
      <x:c r="D923" s="34" t="str">
        <x:v>Closure_3</x:v>
      </x:c>
      <x:c r="E923" s="34" t="str">
        <x:v>Coverage</x:v>
      </x:c>
      <x:c r="F923" s="34" t="n">
        <x:v>303</x:v>
      </x:c>
      <x:c r="G923" s="34" t="str">
        <x:v>RECORDED</x:v>
      </x:c>
      <x:c r="H923" s="38" t="n">
        <x:f>IF(ISNUMBER('Data'!G923),'Data'!G923*100,"")</x:f>
        <x:v>3.3000000000000003</x:v>
      </x:c>
      <x:c r="I923" s="34" t="str">
        <x:v>PASS</x:v>
      </x:c>
      <x:c r="J923" s="34" t="str">
        <x:v>PASS</x:v>
      </x:c>
      <x:c r="K923" s="34" t="str">
        <x:v>PASS</x:v>
      </x:c>
      <x:c r="L923" s="34" t="str">
        <x:v>PASS</x:v>
      </x:c>
      <x:c r="M923" s="34" t="str">
        <x:v>numeric coverage for applicable metric</x:v>
      </x:c>
      <x:c r="N923" s="34" t="str">
        <x:v>Feedback-Directed Random Test Generation/Result_Round2/Closure_3/result.json</x:v>
      </x:c>
      <x:c r="O923" s="38" t="n">
        <x:f>IF(AND(G923="RECORDED",ISNUMBER(H923)),H923,"")</x:f>
        <x:v>3.3000000000000003</x:v>
      </x:c>
      <x:c r="P923" s="34" t="str">
        <x:v>NOT_REVEALING</x:v>
      </x:c>
      <x:c r="Q923" s="34" t="str">
        <x:v>Feedback-Directed Random Test Generation/Result_Round2/Closure_3/result.json</x:v>
      </x:c>
    </x:row>
    <x:row r="924">
      <x:c r="A924" s="34" t="str">
        <x:v>randoop</x:v>
      </x:c>
      <x:c r="B924" s="34" t="str">
        <x:v>Closure</x:v>
      </x:c>
      <x:c r="C924" s="34" t="str">
        <x:v>Round2</x:v>
      </x:c>
      <x:c r="D924" s="34" t="str">
        <x:v>Closure_4</x:v>
      </x:c>
      <x:c r="E924" s="34" t="str">
        <x:v>Coverage</x:v>
      </x:c>
      <x:c r="F924" s="34" t="n">
        <x:v>218</x:v>
      </x:c>
      <x:c r="G924" s="34" t="str">
        <x:v>RECORDED</x:v>
      </x:c>
      <x:c r="H924" s="38" t="n">
        <x:f>IF(ISNUMBER('Data'!G924),'Data'!G924*100,"")</x:f>
        <x:v>0.45999999999999996</x:v>
      </x:c>
      <x:c r="I924" s="34" t="str">
        <x:v>PASS</x:v>
      </x:c>
      <x:c r="J924" s="34" t="str">
        <x:v>PASS</x:v>
      </x:c>
      <x:c r="K924" s="34" t="str">
        <x:v>PASS</x:v>
      </x:c>
      <x:c r="L924" s="34" t="str">
        <x:v>PASS</x:v>
      </x:c>
      <x:c r="M924" s="34" t="str">
        <x:v>numeric coverage for applicable metric</x:v>
      </x:c>
      <x:c r="N924" s="34" t="str">
        <x:v>Feedback-Directed Random Test Generation/Result_Round2/Closure_4/result.json</x:v>
      </x:c>
      <x:c r="O924" s="38" t="n">
        <x:f>IF(AND(G924="RECORDED",ISNUMBER(H924)),H924,"")</x:f>
        <x:v>0.45999999999999996</x:v>
      </x:c>
      <x:c r="P924" s="34" t="str">
        <x:v>NOT_REVEALING</x:v>
      </x:c>
      <x:c r="Q924" s="34" t="str">
        <x:v>Feedback-Directed Random Test Generation/Result_Round2/Closure_4/result.json</x:v>
      </x:c>
    </x:row>
    <x:row r="925">
      <x:c r="A925" s="34" t="str">
        <x:v>randoop</x:v>
      </x:c>
      <x:c r="B925" s="34" t="str">
        <x:v>Closure</x:v>
      </x:c>
      <x:c r="C925" s="34" t="str">
        <x:v>Round2</x:v>
      </x:c>
      <x:c r="D925" s="34" t="str">
        <x:v>Closure_5</x:v>
      </x:c>
      <x:c r="E925" s="34" t="str">
        <x:v>Coverage</x:v>
      </x:c>
      <x:c r="F925" s="34" t="n">
        <x:v>289</x:v>
      </x:c>
      <x:c r="G925" s="34" t="str">
        <x:v>RECORDED</x:v>
      </x:c>
      <x:c r="H925" s="38" t="n">
        <x:f>IF(ISNUMBER('Data'!G925),'Data'!G925*100,"")</x:f>
        <x:v>2.77</x:v>
      </x:c>
      <x:c r="I925" s="34" t="str">
        <x:v>PASS</x:v>
      </x:c>
      <x:c r="J925" s="34" t="str">
        <x:v>PASS</x:v>
      </x:c>
      <x:c r="K925" s="34" t="str">
        <x:v>PASS</x:v>
      </x:c>
      <x:c r="L925" s="34" t="str">
        <x:v>PASS</x:v>
      </x:c>
      <x:c r="M925" s="34" t="str">
        <x:v>numeric coverage for applicable metric</x:v>
      </x:c>
      <x:c r="N925" s="34" t="str">
        <x:v>Feedback-Directed Random Test Generation/Result_Round2/Closure_5/result.json</x:v>
      </x:c>
      <x:c r="O925" s="38" t="n">
        <x:f>IF(AND(G925="RECORDED",ISNUMBER(H925)),H925,"")</x:f>
        <x:v>2.77</x:v>
      </x:c>
      <x:c r="P925" s="34" t="str">
        <x:v>NOT_REVEALING</x:v>
      </x:c>
      <x:c r="Q925" s="34" t="str">
        <x:v>Feedback-Directed Random Test Generation/Result_Round2/Closure_5/result.json</x:v>
      </x:c>
    </x:row>
    <x:row r="926">
      <x:c r="A926" s="34" t="str">
        <x:v>randoop</x:v>
      </x:c>
      <x:c r="B926" s="34" t="str">
        <x:v>Closure</x:v>
      </x:c>
      <x:c r="C926" s="34" t="str">
        <x:v>Round2</x:v>
      </x:c>
      <x:c r="D926" s="34" t="str">
        <x:v>Closure_6</x:v>
      </x:c>
      <x:c r="E926" s="34" t="str">
        <x:v>Coverage</x:v>
      </x:c>
      <x:c r="F926" s="34" t="n">
        <x:v>503</x:v>
      </x:c>
      <x:c r="G926" s="34" t="str">
        <x:v>RECORDED</x:v>
      </x:c>
      <x:c r="H926" s="38" t="n">
        <x:f>IF(ISNUMBER('Data'!G926),'Data'!G926*100,"")</x:f>
        <x:v>4.77</x:v>
      </x:c>
      <x:c r="I926" s="34" t="str">
        <x:v>PASS</x:v>
      </x:c>
      <x:c r="J926" s="34" t="str">
        <x:v>PASS</x:v>
      </x:c>
      <x:c r="K926" s="34" t="str">
        <x:v>PASS</x:v>
      </x:c>
      <x:c r="L926" s="34" t="str">
        <x:v>PASS</x:v>
      </x:c>
      <x:c r="M926" s="34" t="str">
        <x:v>numeric coverage for applicable metric</x:v>
      </x:c>
      <x:c r="N926" s="34" t="str">
        <x:v>Feedback-Directed Random Test Generation/Result_Round2/Closure_6/result.json</x:v>
      </x:c>
      <x:c r="O926" s="38" t="n">
        <x:f>IF(AND(G926="RECORDED",ISNUMBER(H926)),H926,"")</x:f>
        <x:v>4.77</x:v>
      </x:c>
      <x:c r="P926" s="34" t="str">
        <x:v>NOT_REVEALING</x:v>
      </x:c>
      <x:c r="Q926" s="34" t="str">
        <x:v>Feedback-Directed Random Test Generation/Result_Round2/Closure_6/result.json</x:v>
      </x:c>
    </x:row>
    <x:row r="927">
      <x:c r="A927" s="34" t="str">
        <x:v>randoop</x:v>
      </x:c>
      <x:c r="B927" s="34" t="str">
        <x:v>Closure</x:v>
      </x:c>
      <x:c r="C927" s="34" t="str">
        <x:v>Round2</x:v>
      </x:c>
      <x:c r="D927" s="34" t="str">
        <x:v>Closure_7</x:v>
      </x:c>
      <x:c r="E927" s="34" t="str">
        <x:v>Coverage</x:v>
      </x:c>
      <x:c r="F927" s="34" t="n">
        <x:v>269</x:v>
      </x:c>
      <x:c r="G927" s="34" t="str">
        <x:v>RECORDED</x:v>
      </x:c>
      <x:c r="H927" s="38" t="n">
        <x:f>IF(ISNUMBER('Data'!G927),'Data'!G927*100,"")</x:f>
        <x:v>0</x:v>
      </x:c>
      <x:c r="I927" s="34" t="str">
        <x:v>PASS</x:v>
      </x:c>
      <x:c r="J927" s="34" t="str">
        <x:v>PASS</x:v>
      </x:c>
      <x:c r="K927" s="34" t="str">
        <x:v>PASS</x:v>
      </x:c>
      <x:c r="L927" s="34" t="str">
        <x:v>PASS</x:v>
      </x:c>
      <x:c r="M927" s="34" t="str">
        <x:v>numeric coverage for applicable metric</x:v>
      </x:c>
      <x:c r="N927" s="34" t="str">
        <x:v>Feedback-Directed Random Test Generation/Result_Round2/Closure_7/result.json</x:v>
      </x:c>
      <x:c r="O927" s="38" t="n">
        <x:f>IF(AND(G927="RECORDED",ISNUMBER(H927)),H927,"")</x:f>
        <x:v>0</x:v>
      </x:c>
      <x:c r="P927" s="34" t="str">
        <x:v>NOT_REVEALING</x:v>
      </x:c>
      <x:c r="Q927" s="34" t="str">
        <x:v>Feedback-Directed Random Test Generation/Result_Round2/Closure_7/result.json</x:v>
      </x:c>
    </x:row>
    <x:row r="928">
      <x:c r="A928" s="34" t="str">
        <x:v>randoop</x:v>
      </x:c>
      <x:c r="B928" s="34" t="str">
        <x:v>Closure</x:v>
      </x:c>
      <x:c r="C928" s="34" t="str">
        <x:v>Round2</x:v>
      </x:c>
      <x:c r="D928" s="34" t="str">
        <x:v>Closure_8</x:v>
      </x:c>
      <x:c r="E928" s="34" t="str">
        <x:v>Coverage</x:v>
      </x:c>
      <x:c r="F928" s="34" t="n">
        <x:v>136</x:v>
      </x:c>
      <x:c r="G928" s="34" t="str">
        <x:v>RECORDED</x:v>
      </x:c>
      <x:c r="H928" s="38" t="n">
        <x:f>IF(ISNUMBER('Data'!G928),'Data'!G928*100,"")</x:f>
        <x:v>2.94</x:v>
      </x:c>
      <x:c r="I928" s="34" t="str">
        <x:v>PASS</x:v>
      </x:c>
      <x:c r="J928" s="34" t="str">
        <x:v>PASS</x:v>
      </x:c>
      <x:c r="K928" s="34" t="str">
        <x:v>PASS</x:v>
      </x:c>
      <x:c r="L928" s="34" t="str">
        <x:v>PASS</x:v>
      </x:c>
      <x:c r="M928" s="34" t="str">
        <x:v>numeric coverage for applicable metric</x:v>
      </x:c>
      <x:c r="N928" s="34" t="str">
        <x:v>Feedback-Directed Random Test Generation/Result_Round2/Closure_8/result.json</x:v>
      </x:c>
      <x:c r="O928" s="38" t="n">
        <x:f>IF(AND(G928="RECORDED",ISNUMBER(H928)),H928,"")</x:f>
        <x:v>2.94</x:v>
      </x:c>
      <x:c r="P928" s="34" t="str">
        <x:v>NOT_REVEALING</x:v>
      </x:c>
      <x:c r="Q928" s="34" t="str">
        <x:v>Feedback-Directed Random Test Generation/Result_Round2/Closure_8/result.json</x:v>
      </x:c>
    </x:row>
    <x:row r="929">
      <x:c r="A929" s="34" t="str">
        <x:v>randoop</x:v>
      </x:c>
      <x:c r="B929" s="34" t="str">
        <x:v>Closure</x:v>
      </x:c>
      <x:c r="C929" s="34" t="str">
        <x:v>Round2</x:v>
      </x:c>
      <x:c r="D929" s="34" t="str">
        <x:v>Closure_9</x:v>
      </x:c>
      <x:c r="E929" s="34" t="str">
        <x:v>Coverage</x:v>
      </x:c>
      <x:c r="F929" s="34" t="n">
        <x:v>151</x:v>
      </x:c>
      <x:c r="G929" s="34" t="str">
        <x:v>RECORDED</x:v>
      </x:c>
      <x:c r="H929" s="38" t="n">
        <x:f>IF(ISNUMBER('Data'!G929),'Data'!G929*100,"")</x:f>
        <x:v>23.18</x:v>
      </x:c>
      <x:c r="I929" s="34" t="str">
        <x:v>PASS</x:v>
      </x:c>
      <x:c r="J929" s="34" t="str">
        <x:v>PASS</x:v>
      </x:c>
      <x:c r="K929" s="34" t="str">
        <x:v>PASS</x:v>
      </x:c>
      <x:c r="L929" s="34" t="str">
        <x:v>PASS</x:v>
      </x:c>
      <x:c r="M929" s="34" t="str">
        <x:v>numeric coverage for applicable metric</x:v>
      </x:c>
      <x:c r="N929" s="34" t="str">
        <x:v>Feedback-Directed Random Test Generation/Result_Round2/Closure_9/result.json</x:v>
      </x:c>
      <x:c r="O929" s="38" t="n">
        <x:f>IF(AND(G929="RECORDED",ISNUMBER(H929)),H929,"")</x:f>
        <x:v>23.18</x:v>
      </x:c>
      <x:c r="P929" s="34" t="str">
        <x:v>NOT_REVEALING</x:v>
      </x:c>
      <x:c r="Q929" s="34" t="str">
        <x:v>Feedback-Directed Random Test Generation/Result_Round2/Closure_9/result.json</x:v>
      </x:c>
    </x:row>
    <x:row r="930">
      <x:c r="A930" s="34" t="str">
        <x:v>randoop</x:v>
      </x:c>
      <x:c r="B930" s="34" t="str">
        <x:v>Closure</x:v>
      </x:c>
      <x:c r="C930" s="34" t="str">
        <x:v>Round2</x:v>
      </x:c>
      <x:c r="D930" s="34" t="str">
        <x:v>Closure_10</x:v>
      </x:c>
      <x:c r="E930" s="34" t="str">
        <x:v>Coverage</x:v>
      </x:c>
      <x:c r="F930" s="34" t="n">
        <x:v>2060</x:v>
      </x:c>
      <x:c r="G930" s="34" t="str">
        <x:v>RECORDED</x:v>
      </x:c>
      <x:c r="H930" s="38" t="n">
        <x:f>IF(ISNUMBER('Data'!G930),'Data'!G930*100,"")</x:f>
        <x:v>38.5</x:v>
      </x:c>
      <x:c r="I930" s="34" t="str">
        <x:v>PASS</x:v>
      </x:c>
      <x:c r="J930" s="34" t="str">
        <x:v>PASS</x:v>
      </x:c>
      <x:c r="K930" s="34" t="str">
        <x:v>PASS</x:v>
      </x:c>
      <x:c r="L930" s="34" t="str">
        <x:v>FAIL</x:v>
      </x:c>
      <x:c r="M930" s="34" t="str">
        <x:v>numeric coverage for applicable metric</x:v>
      </x:c>
      <x:c r="N930" s="34" t="str">
        <x:v>Feedback-Directed Random Test Generation/Result_Round2/Closure_10/result.json</x:v>
      </x:c>
      <x:c r="O930" s="38" t="n">
        <x:f>IF(AND(G930="RECORDED",ISNUMBER(H930)),H930,"")</x:f>
        <x:v>38.5</x:v>
      </x:c>
      <x:c r="P930" s="34" t="str">
        <x:v>INCONCLUSIVE</x:v>
      </x:c>
      <x:c r="Q930" s="34" t="str">
        <x:v>Feedback-Directed Random Test Generation/Result_Round2/Closure_10/result.json</x:v>
      </x:c>
    </x:row>
    <x:row r="931">
      <x:c r="A931" s="34" t="str">
        <x:v>randoop</x:v>
      </x:c>
      <x:c r="B931" s="34" t="str">
        <x:v>Closure</x:v>
      </x:c>
      <x:c r="C931" s="34" t="str">
        <x:v>Round2</x:v>
      </x:c>
      <x:c r="D931" s="34" t="str">
        <x:v>Closure_11</x:v>
      </x:c>
      <x:c r="E931" s="34" t="str">
        <x:v>Coverage</x:v>
      </x:c>
      <x:c r="F931" s="34" t="n">
        <x:v>1327</x:v>
      </x:c>
      <x:c r="G931" s="34" t="str">
        <x:v>RECORDED</x:v>
      </x:c>
      <x:c r="H931" s="38" t="n">
        <x:f>IF(ISNUMBER('Data'!G931),'Data'!G931*100,"")</x:f>
        <x:v>5.2</x:v>
      </x:c>
      <x:c r="I931" s="34" t="str">
        <x:v>PASS</x:v>
      </x:c>
      <x:c r="J931" s="34" t="str">
        <x:v>PASS</x:v>
      </x:c>
      <x:c r="K931" s="34" t="str">
        <x:v>PASS</x:v>
      </x:c>
      <x:c r="L931" s="34" t="str">
        <x:v>PASS</x:v>
      </x:c>
      <x:c r="M931" s="34" t="str">
        <x:v>numeric coverage for applicable metric</x:v>
      </x:c>
      <x:c r="N931" s="34" t="str">
        <x:v>Feedback-Directed Random Test Generation/Result_Round2/Closure_11/result.json</x:v>
      </x:c>
      <x:c r="O931" s="38" t="n">
        <x:f>IF(AND(G931="RECORDED",ISNUMBER(H931)),H931,"")</x:f>
        <x:v>5.2</x:v>
      </x:c>
      <x:c r="P931" s="34" t="str">
        <x:v>NOT_REVEALING</x:v>
      </x:c>
      <x:c r="Q931" s="34" t="str">
        <x:v>Feedback-Directed Random Test Generation/Result_Round2/Closure_11/result.json</x:v>
      </x:c>
    </x:row>
    <x:row r="932">
      <x:c r="A932" s="34" t="str">
        <x:v>randoop</x:v>
      </x:c>
      <x:c r="B932" s="34" t="str">
        <x:v>Closure</x:v>
      </x:c>
      <x:c r="C932" s="34" t="str">
        <x:v>Round2</x:v>
      </x:c>
      <x:c r="D932" s="34" t="str">
        <x:v>Closure_12</x:v>
      </x:c>
      <x:c r="E932" s="34" t="str">
        <x:v>Coverage</x:v>
      </x:c>
      <x:c r="F932" s="34" t="n">
        <x:v>136</x:v>
      </x:c>
      <x:c r="G932" s="34" t="str">
        <x:v>RECORDED</x:v>
      </x:c>
      <x:c r="H932" s="38" t="n">
        <x:f>IF(ISNUMBER('Data'!G932),'Data'!G932*100,"")</x:f>
        <x:v>10.29</x:v>
      </x:c>
      <x:c r="I932" s="34" t="str">
        <x:v>PASS</x:v>
      </x:c>
      <x:c r="J932" s="34" t="str">
        <x:v>PASS</x:v>
      </x:c>
      <x:c r="K932" s="34" t="str">
        <x:v>PASS</x:v>
      </x:c>
      <x:c r="L932" s="34" t="str">
        <x:v>PASS</x:v>
      </x:c>
      <x:c r="M932" s="34" t="str">
        <x:v>numeric coverage for applicable metric</x:v>
      </x:c>
      <x:c r="N932" s="34" t="str">
        <x:v>Feedback-Directed Random Test Generation/Result_Round2/Closure_12/result.json</x:v>
      </x:c>
      <x:c r="O932" s="38" t="n">
        <x:f>IF(AND(G932="RECORDED",ISNUMBER(H932)),H932,"")</x:f>
        <x:v>10.29</x:v>
      </x:c>
      <x:c r="P932" s="34" t="str">
        <x:v>NOT_REVEALING</x:v>
      </x:c>
      <x:c r="Q932" s="34" t="str">
        <x:v>Feedback-Directed Random Test Generation/Result_Round2/Closure_12/result.json</x:v>
      </x:c>
    </x:row>
    <x:row r="933">
      <x:c r="A933" s="34" t="str">
        <x:v>randoop</x:v>
      </x:c>
      <x:c r="B933" s="34" t="str">
        <x:v>Closure</x:v>
      </x:c>
      <x:c r="C933" s="34" t="str">
        <x:v>Round2</x:v>
      </x:c>
      <x:c r="D933" s="34" t="str">
        <x:v>Closure_13</x:v>
      </x:c>
      <x:c r="E933" s="34" t="str">
        <x:v>Coverage</x:v>
      </x:c>
      <x:c r="F933" s="34" t="n">
        <x:v>126</x:v>
      </x:c>
      <x:c r="G933" s="34" t="str">
        <x:v>RECORDED</x:v>
      </x:c>
      <x:c r="H933" s="38" t="n">
        <x:f>IF(ISNUMBER('Data'!G933),'Data'!G933*100,"")</x:f>
        <x:v>0</x:v>
      </x:c>
      <x:c r="I933" s="34" t="str">
        <x:v>PASS</x:v>
      </x:c>
      <x:c r="J933" s="34" t="str">
        <x:v>PASS</x:v>
      </x:c>
      <x:c r="K933" s="34" t="str">
        <x:v>PASS</x:v>
      </x:c>
      <x:c r="L933" s="34" t="str">
        <x:v>PASS</x:v>
      </x:c>
      <x:c r="M933" s="34" t="str">
        <x:v>numeric coverage for applicable metric</x:v>
      </x:c>
      <x:c r="N933" s="34" t="str">
        <x:v>Feedback-Directed Random Test Generation/Result_Round2/Closure_13/result.json</x:v>
      </x:c>
      <x:c r="O933" s="38" t="n">
        <x:f>IF(AND(G933="RECORDED",ISNUMBER(H933)),H933,"")</x:f>
        <x:v>0</x:v>
      </x:c>
      <x:c r="P933" s="34" t="str">
        <x:v>NOT_REVEALING</x:v>
      </x:c>
      <x:c r="Q933" s="34" t="str">
        <x:v>Feedback-Directed Random Test Generation/Result_Round2/Closure_13/result.json</x:v>
      </x:c>
    </x:row>
    <x:row r="934">
      <x:c r="A934" s="34" t="str">
        <x:v>randoop</x:v>
      </x:c>
      <x:c r="B934" s="34" t="str">
        <x:v>Closure</x:v>
      </x:c>
      <x:c r="C934" s="34" t="str">
        <x:v>Round2</x:v>
      </x:c>
      <x:c r="D934" s="34" t="str">
        <x:v>Closure_14</x:v>
      </x:c>
      <x:c r="E934" s="34" t="str">
        <x:v>Coverage</x:v>
      </x:c>
      <x:c r="F934" s="34" t="n">
        <x:v>683</x:v>
      </x:c>
      <x:c r="G934" s="34" t="str">
        <x:v>RECORDED</x:v>
      </x:c>
      <x:c r="H934" s="38" t="n">
        <x:f>IF(ISNUMBER('Data'!G934),'Data'!G934*100,"")</x:f>
        <x:v>4.25</x:v>
      </x:c>
      <x:c r="I934" s="34" t="str">
        <x:v>PASS</x:v>
      </x:c>
      <x:c r="J934" s="34" t="str">
        <x:v>PASS</x:v>
      </x:c>
      <x:c r="K934" s="34" t="str">
        <x:v>PASS</x:v>
      </x:c>
      <x:c r="L934" s="34" t="str">
        <x:v>PASS</x:v>
      </x:c>
      <x:c r="M934" s="34" t="str">
        <x:v>numeric coverage for applicable metric</x:v>
      </x:c>
      <x:c r="N934" s="34" t="str">
        <x:v>Feedback-Directed Random Test Generation/Result_Round2/Closure_14/result.json</x:v>
      </x:c>
      <x:c r="O934" s="38" t="n">
        <x:f>IF(AND(G934="RECORDED",ISNUMBER(H934)),H934,"")</x:f>
        <x:v>4.25</x:v>
      </x:c>
      <x:c r="P934" s="34" t="str">
        <x:v>NOT_REVEALING</x:v>
      </x:c>
      <x:c r="Q934" s="34" t="str">
        <x:v>Feedback-Directed Random Test Generation/Result_Round2/Closure_14/result.json</x:v>
      </x:c>
    </x:row>
    <x:row r="935">
      <x:c r="A935" s="34" t="str">
        <x:v>randoop</x:v>
      </x:c>
      <x:c r="B935" s="34" t="str">
        <x:v>Closure</x:v>
      </x:c>
      <x:c r="C935" s="34" t="str">
        <x:v>Round2</x:v>
      </x:c>
      <x:c r="D935" s="34" t="str">
        <x:v>Closure_15</x:v>
      </x:c>
      <x:c r="E935" s="34" t="str">
        <x:v>Coverage</x:v>
      </x:c>
      <x:c r="F935" s="34" t="n">
        <x:v>285</x:v>
      </x:c>
      <x:c r="G935" s="34" t="str">
        <x:v>RECORDED</x:v>
      </x:c>
      <x:c r="H935" s="38" t="n">
        <x:f>IF(ISNUMBER('Data'!G935),'Data'!G935*100,"")</x:f>
        <x:v>3.16</x:v>
      </x:c>
      <x:c r="I935" s="34" t="str">
        <x:v>PASS</x:v>
      </x:c>
      <x:c r="J935" s="34" t="str">
        <x:v>PASS</x:v>
      </x:c>
      <x:c r="K935" s="34" t="str">
        <x:v>PASS</x:v>
      </x:c>
      <x:c r="L935" s="34" t="str">
        <x:v>PASS</x:v>
      </x:c>
      <x:c r="M935" s="34" t="str">
        <x:v>numeric coverage for applicable metric</x:v>
      </x:c>
      <x:c r="N935" s="34" t="str">
        <x:v>Feedback-Directed Random Test Generation/Result_Round2/Closure_15/result.json</x:v>
      </x:c>
      <x:c r="O935" s="38" t="n">
        <x:f>IF(AND(G935="RECORDED",ISNUMBER(H935)),H935,"")</x:f>
        <x:v>3.16</x:v>
      </x:c>
      <x:c r="P935" s="34" t="str">
        <x:v>NOT_REVEALING</x:v>
      </x:c>
      <x:c r="Q935" s="34" t="str">
        <x:v>Feedback-Directed Random Test Generation/Result_Round2/Closure_15/result.json</x:v>
      </x:c>
    </x:row>
    <x:row r="936">
      <x:c r="A936" s="34" t="str">
        <x:v>randoop</x:v>
      </x:c>
      <x:c r="B936" s="34" t="str">
        <x:v>Closure</x:v>
      </x:c>
      <x:c r="C936" s="34" t="str">
        <x:v>Round2</x:v>
      </x:c>
      <x:c r="D936" s="34" t="str">
        <x:v>Closure_16</x:v>
      </x:c>
      <x:c r="E936" s="34" t="str">
        <x:v>Coverage</x:v>
      </x:c>
      <x:c r="F936" s="34" t="n">
        <x:v>326</x:v>
      </x:c>
      <x:c r="G936" s="34" t="str">
        <x:v>RECORDED</x:v>
      </x:c>
      <x:c r="H936" s="38" t="n">
        <x:f>IF(ISNUMBER('Data'!G936),'Data'!G936*100,"")</x:f>
        <x:v>7.670000000000001</x:v>
      </x:c>
      <x:c r="I936" s="34" t="str">
        <x:v>PASS</x:v>
      </x:c>
      <x:c r="J936" s="34" t="str">
        <x:v>PASS</x:v>
      </x:c>
      <x:c r="K936" s="34" t="str">
        <x:v>PASS</x:v>
      </x:c>
      <x:c r="L936" s="34" t="str">
        <x:v>PASS</x:v>
      </x:c>
      <x:c r="M936" s="34" t="str">
        <x:v>numeric coverage for applicable metric</x:v>
      </x:c>
      <x:c r="N936" s="34" t="str">
        <x:v>Feedback-Directed Random Test Generation/Result_Round2/Closure_16/result.json</x:v>
      </x:c>
      <x:c r="O936" s="38" t="n">
        <x:f>IF(AND(G936="RECORDED",ISNUMBER(H936)),H936,"")</x:f>
        <x:v>7.670000000000001</x:v>
      </x:c>
      <x:c r="P936" s="34" t="str">
        <x:v>NOT_REVEALING</x:v>
      </x:c>
      <x:c r="Q936" s="34" t="str">
        <x:v>Feedback-Directed Random Test Generation/Result_Round2/Closure_16/result.json</x:v>
      </x:c>
    </x:row>
    <x:row r="937">
      <x:c r="A937" s="34" t="str">
        <x:v>randoop</x:v>
      </x:c>
      <x:c r="B937" s="34" t="str">
        <x:v>Closure</x:v>
      </x:c>
      <x:c r="C937" s="34" t="str">
        <x:v>Round2</x:v>
      </x:c>
      <x:c r="D937" s="34" t="str">
        <x:v>Closure_17</x:v>
      </x:c>
      <x:c r="E937" s="34" t="str">
        <x:v>Coverage</x:v>
      </x:c>
      <x:c r="F937" s="34" t="n">
        <x:v>1567</x:v>
      </x:c>
      <x:c r="G937" s="34" t="str">
        <x:v>RECORDED</x:v>
      </x:c>
      <x:c r="H937" s="38" t="n">
        <x:f>IF(ISNUMBER('Data'!G937),'Data'!G937*100,"")</x:f>
        <x:v>1.6</x:v>
      </x:c>
      <x:c r="I937" s="34" t="str">
        <x:v>PASS</x:v>
      </x:c>
      <x:c r="J937" s="34" t="str">
        <x:v>PASS</x:v>
      </x:c>
      <x:c r="K937" s="34" t="str">
        <x:v>PASS</x:v>
      </x:c>
      <x:c r="L937" s="34" t="str">
        <x:v>PASS</x:v>
      </x:c>
      <x:c r="M937" s="34" t="str">
        <x:v>numeric coverage for applicable metric</x:v>
      </x:c>
      <x:c r="N937" s="34" t="str">
        <x:v>Feedback-Directed Random Test Generation/Result_Round2/Closure_17/result.json</x:v>
      </x:c>
      <x:c r="O937" s="38" t="n">
        <x:f>IF(AND(G937="RECORDED",ISNUMBER(H937)),H937,"")</x:f>
        <x:v>1.6</x:v>
      </x:c>
      <x:c r="P937" s="34" t="str">
        <x:v>NOT_REVEALING</x:v>
      </x:c>
      <x:c r="Q937" s="34" t="str">
        <x:v>Feedback-Directed Random Test Generation/Result_Round2/Closure_17/result.json</x:v>
      </x:c>
    </x:row>
    <x:row r="938">
      <x:c r="A938" s="34" t="str">
        <x:v>randoop</x:v>
      </x:c>
      <x:c r="B938" s="34" t="str">
        <x:v>Closure</x:v>
      </x:c>
      <x:c r="C938" s="34" t="str">
        <x:v>Round2</x:v>
      </x:c>
      <x:c r="D938" s="34" t="str">
        <x:v>Closure_18</x:v>
      </x:c>
      <x:c r="E938" s="34" t="str">
        <x:v>Coverage</x:v>
      </x:c>
      <x:c r="F938" s="34" t="n">
        <x:v>1422</x:v>
      </x:c>
      <x:c r="G938" s="34" t="str">
        <x:v>RECORDED</x:v>
      </x:c>
      <x:c r="H938" s="38" t="n">
        <x:f>IF(ISNUMBER('Data'!G938),'Data'!G938*100,"")</x:f>
        <x:v>59.489999999999995</x:v>
      </x:c>
      <x:c r="I938" s="34" t="str">
        <x:v>PASS</x:v>
      </x:c>
      <x:c r="J938" s="34" t="str">
        <x:v>PASS</x:v>
      </x:c>
      <x:c r="K938" s="34" t="str">
        <x:v>PASS</x:v>
      </x:c>
      <x:c r="L938" s="34" t="str">
        <x:v>FAIL</x:v>
      </x:c>
      <x:c r="M938" s="34" t="str">
        <x:v>numeric coverage for applicable metric</x:v>
      </x:c>
      <x:c r="N938" s="34" t="str">
        <x:v>Feedback-Directed Random Test Generation/Result_Round2/Closure_18/result.json</x:v>
      </x:c>
      <x:c r="O938" s="38" t="n">
        <x:f>IF(AND(G938="RECORDED",ISNUMBER(H938)),H938,"")</x:f>
        <x:v>59.489999999999995</x:v>
      </x:c>
      <x:c r="P938" s="34" t="str">
        <x:v>INCONCLUSIVE</x:v>
      </x:c>
      <x:c r="Q938" s="34" t="str">
        <x:v>Feedback-Directed Random Test Generation/Result_Round2/Closure_18/result.json</x:v>
      </x:c>
    </x:row>
    <x:row r="939">
      <x:c r="A939" s="34" t="str">
        <x:v>randoop</x:v>
      </x:c>
      <x:c r="B939" s="34" t="str">
        <x:v>Closure</x:v>
      </x:c>
      <x:c r="C939" s="34" t="str">
        <x:v>Round2</x:v>
      </x:c>
      <x:c r="D939" s="34" t="str">
        <x:v>Closure_19</x:v>
      </x:c>
      <x:c r="E939" s="34" t="str">
        <x:v>Coverage</x:v>
      </x:c>
      <x:c r="F939" s="34" t="n">
        <x:v>265</x:v>
      </x:c>
      <x:c r="G939" s="34" t="str">
        <x:v>RECORDED</x:v>
      </x:c>
      <x:c r="H939" s="38" t="n">
        <x:f>IF(ISNUMBER('Data'!G939),'Data'!G939*100,"")</x:f>
        <x:v>0</x:v>
      </x:c>
      <x:c r="I939" s="34" t="str">
        <x:v>PASS</x:v>
      </x:c>
      <x:c r="J939" s="34" t="str">
        <x:v>PASS</x:v>
      </x:c>
      <x:c r="K939" s="34" t="str">
        <x:v>PASS</x:v>
      </x:c>
      <x:c r="L939" s="34" t="str">
        <x:v>PASS</x:v>
      </x:c>
      <x:c r="M939" s="34" t="str">
        <x:v>numeric coverage for applicable metric</x:v>
      </x:c>
      <x:c r="N939" s="34" t="str">
        <x:v>Feedback-Directed Random Test Generation/Result_Round2/Closure_19/result.json</x:v>
      </x:c>
      <x:c r="O939" s="38" t="n">
        <x:f>IF(AND(G939="RECORDED",ISNUMBER(H939)),H939,"")</x:f>
        <x:v>0</x:v>
      </x:c>
      <x:c r="P939" s="34" t="str">
        <x:v>NOT_REVEALING</x:v>
      </x:c>
      <x:c r="Q939" s="34" t="str">
        <x:v>Feedback-Directed Random Test Generation/Result_Round2/Closure_19/result.json</x:v>
      </x:c>
    </x:row>
    <x:row r="940">
      <x:c r="A940" s="34" t="str">
        <x:v>randoop</x:v>
      </x:c>
      <x:c r="B940" s="34" t="str">
        <x:v>Closure</x:v>
      </x:c>
      <x:c r="C940" s="34" t="str">
        <x:v>Round2</x:v>
      </x:c>
      <x:c r="D940" s="34" t="str">
        <x:v>Closure_20</x:v>
      </x:c>
      <x:c r="E940" s="34" t="str">
        <x:v>Coverage</x:v>
      </x:c>
      <x:c r="F940" s="34" t="n">
        <x:v>1280</x:v>
      </x:c>
      <x:c r="G940" s="34" t="str">
        <x:v>RECORDED</x:v>
      </x:c>
      <x:c r="H940" s="38" t="n">
        <x:f>IF(ISNUMBER('Data'!G940),'Data'!G940*100,"")</x:f>
        <x:v>2.11</x:v>
      </x:c>
      <x:c r="I940" s="34" t="str">
        <x:v>PASS</x:v>
      </x:c>
      <x:c r="J940" s="34" t="str">
        <x:v>PASS</x:v>
      </x:c>
      <x:c r="K940" s="34" t="str">
        <x:v>PASS</x:v>
      </x:c>
      <x:c r="L940" s="34" t="str">
        <x:v>PASS</x:v>
      </x:c>
      <x:c r="M940" s="34" t="str">
        <x:v>numeric coverage for applicable metric</x:v>
      </x:c>
      <x:c r="N940" s="34" t="str">
        <x:v>Feedback-Directed Random Test Generation/Result_Round2/Closure_20/result.json</x:v>
      </x:c>
      <x:c r="O940" s="38" t="n">
        <x:f>IF(AND(G940="RECORDED",ISNUMBER(H940)),H940,"")</x:f>
        <x:v>2.11</x:v>
      </x:c>
      <x:c r="P940" s="34" t="str">
        <x:v>NOT_REVEALING</x:v>
      </x:c>
      <x:c r="Q940" s="34" t="str">
        <x:v>Feedback-Directed Random Test Generation/Result_Round2/Closure_20/result.json</x:v>
      </x:c>
    </x:row>
    <x:row r="941">
      <x:c r="A941" s="34" t="str">
        <x:v>randoop</x:v>
      </x:c>
      <x:c r="B941" s="34" t="str">
        <x:v>Closure</x:v>
      </x:c>
      <x:c r="C941" s="34" t="str">
        <x:v>Round2</x:v>
      </x:c>
      <x:c r="D941" s="34" t="str">
        <x:v>Closure_21</x:v>
      </x:c>
      <x:c r="E941" s="34" t="str">
        <x:v>Coverage</x:v>
      </x:c>
      <x:c r="F941" s="34" t="n">
        <x:v>141</x:v>
      </x:c>
      <x:c r="G941" s="34" t="str">
        <x:v>RECORDED</x:v>
      </x:c>
      <x:c r="H941" s="38" t="n">
        <x:f>IF(ISNUMBER('Data'!G941),'Data'!G941*100,"")</x:f>
        <x:v>10.64</x:v>
      </x:c>
      <x:c r="I941" s="34" t="str">
        <x:v>PASS</x:v>
      </x:c>
      <x:c r="J941" s="34" t="str">
        <x:v>PASS</x:v>
      </x:c>
      <x:c r="K941" s="34" t="str">
        <x:v>PASS</x:v>
      </x:c>
      <x:c r="L941" s="34" t="str">
        <x:v>PASS</x:v>
      </x:c>
      <x:c r="M941" s="34" t="str">
        <x:v>numeric coverage for applicable metric</x:v>
      </x:c>
      <x:c r="N941" s="34" t="str">
        <x:v>Feedback-Directed Random Test Generation/Result_Round2/Closure_21/result.json</x:v>
      </x:c>
      <x:c r="O941" s="38" t="n">
        <x:f>IF(AND(G941="RECORDED",ISNUMBER(H941)),H941,"")</x:f>
        <x:v>10.64</x:v>
      </x:c>
      <x:c r="P941" s="34" t="str">
        <x:v>NOT_REVEALING</x:v>
      </x:c>
      <x:c r="Q941" s="34" t="str">
        <x:v>Feedback-Directed Random Test Generation/Result_Round2/Closure_21/result.json</x:v>
      </x:c>
    </x:row>
    <x:row r="942">
      <x:c r="A942" s="34" t="str">
        <x:v>randoop</x:v>
      </x:c>
      <x:c r="B942" s="34" t="str">
        <x:v>Closure</x:v>
      </x:c>
      <x:c r="C942" s="34" t="str">
        <x:v>Round2</x:v>
      </x:c>
      <x:c r="D942" s="34" t="str">
        <x:v>Closure_22</x:v>
      </x:c>
      <x:c r="E942" s="34" t="str">
        <x:v>Coverage</x:v>
      </x:c>
      <x:c r="F942" s="34" t="n">
        <x:v>158</x:v>
      </x:c>
      <x:c r="G942" s="34" t="str">
        <x:v>RECORDED</x:v>
      </x:c>
      <x:c r="H942" s="38" t="n">
        <x:f>IF(ISNUMBER('Data'!G942),'Data'!G942*100,"")</x:f>
        <x:v>9.49</x:v>
      </x:c>
      <x:c r="I942" s="34" t="str">
        <x:v>PASS</x:v>
      </x:c>
      <x:c r="J942" s="34" t="str">
        <x:v>PASS</x:v>
      </x:c>
      <x:c r="K942" s="34" t="str">
        <x:v>PASS</x:v>
      </x:c>
      <x:c r="L942" s="34" t="str">
        <x:v>PASS</x:v>
      </x:c>
      <x:c r="M942" s="34" t="str">
        <x:v>numeric coverage for applicable metric</x:v>
      </x:c>
      <x:c r="N942" s="34" t="str">
        <x:v>Feedback-Directed Random Test Generation/Result_Round2/Closure_22/result.json</x:v>
      </x:c>
      <x:c r="O942" s="38" t="n">
        <x:f>IF(AND(G942="RECORDED",ISNUMBER(H942)),H942,"")</x:f>
        <x:v>9.49</x:v>
      </x:c>
      <x:c r="P942" s="34" t="str">
        <x:v>NOT_REVEALING</x:v>
      </x:c>
      <x:c r="Q942" s="34" t="str">
        <x:v>Feedback-Directed Random Test Generation/Result_Round2/Closure_22/result.json</x:v>
      </x:c>
    </x:row>
    <x:row r="943">
      <x:c r="A943" s="34" t="str">
        <x:v>randoop</x:v>
      </x:c>
      <x:c r="B943" s="34" t="str">
        <x:v>Closure</x:v>
      </x:c>
      <x:c r="C943" s="34" t="str">
        <x:v>Round2</x:v>
      </x:c>
      <x:c r="D943" s="34" t="str">
        <x:v>Closure_23</x:v>
      </x:c>
      <x:c r="E943" s="34" t="str">
        <x:v>Coverage</x:v>
      </x:c>
      <x:c r="F943" s="34" t="n">
        <x:v>1238</x:v>
      </x:c>
      <x:c r="G943" s="34" t="str">
        <x:v>RECORDED</x:v>
      </x:c>
      <x:c r="H943" s="38" t="n">
        <x:f>IF(ISNUMBER('Data'!G943),'Data'!G943*100,"")</x:f>
        <x:v>1.21</x:v>
      </x:c>
      <x:c r="I943" s="34" t="str">
        <x:v>PASS</x:v>
      </x:c>
      <x:c r="J943" s="34" t="str">
        <x:v>PASS</x:v>
      </x:c>
      <x:c r="K943" s="34" t="str">
        <x:v>PASS</x:v>
      </x:c>
      <x:c r="L943" s="34" t="str">
        <x:v>PASS</x:v>
      </x:c>
      <x:c r="M943" s="34" t="str">
        <x:v>numeric coverage for applicable metric</x:v>
      </x:c>
      <x:c r="N943" s="34" t="str">
        <x:v>Feedback-Directed Random Test Generation/Result_Round2/Closure_23/result.json</x:v>
      </x:c>
      <x:c r="O943" s="38" t="n">
        <x:f>IF(AND(G943="RECORDED",ISNUMBER(H943)),H943,"")</x:f>
        <x:v>1.21</x:v>
      </x:c>
      <x:c r="P943" s="34" t="str">
        <x:v>NOT_REVEALING</x:v>
      </x:c>
      <x:c r="Q943" s="34" t="str">
        <x:v>Feedback-Directed Random Test Generation/Result_Round2/Closure_23/result.json</x:v>
      </x:c>
    </x:row>
    <x:row r="944">
      <x:c r="A944" s="34" t="str">
        <x:v>randoop</x:v>
      </x:c>
      <x:c r="B944" s="34" t="str">
        <x:v>Closure</x:v>
      </x:c>
      <x:c r="C944" s="34" t="str">
        <x:v>Round2</x:v>
      </x:c>
      <x:c r="D944" s="34" t="str">
        <x:v>Closure_24</x:v>
      </x:c>
      <x:c r="E944" s="34" t="str">
        <x:v>Coverage</x:v>
      </x:c>
      <x:c r="F944" s="34" t="n">
        <x:v>277</x:v>
      </x:c>
      <x:c r="G944" s="34" t="str">
        <x:v>RECORDED</x:v>
      </x:c>
      <x:c r="H944" s="38" t="n">
        <x:f>IF(ISNUMBER('Data'!G944),'Data'!G944*100,"")</x:f>
        <x:v>8.3</x:v>
      </x:c>
      <x:c r="I944" s="34" t="str">
        <x:v>PASS</x:v>
      </x:c>
      <x:c r="J944" s="34" t="str">
        <x:v>PASS</x:v>
      </x:c>
      <x:c r="K944" s="34" t="str">
        <x:v>PASS</x:v>
      </x:c>
      <x:c r="L944" s="34" t="str">
        <x:v>PASS</x:v>
      </x:c>
      <x:c r="M944" s="34" t="str">
        <x:v>numeric coverage for applicable metric</x:v>
      </x:c>
      <x:c r="N944" s="34" t="str">
        <x:v>Feedback-Directed Random Test Generation/Result_Round2/Closure_24/result.json</x:v>
      </x:c>
      <x:c r="O944" s="38" t="n">
        <x:f>IF(AND(G944="RECORDED",ISNUMBER(H944)),H944,"")</x:f>
        <x:v>8.3</x:v>
      </x:c>
      <x:c r="P944" s="34" t="str">
        <x:v>NOT_REVEALING</x:v>
      </x:c>
      <x:c r="Q944" s="34" t="str">
        <x:v>Feedback-Directed Random Test Generation/Result_Round2/Closure_24/result.json</x:v>
      </x:c>
    </x:row>
    <x:row r="945">
      <x:c r="A945" s="34" t="str">
        <x:v>randoop</x:v>
      </x:c>
      <x:c r="B945" s="34" t="str">
        <x:v>Closure</x:v>
      </x:c>
      <x:c r="C945" s="34" t="str">
        <x:v>Round2</x:v>
      </x:c>
      <x:c r="D945" s="34" t="str">
        <x:v>Closure_25</x:v>
      </x:c>
      <x:c r="E945" s="34" t="str">
        <x:v>Coverage</x:v>
      </x:c>
      <x:c r="F945" s="34" t="n">
        <x:v>1012</x:v>
      </x:c>
      <x:c r="G945" s="34" t="str">
        <x:v>RECORDED</x:v>
      </x:c>
      <x:c r="H945" s="38" t="n">
        <x:f>IF(ISNUMBER('Data'!G945),'Data'!G945*100,"")</x:f>
        <x:v>0.9899999999999999</x:v>
      </x:c>
      <x:c r="I945" s="34" t="str">
        <x:v>PASS</x:v>
      </x:c>
      <x:c r="J945" s="34" t="str">
        <x:v>PASS</x:v>
      </x:c>
      <x:c r="K945" s="34" t="str">
        <x:v>PASS</x:v>
      </x:c>
      <x:c r="L945" s="34" t="str">
        <x:v>PASS</x:v>
      </x:c>
      <x:c r="M945" s="34" t="str">
        <x:v>numeric coverage for applicable metric</x:v>
      </x:c>
      <x:c r="N945" s="34" t="str">
        <x:v>Feedback-Directed Random Test Generation/Result_Round2/Closure_25/result.json</x:v>
      </x:c>
      <x:c r="O945" s="38" t="n">
        <x:f>IF(AND(G945="RECORDED",ISNUMBER(H945)),H945,"")</x:f>
        <x:v>0.9899999999999999</x:v>
      </x:c>
      <x:c r="P945" s="34" t="str">
        <x:v>NOT_REVEALING</x:v>
      </x:c>
      <x:c r="Q945" s="34" t="str">
        <x:v>Feedback-Directed Random Test Generation/Result_Round2/Closure_25/result.json</x:v>
      </x:c>
    </x:row>
    <x:row r="946">
      <x:c r="A946" s="34" t="str">
        <x:v>randoop</x:v>
      </x:c>
      <x:c r="B946" s="34" t="str">
        <x:v>Closure</x:v>
      </x:c>
      <x:c r="C946" s="34" t="str">
        <x:v>Round2</x:v>
      </x:c>
      <x:c r="D946" s="34" t="str">
        <x:v>Closure_26</x:v>
      </x:c>
      <x:c r="E946" s="34" t="str">
        <x:v>Coverage</x:v>
      </x:c>
      <x:c r="F946" s="34" t="n">
        <x:v>147</x:v>
      </x:c>
      <x:c r="G946" s="34" t="str">
        <x:v>RECORDED</x:v>
      </x:c>
      <x:c r="H946" s="38" t="n">
        <x:f>IF(ISNUMBER('Data'!G946),'Data'!G946*100,"")</x:f>
        <x:v>23.81</x:v>
      </x:c>
      <x:c r="I946" s="34" t="str">
        <x:v>PASS</x:v>
      </x:c>
      <x:c r="J946" s="34" t="str">
        <x:v>PASS</x:v>
      </x:c>
      <x:c r="K946" s="34" t="str">
        <x:v>PASS</x:v>
      </x:c>
      <x:c r="L946" s="34" t="str">
        <x:v>PASS</x:v>
      </x:c>
      <x:c r="M946" s="34" t="str">
        <x:v>numeric coverage for applicable metric</x:v>
      </x:c>
      <x:c r="N946" s="34" t="str">
        <x:v>Feedback-Directed Random Test Generation/Result_Round2/Closure_26/result.json</x:v>
      </x:c>
      <x:c r="O946" s="38" t="n">
        <x:f>IF(AND(G946="RECORDED",ISNUMBER(H946)),H946,"")</x:f>
        <x:v>23.81</x:v>
      </x:c>
      <x:c r="P946" s="34" t="str">
        <x:v>NOT_REVEALING</x:v>
      </x:c>
      <x:c r="Q946" s="34" t="str">
        <x:v>Feedback-Directed Random Test Generation/Result_Round2/Closure_26/result.json</x:v>
      </x:c>
    </x:row>
    <x:row r="947">
      <x:c r="A947" s="34" t="str">
        <x:v>randoop</x:v>
      </x:c>
      <x:c r="B947" s="34" t="str">
        <x:v>Closure</x:v>
      </x:c>
      <x:c r="C947" s="34" t="str">
        <x:v>Round2</x:v>
      </x:c>
      <x:c r="D947" s="34" t="str">
        <x:v>Closure_27</x:v>
      </x:c>
      <x:c r="E947" s="34" t="str">
        <x:v>Coverage</x:v>
      </x:c>
      <x:c r="F947" s="34" t="n">
        <x:v>247</x:v>
      </x:c>
      <x:c r="G947" s="34" t="str">
        <x:v>RECORDED</x:v>
      </x:c>
      <x:c r="H947" s="38" t="n">
        <x:f>IF(ISNUMBER('Data'!G947),'Data'!G947*100,"")</x:f>
        <x:v>75.71</x:v>
      </x:c>
      <x:c r="I947" s="34" t="str">
        <x:v>PASS</x:v>
      </x:c>
      <x:c r="J947" s="34" t="str">
        <x:v>PASS</x:v>
      </x:c>
      <x:c r="K947" s="34" t="str">
        <x:v>PASS</x:v>
      </x:c>
      <x:c r="L947" s="34" t="str">
        <x:v>PASS</x:v>
      </x:c>
      <x:c r="M947" s="34" t="str">
        <x:v>numeric coverage for applicable metric</x:v>
      </x:c>
      <x:c r="N947" s="34" t="str">
        <x:v>Feedback-Directed Random Test Generation/Result_Round2/Closure_27/result.json</x:v>
      </x:c>
      <x:c r="O947" s="38" t="n">
        <x:f>IF(AND(G947="RECORDED",ISNUMBER(H947)),H947,"")</x:f>
        <x:v>75.71</x:v>
      </x:c>
      <x:c r="P947" s="34" t="str">
        <x:v>INCONCLUSIVE</x:v>
      </x:c>
      <x:c r="Q947" s="34" t="str">
        <x:v>Feedback-Directed Random Test Generation/Result_Round2/Closure_27/result.json</x:v>
      </x:c>
    </x:row>
    <x:row r="948">
      <x:c r="A948" s="34" t="str">
        <x:v>randoop</x:v>
      </x:c>
      <x:c r="B948" s="34" t="str">
        <x:v>Closure</x:v>
      </x:c>
      <x:c r="C948" s="34" t="str">
        <x:v>Round2</x:v>
      </x:c>
      <x:c r="D948" s="34" t="str">
        <x:v>Closure_28</x:v>
      </x:c>
      <x:c r="E948" s="34" t="str">
        <x:v>Coverage</x:v>
      </x:c>
      <x:c r="F948" s="34" t="n">
        <x:v>28</x:v>
      </x:c>
      <x:c r="G948" s="34" t="str">
        <x:v>RECORDED</x:v>
      </x:c>
      <x:c r="H948" s="38" t="n">
        <x:f>IF(ISNUMBER('Data'!G948),'Data'!G948*100,"")</x:f>
        <x:v>46.43</x:v>
      </x:c>
      <x:c r="I948" s="34" t="str">
        <x:v>PASS</x:v>
      </x:c>
      <x:c r="J948" s="34" t="str">
        <x:v>PASS</x:v>
      </x:c>
      <x:c r="K948" s="34" t="str">
        <x:v>PASS</x:v>
      </x:c>
      <x:c r="L948" s="34" t="str">
        <x:v>PASS</x:v>
      </x:c>
      <x:c r="M948" s="34" t="str">
        <x:v>numeric coverage for applicable metric</x:v>
      </x:c>
      <x:c r="N948" s="34" t="str">
        <x:v>Feedback-Directed Random Test Generation/Result_Round2/Closure_28/result.json</x:v>
      </x:c>
      <x:c r="O948" s="38" t="n">
        <x:f>IF(AND(G948="RECORDED",ISNUMBER(H948)),H948,"")</x:f>
        <x:v>46.43</x:v>
      </x:c>
      <x:c r="P948" s="34" t="str">
        <x:v>NOT_REVEALING</x:v>
      </x:c>
      <x:c r="Q948" s="34" t="str">
        <x:v>Feedback-Directed Random Test Generation/Result_Round2/Closure_28/result.json</x:v>
      </x:c>
    </x:row>
    <x:row r="949">
      <x:c r="A949" s="34" t="str">
        <x:v>randoop</x:v>
      </x:c>
      <x:c r="B949" s="34" t="str">
        <x:v>Closure</x:v>
      </x:c>
      <x:c r="C949" s="34" t="str">
        <x:v>Round2</x:v>
      </x:c>
      <x:c r="D949" s="34" t="str">
        <x:v>Closure_29</x:v>
      </x:c>
      <x:c r="E949" s="34" t="str">
        <x:v>Coverage</x:v>
      </x:c>
      <x:c r="F949" s="34" t="n">
        <x:v>278</x:v>
      </x:c>
      <x:c r="G949" s="34" t="str">
        <x:v>RECORDED</x:v>
      </x:c>
      <x:c r="H949" s="38" t="n">
        <x:f>IF(ISNUMBER('Data'!G949),'Data'!G949*100,"")</x:f>
        <x:v>2.88</x:v>
      </x:c>
      <x:c r="I949" s="34" t="str">
        <x:v>PASS</x:v>
      </x:c>
      <x:c r="J949" s="34" t="str">
        <x:v>PASS</x:v>
      </x:c>
      <x:c r="K949" s="34" t="str">
        <x:v>PASS</x:v>
      </x:c>
      <x:c r="L949" s="34" t="str">
        <x:v>PASS</x:v>
      </x:c>
      <x:c r="M949" s="34" t="str">
        <x:v>numeric coverage for applicable metric</x:v>
      </x:c>
      <x:c r="N949" s="34" t="str">
        <x:v>Feedback-Directed Random Test Generation/Result_Round2/Closure_29/result.json</x:v>
      </x:c>
      <x:c r="O949" s="38" t="n">
        <x:f>IF(AND(G949="RECORDED",ISNUMBER(H949)),H949,"")</x:f>
        <x:v>2.88</x:v>
      </x:c>
      <x:c r="P949" s="34" t="str">
        <x:v>NOT_REVEALING</x:v>
      </x:c>
      <x:c r="Q949" s="34" t="str">
        <x:v>Feedback-Directed Random Test Generation/Result_Round2/Closure_29/result.json</x:v>
      </x:c>
    </x:row>
    <x:row r="950">
      <x:c r="A950" s="34" t="str">
        <x:v>randoop</x:v>
      </x:c>
      <x:c r="B950" s="34" t="str">
        <x:v>Closure</x:v>
      </x:c>
      <x:c r="C950" s="34" t="str">
        <x:v>Round2</x:v>
      </x:c>
      <x:c r="D950" s="34" t="str">
        <x:v>Closure_30</x:v>
      </x:c>
      <x:c r="E950" s="34" t="str">
        <x:v>Coverage</x:v>
      </x:c>
      <x:c r="F950" s="34" t="n">
        <x:v>553</x:v>
      </x:c>
      <x:c r="G950" s="34" t="str">
        <x:v>RECORDED</x:v>
      </x:c>
      <x:c r="H950" s="38" t="n">
        <x:f>IF(ISNUMBER('Data'!G950),'Data'!G950*100,"")</x:f>
        <x:v>4.52</x:v>
      </x:c>
      <x:c r="I950" s="34" t="str">
        <x:v>PASS</x:v>
      </x:c>
      <x:c r="J950" s="34" t="str">
        <x:v>PASS</x:v>
      </x:c>
      <x:c r="K950" s="34" t="str">
        <x:v>PASS</x:v>
      </x:c>
      <x:c r="L950" s="34" t="str">
        <x:v>FAIL</x:v>
      </x:c>
      <x:c r="M950" s="34" t="str">
        <x:v>numeric coverage for applicable metric</x:v>
      </x:c>
      <x:c r="N950" s="34" t="str">
        <x:v>Feedback-Directed Random Test Generation/Result_Round2/Closure_30/result.json</x:v>
      </x:c>
      <x:c r="O950" s="38" t="n">
        <x:f>IF(AND(G950="RECORDED",ISNUMBER(H950)),H950,"")</x:f>
        <x:v>4.52</x:v>
      </x:c>
      <x:c r="P950" s="34" t="str">
        <x:v>INCONCLUSIVE</x:v>
      </x:c>
      <x:c r="Q950" s="34" t="str">
        <x:v>Feedback-Directed Random Test Generation/Result_Round2/Closure_30/result.json</x:v>
      </x:c>
    </x:row>
    <x:row r="951">
      <x:c r="A951" s="34" t="str">
        <x:v>randoop</x:v>
      </x:c>
      <x:c r="B951" s="34" t="str">
        <x:v>Closure</x:v>
      </x:c>
      <x:c r="C951" s="34" t="str">
        <x:v>Round2</x:v>
      </x:c>
      <x:c r="D951" s="34" t="str">
        <x:v>Closure_31</x:v>
      </x:c>
      <x:c r="E951" s="34" t="str">
        <x:v>Coverage</x:v>
      </x:c>
      <x:c r="F951" s="34" t="n">
        <x:v>1382</x:v>
      </x:c>
      <x:c r="G951" s="34" t="str">
        <x:v>RECORDED</x:v>
      </x:c>
      <x:c r="H951" s="38" t="n">
        <x:f>IF(ISNUMBER('Data'!G951),'Data'!G951*100,"")</x:f>
        <x:v>55.78999999999999</x:v>
      </x:c>
      <x:c r="I951" s="34" t="str">
        <x:v>PASS</x:v>
      </x:c>
      <x:c r="J951" s="34" t="str">
        <x:v>PASS</x:v>
      </x:c>
      <x:c r="K951" s="34" t="str">
        <x:v>PASS</x:v>
      </x:c>
      <x:c r="L951" s="34" t="str">
        <x:v>FAIL</x:v>
      </x:c>
      <x:c r="M951" s="34" t="str">
        <x:v>numeric coverage for applicable metric</x:v>
      </x:c>
      <x:c r="N951" s="34" t="str">
        <x:v>Feedback-Directed Random Test Generation/Result_Round2/Closure_31/result.json</x:v>
      </x:c>
      <x:c r="O951" s="38" t="n">
        <x:f>IF(AND(G951="RECORDED",ISNUMBER(H951)),H951,"")</x:f>
        <x:v>55.78999999999999</x:v>
      </x:c>
      <x:c r="P951" s="34" t="str">
        <x:v>INCONCLUSIVE</x:v>
      </x:c>
      <x:c r="Q951" s="34" t="str">
        <x:v>Feedback-Directed Random Test Generation/Result_Round2/Closure_31/result.json</x:v>
      </x:c>
    </x:row>
    <x:row r="952">
      <x:c r="A952" s="34" t="str">
        <x:v>randoop</x:v>
      </x:c>
      <x:c r="B952" s="34" t="str">
        <x:v>Closure</x:v>
      </x:c>
      <x:c r="C952" s="34" t="str">
        <x:v>Round2</x:v>
      </x:c>
      <x:c r="D952" s="34" t="str">
        <x:v>Closure_32</x:v>
      </x:c>
      <x:c r="E952" s="34" t="str">
        <x:v>Coverage</x:v>
      </x:c>
      <x:c r="F952" s="34" t="n">
        <x:v>1653</x:v>
      </x:c>
      <x:c r="G952" s="34" t="str">
        <x:v>RECORDED</x:v>
      </x:c>
      <x:c r="H952" s="38" t="n">
        <x:f>IF(ISNUMBER('Data'!G952),'Data'!G952*100,"")</x:f>
        <x:v>7.139999999999999</x:v>
      </x:c>
      <x:c r="I952" s="34" t="str">
        <x:v>PASS</x:v>
      </x:c>
      <x:c r="J952" s="34" t="str">
        <x:v>PASS</x:v>
      </x:c>
      <x:c r="K952" s="34" t="str">
        <x:v>PASS</x:v>
      </x:c>
      <x:c r="L952" s="34" t="str">
        <x:v>PASS</x:v>
      </x:c>
      <x:c r="M952" s="34" t="str">
        <x:v>numeric coverage for applicable metric</x:v>
      </x:c>
      <x:c r="N952" s="34" t="str">
        <x:v>Feedback-Directed Random Test Generation/Result_Round2/Closure_32/result.json</x:v>
      </x:c>
      <x:c r="O952" s="38" t="n">
        <x:f>IF(AND(G952="RECORDED",ISNUMBER(H952)),H952,"")</x:f>
        <x:v>7.139999999999999</x:v>
      </x:c>
      <x:c r="P952" s="34" t="str">
        <x:v>NOT_REVEALING</x:v>
      </x:c>
      <x:c r="Q952" s="34" t="str">
        <x:v>Feedback-Directed Random Test Generation/Result_Round2/Closure_32/result.json</x:v>
      </x:c>
    </x:row>
    <x:row r="953">
      <x:c r="A953" s="34" t="str">
        <x:v>randoop</x:v>
      </x:c>
      <x:c r="B953" s="34" t="str">
        <x:v>Closure</x:v>
      </x:c>
      <x:c r="C953" s="34" t="str">
        <x:v>Round2</x:v>
      </x:c>
      <x:c r="D953" s="34" t="str">
        <x:v>Closure_33</x:v>
      </x:c>
      <x:c r="E953" s="34" t="str">
        <x:v>Coverage</x:v>
      </x:c>
      <x:c r="F953" s="34" t="n">
        <x:v>396</x:v>
      </x:c>
      <x:c r="G953" s="34" t="str">
        <x:v>RECORDED</x:v>
      </x:c>
      <x:c r="H953" s="38" t="n">
        <x:f>IF(ISNUMBER('Data'!G953),'Data'!G953*100,"")</x:f>
        <x:v>52.019999999999996</x:v>
      </x:c>
      <x:c r="I953" s="34" t="str">
        <x:v>PASS</x:v>
      </x:c>
      <x:c r="J953" s="34" t="str">
        <x:v>PASS</x:v>
      </x:c>
      <x:c r="K953" s="34" t="str">
        <x:v>PASS</x:v>
      </x:c>
      <x:c r="L953" s="34" t="str">
        <x:v>PASS</x:v>
      </x:c>
      <x:c r="M953" s="34" t="str">
        <x:v>numeric coverage for applicable metric</x:v>
      </x:c>
      <x:c r="N953" s="34" t="str">
        <x:v>Feedback-Directed Random Test Generation/Result_Round2/Closure_33/result.json</x:v>
      </x:c>
      <x:c r="O953" s="38" t="n">
        <x:f>IF(AND(G953="RECORDED",ISNUMBER(H953)),H953,"")</x:f>
        <x:v>52.019999999999996</x:v>
      </x:c>
      <x:c r="P953" s="34" t="str">
        <x:v>INCONCLUSIVE</x:v>
      </x:c>
      <x:c r="Q953" s="34" t="str">
        <x:v>Feedback-Directed Random Test Generation/Result_Round2/Closure_33/result.json</x:v>
      </x:c>
    </x:row>
    <x:row r="954">
      <x:c r="A954" s="34" t="str">
        <x:v>randoop</x:v>
      </x:c>
      <x:c r="B954" s="34" t="str">
        <x:v>Closure</x:v>
      </x:c>
      <x:c r="C954" s="34" t="str">
        <x:v>Round2</x:v>
      </x:c>
      <x:c r="D954" s="34" t="str">
        <x:v>Closure_34</x:v>
      </x:c>
      <x:c r="E954" s="34" t="str">
        <x:v>Coverage</x:v>
      </x:c>
      <x:c r="F954" s="34" t="n">
        <x:v>1438</x:v>
      </x:c>
      <x:c r="G954" s="34" t="str">
        <x:v>RECORDED</x:v>
      </x:c>
      <x:c r="H954" s="38" t="n">
        <x:f>IF(ISNUMBER('Data'!G954),'Data'!G954*100,"")</x:f>
        <x:v>8.07</x:v>
      </x:c>
      <x:c r="I954" s="34" t="str">
        <x:v>PASS</x:v>
      </x:c>
      <x:c r="J954" s="34" t="str">
        <x:v>PASS</x:v>
      </x:c>
      <x:c r="K954" s="34" t="str">
        <x:v>PASS</x:v>
      </x:c>
      <x:c r="L954" s="34" t="str">
        <x:v>PASS</x:v>
      </x:c>
      <x:c r="M954" s="34" t="str">
        <x:v>numeric coverage for applicable metric</x:v>
      </x:c>
      <x:c r="N954" s="34" t="str">
        <x:v>Feedback-Directed Random Test Generation/Result_Round2/Closure_34/result.json</x:v>
      </x:c>
      <x:c r="O954" s="38" t="n">
        <x:f>IF(AND(G954="RECORDED",ISNUMBER(H954)),H954,"")</x:f>
        <x:v>8.07</x:v>
      </x:c>
      <x:c r="P954" s="34" t="str">
        <x:v>NOT_REVEALING</x:v>
      </x:c>
      <x:c r="Q954" s="34" t="str">
        <x:v>Feedback-Directed Random Test Generation/Result_Round2/Closure_34/result.json</x:v>
      </x:c>
    </x:row>
    <x:row r="955">
      <x:c r="A955" s="34" t="str">
        <x:v>randoop</x:v>
      </x:c>
      <x:c r="B955" s="34" t="str">
        <x:v>Closure</x:v>
      </x:c>
      <x:c r="C955" s="34" t="str">
        <x:v>Round2</x:v>
      </x:c>
      <x:c r="D955" s="34" t="str">
        <x:v>Closure_35</x:v>
      </x:c>
      <x:c r="E955" s="34" t="str">
        <x:v>Coverage</x:v>
      </x:c>
      <x:c r="F955" s="34" t="n">
        <x:v>1050</x:v>
      </x:c>
      <x:c r="G955" s="34" t="str">
        <x:v>RECORDED</x:v>
      </x:c>
      <x:c r="H955" s="38" t="n">
        <x:f>IF(ISNUMBER('Data'!G955),'Data'!G955*100,"")</x:f>
        <x:v>0.95</x:v>
      </x:c>
      <x:c r="I955" s="34" t="str">
        <x:v>PASS</x:v>
      </x:c>
      <x:c r="J955" s="34" t="str">
        <x:v>PASS</x:v>
      </x:c>
      <x:c r="K955" s="34" t="str">
        <x:v>PASS</x:v>
      </x:c>
      <x:c r="L955" s="34" t="str">
        <x:v>PASS</x:v>
      </x:c>
      <x:c r="M955" s="34" t="str">
        <x:v>numeric coverage for applicable metric</x:v>
      </x:c>
      <x:c r="N955" s="34" t="str">
        <x:v>Feedback-Directed Random Test Generation/Result_Round2/Closure_35/result.json</x:v>
      </x:c>
      <x:c r="O955" s="38" t="n">
        <x:f>IF(AND(G955="RECORDED",ISNUMBER(H955)),H955,"")</x:f>
        <x:v>0.95</x:v>
      </x:c>
      <x:c r="P955" s="34" t="str">
        <x:v>NOT_REVEALING</x:v>
      </x:c>
      <x:c r="Q955" s="34" t="str">
        <x:v>Feedback-Directed Random Test Generation/Result_Round2/Closure_35/result.json</x:v>
      </x:c>
    </x:row>
    <x:row r="956">
      <x:c r="A956" s="34" t="str">
        <x:v>randoop</x:v>
      </x:c>
      <x:c r="B956" s="34" t="str">
        <x:v>Closure</x:v>
      </x:c>
      <x:c r="C956" s="34" t="str">
        <x:v>Round2</x:v>
      </x:c>
      <x:c r="D956" s="34" t="str">
        <x:v>Closure_36</x:v>
      </x:c>
      <x:c r="E956" s="34" t="str">
        <x:v>Coverage</x:v>
      </x:c>
      <x:c r="F956" s="34" t="n">
        <x:v>521</x:v>
      </x:c>
      <x:c r="G956" s="34" t="str">
        <x:v>RECORDED</x:v>
      </x:c>
      <x:c r="H956" s="38" t="n">
        <x:f>IF(ISNUMBER('Data'!G956),'Data'!G956*100,"")</x:f>
        <x:v>4.99</x:v>
      </x:c>
      <x:c r="I956" s="34" t="str">
        <x:v>PASS</x:v>
      </x:c>
      <x:c r="J956" s="34" t="str">
        <x:v>PASS</x:v>
      </x:c>
      <x:c r="K956" s="34" t="str">
        <x:v>PASS</x:v>
      </x:c>
      <x:c r="L956" s="34" t="str">
        <x:v>PASS</x:v>
      </x:c>
      <x:c r="M956" s="34" t="str">
        <x:v>numeric coverage for applicable metric</x:v>
      </x:c>
      <x:c r="N956" s="34" t="str">
        <x:v>Feedback-Directed Random Test Generation/Result_Round2/Closure_36/result.json</x:v>
      </x:c>
      <x:c r="O956" s="38" t="n">
        <x:f>IF(AND(G956="RECORDED",ISNUMBER(H956)),H956,"")</x:f>
        <x:v>4.99</x:v>
      </x:c>
      <x:c r="P956" s="34" t="str">
        <x:v>NOT_REVEALING</x:v>
      </x:c>
      <x:c r="Q956" s="34" t="str">
        <x:v>Feedback-Directed Random Test Generation/Result_Round2/Closure_36/result.json</x:v>
      </x:c>
    </x:row>
    <x:row r="957">
      <x:c r="A957" s="34" t="str">
        <x:v>randoop</x:v>
      </x:c>
      <x:c r="B957" s="34" t="str">
        <x:v>Closure</x:v>
      </x:c>
      <x:c r="C957" s="34" t="str">
        <x:v>Round2</x:v>
      </x:c>
      <x:c r="D957" s="34" t="str">
        <x:v>Closure_37</x:v>
      </x:c>
      <x:c r="E957" s="34" t="str">
        <x:v>Coverage</x:v>
      </x:c>
      <x:c r="F957" s="34" t="n">
        <x:v>1217</x:v>
      </x:c>
      <x:c r="G957" s="34" t="str">
        <x:v>RECORDED</x:v>
      </x:c>
      <x:c r="H957" s="38" t="n">
        <x:f>IF(ISNUMBER('Data'!G957),'Data'!G957*100,"")</x:f>
        <x:v>6.819999999999999</x:v>
      </x:c>
      <x:c r="I957" s="34" t="str">
        <x:v>PASS</x:v>
      </x:c>
      <x:c r="J957" s="34" t="str">
        <x:v>PASS</x:v>
      </x:c>
      <x:c r="K957" s="34" t="str">
        <x:v>PASS</x:v>
      </x:c>
      <x:c r="L957" s="34" t="str">
        <x:v>PASS</x:v>
      </x:c>
      <x:c r="M957" s="34" t="str">
        <x:v>numeric coverage for applicable metric</x:v>
      </x:c>
      <x:c r="N957" s="34" t="str">
        <x:v>Feedback-Directed Random Test Generation/Result_Round2/Closure_37/result.json</x:v>
      </x:c>
      <x:c r="O957" s="38" t="n">
        <x:f>IF(AND(G957="RECORDED",ISNUMBER(H957)),H957,"")</x:f>
        <x:v>6.819999999999999</x:v>
      </x:c>
      <x:c r="P957" s="34" t="str">
        <x:v>NOT_REVEALING</x:v>
      </x:c>
      <x:c r="Q957" s="34" t="str">
        <x:v>Feedback-Directed Random Test Generation/Result_Round2/Closure_37/result.json</x:v>
      </x:c>
    </x:row>
    <x:row r="958">
      <x:c r="A958" s="34" t="str">
        <x:v>randoop</x:v>
      </x:c>
      <x:c r="B958" s="34" t="str">
        <x:v>Closure</x:v>
      </x:c>
      <x:c r="C958" s="34" t="str">
        <x:v>Round2</x:v>
      </x:c>
      <x:c r="D958" s="34" t="str">
        <x:v>Closure_38</x:v>
      </x:c>
      <x:c r="E958" s="34" t="str">
        <x:v>Coverage</x:v>
      </x:c>
      <x:c r="F958" s="34" t="n">
        <x:v>176</x:v>
      </x:c>
      <x:c r="G958" s="34" t="str">
        <x:v>RECORDED</x:v>
      </x:c>
      <x:c r="H958" s="38" t="n">
        <x:f>IF(ISNUMBER('Data'!G958),'Data'!G958*100,"")</x:f>
        <x:v>5.68</x:v>
      </x:c>
      <x:c r="I958" s="34" t="str">
        <x:v>PASS</x:v>
      </x:c>
      <x:c r="J958" s="34" t="str">
        <x:v>PASS</x:v>
      </x:c>
      <x:c r="K958" s="34" t="str">
        <x:v>PASS</x:v>
      </x:c>
      <x:c r="L958" s="34" t="str">
        <x:v>PASS</x:v>
      </x:c>
      <x:c r="M958" s="34" t="str">
        <x:v>numeric coverage for applicable metric</x:v>
      </x:c>
      <x:c r="N958" s="34" t="str">
        <x:v>Feedback-Directed Random Test Generation/Result_Round2/Closure_38/result.json</x:v>
      </x:c>
      <x:c r="O958" s="38" t="n">
        <x:f>IF(AND(G958="RECORDED",ISNUMBER(H958)),H958,"")</x:f>
        <x:v>5.68</x:v>
      </x:c>
      <x:c r="P958" s="34" t="str">
        <x:v>NOT_REVEALING</x:v>
      </x:c>
      <x:c r="Q958" s="34" t="str">
        <x:v>Feedback-Directed Random Test Generation/Result_Round2/Closure_38/result.json</x:v>
      </x:c>
    </x:row>
    <x:row r="959">
      <x:c r="A959" s="34" t="str">
        <x:v>randoop</x:v>
      </x:c>
      <x:c r="B959" s="34" t="str">
        <x:v>Closure</x:v>
      </x:c>
      <x:c r="C959" s="34" t="str">
        <x:v>Round2</x:v>
      </x:c>
      <x:c r="D959" s="34" t="str">
        <x:v>Closure_39</x:v>
      </x:c>
      <x:c r="E959" s="34" t="str">
        <x:v>Coverage</x:v>
      </x:c>
      <x:c r="F959" s="34" t="n">
        <x:v>373</x:v>
      </x:c>
      <x:c r="G959" s="34" t="str">
        <x:v>RECORDED</x:v>
      </x:c>
      <x:c r="H959" s="38" t="n">
        <x:f>IF(ISNUMBER('Data'!G959),'Data'!G959*100,"")</x:f>
        <x:v>54.42</x:v>
      </x:c>
      <x:c r="I959" s="34" t="str">
        <x:v>PASS</x:v>
      </x:c>
      <x:c r="J959" s="34" t="str">
        <x:v>PASS</x:v>
      </x:c>
      <x:c r="K959" s="34" t="str">
        <x:v>PASS</x:v>
      </x:c>
      <x:c r="L959" s="34" t="str">
        <x:v>PASS</x:v>
      </x:c>
      <x:c r="M959" s="34" t="str">
        <x:v>numeric coverage for applicable metric</x:v>
      </x:c>
      <x:c r="N959" s="34" t="str">
        <x:v>Feedback-Directed Random Test Generation/Result_Round2/Closure_39/result.json</x:v>
      </x:c>
      <x:c r="O959" s="38" t="n">
        <x:f>IF(AND(G959="RECORDED",ISNUMBER(H959)),H959,"")</x:f>
        <x:v>54.42</x:v>
      </x:c>
      <x:c r="P959" s="34" t="str">
        <x:v>NOT_REVEALING</x:v>
      </x:c>
      <x:c r="Q959" s="34" t="str">
        <x:v>Feedback-Directed Random Test Generation/Result_Round2/Closure_39/result.json</x:v>
      </x:c>
    </x:row>
    <x:row r="960">
      <x:c r="A960" s="34" t="str">
        <x:v>randoop</x:v>
      </x:c>
      <x:c r="B960" s="34" t="str">
        <x:v>Closure</x:v>
      </x:c>
      <x:c r="C960" s="34" t="str">
        <x:v>Round2</x:v>
      </x:c>
      <x:c r="D960" s="34" t="str">
        <x:v>Closure_40</x:v>
      </x:c>
      <x:c r="E960" s="34" t="str">
        <x:v>Coverage</x:v>
      </x:c>
      <x:c r="F960" s="34" t="n">
        <x:v>1148</x:v>
      </x:c>
      <x:c r="G960" s="34" t="str">
        <x:v>RECORDED</x:v>
      </x:c>
      <x:c r="H960" s="38" t="n">
        <x:f>IF(ISNUMBER('Data'!G960),'Data'!G960*100,"")</x:f>
        <x:v>5.14</x:v>
      </x:c>
      <x:c r="I960" s="34" t="str">
        <x:v>PASS</x:v>
      </x:c>
      <x:c r="J960" s="34" t="str">
        <x:v>PASS</x:v>
      </x:c>
      <x:c r="K960" s="34" t="str">
        <x:v>PASS</x:v>
      </x:c>
      <x:c r="L960" s="34" t="str">
        <x:v>PASS</x:v>
      </x:c>
      <x:c r="M960" s="34" t="str">
        <x:v>numeric coverage for applicable metric</x:v>
      </x:c>
      <x:c r="N960" s="34" t="str">
        <x:v>Feedback-Directed Random Test Generation/Result_Round2/Closure_40/result.json</x:v>
      </x:c>
      <x:c r="O960" s="38" t="n">
        <x:f>IF(AND(G960="RECORDED",ISNUMBER(H960)),H960,"")</x:f>
        <x:v>5.14</x:v>
      </x:c>
      <x:c r="P960" s="34" t="str">
        <x:v>NOT_REVEALING</x:v>
      </x:c>
      <x:c r="Q960" s="34" t="str">
        <x:v>Feedback-Directed Random Test Generation/Result_Round2/Closure_40/result.json</x:v>
      </x:c>
    </x:row>
    <x:row r="961">
      <x:c r="A961" s="34" t="str">
        <x:v>randoop</x:v>
      </x:c>
      <x:c r="B961" s="34" t="str">
        <x:v>Closure</x:v>
      </x:c>
      <x:c r="C961" s="34" t="str">
        <x:v>Round2</x:v>
      </x:c>
      <x:c r="D961" s="34" t="str">
        <x:v>Closure_41</x:v>
      </x:c>
      <x:c r="E961" s="34" t="str">
        <x:v>Coverage</x:v>
      </x:c>
      <x:c r="F961" s="34" t="n">
        <x:v>576</x:v>
      </x:c>
      <x:c r="G961" s="34" t="str">
        <x:v>RECORDED</x:v>
      </x:c>
      <x:c r="H961" s="38" t="n">
        <x:f>IF(ISNUMBER('Data'!G961),'Data'!G961*100,"")</x:f>
        <x:v>9.2</x:v>
      </x:c>
      <x:c r="I961" s="34" t="str">
        <x:v>PASS</x:v>
      </x:c>
      <x:c r="J961" s="34" t="str">
        <x:v>PASS</x:v>
      </x:c>
      <x:c r="K961" s="34" t="str">
        <x:v>PASS</x:v>
      </x:c>
      <x:c r="L961" s="34" t="str">
        <x:v>PASS</x:v>
      </x:c>
      <x:c r="M961" s="34" t="str">
        <x:v>numeric coverage for applicable metric</x:v>
      </x:c>
      <x:c r="N961" s="34" t="str">
        <x:v>Feedback-Directed Random Test Generation/Result_Round2/Closure_41/result.json</x:v>
      </x:c>
      <x:c r="O961" s="38" t="n">
        <x:f>IF(AND(G961="RECORDED",ISNUMBER(H961)),H961,"")</x:f>
        <x:v>9.2</x:v>
      </x:c>
      <x:c r="P961" s="34" t="str">
        <x:v>NOT_REVEALING</x:v>
      </x:c>
      <x:c r="Q961" s="34" t="str">
        <x:v>Feedback-Directed Random Test Generation/Result_Round2/Closure_41/result.json</x:v>
      </x:c>
    </x:row>
    <x:row r="962">
      <x:c r="A962" s="34" t="str">
        <x:v>randoop</x:v>
      </x:c>
      <x:c r="B962" s="34" t="str">
        <x:v>Closure</x:v>
      </x:c>
      <x:c r="C962" s="34" t="str">
        <x:v>Round2</x:v>
      </x:c>
      <x:c r="D962" s="34" t="str">
        <x:v>Closure_42</x:v>
      </x:c>
      <x:c r="E962" s="34" t="str">
        <x:v>Coverage</x:v>
      </x:c>
      <x:c r="F962" s="34" t="n">
        <x:v>877</x:v>
      </x:c>
      <x:c r="G962" s="34" t="str">
        <x:v>RECORDED</x:v>
      </x:c>
      <x:c r="H962" s="38" t="n">
        <x:f>IF(ISNUMBER('Data'!G962),'Data'!G962*100,"")</x:f>
        <x:v>2.96</x:v>
      </x:c>
      <x:c r="I962" s="34" t="str">
        <x:v>PASS</x:v>
      </x:c>
      <x:c r="J962" s="34" t="str">
        <x:v>PASS</x:v>
      </x:c>
      <x:c r="K962" s="34" t="str">
        <x:v>PASS</x:v>
      </x:c>
      <x:c r="L962" s="34" t="str">
        <x:v>PASS</x:v>
      </x:c>
      <x:c r="M962" s="34" t="str">
        <x:v>numeric coverage for applicable metric</x:v>
      </x:c>
      <x:c r="N962" s="34" t="str">
        <x:v>Feedback-Directed Random Test Generation/Result_Round2/Closure_42/result.json</x:v>
      </x:c>
      <x:c r="O962" s="38" t="n">
        <x:f>IF(AND(G962="RECORDED",ISNUMBER(H962)),H962,"")</x:f>
        <x:v>2.96</x:v>
      </x:c>
      <x:c r="P962" s="34" t="str">
        <x:v>NOT_REVEALING</x:v>
      </x:c>
      <x:c r="Q962" s="34" t="str">
        <x:v>Feedback-Directed Random Test Generation/Result_Round2/Closure_42/result.json</x:v>
      </x:c>
    </x:row>
    <x:row r="963">
      <x:c r="A963" s="34" t="str">
        <x:v>randoop</x:v>
      </x:c>
      <x:c r="B963" s="34" t="str">
        <x:v>Closure</x:v>
      </x:c>
      <x:c r="C963" s="34" t="str">
        <x:v>Round2</x:v>
      </x:c>
      <x:c r="D963" s="34" t="str">
        <x:v>Closure_43</x:v>
      </x:c>
      <x:c r="E963" s="34" t="str">
        <x:v>Coverage</x:v>
      </x:c>
      <x:c r="F963" s="34" t="n">
        <x:v>1489</x:v>
      </x:c>
      <x:c r="G963" s="34" t="str">
        <x:v>RECORDED</x:v>
      </x:c>
      <x:c r="H963" s="38" t="n">
        <x:f>IF(ISNUMBER('Data'!G963),'Data'!G963*100,"")</x:f>
        <x:v>1.68</x:v>
      </x:c>
      <x:c r="I963" s="34" t="str">
        <x:v>PASS</x:v>
      </x:c>
      <x:c r="J963" s="34" t="str">
        <x:v>PASS</x:v>
      </x:c>
      <x:c r="K963" s="34" t="str">
        <x:v>PASS</x:v>
      </x:c>
      <x:c r="L963" s="34" t="str">
        <x:v>PASS</x:v>
      </x:c>
      <x:c r="M963" s="34" t="str">
        <x:v>numeric coverage for applicable metric</x:v>
      </x:c>
      <x:c r="N963" s="34" t="str">
        <x:v>Feedback-Directed Random Test Generation/Result_Round2/Closure_43/result.json</x:v>
      </x:c>
      <x:c r="O963" s="38" t="n">
        <x:f>IF(AND(G963="RECORDED",ISNUMBER(H963)),H963,"")</x:f>
        <x:v>1.68</x:v>
      </x:c>
      <x:c r="P963" s="34" t="str">
        <x:v>NOT_REVEALING</x:v>
      </x:c>
      <x:c r="Q963" s="34" t="str">
        <x:v>Feedback-Directed Random Test Generation/Result_Round2/Closure_43/result.json</x:v>
      </x:c>
    </x:row>
    <x:row r="964">
      <x:c r="A964" s="34" t="str">
        <x:v>randoop</x:v>
      </x:c>
      <x:c r="B964" s="34" t="str">
        <x:v>Closure</x:v>
      </x:c>
      <x:c r="C964" s="34" t="str">
        <x:v>Round2</x:v>
      </x:c>
      <x:c r="D964" s="34" t="str">
        <x:v>Closure_44</x:v>
      </x:c>
      <x:c r="E964" s="34" t="str">
        <x:v>Coverage</x:v>
      </x:c>
      <x:c r="F964" s="34" t="n">
        <x:v>169</x:v>
      </x:c>
      <x:c r="G964" s="34" t="str">
        <x:v>RECORDED</x:v>
      </x:c>
      <x:c r="H964" s="38" t="n">
        <x:f>IF(ISNUMBER('Data'!G964),'Data'!G964*100,"")</x:f>
        <x:v>5.92</x:v>
      </x:c>
      <x:c r="I964" s="34" t="str">
        <x:v>PASS</x:v>
      </x:c>
      <x:c r="J964" s="34" t="str">
        <x:v>PASS</x:v>
      </x:c>
      <x:c r="K964" s="34" t="str">
        <x:v>PASS</x:v>
      </x:c>
      <x:c r="L964" s="34" t="str">
        <x:v>PASS</x:v>
      </x:c>
      <x:c r="M964" s="34" t="str">
        <x:v>numeric coverage for applicable metric</x:v>
      </x:c>
      <x:c r="N964" s="34" t="str">
        <x:v>Feedback-Directed Random Test Generation/Result_Round2/Closure_44/result.json</x:v>
      </x:c>
      <x:c r="O964" s="38" t="n">
        <x:f>IF(AND(G964="RECORDED",ISNUMBER(H964)),H964,"")</x:f>
        <x:v>5.92</x:v>
      </x:c>
      <x:c r="P964" s="34" t="str">
        <x:v>NOT_REVEALING</x:v>
      </x:c>
      <x:c r="Q964" s="34" t="str">
        <x:v>Feedback-Directed Random Test Generation/Result_Round2/Closure_44/result.json</x:v>
      </x:c>
    </x:row>
    <x:row r="965">
      <x:c r="A965" s="34" t="str">
        <x:v>randoop</x:v>
      </x:c>
      <x:c r="B965" s="34" t="str">
        <x:v>Closure</x:v>
      </x:c>
      <x:c r="C965" s="34" t="str">
        <x:v>Round2</x:v>
      </x:c>
      <x:c r="D965" s="34" t="str">
        <x:v>Closure_45</x:v>
      </x:c>
      <x:c r="E965" s="34" t="str">
        <x:v>Coverage</x:v>
      </x:c>
      <x:c r="F965" s="34" t="n">
        <x:v>665</x:v>
      </x:c>
      <x:c r="G965" s="34" t="str">
        <x:v>RECORDED</x:v>
      </x:c>
      <x:c r="H965" s="38" t="n">
        <x:f>IF(ISNUMBER('Data'!G965),'Data'!G965*100,"")</x:f>
        <x:v>1.95</x:v>
      </x:c>
      <x:c r="I965" s="34" t="str">
        <x:v>PASS</x:v>
      </x:c>
      <x:c r="J965" s="34" t="str">
        <x:v>PASS</x:v>
      </x:c>
      <x:c r="K965" s="34" t="str">
        <x:v>PASS</x:v>
      </x:c>
      <x:c r="L965" s="34" t="str">
        <x:v>PASS</x:v>
      </x:c>
      <x:c r="M965" s="34" t="str">
        <x:v>numeric coverage for applicable metric</x:v>
      </x:c>
      <x:c r="N965" s="34" t="str">
        <x:v>Feedback-Directed Random Test Generation/Result_Round2/Closure_45/result.json</x:v>
      </x:c>
      <x:c r="O965" s="38" t="n">
        <x:f>IF(AND(G965="RECORDED",ISNUMBER(H965)),H965,"")</x:f>
        <x:v>1.95</x:v>
      </x:c>
      <x:c r="P965" s="34" t="str">
        <x:v>NOT_REVEALING</x:v>
      </x:c>
      <x:c r="Q965" s="34" t="str">
        <x:v>Feedback-Directed Random Test Generation/Result_Round2/Closure_45/result.json</x:v>
      </x:c>
    </x:row>
    <x:row r="966">
      <x:c r="A966" s="34" t="str">
        <x:v>randoop</x:v>
      </x:c>
      <x:c r="B966" s="34" t="str">
        <x:v>Closure</x:v>
      </x:c>
      <x:c r="C966" s="34" t="str">
        <x:v>Round2</x:v>
      </x:c>
      <x:c r="D966" s="34" t="str">
        <x:v>Closure_46</x:v>
      </x:c>
      <x:c r="E966" s="34" t="str">
        <x:v>Coverage</x:v>
      </x:c>
      <x:c r="F966" s="34" t="n">
        <x:v>189</x:v>
      </x:c>
      <x:c r="G966" s="34" t="str">
        <x:v>RECORDED</x:v>
      </x:c>
      <x:c r="H966" s="38" t="n">
        <x:f>IF(ISNUMBER('Data'!G966),'Data'!G966*100,"")</x:f>
        <x:v>1.06</x:v>
      </x:c>
      <x:c r="I966" s="34" t="str">
        <x:v>PASS</x:v>
      </x:c>
      <x:c r="J966" s="34" t="str">
        <x:v>PASS</x:v>
      </x:c>
      <x:c r="K966" s="34" t="str">
        <x:v>PASS</x:v>
      </x:c>
      <x:c r="L966" s="34" t="str">
        <x:v>PASS</x:v>
      </x:c>
      <x:c r="M966" s="34" t="str">
        <x:v>numeric coverage for applicable metric</x:v>
      </x:c>
      <x:c r="N966" s="34" t="str">
        <x:v>Feedback-Directed Random Test Generation/Result_Round2/Closure_46/result.json</x:v>
      </x:c>
      <x:c r="O966" s="38" t="n">
        <x:f>IF(AND(G966="RECORDED",ISNUMBER(H966)),H966,"")</x:f>
        <x:v>1.06</x:v>
      </x:c>
      <x:c r="P966" s="34" t="str">
        <x:v>NOT_REVEALING</x:v>
      </x:c>
      <x:c r="Q966" s="34" t="str">
        <x:v>Feedback-Directed Random Test Generation/Result_Round2/Closure_46/result.json</x:v>
      </x:c>
    </x:row>
    <x:row r="967">
      <x:c r="A967" s="34" t="str">
        <x:v>randoop</x:v>
      </x:c>
      <x:c r="B967" s="34" t="str">
        <x:v>Closure</x:v>
      </x:c>
      <x:c r="C967" s="34" t="str">
        <x:v>Round2</x:v>
      </x:c>
      <x:c r="D967" s="34" t="str">
        <x:v>Closure_47</x:v>
      </x:c>
      <x:c r="E967" s="34" t="str">
        <x:v>Coverage</x:v>
      </x:c>
      <x:c r="F967" s="34" t="n">
        <x:v>520</x:v>
      </x:c>
      <x:c r="G967" s="34" t="str">
        <x:v>RECORDED</x:v>
      </x:c>
      <x:c r="H967" s="38" t="n">
        <x:f>IF(ISNUMBER('Data'!G967),'Data'!G967*100,"")</x:f>
        <x:v>13.269999999999998</x:v>
      </x:c>
      <x:c r="I967" s="34" t="str">
        <x:v>PASS</x:v>
      </x:c>
      <x:c r="J967" s="34" t="str">
        <x:v>PASS</x:v>
      </x:c>
      <x:c r="K967" s="34" t="str">
        <x:v>PASS</x:v>
      </x:c>
      <x:c r="L967" s="34" t="str">
        <x:v>FAIL</x:v>
      </x:c>
      <x:c r="M967" s="34" t="str">
        <x:v>numeric coverage for applicable metric</x:v>
      </x:c>
      <x:c r="N967" s="34" t="str">
        <x:v>Feedback-Directed Random Test Generation/Result_Round2/Closure_47/result.json</x:v>
      </x:c>
      <x:c r="O967" s="38" t="n">
        <x:f>IF(AND(G967="RECORDED",ISNUMBER(H967)),H967,"")</x:f>
        <x:v>13.269999999999998</x:v>
      </x:c>
      <x:c r="P967" s="34" t="str">
        <x:v>INCONCLUSIVE</x:v>
      </x:c>
      <x:c r="Q967" s="34" t="str">
        <x:v>Feedback-Directed Random Test Generation/Result_Round2/Closure_47/result.json</x:v>
      </x:c>
    </x:row>
    <x:row r="968">
      <x:c r="A968" s="34" t="str">
        <x:v>randoop</x:v>
      </x:c>
      <x:c r="B968" s="34" t="str">
        <x:v>Closure</x:v>
      </x:c>
      <x:c r="C968" s="34" t="str">
        <x:v>Round2</x:v>
      </x:c>
      <x:c r="D968" s="34" t="str">
        <x:v>Closure_48</x:v>
      </x:c>
      <x:c r="E968" s="34" t="str">
        <x:v>Coverage</x:v>
      </x:c>
      <x:c r="F968" s="34" t="n">
        <x:v>1473</x:v>
      </x:c>
      <x:c r="G968" s="34" t="str">
        <x:v>RECORDED</x:v>
      </x:c>
      <x:c r="H968" s="38" t="n">
        <x:f>IF(ISNUMBER('Data'!G968),'Data'!G968*100,"")</x:f>
        <x:v>1.7000000000000002</x:v>
      </x:c>
      <x:c r="I968" s="34" t="str">
        <x:v>PASS</x:v>
      </x:c>
      <x:c r="J968" s="34" t="str">
        <x:v>PASS</x:v>
      </x:c>
      <x:c r="K968" s="34" t="str">
        <x:v>PASS</x:v>
      </x:c>
      <x:c r="L968" s="34" t="str">
        <x:v>PASS</x:v>
      </x:c>
      <x:c r="M968" s="34" t="str">
        <x:v>numeric coverage for applicable metric</x:v>
      </x:c>
      <x:c r="N968" s="34" t="str">
        <x:v>Feedback-Directed Random Test Generation/Result_Round2/Closure_48/result.json</x:v>
      </x:c>
      <x:c r="O968" s="38" t="n">
        <x:f>IF(AND(G968="RECORDED",ISNUMBER(H968)),H968,"")</x:f>
        <x:v>1.7000000000000002</x:v>
      </x:c>
      <x:c r="P968" s="34" t="str">
        <x:v>NOT_REVEALING</x:v>
      </x:c>
      <x:c r="Q968" s="34" t="str">
        <x:v>Feedback-Directed Random Test Generation/Result_Round2/Closure_48/result.json</x:v>
      </x:c>
    </x:row>
    <x:row r="969">
      <x:c r="A969" s="34" t="str">
        <x:v>randoop</x:v>
      </x:c>
      <x:c r="B969" s="34" t="str">
        <x:v>Closure</x:v>
      </x:c>
      <x:c r="C969" s="34" t="str">
        <x:v>Round2</x:v>
      </x:c>
      <x:c r="D969" s="34" t="str">
        <x:v>Closure_49</x:v>
      </x:c>
      <x:c r="E969" s="34" t="str">
        <x:v>Coverage</x:v>
      </x:c>
      <x:c r="F969" s="34" t="n">
        <x:v>298</x:v>
      </x:c>
      <x:c r="G969" s="34" t="str">
        <x:v>RECORDED</x:v>
      </x:c>
      <x:c r="H969" s="38" t="n">
        <x:f>IF(ISNUMBER('Data'!G969),'Data'!G969*100,"")</x:f>
        <x:v>30.870000000000005</x:v>
      </x:c>
      <x:c r="I969" s="34" t="str">
        <x:v>PASS</x:v>
      </x:c>
      <x:c r="J969" s="34" t="str">
        <x:v>PASS</x:v>
      </x:c>
      <x:c r="K969" s="34" t="str">
        <x:v>PASS</x:v>
      </x:c>
      <x:c r="L969" s="34" t="str">
        <x:v>PASS</x:v>
      </x:c>
      <x:c r="M969" s="34" t="str">
        <x:v>numeric coverage for applicable metric</x:v>
      </x:c>
      <x:c r="N969" s="34" t="str">
        <x:v>Feedback-Directed Random Test Generation/Result_Round2/Closure_49/result.json</x:v>
      </x:c>
      <x:c r="O969" s="38" t="n">
        <x:f>IF(AND(G969="RECORDED",ISNUMBER(H969)),H969,"")</x:f>
        <x:v>30.870000000000005</x:v>
      </x:c>
      <x:c r="P969" s="34" t="str">
        <x:v>NOT_REVEALING</x:v>
      </x:c>
      <x:c r="Q969" s="34" t="str">
        <x:v>Feedback-Directed Random Test Generation/Result_Round2/Closure_49/result.json</x:v>
      </x:c>
    </x:row>
    <x:row r="970">
      <x:c r="A970" s="34" t="str">
        <x:v>randoop</x:v>
      </x:c>
      <x:c r="B970" s="34" t="str">
        <x:v>Closure</x:v>
      </x:c>
      <x:c r="C970" s="34" t="str">
        <x:v>Round2</x:v>
      </x:c>
      <x:c r="D970" s="34" t="str">
        <x:v>Closure_50</x:v>
      </x:c>
      <x:c r="E970" s="34" t="str">
        <x:v>Coverage</x:v>
      </x:c>
      <x:c r="F970" s="34" t="n">
        <x:v>553</x:v>
      </x:c>
      <x:c r="G970" s="34" t="str">
        <x:v>RECORDED</x:v>
      </x:c>
      <x:c r="H970" s="38" t="n">
        <x:f>IF(ISNUMBER('Data'!G970),'Data'!G970*100,"")</x:f>
        <x:v>0.54</x:v>
      </x:c>
      <x:c r="I970" s="34" t="str">
        <x:v>PASS</x:v>
      </x:c>
      <x:c r="J970" s="34" t="str">
        <x:v>PASS</x:v>
      </x:c>
      <x:c r="K970" s="34" t="str">
        <x:v>PASS</x:v>
      </x:c>
      <x:c r="L970" s="34" t="str">
        <x:v>PASS</x:v>
      </x:c>
      <x:c r="M970" s="34" t="str">
        <x:v>numeric coverage for applicable metric</x:v>
      </x:c>
      <x:c r="N970" s="34" t="str">
        <x:v>Feedback-Directed Random Test Generation/Result_Round2/Closure_50/result.json</x:v>
      </x:c>
      <x:c r="O970" s="38" t="n">
        <x:f>IF(AND(G970="RECORDED",ISNUMBER(H970)),H970,"")</x:f>
        <x:v>0.54</x:v>
      </x:c>
      <x:c r="P970" s="34" t="str">
        <x:v>NOT_REVEALING</x:v>
      </x:c>
      <x:c r="Q970" s="34" t="str">
        <x:v>Feedback-Directed Random Test Generation/Result_Round2/Closure_50/result.json</x:v>
      </x:c>
    </x:row>
    <x:row r="971">
      <x:c r="A971" s="34" t="str">
        <x:v>randoop</x:v>
      </x:c>
      <x:c r="B971" s="34" t="str">
        <x:v>Closure</x:v>
      </x:c>
      <x:c r="C971" s="34" t="str">
        <x:v>Round2</x:v>
      </x:c>
      <x:c r="D971" s="34" t="str">
        <x:v>Closure_51</x:v>
      </x:c>
      <x:c r="E971" s="34" t="str">
        <x:v>Coverage</x:v>
      </x:c>
      <x:c r="F971" s="34" t="n">
        <x:v>162</x:v>
      </x:c>
      <x:c r="G971" s="34" t="str">
        <x:v>RECORDED</x:v>
      </x:c>
      <x:c r="H971" s="38" t="n">
        <x:f>IF(ISNUMBER('Data'!G971),'Data'!G971*100,"")</x:f>
        <x:v>3.7000000000000006</x:v>
      </x:c>
      <x:c r="I971" s="34" t="str">
        <x:v>PASS</x:v>
      </x:c>
      <x:c r="J971" s="34" t="str">
        <x:v>PASS</x:v>
      </x:c>
      <x:c r="K971" s="34" t="str">
        <x:v>PASS</x:v>
      </x:c>
      <x:c r="L971" s="34" t="str">
        <x:v>PASS</x:v>
      </x:c>
      <x:c r="M971" s="34" t="str">
        <x:v>numeric coverage for applicable metric</x:v>
      </x:c>
      <x:c r="N971" s="34" t="str">
        <x:v>Feedback-Directed Random Test Generation/Result_Round2/Closure_51/result.json</x:v>
      </x:c>
      <x:c r="O971" s="38" t="n">
        <x:f>IF(AND(G971="RECORDED",ISNUMBER(H971)),H971,"")</x:f>
        <x:v>3.7000000000000006</x:v>
      </x:c>
      <x:c r="P971" s="34" t="str">
        <x:v>NOT_REVEALING</x:v>
      </x:c>
      <x:c r="Q971" s="34" t="str">
        <x:v>Feedback-Directed Random Test Generation/Result_Round2/Closure_51/result.json</x:v>
      </x:c>
    </x:row>
    <x:row r="972">
      <x:c r="A972" s="34" t="str">
        <x:v>randoop</x:v>
      </x:c>
      <x:c r="B972" s="34" t="str">
        <x:v>Closure</x:v>
      </x:c>
      <x:c r="C972" s="34" t="str">
        <x:v>Round2</x:v>
      </x:c>
      <x:c r="D972" s="34" t="str">
        <x:v>Closure_52</x:v>
      </x:c>
      <x:c r="E972" s="34" t="str">
        <x:v>Coverage</x:v>
      </x:c>
      <x:c r="F972" s="34" t="n">
        <x:v>1046</x:v>
      </x:c>
      <x:c r="G972" s="34" t="str">
        <x:v>RECORDED</x:v>
      </x:c>
      <x:c r="H972" s="38" t="n">
        <x:f>IF(ISNUMBER('Data'!G972),'Data'!G972*100,"")</x:f>
        <x:v>10.61</x:v>
      </x:c>
      <x:c r="I972" s="34" t="str">
        <x:v>PASS</x:v>
      </x:c>
      <x:c r="J972" s="34" t="str">
        <x:v>PASS</x:v>
      </x:c>
      <x:c r="K972" s="34" t="str">
        <x:v>PASS</x:v>
      </x:c>
      <x:c r="L972" s="34" t="str">
        <x:v>PASS</x:v>
      </x:c>
      <x:c r="M972" s="34" t="str">
        <x:v>numeric coverage for applicable metric</x:v>
      </x:c>
      <x:c r="N972" s="34" t="str">
        <x:v>Feedback-Directed Random Test Generation/Result_Round2/Closure_52/result.json</x:v>
      </x:c>
      <x:c r="O972" s="38" t="n">
        <x:f>IF(AND(G972="RECORDED",ISNUMBER(H972)),H972,"")</x:f>
        <x:v>10.61</x:v>
      </x:c>
      <x:c r="P972" s="34" t="str">
        <x:v>NOT_REVEALING</x:v>
      </x:c>
      <x:c r="Q972" s="34" t="str">
        <x:v>Feedback-Directed Random Test Generation/Result_Round2/Closure_52/result.json</x:v>
      </x:c>
    </x:row>
    <x:row r="973">
      <x:c r="A973" s="34" t="str">
        <x:v>randoop</x:v>
      </x:c>
      <x:c r="B973" s="34" t="str">
        <x:v>Closure</x:v>
      </x:c>
      <x:c r="C973" s="34" t="str">
        <x:v>Round2</x:v>
      </x:c>
      <x:c r="D973" s="34" t="str">
        <x:v>Closure_53</x:v>
      </x:c>
      <x:c r="E973" s="34" t="str">
        <x:v>Coverage</x:v>
      </x:c>
      <x:c r="F973" s="34" t="n">
        <x:v>282</x:v>
      </x:c>
      <x:c r="G973" s="34" t="str">
        <x:v>RECORDED</x:v>
      </x:c>
      <x:c r="H973" s="38" t="n">
        <x:f>IF(ISNUMBER('Data'!G973),'Data'!G973*100,"")</x:f>
        <x:v>2.84</x:v>
      </x:c>
      <x:c r="I973" s="34" t="str">
        <x:v>PASS</x:v>
      </x:c>
      <x:c r="J973" s="34" t="str">
        <x:v>PASS</x:v>
      </x:c>
      <x:c r="K973" s="34" t="str">
        <x:v>PASS</x:v>
      </x:c>
      <x:c r="L973" s="34" t="str">
        <x:v>PASS</x:v>
      </x:c>
      <x:c r="M973" s="34" t="str">
        <x:v>numeric coverage for applicable metric</x:v>
      </x:c>
      <x:c r="N973" s="34" t="str">
        <x:v>Feedback-Directed Random Test Generation/Result_Round2/Closure_53/result.json</x:v>
      </x:c>
      <x:c r="O973" s="38" t="n">
        <x:f>IF(AND(G973="RECORDED",ISNUMBER(H973)),H973,"")</x:f>
        <x:v>2.84</x:v>
      </x:c>
      <x:c r="P973" s="34" t="str">
        <x:v>NOT_REVEALING</x:v>
      </x:c>
      <x:c r="Q973" s="34" t="str">
        <x:v>Feedback-Directed Random Test Generation/Result_Round2/Closure_53/result.json</x:v>
      </x:c>
    </x:row>
    <x:row r="974">
      <x:c r="A974" s="34" t="str">
        <x:v>randoop</x:v>
      </x:c>
      <x:c r="B974" s="34" t="str">
        <x:v>Closure</x:v>
      </x:c>
      <x:c r="C974" s="34" t="str">
        <x:v>Round2</x:v>
      </x:c>
      <x:c r="D974" s="34" t="str">
        <x:v>Closure_54</x:v>
      </x:c>
      <x:c r="E974" s="34" t="str">
        <x:v>Coverage</x:v>
      </x:c>
      <x:c r="F974" s="34" t="n">
        <x:v>2100</x:v>
      </x:c>
      <x:c r="G974" s="34" t="str">
        <x:v>RECORDED</x:v>
      </x:c>
      <x:c r="H974" s="38" t="n">
        <x:f>IF(ISNUMBER('Data'!G974),'Data'!G974*100,"")</x:f>
        <x:v>1.19</x:v>
      </x:c>
      <x:c r="I974" s="34" t="str">
        <x:v>PASS</x:v>
      </x:c>
      <x:c r="J974" s="34" t="str">
        <x:v>PASS</x:v>
      </x:c>
      <x:c r="K974" s="34" t="str">
        <x:v>PASS</x:v>
      </x:c>
      <x:c r="L974" s="34" t="str">
        <x:v>PASS</x:v>
      </x:c>
      <x:c r="M974" s="34" t="str">
        <x:v>numeric coverage for applicable metric</x:v>
      </x:c>
      <x:c r="N974" s="34" t="str">
        <x:v>Feedback-Directed Random Test Generation/Result_Round2/Closure_54/result.json</x:v>
      </x:c>
      <x:c r="O974" s="38" t="n">
        <x:f>IF(AND(G974="RECORDED",ISNUMBER(H974)),H974,"")</x:f>
        <x:v>1.19</x:v>
      </x:c>
      <x:c r="P974" s="34" t="str">
        <x:v>NOT_REVEALING</x:v>
      </x:c>
      <x:c r="Q974" s="34" t="str">
        <x:v>Feedback-Directed Random Test Generation/Result_Round2/Closure_54/result.json</x:v>
      </x:c>
    </x:row>
    <x:row r="975">
      <x:c r="A975" s="34" t="str">
        <x:v>randoop</x:v>
      </x:c>
      <x:c r="B975" s="34" t="str">
        <x:v>Closure</x:v>
      </x:c>
      <x:c r="C975" s="34" t="str">
        <x:v>Round2</x:v>
      </x:c>
      <x:c r="D975" s="34" t="str">
        <x:v>Closure_55</x:v>
      </x:c>
      <x:c r="E975" s="34" t="str">
        <x:v>Coverage</x:v>
      </x:c>
      <x:c r="F975" s="34" t="n">
        <x:v>234</x:v>
      </x:c>
      <x:c r="G975" s="34" t="str">
        <x:v>RECORDED</x:v>
      </x:c>
      <x:c r="H975" s="38" t="n">
        <x:f>IF(ISNUMBER('Data'!G975),'Data'!G975*100,"")</x:f>
        <x:v>8.12</x:v>
      </x:c>
      <x:c r="I975" s="34" t="str">
        <x:v>PASS</x:v>
      </x:c>
      <x:c r="J975" s="34" t="str">
        <x:v>PASS</x:v>
      </x:c>
      <x:c r="K975" s="34" t="str">
        <x:v>PASS</x:v>
      </x:c>
      <x:c r="L975" s="34" t="str">
        <x:v>PASS</x:v>
      </x:c>
      <x:c r="M975" s="34" t="str">
        <x:v>numeric coverage for applicable metric</x:v>
      </x:c>
      <x:c r="N975" s="34" t="str">
        <x:v>Feedback-Directed Random Test Generation/Result_Round2/Closure_55/result.json</x:v>
      </x:c>
      <x:c r="O975" s="38" t="n">
        <x:f>IF(AND(G975="RECORDED",ISNUMBER(H975)),H975,"")</x:f>
        <x:v>8.12</x:v>
      </x:c>
      <x:c r="P975" s="34" t="str">
        <x:v>NOT_REVEALING</x:v>
      </x:c>
      <x:c r="Q975" s="34" t="str">
        <x:v>Feedback-Directed Random Test Generation/Result_Round2/Closure_55/result.json</x:v>
      </x:c>
    </x:row>
    <x:row r="976">
      <x:c r="A976" s="34" t="str">
        <x:v>randoop</x:v>
      </x:c>
      <x:c r="B976" s="34" t="str">
        <x:v>Closure</x:v>
      </x:c>
      <x:c r="C976" s="34" t="str">
        <x:v>Round2</x:v>
      </x:c>
      <x:c r="D976" s="34" t="str">
        <x:v>Closure_56</x:v>
      </x:c>
      <x:c r="E976" s="34" t="str">
        <x:v>Coverage</x:v>
      </x:c>
      <x:c r="F976" s="34" t="n">
        <x:v>190</x:v>
      </x:c>
      <x:c r="G976" s="34" t="str">
        <x:v>RECORDED</x:v>
      </x:c>
      <x:c r="H976" s="38" t="n">
        <x:f>IF(ISNUMBER('Data'!G976),'Data'!G976*100,"")</x:f>
        <x:v>83.16</x:v>
      </x:c>
      <x:c r="I976" s="34" t="str">
        <x:v>PASS</x:v>
      </x:c>
      <x:c r="J976" s="34" t="str">
        <x:v>PASS</x:v>
      </x:c>
      <x:c r="K976" s="34" t="str">
        <x:v>PASS</x:v>
      </x:c>
      <x:c r="L976" s="34" t="str">
        <x:v>FAIL</x:v>
      </x:c>
      <x:c r="M976" s="34" t="str">
        <x:v>numeric coverage for applicable metric</x:v>
      </x:c>
      <x:c r="N976" s="34" t="str">
        <x:v>Feedback-Directed Random Test Generation/Result_Round2/Closure_56/result.json</x:v>
      </x:c>
      <x:c r="O976" s="38" t="n">
        <x:f>IF(AND(G976="RECORDED",ISNUMBER(H976)),H976,"")</x:f>
        <x:v>83.16</x:v>
      </x:c>
      <x:c r="P976" s="34" t="str">
        <x:v>INCONCLUSIVE</x:v>
      </x:c>
      <x:c r="Q976" s="34" t="str">
        <x:v>Feedback-Directed Random Test Generation/Result_Round2/Closure_56/result.json</x:v>
      </x:c>
    </x:row>
    <x:row r="977">
      <x:c r="A977" s="34" t="str">
        <x:v>randoop</x:v>
      </x:c>
      <x:c r="B977" s="34" t="str">
        <x:v>Closure</x:v>
      </x:c>
      <x:c r="C977" s="34" t="str">
        <x:v>Round2</x:v>
      </x:c>
      <x:c r="D977" s="34" t="str">
        <x:v>Closure_57</x:v>
      </x:c>
      <x:c r="E977" s="34" t="str">
        <x:v>Coverage</x:v>
      </x:c>
      <x:c r="F977" s="34" t="n">
        <x:v>239</x:v>
      </x:c>
      <x:c r="G977" s="34" t="str">
        <x:v>RECORDED</x:v>
      </x:c>
      <x:c r="H977" s="38" t="n">
        <x:f>IF(ISNUMBER('Data'!G977),'Data'!G977*100,"")</x:f>
        <x:v>11.3</x:v>
      </x:c>
      <x:c r="I977" s="34" t="str">
        <x:v>PASS</x:v>
      </x:c>
      <x:c r="J977" s="34" t="str">
        <x:v>PASS</x:v>
      </x:c>
      <x:c r="K977" s="34" t="str">
        <x:v>PASS</x:v>
      </x:c>
      <x:c r="L977" s="34" t="str">
        <x:v>PASS</x:v>
      </x:c>
      <x:c r="M977" s="34" t="str">
        <x:v>numeric coverage for applicable metric</x:v>
      </x:c>
      <x:c r="N977" s="34" t="str">
        <x:v>Feedback-Directed Random Test Generation/Result_Round2/Closure_57/result.json</x:v>
      </x:c>
      <x:c r="O977" s="38" t="n">
        <x:f>IF(AND(G977="RECORDED",ISNUMBER(H977)),H977,"")</x:f>
        <x:v>11.3</x:v>
      </x:c>
      <x:c r="P977" s="34" t="str">
        <x:v>NOT_REVEALING</x:v>
      </x:c>
      <x:c r="Q977" s="34" t="str">
        <x:v>Feedback-Directed Random Test Generation/Result_Round2/Closure_57/result.json</x:v>
      </x:c>
    </x:row>
    <x:row r="978">
      <x:c r="A978" s="34" t="str">
        <x:v>randoop</x:v>
      </x:c>
      <x:c r="B978" s="34" t="str">
        <x:v>Closure</x:v>
      </x:c>
      <x:c r="C978" s="34" t="str">
        <x:v>Round2</x:v>
      </x:c>
      <x:c r="D978" s="34" t="str">
        <x:v>Closure_58</x:v>
      </x:c>
      <x:c r="E978" s="34" t="str">
        <x:v>Coverage</x:v>
      </x:c>
      <x:c r="F978" s="34" t="n">
        <x:v>156</x:v>
      </x:c>
      <x:c r="G978" s="34" t="str">
        <x:v>RECORDED</x:v>
      </x:c>
      <x:c r="H978" s="38" t="n">
        <x:f>IF(ISNUMBER('Data'!G978),'Data'!G978*100,"")</x:f>
        <x:v>1.92</x:v>
      </x:c>
      <x:c r="I978" s="34" t="str">
        <x:v>PASS</x:v>
      </x:c>
      <x:c r="J978" s="34" t="str">
        <x:v>PASS</x:v>
      </x:c>
      <x:c r="K978" s="34" t="str">
        <x:v>PASS</x:v>
      </x:c>
      <x:c r="L978" s="34" t="str">
        <x:v>PASS</x:v>
      </x:c>
      <x:c r="M978" s="34" t="str">
        <x:v>numeric coverage for applicable metric</x:v>
      </x:c>
      <x:c r="N978" s="34" t="str">
        <x:v>Feedback-Directed Random Test Generation/Result_Round2/Closure_58/result.json</x:v>
      </x:c>
      <x:c r="O978" s="38" t="n">
        <x:f>IF(AND(G978="RECORDED",ISNUMBER(H978)),H978,"")</x:f>
        <x:v>1.92</x:v>
      </x:c>
      <x:c r="P978" s="34" t="str">
        <x:v>NOT_REVEALING</x:v>
      </x:c>
      <x:c r="Q978" s="34" t="str">
        <x:v>Feedback-Directed Random Test Generation/Result_Round2/Closure_58/result.json</x:v>
      </x:c>
    </x:row>
    <x:row r="979">
      <x:c r="A979" s="34" t="str">
        <x:v>randoop</x:v>
      </x:c>
      <x:c r="B979" s="34" t="str">
        <x:v>Closure</x:v>
      </x:c>
      <x:c r="C979" s="34" t="str">
        <x:v>Round2</x:v>
      </x:c>
      <x:c r="D979" s="34" t="str">
        <x:v>Closure_59</x:v>
      </x:c>
      <x:c r="E979" s="34" t="str">
        <x:v>Coverage</x:v>
      </x:c>
      <x:c r="F979" s="34" t="n">
        <x:v>1144</x:v>
      </x:c>
      <x:c r="G979" s="34" t="str">
        <x:v>RECORDED</x:v>
      </x:c>
      <x:c r="H979" s="38" t="n">
        <x:f>IF(ISNUMBER('Data'!G979),'Data'!G979*100,"")</x:f>
        <x:v>40.91</x:v>
      </x:c>
      <x:c r="I979" s="34" t="str">
        <x:v>PASS</x:v>
      </x:c>
      <x:c r="J979" s="34" t="str">
        <x:v>PASS</x:v>
      </x:c>
      <x:c r="K979" s="34" t="str">
        <x:v>PASS</x:v>
      </x:c>
      <x:c r="L979" s="34" t="str">
        <x:v>FAIL</x:v>
      </x:c>
      <x:c r="M979" s="34" t="str">
        <x:v>numeric coverage for applicable metric</x:v>
      </x:c>
      <x:c r="N979" s="34" t="str">
        <x:v>Feedback-Directed Random Test Generation/Result_Round2/Closure_59/result.json</x:v>
      </x:c>
      <x:c r="O979" s="38" t="n">
        <x:f>IF(AND(G979="RECORDED",ISNUMBER(H979)),H979,"")</x:f>
        <x:v>40.91</x:v>
      </x:c>
      <x:c r="P979" s="34" t="str">
        <x:v>INCONCLUSIVE</x:v>
      </x:c>
      <x:c r="Q979" s="34" t="str">
        <x:v>Feedback-Directed Random Test Generation/Result_Round2/Closure_59/result.json</x:v>
      </x:c>
    </x:row>
    <x:row r="980">
      <x:c r="A980" s="34" t="str">
        <x:v>randoop</x:v>
      </x:c>
      <x:c r="B980" s="34" t="str">
        <x:v>Closure</x:v>
      </x:c>
      <x:c r="C980" s="34" t="str">
        <x:v>Round2</x:v>
      </x:c>
      <x:c r="D980" s="34" t="str">
        <x:v>Closure_60</x:v>
      </x:c>
      <x:c r="E980" s="34" t="str">
        <x:v>Coverage</x:v>
      </x:c>
      <x:c r="F980" s="34" t="n">
        <x:v>1861</x:v>
      </x:c>
      <x:c r="G980" s="34" t="str">
        <x:v>RECORDED</x:v>
      </x:c>
      <x:c r="H980" s="38" t="n">
        <x:f>IF(ISNUMBER('Data'!G980),'Data'!G980*100,"")</x:f>
        <x:v>38.64</x:v>
      </x:c>
      <x:c r="I980" s="34" t="str">
        <x:v>PASS</x:v>
      </x:c>
      <x:c r="J980" s="34" t="str">
        <x:v>PASS</x:v>
      </x:c>
      <x:c r="K980" s="34" t="str">
        <x:v>PASS</x:v>
      </x:c>
      <x:c r="L980" s="34" t="str">
        <x:v>PASS</x:v>
      </x:c>
      <x:c r="M980" s="34" t="str">
        <x:v>numeric coverage for applicable metric</x:v>
      </x:c>
      <x:c r="N980" s="34" t="str">
        <x:v>Feedback-Directed Random Test Generation/Result_Round2/Closure_60/result.json</x:v>
      </x:c>
      <x:c r="O980" s="38" t="n">
        <x:f>IF(AND(G980="RECORDED",ISNUMBER(H980)),H980,"")</x:f>
        <x:v>38.64</x:v>
      </x:c>
      <x:c r="P980" s="34" t="str">
        <x:v>NOT_REVEALING</x:v>
      </x:c>
      <x:c r="Q980" s="34" t="str">
        <x:v>Feedback-Directed Random Test Generation/Result_Round2/Closure_60/result.json</x:v>
      </x:c>
    </x:row>
    <x:row r="981">
      <x:c r="A981" s="34" t="str">
        <x:v>randoop</x:v>
      </x:c>
      <x:c r="B981" s="34" t="str">
        <x:v>Closure</x:v>
      </x:c>
      <x:c r="C981" s="34" t="str">
        <x:v>Round2</x:v>
      </x:c>
      <x:c r="D981" s="34" t="str">
        <x:v>Closure_61</x:v>
      </x:c>
      <x:c r="E981" s="34" t="str">
        <x:v>Coverage</x:v>
      </x:c>
      <x:c r="F981" s="34" t="n">
        <x:v>1852</x:v>
      </x:c>
      <x:c r="G981" s="34" t="str">
        <x:v>RECORDED</x:v>
      </x:c>
      <x:c r="H981" s="38" t="n">
        <x:f>IF(ISNUMBER('Data'!G981),'Data'!G981*100,"")</x:f>
        <x:v>38.82</x:v>
      </x:c>
      <x:c r="I981" s="34" t="str">
        <x:v>PASS</x:v>
      </x:c>
      <x:c r="J981" s="34" t="str">
        <x:v>PASS</x:v>
      </x:c>
      <x:c r="K981" s="34" t="str">
        <x:v>PASS</x:v>
      </x:c>
      <x:c r="L981" s="34" t="str">
        <x:v>PASS</x:v>
      </x:c>
      <x:c r="M981" s="34" t="str">
        <x:v>numeric coverage for applicable metric</x:v>
      </x:c>
      <x:c r="N981" s="34" t="str">
        <x:v>Feedback-Directed Random Test Generation/Result_Round2/Closure_61/result.json</x:v>
      </x:c>
      <x:c r="O981" s="38" t="n">
        <x:f>IF(AND(G981="RECORDED",ISNUMBER(H981)),H981,"")</x:f>
        <x:v>38.82</x:v>
      </x:c>
      <x:c r="P981" s="34" t="str">
        <x:v>NOT_REVEALING</x:v>
      </x:c>
      <x:c r="Q981" s="34" t="str">
        <x:v>Feedback-Directed Random Test Generation/Result_Round2/Closure_61/result.json</x:v>
      </x:c>
    </x:row>
    <x:row r="982">
      <x:c r="A982" s="34" t="str">
        <x:v>randoop</x:v>
      </x:c>
      <x:c r="B982" s="34" t="str">
        <x:v>Closure</x:v>
      </x:c>
      <x:c r="C982" s="34" t="str">
        <x:v>Round2</x:v>
      </x:c>
      <x:c r="D982" s="34" t="str">
        <x:v>Closure_62</x:v>
      </x:c>
      <x:c r="E982" s="34" t="str">
        <x:v>Coverage</x:v>
      </x:c>
      <x:c r="F982" s="34" t="n">
        <x:v>106</x:v>
      </x:c>
      <x:c r="G982" s="34" t="str">
        <x:v>RECORDED</x:v>
      </x:c>
      <x:c r="H982" s="38" t="n">
        <x:f>IF(ISNUMBER('Data'!G982),'Data'!G982*100,"")</x:f>
        <x:v>18.87</x:v>
      </x:c>
      <x:c r="I982" s="34" t="str">
        <x:v>PASS</x:v>
      </x:c>
      <x:c r="J982" s="34" t="str">
        <x:v>PASS</x:v>
      </x:c>
      <x:c r="K982" s="34" t="str">
        <x:v>PASS</x:v>
      </x:c>
      <x:c r="L982" s="34" t="str">
        <x:v>PASS</x:v>
      </x:c>
      <x:c r="M982" s="34" t="str">
        <x:v>numeric coverage for applicable metric</x:v>
      </x:c>
      <x:c r="N982" s="34" t="str">
        <x:v>Feedback-Directed Random Test Generation/Result_Round2/Closure_62/result.json</x:v>
      </x:c>
      <x:c r="O982" s="38" t="n">
        <x:f>IF(AND(G982="RECORDED",ISNUMBER(H982)),H982,"")</x:f>
        <x:v>18.87</x:v>
      </x:c>
      <x:c r="P982" s="34" t="str">
        <x:v>NOT_REVEALING</x:v>
      </x:c>
      <x:c r="Q982" s="34" t="str">
        <x:v>Feedback-Directed Random Test Generation/Result_Round2/Closure_62/result.json</x:v>
      </x:c>
    </x:row>
    <x:row r="983">
      <x:c r="A983" s="34" t="str">
        <x:v>randoop</x:v>
      </x:c>
      <x:c r="B983" s="34" t="str">
        <x:v>Closure</x:v>
      </x:c>
      <x:c r="C983" s="34" t="str">
        <x:v>Round2</x:v>
      </x:c>
      <x:c r="D983" s="34" t="str">
        <x:v>Closure_64</x:v>
      </x:c>
      <x:c r="E983" s="34" t="str">
        <x:v>Coverage</x:v>
      </x:c>
      <x:c r="F983" s="34" t="n">
        <x:v>1113</x:v>
      </x:c>
      <x:c r="G983" s="34" t="str">
        <x:v>RECORDED</x:v>
      </x:c>
      <x:c r="H983" s="38" t="n">
        <x:f>IF(ISNUMBER('Data'!G983),'Data'!G983*100,"")</x:f>
        <x:v>40.7</x:v>
      </x:c>
      <x:c r="I983" s="34" t="str">
        <x:v>PASS</x:v>
      </x:c>
      <x:c r="J983" s="34" t="str">
        <x:v>PASS</x:v>
      </x:c>
      <x:c r="K983" s="34" t="str">
        <x:v>PASS</x:v>
      </x:c>
      <x:c r="L983" s="34" t="str">
        <x:v>FAIL</x:v>
      </x:c>
      <x:c r="M983" s="34" t="str">
        <x:v>numeric coverage for applicable metric</x:v>
      </x:c>
      <x:c r="N983" s="34" t="str">
        <x:v>Feedback-Directed Random Test Generation/Result_Round2/Closure_64/result.json</x:v>
      </x:c>
      <x:c r="O983" s="38" t="n">
        <x:f>IF(AND(G983="RECORDED",ISNUMBER(H983)),H983,"")</x:f>
        <x:v>40.7</x:v>
      </x:c>
      <x:c r="P983" s="34" t="str">
        <x:v>INCONCLUSIVE</x:v>
      </x:c>
      <x:c r="Q983" s="34" t="str">
        <x:v>Feedback-Directed Random Test Generation/Result_Round2/Closure_64/result.json</x:v>
      </x:c>
    </x:row>
    <x:row r="984">
      <x:c r="A984" s="34" t="str">
        <x:v>randoop</x:v>
      </x:c>
      <x:c r="B984" s="34" t="str">
        <x:v>Closure</x:v>
      </x:c>
      <x:c r="C984" s="34" t="str">
        <x:v>Round2</x:v>
      </x:c>
      <x:c r="D984" s="34" t="str">
        <x:v>Closure_65</x:v>
      </x:c>
      <x:c r="E984" s="34" t="str">
        <x:v>Coverage</x:v>
      </x:c>
      <x:c r="F984" s="34" t="n">
        <x:v>1046</x:v>
      </x:c>
      <x:c r="G984" s="34" t="str">
        <x:v>RECORDED</x:v>
      </x:c>
      <x:c r="H984" s="38" t="n">
        <x:f>IF(ISNUMBER('Data'!G984),'Data'!G984*100,"")</x:f>
        <x:v>10.61</x:v>
      </x:c>
      <x:c r="I984" s="34" t="str">
        <x:v>PASS</x:v>
      </x:c>
      <x:c r="J984" s="34" t="str">
        <x:v>PASS</x:v>
      </x:c>
      <x:c r="K984" s="34" t="str">
        <x:v>PASS</x:v>
      </x:c>
      <x:c r="L984" s="34" t="str">
        <x:v>PASS</x:v>
      </x:c>
      <x:c r="M984" s="34" t="str">
        <x:v>numeric coverage for applicable metric</x:v>
      </x:c>
      <x:c r="N984" s="34" t="str">
        <x:v>Feedback-Directed Random Test Generation/Result_Round2/Closure_65/result.json</x:v>
      </x:c>
      <x:c r="O984" s="38" t="n">
        <x:f>IF(AND(G984="RECORDED",ISNUMBER(H984)),H984,"")</x:f>
        <x:v>10.61</x:v>
      </x:c>
      <x:c r="P984" s="34" t="str">
        <x:v>NOT_REVEALING</x:v>
      </x:c>
      <x:c r="Q984" s="34" t="str">
        <x:v>Feedback-Directed Random Test Generation/Result_Round2/Closure_65/result.json</x:v>
      </x:c>
    </x:row>
    <x:row r="985">
      <x:c r="A985" s="34" t="str">
        <x:v>randoop</x:v>
      </x:c>
      <x:c r="B985" s="34" t="str">
        <x:v>Closure</x:v>
      </x:c>
      <x:c r="C985" s="34" t="str">
        <x:v>Round2</x:v>
      </x:c>
      <x:c r="D985" s="34" t="str">
        <x:v>Closure_66</x:v>
      </x:c>
      <x:c r="E985" s="34" t="str">
        <x:v>Coverage</x:v>
      </x:c>
      <x:c r="F985" s="34" t="n">
        <x:v>1291</x:v>
      </x:c>
      <x:c r="G985" s="34" t="str">
        <x:v>RECORDED</x:v>
      </x:c>
      <x:c r="H985" s="38" t="n">
        <x:f>IF(ISNUMBER('Data'!G985),'Data'!G985*100,"")</x:f>
        <x:v>5.34</x:v>
      </x:c>
      <x:c r="I985" s="34" t="str">
        <x:v>PASS</x:v>
      </x:c>
      <x:c r="J985" s="34" t="str">
        <x:v>PASS</x:v>
      </x:c>
      <x:c r="K985" s="34" t="str">
        <x:v>PASS</x:v>
      </x:c>
      <x:c r="L985" s="34" t="str">
        <x:v>PASS</x:v>
      </x:c>
      <x:c r="M985" s="34" t="str">
        <x:v>numeric coverage for applicable metric</x:v>
      </x:c>
      <x:c r="N985" s="34" t="str">
        <x:v>Feedback-Directed Random Test Generation/Result_Round2/Closure_66/result.json</x:v>
      </x:c>
      <x:c r="O985" s="38" t="n">
        <x:f>IF(AND(G985="RECORDED",ISNUMBER(H985)),H985,"")</x:f>
        <x:v>5.34</x:v>
      </x:c>
      <x:c r="P985" s="34" t="str">
        <x:v>NOT_REVEALING</x:v>
      </x:c>
      <x:c r="Q985" s="34" t="str">
        <x:v>Feedback-Directed Random Test Generation/Result_Round2/Closure_66/result.json</x:v>
      </x:c>
    </x:row>
    <x:row r="986">
      <x:c r="A986" s="34" t="str">
        <x:v>randoop</x:v>
      </x:c>
      <x:c r="B986" s="34" t="str">
        <x:v>Closure</x:v>
      </x:c>
      <x:c r="C986" s="34" t="str">
        <x:v>Round2</x:v>
      </x:c>
      <x:c r="D986" s="34" t="str">
        <x:v>Closure_67</x:v>
      </x:c>
      <x:c r="E986" s="34" t="str">
        <x:v>Coverage</x:v>
      </x:c>
      <x:c r="F986" s="34" t="n">
        <x:v>397</x:v>
      </x:c>
      <x:c r="G986" s="34" t="str">
        <x:v>RECORDED</x:v>
      </x:c>
      <x:c r="H986" s="38" t="n">
        <x:f>IF(ISNUMBER('Data'!G986),'Data'!G986*100,"")</x:f>
        <x:v>26.700000000000003</x:v>
      </x:c>
      <x:c r="I986" s="34" t="str">
        <x:v>PASS</x:v>
      </x:c>
      <x:c r="J986" s="34" t="str">
        <x:v>PASS</x:v>
      </x:c>
      <x:c r="K986" s="34" t="str">
        <x:v>PASS</x:v>
      </x:c>
      <x:c r="L986" s="34" t="str">
        <x:v>PASS</x:v>
      </x:c>
      <x:c r="M986" s="34" t="str">
        <x:v>numeric coverage for applicable metric</x:v>
      </x:c>
      <x:c r="N986" s="34" t="str">
        <x:v>Feedback-Directed Random Test Generation/Result_Round2/Closure_67/result.json</x:v>
      </x:c>
      <x:c r="O986" s="38" t="n">
        <x:f>IF(AND(G986="RECORDED",ISNUMBER(H986)),H986,"")</x:f>
        <x:v>26.700000000000003</x:v>
      </x:c>
      <x:c r="P986" s="34" t="str">
        <x:v>NOT_REVEALING</x:v>
      </x:c>
      <x:c r="Q986" s="34" t="str">
        <x:v>Feedback-Directed Random Test Generation/Result_Round2/Closure_67/result.json</x:v>
      </x:c>
    </x:row>
    <x:row r="987">
      <x:c r="A987" s="34" t="str">
        <x:v>randoop</x:v>
      </x:c>
      <x:c r="B987" s="34" t="str">
        <x:v>Closure</x:v>
      </x:c>
      <x:c r="C987" s="34" t="str">
        <x:v>Round2</x:v>
      </x:c>
      <x:c r="D987" s="34" t="str">
        <x:v>Closure_68</x:v>
      </x:c>
      <x:c r="E987" s="34" t="str">
        <x:v>Coverage</x:v>
      </x:c>
      <x:c r="F987" s="34" t="n">
        <x:v>1601</x:v>
      </x:c>
      <x:c r="G987" s="34" t="str">
        <x:v>RECORDED</x:v>
      </x:c>
      <x:c r="H987" s="38" t="n">
        <x:f>IF(ISNUMBER('Data'!G987),'Data'!G987*100,"")</x:f>
        <x:v>6.43</x:v>
      </x:c>
      <x:c r="I987" s="34" t="str">
        <x:v>PASS</x:v>
      </x:c>
      <x:c r="J987" s="34" t="str">
        <x:v>PASS</x:v>
      </x:c>
      <x:c r="K987" s="34" t="str">
        <x:v>PASS</x:v>
      </x:c>
      <x:c r="L987" s="34" t="str">
        <x:v>PASS</x:v>
      </x:c>
      <x:c r="M987" s="34" t="str">
        <x:v>numeric coverage for applicable metric</x:v>
      </x:c>
      <x:c r="N987" s="34" t="str">
        <x:v>Feedback-Directed Random Test Generation/Result_Round2/Closure_68/result.json</x:v>
      </x:c>
      <x:c r="O987" s="38" t="n">
        <x:f>IF(AND(G987="RECORDED",ISNUMBER(H987)),H987,"")</x:f>
        <x:v>6.43</x:v>
      </x:c>
      <x:c r="P987" s="34" t="str">
        <x:v>NOT_REVEALING</x:v>
      </x:c>
      <x:c r="Q987" s="34" t="str">
        <x:v>Feedback-Directed Random Test Generation/Result_Round2/Closure_68/result.json</x:v>
      </x:c>
    </x:row>
    <x:row r="988">
      <x:c r="A988" s="34" t="str">
        <x:v>randoop</x:v>
      </x:c>
      <x:c r="B988" s="34" t="str">
        <x:v>Closure</x:v>
      </x:c>
      <x:c r="C988" s="34" t="str">
        <x:v>Round2</x:v>
      </x:c>
      <x:c r="D988" s="34" t="str">
        <x:v>Closure_69</x:v>
      </x:c>
      <x:c r="E988" s="34" t="str">
        <x:v>Coverage</x:v>
      </x:c>
      <x:c r="F988" s="34" t="n">
        <x:v>1275</x:v>
      </x:c>
      <x:c r="G988" s="34" t="str">
        <x:v>RECORDED</x:v>
      </x:c>
      <x:c r="H988" s="38" t="n">
        <x:f>IF(ISNUMBER('Data'!G988),'Data'!G988*100,"")</x:f>
        <x:v>5.41</x:v>
      </x:c>
      <x:c r="I988" s="34" t="str">
        <x:v>PASS</x:v>
      </x:c>
      <x:c r="J988" s="34" t="str">
        <x:v>PASS</x:v>
      </x:c>
      <x:c r="K988" s="34" t="str">
        <x:v>PASS</x:v>
      </x:c>
      <x:c r="L988" s="34" t="str">
        <x:v>PASS</x:v>
      </x:c>
      <x:c r="M988" s="34" t="str">
        <x:v>numeric coverage for applicable metric</x:v>
      </x:c>
      <x:c r="N988" s="34" t="str">
        <x:v>Feedback-Directed Random Test Generation/Result_Round2/Closure_69/result.json</x:v>
      </x:c>
      <x:c r="O988" s="38" t="n">
        <x:f>IF(AND(G988="RECORDED",ISNUMBER(H988)),H988,"")</x:f>
        <x:v>5.41</x:v>
      </x:c>
      <x:c r="P988" s="34" t="str">
        <x:v>NOT_REVEALING</x:v>
      </x:c>
      <x:c r="Q988" s="34" t="str">
        <x:v>Feedback-Directed Random Test Generation/Result_Round2/Closure_69/result.json</x:v>
      </x:c>
    </x:row>
    <x:row r="989">
      <x:c r="A989" s="34" t="str">
        <x:v>randoop</x:v>
      </x:c>
      <x:c r="B989" s="34" t="str">
        <x:v>Closure</x:v>
      </x:c>
      <x:c r="C989" s="34" t="str">
        <x:v>Round2</x:v>
      </x:c>
      <x:c r="D989" s="34" t="str">
        <x:v>Closure_70</x:v>
      </x:c>
      <x:c r="E989" s="34" t="str">
        <x:v>Coverage</x:v>
      </x:c>
      <x:c r="F989" s="34" t="n">
        <x:v>1427</x:v>
      </x:c>
      <x:c r="G989" s="34" t="str">
        <x:v>RECORDED</x:v>
      </x:c>
      <x:c r="H989" s="38" t="n">
        <x:f>IF(ISNUMBER('Data'!G989),'Data'!G989*100,"")</x:f>
        <x:v>1.54</x:v>
      </x:c>
      <x:c r="I989" s="34" t="str">
        <x:v>PASS</x:v>
      </x:c>
      <x:c r="J989" s="34" t="str">
        <x:v>PASS</x:v>
      </x:c>
      <x:c r="K989" s="34" t="str">
        <x:v>PASS</x:v>
      </x:c>
      <x:c r="L989" s="34" t="str">
        <x:v>PASS</x:v>
      </x:c>
      <x:c r="M989" s="34" t="str">
        <x:v>numeric coverage for applicable metric</x:v>
      </x:c>
      <x:c r="N989" s="34" t="str">
        <x:v>Feedback-Directed Random Test Generation/Result_Round2/Closure_70/result.json</x:v>
      </x:c>
      <x:c r="O989" s="38" t="n">
        <x:f>IF(AND(G989="RECORDED",ISNUMBER(H989)),H989,"")</x:f>
        <x:v>1.54</x:v>
      </x:c>
      <x:c r="P989" s="34" t="str">
        <x:v>NOT_REVEALING</x:v>
      </x:c>
      <x:c r="Q989" s="34" t="str">
        <x:v>Feedback-Directed Random Test Generation/Result_Round2/Closure_70/result.json</x:v>
      </x:c>
    </x:row>
    <x:row r="990">
      <x:c r="A990" s="34" t="str">
        <x:v>randoop</x:v>
      </x:c>
      <x:c r="B990" s="34" t="str">
        <x:v>Closure</x:v>
      </x:c>
      <x:c r="C990" s="34" t="str">
        <x:v>Round2</x:v>
      </x:c>
      <x:c r="D990" s="34" t="str">
        <x:v>Closure_71</x:v>
      </x:c>
      <x:c r="E990" s="34" t="str">
        <x:v>Coverage</x:v>
      </x:c>
      <x:c r="F990" s="34" t="n">
        <x:v>489</x:v>
      </x:c>
      <x:c r="G990" s="34" t="str">
        <x:v>RECORDED</x:v>
      </x:c>
      <x:c r="H990" s="38" t="n">
        <x:f>IF(ISNUMBER('Data'!G990),'Data'!G990*100,"")</x:f>
        <x:v>4.91</x:v>
      </x:c>
      <x:c r="I990" s="34" t="str">
        <x:v>PASS</x:v>
      </x:c>
      <x:c r="J990" s="34" t="str">
        <x:v>PASS</x:v>
      </x:c>
      <x:c r="K990" s="34" t="str">
        <x:v>PASS</x:v>
      </x:c>
      <x:c r="L990" s="34" t="str">
        <x:v>PASS</x:v>
      </x:c>
      <x:c r="M990" s="34" t="str">
        <x:v>numeric coverage for applicable metric</x:v>
      </x:c>
      <x:c r="N990" s="34" t="str">
        <x:v>Feedback-Directed Random Test Generation/Result_Round2/Closure_71/result.json</x:v>
      </x:c>
      <x:c r="O990" s="38" t="n">
        <x:f>IF(AND(G990="RECORDED",ISNUMBER(H990)),H990,"")</x:f>
        <x:v>4.91</x:v>
      </x:c>
      <x:c r="P990" s="34" t="str">
        <x:v>NOT_REVEALING</x:v>
      </x:c>
      <x:c r="Q990" s="34" t="str">
        <x:v>Feedback-Directed Random Test Generation/Result_Round2/Closure_71/result.json</x:v>
      </x:c>
    </x:row>
    <x:row r="991">
      <x:c r="A991" s="34" t="str">
        <x:v>randoop</x:v>
      </x:c>
      <x:c r="B991" s="34" t="str">
        <x:v>Closure</x:v>
      </x:c>
      <x:c r="C991" s="34" t="str">
        <x:v>Round2</x:v>
      </x:c>
      <x:c r="D991" s="34" t="str">
        <x:v>Closure_72</x:v>
      </x:c>
      <x:c r="E991" s="34" t="str">
        <x:v>Coverage</x:v>
      </x:c>
      <x:c r="F991" s="34" t="n">
        <x:v>317</x:v>
      </x:c>
      <x:c r="G991" s="34" t="str">
        <x:v>RECORDED</x:v>
      </x:c>
      <x:c r="H991" s="38" t="n">
        <x:f>IF(ISNUMBER('Data'!G991),'Data'!G991*100,"")</x:f>
        <x:v>11.04</x:v>
      </x:c>
      <x:c r="I991" s="34" t="str">
        <x:v>PASS</x:v>
      </x:c>
      <x:c r="J991" s="34" t="str">
        <x:v>PASS</x:v>
      </x:c>
      <x:c r="K991" s="34" t="str">
        <x:v>PASS</x:v>
      </x:c>
      <x:c r="L991" s="34" t="str">
        <x:v>PASS</x:v>
      </x:c>
      <x:c r="M991" s="34" t="str">
        <x:v>numeric coverage for applicable metric</x:v>
      </x:c>
      <x:c r="N991" s="34" t="str">
        <x:v>Feedback-Directed Random Test Generation/Result_Round2/Closure_72/result.json</x:v>
      </x:c>
      <x:c r="O991" s="38" t="n">
        <x:f>IF(AND(G991="RECORDED",ISNUMBER(H991)),H991,"")</x:f>
        <x:v>11.04</x:v>
      </x:c>
      <x:c r="P991" s="34" t="str">
        <x:v>NOT_REVEALING</x:v>
      </x:c>
      <x:c r="Q991" s="34" t="str">
        <x:v>Feedback-Directed Random Test Generation/Result_Round2/Closure_72/result.json</x:v>
      </x:c>
    </x:row>
    <x:row r="992">
      <x:c r="A992" s="34" t="str">
        <x:v>randoop</x:v>
      </x:c>
      <x:c r="B992" s="34" t="str">
        <x:v>Closure</x:v>
      </x:c>
      <x:c r="C992" s="34" t="str">
        <x:v>Round2</x:v>
      </x:c>
      <x:c r="D992" s="34" t="str">
        <x:v>Closure_73</x:v>
      </x:c>
      <x:c r="E992" s="34" t="str">
        <x:v>Coverage</x:v>
      </x:c>
      <x:c r="F992" s="34" t="n">
        <x:v>1035</x:v>
      </x:c>
      <x:c r="G992" s="34" t="str">
        <x:v>RECORDED</x:v>
      </x:c>
      <x:c r="H992" s="38" t="n">
        <x:f>IF(ISNUMBER('Data'!G992),'Data'!G992*100,"")</x:f>
        <x:v>10.05</x:v>
      </x:c>
      <x:c r="I992" s="34" t="str">
        <x:v>PASS</x:v>
      </x:c>
      <x:c r="J992" s="34" t="str">
        <x:v>PASS</x:v>
      </x:c>
      <x:c r="K992" s="34" t="str">
        <x:v>PASS</x:v>
      </x:c>
      <x:c r="L992" s="34" t="str">
        <x:v>PASS</x:v>
      </x:c>
      <x:c r="M992" s="34" t="str">
        <x:v>numeric coverage for applicable metric</x:v>
      </x:c>
      <x:c r="N992" s="34" t="str">
        <x:v>Feedback-Directed Random Test Generation/Result_Round2/Closure_73/result.json</x:v>
      </x:c>
      <x:c r="O992" s="38" t="n">
        <x:f>IF(AND(G992="RECORDED",ISNUMBER(H992)),H992,"")</x:f>
        <x:v>10.05</x:v>
      </x:c>
      <x:c r="P992" s="34" t="str">
        <x:v>NOT_REVEALING</x:v>
      </x:c>
      <x:c r="Q992" s="34" t="str">
        <x:v>Feedback-Directed Random Test Generation/Result_Round2/Closure_73/result.json</x:v>
      </x:c>
    </x:row>
    <x:row r="993">
      <x:c r="A993" s="34" t="str">
        <x:v>randoop</x:v>
      </x:c>
      <x:c r="B993" s="34" t="str">
        <x:v>Closure</x:v>
      </x:c>
      <x:c r="C993" s="34" t="str">
        <x:v>Round2</x:v>
      </x:c>
      <x:c r="D993" s="34" t="str">
        <x:v>Closure_74</x:v>
      </x:c>
      <x:c r="E993" s="34" t="str">
        <x:v>Coverage</x:v>
      </x:c>
      <x:c r="F993" s="34" t="n">
        <x:v>1419</x:v>
      </x:c>
      <x:c r="G993" s="34" t="str">
        <x:v>RECORDED</x:v>
      </x:c>
      <x:c r="H993" s="38" t="n">
        <x:f>IF(ISNUMBER('Data'!G993),'Data'!G993*100,"")</x:f>
        <x:v>0.9899999999999999</x:v>
      </x:c>
      <x:c r="I993" s="34" t="str">
        <x:v>PASS</x:v>
      </x:c>
      <x:c r="J993" s="34" t="str">
        <x:v>PASS</x:v>
      </x:c>
      <x:c r="K993" s="34" t="str">
        <x:v>PASS</x:v>
      </x:c>
      <x:c r="L993" s="34" t="str">
        <x:v>PASS</x:v>
      </x:c>
      <x:c r="M993" s="34" t="str">
        <x:v>numeric coverage for applicable metric</x:v>
      </x:c>
      <x:c r="N993" s="34" t="str">
        <x:v>Feedback-Directed Random Test Generation/Result_Round2/Closure_74/result.json</x:v>
      </x:c>
      <x:c r="O993" s="38" t="n">
        <x:f>IF(AND(G993="RECORDED",ISNUMBER(H993)),H993,"")</x:f>
        <x:v>0.9899999999999999</x:v>
      </x:c>
      <x:c r="P993" s="34" t="str">
        <x:v>NOT_REVEALING</x:v>
      </x:c>
      <x:c r="Q993" s="34" t="str">
        <x:v>Feedback-Directed Random Test Generation/Result_Round2/Closure_74/result.json</x:v>
      </x:c>
    </x:row>
    <x:row r="994">
      <x:c r="A994" s="34" t="str">
        <x:v>randoop</x:v>
      </x:c>
      <x:c r="B994" s="34" t="str">
        <x:v>Closure</x:v>
      </x:c>
      <x:c r="C994" s="34" t="str">
        <x:v>Round2</x:v>
      </x:c>
      <x:c r="D994" s="34" t="str">
        <x:v>Closure_75</x:v>
      </x:c>
      <x:c r="E994" s="34" t="str">
        <x:v>Coverage</x:v>
      </x:c>
      <x:c r="F994" s="34" t="n">
        <x:v>1811</x:v>
      </x:c>
      <x:c r="G994" s="34" t="str">
        <x:v>RECORDED</x:v>
      </x:c>
      <x:c r="H994" s="38" t="n">
        <x:f>IF(ISNUMBER('Data'!G994),'Data'!G994*100,"")</x:f>
        <x:v>38.93</x:v>
      </x:c>
      <x:c r="I994" s="34" t="str">
        <x:v>PASS</x:v>
      </x:c>
      <x:c r="J994" s="34" t="str">
        <x:v>PASS</x:v>
      </x:c>
      <x:c r="K994" s="34" t="str">
        <x:v>PASS</x:v>
      </x:c>
      <x:c r="L994" s="34" t="str">
        <x:v>PASS</x:v>
      </x:c>
      <x:c r="M994" s="34" t="str">
        <x:v>numeric coverage for applicable metric</x:v>
      </x:c>
      <x:c r="N994" s="34" t="str">
        <x:v>Feedback-Directed Random Test Generation/Result_Round2/Closure_75/result.json</x:v>
      </x:c>
      <x:c r="O994" s="38" t="n">
        <x:f>IF(AND(G994="RECORDED",ISNUMBER(H994)),H994,"")</x:f>
        <x:v>38.93</x:v>
      </x:c>
      <x:c r="P994" s="34" t="str">
        <x:v>NOT_REVEALING</x:v>
      </x:c>
      <x:c r="Q994" s="34" t="str">
        <x:v>Feedback-Directed Random Test Generation/Result_Round2/Closure_75/result.json</x:v>
      </x:c>
    </x:row>
    <x:row r="995">
      <x:c r="A995" s="34" t="str">
        <x:v>randoop</x:v>
      </x:c>
      <x:c r="B995" s="34" t="str">
        <x:v>Closure</x:v>
      </x:c>
      <x:c r="C995" s="34" t="str">
        <x:v>Round2</x:v>
      </x:c>
      <x:c r="D995" s="34" t="str">
        <x:v>Closure_76</x:v>
      </x:c>
      <x:c r="E995" s="34" t="str">
        <x:v>Coverage</x:v>
      </x:c>
      <x:c r="F995" s="34" t="n">
        <x:v>265</x:v>
      </x:c>
      <x:c r="G995" s="34" t="str">
        <x:v>RECORDED</x:v>
      </x:c>
      <x:c r="H995" s="38" t="n">
        <x:f>IF(ISNUMBER('Data'!G995),'Data'!G995*100,"")</x:f>
        <x:v>3.4000000000000004</x:v>
      </x:c>
      <x:c r="I995" s="34" t="str">
        <x:v>PASS</x:v>
      </x:c>
      <x:c r="J995" s="34" t="str">
        <x:v>PASS</x:v>
      </x:c>
      <x:c r="K995" s="34" t="str">
        <x:v>PASS</x:v>
      </x:c>
      <x:c r="L995" s="34" t="str">
        <x:v>PASS</x:v>
      </x:c>
      <x:c r="M995" s="34" t="str">
        <x:v>numeric coverage for applicable metric</x:v>
      </x:c>
      <x:c r="N995" s="34" t="str">
        <x:v>Feedback-Directed Random Test Generation/Result_Round2/Closure_76/result.json</x:v>
      </x:c>
      <x:c r="O995" s="38" t="n">
        <x:f>IF(AND(G995="RECORDED",ISNUMBER(H995)),H995,"")</x:f>
        <x:v>3.4000000000000004</x:v>
      </x:c>
      <x:c r="P995" s="34" t="str">
        <x:v>NOT_REVEALING</x:v>
      </x:c>
      <x:c r="Q995" s="34" t="str">
        <x:v>Feedback-Directed Random Test Generation/Result_Round2/Closure_76/result.json</x:v>
      </x:c>
    </x:row>
    <x:row r="996">
      <x:c r="A996" s="34" t="str">
        <x:v>randoop</x:v>
      </x:c>
      <x:c r="B996" s="34" t="str">
        <x:v>Closure</x:v>
      </x:c>
      <x:c r="C996" s="34" t="str">
        <x:v>Round2</x:v>
      </x:c>
      <x:c r="D996" s="34" t="str">
        <x:v>Closure_77</x:v>
      </x:c>
      <x:c r="E996" s="34" t="str">
        <x:v>Coverage</x:v>
      </x:c>
      <x:c r="F996" s="34" t="n">
        <x:v>1002</x:v>
      </x:c>
      <x:c r="G996" s="34" t="str">
        <x:v>RECORDED</x:v>
      </x:c>
      <x:c r="H996" s="38" t="n">
        <x:f>IF(ISNUMBER('Data'!G996),'Data'!G996*100,"")</x:f>
        <x:v>8.78</x:v>
      </x:c>
      <x:c r="I996" s="34" t="str">
        <x:v>PASS</x:v>
      </x:c>
      <x:c r="J996" s="34" t="str">
        <x:v>PASS</x:v>
      </x:c>
      <x:c r="K996" s="34" t="str">
        <x:v>PASS</x:v>
      </x:c>
      <x:c r="L996" s="34" t="str">
        <x:v>PASS</x:v>
      </x:c>
      <x:c r="M996" s="34" t="str">
        <x:v>numeric coverage for applicable metric</x:v>
      </x:c>
      <x:c r="N996" s="34" t="str">
        <x:v>Feedback-Directed Random Test Generation/Result_Round2/Closure_77/result.json</x:v>
      </x:c>
      <x:c r="O996" s="38" t="n">
        <x:f>IF(AND(G996="RECORDED",ISNUMBER(H996)),H996,"")</x:f>
        <x:v>8.78</x:v>
      </x:c>
      <x:c r="P996" s="34" t="str">
        <x:v>NOT_REVEALING</x:v>
      </x:c>
      <x:c r="Q996" s="34" t="str">
        <x:v>Feedback-Directed Random Test Generation/Result_Round2/Closure_77/result.json</x:v>
      </x:c>
    </x:row>
    <x:row r="997">
      <x:c r="A997" s="34" t="str">
        <x:v>randoop</x:v>
      </x:c>
      <x:c r="B997" s="34" t="str">
        <x:v>Closure</x:v>
      </x:c>
      <x:c r="C997" s="34" t="str">
        <x:v>Round2</x:v>
      </x:c>
      <x:c r="D997" s="34" t="str">
        <x:v>Closure_78</x:v>
      </x:c>
      <x:c r="E997" s="34" t="str">
        <x:v>Coverage</x:v>
      </x:c>
      <x:c r="F997" s="34" t="n">
        <x:v>1344</x:v>
      </x:c>
      <x:c r="G997" s="34" t="str">
        <x:v>RECORDED</x:v>
      </x:c>
      <x:c r="H997" s="38" t="n">
        <x:f>IF(ISNUMBER('Data'!G997),'Data'!G997*100,"")</x:f>
        <x:v>1.04</x:v>
      </x:c>
      <x:c r="I997" s="34" t="str">
        <x:v>PASS</x:v>
      </x:c>
      <x:c r="J997" s="34" t="str">
        <x:v>PASS</x:v>
      </x:c>
      <x:c r="K997" s="34" t="str">
        <x:v>PASS</x:v>
      </x:c>
      <x:c r="L997" s="34" t="str">
        <x:v>PASS</x:v>
      </x:c>
      <x:c r="M997" s="34" t="str">
        <x:v>numeric coverage for applicable metric</x:v>
      </x:c>
      <x:c r="N997" s="34" t="str">
        <x:v>Feedback-Directed Random Test Generation/Result_Round2/Closure_78/result.json</x:v>
      </x:c>
      <x:c r="O997" s="38" t="n">
        <x:f>IF(AND(G997="RECORDED",ISNUMBER(H997)),H997,"")</x:f>
        <x:v>1.04</x:v>
      </x:c>
      <x:c r="P997" s="34" t="str">
        <x:v>NOT_REVEALING</x:v>
      </x:c>
      <x:c r="Q997" s="34" t="str">
        <x:v>Feedback-Directed Random Test Generation/Result_Round2/Closure_78/result.json</x:v>
      </x:c>
    </x:row>
    <x:row r="998">
      <x:c r="A998" s="34" t="str">
        <x:v>randoop</x:v>
      </x:c>
      <x:c r="B998" s="34" t="str">
        <x:v>Closure</x:v>
      </x:c>
      <x:c r="C998" s="34" t="str">
        <x:v>Round2</x:v>
      </x:c>
      <x:c r="D998" s="34" t="str">
        <x:v>Closure_79</x:v>
      </x:c>
      <x:c r="E998" s="34" t="str">
        <x:v>Coverage</x:v>
      </x:c>
      <x:c r="F998" s="34" t="n">
        <x:v>629</x:v>
      </x:c>
      <x:c r="G998" s="34" t="str">
        <x:v>RECORDED</x:v>
      </x:c>
      <x:c r="H998" s="38" t="n">
        <x:f>IF(ISNUMBER('Data'!G998),'Data'!G998*100,"")</x:f>
        <x:v>7.629999999999999</x:v>
      </x:c>
      <x:c r="I998" s="34" t="str">
        <x:v>PASS</x:v>
      </x:c>
      <x:c r="J998" s="34" t="str">
        <x:v>PASS</x:v>
      </x:c>
      <x:c r="K998" s="34" t="str">
        <x:v>PASS</x:v>
      </x:c>
      <x:c r="L998" s="34" t="str">
        <x:v>PASS</x:v>
      </x:c>
      <x:c r="M998" s="34" t="str">
        <x:v>numeric coverage for applicable metric</x:v>
      </x:c>
      <x:c r="N998" s="34" t="str">
        <x:v>Feedback-Directed Random Test Generation/Result_Round2/Closure_79/result.json</x:v>
      </x:c>
      <x:c r="O998" s="38" t="n">
        <x:f>IF(AND(G998="RECORDED",ISNUMBER(H998)),H998,"")</x:f>
        <x:v>7.629999999999999</x:v>
      </x:c>
      <x:c r="P998" s="34" t="str">
        <x:v>NOT_REVEALING</x:v>
      </x:c>
      <x:c r="Q998" s="34" t="str">
        <x:v>Feedback-Directed Random Test Generation/Result_Round2/Closure_79/result.json</x:v>
      </x:c>
    </x:row>
    <x:row r="999">
      <x:c r="A999" s="34" t="str">
        <x:v>randoop</x:v>
      </x:c>
      <x:c r="B999" s="34" t="str">
        <x:v>Closure</x:v>
      </x:c>
      <x:c r="C999" s="34" t="str">
        <x:v>Round2</x:v>
      </x:c>
      <x:c r="D999" s="34" t="str">
        <x:v>Closure_80</x:v>
      </x:c>
      <x:c r="E999" s="34" t="str">
        <x:v>Coverage</x:v>
      </x:c>
      <x:c r="F999" s="34" t="n">
        <x:v>1802</x:v>
      </x:c>
      <x:c r="G999" s="34" t="str">
        <x:v>RECORDED</x:v>
      </x:c>
      <x:c r="H999" s="38" t="n">
        <x:f>IF(ISNUMBER('Data'!G999),'Data'!G999*100,"")</x:f>
        <x:v>40.51</x:v>
      </x:c>
      <x:c r="I999" s="34" t="str">
        <x:v>PASS</x:v>
      </x:c>
      <x:c r="J999" s="34" t="str">
        <x:v>PASS</x:v>
      </x:c>
      <x:c r="K999" s="34" t="str">
        <x:v>PASS</x:v>
      </x:c>
      <x:c r="L999" s="34" t="str">
        <x:v>PASS</x:v>
      </x:c>
      <x:c r="M999" s="34" t="str">
        <x:v>numeric coverage for applicable metric</x:v>
      </x:c>
      <x:c r="N999" s="34" t="str">
        <x:v>Feedback-Directed Random Test Generation/Result_Round2/Closure_80/result.json</x:v>
      </x:c>
      <x:c r="O999" s="38" t="n">
        <x:f>IF(AND(G999="RECORDED",ISNUMBER(H999)),H999,"")</x:f>
        <x:v>40.51</x:v>
      </x:c>
      <x:c r="P999" s="34" t="str">
        <x:v>NOT_REVEALING</x:v>
      </x:c>
      <x:c r="Q999" s="34" t="str">
        <x:v>Feedback-Directed Random Test Generation/Result_Round2/Closure_80/result.json</x:v>
      </x:c>
    </x:row>
    <x:row r="1000">
      <x:c r="A1000" s="34" t="str">
        <x:v>randoop</x:v>
      </x:c>
      <x:c r="B1000" s="34" t="str">
        <x:v>Closure</x:v>
      </x:c>
      <x:c r="C1000" s="34" t="str">
        <x:v>Round2</x:v>
      </x:c>
      <x:c r="D1000" s="34" t="str">
        <x:v>Closure_81</x:v>
      </x:c>
      <x:c r="E1000" s="34" t="str">
        <x:v>Coverage</x:v>
      </x:c>
      <x:c r="F1000" s="34" t="n">
        <x:v>906</x:v>
      </x:c>
      <x:c r="G1000" s="34" t="str">
        <x:v>RECORDED</x:v>
      </x:c>
      <x:c r="H1000" s="38" t="n">
        <x:f>IF(ISNUMBER('Data'!G1000),'Data'!G1000*100,"")</x:f>
        <x:v>0.11</x:v>
      </x:c>
      <x:c r="I1000" s="34" t="str">
        <x:v>PASS</x:v>
      </x:c>
      <x:c r="J1000" s="34" t="str">
        <x:v>PASS</x:v>
      </x:c>
      <x:c r="K1000" s="34" t="str">
        <x:v>PASS</x:v>
      </x:c>
      <x:c r="L1000" s="34" t="str">
        <x:v>PASS</x:v>
      </x:c>
      <x:c r="M1000" s="34" t="str">
        <x:v>numeric coverage for applicable metric</x:v>
      </x:c>
      <x:c r="N1000" s="34" t="str">
        <x:v>Feedback-Directed Random Test Generation/Result_Round2/Closure_81/result.json</x:v>
      </x:c>
      <x:c r="O1000" s="38" t="n">
        <x:f>IF(AND(G1000="RECORDED",ISNUMBER(H1000)),H1000,"")</x:f>
        <x:v>0.11</x:v>
      </x:c>
      <x:c r="P1000" s="34" t="str">
        <x:v>NOT_REVEALING</x:v>
      </x:c>
      <x:c r="Q1000" s="34" t="str">
        <x:v>Feedback-Directed Random Test Generation/Result_Round2/Closure_81/result.json</x:v>
      </x:c>
    </x:row>
    <x:row r="1001">
      <x:c r="A1001" s="34" t="str">
        <x:v>randoop</x:v>
      </x:c>
      <x:c r="B1001" s="34" t="str">
        <x:v>Closure</x:v>
      </x:c>
      <x:c r="C1001" s="34" t="str">
        <x:v>Round2</x:v>
      </x:c>
      <x:c r="D1001" s="34" t="str">
        <x:v>Closure_82</x:v>
      </x:c>
      <x:c r="E1001" s="34" t="str">
        <x:v>Coverage</x:v>
      </x:c>
      <x:c r="F1001" s="34" t="n">
        <x:v>378</x:v>
      </x:c>
      <x:c r="G1001" s="34" t="str">
        <x:v>RECORDED</x:v>
      </x:c>
      <x:c r="H1001" s="38" t="n">
        <x:f>IF(ISNUMBER('Data'!G1001),'Data'!G1001*100,"")</x:f>
        <x:v>3.44</x:v>
      </x:c>
      <x:c r="I1001" s="34" t="str">
        <x:v>PASS</x:v>
      </x:c>
      <x:c r="J1001" s="34" t="str">
        <x:v>PASS</x:v>
      </x:c>
      <x:c r="K1001" s="34" t="str">
        <x:v>PASS</x:v>
      </x:c>
      <x:c r="L1001" s="34" t="str">
        <x:v>PASS</x:v>
      </x:c>
      <x:c r="M1001" s="34" t="str">
        <x:v>numeric coverage for applicable metric</x:v>
      </x:c>
      <x:c r="N1001" s="34" t="str">
        <x:v>Feedback-Directed Random Test Generation/Result_Round2/Closure_82/result.json</x:v>
      </x:c>
      <x:c r="O1001" s="38" t="n">
        <x:f>IF(AND(G1001="RECORDED",ISNUMBER(H1001)),H1001,"")</x:f>
        <x:v>3.44</x:v>
      </x:c>
      <x:c r="P1001" s="34" t="str">
        <x:v>NOT_REVEALING</x:v>
      </x:c>
      <x:c r="Q1001" s="34" t="str">
        <x:v>Feedback-Directed Random Test Generation/Result_Round2/Closure_82/result.json</x:v>
      </x:c>
    </x:row>
    <x:row r="1002">
      <x:c r="A1002" s="34" t="str">
        <x:v>randoop</x:v>
      </x:c>
      <x:c r="B1002" s="34" t="str">
        <x:v>Closure</x:v>
      </x:c>
      <x:c r="C1002" s="34" t="str">
        <x:v>Round2</x:v>
      </x:c>
      <x:c r="D1002" s="34" t="str">
        <x:v>Closure_83</x:v>
      </x:c>
      <x:c r="E1002" s="34" t="str">
        <x:v>Coverage</x:v>
      </x:c>
      <x:c r="F1002" s="34" t="n">
        <x:v>0</x:v>
      </x:c>
      <x:c r="G1002" s="34" t="str">
        <x:v>A</x:v>
      </x:c>
      <x:c r="H1002" s="38" t="str">
        <x:f>IF(ISNUMBER('Data'!G1002),'Data'!G1002*100,"")</x:f>
      </x:c>
      <x:c r="I1002" s="34"/>
      <x:c r="J1002" s="34"/>
      <x:c r="K1002" s="34"/>
      <x:c r="L1002" s="34" t="str">
        <x:v>NOT_RUN</x:v>
      </x:c>
      <x:c r="M1002" s="34" t="str">
        <x:v>Latest same-round generation failed; older files/results are excluded</x:v>
      </x:c>
      <x:c r="N1002" s="34" t="str">
        <x:v>Feedback-Directed Random Test Generation/report_Round2.csv</x:v>
      </x:c>
      <x:c r="O1002" s="38" t="str">
        <x:f>IF(AND(G1002="RECORDED",ISNUMBER(H1002)),H1002,"")</x:f>
      </x:c>
      <x:c r="P1002" s="34" t="str">
        <x:v>FAIL</x:v>
      </x:c>
      <x:c r="Q1002" s="34"/>
    </x:row>
    <x:row r="1003">
      <x:c r="A1003" s="34" t="str">
        <x:v>randoop</x:v>
      </x:c>
      <x:c r="B1003" s="34" t="str">
        <x:v>Closure</x:v>
      </x:c>
      <x:c r="C1003" s="34" t="str">
        <x:v>Round2</x:v>
      </x:c>
      <x:c r="D1003" s="34" t="str">
        <x:v>Closure_84</x:v>
      </x:c>
      <x:c r="E1003" s="34" t="str">
        <x:v>Coverage</x:v>
      </x:c>
      <x:c r="F1003" s="34" t="n">
        <x:v>845</x:v>
      </x:c>
      <x:c r="G1003" s="34" t="str">
        <x:v>RECORDED</x:v>
      </x:c>
      <x:c r="H1003" s="38" t="n">
        <x:f>IF(ISNUMBER('Data'!G1003),'Data'!G1003*100,"")</x:f>
        <x:v>0.12</x:v>
      </x:c>
      <x:c r="I1003" s="34" t="str">
        <x:v>PASS</x:v>
      </x:c>
      <x:c r="J1003" s="34" t="str">
        <x:v>PASS</x:v>
      </x:c>
      <x:c r="K1003" s="34" t="str">
        <x:v>PASS</x:v>
      </x:c>
      <x:c r="L1003" s="34" t="str">
        <x:v>PASS</x:v>
      </x:c>
      <x:c r="M1003" s="34" t="str">
        <x:v>numeric coverage for applicable metric</x:v>
      </x:c>
      <x:c r="N1003" s="34" t="str">
        <x:v>Feedback-Directed Random Test Generation/Result_Round2/Closure_84/result.json</x:v>
      </x:c>
      <x:c r="O1003" s="38" t="n">
        <x:f>IF(AND(G1003="RECORDED",ISNUMBER(H1003)),H1003,"")</x:f>
        <x:v>0.12</x:v>
      </x:c>
      <x:c r="P1003" s="34" t="str">
        <x:v>NOT_REVEALING</x:v>
      </x:c>
      <x:c r="Q1003" s="34" t="str">
        <x:v>Feedback-Directed Random Test Generation/Result_Round2/Closure_84/result.json</x:v>
      </x:c>
    </x:row>
    <x:row r="1004">
      <x:c r="A1004" s="34" t="str">
        <x:v>randoop</x:v>
      </x:c>
      <x:c r="B1004" s="34" t="str">
        <x:v>Closure</x:v>
      </x:c>
      <x:c r="C1004" s="34" t="str">
        <x:v>Round2</x:v>
      </x:c>
      <x:c r="D1004" s="34" t="str">
        <x:v>Closure_85</x:v>
      </x:c>
      <x:c r="E1004" s="34" t="str">
        <x:v>Coverage</x:v>
      </x:c>
      <x:c r="F1004" s="34" t="n">
        <x:v>134</x:v>
      </x:c>
      <x:c r="G1004" s="34" t="str">
        <x:v>RECORDED</x:v>
      </x:c>
      <x:c r="H1004" s="38" t="n">
        <x:f>IF(ISNUMBER('Data'!G1004),'Data'!G1004*100,"")</x:f>
        <x:v>10.45</x:v>
      </x:c>
      <x:c r="I1004" s="34" t="str">
        <x:v>PASS</x:v>
      </x:c>
      <x:c r="J1004" s="34" t="str">
        <x:v>PASS</x:v>
      </x:c>
      <x:c r="K1004" s="34" t="str">
        <x:v>PASS</x:v>
      </x:c>
      <x:c r="L1004" s="34" t="str">
        <x:v>PASS</x:v>
      </x:c>
      <x:c r="M1004" s="34" t="str">
        <x:v>numeric coverage for applicable metric</x:v>
      </x:c>
      <x:c r="N1004" s="34" t="str">
        <x:v>Feedback-Directed Random Test Generation/Result_Round2/Closure_85/result.json</x:v>
      </x:c>
      <x:c r="O1004" s="38" t="n">
        <x:f>IF(AND(G1004="RECORDED",ISNUMBER(H1004)),H1004,"")</x:f>
        <x:v>10.45</x:v>
      </x:c>
      <x:c r="P1004" s="34" t="str">
        <x:v>NOT_REVEALING</x:v>
      </x:c>
      <x:c r="Q1004" s="34" t="str">
        <x:v>Feedback-Directed Random Test Generation/Result_Round2/Closure_85/result.json</x:v>
      </x:c>
    </x:row>
    <x:row r="1005">
      <x:c r="A1005" s="34" t="str">
        <x:v>randoop</x:v>
      </x:c>
      <x:c r="B1005" s="34" t="str">
        <x:v>Closure</x:v>
      </x:c>
      <x:c r="C1005" s="34" t="str">
        <x:v>Round2</x:v>
      </x:c>
      <x:c r="D1005" s="34" t="str">
        <x:v>Closure_86</x:v>
      </x:c>
      <x:c r="E1005" s="34" t="str">
        <x:v>Coverage</x:v>
      </x:c>
      <x:c r="F1005" s="34" t="n">
        <x:v>1478</x:v>
      </x:c>
      <x:c r="G1005" s="34" t="str">
        <x:v>RECORDED</x:v>
      </x:c>
      <x:c r="H1005" s="38" t="n">
        <x:f>IF(ISNUMBER('Data'!G1005),'Data'!G1005*100,"")</x:f>
        <x:v>41.27</x:v>
      </x:c>
      <x:c r="I1005" s="34" t="str">
        <x:v>PASS</x:v>
      </x:c>
      <x:c r="J1005" s="34" t="str">
        <x:v>PASS</x:v>
      </x:c>
      <x:c r="K1005" s="34" t="str">
        <x:v>PASS</x:v>
      </x:c>
      <x:c r="L1005" s="34" t="str">
        <x:v>PASS</x:v>
      </x:c>
      <x:c r="M1005" s="34" t="str">
        <x:v>numeric coverage for applicable metric</x:v>
      </x:c>
      <x:c r="N1005" s="34" t="str">
        <x:v>Feedback-Directed Random Test Generation/Result_Round2/Closure_86/result.json</x:v>
      </x:c>
      <x:c r="O1005" s="38" t="n">
        <x:f>IF(AND(G1005="RECORDED",ISNUMBER(H1005)),H1005,"")</x:f>
        <x:v>41.27</x:v>
      </x:c>
      <x:c r="P1005" s="34" t="str">
        <x:v>NOT_REVEALING</x:v>
      </x:c>
      <x:c r="Q1005" s="34" t="str">
        <x:v>Feedback-Directed Random Test Generation/Result_Round2/Closure_86/result.json</x:v>
      </x:c>
    </x:row>
    <x:row r="1006">
      <x:c r="A1006" s="34" t="str">
        <x:v>randoop</x:v>
      </x:c>
      <x:c r="B1006" s="34" t="str">
        <x:v>Closure</x:v>
      </x:c>
      <x:c r="C1006" s="34" t="str">
        <x:v>Round2</x:v>
      </x:c>
      <x:c r="D1006" s="34" t="str">
        <x:v>Closure_87</x:v>
      </x:c>
      <x:c r="E1006" s="34" t="str">
        <x:v>Coverage</x:v>
      </x:c>
      <x:c r="F1006" s="34" t="n">
        <x:v>764</x:v>
      </x:c>
      <x:c r="G1006" s="34" t="str">
        <x:v>RECORDED</x:v>
      </x:c>
      <x:c r="H1006" s="38" t="n">
        <x:f>IF(ISNUMBER('Data'!G1006),'Data'!G1006*100,"")</x:f>
        <x:v>1.96</x:v>
      </x:c>
      <x:c r="I1006" s="34" t="str">
        <x:v>PASS</x:v>
      </x:c>
      <x:c r="J1006" s="34" t="str">
        <x:v>PASS</x:v>
      </x:c>
      <x:c r="K1006" s="34" t="str">
        <x:v>PASS</x:v>
      </x:c>
      <x:c r="L1006" s="34" t="str">
        <x:v>PASS</x:v>
      </x:c>
      <x:c r="M1006" s="34" t="str">
        <x:v>numeric coverage for applicable metric</x:v>
      </x:c>
      <x:c r="N1006" s="34" t="str">
        <x:v>Feedback-Directed Random Test Generation/Result_Round2/Closure_87/result.json</x:v>
      </x:c>
      <x:c r="O1006" s="38" t="n">
        <x:f>IF(AND(G1006="RECORDED",ISNUMBER(H1006)),H1006,"")</x:f>
        <x:v>1.96</x:v>
      </x:c>
      <x:c r="P1006" s="34" t="str">
        <x:v>NOT_REVEALING</x:v>
      </x:c>
      <x:c r="Q1006" s="34" t="str">
        <x:v>Feedback-Directed Random Test Generation/Result_Round2/Closure_87/result.json</x:v>
      </x:c>
    </x:row>
    <x:row r="1007">
      <x:c r="A1007" s="34" t="str">
        <x:v>randoop</x:v>
      </x:c>
      <x:c r="B1007" s="34" t="str">
        <x:v>Closure</x:v>
      </x:c>
      <x:c r="C1007" s="34" t="str">
        <x:v>Round2</x:v>
      </x:c>
      <x:c r="D1007" s="34" t="str">
        <x:v>Closure_88</x:v>
      </x:c>
      <x:c r="E1007" s="34" t="str">
        <x:v>Coverage</x:v>
      </x:c>
      <x:c r="F1007" s="34" t="n">
        <x:v>232</x:v>
      </x:c>
      <x:c r="G1007" s="34" t="str">
        <x:v>RECORDED</x:v>
      </x:c>
      <x:c r="H1007" s="38" t="n">
        <x:f>IF(ISNUMBER('Data'!G1007),'Data'!G1007*100,"")</x:f>
        <x:v>3.88</x:v>
      </x:c>
      <x:c r="I1007" s="34" t="str">
        <x:v>PASS</x:v>
      </x:c>
      <x:c r="J1007" s="34" t="str">
        <x:v>PASS</x:v>
      </x:c>
      <x:c r="K1007" s="34" t="str">
        <x:v>PASS</x:v>
      </x:c>
      <x:c r="L1007" s="34" t="str">
        <x:v>PASS</x:v>
      </x:c>
      <x:c r="M1007" s="34" t="str">
        <x:v>numeric coverage for applicable metric</x:v>
      </x:c>
      <x:c r="N1007" s="34" t="str">
        <x:v>Feedback-Directed Random Test Generation/Result_Round2/Closure_88/result.json</x:v>
      </x:c>
      <x:c r="O1007" s="38" t="n">
        <x:f>IF(AND(G1007="RECORDED",ISNUMBER(H1007)),H1007,"")</x:f>
        <x:v>3.88</x:v>
      </x:c>
      <x:c r="P1007" s="34" t="str">
        <x:v>NOT_REVEALING</x:v>
      </x:c>
      <x:c r="Q1007" s="34" t="str">
        <x:v>Feedback-Directed Random Test Generation/Result_Round2/Closure_88/result.json</x:v>
      </x:c>
    </x:row>
    <x:row r="1008">
      <x:c r="A1008" s="34" t="str">
        <x:v>randoop</x:v>
      </x:c>
      <x:c r="B1008" s="34" t="str">
        <x:v>Closure</x:v>
      </x:c>
      <x:c r="C1008" s="34" t="str">
        <x:v>Round2</x:v>
      </x:c>
      <x:c r="D1008" s="34" t="str">
        <x:v>Closure_89</x:v>
      </x:c>
      <x:c r="E1008" s="34" t="str">
        <x:v>Coverage</x:v>
      </x:c>
      <x:c r="F1008" s="34" t="n">
        <x:v>1235</x:v>
      </x:c>
      <x:c r="G1008" s="34" t="str">
        <x:v>RECORDED</x:v>
      </x:c>
      <x:c r="H1008" s="38" t="n">
        <x:f>IF(ISNUMBER('Data'!G1008),'Data'!G1008*100,"")</x:f>
        <x:v>16.36</x:v>
      </x:c>
      <x:c r="I1008" s="34" t="str">
        <x:v>PASS</x:v>
      </x:c>
      <x:c r="J1008" s="34" t="str">
        <x:v>PASS</x:v>
      </x:c>
      <x:c r="K1008" s="34" t="str">
        <x:v>PASS</x:v>
      </x:c>
      <x:c r="L1008" s="34" t="str">
        <x:v>PASS</x:v>
      </x:c>
      <x:c r="M1008" s="34" t="str">
        <x:v>numeric coverage for applicable metric</x:v>
      </x:c>
      <x:c r="N1008" s="34" t="str">
        <x:v>Feedback-Directed Random Test Generation/Result_Round2/Closure_89/result.json</x:v>
      </x:c>
      <x:c r="O1008" s="38" t="n">
        <x:f>IF(AND(G1008="RECORDED",ISNUMBER(H1008)),H1008,"")</x:f>
        <x:v>16.36</x:v>
      </x:c>
      <x:c r="P1008" s="34" t="str">
        <x:v>NOT_REVEALING</x:v>
      </x:c>
      <x:c r="Q1008" s="34" t="str">
        <x:v>Feedback-Directed Random Test Generation/Result_Round2/Closure_89/result.json</x:v>
      </x:c>
    </x:row>
    <x:row r="1009">
      <x:c r="A1009" s="34" t="str">
        <x:v>randoop</x:v>
      </x:c>
      <x:c r="B1009" s="34" t="str">
        <x:v>Closure</x:v>
      </x:c>
      <x:c r="C1009" s="34" t="str">
        <x:v>Round2</x:v>
      </x:c>
      <x:c r="D1009" s="34" t="str">
        <x:v>Closure_90</x:v>
      </x:c>
      <x:c r="E1009" s="34" t="str">
        <x:v>Coverage</x:v>
      </x:c>
      <x:c r="F1009" s="34" t="n">
        <x:v>1178</x:v>
      </x:c>
      <x:c r="G1009" s="34" t="str">
        <x:v>RECORDED</x:v>
      </x:c>
      <x:c r="H1009" s="38" t="n">
        <x:f>IF(ISNUMBER('Data'!G1009),'Data'!G1009*100,"")</x:f>
        <x:v>2.21</x:v>
      </x:c>
      <x:c r="I1009" s="34" t="str">
        <x:v>PASS</x:v>
      </x:c>
      <x:c r="J1009" s="34" t="str">
        <x:v>PASS</x:v>
      </x:c>
      <x:c r="K1009" s="34" t="str">
        <x:v>PASS</x:v>
      </x:c>
      <x:c r="L1009" s="34" t="str">
        <x:v>PASS</x:v>
      </x:c>
      <x:c r="M1009" s="34" t="str">
        <x:v>numeric coverage for applicable metric</x:v>
      </x:c>
      <x:c r="N1009" s="34" t="str">
        <x:v>Feedback-Directed Random Test Generation/Result_Round2/Closure_90/result.json</x:v>
      </x:c>
      <x:c r="O1009" s="38" t="n">
        <x:f>IF(AND(G1009="RECORDED",ISNUMBER(H1009)),H1009,"")</x:f>
        <x:v>2.21</x:v>
      </x:c>
      <x:c r="P1009" s="34" t="str">
        <x:v>NOT_REVEALING</x:v>
      </x:c>
      <x:c r="Q1009" s="34" t="str">
        <x:v>Feedback-Directed Random Test Generation/Result_Round2/Closure_90/result.json</x:v>
      </x:c>
    </x:row>
    <x:row r="1010">
      <x:c r="A1010" s="34" t="str">
        <x:v>randoop</x:v>
      </x:c>
      <x:c r="B1010" s="34" t="str">
        <x:v>Closure</x:v>
      </x:c>
      <x:c r="C1010" s="34" t="str">
        <x:v>Round2</x:v>
      </x:c>
      <x:c r="D1010" s="34" t="str">
        <x:v>Closure_91</x:v>
      </x:c>
      <x:c r="E1010" s="34" t="str">
        <x:v>Coverage</x:v>
      </x:c>
      <x:c r="F1010" s="34" t="n">
        <x:v>117</x:v>
      </x:c>
      <x:c r="G1010" s="34" t="str">
        <x:v>RECORDED</x:v>
      </x:c>
      <x:c r="H1010" s="38" t="n">
        <x:f>IF(ISNUMBER('Data'!G1010),'Data'!G1010*100,"")</x:f>
        <x:v>6.84</x:v>
      </x:c>
      <x:c r="I1010" s="34" t="str">
        <x:v>PASS</x:v>
      </x:c>
      <x:c r="J1010" s="34" t="str">
        <x:v>PASS</x:v>
      </x:c>
      <x:c r="K1010" s="34" t="str">
        <x:v>PASS</x:v>
      </x:c>
      <x:c r="L1010" s="34" t="str">
        <x:v>PASS</x:v>
      </x:c>
      <x:c r="M1010" s="34" t="str">
        <x:v>numeric coverage for applicable metric</x:v>
      </x:c>
      <x:c r="N1010" s="34" t="str">
        <x:v>Feedback-Directed Random Test Generation/Result_Round2/Closure_91/result.json</x:v>
      </x:c>
      <x:c r="O1010" s="38" t="n">
        <x:f>IF(AND(G1010="RECORDED",ISNUMBER(H1010)),H1010,"")</x:f>
        <x:v>6.84</x:v>
      </x:c>
      <x:c r="P1010" s="34" t="str">
        <x:v>NOT_REVEALING</x:v>
      </x:c>
      <x:c r="Q1010" s="34" t="str">
        <x:v>Feedback-Directed Random Test Generation/Result_Round2/Closure_91/result.json</x:v>
      </x:c>
    </x:row>
    <x:row r="1011">
      <x:c r="A1011" s="34" t="str">
        <x:v>randoop</x:v>
      </x:c>
      <x:c r="B1011" s="34" t="str">
        <x:v>Closure</x:v>
      </x:c>
      <x:c r="C1011" s="34" t="str">
        <x:v>Round2</x:v>
      </x:c>
      <x:c r="D1011" s="34" t="str">
        <x:v>Closure_92</x:v>
      </x:c>
      <x:c r="E1011" s="34" t="str">
        <x:v>Coverage</x:v>
      </x:c>
      <x:c r="F1011" s="34" t="n">
        <x:v>667</x:v>
      </x:c>
      <x:c r="G1011" s="34" t="str">
        <x:v>RECORDED</x:v>
      </x:c>
      <x:c r="H1011" s="38" t="n">
        <x:f>IF(ISNUMBER('Data'!G1011),'Data'!G1011*100,"")</x:f>
        <x:v>3</x:v>
      </x:c>
      <x:c r="I1011" s="34" t="str">
        <x:v>PASS</x:v>
      </x:c>
      <x:c r="J1011" s="34" t="str">
        <x:v>PASS</x:v>
      </x:c>
      <x:c r="K1011" s="34" t="str">
        <x:v>PASS</x:v>
      </x:c>
      <x:c r="L1011" s="34" t="str">
        <x:v>PASS</x:v>
      </x:c>
      <x:c r="M1011" s="34" t="str">
        <x:v>numeric coverage for applicable metric</x:v>
      </x:c>
      <x:c r="N1011" s="34" t="str">
        <x:v>Feedback-Directed Random Test Generation/Result_Round2/Closure_92/result.json</x:v>
      </x:c>
      <x:c r="O1011" s="38" t="n">
        <x:f>IF(AND(G1011="RECORDED",ISNUMBER(H1011)),H1011,"")</x:f>
        <x:v>3</x:v>
      </x:c>
      <x:c r="P1011" s="34" t="str">
        <x:v>NOT_REVEALING</x:v>
      </x:c>
      <x:c r="Q1011" s="34" t="str">
        <x:v>Feedback-Directed Random Test Generation/Result_Round2/Closure_92/result.json</x:v>
      </x:c>
    </x:row>
    <x:row r="1012">
      <x:c r="A1012" s="34" t="str">
        <x:v>randoop</x:v>
      </x:c>
      <x:c r="B1012" s="34" t="str">
        <x:v>Closure</x:v>
      </x:c>
      <x:c r="C1012" s="34" t="str">
        <x:v>Round2</x:v>
      </x:c>
      <x:c r="D1012" s="34" t="str">
        <x:v>Closure_94</x:v>
      </x:c>
      <x:c r="E1012" s="34" t="str">
        <x:v>Coverage</x:v>
      </x:c>
      <x:c r="F1012" s="34" t="n">
        <x:v>1344</x:v>
      </x:c>
      <x:c r="G1012" s="34" t="str">
        <x:v>RECORDED</x:v>
      </x:c>
      <x:c r="H1012" s="38" t="n">
        <x:f>IF(ISNUMBER('Data'!G1012),'Data'!G1012*100,"")</x:f>
        <x:v>43.68</x:v>
      </x:c>
      <x:c r="I1012" s="34" t="str">
        <x:v>PASS</x:v>
      </x:c>
      <x:c r="J1012" s="34" t="str">
        <x:v>PASS</x:v>
      </x:c>
      <x:c r="K1012" s="34" t="str">
        <x:v>PASS</x:v>
      </x:c>
      <x:c r="L1012" s="34" t="str">
        <x:v>FAIL</x:v>
      </x:c>
      <x:c r="M1012" s="34" t="str">
        <x:v>numeric coverage for applicable metric</x:v>
      </x:c>
      <x:c r="N1012" s="34" t="str">
        <x:v>Feedback-Directed Random Test Generation/Result_Round2/Closure_94/result.json</x:v>
      </x:c>
      <x:c r="O1012" s="38" t="n">
        <x:f>IF(AND(G1012="RECORDED",ISNUMBER(H1012)),H1012,"")</x:f>
        <x:v>43.68</x:v>
      </x:c>
      <x:c r="P1012" s="34" t="str">
        <x:v>INCONCLUSIVE</x:v>
      </x:c>
      <x:c r="Q1012" s="34" t="str">
        <x:v>Feedback-Directed Random Test Generation/Result_Round2/Closure_94/result.json</x:v>
      </x:c>
    </x:row>
    <x:row r="1013">
      <x:c r="A1013" s="34" t="str">
        <x:v>randoop</x:v>
      </x:c>
      <x:c r="B1013" s="34" t="str">
        <x:v>Closure</x:v>
      </x:c>
      <x:c r="C1013" s="34" t="str">
        <x:v>Round2</x:v>
      </x:c>
      <x:c r="D1013" s="34" t="str">
        <x:v>Closure_95</x:v>
      </x:c>
      <x:c r="E1013" s="34" t="str">
        <x:v>Coverage</x:v>
      </x:c>
      <x:c r="F1013" s="34" t="n">
        <x:v>1150</x:v>
      </x:c>
      <x:c r="G1013" s="34" t="str">
        <x:v>RECORDED</x:v>
      </x:c>
      <x:c r="H1013" s="38" t="n">
        <x:f>IF(ISNUMBER('Data'!G1013),'Data'!G1013*100,"")</x:f>
        <x:v>0.96</x:v>
      </x:c>
      <x:c r="I1013" s="34" t="str">
        <x:v>PASS</x:v>
      </x:c>
      <x:c r="J1013" s="34" t="str">
        <x:v>PASS</x:v>
      </x:c>
      <x:c r="K1013" s="34" t="str">
        <x:v>PASS</x:v>
      </x:c>
      <x:c r="L1013" s="34" t="str">
        <x:v>PASS</x:v>
      </x:c>
      <x:c r="M1013" s="34" t="str">
        <x:v>numeric coverage for applicable metric</x:v>
      </x:c>
      <x:c r="N1013" s="34" t="str">
        <x:v>Feedback-Directed Random Test Generation/Result_Round2/Closure_95/result.json</x:v>
      </x:c>
      <x:c r="O1013" s="38" t="n">
        <x:f>IF(AND(G1013="RECORDED",ISNUMBER(H1013)),H1013,"")</x:f>
        <x:v>0.96</x:v>
      </x:c>
      <x:c r="P1013" s="34" t="str">
        <x:v>NOT_REVEALING</x:v>
      </x:c>
      <x:c r="Q1013" s="34" t="str">
        <x:v>Feedback-Directed Random Test Generation/Result_Round2/Closure_95/result.json</x:v>
      </x:c>
    </x:row>
    <x:row r="1014">
      <x:c r="A1014" s="34" t="str">
        <x:v>randoop</x:v>
      </x:c>
      <x:c r="B1014" s="34" t="str">
        <x:v>Closure</x:v>
      </x:c>
      <x:c r="C1014" s="34" t="str">
        <x:v>Round2</x:v>
      </x:c>
      <x:c r="D1014" s="34" t="str">
        <x:v>Closure_96</x:v>
      </x:c>
      <x:c r="E1014" s="34" t="str">
        <x:v>Coverage</x:v>
      </x:c>
      <x:c r="F1014" s="34" t="n">
        <x:v>1110</x:v>
      </x:c>
      <x:c r="G1014" s="34" t="str">
        <x:v>RECORDED</x:v>
      </x:c>
      <x:c r="H1014" s="38" t="n">
        <x:f>IF(ISNUMBER('Data'!G1014),'Data'!G1014*100,"")</x:f>
        <x:v>5.86</x:v>
      </x:c>
      <x:c r="I1014" s="34" t="str">
        <x:v>PASS</x:v>
      </x:c>
      <x:c r="J1014" s="34" t="str">
        <x:v>PASS</x:v>
      </x:c>
      <x:c r="K1014" s="34" t="str">
        <x:v>PASS</x:v>
      </x:c>
      <x:c r="L1014" s="34" t="str">
        <x:v>PASS</x:v>
      </x:c>
      <x:c r="M1014" s="34" t="str">
        <x:v>numeric coverage for applicable metric</x:v>
      </x:c>
      <x:c r="N1014" s="34" t="str">
        <x:v>Feedback-Directed Random Test Generation/Result_Round2/Closure_96/result.json</x:v>
      </x:c>
      <x:c r="O1014" s="38" t="n">
        <x:f>IF(AND(G1014="RECORDED",ISNUMBER(H1014)),H1014,"")</x:f>
        <x:v>5.86</x:v>
      </x:c>
      <x:c r="P1014" s="34" t="str">
        <x:v>NOT_REVEALING</x:v>
      </x:c>
      <x:c r="Q1014" s="34" t="str">
        <x:v>Feedback-Directed Random Test Generation/Result_Round2/Closure_96/result.json</x:v>
      </x:c>
    </x:row>
    <x:row r="1015">
      <x:c r="A1015" s="34" t="str">
        <x:v>randoop</x:v>
      </x:c>
      <x:c r="B1015" s="34" t="str">
        <x:v>Closure</x:v>
      </x:c>
      <x:c r="C1015" s="34" t="str">
        <x:v>Round2</x:v>
      </x:c>
      <x:c r="D1015" s="34" t="str">
        <x:v>Closure_97</x:v>
      </x:c>
      <x:c r="E1015" s="34" t="str">
        <x:v>Coverage</x:v>
      </x:c>
      <x:c r="F1015" s="34" t="n">
        <x:v>992</x:v>
      </x:c>
      <x:c r="G1015" s="34" t="str">
        <x:v>RECORDED</x:v>
      </x:c>
      <x:c r="H1015" s="38" t="n">
        <x:f>IF(ISNUMBER('Data'!G1015),'Data'!G1015*100,"")</x:f>
        <x:v>1.41</x:v>
      </x:c>
      <x:c r="I1015" s="34" t="str">
        <x:v>PASS</x:v>
      </x:c>
      <x:c r="J1015" s="34" t="str">
        <x:v>PASS</x:v>
      </x:c>
      <x:c r="K1015" s="34" t="str">
        <x:v>PASS</x:v>
      </x:c>
      <x:c r="L1015" s="34" t="str">
        <x:v>PASS</x:v>
      </x:c>
      <x:c r="M1015" s="34" t="str">
        <x:v>numeric coverage for applicable metric</x:v>
      </x:c>
      <x:c r="N1015" s="34" t="str">
        <x:v>Feedback-Directed Random Test Generation/Result_Round2/Closure_97/result.json</x:v>
      </x:c>
      <x:c r="O1015" s="38" t="n">
        <x:f>IF(AND(G1015="RECORDED",ISNUMBER(H1015)),H1015,"")</x:f>
        <x:v>1.41</x:v>
      </x:c>
      <x:c r="P1015" s="34" t="str">
        <x:v>NOT_REVEALING</x:v>
      </x:c>
      <x:c r="Q1015" s="34" t="str">
        <x:v>Feedback-Directed Random Test Generation/Result_Round2/Closure_97/result.json</x:v>
      </x:c>
    </x:row>
    <x:row r="1016">
      <x:c r="A1016" s="34" t="str">
        <x:v>randoop</x:v>
      </x:c>
      <x:c r="B1016" s="34" t="str">
        <x:v>Closure</x:v>
      </x:c>
      <x:c r="C1016" s="34" t="str">
        <x:v>Round2</x:v>
      </x:c>
      <x:c r="D1016" s="34" t="str">
        <x:v>Closure_98</x:v>
      </x:c>
      <x:c r="E1016" s="34" t="str">
        <x:v>Coverage</x:v>
      </x:c>
      <x:c r="F1016" s="34" t="n">
        <x:v>295</x:v>
      </x:c>
      <x:c r="G1016" s="34" t="str">
        <x:v>RECORDED</x:v>
      </x:c>
      <x:c r="H1016" s="38" t="n">
        <x:f>IF(ISNUMBER('Data'!G1016),'Data'!G1016*100,"")</x:f>
        <x:v>27.12</x:v>
      </x:c>
      <x:c r="I1016" s="34" t="str">
        <x:v>PASS</x:v>
      </x:c>
      <x:c r="J1016" s="34" t="str">
        <x:v>PASS</x:v>
      </x:c>
      <x:c r="K1016" s="34" t="str">
        <x:v>PASS</x:v>
      </x:c>
      <x:c r="L1016" s="34" t="str">
        <x:v>PASS</x:v>
      </x:c>
      <x:c r="M1016" s="34" t="str">
        <x:v>numeric coverage for applicable metric</x:v>
      </x:c>
      <x:c r="N1016" s="34" t="str">
        <x:v>Feedback-Directed Random Test Generation/Result_Round2/Closure_98/result.json</x:v>
      </x:c>
      <x:c r="O1016" s="38" t="n">
        <x:f>IF(AND(G1016="RECORDED",ISNUMBER(H1016)),H1016,"")</x:f>
        <x:v>27.12</x:v>
      </x:c>
      <x:c r="P1016" s="34" t="str">
        <x:v>NOT_REVEALING</x:v>
      </x:c>
      <x:c r="Q1016" s="34" t="str">
        <x:v>Feedback-Directed Random Test Generation/Result_Round2/Closure_98/result.json</x:v>
      </x:c>
    </x:row>
    <x:row r="1017">
      <x:c r="A1017" s="34" t="str">
        <x:v>randoop</x:v>
      </x:c>
      <x:c r="B1017" s="34" t="str">
        <x:v>Closure</x:v>
      </x:c>
      <x:c r="C1017" s="34" t="str">
        <x:v>Round2</x:v>
      </x:c>
      <x:c r="D1017" s="34" t="str">
        <x:v>Closure_99</x:v>
      </x:c>
      <x:c r="E1017" s="34" t="str">
        <x:v>Coverage</x:v>
      </x:c>
      <x:c r="F1017" s="34" t="n">
        <x:v>105</x:v>
      </x:c>
      <x:c r="G1017" s="34" t="str">
        <x:v>RECORDED</x:v>
      </x:c>
      <x:c r="H1017" s="38" t="n">
        <x:f>IF(ISNUMBER('Data'!G1017),'Data'!G1017*100,"")</x:f>
        <x:v>7.62</x:v>
      </x:c>
      <x:c r="I1017" s="34" t="str">
        <x:v>PASS</x:v>
      </x:c>
      <x:c r="J1017" s="34" t="str">
        <x:v>PASS</x:v>
      </x:c>
      <x:c r="K1017" s="34" t="str">
        <x:v>PASS</x:v>
      </x:c>
      <x:c r="L1017" s="34" t="str">
        <x:v>PASS</x:v>
      </x:c>
      <x:c r="M1017" s="34" t="str">
        <x:v>numeric coverage for applicable metric</x:v>
      </x:c>
      <x:c r="N1017" s="34" t="str">
        <x:v>Feedback-Directed Random Test Generation/Result_Round2/Closure_99/result.json</x:v>
      </x:c>
      <x:c r="O1017" s="38" t="n">
        <x:f>IF(AND(G1017="RECORDED",ISNUMBER(H1017)),H1017,"")</x:f>
        <x:v>7.62</x:v>
      </x:c>
      <x:c r="P1017" s="34" t="str">
        <x:v>NOT_REVEALING</x:v>
      </x:c>
      <x:c r="Q1017" s="34" t="str">
        <x:v>Feedback-Directed Random Test Generation/Result_Round2/Closure_99/result.json</x:v>
      </x:c>
    </x:row>
    <x:row r="1018">
      <x:c r="A1018" s="34" t="str">
        <x:v>randoop</x:v>
      </x:c>
      <x:c r="B1018" s="34" t="str">
        <x:v>Closure</x:v>
      </x:c>
      <x:c r="C1018" s="34" t="str">
        <x:v>Round2</x:v>
      </x:c>
      <x:c r="D1018" s="34" t="str">
        <x:v>Closure_100</x:v>
      </x:c>
      <x:c r="E1018" s="34" t="str">
        <x:v>Coverage</x:v>
      </x:c>
      <x:c r="F1018" s="34" t="n">
        <x:v>86</x:v>
      </x:c>
      <x:c r="G1018" s="34" t="str">
        <x:v>RECORDED</x:v>
      </x:c>
      <x:c r="H1018" s="38" t="n">
        <x:f>IF(ISNUMBER('Data'!G1018),'Data'!G1018*100,"")</x:f>
        <x:v>9.3</x:v>
      </x:c>
      <x:c r="I1018" s="34" t="str">
        <x:v>PASS</x:v>
      </x:c>
      <x:c r="J1018" s="34" t="str">
        <x:v>PASS</x:v>
      </x:c>
      <x:c r="K1018" s="34" t="str">
        <x:v>PASS</x:v>
      </x:c>
      <x:c r="L1018" s="34" t="str">
        <x:v>PASS</x:v>
      </x:c>
      <x:c r="M1018" s="34" t="str">
        <x:v>numeric coverage for applicable metric</x:v>
      </x:c>
      <x:c r="N1018" s="34" t="str">
        <x:v>Feedback-Directed Random Test Generation/Result_Round2/Closure_100/result.json</x:v>
      </x:c>
      <x:c r="O1018" s="38" t="n">
        <x:f>IF(AND(G1018="RECORDED",ISNUMBER(H1018)),H1018,"")</x:f>
        <x:v>9.3</x:v>
      </x:c>
      <x:c r="P1018" s="34" t="str">
        <x:v>NOT_REVEALING</x:v>
      </x:c>
      <x:c r="Q1018" s="34" t="str">
        <x:v>Feedback-Directed Random Test Generation/Result_Round2/Closure_100/result.json</x:v>
      </x:c>
    </x:row>
    <x:row r="1019">
      <x:c r="A1019" s="34" t="str">
        <x:v>randoop</x:v>
      </x:c>
      <x:c r="B1019" s="34" t="str">
        <x:v>Closure</x:v>
      </x:c>
      <x:c r="C1019" s="34" t="str">
        <x:v>Round2</x:v>
      </x:c>
      <x:c r="D1019" s="34" t="str">
        <x:v>Closure_101</x:v>
      </x:c>
      <x:c r="E1019" s="34" t="str">
        <x:v>Coverage</x:v>
      </x:c>
      <x:c r="F1019" s="34" t="n">
        <x:v>0</x:v>
      </x:c>
      <x:c r="G1019" s="34" t="str">
        <x:v>A</x:v>
      </x:c>
      <x:c r="H1019" s="38" t="str">
        <x:f>IF(ISNUMBER('Data'!G1019),'Data'!G1019*100,"")</x:f>
      </x:c>
      <x:c r="I1019" s="34"/>
      <x:c r="J1019" s="34"/>
      <x:c r="K1019" s="34"/>
      <x:c r="L1019" s="34" t="str">
        <x:v>NOT_RUN</x:v>
      </x:c>
      <x:c r="M1019" s="34" t="str">
        <x:v>Latest same-round generation failed; older files/results are excluded</x:v>
      </x:c>
      <x:c r="N1019" s="34" t="str">
        <x:v>Feedback-Directed Random Test Generation/report_Round2.csv</x:v>
      </x:c>
      <x:c r="O1019" s="38" t="str">
        <x:f>IF(AND(G1019="RECORDED",ISNUMBER(H1019)),H1019,"")</x:f>
      </x:c>
      <x:c r="P1019" s="34" t="str">
        <x:v>FAIL</x:v>
      </x:c>
      <x:c r="Q1019" s="34"/>
    </x:row>
    <x:row r="1020">
      <x:c r="A1020" s="34" t="str">
        <x:v>randoop</x:v>
      </x:c>
      <x:c r="B1020" s="34" t="str">
        <x:v>Closure</x:v>
      </x:c>
      <x:c r="C1020" s="34" t="str">
        <x:v>Round2</x:v>
      </x:c>
      <x:c r="D1020" s="34" t="str">
        <x:v>Closure_102</x:v>
      </x:c>
      <x:c r="E1020" s="34" t="str">
        <x:v>Coverage</x:v>
      </x:c>
      <x:c r="F1020" s="34" t="n">
        <x:v>295</x:v>
      </x:c>
      <x:c r="G1020" s="34" t="str">
        <x:v>RECORDED</x:v>
      </x:c>
      <x:c r="H1020" s="38" t="n">
        <x:f>IF(ISNUMBER('Data'!G1020),'Data'!G1020*100,"")</x:f>
        <x:v>7.12</x:v>
      </x:c>
      <x:c r="I1020" s="34" t="str">
        <x:v>PASS</x:v>
      </x:c>
      <x:c r="J1020" s="34" t="str">
        <x:v>PASS</x:v>
      </x:c>
      <x:c r="K1020" s="34" t="str">
        <x:v>PASS</x:v>
      </x:c>
      <x:c r="L1020" s="34" t="str">
        <x:v>PASS</x:v>
      </x:c>
      <x:c r="M1020" s="34" t="str">
        <x:v>numeric coverage for applicable metric</x:v>
      </x:c>
      <x:c r="N1020" s="34" t="str">
        <x:v>Feedback-Directed Random Test Generation/Result_Round2/Closure_102/result.json</x:v>
      </x:c>
      <x:c r="O1020" s="38" t="n">
        <x:f>IF(AND(G1020="RECORDED",ISNUMBER(H1020)),H1020,"")</x:f>
        <x:v>7.12</x:v>
      </x:c>
      <x:c r="P1020" s="34" t="str">
        <x:v>NOT_REVEALING</x:v>
      </x:c>
      <x:c r="Q1020" s="34" t="str">
        <x:v>Feedback-Directed Random Test Generation/Result_Round2/Closure_102/result.json</x:v>
      </x:c>
    </x:row>
    <x:row r="1021">
      <x:c r="A1021" s="34" t="str">
        <x:v>randoop</x:v>
      </x:c>
      <x:c r="B1021" s="34" t="str">
        <x:v>Closure</x:v>
      </x:c>
      <x:c r="C1021" s="34" t="str">
        <x:v>Round2</x:v>
      </x:c>
      <x:c r="D1021" s="34" t="str">
        <x:v>Closure_103</x:v>
      </x:c>
      <x:c r="E1021" s="34" t="str">
        <x:v>Coverage</x:v>
      </x:c>
      <x:c r="F1021" s="34" t="n">
        <x:v>1276</x:v>
      </x:c>
      <x:c r="G1021" s="34" t="str">
        <x:v>RECORDED</x:v>
      </x:c>
      <x:c r="H1021" s="38" t="n">
        <x:f>IF(ISNUMBER('Data'!G1021),'Data'!G1021*100,"")</x:f>
        <x:v>2.12</x:v>
      </x:c>
      <x:c r="I1021" s="34" t="str">
        <x:v>PASS</x:v>
      </x:c>
      <x:c r="J1021" s="34" t="str">
        <x:v>PASS</x:v>
      </x:c>
      <x:c r="K1021" s="34" t="str">
        <x:v>PASS</x:v>
      </x:c>
      <x:c r="L1021" s="34" t="str">
        <x:v>PASS</x:v>
      </x:c>
      <x:c r="M1021" s="34" t="str">
        <x:v>numeric coverage for applicable metric</x:v>
      </x:c>
      <x:c r="N1021" s="34" t="str">
        <x:v>Feedback-Directed Random Test Generation/Result_Round2/Closure_103/result.json</x:v>
      </x:c>
      <x:c r="O1021" s="38" t="n">
        <x:f>IF(AND(G1021="RECORDED",ISNUMBER(H1021)),H1021,"")</x:f>
        <x:v>2.12</x:v>
      </x:c>
      <x:c r="P1021" s="34" t="str">
        <x:v>NOT_REVEALING</x:v>
      </x:c>
      <x:c r="Q1021" s="34" t="str">
        <x:v>Feedback-Directed Random Test Generation/Result_Round2/Closure_103/result.json</x:v>
      </x:c>
    </x:row>
    <x:row r="1022">
      <x:c r="A1022" s="34" t="str">
        <x:v>randoop</x:v>
      </x:c>
      <x:c r="B1022" s="34" t="str">
        <x:v>Closure</x:v>
      </x:c>
      <x:c r="C1022" s="34" t="str">
        <x:v>Round2</x:v>
      </x:c>
      <x:c r="D1022" s="34" t="str">
        <x:v>Closure_104</x:v>
      </x:c>
      <x:c r="E1022" s="34" t="str">
        <x:v>Coverage</x:v>
      </x:c>
      <x:c r="F1022" s="34" t="n">
        <x:v>316</x:v>
      </x:c>
      <x:c r="G1022" s="34" t="str">
        <x:v>RECORDED</x:v>
      </x:c>
      <x:c r="H1022" s="38" t="n">
        <x:f>IF(ISNUMBER('Data'!G1022),'Data'!G1022*100,"")</x:f>
        <x:v>59.18</x:v>
      </x:c>
      <x:c r="I1022" s="34" t="str">
        <x:v>PASS</x:v>
      </x:c>
      <x:c r="J1022" s="34" t="str">
        <x:v>PASS</x:v>
      </x:c>
      <x:c r="K1022" s="34" t="str">
        <x:v>PASS</x:v>
      </x:c>
      <x:c r="L1022" s="34" t="str">
        <x:v>PASS</x:v>
      </x:c>
      <x:c r="M1022" s="34" t="str">
        <x:v>numeric coverage for applicable metric</x:v>
      </x:c>
      <x:c r="N1022" s="34" t="str">
        <x:v>Feedback-Directed Random Test Generation/Result_Round2/Closure_104/result.json</x:v>
      </x:c>
      <x:c r="O1022" s="38" t="n">
        <x:f>IF(AND(G1022="RECORDED",ISNUMBER(H1022)),H1022,"")</x:f>
        <x:v>59.18</x:v>
      </x:c>
      <x:c r="P1022" s="34" t="str">
        <x:v>NOT_REVEALING</x:v>
      </x:c>
      <x:c r="Q1022" s="34" t="str">
        <x:v>Feedback-Directed Random Test Generation/Result_Round2/Closure_104/result.json</x:v>
      </x:c>
    </x:row>
    <x:row r="1023">
      <x:c r="A1023" s="34" t="str">
        <x:v>randoop</x:v>
      </x:c>
      <x:c r="B1023" s="34" t="str">
        <x:v>Closure</x:v>
      </x:c>
      <x:c r="C1023" s="34" t="str">
        <x:v>Round2</x:v>
      </x:c>
      <x:c r="D1023" s="34" t="str">
        <x:v>Closure_105</x:v>
      </x:c>
      <x:c r="E1023" s="34" t="str">
        <x:v>Coverage</x:v>
      </x:c>
      <x:c r="F1023" s="34" t="n">
        <x:v>1732</x:v>
      </x:c>
      <x:c r="G1023" s="34" t="str">
        <x:v>RECORDED</x:v>
      </x:c>
      <x:c r="H1023" s="38" t="n">
        <x:f>IF(ISNUMBER('Data'!G1023),'Data'!G1023*100,"")</x:f>
        <x:v>0.9199999999999999</x:v>
      </x:c>
      <x:c r="I1023" s="34" t="str">
        <x:v>PASS</x:v>
      </x:c>
      <x:c r="J1023" s="34" t="str">
        <x:v>PASS</x:v>
      </x:c>
      <x:c r="K1023" s="34" t="str">
        <x:v>PASS</x:v>
      </x:c>
      <x:c r="L1023" s="34" t="str">
        <x:v>PASS</x:v>
      </x:c>
      <x:c r="M1023" s="34" t="str">
        <x:v>numeric coverage for applicable metric</x:v>
      </x:c>
      <x:c r="N1023" s="34" t="str">
        <x:v>Feedback-Directed Random Test Generation/Result_Round2/Closure_105/result.json</x:v>
      </x:c>
      <x:c r="O1023" s="38" t="n">
        <x:f>IF(AND(G1023="RECORDED",ISNUMBER(H1023)),H1023,"")</x:f>
        <x:v>0.9199999999999999</x:v>
      </x:c>
      <x:c r="P1023" s="34" t="str">
        <x:v>NOT_REVEALING</x:v>
      </x:c>
      <x:c r="Q1023" s="34" t="str">
        <x:v>Feedback-Directed Random Test Generation/Result_Round2/Closure_105/result.json</x:v>
      </x:c>
    </x:row>
    <x:row r="1024">
      <x:c r="A1024" s="34" t="str">
        <x:v>randoop</x:v>
      </x:c>
      <x:c r="B1024" s="34" t="str">
        <x:v>Closure</x:v>
      </x:c>
      <x:c r="C1024" s="34" t="str">
        <x:v>Round2</x:v>
      </x:c>
      <x:c r="D1024" s="34" t="str">
        <x:v>Closure_106</x:v>
      </x:c>
      <x:c r="E1024" s="34" t="str">
        <x:v>Coverage</x:v>
      </x:c>
      <x:c r="F1024" s="34" t="n">
        <x:v>1063</x:v>
      </x:c>
      <x:c r="G1024" s="34" t="str">
        <x:v>RECORDED</x:v>
      </x:c>
      <x:c r="H1024" s="38" t="n">
        <x:f>IF(ISNUMBER('Data'!G1024),'Data'!G1024*100,"")</x:f>
        <x:v>39.42</x:v>
      </x:c>
      <x:c r="I1024" s="34" t="str">
        <x:v>PASS</x:v>
      </x:c>
      <x:c r="J1024" s="34" t="str">
        <x:v>PASS</x:v>
      </x:c>
      <x:c r="K1024" s="34" t="str">
        <x:v>PASS</x:v>
      </x:c>
      <x:c r="L1024" s="34" t="str">
        <x:v>PASS</x:v>
      </x:c>
      <x:c r="M1024" s="34" t="str">
        <x:v>numeric coverage for applicable metric</x:v>
      </x:c>
      <x:c r="N1024" s="34" t="str">
        <x:v>Feedback-Directed Random Test Generation/Result_Round2/Closure_106/result.json</x:v>
      </x:c>
      <x:c r="O1024" s="38" t="n">
        <x:f>IF(AND(G1024="RECORDED",ISNUMBER(H1024)),H1024,"")</x:f>
        <x:v>39.42</x:v>
      </x:c>
      <x:c r="P1024" s="34" t="str">
        <x:v>INCONCLUSIVE</x:v>
      </x:c>
      <x:c r="Q1024" s="34" t="str">
        <x:v>Feedback-Directed Random Test Generation/Result_Round2/Closure_106/result.json</x:v>
      </x:c>
    </x:row>
    <x:row r="1025">
      <x:c r="A1025" s="34" t="str">
        <x:v>randoop</x:v>
      </x:c>
      <x:c r="B1025" s="34" t="str">
        <x:v>Closure</x:v>
      </x:c>
      <x:c r="C1025" s="34" t="str">
        <x:v>Round2</x:v>
      </x:c>
      <x:c r="D1025" s="34" t="str">
        <x:v>Closure_107</x:v>
      </x:c>
      <x:c r="E1025" s="34" t="str">
        <x:v>Coverage</x:v>
      </x:c>
      <x:c r="F1025" s="34" t="n">
        <x:v>0</x:v>
      </x:c>
      <x:c r="G1025" s="34" t="str">
        <x:v>A</x:v>
      </x:c>
      <x:c r="H1025" s="38" t="str">
        <x:f>IF(ISNUMBER('Data'!G1025),'Data'!G1025*100,"")</x:f>
      </x:c>
      <x:c r="I1025" s="34"/>
      <x:c r="J1025" s="34"/>
      <x:c r="K1025" s="34"/>
      <x:c r="L1025" s="34" t="str">
        <x:v>NOT_RUN</x:v>
      </x:c>
      <x:c r="M1025" s="34" t="str">
        <x:v>Latest same-round generation failed; older files/results are excluded</x:v>
      </x:c>
      <x:c r="N1025" s="34" t="str">
        <x:v>Feedback-Directed Random Test Generation/report_Round2.csv</x:v>
      </x:c>
      <x:c r="O1025" s="38" t="str">
        <x:f>IF(AND(G1025="RECORDED",ISNUMBER(H1025)),H1025,"")</x:f>
      </x:c>
      <x:c r="P1025" s="34" t="str">
        <x:v>FAIL</x:v>
      </x:c>
      <x:c r="Q1025" s="34"/>
    </x:row>
    <x:row r="1026">
      <x:c r="A1026" s="34" t="str">
        <x:v>randoop</x:v>
      </x:c>
      <x:c r="B1026" s="34" t="str">
        <x:v>Closure</x:v>
      </x:c>
      <x:c r="C1026" s="34" t="str">
        <x:v>Round2</x:v>
      </x:c>
      <x:c r="D1026" s="34" t="str">
        <x:v>Closure_108</x:v>
      </x:c>
      <x:c r="E1026" s="34" t="str">
        <x:v>Coverage</x:v>
      </x:c>
      <x:c r="F1026" s="34" t="n">
        <x:v>419</x:v>
      </x:c>
      <x:c r="G1026" s="34" t="str">
        <x:v>RECORDED</x:v>
      </x:c>
      <x:c r="H1026" s="38" t="n">
        <x:f>IF(ISNUMBER('Data'!G1026),'Data'!G1026*100,"")</x:f>
        <x:v>6.4399999999999995</x:v>
      </x:c>
      <x:c r="I1026" s="34" t="str">
        <x:v>PASS</x:v>
      </x:c>
      <x:c r="J1026" s="34" t="str">
        <x:v>PASS</x:v>
      </x:c>
      <x:c r="K1026" s="34" t="str">
        <x:v>PASS</x:v>
      </x:c>
      <x:c r="L1026" s="34" t="str">
        <x:v>PASS</x:v>
      </x:c>
      <x:c r="M1026" s="34" t="str">
        <x:v>numeric coverage for applicable metric</x:v>
      </x:c>
      <x:c r="N1026" s="34" t="str">
        <x:v>Feedback-Directed Random Test Generation/Result_Round2/Closure_108/result.json</x:v>
      </x:c>
      <x:c r="O1026" s="38" t="n">
        <x:f>IF(AND(G1026="RECORDED",ISNUMBER(H1026)),H1026,"")</x:f>
        <x:v>6.4399999999999995</x:v>
      </x:c>
      <x:c r="P1026" s="34" t="str">
        <x:v>NOT_REVEALING</x:v>
      </x:c>
      <x:c r="Q1026" s="34" t="str">
        <x:v>Feedback-Directed Random Test Generation/Result_Round2/Closure_108/result.json</x:v>
      </x:c>
    </x:row>
    <x:row r="1027">
      <x:c r="A1027" s="34" t="str">
        <x:v>randoop</x:v>
      </x:c>
      <x:c r="B1027" s="34" t="str">
        <x:v>Closure</x:v>
      </x:c>
      <x:c r="C1027" s="34" t="str">
        <x:v>Round2</x:v>
      </x:c>
      <x:c r="D1027" s="34" t="str">
        <x:v>Closure_109</x:v>
      </x:c>
      <x:c r="E1027" s="34" t="str">
        <x:v>Coverage</x:v>
      </x:c>
      <x:c r="F1027" s="34" t="n">
        <x:v>1853</x:v>
      </x:c>
      <x:c r="G1027" s="34" t="str">
        <x:v>RECORDED</x:v>
      </x:c>
      <x:c r="H1027" s="38" t="n">
        <x:f>IF(ISNUMBER('Data'!G1027),'Data'!G1027*100,"")</x:f>
        <x:v>6.480000000000001</x:v>
      </x:c>
      <x:c r="I1027" s="34" t="str">
        <x:v>PASS</x:v>
      </x:c>
      <x:c r="J1027" s="34" t="str">
        <x:v>PASS</x:v>
      </x:c>
      <x:c r="K1027" s="34" t="str">
        <x:v>PASS</x:v>
      </x:c>
      <x:c r="L1027" s="34" t="str">
        <x:v>PASS</x:v>
      </x:c>
      <x:c r="M1027" s="34" t="str">
        <x:v>numeric coverage for applicable metric</x:v>
      </x:c>
      <x:c r="N1027" s="34" t="str">
        <x:v>Feedback-Directed Random Test Generation/Result_Round2/Closure_109/result.json</x:v>
      </x:c>
      <x:c r="O1027" s="38" t="n">
        <x:f>IF(AND(G1027="RECORDED",ISNUMBER(H1027)),H1027,"")</x:f>
        <x:v>6.480000000000001</x:v>
      </x:c>
      <x:c r="P1027" s="34" t="str">
        <x:v>NOT_REVEALING</x:v>
      </x:c>
      <x:c r="Q1027" s="34" t="str">
        <x:v>Feedback-Directed Random Test Generation/Result_Round2/Closure_109/result.json</x:v>
      </x:c>
    </x:row>
    <x:row r="1028">
      <x:c r="A1028" s="34" t="str">
        <x:v>randoop</x:v>
      </x:c>
      <x:c r="B1028" s="34" t="str">
        <x:v>Closure</x:v>
      </x:c>
      <x:c r="C1028" s="34" t="str">
        <x:v>Round2</x:v>
      </x:c>
      <x:c r="D1028" s="34" t="str">
        <x:v>Closure_110</x:v>
      </x:c>
      <x:c r="E1028" s="34" t="str">
        <x:v>Coverage</x:v>
      </x:c>
      <x:c r="F1028" s="34" t="n">
        <x:v>1818</x:v>
      </x:c>
      <x:c r="G1028" s="34" t="str">
        <x:v>RECORDED</x:v>
      </x:c>
      <x:c r="H1028" s="38" t="n">
        <x:f>IF(ISNUMBER('Data'!G1028),'Data'!G1028*100,"")</x:f>
        <x:v>56.55</x:v>
      </x:c>
      <x:c r="I1028" s="34" t="str">
        <x:v>PASS</x:v>
      </x:c>
      <x:c r="J1028" s="34" t="str">
        <x:v>PASS</x:v>
      </x:c>
      <x:c r="K1028" s="34" t="str">
        <x:v>PASS</x:v>
      </x:c>
      <x:c r="L1028" s="34" t="str">
        <x:v>FAIL</x:v>
      </x:c>
      <x:c r="M1028" s="34" t="str">
        <x:v>numeric coverage for applicable metric</x:v>
      </x:c>
      <x:c r="N1028" s="34" t="str">
        <x:v>Feedback-Directed Random Test Generation/Result_Round2/Closure_110/result.json</x:v>
      </x:c>
      <x:c r="O1028" s="38" t="n">
        <x:f>IF(AND(G1028="RECORDED",ISNUMBER(H1028)),H1028,"")</x:f>
        <x:v>56.55</x:v>
      </x:c>
      <x:c r="P1028" s="34" t="str">
        <x:v>INCONCLUSIVE</x:v>
      </x:c>
      <x:c r="Q1028" s="34" t="str">
        <x:v>Feedback-Directed Random Test Generation/Result_Round2/Closure_110/result.json</x:v>
      </x:c>
    </x:row>
    <x:row r="1029">
      <x:c r="A1029" s="34" t="str">
        <x:v>randoop</x:v>
      </x:c>
      <x:c r="B1029" s="34" t="str">
        <x:v>Closure</x:v>
      </x:c>
      <x:c r="C1029" s="34" t="str">
        <x:v>Round2</x:v>
      </x:c>
      <x:c r="D1029" s="34" t="str">
        <x:v>Closure_111</x:v>
      </x:c>
      <x:c r="E1029" s="34" t="str">
        <x:v>Coverage</x:v>
      </x:c>
      <x:c r="F1029" s="34" t="n">
        <x:v>140</x:v>
      </x:c>
      <x:c r="G1029" s="34" t="str">
        <x:v>RECORDED</x:v>
      </x:c>
      <x:c r="H1029" s="38" t="n">
        <x:f>IF(ISNUMBER('Data'!G1029),'Data'!G1029*100,"")</x:f>
        <x:v>0.71</x:v>
      </x:c>
      <x:c r="I1029" s="34" t="str">
        <x:v>PASS</x:v>
      </x:c>
      <x:c r="J1029" s="34" t="str">
        <x:v>PASS</x:v>
      </x:c>
      <x:c r="K1029" s="34" t="str">
        <x:v>PASS</x:v>
      </x:c>
      <x:c r="L1029" s="34" t="str">
        <x:v>PASS</x:v>
      </x:c>
      <x:c r="M1029" s="34" t="str">
        <x:v>numeric coverage for applicable metric</x:v>
      </x:c>
      <x:c r="N1029" s="34" t="str">
        <x:v>Feedback-Directed Random Test Generation/Result_Round2/Closure_111/result.json</x:v>
      </x:c>
      <x:c r="O1029" s="38" t="n">
        <x:f>IF(AND(G1029="RECORDED",ISNUMBER(H1029)),H1029,"")</x:f>
        <x:v>0.71</x:v>
      </x:c>
      <x:c r="P1029" s="34" t="str">
        <x:v>NOT_REVEALING</x:v>
      </x:c>
      <x:c r="Q1029" s="34" t="str">
        <x:v>Feedback-Directed Random Test Generation/Result_Round2/Closure_111/result.json</x:v>
      </x:c>
    </x:row>
    <x:row r="1030">
      <x:c r="A1030" s="34" t="str">
        <x:v>randoop</x:v>
      </x:c>
      <x:c r="B1030" s="34" t="str">
        <x:v>Closure</x:v>
      </x:c>
      <x:c r="C1030" s="34" t="str">
        <x:v>Round2</x:v>
      </x:c>
      <x:c r="D1030" s="34" t="str">
        <x:v>Closure_112</x:v>
      </x:c>
      <x:c r="E1030" s="34" t="str">
        <x:v>Coverage</x:v>
      </x:c>
      <x:c r="F1030" s="34" t="n">
        <x:v>1178</x:v>
      </x:c>
      <x:c r="G1030" s="34" t="str">
        <x:v>RECORDED</x:v>
      </x:c>
      <x:c r="H1030" s="38" t="n">
        <x:f>IF(ISNUMBER('Data'!G1030),'Data'!G1030*100,"")</x:f>
        <x:v>0.51</x:v>
      </x:c>
      <x:c r="I1030" s="34" t="str">
        <x:v>PASS</x:v>
      </x:c>
      <x:c r="J1030" s="34" t="str">
        <x:v>PASS</x:v>
      </x:c>
      <x:c r="K1030" s="34" t="str">
        <x:v>PASS</x:v>
      </x:c>
      <x:c r="L1030" s="34" t="str">
        <x:v>PASS</x:v>
      </x:c>
      <x:c r="M1030" s="34" t="str">
        <x:v>numeric coverage for applicable metric</x:v>
      </x:c>
      <x:c r="N1030" s="34" t="str">
        <x:v>Feedback-Directed Random Test Generation/Result_Round2/Closure_112/result.json</x:v>
      </x:c>
      <x:c r="O1030" s="38" t="n">
        <x:f>IF(AND(G1030="RECORDED",ISNUMBER(H1030)),H1030,"")</x:f>
        <x:v>0.51</x:v>
      </x:c>
      <x:c r="P1030" s="34" t="str">
        <x:v>NOT_REVEALING</x:v>
      </x:c>
      <x:c r="Q1030" s="34" t="str">
        <x:v>Feedback-Directed Random Test Generation/Result_Round2/Closure_112/result.json</x:v>
      </x:c>
    </x:row>
    <x:row r="1031">
      <x:c r="A1031" s="34" t="str">
        <x:v>randoop</x:v>
      </x:c>
      <x:c r="B1031" s="34" t="str">
        <x:v>Closure</x:v>
      </x:c>
      <x:c r="C1031" s="34" t="str">
        <x:v>Round2</x:v>
      </x:c>
      <x:c r="D1031" s="34" t="str">
        <x:v>Closure_113</x:v>
      </x:c>
      <x:c r="E1031" s="34" t="str">
        <x:v>Coverage</x:v>
      </x:c>
      <x:c r="F1031" s="34" t="n">
        <x:v>890</x:v>
      </x:c>
      <x:c r="G1031" s="34" t="str">
        <x:v>RECORDED</x:v>
      </x:c>
      <x:c r="H1031" s="38" t="n">
        <x:f>IF(ISNUMBER('Data'!G1031),'Data'!G1031*100,"")</x:f>
        <x:v>3.15</x:v>
      </x:c>
      <x:c r="I1031" s="34" t="str">
        <x:v>PASS</x:v>
      </x:c>
      <x:c r="J1031" s="34" t="str">
        <x:v>PASS</x:v>
      </x:c>
      <x:c r="K1031" s="34" t="str">
        <x:v>PASS</x:v>
      </x:c>
      <x:c r="L1031" s="34" t="str">
        <x:v>PASS</x:v>
      </x:c>
      <x:c r="M1031" s="34" t="str">
        <x:v>numeric coverage for applicable metric</x:v>
      </x:c>
      <x:c r="N1031" s="34" t="str">
        <x:v>Feedback-Directed Random Test Generation/Result_Round2/Closure_113/result.json</x:v>
      </x:c>
      <x:c r="O1031" s="38" t="n">
        <x:f>IF(AND(G1031="RECORDED",ISNUMBER(H1031)),H1031,"")</x:f>
        <x:v>3.15</x:v>
      </x:c>
      <x:c r="P1031" s="34" t="str">
        <x:v>NOT_REVEALING</x:v>
      </x:c>
      <x:c r="Q1031" s="34" t="str">
        <x:v>Feedback-Directed Random Test Generation/Result_Round2/Closure_113/result.json</x:v>
      </x:c>
    </x:row>
    <x:row r="1032">
      <x:c r="A1032" s="34" t="str">
        <x:v>randoop</x:v>
      </x:c>
      <x:c r="B1032" s="34" t="str">
        <x:v>Closure</x:v>
      </x:c>
      <x:c r="C1032" s="34" t="str">
        <x:v>Round2</x:v>
      </x:c>
      <x:c r="D1032" s="34" t="str">
        <x:v>Closure_114</x:v>
      </x:c>
      <x:c r="E1032" s="34" t="str">
        <x:v>Coverage</x:v>
      </x:c>
      <x:c r="F1032" s="34" t="n">
        <x:v>1216</x:v>
      </x:c>
      <x:c r="G1032" s="34" t="str">
        <x:v>RECORDED</x:v>
      </x:c>
      <x:c r="H1032" s="38" t="n">
        <x:f>IF(ISNUMBER('Data'!G1032),'Data'!G1032*100,"")</x:f>
        <x:v>4.93</x:v>
      </x:c>
      <x:c r="I1032" s="34" t="str">
        <x:v>PASS</x:v>
      </x:c>
      <x:c r="J1032" s="34" t="str">
        <x:v>PASS</x:v>
      </x:c>
      <x:c r="K1032" s="34" t="str">
        <x:v>PASS</x:v>
      </x:c>
      <x:c r="L1032" s="34" t="str">
        <x:v>PASS</x:v>
      </x:c>
      <x:c r="M1032" s="34" t="str">
        <x:v>numeric coverage for applicable metric</x:v>
      </x:c>
      <x:c r="N1032" s="34" t="str">
        <x:v>Feedback-Directed Random Test Generation/Result_Round2/Closure_114/result.json</x:v>
      </x:c>
      <x:c r="O1032" s="38" t="n">
        <x:f>IF(AND(G1032="RECORDED",ISNUMBER(H1032)),H1032,"")</x:f>
        <x:v>4.93</x:v>
      </x:c>
      <x:c r="P1032" s="34" t="str">
        <x:v>NOT_REVEALING</x:v>
      </x:c>
      <x:c r="Q1032" s="34" t="str">
        <x:v>Feedback-Directed Random Test Generation/Result_Round2/Closure_114/result.json</x:v>
      </x:c>
    </x:row>
    <x:row r="1033">
      <x:c r="A1033" s="34" t="str">
        <x:v>randoop</x:v>
      </x:c>
      <x:c r="B1033" s="34" t="str">
        <x:v>Closure</x:v>
      </x:c>
      <x:c r="C1033" s="34" t="str">
        <x:v>Round2</x:v>
      </x:c>
      <x:c r="D1033" s="34" t="str">
        <x:v>Closure_115</x:v>
      </x:c>
      <x:c r="E1033" s="34" t="str">
        <x:v>Coverage</x:v>
      </x:c>
      <x:c r="F1033" s="34" t="n">
        <x:v>537</x:v>
      </x:c>
      <x:c r="G1033" s="34" t="str">
        <x:v>RECORDED</x:v>
      </x:c>
      <x:c r="H1033" s="38" t="n">
        <x:f>IF(ISNUMBER('Data'!G1033),'Data'!G1033*100,"")</x:f>
        <x:v>3.17</x:v>
      </x:c>
      <x:c r="I1033" s="34" t="str">
        <x:v>PASS</x:v>
      </x:c>
      <x:c r="J1033" s="34" t="str">
        <x:v>PASS</x:v>
      </x:c>
      <x:c r="K1033" s="34" t="str">
        <x:v>PASS</x:v>
      </x:c>
      <x:c r="L1033" s="34" t="str">
        <x:v>PASS</x:v>
      </x:c>
      <x:c r="M1033" s="34" t="str">
        <x:v>numeric coverage for applicable metric</x:v>
      </x:c>
      <x:c r="N1033" s="34" t="str">
        <x:v>Feedback-Directed Random Test Generation/Result_Round2/Closure_115/result.json</x:v>
      </x:c>
      <x:c r="O1033" s="38" t="n">
        <x:f>IF(AND(G1033="RECORDED",ISNUMBER(H1033)),H1033,"")</x:f>
        <x:v>3.17</x:v>
      </x:c>
      <x:c r="P1033" s="34" t="str">
        <x:v>NOT_REVEALING</x:v>
      </x:c>
      <x:c r="Q1033" s="34" t="str">
        <x:v>Feedback-Directed Random Test Generation/Result_Round2/Closure_115/result.json</x:v>
      </x:c>
    </x:row>
    <x:row r="1034">
      <x:c r="A1034" s="34" t="str">
        <x:v>randoop</x:v>
      </x:c>
      <x:c r="B1034" s="34" t="str">
        <x:v>Closure</x:v>
      </x:c>
      <x:c r="C1034" s="34" t="str">
        <x:v>Round2</x:v>
      </x:c>
      <x:c r="D1034" s="34" t="str">
        <x:v>Closure_116</x:v>
      </x:c>
      <x:c r="E1034" s="34" t="str">
        <x:v>Coverage</x:v>
      </x:c>
      <x:c r="F1034" s="34" t="n">
        <x:v>521</x:v>
      </x:c>
      <x:c r="G1034" s="34" t="str">
        <x:v>RECORDED</x:v>
      </x:c>
      <x:c r="H1034" s="38" t="n">
        <x:f>IF(ISNUMBER('Data'!G1034),'Data'!G1034*100,"")</x:f>
        <x:v>3.26</x:v>
      </x:c>
      <x:c r="I1034" s="34" t="str">
        <x:v>PASS</x:v>
      </x:c>
      <x:c r="J1034" s="34" t="str">
        <x:v>PASS</x:v>
      </x:c>
      <x:c r="K1034" s="34" t="str">
        <x:v>PASS</x:v>
      </x:c>
      <x:c r="L1034" s="34" t="str">
        <x:v>PASS</x:v>
      </x:c>
      <x:c r="M1034" s="34" t="str">
        <x:v>numeric coverage for applicable metric</x:v>
      </x:c>
      <x:c r="N1034" s="34" t="str">
        <x:v>Feedback-Directed Random Test Generation/Result_Round2/Closure_116/result.json</x:v>
      </x:c>
      <x:c r="O1034" s="38" t="n">
        <x:f>IF(AND(G1034="RECORDED",ISNUMBER(H1034)),H1034,"")</x:f>
        <x:v>3.26</x:v>
      </x:c>
      <x:c r="P1034" s="34" t="str">
        <x:v>NOT_REVEALING</x:v>
      </x:c>
      <x:c r="Q1034" s="34" t="str">
        <x:v>Feedback-Directed Random Test Generation/Result_Round2/Closure_116/result.json</x:v>
      </x:c>
    </x:row>
    <x:row r="1035">
      <x:c r="A1035" s="34" t="str">
        <x:v>randoop</x:v>
      </x:c>
      <x:c r="B1035" s="34" t="str">
        <x:v>Closure</x:v>
      </x:c>
      <x:c r="C1035" s="34" t="str">
        <x:v>Round2</x:v>
      </x:c>
      <x:c r="D1035" s="34" t="str">
        <x:v>Closure_117</x:v>
      </x:c>
      <x:c r="E1035" s="34" t="str">
        <x:v>Coverage</x:v>
      </x:c>
      <x:c r="F1035" s="34" t="n">
        <x:v>495</x:v>
      </x:c>
      <x:c r="G1035" s="34" t="str">
        <x:v>RECORDED</x:v>
      </x:c>
      <x:c r="H1035" s="38" t="n">
        <x:f>IF(ISNUMBER('Data'!G1035),'Data'!G1035*100,"")</x:f>
        <x:v>4.85</x:v>
      </x:c>
      <x:c r="I1035" s="34" t="str">
        <x:v>PASS</x:v>
      </x:c>
      <x:c r="J1035" s="34" t="str">
        <x:v>PASS</x:v>
      </x:c>
      <x:c r="K1035" s="34" t="str">
        <x:v>PASS</x:v>
      </x:c>
      <x:c r="L1035" s="34" t="str">
        <x:v>PASS</x:v>
      </x:c>
      <x:c r="M1035" s="34" t="str">
        <x:v>numeric coverage for applicable metric</x:v>
      </x:c>
      <x:c r="N1035" s="34" t="str">
        <x:v>Feedback-Directed Random Test Generation/Result_Round2/Closure_117/result.json</x:v>
      </x:c>
      <x:c r="O1035" s="38" t="n">
        <x:f>IF(AND(G1035="RECORDED",ISNUMBER(H1035)),H1035,"")</x:f>
        <x:v>4.85</x:v>
      </x:c>
      <x:c r="P1035" s="34" t="str">
        <x:v>NOT_REVEALING</x:v>
      </x:c>
      <x:c r="Q1035" s="34" t="str">
        <x:v>Feedback-Directed Random Test Generation/Result_Round2/Closure_117/result.json</x:v>
      </x:c>
    </x:row>
    <x:row r="1036">
      <x:c r="A1036" s="34" t="str">
        <x:v>randoop</x:v>
      </x:c>
      <x:c r="B1036" s="34" t="str">
        <x:v>Closure</x:v>
      </x:c>
      <x:c r="C1036" s="34" t="str">
        <x:v>Round2</x:v>
      </x:c>
      <x:c r="D1036" s="34" t="str">
        <x:v>Closure_118</x:v>
      </x:c>
      <x:c r="E1036" s="34" t="str">
        <x:v>Coverage</x:v>
      </x:c>
      <x:c r="F1036" s="34" t="n">
        <x:v>788</x:v>
      </x:c>
      <x:c r="G1036" s="34" t="str">
        <x:v>RECORDED</x:v>
      </x:c>
      <x:c r="H1036" s="38" t="n">
        <x:f>IF(ISNUMBER('Data'!G1036),'Data'!G1036*100,"")</x:f>
        <x:v>1.4</x:v>
      </x:c>
      <x:c r="I1036" s="34" t="str">
        <x:v>PASS</x:v>
      </x:c>
      <x:c r="J1036" s="34" t="str">
        <x:v>PASS</x:v>
      </x:c>
      <x:c r="K1036" s="34" t="str">
        <x:v>PASS</x:v>
      </x:c>
      <x:c r="L1036" s="34" t="str">
        <x:v>PASS</x:v>
      </x:c>
      <x:c r="M1036" s="34" t="str">
        <x:v>numeric coverage for applicable metric</x:v>
      </x:c>
      <x:c r="N1036" s="34" t="str">
        <x:v>Feedback-Directed Random Test Generation/Result_Round2/Closure_118/result.json</x:v>
      </x:c>
      <x:c r="O1036" s="38" t="n">
        <x:f>IF(AND(G1036="RECORDED",ISNUMBER(H1036)),H1036,"")</x:f>
        <x:v>1.4</x:v>
      </x:c>
      <x:c r="P1036" s="34" t="str">
        <x:v>NOT_REVEALING</x:v>
      </x:c>
      <x:c r="Q1036" s="34" t="str">
        <x:v>Feedback-Directed Random Test Generation/Result_Round2/Closure_118/result.json</x:v>
      </x:c>
    </x:row>
    <x:row r="1037">
      <x:c r="A1037" s="34" t="str">
        <x:v>randoop</x:v>
      </x:c>
      <x:c r="B1037" s="34" t="str">
        <x:v>Closure</x:v>
      </x:c>
      <x:c r="C1037" s="34" t="str">
        <x:v>Round2</x:v>
      </x:c>
      <x:c r="D1037" s="34" t="str">
        <x:v>Closure_119</x:v>
      </x:c>
      <x:c r="E1037" s="34" t="str">
        <x:v>Coverage</x:v>
      </x:c>
      <x:c r="F1037" s="34" t="n">
        <x:v>842</x:v>
      </x:c>
      <x:c r="G1037" s="34" t="str">
        <x:v>RECORDED</x:v>
      </x:c>
      <x:c r="H1037" s="38" t="n">
        <x:f>IF(ISNUMBER('Data'!G1037),'Data'!G1037*100,"")</x:f>
        <x:v>26.72</x:v>
      </x:c>
      <x:c r="I1037" s="34" t="str">
        <x:v>PASS</x:v>
      </x:c>
      <x:c r="J1037" s="34" t="str">
        <x:v>PASS</x:v>
      </x:c>
      <x:c r="K1037" s="34" t="str">
        <x:v>PASS</x:v>
      </x:c>
      <x:c r="L1037" s="34" t="str">
        <x:v>PASS</x:v>
      </x:c>
      <x:c r="M1037" s="34" t="str">
        <x:v>numeric coverage for applicable metric</x:v>
      </x:c>
      <x:c r="N1037" s="34" t="str">
        <x:v>Feedback-Directed Random Test Generation/Result_Round2/Closure_119/result.json</x:v>
      </x:c>
      <x:c r="O1037" s="38" t="n">
        <x:f>IF(AND(G1037="RECORDED",ISNUMBER(H1037)),H1037,"")</x:f>
        <x:v>26.72</x:v>
      </x:c>
      <x:c r="P1037" s="34" t="str">
        <x:v>NOT_REVEALING</x:v>
      </x:c>
      <x:c r="Q1037" s="34" t="str">
        <x:v>Feedback-Directed Random Test Generation/Result_Round2/Closure_119/result.json</x:v>
      </x:c>
    </x:row>
    <x:row r="1038">
      <x:c r="A1038" s="34" t="str">
        <x:v>randoop</x:v>
      </x:c>
      <x:c r="B1038" s="34" t="str">
        <x:v>Closure</x:v>
      </x:c>
      <x:c r="C1038" s="34" t="str">
        <x:v>Round2</x:v>
      </x:c>
      <x:c r="D1038" s="34" t="str">
        <x:v>Closure_120</x:v>
      </x:c>
      <x:c r="E1038" s="34" t="str">
        <x:v>Coverage</x:v>
      </x:c>
      <x:c r="F1038" s="34" t="n">
        <x:v>360</x:v>
      </x:c>
      <x:c r="G1038" s="34" t="str">
        <x:v>RECORDED</x:v>
      </x:c>
      <x:c r="H1038" s="38" t="n">
        <x:f>IF(ISNUMBER('Data'!G1038),'Data'!G1038*100,"")</x:f>
        <x:v>24.44</x:v>
      </x:c>
      <x:c r="I1038" s="34" t="str">
        <x:v>PASS</x:v>
      </x:c>
      <x:c r="J1038" s="34" t="str">
        <x:v>PASS</x:v>
      </x:c>
      <x:c r="K1038" s="34" t="str">
        <x:v>PASS</x:v>
      </x:c>
      <x:c r="L1038" s="34" t="str">
        <x:v>PASS</x:v>
      </x:c>
      <x:c r="M1038" s="34" t="str">
        <x:v>numeric coverage for applicable metric</x:v>
      </x:c>
      <x:c r="N1038" s="34" t="str">
        <x:v>Feedback-Directed Random Test Generation/Result_Round2/Closure_120/result.json</x:v>
      </x:c>
      <x:c r="O1038" s="38" t="n">
        <x:f>IF(AND(G1038="RECORDED",ISNUMBER(H1038)),H1038,"")</x:f>
        <x:v>24.44</x:v>
      </x:c>
      <x:c r="P1038" s="34" t="str">
        <x:v>NOT_REVEALING</x:v>
      </x:c>
      <x:c r="Q1038" s="34" t="str">
        <x:v>Feedback-Directed Random Test Generation/Result_Round2/Closure_120/result.json</x:v>
      </x:c>
    </x:row>
    <x:row r="1039">
      <x:c r="A1039" s="34" t="str">
        <x:v>randoop</x:v>
      </x:c>
      <x:c r="B1039" s="34" t="str">
        <x:v>Closure</x:v>
      </x:c>
      <x:c r="C1039" s="34" t="str">
        <x:v>Round2</x:v>
      </x:c>
      <x:c r="D1039" s="34" t="str">
        <x:v>Closure_121</x:v>
      </x:c>
      <x:c r="E1039" s="34" t="str">
        <x:v>Coverage</x:v>
      </x:c>
      <x:c r="F1039" s="34" t="n">
        <x:v>533</x:v>
      </x:c>
      <x:c r="G1039" s="34" t="str">
        <x:v>RECORDED</x:v>
      </x:c>
      <x:c r="H1039" s="38" t="n">
        <x:f>IF(ISNUMBER('Data'!G1039),'Data'!G1039*100,"")</x:f>
        <x:v>4.88</x:v>
      </x:c>
      <x:c r="I1039" s="34" t="str">
        <x:v>PASS</x:v>
      </x:c>
      <x:c r="J1039" s="34" t="str">
        <x:v>PASS</x:v>
      </x:c>
      <x:c r="K1039" s="34" t="str">
        <x:v>PASS</x:v>
      </x:c>
      <x:c r="L1039" s="34" t="str">
        <x:v>PASS</x:v>
      </x:c>
      <x:c r="M1039" s="34" t="str">
        <x:v>numeric coverage for applicable metric</x:v>
      </x:c>
      <x:c r="N1039" s="34" t="str">
        <x:v>Feedback-Directed Random Test Generation/Result_Round2/Closure_121/result.json</x:v>
      </x:c>
      <x:c r="O1039" s="38" t="n">
        <x:f>IF(AND(G1039="RECORDED",ISNUMBER(H1039)),H1039,"")</x:f>
        <x:v>4.88</x:v>
      </x:c>
      <x:c r="P1039" s="34" t="str">
        <x:v>NOT_REVEALING</x:v>
      </x:c>
      <x:c r="Q1039" s="34" t="str">
        <x:v>Feedback-Directed Random Test Generation/Result_Round2/Closure_121/result.json</x:v>
      </x:c>
    </x:row>
    <x:row r="1040">
      <x:c r="A1040" s="34" t="str">
        <x:v>randoop</x:v>
      </x:c>
      <x:c r="B1040" s="34" t="str">
        <x:v>Closure</x:v>
      </x:c>
      <x:c r="C1040" s="34" t="str">
        <x:v>Round2</x:v>
      </x:c>
      <x:c r="D1040" s="34" t="str">
        <x:v>Closure_122</x:v>
      </x:c>
      <x:c r="E1040" s="34" t="str">
        <x:v>Coverage</x:v>
      </x:c>
      <x:c r="F1040" s="34" t="n">
        <x:v>1049</x:v>
      </x:c>
      <x:c r="G1040" s="34" t="str">
        <x:v>RECORDED</x:v>
      </x:c>
      <x:c r="H1040" s="38" t="n">
        <x:f>IF(ISNUMBER('Data'!G1040),'Data'!G1040*100,"")</x:f>
        <x:v>2.57</x:v>
      </x:c>
      <x:c r="I1040" s="34" t="str">
        <x:v>PASS</x:v>
      </x:c>
      <x:c r="J1040" s="34" t="str">
        <x:v>PASS</x:v>
      </x:c>
      <x:c r="K1040" s="34" t="str">
        <x:v>PASS</x:v>
      </x:c>
      <x:c r="L1040" s="34" t="str">
        <x:v>PASS</x:v>
      </x:c>
      <x:c r="M1040" s="34" t="str">
        <x:v>numeric coverage for applicable metric</x:v>
      </x:c>
      <x:c r="N1040" s="34" t="str">
        <x:v>Feedback-Directed Random Test Generation/Result_Round2/Closure_122/result.json</x:v>
      </x:c>
      <x:c r="O1040" s="38" t="n">
        <x:f>IF(AND(G1040="RECORDED",ISNUMBER(H1040)),H1040,"")</x:f>
        <x:v>2.57</x:v>
      </x:c>
      <x:c r="P1040" s="34" t="str">
        <x:v>NOT_REVEALING</x:v>
      </x:c>
      <x:c r="Q1040" s="34" t="str">
        <x:v>Feedback-Directed Random Test Generation/Result_Round2/Closure_122/result.json</x:v>
      </x:c>
    </x:row>
    <x:row r="1041">
      <x:c r="A1041" s="34" t="str">
        <x:v>randoop</x:v>
      </x:c>
      <x:c r="B1041" s="34" t="str">
        <x:v>Closure</x:v>
      </x:c>
      <x:c r="C1041" s="34" t="str">
        <x:v>Round2</x:v>
      </x:c>
      <x:c r="D1041" s="34" t="str">
        <x:v>Closure_123</x:v>
      </x:c>
      <x:c r="E1041" s="34" t="str">
        <x:v>Coverage</x:v>
      </x:c>
      <x:c r="F1041" s="34" t="n">
        <x:v>1135</x:v>
      </x:c>
      <x:c r="G1041" s="34" t="str">
        <x:v>RECORDED</x:v>
      </x:c>
      <x:c r="H1041" s="38" t="n">
        <x:f>IF(ISNUMBER('Data'!G1041),'Data'!G1041*100,"")</x:f>
        <x:v>7.31</x:v>
      </x:c>
      <x:c r="I1041" s="34" t="str">
        <x:v>PASS</x:v>
      </x:c>
      <x:c r="J1041" s="34" t="str">
        <x:v>PASS</x:v>
      </x:c>
      <x:c r="K1041" s="34" t="str">
        <x:v>PASS</x:v>
      </x:c>
      <x:c r="L1041" s="34" t="str">
        <x:v>PASS</x:v>
      </x:c>
      <x:c r="M1041" s="34" t="str">
        <x:v>numeric coverage for applicable metric</x:v>
      </x:c>
      <x:c r="N1041" s="34" t="str">
        <x:v>Feedback-Directed Random Test Generation/Result_Round2/Closure_123/result.json</x:v>
      </x:c>
      <x:c r="O1041" s="38" t="n">
        <x:f>IF(AND(G1041="RECORDED",ISNUMBER(H1041)),H1041,"")</x:f>
        <x:v>7.31</x:v>
      </x:c>
      <x:c r="P1041" s="34" t="str">
        <x:v>NOT_REVEALING</x:v>
      </x:c>
      <x:c r="Q1041" s="34" t="str">
        <x:v>Feedback-Directed Random Test Generation/Result_Round2/Closure_123/result.json</x:v>
      </x:c>
    </x:row>
    <x:row r="1042">
      <x:c r="A1042" s="34" t="str">
        <x:v>randoop</x:v>
      </x:c>
      <x:c r="B1042" s="34" t="str">
        <x:v>Closure</x:v>
      </x:c>
      <x:c r="C1042" s="34" t="str">
        <x:v>Round2</x:v>
      </x:c>
      <x:c r="D1042" s="34" t="str">
        <x:v>Closure_124</x:v>
      </x:c>
      <x:c r="E1042" s="34" t="str">
        <x:v>Coverage</x:v>
      </x:c>
      <x:c r="F1042" s="34" t="n">
        <x:v>146</x:v>
      </x:c>
      <x:c r="G1042" s="34" t="str">
        <x:v>RECORDED</x:v>
      </x:c>
      <x:c r="H1042" s="38" t="n">
        <x:f>IF(ISNUMBER('Data'!G1042),'Data'!G1042*100,"")</x:f>
        <x:v>1.37</x:v>
      </x:c>
      <x:c r="I1042" s="34" t="str">
        <x:v>PASS</x:v>
      </x:c>
      <x:c r="J1042" s="34" t="str">
        <x:v>PASS</x:v>
      </x:c>
      <x:c r="K1042" s="34" t="str">
        <x:v>PASS</x:v>
      </x:c>
      <x:c r="L1042" s="34" t="str">
        <x:v>PASS</x:v>
      </x:c>
      <x:c r="M1042" s="34" t="str">
        <x:v>numeric coverage for applicable metric</x:v>
      </x:c>
      <x:c r="N1042" s="34" t="str">
        <x:v>Feedback-Directed Random Test Generation/Result_Round2/Closure_124/result.json</x:v>
      </x:c>
      <x:c r="O1042" s="38" t="n">
        <x:f>IF(AND(G1042="RECORDED",ISNUMBER(H1042)),H1042,"")</x:f>
        <x:v>1.37</x:v>
      </x:c>
      <x:c r="P1042" s="34" t="str">
        <x:v>NOT_REVEALING</x:v>
      </x:c>
      <x:c r="Q1042" s="34" t="str">
        <x:v>Feedback-Directed Random Test Generation/Result_Round2/Closure_124/result.json</x:v>
      </x:c>
    </x:row>
    <x:row r="1043">
      <x:c r="A1043" s="34" t="str">
        <x:v>randoop</x:v>
      </x:c>
      <x:c r="B1043" s="34" t="str">
        <x:v>Closure</x:v>
      </x:c>
      <x:c r="C1043" s="34" t="str">
        <x:v>Round2</x:v>
      </x:c>
      <x:c r="D1043" s="34" t="str">
        <x:v>Closure_125</x:v>
      </x:c>
      <x:c r="E1043" s="34" t="str">
        <x:v>Coverage</x:v>
      </x:c>
      <x:c r="F1043" s="34" t="n">
        <x:v>1516</x:v>
      </x:c>
      <x:c r="G1043" s="34" t="str">
        <x:v>RECORDED</x:v>
      </x:c>
      <x:c r="H1043" s="38" t="n">
        <x:f>IF(ISNUMBER('Data'!G1043),'Data'!G1043*100,"")</x:f>
        <x:v>4.95</x:v>
      </x:c>
      <x:c r="I1043" s="34" t="str">
        <x:v>PASS</x:v>
      </x:c>
      <x:c r="J1043" s="34" t="str">
        <x:v>PASS</x:v>
      </x:c>
      <x:c r="K1043" s="34" t="str">
        <x:v>PASS</x:v>
      </x:c>
      <x:c r="L1043" s="34" t="str">
        <x:v>PASS</x:v>
      </x:c>
      <x:c r="M1043" s="34" t="str">
        <x:v>numeric coverage for applicable metric</x:v>
      </x:c>
      <x:c r="N1043" s="34" t="str">
        <x:v>Feedback-Directed Random Test Generation/Result_Round2/Closure_125/result.json</x:v>
      </x:c>
      <x:c r="O1043" s="38" t="n">
        <x:f>IF(AND(G1043="RECORDED",ISNUMBER(H1043)),H1043,"")</x:f>
        <x:v>4.95</x:v>
      </x:c>
      <x:c r="P1043" s="34" t="str">
        <x:v>NOT_REVEALING</x:v>
      </x:c>
      <x:c r="Q1043" s="34" t="str">
        <x:v>Feedback-Directed Random Test Generation/Result_Round2/Closure_125/result.json</x:v>
      </x:c>
    </x:row>
    <x:row r="1044">
      <x:c r="A1044" s="34" t="str">
        <x:v>randoop</x:v>
      </x:c>
      <x:c r="B1044" s="34" t="str">
        <x:v>Closure</x:v>
      </x:c>
      <x:c r="C1044" s="34" t="str">
        <x:v>Round2</x:v>
      </x:c>
      <x:c r="D1044" s="34" t="str">
        <x:v>Closure_126</x:v>
      </x:c>
      <x:c r="E1044" s="34" t="str">
        <x:v>Coverage</x:v>
      </x:c>
      <x:c r="F1044" s="34" t="n">
        <x:v>171</x:v>
      </x:c>
      <x:c r="G1044" s="34" t="str">
        <x:v>RECORDED</x:v>
      </x:c>
      <x:c r="H1044" s="38" t="n">
        <x:f>IF(ISNUMBER('Data'!G1044),'Data'!G1044*100,"")</x:f>
        <x:v>4.09</x:v>
      </x:c>
      <x:c r="I1044" s="34" t="str">
        <x:v>PASS</x:v>
      </x:c>
      <x:c r="J1044" s="34" t="str">
        <x:v>PASS</x:v>
      </x:c>
      <x:c r="K1044" s="34" t="str">
        <x:v>PASS</x:v>
      </x:c>
      <x:c r="L1044" s="34" t="str">
        <x:v>PASS</x:v>
      </x:c>
      <x:c r="M1044" s="34" t="str">
        <x:v>numeric coverage for applicable metric</x:v>
      </x:c>
      <x:c r="N1044" s="34" t="str">
        <x:v>Feedback-Directed Random Test Generation/Result_Round2/Closure_126/result.json</x:v>
      </x:c>
      <x:c r="O1044" s="38" t="n">
        <x:f>IF(AND(G1044="RECORDED",ISNUMBER(H1044)),H1044,"")</x:f>
        <x:v>4.09</x:v>
      </x:c>
      <x:c r="P1044" s="34" t="str">
        <x:v>NOT_REVEALING</x:v>
      </x:c>
      <x:c r="Q1044" s="34" t="str">
        <x:v>Feedback-Directed Random Test Generation/Result_Round2/Closure_126/result.json</x:v>
      </x:c>
    </x:row>
    <x:row r="1045">
      <x:c r="A1045" s="34" t="str">
        <x:v>randoop</x:v>
      </x:c>
      <x:c r="B1045" s="34" t="str">
        <x:v>Closure</x:v>
      </x:c>
      <x:c r="C1045" s="34" t="str">
        <x:v>Round2</x:v>
      </x:c>
      <x:c r="D1045" s="34" t="str">
        <x:v>Closure_127</x:v>
      </x:c>
      <x:c r="E1045" s="34" t="str">
        <x:v>Coverage</x:v>
      </x:c>
      <x:c r="F1045" s="34" t="n">
        <x:v>147</x:v>
      </x:c>
      <x:c r="G1045" s="34" t="str">
        <x:v>RECORDED</x:v>
      </x:c>
      <x:c r="H1045" s="38" t="n">
        <x:f>IF(ISNUMBER('Data'!G1045),'Data'!G1045*100,"")</x:f>
        <x:v>5.44</x:v>
      </x:c>
      <x:c r="I1045" s="34" t="str">
        <x:v>PASS</x:v>
      </x:c>
      <x:c r="J1045" s="34" t="str">
        <x:v>PASS</x:v>
      </x:c>
      <x:c r="K1045" s="34" t="str">
        <x:v>PASS</x:v>
      </x:c>
      <x:c r="L1045" s="34" t="str">
        <x:v>PASS</x:v>
      </x:c>
      <x:c r="M1045" s="34" t="str">
        <x:v>numeric coverage for applicable metric</x:v>
      </x:c>
      <x:c r="N1045" s="34" t="str">
        <x:v>Feedback-Directed Random Test Generation/Result_Round2/Closure_127/result.json</x:v>
      </x:c>
      <x:c r="O1045" s="38" t="n">
        <x:f>IF(AND(G1045="RECORDED",ISNUMBER(H1045)),H1045,"")</x:f>
        <x:v>5.44</x:v>
      </x:c>
      <x:c r="P1045" s="34" t="str">
        <x:v>NOT_REVEALING</x:v>
      </x:c>
      <x:c r="Q1045" s="34" t="str">
        <x:v>Feedback-Directed Random Test Generation/Result_Round2/Closure_127/result.json</x:v>
      </x:c>
    </x:row>
    <x:row r="1046">
      <x:c r="A1046" s="34" t="str">
        <x:v>randoop</x:v>
      </x:c>
      <x:c r="B1046" s="34" t="str">
        <x:v>Closure</x:v>
      </x:c>
      <x:c r="C1046" s="34" t="str">
        <x:v>Round2</x:v>
      </x:c>
      <x:c r="D1046" s="34" t="str">
        <x:v>Closure_128</x:v>
      </x:c>
      <x:c r="E1046" s="34" t="str">
        <x:v>Coverage</x:v>
      </x:c>
      <x:c r="F1046" s="34" t="n">
        <x:v>1115</x:v>
      </x:c>
      <x:c r="G1046" s="34" t="str">
        <x:v>RECORDED</x:v>
      </x:c>
      <x:c r="H1046" s="38" t="n">
        <x:f>IF(ISNUMBER('Data'!G1046),'Data'!G1046*100,"")</x:f>
        <x:v>7.26</x:v>
      </x:c>
      <x:c r="I1046" s="34" t="str">
        <x:v>PASS</x:v>
      </x:c>
      <x:c r="J1046" s="34" t="str">
        <x:v>PASS</x:v>
      </x:c>
      <x:c r="K1046" s="34" t="str">
        <x:v>PASS</x:v>
      </x:c>
      <x:c r="L1046" s="34" t="str">
        <x:v>PASS</x:v>
      </x:c>
      <x:c r="M1046" s="34" t="str">
        <x:v>numeric coverage for applicable metric</x:v>
      </x:c>
      <x:c r="N1046" s="34" t="str">
        <x:v>Feedback-Directed Random Test Generation/Result_Round2/Closure_128/result.json</x:v>
      </x:c>
      <x:c r="O1046" s="38" t="n">
        <x:f>IF(AND(G1046="RECORDED",ISNUMBER(H1046)),H1046,"")</x:f>
        <x:v>7.26</x:v>
      </x:c>
      <x:c r="P1046" s="34" t="str">
        <x:v>NOT_REVEALING</x:v>
      </x:c>
      <x:c r="Q1046" s="34" t="str">
        <x:v>Feedback-Directed Random Test Generation/Result_Round2/Closure_128/result.json</x:v>
      </x:c>
    </x:row>
    <x:row r="1047">
      <x:c r="A1047" s="34" t="str">
        <x:v>randoop</x:v>
      </x:c>
      <x:c r="B1047" s="34" t="str">
        <x:v>Closure</x:v>
      </x:c>
      <x:c r="C1047" s="34" t="str">
        <x:v>Round2</x:v>
      </x:c>
      <x:c r="D1047" s="34" t="str">
        <x:v>Closure_129</x:v>
      </x:c>
      <x:c r="E1047" s="34" t="str">
        <x:v>Coverage</x:v>
      </x:c>
      <x:c r="F1047" s="34" t="n">
        <x:v>123</x:v>
      </x:c>
      <x:c r="G1047" s="34" t="str">
        <x:v>RECORDED</x:v>
      </x:c>
      <x:c r="H1047" s="38" t="n">
        <x:f>IF(ISNUMBER('Data'!G1047),'Data'!G1047*100,"")</x:f>
        <x:v>17.07</x:v>
      </x:c>
      <x:c r="I1047" s="34" t="str">
        <x:v>PASS</x:v>
      </x:c>
      <x:c r="J1047" s="34" t="str">
        <x:v>PASS</x:v>
      </x:c>
      <x:c r="K1047" s="34" t="str">
        <x:v>PASS</x:v>
      </x:c>
      <x:c r="L1047" s="34" t="str">
        <x:v>PASS</x:v>
      </x:c>
      <x:c r="M1047" s="34" t="str">
        <x:v>numeric coverage for applicable metric</x:v>
      </x:c>
      <x:c r="N1047" s="34" t="str">
        <x:v>Feedback-Directed Random Test Generation/Result_Round2/Closure_129/result.json</x:v>
      </x:c>
      <x:c r="O1047" s="38" t="n">
        <x:f>IF(AND(G1047="RECORDED",ISNUMBER(H1047)),H1047,"")</x:f>
        <x:v>17.07</x:v>
      </x:c>
      <x:c r="P1047" s="34" t="str">
        <x:v>NOT_REVEALING</x:v>
      </x:c>
      <x:c r="Q1047" s="34" t="str">
        <x:v>Feedback-Directed Random Test Generation/Result_Round2/Closure_129/result.json</x:v>
      </x:c>
    </x:row>
    <x:row r="1048">
      <x:c r="A1048" s="34" t="str">
        <x:v>randoop</x:v>
      </x:c>
      <x:c r="B1048" s="34" t="str">
        <x:v>Closure</x:v>
      </x:c>
      <x:c r="C1048" s="34" t="str">
        <x:v>Round2</x:v>
      </x:c>
      <x:c r="D1048" s="34" t="str">
        <x:v>Closure_130</x:v>
      </x:c>
      <x:c r="E1048" s="34" t="str">
        <x:v>Coverage</x:v>
      </x:c>
      <x:c r="F1048" s="34" t="n">
        <x:v>635</x:v>
      </x:c>
      <x:c r="G1048" s="34" t="str">
        <x:v>RECORDED</x:v>
      </x:c>
      <x:c r="H1048" s="38" t="n">
        <x:f>IF(ISNUMBER('Data'!G1048),'Data'!G1048*100,"")</x:f>
        <x:v>3.3099999999999996</x:v>
      </x:c>
      <x:c r="I1048" s="34" t="str">
        <x:v>PASS</x:v>
      </x:c>
      <x:c r="J1048" s="34" t="str">
        <x:v>PASS</x:v>
      </x:c>
      <x:c r="K1048" s="34" t="str">
        <x:v>PASS</x:v>
      </x:c>
      <x:c r="L1048" s="34" t="str">
        <x:v>PASS</x:v>
      </x:c>
      <x:c r="M1048" s="34" t="str">
        <x:v>numeric coverage for applicable metric</x:v>
      </x:c>
      <x:c r="N1048" s="34" t="str">
        <x:v>Feedback-Directed Random Test Generation/Result_Round2/Closure_130/result.json</x:v>
      </x:c>
      <x:c r="O1048" s="38" t="n">
        <x:f>IF(AND(G1048="RECORDED",ISNUMBER(H1048)),H1048,"")</x:f>
        <x:v>3.3099999999999996</x:v>
      </x:c>
      <x:c r="P1048" s="34" t="str">
        <x:v>NOT_REVEALING</x:v>
      </x:c>
      <x:c r="Q1048" s="34" t="str">
        <x:v>Feedback-Directed Random Test Generation/Result_Round2/Closure_130/result.json</x:v>
      </x:c>
    </x:row>
    <x:row r="1049">
      <x:c r="A1049" s="34" t="str">
        <x:v>randoop</x:v>
      </x:c>
      <x:c r="B1049" s="34" t="str">
        <x:v>Closure</x:v>
      </x:c>
      <x:c r="C1049" s="34" t="str">
        <x:v>Round2</x:v>
      </x:c>
      <x:c r="D1049" s="34" t="str">
        <x:v>Closure_131</x:v>
      </x:c>
      <x:c r="E1049" s="34" t="str">
        <x:v>Coverage</x:v>
      </x:c>
      <x:c r="F1049" s="34" t="n">
        <x:v>278</x:v>
      </x:c>
      <x:c r="G1049" s="34" t="str">
        <x:v>RECORDED</x:v>
      </x:c>
      <x:c r="H1049" s="38" t="n">
        <x:f>IF(ISNUMBER('Data'!G1049),'Data'!G1049*100,"")</x:f>
        <x:v>9.71</x:v>
      </x:c>
      <x:c r="I1049" s="34" t="str">
        <x:v>PASS</x:v>
      </x:c>
      <x:c r="J1049" s="34" t="str">
        <x:v>PASS</x:v>
      </x:c>
      <x:c r="K1049" s="34" t="str">
        <x:v>PASS</x:v>
      </x:c>
      <x:c r="L1049" s="34" t="str">
        <x:v>PASS</x:v>
      </x:c>
      <x:c r="M1049" s="34" t="str">
        <x:v>numeric coverage for applicable metric</x:v>
      </x:c>
      <x:c r="N1049" s="34" t="str">
        <x:v>Feedback-Directed Random Test Generation/Result_Round2/Closure_131/result.json</x:v>
      </x:c>
      <x:c r="O1049" s="38" t="n">
        <x:f>IF(AND(G1049="RECORDED",ISNUMBER(H1049)),H1049,"")</x:f>
        <x:v>9.71</x:v>
      </x:c>
      <x:c r="P1049" s="34" t="str">
        <x:v>NOT_REVEALING</x:v>
      </x:c>
      <x:c r="Q1049" s="34" t="str">
        <x:v>Feedback-Directed Random Test Generation/Result_Round2/Closure_131/result.json</x:v>
      </x:c>
    </x:row>
    <x:row r="1050">
      <x:c r="A1050" s="34" t="str">
        <x:v>randoop</x:v>
      </x:c>
      <x:c r="B1050" s="34" t="str">
        <x:v>Closure</x:v>
      </x:c>
      <x:c r="C1050" s="34" t="str">
        <x:v>Round2</x:v>
      </x:c>
      <x:c r="D1050" s="34" t="str">
        <x:v>Closure_132</x:v>
      </x:c>
      <x:c r="E1050" s="34" t="str">
        <x:v>Coverage</x:v>
      </x:c>
      <x:c r="F1050" s="34" t="n">
        <x:v>1287</x:v>
      </x:c>
      <x:c r="G1050" s="34" t="str">
        <x:v>RECORDED</x:v>
      </x:c>
      <x:c r="H1050" s="38" t="n">
        <x:f>IF(ISNUMBER('Data'!G1050),'Data'!G1050*100,"")</x:f>
        <x:v>2.25</x:v>
      </x:c>
      <x:c r="I1050" s="34" t="str">
        <x:v>PASS</x:v>
      </x:c>
      <x:c r="J1050" s="34" t="str">
        <x:v>PASS</x:v>
      </x:c>
      <x:c r="K1050" s="34" t="str">
        <x:v>PASS</x:v>
      </x:c>
      <x:c r="L1050" s="34" t="str">
        <x:v>PASS</x:v>
      </x:c>
      <x:c r="M1050" s="34" t="str">
        <x:v>numeric coverage for applicable metric</x:v>
      </x:c>
      <x:c r="N1050" s="34" t="str">
        <x:v>Feedback-Directed Random Test Generation/Result_Round2/Closure_132/result.json</x:v>
      </x:c>
      <x:c r="O1050" s="38" t="n">
        <x:f>IF(AND(G1050="RECORDED",ISNUMBER(H1050)),H1050,"")</x:f>
        <x:v>2.25</x:v>
      </x:c>
      <x:c r="P1050" s="34" t="str">
        <x:v>NOT_REVEALING</x:v>
      </x:c>
      <x:c r="Q1050" s="34" t="str">
        <x:v>Feedback-Directed Random Test Generation/Result_Round2/Closure_132/result.json</x:v>
      </x:c>
    </x:row>
    <x:row r="1051">
      <x:c r="A1051" s="34" t="str">
        <x:v>randoop</x:v>
      </x:c>
      <x:c r="B1051" s="34" t="str">
        <x:v>Closure</x:v>
      </x:c>
      <x:c r="C1051" s="34" t="str">
        <x:v>Round2</x:v>
      </x:c>
      <x:c r="D1051" s="34" t="str">
        <x:v>Closure_133</x:v>
      </x:c>
      <x:c r="E1051" s="34" t="str">
        <x:v>Coverage</x:v>
      </x:c>
      <x:c r="F1051" s="34" t="n">
        <x:v>1744</x:v>
      </x:c>
      <x:c r="G1051" s="34" t="str">
        <x:v>RECORDED</x:v>
      </x:c>
      <x:c r="H1051" s="38" t="n">
        <x:f>IF(ISNUMBER('Data'!G1051),'Data'!G1051*100,"")</x:f>
        <x:v>6.77</x:v>
      </x:c>
      <x:c r="I1051" s="34" t="str">
        <x:v>PASS</x:v>
      </x:c>
      <x:c r="J1051" s="34" t="str">
        <x:v>PASS</x:v>
      </x:c>
      <x:c r="K1051" s="34" t="str">
        <x:v>PASS</x:v>
      </x:c>
      <x:c r="L1051" s="34" t="str">
        <x:v>PASS</x:v>
      </x:c>
      <x:c r="M1051" s="34" t="str">
        <x:v>numeric coverage for applicable metric</x:v>
      </x:c>
      <x:c r="N1051" s="34" t="str">
        <x:v>Feedback-Directed Random Test Generation/Result_Round2/Closure_133/result.json</x:v>
      </x:c>
      <x:c r="O1051" s="38" t="n">
        <x:f>IF(AND(G1051="RECORDED",ISNUMBER(H1051)),H1051,"")</x:f>
        <x:v>6.77</x:v>
      </x:c>
      <x:c r="P1051" s="34" t="str">
        <x:v>NOT_REVEALING</x:v>
      </x:c>
      <x:c r="Q1051" s="34" t="str">
        <x:v>Feedback-Directed Random Test Generation/Result_Round2/Closure_133/result.json</x:v>
      </x:c>
    </x:row>
    <x:row r="1052">
      <x:c r="A1052" s="34" t="str">
        <x:v>randoop</x:v>
      </x:c>
      <x:c r="B1052" s="34" t="str">
        <x:v>Closure</x:v>
      </x:c>
      <x:c r="C1052" s="34" t="str">
        <x:v>Round2</x:v>
      </x:c>
      <x:c r="D1052" s="34" t="str">
        <x:v>Closure_134</x:v>
      </x:c>
      <x:c r="E1052" s="34" t="str">
        <x:v>Coverage</x:v>
      </x:c>
      <x:c r="F1052" s="34" t="n">
        <x:v>1415</x:v>
      </x:c>
      <x:c r="G1052" s="34" t="str">
        <x:v>RECORDED</x:v>
      </x:c>
      <x:c r="H1052" s="38" t="n">
        <x:f>IF(ISNUMBER('Data'!G1052),'Data'!G1052*100,"")</x:f>
        <x:v>1.91</x:v>
      </x:c>
      <x:c r="I1052" s="34" t="str">
        <x:v>PASS</x:v>
      </x:c>
      <x:c r="J1052" s="34" t="str">
        <x:v>PASS</x:v>
      </x:c>
      <x:c r="K1052" s="34" t="str">
        <x:v>PASS</x:v>
      </x:c>
      <x:c r="L1052" s="34" t="str">
        <x:v>PASS</x:v>
      </x:c>
      <x:c r="M1052" s="34" t="str">
        <x:v>numeric coverage for applicable metric</x:v>
      </x:c>
      <x:c r="N1052" s="34" t="str">
        <x:v>Feedback-Directed Random Test Generation/Result_Round2/Closure_134/result.json</x:v>
      </x:c>
      <x:c r="O1052" s="38" t="n">
        <x:f>IF(AND(G1052="RECORDED",ISNUMBER(H1052)),H1052,"")</x:f>
        <x:v>1.91</x:v>
      </x:c>
      <x:c r="P1052" s="34" t="str">
        <x:v>NOT_REVEALING</x:v>
      </x:c>
      <x:c r="Q1052" s="34" t="str">
        <x:v>Feedback-Directed Random Test Generation/Result_Round2/Closure_134/result.json</x:v>
      </x:c>
    </x:row>
    <x:row r="1053">
      <x:c r="A1053" s="34" t="str">
        <x:v>randoop</x:v>
      </x:c>
      <x:c r="B1053" s="34" t="str">
        <x:v>Closure</x:v>
      </x:c>
      <x:c r="C1053" s="34" t="str">
        <x:v>Round2</x:v>
      </x:c>
      <x:c r="D1053" s="34" t="str">
        <x:v>Closure_135</x:v>
      </x:c>
      <x:c r="E1053" s="34" t="str">
        <x:v>Coverage</x:v>
      </x:c>
      <x:c r="F1053" s="34" t="n">
        <x:v>742</x:v>
      </x:c>
      <x:c r="G1053" s="34" t="str">
        <x:v>RECORDED</x:v>
      </x:c>
      <x:c r="H1053" s="38" t="n">
        <x:f>IF(ISNUMBER('Data'!G1053),'Data'!G1053*100,"")</x:f>
        <x:v>1.35</x:v>
      </x:c>
      <x:c r="I1053" s="34" t="str">
        <x:v>PASS</x:v>
      </x:c>
      <x:c r="J1053" s="34" t="str">
        <x:v>PASS</x:v>
      </x:c>
      <x:c r="K1053" s="34" t="str">
        <x:v>PASS</x:v>
      </x:c>
      <x:c r="L1053" s="34" t="str">
        <x:v>PASS</x:v>
      </x:c>
      <x:c r="M1053" s="34" t="str">
        <x:v>numeric coverage for applicable metric</x:v>
      </x:c>
      <x:c r="N1053" s="34" t="str">
        <x:v>Feedback-Directed Random Test Generation/Result_Round2/Closure_135/result.json</x:v>
      </x:c>
      <x:c r="O1053" s="38" t="n">
        <x:f>IF(AND(G1053="RECORDED",ISNUMBER(H1053)),H1053,"")</x:f>
        <x:v>1.35</x:v>
      </x:c>
      <x:c r="P1053" s="34" t="str">
        <x:v>NOT_REVEALING</x:v>
      </x:c>
      <x:c r="Q1053" s="34" t="str">
        <x:v>Feedback-Directed Random Test Generation/Result_Round2/Closure_135/result.json</x:v>
      </x:c>
    </x:row>
    <x:row r="1054">
      <x:c r="A1054" s="34" t="str">
        <x:v>randoop</x:v>
      </x:c>
      <x:c r="B1054" s="34" t="str">
        <x:v>Closure</x:v>
      </x:c>
      <x:c r="C1054" s="34" t="str">
        <x:v>Round2</x:v>
      </x:c>
      <x:c r="D1054" s="34" t="str">
        <x:v>Closure_136</x:v>
      </x:c>
      <x:c r="E1054" s="34" t="str">
        <x:v>Coverage</x:v>
      </x:c>
      <x:c r="F1054" s="34" t="n">
        <x:v>413</x:v>
      </x:c>
      <x:c r="G1054" s="34" t="str">
        <x:v>RECORDED</x:v>
      </x:c>
      <x:c r="H1054" s="38" t="n">
        <x:f>IF(ISNUMBER('Data'!G1054),'Data'!G1054*100,"")</x:f>
        <x:v>13.08</x:v>
      </x:c>
      <x:c r="I1054" s="34" t="str">
        <x:v>PASS</x:v>
      </x:c>
      <x:c r="J1054" s="34" t="str">
        <x:v>PASS</x:v>
      </x:c>
      <x:c r="K1054" s="34" t="str">
        <x:v>PASS</x:v>
      </x:c>
      <x:c r="L1054" s="34" t="str">
        <x:v>PASS</x:v>
      </x:c>
      <x:c r="M1054" s="34" t="str">
        <x:v>numeric coverage for applicable metric</x:v>
      </x:c>
      <x:c r="N1054" s="34" t="str">
        <x:v>Feedback-Directed Random Test Generation/Result_Round2/Closure_136/result.json</x:v>
      </x:c>
      <x:c r="O1054" s="38" t="n">
        <x:f>IF(AND(G1054="RECORDED",ISNUMBER(H1054)),H1054,"")</x:f>
        <x:v>13.08</x:v>
      </x:c>
      <x:c r="P1054" s="34" t="str">
        <x:v>NOT_REVEALING</x:v>
      </x:c>
      <x:c r="Q1054" s="34" t="str">
        <x:v>Feedback-Directed Random Test Generation/Result_Round2/Closure_136/result.json</x:v>
      </x:c>
    </x:row>
    <x:row r="1055">
      <x:c r="A1055" s="34" t="str">
        <x:v>randoop</x:v>
      </x:c>
      <x:c r="B1055" s="34" t="str">
        <x:v>Closure</x:v>
      </x:c>
      <x:c r="C1055" s="34" t="str">
        <x:v>Round2</x:v>
      </x:c>
      <x:c r="D1055" s="34" t="str">
        <x:v>Closure_137</x:v>
      </x:c>
      <x:c r="E1055" s="34" t="str">
        <x:v>Coverage</x:v>
      </x:c>
      <x:c r="F1055" s="34" t="n">
        <x:v>1624</x:v>
      </x:c>
      <x:c r="G1055" s="34" t="str">
        <x:v>RECORDED</x:v>
      </x:c>
      <x:c r="H1055" s="38" t="n">
        <x:f>IF(ISNUMBER('Data'!G1055),'Data'!G1055*100,"")</x:f>
        <x:v>41.13</x:v>
      </x:c>
      <x:c r="I1055" s="34" t="str">
        <x:v>PASS</x:v>
      </x:c>
      <x:c r="J1055" s="34" t="str">
        <x:v>PASS</x:v>
      </x:c>
      <x:c r="K1055" s="34" t="str">
        <x:v>PASS</x:v>
      </x:c>
      <x:c r="L1055" s="34" t="str">
        <x:v>FAIL</x:v>
      </x:c>
      <x:c r="M1055" s="34" t="str">
        <x:v>numeric coverage for applicable metric</x:v>
      </x:c>
      <x:c r="N1055" s="34" t="str">
        <x:v>Feedback-Directed Random Test Generation/Result_Round2/Closure_137/result.json</x:v>
      </x:c>
      <x:c r="O1055" s="38" t="n">
        <x:f>IF(AND(G1055="RECORDED",ISNUMBER(H1055)),H1055,"")</x:f>
        <x:v>41.13</x:v>
      </x:c>
      <x:c r="P1055" s="34" t="str">
        <x:v>INCONCLUSIVE</x:v>
      </x:c>
      <x:c r="Q1055" s="34" t="str">
        <x:v>Feedback-Directed Random Test Generation/Result_Round2/Closure_137/result.json</x:v>
      </x:c>
    </x:row>
    <x:row r="1056">
      <x:c r="A1056" s="34" t="str">
        <x:v>randoop</x:v>
      </x:c>
      <x:c r="B1056" s="34" t="str">
        <x:v>Closure</x:v>
      </x:c>
      <x:c r="C1056" s="34" t="str">
        <x:v>Round2</x:v>
      </x:c>
      <x:c r="D1056" s="34" t="str">
        <x:v>Closure_138</x:v>
      </x:c>
      <x:c r="E1056" s="34" t="str">
        <x:v>Coverage</x:v>
      </x:c>
      <x:c r="F1056" s="34" t="n">
        <x:v>978</x:v>
      </x:c>
      <x:c r="G1056" s="34" t="str">
        <x:v>RECORDED</x:v>
      </x:c>
      <x:c r="H1056" s="38" t="n">
        <x:f>IF(ISNUMBER('Data'!G1056),'Data'!G1056*100,"")</x:f>
        <x:v>0.1</x:v>
      </x:c>
      <x:c r="I1056" s="34" t="str">
        <x:v>PASS</x:v>
      </x:c>
      <x:c r="J1056" s="34" t="str">
        <x:v>PASS</x:v>
      </x:c>
      <x:c r="K1056" s="34" t="str">
        <x:v>PASS</x:v>
      </x:c>
      <x:c r="L1056" s="34" t="str">
        <x:v>PASS</x:v>
      </x:c>
      <x:c r="M1056" s="34" t="str">
        <x:v>numeric coverage for applicable metric</x:v>
      </x:c>
      <x:c r="N1056" s="34" t="str">
        <x:v>Feedback-Directed Random Test Generation/Result_Round2/Closure_138/result.json</x:v>
      </x:c>
      <x:c r="O1056" s="38" t="n">
        <x:f>IF(AND(G1056="RECORDED",ISNUMBER(H1056)),H1056,"")</x:f>
        <x:v>0.1</x:v>
      </x:c>
      <x:c r="P1056" s="34" t="str">
        <x:v>NOT_REVEALING</x:v>
      </x:c>
      <x:c r="Q1056" s="34" t="str">
        <x:v>Feedback-Directed Random Test Generation/Result_Round2/Closure_138/result.json</x:v>
      </x:c>
    </x:row>
    <x:row r="1057">
      <x:c r="A1057" s="34" t="str">
        <x:v>randoop</x:v>
      </x:c>
      <x:c r="B1057" s="34" t="str">
        <x:v>Closure</x:v>
      </x:c>
      <x:c r="C1057" s="34" t="str">
        <x:v>Round2</x:v>
      </x:c>
      <x:c r="D1057" s="34" t="str">
        <x:v>Closure_139</x:v>
      </x:c>
      <x:c r="E1057" s="34" t="str">
        <x:v>Coverage</x:v>
      </x:c>
      <x:c r="F1057" s="34" t="n">
        <x:v>308</x:v>
      </x:c>
      <x:c r="G1057" s="34" t="str">
        <x:v>RECORDED</x:v>
      </x:c>
      <x:c r="H1057" s="38" t="n">
        <x:f>IF(ISNUMBER('Data'!G1057),'Data'!G1057*100,"")</x:f>
        <x:v>8.12</x:v>
      </x:c>
      <x:c r="I1057" s="34" t="str">
        <x:v>PASS</x:v>
      </x:c>
      <x:c r="J1057" s="34" t="str">
        <x:v>PASS</x:v>
      </x:c>
      <x:c r="K1057" s="34" t="str">
        <x:v>PASS</x:v>
      </x:c>
      <x:c r="L1057" s="34" t="str">
        <x:v>PASS</x:v>
      </x:c>
      <x:c r="M1057" s="34" t="str">
        <x:v>numeric coverage for applicable metric</x:v>
      </x:c>
      <x:c r="N1057" s="34" t="str">
        <x:v>Feedback-Directed Random Test Generation/Result_Round2/Closure_139/result.json</x:v>
      </x:c>
      <x:c r="O1057" s="38" t="n">
        <x:f>IF(AND(G1057="RECORDED",ISNUMBER(H1057)),H1057,"")</x:f>
        <x:v>8.12</x:v>
      </x:c>
      <x:c r="P1057" s="34" t="str">
        <x:v>NOT_REVEALING</x:v>
      </x:c>
      <x:c r="Q1057" s="34" t="str">
        <x:v>Feedback-Directed Random Test Generation/Result_Round2/Closure_139/result.json</x:v>
      </x:c>
    </x:row>
    <x:row r="1058">
      <x:c r="A1058" s="34" t="str">
        <x:v>randoop</x:v>
      </x:c>
      <x:c r="B1058" s="34" t="str">
        <x:v>Closure</x:v>
      </x:c>
      <x:c r="C1058" s="34" t="str">
        <x:v>Round2</x:v>
      </x:c>
      <x:c r="D1058" s="34" t="str">
        <x:v>Closure_140</x:v>
      </x:c>
      <x:c r="E1058" s="34" t="str">
        <x:v>Coverage</x:v>
      </x:c>
      <x:c r="F1058" s="34" t="n">
        <x:v>901</x:v>
      </x:c>
      <x:c r="G1058" s="34" t="str">
        <x:v>RECORDED</x:v>
      </x:c>
      <x:c r="H1058" s="38" t="n">
        <x:f>IF(ISNUMBER('Data'!G1058),'Data'!G1058*100,"")</x:f>
        <x:v>38.18</x:v>
      </x:c>
      <x:c r="I1058" s="34" t="str">
        <x:v>PASS</x:v>
      </x:c>
      <x:c r="J1058" s="34" t="str">
        <x:v>PASS</x:v>
      </x:c>
      <x:c r="K1058" s="34" t="str">
        <x:v>PASS</x:v>
      </x:c>
      <x:c r="L1058" s="34" t="str">
        <x:v>FAIL</x:v>
      </x:c>
      <x:c r="M1058" s="34" t="str">
        <x:v>numeric coverage for applicable metric</x:v>
      </x:c>
      <x:c r="N1058" s="34" t="str">
        <x:v>Feedback-Directed Random Test Generation/Result_Round2/Closure_140/result.json</x:v>
      </x:c>
      <x:c r="O1058" s="38" t="n">
        <x:f>IF(AND(G1058="RECORDED",ISNUMBER(H1058)),H1058,"")</x:f>
        <x:v>38.18</x:v>
      </x:c>
      <x:c r="P1058" s="34" t="str">
        <x:v>INCONCLUSIVE</x:v>
      </x:c>
      <x:c r="Q1058" s="34" t="str">
        <x:v>Feedback-Directed Random Test Generation/Result_Round2/Closure_140/result.json</x:v>
      </x:c>
    </x:row>
    <x:row r="1059">
      <x:c r="A1059" s="34" t="str">
        <x:v>randoop</x:v>
      </x:c>
      <x:c r="B1059" s="34" t="str">
        <x:v>Closure</x:v>
      </x:c>
      <x:c r="C1059" s="34" t="str">
        <x:v>Round2</x:v>
      </x:c>
      <x:c r="D1059" s="34" t="str">
        <x:v>Closure_141</x:v>
      </x:c>
      <x:c r="E1059" s="34" t="str">
        <x:v>Coverage</x:v>
      </x:c>
      <x:c r="F1059" s="34" t="n">
        <x:v>1537</x:v>
      </x:c>
      <x:c r="G1059" s="34" t="str">
        <x:v>RECORDED</x:v>
      </x:c>
      <x:c r="H1059" s="38" t="n">
        <x:f>IF(ISNUMBER('Data'!G1059),'Data'!G1059*100,"")</x:f>
        <x:v>36.69</x:v>
      </x:c>
      <x:c r="I1059" s="34" t="str">
        <x:v>PASS</x:v>
      </x:c>
      <x:c r="J1059" s="34" t="str">
        <x:v>PASS</x:v>
      </x:c>
      <x:c r="K1059" s="34" t="str">
        <x:v>PASS</x:v>
      </x:c>
      <x:c r="L1059" s="34" t="str">
        <x:v>FAIL</x:v>
      </x:c>
      <x:c r="M1059" s="34" t="str">
        <x:v>numeric coverage for applicable metric</x:v>
      </x:c>
      <x:c r="N1059" s="34" t="str">
        <x:v>Feedback-Directed Random Test Generation/Result_Round2/Closure_141/result.json</x:v>
      </x:c>
      <x:c r="O1059" s="38" t="n">
        <x:f>IF(AND(G1059="RECORDED",ISNUMBER(H1059)),H1059,"")</x:f>
        <x:v>36.69</x:v>
      </x:c>
      <x:c r="P1059" s="34" t="str">
        <x:v>INCONCLUSIVE</x:v>
      </x:c>
      <x:c r="Q1059" s="34" t="str">
        <x:v>Feedback-Directed Random Test Generation/Result_Round2/Closure_141/result.json</x:v>
      </x:c>
    </x:row>
    <x:row r="1060">
      <x:c r="A1060" s="34" t="str">
        <x:v>randoop</x:v>
      </x:c>
      <x:c r="B1060" s="34" t="str">
        <x:v>Closure</x:v>
      </x:c>
      <x:c r="C1060" s="34" t="str">
        <x:v>Round2</x:v>
      </x:c>
      <x:c r="D1060" s="34" t="str">
        <x:v>Closure_142</x:v>
      </x:c>
      <x:c r="E1060" s="34" t="str">
        <x:v>Coverage</x:v>
      </x:c>
      <x:c r="F1060" s="34" t="n">
        <x:v>1672</x:v>
      </x:c>
      <x:c r="G1060" s="34" t="str">
        <x:v>RECORDED</x:v>
      </x:c>
      <x:c r="H1060" s="38" t="n">
        <x:f>IF(ISNUMBER('Data'!G1060),'Data'!G1060*100,"")</x:f>
        <x:v>6.1</x:v>
      </x:c>
      <x:c r="I1060" s="34" t="str">
        <x:v>PASS</x:v>
      </x:c>
      <x:c r="J1060" s="34" t="str">
        <x:v>PASS</x:v>
      </x:c>
      <x:c r="K1060" s="34" t="str">
        <x:v>PASS</x:v>
      </x:c>
      <x:c r="L1060" s="34" t="str">
        <x:v>PASS</x:v>
      </x:c>
      <x:c r="M1060" s="34" t="str">
        <x:v>numeric coverage for applicable metric</x:v>
      </x:c>
      <x:c r="N1060" s="34" t="str">
        <x:v>Feedback-Directed Random Test Generation/Result_Round2/Closure_142/result.json</x:v>
      </x:c>
      <x:c r="O1060" s="38" t="n">
        <x:f>IF(AND(G1060="RECORDED",ISNUMBER(H1060)),H1060,"")</x:f>
        <x:v>6.1</x:v>
      </x:c>
      <x:c r="P1060" s="34" t="str">
        <x:v>NOT_REVEALING</x:v>
      </x:c>
      <x:c r="Q1060" s="34" t="str">
        <x:v>Feedback-Directed Random Test Generation/Result_Round2/Closure_142/result.json</x:v>
      </x:c>
    </x:row>
    <x:row r="1061">
      <x:c r="A1061" s="34" t="str">
        <x:v>randoop</x:v>
      </x:c>
      <x:c r="B1061" s="34" t="str">
        <x:v>Closure</x:v>
      </x:c>
      <x:c r="C1061" s="34" t="str">
        <x:v>Round2</x:v>
      </x:c>
      <x:c r="D1061" s="34" t="str">
        <x:v>Closure_143</x:v>
      </x:c>
      <x:c r="E1061" s="34" t="str">
        <x:v>Coverage</x:v>
      </x:c>
      <x:c r="F1061" s="34" t="n">
        <x:v>708</x:v>
      </x:c>
      <x:c r="G1061" s="34" t="str">
        <x:v>RECORDED</x:v>
      </x:c>
      <x:c r="H1061" s="38" t="n">
        <x:f>IF(ISNUMBER('Data'!G1061),'Data'!G1061*100,"")</x:f>
        <x:v>24.72</x:v>
      </x:c>
      <x:c r="I1061" s="34" t="str">
        <x:v>PASS</x:v>
      </x:c>
      <x:c r="J1061" s="34" t="str">
        <x:v>PASS</x:v>
      </x:c>
      <x:c r="K1061" s="34" t="str">
        <x:v>PASS</x:v>
      </x:c>
      <x:c r="L1061" s="34" t="str">
        <x:v>PASS</x:v>
      </x:c>
      <x:c r="M1061" s="34" t="str">
        <x:v>numeric coverage for applicable metric</x:v>
      </x:c>
      <x:c r="N1061" s="34" t="str">
        <x:v>Feedback-Directed Random Test Generation/Result_Round2/Closure_143/result.json</x:v>
      </x:c>
      <x:c r="O1061" s="38" t="n">
        <x:f>IF(AND(G1061="RECORDED",ISNUMBER(H1061)),H1061,"")</x:f>
        <x:v>24.72</x:v>
      </x:c>
      <x:c r="P1061" s="34" t="str">
        <x:v>NOT_REVEALING</x:v>
      </x:c>
      <x:c r="Q1061" s="34" t="str">
        <x:v>Feedback-Directed Random Test Generation/Result_Round2/Closure_143/result.json</x:v>
      </x:c>
    </x:row>
    <x:row r="1062">
      <x:c r="A1062" s="34" t="str">
        <x:v>randoop</x:v>
      </x:c>
      <x:c r="B1062" s="34" t="str">
        <x:v>Closure</x:v>
      </x:c>
      <x:c r="C1062" s="34" t="str">
        <x:v>Round2</x:v>
      </x:c>
      <x:c r="D1062" s="34" t="str">
        <x:v>Closure_144</x:v>
      </x:c>
      <x:c r="E1062" s="34" t="str">
        <x:v>Coverage</x:v>
      </x:c>
      <x:c r="F1062" s="34" t="n">
        <x:v>2121</x:v>
      </x:c>
      <x:c r="G1062" s="34" t="str">
        <x:v>RECORDED</x:v>
      </x:c>
      <x:c r="H1062" s="38" t="n">
        <x:f>IF(ISNUMBER('Data'!G1062),'Data'!G1062*100,"")</x:f>
        <x:v>3.06</x:v>
      </x:c>
      <x:c r="I1062" s="34" t="str">
        <x:v>PASS</x:v>
      </x:c>
      <x:c r="J1062" s="34" t="str">
        <x:v>PASS</x:v>
      </x:c>
      <x:c r="K1062" s="34" t="str">
        <x:v>PASS</x:v>
      </x:c>
      <x:c r="L1062" s="34" t="str">
        <x:v>PASS</x:v>
      </x:c>
      <x:c r="M1062" s="34" t="str">
        <x:v>numeric coverage for applicable metric</x:v>
      </x:c>
      <x:c r="N1062" s="34" t="str">
        <x:v>Feedback-Directed Random Test Generation/Result_Round2/Closure_144/result.json</x:v>
      </x:c>
      <x:c r="O1062" s="38" t="n">
        <x:f>IF(AND(G1062="RECORDED",ISNUMBER(H1062)),H1062,"")</x:f>
        <x:v>3.06</x:v>
      </x:c>
      <x:c r="P1062" s="34" t="str">
        <x:v>NOT_REVEALING</x:v>
      </x:c>
      <x:c r="Q1062" s="34" t="str">
        <x:v>Feedback-Directed Random Test Generation/Result_Round2/Closure_144/result.json</x:v>
      </x:c>
    </x:row>
    <x:row r="1063">
      <x:c r="A1063" s="34" t="str">
        <x:v>randoop</x:v>
      </x:c>
      <x:c r="B1063" s="34" t="str">
        <x:v>Closure</x:v>
      </x:c>
      <x:c r="C1063" s="34" t="str">
        <x:v>Round2</x:v>
      </x:c>
      <x:c r="D1063" s="34" t="str">
        <x:v>Closure_145</x:v>
      </x:c>
      <x:c r="E1063" s="34" t="str">
        <x:v>Coverage</x:v>
      </x:c>
      <x:c r="F1063" s="34" t="n">
        <x:v>889</x:v>
      </x:c>
      <x:c r="G1063" s="34" t="str">
        <x:v>RECORDED</x:v>
      </x:c>
      <x:c r="H1063" s="38" t="n">
        <x:f>IF(ISNUMBER('Data'!G1063),'Data'!G1063*100,"")</x:f>
        <x:v>9.67</x:v>
      </x:c>
      <x:c r="I1063" s="34" t="str">
        <x:v>PASS</x:v>
      </x:c>
      <x:c r="J1063" s="34" t="str">
        <x:v>PASS</x:v>
      </x:c>
      <x:c r="K1063" s="34" t="str">
        <x:v>PASS</x:v>
      </x:c>
      <x:c r="L1063" s="34" t="str">
        <x:v>PASS</x:v>
      </x:c>
      <x:c r="M1063" s="34" t="str">
        <x:v>numeric coverage for applicable metric</x:v>
      </x:c>
      <x:c r="N1063" s="34" t="str">
        <x:v>Feedback-Directed Random Test Generation/Result_Round2/Closure_145/result.json</x:v>
      </x:c>
      <x:c r="O1063" s="38" t="n">
        <x:f>IF(AND(G1063="RECORDED",ISNUMBER(H1063)),H1063,"")</x:f>
        <x:v>9.67</x:v>
      </x:c>
      <x:c r="P1063" s="34" t="str">
        <x:v>NOT_REVEALING</x:v>
      </x:c>
      <x:c r="Q1063" s="34" t="str">
        <x:v>Feedback-Directed Random Test Generation/Result_Round2/Closure_145/result.json</x:v>
      </x:c>
    </x:row>
    <x:row r="1064">
      <x:c r="A1064" s="34" t="str">
        <x:v>randoop</x:v>
      </x:c>
      <x:c r="B1064" s="34" t="str">
        <x:v>Closure</x:v>
      </x:c>
      <x:c r="C1064" s="34" t="str">
        <x:v>Round2</x:v>
      </x:c>
      <x:c r="D1064" s="34" t="str">
        <x:v>Closure_146</x:v>
      </x:c>
      <x:c r="E1064" s="34" t="str">
        <x:v>Coverage</x:v>
      </x:c>
      <x:c r="F1064" s="34" t="n">
        <x:v>312</x:v>
      </x:c>
      <x:c r="G1064" s="34" t="str">
        <x:v>RECORDED</x:v>
      </x:c>
      <x:c r="H1064" s="38" t="n">
        <x:f>IF(ISNUMBER('Data'!G1064),'Data'!G1064*100,"")</x:f>
        <x:v>3.85</x:v>
      </x:c>
      <x:c r="I1064" s="34" t="str">
        <x:v>PASS</x:v>
      </x:c>
      <x:c r="J1064" s="34" t="str">
        <x:v>PASS</x:v>
      </x:c>
      <x:c r="K1064" s="34" t="str">
        <x:v>PASS</x:v>
      </x:c>
      <x:c r="L1064" s="34" t="str">
        <x:v>PASS</x:v>
      </x:c>
      <x:c r="M1064" s="34" t="str">
        <x:v>numeric coverage for applicable metric</x:v>
      </x:c>
      <x:c r="N1064" s="34" t="str">
        <x:v>Feedback-Directed Random Test Generation/Result_Round2/Closure_146/result.json</x:v>
      </x:c>
      <x:c r="O1064" s="38" t="n">
        <x:f>IF(AND(G1064="RECORDED",ISNUMBER(H1064)),H1064,"")</x:f>
        <x:v>3.85</x:v>
      </x:c>
      <x:c r="P1064" s="34" t="str">
        <x:v>NOT_REVEALING</x:v>
      </x:c>
      <x:c r="Q1064" s="34" t="str">
        <x:v>Feedback-Directed Random Test Generation/Result_Round2/Closure_146/result.json</x:v>
      </x:c>
    </x:row>
    <x:row r="1065">
      <x:c r="A1065" s="34" t="str">
        <x:v>randoop</x:v>
      </x:c>
      <x:c r="B1065" s="34" t="str">
        <x:v>Closure</x:v>
      </x:c>
      <x:c r="C1065" s="34" t="str">
        <x:v>Round2</x:v>
      </x:c>
      <x:c r="D1065" s="34" t="str">
        <x:v>Closure_147</x:v>
      </x:c>
      <x:c r="E1065" s="34" t="str">
        <x:v>Coverage</x:v>
      </x:c>
      <x:c r="F1065" s="34" t="n">
        <x:v>352</x:v>
      </x:c>
      <x:c r="G1065" s="34" t="str">
        <x:v>RECORDED</x:v>
      </x:c>
      <x:c r="H1065" s="38" t="n">
        <x:f>IF(ISNUMBER('Data'!G1065),'Data'!G1065*100,"")</x:f>
        <x:v>7.39</x:v>
      </x:c>
      <x:c r="I1065" s="34" t="str">
        <x:v>PASS</x:v>
      </x:c>
      <x:c r="J1065" s="34" t="str">
        <x:v>PASS</x:v>
      </x:c>
      <x:c r="K1065" s="34" t="str">
        <x:v>PASS</x:v>
      </x:c>
      <x:c r="L1065" s="34" t="str">
        <x:v>PASS</x:v>
      </x:c>
      <x:c r="M1065" s="34" t="str">
        <x:v>numeric coverage for applicable metric</x:v>
      </x:c>
      <x:c r="N1065" s="34" t="str">
        <x:v>Feedback-Directed Random Test Generation/Result_Round2/Closure_147/result.json</x:v>
      </x:c>
      <x:c r="O1065" s="38" t="n">
        <x:f>IF(AND(G1065="RECORDED",ISNUMBER(H1065)),H1065,"")</x:f>
        <x:v>7.39</x:v>
      </x:c>
      <x:c r="P1065" s="34" t="str">
        <x:v>NOT_REVEALING</x:v>
      </x:c>
      <x:c r="Q1065" s="34" t="str">
        <x:v>Feedback-Directed Random Test Generation/Result_Round2/Closure_147/result.json</x:v>
      </x:c>
    </x:row>
    <x:row r="1066">
      <x:c r="A1066" s="34" t="str">
        <x:v>randoop</x:v>
      </x:c>
      <x:c r="B1066" s="34" t="str">
        <x:v>Closure</x:v>
      </x:c>
      <x:c r="C1066" s="34" t="str">
        <x:v>Round2</x:v>
      </x:c>
      <x:c r="D1066" s="34" t="str">
        <x:v>Closure_148</x:v>
      </x:c>
      <x:c r="E1066" s="34" t="str">
        <x:v>Coverage</x:v>
      </x:c>
      <x:c r="F1066" s="34" t="n">
        <x:v>1211</x:v>
      </x:c>
      <x:c r="G1066" s="34" t="str">
        <x:v>RECORDED</x:v>
      </x:c>
      <x:c r="H1066" s="38" t="n">
        <x:f>IF(ISNUMBER('Data'!G1066),'Data'!G1066*100,"")</x:f>
        <x:v>3.72</x:v>
      </x:c>
      <x:c r="I1066" s="34" t="str">
        <x:v>PASS</x:v>
      </x:c>
      <x:c r="J1066" s="34" t="str">
        <x:v>PASS</x:v>
      </x:c>
      <x:c r="K1066" s="34" t="str">
        <x:v>PASS</x:v>
      </x:c>
      <x:c r="L1066" s="34" t="str">
        <x:v>PASS</x:v>
      </x:c>
      <x:c r="M1066" s="34" t="str">
        <x:v>numeric coverage for applicable metric</x:v>
      </x:c>
      <x:c r="N1066" s="34" t="str">
        <x:v>Feedback-Directed Random Test Generation/Result_Round2/Closure_148/result.json</x:v>
      </x:c>
      <x:c r="O1066" s="38" t="n">
        <x:f>IF(AND(G1066="RECORDED",ISNUMBER(H1066)),H1066,"")</x:f>
        <x:v>3.72</x:v>
      </x:c>
      <x:c r="P1066" s="34" t="str">
        <x:v>NOT_AVAILABLE</x:v>
      </x:c>
      <x:c r="Q1066" s="34" t="str">
        <x:v>Feedback-Directed Random Test Generation/Result_Round2/Closure_148/result.json</x:v>
      </x:c>
    </x:row>
    <x:row r="1067">
      <x:c r="A1067" s="34" t="str">
        <x:v>randoop</x:v>
      </x:c>
      <x:c r="B1067" s="34" t="str">
        <x:v>Closure</x:v>
      </x:c>
      <x:c r="C1067" s="34" t="str">
        <x:v>Round2</x:v>
      </x:c>
      <x:c r="D1067" s="34" t="str">
        <x:v>Closure_149</x:v>
      </x:c>
      <x:c r="E1067" s="34" t="str">
        <x:v>Coverage</x:v>
      </x:c>
      <x:c r="F1067" s="34" t="n">
        <x:v>0</x:v>
      </x:c>
      <x:c r="G1067" s="34" t="str">
        <x:v>A</x:v>
      </x:c>
      <x:c r="H1067" s="38" t="str">
        <x:f>IF(ISNUMBER('Data'!G1067),'Data'!G1067*100,"")</x:f>
      </x:c>
      <x:c r="I1067" s="34"/>
      <x:c r="J1067" s="34"/>
      <x:c r="K1067" s="34"/>
      <x:c r="L1067" s="34" t="str">
        <x:v>NOT_RUN</x:v>
      </x:c>
      <x:c r="M1067" s="34" t="str">
        <x:v>Latest same-round generation failed; older files/results are excluded</x:v>
      </x:c>
      <x:c r="N1067" s="34" t="str">
        <x:v>Feedback-Directed Random Test Generation/report_Round2.csv</x:v>
      </x:c>
      <x:c r="O1067" s="38" t="str">
        <x:f>IF(AND(G1067="RECORDED",ISNUMBER(H1067)),H1067,"")</x:f>
      </x:c>
      <x:c r="P1067" s="34" t="str">
        <x:v>FAIL</x:v>
      </x:c>
      <x:c r="Q1067" s="34"/>
    </x:row>
    <x:row r="1068">
      <x:c r="A1068" s="34" t="str">
        <x:v>randoop</x:v>
      </x:c>
      <x:c r="B1068" s="34" t="str">
        <x:v>Closure</x:v>
      </x:c>
      <x:c r="C1068" s="34" t="str">
        <x:v>Round2</x:v>
      </x:c>
      <x:c r="D1068" s="34" t="str">
        <x:v>Closure_150</x:v>
      </x:c>
      <x:c r="E1068" s="34" t="str">
        <x:v>Coverage</x:v>
      </x:c>
      <x:c r="F1068" s="34" t="n">
        <x:v>1152</x:v>
      </x:c>
      <x:c r="G1068" s="34" t="str">
        <x:v>RECORDED</x:v>
      </x:c>
      <x:c r="H1068" s="38" t="n">
        <x:f>IF(ISNUMBER('Data'!G1068),'Data'!G1068*100,"")</x:f>
        <x:v>0.95</x:v>
      </x:c>
      <x:c r="I1068" s="34" t="str">
        <x:v>PASS</x:v>
      </x:c>
      <x:c r="J1068" s="34" t="str">
        <x:v>PASS</x:v>
      </x:c>
      <x:c r="K1068" s="34" t="str">
        <x:v>PASS</x:v>
      </x:c>
      <x:c r="L1068" s="34" t="str">
        <x:v>PASS</x:v>
      </x:c>
      <x:c r="M1068" s="34" t="str">
        <x:v>numeric coverage for applicable metric</x:v>
      </x:c>
      <x:c r="N1068" s="34" t="str">
        <x:v>Feedback-Directed Random Test Generation/Result_Round2/Closure_150/result.json</x:v>
      </x:c>
      <x:c r="O1068" s="38" t="n">
        <x:f>IF(AND(G1068="RECORDED",ISNUMBER(H1068)),H1068,"")</x:f>
        <x:v>0.95</x:v>
      </x:c>
      <x:c r="P1068" s="34" t="str">
        <x:v>NOT_REVEALING</x:v>
      </x:c>
      <x:c r="Q1068" s="34" t="str">
        <x:v>Feedback-Directed Random Test Generation/Result_Round2/Closure_150/result.json</x:v>
      </x:c>
    </x:row>
    <x:row r="1069">
      <x:c r="A1069" s="34" t="str">
        <x:v>randoop</x:v>
      </x:c>
      <x:c r="B1069" s="34" t="str">
        <x:v>Closure</x:v>
      </x:c>
      <x:c r="C1069" s="34" t="str">
        <x:v>Round2</x:v>
      </x:c>
      <x:c r="D1069" s="34" t="str">
        <x:v>Closure_151</x:v>
      </x:c>
      <x:c r="E1069" s="34" t="str">
        <x:v>Coverage</x:v>
      </x:c>
      <x:c r="F1069" s="34" t="n">
        <x:v>0</x:v>
      </x:c>
      <x:c r="G1069" s="34" t="str">
        <x:v>A</x:v>
      </x:c>
      <x:c r="H1069" s="38" t="str">
        <x:f>IF(ISNUMBER('Data'!G1069),'Data'!G1069*100,"")</x:f>
      </x:c>
      <x:c r="I1069" s="34"/>
      <x:c r="J1069" s="34"/>
      <x:c r="K1069" s="34"/>
      <x:c r="L1069" s="34" t="str">
        <x:v>NOT_RUN</x:v>
      </x:c>
      <x:c r="M1069" s="34" t="str">
        <x:v>Latest same-round generation failed; older files/results are excluded</x:v>
      </x:c>
      <x:c r="N1069" s="34" t="str">
        <x:v>Feedback-Directed Random Test Generation/report_Round2.csv</x:v>
      </x:c>
      <x:c r="O1069" s="38" t="str">
        <x:f>IF(AND(G1069="RECORDED",ISNUMBER(H1069)),H1069,"")</x:f>
      </x:c>
      <x:c r="P1069" s="34" t="str">
        <x:v>FAIL</x:v>
      </x:c>
      <x:c r="Q1069" s="34"/>
    </x:row>
    <x:row r="1070">
      <x:c r="A1070" s="34" t="str">
        <x:v>randoop</x:v>
      </x:c>
      <x:c r="B1070" s="34" t="str">
        <x:v>Closure</x:v>
      </x:c>
      <x:c r="C1070" s="34" t="str">
        <x:v>Round2</x:v>
      </x:c>
      <x:c r="D1070" s="34" t="str">
        <x:v>Closure_152</x:v>
      </x:c>
      <x:c r="E1070" s="34" t="str">
        <x:v>Coverage</x:v>
      </x:c>
      <x:c r="F1070" s="34" t="n">
        <x:v>633</x:v>
      </x:c>
      <x:c r="G1070" s="34" t="str">
        <x:v>RECORDED</x:v>
      </x:c>
      <x:c r="H1070" s="38" t="n">
        <x:f>IF(ISNUMBER('Data'!G1070),'Data'!G1070*100,"")</x:f>
        <x:v>0.79</x:v>
      </x:c>
      <x:c r="I1070" s="34" t="str">
        <x:v>PASS</x:v>
      </x:c>
      <x:c r="J1070" s="34" t="str">
        <x:v>PASS</x:v>
      </x:c>
      <x:c r="K1070" s="34" t="str">
        <x:v>PASS</x:v>
      </x:c>
      <x:c r="L1070" s="34" t="str">
        <x:v>PASS</x:v>
      </x:c>
      <x:c r="M1070" s="34" t="str">
        <x:v>numeric coverage for applicable metric</x:v>
      </x:c>
      <x:c r="N1070" s="34" t="str">
        <x:v>Feedback-Directed Random Test Generation/Result_Round2/Closure_152/result.json</x:v>
      </x:c>
      <x:c r="O1070" s="38" t="n">
        <x:f>IF(AND(G1070="RECORDED",ISNUMBER(H1070)),H1070,"")</x:f>
        <x:v>0.79</x:v>
      </x:c>
      <x:c r="P1070" s="34" t="str">
        <x:v>NOT_REVEALING</x:v>
      </x:c>
      <x:c r="Q1070" s="34" t="str">
        <x:v>Feedback-Directed Random Test Generation/Result_Round2/Closure_152/result.json</x:v>
      </x:c>
    </x:row>
    <x:row r="1071">
      <x:c r="A1071" s="34" t="str">
        <x:v>randoop</x:v>
      </x:c>
      <x:c r="B1071" s="34" t="str">
        <x:v>Closure</x:v>
      </x:c>
      <x:c r="C1071" s="34" t="str">
        <x:v>Round2</x:v>
      </x:c>
      <x:c r="D1071" s="34" t="str">
        <x:v>Closure_153</x:v>
      </x:c>
      <x:c r="E1071" s="34" t="str">
        <x:v>Coverage</x:v>
      </x:c>
      <x:c r="F1071" s="34" t="n">
        <x:v>596</x:v>
      </x:c>
      <x:c r="G1071" s="34" t="str">
        <x:v>RECORDED</x:v>
      </x:c>
      <x:c r="H1071" s="38" t="n">
        <x:f>IF(ISNUMBER('Data'!G1071),'Data'!G1071*100,"")</x:f>
        <x:v>7.719999999999999</x:v>
      </x:c>
      <x:c r="I1071" s="34" t="str">
        <x:v>PASS</x:v>
      </x:c>
      <x:c r="J1071" s="34" t="str">
        <x:v>PASS</x:v>
      </x:c>
      <x:c r="K1071" s="34" t="str">
        <x:v>PASS</x:v>
      </x:c>
      <x:c r="L1071" s="34" t="str">
        <x:v>PASS</x:v>
      </x:c>
      <x:c r="M1071" s="34" t="str">
        <x:v>numeric coverage for applicable metric</x:v>
      </x:c>
      <x:c r="N1071" s="34" t="str">
        <x:v>Feedback-Directed Random Test Generation/Result_Round2/Closure_153/result.json</x:v>
      </x:c>
      <x:c r="O1071" s="38" t="n">
        <x:f>IF(AND(G1071="RECORDED",ISNUMBER(H1071)),H1071,"")</x:f>
        <x:v>7.719999999999999</x:v>
      </x:c>
      <x:c r="P1071" s="34" t="str">
        <x:v>NOT_REVEALING</x:v>
      </x:c>
      <x:c r="Q1071" s="34" t="str">
        <x:v>Feedback-Directed Random Test Generation/Result_Round2/Closure_153/result.json</x:v>
      </x:c>
    </x:row>
    <x:row r="1072">
      <x:c r="A1072" s="34" t="str">
        <x:v>randoop</x:v>
      </x:c>
      <x:c r="B1072" s="34" t="str">
        <x:v>Closure</x:v>
      </x:c>
      <x:c r="C1072" s="34" t="str">
        <x:v>Round2</x:v>
      </x:c>
      <x:c r="D1072" s="34" t="str">
        <x:v>Closure_154</x:v>
      </x:c>
      <x:c r="E1072" s="34" t="str">
        <x:v>Coverage</x:v>
      </x:c>
      <x:c r="F1072" s="34" t="n">
        <x:v>1630</x:v>
      </x:c>
      <x:c r="G1072" s="34" t="str">
        <x:v>RECORDED</x:v>
      </x:c>
      <x:c r="H1072" s="38" t="n">
        <x:f>IF(ISNUMBER('Data'!G1072),'Data'!G1072*100,"")</x:f>
        <x:v>5.09</x:v>
      </x:c>
      <x:c r="I1072" s="34" t="str">
        <x:v>PASS</x:v>
      </x:c>
      <x:c r="J1072" s="34" t="str">
        <x:v>PASS</x:v>
      </x:c>
      <x:c r="K1072" s="34" t="str">
        <x:v>PASS</x:v>
      </x:c>
      <x:c r="L1072" s="34" t="str">
        <x:v>PASS</x:v>
      </x:c>
      <x:c r="M1072" s="34" t="str">
        <x:v>numeric coverage for applicable metric</x:v>
      </x:c>
      <x:c r="N1072" s="34" t="str">
        <x:v>Feedback-Directed Random Test Generation/Result_Round2/Closure_154/result.json</x:v>
      </x:c>
      <x:c r="O1072" s="38" t="n">
        <x:f>IF(AND(G1072="RECORDED",ISNUMBER(H1072)),H1072,"")</x:f>
        <x:v>5.09</x:v>
      </x:c>
      <x:c r="P1072" s="34" t="str">
        <x:v>NOT_AVAILABLE</x:v>
      </x:c>
      <x:c r="Q1072" s="34" t="str">
        <x:v>Feedback-Directed Random Test Generation/Result_Round2/Closure_154/result.json</x:v>
      </x:c>
    </x:row>
    <x:row r="1073">
      <x:c r="A1073" s="34" t="str">
        <x:v>randoop</x:v>
      </x:c>
      <x:c r="B1073" s="34" t="str">
        <x:v>Closure</x:v>
      </x:c>
      <x:c r="C1073" s="34" t="str">
        <x:v>Round2</x:v>
      </x:c>
      <x:c r="D1073" s="34" t="str">
        <x:v>Closure_155</x:v>
      </x:c>
      <x:c r="E1073" s="34" t="str">
        <x:v>Coverage</x:v>
      </x:c>
      <x:c r="F1073" s="34" t="n">
        <x:v>988</x:v>
      </x:c>
      <x:c r="G1073" s="34" t="str">
        <x:v>RECORDED</x:v>
      </x:c>
      <x:c r="H1073" s="38" t="n">
        <x:f>IF(ISNUMBER('Data'!G1073),'Data'!G1073*100,"")</x:f>
        <x:v>18.83</x:v>
      </x:c>
      <x:c r="I1073" s="34" t="str">
        <x:v>PASS</x:v>
      </x:c>
      <x:c r="J1073" s="34" t="str">
        <x:v>PASS</x:v>
      </x:c>
      <x:c r="K1073" s="34" t="str">
        <x:v>PASS</x:v>
      </x:c>
      <x:c r="L1073" s="34" t="str">
        <x:v>FAIL</x:v>
      </x:c>
      <x:c r="M1073" s="34" t="str">
        <x:v>numeric coverage for applicable metric</x:v>
      </x:c>
      <x:c r="N1073" s="34" t="str">
        <x:v>Feedback-Directed Random Test Generation/Result_Round2/Closure_155/result.json</x:v>
      </x:c>
      <x:c r="O1073" s="38" t="n">
        <x:f>IF(AND(G1073="RECORDED",ISNUMBER(H1073)),H1073,"")</x:f>
        <x:v>18.83</x:v>
      </x:c>
      <x:c r="P1073" s="34" t="str">
        <x:v>INCONCLUSIVE</x:v>
      </x:c>
      <x:c r="Q1073" s="34" t="str">
        <x:v>Feedback-Directed Random Test Generation/Result_Round2/Closure_155/result.json</x:v>
      </x:c>
    </x:row>
    <x:row r="1074">
      <x:c r="A1074" s="34" t="str">
        <x:v>randoop</x:v>
      </x:c>
      <x:c r="B1074" s="34" t="str">
        <x:v>Closure</x:v>
      </x:c>
      <x:c r="C1074" s="34" t="str">
        <x:v>Round2</x:v>
      </x:c>
      <x:c r="D1074" s="34" t="str">
        <x:v>Closure_156</x:v>
      </x:c>
      <x:c r="E1074" s="34" t="str">
        <x:v>Coverage</x:v>
      </x:c>
      <x:c r="F1074" s="34" t="n">
        <x:v>575</x:v>
      </x:c>
      <x:c r="G1074" s="34" t="str">
        <x:v>RECORDED</x:v>
      </x:c>
      <x:c r="H1074" s="38" t="n">
        <x:f>IF(ISNUMBER('Data'!G1074),'Data'!G1074*100,"")</x:f>
        <x:v>3.65</x:v>
      </x:c>
      <x:c r="I1074" s="34" t="str">
        <x:v>PASS</x:v>
      </x:c>
      <x:c r="J1074" s="34" t="str">
        <x:v>PASS</x:v>
      </x:c>
      <x:c r="K1074" s="34" t="str">
        <x:v>PASS</x:v>
      </x:c>
      <x:c r="L1074" s="34" t="str">
        <x:v>PASS</x:v>
      </x:c>
      <x:c r="M1074" s="34" t="str">
        <x:v>numeric coverage for applicable metric</x:v>
      </x:c>
      <x:c r="N1074" s="34" t="str">
        <x:v>Feedback-Directed Random Test Generation/Result_Round2/Closure_156/result.json</x:v>
      </x:c>
      <x:c r="O1074" s="38" t="n">
        <x:f>IF(AND(G1074="RECORDED",ISNUMBER(H1074)),H1074,"")</x:f>
        <x:v>3.65</x:v>
      </x:c>
      <x:c r="P1074" s="34" t="str">
        <x:v>NOT_REVEALING</x:v>
      </x:c>
      <x:c r="Q1074" s="34" t="str">
        <x:v>Feedback-Directed Random Test Generation/Result_Round2/Closure_156/result.json</x:v>
      </x:c>
    </x:row>
    <x:row r="1075">
      <x:c r="A1075" s="34" t="str">
        <x:v>randoop</x:v>
      </x:c>
      <x:c r="B1075" s="34" t="str">
        <x:v>Closure</x:v>
      </x:c>
      <x:c r="C1075" s="34" t="str">
        <x:v>Round2</x:v>
      </x:c>
      <x:c r="D1075" s="34" t="str">
        <x:v>Closure_157</x:v>
      </x:c>
      <x:c r="E1075" s="34" t="str">
        <x:v>Coverage</x:v>
      </x:c>
      <x:c r="F1075" s="34" t="n">
        <x:v>2187</x:v>
      </x:c>
      <x:c r="G1075" s="34" t="str">
        <x:v>RECORDED</x:v>
      </x:c>
      <x:c r="H1075" s="38" t="n">
        <x:f>IF(ISNUMBER('Data'!G1075),'Data'!G1075*100,"")</x:f>
        <x:v>5.08</x:v>
      </x:c>
      <x:c r="I1075" s="34" t="str">
        <x:v>PASS</x:v>
      </x:c>
      <x:c r="J1075" s="34" t="str">
        <x:v>PASS</x:v>
      </x:c>
      <x:c r="K1075" s="34" t="str">
        <x:v>PASS</x:v>
      </x:c>
      <x:c r="L1075" s="34" t="str">
        <x:v>PASS</x:v>
      </x:c>
      <x:c r="M1075" s="34" t="str">
        <x:v>numeric coverage for applicable metric</x:v>
      </x:c>
      <x:c r="N1075" s="34" t="str">
        <x:v>Feedback-Directed Random Test Generation/Result_Round2/Closure_157/result.json</x:v>
      </x:c>
      <x:c r="O1075" s="38" t="n">
        <x:f>IF(AND(G1075="RECORDED",ISNUMBER(H1075)),H1075,"")</x:f>
        <x:v>5.08</x:v>
      </x:c>
      <x:c r="P1075" s="34" t="str">
        <x:v>NOT_REVEALING</x:v>
      </x:c>
      <x:c r="Q1075" s="34" t="str">
        <x:v>Feedback-Directed Random Test Generation/Result_Round2/Closure_157/result.json</x:v>
      </x:c>
    </x:row>
    <x:row r="1076">
      <x:c r="A1076" s="34" t="str">
        <x:v>randoop</x:v>
      </x:c>
      <x:c r="B1076" s="34" t="str">
        <x:v>Closure</x:v>
      </x:c>
      <x:c r="C1076" s="34" t="str">
        <x:v>Round2</x:v>
      </x:c>
      <x:c r="D1076" s="34" t="str">
        <x:v>Closure_158</x:v>
      </x:c>
      <x:c r="E1076" s="34" t="str">
        <x:v>Coverage</x:v>
      </x:c>
      <x:c r="F1076" s="34" t="n">
        <x:v>0</x:v>
      </x:c>
      <x:c r="G1076" s="34" t="str">
        <x:v>A</x:v>
      </x:c>
      <x:c r="H1076" s="38" t="str">
        <x:f>IF(ISNUMBER('Data'!G1076),'Data'!G1076*100,"")</x:f>
      </x:c>
      <x:c r="I1076" s="34"/>
      <x:c r="J1076" s="34"/>
      <x:c r="K1076" s="34"/>
      <x:c r="L1076" s="34" t="str">
        <x:v>NOT_RUN</x:v>
      </x:c>
      <x:c r="M1076" s="34" t="str">
        <x:v>Latest same-round generation failed; older files/results are excluded</x:v>
      </x:c>
      <x:c r="N1076" s="34" t="str">
        <x:v>Feedback-Directed Random Test Generation/report_Round2.csv</x:v>
      </x:c>
      <x:c r="O1076" s="38" t="str">
        <x:f>IF(AND(G1076="RECORDED",ISNUMBER(H1076)),H1076,"")</x:f>
      </x:c>
      <x:c r="P1076" s="34" t="str">
        <x:v>FAIL</x:v>
      </x:c>
      <x:c r="Q1076" s="34"/>
    </x:row>
    <x:row r="1077">
      <x:c r="A1077" s="34" t="str">
        <x:v>randoop</x:v>
      </x:c>
      <x:c r="B1077" s="34" t="str">
        <x:v>Closure</x:v>
      </x:c>
      <x:c r="C1077" s="34" t="str">
        <x:v>Round2</x:v>
      </x:c>
      <x:c r="D1077" s="34" t="str">
        <x:v>Closure_159</x:v>
      </x:c>
      <x:c r="E1077" s="34" t="str">
        <x:v>Coverage</x:v>
      </x:c>
      <x:c r="F1077" s="34" t="n">
        <x:v>678</x:v>
      </x:c>
      <x:c r="G1077" s="34" t="str">
        <x:v>RECORDED</x:v>
      </x:c>
      <x:c r="H1077" s="38" t="n">
        <x:f>IF(ISNUMBER('Data'!G1077),'Data'!G1077*100,"")</x:f>
        <x:v>0.88</x:v>
      </x:c>
      <x:c r="I1077" s="34" t="str">
        <x:v>PASS</x:v>
      </x:c>
      <x:c r="J1077" s="34" t="str">
        <x:v>PASS</x:v>
      </x:c>
      <x:c r="K1077" s="34" t="str">
        <x:v>PASS</x:v>
      </x:c>
      <x:c r="L1077" s="34" t="str">
        <x:v>PASS</x:v>
      </x:c>
      <x:c r="M1077" s="34" t="str">
        <x:v>numeric coverage for applicable metric</x:v>
      </x:c>
      <x:c r="N1077" s="34" t="str">
        <x:v>Feedback-Directed Random Test Generation/Result_Round2/Closure_159/result.json</x:v>
      </x:c>
      <x:c r="O1077" s="38" t="n">
        <x:f>IF(AND(G1077="RECORDED",ISNUMBER(H1077)),H1077,"")</x:f>
        <x:v>0.88</x:v>
      </x:c>
      <x:c r="P1077" s="34" t="str">
        <x:v>NOT_REVEALING</x:v>
      </x:c>
      <x:c r="Q1077" s="34" t="str">
        <x:v>Feedback-Directed Random Test Generation/Result_Round2/Closure_159/result.json</x:v>
      </x:c>
    </x:row>
    <x:row r="1078">
      <x:c r="A1078" s="34" t="str">
        <x:v>randoop</x:v>
      </x:c>
      <x:c r="B1078" s="34" t="str">
        <x:v>Closure</x:v>
      </x:c>
      <x:c r="C1078" s="34" t="str">
        <x:v>Round2</x:v>
      </x:c>
      <x:c r="D1078" s="34" t="str">
        <x:v>Closure_160</x:v>
      </x:c>
      <x:c r="E1078" s="34" t="str">
        <x:v>Coverage</x:v>
      </x:c>
      <x:c r="F1078" s="34" t="n">
        <x:v>1114</x:v>
      </x:c>
      <x:c r="G1078" s="34" t="str">
        <x:v>RECORDED</x:v>
      </x:c>
      <x:c r="H1078" s="38" t="n">
        <x:f>IF(ISNUMBER('Data'!G1078),'Data'!G1078*100,"")</x:f>
        <x:v>40.84</x:v>
      </x:c>
      <x:c r="I1078" s="34" t="str">
        <x:v>PASS</x:v>
      </x:c>
      <x:c r="J1078" s="34" t="str">
        <x:v>PASS</x:v>
      </x:c>
      <x:c r="K1078" s="34" t="str">
        <x:v>PASS</x:v>
      </x:c>
      <x:c r="L1078" s="34" t="str">
        <x:v>FAIL</x:v>
      </x:c>
      <x:c r="M1078" s="34" t="str">
        <x:v>numeric coverage for applicable metric</x:v>
      </x:c>
      <x:c r="N1078" s="34" t="str">
        <x:v>Feedback-Directed Random Test Generation/Result_Round2/Closure_160/result.json</x:v>
      </x:c>
      <x:c r="O1078" s="38" t="n">
        <x:f>IF(AND(G1078="RECORDED",ISNUMBER(H1078)),H1078,"")</x:f>
        <x:v>40.84</x:v>
      </x:c>
      <x:c r="P1078" s="34" t="str">
        <x:v>INCONCLUSIVE</x:v>
      </x:c>
      <x:c r="Q1078" s="34" t="str">
        <x:v>Feedback-Directed Random Test Generation/Result_Round2/Closure_160/result.json</x:v>
      </x:c>
    </x:row>
    <x:row r="1079">
      <x:c r="A1079" s="34" t="str">
        <x:v>randoop</x:v>
      </x:c>
      <x:c r="B1079" s="34" t="str">
        <x:v>Closure</x:v>
      </x:c>
      <x:c r="C1079" s="34" t="str">
        <x:v>Round2</x:v>
      </x:c>
      <x:c r="D1079" s="34" t="str">
        <x:v>Closure_161</x:v>
      </x:c>
      <x:c r="E1079" s="34" t="str">
        <x:v>Coverage</x:v>
      </x:c>
      <x:c r="F1079" s="34" t="n">
        <x:v>1134</x:v>
      </x:c>
      <x:c r="G1079" s="34" t="str">
        <x:v>RECORDED</x:v>
      </x:c>
      <x:c r="H1079" s="38" t="n">
        <x:f>IF(ISNUMBER('Data'!G1079),'Data'!G1079*100,"")</x:f>
        <x:v>1.15</x:v>
      </x:c>
      <x:c r="I1079" s="34" t="str">
        <x:v>PASS</x:v>
      </x:c>
      <x:c r="J1079" s="34" t="str">
        <x:v>PASS</x:v>
      </x:c>
      <x:c r="K1079" s="34" t="str">
        <x:v>PASS</x:v>
      </x:c>
      <x:c r="L1079" s="34" t="str">
        <x:v>PASS</x:v>
      </x:c>
      <x:c r="M1079" s="34" t="str">
        <x:v>numeric coverage for applicable metric</x:v>
      </x:c>
      <x:c r="N1079" s="34" t="str">
        <x:v>Feedback-Directed Random Test Generation/Result_Round2/Closure_161/result.json</x:v>
      </x:c>
      <x:c r="O1079" s="38" t="n">
        <x:f>IF(AND(G1079="RECORDED",ISNUMBER(H1079)),H1079,"")</x:f>
        <x:v>1.15</x:v>
      </x:c>
      <x:c r="P1079" s="34" t="str">
        <x:v>NOT_REVEALING</x:v>
      </x:c>
      <x:c r="Q1079" s="34" t="str">
        <x:v>Feedback-Directed Random Test Generation/Result_Round2/Closure_161/result.json</x:v>
      </x:c>
    </x:row>
    <x:row r="1080">
      <x:c r="A1080" s="34" t="str">
        <x:v>randoop</x:v>
      </x:c>
      <x:c r="B1080" s="34" t="str">
        <x:v>Closure</x:v>
      </x:c>
      <x:c r="C1080" s="34" t="str">
        <x:v>Round2</x:v>
      </x:c>
      <x:c r="D1080" s="34" t="str">
        <x:v>Closure_162</x:v>
      </x:c>
      <x:c r="E1080" s="34" t="str">
        <x:v>Coverage</x:v>
      </x:c>
      <x:c r="F1080" s="34" t="n">
        <x:v>486</x:v>
      </x:c>
      <x:c r="G1080" s="34" t="str">
        <x:v>RECORDED</x:v>
      </x:c>
      <x:c r="H1080" s="38" t="n">
        <x:f>IF(ISNUMBER('Data'!G1080),'Data'!G1080*100,"")</x:f>
        <x:v>33.54</x:v>
      </x:c>
      <x:c r="I1080" s="34" t="str">
        <x:v>PASS</x:v>
      </x:c>
      <x:c r="J1080" s="34" t="str">
        <x:v>PASS</x:v>
      </x:c>
      <x:c r="K1080" s="34" t="str">
        <x:v>PASS</x:v>
      </x:c>
      <x:c r="L1080" s="34" t="str">
        <x:v>FAIL</x:v>
      </x:c>
      <x:c r="M1080" s="34" t="str">
        <x:v>numeric coverage for applicable metric</x:v>
      </x:c>
      <x:c r="N1080" s="34" t="str">
        <x:v>Feedback-Directed Random Test Generation/Result_Round2/Closure_162/result.json</x:v>
      </x:c>
      <x:c r="O1080" s="38" t="n">
        <x:f>IF(AND(G1080="RECORDED",ISNUMBER(H1080)),H1080,"")</x:f>
        <x:v>33.54</x:v>
      </x:c>
      <x:c r="P1080" s="34" t="str">
        <x:v>INCONCLUSIVE</x:v>
      </x:c>
      <x:c r="Q1080" s="34" t="str">
        <x:v>Feedback-Directed Random Test Generation/Result_Round2/Closure_162/result.json</x:v>
      </x:c>
    </x:row>
    <x:row r="1081">
      <x:c r="A1081" s="34" t="str">
        <x:v>randoop</x:v>
      </x:c>
      <x:c r="B1081" s="34" t="str">
        <x:v>Closure</x:v>
      </x:c>
      <x:c r="C1081" s="34" t="str">
        <x:v>Round2</x:v>
      </x:c>
      <x:c r="D1081" s="34" t="str">
        <x:v>Closure_163</x:v>
      </x:c>
      <x:c r="E1081" s="34" t="str">
        <x:v>Coverage</x:v>
      </x:c>
      <x:c r="F1081" s="34" t="n">
        <x:v>497</x:v>
      </x:c>
      <x:c r="G1081" s="34" t="str">
        <x:v>RECORDED</x:v>
      </x:c>
      <x:c r="H1081" s="38" t="n">
        <x:f>IF(ISNUMBER('Data'!G1081),'Data'!G1081*100,"")</x:f>
        <x:v>23.94</x:v>
      </x:c>
      <x:c r="I1081" s="34" t="str">
        <x:v>PASS</x:v>
      </x:c>
      <x:c r="J1081" s="34" t="str">
        <x:v>PASS</x:v>
      </x:c>
      <x:c r="K1081" s="34" t="str">
        <x:v>PASS</x:v>
      </x:c>
      <x:c r="L1081" s="34" t="str">
        <x:v>PASS</x:v>
      </x:c>
      <x:c r="M1081" s="34" t="str">
        <x:v>numeric coverage for applicable metric</x:v>
      </x:c>
      <x:c r="N1081" s="34" t="str">
        <x:v>Feedback-Directed Random Test Generation/Result_Round2/Closure_163/result.json</x:v>
      </x:c>
      <x:c r="O1081" s="38" t="n">
        <x:f>IF(AND(G1081="RECORDED",ISNUMBER(H1081)),H1081,"")</x:f>
        <x:v>23.94</x:v>
      </x:c>
      <x:c r="P1081" s="34" t="str">
        <x:v>NOT_AVAILABLE</x:v>
      </x:c>
      <x:c r="Q1081" s="34" t="str">
        <x:v>Feedback-Directed Random Test Generation/Result_Round2/Closure_163/result.json</x:v>
      </x:c>
    </x:row>
    <x:row r="1082">
      <x:c r="A1082" s="34" t="str">
        <x:v>randoop</x:v>
      </x:c>
      <x:c r="B1082" s="34" t="str">
        <x:v>Closure</x:v>
      </x:c>
      <x:c r="C1082" s="34" t="str">
        <x:v>Round2</x:v>
      </x:c>
      <x:c r="D1082" s="34" t="str">
        <x:v>Closure_164</x:v>
      </x:c>
      <x:c r="E1082" s="34" t="str">
        <x:v>Coverage</x:v>
      </x:c>
      <x:c r="F1082" s="34" t="n">
        <x:v>159</x:v>
      </x:c>
      <x:c r="G1082" s="34" t="str">
        <x:v>RECORDED</x:v>
      </x:c>
      <x:c r="H1082" s="38" t="n">
        <x:f>IF(ISNUMBER('Data'!G1082),'Data'!G1082*100,"")</x:f>
        <x:v>3.1400000000000006</x:v>
      </x:c>
      <x:c r="I1082" s="34" t="str">
        <x:v>PASS</x:v>
      </x:c>
      <x:c r="J1082" s="34" t="str">
        <x:v>PASS</x:v>
      </x:c>
      <x:c r="K1082" s="34" t="str">
        <x:v>PASS</x:v>
      </x:c>
      <x:c r="L1082" s="34" t="str">
        <x:v>PASS</x:v>
      </x:c>
      <x:c r="M1082" s="34" t="str">
        <x:v>numeric coverage for applicable metric</x:v>
      </x:c>
      <x:c r="N1082" s="34" t="str">
        <x:v>Feedback-Directed Random Test Generation/Result_Round2/Closure_164/result.json</x:v>
      </x:c>
      <x:c r="O1082" s="38" t="n">
        <x:f>IF(AND(G1082="RECORDED",ISNUMBER(H1082)),H1082,"")</x:f>
        <x:v>3.1400000000000006</x:v>
      </x:c>
      <x:c r="P1082" s="34" t="str">
        <x:v>NOT_REVEALING</x:v>
      </x:c>
      <x:c r="Q1082" s="34" t="str">
        <x:v>Feedback-Directed Random Test Generation/Result_Round2/Closure_164/result.json</x:v>
      </x:c>
    </x:row>
    <x:row r="1083">
      <x:c r="A1083" s="34" t="str">
        <x:v>randoop</x:v>
      </x:c>
      <x:c r="B1083" s="34" t="str">
        <x:v>Closure</x:v>
      </x:c>
      <x:c r="C1083" s="34" t="str">
        <x:v>Round2</x:v>
      </x:c>
      <x:c r="D1083" s="34" t="str">
        <x:v>Closure_165</x:v>
      </x:c>
      <x:c r="E1083" s="34" t="str">
        <x:v>Coverage</x:v>
      </x:c>
      <x:c r="F1083" s="34" t="n">
        <x:v>1117</x:v>
      </x:c>
      <x:c r="G1083" s="34" t="str">
        <x:v>RECORDED</x:v>
      </x:c>
      <x:c r="H1083" s="38" t="n">
        <x:f>IF(ISNUMBER('Data'!G1083),'Data'!G1083*100,"")</x:f>
        <x:v>60.52000000000001</x:v>
      </x:c>
      <x:c r="I1083" s="34" t="str">
        <x:v>PASS</x:v>
      </x:c>
      <x:c r="J1083" s="34" t="str">
        <x:v>PASS</x:v>
      </x:c>
      <x:c r="K1083" s="34" t="str">
        <x:v>PASS</x:v>
      </x:c>
      <x:c r="L1083" s="34" t="str">
        <x:v>PASS</x:v>
      </x:c>
      <x:c r="M1083" s="34" t="str">
        <x:v>numeric coverage for applicable metric</x:v>
      </x:c>
      <x:c r="N1083" s="34" t="str">
        <x:v>Feedback-Directed Random Test Generation/Result_Round2/Closure_165/result.json</x:v>
      </x:c>
      <x:c r="O1083" s="38" t="n">
        <x:f>IF(AND(G1083="RECORDED",ISNUMBER(H1083)),H1083,"")</x:f>
        <x:v>60.52000000000001</x:v>
      </x:c>
      <x:c r="P1083" s="34" t="str">
        <x:v>NOT_REVEALING</x:v>
      </x:c>
      <x:c r="Q1083" s="34" t="str">
        <x:v>Feedback-Directed Random Test Generation/Result_Round2/Closure_165/result.json</x:v>
      </x:c>
    </x:row>
    <x:row r="1084">
      <x:c r="A1084" s="34" t="str">
        <x:v>randoop</x:v>
      </x:c>
      <x:c r="B1084" s="34" t="str">
        <x:v>Closure</x:v>
      </x:c>
      <x:c r="C1084" s="34" t="str">
        <x:v>Round2</x:v>
      </x:c>
      <x:c r="D1084" s="34" t="str">
        <x:v>Closure_166</x:v>
      </x:c>
      <x:c r="E1084" s="34" t="str">
        <x:v>Coverage</x:v>
      </x:c>
      <x:c r="F1084" s="34" t="n">
        <x:v>402</x:v>
      </x:c>
      <x:c r="G1084" s="34" t="str">
        <x:v>RECORDED</x:v>
      </x:c>
      <x:c r="H1084" s="38" t="n">
        <x:f>IF(ISNUMBER('Data'!G1084),'Data'!G1084*100,"")</x:f>
        <x:v>52.99</x:v>
      </x:c>
      <x:c r="I1084" s="34" t="str">
        <x:v>PASS</x:v>
      </x:c>
      <x:c r="J1084" s="34" t="str">
        <x:v>PASS</x:v>
      </x:c>
      <x:c r="K1084" s="34" t="str">
        <x:v>PASS</x:v>
      </x:c>
      <x:c r="L1084" s="34" t="str">
        <x:v>PASS</x:v>
      </x:c>
      <x:c r="M1084" s="34" t="str">
        <x:v>numeric coverage for applicable metric</x:v>
      </x:c>
      <x:c r="N1084" s="34" t="str">
        <x:v>Feedback-Directed Random Test Generation/Result_Round2/Closure_166/result.json</x:v>
      </x:c>
      <x:c r="O1084" s="38" t="n">
        <x:f>IF(AND(G1084="RECORDED",ISNUMBER(H1084)),H1084,"")</x:f>
        <x:v>52.99</x:v>
      </x:c>
      <x:c r="P1084" s="34" t="str">
        <x:v>NOT_REVEALING</x:v>
      </x:c>
      <x:c r="Q1084" s="34" t="str">
        <x:v>Feedback-Directed Random Test Generation/Result_Round2/Closure_166/result.json</x:v>
      </x:c>
    </x:row>
    <x:row r="1085">
      <x:c r="A1085" s="34" t="str">
        <x:v>randoop</x:v>
      </x:c>
      <x:c r="B1085" s="34" t="str">
        <x:v>Closure</x:v>
      </x:c>
      <x:c r="C1085" s="34" t="str">
        <x:v>Round2</x:v>
      </x:c>
      <x:c r="D1085" s="34" t="str">
        <x:v>Closure_167</x:v>
      </x:c>
      <x:c r="E1085" s="34" t="str">
        <x:v>Coverage</x:v>
      </x:c>
      <x:c r="F1085" s="34" t="n">
        <x:v>886</x:v>
      </x:c>
      <x:c r="G1085" s="34" t="str">
        <x:v>RECORDED</x:v>
      </x:c>
      <x:c r="H1085" s="38" t="n">
        <x:f>IF(ISNUMBER('Data'!G1085),'Data'!G1085*100,"")</x:f>
        <x:v>2.6</x:v>
      </x:c>
      <x:c r="I1085" s="34" t="str">
        <x:v>PASS</x:v>
      </x:c>
      <x:c r="J1085" s="34" t="str">
        <x:v>PASS</x:v>
      </x:c>
      <x:c r="K1085" s="34" t="str">
        <x:v>PASS</x:v>
      </x:c>
      <x:c r="L1085" s="34" t="str">
        <x:v>PASS</x:v>
      </x:c>
      <x:c r="M1085" s="34" t="str">
        <x:v>numeric coverage for applicable metric</x:v>
      </x:c>
      <x:c r="N1085" s="34" t="str">
        <x:v>Feedback-Directed Random Test Generation/Result_Round2/Closure_167/result.json</x:v>
      </x:c>
      <x:c r="O1085" s="38" t="n">
        <x:f>IF(AND(G1085="RECORDED",ISNUMBER(H1085)),H1085,"")</x:f>
        <x:v>2.6</x:v>
      </x:c>
      <x:c r="P1085" s="34" t="str">
        <x:v>NOT_REVEALING</x:v>
      </x:c>
      <x:c r="Q1085" s="34" t="str">
        <x:v>Feedback-Directed Random Test Generation/Result_Round2/Closure_167/result.json</x:v>
      </x:c>
    </x:row>
    <x:row r="1086">
      <x:c r="A1086" s="34" t="str">
        <x:v>randoop</x:v>
      </x:c>
      <x:c r="B1086" s="34" t="str">
        <x:v>Closure</x:v>
      </x:c>
      <x:c r="C1086" s="34" t="str">
        <x:v>Round2</x:v>
      </x:c>
      <x:c r="D1086" s="34" t="str">
        <x:v>Closure_168</x:v>
      </x:c>
      <x:c r="E1086" s="34" t="str">
        <x:v>Coverage</x:v>
      </x:c>
      <x:c r="F1086" s="34" t="n">
        <x:v>1598</x:v>
      </x:c>
      <x:c r="G1086" s="34" t="str">
        <x:v>RECORDED</x:v>
      </x:c>
      <x:c r="H1086" s="38" t="n">
        <x:f>IF(ISNUMBER('Data'!G1086),'Data'!G1086*100,"")</x:f>
        <x:v>1.56</x:v>
      </x:c>
      <x:c r="I1086" s="34" t="str">
        <x:v>PASS</x:v>
      </x:c>
      <x:c r="J1086" s="34" t="str">
        <x:v>PASS</x:v>
      </x:c>
      <x:c r="K1086" s="34" t="str">
        <x:v>PASS</x:v>
      </x:c>
      <x:c r="L1086" s="34" t="str">
        <x:v>PASS</x:v>
      </x:c>
      <x:c r="M1086" s="34" t="str">
        <x:v>numeric coverage for applicable metric</x:v>
      </x:c>
      <x:c r="N1086" s="34" t="str">
        <x:v>Feedback-Directed Random Test Generation/Result_Round2/Closure_168/result.json</x:v>
      </x:c>
      <x:c r="O1086" s="38" t="n">
        <x:f>IF(AND(G1086="RECORDED",ISNUMBER(H1086)),H1086,"")</x:f>
        <x:v>1.56</x:v>
      </x:c>
      <x:c r="P1086" s="34" t="str">
        <x:v>NOT_REVEALING</x:v>
      </x:c>
      <x:c r="Q1086" s="34" t="str">
        <x:v>Feedback-Directed Random Test Generation/Result_Round2/Closure_168/result.json</x:v>
      </x:c>
    </x:row>
    <x:row r="1087">
      <x:c r="A1087" s="34" t="str">
        <x:v>randoop</x:v>
      </x:c>
      <x:c r="B1087" s="34" t="str">
        <x:v>Closure</x:v>
      </x:c>
      <x:c r="C1087" s="34" t="str">
        <x:v>Round2</x:v>
      </x:c>
      <x:c r="D1087" s="34" t="str">
        <x:v>Closure_169</x:v>
      </x:c>
      <x:c r="E1087" s="34" t="str">
        <x:v>Coverage</x:v>
      </x:c>
      <x:c r="F1087" s="34" t="n">
        <x:v>2289</x:v>
      </x:c>
      <x:c r="G1087" s="34" t="str">
        <x:v>RECORDED</x:v>
      </x:c>
      <x:c r="H1087" s="38" t="n">
        <x:f>IF(ISNUMBER('Data'!G1087),'Data'!G1087*100,"")</x:f>
        <x:v>6.64</x:v>
      </x:c>
      <x:c r="I1087" s="34" t="str">
        <x:v>PASS</x:v>
      </x:c>
      <x:c r="J1087" s="34" t="str">
        <x:v>PASS</x:v>
      </x:c>
      <x:c r="K1087" s="34" t="str">
        <x:v>PASS</x:v>
      </x:c>
      <x:c r="L1087" s="34" t="str">
        <x:v>PASS</x:v>
      </x:c>
      <x:c r="M1087" s="34" t="str">
        <x:v>numeric coverage for applicable metric</x:v>
      </x:c>
      <x:c r="N1087" s="34" t="str">
        <x:v>Feedback-Directed Random Test Generation/Result_Round2/Closure_169/result.json</x:v>
      </x:c>
      <x:c r="O1087" s="38" t="n">
        <x:f>IF(AND(G1087="RECORDED",ISNUMBER(H1087)),H1087,"")</x:f>
        <x:v>6.64</x:v>
      </x:c>
      <x:c r="P1087" s="34" t="str">
        <x:v>NOT_REVEALING</x:v>
      </x:c>
      <x:c r="Q1087" s="34" t="str">
        <x:v>Feedback-Directed Random Test Generation/Result_Round2/Closure_169/result.json</x:v>
      </x:c>
    </x:row>
    <x:row r="1088">
      <x:c r="A1088" s="34" t="str">
        <x:v>randoop</x:v>
      </x:c>
      <x:c r="B1088" s="34" t="str">
        <x:v>Closure</x:v>
      </x:c>
      <x:c r="C1088" s="34" t="str">
        <x:v>Round2</x:v>
      </x:c>
      <x:c r="D1088" s="34" t="str">
        <x:v>Closure_170</x:v>
      </x:c>
      <x:c r="E1088" s="34" t="str">
        <x:v>Coverage</x:v>
      </x:c>
      <x:c r="F1088" s="34" t="n">
        <x:v>311</x:v>
      </x:c>
      <x:c r="G1088" s="34" t="str">
        <x:v>RECORDED</x:v>
      </x:c>
      <x:c r="H1088" s="38" t="n">
        <x:f>IF(ISNUMBER('Data'!G1088),'Data'!G1088*100,"")</x:f>
        <x:v>3.2199999999999998</x:v>
      </x:c>
      <x:c r="I1088" s="34" t="str">
        <x:v>PASS</x:v>
      </x:c>
      <x:c r="J1088" s="34" t="str">
        <x:v>PASS</x:v>
      </x:c>
      <x:c r="K1088" s="34" t="str">
        <x:v>PASS</x:v>
      </x:c>
      <x:c r="L1088" s="34" t="str">
        <x:v>PASS</x:v>
      </x:c>
      <x:c r="M1088" s="34" t="str">
        <x:v>numeric coverage for applicable metric</x:v>
      </x:c>
      <x:c r="N1088" s="34" t="str">
        <x:v>Feedback-Directed Random Test Generation/Result_Round2/Closure_170/result.json</x:v>
      </x:c>
      <x:c r="O1088" s="38" t="n">
        <x:f>IF(AND(G1088="RECORDED",ISNUMBER(H1088)),H1088,"")</x:f>
        <x:v>3.2199999999999998</x:v>
      </x:c>
      <x:c r="P1088" s="34" t="str">
        <x:v>NOT_REVEALING</x:v>
      </x:c>
      <x:c r="Q1088" s="34" t="str">
        <x:v>Feedback-Directed Random Test Generation/Result_Round2/Closure_170/result.json</x:v>
      </x:c>
    </x:row>
    <x:row r="1089">
      <x:c r="A1089" s="34" t="str">
        <x:v>randoop</x:v>
      </x:c>
      <x:c r="B1089" s="34" t="str">
        <x:v>Closure</x:v>
      </x:c>
      <x:c r="C1089" s="34" t="str">
        <x:v>Round2</x:v>
      </x:c>
      <x:c r="D1089" s="34" t="str">
        <x:v>Closure_171</x:v>
      </x:c>
      <x:c r="E1089" s="34" t="str">
        <x:v>Coverage</x:v>
      </x:c>
      <x:c r="F1089" s="34" t="n">
        <x:v>2869</x:v>
      </x:c>
      <x:c r="G1089" s="34" t="str">
        <x:v>RECORDED</x:v>
      </x:c>
      <x:c r="H1089" s="38" t="n">
        <x:f>IF(ISNUMBER('Data'!G1089),'Data'!G1089*100,"")</x:f>
        <x:v>1.08</x:v>
      </x:c>
      <x:c r="I1089" s="34" t="str">
        <x:v>PASS</x:v>
      </x:c>
      <x:c r="J1089" s="34" t="str">
        <x:v>PASS</x:v>
      </x:c>
      <x:c r="K1089" s="34" t="str">
        <x:v>PASS</x:v>
      </x:c>
      <x:c r="L1089" s="34" t="str">
        <x:v>PASS</x:v>
      </x:c>
      <x:c r="M1089" s="34" t="str">
        <x:v>numeric coverage for applicable metric</x:v>
      </x:c>
      <x:c r="N1089" s="34" t="str">
        <x:v>Feedback-Directed Random Test Generation/Result_Round2/Closure_171/result.json</x:v>
      </x:c>
      <x:c r="O1089" s="38" t="n">
        <x:f>IF(AND(G1089="RECORDED",ISNUMBER(H1089)),H1089,"")</x:f>
        <x:v>1.08</x:v>
      </x:c>
      <x:c r="P1089" s="34" t="str">
        <x:v>NOT_REVEALING</x:v>
      </x:c>
      <x:c r="Q1089" s="34" t="str">
        <x:v>Feedback-Directed Random Test Generation/Result_Round2/Closure_171/result.json</x:v>
      </x:c>
    </x:row>
    <x:row r="1090">
      <x:c r="A1090" s="34" t="str">
        <x:v>randoop</x:v>
      </x:c>
      <x:c r="B1090" s="34" t="str">
        <x:v>Closure</x:v>
      </x:c>
      <x:c r="C1090" s="34" t="str">
        <x:v>Round2</x:v>
      </x:c>
      <x:c r="D1090" s="34" t="str">
        <x:v>Closure_172</x:v>
      </x:c>
      <x:c r="E1090" s="34" t="str">
        <x:v>Coverage</x:v>
      </x:c>
      <x:c r="F1090" s="34" t="n">
        <x:v>1713</x:v>
      </x:c>
      <x:c r="G1090" s="34" t="str">
        <x:v>RECORDED</x:v>
      </x:c>
      <x:c r="H1090" s="38" t="n">
        <x:f>IF(ISNUMBER('Data'!G1090),'Data'!G1090*100,"")</x:f>
        <x:v>1.46</x:v>
      </x:c>
      <x:c r="I1090" s="34" t="str">
        <x:v>PASS</x:v>
      </x:c>
      <x:c r="J1090" s="34" t="str">
        <x:v>PASS</x:v>
      </x:c>
      <x:c r="K1090" s="34" t="str">
        <x:v>PASS</x:v>
      </x:c>
      <x:c r="L1090" s="34" t="str">
        <x:v>PASS</x:v>
      </x:c>
      <x:c r="M1090" s="34" t="str">
        <x:v>numeric coverage for applicable metric</x:v>
      </x:c>
      <x:c r="N1090" s="34" t="str">
        <x:v>Feedback-Directed Random Test Generation/Result_Round2/Closure_172/result.json</x:v>
      </x:c>
      <x:c r="O1090" s="38" t="n">
        <x:f>IF(AND(G1090="RECORDED",ISNUMBER(H1090)),H1090,"")</x:f>
        <x:v>1.46</x:v>
      </x:c>
      <x:c r="P1090" s="34" t="str">
        <x:v>NOT_REVEALING</x:v>
      </x:c>
      <x:c r="Q1090" s="34" t="str">
        <x:v>Feedback-Directed Random Test Generation/Result_Round2/Closure_172/result.json</x:v>
      </x:c>
    </x:row>
    <x:row r="1091">
      <x:c r="A1091" s="34" t="str">
        <x:v>randoop</x:v>
      </x:c>
      <x:c r="B1091" s="34" t="str">
        <x:v>Closure</x:v>
      </x:c>
      <x:c r="C1091" s="34" t="str">
        <x:v>Round2</x:v>
      </x:c>
      <x:c r="D1091" s="34" t="str">
        <x:v>Closure_173</x:v>
      </x:c>
      <x:c r="E1091" s="34" t="str">
        <x:v>Coverage</x:v>
      </x:c>
      <x:c r="F1091" s="34" t="n">
        <x:v>1602</x:v>
      </x:c>
      <x:c r="G1091" s="34" t="str">
        <x:v>RECORDED</x:v>
      </x:c>
      <x:c r="H1091" s="38" t="n">
        <x:f>IF(ISNUMBER('Data'!G1091),'Data'!G1091*100,"")</x:f>
        <x:v>6.18</x:v>
      </x:c>
      <x:c r="I1091" s="34" t="str">
        <x:v>PASS</x:v>
      </x:c>
      <x:c r="J1091" s="34" t="str">
        <x:v>PASS</x:v>
      </x:c>
      <x:c r="K1091" s="34" t="str">
        <x:v>PASS</x:v>
      </x:c>
      <x:c r="L1091" s="34" t="str">
        <x:v>PASS</x:v>
      </x:c>
      <x:c r="M1091" s="34" t="str">
        <x:v>numeric coverage for applicable metric</x:v>
      </x:c>
      <x:c r="N1091" s="34" t="str">
        <x:v>Feedback-Directed Random Test Generation/Result_Round2/Closure_173/result.json</x:v>
      </x:c>
      <x:c r="O1091" s="38" t="n">
        <x:f>IF(AND(G1091="RECORDED",ISNUMBER(H1091)),H1091,"")</x:f>
        <x:v>6.18</x:v>
      </x:c>
      <x:c r="P1091" s="34" t="str">
        <x:v>NOT_REVEALING</x:v>
      </x:c>
      <x:c r="Q1091" s="34" t="str">
        <x:v>Feedback-Directed Random Test Generation/Result_Round2/Closure_173/result.json</x:v>
      </x:c>
    </x:row>
    <x:row r="1092">
      <x:c r="A1092" s="34" t="str">
        <x:v>randoop</x:v>
      </x:c>
      <x:c r="B1092" s="34" t="str">
        <x:v>Closure</x:v>
      </x:c>
      <x:c r="C1092" s="34" t="str">
        <x:v>Round2</x:v>
      </x:c>
      <x:c r="D1092" s="34" t="str">
        <x:v>Closure_174</x:v>
      </x:c>
      <x:c r="E1092" s="34" t="str">
        <x:v>Coverage</x:v>
      </x:c>
      <x:c r="F1092" s="34" t="n">
        <x:v>2629</x:v>
      </x:c>
      <x:c r="G1092" s="34" t="str">
        <x:v>RECORDED</x:v>
      </x:c>
      <x:c r="H1092" s="38" t="n">
        <x:f>IF(ISNUMBER('Data'!G1092),'Data'!G1092*100,"")</x:f>
        <x:v>34.46</x:v>
      </x:c>
      <x:c r="I1092" s="34" t="str">
        <x:v>PASS</x:v>
      </x:c>
      <x:c r="J1092" s="34" t="str">
        <x:v>PASS</x:v>
      </x:c>
      <x:c r="K1092" s="34" t="str">
        <x:v>PASS</x:v>
      </x:c>
      <x:c r="L1092" s="34" t="str">
        <x:v>PASS</x:v>
      </x:c>
      <x:c r="M1092" s="34" t="str">
        <x:v>numeric coverage for applicable metric</x:v>
      </x:c>
      <x:c r="N1092" s="34" t="str">
        <x:v>Feedback-Directed Random Test Generation/Result_Round2/Closure_174/result.json</x:v>
      </x:c>
      <x:c r="O1092" s="38" t="n">
        <x:f>IF(AND(G1092="RECORDED",ISNUMBER(H1092)),H1092,"")</x:f>
        <x:v>34.46</x:v>
      </x:c>
      <x:c r="P1092" s="34" t="str">
        <x:v>NOT_REVEALING</x:v>
      </x:c>
      <x:c r="Q1092" s="34" t="str">
        <x:v>Feedback-Directed Random Test Generation/Result_Round2/Closure_174/result.json</x:v>
      </x:c>
    </x:row>
    <x:row r="1093">
      <x:c r="A1093" s="34" t="str">
        <x:v>randoop</x:v>
      </x:c>
      <x:c r="B1093" s="34" t="str">
        <x:v>Closure</x:v>
      </x:c>
      <x:c r="C1093" s="34" t="str">
        <x:v>Round2</x:v>
      </x:c>
      <x:c r="D1093" s="34" t="str">
        <x:v>Closure_175</x:v>
      </x:c>
      <x:c r="E1093" s="34" t="str">
        <x:v>Coverage</x:v>
      </x:c>
      <x:c r="F1093" s="34" t="n">
        <x:v>521</x:v>
      </x:c>
      <x:c r="G1093" s="34" t="str">
        <x:v>RECORDED</x:v>
      </x:c>
      <x:c r="H1093" s="38" t="n">
        <x:f>IF(ISNUMBER('Data'!G1093),'Data'!G1093*100,"")</x:f>
        <x:v>2.3</x:v>
      </x:c>
      <x:c r="I1093" s="34" t="str">
        <x:v>PASS</x:v>
      </x:c>
      <x:c r="J1093" s="34" t="str">
        <x:v>PASS</x:v>
      </x:c>
      <x:c r="K1093" s="34" t="str">
        <x:v>PASS</x:v>
      </x:c>
      <x:c r="L1093" s="34" t="str">
        <x:v>PASS</x:v>
      </x:c>
      <x:c r="M1093" s="34" t="str">
        <x:v>numeric coverage for applicable metric</x:v>
      </x:c>
      <x:c r="N1093" s="34" t="str">
        <x:v>Feedback-Directed Random Test Generation/Result_Round2/Closure_175/result.json</x:v>
      </x:c>
      <x:c r="O1093" s="38" t="n">
        <x:f>IF(AND(G1093="RECORDED",ISNUMBER(H1093)),H1093,"")</x:f>
        <x:v>2.3</x:v>
      </x:c>
      <x:c r="P1093" s="34" t="str">
        <x:v>NOT_REVEALING</x:v>
      </x:c>
      <x:c r="Q1093" s="34" t="str">
        <x:v>Feedback-Directed Random Test Generation/Result_Round2/Closure_175/result.json</x:v>
      </x:c>
    </x:row>
    <x:row r="1094">
      <x:c r="A1094" s="34" t="str">
        <x:v>randoop</x:v>
      </x:c>
      <x:c r="B1094" s="34" t="str">
        <x:v>Closure</x:v>
      </x:c>
      <x:c r="C1094" s="34" t="str">
        <x:v>Round2</x:v>
      </x:c>
      <x:c r="D1094" s="34" t="str">
        <x:v>Closure_176</x:v>
      </x:c>
      <x:c r="E1094" s="34" t="str">
        <x:v>Coverage</x:v>
      </x:c>
      <x:c r="F1094" s="34" t="n">
        <x:v>1217</x:v>
      </x:c>
      <x:c r="G1094" s="34" t="str">
        <x:v>RECORDED</x:v>
      </x:c>
      <x:c r="H1094" s="38" t="n">
        <x:f>IF(ISNUMBER('Data'!G1094),'Data'!G1094*100,"")</x:f>
        <x:v>0.49</x:v>
      </x:c>
      <x:c r="I1094" s="34" t="str">
        <x:v>PASS</x:v>
      </x:c>
      <x:c r="J1094" s="34" t="str">
        <x:v>PASS</x:v>
      </x:c>
      <x:c r="K1094" s="34" t="str">
        <x:v>PASS</x:v>
      </x:c>
      <x:c r="L1094" s="34" t="str">
        <x:v>PASS</x:v>
      </x:c>
      <x:c r="M1094" s="34" t="str">
        <x:v>numeric coverage for applicable metric</x:v>
      </x:c>
      <x:c r="N1094" s="34" t="str">
        <x:v>Feedback-Directed Random Test Generation/Result_Round2/Closure_176/result.json</x:v>
      </x:c>
      <x:c r="O1094" s="38" t="n">
        <x:f>IF(AND(G1094="RECORDED",ISNUMBER(H1094)),H1094,"")</x:f>
        <x:v>0.49</x:v>
      </x:c>
      <x:c r="P1094" s="34" t="str">
        <x:v>NOT_REVEALING</x:v>
      </x:c>
      <x:c r="Q1094" s="34" t="str">
        <x:v>Feedback-Directed Random Test Generation/Result_Round2/Closure_176/result.json</x:v>
      </x:c>
    </x:row>
    <x:row r="1095">
      <x:c r="A1095" s="34" t="str">
        <x:v>randoop</x:v>
      </x:c>
      <x:c r="B1095" s="34" t="str">
        <x:v>Codec</x:v>
      </x:c>
      <x:c r="C1095" s="34" t="str">
        <x:v>Round2</x:v>
      </x:c>
      <x:c r="D1095" s="34" t="str">
        <x:v>Codec_1</x:v>
      </x:c>
      <x:c r="E1095" s="34" t="str">
        <x:v>Coverage</x:v>
      </x:c>
      <x:c r="F1095" s="34" t="n">
        <x:v>440</x:v>
      </x:c>
      <x:c r="G1095" s="34" t="str">
        <x:v>RECORDED</x:v>
      </x:c>
      <x:c r="H1095" s="38" t="n">
        <x:f>IF(ISNUMBER('Data'!G1095),'Data'!G1095*100,"")</x:f>
        <x:v>45.45</x:v>
      </x:c>
      <x:c r="I1095" s="34" t="str">
        <x:v>PASS</x:v>
      </x:c>
      <x:c r="J1095" s="34" t="str">
        <x:v>PASS</x:v>
      </x:c>
      <x:c r="K1095" s="34" t="str">
        <x:v>PASS</x:v>
      </x:c>
      <x:c r="L1095" s="34" t="str">
        <x:v>FAIL</x:v>
      </x:c>
      <x:c r="M1095" s="34" t="str">
        <x:v>numeric coverage for applicable metric</x:v>
      </x:c>
      <x:c r="N1095" s="34" t="str">
        <x:v>Feedback-Directed Random Test Generation/Result_Round2/Codec_1/result.json</x:v>
      </x:c>
      <x:c r="O1095" s="38" t="n">
        <x:f>IF(AND(G1095="RECORDED",ISNUMBER(H1095)),H1095,"")</x:f>
        <x:v>45.45</x:v>
      </x:c>
      <x:c r="P1095" s="34" t="str">
        <x:v>INCONCLUSIVE</x:v>
      </x:c>
      <x:c r="Q1095" s="34" t="str">
        <x:v>Feedback-Directed Random Test Generation/Result_Round2/Codec_1/result.json</x:v>
      </x:c>
    </x:row>
    <x:row r="1096">
      <x:c r="A1096" s="34" t="str">
        <x:v>randoop</x:v>
      </x:c>
      <x:c r="B1096" s="34" t="str">
        <x:v>Codec</x:v>
      </x:c>
      <x:c r="C1096" s="34" t="str">
        <x:v>Round2</x:v>
      </x:c>
      <x:c r="D1096" s="34" t="str">
        <x:v>Codec_2</x:v>
      </x:c>
      <x:c r="E1096" s="34" t="str">
        <x:v>Coverage</x:v>
      </x:c>
      <x:c r="F1096" s="34" t="n">
        <x:v>360</x:v>
      </x:c>
      <x:c r="G1096" s="34" t="str">
        <x:v>RECORDED</x:v>
      </x:c>
      <x:c r="H1096" s="38" t="n">
        <x:f>IF(ISNUMBER('Data'!G1096),'Data'!G1096*100,"")</x:f>
        <x:v>94.72</x:v>
      </x:c>
      <x:c r="I1096" s="34" t="str">
        <x:v>PASS</x:v>
      </x:c>
      <x:c r="J1096" s="34" t="str">
        <x:v>PASS</x:v>
      </x:c>
      <x:c r="K1096" s="34" t="str">
        <x:v>PASS</x:v>
      </x:c>
      <x:c r="L1096" s="34" t="str">
        <x:v>PASS</x:v>
      </x:c>
      <x:c r="M1096" s="34" t="str">
        <x:v>numeric coverage for applicable metric</x:v>
      </x:c>
      <x:c r="N1096" s="34" t="str">
        <x:v>Feedback-Directed Random Test Generation/Result_Round2/Codec_2/result.json</x:v>
      </x:c>
      <x:c r="O1096" s="38" t="n">
        <x:f>IF(AND(G1096="RECORDED",ISNUMBER(H1096)),H1096,"")</x:f>
        <x:v>94.72</x:v>
      </x:c>
      <x:c r="P1096" s="34" t="str">
        <x:v>INCONCLUSIVE</x:v>
      </x:c>
      <x:c r="Q1096" s="34" t="str">
        <x:v>Feedback-Directed Random Test Generation/Result_Round2/Codec_2/result.json</x:v>
      </x:c>
    </x:row>
    <x:row r="1097">
      <x:c r="A1097" s="34" t="str">
        <x:v>randoop</x:v>
      </x:c>
      <x:c r="B1097" s="34" t="str">
        <x:v>Codec</x:v>
      </x:c>
      <x:c r="C1097" s="34" t="str">
        <x:v>Round2</x:v>
      </x:c>
      <x:c r="D1097" s="34" t="str">
        <x:v>Codec_3</x:v>
      </x:c>
      <x:c r="E1097" s="34" t="str">
        <x:v>Coverage</x:v>
      </x:c>
      <x:c r="F1097" s="34" t="n">
        <x:v>903</x:v>
      </x:c>
      <x:c r="G1097" s="34" t="str">
        <x:v>RECORDED</x:v>
      </x:c>
      <x:c r="H1097" s="38" t="n">
        <x:f>IF(ISNUMBER('Data'!G1097),'Data'!G1097*100,"")</x:f>
        <x:v>17.72</x:v>
      </x:c>
      <x:c r="I1097" s="34" t="str">
        <x:v>PASS</x:v>
      </x:c>
      <x:c r="J1097" s="34" t="str">
        <x:v>PASS</x:v>
      </x:c>
      <x:c r="K1097" s="34" t="str">
        <x:v>PASS</x:v>
      </x:c>
      <x:c r="L1097" s="34" t="str">
        <x:v>FAIL</x:v>
      </x:c>
      <x:c r="M1097" s="34" t="str">
        <x:v>numeric coverage for applicable metric</x:v>
      </x:c>
      <x:c r="N1097" s="34" t="str">
        <x:v>Feedback-Directed Random Test Generation/Result_Round2/Codec_3/result.json</x:v>
      </x:c>
      <x:c r="O1097" s="38" t="n">
        <x:f>IF(AND(G1097="RECORDED",ISNUMBER(H1097)),H1097,"")</x:f>
        <x:v>17.72</x:v>
      </x:c>
      <x:c r="P1097" s="34" t="str">
        <x:v>INCONCLUSIVE</x:v>
      </x:c>
      <x:c r="Q1097" s="34" t="str">
        <x:v>Feedback-Directed Random Test Generation/Result_Round2/Codec_3/result.json</x:v>
      </x:c>
    </x:row>
    <x:row r="1098">
      <x:c r="A1098" s="34" t="str">
        <x:v>randoop</x:v>
      </x:c>
      <x:c r="B1098" s="34" t="str">
        <x:v>Codec</x:v>
      </x:c>
      <x:c r="C1098" s="34" t="str">
        <x:v>Round2</x:v>
      </x:c>
      <x:c r="D1098" s="34" t="str">
        <x:v>Codec_4</x:v>
      </x:c>
      <x:c r="E1098" s="34" t="str">
        <x:v>Coverage</x:v>
      </x:c>
      <x:c r="F1098" s="34" t="n">
        <x:v>389</x:v>
      </x:c>
      <x:c r="G1098" s="34" t="str">
        <x:v>RECORDED</x:v>
      </x:c>
      <x:c r="H1098" s="38" t="n">
        <x:f>IF(ISNUMBER('Data'!G1098),'Data'!G1098*100,"")</x:f>
        <x:v>97.43</x:v>
      </x:c>
      <x:c r="I1098" s="34" t="str">
        <x:v>PASS</x:v>
      </x:c>
      <x:c r="J1098" s="34" t="str">
        <x:v>PASS</x:v>
      </x:c>
      <x:c r="K1098" s="34" t="str">
        <x:v>PASS</x:v>
      </x:c>
      <x:c r="L1098" s="34" t="str">
        <x:v>PASS</x:v>
      </x:c>
      <x:c r="M1098" s="34" t="str">
        <x:v>numeric coverage for applicable metric</x:v>
      </x:c>
      <x:c r="N1098" s="34" t="str">
        <x:v>Feedback-Directed Random Test Generation/Result_Round2/Codec_4/result.json</x:v>
      </x:c>
      <x:c r="O1098" s="38" t="n">
        <x:f>IF(AND(G1098="RECORDED",ISNUMBER(H1098)),H1098,"")</x:f>
        <x:v>97.43</x:v>
      </x:c>
      <x:c r="P1098" s="34" t="str">
        <x:v>INCONCLUSIVE</x:v>
      </x:c>
      <x:c r="Q1098" s="34" t="str">
        <x:v>Feedback-Directed Random Test Generation/Result_Round2/Codec_4/result.json</x:v>
      </x:c>
    </x:row>
    <x:row r="1099">
      <x:c r="A1099" s="34" t="str">
        <x:v>randoop</x:v>
      </x:c>
      <x:c r="B1099" s="34" t="str">
        <x:v>Codec</x:v>
      </x:c>
      <x:c r="C1099" s="34" t="str">
        <x:v>Round2</x:v>
      </x:c>
      <x:c r="D1099" s="34" t="str">
        <x:v>Codec_5</x:v>
      </x:c>
      <x:c r="E1099" s="34" t="str">
        <x:v>Coverage</x:v>
      </x:c>
      <x:c r="F1099" s="34" t="n">
        <x:v>389</x:v>
      </x:c>
      <x:c r="G1099" s="34" t="str">
        <x:v>RECORDED</x:v>
      </x:c>
      <x:c r="H1099" s="38" t="n">
        <x:f>IF(ISNUMBER('Data'!G1099),'Data'!G1099*100,"")</x:f>
        <x:v>96.92</x:v>
      </x:c>
      <x:c r="I1099" s="34" t="str">
        <x:v>PASS</x:v>
      </x:c>
      <x:c r="J1099" s="34" t="str">
        <x:v>PASS</x:v>
      </x:c>
      <x:c r="K1099" s="34" t="str">
        <x:v>PASS</x:v>
      </x:c>
      <x:c r="L1099" s="34" t="str">
        <x:v>PASS</x:v>
      </x:c>
      <x:c r="M1099" s="34" t="str">
        <x:v>numeric coverage for applicable metric</x:v>
      </x:c>
      <x:c r="N1099" s="34" t="str">
        <x:v>Feedback-Directed Random Test Generation/Result_Round2/Codec_5/result.json</x:v>
      </x:c>
      <x:c r="O1099" s="38" t="n">
        <x:f>IF(AND(G1099="RECORDED",ISNUMBER(H1099)),H1099,"")</x:f>
        <x:v>96.92</x:v>
      </x:c>
      <x:c r="P1099" s="34" t="str">
        <x:v>NOT_REVEALING</x:v>
      </x:c>
      <x:c r="Q1099" s="34" t="str">
        <x:v>Feedback-Directed Random Test Generation/Result_Round2/Codec_5/result.json</x:v>
      </x:c>
    </x:row>
    <x:row r="1100">
      <x:c r="A1100" s="34" t="str">
        <x:v>randoop</x:v>
      </x:c>
      <x:c r="B1100" s="34" t="str">
        <x:v>Codec</x:v>
      </x:c>
      <x:c r="C1100" s="34" t="str">
        <x:v>Round2</x:v>
      </x:c>
      <x:c r="D1100" s="34" t="str">
        <x:v>Codec_6</x:v>
      </x:c>
      <x:c r="E1100" s="34" t="str">
        <x:v>Coverage</x:v>
      </x:c>
      <x:c r="F1100" s="34" t="n">
        <x:v>63</x:v>
      </x:c>
      <x:c r="G1100" s="34" t="str">
        <x:v>RECORDED</x:v>
      </x:c>
      <x:c r="H1100" s="38" t="n">
        <x:f>IF(ISNUMBER('Data'!G1100),'Data'!G1100*100,"")</x:f>
        <x:v>85.71</x:v>
      </x:c>
      <x:c r="I1100" s="34" t="str">
        <x:v>PASS</x:v>
      </x:c>
      <x:c r="J1100" s="34" t="str">
        <x:v>PASS</x:v>
      </x:c>
      <x:c r="K1100" s="34" t="str">
        <x:v>PASS</x:v>
      </x:c>
      <x:c r="L1100" s="34" t="str">
        <x:v>PASS</x:v>
      </x:c>
      <x:c r="M1100" s="34" t="str">
        <x:v>numeric coverage for applicable metric</x:v>
      </x:c>
      <x:c r="N1100" s="34" t="str">
        <x:v>Feedback-Directed Random Test Generation/Result_Round2/Codec_6/result.json</x:v>
      </x:c>
      <x:c r="O1100" s="38" t="n">
        <x:f>IF(AND(G1100="RECORDED",ISNUMBER(H1100)),H1100,"")</x:f>
        <x:v>85.71</x:v>
      </x:c>
      <x:c r="P1100" s="34" t="str">
        <x:v>INCONCLUSIVE</x:v>
      </x:c>
      <x:c r="Q1100" s="34" t="str">
        <x:v>Feedback-Directed Random Test Generation/Result_Round2/Codec_6/result.json</x:v>
      </x:c>
    </x:row>
    <x:row r="1101">
      <x:c r="A1101" s="34" t="str">
        <x:v>randoop</x:v>
      </x:c>
      <x:c r="B1101" s="34" t="str">
        <x:v>Codec</x:v>
      </x:c>
      <x:c r="C1101" s="34" t="str">
        <x:v>Round2</x:v>
      </x:c>
      <x:c r="D1101" s="34" t="str">
        <x:v>Codec_7</x:v>
      </x:c>
      <x:c r="E1101" s="34" t="str">
        <x:v>Coverage</x:v>
      </x:c>
      <x:c r="F1101" s="34" t="n">
        <x:v>395</x:v>
      </x:c>
      <x:c r="G1101" s="34" t="str">
        <x:v>RECORDED</x:v>
      </x:c>
      <x:c r="H1101" s="38" t="n">
        <x:f>IF(ISNUMBER('Data'!G1101),'Data'!G1101*100,"")</x:f>
        <x:v>96.71</x:v>
      </x:c>
      <x:c r="I1101" s="34" t="str">
        <x:v>PASS</x:v>
      </x:c>
      <x:c r="J1101" s="34" t="str">
        <x:v>PASS</x:v>
      </x:c>
      <x:c r="K1101" s="34" t="str">
        <x:v>PASS</x:v>
      </x:c>
      <x:c r="L1101" s="34" t="str">
        <x:v>PASS</x:v>
      </x:c>
      <x:c r="M1101" s="34" t="str">
        <x:v>numeric coverage for applicable metric</x:v>
      </x:c>
      <x:c r="N1101" s="34" t="str">
        <x:v>Feedback-Directed Random Test Generation/Result_Round2/Codec_7/result.json</x:v>
      </x:c>
      <x:c r="O1101" s="38" t="n">
        <x:f>IF(AND(G1101="RECORDED",ISNUMBER(H1101)),H1101,"")</x:f>
        <x:v>96.71</x:v>
      </x:c>
      <x:c r="P1101" s="34" t="str">
        <x:v>INCONCLUSIVE</x:v>
      </x:c>
      <x:c r="Q1101" s="34" t="str">
        <x:v>Feedback-Directed Random Test Generation/Result_Round2/Codec_7/result.json</x:v>
      </x:c>
    </x:row>
    <x:row r="1102">
      <x:c r="A1102" s="34" t="str">
        <x:v>randoop</x:v>
      </x:c>
      <x:c r="B1102" s="34" t="str">
        <x:v>Codec</x:v>
      </x:c>
      <x:c r="C1102" s="34" t="str">
        <x:v>Round2</x:v>
      </x:c>
      <x:c r="D1102" s="34" t="str">
        <x:v>Codec_8</x:v>
      </x:c>
      <x:c r="E1102" s="34" t="str">
        <x:v>Coverage</x:v>
      </x:c>
      <x:c r="F1102" s="34" t="n">
        <x:v>447</x:v>
      </x:c>
      <x:c r="G1102" s="34" t="str">
        <x:v>RECORDED</x:v>
      </x:c>
      <x:c r="H1102" s="38" t="n">
        <x:f>IF(ISNUMBER('Data'!G1102),'Data'!G1102*100,"")</x:f>
        <x:v>92.62</x:v>
      </x:c>
      <x:c r="I1102" s="34" t="str">
        <x:v>PASS</x:v>
      </x:c>
      <x:c r="J1102" s="34" t="str">
        <x:v>PASS</x:v>
      </x:c>
      <x:c r="K1102" s="34" t="str">
        <x:v>PASS</x:v>
      </x:c>
      <x:c r="L1102" s="34" t="str">
        <x:v>PASS</x:v>
      </x:c>
      <x:c r="M1102" s="34" t="str">
        <x:v>numeric coverage for applicable metric</x:v>
      </x:c>
      <x:c r="N1102" s="34" t="str">
        <x:v>Feedback-Directed Random Test Generation/Result_Round2/Codec_8/result.json</x:v>
      </x:c>
      <x:c r="O1102" s="38" t="n">
        <x:f>IF(AND(G1102="RECORDED",ISNUMBER(H1102)),H1102,"")</x:f>
        <x:v>92.62</x:v>
      </x:c>
      <x:c r="P1102" s="34" t="str">
        <x:v>NOT_AVAILABLE</x:v>
      </x:c>
      <x:c r="Q1102" s="34" t="str">
        <x:v>Feedback-Directed Random Test Generation/Result_Round2/Codec_8/result.json</x:v>
      </x:c>
    </x:row>
    <x:row r="1103">
      <x:c r="A1103" s="34" t="str">
        <x:v>randoop</x:v>
      </x:c>
      <x:c r="B1103" s="34" t="str">
        <x:v>Codec</x:v>
      </x:c>
      <x:c r="C1103" s="34" t="str">
        <x:v>Round2</x:v>
      </x:c>
      <x:c r="D1103" s="34" t="str">
        <x:v>Codec_9</x:v>
      </x:c>
      <x:c r="E1103" s="34" t="str">
        <x:v>Coverage</x:v>
      </x:c>
      <x:c r="F1103" s="34" t="n">
        <x:v>372</x:v>
      </x:c>
      <x:c r="G1103" s="34" t="str">
        <x:v>RECORDED</x:v>
      </x:c>
      <x:c r="H1103" s="38" t="n">
        <x:f>IF(ISNUMBER('Data'!G1103),'Data'!G1103*100,"")</x:f>
        <x:v>93.82</x:v>
      </x:c>
      <x:c r="I1103" s="34" t="str">
        <x:v>PASS</x:v>
      </x:c>
      <x:c r="J1103" s="34" t="str">
        <x:v>PASS</x:v>
      </x:c>
      <x:c r="K1103" s="34" t="str">
        <x:v>PASS</x:v>
      </x:c>
      <x:c r="L1103" s="34" t="str">
        <x:v>PASS</x:v>
      </x:c>
      <x:c r="M1103" s="34" t="str">
        <x:v>numeric coverage for applicable metric</x:v>
      </x:c>
      <x:c r="N1103" s="34" t="str">
        <x:v>Feedback-Directed Random Test Generation/Result_Round2/Codec_9/result.json</x:v>
      </x:c>
      <x:c r="O1103" s="38" t="n">
        <x:f>IF(AND(G1103="RECORDED",ISNUMBER(H1103)),H1103,"")</x:f>
        <x:v>93.82</x:v>
      </x:c>
      <x:c r="P1103" s="34" t="str">
        <x:v>NOT_REVEALING</x:v>
      </x:c>
      <x:c r="Q1103" s="34" t="str">
        <x:v>Feedback-Directed Random Test Generation/Result_Round2/Codec_9/result.json</x:v>
      </x:c>
    </x:row>
    <x:row r="1104">
      <x:c r="A1104" s="34" t="str">
        <x:v>randoop</x:v>
      </x:c>
      <x:c r="B1104" s="34" t="str">
        <x:v>Codec</x:v>
      </x:c>
      <x:c r="C1104" s="34" t="str">
        <x:v>Round2</x:v>
      </x:c>
      <x:c r="D1104" s="34" t="str">
        <x:v>Codec_10</x:v>
      </x:c>
      <x:c r="E1104" s="34" t="str">
        <x:v>Coverage</x:v>
      </x:c>
      <x:c r="F1104" s="34" t="n">
        <x:v>75</x:v>
      </x:c>
      <x:c r="G1104" s="34" t="str">
        <x:v>RECORDED</x:v>
      </x:c>
      <x:c r="H1104" s="38" t="n">
        <x:f>IF(ISNUMBER('Data'!G1104),'Data'!G1104*100,"")</x:f>
        <x:v>98.67</x:v>
      </x:c>
      <x:c r="I1104" s="34" t="str">
        <x:v>PASS</x:v>
      </x:c>
      <x:c r="J1104" s="34" t="str">
        <x:v>PASS</x:v>
      </x:c>
      <x:c r="K1104" s="34" t="str">
        <x:v>PASS</x:v>
      </x:c>
      <x:c r="L1104" s="34" t="str">
        <x:v>PASS</x:v>
      </x:c>
      <x:c r="M1104" s="34" t="str">
        <x:v>numeric coverage for applicable metric</x:v>
      </x:c>
      <x:c r="N1104" s="34" t="str">
        <x:v>Feedback-Directed Random Test Generation/Result_Round2/Codec_10/result.json</x:v>
      </x:c>
      <x:c r="O1104" s="38" t="n">
        <x:f>IF(AND(G1104="RECORDED",ISNUMBER(H1104)),H1104,"")</x:f>
        <x:v>98.67</x:v>
      </x:c>
      <x:c r="P1104" s="34" t="str">
        <x:v>NOT_REVEALING</x:v>
      </x:c>
      <x:c r="Q1104" s="34" t="str">
        <x:v>Feedback-Directed Random Test Generation/Result_Round2/Codec_10/result.json</x:v>
      </x:c>
    </x:row>
    <x:row r="1105">
      <x:c r="A1105" s="34" t="str">
        <x:v>randoop</x:v>
      </x:c>
      <x:c r="B1105" s="34" t="str">
        <x:v>Codec</x:v>
      </x:c>
      <x:c r="C1105" s="34" t="str">
        <x:v>Round2</x:v>
      </x:c>
      <x:c r="D1105" s="34" t="str">
        <x:v>Codec_11</x:v>
      </x:c>
      <x:c r="E1105" s="34" t="str">
        <x:v>Coverage</x:v>
      </x:c>
      <x:c r="F1105" s="34" t="n">
        <x:v>117</x:v>
      </x:c>
      <x:c r="G1105" s="34" t="str">
        <x:v>RECORDED</x:v>
      </x:c>
      <x:c r="H1105" s="38" t="n">
        <x:f>IF(ISNUMBER('Data'!G1105),'Data'!G1105*100,"")</x:f>
        <x:v>89.74</x:v>
      </x:c>
      <x:c r="I1105" s="34" t="str">
        <x:v>PASS</x:v>
      </x:c>
      <x:c r="J1105" s="34" t="str">
        <x:v>PASS</x:v>
      </x:c>
      <x:c r="K1105" s="34" t="str">
        <x:v>PASS</x:v>
      </x:c>
      <x:c r="L1105" s="34" t="str">
        <x:v>PASS</x:v>
      </x:c>
      <x:c r="M1105" s="34" t="str">
        <x:v>numeric coverage for applicable metric</x:v>
      </x:c>
      <x:c r="N1105" s="34" t="str">
        <x:v>Feedback-Directed Random Test Generation/Result_Round2/Codec_11/result.json</x:v>
      </x:c>
      <x:c r="O1105" s="38" t="n">
        <x:f>IF(AND(G1105="RECORDED",ISNUMBER(H1105)),H1105,"")</x:f>
        <x:v>89.74</x:v>
      </x:c>
      <x:c r="P1105" s="34" t="str">
        <x:v>INCONCLUSIVE</x:v>
      </x:c>
      <x:c r="Q1105" s="34" t="str">
        <x:v>Feedback-Directed Random Test Generation/Result_Round2/Codec_11/result.json</x:v>
      </x:c>
    </x:row>
    <x:row r="1106">
      <x:c r="A1106" s="34" t="str">
        <x:v>randoop</x:v>
      </x:c>
      <x:c r="B1106" s="34" t="str">
        <x:v>Codec</x:v>
      </x:c>
      <x:c r="C1106" s="34" t="str">
        <x:v>Round2</x:v>
      </x:c>
      <x:c r="D1106" s="34" t="str">
        <x:v>Codec_12</x:v>
      </x:c>
      <x:c r="E1106" s="34" t="str">
        <x:v>Coverage</x:v>
      </x:c>
      <x:c r="F1106" s="34" t="n">
        <x:v>57</x:v>
      </x:c>
      <x:c r="G1106" s="34" t="str">
        <x:v>RECORDED</x:v>
      </x:c>
      <x:c r="H1106" s="38" t="n">
        <x:f>IF(ISNUMBER('Data'!G1106),'Data'!G1106*100,"")</x:f>
        <x:v>54.39000000000001</x:v>
      </x:c>
      <x:c r="I1106" s="34" t="str">
        <x:v>PASS</x:v>
      </x:c>
      <x:c r="J1106" s="34" t="str">
        <x:v>PASS</x:v>
      </x:c>
      <x:c r="K1106" s="34" t="str">
        <x:v>PASS</x:v>
      </x:c>
      <x:c r="L1106" s="34" t="str">
        <x:v>PASS</x:v>
      </x:c>
      <x:c r="M1106" s="34" t="str">
        <x:v>numeric coverage for applicable metric</x:v>
      </x:c>
      <x:c r="N1106" s="34" t="str">
        <x:v>Feedback-Directed Random Test Generation/Result_Round2/Codec_12/result.json</x:v>
      </x:c>
      <x:c r="O1106" s="38" t="n">
        <x:f>IF(AND(G1106="RECORDED",ISNUMBER(H1106)),H1106,"")</x:f>
        <x:v>54.39000000000001</x:v>
      </x:c>
      <x:c r="P1106" s="34" t="str">
        <x:v>INCONCLUSIVE</x:v>
      </x:c>
      <x:c r="Q1106" s="34" t="str">
        <x:v>Feedback-Directed Random Test Generation/Result_Round2/Codec_12/result.json</x:v>
      </x:c>
    </x:row>
    <x:row r="1107">
      <x:c r="A1107" s="34" t="str">
        <x:v>randoop</x:v>
      </x:c>
      <x:c r="B1107" s="34" t="str">
        <x:v>Codec</x:v>
      </x:c>
      <x:c r="C1107" s="34" t="str">
        <x:v>Round2</x:v>
      </x:c>
      <x:c r="D1107" s="34" t="str">
        <x:v>Codec_13</x:v>
      </x:c>
      <x:c r="E1107" s="34" t="str">
        <x:v>Coverage</x:v>
      </x:c>
      <x:c r="F1107" s="34" t="n">
        <x:v>939</x:v>
      </x:c>
      <x:c r="G1107" s="34" t="str">
        <x:v>RECORDED</x:v>
      </x:c>
      <x:c r="H1107" s="38" t="n">
        <x:f>IF(ISNUMBER('Data'!G1107),'Data'!G1107*100,"")</x:f>
        <x:v>22.79</x:v>
      </x:c>
      <x:c r="I1107" s="34" t="str">
        <x:v>PASS</x:v>
      </x:c>
      <x:c r="J1107" s="34" t="str">
        <x:v>PASS</x:v>
      </x:c>
      <x:c r="K1107" s="34" t="str">
        <x:v>PASS</x:v>
      </x:c>
      <x:c r="L1107" s="34" t="str">
        <x:v>FAIL</x:v>
      </x:c>
      <x:c r="M1107" s="34" t="str">
        <x:v>numeric coverage for applicable metric</x:v>
      </x:c>
      <x:c r="N1107" s="34" t="str">
        <x:v>Feedback-Directed Random Test Generation/Result_Round2/Codec_13/result.json</x:v>
      </x:c>
      <x:c r="O1107" s="38" t="n">
        <x:f>IF(AND(G1107="RECORDED",ISNUMBER(H1107)),H1107,"")</x:f>
        <x:v>22.79</x:v>
      </x:c>
      <x:c r="P1107" s="34" t="str">
        <x:v>REVEALING</x:v>
      </x:c>
      <x:c r="Q1107" s="34" t="str">
        <x:v>Feedback-Directed Random Test Generation/Result_Round2/Codec_13/result.json</x:v>
      </x:c>
    </x:row>
    <x:row r="1108">
      <x:c r="A1108" s="34" t="str">
        <x:v>randoop</x:v>
      </x:c>
      <x:c r="B1108" s="34" t="str">
        <x:v>Codec</x:v>
      </x:c>
      <x:c r="C1108" s="34" t="str">
        <x:v>Round2</x:v>
      </x:c>
      <x:c r="D1108" s="34" t="str">
        <x:v>Codec_14</x:v>
      </x:c>
      <x:c r="E1108" s="34" t="str">
        <x:v>Coverage</x:v>
      </x:c>
      <x:c r="F1108" s="34" t="n">
        <x:v>0</x:v>
      </x:c>
      <x:c r="G1108" s="34" t="str">
        <x:v>A</x:v>
      </x:c>
      <x:c r="H1108" s="38" t="str">
        <x:f>IF(ISNUMBER('Data'!G1108),'Data'!G1108*100,"")</x:f>
      </x:c>
      <x:c r="I1108" s="34"/>
      <x:c r="J1108" s="34"/>
      <x:c r="K1108" s="34"/>
      <x:c r="L1108" s="34" t="str">
        <x:v>NOT_RUN</x:v>
      </x:c>
      <x:c r="M1108" s="34" t="str">
        <x:v>Latest same-round generation failed; older files/results are excluded</x:v>
      </x:c>
      <x:c r="N1108" s="34" t="str">
        <x:v>Feedback-Directed Random Test Generation/report_Round2.csv</x:v>
      </x:c>
      <x:c r="O1108" s="38" t="str">
        <x:f>IF(AND(G1108="RECORDED",ISNUMBER(H1108)),H1108,"")</x:f>
      </x:c>
      <x:c r="P1108" s="34" t="str">
        <x:v>FAIL</x:v>
      </x:c>
      <x:c r="Q1108" s="34"/>
    </x:row>
    <x:row r="1109">
      <x:c r="A1109" s="34" t="str">
        <x:v>randoop</x:v>
      </x:c>
      <x:c r="B1109" s="34" t="str">
        <x:v>Codec</x:v>
      </x:c>
      <x:c r="C1109" s="34" t="str">
        <x:v>Round2</x:v>
      </x:c>
      <x:c r="D1109" s="34" t="str">
        <x:v>Codec_15</x:v>
      </x:c>
      <x:c r="E1109" s="34" t="str">
        <x:v>Coverage</x:v>
      </x:c>
      <x:c r="F1109" s="34" t="n">
        <x:v>85</x:v>
      </x:c>
      <x:c r="G1109" s="34" t="str">
        <x:v>RECORDED</x:v>
      </x:c>
      <x:c r="H1109" s="38" t="n">
        <x:f>IF(ISNUMBER('Data'!G1109),'Data'!G1109*100,"")</x:f>
        <x:v>67.06</x:v>
      </x:c>
      <x:c r="I1109" s="34" t="str">
        <x:v>PASS</x:v>
      </x:c>
      <x:c r="J1109" s="34" t="str">
        <x:v>PASS</x:v>
      </x:c>
      <x:c r="K1109" s="34" t="str">
        <x:v>PASS</x:v>
      </x:c>
      <x:c r="L1109" s="34" t="str">
        <x:v>PASS</x:v>
      </x:c>
      <x:c r="M1109" s="34" t="str">
        <x:v>numeric coverage for applicable metric</x:v>
      </x:c>
      <x:c r="N1109" s="34" t="str">
        <x:v>Feedback-Directed Random Test Generation/Result_Round2/Codec_15/result.json</x:v>
      </x:c>
      <x:c r="O1109" s="38" t="n">
        <x:f>IF(AND(G1109="RECORDED",ISNUMBER(H1109)),H1109,"")</x:f>
        <x:v>67.06</x:v>
      </x:c>
      <x:c r="P1109" s="34" t="str">
        <x:v>NOT_REVEALING</x:v>
      </x:c>
      <x:c r="Q1109" s="34" t="str">
        <x:v>Feedback-Directed Random Test Generation/Result_Round2/Codec_15/result.json</x:v>
      </x:c>
    </x:row>
    <x:row r="1110">
      <x:c r="A1110" s="34" t="str">
        <x:v>randoop</x:v>
      </x:c>
      <x:c r="B1110" s="34" t="str">
        <x:v>Codec</x:v>
      </x:c>
      <x:c r="C1110" s="34" t="str">
        <x:v>Round2</x:v>
      </x:c>
      <x:c r="D1110" s="34" t="str">
        <x:v>Codec_16</x:v>
      </x:c>
      <x:c r="E1110" s="34" t="str">
        <x:v>Coverage</x:v>
      </x:c>
      <x:c r="F1110" s="34" t="n">
        <x:v>241</x:v>
      </x:c>
      <x:c r="G1110" s="34" t="str">
        <x:v>RECORDED</x:v>
      </x:c>
      <x:c r="H1110" s="38" t="n">
        <x:f>IF(ISNUMBER('Data'!G1110),'Data'!G1110*100,"")</x:f>
        <x:v>96.68</x:v>
      </x:c>
      <x:c r="I1110" s="34" t="str">
        <x:v>PASS</x:v>
      </x:c>
      <x:c r="J1110" s="34" t="str">
        <x:v>PASS</x:v>
      </x:c>
      <x:c r="K1110" s="34" t="str">
        <x:v>PASS</x:v>
      </x:c>
      <x:c r="L1110" s="34" t="str">
        <x:v>PASS</x:v>
      </x:c>
      <x:c r="M1110" s="34" t="str">
        <x:v>numeric coverage for applicable metric</x:v>
      </x:c>
      <x:c r="N1110" s="34" t="str">
        <x:v>Feedback-Directed Random Test Generation/Result_Round2/Codec_16/result.json</x:v>
      </x:c>
      <x:c r="O1110" s="38" t="n">
        <x:f>IF(AND(G1110="RECORDED",ISNUMBER(H1110)),H1110,"")</x:f>
        <x:v>96.68</x:v>
      </x:c>
      <x:c r="P1110" s="34" t="str">
        <x:v>INCONCLUSIVE</x:v>
      </x:c>
      <x:c r="Q1110" s="34" t="str">
        <x:v>Feedback-Directed Random Test Generation/Result_Round2/Codec_16/result.json</x:v>
      </x:c>
    </x:row>
    <x:row r="1111">
      <x:c r="A1111" s="34" t="str">
        <x:v>randoop</x:v>
      </x:c>
      <x:c r="B1111" s="34" t="str">
        <x:v>Codec</x:v>
      </x:c>
      <x:c r="C1111" s="34" t="str">
        <x:v>Round2</x:v>
      </x:c>
      <x:c r="D1111" s="34" t="str">
        <x:v>Codec_17</x:v>
      </x:c>
      <x:c r="E1111" s="34" t="str">
        <x:v>Coverage</x:v>
      </x:c>
      <x:c r="F1111" s="34" t="n">
        <x:v>59</x:v>
      </x:c>
      <x:c r="G1111" s="34" t="str">
        <x:v>RECORDED</x:v>
      </x:c>
      <x:c r="H1111" s="38" t="n">
        <x:f>IF(ISNUMBER('Data'!G1111),'Data'!G1111*100,"")</x:f>
        <x:v>84.75</x:v>
      </x:c>
      <x:c r="I1111" s="34" t="str">
        <x:v>PASS</x:v>
      </x:c>
      <x:c r="J1111" s="34" t="str">
        <x:v>PASS</x:v>
      </x:c>
      <x:c r="K1111" s="34" t="str">
        <x:v>PASS</x:v>
      </x:c>
      <x:c r="L1111" s="34" t="str">
        <x:v>PASS</x:v>
      </x:c>
      <x:c r="M1111" s="34" t="str">
        <x:v>numeric coverage for applicable metric</x:v>
      </x:c>
      <x:c r="N1111" s="34" t="str">
        <x:v>Feedback-Directed Random Test Generation/Result_Round2/Codec_17/result.json</x:v>
      </x:c>
      <x:c r="O1111" s="38" t="n">
        <x:f>IF(AND(G1111="RECORDED",ISNUMBER(H1111)),H1111,"")</x:f>
        <x:v>84.75</x:v>
      </x:c>
      <x:c r="P1111" s="34" t="str">
        <x:v>INCONCLUSIVE</x:v>
      </x:c>
      <x:c r="Q1111" s="34" t="str">
        <x:v>Feedback-Directed Random Test Generation/Result_Round2/Codec_17/result.json</x:v>
      </x:c>
    </x:row>
    <x:row r="1112">
      <x:c r="A1112" s="34" t="str">
        <x:v>randoop</x:v>
      </x:c>
      <x:c r="B1112" s="34" t="str">
        <x:v>Codec</x:v>
      </x:c>
      <x:c r="C1112" s="34" t="str">
        <x:v>Round2</x:v>
      </x:c>
      <x:c r="D1112" s="34" t="str">
        <x:v>Codec_18</x:v>
      </x:c>
      <x:c r="E1112" s="34" t="str">
        <x:v>Coverage</x:v>
      </x:c>
      <x:c r="F1112" s="34" t="n">
        <x:v>59</x:v>
      </x:c>
      <x:c r="G1112" s="34" t="str">
        <x:v>RECORDED</x:v>
      </x:c>
      <x:c r="H1112" s="38" t="n">
        <x:f>IF(ISNUMBER('Data'!G1112),'Data'!G1112*100,"")</x:f>
        <x:v>84.75</x:v>
      </x:c>
      <x:c r="I1112" s="34" t="str">
        <x:v>PASS</x:v>
      </x:c>
      <x:c r="J1112" s="34" t="str">
        <x:v>PASS</x:v>
      </x:c>
      <x:c r="K1112" s="34" t="str">
        <x:v>PASS</x:v>
      </x:c>
      <x:c r="L1112" s="34" t="str">
        <x:v>PASS</x:v>
      </x:c>
      <x:c r="M1112" s="34" t="str">
        <x:v>numeric coverage for applicable metric</x:v>
      </x:c>
      <x:c r="N1112" s="34" t="str">
        <x:v>Feedback-Directed Random Test Generation/Result_Round2/Codec_18/result.json</x:v>
      </x:c>
      <x:c r="O1112" s="38" t="n">
        <x:f>IF(AND(G1112="RECORDED",ISNUMBER(H1112)),H1112,"")</x:f>
        <x:v>84.75</x:v>
      </x:c>
      <x:c r="P1112" s="34" t="str">
        <x:v>NOT_REVEALING</x:v>
      </x:c>
      <x:c r="Q1112" s="34" t="str">
        <x:v>Feedback-Directed Random Test Generation/Result_Round2/Codec_18/result.json</x:v>
      </x:c>
    </x:row>
    <x:row r="1113">
      <x:c r="A1113" s="34" t="str">
        <x:v>randoop</x:v>
      </x:c>
      <x:c r="B1113" s="34" t="str">
        <x:v>Collections</x:v>
      </x:c>
      <x:c r="C1113" s="34" t="str">
        <x:v>Round2</x:v>
      </x:c>
      <x:c r="D1113" s="34" t="str">
        <x:v>Collections_1</x:v>
      </x:c>
      <x:c r="E1113" s="34" t="str">
        <x:v>Coverage</x:v>
      </x:c>
      <x:c r="F1113" s="34" t="n">
        <x:v>867</x:v>
      </x:c>
      <x:c r="G1113" s="34" t="str">
        <x:v>RECORDED</x:v>
      </x:c>
      <x:c r="H1113" s="38" t="n">
        <x:f>IF(ISNUMBER('Data'!G1113),'Data'!G1113*100,"")</x:f>
        <x:v>45.56</x:v>
      </x:c>
      <x:c r="I1113" s="34" t="str">
        <x:v>PASS</x:v>
      </x:c>
      <x:c r="J1113" s="34" t="str">
        <x:v>PASS</x:v>
      </x:c>
      <x:c r="K1113" s="34" t="str">
        <x:v>PASS</x:v>
      </x:c>
      <x:c r="L1113" s="34" t="str">
        <x:v>FAIL</x:v>
      </x:c>
      <x:c r="M1113" s="34" t="str">
        <x:v>numeric coverage for applicable metric</x:v>
      </x:c>
      <x:c r="N1113" s="34" t="str">
        <x:v>Feedback-Directed Random Test Generation/Result_Round2/Collections_1/result.json</x:v>
      </x:c>
      <x:c r="O1113" s="38" t="n">
        <x:f>IF(AND(G1113="RECORDED",ISNUMBER(H1113)),H1113,"")</x:f>
        <x:v>45.56</x:v>
      </x:c>
      <x:c r="P1113" s="34" t="str">
        <x:v>INCONCLUSIVE</x:v>
      </x:c>
      <x:c r="Q1113" s="34" t="str">
        <x:v>Feedback-Directed Random Test Generation/Result_Round2/Collections_1/result.json</x:v>
      </x:c>
    </x:row>
    <x:row r="1114">
      <x:c r="A1114" s="34" t="str">
        <x:v>randoop</x:v>
      </x:c>
      <x:c r="B1114" s="34" t="str">
        <x:v>Collections</x:v>
      </x:c>
      <x:c r="C1114" s="34" t="str">
        <x:v>Round2</x:v>
      </x:c>
      <x:c r="D1114" s="34" t="str">
        <x:v>Collections_2</x:v>
      </x:c>
      <x:c r="E1114" s="34" t="str">
        <x:v>Coverage</x:v>
      </x:c>
      <x:c r="F1114" s="34" t="n">
        <x:v>733</x:v>
      </x:c>
      <x:c r="G1114" s="34" t="str">
        <x:v>RECORDED</x:v>
      </x:c>
      <x:c r="H1114" s="38" t="n">
        <x:f>IF(ISNUMBER('Data'!G1114),'Data'!G1114*100,"")</x:f>
        <x:v>56.07</x:v>
      </x:c>
      <x:c r="I1114" s="34" t="str">
        <x:v>PASS</x:v>
      </x:c>
      <x:c r="J1114" s="34" t="str">
        <x:v>PASS</x:v>
      </x:c>
      <x:c r="K1114" s="34" t="str">
        <x:v>PASS</x:v>
      </x:c>
      <x:c r="L1114" s="34" t="str">
        <x:v>PASS</x:v>
      </x:c>
      <x:c r="M1114" s="34" t="str">
        <x:v>numeric coverage for applicable metric</x:v>
      </x:c>
      <x:c r="N1114" s="34" t="str">
        <x:v>Feedback-Directed Random Test Generation/Result_Round2/Collections_2/result.json</x:v>
      </x:c>
      <x:c r="O1114" s="38" t="n">
        <x:f>IF(AND(G1114="RECORDED",ISNUMBER(H1114)),H1114,"")</x:f>
        <x:v>56.07</x:v>
      </x:c>
      <x:c r="P1114" s="34" t="str">
        <x:v>INCONCLUSIVE</x:v>
      </x:c>
      <x:c r="Q1114" s="34" t="str">
        <x:v>Feedback-Directed Random Test Generation/Result_Round2/Collections_2/result.json</x:v>
      </x:c>
    </x:row>
    <x:row r="1115">
      <x:c r="A1115" s="34" t="str">
        <x:v>randoop</x:v>
      </x:c>
      <x:c r="B1115" s="34" t="str">
        <x:v>Collections</x:v>
      </x:c>
      <x:c r="C1115" s="34" t="str">
        <x:v>Round2</x:v>
      </x:c>
      <x:c r="D1115" s="34" t="str">
        <x:v>Collections_3</x:v>
      </x:c>
      <x:c r="E1115" s="34" t="str">
        <x:v>Coverage</x:v>
      </x:c>
      <x:c r="F1115" s="34" t="n">
        <x:v>573</x:v>
      </x:c>
      <x:c r="G1115" s="34" t="str">
        <x:v>RECORDED</x:v>
      </x:c>
      <x:c r="H1115" s="38" t="n">
        <x:f>IF(ISNUMBER('Data'!G1115),'Data'!G1115*100,"")</x:f>
        <x:v>56.720000000000006</x:v>
      </x:c>
      <x:c r="I1115" s="34" t="str">
        <x:v>PASS</x:v>
      </x:c>
      <x:c r="J1115" s="34" t="str">
        <x:v>PASS</x:v>
      </x:c>
      <x:c r="K1115" s="34" t="str">
        <x:v>PASS</x:v>
      </x:c>
      <x:c r="L1115" s="34" t="str">
        <x:v>FAIL</x:v>
      </x:c>
      <x:c r="M1115" s="34" t="str">
        <x:v>numeric coverage for applicable metric</x:v>
      </x:c>
      <x:c r="N1115" s="34" t="str">
        <x:v>Feedback-Directed Random Test Generation/Result_Round2/Collections_3/result.json</x:v>
      </x:c>
      <x:c r="O1115" s="38" t="n">
        <x:f>IF(AND(G1115="RECORDED",ISNUMBER(H1115)),H1115,"")</x:f>
        <x:v>56.720000000000006</x:v>
      </x:c>
      <x:c r="P1115" s="34" t="str">
        <x:v>INCONCLUSIVE</x:v>
      </x:c>
      <x:c r="Q1115" s="34" t="str">
        <x:v>Feedback-Directed Random Test Generation/Result_Round2/Collections_3/result.json</x:v>
      </x:c>
    </x:row>
    <x:row r="1116">
      <x:c r="A1116" s="34" t="str">
        <x:v>randoop</x:v>
      </x:c>
      <x:c r="B1116" s="34" t="str">
        <x:v>Collections</x:v>
      </x:c>
      <x:c r="C1116" s="34" t="str">
        <x:v>Round2</x:v>
      </x:c>
      <x:c r="D1116" s="34" t="str">
        <x:v>Collections_4</x:v>
      </x:c>
      <x:c r="E1116" s="34" t="str">
        <x:v>Coverage</x:v>
      </x:c>
      <x:c r="F1116" s="34" t="n">
        <x:v>159</x:v>
      </x:c>
      <x:c r="G1116" s="34" t="str">
        <x:v>RECORDED</x:v>
      </x:c>
      <x:c r="H1116" s="38" t="n">
        <x:f>IF(ISNUMBER('Data'!G1116),'Data'!G1116*100,"")</x:f>
        <x:v>80.5</x:v>
      </x:c>
      <x:c r="I1116" s="34" t="str">
        <x:v>PASS</x:v>
      </x:c>
      <x:c r="J1116" s="34" t="str">
        <x:v>PASS</x:v>
      </x:c>
      <x:c r="K1116" s="34" t="str">
        <x:v>PASS</x:v>
      </x:c>
      <x:c r="L1116" s="34" t="str">
        <x:v>FAIL</x:v>
      </x:c>
      <x:c r="M1116" s="34" t="str">
        <x:v>numeric coverage for applicable metric</x:v>
      </x:c>
      <x:c r="N1116" s="34" t="str">
        <x:v>Feedback-Directed Random Test Generation/Result_Round2/Collections_4/result.json</x:v>
      </x:c>
      <x:c r="O1116" s="38" t="n">
        <x:f>IF(AND(G1116="RECORDED",ISNUMBER(H1116)),H1116,"")</x:f>
        <x:v>80.5</x:v>
      </x:c>
      <x:c r="P1116" s="34" t="str">
        <x:v>INCONCLUSIVE</x:v>
      </x:c>
      <x:c r="Q1116" s="34" t="str">
        <x:v>Feedback-Directed Random Test Generation/Result_Round2/Collections_4/result.json</x:v>
      </x:c>
    </x:row>
    <x:row r="1117">
      <x:c r="A1117" s="34" t="str">
        <x:v>randoop</x:v>
      </x:c>
      <x:c r="B1117" s="34" t="str">
        <x:v>Collections</x:v>
      </x:c>
      <x:c r="C1117" s="34" t="str">
        <x:v>Round2</x:v>
      </x:c>
      <x:c r="D1117" s="34" t="str">
        <x:v>Collections_5</x:v>
      </x:c>
      <x:c r="E1117" s="34" t="str">
        <x:v>Coverage</x:v>
      </x:c>
      <x:c r="F1117" s="34" t="n">
        <x:v>102</x:v>
      </x:c>
      <x:c r="G1117" s="34" t="str">
        <x:v>RECORDED</x:v>
      </x:c>
      <x:c r="H1117" s="38" t="n">
        <x:f>IF(ISNUMBER('Data'!G1117),'Data'!G1117*100,"")</x:f>
        <x:v>5.88</x:v>
      </x:c>
      <x:c r="I1117" s="34" t="str">
        <x:v>PASS</x:v>
      </x:c>
      <x:c r="J1117" s="34" t="str">
        <x:v>PASS</x:v>
      </x:c>
      <x:c r="K1117" s="34" t="str">
        <x:v>PASS</x:v>
      </x:c>
      <x:c r="L1117" s="34" t="str">
        <x:v>PASS</x:v>
      </x:c>
      <x:c r="M1117" s="34" t="str">
        <x:v>numeric coverage for applicable metric</x:v>
      </x:c>
      <x:c r="N1117" s="34" t="str">
        <x:v>Feedback-Directed Random Test Generation/Result_Round2/Collections_5/result.json</x:v>
      </x:c>
      <x:c r="O1117" s="38" t="n">
        <x:f>IF(AND(G1117="RECORDED",ISNUMBER(H1117)),H1117,"")</x:f>
        <x:v>5.88</x:v>
      </x:c>
      <x:c r="P1117" s="34" t="str">
        <x:v>NOT_REVEALING</x:v>
      </x:c>
      <x:c r="Q1117" s="34" t="str">
        <x:v>Feedback-Directed Random Test Generation/Result_Round2/Collections_5/result.json</x:v>
      </x:c>
    </x:row>
    <x:row r="1118">
      <x:c r="A1118" s="34" t="str">
        <x:v>randoop</x:v>
      </x:c>
      <x:c r="B1118" s="34" t="str">
        <x:v>Collections</x:v>
      </x:c>
      <x:c r="C1118" s="34" t="str">
        <x:v>Round2</x:v>
      </x:c>
      <x:c r="D1118" s="34" t="str">
        <x:v>Collections_6</x:v>
      </x:c>
      <x:c r="E1118" s="34" t="str">
        <x:v>Coverage</x:v>
      </x:c>
      <x:c r="F1118" s="34" t="n">
        <x:v>871</x:v>
      </x:c>
      <x:c r="G1118" s="34" t="str">
        <x:v>RECORDED</x:v>
      </x:c>
      <x:c r="H1118" s="38" t="n">
        <x:f>IF(ISNUMBER('Data'!G1118),'Data'!G1118*100,"")</x:f>
        <x:v>46.04</x:v>
      </x:c>
      <x:c r="I1118" s="34" t="str">
        <x:v>PASS</x:v>
      </x:c>
      <x:c r="J1118" s="34" t="str">
        <x:v>PASS</x:v>
      </x:c>
      <x:c r="K1118" s="34" t="str">
        <x:v>PASS</x:v>
      </x:c>
      <x:c r="L1118" s="34" t="str">
        <x:v>FAIL</x:v>
      </x:c>
      <x:c r="M1118" s="34" t="str">
        <x:v>numeric coverage for applicable metric</x:v>
      </x:c>
      <x:c r="N1118" s="34" t="str">
        <x:v>Feedback-Directed Random Test Generation/Result_Round2/Collections_6/result.json</x:v>
      </x:c>
      <x:c r="O1118" s="38" t="n">
        <x:f>IF(AND(G1118="RECORDED",ISNUMBER(H1118)),H1118,"")</x:f>
        <x:v>46.04</x:v>
      </x:c>
      <x:c r="P1118" s="34" t="str">
        <x:v>INCONCLUSIVE</x:v>
      </x:c>
      <x:c r="Q1118" s="34" t="str">
        <x:v>Feedback-Directed Random Test Generation/Result_Round2/Collections_6/result.json</x:v>
      </x:c>
    </x:row>
    <x:row r="1119">
      <x:c r="A1119" s="34" t="str">
        <x:v>randoop</x:v>
      </x:c>
      <x:c r="B1119" s="34" t="str">
        <x:v>Collections</x:v>
      </x:c>
      <x:c r="C1119" s="34" t="str">
        <x:v>Round2</x:v>
      </x:c>
      <x:c r="D1119" s="34" t="str">
        <x:v>Collections_7</x:v>
      </x:c>
      <x:c r="E1119" s="34" t="str">
        <x:v>Coverage</x:v>
      </x:c>
      <x:c r="F1119" s="34" t="n">
        <x:v>763</x:v>
      </x:c>
      <x:c r="G1119" s="34" t="str">
        <x:v>RECORDED</x:v>
      </x:c>
      <x:c r="H1119" s="38" t="n">
        <x:f>IF(ISNUMBER('Data'!G1119),'Data'!G1119*100,"")</x:f>
        <x:v>54.65</x:v>
      </x:c>
      <x:c r="I1119" s="34" t="str">
        <x:v>PASS</x:v>
      </x:c>
      <x:c r="J1119" s="34" t="str">
        <x:v>PASS</x:v>
      </x:c>
      <x:c r="K1119" s="34" t="str">
        <x:v>PASS</x:v>
      </x:c>
      <x:c r="L1119" s="34" t="str">
        <x:v>FAIL</x:v>
      </x:c>
      <x:c r="M1119" s="34" t="str">
        <x:v>numeric coverage for applicable metric</x:v>
      </x:c>
      <x:c r="N1119" s="34" t="str">
        <x:v>Feedback-Directed Random Test Generation/Result_Round2/Collections_7/result.json</x:v>
      </x:c>
      <x:c r="O1119" s="38" t="n">
        <x:f>IF(AND(G1119="RECORDED",ISNUMBER(H1119)),H1119,"")</x:f>
        <x:v>54.65</x:v>
      </x:c>
      <x:c r="P1119" s="34" t="str">
        <x:v>INCONCLUSIVE</x:v>
      </x:c>
      <x:c r="Q1119" s="34" t="str">
        <x:v>Feedback-Directed Random Test Generation/Result_Round2/Collections_7/result.json</x:v>
      </x:c>
    </x:row>
    <x:row r="1120">
      <x:c r="A1120" s="34" t="str">
        <x:v>randoop</x:v>
      </x:c>
      <x:c r="B1120" s="34" t="str">
        <x:v>Collections</x:v>
      </x:c>
      <x:c r="C1120" s="34" t="str">
        <x:v>Round2</x:v>
      </x:c>
      <x:c r="D1120" s="34" t="str">
        <x:v>Collections_8</x:v>
      </x:c>
      <x:c r="E1120" s="34" t="str">
        <x:v>Coverage</x:v>
      </x:c>
      <x:c r="F1120" s="34" t="n">
        <x:v>124</x:v>
      </x:c>
      <x:c r="G1120" s="34" t="str">
        <x:v>RECORDED</x:v>
      </x:c>
      <x:c r="H1120" s="38" t="n">
        <x:f>IF(ISNUMBER('Data'!G1120),'Data'!G1120*100,"")</x:f>
        <x:v>61.29</x:v>
      </x:c>
      <x:c r="I1120" s="34" t="str">
        <x:v>PASS</x:v>
      </x:c>
      <x:c r="J1120" s="34" t="str">
        <x:v>PASS</x:v>
      </x:c>
      <x:c r="K1120" s="34" t="str">
        <x:v>PASS</x:v>
      </x:c>
      <x:c r="L1120" s="34" t="str">
        <x:v>PASS</x:v>
      </x:c>
      <x:c r="M1120" s="34" t="str">
        <x:v>numeric coverage for applicable metric</x:v>
      </x:c>
      <x:c r="N1120" s="34" t="str">
        <x:v>Feedback-Directed Random Test Generation/Result_Round2/Collections_8/result.json</x:v>
      </x:c>
      <x:c r="O1120" s="38" t="n">
        <x:f>IF(AND(G1120="RECORDED",ISNUMBER(H1120)),H1120,"")</x:f>
        <x:v>61.29</x:v>
      </x:c>
      <x:c r="P1120" s="34" t="str">
        <x:v>NOT_REVEALING</x:v>
      </x:c>
      <x:c r="Q1120" s="34" t="str">
        <x:v>Feedback-Directed Random Test Generation/Result_Round2/Collections_8/result.json</x:v>
      </x:c>
    </x:row>
    <x:row r="1121">
      <x:c r="A1121" s="34" t="str">
        <x:v>randoop</x:v>
      </x:c>
      <x:c r="B1121" s="34" t="str">
        <x:v>Collections</x:v>
      </x:c>
      <x:c r="C1121" s="34" t="str">
        <x:v>Round2</x:v>
      </x:c>
      <x:c r="D1121" s="34" t="str">
        <x:v>Collections_9</x:v>
      </x:c>
      <x:c r="E1121" s="34" t="str">
        <x:v>Coverage</x:v>
      </x:c>
      <x:c r="F1121" s="34" t="n">
        <x:v>771</x:v>
      </x:c>
      <x:c r="G1121" s="34" t="str">
        <x:v>RECORDED</x:v>
      </x:c>
      <x:c r="H1121" s="38" t="n">
        <x:f>IF(ISNUMBER('Data'!G1121),'Data'!G1121*100,"")</x:f>
        <x:v>54.6</x:v>
      </x:c>
      <x:c r="I1121" s="34" t="str">
        <x:v>PASS</x:v>
      </x:c>
      <x:c r="J1121" s="34" t="str">
        <x:v>PASS</x:v>
      </x:c>
      <x:c r="K1121" s="34" t="str">
        <x:v>PASS</x:v>
      </x:c>
      <x:c r="L1121" s="34" t="str">
        <x:v>PASS</x:v>
      </x:c>
      <x:c r="M1121" s="34" t="str">
        <x:v>numeric coverage for applicable metric</x:v>
      </x:c>
      <x:c r="N1121" s="34" t="str">
        <x:v>Feedback-Directed Random Test Generation/Result_Round2/Collections_9/result.json</x:v>
      </x:c>
      <x:c r="O1121" s="38" t="n">
        <x:f>IF(AND(G1121="RECORDED",ISNUMBER(H1121)),H1121,"")</x:f>
        <x:v>54.6</x:v>
      </x:c>
      <x:c r="P1121" s="34" t="str">
        <x:v>NOT_REVEALING</x:v>
      </x:c>
      <x:c r="Q1121" s="34" t="str">
        <x:v>Feedback-Directed Random Test Generation/Result_Round2/Collections_9/result.json</x:v>
      </x:c>
    </x:row>
    <x:row r="1122">
      <x:c r="A1122" s="34" t="str">
        <x:v>randoop</x:v>
      </x:c>
      <x:c r="B1122" s="34" t="str">
        <x:v>Collections</x:v>
      </x:c>
      <x:c r="C1122" s="34" t="str">
        <x:v>Round2</x:v>
      </x:c>
      <x:c r="D1122" s="34" t="str">
        <x:v>Collections_10</x:v>
      </x:c>
      <x:c r="E1122" s="34" t="str">
        <x:v>Coverage</x:v>
      </x:c>
      <x:c r="F1122" s="34" t="n">
        <x:v>167</x:v>
      </x:c>
      <x:c r="G1122" s="34" t="str">
        <x:v>RECORDED</x:v>
      </x:c>
      <x:c r="H1122" s="38" t="n">
        <x:f>IF(ISNUMBER('Data'!G1122),'Data'!G1122*100,"")</x:f>
        <x:v>78.44</x:v>
      </x:c>
      <x:c r="I1122" s="34" t="str">
        <x:v>PASS</x:v>
      </x:c>
      <x:c r="J1122" s="34" t="str">
        <x:v>PASS</x:v>
      </x:c>
      <x:c r="K1122" s="34" t="str">
        <x:v>PASS</x:v>
      </x:c>
      <x:c r="L1122" s="34" t="str">
        <x:v>PASS</x:v>
      </x:c>
      <x:c r="M1122" s="34" t="str">
        <x:v>numeric coverage for applicable metric</x:v>
      </x:c>
      <x:c r="N1122" s="34" t="str">
        <x:v>Feedback-Directed Random Test Generation/Result_Round2/Collections_10/result.json</x:v>
      </x:c>
      <x:c r="O1122" s="38" t="n">
        <x:f>IF(AND(G1122="RECORDED",ISNUMBER(H1122)),H1122,"")</x:f>
        <x:v>78.44</x:v>
      </x:c>
      <x:c r="P1122" s="34" t="str">
        <x:v>NOT_REVEALING</x:v>
      </x:c>
      <x:c r="Q1122" s="34" t="str">
        <x:v>Feedback-Directed Random Test Generation/Result_Round2/Collections_10/result.json</x:v>
      </x:c>
    </x:row>
    <x:row r="1123">
      <x:c r="A1123" s="34" t="str">
        <x:v>randoop</x:v>
      </x:c>
      <x:c r="B1123" s="34" t="str">
        <x:v>Collections</x:v>
      </x:c>
      <x:c r="C1123" s="34" t="str">
        <x:v>Round2</x:v>
      </x:c>
      <x:c r="D1123" s="34" t="str">
        <x:v>Collections_11</x:v>
      </x:c>
      <x:c r="E1123" s="34" t="str">
        <x:v>Coverage</x:v>
      </x:c>
      <x:c r="F1123" s="34" t="n">
        <x:v>47</x:v>
      </x:c>
      <x:c r="G1123" s="34" t="str">
        <x:v>RECORDED</x:v>
      </x:c>
      <x:c r="H1123" s="38" t="n">
        <x:f>IF(ISNUMBER('Data'!G1123),'Data'!G1123*100,"")</x:f>
        <x:v>95.74</x:v>
      </x:c>
      <x:c r="I1123" s="34" t="str">
        <x:v>PASS</x:v>
      </x:c>
      <x:c r="J1123" s="34" t="str">
        <x:v>PASS</x:v>
      </x:c>
      <x:c r="K1123" s="34" t="str">
        <x:v>PASS</x:v>
      </x:c>
      <x:c r="L1123" s="34" t="str">
        <x:v>PASS</x:v>
      </x:c>
      <x:c r="M1123" s="34" t="str">
        <x:v>numeric coverage for applicable metric</x:v>
      </x:c>
      <x:c r="N1123" s="34" t="str">
        <x:v>Feedback-Directed Random Test Generation/Result_Round2/Collections_11/result.json</x:v>
      </x:c>
      <x:c r="O1123" s="38" t="n">
        <x:f>IF(AND(G1123="RECORDED",ISNUMBER(H1123)),H1123,"")</x:f>
        <x:v>95.74</x:v>
      </x:c>
      <x:c r="P1123" s="34" t="str">
        <x:v>NOT_REVEALING</x:v>
      </x:c>
      <x:c r="Q1123" s="34" t="str">
        <x:v>Feedback-Directed Random Test Generation/Result_Round2/Collections_11/result.json</x:v>
      </x:c>
    </x:row>
    <x:row r="1124">
      <x:c r="A1124" s="34" t="str">
        <x:v>randoop</x:v>
      </x:c>
      <x:c r="B1124" s="34" t="str">
        <x:v>Collections</x:v>
      </x:c>
      <x:c r="C1124" s="34" t="str">
        <x:v>Round2</x:v>
      </x:c>
      <x:c r="D1124" s="34" t="str">
        <x:v>Collections_12</x:v>
      </x:c>
      <x:c r="E1124" s="34" t="str">
        <x:v>Coverage</x:v>
      </x:c>
      <x:c r="F1124" s="34" t="n">
        <x:v>767</x:v>
      </x:c>
      <x:c r="G1124" s="34" t="str">
        <x:v>RECORDED</x:v>
      </x:c>
      <x:c r="H1124" s="38" t="n">
        <x:f>IF(ISNUMBER('Data'!G1124),'Data'!G1124*100,"")</x:f>
        <x:v>54.63</x:v>
      </x:c>
      <x:c r="I1124" s="34" t="str">
        <x:v>PASS</x:v>
      </x:c>
      <x:c r="J1124" s="34" t="str">
        <x:v>PASS</x:v>
      </x:c>
      <x:c r="K1124" s="34" t="str">
        <x:v>PASS</x:v>
      </x:c>
      <x:c r="L1124" s="34" t="str">
        <x:v>PASS</x:v>
      </x:c>
      <x:c r="M1124" s="34" t="str">
        <x:v>numeric coverage for applicable metric</x:v>
      </x:c>
      <x:c r="N1124" s="34" t="str">
        <x:v>Feedback-Directed Random Test Generation/Result_Round2/Collections_12/result.json</x:v>
      </x:c>
      <x:c r="O1124" s="38" t="n">
        <x:f>IF(AND(G1124="RECORDED",ISNUMBER(H1124)),H1124,"")</x:f>
        <x:v>54.63</x:v>
      </x:c>
      <x:c r="P1124" s="34" t="str">
        <x:v>NOT_REVEALING</x:v>
      </x:c>
      <x:c r="Q1124" s="34" t="str">
        <x:v>Feedback-Directed Random Test Generation/Result_Round2/Collections_12/result.json</x:v>
      </x:c>
    </x:row>
    <x:row r="1125">
      <x:c r="A1125" s="34" t="str">
        <x:v>randoop</x:v>
      </x:c>
      <x:c r="B1125" s="34" t="str">
        <x:v>Collections</x:v>
      </x:c>
      <x:c r="C1125" s="34" t="str">
        <x:v>Round2</x:v>
      </x:c>
      <x:c r="D1125" s="34" t="str">
        <x:v>Collections_13</x:v>
      </x:c>
      <x:c r="E1125" s="34" t="str">
        <x:v>Coverage</x:v>
      </x:c>
      <x:c r="F1125" s="34" t="n">
        <x:v>768</x:v>
      </x:c>
      <x:c r="G1125" s="34" t="str">
        <x:v>RECORDED</x:v>
      </x:c>
      <x:c r="H1125" s="38" t="n">
        <x:f>IF(ISNUMBER('Data'!G1125),'Data'!G1125*100,"")</x:f>
        <x:v>54.949999999999996</x:v>
      </x:c>
      <x:c r="I1125" s="34" t="str">
        <x:v>PASS</x:v>
      </x:c>
      <x:c r="J1125" s="34" t="str">
        <x:v>PASS</x:v>
      </x:c>
      <x:c r="K1125" s="34" t="str">
        <x:v>PASS</x:v>
      </x:c>
      <x:c r="L1125" s="34" t="str">
        <x:v>PASS</x:v>
      </x:c>
      <x:c r="M1125" s="34" t="str">
        <x:v>numeric coverage for applicable metric</x:v>
      </x:c>
      <x:c r="N1125" s="34" t="str">
        <x:v>Feedback-Directed Random Test Generation/Result_Round2/Collections_13/result.json</x:v>
      </x:c>
      <x:c r="O1125" s="38" t="n">
        <x:f>IF(AND(G1125="RECORDED",ISNUMBER(H1125)),H1125,"")</x:f>
        <x:v>54.949999999999996</x:v>
      </x:c>
      <x:c r="P1125" s="34" t="str">
        <x:v>NOT_REVEALING</x:v>
      </x:c>
      <x:c r="Q1125" s="34" t="str">
        <x:v>Feedback-Directed Random Test Generation/Result_Round2/Collections_13/result.json</x:v>
      </x:c>
    </x:row>
    <x:row r="1126">
      <x:c r="A1126" s="34" t="str">
        <x:v>randoop</x:v>
      </x:c>
      <x:c r="B1126" s="34" t="str">
        <x:v>Collections</x:v>
      </x:c>
      <x:c r="C1126" s="34" t="str">
        <x:v>Round2</x:v>
      </x:c>
      <x:c r="D1126" s="34" t="str">
        <x:v>Collections_14</x:v>
      </x:c>
      <x:c r="E1126" s="34" t="str">
        <x:v>Coverage</x:v>
      </x:c>
      <x:c r="F1126" s="34" t="n">
        <x:v>20</x:v>
      </x:c>
      <x:c r="G1126" s="34" t="str">
        <x:v>RECORDED</x:v>
      </x:c>
      <x:c r="H1126" s="38" t="n">
        <x:f>IF(ISNUMBER('Data'!G1126),'Data'!G1126*100,"")</x:f>
        <x:v>70</x:v>
      </x:c>
      <x:c r="I1126" s="34" t="str">
        <x:v>PASS</x:v>
      </x:c>
      <x:c r="J1126" s="34" t="str">
        <x:v>PASS</x:v>
      </x:c>
      <x:c r="K1126" s="34" t="str">
        <x:v>PASS</x:v>
      </x:c>
      <x:c r="L1126" s="34" t="str">
        <x:v>PASS</x:v>
      </x:c>
      <x:c r="M1126" s="34" t="str">
        <x:v>numeric coverage for applicable metric</x:v>
      </x:c>
      <x:c r="N1126" s="34" t="str">
        <x:v>Feedback-Directed Random Test Generation/Result_Round2/Collections_14/result.json</x:v>
      </x:c>
      <x:c r="O1126" s="38" t="n">
        <x:f>IF(AND(G1126="RECORDED",ISNUMBER(H1126)),H1126,"")</x:f>
        <x:v>70</x:v>
      </x:c>
      <x:c r="P1126" s="34" t="str">
        <x:v>NOT_REVEALING</x:v>
      </x:c>
      <x:c r="Q1126" s="34" t="str">
        <x:v>Feedback-Directed Random Test Generation/Result_Round2/Collections_14/result.json</x:v>
      </x:c>
    </x:row>
    <x:row r="1127">
      <x:c r="A1127" s="34" t="str">
        <x:v>randoop</x:v>
      </x:c>
      <x:c r="B1127" s="34" t="str">
        <x:v>Collections</x:v>
      </x:c>
      <x:c r="C1127" s="34" t="str">
        <x:v>Round2</x:v>
      </x:c>
      <x:c r="D1127" s="34" t="str">
        <x:v>Collections_15</x:v>
      </x:c>
      <x:c r="E1127" s="34" t="str">
        <x:v>Coverage</x:v>
      </x:c>
      <x:c r="F1127" s="34" t="n">
        <x:v>108</x:v>
      </x:c>
      <x:c r="G1127" s="34" t="str">
        <x:v>RECORDED</x:v>
      </x:c>
      <x:c r="H1127" s="38" t="n">
        <x:f>IF(ISNUMBER('Data'!G1127),'Data'!G1127*100,"")</x:f>
        <x:v>5.56</x:v>
      </x:c>
      <x:c r="I1127" s="34" t="str">
        <x:v>PASS</x:v>
      </x:c>
      <x:c r="J1127" s="34" t="str">
        <x:v>PASS</x:v>
      </x:c>
      <x:c r="K1127" s="34" t="str">
        <x:v>PASS</x:v>
      </x:c>
      <x:c r="L1127" s="34" t="str">
        <x:v>PASS</x:v>
      </x:c>
      <x:c r="M1127" s="34" t="str">
        <x:v>numeric coverage for applicable metric</x:v>
      </x:c>
      <x:c r="N1127" s="34" t="str">
        <x:v>Feedback-Directed Random Test Generation/Result_Round2/Collections_15/result.json</x:v>
      </x:c>
      <x:c r="O1127" s="38" t="n">
        <x:f>IF(AND(G1127="RECORDED",ISNUMBER(H1127)),H1127,"")</x:f>
        <x:v>5.56</x:v>
      </x:c>
      <x:c r="P1127" s="34" t="str">
        <x:v>NOT_REVEALING</x:v>
      </x:c>
      <x:c r="Q1127" s="34" t="str">
        <x:v>Feedback-Directed Random Test Generation/Result_Round2/Collections_15/result.json</x:v>
      </x:c>
    </x:row>
    <x:row r="1128">
      <x:c r="A1128" s="34" t="str">
        <x:v>randoop</x:v>
      </x:c>
      <x:c r="B1128" s="34" t="str">
        <x:v>Collections</x:v>
      </x:c>
      <x:c r="C1128" s="34" t="str">
        <x:v>Round2</x:v>
      </x:c>
      <x:c r="D1128" s="34" t="str">
        <x:v>Collections_16</x:v>
      </x:c>
      <x:c r="E1128" s="34" t="str">
        <x:v>Coverage</x:v>
      </x:c>
      <x:c r="F1128" s="34" t="n">
        <x:v>108</x:v>
      </x:c>
      <x:c r="G1128" s="34" t="str">
        <x:v>RECORDED</x:v>
      </x:c>
      <x:c r="H1128" s="38" t="n">
        <x:f>IF(ISNUMBER('Data'!G1128),'Data'!G1128*100,"")</x:f>
        <x:v>5.56</x:v>
      </x:c>
      <x:c r="I1128" s="34" t="str">
        <x:v>PASS</x:v>
      </x:c>
      <x:c r="J1128" s="34" t="str">
        <x:v>PASS</x:v>
      </x:c>
      <x:c r="K1128" s="34" t="str">
        <x:v>PASS</x:v>
      </x:c>
      <x:c r="L1128" s="34" t="str">
        <x:v>PASS</x:v>
      </x:c>
      <x:c r="M1128" s="34" t="str">
        <x:v>numeric coverage for applicable metric</x:v>
      </x:c>
      <x:c r="N1128" s="34" t="str">
        <x:v>Feedback-Directed Random Test Generation/Result_Round2/Collections_16/result.json</x:v>
      </x:c>
      <x:c r="O1128" s="38" t="n">
        <x:f>IF(AND(G1128="RECORDED",ISNUMBER(H1128)),H1128,"")</x:f>
        <x:v>5.56</x:v>
      </x:c>
      <x:c r="P1128" s="34" t="str">
        <x:v>NOT_REVEALING</x:v>
      </x:c>
      <x:c r="Q1128" s="34" t="str">
        <x:v>Feedback-Directed Random Test Generation/Result_Round2/Collections_16/result.json</x:v>
      </x:c>
    </x:row>
    <x:row r="1129">
      <x:c r="A1129" s="34" t="str">
        <x:v>randoop</x:v>
      </x:c>
      <x:c r="B1129" s="34" t="str">
        <x:v>Collections</x:v>
      </x:c>
      <x:c r="C1129" s="34" t="str">
        <x:v>Round2</x:v>
      </x:c>
      <x:c r="D1129" s="34" t="str">
        <x:v>Collections_17</x:v>
      </x:c>
      <x:c r="E1129" s="34" t="str">
        <x:v>Coverage</x:v>
      </x:c>
      <x:c r="F1129" s="34" t="n">
        <x:v>18</x:v>
      </x:c>
      <x:c r="G1129" s="34" t="str">
        <x:v>RECORDED</x:v>
      </x:c>
      <x:c r="H1129" s="38" t="n">
        <x:f>IF(ISNUMBER('Data'!G1129),'Data'!G1129*100,"")</x:f>
        <x:v>72.22</x:v>
      </x:c>
      <x:c r="I1129" s="34" t="str">
        <x:v>PASS</x:v>
      </x:c>
      <x:c r="J1129" s="34" t="str">
        <x:v>PASS</x:v>
      </x:c>
      <x:c r="K1129" s="34" t="str">
        <x:v>PASS</x:v>
      </x:c>
      <x:c r="L1129" s="34" t="str">
        <x:v>PASS</x:v>
      </x:c>
      <x:c r="M1129" s="34" t="str">
        <x:v>numeric coverage for applicable metric</x:v>
      </x:c>
      <x:c r="N1129" s="34" t="str">
        <x:v>Feedback-Directed Random Test Generation/Result_Round2/Collections_17/result.json</x:v>
      </x:c>
      <x:c r="O1129" s="38" t="n">
        <x:f>IF(AND(G1129="RECORDED",ISNUMBER(H1129)),H1129,"")</x:f>
        <x:v>72.22</x:v>
      </x:c>
      <x:c r="P1129" s="34" t="str">
        <x:v>INCONCLUSIVE</x:v>
      </x:c>
      <x:c r="Q1129" s="34" t="str">
        <x:v>Feedback-Directed Random Test Generation/Result_Round2/Collections_17/result.json</x:v>
      </x:c>
    </x:row>
    <x:row r="1130">
      <x:c r="A1130" s="34" t="str">
        <x:v>randoop</x:v>
      </x:c>
      <x:c r="B1130" s="34" t="str">
        <x:v>Collections</x:v>
      </x:c>
      <x:c r="C1130" s="34" t="str">
        <x:v>Round2</x:v>
      </x:c>
      <x:c r="D1130" s="34" t="str">
        <x:v>Collections_18</x:v>
      </x:c>
      <x:c r="E1130" s="34" t="str">
        <x:v>Coverage</x:v>
      </x:c>
      <x:c r="F1130" s="34" t="n">
        <x:v>129</x:v>
      </x:c>
      <x:c r="G1130" s="34" t="str">
        <x:v>RECORDED</x:v>
      </x:c>
      <x:c r="H1130" s="38" t="n">
        <x:f>IF(ISNUMBER('Data'!G1130),'Data'!G1130*100,"")</x:f>
        <x:v>94.57</x:v>
      </x:c>
      <x:c r="I1130" s="34" t="str">
        <x:v>PASS</x:v>
      </x:c>
      <x:c r="J1130" s="34" t="str">
        <x:v>PASS</x:v>
      </x:c>
      <x:c r="K1130" s="34" t="str">
        <x:v>PASS</x:v>
      </x:c>
      <x:c r="L1130" s="34" t="str">
        <x:v>FAIL</x:v>
      </x:c>
      <x:c r="M1130" s="34" t="str">
        <x:v>numeric coverage for applicable metric</x:v>
      </x:c>
      <x:c r="N1130" s="34" t="str">
        <x:v>Feedback-Directed Random Test Generation/Result_Round2/Collections_18/result.json</x:v>
      </x:c>
      <x:c r="O1130" s="38" t="n">
        <x:f>IF(AND(G1130="RECORDED",ISNUMBER(H1130)),H1130,"")</x:f>
        <x:v>94.57</x:v>
      </x:c>
      <x:c r="P1130" s="34" t="str">
        <x:v>INCONCLUSIVE</x:v>
      </x:c>
      <x:c r="Q1130" s="34" t="str">
        <x:v>Feedback-Directed Random Test Generation/Result_Round2/Collections_18/result.json</x:v>
      </x:c>
    </x:row>
    <x:row r="1131">
      <x:c r="A1131" s="34" t="str">
        <x:v>randoop</x:v>
      </x:c>
      <x:c r="B1131" s="34" t="str">
        <x:v>Collections</x:v>
      </x:c>
      <x:c r="C1131" s="34" t="str">
        <x:v>Round2</x:v>
      </x:c>
      <x:c r="D1131" s="34" t="str">
        <x:v>Collections_19</x:v>
      </x:c>
      <x:c r="E1131" s="34" t="str">
        <x:v>Coverage</x:v>
      </x:c>
      <x:c r="F1131" s="34" t="n">
        <x:v>147</x:v>
      </x:c>
      <x:c r="G1131" s="34" t="str">
        <x:v>RECORDED</x:v>
      </x:c>
      <x:c r="H1131" s="38" t="n">
        <x:f>IF(ISNUMBER('Data'!G1131),'Data'!G1131*100,"")</x:f>
        <x:v>89.12</x:v>
      </x:c>
      <x:c r="I1131" s="34" t="str">
        <x:v>PASS</x:v>
      </x:c>
      <x:c r="J1131" s="34" t="str">
        <x:v>PASS</x:v>
      </x:c>
      <x:c r="K1131" s="34" t="str">
        <x:v>PASS</x:v>
      </x:c>
      <x:c r="L1131" s="34" t="str">
        <x:v>PASS</x:v>
      </x:c>
      <x:c r="M1131" s="34" t="str">
        <x:v>numeric coverage for applicable metric</x:v>
      </x:c>
      <x:c r="N1131" s="34" t="str">
        <x:v>Feedback-Directed Random Test Generation/Result_Round2/Collections_19/result.json</x:v>
      </x:c>
      <x:c r="O1131" s="38" t="n">
        <x:f>IF(AND(G1131="RECORDED",ISNUMBER(H1131)),H1131,"")</x:f>
        <x:v>89.12</x:v>
      </x:c>
      <x:c r="P1131" s="34" t="str">
        <x:v>NOT_REVEALING</x:v>
      </x:c>
      <x:c r="Q1131" s="34" t="str">
        <x:v>Feedback-Directed Random Test Generation/Result_Round2/Collections_19/result.json</x:v>
      </x:c>
    </x:row>
    <x:row r="1132">
      <x:c r="A1132" s="34" t="str">
        <x:v>randoop</x:v>
      </x:c>
      <x:c r="B1132" s="34" t="str">
        <x:v>Collections</x:v>
      </x:c>
      <x:c r="C1132" s="34" t="str">
        <x:v>Round2</x:v>
      </x:c>
      <x:c r="D1132" s="34" t="str">
        <x:v>Collections_20</x:v>
      </x:c>
      <x:c r="E1132" s="34" t="str">
        <x:v>Coverage</x:v>
      </x:c>
      <x:c r="F1132" s="34" t="n">
        <x:v>447</x:v>
      </x:c>
      <x:c r="G1132" s="34" t="str">
        <x:v>RECORDED</x:v>
      </x:c>
      <x:c r="H1132" s="38" t="n">
        <x:f>IF(ISNUMBER('Data'!G1132),'Data'!G1132*100,"")</x:f>
        <x:v>90.83</x:v>
      </x:c>
      <x:c r="I1132" s="34" t="str">
        <x:v>PASS</x:v>
      </x:c>
      <x:c r="J1132" s="34" t="str">
        <x:v>PASS</x:v>
      </x:c>
      <x:c r="K1132" s="34" t="str">
        <x:v>PASS</x:v>
      </x:c>
      <x:c r="L1132" s="34" t="str">
        <x:v>FAIL</x:v>
      </x:c>
      <x:c r="M1132" s="34" t="str">
        <x:v>numeric coverage for applicable metric</x:v>
      </x:c>
      <x:c r="N1132" s="34" t="str">
        <x:v>Feedback-Directed Random Test Generation/Result_Round2/Collections_20/result.json</x:v>
      </x:c>
      <x:c r="O1132" s="38" t="n">
        <x:f>IF(AND(G1132="RECORDED",ISNUMBER(H1132)),H1132,"")</x:f>
        <x:v>90.83</x:v>
      </x:c>
      <x:c r="P1132" s="34" t="str">
        <x:v>INCONCLUSIVE</x:v>
      </x:c>
      <x:c r="Q1132" s="34" t="str">
        <x:v>Feedback-Directed Random Test Generation/Result_Round2/Collections_20/result.json</x:v>
      </x:c>
    </x:row>
    <x:row r="1133">
      <x:c r="A1133" s="34" t="str">
        <x:v>randoop</x:v>
      </x:c>
      <x:c r="B1133" s="34" t="str">
        <x:v>Collections</x:v>
      </x:c>
      <x:c r="C1133" s="34" t="str">
        <x:v>Round2</x:v>
      </x:c>
      <x:c r="D1133" s="34" t="str">
        <x:v>Collections_21</x:v>
      </x:c>
      <x:c r="E1133" s="34" t="str">
        <x:v>Coverage</x:v>
      </x:c>
      <x:c r="F1133" s="34" t="n">
        <x:v>147</x:v>
      </x:c>
      <x:c r="G1133" s="34" t="str">
        <x:v>RECORDED</x:v>
      </x:c>
      <x:c r="H1133" s="38" t="n">
        <x:f>IF(ISNUMBER('Data'!G1133),'Data'!G1133*100,"")</x:f>
        <x:v>89.12</x:v>
      </x:c>
      <x:c r="I1133" s="34" t="str">
        <x:v>PASS</x:v>
      </x:c>
      <x:c r="J1133" s="34" t="str">
        <x:v>PASS</x:v>
      </x:c>
      <x:c r="K1133" s="34" t="str">
        <x:v>PASS</x:v>
      </x:c>
      <x:c r="L1133" s="34" t="str">
        <x:v>PASS</x:v>
      </x:c>
      <x:c r="M1133" s="34" t="str">
        <x:v>numeric coverage for applicable metric</x:v>
      </x:c>
      <x:c r="N1133" s="34" t="str">
        <x:v>Feedback-Directed Random Test Generation/Result_Round2/Collections_21/result.json</x:v>
      </x:c>
      <x:c r="O1133" s="38" t="n">
        <x:f>IF(AND(G1133="RECORDED",ISNUMBER(H1133)),H1133,"")</x:f>
        <x:v>89.12</x:v>
      </x:c>
      <x:c r="P1133" s="34" t="str">
        <x:v>NOT_REVEALING</x:v>
      </x:c>
      <x:c r="Q1133" s="34" t="str">
        <x:v>Feedback-Directed Random Test Generation/Result_Round2/Collections_21/result.json</x:v>
      </x:c>
    </x:row>
    <x:row r="1134">
      <x:c r="A1134" s="34" t="str">
        <x:v>randoop</x:v>
      </x:c>
      <x:c r="B1134" s="34" t="str">
        <x:v>Collections</x:v>
      </x:c>
      <x:c r="C1134" s="34" t="str">
        <x:v>Round2</x:v>
      </x:c>
      <x:c r="D1134" s="34" t="str">
        <x:v>Collections_22</x:v>
      </x:c>
      <x:c r="E1134" s="34" t="str">
        <x:v>Coverage</x:v>
      </x:c>
      <x:c r="F1134" s="34" t="n">
        <x:v>247</x:v>
      </x:c>
      <x:c r="G1134" s="34" t="str">
        <x:v>RECORDED</x:v>
      </x:c>
      <x:c r="H1134" s="38" t="n">
        <x:f>IF(ISNUMBER('Data'!G1134),'Data'!G1134*100,"")</x:f>
        <x:v>45.34</x:v>
      </x:c>
      <x:c r="I1134" s="34" t="str">
        <x:v>PASS</x:v>
      </x:c>
      <x:c r="J1134" s="34" t="str">
        <x:v>PASS</x:v>
      </x:c>
      <x:c r="K1134" s="34" t="str">
        <x:v>PASS</x:v>
      </x:c>
      <x:c r="L1134" s="34" t="str">
        <x:v>PASS</x:v>
      </x:c>
      <x:c r="M1134" s="34" t="str">
        <x:v>numeric coverage for applicable metric</x:v>
      </x:c>
      <x:c r="N1134" s="34" t="str">
        <x:v>Feedback-Directed Random Test Generation/Result_Round2/Collections_22/result.json</x:v>
      </x:c>
      <x:c r="O1134" s="38" t="n">
        <x:f>IF(AND(G1134="RECORDED",ISNUMBER(H1134)),H1134,"")</x:f>
        <x:v>45.34</x:v>
      </x:c>
      <x:c r="P1134" s="34" t="str">
        <x:v>NOT_REVEALING</x:v>
      </x:c>
      <x:c r="Q1134" s="34" t="str">
        <x:v>Feedback-Directed Random Test Generation/Result_Round2/Collections_22/result.json</x:v>
      </x:c>
    </x:row>
    <x:row r="1135">
      <x:c r="A1135" s="34" t="str">
        <x:v>randoop</x:v>
      </x:c>
      <x:c r="B1135" s="34" t="str">
        <x:v>Collections</x:v>
      </x:c>
      <x:c r="C1135" s="34" t="str">
        <x:v>Round2</x:v>
      </x:c>
      <x:c r="D1135" s="34" t="str">
        <x:v>Collections_23</x:v>
      </x:c>
      <x:c r="E1135" s="34" t="str">
        <x:v>Coverage</x:v>
      </x:c>
      <x:c r="F1135" s="34" t="n">
        <x:v>36</x:v>
      </x:c>
      <x:c r="G1135" s="34" t="str">
        <x:v>RECORDED</x:v>
      </x:c>
      <x:c r="H1135" s="38" t="n">
        <x:f>IF(ISNUMBER('Data'!G1135),'Data'!G1135*100,"")</x:f>
        <x:v>0</x:v>
      </x:c>
      <x:c r="I1135" s="34" t="str">
        <x:v>PASS</x:v>
      </x:c>
      <x:c r="J1135" s="34" t="str">
        <x:v>PASS</x:v>
      </x:c>
      <x:c r="K1135" s="34" t="str">
        <x:v>PASS</x:v>
      </x:c>
      <x:c r="L1135" s="34" t="str">
        <x:v>PASS</x:v>
      </x:c>
      <x:c r="M1135" s="34" t="str">
        <x:v>numeric coverage for applicable metric</x:v>
      </x:c>
      <x:c r="N1135" s="34" t="str">
        <x:v>Feedback-Directed Random Test Generation/Result_Round2/Collections_23/result.json</x:v>
      </x:c>
      <x:c r="O1135" s="38" t="n">
        <x:f>IF(AND(G1135="RECORDED",ISNUMBER(H1135)),H1135,"")</x:f>
        <x:v>0</x:v>
      </x:c>
      <x:c r="P1135" s="34" t="str">
        <x:v>NOT_REVEALING</x:v>
      </x:c>
      <x:c r="Q1135" s="34" t="str">
        <x:v>Feedback-Directed Random Test Generation/Result_Round2/Collections_23/result.json</x:v>
      </x:c>
    </x:row>
    <x:row r="1136">
      <x:c r="A1136" s="34" t="str">
        <x:v>randoop</x:v>
      </x:c>
      <x:c r="B1136" s="34" t="str">
        <x:v>Collections</x:v>
      </x:c>
      <x:c r="C1136" s="34" t="str">
        <x:v>Round2</x:v>
      </x:c>
      <x:c r="D1136" s="34" t="str">
        <x:v>Collections_24</x:v>
      </x:c>
      <x:c r="E1136" s="34" t="str">
        <x:v>Coverage</x:v>
      </x:c>
      <x:c r="F1136" s="34" t="n">
        <x:v>38</x:v>
      </x:c>
      <x:c r="G1136" s="34" t="str">
        <x:v>RECORDED</x:v>
      </x:c>
      <x:c r="H1136" s="38" t="n">
        <x:f>IF(ISNUMBER('Data'!G1136),'Data'!G1136*100,"")</x:f>
        <x:v>0</x:v>
      </x:c>
      <x:c r="I1136" s="34" t="str">
        <x:v>PASS</x:v>
      </x:c>
      <x:c r="J1136" s="34" t="str">
        <x:v>PASS</x:v>
      </x:c>
      <x:c r="K1136" s="34" t="str">
        <x:v>PASS</x:v>
      </x:c>
      <x:c r="L1136" s="34" t="str">
        <x:v>PASS</x:v>
      </x:c>
      <x:c r="M1136" s="34" t="str">
        <x:v>numeric coverage for applicable metric</x:v>
      </x:c>
      <x:c r="N1136" s="34" t="str">
        <x:v>Feedback-Directed Random Test Generation/Result_Round2/Collections_24/result.json</x:v>
      </x:c>
      <x:c r="O1136" s="38" t="n">
        <x:f>IF(AND(G1136="RECORDED",ISNUMBER(H1136)),H1136,"")</x:f>
        <x:v>0</x:v>
      </x:c>
      <x:c r="P1136" s="34" t="str">
        <x:v>NOT_REVEALING</x:v>
      </x:c>
      <x:c r="Q1136" s="34" t="str">
        <x:v>Feedback-Directed Random Test Generation/Result_Round2/Collections_24/result.json</x:v>
      </x:c>
    </x:row>
    <x:row r="1137">
      <x:c r="A1137" s="34" t="str">
        <x:v>randoop</x:v>
      </x:c>
      <x:c r="B1137" s="34" t="str">
        <x:v>Collections</x:v>
      </x:c>
      <x:c r="C1137" s="34" t="str">
        <x:v>Round2</x:v>
      </x:c>
      <x:c r="D1137" s="34" t="str">
        <x:v>Collections_25</x:v>
      </x:c>
      <x:c r="E1137" s="34" t="str">
        <x:v>Coverage</x:v>
      </x:c>
      <x:c r="F1137" s="34" t="n">
        <x:v>339</x:v>
      </x:c>
      <x:c r="G1137" s="34" t="str">
        <x:v>RECORDED</x:v>
      </x:c>
      <x:c r="H1137" s="38" t="n">
        <x:f>IF(ISNUMBER('Data'!G1137),'Data'!G1137*100,"")</x:f>
        <x:v>18.88</x:v>
      </x:c>
      <x:c r="I1137" s="34" t="str">
        <x:v>PASS</x:v>
      </x:c>
      <x:c r="J1137" s="34" t="str">
        <x:v>PASS</x:v>
      </x:c>
      <x:c r="K1137" s="34" t="str">
        <x:v>PASS</x:v>
      </x:c>
      <x:c r="L1137" s="34" t="str">
        <x:v>PASS</x:v>
      </x:c>
      <x:c r="M1137" s="34" t="str">
        <x:v>numeric coverage for applicable metric</x:v>
      </x:c>
      <x:c r="N1137" s="34" t="str">
        <x:v>Feedback-Directed Random Test Generation/Result_Round2/Collections_25/result.json</x:v>
      </x:c>
      <x:c r="O1137" s="38" t="n">
        <x:f>IF(AND(G1137="RECORDED",ISNUMBER(H1137)),H1137,"")</x:f>
        <x:v>18.88</x:v>
      </x:c>
      <x:c r="P1137" s="34" t="str">
        <x:v>NOT_REVEALING</x:v>
      </x:c>
      <x:c r="Q1137" s="34" t="str">
        <x:v>Feedback-Directed Random Test Generation/Result_Round2/Collections_25/result.json</x:v>
      </x:c>
    </x:row>
    <x:row r="1138">
      <x:c r="A1138" s="34" t="str">
        <x:v>randoop</x:v>
      </x:c>
      <x:c r="B1138" s="34" t="str">
        <x:v>Collections</x:v>
      </x:c>
      <x:c r="C1138" s="34" t="str">
        <x:v>Round2</x:v>
      </x:c>
      <x:c r="D1138" s="34" t="str">
        <x:v>Collections_26</x:v>
      </x:c>
      <x:c r="E1138" s="34" t="str">
        <x:v>Coverage</x:v>
      </x:c>
      <x:c r="F1138" s="34" t="n">
        <x:v>49</x:v>
      </x:c>
      <x:c r="G1138" s="34" t="str">
        <x:v>RECORDED</x:v>
      </x:c>
      <x:c r="H1138" s="38" t="n">
        <x:f>IF(ISNUMBER('Data'!G1138),'Data'!G1138*100,"")</x:f>
        <x:v>91.84</x:v>
      </x:c>
      <x:c r="I1138" s="34" t="str">
        <x:v>PASS</x:v>
      </x:c>
      <x:c r="J1138" s="34" t="str">
        <x:v>PASS</x:v>
      </x:c>
      <x:c r="K1138" s="34" t="str">
        <x:v>PASS</x:v>
      </x:c>
      <x:c r="L1138" s="34" t="str">
        <x:v>PASS</x:v>
      </x:c>
      <x:c r="M1138" s="34" t="str">
        <x:v>numeric coverage for applicable metric</x:v>
      </x:c>
      <x:c r="N1138" s="34" t="str">
        <x:v>Feedback-Directed Random Test Generation/Result_Round2/Collections_26/result.json</x:v>
      </x:c>
      <x:c r="O1138" s="38" t="n">
        <x:f>IF(AND(G1138="RECORDED",ISNUMBER(H1138)),H1138,"")</x:f>
        <x:v>91.84</x:v>
      </x:c>
      <x:c r="P1138" s="34" t="str">
        <x:v>NOT_REVEALING</x:v>
      </x:c>
      <x:c r="Q1138" s="34" t="str">
        <x:v>Feedback-Directed Random Test Generation/Result_Round2/Collections_26/result.json</x:v>
      </x:c>
    </x:row>
    <x:row r="1139">
      <x:c r="A1139" s="34" t="str">
        <x:v>randoop</x:v>
      </x:c>
      <x:c r="B1139" s="34" t="str">
        <x:v>Collections</x:v>
      </x:c>
      <x:c r="C1139" s="34" t="str">
        <x:v>Round2</x:v>
      </x:c>
      <x:c r="D1139" s="34" t="str">
        <x:v>Collections_27</x:v>
      </x:c>
      <x:c r="E1139" s="34" t="str">
        <x:v>Coverage</x:v>
      </x:c>
      <x:c r="F1139" s="34" t="n">
        <x:v>177</x:v>
      </x:c>
      <x:c r="G1139" s="34" t="str">
        <x:v>RECORDED</x:v>
      </x:c>
      <x:c r="H1139" s="38" t="n">
        <x:f>IF(ISNUMBER('Data'!G1139),'Data'!G1139*100,"")</x:f>
        <x:v>68.36</x:v>
      </x:c>
      <x:c r="I1139" s="34" t="str">
        <x:v>PASS</x:v>
      </x:c>
      <x:c r="J1139" s="34" t="str">
        <x:v>PASS</x:v>
      </x:c>
      <x:c r="K1139" s="34" t="str">
        <x:v>PASS</x:v>
      </x:c>
      <x:c r="L1139" s="34" t="str">
        <x:v>PASS</x:v>
      </x:c>
      <x:c r="M1139" s="34" t="str">
        <x:v>numeric coverage for applicable metric</x:v>
      </x:c>
      <x:c r="N1139" s="34" t="str">
        <x:v>Feedback-Directed Random Test Generation/Result_Round2/Collections_27/result.json</x:v>
      </x:c>
      <x:c r="O1139" s="38" t="n">
        <x:f>IF(AND(G1139="RECORDED",ISNUMBER(H1139)),H1139,"")</x:f>
        <x:v>68.36</x:v>
      </x:c>
      <x:c r="P1139" s="34" t="str">
        <x:v>NOT_REVEALING</x:v>
      </x:c>
      <x:c r="Q1139" s="34" t="str">
        <x:v>Feedback-Directed Random Test Generation/Result_Round2/Collections_27/result.json</x:v>
      </x:c>
    </x:row>
    <x:row r="1140">
      <x:c r="A1140" s="34" t="str">
        <x:v>randoop</x:v>
      </x:c>
      <x:c r="B1140" s="34" t="str">
        <x:v>Collections</x:v>
      </x:c>
      <x:c r="C1140" s="34" t="str">
        <x:v>Round2</x:v>
      </x:c>
      <x:c r="D1140" s="34" t="str">
        <x:v>Collections_28</x:v>
      </x:c>
      <x:c r="E1140" s="34" t="str">
        <x:v>Coverage</x:v>
      </x:c>
      <x:c r="F1140" s="34" t="n">
        <x:v>1365</x:v>
      </x:c>
      <x:c r="G1140" s="34" t="str">
        <x:v>RECORDED</x:v>
      </x:c>
      <x:c r="H1140" s="38" t="n">
        <x:f>IF(ISNUMBER('Data'!G1140),'Data'!G1140*100,"")</x:f>
        <x:v>4.32</x:v>
      </x:c>
      <x:c r="I1140" s="34" t="str">
        <x:v>PASS</x:v>
      </x:c>
      <x:c r="J1140" s="34" t="str">
        <x:v>PASS</x:v>
      </x:c>
      <x:c r="K1140" s="34" t="str">
        <x:v>PASS</x:v>
      </x:c>
      <x:c r="L1140" s="34" t="str">
        <x:v>PASS</x:v>
      </x:c>
      <x:c r="M1140" s="34" t="str">
        <x:v>numeric coverage for applicable metric</x:v>
      </x:c>
      <x:c r="N1140" s="34" t="str">
        <x:v>Feedback-Directed Random Test Generation/Result_Round2/Collections_28/result.json</x:v>
      </x:c>
      <x:c r="O1140" s="38" t="n">
        <x:f>IF(AND(G1140="RECORDED",ISNUMBER(H1140)),H1140,"")</x:f>
        <x:v>4.32</x:v>
      </x:c>
      <x:c r="P1140" s="34" t="str">
        <x:v>NOT_REVEALING</x:v>
      </x:c>
      <x:c r="Q1140" s="34" t="str">
        <x:v>Feedback-Directed Random Test Generation/Result_Round2/Collections_28/result.json</x:v>
      </x:c>
    </x:row>
    <x:row r="1141">
      <x:c r="A1141" s="34" t="str">
        <x:v>randoop</x:v>
      </x:c>
      <x:c r="B1141" s="34" t="str">
        <x:v>Compress</x:v>
      </x:c>
      <x:c r="C1141" s="34" t="str">
        <x:v>Round2</x:v>
      </x:c>
      <x:c r="D1141" s="34" t="str">
        <x:v>Compress_1</x:v>
      </x:c>
      <x:c r="E1141" s="34" t="str">
        <x:v>Coverage</x:v>
      </x:c>
      <x:c r="F1141" s="34" t="n">
        <x:v>223</x:v>
      </x:c>
      <x:c r="G1141" s="34" t="str">
        <x:v>RECORDED</x:v>
      </x:c>
      <x:c r="H1141" s="38" t="n">
        <x:f>IF(ISNUMBER('Data'!G1141),'Data'!G1141*100,"")</x:f>
        <x:v>79.82</x:v>
      </x:c>
      <x:c r="I1141" s="34" t="str">
        <x:v>PASS</x:v>
      </x:c>
      <x:c r="J1141" s="34" t="str">
        <x:v>PASS</x:v>
      </x:c>
      <x:c r="K1141" s="34" t="str">
        <x:v>PASS</x:v>
      </x:c>
      <x:c r="L1141" s="34" t="str">
        <x:v>FAIL</x:v>
      </x:c>
      <x:c r="M1141" s="34" t="str">
        <x:v>numeric coverage for applicable metric</x:v>
      </x:c>
      <x:c r="N1141" s="34" t="str">
        <x:v>Feedback-Directed Random Test Generation/Result_Round2/Compress_1/result.json</x:v>
      </x:c>
      <x:c r="O1141" s="38" t="n">
        <x:f>IF(AND(G1141="RECORDED",ISNUMBER(H1141)),H1141,"")</x:f>
        <x:v>79.82</x:v>
      </x:c>
      <x:c r="P1141" s="34" t="str">
        <x:v>INCONCLUSIVE</x:v>
      </x:c>
      <x:c r="Q1141" s="34" t="str">
        <x:v>Feedback-Directed Random Test Generation/Result_Round2/Compress_1/result.json</x:v>
      </x:c>
    </x:row>
    <x:row r="1142">
      <x:c r="A1142" s="34" t="str">
        <x:v>randoop</x:v>
      </x:c>
      <x:c r="B1142" s="34" t="str">
        <x:v>Compress</x:v>
      </x:c>
      <x:c r="C1142" s="34" t="str">
        <x:v>Round2</x:v>
      </x:c>
      <x:c r="D1142" s="34" t="str">
        <x:v>Compress_2</x:v>
      </x:c>
      <x:c r="E1142" s="34" t="str">
        <x:v>Coverage</x:v>
      </x:c>
      <x:c r="F1142" s="34" t="n">
        <x:v>115</x:v>
      </x:c>
      <x:c r="G1142" s="34" t="str">
        <x:v>RECORDED</x:v>
      </x:c>
      <x:c r="H1142" s="38" t="n">
        <x:f>IF(ISNUMBER('Data'!G1142),'Data'!G1142*100,"")</x:f>
        <x:v>32.17</x:v>
      </x:c>
      <x:c r="I1142" s="34" t="str">
        <x:v>PASS</x:v>
      </x:c>
      <x:c r="J1142" s="34" t="str">
        <x:v>PASS</x:v>
      </x:c>
      <x:c r="K1142" s="34" t="str">
        <x:v>PASS</x:v>
      </x:c>
      <x:c r="L1142" s="34" t="str">
        <x:v>PASS</x:v>
      </x:c>
      <x:c r="M1142" s="34" t="str">
        <x:v>numeric coverage for applicable metric</x:v>
      </x:c>
      <x:c r="N1142" s="34" t="str">
        <x:v>Feedback-Directed Random Test Generation/Result_Round2/Compress_2/result.json</x:v>
      </x:c>
      <x:c r="O1142" s="38" t="n">
        <x:f>IF(AND(G1142="RECORDED",ISNUMBER(H1142)),H1142,"")</x:f>
        <x:v>32.17</x:v>
      </x:c>
      <x:c r="P1142" s="34" t="str">
        <x:v>NOT_REVEALING</x:v>
      </x:c>
      <x:c r="Q1142" s="34" t="str">
        <x:v>Feedback-Directed Random Test Generation/Result_Round2/Compress_2/result.json</x:v>
      </x:c>
    </x:row>
    <x:row r="1143">
      <x:c r="A1143" s="34" t="str">
        <x:v>randoop</x:v>
      </x:c>
      <x:c r="B1143" s="34" t="str">
        <x:v>Compress</x:v>
      </x:c>
      <x:c r="C1143" s="34" t="str">
        <x:v>Round2</x:v>
      </x:c>
      <x:c r="D1143" s="34" t="str">
        <x:v>Compress_3</x:v>
      </x:c>
      <x:c r="E1143" s="34" t="str">
        <x:v>Coverage</x:v>
      </x:c>
      <x:c r="F1143" s="34" t="n">
        <x:v>118</x:v>
      </x:c>
      <x:c r="G1143" s="34" t="str">
        <x:v>RECORDED</x:v>
      </x:c>
      <x:c r="H1143" s="38" t="n">
        <x:f>IF(ISNUMBER('Data'!G1143),'Data'!G1143*100,"")</x:f>
        <x:v>43.22</x:v>
      </x:c>
      <x:c r="I1143" s="34" t="str">
        <x:v>PASS</x:v>
      </x:c>
      <x:c r="J1143" s="34" t="str">
        <x:v>PASS</x:v>
      </x:c>
      <x:c r="K1143" s="34" t="str">
        <x:v>PASS</x:v>
      </x:c>
      <x:c r="L1143" s="34" t="str">
        <x:v>PASS</x:v>
      </x:c>
      <x:c r="M1143" s="34" t="str">
        <x:v>numeric coverage for applicable metric</x:v>
      </x:c>
      <x:c r="N1143" s="34" t="str">
        <x:v>Feedback-Directed Random Test Generation/Result_Round2/Compress_3/result.json</x:v>
      </x:c>
      <x:c r="O1143" s="38" t="n">
        <x:f>IF(AND(G1143="RECORDED",ISNUMBER(H1143)),H1143,"")</x:f>
        <x:v>43.22</x:v>
      </x:c>
      <x:c r="P1143" s="34" t="str">
        <x:v>NOT_REVEALING</x:v>
      </x:c>
      <x:c r="Q1143" s="34" t="str">
        <x:v>Feedback-Directed Random Test Generation/Result_Round2/Compress_3/result.json</x:v>
      </x:c>
    </x:row>
    <x:row r="1144">
      <x:c r="A1144" s="34" t="str">
        <x:v>randoop</x:v>
      </x:c>
      <x:c r="B1144" s="34" t="str">
        <x:v>Compress</x:v>
      </x:c>
      <x:c r="C1144" s="34" t="str">
        <x:v>Round2</x:v>
      </x:c>
      <x:c r="D1144" s="34" t="str">
        <x:v>Compress_4</x:v>
      </x:c>
      <x:c r="E1144" s="34" t="str">
        <x:v>Coverage</x:v>
      </x:c>
      <x:c r="F1144" s="34" t="n">
        <x:v>869</x:v>
      </x:c>
      <x:c r="G1144" s="34" t="str">
        <x:v>RECORDED</x:v>
      </x:c>
      <x:c r="H1144" s="38" t="n">
        <x:f>IF(ISNUMBER('Data'!G1144),'Data'!G1144*100,"")</x:f>
        <x:v>25.319999999999997</x:v>
      </x:c>
      <x:c r="I1144" s="34" t="str">
        <x:v>PASS</x:v>
      </x:c>
      <x:c r="J1144" s="34" t="str">
        <x:v>PASS</x:v>
      </x:c>
      <x:c r="K1144" s="34" t="str">
        <x:v>PASS</x:v>
      </x:c>
      <x:c r="L1144" s="34" t="str">
        <x:v>PASS</x:v>
      </x:c>
      <x:c r="M1144" s="34" t="str">
        <x:v>numeric coverage for applicable metric</x:v>
      </x:c>
      <x:c r="N1144" s="34" t="str">
        <x:v>Feedback-Directed Random Test Generation/Result_Round2/Compress_4/result.json</x:v>
      </x:c>
      <x:c r="O1144" s="38" t="n">
        <x:f>IF(AND(G1144="RECORDED",ISNUMBER(H1144)),H1144,"")</x:f>
        <x:v>25.319999999999997</x:v>
      </x:c>
      <x:c r="P1144" s="34" t="str">
        <x:v>INCONCLUSIVE</x:v>
      </x:c>
      <x:c r="Q1144" s="34" t="str">
        <x:v>Feedback-Directed Random Test Generation/Result_Round2/Compress_4/result.json</x:v>
      </x:c>
    </x:row>
    <x:row r="1145">
      <x:c r="A1145" s="34" t="str">
        <x:v>randoop</x:v>
      </x:c>
      <x:c r="B1145" s="34" t="str">
        <x:v>Compress</x:v>
      </x:c>
      <x:c r="C1145" s="34" t="str">
        <x:v>Round2</x:v>
      </x:c>
      <x:c r="D1145" s="34" t="str">
        <x:v>Compress_5</x:v>
      </x:c>
      <x:c r="E1145" s="34" t="str">
        <x:v>Coverage</x:v>
      </x:c>
      <x:c r="F1145" s="34" t="n">
        <x:v>255</x:v>
      </x:c>
      <x:c r="G1145" s="34" t="str">
        <x:v>RECORDED</x:v>
      </x:c>
      <x:c r="H1145" s="38" t="n">
        <x:f>IF(ISNUMBER('Data'!G1145),'Data'!G1145*100,"")</x:f>
        <x:v>30.98</x:v>
      </x:c>
      <x:c r="I1145" s="34" t="str">
        <x:v>PASS</x:v>
      </x:c>
      <x:c r="J1145" s="34" t="str">
        <x:v>PASS</x:v>
      </x:c>
      <x:c r="K1145" s="34" t="str">
        <x:v>PASS</x:v>
      </x:c>
      <x:c r="L1145" s="34" t="str">
        <x:v>PASS</x:v>
      </x:c>
      <x:c r="M1145" s="34" t="str">
        <x:v>numeric coverage for applicable metric</x:v>
      </x:c>
      <x:c r="N1145" s="34" t="str">
        <x:v>Feedback-Directed Random Test Generation/Result_Round2/Compress_5/result.json</x:v>
      </x:c>
      <x:c r="O1145" s="38" t="n">
        <x:f>IF(AND(G1145="RECORDED",ISNUMBER(H1145)),H1145,"")</x:f>
        <x:v>30.98</x:v>
      </x:c>
      <x:c r="P1145" s="34" t="str">
        <x:v>NOT_REVEALING</x:v>
      </x:c>
      <x:c r="Q1145" s="34" t="str">
        <x:v>Feedback-Directed Random Test Generation/Result_Round2/Compress_5/result.json</x:v>
      </x:c>
    </x:row>
    <x:row r="1146">
      <x:c r="A1146" s="34" t="str">
        <x:v>randoop</x:v>
      </x:c>
      <x:c r="B1146" s="34" t="str">
        <x:v>Compress</x:v>
      </x:c>
      <x:c r="C1146" s="34" t="str">
        <x:v>Round2</x:v>
      </x:c>
      <x:c r="D1146" s="34" t="str">
        <x:v>Compress_6</x:v>
      </x:c>
      <x:c r="E1146" s="34" t="str">
        <x:v>Coverage</x:v>
      </x:c>
      <x:c r="F1146" s="34" t="n">
        <x:v>196</x:v>
      </x:c>
      <x:c r="G1146" s="34" t="str">
        <x:v>RECORDED</x:v>
      </x:c>
      <x:c r="H1146" s="38" t="n">
        <x:f>IF(ISNUMBER('Data'!G1146),'Data'!G1146*100,"")</x:f>
        <x:v>77.04</x:v>
      </x:c>
      <x:c r="I1146" s="34" t="str">
        <x:v>PASS</x:v>
      </x:c>
      <x:c r="J1146" s="34" t="str">
        <x:v>PASS</x:v>
      </x:c>
      <x:c r="K1146" s="34" t="str">
        <x:v>PASS</x:v>
      </x:c>
      <x:c r="L1146" s="34" t="str">
        <x:v>FAIL</x:v>
      </x:c>
      <x:c r="M1146" s="34" t="str">
        <x:v>numeric coverage for applicable metric</x:v>
      </x:c>
      <x:c r="N1146" s="34" t="str">
        <x:v>Feedback-Directed Random Test Generation/Result_Round2/Compress_6/result.json</x:v>
      </x:c>
      <x:c r="O1146" s="38" t="n">
        <x:f>IF(AND(G1146="RECORDED",ISNUMBER(H1146)),H1146,"")</x:f>
        <x:v>77.04</x:v>
      </x:c>
      <x:c r="P1146" s="34" t="str">
        <x:v>INCONCLUSIVE</x:v>
      </x:c>
      <x:c r="Q1146" s="34" t="str">
        <x:v>Feedback-Directed Random Test Generation/Result_Round2/Compress_6/result.json</x:v>
      </x:c>
    </x:row>
    <x:row r="1147">
      <x:c r="A1147" s="34" t="str">
        <x:v>randoop</x:v>
      </x:c>
      <x:c r="B1147" s="34" t="str">
        <x:v>Compress</x:v>
      </x:c>
      <x:c r="C1147" s="34" t="str">
        <x:v>Round2</x:v>
      </x:c>
      <x:c r="D1147" s="34" t="str">
        <x:v>Compress_7</x:v>
      </x:c>
      <x:c r="E1147" s="34" t="str">
        <x:v>Coverage</x:v>
      </x:c>
      <x:c r="F1147" s="34" t="n">
        <x:v>101</x:v>
      </x:c>
      <x:c r="G1147" s="34" t="str">
        <x:v>RECORDED</x:v>
      </x:c>
      <x:c r="H1147" s="38" t="n">
        <x:f>IF(ISNUMBER('Data'!G1147),'Data'!G1147*100,"")</x:f>
        <x:v>91.09</x:v>
      </x:c>
      <x:c r="I1147" s="34" t="str">
        <x:v>PASS</x:v>
      </x:c>
      <x:c r="J1147" s="34" t="str">
        <x:v>PASS</x:v>
      </x:c>
      <x:c r="K1147" s="34" t="str">
        <x:v>PASS</x:v>
      </x:c>
      <x:c r="L1147" s="34" t="str">
        <x:v>PASS</x:v>
      </x:c>
      <x:c r="M1147" s="34" t="str">
        <x:v>numeric coverage for applicable metric</x:v>
      </x:c>
      <x:c r="N1147" s="34" t="str">
        <x:v>Feedback-Directed Random Test Generation/Result_Round2/Compress_7/result.json</x:v>
      </x:c>
      <x:c r="O1147" s="38" t="n">
        <x:f>IF(AND(G1147="RECORDED",ISNUMBER(H1147)),H1147,"")</x:f>
        <x:v>91.09</x:v>
      </x:c>
      <x:c r="P1147" s="34" t="str">
        <x:v>INCONCLUSIVE</x:v>
      </x:c>
      <x:c r="Q1147" s="34" t="str">
        <x:v>Feedback-Directed Random Test Generation/Result_Round2/Compress_7/result.json</x:v>
      </x:c>
    </x:row>
    <x:row r="1148">
      <x:c r="A1148" s="34" t="str">
        <x:v>randoop</x:v>
      </x:c>
      <x:c r="B1148" s="34" t="str">
        <x:v>Compress</x:v>
      </x:c>
      <x:c r="C1148" s="34" t="str">
        <x:v>Round2</x:v>
      </x:c>
      <x:c r="D1148" s="34" t="str">
        <x:v>Compress_8</x:v>
      </x:c>
      <x:c r="E1148" s="34" t="str">
        <x:v>Coverage</x:v>
      </x:c>
      <x:c r="F1148" s="34" t="n">
        <x:v>108</x:v>
      </x:c>
      <x:c r="G1148" s="34" t="str">
        <x:v>RECORDED</x:v>
      </x:c>
      <x:c r="H1148" s="38" t="n">
        <x:f>IF(ISNUMBER('Data'!G1148),'Data'!G1148*100,"")</x:f>
        <x:v>91.67</x:v>
      </x:c>
      <x:c r="I1148" s="34" t="str">
        <x:v>PASS</x:v>
      </x:c>
      <x:c r="J1148" s="34" t="str">
        <x:v>PASS</x:v>
      </x:c>
      <x:c r="K1148" s="34" t="str">
        <x:v>PASS</x:v>
      </x:c>
      <x:c r="L1148" s="34" t="str">
        <x:v>PASS</x:v>
      </x:c>
      <x:c r="M1148" s="34" t="str">
        <x:v>numeric coverage for applicable metric</x:v>
      </x:c>
      <x:c r="N1148" s="34" t="str">
        <x:v>Feedback-Directed Random Test Generation/Result_Round2/Compress_8/result.json</x:v>
      </x:c>
      <x:c r="O1148" s="38" t="n">
        <x:f>IF(AND(G1148="RECORDED",ISNUMBER(H1148)),H1148,"")</x:f>
        <x:v>91.67</x:v>
      </x:c>
      <x:c r="P1148" s="34" t="str">
        <x:v>INCONCLUSIVE</x:v>
      </x:c>
      <x:c r="Q1148" s="34" t="str">
        <x:v>Feedback-Directed Random Test Generation/Result_Round2/Compress_8/result.json</x:v>
      </x:c>
    </x:row>
    <x:row r="1149">
      <x:c r="A1149" s="34" t="str">
        <x:v>randoop</x:v>
      </x:c>
      <x:c r="B1149" s="34" t="str">
        <x:v>Compress</x:v>
      </x:c>
      <x:c r="C1149" s="34" t="str">
        <x:v>Round2</x:v>
      </x:c>
      <x:c r="D1149" s="34" t="str">
        <x:v>Compress_9</x:v>
      </x:c>
      <x:c r="E1149" s="34" t="str">
        <x:v>Coverage</x:v>
      </x:c>
      <x:c r="F1149" s="34" t="n">
        <x:v>152</x:v>
      </x:c>
      <x:c r="G1149" s="34" t="str">
        <x:v>RECORDED</x:v>
      </x:c>
      <x:c r="H1149" s="38" t="n">
        <x:f>IF(ISNUMBER('Data'!G1149),'Data'!G1149*100,"")</x:f>
        <x:v>43.42</x:v>
      </x:c>
      <x:c r="I1149" s="34" t="str">
        <x:v>PASS</x:v>
      </x:c>
      <x:c r="J1149" s="34" t="str">
        <x:v>PASS</x:v>
      </x:c>
      <x:c r="K1149" s="34" t="str">
        <x:v>PASS</x:v>
      </x:c>
      <x:c r="L1149" s="34" t="str">
        <x:v>PASS</x:v>
      </x:c>
      <x:c r="M1149" s="34" t="str">
        <x:v>numeric coverage for applicable metric</x:v>
      </x:c>
      <x:c r="N1149" s="34" t="str">
        <x:v>Feedback-Directed Random Test Generation/Result_Round2/Compress_9/result.json</x:v>
      </x:c>
      <x:c r="O1149" s="38" t="n">
        <x:f>IF(AND(G1149="RECORDED",ISNUMBER(H1149)),H1149,"")</x:f>
        <x:v>43.42</x:v>
      </x:c>
      <x:c r="P1149" s="34" t="str">
        <x:v>INCONCLUSIVE</x:v>
      </x:c>
      <x:c r="Q1149" s="34" t="str">
        <x:v>Feedback-Directed Random Test Generation/Result_Round2/Compress_9/result.json</x:v>
      </x:c>
    </x:row>
    <x:row r="1150">
      <x:c r="A1150" s="34" t="str">
        <x:v>randoop</x:v>
      </x:c>
      <x:c r="B1150" s="34" t="str">
        <x:v>Compress</x:v>
      </x:c>
      <x:c r="C1150" s="34" t="str">
        <x:v>Round2</x:v>
      </x:c>
      <x:c r="D1150" s="34" t="str">
        <x:v>Compress_10</x:v>
      </x:c>
      <x:c r="E1150" s="34" t="str">
        <x:v>Coverage</x:v>
      </x:c>
      <x:c r="F1150" s="34" t="n">
        <x:v>417</x:v>
      </x:c>
      <x:c r="G1150" s="34" t="str">
        <x:v>RECORDED</x:v>
      </x:c>
      <x:c r="H1150" s="38" t="n">
        <x:f>IF(ISNUMBER('Data'!G1150),'Data'!G1150*100,"")</x:f>
        <x:v>4.56</x:v>
      </x:c>
      <x:c r="I1150" s="34" t="str">
        <x:v>PASS</x:v>
      </x:c>
      <x:c r="J1150" s="34" t="str">
        <x:v>PASS</x:v>
      </x:c>
      <x:c r="K1150" s="34" t="str">
        <x:v>PASS</x:v>
      </x:c>
      <x:c r="L1150" s="34" t="str">
        <x:v>PASS</x:v>
      </x:c>
      <x:c r="M1150" s="34" t="str">
        <x:v>numeric coverage for applicable metric</x:v>
      </x:c>
      <x:c r="N1150" s="34" t="str">
        <x:v>Feedback-Directed Random Test Generation/Result_Round2/Compress_10/result.json</x:v>
      </x:c>
      <x:c r="O1150" s="38" t="n">
        <x:f>IF(AND(G1150="RECORDED",ISNUMBER(H1150)),H1150,"")</x:f>
        <x:v>4.56</x:v>
      </x:c>
      <x:c r="P1150" s="34" t="str">
        <x:v>NOT_REVEALING</x:v>
      </x:c>
      <x:c r="Q1150" s="34" t="str">
        <x:v>Feedback-Directed Random Test Generation/Result_Round2/Compress_10/result.json</x:v>
      </x:c>
    </x:row>
    <x:row r="1151">
      <x:c r="A1151" s="34" t="str">
        <x:v>randoop</x:v>
      </x:c>
      <x:c r="B1151" s="34" t="str">
        <x:v>Compress</x:v>
      </x:c>
      <x:c r="C1151" s="34" t="str">
        <x:v>Round2</x:v>
      </x:c>
      <x:c r="D1151" s="34" t="str">
        <x:v>Compress_11</x:v>
      </x:c>
      <x:c r="E1151" s="34" t="str">
        <x:v>Coverage</x:v>
      </x:c>
      <x:c r="F1151" s="34" t="n">
        <x:v>115</x:v>
      </x:c>
      <x:c r="G1151" s="34" t="str">
        <x:v>RECORDED</x:v>
      </x:c>
      <x:c r="H1151" s="38" t="n">
        <x:f>IF(ISNUMBER('Data'!G1151),'Data'!G1151*100,"")</x:f>
        <x:v>12.17</x:v>
      </x:c>
      <x:c r="I1151" s="34" t="str">
        <x:v>PASS</x:v>
      </x:c>
      <x:c r="J1151" s="34" t="str">
        <x:v>PASS</x:v>
      </x:c>
      <x:c r="K1151" s="34" t="str">
        <x:v>PASS</x:v>
      </x:c>
      <x:c r="L1151" s="34" t="str">
        <x:v>PASS</x:v>
      </x:c>
      <x:c r="M1151" s="34" t="str">
        <x:v>numeric coverage for applicable metric</x:v>
      </x:c>
      <x:c r="N1151" s="34" t="str">
        <x:v>Feedback-Directed Random Test Generation/Result_Round2/Compress_11/result.json</x:v>
      </x:c>
      <x:c r="O1151" s="38" t="n">
        <x:f>IF(AND(G1151="RECORDED",ISNUMBER(H1151)),H1151,"")</x:f>
        <x:v>12.17</x:v>
      </x:c>
      <x:c r="P1151" s="34" t="str">
        <x:v>NOT_REVEALING</x:v>
      </x:c>
      <x:c r="Q1151" s="34" t="str">
        <x:v>Feedback-Directed Random Test Generation/Result_Round2/Compress_11/result.json</x:v>
      </x:c>
    </x:row>
    <x:row r="1152">
      <x:c r="A1152" s="34" t="str">
        <x:v>randoop</x:v>
      </x:c>
      <x:c r="B1152" s="34" t="str">
        <x:v>Compress</x:v>
      </x:c>
      <x:c r="C1152" s="34" t="str">
        <x:v>Round2</x:v>
      </x:c>
      <x:c r="D1152" s="34" t="str">
        <x:v>Compress_12</x:v>
      </x:c>
      <x:c r="E1152" s="34" t="str">
        <x:v>Coverage</x:v>
      </x:c>
      <x:c r="F1152" s="34" t="n">
        <x:v>305</x:v>
      </x:c>
      <x:c r="G1152" s="34" t="str">
        <x:v>RECORDED</x:v>
      </x:c>
      <x:c r="H1152" s="38" t="n">
        <x:f>IF(ISNUMBER('Data'!G1152),'Data'!G1152*100,"")</x:f>
        <x:v>22.95</x:v>
      </x:c>
      <x:c r="I1152" s="34" t="str">
        <x:v>PASS</x:v>
      </x:c>
      <x:c r="J1152" s="34" t="str">
        <x:v>PASS</x:v>
      </x:c>
      <x:c r="K1152" s="34" t="str">
        <x:v>PASS</x:v>
      </x:c>
      <x:c r="L1152" s="34" t="str">
        <x:v>PASS</x:v>
      </x:c>
      <x:c r="M1152" s="34" t="str">
        <x:v>numeric coverage for applicable metric</x:v>
      </x:c>
      <x:c r="N1152" s="34" t="str">
        <x:v>Feedback-Directed Random Test Generation/Result_Round2/Compress_12/result.json</x:v>
      </x:c>
      <x:c r="O1152" s="38" t="n">
        <x:f>IF(AND(G1152="RECORDED",ISNUMBER(H1152)),H1152,"")</x:f>
        <x:v>22.95</x:v>
      </x:c>
      <x:c r="P1152" s="34" t="str">
        <x:v>NOT_REVEALING</x:v>
      </x:c>
      <x:c r="Q1152" s="34" t="str">
        <x:v>Feedback-Directed Random Test Generation/Result_Round2/Compress_12/result.json</x:v>
      </x:c>
    </x:row>
    <x:row r="1153">
      <x:c r="A1153" s="34" t="str">
        <x:v>randoop</x:v>
      </x:c>
      <x:c r="B1153" s="34" t="str">
        <x:v>Compress</x:v>
      </x:c>
      <x:c r="C1153" s="34" t="str">
        <x:v>Round2</x:v>
      </x:c>
      <x:c r="D1153" s="34" t="str">
        <x:v>Compress_13</x:v>
      </x:c>
      <x:c r="E1153" s="34" t="str">
        <x:v>Coverage</x:v>
      </x:c>
      <x:c r="F1153" s="34" t="n">
        <x:v>304</x:v>
      </x:c>
      <x:c r="G1153" s="34" t="str">
        <x:v>RECORDED</x:v>
      </x:c>
      <x:c r="H1153" s="38" t="n">
        <x:f>IF(ISNUMBER('Data'!G1153),'Data'!G1153*100,"")</x:f>
        <x:v>84.87</x:v>
      </x:c>
      <x:c r="I1153" s="34" t="str">
        <x:v>PASS</x:v>
      </x:c>
      <x:c r="J1153" s="34" t="str">
        <x:v>PASS</x:v>
      </x:c>
      <x:c r="K1153" s="34" t="str">
        <x:v>PASS</x:v>
      </x:c>
      <x:c r="L1153" s="34" t="str">
        <x:v>FAIL</x:v>
      </x:c>
      <x:c r="M1153" s="34" t="str">
        <x:v>numeric coverage for applicable metric</x:v>
      </x:c>
      <x:c r="N1153" s="34" t="str">
        <x:v>Feedback-Directed Random Test Generation/Result_Round2/Compress_13/result.json</x:v>
      </x:c>
      <x:c r="O1153" s="38" t="n">
        <x:f>IF(AND(G1153="RECORDED",ISNUMBER(H1153)),H1153,"")</x:f>
        <x:v>84.87</x:v>
      </x:c>
      <x:c r="P1153" s="34" t="str">
        <x:v>INCONCLUSIVE</x:v>
      </x:c>
      <x:c r="Q1153" s="34" t="str">
        <x:v>Feedback-Directed Random Test Generation/Result_Round2/Compress_13/result.json</x:v>
      </x:c>
    </x:row>
    <x:row r="1154">
      <x:c r="A1154" s="34" t="str">
        <x:v>randoop</x:v>
      </x:c>
      <x:c r="B1154" s="34" t="str">
        <x:v>Compress</x:v>
      </x:c>
      <x:c r="C1154" s="34" t="str">
        <x:v>Round2</x:v>
      </x:c>
      <x:c r="D1154" s="34" t="str">
        <x:v>Compress_14</x:v>
      </x:c>
      <x:c r="E1154" s="34" t="str">
        <x:v>Coverage</x:v>
      </x:c>
      <x:c r="F1154" s="34" t="n">
        <x:v>167</x:v>
      </x:c>
      <x:c r="G1154" s="34" t="str">
        <x:v>RECORDED</x:v>
      </x:c>
      <x:c r="H1154" s="38" t="n">
        <x:f>IF(ISNUMBER('Data'!G1154),'Data'!G1154*100,"")</x:f>
        <x:v>86.83</x:v>
      </x:c>
      <x:c r="I1154" s="34" t="str">
        <x:v>PASS</x:v>
      </x:c>
      <x:c r="J1154" s="34" t="str">
        <x:v>PASS</x:v>
      </x:c>
      <x:c r="K1154" s="34" t="str">
        <x:v>PASS</x:v>
      </x:c>
      <x:c r="L1154" s="34" t="str">
        <x:v>PASS</x:v>
      </x:c>
      <x:c r="M1154" s="34" t="str">
        <x:v>numeric coverage for applicable metric</x:v>
      </x:c>
      <x:c r="N1154" s="34" t="str">
        <x:v>Feedback-Directed Random Test Generation/Result_Round2/Compress_14/result.json</x:v>
      </x:c>
      <x:c r="O1154" s="38" t="n">
        <x:f>IF(AND(G1154="RECORDED",ISNUMBER(H1154)),H1154,"")</x:f>
        <x:v>86.83</x:v>
      </x:c>
      <x:c r="P1154" s="34" t="str">
        <x:v>INCONCLUSIVE</x:v>
      </x:c>
      <x:c r="Q1154" s="34" t="str">
        <x:v>Feedback-Directed Random Test Generation/Result_Round2/Compress_14/result.json</x:v>
      </x:c>
    </x:row>
    <x:row r="1155">
      <x:c r="A1155" s="34" t="str">
        <x:v>randoop</x:v>
      </x:c>
      <x:c r="B1155" s="34" t="str">
        <x:v>Compress</x:v>
      </x:c>
      <x:c r="C1155" s="34" t="str">
        <x:v>Round2</x:v>
      </x:c>
      <x:c r="D1155" s="34" t="str">
        <x:v>Compress_15</x:v>
      </x:c>
      <x:c r="E1155" s="34" t="str">
        <x:v>Coverage</x:v>
      </x:c>
      <x:c r="F1155" s="34" t="n">
        <x:v>313</x:v>
      </x:c>
      <x:c r="G1155" s="34" t="str">
        <x:v>RECORDED</x:v>
      </x:c>
      <x:c r="H1155" s="38" t="n">
        <x:f>IF(ISNUMBER('Data'!G1155),'Data'!G1155*100,"")</x:f>
        <x:v>84.98</x:v>
      </x:c>
      <x:c r="I1155" s="34" t="str">
        <x:v>PASS</x:v>
      </x:c>
      <x:c r="J1155" s="34" t="str">
        <x:v>PASS</x:v>
      </x:c>
      <x:c r="K1155" s="34" t="str">
        <x:v>PASS</x:v>
      </x:c>
      <x:c r="L1155" s="34" t="str">
        <x:v>FAIL</x:v>
      </x:c>
      <x:c r="M1155" s="34" t="str">
        <x:v>numeric coverage for applicable metric</x:v>
      </x:c>
      <x:c r="N1155" s="34" t="str">
        <x:v>Feedback-Directed Random Test Generation/Result_Round2/Compress_15/result.json</x:v>
      </x:c>
      <x:c r="O1155" s="38" t="n">
        <x:f>IF(AND(G1155="RECORDED",ISNUMBER(H1155)),H1155,"")</x:f>
        <x:v>84.98</x:v>
      </x:c>
      <x:c r="P1155" s="34" t="str">
        <x:v>INCONCLUSIVE</x:v>
      </x:c>
      <x:c r="Q1155" s="34" t="str">
        <x:v>Feedback-Directed Random Test Generation/Result_Round2/Compress_15/result.json</x:v>
      </x:c>
    </x:row>
    <x:row r="1156">
      <x:c r="A1156" s="34" t="str">
        <x:v>randoop</x:v>
      </x:c>
      <x:c r="B1156" s="34" t="str">
        <x:v>Compress</x:v>
      </x:c>
      <x:c r="C1156" s="34" t="str">
        <x:v>Round2</x:v>
      </x:c>
      <x:c r="D1156" s="34" t="str">
        <x:v>Compress_16</x:v>
      </x:c>
      <x:c r="E1156" s="34" t="str">
        <x:v>Coverage</x:v>
      </x:c>
      <x:c r="F1156" s="34" t="n">
        <x:v>118</x:v>
      </x:c>
      <x:c r="G1156" s="34" t="str">
        <x:v>RECORDED</x:v>
      </x:c>
      <x:c r="H1156" s="38" t="n">
        <x:f>IF(ISNUMBER('Data'!G1156),'Data'!G1156*100,"")</x:f>
        <x:v>11.86</x:v>
      </x:c>
      <x:c r="I1156" s="34" t="str">
        <x:v>PASS</x:v>
      </x:c>
      <x:c r="J1156" s="34" t="str">
        <x:v>PASS</x:v>
      </x:c>
      <x:c r="K1156" s="34" t="str">
        <x:v>PASS</x:v>
      </x:c>
      <x:c r="L1156" s="34" t="str">
        <x:v>PASS</x:v>
      </x:c>
      <x:c r="M1156" s="34" t="str">
        <x:v>numeric coverage for applicable metric</x:v>
      </x:c>
      <x:c r="N1156" s="34" t="str">
        <x:v>Feedback-Directed Random Test Generation/Result_Round2/Compress_16/result.json</x:v>
      </x:c>
      <x:c r="O1156" s="38" t="n">
        <x:f>IF(AND(G1156="RECORDED",ISNUMBER(H1156)),H1156,"")</x:f>
        <x:v>11.86</x:v>
      </x:c>
      <x:c r="P1156" s="34" t="str">
        <x:v>NOT_REVEALING</x:v>
      </x:c>
      <x:c r="Q1156" s="34" t="str">
        <x:v>Feedback-Directed Random Test Generation/Result_Round2/Compress_16/result.json</x:v>
      </x:c>
    </x:row>
    <x:row r="1157">
      <x:c r="A1157" s="34" t="str">
        <x:v>randoop</x:v>
      </x:c>
      <x:c r="B1157" s="34" t="str">
        <x:v>Compress</x:v>
      </x:c>
      <x:c r="C1157" s="34" t="str">
        <x:v>Round2</x:v>
      </x:c>
      <x:c r="D1157" s="34" t="str">
        <x:v>Compress_17</x:v>
      </x:c>
      <x:c r="E1157" s="34" t="str">
        <x:v>Coverage</x:v>
      </x:c>
      <x:c r="F1157" s="34" t="n">
        <x:v>295</x:v>
      </x:c>
      <x:c r="G1157" s="34" t="str">
        <x:v>RECORDED</x:v>
      </x:c>
      <x:c r="H1157" s="38" t="n">
        <x:f>IF(ISNUMBER('Data'!G1157),'Data'!G1157*100,"")</x:f>
        <x:v>74.24</x:v>
      </x:c>
      <x:c r="I1157" s="34" t="str">
        <x:v>PASS</x:v>
      </x:c>
      <x:c r="J1157" s="34" t="str">
        <x:v>PASS</x:v>
      </x:c>
      <x:c r="K1157" s="34" t="str">
        <x:v>PASS</x:v>
      </x:c>
      <x:c r="L1157" s="34" t="str">
        <x:v>PASS</x:v>
      </x:c>
      <x:c r="M1157" s="34" t="str">
        <x:v>numeric coverage for applicable metric</x:v>
      </x:c>
      <x:c r="N1157" s="34" t="str">
        <x:v>Feedback-Directed Random Test Generation/Result_Round2/Compress_17/result.json</x:v>
      </x:c>
      <x:c r="O1157" s="38" t="n">
        <x:f>IF(AND(G1157="RECORDED",ISNUMBER(H1157)),H1157,"")</x:f>
        <x:v>74.24</x:v>
      </x:c>
      <x:c r="P1157" s="34" t="str">
        <x:v>NOT_REVEALING</x:v>
      </x:c>
      <x:c r="Q1157" s="34" t="str">
        <x:v>Feedback-Directed Random Test Generation/Result_Round2/Compress_17/result.json</x:v>
      </x:c>
    </x:row>
    <x:row r="1158">
      <x:c r="A1158" s="34" t="str">
        <x:v>randoop</x:v>
      </x:c>
      <x:c r="B1158" s="34" t="str">
        <x:v>Compress</x:v>
      </x:c>
      <x:c r="C1158" s="34" t="str">
        <x:v>Round2</x:v>
      </x:c>
      <x:c r="D1158" s="34" t="str">
        <x:v>Compress_18</x:v>
      </x:c>
      <x:c r="E1158" s="34" t="str">
        <x:v>Coverage</x:v>
      </x:c>
      <x:c r="F1158" s="34" t="n">
        <x:v>286</x:v>
      </x:c>
      <x:c r="G1158" s="34" t="str">
        <x:v>RECORDED</x:v>
      </x:c>
      <x:c r="H1158" s="38" t="n">
        <x:f>IF(ISNUMBER('Data'!G1158),'Data'!G1158*100,"")</x:f>
        <x:v>30.769999999999996</x:v>
      </x:c>
      <x:c r="I1158" s="34" t="str">
        <x:v>PASS</x:v>
      </x:c>
      <x:c r="J1158" s="34" t="str">
        <x:v>PASS</x:v>
      </x:c>
      <x:c r="K1158" s="34" t="str">
        <x:v>PASS</x:v>
      </x:c>
      <x:c r="L1158" s="34" t="str">
        <x:v>PASS</x:v>
      </x:c>
      <x:c r="M1158" s="34" t="str">
        <x:v>numeric coverage for applicable metric</x:v>
      </x:c>
      <x:c r="N1158" s="34" t="str">
        <x:v>Feedback-Directed Random Test Generation/Result_Round2/Compress_18/result.json</x:v>
      </x:c>
      <x:c r="O1158" s="38" t="n">
        <x:f>IF(AND(G1158="RECORDED",ISNUMBER(H1158)),H1158,"")</x:f>
        <x:v>30.769999999999996</x:v>
      </x:c>
      <x:c r="P1158" s="34" t="str">
        <x:v>NOT_REVEALING</x:v>
      </x:c>
      <x:c r="Q1158" s="34" t="str">
        <x:v>Feedback-Directed Random Test Generation/Result_Round2/Compress_18/result.json</x:v>
      </x:c>
    </x:row>
    <x:row r="1159">
      <x:c r="A1159" s="34" t="str">
        <x:v>randoop</x:v>
      </x:c>
      <x:c r="B1159" s="34" t="str">
        <x:v>Compress</x:v>
      </x:c>
      <x:c r="C1159" s="34" t="str">
        <x:v>Round2</x:v>
      </x:c>
      <x:c r="D1159" s="34" t="str">
        <x:v>Compress_19</x:v>
      </x:c>
      <x:c r="E1159" s="34" t="str">
        <x:v>Coverage</x:v>
      </x:c>
      <x:c r="F1159" s="34" t="n">
        <x:v>165</x:v>
      </x:c>
      <x:c r="G1159" s="34" t="str">
        <x:v>RECORDED</x:v>
      </x:c>
      <x:c r="H1159" s="38" t="n">
        <x:f>IF(ISNUMBER('Data'!G1159),'Data'!G1159*100,"")</x:f>
        <x:v>58.79</x:v>
      </x:c>
      <x:c r="I1159" s="34" t="str">
        <x:v>PASS</x:v>
      </x:c>
      <x:c r="J1159" s="34" t="str">
        <x:v>PASS</x:v>
      </x:c>
      <x:c r="K1159" s="34" t="str">
        <x:v>PASS</x:v>
      </x:c>
      <x:c r="L1159" s="34" t="str">
        <x:v>PASS</x:v>
      </x:c>
      <x:c r="M1159" s="34" t="str">
        <x:v>numeric coverage for applicable metric</x:v>
      </x:c>
      <x:c r="N1159" s="34" t="str">
        <x:v>Feedback-Directed Random Test Generation/Result_Round2/Compress_19/result.json</x:v>
      </x:c>
      <x:c r="O1159" s="38" t="n">
        <x:f>IF(AND(G1159="RECORDED",ISNUMBER(H1159)),H1159,"")</x:f>
        <x:v>58.79</x:v>
      </x:c>
      <x:c r="P1159" s="34" t="str">
        <x:v>NOT_REVEALING</x:v>
      </x:c>
      <x:c r="Q1159" s="34" t="str">
        <x:v>Feedback-Directed Random Test Generation/Result_Round2/Compress_19/result.json</x:v>
      </x:c>
    </x:row>
    <x:row r="1160">
      <x:c r="A1160" s="34" t="str">
        <x:v>randoop</x:v>
      </x:c>
      <x:c r="B1160" s="34" t="str">
        <x:v>Compress</x:v>
      </x:c>
      <x:c r="C1160" s="34" t="str">
        <x:v>Round2</x:v>
      </x:c>
      <x:c r="D1160" s="34" t="str">
        <x:v>Compress_20</x:v>
      </x:c>
      <x:c r="E1160" s="34" t="str">
        <x:v>Coverage</x:v>
      </x:c>
      <x:c r="F1160" s="34" t="n">
        <x:v>328</x:v>
      </x:c>
      <x:c r="G1160" s="34" t="str">
        <x:v>RECORDED</x:v>
      </x:c>
      <x:c r="H1160" s="38" t="n">
        <x:f>IF(ISNUMBER('Data'!G1160),'Data'!G1160*100,"")</x:f>
        <x:v>27.74</x:v>
      </x:c>
      <x:c r="I1160" s="34" t="str">
        <x:v>PASS</x:v>
      </x:c>
      <x:c r="J1160" s="34" t="str">
        <x:v>PASS</x:v>
      </x:c>
      <x:c r="K1160" s="34" t="str">
        <x:v>PASS</x:v>
      </x:c>
      <x:c r="L1160" s="34" t="str">
        <x:v>PASS</x:v>
      </x:c>
      <x:c r="M1160" s="34" t="str">
        <x:v>numeric coverage for applicable metric</x:v>
      </x:c>
      <x:c r="N1160" s="34" t="str">
        <x:v>Feedback-Directed Random Test Generation/Result_Round2/Compress_20/result.json</x:v>
      </x:c>
      <x:c r="O1160" s="38" t="n">
        <x:f>IF(AND(G1160="RECORDED",ISNUMBER(H1160)),H1160,"")</x:f>
        <x:v>27.74</x:v>
      </x:c>
      <x:c r="P1160" s="34" t="str">
        <x:v>NOT_REVEALING</x:v>
      </x:c>
      <x:c r="Q1160" s="34" t="str">
        <x:v>Feedback-Directed Random Test Generation/Result_Round2/Compress_20/result.json</x:v>
      </x:c>
    </x:row>
    <x:row r="1161">
      <x:c r="A1161" s="34" t="str">
        <x:v>randoop</x:v>
      </x:c>
      <x:c r="B1161" s="34" t="str">
        <x:v>Compress</x:v>
      </x:c>
      <x:c r="C1161" s="34" t="str">
        <x:v>Round2</x:v>
      </x:c>
      <x:c r="D1161" s="34" t="str">
        <x:v>Compress_21</x:v>
      </x:c>
      <x:c r="E1161" s="34" t="str">
        <x:v>Coverage</x:v>
      </x:c>
      <x:c r="F1161" s="34" t="n">
        <x:v>526</x:v>
      </x:c>
      <x:c r="G1161" s="34" t="str">
        <x:v>RECORDED</x:v>
      </x:c>
      <x:c r="H1161" s="38" t="n">
        <x:f>IF(ISNUMBER('Data'!G1161),'Data'!G1161*100,"")</x:f>
        <x:v>1.71</x:v>
      </x:c>
      <x:c r="I1161" s="34" t="str">
        <x:v>PASS</x:v>
      </x:c>
      <x:c r="J1161" s="34" t="str">
        <x:v>PASS</x:v>
      </x:c>
      <x:c r="K1161" s="34" t="str">
        <x:v>PASS</x:v>
      </x:c>
      <x:c r="L1161" s="34" t="str">
        <x:v>PASS</x:v>
      </x:c>
      <x:c r="M1161" s="34" t="str">
        <x:v>numeric coverage for applicable metric</x:v>
      </x:c>
      <x:c r="N1161" s="34" t="str">
        <x:v>Feedback-Directed Random Test Generation/Result_Round2/Compress_21/result.json</x:v>
      </x:c>
      <x:c r="O1161" s="38" t="n">
        <x:f>IF(AND(G1161="RECORDED",ISNUMBER(H1161)),H1161,"")</x:f>
        <x:v>1.71</x:v>
      </x:c>
      <x:c r="P1161" s="34" t="str">
        <x:v>NOT_REVEALING</x:v>
      </x:c>
      <x:c r="Q1161" s="34" t="str">
        <x:v>Feedback-Directed Random Test Generation/Result_Round2/Compress_21/result.json</x:v>
      </x:c>
    </x:row>
    <x:row r="1162">
      <x:c r="A1162" s="34" t="str">
        <x:v>randoop</x:v>
      </x:c>
      <x:c r="B1162" s="34" t="str">
        <x:v>Compress</x:v>
      </x:c>
      <x:c r="C1162" s="34" t="str">
        <x:v>Round2</x:v>
      </x:c>
      <x:c r="D1162" s="34" t="str">
        <x:v>Compress_22</x:v>
      </x:c>
      <x:c r="E1162" s="34" t="str">
        <x:v>Coverage</x:v>
      </x:c>
      <x:c r="F1162" s="34" t="n">
        <x:v>767</x:v>
      </x:c>
      <x:c r="G1162" s="34" t="str">
        <x:v>RECORDED</x:v>
      </x:c>
      <x:c r="H1162" s="38" t="n">
        <x:f>IF(ISNUMBER('Data'!G1162),'Data'!G1162*100,"")</x:f>
        <x:v>3.91</x:v>
      </x:c>
      <x:c r="I1162" s="34" t="str">
        <x:v>PASS</x:v>
      </x:c>
      <x:c r="J1162" s="34" t="str">
        <x:v>PASS</x:v>
      </x:c>
      <x:c r="K1162" s="34" t="str">
        <x:v>PASS</x:v>
      </x:c>
      <x:c r="L1162" s="34" t="str">
        <x:v>PASS</x:v>
      </x:c>
      <x:c r="M1162" s="34" t="str">
        <x:v>numeric coverage for applicable metric</x:v>
      </x:c>
      <x:c r="N1162" s="34" t="str">
        <x:v>Feedback-Directed Random Test Generation/Result_Round2/Compress_22/result.json</x:v>
      </x:c>
      <x:c r="O1162" s="38" t="n">
        <x:f>IF(AND(G1162="RECORDED",ISNUMBER(H1162)),H1162,"")</x:f>
        <x:v>3.91</x:v>
      </x:c>
      <x:c r="P1162" s="34" t="str">
        <x:v>NOT_REVEALING</x:v>
      </x:c>
      <x:c r="Q1162" s="34" t="str">
        <x:v>Feedback-Directed Random Test Generation/Result_Round2/Compress_22/result.json</x:v>
      </x:c>
    </x:row>
    <x:row r="1163">
      <x:c r="A1163" s="34" t="str">
        <x:v>randoop</x:v>
      </x:c>
      <x:c r="B1163" s="34" t="str">
        <x:v>Compress</x:v>
      </x:c>
      <x:c r="C1163" s="34" t="str">
        <x:v>Round2</x:v>
      </x:c>
      <x:c r="D1163" s="34" t="str">
        <x:v>Compress_23</x:v>
      </x:c>
      <x:c r="E1163" s="34" t="str">
        <x:v>Coverage</x:v>
      </x:c>
      <x:c r="F1163" s="34" t="n">
        <x:v>137</x:v>
      </x:c>
      <x:c r="G1163" s="34" t="str">
        <x:v>RECORDED</x:v>
      </x:c>
      <x:c r="H1163" s="38" t="n">
        <x:f>IF(ISNUMBER('Data'!G1163),'Data'!G1163*100,"")</x:f>
        <x:v>32.85</x:v>
      </x:c>
      <x:c r="I1163" s="34" t="str">
        <x:v>PASS</x:v>
      </x:c>
      <x:c r="J1163" s="34" t="str">
        <x:v>PASS</x:v>
      </x:c>
      <x:c r="K1163" s="34" t="str">
        <x:v>PASS</x:v>
      </x:c>
      <x:c r="L1163" s="34" t="str">
        <x:v>FAIL</x:v>
      </x:c>
      <x:c r="M1163" s="34" t="str">
        <x:v>numeric coverage for applicable metric</x:v>
      </x:c>
      <x:c r="N1163" s="34" t="str">
        <x:v>Feedback-Directed Random Test Generation/Result_Round2/Compress_23/result.json</x:v>
      </x:c>
      <x:c r="O1163" s="38" t="n">
        <x:f>IF(AND(G1163="RECORDED",ISNUMBER(H1163)),H1163,"")</x:f>
        <x:v>32.85</x:v>
      </x:c>
      <x:c r="P1163" s="34" t="str">
        <x:v>INCONCLUSIVE</x:v>
      </x:c>
      <x:c r="Q1163" s="34" t="str">
        <x:v>Feedback-Directed Random Test Generation/Result_Round2/Compress_23/result.json</x:v>
      </x:c>
    </x:row>
    <x:row r="1164">
      <x:c r="A1164" s="34" t="str">
        <x:v>randoop</x:v>
      </x:c>
      <x:c r="B1164" s="34" t="str">
        <x:v>Compress</x:v>
      </x:c>
      <x:c r="C1164" s="34" t="str">
        <x:v>Round2</x:v>
      </x:c>
      <x:c r="D1164" s="34" t="str">
        <x:v>Compress_24</x:v>
      </x:c>
      <x:c r="E1164" s="34" t="str">
        <x:v>Coverage</x:v>
      </x:c>
      <x:c r="F1164" s="34" t="n">
        <x:v>298</x:v>
      </x:c>
      <x:c r="G1164" s="34" t="str">
        <x:v>RECORDED</x:v>
      </x:c>
      <x:c r="H1164" s="38" t="n">
        <x:f>IF(ISNUMBER('Data'!G1164),'Data'!G1164*100,"")</x:f>
        <x:v>74.16</x:v>
      </x:c>
      <x:c r="I1164" s="34" t="str">
        <x:v>PASS</x:v>
      </x:c>
      <x:c r="J1164" s="34" t="str">
        <x:v>PASS</x:v>
      </x:c>
      <x:c r="K1164" s="34" t="str">
        <x:v>PASS</x:v>
      </x:c>
      <x:c r="L1164" s="34" t="str">
        <x:v>PASS</x:v>
      </x:c>
      <x:c r="M1164" s="34" t="str">
        <x:v>numeric coverage for applicable metric</x:v>
      </x:c>
      <x:c r="N1164" s="34" t="str">
        <x:v>Feedback-Directed Random Test Generation/Result_Round2/Compress_24/result.json</x:v>
      </x:c>
      <x:c r="O1164" s="38" t="n">
        <x:f>IF(AND(G1164="RECORDED",ISNUMBER(H1164)),H1164,"")</x:f>
        <x:v>74.16</x:v>
      </x:c>
      <x:c r="P1164" s="34" t="str">
        <x:v>NOT_REVEALING</x:v>
      </x:c>
      <x:c r="Q1164" s="34" t="str">
        <x:v>Feedback-Directed Random Test Generation/Result_Round2/Compress_24/result.json</x:v>
      </x:c>
    </x:row>
    <x:row r="1165">
      <x:c r="A1165" s="34" t="str">
        <x:v>randoop</x:v>
      </x:c>
      <x:c r="B1165" s="34" t="str">
        <x:v>Compress</x:v>
      </x:c>
      <x:c r="C1165" s="34" t="str">
        <x:v>Round2</x:v>
      </x:c>
      <x:c r="D1165" s="34" t="str">
        <x:v>Compress_25</x:v>
      </x:c>
      <x:c r="E1165" s="34" t="str">
        <x:v>Coverage</x:v>
      </x:c>
      <x:c r="F1165" s="34" t="n">
        <x:v>653</x:v>
      </x:c>
      <x:c r="G1165" s="34" t="str">
        <x:v>RECORDED</x:v>
      </x:c>
      <x:c r="H1165" s="38" t="n">
        <x:f>IF(ISNUMBER('Data'!G1165),'Data'!G1165*100,"")</x:f>
        <x:v>14.85</x:v>
      </x:c>
      <x:c r="I1165" s="34" t="str">
        <x:v>PASS</x:v>
      </x:c>
      <x:c r="J1165" s="34" t="str">
        <x:v>PASS</x:v>
      </x:c>
      <x:c r="K1165" s="34" t="str">
        <x:v>PASS</x:v>
      </x:c>
      <x:c r="L1165" s="34" t="str">
        <x:v>PASS</x:v>
      </x:c>
      <x:c r="M1165" s="34" t="str">
        <x:v>numeric coverage for applicable metric</x:v>
      </x:c>
      <x:c r="N1165" s="34" t="str">
        <x:v>Feedback-Directed Random Test Generation/Result_Round2/Compress_25/result.json</x:v>
      </x:c>
      <x:c r="O1165" s="38" t="n">
        <x:f>IF(AND(G1165="RECORDED",ISNUMBER(H1165)),H1165,"")</x:f>
        <x:v>14.85</x:v>
      </x:c>
      <x:c r="P1165" s="34" t="str">
        <x:v>NOT_REVEALING</x:v>
      </x:c>
      <x:c r="Q1165" s="34" t="str">
        <x:v>Feedback-Directed Random Test Generation/Result_Round2/Compress_25/result.json</x:v>
      </x:c>
    </x:row>
    <x:row r="1166">
      <x:c r="A1166" s="34" t="str">
        <x:v>randoop</x:v>
      </x:c>
      <x:c r="B1166" s="34" t="str">
        <x:v>Compress</x:v>
      </x:c>
      <x:c r="C1166" s="34" t="str">
        <x:v>Round2</x:v>
      </x:c>
      <x:c r="D1166" s="34" t="str">
        <x:v>Compress_26</x:v>
      </x:c>
      <x:c r="E1166" s="34" t="str">
        <x:v>Coverage</x:v>
      </x:c>
      <x:c r="F1166" s="34" t="n">
        <x:v>54</x:v>
      </x:c>
      <x:c r="G1166" s="34" t="str">
        <x:v>RECORDED</x:v>
      </x:c>
      <x:c r="H1166" s="38" t="n">
        <x:f>IF(ISNUMBER('Data'!G1166),'Data'!G1166*100,"")</x:f>
        <x:v>57.41</x:v>
      </x:c>
      <x:c r="I1166" s="34" t="str">
        <x:v>PASS</x:v>
      </x:c>
      <x:c r="J1166" s="34" t="str">
        <x:v>PASS</x:v>
      </x:c>
      <x:c r="K1166" s="34" t="str">
        <x:v>PASS</x:v>
      </x:c>
      <x:c r="L1166" s="34" t="str">
        <x:v>PASS</x:v>
      </x:c>
      <x:c r="M1166" s="34" t="str">
        <x:v>numeric coverage for applicable metric</x:v>
      </x:c>
      <x:c r="N1166" s="34" t="str">
        <x:v>Feedback-Directed Random Test Generation/Result_Round2/Compress_26/result.json</x:v>
      </x:c>
      <x:c r="O1166" s="38" t="n">
        <x:f>IF(AND(G1166="RECORDED",ISNUMBER(H1166)),H1166,"")</x:f>
        <x:v>57.41</x:v>
      </x:c>
      <x:c r="P1166" s="34" t="str">
        <x:v>NOT_REVEALING</x:v>
      </x:c>
      <x:c r="Q1166" s="34" t="str">
        <x:v>Feedback-Directed Random Test Generation/Result_Round2/Compress_26/result.json</x:v>
      </x:c>
    </x:row>
    <x:row r="1167">
      <x:c r="A1167" s="34" t="str">
        <x:v>randoop</x:v>
      </x:c>
      <x:c r="B1167" s="34" t="str">
        <x:v>Compress</x:v>
      </x:c>
      <x:c r="C1167" s="34" t="str">
        <x:v>Round2</x:v>
      </x:c>
      <x:c r="D1167" s="34" t="str">
        <x:v>Compress_27</x:v>
      </x:c>
      <x:c r="E1167" s="34" t="str">
        <x:v>Coverage</x:v>
      </x:c>
      <x:c r="F1167" s="34" t="n">
        <x:v>294</x:v>
      </x:c>
      <x:c r="G1167" s="34" t="str">
        <x:v>RECORDED</x:v>
      </x:c>
      <x:c r="H1167" s="38" t="n">
        <x:f>IF(ISNUMBER('Data'!G1167),'Data'!G1167*100,"")</x:f>
        <x:v>79.25</x:v>
      </x:c>
      <x:c r="I1167" s="34" t="str">
        <x:v>PASS</x:v>
      </x:c>
      <x:c r="J1167" s="34" t="str">
        <x:v>PASS</x:v>
      </x:c>
      <x:c r="K1167" s="34" t="str">
        <x:v>PASS</x:v>
      </x:c>
      <x:c r="L1167" s="34" t="str">
        <x:v>PASS</x:v>
      </x:c>
      <x:c r="M1167" s="34" t="str">
        <x:v>numeric coverage for applicable metric</x:v>
      </x:c>
      <x:c r="N1167" s="34" t="str">
        <x:v>Feedback-Directed Random Test Generation/Result_Round2/Compress_27/result.json</x:v>
      </x:c>
      <x:c r="O1167" s="38" t="n">
        <x:f>IF(AND(G1167="RECORDED",ISNUMBER(H1167)),H1167,"")</x:f>
        <x:v>79.25</x:v>
      </x:c>
      <x:c r="P1167" s="34" t="str">
        <x:v>NOT_REVEALING</x:v>
      </x:c>
      <x:c r="Q1167" s="34" t="str">
        <x:v>Feedback-Directed Random Test Generation/Result_Round2/Compress_27/result.json</x:v>
      </x:c>
    </x:row>
    <x:row r="1168">
      <x:c r="A1168" s="34" t="str">
        <x:v>randoop</x:v>
      </x:c>
      <x:c r="B1168" s="34" t="str">
        <x:v>Compress</x:v>
      </x:c>
      <x:c r="C1168" s="34" t="str">
        <x:v>Round2</x:v>
      </x:c>
      <x:c r="D1168" s="34" t="str">
        <x:v>Compress_28</x:v>
      </x:c>
      <x:c r="E1168" s="34" t="str">
        <x:v>Coverage</x:v>
      </x:c>
      <x:c r="F1168" s="34" t="n">
        <x:v>335</x:v>
      </x:c>
      <x:c r="G1168" s="34" t="str">
        <x:v>RECORDED</x:v>
      </x:c>
      <x:c r="H1168" s="38" t="n">
        <x:f>IF(ISNUMBER('Data'!G1168),'Data'!G1168*100,"")</x:f>
        <x:v>33.73</x:v>
      </x:c>
      <x:c r="I1168" s="34" t="str">
        <x:v>PASS</x:v>
      </x:c>
      <x:c r="J1168" s="34" t="str">
        <x:v>PASS</x:v>
      </x:c>
      <x:c r="K1168" s="34" t="str">
        <x:v>PASS</x:v>
      </x:c>
      <x:c r="L1168" s="34" t="str">
        <x:v>PASS</x:v>
      </x:c>
      <x:c r="M1168" s="34" t="str">
        <x:v>numeric coverage for applicable metric</x:v>
      </x:c>
      <x:c r="N1168" s="34" t="str">
        <x:v>Feedback-Directed Random Test Generation/Result_Round2/Compress_28/result.json</x:v>
      </x:c>
      <x:c r="O1168" s="38" t="n">
        <x:f>IF(AND(G1168="RECORDED",ISNUMBER(H1168)),H1168,"")</x:f>
        <x:v>33.73</x:v>
      </x:c>
      <x:c r="P1168" s="34" t="str">
        <x:v>NOT_REVEALING</x:v>
      </x:c>
      <x:c r="Q1168" s="34" t="str">
        <x:v>Feedback-Directed Random Test Generation/Result_Round2/Compress_28/result.json</x:v>
      </x:c>
    </x:row>
    <x:row r="1169">
      <x:c r="A1169" s="34" t="str">
        <x:v>randoop</x:v>
      </x:c>
      <x:c r="B1169" s="34" t="str">
        <x:v>Compress</x:v>
      </x:c>
      <x:c r="C1169" s="34" t="str">
        <x:v>Round2</x:v>
      </x:c>
      <x:c r="D1169" s="34" t="str">
        <x:v>Compress_29</x:v>
      </x:c>
      <x:c r="E1169" s="34" t="str">
        <x:v>Coverage</x:v>
      </x:c>
      <x:c r="F1169" s="34" t="n">
        <x:v>2494</x:v>
      </x:c>
      <x:c r="G1169" s="34" t="str">
        <x:v>RECORDED</x:v>
      </x:c>
      <x:c r="H1169" s="38" t="n">
        <x:f>IF(ISNUMBER('Data'!G1169),'Data'!G1169*100,"")</x:f>
        <x:v>28.59</x:v>
      </x:c>
      <x:c r="I1169" s="34" t="str">
        <x:v>PASS</x:v>
      </x:c>
      <x:c r="J1169" s="34" t="str">
        <x:v>PASS</x:v>
      </x:c>
      <x:c r="K1169" s="34" t="str">
        <x:v>PASS</x:v>
      </x:c>
      <x:c r="L1169" s="34" t="str">
        <x:v>PASS</x:v>
      </x:c>
      <x:c r="M1169" s="34" t="str">
        <x:v>numeric coverage for applicable metric</x:v>
      </x:c>
      <x:c r="N1169" s="34" t="str">
        <x:v>Feedback-Directed Random Test Generation/Result_Round2/Compress_29/result.json</x:v>
      </x:c>
      <x:c r="O1169" s="38" t="n">
        <x:f>IF(AND(G1169="RECORDED",ISNUMBER(H1169)),H1169,"")</x:f>
        <x:v>28.59</x:v>
      </x:c>
      <x:c r="P1169" s="34" t="str">
        <x:v>NOT_REVEALING</x:v>
      </x:c>
      <x:c r="Q1169" s="34" t="str">
        <x:v>Feedback-Directed Random Test Generation/Result_Round2/Compress_29/result.json</x:v>
      </x:c>
    </x:row>
    <x:row r="1170">
      <x:c r="A1170" s="34" t="str">
        <x:v>randoop</x:v>
      </x:c>
      <x:c r="B1170" s="34" t="str">
        <x:v>Compress</x:v>
      </x:c>
      <x:c r="C1170" s="34" t="str">
        <x:v>Round2</x:v>
      </x:c>
      <x:c r="D1170" s="34" t="str">
        <x:v>Compress_30</x:v>
      </x:c>
      <x:c r="E1170" s="34" t="str">
        <x:v>Coverage</x:v>
      </x:c>
      <x:c r="F1170" s="34" t="n">
        <x:v>755</x:v>
      </x:c>
      <x:c r="G1170" s="34" t="str">
        <x:v>RECORDED</x:v>
      </x:c>
      <x:c r="H1170" s="38" t="n">
        <x:f>IF(ISNUMBER('Data'!G1170),'Data'!G1170*100,"")</x:f>
        <x:v>3.84</x:v>
      </x:c>
      <x:c r="I1170" s="34" t="str">
        <x:v>PASS</x:v>
      </x:c>
      <x:c r="J1170" s="34" t="str">
        <x:v>PASS</x:v>
      </x:c>
      <x:c r="K1170" s="34" t="str">
        <x:v>PASS</x:v>
      </x:c>
      <x:c r="L1170" s="34" t="str">
        <x:v>PASS</x:v>
      </x:c>
      <x:c r="M1170" s="34" t="str">
        <x:v>numeric coverage for applicable metric</x:v>
      </x:c>
      <x:c r="N1170" s="34" t="str">
        <x:v>Feedback-Directed Random Test Generation/Result_Round2/Compress_30/result.json</x:v>
      </x:c>
      <x:c r="O1170" s="38" t="n">
        <x:f>IF(AND(G1170="RECORDED",ISNUMBER(H1170)),H1170,"")</x:f>
        <x:v>3.84</x:v>
      </x:c>
      <x:c r="P1170" s="34" t="str">
        <x:v>NOT_REVEALING</x:v>
      </x:c>
      <x:c r="Q1170" s="34" t="str">
        <x:v>Feedback-Directed Random Test Generation/Result_Round2/Compress_30/result.json</x:v>
      </x:c>
    </x:row>
    <x:row r="1171">
      <x:c r="A1171" s="34" t="str">
        <x:v>randoop</x:v>
      </x:c>
      <x:c r="B1171" s="34" t="str">
        <x:v>Compress</x:v>
      </x:c>
      <x:c r="C1171" s="34" t="str">
        <x:v>Round2</x:v>
      </x:c>
      <x:c r="D1171" s="34" t="str">
        <x:v>Compress_31</x:v>
      </x:c>
      <x:c r="E1171" s="34" t="str">
        <x:v>Coverage</x:v>
      </x:c>
      <x:c r="F1171" s="34" t="n">
        <x:v>292</x:v>
      </x:c>
      <x:c r="G1171" s="34" t="str">
        <x:v>RECORDED</x:v>
      </x:c>
      <x:c r="H1171" s="38" t="n">
        <x:f>IF(ISNUMBER('Data'!G1171),'Data'!G1171*100,"")</x:f>
        <x:v>78.77</x:v>
      </x:c>
      <x:c r="I1171" s="34" t="str">
        <x:v>PASS</x:v>
      </x:c>
      <x:c r="J1171" s="34" t="str">
        <x:v>PASS</x:v>
      </x:c>
      <x:c r="K1171" s="34" t="str">
        <x:v>PASS</x:v>
      </x:c>
      <x:c r="L1171" s="34" t="str">
        <x:v>PASS</x:v>
      </x:c>
      <x:c r="M1171" s="34" t="str">
        <x:v>numeric coverage for applicable metric</x:v>
      </x:c>
      <x:c r="N1171" s="34" t="str">
        <x:v>Feedback-Directed Random Test Generation/Result_Round2/Compress_31/result.json</x:v>
      </x:c>
      <x:c r="O1171" s="38" t="n">
        <x:f>IF(AND(G1171="RECORDED",ISNUMBER(H1171)),H1171,"")</x:f>
        <x:v>78.77</x:v>
      </x:c>
      <x:c r="P1171" s="34" t="str">
        <x:v>NOT_REVEALING</x:v>
      </x:c>
      <x:c r="Q1171" s="34" t="str">
        <x:v>Feedback-Directed Random Test Generation/Result_Round2/Compress_31/result.json</x:v>
      </x:c>
    </x:row>
    <x:row r="1172">
      <x:c r="A1172" s="34" t="str">
        <x:v>randoop</x:v>
      </x:c>
      <x:c r="B1172" s="34" t="str">
        <x:v>Compress</x:v>
      </x:c>
      <x:c r="C1172" s="34" t="str">
        <x:v>Round2</x:v>
      </x:c>
      <x:c r="D1172" s="34" t="str">
        <x:v>Compress_32</x:v>
      </x:c>
      <x:c r="E1172" s="34" t="str">
        <x:v>Coverage</x:v>
      </x:c>
      <x:c r="F1172" s="34" t="n">
        <x:v>346</x:v>
      </x:c>
      <x:c r="G1172" s="34" t="str">
        <x:v>RECORDED</x:v>
      </x:c>
      <x:c r="H1172" s="38" t="n">
        <x:f>IF(ISNUMBER('Data'!G1172),'Data'!G1172*100,"")</x:f>
        <x:v>34.39</x:v>
      </x:c>
      <x:c r="I1172" s="34" t="str">
        <x:v>PASS</x:v>
      </x:c>
      <x:c r="J1172" s="34" t="str">
        <x:v>PASS</x:v>
      </x:c>
      <x:c r="K1172" s="34" t="str">
        <x:v>PASS</x:v>
      </x:c>
      <x:c r="L1172" s="34" t="str">
        <x:v>PASS</x:v>
      </x:c>
      <x:c r="M1172" s="34" t="str">
        <x:v>numeric coverage for applicable metric</x:v>
      </x:c>
      <x:c r="N1172" s="34" t="str">
        <x:v>Feedback-Directed Random Test Generation/Result_Round2/Compress_32/result.json</x:v>
      </x:c>
      <x:c r="O1172" s="38" t="n">
        <x:f>IF(AND(G1172="RECORDED",ISNUMBER(H1172)),H1172,"")</x:f>
        <x:v>34.39</x:v>
      </x:c>
      <x:c r="P1172" s="34" t="str">
        <x:v>NOT_REVEALING</x:v>
      </x:c>
      <x:c r="Q1172" s="34" t="str">
        <x:v>Feedback-Directed Random Test Generation/Result_Round2/Compress_32/result.json</x:v>
      </x:c>
    </x:row>
    <x:row r="1173">
      <x:c r="A1173" s="34" t="str">
        <x:v>randoop</x:v>
      </x:c>
      <x:c r="B1173" s="34" t="str">
        <x:v>Compress</x:v>
      </x:c>
      <x:c r="C1173" s="34" t="str">
        <x:v>Round2</x:v>
      </x:c>
      <x:c r="D1173" s="34" t="str">
        <x:v>Compress_33</x:v>
      </x:c>
      <x:c r="E1173" s="34" t="str">
        <x:v>Coverage</x:v>
      </x:c>
      <x:c r="F1173" s="34" t="n">
        <x:v>160</x:v>
      </x:c>
      <x:c r="G1173" s="34" t="str">
        <x:v>RECORDED</x:v>
      </x:c>
      <x:c r="H1173" s="38" t="n">
        <x:f>IF(ISNUMBER('Data'!G1173),'Data'!G1173*100,"")</x:f>
        <x:v>48.75</x:v>
      </x:c>
      <x:c r="I1173" s="34" t="str">
        <x:v>PASS</x:v>
      </x:c>
      <x:c r="J1173" s="34" t="str">
        <x:v>PASS</x:v>
      </x:c>
      <x:c r="K1173" s="34" t="str">
        <x:v>PASS</x:v>
      </x:c>
      <x:c r="L1173" s="34" t="str">
        <x:v>PASS</x:v>
      </x:c>
      <x:c r="M1173" s="34" t="str">
        <x:v>numeric coverage for applicable metric</x:v>
      </x:c>
      <x:c r="N1173" s="34" t="str">
        <x:v>Feedback-Directed Random Test Generation/Result_Round2/Compress_33/result.json</x:v>
      </x:c>
      <x:c r="O1173" s="38" t="n">
        <x:f>IF(AND(G1173="RECORDED",ISNUMBER(H1173)),H1173,"")</x:f>
        <x:v>48.75</x:v>
      </x:c>
      <x:c r="P1173" s="34" t="str">
        <x:v>NOT_REVEALING</x:v>
      </x:c>
      <x:c r="Q1173" s="34" t="str">
        <x:v>Feedback-Directed Random Test Generation/Result_Round2/Compress_33/result.json</x:v>
      </x:c>
    </x:row>
    <x:row r="1174">
      <x:c r="A1174" s="34" t="str">
        <x:v>randoop</x:v>
      </x:c>
      <x:c r="B1174" s="34" t="str">
        <x:v>Compress</x:v>
      </x:c>
      <x:c r="C1174" s="34" t="str">
        <x:v>Round2</x:v>
      </x:c>
      <x:c r="D1174" s="34" t="str">
        <x:v>Compress_34</x:v>
      </x:c>
      <x:c r="E1174" s="34" t="str">
        <x:v>Coverage</x:v>
      </x:c>
      <x:c r="F1174" s="34" t="n">
        <x:v>84</x:v>
      </x:c>
      <x:c r="G1174" s="34" t="str">
        <x:v>RECORDED</x:v>
      </x:c>
      <x:c r="H1174" s="38" t="n">
        <x:f>IF(ISNUMBER('Data'!G1174),'Data'!G1174*100,"")</x:f>
        <x:v>94.05</x:v>
      </x:c>
      <x:c r="I1174" s="34" t="str">
        <x:v>PASS</x:v>
      </x:c>
      <x:c r="J1174" s="34" t="str">
        <x:v>PASS</x:v>
      </x:c>
      <x:c r="K1174" s="34" t="str">
        <x:v>PASS</x:v>
      </x:c>
      <x:c r="L1174" s="34" t="str">
        <x:v>PASS</x:v>
      </x:c>
      <x:c r="M1174" s="34" t="str">
        <x:v>numeric coverage for applicable metric</x:v>
      </x:c>
      <x:c r="N1174" s="34" t="str">
        <x:v>Feedback-Directed Random Test Generation/Result_Round2/Compress_34/result.json</x:v>
      </x:c>
      <x:c r="O1174" s="38" t="n">
        <x:f>IF(AND(G1174="RECORDED",ISNUMBER(H1174)),H1174,"")</x:f>
        <x:v>94.05</x:v>
      </x:c>
      <x:c r="P1174" s="34" t="str">
        <x:v>NOT_REVEALING</x:v>
      </x:c>
      <x:c r="Q1174" s="34" t="str">
        <x:v>Feedback-Directed Random Test Generation/Result_Round2/Compress_34/result.json</x:v>
      </x:c>
    </x:row>
    <x:row r="1175">
      <x:c r="A1175" s="34" t="str">
        <x:v>randoop</x:v>
      </x:c>
      <x:c r="B1175" s="34" t="str">
        <x:v>Compress</x:v>
      </x:c>
      <x:c r="C1175" s="34" t="str">
        <x:v>Round2</x:v>
      </x:c>
      <x:c r="D1175" s="34" t="str">
        <x:v>Compress_35</x:v>
      </x:c>
      <x:c r="E1175" s="34" t="str">
        <x:v>Coverage</x:v>
      </x:c>
      <x:c r="F1175" s="34" t="n">
        <x:v>286</x:v>
      </x:c>
      <x:c r="G1175" s="34" t="str">
        <x:v>RECORDED</x:v>
      </x:c>
      <x:c r="H1175" s="38" t="n">
        <x:f>IF(ISNUMBER('Data'!G1175),'Data'!G1175*100,"")</x:f>
        <x:v>79.37</x:v>
      </x:c>
      <x:c r="I1175" s="34" t="str">
        <x:v>PASS</x:v>
      </x:c>
      <x:c r="J1175" s="34" t="str">
        <x:v>PASS</x:v>
      </x:c>
      <x:c r="K1175" s="34" t="str">
        <x:v>PASS</x:v>
      </x:c>
      <x:c r="L1175" s="34" t="str">
        <x:v>PASS</x:v>
      </x:c>
      <x:c r="M1175" s="34" t="str">
        <x:v>numeric coverage for applicable metric</x:v>
      </x:c>
      <x:c r="N1175" s="34" t="str">
        <x:v>Feedback-Directed Random Test Generation/Result_Round2/Compress_35/result.json</x:v>
      </x:c>
      <x:c r="O1175" s="38" t="n">
        <x:f>IF(AND(G1175="RECORDED",ISNUMBER(H1175)),H1175,"")</x:f>
        <x:v>79.37</x:v>
      </x:c>
      <x:c r="P1175" s="34" t="str">
        <x:v>INCONCLUSIVE</x:v>
      </x:c>
      <x:c r="Q1175" s="34" t="str">
        <x:v>Feedback-Directed Random Test Generation/Result_Round2/Compress_35/result.json</x:v>
      </x:c>
    </x:row>
    <x:row r="1176">
      <x:c r="A1176" s="34" t="str">
        <x:v>randoop</x:v>
      </x:c>
      <x:c r="B1176" s="34" t="str">
        <x:v>Compress</x:v>
      </x:c>
      <x:c r="C1176" s="34" t="str">
        <x:v>Round2</x:v>
      </x:c>
      <x:c r="D1176" s="34" t="str">
        <x:v>Compress_36</x:v>
      </x:c>
      <x:c r="E1176" s="34" t="str">
        <x:v>Coverage</x:v>
      </x:c>
      <x:c r="F1176" s="34" t="n">
        <x:v>836</x:v>
      </x:c>
      <x:c r="G1176" s="34" t="str">
        <x:v>RECORDED</x:v>
      </x:c>
      <x:c r="H1176" s="38" t="n">
        <x:f>IF(ISNUMBER('Data'!G1176),'Data'!G1176*100,"")</x:f>
        <x:v>2.51</x:v>
      </x:c>
      <x:c r="I1176" s="34" t="str">
        <x:v>PASS</x:v>
      </x:c>
      <x:c r="J1176" s="34" t="str">
        <x:v>PASS</x:v>
      </x:c>
      <x:c r="K1176" s="34" t="str">
        <x:v>PASS</x:v>
      </x:c>
      <x:c r="L1176" s="34" t="str">
        <x:v>PASS</x:v>
      </x:c>
      <x:c r="M1176" s="34" t="str">
        <x:v>numeric coverage for applicable metric</x:v>
      </x:c>
      <x:c r="N1176" s="34" t="str">
        <x:v>Feedback-Directed Random Test Generation/Result_Round2/Compress_36/result.json</x:v>
      </x:c>
      <x:c r="O1176" s="38" t="n">
        <x:f>IF(AND(G1176="RECORDED",ISNUMBER(H1176)),H1176,"")</x:f>
        <x:v>2.51</x:v>
      </x:c>
      <x:c r="P1176" s="34" t="str">
        <x:v>NOT_REVEALING</x:v>
      </x:c>
      <x:c r="Q1176" s="34" t="str">
        <x:v>Feedback-Directed Random Test Generation/Result_Round2/Compress_36/result.json</x:v>
      </x:c>
    </x:row>
    <x:row r="1177">
      <x:c r="A1177" s="34" t="str">
        <x:v>randoop</x:v>
      </x:c>
      <x:c r="B1177" s="34" t="str">
        <x:v>Compress</x:v>
      </x:c>
      <x:c r="C1177" s="34" t="str">
        <x:v>Round2</x:v>
      </x:c>
      <x:c r="D1177" s="34" t="str">
        <x:v>Compress_37</x:v>
      </x:c>
      <x:c r="E1177" s="34" t="str">
        <x:v>Coverage</x:v>
      </x:c>
      <x:c r="F1177" s="34" t="n">
        <x:v>389</x:v>
      </x:c>
      <x:c r="G1177" s="34" t="str">
        <x:v>RECORDED</x:v>
      </x:c>
      <x:c r="H1177" s="38" t="n">
        <x:f>IF(ISNUMBER('Data'!G1177),'Data'!G1177*100,"")</x:f>
        <x:v>32.39</x:v>
      </x:c>
      <x:c r="I1177" s="34" t="str">
        <x:v>PASS</x:v>
      </x:c>
      <x:c r="J1177" s="34" t="str">
        <x:v>PASS</x:v>
      </x:c>
      <x:c r="K1177" s="34" t="str">
        <x:v>PASS</x:v>
      </x:c>
      <x:c r="L1177" s="34" t="str">
        <x:v>PASS</x:v>
      </x:c>
      <x:c r="M1177" s="34" t="str">
        <x:v>numeric coverage for applicable metric</x:v>
      </x:c>
      <x:c r="N1177" s="34" t="str">
        <x:v>Feedback-Directed Random Test Generation/Result_Round2/Compress_37/result.json</x:v>
      </x:c>
      <x:c r="O1177" s="38" t="n">
        <x:f>IF(AND(G1177="RECORDED",ISNUMBER(H1177)),H1177,"")</x:f>
        <x:v>32.39</x:v>
      </x:c>
      <x:c r="P1177" s="34" t="str">
        <x:v>NOT_REVEALING</x:v>
      </x:c>
      <x:c r="Q1177" s="34" t="str">
        <x:v>Feedback-Directed Random Test Generation/Result_Round2/Compress_37/result.json</x:v>
      </x:c>
    </x:row>
    <x:row r="1178">
      <x:c r="A1178" s="34" t="str">
        <x:v>randoop</x:v>
      </x:c>
      <x:c r="B1178" s="34" t="str">
        <x:v>Compress</x:v>
      </x:c>
      <x:c r="C1178" s="34" t="str">
        <x:v>Round2</x:v>
      </x:c>
      <x:c r="D1178" s="34" t="str">
        <x:v>Compress_38</x:v>
      </x:c>
      <x:c r="E1178" s="34" t="str">
        <x:v>Coverage</x:v>
      </x:c>
      <x:c r="F1178" s="34" t="n">
        <x:v>447</x:v>
      </x:c>
      <x:c r="G1178" s="34" t="str">
        <x:v>RECORDED</x:v>
      </x:c>
      <x:c r="H1178" s="38" t="n">
        <x:f>IF(ISNUMBER('Data'!G1178),'Data'!G1178*100,"")</x:f>
        <x:v>46.31</x:v>
      </x:c>
      <x:c r="I1178" s="34" t="str">
        <x:v>PASS</x:v>
      </x:c>
      <x:c r="J1178" s="34" t="str">
        <x:v>PASS</x:v>
      </x:c>
      <x:c r="K1178" s="34" t="str">
        <x:v>PASS</x:v>
      </x:c>
      <x:c r="L1178" s="34" t="str">
        <x:v>FAIL</x:v>
      </x:c>
      <x:c r="M1178" s="34" t="str">
        <x:v>numeric coverage for applicable metric</x:v>
      </x:c>
      <x:c r="N1178" s="34" t="str">
        <x:v>Feedback-Directed Random Test Generation/Result_Round2/Compress_38/result.json</x:v>
      </x:c>
      <x:c r="O1178" s="38" t="n">
        <x:f>IF(AND(G1178="RECORDED",ISNUMBER(H1178)),H1178,"")</x:f>
        <x:v>46.31</x:v>
      </x:c>
      <x:c r="P1178" s="34" t="str">
        <x:v>INCONCLUSIVE</x:v>
      </x:c>
      <x:c r="Q1178" s="34" t="str">
        <x:v>Feedback-Directed Random Test Generation/Result_Round2/Compress_38/result.json</x:v>
      </x:c>
    </x:row>
    <x:row r="1179">
      <x:c r="A1179" s="34" t="str">
        <x:v>randoop</x:v>
      </x:c>
      <x:c r="B1179" s="34" t="str">
        <x:v>Compress</x:v>
      </x:c>
      <x:c r="C1179" s="34" t="str">
        <x:v>Round2</x:v>
      </x:c>
      <x:c r="D1179" s="34" t="str">
        <x:v>Compress_39</x:v>
      </x:c>
      <x:c r="E1179" s="34" t="str">
        <x:v>Coverage</x:v>
      </x:c>
      <x:c r="F1179" s="34" t="n">
        <x:v>98</x:v>
      </x:c>
      <x:c r="G1179" s="34" t="str">
        <x:v>RECORDED</x:v>
      </x:c>
      <x:c r="H1179" s="38" t="n">
        <x:f>IF(ISNUMBER('Data'!G1179),'Data'!G1179*100,"")</x:f>
        <x:v>76.53</x:v>
      </x:c>
      <x:c r="I1179" s="34" t="str">
        <x:v>PASS</x:v>
      </x:c>
      <x:c r="J1179" s="34" t="str">
        <x:v>PASS</x:v>
      </x:c>
      <x:c r="K1179" s="34" t="str">
        <x:v>PASS</x:v>
      </x:c>
      <x:c r="L1179" s="34" t="str">
        <x:v>PASS</x:v>
      </x:c>
      <x:c r="M1179" s="34" t="str">
        <x:v>numeric coverage for applicable metric</x:v>
      </x:c>
      <x:c r="N1179" s="34" t="str">
        <x:v>Feedback-Directed Random Test Generation/Result_Round2/Compress_39/result.json</x:v>
      </x:c>
      <x:c r="O1179" s="38" t="n">
        <x:f>IF(AND(G1179="RECORDED",ISNUMBER(H1179)),H1179,"")</x:f>
        <x:v>76.53</x:v>
      </x:c>
      <x:c r="P1179" s="34" t="str">
        <x:v>NOT_REVEALING</x:v>
      </x:c>
      <x:c r="Q1179" s="34" t="str">
        <x:v>Feedback-Directed Random Test Generation/Result_Round2/Compress_39/result.json</x:v>
      </x:c>
    </x:row>
    <x:row r="1180">
      <x:c r="A1180" s="34" t="str">
        <x:v>randoop</x:v>
      </x:c>
      <x:c r="B1180" s="34" t="str">
        <x:v>Compress</x:v>
      </x:c>
      <x:c r="C1180" s="34" t="str">
        <x:v>Round2</x:v>
      </x:c>
      <x:c r="D1180" s="34" t="str">
        <x:v>Compress_40</x:v>
      </x:c>
      <x:c r="E1180" s="34" t="str">
        <x:v>Coverage</x:v>
      </x:c>
      <x:c r="F1180" s="34" t="n">
        <x:v>45</x:v>
      </x:c>
      <x:c r="G1180" s="34" t="str">
        <x:v>RECORDED</x:v>
      </x:c>
      <x:c r="H1180" s="38" t="n">
        <x:f>IF(ISNUMBER('Data'!G1180),'Data'!G1180*100,"")</x:f>
        <x:v>64.44</x:v>
      </x:c>
      <x:c r="I1180" s="34" t="str">
        <x:v>PASS</x:v>
      </x:c>
      <x:c r="J1180" s="34" t="str">
        <x:v>PASS</x:v>
      </x:c>
      <x:c r="K1180" s="34" t="str">
        <x:v>PASS</x:v>
      </x:c>
      <x:c r="L1180" s="34" t="str">
        <x:v>PASS</x:v>
      </x:c>
      <x:c r="M1180" s="34" t="str">
        <x:v>numeric coverage for applicable metric</x:v>
      </x:c>
      <x:c r="N1180" s="34" t="str">
        <x:v>Feedback-Directed Random Test Generation/Result_Round2/Compress_40/result.json</x:v>
      </x:c>
      <x:c r="O1180" s="38" t="n">
        <x:f>IF(AND(G1180="RECORDED",ISNUMBER(H1180)),H1180,"")</x:f>
        <x:v>64.44</x:v>
      </x:c>
      <x:c r="P1180" s="34" t="str">
        <x:v>NOT_REVEALING</x:v>
      </x:c>
      <x:c r="Q1180" s="34" t="str">
        <x:v>Feedback-Directed Random Test Generation/Result_Round2/Compress_40/result.json</x:v>
      </x:c>
    </x:row>
    <x:row r="1181">
      <x:c r="A1181" s="34" t="str">
        <x:v>randoop</x:v>
      </x:c>
      <x:c r="B1181" s="34" t="str">
        <x:v>Compress</x:v>
      </x:c>
      <x:c r="C1181" s="34" t="str">
        <x:v>Round2</x:v>
      </x:c>
      <x:c r="D1181" s="34" t="str">
        <x:v>Compress_41</x:v>
      </x:c>
      <x:c r="E1181" s="34" t="str">
        <x:v>Coverage</x:v>
      </x:c>
      <x:c r="F1181" s="34" t="n">
        <x:v>672</x:v>
      </x:c>
      <x:c r="G1181" s="34" t="str">
        <x:v>RECORDED</x:v>
      </x:c>
      <x:c r="H1181" s="38" t="n">
        <x:f>IF(ISNUMBER('Data'!G1181),'Data'!G1181*100,"")</x:f>
        <x:v>14.88</x:v>
      </x:c>
      <x:c r="I1181" s="34" t="str">
        <x:v>PASS</x:v>
      </x:c>
      <x:c r="J1181" s="34" t="str">
        <x:v>PASS</x:v>
      </x:c>
      <x:c r="K1181" s="34" t="str">
        <x:v>PASS</x:v>
      </x:c>
      <x:c r="L1181" s="34" t="str">
        <x:v>PASS</x:v>
      </x:c>
      <x:c r="M1181" s="34" t="str">
        <x:v>numeric coverage for applicable metric</x:v>
      </x:c>
      <x:c r="N1181" s="34" t="str">
        <x:v>Feedback-Directed Random Test Generation/Result_Round2/Compress_41/result.json</x:v>
      </x:c>
      <x:c r="O1181" s="38" t="n">
        <x:f>IF(AND(G1181="RECORDED",ISNUMBER(H1181)),H1181,"")</x:f>
        <x:v>14.88</x:v>
      </x:c>
      <x:c r="P1181" s="34" t="str">
        <x:v>NOT_REVEALING</x:v>
      </x:c>
      <x:c r="Q1181" s="34" t="str">
        <x:v>Feedback-Directed Random Test Generation/Result_Round2/Compress_41/result.json</x:v>
      </x:c>
    </x:row>
    <x:row r="1182">
      <x:c r="A1182" s="34" t="str">
        <x:v>randoop</x:v>
      </x:c>
      <x:c r="B1182" s="34" t="str">
        <x:v>Compress</x:v>
      </x:c>
      <x:c r="C1182" s="34" t="str">
        <x:v>Round2</x:v>
      </x:c>
      <x:c r="D1182" s="34" t="str">
        <x:v>Compress_42</x:v>
      </x:c>
      <x:c r="E1182" s="34" t="str">
        <x:v>Coverage</x:v>
      </x:c>
      <x:c r="F1182" s="34" t="n">
        <x:v>376</x:v>
      </x:c>
      <x:c r="G1182" s="34" t="str">
        <x:v>RECORDED</x:v>
      </x:c>
      <x:c r="H1182" s="38" t="n">
        <x:f>IF(ISNUMBER('Data'!G1182),'Data'!G1182*100,"")</x:f>
        <x:v>80.05</x:v>
      </x:c>
      <x:c r="I1182" s="34" t="str">
        <x:v>PASS</x:v>
      </x:c>
      <x:c r="J1182" s="34" t="str">
        <x:v>PASS</x:v>
      </x:c>
      <x:c r="K1182" s="34" t="str">
        <x:v>PASS</x:v>
      </x:c>
      <x:c r="L1182" s="34" t="str">
        <x:v>FAIL</x:v>
      </x:c>
      <x:c r="M1182" s="34" t="str">
        <x:v>numeric coverage for applicable metric</x:v>
      </x:c>
      <x:c r="N1182" s="34" t="str">
        <x:v>Feedback-Directed Random Test Generation/Result_Round2/Compress_42/result.json</x:v>
      </x:c>
      <x:c r="O1182" s="38" t="n">
        <x:f>IF(AND(G1182="RECORDED",ISNUMBER(H1182)),H1182,"")</x:f>
        <x:v>80.05</x:v>
      </x:c>
      <x:c r="P1182" s="34" t="str">
        <x:v>INCONCLUSIVE</x:v>
      </x:c>
      <x:c r="Q1182" s="34" t="str">
        <x:v>Feedback-Directed Random Test Generation/Result_Round2/Compress_42/result.json</x:v>
      </x:c>
    </x:row>
    <x:row r="1183">
      <x:c r="A1183" s="34" t="str">
        <x:v>randoop</x:v>
      </x:c>
      <x:c r="B1183" s="34" t="str">
        <x:v>Compress</x:v>
      </x:c>
      <x:c r="C1183" s="34" t="str">
        <x:v>Round2</x:v>
      </x:c>
      <x:c r="D1183" s="34" t="str">
        <x:v>Compress_43</x:v>
      </x:c>
      <x:c r="E1183" s="34" t="str">
        <x:v>Coverage</x:v>
      </x:c>
      <x:c r="F1183" s="34" t="n">
        <x:v>833</x:v>
      </x:c>
      <x:c r="G1183" s="34" t="str">
        <x:v>RECORDED</x:v>
      </x:c>
      <x:c r="H1183" s="38" t="n">
        <x:f>IF(ISNUMBER('Data'!G1183),'Data'!G1183*100,"")</x:f>
        <x:v>17.77</x:v>
      </x:c>
      <x:c r="I1183" s="34" t="str">
        <x:v>PASS</x:v>
      </x:c>
      <x:c r="J1183" s="34" t="str">
        <x:v>PASS</x:v>
      </x:c>
      <x:c r="K1183" s="34" t="str">
        <x:v>PASS</x:v>
      </x:c>
      <x:c r="L1183" s="34" t="str">
        <x:v>PASS</x:v>
      </x:c>
      <x:c r="M1183" s="34" t="str">
        <x:v>numeric coverage for applicable metric</x:v>
      </x:c>
      <x:c r="N1183" s="34" t="str">
        <x:v>Feedback-Directed Random Test Generation/Result_Round2/Compress_43/result.json</x:v>
      </x:c>
      <x:c r="O1183" s="38" t="n">
        <x:f>IF(AND(G1183="RECORDED",ISNUMBER(H1183)),H1183,"")</x:f>
        <x:v>17.77</x:v>
      </x:c>
      <x:c r="P1183" s="34" t="str">
        <x:v>NOT_REVEALING</x:v>
      </x:c>
      <x:c r="Q1183" s="34" t="str">
        <x:v>Feedback-Directed Random Test Generation/Result_Round2/Compress_43/result.json</x:v>
      </x:c>
    </x:row>
    <x:row r="1184">
      <x:c r="A1184" s="34" t="str">
        <x:v>randoop</x:v>
      </x:c>
      <x:c r="B1184" s="34" t="str">
        <x:v>Compress</x:v>
      </x:c>
      <x:c r="C1184" s="34" t="str">
        <x:v>Round2</x:v>
      </x:c>
      <x:c r="D1184" s="34" t="str">
        <x:v>Compress_44</x:v>
      </x:c>
      <x:c r="E1184" s="34" t="str">
        <x:v>Coverage</x:v>
      </x:c>
      <x:c r="F1184" s="34" t="n">
        <x:v>23</x:v>
      </x:c>
      <x:c r="G1184" s="34" t="str">
        <x:v>RECORDED</x:v>
      </x:c>
      <x:c r="H1184" s="38" t="n">
        <x:f>IF(ISNUMBER('Data'!G1184),'Data'!G1184*100,"")</x:f>
        <x:v>82.61</x:v>
      </x:c>
      <x:c r="I1184" s="34" t="str">
        <x:v>PASS</x:v>
      </x:c>
      <x:c r="J1184" s="34" t="str">
        <x:v>PASS</x:v>
      </x:c>
      <x:c r="K1184" s="34" t="str">
        <x:v>PASS</x:v>
      </x:c>
      <x:c r="L1184" s="34" t="str">
        <x:v>PASS</x:v>
      </x:c>
      <x:c r="M1184" s="34" t="str">
        <x:v>numeric coverage for applicable metric</x:v>
      </x:c>
      <x:c r="N1184" s="34" t="str">
        <x:v>Feedback-Directed Random Test Generation/Result_Round2/Compress_44/result.json</x:v>
      </x:c>
      <x:c r="O1184" s="38" t="n">
        <x:f>IF(AND(G1184="RECORDED",ISNUMBER(H1184)),H1184,"")</x:f>
        <x:v>82.61</x:v>
      </x:c>
      <x:c r="P1184" s="34" t="str">
        <x:v>INCONCLUSIVE</x:v>
      </x:c>
      <x:c r="Q1184" s="34" t="str">
        <x:v>Feedback-Directed Random Test Generation/Result_Round2/Compress_44/result.json</x:v>
      </x:c>
    </x:row>
    <x:row r="1185">
      <x:c r="A1185" s="34" t="str">
        <x:v>randoop</x:v>
      </x:c>
      <x:c r="B1185" s="34" t="str">
        <x:v>Compress</x:v>
      </x:c>
      <x:c r="C1185" s="34" t="str">
        <x:v>Round2</x:v>
      </x:c>
      <x:c r="D1185" s="34" t="str">
        <x:v>Compress_45</x:v>
      </x:c>
      <x:c r="E1185" s="34" t="str">
        <x:v>Coverage</x:v>
      </x:c>
      <x:c r="F1185" s="34" t="n">
        <x:v>279</x:v>
      </x:c>
      <x:c r="G1185" s="34" t="str">
        <x:v>RECORDED</x:v>
      </x:c>
      <x:c r="H1185" s="38" t="n">
        <x:f>IF(ISNUMBER('Data'!G1185),'Data'!G1185*100,"")</x:f>
        <x:v>75.99</x:v>
      </x:c>
      <x:c r="I1185" s="34" t="str">
        <x:v>PASS</x:v>
      </x:c>
      <x:c r="J1185" s="34" t="str">
        <x:v>PASS</x:v>
      </x:c>
      <x:c r="K1185" s="34" t="str">
        <x:v>PASS</x:v>
      </x:c>
      <x:c r="L1185" s="34" t="str">
        <x:v>PASS</x:v>
      </x:c>
      <x:c r="M1185" s="34" t="str">
        <x:v>numeric coverage for applicable metric</x:v>
      </x:c>
      <x:c r="N1185" s="34" t="str">
        <x:v>Feedback-Directed Random Test Generation/Result_Round2/Compress_45/result.json</x:v>
      </x:c>
      <x:c r="O1185" s="38" t="n">
        <x:f>IF(AND(G1185="RECORDED",ISNUMBER(H1185)),H1185,"")</x:f>
        <x:v>75.99</x:v>
      </x:c>
      <x:c r="P1185" s="34" t="str">
        <x:v>INCONCLUSIVE</x:v>
      </x:c>
      <x:c r="Q1185" s="34" t="str">
        <x:v>Feedback-Directed Random Test Generation/Result_Round2/Compress_45/result.json</x:v>
      </x:c>
    </x:row>
    <x:row r="1186">
      <x:c r="A1186" s="34" t="str">
        <x:v>randoop</x:v>
      </x:c>
      <x:c r="B1186" s="34" t="str">
        <x:v>Compress</x:v>
      </x:c>
      <x:c r="C1186" s="34" t="str">
        <x:v>Round2</x:v>
      </x:c>
      <x:c r="D1186" s="34" t="str">
        <x:v>Compress_46</x:v>
      </x:c>
      <x:c r="E1186" s="34" t="str">
        <x:v>Coverage</x:v>
      </x:c>
      <x:c r="F1186" s="34" t="n">
        <x:v>215</x:v>
      </x:c>
      <x:c r="G1186" s="34" t="str">
        <x:v>RECORDED</x:v>
      </x:c>
      <x:c r="H1186" s="38" t="n">
        <x:f>IF(ISNUMBER('Data'!G1186),'Data'!G1186*100,"")</x:f>
        <x:v>63.72</x:v>
      </x:c>
      <x:c r="I1186" s="34" t="str">
        <x:v>PASS</x:v>
      </x:c>
      <x:c r="J1186" s="34" t="str">
        <x:v>PASS</x:v>
      </x:c>
      <x:c r="K1186" s="34" t="str">
        <x:v>PASS</x:v>
      </x:c>
      <x:c r="L1186" s="34" t="str">
        <x:v>FAIL</x:v>
      </x:c>
      <x:c r="M1186" s="34" t="str">
        <x:v>numeric coverage for applicable metric</x:v>
      </x:c>
      <x:c r="N1186" s="34" t="str">
        <x:v>Feedback-Directed Random Test Generation/Result_Round2/Compress_46/result.json</x:v>
      </x:c>
      <x:c r="O1186" s="38" t="n">
        <x:f>IF(AND(G1186="RECORDED",ISNUMBER(H1186)),H1186,"")</x:f>
        <x:v>63.72</x:v>
      </x:c>
      <x:c r="P1186" s="34" t="str">
        <x:v>INCONCLUSIVE</x:v>
      </x:c>
      <x:c r="Q1186" s="34" t="str">
        <x:v>Feedback-Directed Random Test Generation/Result_Round2/Compress_46/result.json</x:v>
      </x:c>
    </x:row>
    <x:row r="1187">
      <x:c r="A1187" s="34" t="str">
        <x:v>randoop</x:v>
      </x:c>
      <x:c r="B1187" s="34" t="str">
        <x:v>Compress</x:v>
      </x:c>
      <x:c r="C1187" s="34" t="str">
        <x:v>Round2</x:v>
      </x:c>
      <x:c r="D1187" s="34" t="str">
        <x:v>Compress_47</x:v>
      </x:c>
      <x:c r="E1187" s="34" t="str">
        <x:v>Coverage</x:v>
      </x:c>
      <x:c r="F1187" s="34" t="n">
        <x:v>703</x:v>
      </x:c>
      <x:c r="G1187" s="34" t="str">
        <x:v>RECORDED</x:v>
      </x:c>
      <x:c r="H1187" s="38" t="n">
        <x:f>IF(ISNUMBER('Data'!G1187),'Data'!G1187*100,"")</x:f>
        <x:v>14.37</x:v>
      </x:c>
      <x:c r="I1187" s="34" t="str">
        <x:v>PASS</x:v>
      </x:c>
      <x:c r="J1187" s="34" t="str">
        <x:v>PASS</x:v>
      </x:c>
      <x:c r="K1187" s="34" t="str">
        <x:v>PASS</x:v>
      </x:c>
      <x:c r="L1187" s="34" t="str">
        <x:v>PASS</x:v>
      </x:c>
      <x:c r="M1187" s="34" t="str">
        <x:v>numeric coverage for applicable metric</x:v>
      </x:c>
      <x:c r="N1187" s="34" t="str">
        <x:v>Feedback-Directed Random Test Generation/Result_Round2/Compress_47/result.json</x:v>
      </x:c>
      <x:c r="O1187" s="38" t="n">
        <x:f>IF(AND(G1187="RECORDED",ISNUMBER(H1187)),H1187,"")</x:f>
        <x:v>14.37</x:v>
      </x:c>
      <x:c r="P1187" s="34" t="str">
        <x:v>NOT_REVEALING</x:v>
      </x:c>
      <x:c r="Q1187" s="34" t="str">
        <x:v>Feedback-Directed Random Test Generation/Result_Round2/Compress_47/result.json</x:v>
      </x:c>
    </x:row>
    <x:row r="1188">
      <x:c r="A1188" s="34" t="str">
        <x:v>randoop</x:v>
      </x:c>
      <x:c r="B1188" s="34" t="str">
        <x:v>Csv</x:v>
      </x:c>
      <x:c r="C1188" s="34" t="str">
        <x:v>Round2</x:v>
      </x:c>
      <x:c r="D1188" s="34" t="str">
        <x:v>Csv_1</x:v>
      </x:c>
      <x:c r="E1188" s="34" t="str">
        <x:v>Coverage</x:v>
      </x:c>
      <x:c r="F1188" s="34" t="n">
        <x:v>59</x:v>
      </x:c>
      <x:c r="G1188" s="34" t="str">
        <x:v>RECORDED</x:v>
      </x:c>
      <x:c r="H1188" s="38" t="n">
        <x:f>IF(ISNUMBER('Data'!G1188),'Data'!G1188*100,"")</x:f>
        <x:v>52.54</x:v>
      </x:c>
      <x:c r="I1188" s="34" t="str">
        <x:v>PASS</x:v>
      </x:c>
      <x:c r="J1188" s="34" t="str">
        <x:v>PASS</x:v>
      </x:c>
      <x:c r="K1188" s="34" t="str">
        <x:v>PASS</x:v>
      </x:c>
      <x:c r="L1188" s="34" t="str">
        <x:v>PASS</x:v>
      </x:c>
      <x:c r="M1188" s="34" t="str">
        <x:v>numeric coverage for applicable metric</x:v>
      </x:c>
      <x:c r="N1188" s="34" t="str">
        <x:v>Feedback-Directed Random Test Generation/Result_Round2/Csv_1/result.json</x:v>
      </x:c>
      <x:c r="O1188" s="38" t="n">
        <x:f>IF(AND(G1188="RECORDED",ISNUMBER(H1188)),H1188,"")</x:f>
        <x:v>52.54</x:v>
      </x:c>
      <x:c r="P1188" s="34" t="str">
        <x:v>NOT_REVEALING</x:v>
      </x:c>
      <x:c r="Q1188" s="34" t="str">
        <x:v>Feedback-Directed Random Test Generation/Result_Round2/Csv_1/result.json</x:v>
      </x:c>
    </x:row>
    <x:row r="1189">
      <x:c r="A1189" s="34" t="str">
        <x:v>randoop</x:v>
      </x:c>
      <x:c r="B1189" s="34" t="str">
        <x:v>Csv</x:v>
      </x:c>
      <x:c r="C1189" s="34" t="str">
        <x:v>Round2</x:v>
      </x:c>
      <x:c r="D1189" s="34" t="str">
        <x:v>Csv_2</x:v>
      </x:c>
      <x:c r="E1189" s="34" t="str">
        <x:v>Coverage</x:v>
      </x:c>
      <x:c r="F1189" s="34" t="n">
        <x:v>37</x:v>
      </x:c>
      <x:c r="G1189" s="34" t="str">
        <x:v>RECORDED</x:v>
      </x:c>
      <x:c r="H1189" s="38" t="n">
        <x:f>IF(ISNUMBER('Data'!G1189),'Data'!G1189*100,"")</x:f>
        <x:v>67.57</x:v>
      </x:c>
      <x:c r="I1189" s="34" t="str">
        <x:v>PASS</x:v>
      </x:c>
      <x:c r="J1189" s="34" t="str">
        <x:v>PASS</x:v>
      </x:c>
      <x:c r="K1189" s="34" t="str">
        <x:v>PASS</x:v>
      </x:c>
      <x:c r="L1189" s="34" t="str">
        <x:v>PASS</x:v>
      </x:c>
      <x:c r="M1189" s="34" t="str">
        <x:v>numeric coverage for applicable metric</x:v>
      </x:c>
      <x:c r="N1189" s="34" t="str">
        <x:v>Feedback-Directed Random Test Generation/Result_Round2/Csv_2/result.json</x:v>
      </x:c>
      <x:c r="O1189" s="38" t="n">
        <x:f>IF(AND(G1189="RECORDED",ISNUMBER(H1189)),H1189,"")</x:f>
        <x:v>67.57</x:v>
      </x:c>
      <x:c r="P1189" s="34" t="str">
        <x:v>NOT_REVEALING</x:v>
      </x:c>
      <x:c r="Q1189" s="34" t="str">
        <x:v>Feedback-Directed Random Test Generation/Result_Round2/Csv_2/result.json</x:v>
      </x:c>
    </x:row>
    <x:row r="1190">
      <x:c r="A1190" s="34" t="str">
        <x:v>randoop</x:v>
      </x:c>
      <x:c r="B1190" s="34" t="str">
        <x:v>Csv</x:v>
      </x:c>
      <x:c r="C1190" s="34" t="str">
        <x:v>Round2</x:v>
      </x:c>
      <x:c r="D1190" s="34" t="str">
        <x:v>Csv_3</x:v>
      </x:c>
      <x:c r="E1190" s="34" t="str">
        <x:v>Coverage</x:v>
      </x:c>
      <x:c r="F1190" s="34" t="n">
        <x:v>82</x:v>
      </x:c>
      <x:c r="G1190" s="34" t="str">
        <x:v>RECORDED</x:v>
      </x:c>
      <x:c r="H1190" s="38" t="n">
        <x:f>IF(ISNUMBER('Data'!G1190),'Data'!G1190*100,"")</x:f>
        <x:v>0</x:v>
      </x:c>
      <x:c r="I1190" s="34" t="str">
        <x:v>PASS</x:v>
      </x:c>
      <x:c r="J1190" s="34" t="str">
        <x:v>PASS</x:v>
      </x:c>
      <x:c r="K1190" s="34" t="str">
        <x:v>PASS</x:v>
      </x:c>
      <x:c r="L1190" s="34" t="str">
        <x:v>PASS</x:v>
      </x:c>
      <x:c r="M1190" s="34" t="str">
        <x:v>numeric coverage for applicable metric</x:v>
      </x:c>
      <x:c r="N1190" s="34" t="str">
        <x:v>Feedback-Directed Random Test Generation/Result_Round2/Csv_3/result.json</x:v>
      </x:c>
      <x:c r="O1190" s="38" t="n">
        <x:f>IF(AND(G1190="RECORDED",ISNUMBER(H1190)),H1190,"")</x:f>
        <x:v>0</x:v>
      </x:c>
      <x:c r="P1190" s="34" t="str">
        <x:v>NOT_REVEALING</x:v>
      </x:c>
      <x:c r="Q1190" s="34" t="str">
        <x:v>Feedback-Directed Random Test Generation/Result_Round2/Csv_3/result.json</x:v>
      </x:c>
    </x:row>
    <x:row r="1191">
      <x:c r="A1191" s="34" t="str">
        <x:v>randoop</x:v>
      </x:c>
      <x:c r="B1191" s="34" t="str">
        <x:v>Csv</x:v>
      </x:c>
      <x:c r="C1191" s="34" t="str">
        <x:v>Round2</x:v>
      </x:c>
      <x:c r="D1191" s="34" t="str">
        <x:v>Csv_4</x:v>
      </x:c>
      <x:c r="E1191" s="34" t="str">
        <x:v>Coverage</x:v>
      </x:c>
      <x:c r="F1191" s="34" t="n">
        <x:v>150</x:v>
      </x:c>
      <x:c r="G1191" s="34" t="str">
        <x:v>RECORDED</x:v>
      </x:c>
      <x:c r="H1191" s="38" t="n">
        <x:f>IF(ISNUMBER('Data'!G1191),'Data'!G1191*100,"")</x:f>
        <x:v>2.67</x:v>
      </x:c>
      <x:c r="I1191" s="34" t="str">
        <x:v>PASS</x:v>
      </x:c>
      <x:c r="J1191" s="34" t="str">
        <x:v>PASS</x:v>
      </x:c>
      <x:c r="K1191" s="34" t="str">
        <x:v>PASS</x:v>
      </x:c>
      <x:c r="L1191" s="34" t="str">
        <x:v>PASS</x:v>
      </x:c>
      <x:c r="M1191" s="34" t="str">
        <x:v>numeric coverage for applicable metric</x:v>
      </x:c>
      <x:c r="N1191" s="34" t="str">
        <x:v>Feedback-Directed Random Test Generation/Result_Round2/Csv_4/result.json</x:v>
      </x:c>
      <x:c r="O1191" s="38" t="n">
        <x:f>IF(AND(G1191="RECORDED",ISNUMBER(H1191)),H1191,"")</x:f>
        <x:v>2.67</x:v>
      </x:c>
      <x:c r="P1191" s="34" t="str">
        <x:v>NOT_REVEALING</x:v>
      </x:c>
      <x:c r="Q1191" s="34" t="str">
        <x:v>Feedback-Directed Random Test Generation/Result_Round2/Csv_4/result.json</x:v>
      </x:c>
    </x:row>
    <x:row r="1192">
      <x:c r="A1192" s="34" t="str">
        <x:v>randoop</x:v>
      </x:c>
      <x:c r="B1192" s="34" t="str">
        <x:v>Csv</x:v>
      </x:c>
      <x:c r="C1192" s="34" t="str">
        <x:v>Round2</x:v>
      </x:c>
      <x:c r="D1192" s="34" t="str">
        <x:v>Csv_5</x:v>
      </x:c>
      <x:c r="E1192" s="34" t="str">
        <x:v>Coverage</x:v>
      </x:c>
      <x:c r="F1192" s="34" t="n">
        <x:v>273</x:v>
      </x:c>
      <x:c r="G1192" s="34" t="str">
        <x:v>RECORDED</x:v>
      </x:c>
      <x:c r="H1192" s="38" t="n">
        <x:f>IF(ISNUMBER('Data'!G1192),'Data'!G1192*100,"")</x:f>
        <x:v>1.1</x:v>
      </x:c>
      <x:c r="I1192" s="34" t="str">
        <x:v>PASS</x:v>
      </x:c>
      <x:c r="J1192" s="34" t="str">
        <x:v>PASS</x:v>
      </x:c>
      <x:c r="K1192" s="34" t="str">
        <x:v>PASS</x:v>
      </x:c>
      <x:c r="L1192" s="34" t="str">
        <x:v>PASS</x:v>
      </x:c>
      <x:c r="M1192" s="34" t="str">
        <x:v>numeric coverage for applicable metric</x:v>
      </x:c>
      <x:c r="N1192" s="34" t="str">
        <x:v>Feedback-Directed Random Test Generation/Result_Round2/Csv_5/result.json</x:v>
      </x:c>
      <x:c r="O1192" s="38" t="n">
        <x:f>IF(AND(G1192="RECORDED",ISNUMBER(H1192)),H1192,"")</x:f>
        <x:v>1.1</x:v>
      </x:c>
      <x:c r="P1192" s="34" t="str">
        <x:v>NOT_REVEALING</x:v>
      </x:c>
      <x:c r="Q1192" s="34" t="str">
        <x:v>Feedback-Directed Random Test Generation/Result_Round2/Csv_5/result.json</x:v>
      </x:c>
    </x:row>
    <x:row r="1193">
      <x:c r="A1193" s="34" t="str">
        <x:v>randoop</x:v>
      </x:c>
      <x:c r="B1193" s="34" t="str">
        <x:v>Csv</x:v>
      </x:c>
      <x:c r="C1193" s="34" t="str">
        <x:v>Round2</x:v>
      </x:c>
      <x:c r="D1193" s="34" t="str">
        <x:v>Csv_6</x:v>
      </x:c>
      <x:c r="E1193" s="34" t="str">
        <x:v>Coverage</x:v>
      </x:c>
      <x:c r="F1193" s="34" t="n">
        <x:v>53</x:v>
      </x:c>
      <x:c r="G1193" s="34" t="str">
        <x:v>RECORDED</x:v>
      </x:c>
      <x:c r="H1193" s="38" t="n">
        <x:f>IF(ISNUMBER('Data'!G1193),'Data'!G1193*100,"")</x:f>
        <x:v>52.83</x:v>
      </x:c>
      <x:c r="I1193" s="34" t="str">
        <x:v>PASS</x:v>
      </x:c>
      <x:c r="J1193" s="34" t="str">
        <x:v>PASS</x:v>
      </x:c>
      <x:c r="K1193" s="34" t="str">
        <x:v>PASS</x:v>
      </x:c>
      <x:c r="L1193" s="34" t="str">
        <x:v>PASS</x:v>
      </x:c>
      <x:c r="M1193" s="34" t="str">
        <x:v>numeric coverage for applicable metric</x:v>
      </x:c>
      <x:c r="N1193" s="34" t="str">
        <x:v>Feedback-Directed Random Test Generation/Result_Round2/Csv_6/result.json</x:v>
      </x:c>
      <x:c r="O1193" s="38" t="n">
        <x:f>IF(AND(G1193="RECORDED",ISNUMBER(H1193)),H1193,"")</x:f>
        <x:v>52.83</x:v>
      </x:c>
      <x:c r="P1193" s="34" t="str">
        <x:v>NOT_REVEALING</x:v>
      </x:c>
      <x:c r="Q1193" s="34" t="str">
        <x:v>Feedback-Directed Random Test Generation/Result_Round2/Csv_6/result.json</x:v>
      </x:c>
    </x:row>
    <x:row r="1194">
      <x:c r="A1194" s="34" t="str">
        <x:v>randoop</x:v>
      </x:c>
      <x:c r="B1194" s="34" t="str">
        <x:v>Csv</x:v>
      </x:c>
      <x:c r="C1194" s="34" t="str">
        <x:v>Round2</x:v>
      </x:c>
      <x:c r="D1194" s="34" t="str">
        <x:v>Csv_7</x:v>
      </x:c>
      <x:c r="E1194" s="34" t="str">
        <x:v>Coverage</x:v>
      </x:c>
      <x:c r="F1194" s="34" t="n">
        <x:v>151</x:v>
      </x:c>
      <x:c r="G1194" s="34" t="str">
        <x:v>RECORDED</x:v>
      </x:c>
      <x:c r="H1194" s="38" t="n">
        <x:f>IF(ISNUMBER('Data'!G1194),'Data'!G1194*100,"")</x:f>
        <x:v>5.3</x:v>
      </x:c>
      <x:c r="I1194" s="34" t="str">
        <x:v>PASS</x:v>
      </x:c>
      <x:c r="J1194" s="34" t="str">
        <x:v>PASS</x:v>
      </x:c>
      <x:c r="K1194" s="34" t="str">
        <x:v>PASS</x:v>
      </x:c>
      <x:c r="L1194" s="34" t="str">
        <x:v>PASS</x:v>
      </x:c>
      <x:c r="M1194" s="34" t="str">
        <x:v>numeric coverage for applicable metric</x:v>
      </x:c>
      <x:c r="N1194" s="34" t="str">
        <x:v>Feedback-Directed Random Test Generation/Result_Round2/Csv_7/result.json</x:v>
      </x:c>
      <x:c r="O1194" s="38" t="n">
        <x:f>IF(AND(G1194="RECORDED",ISNUMBER(H1194)),H1194,"")</x:f>
        <x:v>5.3</x:v>
      </x:c>
      <x:c r="P1194" s="34" t="str">
        <x:v>NOT_REVEALING</x:v>
      </x:c>
      <x:c r="Q1194" s="34" t="str">
        <x:v>Feedback-Directed Random Test Generation/Result_Round2/Csv_7/result.json</x:v>
      </x:c>
    </x:row>
    <x:row r="1195">
      <x:c r="A1195" s="34" t="str">
        <x:v>randoop</x:v>
      </x:c>
      <x:c r="B1195" s="34" t="str">
        <x:v>Csv</x:v>
      </x:c>
      <x:c r="C1195" s="34" t="str">
        <x:v>Round2</x:v>
      </x:c>
      <x:c r="D1195" s="34" t="str">
        <x:v>Csv_8</x:v>
      </x:c>
      <x:c r="E1195" s="34" t="str">
        <x:v>Coverage</x:v>
      </x:c>
      <x:c r="F1195" s="34" t="n">
        <x:v>319</x:v>
      </x:c>
      <x:c r="G1195" s="34" t="str">
        <x:v>RECORDED</x:v>
      </x:c>
      <x:c r="H1195" s="38" t="n">
        <x:f>IF(ISNUMBER('Data'!G1195),'Data'!G1195*100,"")</x:f>
        <x:v>77.43</x:v>
      </x:c>
      <x:c r="I1195" s="34" t="str">
        <x:v>PASS</x:v>
      </x:c>
      <x:c r="J1195" s="34" t="str">
        <x:v>PASS</x:v>
      </x:c>
      <x:c r="K1195" s="34" t="str">
        <x:v>PASS</x:v>
      </x:c>
      <x:c r="L1195" s="34" t="str">
        <x:v>PASS</x:v>
      </x:c>
      <x:c r="M1195" s="34" t="str">
        <x:v>numeric coverage for applicable metric</x:v>
      </x:c>
      <x:c r="N1195" s="34" t="str">
        <x:v>Feedback-Directed Random Test Generation/Result_Round2/Csv_8/result.json</x:v>
      </x:c>
      <x:c r="O1195" s="38" t="n">
        <x:f>IF(AND(G1195="RECORDED",ISNUMBER(H1195)),H1195,"")</x:f>
        <x:v>77.43</x:v>
      </x:c>
      <x:c r="P1195" s="34" t="str">
        <x:v>NOT_REVEALING</x:v>
      </x:c>
      <x:c r="Q1195" s="34" t="str">
        <x:v>Feedback-Directed Random Test Generation/Result_Round2/Csv_8/result.json</x:v>
      </x:c>
    </x:row>
    <x:row r="1196">
      <x:c r="A1196" s="34" t="str">
        <x:v>randoop</x:v>
      </x:c>
      <x:c r="B1196" s="34" t="str">
        <x:v>Csv</x:v>
      </x:c>
      <x:c r="C1196" s="34" t="str">
        <x:v>Round2</x:v>
      </x:c>
      <x:c r="D1196" s="34" t="str">
        <x:v>Csv_9</x:v>
      </x:c>
      <x:c r="E1196" s="34" t="str">
        <x:v>Coverage</x:v>
      </x:c>
      <x:c r="F1196" s="34" t="n">
        <x:v>58</x:v>
      </x:c>
      <x:c r="G1196" s="34" t="str">
        <x:v>RECORDED</x:v>
      </x:c>
      <x:c r="H1196" s="38" t="n">
        <x:f>IF(ISNUMBER('Data'!G1196),'Data'!G1196*100,"")</x:f>
        <x:v>48.28</x:v>
      </x:c>
      <x:c r="I1196" s="34" t="str">
        <x:v>PASS</x:v>
      </x:c>
      <x:c r="J1196" s="34" t="str">
        <x:v>PASS</x:v>
      </x:c>
      <x:c r="K1196" s="34" t="str">
        <x:v>PASS</x:v>
      </x:c>
      <x:c r="L1196" s="34" t="str">
        <x:v>PASS</x:v>
      </x:c>
      <x:c r="M1196" s="34" t="str">
        <x:v>numeric coverage for applicable metric</x:v>
      </x:c>
      <x:c r="N1196" s="34" t="str">
        <x:v>Feedback-Directed Random Test Generation/Result_Round2/Csv_9/result.json</x:v>
      </x:c>
      <x:c r="O1196" s="38" t="n">
        <x:f>IF(AND(G1196="RECORDED",ISNUMBER(H1196)),H1196,"")</x:f>
        <x:v>48.28</x:v>
      </x:c>
      <x:c r="P1196" s="34" t="str">
        <x:v>INCONCLUSIVE</x:v>
      </x:c>
      <x:c r="Q1196" s="34" t="str">
        <x:v>Feedback-Directed Random Test Generation/Result_Round2/Csv_9/result.json</x:v>
      </x:c>
    </x:row>
    <x:row r="1197">
      <x:c r="A1197" s="34" t="str">
        <x:v>randoop</x:v>
      </x:c>
      <x:c r="B1197" s="34" t="str">
        <x:v>Csv</x:v>
      </x:c>
      <x:c r="C1197" s="34" t="str">
        <x:v>Round2</x:v>
      </x:c>
      <x:c r="D1197" s="34" t="str">
        <x:v>Csv_10</x:v>
      </x:c>
      <x:c r="E1197" s="34" t="str">
        <x:v>Coverage</x:v>
      </x:c>
      <x:c r="F1197" s="34" t="n">
        <x:v>277</x:v>
      </x:c>
      <x:c r="G1197" s="34" t="str">
        <x:v>RECORDED</x:v>
      </x:c>
      <x:c r="H1197" s="38" t="n">
        <x:f>IF(ISNUMBER('Data'!G1197),'Data'!G1197*100,"")</x:f>
        <x:v>1.08</x:v>
      </x:c>
      <x:c r="I1197" s="34" t="str">
        <x:v>PASS</x:v>
      </x:c>
      <x:c r="J1197" s="34" t="str">
        <x:v>PASS</x:v>
      </x:c>
      <x:c r="K1197" s="34" t="str">
        <x:v>PASS</x:v>
      </x:c>
      <x:c r="L1197" s="34" t="str">
        <x:v>PASS</x:v>
      </x:c>
      <x:c r="M1197" s="34" t="str">
        <x:v>numeric coverage for applicable metric</x:v>
      </x:c>
      <x:c r="N1197" s="34" t="str">
        <x:v>Feedback-Directed Random Test Generation/Result_Round2/Csv_10/result.json</x:v>
      </x:c>
      <x:c r="O1197" s="38" t="n">
        <x:f>IF(AND(G1197="RECORDED",ISNUMBER(H1197)),H1197,"")</x:f>
        <x:v>1.08</x:v>
      </x:c>
      <x:c r="P1197" s="34" t="str">
        <x:v>NOT_REVEALING</x:v>
      </x:c>
      <x:c r="Q1197" s="34" t="str">
        <x:v>Feedback-Directed Random Test Generation/Result_Round2/Csv_10/result.json</x:v>
      </x:c>
    </x:row>
    <x:row r="1198">
      <x:c r="A1198" s="34" t="str">
        <x:v>randoop</x:v>
      </x:c>
      <x:c r="B1198" s="34" t="str">
        <x:v>Csv</x:v>
      </x:c>
      <x:c r="C1198" s="34" t="str">
        <x:v>Round2</x:v>
      </x:c>
      <x:c r="D1198" s="34" t="str">
        <x:v>Csv_11</x:v>
      </x:c>
      <x:c r="E1198" s="34" t="str">
        <x:v>Coverage</x:v>
      </x:c>
      <x:c r="F1198" s="34" t="n">
        <x:v>164</x:v>
      </x:c>
      <x:c r="G1198" s="34" t="str">
        <x:v>RECORDED</x:v>
      </x:c>
      <x:c r="H1198" s="38" t="n">
        <x:f>IF(ISNUMBER('Data'!G1198),'Data'!G1198*100,"")</x:f>
        <x:v>4.88</x:v>
      </x:c>
      <x:c r="I1198" s="34" t="str">
        <x:v>PASS</x:v>
      </x:c>
      <x:c r="J1198" s="34" t="str">
        <x:v>PASS</x:v>
      </x:c>
      <x:c r="K1198" s="34" t="str">
        <x:v>PASS</x:v>
      </x:c>
      <x:c r="L1198" s="34" t="str">
        <x:v>PASS</x:v>
      </x:c>
      <x:c r="M1198" s="34" t="str">
        <x:v>numeric coverage for applicable metric</x:v>
      </x:c>
      <x:c r="N1198" s="34" t="str">
        <x:v>Feedback-Directed Random Test Generation/Result_Round2/Csv_11/result.json</x:v>
      </x:c>
      <x:c r="O1198" s="38" t="n">
        <x:f>IF(AND(G1198="RECORDED",ISNUMBER(H1198)),H1198,"")</x:f>
        <x:v>4.88</x:v>
      </x:c>
      <x:c r="P1198" s="34" t="str">
        <x:v>NOT_REVEALING</x:v>
      </x:c>
      <x:c r="Q1198" s="34" t="str">
        <x:v>Feedback-Directed Random Test Generation/Result_Round2/Csv_11/result.json</x:v>
      </x:c>
    </x:row>
    <x:row r="1199">
      <x:c r="A1199" s="34" t="str">
        <x:v>randoop</x:v>
      </x:c>
      <x:c r="B1199" s="34" t="str">
        <x:v>Csv</x:v>
      </x:c>
      <x:c r="C1199" s="34" t="str">
        <x:v>Round2</x:v>
      </x:c>
      <x:c r="D1199" s="34" t="str">
        <x:v>Csv_12</x:v>
      </x:c>
      <x:c r="E1199" s="34" t="str">
        <x:v>Coverage</x:v>
      </x:c>
      <x:c r="F1199" s="34" t="n">
        <x:v>324</x:v>
      </x:c>
      <x:c r="G1199" s="34" t="str">
        <x:v>RECORDED</x:v>
      </x:c>
      <x:c r="H1199" s="38" t="n">
        <x:f>IF(ISNUMBER('Data'!G1199),'Data'!G1199*100,"")</x:f>
        <x:v>78.4</x:v>
      </x:c>
      <x:c r="I1199" s="34" t="str">
        <x:v>PASS</x:v>
      </x:c>
      <x:c r="J1199" s="34" t="str">
        <x:v>PASS</x:v>
      </x:c>
      <x:c r="K1199" s="34" t="str">
        <x:v>PASS</x:v>
      </x:c>
      <x:c r="L1199" s="34" t="str">
        <x:v>PASS</x:v>
      </x:c>
      <x:c r="M1199" s="34" t="str">
        <x:v>numeric coverage for applicable metric</x:v>
      </x:c>
      <x:c r="N1199" s="34" t="str">
        <x:v>Feedback-Directed Random Test Generation/Result_Round2/Csv_12/result.json</x:v>
      </x:c>
      <x:c r="O1199" s="38" t="n">
        <x:f>IF(AND(G1199="RECORDED",ISNUMBER(H1199)),H1199,"")</x:f>
        <x:v>78.4</x:v>
      </x:c>
      <x:c r="P1199" s="34" t="str">
        <x:v>INCONCLUSIVE</x:v>
      </x:c>
      <x:c r="Q1199" s="34" t="str">
        <x:v>Feedback-Directed Random Test Generation/Result_Round2/Csv_12/result.json</x:v>
      </x:c>
    </x:row>
    <x:row r="1200">
      <x:c r="A1200" s="34" t="str">
        <x:v>randoop</x:v>
      </x:c>
      <x:c r="B1200" s="34" t="str">
        <x:v>Csv</x:v>
      </x:c>
      <x:c r="C1200" s="34" t="str">
        <x:v>Round2</x:v>
      </x:c>
      <x:c r="D1200" s="34" t="str">
        <x:v>Csv_13</x:v>
      </x:c>
      <x:c r="E1200" s="34" t="str">
        <x:v>Coverage</x:v>
      </x:c>
      <x:c r="F1200" s="34" t="n">
        <x:v>674</x:v>
      </x:c>
      <x:c r="G1200" s="34" t="str">
        <x:v>RECORDED</x:v>
      </x:c>
      <x:c r="H1200" s="38" t="n">
        <x:f>IF(ISNUMBER('Data'!G1200),'Data'!G1200*100,"")</x:f>
        <x:v>75.52</x:v>
      </x:c>
      <x:c r="I1200" s="34" t="str">
        <x:v>PASS</x:v>
      </x:c>
      <x:c r="J1200" s="34" t="str">
        <x:v>PASS</x:v>
      </x:c>
      <x:c r="K1200" s="34" t="str">
        <x:v>PASS</x:v>
      </x:c>
      <x:c r="L1200" s="34" t="str">
        <x:v>FAIL</x:v>
      </x:c>
      <x:c r="M1200" s="34" t="str">
        <x:v>numeric coverage for applicable metric</x:v>
      </x:c>
      <x:c r="N1200" s="34" t="str">
        <x:v>Feedback-Directed Random Test Generation/Result_Round2/Csv_13/result.json</x:v>
      </x:c>
      <x:c r="O1200" s="38" t="n">
        <x:f>IF(AND(G1200="RECORDED",ISNUMBER(H1200)),H1200,"")</x:f>
        <x:v>75.52</x:v>
      </x:c>
      <x:c r="P1200" s="34" t="str">
        <x:v>INCONCLUSIVE</x:v>
      </x:c>
      <x:c r="Q1200" s="34" t="str">
        <x:v>Feedback-Directed Random Test Generation/Result_Round2/Csv_13/result.json</x:v>
      </x:c>
    </x:row>
    <x:row r="1201">
      <x:c r="A1201" s="34" t="str">
        <x:v>randoop</x:v>
      </x:c>
      <x:c r="B1201" s="34" t="str">
        <x:v>Csv</x:v>
      </x:c>
      <x:c r="C1201" s="34" t="str">
        <x:v>Round2</x:v>
      </x:c>
      <x:c r="D1201" s="34" t="str">
        <x:v>Csv_14</x:v>
      </x:c>
      <x:c r="E1201" s="34" t="str">
        <x:v>Coverage</x:v>
      </x:c>
      <x:c r="F1201" s="34" t="n">
        <x:v>628</x:v>
      </x:c>
      <x:c r="G1201" s="34" t="str">
        <x:v>RECORDED</x:v>
      </x:c>
      <x:c r="H1201" s="38" t="n">
        <x:f>IF(ISNUMBER('Data'!G1201),'Data'!G1201*100,"")</x:f>
        <x:v>85.51</x:v>
      </x:c>
      <x:c r="I1201" s="34" t="str">
        <x:v>PASS</x:v>
      </x:c>
      <x:c r="J1201" s="34" t="str">
        <x:v>PASS</x:v>
      </x:c>
      <x:c r="K1201" s="34" t="str">
        <x:v>PASS</x:v>
      </x:c>
      <x:c r="L1201" s="34" t="str">
        <x:v>FAIL</x:v>
      </x:c>
      <x:c r="M1201" s="34" t="str">
        <x:v>numeric coverage for applicable metric</x:v>
      </x:c>
      <x:c r="N1201" s="34" t="str">
        <x:v>Feedback-Directed Random Test Generation/Result_Round2/Csv_14/result.json</x:v>
      </x:c>
      <x:c r="O1201" s="38" t="n">
        <x:f>IF(AND(G1201="RECORDED",ISNUMBER(H1201)),H1201,"")</x:f>
        <x:v>85.51</x:v>
      </x:c>
      <x:c r="P1201" s="34" t="str">
        <x:v>INCONCLUSIVE</x:v>
      </x:c>
      <x:c r="Q1201" s="34" t="str">
        <x:v>Feedback-Directed Random Test Generation/Result_Round2/Csv_14/result.json</x:v>
      </x:c>
    </x:row>
    <x:row r="1202">
      <x:c r="A1202" s="34" t="str">
        <x:v>randoop</x:v>
      </x:c>
      <x:c r="B1202" s="34" t="str">
        <x:v>Csv</x:v>
      </x:c>
      <x:c r="C1202" s="34" t="str">
        <x:v>Round2</x:v>
      </x:c>
      <x:c r="D1202" s="34" t="str">
        <x:v>Csv_15</x:v>
      </x:c>
      <x:c r="E1202" s="34" t="str">
        <x:v>Coverage</x:v>
      </x:c>
      <x:c r="F1202" s="34" t="n">
        <x:v>672</x:v>
      </x:c>
      <x:c r="G1202" s="34" t="str">
        <x:v>RECORDED</x:v>
      </x:c>
      <x:c r="H1202" s="38" t="n">
        <x:f>IF(ISNUMBER('Data'!G1202),'Data'!G1202*100,"")</x:f>
        <x:v>87.2</x:v>
      </x:c>
      <x:c r="I1202" s="34" t="str">
        <x:v>PASS</x:v>
      </x:c>
      <x:c r="J1202" s="34" t="str">
        <x:v>PASS</x:v>
      </x:c>
      <x:c r="K1202" s="34" t="str">
        <x:v>PASS</x:v>
      </x:c>
      <x:c r="L1202" s="34" t="str">
        <x:v>FAIL</x:v>
      </x:c>
      <x:c r="M1202" s="34" t="str">
        <x:v>numeric coverage for applicable metric</x:v>
      </x:c>
      <x:c r="N1202" s="34" t="str">
        <x:v>Feedback-Directed Random Test Generation/Result_Round2/Csv_15/result.json</x:v>
      </x:c>
      <x:c r="O1202" s="38" t="n">
        <x:f>IF(AND(G1202="RECORDED",ISNUMBER(H1202)),H1202,"")</x:f>
        <x:v>87.2</x:v>
      </x:c>
      <x:c r="P1202" s="34" t="str">
        <x:v>INCONCLUSIVE</x:v>
      </x:c>
      <x:c r="Q1202" s="34" t="str">
        <x:v>Feedback-Directed Random Test Generation/Result_Round2/Csv_15/result.json</x:v>
      </x:c>
    </x:row>
    <x:row r="1203">
      <x:c r="A1203" s="34" t="str">
        <x:v>randoop</x:v>
      </x:c>
      <x:c r="B1203" s="34" t="str">
        <x:v>Csv</x:v>
      </x:c>
      <x:c r="C1203" s="34" t="str">
        <x:v>Round2</x:v>
      </x:c>
      <x:c r="D1203" s="34" t="str">
        <x:v>Csv_16</x:v>
      </x:c>
      <x:c r="E1203" s="34" t="str">
        <x:v>Coverage</x:v>
      </x:c>
      <x:c r="F1203" s="34" t="n">
        <x:v>191</x:v>
      </x:c>
      <x:c r="G1203" s="34" t="str">
        <x:v>RECORDED</x:v>
      </x:c>
      <x:c r="H1203" s="38" t="n">
        <x:f>IF(ISNUMBER('Data'!G1203),'Data'!G1203*100,"")</x:f>
        <x:v>6.280000000000001</x:v>
      </x:c>
      <x:c r="I1203" s="34" t="str">
        <x:v>PASS</x:v>
      </x:c>
      <x:c r="J1203" s="34" t="str">
        <x:v>PASS</x:v>
      </x:c>
      <x:c r="K1203" s="34" t="str">
        <x:v>PASS</x:v>
      </x:c>
      <x:c r="L1203" s="34" t="str">
        <x:v>PASS</x:v>
      </x:c>
      <x:c r="M1203" s="34" t="str">
        <x:v>numeric coverage for applicable metric</x:v>
      </x:c>
      <x:c r="N1203" s="34" t="str">
        <x:v>Feedback-Directed Random Test Generation/Result_Round2/Csv_16/result.json</x:v>
      </x:c>
      <x:c r="O1203" s="38" t="n">
        <x:f>IF(AND(G1203="RECORDED",ISNUMBER(H1203)),H1203,"")</x:f>
        <x:v>6.280000000000001</x:v>
      </x:c>
      <x:c r="P1203" s="34" t="str">
        <x:v>NOT_REVEALING</x:v>
      </x:c>
      <x:c r="Q1203" s="34" t="str">
        <x:v>Feedback-Directed Random Test Generation/Result_Round2/Csv_16/result.json</x:v>
      </x:c>
    </x:row>
    <x:row r="1204">
      <x:c r="A1204" s="34" t="str">
        <x:v>randoop</x:v>
      </x:c>
      <x:c r="B1204" s="34" t="str">
        <x:v>Gson</x:v>
      </x:c>
      <x:c r="C1204" s="34" t="str">
        <x:v>Round2</x:v>
      </x:c>
      <x:c r="D1204" s="34" t="str">
        <x:v>Gson_1</x:v>
      </x:c>
      <x:c r="E1204" s="34" t="str">
        <x:v>Coverage</x:v>
      </x:c>
      <x:c r="F1204" s="34" t="n">
        <x:v>70</x:v>
      </x:c>
      <x:c r="G1204" s="34" t="str">
        <x:v>RECORDED</x:v>
      </x:c>
      <x:c r="H1204" s="38" t="n">
        <x:f>IF(ISNUMBER('Data'!G1204),'Data'!G1204*100,"")</x:f>
        <x:v>4.29</x:v>
      </x:c>
      <x:c r="I1204" s="34" t="str">
        <x:v>PASS</x:v>
      </x:c>
      <x:c r="J1204" s="34" t="str">
        <x:v>PASS</x:v>
      </x:c>
      <x:c r="K1204" s="34" t="str">
        <x:v>PASS</x:v>
      </x:c>
      <x:c r="L1204" s="34" t="str">
        <x:v>PASS</x:v>
      </x:c>
      <x:c r="M1204" s="34" t="str">
        <x:v>numeric coverage for applicable metric</x:v>
      </x:c>
      <x:c r="N1204" s="34" t="str">
        <x:v>Feedback-Directed Random Test Generation/Result_Round2/Gson_1/result.json</x:v>
      </x:c>
      <x:c r="O1204" s="38" t="n">
        <x:f>IF(AND(G1204="RECORDED",ISNUMBER(H1204)),H1204,"")</x:f>
        <x:v>4.29</x:v>
      </x:c>
      <x:c r="P1204" s="34" t="str">
        <x:v>NOT_REVEALING</x:v>
      </x:c>
      <x:c r="Q1204" s="34" t="str">
        <x:v>Feedback-Directed Random Test Generation/Result_Round2/Gson_1/result.json</x:v>
      </x:c>
    </x:row>
    <x:row r="1205">
      <x:c r="A1205" s="34" t="str">
        <x:v>randoop</x:v>
      </x:c>
      <x:c r="B1205" s="34" t="str">
        <x:v>Gson</x:v>
      </x:c>
      <x:c r="C1205" s="34" t="str">
        <x:v>Round2</x:v>
      </x:c>
      <x:c r="D1205" s="34" t="str">
        <x:v>Gson_2</x:v>
      </x:c>
      <x:c r="E1205" s="34" t="str">
        <x:v>Coverage</x:v>
      </x:c>
      <x:c r="F1205" s="34" t="n">
        <x:v>634</x:v>
      </x:c>
      <x:c r="G1205" s="34" t="str">
        <x:v>RECORDED</x:v>
      </x:c>
      <x:c r="H1205" s="38" t="n">
        <x:f>IF(ISNUMBER('Data'!G1205),'Data'!G1205*100,"")</x:f>
        <x:v>13.88</x:v>
      </x:c>
      <x:c r="I1205" s="34" t="str">
        <x:v>PASS</x:v>
      </x:c>
      <x:c r="J1205" s="34" t="str">
        <x:v>PASS</x:v>
      </x:c>
      <x:c r="K1205" s="34" t="str">
        <x:v>PASS</x:v>
      </x:c>
      <x:c r="L1205" s="34" t="str">
        <x:v>PASS</x:v>
      </x:c>
      <x:c r="M1205" s="34" t="str">
        <x:v>numeric coverage for applicable metric</x:v>
      </x:c>
      <x:c r="N1205" s="34" t="str">
        <x:v>Feedback-Directed Random Test Generation/Result_Round2/Gson_2/result.json</x:v>
      </x:c>
      <x:c r="O1205" s="38" t="n">
        <x:f>IF(AND(G1205="RECORDED",ISNUMBER(H1205)),H1205,"")</x:f>
        <x:v>13.88</x:v>
      </x:c>
      <x:c r="P1205" s="34" t="str">
        <x:v>NOT_REVEALING</x:v>
      </x:c>
      <x:c r="Q1205" s="34" t="str">
        <x:v>Feedback-Directed Random Test Generation/Result_Round2/Gson_2/result.json</x:v>
      </x:c>
    </x:row>
    <x:row r="1206">
      <x:c r="A1206" s="34" t="str">
        <x:v>randoop</x:v>
      </x:c>
      <x:c r="B1206" s="34" t="str">
        <x:v>Gson</x:v>
      </x:c>
      <x:c r="C1206" s="34" t="str">
        <x:v>Round2</x:v>
      </x:c>
      <x:c r="D1206" s="34" t="str">
        <x:v>Gson_3</x:v>
      </x:c>
      <x:c r="E1206" s="34" t="str">
        <x:v>Coverage</x:v>
      </x:c>
      <x:c r="F1206" s="34" t="n">
        <x:v>118</x:v>
      </x:c>
      <x:c r="G1206" s="34" t="str">
        <x:v>RECORDED</x:v>
      </x:c>
      <x:c r="H1206" s="38" t="n">
        <x:f>IF(ISNUMBER('Data'!G1206),'Data'!G1206*100,"")</x:f>
        <x:v>0</x:v>
      </x:c>
      <x:c r="I1206" s="34" t="str">
        <x:v>PASS</x:v>
      </x:c>
      <x:c r="J1206" s="34" t="str">
        <x:v>PASS</x:v>
      </x:c>
      <x:c r="K1206" s="34" t="str">
        <x:v>PASS</x:v>
      </x:c>
      <x:c r="L1206" s="34" t="str">
        <x:v>PASS</x:v>
      </x:c>
      <x:c r="M1206" s="34" t="str">
        <x:v>numeric coverage for applicable metric</x:v>
      </x:c>
      <x:c r="N1206" s="34" t="str">
        <x:v>Feedback-Directed Random Test Generation/Result_Round2/Gson_3/result.json</x:v>
      </x:c>
      <x:c r="O1206" s="38" t="n">
        <x:f>IF(AND(G1206="RECORDED",ISNUMBER(H1206)),H1206,"")</x:f>
        <x:v>0</x:v>
      </x:c>
      <x:c r="P1206" s="34" t="str">
        <x:v>NOT_REVEALING</x:v>
      </x:c>
      <x:c r="Q1206" s="34" t="str">
        <x:v>Feedback-Directed Random Test Generation/Result_Round2/Gson_3/result.json</x:v>
      </x:c>
    </x:row>
    <x:row r="1207">
      <x:c r="A1207" s="34" t="str">
        <x:v>randoop</x:v>
      </x:c>
      <x:c r="B1207" s="34" t="str">
        <x:v>Gson</x:v>
      </x:c>
      <x:c r="C1207" s="34" t="str">
        <x:v>Round2</x:v>
      </x:c>
      <x:c r="D1207" s="34" t="str">
        <x:v>Gson_4</x:v>
      </x:c>
      <x:c r="E1207" s="34" t="str">
        <x:v>Coverage</x:v>
      </x:c>
      <x:c r="F1207" s="34" t="n">
        <x:v>1447</x:v>
      </x:c>
      <x:c r="G1207" s="34" t="str">
        <x:v>RECORDED</x:v>
      </x:c>
      <x:c r="H1207" s="38" t="n">
        <x:f>IF(ISNUMBER('Data'!G1207),'Data'!G1207*100,"")</x:f>
        <x:v>3.46</x:v>
      </x:c>
      <x:c r="I1207" s="34" t="str">
        <x:v>PASS</x:v>
      </x:c>
      <x:c r="J1207" s="34" t="str">
        <x:v>PASS</x:v>
      </x:c>
      <x:c r="K1207" s="34" t="str">
        <x:v>PASS</x:v>
      </x:c>
      <x:c r="L1207" s="34" t="str">
        <x:v>PASS</x:v>
      </x:c>
      <x:c r="M1207" s="34" t="str">
        <x:v>numeric coverage for applicable metric</x:v>
      </x:c>
      <x:c r="N1207" s="34" t="str">
        <x:v>Feedback-Directed Random Test Generation/Result_Round2/Gson_4/result.json</x:v>
      </x:c>
      <x:c r="O1207" s="38" t="n">
        <x:f>IF(AND(G1207="RECORDED",ISNUMBER(H1207)),H1207,"")</x:f>
        <x:v>3.46</x:v>
      </x:c>
      <x:c r="P1207" s="34" t="str">
        <x:v>NOT_REVEALING</x:v>
      </x:c>
      <x:c r="Q1207" s="34" t="str">
        <x:v>Feedback-Directed Random Test Generation/Result_Round2/Gson_4/result.json</x:v>
      </x:c>
    </x:row>
    <x:row r="1208">
      <x:c r="A1208" s="34" t="str">
        <x:v>randoop</x:v>
      </x:c>
      <x:c r="B1208" s="34" t="str">
        <x:v>Gson</x:v>
      </x:c>
      <x:c r="C1208" s="34" t="str">
        <x:v>Round2</x:v>
      </x:c>
      <x:c r="D1208" s="34" t="str">
        <x:v>Gson_5</x:v>
      </x:c>
      <x:c r="E1208" s="34" t="str">
        <x:v>Coverage</x:v>
      </x:c>
      <x:c r="F1208" s="34" t="n">
        <x:v>239</x:v>
      </x:c>
      <x:c r="G1208" s="34" t="str">
        <x:v>RECORDED</x:v>
      </x:c>
      <x:c r="H1208" s="38" t="n">
        <x:f>IF(ISNUMBER('Data'!G1208),'Data'!G1208*100,"")</x:f>
        <x:v>3.35</x:v>
      </x:c>
      <x:c r="I1208" s="34" t="str">
        <x:v>PASS</x:v>
      </x:c>
      <x:c r="J1208" s="34" t="str">
        <x:v>PASS</x:v>
      </x:c>
      <x:c r="K1208" s="34" t="str">
        <x:v>PASS</x:v>
      </x:c>
      <x:c r="L1208" s="34" t="str">
        <x:v>PASS</x:v>
      </x:c>
      <x:c r="M1208" s="34" t="str">
        <x:v>numeric coverage for applicable metric</x:v>
      </x:c>
      <x:c r="N1208" s="34" t="str">
        <x:v>Feedback-Directed Random Test Generation/Result_Round2/Gson_5/result.json</x:v>
      </x:c>
      <x:c r="O1208" s="38" t="n">
        <x:f>IF(AND(G1208="RECORDED",ISNUMBER(H1208)),H1208,"")</x:f>
        <x:v>3.35</x:v>
      </x:c>
      <x:c r="P1208" s="34" t="str">
        <x:v>NOT_REVEALING</x:v>
      </x:c>
      <x:c r="Q1208" s="34" t="str">
        <x:v>Feedback-Directed Random Test Generation/Result_Round2/Gson_5/result.json</x:v>
      </x:c>
    </x:row>
    <x:row r="1209">
      <x:c r="A1209" s="34" t="str">
        <x:v>randoop</x:v>
      </x:c>
      <x:c r="B1209" s="34" t="str">
        <x:v>Gson</x:v>
      </x:c>
      <x:c r="C1209" s="34" t="str">
        <x:v>Round2</x:v>
      </x:c>
      <x:c r="D1209" s="34" t="str">
        <x:v>Gson_6</x:v>
      </x:c>
      <x:c r="E1209" s="34" t="str">
        <x:v>Coverage</x:v>
      </x:c>
      <x:c r="F1209" s="34" t="n">
        <x:v>26</x:v>
      </x:c>
      <x:c r="G1209" s="34" t="str">
        <x:v>RECORDED</x:v>
      </x:c>
      <x:c r="H1209" s="38" t="n">
        <x:f>IF(ISNUMBER('Data'!G1209),'Data'!G1209*100,"")</x:f>
        <x:v>11.54</x:v>
      </x:c>
      <x:c r="I1209" s="34" t="str">
        <x:v>PASS</x:v>
      </x:c>
      <x:c r="J1209" s="34" t="str">
        <x:v>PASS</x:v>
      </x:c>
      <x:c r="K1209" s="34" t="str">
        <x:v>PASS</x:v>
      </x:c>
      <x:c r="L1209" s="34" t="str">
        <x:v>PASS</x:v>
      </x:c>
      <x:c r="M1209" s="34" t="str">
        <x:v>numeric coverage for applicable metric</x:v>
      </x:c>
      <x:c r="N1209" s="34" t="str">
        <x:v>Feedback-Directed Random Test Generation/Result_Round2/Gson_6/result.json</x:v>
      </x:c>
      <x:c r="O1209" s="38" t="n">
        <x:f>IF(AND(G1209="RECORDED",ISNUMBER(H1209)),H1209,"")</x:f>
        <x:v>11.54</x:v>
      </x:c>
      <x:c r="P1209" s="34" t="str">
        <x:v>NOT_REVEALING</x:v>
      </x:c>
      <x:c r="Q1209" s="34" t="str">
        <x:v>Feedback-Directed Random Test Generation/Result_Round2/Gson_6/result.json</x:v>
      </x:c>
    </x:row>
    <x:row r="1210">
      <x:c r="A1210" s="34" t="str">
        <x:v>randoop</x:v>
      </x:c>
      <x:c r="B1210" s="34" t="str">
        <x:v>Gson</x:v>
      </x:c>
      <x:c r="C1210" s="34" t="str">
        <x:v>Round2</x:v>
      </x:c>
      <x:c r="D1210" s="34" t="str">
        <x:v>Gson_7</x:v>
      </x:c>
      <x:c r="E1210" s="34" t="str">
        <x:v>Coverage</x:v>
      </x:c>
      <x:c r="F1210" s="34" t="n">
        <x:v>1153</x:v>
      </x:c>
      <x:c r="G1210" s="34" t="str">
        <x:v>RECORDED</x:v>
      </x:c>
      <x:c r="H1210" s="38" t="n">
        <x:f>IF(ISNUMBER('Data'!G1210),'Data'!G1210*100,"")</x:f>
        <x:v>1.73</x:v>
      </x:c>
      <x:c r="I1210" s="34" t="str">
        <x:v>PASS</x:v>
      </x:c>
      <x:c r="J1210" s="34" t="str">
        <x:v>PASS</x:v>
      </x:c>
      <x:c r="K1210" s="34" t="str">
        <x:v>PASS</x:v>
      </x:c>
      <x:c r="L1210" s="34" t="str">
        <x:v>PASS</x:v>
      </x:c>
      <x:c r="M1210" s="34" t="str">
        <x:v>numeric coverage for applicable metric</x:v>
      </x:c>
      <x:c r="N1210" s="34" t="str">
        <x:v>Feedback-Directed Random Test Generation/Result_Round2/Gson_7/result.json</x:v>
      </x:c>
      <x:c r="O1210" s="38" t="n">
        <x:f>IF(AND(G1210="RECORDED",ISNUMBER(H1210)),H1210,"")</x:f>
        <x:v>1.73</x:v>
      </x:c>
      <x:c r="P1210" s="34" t="str">
        <x:v>NOT_REVEALING</x:v>
      </x:c>
      <x:c r="Q1210" s="34" t="str">
        <x:v>Feedback-Directed Random Test Generation/Result_Round2/Gson_7/result.json</x:v>
      </x:c>
    </x:row>
    <x:row r="1211">
      <x:c r="A1211" s="34" t="str">
        <x:v>randoop</x:v>
      </x:c>
      <x:c r="B1211" s="34" t="str">
        <x:v>Gson</x:v>
      </x:c>
      <x:c r="C1211" s="34" t="str">
        <x:v>Round2</x:v>
      </x:c>
      <x:c r="D1211" s="34" t="str">
        <x:v>Gson_8</x:v>
      </x:c>
      <x:c r="E1211" s="34" t="str">
        <x:v>Coverage</x:v>
      </x:c>
      <x:c r="F1211" s="34" t="n">
        <x:v>31</x:v>
      </x:c>
      <x:c r="G1211" s="34" t="str">
        <x:v>RECORDED</x:v>
      </x:c>
      <x:c r="H1211" s="38" t="n">
        <x:f>IF(ISNUMBER('Data'!G1211),'Data'!G1211*100,"")</x:f>
        <x:v>25.81</x:v>
      </x:c>
      <x:c r="I1211" s="34" t="str">
        <x:v>PASS</x:v>
      </x:c>
      <x:c r="J1211" s="34" t="str">
        <x:v>PASS</x:v>
      </x:c>
      <x:c r="K1211" s="34" t="str">
        <x:v>PASS</x:v>
      </x:c>
      <x:c r="L1211" s="34" t="str">
        <x:v>PASS</x:v>
      </x:c>
      <x:c r="M1211" s="34" t="str">
        <x:v>numeric coverage for applicable metric</x:v>
      </x:c>
      <x:c r="N1211" s="34" t="str">
        <x:v>Feedback-Directed Random Test Generation/Result_Round2/Gson_8/result.json</x:v>
      </x:c>
      <x:c r="O1211" s="38" t="n">
        <x:f>IF(AND(G1211="RECORDED",ISNUMBER(H1211)),H1211,"")</x:f>
        <x:v>25.81</x:v>
      </x:c>
      <x:c r="P1211" s="34" t="str">
        <x:v>NOT_REVEALING</x:v>
      </x:c>
      <x:c r="Q1211" s="34" t="str">
        <x:v>Feedback-Directed Random Test Generation/Result_Round2/Gson_8/result.json</x:v>
      </x:c>
    </x:row>
    <x:row r="1212">
      <x:c r="A1212" s="34" t="str">
        <x:v>randoop</x:v>
      </x:c>
      <x:c r="B1212" s="34" t="str">
        <x:v>Gson</x:v>
      </x:c>
      <x:c r="C1212" s="34" t="str">
        <x:v>Round2</x:v>
      </x:c>
      <x:c r="D1212" s="34" t="str">
        <x:v>Gson_9</x:v>
      </x:c>
      <x:c r="E1212" s="34" t="str">
        <x:v>Coverage</x:v>
      </x:c>
      <x:c r="F1212" s="34" t="n">
        <x:v>1111</x:v>
      </x:c>
      <x:c r="G1212" s="34" t="str">
        <x:v>RECORDED</x:v>
      </x:c>
      <x:c r="H1212" s="38" t="n">
        <x:f>IF(ISNUMBER('Data'!G1212),'Data'!G1212*100,"")</x:f>
        <x:v>39.87</x:v>
      </x:c>
      <x:c r="I1212" s="34" t="str">
        <x:v>PASS</x:v>
      </x:c>
      <x:c r="J1212" s="34" t="str">
        <x:v>PASS</x:v>
      </x:c>
      <x:c r="K1212" s="34" t="str">
        <x:v>PASS</x:v>
      </x:c>
      <x:c r="L1212" s="34" t="str">
        <x:v>FAIL</x:v>
      </x:c>
      <x:c r="M1212" s="34" t="str">
        <x:v>numeric coverage for applicable metric</x:v>
      </x:c>
      <x:c r="N1212" s="34" t="str">
        <x:v>Feedback-Directed Random Test Generation/Result_Round2/Gson_9/result.json</x:v>
      </x:c>
      <x:c r="O1212" s="38" t="n">
        <x:f>IF(AND(G1212="RECORDED",ISNUMBER(H1212)),H1212,"")</x:f>
        <x:v>39.87</x:v>
      </x:c>
      <x:c r="P1212" s="34" t="str">
        <x:v>INCONCLUSIVE</x:v>
      </x:c>
      <x:c r="Q1212" s="34" t="str">
        <x:v>Feedback-Directed Random Test Generation/Result_Round2/Gson_9/result.json</x:v>
      </x:c>
    </x:row>
    <x:row r="1213">
      <x:c r="A1213" s="34" t="str">
        <x:v>randoop</x:v>
      </x:c>
      <x:c r="B1213" s="34" t="str">
        <x:v>Gson</x:v>
      </x:c>
      <x:c r="C1213" s="34" t="str">
        <x:v>Round2</x:v>
      </x:c>
      <x:c r="D1213" s="34" t="str">
        <x:v>Gson_10</x:v>
      </x:c>
      <x:c r="E1213" s="34" t="str">
        <x:v>Coverage</x:v>
      </x:c>
      <x:c r="F1213" s="34" t="n">
        <x:v>175</x:v>
      </x:c>
      <x:c r="G1213" s="34" t="str">
        <x:v>RECORDED</x:v>
      </x:c>
      <x:c r="H1213" s="38" t="n">
        <x:f>IF(ISNUMBER('Data'!G1213),'Data'!G1213*100,"")</x:f>
        <x:v>12.57</x:v>
      </x:c>
      <x:c r="I1213" s="34" t="str">
        <x:v>PASS</x:v>
      </x:c>
      <x:c r="J1213" s="34" t="str">
        <x:v>PASS</x:v>
      </x:c>
      <x:c r="K1213" s="34" t="str">
        <x:v>PASS</x:v>
      </x:c>
      <x:c r="L1213" s="34" t="str">
        <x:v>FAIL</x:v>
      </x:c>
      <x:c r="M1213" s="34" t="str">
        <x:v>numeric coverage for applicable metric</x:v>
      </x:c>
      <x:c r="N1213" s="34" t="str">
        <x:v>Feedback-Directed Random Test Generation/Result_Round2/Gson_10/result.json</x:v>
      </x:c>
      <x:c r="O1213" s="38" t="n">
        <x:f>IF(AND(G1213="RECORDED",ISNUMBER(H1213)),H1213,"")</x:f>
        <x:v>12.57</x:v>
      </x:c>
      <x:c r="P1213" s="34" t="str">
        <x:v>INCONCLUSIVE</x:v>
      </x:c>
      <x:c r="Q1213" s="34" t="str">
        <x:v>Feedback-Directed Random Test Generation/Result_Round2/Gson_10/result.json</x:v>
      </x:c>
    </x:row>
    <x:row r="1214">
      <x:c r="A1214" s="34" t="str">
        <x:v>randoop</x:v>
      </x:c>
      <x:c r="B1214" s="34" t="str">
        <x:v>Gson</x:v>
      </x:c>
      <x:c r="C1214" s="34" t="str">
        <x:v>Round2</x:v>
      </x:c>
      <x:c r="D1214" s="34" t="str">
        <x:v>Gson_11</x:v>
      </x:c>
      <x:c r="E1214" s="34" t="str">
        <x:v>Coverage</x:v>
      </x:c>
      <x:c r="F1214" s="34" t="n">
        <x:v>696</x:v>
      </x:c>
      <x:c r="G1214" s="34" t="str">
        <x:v>RECORDED</x:v>
      </x:c>
      <x:c r="H1214" s="38" t="n">
        <x:f>IF(ISNUMBER('Data'!G1214),'Data'!G1214*100,"")</x:f>
        <x:v>15.370000000000001</x:v>
      </x:c>
      <x:c r="I1214" s="34" t="str">
        <x:v>PASS</x:v>
      </x:c>
      <x:c r="J1214" s="34" t="str">
        <x:v>PASS</x:v>
      </x:c>
      <x:c r="K1214" s="34" t="str">
        <x:v>PASS</x:v>
      </x:c>
      <x:c r="L1214" s="34" t="str">
        <x:v>PASS</x:v>
      </x:c>
      <x:c r="M1214" s="34" t="str">
        <x:v>numeric coverage for applicable metric</x:v>
      </x:c>
      <x:c r="N1214" s="34" t="str">
        <x:v>Feedback-Directed Random Test Generation/Result_Round2/Gson_11/result.json</x:v>
      </x:c>
      <x:c r="O1214" s="38" t="n">
        <x:f>IF(AND(G1214="RECORDED",ISNUMBER(H1214)),H1214,"")</x:f>
        <x:v>15.370000000000001</x:v>
      </x:c>
      <x:c r="P1214" s="34" t="str">
        <x:v>NOT_REVEALING</x:v>
      </x:c>
      <x:c r="Q1214" s="34" t="str">
        <x:v>Feedback-Directed Random Test Generation/Result_Round2/Gson_11/result.json</x:v>
      </x:c>
    </x:row>
    <x:row r="1215">
      <x:c r="A1215" s="34" t="str">
        <x:v>randoop</x:v>
      </x:c>
      <x:c r="B1215" s="34" t="str">
        <x:v>Gson</x:v>
      </x:c>
      <x:c r="C1215" s="34" t="str">
        <x:v>Round2</x:v>
      </x:c>
      <x:c r="D1215" s="34" t="str">
        <x:v>Gson_12</x:v>
      </x:c>
      <x:c r="E1215" s="34" t="str">
        <x:v>Coverage</x:v>
      </x:c>
      <x:c r="F1215" s="34" t="n">
        <x:v>254</x:v>
      </x:c>
      <x:c r="G1215" s="34" t="str">
        <x:v>RECORDED</x:v>
      </x:c>
      <x:c r="H1215" s="38" t="n">
        <x:f>IF(ISNUMBER('Data'!G1215),'Data'!G1215*100,"")</x:f>
        <x:v>24.02</x:v>
      </x:c>
      <x:c r="I1215" s="34" t="str">
        <x:v>PASS</x:v>
      </x:c>
      <x:c r="J1215" s="34" t="str">
        <x:v>PASS</x:v>
      </x:c>
      <x:c r="K1215" s="34" t="str">
        <x:v>PASS</x:v>
      </x:c>
      <x:c r="L1215" s="34" t="str">
        <x:v>FAIL</x:v>
      </x:c>
      <x:c r="M1215" s="34" t="str">
        <x:v>numeric coverage for applicable metric</x:v>
      </x:c>
      <x:c r="N1215" s="34" t="str">
        <x:v>Feedback-Directed Random Test Generation/Result_Round2/Gson_12/result.json</x:v>
      </x:c>
      <x:c r="O1215" s="38" t="n">
        <x:f>IF(AND(G1215="RECORDED",ISNUMBER(H1215)),H1215,"")</x:f>
        <x:v>24.02</x:v>
      </x:c>
      <x:c r="P1215" s="34" t="str">
        <x:v>INCONCLUSIVE</x:v>
      </x:c>
      <x:c r="Q1215" s="34" t="str">
        <x:v>Feedback-Directed Random Test Generation/Result_Round2/Gson_12/result.json</x:v>
      </x:c>
    </x:row>
    <x:row r="1216">
      <x:c r="A1216" s="34" t="str">
        <x:v>randoop</x:v>
      </x:c>
      <x:c r="B1216" s="34" t="str">
        <x:v>Gson</x:v>
      </x:c>
      <x:c r="C1216" s="34" t="str">
        <x:v>Round2</x:v>
      </x:c>
      <x:c r="D1216" s="34" t="str">
        <x:v>Gson_13</x:v>
      </x:c>
      <x:c r="E1216" s="34" t="str">
        <x:v>Coverage</x:v>
      </x:c>
      <x:c r="F1216" s="34" t="n">
        <x:v>1167</x:v>
      </x:c>
      <x:c r="G1216" s="34" t="str">
        <x:v>RECORDED</x:v>
      </x:c>
      <x:c r="H1216" s="38" t="n">
        <x:f>IF(ISNUMBER('Data'!G1216),'Data'!G1216*100,"")</x:f>
        <x:v>1.71</x:v>
      </x:c>
      <x:c r="I1216" s="34" t="str">
        <x:v>PASS</x:v>
      </x:c>
      <x:c r="J1216" s="34" t="str">
        <x:v>PASS</x:v>
      </x:c>
      <x:c r="K1216" s="34" t="str">
        <x:v>PASS</x:v>
      </x:c>
      <x:c r="L1216" s="34" t="str">
        <x:v>PASS</x:v>
      </x:c>
      <x:c r="M1216" s="34" t="str">
        <x:v>numeric coverage for applicable metric</x:v>
      </x:c>
      <x:c r="N1216" s="34" t="str">
        <x:v>Feedback-Directed Random Test Generation/Result_Round2/Gson_13/result.json</x:v>
      </x:c>
      <x:c r="O1216" s="38" t="n">
        <x:f>IF(AND(G1216="RECORDED",ISNUMBER(H1216)),H1216,"")</x:f>
        <x:v>1.71</x:v>
      </x:c>
      <x:c r="P1216" s="34" t="str">
        <x:v>NOT_REVEALING</x:v>
      </x:c>
      <x:c r="Q1216" s="34" t="str">
        <x:v>Feedback-Directed Random Test Generation/Result_Round2/Gson_13/result.json</x:v>
      </x:c>
    </x:row>
    <x:row r="1217">
      <x:c r="A1217" s="34" t="str">
        <x:v>randoop</x:v>
      </x:c>
      <x:c r="B1217" s="34" t="str">
        <x:v>Gson</x:v>
      </x:c>
      <x:c r="C1217" s="34" t="str">
        <x:v>Round2</x:v>
      </x:c>
      <x:c r="D1217" s="34" t="str">
        <x:v>Gson_14</x:v>
      </x:c>
      <x:c r="E1217" s="34" t="str">
        <x:v>Coverage</x:v>
      </x:c>
      <x:c r="F1217" s="34" t="n">
        <x:v>433</x:v>
      </x:c>
      <x:c r="G1217" s="34" t="str">
        <x:v>RECORDED</x:v>
      </x:c>
      <x:c r="H1217" s="38" t="n">
        <x:f>IF(ISNUMBER('Data'!G1217),'Data'!G1217*100,"")</x:f>
        <x:v>0.22999999999999998</x:v>
      </x:c>
      <x:c r="I1217" s="34" t="str">
        <x:v>PASS</x:v>
      </x:c>
      <x:c r="J1217" s="34" t="str">
        <x:v>PASS</x:v>
      </x:c>
      <x:c r="K1217" s="34" t="str">
        <x:v>PASS</x:v>
      </x:c>
      <x:c r="L1217" s="34" t="str">
        <x:v>PASS</x:v>
      </x:c>
      <x:c r="M1217" s="34" t="str">
        <x:v>numeric coverage for applicable metric</x:v>
      </x:c>
      <x:c r="N1217" s="34" t="str">
        <x:v>Feedback-Directed Random Test Generation/Result_Round2/Gson_14/result.json</x:v>
      </x:c>
      <x:c r="O1217" s="38" t="n">
        <x:f>IF(AND(G1217="RECORDED",ISNUMBER(H1217)),H1217,"")</x:f>
        <x:v>0.22999999999999998</x:v>
      </x:c>
      <x:c r="P1217" s="34" t="str">
        <x:v>NOT_REVEALING</x:v>
      </x:c>
      <x:c r="Q1217" s="34" t="str">
        <x:v>Feedback-Directed Random Test Generation/Result_Round2/Gson_14/result.json</x:v>
      </x:c>
    </x:row>
    <x:row r="1218">
      <x:c r="A1218" s="34" t="str">
        <x:v>randoop</x:v>
      </x:c>
      <x:c r="B1218" s="34" t="str">
        <x:v>Gson</x:v>
      </x:c>
      <x:c r="C1218" s="34" t="str">
        <x:v>Round2</x:v>
      </x:c>
      <x:c r="D1218" s="34" t="str">
        <x:v>Gson_15</x:v>
      </x:c>
      <x:c r="E1218" s="34" t="str">
        <x:v>Coverage</x:v>
      </x:c>
      <x:c r="F1218" s="34" t="n">
        <x:v>290</x:v>
      </x:c>
      <x:c r="G1218" s="34" t="str">
        <x:v>RECORDED</x:v>
      </x:c>
      <x:c r="H1218" s="38" t="n">
        <x:f>IF(ISNUMBER('Data'!G1218),'Data'!G1218*100,"")</x:f>
        <x:v>10.34</x:v>
      </x:c>
      <x:c r="I1218" s="34" t="str">
        <x:v>PASS</x:v>
      </x:c>
      <x:c r="J1218" s="34" t="str">
        <x:v>PASS</x:v>
      </x:c>
      <x:c r="K1218" s="34" t="str">
        <x:v>PASS</x:v>
      </x:c>
      <x:c r="L1218" s="34" t="str">
        <x:v>PASS</x:v>
      </x:c>
      <x:c r="M1218" s="34" t="str">
        <x:v>numeric coverage for applicable metric</x:v>
      </x:c>
      <x:c r="N1218" s="34" t="str">
        <x:v>Feedback-Directed Random Test Generation/Result_Round2/Gson_15/result.json</x:v>
      </x:c>
      <x:c r="O1218" s="38" t="n">
        <x:f>IF(AND(G1218="RECORDED",ISNUMBER(H1218)),H1218,"")</x:f>
        <x:v>10.34</x:v>
      </x:c>
      <x:c r="P1218" s="34" t="str">
        <x:v>NOT_REVEALING</x:v>
      </x:c>
      <x:c r="Q1218" s="34" t="str">
        <x:v>Feedback-Directed Random Test Generation/Result_Round2/Gson_15/result.json</x:v>
      </x:c>
    </x:row>
    <x:row r="1219">
      <x:c r="A1219" s="34" t="str">
        <x:v>randoop</x:v>
      </x:c>
      <x:c r="B1219" s="34" t="str">
        <x:v>Gson</x:v>
      </x:c>
      <x:c r="C1219" s="34" t="str">
        <x:v>Round2</x:v>
      </x:c>
      <x:c r="D1219" s="34" t="str">
        <x:v>Gson_16</x:v>
      </x:c>
      <x:c r="E1219" s="34" t="str">
        <x:v>Coverage</x:v>
      </x:c>
      <x:c r="F1219" s="34" t="n">
        <x:v>442</x:v>
      </x:c>
      <x:c r="G1219" s="34" t="str">
        <x:v>RECORDED</x:v>
      </x:c>
      <x:c r="H1219" s="38" t="n">
        <x:f>IF(ISNUMBER('Data'!G1219),'Data'!G1219*100,"")</x:f>
        <x:v>0.22999999999999998</x:v>
      </x:c>
      <x:c r="I1219" s="34" t="str">
        <x:v>PASS</x:v>
      </x:c>
      <x:c r="J1219" s="34" t="str">
        <x:v>PASS</x:v>
      </x:c>
      <x:c r="K1219" s="34" t="str">
        <x:v>PASS</x:v>
      </x:c>
      <x:c r="L1219" s="34" t="str">
        <x:v>PASS</x:v>
      </x:c>
      <x:c r="M1219" s="34" t="str">
        <x:v>numeric coverage for applicable metric</x:v>
      </x:c>
      <x:c r="N1219" s="34" t="str">
        <x:v>Feedback-Directed Random Test Generation/Result_Round2/Gson_16/result.json</x:v>
      </x:c>
      <x:c r="O1219" s="38" t="n">
        <x:f>IF(AND(G1219="RECORDED",ISNUMBER(H1219)),H1219,"")</x:f>
        <x:v>0.22999999999999998</x:v>
      </x:c>
      <x:c r="P1219" s="34" t="str">
        <x:v>NOT_REVEALING</x:v>
      </x:c>
      <x:c r="Q1219" s="34" t="str">
        <x:v>Feedback-Directed Random Test Generation/Result_Round2/Gson_16/result.json</x:v>
      </x:c>
    </x:row>
    <x:row r="1220">
      <x:c r="A1220" s="34" t="str">
        <x:v>randoop</x:v>
      </x:c>
      <x:c r="B1220" s="34" t="str">
        <x:v>Gson</x:v>
      </x:c>
      <x:c r="C1220" s="34" t="str">
        <x:v>Round2</x:v>
      </x:c>
      <x:c r="D1220" s="34" t="str">
        <x:v>Gson_17</x:v>
      </x:c>
      <x:c r="E1220" s="34" t="str">
        <x:v>Coverage</x:v>
      </x:c>
      <x:c r="F1220" s="34" t="n">
        <x:v>71</x:v>
      </x:c>
      <x:c r="G1220" s="34" t="str">
        <x:v>RECORDED</x:v>
      </x:c>
      <x:c r="H1220" s="38" t="n">
        <x:f>IF(ISNUMBER('Data'!G1220),'Data'!G1220*100,"")</x:f>
        <x:v>32.39</x:v>
      </x:c>
      <x:c r="I1220" s="34" t="str">
        <x:v>PASS</x:v>
      </x:c>
      <x:c r="J1220" s="34" t="str">
        <x:v>PASS</x:v>
      </x:c>
      <x:c r="K1220" s="34" t="str">
        <x:v>PASS</x:v>
      </x:c>
      <x:c r="L1220" s="34" t="str">
        <x:v>FAIL</x:v>
      </x:c>
      <x:c r="M1220" s="34" t="str">
        <x:v>numeric coverage for applicable metric</x:v>
      </x:c>
      <x:c r="N1220" s="34" t="str">
        <x:v>Feedback-Directed Random Test Generation/Result_Round2/Gson_17/result.json</x:v>
      </x:c>
      <x:c r="O1220" s="38" t="n">
        <x:f>IF(AND(G1220="RECORDED",ISNUMBER(H1220)),H1220,"")</x:f>
        <x:v>32.39</x:v>
      </x:c>
      <x:c r="P1220" s="34" t="str">
        <x:v>INCONCLUSIVE</x:v>
      </x:c>
      <x:c r="Q1220" s="34" t="str">
        <x:v>Feedback-Directed Random Test Generation/Result_Round2/Gson_17/result.json</x:v>
      </x:c>
    </x:row>
    <x:row r="1221">
      <x:c r="A1221" s="34" t="str">
        <x:v>randoop</x:v>
      </x:c>
      <x:c r="B1221" s="34" t="str">
        <x:v>Gson</x:v>
      </x:c>
      <x:c r="C1221" s="34" t="str">
        <x:v>Round2</x:v>
      </x:c>
      <x:c r="D1221" s="34" t="str">
        <x:v>Gson_18</x:v>
      </x:c>
      <x:c r="E1221" s="34" t="str">
        <x:v>Coverage</x:v>
      </x:c>
      <x:c r="F1221" s="34" t="n">
        <x:v>447</x:v>
      </x:c>
      <x:c r="G1221" s="34" t="str">
        <x:v>RECORDED</x:v>
      </x:c>
      <x:c r="H1221" s="38" t="n">
        <x:f>IF(ISNUMBER('Data'!G1221),'Data'!G1221*100,"")</x:f>
        <x:v>0.22</x:v>
      </x:c>
      <x:c r="I1221" s="34" t="str">
        <x:v>PASS</x:v>
      </x:c>
      <x:c r="J1221" s="34" t="str">
        <x:v>PASS</x:v>
      </x:c>
      <x:c r="K1221" s="34" t="str">
        <x:v>PASS</x:v>
      </x:c>
      <x:c r="L1221" s="34" t="str">
        <x:v>PASS</x:v>
      </x:c>
      <x:c r="M1221" s="34" t="str">
        <x:v>numeric coverage for applicable metric</x:v>
      </x:c>
      <x:c r="N1221" s="34" t="str">
        <x:v>Feedback-Directed Random Test Generation/Result_Round2/Gson_18/result.json</x:v>
      </x:c>
      <x:c r="O1221" s="38" t="n">
        <x:f>IF(AND(G1221="RECORDED",ISNUMBER(H1221)),H1221,"")</x:f>
        <x:v>0.22</x:v>
      </x:c>
      <x:c r="P1221" s="34" t="str">
        <x:v>NOT_REVEALING</x:v>
      </x:c>
      <x:c r="Q1221" s="34" t="str">
        <x:v>Feedback-Directed Random Test Generation/Result_Round2/Gson_18/result.json</x:v>
      </x:c>
    </x:row>
    <x:row r="1222">
      <x:c r="A1222" s="34" t="str">
        <x:v>randoop</x:v>
      </x:c>
      <x:c r="B1222" s="34" t="str">
        <x:v>JacksonCore</x:v>
      </x:c>
      <x:c r="C1222" s="34" t="str">
        <x:v>Round2</x:v>
      </x:c>
      <x:c r="D1222" s="34" t="str">
        <x:v>JacksonCore_1</x:v>
      </x:c>
      <x:c r="E1222" s="34" t="str">
        <x:v>Coverage</x:v>
      </x:c>
      <x:c r="F1222" s="34" t="n">
        <x:v>636</x:v>
      </x:c>
      <x:c r="G1222" s="34" t="str">
        <x:v>RECORDED</x:v>
      </x:c>
      <x:c r="H1222" s="38" t="n">
        <x:f>IF(ISNUMBER('Data'!G1222),'Data'!G1222*100,"")</x:f>
        <x:v>71.86</x:v>
      </x:c>
      <x:c r="I1222" s="34" t="str">
        <x:v>PASS</x:v>
      </x:c>
      <x:c r="J1222" s="34" t="str">
        <x:v>PASS</x:v>
      </x:c>
      <x:c r="K1222" s="34" t="str">
        <x:v>PASS</x:v>
      </x:c>
      <x:c r="L1222" s="34" t="str">
        <x:v>PASS</x:v>
      </x:c>
      <x:c r="M1222" s="34" t="str">
        <x:v>numeric coverage for applicable metric</x:v>
      </x:c>
      <x:c r="N1222" s="34" t="str">
        <x:v>Feedback-Directed Random Test Generation/Result_Round2/JacksonCore_1/result.json</x:v>
      </x:c>
      <x:c r="O1222" s="38" t="n">
        <x:f>IF(AND(G1222="RECORDED",ISNUMBER(H1222)),H1222,"")</x:f>
        <x:v>71.86</x:v>
      </x:c>
      <x:c r="P1222" s="34" t="str">
        <x:v>INCONCLUSIVE</x:v>
      </x:c>
      <x:c r="Q1222" s="34" t="str">
        <x:v>Feedback-Directed Random Test Generation/Result_Round2/JacksonCore_1/result.json</x:v>
      </x:c>
    </x:row>
    <x:row r="1223">
      <x:c r="A1223" s="34" t="str">
        <x:v>randoop</x:v>
      </x:c>
      <x:c r="B1223" s="34" t="str">
        <x:v>JacksonCore</x:v>
      </x:c>
      <x:c r="C1223" s="34" t="str">
        <x:v>Round2</x:v>
      </x:c>
      <x:c r="D1223" s="34" t="str">
        <x:v>JacksonCore_2</x:v>
      </x:c>
      <x:c r="E1223" s="34" t="str">
        <x:v>Coverage</x:v>
      </x:c>
      <x:c r="F1223" s="34" t="n">
        <x:v>4161</x:v>
      </x:c>
      <x:c r="G1223" s="34" t="str">
        <x:v>RECORDED</x:v>
      </x:c>
      <x:c r="H1223" s="38" t="n">
        <x:f>IF(ISNUMBER('Data'!G1223),'Data'!G1223*100,"")</x:f>
        <x:v>0.29</x:v>
      </x:c>
      <x:c r="I1223" s="34" t="str">
        <x:v>PASS</x:v>
      </x:c>
      <x:c r="J1223" s="34" t="str">
        <x:v>PASS</x:v>
      </x:c>
      <x:c r="K1223" s="34" t="str">
        <x:v>PASS</x:v>
      </x:c>
      <x:c r="L1223" s="34" t="str">
        <x:v>PASS</x:v>
      </x:c>
      <x:c r="M1223" s="34" t="str">
        <x:v>numeric coverage for applicable metric</x:v>
      </x:c>
      <x:c r="N1223" s="34" t="str">
        <x:v>Feedback-Directed Random Test Generation/Result_Round2/JacksonCore_2/result.json</x:v>
      </x:c>
      <x:c r="O1223" s="38" t="n">
        <x:f>IF(AND(G1223="RECORDED",ISNUMBER(H1223)),H1223,"")</x:f>
        <x:v>0.29</x:v>
      </x:c>
      <x:c r="P1223" s="34" t="str">
        <x:v>NOT_REVEALING</x:v>
      </x:c>
      <x:c r="Q1223" s="34" t="str">
        <x:v>Feedback-Directed Random Test Generation/Result_Round2/JacksonCore_2/result.json</x:v>
      </x:c>
    </x:row>
    <x:row r="1224">
      <x:c r="A1224" s="34" t="str">
        <x:v>randoop</x:v>
      </x:c>
      <x:c r="B1224" s="34" t="str">
        <x:v>JacksonCore</x:v>
      </x:c>
      <x:c r="C1224" s="34" t="str">
        <x:v>Round2</x:v>
      </x:c>
      <x:c r="D1224" s="34" t="str">
        <x:v>JacksonCore_3</x:v>
      </x:c>
      <x:c r="E1224" s="34" t="str">
        <x:v>Coverage</x:v>
      </x:c>
      <x:c r="F1224" s="34" t="n">
        <x:v>2554</x:v>
      </x:c>
      <x:c r="G1224" s="34" t="str">
        <x:v>RECORDED</x:v>
      </x:c>
      <x:c r="H1224" s="38" t="n">
        <x:f>IF(ISNUMBER('Data'!G1224),'Data'!G1224*100,"")</x:f>
        <x:v>0.35</x:v>
      </x:c>
      <x:c r="I1224" s="34" t="str">
        <x:v>PASS</x:v>
      </x:c>
      <x:c r="J1224" s="34" t="str">
        <x:v>PASS</x:v>
      </x:c>
      <x:c r="K1224" s="34" t="str">
        <x:v>PASS</x:v>
      </x:c>
      <x:c r="L1224" s="34" t="str">
        <x:v>PASS</x:v>
      </x:c>
      <x:c r="M1224" s="34" t="str">
        <x:v>numeric coverage for applicable metric</x:v>
      </x:c>
      <x:c r="N1224" s="34" t="str">
        <x:v>Feedback-Directed Random Test Generation/Result_Round2/JacksonCore_3/result.json</x:v>
      </x:c>
      <x:c r="O1224" s="38" t="n">
        <x:f>IF(AND(G1224="RECORDED",ISNUMBER(H1224)),H1224,"")</x:f>
        <x:v>0.35</x:v>
      </x:c>
      <x:c r="P1224" s="34" t="str">
        <x:v>NOT_REVEALING</x:v>
      </x:c>
      <x:c r="Q1224" s="34" t="str">
        <x:v>Feedback-Directed Random Test Generation/Result_Round2/JacksonCore_3/result.json</x:v>
      </x:c>
    </x:row>
    <x:row r="1225">
      <x:c r="A1225" s="34" t="str">
        <x:v>randoop</x:v>
      </x:c>
      <x:c r="B1225" s="34" t="str">
        <x:v>JacksonCore</x:v>
      </x:c>
      <x:c r="C1225" s="34" t="str">
        <x:v>Round2</x:v>
      </x:c>
      <x:c r="D1225" s="34" t="str">
        <x:v>JacksonCore_4</x:v>
      </x:c>
      <x:c r="E1225" s="34" t="str">
        <x:v>Coverage</x:v>
      </x:c>
      <x:c r="F1225" s="34" t="n">
        <x:v>396</x:v>
      </x:c>
      <x:c r="G1225" s="34" t="str">
        <x:v>RECORDED</x:v>
      </x:c>
      <x:c r="H1225" s="38" t="n">
        <x:f>IF(ISNUMBER('Data'!G1225),'Data'!G1225*100,"")</x:f>
        <x:v>82.58</x:v>
      </x:c>
      <x:c r="I1225" s="34" t="str">
        <x:v>PASS</x:v>
      </x:c>
      <x:c r="J1225" s="34" t="str">
        <x:v>PASS</x:v>
      </x:c>
      <x:c r="K1225" s="34" t="str">
        <x:v>PASS</x:v>
      </x:c>
      <x:c r="L1225" s="34" t="str">
        <x:v>PASS</x:v>
      </x:c>
      <x:c r="M1225" s="34" t="str">
        <x:v>numeric coverage for applicable metric</x:v>
      </x:c>
      <x:c r="N1225" s="34" t="str">
        <x:v>Feedback-Directed Random Test Generation/Result_Round2/JacksonCore_4/result.json</x:v>
      </x:c>
      <x:c r="O1225" s="38" t="n">
        <x:f>IF(AND(G1225="RECORDED",ISNUMBER(H1225)),H1225,"")</x:f>
        <x:v>82.58</x:v>
      </x:c>
      <x:c r="P1225" s="34" t="str">
        <x:v>NOT_REVEALING</x:v>
      </x:c>
      <x:c r="Q1225" s="34" t="str">
        <x:v>Feedback-Directed Random Test Generation/Result_Round2/JacksonCore_4/result.json</x:v>
      </x:c>
    </x:row>
    <x:row r="1226">
      <x:c r="A1226" s="34" t="str">
        <x:v>randoop</x:v>
      </x:c>
      <x:c r="B1226" s="34" t="str">
        <x:v>JacksonCore</x:v>
      </x:c>
      <x:c r="C1226" s="34" t="str">
        <x:v>Round2</x:v>
      </x:c>
      <x:c r="D1226" s="34" t="str">
        <x:v>JacksonCore_5</x:v>
      </x:c>
      <x:c r="E1226" s="34" t="str">
        <x:v>Coverage</x:v>
      </x:c>
      <x:c r="F1226" s="34" t="n">
        <x:v>146</x:v>
      </x:c>
      <x:c r="G1226" s="34" t="str">
        <x:v>RECORDED</x:v>
      </x:c>
      <x:c r="H1226" s="38" t="n">
        <x:f>IF(ISNUMBER('Data'!G1226),'Data'!G1226*100,"")</x:f>
        <x:v>73.29</x:v>
      </x:c>
      <x:c r="I1226" s="34" t="str">
        <x:v>PASS</x:v>
      </x:c>
      <x:c r="J1226" s="34" t="str">
        <x:v>PASS</x:v>
      </x:c>
      <x:c r="K1226" s="34" t="str">
        <x:v>PASS</x:v>
      </x:c>
      <x:c r="L1226" s="34" t="str">
        <x:v>PASS</x:v>
      </x:c>
      <x:c r="M1226" s="34" t="str">
        <x:v>numeric coverage for applicable metric</x:v>
      </x:c>
      <x:c r="N1226" s="34" t="str">
        <x:v>Feedback-Directed Random Test Generation/Result_Round2/JacksonCore_5/result.json</x:v>
      </x:c>
      <x:c r="O1226" s="38" t="n">
        <x:f>IF(AND(G1226="RECORDED",ISNUMBER(H1226)),H1226,"")</x:f>
        <x:v>73.29</x:v>
      </x:c>
      <x:c r="P1226" s="34" t="str">
        <x:v>NOT_REVEALING</x:v>
      </x:c>
      <x:c r="Q1226" s="34" t="str">
        <x:v>Feedback-Directed Random Test Generation/Result_Round2/JacksonCore_5/result.json</x:v>
      </x:c>
    </x:row>
    <x:row r="1227">
      <x:c r="A1227" s="34" t="str">
        <x:v>randoop</x:v>
      </x:c>
      <x:c r="B1227" s="34" t="str">
        <x:v>JacksonCore</x:v>
      </x:c>
      <x:c r="C1227" s="34" t="str">
        <x:v>Round2</x:v>
      </x:c>
      <x:c r="D1227" s="34" t="str">
        <x:v>JacksonCore_6</x:v>
      </x:c>
      <x:c r="E1227" s="34" t="str">
        <x:v>Coverage</x:v>
      </x:c>
      <x:c r="F1227" s="34" t="n">
        <x:v>146</x:v>
      </x:c>
      <x:c r="G1227" s="34" t="str">
        <x:v>RECORDED</x:v>
      </x:c>
      <x:c r="H1227" s="38" t="n">
        <x:f>IF(ISNUMBER('Data'!G1227),'Data'!G1227*100,"")</x:f>
        <x:v>73.29</x:v>
      </x:c>
      <x:c r="I1227" s="34" t="str">
        <x:v>PASS</x:v>
      </x:c>
      <x:c r="J1227" s="34" t="str">
        <x:v>PASS</x:v>
      </x:c>
      <x:c r="K1227" s="34" t="str">
        <x:v>PASS</x:v>
      </x:c>
      <x:c r="L1227" s="34" t="str">
        <x:v>PASS</x:v>
      </x:c>
      <x:c r="M1227" s="34" t="str">
        <x:v>numeric coverage for applicable metric</x:v>
      </x:c>
      <x:c r="N1227" s="34" t="str">
        <x:v>Feedback-Directed Random Test Generation/Result_Round2/JacksonCore_6/result.json</x:v>
      </x:c>
      <x:c r="O1227" s="38" t="n">
        <x:f>IF(AND(G1227="RECORDED",ISNUMBER(H1227)),H1227,"")</x:f>
        <x:v>73.29</x:v>
      </x:c>
      <x:c r="P1227" s="34" t="str">
        <x:v>NOT_REVEALING</x:v>
      </x:c>
      <x:c r="Q1227" s="34" t="str">
        <x:v>Feedback-Directed Random Test Generation/Result_Round2/JacksonCore_6/result.json</x:v>
      </x:c>
    </x:row>
    <x:row r="1228">
      <x:c r="A1228" s="34" t="str">
        <x:v>randoop</x:v>
      </x:c>
      <x:c r="B1228" s="34" t="str">
        <x:v>JacksonCore</x:v>
      </x:c>
      <x:c r="C1228" s="34" t="str">
        <x:v>Round2</x:v>
      </x:c>
      <x:c r="D1228" s="34" t="str">
        <x:v>JacksonCore_7</x:v>
      </x:c>
      <x:c r="E1228" s="34" t="str">
        <x:v>Coverage</x:v>
      </x:c>
      <x:c r="F1228" s="34" t="n">
        <x:v>102</x:v>
      </x:c>
      <x:c r="G1228" s="34" t="str">
        <x:v>RECORDED</x:v>
      </x:c>
      <x:c r="H1228" s="38" t="n">
        <x:f>IF(ISNUMBER('Data'!G1228),'Data'!G1228*100,"")</x:f>
        <x:v>47.06</x:v>
      </x:c>
      <x:c r="I1228" s="34" t="str">
        <x:v>PASS</x:v>
      </x:c>
      <x:c r="J1228" s="34" t="str">
        <x:v>PASS</x:v>
      </x:c>
      <x:c r="K1228" s="34" t="str">
        <x:v>PASS</x:v>
      </x:c>
      <x:c r="L1228" s="34" t="str">
        <x:v>PASS</x:v>
      </x:c>
      <x:c r="M1228" s="34" t="str">
        <x:v>numeric coverage for applicable metric</x:v>
      </x:c>
      <x:c r="N1228" s="34" t="str">
        <x:v>Feedback-Directed Random Test Generation/Result_Round2/JacksonCore_7/result.json</x:v>
      </x:c>
      <x:c r="O1228" s="38" t="n">
        <x:f>IF(AND(G1228="RECORDED",ISNUMBER(H1228)),H1228,"")</x:f>
        <x:v>47.06</x:v>
      </x:c>
      <x:c r="P1228" s="34" t="str">
        <x:v>INCONCLUSIVE</x:v>
      </x:c>
      <x:c r="Q1228" s="34" t="str">
        <x:v>Feedback-Directed Random Test Generation/Result_Round2/JacksonCore_7/result.json</x:v>
      </x:c>
    </x:row>
    <x:row r="1229">
      <x:c r="A1229" s="34" t="str">
        <x:v>randoop</x:v>
      </x:c>
      <x:c r="B1229" s="34" t="str">
        <x:v>JacksonCore</x:v>
      </x:c>
      <x:c r="C1229" s="34" t="str">
        <x:v>Round2</x:v>
      </x:c>
      <x:c r="D1229" s="34" t="str">
        <x:v>JacksonCore_8</x:v>
      </x:c>
      <x:c r="E1229" s="34" t="str">
        <x:v>Coverage</x:v>
      </x:c>
      <x:c r="F1229" s="34" t="n">
        <x:v>409</x:v>
      </x:c>
      <x:c r="G1229" s="34" t="str">
        <x:v>RECORDED</x:v>
      </x:c>
      <x:c r="H1229" s="38" t="n">
        <x:f>IF(ISNUMBER('Data'!G1229),'Data'!G1229*100,"")</x:f>
        <x:v>76.28</x:v>
      </x:c>
      <x:c r="I1229" s="34" t="str">
        <x:v>PASS</x:v>
      </x:c>
      <x:c r="J1229" s="34" t="str">
        <x:v>PASS</x:v>
      </x:c>
      <x:c r="K1229" s="34" t="str">
        <x:v>PASS</x:v>
      </x:c>
      <x:c r="L1229" s="34" t="str">
        <x:v>PASS</x:v>
      </x:c>
      <x:c r="M1229" s="34" t="str">
        <x:v>numeric coverage for applicable metric</x:v>
      </x:c>
      <x:c r="N1229" s="34" t="str">
        <x:v>Feedback-Directed Random Test Generation/Result_Round2/JacksonCore_8/result.json</x:v>
      </x:c>
      <x:c r="O1229" s="38" t="n">
        <x:f>IF(AND(G1229="RECORDED",ISNUMBER(H1229)),H1229,"")</x:f>
        <x:v>76.28</x:v>
      </x:c>
      <x:c r="P1229" s="34" t="str">
        <x:v>INCONCLUSIVE</x:v>
      </x:c>
      <x:c r="Q1229" s="34" t="str">
        <x:v>Feedback-Directed Random Test Generation/Result_Round2/JacksonCore_8/result.json</x:v>
      </x:c>
    </x:row>
    <x:row r="1230">
      <x:c r="A1230" s="34" t="str">
        <x:v>randoop</x:v>
      </x:c>
      <x:c r="B1230" s="34" t="str">
        <x:v>JacksonCore</x:v>
      </x:c>
      <x:c r="C1230" s="34" t="str">
        <x:v>Round2</x:v>
      </x:c>
      <x:c r="D1230" s="34" t="str">
        <x:v>JacksonCore_9</x:v>
      </x:c>
      <x:c r="E1230" s="34" t="str">
        <x:v>Coverage</x:v>
      </x:c>
      <x:c r="F1230" s="34" t="n">
        <x:v>5373</x:v>
      </x:c>
      <x:c r="G1230" s="34" t="str">
        <x:v>RECORDED</x:v>
      </x:c>
      <x:c r="H1230" s="38" t="n">
        <x:f>IF(ISNUMBER('Data'!G1230),'Data'!G1230*100,"")</x:f>
        <x:v>0.22</x:v>
      </x:c>
      <x:c r="I1230" s="34" t="str">
        <x:v>PASS</x:v>
      </x:c>
      <x:c r="J1230" s="34" t="str">
        <x:v>PASS</x:v>
      </x:c>
      <x:c r="K1230" s="34" t="str">
        <x:v>PASS</x:v>
      </x:c>
      <x:c r="L1230" s="34" t="str">
        <x:v>PASS</x:v>
      </x:c>
      <x:c r="M1230" s="34" t="str">
        <x:v>numeric coverage for applicable metric</x:v>
      </x:c>
      <x:c r="N1230" s="34" t="str">
        <x:v>Feedback-Directed Random Test Generation/Result_Round2/JacksonCore_9/result.json</x:v>
      </x:c>
      <x:c r="O1230" s="38" t="n">
        <x:f>IF(AND(G1230="RECORDED",ISNUMBER(H1230)),H1230,"")</x:f>
        <x:v>0.22</x:v>
      </x:c>
      <x:c r="P1230" s="34" t="str">
        <x:v>NOT_REVEALING</x:v>
      </x:c>
      <x:c r="Q1230" s="34" t="str">
        <x:v>Feedback-Directed Random Test Generation/Result_Round2/JacksonCore_9/result.json</x:v>
      </x:c>
    </x:row>
    <x:row r="1231">
      <x:c r="A1231" s="34" t="str">
        <x:v>randoop</x:v>
      </x:c>
      <x:c r="B1231" s="34" t="str">
        <x:v>JacksonCore</x:v>
      </x:c>
      <x:c r="C1231" s="34" t="str">
        <x:v>Round2</x:v>
      </x:c>
      <x:c r="D1231" s="34" t="str">
        <x:v>JacksonCore_10</x:v>
      </x:c>
      <x:c r="E1231" s="34" t="str">
        <x:v>Coverage</x:v>
      </x:c>
      <x:c r="F1231" s="34" t="n">
        <x:v>731</x:v>
      </x:c>
      <x:c r="G1231" s="34" t="str">
        <x:v>RECORDED</x:v>
      </x:c>
      <x:c r="H1231" s="38" t="n">
        <x:f>IF(ISNUMBER('Data'!G1231),'Data'!G1231*100,"")</x:f>
        <x:v>39.53</x:v>
      </x:c>
      <x:c r="I1231" s="34" t="str">
        <x:v>PASS</x:v>
      </x:c>
      <x:c r="J1231" s="34" t="str">
        <x:v>PASS</x:v>
      </x:c>
      <x:c r="K1231" s="34" t="str">
        <x:v>PASS</x:v>
      </x:c>
      <x:c r="L1231" s="34" t="str">
        <x:v>FAIL</x:v>
      </x:c>
      <x:c r="M1231" s="34" t="str">
        <x:v>numeric coverage for applicable metric</x:v>
      </x:c>
      <x:c r="N1231" s="34" t="str">
        <x:v>Feedback-Directed Random Test Generation/Result_Round2/JacksonCore_10/result.json</x:v>
      </x:c>
      <x:c r="O1231" s="38" t="n">
        <x:f>IF(AND(G1231="RECORDED",ISNUMBER(H1231)),H1231,"")</x:f>
        <x:v>39.53</x:v>
      </x:c>
      <x:c r="P1231" s="34" t="str">
        <x:v>INCONCLUSIVE</x:v>
      </x:c>
      <x:c r="Q1231" s="34" t="str">
        <x:v>Feedback-Directed Random Test Generation/Result_Round2/JacksonCore_10/result.json</x:v>
      </x:c>
    </x:row>
    <x:row r="1232">
      <x:c r="A1232" s="34" t="str">
        <x:v>randoop</x:v>
      </x:c>
      <x:c r="B1232" s="34" t="str">
        <x:v>JacksonCore</x:v>
      </x:c>
      <x:c r="C1232" s="34" t="str">
        <x:v>Round2</x:v>
      </x:c>
      <x:c r="D1232" s="34" t="str">
        <x:v>JacksonCore_11</x:v>
      </x:c>
      <x:c r="E1232" s="34" t="str">
        <x:v>Coverage</x:v>
      </x:c>
      <x:c r="F1232" s="34" t="n">
        <x:v>736</x:v>
      </x:c>
      <x:c r="G1232" s="34" t="str">
        <x:v>RECORDED</x:v>
      </x:c>
      <x:c r="H1232" s="38" t="n">
        <x:f>IF(ISNUMBER('Data'!G1232),'Data'!G1232*100,"")</x:f>
        <x:v>39.95</x:v>
      </x:c>
      <x:c r="I1232" s="34" t="str">
        <x:v>PASS</x:v>
      </x:c>
      <x:c r="J1232" s="34" t="str">
        <x:v>PASS</x:v>
      </x:c>
      <x:c r="K1232" s="34" t="str">
        <x:v>PASS</x:v>
      </x:c>
      <x:c r="L1232" s="34" t="str">
        <x:v>FAIL</x:v>
      </x:c>
      <x:c r="M1232" s="34" t="str">
        <x:v>numeric coverage for applicable metric</x:v>
      </x:c>
      <x:c r="N1232" s="34" t="str">
        <x:v>Feedback-Directed Random Test Generation/Result_Round2/JacksonCore_11/result.json</x:v>
      </x:c>
      <x:c r="O1232" s="38" t="n">
        <x:f>IF(AND(G1232="RECORDED",ISNUMBER(H1232)),H1232,"")</x:f>
        <x:v>39.95</x:v>
      </x:c>
      <x:c r="P1232" s="34" t="str">
        <x:v>INCONCLUSIVE</x:v>
      </x:c>
      <x:c r="Q1232" s="34" t="str">
        <x:v>Feedback-Directed Random Test Generation/Result_Round2/JacksonCore_11/result.json</x:v>
      </x:c>
    </x:row>
    <x:row r="1233">
      <x:c r="A1233" s="34" t="str">
        <x:v>randoop</x:v>
      </x:c>
      <x:c r="B1233" s="34" t="str">
        <x:v>JacksonCore</x:v>
      </x:c>
      <x:c r="C1233" s="34" t="str">
        <x:v>Round2</x:v>
      </x:c>
      <x:c r="D1233" s="34" t="str">
        <x:v>JacksonCore_12</x:v>
      </x:c>
      <x:c r="E1233" s="34" t="str">
        <x:v>Coverage</x:v>
      </x:c>
      <x:c r="F1233" s="34" t="n">
        <x:v>5445</x:v>
      </x:c>
      <x:c r="G1233" s="34" t="str">
        <x:v>RECORDED</x:v>
      </x:c>
      <x:c r="H1233" s="38" t="n">
        <x:f>IF(ISNUMBER('Data'!G1233),'Data'!G1233*100,"")</x:f>
        <x:v>0.2</x:v>
      </x:c>
      <x:c r="I1233" s="34" t="str">
        <x:v>PASS</x:v>
      </x:c>
      <x:c r="J1233" s="34" t="str">
        <x:v>PASS</x:v>
      </x:c>
      <x:c r="K1233" s="34" t="str">
        <x:v>PASS</x:v>
      </x:c>
      <x:c r="L1233" s="34" t="str">
        <x:v>PASS</x:v>
      </x:c>
      <x:c r="M1233" s="34" t="str">
        <x:v>numeric coverage for applicable metric</x:v>
      </x:c>
      <x:c r="N1233" s="34" t="str">
        <x:v>Feedback-Directed Random Test Generation/Result_Round2/JacksonCore_12/result.json</x:v>
      </x:c>
      <x:c r="O1233" s="38" t="n">
        <x:f>IF(AND(G1233="RECORDED",ISNUMBER(H1233)),H1233,"")</x:f>
        <x:v>0.2</x:v>
      </x:c>
      <x:c r="P1233" s="34" t="str">
        <x:v>NOT_REVEALING</x:v>
      </x:c>
      <x:c r="Q1233" s="34" t="str">
        <x:v>Feedback-Directed Random Test Generation/Result_Round2/JacksonCore_12/result.json</x:v>
      </x:c>
    </x:row>
    <x:row r="1234">
      <x:c r="A1234" s="34" t="str">
        <x:v>randoop</x:v>
      </x:c>
      <x:c r="B1234" s="34" t="str">
        <x:v>JacksonCore</x:v>
      </x:c>
      <x:c r="C1234" s="34" t="str">
        <x:v>Round2</x:v>
      </x:c>
      <x:c r="D1234" s="34" t="str">
        <x:v>JacksonCore_13</x:v>
      </x:c>
      <x:c r="E1234" s="34" t="str">
        <x:v>Coverage</x:v>
      </x:c>
      <x:c r="F1234" s="34" t="n">
        <x:v>43</x:v>
      </x:c>
      <x:c r="G1234" s="34" t="str">
        <x:v>RECORDED</x:v>
      </x:c>
      <x:c r="H1234" s="38" t="n">
        <x:f>IF(ISNUMBER('Data'!G1234),'Data'!G1234*100,"")</x:f>
        <x:v>2.33</x:v>
      </x:c>
      <x:c r="I1234" s="34" t="str">
        <x:v>PASS</x:v>
      </x:c>
      <x:c r="J1234" s="34" t="str">
        <x:v>PASS</x:v>
      </x:c>
      <x:c r="K1234" s="34" t="str">
        <x:v>PASS</x:v>
      </x:c>
      <x:c r="L1234" s="34" t="str">
        <x:v>PASS</x:v>
      </x:c>
      <x:c r="M1234" s="34" t="str">
        <x:v>numeric coverage for applicable metric</x:v>
      </x:c>
      <x:c r="N1234" s="34" t="str">
        <x:v>Feedback-Directed Random Test Generation/Result_Round2/JacksonCore_13/result.json</x:v>
      </x:c>
      <x:c r="O1234" s="38" t="n">
        <x:f>IF(AND(G1234="RECORDED",ISNUMBER(H1234)),H1234,"")</x:f>
        <x:v>2.33</x:v>
      </x:c>
      <x:c r="P1234" s="34" t="str">
        <x:v>NOT_REVEALING</x:v>
      </x:c>
      <x:c r="Q1234" s="34" t="str">
        <x:v>Feedback-Directed Random Test Generation/Result_Round2/JacksonCore_13/result.json</x:v>
      </x:c>
    </x:row>
    <x:row r="1235">
      <x:c r="A1235" s="34" t="str">
        <x:v>randoop</x:v>
      </x:c>
      <x:c r="B1235" s="34" t="str">
        <x:v>JacksonCore</x:v>
      </x:c>
      <x:c r="C1235" s="34" t="str">
        <x:v>Round2</x:v>
      </x:c>
      <x:c r="D1235" s="34" t="str">
        <x:v>JacksonCore_14</x:v>
      </x:c>
      <x:c r="E1235" s="34" t="str">
        <x:v>Coverage</x:v>
      </x:c>
      <x:c r="F1235" s="34" t="n">
        <x:v>90</x:v>
      </x:c>
      <x:c r="G1235" s="34" t="str">
        <x:v>RECORDED</x:v>
      </x:c>
      <x:c r="H1235" s="38" t="n">
        <x:f>IF(ISNUMBER('Data'!G1235),'Data'!G1235*100,"")</x:f>
        <x:v>91.11</x:v>
      </x:c>
      <x:c r="I1235" s="34" t="str">
        <x:v>PASS</x:v>
      </x:c>
      <x:c r="J1235" s="34" t="str">
        <x:v>PASS</x:v>
      </x:c>
      <x:c r="K1235" s="34" t="str">
        <x:v>PASS</x:v>
      </x:c>
      <x:c r="L1235" s="34" t="str">
        <x:v>PASS</x:v>
      </x:c>
      <x:c r="M1235" s="34" t="str">
        <x:v>numeric coverage for applicable metric</x:v>
      </x:c>
      <x:c r="N1235" s="34" t="str">
        <x:v>Feedback-Directed Random Test Generation/Result_Round2/JacksonCore_14/result.json</x:v>
      </x:c>
      <x:c r="O1235" s="38" t="n">
        <x:f>IF(AND(G1235="RECORDED",ISNUMBER(H1235)),H1235,"")</x:f>
        <x:v>91.11</x:v>
      </x:c>
      <x:c r="P1235" s="34" t="str">
        <x:v>INCONCLUSIVE</x:v>
      </x:c>
      <x:c r="Q1235" s="34" t="str">
        <x:v>Feedback-Directed Random Test Generation/Result_Round2/JacksonCore_14/result.json</x:v>
      </x:c>
    </x:row>
    <x:row r="1236">
      <x:c r="A1236" s="34" t="str">
        <x:v>randoop</x:v>
      </x:c>
      <x:c r="B1236" s="34" t="str">
        <x:v>JacksonCore</x:v>
      </x:c>
      <x:c r="C1236" s="34" t="str">
        <x:v>Round2</x:v>
      </x:c>
      <x:c r="D1236" s="34" t="str">
        <x:v>JacksonCore_15</x:v>
      </x:c>
      <x:c r="E1236" s="34" t="str">
        <x:v>Coverage</x:v>
      </x:c>
      <x:c r="F1236" s="34" t="n">
        <x:v>624</x:v>
      </x:c>
      <x:c r="G1236" s="34" t="str">
        <x:v>RECORDED</x:v>
      </x:c>
      <x:c r="H1236" s="38" t="n">
        <x:f>IF(ISNUMBER('Data'!G1236),'Data'!G1236*100,"")</x:f>
        <x:v>15.380000000000003</x:v>
      </x:c>
      <x:c r="I1236" s="34" t="str">
        <x:v>PASS</x:v>
      </x:c>
      <x:c r="J1236" s="34" t="str">
        <x:v>PASS</x:v>
      </x:c>
      <x:c r="K1236" s="34" t="str">
        <x:v>PASS</x:v>
      </x:c>
      <x:c r="L1236" s="34" t="str">
        <x:v>PASS</x:v>
      </x:c>
      <x:c r="M1236" s="34" t="str">
        <x:v>numeric coverage for applicable metric</x:v>
      </x:c>
      <x:c r="N1236" s="34" t="str">
        <x:v>Feedback-Directed Random Test Generation/Result_Round2/JacksonCore_15/result.json</x:v>
      </x:c>
      <x:c r="O1236" s="38" t="n">
        <x:f>IF(AND(G1236="RECORDED",ISNUMBER(H1236)),H1236,"")</x:f>
        <x:v>15.380000000000003</x:v>
      </x:c>
      <x:c r="P1236" s="34" t="str">
        <x:v>NOT_REVEALING</x:v>
      </x:c>
      <x:c r="Q1236" s="34" t="str">
        <x:v>Feedback-Directed Random Test Generation/Result_Round2/JacksonCore_15/result.json</x:v>
      </x:c>
    </x:row>
    <x:row r="1237">
      <x:c r="A1237" s="34" t="str">
        <x:v>randoop</x:v>
      </x:c>
      <x:c r="B1237" s="34" t="str">
        <x:v>JacksonCore</x:v>
      </x:c>
      <x:c r="C1237" s="34" t="str">
        <x:v>Round2</x:v>
      </x:c>
      <x:c r="D1237" s="34" t="str">
        <x:v>JacksonCore_16</x:v>
      </x:c>
      <x:c r="E1237" s="34" t="str">
        <x:v>Coverage</x:v>
      </x:c>
      <x:c r="F1237" s="34" t="n">
        <x:v>55</x:v>
      </x:c>
      <x:c r="G1237" s="34" t="str">
        <x:v>RECORDED</x:v>
      </x:c>
      <x:c r="H1237" s="38" t="n">
        <x:f>IF(ISNUMBER('Data'!G1237),'Data'!G1237*100,"")</x:f>
        <x:v>70.91</x:v>
      </x:c>
      <x:c r="I1237" s="34" t="str">
        <x:v>PASS</x:v>
      </x:c>
      <x:c r="J1237" s="34" t="str">
        <x:v>PASS</x:v>
      </x:c>
      <x:c r="K1237" s="34" t="str">
        <x:v>PASS</x:v>
      </x:c>
      <x:c r="L1237" s="34" t="str">
        <x:v>PASS</x:v>
      </x:c>
      <x:c r="M1237" s="34" t="str">
        <x:v>numeric coverage for applicable metric</x:v>
      </x:c>
      <x:c r="N1237" s="34" t="str">
        <x:v>Feedback-Directed Random Test Generation/Result_Round2/JacksonCore_16/result.json</x:v>
      </x:c>
      <x:c r="O1237" s="38" t="n">
        <x:f>IF(AND(G1237="RECORDED",ISNUMBER(H1237)),H1237,"")</x:f>
        <x:v>70.91</x:v>
      </x:c>
      <x:c r="P1237" s="34" t="str">
        <x:v>INCONCLUSIVE</x:v>
      </x:c>
      <x:c r="Q1237" s="34" t="str">
        <x:v>Feedback-Directed Random Test Generation/Result_Round2/JacksonCore_16/result.json</x:v>
      </x:c>
    </x:row>
    <x:row r="1238">
      <x:c r="A1238" s="34" t="str">
        <x:v>randoop</x:v>
      </x:c>
      <x:c r="B1238" s="34" t="str">
        <x:v>JacksonCore</x:v>
      </x:c>
      <x:c r="C1238" s="34" t="str">
        <x:v>Round2</x:v>
      </x:c>
      <x:c r="D1238" s="34" t="str">
        <x:v>JacksonCore_17</x:v>
      </x:c>
      <x:c r="E1238" s="34" t="str">
        <x:v>Coverage</x:v>
      </x:c>
      <x:c r="F1238" s="34" t="n">
        <x:v>1514</x:v>
      </x:c>
      <x:c r="G1238" s="34" t="str">
        <x:v>RECORDED</x:v>
      </x:c>
      <x:c r="H1238" s="38" t="n">
        <x:f>IF(ISNUMBER('Data'!G1238),'Data'!G1238*100,"")</x:f>
        <x:v>1.06</x:v>
      </x:c>
      <x:c r="I1238" s="34" t="str">
        <x:v>PASS</x:v>
      </x:c>
      <x:c r="J1238" s="34" t="str">
        <x:v>PASS</x:v>
      </x:c>
      <x:c r="K1238" s="34" t="str">
        <x:v>PASS</x:v>
      </x:c>
      <x:c r="L1238" s="34" t="str">
        <x:v>PASS</x:v>
      </x:c>
      <x:c r="M1238" s="34" t="str">
        <x:v>numeric coverage for applicable metric</x:v>
      </x:c>
      <x:c r="N1238" s="34" t="str">
        <x:v>Feedback-Directed Random Test Generation/Result_Round2/JacksonCore_17/result.json</x:v>
      </x:c>
      <x:c r="O1238" s="38" t="n">
        <x:f>IF(AND(G1238="RECORDED",ISNUMBER(H1238)),H1238,"")</x:f>
        <x:v>1.06</x:v>
      </x:c>
      <x:c r="P1238" s="34" t="str">
        <x:v>NOT_REVEALING</x:v>
      </x:c>
      <x:c r="Q1238" s="34" t="str">
        <x:v>Feedback-Directed Random Test Generation/Result_Round2/JacksonCore_17/result.json</x:v>
      </x:c>
    </x:row>
    <x:row r="1239">
      <x:c r="A1239" s="34" t="str">
        <x:v>randoop</x:v>
      </x:c>
      <x:c r="B1239" s="34" t="str">
        <x:v>JacksonCore</x:v>
      </x:c>
      <x:c r="C1239" s="34" t="str">
        <x:v>Round2</x:v>
      </x:c>
      <x:c r="D1239" s="34" t="str">
        <x:v>JacksonCore_18</x:v>
      </x:c>
      <x:c r="E1239" s="34" t="str">
        <x:v>Coverage</x:v>
      </x:c>
      <x:c r="F1239" s="34" t="n">
        <x:v>3197</x:v>
      </x:c>
      <x:c r="G1239" s="34" t="str">
        <x:v>RECORDED</x:v>
      </x:c>
      <x:c r="H1239" s="38" t="n">
        <x:f>IF(ISNUMBER('Data'!G1239),'Data'!G1239*100,"")</x:f>
        <x:v>1.06</x:v>
      </x:c>
      <x:c r="I1239" s="34" t="str">
        <x:v>PASS</x:v>
      </x:c>
      <x:c r="J1239" s="34" t="str">
        <x:v>PASS</x:v>
      </x:c>
      <x:c r="K1239" s="34" t="str">
        <x:v>PASS</x:v>
      </x:c>
      <x:c r="L1239" s="34" t="str">
        <x:v>PASS</x:v>
      </x:c>
      <x:c r="M1239" s="34" t="str">
        <x:v>numeric coverage for applicable metric</x:v>
      </x:c>
      <x:c r="N1239" s="34" t="str">
        <x:v>Feedback-Directed Random Test Generation/Result_Round2/JacksonCore_18/result.json</x:v>
      </x:c>
      <x:c r="O1239" s="38" t="n">
        <x:f>IF(AND(G1239="RECORDED",ISNUMBER(H1239)),H1239,"")</x:f>
        <x:v>1.06</x:v>
      </x:c>
      <x:c r="P1239" s="34" t="str">
        <x:v>NOT_REVEALING</x:v>
      </x:c>
      <x:c r="Q1239" s="34" t="str">
        <x:v>Feedback-Directed Random Test Generation/Result_Round2/JacksonCore_18/result.json</x:v>
      </x:c>
    </x:row>
    <x:row r="1240">
      <x:c r="A1240" s="34" t="str">
        <x:v>randoop</x:v>
      </x:c>
      <x:c r="B1240" s="34" t="str">
        <x:v>JacksonCore</x:v>
      </x:c>
      <x:c r="C1240" s="34" t="str">
        <x:v>Round2</x:v>
      </x:c>
      <x:c r="D1240" s="34" t="str">
        <x:v>JacksonCore_19</x:v>
      </x:c>
      <x:c r="E1240" s="34" t="str">
        <x:v>Coverage</x:v>
      </x:c>
      <x:c r="F1240" s="34" t="n">
        <x:v>5451</x:v>
      </x:c>
      <x:c r="G1240" s="34" t="str">
        <x:v>RECORDED</x:v>
      </x:c>
      <x:c r="H1240" s="38" t="n">
        <x:f>IF(ISNUMBER('Data'!G1240),'Data'!G1240*100,"")</x:f>
        <x:v>0.2</x:v>
      </x:c>
      <x:c r="I1240" s="34" t="str">
        <x:v>PASS</x:v>
      </x:c>
      <x:c r="J1240" s="34" t="str">
        <x:v>PASS</x:v>
      </x:c>
      <x:c r="K1240" s="34" t="str">
        <x:v>PASS</x:v>
      </x:c>
      <x:c r="L1240" s="34" t="str">
        <x:v>PASS</x:v>
      </x:c>
      <x:c r="M1240" s="34" t="str">
        <x:v>numeric coverage for applicable metric</x:v>
      </x:c>
      <x:c r="N1240" s="34" t="str">
        <x:v>Feedback-Directed Random Test Generation/Result_Round2/JacksonCore_19/result.json</x:v>
      </x:c>
      <x:c r="O1240" s="38" t="n">
        <x:f>IF(AND(G1240="RECORDED",ISNUMBER(H1240)),H1240,"")</x:f>
        <x:v>0.2</x:v>
      </x:c>
      <x:c r="P1240" s="34" t="str">
        <x:v>NOT_REVEALING</x:v>
      </x:c>
      <x:c r="Q1240" s="34" t="str">
        <x:v>Feedback-Directed Random Test Generation/Result_Round2/JacksonCore_19/result.json</x:v>
      </x:c>
    </x:row>
    <x:row r="1241">
      <x:c r="A1241" s="34" t="str">
        <x:v>randoop</x:v>
      </x:c>
      <x:c r="B1241" s="34" t="str">
        <x:v>JacksonCore</x:v>
      </x:c>
      <x:c r="C1241" s="34" t="str">
        <x:v>Round2</x:v>
      </x:c>
      <x:c r="D1241" s="34" t="str">
        <x:v>JacksonCore_20</x:v>
      </x:c>
      <x:c r="E1241" s="34" t="str">
        <x:v>Coverage</x:v>
      </x:c>
      <x:c r="F1241" s="34" t="n">
        <x:v>356</x:v>
      </x:c>
      <x:c r="G1241" s="34" t="str">
        <x:v>RECORDED</x:v>
      </x:c>
      <x:c r="H1241" s="38" t="n">
        <x:f>IF(ISNUMBER('Data'!G1241),'Data'!G1241*100,"")</x:f>
        <x:v>8.15</x:v>
      </x:c>
      <x:c r="I1241" s="34" t="str">
        <x:v>PASS</x:v>
      </x:c>
      <x:c r="J1241" s="34" t="str">
        <x:v>PASS</x:v>
      </x:c>
      <x:c r="K1241" s="34" t="str">
        <x:v>PASS</x:v>
      </x:c>
      <x:c r="L1241" s="34" t="str">
        <x:v>PASS</x:v>
      </x:c>
      <x:c r="M1241" s="34" t="str">
        <x:v>numeric coverage for applicable metric</x:v>
      </x:c>
      <x:c r="N1241" s="34" t="str">
        <x:v>Feedback-Directed Random Test Generation/Result_Round2/JacksonCore_20/result.json</x:v>
      </x:c>
      <x:c r="O1241" s="38" t="n">
        <x:f>IF(AND(G1241="RECORDED",ISNUMBER(H1241)),H1241,"")</x:f>
        <x:v>8.15</x:v>
      </x:c>
      <x:c r="P1241" s="34" t="str">
        <x:v>NOT_REVEALING</x:v>
      </x:c>
      <x:c r="Q1241" s="34" t="str">
        <x:v>Feedback-Directed Random Test Generation/Result_Round2/JacksonCore_20/result.json</x:v>
      </x:c>
    </x:row>
    <x:row r="1242">
      <x:c r="A1242" s="34" t="str">
        <x:v>randoop</x:v>
      </x:c>
      <x:c r="B1242" s="34" t="str">
        <x:v>JacksonCore</x:v>
      </x:c>
      <x:c r="C1242" s="34" t="str">
        <x:v>Round2</x:v>
      </x:c>
      <x:c r="D1242" s="34" t="str">
        <x:v>JacksonCore_21</x:v>
      </x:c>
      <x:c r="E1242" s="34" t="str">
        <x:v>Coverage</x:v>
      </x:c>
      <x:c r="F1242" s="34" t="n">
        <x:v>654</x:v>
      </x:c>
      <x:c r="G1242" s="34" t="str">
        <x:v>RECORDED</x:v>
      </x:c>
      <x:c r="H1242" s="38" t="n">
        <x:f>IF(ISNUMBER('Data'!G1242),'Data'!G1242*100,"")</x:f>
        <x:v>15.9</x:v>
      </x:c>
      <x:c r="I1242" s="34" t="str">
        <x:v>PASS</x:v>
      </x:c>
      <x:c r="J1242" s="34" t="str">
        <x:v>PASS</x:v>
      </x:c>
      <x:c r="K1242" s="34" t="str">
        <x:v>PASS</x:v>
      </x:c>
      <x:c r="L1242" s="34" t="str">
        <x:v>PASS</x:v>
      </x:c>
      <x:c r="M1242" s="34" t="str">
        <x:v>numeric coverage for applicable metric</x:v>
      </x:c>
      <x:c r="N1242" s="34" t="str">
        <x:v>Feedback-Directed Random Test Generation/Result_Round2/JacksonCore_21/result.json</x:v>
      </x:c>
      <x:c r="O1242" s="38" t="n">
        <x:f>IF(AND(G1242="RECORDED",ISNUMBER(H1242)),H1242,"")</x:f>
        <x:v>15.9</x:v>
      </x:c>
      <x:c r="P1242" s="34" t="str">
        <x:v>NOT_REVEALING</x:v>
      </x:c>
      <x:c r="Q1242" s="34" t="str">
        <x:v>Feedback-Directed Random Test Generation/Result_Round2/JacksonCore_21/result.json</x:v>
      </x:c>
    </x:row>
    <x:row r="1243">
      <x:c r="A1243" s="34" t="str">
        <x:v>randoop</x:v>
      </x:c>
      <x:c r="B1243" s="34" t="str">
        <x:v>JacksonCore</x:v>
      </x:c>
      <x:c r="C1243" s="34" t="str">
        <x:v>Round2</x:v>
      </x:c>
      <x:c r="D1243" s="34" t="str">
        <x:v>JacksonCore_22</x:v>
      </x:c>
      <x:c r="E1243" s="34" t="str">
        <x:v>Coverage</x:v>
      </x:c>
      <x:c r="F1243" s="34" t="n">
        <x:v>648</x:v>
      </x:c>
      <x:c r="G1243" s="34" t="str">
        <x:v>RECORDED</x:v>
      </x:c>
      <x:c r="H1243" s="38" t="n">
        <x:f>IF(ISNUMBER('Data'!G1243),'Data'!G1243*100,"")</x:f>
        <x:v>16.05</x:v>
      </x:c>
      <x:c r="I1243" s="34" t="str">
        <x:v>PASS</x:v>
      </x:c>
      <x:c r="J1243" s="34" t="str">
        <x:v>PASS</x:v>
      </x:c>
      <x:c r="K1243" s="34" t="str">
        <x:v>PASS</x:v>
      </x:c>
      <x:c r="L1243" s="34" t="str">
        <x:v>PASS</x:v>
      </x:c>
      <x:c r="M1243" s="34" t="str">
        <x:v>numeric coverage for applicable metric</x:v>
      </x:c>
      <x:c r="N1243" s="34" t="str">
        <x:v>Feedback-Directed Random Test Generation/Result_Round2/JacksonCore_22/result.json</x:v>
      </x:c>
      <x:c r="O1243" s="38" t="n">
        <x:f>IF(AND(G1243="RECORDED",ISNUMBER(H1243)),H1243,"")</x:f>
        <x:v>16.05</x:v>
      </x:c>
      <x:c r="P1243" s="34" t="str">
        <x:v>NOT_REVEALING</x:v>
      </x:c>
      <x:c r="Q1243" s="34" t="str">
        <x:v>Feedback-Directed Random Test Generation/Result_Round2/JacksonCore_22/result.json</x:v>
      </x:c>
    </x:row>
    <x:row r="1244">
      <x:c r="A1244" s="34" t="str">
        <x:v>randoop</x:v>
      </x:c>
      <x:c r="B1244" s="34" t="str">
        <x:v>JacksonCore</x:v>
      </x:c>
      <x:c r="C1244" s="34" t="str">
        <x:v>Round2</x:v>
      </x:c>
      <x:c r="D1244" s="34" t="str">
        <x:v>JacksonCore_23</x:v>
      </x:c>
      <x:c r="E1244" s="34" t="str">
        <x:v>Coverage</x:v>
      </x:c>
      <x:c r="F1244" s="34" t="n">
        <x:v>146</x:v>
      </x:c>
      <x:c r="G1244" s="34" t="str">
        <x:v>RECORDED</x:v>
      </x:c>
      <x:c r="H1244" s="38" t="n">
        <x:f>IF(ISNUMBER('Data'!G1244),'Data'!G1244*100,"")</x:f>
        <x:v>88.36</x:v>
      </x:c>
      <x:c r="I1244" s="34" t="str">
        <x:v>PASS</x:v>
      </x:c>
      <x:c r="J1244" s="34" t="str">
        <x:v>PASS</x:v>
      </x:c>
      <x:c r="K1244" s="34" t="str">
        <x:v>PASS</x:v>
      </x:c>
      <x:c r="L1244" s="34" t="str">
        <x:v>PASS</x:v>
      </x:c>
      <x:c r="M1244" s="34" t="str">
        <x:v>numeric coverage for applicable metric</x:v>
      </x:c>
      <x:c r="N1244" s="34" t="str">
        <x:v>Feedback-Directed Random Test Generation/Result_Round2/JacksonCore_23/result.json</x:v>
      </x:c>
      <x:c r="O1244" s="38" t="n">
        <x:f>IF(AND(G1244="RECORDED",ISNUMBER(H1244)),H1244,"")</x:f>
        <x:v>88.36</x:v>
      </x:c>
      <x:c r="P1244" s="34" t="str">
        <x:v>NOT_REVEALING</x:v>
      </x:c>
      <x:c r="Q1244" s="34" t="str">
        <x:v>Feedback-Directed Random Test Generation/Result_Round2/JacksonCore_23/result.json</x:v>
      </x:c>
    </x:row>
    <x:row r="1245">
      <x:c r="A1245" s="34" t="str">
        <x:v>randoop</x:v>
      </x:c>
      <x:c r="B1245" s="34" t="str">
        <x:v>JacksonCore</x:v>
      </x:c>
      <x:c r="C1245" s="34" t="str">
        <x:v>Round2</x:v>
      </x:c>
      <x:c r="D1245" s="34" t="str">
        <x:v>JacksonCore_24</x:v>
      </x:c>
      <x:c r="E1245" s="34" t="str">
        <x:v>Coverage</x:v>
      </x:c>
      <x:c r="F1245" s="34" t="n">
        <x:v>1018</x:v>
      </x:c>
      <x:c r="G1245" s="34" t="str">
        <x:v>RECORDED</x:v>
      </x:c>
      <x:c r="H1245" s="38" t="n">
        <x:f>IF(ISNUMBER('Data'!G1245),'Data'!G1245*100,"")</x:f>
        <x:v>3.1400000000000006</x:v>
      </x:c>
      <x:c r="I1245" s="34" t="str">
        <x:v>PASS</x:v>
      </x:c>
      <x:c r="J1245" s="34" t="str">
        <x:v>PASS</x:v>
      </x:c>
      <x:c r="K1245" s="34" t="str">
        <x:v>PASS</x:v>
      </x:c>
      <x:c r="L1245" s="34" t="str">
        <x:v>PASS</x:v>
      </x:c>
      <x:c r="M1245" s="34" t="str">
        <x:v>numeric coverage for applicable metric</x:v>
      </x:c>
      <x:c r="N1245" s="34" t="str">
        <x:v>Feedback-Directed Random Test Generation/Result_Round2/JacksonCore_24/result.json</x:v>
      </x:c>
      <x:c r="O1245" s="38" t="n">
        <x:f>IF(AND(G1245="RECORDED",ISNUMBER(H1245)),H1245,"")</x:f>
        <x:v>3.1400000000000006</x:v>
      </x:c>
      <x:c r="P1245" s="34" t="str">
        <x:v>NOT_REVEALING</x:v>
      </x:c>
      <x:c r="Q1245" s="34" t="str">
        <x:v>Feedback-Directed Random Test Generation/Result_Round2/JacksonCore_24/result.json</x:v>
      </x:c>
    </x:row>
    <x:row r="1246">
      <x:c r="A1246" s="34" t="str">
        <x:v>randoop</x:v>
      </x:c>
      <x:c r="B1246" s="34" t="str">
        <x:v>JacksonCore</x:v>
      </x:c>
      <x:c r="C1246" s="34" t="str">
        <x:v>Round2</x:v>
      </x:c>
      <x:c r="D1246" s="34" t="str">
        <x:v>JacksonCore_25</x:v>
      </x:c>
      <x:c r="E1246" s="34" t="str">
        <x:v>Coverage</x:v>
      </x:c>
      <x:c r="F1246" s="34" t="n">
        <x:v>2522</x:v>
      </x:c>
      <x:c r="G1246" s="34" t="str">
        <x:v>RECORDED</x:v>
      </x:c>
      <x:c r="H1246" s="38" t="n">
        <x:f>IF(ISNUMBER('Data'!G1246),'Data'!G1246*100,"")</x:f>
        <x:v>0.16</x:v>
      </x:c>
      <x:c r="I1246" s="34" t="str">
        <x:v>PASS</x:v>
      </x:c>
      <x:c r="J1246" s="34" t="str">
        <x:v>PASS</x:v>
      </x:c>
      <x:c r="K1246" s="34" t="str">
        <x:v>PASS</x:v>
      </x:c>
      <x:c r="L1246" s="34" t="str">
        <x:v>PASS</x:v>
      </x:c>
      <x:c r="M1246" s="34" t="str">
        <x:v>numeric coverage for applicable metric</x:v>
      </x:c>
      <x:c r="N1246" s="34" t="str">
        <x:v>Feedback-Directed Random Test Generation/Result_Round2/JacksonCore_25/result.json</x:v>
      </x:c>
      <x:c r="O1246" s="38" t="n">
        <x:f>IF(AND(G1246="RECORDED",ISNUMBER(H1246)),H1246,"")</x:f>
        <x:v>0.16</x:v>
      </x:c>
      <x:c r="P1246" s="34" t="str">
        <x:v>NOT_REVEALING</x:v>
      </x:c>
      <x:c r="Q1246" s="34" t="str">
        <x:v>Feedback-Directed Random Test Generation/Result_Round2/JacksonCore_25/result.json</x:v>
      </x:c>
    </x:row>
    <x:row r="1247">
      <x:c r="A1247" s="34" t="str">
        <x:v>randoop</x:v>
      </x:c>
      <x:c r="B1247" s="34" t="str">
        <x:v>JacksonCore</x:v>
      </x:c>
      <x:c r="C1247" s="34" t="str">
        <x:v>Round2</x:v>
      </x:c>
      <x:c r="D1247" s="34" t="str">
        <x:v>JacksonCore_26</x:v>
      </x:c>
      <x:c r="E1247" s="34" t="str">
        <x:v>Coverage</x:v>
      </x:c>
      <x:c r="F1247" s="34" t="n">
        <x:v>2433</x:v>
      </x:c>
      <x:c r="G1247" s="34" t="str">
        <x:v>RECORDED</x:v>
      </x:c>
      <x:c r="H1247" s="38" t="n">
        <x:f>IF(ISNUMBER('Data'!G1247),'Data'!G1247*100,"")</x:f>
        <x:v>0.4099999999999999</x:v>
      </x:c>
      <x:c r="I1247" s="34" t="str">
        <x:v>PASS</x:v>
      </x:c>
      <x:c r="J1247" s="34" t="str">
        <x:v>PASS</x:v>
      </x:c>
      <x:c r="K1247" s="34" t="str">
        <x:v>PASS</x:v>
      </x:c>
      <x:c r="L1247" s="34" t="str">
        <x:v>PASS</x:v>
      </x:c>
      <x:c r="M1247" s="34" t="str">
        <x:v>numeric coverage for applicable metric</x:v>
      </x:c>
      <x:c r="N1247" s="34" t="str">
        <x:v>Feedback-Directed Random Test Generation/Result_Round2/JacksonCore_26/result.json</x:v>
      </x:c>
      <x:c r="O1247" s="38" t="n">
        <x:f>IF(AND(G1247="RECORDED",ISNUMBER(H1247)),H1247,"")</x:f>
        <x:v>0.4099999999999999</x:v>
      </x:c>
      <x:c r="P1247" s="34" t="str">
        <x:v>NOT_REVEALING</x:v>
      </x:c>
      <x:c r="Q1247" s="34" t="str">
        <x:v>Feedback-Directed Random Test Generation/Result_Round2/JacksonCore_26/result.json</x:v>
      </x:c>
    </x:row>
    <x:row r="1248">
      <x:c r="A1248" s="34" t="str">
        <x:v>randoop</x:v>
      </x:c>
      <x:c r="B1248" s="34" t="str">
        <x:v>JacksonDatabind</x:v>
      </x:c>
      <x:c r="C1248" s="34" t="str">
        <x:v>Round2</x:v>
      </x:c>
      <x:c r="D1248" s="34" t="str">
        <x:v>JacksonDatabind_1</x:v>
      </x:c>
      <x:c r="E1248" s="34" t="str">
        <x:v>Coverage</x:v>
      </x:c>
      <x:c r="F1248" s="34" t="n">
        <x:v>299</x:v>
      </x:c>
      <x:c r="G1248" s="34" t="str">
        <x:v>RECORDED</x:v>
      </x:c>
      <x:c r="H1248" s="38" t="n">
        <x:f>IF(ISNUMBER('Data'!G1248),'Data'!G1248*100,"")</x:f>
        <x:v>1.67</x:v>
      </x:c>
      <x:c r="I1248" s="34" t="str">
        <x:v>PASS</x:v>
      </x:c>
      <x:c r="J1248" s="34" t="str">
        <x:v>PASS</x:v>
      </x:c>
      <x:c r="K1248" s="34" t="str">
        <x:v>PASS</x:v>
      </x:c>
      <x:c r="L1248" s="34" t="str">
        <x:v>PASS</x:v>
      </x:c>
      <x:c r="M1248" s="34" t="str">
        <x:v>numeric coverage for applicable metric</x:v>
      </x:c>
      <x:c r="N1248" s="34" t="str">
        <x:v>Feedback-Directed Random Test Generation/Result_Round2/JacksonDatabind_1/result.json</x:v>
      </x:c>
      <x:c r="O1248" s="38" t="n">
        <x:f>IF(AND(G1248="RECORDED",ISNUMBER(H1248)),H1248,"")</x:f>
        <x:v>1.67</x:v>
      </x:c>
      <x:c r="P1248" s="34" t="str">
        <x:v>NOT_REVEALING</x:v>
      </x:c>
      <x:c r="Q1248" s="34" t="str">
        <x:v>Feedback-Directed Random Test Generation/Result_Round2/JacksonDatabind_1/result.json</x:v>
      </x:c>
    </x:row>
    <x:row r="1249">
      <x:c r="A1249" s="34" t="str">
        <x:v>randoop</x:v>
      </x:c>
      <x:c r="B1249" s="34" t="str">
        <x:v>JacksonDatabind</x:v>
      </x:c>
      <x:c r="C1249" s="34" t="str">
        <x:v>Round2</x:v>
      </x:c>
      <x:c r="D1249" s="34" t="str">
        <x:v>JacksonDatabind_2</x:v>
      </x:c>
      <x:c r="E1249" s="34" t="str">
        <x:v>Coverage</x:v>
      </x:c>
      <x:c r="F1249" s="34" t="n">
        <x:v>908</x:v>
      </x:c>
      <x:c r="G1249" s="34" t="str">
        <x:v>RECORDED</x:v>
      </x:c>
      <x:c r="H1249" s="38" t="n">
        <x:f>IF(ISNUMBER('Data'!G1249),'Data'!G1249*100,"")</x:f>
        <x:v>76.98</x:v>
      </x:c>
      <x:c r="I1249" s="34" t="str">
        <x:v>PASS</x:v>
      </x:c>
      <x:c r="J1249" s="34" t="str">
        <x:v>PASS</x:v>
      </x:c>
      <x:c r="K1249" s="34" t="str">
        <x:v>PASS</x:v>
      </x:c>
      <x:c r="L1249" s="34" t="str">
        <x:v>PASS</x:v>
      </x:c>
      <x:c r="M1249" s="34" t="str">
        <x:v>numeric coverage for applicable metric</x:v>
      </x:c>
      <x:c r="N1249" s="34" t="str">
        <x:v>Feedback-Directed Random Test Generation/Result_Round2/JacksonDatabind_2/result.json</x:v>
      </x:c>
      <x:c r="O1249" s="38" t="n">
        <x:f>IF(AND(G1249="RECORDED",ISNUMBER(H1249)),H1249,"")</x:f>
        <x:v>76.98</x:v>
      </x:c>
      <x:c r="P1249" s="34" t="str">
        <x:v>INCONCLUSIVE</x:v>
      </x:c>
      <x:c r="Q1249" s="34" t="str">
        <x:v>Feedback-Directed Random Test Generation/Result_Round2/JacksonDatabind_2/result.json</x:v>
      </x:c>
    </x:row>
    <x:row r="1250">
      <x:c r="A1250" s="34" t="str">
        <x:v>randoop</x:v>
      </x:c>
      <x:c r="B1250" s="34" t="str">
        <x:v>JacksonDatabind</x:v>
      </x:c>
      <x:c r="C1250" s="34" t="str">
        <x:v>Round2</x:v>
      </x:c>
      <x:c r="D1250" s="34" t="str">
        <x:v>JacksonDatabind_3</x:v>
      </x:c>
      <x:c r="E1250" s="34" t="str">
        <x:v>Coverage</x:v>
      </x:c>
      <x:c r="F1250" s="34" t="n">
        <x:v>98</x:v>
      </x:c>
      <x:c r="G1250" s="34" t="str">
        <x:v>RECORDED</x:v>
      </x:c>
      <x:c r="H1250" s="38" t="n">
        <x:f>IF(ISNUMBER('Data'!G1250),'Data'!G1250*100,"")</x:f>
        <x:v>12.24</x:v>
      </x:c>
      <x:c r="I1250" s="34" t="str">
        <x:v>PASS</x:v>
      </x:c>
      <x:c r="J1250" s="34" t="str">
        <x:v>PASS</x:v>
      </x:c>
      <x:c r="K1250" s="34" t="str">
        <x:v>PASS</x:v>
      </x:c>
      <x:c r="L1250" s="34" t="str">
        <x:v>FAIL</x:v>
      </x:c>
      <x:c r="M1250" s="34" t="str">
        <x:v>numeric coverage for applicable metric</x:v>
      </x:c>
      <x:c r="N1250" s="34" t="str">
        <x:v>Feedback-Directed Random Test Generation/Result_Round2/JacksonDatabind_3/result.json</x:v>
      </x:c>
      <x:c r="O1250" s="38" t="n">
        <x:f>IF(AND(G1250="RECORDED",ISNUMBER(H1250)),H1250,"")</x:f>
        <x:v>12.24</x:v>
      </x:c>
      <x:c r="P1250" s="34" t="str">
        <x:v>INCONCLUSIVE</x:v>
      </x:c>
      <x:c r="Q1250" s="34" t="str">
        <x:v>Feedback-Directed Random Test Generation/Result_Round2/JacksonDatabind_3/result.json</x:v>
      </x:c>
    </x:row>
    <x:row r="1251">
      <x:c r="A1251" s="34" t="str">
        <x:v>randoop</x:v>
      </x:c>
      <x:c r="B1251" s="34" t="str">
        <x:v>JacksonDatabind</x:v>
      </x:c>
      <x:c r="C1251" s="34" t="str">
        <x:v>Round2</x:v>
      </x:c>
      <x:c r="D1251" s="34" t="str">
        <x:v>JacksonDatabind_4</x:v>
      </x:c>
      <x:c r="E1251" s="34" t="str">
        <x:v>Coverage</x:v>
      </x:c>
      <x:c r="F1251" s="34" t="n">
        <x:v>98</x:v>
      </x:c>
      <x:c r="G1251" s="34" t="str">
        <x:v>RECORDED</x:v>
      </x:c>
      <x:c r="H1251" s="38" t="n">
        <x:f>IF(ISNUMBER('Data'!G1251),'Data'!G1251*100,"")</x:f>
        <x:v>12.24</x:v>
      </x:c>
      <x:c r="I1251" s="34" t="str">
        <x:v>PASS</x:v>
      </x:c>
      <x:c r="J1251" s="34" t="str">
        <x:v>PASS</x:v>
      </x:c>
      <x:c r="K1251" s="34" t="str">
        <x:v>PASS</x:v>
      </x:c>
      <x:c r="L1251" s="34" t="str">
        <x:v>FAIL</x:v>
      </x:c>
      <x:c r="M1251" s="34" t="str">
        <x:v>numeric coverage for applicable metric</x:v>
      </x:c>
      <x:c r="N1251" s="34" t="str">
        <x:v>Feedback-Directed Random Test Generation/Result_Round2/JacksonDatabind_4/result.json</x:v>
      </x:c>
      <x:c r="O1251" s="38" t="n">
        <x:f>IF(AND(G1251="RECORDED",ISNUMBER(H1251)),H1251,"")</x:f>
        <x:v>12.24</x:v>
      </x:c>
      <x:c r="P1251" s="34" t="str">
        <x:v>INCONCLUSIVE</x:v>
      </x:c>
      <x:c r="Q1251" s="34" t="str">
        <x:v>Feedback-Directed Random Test Generation/Result_Round2/JacksonDatabind_4/result.json</x:v>
      </x:c>
    </x:row>
    <x:row r="1252">
      <x:c r="A1252" s="34" t="str">
        <x:v>randoop</x:v>
      </x:c>
      <x:c r="B1252" s="34" t="str">
        <x:v>JacksonDatabind</x:v>
      </x:c>
      <x:c r="C1252" s="34" t="str">
        <x:v>Round2</x:v>
      </x:c>
      <x:c r="D1252" s="34" t="str">
        <x:v>JacksonDatabind_5</x:v>
      </x:c>
      <x:c r="E1252" s="34" t="str">
        <x:v>Coverage</x:v>
      </x:c>
      <x:c r="F1252" s="34" t="n">
        <x:v>637</x:v>
      </x:c>
      <x:c r="G1252" s="34" t="str">
        <x:v>RECORDED</x:v>
      </x:c>
      <x:c r="H1252" s="38" t="n">
        <x:f>IF(ISNUMBER('Data'!G1252),'Data'!G1252*100,"")</x:f>
        <x:v>0</x:v>
      </x:c>
      <x:c r="I1252" s="34" t="str">
        <x:v>PASS</x:v>
      </x:c>
      <x:c r="J1252" s="34" t="str">
        <x:v>PASS</x:v>
      </x:c>
      <x:c r="K1252" s="34" t="str">
        <x:v>PASS</x:v>
      </x:c>
      <x:c r="L1252" s="34" t="str">
        <x:v>PASS</x:v>
      </x:c>
      <x:c r="M1252" s="34" t="str">
        <x:v>numeric coverage for applicable metric</x:v>
      </x:c>
      <x:c r="N1252" s="34" t="str">
        <x:v>Feedback-Directed Random Test Generation/Result_Round2/JacksonDatabind_5/result.json</x:v>
      </x:c>
      <x:c r="O1252" s="38" t="n">
        <x:f>IF(AND(G1252="RECORDED",ISNUMBER(H1252)),H1252,"")</x:f>
        <x:v>0</x:v>
      </x:c>
      <x:c r="P1252" s="34" t="str">
        <x:v>NOT_REVEALING</x:v>
      </x:c>
      <x:c r="Q1252" s="34" t="str">
        <x:v>Feedback-Directed Random Test Generation/Result_Round2/JacksonDatabind_5/result.json</x:v>
      </x:c>
    </x:row>
    <x:row r="1253">
      <x:c r="A1253" s="34" t="str">
        <x:v>randoop</x:v>
      </x:c>
      <x:c r="B1253" s="34" t="str">
        <x:v>JacksonDatabind</x:v>
      </x:c>
      <x:c r="C1253" s="34" t="str">
        <x:v>Round2</x:v>
      </x:c>
      <x:c r="D1253" s="34" t="str">
        <x:v>JacksonDatabind_6</x:v>
      </x:c>
      <x:c r="E1253" s="34" t="str">
        <x:v>Coverage</x:v>
      </x:c>
      <x:c r="F1253" s="34" t="n">
        <x:v>243</x:v>
      </x:c>
      <x:c r="G1253" s="34" t="str">
        <x:v>RECORDED</x:v>
      </x:c>
      <x:c r="H1253" s="38" t="n">
        <x:f>IF(ISNUMBER('Data'!G1253),'Data'!G1253*100,"")</x:f>
        <x:v>85.19</x:v>
      </x:c>
      <x:c r="I1253" s="34" t="str">
        <x:v>PASS</x:v>
      </x:c>
      <x:c r="J1253" s="34" t="str">
        <x:v>PASS</x:v>
      </x:c>
      <x:c r="K1253" s="34" t="str">
        <x:v>PASS</x:v>
      </x:c>
      <x:c r="L1253" s="34" t="str">
        <x:v>FAIL</x:v>
      </x:c>
      <x:c r="M1253" s="34" t="str">
        <x:v>numeric coverage for applicable metric</x:v>
      </x:c>
      <x:c r="N1253" s="34" t="str">
        <x:v>Feedback-Directed Random Test Generation/Result_Round2/JacksonDatabind_6/result.json</x:v>
      </x:c>
      <x:c r="O1253" s="38" t="n">
        <x:f>IF(AND(G1253="RECORDED",ISNUMBER(H1253)),H1253,"")</x:f>
        <x:v>85.19</x:v>
      </x:c>
      <x:c r="P1253" s="34" t="str">
        <x:v>INCONCLUSIVE</x:v>
      </x:c>
      <x:c r="Q1253" s="34" t="str">
        <x:v>Feedback-Directed Random Test Generation/Result_Round2/JacksonDatabind_6/result.json</x:v>
      </x:c>
    </x:row>
    <x:row r="1254">
      <x:c r="A1254" s="34" t="str">
        <x:v>randoop</x:v>
      </x:c>
      <x:c r="B1254" s="34" t="str">
        <x:v>JacksonDatabind</x:v>
      </x:c>
      <x:c r="C1254" s="34" t="str">
        <x:v>Round2</x:v>
      </x:c>
      <x:c r="D1254" s="34" t="str">
        <x:v>JacksonDatabind_7</x:v>
      </x:c>
      <x:c r="E1254" s="34" t="str">
        <x:v>Coverage</x:v>
      </x:c>
      <x:c r="F1254" s="34" t="n">
        <x:v>932</x:v>
      </x:c>
      <x:c r="G1254" s="34" t="str">
        <x:v>RECORDED</x:v>
      </x:c>
      <x:c r="H1254" s="38" t="n">
        <x:f>IF(ISNUMBER('Data'!G1254),'Data'!G1254*100,"")</x:f>
        <x:v>76.61</x:v>
      </x:c>
      <x:c r="I1254" s="34" t="str">
        <x:v>PASS</x:v>
      </x:c>
      <x:c r="J1254" s="34" t="str">
        <x:v>PASS</x:v>
      </x:c>
      <x:c r="K1254" s="34" t="str">
        <x:v>PASS</x:v>
      </x:c>
      <x:c r="L1254" s="34" t="str">
        <x:v>PASS</x:v>
      </x:c>
      <x:c r="M1254" s="34" t="str">
        <x:v>numeric coverage for applicable metric</x:v>
      </x:c>
      <x:c r="N1254" s="34" t="str">
        <x:v>Feedback-Directed Random Test Generation/Result_Round2/JacksonDatabind_7/result.json</x:v>
      </x:c>
      <x:c r="O1254" s="38" t="n">
        <x:f>IF(AND(G1254="RECORDED",ISNUMBER(H1254)),H1254,"")</x:f>
        <x:v>76.61</x:v>
      </x:c>
      <x:c r="P1254" s="34" t="str">
        <x:v>NOT_REVEALING</x:v>
      </x:c>
      <x:c r="Q1254" s="34" t="str">
        <x:v>Feedback-Directed Random Test Generation/Result_Round2/JacksonDatabind_7/result.json</x:v>
      </x:c>
    </x:row>
    <x:row r="1255">
      <x:c r="A1255" s="34" t="str">
        <x:v>randoop</x:v>
      </x:c>
      <x:c r="B1255" s="34" t="str">
        <x:v>JacksonDatabind</x:v>
      </x:c>
      <x:c r="C1255" s="34" t="str">
        <x:v>Round2</x:v>
      </x:c>
      <x:c r="D1255" s="34" t="str">
        <x:v>JacksonDatabind_8</x:v>
      </x:c>
      <x:c r="E1255" s="34" t="str">
        <x:v>Coverage</x:v>
      </x:c>
      <x:c r="F1255" s="34" t="n">
        <x:v>180</x:v>
      </x:c>
      <x:c r="G1255" s="34" t="str">
        <x:v>RECORDED</x:v>
      </x:c>
      <x:c r="H1255" s="38" t="n">
        <x:f>IF(ISNUMBER('Data'!G1255),'Data'!G1255*100,"")</x:f>
        <x:v>52.22</x:v>
      </x:c>
      <x:c r="I1255" s="34" t="str">
        <x:v>PASS</x:v>
      </x:c>
      <x:c r="J1255" s="34" t="str">
        <x:v>PASS</x:v>
      </x:c>
      <x:c r="K1255" s="34" t="str">
        <x:v>PASS</x:v>
      </x:c>
      <x:c r="L1255" s="34" t="str">
        <x:v>PASS</x:v>
      </x:c>
      <x:c r="M1255" s="34" t="str">
        <x:v>numeric coverage for applicable metric</x:v>
      </x:c>
      <x:c r="N1255" s="34" t="str">
        <x:v>Feedback-Directed Random Test Generation/Result_Round2/JacksonDatabind_8/result.json</x:v>
      </x:c>
      <x:c r="O1255" s="38" t="n">
        <x:f>IF(AND(G1255="RECORDED",ISNUMBER(H1255)),H1255,"")</x:f>
        <x:v>52.22</x:v>
      </x:c>
      <x:c r="P1255" s="34" t="str">
        <x:v>NOT_REVEALING</x:v>
      </x:c>
      <x:c r="Q1255" s="34" t="str">
        <x:v>Feedback-Directed Random Test Generation/Result_Round2/JacksonDatabind_8/result.json</x:v>
      </x:c>
    </x:row>
    <x:row r="1256">
      <x:c r="A1256" s="34" t="str">
        <x:v>randoop</x:v>
      </x:c>
      <x:c r="B1256" s="34" t="str">
        <x:v>JacksonDatabind</x:v>
      </x:c>
      <x:c r="C1256" s="34" t="str">
        <x:v>Round2</x:v>
      </x:c>
      <x:c r="D1256" s="34" t="str">
        <x:v>JacksonDatabind_9</x:v>
      </x:c>
      <x:c r="E1256" s="34" t="str">
        <x:v>Coverage</x:v>
      </x:c>
      <x:c r="F1256" s="34" t="n">
        <x:v>12</x:v>
      </x:c>
      <x:c r="G1256" s="34" t="str">
        <x:v>RECORDED</x:v>
      </x:c>
      <x:c r="H1256" s="38" t="n">
        <x:f>IF(ISNUMBER('Data'!G1256),'Data'!G1256*100,"")</x:f>
        <x:v>58.32999999999999</x:v>
      </x:c>
      <x:c r="I1256" s="34" t="str">
        <x:v>PASS</x:v>
      </x:c>
      <x:c r="J1256" s="34" t="str">
        <x:v>PASS</x:v>
      </x:c>
      <x:c r="K1256" s="34" t="str">
        <x:v>PASS</x:v>
      </x:c>
      <x:c r="L1256" s="34" t="str">
        <x:v>PASS</x:v>
      </x:c>
      <x:c r="M1256" s="34" t="str">
        <x:v>numeric coverage for applicable metric</x:v>
      </x:c>
      <x:c r="N1256" s="34" t="str">
        <x:v>Feedback-Directed Random Test Generation/Result_Round2/JacksonDatabind_9/result.json</x:v>
      </x:c>
      <x:c r="O1256" s="38" t="n">
        <x:f>IF(AND(G1256="RECORDED",ISNUMBER(H1256)),H1256,"")</x:f>
        <x:v>58.32999999999999</x:v>
      </x:c>
      <x:c r="P1256" s="34" t="str">
        <x:v>NOT_REVEALING</x:v>
      </x:c>
      <x:c r="Q1256" s="34" t="str">
        <x:v>Feedback-Directed Random Test Generation/Result_Round2/JacksonDatabind_9/result.json</x:v>
      </x:c>
    </x:row>
    <x:row r="1257">
      <x:c r="A1257" s="34" t="str">
        <x:v>randoop</x:v>
      </x:c>
      <x:c r="B1257" s="34" t="str">
        <x:v>JacksonDatabind</x:v>
      </x:c>
      <x:c r="C1257" s="34" t="str">
        <x:v>Round2</x:v>
      </x:c>
      <x:c r="D1257" s="34" t="str">
        <x:v>JacksonDatabind_10</x:v>
      </x:c>
      <x:c r="E1257" s="34" t="str">
        <x:v>Coverage</x:v>
      </x:c>
      <x:c r="F1257" s="34" t="n">
        <x:v>439</x:v>
      </x:c>
      <x:c r="G1257" s="34" t="str">
        <x:v>RECORDED</x:v>
      </x:c>
      <x:c r="H1257" s="38" t="n">
        <x:f>IF(ISNUMBER('Data'!G1257),'Data'!G1257*100,"")</x:f>
        <x:v>8.88</x:v>
      </x:c>
      <x:c r="I1257" s="34" t="str">
        <x:v>PASS</x:v>
      </x:c>
      <x:c r="J1257" s="34" t="str">
        <x:v>PASS</x:v>
      </x:c>
      <x:c r="K1257" s="34" t="str">
        <x:v>PASS</x:v>
      </x:c>
      <x:c r="L1257" s="34" t="str">
        <x:v>PASS</x:v>
      </x:c>
      <x:c r="M1257" s="34" t="str">
        <x:v>numeric coverage for applicable metric</x:v>
      </x:c>
      <x:c r="N1257" s="34" t="str">
        <x:v>Feedback-Directed Random Test Generation/Result_Round2/JacksonDatabind_10/result.json</x:v>
      </x:c>
      <x:c r="O1257" s="38" t="n">
        <x:f>IF(AND(G1257="RECORDED",ISNUMBER(H1257)),H1257,"")</x:f>
        <x:v>8.88</x:v>
      </x:c>
      <x:c r="P1257" s="34" t="str">
        <x:v>INCONCLUSIVE</x:v>
      </x:c>
      <x:c r="Q1257" s="34" t="str">
        <x:v>Feedback-Directed Random Test Generation/Result_Round2/JacksonDatabind_10/result.json</x:v>
      </x:c>
    </x:row>
    <x:row r="1258">
      <x:c r="A1258" s="34" t="str">
        <x:v>randoop</x:v>
      </x:c>
      <x:c r="B1258" s="34" t="str">
        <x:v>JacksonDatabind</x:v>
      </x:c>
      <x:c r="C1258" s="34" t="str">
        <x:v>Round2</x:v>
      </x:c>
      <x:c r="D1258" s="34" t="str">
        <x:v>JacksonDatabind_11</x:v>
      </x:c>
      <x:c r="E1258" s="34" t="str">
        <x:v>Coverage</x:v>
      </x:c>
      <x:c r="F1258" s="34" t="n">
        <x:v>518</x:v>
      </x:c>
      <x:c r="G1258" s="34" t="str">
        <x:v>RECORDED</x:v>
      </x:c>
      <x:c r="H1258" s="38" t="n">
        <x:f>IF(ISNUMBER('Data'!G1258),'Data'!G1258*100,"")</x:f>
        <x:v>19.11</x:v>
      </x:c>
      <x:c r="I1258" s="34" t="str">
        <x:v>PASS</x:v>
      </x:c>
      <x:c r="J1258" s="34" t="str">
        <x:v>PASS</x:v>
      </x:c>
      <x:c r="K1258" s="34" t="str">
        <x:v>PASS</x:v>
      </x:c>
      <x:c r="L1258" s="34" t="str">
        <x:v>PASS</x:v>
      </x:c>
      <x:c r="M1258" s="34" t="str">
        <x:v>numeric coverage for applicable metric</x:v>
      </x:c>
      <x:c r="N1258" s="34" t="str">
        <x:v>Feedback-Directed Random Test Generation/Result_Round2/JacksonDatabind_11/result.json</x:v>
      </x:c>
      <x:c r="O1258" s="38" t="n">
        <x:f>IF(AND(G1258="RECORDED",ISNUMBER(H1258)),H1258,"")</x:f>
        <x:v>19.11</x:v>
      </x:c>
      <x:c r="P1258" s="34" t="str">
        <x:v>NOT_REVEALING</x:v>
      </x:c>
      <x:c r="Q1258" s="34" t="str">
        <x:v>Feedback-Directed Random Test Generation/Result_Round2/JacksonDatabind_11/result.json</x:v>
      </x:c>
    </x:row>
    <x:row r="1259">
      <x:c r="A1259" s="34" t="str">
        <x:v>randoop</x:v>
      </x:c>
      <x:c r="B1259" s="34" t="str">
        <x:v>JacksonDatabind</x:v>
      </x:c>
      <x:c r="C1259" s="34" t="str">
        <x:v>Round2</x:v>
      </x:c>
      <x:c r="D1259" s="34" t="str">
        <x:v>JacksonDatabind_12</x:v>
      </x:c>
      <x:c r="E1259" s="34" t="str">
        <x:v>Coverage</x:v>
      </x:c>
      <x:c r="F1259" s="34" t="n">
        <x:v>404</x:v>
      </x:c>
      <x:c r="G1259" s="34" t="str">
        <x:v>RECORDED</x:v>
      </x:c>
      <x:c r="H1259" s="38" t="n">
        <x:f>IF(ISNUMBER('Data'!G1259),'Data'!G1259*100,"")</x:f>
        <x:v>2.23</x:v>
      </x:c>
      <x:c r="I1259" s="34" t="str">
        <x:v>PASS</x:v>
      </x:c>
      <x:c r="J1259" s="34" t="str">
        <x:v>PASS</x:v>
      </x:c>
      <x:c r="K1259" s="34" t="str">
        <x:v>PASS</x:v>
      </x:c>
      <x:c r="L1259" s="34" t="str">
        <x:v>PASS</x:v>
      </x:c>
      <x:c r="M1259" s="34" t="str">
        <x:v>numeric coverage for applicable metric</x:v>
      </x:c>
      <x:c r="N1259" s="34" t="str">
        <x:v>Feedback-Directed Random Test Generation/Result_Round2/JacksonDatabind_12/result.json</x:v>
      </x:c>
      <x:c r="O1259" s="38" t="n">
        <x:f>IF(AND(G1259="RECORDED",ISNUMBER(H1259)),H1259,"")</x:f>
        <x:v>2.23</x:v>
      </x:c>
      <x:c r="P1259" s="34" t="str">
        <x:v>NOT_REVEALING</x:v>
      </x:c>
      <x:c r="Q1259" s="34" t="str">
        <x:v>Feedback-Directed Random Test Generation/Result_Round2/JacksonDatabind_12/result.json</x:v>
      </x:c>
    </x:row>
    <x:row r="1260">
      <x:c r="A1260" s="34" t="str">
        <x:v>randoop</x:v>
      </x:c>
      <x:c r="B1260" s="34" t="str">
        <x:v>JacksonDatabind</x:v>
      </x:c>
      <x:c r="C1260" s="34" t="str">
        <x:v>Round2</x:v>
      </x:c>
      <x:c r="D1260" s="34" t="str">
        <x:v>JacksonDatabind_13</x:v>
      </x:c>
      <x:c r="E1260" s="34" t="str">
        <x:v>Coverage</x:v>
      </x:c>
      <x:c r="F1260" s="34" t="n">
        <x:v>200</x:v>
      </x:c>
      <x:c r="G1260" s="34" t="str">
        <x:v>RECORDED</x:v>
      </x:c>
      <x:c r="H1260" s="38" t="n">
        <x:f>IF(ISNUMBER('Data'!G1260),'Data'!G1260*100,"")</x:f>
        <x:v>4.5</x:v>
      </x:c>
      <x:c r="I1260" s="34" t="str">
        <x:v>PASS</x:v>
      </x:c>
      <x:c r="J1260" s="34" t="str">
        <x:v>PASS</x:v>
      </x:c>
      <x:c r="K1260" s="34" t="str">
        <x:v>PASS</x:v>
      </x:c>
      <x:c r="L1260" s="34" t="str">
        <x:v>PASS</x:v>
      </x:c>
      <x:c r="M1260" s="34" t="str">
        <x:v>numeric coverage for applicable metric</x:v>
      </x:c>
      <x:c r="N1260" s="34" t="str">
        <x:v>Feedback-Directed Random Test Generation/Result_Round2/JacksonDatabind_13/result.json</x:v>
      </x:c>
      <x:c r="O1260" s="38" t="n">
        <x:f>IF(AND(G1260="RECORDED",ISNUMBER(H1260)),H1260,"")</x:f>
        <x:v>4.5</x:v>
      </x:c>
      <x:c r="P1260" s="34" t="str">
        <x:v>NOT_REVEALING</x:v>
      </x:c>
      <x:c r="Q1260" s="34" t="str">
        <x:v>Feedback-Directed Random Test Generation/Result_Round2/JacksonDatabind_13/result.json</x:v>
      </x:c>
    </x:row>
    <x:row r="1261">
      <x:c r="A1261" s="34" t="str">
        <x:v>randoop</x:v>
      </x:c>
      <x:c r="B1261" s="34" t="str">
        <x:v>JacksonDatabind</x:v>
      </x:c>
      <x:c r="C1261" s="34" t="str">
        <x:v>Round2</x:v>
      </x:c>
      <x:c r="D1261" s="34" t="str">
        <x:v>JacksonDatabind_14</x:v>
      </x:c>
      <x:c r="E1261" s="34" t="str">
        <x:v>Coverage</x:v>
      </x:c>
      <x:c r="F1261" s="34" t="n">
        <x:v>532</x:v>
      </x:c>
      <x:c r="G1261" s="34" t="str">
        <x:v>RECORDED</x:v>
      </x:c>
      <x:c r="H1261" s="38" t="n">
        <x:f>IF(ISNUMBER('Data'!G1261),'Data'!G1261*100,"")</x:f>
        <x:v>2.44</x:v>
      </x:c>
      <x:c r="I1261" s="34" t="str">
        <x:v>PASS</x:v>
      </x:c>
      <x:c r="J1261" s="34" t="str">
        <x:v>PASS</x:v>
      </x:c>
      <x:c r="K1261" s="34" t="str">
        <x:v>PASS</x:v>
      </x:c>
      <x:c r="L1261" s="34" t="str">
        <x:v>PASS</x:v>
      </x:c>
      <x:c r="M1261" s="34" t="str">
        <x:v>numeric coverage for applicable metric</x:v>
      </x:c>
      <x:c r="N1261" s="34" t="str">
        <x:v>Feedback-Directed Random Test Generation/Result_Round2/JacksonDatabind_14/result.json</x:v>
      </x:c>
      <x:c r="O1261" s="38" t="n">
        <x:f>IF(AND(G1261="RECORDED",ISNUMBER(H1261)),H1261,"")</x:f>
        <x:v>2.44</x:v>
      </x:c>
      <x:c r="P1261" s="34" t="str">
        <x:v>NOT_REVEALING</x:v>
      </x:c>
      <x:c r="Q1261" s="34" t="str">
        <x:v>Feedback-Directed Random Test Generation/Result_Round2/JacksonDatabind_14/result.json</x:v>
      </x:c>
    </x:row>
    <x:row r="1262">
      <x:c r="A1262" s="34" t="str">
        <x:v>randoop</x:v>
      </x:c>
      <x:c r="B1262" s="34" t="str">
        <x:v>JacksonDatabind</x:v>
      </x:c>
      <x:c r="C1262" s="34" t="str">
        <x:v>Round2</x:v>
      </x:c>
      <x:c r="D1262" s="34" t="str">
        <x:v>JacksonDatabind_15</x:v>
      </x:c>
      <x:c r="E1262" s="34" t="str">
        <x:v>Coverage</x:v>
      </x:c>
      <x:c r="F1262" s="34" t="n">
        <x:v>1231</x:v>
      </x:c>
      <x:c r="G1262" s="34" t="str">
        <x:v>RECORDED</x:v>
      </x:c>
      <x:c r="H1262" s="38" t="n">
        <x:f>IF(ISNUMBER('Data'!G1262),'Data'!G1262*100,"")</x:f>
        <x:v>4.79</x:v>
      </x:c>
      <x:c r="I1262" s="34" t="str">
        <x:v>PASS</x:v>
      </x:c>
      <x:c r="J1262" s="34" t="str">
        <x:v>PASS</x:v>
      </x:c>
      <x:c r="K1262" s="34" t="str">
        <x:v>PASS</x:v>
      </x:c>
      <x:c r="L1262" s="34" t="str">
        <x:v>PASS</x:v>
      </x:c>
      <x:c r="M1262" s="34" t="str">
        <x:v>numeric coverage for applicable metric</x:v>
      </x:c>
      <x:c r="N1262" s="34" t="str">
        <x:v>Feedback-Directed Random Test Generation/Result_Round2/JacksonDatabind_15/result.json</x:v>
      </x:c>
      <x:c r="O1262" s="38" t="n">
        <x:f>IF(AND(G1262="RECORDED",ISNUMBER(H1262)),H1262,"")</x:f>
        <x:v>4.79</x:v>
      </x:c>
      <x:c r="P1262" s="34" t="str">
        <x:v>NOT_REVEALING</x:v>
      </x:c>
      <x:c r="Q1262" s="34" t="str">
        <x:v>Feedback-Directed Random Test Generation/Result_Round2/JacksonDatabind_15/result.json</x:v>
      </x:c>
    </x:row>
    <x:row r="1263">
      <x:c r="A1263" s="34" t="str">
        <x:v>randoop</x:v>
      </x:c>
      <x:c r="B1263" s="34" t="str">
        <x:v>JacksonDatabind</x:v>
      </x:c>
      <x:c r="C1263" s="34" t="str">
        <x:v>Round2</x:v>
      </x:c>
      <x:c r="D1263" s="34" t="str">
        <x:v>JacksonDatabind_16</x:v>
      </x:c>
      <x:c r="E1263" s="34" t="str">
        <x:v>Coverage</x:v>
      </x:c>
      <x:c r="F1263" s="34" t="n">
        <x:v>71</x:v>
      </x:c>
      <x:c r="G1263" s="34" t="str">
        <x:v>RECORDED</x:v>
      </x:c>
      <x:c r="H1263" s="38" t="n">
        <x:f>IF(ISNUMBER('Data'!G1263),'Data'!G1263*100,"")</x:f>
        <x:v>30.990000000000002</x:v>
      </x:c>
      <x:c r="I1263" s="34" t="str">
        <x:v>PASS</x:v>
      </x:c>
      <x:c r="J1263" s="34" t="str">
        <x:v>PASS</x:v>
      </x:c>
      <x:c r="K1263" s="34" t="str">
        <x:v>PASS</x:v>
      </x:c>
      <x:c r="L1263" s="34" t="str">
        <x:v>PASS</x:v>
      </x:c>
      <x:c r="M1263" s="34" t="str">
        <x:v>numeric coverage for applicable metric</x:v>
      </x:c>
      <x:c r="N1263" s="34" t="str">
        <x:v>Feedback-Directed Random Test Generation/Result_Round2/JacksonDatabind_16/result.json</x:v>
      </x:c>
      <x:c r="O1263" s="38" t="n">
        <x:f>IF(AND(G1263="RECORDED",ISNUMBER(H1263)),H1263,"")</x:f>
        <x:v>30.990000000000002</x:v>
      </x:c>
      <x:c r="P1263" s="34" t="str">
        <x:v>NOT_REVEALING</x:v>
      </x:c>
      <x:c r="Q1263" s="34" t="str">
        <x:v>Feedback-Directed Random Test Generation/Result_Round2/JacksonDatabind_16/result.json</x:v>
      </x:c>
    </x:row>
    <x:row r="1264">
      <x:c r="A1264" s="34" t="str">
        <x:v>randoop</x:v>
      </x:c>
      <x:c r="B1264" s="34" t="str">
        <x:v>JacksonDatabind</x:v>
      </x:c>
      <x:c r="C1264" s="34" t="str">
        <x:v>Round2</x:v>
      </x:c>
      <x:c r="D1264" s="34" t="str">
        <x:v>JacksonDatabind_17</x:v>
      </x:c>
      <x:c r="E1264" s="34" t="str">
        <x:v>Coverage</x:v>
      </x:c>
      <x:c r="F1264" s="34" t="n">
        <x:v>830</x:v>
      </x:c>
      <x:c r="G1264" s="34" t="str">
        <x:v>RECORDED</x:v>
      </x:c>
      <x:c r="H1264" s="38" t="n">
        <x:f>IF(ISNUMBER('Data'!G1264),'Data'!G1264*100,"")</x:f>
        <x:v>51.690000000000005</x:v>
      </x:c>
      <x:c r="I1264" s="34" t="str">
        <x:v>PASS</x:v>
      </x:c>
      <x:c r="J1264" s="34" t="str">
        <x:v>PASS</x:v>
      </x:c>
      <x:c r="K1264" s="34" t="str">
        <x:v>PASS</x:v>
      </x:c>
      <x:c r="L1264" s="34" t="str">
        <x:v>FAIL</x:v>
      </x:c>
      <x:c r="M1264" s="34" t="str">
        <x:v>numeric coverage for applicable metric</x:v>
      </x:c>
      <x:c r="N1264" s="34" t="str">
        <x:v>Feedback-Directed Random Test Generation/Result_Round2/JacksonDatabind_17/result.json</x:v>
      </x:c>
      <x:c r="O1264" s="38" t="n">
        <x:f>IF(AND(G1264="RECORDED",ISNUMBER(H1264)),H1264,"")</x:f>
        <x:v>51.690000000000005</x:v>
      </x:c>
      <x:c r="P1264" s="34" t="str">
        <x:v>INCONCLUSIVE</x:v>
      </x:c>
      <x:c r="Q1264" s="34" t="str">
        <x:v>Feedback-Directed Random Test Generation/Result_Round2/JacksonDatabind_17/result.json</x:v>
      </x:c>
    </x:row>
    <x:row r="1265">
      <x:c r="A1265" s="34" t="str">
        <x:v>randoop</x:v>
      </x:c>
      <x:c r="B1265" s="34" t="str">
        <x:v>JacksonDatabind</x:v>
      </x:c>
      <x:c r="C1265" s="34" t="str">
        <x:v>Round2</x:v>
      </x:c>
      <x:c r="D1265" s="34" t="str">
        <x:v>JacksonDatabind_18</x:v>
      </x:c>
      <x:c r="E1265" s="34" t="str">
        <x:v>Coverage</x:v>
      </x:c>
      <x:c r="F1265" s="34" t="n">
        <x:v>102</x:v>
      </x:c>
      <x:c r="G1265" s="34" t="str">
        <x:v>RECORDED</x:v>
      </x:c>
      <x:c r="H1265" s="38" t="n">
        <x:f>IF(ISNUMBER('Data'!G1265),'Data'!G1265*100,"")</x:f>
        <x:v>13.73</x:v>
      </x:c>
      <x:c r="I1265" s="34" t="str">
        <x:v>PASS</x:v>
      </x:c>
      <x:c r="J1265" s="34" t="str">
        <x:v>PASS</x:v>
      </x:c>
      <x:c r="K1265" s="34" t="str">
        <x:v>PASS</x:v>
      </x:c>
      <x:c r="L1265" s="34" t="str">
        <x:v>PASS</x:v>
      </x:c>
      <x:c r="M1265" s="34" t="str">
        <x:v>numeric coverage for applicable metric</x:v>
      </x:c>
      <x:c r="N1265" s="34" t="str">
        <x:v>Feedback-Directed Random Test Generation/Result_Round2/JacksonDatabind_18/result.json</x:v>
      </x:c>
      <x:c r="O1265" s="38" t="n">
        <x:f>IF(AND(G1265="RECORDED",ISNUMBER(H1265)),H1265,"")</x:f>
        <x:v>13.73</x:v>
      </x:c>
      <x:c r="P1265" s="34" t="str">
        <x:v>NOT_REVEALING</x:v>
      </x:c>
      <x:c r="Q1265" s="34" t="str">
        <x:v>Feedback-Directed Random Test Generation/Result_Round2/JacksonDatabind_18/result.json</x:v>
      </x:c>
    </x:row>
    <x:row r="1266">
      <x:c r="A1266" s="34" t="str">
        <x:v>randoop</x:v>
      </x:c>
      <x:c r="B1266" s="34" t="str">
        <x:v>JacksonDatabind</x:v>
      </x:c>
      <x:c r="C1266" s="34" t="str">
        <x:v>Round2</x:v>
      </x:c>
      <x:c r="D1266" s="34" t="str">
        <x:v>JacksonDatabind_19</x:v>
      </x:c>
      <x:c r="E1266" s="34" t="str">
        <x:v>Coverage</x:v>
      </x:c>
      <x:c r="F1266" s="34" t="n">
        <x:v>577</x:v>
      </x:c>
      <x:c r="G1266" s="34" t="str">
        <x:v>RECORDED</x:v>
      </x:c>
      <x:c r="H1266" s="38" t="n">
        <x:f>IF(ISNUMBER('Data'!G1266),'Data'!G1266*100,"")</x:f>
        <x:v>14.04</x:v>
      </x:c>
      <x:c r="I1266" s="34" t="str">
        <x:v>PASS</x:v>
      </x:c>
      <x:c r="J1266" s="34" t="str">
        <x:v>PASS</x:v>
      </x:c>
      <x:c r="K1266" s="34" t="str">
        <x:v>PASS</x:v>
      </x:c>
      <x:c r="L1266" s="34" t="str">
        <x:v>PASS</x:v>
      </x:c>
      <x:c r="M1266" s="34" t="str">
        <x:v>numeric coverage for applicable metric</x:v>
      </x:c>
      <x:c r="N1266" s="34" t="str">
        <x:v>Feedback-Directed Random Test Generation/Result_Round2/JacksonDatabind_19/result.json</x:v>
      </x:c>
      <x:c r="O1266" s="38" t="n">
        <x:f>IF(AND(G1266="RECORDED",ISNUMBER(H1266)),H1266,"")</x:f>
        <x:v>14.04</x:v>
      </x:c>
      <x:c r="P1266" s="34" t="str">
        <x:v>NOT_REVEALING</x:v>
      </x:c>
      <x:c r="Q1266" s="34" t="str">
        <x:v>Feedback-Directed Random Test Generation/Result_Round2/JacksonDatabind_19/result.json</x:v>
      </x:c>
    </x:row>
    <x:row r="1267">
      <x:c r="A1267" s="34" t="str">
        <x:v>randoop</x:v>
      </x:c>
      <x:c r="B1267" s="34" t="str">
        <x:v>JacksonDatabind</x:v>
      </x:c>
      <x:c r="C1267" s="34" t="str">
        <x:v>Round2</x:v>
      </x:c>
      <x:c r="D1267" s="34" t="str">
        <x:v>JacksonDatabind_20</x:v>
      </x:c>
      <x:c r="E1267" s="34" t="str">
        <x:v>Coverage</x:v>
      </x:c>
      <x:c r="F1267" s="34" t="n">
        <x:v>270</x:v>
      </x:c>
      <x:c r="G1267" s="34" t="str">
        <x:v>RECORDED</x:v>
      </x:c>
      <x:c r="H1267" s="38" t="n">
        <x:f>IF(ISNUMBER('Data'!G1267),'Data'!G1267*100,"")</x:f>
        <x:v>83.7</x:v>
      </x:c>
      <x:c r="I1267" s="34" t="str">
        <x:v>PASS</x:v>
      </x:c>
      <x:c r="J1267" s="34" t="str">
        <x:v>PASS</x:v>
      </x:c>
      <x:c r="K1267" s="34" t="str">
        <x:v>PASS</x:v>
      </x:c>
      <x:c r="L1267" s="34" t="str">
        <x:v>PASS</x:v>
      </x:c>
      <x:c r="M1267" s="34" t="str">
        <x:v>numeric coverage for applicable metric</x:v>
      </x:c>
      <x:c r="N1267" s="34" t="str">
        <x:v>Feedback-Directed Random Test Generation/Result_Round2/JacksonDatabind_20/result.json</x:v>
      </x:c>
      <x:c r="O1267" s="38" t="n">
        <x:f>IF(AND(G1267="RECORDED",ISNUMBER(H1267)),H1267,"")</x:f>
        <x:v>83.7</x:v>
      </x:c>
      <x:c r="P1267" s="34" t="str">
        <x:v>NOT_REVEALING</x:v>
      </x:c>
      <x:c r="Q1267" s="34" t="str">
        <x:v>Feedback-Directed Random Test Generation/Result_Round2/JacksonDatabind_20/result.json</x:v>
      </x:c>
    </x:row>
    <x:row r="1268">
      <x:c r="A1268" s="34" t="str">
        <x:v>randoop</x:v>
      </x:c>
      <x:c r="B1268" s="34" t="str">
        <x:v>JacksonDatabind</x:v>
      </x:c>
      <x:c r="C1268" s="34" t="str">
        <x:v>Round2</x:v>
      </x:c>
      <x:c r="D1268" s="34" t="str">
        <x:v>JacksonDatabind_21</x:v>
      </x:c>
      <x:c r="E1268" s="34" t="str">
        <x:v>Coverage</x:v>
      </x:c>
      <x:c r="F1268" s="34" t="n">
        <x:v>582</x:v>
      </x:c>
      <x:c r="G1268" s="34" t="str">
        <x:v>RECORDED</x:v>
      </x:c>
      <x:c r="H1268" s="38" t="n">
        <x:f>IF(ISNUMBER('Data'!G1268),'Data'!G1268*100,"")</x:f>
        <x:v>13.23</x:v>
      </x:c>
      <x:c r="I1268" s="34" t="str">
        <x:v>PASS</x:v>
      </x:c>
      <x:c r="J1268" s="34" t="str">
        <x:v>PASS</x:v>
      </x:c>
      <x:c r="K1268" s="34" t="str">
        <x:v>PASS</x:v>
      </x:c>
      <x:c r="L1268" s="34" t="str">
        <x:v>PASS</x:v>
      </x:c>
      <x:c r="M1268" s="34" t="str">
        <x:v>numeric coverage for applicable metric</x:v>
      </x:c>
      <x:c r="N1268" s="34" t="str">
        <x:v>Feedback-Directed Random Test Generation/Result_Round2/JacksonDatabind_21/result.json</x:v>
      </x:c>
      <x:c r="O1268" s="38" t="n">
        <x:f>IF(AND(G1268="RECORDED",ISNUMBER(H1268)),H1268,"")</x:f>
        <x:v>13.23</x:v>
      </x:c>
      <x:c r="P1268" s="34" t="str">
        <x:v>NOT_REVEALING</x:v>
      </x:c>
      <x:c r="Q1268" s="34" t="str">
        <x:v>Feedback-Directed Random Test Generation/Result_Round2/JacksonDatabind_21/result.json</x:v>
      </x:c>
    </x:row>
    <x:row r="1269">
      <x:c r="A1269" s="34" t="str">
        <x:v>randoop</x:v>
      </x:c>
      <x:c r="B1269" s="34" t="str">
        <x:v>JacksonDatabind</x:v>
      </x:c>
      <x:c r="C1269" s="34" t="str">
        <x:v>Round2</x:v>
      </x:c>
      <x:c r="D1269" s="34" t="str">
        <x:v>JacksonDatabind_22</x:v>
      </x:c>
      <x:c r="E1269" s="34" t="str">
        <x:v>Coverage</x:v>
      </x:c>
      <x:c r="F1269" s="34" t="n">
        <x:v>1047</x:v>
      </x:c>
      <x:c r="G1269" s="34" t="str">
        <x:v>RECORDED</x:v>
      </x:c>
      <x:c r="H1269" s="38" t="n">
        <x:f>IF(ISNUMBER('Data'!G1269),'Data'!G1269*100,"")</x:f>
        <x:v>11.27</x:v>
      </x:c>
      <x:c r="I1269" s="34" t="str">
        <x:v>PASS</x:v>
      </x:c>
      <x:c r="J1269" s="34" t="str">
        <x:v>PASS</x:v>
      </x:c>
      <x:c r="K1269" s="34" t="str">
        <x:v>PASS</x:v>
      </x:c>
      <x:c r="L1269" s="34" t="str">
        <x:v>PASS</x:v>
      </x:c>
      <x:c r="M1269" s="34" t="str">
        <x:v>numeric coverage for applicable metric</x:v>
      </x:c>
      <x:c r="N1269" s="34" t="str">
        <x:v>Feedback-Directed Random Test Generation/Result_Round2/JacksonDatabind_22/result.json</x:v>
      </x:c>
      <x:c r="O1269" s="38" t="n">
        <x:f>IF(AND(G1269="RECORDED",ISNUMBER(H1269)),H1269,"")</x:f>
        <x:v>11.27</x:v>
      </x:c>
      <x:c r="P1269" s="34" t="str">
        <x:v>NOT_AVAILABLE</x:v>
      </x:c>
      <x:c r="Q1269" s="34" t="str">
        <x:v>Feedback-Directed Random Test Generation/Result_Round2/JacksonDatabind_22/result.json</x:v>
      </x:c>
    </x:row>
    <x:row r="1270">
      <x:c r="A1270" s="34" t="str">
        <x:v>randoop</x:v>
      </x:c>
      <x:c r="B1270" s="34" t="str">
        <x:v>JacksonDatabind</x:v>
      </x:c>
      <x:c r="C1270" s="34" t="str">
        <x:v>Round2</x:v>
      </x:c>
      <x:c r="D1270" s="34" t="str">
        <x:v>JacksonDatabind_23</x:v>
      </x:c>
      <x:c r="E1270" s="34" t="str">
        <x:v>Coverage</x:v>
      </x:c>
      <x:c r="F1270" s="34" t="n">
        <x:v>93</x:v>
      </x:c>
      <x:c r="G1270" s="34" t="str">
        <x:v>RECORDED</x:v>
      </x:c>
      <x:c r="H1270" s="38" t="n">
        <x:f>IF(ISNUMBER('Data'!G1270),'Data'!G1270*100,"")</x:f>
        <x:v>49.46</x:v>
      </x:c>
      <x:c r="I1270" s="34" t="str">
        <x:v>PASS</x:v>
      </x:c>
      <x:c r="J1270" s="34" t="str">
        <x:v>PASS</x:v>
      </x:c>
      <x:c r="K1270" s="34" t="str">
        <x:v>PASS</x:v>
      </x:c>
      <x:c r="L1270" s="34" t="str">
        <x:v>PASS</x:v>
      </x:c>
      <x:c r="M1270" s="34" t="str">
        <x:v>numeric coverage for applicable metric</x:v>
      </x:c>
      <x:c r="N1270" s="34" t="str">
        <x:v>Feedback-Directed Random Test Generation/Result_Round2/JacksonDatabind_23/result.json</x:v>
      </x:c>
      <x:c r="O1270" s="38" t="n">
        <x:f>IF(AND(G1270="RECORDED",ISNUMBER(H1270)),H1270,"")</x:f>
        <x:v>49.46</x:v>
      </x:c>
      <x:c r="P1270" s="34" t="str">
        <x:v>INCONCLUSIVE</x:v>
      </x:c>
      <x:c r="Q1270" s="34" t="str">
        <x:v>Feedback-Directed Random Test Generation/Result_Round2/JacksonDatabind_23/result.json</x:v>
      </x:c>
    </x:row>
    <x:row r="1271">
      <x:c r="A1271" s="34" t="str">
        <x:v>randoop</x:v>
      </x:c>
      <x:c r="B1271" s="34" t="str">
        <x:v>JacksonDatabind</x:v>
      </x:c>
      <x:c r="C1271" s="34" t="str">
        <x:v>Round2</x:v>
      </x:c>
      <x:c r="D1271" s="34" t="str">
        <x:v>JacksonDatabind_24</x:v>
      </x:c>
      <x:c r="E1271" s="34" t="str">
        <x:v>Coverage</x:v>
      </x:c>
      <x:c r="F1271" s="34" t="n">
        <x:v>93</x:v>
      </x:c>
      <x:c r="G1271" s="34" t="str">
        <x:v>RECORDED</x:v>
      </x:c>
      <x:c r="H1271" s="38" t="n">
        <x:f>IF(ISNUMBER('Data'!G1271),'Data'!G1271*100,"")</x:f>
        <x:v>0</x:v>
      </x:c>
      <x:c r="I1271" s="34" t="str">
        <x:v>PASS</x:v>
      </x:c>
      <x:c r="J1271" s="34" t="str">
        <x:v>PASS</x:v>
      </x:c>
      <x:c r="K1271" s="34" t="str">
        <x:v>PASS</x:v>
      </x:c>
      <x:c r="L1271" s="34" t="str">
        <x:v>PASS</x:v>
      </x:c>
      <x:c r="M1271" s="34" t="str">
        <x:v>numeric coverage for applicable metric</x:v>
      </x:c>
      <x:c r="N1271" s="34" t="str">
        <x:v>Feedback-Directed Random Test Generation/Result_Round2/JacksonDatabind_24/result.json</x:v>
      </x:c>
      <x:c r="O1271" s="38" t="n">
        <x:f>IF(AND(G1271="RECORDED",ISNUMBER(H1271)),H1271,"")</x:f>
        <x:v>0</x:v>
      </x:c>
      <x:c r="P1271" s="34" t="str">
        <x:v>NOT_REVEALING</x:v>
      </x:c>
      <x:c r="Q1271" s="34" t="str">
        <x:v>Feedback-Directed Random Test Generation/Result_Round2/JacksonDatabind_24/result.json</x:v>
      </x:c>
    </x:row>
    <x:row r="1272">
      <x:c r="A1272" s="34" t="str">
        <x:v>randoop</x:v>
      </x:c>
      <x:c r="B1272" s="34" t="str">
        <x:v>JacksonDatabind</x:v>
      </x:c>
      <x:c r="C1272" s="34" t="str">
        <x:v>Round2</x:v>
      </x:c>
      <x:c r="D1272" s="34" t="str">
        <x:v>JacksonDatabind_25</x:v>
      </x:c>
      <x:c r="E1272" s="34" t="str">
        <x:v>Coverage</x:v>
      </x:c>
      <x:c r="F1272" s="34" t="n">
        <x:v>1828</x:v>
      </x:c>
      <x:c r="G1272" s="34" t="str">
        <x:v>RECORDED</x:v>
      </x:c>
      <x:c r="H1272" s="38" t="n">
        <x:f>IF(ISNUMBER('Data'!G1272),'Data'!G1272*100,"")</x:f>
        <x:v>2.74</x:v>
      </x:c>
      <x:c r="I1272" s="34" t="str">
        <x:v>PASS</x:v>
      </x:c>
      <x:c r="J1272" s="34" t="str">
        <x:v>PASS</x:v>
      </x:c>
      <x:c r="K1272" s="34" t="str">
        <x:v>PASS</x:v>
      </x:c>
      <x:c r="L1272" s="34" t="str">
        <x:v>PASS</x:v>
      </x:c>
      <x:c r="M1272" s="34" t="str">
        <x:v>numeric coverage for applicable metric</x:v>
      </x:c>
      <x:c r="N1272" s="34" t="str">
        <x:v>Feedback-Directed Random Test Generation/Result_Round2/JacksonDatabind_25/result.json</x:v>
      </x:c>
      <x:c r="O1272" s="38" t="n">
        <x:f>IF(AND(G1272="RECORDED",ISNUMBER(H1272)),H1272,"")</x:f>
        <x:v>2.74</x:v>
      </x:c>
      <x:c r="P1272" s="34" t="str">
        <x:v>NOT_REVEALING</x:v>
      </x:c>
      <x:c r="Q1272" s="34" t="str">
        <x:v>Feedback-Directed Random Test Generation/Result_Round2/JacksonDatabind_25/result.json</x:v>
      </x:c>
    </x:row>
    <x:row r="1273">
      <x:c r="A1273" s="34" t="str">
        <x:v>randoop</x:v>
      </x:c>
      <x:c r="B1273" s="34" t="str">
        <x:v>JacksonDatabind</x:v>
      </x:c>
      <x:c r="C1273" s="34" t="str">
        <x:v>Round2</x:v>
      </x:c>
      <x:c r="D1273" s="34" t="str">
        <x:v>JacksonDatabind_26</x:v>
      </x:c>
      <x:c r="E1273" s="34" t="str">
        <x:v>Coverage</x:v>
      </x:c>
      <x:c r="F1273" s="34" t="n">
        <x:v>415</x:v>
      </x:c>
      <x:c r="G1273" s="34" t="str">
        <x:v>RECORDED</x:v>
      </x:c>
      <x:c r="H1273" s="38" t="n">
        <x:f>IF(ISNUMBER('Data'!G1273),'Data'!G1273*100,"")</x:f>
        <x:v>36.87</x:v>
      </x:c>
      <x:c r="I1273" s="34" t="str">
        <x:v>PASS</x:v>
      </x:c>
      <x:c r="J1273" s="34" t="str">
        <x:v>PASS</x:v>
      </x:c>
      <x:c r="K1273" s="34" t="str">
        <x:v>PASS</x:v>
      </x:c>
      <x:c r="L1273" s="34" t="str">
        <x:v>FAIL</x:v>
      </x:c>
      <x:c r="M1273" s="34" t="str">
        <x:v>numeric coverage for applicable metric</x:v>
      </x:c>
      <x:c r="N1273" s="34" t="str">
        <x:v>Feedback-Directed Random Test Generation/Result_Round2/JacksonDatabind_26/result.json</x:v>
      </x:c>
      <x:c r="O1273" s="38" t="n">
        <x:f>IF(AND(G1273="RECORDED",ISNUMBER(H1273)),H1273,"")</x:f>
        <x:v>36.87</x:v>
      </x:c>
      <x:c r="P1273" s="34" t="str">
        <x:v>INCONCLUSIVE</x:v>
      </x:c>
      <x:c r="Q1273" s="34" t="str">
        <x:v>Feedback-Directed Random Test Generation/Result_Round2/JacksonDatabind_26/result.json</x:v>
      </x:c>
    </x:row>
    <x:row r="1274">
      <x:c r="A1274" s="34" t="str">
        <x:v>randoop</x:v>
      </x:c>
      <x:c r="B1274" s="34" t="str">
        <x:v>JacksonDatabind</x:v>
      </x:c>
      <x:c r="C1274" s="34" t="str">
        <x:v>Round2</x:v>
      </x:c>
      <x:c r="D1274" s="34" t="str">
        <x:v>JacksonDatabind_27</x:v>
      </x:c>
      <x:c r="E1274" s="34" t="str">
        <x:v>Coverage</x:v>
      </x:c>
      <x:c r="F1274" s="34" t="n">
        <x:v>614</x:v>
      </x:c>
      <x:c r="G1274" s="34" t="str">
        <x:v>RECORDED</x:v>
      </x:c>
      <x:c r="H1274" s="38" t="n">
        <x:f>IF(ISNUMBER('Data'!G1274),'Data'!G1274*100,"")</x:f>
        <x:v>0.98</x:v>
      </x:c>
      <x:c r="I1274" s="34" t="str">
        <x:v>PASS</x:v>
      </x:c>
      <x:c r="J1274" s="34" t="str">
        <x:v>PASS</x:v>
      </x:c>
      <x:c r="K1274" s="34" t="str">
        <x:v>PASS</x:v>
      </x:c>
      <x:c r="L1274" s="34" t="str">
        <x:v>PASS</x:v>
      </x:c>
      <x:c r="M1274" s="34" t="str">
        <x:v>numeric coverage for applicable metric</x:v>
      </x:c>
      <x:c r="N1274" s="34" t="str">
        <x:v>Feedback-Directed Random Test Generation/Result_Round2/JacksonDatabind_27/result.json</x:v>
      </x:c>
      <x:c r="O1274" s="38" t="n">
        <x:f>IF(AND(G1274="RECORDED",ISNUMBER(H1274)),H1274,"")</x:f>
        <x:v>0.98</x:v>
      </x:c>
      <x:c r="P1274" s="34" t="str">
        <x:v>NOT_REVEALING</x:v>
      </x:c>
      <x:c r="Q1274" s="34" t="str">
        <x:v>Feedback-Directed Random Test Generation/Result_Round2/JacksonDatabind_27/result.json</x:v>
      </x:c>
    </x:row>
    <x:row r="1275">
      <x:c r="A1275" s="34" t="str">
        <x:v>randoop</x:v>
      </x:c>
      <x:c r="B1275" s="34" t="str">
        <x:v>JacksonDatabind</x:v>
      </x:c>
      <x:c r="C1275" s="34" t="str">
        <x:v>Round2</x:v>
      </x:c>
      <x:c r="D1275" s="34" t="str">
        <x:v>JacksonDatabind_28</x:v>
      </x:c>
      <x:c r="E1275" s="34" t="str">
        <x:v>Coverage</x:v>
      </x:c>
      <x:c r="F1275" s="34" t="n">
        <x:v>44</x:v>
      </x:c>
      <x:c r="G1275" s="34" t="str">
        <x:v>RECORDED</x:v>
      </x:c>
      <x:c r="H1275" s="38" t="n">
        <x:f>IF(ISNUMBER('Data'!G1275),'Data'!G1275*100,"")</x:f>
        <x:v>31.819999999999997</x:v>
      </x:c>
      <x:c r="I1275" s="34" t="str">
        <x:v>PASS</x:v>
      </x:c>
      <x:c r="J1275" s="34" t="str">
        <x:v>PASS</x:v>
      </x:c>
      <x:c r="K1275" s="34" t="str">
        <x:v>PASS</x:v>
      </x:c>
      <x:c r="L1275" s="34" t="str">
        <x:v>PASS</x:v>
      </x:c>
      <x:c r="M1275" s="34" t="str">
        <x:v>numeric coverage for applicable metric</x:v>
      </x:c>
      <x:c r="N1275" s="34" t="str">
        <x:v>Feedback-Directed Random Test Generation/Result_Round2/JacksonDatabind_28/result.json</x:v>
      </x:c>
      <x:c r="O1275" s="38" t="n">
        <x:f>IF(AND(G1275="RECORDED",ISNUMBER(H1275)),H1275,"")</x:f>
        <x:v>31.819999999999997</x:v>
      </x:c>
      <x:c r="P1275" s="34" t="str">
        <x:v>NOT_REVEALING</x:v>
      </x:c>
      <x:c r="Q1275" s="34" t="str">
        <x:v>Feedback-Directed Random Test Generation/Result_Round2/JacksonDatabind_28/result.json</x:v>
      </x:c>
    </x:row>
    <x:row r="1276">
      <x:c r="A1276" s="34" t="str">
        <x:v>randoop</x:v>
      </x:c>
      <x:c r="B1276" s="34" t="str">
        <x:v>JacksonDatabind</x:v>
      </x:c>
      <x:c r="C1276" s="34" t="str">
        <x:v>Round2</x:v>
      </x:c>
      <x:c r="D1276" s="34" t="str">
        <x:v>JacksonDatabind_29</x:v>
      </x:c>
      <x:c r="E1276" s="34" t="str">
        <x:v>Coverage</x:v>
      </x:c>
      <x:c r="F1276" s="34" t="n">
        <x:v>203</x:v>
      </x:c>
      <x:c r="G1276" s="34" t="str">
        <x:v>RECORDED</x:v>
      </x:c>
      <x:c r="H1276" s="38" t="n">
        <x:f>IF(ISNUMBER('Data'!G1276),'Data'!G1276*100,"")</x:f>
        <x:v>21.67</x:v>
      </x:c>
      <x:c r="I1276" s="34" t="str">
        <x:v>PASS</x:v>
      </x:c>
      <x:c r="J1276" s="34" t="str">
        <x:v>PASS</x:v>
      </x:c>
      <x:c r="K1276" s="34" t="str">
        <x:v>PASS</x:v>
      </x:c>
      <x:c r="L1276" s="34" t="str">
        <x:v>PASS</x:v>
      </x:c>
      <x:c r="M1276" s="34" t="str">
        <x:v>numeric coverage for applicable metric</x:v>
      </x:c>
      <x:c r="N1276" s="34" t="str">
        <x:v>Feedback-Directed Random Test Generation/Result_Round2/JacksonDatabind_29/result.json</x:v>
      </x:c>
      <x:c r="O1276" s="38" t="n">
        <x:f>IF(AND(G1276="RECORDED",ISNUMBER(H1276)),H1276,"")</x:f>
        <x:v>21.67</x:v>
      </x:c>
      <x:c r="P1276" s="34" t="str">
        <x:v>NOT_REVEALING</x:v>
      </x:c>
      <x:c r="Q1276" s="34" t="str">
        <x:v>Feedback-Directed Random Test Generation/Result_Round2/JacksonDatabind_29/result.json</x:v>
      </x:c>
    </x:row>
    <x:row r="1277">
      <x:c r="A1277" s="34" t="str">
        <x:v>randoop</x:v>
      </x:c>
      <x:c r="B1277" s="34" t="str">
        <x:v>JacksonDatabind</x:v>
      </x:c>
      <x:c r="C1277" s="34" t="str">
        <x:v>Round2</x:v>
      </x:c>
      <x:c r="D1277" s="34" t="str">
        <x:v>JacksonDatabind_30</x:v>
      </x:c>
      <x:c r="E1277" s="34" t="str">
        <x:v>Coverage</x:v>
      </x:c>
      <x:c r="F1277" s="34" t="n">
        <x:v>1868</x:v>
      </x:c>
      <x:c r="G1277" s="34" t="str">
        <x:v>RECORDED</x:v>
      </x:c>
      <x:c r="H1277" s="38" t="n">
        <x:f>IF(ISNUMBER('Data'!G1277),'Data'!G1277*100,"")</x:f>
        <x:v>49.89</x:v>
      </x:c>
      <x:c r="I1277" s="34" t="str">
        <x:v>PASS</x:v>
      </x:c>
      <x:c r="J1277" s="34" t="str">
        <x:v>PASS</x:v>
      </x:c>
      <x:c r="K1277" s="34" t="str">
        <x:v>PASS</x:v>
      </x:c>
      <x:c r="L1277" s="34" t="str">
        <x:v>FAIL</x:v>
      </x:c>
      <x:c r="M1277" s="34" t="str">
        <x:v>numeric coverage for applicable metric</x:v>
      </x:c>
      <x:c r="N1277" s="34" t="str">
        <x:v>Feedback-Directed Random Test Generation/Result_Round2/JacksonDatabind_30/result.json</x:v>
      </x:c>
      <x:c r="O1277" s="38" t="n">
        <x:f>IF(AND(G1277="RECORDED",ISNUMBER(H1277)),H1277,"")</x:f>
        <x:v>49.89</x:v>
      </x:c>
      <x:c r="P1277" s="34" t="str">
        <x:v>INCONCLUSIVE</x:v>
      </x:c>
      <x:c r="Q1277" s="34" t="str">
        <x:v>Feedback-Directed Random Test Generation/Result_Round2/JacksonDatabind_30/result.json</x:v>
      </x:c>
    </x:row>
    <x:row r="1278">
      <x:c r="A1278" s="34" t="str">
        <x:v>randoop</x:v>
      </x:c>
      <x:c r="B1278" s="34" t="str">
        <x:v>JacksonDatabind</x:v>
      </x:c>
      <x:c r="C1278" s="34" t="str">
        <x:v>Round2</x:v>
      </x:c>
      <x:c r="D1278" s="34" t="str">
        <x:v>JacksonDatabind_31</x:v>
      </x:c>
      <x:c r="E1278" s="34" t="str">
        <x:v>Coverage</x:v>
      </x:c>
      <x:c r="F1278" s="34" t="n">
        <x:v>997</x:v>
      </x:c>
      <x:c r="G1278" s="34" t="str">
        <x:v>RECORDED</x:v>
      </x:c>
      <x:c r="H1278" s="38" t="n">
        <x:f>IF(ISNUMBER('Data'!G1278),'Data'!G1278*100,"")</x:f>
        <x:v>68.41</x:v>
      </x:c>
      <x:c r="I1278" s="34" t="str">
        <x:v>PASS</x:v>
      </x:c>
      <x:c r="J1278" s="34" t="str">
        <x:v>PASS</x:v>
      </x:c>
      <x:c r="K1278" s="34" t="str">
        <x:v>PASS</x:v>
      </x:c>
      <x:c r="L1278" s="34" t="str">
        <x:v>PASS</x:v>
      </x:c>
      <x:c r="M1278" s="34" t="str">
        <x:v>numeric coverage for applicable metric</x:v>
      </x:c>
      <x:c r="N1278" s="34" t="str">
        <x:v>Feedback-Directed Random Test Generation/Result_Round2/JacksonDatabind_31/result.json</x:v>
      </x:c>
      <x:c r="O1278" s="38" t="n">
        <x:f>IF(AND(G1278="RECORDED",ISNUMBER(H1278)),H1278,"")</x:f>
        <x:v>68.41</x:v>
      </x:c>
      <x:c r="P1278" s="34" t="str">
        <x:v>INCONCLUSIVE</x:v>
      </x:c>
      <x:c r="Q1278" s="34" t="str">
        <x:v>Feedback-Directed Random Test Generation/Result_Round2/JacksonDatabind_31/result.json</x:v>
      </x:c>
    </x:row>
    <x:row r="1279">
      <x:c r="A1279" s="34" t="str">
        <x:v>randoop</x:v>
      </x:c>
      <x:c r="B1279" s="34" t="str">
        <x:v>JacksonDatabind</x:v>
      </x:c>
      <x:c r="C1279" s="34" t="str">
        <x:v>Round2</x:v>
      </x:c>
      <x:c r="D1279" s="34" t="str">
        <x:v>JacksonDatabind_32</x:v>
      </x:c>
      <x:c r="E1279" s="34" t="str">
        <x:v>Coverage</x:v>
      </x:c>
      <x:c r="F1279" s="34" t="n">
        <x:v>407</x:v>
      </x:c>
      <x:c r="G1279" s="34" t="str">
        <x:v>RECORDED</x:v>
      </x:c>
      <x:c r="H1279" s="38" t="n">
        <x:f>IF(ISNUMBER('Data'!G1279),'Data'!G1279*100,"")</x:f>
        <x:v>9.34</x:v>
      </x:c>
      <x:c r="I1279" s="34" t="str">
        <x:v>PASS</x:v>
      </x:c>
      <x:c r="J1279" s="34" t="str">
        <x:v>PASS</x:v>
      </x:c>
      <x:c r="K1279" s="34" t="str">
        <x:v>PASS</x:v>
      </x:c>
      <x:c r="L1279" s="34" t="str">
        <x:v>FAIL</x:v>
      </x:c>
      <x:c r="M1279" s="34" t="str">
        <x:v>numeric coverage for applicable metric</x:v>
      </x:c>
      <x:c r="N1279" s="34" t="str">
        <x:v>Feedback-Directed Random Test Generation/Result_Round2/JacksonDatabind_32/result.json</x:v>
      </x:c>
      <x:c r="O1279" s="38" t="n">
        <x:f>IF(AND(G1279="RECORDED",ISNUMBER(H1279)),H1279,"")</x:f>
        <x:v>9.34</x:v>
      </x:c>
      <x:c r="P1279" s="34" t="str">
        <x:v>INCONCLUSIVE</x:v>
      </x:c>
      <x:c r="Q1279" s="34" t="str">
        <x:v>Feedback-Directed Random Test Generation/Result_Round2/JacksonDatabind_32/result.json</x:v>
      </x:c>
    </x:row>
    <x:row r="1280">
      <x:c r="A1280" s="34" t="str">
        <x:v>randoop</x:v>
      </x:c>
      <x:c r="B1280" s="34" t="str">
        <x:v>JacksonDatabind</x:v>
      </x:c>
      <x:c r="C1280" s="34" t="str">
        <x:v>Round2</x:v>
      </x:c>
      <x:c r="D1280" s="34" t="str">
        <x:v>JacksonDatabind_33</x:v>
      </x:c>
      <x:c r="E1280" s="34" t="str">
        <x:v>Coverage</x:v>
      </x:c>
      <x:c r="F1280" s="34" t="n">
        <x:v>644</x:v>
      </x:c>
      <x:c r="G1280" s="34" t="str">
        <x:v>RECORDED</x:v>
      </x:c>
      <x:c r="H1280" s="38" t="n">
        <x:f>IF(ISNUMBER('Data'!G1280),'Data'!G1280*100,"")</x:f>
        <x:v>11.96</x:v>
      </x:c>
      <x:c r="I1280" s="34" t="str">
        <x:v>PASS</x:v>
      </x:c>
      <x:c r="J1280" s="34" t="str">
        <x:v>PASS</x:v>
      </x:c>
      <x:c r="K1280" s="34" t="str">
        <x:v>PASS</x:v>
      </x:c>
      <x:c r="L1280" s="34" t="str">
        <x:v>PASS</x:v>
      </x:c>
      <x:c r="M1280" s="34" t="str">
        <x:v>numeric coverage for applicable metric</x:v>
      </x:c>
      <x:c r="N1280" s="34" t="str">
        <x:v>Feedback-Directed Random Test Generation/Result_Round2/JacksonDatabind_33/result.json</x:v>
      </x:c>
      <x:c r="O1280" s="38" t="n">
        <x:f>IF(AND(G1280="RECORDED",ISNUMBER(H1280)),H1280,"")</x:f>
        <x:v>11.96</x:v>
      </x:c>
      <x:c r="P1280" s="34" t="str">
        <x:v>NOT_REVEALING</x:v>
      </x:c>
      <x:c r="Q1280" s="34" t="str">
        <x:v>Feedback-Directed Random Test Generation/Result_Round2/JacksonDatabind_33/result.json</x:v>
      </x:c>
    </x:row>
    <x:row r="1281">
      <x:c r="A1281" s="34" t="str">
        <x:v>randoop</x:v>
      </x:c>
      <x:c r="B1281" s="34" t="str">
        <x:v>JacksonDatabind</x:v>
      </x:c>
      <x:c r="C1281" s="34" t="str">
        <x:v>Round2</x:v>
      </x:c>
      <x:c r="D1281" s="34" t="str">
        <x:v>JacksonDatabind_34</x:v>
      </x:c>
      <x:c r="E1281" s="34" t="str">
        <x:v>Coverage</x:v>
      </x:c>
      <x:c r="F1281" s="34" t="n">
        <x:v>53</x:v>
      </x:c>
      <x:c r="G1281" s="34" t="str">
        <x:v>RECORDED</x:v>
      </x:c>
      <x:c r="H1281" s="38" t="n">
        <x:f>IF(ISNUMBER('Data'!G1281),'Data'!G1281*100,"")</x:f>
        <x:v>75.47</x:v>
      </x:c>
      <x:c r="I1281" s="34" t="str">
        <x:v>PASS</x:v>
      </x:c>
      <x:c r="J1281" s="34" t="str">
        <x:v>PASS</x:v>
      </x:c>
      <x:c r="K1281" s="34" t="str">
        <x:v>PASS</x:v>
      </x:c>
      <x:c r="L1281" s="34" t="str">
        <x:v>PASS</x:v>
      </x:c>
      <x:c r="M1281" s="34" t="str">
        <x:v>numeric coverage for applicable metric</x:v>
      </x:c>
      <x:c r="N1281" s="34" t="str">
        <x:v>Feedback-Directed Random Test Generation/Result_Round2/JacksonDatabind_34/result.json</x:v>
      </x:c>
      <x:c r="O1281" s="38" t="n">
        <x:f>IF(AND(G1281="RECORDED",ISNUMBER(H1281)),H1281,"")</x:f>
        <x:v>75.47</x:v>
      </x:c>
      <x:c r="P1281" s="34" t="str">
        <x:v>NOT_REVEALING</x:v>
      </x:c>
      <x:c r="Q1281" s="34" t="str">
        <x:v>Feedback-Directed Random Test Generation/Result_Round2/JacksonDatabind_34/result.json</x:v>
      </x:c>
    </x:row>
    <x:row r="1282">
      <x:c r="A1282" s="34" t="str">
        <x:v>randoop</x:v>
      </x:c>
      <x:c r="B1282" s="34" t="str">
        <x:v>JacksonDatabind</x:v>
      </x:c>
      <x:c r="C1282" s="34" t="str">
        <x:v>Round2</x:v>
      </x:c>
      <x:c r="D1282" s="34" t="str">
        <x:v>JacksonDatabind_35</x:v>
      </x:c>
      <x:c r="E1282" s="34" t="str">
        <x:v>Coverage</x:v>
      </x:c>
      <x:c r="F1282" s="34" t="n">
        <x:v>50</x:v>
      </x:c>
      <x:c r="G1282" s="34" t="str">
        <x:v>RECORDED</x:v>
      </x:c>
      <x:c r="H1282" s="38" t="n">
        <x:f>IF(ISNUMBER('Data'!G1282),'Data'!G1282*100,"")</x:f>
        <x:v>2</x:v>
      </x:c>
      <x:c r="I1282" s="34" t="str">
        <x:v>PASS</x:v>
      </x:c>
      <x:c r="J1282" s="34" t="str">
        <x:v>PASS</x:v>
      </x:c>
      <x:c r="K1282" s="34" t="str">
        <x:v>PASS</x:v>
      </x:c>
      <x:c r="L1282" s="34" t="str">
        <x:v>PASS</x:v>
      </x:c>
      <x:c r="M1282" s="34" t="str">
        <x:v>numeric coverage for applicable metric</x:v>
      </x:c>
      <x:c r="N1282" s="34" t="str">
        <x:v>Feedback-Directed Random Test Generation/Result_Round2/JacksonDatabind_35/result.json</x:v>
      </x:c>
      <x:c r="O1282" s="38" t="n">
        <x:f>IF(AND(G1282="RECORDED",ISNUMBER(H1282)),H1282,"")</x:f>
        <x:v>2</x:v>
      </x:c>
      <x:c r="P1282" s="34" t="str">
        <x:v>NOT_REVEALING</x:v>
      </x:c>
      <x:c r="Q1282" s="34" t="str">
        <x:v>Feedback-Directed Random Test Generation/Result_Round2/JacksonDatabind_35/result.json</x:v>
      </x:c>
    </x:row>
    <x:row r="1283">
      <x:c r="A1283" s="34" t="str">
        <x:v>randoop</x:v>
      </x:c>
      <x:c r="B1283" s="34" t="str">
        <x:v>JacksonDatabind</x:v>
      </x:c>
      <x:c r="C1283" s="34" t="str">
        <x:v>Round2</x:v>
      </x:c>
      <x:c r="D1283" s="34" t="str">
        <x:v>JacksonDatabind_36</x:v>
      </x:c>
      <x:c r="E1283" s="34" t="str">
        <x:v>Coverage</x:v>
      </x:c>
      <x:c r="F1283" s="34" t="n">
        <x:v>323</x:v>
      </x:c>
      <x:c r="G1283" s="34" t="str">
        <x:v>RECORDED</x:v>
      </x:c>
      <x:c r="H1283" s="38" t="n">
        <x:f>IF(ISNUMBER('Data'!G1283),'Data'!G1283*100,"")</x:f>
        <x:v>84.83</x:v>
      </x:c>
      <x:c r="I1283" s="34" t="str">
        <x:v>PASS</x:v>
      </x:c>
      <x:c r="J1283" s="34" t="str">
        <x:v>PASS</x:v>
      </x:c>
      <x:c r="K1283" s="34" t="str">
        <x:v>PASS</x:v>
      </x:c>
      <x:c r="L1283" s="34" t="str">
        <x:v>FAIL</x:v>
      </x:c>
      <x:c r="M1283" s="34" t="str">
        <x:v>numeric coverage for applicable metric</x:v>
      </x:c>
      <x:c r="N1283" s="34" t="str">
        <x:v>Feedback-Directed Random Test Generation/Result_Round2/JacksonDatabind_36/result.json</x:v>
      </x:c>
      <x:c r="O1283" s="38" t="n">
        <x:f>IF(AND(G1283="RECORDED",ISNUMBER(H1283)),H1283,"")</x:f>
        <x:v>84.83</x:v>
      </x:c>
      <x:c r="P1283" s="34" t="str">
        <x:v>INCONCLUSIVE</x:v>
      </x:c>
      <x:c r="Q1283" s="34" t="str">
        <x:v>Feedback-Directed Random Test Generation/Result_Round2/JacksonDatabind_36/result.json</x:v>
      </x:c>
    </x:row>
    <x:row r="1284">
      <x:c r="A1284" s="34" t="str">
        <x:v>randoop</x:v>
      </x:c>
      <x:c r="B1284" s="34" t="str">
        <x:v>JacksonDatabind</x:v>
      </x:c>
      <x:c r="C1284" s="34" t="str">
        <x:v>Round2</x:v>
      </x:c>
      <x:c r="D1284" s="34" t="str">
        <x:v>JacksonDatabind_37</x:v>
      </x:c>
      <x:c r="E1284" s="34" t="str">
        <x:v>Coverage</x:v>
      </x:c>
      <x:c r="F1284" s="34" t="n">
        <x:v>99</x:v>
      </x:c>
      <x:c r="G1284" s="34" t="str">
        <x:v>RECORDED</x:v>
      </x:c>
      <x:c r="H1284" s="38" t="n">
        <x:f>IF(ISNUMBER('Data'!G1284),'Data'!G1284*100,"")</x:f>
        <x:v>1.01</x:v>
      </x:c>
      <x:c r="I1284" s="34" t="str">
        <x:v>PASS</x:v>
      </x:c>
      <x:c r="J1284" s="34" t="str">
        <x:v>PASS</x:v>
      </x:c>
      <x:c r="K1284" s="34" t="str">
        <x:v>PASS</x:v>
      </x:c>
      <x:c r="L1284" s="34" t="str">
        <x:v>PASS</x:v>
      </x:c>
      <x:c r="M1284" s="34" t="str">
        <x:v>numeric coverage for applicable metric</x:v>
      </x:c>
      <x:c r="N1284" s="34" t="str">
        <x:v>Feedback-Directed Random Test Generation/Result_Round2/JacksonDatabind_37/result.json</x:v>
      </x:c>
      <x:c r="O1284" s="38" t="n">
        <x:f>IF(AND(G1284="RECORDED",ISNUMBER(H1284)),H1284,"")</x:f>
        <x:v>1.01</x:v>
      </x:c>
      <x:c r="P1284" s="34" t="str">
        <x:v>NOT_REVEALING</x:v>
      </x:c>
      <x:c r="Q1284" s="34" t="str">
        <x:v>Feedback-Directed Random Test Generation/Result_Round2/JacksonDatabind_37/result.json</x:v>
      </x:c>
    </x:row>
    <x:row r="1285">
      <x:c r="A1285" s="34" t="str">
        <x:v>randoop</x:v>
      </x:c>
      <x:c r="B1285" s="34" t="str">
        <x:v>JacksonDatabind</x:v>
      </x:c>
      <x:c r="C1285" s="34" t="str">
        <x:v>Round2</x:v>
      </x:c>
      <x:c r="D1285" s="34" t="str">
        <x:v>JacksonDatabind_38</x:v>
      </x:c>
      <x:c r="E1285" s="34" t="str">
        <x:v>Coverage</x:v>
      </x:c>
      <x:c r="F1285" s="34" t="n">
        <x:v>164</x:v>
      </x:c>
      <x:c r="G1285" s="34" t="str">
        <x:v>RECORDED</x:v>
      </x:c>
      <x:c r="H1285" s="38" t="n">
        <x:f>IF(ISNUMBER('Data'!G1285),'Data'!G1285*100,"")</x:f>
        <x:v>1.83</x:v>
      </x:c>
      <x:c r="I1285" s="34" t="str">
        <x:v>PASS</x:v>
      </x:c>
      <x:c r="J1285" s="34" t="str">
        <x:v>PASS</x:v>
      </x:c>
      <x:c r="K1285" s="34" t="str">
        <x:v>PASS</x:v>
      </x:c>
      <x:c r="L1285" s="34" t="str">
        <x:v>PASS</x:v>
      </x:c>
      <x:c r="M1285" s="34" t="str">
        <x:v>numeric coverage for applicable metric</x:v>
      </x:c>
      <x:c r="N1285" s="34" t="str">
        <x:v>Feedback-Directed Random Test Generation/Result_Round2/JacksonDatabind_38/result.json</x:v>
      </x:c>
      <x:c r="O1285" s="38" t="n">
        <x:f>IF(AND(G1285="RECORDED",ISNUMBER(H1285)),H1285,"")</x:f>
        <x:v>1.83</x:v>
      </x:c>
      <x:c r="P1285" s="34" t="str">
        <x:v>NOT_REVEALING</x:v>
      </x:c>
      <x:c r="Q1285" s="34" t="str">
        <x:v>Feedback-Directed Random Test Generation/Result_Round2/JacksonDatabind_38/result.json</x:v>
      </x:c>
    </x:row>
    <x:row r="1286">
      <x:c r="A1286" s="34" t="str">
        <x:v>randoop</x:v>
      </x:c>
      <x:c r="B1286" s="34" t="str">
        <x:v>JacksonDatabind</x:v>
      </x:c>
      <x:c r="C1286" s="34" t="str">
        <x:v>Round2</x:v>
      </x:c>
      <x:c r="D1286" s="34" t="str">
        <x:v>JacksonDatabind_39</x:v>
      </x:c>
      <x:c r="E1286" s="34" t="str">
        <x:v>Coverage</x:v>
      </x:c>
      <x:c r="F1286" s="34" t="n">
        <x:v>9</x:v>
      </x:c>
      <x:c r="G1286" s="34" t="str">
        <x:v>RECORDED</x:v>
      </x:c>
      <x:c r="H1286" s="38" t="n">
        <x:f>IF(ISNUMBER('Data'!G1286),'Data'!G1286*100,"")</x:f>
        <x:v>44.44</x:v>
      </x:c>
      <x:c r="I1286" s="34" t="str">
        <x:v>PASS</x:v>
      </x:c>
      <x:c r="J1286" s="34" t="str">
        <x:v>PASS</x:v>
      </x:c>
      <x:c r="K1286" s="34" t="str">
        <x:v>PASS</x:v>
      </x:c>
      <x:c r="L1286" s="34" t="str">
        <x:v>PASS</x:v>
      </x:c>
      <x:c r="M1286" s="34" t="str">
        <x:v>numeric coverage for applicable metric</x:v>
      </x:c>
      <x:c r="N1286" s="34" t="str">
        <x:v>Feedback-Directed Random Test Generation/Result_Round2/JacksonDatabind_39/result.json</x:v>
      </x:c>
      <x:c r="O1286" s="38" t="n">
        <x:f>IF(AND(G1286="RECORDED",ISNUMBER(H1286)),H1286,"")</x:f>
        <x:v>44.44</x:v>
      </x:c>
      <x:c r="P1286" s="34" t="str">
        <x:v>NOT_REVEALING</x:v>
      </x:c>
      <x:c r="Q1286" s="34" t="str">
        <x:v>Feedback-Directed Random Test Generation/Result_Round2/JacksonDatabind_39/result.json</x:v>
      </x:c>
    </x:row>
    <x:row r="1287">
      <x:c r="A1287" s="34" t="str">
        <x:v>randoop</x:v>
      </x:c>
      <x:c r="B1287" s="34" t="str">
        <x:v>JacksonDatabind</x:v>
      </x:c>
      <x:c r="C1287" s="34" t="str">
        <x:v>Round2</x:v>
      </x:c>
      <x:c r="D1287" s="34" t="str">
        <x:v>JacksonDatabind_40</x:v>
      </x:c>
      <x:c r="E1287" s="34" t="str">
        <x:v>Coverage</x:v>
      </x:c>
      <x:c r="F1287" s="34" t="n">
        <x:v>349</x:v>
      </x:c>
      <x:c r="G1287" s="34" t="str">
        <x:v>RECORDED</x:v>
      </x:c>
      <x:c r="H1287" s="38" t="n">
        <x:f>IF(ISNUMBER('Data'!G1287),'Data'!G1287*100,"")</x:f>
        <x:v>20.63</x:v>
      </x:c>
      <x:c r="I1287" s="34" t="str">
        <x:v>PASS</x:v>
      </x:c>
      <x:c r="J1287" s="34" t="str">
        <x:v>PASS</x:v>
      </x:c>
      <x:c r="K1287" s="34" t="str">
        <x:v>PASS</x:v>
      </x:c>
      <x:c r="L1287" s="34" t="str">
        <x:v>PASS</x:v>
      </x:c>
      <x:c r="M1287" s="34" t="str">
        <x:v>numeric coverage for applicable metric</x:v>
      </x:c>
      <x:c r="N1287" s="34" t="str">
        <x:v>Feedback-Directed Random Test Generation/Result_Round2/JacksonDatabind_40/result.json</x:v>
      </x:c>
      <x:c r="O1287" s="38" t="n">
        <x:f>IF(AND(G1287="RECORDED",ISNUMBER(H1287)),H1287,"")</x:f>
        <x:v>20.63</x:v>
      </x:c>
      <x:c r="P1287" s="34" t="str">
        <x:v>INCONCLUSIVE</x:v>
      </x:c>
      <x:c r="Q1287" s="34" t="str">
        <x:v>Feedback-Directed Random Test Generation/Result_Round2/JacksonDatabind_40/result.json</x:v>
      </x:c>
    </x:row>
    <x:row r="1288">
      <x:c r="A1288" s="34" t="str">
        <x:v>randoop</x:v>
      </x:c>
      <x:c r="B1288" s="34" t="str">
        <x:v>JacksonDatabind</x:v>
      </x:c>
      <x:c r="C1288" s="34" t="str">
        <x:v>Round2</x:v>
      </x:c>
      <x:c r="D1288" s="34" t="str">
        <x:v>JacksonDatabind_41</x:v>
      </x:c>
      <x:c r="E1288" s="34" t="str">
        <x:v>Coverage</x:v>
      </x:c>
      <x:c r="F1288" s="34" t="n">
        <x:v>552</x:v>
      </x:c>
      <x:c r="G1288" s="34" t="str">
        <x:v>RECORDED</x:v>
      </x:c>
      <x:c r="H1288" s="38" t="n">
        <x:f>IF(ISNUMBER('Data'!G1288),'Data'!G1288*100,"")</x:f>
        <x:v>42.57</x:v>
      </x:c>
      <x:c r="I1288" s="34" t="str">
        <x:v>PASS</x:v>
      </x:c>
      <x:c r="J1288" s="34" t="str">
        <x:v>PASS</x:v>
      </x:c>
      <x:c r="K1288" s="34" t="str">
        <x:v>PASS</x:v>
      </x:c>
      <x:c r="L1288" s="34" t="str">
        <x:v>PASS</x:v>
      </x:c>
      <x:c r="M1288" s="34" t="str">
        <x:v>numeric coverage for applicable metric</x:v>
      </x:c>
      <x:c r="N1288" s="34" t="str">
        <x:v>Feedback-Directed Random Test Generation/Result_Round2/JacksonDatabind_41/result.json</x:v>
      </x:c>
      <x:c r="O1288" s="38" t="n">
        <x:f>IF(AND(G1288="RECORDED",ISNUMBER(H1288)),H1288,"")</x:f>
        <x:v>42.57</x:v>
      </x:c>
      <x:c r="P1288" s="34" t="str">
        <x:v>INCONCLUSIVE</x:v>
      </x:c>
      <x:c r="Q1288" s="34" t="str">
        <x:v>Feedback-Directed Random Test Generation/Result_Round2/JacksonDatabind_41/result.json</x:v>
      </x:c>
    </x:row>
    <x:row r="1289">
      <x:c r="A1289" s="34" t="str">
        <x:v>randoop</x:v>
      </x:c>
      <x:c r="B1289" s="34" t="str">
        <x:v>JacksonDatabind</x:v>
      </x:c>
      <x:c r="C1289" s="34" t="str">
        <x:v>Round2</x:v>
      </x:c>
      <x:c r="D1289" s="34" t="str">
        <x:v>JacksonDatabind_42</x:v>
      </x:c>
      <x:c r="E1289" s="34" t="str">
        <x:v>Coverage</x:v>
      </x:c>
      <x:c r="F1289" s="34" t="n">
        <x:v>189</x:v>
      </x:c>
      <x:c r="G1289" s="34" t="str">
        <x:v>RECORDED</x:v>
      </x:c>
      <x:c r="H1289" s="38" t="n">
        <x:f>IF(ISNUMBER('Data'!G1289),'Data'!G1289*100,"")</x:f>
        <x:v>0.53</x:v>
      </x:c>
      <x:c r="I1289" s="34" t="str">
        <x:v>PASS</x:v>
      </x:c>
      <x:c r="J1289" s="34" t="str">
        <x:v>PASS</x:v>
      </x:c>
      <x:c r="K1289" s="34" t="str">
        <x:v>PASS</x:v>
      </x:c>
      <x:c r="L1289" s="34" t="str">
        <x:v>PASS</x:v>
      </x:c>
      <x:c r="M1289" s="34" t="str">
        <x:v>numeric coverage for applicable metric</x:v>
      </x:c>
      <x:c r="N1289" s="34" t="str">
        <x:v>Feedback-Directed Random Test Generation/Result_Round2/JacksonDatabind_42/result.json</x:v>
      </x:c>
      <x:c r="O1289" s="38" t="n">
        <x:f>IF(AND(G1289="RECORDED",ISNUMBER(H1289)),H1289,"")</x:f>
        <x:v>0.53</x:v>
      </x:c>
      <x:c r="P1289" s="34" t="str">
        <x:v>NOT_REVEALING</x:v>
      </x:c>
      <x:c r="Q1289" s="34" t="str">
        <x:v>Feedback-Directed Random Test Generation/Result_Round2/JacksonDatabind_42/result.json</x:v>
      </x:c>
    </x:row>
    <x:row r="1290">
      <x:c r="A1290" s="34" t="str">
        <x:v>randoop</x:v>
      </x:c>
      <x:c r="B1290" s="34" t="str">
        <x:v>JacksonDatabind</x:v>
      </x:c>
      <x:c r="C1290" s="34" t="str">
        <x:v>Round2</x:v>
      </x:c>
      <x:c r="D1290" s="34" t="str">
        <x:v>JacksonDatabind_43</x:v>
      </x:c>
      <x:c r="E1290" s="34" t="str">
        <x:v>Coverage</x:v>
      </x:c>
      <x:c r="F1290" s="34" t="n">
        <x:v>38</x:v>
      </x:c>
      <x:c r="G1290" s="34" t="str">
        <x:v>RECORDED</x:v>
      </x:c>
      <x:c r="H1290" s="38" t="n">
        <x:f>IF(ISNUMBER('Data'!G1290),'Data'!G1290*100,"")</x:f>
        <x:v>5.26</x:v>
      </x:c>
      <x:c r="I1290" s="34" t="str">
        <x:v>PASS</x:v>
      </x:c>
      <x:c r="J1290" s="34" t="str">
        <x:v>PASS</x:v>
      </x:c>
      <x:c r="K1290" s="34" t="str">
        <x:v>PASS</x:v>
      </x:c>
      <x:c r="L1290" s="34" t="str">
        <x:v>PASS</x:v>
      </x:c>
      <x:c r="M1290" s="34" t="str">
        <x:v>numeric coverage for applicable metric</x:v>
      </x:c>
      <x:c r="N1290" s="34" t="str">
        <x:v>Feedback-Directed Random Test Generation/Result_Round2/JacksonDatabind_43/result.json</x:v>
      </x:c>
      <x:c r="O1290" s="38" t="n">
        <x:f>IF(AND(G1290="RECORDED",ISNUMBER(H1290)),H1290,"")</x:f>
        <x:v>5.26</x:v>
      </x:c>
      <x:c r="P1290" s="34" t="str">
        <x:v>NOT_REVEALING</x:v>
      </x:c>
      <x:c r="Q1290" s="34" t="str">
        <x:v>Feedback-Directed Random Test Generation/Result_Round2/JacksonDatabind_43/result.json</x:v>
      </x:c>
    </x:row>
    <x:row r="1291">
      <x:c r="A1291" s="34" t="str">
        <x:v>randoop</x:v>
      </x:c>
      <x:c r="B1291" s="34" t="str">
        <x:v>JacksonDatabind</x:v>
      </x:c>
      <x:c r="C1291" s="34" t="str">
        <x:v>Round2</x:v>
      </x:c>
      <x:c r="D1291" s="34" t="str">
        <x:v>JacksonDatabind_44</x:v>
      </x:c>
      <x:c r="E1291" s="34" t="str">
        <x:v>Coverage</x:v>
      </x:c>
      <x:c r="F1291" s="34" t="n">
        <x:v>111</x:v>
      </x:c>
      <x:c r="G1291" s="34" t="str">
        <x:v>RECORDED</x:v>
      </x:c>
      <x:c r="H1291" s="38" t="n">
        <x:f>IF(ISNUMBER('Data'!G1291),'Data'!G1291*100,"")</x:f>
        <x:v>0.9000000000000001</x:v>
      </x:c>
      <x:c r="I1291" s="34" t="str">
        <x:v>PASS</x:v>
      </x:c>
      <x:c r="J1291" s="34" t="str">
        <x:v>PASS</x:v>
      </x:c>
      <x:c r="K1291" s="34" t="str">
        <x:v>PASS</x:v>
      </x:c>
      <x:c r="L1291" s="34" t="str">
        <x:v>PASS</x:v>
      </x:c>
      <x:c r="M1291" s="34" t="str">
        <x:v>numeric coverage for applicable metric</x:v>
      </x:c>
      <x:c r="N1291" s="34" t="str">
        <x:v>Feedback-Directed Random Test Generation/Result_Round2/JacksonDatabind_44/result.json</x:v>
      </x:c>
      <x:c r="O1291" s="38" t="n">
        <x:f>IF(AND(G1291="RECORDED",ISNUMBER(H1291)),H1291,"")</x:f>
        <x:v>0.9000000000000001</x:v>
      </x:c>
      <x:c r="P1291" s="34" t="str">
        <x:v>NOT_REVEALING</x:v>
      </x:c>
      <x:c r="Q1291" s="34" t="str">
        <x:v>Feedback-Directed Random Test Generation/Result_Round2/JacksonDatabind_44/result.json</x:v>
      </x:c>
    </x:row>
    <x:row r="1292">
      <x:c r="A1292" s="34" t="str">
        <x:v>randoop</x:v>
      </x:c>
      <x:c r="B1292" s="34" t="str">
        <x:v>JacksonDatabind</x:v>
      </x:c>
      <x:c r="C1292" s="34" t="str">
        <x:v>Round2</x:v>
      </x:c>
      <x:c r="D1292" s="34" t="str">
        <x:v>JacksonDatabind_45</x:v>
      </x:c>
      <x:c r="E1292" s="34" t="str">
        <x:v>Coverage</x:v>
      </x:c>
      <x:c r="F1292" s="34" t="n">
        <x:v>72</x:v>
      </x:c>
      <x:c r="G1292" s="34" t="str">
        <x:v>RECORDED</x:v>
      </x:c>
      <x:c r="H1292" s="38" t="n">
        <x:f>IF(ISNUMBER('Data'!G1292),'Data'!G1292*100,"")</x:f>
        <x:v>0</x:v>
      </x:c>
      <x:c r="I1292" s="34" t="str">
        <x:v>PASS</x:v>
      </x:c>
      <x:c r="J1292" s="34" t="str">
        <x:v>PASS</x:v>
      </x:c>
      <x:c r="K1292" s="34" t="str">
        <x:v>PASS</x:v>
      </x:c>
      <x:c r="L1292" s="34" t="str">
        <x:v>PASS</x:v>
      </x:c>
      <x:c r="M1292" s="34" t="str">
        <x:v>numeric coverage for applicable metric</x:v>
      </x:c>
      <x:c r="N1292" s="34" t="str">
        <x:v>Feedback-Directed Random Test Generation/Result_Round2/JacksonDatabind_45/result.json</x:v>
      </x:c>
      <x:c r="O1292" s="38" t="n">
        <x:f>IF(AND(G1292="RECORDED",ISNUMBER(H1292)),H1292,"")</x:f>
        <x:v>0</x:v>
      </x:c>
      <x:c r="P1292" s="34" t="str">
        <x:v>NOT_REVEALING</x:v>
      </x:c>
      <x:c r="Q1292" s="34" t="str">
        <x:v>Feedback-Directed Random Test Generation/Result_Round2/JacksonDatabind_45/result.json</x:v>
      </x:c>
    </x:row>
    <x:row r="1293">
      <x:c r="A1293" s="34" t="str">
        <x:v>randoop</x:v>
      </x:c>
      <x:c r="B1293" s="34" t="str">
        <x:v>JacksonDatabind</x:v>
      </x:c>
      <x:c r="C1293" s="34" t="str">
        <x:v>Round2</x:v>
      </x:c>
      <x:c r="D1293" s="34" t="str">
        <x:v>JacksonDatabind_46</x:v>
      </x:c>
      <x:c r="E1293" s="34" t="str">
        <x:v>Coverage</x:v>
      </x:c>
      <x:c r="F1293" s="34" t="n">
        <x:v>74</x:v>
      </x:c>
      <x:c r="G1293" s="34" t="str">
        <x:v>RECORDED</x:v>
      </x:c>
      <x:c r="H1293" s="38" t="n">
        <x:f>IF(ISNUMBER('Data'!G1293),'Data'!G1293*100,"")</x:f>
        <x:v>0</x:v>
      </x:c>
      <x:c r="I1293" s="34" t="str">
        <x:v>PASS</x:v>
      </x:c>
      <x:c r="J1293" s="34" t="str">
        <x:v>PASS</x:v>
      </x:c>
      <x:c r="K1293" s="34" t="str">
        <x:v>PASS</x:v>
      </x:c>
      <x:c r="L1293" s="34" t="str">
        <x:v>PASS</x:v>
      </x:c>
      <x:c r="M1293" s="34" t="str">
        <x:v>numeric coverage for applicable metric</x:v>
      </x:c>
      <x:c r="N1293" s="34" t="str">
        <x:v>Feedback-Directed Random Test Generation/Result_Round2/JacksonDatabind_46/result.json</x:v>
      </x:c>
      <x:c r="O1293" s="38" t="n">
        <x:f>IF(AND(G1293="RECORDED",ISNUMBER(H1293)),H1293,"")</x:f>
        <x:v>0</x:v>
      </x:c>
      <x:c r="P1293" s="34" t="str">
        <x:v>NOT_REVEALING</x:v>
      </x:c>
      <x:c r="Q1293" s="34" t="str">
        <x:v>Feedback-Directed Random Test Generation/Result_Round2/JacksonDatabind_46/result.json</x:v>
      </x:c>
    </x:row>
    <x:row r="1294">
      <x:c r="A1294" s="34" t="str">
        <x:v>randoop</x:v>
      </x:c>
      <x:c r="B1294" s="34" t="str">
        <x:v>JacksonDatabind</x:v>
      </x:c>
      <x:c r="C1294" s="34" t="str">
        <x:v>Round2</x:v>
      </x:c>
      <x:c r="D1294" s="34" t="str">
        <x:v>JacksonDatabind_47</x:v>
      </x:c>
      <x:c r="E1294" s="34" t="str">
        <x:v>Coverage</x:v>
      </x:c>
      <x:c r="F1294" s="34" t="n">
        <x:v>0</x:v>
      </x:c>
      <x:c r="G1294" s="34" t="str">
        <x:v>A</x:v>
      </x:c>
      <x:c r="H1294" s="38" t="str">
        <x:f>IF(ISNUMBER('Data'!G1294),'Data'!G1294*100,"")</x:f>
      </x:c>
      <x:c r="I1294" s="34"/>
      <x:c r="J1294" s="34"/>
      <x:c r="K1294" s="34"/>
      <x:c r="L1294" s="34" t="str">
        <x:v>NOT_RUN</x:v>
      </x:c>
      <x:c r="M1294" s="34" t="str">
        <x:v>Latest same-round generation failed; older files/results are excluded</x:v>
      </x:c>
      <x:c r="N1294" s="34" t="str">
        <x:v>Feedback-Directed Random Test Generation/report_Round2.csv</x:v>
      </x:c>
      <x:c r="O1294" s="38" t="str">
        <x:f>IF(AND(G1294="RECORDED",ISNUMBER(H1294)),H1294,"")</x:f>
      </x:c>
      <x:c r="P1294" s="34" t="str">
        <x:v>FAIL</x:v>
      </x:c>
      <x:c r="Q1294" s="34"/>
    </x:row>
    <x:row r="1295">
      <x:c r="A1295" s="34" t="str">
        <x:v>randoop</x:v>
      </x:c>
      <x:c r="B1295" s="34" t="str">
        <x:v>JacksonDatabind</x:v>
      </x:c>
      <x:c r="C1295" s="34" t="str">
        <x:v>Round2</x:v>
      </x:c>
      <x:c r="D1295" s="34" t="str">
        <x:v>JacksonDatabind_48</x:v>
      </x:c>
      <x:c r="E1295" s="34" t="str">
        <x:v>Coverage</x:v>
      </x:c>
      <x:c r="F1295" s="34" t="n">
        <x:v>823</x:v>
      </x:c>
      <x:c r="G1295" s="34" t="str">
        <x:v>RECORDED</x:v>
      </x:c>
      <x:c r="H1295" s="38" t="n">
        <x:f>IF(ISNUMBER('Data'!G1295),'Data'!G1295*100,"")</x:f>
        <x:v>49.7</x:v>
      </x:c>
      <x:c r="I1295" s="34" t="str">
        <x:v>PASS</x:v>
      </x:c>
      <x:c r="J1295" s="34" t="str">
        <x:v>PASS</x:v>
      </x:c>
      <x:c r="K1295" s="34" t="str">
        <x:v>PASS</x:v>
      </x:c>
      <x:c r="L1295" s="34" t="str">
        <x:v>PASS</x:v>
      </x:c>
      <x:c r="M1295" s="34" t="str">
        <x:v>numeric coverage for applicable metric</x:v>
      </x:c>
      <x:c r="N1295" s="34" t="str">
        <x:v>Feedback-Directed Random Test Generation/Result_Round2/JacksonDatabind_48/result.json</x:v>
      </x:c>
      <x:c r="O1295" s="38" t="n">
        <x:f>IF(AND(G1295="RECORDED",ISNUMBER(H1295)),H1295,"")</x:f>
        <x:v>49.7</x:v>
      </x:c>
      <x:c r="P1295" s="34" t="str">
        <x:v>NOT_REVEALING</x:v>
      </x:c>
      <x:c r="Q1295" s="34" t="str">
        <x:v>Feedback-Directed Random Test Generation/Result_Round2/JacksonDatabind_48/result.json</x:v>
      </x:c>
    </x:row>
    <x:row r="1296">
      <x:c r="A1296" s="34" t="str">
        <x:v>randoop</x:v>
      </x:c>
      <x:c r="B1296" s="34" t="str">
        <x:v>JacksonDatabind</x:v>
      </x:c>
      <x:c r="C1296" s="34" t="str">
        <x:v>Round2</x:v>
      </x:c>
      <x:c r="D1296" s="34" t="str">
        <x:v>JacksonDatabind_49</x:v>
      </x:c>
      <x:c r="E1296" s="34" t="str">
        <x:v>Coverage</x:v>
      </x:c>
      <x:c r="F1296" s="34" t="n">
        <x:v>33</x:v>
      </x:c>
      <x:c r="G1296" s="34" t="str">
        <x:v>RECORDED</x:v>
      </x:c>
      <x:c r="H1296" s="38" t="n">
        <x:f>IF(ISNUMBER('Data'!G1296),'Data'!G1296*100,"")</x:f>
        <x:v>0</x:v>
      </x:c>
      <x:c r="I1296" s="34" t="str">
        <x:v>PASS</x:v>
      </x:c>
      <x:c r="J1296" s="34" t="str">
        <x:v>PASS</x:v>
      </x:c>
      <x:c r="K1296" s="34" t="str">
        <x:v>PASS</x:v>
      </x:c>
      <x:c r="L1296" s="34" t="str">
        <x:v>PASS</x:v>
      </x:c>
      <x:c r="M1296" s="34" t="str">
        <x:v>numeric coverage for applicable metric</x:v>
      </x:c>
      <x:c r="N1296" s="34" t="str">
        <x:v>Feedback-Directed Random Test Generation/Result_Round2/JacksonDatabind_49/result.json</x:v>
      </x:c>
      <x:c r="O1296" s="38" t="n">
        <x:f>IF(AND(G1296="RECORDED",ISNUMBER(H1296)),H1296,"")</x:f>
        <x:v>0</x:v>
      </x:c>
      <x:c r="P1296" s="34" t="str">
        <x:v>NOT_REVEALING</x:v>
      </x:c>
      <x:c r="Q1296" s="34" t="str">
        <x:v>Feedback-Directed Random Test Generation/Result_Round2/JacksonDatabind_49/result.json</x:v>
      </x:c>
    </x:row>
    <x:row r="1297">
      <x:c r="A1297" s="34" t="str">
        <x:v>randoop</x:v>
      </x:c>
      <x:c r="B1297" s="34" t="str">
        <x:v>JacksonDatabind</x:v>
      </x:c>
      <x:c r="C1297" s="34" t="str">
        <x:v>Round2</x:v>
      </x:c>
      <x:c r="D1297" s="34" t="str">
        <x:v>JacksonDatabind_50</x:v>
      </x:c>
      <x:c r="E1297" s="34" t="str">
        <x:v>Coverage</x:v>
      </x:c>
      <x:c r="F1297" s="34" t="n">
        <x:v>642</x:v>
      </x:c>
      <x:c r="G1297" s="34" t="str">
        <x:v>RECORDED</x:v>
      </x:c>
      <x:c r="H1297" s="38" t="n">
        <x:f>IF(ISNUMBER('Data'!G1297),'Data'!G1297*100,"")</x:f>
        <x:v>1.09</x:v>
      </x:c>
      <x:c r="I1297" s="34" t="str">
        <x:v>PASS</x:v>
      </x:c>
      <x:c r="J1297" s="34" t="str">
        <x:v>PASS</x:v>
      </x:c>
      <x:c r="K1297" s="34" t="str">
        <x:v>PASS</x:v>
      </x:c>
      <x:c r="L1297" s="34" t="str">
        <x:v>PASS</x:v>
      </x:c>
      <x:c r="M1297" s="34" t="str">
        <x:v>numeric coverage for applicable metric</x:v>
      </x:c>
      <x:c r="N1297" s="34" t="str">
        <x:v>Feedback-Directed Random Test Generation/Result_Round2/JacksonDatabind_50/result.json</x:v>
      </x:c>
      <x:c r="O1297" s="38" t="n">
        <x:f>IF(AND(G1297="RECORDED",ISNUMBER(H1297)),H1297,"")</x:f>
        <x:v>1.09</x:v>
      </x:c>
      <x:c r="P1297" s="34" t="str">
        <x:v>NOT_REVEALING</x:v>
      </x:c>
      <x:c r="Q1297" s="34" t="str">
        <x:v>Feedback-Directed Random Test Generation/Result_Round2/JacksonDatabind_50/result.json</x:v>
      </x:c>
    </x:row>
    <x:row r="1298">
      <x:c r="A1298" s="34" t="str">
        <x:v>randoop</x:v>
      </x:c>
      <x:c r="B1298" s="34" t="str">
        <x:v>JacksonDatabind</x:v>
      </x:c>
      <x:c r="C1298" s="34" t="str">
        <x:v>Round2</x:v>
      </x:c>
      <x:c r="D1298" s="34" t="str">
        <x:v>JacksonDatabind_51</x:v>
      </x:c>
      <x:c r="E1298" s="34" t="str">
        <x:v>Coverage</x:v>
      </x:c>
      <x:c r="F1298" s="34" t="n">
        <x:v>108</x:v>
      </x:c>
      <x:c r="G1298" s="34" t="str">
        <x:v>RECORDED</x:v>
      </x:c>
      <x:c r="H1298" s="38" t="n">
        <x:f>IF(ISNUMBER('Data'!G1298),'Data'!G1298*100,"")</x:f>
        <x:v>0</x:v>
      </x:c>
      <x:c r="I1298" s="34" t="str">
        <x:v>PASS</x:v>
      </x:c>
      <x:c r="J1298" s="34" t="str">
        <x:v>PASS</x:v>
      </x:c>
      <x:c r="K1298" s="34" t="str">
        <x:v>PASS</x:v>
      </x:c>
      <x:c r="L1298" s="34" t="str">
        <x:v>PASS</x:v>
      </x:c>
      <x:c r="M1298" s="34" t="str">
        <x:v>numeric coverage for applicable metric</x:v>
      </x:c>
      <x:c r="N1298" s="34" t="str">
        <x:v>Feedback-Directed Random Test Generation/Result_Round2/JacksonDatabind_51/result.json</x:v>
      </x:c>
      <x:c r="O1298" s="38" t="n">
        <x:f>IF(AND(G1298="RECORDED",ISNUMBER(H1298)),H1298,"")</x:f>
        <x:v>0</x:v>
      </x:c>
      <x:c r="P1298" s="34" t="str">
        <x:v>NOT_REVEALING</x:v>
      </x:c>
      <x:c r="Q1298" s="34" t="str">
        <x:v>Feedback-Directed Random Test Generation/Result_Round2/JacksonDatabind_51/result.json</x:v>
      </x:c>
    </x:row>
    <x:row r="1299">
      <x:c r="A1299" s="34" t="str">
        <x:v>randoop</x:v>
      </x:c>
      <x:c r="B1299" s="34" t="str">
        <x:v>JacksonDatabind</x:v>
      </x:c>
      <x:c r="C1299" s="34" t="str">
        <x:v>Round2</x:v>
      </x:c>
      <x:c r="D1299" s="34" t="str">
        <x:v>JacksonDatabind_52</x:v>
      </x:c>
      <x:c r="E1299" s="34" t="str">
        <x:v>Coverage</x:v>
      </x:c>
      <x:c r="F1299" s="34" t="n">
        <x:v>1173</x:v>
      </x:c>
      <x:c r="G1299" s="34" t="str">
        <x:v>RECORDED</x:v>
      </x:c>
      <x:c r="H1299" s="38" t="n">
        <x:f>IF(ISNUMBER('Data'!G1299),'Data'!G1299*100,"")</x:f>
        <x:v>3.5000000000000004</x:v>
      </x:c>
      <x:c r="I1299" s="34" t="str">
        <x:v>PASS</x:v>
      </x:c>
      <x:c r="J1299" s="34" t="str">
        <x:v>PASS</x:v>
      </x:c>
      <x:c r="K1299" s="34" t="str">
        <x:v>PASS</x:v>
      </x:c>
      <x:c r="L1299" s="34" t="str">
        <x:v>PASS</x:v>
      </x:c>
      <x:c r="M1299" s="34" t="str">
        <x:v>numeric coverage for applicable metric</x:v>
      </x:c>
      <x:c r="N1299" s="34" t="str">
        <x:v>Feedback-Directed Random Test Generation/Result_Round2/JacksonDatabind_52/result.json</x:v>
      </x:c>
      <x:c r="O1299" s="38" t="n">
        <x:f>IF(AND(G1299="RECORDED",ISNUMBER(H1299)),H1299,"")</x:f>
        <x:v>3.5000000000000004</x:v>
      </x:c>
      <x:c r="P1299" s="34" t="str">
        <x:v>NOT_REVEALING</x:v>
      </x:c>
      <x:c r="Q1299" s="34" t="str">
        <x:v>Feedback-Directed Random Test Generation/Result_Round2/JacksonDatabind_52/result.json</x:v>
      </x:c>
    </x:row>
    <x:row r="1300">
      <x:c r="A1300" s="34" t="str">
        <x:v>randoop</x:v>
      </x:c>
      <x:c r="B1300" s="34" t="str">
        <x:v>JacksonDatabind</x:v>
      </x:c>
      <x:c r="C1300" s="34" t="str">
        <x:v>Round2</x:v>
      </x:c>
      <x:c r="D1300" s="34" t="str">
        <x:v>JacksonDatabind_53</x:v>
      </x:c>
      <x:c r="E1300" s="34" t="str">
        <x:v>Coverage</x:v>
      </x:c>
      <x:c r="F1300" s="34" t="n">
        <x:v>851</x:v>
      </x:c>
      <x:c r="G1300" s="34" t="str">
        <x:v>RECORDED</x:v>
      </x:c>
      <x:c r="H1300" s="38" t="n">
        <x:f>IF(ISNUMBER('Data'!G1300),'Data'!G1300*100,"")</x:f>
        <x:v>36.19</x:v>
      </x:c>
      <x:c r="I1300" s="34" t="str">
        <x:v>PASS</x:v>
      </x:c>
      <x:c r="J1300" s="34" t="str">
        <x:v>PASS</x:v>
      </x:c>
      <x:c r="K1300" s="34" t="str">
        <x:v>PASS</x:v>
      </x:c>
      <x:c r="L1300" s="34" t="str">
        <x:v>PASS</x:v>
      </x:c>
      <x:c r="M1300" s="34" t="str">
        <x:v>numeric coverage for applicable metric</x:v>
      </x:c>
      <x:c r="N1300" s="34" t="str">
        <x:v>Feedback-Directed Random Test Generation/Result_Round2/JacksonDatabind_53/result.json</x:v>
      </x:c>
      <x:c r="O1300" s="38" t="n">
        <x:f>IF(AND(G1300="RECORDED",ISNUMBER(H1300)),H1300,"")</x:f>
        <x:v>36.19</x:v>
      </x:c>
      <x:c r="P1300" s="34" t="str">
        <x:v>NOT_AVAILABLE</x:v>
      </x:c>
      <x:c r="Q1300" s="34" t="str">
        <x:v>Feedback-Directed Random Test Generation/Result_Round2/JacksonDatabind_53/result.json</x:v>
      </x:c>
    </x:row>
    <x:row r="1301">
      <x:c r="A1301" s="34" t="str">
        <x:v>randoop</x:v>
      </x:c>
      <x:c r="B1301" s="34" t="str">
        <x:v>JacksonDatabind</x:v>
      </x:c>
      <x:c r="C1301" s="34" t="str">
        <x:v>Round2</x:v>
      </x:c>
      <x:c r="D1301" s="34" t="str">
        <x:v>JacksonDatabind_54</x:v>
      </x:c>
      <x:c r="E1301" s="34" t="str">
        <x:v>Coverage</x:v>
      </x:c>
      <x:c r="F1301" s="34" t="n">
        <x:v>164</x:v>
      </x:c>
      <x:c r="G1301" s="34" t="str">
        <x:v>RECORDED</x:v>
      </x:c>
      <x:c r="H1301" s="38" t="n">
        <x:f>IF(ISNUMBER('Data'!G1301),'Data'!G1301*100,"")</x:f>
        <x:v>3.66</x:v>
      </x:c>
      <x:c r="I1301" s="34" t="str">
        <x:v>PASS</x:v>
      </x:c>
      <x:c r="J1301" s="34" t="str">
        <x:v>PASS</x:v>
      </x:c>
      <x:c r="K1301" s="34" t="str">
        <x:v>PASS</x:v>
      </x:c>
      <x:c r="L1301" s="34" t="str">
        <x:v>PASS</x:v>
      </x:c>
      <x:c r="M1301" s="34" t="str">
        <x:v>numeric coverage for applicable metric</x:v>
      </x:c>
      <x:c r="N1301" s="34" t="str">
        <x:v>Feedback-Directed Random Test Generation/Result_Round2/JacksonDatabind_54/result.json</x:v>
      </x:c>
      <x:c r="O1301" s="38" t="n">
        <x:f>IF(AND(G1301="RECORDED",ISNUMBER(H1301)),H1301,"")</x:f>
        <x:v>3.66</x:v>
      </x:c>
      <x:c r="P1301" s="34" t="str">
        <x:v>NOT_REVEALING</x:v>
      </x:c>
      <x:c r="Q1301" s="34" t="str">
        <x:v>Feedback-Directed Random Test Generation/Result_Round2/JacksonDatabind_54/result.json</x:v>
      </x:c>
    </x:row>
    <x:row r="1302">
      <x:c r="A1302" s="34" t="str">
        <x:v>randoop</x:v>
      </x:c>
      <x:c r="B1302" s="34" t="str">
        <x:v>JacksonDatabind</x:v>
      </x:c>
      <x:c r="C1302" s="34" t="str">
        <x:v>Round2</x:v>
      </x:c>
      <x:c r="D1302" s="34" t="str">
        <x:v>JacksonDatabind_55</x:v>
      </x:c>
      <x:c r="E1302" s="34" t="str">
        <x:v>Coverage</x:v>
      </x:c>
      <x:c r="F1302" s="34" t="n">
        <x:v>98</x:v>
      </x:c>
      <x:c r="G1302" s="34" t="str">
        <x:v>RECORDED</x:v>
      </x:c>
      <x:c r="H1302" s="38" t="n">
        <x:f>IF(ISNUMBER('Data'!G1302),'Data'!G1302*100,"")</x:f>
        <x:v>18.37</x:v>
      </x:c>
      <x:c r="I1302" s="34" t="str">
        <x:v>PASS</x:v>
      </x:c>
      <x:c r="J1302" s="34" t="str">
        <x:v>PASS</x:v>
      </x:c>
      <x:c r="K1302" s="34" t="str">
        <x:v>PASS</x:v>
      </x:c>
      <x:c r="L1302" s="34" t="str">
        <x:v>PASS</x:v>
      </x:c>
      <x:c r="M1302" s="34" t="str">
        <x:v>numeric coverage for applicable metric</x:v>
      </x:c>
      <x:c r="N1302" s="34" t="str">
        <x:v>Feedback-Directed Random Test Generation/Result_Round2/JacksonDatabind_55/result.json</x:v>
      </x:c>
      <x:c r="O1302" s="38" t="n">
        <x:f>IF(AND(G1302="RECORDED",ISNUMBER(H1302)),H1302,"")</x:f>
        <x:v>18.37</x:v>
      </x:c>
      <x:c r="P1302" s="34" t="str">
        <x:v>NOT_REVEALING</x:v>
      </x:c>
      <x:c r="Q1302" s="34" t="str">
        <x:v>Feedback-Directed Random Test Generation/Result_Round2/JacksonDatabind_55/result.json</x:v>
      </x:c>
    </x:row>
    <x:row r="1303">
      <x:c r="A1303" s="34" t="str">
        <x:v>randoop</x:v>
      </x:c>
      <x:c r="B1303" s="34" t="str">
        <x:v>JacksonDatabind</x:v>
      </x:c>
      <x:c r="C1303" s="34" t="str">
        <x:v>Round2</x:v>
      </x:c>
      <x:c r="D1303" s="34" t="str">
        <x:v>JacksonDatabind_56</x:v>
      </x:c>
      <x:c r="E1303" s="34" t="str">
        <x:v>Coverage</x:v>
      </x:c>
      <x:c r="F1303" s="34" t="n">
        <x:v>193</x:v>
      </x:c>
      <x:c r="G1303" s="34" t="str">
        <x:v>RECORDED</x:v>
      </x:c>
      <x:c r="H1303" s="38" t="n">
        <x:f>IF(ISNUMBER('Data'!G1303),'Data'!G1303*100,"")</x:f>
        <x:v>0.52</x:v>
      </x:c>
      <x:c r="I1303" s="34" t="str">
        <x:v>PASS</x:v>
      </x:c>
      <x:c r="J1303" s="34" t="str">
        <x:v>PASS</x:v>
      </x:c>
      <x:c r="K1303" s="34" t="str">
        <x:v>PASS</x:v>
      </x:c>
      <x:c r="L1303" s="34" t="str">
        <x:v>PASS</x:v>
      </x:c>
      <x:c r="M1303" s="34" t="str">
        <x:v>numeric coverage for applicable metric</x:v>
      </x:c>
      <x:c r="N1303" s="34" t="str">
        <x:v>Feedback-Directed Random Test Generation/Result_Round2/JacksonDatabind_56/result.json</x:v>
      </x:c>
      <x:c r="O1303" s="38" t="n">
        <x:f>IF(AND(G1303="RECORDED",ISNUMBER(H1303)),H1303,"")</x:f>
        <x:v>0.52</x:v>
      </x:c>
      <x:c r="P1303" s="34" t="str">
        <x:v>NOT_REVEALING</x:v>
      </x:c>
      <x:c r="Q1303" s="34" t="str">
        <x:v>Feedback-Directed Random Test Generation/Result_Round2/JacksonDatabind_56/result.json</x:v>
      </x:c>
    </x:row>
    <x:row r="1304">
      <x:c r="A1304" s="34" t="str">
        <x:v>randoop</x:v>
      </x:c>
      <x:c r="B1304" s="34" t="str">
        <x:v>JacksonDatabind</x:v>
      </x:c>
      <x:c r="C1304" s="34" t="str">
        <x:v>Round2</x:v>
      </x:c>
      <x:c r="D1304" s="34" t="str">
        <x:v>JacksonDatabind_57</x:v>
      </x:c>
      <x:c r="E1304" s="34" t="str">
        <x:v>Coverage</x:v>
      </x:c>
      <x:c r="F1304" s="34" t="n">
        <x:v>564</x:v>
      </x:c>
      <x:c r="G1304" s="34" t="str">
        <x:v>RECORDED</x:v>
      </x:c>
      <x:c r="H1304" s="38" t="n">
        <x:f>IF(ISNUMBER('Data'!G1304),'Data'!G1304*100,"")</x:f>
        <x:v>2.66</x:v>
      </x:c>
      <x:c r="I1304" s="34" t="str">
        <x:v>PASS</x:v>
      </x:c>
      <x:c r="J1304" s="34" t="str">
        <x:v>PASS</x:v>
      </x:c>
      <x:c r="K1304" s="34" t="str">
        <x:v>PASS</x:v>
      </x:c>
      <x:c r="L1304" s="34" t="str">
        <x:v>PASS</x:v>
      </x:c>
      <x:c r="M1304" s="34" t="str">
        <x:v>numeric coverage for applicable metric</x:v>
      </x:c>
      <x:c r="N1304" s="34" t="str">
        <x:v>Feedback-Directed Random Test Generation/Result_Round2/JacksonDatabind_57/result.json</x:v>
      </x:c>
      <x:c r="O1304" s="38" t="n">
        <x:f>IF(AND(G1304="RECORDED",ISNUMBER(H1304)),H1304,"")</x:f>
        <x:v>2.66</x:v>
      </x:c>
      <x:c r="P1304" s="34" t="str">
        <x:v>NOT_REVEALING</x:v>
      </x:c>
      <x:c r="Q1304" s="34" t="str">
        <x:v>Feedback-Directed Random Test Generation/Result_Round2/JacksonDatabind_57/result.json</x:v>
      </x:c>
    </x:row>
    <x:row r="1305">
      <x:c r="A1305" s="34" t="str">
        <x:v>randoop</x:v>
      </x:c>
      <x:c r="B1305" s="34" t="str">
        <x:v>JacksonDatabind</x:v>
      </x:c>
      <x:c r="C1305" s="34" t="str">
        <x:v>Round2</x:v>
      </x:c>
      <x:c r="D1305" s="34" t="str">
        <x:v>JacksonDatabind_58</x:v>
      </x:c>
      <x:c r="E1305" s="34" t="str">
        <x:v>Coverage</x:v>
      </x:c>
      <x:c r="F1305" s="34" t="n">
        <x:v>517</x:v>
      </x:c>
      <x:c r="G1305" s="34" t="str">
        <x:v>RECORDED</x:v>
      </x:c>
      <x:c r="H1305" s="38" t="n">
        <x:f>IF(ISNUMBER('Data'!G1305),'Data'!G1305*100,"")</x:f>
        <x:v>6.77</x:v>
      </x:c>
      <x:c r="I1305" s="34" t="str">
        <x:v>PASS</x:v>
      </x:c>
      <x:c r="J1305" s="34" t="str">
        <x:v>PASS</x:v>
      </x:c>
      <x:c r="K1305" s="34" t="str">
        <x:v>PASS</x:v>
      </x:c>
      <x:c r="L1305" s="34" t="str">
        <x:v>PASS</x:v>
      </x:c>
      <x:c r="M1305" s="34" t="str">
        <x:v>numeric coverage for applicable metric</x:v>
      </x:c>
      <x:c r="N1305" s="34" t="str">
        <x:v>Feedback-Directed Random Test Generation/Result_Round2/JacksonDatabind_58/result.json</x:v>
      </x:c>
      <x:c r="O1305" s="38" t="n">
        <x:f>IF(AND(G1305="RECORDED",ISNUMBER(H1305)),H1305,"")</x:f>
        <x:v>6.77</x:v>
      </x:c>
      <x:c r="P1305" s="34" t="str">
        <x:v>NOT_REVEALING</x:v>
      </x:c>
      <x:c r="Q1305" s="34" t="str">
        <x:v>Feedback-Directed Random Test Generation/Result_Round2/JacksonDatabind_58/result.json</x:v>
      </x:c>
    </x:row>
    <x:row r="1306">
      <x:c r="A1306" s="34" t="str">
        <x:v>randoop</x:v>
      </x:c>
      <x:c r="B1306" s="34" t="str">
        <x:v>JacksonDatabind</x:v>
      </x:c>
      <x:c r="C1306" s="34" t="str">
        <x:v>Round2</x:v>
      </x:c>
      <x:c r="D1306" s="34" t="str">
        <x:v>JacksonDatabind_59</x:v>
      </x:c>
      <x:c r="E1306" s="34" t="str">
        <x:v>Coverage</x:v>
      </x:c>
      <x:c r="F1306" s="34" t="n">
        <x:v>881</x:v>
      </x:c>
      <x:c r="G1306" s="34" t="str">
        <x:v>RECORDED</x:v>
      </x:c>
      <x:c r="H1306" s="38" t="n">
        <x:f>IF(ISNUMBER('Data'!G1306),'Data'!G1306*100,"")</x:f>
        <x:v>53.57999999999999</x:v>
      </x:c>
      <x:c r="I1306" s="34" t="str">
        <x:v>PASS</x:v>
      </x:c>
      <x:c r="J1306" s="34" t="str">
        <x:v>PASS</x:v>
      </x:c>
      <x:c r="K1306" s="34" t="str">
        <x:v>PASS</x:v>
      </x:c>
      <x:c r="L1306" s="34" t="str">
        <x:v>FAIL</x:v>
      </x:c>
      <x:c r="M1306" s="34" t="str">
        <x:v>numeric coverage for applicable metric</x:v>
      </x:c>
      <x:c r="N1306" s="34" t="str">
        <x:v>Feedback-Directed Random Test Generation/Result_Round2/JacksonDatabind_59/result.json</x:v>
      </x:c>
      <x:c r="O1306" s="38" t="n">
        <x:f>IF(AND(G1306="RECORDED",ISNUMBER(H1306)),H1306,"")</x:f>
        <x:v>53.57999999999999</x:v>
      </x:c>
      <x:c r="P1306" s="34" t="str">
        <x:v>INCONCLUSIVE</x:v>
      </x:c>
      <x:c r="Q1306" s="34" t="str">
        <x:v>Feedback-Directed Random Test Generation/Result_Round2/JacksonDatabind_59/result.json</x:v>
      </x:c>
    </x:row>
    <x:row r="1307">
      <x:c r="A1307" s="34" t="str">
        <x:v>randoop</x:v>
      </x:c>
      <x:c r="B1307" s="34" t="str">
        <x:v>JacksonDatabind</x:v>
      </x:c>
      <x:c r="C1307" s="34" t="str">
        <x:v>Round2</x:v>
      </x:c>
      <x:c r="D1307" s="34" t="str">
        <x:v>JacksonDatabind_60</x:v>
      </x:c>
      <x:c r="E1307" s="34" t="str">
        <x:v>Coverage</x:v>
      </x:c>
      <x:c r="F1307" s="34" t="n">
        <x:v>184</x:v>
      </x:c>
      <x:c r="G1307" s="34" t="str">
        <x:v>RECORDED</x:v>
      </x:c>
      <x:c r="H1307" s="38" t="n">
        <x:f>IF(ISNUMBER('Data'!G1307),'Data'!G1307*100,"")</x:f>
        <x:v>0</x:v>
      </x:c>
      <x:c r="I1307" s="34" t="str">
        <x:v>PASS</x:v>
      </x:c>
      <x:c r="J1307" s="34" t="str">
        <x:v>PASS</x:v>
      </x:c>
      <x:c r="K1307" s="34" t="str">
        <x:v>PASS</x:v>
      </x:c>
      <x:c r="L1307" s="34" t="str">
        <x:v>PASS</x:v>
      </x:c>
      <x:c r="M1307" s="34" t="str">
        <x:v>numeric coverage for applicable metric</x:v>
      </x:c>
      <x:c r="N1307" s="34" t="str">
        <x:v>Feedback-Directed Random Test Generation/Result_Round2/JacksonDatabind_60/result.json</x:v>
      </x:c>
      <x:c r="O1307" s="38" t="n">
        <x:f>IF(AND(G1307="RECORDED",ISNUMBER(H1307)),H1307,"")</x:f>
        <x:v>0</x:v>
      </x:c>
      <x:c r="P1307" s="34" t="str">
        <x:v>NOT_REVEALING</x:v>
      </x:c>
      <x:c r="Q1307" s="34" t="str">
        <x:v>Feedback-Directed Random Test Generation/Result_Round2/JacksonDatabind_60/result.json</x:v>
      </x:c>
    </x:row>
    <x:row r="1308">
      <x:c r="A1308" s="34" t="str">
        <x:v>randoop</x:v>
      </x:c>
      <x:c r="B1308" s="34" t="str">
        <x:v>JacksonDatabind</x:v>
      </x:c>
      <x:c r="C1308" s="34" t="str">
        <x:v>Round2</x:v>
      </x:c>
      <x:c r="D1308" s="34" t="str">
        <x:v>JacksonDatabind_61</x:v>
      </x:c>
      <x:c r="E1308" s="34" t="str">
        <x:v>Coverage</x:v>
      </x:c>
      <x:c r="F1308" s="34" t="n">
        <x:v>979</x:v>
      </x:c>
      <x:c r="G1308" s="34" t="str">
        <x:v>RECORDED</x:v>
      </x:c>
      <x:c r="H1308" s="38" t="n">
        <x:f>IF(ISNUMBER('Data'!G1308),'Data'!G1308*100,"")</x:f>
        <x:v>52.71</x:v>
      </x:c>
      <x:c r="I1308" s="34" t="str">
        <x:v>PASS</x:v>
      </x:c>
      <x:c r="J1308" s="34" t="str">
        <x:v>PASS</x:v>
      </x:c>
      <x:c r="K1308" s="34" t="str">
        <x:v>PASS</x:v>
      </x:c>
      <x:c r="L1308" s="34" t="str">
        <x:v>PASS</x:v>
      </x:c>
      <x:c r="M1308" s="34" t="str">
        <x:v>numeric coverage for applicable metric</x:v>
      </x:c>
      <x:c r="N1308" s="34" t="str">
        <x:v>Feedback-Directed Random Test Generation/Result_Round2/JacksonDatabind_61/result.json</x:v>
      </x:c>
      <x:c r="O1308" s="38" t="n">
        <x:f>IF(AND(G1308="RECORDED",ISNUMBER(H1308)),H1308,"")</x:f>
        <x:v>52.71</x:v>
      </x:c>
      <x:c r="P1308" s="34" t="str">
        <x:v>NOT_REVEALING</x:v>
      </x:c>
      <x:c r="Q1308" s="34" t="str">
        <x:v>Feedback-Directed Random Test Generation/Result_Round2/JacksonDatabind_61/result.json</x:v>
      </x:c>
    </x:row>
    <x:row r="1309">
      <x:c r="A1309" s="34" t="str">
        <x:v>randoop</x:v>
      </x:c>
      <x:c r="B1309" s="34" t="str">
        <x:v>JacksonDatabind</x:v>
      </x:c>
      <x:c r="C1309" s="34" t="str">
        <x:v>Round2</x:v>
      </x:c>
      <x:c r="D1309" s="34" t="str">
        <x:v>JacksonDatabind_62</x:v>
      </x:c>
      <x:c r="E1309" s="34" t="str">
        <x:v>Coverage</x:v>
      </x:c>
      <x:c r="F1309" s="34" t="n">
        <x:v>201</x:v>
      </x:c>
      <x:c r="G1309" s="34" t="str">
        <x:v>RECORDED</x:v>
      </x:c>
      <x:c r="H1309" s="38" t="n">
        <x:f>IF(ISNUMBER('Data'!G1309),'Data'!G1309*100,"")</x:f>
        <x:v>27.36</x:v>
      </x:c>
      <x:c r="I1309" s="34" t="str">
        <x:v>PASS</x:v>
      </x:c>
      <x:c r="J1309" s="34" t="str">
        <x:v>PASS</x:v>
      </x:c>
      <x:c r="K1309" s="34" t="str">
        <x:v>PASS</x:v>
      </x:c>
      <x:c r="L1309" s="34" t="str">
        <x:v>PASS</x:v>
      </x:c>
      <x:c r="M1309" s="34" t="str">
        <x:v>numeric coverage for applicable metric</x:v>
      </x:c>
      <x:c r="N1309" s="34" t="str">
        <x:v>Feedback-Directed Random Test Generation/Result_Round2/JacksonDatabind_62/result.json</x:v>
      </x:c>
      <x:c r="O1309" s="38" t="n">
        <x:f>IF(AND(G1309="RECORDED",ISNUMBER(H1309)),H1309,"")</x:f>
        <x:v>27.36</x:v>
      </x:c>
      <x:c r="P1309" s="34" t="str">
        <x:v>NOT_REVEALING</x:v>
      </x:c>
      <x:c r="Q1309" s="34" t="str">
        <x:v>Feedback-Directed Random Test Generation/Result_Round2/JacksonDatabind_62/result.json</x:v>
      </x:c>
    </x:row>
    <x:row r="1310">
      <x:c r="A1310" s="34" t="str">
        <x:v>randoop</x:v>
      </x:c>
      <x:c r="B1310" s="34" t="str">
        <x:v>JacksonDatabind</x:v>
      </x:c>
      <x:c r="C1310" s="34" t="str">
        <x:v>Round2</x:v>
      </x:c>
      <x:c r="D1310" s="34" t="str">
        <x:v>JacksonDatabind_63</x:v>
      </x:c>
      <x:c r="E1310" s="34" t="str">
        <x:v>Coverage</x:v>
      </x:c>
      <x:c r="F1310" s="34" t="n">
        <x:v>167</x:v>
      </x:c>
      <x:c r="G1310" s="34" t="str">
        <x:v>RECORDED</x:v>
      </x:c>
      <x:c r="H1310" s="38" t="n">
        <x:f>IF(ISNUMBER('Data'!G1310),'Data'!G1310*100,"")</x:f>
        <x:v>85.03</x:v>
      </x:c>
      <x:c r="I1310" s="34" t="str">
        <x:v>PASS</x:v>
      </x:c>
      <x:c r="J1310" s="34" t="str">
        <x:v>PASS</x:v>
      </x:c>
      <x:c r="K1310" s="34" t="str">
        <x:v>PASS</x:v>
      </x:c>
      <x:c r="L1310" s="34" t="str">
        <x:v>PASS</x:v>
      </x:c>
      <x:c r="M1310" s="34" t="str">
        <x:v>numeric coverage for applicable metric</x:v>
      </x:c>
      <x:c r="N1310" s="34" t="str">
        <x:v>Feedback-Directed Random Test Generation/Result_Round2/JacksonDatabind_63/result.json</x:v>
      </x:c>
      <x:c r="O1310" s="38" t="n">
        <x:f>IF(AND(G1310="RECORDED",ISNUMBER(H1310)),H1310,"")</x:f>
        <x:v>85.03</x:v>
      </x:c>
      <x:c r="P1310" s="34" t="str">
        <x:v>INCONCLUSIVE</x:v>
      </x:c>
      <x:c r="Q1310" s="34" t="str">
        <x:v>Feedback-Directed Random Test Generation/Result_Round2/JacksonDatabind_63/result.json</x:v>
      </x:c>
    </x:row>
    <x:row r="1311">
      <x:c r="A1311" s="34" t="str">
        <x:v>randoop</x:v>
      </x:c>
      <x:c r="B1311" s="34" t="str">
        <x:v>JacksonDatabind</x:v>
      </x:c>
      <x:c r="C1311" s="34" t="str">
        <x:v>Round2</x:v>
      </x:c>
      <x:c r="D1311" s="34" t="str">
        <x:v>JacksonDatabind_64</x:v>
      </x:c>
      <x:c r="E1311" s="34" t="str">
        <x:v>Coverage</x:v>
      </x:c>
      <x:c r="F1311" s="34" t="n">
        <x:v>178</x:v>
      </x:c>
      <x:c r="G1311" s="34" t="str">
        <x:v>RECORDED</x:v>
      </x:c>
      <x:c r="H1311" s="38" t="n">
        <x:f>IF(ISNUMBER('Data'!G1311),'Data'!G1311*100,"")</x:f>
        <x:v>3.37</x:v>
      </x:c>
      <x:c r="I1311" s="34" t="str">
        <x:v>PASS</x:v>
      </x:c>
      <x:c r="J1311" s="34" t="str">
        <x:v>PASS</x:v>
      </x:c>
      <x:c r="K1311" s="34" t="str">
        <x:v>PASS</x:v>
      </x:c>
      <x:c r="L1311" s="34" t="str">
        <x:v>PASS</x:v>
      </x:c>
      <x:c r="M1311" s="34" t="str">
        <x:v>numeric coverage for applicable metric</x:v>
      </x:c>
      <x:c r="N1311" s="34" t="str">
        <x:v>Feedback-Directed Random Test Generation/Result_Round2/JacksonDatabind_64/result.json</x:v>
      </x:c>
      <x:c r="O1311" s="38" t="n">
        <x:f>IF(AND(G1311="RECORDED",ISNUMBER(H1311)),H1311,"")</x:f>
        <x:v>3.37</x:v>
      </x:c>
      <x:c r="P1311" s="34" t="str">
        <x:v>NOT_REVEALING</x:v>
      </x:c>
      <x:c r="Q1311" s="34" t="str">
        <x:v>Feedback-Directed Random Test Generation/Result_Round2/JacksonDatabind_64/result.json</x:v>
      </x:c>
    </x:row>
    <x:row r="1312">
      <x:c r="A1312" s="34" t="str">
        <x:v>randoop</x:v>
      </x:c>
      <x:c r="B1312" s="34" t="str">
        <x:v>JacksonDatabind</x:v>
      </x:c>
      <x:c r="C1312" s="34" t="str">
        <x:v>Round2</x:v>
      </x:c>
      <x:c r="D1312" s="34" t="str">
        <x:v>JacksonDatabind_66</x:v>
      </x:c>
      <x:c r="E1312" s="34" t="str">
        <x:v>Coverage</x:v>
      </x:c>
      <x:c r="F1312" s="34" t="n">
        <x:v>251</x:v>
      </x:c>
      <x:c r="G1312" s="34" t="str">
        <x:v>RECORDED</x:v>
      </x:c>
      <x:c r="H1312" s="38" t="n">
        <x:f>IF(ISNUMBER('Data'!G1312),'Data'!G1312*100,"")</x:f>
        <x:v>0.8</x:v>
      </x:c>
      <x:c r="I1312" s="34" t="str">
        <x:v>PASS</x:v>
      </x:c>
      <x:c r="J1312" s="34" t="str">
        <x:v>PASS</x:v>
      </x:c>
      <x:c r="K1312" s="34" t="str">
        <x:v>PASS</x:v>
      </x:c>
      <x:c r="L1312" s="34" t="str">
        <x:v>PASS</x:v>
      </x:c>
      <x:c r="M1312" s="34" t="str">
        <x:v>numeric coverage for applicable metric</x:v>
      </x:c>
      <x:c r="N1312" s="34" t="str">
        <x:v>Feedback-Directed Random Test Generation/Result_Round2/JacksonDatabind_66/result.json</x:v>
      </x:c>
      <x:c r="O1312" s="38" t="n">
        <x:f>IF(AND(G1312="RECORDED",ISNUMBER(H1312)),H1312,"")</x:f>
        <x:v>0.8</x:v>
      </x:c>
      <x:c r="P1312" s="34" t="str">
        <x:v>NOT_REVEALING</x:v>
      </x:c>
      <x:c r="Q1312" s="34" t="str">
        <x:v>Feedback-Directed Random Test Generation/Result_Round2/JacksonDatabind_66/result.json</x:v>
      </x:c>
    </x:row>
    <x:row r="1313">
      <x:c r="A1313" s="34" t="str">
        <x:v>randoop</x:v>
      </x:c>
      <x:c r="B1313" s="34" t="str">
        <x:v>JacksonDatabind</x:v>
      </x:c>
      <x:c r="C1313" s="34" t="str">
        <x:v>Round2</x:v>
      </x:c>
      <x:c r="D1313" s="34" t="str">
        <x:v>JacksonDatabind_67</x:v>
      </x:c>
      <x:c r="E1313" s="34" t="str">
        <x:v>Coverage</x:v>
      </x:c>
      <x:c r="F1313" s="34" t="n">
        <x:v>1405</x:v>
      </x:c>
      <x:c r="G1313" s="34" t="str">
        <x:v>RECORDED</x:v>
      </x:c>
      <x:c r="H1313" s="38" t="n">
        <x:f>IF(ISNUMBER('Data'!G1313),'Data'!G1313*100,"")</x:f>
        <x:v>1.49</x:v>
      </x:c>
      <x:c r="I1313" s="34" t="str">
        <x:v>PASS</x:v>
      </x:c>
      <x:c r="J1313" s="34" t="str">
        <x:v>PASS</x:v>
      </x:c>
      <x:c r="K1313" s="34" t="str">
        <x:v>PASS</x:v>
      </x:c>
      <x:c r="L1313" s="34" t="str">
        <x:v>PASS</x:v>
      </x:c>
      <x:c r="M1313" s="34" t="str">
        <x:v>numeric coverage for applicable metric</x:v>
      </x:c>
      <x:c r="N1313" s="34" t="str">
        <x:v>Feedback-Directed Random Test Generation/Result_Round2/JacksonDatabind_67/result.json</x:v>
      </x:c>
      <x:c r="O1313" s="38" t="n">
        <x:f>IF(AND(G1313="RECORDED",ISNUMBER(H1313)),H1313,"")</x:f>
        <x:v>1.49</x:v>
      </x:c>
      <x:c r="P1313" s="34" t="str">
        <x:v>NOT_REVEALING</x:v>
      </x:c>
      <x:c r="Q1313" s="34" t="str">
        <x:v>Feedback-Directed Random Test Generation/Result_Round2/JacksonDatabind_67/result.json</x:v>
      </x:c>
    </x:row>
    <x:row r="1314">
      <x:c r="A1314" s="34" t="str">
        <x:v>randoop</x:v>
      </x:c>
      <x:c r="B1314" s="34" t="str">
        <x:v>JacksonDatabind</x:v>
      </x:c>
      <x:c r="C1314" s="34" t="str">
        <x:v>Round2</x:v>
      </x:c>
      <x:c r="D1314" s="34" t="str">
        <x:v>JacksonDatabind_68</x:v>
      </x:c>
      <x:c r="E1314" s="34" t="str">
        <x:v>Coverage</x:v>
      </x:c>
      <x:c r="F1314" s="34" t="n">
        <x:v>961</x:v>
      </x:c>
      <x:c r="G1314" s="34" t="str">
        <x:v>RECORDED</x:v>
      </x:c>
      <x:c r="H1314" s="38" t="n">
        <x:f>IF(ISNUMBER('Data'!G1314),'Data'!G1314*100,"")</x:f>
        <x:v>0.1</x:v>
      </x:c>
      <x:c r="I1314" s="34" t="str">
        <x:v>PASS</x:v>
      </x:c>
      <x:c r="J1314" s="34" t="str">
        <x:v>PASS</x:v>
      </x:c>
      <x:c r="K1314" s="34" t="str">
        <x:v>PASS</x:v>
      </x:c>
      <x:c r="L1314" s="34" t="str">
        <x:v>PASS</x:v>
      </x:c>
      <x:c r="M1314" s="34" t="str">
        <x:v>numeric coverage for applicable metric</x:v>
      </x:c>
      <x:c r="N1314" s="34" t="str">
        <x:v>Feedback-Directed Random Test Generation/Result_Round2/JacksonDatabind_68/result.json</x:v>
      </x:c>
      <x:c r="O1314" s="38" t="n">
        <x:f>IF(AND(G1314="RECORDED",ISNUMBER(H1314)),H1314,"")</x:f>
        <x:v>0.1</x:v>
      </x:c>
      <x:c r="P1314" s="34" t="str">
        <x:v>NOT_REVEALING</x:v>
      </x:c>
      <x:c r="Q1314" s="34" t="str">
        <x:v>Feedback-Directed Random Test Generation/Result_Round2/JacksonDatabind_68/result.json</x:v>
      </x:c>
    </x:row>
    <x:row r="1315">
      <x:c r="A1315" s="34" t="str">
        <x:v>randoop</x:v>
      </x:c>
      <x:c r="B1315" s="34" t="str">
        <x:v>JacksonDatabind</x:v>
      </x:c>
      <x:c r="C1315" s="34" t="str">
        <x:v>Round2</x:v>
      </x:c>
      <x:c r="D1315" s="34" t="str">
        <x:v>JacksonDatabind_69</x:v>
      </x:c>
      <x:c r="E1315" s="34" t="str">
        <x:v>Coverage</x:v>
      </x:c>
      <x:c r="F1315" s="34" t="n">
        <x:v>201</x:v>
      </x:c>
      <x:c r="G1315" s="34" t="str">
        <x:v>RECORDED</x:v>
      </x:c>
      <x:c r="H1315" s="38" t="n">
        <x:f>IF(ISNUMBER('Data'!G1315),'Data'!G1315*100,"")</x:f>
        <x:v>9.95</x:v>
      </x:c>
      <x:c r="I1315" s="34" t="str">
        <x:v>PASS</x:v>
      </x:c>
      <x:c r="J1315" s="34" t="str">
        <x:v>PASS</x:v>
      </x:c>
      <x:c r="K1315" s="34" t="str">
        <x:v>PASS</x:v>
      </x:c>
      <x:c r="L1315" s="34" t="str">
        <x:v>PASS</x:v>
      </x:c>
      <x:c r="M1315" s="34" t="str">
        <x:v>numeric coverage for applicable metric</x:v>
      </x:c>
      <x:c r="N1315" s="34" t="str">
        <x:v>Feedback-Directed Random Test Generation/Result_Round2/JacksonDatabind_69/result.json</x:v>
      </x:c>
      <x:c r="O1315" s="38" t="n">
        <x:f>IF(AND(G1315="RECORDED",ISNUMBER(H1315)),H1315,"")</x:f>
        <x:v>9.95</x:v>
      </x:c>
      <x:c r="P1315" s="34" t="str">
        <x:v>NOT_REVEALING</x:v>
      </x:c>
      <x:c r="Q1315" s="34" t="str">
        <x:v>Feedback-Directed Random Test Generation/Result_Round2/JacksonDatabind_69/result.json</x:v>
      </x:c>
    </x:row>
    <x:row r="1316">
      <x:c r="A1316" s="34" t="str">
        <x:v>randoop</x:v>
      </x:c>
      <x:c r="B1316" s="34" t="str">
        <x:v>JacksonDatabind</x:v>
      </x:c>
      <x:c r="C1316" s="34" t="str">
        <x:v>Round2</x:v>
      </x:c>
      <x:c r="D1316" s="34" t="str">
        <x:v>JacksonDatabind_70</x:v>
      </x:c>
      <x:c r="E1316" s="34" t="str">
        <x:v>Coverage</x:v>
      </x:c>
      <x:c r="F1316" s="34" t="n">
        <x:v>364</x:v>
      </x:c>
      <x:c r="G1316" s="34" t="str">
        <x:v>RECORDED</x:v>
      </x:c>
      <x:c r="H1316" s="38" t="n">
        <x:f>IF(ISNUMBER('Data'!G1316),'Data'!G1316*100,"")</x:f>
        <x:v>31.59</x:v>
      </x:c>
      <x:c r="I1316" s="34" t="str">
        <x:v>PASS</x:v>
      </x:c>
      <x:c r="J1316" s="34" t="str">
        <x:v>PASS</x:v>
      </x:c>
      <x:c r="K1316" s="34" t="str">
        <x:v>PASS</x:v>
      </x:c>
      <x:c r="L1316" s="34" t="str">
        <x:v>PASS</x:v>
      </x:c>
      <x:c r="M1316" s="34" t="str">
        <x:v>numeric coverage for applicable metric</x:v>
      </x:c>
      <x:c r="N1316" s="34" t="str">
        <x:v>Feedback-Directed Random Test Generation/Result_Round2/JacksonDatabind_70/result.json</x:v>
      </x:c>
      <x:c r="O1316" s="38" t="n">
        <x:f>IF(AND(G1316="RECORDED",ISNUMBER(H1316)),H1316,"")</x:f>
        <x:v>31.59</x:v>
      </x:c>
      <x:c r="P1316" s="34" t="str">
        <x:v>NOT_REVEALING</x:v>
      </x:c>
      <x:c r="Q1316" s="34" t="str">
        <x:v>Feedback-Directed Random Test Generation/Result_Round2/JacksonDatabind_70/result.json</x:v>
      </x:c>
    </x:row>
    <x:row r="1317">
      <x:c r="A1317" s="34" t="str">
        <x:v>randoop</x:v>
      </x:c>
      <x:c r="B1317" s="34" t="str">
        <x:v>JacksonDatabind</x:v>
      </x:c>
      <x:c r="C1317" s="34" t="str">
        <x:v>Round2</x:v>
      </x:c>
      <x:c r="D1317" s="34" t="str">
        <x:v>JacksonDatabind_71</x:v>
      </x:c>
      <x:c r="E1317" s="34" t="str">
        <x:v>Coverage</x:v>
      </x:c>
      <x:c r="F1317" s="34" t="n">
        <x:v>244</x:v>
      </x:c>
      <x:c r="G1317" s="34" t="str">
        <x:v>RECORDED</x:v>
      </x:c>
      <x:c r="H1317" s="38" t="n">
        <x:f>IF(ISNUMBER('Data'!G1317),'Data'!G1317*100,"")</x:f>
        <x:v>0.8199999999999998</x:v>
      </x:c>
      <x:c r="I1317" s="34" t="str">
        <x:v>PASS</x:v>
      </x:c>
      <x:c r="J1317" s="34" t="str">
        <x:v>PASS</x:v>
      </x:c>
      <x:c r="K1317" s="34" t="str">
        <x:v>PASS</x:v>
      </x:c>
      <x:c r="L1317" s="34" t="str">
        <x:v>PASS</x:v>
      </x:c>
      <x:c r="M1317" s="34" t="str">
        <x:v>numeric coverage for applicable metric</x:v>
      </x:c>
      <x:c r="N1317" s="34" t="str">
        <x:v>Feedback-Directed Random Test Generation/Result_Round2/JacksonDatabind_71/result.json</x:v>
      </x:c>
      <x:c r="O1317" s="38" t="n">
        <x:f>IF(AND(G1317="RECORDED",ISNUMBER(H1317)),H1317,"")</x:f>
        <x:v>0.8199999999999998</x:v>
      </x:c>
      <x:c r="P1317" s="34" t="str">
        <x:v>NOT_REVEALING</x:v>
      </x:c>
      <x:c r="Q1317" s="34" t="str">
        <x:v>Feedback-Directed Random Test Generation/Result_Round2/JacksonDatabind_71/result.json</x:v>
      </x:c>
    </x:row>
    <x:row r="1318">
      <x:c r="A1318" s="34" t="str">
        <x:v>randoop</x:v>
      </x:c>
      <x:c r="B1318" s="34" t="str">
        <x:v>JacksonDatabind</x:v>
      </x:c>
      <x:c r="C1318" s="34" t="str">
        <x:v>Round2</x:v>
      </x:c>
      <x:c r="D1318" s="34" t="str">
        <x:v>JacksonDatabind_72</x:v>
      </x:c>
      <x:c r="E1318" s="34" t="str">
        <x:v>Coverage</x:v>
      </x:c>
      <x:c r="F1318" s="34" t="n">
        <x:v>57</x:v>
      </x:c>
      <x:c r="G1318" s="34" t="str">
        <x:v>RECORDED</x:v>
      </x:c>
      <x:c r="H1318" s="38" t="n">
        <x:f>IF(ISNUMBER('Data'!G1318),'Data'!G1318*100,"")</x:f>
        <x:v>3.51</x:v>
      </x:c>
      <x:c r="I1318" s="34" t="str">
        <x:v>PASS</x:v>
      </x:c>
      <x:c r="J1318" s="34" t="str">
        <x:v>PASS</x:v>
      </x:c>
      <x:c r="K1318" s="34" t="str">
        <x:v>PASS</x:v>
      </x:c>
      <x:c r="L1318" s="34" t="str">
        <x:v>PASS</x:v>
      </x:c>
      <x:c r="M1318" s="34" t="str">
        <x:v>numeric coverage for applicable metric</x:v>
      </x:c>
      <x:c r="N1318" s="34" t="str">
        <x:v>Feedback-Directed Random Test Generation/Result_Round2/JacksonDatabind_72/result.json</x:v>
      </x:c>
      <x:c r="O1318" s="38" t="n">
        <x:f>IF(AND(G1318="RECORDED",ISNUMBER(H1318)),H1318,"")</x:f>
        <x:v>3.51</x:v>
      </x:c>
      <x:c r="P1318" s="34" t="str">
        <x:v>NOT_REVEALING</x:v>
      </x:c>
      <x:c r="Q1318" s="34" t="str">
        <x:v>Feedback-Directed Random Test Generation/Result_Round2/JacksonDatabind_72/result.json</x:v>
      </x:c>
    </x:row>
    <x:row r="1319">
      <x:c r="A1319" s="34" t="str">
        <x:v>randoop</x:v>
      </x:c>
      <x:c r="B1319" s="34" t="str">
        <x:v>JacksonDatabind</x:v>
      </x:c>
      <x:c r="C1319" s="34" t="str">
        <x:v>Round2</x:v>
      </x:c>
      <x:c r="D1319" s="34" t="str">
        <x:v>JacksonDatabind_73</x:v>
      </x:c>
      <x:c r="E1319" s="34" t="str">
        <x:v>Coverage</x:v>
      </x:c>
      <x:c r="F1319" s="34" t="n">
        <x:v>1644</x:v>
      </x:c>
      <x:c r="G1319" s="34" t="str">
        <x:v>RECORDED</x:v>
      </x:c>
      <x:c r="H1319" s="38" t="n">
        <x:f>IF(ISNUMBER('Data'!G1319),'Data'!G1319*100,"")</x:f>
        <x:v>4.68</x:v>
      </x:c>
      <x:c r="I1319" s="34" t="str">
        <x:v>PASS</x:v>
      </x:c>
      <x:c r="J1319" s="34" t="str">
        <x:v>PASS</x:v>
      </x:c>
      <x:c r="K1319" s="34" t="str">
        <x:v>PASS</x:v>
      </x:c>
      <x:c r="L1319" s="34" t="str">
        <x:v>PASS</x:v>
      </x:c>
      <x:c r="M1319" s="34" t="str">
        <x:v>numeric coverage for applicable metric</x:v>
      </x:c>
      <x:c r="N1319" s="34" t="str">
        <x:v>Feedback-Directed Random Test Generation/Result_Round2/JacksonDatabind_73/result.json</x:v>
      </x:c>
      <x:c r="O1319" s="38" t="n">
        <x:f>IF(AND(G1319="RECORDED",ISNUMBER(H1319)),H1319,"")</x:f>
        <x:v>4.68</x:v>
      </x:c>
      <x:c r="P1319" s="34" t="str">
        <x:v>NOT_REVEALING</x:v>
      </x:c>
      <x:c r="Q1319" s="34" t="str">
        <x:v>Feedback-Directed Random Test Generation/Result_Round2/JacksonDatabind_73/result.json</x:v>
      </x:c>
    </x:row>
    <x:row r="1320">
      <x:c r="A1320" s="34" t="str">
        <x:v>randoop</x:v>
      </x:c>
      <x:c r="B1320" s="34" t="str">
        <x:v>JacksonDatabind</x:v>
      </x:c>
      <x:c r="C1320" s="34" t="str">
        <x:v>Round2</x:v>
      </x:c>
      <x:c r="D1320" s="34" t="str">
        <x:v>JacksonDatabind_74</x:v>
      </x:c>
      <x:c r="E1320" s="34" t="str">
        <x:v>Coverage</x:v>
      </x:c>
      <x:c r="F1320" s="34" t="n">
        <x:v>92</x:v>
      </x:c>
      <x:c r="G1320" s="34" t="str">
        <x:v>RECORDED</x:v>
      </x:c>
      <x:c r="H1320" s="38" t="n">
        <x:f>IF(ISNUMBER('Data'!G1320),'Data'!G1320*100,"")</x:f>
        <x:v>16.3</x:v>
      </x:c>
      <x:c r="I1320" s="34" t="str">
        <x:v>PASS</x:v>
      </x:c>
      <x:c r="J1320" s="34" t="str">
        <x:v>PASS</x:v>
      </x:c>
      <x:c r="K1320" s="34" t="str">
        <x:v>PASS</x:v>
      </x:c>
      <x:c r="L1320" s="34" t="str">
        <x:v>PASS</x:v>
      </x:c>
      <x:c r="M1320" s="34" t="str">
        <x:v>numeric coverage for applicable metric</x:v>
      </x:c>
      <x:c r="N1320" s="34" t="str">
        <x:v>Feedback-Directed Random Test Generation/Result_Round2/JacksonDatabind_74/result.json</x:v>
      </x:c>
      <x:c r="O1320" s="38" t="n">
        <x:f>IF(AND(G1320="RECORDED",ISNUMBER(H1320)),H1320,"")</x:f>
        <x:v>16.3</x:v>
      </x:c>
      <x:c r="P1320" s="34" t="str">
        <x:v>NOT_REVEALING</x:v>
      </x:c>
      <x:c r="Q1320" s="34" t="str">
        <x:v>Feedback-Directed Random Test Generation/Result_Round2/JacksonDatabind_74/result.json</x:v>
      </x:c>
    </x:row>
    <x:row r="1321">
      <x:c r="A1321" s="34" t="str">
        <x:v>randoop</x:v>
      </x:c>
      <x:c r="B1321" s="34" t="str">
        <x:v>JacksonDatabind</x:v>
      </x:c>
      <x:c r="C1321" s="34" t="str">
        <x:v>Round2</x:v>
      </x:c>
      <x:c r="D1321" s="34" t="str">
        <x:v>JacksonDatabind_75</x:v>
      </x:c>
      <x:c r="E1321" s="34" t="str">
        <x:v>Coverage</x:v>
      </x:c>
      <x:c r="F1321" s="34" t="n">
        <x:v>119</x:v>
      </x:c>
      <x:c r="G1321" s="34" t="str">
        <x:v>RECORDED</x:v>
      </x:c>
      <x:c r="H1321" s="38" t="n">
        <x:f>IF(ISNUMBER('Data'!G1321),'Data'!G1321*100,"")</x:f>
        <x:v>1.68</x:v>
      </x:c>
      <x:c r="I1321" s="34" t="str">
        <x:v>PASS</x:v>
      </x:c>
      <x:c r="J1321" s="34" t="str">
        <x:v>PASS</x:v>
      </x:c>
      <x:c r="K1321" s="34" t="str">
        <x:v>PASS</x:v>
      </x:c>
      <x:c r="L1321" s="34" t="str">
        <x:v>PASS</x:v>
      </x:c>
      <x:c r="M1321" s="34" t="str">
        <x:v>numeric coverage for applicable metric</x:v>
      </x:c>
      <x:c r="N1321" s="34" t="str">
        <x:v>Feedback-Directed Random Test Generation/Result_Round2/JacksonDatabind_75/result.json</x:v>
      </x:c>
      <x:c r="O1321" s="38" t="n">
        <x:f>IF(AND(G1321="RECORDED",ISNUMBER(H1321)),H1321,"")</x:f>
        <x:v>1.68</x:v>
      </x:c>
      <x:c r="P1321" s="34" t="str">
        <x:v>NOT_REVEALING</x:v>
      </x:c>
      <x:c r="Q1321" s="34" t="str">
        <x:v>Feedback-Directed Random Test Generation/Result_Round2/JacksonDatabind_75/result.json</x:v>
      </x:c>
    </x:row>
    <x:row r="1322">
      <x:c r="A1322" s="34" t="str">
        <x:v>randoop</x:v>
      </x:c>
      <x:c r="B1322" s="34" t="str">
        <x:v>JacksonDatabind</x:v>
      </x:c>
      <x:c r="C1322" s="34" t="str">
        <x:v>Round2</x:v>
      </x:c>
      <x:c r="D1322" s="34" t="str">
        <x:v>JacksonDatabind_76</x:v>
      </x:c>
      <x:c r="E1322" s="34" t="str">
        <x:v>Coverage</x:v>
      </x:c>
      <x:c r="F1322" s="34" t="n">
        <x:v>488</x:v>
      </x:c>
      <x:c r="G1322" s="34" t="str">
        <x:v>RECORDED</x:v>
      </x:c>
      <x:c r="H1322" s="38" t="n">
        <x:f>IF(ISNUMBER('Data'!G1322),'Data'!G1322*100,"")</x:f>
        <x:v>1.43</x:v>
      </x:c>
      <x:c r="I1322" s="34" t="str">
        <x:v>PASS</x:v>
      </x:c>
      <x:c r="J1322" s="34" t="str">
        <x:v>PASS</x:v>
      </x:c>
      <x:c r="K1322" s="34" t="str">
        <x:v>PASS</x:v>
      </x:c>
      <x:c r="L1322" s="34" t="str">
        <x:v>PASS</x:v>
      </x:c>
      <x:c r="M1322" s="34" t="str">
        <x:v>numeric coverage for applicable metric</x:v>
      </x:c>
      <x:c r="N1322" s="34" t="str">
        <x:v>Feedback-Directed Random Test Generation/Result_Round2/JacksonDatabind_76/result.json</x:v>
      </x:c>
      <x:c r="O1322" s="38" t="n">
        <x:f>IF(AND(G1322="RECORDED",ISNUMBER(H1322)),H1322,"")</x:f>
        <x:v>1.43</x:v>
      </x:c>
      <x:c r="P1322" s="34" t="str">
        <x:v>NOT_REVEALING</x:v>
      </x:c>
      <x:c r="Q1322" s="34" t="str">
        <x:v>Feedback-Directed Random Test Generation/Result_Round2/JacksonDatabind_76/result.json</x:v>
      </x:c>
    </x:row>
    <x:row r="1323">
      <x:c r="A1323" s="34" t="str">
        <x:v>randoop</x:v>
      </x:c>
      <x:c r="B1323" s="34" t="str">
        <x:v>JacksonDatabind</x:v>
      </x:c>
      <x:c r="C1323" s="34" t="str">
        <x:v>Round2</x:v>
      </x:c>
      <x:c r="D1323" s="34" t="str">
        <x:v>JacksonDatabind_77</x:v>
      </x:c>
      <x:c r="E1323" s="34" t="str">
        <x:v>Coverage</x:v>
      </x:c>
      <x:c r="F1323" s="34" t="n">
        <x:v>526</x:v>
      </x:c>
      <x:c r="G1323" s="34" t="str">
        <x:v>RECORDED</x:v>
      </x:c>
      <x:c r="H1323" s="38" t="n">
        <x:f>IF(ISNUMBER('Data'!G1323),'Data'!G1323*100,"")</x:f>
        <x:v>6.65</x:v>
      </x:c>
      <x:c r="I1323" s="34" t="str">
        <x:v>PASS</x:v>
      </x:c>
      <x:c r="J1323" s="34" t="str">
        <x:v>PASS</x:v>
      </x:c>
      <x:c r="K1323" s="34" t="str">
        <x:v>PASS</x:v>
      </x:c>
      <x:c r="L1323" s="34" t="str">
        <x:v>PASS</x:v>
      </x:c>
      <x:c r="M1323" s="34" t="str">
        <x:v>numeric coverage for applicable metric</x:v>
      </x:c>
      <x:c r="N1323" s="34" t="str">
        <x:v>Feedback-Directed Random Test Generation/Result_Round2/JacksonDatabind_77/result.json</x:v>
      </x:c>
      <x:c r="O1323" s="38" t="n">
        <x:f>IF(AND(G1323="RECORDED",ISNUMBER(H1323)),H1323,"")</x:f>
        <x:v>6.65</x:v>
      </x:c>
      <x:c r="P1323" s="34" t="str">
        <x:v>NOT_REVEALING</x:v>
      </x:c>
      <x:c r="Q1323" s="34" t="str">
        <x:v>Feedback-Directed Random Test Generation/Result_Round2/JacksonDatabind_77/result.json</x:v>
      </x:c>
    </x:row>
    <x:row r="1324">
      <x:c r="A1324" s="34" t="str">
        <x:v>randoop</x:v>
      </x:c>
      <x:c r="B1324" s="34" t="str">
        <x:v>JacksonDatabind</x:v>
      </x:c>
      <x:c r="C1324" s="34" t="str">
        <x:v>Round2</x:v>
      </x:c>
      <x:c r="D1324" s="34" t="str">
        <x:v>JacksonDatabind_78</x:v>
      </x:c>
      <x:c r="E1324" s="34" t="str">
        <x:v>Coverage</x:v>
      </x:c>
      <x:c r="F1324" s="34" t="n">
        <x:v>548</x:v>
      </x:c>
      <x:c r="G1324" s="34" t="str">
        <x:v>RECORDED</x:v>
      </x:c>
      <x:c r="H1324" s="38" t="n">
        <x:f>IF(ISNUMBER('Data'!G1324),'Data'!G1324*100,"")</x:f>
        <x:v>7.12</x:v>
      </x:c>
      <x:c r="I1324" s="34" t="str">
        <x:v>PASS</x:v>
      </x:c>
      <x:c r="J1324" s="34" t="str">
        <x:v>PASS</x:v>
      </x:c>
      <x:c r="K1324" s="34" t="str">
        <x:v>PASS</x:v>
      </x:c>
      <x:c r="L1324" s="34" t="str">
        <x:v>PASS</x:v>
      </x:c>
      <x:c r="M1324" s="34" t="str">
        <x:v>numeric coverage for applicable metric</x:v>
      </x:c>
      <x:c r="N1324" s="34" t="str">
        <x:v>Feedback-Directed Random Test Generation/Result_Round2/JacksonDatabind_78/result.json</x:v>
      </x:c>
      <x:c r="O1324" s="38" t="n">
        <x:f>IF(AND(G1324="RECORDED",ISNUMBER(H1324)),H1324,"")</x:f>
        <x:v>7.12</x:v>
      </x:c>
      <x:c r="P1324" s="34" t="str">
        <x:v>NOT_REVEALING</x:v>
      </x:c>
      <x:c r="Q1324" s="34" t="str">
        <x:v>Feedback-Directed Random Test Generation/Result_Round2/JacksonDatabind_78/result.json</x:v>
      </x:c>
    </x:row>
    <x:row r="1325">
      <x:c r="A1325" s="34" t="str">
        <x:v>randoop</x:v>
      </x:c>
      <x:c r="B1325" s="34" t="str">
        <x:v>JacksonDatabind</x:v>
      </x:c>
      <x:c r="C1325" s="34" t="str">
        <x:v>Round2</x:v>
      </x:c>
      <x:c r="D1325" s="34" t="str">
        <x:v>JacksonDatabind_79</x:v>
      </x:c>
      <x:c r="E1325" s="34" t="str">
        <x:v>Coverage</x:v>
      </x:c>
      <x:c r="F1325" s="34" t="n">
        <x:v>1387</x:v>
      </x:c>
      <x:c r="G1325" s="34" t="str">
        <x:v>RECORDED</x:v>
      </x:c>
      <x:c r="H1325" s="38" t="n">
        <x:f>IF(ISNUMBER('Data'!G1325),'Data'!G1325*100,"")</x:f>
        <x:v>7.139999999999999</x:v>
      </x:c>
      <x:c r="I1325" s="34" t="str">
        <x:v>PASS</x:v>
      </x:c>
      <x:c r="J1325" s="34" t="str">
        <x:v>PASS</x:v>
      </x:c>
      <x:c r="K1325" s="34" t="str">
        <x:v>PASS</x:v>
      </x:c>
      <x:c r="L1325" s="34" t="str">
        <x:v>PASS</x:v>
      </x:c>
      <x:c r="M1325" s="34" t="str">
        <x:v>numeric coverage for applicable metric</x:v>
      </x:c>
      <x:c r="N1325" s="34" t="str">
        <x:v>Feedback-Directed Random Test Generation/Result_Round2/JacksonDatabind_79/result.json</x:v>
      </x:c>
      <x:c r="O1325" s="38" t="n">
        <x:f>IF(AND(G1325="RECORDED",ISNUMBER(H1325)),H1325,"")</x:f>
        <x:v>7.139999999999999</x:v>
      </x:c>
      <x:c r="P1325" s="34" t="str">
        <x:v>NOT_REVEALING</x:v>
      </x:c>
      <x:c r="Q1325" s="34" t="str">
        <x:v>Feedback-Directed Random Test Generation/Result_Round2/JacksonDatabind_79/result.json</x:v>
      </x:c>
    </x:row>
    <x:row r="1326">
      <x:c r="A1326" s="34" t="str">
        <x:v>randoop</x:v>
      </x:c>
      <x:c r="B1326" s="34" t="str">
        <x:v>JacksonDatabind</x:v>
      </x:c>
      <x:c r="C1326" s="34" t="str">
        <x:v>Round2</x:v>
      </x:c>
      <x:c r="D1326" s="34" t="str">
        <x:v>JacksonDatabind_80</x:v>
      </x:c>
      <x:c r="E1326" s="34" t="str">
        <x:v>Coverage</x:v>
      </x:c>
      <x:c r="F1326" s="34" t="n">
        <x:v>202</x:v>
      </x:c>
      <x:c r="G1326" s="34" t="str">
        <x:v>RECORDED</x:v>
      </x:c>
      <x:c r="H1326" s="38" t="n">
        <x:f>IF(ISNUMBER('Data'!G1326),'Data'!G1326*100,"")</x:f>
        <x:v>8.42</x:v>
      </x:c>
      <x:c r="I1326" s="34" t="str">
        <x:v>PASS</x:v>
      </x:c>
      <x:c r="J1326" s="34" t="str">
        <x:v>PASS</x:v>
      </x:c>
      <x:c r="K1326" s="34" t="str">
        <x:v>PASS</x:v>
      </x:c>
      <x:c r="L1326" s="34" t="str">
        <x:v>PASS</x:v>
      </x:c>
      <x:c r="M1326" s="34" t="str">
        <x:v>numeric coverage for applicable metric</x:v>
      </x:c>
      <x:c r="N1326" s="34" t="str">
        <x:v>Feedback-Directed Random Test Generation/Result_Round2/JacksonDatabind_80/result.json</x:v>
      </x:c>
      <x:c r="O1326" s="38" t="n">
        <x:f>IF(AND(G1326="RECORDED",ISNUMBER(H1326)),H1326,"")</x:f>
        <x:v>8.42</x:v>
      </x:c>
      <x:c r="P1326" s="34" t="str">
        <x:v>NOT_REVEALING</x:v>
      </x:c>
      <x:c r="Q1326" s="34" t="str">
        <x:v>Feedback-Directed Random Test Generation/Result_Round2/JacksonDatabind_80/result.json</x:v>
      </x:c>
    </x:row>
    <x:row r="1327">
      <x:c r="A1327" s="34" t="str">
        <x:v>randoop</x:v>
      </x:c>
      <x:c r="B1327" s="34" t="str">
        <x:v>JacksonDatabind</x:v>
      </x:c>
      <x:c r="C1327" s="34" t="str">
        <x:v>Round2</x:v>
      </x:c>
      <x:c r="D1327" s="34" t="str">
        <x:v>JacksonDatabind_81</x:v>
      </x:c>
      <x:c r="E1327" s="34" t="str">
        <x:v>Coverage</x:v>
      </x:c>
      <x:c r="F1327" s="34" t="n">
        <x:v>897</x:v>
      </x:c>
      <x:c r="G1327" s="34" t="str">
        <x:v>RECORDED</x:v>
      </x:c>
      <x:c r="H1327" s="38" t="n">
        <x:f>IF(ISNUMBER('Data'!G1327),'Data'!G1327*100,"")</x:f>
        <x:v>10.81</x:v>
      </x:c>
      <x:c r="I1327" s="34" t="str">
        <x:v>PASS</x:v>
      </x:c>
      <x:c r="J1327" s="34" t="str">
        <x:v>PASS</x:v>
      </x:c>
      <x:c r="K1327" s="34" t="str">
        <x:v>PASS</x:v>
      </x:c>
      <x:c r="L1327" s="34" t="str">
        <x:v>PASS</x:v>
      </x:c>
      <x:c r="M1327" s="34" t="str">
        <x:v>numeric coverage for applicable metric</x:v>
      </x:c>
      <x:c r="N1327" s="34" t="str">
        <x:v>Feedback-Directed Random Test Generation/Result_Round2/JacksonDatabind_81/result.json</x:v>
      </x:c>
      <x:c r="O1327" s="38" t="n">
        <x:f>IF(AND(G1327="RECORDED",ISNUMBER(H1327)),H1327,"")</x:f>
        <x:v>10.81</x:v>
      </x:c>
      <x:c r="P1327" s="34" t="str">
        <x:v>NOT_REVEALING</x:v>
      </x:c>
      <x:c r="Q1327" s="34" t="str">
        <x:v>Feedback-Directed Random Test Generation/Result_Round2/JacksonDatabind_81/result.json</x:v>
      </x:c>
    </x:row>
    <x:row r="1328">
      <x:c r="A1328" s="34" t="str">
        <x:v>randoop</x:v>
      </x:c>
      <x:c r="B1328" s="34" t="str">
        <x:v>JacksonDatabind</x:v>
      </x:c>
      <x:c r="C1328" s="34" t="str">
        <x:v>Round2</x:v>
      </x:c>
      <x:c r="D1328" s="34" t="str">
        <x:v>JacksonDatabind_82</x:v>
      </x:c>
      <x:c r="E1328" s="34" t="str">
        <x:v>Coverage</x:v>
      </x:c>
      <x:c r="F1328" s="34" t="n">
        <x:v>567</x:v>
      </x:c>
      <x:c r="G1328" s="34" t="str">
        <x:v>RECORDED</x:v>
      </x:c>
      <x:c r="H1328" s="38" t="n">
        <x:f>IF(ISNUMBER('Data'!G1328),'Data'!G1328*100,"")</x:f>
        <x:v>9.17</x:v>
      </x:c>
      <x:c r="I1328" s="34" t="str">
        <x:v>PASS</x:v>
      </x:c>
      <x:c r="J1328" s="34" t="str">
        <x:v>PASS</x:v>
      </x:c>
      <x:c r="K1328" s="34" t="str">
        <x:v>PASS</x:v>
      </x:c>
      <x:c r="L1328" s="34" t="str">
        <x:v>PASS</x:v>
      </x:c>
      <x:c r="M1328" s="34" t="str">
        <x:v>numeric coverage for applicable metric</x:v>
      </x:c>
      <x:c r="N1328" s="34" t="str">
        <x:v>Feedback-Directed Random Test Generation/Result_Round2/JacksonDatabind_82/result.json</x:v>
      </x:c>
      <x:c r="O1328" s="38" t="n">
        <x:f>IF(AND(G1328="RECORDED",ISNUMBER(H1328)),H1328,"")</x:f>
        <x:v>9.17</x:v>
      </x:c>
      <x:c r="P1328" s="34" t="str">
        <x:v>NOT_REVEALING</x:v>
      </x:c>
      <x:c r="Q1328" s="34" t="str">
        <x:v>Feedback-Directed Random Test Generation/Result_Round2/JacksonDatabind_82/result.json</x:v>
      </x:c>
    </x:row>
    <x:row r="1329">
      <x:c r="A1329" s="34" t="str">
        <x:v>randoop</x:v>
      </x:c>
      <x:c r="B1329" s="34" t="str">
        <x:v>JacksonDatabind</x:v>
      </x:c>
      <x:c r="C1329" s="34" t="str">
        <x:v>Round2</x:v>
      </x:c>
      <x:c r="D1329" s="34" t="str">
        <x:v>JacksonDatabind_83</x:v>
      </x:c>
      <x:c r="E1329" s="34" t="str">
        <x:v>Coverage</x:v>
      </x:c>
      <x:c r="F1329" s="34" t="n">
        <x:v>210</x:v>
      </x:c>
      <x:c r="G1329" s="34" t="str">
        <x:v>RECORDED</x:v>
      </x:c>
      <x:c r="H1329" s="38" t="n">
        <x:f>IF(ISNUMBER('Data'!G1329),'Data'!G1329*100,"")</x:f>
        <x:v>0.48</x:v>
      </x:c>
      <x:c r="I1329" s="34" t="str">
        <x:v>PASS</x:v>
      </x:c>
      <x:c r="J1329" s="34" t="str">
        <x:v>PASS</x:v>
      </x:c>
      <x:c r="K1329" s="34" t="str">
        <x:v>PASS</x:v>
      </x:c>
      <x:c r="L1329" s="34" t="str">
        <x:v>PASS</x:v>
      </x:c>
      <x:c r="M1329" s="34" t="str">
        <x:v>numeric coverage for applicable metric</x:v>
      </x:c>
      <x:c r="N1329" s="34" t="str">
        <x:v>Feedback-Directed Random Test Generation/Result_Round2/JacksonDatabind_83/result.json</x:v>
      </x:c>
      <x:c r="O1329" s="38" t="n">
        <x:f>IF(AND(G1329="RECORDED",ISNUMBER(H1329)),H1329,"")</x:f>
        <x:v>0.48</x:v>
      </x:c>
      <x:c r="P1329" s="34" t="str">
        <x:v>NOT_REVEALING</x:v>
      </x:c>
      <x:c r="Q1329" s="34" t="str">
        <x:v>Feedback-Directed Random Test Generation/Result_Round2/JacksonDatabind_83/result.json</x:v>
      </x:c>
    </x:row>
    <x:row r="1330">
      <x:c r="A1330" s="34" t="str">
        <x:v>randoop</x:v>
      </x:c>
      <x:c r="B1330" s="34" t="str">
        <x:v>JacksonDatabind</x:v>
      </x:c>
      <x:c r="C1330" s="34" t="str">
        <x:v>Round2</x:v>
      </x:c>
      <x:c r="D1330" s="34" t="str">
        <x:v>JacksonDatabind_84</x:v>
      </x:c>
      <x:c r="E1330" s="34" t="str">
        <x:v>Coverage</x:v>
      </x:c>
      <x:c r="F1330" s="34" t="n">
        <x:v>44</x:v>
      </x:c>
      <x:c r="G1330" s="34" t="str">
        <x:v>RECORDED</x:v>
      </x:c>
      <x:c r="H1330" s="38" t="n">
        <x:f>IF(ISNUMBER('Data'!G1330),'Data'!G1330*100,"")</x:f>
        <x:v>0</x:v>
      </x:c>
      <x:c r="I1330" s="34" t="str">
        <x:v>PASS</x:v>
      </x:c>
      <x:c r="J1330" s="34" t="str">
        <x:v>PASS</x:v>
      </x:c>
      <x:c r="K1330" s="34" t="str">
        <x:v>PASS</x:v>
      </x:c>
      <x:c r="L1330" s="34" t="str">
        <x:v>PASS</x:v>
      </x:c>
      <x:c r="M1330" s="34" t="str">
        <x:v>numeric coverage for applicable metric</x:v>
      </x:c>
      <x:c r="N1330" s="34" t="str">
        <x:v>Feedback-Directed Random Test Generation/Result_Round2/JacksonDatabind_84/result.json</x:v>
      </x:c>
      <x:c r="O1330" s="38" t="n">
        <x:f>IF(AND(G1330="RECORDED",ISNUMBER(H1330)),H1330,"")</x:f>
        <x:v>0</x:v>
      </x:c>
      <x:c r="P1330" s="34" t="str">
        <x:v>NOT_REVEALING</x:v>
      </x:c>
      <x:c r="Q1330" s="34" t="str">
        <x:v>Feedback-Directed Random Test Generation/Result_Round2/JacksonDatabind_84/result.json</x:v>
      </x:c>
    </x:row>
    <x:row r="1331">
      <x:c r="A1331" s="34" t="str">
        <x:v>randoop</x:v>
      </x:c>
      <x:c r="B1331" s="34" t="str">
        <x:v>JacksonDatabind</x:v>
      </x:c>
      <x:c r="C1331" s="34" t="str">
        <x:v>Round2</x:v>
      </x:c>
      <x:c r="D1331" s="34" t="str">
        <x:v>JacksonDatabind_85</x:v>
      </x:c>
      <x:c r="E1331" s="34" t="str">
        <x:v>Coverage</x:v>
      </x:c>
      <x:c r="F1331" s="34" t="n">
        <x:v>81</x:v>
      </x:c>
      <x:c r="G1331" s="34" t="str">
        <x:v>RECORDED</x:v>
      </x:c>
      <x:c r="H1331" s="38" t="n">
        <x:f>IF(ISNUMBER('Data'!G1331),'Data'!G1331*100,"")</x:f>
        <x:v>0</x:v>
      </x:c>
      <x:c r="I1331" s="34" t="str">
        <x:v>PASS</x:v>
      </x:c>
      <x:c r="J1331" s="34" t="str">
        <x:v>PASS</x:v>
      </x:c>
      <x:c r="K1331" s="34" t="str">
        <x:v>PASS</x:v>
      </x:c>
      <x:c r="L1331" s="34" t="str">
        <x:v>PASS</x:v>
      </x:c>
      <x:c r="M1331" s="34" t="str">
        <x:v>numeric coverage for applicable metric</x:v>
      </x:c>
      <x:c r="N1331" s="34" t="str">
        <x:v>Feedback-Directed Random Test Generation/Result_Round2/JacksonDatabind_85/result.json</x:v>
      </x:c>
      <x:c r="O1331" s="38" t="n">
        <x:f>IF(AND(G1331="RECORDED",ISNUMBER(H1331)),H1331,"")</x:f>
        <x:v>0</x:v>
      </x:c>
      <x:c r="P1331" s="34" t="str">
        <x:v>NOT_REVEALING</x:v>
      </x:c>
      <x:c r="Q1331" s="34" t="str">
        <x:v>Feedback-Directed Random Test Generation/Result_Round2/JacksonDatabind_85/result.json</x:v>
      </x:c>
    </x:row>
    <x:row r="1332">
      <x:c r="A1332" s="34" t="str">
        <x:v>randoop</x:v>
      </x:c>
      <x:c r="B1332" s="34" t="str">
        <x:v>JacksonDatabind</x:v>
      </x:c>
      <x:c r="C1332" s="34" t="str">
        <x:v>Round2</x:v>
      </x:c>
      <x:c r="D1332" s="34" t="str">
        <x:v>JacksonDatabind_86</x:v>
      </x:c>
      <x:c r="E1332" s="34" t="str">
        <x:v>Coverage</x:v>
      </x:c>
      <x:c r="F1332" s="34" t="n">
        <x:v>44</x:v>
      </x:c>
      <x:c r="G1332" s="34" t="str">
        <x:v>RECORDED</x:v>
      </x:c>
      <x:c r="H1332" s="38" t="n">
        <x:f>IF(ISNUMBER('Data'!G1332),'Data'!G1332*100,"")</x:f>
        <x:v>0</x:v>
      </x:c>
      <x:c r="I1332" s="34" t="str">
        <x:v>PASS</x:v>
      </x:c>
      <x:c r="J1332" s="34" t="str">
        <x:v>PASS</x:v>
      </x:c>
      <x:c r="K1332" s="34" t="str">
        <x:v>PASS</x:v>
      </x:c>
      <x:c r="L1332" s="34" t="str">
        <x:v>PASS</x:v>
      </x:c>
      <x:c r="M1332" s="34" t="str">
        <x:v>numeric coverage for applicable metric</x:v>
      </x:c>
      <x:c r="N1332" s="34" t="str">
        <x:v>Feedback-Directed Random Test Generation/Result_Round2/JacksonDatabind_86/result.json</x:v>
      </x:c>
      <x:c r="O1332" s="38" t="n">
        <x:f>IF(AND(G1332="RECORDED",ISNUMBER(H1332)),H1332,"")</x:f>
        <x:v>0</x:v>
      </x:c>
      <x:c r="P1332" s="34" t="str">
        <x:v>NOT_REVEALING</x:v>
      </x:c>
      <x:c r="Q1332" s="34" t="str">
        <x:v>Feedback-Directed Random Test Generation/Result_Round2/JacksonDatabind_86/result.json</x:v>
      </x:c>
    </x:row>
    <x:row r="1333">
      <x:c r="A1333" s="34" t="str">
        <x:v>randoop</x:v>
      </x:c>
      <x:c r="B1333" s="34" t="str">
        <x:v>JacksonDatabind</x:v>
      </x:c>
      <x:c r="C1333" s="34" t="str">
        <x:v>Round2</x:v>
      </x:c>
      <x:c r="D1333" s="34" t="str">
        <x:v>JacksonDatabind_87</x:v>
      </x:c>
      <x:c r="E1333" s="34" t="str">
        <x:v>Coverage</x:v>
      </x:c>
      <x:c r="F1333" s="34" t="n">
        <x:v>0</x:v>
      </x:c>
      <x:c r="G1333" s="34" t="str">
        <x:v>A</x:v>
      </x:c>
      <x:c r="H1333" s="38" t="str">
        <x:f>IF(ISNUMBER('Data'!G1333),'Data'!G1333*100,"")</x:f>
      </x:c>
      <x:c r="I1333" s="34"/>
      <x:c r="J1333" s="34"/>
      <x:c r="K1333" s="34"/>
      <x:c r="L1333" s="34" t="str">
        <x:v>NOT_RUN</x:v>
      </x:c>
      <x:c r="M1333" s="34" t="str">
        <x:v>Latest same-round generation failed; older files/results are excluded</x:v>
      </x:c>
      <x:c r="N1333" s="34" t="str">
        <x:v>Feedback-Directed Random Test Generation/report_Round2.csv</x:v>
      </x:c>
      <x:c r="O1333" s="38" t="str">
        <x:f>IF(AND(G1333="RECORDED",ISNUMBER(H1333)),H1333,"")</x:f>
      </x:c>
      <x:c r="P1333" s="34" t="str">
        <x:v>FAIL</x:v>
      </x:c>
      <x:c r="Q1333" s="34"/>
    </x:row>
    <x:row r="1334">
      <x:c r="A1334" s="34" t="str">
        <x:v>randoop</x:v>
      </x:c>
      <x:c r="B1334" s="34" t="str">
        <x:v>JacksonDatabind</x:v>
      </x:c>
      <x:c r="C1334" s="34" t="str">
        <x:v>Round2</x:v>
      </x:c>
      <x:c r="D1334" s="34" t="str">
        <x:v>JacksonDatabind_88</x:v>
      </x:c>
      <x:c r="E1334" s="34" t="str">
        <x:v>Coverage</x:v>
      </x:c>
      <x:c r="F1334" s="34" t="n">
        <x:v>74</x:v>
      </x:c>
      <x:c r="G1334" s="34" t="str">
        <x:v>RECORDED</x:v>
      </x:c>
      <x:c r="H1334" s="38" t="n">
        <x:f>IF(ISNUMBER('Data'!G1334),'Data'!G1334*100,"")</x:f>
        <x:v>29.73</x:v>
      </x:c>
      <x:c r="I1334" s="34" t="str">
        <x:v>PASS</x:v>
      </x:c>
      <x:c r="J1334" s="34" t="str">
        <x:v>PASS</x:v>
      </x:c>
      <x:c r="K1334" s="34" t="str">
        <x:v>PASS</x:v>
      </x:c>
      <x:c r="L1334" s="34" t="str">
        <x:v>PASS</x:v>
      </x:c>
      <x:c r="M1334" s="34" t="str">
        <x:v>numeric coverage for applicable metric</x:v>
      </x:c>
      <x:c r="N1334" s="34" t="str">
        <x:v>Feedback-Directed Random Test Generation/Result_Round2/JacksonDatabind_88/result.json</x:v>
      </x:c>
      <x:c r="O1334" s="38" t="n">
        <x:f>IF(AND(G1334="RECORDED",ISNUMBER(H1334)),H1334,"")</x:f>
        <x:v>29.73</x:v>
      </x:c>
      <x:c r="P1334" s="34" t="str">
        <x:v>NOT_REVEALING</x:v>
      </x:c>
      <x:c r="Q1334" s="34" t="str">
        <x:v>Feedback-Directed Random Test Generation/Result_Round2/JacksonDatabind_88/result.json</x:v>
      </x:c>
    </x:row>
    <x:row r="1335">
      <x:c r="A1335" s="34" t="str">
        <x:v>randoop</x:v>
      </x:c>
      <x:c r="B1335" s="34" t="str">
        <x:v>JacksonDatabind</x:v>
      </x:c>
      <x:c r="C1335" s="34" t="str">
        <x:v>Round2</x:v>
      </x:c>
      <x:c r="D1335" s="34" t="str">
        <x:v>JacksonDatabind_90</x:v>
      </x:c>
      <x:c r="E1335" s="34" t="str">
        <x:v>Coverage</x:v>
      </x:c>
      <x:c r="F1335" s="34" t="n">
        <x:v>323</x:v>
      </x:c>
      <x:c r="G1335" s="34" t="str">
        <x:v>RECORDED</x:v>
      </x:c>
      <x:c r="H1335" s="38" t="n">
        <x:f>IF(ISNUMBER('Data'!G1335),'Data'!G1335*100,"")</x:f>
        <x:v>38.08</x:v>
      </x:c>
      <x:c r="I1335" s="34" t="str">
        <x:v>PASS</x:v>
      </x:c>
      <x:c r="J1335" s="34" t="str">
        <x:v>PASS</x:v>
      </x:c>
      <x:c r="K1335" s="34" t="str">
        <x:v>PASS</x:v>
      </x:c>
      <x:c r="L1335" s="34" t="str">
        <x:v>PASS</x:v>
      </x:c>
      <x:c r="M1335" s="34" t="str">
        <x:v>numeric coverage for applicable metric</x:v>
      </x:c>
      <x:c r="N1335" s="34" t="str">
        <x:v>Feedback-Directed Random Test Generation/Result_Round2/JacksonDatabind_90/result.json</x:v>
      </x:c>
      <x:c r="O1335" s="38" t="n">
        <x:f>IF(AND(G1335="RECORDED",ISNUMBER(H1335)),H1335,"")</x:f>
        <x:v>38.08</x:v>
      </x:c>
      <x:c r="P1335" s="34" t="str">
        <x:v>NOT_REVEALING</x:v>
      </x:c>
      <x:c r="Q1335" s="34" t="str">
        <x:v>Feedback-Directed Random Test Generation/Result_Round2/JacksonDatabind_90/result.json</x:v>
      </x:c>
    </x:row>
    <x:row r="1336">
      <x:c r="A1336" s="34" t="str">
        <x:v>randoop</x:v>
      </x:c>
      <x:c r="B1336" s="34" t="str">
        <x:v>JacksonDatabind</x:v>
      </x:c>
      <x:c r="C1336" s="34" t="str">
        <x:v>Round2</x:v>
      </x:c>
      <x:c r="D1336" s="34" t="str">
        <x:v>JacksonDatabind_91</x:v>
      </x:c>
      <x:c r="E1336" s="34" t="str">
        <x:v>Coverage</x:v>
      </x:c>
      <x:c r="F1336" s="34" t="n">
        <x:v>286</x:v>
      </x:c>
      <x:c r="G1336" s="34" t="str">
        <x:v>RECORDED</x:v>
      </x:c>
      <x:c r="H1336" s="38" t="n">
        <x:f>IF(ISNUMBER('Data'!G1336),'Data'!G1336*100,"")</x:f>
        <x:v>8.74</x:v>
      </x:c>
      <x:c r="I1336" s="34" t="str">
        <x:v>PASS</x:v>
      </x:c>
      <x:c r="J1336" s="34" t="str">
        <x:v>PASS</x:v>
      </x:c>
      <x:c r="K1336" s="34" t="str">
        <x:v>PASS</x:v>
      </x:c>
      <x:c r="L1336" s="34" t="str">
        <x:v>PASS</x:v>
      </x:c>
      <x:c r="M1336" s="34" t="str">
        <x:v>numeric coverage for applicable metric</x:v>
      </x:c>
      <x:c r="N1336" s="34" t="str">
        <x:v>Feedback-Directed Random Test Generation/Result_Round2/JacksonDatabind_91/result.json</x:v>
      </x:c>
      <x:c r="O1336" s="38" t="n">
        <x:f>IF(AND(G1336="RECORDED",ISNUMBER(H1336)),H1336,"")</x:f>
        <x:v>8.74</x:v>
      </x:c>
      <x:c r="P1336" s="34" t="str">
        <x:v>NOT_REVEALING</x:v>
      </x:c>
      <x:c r="Q1336" s="34" t="str">
        <x:v>Feedback-Directed Random Test Generation/Result_Round2/JacksonDatabind_91/result.json</x:v>
      </x:c>
    </x:row>
    <x:row r="1337">
      <x:c r="A1337" s="34" t="str">
        <x:v>randoop</x:v>
      </x:c>
      <x:c r="B1337" s="34" t="str">
        <x:v>JacksonDatabind</x:v>
      </x:c>
      <x:c r="C1337" s="34" t="str">
        <x:v>Round2</x:v>
      </x:c>
      <x:c r="D1337" s="34" t="str">
        <x:v>JacksonDatabind_92</x:v>
      </x:c>
      <x:c r="E1337" s="34" t="str">
        <x:v>Coverage</x:v>
      </x:c>
      <x:c r="F1337" s="34" t="n">
        <x:v>547</x:v>
      </x:c>
      <x:c r="G1337" s="34" t="str">
        <x:v>RECORDED</x:v>
      </x:c>
      <x:c r="H1337" s="38" t="n">
        <x:f>IF(ISNUMBER('Data'!G1337),'Data'!G1337*100,"")</x:f>
        <x:v>8.96</x:v>
      </x:c>
      <x:c r="I1337" s="34" t="str">
        <x:v>PASS</x:v>
      </x:c>
      <x:c r="J1337" s="34" t="str">
        <x:v>PASS</x:v>
      </x:c>
      <x:c r="K1337" s="34" t="str">
        <x:v>PASS</x:v>
      </x:c>
      <x:c r="L1337" s="34" t="str">
        <x:v>PASS</x:v>
      </x:c>
      <x:c r="M1337" s="34" t="str">
        <x:v>numeric coverage for applicable metric</x:v>
      </x:c>
      <x:c r="N1337" s="34" t="str">
        <x:v>Feedback-Directed Random Test Generation/Result_Round2/JacksonDatabind_92/result.json</x:v>
      </x:c>
      <x:c r="O1337" s="38" t="n">
        <x:f>IF(AND(G1337="RECORDED",ISNUMBER(H1337)),H1337,"")</x:f>
        <x:v>8.96</x:v>
      </x:c>
      <x:c r="P1337" s="34" t="str">
        <x:v>NOT_REVEALING</x:v>
      </x:c>
      <x:c r="Q1337" s="34" t="str">
        <x:v>Feedback-Directed Random Test Generation/Result_Round2/JacksonDatabind_92/result.json</x:v>
      </x:c>
    </x:row>
    <x:row r="1338">
      <x:c r="A1338" s="34" t="str">
        <x:v>randoop</x:v>
      </x:c>
      <x:c r="B1338" s="34" t="str">
        <x:v>JacksonDatabind</x:v>
      </x:c>
      <x:c r="C1338" s="34" t="str">
        <x:v>Round2</x:v>
      </x:c>
      <x:c r="D1338" s="34" t="str">
        <x:v>JacksonDatabind_93</x:v>
      </x:c>
      <x:c r="E1338" s="34" t="str">
        <x:v>Coverage</x:v>
      </x:c>
      <x:c r="F1338" s="34" t="n">
        <x:v>46</x:v>
      </x:c>
      <x:c r="G1338" s="34" t="str">
        <x:v>RECORDED</x:v>
      </x:c>
      <x:c r="H1338" s="38" t="n">
        <x:f>IF(ISNUMBER('Data'!G1338),'Data'!G1338*100,"")</x:f>
        <x:v>52.17</x:v>
      </x:c>
      <x:c r="I1338" s="34" t="str">
        <x:v>PASS</x:v>
      </x:c>
      <x:c r="J1338" s="34" t="str">
        <x:v>PASS</x:v>
      </x:c>
      <x:c r="K1338" s="34" t="str">
        <x:v>PASS</x:v>
      </x:c>
      <x:c r="L1338" s="34" t="str">
        <x:v>PASS</x:v>
      </x:c>
      <x:c r="M1338" s="34" t="str">
        <x:v>numeric coverage for applicable metric</x:v>
      </x:c>
      <x:c r="N1338" s="34" t="str">
        <x:v>Feedback-Directed Random Test Generation/Result_Round2/JacksonDatabind_93/result.json</x:v>
      </x:c>
      <x:c r="O1338" s="38" t="n">
        <x:f>IF(AND(G1338="RECORDED",ISNUMBER(H1338)),H1338,"")</x:f>
        <x:v>52.17</x:v>
      </x:c>
      <x:c r="P1338" s="34" t="str">
        <x:v>NOT_REVEALING</x:v>
      </x:c>
      <x:c r="Q1338" s="34" t="str">
        <x:v>Feedback-Directed Random Test Generation/Result_Round2/JacksonDatabind_93/result.json</x:v>
      </x:c>
    </x:row>
    <x:row r="1339">
      <x:c r="A1339" s="34" t="str">
        <x:v>randoop</x:v>
      </x:c>
      <x:c r="B1339" s="34" t="str">
        <x:v>JacksonDatabind</x:v>
      </x:c>
      <x:c r="C1339" s="34" t="str">
        <x:v>Round2</x:v>
      </x:c>
      <x:c r="D1339" s="34" t="str">
        <x:v>JacksonDatabind_94</x:v>
      </x:c>
      <x:c r="E1339" s="34" t="str">
        <x:v>Coverage</x:v>
      </x:c>
      <x:c r="F1339" s="34" t="n">
        <x:v>49</x:v>
      </x:c>
      <x:c r="G1339" s="34" t="str">
        <x:v>RECORDED</x:v>
      </x:c>
      <x:c r="H1339" s="38" t="n">
        <x:f>IF(ISNUMBER('Data'!G1339),'Data'!G1339*100,"")</x:f>
        <x:v>44.9</x:v>
      </x:c>
      <x:c r="I1339" s="34" t="str">
        <x:v>PASS</x:v>
      </x:c>
      <x:c r="J1339" s="34" t="str">
        <x:v>PASS</x:v>
      </x:c>
      <x:c r="K1339" s="34" t="str">
        <x:v>PASS</x:v>
      </x:c>
      <x:c r="L1339" s="34" t="str">
        <x:v>PASS</x:v>
      </x:c>
      <x:c r="M1339" s="34" t="str">
        <x:v>numeric coverage for applicable metric</x:v>
      </x:c>
      <x:c r="N1339" s="34" t="str">
        <x:v>Feedback-Directed Random Test Generation/Result_Round2/JacksonDatabind_94/result.json</x:v>
      </x:c>
      <x:c r="O1339" s="38" t="n">
        <x:f>IF(AND(G1339="RECORDED",ISNUMBER(H1339)),H1339,"")</x:f>
        <x:v>44.9</x:v>
      </x:c>
      <x:c r="P1339" s="34" t="str">
        <x:v>NOT_REVEALING</x:v>
      </x:c>
      <x:c r="Q1339" s="34" t="str">
        <x:v>Feedback-Directed Random Test Generation/Result_Round2/JacksonDatabind_94/result.json</x:v>
      </x:c>
    </x:row>
    <x:row r="1340">
      <x:c r="A1340" s="34" t="str">
        <x:v>randoop</x:v>
      </x:c>
      <x:c r="B1340" s="34" t="str">
        <x:v>JacksonDatabind</x:v>
      </x:c>
      <x:c r="C1340" s="34" t="str">
        <x:v>Round2</x:v>
      </x:c>
      <x:c r="D1340" s="34" t="str">
        <x:v>JacksonDatabind_95</x:v>
      </x:c>
      <x:c r="E1340" s="34" t="str">
        <x:v>Coverage</x:v>
      </x:c>
      <x:c r="F1340" s="34" t="n">
        <x:v>730</x:v>
      </x:c>
      <x:c r="G1340" s="34" t="str">
        <x:v>RECORDED</x:v>
      </x:c>
      <x:c r="H1340" s="38" t="n">
        <x:f>IF(ISNUMBER('Data'!G1340),'Data'!G1340*100,"")</x:f>
        <x:v>42.05</x:v>
      </x:c>
      <x:c r="I1340" s="34" t="str">
        <x:v>PASS</x:v>
      </x:c>
      <x:c r="J1340" s="34" t="str">
        <x:v>PASS</x:v>
      </x:c>
      <x:c r="K1340" s="34" t="str">
        <x:v>PASS</x:v>
      </x:c>
      <x:c r="L1340" s="34" t="str">
        <x:v>PASS</x:v>
      </x:c>
      <x:c r="M1340" s="34" t="str">
        <x:v>numeric coverage for applicable metric</x:v>
      </x:c>
      <x:c r="N1340" s="34" t="str">
        <x:v>Feedback-Directed Random Test Generation/Result_Round2/JacksonDatabind_95/result.json</x:v>
      </x:c>
      <x:c r="O1340" s="38" t="n">
        <x:f>IF(AND(G1340="RECORDED",ISNUMBER(H1340)),H1340,"")</x:f>
        <x:v>42.05</x:v>
      </x:c>
      <x:c r="P1340" s="34" t="str">
        <x:v>NOT_REVEALING</x:v>
      </x:c>
      <x:c r="Q1340" s="34" t="str">
        <x:v>Feedback-Directed Random Test Generation/Result_Round2/JacksonDatabind_95/result.json</x:v>
      </x:c>
    </x:row>
    <x:row r="1341">
      <x:c r="A1341" s="34" t="str">
        <x:v>randoop</x:v>
      </x:c>
      <x:c r="B1341" s="34" t="str">
        <x:v>JacksonDatabind</x:v>
      </x:c>
      <x:c r="C1341" s="34" t="str">
        <x:v>Round2</x:v>
      </x:c>
      <x:c r="D1341" s="34" t="str">
        <x:v>JacksonDatabind_96</x:v>
      </x:c>
      <x:c r="E1341" s="34" t="str">
        <x:v>Coverage</x:v>
      </x:c>
      <x:c r="F1341" s="34" t="n">
        <x:v>1503</x:v>
      </x:c>
      <x:c r="G1341" s="34" t="str">
        <x:v>RECORDED</x:v>
      </x:c>
      <x:c r="H1341" s="38" t="n">
        <x:f>IF(ISNUMBER('Data'!G1341),'Data'!G1341*100,"")</x:f>
        <x:v>1.4</x:v>
      </x:c>
      <x:c r="I1341" s="34" t="str">
        <x:v>PASS</x:v>
      </x:c>
      <x:c r="J1341" s="34" t="str">
        <x:v>PASS</x:v>
      </x:c>
      <x:c r="K1341" s="34" t="str">
        <x:v>PASS</x:v>
      </x:c>
      <x:c r="L1341" s="34" t="str">
        <x:v>PASS</x:v>
      </x:c>
      <x:c r="M1341" s="34" t="str">
        <x:v>numeric coverage for applicable metric</x:v>
      </x:c>
      <x:c r="N1341" s="34" t="str">
        <x:v>Feedback-Directed Random Test Generation/Result_Round2/JacksonDatabind_96/result.json</x:v>
      </x:c>
      <x:c r="O1341" s="38" t="n">
        <x:f>IF(AND(G1341="RECORDED",ISNUMBER(H1341)),H1341,"")</x:f>
        <x:v>1.4</x:v>
      </x:c>
      <x:c r="P1341" s="34" t="str">
        <x:v>NOT_REVEALING</x:v>
      </x:c>
      <x:c r="Q1341" s="34" t="str">
        <x:v>Feedback-Directed Random Test Generation/Result_Round2/JacksonDatabind_96/result.json</x:v>
      </x:c>
    </x:row>
    <x:row r="1342">
      <x:c r="A1342" s="34" t="str">
        <x:v>randoop</x:v>
      </x:c>
      <x:c r="B1342" s="34" t="str">
        <x:v>JacksonDatabind</x:v>
      </x:c>
      <x:c r="C1342" s="34" t="str">
        <x:v>Round2</x:v>
      </x:c>
      <x:c r="D1342" s="34" t="str">
        <x:v>JacksonDatabind_97</x:v>
      </x:c>
      <x:c r="E1342" s="34" t="str">
        <x:v>Coverage</x:v>
      </x:c>
      <x:c r="F1342" s="34" t="n">
        <x:v>75</x:v>
      </x:c>
      <x:c r="G1342" s="34" t="str">
        <x:v>RECORDED</x:v>
      </x:c>
      <x:c r="H1342" s="38" t="n">
        <x:f>IF(ISNUMBER('Data'!G1342),'Data'!G1342*100,"")</x:f>
        <x:v>73.33</x:v>
      </x:c>
      <x:c r="I1342" s="34" t="str">
        <x:v>PASS</x:v>
      </x:c>
      <x:c r="J1342" s="34" t="str">
        <x:v>PASS</x:v>
      </x:c>
      <x:c r="K1342" s="34" t="str">
        <x:v>PASS</x:v>
      </x:c>
      <x:c r="L1342" s="34" t="str">
        <x:v>PASS</x:v>
      </x:c>
      <x:c r="M1342" s="34" t="str">
        <x:v>numeric coverage for applicable metric</x:v>
      </x:c>
      <x:c r="N1342" s="34" t="str">
        <x:v>Feedback-Directed Random Test Generation/Result_Round2/JacksonDatabind_97/result.json</x:v>
      </x:c>
      <x:c r="O1342" s="38" t="n">
        <x:f>IF(AND(G1342="RECORDED",ISNUMBER(H1342)),H1342,"")</x:f>
        <x:v>73.33</x:v>
      </x:c>
      <x:c r="P1342" s="34" t="str">
        <x:v>NOT_REVEALING</x:v>
      </x:c>
      <x:c r="Q1342" s="34" t="str">
        <x:v>Feedback-Directed Random Test Generation/Result_Round2/JacksonDatabind_97/result.json</x:v>
      </x:c>
    </x:row>
    <x:row r="1343">
      <x:c r="A1343" s="34" t="str">
        <x:v>randoop</x:v>
      </x:c>
      <x:c r="B1343" s="34" t="str">
        <x:v>JacksonDatabind</x:v>
      </x:c>
      <x:c r="C1343" s="34" t="str">
        <x:v>Round2</x:v>
      </x:c>
      <x:c r="D1343" s="34" t="str">
        <x:v>JacksonDatabind_98</x:v>
      </x:c>
      <x:c r="E1343" s="34" t="str">
        <x:v>Coverage</x:v>
      </x:c>
      <x:c r="F1343" s="34" t="n">
        <x:v>299</x:v>
      </x:c>
      <x:c r="G1343" s="34" t="str">
        <x:v>RECORDED</x:v>
      </x:c>
      <x:c r="H1343" s="38" t="n">
        <x:f>IF(ISNUMBER('Data'!G1343),'Data'!G1343*100,"")</x:f>
        <x:v>17.06</x:v>
      </x:c>
      <x:c r="I1343" s="34" t="str">
        <x:v>PASS</x:v>
      </x:c>
      <x:c r="J1343" s="34" t="str">
        <x:v>PASS</x:v>
      </x:c>
      <x:c r="K1343" s="34" t="str">
        <x:v>PASS</x:v>
      </x:c>
      <x:c r="L1343" s="34" t="str">
        <x:v>PASS</x:v>
      </x:c>
      <x:c r="M1343" s="34" t="str">
        <x:v>numeric coverage for applicable metric</x:v>
      </x:c>
      <x:c r="N1343" s="34" t="str">
        <x:v>Feedback-Directed Random Test Generation/Result_Round2/JacksonDatabind_98/result.json</x:v>
      </x:c>
      <x:c r="O1343" s="38" t="n">
        <x:f>IF(AND(G1343="RECORDED",ISNUMBER(H1343)),H1343,"")</x:f>
        <x:v>17.06</x:v>
      </x:c>
      <x:c r="P1343" s="34" t="str">
        <x:v>NOT_REVEALING</x:v>
      </x:c>
      <x:c r="Q1343" s="34" t="str">
        <x:v>Feedback-Directed Random Test Generation/Result_Round2/JacksonDatabind_98/result.json</x:v>
      </x:c>
    </x:row>
    <x:row r="1344">
      <x:c r="A1344" s="34" t="str">
        <x:v>randoop</x:v>
      </x:c>
      <x:c r="B1344" s="34" t="str">
        <x:v>JacksonDatabind</x:v>
      </x:c>
      <x:c r="C1344" s="34" t="str">
        <x:v>Round2</x:v>
      </x:c>
      <x:c r="D1344" s="34" t="str">
        <x:v>JacksonDatabind_99</x:v>
      </x:c>
      <x:c r="E1344" s="34" t="str">
        <x:v>Coverage</x:v>
      </x:c>
      <x:c r="F1344" s="34" t="n">
        <x:v>98</x:v>
      </x:c>
      <x:c r="G1344" s="34" t="str">
        <x:v>RECORDED</x:v>
      </x:c>
      <x:c r="H1344" s="38" t="n">
        <x:f>IF(ISNUMBER('Data'!G1344),'Data'!G1344*100,"")</x:f>
        <x:v>1.02</x:v>
      </x:c>
      <x:c r="I1344" s="34" t="str">
        <x:v>PASS</x:v>
      </x:c>
      <x:c r="J1344" s="34" t="str">
        <x:v>PASS</x:v>
      </x:c>
      <x:c r="K1344" s="34" t="str">
        <x:v>PASS</x:v>
      </x:c>
      <x:c r="L1344" s="34" t="str">
        <x:v>PASS</x:v>
      </x:c>
      <x:c r="M1344" s="34" t="str">
        <x:v>numeric coverage for applicable metric</x:v>
      </x:c>
      <x:c r="N1344" s="34" t="str">
        <x:v>Feedback-Directed Random Test Generation/Result_Round2/JacksonDatabind_99/result.json</x:v>
      </x:c>
      <x:c r="O1344" s="38" t="n">
        <x:f>IF(AND(G1344="RECORDED",ISNUMBER(H1344)),H1344,"")</x:f>
        <x:v>1.02</x:v>
      </x:c>
      <x:c r="P1344" s="34" t="str">
        <x:v>NOT_REVEALING</x:v>
      </x:c>
      <x:c r="Q1344" s="34" t="str">
        <x:v>Feedback-Directed Random Test Generation/Result_Round2/JacksonDatabind_99/result.json</x:v>
      </x:c>
    </x:row>
    <x:row r="1345">
      <x:c r="A1345" s="34" t="str">
        <x:v>randoop</x:v>
      </x:c>
      <x:c r="B1345" s="34" t="str">
        <x:v>JacksonDatabind</x:v>
      </x:c>
      <x:c r="C1345" s="34" t="str">
        <x:v>Round2</x:v>
      </x:c>
      <x:c r="D1345" s="34" t="str">
        <x:v>JacksonDatabind_100</x:v>
      </x:c>
      <x:c r="E1345" s="34" t="str">
        <x:v>Coverage</x:v>
      </x:c>
      <x:c r="F1345" s="34" t="n">
        <x:v>204</x:v>
      </x:c>
      <x:c r="G1345" s="34" t="str">
        <x:v>RECORDED</x:v>
      </x:c>
      <x:c r="H1345" s="38" t="n">
        <x:f>IF(ISNUMBER('Data'!G1345),'Data'!G1345*100,"")</x:f>
        <x:v>1.96</x:v>
      </x:c>
      <x:c r="I1345" s="34" t="str">
        <x:v>PASS</x:v>
      </x:c>
      <x:c r="J1345" s="34" t="str">
        <x:v>PASS</x:v>
      </x:c>
      <x:c r="K1345" s="34" t="str">
        <x:v>PASS</x:v>
      </x:c>
      <x:c r="L1345" s="34" t="str">
        <x:v>PASS</x:v>
      </x:c>
      <x:c r="M1345" s="34" t="str">
        <x:v>numeric coverage for applicable metric</x:v>
      </x:c>
      <x:c r="N1345" s="34" t="str">
        <x:v>Feedback-Directed Random Test Generation/Result_Round2/JacksonDatabind_100/result.json</x:v>
      </x:c>
      <x:c r="O1345" s="38" t="n">
        <x:f>IF(AND(G1345="RECORDED",ISNUMBER(H1345)),H1345,"")</x:f>
        <x:v>1.96</x:v>
      </x:c>
      <x:c r="P1345" s="34" t="str">
        <x:v>NOT_REVEALING</x:v>
      </x:c>
      <x:c r="Q1345" s="34" t="str">
        <x:v>Feedback-Directed Random Test Generation/Result_Round2/JacksonDatabind_100/result.json</x:v>
      </x:c>
    </x:row>
    <x:row r="1346">
      <x:c r="A1346" s="34" t="str">
        <x:v>randoop</x:v>
      </x:c>
      <x:c r="B1346" s="34" t="str">
        <x:v>JacksonDatabind</x:v>
      </x:c>
      <x:c r="C1346" s="34" t="str">
        <x:v>Round2</x:v>
      </x:c>
      <x:c r="D1346" s="34" t="str">
        <x:v>JacksonDatabind_101</x:v>
      </x:c>
      <x:c r="E1346" s="34" t="str">
        <x:v>Coverage</x:v>
      </x:c>
      <x:c r="F1346" s="34" t="n">
        <x:v>712</x:v>
      </x:c>
      <x:c r="G1346" s="34" t="str">
        <x:v>RECORDED</x:v>
      </x:c>
      <x:c r="H1346" s="38" t="n">
        <x:f>IF(ISNUMBER('Data'!G1346),'Data'!G1346*100,"")</x:f>
        <x:v>1.12</x:v>
      </x:c>
      <x:c r="I1346" s="34" t="str">
        <x:v>PASS</x:v>
      </x:c>
      <x:c r="J1346" s="34" t="str">
        <x:v>PASS</x:v>
      </x:c>
      <x:c r="K1346" s="34" t="str">
        <x:v>PASS</x:v>
      </x:c>
      <x:c r="L1346" s="34" t="str">
        <x:v>PASS</x:v>
      </x:c>
      <x:c r="M1346" s="34" t="str">
        <x:v>numeric coverage for applicable metric</x:v>
      </x:c>
      <x:c r="N1346" s="34" t="str">
        <x:v>Feedback-Directed Random Test Generation/Result_Round2/JacksonDatabind_101/result.json</x:v>
      </x:c>
      <x:c r="O1346" s="38" t="n">
        <x:f>IF(AND(G1346="RECORDED",ISNUMBER(H1346)),H1346,"")</x:f>
        <x:v>1.12</x:v>
      </x:c>
      <x:c r="P1346" s="34" t="str">
        <x:v>NOT_REVEALING</x:v>
      </x:c>
      <x:c r="Q1346" s="34" t="str">
        <x:v>Feedback-Directed Random Test Generation/Result_Round2/JacksonDatabind_101/result.json</x:v>
      </x:c>
    </x:row>
    <x:row r="1347">
      <x:c r="A1347" s="34" t="str">
        <x:v>randoop</x:v>
      </x:c>
      <x:c r="B1347" s="34" t="str">
        <x:v>JacksonDatabind</x:v>
      </x:c>
      <x:c r="C1347" s="34" t="str">
        <x:v>Round2</x:v>
      </x:c>
      <x:c r="D1347" s="34" t="str">
        <x:v>JacksonDatabind_102</x:v>
      </x:c>
      <x:c r="E1347" s="34" t="str">
        <x:v>Coverage</x:v>
      </x:c>
      <x:c r="F1347" s="34" t="n">
        <x:v>123</x:v>
      </x:c>
      <x:c r="G1347" s="34" t="str">
        <x:v>RECORDED</x:v>
      </x:c>
      <x:c r="H1347" s="38" t="n">
        <x:f>IF(ISNUMBER('Data'!G1347),'Data'!G1347*100,"")</x:f>
        <x:v>0</x:v>
      </x:c>
      <x:c r="I1347" s="34" t="str">
        <x:v>PASS</x:v>
      </x:c>
      <x:c r="J1347" s="34" t="str">
        <x:v>PASS</x:v>
      </x:c>
      <x:c r="K1347" s="34" t="str">
        <x:v>PASS</x:v>
      </x:c>
      <x:c r="L1347" s="34" t="str">
        <x:v>PASS</x:v>
      </x:c>
      <x:c r="M1347" s="34" t="str">
        <x:v>numeric coverage for applicable metric</x:v>
      </x:c>
      <x:c r="N1347" s="34" t="str">
        <x:v>Feedback-Directed Random Test Generation/Result_Round2/JacksonDatabind_102/result.json</x:v>
      </x:c>
      <x:c r="O1347" s="38" t="n">
        <x:f>IF(AND(G1347="RECORDED",ISNUMBER(H1347)),H1347,"")</x:f>
        <x:v>0</x:v>
      </x:c>
      <x:c r="P1347" s="34" t="str">
        <x:v>NOT_REVEALING</x:v>
      </x:c>
      <x:c r="Q1347" s="34" t="str">
        <x:v>Feedback-Directed Random Test Generation/Result_Round2/JacksonDatabind_102/result.json</x:v>
      </x:c>
    </x:row>
    <x:row r="1348">
      <x:c r="A1348" s="34" t="str">
        <x:v>randoop</x:v>
      </x:c>
      <x:c r="B1348" s="34" t="str">
        <x:v>JacksonDatabind</x:v>
      </x:c>
      <x:c r="C1348" s="34" t="str">
        <x:v>Round2</x:v>
      </x:c>
      <x:c r="D1348" s="34" t="str">
        <x:v>JacksonDatabind_103</x:v>
      </x:c>
      <x:c r="E1348" s="34" t="str">
        <x:v>Coverage</x:v>
      </x:c>
      <x:c r="F1348" s="34" t="n">
        <x:v>6791</x:v>
      </x:c>
      <x:c r="G1348" s="34" t="str">
        <x:v>RECORDED</x:v>
      </x:c>
      <x:c r="H1348" s="38" t="n">
        <x:f>IF(ISNUMBER('Data'!G1348),'Data'!G1348*100,"")</x:f>
        <x:v>12.15</x:v>
      </x:c>
      <x:c r="I1348" s="34" t="str">
        <x:v>PASS</x:v>
      </x:c>
      <x:c r="J1348" s="34" t="str">
        <x:v>PASS</x:v>
      </x:c>
      <x:c r="K1348" s="34" t="str">
        <x:v>PASS</x:v>
      </x:c>
      <x:c r="L1348" s="34" t="str">
        <x:v>FAIL</x:v>
      </x:c>
      <x:c r="M1348" s="34" t="str">
        <x:v>numeric coverage for applicable metric</x:v>
      </x:c>
      <x:c r="N1348" s="34" t="str">
        <x:v>Feedback-Directed Random Test Generation/Result_Round2/JacksonDatabind_103/result.json</x:v>
      </x:c>
      <x:c r="O1348" s="38" t="n">
        <x:f>IF(AND(G1348="RECORDED",ISNUMBER(H1348)),H1348,"")</x:f>
        <x:v>12.15</x:v>
      </x:c>
      <x:c r="P1348" s="34" t="str">
        <x:v>INCONCLUSIVE</x:v>
      </x:c>
      <x:c r="Q1348" s="34" t="str">
        <x:v>Feedback-Directed Random Test Generation/Result_Round2/JacksonDatabind_103/result.json</x:v>
      </x:c>
    </x:row>
    <x:row r="1349">
      <x:c r="A1349" s="34" t="str">
        <x:v>randoop</x:v>
      </x:c>
      <x:c r="B1349" s="34" t="str">
        <x:v>JacksonDatabind</x:v>
      </x:c>
      <x:c r="C1349" s="34" t="str">
        <x:v>Round2</x:v>
      </x:c>
      <x:c r="D1349" s="34" t="str">
        <x:v>JacksonDatabind_104</x:v>
      </x:c>
      <x:c r="E1349" s="34" t="str">
        <x:v>Coverage</x:v>
      </x:c>
      <x:c r="F1349" s="34" t="n">
        <x:v>395</x:v>
      </x:c>
      <x:c r="G1349" s="34" t="str">
        <x:v>RECORDED</x:v>
      </x:c>
      <x:c r="H1349" s="38" t="n">
        <x:f>IF(ISNUMBER('Data'!G1349),'Data'!G1349*100,"")</x:f>
        <x:v>81.27</x:v>
      </x:c>
      <x:c r="I1349" s="34" t="str">
        <x:v>PASS</x:v>
      </x:c>
      <x:c r="J1349" s="34" t="str">
        <x:v>PASS</x:v>
      </x:c>
      <x:c r="K1349" s="34" t="str">
        <x:v>PASS</x:v>
      </x:c>
      <x:c r="L1349" s="34" t="str">
        <x:v>FAIL</x:v>
      </x:c>
      <x:c r="M1349" s="34" t="str">
        <x:v>numeric coverage for applicable metric</x:v>
      </x:c>
      <x:c r="N1349" s="34" t="str">
        <x:v>Feedback-Directed Random Test Generation/Result_Round2/JacksonDatabind_104/result.json</x:v>
      </x:c>
      <x:c r="O1349" s="38" t="n">
        <x:f>IF(AND(G1349="RECORDED",ISNUMBER(H1349)),H1349,"")</x:f>
        <x:v>81.27</x:v>
      </x:c>
      <x:c r="P1349" s="34" t="str">
        <x:v>INCONCLUSIVE</x:v>
      </x:c>
      <x:c r="Q1349" s="34" t="str">
        <x:v>Feedback-Directed Random Test Generation/Result_Round2/JacksonDatabind_104/result.json</x:v>
      </x:c>
    </x:row>
    <x:row r="1350">
      <x:c r="A1350" s="34" t="str">
        <x:v>randoop</x:v>
      </x:c>
      <x:c r="B1350" s="34" t="str">
        <x:v>JacksonDatabind</x:v>
      </x:c>
      <x:c r="C1350" s="34" t="str">
        <x:v>Round2</x:v>
      </x:c>
      <x:c r="D1350" s="34" t="str">
        <x:v>JacksonDatabind_105</x:v>
      </x:c>
      <x:c r="E1350" s="34" t="str">
        <x:v>Coverage</x:v>
      </x:c>
      <x:c r="F1350" s="34" t="n">
        <x:v>31</x:v>
      </x:c>
      <x:c r="G1350" s="34" t="str">
        <x:v>RECORDED</x:v>
      </x:c>
      <x:c r="H1350" s="38" t="n">
        <x:f>IF(ISNUMBER('Data'!G1350),'Data'!G1350*100,"")</x:f>
        <x:v>19.35</x:v>
      </x:c>
      <x:c r="I1350" s="34" t="str">
        <x:v>PASS</x:v>
      </x:c>
      <x:c r="J1350" s="34" t="str">
        <x:v>PASS</x:v>
      </x:c>
      <x:c r="K1350" s="34" t="str">
        <x:v>PASS</x:v>
      </x:c>
      <x:c r="L1350" s="34" t="str">
        <x:v>PASS</x:v>
      </x:c>
      <x:c r="M1350" s="34" t="str">
        <x:v>numeric coverage for applicable metric</x:v>
      </x:c>
      <x:c r="N1350" s="34" t="str">
        <x:v>Feedback-Directed Random Test Generation/Result_Round2/JacksonDatabind_105/result.json</x:v>
      </x:c>
      <x:c r="O1350" s="38" t="n">
        <x:f>IF(AND(G1350="RECORDED",ISNUMBER(H1350)),H1350,"")</x:f>
        <x:v>19.35</x:v>
      </x:c>
      <x:c r="P1350" s="34" t="str">
        <x:v>NOT_REVEALING</x:v>
      </x:c>
      <x:c r="Q1350" s="34" t="str">
        <x:v>Feedback-Directed Random Test Generation/Result_Round2/JacksonDatabind_105/result.json</x:v>
      </x:c>
    </x:row>
    <x:row r="1351">
      <x:c r="A1351" s="34" t="str">
        <x:v>randoop</x:v>
      </x:c>
      <x:c r="B1351" s="34" t="str">
        <x:v>JacksonDatabind</x:v>
      </x:c>
      <x:c r="C1351" s="34" t="str">
        <x:v>Round2</x:v>
      </x:c>
      <x:c r="D1351" s="34" t="str">
        <x:v>JacksonDatabind_106</x:v>
      </x:c>
      <x:c r="E1351" s="34" t="str">
        <x:v>Coverage</x:v>
      </x:c>
      <x:c r="F1351" s="34" t="n">
        <x:v>198</x:v>
      </x:c>
      <x:c r="G1351" s="34" t="str">
        <x:v>RECORDED</x:v>
      </x:c>
      <x:c r="H1351" s="38" t="n">
        <x:f>IF(ISNUMBER('Data'!G1351),'Data'!G1351*100,"")</x:f>
        <x:v>2.02</x:v>
      </x:c>
      <x:c r="I1351" s="34" t="str">
        <x:v>PASS</x:v>
      </x:c>
      <x:c r="J1351" s="34" t="str">
        <x:v>PASS</x:v>
      </x:c>
      <x:c r="K1351" s="34" t="str">
        <x:v>PASS</x:v>
      </x:c>
      <x:c r="L1351" s="34" t="str">
        <x:v>PASS</x:v>
      </x:c>
      <x:c r="M1351" s="34" t="str">
        <x:v>numeric coverage for applicable metric</x:v>
      </x:c>
      <x:c r="N1351" s="34" t="str">
        <x:v>Feedback-Directed Random Test Generation/Result_Round2/JacksonDatabind_106/result.json</x:v>
      </x:c>
      <x:c r="O1351" s="38" t="n">
        <x:f>IF(AND(G1351="RECORDED",ISNUMBER(H1351)),H1351,"")</x:f>
        <x:v>2.02</x:v>
      </x:c>
      <x:c r="P1351" s="34" t="str">
        <x:v>NOT_REVEALING</x:v>
      </x:c>
      <x:c r="Q1351" s="34" t="str">
        <x:v>Feedback-Directed Random Test Generation/Result_Round2/JacksonDatabind_106/result.json</x:v>
      </x:c>
    </x:row>
    <x:row r="1352">
      <x:c r="A1352" s="34" t="str">
        <x:v>randoop</x:v>
      </x:c>
      <x:c r="B1352" s="34" t="str">
        <x:v>JacksonDatabind</x:v>
      </x:c>
      <x:c r="C1352" s="34" t="str">
        <x:v>Round2</x:v>
      </x:c>
      <x:c r="D1352" s="34" t="str">
        <x:v>JacksonDatabind_107</x:v>
      </x:c>
      <x:c r="E1352" s="34" t="str">
        <x:v>Coverage</x:v>
      </x:c>
      <x:c r="F1352" s="34" t="n">
        <x:v>109</x:v>
      </x:c>
      <x:c r="G1352" s="34" t="str">
        <x:v>RECORDED</x:v>
      </x:c>
      <x:c r="H1352" s="38" t="n">
        <x:f>IF(ISNUMBER('Data'!G1352),'Data'!G1352*100,"")</x:f>
        <x:v>0</x:v>
      </x:c>
      <x:c r="I1352" s="34" t="str">
        <x:v>PASS</x:v>
      </x:c>
      <x:c r="J1352" s="34" t="str">
        <x:v>PASS</x:v>
      </x:c>
      <x:c r="K1352" s="34" t="str">
        <x:v>PASS</x:v>
      </x:c>
      <x:c r="L1352" s="34" t="str">
        <x:v>PASS</x:v>
      </x:c>
      <x:c r="M1352" s="34" t="str">
        <x:v>numeric coverage for applicable metric</x:v>
      </x:c>
      <x:c r="N1352" s="34" t="str">
        <x:v>Feedback-Directed Random Test Generation/Result_Round2/JacksonDatabind_107/result.json</x:v>
      </x:c>
      <x:c r="O1352" s="38" t="n">
        <x:f>IF(AND(G1352="RECORDED",ISNUMBER(H1352)),H1352,"")</x:f>
        <x:v>0</x:v>
      </x:c>
      <x:c r="P1352" s="34" t="str">
        <x:v>NOT_REVEALING</x:v>
      </x:c>
      <x:c r="Q1352" s="34" t="str">
        <x:v>Feedback-Directed Random Test Generation/Result_Round2/JacksonDatabind_107/result.json</x:v>
      </x:c>
    </x:row>
    <x:row r="1353">
      <x:c r="A1353" s="34" t="str">
        <x:v>randoop</x:v>
      </x:c>
      <x:c r="B1353" s="34" t="str">
        <x:v>JacksonDatabind</x:v>
      </x:c>
      <x:c r="C1353" s="34" t="str">
        <x:v>Round2</x:v>
      </x:c>
      <x:c r="D1353" s="34" t="str">
        <x:v>JacksonDatabind_108</x:v>
      </x:c>
      <x:c r="E1353" s="34" t="str">
        <x:v>Coverage</x:v>
      </x:c>
      <x:c r="F1353" s="34" t="n">
        <x:v>615</x:v>
      </x:c>
      <x:c r="G1353" s="34" t="str">
        <x:v>RECORDED</x:v>
      </x:c>
      <x:c r="H1353" s="38" t="n">
        <x:f>IF(ISNUMBER('Data'!G1353),'Data'!G1353*100,"")</x:f>
        <x:v>2.44</x:v>
      </x:c>
      <x:c r="I1353" s="34" t="str">
        <x:v>PASS</x:v>
      </x:c>
      <x:c r="J1353" s="34" t="str">
        <x:v>PASS</x:v>
      </x:c>
      <x:c r="K1353" s="34" t="str">
        <x:v>PASS</x:v>
      </x:c>
      <x:c r="L1353" s="34" t="str">
        <x:v>PASS</x:v>
      </x:c>
      <x:c r="M1353" s="34" t="str">
        <x:v>numeric coverage for applicable metric</x:v>
      </x:c>
      <x:c r="N1353" s="34" t="str">
        <x:v>Feedback-Directed Random Test Generation/Result_Round2/JacksonDatabind_108/result.json</x:v>
      </x:c>
      <x:c r="O1353" s="38" t="n">
        <x:f>IF(AND(G1353="RECORDED",ISNUMBER(H1353)),H1353,"")</x:f>
        <x:v>2.44</x:v>
      </x:c>
      <x:c r="P1353" s="34" t="str">
        <x:v>NOT_REVEALING</x:v>
      </x:c>
      <x:c r="Q1353" s="34" t="str">
        <x:v>Feedback-Directed Random Test Generation/Result_Round2/JacksonDatabind_108/result.json</x:v>
      </x:c>
    </x:row>
    <x:row r="1354">
      <x:c r="A1354" s="34" t="str">
        <x:v>randoop</x:v>
      </x:c>
      <x:c r="B1354" s="34" t="str">
        <x:v>JacksonDatabind</x:v>
      </x:c>
      <x:c r="C1354" s="34" t="str">
        <x:v>Round2</x:v>
      </x:c>
      <x:c r="D1354" s="34" t="str">
        <x:v>JacksonDatabind_109</x:v>
      </x:c>
      <x:c r="E1354" s="34" t="str">
        <x:v>Coverage</x:v>
      </x:c>
      <x:c r="F1354" s="34" t="n">
        <x:v>133</x:v>
      </x:c>
      <x:c r="G1354" s="34" t="str">
        <x:v>RECORDED</x:v>
      </x:c>
      <x:c r="H1354" s="38" t="n">
        <x:f>IF(ISNUMBER('Data'!G1354),'Data'!G1354*100,"")</x:f>
        <x:v>50.38</x:v>
      </x:c>
      <x:c r="I1354" s="34" t="str">
        <x:v>PASS</x:v>
      </x:c>
      <x:c r="J1354" s="34" t="str">
        <x:v>PASS</x:v>
      </x:c>
      <x:c r="K1354" s="34" t="str">
        <x:v>PASS</x:v>
      </x:c>
      <x:c r="L1354" s="34" t="str">
        <x:v>PASS</x:v>
      </x:c>
      <x:c r="M1354" s="34" t="str">
        <x:v>numeric coverage for applicable metric</x:v>
      </x:c>
      <x:c r="N1354" s="34" t="str">
        <x:v>Feedback-Directed Random Test Generation/Result_Round2/JacksonDatabind_109/result.json</x:v>
      </x:c>
      <x:c r="O1354" s="38" t="n">
        <x:f>IF(AND(G1354="RECORDED",ISNUMBER(H1354)),H1354,"")</x:f>
        <x:v>50.38</x:v>
      </x:c>
      <x:c r="P1354" s="34" t="str">
        <x:v>NOT_REVEALING</x:v>
      </x:c>
      <x:c r="Q1354" s="34" t="str">
        <x:v>Feedback-Directed Random Test Generation/Result_Round2/JacksonDatabind_109/result.json</x:v>
      </x:c>
    </x:row>
    <x:row r="1355">
      <x:c r="A1355" s="34" t="str">
        <x:v>randoop</x:v>
      </x:c>
      <x:c r="B1355" s="34" t="str">
        <x:v>JacksonDatabind</x:v>
      </x:c>
      <x:c r="C1355" s="34" t="str">
        <x:v>Round2</x:v>
      </x:c>
      <x:c r="D1355" s="34" t="str">
        <x:v>JacksonDatabind_110</x:v>
      </x:c>
      <x:c r="E1355" s="34" t="str">
        <x:v>Coverage</x:v>
      </x:c>
      <x:c r="F1355" s="34" t="n">
        <x:v>83</x:v>
      </x:c>
      <x:c r="G1355" s="34" t="str">
        <x:v>RECORDED</x:v>
      </x:c>
      <x:c r="H1355" s="38" t="n">
        <x:f>IF(ISNUMBER('Data'!G1355),'Data'!G1355*100,"")</x:f>
        <x:v>15.659999999999998</x:v>
      </x:c>
      <x:c r="I1355" s="34" t="str">
        <x:v>PASS</x:v>
      </x:c>
      <x:c r="J1355" s="34" t="str">
        <x:v>PASS</x:v>
      </x:c>
      <x:c r="K1355" s="34" t="str">
        <x:v>PASS</x:v>
      </x:c>
      <x:c r="L1355" s="34" t="str">
        <x:v>PASS</x:v>
      </x:c>
      <x:c r="M1355" s="34" t="str">
        <x:v>numeric coverage for applicable metric</x:v>
      </x:c>
      <x:c r="N1355" s="34" t="str">
        <x:v>Feedback-Directed Random Test Generation/Result_Round2/JacksonDatabind_110/result.json</x:v>
      </x:c>
      <x:c r="O1355" s="38" t="n">
        <x:f>IF(AND(G1355="RECORDED",ISNUMBER(H1355)),H1355,"")</x:f>
        <x:v>15.659999999999998</x:v>
      </x:c>
      <x:c r="P1355" s="34" t="str">
        <x:v>NOT_REVEALING</x:v>
      </x:c>
      <x:c r="Q1355" s="34" t="str">
        <x:v>Feedback-Directed Random Test Generation/Result_Round2/JacksonDatabind_110/result.json</x:v>
      </x:c>
    </x:row>
    <x:row r="1356">
      <x:c r="A1356" s="34" t="str">
        <x:v>randoop</x:v>
      </x:c>
      <x:c r="B1356" s="34" t="str">
        <x:v>JacksonDatabind</x:v>
      </x:c>
      <x:c r="C1356" s="34" t="str">
        <x:v>Round2</x:v>
      </x:c>
      <x:c r="D1356" s="34" t="str">
        <x:v>JacksonDatabind_111</x:v>
      </x:c>
      <x:c r="E1356" s="34" t="str">
        <x:v>Coverage</x:v>
      </x:c>
      <x:c r="F1356" s="34" t="n">
        <x:v>439</x:v>
      </x:c>
      <x:c r="G1356" s="34" t="str">
        <x:v>RECORDED</x:v>
      </x:c>
      <x:c r="H1356" s="38" t="n">
        <x:f>IF(ISNUMBER('Data'!G1356),'Data'!G1356*100,"")</x:f>
        <x:v>20.73</x:v>
      </x:c>
      <x:c r="I1356" s="34" t="str">
        <x:v>PASS</x:v>
      </x:c>
      <x:c r="J1356" s="34" t="str">
        <x:v>PASS</x:v>
      </x:c>
      <x:c r="K1356" s="34" t="str">
        <x:v>PASS</x:v>
      </x:c>
      <x:c r="L1356" s="34" t="str">
        <x:v>PASS</x:v>
      </x:c>
      <x:c r="M1356" s="34" t="str">
        <x:v>numeric coverage for applicable metric</x:v>
      </x:c>
      <x:c r="N1356" s="34" t="str">
        <x:v>Feedback-Directed Random Test Generation/Result_Round2/JacksonDatabind_111/result.json</x:v>
      </x:c>
      <x:c r="O1356" s="38" t="n">
        <x:f>IF(AND(G1356="RECORDED",ISNUMBER(H1356)),H1356,"")</x:f>
        <x:v>20.73</x:v>
      </x:c>
      <x:c r="P1356" s="34" t="str">
        <x:v>NOT_REVEALING</x:v>
      </x:c>
      <x:c r="Q1356" s="34" t="str">
        <x:v>Feedback-Directed Random Test Generation/Result_Round2/JacksonDatabind_111/result.json</x:v>
      </x:c>
    </x:row>
    <x:row r="1357">
      <x:c r="A1357" s="34" t="str">
        <x:v>randoop</x:v>
      </x:c>
      <x:c r="B1357" s="34" t="str">
        <x:v>JacksonDatabind</x:v>
      </x:c>
      <x:c r="C1357" s="34" t="str">
        <x:v>Round2</x:v>
      </x:c>
      <x:c r="D1357" s="34" t="str">
        <x:v>JacksonDatabind_112</x:v>
      </x:c>
      <x:c r="E1357" s="34" t="str">
        <x:v>Coverage</x:v>
      </x:c>
      <x:c r="F1357" s="34" t="n">
        <x:v>146</x:v>
      </x:c>
      <x:c r="G1357" s="34" t="str">
        <x:v>RECORDED</x:v>
      </x:c>
      <x:c r="H1357" s="38" t="n">
        <x:f>IF(ISNUMBER('Data'!G1357),'Data'!G1357*100,"")</x:f>
        <x:v>0</x:v>
      </x:c>
      <x:c r="I1357" s="34" t="str">
        <x:v>PASS</x:v>
      </x:c>
      <x:c r="J1357" s="34" t="str">
        <x:v>PASS</x:v>
      </x:c>
      <x:c r="K1357" s="34" t="str">
        <x:v>PASS</x:v>
      </x:c>
      <x:c r="L1357" s="34" t="str">
        <x:v>PASS</x:v>
      </x:c>
      <x:c r="M1357" s="34" t="str">
        <x:v>numeric coverage for applicable metric</x:v>
      </x:c>
      <x:c r="N1357" s="34" t="str">
        <x:v>Feedback-Directed Random Test Generation/Result_Round2/JacksonDatabind_112/result.json</x:v>
      </x:c>
      <x:c r="O1357" s="38" t="n">
        <x:f>IF(AND(G1357="RECORDED",ISNUMBER(H1357)),H1357,"")</x:f>
        <x:v>0</x:v>
      </x:c>
      <x:c r="P1357" s="34" t="str">
        <x:v>NOT_REVEALING</x:v>
      </x:c>
      <x:c r="Q1357" s="34" t="str">
        <x:v>Feedback-Directed Random Test Generation/Result_Round2/JacksonDatabind_112/result.json</x:v>
      </x:c>
    </x:row>
    <x:row r="1358">
      <x:c r="A1358" s="34" t="str">
        <x:v>randoop</x:v>
      </x:c>
      <x:c r="B1358" s="34" t="str">
        <x:v>JacksonXml</x:v>
      </x:c>
      <x:c r="C1358" s="34" t="str">
        <x:v>Round2</x:v>
      </x:c>
      <x:c r="D1358" s="34" t="str">
        <x:v>JacksonXml_1</x:v>
      </x:c>
      <x:c r="E1358" s="34" t="str">
        <x:v>Coverage</x:v>
      </x:c>
      <x:c r="F1358" s="34" t="n">
        <x:v>441</x:v>
      </x:c>
      <x:c r="G1358" s="34" t="str">
        <x:v>RECORDED</x:v>
      </x:c>
      <x:c r="H1358" s="38" t="n">
        <x:f>IF(ISNUMBER('Data'!G1358),'Data'!G1358*100,"")</x:f>
        <x:v>3.17</x:v>
      </x:c>
      <x:c r="I1358" s="34" t="str">
        <x:v>PASS</x:v>
      </x:c>
      <x:c r="J1358" s="34" t="str">
        <x:v>PASS</x:v>
      </x:c>
      <x:c r="K1358" s="34" t="str">
        <x:v>PASS</x:v>
      </x:c>
      <x:c r="L1358" s="34" t="str">
        <x:v>PASS</x:v>
      </x:c>
      <x:c r="M1358" s="34" t="str">
        <x:v>numeric coverage for applicable metric</x:v>
      </x:c>
      <x:c r="N1358" s="34" t="str">
        <x:v>Feedback-Directed Random Test Generation/Result_Round2/JacksonXml_1/result.json</x:v>
      </x:c>
      <x:c r="O1358" s="38" t="n">
        <x:f>IF(AND(G1358="RECORDED",ISNUMBER(H1358)),H1358,"")</x:f>
        <x:v>3.17</x:v>
      </x:c>
      <x:c r="P1358" s="34" t="str">
        <x:v>NOT_REVEALING</x:v>
      </x:c>
      <x:c r="Q1358" s="34" t="str">
        <x:v>Feedback-Directed Random Test Generation/Result_Round2/JacksonXml_1/result.json</x:v>
      </x:c>
    </x:row>
    <x:row r="1359">
      <x:c r="A1359" s="34" t="str">
        <x:v>randoop</x:v>
      </x:c>
      <x:c r="B1359" s="34" t="str">
        <x:v>JacksonXml</x:v>
      </x:c>
      <x:c r="C1359" s="34" t="str">
        <x:v>Round2</x:v>
      </x:c>
      <x:c r="D1359" s="34" t="str">
        <x:v>JacksonXml_2</x:v>
      </x:c>
      <x:c r="E1359" s="34" t="str">
        <x:v>Coverage</x:v>
      </x:c>
      <x:c r="F1359" s="34" t="n">
        <x:v>244</x:v>
      </x:c>
      <x:c r="G1359" s="34" t="str">
        <x:v>RECORDED</x:v>
      </x:c>
      <x:c r="H1359" s="38" t="n">
        <x:f>IF(ISNUMBER('Data'!G1359),'Data'!G1359*100,"")</x:f>
        <x:v>1.6399999999999997</x:v>
      </x:c>
      <x:c r="I1359" s="34" t="str">
        <x:v>PASS</x:v>
      </x:c>
      <x:c r="J1359" s="34" t="str">
        <x:v>PASS</x:v>
      </x:c>
      <x:c r="K1359" s="34" t="str">
        <x:v>PASS</x:v>
      </x:c>
      <x:c r="L1359" s="34" t="str">
        <x:v>PASS</x:v>
      </x:c>
      <x:c r="M1359" s="34" t="str">
        <x:v>numeric coverage for applicable metric</x:v>
      </x:c>
      <x:c r="N1359" s="34" t="str">
        <x:v>Feedback-Directed Random Test Generation/Result_Round2/JacksonXml_2/result.json</x:v>
      </x:c>
      <x:c r="O1359" s="38" t="n">
        <x:f>IF(AND(G1359="RECORDED",ISNUMBER(H1359)),H1359,"")</x:f>
        <x:v>1.6399999999999997</x:v>
      </x:c>
      <x:c r="P1359" s="34" t="str">
        <x:v>NOT_REVEALING</x:v>
      </x:c>
      <x:c r="Q1359" s="34" t="str">
        <x:v>Feedback-Directed Random Test Generation/Result_Round2/JacksonXml_2/result.json</x:v>
      </x:c>
    </x:row>
    <x:row r="1360">
      <x:c r="A1360" s="34" t="str">
        <x:v>randoop</x:v>
      </x:c>
      <x:c r="B1360" s="34" t="str">
        <x:v>JacksonXml</x:v>
      </x:c>
      <x:c r="C1360" s="34" t="str">
        <x:v>Round2</x:v>
      </x:c>
      <x:c r="D1360" s="34" t="str">
        <x:v>JacksonXml_3</x:v>
      </x:c>
      <x:c r="E1360" s="34" t="str">
        <x:v>Coverage</x:v>
      </x:c>
      <x:c r="F1360" s="34" t="n">
        <x:v>446</x:v>
      </x:c>
      <x:c r="G1360" s="34" t="str">
        <x:v>RECORDED</x:v>
      </x:c>
      <x:c r="H1360" s="38" t="n">
        <x:f>IF(ISNUMBER('Data'!G1360),'Data'!G1360*100,"")</x:f>
        <x:v>3.1400000000000006</x:v>
      </x:c>
      <x:c r="I1360" s="34" t="str">
        <x:v>PASS</x:v>
      </x:c>
      <x:c r="J1360" s="34" t="str">
        <x:v>PASS</x:v>
      </x:c>
      <x:c r="K1360" s="34" t="str">
        <x:v>PASS</x:v>
      </x:c>
      <x:c r="L1360" s="34" t="str">
        <x:v>PASS</x:v>
      </x:c>
      <x:c r="M1360" s="34" t="str">
        <x:v>numeric coverage for applicable metric</x:v>
      </x:c>
      <x:c r="N1360" s="34" t="str">
        <x:v>Feedback-Directed Random Test Generation/Result_Round2/JacksonXml_3/result.json</x:v>
      </x:c>
      <x:c r="O1360" s="38" t="n">
        <x:f>IF(AND(G1360="RECORDED",ISNUMBER(H1360)),H1360,"")</x:f>
        <x:v>3.1400000000000006</x:v>
      </x:c>
      <x:c r="P1360" s="34" t="str">
        <x:v>NOT_REVEALING</x:v>
      </x:c>
      <x:c r="Q1360" s="34" t="str">
        <x:v>Feedback-Directed Random Test Generation/Result_Round2/JacksonXml_3/result.json</x:v>
      </x:c>
    </x:row>
    <x:row r="1361">
      <x:c r="A1361" s="34" t="str">
        <x:v>randoop</x:v>
      </x:c>
      <x:c r="B1361" s="34" t="str">
        <x:v>JacksonXml</x:v>
      </x:c>
      <x:c r="C1361" s="34" t="str">
        <x:v>Round2</x:v>
      </x:c>
      <x:c r="D1361" s="34" t="str">
        <x:v>JacksonXml_4</x:v>
      </x:c>
      <x:c r="E1361" s="34" t="str">
        <x:v>Coverage</x:v>
      </x:c>
      <x:c r="F1361" s="34" t="n">
        <x:v>177</x:v>
      </x:c>
      <x:c r="G1361" s="34" t="str">
        <x:v>RECORDED</x:v>
      </x:c>
      <x:c r="H1361" s="38" t="n">
        <x:f>IF(ISNUMBER('Data'!G1361),'Data'!G1361*100,"")</x:f>
        <x:v>19.21</x:v>
      </x:c>
      <x:c r="I1361" s="34" t="str">
        <x:v>PASS</x:v>
      </x:c>
      <x:c r="J1361" s="34" t="str">
        <x:v>PASS</x:v>
      </x:c>
      <x:c r="K1361" s="34" t="str">
        <x:v>PASS</x:v>
      </x:c>
      <x:c r="L1361" s="34" t="str">
        <x:v>PASS</x:v>
      </x:c>
      <x:c r="M1361" s="34" t="str">
        <x:v>numeric coverage for applicable metric</x:v>
      </x:c>
      <x:c r="N1361" s="34" t="str">
        <x:v>Feedback-Directed Random Test Generation/Result_Round2/JacksonXml_4/result.json</x:v>
      </x:c>
      <x:c r="O1361" s="38" t="n">
        <x:f>IF(AND(G1361="RECORDED",ISNUMBER(H1361)),H1361,"")</x:f>
        <x:v>19.21</x:v>
      </x:c>
      <x:c r="P1361" s="34" t="str">
        <x:v>INCONCLUSIVE</x:v>
      </x:c>
      <x:c r="Q1361" s="34" t="str">
        <x:v>Feedback-Directed Random Test Generation/Result_Round2/JacksonXml_4/result.json</x:v>
      </x:c>
    </x:row>
    <x:row r="1362">
      <x:c r="A1362" s="34" t="str">
        <x:v>randoop</x:v>
      </x:c>
      <x:c r="B1362" s="34" t="str">
        <x:v>JacksonXml</x:v>
      </x:c>
      <x:c r="C1362" s="34" t="str">
        <x:v>Round2</x:v>
      </x:c>
      <x:c r="D1362" s="34" t="str">
        <x:v>JacksonXml_5</x:v>
      </x:c>
      <x:c r="E1362" s="34" t="str">
        <x:v>Coverage</x:v>
      </x:c>
      <x:c r="F1362" s="34" t="n">
        <x:v>144</x:v>
      </x:c>
      <x:c r="G1362" s="34" t="str">
        <x:v>RECORDED</x:v>
      </x:c>
      <x:c r="H1362" s="38" t="n">
        <x:f>IF(ISNUMBER('Data'!G1362),'Data'!G1362*100,"")</x:f>
        <x:v>25</x:v>
      </x:c>
      <x:c r="I1362" s="34" t="str">
        <x:v>PASS</x:v>
      </x:c>
      <x:c r="J1362" s="34" t="str">
        <x:v>PASS</x:v>
      </x:c>
      <x:c r="K1362" s="34" t="str">
        <x:v>PASS</x:v>
      </x:c>
      <x:c r="L1362" s="34" t="str">
        <x:v>PASS</x:v>
      </x:c>
      <x:c r="M1362" s="34" t="str">
        <x:v>numeric coverage for applicable metric</x:v>
      </x:c>
      <x:c r="N1362" s="34" t="str">
        <x:v>Feedback-Directed Random Test Generation/Result_Round2/JacksonXml_5/result.json</x:v>
      </x:c>
      <x:c r="O1362" s="38" t="n">
        <x:f>IF(AND(G1362="RECORDED",ISNUMBER(H1362)),H1362,"")</x:f>
        <x:v>25</x:v>
      </x:c>
      <x:c r="P1362" s="34" t="str">
        <x:v>INCONCLUSIVE</x:v>
      </x:c>
      <x:c r="Q1362" s="34" t="str">
        <x:v>Feedback-Directed Random Test Generation/Result_Round2/JacksonXml_5/result.json</x:v>
      </x:c>
    </x:row>
    <x:row r="1363">
      <x:c r="A1363" s="34" t="str">
        <x:v>randoop</x:v>
      </x:c>
      <x:c r="B1363" s="34" t="str">
        <x:v>JacksonXml</x:v>
      </x:c>
      <x:c r="C1363" s="34" t="str">
        <x:v>Round2</x:v>
      </x:c>
      <x:c r="D1363" s="34" t="str">
        <x:v>JacksonXml_6</x:v>
      </x:c>
      <x:c r="E1363" s="34" t="str">
        <x:v>Coverage</x:v>
      </x:c>
      <x:c r="F1363" s="34" t="n">
        <x:v>707</x:v>
      </x:c>
      <x:c r="G1363" s="34" t="str">
        <x:v>RECORDED</x:v>
      </x:c>
      <x:c r="H1363" s="38" t="n">
        <x:f>IF(ISNUMBER('Data'!G1363),'Data'!G1363*100,"")</x:f>
        <x:v>4.1</x:v>
      </x:c>
      <x:c r="I1363" s="34" t="str">
        <x:v>PASS</x:v>
      </x:c>
      <x:c r="J1363" s="34" t="str">
        <x:v>PASS</x:v>
      </x:c>
      <x:c r="K1363" s="34" t="str">
        <x:v>PASS</x:v>
      </x:c>
      <x:c r="L1363" s="34" t="str">
        <x:v>PASS</x:v>
      </x:c>
      <x:c r="M1363" s="34" t="str">
        <x:v>numeric coverage for applicable metric</x:v>
      </x:c>
      <x:c r="N1363" s="34" t="str">
        <x:v>Feedback-Directed Random Test Generation/Result_Round2/JacksonXml_6/result.json</x:v>
      </x:c>
      <x:c r="O1363" s="38" t="n">
        <x:f>IF(AND(G1363="RECORDED",ISNUMBER(H1363)),H1363,"")</x:f>
        <x:v>4.1</x:v>
      </x:c>
      <x:c r="P1363" s="34" t="str">
        <x:v>NOT_REVEALING</x:v>
      </x:c>
      <x:c r="Q1363" s="34" t="str">
        <x:v>Feedback-Directed Random Test Generation/Result_Round2/JacksonXml_6/result.json</x:v>
      </x:c>
    </x:row>
    <x:row r="1364">
      <x:c r="A1364" s="34" t="str">
        <x:v>randoop</x:v>
      </x:c>
      <x:c r="B1364" s="34" t="str">
        <x:v>Jsoup</x:v>
      </x:c>
      <x:c r="C1364" s="34" t="str">
        <x:v>Round2</x:v>
      </x:c>
      <x:c r="D1364" s="34" t="str">
        <x:v>Jsoup_1</x:v>
      </x:c>
      <x:c r="E1364" s="34" t="str">
        <x:v>Coverage</x:v>
      </x:c>
      <x:c r="F1364" s="34" t="n">
        <x:v>64</x:v>
      </x:c>
      <x:c r="G1364" s="34" t="str">
        <x:v>RECORDED</x:v>
      </x:c>
      <x:c r="H1364" s="38" t="n">
        <x:f>IF(ISNUMBER('Data'!G1364),'Data'!G1364*100,"")</x:f>
        <x:v>100</x:v>
      </x:c>
      <x:c r="I1364" s="34" t="str">
        <x:v>PASS</x:v>
      </x:c>
      <x:c r="J1364" s="34" t="str">
        <x:v>PASS</x:v>
      </x:c>
      <x:c r="K1364" s="34" t="str">
        <x:v>PASS</x:v>
      </x:c>
      <x:c r="L1364" s="34" t="str">
        <x:v>FAIL</x:v>
      </x:c>
      <x:c r="M1364" s="34" t="str">
        <x:v>numeric coverage for applicable metric</x:v>
      </x:c>
      <x:c r="N1364" s="34" t="str">
        <x:v>Feedback-Directed Random Test Generation/Result_Round2/Jsoup_1/result.json</x:v>
      </x:c>
      <x:c r="O1364" s="38" t="n">
        <x:f>IF(AND(G1364="RECORDED",ISNUMBER(H1364)),H1364,"")</x:f>
        <x:v>100</x:v>
      </x:c>
      <x:c r="P1364" s="34" t="str">
        <x:v>INCONCLUSIVE</x:v>
      </x:c>
      <x:c r="Q1364" s="34" t="str">
        <x:v>Feedback-Directed Random Test Generation/Result_Round2/Jsoup_1/result.json</x:v>
      </x:c>
    </x:row>
    <x:row r="1365">
      <x:c r="A1365" s="34" t="str">
        <x:v>randoop</x:v>
      </x:c>
      <x:c r="B1365" s="34" t="str">
        <x:v>Jsoup</x:v>
      </x:c>
      <x:c r="C1365" s="34" t="str">
        <x:v>Round2</x:v>
      </x:c>
      <x:c r="D1365" s="34" t="str">
        <x:v>Jsoup_2</x:v>
      </x:c>
      <x:c r="E1365" s="34" t="str">
        <x:v>Coverage</x:v>
      </x:c>
      <x:c r="F1365" s="34" t="n">
        <x:v>248</x:v>
      </x:c>
      <x:c r="G1365" s="34" t="str">
        <x:v>RECORDED</x:v>
      </x:c>
      <x:c r="H1365" s="38" t="n">
        <x:f>IF(ISNUMBER('Data'!G1365),'Data'!G1365*100,"")</x:f>
        <x:v>17.74</x:v>
      </x:c>
      <x:c r="I1365" s="34" t="str">
        <x:v>PASS</x:v>
      </x:c>
      <x:c r="J1365" s="34" t="str">
        <x:v>PASS</x:v>
      </x:c>
      <x:c r="K1365" s="34" t="str">
        <x:v>PASS</x:v>
      </x:c>
      <x:c r="L1365" s="34" t="str">
        <x:v>PASS</x:v>
      </x:c>
      <x:c r="M1365" s="34" t="str">
        <x:v>numeric coverage for applicable metric</x:v>
      </x:c>
      <x:c r="N1365" s="34" t="str">
        <x:v>Feedback-Directed Random Test Generation/Result_Round2/Jsoup_2/result.json</x:v>
      </x:c>
      <x:c r="O1365" s="38" t="n">
        <x:f>IF(AND(G1365="RECORDED",ISNUMBER(H1365)),H1365,"")</x:f>
        <x:v>17.74</x:v>
      </x:c>
      <x:c r="P1365" s="34" t="str">
        <x:v>NOT_REVEALING</x:v>
      </x:c>
      <x:c r="Q1365" s="34" t="str">
        <x:v>Feedback-Directed Random Test Generation/Result_Round2/Jsoup_2/result.json</x:v>
      </x:c>
    </x:row>
    <x:row r="1366">
      <x:c r="A1366" s="34" t="str">
        <x:v>randoop</x:v>
      </x:c>
      <x:c r="B1366" s="34" t="str">
        <x:v>Jsoup</x:v>
      </x:c>
      <x:c r="C1366" s="34" t="str">
        <x:v>Round2</x:v>
      </x:c>
      <x:c r="D1366" s="34" t="str">
        <x:v>Jsoup_3</x:v>
      </x:c>
      <x:c r="E1366" s="34" t="str">
        <x:v>Coverage</x:v>
      </x:c>
      <x:c r="F1366" s="34" t="n">
        <x:v>887</x:v>
      </x:c>
      <x:c r="G1366" s="34" t="str">
        <x:v>RECORDED</x:v>
      </x:c>
      <x:c r="H1366" s="38" t="n">
        <x:f>IF(ISNUMBER('Data'!G1366),'Data'!G1366*100,"")</x:f>
        <x:v>81.62</x:v>
      </x:c>
      <x:c r="I1366" s="34" t="str">
        <x:v>PASS</x:v>
      </x:c>
      <x:c r="J1366" s="34" t="str">
        <x:v>PASS</x:v>
      </x:c>
      <x:c r="K1366" s="34" t="str">
        <x:v>PASS</x:v>
      </x:c>
      <x:c r="L1366" s="34" t="str">
        <x:v>FAIL</x:v>
      </x:c>
      <x:c r="M1366" s="34" t="str">
        <x:v>numeric coverage for applicable metric</x:v>
      </x:c>
      <x:c r="N1366" s="34" t="str">
        <x:v>Feedback-Directed Random Test Generation/Result_Round2/Jsoup_3/result.json</x:v>
      </x:c>
      <x:c r="O1366" s="38" t="n">
        <x:f>IF(AND(G1366="RECORDED",ISNUMBER(H1366)),H1366,"")</x:f>
        <x:v>81.62</x:v>
      </x:c>
      <x:c r="P1366" s="34" t="str">
        <x:v>INCONCLUSIVE</x:v>
      </x:c>
      <x:c r="Q1366" s="34" t="str">
        <x:v>Feedback-Directed Random Test Generation/Result_Round2/Jsoup_3/result.json</x:v>
      </x:c>
    </x:row>
    <x:row r="1367">
      <x:c r="A1367" s="34" t="str">
        <x:v>randoop</x:v>
      </x:c>
      <x:c r="B1367" s="34" t="str">
        <x:v>Jsoup</x:v>
      </x:c>
      <x:c r="C1367" s="34" t="str">
        <x:v>Round2</x:v>
      </x:c>
      <x:c r="D1367" s="34" t="str">
        <x:v>Jsoup_4</x:v>
      </x:c>
      <x:c r="E1367" s="34" t="str">
        <x:v>Coverage</x:v>
      </x:c>
      <x:c r="F1367" s="34" t="n">
        <x:v>0</x:v>
      </x:c>
      <x:c r="G1367" s="34" t="str">
        <x:v>A</x:v>
      </x:c>
      <x:c r="H1367" s="38" t="str">
        <x:f>IF(ISNUMBER('Data'!G1367),'Data'!G1367*100,"")</x:f>
      </x:c>
      <x:c r="I1367" s="34" t="str">
        <x:v>FAIL</x:v>
      </x:c>
      <x:c r="J1367" s="34" t="str">
        <x:v>PASS</x:v>
      </x:c>
      <x:c r="K1367" s="34" t="str">
        <x:v>PASS</x:v>
      </x:c>
      <x:c r="L1367" s="34" t="str">
        <x:v>PASS</x:v>
      </x:c>
      <x:c r="M1367" s="34" t="str">
        <x:v>coverage unavailable or execution/compile failed</x:v>
      </x:c>
      <x:c r="N1367" s="34" t="str">
        <x:v>Feedback-Directed Random Test Generation/Result_Round2/Jsoup_4/result.json</x:v>
      </x:c>
      <x:c r="O1367" s="38" t="str">
        <x:f>IF(AND(G1367="RECORDED",ISNUMBER(H1367)),H1367,"")</x:f>
      </x:c>
      <x:c r="P1367" s="34" t="str">
        <x:v>NOT_AVAILABLE</x:v>
      </x:c>
      <x:c r="Q1367" s="34" t="str">
        <x:v>Feedback-Directed Random Test Generation/Result_Round2/Jsoup_4/result.json</x:v>
      </x:c>
    </x:row>
    <x:row r="1368">
      <x:c r="A1368" s="34" t="str">
        <x:v>randoop</x:v>
      </x:c>
      <x:c r="B1368" s="34" t="str">
        <x:v>Jsoup</x:v>
      </x:c>
      <x:c r="C1368" s="34" t="str">
        <x:v>Round2</x:v>
      </x:c>
      <x:c r="D1368" s="34" t="str">
        <x:v>Jsoup_5</x:v>
      </x:c>
      <x:c r="E1368" s="34" t="str">
        <x:v>Coverage</x:v>
      </x:c>
      <x:c r="F1368" s="34" t="n">
        <x:v>264</x:v>
      </x:c>
      <x:c r="G1368" s="34" t="str">
        <x:v>RECORDED</x:v>
      </x:c>
      <x:c r="H1368" s="38" t="n">
        <x:f>IF(ISNUMBER('Data'!G1368),'Data'!G1368*100,"")</x:f>
        <x:v>18.94</x:v>
      </x:c>
      <x:c r="I1368" s="34" t="str">
        <x:v>PASS</x:v>
      </x:c>
      <x:c r="J1368" s="34" t="str">
        <x:v>PASS</x:v>
      </x:c>
      <x:c r="K1368" s="34" t="str">
        <x:v>PASS</x:v>
      </x:c>
      <x:c r="L1368" s="34" t="str">
        <x:v>PASS</x:v>
      </x:c>
      <x:c r="M1368" s="34" t="str">
        <x:v>numeric coverage for applicable metric</x:v>
      </x:c>
      <x:c r="N1368" s="34" t="str">
        <x:v>Feedback-Directed Random Test Generation/Result_Round2/Jsoup_5/result.json</x:v>
      </x:c>
      <x:c r="O1368" s="38" t="n">
        <x:f>IF(AND(G1368="RECORDED",ISNUMBER(H1368)),H1368,"")</x:f>
        <x:v>18.94</x:v>
      </x:c>
      <x:c r="P1368" s="34" t="str">
        <x:v>NOT_REVEALING</x:v>
      </x:c>
      <x:c r="Q1368" s="34" t="str">
        <x:v>Feedback-Directed Random Test Generation/Result_Round2/Jsoup_5/result.json</x:v>
      </x:c>
    </x:row>
    <x:row r="1369">
      <x:c r="A1369" s="34" t="str">
        <x:v>randoop</x:v>
      </x:c>
      <x:c r="B1369" s="34" t="str">
        <x:v>Jsoup</x:v>
      </x:c>
      <x:c r="C1369" s="34" t="str">
        <x:v>Round2</x:v>
      </x:c>
      <x:c r="D1369" s="34" t="str">
        <x:v>Jsoup_6</x:v>
      </x:c>
      <x:c r="E1369" s="34" t="str">
        <x:v>Coverage</x:v>
      </x:c>
      <x:c r="F1369" s="34" t="n">
        <x:v>0</x:v>
      </x:c>
      <x:c r="G1369" s="34" t="str">
        <x:v>A</x:v>
      </x:c>
      <x:c r="H1369" s="38" t="str">
        <x:f>IF(ISNUMBER('Data'!G1369),'Data'!G1369*100,"")</x:f>
      </x:c>
      <x:c r="I1369" s="34" t="str">
        <x:v>FAIL</x:v>
      </x:c>
      <x:c r="J1369" s="34" t="str">
        <x:v>PASS</x:v>
      </x:c>
      <x:c r="K1369" s="34" t="str">
        <x:v>PASS</x:v>
      </x:c>
      <x:c r="L1369" s="34" t="str">
        <x:v>PASS</x:v>
      </x:c>
      <x:c r="M1369" s="34" t="str">
        <x:v>coverage unavailable or execution/compile failed</x:v>
      </x:c>
      <x:c r="N1369" s="34" t="str">
        <x:v>Feedback-Directed Random Test Generation/Result_Round2/Jsoup_6/result.json</x:v>
      </x:c>
      <x:c r="O1369" s="38" t="str">
        <x:f>IF(AND(G1369="RECORDED",ISNUMBER(H1369)),H1369,"")</x:f>
      </x:c>
      <x:c r="P1369" s="34" t="str">
        <x:v>NOT_AVAILABLE</x:v>
      </x:c>
      <x:c r="Q1369" s="34" t="str">
        <x:v>Feedback-Directed Random Test Generation/Result_Round2/Jsoup_6/result.json</x:v>
      </x:c>
    </x:row>
    <x:row r="1370">
      <x:c r="A1370" s="34" t="str">
        <x:v>randoop</x:v>
      </x:c>
      <x:c r="B1370" s="34" t="str">
        <x:v>Jsoup</x:v>
      </x:c>
      <x:c r="C1370" s="34" t="str">
        <x:v>Round2</x:v>
      </x:c>
      <x:c r="D1370" s="34" t="str">
        <x:v>Jsoup_7</x:v>
      </x:c>
      <x:c r="E1370" s="34" t="str">
        <x:v>Coverage</x:v>
      </x:c>
      <x:c r="F1370" s="34" t="n">
        <x:v>106</x:v>
      </x:c>
      <x:c r="G1370" s="34" t="str">
        <x:v>RECORDED</x:v>
      </x:c>
      <x:c r="H1370" s="38" t="n">
        <x:f>IF(ISNUMBER('Data'!G1370),'Data'!G1370*100,"")</x:f>
        <x:v>99.06</x:v>
      </x:c>
      <x:c r="I1370" s="34" t="str">
        <x:v>PASS</x:v>
      </x:c>
      <x:c r="J1370" s="34" t="str">
        <x:v>PASS</x:v>
      </x:c>
      <x:c r="K1370" s="34" t="str">
        <x:v>PASS</x:v>
      </x:c>
      <x:c r="L1370" s="34" t="str">
        <x:v>FAIL</x:v>
      </x:c>
      <x:c r="M1370" s="34" t="str">
        <x:v>numeric coverage for applicable metric</x:v>
      </x:c>
      <x:c r="N1370" s="34" t="str">
        <x:v>Feedback-Directed Random Test Generation/Result_Round2/Jsoup_7/result.json</x:v>
      </x:c>
      <x:c r="O1370" s="38" t="n">
        <x:f>IF(AND(G1370="RECORDED",ISNUMBER(H1370)),H1370,"")</x:f>
        <x:v>99.06</x:v>
      </x:c>
      <x:c r="P1370" s="34" t="str">
        <x:v>INCONCLUSIVE</x:v>
      </x:c>
      <x:c r="Q1370" s="34" t="str">
        <x:v>Feedback-Directed Random Test Generation/Result_Round2/Jsoup_7/result.json</x:v>
      </x:c>
    </x:row>
    <x:row r="1371">
      <x:c r="A1371" s="34" t="str">
        <x:v>randoop</x:v>
      </x:c>
      <x:c r="B1371" s="34" t="str">
        <x:v>Jsoup</x:v>
      </x:c>
      <x:c r="C1371" s="34" t="str">
        <x:v>Round2</x:v>
      </x:c>
      <x:c r="D1371" s="34" t="str">
        <x:v>Jsoup_8</x:v>
      </x:c>
      <x:c r="E1371" s="34" t="str">
        <x:v>Coverage</x:v>
      </x:c>
      <x:c r="F1371" s="34" t="n">
        <x:v>179</x:v>
      </x:c>
      <x:c r="G1371" s="34" t="str">
        <x:v>RECORDED</x:v>
      </x:c>
      <x:c r="H1371" s="38" t="n">
        <x:f>IF(ISNUMBER('Data'!G1371),'Data'!G1371*100,"")</x:f>
        <x:v>0</x:v>
      </x:c>
      <x:c r="I1371" s="34" t="str">
        <x:v>PASS</x:v>
      </x:c>
      <x:c r="J1371" s="34" t="str">
        <x:v>PASS</x:v>
      </x:c>
      <x:c r="K1371" s="34" t="str">
        <x:v>PASS</x:v>
      </x:c>
      <x:c r="L1371" s="34" t="str">
        <x:v>PASS</x:v>
      </x:c>
      <x:c r="M1371" s="34" t="str">
        <x:v>numeric coverage for applicable metric</x:v>
      </x:c>
      <x:c r="N1371" s="34" t="str">
        <x:v>Feedback-Directed Random Test Generation/Result_Round2/Jsoup_8/result.json</x:v>
      </x:c>
      <x:c r="O1371" s="38" t="n">
        <x:f>IF(AND(G1371="RECORDED",ISNUMBER(H1371)),H1371,"")</x:f>
        <x:v>0</x:v>
      </x:c>
      <x:c r="P1371" s="34" t="str">
        <x:v>NOT_REVEALING</x:v>
      </x:c>
      <x:c r="Q1371" s="34" t="str">
        <x:v>Feedback-Directed Random Test Generation/Result_Round2/Jsoup_8/result.json</x:v>
      </x:c>
    </x:row>
    <x:row r="1372">
      <x:c r="A1372" s="34" t="str">
        <x:v>randoop</x:v>
      </x:c>
      <x:c r="B1372" s="34" t="str">
        <x:v>Jsoup</x:v>
      </x:c>
      <x:c r="C1372" s="34" t="str">
        <x:v>Round2</x:v>
      </x:c>
      <x:c r="D1372" s="34" t="str">
        <x:v>Jsoup_9</x:v>
      </x:c>
      <x:c r="E1372" s="34" t="str">
        <x:v>Coverage</x:v>
      </x:c>
      <x:c r="F1372" s="34" t="n">
        <x:v>0</x:v>
      </x:c>
      <x:c r="G1372" s="34" t="str">
        <x:v>A</x:v>
      </x:c>
      <x:c r="H1372" s="38" t="str">
        <x:f>IF(ISNUMBER('Data'!G1372),'Data'!G1372*100,"")</x:f>
      </x:c>
      <x:c r="I1372" s="34" t="str">
        <x:v>FAIL</x:v>
      </x:c>
      <x:c r="J1372" s="34" t="str">
        <x:v>PASS</x:v>
      </x:c>
      <x:c r="K1372" s="34" t="str">
        <x:v>PASS</x:v>
      </x:c>
      <x:c r="L1372" s="34" t="str">
        <x:v>PASS</x:v>
      </x:c>
      <x:c r="M1372" s="34" t="str">
        <x:v>coverage unavailable or execution/compile failed</x:v>
      </x:c>
      <x:c r="N1372" s="34" t="str">
        <x:v>Feedback-Directed Random Test Generation/Result_Round2/Jsoup_9/result.json</x:v>
      </x:c>
      <x:c r="O1372" s="38" t="str">
        <x:f>IF(AND(G1372="RECORDED",ISNUMBER(H1372)),H1372,"")</x:f>
      </x:c>
      <x:c r="P1372" s="34" t="str">
        <x:v>NOT_AVAILABLE</x:v>
      </x:c>
      <x:c r="Q1372" s="34" t="str">
        <x:v>Feedback-Directed Random Test Generation/Result_Round2/Jsoup_9/result.json</x:v>
      </x:c>
    </x:row>
    <x:row r="1373">
      <x:c r="A1373" s="34" t="str">
        <x:v>randoop</x:v>
      </x:c>
      <x:c r="B1373" s="34" t="str">
        <x:v>Jsoup</x:v>
      </x:c>
      <x:c r="C1373" s="34" t="str">
        <x:v>Round2</x:v>
      </x:c>
      <x:c r="D1373" s="34" t="str">
        <x:v>Jsoup_10</x:v>
      </x:c>
      <x:c r="E1373" s="34" t="str">
        <x:v>Coverage</x:v>
      </x:c>
      <x:c r="F1373" s="34" t="n">
        <x:v>202</x:v>
      </x:c>
      <x:c r="G1373" s="34" t="str">
        <x:v>RECORDED</x:v>
      </x:c>
      <x:c r="H1373" s="38" t="n">
        <x:f>IF(ISNUMBER('Data'!G1373),'Data'!G1373*100,"")</x:f>
        <x:v>0</x:v>
      </x:c>
      <x:c r="I1373" s="34" t="str">
        <x:v>PASS</x:v>
      </x:c>
      <x:c r="J1373" s="34" t="str">
        <x:v>PASS</x:v>
      </x:c>
      <x:c r="K1373" s="34" t="str">
        <x:v>PASS</x:v>
      </x:c>
      <x:c r="L1373" s="34" t="str">
        <x:v>PASS</x:v>
      </x:c>
      <x:c r="M1373" s="34" t="str">
        <x:v>numeric coverage for applicable metric</x:v>
      </x:c>
      <x:c r="N1373" s="34" t="str">
        <x:v>Feedback-Directed Random Test Generation/Result_Round2/Jsoup_10/result.json</x:v>
      </x:c>
      <x:c r="O1373" s="38" t="n">
        <x:f>IF(AND(G1373="RECORDED",ISNUMBER(H1373)),H1373,"")</x:f>
        <x:v>0</x:v>
      </x:c>
      <x:c r="P1373" s="34" t="str">
        <x:v>NOT_REVEALING</x:v>
      </x:c>
      <x:c r="Q1373" s="34" t="str">
        <x:v>Feedback-Directed Random Test Generation/Result_Round2/Jsoup_10/result.json</x:v>
      </x:c>
    </x:row>
    <x:row r="1374">
      <x:c r="A1374" s="34" t="str">
        <x:v>randoop</x:v>
      </x:c>
      <x:c r="B1374" s="34" t="str">
        <x:v>Jsoup</x:v>
      </x:c>
      <x:c r="C1374" s="34" t="str">
        <x:v>Round2</x:v>
      </x:c>
      <x:c r="D1374" s="34" t="str">
        <x:v>Jsoup_11</x:v>
      </x:c>
      <x:c r="E1374" s="34" t="str">
        <x:v>Coverage</x:v>
      </x:c>
      <x:c r="F1374" s="34" t="n">
        <x:v>318</x:v>
      </x:c>
      <x:c r="G1374" s="34" t="str">
        <x:v>RECORDED</x:v>
      </x:c>
      <x:c r="H1374" s="38" t="n">
        <x:f>IF(ISNUMBER('Data'!G1374),'Data'!G1374*100,"")</x:f>
        <x:v>3.46</x:v>
      </x:c>
      <x:c r="I1374" s="34" t="str">
        <x:v>PASS</x:v>
      </x:c>
      <x:c r="J1374" s="34" t="str">
        <x:v>PASS</x:v>
      </x:c>
      <x:c r="K1374" s="34" t="str">
        <x:v>PASS</x:v>
      </x:c>
      <x:c r="L1374" s="34" t="str">
        <x:v>PASS</x:v>
      </x:c>
      <x:c r="M1374" s="34" t="str">
        <x:v>numeric coverage for applicable metric</x:v>
      </x:c>
      <x:c r="N1374" s="34" t="str">
        <x:v>Feedback-Directed Random Test Generation/Result_Round2/Jsoup_11/result.json</x:v>
      </x:c>
      <x:c r="O1374" s="38" t="n">
        <x:f>IF(AND(G1374="RECORDED",ISNUMBER(H1374)),H1374,"")</x:f>
        <x:v>3.46</x:v>
      </x:c>
      <x:c r="P1374" s="34" t="str">
        <x:v>NOT_REVEALING</x:v>
      </x:c>
      <x:c r="Q1374" s="34" t="str">
        <x:v>Feedback-Directed Random Test Generation/Result_Round2/Jsoup_11/result.json</x:v>
      </x:c>
    </x:row>
    <x:row r="1375">
      <x:c r="A1375" s="34" t="str">
        <x:v>randoop</x:v>
      </x:c>
      <x:c r="B1375" s="34" t="str">
        <x:v>Jsoup</x:v>
      </x:c>
      <x:c r="C1375" s="34" t="str">
        <x:v>Round2</x:v>
      </x:c>
      <x:c r="D1375" s="34" t="str">
        <x:v>Jsoup_12</x:v>
      </x:c>
      <x:c r="E1375" s="34" t="str">
        <x:v>Coverage</x:v>
      </x:c>
      <x:c r="F1375" s="34" t="n">
        <x:v>350</x:v>
      </x:c>
      <x:c r="G1375" s="34" t="str">
        <x:v>RECORDED</x:v>
      </x:c>
      <x:c r="H1375" s="38" t="n">
        <x:f>IF(ISNUMBER('Data'!G1375),'Data'!G1375*100,"")</x:f>
        <x:v>5.43</x:v>
      </x:c>
      <x:c r="I1375" s="34" t="str">
        <x:v>PASS</x:v>
      </x:c>
      <x:c r="J1375" s="34" t="str">
        <x:v>PASS</x:v>
      </x:c>
      <x:c r="K1375" s="34" t="str">
        <x:v>PASS</x:v>
      </x:c>
      <x:c r="L1375" s="34" t="str">
        <x:v>PASS</x:v>
      </x:c>
      <x:c r="M1375" s="34" t="str">
        <x:v>numeric coverage for applicable metric</x:v>
      </x:c>
      <x:c r="N1375" s="34" t="str">
        <x:v>Feedback-Directed Random Test Generation/Result_Round2/Jsoup_12/result.json</x:v>
      </x:c>
      <x:c r="O1375" s="38" t="n">
        <x:f>IF(AND(G1375="RECORDED",ISNUMBER(H1375)),H1375,"")</x:f>
        <x:v>5.43</x:v>
      </x:c>
      <x:c r="P1375" s="34" t="str">
        <x:v>NOT_REVEALING</x:v>
      </x:c>
      <x:c r="Q1375" s="34" t="str">
        <x:v>Feedback-Directed Random Test Generation/Result_Round2/Jsoup_12/result.json</x:v>
      </x:c>
    </x:row>
    <x:row r="1376">
      <x:c r="A1376" s="34" t="str">
        <x:v>randoop</x:v>
      </x:c>
      <x:c r="B1376" s="34" t="str">
        <x:v>Jsoup</x:v>
      </x:c>
      <x:c r="C1376" s="34" t="str">
        <x:v>Round2</x:v>
      </x:c>
      <x:c r="D1376" s="34" t="str">
        <x:v>Jsoup_13</x:v>
      </x:c>
      <x:c r="E1376" s="34" t="str">
        <x:v>Coverage</x:v>
      </x:c>
      <x:c r="F1376" s="34" t="n">
        <x:v>258</x:v>
      </x:c>
      <x:c r="G1376" s="34" t="str">
        <x:v>RECORDED</x:v>
      </x:c>
      <x:c r="H1376" s="38" t="n">
        <x:f>IF(ISNUMBER('Data'!G1376),'Data'!G1376*100,"")</x:f>
        <x:v>0</x:v>
      </x:c>
      <x:c r="I1376" s="34" t="str">
        <x:v>PASS</x:v>
      </x:c>
      <x:c r="J1376" s="34" t="str">
        <x:v>PASS</x:v>
      </x:c>
      <x:c r="K1376" s="34" t="str">
        <x:v>PASS</x:v>
      </x:c>
      <x:c r="L1376" s="34" t="str">
        <x:v>PASS</x:v>
      </x:c>
      <x:c r="M1376" s="34" t="str">
        <x:v>numeric coverage for applicable metric</x:v>
      </x:c>
      <x:c r="N1376" s="34" t="str">
        <x:v>Feedback-Directed Random Test Generation/Result_Round2/Jsoup_13/result.json</x:v>
      </x:c>
      <x:c r="O1376" s="38" t="n">
        <x:f>IF(AND(G1376="RECORDED",ISNUMBER(H1376)),H1376,"")</x:f>
        <x:v>0</x:v>
      </x:c>
      <x:c r="P1376" s="34" t="str">
        <x:v>NOT_REVEALING</x:v>
      </x:c>
      <x:c r="Q1376" s="34" t="str">
        <x:v>Feedback-Directed Random Test Generation/Result_Round2/Jsoup_13/result.json</x:v>
      </x:c>
    </x:row>
    <x:row r="1377">
      <x:c r="A1377" s="34" t="str">
        <x:v>randoop</x:v>
      </x:c>
      <x:c r="B1377" s="34" t="str">
        <x:v>Jsoup</x:v>
      </x:c>
      <x:c r="C1377" s="34" t="str">
        <x:v>Round2</x:v>
      </x:c>
      <x:c r="D1377" s="34" t="str">
        <x:v>Jsoup_14</x:v>
      </x:c>
      <x:c r="E1377" s="34" t="str">
        <x:v>Coverage</x:v>
      </x:c>
      <x:c r="F1377" s="34" t="n">
        <x:v>1743</x:v>
      </x:c>
      <x:c r="G1377" s="34" t="str">
        <x:v>RECORDED</x:v>
      </x:c>
      <x:c r="H1377" s="38" t="n">
        <x:f>IF(ISNUMBER('Data'!G1377),'Data'!G1377*100,"")</x:f>
        <x:v>15.61</x:v>
      </x:c>
      <x:c r="I1377" s="34" t="str">
        <x:v>PASS</x:v>
      </x:c>
      <x:c r="J1377" s="34" t="str">
        <x:v>PASS</x:v>
      </x:c>
      <x:c r="K1377" s="34" t="str">
        <x:v>PASS</x:v>
      </x:c>
      <x:c r="L1377" s="34" t="str">
        <x:v>PASS</x:v>
      </x:c>
      <x:c r="M1377" s="34" t="str">
        <x:v>numeric coverage for applicable metric</x:v>
      </x:c>
      <x:c r="N1377" s="34" t="str">
        <x:v>Feedback-Directed Random Test Generation/Result_Round2/Jsoup_14/result.json</x:v>
      </x:c>
      <x:c r="O1377" s="38" t="n">
        <x:f>IF(AND(G1377="RECORDED",ISNUMBER(H1377)),H1377,"")</x:f>
        <x:v>15.61</x:v>
      </x:c>
      <x:c r="P1377" s="34" t="str">
        <x:v>NOT_REVEALING</x:v>
      </x:c>
      <x:c r="Q1377" s="34" t="str">
        <x:v>Feedback-Directed Random Test Generation/Result_Round2/Jsoup_14/result.json</x:v>
      </x:c>
    </x:row>
    <x:row r="1378">
      <x:c r="A1378" s="34" t="str">
        <x:v>randoop</x:v>
      </x:c>
      <x:c r="B1378" s="34" t="str">
        <x:v>Jsoup</x:v>
      </x:c>
      <x:c r="C1378" s="34" t="str">
        <x:v>Round2</x:v>
      </x:c>
      <x:c r="D1378" s="34" t="str">
        <x:v>Jsoup_15</x:v>
      </x:c>
      <x:c r="E1378" s="34" t="str">
        <x:v>Coverage</x:v>
      </x:c>
      <x:c r="F1378" s="34" t="n">
        <x:v>1826</x:v>
      </x:c>
      <x:c r="G1378" s="34" t="str">
        <x:v>RECORDED</x:v>
      </x:c>
      <x:c r="H1378" s="38" t="n">
        <x:f>IF(ISNUMBER('Data'!G1378),'Data'!G1378*100,"")</x:f>
        <x:v>4</x:v>
      </x:c>
      <x:c r="I1378" s="34" t="str">
        <x:v>PASS</x:v>
      </x:c>
      <x:c r="J1378" s="34" t="str">
        <x:v>PASS</x:v>
      </x:c>
      <x:c r="K1378" s="34" t="str">
        <x:v>PASS</x:v>
      </x:c>
      <x:c r="L1378" s="34" t="str">
        <x:v>PASS</x:v>
      </x:c>
      <x:c r="M1378" s="34" t="str">
        <x:v>numeric coverage for applicable metric</x:v>
      </x:c>
      <x:c r="N1378" s="34" t="str">
        <x:v>Feedback-Directed Random Test Generation/Result_Round2/Jsoup_15/result.json</x:v>
      </x:c>
      <x:c r="O1378" s="38" t="n">
        <x:f>IF(AND(G1378="RECORDED",ISNUMBER(H1378)),H1378,"")</x:f>
        <x:v>4</x:v>
      </x:c>
      <x:c r="P1378" s="34" t="str">
        <x:v>NOT_REVEALING</x:v>
      </x:c>
      <x:c r="Q1378" s="34" t="str">
        <x:v>Feedback-Directed Random Test Generation/Result_Round2/Jsoup_15/result.json</x:v>
      </x:c>
    </x:row>
    <x:row r="1379">
      <x:c r="A1379" s="34" t="str">
        <x:v>randoop</x:v>
      </x:c>
      <x:c r="B1379" s="34" t="str">
        <x:v>Jsoup</x:v>
      </x:c>
      <x:c r="C1379" s="34" t="str">
        <x:v>Round2</x:v>
      </x:c>
      <x:c r="D1379" s="34" t="str">
        <x:v>Jsoup_16</x:v>
      </x:c>
      <x:c r="E1379" s="34" t="str">
        <x:v>Coverage</x:v>
      </x:c>
      <x:c r="F1379" s="34" t="n">
        <x:v>18</x:v>
      </x:c>
      <x:c r="G1379" s="34" t="str">
        <x:v>RECORDED</x:v>
      </x:c>
      <x:c r="H1379" s="38" t="n">
        <x:f>IF(ISNUMBER('Data'!G1379),'Data'!G1379*100,"")</x:f>
        <x:v>100</x:v>
      </x:c>
      <x:c r="I1379" s="34" t="str">
        <x:v>PASS</x:v>
      </x:c>
      <x:c r="J1379" s="34" t="str">
        <x:v>PASS</x:v>
      </x:c>
      <x:c r="K1379" s="34" t="str">
        <x:v>PASS</x:v>
      </x:c>
      <x:c r="L1379" s="34" t="str">
        <x:v>FAIL</x:v>
      </x:c>
      <x:c r="M1379" s="34" t="str">
        <x:v>numeric coverage for applicable metric</x:v>
      </x:c>
      <x:c r="N1379" s="34" t="str">
        <x:v>Feedback-Directed Random Test Generation/Result_Round2/Jsoup_16/result.json</x:v>
      </x:c>
      <x:c r="O1379" s="38" t="n">
        <x:f>IF(AND(G1379="RECORDED",ISNUMBER(H1379)),H1379,"")</x:f>
        <x:v>100</x:v>
      </x:c>
      <x:c r="P1379" s="34" t="str">
        <x:v>INCONCLUSIVE</x:v>
      </x:c>
      <x:c r="Q1379" s="34" t="str">
        <x:v>Feedback-Directed Random Test Generation/Result_Round2/Jsoup_16/result.json</x:v>
      </x:c>
    </x:row>
    <x:row r="1380">
      <x:c r="A1380" s="34" t="str">
        <x:v>randoop</x:v>
      </x:c>
      <x:c r="B1380" s="34" t="str">
        <x:v>Jsoup</x:v>
      </x:c>
      <x:c r="C1380" s="34" t="str">
        <x:v>Round2</x:v>
      </x:c>
      <x:c r="D1380" s="34" t="str">
        <x:v>Jsoup_17</x:v>
      </x:c>
      <x:c r="E1380" s="34" t="str">
        <x:v>Coverage</x:v>
      </x:c>
      <x:c r="F1380" s="34" t="n">
        <x:v>1826</x:v>
      </x:c>
      <x:c r="G1380" s="34" t="str">
        <x:v>RECORDED</x:v>
      </x:c>
      <x:c r="H1380" s="38" t="n">
        <x:f>IF(ISNUMBER('Data'!G1380),'Data'!G1380*100,"")</x:f>
        <x:v>4</x:v>
      </x:c>
      <x:c r="I1380" s="34" t="str">
        <x:v>PASS</x:v>
      </x:c>
      <x:c r="J1380" s="34" t="str">
        <x:v>PASS</x:v>
      </x:c>
      <x:c r="K1380" s="34" t="str">
        <x:v>PASS</x:v>
      </x:c>
      <x:c r="L1380" s="34" t="str">
        <x:v>PASS</x:v>
      </x:c>
      <x:c r="M1380" s="34" t="str">
        <x:v>numeric coverage for applicable metric</x:v>
      </x:c>
      <x:c r="N1380" s="34" t="str">
        <x:v>Feedback-Directed Random Test Generation/Result_Round2/Jsoup_17/result.json</x:v>
      </x:c>
      <x:c r="O1380" s="38" t="n">
        <x:f>IF(AND(G1380="RECORDED",ISNUMBER(H1380)),H1380,"")</x:f>
        <x:v>4</x:v>
      </x:c>
      <x:c r="P1380" s="34" t="str">
        <x:v>NOT_REVEALING</x:v>
      </x:c>
      <x:c r="Q1380" s="34" t="str">
        <x:v>Feedback-Directed Random Test Generation/Result_Round2/Jsoup_17/result.json</x:v>
      </x:c>
    </x:row>
    <x:row r="1381">
      <x:c r="A1381" s="34" t="str">
        <x:v>randoop</x:v>
      </x:c>
      <x:c r="B1381" s="34" t="str">
        <x:v>Jsoup</x:v>
      </x:c>
      <x:c r="C1381" s="34" t="str">
        <x:v>Round2</x:v>
      </x:c>
      <x:c r="D1381" s="34" t="str">
        <x:v>Jsoup_18</x:v>
      </x:c>
      <x:c r="E1381" s="34" t="str">
        <x:v>Coverage</x:v>
      </x:c>
      <x:c r="F1381" s="34" t="n">
        <x:v>179</x:v>
      </x:c>
      <x:c r="G1381" s="34" t="str">
        <x:v>RECORDED</x:v>
      </x:c>
      <x:c r="H1381" s="38" t="n">
        <x:f>IF(ISNUMBER('Data'!G1381),'Data'!G1381*100,"")</x:f>
        <x:v>68.16</x:v>
      </x:c>
      <x:c r="I1381" s="34" t="str">
        <x:v>PASS</x:v>
      </x:c>
      <x:c r="J1381" s="34" t="str">
        <x:v>PASS</x:v>
      </x:c>
      <x:c r="K1381" s="34" t="str">
        <x:v>PASS</x:v>
      </x:c>
      <x:c r="L1381" s="34" t="str">
        <x:v>PASS</x:v>
      </x:c>
      <x:c r="M1381" s="34" t="str">
        <x:v>numeric coverage for applicable metric</x:v>
      </x:c>
      <x:c r="N1381" s="34" t="str">
        <x:v>Feedback-Directed Random Test Generation/Result_Round2/Jsoup_18/result.json</x:v>
      </x:c>
      <x:c r="O1381" s="38" t="n">
        <x:f>IF(AND(G1381="RECORDED",ISNUMBER(H1381)),H1381,"")</x:f>
        <x:v>68.16</x:v>
      </x:c>
      <x:c r="P1381" s="34" t="str">
        <x:v>INCONCLUSIVE</x:v>
      </x:c>
      <x:c r="Q1381" s="34" t="str">
        <x:v>Feedback-Directed Random Test Generation/Result_Round2/Jsoup_18/result.json</x:v>
      </x:c>
    </x:row>
    <x:row r="1382">
      <x:c r="A1382" s="34" t="str">
        <x:v>randoop</x:v>
      </x:c>
      <x:c r="B1382" s="34" t="str">
        <x:v>Jsoup</x:v>
      </x:c>
      <x:c r="C1382" s="34" t="str">
        <x:v>Round2</x:v>
      </x:c>
      <x:c r="D1382" s="34" t="str">
        <x:v>Jsoup_19</x:v>
      </x:c>
      <x:c r="E1382" s="34" t="str">
        <x:v>Coverage</x:v>
      </x:c>
      <x:c r="F1382" s="34" t="n">
        <x:v>199</x:v>
      </x:c>
      <x:c r="G1382" s="34" t="str">
        <x:v>RECORDED</x:v>
      </x:c>
      <x:c r="H1382" s="38" t="n">
        <x:f>IF(ISNUMBER('Data'!G1382),'Data'!G1382*100,"")</x:f>
        <x:v>78.39</x:v>
      </x:c>
      <x:c r="I1382" s="34" t="str">
        <x:v>PASS</x:v>
      </x:c>
      <x:c r="J1382" s="34" t="str">
        <x:v>PASS</x:v>
      </x:c>
      <x:c r="K1382" s="34" t="str">
        <x:v>PASS</x:v>
      </x:c>
      <x:c r="L1382" s="34" t="str">
        <x:v>PASS</x:v>
      </x:c>
      <x:c r="M1382" s="34" t="str">
        <x:v>numeric coverage for applicable metric</x:v>
      </x:c>
      <x:c r="N1382" s="34" t="str">
        <x:v>Feedback-Directed Random Test Generation/Result_Round2/Jsoup_19/result.json</x:v>
      </x:c>
      <x:c r="O1382" s="38" t="n">
        <x:f>IF(AND(G1382="RECORDED",ISNUMBER(H1382)),H1382,"")</x:f>
        <x:v>78.39</x:v>
      </x:c>
      <x:c r="P1382" s="34" t="str">
        <x:v>NOT_REVEALING</x:v>
      </x:c>
      <x:c r="Q1382" s="34" t="str">
        <x:v>Feedback-Directed Random Test Generation/Result_Round2/Jsoup_19/result.json</x:v>
      </x:c>
    </x:row>
    <x:row r="1383">
      <x:c r="A1383" s="34" t="str">
        <x:v>randoop</x:v>
      </x:c>
      <x:c r="B1383" s="34" t="str">
        <x:v>Jsoup</x:v>
      </x:c>
      <x:c r="C1383" s="34" t="str">
        <x:v>Round2</x:v>
      </x:c>
      <x:c r="D1383" s="34" t="str">
        <x:v>Jsoup_20</x:v>
      </x:c>
      <x:c r="E1383" s="34" t="str">
        <x:v>Coverage</x:v>
      </x:c>
      <x:c r="F1383" s="34" t="n">
        <x:v>66</x:v>
      </x:c>
      <x:c r="G1383" s="34" t="str">
        <x:v>RECORDED</x:v>
      </x:c>
      <x:c r="H1383" s="38" t="n">
        <x:f>IF(ISNUMBER('Data'!G1383),'Data'!G1383*100,"")</x:f>
        <x:v>31.819999999999997</x:v>
      </x:c>
      <x:c r="I1383" s="34" t="str">
        <x:v>PASS</x:v>
      </x:c>
      <x:c r="J1383" s="34" t="str">
        <x:v>PASS</x:v>
      </x:c>
      <x:c r="K1383" s="34" t="str">
        <x:v>PASS</x:v>
      </x:c>
      <x:c r="L1383" s="34" t="str">
        <x:v>PASS</x:v>
      </x:c>
      <x:c r="M1383" s="34" t="str">
        <x:v>numeric coverage for applicable metric</x:v>
      </x:c>
      <x:c r="N1383" s="34" t="str">
        <x:v>Feedback-Directed Random Test Generation/Result_Round2/Jsoup_20/result.json</x:v>
      </x:c>
      <x:c r="O1383" s="38" t="n">
        <x:f>IF(AND(G1383="RECORDED",ISNUMBER(H1383)),H1383,"")</x:f>
        <x:v>31.819999999999997</x:v>
      </x:c>
      <x:c r="P1383" s="34" t="str">
        <x:v>NOT_REVEALING</x:v>
      </x:c>
      <x:c r="Q1383" s="34" t="str">
        <x:v>Feedback-Directed Random Test Generation/Result_Round2/Jsoup_20/result.json</x:v>
      </x:c>
    </x:row>
    <x:row r="1384">
      <x:c r="A1384" s="34" t="str">
        <x:v>randoop</x:v>
      </x:c>
      <x:c r="B1384" s="34" t="str">
        <x:v>Jsoup</x:v>
      </x:c>
      <x:c r="C1384" s="34" t="str">
        <x:v>Round2</x:v>
      </x:c>
      <x:c r="D1384" s="34" t="str">
        <x:v>Jsoup_21</x:v>
      </x:c>
      <x:c r="E1384" s="34" t="str">
        <x:v>Coverage</x:v>
      </x:c>
      <x:c r="F1384" s="34" t="n">
        <x:v>285</x:v>
      </x:c>
      <x:c r="G1384" s="34" t="str">
        <x:v>RECORDED</x:v>
      </x:c>
      <x:c r="H1384" s="38" t="n">
        <x:f>IF(ISNUMBER('Data'!G1384),'Data'!G1384*100,"")</x:f>
        <x:v>33.68</x:v>
      </x:c>
      <x:c r="I1384" s="34" t="str">
        <x:v>PASS</x:v>
      </x:c>
      <x:c r="J1384" s="34" t="str">
        <x:v>PASS</x:v>
      </x:c>
      <x:c r="K1384" s="34" t="str">
        <x:v>PASS</x:v>
      </x:c>
      <x:c r="L1384" s="34" t="str">
        <x:v>PASS</x:v>
      </x:c>
      <x:c r="M1384" s="34" t="str">
        <x:v>numeric coverage for applicable metric</x:v>
      </x:c>
      <x:c r="N1384" s="34" t="str">
        <x:v>Feedback-Directed Random Test Generation/Result_Round2/Jsoup_21/result.json</x:v>
      </x:c>
      <x:c r="O1384" s="38" t="n">
        <x:f>IF(AND(G1384="RECORDED",ISNUMBER(H1384)),H1384,"")</x:f>
        <x:v>33.68</x:v>
      </x:c>
      <x:c r="P1384" s="34" t="str">
        <x:v>NOT_REVEALING</x:v>
      </x:c>
      <x:c r="Q1384" s="34" t="str">
        <x:v>Feedback-Directed Random Test Generation/Result_Round2/Jsoup_21/result.json</x:v>
      </x:c>
    </x:row>
    <x:row r="1385">
      <x:c r="A1385" s="34" t="str">
        <x:v>randoop</x:v>
      </x:c>
      <x:c r="B1385" s="34" t="str">
        <x:v>Jsoup</x:v>
      </x:c>
      <x:c r="C1385" s="34" t="str">
        <x:v>Round2</x:v>
      </x:c>
      <x:c r="D1385" s="34" t="str">
        <x:v>Jsoup_22</x:v>
      </x:c>
      <x:c r="E1385" s="34" t="str">
        <x:v>Coverage</x:v>
      </x:c>
      <x:c r="F1385" s="34" t="n">
        <x:v>939</x:v>
      </x:c>
      <x:c r="G1385" s="34" t="str">
        <x:v>RECORDED</x:v>
      </x:c>
      <x:c r="H1385" s="38" t="n">
        <x:f>IF(ISNUMBER('Data'!G1385),'Data'!G1385*100,"")</x:f>
        <x:v>21.62</x:v>
      </x:c>
      <x:c r="I1385" s="34" t="str">
        <x:v>PASS</x:v>
      </x:c>
      <x:c r="J1385" s="34" t="str">
        <x:v>PASS</x:v>
      </x:c>
      <x:c r="K1385" s="34" t="str">
        <x:v>PASS</x:v>
      </x:c>
      <x:c r="L1385" s="34" t="str">
        <x:v>PASS</x:v>
      </x:c>
      <x:c r="M1385" s="34" t="str">
        <x:v>numeric coverage for applicable metric</x:v>
      </x:c>
      <x:c r="N1385" s="34" t="str">
        <x:v>Feedback-Directed Random Test Generation/Result_Round2/Jsoup_22/result.json</x:v>
      </x:c>
      <x:c r="O1385" s="38" t="n">
        <x:f>IF(AND(G1385="RECORDED",ISNUMBER(H1385)),H1385,"")</x:f>
        <x:v>21.62</x:v>
      </x:c>
      <x:c r="P1385" s="34" t="str">
        <x:v>NOT_REVEALING</x:v>
      </x:c>
      <x:c r="Q1385" s="34" t="str">
        <x:v>Feedback-Directed Random Test Generation/Result_Round2/Jsoup_22/result.json</x:v>
      </x:c>
    </x:row>
    <x:row r="1386">
      <x:c r="A1386" s="34" t="str">
        <x:v>randoop</x:v>
      </x:c>
      <x:c r="B1386" s="34" t="str">
        <x:v>Jsoup</x:v>
      </x:c>
      <x:c r="C1386" s="34" t="str">
        <x:v>Round2</x:v>
      </x:c>
      <x:c r="D1386" s="34" t="str">
        <x:v>Jsoup_23</x:v>
      </x:c>
      <x:c r="E1386" s="34" t="str">
        <x:v>Coverage</x:v>
      </x:c>
      <x:c r="F1386" s="34" t="n">
        <x:v>369</x:v>
      </x:c>
      <x:c r="G1386" s="34" t="str">
        <x:v>RECORDED</x:v>
      </x:c>
      <x:c r="H1386" s="38" t="n">
        <x:f>IF(ISNUMBER('Data'!G1386),'Data'!G1386*100,"")</x:f>
        <x:v>62.06</x:v>
      </x:c>
      <x:c r="I1386" s="34" t="str">
        <x:v>PASS</x:v>
      </x:c>
      <x:c r="J1386" s="34" t="str">
        <x:v>PASS</x:v>
      </x:c>
      <x:c r="K1386" s="34" t="str">
        <x:v>PASS</x:v>
      </x:c>
      <x:c r="L1386" s="34" t="str">
        <x:v>PASS</x:v>
      </x:c>
      <x:c r="M1386" s="34" t="str">
        <x:v>numeric coverage for applicable metric</x:v>
      </x:c>
      <x:c r="N1386" s="34" t="str">
        <x:v>Feedback-Directed Random Test Generation/Result_Round2/Jsoup_23/result.json</x:v>
      </x:c>
      <x:c r="O1386" s="38" t="n">
        <x:f>IF(AND(G1386="RECORDED",ISNUMBER(H1386)),H1386,"")</x:f>
        <x:v>62.06</x:v>
      </x:c>
      <x:c r="P1386" s="34" t="str">
        <x:v>NOT_REVEALING</x:v>
      </x:c>
      <x:c r="Q1386" s="34" t="str">
        <x:v>Feedback-Directed Random Test Generation/Result_Round2/Jsoup_23/result.json</x:v>
      </x:c>
    </x:row>
    <x:row r="1387">
      <x:c r="A1387" s="34" t="str">
        <x:v>randoop</x:v>
      </x:c>
      <x:c r="B1387" s="34" t="str">
        <x:v>Jsoup</x:v>
      </x:c>
      <x:c r="C1387" s="34" t="str">
        <x:v>Round2</x:v>
      </x:c>
      <x:c r="D1387" s="34" t="str">
        <x:v>Jsoup_24</x:v>
      </x:c>
      <x:c r="E1387" s="34" t="str">
        <x:v>Coverage</x:v>
      </x:c>
      <x:c r="F1387" s="34" t="n">
        <x:v>1549</x:v>
      </x:c>
      <x:c r="G1387" s="34" t="str">
        <x:v>RECORDED</x:v>
      </x:c>
      <x:c r="H1387" s="38" t="n">
        <x:f>IF(ISNUMBER('Data'!G1387),'Data'!G1387*100,"")</x:f>
        <x:v>13.11</x:v>
      </x:c>
      <x:c r="I1387" s="34" t="str">
        <x:v>PASS</x:v>
      </x:c>
      <x:c r="J1387" s="34" t="str">
        <x:v>PASS</x:v>
      </x:c>
      <x:c r="K1387" s="34" t="str">
        <x:v>PASS</x:v>
      </x:c>
      <x:c r="L1387" s="34" t="str">
        <x:v>PASS</x:v>
      </x:c>
      <x:c r="M1387" s="34" t="str">
        <x:v>numeric coverage for applicable metric</x:v>
      </x:c>
      <x:c r="N1387" s="34" t="str">
        <x:v>Feedback-Directed Random Test Generation/Result_Round2/Jsoup_24/result.json</x:v>
      </x:c>
      <x:c r="O1387" s="38" t="n">
        <x:f>IF(AND(G1387="RECORDED",ISNUMBER(H1387)),H1387,"")</x:f>
        <x:v>13.11</x:v>
      </x:c>
      <x:c r="P1387" s="34" t="str">
        <x:v>NOT_REVEALING</x:v>
      </x:c>
      <x:c r="Q1387" s="34" t="str">
        <x:v>Feedback-Directed Random Test Generation/Result_Round2/Jsoup_24/result.json</x:v>
      </x:c>
    </x:row>
    <x:row r="1388">
      <x:c r="A1388" s="34" t="str">
        <x:v>randoop</x:v>
      </x:c>
      <x:c r="B1388" s="34" t="str">
        <x:v>Jsoup</x:v>
      </x:c>
      <x:c r="C1388" s="34" t="str">
        <x:v>Round2</x:v>
      </x:c>
      <x:c r="D1388" s="34" t="str">
        <x:v>Jsoup_25</x:v>
      </x:c>
      <x:c r="E1388" s="34" t="str">
        <x:v>Coverage</x:v>
      </x:c>
      <x:c r="F1388" s="34" t="n">
        <x:v>136</x:v>
      </x:c>
      <x:c r="G1388" s="34" t="str">
        <x:v>RECORDED</x:v>
      </x:c>
      <x:c r="H1388" s="38" t="n">
        <x:f>IF(ISNUMBER('Data'!G1388),'Data'!G1388*100,"")</x:f>
        <x:v>72.06</x:v>
      </x:c>
      <x:c r="I1388" s="34" t="str">
        <x:v>PASS</x:v>
      </x:c>
      <x:c r="J1388" s="34" t="str">
        <x:v>PASS</x:v>
      </x:c>
      <x:c r="K1388" s="34" t="str">
        <x:v>PASS</x:v>
      </x:c>
      <x:c r="L1388" s="34" t="str">
        <x:v>PASS</x:v>
      </x:c>
      <x:c r="M1388" s="34" t="str">
        <x:v>numeric coverage for applicable metric</x:v>
      </x:c>
      <x:c r="N1388" s="34" t="str">
        <x:v>Feedback-Directed Random Test Generation/Result_Round2/Jsoup_25/result.json</x:v>
      </x:c>
      <x:c r="O1388" s="38" t="n">
        <x:f>IF(AND(G1388="RECORDED",ISNUMBER(H1388)),H1388,"")</x:f>
        <x:v>72.06</x:v>
      </x:c>
      <x:c r="P1388" s="34" t="str">
        <x:v>NOT_REVEALING</x:v>
      </x:c>
      <x:c r="Q1388" s="34" t="str">
        <x:v>Feedback-Directed Random Test Generation/Result_Round2/Jsoup_25/result.json</x:v>
      </x:c>
    </x:row>
    <x:row r="1389">
      <x:c r="A1389" s="34" t="str">
        <x:v>randoop</x:v>
      </x:c>
      <x:c r="B1389" s="34" t="str">
        <x:v>Jsoup</x:v>
      </x:c>
      <x:c r="C1389" s="34" t="str">
        <x:v>Round2</x:v>
      </x:c>
      <x:c r="D1389" s="34" t="str">
        <x:v>Jsoup_26</x:v>
      </x:c>
      <x:c r="E1389" s="34" t="str">
        <x:v>Coverage</x:v>
      </x:c>
      <x:c r="F1389" s="34" t="n">
        <x:v>63</x:v>
      </x:c>
      <x:c r="G1389" s="34" t="str">
        <x:v>RECORDED</x:v>
      </x:c>
      <x:c r="H1389" s="38" t="n">
        <x:f>IF(ISNUMBER('Data'!G1389),'Data'!G1389*100,"")</x:f>
        <x:v>3.17</x:v>
      </x:c>
      <x:c r="I1389" s="34" t="str">
        <x:v>PASS</x:v>
      </x:c>
      <x:c r="J1389" s="34" t="str">
        <x:v>PASS</x:v>
      </x:c>
      <x:c r="K1389" s="34" t="str">
        <x:v>PASS</x:v>
      </x:c>
      <x:c r="L1389" s="34" t="str">
        <x:v>PASS</x:v>
      </x:c>
      <x:c r="M1389" s="34" t="str">
        <x:v>numeric coverage for applicable metric</x:v>
      </x:c>
      <x:c r="N1389" s="34" t="str">
        <x:v>Feedback-Directed Random Test Generation/Result_Round2/Jsoup_26/result.json</x:v>
      </x:c>
      <x:c r="O1389" s="38" t="n">
        <x:f>IF(AND(G1389="RECORDED",ISNUMBER(H1389)),H1389,"")</x:f>
        <x:v>3.17</x:v>
      </x:c>
      <x:c r="P1389" s="34" t="str">
        <x:v>NOT_REVEALING</x:v>
      </x:c>
      <x:c r="Q1389" s="34" t="str">
        <x:v>Feedback-Directed Random Test Generation/Result_Round2/Jsoup_26/result.json</x:v>
      </x:c>
    </x:row>
    <x:row r="1390">
      <x:c r="A1390" s="34" t="str">
        <x:v>randoop</x:v>
      </x:c>
      <x:c r="B1390" s="34" t="str">
        <x:v>Jsoup</x:v>
      </x:c>
      <x:c r="C1390" s="34" t="str">
        <x:v>Round2</x:v>
      </x:c>
      <x:c r="D1390" s="34" t="str">
        <x:v>Jsoup_27</x:v>
      </x:c>
      <x:c r="E1390" s="34" t="str">
        <x:v>Coverage</x:v>
      </x:c>
      <x:c r="F1390" s="34" t="n">
        <x:v>72</x:v>
      </x:c>
      <x:c r="G1390" s="34" t="str">
        <x:v>RECORDED</x:v>
      </x:c>
      <x:c r="H1390" s="38" t="n">
        <x:f>IF(ISNUMBER('Data'!G1390),'Data'!G1390*100,"")</x:f>
        <x:v>29.17</x:v>
      </x:c>
      <x:c r="I1390" s="34" t="str">
        <x:v>PASS</x:v>
      </x:c>
      <x:c r="J1390" s="34" t="str">
        <x:v>PASS</x:v>
      </x:c>
      <x:c r="K1390" s="34" t="str">
        <x:v>PASS</x:v>
      </x:c>
      <x:c r="L1390" s="34" t="str">
        <x:v>PASS</x:v>
      </x:c>
      <x:c r="M1390" s="34" t="str">
        <x:v>numeric coverage for applicable metric</x:v>
      </x:c>
      <x:c r="N1390" s="34" t="str">
        <x:v>Feedback-Directed Random Test Generation/Result_Round2/Jsoup_27/result.json</x:v>
      </x:c>
      <x:c r="O1390" s="38" t="n">
        <x:f>IF(AND(G1390="RECORDED",ISNUMBER(H1390)),H1390,"")</x:f>
        <x:v>29.17</x:v>
      </x:c>
      <x:c r="P1390" s="34" t="str">
        <x:v>NOT_REVEALING</x:v>
      </x:c>
      <x:c r="Q1390" s="34" t="str">
        <x:v>Feedback-Directed Random Test Generation/Result_Round2/Jsoup_27/result.json</x:v>
      </x:c>
    </x:row>
    <x:row r="1391">
      <x:c r="A1391" s="34" t="str">
        <x:v>randoop</x:v>
      </x:c>
      <x:c r="B1391" s="34" t="str">
        <x:v>Jsoup</x:v>
      </x:c>
      <x:c r="C1391" s="34" t="str">
        <x:v>Round2</x:v>
      </x:c>
      <x:c r="D1391" s="34" t="str">
        <x:v>Jsoup_28</x:v>
      </x:c>
      <x:c r="E1391" s="34" t="str">
        <x:v>Coverage</x:v>
      </x:c>
      <x:c r="F1391" s="34" t="n">
        <x:v>345</x:v>
      </x:c>
      <x:c r="G1391" s="34" t="str">
        <x:v>RECORDED</x:v>
      </x:c>
      <x:c r="H1391" s="38" t="n">
        <x:f>IF(ISNUMBER('Data'!G1391),'Data'!G1391*100,"")</x:f>
        <x:v>48.7</x:v>
      </x:c>
      <x:c r="I1391" s="34" t="str">
        <x:v>PASS</x:v>
      </x:c>
      <x:c r="J1391" s="34" t="str">
        <x:v>PASS</x:v>
      </x:c>
      <x:c r="K1391" s="34" t="str">
        <x:v>PASS</x:v>
      </x:c>
      <x:c r="L1391" s="34" t="str">
        <x:v>PASS</x:v>
      </x:c>
      <x:c r="M1391" s="34" t="str">
        <x:v>numeric coverage for applicable metric</x:v>
      </x:c>
      <x:c r="N1391" s="34" t="str">
        <x:v>Feedback-Directed Random Test Generation/Result_Round2/Jsoup_28/result.json</x:v>
      </x:c>
      <x:c r="O1391" s="38" t="n">
        <x:f>IF(AND(G1391="RECORDED",ISNUMBER(H1391)),H1391,"")</x:f>
        <x:v>48.7</x:v>
      </x:c>
      <x:c r="P1391" s="34" t="str">
        <x:v>NOT_REVEALING</x:v>
      </x:c>
      <x:c r="Q1391" s="34" t="str">
        <x:v>Feedback-Directed Random Test Generation/Result_Round2/Jsoup_28/result.json</x:v>
      </x:c>
    </x:row>
    <x:row r="1392">
      <x:c r="A1392" s="34" t="str">
        <x:v>randoop</x:v>
      </x:c>
      <x:c r="B1392" s="34" t="str">
        <x:v>Jsoup</x:v>
      </x:c>
      <x:c r="C1392" s="34" t="str">
        <x:v>Round2</x:v>
      </x:c>
      <x:c r="D1392" s="34" t="str">
        <x:v>Jsoup_29</x:v>
      </x:c>
      <x:c r="E1392" s="34" t="str">
        <x:v>Coverage</x:v>
      </x:c>
      <x:c r="F1392" s="34" t="n">
        <x:v>153</x:v>
      </x:c>
      <x:c r="G1392" s="34" t="str">
        <x:v>RECORDED</x:v>
      </x:c>
      <x:c r="H1392" s="38" t="n">
        <x:f>IF(ISNUMBER('Data'!G1392),'Data'!G1392*100,"")</x:f>
        <x:v>84.31</x:v>
      </x:c>
      <x:c r="I1392" s="34" t="str">
        <x:v>PASS</x:v>
      </x:c>
      <x:c r="J1392" s="34" t="str">
        <x:v>PASS</x:v>
      </x:c>
      <x:c r="K1392" s="34" t="str">
        <x:v>PASS</x:v>
      </x:c>
      <x:c r="L1392" s="34" t="str">
        <x:v>FAIL</x:v>
      </x:c>
      <x:c r="M1392" s="34" t="str">
        <x:v>numeric coverage for applicable metric</x:v>
      </x:c>
      <x:c r="N1392" s="34" t="str">
        <x:v>Feedback-Directed Random Test Generation/Result_Round2/Jsoup_29/result.json</x:v>
      </x:c>
      <x:c r="O1392" s="38" t="n">
        <x:f>IF(AND(G1392="RECORDED",ISNUMBER(H1392)),H1392,"")</x:f>
        <x:v>84.31</x:v>
      </x:c>
      <x:c r="P1392" s="34" t="str">
        <x:v>INCONCLUSIVE</x:v>
      </x:c>
      <x:c r="Q1392" s="34" t="str">
        <x:v>Feedback-Directed Random Test Generation/Result_Round2/Jsoup_29/result.json</x:v>
      </x:c>
    </x:row>
    <x:row r="1393">
      <x:c r="A1393" s="34" t="str">
        <x:v>randoop</x:v>
      </x:c>
      <x:c r="B1393" s="34" t="str">
        <x:v>Jsoup</x:v>
      </x:c>
      <x:c r="C1393" s="34" t="str">
        <x:v>Round2</x:v>
      </x:c>
      <x:c r="D1393" s="34" t="str">
        <x:v>Jsoup_30</x:v>
      </x:c>
      <x:c r="E1393" s="34" t="str">
        <x:v>Coverage</x:v>
      </x:c>
      <x:c r="F1393" s="34" t="n">
        <x:v>66</x:v>
      </x:c>
      <x:c r="G1393" s="34" t="str">
        <x:v>RECORDED</x:v>
      </x:c>
      <x:c r="H1393" s="38" t="n">
        <x:f>IF(ISNUMBER('Data'!G1393),'Data'!G1393*100,"")</x:f>
        <x:v>3.03</x:v>
      </x:c>
      <x:c r="I1393" s="34" t="str">
        <x:v>PASS</x:v>
      </x:c>
      <x:c r="J1393" s="34" t="str">
        <x:v>PASS</x:v>
      </x:c>
      <x:c r="K1393" s="34" t="str">
        <x:v>PASS</x:v>
      </x:c>
      <x:c r="L1393" s="34" t="str">
        <x:v>PASS</x:v>
      </x:c>
      <x:c r="M1393" s="34" t="str">
        <x:v>numeric coverage for applicable metric</x:v>
      </x:c>
      <x:c r="N1393" s="34" t="str">
        <x:v>Feedback-Directed Random Test Generation/Result_Round2/Jsoup_30/result.json</x:v>
      </x:c>
      <x:c r="O1393" s="38" t="n">
        <x:f>IF(AND(G1393="RECORDED",ISNUMBER(H1393)),H1393,"")</x:f>
        <x:v>3.03</x:v>
      </x:c>
      <x:c r="P1393" s="34" t="str">
        <x:v>NOT_REVEALING</x:v>
      </x:c>
      <x:c r="Q1393" s="34" t="str">
        <x:v>Feedback-Directed Random Test Generation/Result_Round2/Jsoup_30/result.json</x:v>
      </x:c>
    </x:row>
    <x:row r="1394">
      <x:c r="A1394" s="34" t="str">
        <x:v>randoop</x:v>
      </x:c>
      <x:c r="B1394" s="34" t="str">
        <x:v>Jsoup</x:v>
      </x:c>
      <x:c r="C1394" s="34" t="str">
        <x:v>Round2</x:v>
      </x:c>
      <x:c r="D1394" s="34" t="str">
        <x:v>Jsoup_31</x:v>
      </x:c>
      <x:c r="E1394" s="34" t="str">
        <x:v>Coverage</x:v>
      </x:c>
      <x:c r="F1394" s="34" t="n">
        <x:v>1766</x:v>
      </x:c>
      <x:c r="G1394" s="34" t="str">
        <x:v>RECORDED</x:v>
      </x:c>
      <x:c r="H1394" s="38" t="n">
        <x:f>IF(ISNUMBER('Data'!G1394),'Data'!G1394*100,"")</x:f>
        <x:v>23.1</x:v>
      </x:c>
      <x:c r="I1394" s="34" t="str">
        <x:v>PASS</x:v>
      </x:c>
      <x:c r="J1394" s="34" t="str">
        <x:v>PASS</x:v>
      </x:c>
      <x:c r="K1394" s="34" t="str">
        <x:v>PASS</x:v>
      </x:c>
      <x:c r="L1394" s="34" t="str">
        <x:v>FAIL</x:v>
      </x:c>
      <x:c r="M1394" s="34" t="str">
        <x:v>numeric coverage for applicable metric</x:v>
      </x:c>
      <x:c r="N1394" s="34" t="str">
        <x:v>Feedback-Directed Random Test Generation/Result_Round2/Jsoup_31/result.json</x:v>
      </x:c>
      <x:c r="O1394" s="38" t="n">
        <x:f>IF(AND(G1394="RECORDED",ISNUMBER(H1394)),H1394,"")</x:f>
        <x:v>23.1</x:v>
      </x:c>
      <x:c r="P1394" s="34" t="str">
        <x:v>INCONCLUSIVE</x:v>
      </x:c>
      <x:c r="Q1394" s="34" t="str">
        <x:v>Feedback-Directed Random Test Generation/Result_Round2/Jsoup_31/result.json</x:v>
      </x:c>
    </x:row>
    <x:row r="1395">
      <x:c r="A1395" s="34" t="str">
        <x:v>randoop</x:v>
      </x:c>
      <x:c r="B1395" s="34" t="str">
        <x:v>Jsoup</x:v>
      </x:c>
      <x:c r="C1395" s="34" t="str">
        <x:v>Round2</x:v>
      </x:c>
      <x:c r="D1395" s="34" t="str">
        <x:v>Jsoup_32</x:v>
      </x:c>
      <x:c r="E1395" s="34" t="str">
        <x:v>Coverage</x:v>
      </x:c>
      <x:c r="F1395" s="34" t="n">
        <x:v>443</x:v>
      </x:c>
      <x:c r="G1395" s="34" t="str">
        <x:v>RECORDED</x:v>
      </x:c>
      <x:c r="H1395" s="38" t="n">
        <x:f>IF(ISNUMBER('Data'!G1395),'Data'!G1395*100,"")</x:f>
        <x:v>0.68</x:v>
      </x:c>
      <x:c r="I1395" s="34" t="str">
        <x:v>PASS</x:v>
      </x:c>
      <x:c r="J1395" s="34" t="str">
        <x:v>PASS</x:v>
      </x:c>
      <x:c r="K1395" s="34" t="str">
        <x:v>PASS</x:v>
      </x:c>
      <x:c r="L1395" s="34" t="str">
        <x:v>PASS</x:v>
      </x:c>
      <x:c r="M1395" s="34" t="str">
        <x:v>numeric coverage for applicable metric</x:v>
      </x:c>
      <x:c r="N1395" s="34" t="str">
        <x:v>Feedback-Directed Random Test Generation/Result_Round2/Jsoup_32/result.json</x:v>
      </x:c>
      <x:c r="O1395" s="38" t="n">
        <x:f>IF(AND(G1395="RECORDED",ISNUMBER(H1395)),H1395,"")</x:f>
        <x:v>0.68</x:v>
      </x:c>
      <x:c r="P1395" s="34" t="str">
        <x:v>NOT_REVEALING</x:v>
      </x:c>
      <x:c r="Q1395" s="34" t="str">
        <x:v>Feedback-Directed Random Test Generation/Result_Round2/Jsoup_32/result.json</x:v>
      </x:c>
    </x:row>
    <x:row r="1396">
      <x:c r="A1396" s="34" t="str">
        <x:v>randoop</x:v>
      </x:c>
      <x:c r="B1396" s="34" t="str">
        <x:v>Jsoup</x:v>
      </x:c>
      <x:c r="C1396" s="34" t="str">
        <x:v>Round2</x:v>
      </x:c>
      <x:c r="D1396" s="34" t="str">
        <x:v>Jsoup_33</x:v>
      </x:c>
      <x:c r="E1396" s="34" t="str">
        <x:v>Coverage</x:v>
      </x:c>
      <x:c r="F1396" s="34" t="n">
        <x:v>595</x:v>
      </x:c>
      <x:c r="G1396" s="34" t="str">
        <x:v>RECORDED</x:v>
      </x:c>
      <x:c r="H1396" s="38" t="n">
        <x:f>IF(ISNUMBER('Data'!G1396),'Data'!G1396*100,"")</x:f>
        <x:v>71.6</x:v>
      </x:c>
      <x:c r="I1396" s="34" t="str">
        <x:v>PASS</x:v>
      </x:c>
      <x:c r="J1396" s="34" t="str">
        <x:v>PASS</x:v>
      </x:c>
      <x:c r="K1396" s="34" t="str">
        <x:v>PASS</x:v>
      </x:c>
      <x:c r="L1396" s="34" t="str">
        <x:v>FAIL</x:v>
      </x:c>
      <x:c r="M1396" s="34" t="str">
        <x:v>numeric coverage for applicable metric</x:v>
      </x:c>
      <x:c r="N1396" s="34" t="str">
        <x:v>Feedback-Directed Random Test Generation/Result_Round2/Jsoup_33/result.json</x:v>
      </x:c>
      <x:c r="O1396" s="38" t="n">
        <x:f>IF(AND(G1396="RECORDED",ISNUMBER(H1396)),H1396,"")</x:f>
        <x:v>71.6</x:v>
      </x:c>
      <x:c r="P1396" s="34" t="str">
        <x:v>INCONCLUSIVE</x:v>
      </x:c>
      <x:c r="Q1396" s="34" t="str">
        <x:v>Feedback-Directed Random Test Generation/Result_Round2/Jsoup_33/result.json</x:v>
      </x:c>
    </x:row>
    <x:row r="1397">
      <x:c r="A1397" s="34" t="str">
        <x:v>randoop</x:v>
      </x:c>
      <x:c r="B1397" s="34" t="str">
        <x:v>Jsoup</x:v>
      </x:c>
      <x:c r="C1397" s="34" t="str">
        <x:v>Round2</x:v>
      </x:c>
      <x:c r="D1397" s="34" t="str">
        <x:v>Jsoup_34</x:v>
      </x:c>
      <x:c r="E1397" s="34" t="str">
        <x:v>Coverage</x:v>
      </x:c>
      <x:c r="F1397" s="34" t="n">
        <x:v>266</x:v>
      </x:c>
      <x:c r="G1397" s="34" t="str">
        <x:v>RECORDED</x:v>
      </x:c>
      <x:c r="H1397" s="38" t="n">
        <x:f>IF(ISNUMBER('Data'!G1397),'Data'!G1397*100,"")</x:f>
        <x:v>89.85</x:v>
      </x:c>
      <x:c r="I1397" s="34" t="str">
        <x:v>PASS</x:v>
      </x:c>
      <x:c r="J1397" s="34" t="str">
        <x:v>PASS</x:v>
      </x:c>
      <x:c r="K1397" s="34" t="str">
        <x:v>PASS</x:v>
      </x:c>
      <x:c r="L1397" s="34" t="str">
        <x:v>PASS</x:v>
      </x:c>
      <x:c r="M1397" s="34" t="str">
        <x:v>numeric coverage for applicable metric</x:v>
      </x:c>
      <x:c r="N1397" s="34" t="str">
        <x:v>Feedback-Directed Random Test Generation/Result_Round2/Jsoup_34/result.json</x:v>
      </x:c>
      <x:c r="O1397" s="38" t="n">
        <x:f>IF(AND(G1397="RECORDED",ISNUMBER(H1397)),H1397,"")</x:f>
        <x:v>89.85</x:v>
      </x:c>
      <x:c r="P1397" s="34" t="str">
        <x:v>NOT_REVEALING</x:v>
      </x:c>
      <x:c r="Q1397" s="34" t="str">
        <x:v>Feedback-Directed Random Test Generation/Result_Round2/Jsoup_34/result.json</x:v>
      </x:c>
    </x:row>
    <x:row r="1398">
      <x:c r="A1398" s="34" t="str">
        <x:v>randoop</x:v>
      </x:c>
      <x:c r="B1398" s="34" t="str">
        <x:v>Jsoup</x:v>
      </x:c>
      <x:c r="C1398" s="34" t="str">
        <x:v>Round2</x:v>
      </x:c>
      <x:c r="D1398" s="34" t="str">
        <x:v>Jsoup_35</x:v>
      </x:c>
      <x:c r="E1398" s="34" t="str">
        <x:v>Coverage</x:v>
      </x:c>
      <x:c r="F1398" s="34" t="n">
        <x:v>1827</x:v>
      </x:c>
      <x:c r="G1398" s="34" t="str">
        <x:v>RECORDED</x:v>
      </x:c>
      <x:c r="H1398" s="38" t="n">
        <x:f>IF(ISNUMBER('Data'!G1398),'Data'!G1398*100,"")</x:f>
        <x:v>4</x:v>
      </x:c>
      <x:c r="I1398" s="34" t="str">
        <x:v>PASS</x:v>
      </x:c>
      <x:c r="J1398" s="34" t="str">
        <x:v>PASS</x:v>
      </x:c>
      <x:c r="K1398" s="34" t="str">
        <x:v>PASS</x:v>
      </x:c>
      <x:c r="L1398" s="34" t="str">
        <x:v>PASS</x:v>
      </x:c>
      <x:c r="M1398" s="34" t="str">
        <x:v>numeric coverage for applicable metric</x:v>
      </x:c>
      <x:c r="N1398" s="34" t="str">
        <x:v>Feedback-Directed Random Test Generation/Result_Round2/Jsoup_35/result.json</x:v>
      </x:c>
      <x:c r="O1398" s="38" t="n">
        <x:f>IF(AND(G1398="RECORDED",ISNUMBER(H1398)),H1398,"")</x:f>
        <x:v>4</x:v>
      </x:c>
      <x:c r="P1398" s="34" t="str">
        <x:v>NOT_REVEALING</x:v>
      </x:c>
      <x:c r="Q1398" s="34" t="str">
        <x:v>Feedback-Directed Random Test Generation/Result_Round2/Jsoup_35/result.json</x:v>
      </x:c>
    </x:row>
    <x:row r="1399">
      <x:c r="A1399" s="34" t="str">
        <x:v>randoop</x:v>
      </x:c>
      <x:c r="B1399" s="34" t="str">
        <x:v>Jsoup</x:v>
      </x:c>
      <x:c r="C1399" s="34" t="str">
        <x:v>Round2</x:v>
      </x:c>
      <x:c r="D1399" s="34" t="str">
        <x:v>Jsoup_36</x:v>
      </x:c>
      <x:c r="E1399" s="34" t="str">
        <x:v>Coverage</x:v>
      </x:c>
      <x:c r="F1399" s="34" t="n">
        <x:v>98</x:v>
      </x:c>
      <x:c r="G1399" s="34" t="str">
        <x:v>RECORDED</x:v>
      </x:c>
      <x:c r="H1399" s="38" t="n">
        <x:f>IF(ISNUMBER('Data'!G1399),'Data'!G1399*100,"")</x:f>
        <x:v>29.59</x:v>
      </x:c>
      <x:c r="I1399" s="34" t="str">
        <x:v>PASS</x:v>
      </x:c>
      <x:c r="J1399" s="34" t="str">
        <x:v>PASS</x:v>
      </x:c>
      <x:c r="K1399" s="34" t="str">
        <x:v>PASS</x:v>
      </x:c>
      <x:c r="L1399" s="34" t="str">
        <x:v>PASS</x:v>
      </x:c>
      <x:c r="M1399" s="34" t="str">
        <x:v>numeric coverage for applicable metric</x:v>
      </x:c>
      <x:c r="N1399" s="34" t="str">
        <x:v>Feedback-Directed Random Test Generation/Result_Round2/Jsoup_36/result.json</x:v>
      </x:c>
      <x:c r="O1399" s="38" t="n">
        <x:f>IF(AND(G1399="RECORDED",ISNUMBER(H1399)),H1399,"")</x:f>
        <x:v>29.59</x:v>
      </x:c>
      <x:c r="P1399" s="34" t="str">
        <x:v>NOT_REVEALING</x:v>
      </x:c>
      <x:c r="Q1399" s="34" t="str">
        <x:v>Feedback-Directed Random Test Generation/Result_Round2/Jsoup_36/result.json</x:v>
      </x:c>
    </x:row>
    <x:row r="1400">
      <x:c r="A1400" s="34" t="str">
        <x:v>randoop</x:v>
      </x:c>
      <x:c r="B1400" s="34" t="str">
        <x:v>Jsoup</x:v>
      </x:c>
      <x:c r="C1400" s="34" t="str">
        <x:v>Round2</x:v>
      </x:c>
      <x:c r="D1400" s="34" t="str">
        <x:v>Jsoup_37</x:v>
      </x:c>
      <x:c r="E1400" s="34" t="str">
        <x:v>Coverage</x:v>
      </x:c>
      <x:c r="F1400" s="34" t="n">
        <x:v>459</x:v>
      </x:c>
      <x:c r="G1400" s="34" t="str">
        <x:v>RECORDED</x:v>
      </x:c>
      <x:c r="H1400" s="38" t="n">
        <x:f>IF(ISNUMBER('Data'!G1400),'Data'!G1400*100,"")</x:f>
        <x:v>1.31</x:v>
      </x:c>
      <x:c r="I1400" s="34" t="str">
        <x:v>PASS</x:v>
      </x:c>
      <x:c r="J1400" s="34" t="str">
        <x:v>PASS</x:v>
      </x:c>
      <x:c r="K1400" s="34" t="str">
        <x:v>PASS</x:v>
      </x:c>
      <x:c r="L1400" s="34" t="str">
        <x:v>PASS</x:v>
      </x:c>
      <x:c r="M1400" s="34" t="str">
        <x:v>numeric coverage for applicable metric</x:v>
      </x:c>
      <x:c r="N1400" s="34" t="str">
        <x:v>Feedback-Directed Random Test Generation/Result_Round2/Jsoup_37/result.json</x:v>
      </x:c>
      <x:c r="O1400" s="38" t="n">
        <x:f>IF(AND(G1400="RECORDED",ISNUMBER(H1400)),H1400,"")</x:f>
        <x:v>1.31</x:v>
      </x:c>
      <x:c r="P1400" s="34" t="str">
        <x:v>NOT_REVEALING</x:v>
      </x:c>
      <x:c r="Q1400" s="34" t="str">
        <x:v>Feedback-Directed Random Test Generation/Result_Round2/Jsoup_37/result.json</x:v>
      </x:c>
    </x:row>
    <x:row r="1401">
      <x:c r="A1401" s="34" t="str">
        <x:v>randoop</x:v>
      </x:c>
      <x:c r="B1401" s="34" t="str">
        <x:v>Jsoup</x:v>
      </x:c>
      <x:c r="C1401" s="34" t="str">
        <x:v>Round2</x:v>
      </x:c>
      <x:c r="D1401" s="34" t="str">
        <x:v>Jsoup_38</x:v>
      </x:c>
      <x:c r="E1401" s="34" t="str">
        <x:v>Coverage</x:v>
      </x:c>
      <x:c r="F1401" s="34" t="n">
        <x:v>1846</x:v>
      </x:c>
      <x:c r="G1401" s="34" t="str">
        <x:v>RECORDED</x:v>
      </x:c>
      <x:c r="H1401" s="38" t="n">
        <x:f>IF(ISNUMBER('Data'!G1401),'Data'!G1401*100,"")</x:f>
        <x:v>3.95</x:v>
      </x:c>
      <x:c r="I1401" s="34" t="str">
        <x:v>PASS</x:v>
      </x:c>
      <x:c r="J1401" s="34" t="str">
        <x:v>PASS</x:v>
      </x:c>
      <x:c r="K1401" s="34" t="str">
        <x:v>PASS</x:v>
      </x:c>
      <x:c r="L1401" s="34" t="str">
        <x:v>PASS</x:v>
      </x:c>
      <x:c r="M1401" s="34" t="str">
        <x:v>numeric coverage for applicable metric</x:v>
      </x:c>
      <x:c r="N1401" s="34" t="str">
        <x:v>Feedback-Directed Random Test Generation/Result_Round2/Jsoup_38/result.json</x:v>
      </x:c>
      <x:c r="O1401" s="38" t="n">
        <x:f>IF(AND(G1401="RECORDED",ISNUMBER(H1401)),H1401,"")</x:f>
        <x:v>3.95</x:v>
      </x:c>
      <x:c r="P1401" s="34" t="str">
        <x:v>NOT_REVEALING</x:v>
      </x:c>
      <x:c r="Q1401" s="34" t="str">
        <x:v>Feedback-Directed Random Test Generation/Result_Round2/Jsoup_38/result.json</x:v>
      </x:c>
    </x:row>
    <x:row r="1402">
      <x:c r="A1402" s="34" t="str">
        <x:v>randoop</x:v>
      </x:c>
      <x:c r="B1402" s="34" t="str">
        <x:v>Jsoup</x:v>
      </x:c>
      <x:c r="C1402" s="34" t="str">
        <x:v>Round2</x:v>
      </x:c>
      <x:c r="D1402" s="34" t="str">
        <x:v>Jsoup_39</x:v>
      </x:c>
      <x:c r="E1402" s="34" t="str">
        <x:v>Coverage</x:v>
      </x:c>
      <x:c r="F1402" s="34" t="n">
        <x:v>121</x:v>
      </x:c>
      <x:c r="G1402" s="34" t="str">
        <x:v>RECORDED</x:v>
      </x:c>
      <x:c r="H1402" s="38" t="n">
        <x:f>IF(ISNUMBER('Data'!G1402),'Data'!G1402*100,"")</x:f>
        <x:v>23.97</x:v>
      </x:c>
      <x:c r="I1402" s="34" t="str">
        <x:v>PASS</x:v>
      </x:c>
      <x:c r="J1402" s="34" t="str">
        <x:v>PASS</x:v>
      </x:c>
      <x:c r="K1402" s="34" t="str">
        <x:v>PASS</x:v>
      </x:c>
      <x:c r="L1402" s="34" t="str">
        <x:v>PASS</x:v>
      </x:c>
      <x:c r="M1402" s="34" t="str">
        <x:v>numeric coverage for applicable metric</x:v>
      </x:c>
      <x:c r="N1402" s="34" t="str">
        <x:v>Feedback-Directed Random Test Generation/Result_Round2/Jsoup_39/result.json</x:v>
      </x:c>
      <x:c r="O1402" s="38" t="n">
        <x:f>IF(AND(G1402="RECORDED",ISNUMBER(H1402)),H1402,"")</x:f>
        <x:v>23.97</x:v>
      </x:c>
      <x:c r="P1402" s="34" t="str">
        <x:v>NOT_REVEALING</x:v>
      </x:c>
      <x:c r="Q1402" s="34" t="str">
        <x:v>Feedback-Directed Random Test Generation/Result_Round2/Jsoup_39/result.json</x:v>
      </x:c>
    </x:row>
    <x:row r="1403">
      <x:c r="A1403" s="34" t="str">
        <x:v>randoop</x:v>
      </x:c>
      <x:c r="B1403" s="34" t="str">
        <x:v>Jsoup</x:v>
      </x:c>
      <x:c r="C1403" s="34" t="str">
        <x:v>Round2</x:v>
      </x:c>
      <x:c r="D1403" s="34" t="str">
        <x:v>Jsoup_40</x:v>
      </x:c>
      <x:c r="E1403" s="34" t="str">
        <x:v>Coverage</x:v>
      </x:c>
      <x:c r="F1403" s="34" t="n">
        <x:v>23</x:v>
      </x:c>
      <x:c r="G1403" s="34" t="str">
        <x:v>RECORDED</x:v>
      </x:c>
      <x:c r="H1403" s="38" t="n">
        <x:f>IF(ISNUMBER('Data'!G1403),'Data'!G1403*100,"")</x:f>
        <x:v>95.65</x:v>
      </x:c>
      <x:c r="I1403" s="34" t="str">
        <x:v>PASS</x:v>
      </x:c>
      <x:c r="J1403" s="34" t="str">
        <x:v>PASS</x:v>
      </x:c>
      <x:c r="K1403" s="34" t="str">
        <x:v>PASS</x:v>
      </x:c>
      <x:c r="L1403" s="34" t="str">
        <x:v>FAIL</x:v>
      </x:c>
      <x:c r="M1403" s="34" t="str">
        <x:v>numeric coverage for applicable metric</x:v>
      </x:c>
      <x:c r="N1403" s="34" t="str">
        <x:v>Feedback-Directed Random Test Generation/Result_Round2/Jsoup_40/result.json</x:v>
      </x:c>
      <x:c r="O1403" s="38" t="n">
        <x:f>IF(AND(G1403="RECORDED",ISNUMBER(H1403)),H1403,"")</x:f>
        <x:v>95.65</x:v>
      </x:c>
      <x:c r="P1403" s="34" t="str">
        <x:v>INCONCLUSIVE</x:v>
      </x:c>
      <x:c r="Q1403" s="34" t="str">
        <x:v>Feedback-Directed Random Test Generation/Result_Round2/Jsoup_40/result.json</x:v>
      </x:c>
    </x:row>
    <x:row r="1404">
      <x:c r="A1404" s="34" t="str">
        <x:v>randoop</x:v>
      </x:c>
      <x:c r="B1404" s="34" t="str">
        <x:v>Jsoup</x:v>
      </x:c>
      <x:c r="C1404" s="34" t="str">
        <x:v>Round2</x:v>
      </x:c>
      <x:c r="D1404" s="34" t="str">
        <x:v>Jsoup_41</x:v>
      </x:c>
      <x:c r="E1404" s="34" t="str">
        <x:v>Coverage</x:v>
      </x:c>
      <x:c r="F1404" s="34" t="n">
        <x:v>500</x:v>
      </x:c>
      <x:c r="G1404" s="34" t="str">
        <x:v>RECORDED</x:v>
      </x:c>
      <x:c r="H1404" s="38" t="n">
        <x:f>IF(ISNUMBER('Data'!G1404),'Data'!G1404*100,"")</x:f>
        <x:v>1.2</x:v>
      </x:c>
      <x:c r="I1404" s="34" t="str">
        <x:v>PASS</x:v>
      </x:c>
      <x:c r="J1404" s="34" t="str">
        <x:v>PASS</x:v>
      </x:c>
      <x:c r="K1404" s="34" t="str">
        <x:v>PASS</x:v>
      </x:c>
      <x:c r="L1404" s="34" t="str">
        <x:v>PASS</x:v>
      </x:c>
      <x:c r="M1404" s="34" t="str">
        <x:v>numeric coverage for applicable metric</x:v>
      </x:c>
      <x:c r="N1404" s="34" t="str">
        <x:v>Feedback-Directed Random Test Generation/Result_Round2/Jsoup_41/result.json</x:v>
      </x:c>
      <x:c r="O1404" s="38" t="n">
        <x:f>IF(AND(G1404="RECORDED",ISNUMBER(H1404)),H1404,"")</x:f>
        <x:v>1.2</x:v>
      </x:c>
      <x:c r="P1404" s="34" t="str">
        <x:v>NOT_REVEALING</x:v>
      </x:c>
      <x:c r="Q1404" s="34" t="str">
        <x:v>Feedback-Directed Random Test Generation/Result_Round2/Jsoup_41/result.json</x:v>
      </x:c>
    </x:row>
    <x:row r="1405">
      <x:c r="A1405" s="34" t="str">
        <x:v>randoop</x:v>
      </x:c>
      <x:c r="B1405" s="34" t="str">
        <x:v>Jsoup</x:v>
      </x:c>
      <x:c r="C1405" s="34" t="str">
        <x:v>Round2</x:v>
      </x:c>
      <x:c r="D1405" s="34" t="str">
        <x:v>Jsoup_42</x:v>
      </x:c>
      <x:c r="E1405" s="34" t="str">
        <x:v>Coverage</x:v>
      </x:c>
      <x:c r="F1405" s="34" t="n">
        <x:v>64</x:v>
      </x:c>
      <x:c r="G1405" s="34" t="str">
        <x:v>RECORDED</x:v>
      </x:c>
      <x:c r="H1405" s="38" t="n">
        <x:f>IF(ISNUMBER('Data'!G1405),'Data'!G1405*100,"")</x:f>
        <x:v>1.56</x:v>
      </x:c>
      <x:c r="I1405" s="34" t="str">
        <x:v>PASS</x:v>
      </x:c>
      <x:c r="J1405" s="34" t="str">
        <x:v>PASS</x:v>
      </x:c>
      <x:c r="K1405" s="34" t="str">
        <x:v>PASS</x:v>
      </x:c>
      <x:c r="L1405" s="34" t="str">
        <x:v>PASS</x:v>
      </x:c>
      <x:c r="M1405" s="34" t="str">
        <x:v>numeric coverage for applicable metric</x:v>
      </x:c>
      <x:c r="N1405" s="34" t="str">
        <x:v>Feedback-Directed Random Test Generation/Result_Round2/Jsoup_42/result.json</x:v>
      </x:c>
      <x:c r="O1405" s="38" t="n">
        <x:f>IF(AND(G1405="RECORDED",ISNUMBER(H1405)),H1405,"")</x:f>
        <x:v>1.56</x:v>
      </x:c>
      <x:c r="P1405" s="34" t="str">
        <x:v>NOT_REVEALING</x:v>
      </x:c>
      <x:c r="Q1405" s="34" t="str">
        <x:v>Feedback-Directed Random Test Generation/Result_Round2/Jsoup_42/result.json</x:v>
      </x:c>
    </x:row>
    <x:row r="1406">
      <x:c r="A1406" s="34" t="str">
        <x:v>randoop</x:v>
      </x:c>
      <x:c r="B1406" s="34" t="str">
        <x:v>Jsoup</x:v>
      </x:c>
      <x:c r="C1406" s="34" t="str">
        <x:v>Round2</x:v>
      </x:c>
      <x:c r="D1406" s="34" t="str">
        <x:v>Jsoup_43</x:v>
      </x:c>
      <x:c r="E1406" s="34" t="str">
        <x:v>Coverage</x:v>
      </x:c>
      <x:c r="F1406" s="34" t="n">
        <x:v>502</x:v>
      </x:c>
      <x:c r="G1406" s="34" t="str">
        <x:v>RECORDED</x:v>
      </x:c>
      <x:c r="H1406" s="38" t="n">
        <x:f>IF(ISNUMBER('Data'!G1406),'Data'!G1406*100,"")</x:f>
        <x:v>1.39</x:v>
      </x:c>
      <x:c r="I1406" s="34" t="str">
        <x:v>PASS</x:v>
      </x:c>
      <x:c r="J1406" s="34" t="str">
        <x:v>PASS</x:v>
      </x:c>
      <x:c r="K1406" s="34" t="str">
        <x:v>PASS</x:v>
      </x:c>
      <x:c r="L1406" s="34" t="str">
        <x:v>PASS</x:v>
      </x:c>
      <x:c r="M1406" s="34" t="str">
        <x:v>numeric coverage for applicable metric</x:v>
      </x:c>
      <x:c r="N1406" s="34" t="str">
        <x:v>Feedback-Directed Random Test Generation/Result_Round2/Jsoup_43/result.json</x:v>
      </x:c>
      <x:c r="O1406" s="38" t="n">
        <x:f>IF(AND(G1406="RECORDED",ISNUMBER(H1406)),H1406,"")</x:f>
        <x:v>1.39</x:v>
      </x:c>
      <x:c r="P1406" s="34" t="str">
        <x:v>NOT_REVEALING</x:v>
      </x:c>
      <x:c r="Q1406" s="34" t="str">
        <x:v>Feedback-Directed Random Test Generation/Result_Round2/Jsoup_43/result.json</x:v>
      </x:c>
    </x:row>
    <x:row r="1407">
      <x:c r="A1407" s="34" t="str">
        <x:v>randoop</x:v>
      </x:c>
      <x:c r="B1407" s="34" t="str">
        <x:v>Jsoup</x:v>
      </x:c>
      <x:c r="C1407" s="34" t="str">
        <x:v>Round2</x:v>
      </x:c>
      <x:c r="D1407" s="34" t="str">
        <x:v>Jsoup_44</x:v>
      </x:c>
      <x:c r="E1407" s="34" t="str">
        <x:v>Coverage</x:v>
      </x:c>
      <x:c r="F1407" s="34" t="n">
        <x:v>34</x:v>
      </x:c>
      <x:c r="G1407" s="34" t="str">
        <x:v>RECORDED</x:v>
      </x:c>
      <x:c r="H1407" s="38" t="n">
        <x:f>IF(ISNUMBER('Data'!G1407),'Data'!G1407*100,"")</x:f>
        <x:v>0</x:v>
      </x:c>
      <x:c r="I1407" s="34" t="str">
        <x:v>PASS</x:v>
      </x:c>
      <x:c r="J1407" s="34" t="str">
        <x:v>PASS</x:v>
      </x:c>
      <x:c r="K1407" s="34" t="str">
        <x:v>PASS</x:v>
      </x:c>
      <x:c r="L1407" s="34" t="str">
        <x:v>PASS</x:v>
      </x:c>
      <x:c r="M1407" s="34" t="str">
        <x:v>numeric coverage for applicable metric</x:v>
      </x:c>
      <x:c r="N1407" s="34" t="str">
        <x:v>Feedback-Directed Random Test Generation/Result_Round2/Jsoup_44/result.json</x:v>
      </x:c>
      <x:c r="O1407" s="38" t="n">
        <x:f>IF(AND(G1407="RECORDED",ISNUMBER(H1407)),H1407,"")</x:f>
        <x:v>0</x:v>
      </x:c>
      <x:c r="P1407" s="34" t="str">
        <x:v>NOT_REVEALING</x:v>
      </x:c>
      <x:c r="Q1407" s="34" t="str">
        <x:v>Feedback-Directed Random Test Generation/Result_Round2/Jsoup_44/result.json</x:v>
      </x:c>
    </x:row>
    <x:row r="1408">
      <x:c r="A1408" s="34" t="str">
        <x:v>randoop</x:v>
      </x:c>
      <x:c r="B1408" s="34" t="str">
        <x:v>Jsoup</x:v>
      </x:c>
      <x:c r="C1408" s="34" t="str">
        <x:v>Round2</x:v>
      </x:c>
      <x:c r="D1408" s="34" t="str">
        <x:v>Jsoup_45</x:v>
      </x:c>
      <x:c r="E1408" s="34" t="str">
        <x:v>Coverage</x:v>
      </x:c>
      <x:c r="F1408" s="34" t="n">
        <x:v>578</x:v>
      </x:c>
      <x:c r="G1408" s="34" t="str">
        <x:v>RECORDED</x:v>
      </x:c>
      <x:c r="H1408" s="38" t="n">
        <x:f>IF(ISNUMBER('Data'!G1408),'Data'!G1408*100,"")</x:f>
        <x:v>75.61</x:v>
      </x:c>
      <x:c r="I1408" s="34" t="str">
        <x:v>PASS</x:v>
      </x:c>
      <x:c r="J1408" s="34" t="str">
        <x:v>PASS</x:v>
      </x:c>
      <x:c r="K1408" s="34" t="str">
        <x:v>PASS</x:v>
      </x:c>
      <x:c r="L1408" s="34" t="str">
        <x:v>FAIL</x:v>
      </x:c>
      <x:c r="M1408" s="34" t="str">
        <x:v>numeric coverage for applicable metric</x:v>
      </x:c>
      <x:c r="N1408" s="34" t="str">
        <x:v>Feedback-Directed Random Test Generation/Result_Round2/Jsoup_45/result.json</x:v>
      </x:c>
      <x:c r="O1408" s="38" t="n">
        <x:f>IF(AND(G1408="RECORDED",ISNUMBER(H1408)),H1408,"")</x:f>
        <x:v>75.61</x:v>
      </x:c>
      <x:c r="P1408" s="34" t="str">
        <x:v>INCONCLUSIVE</x:v>
      </x:c>
      <x:c r="Q1408" s="34" t="str">
        <x:v>Feedback-Directed Random Test Generation/Result_Round2/Jsoup_45/result.json</x:v>
      </x:c>
    </x:row>
    <x:row r="1409">
      <x:c r="A1409" s="34" t="str">
        <x:v>randoop</x:v>
      </x:c>
      <x:c r="B1409" s="34" t="str">
        <x:v>Jsoup</x:v>
      </x:c>
      <x:c r="C1409" s="34" t="str">
        <x:v>Round2</x:v>
      </x:c>
      <x:c r="D1409" s="34" t="str">
        <x:v>Jsoup_46</x:v>
      </x:c>
      <x:c r="E1409" s="34" t="str">
        <x:v>Coverage</x:v>
      </x:c>
      <x:c r="F1409" s="34" t="n">
        <x:v>169</x:v>
      </x:c>
      <x:c r="G1409" s="34" t="str">
        <x:v>RECORDED</x:v>
      </x:c>
      <x:c r="H1409" s="38" t="n">
        <x:f>IF(ISNUMBER('Data'!G1409),'Data'!G1409*100,"")</x:f>
        <x:v>38.46</x:v>
      </x:c>
      <x:c r="I1409" s="34" t="str">
        <x:v>PASS</x:v>
      </x:c>
      <x:c r="J1409" s="34" t="str">
        <x:v>PASS</x:v>
      </x:c>
      <x:c r="K1409" s="34" t="str">
        <x:v>PASS</x:v>
      </x:c>
      <x:c r="L1409" s="34" t="str">
        <x:v>PASS</x:v>
      </x:c>
      <x:c r="M1409" s="34" t="str">
        <x:v>numeric coverage for applicable metric</x:v>
      </x:c>
      <x:c r="N1409" s="34" t="str">
        <x:v>Feedback-Directed Random Test Generation/Result_Round2/Jsoup_46/result.json</x:v>
      </x:c>
      <x:c r="O1409" s="38" t="n">
        <x:f>IF(AND(G1409="RECORDED",ISNUMBER(H1409)),H1409,"")</x:f>
        <x:v>38.46</x:v>
      </x:c>
      <x:c r="P1409" s="34" t="str">
        <x:v>NOT_REVEALING</x:v>
      </x:c>
      <x:c r="Q1409" s="34" t="str">
        <x:v>Feedback-Directed Random Test Generation/Result_Round2/Jsoup_46/result.json</x:v>
      </x:c>
    </x:row>
    <x:row r="1410">
      <x:c r="A1410" s="34" t="str">
        <x:v>randoop</x:v>
      </x:c>
      <x:c r="B1410" s="34" t="str">
        <x:v>Jsoup</x:v>
      </x:c>
      <x:c r="C1410" s="34" t="str">
        <x:v>Round2</x:v>
      </x:c>
      <x:c r="D1410" s="34" t="str">
        <x:v>Jsoup_47</x:v>
      </x:c>
      <x:c r="E1410" s="34" t="str">
        <x:v>Coverage</x:v>
      </x:c>
      <x:c r="F1410" s="34" t="n">
        <x:v>169</x:v>
      </x:c>
      <x:c r="G1410" s="34" t="str">
        <x:v>RECORDED</x:v>
      </x:c>
      <x:c r="H1410" s="38" t="n">
        <x:f>IF(ISNUMBER('Data'!G1410),'Data'!G1410*100,"")</x:f>
        <x:v>38.46</x:v>
      </x:c>
      <x:c r="I1410" s="34" t="str">
        <x:v>PASS</x:v>
      </x:c>
      <x:c r="J1410" s="34" t="str">
        <x:v>PASS</x:v>
      </x:c>
      <x:c r="K1410" s="34" t="str">
        <x:v>PASS</x:v>
      </x:c>
      <x:c r="L1410" s="34" t="str">
        <x:v>PASS</x:v>
      </x:c>
      <x:c r="M1410" s="34" t="str">
        <x:v>numeric coverage for applicable metric</x:v>
      </x:c>
      <x:c r="N1410" s="34" t="str">
        <x:v>Feedback-Directed Random Test Generation/Result_Round2/Jsoup_47/result.json</x:v>
      </x:c>
      <x:c r="O1410" s="38" t="n">
        <x:f>IF(AND(G1410="RECORDED",ISNUMBER(H1410)),H1410,"")</x:f>
        <x:v>38.46</x:v>
      </x:c>
      <x:c r="P1410" s="34" t="str">
        <x:v>NOT_REVEALING</x:v>
      </x:c>
      <x:c r="Q1410" s="34" t="str">
        <x:v>Feedback-Directed Random Test Generation/Result_Round2/Jsoup_47/result.json</x:v>
      </x:c>
    </x:row>
    <x:row r="1411">
      <x:c r="A1411" s="34" t="str">
        <x:v>randoop</x:v>
      </x:c>
      <x:c r="B1411" s="34" t="str">
        <x:v>Jsoup</x:v>
      </x:c>
      <x:c r="C1411" s="34" t="str">
        <x:v>Round2</x:v>
      </x:c>
      <x:c r="D1411" s="34" t="str">
        <x:v>Jsoup_48</x:v>
      </x:c>
      <x:c r="E1411" s="34" t="str">
        <x:v>Coverage</x:v>
      </x:c>
      <x:c r="F1411" s="34" t="n">
        <x:v>639</x:v>
      </x:c>
      <x:c r="G1411" s="34" t="str">
        <x:v>RECORDED</x:v>
      </x:c>
      <x:c r="H1411" s="38" t="n">
        <x:f>IF(ISNUMBER('Data'!G1411),'Data'!G1411*100,"")</x:f>
        <x:v>21.91</x:v>
      </x:c>
      <x:c r="I1411" s="34" t="str">
        <x:v>PASS</x:v>
      </x:c>
      <x:c r="J1411" s="34" t="str">
        <x:v>PASS</x:v>
      </x:c>
      <x:c r="K1411" s="34" t="str">
        <x:v>PASS</x:v>
      </x:c>
      <x:c r="L1411" s="34" t="str">
        <x:v>PASS</x:v>
      </x:c>
      <x:c r="M1411" s="34" t="str">
        <x:v>numeric coverage for applicable metric</x:v>
      </x:c>
      <x:c r="N1411" s="34" t="str">
        <x:v>Feedback-Directed Random Test Generation/Result_Round2/Jsoup_48/result.json</x:v>
      </x:c>
      <x:c r="O1411" s="38" t="n">
        <x:f>IF(AND(G1411="RECORDED",ISNUMBER(H1411)),H1411,"")</x:f>
        <x:v>21.91</x:v>
      </x:c>
      <x:c r="P1411" s="34" t="str">
        <x:v>NOT_REVEALING</x:v>
      </x:c>
      <x:c r="Q1411" s="34" t="str">
        <x:v>Feedback-Directed Random Test Generation/Result_Round2/Jsoup_48/result.json</x:v>
      </x:c>
    </x:row>
    <x:row r="1412">
      <x:c r="A1412" s="34" t="str">
        <x:v>randoop</x:v>
      </x:c>
      <x:c r="B1412" s="34" t="str">
        <x:v>Jsoup</x:v>
      </x:c>
      <x:c r="C1412" s="34" t="str">
        <x:v>Round2</x:v>
      </x:c>
      <x:c r="D1412" s="34" t="str">
        <x:v>Jsoup_49</x:v>
      </x:c>
      <x:c r="E1412" s="34" t="str">
        <x:v>Coverage</x:v>
      </x:c>
      <x:c r="F1412" s="34" t="n">
        <x:v>333</x:v>
      </x:c>
      <x:c r="G1412" s="34" t="str">
        <x:v>RECORDED</x:v>
      </x:c>
      <x:c r="H1412" s="38" t="n">
        <x:f>IF(ISNUMBER('Data'!G1412),'Data'!G1412*100,"")</x:f>
        <x:v>0</x:v>
      </x:c>
      <x:c r="I1412" s="34" t="str">
        <x:v>PASS</x:v>
      </x:c>
      <x:c r="J1412" s="34" t="str">
        <x:v>PASS</x:v>
      </x:c>
      <x:c r="K1412" s="34" t="str">
        <x:v>PASS</x:v>
      </x:c>
      <x:c r="L1412" s="34" t="str">
        <x:v>PASS</x:v>
      </x:c>
      <x:c r="M1412" s="34" t="str">
        <x:v>numeric coverage for applicable metric</x:v>
      </x:c>
      <x:c r="N1412" s="34" t="str">
        <x:v>Feedback-Directed Random Test Generation/Result_Round2/Jsoup_49/result.json</x:v>
      </x:c>
      <x:c r="O1412" s="38" t="n">
        <x:f>IF(AND(G1412="RECORDED",ISNUMBER(H1412)),H1412,"")</x:f>
        <x:v>0</x:v>
      </x:c>
      <x:c r="P1412" s="34" t="str">
        <x:v>NOT_REVEALING</x:v>
      </x:c>
      <x:c r="Q1412" s="34" t="str">
        <x:v>Feedback-Directed Random Test Generation/Result_Round2/Jsoup_49/result.json</x:v>
      </x:c>
    </x:row>
    <x:row r="1413">
      <x:c r="A1413" s="34" t="str">
        <x:v>randoop</x:v>
      </x:c>
      <x:c r="B1413" s="34" t="str">
        <x:v>Jsoup</x:v>
      </x:c>
      <x:c r="C1413" s="34" t="str">
        <x:v>Round2</x:v>
      </x:c>
      <x:c r="D1413" s="34" t="str">
        <x:v>Jsoup_50</x:v>
      </x:c>
      <x:c r="E1413" s="34" t="str">
        <x:v>Coverage</x:v>
      </x:c>
      <x:c r="F1413" s="34" t="n">
        <x:v>140</x:v>
      </x:c>
      <x:c r="G1413" s="34" t="str">
        <x:v>RECORDED</x:v>
      </x:c>
      <x:c r="H1413" s="38" t="n">
        <x:f>IF(ISNUMBER('Data'!G1413),'Data'!G1413*100,"")</x:f>
        <x:v>33.57</x:v>
      </x:c>
      <x:c r="I1413" s="34" t="str">
        <x:v>PASS</x:v>
      </x:c>
      <x:c r="J1413" s="34" t="str">
        <x:v>PASS</x:v>
      </x:c>
      <x:c r="K1413" s="34" t="str">
        <x:v>PASS</x:v>
      </x:c>
      <x:c r="L1413" s="34" t="str">
        <x:v>PASS</x:v>
      </x:c>
      <x:c r="M1413" s="34" t="str">
        <x:v>numeric coverage for applicable metric</x:v>
      </x:c>
      <x:c r="N1413" s="34" t="str">
        <x:v>Feedback-Directed Random Test Generation/Result_Round2/Jsoup_50/result.json</x:v>
      </x:c>
      <x:c r="O1413" s="38" t="n">
        <x:f>IF(AND(G1413="RECORDED",ISNUMBER(H1413)),H1413,"")</x:f>
        <x:v>33.57</x:v>
      </x:c>
      <x:c r="P1413" s="34" t="str">
        <x:v>INCONCLUSIVE</x:v>
      </x:c>
      <x:c r="Q1413" s="34" t="str">
        <x:v>Feedback-Directed Random Test Generation/Result_Round2/Jsoup_50/result.json</x:v>
      </x:c>
    </x:row>
    <x:row r="1414">
      <x:c r="A1414" s="34" t="str">
        <x:v>randoop</x:v>
      </x:c>
      <x:c r="B1414" s="34" t="str">
        <x:v>Jsoup</x:v>
      </x:c>
      <x:c r="C1414" s="34" t="str">
        <x:v>Round2</x:v>
      </x:c>
      <x:c r="D1414" s="34" t="str">
        <x:v>Jsoup_51</x:v>
      </x:c>
      <x:c r="E1414" s="34" t="str">
        <x:v>Coverage</x:v>
      </x:c>
      <x:c r="F1414" s="34" t="n">
        <x:v>381</x:v>
      </x:c>
      <x:c r="G1414" s="34" t="str">
        <x:v>RECORDED</x:v>
      </x:c>
      <x:c r="H1414" s="38" t="n">
        <x:f>IF(ISNUMBER('Data'!G1414),'Data'!G1414*100,"")</x:f>
        <x:v>87.93</x:v>
      </x:c>
      <x:c r="I1414" s="34" t="str">
        <x:v>PASS</x:v>
      </x:c>
      <x:c r="J1414" s="34" t="str">
        <x:v>PASS</x:v>
      </x:c>
      <x:c r="K1414" s="34" t="str">
        <x:v>PASS</x:v>
      </x:c>
      <x:c r="L1414" s="34" t="str">
        <x:v>PASS</x:v>
      </x:c>
      <x:c r="M1414" s="34" t="str">
        <x:v>numeric coverage for applicable metric</x:v>
      </x:c>
      <x:c r="N1414" s="34" t="str">
        <x:v>Feedback-Directed Random Test Generation/Result_Round2/Jsoup_51/result.json</x:v>
      </x:c>
      <x:c r="O1414" s="38" t="n">
        <x:f>IF(AND(G1414="RECORDED",ISNUMBER(H1414)),H1414,"")</x:f>
        <x:v>87.93</x:v>
      </x:c>
      <x:c r="P1414" s="34" t="str">
        <x:v>NOT_REVEALING</x:v>
      </x:c>
      <x:c r="Q1414" s="34" t="str">
        <x:v>Feedback-Directed Random Test Generation/Result_Round2/Jsoup_51/result.json</x:v>
      </x:c>
    </x:row>
    <x:row r="1415">
      <x:c r="A1415" s="34" t="str">
        <x:v>randoop</x:v>
      </x:c>
      <x:c r="B1415" s="34" t="str">
        <x:v>Jsoup</x:v>
      </x:c>
      <x:c r="C1415" s="34" t="str">
        <x:v>Round2</x:v>
      </x:c>
      <x:c r="D1415" s="34" t="str">
        <x:v>Jsoup_52</x:v>
      </x:c>
      <x:c r="E1415" s="34" t="str">
        <x:v>Coverage</x:v>
      </x:c>
      <x:c r="F1415" s="34" t="n">
        <x:v>318</x:v>
      </x:c>
      <x:c r="G1415" s="34" t="str">
        <x:v>RECORDED</x:v>
      </x:c>
      <x:c r="H1415" s="38" t="n">
        <x:f>IF(ISNUMBER('Data'!G1415),'Data'!G1415*100,"")</x:f>
        <x:v>14.78</x:v>
      </x:c>
      <x:c r="I1415" s="34" t="str">
        <x:v>PASS</x:v>
      </x:c>
      <x:c r="J1415" s="34" t="str">
        <x:v>PASS</x:v>
      </x:c>
      <x:c r="K1415" s="34" t="str">
        <x:v>PASS</x:v>
      </x:c>
      <x:c r="L1415" s="34" t="str">
        <x:v>FAIL</x:v>
      </x:c>
      <x:c r="M1415" s="34" t="str">
        <x:v>numeric coverage for applicable metric</x:v>
      </x:c>
      <x:c r="N1415" s="34" t="str">
        <x:v>Feedback-Directed Random Test Generation/Result_Round2/Jsoup_52/result.json</x:v>
      </x:c>
      <x:c r="O1415" s="38" t="n">
        <x:f>IF(AND(G1415="RECORDED",ISNUMBER(H1415)),H1415,"")</x:f>
        <x:v>14.78</x:v>
      </x:c>
      <x:c r="P1415" s="34" t="str">
        <x:v>INCONCLUSIVE</x:v>
      </x:c>
      <x:c r="Q1415" s="34" t="str">
        <x:v>Feedback-Directed Random Test Generation/Result_Round2/Jsoup_52/result.json</x:v>
      </x:c>
    </x:row>
    <x:row r="1416">
      <x:c r="A1416" s="34" t="str">
        <x:v>randoop</x:v>
      </x:c>
      <x:c r="B1416" s="34" t="str">
        <x:v>Jsoup</x:v>
      </x:c>
      <x:c r="C1416" s="34" t="str">
        <x:v>Round2</x:v>
      </x:c>
      <x:c r="D1416" s="34" t="str">
        <x:v>Jsoup_53</x:v>
      </x:c>
      <x:c r="E1416" s="34" t="str">
        <x:v>Coverage</x:v>
      </x:c>
      <x:c r="F1416" s="34" t="n">
        <x:v>238</x:v>
      </x:c>
      <x:c r="G1416" s="34" t="str">
        <x:v>RECORDED</x:v>
      </x:c>
      <x:c r="H1416" s="38" t="n">
        <x:f>IF(ISNUMBER('Data'!G1416),'Data'!G1416*100,"")</x:f>
        <x:v>92.44</x:v>
      </x:c>
      <x:c r="I1416" s="34" t="str">
        <x:v>PASS</x:v>
      </x:c>
      <x:c r="J1416" s="34" t="str">
        <x:v>PASS</x:v>
      </x:c>
      <x:c r="K1416" s="34" t="str">
        <x:v>PASS</x:v>
      </x:c>
      <x:c r="L1416" s="34" t="str">
        <x:v>PASS</x:v>
      </x:c>
      <x:c r="M1416" s="34" t="str">
        <x:v>numeric coverage for applicable metric</x:v>
      </x:c>
      <x:c r="N1416" s="34" t="str">
        <x:v>Feedback-Directed Random Test Generation/Result_Round2/Jsoup_53/result.json</x:v>
      </x:c>
      <x:c r="O1416" s="38" t="n">
        <x:f>IF(AND(G1416="RECORDED",ISNUMBER(H1416)),H1416,"")</x:f>
        <x:v>92.44</x:v>
      </x:c>
      <x:c r="P1416" s="34" t="str">
        <x:v>NOT_REVEALING</x:v>
      </x:c>
      <x:c r="Q1416" s="34" t="str">
        <x:v>Feedback-Directed Random Test Generation/Result_Round2/Jsoup_53/result.json</x:v>
      </x:c>
    </x:row>
    <x:row r="1417">
      <x:c r="A1417" s="34" t="str">
        <x:v>randoop</x:v>
      </x:c>
      <x:c r="B1417" s="34" t="str">
        <x:v>Jsoup</x:v>
      </x:c>
      <x:c r="C1417" s="34" t="str">
        <x:v>Round2</x:v>
      </x:c>
      <x:c r="D1417" s="34" t="str">
        <x:v>Jsoup_54</x:v>
      </x:c>
      <x:c r="E1417" s="34" t="str">
        <x:v>Coverage</x:v>
      </x:c>
      <x:c r="F1417" s="34" t="n">
        <x:v>97</x:v>
      </x:c>
      <x:c r="G1417" s="34" t="str">
        <x:v>RECORDED</x:v>
      </x:c>
      <x:c r="H1417" s="38" t="n">
        <x:f>IF(ISNUMBER('Data'!G1417),'Data'!G1417*100,"")</x:f>
        <x:v>24.74</x:v>
      </x:c>
      <x:c r="I1417" s="34" t="str">
        <x:v>PASS</x:v>
      </x:c>
      <x:c r="J1417" s="34" t="str">
        <x:v>PASS</x:v>
      </x:c>
      <x:c r="K1417" s="34" t="str">
        <x:v>PASS</x:v>
      </x:c>
      <x:c r="L1417" s="34" t="str">
        <x:v>PASS</x:v>
      </x:c>
      <x:c r="M1417" s="34" t="str">
        <x:v>numeric coverage for applicable metric</x:v>
      </x:c>
      <x:c r="N1417" s="34" t="str">
        <x:v>Feedback-Directed Random Test Generation/Result_Round2/Jsoup_54/result.json</x:v>
      </x:c>
      <x:c r="O1417" s="38" t="n">
        <x:f>IF(AND(G1417="RECORDED",ISNUMBER(H1417)),H1417,"")</x:f>
        <x:v>24.74</x:v>
      </x:c>
      <x:c r="P1417" s="34" t="str">
        <x:v>NOT_REVEALING</x:v>
      </x:c>
      <x:c r="Q1417" s="34" t="str">
        <x:v>Feedback-Directed Random Test Generation/Result_Round2/Jsoup_54/result.json</x:v>
      </x:c>
    </x:row>
    <x:row r="1418">
      <x:c r="A1418" s="34" t="str">
        <x:v>randoop</x:v>
      </x:c>
      <x:c r="B1418" s="34" t="str">
        <x:v>Jsoup</x:v>
      </x:c>
      <x:c r="C1418" s="34" t="str">
        <x:v>Round2</x:v>
      </x:c>
      <x:c r="D1418" s="34" t="str">
        <x:v>Jsoup_55</x:v>
      </x:c>
      <x:c r="E1418" s="34" t="str">
        <x:v>Coverage</x:v>
      </x:c>
      <x:c r="F1418" s="34" t="n">
        <x:v>1473</x:v>
      </x:c>
      <x:c r="G1418" s="34" t="str">
        <x:v>RECORDED</x:v>
      </x:c>
      <x:c r="H1418" s="38" t="n">
        <x:f>IF(ISNUMBER('Data'!G1418),'Data'!G1418*100,"")</x:f>
        <x:v>14.730000000000002</x:v>
      </x:c>
      <x:c r="I1418" s="34" t="str">
        <x:v>PASS</x:v>
      </x:c>
      <x:c r="J1418" s="34" t="str">
        <x:v>PASS</x:v>
      </x:c>
      <x:c r="K1418" s="34" t="str">
        <x:v>PASS</x:v>
      </x:c>
      <x:c r="L1418" s="34" t="str">
        <x:v>PASS</x:v>
      </x:c>
      <x:c r="M1418" s="34" t="str">
        <x:v>numeric coverage for applicable metric</x:v>
      </x:c>
      <x:c r="N1418" s="34" t="str">
        <x:v>Feedback-Directed Random Test Generation/Result_Round2/Jsoup_55/result.json</x:v>
      </x:c>
      <x:c r="O1418" s="38" t="n">
        <x:f>IF(AND(G1418="RECORDED",ISNUMBER(H1418)),H1418,"")</x:f>
        <x:v>14.730000000000002</x:v>
      </x:c>
      <x:c r="P1418" s="34" t="str">
        <x:v>NOT_REVEALING</x:v>
      </x:c>
      <x:c r="Q1418" s="34" t="str">
        <x:v>Feedback-Directed Random Test Generation/Result_Round2/Jsoup_55/result.json</x:v>
      </x:c>
    </x:row>
    <x:row r="1419">
      <x:c r="A1419" s="34" t="str">
        <x:v>randoop</x:v>
      </x:c>
      <x:c r="B1419" s="34" t="str">
        <x:v>Jsoup</x:v>
      </x:c>
      <x:c r="C1419" s="34" t="str">
        <x:v>Round2</x:v>
      </x:c>
      <x:c r="D1419" s="34" t="str">
        <x:v>Jsoup_56</x:v>
      </x:c>
      <x:c r="E1419" s="34" t="str">
        <x:v>Coverage</x:v>
      </x:c>
      <x:c r="F1419" s="34" t="n">
        <x:v>3664</x:v>
      </x:c>
      <x:c r="G1419" s="34" t="str">
        <x:v>RECORDED</x:v>
      </x:c>
      <x:c r="H1419" s="38" t="n">
        <x:f>IF(ISNUMBER('Data'!G1419),'Data'!G1419*100,"")</x:f>
        <x:v>32.4</x:v>
      </x:c>
      <x:c r="I1419" s="34" t="str">
        <x:v>PASS</x:v>
      </x:c>
      <x:c r="J1419" s="34" t="str">
        <x:v>PASS</x:v>
      </x:c>
      <x:c r="K1419" s="34" t="str">
        <x:v>PASS</x:v>
      </x:c>
      <x:c r="L1419" s="34" t="str">
        <x:v>FAIL</x:v>
      </x:c>
      <x:c r="M1419" s="34" t="str">
        <x:v>numeric coverage for applicable metric</x:v>
      </x:c>
      <x:c r="N1419" s="34" t="str">
        <x:v>Feedback-Directed Random Test Generation/Result_Round2/Jsoup_56/result.json</x:v>
      </x:c>
      <x:c r="O1419" s="38" t="n">
        <x:f>IF(AND(G1419="RECORDED",ISNUMBER(H1419)),H1419,"")</x:f>
        <x:v>32.4</x:v>
      </x:c>
      <x:c r="P1419" s="34" t="str">
        <x:v>INCONCLUSIVE</x:v>
      </x:c>
      <x:c r="Q1419" s="34" t="str">
        <x:v>Feedback-Directed Random Test Generation/Result_Round2/Jsoup_56/result.json</x:v>
      </x:c>
    </x:row>
    <x:row r="1420">
      <x:c r="A1420" s="34" t="str">
        <x:v>randoop</x:v>
      </x:c>
      <x:c r="B1420" s="34" t="str">
        <x:v>Jsoup</x:v>
      </x:c>
      <x:c r="C1420" s="34" t="str">
        <x:v>Round2</x:v>
      </x:c>
      <x:c r="D1420" s="34" t="str">
        <x:v>Jsoup_57</x:v>
      </x:c>
      <x:c r="E1420" s="34" t="str">
        <x:v>Coverage</x:v>
      </x:c>
      <x:c r="F1420" s="34" t="n">
        <x:v>203</x:v>
      </x:c>
      <x:c r="G1420" s="34" t="str">
        <x:v>RECORDED</x:v>
      </x:c>
      <x:c r="H1420" s="38" t="n">
        <x:f>IF(ISNUMBER('Data'!G1420),'Data'!G1420*100,"")</x:f>
        <x:v>80.79</x:v>
      </x:c>
      <x:c r="I1420" s="34" t="str">
        <x:v>PASS</x:v>
      </x:c>
      <x:c r="J1420" s="34" t="str">
        <x:v>PASS</x:v>
      </x:c>
      <x:c r="K1420" s="34" t="str">
        <x:v>PASS</x:v>
      </x:c>
      <x:c r="L1420" s="34" t="str">
        <x:v>PASS</x:v>
      </x:c>
      <x:c r="M1420" s="34" t="str">
        <x:v>numeric coverage for applicable metric</x:v>
      </x:c>
      <x:c r="N1420" s="34" t="str">
        <x:v>Feedback-Directed Random Test Generation/Result_Round2/Jsoup_57/result.json</x:v>
      </x:c>
      <x:c r="O1420" s="38" t="n">
        <x:f>IF(AND(G1420="RECORDED",ISNUMBER(H1420)),H1420,"")</x:f>
        <x:v>80.79</x:v>
      </x:c>
      <x:c r="P1420" s="34" t="str">
        <x:v>NOT_REVEALING</x:v>
      </x:c>
      <x:c r="Q1420" s="34" t="str">
        <x:v>Feedback-Directed Random Test Generation/Result_Round2/Jsoup_57/result.json</x:v>
      </x:c>
    </x:row>
    <x:row r="1421">
      <x:c r="A1421" s="34" t="str">
        <x:v>randoop</x:v>
      </x:c>
      <x:c r="B1421" s="34" t="str">
        <x:v>Jsoup</x:v>
      </x:c>
      <x:c r="C1421" s="34" t="str">
        <x:v>Round2</x:v>
      </x:c>
      <x:c r="D1421" s="34" t="str">
        <x:v>Jsoup_58</x:v>
      </x:c>
      <x:c r="E1421" s="34" t="str">
        <x:v>Coverage</x:v>
      </x:c>
      <x:c r="F1421" s="34" t="n">
        <x:v>159</x:v>
      </x:c>
      <x:c r="G1421" s="34" t="str">
        <x:v>RECORDED</x:v>
      </x:c>
      <x:c r="H1421" s="38" t="n">
        <x:f>IF(ISNUMBER('Data'!G1421),'Data'!G1421*100,"")</x:f>
        <x:v>37.11</x:v>
      </x:c>
      <x:c r="I1421" s="34" t="str">
        <x:v>PASS</x:v>
      </x:c>
      <x:c r="J1421" s="34" t="str">
        <x:v>PASS</x:v>
      </x:c>
      <x:c r="K1421" s="34" t="str">
        <x:v>PASS</x:v>
      </x:c>
      <x:c r="L1421" s="34" t="str">
        <x:v>PASS</x:v>
      </x:c>
      <x:c r="M1421" s="34" t="str">
        <x:v>numeric coverage for applicable metric</x:v>
      </x:c>
      <x:c r="N1421" s="34" t="str">
        <x:v>Feedback-Directed Random Test Generation/Result_Round2/Jsoup_58/result.json</x:v>
      </x:c>
      <x:c r="O1421" s="38" t="n">
        <x:f>IF(AND(G1421="RECORDED",ISNUMBER(H1421)),H1421,"")</x:f>
        <x:v>37.11</x:v>
      </x:c>
      <x:c r="P1421" s="34" t="str">
        <x:v>NOT_REVEALING</x:v>
      </x:c>
      <x:c r="Q1421" s="34" t="str">
        <x:v>Feedback-Directed Random Test Generation/Result_Round2/Jsoup_58/result.json</x:v>
      </x:c>
    </x:row>
    <x:row r="1422">
      <x:c r="A1422" s="34" t="str">
        <x:v>randoop</x:v>
      </x:c>
      <x:c r="B1422" s="34" t="str">
        <x:v>Jsoup</x:v>
      </x:c>
      <x:c r="C1422" s="34" t="str">
        <x:v>Round2</x:v>
      </x:c>
      <x:c r="D1422" s="34" t="str">
        <x:v>Jsoup_59</x:v>
      </x:c>
      <x:c r="E1422" s="34" t="str">
        <x:v>Coverage</x:v>
      </x:c>
      <x:c r="F1422" s="34" t="n">
        <x:v>204</x:v>
      </x:c>
      <x:c r="G1422" s="34" t="str">
        <x:v>RECORDED</x:v>
      </x:c>
      <x:c r="H1422" s="38" t="n">
        <x:f>IF(ISNUMBER('Data'!G1422),'Data'!G1422*100,"")</x:f>
        <x:v>97.55</x:v>
      </x:c>
      <x:c r="I1422" s="34" t="str">
        <x:v>PASS</x:v>
      </x:c>
      <x:c r="J1422" s="34" t="str">
        <x:v>PASS</x:v>
      </x:c>
      <x:c r="K1422" s="34" t="str">
        <x:v>PASS</x:v>
      </x:c>
      <x:c r="L1422" s="34" t="str">
        <x:v>PASS</x:v>
      </x:c>
      <x:c r="M1422" s="34" t="str">
        <x:v>numeric coverage for applicable metric</x:v>
      </x:c>
      <x:c r="N1422" s="34" t="str">
        <x:v>Feedback-Directed Random Test Generation/Result_Round2/Jsoup_59/result.json</x:v>
      </x:c>
      <x:c r="O1422" s="38" t="n">
        <x:f>IF(AND(G1422="RECORDED",ISNUMBER(H1422)),H1422,"")</x:f>
        <x:v>97.55</x:v>
      </x:c>
      <x:c r="P1422" s="34" t="str">
        <x:v>INCONCLUSIVE</x:v>
      </x:c>
      <x:c r="Q1422" s="34" t="str">
        <x:v>Feedback-Directed Random Test Generation/Result_Round2/Jsoup_59/result.json</x:v>
      </x:c>
    </x:row>
    <x:row r="1423">
      <x:c r="A1423" s="34" t="str">
        <x:v>randoop</x:v>
      </x:c>
      <x:c r="B1423" s="34" t="str">
        <x:v>Jsoup</x:v>
      </x:c>
      <x:c r="C1423" s="34" t="str">
        <x:v>Round2</x:v>
      </x:c>
      <x:c r="D1423" s="34" t="str">
        <x:v>Jsoup_60</x:v>
      </x:c>
      <x:c r="E1423" s="34" t="str">
        <x:v>Coverage</x:v>
      </x:c>
      <x:c r="F1423" s="34" t="n">
        <x:v>623</x:v>
      </x:c>
      <x:c r="G1423" s="34" t="str">
        <x:v>RECORDED</x:v>
      </x:c>
      <x:c r="H1423" s="38" t="n">
        <x:f>IF(ISNUMBER('Data'!G1423),'Data'!G1423*100,"")</x:f>
        <x:v>55.86</x:v>
      </x:c>
      <x:c r="I1423" s="34" t="str">
        <x:v>PASS</x:v>
      </x:c>
      <x:c r="J1423" s="34" t="str">
        <x:v>PASS</x:v>
      </x:c>
      <x:c r="K1423" s="34" t="str">
        <x:v>PASS</x:v>
      </x:c>
      <x:c r="L1423" s="34" t="str">
        <x:v>PASS</x:v>
      </x:c>
      <x:c r="M1423" s="34" t="str">
        <x:v>numeric coverage for applicable metric</x:v>
      </x:c>
      <x:c r="N1423" s="34" t="str">
        <x:v>Feedback-Directed Random Test Generation/Result_Round2/Jsoup_60/result.json</x:v>
      </x:c>
      <x:c r="O1423" s="38" t="n">
        <x:f>IF(AND(G1423="RECORDED",ISNUMBER(H1423)),H1423,"")</x:f>
        <x:v>55.86</x:v>
      </x:c>
      <x:c r="P1423" s="34" t="str">
        <x:v>INCONCLUSIVE</x:v>
      </x:c>
      <x:c r="Q1423" s="34" t="str">
        <x:v>Feedback-Directed Random Test Generation/Result_Round2/Jsoup_60/result.json</x:v>
      </x:c>
    </x:row>
    <x:row r="1424">
      <x:c r="A1424" s="34" t="str">
        <x:v>randoop</x:v>
      </x:c>
      <x:c r="B1424" s="34" t="str">
        <x:v>Jsoup</x:v>
      </x:c>
      <x:c r="C1424" s="34" t="str">
        <x:v>Round2</x:v>
      </x:c>
      <x:c r="D1424" s="34" t="str">
        <x:v>Jsoup_61</x:v>
      </x:c>
      <x:c r="E1424" s="34" t="str">
        <x:v>Coverage</x:v>
      </x:c>
      <x:c r="F1424" s="34" t="n">
        <x:v>536</x:v>
      </x:c>
      <x:c r="G1424" s="34" t="str">
        <x:v>RECORDED</x:v>
      </x:c>
      <x:c r="H1424" s="38" t="n">
        <x:f>IF(ISNUMBER('Data'!G1424),'Data'!G1424*100,"")</x:f>
        <x:v>83.21</x:v>
      </x:c>
      <x:c r="I1424" s="34" t="str">
        <x:v>PASS</x:v>
      </x:c>
      <x:c r="J1424" s="34" t="str">
        <x:v>PASS</x:v>
      </x:c>
      <x:c r="K1424" s="34" t="str">
        <x:v>PASS</x:v>
      </x:c>
      <x:c r="L1424" s="34" t="str">
        <x:v>FAIL</x:v>
      </x:c>
      <x:c r="M1424" s="34" t="str">
        <x:v>numeric coverage for applicable metric</x:v>
      </x:c>
      <x:c r="N1424" s="34" t="str">
        <x:v>Feedback-Directed Random Test Generation/Result_Round2/Jsoup_61/result.json</x:v>
      </x:c>
      <x:c r="O1424" s="38" t="n">
        <x:f>IF(AND(G1424="RECORDED",ISNUMBER(H1424)),H1424,"")</x:f>
        <x:v>83.21</x:v>
      </x:c>
      <x:c r="P1424" s="34" t="str">
        <x:v>INCONCLUSIVE</x:v>
      </x:c>
      <x:c r="Q1424" s="34" t="str">
        <x:v>Feedback-Directed Random Test Generation/Result_Round2/Jsoup_61/result.json</x:v>
      </x:c>
    </x:row>
    <x:row r="1425">
      <x:c r="A1425" s="34" t="str">
        <x:v>randoop</x:v>
      </x:c>
      <x:c r="B1425" s="34" t="str">
        <x:v>Jsoup</x:v>
      </x:c>
      <x:c r="C1425" s="34" t="str">
        <x:v>Round2</x:v>
      </x:c>
      <x:c r="D1425" s="34" t="str">
        <x:v>Jsoup_62</x:v>
      </x:c>
      <x:c r="E1425" s="34" t="str">
        <x:v>Coverage</x:v>
      </x:c>
      <x:c r="F1425" s="34" t="n">
        <x:v>1860</x:v>
      </x:c>
      <x:c r="G1425" s="34" t="str">
        <x:v>RECORDED</x:v>
      </x:c>
      <x:c r="H1425" s="38" t="n">
        <x:f>IF(ISNUMBER('Data'!G1425),'Data'!G1425*100,"")</x:f>
        <x:v>3.92</x:v>
      </x:c>
      <x:c r="I1425" s="34" t="str">
        <x:v>PASS</x:v>
      </x:c>
      <x:c r="J1425" s="34" t="str">
        <x:v>PASS</x:v>
      </x:c>
      <x:c r="K1425" s="34" t="str">
        <x:v>PASS</x:v>
      </x:c>
      <x:c r="L1425" s="34" t="str">
        <x:v>PASS</x:v>
      </x:c>
      <x:c r="M1425" s="34" t="str">
        <x:v>numeric coverage for applicable metric</x:v>
      </x:c>
      <x:c r="N1425" s="34" t="str">
        <x:v>Feedback-Directed Random Test Generation/Result_Round2/Jsoup_62/result.json</x:v>
      </x:c>
      <x:c r="O1425" s="38" t="n">
        <x:f>IF(AND(G1425="RECORDED",ISNUMBER(H1425)),H1425,"")</x:f>
        <x:v>3.92</x:v>
      </x:c>
      <x:c r="P1425" s="34" t="str">
        <x:v>NOT_REVEALING</x:v>
      </x:c>
      <x:c r="Q1425" s="34" t="str">
        <x:v>Feedback-Directed Random Test Generation/Result_Round2/Jsoup_62/result.json</x:v>
      </x:c>
    </x:row>
    <x:row r="1426">
      <x:c r="A1426" s="34" t="str">
        <x:v>randoop</x:v>
      </x:c>
      <x:c r="B1426" s="34" t="str">
        <x:v>Jsoup</x:v>
      </x:c>
      <x:c r="C1426" s="34" t="str">
        <x:v>Round2</x:v>
      </x:c>
      <x:c r="D1426" s="34" t="str">
        <x:v>Jsoup_63</x:v>
      </x:c>
      <x:c r="E1426" s="34" t="str">
        <x:v>Coverage</x:v>
      </x:c>
      <x:c r="F1426" s="34" t="n">
        <x:v>839</x:v>
      </x:c>
      <x:c r="G1426" s="34" t="str">
        <x:v>RECORDED</x:v>
      </x:c>
      <x:c r="H1426" s="38" t="n">
        <x:f>IF(ISNUMBER('Data'!G1426),'Data'!G1426*100,"")</x:f>
        <x:v>57.93000000000001</x:v>
      </x:c>
      <x:c r="I1426" s="34" t="str">
        <x:v>PASS</x:v>
      </x:c>
      <x:c r="J1426" s="34" t="str">
        <x:v>PASS</x:v>
      </x:c>
      <x:c r="K1426" s="34" t="str">
        <x:v>PASS</x:v>
      </x:c>
      <x:c r="L1426" s="34" t="str">
        <x:v>FAIL</x:v>
      </x:c>
      <x:c r="M1426" s="34" t="str">
        <x:v>numeric coverage for applicable metric</x:v>
      </x:c>
      <x:c r="N1426" s="34" t="str">
        <x:v>Feedback-Directed Random Test Generation/Result_Round2/Jsoup_63/result.json</x:v>
      </x:c>
      <x:c r="O1426" s="38" t="n">
        <x:f>IF(AND(G1426="RECORDED",ISNUMBER(H1426)),H1426,"")</x:f>
        <x:v>57.93000000000001</x:v>
      </x:c>
      <x:c r="P1426" s="34" t="str">
        <x:v>NOT_AVAILABLE</x:v>
      </x:c>
      <x:c r="Q1426" s="34" t="str">
        <x:v>Feedback-Directed Random Test Generation/Result_Round2/Jsoup_63/result.json</x:v>
      </x:c>
    </x:row>
    <x:row r="1427">
      <x:c r="A1427" s="34" t="str">
        <x:v>randoop</x:v>
      </x:c>
      <x:c r="B1427" s="34" t="str">
        <x:v>Jsoup</x:v>
      </x:c>
      <x:c r="C1427" s="34" t="str">
        <x:v>Round2</x:v>
      </x:c>
      <x:c r="D1427" s="34" t="str">
        <x:v>Jsoup_64</x:v>
      </x:c>
      <x:c r="E1427" s="34" t="str">
        <x:v>Coverage</x:v>
      </x:c>
      <x:c r="F1427" s="34" t="n">
        <x:v>1883</x:v>
      </x:c>
      <x:c r="G1427" s="34" t="str">
        <x:v>RECORDED</x:v>
      </x:c>
      <x:c r="H1427" s="38" t="n">
        <x:f>IF(ISNUMBER('Data'!G1427),'Data'!G1427*100,"")</x:f>
        <x:v>3.88</x:v>
      </x:c>
      <x:c r="I1427" s="34" t="str">
        <x:v>PASS</x:v>
      </x:c>
      <x:c r="J1427" s="34" t="str">
        <x:v>PASS</x:v>
      </x:c>
      <x:c r="K1427" s="34" t="str">
        <x:v>PASS</x:v>
      </x:c>
      <x:c r="L1427" s="34" t="str">
        <x:v>PASS</x:v>
      </x:c>
      <x:c r="M1427" s="34" t="str">
        <x:v>numeric coverage for applicable metric</x:v>
      </x:c>
      <x:c r="N1427" s="34" t="str">
        <x:v>Feedback-Directed Random Test Generation/Result_Round2/Jsoup_64/result.json</x:v>
      </x:c>
      <x:c r="O1427" s="38" t="n">
        <x:f>IF(AND(G1427="RECORDED",ISNUMBER(H1427)),H1427,"")</x:f>
        <x:v>3.88</x:v>
      </x:c>
      <x:c r="P1427" s="34" t="str">
        <x:v>NOT_REVEALING</x:v>
      </x:c>
      <x:c r="Q1427" s="34" t="str">
        <x:v>Feedback-Directed Random Test Generation/Result_Round2/Jsoup_64/result.json</x:v>
      </x:c>
    </x:row>
    <x:row r="1428">
      <x:c r="A1428" s="34" t="str">
        <x:v>randoop</x:v>
      </x:c>
      <x:c r="B1428" s="34" t="str">
        <x:v>Jsoup</x:v>
      </x:c>
      <x:c r="C1428" s="34" t="str">
        <x:v>Round2</x:v>
      </x:c>
      <x:c r="D1428" s="34" t="str">
        <x:v>Jsoup_65</x:v>
      </x:c>
      <x:c r="E1428" s="34" t="str">
        <x:v>Coverage</x:v>
      </x:c>
      <x:c r="F1428" s="34" t="n">
        <x:v>2464</x:v>
      </x:c>
      <x:c r="G1428" s="34" t="str">
        <x:v>RECORDED</x:v>
      </x:c>
      <x:c r="H1428" s="38" t="n">
        <x:f>IF(ISNUMBER('Data'!G1428),'Data'!G1428*100,"")</x:f>
        <x:v>29.549999999999997</x:v>
      </x:c>
      <x:c r="I1428" s="34" t="str">
        <x:v>PASS</x:v>
      </x:c>
      <x:c r="J1428" s="34" t="str">
        <x:v>PASS</x:v>
      </x:c>
      <x:c r="K1428" s="34" t="str">
        <x:v>PASS</x:v>
      </x:c>
      <x:c r="L1428" s="34" t="str">
        <x:v>FAIL</x:v>
      </x:c>
      <x:c r="M1428" s="34" t="str">
        <x:v>numeric coverage for applicable metric</x:v>
      </x:c>
      <x:c r="N1428" s="34" t="str">
        <x:v>Feedback-Directed Random Test Generation/Result_Round2/Jsoup_65/result.json</x:v>
      </x:c>
      <x:c r="O1428" s="38" t="n">
        <x:f>IF(AND(G1428="RECORDED",ISNUMBER(H1428)),H1428,"")</x:f>
        <x:v>29.549999999999997</x:v>
      </x:c>
      <x:c r="P1428" s="34" t="str">
        <x:v>INCONCLUSIVE</x:v>
      </x:c>
      <x:c r="Q1428" s="34" t="str">
        <x:v>Feedback-Directed Random Test Generation/Result_Round2/Jsoup_65/result.json</x:v>
      </x:c>
    </x:row>
    <x:row r="1429">
      <x:c r="A1429" s="34" t="str">
        <x:v>randoop</x:v>
      </x:c>
      <x:c r="B1429" s="34" t="str">
        <x:v>Jsoup</x:v>
      </x:c>
      <x:c r="C1429" s="34" t="str">
        <x:v>Round2</x:v>
      </x:c>
      <x:c r="D1429" s="34" t="str">
        <x:v>Jsoup_66</x:v>
      </x:c>
      <x:c r="E1429" s="34" t="str">
        <x:v>Coverage</x:v>
      </x:c>
      <x:c r="F1429" s="34" t="n">
        <x:v>594</x:v>
      </x:c>
      <x:c r="G1429" s="34" t="str">
        <x:v>RECORDED</x:v>
      </x:c>
      <x:c r="H1429" s="38" t="n">
        <x:f>IF(ISNUMBER('Data'!G1429),'Data'!G1429*100,"")</x:f>
        <x:v>84.85</x:v>
      </x:c>
      <x:c r="I1429" s="34" t="str">
        <x:v>PASS</x:v>
      </x:c>
      <x:c r="J1429" s="34" t="str">
        <x:v>PASS</x:v>
      </x:c>
      <x:c r="K1429" s="34" t="str">
        <x:v>PASS</x:v>
      </x:c>
      <x:c r="L1429" s="34" t="str">
        <x:v>FAIL</x:v>
      </x:c>
      <x:c r="M1429" s="34" t="str">
        <x:v>numeric coverage for applicable metric</x:v>
      </x:c>
      <x:c r="N1429" s="34" t="str">
        <x:v>Feedback-Directed Random Test Generation/Result_Round2/Jsoup_66/result.json</x:v>
      </x:c>
      <x:c r="O1429" s="38" t="n">
        <x:f>IF(AND(G1429="RECORDED",ISNUMBER(H1429)),H1429,"")</x:f>
        <x:v>84.85</x:v>
      </x:c>
      <x:c r="P1429" s="34" t="str">
        <x:v>INCONCLUSIVE</x:v>
      </x:c>
      <x:c r="Q1429" s="34" t="str">
        <x:v>Feedback-Directed Random Test Generation/Result_Round2/Jsoup_66/result.json</x:v>
      </x:c>
    </x:row>
    <x:row r="1430">
      <x:c r="A1430" s="34" t="str">
        <x:v>randoop</x:v>
      </x:c>
      <x:c r="B1430" s="34" t="str">
        <x:v>Jsoup</x:v>
      </x:c>
      <x:c r="C1430" s="34" t="str">
        <x:v>Round2</x:v>
      </x:c>
      <x:c r="D1430" s="34" t="str">
        <x:v>Jsoup_67</x:v>
      </x:c>
      <x:c r="E1430" s="34" t="str">
        <x:v>Coverage</x:v>
      </x:c>
      <x:c r="F1430" s="34" t="n">
        <x:v>581</x:v>
      </x:c>
      <x:c r="G1430" s="34" t="str">
        <x:v>RECORDED</x:v>
      </x:c>
      <x:c r="H1430" s="38" t="n">
        <x:f>IF(ISNUMBER('Data'!G1430),'Data'!G1430*100,"")</x:f>
        <x:v>71.08</x:v>
      </x:c>
      <x:c r="I1430" s="34" t="str">
        <x:v>PASS</x:v>
      </x:c>
      <x:c r="J1430" s="34" t="str">
        <x:v>PASS</x:v>
      </x:c>
      <x:c r="K1430" s="34" t="str">
        <x:v>PASS</x:v>
      </x:c>
      <x:c r="L1430" s="34" t="str">
        <x:v>FAIL</x:v>
      </x:c>
      <x:c r="M1430" s="34" t="str">
        <x:v>numeric coverage for applicable metric</x:v>
      </x:c>
      <x:c r="N1430" s="34" t="str">
        <x:v>Feedback-Directed Random Test Generation/Result_Round2/Jsoup_67/result.json</x:v>
      </x:c>
      <x:c r="O1430" s="38" t="n">
        <x:f>IF(AND(G1430="RECORDED",ISNUMBER(H1430)),H1430,"")</x:f>
        <x:v>71.08</x:v>
      </x:c>
      <x:c r="P1430" s="34" t="str">
        <x:v>INCONCLUSIVE</x:v>
      </x:c>
      <x:c r="Q1430" s="34" t="str">
        <x:v>Feedback-Directed Random Test Generation/Result_Round2/Jsoup_67/result.json</x:v>
      </x:c>
    </x:row>
    <x:row r="1431">
      <x:c r="A1431" s="34" t="str">
        <x:v>randoop</x:v>
      </x:c>
      <x:c r="B1431" s="34" t="str">
        <x:v>Jsoup</x:v>
      </x:c>
      <x:c r="C1431" s="34" t="str">
        <x:v>Round2</x:v>
      </x:c>
      <x:c r="D1431" s="34" t="str">
        <x:v>Jsoup_68</x:v>
      </x:c>
      <x:c r="E1431" s="34" t="str">
        <x:v>Coverage</x:v>
      </x:c>
      <x:c r="F1431" s="34" t="n">
        <x:v>586</x:v>
      </x:c>
      <x:c r="G1431" s="34" t="str">
        <x:v>RECORDED</x:v>
      </x:c>
      <x:c r="H1431" s="38" t="n">
        <x:f>IF(ISNUMBER('Data'!G1431),'Data'!G1431*100,"")</x:f>
        <x:v>70.14</x:v>
      </x:c>
      <x:c r="I1431" s="34" t="str">
        <x:v>PASS</x:v>
      </x:c>
      <x:c r="J1431" s="34" t="str">
        <x:v>PASS</x:v>
      </x:c>
      <x:c r="K1431" s="34" t="str">
        <x:v>PASS</x:v>
      </x:c>
      <x:c r="L1431" s="34" t="str">
        <x:v>FAIL</x:v>
      </x:c>
      <x:c r="M1431" s="34" t="str">
        <x:v>numeric coverage for applicable metric</x:v>
      </x:c>
      <x:c r="N1431" s="34" t="str">
        <x:v>Feedback-Directed Random Test Generation/Result_Round2/Jsoup_68/result.json</x:v>
      </x:c>
      <x:c r="O1431" s="38" t="n">
        <x:f>IF(AND(G1431="RECORDED",ISNUMBER(H1431)),H1431,"")</x:f>
        <x:v>70.14</x:v>
      </x:c>
      <x:c r="P1431" s="34" t="str">
        <x:v>INCONCLUSIVE</x:v>
      </x:c>
      <x:c r="Q1431" s="34" t="str">
        <x:v>Feedback-Directed Random Test Generation/Result_Round2/Jsoup_68/result.json</x:v>
      </x:c>
    </x:row>
    <x:row r="1432">
      <x:c r="A1432" s="34" t="str">
        <x:v>randoop</x:v>
      </x:c>
      <x:c r="B1432" s="34" t="str">
        <x:v>Jsoup</x:v>
      </x:c>
      <x:c r="C1432" s="34" t="str">
        <x:v>Round2</x:v>
      </x:c>
      <x:c r="D1432" s="34" t="str">
        <x:v>Jsoup_69</x:v>
      </x:c>
      <x:c r="E1432" s="34" t="str">
        <x:v>Coverage</x:v>
      </x:c>
      <x:c r="F1432" s="34" t="n">
        <x:v>67</x:v>
      </x:c>
      <x:c r="G1432" s="34" t="str">
        <x:v>RECORDED</x:v>
      </x:c>
      <x:c r="H1432" s="38" t="n">
        <x:f>IF(ISNUMBER('Data'!G1432),'Data'!G1432*100,"")</x:f>
        <x:v>1.49</x:v>
      </x:c>
      <x:c r="I1432" s="34" t="str">
        <x:v>PASS</x:v>
      </x:c>
      <x:c r="J1432" s="34" t="str">
        <x:v>PASS</x:v>
      </x:c>
      <x:c r="K1432" s="34" t="str">
        <x:v>PASS</x:v>
      </x:c>
      <x:c r="L1432" s="34" t="str">
        <x:v>PASS</x:v>
      </x:c>
      <x:c r="M1432" s="34" t="str">
        <x:v>numeric coverage for applicable metric</x:v>
      </x:c>
      <x:c r="N1432" s="34" t="str">
        <x:v>Feedback-Directed Random Test Generation/Result_Round2/Jsoup_69/result.json</x:v>
      </x:c>
      <x:c r="O1432" s="38" t="n">
        <x:f>IF(AND(G1432="RECORDED",ISNUMBER(H1432)),H1432,"")</x:f>
        <x:v>1.49</x:v>
      </x:c>
      <x:c r="P1432" s="34" t="str">
        <x:v>NOT_REVEALING</x:v>
      </x:c>
      <x:c r="Q1432" s="34" t="str">
        <x:v>Feedback-Directed Random Test Generation/Result_Round2/Jsoup_69/result.json</x:v>
      </x:c>
    </x:row>
    <x:row r="1433">
      <x:c r="A1433" s="34" t="str">
        <x:v>randoop</x:v>
      </x:c>
      <x:c r="B1433" s="34" t="str">
        <x:v>Jsoup</x:v>
      </x:c>
      <x:c r="C1433" s="34" t="str">
        <x:v>Round2</x:v>
      </x:c>
      <x:c r="D1433" s="34" t="str">
        <x:v>Jsoup_70</x:v>
      </x:c>
      <x:c r="E1433" s="34" t="str">
        <x:v>Coverage</x:v>
      </x:c>
      <x:c r="F1433" s="34" t="n">
        <x:v>600</x:v>
      </x:c>
      <x:c r="G1433" s="34" t="str">
        <x:v>RECORDED</x:v>
      </x:c>
      <x:c r="H1433" s="38" t="n">
        <x:f>IF(ISNUMBER('Data'!G1433),'Data'!G1433*100,"")</x:f>
        <x:v>83.5</x:v>
      </x:c>
      <x:c r="I1433" s="34" t="str">
        <x:v>PASS</x:v>
      </x:c>
      <x:c r="J1433" s="34" t="str">
        <x:v>PASS</x:v>
      </x:c>
      <x:c r="K1433" s="34" t="str">
        <x:v>PASS</x:v>
      </x:c>
      <x:c r="L1433" s="34" t="str">
        <x:v>FAIL</x:v>
      </x:c>
      <x:c r="M1433" s="34" t="str">
        <x:v>numeric coverage for applicable metric</x:v>
      </x:c>
      <x:c r="N1433" s="34" t="str">
        <x:v>Feedback-Directed Random Test Generation/Result_Round2/Jsoup_70/result.json</x:v>
      </x:c>
      <x:c r="O1433" s="38" t="n">
        <x:f>IF(AND(G1433="RECORDED",ISNUMBER(H1433)),H1433,"")</x:f>
        <x:v>83.5</x:v>
      </x:c>
      <x:c r="P1433" s="34" t="str">
        <x:v>INCONCLUSIVE</x:v>
      </x:c>
      <x:c r="Q1433" s="34" t="str">
        <x:v>Feedback-Directed Random Test Generation/Result_Round2/Jsoup_70/result.json</x:v>
      </x:c>
    </x:row>
    <x:row r="1434">
      <x:c r="A1434" s="34" t="str">
        <x:v>randoop</x:v>
      </x:c>
      <x:c r="B1434" s="34" t="str">
        <x:v>Jsoup</x:v>
      </x:c>
      <x:c r="C1434" s="34" t="str">
        <x:v>Round2</x:v>
      </x:c>
      <x:c r="D1434" s="34" t="str">
        <x:v>Jsoup_71</x:v>
      </x:c>
      <x:c r="E1434" s="34" t="str">
        <x:v>Coverage</x:v>
      </x:c>
      <x:c r="F1434" s="34" t="n">
        <x:v>678</x:v>
      </x:c>
      <x:c r="G1434" s="34" t="str">
        <x:v>RECORDED</x:v>
      </x:c>
      <x:c r="H1434" s="38" t="n">
        <x:f>IF(ISNUMBER('Data'!G1434),'Data'!G1434*100,"")</x:f>
        <x:v>61.5</x:v>
      </x:c>
      <x:c r="I1434" s="34" t="str">
        <x:v>PASS</x:v>
      </x:c>
      <x:c r="J1434" s="34" t="str">
        <x:v>PASS</x:v>
      </x:c>
      <x:c r="K1434" s="34" t="str">
        <x:v>PASS</x:v>
      </x:c>
      <x:c r="L1434" s="34" t="str">
        <x:v>PASS</x:v>
      </x:c>
      <x:c r="M1434" s="34" t="str">
        <x:v>numeric coverage for applicable metric</x:v>
      </x:c>
      <x:c r="N1434" s="34" t="str">
        <x:v>Feedback-Directed Random Test Generation/Result_Round2/Jsoup_71/result.json</x:v>
      </x:c>
      <x:c r="O1434" s="38" t="n">
        <x:f>IF(AND(G1434="RECORDED",ISNUMBER(H1434)),H1434,"")</x:f>
        <x:v>61.5</x:v>
      </x:c>
      <x:c r="P1434" s="34" t="str">
        <x:v>NOT_REVEALING</x:v>
      </x:c>
      <x:c r="Q1434" s="34" t="str">
        <x:v>Feedback-Directed Random Test Generation/Result_Round2/Jsoup_71/result.json</x:v>
      </x:c>
    </x:row>
    <x:row r="1435">
      <x:c r="A1435" s="34" t="str">
        <x:v>randoop</x:v>
      </x:c>
      <x:c r="B1435" s="34" t="str">
        <x:v>Jsoup</x:v>
      </x:c>
      <x:c r="C1435" s="34" t="str">
        <x:v>Round2</x:v>
      </x:c>
      <x:c r="D1435" s="34" t="str">
        <x:v>Jsoup_72</x:v>
      </x:c>
      <x:c r="E1435" s="34" t="str">
        <x:v>Coverage</x:v>
      </x:c>
      <x:c r="F1435" s="34" t="n">
        <x:v>426</x:v>
      </x:c>
      <x:c r="G1435" s="34" t="str">
        <x:v>RECORDED</x:v>
      </x:c>
      <x:c r="H1435" s="38" t="n">
        <x:f>IF(ISNUMBER('Data'!G1435),'Data'!G1435*100,"")</x:f>
        <x:v>86.85</x:v>
      </x:c>
      <x:c r="I1435" s="34" t="str">
        <x:v>PASS</x:v>
      </x:c>
      <x:c r="J1435" s="34" t="str">
        <x:v>PASS</x:v>
      </x:c>
      <x:c r="K1435" s="34" t="str">
        <x:v>PASS</x:v>
      </x:c>
      <x:c r="L1435" s="34" t="str">
        <x:v>PASS</x:v>
      </x:c>
      <x:c r="M1435" s="34" t="str">
        <x:v>numeric coverage for applicable metric</x:v>
      </x:c>
      <x:c r="N1435" s="34" t="str">
        <x:v>Feedback-Directed Random Test Generation/Result_Round2/Jsoup_72/result.json</x:v>
      </x:c>
      <x:c r="O1435" s="38" t="n">
        <x:f>IF(AND(G1435="RECORDED",ISNUMBER(H1435)),H1435,"")</x:f>
        <x:v>86.85</x:v>
      </x:c>
      <x:c r="P1435" s="34" t="str">
        <x:v>INCONCLUSIVE</x:v>
      </x:c>
      <x:c r="Q1435" s="34" t="str">
        <x:v>Feedback-Directed Random Test Generation/Result_Round2/Jsoup_72/result.json</x:v>
      </x:c>
    </x:row>
    <x:row r="1436">
      <x:c r="A1436" s="34" t="str">
        <x:v>randoop</x:v>
      </x:c>
      <x:c r="B1436" s="34" t="str">
        <x:v>Jsoup</x:v>
      </x:c>
      <x:c r="C1436" s="34" t="str">
        <x:v>Round2</x:v>
      </x:c>
      <x:c r="D1436" s="34" t="str">
        <x:v>Jsoup_73</x:v>
      </x:c>
      <x:c r="E1436" s="34" t="str">
        <x:v>Coverage</x:v>
      </x:c>
      <x:c r="F1436" s="34" t="n">
        <x:v>99</x:v>
      </x:c>
      <x:c r="G1436" s="34" t="str">
        <x:v>RECORDED</x:v>
      </x:c>
      <x:c r="H1436" s="38" t="n">
        <x:f>IF(ISNUMBER('Data'!G1436),'Data'!G1436*100,"")</x:f>
        <x:v>24.24</x:v>
      </x:c>
      <x:c r="I1436" s="34" t="str">
        <x:v>PASS</x:v>
      </x:c>
      <x:c r="J1436" s="34" t="str">
        <x:v>PASS</x:v>
      </x:c>
      <x:c r="K1436" s="34" t="str">
        <x:v>PASS</x:v>
      </x:c>
      <x:c r="L1436" s="34" t="str">
        <x:v>PASS</x:v>
      </x:c>
      <x:c r="M1436" s="34" t="str">
        <x:v>numeric coverage for applicable metric</x:v>
      </x:c>
      <x:c r="N1436" s="34" t="str">
        <x:v>Feedback-Directed Random Test Generation/Result_Round2/Jsoup_73/result.json</x:v>
      </x:c>
      <x:c r="O1436" s="38" t="n">
        <x:f>IF(AND(G1436="RECORDED",ISNUMBER(H1436)),H1436,"")</x:f>
        <x:v>24.24</x:v>
      </x:c>
      <x:c r="P1436" s="34" t="str">
        <x:v>INCONCLUSIVE</x:v>
      </x:c>
      <x:c r="Q1436" s="34" t="str">
        <x:v>Feedback-Directed Random Test Generation/Result_Round2/Jsoup_73/result.json</x:v>
      </x:c>
    </x:row>
    <x:row r="1437">
      <x:c r="A1437" s="34" t="str">
        <x:v>randoop</x:v>
      </x:c>
      <x:c r="B1437" s="34" t="str">
        <x:v>Jsoup</x:v>
      </x:c>
      <x:c r="C1437" s="34" t="str">
        <x:v>Round2</x:v>
      </x:c>
      <x:c r="D1437" s="34" t="str">
        <x:v>Jsoup_74</x:v>
      </x:c>
      <x:c r="E1437" s="34" t="str">
        <x:v>Coverage</x:v>
      </x:c>
      <x:c r="F1437" s="34" t="n">
        <x:v>157</x:v>
      </x:c>
      <x:c r="G1437" s="34" t="str">
        <x:v>RECORDED</x:v>
      </x:c>
      <x:c r="H1437" s="38" t="n">
        <x:f>IF(ISNUMBER('Data'!G1437),'Data'!G1437*100,"")</x:f>
        <x:v>83.44</x:v>
      </x:c>
      <x:c r="I1437" s="34" t="str">
        <x:v>PASS</x:v>
      </x:c>
      <x:c r="J1437" s="34" t="str">
        <x:v>PASS</x:v>
      </x:c>
      <x:c r="K1437" s="34" t="str">
        <x:v>PASS</x:v>
      </x:c>
      <x:c r="L1437" s="34" t="str">
        <x:v>PASS</x:v>
      </x:c>
      <x:c r="M1437" s="34" t="str">
        <x:v>numeric coverage for applicable metric</x:v>
      </x:c>
      <x:c r="N1437" s="34" t="str">
        <x:v>Feedback-Directed Random Test Generation/Result_Round2/Jsoup_74/result.json</x:v>
      </x:c>
      <x:c r="O1437" s="38" t="n">
        <x:f>IF(AND(G1437="RECORDED",ISNUMBER(H1437)),H1437,"")</x:f>
        <x:v>83.44</x:v>
      </x:c>
      <x:c r="P1437" s="34" t="str">
        <x:v>NOT_REVEALING</x:v>
      </x:c>
      <x:c r="Q1437" s="34" t="str">
        <x:v>Feedback-Directed Random Test Generation/Result_Round2/Jsoup_74/result.json</x:v>
      </x:c>
    </x:row>
    <x:row r="1438">
      <x:c r="A1438" s="34" t="str">
        <x:v>randoop</x:v>
      </x:c>
      <x:c r="B1438" s="34" t="str">
        <x:v>Jsoup</x:v>
      </x:c>
      <x:c r="C1438" s="34" t="str">
        <x:v>Round2</x:v>
      </x:c>
      <x:c r="D1438" s="34" t="str">
        <x:v>Jsoup_75</x:v>
      </x:c>
      <x:c r="E1438" s="34" t="str">
        <x:v>Coverage</x:v>
      </x:c>
      <x:c r="F1438" s="34" t="n">
        <x:v>252</x:v>
      </x:c>
      <x:c r="G1438" s="34" t="str">
        <x:v>RECORDED</x:v>
      </x:c>
      <x:c r="H1438" s="38" t="n">
        <x:f>IF(ISNUMBER('Data'!G1438),'Data'!G1438*100,"")</x:f>
        <x:v>80.95</x:v>
      </x:c>
      <x:c r="I1438" s="34" t="str">
        <x:v>PASS</x:v>
      </x:c>
      <x:c r="J1438" s="34" t="str">
        <x:v>PASS</x:v>
      </x:c>
      <x:c r="K1438" s="34" t="str">
        <x:v>PASS</x:v>
      </x:c>
      <x:c r="L1438" s="34" t="str">
        <x:v>PASS</x:v>
      </x:c>
      <x:c r="M1438" s="34" t="str">
        <x:v>numeric coverage for applicable metric</x:v>
      </x:c>
      <x:c r="N1438" s="34" t="str">
        <x:v>Feedback-Directed Random Test Generation/Result_Round2/Jsoup_75/result.json</x:v>
      </x:c>
      <x:c r="O1438" s="38" t="n">
        <x:f>IF(AND(G1438="RECORDED",ISNUMBER(H1438)),H1438,"")</x:f>
        <x:v>80.95</x:v>
      </x:c>
      <x:c r="P1438" s="34" t="str">
        <x:v>INCONCLUSIVE</x:v>
      </x:c>
      <x:c r="Q1438" s="34" t="str">
        <x:v>Feedback-Directed Random Test Generation/Result_Round2/Jsoup_75/result.json</x:v>
      </x:c>
    </x:row>
    <x:row r="1439">
      <x:c r="A1439" s="34" t="str">
        <x:v>randoop</x:v>
      </x:c>
      <x:c r="B1439" s="34" t="str">
        <x:v>Jsoup</x:v>
      </x:c>
      <x:c r="C1439" s="34" t="str">
        <x:v>Round2</x:v>
      </x:c>
      <x:c r="D1439" s="34" t="str">
        <x:v>Jsoup_76</x:v>
      </x:c>
      <x:c r="E1439" s="34" t="str">
        <x:v>Coverage</x:v>
      </x:c>
      <x:c r="F1439" s="34" t="n">
        <x:v>1892</x:v>
      </x:c>
      <x:c r="G1439" s="34" t="str">
        <x:v>RECORDED</x:v>
      </x:c>
      <x:c r="H1439" s="38" t="n">
        <x:f>IF(ISNUMBER('Data'!G1439),'Data'!G1439*100,"")</x:f>
        <x:v>3.8599999999999994</x:v>
      </x:c>
      <x:c r="I1439" s="34" t="str">
        <x:v>PASS</x:v>
      </x:c>
      <x:c r="J1439" s="34" t="str">
        <x:v>PASS</x:v>
      </x:c>
      <x:c r="K1439" s="34" t="str">
        <x:v>PASS</x:v>
      </x:c>
      <x:c r="L1439" s="34" t="str">
        <x:v>PASS</x:v>
      </x:c>
      <x:c r="M1439" s="34" t="str">
        <x:v>numeric coverage for applicable metric</x:v>
      </x:c>
      <x:c r="N1439" s="34" t="str">
        <x:v>Feedback-Directed Random Test Generation/Result_Round2/Jsoup_76/result.json</x:v>
      </x:c>
      <x:c r="O1439" s="38" t="n">
        <x:f>IF(AND(G1439="RECORDED",ISNUMBER(H1439)),H1439,"")</x:f>
        <x:v>3.8599999999999994</x:v>
      </x:c>
      <x:c r="P1439" s="34" t="str">
        <x:v>NOT_REVEALING</x:v>
      </x:c>
      <x:c r="Q1439" s="34" t="str">
        <x:v>Feedback-Directed Random Test Generation/Result_Round2/Jsoup_76/result.json</x:v>
      </x:c>
    </x:row>
    <x:row r="1440">
      <x:c r="A1440" s="34" t="str">
        <x:v>randoop</x:v>
      </x:c>
      <x:c r="B1440" s="34" t="str">
        <x:v>Jsoup</x:v>
      </x:c>
      <x:c r="C1440" s="34" t="str">
        <x:v>Round2</x:v>
      </x:c>
      <x:c r="D1440" s="34" t="str">
        <x:v>Jsoup_77</x:v>
      </x:c>
      <x:c r="E1440" s="34" t="str">
        <x:v>Coverage</x:v>
      </x:c>
      <x:c r="F1440" s="34" t="n">
        <x:v>100</x:v>
      </x:c>
      <x:c r="G1440" s="34" t="str">
        <x:v>RECORDED</x:v>
      </x:c>
      <x:c r="H1440" s="38" t="n">
        <x:f>IF(ISNUMBER('Data'!G1440),'Data'!G1440*100,"")</x:f>
        <x:v>37</x:v>
      </x:c>
      <x:c r="I1440" s="34" t="str">
        <x:v>PASS</x:v>
      </x:c>
      <x:c r="J1440" s="34" t="str">
        <x:v>PASS</x:v>
      </x:c>
      <x:c r="K1440" s="34" t="str">
        <x:v>PASS</x:v>
      </x:c>
      <x:c r="L1440" s="34" t="str">
        <x:v>PASS</x:v>
      </x:c>
      <x:c r="M1440" s="34" t="str">
        <x:v>numeric coverage for applicable metric</x:v>
      </x:c>
      <x:c r="N1440" s="34" t="str">
        <x:v>Feedback-Directed Random Test Generation/Result_Round2/Jsoup_77/result.json</x:v>
      </x:c>
      <x:c r="O1440" s="38" t="n">
        <x:f>IF(AND(G1440="RECORDED",ISNUMBER(H1440)),H1440,"")</x:f>
        <x:v>37</x:v>
      </x:c>
      <x:c r="P1440" s="34" t="str">
        <x:v>NOT_REVEALING</x:v>
      </x:c>
      <x:c r="Q1440" s="34" t="str">
        <x:v>Feedback-Directed Random Test Generation/Result_Round2/Jsoup_77/result.json</x:v>
      </x:c>
    </x:row>
    <x:row r="1441">
      <x:c r="A1441" s="34" t="str">
        <x:v>randoop</x:v>
      </x:c>
      <x:c r="B1441" s="34" t="str">
        <x:v>Jsoup</x:v>
      </x:c>
      <x:c r="C1441" s="34" t="str">
        <x:v>Round2</x:v>
      </x:c>
      <x:c r="D1441" s="34" t="str">
        <x:v>Jsoup_78</x:v>
      </x:c>
      <x:c r="E1441" s="34" t="str">
        <x:v>Coverage</x:v>
      </x:c>
      <x:c r="F1441" s="34" t="n">
        <x:v>197</x:v>
      </x:c>
      <x:c r="G1441" s="34" t="str">
        <x:v>RECORDED</x:v>
      </x:c>
      <x:c r="H1441" s="38" t="n">
        <x:f>IF(ISNUMBER('Data'!G1441),'Data'!G1441*100,"")</x:f>
        <x:v>17.77</x:v>
      </x:c>
      <x:c r="I1441" s="34" t="str">
        <x:v>PASS</x:v>
      </x:c>
      <x:c r="J1441" s="34" t="str">
        <x:v>PASS</x:v>
      </x:c>
      <x:c r="K1441" s="34" t="str">
        <x:v>PASS</x:v>
      </x:c>
      <x:c r="L1441" s="34" t="str">
        <x:v>PASS</x:v>
      </x:c>
      <x:c r="M1441" s="34" t="str">
        <x:v>numeric coverage for applicable metric</x:v>
      </x:c>
      <x:c r="N1441" s="34" t="str">
        <x:v>Feedback-Directed Random Test Generation/Result_Round2/Jsoup_78/result.json</x:v>
      </x:c>
      <x:c r="O1441" s="38" t="n">
        <x:f>IF(AND(G1441="RECORDED",ISNUMBER(H1441)),H1441,"")</x:f>
        <x:v>17.77</x:v>
      </x:c>
      <x:c r="P1441" s="34" t="str">
        <x:v>NOT_REVEALING</x:v>
      </x:c>
      <x:c r="Q1441" s="34" t="str">
        <x:v>Feedback-Directed Random Test Generation/Result_Round2/Jsoup_78/result.json</x:v>
      </x:c>
    </x:row>
    <x:row r="1442">
      <x:c r="A1442" s="34" t="str">
        <x:v>randoop</x:v>
      </x:c>
      <x:c r="B1442" s="34" t="str">
        <x:v>Jsoup</x:v>
      </x:c>
      <x:c r="C1442" s="34" t="str">
        <x:v>Round2</x:v>
      </x:c>
      <x:c r="D1442" s="34" t="str">
        <x:v>Jsoup_79</x:v>
      </x:c>
      <x:c r="E1442" s="34" t="str">
        <x:v>Coverage</x:v>
      </x:c>
      <x:c r="F1442" s="34" t="n">
        <x:v>47</x:v>
      </x:c>
      <x:c r="G1442" s="34" t="str">
        <x:v>RECORDED</x:v>
      </x:c>
      <x:c r="H1442" s="38" t="n">
        <x:f>IF(ISNUMBER('Data'!G1442),'Data'!G1442*100,"")</x:f>
        <x:v>0</x:v>
      </x:c>
      <x:c r="I1442" s="34" t="str">
        <x:v>PASS</x:v>
      </x:c>
      <x:c r="J1442" s="34" t="str">
        <x:v>PASS</x:v>
      </x:c>
      <x:c r="K1442" s="34" t="str">
        <x:v>PASS</x:v>
      </x:c>
      <x:c r="L1442" s="34" t="str">
        <x:v>PASS</x:v>
      </x:c>
      <x:c r="M1442" s="34" t="str">
        <x:v>numeric coverage for applicable metric</x:v>
      </x:c>
      <x:c r="N1442" s="34" t="str">
        <x:v>Feedback-Directed Random Test Generation/Result_Round2/Jsoup_79/result.json</x:v>
      </x:c>
      <x:c r="O1442" s="38" t="n">
        <x:f>IF(AND(G1442="RECORDED",ISNUMBER(H1442)),H1442,"")</x:f>
        <x:v>0</x:v>
      </x:c>
      <x:c r="P1442" s="34" t="str">
        <x:v>NOT_REVEALING</x:v>
      </x:c>
      <x:c r="Q1442" s="34" t="str">
        <x:v>Feedback-Directed Random Test Generation/Result_Round2/Jsoup_79/result.json</x:v>
      </x:c>
    </x:row>
    <x:row r="1443">
      <x:c r="A1443" s="34" t="str">
        <x:v>randoop</x:v>
      </x:c>
      <x:c r="B1443" s="34" t="str">
        <x:v>Jsoup</x:v>
      </x:c>
      <x:c r="C1443" s="34" t="str">
        <x:v>Round2</x:v>
      </x:c>
      <x:c r="D1443" s="34" t="str">
        <x:v>Jsoup_80</x:v>
      </x:c>
      <x:c r="E1443" s="34" t="str">
        <x:v>Coverage</x:v>
      </x:c>
      <x:c r="F1443" s="34" t="n">
        <x:v>100</x:v>
      </x:c>
      <x:c r="G1443" s="34" t="str">
        <x:v>RECORDED</x:v>
      </x:c>
      <x:c r="H1443" s="38" t="n">
        <x:f>IF(ISNUMBER('Data'!G1443),'Data'!G1443*100,"")</x:f>
        <x:v>37</x:v>
      </x:c>
      <x:c r="I1443" s="34" t="str">
        <x:v>PASS</x:v>
      </x:c>
      <x:c r="J1443" s="34" t="str">
        <x:v>PASS</x:v>
      </x:c>
      <x:c r="K1443" s="34" t="str">
        <x:v>PASS</x:v>
      </x:c>
      <x:c r="L1443" s="34" t="str">
        <x:v>PASS</x:v>
      </x:c>
      <x:c r="M1443" s="34" t="str">
        <x:v>numeric coverage for applicable metric</x:v>
      </x:c>
      <x:c r="N1443" s="34" t="str">
        <x:v>Feedback-Directed Random Test Generation/Result_Round2/Jsoup_80/result.json</x:v>
      </x:c>
      <x:c r="O1443" s="38" t="n">
        <x:f>IF(AND(G1443="RECORDED",ISNUMBER(H1443)),H1443,"")</x:f>
        <x:v>37</x:v>
      </x:c>
      <x:c r="P1443" s="34" t="str">
        <x:v>NOT_REVEALING</x:v>
      </x:c>
      <x:c r="Q1443" s="34" t="str">
        <x:v>Feedback-Directed Random Test Generation/Result_Round2/Jsoup_80/result.json</x:v>
      </x:c>
    </x:row>
    <x:row r="1444">
      <x:c r="A1444" s="34" t="str">
        <x:v>randoop</x:v>
      </x:c>
      <x:c r="B1444" s="34" t="str">
        <x:v>Jsoup</x:v>
      </x:c>
      <x:c r="C1444" s="34" t="str">
        <x:v>Round2</x:v>
      </x:c>
      <x:c r="D1444" s="34" t="str">
        <x:v>Jsoup_81</x:v>
      </x:c>
      <x:c r="E1444" s="34" t="str">
        <x:v>Coverage</x:v>
      </x:c>
      <x:c r="F1444" s="34" t="n">
        <x:v>211</x:v>
      </x:c>
      <x:c r="G1444" s="34" t="str">
        <x:v>RECORDED</x:v>
      </x:c>
      <x:c r="H1444" s="38" t="n">
        <x:f>IF(ISNUMBER('Data'!G1444),'Data'!G1444*100,"")</x:f>
        <x:v>16.59</x:v>
      </x:c>
      <x:c r="I1444" s="34" t="str">
        <x:v>PASS</x:v>
      </x:c>
      <x:c r="J1444" s="34" t="str">
        <x:v>PASS</x:v>
      </x:c>
      <x:c r="K1444" s="34" t="str">
        <x:v>PASS</x:v>
      </x:c>
      <x:c r="L1444" s="34" t="str">
        <x:v>PASS</x:v>
      </x:c>
      <x:c r="M1444" s="34" t="str">
        <x:v>numeric coverage for applicable metric</x:v>
      </x:c>
      <x:c r="N1444" s="34" t="str">
        <x:v>Feedback-Directed Random Test Generation/Result_Round2/Jsoup_81/result.json</x:v>
      </x:c>
      <x:c r="O1444" s="38" t="n">
        <x:f>IF(AND(G1444="RECORDED",ISNUMBER(H1444)),H1444,"")</x:f>
        <x:v>16.59</x:v>
      </x:c>
      <x:c r="P1444" s="34" t="str">
        <x:v>NOT_REVEALING</x:v>
      </x:c>
      <x:c r="Q1444" s="34" t="str">
        <x:v>Feedback-Directed Random Test Generation/Result_Round2/Jsoup_81/result.json</x:v>
      </x:c>
    </x:row>
    <x:row r="1445">
      <x:c r="A1445" s="34" t="str">
        <x:v>randoop</x:v>
      </x:c>
      <x:c r="B1445" s="34" t="str">
        <x:v>Jsoup</x:v>
      </x:c>
      <x:c r="C1445" s="34" t="str">
        <x:v>Round2</x:v>
      </x:c>
      <x:c r="D1445" s="34" t="str">
        <x:v>Jsoup_82</x:v>
      </x:c>
      <x:c r="E1445" s="34" t="str">
        <x:v>Coverage</x:v>
      </x:c>
      <x:c r="F1445" s="34" t="n">
        <x:v>209</x:v>
      </x:c>
      <x:c r="G1445" s="34" t="str">
        <x:v>RECORDED</x:v>
      </x:c>
      <x:c r="H1445" s="38" t="n">
        <x:f>IF(ISNUMBER('Data'!G1445),'Data'!G1445*100,"")</x:f>
        <x:v>14.35</x:v>
      </x:c>
      <x:c r="I1445" s="34" t="str">
        <x:v>PASS</x:v>
      </x:c>
      <x:c r="J1445" s="34" t="str">
        <x:v>PASS</x:v>
      </x:c>
      <x:c r="K1445" s="34" t="str">
        <x:v>PASS</x:v>
      </x:c>
      <x:c r="L1445" s="34" t="str">
        <x:v>PASS</x:v>
      </x:c>
      <x:c r="M1445" s="34" t="str">
        <x:v>numeric coverage for applicable metric</x:v>
      </x:c>
      <x:c r="N1445" s="34" t="str">
        <x:v>Feedback-Directed Random Test Generation/Result_Round2/Jsoup_82/result.json</x:v>
      </x:c>
      <x:c r="O1445" s="38" t="n">
        <x:f>IF(AND(G1445="RECORDED",ISNUMBER(H1445)),H1445,"")</x:f>
        <x:v>14.35</x:v>
      </x:c>
      <x:c r="P1445" s="34" t="str">
        <x:v>NOT_REVEALING</x:v>
      </x:c>
      <x:c r="Q1445" s="34" t="str">
        <x:v>Feedback-Directed Random Test Generation/Result_Round2/Jsoup_82/result.json</x:v>
      </x:c>
    </x:row>
    <x:row r="1446">
      <x:c r="A1446" s="34" t="str">
        <x:v>randoop</x:v>
      </x:c>
      <x:c r="B1446" s="34" t="str">
        <x:v>Jsoup</x:v>
      </x:c>
      <x:c r="C1446" s="34" t="str">
        <x:v>Round2</x:v>
      </x:c>
      <x:c r="D1446" s="34" t="str">
        <x:v>Jsoup_83</x:v>
      </x:c>
      <x:c r="E1446" s="34" t="str">
        <x:v>Coverage</x:v>
      </x:c>
      <x:c r="F1446" s="34" t="n">
        <x:v>1926</x:v>
      </x:c>
      <x:c r="G1446" s="34" t="str">
        <x:v>RECORDED</x:v>
      </x:c>
      <x:c r="H1446" s="38" t="n">
        <x:f>IF(ISNUMBER('Data'!G1446),'Data'!G1446*100,"")</x:f>
        <x:v>43.25</x:v>
      </x:c>
      <x:c r="I1446" s="34" t="str">
        <x:v>PASS</x:v>
      </x:c>
      <x:c r="J1446" s="34" t="str">
        <x:v>PASS</x:v>
      </x:c>
      <x:c r="K1446" s="34" t="str">
        <x:v>PASS</x:v>
      </x:c>
      <x:c r="L1446" s="34" t="str">
        <x:v>PASS</x:v>
      </x:c>
      <x:c r="M1446" s="34" t="str">
        <x:v>numeric coverage for applicable metric</x:v>
      </x:c>
      <x:c r="N1446" s="34" t="str">
        <x:v>Feedback-Directed Random Test Generation/Result_Round2/Jsoup_83/result.json</x:v>
      </x:c>
      <x:c r="O1446" s="38" t="n">
        <x:f>IF(AND(G1446="RECORDED",ISNUMBER(H1446)),H1446,"")</x:f>
        <x:v>43.25</x:v>
      </x:c>
      <x:c r="P1446" s="34" t="str">
        <x:v>NOT_REVEALING</x:v>
      </x:c>
      <x:c r="Q1446" s="34" t="str">
        <x:v>Feedback-Directed Random Test Generation/Result_Round2/Jsoup_83/result.json</x:v>
      </x:c>
    </x:row>
    <x:row r="1447">
      <x:c r="A1447" s="34" t="str">
        <x:v>randoop</x:v>
      </x:c>
      <x:c r="B1447" s="34" t="str">
        <x:v>Jsoup</x:v>
      </x:c>
      <x:c r="C1447" s="34" t="str">
        <x:v>Round2</x:v>
      </x:c>
      <x:c r="D1447" s="34" t="str">
        <x:v>Jsoup_84</x:v>
      </x:c>
      <x:c r="E1447" s="34" t="str">
        <x:v>Coverage</x:v>
      </x:c>
      <x:c r="F1447" s="34" t="n">
        <x:v>104</x:v>
      </x:c>
      <x:c r="G1447" s="34" t="str">
        <x:v>RECORDED</x:v>
      </x:c>
      <x:c r="H1447" s="38" t="n">
        <x:f>IF(ISNUMBER('Data'!G1447),'Data'!G1447*100,"")</x:f>
        <x:v>25.96</x:v>
      </x:c>
      <x:c r="I1447" s="34" t="str">
        <x:v>PASS</x:v>
      </x:c>
      <x:c r="J1447" s="34" t="str">
        <x:v>PASS</x:v>
      </x:c>
      <x:c r="K1447" s="34" t="str">
        <x:v>PASS</x:v>
      </x:c>
      <x:c r="L1447" s="34" t="str">
        <x:v>PASS</x:v>
      </x:c>
      <x:c r="M1447" s="34" t="str">
        <x:v>numeric coverage for applicable metric</x:v>
      </x:c>
      <x:c r="N1447" s="34" t="str">
        <x:v>Feedback-Directed Random Test Generation/Result_Round2/Jsoup_84/result.json</x:v>
      </x:c>
      <x:c r="O1447" s="38" t="n">
        <x:f>IF(AND(G1447="RECORDED",ISNUMBER(H1447)),H1447,"")</x:f>
        <x:v>25.96</x:v>
      </x:c>
      <x:c r="P1447" s="34" t="str">
        <x:v>NOT_REVEALING</x:v>
      </x:c>
      <x:c r="Q1447" s="34" t="str">
        <x:v>Feedback-Directed Random Test Generation/Result_Round2/Jsoup_84/result.json</x:v>
      </x:c>
    </x:row>
    <x:row r="1448">
      <x:c r="A1448" s="34" t="str">
        <x:v>randoop</x:v>
      </x:c>
      <x:c r="B1448" s="34" t="str">
        <x:v>Jsoup</x:v>
      </x:c>
      <x:c r="C1448" s="34" t="str">
        <x:v>Round2</x:v>
      </x:c>
      <x:c r="D1448" s="34" t="str">
        <x:v>Jsoup_85</x:v>
      </x:c>
      <x:c r="E1448" s="34" t="str">
        <x:v>Coverage</x:v>
      </x:c>
      <x:c r="F1448" s="34" t="n">
        <x:v>115</x:v>
      </x:c>
      <x:c r="G1448" s="34" t="str">
        <x:v>RECORDED</x:v>
      </x:c>
      <x:c r="H1448" s="38" t="n">
        <x:f>IF(ISNUMBER('Data'!G1448),'Data'!G1448*100,"")</x:f>
        <x:v>60.870000000000005</x:v>
      </x:c>
      <x:c r="I1448" s="34" t="str">
        <x:v>PASS</x:v>
      </x:c>
      <x:c r="J1448" s="34" t="str">
        <x:v>PASS</x:v>
      </x:c>
      <x:c r="K1448" s="34" t="str">
        <x:v>PASS</x:v>
      </x:c>
      <x:c r="L1448" s="34" t="str">
        <x:v>FAIL</x:v>
      </x:c>
      <x:c r="M1448" s="34" t="str">
        <x:v>numeric coverage for applicable metric</x:v>
      </x:c>
      <x:c r="N1448" s="34" t="str">
        <x:v>Feedback-Directed Random Test Generation/Result_Round2/Jsoup_85/result.json</x:v>
      </x:c>
      <x:c r="O1448" s="38" t="n">
        <x:f>IF(AND(G1448="RECORDED",ISNUMBER(H1448)),H1448,"")</x:f>
        <x:v>60.870000000000005</x:v>
      </x:c>
      <x:c r="P1448" s="34" t="str">
        <x:v>INCONCLUSIVE</x:v>
      </x:c>
      <x:c r="Q1448" s="34" t="str">
        <x:v>Feedback-Directed Random Test Generation/Result_Round2/Jsoup_85/result.json</x:v>
      </x:c>
    </x:row>
    <x:row r="1449">
      <x:c r="A1449" s="34" t="str">
        <x:v>randoop</x:v>
      </x:c>
      <x:c r="B1449" s="34" t="str">
        <x:v>Jsoup</x:v>
      </x:c>
      <x:c r="C1449" s="34" t="str">
        <x:v>Round2</x:v>
      </x:c>
      <x:c r="D1449" s="34" t="str">
        <x:v>Jsoup_86</x:v>
      </x:c>
      <x:c r="E1449" s="34" t="str">
        <x:v>Coverage</x:v>
      </x:c>
      <x:c r="F1449" s="34" t="n">
        <x:v>37</x:v>
      </x:c>
      <x:c r="G1449" s="34" t="str">
        <x:v>RECORDED</x:v>
      </x:c>
      <x:c r="H1449" s="38" t="n">
        <x:f>IF(ISNUMBER('Data'!G1449),'Data'!G1449*100,"")</x:f>
        <x:v>89.19</x:v>
      </x:c>
      <x:c r="I1449" s="34" t="str">
        <x:v>PASS</x:v>
      </x:c>
      <x:c r="J1449" s="34" t="str">
        <x:v>PASS</x:v>
      </x:c>
      <x:c r="K1449" s="34" t="str">
        <x:v>PASS</x:v>
      </x:c>
      <x:c r="L1449" s="34" t="str">
        <x:v>FAIL</x:v>
      </x:c>
      <x:c r="M1449" s="34" t="str">
        <x:v>numeric coverage for applicable metric</x:v>
      </x:c>
      <x:c r="N1449" s="34" t="str">
        <x:v>Feedback-Directed Random Test Generation/Result_Round2/Jsoup_86/result.json</x:v>
      </x:c>
      <x:c r="O1449" s="38" t="n">
        <x:f>IF(AND(G1449="RECORDED",ISNUMBER(H1449)),H1449,"")</x:f>
        <x:v>89.19</x:v>
      </x:c>
      <x:c r="P1449" s="34" t="str">
        <x:v>INCONCLUSIVE</x:v>
      </x:c>
      <x:c r="Q1449" s="34" t="str">
        <x:v>Feedback-Directed Random Test Generation/Result_Round2/Jsoup_86/result.json</x:v>
      </x:c>
    </x:row>
    <x:row r="1450">
      <x:c r="A1450" s="34" t="str">
        <x:v>randoop</x:v>
      </x:c>
      <x:c r="B1450" s="34" t="str">
        <x:v>Jsoup</x:v>
      </x:c>
      <x:c r="C1450" s="34" t="str">
        <x:v>Round2</x:v>
      </x:c>
      <x:c r="D1450" s="34" t="str">
        <x:v>Jsoup_87</x:v>
      </x:c>
      <x:c r="E1450" s="34" t="str">
        <x:v>Coverage</x:v>
      </x:c>
      <x:c r="F1450" s="34" t="n">
        <x:v>3265</x:v>
      </x:c>
      <x:c r="G1450" s="34" t="str">
        <x:v>RECORDED</x:v>
      </x:c>
      <x:c r="H1450" s="38" t="n">
        <x:f>IF(ISNUMBER('Data'!G1450),'Data'!G1450*100,"")</x:f>
        <x:v>37.52</x:v>
      </x:c>
      <x:c r="I1450" s="34" t="str">
        <x:v>PASS</x:v>
      </x:c>
      <x:c r="J1450" s="34" t="str">
        <x:v>PASS</x:v>
      </x:c>
      <x:c r="K1450" s="34" t="str">
        <x:v>PASS</x:v>
      </x:c>
      <x:c r="L1450" s="34" t="str">
        <x:v>FAIL</x:v>
      </x:c>
      <x:c r="M1450" s="34" t="str">
        <x:v>numeric coverage for applicable metric</x:v>
      </x:c>
      <x:c r="N1450" s="34" t="str">
        <x:v>Feedback-Directed Random Test Generation/Result_Round2/Jsoup_87/result.json</x:v>
      </x:c>
      <x:c r="O1450" s="38" t="n">
        <x:f>IF(AND(G1450="RECORDED",ISNUMBER(H1450)),H1450,"")</x:f>
        <x:v>37.52</x:v>
      </x:c>
      <x:c r="P1450" s="34" t="str">
        <x:v>INCONCLUSIVE</x:v>
      </x:c>
      <x:c r="Q1450" s="34" t="str">
        <x:v>Feedback-Directed Random Test Generation/Result_Round2/Jsoup_87/result.json</x:v>
      </x:c>
    </x:row>
    <x:row r="1451">
      <x:c r="A1451" s="34" t="str">
        <x:v>randoop</x:v>
      </x:c>
      <x:c r="B1451" s="34" t="str">
        <x:v>Jsoup</x:v>
      </x:c>
      <x:c r="C1451" s="34" t="str">
        <x:v>Round2</x:v>
      </x:c>
      <x:c r="D1451" s="34" t="str">
        <x:v>Jsoup_88</x:v>
      </x:c>
      <x:c r="E1451" s="34" t="str">
        <x:v>Coverage</x:v>
      </x:c>
      <x:c r="F1451" s="34" t="n">
        <x:v>116</x:v>
      </x:c>
      <x:c r="G1451" s="34" t="str">
        <x:v>RECORDED</x:v>
      </x:c>
      <x:c r="H1451" s="38" t="n">
        <x:f>IF(ISNUMBER('Data'!G1451),'Data'!G1451*100,"")</x:f>
        <x:v>61.21</x:v>
      </x:c>
      <x:c r="I1451" s="34" t="str">
        <x:v>PASS</x:v>
      </x:c>
      <x:c r="J1451" s="34" t="str">
        <x:v>PASS</x:v>
      </x:c>
      <x:c r="K1451" s="34" t="str">
        <x:v>PASS</x:v>
      </x:c>
      <x:c r="L1451" s="34" t="str">
        <x:v>FAIL</x:v>
      </x:c>
      <x:c r="M1451" s="34" t="str">
        <x:v>numeric coverage for applicable metric</x:v>
      </x:c>
      <x:c r="N1451" s="34" t="str">
        <x:v>Feedback-Directed Random Test Generation/Result_Round2/Jsoup_88/result.json</x:v>
      </x:c>
      <x:c r="O1451" s="38" t="n">
        <x:f>IF(AND(G1451="RECORDED",ISNUMBER(H1451)),H1451,"")</x:f>
        <x:v>61.21</x:v>
      </x:c>
      <x:c r="P1451" s="34" t="str">
        <x:v>INCONCLUSIVE</x:v>
      </x:c>
      <x:c r="Q1451" s="34" t="str">
        <x:v>Feedback-Directed Random Test Generation/Result_Round2/Jsoup_88/result.json</x:v>
      </x:c>
    </x:row>
    <x:row r="1452">
      <x:c r="A1452" s="34" t="str">
        <x:v>randoop</x:v>
      </x:c>
      <x:c r="B1452" s="34" t="str">
        <x:v>Jsoup</x:v>
      </x:c>
      <x:c r="C1452" s="34" t="str">
        <x:v>Round2</x:v>
      </x:c>
      <x:c r="D1452" s="34" t="str">
        <x:v>Jsoup_89</x:v>
      </x:c>
      <x:c r="E1452" s="34" t="str">
        <x:v>Coverage</x:v>
      </x:c>
      <x:c r="F1452" s="34" t="n">
        <x:v>116</x:v>
      </x:c>
      <x:c r="G1452" s="34" t="str">
        <x:v>RECORDED</x:v>
      </x:c>
      <x:c r="H1452" s="38" t="n">
        <x:f>IF(ISNUMBER('Data'!G1452),'Data'!G1452*100,"")</x:f>
        <x:v>61.21</x:v>
      </x:c>
      <x:c r="I1452" s="34" t="str">
        <x:v>PASS</x:v>
      </x:c>
      <x:c r="J1452" s="34" t="str">
        <x:v>PASS</x:v>
      </x:c>
      <x:c r="K1452" s="34" t="str">
        <x:v>PASS</x:v>
      </x:c>
      <x:c r="L1452" s="34" t="str">
        <x:v>FAIL</x:v>
      </x:c>
      <x:c r="M1452" s="34" t="str">
        <x:v>numeric coverage for applicable metric</x:v>
      </x:c>
      <x:c r="N1452" s="34" t="str">
        <x:v>Feedback-Directed Random Test Generation/Result_Round2/Jsoup_89/result.json</x:v>
      </x:c>
      <x:c r="O1452" s="38" t="n">
        <x:f>IF(AND(G1452="RECORDED",ISNUMBER(H1452)),H1452,"")</x:f>
        <x:v>61.21</x:v>
      </x:c>
      <x:c r="P1452" s="34" t="str">
        <x:v>INCONCLUSIVE</x:v>
      </x:c>
      <x:c r="Q1452" s="34" t="str">
        <x:v>Feedback-Directed Random Test Generation/Result_Round2/Jsoup_89/result.json</x:v>
      </x:c>
    </x:row>
    <x:row r="1453">
      <x:c r="A1453" s="34" t="str">
        <x:v>randoop</x:v>
      </x:c>
      <x:c r="B1453" s="34" t="str">
        <x:v>Jsoup</x:v>
      </x:c>
      <x:c r="C1453" s="34" t="str">
        <x:v>Round2</x:v>
      </x:c>
      <x:c r="D1453" s="34" t="str">
        <x:v>Jsoup_90</x:v>
      </x:c>
      <x:c r="E1453" s="34" t="str">
        <x:v>Coverage</x:v>
      </x:c>
      <x:c r="F1453" s="34" t="n">
        <x:v>830</x:v>
      </x:c>
      <x:c r="G1453" s="34" t="str">
        <x:v>RECORDED</x:v>
      </x:c>
      <x:c r="H1453" s="38" t="n">
        <x:f>IF(ISNUMBER('Data'!G1453),'Data'!G1453*100,"")</x:f>
        <x:v>43.25</x:v>
      </x:c>
      <x:c r="I1453" s="34" t="str">
        <x:v>PASS</x:v>
      </x:c>
      <x:c r="J1453" s="34" t="str">
        <x:v>PASS</x:v>
      </x:c>
      <x:c r="K1453" s="34" t="str">
        <x:v>PASS</x:v>
      </x:c>
      <x:c r="L1453" s="34" t="str">
        <x:v>PASS</x:v>
      </x:c>
      <x:c r="M1453" s="34" t="str">
        <x:v>numeric coverage for applicable metric</x:v>
      </x:c>
      <x:c r="N1453" s="34" t="str">
        <x:v>Feedback-Directed Random Test Generation/Result_Round2/Jsoup_90/result.json</x:v>
      </x:c>
      <x:c r="O1453" s="38" t="n">
        <x:f>IF(AND(G1453="RECORDED",ISNUMBER(H1453)),H1453,"")</x:f>
        <x:v>43.25</x:v>
      </x:c>
      <x:c r="P1453" s="34" t="str">
        <x:v>NOT_REVEALING</x:v>
      </x:c>
      <x:c r="Q1453" s="34" t="str">
        <x:v>Feedback-Directed Random Test Generation/Result_Round2/Jsoup_90/result.json</x:v>
      </x:c>
    </x:row>
    <x:row r="1454">
      <x:c r="A1454" s="34" t="str">
        <x:v>randoop</x:v>
      </x:c>
      <x:c r="B1454" s="34" t="str">
        <x:v>Jsoup</x:v>
      </x:c>
      <x:c r="C1454" s="34" t="str">
        <x:v>Round2</x:v>
      </x:c>
      <x:c r="D1454" s="34" t="str">
        <x:v>Jsoup_91</x:v>
      </x:c>
      <x:c r="E1454" s="34" t="str">
        <x:v>Coverage</x:v>
      </x:c>
      <x:c r="F1454" s="34" t="n">
        <x:v>439</x:v>
      </x:c>
      <x:c r="G1454" s="34" t="str">
        <x:v>RECORDED</x:v>
      </x:c>
      <x:c r="H1454" s="38" t="n">
        <x:f>IF(ISNUMBER('Data'!G1454),'Data'!G1454*100,"")</x:f>
        <x:v>25.97</x:v>
      </x:c>
      <x:c r="I1454" s="34" t="str">
        <x:v>PASS</x:v>
      </x:c>
      <x:c r="J1454" s="34" t="str">
        <x:v>PASS</x:v>
      </x:c>
      <x:c r="K1454" s="34" t="str">
        <x:v>PASS</x:v>
      </x:c>
      <x:c r="L1454" s="34" t="str">
        <x:v>PASS</x:v>
      </x:c>
      <x:c r="M1454" s="34" t="str">
        <x:v>numeric coverage for applicable metric</x:v>
      </x:c>
      <x:c r="N1454" s="34" t="str">
        <x:v>Feedback-Directed Random Test Generation/Result_Round2/Jsoup_91/result.json</x:v>
      </x:c>
      <x:c r="O1454" s="38" t="n">
        <x:f>IF(AND(G1454="RECORDED",ISNUMBER(H1454)),H1454,"")</x:f>
        <x:v>25.97</x:v>
      </x:c>
      <x:c r="P1454" s="34" t="str">
        <x:v>NOT_REVEALING</x:v>
      </x:c>
      <x:c r="Q1454" s="34" t="str">
        <x:v>Feedback-Directed Random Test Generation/Result_Round2/Jsoup_91/result.json</x:v>
      </x:c>
    </x:row>
    <x:row r="1455">
      <x:c r="A1455" s="34" t="str">
        <x:v>randoop</x:v>
      </x:c>
      <x:c r="B1455" s="34" t="str">
        <x:v>Jsoup</x:v>
      </x:c>
      <x:c r="C1455" s="34" t="str">
        <x:v>Round2</x:v>
      </x:c>
      <x:c r="D1455" s="34" t="str">
        <x:v>Jsoup_92</x:v>
      </x:c>
      <x:c r="E1455" s="34" t="str">
        <x:v>Coverage</x:v>
      </x:c>
      <x:c r="F1455" s="34" t="n">
        <x:v>1162</x:v>
      </x:c>
      <x:c r="G1455" s="34" t="str">
        <x:v>RECORDED</x:v>
      </x:c>
      <x:c r="H1455" s="38" t="n">
        <x:f>IF(ISNUMBER('Data'!G1455),'Data'!G1455*100,"")</x:f>
        <x:v>51.72</x:v>
      </x:c>
      <x:c r="I1455" s="34" t="str">
        <x:v>PASS</x:v>
      </x:c>
      <x:c r="J1455" s="34" t="str">
        <x:v>PASS</x:v>
      </x:c>
      <x:c r="K1455" s="34" t="str">
        <x:v>PASS</x:v>
      </x:c>
      <x:c r="L1455" s="34" t="str">
        <x:v>FAIL</x:v>
      </x:c>
      <x:c r="M1455" s="34" t="str">
        <x:v>numeric coverage for applicable metric</x:v>
      </x:c>
      <x:c r="N1455" s="34" t="str">
        <x:v>Feedback-Directed Random Test Generation/Result_Round2/Jsoup_92/result.json</x:v>
      </x:c>
      <x:c r="O1455" s="38" t="n">
        <x:f>IF(AND(G1455="RECORDED",ISNUMBER(H1455)),H1455,"")</x:f>
        <x:v>51.72</x:v>
      </x:c>
      <x:c r="P1455" s="34" t="str">
        <x:v>INCONCLUSIVE</x:v>
      </x:c>
      <x:c r="Q1455" s="34" t="str">
        <x:v>Feedback-Directed Random Test Generation/Result_Round2/Jsoup_92/result.json</x:v>
      </x:c>
    </x:row>
    <x:row r="1456">
      <x:c r="A1456" s="34" t="str">
        <x:v>randoop</x:v>
      </x:c>
      <x:c r="B1456" s="34" t="str">
        <x:v>Jsoup</x:v>
      </x:c>
      <x:c r="C1456" s="34" t="str">
        <x:v>Round2</x:v>
      </x:c>
      <x:c r="D1456" s="34" t="str">
        <x:v>Jsoup_93</x:v>
      </x:c>
      <x:c r="E1456" s="34" t="str">
        <x:v>Coverage</x:v>
      </x:c>
      <x:c r="F1456" s="34" t="n">
        <x:v>70</x:v>
      </x:c>
      <x:c r="G1456" s="34" t="str">
        <x:v>RECORDED</x:v>
      </x:c>
      <x:c r="H1456" s="38" t="n">
        <x:f>IF(ISNUMBER('Data'!G1456),'Data'!G1456*100,"")</x:f>
        <x:v>1.43</x:v>
      </x:c>
      <x:c r="I1456" s="34" t="str">
        <x:v>PASS</x:v>
      </x:c>
      <x:c r="J1456" s="34" t="str">
        <x:v>PASS</x:v>
      </x:c>
      <x:c r="K1456" s="34" t="str">
        <x:v>PASS</x:v>
      </x:c>
      <x:c r="L1456" s="34" t="str">
        <x:v>PASS</x:v>
      </x:c>
      <x:c r="M1456" s="34" t="str">
        <x:v>numeric coverage for applicable metric</x:v>
      </x:c>
      <x:c r="N1456" s="34" t="str">
        <x:v>Feedback-Directed Random Test Generation/Result_Round2/Jsoup_93/result.json</x:v>
      </x:c>
      <x:c r="O1456" s="38" t="n">
        <x:f>IF(AND(G1456="RECORDED",ISNUMBER(H1456)),H1456,"")</x:f>
        <x:v>1.43</x:v>
      </x:c>
      <x:c r="P1456" s="34" t="str">
        <x:v>NOT_REVEALING</x:v>
      </x:c>
      <x:c r="Q1456" s="34" t="str">
        <x:v>Feedback-Directed Random Test Generation/Result_Round2/Jsoup_93/result.json</x:v>
      </x:c>
    </x:row>
    <x:row r="1457">
      <x:c r="A1457" s="34" t="str">
        <x:v>randoop</x:v>
      </x:c>
      <x:c r="B1457" s="34" t="str">
        <x:v>JxPath</x:v>
      </x:c>
      <x:c r="C1457" s="34" t="str">
        <x:v>Round2</x:v>
      </x:c>
      <x:c r="D1457" s="34" t="str">
        <x:v>JxPath_1</x:v>
      </x:c>
      <x:c r="E1457" s="34" t="str">
        <x:v>Coverage</x:v>
      </x:c>
      <x:c r="F1457" s="34" t="n">
        <x:v>1329</x:v>
      </x:c>
      <x:c r="G1457" s="34" t="str">
        <x:v>RECORDED</x:v>
      </x:c>
      <x:c r="H1457" s="38" t="n">
        <x:f>IF(ISNUMBER('Data'!G1457),'Data'!G1457*100,"")</x:f>
        <x:v>22.5</x:v>
      </x:c>
      <x:c r="I1457" s="34" t="str">
        <x:v>PASS</x:v>
      </x:c>
      <x:c r="J1457" s="34" t="str">
        <x:v>PASS</x:v>
      </x:c>
      <x:c r="K1457" s="34" t="str">
        <x:v>PASS</x:v>
      </x:c>
      <x:c r="L1457" s="34" t="str">
        <x:v>PASS</x:v>
      </x:c>
      <x:c r="M1457" s="34" t="str">
        <x:v>numeric coverage for applicable metric</x:v>
      </x:c>
      <x:c r="N1457" s="34" t="str">
        <x:v>Feedback-Directed Random Test Generation/Result_Round2/JxPath_1/result.json</x:v>
      </x:c>
      <x:c r="O1457" s="38" t="n">
        <x:f>IF(AND(G1457="RECORDED",ISNUMBER(H1457)),H1457,"")</x:f>
        <x:v>22.5</x:v>
      </x:c>
      <x:c r="P1457" s="34" t="str">
        <x:v>NOT_REVEALING</x:v>
      </x:c>
      <x:c r="Q1457" s="34" t="str">
        <x:v>Feedback-Directed Random Test Generation/Result_Round2/JxPath_1/result.json</x:v>
      </x:c>
    </x:row>
    <x:row r="1458">
      <x:c r="A1458" s="34" t="str">
        <x:v>randoop</x:v>
      </x:c>
      <x:c r="B1458" s="34" t="str">
        <x:v>JxPath</x:v>
      </x:c>
      <x:c r="C1458" s="34" t="str">
        <x:v>Round2</x:v>
      </x:c>
      <x:c r="D1458" s="34" t="str">
        <x:v>JxPath_2</x:v>
      </x:c>
      <x:c r="E1458" s="34" t="str">
        <x:v>Coverage</x:v>
      </x:c>
      <x:c r="F1458" s="34" t="n">
        <x:v>50</x:v>
      </x:c>
      <x:c r="G1458" s="34" t="str">
        <x:v>RECORDED</x:v>
      </x:c>
      <x:c r="H1458" s="38" t="n">
        <x:f>IF(ISNUMBER('Data'!G1458),'Data'!G1458*100,"")</x:f>
        <x:v>34</x:v>
      </x:c>
      <x:c r="I1458" s="34" t="str">
        <x:v>PASS</x:v>
      </x:c>
      <x:c r="J1458" s="34" t="str">
        <x:v>PASS</x:v>
      </x:c>
      <x:c r="K1458" s="34" t="str">
        <x:v>PASS</x:v>
      </x:c>
      <x:c r="L1458" s="34" t="str">
        <x:v>PASS</x:v>
      </x:c>
      <x:c r="M1458" s="34" t="str">
        <x:v>numeric coverage for applicable metric</x:v>
      </x:c>
      <x:c r="N1458" s="34" t="str">
        <x:v>Feedback-Directed Random Test Generation/Result_Round2/JxPath_2/result.json</x:v>
      </x:c>
      <x:c r="O1458" s="38" t="n">
        <x:f>IF(AND(G1458="RECORDED",ISNUMBER(H1458)),H1458,"")</x:f>
        <x:v>34</x:v>
      </x:c>
      <x:c r="P1458" s="34" t="str">
        <x:v>NOT_REVEALING</x:v>
      </x:c>
      <x:c r="Q1458" s="34" t="str">
        <x:v>Feedback-Directed Random Test Generation/Result_Round2/JxPath_2/result.json</x:v>
      </x:c>
    </x:row>
    <x:row r="1459">
      <x:c r="A1459" s="34" t="str">
        <x:v>randoop</x:v>
      </x:c>
      <x:c r="B1459" s="34" t="str">
        <x:v>JxPath</x:v>
      </x:c>
      <x:c r="C1459" s="34" t="str">
        <x:v>Round2</x:v>
      </x:c>
      <x:c r="D1459" s="34" t="str">
        <x:v>JxPath_3</x:v>
      </x:c>
      <x:c r="E1459" s="34" t="str">
        <x:v>Coverage</x:v>
      </x:c>
      <x:c r="F1459" s="34" t="n">
        <x:v>103</x:v>
      </x:c>
      <x:c r="G1459" s="34" t="str">
        <x:v>RECORDED</x:v>
      </x:c>
      <x:c r="H1459" s="38" t="n">
        <x:f>IF(ISNUMBER('Data'!G1459),'Data'!G1459*100,"")</x:f>
        <x:v>82.52</x:v>
      </x:c>
      <x:c r="I1459" s="34" t="str">
        <x:v>PASS</x:v>
      </x:c>
      <x:c r="J1459" s="34" t="str">
        <x:v>PASS</x:v>
      </x:c>
      <x:c r="K1459" s="34" t="str">
        <x:v>PASS</x:v>
      </x:c>
      <x:c r="L1459" s="34" t="str">
        <x:v>FAIL</x:v>
      </x:c>
      <x:c r="M1459" s="34" t="str">
        <x:v>numeric coverage for applicable metric</x:v>
      </x:c>
      <x:c r="N1459" s="34" t="str">
        <x:v>Feedback-Directed Random Test Generation/Result_Round2/JxPath_3/result.json</x:v>
      </x:c>
      <x:c r="O1459" s="38" t="n">
        <x:f>IF(AND(G1459="RECORDED",ISNUMBER(H1459)),H1459,"")</x:f>
        <x:v>82.52</x:v>
      </x:c>
      <x:c r="P1459" s="34" t="str">
        <x:v>INCONCLUSIVE</x:v>
      </x:c>
      <x:c r="Q1459" s="34" t="str">
        <x:v>Feedback-Directed Random Test Generation/Result_Round2/JxPath_3/result.json</x:v>
      </x:c>
    </x:row>
    <x:row r="1460">
      <x:c r="A1460" s="34" t="str">
        <x:v>randoop</x:v>
      </x:c>
      <x:c r="B1460" s="34" t="str">
        <x:v>JxPath</x:v>
      </x:c>
      <x:c r="C1460" s="34" t="str">
        <x:v>Round2</x:v>
      </x:c>
      <x:c r="D1460" s="34" t="str">
        <x:v>JxPath_4</x:v>
      </x:c>
      <x:c r="E1460" s="34" t="str">
        <x:v>Coverage</x:v>
      </x:c>
      <x:c r="F1460" s="34" t="n">
        <x:v>1296</x:v>
      </x:c>
      <x:c r="G1460" s="34" t="str">
        <x:v>RECORDED</x:v>
      </x:c>
      <x:c r="H1460" s="38" t="n">
        <x:f>IF(ISNUMBER('Data'!G1460),'Data'!G1460*100,"")</x:f>
        <x:v>22.69</x:v>
      </x:c>
      <x:c r="I1460" s="34" t="str">
        <x:v>PASS</x:v>
      </x:c>
      <x:c r="J1460" s="34" t="str">
        <x:v>PASS</x:v>
      </x:c>
      <x:c r="K1460" s="34" t="str">
        <x:v>PASS</x:v>
      </x:c>
      <x:c r="L1460" s="34" t="str">
        <x:v>PASS</x:v>
      </x:c>
      <x:c r="M1460" s="34" t="str">
        <x:v>numeric coverage for applicable metric</x:v>
      </x:c>
      <x:c r="N1460" s="34" t="str">
        <x:v>Feedback-Directed Random Test Generation/Result_Round2/JxPath_4/result.json</x:v>
      </x:c>
      <x:c r="O1460" s="38" t="n">
        <x:f>IF(AND(G1460="RECORDED",ISNUMBER(H1460)),H1460,"")</x:f>
        <x:v>22.69</x:v>
      </x:c>
      <x:c r="P1460" s="34" t="str">
        <x:v>NOT_REVEALING</x:v>
      </x:c>
      <x:c r="Q1460" s="34" t="str">
        <x:v>Feedback-Directed Random Test Generation/Result_Round2/JxPath_4/result.json</x:v>
      </x:c>
    </x:row>
    <x:row r="1461">
      <x:c r="A1461" s="34" t="str">
        <x:v>randoop</x:v>
      </x:c>
      <x:c r="B1461" s="34" t="str">
        <x:v>JxPath</x:v>
      </x:c>
      <x:c r="C1461" s="34" t="str">
        <x:v>Round2</x:v>
      </x:c>
      <x:c r="D1461" s="34" t="str">
        <x:v>JxPath_5</x:v>
      </x:c>
      <x:c r="E1461" s="34" t="str">
        <x:v>Coverage</x:v>
      </x:c>
      <x:c r="F1461" s="34" t="n">
        <x:v>309</x:v>
      </x:c>
      <x:c r="G1461" s="34" t="str">
        <x:v>RECORDED</x:v>
      </x:c>
      <x:c r="H1461" s="38" t="n">
        <x:f>IF(ISNUMBER('Data'!G1461),'Data'!G1461*100,"")</x:f>
        <x:v>65.7</x:v>
      </x:c>
      <x:c r="I1461" s="34" t="str">
        <x:v>PASS</x:v>
      </x:c>
      <x:c r="J1461" s="34" t="str">
        <x:v>PASS</x:v>
      </x:c>
      <x:c r="K1461" s="34" t="str">
        <x:v>PASS</x:v>
      </x:c>
      <x:c r="L1461" s="34" t="str">
        <x:v>PASS</x:v>
      </x:c>
      <x:c r="M1461" s="34" t="str">
        <x:v>numeric coverage for applicable metric</x:v>
      </x:c>
      <x:c r="N1461" s="34" t="str">
        <x:v>Feedback-Directed Random Test Generation/Result_Round2/JxPath_5/result.json</x:v>
      </x:c>
      <x:c r="O1461" s="38" t="n">
        <x:f>IF(AND(G1461="RECORDED",ISNUMBER(H1461)),H1461,"")</x:f>
        <x:v>65.7</x:v>
      </x:c>
      <x:c r="P1461" s="34" t="str">
        <x:v>INCONCLUSIVE</x:v>
      </x:c>
      <x:c r="Q1461" s="34" t="str">
        <x:v>Feedback-Directed Random Test Generation/Result_Round2/JxPath_5/result.json</x:v>
      </x:c>
    </x:row>
    <x:row r="1462">
      <x:c r="A1462" s="34" t="str">
        <x:v>randoop</x:v>
      </x:c>
      <x:c r="B1462" s="34" t="str">
        <x:v>JxPath</x:v>
      </x:c>
      <x:c r="C1462" s="34" t="str">
        <x:v>Round2</x:v>
      </x:c>
      <x:c r="D1462" s="34" t="str">
        <x:v>JxPath_6</x:v>
      </x:c>
      <x:c r="E1462" s="34" t="str">
        <x:v>Coverage</x:v>
      </x:c>
      <x:c r="F1462" s="34" t="n">
        <x:v>115</x:v>
      </x:c>
      <x:c r="G1462" s="34" t="str">
        <x:v>RECORDED</x:v>
      </x:c>
      <x:c r="H1462" s="38" t="n">
        <x:f>IF(ISNUMBER('Data'!G1462),'Data'!G1462*100,"")</x:f>
        <x:v>0</x:v>
      </x:c>
      <x:c r="I1462" s="34" t="str">
        <x:v>PASS</x:v>
      </x:c>
      <x:c r="J1462" s="34" t="str">
        <x:v>PASS</x:v>
      </x:c>
      <x:c r="K1462" s="34" t="str">
        <x:v>PASS</x:v>
      </x:c>
      <x:c r="L1462" s="34" t="str">
        <x:v>PASS</x:v>
      </x:c>
      <x:c r="M1462" s="34" t="str">
        <x:v>numeric coverage for applicable metric</x:v>
      </x:c>
      <x:c r="N1462" s="34" t="str">
        <x:v>Feedback-Directed Random Test Generation/Result_Round2/JxPath_6/result.json</x:v>
      </x:c>
      <x:c r="O1462" s="38" t="n">
        <x:f>IF(AND(G1462="RECORDED",ISNUMBER(H1462)),H1462,"")</x:f>
        <x:v>0</x:v>
      </x:c>
      <x:c r="P1462" s="34" t="str">
        <x:v>NOT_REVEALING</x:v>
      </x:c>
      <x:c r="Q1462" s="34" t="str">
        <x:v>Feedback-Directed Random Test Generation/Result_Round2/JxPath_6/result.json</x:v>
      </x:c>
    </x:row>
    <x:row r="1463">
      <x:c r="A1463" s="34" t="str">
        <x:v>randoop</x:v>
      </x:c>
      <x:c r="B1463" s="34" t="str">
        <x:v>JxPath</x:v>
      </x:c>
      <x:c r="C1463" s="34" t="str">
        <x:v>Round2</x:v>
      </x:c>
      <x:c r="D1463" s="34" t="str">
        <x:v>JxPath_7</x:v>
      </x:c>
      <x:c r="E1463" s="34" t="str">
        <x:v>Coverage</x:v>
      </x:c>
      <x:c r="F1463" s="34" t="n">
        <x:v>36</x:v>
      </x:c>
      <x:c r="G1463" s="34" t="str">
        <x:v>RECORDED</x:v>
      </x:c>
      <x:c r="H1463" s="38" t="n">
        <x:f>IF(ISNUMBER('Data'!G1463),'Data'!G1463*100,"")</x:f>
        <x:v>55.559999999999995</x:v>
      </x:c>
      <x:c r="I1463" s="34" t="str">
        <x:v>PASS</x:v>
      </x:c>
      <x:c r="J1463" s="34" t="str">
        <x:v>PASS</x:v>
      </x:c>
      <x:c r="K1463" s="34" t="str">
        <x:v>PASS</x:v>
      </x:c>
      <x:c r="L1463" s="34" t="str">
        <x:v>PASS</x:v>
      </x:c>
      <x:c r="M1463" s="34" t="str">
        <x:v>numeric coverage for applicable metric</x:v>
      </x:c>
      <x:c r="N1463" s="34" t="str">
        <x:v>Feedback-Directed Random Test Generation/Result_Round2/JxPath_7/result.json</x:v>
      </x:c>
      <x:c r="O1463" s="38" t="n">
        <x:f>IF(AND(G1463="RECORDED",ISNUMBER(H1463)),H1463,"")</x:f>
        <x:v>55.559999999999995</x:v>
      </x:c>
      <x:c r="P1463" s="34" t="str">
        <x:v>NOT_REVEALING</x:v>
      </x:c>
      <x:c r="Q1463" s="34" t="str">
        <x:v>Feedback-Directed Random Test Generation/Result_Round2/JxPath_7/result.json</x:v>
      </x:c>
    </x:row>
    <x:row r="1464">
      <x:c r="A1464" s="34" t="str">
        <x:v>randoop</x:v>
      </x:c>
      <x:c r="B1464" s="34" t="str">
        <x:v>JxPath</x:v>
      </x:c>
      <x:c r="C1464" s="34" t="str">
        <x:v>Round2</x:v>
      </x:c>
      <x:c r="D1464" s="34" t="str">
        <x:v>JxPath_8</x:v>
      </x:c>
      <x:c r="E1464" s="34" t="str">
        <x:v>Coverage</x:v>
      </x:c>
      <x:c r="F1464" s="34" t="n">
        <x:v>71</x:v>
      </x:c>
      <x:c r="G1464" s="34" t="str">
        <x:v>RECORDED</x:v>
      </x:c>
      <x:c r="H1464" s="38" t="n">
        <x:f>IF(ISNUMBER('Data'!G1464),'Data'!G1464*100,"")</x:f>
        <x:v>0</x:v>
      </x:c>
      <x:c r="I1464" s="34" t="str">
        <x:v>PASS</x:v>
      </x:c>
      <x:c r="J1464" s="34" t="str">
        <x:v>PASS</x:v>
      </x:c>
      <x:c r="K1464" s="34" t="str">
        <x:v>PASS</x:v>
      </x:c>
      <x:c r="L1464" s="34" t="str">
        <x:v>PASS</x:v>
      </x:c>
      <x:c r="M1464" s="34" t="str">
        <x:v>numeric coverage for applicable metric</x:v>
      </x:c>
      <x:c r="N1464" s="34" t="str">
        <x:v>Feedback-Directed Random Test Generation/Result_Round2/JxPath_8/result.json</x:v>
      </x:c>
      <x:c r="O1464" s="38" t="n">
        <x:f>IF(AND(G1464="RECORDED",ISNUMBER(H1464)),H1464,"")</x:f>
        <x:v>0</x:v>
      </x:c>
      <x:c r="P1464" s="34" t="str">
        <x:v>NOT_REVEALING</x:v>
      </x:c>
      <x:c r="Q1464" s="34" t="str">
        <x:v>Feedback-Directed Random Test Generation/Result_Round2/JxPath_8/result.json</x:v>
      </x:c>
    </x:row>
    <x:row r="1465">
      <x:c r="A1465" s="34" t="str">
        <x:v>randoop</x:v>
      </x:c>
      <x:c r="B1465" s="34" t="str">
        <x:v>JxPath</x:v>
      </x:c>
      <x:c r="C1465" s="34" t="str">
        <x:v>Round2</x:v>
      </x:c>
      <x:c r="D1465" s="34" t="str">
        <x:v>JxPath_9</x:v>
      </x:c>
      <x:c r="E1465" s="34" t="str">
        <x:v>Coverage</x:v>
      </x:c>
      <x:c r="F1465" s="34" t="n">
        <x:v>129</x:v>
      </x:c>
      <x:c r="G1465" s="34" t="str">
        <x:v>RECORDED</x:v>
      </x:c>
      <x:c r="H1465" s="38" t="n">
        <x:f>IF(ISNUMBER('Data'!G1465),'Data'!G1465*100,"")</x:f>
        <x:v>38.76</x:v>
      </x:c>
      <x:c r="I1465" s="34" t="str">
        <x:v>PASS</x:v>
      </x:c>
      <x:c r="J1465" s="34" t="str">
        <x:v>PASS</x:v>
      </x:c>
      <x:c r="K1465" s="34" t="str">
        <x:v>PASS</x:v>
      </x:c>
      <x:c r="L1465" s="34" t="str">
        <x:v>PASS</x:v>
      </x:c>
      <x:c r="M1465" s="34" t="str">
        <x:v>numeric coverage for applicable metric</x:v>
      </x:c>
      <x:c r="N1465" s="34" t="str">
        <x:v>Feedback-Directed Random Test Generation/Result_Round2/JxPath_9/result.json</x:v>
      </x:c>
      <x:c r="O1465" s="38" t="n">
        <x:f>IF(AND(G1465="RECORDED",ISNUMBER(H1465)),H1465,"")</x:f>
        <x:v>38.76</x:v>
      </x:c>
      <x:c r="P1465" s="34" t="str">
        <x:v>INCONCLUSIVE</x:v>
      </x:c>
      <x:c r="Q1465" s="34" t="str">
        <x:v>Feedback-Directed Random Test Generation/Result_Round2/JxPath_9/result.json</x:v>
      </x:c>
    </x:row>
    <x:row r="1466">
      <x:c r="A1466" s="34" t="str">
        <x:v>randoop</x:v>
      </x:c>
      <x:c r="B1466" s="34" t="str">
        <x:v>JxPath</x:v>
      </x:c>
      <x:c r="C1466" s="34" t="str">
        <x:v>Round2</x:v>
      </x:c>
      <x:c r="D1466" s="34" t="str">
        <x:v>JxPath_10</x:v>
      </x:c>
      <x:c r="E1466" s="34" t="str">
        <x:v>Coverage</x:v>
      </x:c>
      <x:c r="F1466" s="34" t="n">
        <x:v>79</x:v>
      </x:c>
      <x:c r="G1466" s="34" t="str">
        <x:v>RECORDED</x:v>
      </x:c>
      <x:c r="H1466" s="38" t="n">
        <x:f>IF(ISNUMBER('Data'!G1466),'Data'!G1466*100,"")</x:f>
        <x:v>0</x:v>
      </x:c>
      <x:c r="I1466" s="34" t="str">
        <x:v>PASS</x:v>
      </x:c>
      <x:c r="J1466" s="34" t="str">
        <x:v>PASS</x:v>
      </x:c>
      <x:c r="K1466" s="34" t="str">
        <x:v>PASS</x:v>
      </x:c>
      <x:c r="L1466" s="34" t="str">
        <x:v>PASS</x:v>
      </x:c>
      <x:c r="M1466" s="34" t="str">
        <x:v>numeric coverage for applicable metric</x:v>
      </x:c>
      <x:c r="N1466" s="34" t="str">
        <x:v>Feedback-Directed Random Test Generation/Result_Round2/JxPath_10/result.json</x:v>
      </x:c>
      <x:c r="O1466" s="38" t="n">
        <x:f>IF(AND(G1466="RECORDED",ISNUMBER(H1466)),H1466,"")</x:f>
        <x:v>0</x:v>
      </x:c>
      <x:c r="P1466" s="34" t="str">
        <x:v>NOT_REVEALING</x:v>
      </x:c>
      <x:c r="Q1466" s="34" t="str">
        <x:v>Feedback-Directed Random Test Generation/Result_Round2/JxPath_10/result.json</x:v>
      </x:c>
    </x:row>
    <x:row r="1467">
      <x:c r="A1467" s="34" t="str">
        <x:v>randoop</x:v>
      </x:c>
      <x:c r="B1467" s="34" t="str">
        <x:v>JxPath</x:v>
      </x:c>
      <x:c r="C1467" s="34" t="str">
        <x:v>Round2</x:v>
      </x:c>
      <x:c r="D1467" s="34" t="str">
        <x:v>JxPath_11</x:v>
      </x:c>
      <x:c r="E1467" s="34" t="str">
        <x:v>Coverage</x:v>
      </x:c>
      <x:c r="F1467" s="34" t="n">
        <x:v>194</x:v>
      </x:c>
      <x:c r="G1467" s="34" t="str">
        <x:v>RECORDED</x:v>
      </x:c>
      <x:c r="H1467" s="38" t="n">
        <x:f>IF(ISNUMBER('Data'!G1467),'Data'!G1467*100,"")</x:f>
        <x:v>5.15</x:v>
      </x:c>
      <x:c r="I1467" s="34" t="str">
        <x:v>PASS</x:v>
      </x:c>
      <x:c r="J1467" s="34" t="str">
        <x:v>PASS</x:v>
      </x:c>
      <x:c r="K1467" s="34" t="str">
        <x:v>PASS</x:v>
      </x:c>
      <x:c r="L1467" s="34" t="str">
        <x:v>PASS</x:v>
      </x:c>
      <x:c r="M1467" s="34" t="str">
        <x:v>numeric coverage for applicable metric</x:v>
      </x:c>
      <x:c r="N1467" s="34" t="str">
        <x:v>Feedback-Directed Random Test Generation/Result_Round2/JxPath_11/result.json</x:v>
      </x:c>
      <x:c r="O1467" s="38" t="n">
        <x:f>IF(AND(G1467="RECORDED",ISNUMBER(H1467)),H1467,"")</x:f>
        <x:v>5.15</x:v>
      </x:c>
      <x:c r="P1467" s="34" t="str">
        <x:v>NOT_REVEALING</x:v>
      </x:c>
      <x:c r="Q1467" s="34" t="str">
        <x:v>Feedback-Directed Random Test Generation/Result_Round2/JxPath_11/result.json</x:v>
      </x:c>
    </x:row>
    <x:row r="1468">
      <x:c r="A1468" s="34" t="str">
        <x:v>randoop</x:v>
      </x:c>
      <x:c r="B1468" s="34" t="str">
        <x:v>JxPath</x:v>
      </x:c>
      <x:c r="C1468" s="34" t="str">
        <x:v>Round2</x:v>
      </x:c>
      <x:c r="D1468" s="34" t="str">
        <x:v>JxPath_12</x:v>
      </x:c>
      <x:c r="E1468" s="34" t="str">
        <x:v>Coverage</x:v>
      </x:c>
      <x:c r="F1468" s="34" t="n">
        <x:v>628</x:v>
      </x:c>
      <x:c r="G1468" s="34" t="str">
        <x:v>RECORDED</x:v>
      </x:c>
      <x:c r="H1468" s="38" t="n">
        <x:f>IF(ISNUMBER('Data'!G1468),'Data'!G1468*100,"")</x:f>
        <x:v>21.34</x:v>
      </x:c>
      <x:c r="I1468" s="34" t="str">
        <x:v>PASS</x:v>
      </x:c>
      <x:c r="J1468" s="34" t="str">
        <x:v>PASS</x:v>
      </x:c>
      <x:c r="K1468" s="34" t="str">
        <x:v>PASS</x:v>
      </x:c>
      <x:c r="L1468" s="34" t="str">
        <x:v>PASS</x:v>
      </x:c>
      <x:c r="M1468" s="34" t="str">
        <x:v>numeric coverage for applicable metric</x:v>
      </x:c>
      <x:c r="N1468" s="34" t="str">
        <x:v>Feedback-Directed Random Test Generation/Result_Round2/JxPath_12/result.json</x:v>
      </x:c>
      <x:c r="O1468" s="38" t="n">
        <x:f>IF(AND(G1468="RECORDED",ISNUMBER(H1468)),H1468,"")</x:f>
        <x:v>21.34</x:v>
      </x:c>
      <x:c r="P1468" s="34" t="str">
        <x:v>NOT_REVEALING</x:v>
      </x:c>
      <x:c r="Q1468" s="34" t="str">
        <x:v>Feedback-Directed Random Test Generation/Result_Round2/JxPath_12/result.json</x:v>
      </x:c>
    </x:row>
    <x:row r="1469">
      <x:c r="A1469" s="34" t="str">
        <x:v>randoop</x:v>
      </x:c>
      <x:c r="B1469" s="34" t="str">
        <x:v>JxPath</x:v>
      </x:c>
      <x:c r="C1469" s="34" t="str">
        <x:v>Round2</x:v>
      </x:c>
      <x:c r="D1469" s="34" t="str">
        <x:v>JxPath_13</x:v>
      </x:c>
      <x:c r="E1469" s="34" t="str">
        <x:v>Coverage</x:v>
      </x:c>
      <x:c r="F1469" s="34" t="n">
        <x:v>717</x:v>
      </x:c>
      <x:c r="G1469" s="34" t="str">
        <x:v>RECORDED</x:v>
      </x:c>
      <x:c r="H1469" s="38" t="n">
        <x:f>IF(ISNUMBER('Data'!G1469),'Data'!G1469*100,"")</x:f>
        <x:v>27.62</x:v>
      </x:c>
      <x:c r="I1469" s="34" t="str">
        <x:v>PASS</x:v>
      </x:c>
      <x:c r="J1469" s="34" t="str">
        <x:v>PASS</x:v>
      </x:c>
      <x:c r="K1469" s="34" t="str">
        <x:v>PASS</x:v>
      </x:c>
      <x:c r="L1469" s="34" t="str">
        <x:v>FAIL</x:v>
      </x:c>
      <x:c r="M1469" s="34" t="str">
        <x:v>numeric coverage for applicable metric</x:v>
      </x:c>
      <x:c r="N1469" s="34" t="str">
        <x:v>Feedback-Directed Random Test Generation/Result_Round2/JxPath_13/result.json</x:v>
      </x:c>
      <x:c r="O1469" s="38" t="n">
        <x:f>IF(AND(G1469="RECORDED",ISNUMBER(H1469)),H1469,"")</x:f>
        <x:v>27.62</x:v>
      </x:c>
      <x:c r="P1469" s="34" t="str">
        <x:v>INCONCLUSIVE</x:v>
      </x:c>
      <x:c r="Q1469" s="34" t="str">
        <x:v>Feedback-Directed Random Test Generation/Result_Round2/JxPath_13/result.json</x:v>
      </x:c>
    </x:row>
    <x:row r="1470">
      <x:c r="A1470" s="34" t="str">
        <x:v>randoop</x:v>
      </x:c>
      <x:c r="B1470" s="34" t="str">
        <x:v>JxPath</x:v>
      </x:c>
      <x:c r="C1470" s="34" t="str">
        <x:v>Round2</x:v>
      </x:c>
      <x:c r="D1470" s="34" t="str">
        <x:v>JxPath_14</x:v>
      </x:c>
      <x:c r="E1470" s="34" t="str">
        <x:v>Coverage</x:v>
      </x:c>
      <x:c r="F1470" s="34" t="n">
        <x:v>567</x:v>
      </x:c>
      <x:c r="G1470" s="34" t="str">
        <x:v>RECORDED</x:v>
      </x:c>
      <x:c r="H1470" s="38" t="n">
        <x:f>IF(ISNUMBER('Data'!G1470),'Data'!G1470*100,"")</x:f>
        <x:v>31.75</x:v>
      </x:c>
      <x:c r="I1470" s="34" t="str">
        <x:v>PASS</x:v>
      </x:c>
      <x:c r="J1470" s="34" t="str">
        <x:v>PASS</x:v>
      </x:c>
      <x:c r="K1470" s="34" t="str">
        <x:v>PASS</x:v>
      </x:c>
      <x:c r="L1470" s="34" t="str">
        <x:v>PASS</x:v>
      </x:c>
      <x:c r="M1470" s="34" t="str">
        <x:v>numeric coverage for applicable metric</x:v>
      </x:c>
      <x:c r="N1470" s="34" t="str">
        <x:v>Feedback-Directed Random Test Generation/Result_Round2/JxPath_14/result.json</x:v>
      </x:c>
      <x:c r="O1470" s="38" t="n">
        <x:f>IF(AND(G1470="RECORDED",ISNUMBER(H1470)),H1470,"")</x:f>
        <x:v>31.75</x:v>
      </x:c>
      <x:c r="P1470" s="34" t="str">
        <x:v>NOT_REVEALING</x:v>
      </x:c>
      <x:c r="Q1470" s="34" t="str">
        <x:v>Feedback-Directed Random Test Generation/Result_Round2/JxPath_14/result.json</x:v>
      </x:c>
    </x:row>
    <x:row r="1471">
      <x:c r="A1471" s="34" t="str">
        <x:v>randoop</x:v>
      </x:c>
      <x:c r="B1471" s="34" t="str">
        <x:v>JxPath</x:v>
      </x:c>
      <x:c r="C1471" s="34" t="str">
        <x:v>Round2</x:v>
      </x:c>
      <x:c r="D1471" s="34" t="str">
        <x:v>JxPath_15</x:v>
      </x:c>
      <x:c r="E1471" s="34" t="str">
        <x:v>Coverage</x:v>
      </x:c>
      <x:c r="F1471" s="34" t="n">
        <x:v>30</x:v>
      </x:c>
      <x:c r="G1471" s="34" t="str">
        <x:v>RECORDED</x:v>
      </x:c>
      <x:c r="H1471" s="38" t="n">
        <x:f>IF(ISNUMBER('Data'!G1471),'Data'!G1471*100,"")</x:f>
        <x:v>73.33</x:v>
      </x:c>
      <x:c r="I1471" s="34" t="str">
        <x:v>PASS</x:v>
      </x:c>
      <x:c r="J1471" s="34" t="str">
        <x:v>PASS</x:v>
      </x:c>
      <x:c r="K1471" s="34" t="str">
        <x:v>PASS</x:v>
      </x:c>
      <x:c r="L1471" s="34" t="str">
        <x:v>PASS</x:v>
      </x:c>
      <x:c r="M1471" s="34" t="str">
        <x:v>numeric coverage for applicable metric</x:v>
      </x:c>
      <x:c r="N1471" s="34" t="str">
        <x:v>Feedback-Directed Random Test Generation/Result_Round2/JxPath_15/result.json</x:v>
      </x:c>
      <x:c r="O1471" s="38" t="n">
        <x:f>IF(AND(G1471="RECORDED",ISNUMBER(H1471)),H1471,"")</x:f>
        <x:v>73.33</x:v>
      </x:c>
      <x:c r="P1471" s="34" t="str">
        <x:v>NOT_REVEALING</x:v>
      </x:c>
      <x:c r="Q1471" s="34" t="str">
        <x:v>Feedback-Directed Random Test Generation/Result_Round2/JxPath_15/result.json</x:v>
      </x:c>
    </x:row>
    <x:row r="1472">
      <x:c r="A1472" s="34" t="str">
        <x:v>randoop</x:v>
      </x:c>
      <x:c r="B1472" s="34" t="str">
        <x:v>JxPath</x:v>
      </x:c>
      <x:c r="C1472" s="34" t="str">
        <x:v>Round2</x:v>
      </x:c>
      <x:c r="D1472" s="34" t="str">
        <x:v>JxPath_16</x:v>
      </x:c>
      <x:c r="E1472" s="34" t="str">
        <x:v>Coverage</x:v>
      </x:c>
      <x:c r="F1472" s="34" t="n">
        <x:v>1359</x:v>
      </x:c>
      <x:c r="G1472" s="34" t="str">
        <x:v>RECORDED</x:v>
      </x:c>
      <x:c r="H1472" s="38" t="n">
        <x:f>IF(ISNUMBER('Data'!G1472),'Data'!G1472*100,"")</x:f>
        <x:v>24.65</x:v>
      </x:c>
      <x:c r="I1472" s="34" t="str">
        <x:v>PASS</x:v>
      </x:c>
      <x:c r="J1472" s="34" t="str">
        <x:v>PASS</x:v>
      </x:c>
      <x:c r="K1472" s="34" t="str">
        <x:v>PASS</x:v>
      </x:c>
      <x:c r="L1472" s="34" t="str">
        <x:v>PASS</x:v>
      </x:c>
      <x:c r="M1472" s="34" t="str">
        <x:v>numeric coverage for applicable metric</x:v>
      </x:c>
      <x:c r="N1472" s="34" t="str">
        <x:v>Feedback-Directed Random Test Generation/Result_Round2/JxPath_16/result.json</x:v>
      </x:c>
      <x:c r="O1472" s="38" t="n">
        <x:f>IF(AND(G1472="RECORDED",ISNUMBER(H1472)),H1472,"")</x:f>
        <x:v>24.65</x:v>
      </x:c>
      <x:c r="P1472" s="34" t="str">
        <x:v>NOT_REVEALING</x:v>
      </x:c>
      <x:c r="Q1472" s="34" t="str">
        <x:v>Feedback-Directed Random Test Generation/Result_Round2/JxPath_16/result.json</x:v>
      </x:c>
    </x:row>
    <x:row r="1473">
      <x:c r="A1473" s="34" t="str">
        <x:v>randoop</x:v>
      </x:c>
      <x:c r="B1473" s="34" t="str">
        <x:v>JxPath</x:v>
      </x:c>
      <x:c r="C1473" s="34" t="str">
        <x:v>Round2</x:v>
      </x:c>
      <x:c r="D1473" s="34" t="str">
        <x:v>JxPath_17</x:v>
      </x:c>
      <x:c r="E1473" s="34" t="str">
        <x:v>Coverage</x:v>
      </x:c>
      <x:c r="F1473" s="34" t="n">
        <x:v>199</x:v>
      </x:c>
      <x:c r="G1473" s="34" t="str">
        <x:v>RECORDED</x:v>
      </x:c>
      <x:c r="H1473" s="38" t="n">
        <x:f>IF(ISNUMBER('Data'!G1473),'Data'!G1473*100,"")</x:f>
        <x:v>5.03</x:v>
      </x:c>
      <x:c r="I1473" s="34" t="str">
        <x:v>PASS</x:v>
      </x:c>
      <x:c r="J1473" s="34" t="str">
        <x:v>PASS</x:v>
      </x:c>
      <x:c r="K1473" s="34" t="str">
        <x:v>PASS</x:v>
      </x:c>
      <x:c r="L1473" s="34" t="str">
        <x:v>PASS</x:v>
      </x:c>
      <x:c r="M1473" s="34" t="str">
        <x:v>numeric coverage for applicable metric</x:v>
      </x:c>
      <x:c r="N1473" s="34" t="str">
        <x:v>Feedback-Directed Random Test Generation/Result_Round2/JxPath_17/result.json</x:v>
      </x:c>
      <x:c r="O1473" s="38" t="n">
        <x:f>IF(AND(G1473="RECORDED",ISNUMBER(H1473)),H1473,"")</x:f>
        <x:v>5.03</x:v>
      </x:c>
      <x:c r="P1473" s="34" t="str">
        <x:v>NOT_REVEALING</x:v>
      </x:c>
      <x:c r="Q1473" s="34" t="str">
        <x:v>Feedback-Directed Random Test Generation/Result_Round2/JxPath_17/result.json</x:v>
      </x:c>
    </x:row>
    <x:row r="1474">
      <x:c r="A1474" s="34" t="str">
        <x:v>randoop</x:v>
      </x:c>
      <x:c r="B1474" s="34" t="str">
        <x:v>JxPath</x:v>
      </x:c>
      <x:c r="C1474" s="34" t="str">
        <x:v>Round2</x:v>
      </x:c>
      <x:c r="D1474" s="34" t="str">
        <x:v>JxPath_18</x:v>
      </x:c>
      <x:c r="E1474" s="34" t="str">
        <x:v>Coverage</x:v>
      </x:c>
      <x:c r="F1474" s="34" t="n">
        <x:v>43</x:v>
      </x:c>
      <x:c r="G1474" s="34" t="str">
        <x:v>RECORDED</x:v>
      </x:c>
      <x:c r="H1474" s="38" t="n">
        <x:f>IF(ISNUMBER('Data'!G1474),'Data'!G1474*100,"")</x:f>
        <x:v>72.09</x:v>
      </x:c>
      <x:c r="I1474" s="34" t="str">
        <x:v>PASS</x:v>
      </x:c>
      <x:c r="J1474" s="34" t="str">
        <x:v>PASS</x:v>
      </x:c>
      <x:c r="K1474" s="34" t="str">
        <x:v>PASS</x:v>
      </x:c>
      <x:c r="L1474" s="34" t="str">
        <x:v>PASS</x:v>
      </x:c>
      <x:c r="M1474" s="34" t="str">
        <x:v>numeric coverage for applicable metric</x:v>
      </x:c>
      <x:c r="N1474" s="34" t="str">
        <x:v>Feedback-Directed Random Test Generation/Result_Round2/JxPath_18/result.json</x:v>
      </x:c>
      <x:c r="O1474" s="38" t="n">
        <x:f>IF(AND(G1474="RECORDED",ISNUMBER(H1474)),H1474,"")</x:f>
        <x:v>72.09</x:v>
      </x:c>
      <x:c r="P1474" s="34" t="str">
        <x:v>NOT_REVEALING</x:v>
      </x:c>
      <x:c r="Q1474" s="34" t="str">
        <x:v>Feedback-Directed Random Test Generation/Result_Round2/JxPath_18/result.json</x:v>
      </x:c>
    </x:row>
    <x:row r="1475">
      <x:c r="A1475" s="34" t="str">
        <x:v>randoop</x:v>
      </x:c>
      <x:c r="B1475" s="34" t="str">
        <x:v>JxPath</x:v>
      </x:c>
      <x:c r="C1475" s="34" t="str">
        <x:v>Round2</x:v>
      </x:c>
      <x:c r="D1475" s="34" t="str">
        <x:v>JxPath_19</x:v>
      </x:c>
      <x:c r="E1475" s="34" t="str">
        <x:v>Coverage</x:v>
      </x:c>
      <x:c r="F1475" s="34" t="n">
        <x:v>1289</x:v>
      </x:c>
      <x:c r="G1475" s="34" t="str">
        <x:v>RECORDED</x:v>
      </x:c>
      <x:c r="H1475" s="38" t="n">
        <x:f>IF(ISNUMBER('Data'!G1475),'Data'!G1475*100,"")</x:f>
        <x:v>17.3</x:v>
      </x:c>
      <x:c r="I1475" s="34" t="str">
        <x:v>PASS</x:v>
      </x:c>
      <x:c r="J1475" s="34" t="str">
        <x:v>PASS</x:v>
      </x:c>
      <x:c r="K1475" s="34" t="str">
        <x:v>PASS</x:v>
      </x:c>
      <x:c r="L1475" s="34" t="str">
        <x:v>PASS</x:v>
      </x:c>
      <x:c r="M1475" s="34" t="str">
        <x:v>numeric coverage for applicable metric</x:v>
      </x:c>
      <x:c r="N1475" s="34" t="str">
        <x:v>Feedback-Directed Random Test Generation/Result_Round2/JxPath_19/result.json</x:v>
      </x:c>
      <x:c r="O1475" s="38" t="n">
        <x:f>IF(AND(G1475="RECORDED",ISNUMBER(H1475)),H1475,"")</x:f>
        <x:v>17.3</x:v>
      </x:c>
      <x:c r="P1475" s="34" t="str">
        <x:v>NOT_REVEALING</x:v>
      </x:c>
      <x:c r="Q1475" s="34" t="str">
        <x:v>Feedback-Directed Random Test Generation/Result_Round2/JxPath_19/result.json</x:v>
      </x:c>
    </x:row>
    <x:row r="1476">
      <x:c r="A1476" s="34" t="str">
        <x:v>randoop</x:v>
      </x:c>
      <x:c r="B1476" s="34" t="str">
        <x:v>JxPath</x:v>
      </x:c>
      <x:c r="C1476" s="34" t="str">
        <x:v>Round2</x:v>
      </x:c>
      <x:c r="D1476" s="34" t="str">
        <x:v>JxPath_20</x:v>
      </x:c>
      <x:c r="E1476" s="34" t="str">
        <x:v>Coverage</x:v>
      </x:c>
      <x:c r="F1476" s="34" t="n">
        <x:v>79</x:v>
      </x:c>
      <x:c r="G1476" s="34" t="str">
        <x:v>RECORDED</x:v>
      </x:c>
      <x:c r="H1476" s="38" t="n">
        <x:f>IF(ISNUMBER('Data'!G1476),'Data'!G1476*100,"")</x:f>
        <x:v>0</x:v>
      </x:c>
      <x:c r="I1476" s="34" t="str">
        <x:v>PASS</x:v>
      </x:c>
      <x:c r="J1476" s="34" t="str">
        <x:v>PASS</x:v>
      </x:c>
      <x:c r="K1476" s="34" t="str">
        <x:v>PASS</x:v>
      </x:c>
      <x:c r="L1476" s="34" t="str">
        <x:v>PASS</x:v>
      </x:c>
      <x:c r="M1476" s="34" t="str">
        <x:v>numeric coverage for applicable metric</x:v>
      </x:c>
      <x:c r="N1476" s="34" t="str">
        <x:v>Feedback-Directed Random Test Generation/Result_Round2/JxPath_20/result.json</x:v>
      </x:c>
      <x:c r="O1476" s="38" t="n">
        <x:f>IF(AND(G1476="RECORDED",ISNUMBER(H1476)),H1476,"")</x:f>
        <x:v>0</x:v>
      </x:c>
      <x:c r="P1476" s="34" t="str">
        <x:v>NOT_REVEALING</x:v>
      </x:c>
      <x:c r="Q1476" s="34" t="str">
        <x:v>Feedback-Directed Random Test Generation/Result_Round2/JxPath_20/result.json</x:v>
      </x:c>
    </x:row>
    <x:row r="1477">
      <x:c r="A1477" s="34" t="str">
        <x:v>randoop</x:v>
      </x:c>
      <x:c r="B1477" s="34" t="str">
        <x:v>JxPath</x:v>
      </x:c>
      <x:c r="C1477" s="34" t="str">
        <x:v>Round2</x:v>
      </x:c>
      <x:c r="D1477" s="34" t="str">
        <x:v>JxPath_21</x:v>
      </x:c>
      <x:c r="E1477" s="34" t="str">
        <x:v>Coverage</x:v>
      </x:c>
      <x:c r="F1477" s="34" t="n">
        <x:v>122</x:v>
      </x:c>
      <x:c r="G1477" s="34" t="str">
        <x:v>RECORDED</x:v>
      </x:c>
      <x:c r="H1477" s="38" t="n">
        <x:f>IF(ISNUMBER('Data'!G1477),'Data'!G1477*100,"")</x:f>
        <x:v>4.1</x:v>
      </x:c>
      <x:c r="I1477" s="34" t="str">
        <x:v>PASS</x:v>
      </x:c>
      <x:c r="J1477" s="34" t="str">
        <x:v>PASS</x:v>
      </x:c>
      <x:c r="K1477" s="34" t="str">
        <x:v>PASS</x:v>
      </x:c>
      <x:c r="L1477" s="34" t="str">
        <x:v>PASS</x:v>
      </x:c>
      <x:c r="M1477" s="34" t="str">
        <x:v>numeric coverage for applicable metric</x:v>
      </x:c>
      <x:c r="N1477" s="34" t="str">
        <x:v>Feedback-Directed Random Test Generation/Result_Round2/JxPath_21/result.json</x:v>
      </x:c>
      <x:c r="O1477" s="38" t="n">
        <x:f>IF(AND(G1477="RECORDED",ISNUMBER(H1477)),H1477,"")</x:f>
        <x:v>4.1</x:v>
      </x:c>
      <x:c r="P1477" s="34" t="str">
        <x:v>NOT_REVEALING</x:v>
      </x:c>
      <x:c r="Q1477" s="34" t="str">
        <x:v>Feedback-Directed Random Test Generation/Result_Round2/JxPath_21/result.json</x:v>
      </x:c>
    </x:row>
    <x:row r="1478">
      <x:c r="A1478" s="34" t="str">
        <x:v>randoop</x:v>
      </x:c>
      <x:c r="B1478" s="34" t="str">
        <x:v>JxPath</x:v>
      </x:c>
      <x:c r="C1478" s="34" t="str">
        <x:v>Round2</x:v>
      </x:c>
      <x:c r="D1478" s="34" t="str">
        <x:v>JxPath_22</x:v>
      </x:c>
      <x:c r="E1478" s="34" t="str">
        <x:v>Coverage</x:v>
      </x:c>
      <x:c r="F1478" s="34" t="n">
        <x:v>628</x:v>
      </x:c>
      <x:c r="G1478" s="34" t="str">
        <x:v>RECORDED</x:v>
      </x:c>
      <x:c r="H1478" s="38" t="n">
        <x:f>IF(ISNUMBER('Data'!G1478),'Data'!G1478*100,"")</x:f>
        <x:v>9.87</x:v>
      </x:c>
      <x:c r="I1478" s="34" t="str">
        <x:v>PASS</x:v>
      </x:c>
      <x:c r="J1478" s="34" t="str">
        <x:v>PASS</x:v>
      </x:c>
      <x:c r="K1478" s="34" t="str">
        <x:v>PASS</x:v>
      </x:c>
      <x:c r="L1478" s="34" t="str">
        <x:v>PASS</x:v>
      </x:c>
      <x:c r="M1478" s="34" t="str">
        <x:v>numeric coverage for applicable metric</x:v>
      </x:c>
      <x:c r="N1478" s="34" t="str">
        <x:v>Feedback-Directed Random Test Generation/Result_Round2/JxPath_22/result.json</x:v>
      </x:c>
      <x:c r="O1478" s="38" t="n">
        <x:f>IF(AND(G1478="RECORDED",ISNUMBER(H1478)),H1478,"")</x:f>
        <x:v>9.87</x:v>
      </x:c>
      <x:c r="P1478" s="34" t="str">
        <x:v>NOT_REVEALING</x:v>
      </x:c>
      <x:c r="Q1478" s="34" t="str">
        <x:v>Feedback-Directed Random Test Generation/Result_Round2/JxPath_22/result.json</x:v>
      </x:c>
    </x:row>
    <x:row r="1479">
      <x:c r="A1479" s="34" t="str">
        <x:v>randoop</x:v>
      </x:c>
      <x:c r="B1479" s="34" t="str">
        <x:v>Lang</x:v>
      </x:c>
      <x:c r="C1479" s="34" t="str">
        <x:v>Round2</x:v>
      </x:c>
      <x:c r="D1479" s="34" t="str">
        <x:v>Lang_1</x:v>
      </x:c>
      <x:c r="E1479" s="34" t="str">
        <x:v>Coverage</x:v>
      </x:c>
      <x:c r="F1479" s="34" t="n">
        <x:v>713</x:v>
      </x:c>
      <x:c r="G1479" s="34" t="str">
        <x:v>RECORDED</x:v>
      </x:c>
      <x:c r="H1479" s="38" t="n">
        <x:f>IF(ISNUMBER('Data'!G1479),'Data'!G1479*100,"")</x:f>
        <x:v>54.28000000000001</x:v>
      </x:c>
      <x:c r="I1479" s="34" t="str">
        <x:v>PASS</x:v>
      </x:c>
      <x:c r="J1479" s="34" t="str">
        <x:v>PASS</x:v>
      </x:c>
      <x:c r="K1479" s="34" t="str">
        <x:v>PASS</x:v>
      </x:c>
      <x:c r="L1479" s="34" t="str">
        <x:v>PASS</x:v>
      </x:c>
      <x:c r="M1479" s="34" t="str">
        <x:v>numeric coverage for applicable metric</x:v>
      </x:c>
      <x:c r="N1479" s="34" t="str">
        <x:v>Feedback-Directed Random Test Generation/Result_Round2/Lang_1/result.json</x:v>
      </x:c>
      <x:c r="O1479" s="38" t="n">
        <x:f>IF(AND(G1479="RECORDED",ISNUMBER(H1479)),H1479,"")</x:f>
        <x:v>54.28000000000001</x:v>
      </x:c>
      <x:c r="P1479" s="34" t="str">
        <x:v>NOT_REVEALING</x:v>
      </x:c>
      <x:c r="Q1479" s="34" t="str">
        <x:v>Feedback-Directed Random Test Generation/Result_Round2/Lang_1/result.json</x:v>
      </x:c>
    </x:row>
    <x:row r="1480">
      <x:c r="A1480" s="34" t="str">
        <x:v>randoop</x:v>
      </x:c>
      <x:c r="B1480" s="34" t="str">
        <x:v>Lang</x:v>
      </x:c>
      <x:c r="C1480" s="34" t="str">
        <x:v>Round2</x:v>
      </x:c>
      <x:c r="D1480" s="34" t="str">
        <x:v>Lang_3</x:v>
      </x:c>
      <x:c r="E1480" s="34" t="str">
        <x:v>Coverage</x:v>
      </x:c>
      <x:c r="F1480" s="34" t="n">
        <x:v>707</x:v>
      </x:c>
      <x:c r="G1480" s="34" t="str">
        <x:v>RECORDED</x:v>
      </x:c>
      <x:c r="H1480" s="38" t="n">
        <x:f>IF(ISNUMBER('Data'!G1480),'Data'!G1480*100,"")</x:f>
        <x:v>54.74</x:v>
      </x:c>
      <x:c r="I1480" s="34" t="str">
        <x:v>PASS</x:v>
      </x:c>
      <x:c r="J1480" s="34" t="str">
        <x:v>PASS</x:v>
      </x:c>
      <x:c r="K1480" s="34" t="str">
        <x:v>PASS</x:v>
      </x:c>
      <x:c r="L1480" s="34" t="str">
        <x:v>PASS</x:v>
      </x:c>
      <x:c r="M1480" s="34" t="str">
        <x:v>numeric coverage for applicable metric</x:v>
      </x:c>
      <x:c r="N1480" s="34" t="str">
        <x:v>Feedback-Directed Random Test Generation/Result_Round2/Lang_3/result.json</x:v>
      </x:c>
      <x:c r="O1480" s="38" t="n">
        <x:f>IF(AND(G1480="RECORDED",ISNUMBER(H1480)),H1480,"")</x:f>
        <x:v>54.74</x:v>
      </x:c>
      <x:c r="P1480" s="34" t="str">
        <x:v>NOT_REVEALING</x:v>
      </x:c>
      <x:c r="Q1480" s="34" t="str">
        <x:v>Feedback-Directed Random Test Generation/Result_Round2/Lang_3/result.json</x:v>
      </x:c>
    </x:row>
    <x:row r="1481">
      <x:c r="A1481" s="34" t="str">
        <x:v>randoop</x:v>
      </x:c>
      <x:c r="B1481" s="34" t="str">
        <x:v>Lang</x:v>
      </x:c>
      <x:c r="C1481" s="34" t="str">
        <x:v>Round2</x:v>
      </x:c>
      <x:c r="D1481" s="34" t="str">
        <x:v>Lang_4</x:v>
      </x:c>
      <x:c r="E1481" s="34" t="str">
        <x:v>Coverage</x:v>
      </x:c>
      <x:c r="F1481" s="34" t="n">
        <x:v>39</x:v>
      </x:c>
      <x:c r="G1481" s="34" t="str">
        <x:v>RECORDED</x:v>
      </x:c>
      <x:c r="H1481" s="38" t="n">
        <x:f>IF(ISNUMBER('Data'!G1481),'Data'!G1481*100,"")</x:f>
        <x:v>100</x:v>
      </x:c>
      <x:c r="I1481" s="34" t="str">
        <x:v>PASS</x:v>
      </x:c>
      <x:c r="J1481" s="34" t="str">
        <x:v>PASS</x:v>
      </x:c>
      <x:c r="K1481" s="34" t="str">
        <x:v>PASS</x:v>
      </x:c>
      <x:c r="L1481" s="34" t="str">
        <x:v>PASS</x:v>
      </x:c>
      <x:c r="M1481" s="34" t="str">
        <x:v>numeric coverage for applicable metric</x:v>
      </x:c>
      <x:c r="N1481" s="34" t="str">
        <x:v>Feedback-Directed Random Test Generation/Result_Round2/Lang_4/result.json</x:v>
      </x:c>
      <x:c r="O1481" s="38" t="n">
        <x:f>IF(AND(G1481="RECORDED",ISNUMBER(H1481)),H1481,"")</x:f>
        <x:v>100</x:v>
      </x:c>
      <x:c r="P1481" s="34" t="str">
        <x:v>NOT_REVEALING</x:v>
      </x:c>
      <x:c r="Q1481" s="34" t="str">
        <x:v>Feedback-Directed Random Test Generation/Result_Round2/Lang_4/result.json</x:v>
      </x:c>
    </x:row>
    <x:row r="1482">
      <x:c r="A1482" s="34" t="str">
        <x:v>randoop</x:v>
      </x:c>
      <x:c r="B1482" s="34" t="str">
        <x:v>Lang</x:v>
      </x:c>
      <x:c r="C1482" s="34" t="str">
        <x:v>Round2</x:v>
      </x:c>
      <x:c r="D1482" s="34" t="str">
        <x:v>Lang_5</x:v>
      </x:c>
      <x:c r="E1482" s="34" t="str">
        <x:v>Coverage</x:v>
      </x:c>
      <x:c r="F1482" s="34" t="n">
        <x:v>138</x:v>
      </x:c>
      <x:c r="G1482" s="34" t="str">
        <x:v>RECORDED</x:v>
      </x:c>
      <x:c r="H1482" s="38" t="n">
        <x:f>IF(ISNUMBER('Data'!G1482),'Data'!G1482*100,"")</x:f>
        <x:v>55.8</x:v>
      </x:c>
      <x:c r="I1482" s="34" t="str">
        <x:v>PASS</x:v>
      </x:c>
      <x:c r="J1482" s="34" t="str">
        <x:v>PASS</x:v>
      </x:c>
      <x:c r="K1482" s="34" t="str">
        <x:v>PASS</x:v>
      </x:c>
      <x:c r="L1482" s="34" t="str">
        <x:v>PASS</x:v>
      </x:c>
      <x:c r="M1482" s="34" t="str">
        <x:v>numeric coverage for applicable metric</x:v>
      </x:c>
      <x:c r="N1482" s="34" t="str">
        <x:v>Feedback-Directed Random Test Generation/Result_Round2/Lang_5/result.json</x:v>
      </x:c>
      <x:c r="O1482" s="38" t="n">
        <x:f>IF(AND(G1482="RECORDED",ISNUMBER(H1482)),H1482,"")</x:f>
        <x:v>55.8</x:v>
      </x:c>
      <x:c r="P1482" s="34" t="str">
        <x:v>NOT_REVEALING</x:v>
      </x:c>
      <x:c r="Q1482" s="34" t="str">
        <x:v>Feedback-Directed Random Test Generation/Result_Round2/Lang_5/result.json</x:v>
      </x:c>
    </x:row>
    <x:row r="1483">
      <x:c r="A1483" s="34" t="str">
        <x:v>randoop</x:v>
      </x:c>
      <x:c r="B1483" s="34" t="str">
        <x:v>Lang</x:v>
      </x:c>
      <x:c r="C1483" s="34" t="str">
        <x:v>Round2</x:v>
      </x:c>
      <x:c r="D1483" s="34" t="str">
        <x:v>Lang_6</x:v>
      </x:c>
      <x:c r="E1483" s="34" t="str">
        <x:v>Coverage</x:v>
      </x:c>
      <x:c r="F1483" s="34" t="n">
        <x:v>42</x:v>
      </x:c>
      <x:c r="G1483" s="34" t="str">
        <x:v>RECORDED</x:v>
      </x:c>
      <x:c r="H1483" s="38" t="n">
        <x:f>IF(ISNUMBER('Data'!G1483),'Data'!G1483*100,"")</x:f>
        <x:v>2.38</x:v>
      </x:c>
      <x:c r="I1483" s="34" t="str">
        <x:v>PASS</x:v>
      </x:c>
      <x:c r="J1483" s="34" t="str">
        <x:v>PASS</x:v>
      </x:c>
      <x:c r="K1483" s="34" t="str">
        <x:v>PASS</x:v>
      </x:c>
      <x:c r="L1483" s="34" t="str">
        <x:v>PASS</x:v>
      </x:c>
      <x:c r="M1483" s="34" t="str">
        <x:v>numeric coverage for applicable metric</x:v>
      </x:c>
      <x:c r="N1483" s="34" t="str">
        <x:v>Feedback-Directed Random Test Generation/Result_Round2/Lang_6/result.json</x:v>
      </x:c>
      <x:c r="O1483" s="38" t="n">
        <x:f>IF(AND(G1483="RECORDED",ISNUMBER(H1483)),H1483,"")</x:f>
        <x:v>2.38</x:v>
      </x:c>
      <x:c r="P1483" s="34" t="str">
        <x:v>NOT_REVEALING</x:v>
      </x:c>
      <x:c r="Q1483" s="34" t="str">
        <x:v>Feedback-Directed Random Test Generation/Result_Round2/Lang_6/result.json</x:v>
      </x:c>
    </x:row>
    <x:row r="1484">
      <x:c r="A1484" s="34" t="str">
        <x:v>randoop</x:v>
      </x:c>
      <x:c r="B1484" s="34" t="str">
        <x:v>Lang</x:v>
      </x:c>
      <x:c r="C1484" s="34" t="str">
        <x:v>Round2</x:v>
      </x:c>
      <x:c r="D1484" s="34" t="str">
        <x:v>Lang_7</x:v>
      </x:c>
      <x:c r="E1484" s="34" t="str">
        <x:v>Coverage</x:v>
      </x:c>
      <x:c r="F1484" s="34" t="n">
        <x:v>746</x:v>
      </x:c>
      <x:c r="G1484" s="34" t="str">
        <x:v>RECORDED</x:v>
      </x:c>
      <x:c r="H1484" s="38" t="n">
        <x:f>IF(ISNUMBER('Data'!G1484),'Data'!G1484*100,"")</x:f>
        <x:v>57.769999999999996</x:v>
      </x:c>
      <x:c r="I1484" s="34" t="str">
        <x:v>PASS</x:v>
      </x:c>
      <x:c r="J1484" s="34" t="str">
        <x:v>PASS</x:v>
      </x:c>
      <x:c r="K1484" s="34" t="str">
        <x:v>PASS</x:v>
      </x:c>
      <x:c r="L1484" s="34" t="str">
        <x:v>PASS</x:v>
      </x:c>
      <x:c r="M1484" s="34" t="str">
        <x:v>numeric coverage for applicable metric</x:v>
      </x:c>
      <x:c r="N1484" s="34" t="str">
        <x:v>Feedback-Directed Random Test Generation/Result_Round2/Lang_7/result.json</x:v>
      </x:c>
      <x:c r="O1484" s="38" t="n">
        <x:f>IF(AND(G1484="RECORDED",ISNUMBER(H1484)),H1484,"")</x:f>
        <x:v>57.769999999999996</x:v>
      </x:c>
      <x:c r="P1484" s="34" t="str">
        <x:v>NOT_REVEALING</x:v>
      </x:c>
      <x:c r="Q1484" s="34" t="str">
        <x:v>Feedback-Directed Random Test Generation/Result_Round2/Lang_7/result.json</x:v>
      </x:c>
    </x:row>
    <x:row r="1485">
      <x:c r="A1485" s="34" t="str">
        <x:v>randoop</x:v>
      </x:c>
      <x:c r="B1485" s="34" t="str">
        <x:v>Lang</x:v>
      </x:c>
      <x:c r="C1485" s="34" t="str">
        <x:v>Round2</x:v>
      </x:c>
      <x:c r="D1485" s="34" t="str">
        <x:v>Lang_8</x:v>
      </x:c>
      <x:c r="E1485" s="34" t="str">
        <x:v>Coverage</x:v>
      </x:c>
      <x:c r="F1485" s="34" t="n">
        <x:v>487</x:v>
      </x:c>
      <x:c r="G1485" s="34" t="str">
        <x:v>RECORDED</x:v>
      </x:c>
      <x:c r="H1485" s="38" t="n">
        <x:f>IF(ISNUMBER('Data'!G1485),'Data'!G1485*100,"")</x:f>
        <x:v>4.11</x:v>
      </x:c>
      <x:c r="I1485" s="34" t="str">
        <x:v>PASS</x:v>
      </x:c>
      <x:c r="J1485" s="34" t="str">
        <x:v>PASS</x:v>
      </x:c>
      <x:c r="K1485" s="34" t="str">
        <x:v>PASS</x:v>
      </x:c>
      <x:c r="L1485" s="34" t="str">
        <x:v>PASS</x:v>
      </x:c>
      <x:c r="M1485" s="34" t="str">
        <x:v>numeric coverage for applicable metric</x:v>
      </x:c>
      <x:c r="N1485" s="34" t="str">
        <x:v>Feedback-Directed Random Test Generation/Result_Round2/Lang_8/result.json</x:v>
      </x:c>
      <x:c r="O1485" s="38" t="n">
        <x:f>IF(AND(G1485="RECORDED",ISNUMBER(H1485)),H1485,"")</x:f>
        <x:v>4.11</x:v>
      </x:c>
      <x:c r="P1485" s="34" t="str">
        <x:v>NOT_REVEALING</x:v>
      </x:c>
      <x:c r="Q1485" s="34" t="str">
        <x:v>Feedback-Directed Random Test Generation/Result_Round2/Lang_8/result.json</x:v>
      </x:c>
    </x:row>
    <x:row r="1486">
      <x:c r="A1486" s="34" t="str">
        <x:v>randoop</x:v>
      </x:c>
      <x:c r="B1486" s="34" t="str">
        <x:v>Lang</x:v>
      </x:c>
      <x:c r="C1486" s="34" t="str">
        <x:v>Round2</x:v>
      </x:c>
      <x:c r="D1486" s="34" t="str">
        <x:v>Lang_9</x:v>
      </x:c>
      <x:c r="E1486" s="34" t="str">
        <x:v>Coverage</x:v>
      </x:c>
      <x:c r="F1486" s="34" t="n">
        <x:v>396</x:v>
      </x:c>
      <x:c r="G1486" s="34" t="str">
        <x:v>RECORDED</x:v>
      </x:c>
      <x:c r="H1486" s="38" t="n">
        <x:f>IF(ISNUMBER('Data'!G1486),'Data'!G1486*100,"")</x:f>
        <x:v>10.1</x:v>
      </x:c>
      <x:c r="I1486" s="34" t="str">
        <x:v>PASS</x:v>
      </x:c>
      <x:c r="J1486" s="34" t="str">
        <x:v>PASS</x:v>
      </x:c>
      <x:c r="K1486" s="34" t="str">
        <x:v>PASS</x:v>
      </x:c>
      <x:c r="L1486" s="34" t="str">
        <x:v>PASS</x:v>
      </x:c>
      <x:c r="M1486" s="34" t="str">
        <x:v>numeric coverage for applicable metric</x:v>
      </x:c>
      <x:c r="N1486" s="34" t="str">
        <x:v>Feedback-Directed Random Test Generation/Result_Round2/Lang_9/result.json</x:v>
      </x:c>
      <x:c r="O1486" s="38" t="n">
        <x:f>IF(AND(G1486="RECORDED",ISNUMBER(H1486)),H1486,"")</x:f>
        <x:v>10.1</x:v>
      </x:c>
      <x:c r="P1486" s="34" t="str">
        <x:v>NOT_REVEALING</x:v>
      </x:c>
      <x:c r="Q1486" s="34" t="str">
        <x:v>Feedback-Directed Random Test Generation/Result_Round2/Lang_9/result.json</x:v>
      </x:c>
    </x:row>
    <x:row r="1487">
      <x:c r="A1487" s="34" t="str">
        <x:v>randoop</x:v>
      </x:c>
      <x:c r="B1487" s="34" t="str">
        <x:v>Lang</x:v>
      </x:c>
      <x:c r="C1487" s="34" t="str">
        <x:v>Round2</x:v>
      </x:c>
      <x:c r="D1487" s="34" t="str">
        <x:v>Lang_10</x:v>
      </x:c>
      <x:c r="E1487" s="34" t="str">
        <x:v>Coverage</x:v>
      </x:c>
      <x:c r="F1487" s="34" t="n">
        <x:v>406</x:v>
      </x:c>
      <x:c r="G1487" s="34" t="str">
        <x:v>RECORDED</x:v>
      </x:c>
      <x:c r="H1487" s="38" t="n">
        <x:f>IF(ISNUMBER('Data'!G1487),'Data'!G1487*100,"")</x:f>
        <x:v>9.85</x:v>
      </x:c>
      <x:c r="I1487" s="34" t="str">
        <x:v>PASS</x:v>
      </x:c>
      <x:c r="J1487" s="34" t="str">
        <x:v>PASS</x:v>
      </x:c>
      <x:c r="K1487" s="34" t="str">
        <x:v>PASS</x:v>
      </x:c>
      <x:c r="L1487" s="34" t="str">
        <x:v>PASS</x:v>
      </x:c>
      <x:c r="M1487" s="34" t="str">
        <x:v>numeric coverage for applicable metric</x:v>
      </x:c>
      <x:c r="N1487" s="34" t="str">
        <x:v>Feedback-Directed Random Test Generation/Result_Round2/Lang_10/result.json</x:v>
      </x:c>
      <x:c r="O1487" s="38" t="n">
        <x:f>IF(AND(G1487="RECORDED",ISNUMBER(H1487)),H1487,"")</x:f>
        <x:v>9.85</x:v>
      </x:c>
      <x:c r="P1487" s="34" t="str">
        <x:v>NOT_REVEALING</x:v>
      </x:c>
      <x:c r="Q1487" s="34" t="str">
        <x:v>Feedback-Directed Random Test Generation/Result_Round2/Lang_10/result.json</x:v>
      </x:c>
    </x:row>
    <x:row r="1488">
      <x:c r="A1488" s="34" t="str">
        <x:v>randoop</x:v>
      </x:c>
      <x:c r="B1488" s="34" t="str">
        <x:v>Lang</x:v>
      </x:c>
      <x:c r="C1488" s="34" t="str">
        <x:v>Round2</x:v>
      </x:c>
      <x:c r="D1488" s="34" t="str">
        <x:v>Lang_11</x:v>
      </x:c>
      <x:c r="E1488" s="34" t="str">
        <x:v>Coverage</x:v>
      </x:c>
      <x:c r="F1488" s="34" t="n">
        <x:v>0</x:v>
      </x:c>
      <x:c r="G1488" s="34" t="str">
        <x:v>A</x:v>
      </x:c>
      <x:c r="H1488" s="38" t="str">
        <x:f>IF(ISNUMBER('Data'!G1488),'Data'!G1488*100,"")</x:f>
      </x:c>
      <x:c r="I1488" s="34"/>
      <x:c r="J1488" s="34"/>
      <x:c r="K1488" s="34"/>
      <x:c r="L1488" s="34" t="str">
        <x:v>NOT_RUN</x:v>
      </x:c>
      <x:c r="M1488" s="34" t="str">
        <x:v>Latest same-round generation failed; older files/results are excluded</x:v>
      </x:c>
      <x:c r="N1488" s="34" t="str">
        <x:v>Feedback-Directed Random Test Generation/report_Round2.csv</x:v>
      </x:c>
      <x:c r="O1488" s="38" t="str">
        <x:f>IF(AND(G1488="RECORDED",ISNUMBER(H1488)),H1488,"")</x:f>
      </x:c>
      <x:c r="P1488" s="34" t="str">
        <x:v>FAIL</x:v>
      </x:c>
      <x:c r="Q1488" s="34"/>
    </x:row>
    <x:row r="1489">
      <x:c r="A1489" s="34" t="str">
        <x:v>randoop</x:v>
      </x:c>
      <x:c r="B1489" s="34" t="str">
        <x:v>Lang</x:v>
      </x:c>
      <x:c r="C1489" s="34" t="str">
        <x:v>Round2</x:v>
      </x:c>
      <x:c r="D1489" s="34" t="str">
        <x:v>Lang_12</x:v>
      </x:c>
      <x:c r="E1489" s="34" t="str">
        <x:v>Coverage</x:v>
      </x:c>
      <x:c r="F1489" s="34" t="n">
        <x:v>0</x:v>
      </x:c>
      <x:c r="G1489" s="34" t="str">
        <x:v>A</x:v>
      </x:c>
      <x:c r="H1489" s="38" t="str">
        <x:f>IF(ISNUMBER('Data'!G1489),'Data'!G1489*100,"")</x:f>
      </x:c>
      <x:c r="I1489" s="34"/>
      <x:c r="J1489" s="34"/>
      <x:c r="K1489" s="34"/>
      <x:c r="L1489" s="34" t="str">
        <x:v>NOT_RUN</x:v>
      </x:c>
      <x:c r="M1489" s="34" t="str">
        <x:v>Latest same-round generation failed; older files/results are excluded</x:v>
      </x:c>
      <x:c r="N1489" s="34" t="str">
        <x:v>Feedback-Directed Random Test Generation/report_Round2.csv</x:v>
      </x:c>
      <x:c r="O1489" s="38" t="str">
        <x:f>IF(AND(G1489="RECORDED",ISNUMBER(H1489)),H1489,"")</x:f>
      </x:c>
      <x:c r="P1489" s="34" t="str">
        <x:v>FAIL</x:v>
      </x:c>
      <x:c r="Q1489" s="34"/>
    </x:row>
    <x:row r="1490">
      <x:c r="A1490" s="34" t="str">
        <x:v>randoop</x:v>
      </x:c>
      <x:c r="B1490" s="34" t="str">
        <x:v>Lang</x:v>
      </x:c>
      <x:c r="C1490" s="34" t="str">
        <x:v>Round2</x:v>
      </x:c>
      <x:c r="D1490" s="34" t="str">
        <x:v>Lang_13</x:v>
      </x:c>
      <x:c r="E1490" s="34" t="str">
        <x:v>Coverage</x:v>
      </x:c>
      <x:c r="F1490" s="34" t="n">
        <x:v>78</x:v>
      </x:c>
      <x:c r="G1490" s="34" t="str">
        <x:v>RECORDED</x:v>
      </x:c>
      <x:c r="H1490" s="38" t="n">
        <x:f>IF(ISNUMBER('Data'!G1490),'Data'!G1490*100,"")</x:f>
        <x:v>74.36</x:v>
      </x:c>
      <x:c r="I1490" s="34" t="str">
        <x:v>PASS</x:v>
      </x:c>
      <x:c r="J1490" s="34" t="str">
        <x:v>PASS</x:v>
      </x:c>
      <x:c r="K1490" s="34" t="str">
        <x:v>PASS</x:v>
      </x:c>
      <x:c r="L1490" s="34" t="str">
        <x:v>PASS</x:v>
      </x:c>
      <x:c r="M1490" s="34" t="str">
        <x:v>numeric coverage for applicable metric</x:v>
      </x:c>
      <x:c r="N1490" s="34" t="str">
        <x:v>Feedback-Directed Random Test Generation/Result_Round2/Lang_13/result.json</x:v>
      </x:c>
      <x:c r="O1490" s="38" t="n">
        <x:f>IF(AND(G1490="RECORDED",ISNUMBER(H1490)),H1490,"")</x:f>
        <x:v>74.36</x:v>
      </x:c>
      <x:c r="P1490" s="34" t="str">
        <x:v>NOT_REVEALING</x:v>
      </x:c>
      <x:c r="Q1490" s="34" t="str">
        <x:v>Feedback-Directed Random Test Generation/Result_Round2/Lang_13/result.json</x:v>
      </x:c>
    </x:row>
    <x:row r="1491">
      <x:c r="A1491" s="34" t="str">
        <x:v>randoop</x:v>
      </x:c>
      <x:c r="B1491" s="34" t="str">
        <x:v>Lang</x:v>
      </x:c>
      <x:c r="C1491" s="34" t="str">
        <x:v>Round2</x:v>
      </x:c>
      <x:c r="D1491" s="34" t="str">
        <x:v>Lang_14</x:v>
      </x:c>
      <x:c r="E1491" s="34" t="str">
        <x:v>Coverage</x:v>
      </x:c>
      <x:c r="F1491" s="34" t="n">
        <x:v>2433</x:v>
      </x:c>
      <x:c r="G1491" s="34" t="str">
        <x:v>RECORDED</x:v>
      </x:c>
      <x:c r="H1491" s="38" t="n">
        <x:f>IF(ISNUMBER('Data'!G1491),'Data'!G1491*100,"")</x:f>
        <x:v>85.04</x:v>
      </x:c>
      <x:c r="I1491" s="34" t="str">
        <x:v>PASS</x:v>
      </x:c>
      <x:c r="J1491" s="34" t="str">
        <x:v>PASS</x:v>
      </x:c>
      <x:c r="K1491" s="34" t="str">
        <x:v>PASS</x:v>
      </x:c>
      <x:c r="L1491" s="34" t="str">
        <x:v>PASS</x:v>
      </x:c>
      <x:c r="M1491" s="34" t="str">
        <x:v>numeric coverage for applicable metric</x:v>
      </x:c>
      <x:c r="N1491" s="34" t="str">
        <x:v>Feedback-Directed Random Test Generation/Result_Round2/Lang_14/result.json</x:v>
      </x:c>
      <x:c r="O1491" s="38" t="n">
        <x:f>IF(AND(G1491="RECORDED",ISNUMBER(H1491)),H1491,"")</x:f>
        <x:v>85.04</x:v>
      </x:c>
      <x:c r="P1491" s="34" t="str">
        <x:v>NOT_REVEALING</x:v>
      </x:c>
      <x:c r="Q1491" s="34" t="str">
        <x:v>Feedback-Directed Random Test Generation/Result_Round2/Lang_14/result.json</x:v>
      </x:c>
    </x:row>
    <x:row r="1492">
      <x:c r="A1492" s="34" t="str">
        <x:v>randoop</x:v>
      </x:c>
      <x:c r="B1492" s="34" t="str">
        <x:v>Lang</x:v>
      </x:c>
      <x:c r="C1492" s="34" t="str">
        <x:v>Round2</x:v>
      </x:c>
      <x:c r="D1492" s="34" t="str">
        <x:v>Lang_15</x:v>
      </x:c>
      <x:c r="E1492" s="34" t="str">
        <x:v>Coverage</x:v>
      </x:c>
      <x:c r="F1492" s="34" t="n">
        <x:v>583</x:v>
      </x:c>
      <x:c r="G1492" s="34" t="str">
        <x:v>RECORDED</x:v>
      </x:c>
      <x:c r="H1492" s="38" t="n">
        <x:f>IF(ISNUMBER('Data'!G1492),'Data'!G1492*100,"")</x:f>
        <x:v>11.66</x:v>
      </x:c>
      <x:c r="I1492" s="34" t="str">
        <x:v>PASS</x:v>
      </x:c>
      <x:c r="J1492" s="34" t="str">
        <x:v>PASS</x:v>
      </x:c>
      <x:c r="K1492" s="34" t="str">
        <x:v>PASS</x:v>
      </x:c>
      <x:c r="L1492" s="34" t="str">
        <x:v>PASS</x:v>
      </x:c>
      <x:c r="M1492" s="34" t="str">
        <x:v>numeric coverage for applicable metric</x:v>
      </x:c>
      <x:c r="N1492" s="34" t="str">
        <x:v>Feedback-Directed Random Test Generation/Result_Round2/Lang_15/result.json</x:v>
      </x:c>
      <x:c r="O1492" s="38" t="n">
        <x:f>IF(AND(G1492="RECORDED",ISNUMBER(H1492)),H1492,"")</x:f>
        <x:v>11.66</x:v>
      </x:c>
      <x:c r="P1492" s="34" t="str">
        <x:v>NOT_REVEALING</x:v>
      </x:c>
      <x:c r="Q1492" s="34" t="str">
        <x:v>Feedback-Directed Random Test Generation/Result_Round2/Lang_15/result.json</x:v>
      </x:c>
    </x:row>
    <x:row r="1493">
      <x:c r="A1493" s="34" t="str">
        <x:v>randoop</x:v>
      </x:c>
      <x:c r="B1493" s="34" t="str">
        <x:v>Lang</x:v>
      </x:c>
      <x:c r="C1493" s="34" t="str">
        <x:v>Round2</x:v>
      </x:c>
      <x:c r="D1493" s="34" t="str">
        <x:v>Lang_16</x:v>
      </x:c>
      <x:c r="E1493" s="34" t="str">
        <x:v>Coverage</x:v>
      </x:c>
      <x:c r="F1493" s="34" t="n">
        <x:v>733</x:v>
      </x:c>
      <x:c r="G1493" s="34" t="str">
        <x:v>RECORDED</x:v>
      </x:c>
      <x:c r="H1493" s="38" t="n">
        <x:f>IF(ISNUMBER('Data'!G1493),'Data'!G1493*100,"")</x:f>
        <x:v>58.53</x:v>
      </x:c>
      <x:c r="I1493" s="34" t="str">
        <x:v>PASS</x:v>
      </x:c>
      <x:c r="J1493" s="34" t="str">
        <x:v>PASS</x:v>
      </x:c>
      <x:c r="K1493" s="34" t="str">
        <x:v>PASS</x:v>
      </x:c>
      <x:c r="L1493" s="34" t="str">
        <x:v>PASS</x:v>
      </x:c>
      <x:c r="M1493" s="34" t="str">
        <x:v>numeric coverage for applicable metric</x:v>
      </x:c>
      <x:c r="N1493" s="34" t="str">
        <x:v>Feedback-Directed Random Test Generation/Result_Round2/Lang_16/result.json</x:v>
      </x:c>
      <x:c r="O1493" s="38" t="n">
        <x:f>IF(AND(G1493="RECORDED",ISNUMBER(H1493)),H1493,"")</x:f>
        <x:v>58.53</x:v>
      </x:c>
      <x:c r="P1493" s="34" t="str">
        <x:v>NOT_REVEALING</x:v>
      </x:c>
      <x:c r="Q1493" s="34" t="str">
        <x:v>Feedback-Directed Random Test Generation/Result_Round2/Lang_16/result.json</x:v>
      </x:c>
    </x:row>
    <x:row r="1494">
      <x:c r="A1494" s="34" t="str">
        <x:v>randoop</x:v>
      </x:c>
      <x:c r="B1494" s="34" t="str">
        <x:v>Lang</x:v>
      </x:c>
      <x:c r="C1494" s="34" t="str">
        <x:v>Round2</x:v>
      </x:c>
      <x:c r="D1494" s="34" t="str">
        <x:v>Lang_17</x:v>
      </x:c>
      <x:c r="E1494" s="34" t="str">
        <x:v>Coverage</x:v>
      </x:c>
      <x:c r="F1494" s="34" t="n">
        <x:v>47</x:v>
      </x:c>
      <x:c r="G1494" s="34" t="str">
        <x:v>RECORDED</x:v>
      </x:c>
      <x:c r="H1494" s="38" t="n">
        <x:f>IF(ISNUMBER('Data'!G1494),'Data'!G1494*100,"")</x:f>
        <x:v>2.13</x:v>
      </x:c>
      <x:c r="I1494" s="34" t="str">
        <x:v>PASS</x:v>
      </x:c>
      <x:c r="J1494" s="34" t="str">
        <x:v>PASS</x:v>
      </x:c>
      <x:c r="K1494" s="34" t="str">
        <x:v>PASS</x:v>
      </x:c>
      <x:c r="L1494" s="34" t="str">
        <x:v>PASS</x:v>
      </x:c>
      <x:c r="M1494" s="34" t="str">
        <x:v>numeric coverage for applicable metric</x:v>
      </x:c>
      <x:c r="N1494" s="34" t="str">
        <x:v>Feedback-Directed Random Test Generation/Result_Round2/Lang_17/result.json</x:v>
      </x:c>
      <x:c r="O1494" s="38" t="n">
        <x:f>IF(AND(G1494="RECORDED",ISNUMBER(H1494)),H1494,"")</x:f>
        <x:v>2.13</x:v>
      </x:c>
      <x:c r="P1494" s="34" t="str">
        <x:v>NOT_REVEALING</x:v>
      </x:c>
      <x:c r="Q1494" s="34" t="str">
        <x:v>Feedback-Directed Random Test Generation/Result_Round2/Lang_17/result.json</x:v>
      </x:c>
    </x:row>
    <x:row r="1495">
      <x:c r="A1495" s="34" t="str">
        <x:v>randoop</x:v>
      </x:c>
      <x:c r="B1495" s="34" t="str">
        <x:v>Lang</x:v>
      </x:c>
      <x:c r="C1495" s="34" t="str">
        <x:v>Round2</x:v>
      </x:c>
      <x:c r="D1495" s="34" t="str">
        <x:v>Lang_19</x:v>
      </x:c>
      <x:c r="E1495" s="34" t="str">
        <x:v>Coverage</x:v>
      </x:c>
      <x:c r="F1495" s="34" t="n">
        <x:v>45</x:v>
      </x:c>
      <x:c r="G1495" s="34" t="str">
        <x:v>RECORDED</x:v>
      </x:c>
      <x:c r="H1495" s="38" t="n">
        <x:f>IF(ISNUMBER('Data'!G1495),'Data'!G1495*100,"")</x:f>
        <x:v>11.11</x:v>
      </x:c>
      <x:c r="I1495" s="34" t="str">
        <x:v>PASS</x:v>
      </x:c>
      <x:c r="J1495" s="34" t="str">
        <x:v>PASS</x:v>
      </x:c>
      <x:c r="K1495" s="34" t="str">
        <x:v>PASS</x:v>
      </x:c>
      <x:c r="L1495" s="34" t="str">
        <x:v>PASS</x:v>
      </x:c>
      <x:c r="M1495" s="34" t="str">
        <x:v>numeric coverage for applicable metric</x:v>
      </x:c>
      <x:c r="N1495" s="34" t="str">
        <x:v>Feedback-Directed Random Test Generation/Result_Round2/Lang_19/result.json</x:v>
      </x:c>
      <x:c r="O1495" s="38" t="n">
        <x:f>IF(AND(G1495="RECORDED",ISNUMBER(H1495)),H1495,"")</x:f>
        <x:v>11.11</x:v>
      </x:c>
      <x:c r="P1495" s="34" t="str">
        <x:v>NOT_REVEALING</x:v>
      </x:c>
      <x:c r="Q1495" s="34" t="str">
        <x:v>Feedback-Directed Random Test Generation/Result_Round2/Lang_19/result.json</x:v>
      </x:c>
    </x:row>
    <x:row r="1496">
      <x:c r="A1496" s="34" t="str">
        <x:v>randoop</x:v>
      </x:c>
      <x:c r="B1496" s="34" t="str">
        <x:v>Lang</x:v>
      </x:c>
      <x:c r="C1496" s="34" t="str">
        <x:v>Round2</x:v>
      </x:c>
      <x:c r="D1496" s="34" t="str">
        <x:v>Lang_20</x:v>
      </x:c>
      <x:c r="E1496" s="34" t="str">
        <x:v>Coverage</x:v>
      </x:c>
      <x:c r="F1496" s="34" t="n">
        <x:v>2447</x:v>
      </x:c>
      <x:c r="G1496" s="34" t="str">
        <x:v>RECORDED</x:v>
      </x:c>
      <x:c r="H1496" s="38" t="n">
        <x:f>IF(ISNUMBER('Data'!G1496),'Data'!G1496*100,"")</x:f>
        <x:v>85.49</x:v>
      </x:c>
      <x:c r="I1496" s="34" t="str">
        <x:v>PASS</x:v>
      </x:c>
      <x:c r="J1496" s="34" t="str">
        <x:v>PASS</x:v>
      </x:c>
      <x:c r="K1496" s="34" t="str">
        <x:v>PASS</x:v>
      </x:c>
      <x:c r="L1496" s="34" t="str">
        <x:v>PASS</x:v>
      </x:c>
      <x:c r="M1496" s="34" t="str">
        <x:v>numeric coverage for applicable metric</x:v>
      </x:c>
      <x:c r="N1496" s="34" t="str">
        <x:v>Feedback-Directed Random Test Generation/Result_Round2/Lang_20/result.json</x:v>
      </x:c>
      <x:c r="O1496" s="38" t="n">
        <x:f>IF(AND(G1496="RECORDED",ISNUMBER(H1496)),H1496,"")</x:f>
        <x:v>85.49</x:v>
      </x:c>
      <x:c r="P1496" s="34" t="str">
        <x:v>NOT_REVEALING</x:v>
      </x:c>
      <x:c r="Q1496" s="34" t="str">
        <x:v>Feedback-Directed Random Test Generation/Result_Round2/Lang_20/result.json</x:v>
      </x:c>
    </x:row>
    <x:row r="1497">
      <x:c r="A1497" s="34" t="str">
        <x:v>randoop</x:v>
      </x:c>
      <x:c r="B1497" s="34" t="str">
        <x:v>Lang</x:v>
      </x:c>
      <x:c r="C1497" s="34" t="str">
        <x:v>Round2</x:v>
      </x:c>
      <x:c r="D1497" s="34" t="str">
        <x:v>Lang_21</x:v>
      </x:c>
      <x:c r="E1497" s="34" t="str">
        <x:v>Coverage</x:v>
      </x:c>
      <x:c r="F1497" s="34" t="n">
        <x:v>537</x:v>
      </x:c>
      <x:c r="G1497" s="34" t="str">
        <x:v>RECORDED</x:v>
      </x:c>
      <x:c r="H1497" s="38" t="n">
        <x:f>IF(ISNUMBER('Data'!G1497),'Data'!G1497*100,"")</x:f>
        <x:v>90.13</x:v>
      </x:c>
      <x:c r="I1497" s="34" t="str">
        <x:v>PASS</x:v>
      </x:c>
      <x:c r="J1497" s="34" t="str">
        <x:v>PASS</x:v>
      </x:c>
      <x:c r="K1497" s="34" t="str">
        <x:v>PASS</x:v>
      </x:c>
      <x:c r="L1497" s="34" t="str">
        <x:v>FAIL</x:v>
      </x:c>
      <x:c r="M1497" s="34" t="str">
        <x:v>numeric coverage for applicable metric</x:v>
      </x:c>
      <x:c r="N1497" s="34" t="str">
        <x:v>Feedback-Directed Random Test Generation/Result_Round2/Lang_21/result.json</x:v>
      </x:c>
      <x:c r="O1497" s="38" t="n">
        <x:f>IF(AND(G1497="RECORDED",ISNUMBER(H1497)),H1497,"")</x:f>
        <x:v>90.13</x:v>
      </x:c>
      <x:c r="P1497" s="34" t="str">
        <x:v>INCONCLUSIVE</x:v>
      </x:c>
      <x:c r="Q1497" s="34" t="str">
        <x:v>Feedback-Directed Random Test Generation/Result_Round2/Lang_21/result.json</x:v>
      </x:c>
    </x:row>
    <x:row r="1498">
      <x:c r="A1498" s="34" t="str">
        <x:v>randoop</x:v>
      </x:c>
      <x:c r="B1498" s="34" t="str">
        <x:v>Lang</x:v>
      </x:c>
      <x:c r="C1498" s="34" t="str">
        <x:v>Round2</x:v>
      </x:c>
      <x:c r="D1498" s="34" t="str">
        <x:v>Lang_22</x:v>
      </x:c>
      <x:c r="E1498" s="34" t="str">
        <x:v>Coverage</x:v>
      </x:c>
      <x:c r="F1498" s="34" t="n">
        <x:v>466</x:v>
      </x:c>
      <x:c r="G1498" s="34" t="str">
        <x:v>RECORDED</x:v>
      </x:c>
      <x:c r="H1498" s="38" t="n">
        <x:f>IF(ISNUMBER('Data'!G1498),'Data'!G1498*100,"")</x:f>
        <x:v>88.84</x:v>
      </x:c>
      <x:c r="I1498" s="34" t="str">
        <x:v>PASS</x:v>
      </x:c>
      <x:c r="J1498" s="34" t="str">
        <x:v>PASS</x:v>
      </x:c>
      <x:c r="K1498" s="34" t="str">
        <x:v>PASS</x:v>
      </x:c>
      <x:c r="L1498" s="34" t="str">
        <x:v>FAIL</x:v>
      </x:c>
      <x:c r="M1498" s="34" t="str">
        <x:v>numeric coverage for applicable metric</x:v>
      </x:c>
      <x:c r="N1498" s="34" t="str">
        <x:v>Feedback-Directed Random Test Generation/Result_Round2/Lang_22/result.json</x:v>
      </x:c>
      <x:c r="O1498" s="38" t="n">
        <x:f>IF(AND(G1498="RECORDED",ISNUMBER(H1498)),H1498,"")</x:f>
        <x:v>88.84</x:v>
      </x:c>
      <x:c r="P1498" s="34" t="str">
        <x:v>INCONCLUSIVE</x:v>
      </x:c>
      <x:c r="Q1498" s="34" t="str">
        <x:v>Feedback-Directed Random Test Generation/Result_Round2/Lang_22/result.json</x:v>
      </x:c>
    </x:row>
    <x:row r="1499">
      <x:c r="A1499" s="34" t="str">
        <x:v>randoop</x:v>
      </x:c>
      <x:c r="B1499" s="34" t="str">
        <x:v>Lang</x:v>
      </x:c>
      <x:c r="C1499" s="34" t="str">
        <x:v>Round2</x:v>
      </x:c>
      <x:c r="D1499" s="34" t="str">
        <x:v>Lang_23</x:v>
      </x:c>
      <x:c r="E1499" s="34" t="str">
        <x:v>Coverage</x:v>
      </x:c>
      <x:c r="F1499" s="34" t="n">
        <x:v>266</x:v>
      </x:c>
      <x:c r="G1499" s="34" t="str">
        <x:v>RECORDED</x:v>
      </x:c>
      <x:c r="H1499" s="38" t="n">
        <x:f>IF(ISNUMBER('Data'!G1499),'Data'!G1499*100,"")</x:f>
        <x:v>7.139999999999999</x:v>
      </x:c>
      <x:c r="I1499" s="34" t="str">
        <x:v>PASS</x:v>
      </x:c>
      <x:c r="J1499" s="34" t="str">
        <x:v>PASS</x:v>
      </x:c>
      <x:c r="K1499" s="34" t="str">
        <x:v>PASS</x:v>
      </x:c>
      <x:c r="L1499" s="34" t="str">
        <x:v>PASS</x:v>
      </x:c>
      <x:c r="M1499" s="34" t="str">
        <x:v>numeric coverage for applicable metric</x:v>
      </x:c>
      <x:c r="N1499" s="34" t="str">
        <x:v>Feedback-Directed Random Test Generation/Result_Round2/Lang_23/result.json</x:v>
      </x:c>
      <x:c r="O1499" s="38" t="n">
        <x:f>IF(AND(G1499="RECORDED",ISNUMBER(H1499)),H1499,"")</x:f>
        <x:v>7.139999999999999</x:v>
      </x:c>
      <x:c r="P1499" s="34" t="str">
        <x:v>NOT_REVEALING</x:v>
      </x:c>
      <x:c r="Q1499" s="34" t="str">
        <x:v>Feedback-Directed Random Test Generation/Result_Round2/Lang_23/result.json</x:v>
      </x:c>
    </x:row>
    <x:row r="1500">
      <x:c r="A1500" s="34" t="str">
        <x:v>randoop</x:v>
      </x:c>
      <x:c r="B1500" s="34" t="str">
        <x:v>Lang</x:v>
      </x:c>
      <x:c r="C1500" s="34" t="str">
        <x:v>Round2</x:v>
      </x:c>
      <x:c r="D1500" s="34" t="str">
        <x:v>Lang_24</x:v>
      </x:c>
      <x:c r="E1500" s="34" t="str">
        <x:v>Coverage</x:v>
      </x:c>
      <x:c r="F1500" s="34" t="n">
        <x:v>732</x:v>
      </x:c>
      <x:c r="G1500" s="34" t="str">
        <x:v>RECORDED</x:v>
      </x:c>
      <x:c r="H1500" s="38" t="n">
        <x:f>IF(ISNUMBER('Data'!G1500),'Data'!G1500*100,"")</x:f>
        <x:v>58.74</x:v>
      </x:c>
      <x:c r="I1500" s="34" t="str">
        <x:v>PASS</x:v>
      </x:c>
      <x:c r="J1500" s="34" t="str">
        <x:v>PASS</x:v>
      </x:c>
      <x:c r="K1500" s="34" t="str">
        <x:v>PASS</x:v>
      </x:c>
      <x:c r="L1500" s="34" t="str">
        <x:v>PASS</x:v>
      </x:c>
      <x:c r="M1500" s="34" t="str">
        <x:v>numeric coverage for applicable metric</x:v>
      </x:c>
      <x:c r="N1500" s="34" t="str">
        <x:v>Feedback-Directed Random Test Generation/Result_Round2/Lang_24/result.json</x:v>
      </x:c>
      <x:c r="O1500" s="38" t="n">
        <x:f>IF(AND(G1500="RECORDED",ISNUMBER(H1500)),H1500,"")</x:f>
        <x:v>58.74</x:v>
      </x:c>
      <x:c r="P1500" s="34" t="str">
        <x:v>NOT_REVEALING</x:v>
      </x:c>
      <x:c r="Q1500" s="34" t="str">
        <x:v>Feedback-Directed Random Test Generation/Result_Round2/Lang_24/result.json</x:v>
      </x:c>
    </x:row>
    <x:row r="1501">
      <x:c r="A1501" s="34" t="str">
        <x:v>randoop</x:v>
      </x:c>
      <x:c r="B1501" s="34" t="str">
        <x:v>Lang</x:v>
      </x:c>
      <x:c r="C1501" s="34" t="str">
        <x:v>Round2</x:v>
      </x:c>
      <x:c r="D1501" s="34" t="str">
        <x:v>Lang_26</x:v>
      </x:c>
      <x:c r="E1501" s="34" t="str">
        <x:v>Coverage</x:v>
      </x:c>
      <x:c r="F1501" s="34" t="n">
        <x:v>693</x:v>
      </x:c>
      <x:c r="G1501" s="34" t="str">
        <x:v>RECORDED</x:v>
      </x:c>
      <x:c r="H1501" s="38" t="n">
        <x:f>IF(ISNUMBER('Data'!G1501),'Data'!G1501*100,"")</x:f>
        <x:v>72.15</x:v>
      </x:c>
      <x:c r="I1501" s="34" t="str">
        <x:v>PASS</x:v>
      </x:c>
      <x:c r="J1501" s="34" t="str">
        <x:v>PASS</x:v>
      </x:c>
      <x:c r="K1501" s="34" t="str">
        <x:v>PASS</x:v>
      </x:c>
      <x:c r="L1501" s="34" t="str">
        <x:v>FAIL</x:v>
      </x:c>
      <x:c r="M1501" s="34" t="str">
        <x:v>numeric coverage for applicable metric</x:v>
      </x:c>
      <x:c r="N1501" s="34" t="str">
        <x:v>Feedback-Directed Random Test Generation/Result_Round2/Lang_26/result.json</x:v>
      </x:c>
      <x:c r="O1501" s="38" t="n">
        <x:f>IF(AND(G1501="RECORDED",ISNUMBER(H1501)),H1501,"")</x:f>
        <x:v>72.15</x:v>
      </x:c>
      <x:c r="P1501" s="34" t="str">
        <x:v>INCONCLUSIVE</x:v>
      </x:c>
      <x:c r="Q1501" s="34" t="str">
        <x:v>Feedback-Directed Random Test Generation/Result_Round2/Lang_26/result.json</x:v>
      </x:c>
    </x:row>
    <x:row r="1502">
      <x:c r="A1502" s="34" t="str">
        <x:v>randoop</x:v>
      </x:c>
      <x:c r="B1502" s="34" t="str">
        <x:v>Lang</x:v>
      </x:c>
      <x:c r="C1502" s="34" t="str">
        <x:v>Round2</x:v>
      </x:c>
      <x:c r="D1502" s="34" t="str">
        <x:v>Lang_27</x:v>
      </x:c>
      <x:c r="E1502" s="34" t="str">
        <x:v>Coverage</x:v>
      </x:c>
      <x:c r="F1502" s="34" t="n">
        <x:v>726</x:v>
      </x:c>
      <x:c r="G1502" s="34" t="str">
        <x:v>RECORDED</x:v>
      </x:c>
      <x:c r="H1502" s="38" t="n">
        <x:f>IF(ISNUMBER('Data'!G1502),'Data'!G1502*100,"")</x:f>
        <x:v>59.23</x:v>
      </x:c>
      <x:c r="I1502" s="34" t="str">
        <x:v>PASS</x:v>
      </x:c>
      <x:c r="J1502" s="34" t="str">
        <x:v>PASS</x:v>
      </x:c>
      <x:c r="K1502" s="34" t="str">
        <x:v>PASS</x:v>
      </x:c>
      <x:c r="L1502" s="34" t="str">
        <x:v>PASS</x:v>
      </x:c>
      <x:c r="M1502" s="34" t="str">
        <x:v>numeric coverage for applicable metric</x:v>
      </x:c>
      <x:c r="N1502" s="34" t="str">
        <x:v>Feedback-Directed Random Test Generation/Result_Round2/Lang_27/result.json</x:v>
      </x:c>
      <x:c r="O1502" s="38" t="n">
        <x:f>IF(AND(G1502="RECORDED",ISNUMBER(H1502)),H1502,"")</x:f>
        <x:v>59.23</x:v>
      </x:c>
      <x:c r="P1502" s="34" t="str">
        <x:v>NOT_REVEALING</x:v>
      </x:c>
      <x:c r="Q1502" s="34" t="str">
        <x:v>Feedback-Directed Random Test Generation/Result_Round2/Lang_27/result.json</x:v>
      </x:c>
    </x:row>
    <x:row r="1503">
      <x:c r="A1503" s="34" t="str">
        <x:v>randoop</x:v>
      </x:c>
      <x:c r="B1503" s="34" t="str">
        <x:v>Lang</x:v>
      </x:c>
      <x:c r="C1503" s="34" t="str">
        <x:v>Round2</x:v>
      </x:c>
      <x:c r="D1503" s="34" t="str">
        <x:v>Lang_28</x:v>
      </x:c>
      <x:c r="E1503" s="34" t="str">
        <x:v>Coverage</x:v>
      </x:c>
      <x:c r="F1503" s="34" t="n">
        <x:v>34</x:v>
      </x:c>
      <x:c r="G1503" s="34" t="str">
        <x:v>RECORDED</x:v>
      </x:c>
      <x:c r="H1503" s="38" t="n">
        <x:f>IF(ISNUMBER('Data'!G1503),'Data'!G1503*100,"")</x:f>
        <x:v>11.76</x:v>
      </x:c>
      <x:c r="I1503" s="34" t="str">
        <x:v>PASS</x:v>
      </x:c>
      <x:c r="J1503" s="34" t="str">
        <x:v>PASS</x:v>
      </x:c>
      <x:c r="K1503" s="34" t="str">
        <x:v>PASS</x:v>
      </x:c>
      <x:c r="L1503" s="34" t="str">
        <x:v>PASS</x:v>
      </x:c>
      <x:c r="M1503" s="34" t="str">
        <x:v>numeric coverage for applicable metric</x:v>
      </x:c>
      <x:c r="N1503" s="34" t="str">
        <x:v>Feedback-Directed Random Test Generation/Result_Round2/Lang_28/result.json</x:v>
      </x:c>
      <x:c r="O1503" s="38" t="n">
        <x:f>IF(AND(G1503="RECORDED",ISNUMBER(H1503)),H1503,"")</x:f>
        <x:v>11.76</x:v>
      </x:c>
      <x:c r="P1503" s="34" t="str">
        <x:v>NOT_REVEALING</x:v>
      </x:c>
      <x:c r="Q1503" s="34" t="str">
        <x:v>Feedback-Directed Random Test Generation/Result_Round2/Lang_28/result.json</x:v>
      </x:c>
    </x:row>
    <x:row r="1504">
      <x:c r="A1504" s="34" t="str">
        <x:v>randoop</x:v>
      </x:c>
      <x:c r="B1504" s="34" t="str">
        <x:v>Lang</x:v>
      </x:c>
      <x:c r="C1504" s="34" t="str">
        <x:v>Round2</x:v>
      </x:c>
      <x:c r="D1504" s="34" t="str">
        <x:v>Lang_29</x:v>
      </x:c>
      <x:c r="E1504" s="34" t="str">
        <x:v>Coverage</x:v>
      </x:c>
      <x:c r="F1504" s="34" t="n">
        <x:v>191</x:v>
      </x:c>
      <x:c r="G1504" s="34" t="str">
        <x:v>RECORDED</x:v>
      </x:c>
      <x:c r="H1504" s="38" t="n">
        <x:f>IF(ISNUMBER('Data'!G1504),'Data'!G1504*100,"")</x:f>
        <x:v>87.43</x:v>
      </x:c>
      <x:c r="I1504" s="34" t="str">
        <x:v>PASS</x:v>
      </x:c>
      <x:c r="J1504" s="34" t="str">
        <x:v>PASS</x:v>
      </x:c>
      <x:c r="K1504" s="34" t="str">
        <x:v>PASS</x:v>
      </x:c>
      <x:c r="L1504" s="34" t="str">
        <x:v>PASS</x:v>
      </x:c>
      <x:c r="M1504" s="34" t="str">
        <x:v>numeric coverage for applicable metric</x:v>
      </x:c>
      <x:c r="N1504" s="34" t="str">
        <x:v>Feedback-Directed Random Test Generation/Result_Round2/Lang_29/result.json</x:v>
      </x:c>
      <x:c r="O1504" s="38" t="n">
        <x:f>IF(AND(G1504="RECORDED",ISNUMBER(H1504)),H1504,"")</x:f>
        <x:v>87.43</x:v>
      </x:c>
      <x:c r="P1504" s="34" t="str">
        <x:v>NOT_REVEALING</x:v>
      </x:c>
      <x:c r="Q1504" s="34" t="str">
        <x:v>Feedback-Directed Random Test Generation/Result_Round2/Lang_29/result.json</x:v>
      </x:c>
    </x:row>
    <x:row r="1505">
      <x:c r="A1505" s="34" t="str">
        <x:v>randoop</x:v>
      </x:c>
      <x:c r="B1505" s="34" t="str">
        <x:v>Lang</x:v>
      </x:c>
      <x:c r="C1505" s="34" t="str">
        <x:v>Round2</x:v>
      </x:c>
      <x:c r="D1505" s="34" t="str">
        <x:v>Lang_30</x:v>
      </x:c>
      <x:c r="E1505" s="34" t="str">
        <x:v>Coverage</x:v>
      </x:c>
      <x:c r="F1505" s="34" t="n">
        <x:v>2244</x:v>
      </x:c>
      <x:c r="G1505" s="34" t="str">
        <x:v>RECORDED</x:v>
      </x:c>
      <x:c r="H1505" s="38" t="n">
        <x:f>IF(ISNUMBER('Data'!G1505),'Data'!G1505*100,"")</x:f>
        <x:v>83.91</x:v>
      </x:c>
      <x:c r="I1505" s="34" t="str">
        <x:v>PASS</x:v>
      </x:c>
      <x:c r="J1505" s="34" t="str">
        <x:v>PASS</x:v>
      </x:c>
      <x:c r="K1505" s="34" t="str">
        <x:v>PASS</x:v>
      </x:c>
      <x:c r="L1505" s="34" t="str">
        <x:v>PASS</x:v>
      </x:c>
      <x:c r="M1505" s="34" t="str">
        <x:v>numeric coverage for applicable metric</x:v>
      </x:c>
      <x:c r="N1505" s="34" t="str">
        <x:v>Feedback-Directed Random Test Generation/Result_Round2/Lang_30/result.json</x:v>
      </x:c>
      <x:c r="O1505" s="38" t="n">
        <x:f>IF(AND(G1505="RECORDED",ISNUMBER(H1505)),H1505,"")</x:f>
        <x:v>83.91</x:v>
      </x:c>
      <x:c r="P1505" s="34" t="str">
        <x:v>NOT_AVAILABLE</x:v>
      </x:c>
      <x:c r="Q1505" s="34" t="str">
        <x:v>Feedback-Directed Random Test Generation/Result_Round2/Lang_30/result.json</x:v>
      </x:c>
    </x:row>
    <x:row r="1506">
      <x:c r="A1506" s="34" t="str">
        <x:v>randoop</x:v>
      </x:c>
      <x:c r="B1506" s="34" t="str">
        <x:v>Lang</x:v>
      </x:c>
      <x:c r="C1506" s="34" t="str">
        <x:v>Round2</x:v>
      </x:c>
      <x:c r="D1506" s="34" t="str">
        <x:v>Lang_31</x:v>
      </x:c>
      <x:c r="E1506" s="34" t="str">
        <x:v>Coverage</x:v>
      </x:c>
      <x:c r="F1506" s="34" t="n">
        <x:v>2223</x:v>
      </x:c>
      <x:c r="G1506" s="34" t="str">
        <x:v>RECORDED</x:v>
      </x:c>
      <x:c r="H1506" s="38" t="n">
        <x:f>IF(ISNUMBER('Data'!G1506),'Data'!G1506*100,"")</x:f>
        <x:v>83.81</x:v>
      </x:c>
      <x:c r="I1506" s="34" t="str">
        <x:v>PASS</x:v>
      </x:c>
      <x:c r="J1506" s="34" t="str">
        <x:v>PASS</x:v>
      </x:c>
      <x:c r="K1506" s="34" t="str">
        <x:v>PASS</x:v>
      </x:c>
      <x:c r="L1506" s="34" t="str">
        <x:v>PASS</x:v>
      </x:c>
      <x:c r="M1506" s="34" t="str">
        <x:v>numeric coverage for applicable metric</x:v>
      </x:c>
      <x:c r="N1506" s="34" t="str">
        <x:v>Feedback-Directed Random Test Generation/Result_Round2/Lang_31/result.json</x:v>
      </x:c>
      <x:c r="O1506" s="38" t="n">
        <x:f>IF(AND(G1506="RECORDED",ISNUMBER(H1506)),H1506,"")</x:f>
        <x:v>83.81</x:v>
      </x:c>
      <x:c r="P1506" s="34" t="str">
        <x:v>NOT_REVEALING</x:v>
      </x:c>
      <x:c r="Q1506" s="34" t="str">
        <x:v>Feedback-Directed Random Test Generation/Result_Round2/Lang_31/result.json</x:v>
      </x:c>
    </x:row>
    <x:row r="1507">
      <x:c r="A1507" s="34" t="str">
        <x:v>randoop</x:v>
      </x:c>
      <x:c r="B1507" s="34" t="str">
        <x:v>Lang</x:v>
      </x:c>
      <x:c r="C1507" s="34" t="str">
        <x:v>Round2</x:v>
      </x:c>
      <x:c r="D1507" s="34" t="str">
        <x:v>Lang_32</x:v>
      </x:c>
      <x:c r="E1507" s="34" t="str">
        <x:v>Coverage</x:v>
      </x:c>
      <x:c r="F1507" s="34" t="n">
        <x:v>232</x:v>
      </x:c>
      <x:c r="G1507" s="34" t="str">
        <x:v>RECORDED</x:v>
      </x:c>
      <x:c r="H1507" s="38" t="n">
        <x:f>IF(ISNUMBER('Data'!G1507),'Data'!G1507*100,"")</x:f>
        <x:v>92.67</x:v>
      </x:c>
      <x:c r="I1507" s="34" t="str">
        <x:v>PASS</x:v>
      </x:c>
      <x:c r="J1507" s="34" t="str">
        <x:v>PASS</x:v>
      </x:c>
      <x:c r="K1507" s="34" t="str">
        <x:v>PASS</x:v>
      </x:c>
      <x:c r="L1507" s="34" t="str">
        <x:v>FAIL</x:v>
      </x:c>
      <x:c r="M1507" s="34" t="str">
        <x:v>numeric coverage for applicable metric</x:v>
      </x:c>
      <x:c r="N1507" s="34" t="str">
        <x:v>Feedback-Directed Random Test Generation/Result_Round2/Lang_32/result.json</x:v>
      </x:c>
      <x:c r="O1507" s="38" t="n">
        <x:f>IF(AND(G1507="RECORDED",ISNUMBER(H1507)),H1507,"")</x:f>
        <x:v>92.67</x:v>
      </x:c>
      <x:c r="P1507" s="34" t="str">
        <x:v>INCONCLUSIVE</x:v>
      </x:c>
      <x:c r="Q1507" s="34" t="str">
        <x:v>Feedback-Directed Random Test Generation/Result_Round2/Lang_32/result.json</x:v>
      </x:c>
    </x:row>
    <x:row r="1508">
      <x:c r="A1508" s="34" t="str">
        <x:v>randoop</x:v>
      </x:c>
      <x:c r="B1508" s="34" t="str">
        <x:v>Lang</x:v>
      </x:c>
      <x:c r="C1508" s="34" t="str">
        <x:v>Round2</x:v>
      </x:c>
      <x:c r="D1508" s="34" t="str">
        <x:v>Lang_33</x:v>
      </x:c>
      <x:c r="E1508" s="34" t="str">
        <x:v>Coverage</x:v>
      </x:c>
      <x:c r="F1508" s="34" t="n">
        <x:v>502</x:v>
      </x:c>
      <x:c r="G1508" s="34" t="str">
        <x:v>RECORDED</x:v>
      </x:c>
      <x:c r="H1508" s="38" t="n">
        <x:f>IF(ISNUMBER('Data'!G1508),'Data'!G1508*100,"")</x:f>
        <x:v>46.22</x:v>
      </x:c>
      <x:c r="I1508" s="34" t="str">
        <x:v>PASS</x:v>
      </x:c>
      <x:c r="J1508" s="34" t="str">
        <x:v>PASS</x:v>
      </x:c>
      <x:c r="K1508" s="34" t="str">
        <x:v>PASS</x:v>
      </x:c>
      <x:c r="L1508" s="34" t="str">
        <x:v>PASS</x:v>
      </x:c>
      <x:c r="M1508" s="34" t="str">
        <x:v>numeric coverage for applicable metric</x:v>
      </x:c>
      <x:c r="N1508" s="34" t="str">
        <x:v>Feedback-Directed Random Test Generation/Result_Round2/Lang_33/result.json</x:v>
      </x:c>
      <x:c r="O1508" s="38" t="n">
        <x:f>IF(AND(G1508="RECORDED",ISNUMBER(H1508)),H1508,"")</x:f>
        <x:v>46.22</x:v>
      </x:c>
      <x:c r="P1508" s="34" t="str">
        <x:v>INCONCLUSIVE</x:v>
      </x:c>
      <x:c r="Q1508" s="34" t="str">
        <x:v>Feedback-Directed Random Test Generation/Result_Round2/Lang_33/result.json</x:v>
      </x:c>
    </x:row>
    <x:row r="1509">
      <x:c r="A1509" s="34" t="str">
        <x:v>randoop</x:v>
      </x:c>
      <x:c r="B1509" s="34" t="str">
        <x:v>Lang</x:v>
      </x:c>
      <x:c r="C1509" s="34" t="str">
        <x:v>Round2</x:v>
      </x:c>
      <x:c r="D1509" s="34" t="str">
        <x:v>Lang_34</x:v>
      </x:c>
      <x:c r="E1509" s="34" t="str">
        <x:v>Coverage</x:v>
      </x:c>
      <x:c r="F1509" s="34" t="n">
        <x:v>731</x:v>
      </x:c>
      <x:c r="G1509" s="34" t="str">
        <x:v>RECORDED</x:v>
      </x:c>
      <x:c r="H1509" s="38" t="n">
        <x:f>IF(ISNUMBER('Data'!G1509),'Data'!G1509*100,"")</x:f>
        <x:v>55.81</x:v>
      </x:c>
      <x:c r="I1509" s="34" t="str">
        <x:v>PASS</x:v>
      </x:c>
      <x:c r="J1509" s="34" t="str">
        <x:v>PASS</x:v>
      </x:c>
      <x:c r="K1509" s="34" t="str">
        <x:v>PASS</x:v>
      </x:c>
      <x:c r="L1509" s="34" t="str">
        <x:v>FAIL</x:v>
      </x:c>
      <x:c r="M1509" s="34" t="str">
        <x:v>numeric coverage for applicable metric</x:v>
      </x:c>
      <x:c r="N1509" s="34" t="str">
        <x:v>Feedback-Directed Random Test Generation/Result_Round2/Lang_34/result.json</x:v>
      </x:c>
      <x:c r="O1509" s="38" t="n">
        <x:f>IF(AND(G1509="RECORDED",ISNUMBER(H1509)),H1509,"")</x:f>
        <x:v>55.81</x:v>
      </x:c>
      <x:c r="P1509" s="34" t="str">
        <x:v>INCONCLUSIVE</x:v>
      </x:c>
      <x:c r="Q1509" s="34" t="str">
        <x:v>Feedback-Directed Random Test Generation/Result_Round2/Lang_34/result.json</x:v>
      </x:c>
    </x:row>
    <x:row r="1510">
      <x:c r="A1510" s="34" t="str">
        <x:v>randoop</x:v>
      </x:c>
      <x:c r="B1510" s="34" t="str">
        <x:v>Lang</x:v>
      </x:c>
      <x:c r="C1510" s="34" t="str">
        <x:v>Round2</x:v>
      </x:c>
      <x:c r="D1510" s="34" t="str">
        <x:v>Lang_35</x:v>
      </x:c>
      <x:c r="E1510" s="34" t="str">
        <x:v>Coverage</x:v>
      </x:c>
      <x:c r="F1510" s="34" t="n">
        <x:v>1770</x:v>
      </x:c>
      <x:c r="G1510" s="34" t="str">
        <x:v>RECORDED</x:v>
      </x:c>
      <x:c r="H1510" s="38" t="n">
        <x:f>IF(ISNUMBER('Data'!G1510),'Data'!G1510*100,"")</x:f>
        <x:v>95.37</x:v>
      </x:c>
      <x:c r="I1510" s="34" t="str">
        <x:v>PASS</x:v>
      </x:c>
      <x:c r="J1510" s="34" t="str">
        <x:v>PASS</x:v>
      </x:c>
      <x:c r="K1510" s="34" t="str">
        <x:v>PASS</x:v>
      </x:c>
      <x:c r="L1510" s="34" t="str">
        <x:v>PASS</x:v>
      </x:c>
      <x:c r="M1510" s="34" t="str">
        <x:v>numeric coverage for applicable metric</x:v>
      </x:c>
      <x:c r="N1510" s="34" t="str">
        <x:v>Feedback-Directed Random Test Generation/Result_Round2/Lang_35/result.json</x:v>
      </x:c>
      <x:c r="O1510" s="38" t="n">
        <x:f>IF(AND(G1510="RECORDED",ISNUMBER(H1510)),H1510,"")</x:f>
        <x:v>95.37</x:v>
      </x:c>
      <x:c r="P1510" s="34" t="str">
        <x:v>NOT_REVEALING</x:v>
      </x:c>
      <x:c r="Q1510" s="34" t="str">
        <x:v>Feedback-Directed Random Test Generation/Result_Round2/Lang_35/result.json</x:v>
      </x:c>
    </x:row>
    <x:row r="1511">
      <x:c r="A1511" s="34" t="str">
        <x:v>randoop</x:v>
      </x:c>
      <x:c r="B1511" s="34" t="str">
        <x:v>Lang</x:v>
      </x:c>
      <x:c r="C1511" s="34" t="str">
        <x:v>Round2</x:v>
      </x:c>
      <x:c r="D1511" s="34" t="str">
        <x:v>Lang_36</x:v>
      </x:c>
      <x:c r="E1511" s="34" t="str">
        <x:v>Coverage</x:v>
      </x:c>
      <x:c r="F1511" s="34" t="n">
        <x:v>714</x:v>
      </x:c>
      <x:c r="G1511" s="34" t="str">
        <x:v>RECORDED</x:v>
      </x:c>
      <x:c r="H1511" s="38" t="n">
        <x:f>IF(ISNUMBER('Data'!G1511),'Data'!G1511*100,"")</x:f>
        <x:v>60.08</x:v>
      </x:c>
      <x:c r="I1511" s="34" t="str">
        <x:v>PASS</x:v>
      </x:c>
      <x:c r="J1511" s="34" t="str">
        <x:v>PASS</x:v>
      </x:c>
      <x:c r="K1511" s="34" t="str">
        <x:v>PASS</x:v>
      </x:c>
      <x:c r="L1511" s="34" t="str">
        <x:v>PASS</x:v>
      </x:c>
      <x:c r="M1511" s="34" t="str">
        <x:v>numeric coverage for applicable metric</x:v>
      </x:c>
      <x:c r="N1511" s="34" t="str">
        <x:v>Feedback-Directed Random Test Generation/Result_Round2/Lang_36/result.json</x:v>
      </x:c>
      <x:c r="O1511" s="38" t="n">
        <x:f>IF(AND(G1511="RECORDED",ISNUMBER(H1511)),H1511,"")</x:f>
        <x:v>60.08</x:v>
      </x:c>
      <x:c r="P1511" s="34" t="str">
        <x:v>NOT_REVEALING</x:v>
      </x:c>
      <x:c r="Q1511" s="34" t="str">
        <x:v>Feedback-Directed Random Test Generation/Result_Round2/Lang_36/result.json</x:v>
      </x:c>
    </x:row>
    <x:row r="1512">
      <x:c r="A1512" s="34" t="str">
        <x:v>randoop</x:v>
      </x:c>
      <x:c r="B1512" s="34" t="str">
        <x:v>Lang</x:v>
      </x:c>
      <x:c r="C1512" s="34" t="str">
        <x:v>Round2</x:v>
      </x:c>
      <x:c r="D1512" s="34" t="str">
        <x:v>Lang_37</x:v>
      </x:c>
      <x:c r="E1512" s="34" t="str">
        <x:v>Coverage</x:v>
      </x:c>
      <x:c r="F1512" s="34" t="n">
        <x:v>1755</x:v>
      </x:c>
      <x:c r="G1512" s="34" t="str">
        <x:v>RECORDED</x:v>
      </x:c>
      <x:c r="H1512" s="38" t="n">
        <x:f>IF(ISNUMBER('Data'!G1512),'Data'!G1512*100,"")</x:f>
        <x:v>96.41</x:v>
      </x:c>
      <x:c r="I1512" s="34" t="str">
        <x:v>PASS</x:v>
      </x:c>
      <x:c r="J1512" s="34" t="str">
        <x:v>PASS</x:v>
      </x:c>
      <x:c r="K1512" s="34" t="str">
        <x:v>PASS</x:v>
      </x:c>
      <x:c r="L1512" s="34" t="str">
        <x:v>PASS</x:v>
      </x:c>
      <x:c r="M1512" s="34" t="str">
        <x:v>numeric coverage for applicable metric</x:v>
      </x:c>
      <x:c r="N1512" s="34" t="str">
        <x:v>Feedback-Directed Random Test Generation/Result_Round2/Lang_37/result.json</x:v>
      </x:c>
      <x:c r="O1512" s="38" t="n">
        <x:f>IF(AND(G1512="RECORDED",ISNUMBER(H1512)),H1512,"")</x:f>
        <x:v>96.41</x:v>
      </x:c>
      <x:c r="P1512" s="34" t="str">
        <x:v>INCONCLUSIVE</x:v>
      </x:c>
      <x:c r="Q1512" s="34" t="str">
        <x:v>Feedback-Directed Random Test Generation/Result_Round2/Lang_37/result.json</x:v>
      </x:c>
    </x:row>
    <x:row r="1513">
      <x:c r="A1513" s="34" t="str">
        <x:v>randoop</x:v>
      </x:c>
      <x:c r="B1513" s="34" t="str">
        <x:v>Lang</x:v>
      </x:c>
      <x:c r="C1513" s="34" t="str">
        <x:v>Round2</x:v>
      </x:c>
      <x:c r="D1513" s="34" t="str">
        <x:v>Lang_38</x:v>
      </x:c>
      <x:c r="E1513" s="34" t="str">
        <x:v>Coverage</x:v>
      </x:c>
      <x:c r="F1513" s="34" t="n">
        <x:v>692</x:v>
      </x:c>
      <x:c r="G1513" s="34" t="str">
        <x:v>RECORDED</x:v>
      </x:c>
      <x:c r="H1513" s="38" t="n">
        <x:f>IF(ISNUMBER('Data'!G1513),'Data'!G1513*100,"")</x:f>
        <x:v>72.25</x:v>
      </x:c>
      <x:c r="I1513" s="34" t="str">
        <x:v>PASS</x:v>
      </x:c>
      <x:c r="J1513" s="34" t="str">
        <x:v>PASS</x:v>
      </x:c>
      <x:c r="K1513" s="34" t="str">
        <x:v>PASS</x:v>
      </x:c>
      <x:c r="L1513" s="34" t="str">
        <x:v>FAIL</x:v>
      </x:c>
      <x:c r="M1513" s="34" t="str">
        <x:v>numeric coverage for applicable metric</x:v>
      </x:c>
      <x:c r="N1513" s="34" t="str">
        <x:v>Feedback-Directed Random Test Generation/Result_Round2/Lang_38/result.json</x:v>
      </x:c>
      <x:c r="O1513" s="38" t="n">
        <x:f>IF(AND(G1513="RECORDED",ISNUMBER(H1513)),H1513,"")</x:f>
        <x:v>72.25</x:v>
      </x:c>
      <x:c r="P1513" s="34" t="str">
        <x:v>INCONCLUSIVE</x:v>
      </x:c>
      <x:c r="Q1513" s="34" t="str">
        <x:v>Feedback-Directed Random Test Generation/Result_Round2/Lang_38/result.json</x:v>
      </x:c>
    </x:row>
    <x:row r="1514">
      <x:c r="A1514" s="34" t="str">
        <x:v>randoop</x:v>
      </x:c>
      <x:c r="B1514" s="34" t="str">
        <x:v>Lang</x:v>
      </x:c>
      <x:c r="C1514" s="34" t="str">
        <x:v>Round2</x:v>
      </x:c>
      <x:c r="D1514" s="34" t="str">
        <x:v>Lang_39</x:v>
      </x:c>
      <x:c r="E1514" s="34" t="str">
        <x:v>Coverage</x:v>
      </x:c>
      <x:c r="F1514" s="34" t="n">
        <x:v>2131</x:v>
      </x:c>
      <x:c r="G1514" s="34" t="str">
        <x:v>RECORDED</x:v>
      </x:c>
      <x:c r="H1514" s="38" t="n">
        <x:f>IF(ISNUMBER('Data'!G1514),'Data'!G1514*100,"")</x:f>
        <x:v>82.4</x:v>
      </x:c>
      <x:c r="I1514" s="34" t="str">
        <x:v>PASS</x:v>
      </x:c>
      <x:c r="J1514" s="34" t="str">
        <x:v>PASS</x:v>
      </x:c>
      <x:c r="K1514" s="34" t="str">
        <x:v>PASS</x:v>
      </x:c>
      <x:c r="L1514" s="34" t="str">
        <x:v>PASS</x:v>
      </x:c>
      <x:c r="M1514" s="34" t="str">
        <x:v>numeric coverage for applicable metric</x:v>
      </x:c>
      <x:c r="N1514" s="34" t="str">
        <x:v>Feedback-Directed Random Test Generation/Result_Round2/Lang_39/result.json</x:v>
      </x:c>
      <x:c r="O1514" s="38" t="n">
        <x:f>IF(AND(G1514="RECORDED",ISNUMBER(H1514)),H1514,"")</x:f>
        <x:v>82.4</x:v>
      </x:c>
      <x:c r="P1514" s="34" t="str">
        <x:v>NOT_REVEALING</x:v>
      </x:c>
      <x:c r="Q1514" s="34" t="str">
        <x:v>Feedback-Directed Random Test Generation/Result_Round2/Lang_39/result.json</x:v>
      </x:c>
    </x:row>
    <x:row r="1515">
      <x:c r="A1515" s="34" t="str">
        <x:v>randoop</x:v>
      </x:c>
      <x:c r="B1515" s="34" t="str">
        <x:v>Lang</x:v>
      </x:c>
      <x:c r="C1515" s="34" t="str">
        <x:v>Round2</x:v>
      </x:c>
      <x:c r="D1515" s="34" t="str">
        <x:v>Lang_40</x:v>
      </x:c>
      <x:c r="E1515" s="34" t="str">
        <x:v>Coverage</x:v>
      </x:c>
      <x:c r="F1515" s="34" t="n">
        <x:v>2093</x:v>
      </x:c>
      <x:c r="G1515" s="34" t="str">
        <x:v>RECORDED</x:v>
      </x:c>
      <x:c r="H1515" s="38" t="n">
        <x:f>IF(ISNUMBER('Data'!G1515),'Data'!G1515*100,"")</x:f>
        <x:v>83.66</x:v>
      </x:c>
      <x:c r="I1515" s="34" t="str">
        <x:v>PASS</x:v>
      </x:c>
      <x:c r="J1515" s="34" t="str">
        <x:v>PASS</x:v>
      </x:c>
      <x:c r="K1515" s="34" t="str">
        <x:v>PASS</x:v>
      </x:c>
      <x:c r="L1515" s="34" t="str">
        <x:v>PASS</x:v>
      </x:c>
      <x:c r="M1515" s="34" t="str">
        <x:v>numeric coverage for applicable metric</x:v>
      </x:c>
      <x:c r="N1515" s="34" t="str">
        <x:v>Feedback-Directed Random Test Generation/Result_Round2/Lang_40/result.json</x:v>
      </x:c>
      <x:c r="O1515" s="38" t="n">
        <x:f>IF(AND(G1515="RECORDED",ISNUMBER(H1515)),H1515,"")</x:f>
        <x:v>83.66</x:v>
      </x:c>
      <x:c r="P1515" s="34" t="str">
        <x:v>NOT_REVEALING</x:v>
      </x:c>
      <x:c r="Q1515" s="34" t="str">
        <x:v>Feedback-Directed Random Test Generation/Result_Round2/Lang_40/result.json</x:v>
      </x:c>
    </x:row>
    <x:row r="1516">
      <x:c r="A1516" s="34" t="str">
        <x:v>randoop</x:v>
      </x:c>
      <x:c r="B1516" s="34" t="str">
        <x:v>Lang</x:v>
      </x:c>
      <x:c r="C1516" s="34" t="str">
        <x:v>Round2</x:v>
      </x:c>
      <x:c r="D1516" s="34" t="str">
        <x:v>Lang_41</x:v>
      </x:c>
      <x:c r="E1516" s="34" t="str">
        <x:v>Coverage</x:v>
      </x:c>
      <x:c r="F1516" s="34" t="n">
        <x:v>471</x:v>
      </x:c>
      <x:c r="G1516" s="34" t="str">
        <x:v>RECORDED</x:v>
      </x:c>
      <x:c r="H1516" s="38" t="n">
        <x:f>IF(ISNUMBER('Data'!G1516),'Data'!G1516*100,"")</x:f>
        <x:v>45.65</x:v>
      </x:c>
      <x:c r="I1516" s="34" t="str">
        <x:v>PASS</x:v>
      </x:c>
      <x:c r="J1516" s="34" t="str">
        <x:v>PASS</x:v>
      </x:c>
      <x:c r="K1516" s="34" t="str">
        <x:v>PASS</x:v>
      </x:c>
      <x:c r="L1516" s="34" t="str">
        <x:v>PASS</x:v>
      </x:c>
      <x:c r="M1516" s="34" t="str">
        <x:v>numeric coverage for applicable metric</x:v>
      </x:c>
      <x:c r="N1516" s="34" t="str">
        <x:v>Feedback-Directed Random Test Generation/Result_Round2/Lang_41/result.json</x:v>
      </x:c>
      <x:c r="O1516" s="38" t="n">
        <x:f>IF(AND(G1516="RECORDED",ISNUMBER(H1516)),H1516,"")</x:f>
        <x:v>45.65</x:v>
      </x:c>
      <x:c r="P1516" s="34" t="str">
        <x:v>INCONCLUSIVE</x:v>
      </x:c>
      <x:c r="Q1516" s="34" t="str">
        <x:v>Feedback-Directed Random Test Generation/Result_Round2/Lang_41/result.json</x:v>
      </x:c>
    </x:row>
    <x:row r="1517">
      <x:c r="A1517" s="34" t="str">
        <x:v>randoop</x:v>
      </x:c>
      <x:c r="B1517" s="34" t="str">
        <x:v>Lang</x:v>
      </x:c>
      <x:c r="C1517" s="34" t="str">
        <x:v>Round2</x:v>
      </x:c>
      <x:c r="D1517" s="34" t="str">
        <x:v>Lang_42</x:v>
      </x:c>
      <x:c r="E1517" s="34" t="str">
        <x:v>Coverage</x:v>
      </x:c>
      <x:c r="F1517" s="34" t="n">
        <x:v>271</x:v>
      </x:c>
      <x:c r="G1517" s="34" t="str">
        <x:v>RECORDED</x:v>
      </x:c>
      <x:c r="H1517" s="38" t="n">
        <x:f>IF(ISNUMBER('Data'!G1517),'Data'!G1517*100,"")</x:f>
        <x:v>68.27</x:v>
      </x:c>
      <x:c r="I1517" s="34" t="str">
        <x:v>PASS</x:v>
      </x:c>
      <x:c r="J1517" s="34" t="str">
        <x:v>PASS</x:v>
      </x:c>
      <x:c r="K1517" s="34" t="str">
        <x:v>PASS</x:v>
      </x:c>
      <x:c r="L1517" s="34" t="str">
        <x:v>FAIL</x:v>
      </x:c>
      <x:c r="M1517" s="34" t="str">
        <x:v>numeric coverage for applicable metric</x:v>
      </x:c>
      <x:c r="N1517" s="34" t="str">
        <x:v>Feedback-Directed Random Test Generation/Result_Round2/Lang_42/result.json</x:v>
      </x:c>
      <x:c r="O1517" s="38" t="n">
        <x:f>IF(AND(G1517="RECORDED",ISNUMBER(H1517)),H1517,"")</x:f>
        <x:v>68.27</x:v>
      </x:c>
      <x:c r="P1517" s="34" t="str">
        <x:v>INCONCLUSIVE</x:v>
      </x:c>
      <x:c r="Q1517" s="34" t="str">
        <x:v>Feedback-Directed Random Test Generation/Result_Round2/Lang_42/result.json</x:v>
      </x:c>
    </x:row>
    <x:row r="1518">
      <x:c r="A1518" s="34" t="str">
        <x:v>randoop</x:v>
      </x:c>
      <x:c r="B1518" s="34" t="str">
        <x:v>Lang</x:v>
      </x:c>
      <x:c r="C1518" s="34" t="str">
        <x:v>Round2</x:v>
      </x:c>
      <x:c r="D1518" s="34" t="str">
        <x:v>Lang_43</x:v>
      </x:c>
      <x:c r="E1518" s="34" t="str">
        <x:v>Coverage</x:v>
      </x:c>
      <x:c r="F1518" s="34" t="n">
        <x:v>265</x:v>
      </x:c>
      <x:c r="G1518" s="34" t="str">
        <x:v>RECORDED</x:v>
      </x:c>
      <x:c r="H1518" s="38" t="n">
        <x:f>IF(ISNUMBER('Data'!G1518),'Data'!G1518*100,"")</x:f>
        <x:v>7.919999999999999</x:v>
      </x:c>
      <x:c r="I1518" s="34" t="str">
        <x:v>PASS</x:v>
      </x:c>
      <x:c r="J1518" s="34" t="str">
        <x:v>PASS</x:v>
      </x:c>
      <x:c r="K1518" s="34" t="str">
        <x:v>PASS</x:v>
      </x:c>
      <x:c r="L1518" s="34" t="str">
        <x:v>PASS</x:v>
      </x:c>
      <x:c r="M1518" s="34" t="str">
        <x:v>numeric coverage for applicable metric</x:v>
      </x:c>
      <x:c r="N1518" s="34" t="str">
        <x:v>Feedback-Directed Random Test Generation/Result_Round2/Lang_43/result.json</x:v>
      </x:c>
      <x:c r="O1518" s="38" t="n">
        <x:f>IF(AND(G1518="RECORDED",ISNUMBER(H1518)),H1518,"")</x:f>
        <x:v>7.919999999999999</x:v>
      </x:c>
      <x:c r="P1518" s="34" t="str">
        <x:v>NOT_REVEALING</x:v>
      </x:c>
      <x:c r="Q1518" s="34" t="str">
        <x:v>Feedback-Directed Random Test Generation/Result_Round2/Lang_43/result.json</x:v>
      </x:c>
    </x:row>
    <x:row r="1519">
      <x:c r="A1519" s="34" t="str">
        <x:v>randoop</x:v>
      </x:c>
      <x:c r="B1519" s="34" t="str">
        <x:v>Lang</x:v>
      </x:c>
      <x:c r="C1519" s="34" t="str">
        <x:v>Round2</x:v>
      </x:c>
      <x:c r="D1519" s="34" t="str">
        <x:v>Lang_44</x:v>
      </x:c>
      <x:c r="E1519" s="34" t="str">
        <x:v>Coverage</x:v>
      </x:c>
      <x:c r="F1519" s="34" t="n">
        <x:v>406</x:v>
      </x:c>
      <x:c r="G1519" s="34" t="str">
        <x:v>RECORDED</x:v>
      </x:c>
      <x:c r="H1519" s="38" t="n">
        <x:f>IF(ISNUMBER('Data'!G1519),'Data'!G1519*100,"")</x:f>
        <x:v>37.93</x:v>
      </x:c>
      <x:c r="I1519" s="34" t="str">
        <x:v>PASS</x:v>
      </x:c>
      <x:c r="J1519" s="34" t="str">
        <x:v>PASS</x:v>
      </x:c>
      <x:c r="K1519" s="34" t="str">
        <x:v>PASS</x:v>
      </x:c>
      <x:c r="L1519" s="34" t="str">
        <x:v>PASS</x:v>
      </x:c>
      <x:c r="M1519" s="34" t="str">
        <x:v>numeric coverage for applicable metric</x:v>
      </x:c>
      <x:c r="N1519" s="34" t="str">
        <x:v>Feedback-Directed Random Test Generation/Result_Round2/Lang_44/result.json</x:v>
      </x:c>
      <x:c r="O1519" s="38" t="n">
        <x:f>IF(AND(G1519="RECORDED",ISNUMBER(H1519)),H1519,"")</x:f>
        <x:v>37.93</x:v>
      </x:c>
      <x:c r="P1519" s="34" t="str">
        <x:v>NOT_REVEALING</x:v>
      </x:c>
      <x:c r="Q1519" s="34" t="str">
        <x:v>Feedback-Directed Random Test Generation/Result_Round2/Lang_44/result.json</x:v>
      </x:c>
    </x:row>
    <x:row r="1520">
      <x:c r="A1520" s="34" t="str">
        <x:v>randoop</x:v>
      </x:c>
      <x:c r="B1520" s="34" t="str">
        <x:v>Lang</x:v>
      </x:c>
      <x:c r="C1520" s="34" t="str">
        <x:v>Round2</x:v>
      </x:c>
      <x:c r="D1520" s="34" t="str">
        <x:v>Lang_45</x:v>
      </x:c>
      <x:c r="E1520" s="34" t="str">
        <x:v>Coverage</x:v>
      </x:c>
      <x:c r="F1520" s="34" t="n">
        <x:v>240</x:v>
      </x:c>
      <x:c r="G1520" s="34" t="str">
        <x:v>RECORDED</x:v>
      </x:c>
      <x:c r="H1520" s="38" t="n">
        <x:f>IF(ISNUMBER('Data'!G1520),'Data'!G1520*100,"")</x:f>
        <x:v>81.25</x:v>
      </x:c>
      <x:c r="I1520" s="34" t="str">
        <x:v>PASS</x:v>
      </x:c>
      <x:c r="J1520" s="34" t="str">
        <x:v>PASS</x:v>
      </x:c>
      <x:c r="K1520" s="34" t="str">
        <x:v>PASS</x:v>
      </x:c>
      <x:c r="L1520" s="34" t="str">
        <x:v>PASS</x:v>
      </x:c>
      <x:c r="M1520" s="34" t="str">
        <x:v>numeric coverage for applicable metric</x:v>
      </x:c>
      <x:c r="N1520" s="34" t="str">
        <x:v>Feedback-Directed Random Test Generation/Result_Round2/Lang_45/result.json</x:v>
      </x:c>
      <x:c r="O1520" s="38" t="n">
        <x:f>IF(AND(G1520="RECORDED",ISNUMBER(H1520)),H1520,"")</x:f>
        <x:v>81.25</x:v>
      </x:c>
      <x:c r="P1520" s="34" t="str">
        <x:v>INCONCLUSIVE</x:v>
      </x:c>
      <x:c r="Q1520" s="34" t="str">
        <x:v>Feedback-Directed Random Test Generation/Result_Round2/Lang_45/result.json</x:v>
      </x:c>
    </x:row>
    <x:row r="1521">
      <x:c r="A1521" s="34" t="str">
        <x:v>randoop</x:v>
      </x:c>
      <x:c r="B1521" s="34" t="str">
        <x:v>Lang</x:v>
      </x:c>
      <x:c r="C1521" s="34" t="str">
        <x:v>Round2</x:v>
      </x:c>
      <x:c r="D1521" s="34" t="str">
        <x:v>Lang_46</x:v>
      </x:c>
      <x:c r="E1521" s="34" t="str">
        <x:v>Coverage</x:v>
      </x:c>
      <x:c r="F1521" s="34" t="n">
        <x:v>328</x:v>
      </x:c>
      <x:c r="G1521" s="34" t="str">
        <x:v>RECORDED</x:v>
      </x:c>
      <x:c r="H1521" s="38" t="n">
        <x:f>IF(ISNUMBER('Data'!G1521),'Data'!G1521*100,"")</x:f>
        <x:v>40.24</x:v>
      </x:c>
      <x:c r="I1521" s="34" t="str">
        <x:v>PASS</x:v>
      </x:c>
      <x:c r="J1521" s="34" t="str">
        <x:v>PASS</x:v>
      </x:c>
      <x:c r="K1521" s="34" t="str">
        <x:v>PASS</x:v>
      </x:c>
      <x:c r="L1521" s="34" t="str">
        <x:v>PASS</x:v>
      </x:c>
      <x:c r="M1521" s="34" t="str">
        <x:v>numeric coverage for applicable metric</x:v>
      </x:c>
      <x:c r="N1521" s="34" t="str">
        <x:v>Feedback-Directed Random Test Generation/Result_Round2/Lang_46/result.json</x:v>
      </x:c>
      <x:c r="O1521" s="38" t="n">
        <x:f>IF(AND(G1521="RECORDED",ISNUMBER(H1521)),H1521,"")</x:f>
        <x:v>40.24</x:v>
      </x:c>
      <x:c r="P1521" s="34" t="str">
        <x:v>NOT_REVEALING</x:v>
      </x:c>
      <x:c r="Q1521" s="34" t="str">
        <x:v>Feedback-Directed Random Test Generation/Result_Round2/Lang_46/result.json</x:v>
      </x:c>
    </x:row>
    <x:row r="1522">
      <x:c r="A1522" s="34" t="str">
        <x:v>randoop</x:v>
      </x:c>
      <x:c r="B1522" s="34" t="str">
        <x:v>Lang</x:v>
      </x:c>
      <x:c r="C1522" s="34" t="str">
        <x:v>Round2</x:v>
      </x:c>
      <x:c r="D1522" s="34" t="str">
        <x:v>Lang_47</x:v>
      </x:c>
      <x:c r="E1522" s="34" t="str">
        <x:v>Coverage</x:v>
      </x:c>
      <x:c r="F1522" s="34" t="n">
        <x:v>1188</x:v>
      </x:c>
      <x:c r="G1522" s="34" t="str">
        <x:v>RECORDED</x:v>
      </x:c>
      <x:c r="H1522" s="38" t="n">
        <x:f>IF(ISNUMBER('Data'!G1522),'Data'!G1522*100,"")</x:f>
        <x:v>93.77</x:v>
      </x:c>
      <x:c r="I1522" s="34" t="str">
        <x:v>PASS</x:v>
      </x:c>
      <x:c r="J1522" s="34" t="str">
        <x:v>PASS</x:v>
      </x:c>
      <x:c r="K1522" s="34" t="str">
        <x:v>PASS</x:v>
      </x:c>
      <x:c r="L1522" s="34" t="str">
        <x:v>FAIL</x:v>
      </x:c>
      <x:c r="M1522" s="34" t="str">
        <x:v>numeric coverage for applicable metric</x:v>
      </x:c>
      <x:c r="N1522" s="34" t="str">
        <x:v>Feedback-Directed Random Test Generation/Result_Round2/Lang_47/result.json</x:v>
      </x:c>
      <x:c r="O1522" s="38" t="n">
        <x:f>IF(AND(G1522="RECORDED",ISNUMBER(H1522)),H1522,"")</x:f>
        <x:v>93.77</x:v>
      </x:c>
      <x:c r="P1522" s="34" t="str">
        <x:v>INCONCLUSIVE</x:v>
      </x:c>
      <x:c r="Q1522" s="34" t="str">
        <x:v>Feedback-Directed Random Test Generation/Result_Round2/Lang_47/result.json</x:v>
      </x:c>
    </x:row>
    <x:row r="1523">
      <x:c r="A1523" s="34" t="str">
        <x:v>randoop</x:v>
      </x:c>
      <x:c r="B1523" s="34" t="str">
        <x:v>Lang</x:v>
      </x:c>
      <x:c r="C1523" s="34" t="str">
        <x:v>Round2</x:v>
      </x:c>
      <x:c r="D1523" s="34" t="str">
        <x:v>Lang_49</x:v>
      </x:c>
      <x:c r="E1523" s="34" t="str">
        <x:v>Coverage</x:v>
      </x:c>
      <x:c r="F1523" s="34" t="n">
        <x:v>460</x:v>
      </x:c>
      <x:c r="G1523" s="34" t="str">
        <x:v>RECORDED</x:v>
      </x:c>
      <x:c r="H1523" s="38" t="n">
        <x:f>IF(ISNUMBER('Data'!G1523),'Data'!G1523*100,"")</x:f>
        <x:v>89.13</x:v>
      </x:c>
      <x:c r="I1523" s="34" t="str">
        <x:v>PASS</x:v>
      </x:c>
      <x:c r="J1523" s="34" t="str">
        <x:v>PASS</x:v>
      </x:c>
      <x:c r="K1523" s="34" t="str">
        <x:v>PASS</x:v>
      </x:c>
      <x:c r="L1523" s="34" t="str">
        <x:v>PASS</x:v>
      </x:c>
      <x:c r="M1523" s="34" t="str">
        <x:v>numeric coverage for applicable metric</x:v>
      </x:c>
      <x:c r="N1523" s="34" t="str">
        <x:v>Feedback-Directed Random Test Generation/Result_Round2/Lang_49/result.json</x:v>
      </x:c>
      <x:c r="O1523" s="38" t="n">
        <x:f>IF(AND(G1523="RECORDED",ISNUMBER(H1523)),H1523,"")</x:f>
        <x:v>89.13</x:v>
      </x:c>
      <x:c r="P1523" s="34" t="str">
        <x:v>NOT_REVEALING</x:v>
      </x:c>
      <x:c r="Q1523" s="34" t="str">
        <x:v>Feedback-Directed Random Test Generation/Result_Round2/Lang_49/result.json</x:v>
      </x:c>
    </x:row>
    <x:row r="1524">
      <x:c r="A1524" s="34" t="str">
        <x:v>randoop</x:v>
      </x:c>
      <x:c r="B1524" s="34" t="str">
        <x:v>Lang</x:v>
      </x:c>
      <x:c r="C1524" s="34" t="str">
        <x:v>Round2</x:v>
      </x:c>
      <x:c r="D1524" s="34" t="str">
        <x:v>Lang_50</x:v>
      </x:c>
      <x:c r="E1524" s="34" t="str">
        <x:v>Coverage</x:v>
      </x:c>
      <x:c r="F1524" s="34" t="n">
        <x:v>699</x:v>
      </x:c>
      <x:c r="G1524" s="34" t="str">
        <x:v>RECORDED</x:v>
      </x:c>
      <x:c r="H1524" s="38" t="n">
        <x:f>IF(ISNUMBER('Data'!G1524),'Data'!G1524*100,"")</x:f>
        <x:v>73.53</x:v>
      </x:c>
      <x:c r="I1524" s="34" t="str">
        <x:v>PASS</x:v>
      </x:c>
      <x:c r="J1524" s="34" t="str">
        <x:v>PASS</x:v>
      </x:c>
      <x:c r="K1524" s="34" t="str">
        <x:v>PASS</x:v>
      </x:c>
      <x:c r="L1524" s="34" t="str">
        <x:v>FAIL</x:v>
      </x:c>
      <x:c r="M1524" s="34" t="str">
        <x:v>numeric coverage for applicable metric</x:v>
      </x:c>
      <x:c r="N1524" s="34" t="str">
        <x:v>Feedback-Directed Random Test Generation/Result_Round2/Lang_50/result.json</x:v>
      </x:c>
      <x:c r="O1524" s="38" t="n">
        <x:f>IF(AND(G1524="RECORDED",ISNUMBER(H1524)),H1524,"")</x:f>
        <x:v>73.53</x:v>
      </x:c>
      <x:c r="P1524" s="34" t="str">
        <x:v>INCONCLUSIVE</x:v>
      </x:c>
      <x:c r="Q1524" s="34" t="str">
        <x:v>Feedback-Directed Random Test Generation/Result_Round2/Lang_50/result.json</x:v>
      </x:c>
    </x:row>
    <x:row r="1525">
      <x:c r="A1525" s="34" t="str">
        <x:v>randoop</x:v>
      </x:c>
      <x:c r="B1525" s="34" t="str">
        <x:v>Lang</x:v>
      </x:c>
      <x:c r="C1525" s="34" t="str">
        <x:v>Round2</x:v>
      </x:c>
      <x:c r="D1525" s="34" t="str">
        <x:v>Lang_51</x:v>
      </x:c>
      <x:c r="E1525" s="34" t="str">
        <x:v>Coverage</x:v>
      </x:c>
      <x:c r="F1525" s="34" t="n">
        <x:v>383</x:v>
      </x:c>
      <x:c r="G1525" s="34" t="str">
        <x:v>RECORDED</x:v>
      </x:c>
      <x:c r="H1525" s="38" t="n">
        <x:f>IF(ISNUMBER('Data'!G1525),'Data'!G1525*100,"")</x:f>
        <x:v>67.36</x:v>
      </x:c>
      <x:c r="I1525" s="34" t="str">
        <x:v>PASS</x:v>
      </x:c>
      <x:c r="J1525" s="34" t="str">
        <x:v>PASS</x:v>
      </x:c>
      <x:c r="K1525" s="34" t="str">
        <x:v>PASS</x:v>
      </x:c>
      <x:c r="L1525" s="34" t="str">
        <x:v>PASS</x:v>
      </x:c>
      <x:c r="M1525" s="34" t="str">
        <x:v>numeric coverage for applicable metric</x:v>
      </x:c>
      <x:c r="N1525" s="34" t="str">
        <x:v>Feedback-Directed Random Test Generation/Result_Round2/Lang_51/result.json</x:v>
      </x:c>
      <x:c r="O1525" s="38" t="n">
        <x:f>IF(AND(G1525="RECORDED",ISNUMBER(H1525)),H1525,"")</x:f>
        <x:v>67.36</x:v>
      </x:c>
      <x:c r="P1525" s="34" t="str">
        <x:v>NOT_REVEALING</x:v>
      </x:c>
      <x:c r="Q1525" s="34" t="str">
        <x:v>Feedback-Directed Random Test Generation/Result_Round2/Lang_51/result.json</x:v>
      </x:c>
    </x:row>
    <x:row r="1526">
      <x:c r="A1526" s="34" t="str">
        <x:v>randoop</x:v>
      </x:c>
      <x:c r="B1526" s="34" t="str">
        <x:v>Lang</x:v>
      </x:c>
      <x:c r="C1526" s="34" t="str">
        <x:v>Round2</x:v>
      </x:c>
      <x:c r="D1526" s="34" t="str">
        <x:v>Lang_52</x:v>
      </x:c>
      <x:c r="E1526" s="34" t="str">
        <x:v>Coverage</x:v>
      </x:c>
      <x:c r="F1526" s="34" t="n">
        <x:v>259</x:v>
      </x:c>
      <x:c r="G1526" s="34" t="str">
        <x:v>RECORDED</x:v>
      </x:c>
      <x:c r="H1526" s="38" t="n">
        <x:f>IF(ISNUMBER('Data'!G1526),'Data'!G1526*100,"")</x:f>
        <x:v>40.93</x:v>
      </x:c>
      <x:c r="I1526" s="34" t="str">
        <x:v>PASS</x:v>
      </x:c>
      <x:c r="J1526" s="34" t="str">
        <x:v>PASS</x:v>
      </x:c>
      <x:c r="K1526" s="34" t="str">
        <x:v>PASS</x:v>
      </x:c>
      <x:c r="L1526" s="34" t="str">
        <x:v>PASS</x:v>
      </x:c>
      <x:c r="M1526" s="34" t="str">
        <x:v>numeric coverage for applicable metric</x:v>
      </x:c>
      <x:c r="N1526" s="34" t="str">
        <x:v>Feedback-Directed Random Test Generation/Result_Round2/Lang_52/result.json</x:v>
      </x:c>
      <x:c r="O1526" s="38" t="n">
        <x:f>IF(AND(G1526="RECORDED",ISNUMBER(H1526)),H1526,"")</x:f>
        <x:v>40.93</x:v>
      </x:c>
      <x:c r="P1526" s="34" t="str">
        <x:v>NOT_REVEALING</x:v>
      </x:c>
      <x:c r="Q1526" s="34" t="str">
        <x:v>Feedback-Directed Random Test Generation/Result_Round2/Lang_52/result.json</x:v>
      </x:c>
    </x:row>
    <x:row r="1527">
      <x:c r="A1527" s="34" t="str">
        <x:v>randoop</x:v>
      </x:c>
      <x:c r="B1527" s="34" t="str">
        <x:v>Lang</x:v>
      </x:c>
      <x:c r="C1527" s="34" t="str">
        <x:v>Round2</x:v>
      </x:c>
      <x:c r="D1527" s="34" t="str">
        <x:v>Lang_53</x:v>
      </x:c>
      <x:c r="E1527" s="34" t="str">
        <x:v>Coverage</x:v>
      </x:c>
      <x:c r="F1527" s="34" t="n">
        <x:v>392</x:v>
      </x:c>
      <x:c r="G1527" s="34" t="str">
        <x:v>RECORDED</x:v>
      </x:c>
      <x:c r="H1527" s="38" t="n">
        <x:f>IF(ISNUMBER('Data'!G1527),'Data'!G1527*100,"")</x:f>
        <x:v>78.32</x:v>
      </x:c>
      <x:c r="I1527" s="34" t="str">
        <x:v>PASS</x:v>
      </x:c>
      <x:c r="J1527" s="34" t="str">
        <x:v>PASS</x:v>
      </x:c>
      <x:c r="K1527" s="34" t="str">
        <x:v>PASS</x:v>
      </x:c>
      <x:c r="L1527" s="34" t="str">
        <x:v>FAIL</x:v>
      </x:c>
      <x:c r="M1527" s="34" t="str">
        <x:v>numeric coverage for applicable metric</x:v>
      </x:c>
      <x:c r="N1527" s="34" t="str">
        <x:v>Feedback-Directed Random Test Generation/Result_Round2/Lang_53/result.json</x:v>
      </x:c>
      <x:c r="O1527" s="38" t="n">
        <x:f>IF(AND(G1527="RECORDED",ISNUMBER(H1527)),H1527,"")</x:f>
        <x:v>78.32</x:v>
      </x:c>
      <x:c r="P1527" s="34" t="str">
        <x:v>INCONCLUSIVE</x:v>
      </x:c>
      <x:c r="Q1527" s="34" t="str">
        <x:v>Feedback-Directed Random Test Generation/Result_Round2/Lang_53/result.json</x:v>
      </x:c>
    </x:row>
    <x:row r="1528">
      <x:c r="A1528" s="34" t="str">
        <x:v>randoop</x:v>
      </x:c>
      <x:c r="B1528" s="34" t="str">
        <x:v>Lang</x:v>
      </x:c>
      <x:c r="C1528" s="34" t="str">
        <x:v>Round2</x:v>
      </x:c>
      <x:c r="D1528" s="34" t="str">
        <x:v>Lang_54</x:v>
      </x:c>
      <x:c r="E1528" s="34" t="str">
        <x:v>Coverage</x:v>
      </x:c>
      <x:c r="F1528" s="34" t="n">
        <x:v>143</x:v>
      </x:c>
      <x:c r="G1528" s="34" t="str">
        <x:v>RECORDED</x:v>
      </x:c>
      <x:c r="H1528" s="38" t="n">
        <x:f>IF(ISNUMBER('Data'!G1528),'Data'!G1528*100,"")</x:f>
        <x:v>51.05</x:v>
      </x:c>
      <x:c r="I1528" s="34" t="str">
        <x:v>PASS</x:v>
      </x:c>
      <x:c r="J1528" s="34" t="str">
        <x:v>PASS</x:v>
      </x:c>
      <x:c r="K1528" s="34" t="str">
        <x:v>PASS</x:v>
      </x:c>
      <x:c r="L1528" s="34" t="str">
        <x:v>PASS</x:v>
      </x:c>
      <x:c r="M1528" s="34" t="str">
        <x:v>numeric coverage for applicable metric</x:v>
      </x:c>
      <x:c r="N1528" s="34" t="str">
        <x:v>Feedback-Directed Random Test Generation/Result_Round2/Lang_54/result.json</x:v>
      </x:c>
      <x:c r="O1528" s="38" t="n">
        <x:f>IF(AND(G1528="RECORDED",ISNUMBER(H1528)),H1528,"")</x:f>
        <x:v>51.05</x:v>
      </x:c>
      <x:c r="P1528" s="34" t="str">
        <x:v>NOT_REVEALING</x:v>
      </x:c>
      <x:c r="Q1528" s="34" t="str">
        <x:v>Feedback-Directed Random Test Generation/Result_Round2/Lang_54/result.json</x:v>
      </x:c>
    </x:row>
    <x:row r="1529">
      <x:c r="A1529" s="34" t="str">
        <x:v>randoop</x:v>
      </x:c>
      <x:c r="B1529" s="34" t="str">
        <x:v>Lang</x:v>
      </x:c>
      <x:c r="C1529" s="34" t="str">
        <x:v>Round2</x:v>
      </x:c>
      <x:c r="D1529" s="34" t="str">
        <x:v>Lang_55</x:v>
      </x:c>
      <x:c r="E1529" s="34" t="str">
        <x:v>Coverage</x:v>
      </x:c>
      <x:c r="F1529" s="34" t="n">
        <x:v>83</x:v>
      </x:c>
      <x:c r="G1529" s="34" t="str">
        <x:v>RECORDED</x:v>
      </x:c>
      <x:c r="H1529" s="38" t="n">
        <x:f>IF(ISNUMBER('Data'!G1529),'Data'!G1529*100,"")</x:f>
        <x:v>97.59</x:v>
      </x:c>
      <x:c r="I1529" s="34" t="str">
        <x:v>PASS</x:v>
      </x:c>
      <x:c r="J1529" s="34" t="str">
        <x:v>PASS</x:v>
      </x:c>
      <x:c r="K1529" s="34" t="str">
        <x:v>PASS</x:v>
      </x:c>
      <x:c r="L1529" s="34" t="str">
        <x:v>FAIL</x:v>
      </x:c>
      <x:c r="M1529" s="34" t="str">
        <x:v>numeric coverage for applicable metric</x:v>
      </x:c>
      <x:c r="N1529" s="34" t="str">
        <x:v>Feedback-Directed Random Test Generation/Result_Round2/Lang_55/result.json</x:v>
      </x:c>
      <x:c r="O1529" s="38" t="n">
        <x:f>IF(AND(G1529="RECORDED",ISNUMBER(H1529)),H1529,"")</x:f>
        <x:v>97.59</x:v>
      </x:c>
      <x:c r="P1529" s="34" t="str">
        <x:v>INCONCLUSIVE</x:v>
      </x:c>
      <x:c r="Q1529" s="34" t="str">
        <x:v>Feedback-Directed Random Test Generation/Result_Round2/Lang_55/result.json</x:v>
      </x:c>
    </x:row>
    <x:row r="1530">
      <x:c r="A1530" s="34" t="str">
        <x:v>randoop</x:v>
      </x:c>
      <x:c r="B1530" s="34" t="str">
        <x:v>Lang</x:v>
      </x:c>
      <x:c r="C1530" s="34" t="str">
        <x:v>Round2</x:v>
      </x:c>
      <x:c r="D1530" s="34" t="str">
        <x:v>Lang_56</x:v>
      </x:c>
      <x:c r="E1530" s="34" t="str">
        <x:v>Coverage</x:v>
      </x:c>
      <x:c r="F1530" s="34" t="n">
        <x:v>696</x:v>
      </x:c>
      <x:c r="G1530" s="34" t="str">
        <x:v>RECORDED</x:v>
      </x:c>
      <x:c r="H1530" s="38" t="n">
        <x:f>IF(ISNUMBER('Data'!G1530),'Data'!G1530*100,"")</x:f>
        <x:v>73.85</x:v>
      </x:c>
      <x:c r="I1530" s="34" t="str">
        <x:v>PASS</x:v>
      </x:c>
      <x:c r="J1530" s="34" t="str">
        <x:v>PASS</x:v>
      </x:c>
      <x:c r="K1530" s="34" t="str">
        <x:v>PASS</x:v>
      </x:c>
      <x:c r="L1530" s="34" t="str">
        <x:v>FAIL</x:v>
      </x:c>
      <x:c r="M1530" s="34" t="str">
        <x:v>numeric coverage for applicable metric</x:v>
      </x:c>
      <x:c r="N1530" s="34" t="str">
        <x:v>Feedback-Directed Random Test Generation/Result_Round2/Lang_56/result.json</x:v>
      </x:c>
      <x:c r="O1530" s="38" t="n">
        <x:f>IF(AND(G1530="RECORDED",ISNUMBER(H1530)),H1530,"")</x:f>
        <x:v>73.85</x:v>
      </x:c>
      <x:c r="P1530" s="34" t="str">
        <x:v>INCONCLUSIVE</x:v>
      </x:c>
      <x:c r="Q1530" s="34" t="str">
        <x:v>Feedback-Directed Random Test Generation/Result_Round2/Lang_56/result.json</x:v>
      </x:c>
    </x:row>
    <x:row r="1531">
      <x:c r="A1531" s="34" t="str">
        <x:v>randoop</x:v>
      </x:c>
      <x:c r="B1531" s="34" t="str">
        <x:v>Lang</x:v>
      </x:c>
      <x:c r="C1531" s="34" t="str">
        <x:v>Round2</x:v>
      </x:c>
      <x:c r="D1531" s="34" t="str">
        <x:v>Lang_57</x:v>
      </x:c>
      <x:c r="E1531" s="34" t="str">
        <x:v>Coverage</x:v>
      </x:c>
      <x:c r="F1531" s="34" t="n">
        <x:v>143</x:v>
      </x:c>
      <x:c r="G1531" s="34" t="str">
        <x:v>RECORDED</x:v>
      </x:c>
      <x:c r="H1531" s="38" t="n">
        <x:f>IF(ISNUMBER('Data'!G1531),'Data'!G1531*100,"")</x:f>
        <x:v>51.05</x:v>
      </x:c>
      <x:c r="I1531" s="34" t="str">
        <x:v>PASS</x:v>
      </x:c>
      <x:c r="J1531" s="34" t="str">
        <x:v>PASS</x:v>
      </x:c>
      <x:c r="K1531" s="34" t="str">
        <x:v>PASS</x:v>
      </x:c>
      <x:c r="L1531" s="34" t="str">
        <x:v>FAIL</x:v>
      </x:c>
      <x:c r="M1531" s="34" t="str">
        <x:v>numeric coverage for applicable metric</x:v>
      </x:c>
      <x:c r="N1531" s="34" t="str">
        <x:v>Feedback-Directed Random Test Generation/Result_Round2/Lang_57/result.json</x:v>
      </x:c>
      <x:c r="O1531" s="38" t="n">
        <x:f>IF(AND(G1531="RECORDED",ISNUMBER(H1531)),H1531,"")</x:f>
        <x:v>51.05</x:v>
      </x:c>
      <x:c r="P1531" s="34" t="str">
        <x:v>INCONCLUSIVE</x:v>
      </x:c>
      <x:c r="Q1531" s="34" t="str">
        <x:v>Feedback-Directed Random Test Generation/Result_Round2/Lang_57/result.json</x:v>
      </x:c>
    </x:row>
    <x:row r="1532">
      <x:c r="A1532" s="34" t="str">
        <x:v>randoop</x:v>
      </x:c>
      <x:c r="B1532" s="34" t="str">
        <x:v>Lang</x:v>
      </x:c>
      <x:c r="C1532" s="34" t="str">
        <x:v>Round2</x:v>
      </x:c>
      <x:c r="D1532" s="34" t="str">
        <x:v>Lang_58</x:v>
      </x:c>
      <x:c r="E1532" s="34" t="str">
        <x:v>Coverage</x:v>
      </x:c>
      <x:c r="F1532" s="34" t="n">
        <x:v>855</x:v>
      </x:c>
      <x:c r="G1532" s="34" t="str">
        <x:v>RECORDED</x:v>
      </x:c>
      <x:c r="H1532" s="38" t="n">
        <x:f>IF(ISNUMBER('Data'!G1532),'Data'!G1532*100,"")</x:f>
        <x:v>66.08</x:v>
      </x:c>
      <x:c r="I1532" s="34" t="str">
        <x:v>PASS</x:v>
      </x:c>
      <x:c r="J1532" s="34" t="str">
        <x:v>PASS</x:v>
      </x:c>
      <x:c r="K1532" s="34" t="str">
        <x:v>PASS</x:v>
      </x:c>
      <x:c r="L1532" s="34" t="str">
        <x:v>PASS</x:v>
      </x:c>
      <x:c r="M1532" s="34" t="str">
        <x:v>numeric coverage for applicable metric</x:v>
      </x:c>
      <x:c r="N1532" s="34" t="str">
        <x:v>Feedback-Directed Random Test Generation/Result_Round2/Lang_58/result.json</x:v>
      </x:c>
      <x:c r="O1532" s="38" t="n">
        <x:f>IF(AND(G1532="RECORDED",ISNUMBER(H1532)),H1532,"")</x:f>
        <x:v>66.08</x:v>
      </x:c>
      <x:c r="P1532" s="34" t="str">
        <x:v>NOT_REVEALING</x:v>
      </x:c>
      <x:c r="Q1532" s="34" t="str">
        <x:v>Feedback-Directed Random Test Generation/Result_Round2/Lang_58/result.json</x:v>
      </x:c>
    </x:row>
    <x:row r="1533">
      <x:c r="A1533" s="34" t="str">
        <x:v>randoop</x:v>
      </x:c>
      <x:c r="B1533" s="34" t="str">
        <x:v>Lang</x:v>
      </x:c>
      <x:c r="C1533" s="34" t="str">
        <x:v>Round2</x:v>
      </x:c>
      <x:c r="D1533" s="34" t="str">
        <x:v>Lang_59</x:v>
      </x:c>
      <x:c r="E1533" s="34" t="str">
        <x:v>Coverage</x:v>
      </x:c>
      <x:c r="F1533" s="34" t="n">
        <x:v>1120</x:v>
      </x:c>
      <x:c r="G1533" s="34" t="str">
        <x:v>RECORDED</x:v>
      </x:c>
      <x:c r="H1533" s="38" t="n">
        <x:f>IF(ISNUMBER('Data'!G1533),'Data'!G1533*100,"")</x:f>
        <x:v>92.41</x:v>
      </x:c>
      <x:c r="I1533" s="34" t="str">
        <x:v>PASS</x:v>
      </x:c>
      <x:c r="J1533" s="34" t="str">
        <x:v>PASS</x:v>
      </x:c>
      <x:c r="K1533" s="34" t="str">
        <x:v>PASS</x:v>
      </x:c>
      <x:c r="L1533" s="34" t="str">
        <x:v>FAIL</x:v>
      </x:c>
      <x:c r="M1533" s="34" t="str">
        <x:v>numeric coverage for applicable metric</x:v>
      </x:c>
      <x:c r="N1533" s="34" t="str">
        <x:v>Feedback-Directed Random Test Generation/Result_Round2/Lang_59/result.json</x:v>
      </x:c>
      <x:c r="O1533" s="38" t="n">
        <x:f>IF(AND(G1533="RECORDED",ISNUMBER(H1533)),H1533,"")</x:f>
        <x:v>92.41</x:v>
      </x:c>
      <x:c r="P1533" s="34" t="str">
        <x:v>INCONCLUSIVE</x:v>
      </x:c>
      <x:c r="Q1533" s="34" t="str">
        <x:v>Feedback-Directed Random Test Generation/Result_Round2/Lang_59/result.json</x:v>
      </x:c>
    </x:row>
    <x:row r="1534">
      <x:c r="A1534" s="34" t="str">
        <x:v>randoop</x:v>
      </x:c>
      <x:c r="B1534" s="34" t="str">
        <x:v>Lang</x:v>
      </x:c>
      <x:c r="C1534" s="34" t="str">
        <x:v>Round2</x:v>
      </x:c>
      <x:c r="D1534" s="34" t="str">
        <x:v>Lang_60</x:v>
      </x:c>
      <x:c r="E1534" s="34" t="str">
        <x:v>Coverage</x:v>
      </x:c>
      <x:c r="F1534" s="34" t="n">
        <x:v>1120</x:v>
      </x:c>
      <x:c r="G1534" s="34" t="str">
        <x:v>RECORDED</x:v>
      </x:c>
      <x:c r="H1534" s="38" t="n">
        <x:f>IF(ISNUMBER('Data'!G1534),'Data'!G1534*100,"")</x:f>
        <x:v>92.59</x:v>
      </x:c>
      <x:c r="I1534" s="34" t="str">
        <x:v>PASS</x:v>
      </x:c>
      <x:c r="J1534" s="34" t="str">
        <x:v>PASS</x:v>
      </x:c>
      <x:c r="K1534" s="34" t="str">
        <x:v>PASS</x:v>
      </x:c>
      <x:c r="L1534" s="34" t="str">
        <x:v>FAIL</x:v>
      </x:c>
      <x:c r="M1534" s="34" t="str">
        <x:v>numeric coverage for applicable metric</x:v>
      </x:c>
      <x:c r="N1534" s="34" t="str">
        <x:v>Feedback-Directed Random Test Generation/Result_Round2/Lang_60/result.json</x:v>
      </x:c>
      <x:c r="O1534" s="38" t="n">
        <x:f>IF(AND(G1534="RECORDED",ISNUMBER(H1534)),H1534,"")</x:f>
        <x:v>92.59</x:v>
      </x:c>
      <x:c r="P1534" s="34" t="str">
        <x:v>INCONCLUSIVE</x:v>
      </x:c>
      <x:c r="Q1534" s="34" t="str">
        <x:v>Feedback-Directed Random Test Generation/Result_Round2/Lang_60/result.json</x:v>
      </x:c>
    </x:row>
    <x:row r="1535">
      <x:c r="A1535" s="34" t="str">
        <x:v>randoop</x:v>
      </x:c>
      <x:c r="B1535" s="34" t="str">
        <x:v>Lang</x:v>
      </x:c>
      <x:c r="C1535" s="34" t="str">
        <x:v>Round2</x:v>
      </x:c>
      <x:c r="D1535" s="34" t="str">
        <x:v>Lang_61</x:v>
      </x:c>
      <x:c r="E1535" s="34" t="str">
        <x:v>Coverage</x:v>
      </x:c>
      <x:c r="F1535" s="34" t="n">
        <x:v>1120</x:v>
      </x:c>
      <x:c r="G1535" s="34" t="str">
        <x:v>RECORDED</x:v>
      </x:c>
      <x:c r="H1535" s="38" t="n">
        <x:f>IF(ISNUMBER('Data'!G1535),'Data'!G1535*100,"")</x:f>
        <x:v>94.29</x:v>
      </x:c>
      <x:c r="I1535" s="34" t="str">
        <x:v>PASS</x:v>
      </x:c>
      <x:c r="J1535" s="34" t="str">
        <x:v>PASS</x:v>
      </x:c>
      <x:c r="K1535" s="34" t="str">
        <x:v>PASS</x:v>
      </x:c>
      <x:c r="L1535" s="34" t="str">
        <x:v>FAIL</x:v>
      </x:c>
      <x:c r="M1535" s="34" t="str">
        <x:v>numeric coverage for applicable metric</x:v>
      </x:c>
      <x:c r="N1535" s="34" t="str">
        <x:v>Feedback-Directed Random Test Generation/Result_Round2/Lang_61/result.json</x:v>
      </x:c>
      <x:c r="O1535" s="38" t="n">
        <x:f>IF(AND(G1535="RECORDED",ISNUMBER(H1535)),H1535,"")</x:f>
        <x:v>94.29</x:v>
      </x:c>
      <x:c r="P1535" s="34" t="str">
        <x:v>INCONCLUSIVE</x:v>
      </x:c>
      <x:c r="Q1535" s="34" t="str">
        <x:v>Feedback-Directed Random Test Generation/Result_Round2/Lang_61/result.json</x:v>
      </x:c>
    </x:row>
    <x:row r="1536">
      <x:c r="A1536" s="34" t="str">
        <x:v>randoop</x:v>
      </x:c>
      <x:c r="B1536" s="34" t="str">
        <x:v>Lang</x:v>
      </x:c>
      <x:c r="C1536" s="34" t="str">
        <x:v>Round2</x:v>
      </x:c>
      <x:c r="D1536" s="34" t="str">
        <x:v>Lang_62</x:v>
      </x:c>
      <x:c r="E1536" s="34" t="str">
        <x:v>Coverage</x:v>
      </x:c>
      <x:c r="F1536" s="34" t="n">
        <x:v>331</x:v>
      </x:c>
      <x:c r="G1536" s="34" t="str">
        <x:v>RECORDED</x:v>
      </x:c>
      <x:c r="H1536" s="38" t="n">
        <x:f>IF(ISNUMBER('Data'!G1536),'Data'!G1536*100,"")</x:f>
        <x:v>58.01</x:v>
      </x:c>
      <x:c r="I1536" s="34" t="str">
        <x:v>PASS</x:v>
      </x:c>
      <x:c r="J1536" s="34" t="str">
        <x:v>PASS</x:v>
      </x:c>
      <x:c r="K1536" s="34" t="str">
        <x:v>PASS</x:v>
      </x:c>
      <x:c r="L1536" s="34" t="str">
        <x:v>FAIL</x:v>
      </x:c>
      <x:c r="M1536" s="34" t="str">
        <x:v>numeric coverage for applicable metric</x:v>
      </x:c>
      <x:c r="N1536" s="34" t="str">
        <x:v>Feedback-Directed Random Test Generation/Result_Round2/Lang_62/result.json</x:v>
      </x:c>
      <x:c r="O1536" s="38" t="n">
        <x:f>IF(AND(G1536="RECORDED",ISNUMBER(H1536)),H1536,"")</x:f>
        <x:v>58.01</x:v>
      </x:c>
      <x:c r="P1536" s="34" t="str">
        <x:v>INCONCLUSIVE</x:v>
      </x:c>
      <x:c r="Q1536" s="34" t="str">
        <x:v>Feedback-Directed Random Test Generation/Result_Round2/Lang_62/result.json</x:v>
      </x:c>
    </x:row>
    <x:row r="1537">
      <x:c r="A1537" s="34" t="str">
        <x:v>randoop</x:v>
      </x:c>
      <x:c r="B1537" s="34" t="str">
        <x:v>Lang</x:v>
      </x:c>
      <x:c r="C1537" s="34" t="str">
        <x:v>Round2</x:v>
      </x:c>
      <x:c r="D1537" s="34" t="str">
        <x:v>Lang_63</x:v>
      </x:c>
      <x:c r="E1537" s="34" t="str">
        <x:v>Coverage</x:v>
      </x:c>
      <x:c r="F1537" s="34" t="n">
        <x:v>387</x:v>
      </x:c>
      <x:c r="G1537" s="34" t="str">
        <x:v>RECORDED</x:v>
      </x:c>
      <x:c r="H1537" s="38" t="n">
        <x:f>IF(ISNUMBER('Data'!G1537),'Data'!G1537*100,"")</x:f>
        <x:v>72.61</x:v>
      </x:c>
      <x:c r="I1537" s="34" t="str">
        <x:v>PASS</x:v>
      </x:c>
      <x:c r="J1537" s="34" t="str">
        <x:v>PASS</x:v>
      </x:c>
      <x:c r="K1537" s="34" t="str">
        <x:v>PASS</x:v>
      </x:c>
      <x:c r="L1537" s="34" t="str">
        <x:v>PASS</x:v>
      </x:c>
      <x:c r="M1537" s="34" t="str">
        <x:v>numeric coverage for applicable metric</x:v>
      </x:c>
      <x:c r="N1537" s="34" t="str">
        <x:v>Feedback-Directed Random Test Generation/Result_Round2/Lang_63/result.json</x:v>
      </x:c>
      <x:c r="O1537" s="38" t="n">
        <x:f>IF(AND(G1537="RECORDED",ISNUMBER(H1537)),H1537,"")</x:f>
        <x:v>72.61</x:v>
      </x:c>
      <x:c r="P1537" s="34" t="str">
        <x:v>NOT_AVAILABLE</x:v>
      </x:c>
      <x:c r="Q1537" s="34" t="str">
        <x:v>Feedback-Directed Random Test Generation/Result_Round2/Lang_63/result.json</x:v>
      </x:c>
    </x:row>
    <x:row r="1538">
      <x:c r="A1538" s="34" t="str">
        <x:v>randoop</x:v>
      </x:c>
      <x:c r="B1538" s="34" t="str">
        <x:v>Lang</x:v>
      </x:c>
      <x:c r="C1538" s="34" t="str">
        <x:v>Round2</x:v>
      </x:c>
      <x:c r="D1538" s="34" t="str">
        <x:v>Lang_64</x:v>
      </x:c>
      <x:c r="E1538" s="34" t="str">
        <x:v>Coverage</x:v>
      </x:c>
      <x:c r="F1538" s="34" t="n">
        <x:v>26</x:v>
      </x:c>
      <x:c r="G1538" s="34" t="str">
        <x:v>RECORDED</x:v>
      </x:c>
      <x:c r="H1538" s="38" t="n">
        <x:f>IF(ISNUMBER('Data'!G1538),'Data'!G1538*100,"")</x:f>
        <x:v>19.23</x:v>
      </x:c>
      <x:c r="I1538" s="34" t="str">
        <x:v>PASS</x:v>
      </x:c>
      <x:c r="J1538" s="34" t="str">
        <x:v>PASS</x:v>
      </x:c>
      <x:c r="K1538" s="34" t="str">
        <x:v>PASS</x:v>
      </x:c>
      <x:c r="L1538" s="34" t="str">
        <x:v>PASS</x:v>
      </x:c>
      <x:c r="M1538" s="34" t="str">
        <x:v>numeric coverage for applicable metric</x:v>
      </x:c>
      <x:c r="N1538" s="34" t="str">
        <x:v>Feedback-Directed Random Test Generation/Result_Round2/Lang_64/result.json</x:v>
      </x:c>
      <x:c r="O1538" s="38" t="n">
        <x:f>IF(AND(G1538="RECORDED",ISNUMBER(H1538)),H1538,"")</x:f>
        <x:v>19.23</x:v>
      </x:c>
      <x:c r="P1538" s="34" t="str">
        <x:v>NOT_REVEALING</x:v>
      </x:c>
      <x:c r="Q1538" s="34" t="str">
        <x:v>Feedback-Directed Random Test Generation/Result_Round2/Lang_64/result.json</x:v>
      </x:c>
    </x:row>
    <x:row r="1539">
      <x:c r="A1539" s="34" t="str">
        <x:v>randoop</x:v>
      </x:c>
      <x:c r="B1539" s="34" t="str">
        <x:v>Lang</x:v>
      </x:c>
      <x:c r="C1539" s="34" t="str">
        <x:v>Round2</x:v>
      </x:c>
      <x:c r="D1539" s="34" t="str">
        <x:v>Lang_65</x:v>
      </x:c>
      <x:c r="E1539" s="34" t="str">
        <x:v>Coverage</x:v>
      </x:c>
      <x:c r="F1539" s="34" t="n">
        <x:v>344</x:v>
      </x:c>
      <x:c r="G1539" s="34" t="str">
        <x:v>RECORDED</x:v>
      </x:c>
      <x:c r="H1539" s="38" t="n">
        <x:f>IF(ISNUMBER('Data'!G1539),'Data'!G1539*100,"")</x:f>
        <x:v>77.91</x:v>
      </x:c>
      <x:c r="I1539" s="34" t="str">
        <x:v>PASS</x:v>
      </x:c>
      <x:c r="J1539" s="34" t="str">
        <x:v>PASS</x:v>
      </x:c>
      <x:c r="K1539" s="34" t="str">
        <x:v>PASS</x:v>
      </x:c>
      <x:c r="L1539" s="34" t="str">
        <x:v>FAIL</x:v>
      </x:c>
      <x:c r="M1539" s="34" t="str">
        <x:v>numeric coverage for applicable metric</x:v>
      </x:c>
      <x:c r="N1539" s="34" t="str">
        <x:v>Feedback-Directed Random Test Generation/Result_Round2/Lang_65/result.json</x:v>
      </x:c>
      <x:c r="O1539" s="38" t="n">
        <x:f>IF(AND(G1539="RECORDED",ISNUMBER(H1539)),H1539,"")</x:f>
        <x:v>77.91</x:v>
      </x:c>
      <x:c r="P1539" s="34" t="str">
        <x:v>INCONCLUSIVE</x:v>
      </x:c>
      <x:c r="Q1539" s="34" t="str">
        <x:v>Feedback-Directed Random Test Generation/Result_Round2/Lang_65/result.json</x:v>
      </x:c>
    </x:row>
    <x:row r="1540">
      <x:c r="A1540" s="34" t="str">
        <x:v>randoop</x:v>
      </x:c>
      <x:c r="B1540" s="34" t="str">
        <x:v>Math</x:v>
      </x:c>
      <x:c r="C1540" s="34" t="str">
        <x:v>Round2</x:v>
      </x:c>
      <x:c r="D1540" s="34" t="str">
        <x:v>Math_1</x:v>
      </x:c>
      <x:c r="E1540" s="34" t="str">
        <x:v>Coverage</x:v>
      </x:c>
      <x:c r="F1540" s="34" t="n">
        <x:v>617</x:v>
      </x:c>
      <x:c r="G1540" s="34" t="str">
        <x:v>RECORDED</x:v>
      </x:c>
      <x:c r="H1540" s="38" t="n">
        <x:f>IF(ISNUMBER('Data'!G1540),'Data'!G1540*100,"")</x:f>
        <x:v>86.06</x:v>
      </x:c>
      <x:c r="I1540" s="34" t="str">
        <x:v>PASS</x:v>
      </x:c>
      <x:c r="J1540" s="34" t="str">
        <x:v>PASS</x:v>
      </x:c>
      <x:c r="K1540" s="34" t="str">
        <x:v>PASS</x:v>
      </x:c>
      <x:c r="L1540" s="34" t="str">
        <x:v>PASS</x:v>
      </x:c>
      <x:c r="M1540" s="34" t="str">
        <x:v>numeric coverage for applicable metric</x:v>
      </x:c>
      <x:c r="N1540" s="34" t="str">
        <x:v>Feedback-Directed Random Test Generation/Result_Round2/Math_1/result.json</x:v>
      </x:c>
      <x:c r="O1540" s="38" t="n">
        <x:f>IF(AND(G1540="RECORDED",ISNUMBER(H1540)),H1540,"")</x:f>
        <x:v>86.06</x:v>
      </x:c>
      <x:c r="P1540" s="34" t="str">
        <x:v>INCONCLUSIVE</x:v>
      </x:c>
      <x:c r="Q1540" s="34" t="str">
        <x:v>Feedback-Directed Random Test Generation/Result_Round2/Math_1/result.json</x:v>
      </x:c>
    </x:row>
    <x:row r="1541">
      <x:c r="A1541" s="34" t="str">
        <x:v>randoop</x:v>
      </x:c>
      <x:c r="B1541" s="34" t="str">
        <x:v>Math</x:v>
      </x:c>
      <x:c r="C1541" s="34" t="str">
        <x:v>Round2</x:v>
      </x:c>
      <x:c r="D1541" s="34" t="str">
        <x:v>Math_2</x:v>
      </x:c>
      <x:c r="E1541" s="34" t="str">
        <x:v>Coverage</x:v>
      </x:c>
      <x:c r="F1541" s="34" t="n">
        <x:v>100</x:v>
      </x:c>
      <x:c r="G1541" s="34" t="str">
        <x:v>RECORDED</x:v>
      </x:c>
      <x:c r="H1541" s="38" t="n">
        <x:f>IF(ISNUMBER('Data'!G1541),'Data'!G1541*100,"")</x:f>
        <x:v>100</x:v>
      </x:c>
      <x:c r="I1541" s="34" t="str">
        <x:v>PASS</x:v>
      </x:c>
      <x:c r="J1541" s="34" t="str">
        <x:v>PASS</x:v>
      </x:c>
      <x:c r="K1541" s="34" t="str">
        <x:v>PASS</x:v>
      </x:c>
      <x:c r="L1541" s="34" t="str">
        <x:v>PASS</x:v>
      </x:c>
      <x:c r="M1541" s="34" t="str">
        <x:v>numeric coverage for applicable metric</x:v>
      </x:c>
      <x:c r="N1541" s="34" t="str">
        <x:v>Feedback-Directed Random Test Generation/Result_Round2/Math_2/result.json</x:v>
      </x:c>
      <x:c r="O1541" s="38" t="n">
        <x:f>IF(AND(G1541="RECORDED",ISNUMBER(H1541)),H1541,"")</x:f>
        <x:v>100</x:v>
      </x:c>
      <x:c r="P1541" s="34" t="str">
        <x:v>INCONCLUSIVE</x:v>
      </x:c>
      <x:c r="Q1541" s="34" t="str">
        <x:v>Feedback-Directed Random Test Generation/Result_Round2/Math_2/result.json</x:v>
      </x:c>
    </x:row>
    <x:row r="1542">
      <x:c r="A1542" s="34" t="str">
        <x:v>randoop</x:v>
      </x:c>
      <x:c r="B1542" s="34" t="str">
        <x:v>Math</x:v>
      </x:c>
      <x:c r="C1542" s="34" t="str">
        <x:v>Round2</x:v>
      </x:c>
      <x:c r="D1542" s="34" t="str">
        <x:v>Math_3</x:v>
      </x:c>
      <x:c r="E1542" s="34" t="str">
        <x:v>Coverage</x:v>
      </x:c>
      <x:c r="F1542" s="34" t="n">
        <x:v>655</x:v>
      </x:c>
      <x:c r="G1542" s="34" t="str">
        <x:v>RECORDED</x:v>
      </x:c>
      <x:c r="H1542" s="38" t="n">
        <x:f>IF(ISNUMBER('Data'!G1542),'Data'!G1542*100,"")</x:f>
        <x:v>85.95</x:v>
      </x:c>
      <x:c r="I1542" s="34" t="str">
        <x:v>PASS</x:v>
      </x:c>
      <x:c r="J1542" s="34" t="str">
        <x:v>PASS</x:v>
      </x:c>
      <x:c r="K1542" s="34" t="str">
        <x:v>PASS</x:v>
      </x:c>
      <x:c r="L1542" s="34" t="str">
        <x:v>PASS</x:v>
      </x:c>
      <x:c r="M1542" s="34" t="str">
        <x:v>numeric coverage for applicable metric</x:v>
      </x:c>
      <x:c r="N1542" s="34" t="str">
        <x:v>Feedback-Directed Random Test Generation/Result_Round2/Math_3/result.json</x:v>
      </x:c>
      <x:c r="O1542" s="38" t="n">
        <x:f>IF(AND(G1542="RECORDED",ISNUMBER(H1542)),H1542,"")</x:f>
        <x:v>85.95</x:v>
      </x:c>
      <x:c r="P1542" s="34" t="str">
        <x:v>NOT_REVEALING</x:v>
      </x:c>
      <x:c r="Q1542" s="34" t="str">
        <x:v>Feedback-Directed Random Test Generation/Result_Round2/Math_3/result.json</x:v>
      </x:c>
    </x:row>
    <x:row r="1543">
      <x:c r="A1543" s="34" t="str">
        <x:v>randoop</x:v>
      </x:c>
      <x:c r="B1543" s="34" t="str">
        <x:v>Math</x:v>
      </x:c>
      <x:c r="C1543" s="34" t="str">
        <x:v>Round2</x:v>
      </x:c>
      <x:c r="D1543" s="34" t="str">
        <x:v>Math_4</x:v>
      </x:c>
      <x:c r="E1543" s="34" t="str">
        <x:v>Coverage</x:v>
      </x:c>
      <x:c r="F1543" s="34" t="n">
        <x:v>128</x:v>
      </x:c>
      <x:c r="G1543" s="34" t="str">
        <x:v>RECORDED</x:v>
      </x:c>
      <x:c r="H1543" s="38" t="n">
        <x:f>IF(ISNUMBER('Data'!G1543),'Data'!G1543*100,"")</x:f>
        <x:v>18.75</x:v>
      </x:c>
      <x:c r="I1543" s="34" t="str">
        <x:v>PASS</x:v>
      </x:c>
      <x:c r="J1543" s="34" t="str">
        <x:v>PASS</x:v>
      </x:c>
      <x:c r="K1543" s="34" t="str">
        <x:v>PASS</x:v>
      </x:c>
      <x:c r="L1543" s="34" t="str">
        <x:v>PASS</x:v>
      </x:c>
      <x:c r="M1543" s="34" t="str">
        <x:v>numeric coverage for applicable metric</x:v>
      </x:c>
      <x:c r="N1543" s="34" t="str">
        <x:v>Feedback-Directed Random Test Generation/Result_Round2/Math_4/result.json</x:v>
      </x:c>
      <x:c r="O1543" s="38" t="n">
        <x:f>IF(AND(G1543="RECORDED",ISNUMBER(H1543)),H1543,"")</x:f>
        <x:v>18.75</x:v>
      </x:c>
      <x:c r="P1543" s="34" t="str">
        <x:v>NOT_REVEALING</x:v>
      </x:c>
      <x:c r="Q1543" s="34" t="str">
        <x:v>Feedback-Directed Random Test Generation/Result_Round2/Math_4/result.json</x:v>
      </x:c>
    </x:row>
    <x:row r="1544">
      <x:c r="A1544" s="34" t="str">
        <x:v>randoop</x:v>
      </x:c>
      <x:c r="B1544" s="34" t="str">
        <x:v>Math</x:v>
      </x:c>
      <x:c r="C1544" s="34" t="str">
        <x:v>Round2</x:v>
      </x:c>
      <x:c r="D1544" s="34" t="str">
        <x:v>Math_5</x:v>
      </x:c>
      <x:c r="E1544" s="34" t="str">
        <x:v>Coverage</x:v>
      </x:c>
      <x:c r="F1544" s="34" t="n">
        <x:v>396</x:v>
      </x:c>
      <x:c r="G1544" s="34" t="str">
        <x:v>RECORDED</x:v>
      </x:c>
      <x:c r="H1544" s="38" t="n">
        <x:f>IF(ISNUMBER('Data'!G1544),'Data'!G1544*100,"")</x:f>
        <x:v>97.22</x:v>
      </x:c>
      <x:c r="I1544" s="34" t="str">
        <x:v>PASS</x:v>
      </x:c>
      <x:c r="J1544" s="34" t="str">
        <x:v>PASS</x:v>
      </x:c>
      <x:c r="K1544" s="34" t="str">
        <x:v>PASS</x:v>
      </x:c>
      <x:c r="L1544" s="34" t="str">
        <x:v>FAIL</x:v>
      </x:c>
      <x:c r="M1544" s="34" t="str">
        <x:v>numeric coverage for applicable metric</x:v>
      </x:c>
      <x:c r="N1544" s="34" t="str">
        <x:v>Feedback-Directed Random Test Generation/Result_Round2/Math_5/result.json</x:v>
      </x:c>
      <x:c r="O1544" s="38" t="n">
        <x:f>IF(AND(G1544="RECORDED",ISNUMBER(H1544)),H1544,"")</x:f>
        <x:v>97.22</x:v>
      </x:c>
      <x:c r="P1544" s="34" t="str">
        <x:v>INCONCLUSIVE</x:v>
      </x:c>
      <x:c r="Q1544" s="34" t="str">
        <x:v>Feedback-Directed Random Test Generation/Result_Round2/Math_5/result.json</x:v>
      </x:c>
    </x:row>
    <x:row r="1545">
      <x:c r="A1545" s="34" t="str">
        <x:v>randoop</x:v>
      </x:c>
      <x:c r="B1545" s="34" t="str">
        <x:v>Math</x:v>
      </x:c>
      <x:c r="C1545" s="34" t="str">
        <x:v>Round2</x:v>
      </x:c>
      <x:c r="D1545" s="34" t="str">
        <x:v>Math_6</x:v>
      </x:c>
      <x:c r="E1545" s="34" t="str">
        <x:v>Coverage</x:v>
      </x:c>
      <x:c r="F1545" s="34" t="n">
        <x:v>1791</x:v>
      </x:c>
      <x:c r="G1545" s="34" t="str">
        <x:v>RECORDED</x:v>
      </x:c>
      <x:c r="H1545" s="38" t="n">
        <x:f>IF(ISNUMBER('Data'!G1545),'Data'!G1545*100,"")</x:f>
        <x:v>12.12</x:v>
      </x:c>
      <x:c r="I1545" s="34" t="str">
        <x:v>PASS</x:v>
      </x:c>
      <x:c r="J1545" s="34" t="str">
        <x:v>PASS</x:v>
      </x:c>
      <x:c r="K1545" s="34" t="str">
        <x:v>PASS</x:v>
      </x:c>
      <x:c r="L1545" s="34" t="str">
        <x:v>FAIL</x:v>
      </x:c>
      <x:c r="M1545" s="34" t="str">
        <x:v>numeric coverage for applicable metric</x:v>
      </x:c>
      <x:c r="N1545" s="34" t="str">
        <x:v>Feedback-Directed Random Test Generation/Result_Round2/Math_6/result.json</x:v>
      </x:c>
      <x:c r="O1545" s="38" t="n">
        <x:f>IF(AND(G1545="RECORDED",ISNUMBER(H1545)),H1545,"")</x:f>
        <x:v>12.12</x:v>
      </x:c>
      <x:c r="P1545" s="34" t="str">
        <x:v>INCONCLUSIVE</x:v>
      </x:c>
      <x:c r="Q1545" s="34" t="str">
        <x:v>Feedback-Directed Random Test Generation/Result_Round2/Math_6/result.json</x:v>
      </x:c>
    </x:row>
    <x:row r="1546">
      <x:c r="A1546" s="34" t="str">
        <x:v>randoop</x:v>
      </x:c>
      <x:c r="B1546" s="34" t="str">
        <x:v>Math</x:v>
      </x:c>
      <x:c r="C1546" s="34" t="str">
        <x:v>Round2</x:v>
      </x:c>
      <x:c r="D1546" s="34" t="str">
        <x:v>Math_7</x:v>
      </x:c>
      <x:c r="E1546" s="34" t="str">
        <x:v>Coverage</x:v>
      </x:c>
      <x:c r="F1546" s="34" t="n">
        <x:v>180</x:v>
      </x:c>
      <x:c r="G1546" s="34" t="str">
        <x:v>RECORDED</x:v>
      </x:c>
      <x:c r="H1546" s="38" t="n">
        <x:f>IF(ISNUMBER('Data'!G1546),'Data'!G1546*100,"")</x:f>
        <x:v>0</x:v>
      </x:c>
      <x:c r="I1546" s="34" t="str">
        <x:v>PASS</x:v>
      </x:c>
      <x:c r="J1546" s="34" t="str">
        <x:v>PASS</x:v>
      </x:c>
      <x:c r="K1546" s="34" t="str">
        <x:v>PASS</x:v>
      </x:c>
      <x:c r="L1546" s="34" t="str">
        <x:v>PASS</x:v>
      </x:c>
      <x:c r="M1546" s="34" t="str">
        <x:v>numeric coverage for applicable metric</x:v>
      </x:c>
      <x:c r="N1546" s="34" t="str">
        <x:v>Feedback-Directed Random Test Generation/Result_Round2/Math_7/result.json</x:v>
      </x:c>
      <x:c r="O1546" s="38" t="n">
        <x:f>IF(AND(G1546="RECORDED",ISNUMBER(H1546)),H1546,"")</x:f>
        <x:v>0</x:v>
      </x:c>
      <x:c r="P1546" s="34" t="str">
        <x:v>NOT_REVEALING</x:v>
      </x:c>
      <x:c r="Q1546" s="34" t="str">
        <x:v>Feedback-Directed Random Test Generation/Result_Round2/Math_7/result.json</x:v>
      </x:c>
    </x:row>
    <x:row r="1547">
      <x:c r="A1547" s="34" t="str">
        <x:v>randoop</x:v>
      </x:c>
      <x:c r="B1547" s="34" t="str">
        <x:v>Math</x:v>
      </x:c>
      <x:c r="C1547" s="34" t="str">
        <x:v>Round2</x:v>
      </x:c>
      <x:c r="D1547" s="34" t="str">
        <x:v>Math_8</x:v>
      </x:c>
      <x:c r="E1547" s="34" t="str">
        <x:v>Coverage</x:v>
      </x:c>
      <x:c r="F1547" s="34" t="n">
        <x:v>64</x:v>
      </x:c>
      <x:c r="G1547" s="34" t="str">
        <x:v>RECORDED</x:v>
      </x:c>
      <x:c r="H1547" s="38" t="n">
        <x:f>IF(ISNUMBER('Data'!G1547),'Data'!G1547*100,"")</x:f>
        <x:v>12.5</x:v>
      </x:c>
      <x:c r="I1547" s="34" t="str">
        <x:v>PASS</x:v>
      </x:c>
      <x:c r="J1547" s="34" t="str">
        <x:v>PASS</x:v>
      </x:c>
      <x:c r="K1547" s="34" t="str">
        <x:v>PASS</x:v>
      </x:c>
      <x:c r="L1547" s="34" t="str">
        <x:v>PASS</x:v>
      </x:c>
      <x:c r="M1547" s="34" t="str">
        <x:v>numeric coverage for applicable metric</x:v>
      </x:c>
      <x:c r="N1547" s="34" t="str">
        <x:v>Feedback-Directed Random Test Generation/Result_Round2/Math_8/result.json</x:v>
      </x:c>
      <x:c r="O1547" s="38" t="n">
        <x:f>IF(AND(G1547="RECORDED",ISNUMBER(H1547)),H1547,"")</x:f>
        <x:v>12.5</x:v>
      </x:c>
      <x:c r="P1547" s="34" t="str">
        <x:v>NOT_REVEALING</x:v>
      </x:c>
      <x:c r="Q1547" s="34" t="str">
        <x:v>Feedback-Directed Random Test Generation/Result_Round2/Math_8/result.json</x:v>
      </x:c>
    </x:row>
    <x:row r="1548">
      <x:c r="A1548" s="34" t="str">
        <x:v>randoop</x:v>
      </x:c>
      <x:c r="B1548" s="34" t="str">
        <x:v>Math</x:v>
      </x:c>
      <x:c r="C1548" s="34" t="str">
        <x:v>Round2</x:v>
      </x:c>
      <x:c r="D1548" s="34" t="str">
        <x:v>Math_9</x:v>
      </x:c>
      <x:c r="E1548" s="34" t="str">
        <x:v>Coverage</x:v>
      </x:c>
      <x:c r="F1548" s="34" t="n">
        <x:v>62</x:v>
      </x:c>
      <x:c r="G1548" s="34" t="str">
        <x:v>RECORDED</x:v>
      </x:c>
      <x:c r="H1548" s="38" t="n">
        <x:f>IF(ISNUMBER('Data'!G1548),'Data'!G1548*100,"")</x:f>
        <x:v>8.06</x:v>
      </x:c>
      <x:c r="I1548" s="34" t="str">
        <x:v>PASS</x:v>
      </x:c>
      <x:c r="J1548" s="34" t="str">
        <x:v>PASS</x:v>
      </x:c>
      <x:c r="K1548" s="34" t="str">
        <x:v>PASS</x:v>
      </x:c>
      <x:c r="L1548" s="34" t="str">
        <x:v>PASS</x:v>
      </x:c>
      <x:c r="M1548" s="34" t="str">
        <x:v>numeric coverage for applicable metric</x:v>
      </x:c>
      <x:c r="N1548" s="34" t="str">
        <x:v>Feedback-Directed Random Test Generation/Result_Round2/Math_9/result.json</x:v>
      </x:c>
      <x:c r="O1548" s="38" t="n">
        <x:f>IF(AND(G1548="RECORDED",ISNUMBER(H1548)),H1548,"")</x:f>
        <x:v>8.06</x:v>
      </x:c>
      <x:c r="P1548" s="34" t="str">
        <x:v>NOT_REVEALING</x:v>
      </x:c>
      <x:c r="Q1548" s="34" t="str">
        <x:v>Feedback-Directed Random Test Generation/Result_Round2/Math_9/result.json</x:v>
      </x:c>
    </x:row>
    <x:row r="1549">
      <x:c r="A1549" s="34" t="str">
        <x:v>randoop</x:v>
      </x:c>
      <x:c r="B1549" s="34" t="str">
        <x:v>Math</x:v>
      </x:c>
      <x:c r="C1549" s="34" t="str">
        <x:v>Round2</x:v>
      </x:c>
      <x:c r="D1549" s="34" t="str">
        <x:v>Math_10</x:v>
      </x:c>
      <x:c r="E1549" s="34" t="str">
        <x:v>Coverage</x:v>
      </x:c>
      <x:c r="F1549" s="34" t="n">
        <x:v>839</x:v>
      </x:c>
      <x:c r="G1549" s="34" t="str">
        <x:v>RECORDED</x:v>
      </x:c>
      <x:c r="H1549" s="38" t="n">
        <x:f>IF(ISNUMBER('Data'!G1549),'Data'!G1549*100,"")</x:f>
        <x:v>60.309999999999995</x:v>
      </x:c>
      <x:c r="I1549" s="34" t="str">
        <x:v>PASS</x:v>
      </x:c>
      <x:c r="J1549" s="34" t="str">
        <x:v>PASS</x:v>
      </x:c>
      <x:c r="K1549" s="34" t="str">
        <x:v>PASS</x:v>
      </x:c>
      <x:c r="L1549" s="34" t="str">
        <x:v>PASS</x:v>
      </x:c>
      <x:c r="M1549" s="34" t="str">
        <x:v>numeric coverage for applicable metric</x:v>
      </x:c>
      <x:c r="N1549" s="34" t="str">
        <x:v>Feedback-Directed Random Test Generation/Result_Round2/Math_10/result.json</x:v>
      </x:c>
      <x:c r="O1549" s="38" t="n">
        <x:f>IF(AND(G1549="RECORDED",ISNUMBER(H1549)),H1549,"")</x:f>
        <x:v>60.309999999999995</x:v>
      </x:c>
      <x:c r="P1549" s="34" t="str">
        <x:v>NOT_REVEALING</x:v>
      </x:c>
      <x:c r="Q1549" s="34" t="str">
        <x:v>Feedback-Directed Random Test Generation/Result_Round2/Math_10/result.json</x:v>
      </x:c>
    </x:row>
    <x:row r="1550">
      <x:c r="A1550" s="34" t="str">
        <x:v>randoop</x:v>
      </x:c>
      <x:c r="B1550" s="34" t="str">
        <x:v>Math</x:v>
      </x:c>
      <x:c r="C1550" s="34" t="str">
        <x:v>Round2</x:v>
      </x:c>
      <x:c r="D1550" s="34" t="str">
        <x:v>Math_11</x:v>
      </x:c>
      <x:c r="E1550" s="34" t="str">
        <x:v>Coverage</x:v>
      </x:c>
      <x:c r="F1550" s="34" t="n">
        <x:v>87</x:v>
      </x:c>
      <x:c r="G1550" s="34" t="str">
        <x:v>RECORDED</x:v>
      </x:c>
      <x:c r="H1550" s="38" t="n">
        <x:f>IF(ISNUMBER('Data'!G1550),'Data'!G1550*100,"")</x:f>
        <x:v>100</x:v>
      </x:c>
      <x:c r="I1550" s="34" t="str">
        <x:v>PASS</x:v>
      </x:c>
      <x:c r="J1550" s="34" t="str">
        <x:v>PASS</x:v>
      </x:c>
      <x:c r="K1550" s="34" t="str">
        <x:v>PASS</x:v>
      </x:c>
      <x:c r="L1550" s="34" t="str">
        <x:v>PASS</x:v>
      </x:c>
      <x:c r="M1550" s="34" t="str">
        <x:v>numeric coverage for applicable metric</x:v>
      </x:c>
      <x:c r="N1550" s="34" t="str">
        <x:v>Feedback-Directed Random Test Generation/Result_Round2/Math_11/result.json</x:v>
      </x:c>
      <x:c r="O1550" s="38" t="n">
        <x:f>IF(AND(G1550="RECORDED",ISNUMBER(H1550)),H1550,"")</x:f>
        <x:v>100</x:v>
      </x:c>
      <x:c r="P1550" s="34" t="str">
        <x:v>INCONCLUSIVE</x:v>
      </x:c>
      <x:c r="Q1550" s="34" t="str">
        <x:v>Feedback-Directed Random Test Generation/Result_Round2/Math_11/result.json</x:v>
      </x:c>
    </x:row>
    <x:row r="1551">
      <x:c r="A1551" s="34" t="str">
        <x:v>randoop</x:v>
      </x:c>
      <x:c r="B1551" s="34" t="str">
        <x:v>Math</x:v>
      </x:c>
      <x:c r="C1551" s="34" t="str">
        <x:v>Round2</x:v>
      </x:c>
      <x:c r="D1551" s="34" t="str">
        <x:v>Math_12</x:v>
      </x:c>
      <x:c r="E1551" s="34" t="str">
        <x:v>Coverage</x:v>
      </x:c>
      <x:c r="F1551" s="34" t="n">
        <x:v>62</x:v>
      </x:c>
      <x:c r="G1551" s="34" t="str">
        <x:v>RECORDED</x:v>
      </x:c>
      <x:c r="H1551" s="38" t="n">
        <x:f>IF(ISNUMBER('Data'!G1551),'Data'!G1551*100,"")</x:f>
        <x:v>0</x:v>
      </x:c>
      <x:c r="I1551" s="34" t="str">
        <x:v>PASS</x:v>
      </x:c>
      <x:c r="J1551" s="34" t="str">
        <x:v>PASS</x:v>
      </x:c>
      <x:c r="K1551" s="34" t="str">
        <x:v>PASS</x:v>
      </x:c>
      <x:c r="L1551" s="34" t="str">
        <x:v>PASS</x:v>
      </x:c>
      <x:c r="M1551" s="34" t="str">
        <x:v>numeric coverage for applicable metric</x:v>
      </x:c>
      <x:c r="N1551" s="34" t="str">
        <x:v>Feedback-Directed Random Test Generation/Result_Round2/Math_12/result.json</x:v>
      </x:c>
      <x:c r="O1551" s="38" t="n">
        <x:f>IF(AND(G1551="RECORDED",ISNUMBER(H1551)),H1551,"")</x:f>
        <x:v>0</x:v>
      </x:c>
      <x:c r="P1551" s="34" t="str">
        <x:v>NOT_REVEALING</x:v>
      </x:c>
      <x:c r="Q1551" s="34" t="str">
        <x:v>Feedback-Directed Random Test Generation/Result_Round2/Math_12/result.json</x:v>
      </x:c>
    </x:row>
    <x:row r="1552">
      <x:c r="A1552" s="34" t="str">
        <x:v>randoop</x:v>
      </x:c>
      <x:c r="B1552" s="34" t="str">
        <x:v>Math</x:v>
      </x:c>
      <x:c r="C1552" s="34" t="str">
        <x:v>Round2</x:v>
      </x:c>
      <x:c r="D1552" s="34" t="str">
        <x:v>Math_13</x:v>
      </x:c>
      <x:c r="E1552" s="34" t="str">
        <x:v>Coverage</x:v>
      </x:c>
      <x:c r="F1552" s="34" t="n">
        <x:v>99</x:v>
      </x:c>
      <x:c r="G1552" s="34" t="str">
        <x:v>RECORDED</x:v>
      </x:c>
      <x:c r="H1552" s="38" t="n">
        <x:f>IF(ISNUMBER('Data'!G1552),'Data'!G1552*100,"")</x:f>
        <x:v>0</x:v>
      </x:c>
      <x:c r="I1552" s="34" t="str">
        <x:v>PASS</x:v>
      </x:c>
      <x:c r="J1552" s="34" t="str">
        <x:v>PASS</x:v>
      </x:c>
      <x:c r="K1552" s="34" t="str">
        <x:v>PASS</x:v>
      </x:c>
      <x:c r="L1552" s="34" t="str">
        <x:v>PASS</x:v>
      </x:c>
      <x:c r="M1552" s="34" t="str">
        <x:v>numeric coverage for applicable metric</x:v>
      </x:c>
      <x:c r="N1552" s="34" t="str">
        <x:v>Feedback-Directed Random Test Generation/Result_Round2/Math_13/result.json</x:v>
      </x:c>
      <x:c r="O1552" s="38" t="n">
        <x:f>IF(AND(G1552="RECORDED",ISNUMBER(H1552)),H1552,"")</x:f>
        <x:v>0</x:v>
      </x:c>
      <x:c r="P1552" s="34" t="str">
        <x:v>NOT_REVEALING</x:v>
      </x:c>
      <x:c r="Q1552" s="34" t="str">
        <x:v>Feedback-Directed Random Test Generation/Result_Round2/Math_13/result.json</x:v>
      </x:c>
    </x:row>
    <x:row r="1553">
      <x:c r="A1553" s="34" t="str">
        <x:v>randoop</x:v>
      </x:c>
      <x:c r="B1553" s="34" t="str">
        <x:v>Math</x:v>
      </x:c>
      <x:c r="C1553" s="34" t="str">
        <x:v>Round2</x:v>
      </x:c>
      <x:c r="D1553" s="34" t="str">
        <x:v>Math_14</x:v>
      </x:c>
      <x:c r="E1553" s="34" t="str">
        <x:v>Coverage</x:v>
      </x:c>
      <x:c r="F1553" s="34" t="n">
        <x:v>65</x:v>
      </x:c>
      <x:c r="G1553" s="34" t="str">
        <x:v>RECORDED</x:v>
      </x:c>
      <x:c r="H1553" s="38" t="n">
        <x:f>IF(ISNUMBER('Data'!G1553),'Data'!G1553*100,"")</x:f>
        <x:v>21.54</x:v>
      </x:c>
      <x:c r="I1553" s="34" t="str">
        <x:v>PASS</x:v>
      </x:c>
      <x:c r="J1553" s="34" t="str">
        <x:v>PASS</x:v>
      </x:c>
      <x:c r="K1553" s="34" t="str">
        <x:v>PASS</x:v>
      </x:c>
      <x:c r="L1553" s="34" t="str">
        <x:v>PASS</x:v>
      </x:c>
      <x:c r="M1553" s="34" t="str">
        <x:v>numeric coverage for applicable metric</x:v>
      </x:c>
      <x:c r="N1553" s="34" t="str">
        <x:v>Feedback-Directed Random Test Generation/Result_Round2/Math_14/result.json</x:v>
      </x:c>
      <x:c r="O1553" s="38" t="n">
        <x:f>IF(AND(G1553="RECORDED",ISNUMBER(H1553)),H1553,"")</x:f>
        <x:v>21.54</x:v>
      </x:c>
      <x:c r="P1553" s="34" t="str">
        <x:v>INCONCLUSIVE</x:v>
      </x:c>
      <x:c r="Q1553" s="34" t="str">
        <x:v>Feedback-Directed Random Test Generation/Result_Round2/Math_14/result.json</x:v>
      </x:c>
    </x:row>
    <x:row r="1554">
      <x:c r="A1554" s="34" t="str">
        <x:v>randoop</x:v>
      </x:c>
      <x:c r="B1554" s="34" t="str">
        <x:v>Math</x:v>
      </x:c>
      <x:c r="C1554" s="34" t="str">
        <x:v>Round2</x:v>
      </x:c>
      <x:c r="D1554" s="34" t="str">
        <x:v>Math_15</x:v>
      </x:c>
      <x:c r="E1554" s="34" t="str">
        <x:v>Coverage</x:v>
      </x:c>
      <x:c r="F1554" s="34" t="n">
        <x:v>0</x:v>
      </x:c>
      <x:c r="G1554" s="34" t="str">
        <x:v>A</x:v>
      </x:c>
      <x:c r="H1554" s="38" t="str">
        <x:f>IF(ISNUMBER('Data'!G1554),'Data'!G1554*100,"")</x:f>
      </x:c>
      <x:c r="I1554" s="34"/>
      <x:c r="J1554" s="34"/>
      <x:c r="K1554" s="34"/>
      <x:c r="L1554" s="34" t="str">
        <x:v>NOT_RUN</x:v>
      </x:c>
      <x:c r="M1554" s="34" t="str">
        <x:v>Latest same-round generation failed; older files/results are excluded</x:v>
      </x:c>
      <x:c r="N1554" s="34" t="str">
        <x:v>Feedback-Directed Random Test Generation/report_Round2.csv</x:v>
      </x:c>
      <x:c r="O1554" s="38" t="str">
        <x:f>IF(AND(G1554="RECORDED",ISNUMBER(H1554)),H1554,"")</x:f>
      </x:c>
      <x:c r="P1554" s="34" t="str">
        <x:v>FAIL</x:v>
      </x:c>
      <x:c r="Q1554" s="34"/>
    </x:row>
    <x:row r="1555">
      <x:c r="A1555" s="34" t="str">
        <x:v>randoop</x:v>
      </x:c>
      <x:c r="B1555" s="34" t="str">
        <x:v>Math</x:v>
      </x:c>
      <x:c r="C1555" s="34" t="str">
        <x:v>Round2</x:v>
      </x:c>
      <x:c r="D1555" s="34" t="str">
        <x:v>Math_16</x:v>
      </x:c>
      <x:c r="E1555" s="34" t="str">
        <x:v>Coverage</x:v>
      </x:c>
      <x:c r="F1555" s="34" t="n">
        <x:v>2274</x:v>
      </x:c>
      <x:c r="G1555" s="34" t="str">
        <x:v>RECORDED</x:v>
      </x:c>
      <x:c r="H1555" s="38" t="n">
        <x:f>IF(ISNUMBER('Data'!G1555),'Data'!G1555*100,"")</x:f>
        <x:v>85</x:v>
      </x:c>
      <x:c r="I1555" s="34" t="str">
        <x:v>PASS</x:v>
      </x:c>
      <x:c r="J1555" s="34" t="str">
        <x:v>PASS</x:v>
      </x:c>
      <x:c r="K1555" s="34" t="str">
        <x:v>PASS</x:v>
      </x:c>
      <x:c r="L1555" s="34" t="str">
        <x:v>PASS</x:v>
      </x:c>
      <x:c r="M1555" s="34" t="str">
        <x:v>numeric coverage for applicable metric</x:v>
      </x:c>
      <x:c r="N1555" s="34" t="str">
        <x:v>Feedback-Directed Random Test Generation/Result_Round2/Math_16/result.json</x:v>
      </x:c>
      <x:c r="O1555" s="38" t="n">
        <x:f>IF(AND(G1555="RECORDED",ISNUMBER(H1555)),H1555,"")</x:f>
        <x:v>85</x:v>
      </x:c>
      <x:c r="P1555" s="34" t="str">
        <x:v>NOT_REVEALING</x:v>
      </x:c>
      <x:c r="Q1555" s="34" t="str">
        <x:v>Feedback-Directed Random Test Generation/Result_Round2/Math_16/result.json</x:v>
      </x:c>
    </x:row>
    <x:row r="1556">
      <x:c r="A1556" s="34" t="str">
        <x:v>randoop</x:v>
      </x:c>
      <x:c r="B1556" s="34" t="str">
        <x:v>Math</x:v>
      </x:c>
      <x:c r="C1556" s="34" t="str">
        <x:v>Round2</x:v>
      </x:c>
      <x:c r="D1556" s="34" t="str">
        <x:v>Math_17</x:v>
      </x:c>
      <x:c r="E1556" s="34" t="str">
        <x:v>Coverage</x:v>
      </x:c>
      <x:c r="F1556" s="34" t="n">
        <x:v>1767</x:v>
      </x:c>
      <x:c r="G1556" s="34" t="str">
        <x:v>RECORDED</x:v>
      </x:c>
      <x:c r="H1556" s="38" t="n">
        <x:f>IF(ISNUMBER('Data'!G1556),'Data'!G1556*100,"")</x:f>
        <x:v>0.91</x:v>
      </x:c>
      <x:c r="I1556" s="34" t="str">
        <x:v>PASS</x:v>
      </x:c>
      <x:c r="J1556" s="34" t="str">
        <x:v>PASS</x:v>
      </x:c>
      <x:c r="K1556" s="34" t="str">
        <x:v>PASS</x:v>
      </x:c>
      <x:c r="L1556" s="34" t="str">
        <x:v>PASS</x:v>
      </x:c>
      <x:c r="M1556" s="34" t="str">
        <x:v>numeric coverage for applicable metric</x:v>
      </x:c>
      <x:c r="N1556" s="34" t="str">
        <x:v>Feedback-Directed Random Test Generation/Result_Round2/Math_17/result.json</x:v>
      </x:c>
      <x:c r="O1556" s="38" t="n">
        <x:f>IF(AND(G1556="RECORDED",ISNUMBER(H1556)),H1556,"")</x:f>
        <x:v>0.91</x:v>
      </x:c>
      <x:c r="P1556" s="34" t="str">
        <x:v>NOT_REVEALING</x:v>
      </x:c>
      <x:c r="Q1556" s="34" t="str">
        <x:v>Feedback-Directed Random Test Generation/Result_Round2/Math_17/result.json</x:v>
      </x:c>
    </x:row>
    <x:row r="1557">
      <x:c r="A1557" s="34" t="str">
        <x:v>randoop</x:v>
      </x:c>
      <x:c r="B1557" s="34" t="str">
        <x:v>Math</x:v>
      </x:c>
      <x:c r="C1557" s="34" t="str">
        <x:v>Round2</x:v>
      </x:c>
      <x:c r="D1557" s="34" t="str">
        <x:v>Math_18</x:v>
      </x:c>
      <x:c r="E1557" s="34" t="str">
        <x:v>Coverage</x:v>
      </x:c>
      <x:c r="F1557" s="34" t="n">
        <x:v>786</x:v>
      </x:c>
      <x:c r="G1557" s="34" t="str">
        <x:v>RECORDED</x:v>
      </x:c>
      <x:c r="H1557" s="38" t="n">
        <x:f>IF(ISNUMBER('Data'!G1557),'Data'!G1557*100,"")</x:f>
        <x:v>4.45</x:v>
      </x:c>
      <x:c r="I1557" s="34" t="str">
        <x:v>PASS</x:v>
      </x:c>
      <x:c r="J1557" s="34" t="str">
        <x:v>PASS</x:v>
      </x:c>
      <x:c r="K1557" s="34" t="str">
        <x:v>PASS</x:v>
      </x:c>
      <x:c r="L1557" s="34" t="str">
        <x:v>FAIL</x:v>
      </x:c>
      <x:c r="M1557" s="34" t="str">
        <x:v>numeric coverage for applicable metric</x:v>
      </x:c>
      <x:c r="N1557" s="34" t="str">
        <x:v>Feedback-Directed Random Test Generation/Result_Round2/Math_18/result.json</x:v>
      </x:c>
      <x:c r="O1557" s="38" t="n">
        <x:f>IF(AND(G1557="RECORDED",ISNUMBER(H1557)),H1557,"")</x:f>
        <x:v>4.45</x:v>
      </x:c>
      <x:c r="P1557" s="34" t="str">
        <x:v>INCONCLUSIVE</x:v>
      </x:c>
      <x:c r="Q1557" s="34" t="str">
        <x:v>Feedback-Directed Random Test Generation/Result_Round2/Math_18/result.json</x:v>
      </x:c>
    </x:row>
    <x:row r="1558">
      <x:c r="A1558" s="34" t="str">
        <x:v>randoop</x:v>
      </x:c>
      <x:c r="B1558" s="34" t="str">
        <x:v>Math</x:v>
      </x:c>
      <x:c r="C1558" s="34" t="str">
        <x:v>Round2</x:v>
      </x:c>
      <x:c r="D1558" s="34" t="str">
        <x:v>Math_19</x:v>
      </x:c>
      <x:c r="E1558" s="34" t="str">
        <x:v>Coverage</x:v>
      </x:c>
      <x:c r="F1558" s="34" t="n">
        <x:v>773</x:v>
      </x:c>
      <x:c r="G1558" s="34" t="str">
        <x:v>RECORDED</x:v>
      </x:c>
      <x:c r="H1558" s="38" t="n">
        <x:f>IF(ISNUMBER('Data'!G1558),'Data'!G1558*100,"")</x:f>
        <x:v>4.53</x:v>
      </x:c>
      <x:c r="I1558" s="34" t="str">
        <x:v>PASS</x:v>
      </x:c>
      <x:c r="J1558" s="34" t="str">
        <x:v>PASS</x:v>
      </x:c>
      <x:c r="K1558" s="34" t="str">
        <x:v>PASS</x:v>
      </x:c>
      <x:c r="L1558" s="34" t="str">
        <x:v>FAIL</x:v>
      </x:c>
      <x:c r="M1558" s="34" t="str">
        <x:v>numeric coverage for applicable metric</x:v>
      </x:c>
      <x:c r="N1558" s="34" t="str">
        <x:v>Feedback-Directed Random Test Generation/Result_Round2/Math_19/result.json</x:v>
      </x:c>
      <x:c r="O1558" s="38" t="n">
        <x:f>IF(AND(G1558="RECORDED",ISNUMBER(H1558)),H1558,"")</x:f>
        <x:v>4.53</x:v>
      </x:c>
      <x:c r="P1558" s="34" t="str">
        <x:v>INCONCLUSIVE</x:v>
      </x:c>
      <x:c r="Q1558" s="34" t="str">
        <x:v>Feedback-Directed Random Test Generation/Result_Round2/Math_19/result.json</x:v>
      </x:c>
    </x:row>
    <x:row r="1559">
      <x:c r="A1559" s="34" t="str">
        <x:v>randoop</x:v>
      </x:c>
      <x:c r="B1559" s="34" t="str">
        <x:v>Math</x:v>
      </x:c>
      <x:c r="C1559" s="34" t="str">
        <x:v>Round2</x:v>
      </x:c>
      <x:c r="D1559" s="34" t="str">
        <x:v>Math_20</x:v>
      </x:c>
      <x:c r="E1559" s="34" t="str">
        <x:v>Coverage</x:v>
      </x:c>
      <x:c r="F1559" s="34" t="n">
        <x:v>768</x:v>
      </x:c>
      <x:c r="G1559" s="34" t="str">
        <x:v>RECORDED</x:v>
      </x:c>
      <x:c r="H1559" s="38" t="n">
        <x:f>IF(ISNUMBER('Data'!G1559),'Data'!G1559*100,"")</x:f>
        <x:v>4.56</x:v>
      </x:c>
      <x:c r="I1559" s="34" t="str">
        <x:v>PASS</x:v>
      </x:c>
      <x:c r="J1559" s="34" t="str">
        <x:v>PASS</x:v>
      </x:c>
      <x:c r="K1559" s="34" t="str">
        <x:v>PASS</x:v>
      </x:c>
      <x:c r="L1559" s="34" t="str">
        <x:v>FAIL</x:v>
      </x:c>
      <x:c r="M1559" s="34" t="str">
        <x:v>numeric coverage for applicable metric</x:v>
      </x:c>
      <x:c r="N1559" s="34" t="str">
        <x:v>Feedback-Directed Random Test Generation/Result_Round2/Math_20/result.json</x:v>
      </x:c>
      <x:c r="O1559" s="38" t="n">
        <x:f>IF(AND(G1559="RECORDED",ISNUMBER(H1559)),H1559,"")</x:f>
        <x:v>4.56</x:v>
      </x:c>
      <x:c r="P1559" s="34" t="str">
        <x:v>INCONCLUSIVE</x:v>
      </x:c>
      <x:c r="Q1559" s="34" t="str">
        <x:v>Feedback-Directed Random Test Generation/Result_Round2/Math_20/result.json</x:v>
      </x:c>
    </x:row>
    <x:row r="1560">
      <x:c r="A1560" s="34" t="str">
        <x:v>randoop</x:v>
      </x:c>
      <x:c r="B1560" s="34" t="str">
        <x:v>Math</x:v>
      </x:c>
      <x:c r="C1560" s="34" t="str">
        <x:v>Round2</x:v>
      </x:c>
      <x:c r="D1560" s="34" t="str">
        <x:v>Math_21</x:v>
      </x:c>
      <x:c r="E1560" s="34" t="str">
        <x:v>Coverage</x:v>
      </x:c>
      <x:c r="F1560" s="34" t="n">
        <x:v>80</x:v>
      </x:c>
      <x:c r="G1560" s="34" t="str">
        <x:v>RECORDED</x:v>
      </x:c>
      <x:c r="H1560" s="38" t="n">
        <x:f>IF(ISNUMBER('Data'!G1560),'Data'!G1560*100,"")</x:f>
        <x:v>2.5</x:v>
      </x:c>
      <x:c r="I1560" s="34" t="str">
        <x:v>PASS</x:v>
      </x:c>
      <x:c r="J1560" s="34" t="str">
        <x:v>PASS</x:v>
      </x:c>
      <x:c r="K1560" s="34" t="str">
        <x:v>PASS</x:v>
      </x:c>
      <x:c r="L1560" s="34" t="str">
        <x:v>PASS</x:v>
      </x:c>
      <x:c r="M1560" s="34" t="str">
        <x:v>numeric coverage for applicable metric</x:v>
      </x:c>
      <x:c r="N1560" s="34" t="str">
        <x:v>Feedback-Directed Random Test Generation/Result_Round2/Math_21/result.json</x:v>
      </x:c>
      <x:c r="O1560" s="38" t="n">
        <x:f>IF(AND(G1560="RECORDED",ISNUMBER(H1560)),H1560,"")</x:f>
        <x:v>2.5</x:v>
      </x:c>
      <x:c r="P1560" s="34" t="str">
        <x:v>NOT_REVEALING</x:v>
      </x:c>
      <x:c r="Q1560" s="34" t="str">
        <x:v>Feedback-Directed Random Test Generation/Result_Round2/Math_21/result.json</x:v>
      </x:c>
    </x:row>
    <x:row r="1561">
      <x:c r="A1561" s="34" t="str">
        <x:v>randoop</x:v>
      </x:c>
      <x:c r="B1561" s="34" t="str">
        <x:v>Math</x:v>
      </x:c>
      <x:c r="C1561" s="34" t="str">
        <x:v>Round2</x:v>
      </x:c>
      <x:c r="D1561" s="34" t="str">
        <x:v>Math_22</x:v>
      </x:c>
      <x:c r="E1561" s="34" t="str">
        <x:v>Coverage</x:v>
      </x:c>
      <x:c r="F1561" s="34" t="n">
        <x:v>0</x:v>
      </x:c>
      <x:c r="G1561" s="34" t="str">
        <x:v>A</x:v>
      </x:c>
      <x:c r="H1561" s="38" t="str">
        <x:f>IF(ISNUMBER('Data'!G1561),'Data'!G1561*100,"")</x:f>
      </x:c>
      <x:c r="I1561" s="34"/>
      <x:c r="J1561" s="34"/>
      <x:c r="K1561" s="34"/>
      <x:c r="L1561" s="34" t="str">
        <x:v>NOT_RUN</x:v>
      </x:c>
      <x:c r="M1561" s="34" t="str">
        <x:v>Latest same-round generation failed; older files/results are excluded</x:v>
      </x:c>
      <x:c r="N1561" s="34" t="str">
        <x:v>Feedback-Directed Random Test Generation/report_Round2.csv</x:v>
      </x:c>
      <x:c r="O1561" s="38" t="str">
        <x:f>IF(AND(G1561="RECORDED",ISNUMBER(H1561)),H1561,"")</x:f>
      </x:c>
      <x:c r="P1561" s="34" t="str">
        <x:v>FAIL</x:v>
      </x:c>
      <x:c r="Q1561" s="34"/>
    </x:row>
    <x:row r="1562">
      <x:c r="A1562" s="34" t="str">
        <x:v>randoop</x:v>
      </x:c>
      <x:c r="B1562" s="34" t="str">
        <x:v>Math</x:v>
      </x:c>
      <x:c r="C1562" s="34" t="str">
        <x:v>Round2</x:v>
      </x:c>
      <x:c r="D1562" s="34" t="str">
        <x:v>Math_23</x:v>
      </x:c>
      <x:c r="E1562" s="34" t="str">
        <x:v>Coverage</x:v>
      </x:c>
      <x:c r="F1562" s="34" t="n">
        <x:v>195</x:v>
      </x:c>
      <x:c r="G1562" s="34" t="str">
        <x:v>RECORDED</x:v>
      </x:c>
      <x:c r="H1562" s="38" t="n">
        <x:f>IF(ISNUMBER('Data'!G1562),'Data'!G1562*100,"")</x:f>
        <x:v>16.92</x:v>
      </x:c>
      <x:c r="I1562" s="34" t="str">
        <x:v>PASS</x:v>
      </x:c>
      <x:c r="J1562" s="34" t="str">
        <x:v>PASS</x:v>
      </x:c>
      <x:c r="K1562" s="34" t="str">
        <x:v>PASS</x:v>
      </x:c>
      <x:c r="L1562" s="34" t="str">
        <x:v>PASS</x:v>
      </x:c>
      <x:c r="M1562" s="34" t="str">
        <x:v>numeric coverage for applicable metric</x:v>
      </x:c>
      <x:c r="N1562" s="34" t="str">
        <x:v>Feedback-Directed Random Test Generation/Result_Round2/Math_23/result.json</x:v>
      </x:c>
      <x:c r="O1562" s="38" t="n">
        <x:f>IF(AND(G1562="RECORDED",ISNUMBER(H1562)),H1562,"")</x:f>
        <x:v>16.92</x:v>
      </x:c>
      <x:c r="P1562" s="34" t="str">
        <x:v>NOT_REVEALING</x:v>
      </x:c>
      <x:c r="Q1562" s="34" t="str">
        <x:v>Feedback-Directed Random Test Generation/Result_Round2/Math_23/result.json</x:v>
      </x:c>
    </x:row>
    <x:row r="1563">
      <x:c r="A1563" s="34" t="str">
        <x:v>randoop</x:v>
      </x:c>
      <x:c r="B1563" s="34" t="str">
        <x:v>Math</x:v>
      </x:c>
      <x:c r="C1563" s="34" t="str">
        <x:v>Round2</x:v>
      </x:c>
      <x:c r="D1563" s="34" t="str">
        <x:v>Math_24</x:v>
      </x:c>
      <x:c r="E1563" s="34" t="str">
        <x:v>Coverage</x:v>
      </x:c>
      <x:c r="F1563" s="34" t="n">
        <x:v>194</x:v>
      </x:c>
      <x:c r="G1563" s="34" t="str">
        <x:v>RECORDED</x:v>
      </x:c>
      <x:c r="H1563" s="38" t="n">
        <x:f>IF(ISNUMBER('Data'!G1563),'Data'!G1563*100,"")</x:f>
        <x:v>17.01</x:v>
      </x:c>
      <x:c r="I1563" s="34" t="str">
        <x:v>PASS</x:v>
      </x:c>
      <x:c r="J1563" s="34" t="str">
        <x:v>PASS</x:v>
      </x:c>
      <x:c r="K1563" s="34" t="str">
        <x:v>PASS</x:v>
      </x:c>
      <x:c r="L1563" s="34" t="str">
        <x:v>PASS</x:v>
      </x:c>
      <x:c r="M1563" s="34" t="str">
        <x:v>numeric coverage for applicable metric</x:v>
      </x:c>
      <x:c r="N1563" s="34" t="str">
        <x:v>Feedback-Directed Random Test Generation/Result_Round2/Math_24/result.json</x:v>
      </x:c>
      <x:c r="O1563" s="38" t="n">
        <x:f>IF(AND(G1563="RECORDED",ISNUMBER(H1563)),H1563,"")</x:f>
        <x:v>17.01</x:v>
      </x:c>
      <x:c r="P1563" s="34" t="str">
        <x:v>NOT_REVEALING</x:v>
      </x:c>
      <x:c r="Q1563" s="34" t="str">
        <x:v>Feedback-Directed Random Test Generation/Result_Round2/Math_24/result.json</x:v>
      </x:c>
    </x:row>
    <x:row r="1564">
      <x:c r="A1564" s="34" t="str">
        <x:v>randoop</x:v>
      </x:c>
      <x:c r="B1564" s="34" t="str">
        <x:v>Math</x:v>
      </x:c>
      <x:c r="C1564" s="34" t="str">
        <x:v>Round2</x:v>
      </x:c>
      <x:c r="D1564" s="34" t="str">
        <x:v>Math_25</x:v>
      </x:c>
      <x:c r="E1564" s="34" t="str">
        <x:v>Coverage</x:v>
      </x:c>
      <x:c r="F1564" s="34" t="n">
        <x:v>122</x:v>
      </x:c>
      <x:c r="G1564" s="34" t="str">
        <x:v>RECORDED</x:v>
      </x:c>
      <x:c r="H1564" s="38" t="n">
        <x:f>IF(ISNUMBER('Data'!G1564),'Data'!G1564*100,"")</x:f>
        <x:v>96.72</x:v>
      </x:c>
      <x:c r="I1564" s="34" t="str">
        <x:v>PASS</x:v>
      </x:c>
      <x:c r="J1564" s="34" t="str">
        <x:v>PASS</x:v>
      </x:c>
      <x:c r="K1564" s="34" t="str">
        <x:v>PASS</x:v>
      </x:c>
      <x:c r="L1564" s="34" t="str">
        <x:v>PASS</x:v>
      </x:c>
      <x:c r="M1564" s="34" t="str">
        <x:v>numeric coverage for applicable metric</x:v>
      </x:c>
      <x:c r="N1564" s="34" t="str">
        <x:v>Feedback-Directed Random Test Generation/Result_Round2/Math_25/result.json</x:v>
      </x:c>
      <x:c r="O1564" s="38" t="n">
        <x:f>IF(AND(G1564="RECORDED",ISNUMBER(H1564)),H1564,"")</x:f>
        <x:v>96.72</x:v>
      </x:c>
      <x:c r="P1564" s="34" t="str">
        <x:v>NOT_REVEALING</x:v>
      </x:c>
      <x:c r="Q1564" s="34" t="str">
        <x:v>Feedback-Directed Random Test Generation/Result_Round2/Math_25/result.json</x:v>
      </x:c>
    </x:row>
    <x:row r="1565">
      <x:c r="A1565" s="34" t="str">
        <x:v>randoop</x:v>
      </x:c>
      <x:c r="B1565" s="34" t="str">
        <x:v>Math</x:v>
      </x:c>
      <x:c r="C1565" s="34" t="str">
        <x:v>Round2</x:v>
      </x:c>
      <x:c r="D1565" s="34" t="str">
        <x:v>Math_26</x:v>
      </x:c>
      <x:c r="E1565" s="34" t="str">
        <x:v>Coverage</x:v>
      </x:c>
      <x:c r="F1565" s="34" t="n">
        <x:v>277</x:v>
      </x:c>
      <x:c r="G1565" s="34" t="str">
        <x:v>RECORDED</x:v>
      </x:c>
      <x:c r="H1565" s="38" t="n">
        <x:f>IF(ISNUMBER('Data'!G1565),'Data'!G1565*100,"")</x:f>
        <x:v>90.97</x:v>
      </x:c>
      <x:c r="I1565" s="34" t="str">
        <x:v>PASS</x:v>
      </x:c>
      <x:c r="J1565" s="34" t="str">
        <x:v>PASS</x:v>
      </x:c>
      <x:c r="K1565" s="34" t="str">
        <x:v>PASS</x:v>
      </x:c>
      <x:c r="L1565" s="34" t="str">
        <x:v>PASS</x:v>
      </x:c>
      <x:c r="M1565" s="34" t="str">
        <x:v>numeric coverage for applicable metric</x:v>
      </x:c>
      <x:c r="N1565" s="34" t="str">
        <x:v>Feedback-Directed Random Test Generation/Result_Round2/Math_26/result.json</x:v>
      </x:c>
      <x:c r="O1565" s="38" t="n">
        <x:f>IF(AND(G1565="RECORDED",ISNUMBER(H1565)),H1565,"")</x:f>
        <x:v>90.97</x:v>
      </x:c>
      <x:c r="P1565" s="34" t="str">
        <x:v>NOT_REVEALING</x:v>
      </x:c>
      <x:c r="Q1565" s="34" t="str">
        <x:v>Feedback-Directed Random Test Generation/Result_Round2/Math_26/result.json</x:v>
      </x:c>
    </x:row>
    <x:row r="1566">
      <x:c r="A1566" s="34" t="str">
        <x:v>randoop</x:v>
      </x:c>
      <x:c r="B1566" s="34" t="str">
        <x:v>Math</x:v>
      </x:c>
      <x:c r="C1566" s="34" t="str">
        <x:v>Round2</x:v>
      </x:c>
      <x:c r="D1566" s="34" t="str">
        <x:v>Math_27</x:v>
      </x:c>
      <x:c r="E1566" s="34" t="str">
        <x:v>Coverage</x:v>
      </x:c>
      <x:c r="F1566" s="34" t="n">
        <x:v>277</x:v>
      </x:c>
      <x:c r="G1566" s="34" t="str">
        <x:v>RECORDED</x:v>
      </x:c>
      <x:c r="H1566" s="38" t="n">
        <x:f>IF(ISNUMBER('Data'!G1566),'Data'!G1566*100,"")</x:f>
        <x:v>90.25</x:v>
      </x:c>
      <x:c r="I1566" s="34" t="str">
        <x:v>PASS</x:v>
      </x:c>
      <x:c r="J1566" s="34" t="str">
        <x:v>PASS</x:v>
      </x:c>
      <x:c r="K1566" s="34" t="str">
        <x:v>PASS</x:v>
      </x:c>
      <x:c r="L1566" s="34" t="str">
        <x:v>PASS</x:v>
      </x:c>
      <x:c r="M1566" s="34" t="str">
        <x:v>numeric coverage for applicable metric</x:v>
      </x:c>
      <x:c r="N1566" s="34" t="str">
        <x:v>Feedback-Directed Random Test Generation/Result_Round2/Math_27/result.json</x:v>
      </x:c>
      <x:c r="O1566" s="38" t="n">
        <x:f>IF(AND(G1566="RECORDED",ISNUMBER(H1566)),H1566,"")</x:f>
        <x:v>90.25</x:v>
      </x:c>
      <x:c r="P1566" s="34" t="str">
        <x:v>INCONCLUSIVE</x:v>
      </x:c>
      <x:c r="Q1566" s="34" t="str">
        <x:v>Feedback-Directed Random Test Generation/Result_Round2/Math_27/result.json</x:v>
      </x:c>
    </x:row>
    <x:row r="1567">
      <x:c r="A1567" s="34" t="str">
        <x:v>randoop</x:v>
      </x:c>
      <x:c r="B1567" s="34" t="str">
        <x:v>Math</x:v>
      </x:c>
      <x:c r="C1567" s="34" t="str">
        <x:v>Round2</x:v>
      </x:c>
      <x:c r="D1567" s="34" t="str">
        <x:v>Math_28</x:v>
      </x:c>
      <x:c r="E1567" s="34" t="str">
        <x:v>Coverage</x:v>
      </x:c>
      <x:c r="F1567" s="34" t="n">
        <x:v>127</x:v>
      </x:c>
      <x:c r="G1567" s="34" t="str">
        <x:v>RECORDED</x:v>
      </x:c>
      <x:c r="H1567" s="38" t="n">
        <x:f>IF(ISNUMBER('Data'!G1567),'Data'!G1567*100,"")</x:f>
        <x:v>13.390000000000002</x:v>
      </x:c>
      <x:c r="I1567" s="34" t="str">
        <x:v>PASS</x:v>
      </x:c>
      <x:c r="J1567" s="34" t="str">
        <x:v>PASS</x:v>
      </x:c>
      <x:c r="K1567" s="34" t="str">
        <x:v>PASS</x:v>
      </x:c>
      <x:c r="L1567" s="34" t="str">
        <x:v>FAIL</x:v>
      </x:c>
      <x:c r="M1567" s="34" t="str">
        <x:v>numeric coverage for applicable metric</x:v>
      </x:c>
      <x:c r="N1567" s="34" t="str">
        <x:v>Feedback-Directed Random Test Generation/Result_Round2/Math_28/result.json</x:v>
      </x:c>
      <x:c r="O1567" s="38" t="n">
        <x:f>IF(AND(G1567="RECORDED",ISNUMBER(H1567)),H1567,"")</x:f>
        <x:v>13.390000000000002</x:v>
      </x:c>
      <x:c r="P1567" s="34" t="str">
        <x:v>INCONCLUSIVE</x:v>
      </x:c>
      <x:c r="Q1567" s="34" t="str">
        <x:v>Feedback-Directed Random Test Generation/Result_Round2/Math_28/result.json</x:v>
      </x:c>
    </x:row>
    <x:row r="1568">
      <x:c r="A1568" s="34" t="str">
        <x:v>randoop</x:v>
      </x:c>
      <x:c r="B1568" s="34" t="str">
        <x:v>Math</x:v>
      </x:c>
      <x:c r="C1568" s="34" t="str">
        <x:v>Round2</x:v>
      </x:c>
      <x:c r="D1568" s="34" t="str">
        <x:v>Math_29</x:v>
      </x:c>
      <x:c r="E1568" s="34" t="str">
        <x:v>Coverage</x:v>
      </x:c>
      <x:c r="F1568" s="34" t="n">
        <x:v>455</x:v>
      </x:c>
      <x:c r="G1568" s="34" t="str">
        <x:v>RECORDED</x:v>
      </x:c>
      <x:c r="H1568" s="38" t="n">
        <x:f>IF(ISNUMBER('Data'!G1568),'Data'!G1568*100,"")</x:f>
        <x:v>96.92</x:v>
      </x:c>
      <x:c r="I1568" s="34" t="str">
        <x:v>PASS</x:v>
      </x:c>
      <x:c r="J1568" s="34" t="str">
        <x:v>PASS</x:v>
      </x:c>
      <x:c r="K1568" s="34" t="str">
        <x:v>PASS</x:v>
      </x:c>
      <x:c r="L1568" s="34" t="str">
        <x:v>FAIL</x:v>
      </x:c>
      <x:c r="M1568" s="34" t="str">
        <x:v>numeric coverage for applicable metric</x:v>
      </x:c>
      <x:c r="N1568" s="34" t="str">
        <x:v>Feedback-Directed Random Test Generation/Result_Round2/Math_29/result.json</x:v>
      </x:c>
      <x:c r="O1568" s="38" t="n">
        <x:f>IF(AND(G1568="RECORDED",ISNUMBER(H1568)),H1568,"")</x:f>
        <x:v>96.92</x:v>
      </x:c>
      <x:c r="P1568" s="34" t="str">
        <x:v>INCONCLUSIVE</x:v>
      </x:c>
      <x:c r="Q1568" s="34" t="str">
        <x:v>Feedback-Directed Random Test Generation/Result_Round2/Math_29/result.json</x:v>
      </x:c>
    </x:row>
    <x:row r="1569">
      <x:c r="A1569" s="34" t="str">
        <x:v>randoop</x:v>
      </x:c>
      <x:c r="B1569" s="34" t="str">
        <x:v>Math</x:v>
      </x:c>
      <x:c r="C1569" s="34" t="str">
        <x:v>Round2</x:v>
      </x:c>
      <x:c r="D1569" s="34" t="str">
        <x:v>Math_30</x:v>
      </x:c>
      <x:c r="E1569" s="34" t="str">
        <x:v>Coverage</x:v>
      </x:c>
      <x:c r="F1569" s="34" t="n">
        <x:v>44</x:v>
      </x:c>
      <x:c r="G1569" s="34" t="str">
        <x:v>RECORDED</x:v>
      </x:c>
      <x:c r="H1569" s="38" t="n">
        <x:f>IF(ISNUMBER('Data'!G1569),'Data'!G1569*100,"")</x:f>
        <x:v>100</x:v>
      </x:c>
      <x:c r="I1569" s="34" t="str">
        <x:v>PASS</x:v>
      </x:c>
      <x:c r="J1569" s="34" t="str">
        <x:v>PASS</x:v>
      </x:c>
      <x:c r="K1569" s="34" t="str">
        <x:v>PASS</x:v>
      </x:c>
      <x:c r="L1569" s="34" t="str">
        <x:v>PASS</x:v>
      </x:c>
      <x:c r="M1569" s="34" t="str">
        <x:v>numeric coverage for applicable metric</x:v>
      </x:c>
      <x:c r="N1569" s="34" t="str">
        <x:v>Feedback-Directed Random Test Generation/Result_Round2/Math_30/result.json</x:v>
      </x:c>
      <x:c r="O1569" s="38" t="n">
        <x:f>IF(AND(G1569="RECORDED",ISNUMBER(H1569)),H1569,"")</x:f>
        <x:v>100</x:v>
      </x:c>
      <x:c r="P1569" s="34" t="str">
        <x:v>NOT_REVEALING</x:v>
      </x:c>
      <x:c r="Q1569" s="34" t="str">
        <x:v>Feedback-Directed Random Test Generation/Result_Round2/Math_30/result.json</x:v>
      </x:c>
    </x:row>
    <x:row r="1570">
      <x:c r="A1570" s="34" t="str">
        <x:v>randoop</x:v>
      </x:c>
      <x:c r="B1570" s="34" t="str">
        <x:v>Math</x:v>
      </x:c>
      <x:c r="C1570" s="34" t="str">
        <x:v>Round2</x:v>
      </x:c>
      <x:c r="D1570" s="34" t="str">
        <x:v>Math_31</x:v>
      </x:c>
      <x:c r="E1570" s="34" t="str">
        <x:v>Coverage</x:v>
      </x:c>
      <x:c r="F1570" s="34" t="n">
        <x:v>89</x:v>
      </x:c>
      <x:c r="G1570" s="34" t="str">
        <x:v>RECORDED</x:v>
      </x:c>
      <x:c r="H1570" s="38" t="n">
        <x:f>IF(ISNUMBER('Data'!G1570),'Data'!G1570*100,"")</x:f>
        <x:v>0</x:v>
      </x:c>
      <x:c r="I1570" s="34" t="str">
        <x:v>PASS</x:v>
      </x:c>
      <x:c r="J1570" s="34" t="str">
        <x:v>PASS</x:v>
      </x:c>
      <x:c r="K1570" s="34" t="str">
        <x:v>PASS</x:v>
      </x:c>
      <x:c r="L1570" s="34" t="str">
        <x:v>PASS</x:v>
      </x:c>
      <x:c r="M1570" s="34" t="str">
        <x:v>numeric coverage for applicable metric</x:v>
      </x:c>
      <x:c r="N1570" s="34" t="str">
        <x:v>Feedback-Directed Random Test Generation/Result_Round2/Math_31/result.json</x:v>
      </x:c>
      <x:c r="O1570" s="38" t="n">
        <x:f>IF(AND(G1570="RECORDED",ISNUMBER(H1570)),H1570,"")</x:f>
        <x:v>0</x:v>
      </x:c>
      <x:c r="P1570" s="34" t="str">
        <x:v>NOT_REVEALING</x:v>
      </x:c>
      <x:c r="Q1570" s="34" t="str">
        <x:v>Feedback-Directed Random Test Generation/Result_Round2/Math_31/result.json</x:v>
      </x:c>
    </x:row>
    <x:row r="1571">
      <x:c r="A1571" s="34" t="str">
        <x:v>randoop</x:v>
      </x:c>
      <x:c r="B1571" s="34" t="str">
        <x:v>Math</x:v>
      </x:c>
      <x:c r="C1571" s="34" t="str">
        <x:v>Round2</x:v>
      </x:c>
      <x:c r="D1571" s="34" t="str">
        <x:v>Math_32</x:v>
      </x:c>
      <x:c r="E1571" s="34" t="str">
        <x:v>Coverage</x:v>
      </x:c>
      <x:c r="F1571" s="34" t="n">
        <x:v>249</x:v>
      </x:c>
      <x:c r="G1571" s="34" t="str">
        <x:v>RECORDED</x:v>
      </x:c>
      <x:c r="H1571" s="38" t="n">
        <x:f>IF(ISNUMBER('Data'!G1571),'Data'!G1571*100,"")</x:f>
        <x:v>68.27</x:v>
      </x:c>
      <x:c r="I1571" s="34" t="str">
        <x:v>PASS</x:v>
      </x:c>
      <x:c r="J1571" s="34" t="str">
        <x:v>PASS</x:v>
      </x:c>
      <x:c r="K1571" s="34" t="str">
        <x:v>PASS</x:v>
      </x:c>
      <x:c r="L1571" s="34" t="str">
        <x:v>FAIL</x:v>
      </x:c>
      <x:c r="M1571" s="34" t="str">
        <x:v>numeric coverage for applicable metric</x:v>
      </x:c>
      <x:c r="N1571" s="34" t="str">
        <x:v>Feedback-Directed Random Test Generation/Result_Round2/Math_32/result.json</x:v>
      </x:c>
      <x:c r="O1571" s="38" t="n">
        <x:f>IF(AND(G1571="RECORDED",ISNUMBER(H1571)),H1571,"")</x:f>
        <x:v>68.27</x:v>
      </x:c>
      <x:c r="P1571" s="34" t="str">
        <x:v>INCONCLUSIVE</x:v>
      </x:c>
      <x:c r="Q1571" s="34" t="str">
        <x:v>Feedback-Directed Random Test Generation/Result_Round2/Math_32/result.json</x:v>
      </x:c>
    </x:row>
    <x:row r="1572">
      <x:c r="A1572" s="34" t="str">
        <x:v>randoop</x:v>
      </x:c>
      <x:c r="B1572" s="34" t="str">
        <x:v>Math</x:v>
      </x:c>
      <x:c r="C1572" s="34" t="str">
        <x:v>Round2</x:v>
      </x:c>
      <x:c r="D1572" s="34" t="str">
        <x:v>Math_33</x:v>
      </x:c>
      <x:c r="E1572" s="34" t="str">
        <x:v>Coverage</x:v>
      </x:c>
      <x:c r="F1572" s="34" t="n">
        <x:v>309</x:v>
      </x:c>
      <x:c r="G1572" s="34" t="str">
        <x:v>RECORDED</x:v>
      </x:c>
      <x:c r="H1572" s="38" t="n">
        <x:f>IF(ISNUMBER('Data'!G1572),'Data'!G1572*100,"")</x:f>
        <x:v>4.85</x:v>
      </x:c>
      <x:c r="I1572" s="34" t="str">
        <x:v>PASS</x:v>
      </x:c>
      <x:c r="J1572" s="34" t="str">
        <x:v>PASS</x:v>
      </x:c>
      <x:c r="K1572" s="34" t="str">
        <x:v>PASS</x:v>
      </x:c>
      <x:c r="L1572" s="34" t="str">
        <x:v>PASS</x:v>
      </x:c>
      <x:c r="M1572" s="34" t="str">
        <x:v>numeric coverage for applicable metric</x:v>
      </x:c>
      <x:c r="N1572" s="34" t="str">
        <x:v>Feedback-Directed Random Test Generation/Result_Round2/Math_33/result.json</x:v>
      </x:c>
      <x:c r="O1572" s="38" t="n">
        <x:f>IF(AND(G1572="RECORDED",ISNUMBER(H1572)),H1572,"")</x:f>
        <x:v>4.85</x:v>
      </x:c>
      <x:c r="P1572" s="34" t="str">
        <x:v>NOT_REVEALING</x:v>
      </x:c>
      <x:c r="Q1572" s="34" t="str">
        <x:v>Feedback-Directed Random Test Generation/Result_Round2/Math_33/result.json</x:v>
      </x:c>
    </x:row>
    <x:row r="1573">
      <x:c r="A1573" s="34" t="str">
        <x:v>randoop</x:v>
      </x:c>
      <x:c r="B1573" s="34" t="str">
        <x:v>Math</x:v>
      </x:c>
      <x:c r="C1573" s="34" t="str">
        <x:v>Round2</x:v>
      </x:c>
      <x:c r="D1573" s="34" t="str">
        <x:v>Math_34</x:v>
      </x:c>
      <x:c r="E1573" s="34" t="str">
        <x:v>Coverage</x:v>
      </x:c>
      <x:c r="F1573" s="34" t="n">
        <x:v>72</x:v>
      </x:c>
      <x:c r="G1573" s="34" t="str">
        <x:v>RECORDED</x:v>
      </x:c>
      <x:c r="H1573" s="38" t="n">
        <x:f>IF(ISNUMBER('Data'!G1573),'Data'!G1573*100,"")</x:f>
        <x:v>0</x:v>
      </x:c>
      <x:c r="I1573" s="34" t="str">
        <x:v>PASS</x:v>
      </x:c>
      <x:c r="J1573" s="34" t="str">
        <x:v>PASS</x:v>
      </x:c>
      <x:c r="K1573" s="34" t="str">
        <x:v>PASS</x:v>
      </x:c>
      <x:c r="L1573" s="34" t="str">
        <x:v>PASS</x:v>
      </x:c>
      <x:c r="M1573" s="34" t="str">
        <x:v>numeric coverage for applicable metric</x:v>
      </x:c>
      <x:c r="N1573" s="34" t="str">
        <x:v>Feedback-Directed Random Test Generation/Result_Round2/Math_34/result.json</x:v>
      </x:c>
      <x:c r="O1573" s="38" t="n">
        <x:f>IF(AND(G1573="RECORDED",ISNUMBER(H1573)),H1573,"")</x:f>
        <x:v>0</x:v>
      </x:c>
      <x:c r="P1573" s="34" t="str">
        <x:v>NOT_REVEALING</x:v>
      </x:c>
      <x:c r="Q1573" s="34" t="str">
        <x:v>Feedback-Directed Random Test Generation/Result_Round2/Math_34/result.json</x:v>
      </x:c>
    </x:row>
    <x:row r="1574">
      <x:c r="A1574" s="34" t="str">
        <x:v>randoop</x:v>
      </x:c>
      <x:c r="B1574" s="34" t="str">
        <x:v>Math</x:v>
      </x:c>
      <x:c r="C1574" s="34" t="str">
        <x:v>Round2</x:v>
      </x:c>
      <x:c r="D1574" s="34" t="str">
        <x:v>Math_35</x:v>
      </x:c>
      <x:c r="E1574" s="34" t="str">
        <x:v>Coverage</x:v>
      </x:c>
      <x:c r="F1574" s="34" t="n">
        <x:v>25</x:v>
      </x:c>
      <x:c r="G1574" s="34" t="str">
        <x:v>RECORDED</x:v>
      </x:c>
      <x:c r="H1574" s="38" t="n">
        <x:f>IF(ISNUMBER('Data'!G1574),'Data'!G1574*100,"")</x:f>
        <x:v>100</x:v>
      </x:c>
      <x:c r="I1574" s="34" t="str">
        <x:v>PASS</x:v>
      </x:c>
      <x:c r="J1574" s="34" t="str">
        <x:v>PASS</x:v>
      </x:c>
      <x:c r="K1574" s="34" t="str">
        <x:v>PASS</x:v>
      </x:c>
      <x:c r="L1574" s="34" t="str">
        <x:v>PASS</x:v>
      </x:c>
      <x:c r="M1574" s="34" t="str">
        <x:v>numeric coverage for applicable metric</x:v>
      </x:c>
      <x:c r="N1574" s="34" t="str">
        <x:v>Feedback-Directed Random Test Generation/Result_Round2/Math_35/result.json</x:v>
      </x:c>
      <x:c r="O1574" s="38" t="n">
        <x:f>IF(AND(G1574="RECORDED",ISNUMBER(H1574)),H1574,"")</x:f>
        <x:v>100</x:v>
      </x:c>
      <x:c r="P1574" s="34" t="str">
        <x:v>INCONCLUSIVE</x:v>
      </x:c>
      <x:c r="Q1574" s="34" t="str">
        <x:v>Feedback-Directed Random Test Generation/Result_Round2/Math_35/result.json</x:v>
      </x:c>
    </x:row>
    <x:row r="1575">
      <x:c r="A1575" s="34" t="str">
        <x:v>randoop</x:v>
      </x:c>
      <x:c r="B1575" s="34" t="str">
        <x:v>Math</x:v>
      </x:c>
      <x:c r="C1575" s="34" t="str">
        <x:v>Round2</x:v>
      </x:c>
      <x:c r="D1575" s="34" t="str">
        <x:v>Math_36</x:v>
      </x:c>
      <x:c r="E1575" s="34" t="str">
        <x:v>Coverage</x:v>
      </x:c>
      <x:c r="F1575" s="34" t="n">
        <x:v>322</x:v>
      </x:c>
      <x:c r="G1575" s="34" t="str">
        <x:v>RECORDED</x:v>
      </x:c>
      <x:c r="H1575" s="38" t="n">
        <x:f>IF(ISNUMBER('Data'!G1575),'Data'!G1575*100,"")</x:f>
        <x:v>78.88</x:v>
      </x:c>
      <x:c r="I1575" s="34" t="str">
        <x:v>PASS</x:v>
      </x:c>
      <x:c r="J1575" s="34" t="str">
        <x:v>PASS</x:v>
      </x:c>
      <x:c r="K1575" s="34" t="str">
        <x:v>PASS</x:v>
      </x:c>
      <x:c r="L1575" s="34" t="str">
        <x:v>FAIL</x:v>
      </x:c>
      <x:c r="M1575" s="34" t="str">
        <x:v>numeric coverage for applicable metric</x:v>
      </x:c>
      <x:c r="N1575" s="34" t="str">
        <x:v>Feedback-Directed Random Test Generation/Result_Round2/Math_36/result.json</x:v>
      </x:c>
      <x:c r="O1575" s="38" t="n">
        <x:f>IF(AND(G1575="RECORDED",ISNUMBER(H1575)),H1575,"")</x:f>
        <x:v>78.88</x:v>
      </x:c>
      <x:c r="P1575" s="34" t="str">
        <x:v>INCONCLUSIVE</x:v>
      </x:c>
      <x:c r="Q1575" s="34" t="str">
        <x:v>Feedback-Directed Random Test Generation/Result_Round2/Math_36/result.json</x:v>
      </x:c>
    </x:row>
    <x:row r="1576">
      <x:c r="A1576" s="34" t="str">
        <x:v>randoop</x:v>
      </x:c>
      <x:c r="B1576" s="34" t="str">
        <x:v>Math</x:v>
      </x:c>
      <x:c r="C1576" s="34" t="str">
        <x:v>Round2</x:v>
      </x:c>
      <x:c r="D1576" s="34" t="str">
        <x:v>Math_37</x:v>
      </x:c>
      <x:c r="E1576" s="34" t="str">
        <x:v>Coverage</x:v>
      </x:c>
      <x:c r="F1576" s="34" t="n">
        <x:v>378</x:v>
      </x:c>
      <x:c r="G1576" s="34" t="str">
        <x:v>RECORDED</x:v>
      </x:c>
      <x:c r="H1576" s="38" t="n">
        <x:f>IF(ISNUMBER('Data'!G1576),'Data'!G1576*100,"")</x:f>
        <x:v>96.83</x:v>
      </x:c>
      <x:c r="I1576" s="34" t="str">
        <x:v>PASS</x:v>
      </x:c>
      <x:c r="J1576" s="34" t="str">
        <x:v>PASS</x:v>
      </x:c>
      <x:c r="K1576" s="34" t="str">
        <x:v>PASS</x:v>
      </x:c>
      <x:c r="L1576" s="34" t="str">
        <x:v>FAIL</x:v>
      </x:c>
      <x:c r="M1576" s="34" t="str">
        <x:v>numeric coverage for applicable metric</x:v>
      </x:c>
      <x:c r="N1576" s="34" t="str">
        <x:v>Feedback-Directed Random Test Generation/Result_Round2/Math_37/result.json</x:v>
      </x:c>
      <x:c r="O1576" s="38" t="n">
        <x:f>IF(AND(G1576="RECORDED",ISNUMBER(H1576)),H1576,"")</x:f>
        <x:v>96.83</x:v>
      </x:c>
      <x:c r="P1576" s="34" t="str">
        <x:v>INCONCLUSIVE</x:v>
      </x:c>
      <x:c r="Q1576" s="34" t="str">
        <x:v>Feedback-Directed Random Test Generation/Result_Round2/Math_37/result.json</x:v>
      </x:c>
    </x:row>
    <x:row r="1577">
      <x:c r="A1577" s="34" t="str">
        <x:v>randoop</x:v>
      </x:c>
      <x:c r="B1577" s="34" t="str">
        <x:v>Math</x:v>
      </x:c>
      <x:c r="C1577" s="34" t="str">
        <x:v>Round2</x:v>
      </x:c>
      <x:c r="D1577" s="34" t="str">
        <x:v>Math_38</x:v>
      </x:c>
      <x:c r="E1577" s="34" t="str">
        <x:v>Coverage</x:v>
      </x:c>
      <x:c r="F1577" s="34" t="n">
        <x:v>1824</x:v>
      </x:c>
      <x:c r="G1577" s="34" t="str">
        <x:v>RECORDED</x:v>
      </x:c>
      <x:c r="H1577" s="38" t="n">
        <x:f>IF(ISNUMBER('Data'!G1577),'Data'!G1577*100,"")</x:f>
        <x:v>0.44</x:v>
      </x:c>
      <x:c r="I1577" s="34" t="str">
        <x:v>PASS</x:v>
      </x:c>
      <x:c r="J1577" s="34" t="str">
        <x:v>PASS</x:v>
      </x:c>
      <x:c r="K1577" s="34" t="str">
        <x:v>PASS</x:v>
      </x:c>
      <x:c r="L1577" s="34" t="str">
        <x:v>FAIL</x:v>
      </x:c>
      <x:c r="M1577" s="34" t="str">
        <x:v>numeric coverage for applicable metric</x:v>
      </x:c>
      <x:c r="N1577" s="34" t="str">
        <x:v>Feedback-Directed Random Test Generation/Result_Round2/Math_38/result.json</x:v>
      </x:c>
      <x:c r="O1577" s="38" t="n">
        <x:f>IF(AND(G1577="RECORDED",ISNUMBER(H1577)),H1577,"")</x:f>
        <x:v>0.44</x:v>
      </x:c>
      <x:c r="P1577" s="34" t="str">
        <x:v>INCONCLUSIVE</x:v>
      </x:c>
      <x:c r="Q1577" s="34" t="str">
        <x:v>Feedback-Directed Random Test Generation/Result_Round2/Math_38/result.json</x:v>
      </x:c>
    </x:row>
    <x:row r="1578">
      <x:c r="A1578" s="34" t="str">
        <x:v>randoop</x:v>
      </x:c>
      <x:c r="B1578" s="34" t="str">
        <x:v>Math</x:v>
      </x:c>
      <x:c r="C1578" s="34" t="str">
        <x:v>Round2</x:v>
      </x:c>
      <x:c r="D1578" s="34" t="str">
        <x:v>Math_39</x:v>
      </x:c>
      <x:c r="E1578" s="34" t="str">
        <x:v>Coverage</x:v>
      </x:c>
      <x:c r="F1578" s="34" t="n">
        <x:v>155</x:v>
      </x:c>
      <x:c r="G1578" s="34" t="str">
        <x:v>RECORDED</x:v>
      </x:c>
      <x:c r="H1578" s="38" t="n">
        <x:f>IF(ISNUMBER('Data'!G1578),'Data'!G1578*100,"")</x:f>
        <x:v>0</x:v>
      </x:c>
      <x:c r="I1578" s="34" t="str">
        <x:v>PASS</x:v>
      </x:c>
      <x:c r="J1578" s="34" t="str">
        <x:v>PASS</x:v>
      </x:c>
      <x:c r="K1578" s="34" t="str">
        <x:v>PASS</x:v>
      </x:c>
      <x:c r="L1578" s="34" t="str">
        <x:v>PASS</x:v>
      </x:c>
      <x:c r="M1578" s="34" t="str">
        <x:v>numeric coverage for applicable metric</x:v>
      </x:c>
      <x:c r="N1578" s="34" t="str">
        <x:v>Feedback-Directed Random Test Generation/Result_Round2/Math_39/result.json</x:v>
      </x:c>
      <x:c r="O1578" s="38" t="n">
        <x:f>IF(AND(G1578="RECORDED",ISNUMBER(H1578)),H1578,"")</x:f>
        <x:v>0</x:v>
      </x:c>
      <x:c r="P1578" s="34" t="str">
        <x:v>NOT_REVEALING</x:v>
      </x:c>
      <x:c r="Q1578" s="34" t="str">
        <x:v>Feedback-Directed Random Test Generation/Result_Round2/Math_39/result.json</x:v>
      </x:c>
    </x:row>
    <x:row r="1579">
      <x:c r="A1579" s="34" t="str">
        <x:v>randoop</x:v>
      </x:c>
      <x:c r="B1579" s="34" t="str">
        <x:v>Math</x:v>
      </x:c>
      <x:c r="C1579" s="34" t="str">
        <x:v>Round2</x:v>
      </x:c>
      <x:c r="D1579" s="34" t="str">
        <x:v>Math_40</x:v>
      </x:c>
      <x:c r="E1579" s="34" t="str">
        <x:v>Coverage</x:v>
      </x:c>
      <x:c r="F1579" s="34" t="n">
        <x:v>192</x:v>
      </x:c>
      <x:c r="G1579" s="34" t="str">
        <x:v>RECORDED</x:v>
      </x:c>
      <x:c r="H1579" s="38" t="n">
        <x:f>IF(ISNUMBER('Data'!G1579),'Data'!G1579*100,"")</x:f>
        <x:v>19.27</x:v>
      </x:c>
      <x:c r="I1579" s="34" t="str">
        <x:v>PASS</x:v>
      </x:c>
      <x:c r="J1579" s="34" t="str">
        <x:v>PASS</x:v>
      </x:c>
      <x:c r="K1579" s="34" t="str">
        <x:v>PASS</x:v>
      </x:c>
      <x:c r="L1579" s="34" t="str">
        <x:v>PASS</x:v>
      </x:c>
      <x:c r="M1579" s="34" t="str">
        <x:v>numeric coverage for applicable metric</x:v>
      </x:c>
      <x:c r="N1579" s="34" t="str">
        <x:v>Feedback-Directed Random Test Generation/Result_Round2/Math_40/result.json</x:v>
      </x:c>
      <x:c r="O1579" s="38" t="n">
        <x:f>IF(AND(G1579="RECORDED",ISNUMBER(H1579)),H1579,"")</x:f>
        <x:v>19.27</x:v>
      </x:c>
      <x:c r="P1579" s="34" t="str">
        <x:v>NOT_REVEALING</x:v>
      </x:c>
      <x:c r="Q1579" s="34" t="str">
        <x:v>Feedback-Directed Random Test Generation/Result_Round2/Math_40/result.json</x:v>
      </x:c>
    </x:row>
    <x:row r="1580">
      <x:c r="A1580" s="34" t="str">
        <x:v>randoop</x:v>
      </x:c>
      <x:c r="B1580" s="34" t="str">
        <x:v>Math</x:v>
      </x:c>
      <x:c r="C1580" s="34" t="str">
        <x:v>Round2</x:v>
      </x:c>
      <x:c r="D1580" s="34" t="str">
        <x:v>Math_41</x:v>
      </x:c>
      <x:c r="E1580" s="34" t="str">
        <x:v>Coverage</x:v>
      </x:c>
      <x:c r="F1580" s="34" t="n">
        <x:v>158</x:v>
      </x:c>
      <x:c r="G1580" s="34" t="str">
        <x:v>RECORDED</x:v>
      </x:c>
      <x:c r="H1580" s="38" t="n">
        <x:f>IF(ISNUMBER('Data'!G1580),'Data'!G1580*100,"")</x:f>
        <x:v>74.68</x:v>
      </x:c>
      <x:c r="I1580" s="34" t="str">
        <x:v>PASS</x:v>
      </x:c>
      <x:c r="J1580" s="34" t="str">
        <x:v>PASS</x:v>
      </x:c>
      <x:c r="K1580" s="34" t="str">
        <x:v>PASS</x:v>
      </x:c>
      <x:c r="L1580" s="34" t="str">
        <x:v>PASS</x:v>
      </x:c>
      <x:c r="M1580" s="34" t="str">
        <x:v>numeric coverage for applicable metric</x:v>
      </x:c>
      <x:c r="N1580" s="34" t="str">
        <x:v>Feedback-Directed Random Test Generation/Result_Round2/Math_41/result.json</x:v>
      </x:c>
      <x:c r="O1580" s="38" t="n">
        <x:f>IF(AND(G1580="RECORDED",ISNUMBER(H1580)),H1580,"")</x:f>
        <x:v>74.68</x:v>
      </x:c>
      <x:c r="P1580" s="34" t="str">
        <x:v>NOT_REVEALING</x:v>
      </x:c>
      <x:c r="Q1580" s="34" t="str">
        <x:v>Feedback-Directed Random Test Generation/Result_Round2/Math_41/result.json</x:v>
      </x:c>
    </x:row>
    <x:row r="1581">
      <x:c r="A1581" s="34" t="str">
        <x:v>randoop</x:v>
      </x:c>
      <x:c r="B1581" s="34" t="str">
        <x:v>Math</x:v>
      </x:c>
      <x:c r="C1581" s="34" t="str">
        <x:v>Round2</x:v>
      </x:c>
      <x:c r="D1581" s="34" t="str">
        <x:v>Math_42</x:v>
      </x:c>
      <x:c r="E1581" s="34" t="str">
        <x:v>Coverage</x:v>
      </x:c>
      <x:c r="F1581" s="34" t="n">
        <x:v>303</x:v>
      </x:c>
      <x:c r="G1581" s="34" t="str">
        <x:v>RECORDED</x:v>
      </x:c>
      <x:c r="H1581" s="38" t="n">
        <x:f>IF(ISNUMBER('Data'!G1581),'Data'!G1581*100,"")</x:f>
        <x:v>4.95</x:v>
      </x:c>
      <x:c r="I1581" s="34" t="str">
        <x:v>PASS</x:v>
      </x:c>
      <x:c r="J1581" s="34" t="str">
        <x:v>PASS</x:v>
      </x:c>
      <x:c r="K1581" s="34" t="str">
        <x:v>PASS</x:v>
      </x:c>
      <x:c r="L1581" s="34" t="str">
        <x:v>PASS</x:v>
      </x:c>
      <x:c r="M1581" s="34" t="str">
        <x:v>numeric coverage for applicable metric</x:v>
      </x:c>
      <x:c r="N1581" s="34" t="str">
        <x:v>Feedback-Directed Random Test Generation/Result_Round2/Math_42/result.json</x:v>
      </x:c>
      <x:c r="O1581" s="38" t="n">
        <x:f>IF(AND(G1581="RECORDED",ISNUMBER(H1581)),H1581,"")</x:f>
        <x:v>4.95</x:v>
      </x:c>
      <x:c r="P1581" s="34" t="str">
        <x:v>NOT_REVEALING</x:v>
      </x:c>
      <x:c r="Q1581" s="34" t="str">
        <x:v>Feedback-Directed Random Test Generation/Result_Round2/Math_42/result.json</x:v>
      </x:c>
    </x:row>
    <x:row r="1582">
      <x:c r="A1582" s="34" t="str">
        <x:v>randoop</x:v>
      </x:c>
      <x:c r="B1582" s="34" t="str">
        <x:v>Math</x:v>
      </x:c>
      <x:c r="C1582" s="34" t="str">
        <x:v>Round2</x:v>
      </x:c>
      <x:c r="D1582" s="34" t="str">
        <x:v>Math_43</x:v>
      </x:c>
      <x:c r="E1582" s="34" t="str">
        <x:v>Coverage</x:v>
      </x:c>
      <x:c r="F1582" s="34" t="n">
        <x:v>250</x:v>
      </x:c>
      <x:c r="G1582" s="34" t="str">
        <x:v>RECORDED</x:v>
      </x:c>
      <x:c r="H1582" s="38" t="n">
        <x:f>IF(ISNUMBER('Data'!G1582),'Data'!G1582*100,"")</x:f>
        <x:v>94.4</x:v>
      </x:c>
      <x:c r="I1582" s="34" t="str">
        <x:v>PASS</x:v>
      </x:c>
      <x:c r="J1582" s="34" t="str">
        <x:v>PASS</x:v>
      </x:c>
      <x:c r="K1582" s="34" t="str">
        <x:v>PASS</x:v>
      </x:c>
      <x:c r="L1582" s="34" t="str">
        <x:v>FAIL</x:v>
      </x:c>
      <x:c r="M1582" s="34" t="str">
        <x:v>numeric coverage for applicable metric</x:v>
      </x:c>
      <x:c r="N1582" s="34" t="str">
        <x:v>Feedback-Directed Random Test Generation/Result_Round2/Math_43/result.json</x:v>
      </x:c>
      <x:c r="O1582" s="38" t="n">
        <x:f>IF(AND(G1582="RECORDED",ISNUMBER(H1582)),H1582,"")</x:f>
        <x:v>94.4</x:v>
      </x:c>
      <x:c r="P1582" s="34" t="str">
        <x:v>INCONCLUSIVE</x:v>
      </x:c>
      <x:c r="Q1582" s="34" t="str">
        <x:v>Feedback-Directed Random Test Generation/Result_Round2/Math_43/result.json</x:v>
      </x:c>
    </x:row>
    <x:row r="1583">
      <x:c r="A1583" s="34" t="str">
        <x:v>randoop</x:v>
      </x:c>
      <x:c r="B1583" s="34" t="str">
        <x:v>Math</x:v>
      </x:c>
      <x:c r="C1583" s="34" t="str">
        <x:v>Round2</x:v>
      </x:c>
      <x:c r="D1583" s="34" t="str">
        <x:v>Math_44</x:v>
      </x:c>
      <x:c r="E1583" s="34" t="str">
        <x:v>Coverage</x:v>
      </x:c>
      <x:c r="F1583" s="34" t="n">
        <x:v>159</x:v>
      </x:c>
      <x:c r="G1583" s="34" t="str">
        <x:v>RECORDED</x:v>
      </x:c>
      <x:c r="H1583" s="38" t="n">
        <x:f>IF(ISNUMBER('Data'!G1583),'Data'!G1583*100,"")</x:f>
        <x:v>0</x:v>
      </x:c>
      <x:c r="I1583" s="34" t="str">
        <x:v>PASS</x:v>
      </x:c>
      <x:c r="J1583" s="34" t="str">
        <x:v>PASS</x:v>
      </x:c>
      <x:c r="K1583" s="34" t="str">
        <x:v>PASS</x:v>
      </x:c>
      <x:c r="L1583" s="34" t="str">
        <x:v>PASS</x:v>
      </x:c>
      <x:c r="M1583" s="34" t="str">
        <x:v>numeric coverage for applicable metric</x:v>
      </x:c>
      <x:c r="N1583" s="34" t="str">
        <x:v>Feedback-Directed Random Test Generation/Result_Round2/Math_44/result.json</x:v>
      </x:c>
      <x:c r="O1583" s="38" t="n">
        <x:f>IF(AND(G1583="RECORDED",ISNUMBER(H1583)),H1583,"")</x:f>
        <x:v>0</x:v>
      </x:c>
      <x:c r="P1583" s="34" t="str">
        <x:v>NOT_REVEALING</x:v>
      </x:c>
      <x:c r="Q1583" s="34" t="str">
        <x:v>Feedback-Directed Random Test Generation/Result_Round2/Math_44/result.json</x:v>
      </x:c>
    </x:row>
    <x:row r="1584">
      <x:c r="A1584" s="34" t="str">
        <x:v>randoop</x:v>
      </x:c>
      <x:c r="B1584" s="34" t="str">
        <x:v>Math</x:v>
      </x:c>
      <x:c r="C1584" s="34" t="str">
        <x:v>Round2</x:v>
      </x:c>
      <x:c r="D1584" s="34" t="str">
        <x:v>Math_45</x:v>
      </x:c>
      <x:c r="E1584" s="34" t="str">
        <x:v>Coverage</x:v>
      </x:c>
      <x:c r="F1584" s="34" t="n">
        <x:v>119</x:v>
      </x:c>
      <x:c r="G1584" s="34" t="str">
        <x:v>RECORDED</x:v>
      </x:c>
      <x:c r="H1584" s="38" t="n">
        <x:f>IF(ISNUMBER('Data'!G1584),'Data'!G1584*100,"")</x:f>
        <x:v>47.06</x:v>
      </x:c>
      <x:c r="I1584" s="34" t="str">
        <x:v>PASS</x:v>
      </x:c>
      <x:c r="J1584" s="34" t="str">
        <x:v>PASS</x:v>
      </x:c>
      <x:c r="K1584" s="34" t="str">
        <x:v>PASS</x:v>
      </x:c>
      <x:c r="L1584" s="34" t="str">
        <x:v>PASS</x:v>
      </x:c>
      <x:c r="M1584" s="34" t="str">
        <x:v>numeric coverage for applicable metric</x:v>
      </x:c>
      <x:c r="N1584" s="34" t="str">
        <x:v>Feedback-Directed Random Test Generation/Result_Round2/Math_45/result.json</x:v>
      </x:c>
      <x:c r="O1584" s="38" t="n">
        <x:f>IF(AND(G1584="RECORDED",ISNUMBER(H1584)),H1584,"")</x:f>
        <x:v>47.06</x:v>
      </x:c>
      <x:c r="P1584" s="34" t="str">
        <x:v>NOT_REVEALING</x:v>
      </x:c>
      <x:c r="Q1584" s="34" t="str">
        <x:v>Feedback-Directed Random Test Generation/Result_Round2/Math_45/result.json</x:v>
      </x:c>
    </x:row>
    <x:row r="1585">
      <x:c r="A1585" s="34" t="str">
        <x:v>randoop</x:v>
      </x:c>
      <x:c r="B1585" s="34" t="str">
        <x:v>Math</x:v>
      </x:c>
      <x:c r="C1585" s="34" t="str">
        <x:v>Round2</x:v>
      </x:c>
      <x:c r="D1585" s="34" t="str">
        <x:v>Math_46</x:v>
      </x:c>
      <x:c r="E1585" s="34" t="str">
        <x:v>Coverage</x:v>
      </x:c>
      <x:c r="F1585" s="34" t="n">
        <x:v>350</x:v>
      </x:c>
      <x:c r="G1585" s="34" t="str">
        <x:v>RECORDED</x:v>
      </x:c>
      <x:c r="H1585" s="38" t="n">
        <x:f>IF(ISNUMBER('Data'!G1585),'Data'!G1585*100,"")</x:f>
        <x:v>95.43</x:v>
      </x:c>
      <x:c r="I1585" s="34" t="str">
        <x:v>PASS</x:v>
      </x:c>
      <x:c r="J1585" s="34" t="str">
        <x:v>PASS</x:v>
      </x:c>
      <x:c r="K1585" s="34" t="str">
        <x:v>PASS</x:v>
      </x:c>
      <x:c r="L1585" s="34" t="str">
        <x:v>FAIL</x:v>
      </x:c>
      <x:c r="M1585" s="34" t="str">
        <x:v>numeric coverage for applicable metric</x:v>
      </x:c>
      <x:c r="N1585" s="34" t="str">
        <x:v>Feedback-Directed Random Test Generation/Result_Round2/Math_46/result.json</x:v>
      </x:c>
      <x:c r="O1585" s="38" t="n">
        <x:f>IF(AND(G1585="RECORDED",ISNUMBER(H1585)),H1585,"")</x:f>
        <x:v>95.43</x:v>
      </x:c>
      <x:c r="P1585" s="34" t="str">
        <x:v>INCONCLUSIVE</x:v>
      </x:c>
      <x:c r="Q1585" s="34" t="str">
        <x:v>Feedback-Directed Random Test Generation/Result_Round2/Math_46/result.json</x:v>
      </x:c>
    </x:row>
    <x:row r="1586">
      <x:c r="A1586" s="34" t="str">
        <x:v>randoop</x:v>
      </x:c>
      <x:c r="B1586" s="34" t="str">
        <x:v>Math</x:v>
      </x:c>
      <x:c r="C1586" s="34" t="str">
        <x:v>Round2</x:v>
      </x:c>
      <x:c r="D1586" s="34" t="str">
        <x:v>Math_47</x:v>
      </x:c>
      <x:c r="E1586" s="34" t="str">
        <x:v>Coverage</x:v>
      </x:c>
      <x:c r="F1586" s="34" t="n">
        <x:v>343</x:v>
      </x:c>
      <x:c r="G1586" s="34" t="str">
        <x:v>RECORDED</x:v>
      </x:c>
      <x:c r="H1586" s="38" t="n">
        <x:f>IF(ISNUMBER('Data'!G1586),'Data'!G1586*100,"")</x:f>
        <x:v>95.63</x:v>
      </x:c>
      <x:c r="I1586" s="34" t="str">
        <x:v>PASS</x:v>
      </x:c>
      <x:c r="J1586" s="34" t="str">
        <x:v>PASS</x:v>
      </x:c>
      <x:c r="K1586" s="34" t="str">
        <x:v>PASS</x:v>
      </x:c>
      <x:c r="L1586" s="34" t="str">
        <x:v>FAIL</x:v>
      </x:c>
      <x:c r="M1586" s="34" t="str">
        <x:v>numeric coverage for applicable metric</x:v>
      </x:c>
      <x:c r="N1586" s="34" t="str">
        <x:v>Feedback-Directed Random Test Generation/Result_Round2/Math_47/result.json</x:v>
      </x:c>
      <x:c r="O1586" s="38" t="n">
        <x:f>IF(AND(G1586="RECORDED",ISNUMBER(H1586)),H1586,"")</x:f>
        <x:v>95.63</x:v>
      </x:c>
      <x:c r="P1586" s="34" t="str">
        <x:v>INCONCLUSIVE</x:v>
      </x:c>
      <x:c r="Q1586" s="34" t="str">
        <x:v>Feedback-Directed Random Test Generation/Result_Round2/Math_47/result.json</x:v>
      </x:c>
    </x:row>
    <x:row r="1587">
      <x:c r="A1587" s="34" t="str">
        <x:v>randoop</x:v>
      </x:c>
      <x:c r="B1587" s="34" t="str">
        <x:v>Math</x:v>
      </x:c>
      <x:c r="C1587" s="34" t="str">
        <x:v>Round2</x:v>
      </x:c>
      <x:c r="D1587" s="34" t="str">
        <x:v>Math_48</x:v>
      </x:c>
      <x:c r="E1587" s="34" t="str">
        <x:v>Coverage</x:v>
      </x:c>
      <x:c r="F1587" s="34" t="n">
        <x:v>119</x:v>
      </x:c>
      <x:c r="G1587" s="34" t="str">
        <x:v>RECORDED</x:v>
      </x:c>
      <x:c r="H1587" s="38" t="n">
        <x:f>IF(ISNUMBER('Data'!G1587),'Data'!G1587*100,"")</x:f>
        <x:v>3.36</x:v>
      </x:c>
      <x:c r="I1587" s="34" t="str">
        <x:v>PASS</x:v>
      </x:c>
      <x:c r="J1587" s="34" t="str">
        <x:v>PASS</x:v>
      </x:c>
      <x:c r="K1587" s="34" t="str">
        <x:v>PASS</x:v>
      </x:c>
      <x:c r="L1587" s="34" t="str">
        <x:v>PASS</x:v>
      </x:c>
      <x:c r="M1587" s="34" t="str">
        <x:v>numeric coverage for applicable metric</x:v>
      </x:c>
      <x:c r="N1587" s="34" t="str">
        <x:v>Feedback-Directed Random Test Generation/Result_Round2/Math_48/result.json</x:v>
      </x:c>
      <x:c r="O1587" s="38" t="n">
        <x:f>IF(AND(G1587="RECORDED",ISNUMBER(H1587)),H1587,"")</x:f>
        <x:v>3.36</x:v>
      </x:c>
      <x:c r="P1587" s="34" t="str">
        <x:v>NOT_REVEALING</x:v>
      </x:c>
      <x:c r="Q1587" s="34" t="str">
        <x:v>Feedback-Directed Random Test Generation/Result_Round2/Math_48/result.json</x:v>
      </x:c>
    </x:row>
    <x:row r="1588">
      <x:c r="A1588" s="34" t="str">
        <x:v>randoop</x:v>
      </x:c>
      <x:c r="B1588" s="34" t="str">
        <x:v>Math</x:v>
      </x:c>
      <x:c r="C1588" s="34" t="str">
        <x:v>Round2</x:v>
      </x:c>
      <x:c r="D1588" s="34" t="str">
        <x:v>Math_49</x:v>
      </x:c>
      <x:c r="E1588" s="34" t="str">
        <x:v>Coverage</x:v>
      </x:c>
      <x:c r="F1588" s="34" t="n">
        <x:v>530</x:v>
      </x:c>
      <x:c r="G1588" s="34" t="str">
        <x:v>RECORDED</x:v>
      </x:c>
      <x:c r="H1588" s="38" t="n">
        <x:f>IF(ISNUMBER('Data'!G1588),'Data'!G1588*100,"")</x:f>
        <x:v>76.79</x:v>
      </x:c>
      <x:c r="I1588" s="34" t="str">
        <x:v>PASS</x:v>
      </x:c>
      <x:c r="J1588" s="34" t="str">
        <x:v>PASS</x:v>
      </x:c>
      <x:c r="K1588" s="34" t="str">
        <x:v>PASS</x:v>
      </x:c>
      <x:c r="L1588" s="34" t="str">
        <x:v>FAIL</x:v>
      </x:c>
      <x:c r="M1588" s="34" t="str">
        <x:v>numeric coverage for applicable metric</x:v>
      </x:c>
      <x:c r="N1588" s="34" t="str">
        <x:v>Feedback-Directed Random Test Generation/Result_Round2/Math_49/result.json</x:v>
      </x:c>
      <x:c r="O1588" s="38" t="n">
        <x:f>IF(AND(G1588="RECORDED",ISNUMBER(H1588)),H1588,"")</x:f>
        <x:v>76.79</x:v>
      </x:c>
      <x:c r="P1588" s="34" t="str">
        <x:v>INCONCLUSIVE</x:v>
      </x:c>
      <x:c r="Q1588" s="34" t="str">
        <x:v>Feedback-Directed Random Test Generation/Result_Round2/Math_49/result.json</x:v>
      </x:c>
    </x:row>
    <x:row r="1589">
      <x:c r="A1589" s="34" t="str">
        <x:v>randoop</x:v>
      </x:c>
      <x:c r="B1589" s="34" t="str">
        <x:v>Math</x:v>
      </x:c>
      <x:c r="C1589" s="34" t="str">
        <x:v>Round2</x:v>
      </x:c>
      <x:c r="D1589" s="34" t="str">
        <x:v>Math_50</x:v>
      </x:c>
      <x:c r="E1589" s="34" t="str">
        <x:v>Coverage</x:v>
      </x:c>
      <x:c r="F1589" s="34" t="n">
        <x:v>123</x:v>
      </x:c>
      <x:c r="G1589" s="34" t="str">
        <x:v>RECORDED</x:v>
      </x:c>
      <x:c r="H1589" s="38" t="n">
        <x:f>IF(ISNUMBER('Data'!G1589),'Data'!G1589*100,"")</x:f>
        <x:v>3.25</x:v>
      </x:c>
      <x:c r="I1589" s="34" t="str">
        <x:v>PASS</x:v>
      </x:c>
      <x:c r="J1589" s="34" t="str">
        <x:v>PASS</x:v>
      </x:c>
      <x:c r="K1589" s="34" t="str">
        <x:v>PASS</x:v>
      </x:c>
      <x:c r="L1589" s="34" t="str">
        <x:v>PASS</x:v>
      </x:c>
      <x:c r="M1589" s="34" t="str">
        <x:v>numeric coverage for applicable metric</x:v>
      </x:c>
      <x:c r="N1589" s="34" t="str">
        <x:v>Feedback-Directed Random Test Generation/Result_Round2/Math_50/result.json</x:v>
      </x:c>
      <x:c r="O1589" s="38" t="n">
        <x:f>IF(AND(G1589="RECORDED",ISNUMBER(H1589)),H1589,"")</x:f>
        <x:v>3.25</x:v>
      </x:c>
      <x:c r="P1589" s="34" t="str">
        <x:v>NOT_REVEALING</x:v>
      </x:c>
      <x:c r="Q1589" s="34" t="str">
        <x:v>Feedback-Directed Random Test Generation/Result_Round2/Math_50/result.json</x:v>
      </x:c>
    </x:row>
    <x:row r="1590">
      <x:c r="A1590" s="34" t="str">
        <x:v>randoop</x:v>
      </x:c>
      <x:c r="B1590" s="34" t="str">
        <x:v>Math</x:v>
      </x:c>
      <x:c r="C1590" s="34" t="str">
        <x:v>Round2</x:v>
      </x:c>
      <x:c r="D1590" s="34" t="str">
        <x:v>Math_51</x:v>
      </x:c>
      <x:c r="E1590" s="34" t="str">
        <x:v>Coverage</x:v>
      </x:c>
      <x:c r="F1590" s="34" t="n">
        <x:v>116</x:v>
      </x:c>
      <x:c r="G1590" s="34" t="str">
        <x:v>RECORDED</x:v>
      </x:c>
      <x:c r="H1590" s="38" t="n">
        <x:f>IF(ISNUMBER('Data'!G1590),'Data'!G1590*100,"")</x:f>
        <x:v>3.45</x:v>
      </x:c>
      <x:c r="I1590" s="34" t="str">
        <x:v>PASS</x:v>
      </x:c>
      <x:c r="J1590" s="34" t="str">
        <x:v>PASS</x:v>
      </x:c>
      <x:c r="K1590" s="34" t="str">
        <x:v>PASS</x:v>
      </x:c>
      <x:c r="L1590" s="34" t="str">
        <x:v>PASS</x:v>
      </x:c>
      <x:c r="M1590" s="34" t="str">
        <x:v>numeric coverage for applicable metric</x:v>
      </x:c>
      <x:c r="N1590" s="34" t="str">
        <x:v>Feedback-Directed Random Test Generation/Result_Round2/Math_51/result.json</x:v>
      </x:c>
      <x:c r="O1590" s="38" t="n">
        <x:f>IF(AND(G1590="RECORDED",ISNUMBER(H1590)),H1590,"")</x:f>
        <x:v>3.45</x:v>
      </x:c>
      <x:c r="P1590" s="34" t="str">
        <x:v>NOT_REVEALING</x:v>
      </x:c>
      <x:c r="Q1590" s="34" t="str">
        <x:v>Feedback-Directed Random Test Generation/Result_Round2/Math_51/result.json</x:v>
      </x:c>
    </x:row>
    <x:row r="1591">
      <x:c r="A1591" s="34" t="str">
        <x:v>randoop</x:v>
      </x:c>
      <x:c r="B1591" s="34" t="str">
        <x:v>Math</x:v>
      </x:c>
      <x:c r="C1591" s="34" t="str">
        <x:v>Round2</x:v>
      </x:c>
      <x:c r="D1591" s="34" t="str">
        <x:v>Math_52</x:v>
      </x:c>
      <x:c r="E1591" s="34" t="str">
        <x:v>Coverage</x:v>
      </x:c>
      <x:c r="F1591" s="34" t="n">
        <x:v>489</x:v>
      </x:c>
      <x:c r="G1591" s="34" t="str">
        <x:v>RECORDED</x:v>
      </x:c>
      <x:c r="H1591" s="38" t="n">
        <x:f>IF(ISNUMBER('Data'!G1591),'Data'!G1591*100,"")</x:f>
        <x:v>61.75999999999999</x:v>
      </x:c>
      <x:c r="I1591" s="34" t="str">
        <x:v>PASS</x:v>
      </x:c>
      <x:c r="J1591" s="34" t="str">
        <x:v>PASS</x:v>
      </x:c>
      <x:c r="K1591" s="34" t="str">
        <x:v>PASS</x:v>
      </x:c>
      <x:c r="L1591" s="34" t="str">
        <x:v>FAIL</x:v>
      </x:c>
      <x:c r="M1591" s="34" t="str">
        <x:v>numeric coverage for applicable metric</x:v>
      </x:c>
      <x:c r="N1591" s="34" t="str">
        <x:v>Feedback-Directed Random Test Generation/Result_Round2/Math_52/result.json</x:v>
      </x:c>
      <x:c r="O1591" s="38" t="n">
        <x:f>IF(AND(G1591="RECORDED",ISNUMBER(H1591)),H1591,"")</x:f>
        <x:v>61.75999999999999</x:v>
      </x:c>
      <x:c r="P1591" s="34" t="str">
        <x:v>INCONCLUSIVE</x:v>
      </x:c>
      <x:c r="Q1591" s="34" t="str">
        <x:v>Feedback-Directed Random Test Generation/Result_Round2/Math_52/result.json</x:v>
      </x:c>
    </x:row>
    <x:row r="1592">
      <x:c r="A1592" s="34" t="str">
        <x:v>randoop</x:v>
      </x:c>
      <x:c r="B1592" s="34" t="str">
        <x:v>Math</x:v>
      </x:c>
      <x:c r="C1592" s="34" t="str">
        <x:v>Round2</x:v>
      </x:c>
      <x:c r="D1592" s="34" t="str">
        <x:v>Math_53</x:v>
      </x:c>
      <x:c r="E1592" s="34" t="str">
        <x:v>Coverage</x:v>
      </x:c>
      <x:c r="F1592" s="34" t="n">
        <x:v>284</x:v>
      </x:c>
      <x:c r="G1592" s="34" t="str">
        <x:v>RECORDED</x:v>
      </x:c>
      <x:c r="H1592" s="38" t="n">
        <x:f>IF(ISNUMBER('Data'!G1592),'Data'!G1592*100,"")</x:f>
        <x:v>97.89</x:v>
      </x:c>
      <x:c r="I1592" s="34" t="str">
        <x:v>PASS</x:v>
      </x:c>
      <x:c r="J1592" s="34" t="str">
        <x:v>PASS</x:v>
      </x:c>
      <x:c r="K1592" s="34" t="str">
        <x:v>PASS</x:v>
      </x:c>
      <x:c r="L1592" s="34" t="str">
        <x:v>FAIL</x:v>
      </x:c>
      <x:c r="M1592" s="34" t="str">
        <x:v>numeric coverage for applicable metric</x:v>
      </x:c>
      <x:c r="N1592" s="34" t="str">
        <x:v>Feedback-Directed Random Test Generation/Result_Round2/Math_53/result.json</x:v>
      </x:c>
      <x:c r="O1592" s="38" t="n">
        <x:f>IF(AND(G1592="RECORDED",ISNUMBER(H1592)),H1592,"")</x:f>
        <x:v>97.89</x:v>
      </x:c>
      <x:c r="P1592" s="34" t="str">
        <x:v>INCONCLUSIVE</x:v>
      </x:c>
      <x:c r="Q1592" s="34" t="str">
        <x:v>Feedback-Directed Random Test Generation/Result_Round2/Math_53/result.json</x:v>
      </x:c>
    </x:row>
    <x:row r="1593">
      <x:c r="A1593" s="34" t="str">
        <x:v>randoop</x:v>
      </x:c>
      <x:c r="B1593" s="34" t="str">
        <x:v>Math</x:v>
      </x:c>
      <x:c r="C1593" s="34" t="str">
        <x:v>Round2</x:v>
      </x:c>
      <x:c r="D1593" s="34" t="str">
        <x:v>Math_54</x:v>
      </x:c>
      <x:c r="E1593" s="34" t="str">
        <x:v>Coverage</x:v>
      </x:c>
      <x:c r="F1593" s="34" t="n">
        <x:v>1690</x:v>
      </x:c>
      <x:c r="G1593" s="34" t="str">
        <x:v>RECORDED</x:v>
      </x:c>
      <x:c r="H1593" s="38" t="n">
        <x:f>IF(ISNUMBER('Data'!G1593),'Data'!G1593*100,"")</x:f>
        <x:v>0.95</x:v>
      </x:c>
      <x:c r="I1593" s="34" t="str">
        <x:v>PASS</x:v>
      </x:c>
      <x:c r="J1593" s="34" t="str">
        <x:v>PASS</x:v>
      </x:c>
      <x:c r="K1593" s="34" t="str">
        <x:v>PASS</x:v>
      </x:c>
      <x:c r="L1593" s="34" t="str">
        <x:v>PASS</x:v>
      </x:c>
      <x:c r="M1593" s="34" t="str">
        <x:v>numeric coverage for applicable metric</x:v>
      </x:c>
      <x:c r="N1593" s="34" t="str">
        <x:v>Feedback-Directed Random Test Generation/Result_Round2/Math_54/result.json</x:v>
      </x:c>
      <x:c r="O1593" s="38" t="n">
        <x:f>IF(AND(G1593="RECORDED",ISNUMBER(H1593)),H1593,"")</x:f>
        <x:v>0.95</x:v>
      </x:c>
      <x:c r="P1593" s="34" t="str">
        <x:v>NOT_REVEALING</x:v>
      </x:c>
      <x:c r="Q1593" s="34" t="str">
        <x:v>Feedback-Directed Random Test Generation/Result_Round2/Math_54/result.json</x:v>
      </x:c>
    </x:row>
    <x:row r="1594">
      <x:c r="A1594" s="34" t="str">
        <x:v>randoop</x:v>
      </x:c>
      <x:c r="B1594" s="34" t="str">
        <x:v>Math</x:v>
      </x:c>
      <x:c r="C1594" s="34" t="str">
        <x:v>Round2</x:v>
      </x:c>
      <x:c r="D1594" s="34" t="str">
        <x:v>Math_55</x:v>
      </x:c>
      <x:c r="E1594" s="34" t="str">
        <x:v>Coverage</x:v>
      </x:c>
      <x:c r="F1594" s="34" t="n">
        <x:v>164</x:v>
      </x:c>
      <x:c r="G1594" s="34" t="str">
        <x:v>RECORDED</x:v>
      </x:c>
      <x:c r="H1594" s="38" t="n">
        <x:f>IF(ISNUMBER('Data'!G1594),'Data'!G1594*100,"")</x:f>
        <x:v>93.9</x:v>
      </x:c>
      <x:c r="I1594" s="34" t="str">
        <x:v>PASS</x:v>
      </x:c>
      <x:c r="J1594" s="34" t="str">
        <x:v>PASS</x:v>
      </x:c>
      <x:c r="K1594" s="34" t="str">
        <x:v>PASS</x:v>
      </x:c>
      <x:c r="L1594" s="34" t="str">
        <x:v>FAIL</x:v>
      </x:c>
      <x:c r="M1594" s="34" t="str">
        <x:v>numeric coverage for applicable metric</x:v>
      </x:c>
      <x:c r="N1594" s="34" t="str">
        <x:v>Feedback-Directed Random Test Generation/Result_Round2/Math_55/result.json</x:v>
      </x:c>
      <x:c r="O1594" s="38" t="n">
        <x:f>IF(AND(G1594="RECORDED",ISNUMBER(H1594)),H1594,"")</x:f>
        <x:v>93.9</x:v>
      </x:c>
      <x:c r="P1594" s="34" t="str">
        <x:v>INCONCLUSIVE</x:v>
      </x:c>
      <x:c r="Q1594" s="34" t="str">
        <x:v>Feedback-Directed Random Test Generation/Result_Round2/Math_55/result.json</x:v>
      </x:c>
    </x:row>
    <x:row r="1595">
      <x:c r="A1595" s="34" t="str">
        <x:v>randoop</x:v>
      </x:c>
      <x:c r="B1595" s="34" t="str">
        <x:v>Math</x:v>
      </x:c>
      <x:c r="C1595" s="34" t="str">
        <x:v>Round2</x:v>
      </x:c>
      <x:c r="D1595" s="34" t="str">
        <x:v>Math_56</x:v>
      </x:c>
      <x:c r="E1595" s="34" t="str">
        <x:v>Coverage</x:v>
      </x:c>
      <x:c r="F1595" s="34" t="n">
        <x:v>109</x:v>
      </x:c>
      <x:c r="G1595" s="34" t="str">
        <x:v>RECORDED</x:v>
      </x:c>
      <x:c r="H1595" s="38" t="n">
        <x:f>IF(ISNUMBER('Data'!G1595),'Data'!G1595*100,"")</x:f>
        <x:v>91.74</x:v>
      </x:c>
      <x:c r="I1595" s="34" t="str">
        <x:v>PASS</x:v>
      </x:c>
      <x:c r="J1595" s="34" t="str">
        <x:v>PASS</x:v>
      </x:c>
      <x:c r="K1595" s="34" t="str">
        <x:v>PASS</x:v>
      </x:c>
      <x:c r="L1595" s="34" t="str">
        <x:v>PASS</x:v>
      </x:c>
      <x:c r="M1595" s="34" t="str">
        <x:v>numeric coverage for applicable metric</x:v>
      </x:c>
      <x:c r="N1595" s="34" t="str">
        <x:v>Feedback-Directed Random Test Generation/Result_Round2/Math_56/result.json</x:v>
      </x:c>
      <x:c r="O1595" s="38" t="n">
        <x:f>IF(AND(G1595="RECORDED",ISNUMBER(H1595)),H1595,"")</x:f>
        <x:v>91.74</x:v>
      </x:c>
      <x:c r="P1595" s="34" t="str">
        <x:v>INCONCLUSIVE</x:v>
      </x:c>
      <x:c r="Q1595" s="34" t="str">
        <x:v>Feedback-Directed Random Test Generation/Result_Round2/Math_56/result.json</x:v>
      </x:c>
    </x:row>
    <x:row r="1596">
      <x:c r="A1596" s="34" t="str">
        <x:v>randoop</x:v>
      </x:c>
      <x:c r="B1596" s="34" t="str">
        <x:v>Math</x:v>
      </x:c>
      <x:c r="C1596" s="34" t="str">
        <x:v>Round2</x:v>
      </x:c>
      <x:c r="D1596" s="34" t="str">
        <x:v>Math_57</x:v>
      </x:c>
      <x:c r="E1596" s="34" t="str">
        <x:v>Coverage</x:v>
      </x:c>
      <x:c r="F1596" s="34" t="n">
        <x:v>174</x:v>
      </x:c>
      <x:c r="G1596" s="34" t="str">
        <x:v>RECORDED</x:v>
      </x:c>
      <x:c r="H1596" s="38" t="n">
        <x:f>IF(ISNUMBER('Data'!G1596),'Data'!G1596*100,"")</x:f>
        <x:v>2.87</x:v>
      </x:c>
      <x:c r="I1596" s="34" t="str">
        <x:v>PASS</x:v>
      </x:c>
      <x:c r="J1596" s="34" t="str">
        <x:v>PASS</x:v>
      </x:c>
      <x:c r="K1596" s="34" t="str">
        <x:v>PASS</x:v>
      </x:c>
      <x:c r="L1596" s="34" t="str">
        <x:v>PASS</x:v>
      </x:c>
      <x:c r="M1596" s="34" t="str">
        <x:v>numeric coverage for applicable metric</x:v>
      </x:c>
      <x:c r="N1596" s="34" t="str">
        <x:v>Feedback-Directed Random Test Generation/Result_Round2/Math_57/result.json</x:v>
      </x:c>
      <x:c r="O1596" s="38" t="n">
        <x:f>IF(AND(G1596="RECORDED",ISNUMBER(H1596)),H1596,"")</x:f>
        <x:v>2.87</x:v>
      </x:c>
      <x:c r="P1596" s="34" t="str">
        <x:v>NOT_REVEALING</x:v>
      </x:c>
      <x:c r="Q1596" s="34" t="str">
        <x:v>Feedback-Directed Random Test Generation/Result_Round2/Math_57/result.json</x:v>
      </x:c>
    </x:row>
    <x:row r="1597">
      <x:c r="A1597" s="34" t="str">
        <x:v>randoop</x:v>
      </x:c>
      <x:c r="B1597" s="34" t="str">
        <x:v>Math</x:v>
      </x:c>
      <x:c r="C1597" s="34" t="str">
        <x:v>Round2</x:v>
      </x:c>
      <x:c r="D1597" s="34" t="str">
        <x:v>Math_58</x:v>
      </x:c>
      <x:c r="E1597" s="34" t="str">
        <x:v>Coverage</x:v>
      </x:c>
      <x:c r="F1597" s="34" t="n">
        <x:v>154</x:v>
      </x:c>
      <x:c r="G1597" s="34" t="str">
        <x:v>RECORDED</x:v>
      </x:c>
      <x:c r="H1597" s="38" t="n">
        <x:f>IF(ISNUMBER('Data'!G1597),'Data'!G1597*100,"")</x:f>
        <x:v>90.91</x:v>
      </x:c>
      <x:c r="I1597" s="34" t="str">
        <x:v>PASS</x:v>
      </x:c>
      <x:c r="J1597" s="34" t="str">
        <x:v>PASS</x:v>
      </x:c>
      <x:c r="K1597" s="34" t="str">
        <x:v>PASS</x:v>
      </x:c>
      <x:c r="L1597" s="34" t="str">
        <x:v>PASS</x:v>
      </x:c>
      <x:c r="M1597" s="34" t="str">
        <x:v>numeric coverage for applicable metric</x:v>
      </x:c>
      <x:c r="N1597" s="34" t="str">
        <x:v>Feedback-Directed Random Test Generation/Result_Round2/Math_58/result.json</x:v>
      </x:c>
      <x:c r="O1597" s="38" t="n">
        <x:f>IF(AND(G1597="RECORDED",ISNUMBER(H1597)),H1597,"")</x:f>
        <x:v>90.91</x:v>
      </x:c>
      <x:c r="P1597" s="34" t="str">
        <x:v>NOT_REVEALING</x:v>
      </x:c>
      <x:c r="Q1597" s="34" t="str">
        <x:v>Feedback-Directed Random Test Generation/Result_Round2/Math_58/result.json</x:v>
      </x:c>
    </x:row>
    <x:row r="1598">
      <x:c r="A1598" s="34" t="str">
        <x:v>randoop</x:v>
      </x:c>
      <x:c r="B1598" s="34" t="str">
        <x:v>Math</x:v>
      </x:c>
      <x:c r="C1598" s="34" t="str">
        <x:v>Round2</x:v>
      </x:c>
      <x:c r="D1598" s="34" t="str">
        <x:v>Math_59</x:v>
      </x:c>
      <x:c r="E1598" s="34" t="str">
        <x:v>Coverage</x:v>
      </x:c>
      <x:c r="F1598" s="34" t="n">
        <x:v>2201</x:v>
      </x:c>
      <x:c r="G1598" s="34" t="str">
        <x:v>RECORDED</x:v>
      </x:c>
      <x:c r="H1598" s="38" t="n">
        <x:f>IF(ISNUMBER('Data'!G1598),'Data'!G1598*100,"")</x:f>
        <x:v>89.19</x:v>
      </x:c>
      <x:c r="I1598" s="34" t="str">
        <x:v>PASS</x:v>
      </x:c>
      <x:c r="J1598" s="34" t="str">
        <x:v>PASS</x:v>
      </x:c>
      <x:c r="K1598" s="34" t="str">
        <x:v>PASS</x:v>
      </x:c>
      <x:c r="L1598" s="34" t="str">
        <x:v>PASS</x:v>
      </x:c>
      <x:c r="M1598" s="34" t="str">
        <x:v>numeric coverage for applicable metric</x:v>
      </x:c>
      <x:c r="N1598" s="34" t="str">
        <x:v>Feedback-Directed Random Test Generation/Result_Round2/Math_59/result.json</x:v>
      </x:c>
      <x:c r="O1598" s="38" t="n">
        <x:f>IF(AND(G1598="RECORDED",ISNUMBER(H1598)),H1598,"")</x:f>
        <x:v>89.19</x:v>
      </x:c>
      <x:c r="P1598" s="34" t="str">
        <x:v>INCONCLUSIVE</x:v>
      </x:c>
      <x:c r="Q1598" s="34" t="str">
        <x:v>Feedback-Directed Random Test Generation/Result_Round2/Math_59/result.json</x:v>
      </x:c>
    </x:row>
    <x:row r="1599">
      <x:c r="A1599" s="34" t="str">
        <x:v>randoop</x:v>
      </x:c>
      <x:c r="B1599" s="34" t="str">
        <x:v>Math</x:v>
      </x:c>
      <x:c r="C1599" s="34" t="str">
        <x:v>Round2</x:v>
      </x:c>
      <x:c r="D1599" s="34" t="str">
        <x:v>Math_60</x:v>
      </x:c>
      <x:c r="E1599" s="34" t="str">
        <x:v>Coverage</x:v>
      </x:c>
      <x:c r="F1599" s="34" t="n">
        <x:v>0</x:v>
      </x:c>
      <x:c r="G1599" s="34" t="str">
        <x:v>A</x:v>
      </x:c>
      <x:c r="H1599" s="38" t="str">
        <x:f>IF(ISNUMBER('Data'!G1599),'Data'!G1599*100,"")</x:f>
      </x:c>
      <x:c r="I1599" s="34"/>
      <x:c r="J1599" s="34"/>
      <x:c r="K1599" s="34"/>
      <x:c r="L1599" s="34" t="str">
        <x:v>NOT_RUN</x:v>
      </x:c>
      <x:c r="M1599" s="34" t="str">
        <x:v>Latest same-round generation failed; older files/results are excluded</x:v>
      </x:c>
      <x:c r="N1599" s="34" t="str">
        <x:v>Feedback-Directed Random Test Generation/report_Round2.csv</x:v>
      </x:c>
      <x:c r="O1599" s="38" t="str">
        <x:f>IF(AND(G1599="RECORDED",ISNUMBER(H1599)),H1599,"")</x:f>
      </x:c>
      <x:c r="P1599" s="34" t="str">
        <x:v>FAIL</x:v>
      </x:c>
      <x:c r="Q1599" s="34"/>
    </x:row>
    <x:row r="1600">
      <x:c r="A1600" s="34" t="str">
        <x:v>randoop</x:v>
      </x:c>
      <x:c r="B1600" s="34" t="str">
        <x:v>Math</x:v>
      </x:c>
      <x:c r="C1600" s="34" t="str">
        <x:v>Round2</x:v>
      </x:c>
      <x:c r="D1600" s="34" t="str">
        <x:v>Math_61</x:v>
      </x:c>
      <x:c r="E1600" s="34" t="str">
        <x:v>Coverage</x:v>
      </x:c>
      <x:c r="F1600" s="34" t="n">
        <x:v>46</x:v>
      </x:c>
      <x:c r="G1600" s="34" t="str">
        <x:v>RECORDED</x:v>
      </x:c>
      <x:c r="H1600" s="38" t="n">
        <x:f>IF(ISNUMBER('Data'!G1600),'Data'!G1600*100,"")</x:f>
        <x:v>100</x:v>
      </x:c>
      <x:c r="I1600" s="34" t="str">
        <x:v>PASS</x:v>
      </x:c>
      <x:c r="J1600" s="34" t="str">
        <x:v>PASS</x:v>
      </x:c>
      <x:c r="K1600" s="34" t="str">
        <x:v>PASS</x:v>
      </x:c>
      <x:c r="L1600" s="34" t="str">
        <x:v>FAIL</x:v>
      </x:c>
      <x:c r="M1600" s="34" t="str">
        <x:v>numeric coverage for applicable metric</x:v>
      </x:c>
      <x:c r="N1600" s="34" t="str">
        <x:v>Feedback-Directed Random Test Generation/Result_Round2/Math_61/result.json</x:v>
      </x:c>
      <x:c r="O1600" s="38" t="n">
        <x:f>IF(AND(G1600="RECORDED",ISNUMBER(H1600)),H1600,"")</x:f>
        <x:v>100</x:v>
      </x:c>
      <x:c r="P1600" s="34" t="str">
        <x:v>INCONCLUSIVE</x:v>
      </x:c>
      <x:c r="Q1600" s="34" t="str">
        <x:v>Feedback-Directed Random Test Generation/Result_Round2/Math_61/result.json</x:v>
      </x:c>
    </x:row>
    <x:row r="1601">
      <x:c r="A1601" s="34" t="str">
        <x:v>randoop</x:v>
      </x:c>
      <x:c r="B1601" s="34" t="str">
        <x:v>Math</x:v>
      </x:c>
      <x:c r="C1601" s="34" t="str">
        <x:v>Round2</x:v>
      </x:c>
      <x:c r="D1601" s="34" t="str">
        <x:v>Math_62</x:v>
      </x:c>
      <x:c r="E1601" s="34" t="str">
        <x:v>Coverage</x:v>
      </x:c>
      <x:c r="F1601" s="34" t="n">
        <x:v>65</x:v>
      </x:c>
      <x:c r="G1601" s="34" t="str">
        <x:v>RECORDED</x:v>
      </x:c>
      <x:c r="H1601" s="38" t="n">
        <x:f>IF(ISNUMBER('Data'!G1601),'Data'!G1601*100,"")</x:f>
        <x:v>0</x:v>
      </x:c>
      <x:c r="I1601" s="34" t="str">
        <x:v>PASS</x:v>
      </x:c>
      <x:c r="J1601" s="34" t="str">
        <x:v>PASS</x:v>
      </x:c>
      <x:c r="K1601" s="34" t="str">
        <x:v>PASS</x:v>
      </x:c>
      <x:c r="L1601" s="34" t="str">
        <x:v>PASS</x:v>
      </x:c>
      <x:c r="M1601" s="34" t="str">
        <x:v>numeric coverage for applicable metric</x:v>
      </x:c>
      <x:c r="N1601" s="34" t="str">
        <x:v>Feedback-Directed Random Test Generation/Result_Round2/Math_62/result.json</x:v>
      </x:c>
      <x:c r="O1601" s="38" t="n">
        <x:f>IF(AND(G1601="RECORDED",ISNUMBER(H1601)),H1601,"")</x:f>
        <x:v>0</x:v>
      </x:c>
      <x:c r="P1601" s="34" t="str">
        <x:v>NOT_REVEALING</x:v>
      </x:c>
      <x:c r="Q1601" s="34" t="str">
        <x:v>Feedback-Directed Random Test Generation/Result_Round2/Math_62/result.json</x:v>
      </x:c>
    </x:row>
    <x:row r="1602">
      <x:c r="A1602" s="34" t="str">
        <x:v>randoop</x:v>
      </x:c>
      <x:c r="B1602" s="34" t="str">
        <x:v>Math</x:v>
      </x:c>
      <x:c r="C1602" s="34" t="str">
        <x:v>Round2</x:v>
      </x:c>
      <x:c r="D1602" s="34" t="str">
        <x:v>Math_63</x:v>
      </x:c>
      <x:c r="E1602" s="34" t="str">
        <x:v>Coverage</x:v>
      </x:c>
      <x:c r="F1602" s="34" t="n">
        <x:v>0</x:v>
      </x:c>
      <x:c r="G1602" s="34" t="str">
        <x:v>A</x:v>
      </x:c>
      <x:c r="H1602" s="38" t="str">
        <x:f>IF(ISNUMBER('Data'!G1602),'Data'!G1602*100,"")</x:f>
      </x:c>
      <x:c r="I1602" s="34"/>
      <x:c r="J1602" s="34"/>
      <x:c r="K1602" s="34"/>
      <x:c r="L1602" s="34" t="str">
        <x:v>NOT_RUN</x:v>
      </x:c>
      <x:c r="M1602" s="34" t="str">
        <x:v>Latest same-round generation failed; older files/results are excluded</x:v>
      </x:c>
      <x:c r="N1602" s="34" t="str">
        <x:v>Feedback-Directed Random Test Generation/report_Round2.csv</x:v>
      </x:c>
      <x:c r="O1602" s="38" t="str">
        <x:f>IF(AND(G1602="RECORDED",ISNUMBER(H1602)),H1602,"")</x:f>
      </x:c>
      <x:c r="P1602" s="34" t="str">
        <x:v>FAIL</x:v>
      </x:c>
      <x:c r="Q1602" s="34"/>
    </x:row>
    <x:row r="1603">
      <x:c r="A1603" s="34" t="str">
        <x:v>randoop</x:v>
      </x:c>
      <x:c r="B1603" s="34" t="str">
        <x:v>Math</x:v>
      </x:c>
      <x:c r="C1603" s="34" t="str">
        <x:v>Round2</x:v>
      </x:c>
      <x:c r="D1603" s="34" t="str">
        <x:v>Math_64</x:v>
      </x:c>
      <x:c r="E1603" s="34" t="str">
        <x:v>Coverage</x:v>
      </x:c>
      <x:c r="F1603" s="34" t="n">
        <x:v>542</x:v>
      </x:c>
      <x:c r="G1603" s="34" t="str">
        <x:v>RECORDED</x:v>
      </x:c>
      <x:c r="H1603" s="38" t="n">
        <x:f>IF(ISNUMBER('Data'!G1603),'Data'!G1603*100,"")</x:f>
        <x:v>6.27</x:v>
      </x:c>
      <x:c r="I1603" s="34" t="str">
        <x:v>PASS</x:v>
      </x:c>
      <x:c r="J1603" s="34" t="str">
        <x:v>PASS</x:v>
      </x:c>
      <x:c r="K1603" s="34" t="str">
        <x:v>PASS</x:v>
      </x:c>
      <x:c r="L1603" s="34" t="str">
        <x:v>FAIL</x:v>
      </x:c>
      <x:c r="M1603" s="34" t="str">
        <x:v>numeric coverage for applicable metric</x:v>
      </x:c>
      <x:c r="N1603" s="34" t="str">
        <x:v>Feedback-Directed Random Test Generation/Result_Round2/Math_64/result.json</x:v>
      </x:c>
      <x:c r="O1603" s="38" t="n">
        <x:f>IF(AND(G1603="RECORDED",ISNUMBER(H1603)),H1603,"")</x:f>
        <x:v>6.27</x:v>
      </x:c>
      <x:c r="P1603" s="34" t="str">
        <x:v>INCONCLUSIVE</x:v>
      </x:c>
      <x:c r="Q1603" s="34" t="str">
        <x:v>Feedback-Directed Random Test Generation/Result_Round2/Math_64/result.json</x:v>
      </x:c>
    </x:row>
    <x:row r="1604">
      <x:c r="A1604" s="34" t="str">
        <x:v>randoop</x:v>
      </x:c>
      <x:c r="B1604" s="34" t="str">
        <x:v>Math</x:v>
      </x:c>
      <x:c r="C1604" s="34" t="str">
        <x:v>Round2</x:v>
      </x:c>
      <x:c r="D1604" s="34" t="str">
        <x:v>Math_65</x:v>
      </x:c>
      <x:c r="E1604" s="34" t="str">
        <x:v>Coverage</x:v>
      </x:c>
      <x:c r="F1604" s="34" t="n">
        <x:v>126</x:v>
      </x:c>
      <x:c r="G1604" s="34" t="str">
        <x:v>RECORDED</x:v>
      </x:c>
      <x:c r="H1604" s="38" t="n">
        <x:f>IF(ISNUMBER('Data'!G1604),'Data'!G1604*100,"")</x:f>
        <x:v>0</x:v>
      </x:c>
      <x:c r="I1604" s="34" t="str">
        <x:v>PASS</x:v>
      </x:c>
      <x:c r="J1604" s="34" t="str">
        <x:v>PASS</x:v>
      </x:c>
      <x:c r="K1604" s="34" t="str">
        <x:v>PASS</x:v>
      </x:c>
      <x:c r="L1604" s="34" t="str">
        <x:v>PASS</x:v>
      </x:c>
      <x:c r="M1604" s="34" t="str">
        <x:v>numeric coverage for applicable metric</x:v>
      </x:c>
      <x:c r="N1604" s="34" t="str">
        <x:v>Feedback-Directed Random Test Generation/Result_Round2/Math_65/result.json</x:v>
      </x:c>
      <x:c r="O1604" s="38" t="n">
        <x:f>IF(AND(G1604="RECORDED",ISNUMBER(H1604)),H1604,"")</x:f>
        <x:v>0</x:v>
      </x:c>
      <x:c r="P1604" s="34" t="str">
        <x:v>NOT_REVEALING</x:v>
      </x:c>
      <x:c r="Q1604" s="34" t="str">
        <x:v>Feedback-Directed Random Test Generation/Result_Round2/Math_65/result.json</x:v>
      </x:c>
    </x:row>
    <x:row r="1605">
      <x:c r="A1605" s="34" t="str">
        <x:v>randoop</x:v>
      </x:c>
      <x:c r="B1605" s="34" t="str">
        <x:v>Math</x:v>
      </x:c>
      <x:c r="C1605" s="34" t="str">
        <x:v>Round2</x:v>
      </x:c>
      <x:c r="D1605" s="34" t="str">
        <x:v>Math_66</x:v>
      </x:c>
      <x:c r="E1605" s="34" t="str">
        <x:v>Coverage</x:v>
      </x:c>
      <x:c r="F1605" s="34" t="n">
        <x:v>160</x:v>
      </x:c>
      <x:c r="G1605" s="34" t="str">
        <x:v>RECORDED</x:v>
      </x:c>
      <x:c r="H1605" s="38" t="n">
        <x:f>IF(ISNUMBER('Data'!G1605),'Data'!G1605*100,"")</x:f>
        <x:v>21.25</x:v>
      </x:c>
      <x:c r="I1605" s="34" t="str">
        <x:v>PASS</x:v>
      </x:c>
      <x:c r="J1605" s="34" t="str">
        <x:v>PASS</x:v>
      </x:c>
      <x:c r="K1605" s="34" t="str">
        <x:v>PASS</x:v>
      </x:c>
      <x:c r="L1605" s="34" t="str">
        <x:v>PASS</x:v>
      </x:c>
      <x:c r="M1605" s="34" t="str">
        <x:v>numeric coverage for applicable metric</x:v>
      </x:c>
      <x:c r="N1605" s="34" t="str">
        <x:v>Feedback-Directed Random Test Generation/Result_Round2/Math_66/result.json</x:v>
      </x:c>
      <x:c r="O1605" s="38" t="n">
        <x:f>IF(AND(G1605="RECORDED",ISNUMBER(H1605)),H1605,"")</x:f>
        <x:v>21.25</x:v>
      </x:c>
      <x:c r="P1605" s="34" t="str">
        <x:v>INCONCLUSIVE</x:v>
      </x:c>
      <x:c r="Q1605" s="34" t="str">
        <x:v>Feedback-Directed Random Test Generation/Result_Round2/Math_66/result.json</x:v>
      </x:c>
    </x:row>
    <x:row r="1606">
      <x:c r="A1606" s="34" t="str">
        <x:v>randoop</x:v>
      </x:c>
      <x:c r="B1606" s="34" t="str">
        <x:v>Math</x:v>
      </x:c>
      <x:c r="C1606" s="34" t="str">
        <x:v>Round2</x:v>
      </x:c>
      <x:c r="D1606" s="34" t="str">
        <x:v>Math_67</x:v>
      </x:c>
      <x:c r="E1606" s="34" t="str">
        <x:v>Coverage</x:v>
      </x:c>
      <x:c r="F1606" s="34" t="n">
        <x:v>127</x:v>
      </x:c>
      <x:c r="G1606" s="34" t="str">
        <x:v>RECORDED</x:v>
      </x:c>
      <x:c r="H1606" s="38" t="n">
        <x:f>IF(ISNUMBER('Data'!G1606),'Data'!G1606*100,"")</x:f>
        <x:v>41.73</x:v>
      </x:c>
      <x:c r="I1606" s="34" t="str">
        <x:v>PASS</x:v>
      </x:c>
      <x:c r="J1606" s="34" t="str">
        <x:v>PASS</x:v>
      </x:c>
      <x:c r="K1606" s="34" t="str">
        <x:v>PASS</x:v>
      </x:c>
      <x:c r="L1606" s="34" t="str">
        <x:v>PASS</x:v>
      </x:c>
      <x:c r="M1606" s="34" t="str">
        <x:v>numeric coverage for applicable metric</x:v>
      </x:c>
      <x:c r="N1606" s="34" t="str">
        <x:v>Feedback-Directed Random Test Generation/Result_Round2/Math_67/result.json</x:v>
      </x:c>
      <x:c r="O1606" s="38" t="n">
        <x:f>IF(AND(G1606="RECORDED",ISNUMBER(H1606)),H1606,"")</x:f>
        <x:v>41.73</x:v>
      </x:c>
      <x:c r="P1606" s="34" t="str">
        <x:v>NOT_REVEALING</x:v>
      </x:c>
      <x:c r="Q1606" s="34" t="str">
        <x:v>Feedback-Directed Random Test Generation/Result_Round2/Math_67/result.json</x:v>
      </x:c>
    </x:row>
    <x:row r="1607">
      <x:c r="A1607" s="34" t="str">
        <x:v>randoop</x:v>
      </x:c>
      <x:c r="B1607" s="34" t="str">
        <x:v>Math</x:v>
      </x:c>
      <x:c r="C1607" s="34" t="str">
        <x:v>Round2</x:v>
      </x:c>
      <x:c r="D1607" s="34" t="str">
        <x:v>Math_68</x:v>
      </x:c>
      <x:c r="E1607" s="34" t="str">
        <x:v>Coverage</x:v>
      </x:c>
      <x:c r="F1607" s="34" t="n">
        <x:v>528</x:v>
      </x:c>
      <x:c r="G1607" s="34" t="str">
        <x:v>RECORDED</x:v>
      </x:c>
      <x:c r="H1607" s="38" t="n">
        <x:f>IF(ISNUMBER('Data'!G1607),'Data'!G1607*100,"")</x:f>
        <x:v>5.68</x:v>
      </x:c>
      <x:c r="I1607" s="34" t="str">
        <x:v>PASS</x:v>
      </x:c>
      <x:c r="J1607" s="34" t="str">
        <x:v>PASS</x:v>
      </x:c>
      <x:c r="K1607" s="34" t="str">
        <x:v>PASS</x:v>
      </x:c>
      <x:c r="L1607" s="34" t="str">
        <x:v>FAIL</x:v>
      </x:c>
      <x:c r="M1607" s="34" t="str">
        <x:v>numeric coverage for applicable metric</x:v>
      </x:c>
      <x:c r="N1607" s="34" t="str">
        <x:v>Feedback-Directed Random Test Generation/Result_Round2/Math_68/result.json</x:v>
      </x:c>
      <x:c r="O1607" s="38" t="n">
        <x:f>IF(AND(G1607="RECORDED",ISNUMBER(H1607)),H1607,"")</x:f>
        <x:v>5.68</x:v>
      </x:c>
      <x:c r="P1607" s="34" t="str">
        <x:v>INCONCLUSIVE</x:v>
      </x:c>
      <x:c r="Q1607" s="34" t="str">
        <x:v>Feedback-Directed Random Test Generation/Result_Round2/Math_68/result.json</x:v>
      </x:c>
    </x:row>
    <x:row r="1608">
      <x:c r="A1608" s="34" t="str">
        <x:v>randoop</x:v>
      </x:c>
      <x:c r="B1608" s="34" t="str">
        <x:v>Math</x:v>
      </x:c>
      <x:c r="C1608" s="34" t="str">
        <x:v>Round2</x:v>
      </x:c>
      <x:c r="D1608" s="34" t="str">
        <x:v>Math_69</x:v>
      </x:c>
      <x:c r="E1608" s="34" t="str">
        <x:v>Coverage</x:v>
      </x:c>
      <x:c r="F1608" s="34" t="n">
        <x:v>105</x:v>
      </x:c>
      <x:c r="G1608" s="34" t="str">
        <x:v>RECORDED</x:v>
      </x:c>
      <x:c r="H1608" s="38" t="n">
        <x:f>IF(ISNUMBER('Data'!G1608),'Data'!G1608*100,"")</x:f>
        <x:v>93.33</x:v>
      </x:c>
      <x:c r="I1608" s="34" t="str">
        <x:v>PASS</x:v>
      </x:c>
      <x:c r="J1608" s="34" t="str">
        <x:v>PASS</x:v>
      </x:c>
      <x:c r="K1608" s="34" t="str">
        <x:v>PASS</x:v>
      </x:c>
      <x:c r="L1608" s="34" t="str">
        <x:v>FAIL</x:v>
      </x:c>
      <x:c r="M1608" s="34" t="str">
        <x:v>numeric coverage for applicable metric</x:v>
      </x:c>
      <x:c r="N1608" s="34" t="str">
        <x:v>Feedback-Directed Random Test Generation/Result_Round2/Math_69/result.json</x:v>
      </x:c>
      <x:c r="O1608" s="38" t="n">
        <x:f>IF(AND(G1608="RECORDED",ISNUMBER(H1608)),H1608,"")</x:f>
        <x:v>93.33</x:v>
      </x:c>
      <x:c r="P1608" s="34" t="str">
        <x:v>INCONCLUSIVE</x:v>
      </x:c>
      <x:c r="Q1608" s="34" t="str">
        <x:v>Feedback-Directed Random Test Generation/Result_Round2/Math_69/result.json</x:v>
      </x:c>
    </x:row>
    <x:row r="1609">
      <x:c r="A1609" s="34" t="str">
        <x:v>randoop</x:v>
      </x:c>
      <x:c r="B1609" s="34" t="str">
        <x:v>Math</x:v>
      </x:c>
      <x:c r="C1609" s="34" t="str">
        <x:v>Round2</x:v>
      </x:c>
      <x:c r="D1609" s="34" t="str">
        <x:v>Math_70</x:v>
      </x:c>
      <x:c r="E1609" s="34" t="str">
        <x:v>Coverage</x:v>
      </x:c>
      <x:c r="F1609" s="34" t="n">
        <x:v>29</x:v>
      </x:c>
      <x:c r="G1609" s="34" t="str">
        <x:v>RECORDED</x:v>
      </x:c>
      <x:c r="H1609" s="38" t="n">
        <x:f>IF(ISNUMBER('Data'!G1609),'Data'!G1609*100,"")</x:f>
        <x:v>51.72</x:v>
      </x:c>
      <x:c r="I1609" s="34" t="str">
        <x:v>PASS</x:v>
      </x:c>
      <x:c r="J1609" s="34" t="str">
        <x:v>PASS</x:v>
      </x:c>
      <x:c r="K1609" s="34" t="str">
        <x:v>PASS</x:v>
      </x:c>
      <x:c r="L1609" s="34" t="str">
        <x:v>FAIL</x:v>
      </x:c>
      <x:c r="M1609" s="34" t="str">
        <x:v>numeric coverage for applicable metric</x:v>
      </x:c>
      <x:c r="N1609" s="34" t="str">
        <x:v>Feedback-Directed Random Test Generation/Result_Round2/Math_70/result.json</x:v>
      </x:c>
      <x:c r="O1609" s="38" t="n">
        <x:f>IF(AND(G1609="RECORDED",ISNUMBER(H1609)),H1609,"")</x:f>
        <x:v>51.72</x:v>
      </x:c>
      <x:c r="P1609" s="34" t="str">
        <x:v>INCONCLUSIVE</x:v>
      </x:c>
      <x:c r="Q1609" s="34" t="str">
        <x:v>Feedback-Directed Random Test Generation/Result_Round2/Math_70/result.json</x:v>
      </x:c>
    </x:row>
    <x:row r="1610">
      <x:c r="A1610" s="34" t="str">
        <x:v>randoop</x:v>
      </x:c>
      <x:c r="B1610" s="34" t="str">
        <x:v>Math</x:v>
      </x:c>
      <x:c r="C1610" s="34" t="str">
        <x:v>Round2</x:v>
      </x:c>
      <x:c r="D1610" s="34" t="str">
        <x:v>Math_71</x:v>
      </x:c>
      <x:c r="E1610" s="34" t="str">
        <x:v>Coverage</x:v>
      </x:c>
      <x:c r="F1610" s="34" t="n">
        <x:v>295</x:v>
      </x:c>
      <x:c r="G1610" s="34" t="str">
        <x:v>RECORDED</x:v>
      </x:c>
      <x:c r="H1610" s="38" t="n">
        <x:f>IF(ISNUMBER('Data'!G1610),'Data'!G1610*100,"")</x:f>
        <x:v>0</x:v>
      </x:c>
      <x:c r="I1610" s="34" t="str">
        <x:v>PASS</x:v>
      </x:c>
      <x:c r="J1610" s="34" t="str">
        <x:v>PASS</x:v>
      </x:c>
      <x:c r="K1610" s="34" t="str">
        <x:v>PASS</x:v>
      </x:c>
      <x:c r="L1610" s="34" t="str">
        <x:v>PASS</x:v>
      </x:c>
      <x:c r="M1610" s="34" t="str">
        <x:v>numeric coverage for applicable metric</x:v>
      </x:c>
      <x:c r="N1610" s="34" t="str">
        <x:v>Feedback-Directed Random Test Generation/Result_Round2/Math_71/result.json</x:v>
      </x:c>
      <x:c r="O1610" s="38" t="n">
        <x:f>IF(AND(G1610="RECORDED",ISNUMBER(H1610)),H1610,"")</x:f>
        <x:v>0</x:v>
      </x:c>
      <x:c r="P1610" s="34" t="str">
        <x:v>NOT_REVEALING</x:v>
      </x:c>
      <x:c r="Q1610" s="34" t="str">
        <x:v>Feedback-Directed Random Test Generation/Result_Round2/Math_71/result.json</x:v>
      </x:c>
    </x:row>
    <x:row r="1611">
      <x:c r="A1611" s="34" t="str">
        <x:v>randoop</x:v>
      </x:c>
      <x:c r="B1611" s="34" t="str">
        <x:v>Math</x:v>
      </x:c>
      <x:c r="C1611" s="34" t="str">
        <x:v>Round2</x:v>
      </x:c>
      <x:c r="D1611" s="34" t="str">
        <x:v>Math_72</x:v>
      </x:c>
      <x:c r="E1611" s="34" t="str">
        <x:v>Coverage</x:v>
      </x:c>
      <x:c r="F1611" s="34" t="n">
        <x:v>161</x:v>
      </x:c>
      <x:c r="G1611" s="34" t="str">
        <x:v>RECORDED</x:v>
      </x:c>
      <x:c r="H1611" s="38" t="n">
        <x:f>IF(ISNUMBER('Data'!G1611),'Data'!G1611*100,"")</x:f>
        <x:v>7.449999999999999</x:v>
      </x:c>
      <x:c r="I1611" s="34" t="str">
        <x:v>PASS</x:v>
      </x:c>
      <x:c r="J1611" s="34" t="str">
        <x:v>PASS</x:v>
      </x:c>
      <x:c r="K1611" s="34" t="str">
        <x:v>PASS</x:v>
      </x:c>
      <x:c r="L1611" s="34" t="str">
        <x:v>FAIL</x:v>
      </x:c>
      <x:c r="M1611" s="34" t="str">
        <x:v>numeric coverage for applicable metric</x:v>
      </x:c>
      <x:c r="N1611" s="34" t="str">
        <x:v>Feedback-Directed Random Test Generation/Result_Round2/Math_72/result.json</x:v>
      </x:c>
      <x:c r="O1611" s="38" t="n">
        <x:f>IF(AND(G1611="RECORDED",ISNUMBER(H1611)),H1611,"")</x:f>
        <x:v>7.449999999999999</x:v>
      </x:c>
      <x:c r="P1611" s="34" t="str">
        <x:v>INCONCLUSIVE</x:v>
      </x:c>
      <x:c r="Q1611" s="34" t="str">
        <x:v>Feedback-Directed Random Test Generation/Result_Round2/Math_72/result.json</x:v>
      </x:c>
    </x:row>
    <x:row r="1612">
      <x:c r="A1612" s="34" t="str">
        <x:v>randoop</x:v>
      </x:c>
      <x:c r="B1612" s="34" t="str">
        <x:v>Math</x:v>
      </x:c>
      <x:c r="C1612" s="34" t="str">
        <x:v>Round2</x:v>
      </x:c>
      <x:c r="D1612" s="34" t="str">
        <x:v>Math_73</x:v>
      </x:c>
      <x:c r="E1612" s="34" t="str">
        <x:v>Coverage</x:v>
      </x:c>
      <x:c r="F1612" s="34" t="n">
        <x:v>156</x:v>
      </x:c>
      <x:c r="G1612" s="34" t="str">
        <x:v>RECORDED</x:v>
      </x:c>
      <x:c r="H1612" s="38" t="n">
        <x:f>IF(ISNUMBER('Data'!G1612),'Data'!G1612*100,"")</x:f>
        <x:v>7.690000000000001</x:v>
      </x:c>
      <x:c r="I1612" s="34" t="str">
        <x:v>PASS</x:v>
      </x:c>
      <x:c r="J1612" s="34" t="str">
        <x:v>PASS</x:v>
      </x:c>
      <x:c r="K1612" s="34" t="str">
        <x:v>PASS</x:v>
      </x:c>
      <x:c r="L1612" s="34" t="str">
        <x:v>FAIL</x:v>
      </x:c>
      <x:c r="M1612" s="34" t="str">
        <x:v>numeric coverage for applicable metric</x:v>
      </x:c>
      <x:c r="N1612" s="34" t="str">
        <x:v>Feedback-Directed Random Test Generation/Result_Round2/Math_73/result.json</x:v>
      </x:c>
      <x:c r="O1612" s="38" t="n">
        <x:f>IF(AND(G1612="RECORDED",ISNUMBER(H1612)),H1612,"")</x:f>
        <x:v>7.690000000000001</x:v>
      </x:c>
      <x:c r="P1612" s="34" t="str">
        <x:v>INCONCLUSIVE</x:v>
      </x:c>
      <x:c r="Q1612" s="34" t="str">
        <x:v>Feedback-Directed Random Test Generation/Result_Round2/Math_73/result.json</x:v>
      </x:c>
    </x:row>
    <x:row r="1613">
      <x:c r="A1613" s="34" t="str">
        <x:v>randoop</x:v>
      </x:c>
      <x:c r="B1613" s="34" t="str">
        <x:v>Math</x:v>
      </x:c>
      <x:c r="C1613" s="34" t="str">
        <x:v>Round2</x:v>
      </x:c>
      <x:c r="D1613" s="34" t="str">
        <x:v>Math_74</x:v>
      </x:c>
      <x:c r="E1613" s="34" t="str">
        <x:v>Coverage</x:v>
      </x:c>
      <x:c r="F1613" s="34" t="n">
        <x:v>176</x:v>
      </x:c>
      <x:c r="G1613" s="34" t="str">
        <x:v>RECORDED</x:v>
      </x:c>
      <x:c r="H1613" s="38" t="n">
        <x:f>IF(ISNUMBER('Data'!G1613),'Data'!G1613*100,"")</x:f>
        <x:v>0</x:v>
      </x:c>
      <x:c r="I1613" s="34" t="str">
        <x:v>PASS</x:v>
      </x:c>
      <x:c r="J1613" s="34" t="str">
        <x:v>PASS</x:v>
      </x:c>
      <x:c r="K1613" s="34" t="str">
        <x:v>PASS</x:v>
      </x:c>
      <x:c r="L1613" s="34" t="str">
        <x:v>PASS</x:v>
      </x:c>
      <x:c r="M1613" s="34" t="str">
        <x:v>numeric coverage for applicable metric</x:v>
      </x:c>
      <x:c r="N1613" s="34" t="str">
        <x:v>Feedback-Directed Random Test Generation/Result_Round2/Math_74/result.json</x:v>
      </x:c>
      <x:c r="O1613" s="38" t="n">
        <x:f>IF(AND(G1613="RECORDED",ISNUMBER(H1613)),H1613,"")</x:f>
        <x:v>0</x:v>
      </x:c>
      <x:c r="P1613" s="34" t="str">
        <x:v>NOT_REVEALING</x:v>
      </x:c>
      <x:c r="Q1613" s="34" t="str">
        <x:v>Feedback-Directed Random Test Generation/Result_Round2/Math_74/result.json</x:v>
      </x:c>
    </x:row>
    <x:row r="1614">
      <x:c r="A1614" s="34" t="str">
        <x:v>randoop</x:v>
      </x:c>
      <x:c r="B1614" s="34" t="str">
        <x:v>Math</x:v>
      </x:c>
      <x:c r="C1614" s="34" t="str">
        <x:v>Round2</x:v>
      </x:c>
      <x:c r="D1614" s="34" t="str">
        <x:v>Math_75</x:v>
      </x:c>
      <x:c r="E1614" s="34" t="str">
        <x:v>Coverage</x:v>
      </x:c>
      <x:c r="F1614" s="34" t="n">
        <x:v>182</x:v>
      </x:c>
      <x:c r="G1614" s="34" t="str">
        <x:v>RECORDED</x:v>
      </x:c>
      <x:c r="H1614" s="38" t="n">
        <x:f>IF(ISNUMBER('Data'!G1614),'Data'!G1614*100,"")</x:f>
        <x:v>89.01</x:v>
      </x:c>
      <x:c r="I1614" s="34" t="str">
        <x:v>PASS</x:v>
      </x:c>
      <x:c r="J1614" s="34" t="str">
        <x:v>PASS</x:v>
      </x:c>
      <x:c r="K1614" s="34" t="str">
        <x:v>PASS</x:v>
      </x:c>
      <x:c r="L1614" s="34" t="str">
        <x:v>PASS</x:v>
      </x:c>
      <x:c r="M1614" s="34" t="str">
        <x:v>numeric coverage for applicable metric</x:v>
      </x:c>
      <x:c r="N1614" s="34" t="str">
        <x:v>Feedback-Directed Random Test Generation/Result_Round2/Math_75/result.json</x:v>
      </x:c>
      <x:c r="O1614" s="38" t="n">
        <x:f>IF(AND(G1614="RECORDED",ISNUMBER(H1614)),H1614,"")</x:f>
        <x:v>89.01</x:v>
      </x:c>
      <x:c r="P1614" s="34" t="str">
        <x:v>INCONCLUSIVE</x:v>
      </x:c>
      <x:c r="Q1614" s="34" t="str">
        <x:v>Feedback-Directed Random Test Generation/Result_Round2/Math_75/result.json</x:v>
      </x:c>
    </x:row>
    <x:row r="1615">
      <x:c r="A1615" s="34" t="str">
        <x:v>randoop</x:v>
      </x:c>
      <x:c r="B1615" s="34" t="str">
        <x:v>Math</x:v>
      </x:c>
      <x:c r="C1615" s="34" t="str">
        <x:v>Round2</x:v>
      </x:c>
      <x:c r="D1615" s="34" t="str">
        <x:v>Math_76</x:v>
      </x:c>
      <x:c r="E1615" s="34" t="str">
        <x:v>Coverage</x:v>
      </x:c>
      <x:c r="F1615" s="34" t="n">
        <x:v>188</x:v>
      </x:c>
      <x:c r="G1615" s="34" t="str">
        <x:v>RECORDED</x:v>
      </x:c>
      <x:c r="H1615" s="38" t="n">
        <x:f>IF(ISNUMBER('Data'!G1615),'Data'!G1615*100,"")</x:f>
        <x:v>1.6</x:v>
      </x:c>
      <x:c r="I1615" s="34" t="str">
        <x:v>PASS</x:v>
      </x:c>
      <x:c r="J1615" s="34" t="str">
        <x:v>PASS</x:v>
      </x:c>
      <x:c r="K1615" s="34" t="str">
        <x:v>PASS</x:v>
      </x:c>
      <x:c r="L1615" s="34" t="str">
        <x:v>PASS</x:v>
      </x:c>
      <x:c r="M1615" s="34" t="str">
        <x:v>numeric coverage for applicable metric</x:v>
      </x:c>
      <x:c r="N1615" s="34" t="str">
        <x:v>Feedback-Directed Random Test Generation/Result_Round2/Math_76/result.json</x:v>
      </x:c>
      <x:c r="O1615" s="38" t="n">
        <x:f>IF(AND(G1615="RECORDED",ISNUMBER(H1615)),H1615,"")</x:f>
        <x:v>1.6</x:v>
      </x:c>
      <x:c r="P1615" s="34" t="str">
        <x:v>NOT_REVEALING</x:v>
      </x:c>
      <x:c r="Q1615" s="34" t="str">
        <x:v>Feedback-Directed Random Test Generation/Result_Round2/Math_76/result.json</x:v>
      </x:c>
    </x:row>
    <x:row r="1616">
      <x:c r="A1616" s="34" t="str">
        <x:v>randoop</x:v>
      </x:c>
      <x:c r="B1616" s="34" t="str">
        <x:v>Math</x:v>
      </x:c>
      <x:c r="C1616" s="34" t="str">
        <x:v>Round2</x:v>
      </x:c>
      <x:c r="D1616" s="34" t="str">
        <x:v>Math_77</x:v>
      </x:c>
      <x:c r="E1616" s="34" t="str">
        <x:v>Coverage</x:v>
      </x:c>
      <x:c r="F1616" s="34" t="n">
        <x:v>1137</x:v>
      </x:c>
      <x:c r="G1616" s="34" t="str">
        <x:v>RECORDED</x:v>
      </x:c>
      <x:c r="H1616" s="38" t="n">
        <x:f>IF(ISNUMBER('Data'!G1616),'Data'!G1616*100,"")</x:f>
        <x:v>78.45</x:v>
      </x:c>
      <x:c r="I1616" s="34" t="str">
        <x:v>PASS</x:v>
      </x:c>
      <x:c r="J1616" s="34" t="str">
        <x:v>PASS</x:v>
      </x:c>
      <x:c r="K1616" s="34" t="str">
        <x:v>PASS</x:v>
      </x:c>
      <x:c r="L1616" s="34" t="str">
        <x:v>FAIL</x:v>
      </x:c>
      <x:c r="M1616" s="34" t="str">
        <x:v>numeric coverage for applicable metric</x:v>
      </x:c>
      <x:c r="N1616" s="34" t="str">
        <x:v>Feedback-Directed Random Test Generation/Result_Round2/Math_77/result.json</x:v>
      </x:c>
      <x:c r="O1616" s="38" t="n">
        <x:f>IF(AND(G1616="RECORDED",ISNUMBER(H1616)),H1616,"")</x:f>
        <x:v>78.45</x:v>
      </x:c>
      <x:c r="P1616" s="34" t="str">
        <x:v>INCONCLUSIVE</x:v>
      </x:c>
      <x:c r="Q1616" s="34" t="str">
        <x:v>Feedback-Directed Random Test Generation/Result_Round2/Math_77/result.json</x:v>
      </x:c>
    </x:row>
    <x:row r="1617">
      <x:c r="A1617" s="34" t="str">
        <x:v>randoop</x:v>
      </x:c>
      <x:c r="B1617" s="34" t="str">
        <x:v>Math</x:v>
      </x:c>
      <x:c r="C1617" s="34" t="str">
        <x:v>Round2</x:v>
      </x:c>
      <x:c r="D1617" s="34" t="str">
        <x:v>Math_78</x:v>
      </x:c>
      <x:c r="E1617" s="34" t="str">
        <x:v>Coverage</x:v>
      </x:c>
      <x:c r="F1617" s="34" t="n">
        <x:v>140</x:v>
      </x:c>
      <x:c r="G1617" s="34" t="str">
        <x:v>RECORDED</x:v>
      </x:c>
      <x:c r="H1617" s="38" t="n">
        <x:f>IF(ISNUMBER('Data'!G1617),'Data'!G1617*100,"")</x:f>
        <x:v>20.71</x:v>
      </x:c>
      <x:c r="I1617" s="34" t="str">
        <x:v>PASS</x:v>
      </x:c>
      <x:c r="J1617" s="34" t="str">
        <x:v>PASS</x:v>
      </x:c>
      <x:c r="K1617" s="34" t="str">
        <x:v>PASS</x:v>
      </x:c>
      <x:c r="L1617" s="34" t="str">
        <x:v>PASS</x:v>
      </x:c>
      <x:c r="M1617" s="34" t="str">
        <x:v>numeric coverage for applicable metric</x:v>
      </x:c>
      <x:c r="N1617" s="34" t="str">
        <x:v>Feedback-Directed Random Test Generation/Result_Round2/Math_78/result.json</x:v>
      </x:c>
      <x:c r="O1617" s="38" t="n">
        <x:f>IF(AND(G1617="RECORDED",ISNUMBER(H1617)),H1617,"")</x:f>
        <x:v>20.71</x:v>
      </x:c>
      <x:c r="P1617" s="34" t="str">
        <x:v>NOT_REVEALING</x:v>
      </x:c>
      <x:c r="Q1617" s="34" t="str">
        <x:v>Feedback-Directed Random Test Generation/Result_Round2/Math_78/result.json</x:v>
      </x:c>
    </x:row>
    <x:row r="1618">
      <x:c r="A1618" s="34" t="str">
        <x:v>randoop</x:v>
      </x:c>
      <x:c r="B1618" s="34" t="str">
        <x:v>Math</x:v>
      </x:c>
      <x:c r="C1618" s="34" t="str">
        <x:v>Round2</x:v>
      </x:c>
      <x:c r="D1618" s="34" t="str">
        <x:v>Math_79</x:v>
      </x:c>
      <x:c r="E1618" s="34" t="str">
        <x:v>Coverage</x:v>
      </x:c>
      <x:c r="F1618" s="34" t="n">
        <x:v>765</x:v>
      </x:c>
      <x:c r="G1618" s="34" t="str">
        <x:v>RECORDED</x:v>
      </x:c>
      <x:c r="H1618" s="38" t="n">
        <x:f>IF(ISNUMBER('Data'!G1618),'Data'!G1618*100,"")</x:f>
        <x:v>77.65</x:v>
      </x:c>
      <x:c r="I1618" s="34" t="str">
        <x:v>PASS</x:v>
      </x:c>
      <x:c r="J1618" s="34" t="str">
        <x:v>PASS</x:v>
      </x:c>
      <x:c r="K1618" s="34" t="str">
        <x:v>PASS</x:v>
      </x:c>
      <x:c r="L1618" s="34" t="str">
        <x:v>PASS</x:v>
      </x:c>
      <x:c r="M1618" s="34" t="str">
        <x:v>numeric coverage for applicable metric</x:v>
      </x:c>
      <x:c r="N1618" s="34" t="str">
        <x:v>Feedback-Directed Random Test Generation/Result_Round2/Math_79/result.json</x:v>
      </x:c>
      <x:c r="O1618" s="38" t="n">
        <x:f>IF(AND(G1618="RECORDED",ISNUMBER(H1618)),H1618,"")</x:f>
        <x:v>77.65</x:v>
      </x:c>
      <x:c r="P1618" s="34" t="str">
        <x:v>NOT_REVEALING</x:v>
      </x:c>
      <x:c r="Q1618" s="34" t="str">
        <x:v>Feedback-Directed Random Test Generation/Result_Round2/Math_79/result.json</x:v>
      </x:c>
    </x:row>
    <x:row r="1619">
      <x:c r="A1619" s="34" t="str">
        <x:v>randoop</x:v>
      </x:c>
      <x:c r="B1619" s="34" t="str">
        <x:v>Math</x:v>
      </x:c>
      <x:c r="C1619" s="34" t="str">
        <x:v>Round2</x:v>
      </x:c>
      <x:c r="D1619" s="34" t="str">
        <x:v>Math_80</x:v>
      </x:c>
      <x:c r="E1619" s="34" t="str">
        <x:v>Coverage</x:v>
      </x:c>
      <x:c r="F1619" s="34" t="n">
        <x:v>1269</x:v>
      </x:c>
      <x:c r="G1619" s="34" t="str">
        <x:v>RECORDED</x:v>
      </x:c>
      <x:c r="H1619" s="38" t="n">
        <x:f>IF(ISNUMBER('Data'!G1619),'Data'!G1619*100,"")</x:f>
        <x:v>22.54</x:v>
      </x:c>
      <x:c r="I1619" s="34" t="str">
        <x:v>PASS</x:v>
      </x:c>
      <x:c r="J1619" s="34" t="str">
        <x:v>PASS</x:v>
      </x:c>
      <x:c r="K1619" s="34" t="str">
        <x:v>PASS</x:v>
      </x:c>
      <x:c r="L1619" s="34" t="str">
        <x:v>PASS</x:v>
      </x:c>
      <x:c r="M1619" s="34" t="str">
        <x:v>numeric coverage for applicable metric</x:v>
      </x:c>
      <x:c r="N1619" s="34" t="str">
        <x:v>Feedback-Directed Random Test Generation/Result_Round2/Math_80/result.json</x:v>
      </x:c>
      <x:c r="O1619" s="38" t="n">
        <x:f>IF(AND(G1619="RECORDED",ISNUMBER(H1619)),H1619,"")</x:f>
        <x:v>22.54</x:v>
      </x:c>
      <x:c r="P1619" s="34" t="str">
        <x:v>NOT_REVEALING</x:v>
      </x:c>
      <x:c r="Q1619" s="34" t="str">
        <x:v>Feedback-Directed Random Test Generation/Result_Round2/Math_80/result.json</x:v>
      </x:c>
    </x:row>
    <x:row r="1620">
      <x:c r="A1620" s="34" t="str">
        <x:v>randoop</x:v>
      </x:c>
      <x:c r="B1620" s="34" t="str">
        <x:v>Math</x:v>
      </x:c>
      <x:c r="C1620" s="34" t="str">
        <x:v>Round2</x:v>
      </x:c>
      <x:c r="D1620" s="34" t="str">
        <x:v>Math_81</x:v>
      </x:c>
      <x:c r="E1620" s="34" t="str">
        <x:v>Coverage</x:v>
      </x:c>
      <x:c r="F1620" s="34" t="n">
        <x:v>1268</x:v>
      </x:c>
      <x:c r="G1620" s="34" t="str">
        <x:v>RECORDED</x:v>
      </x:c>
      <x:c r="H1620" s="38" t="n">
        <x:f>IF(ISNUMBER('Data'!G1620),'Data'!G1620*100,"")</x:f>
        <x:v>22.48</x:v>
      </x:c>
      <x:c r="I1620" s="34" t="str">
        <x:v>PASS</x:v>
      </x:c>
      <x:c r="J1620" s="34" t="str">
        <x:v>PASS</x:v>
      </x:c>
      <x:c r="K1620" s="34" t="str">
        <x:v>PASS</x:v>
      </x:c>
      <x:c r="L1620" s="34" t="str">
        <x:v>PASS</x:v>
      </x:c>
      <x:c r="M1620" s="34" t="str">
        <x:v>numeric coverage for applicable metric</x:v>
      </x:c>
      <x:c r="N1620" s="34" t="str">
        <x:v>Feedback-Directed Random Test Generation/Result_Round2/Math_81/result.json</x:v>
      </x:c>
      <x:c r="O1620" s="38" t="n">
        <x:f>IF(AND(G1620="RECORDED",ISNUMBER(H1620)),H1620,"")</x:f>
        <x:v>22.48</x:v>
      </x:c>
      <x:c r="P1620" s="34" t="str">
        <x:v>NOT_REVEALING</x:v>
      </x:c>
      <x:c r="Q1620" s="34" t="str">
        <x:v>Feedback-Directed Random Test Generation/Result_Round2/Math_81/result.json</x:v>
      </x:c>
    </x:row>
    <x:row r="1621">
      <x:c r="A1621" s="34" t="str">
        <x:v>randoop</x:v>
      </x:c>
      <x:c r="B1621" s="34" t="str">
        <x:v>Math</x:v>
      </x:c>
      <x:c r="C1621" s="34" t="str">
        <x:v>Round2</x:v>
      </x:c>
      <x:c r="D1621" s="34" t="str">
        <x:v>Math_82</x:v>
      </x:c>
      <x:c r="E1621" s="34" t="str">
        <x:v>Coverage</x:v>
      </x:c>
      <x:c r="F1621" s="34" t="n">
        <x:v>96</x:v>
      </x:c>
      <x:c r="G1621" s="34" t="str">
        <x:v>RECORDED</x:v>
      </x:c>
      <x:c r="H1621" s="38" t="n">
        <x:f>IF(ISNUMBER('Data'!G1621),'Data'!G1621*100,"")</x:f>
        <x:v>13.54</x:v>
      </x:c>
      <x:c r="I1621" s="34" t="str">
        <x:v>PASS</x:v>
      </x:c>
      <x:c r="J1621" s="34" t="str">
        <x:v>PASS</x:v>
      </x:c>
      <x:c r="K1621" s="34" t="str">
        <x:v>PASS</x:v>
      </x:c>
      <x:c r="L1621" s="34" t="str">
        <x:v>FAIL</x:v>
      </x:c>
      <x:c r="M1621" s="34" t="str">
        <x:v>numeric coverage for applicable metric</x:v>
      </x:c>
      <x:c r="N1621" s="34" t="str">
        <x:v>Feedback-Directed Random Test Generation/Result_Round2/Math_82/result.json</x:v>
      </x:c>
      <x:c r="O1621" s="38" t="n">
        <x:f>IF(AND(G1621="RECORDED",ISNUMBER(H1621)),H1621,"")</x:f>
        <x:v>13.54</x:v>
      </x:c>
      <x:c r="P1621" s="34" t="str">
        <x:v>INCONCLUSIVE</x:v>
      </x:c>
      <x:c r="Q1621" s="34" t="str">
        <x:v>Feedback-Directed Random Test Generation/Result_Round2/Math_82/result.json</x:v>
      </x:c>
    </x:row>
    <x:row r="1622">
      <x:c r="A1622" s="34" t="str">
        <x:v>randoop</x:v>
      </x:c>
      <x:c r="B1622" s="34" t="str">
        <x:v>Math</x:v>
      </x:c>
      <x:c r="C1622" s="34" t="str">
        <x:v>Round2</x:v>
      </x:c>
      <x:c r="D1622" s="34" t="str">
        <x:v>Math_83</x:v>
      </x:c>
      <x:c r="E1622" s="34" t="str">
        <x:v>Coverage</x:v>
      </x:c>
      <x:c r="F1622" s="34" t="n">
        <x:v>247</x:v>
      </x:c>
      <x:c r="G1622" s="34" t="str">
        <x:v>RECORDED</x:v>
      </x:c>
      <x:c r="H1622" s="38" t="n">
        <x:f>IF(ISNUMBER('Data'!G1622),'Data'!G1622*100,"")</x:f>
        <x:v>2.43</x:v>
      </x:c>
      <x:c r="I1622" s="34" t="str">
        <x:v>PASS</x:v>
      </x:c>
      <x:c r="J1622" s="34" t="str">
        <x:v>PASS</x:v>
      </x:c>
      <x:c r="K1622" s="34" t="str">
        <x:v>PASS</x:v>
      </x:c>
      <x:c r="L1622" s="34" t="str">
        <x:v>PASS</x:v>
      </x:c>
      <x:c r="M1622" s="34" t="str">
        <x:v>numeric coverage for applicable metric</x:v>
      </x:c>
      <x:c r="N1622" s="34" t="str">
        <x:v>Feedback-Directed Random Test Generation/Result_Round2/Math_83/result.json</x:v>
      </x:c>
      <x:c r="O1622" s="38" t="n">
        <x:f>IF(AND(G1622="RECORDED",ISNUMBER(H1622)),H1622,"")</x:f>
        <x:v>2.43</x:v>
      </x:c>
      <x:c r="P1622" s="34" t="str">
        <x:v>NOT_REVEALING</x:v>
      </x:c>
      <x:c r="Q1622" s="34" t="str">
        <x:v>Feedback-Directed Random Test Generation/Result_Round2/Math_83/result.json</x:v>
      </x:c>
    </x:row>
    <x:row r="1623">
      <x:c r="A1623" s="34" t="str">
        <x:v>randoop</x:v>
      </x:c>
      <x:c r="B1623" s="34" t="str">
        <x:v>Math</x:v>
      </x:c>
      <x:c r="C1623" s="34" t="str">
        <x:v>Round2</x:v>
      </x:c>
      <x:c r="D1623" s="34" t="str">
        <x:v>Math_84</x:v>
      </x:c>
      <x:c r="E1623" s="34" t="str">
        <x:v>Coverage</x:v>
      </x:c>
      <x:c r="F1623" s="34" t="n">
        <x:v>44</x:v>
      </x:c>
      <x:c r="G1623" s="34" t="str">
        <x:v>RECORDED</x:v>
      </x:c>
      <x:c r="H1623" s="38" t="n">
        <x:f>IF(ISNUMBER('Data'!G1623),'Data'!G1623*100,"")</x:f>
        <x:v>25</x:v>
      </x:c>
      <x:c r="I1623" s="34" t="str">
        <x:v>PASS</x:v>
      </x:c>
      <x:c r="J1623" s="34" t="str">
        <x:v>PASS</x:v>
      </x:c>
      <x:c r="K1623" s="34" t="str">
        <x:v>PASS</x:v>
      </x:c>
      <x:c r="L1623" s="34" t="str">
        <x:v>PASS</x:v>
      </x:c>
      <x:c r="M1623" s="34" t="str">
        <x:v>numeric coverage for applicable metric</x:v>
      </x:c>
      <x:c r="N1623" s="34" t="str">
        <x:v>Feedback-Directed Random Test Generation/Result_Round2/Math_84/result.json</x:v>
      </x:c>
      <x:c r="O1623" s="38" t="n">
        <x:f>IF(AND(G1623="RECORDED",ISNUMBER(H1623)),H1623,"")</x:f>
        <x:v>25</x:v>
      </x:c>
      <x:c r="P1623" s="34" t="str">
        <x:v>NOT_REVEALING</x:v>
      </x:c>
      <x:c r="Q1623" s="34" t="str">
        <x:v>Feedback-Directed Random Test Generation/Result_Round2/Math_84/result.json</x:v>
      </x:c>
    </x:row>
    <x:row r="1624">
      <x:c r="A1624" s="34" t="str">
        <x:v>randoop</x:v>
      </x:c>
      <x:c r="B1624" s="34" t="str">
        <x:v>Math</x:v>
      </x:c>
      <x:c r="C1624" s="34" t="str">
        <x:v>Round2</x:v>
      </x:c>
      <x:c r="D1624" s="34" t="str">
        <x:v>Math_85</x:v>
      </x:c>
      <x:c r="E1624" s="34" t="str">
        <x:v>Coverage</x:v>
      </x:c>
      <x:c r="F1624" s="34" t="n">
        <x:v>60</x:v>
      </x:c>
      <x:c r="G1624" s="34" t="str">
        <x:v>RECORDED</x:v>
      </x:c>
      <x:c r="H1624" s="38" t="n">
        <x:f>IF(ISNUMBER('Data'!G1624),'Data'!G1624*100,"")</x:f>
        <x:v>16.67</x:v>
      </x:c>
      <x:c r="I1624" s="34" t="str">
        <x:v>PASS</x:v>
      </x:c>
      <x:c r="J1624" s="34" t="str">
        <x:v>PASS</x:v>
      </x:c>
      <x:c r="K1624" s="34" t="str">
        <x:v>PASS</x:v>
      </x:c>
      <x:c r="L1624" s="34" t="str">
        <x:v>PASS</x:v>
      </x:c>
      <x:c r="M1624" s="34" t="str">
        <x:v>numeric coverage for applicable metric</x:v>
      </x:c>
      <x:c r="N1624" s="34" t="str">
        <x:v>Feedback-Directed Random Test Generation/Result_Round2/Math_85/result.json</x:v>
      </x:c>
      <x:c r="O1624" s="38" t="n">
        <x:f>IF(AND(G1624="RECORDED",ISNUMBER(H1624)),H1624,"")</x:f>
        <x:v>16.67</x:v>
      </x:c>
      <x:c r="P1624" s="34" t="str">
        <x:v>NOT_REVEALING</x:v>
      </x:c>
      <x:c r="Q1624" s="34" t="str">
        <x:v>Feedback-Directed Random Test Generation/Result_Round2/Math_85/result.json</x:v>
      </x:c>
    </x:row>
    <x:row r="1625">
      <x:c r="A1625" s="34" t="str">
        <x:v>randoop</x:v>
      </x:c>
      <x:c r="B1625" s="34" t="str">
        <x:v>Math</x:v>
      </x:c>
      <x:c r="C1625" s="34" t="str">
        <x:v>Round2</x:v>
      </x:c>
      <x:c r="D1625" s="34" t="str">
        <x:v>Math_86</x:v>
      </x:c>
      <x:c r="E1625" s="34" t="str">
        <x:v>Coverage</x:v>
      </x:c>
      <x:c r="F1625" s="34" t="n">
        <x:v>176</x:v>
      </x:c>
      <x:c r="G1625" s="34" t="str">
        <x:v>RECORDED</x:v>
      </x:c>
      <x:c r="H1625" s="38" t="n">
        <x:f>IF(ISNUMBER('Data'!G1625),'Data'!G1625*100,"")</x:f>
        <x:v>1.7000000000000002</x:v>
      </x:c>
      <x:c r="I1625" s="34" t="str">
        <x:v>PASS</x:v>
      </x:c>
      <x:c r="J1625" s="34" t="str">
        <x:v>PASS</x:v>
      </x:c>
      <x:c r="K1625" s="34" t="str">
        <x:v>PASS</x:v>
      </x:c>
      <x:c r="L1625" s="34" t="str">
        <x:v>PASS</x:v>
      </x:c>
      <x:c r="M1625" s="34" t="str">
        <x:v>numeric coverage for applicable metric</x:v>
      </x:c>
      <x:c r="N1625" s="34" t="str">
        <x:v>Feedback-Directed Random Test Generation/Result_Round2/Math_86/result.json</x:v>
      </x:c>
      <x:c r="O1625" s="38" t="n">
        <x:f>IF(AND(G1625="RECORDED",ISNUMBER(H1625)),H1625,"")</x:f>
        <x:v>1.7000000000000002</x:v>
      </x:c>
      <x:c r="P1625" s="34" t="str">
        <x:v>NOT_REVEALING</x:v>
      </x:c>
      <x:c r="Q1625" s="34" t="str">
        <x:v>Feedback-Directed Random Test Generation/Result_Round2/Math_86/result.json</x:v>
      </x:c>
    </x:row>
    <x:row r="1626">
      <x:c r="A1626" s="34" t="str">
        <x:v>randoop</x:v>
      </x:c>
      <x:c r="B1626" s="34" t="str">
        <x:v>Math</x:v>
      </x:c>
      <x:c r="C1626" s="34" t="str">
        <x:v>Round2</x:v>
      </x:c>
      <x:c r="D1626" s="34" t="str">
        <x:v>Math_87</x:v>
      </x:c>
      <x:c r="E1626" s="34" t="str">
        <x:v>Coverage</x:v>
      </x:c>
      <x:c r="F1626" s="34" t="n">
        <x:v>242</x:v>
      </x:c>
      <x:c r="G1626" s="34" t="str">
        <x:v>RECORDED</x:v>
      </x:c>
      <x:c r="H1626" s="38" t="n">
        <x:f>IF(ISNUMBER('Data'!G1626),'Data'!G1626*100,"")</x:f>
        <x:v>2.48</x:v>
      </x:c>
      <x:c r="I1626" s="34" t="str">
        <x:v>PASS</x:v>
      </x:c>
      <x:c r="J1626" s="34" t="str">
        <x:v>PASS</x:v>
      </x:c>
      <x:c r="K1626" s="34" t="str">
        <x:v>PASS</x:v>
      </x:c>
      <x:c r="L1626" s="34" t="str">
        <x:v>PASS</x:v>
      </x:c>
      <x:c r="M1626" s="34" t="str">
        <x:v>numeric coverage for applicable metric</x:v>
      </x:c>
      <x:c r="N1626" s="34" t="str">
        <x:v>Feedback-Directed Random Test Generation/Result_Round2/Math_87/result.json</x:v>
      </x:c>
      <x:c r="O1626" s="38" t="n">
        <x:f>IF(AND(G1626="RECORDED",ISNUMBER(H1626)),H1626,"")</x:f>
        <x:v>2.48</x:v>
      </x:c>
      <x:c r="P1626" s="34" t="str">
        <x:v>NOT_REVEALING</x:v>
      </x:c>
      <x:c r="Q1626" s="34" t="str">
        <x:v>Feedback-Directed Random Test Generation/Result_Round2/Math_87/result.json</x:v>
      </x:c>
    </x:row>
    <x:row r="1627">
      <x:c r="A1627" s="34" t="str">
        <x:v>randoop</x:v>
      </x:c>
      <x:c r="B1627" s="34" t="str">
        <x:v>Math</x:v>
      </x:c>
      <x:c r="C1627" s="34" t="str">
        <x:v>Round2</x:v>
      </x:c>
      <x:c r="D1627" s="34" t="str">
        <x:v>Math_88</x:v>
      </x:c>
      <x:c r="E1627" s="34" t="str">
        <x:v>Coverage</x:v>
      </x:c>
      <x:c r="F1627" s="34" t="n">
        <x:v>246</x:v>
      </x:c>
      <x:c r="G1627" s="34" t="str">
        <x:v>RECORDED</x:v>
      </x:c>
      <x:c r="H1627" s="38" t="n">
        <x:f>IF(ISNUMBER('Data'!G1627),'Data'!G1627*100,"")</x:f>
        <x:v>2.44</x:v>
      </x:c>
      <x:c r="I1627" s="34" t="str">
        <x:v>PASS</x:v>
      </x:c>
      <x:c r="J1627" s="34" t="str">
        <x:v>PASS</x:v>
      </x:c>
      <x:c r="K1627" s="34" t="str">
        <x:v>PASS</x:v>
      </x:c>
      <x:c r="L1627" s="34" t="str">
        <x:v>PASS</x:v>
      </x:c>
      <x:c r="M1627" s="34" t="str">
        <x:v>numeric coverage for applicable metric</x:v>
      </x:c>
      <x:c r="N1627" s="34" t="str">
        <x:v>Feedback-Directed Random Test Generation/Result_Round2/Math_88/result.json</x:v>
      </x:c>
      <x:c r="O1627" s="38" t="n">
        <x:f>IF(AND(G1627="RECORDED",ISNUMBER(H1627)),H1627,"")</x:f>
        <x:v>2.44</x:v>
      </x:c>
      <x:c r="P1627" s="34" t="str">
        <x:v>NOT_REVEALING</x:v>
      </x:c>
      <x:c r="Q1627" s="34" t="str">
        <x:v>Feedback-Directed Random Test Generation/Result_Round2/Math_88/result.json</x:v>
      </x:c>
    </x:row>
    <x:row r="1628">
      <x:c r="A1628" s="34" t="str">
        <x:v>randoop</x:v>
      </x:c>
      <x:c r="B1628" s="34" t="str">
        <x:v>Math</x:v>
      </x:c>
      <x:c r="C1628" s="34" t="str">
        <x:v>Round2</x:v>
      </x:c>
      <x:c r="D1628" s="34" t="str">
        <x:v>Math_89</x:v>
      </x:c>
      <x:c r="E1628" s="34" t="str">
        <x:v>Coverage</x:v>
      </x:c>
      <x:c r="F1628" s="34" t="n">
        <x:v>140</x:v>
      </x:c>
      <x:c r="G1628" s="34" t="str">
        <x:v>RECORDED</x:v>
      </x:c>
      <x:c r="H1628" s="38" t="n">
        <x:f>IF(ISNUMBER('Data'!G1628),'Data'!G1628*100,"")</x:f>
        <x:v>97.86</x:v>
      </x:c>
      <x:c r="I1628" s="34" t="str">
        <x:v>PASS</x:v>
      </x:c>
      <x:c r="J1628" s="34" t="str">
        <x:v>PASS</x:v>
      </x:c>
      <x:c r="K1628" s="34" t="str">
        <x:v>PASS</x:v>
      </x:c>
      <x:c r="L1628" s="34" t="str">
        <x:v>PASS</x:v>
      </x:c>
      <x:c r="M1628" s="34" t="str">
        <x:v>numeric coverage for applicable metric</x:v>
      </x:c>
      <x:c r="N1628" s="34" t="str">
        <x:v>Feedback-Directed Random Test Generation/Result_Round2/Math_89/result.json</x:v>
      </x:c>
      <x:c r="O1628" s="38" t="n">
        <x:f>IF(AND(G1628="RECORDED",ISNUMBER(H1628)),H1628,"")</x:f>
        <x:v>97.86</x:v>
      </x:c>
      <x:c r="P1628" s="34" t="str">
        <x:v>INCONCLUSIVE</x:v>
      </x:c>
      <x:c r="Q1628" s="34" t="str">
        <x:v>Feedback-Directed Random Test Generation/Result_Round2/Math_89/result.json</x:v>
      </x:c>
    </x:row>
    <x:row r="1629">
      <x:c r="A1629" s="34" t="str">
        <x:v>randoop</x:v>
      </x:c>
      <x:c r="B1629" s="34" t="str">
        <x:v>Math</x:v>
      </x:c>
      <x:c r="C1629" s="34" t="str">
        <x:v>Round2</x:v>
      </x:c>
      <x:c r="D1629" s="34" t="str">
        <x:v>Math_90</x:v>
      </x:c>
      <x:c r="E1629" s="34" t="str">
        <x:v>Coverage</x:v>
      </x:c>
      <x:c r="F1629" s="34" t="n">
        <x:v>138</x:v>
      </x:c>
      <x:c r="G1629" s="34" t="str">
        <x:v>RECORDED</x:v>
      </x:c>
      <x:c r="H1629" s="38" t="n">
        <x:f>IF(ISNUMBER('Data'!G1629),'Data'!G1629*100,"")</x:f>
        <x:v>97.83</x:v>
      </x:c>
      <x:c r="I1629" s="34" t="str">
        <x:v>PASS</x:v>
      </x:c>
      <x:c r="J1629" s="34" t="str">
        <x:v>PASS</x:v>
      </x:c>
      <x:c r="K1629" s="34" t="str">
        <x:v>PASS</x:v>
      </x:c>
      <x:c r="L1629" s="34" t="str">
        <x:v>PASS</x:v>
      </x:c>
      <x:c r="M1629" s="34" t="str">
        <x:v>numeric coverage for applicable metric</x:v>
      </x:c>
      <x:c r="N1629" s="34" t="str">
        <x:v>Feedback-Directed Random Test Generation/Result_Round2/Math_90/result.json</x:v>
      </x:c>
      <x:c r="O1629" s="38" t="n">
        <x:f>IF(AND(G1629="RECORDED",ISNUMBER(H1629)),H1629,"")</x:f>
        <x:v>97.83</x:v>
      </x:c>
      <x:c r="P1629" s="34" t="str">
        <x:v>INCONCLUSIVE</x:v>
      </x:c>
      <x:c r="Q1629" s="34" t="str">
        <x:v>Feedback-Directed Random Test Generation/Result_Round2/Math_90/result.json</x:v>
      </x:c>
    </x:row>
    <x:row r="1630">
      <x:c r="A1630" s="34" t="str">
        <x:v>randoop</x:v>
      </x:c>
      <x:c r="B1630" s="34" t="str">
        <x:v>Math</x:v>
      </x:c>
      <x:c r="C1630" s="34" t="str">
        <x:v>Round2</x:v>
      </x:c>
      <x:c r="D1630" s="34" t="str">
        <x:v>Math_91</x:v>
      </x:c>
      <x:c r="E1630" s="34" t="str">
        <x:v>Coverage</x:v>
      </x:c>
      <x:c r="F1630" s="34" t="n">
        <x:v>253</x:v>
      </x:c>
      <x:c r="G1630" s="34" t="str">
        <x:v>RECORDED</x:v>
      </x:c>
      <x:c r="H1630" s="38" t="n">
        <x:f>IF(ISNUMBER('Data'!G1630),'Data'!G1630*100,"")</x:f>
        <x:v>90.51</x:v>
      </x:c>
      <x:c r="I1630" s="34" t="str">
        <x:v>PASS</x:v>
      </x:c>
      <x:c r="J1630" s="34" t="str">
        <x:v>PASS</x:v>
      </x:c>
      <x:c r="K1630" s="34" t="str">
        <x:v>PASS</x:v>
      </x:c>
      <x:c r="L1630" s="34" t="str">
        <x:v>PASS</x:v>
      </x:c>
      <x:c r="M1630" s="34" t="str">
        <x:v>numeric coverage for applicable metric</x:v>
      </x:c>
      <x:c r="N1630" s="34" t="str">
        <x:v>Feedback-Directed Random Test Generation/Result_Round2/Math_91/result.json</x:v>
      </x:c>
      <x:c r="O1630" s="38" t="n">
        <x:f>IF(AND(G1630="RECORDED",ISNUMBER(H1630)),H1630,"")</x:f>
        <x:v>90.51</x:v>
      </x:c>
      <x:c r="P1630" s="34" t="str">
        <x:v>NOT_REVEALING</x:v>
      </x:c>
      <x:c r="Q1630" s="34" t="str">
        <x:v>Feedback-Directed Random Test Generation/Result_Round2/Math_91/result.json</x:v>
      </x:c>
    </x:row>
    <x:row r="1631">
      <x:c r="A1631" s="34" t="str">
        <x:v>randoop</x:v>
      </x:c>
      <x:c r="B1631" s="34" t="str">
        <x:v>Math</x:v>
      </x:c>
      <x:c r="C1631" s="34" t="str">
        <x:v>Round2</x:v>
      </x:c>
      <x:c r="D1631" s="34" t="str">
        <x:v>Math_92</x:v>
      </x:c>
      <x:c r="E1631" s="34" t="str">
        <x:v>Coverage</x:v>
      </x:c>
      <x:c r="F1631" s="34" t="n">
        <x:v>454</x:v>
      </x:c>
      <x:c r="G1631" s="34" t="str">
        <x:v>RECORDED</x:v>
      </x:c>
      <x:c r="H1631" s="38" t="n">
        <x:f>IF(ISNUMBER('Data'!G1631),'Data'!G1631*100,"")</x:f>
        <x:v>62.11</x:v>
      </x:c>
      <x:c r="I1631" s="34" t="str">
        <x:v>PASS</x:v>
      </x:c>
      <x:c r="J1631" s="34" t="str">
        <x:v>PASS</x:v>
      </x:c>
      <x:c r="K1631" s="34" t="str">
        <x:v>PASS</x:v>
      </x:c>
      <x:c r="L1631" s="34" t="str">
        <x:v>PASS</x:v>
      </x:c>
      <x:c r="M1631" s="34" t="str">
        <x:v>numeric coverage for applicable metric</x:v>
      </x:c>
      <x:c r="N1631" s="34" t="str">
        <x:v>Feedback-Directed Random Test Generation/Result_Round2/Math_92/result.json</x:v>
      </x:c>
      <x:c r="O1631" s="38" t="n">
        <x:f>IF(AND(G1631="RECORDED",ISNUMBER(H1631)),H1631,"")</x:f>
        <x:v>62.11</x:v>
      </x:c>
      <x:c r="P1631" s="34" t="str">
        <x:v>NOT_REVEALING</x:v>
      </x:c>
      <x:c r="Q1631" s="34" t="str">
        <x:v>Feedback-Directed Random Test Generation/Result_Round2/Math_92/result.json</x:v>
      </x:c>
    </x:row>
    <x:row r="1632">
      <x:c r="A1632" s="34" t="str">
        <x:v>randoop</x:v>
      </x:c>
      <x:c r="B1632" s="34" t="str">
        <x:v>Math</x:v>
      </x:c>
      <x:c r="C1632" s="34" t="str">
        <x:v>Round2</x:v>
      </x:c>
      <x:c r="D1632" s="34" t="str">
        <x:v>Math_93</x:v>
      </x:c>
      <x:c r="E1632" s="34" t="str">
        <x:v>Coverage</x:v>
      </x:c>
      <x:c r="F1632" s="34" t="n">
        <x:v>443</x:v>
      </x:c>
      <x:c r="G1632" s="34" t="str">
        <x:v>RECORDED</x:v>
      </x:c>
      <x:c r="H1632" s="38" t="n">
        <x:f>IF(ISNUMBER('Data'!G1632),'Data'!G1632*100,"")</x:f>
        <x:v>61.63000000000001</x:v>
      </x:c>
      <x:c r="I1632" s="34" t="str">
        <x:v>PASS</x:v>
      </x:c>
      <x:c r="J1632" s="34" t="str">
        <x:v>PASS</x:v>
      </x:c>
      <x:c r="K1632" s="34" t="str">
        <x:v>PASS</x:v>
      </x:c>
      <x:c r="L1632" s="34" t="str">
        <x:v>PASS</x:v>
      </x:c>
      <x:c r="M1632" s="34" t="str">
        <x:v>numeric coverage for applicable metric</x:v>
      </x:c>
      <x:c r="N1632" s="34" t="str">
        <x:v>Feedback-Directed Random Test Generation/Result_Round2/Math_93/result.json</x:v>
      </x:c>
      <x:c r="O1632" s="38" t="n">
        <x:f>IF(AND(G1632="RECORDED",ISNUMBER(H1632)),H1632,"")</x:f>
        <x:v>61.63000000000001</x:v>
      </x:c>
      <x:c r="P1632" s="34" t="str">
        <x:v>NOT_REVEALING</x:v>
      </x:c>
      <x:c r="Q1632" s="34" t="str">
        <x:v>Feedback-Directed Random Test Generation/Result_Round2/Math_93/result.json</x:v>
      </x:c>
    </x:row>
    <x:row r="1633">
      <x:c r="A1633" s="34" t="str">
        <x:v>randoop</x:v>
      </x:c>
      <x:c r="B1633" s="34" t="str">
        <x:v>Math</x:v>
      </x:c>
      <x:c r="C1633" s="34" t="str">
        <x:v>Round2</x:v>
      </x:c>
      <x:c r="D1633" s="34" t="str">
        <x:v>Math_94</x:v>
      </x:c>
      <x:c r="E1633" s="34" t="str">
        <x:v>Coverage</x:v>
      </x:c>
      <x:c r="F1633" s="34" t="n">
        <x:v>440</x:v>
      </x:c>
      <x:c r="G1633" s="34" t="str">
        <x:v>RECORDED</x:v>
      </x:c>
      <x:c r="H1633" s="38" t="n">
        <x:f>IF(ISNUMBER('Data'!G1633),'Data'!G1633*100,"")</x:f>
        <x:v>61.36000000000001</x:v>
      </x:c>
      <x:c r="I1633" s="34" t="str">
        <x:v>PASS</x:v>
      </x:c>
      <x:c r="J1633" s="34" t="str">
        <x:v>PASS</x:v>
      </x:c>
      <x:c r="K1633" s="34" t="str">
        <x:v>PASS</x:v>
      </x:c>
      <x:c r="L1633" s="34" t="str">
        <x:v>PASS</x:v>
      </x:c>
      <x:c r="M1633" s="34" t="str">
        <x:v>numeric coverage for applicable metric</x:v>
      </x:c>
      <x:c r="N1633" s="34" t="str">
        <x:v>Feedback-Directed Random Test Generation/Result_Round2/Math_94/result.json</x:v>
      </x:c>
      <x:c r="O1633" s="38" t="n">
        <x:f>IF(AND(G1633="RECORDED",ISNUMBER(H1633)),H1633,"")</x:f>
        <x:v>61.36000000000001</x:v>
      </x:c>
      <x:c r="P1633" s="34" t="str">
        <x:v>NOT_REVEALING</x:v>
      </x:c>
      <x:c r="Q1633" s="34" t="str">
        <x:v>Feedback-Directed Random Test Generation/Result_Round2/Math_94/result.json</x:v>
      </x:c>
    </x:row>
    <x:row r="1634">
      <x:c r="A1634" s="34" t="str">
        <x:v>randoop</x:v>
      </x:c>
      <x:c r="B1634" s="34" t="str">
        <x:v>Math</x:v>
      </x:c>
      <x:c r="C1634" s="34" t="str">
        <x:v>Round2</x:v>
      </x:c>
      <x:c r="D1634" s="34" t="str">
        <x:v>Math_95</x:v>
      </x:c>
      <x:c r="E1634" s="34" t="str">
        <x:v>Coverage</x:v>
      </x:c>
      <x:c r="F1634" s="34" t="n">
        <x:v>40</x:v>
      </x:c>
      <x:c r="G1634" s="34" t="str">
        <x:v>RECORDED</x:v>
      </x:c>
      <x:c r="H1634" s="38" t="n">
        <x:f>IF(ISNUMBER('Data'!G1634),'Data'!G1634*100,"")</x:f>
        <x:v>100</x:v>
      </x:c>
      <x:c r="I1634" s="34" t="str">
        <x:v>PASS</x:v>
      </x:c>
      <x:c r="J1634" s="34" t="str">
        <x:v>PASS</x:v>
      </x:c>
      <x:c r="K1634" s="34" t="str">
        <x:v>PASS</x:v>
      </x:c>
      <x:c r="L1634" s="34" t="str">
        <x:v>PASS</x:v>
      </x:c>
      <x:c r="M1634" s="34" t="str">
        <x:v>numeric coverage for applicable metric</x:v>
      </x:c>
      <x:c r="N1634" s="34" t="str">
        <x:v>Feedback-Directed Random Test Generation/Result_Round2/Math_95/result.json</x:v>
      </x:c>
      <x:c r="O1634" s="38" t="n">
        <x:f>IF(AND(G1634="RECORDED",ISNUMBER(H1634)),H1634,"")</x:f>
        <x:v>100</x:v>
      </x:c>
      <x:c r="P1634" s="34" t="str">
        <x:v>NOT_AVAILABLE</x:v>
      </x:c>
      <x:c r="Q1634" s="34" t="str">
        <x:v>Feedback-Directed Random Test Generation/Result_Round2/Math_95/result.json</x:v>
      </x:c>
    </x:row>
    <x:row r="1635">
      <x:c r="A1635" s="34" t="str">
        <x:v>randoop</x:v>
      </x:c>
      <x:c r="B1635" s="34" t="str">
        <x:v>Math</x:v>
      </x:c>
      <x:c r="C1635" s="34" t="str">
        <x:v>Round2</x:v>
      </x:c>
      <x:c r="D1635" s="34" t="str">
        <x:v>Math_96</x:v>
      </x:c>
      <x:c r="E1635" s="34" t="str">
        <x:v>Coverage</x:v>
      </x:c>
      <x:c r="F1635" s="34" t="n">
        <x:v>244</x:v>
      </x:c>
      <x:c r="G1635" s="34" t="str">
        <x:v>RECORDED</x:v>
      </x:c>
      <x:c r="H1635" s="38" t="n">
        <x:f>IF(ISNUMBER('Data'!G1635),'Data'!G1635*100,"")</x:f>
        <x:v>94.26</x:v>
      </x:c>
      <x:c r="I1635" s="34" t="str">
        <x:v>PASS</x:v>
      </x:c>
      <x:c r="J1635" s="34" t="str">
        <x:v>PASS</x:v>
      </x:c>
      <x:c r="K1635" s="34" t="str">
        <x:v>PASS</x:v>
      </x:c>
      <x:c r="L1635" s="34" t="str">
        <x:v>PASS</x:v>
      </x:c>
      <x:c r="M1635" s="34" t="str">
        <x:v>numeric coverage for applicable metric</x:v>
      </x:c>
      <x:c r="N1635" s="34" t="str">
        <x:v>Feedback-Directed Random Test Generation/Result_Round2/Math_96/result.json</x:v>
      </x:c>
      <x:c r="O1635" s="38" t="n">
        <x:f>IF(AND(G1635="RECORDED",ISNUMBER(H1635)),H1635,"")</x:f>
        <x:v>94.26</x:v>
      </x:c>
      <x:c r="P1635" s="34" t="str">
        <x:v>NOT_REVEALING</x:v>
      </x:c>
      <x:c r="Q1635" s="34" t="str">
        <x:v>Feedback-Directed Random Test Generation/Result_Round2/Math_96/result.json</x:v>
      </x:c>
    </x:row>
    <x:row r="1636">
      <x:c r="A1636" s="34" t="str">
        <x:v>randoop</x:v>
      </x:c>
      <x:c r="B1636" s="34" t="str">
        <x:v>Math</x:v>
      </x:c>
      <x:c r="C1636" s="34" t="str">
        <x:v>Round2</x:v>
      </x:c>
      <x:c r="D1636" s="34" t="str">
        <x:v>Math_97</x:v>
      </x:c>
      <x:c r="E1636" s="34" t="str">
        <x:v>Coverage</x:v>
      </x:c>
      <x:c r="F1636" s="34" t="n">
        <x:v>135</x:v>
      </x:c>
      <x:c r="G1636" s="34" t="str">
        <x:v>RECORDED</x:v>
      </x:c>
      <x:c r="H1636" s="38" t="n">
        <x:f>IF(ISNUMBER('Data'!G1636),'Data'!G1636*100,"")</x:f>
        <x:v>0.74</x:v>
      </x:c>
      <x:c r="I1636" s="34" t="str">
        <x:v>PASS</x:v>
      </x:c>
      <x:c r="J1636" s="34" t="str">
        <x:v>PASS</x:v>
      </x:c>
      <x:c r="K1636" s="34" t="str">
        <x:v>PASS</x:v>
      </x:c>
      <x:c r="L1636" s="34" t="str">
        <x:v>PASS</x:v>
      </x:c>
      <x:c r="M1636" s="34" t="str">
        <x:v>numeric coverage for applicable metric</x:v>
      </x:c>
      <x:c r="N1636" s="34" t="str">
        <x:v>Feedback-Directed Random Test Generation/Result_Round2/Math_97/result.json</x:v>
      </x:c>
      <x:c r="O1636" s="38" t="n">
        <x:f>IF(AND(G1636="RECORDED",ISNUMBER(H1636)),H1636,"")</x:f>
        <x:v>0.74</x:v>
      </x:c>
      <x:c r="P1636" s="34" t="str">
        <x:v>NOT_REVEALING</x:v>
      </x:c>
      <x:c r="Q1636" s="34" t="str">
        <x:v>Feedback-Directed Random Test Generation/Result_Round2/Math_97/result.json</x:v>
      </x:c>
    </x:row>
    <x:row r="1637">
      <x:c r="A1637" s="34" t="str">
        <x:v>randoop</x:v>
      </x:c>
      <x:c r="B1637" s="34" t="str">
        <x:v>Math</x:v>
      </x:c>
      <x:c r="C1637" s="34" t="str">
        <x:v>Round2</x:v>
      </x:c>
      <x:c r="D1637" s="34" t="str">
        <x:v>Math_98</x:v>
      </x:c>
      <x:c r="E1637" s="34" t="str">
        <x:v>Coverage</x:v>
      </x:c>
      <x:c r="F1637" s="34" t="n">
        <x:v>1472</x:v>
      </x:c>
      <x:c r="G1637" s="34" t="str">
        <x:v>RECORDED</x:v>
      </x:c>
      <x:c r="H1637" s="38" t="n">
        <x:f>IF(ISNUMBER('Data'!G1637),'Data'!G1637*100,"")</x:f>
        <x:v>71.4</x:v>
      </x:c>
      <x:c r="I1637" s="34" t="str">
        <x:v>PASS</x:v>
      </x:c>
      <x:c r="J1637" s="34" t="str">
        <x:v>PASS</x:v>
      </x:c>
      <x:c r="K1637" s="34" t="str">
        <x:v>PASS</x:v>
      </x:c>
      <x:c r="L1637" s="34" t="str">
        <x:v>FAIL</x:v>
      </x:c>
      <x:c r="M1637" s="34" t="str">
        <x:v>numeric coverage for applicable metric</x:v>
      </x:c>
      <x:c r="N1637" s="34" t="str">
        <x:v>Feedback-Directed Random Test Generation/Result_Round2/Math_98/result.json</x:v>
      </x:c>
      <x:c r="O1637" s="38" t="n">
        <x:f>IF(AND(G1637="RECORDED",ISNUMBER(H1637)),H1637,"")</x:f>
        <x:v>71.4</x:v>
      </x:c>
      <x:c r="P1637" s="34" t="str">
        <x:v>INCONCLUSIVE</x:v>
      </x:c>
      <x:c r="Q1637" s="34" t="str">
        <x:v>Feedback-Directed Random Test Generation/Result_Round2/Math_98/result.json</x:v>
      </x:c>
    </x:row>
    <x:row r="1638">
      <x:c r="A1638" s="34" t="str">
        <x:v>randoop</x:v>
      </x:c>
      <x:c r="B1638" s="34" t="str">
        <x:v>Math</x:v>
      </x:c>
      <x:c r="C1638" s="34" t="str">
        <x:v>Round2</x:v>
      </x:c>
      <x:c r="D1638" s="34" t="str">
        <x:v>Math_99</x:v>
      </x:c>
      <x:c r="E1638" s="34" t="str">
        <x:v>Coverage</x:v>
      </x:c>
      <x:c r="F1638" s="34" t="n">
        <x:v>540</x:v>
      </x:c>
      <x:c r="G1638" s="34" t="str">
        <x:v>RECORDED</x:v>
      </x:c>
      <x:c r="H1638" s="38" t="n">
        <x:f>IF(ISNUMBER('Data'!G1638),'Data'!G1638*100,"")</x:f>
        <x:v>75.93</x:v>
      </x:c>
      <x:c r="I1638" s="34" t="str">
        <x:v>PASS</x:v>
      </x:c>
      <x:c r="J1638" s="34" t="str">
        <x:v>PASS</x:v>
      </x:c>
      <x:c r="K1638" s="34" t="str">
        <x:v>PASS</x:v>
      </x:c>
      <x:c r="L1638" s="34" t="str">
        <x:v>PASS</x:v>
      </x:c>
      <x:c r="M1638" s="34" t="str">
        <x:v>numeric coverage for applicable metric</x:v>
      </x:c>
      <x:c r="N1638" s="34" t="str">
        <x:v>Feedback-Directed Random Test Generation/Result_Round2/Math_99/result.json</x:v>
      </x:c>
      <x:c r="O1638" s="38" t="n">
        <x:f>IF(AND(G1638="RECORDED",ISNUMBER(H1638)),H1638,"")</x:f>
        <x:v>75.93</x:v>
      </x:c>
      <x:c r="P1638" s="34" t="str">
        <x:v>NOT_REVEALING</x:v>
      </x:c>
      <x:c r="Q1638" s="34" t="str">
        <x:v>Feedback-Directed Random Test Generation/Result_Round2/Math_99/result.json</x:v>
      </x:c>
    </x:row>
    <x:row r="1639">
      <x:c r="A1639" s="34" t="str">
        <x:v>randoop</x:v>
      </x:c>
      <x:c r="B1639" s="34" t="str">
        <x:v>Math</x:v>
      </x:c>
      <x:c r="C1639" s="34" t="str">
        <x:v>Round2</x:v>
      </x:c>
      <x:c r="D1639" s="34" t="str">
        <x:v>Math_100</x:v>
      </x:c>
      <x:c r="E1639" s="34" t="str">
        <x:v>Coverage</x:v>
      </x:c>
      <x:c r="F1639" s="34" t="n">
        <x:v>95</x:v>
      </x:c>
      <x:c r="G1639" s="34" t="str">
        <x:v>RECORDED</x:v>
      </x:c>
      <x:c r="H1639" s="38" t="n">
        <x:f>IF(ISNUMBER('Data'!G1639),'Data'!G1639*100,"")</x:f>
        <x:v>0</x:v>
      </x:c>
      <x:c r="I1639" s="34" t="str">
        <x:v>PASS</x:v>
      </x:c>
      <x:c r="J1639" s="34" t="str">
        <x:v>PASS</x:v>
      </x:c>
      <x:c r="K1639" s="34" t="str">
        <x:v>PASS</x:v>
      </x:c>
      <x:c r="L1639" s="34" t="str">
        <x:v>PASS</x:v>
      </x:c>
      <x:c r="M1639" s="34" t="str">
        <x:v>numeric coverage for applicable metric</x:v>
      </x:c>
      <x:c r="N1639" s="34" t="str">
        <x:v>Feedback-Directed Random Test Generation/Result_Round2/Math_100/result.json</x:v>
      </x:c>
      <x:c r="O1639" s="38" t="n">
        <x:f>IF(AND(G1639="RECORDED",ISNUMBER(H1639)),H1639,"")</x:f>
        <x:v>0</x:v>
      </x:c>
      <x:c r="P1639" s="34" t="str">
        <x:v>NOT_REVEALING</x:v>
      </x:c>
      <x:c r="Q1639" s="34" t="str">
        <x:v>Feedback-Directed Random Test Generation/Result_Round2/Math_100/result.json</x:v>
      </x:c>
    </x:row>
    <x:row r="1640">
      <x:c r="A1640" s="34" t="str">
        <x:v>randoop</x:v>
      </x:c>
      <x:c r="B1640" s="34" t="str">
        <x:v>Math</x:v>
      </x:c>
      <x:c r="C1640" s="34" t="str">
        <x:v>Round2</x:v>
      </x:c>
      <x:c r="D1640" s="34" t="str">
        <x:v>Math_101</x:v>
      </x:c>
      <x:c r="E1640" s="34" t="str">
        <x:v>Coverage</x:v>
      </x:c>
      <x:c r="F1640" s="34" t="n">
        <x:v>195</x:v>
      </x:c>
      <x:c r="G1640" s="34" t="str">
        <x:v>RECORDED</x:v>
      </x:c>
      <x:c r="H1640" s="38" t="n">
        <x:f>IF(ISNUMBER('Data'!G1640),'Data'!G1640*100,"")</x:f>
        <x:v>70.77</x:v>
      </x:c>
      <x:c r="I1640" s="34" t="str">
        <x:v>PASS</x:v>
      </x:c>
      <x:c r="J1640" s="34" t="str">
        <x:v>PASS</x:v>
      </x:c>
      <x:c r="K1640" s="34" t="str">
        <x:v>PASS</x:v>
      </x:c>
      <x:c r="L1640" s="34" t="str">
        <x:v>PASS</x:v>
      </x:c>
      <x:c r="M1640" s="34" t="str">
        <x:v>numeric coverage for applicable metric</x:v>
      </x:c>
      <x:c r="N1640" s="34" t="str">
        <x:v>Feedback-Directed Random Test Generation/Result_Round2/Math_101/result.json</x:v>
      </x:c>
      <x:c r="O1640" s="38" t="n">
        <x:f>IF(AND(G1640="RECORDED",ISNUMBER(H1640)),H1640,"")</x:f>
        <x:v>70.77</x:v>
      </x:c>
      <x:c r="P1640" s="34" t="str">
        <x:v>NOT_REVEALING</x:v>
      </x:c>
      <x:c r="Q1640" s="34" t="str">
        <x:v>Feedback-Directed Random Test Generation/Result_Round2/Math_101/result.json</x:v>
      </x:c>
    </x:row>
    <x:row r="1641">
      <x:c r="A1641" s="34" t="str">
        <x:v>randoop</x:v>
      </x:c>
      <x:c r="B1641" s="34" t="str">
        <x:v>Math</x:v>
      </x:c>
      <x:c r="C1641" s="34" t="str">
        <x:v>Round2</x:v>
      </x:c>
      <x:c r="D1641" s="34" t="str">
        <x:v>Math_102</x:v>
      </x:c>
      <x:c r="E1641" s="34" t="str">
        <x:v>Coverage</x:v>
      </x:c>
      <x:c r="F1641" s="34" t="n">
        <x:v>197</x:v>
      </x:c>
      <x:c r="G1641" s="34" t="str">
        <x:v>RECORDED</x:v>
      </x:c>
      <x:c r="H1641" s="38" t="n">
        <x:f>IF(ISNUMBER('Data'!G1641),'Data'!G1641*100,"")</x:f>
        <x:v>93.4</x:v>
      </x:c>
      <x:c r="I1641" s="34" t="str">
        <x:v>PASS</x:v>
      </x:c>
      <x:c r="J1641" s="34" t="str">
        <x:v>PASS</x:v>
      </x:c>
      <x:c r="K1641" s="34" t="str">
        <x:v>PASS</x:v>
      </x:c>
      <x:c r="L1641" s="34" t="str">
        <x:v>PASS</x:v>
      </x:c>
      <x:c r="M1641" s="34" t="str">
        <x:v>numeric coverage for applicable metric</x:v>
      </x:c>
      <x:c r="N1641" s="34" t="str">
        <x:v>Feedback-Directed Random Test Generation/Result_Round2/Math_102/result.json</x:v>
      </x:c>
      <x:c r="O1641" s="38" t="n">
        <x:f>IF(AND(G1641="RECORDED",ISNUMBER(H1641)),H1641,"")</x:f>
        <x:v>93.4</x:v>
      </x:c>
      <x:c r="P1641" s="34" t="str">
        <x:v>INCONCLUSIVE</x:v>
      </x:c>
      <x:c r="Q1641" s="34" t="str">
        <x:v>Feedback-Directed Random Test Generation/Result_Round2/Math_102/result.json</x:v>
      </x:c>
    </x:row>
    <x:row r="1642">
      <x:c r="A1642" s="34" t="str">
        <x:v>randoop</x:v>
      </x:c>
      <x:c r="B1642" s="34" t="str">
        <x:v>Math</x:v>
      </x:c>
      <x:c r="C1642" s="34" t="str">
        <x:v>Round2</x:v>
      </x:c>
      <x:c r="D1642" s="34" t="str">
        <x:v>Math_103</x:v>
      </x:c>
      <x:c r="E1642" s="34" t="str">
        <x:v>Coverage</x:v>
      </x:c>
      <x:c r="F1642" s="34" t="n">
        <x:v>51</x:v>
      </x:c>
      <x:c r="G1642" s="34" t="str">
        <x:v>RECORDED</x:v>
      </x:c>
      <x:c r="H1642" s="38" t="n">
        <x:f>IF(ISNUMBER('Data'!G1642),'Data'!G1642*100,"")</x:f>
        <x:v>100</x:v>
      </x:c>
      <x:c r="I1642" s="34" t="str">
        <x:v>PASS</x:v>
      </x:c>
      <x:c r="J1642" s="34" t="str">
        <x:v>PASS</x:v>
      </x:c>
      <x:c r="K1642" s="34" t="str">
        <x:v>PASS</x:v>
      </x:c>
      <x:c r="L1642" s="34" t="str">
        <x:v>PASS</x:v>
      </x:c>
      <x:c r="M1642" s="34" t="str">
        <x:v>numeric coverage for applicable metric</x:v>
      </x:c>
      <x:c r="N1642" s="34" t="str">
        <x:v>Feedback-Directed Random Test Generation/Result_Round2/Math_103/result.json</x:v>
      </x:c>
      <x:c r="O1642" s="38" t="n">
        <x:f>IF(AND(G1642="RECORDED",ISNUMBER(H1642)),H1642,"")</x:f>
        <x:v>100</x:v>
      </x:c>
      <x:c r="P1642" s="34" t="str">
        <x:v>INCONCLUSIVE</x:v>
      </x:c>
      <x:c r="Q1642" s="34" t="str">
        <x:v>Feedback-Directed Random Test Generation/Result_Round2/Math_103/result.json</x:v>
      </x:c>
    </x:row>
    <x:row r="1643">
      <x:c r="A1643" s="34" t="str">
        <x:v>randoop</x:v>
      </x:c>
      <x:c r="B1643" s="34" t="str">
        <x:v>Math</x:v>
      </x:c>
      <x:c r="C1643" s="34" t="str">
        <x:v>Round2</x:v>
      </x:c>
      <x:c r="D1643" s="34" t="str">
        <x:v>Math_104</x:v>
      </x:c>
      <x:c r="E1643" s="34" t="str">
        <x:v>Coverage</x:v>
      </x:c>
      <x:c r="F1643" s="34" t="n">
        <x:v>87</x:v>
      </x:c>
      <x:c r="G1643" s="34" t="str">
        <x:v>RECORDED</x:v>
      </x:c>
      <x:c r="H1643" s="38" t="n">
        <x:f>IF(ISNUMBER('Data'!G1643),'Data'!G1643*100,"")</x:f>
        <x:v>97.7</x:v>
      </x:c>
      <x:c r="I1643" s="34" t="str">
        <x:v>PASS</x:v>
      </x:c>
      <x:c r="J1643" s="34" t="str">
        <x:v>PASS</x:v>
      </x:c>
      <x:c r="K1643" s="34" t="str">
        <x:v>PASS</x:v>
      </x:c>
      <x:c r="L1643" s="34" t="str">
        <x:v>PASS</x:v>
      </x:c>
      <x:c r="M1643" s="34" t="str">
        <x:v>numeric coverage for applicable metric</x:v>
      </x:c>
      <x:c r="N1643" s="34" t="str">
        <x:v>Feedback-Directed Random Test Generation/Result_Round2/Math_104/result.json</x:v>
      </x:c>
      <x:c r="O1643" s="38" t="n">
        <x:f>IF(AND(G1643="RECORDED",ISNUMBER(H1643)),H1643,"")</x:f>
        <x:v>97.7</x:v>
      </x:c>
      <x:c r="P1643" s="34" t="str">
        <x:v>INCONCLUSIVE</x:v>
      </x:c>
      <x:c r="Q1643" s="34" t="str">
        <x:v>Feedback-Directed Random Test Generation/Result_Round2/Math_104/result.json</x:v>
      </x:c>
    </x:row>
    <x:row r="1644">
      <x:c r="A1644" s="34" t="str">
        <x:v>randoop</x:v>
      </x:c>
      <x:c r="B1644" s="34" t="str">
        <x:v>Math</x:v>
      </x:c>
      <x:c r="C1644" s="34" t="str">
        <x:v>Round2</x:v>
      </x:c>
      <x:c r="D1644" s="34" t="str">
        <x:v>Math_105</x:v>
      </x:c>
      <x:c r="E1644" s="34" t="str">
        <x:v>Coverage</x:v>
      </x:c>
      <x:c r="F1644" s="34" t="n">
        <x:v>89</x:v>
      </x:c>
      <x:c r="G1644" s="34" t="str">
        <x:v>RECORDED</x:v>
      </x:c>
      <x:c r="H1644" s="38" t="n">
        <x:f>IF(ISNUMBER('Data'!G1644),'Data'!G1644*100,"")</x:f>
        <x:v>100</x:v>
      </x:c>
      <x:c r="I1644" s="34" t="str">
        <x:v>PASS</x:v>
      </x:c>
      <x:c r="J1644" s="34" t="str">
        <x:v>PASS</x:v>
      </x:c>
      <x:c r="K1644" s="34" t="str">
        <x:v>PASS</x:v>
      </x:c>
      <x:c r="L1644" s="34" t="str">
        <x:v>PASS</x:v>
      </x:c>
      <x:c r="M1644" s="34" t="str">
        <x:v>numeric coverage for applicable metric</x:v>
      </x:c>
      <x:c r="N1644" s="34" t="str">
        <x:v>Feedback-Directed Random Test Generation/Result_Round2/Math_105/result.json</x:v>
      </x:c>
      <x:c r="O1644" s="38" t="n">
        <x:f>IF(AND(G1644="RECORDED",ISNUMBER(H1644)),H1644,"")</x:f>
        <x:v>100</x:v>
      </x:c>
      <x:c r="P1644" s="34" t="str">
        <x:v>INCONCLUSIVE</x:v>
      </x:c>
      <x:c r="Q1644" s="34" t="str">
        <x:v>Feedback-Directed Random Test Generation/Result_Round2/Math_105/result.json</x:v>
      </x:c>
    </x:row>
    <x:row r="1645">
      <x:c r="A1645" s="34" t="str">
        <x:v>randoop</x:v>
      </x:c>
      <x:c r="B1645" s="34" t="str">
        <x:v>Math</x:v>
      </x:c>
      <x:c r="C1645" s="34" t="str">
        <x:v>Round2</x:v>
      </x:c>
      <x:c r="D1645" s="34" t="str">
        <x:v>Math_106</x:v>
      </x:c>
      <x:c r="E1645" s="34" t="str">
        <x:v>Coverage</x:v>
      </x:c>
      <x:c r="F1645" s="34" t="n">
        <x:v>72</x:v>
      </x:c>
      <x:c r="G1645" s="34" t="str">
        <x:v>RECORDED</x:v>
      </x:c>
      <x:c r="H1645" s="38" t="n">
        <x:f>IF(ISNUMBER('Data'!G1645),'Data'!G1645*100,"")</x:f>
        <x:v>81.94</x:v>
      </x:c>
      <x:c r="I1645" s="34" t="str">
        <x:v>PASS</x:v>
      </x:c>
      <x:c r="J1645" s="34" t="str">
        <x:v>PASS</x:v>
      </x:c>
      <x:c r="K1645" s="34" t="str">
        <x:v>PASS</x:v>
      </x:c>
      <x:c r="L1645" s="34" t="str">
        <x:v>PASS</x:v>
      </x:c>
      <x:c r="M1645" s="34" t="str">
        <x:v>numeric coverage for applicable metric</x:v>
      </x:c>
      <x:c r="N1645" s="34" t="str">
        <x:v>Feedback-Directed Random Test Generation/Result_Round2/Math_106/result.json</x:v>
      </x:c>
      <x:c r="O1645" s="38" t="n">
        <x:f>IF(AND(G1645="RECORDED",ISNUMBER(H1645)),H1645,"")</x:f>
        <x:v>81.94</x:v>
      </x:c>
      <x:c r="P1645" s="34" t="str">
        <x:v>NOT_REVEALING</x:v>
      </x:c>
      <x:c r="Q1645" s="34" t="str">
        <x:v>Feedback-Directed Random Test Generation/Result_Round2/Math_106/result.json</x:v>
      </x:c>
    </x:row>
    <x:row r="1646">
      <x:c r="A1646" s="34" t="str">
        <x:v>randoop</x:v>
      </x:c>
      <x:c r="B1646" s="34" t="str">
        <x:v>Mockito</x:v>
      </x:c>
      <x:c r="C1646" s="34" t="str">
        <x:v>Round2</x:v>
      </x:c>
      <x:c r="D1646" s="34" t="str">
        <x:v>Mockito_1</x:v>
      </x:c>
      <x:c r="E1646" s="34" t="str">
        <x:v>Coverage</x:v>
      </x:c>
      <x:c r="F1646" s="34" t="n">
        <x:v>0</x:v>
      </x:c>
      <x:c r="G1646" s="34" t="str">
        <x:v>A</x:v>
      </x:c>
      <x:c r="H1646" s="38" t="str">
        <x:f>IF(ISNUMBER('Data'!G1646),'Data'!G1646*100,"")</x:f>
      </x:c>
      <x:c r="I1646" s="34"/>
      <x:c r="J1646" s="34"/>
      <x:c r="K1646" s="34"/>
      <x:c r="L1646" s="34" t="str">
        <x:v>NOT_RUN</x:v>
      </x:c>
      <x:c r="M1646" s="34" t="str">
        <x:v>Latest same-round generation failed; older files/results are excluded</x:v>
      </x:c>
      <x:c r="N1646" s="34" t="str">
        <x:v>Feedback-Directed Random Test Generation/report_Round2.csv</x:v>
      </x:c>
      <x:c r="O1646" s="38" t="str">
        <x:f>IF(AND(G1646="RECORDED",ISNUMBER(H1646)),H1646,"")</x:f>
      </x:c>
      <x:c r="P1646" s="34" t="str">
        <x:v>FAIL</x:v>
      </x:c>
      <x:c r="Q1646" s="34"/>
    </x:row>
    <x:row r="1647">
      <x:c r="A1647" s="34" t="str">
        <x:v>randoop</x:v>
      </x:c>
      <x:c r="B1647" s="34" t="str">
        <x:v>Mockito</x:v>
      </x:c>
      <x:c r="C1647" s="34" t="str">
        <x:v>Round2</x:v>
      </x:c>
      <x:c r="D1647" s="34" t="str">
        <x:v>Mockito_2</x:v>
      </x:c>
      <x:c r="E1647" s="34" t="str">
        <x:v>Coverage</x:v>
      </x:c>
      <x:c r="F1647" s="34" t="n">
        <x:v>0</x:v>
      </x:c>
      <x:c r="G1647" s="34" t="str">
        <x:v>A</x:v>
      </x:c>
      <x:c r="H1647" s="38" t="str">
        <x:f>IF(ISNUMBER('Data'!G1647),'Data'!G1647*100,"")</x:f>
      </x:c>
      <x:c r="I1647" s="34"/>
      <x:c r="J1647" s="34" t="str">
        <x:v>FAIL</x:v>
      </x:c>
      <x:c r="K1647" s="34"/>
      <x:c r="L1647" s="34" t="str">
        <x:v>NOT_RUN</x:v>
      </x:c>
      <x:c r="M1647" s="34" t="str">
        <x:v>coverage unavailable or execution/compile failed</x:v>
      </x:c>
      <x:c r="N1647" s="34" t="str">
        <x:v>Feedback-Directed Random Test Generation/Result_Round2/Mockito_2/result.json</x:v>
      </x:c>
      <x:c r="O1647" s="38" t="str">
        <x:f>IF(AND(G1647="RECORDED",ISNUMBER(H1647)),H1647,"")</x:f>
      </x:c>
      <x:c r="P1647" s="34" t="str">
        <x:v>NOT_AVAILABLE</x:v>
      </x:c>
      <x:c r="Q1647" s="34" t="str">
        <x:v>Feedback-Directed Random Test Generation/Result_Round2/Mockito_2/result.json</x:v>
      </x:c>
    </x:row>
    <x:row r="1648">
      <x:c r="A1648" s="34" t="str">
        <x:v>randoop</x:v>
      </x:c>
      <x:c r="B1648" s="34" t="str">
        <x:v>Mockito</x:v>
      </x:c>
      <x:c r="C1648" s="34" t="str">
        <x:v>Round2</x:v>
      </x:c>
      <x:c r="D1648" s="34" t="str">
        <x:v>Mockito_3</x:v>
      </x:c>
      <x:c r="E1648" s="34" t="str">
        <x:v>Coverage</x:v>
      </x:c>
      <x:c r="F1648" s="34" t="n">
        <x:v>0</x:v>
      </x:c>
      <x:c r="G1648" s="34" t="str">
        <x:v>A</x:v>
      </x:c>
      <x:c r="H1648" s="38" t="str">
        <x:f>IF(ISNUMBER('Data'!G1648),'Data'!G1648*100,"")</x:f>
      </x:c>
      <x:c r="I1648" s="34"/>
      <x:c r="J1648" s="34"/>
      <x:c r="K1648" s="34"/>
      <x:c r="L1648" s="34" t="str">
        <x:v>NOT_RUN</x:v>
      </x:c>
      <x:c r="M1648" s="34" t="str">
        <x:v>Latest same-round generation failed; older files/results are excluded</x:v>
      </x:c>
      <x:c r="N1648" s="34" t="str">
        <x:v>Feedback-Directed Random Test Generation/report_Round2.csv</x:v>
      </x:c>
      <x:c r="O1648" s="38" t="str">
        <x:f>IF(AND(G1648="RECORDED",ISNUMBER(H1648)),H1648,"")</x:f>
      </x:c>
      <x:c r="P1648" s="34" t="str">
        <x:v>FAIL</x:v>
      </x:c>
      <x:c r="Q1648" s="34"/>
    </x:row>
    <x:row r="1649">
      <x:c r="A1649" s="34" t="str">
        <x:v>randoop</x:v>
      </x:c>
      <x:c r="B1649" s="34" t="str">
        <x:v>Mockito</x:v>
      </x:c>
      <x:c r="C1649" s="34" t="str">
        <x:v>Round2</x:v>
      </x:c>
      <x:c r="D1649" s="34" t="str">
        <x:v>Mockito_4</x:v>
      </x:c>
      <x:c r="E1649" s="34" t="str">
        <x:v>Coverage</x:v>
      </x:c>
      <x:c r="F1649" s="34" t="n">
        <x:v>0</x:v>
      </x:c>
      <x:c r="G1649" s="34" t="str">
        <x:v>A</x:v>
      </x:c>
      <x:c r="H1649" s="38" t="str">
        <x:f>IF(ISNUMBER('Data'!G1649),'Data'!G1649*100,"")</x:f>
      </x:c>
      <x:c r="I1649" s="34"/>
      <x:c r="J1649" s="34"/>
      <x:c r="K1649" s="34"/>
      <x:c r="L1649" s="34" t="str">
        <x:v>NOT_RUN</x:v>
      </x:c>
      <x:c r="M1649" s="34" t="str">
        <x:v>Latest same-round generation failed; older files/results are excluded</x:v>
      </x:c>
      <x:c r="N1649" s="34" t="str">
        <x:v>Feedback-Directed Random Test Generation/report_Round2.csv</x:v>
      </x:c>
      <x:c r="O1649" s="38" t="str">
        <x:f>IF(AND(G1649="RECORDED",ISNUMBER(H1649)),H1649,"")</x:f>
      </x:c>
      <x:c r="P1649" s="34" t="str">
        <x:v>FAIL</x:v>
      </x:c>
      <x:c r="Q1649" s="34"/>
    </x:row>
    <x:row r="1650">
      <x:c r="A1650" s="34" t="str">
        <x:v>randoop</x:v>
      </x:c>
      <x:c r="B1650" s="34" t="str">
        <x:v>Mockito</x:v>
      </x:c>
      <x:c r="C1650" s="34" t="str">
        <x:v>Round2</x:v>
      </x:c>
      <x:c r="D1650" s="34" t="str">
        <x:v>Mockito_5</x:v>
      </x:c>
      <x:c r="E1650" s="34" t="str">
        <x:v>Coverage</x:v>
      </x:c>
      <x:c r="F1650" s="34" t="n">
        <x:v>0</x:v>
      </x:c>
      <x:c r="G1650" s="34" t="str">
        <x:v>A</x:v>
      </x:c>
      <x:c r="H1650" s="38" t="str">
        <x:f>IF(ISNUMBER('Data'!G1650),'Data'!G1650*100,"")</x:f>
      </x:c>
      <x:c r="I1650" s="34"/>
      <x:c r="J1650" s="34"/>
      <x:c r="K1650" s="34"/>
      <x:c r="L1650" s="34" t="str">
        <x:v>NOT_RUN</x:v>
      </x:c>
      <x:c r="M1650" s="34" t="str">
        <x:v>Latest same-round generation failed; older files/results are excluded</x:v>
      </x:c>
      <x:c r="N1650" s="34" t="str">
        <x:v>Feedback-Directed Random Test Generation/report_Round2.csv</x:v>
      </x:c>
      <x:c r="O1650" s="38" t="str">
        <x:f>IF(AND(G1650="RECORDED",ISNUMBER(H1650)),H1650,"")</x:f>
      </x:c>
      <x:c r="P1650" s="34" t="str">
        <x:v>FAIL</x:v>
      </x:c>
      <x:c r="Q1650" s="34"/>
    </x:row>
    <x:row r="1651">
      <x:c r="A1651" s="34" t="str">
        <x:v>randoop</x:v>
      </x:c>
      <x:c r="B1651" s="34" t="str">
        <x:v>Mockito</x:v>
      </x:c>
      <x:c r="C1651" s="34" t="str">
        <x:v>Round2</x:v>
      </x:c>
      <x:c r="D1651" s="34" t="str">
        <x:v>Mockito_6</x:v>
      </x:c>
      <x:c r="E1651" s="34" t="str">
        <x:v>Coverage</x:v>
      </x:c>
      <x:c r="F1651" s="34" t="n">
        <x:v>0</x:v>
      </x:c>
      <x:c r="G1651" s="34" t="str">
        <x:v>A</x:v>
      </x:c>
      <x:c r="H1651" s="38" t="str">
        <x:f>IF(ISNUMBER('Data'!G1651),'Data'!G1651*100,"")</x:f>
      </x:c>
      <x:c r="I1651" s="34"/>
      <x:c r="J1651" s="34"/>
      <x:c r="K1651" s="34"/>
      <x:c r="L1651" s="34" t="str">
        <x:v>NOT_RUN</x:v>
      </x:c>
      <x:c r="M1651" s="34" t="str">
        <x:v>Latest same-round generation failed; older files/results are excluded</x:v>
      </x:c>
      <x:c r="N1651" s="34" t="str">
        <x:v>Feedback-Directed Random Test Generation/report_Round2.csv</x:v>
      </x:c>
      <x:c r="O1651" s="38" t="str">
        <x:f>IF(AND(G1651="RECORDED",ISNUMBER(H1651)),H1651,"")</x:f>
      </x:c>
      <x:c r="P1651" s="34" t="str">
        <x:v>FAIL</x:v>
      </x:c>
      <x:c r="Q1651" s="34"/>
    </x:row>
    <x:row r="1652">
      <x:c r="A1652" s="34" t="str">
        <x:v>randoop</x:v>
      </x:c>
      <x:c r="B1652" s="34" t="str">
        <x:v>Mockito</x:v>
      </x:c>
      <x:c r="C1652" s="34" t="str">
        <x:v>Round2</x:v>
      </x:c>
      <x:c r="D1652" s="34" t="str">
        <x:v>Mockito_7</x:v>
      </x:c>
      <x:c r="E1652" s="34" t="str">
        <x:v>Coverage</x:v>
      </x:c>
      <x:c r="F1652" s="34" t="n">
        <x:v>0</x:v>
      </x:c>
      <x:c r="G1652" s="34" t="str">
        <x:v>A</x:v>
      </x:c>
      <x:c r="H1652" s="38" t="str">
        <x:f>IF(ISNUMBER('Data'!G1652),'Data'!G1652*100,"")</x:f>
      </x:c>
      <x:c r="I1652" s="34"/>
      <x:c r="J1652" s="34"/>
      <x:c r="K1652" s="34"/>
      <x:c r="L1652" s="34" t="str">
        <x:v>NOT_RUN</x:v>
      </x:c>
      <x:c r="M1652" s="34" t="str">
        <x:v>Latest same-round generation failed; older files/results are excluded</x:v>
      </x:c>
      <x:c r="N1652" s="34" t="str">
        <x:v>Feedback-Directed Random Test Generation/report_Round2.csv</x:v>
      </x:c>
      <x:c r="O1652" s="38" t="str">
        <x:f>IF(AND(G1652="RECORDED",ISNUMBER(H1652)),H1652,"")</x:f>
      </x:c>
      <x:c r="P1652" s="34" t="str">
        <x:v>FAIL</x:v>
      </x:c>
      <x:c r="Q1652" s="34"/>
    </x:row>
    <x:row r="1653">
      <x:c r="A1653" s="34" t="str">
        <x:v>randoop</x:v>
      </x:c>
      <x:c r="B1653" s="34" t="str">
        <x:v>Mockito</x:v>
      </x:c>
      <x:c r="C1653" s="34" t="str">
        <x:v>Round2</x:v>
      </x:c>
      <x:c r="D1653" s="34" t="str">
        <x:v>Mockito_8</x:v>
      </x:c>
      <x:c r="E1653" s="34" t="str">
        <x:v>Coverage</x:v>
      </x:c>
      <x:c r="F1653" s="34" t="n">
        <x:v>0</x:v>
      </x:c>
      <x:c r="G1653" s="34" t="str">
        <x:v>A</x:v>
      </x:c>
      <x:c r="H1653" s="38" t="str">
        <x:f>IF(ISNUMBER('Data'!G1653),'Data'!G1653*100,"")</x:f>
      </x:c>
      <x:c r="I1653" s="34"/>
      <x:c r="J1653" s="34"/>
      <x:c r="K1653" s="34"/>
      <x:c r="L1653" s="34" t="str">
        <x:v>NOT_RUN</x:v>
      </x:c>
      <x:c r="M1653" s="34" t="str">
        <x:v>Latest same-round generation failed; older files/results are excluded</x:v>
      </x:c>
      <x:c r="N1653" s="34" t="str">
        <x:v>Feedback-Directed Random Test Generation/report_Round2.csv</x:v>
      </x:c>
      <x:c r="O1653" s="38" t="str">
        <x:f>IF(AND(G1653="RECORDED",ISNUMBER(H1653)),H1653,"")</x:f>
      </x:c>
      <x:c r="P1653" s="34" t="str">
        <x:v>FAIL</x:v>
      </x:c>
      <x:c r="Q1653" s="34"/>
    </x:row>
    <x:row r="1654">
      <x:c r="A1654" s="34" t="str">
        <x:v>randoop</x:v>
      </x:c>
      <x:c r="B1654" s="34" t="str">
        <x:v>Mockito</x:v>
      </x:c>
      <x:c r="C1654" s="34" t="str">
        <x:v>Round2</x:v>
      </x:c>
      <x:c r="D1654" s="34" t="str">
        <x:v>Mockito_9</x:v>
      </x:c>
      <x:c r="E1654" s="34" t="str">
        <x:v>Coverage</x:v>
      </x:c>
      <x:c r="F1654" s="34" t="n">
        <x:v>0</x:v>
      </x:c>
      <x:c r="G1654" s="34" t="str">
        <x:v>A</x:v>
      </x:c>
      <x:c r="H1654" s="38" t="str">
        <x:f>IF(ISNUMBER('Data'!G1654),'Data'!G1654*100,"")</x:f>
      </x:c>
      <x:c r="I1654" s="34"/>
      <x:c r="J1654" s="34"/>
      <x:c r="K1654" s="34"/>
      <x:c r="L1654" s="34" t="str">
        <x:v>NOT_RUN</x:v>
      </x:c>
      <x:c r="M1654" s="34" t="str">
        <x:v>Latest same-round generation failed; older files/results are excluded</x:v>
      </x:c>
      <x:c r="N1654" s="34" t="str">
        <x:v>Feedback-Directed Random Test Generation/report_Round2.csv</x:v>
      </x:c>
      <x:c r="O1654" s="38" t="str">
        <x:f>IF(AND(G1654="RECORDED",ISNUMBER(H1654)),H1654,"")</x:f>
      </x:c>
      <x:c r="P1654" s="34" t="str">
        <x:v>FAIL</x:v>
      </x:c>
      <x:c r="Q1654" s="34"/>
    </x:row>
    <x:row r="1655">
      <x:c r="A1655" s="34" t="str">
        <x:v>randoop</x:v>
      </x:c>
      <x:c r="B1655" s="34" t="str">
        <x:v>Mockito</x:v>
      </x:c>
      <x:c r="C1655" s="34" t="str">
        <x:v>Round2</x:v>
      </x:c>
      <x:c r="D1655" s="34" t="str">
        <x:v>Mockito_10</x:v>
      </x:c>
      <x:c r="E1655" s="34" t="str">
        <x:v>Coverage</x:v>
      </x:c>
      <x:c r="F1655" s="34" t="n">
        <x:v>50</x:v>
      </x:c>
      <x:c r="G1655" s="34" t="str">
        <x:v>RECORDED</x:v>
      </x:c>
      <x:c r="H1655" s="38" t="n">
        <x:f>IF(ISNUMBER('Data'!G1655),'Data'!G1655*100,"")</x:f>
        <x:v>8</x:v>
      </x:c>
      <x:c r="I1655" s="34" t="str">
        <x:v>PASS</x:v>
      </x:c>
      <x:c r="J1655" s="34" t="str">
        <x:v>PASS</x:v>
      </x:c>
      <x:c r="K1655" s="34" t="str">
        <x:v>PASS</x:v>
      </x:c>
      <x:c r="L1655" s="34" t="str">
        <x:v>PASS</x:v>
      </x:c>
      <x:c r="M1655" s="34" t="str">
        <x:v>numeric coverage for applicable metric</x:v>
      </x:c>
      <x:c r="N1655" s="34" t="str">
        <x:v>Feedback-Directed Random Test Generation/Result_Round2/Mockito_10/result.json</x:v>
      </x:c>
      <x:c r="O1655" s="38" t="n">
        <x:f>IF(AND(G1655="RECORDED",ISNUMBER(H1655)),H1655,"")</x:f>
        <x:v>8</x:v>
      </x:c>
      <x:c r="P1655" s="34" t="str">
        <x:v>NOT_REVEALING</x:v>
      </x:c>
      <x:c r="Q1655" s="34" t="str">
        <x:v>Feedback-Directed Random Test Generation/Result_Round2/Mockito_10/result.json</x:v>
      </x:c>
    </x:row>
    <x:row r="1656">
      <x:c r="A1656" s="34" t="str">
        <x:v>randoop</x:v>
      </x:c>
      <x:c r="B1656" s="34" t="str">
        <x:v>Mockito</x:v>
      </x:c>
      <x:c r="C1656" s="34" t="str">
        <x:v>Round2</x:v>
      </x:c>
      <x:c r="D1656" s="34" t="str">
        <x:v>Mockito_11</x:v>
      </x:c>
      <x:c r="E1656" s="34" t="str">
        <x:v>Coverage</x:v>
      </x:c>
      <x:c r="F1656" s="34" t="n">
        <x:v>20</x:v>
      </x:c>
      <x:c r="G1656" s="34" t="str">
        <x:v>RECORDED</x:v>
      </x:c>
      <x:c r="H1656" s="38" t="n">
        <x:f>IF(ISNUMBER('Data'!G1656),'Data'!G1656*100,"")</x:f>
        <x:v>0</x:v>
      </x:c>
      <x:c r="I1656" s="34" t="str">
        <x:v>PASS</x:v>
      </x:c>
      <x:c r="J1656" s="34" t="str">
        <x:v>PASS</x:v>
      </x:c>
      <x:c r="K1656" s="34" t="str">
        <x:v>PASS</x:v>
      </x:c>
      <x:c r="L1656" s="34" t="str">
        <x:v>PASS</x:v>
      </x:c>
      <x:c r="M1656" s="34" t="str">
        <x:v>numeric coverage for applicable metric</x:v>
      </x:c>
      <x:c r="N1656" s="34" t="str">
        <x:v>Feedback-Directed Random Test Generation/Result_Round2/Mockito_11/result.json</x:v>
      </x:c>
      <x:c r="O1656" s="38" t="n">
        <x:f>IF(AND(G1656="RECORDED",ISNUMBER(H1656)),H1656,"")</x:f>
        <x:v>0</x:v>
      </x:c>
      <x:c r="P1656" s="34" t="str">
        <x:v>NOT_REVEALING</x:v>
      </x:c>
      <x:c r="Q1656" s="34" t="str">
        <x:v>Feedback-Directed Random Test Generation/Result_Round2/Mockito_11/result.json</x:v>
      </x:c>
    </x:row>
    <x:row r="1657">
      <x:c r="A1657" s="34" t="str">
        <x:v>randoop</x:v>
      </x:c>
      <x:c r="B1657" s="34" t="str">
        <x:v>Mockito</x:v>
      </x:c>
      <x:c r="C1657" s="34" t="str">
        <x:v>Round2</x:v>
      </x:c>
      <x:c r="D1657" s="34" t="str">
        <x:v>Mockito_12</x:v>
      </x:c>
      <x:c r="E1657" s="34" t="str">
        <x:v>Coverage</x:v>
      </x:c>
      <x:c r="F1657" s="34" t="n">
        <x:v>10</x:v>
      </x:c>
      <x:c r="G1657" s="34" t="str">
        <x:v>RECORDED</x:v>
      </x:c>
      <x:c r="H1657" s="38" t="n">
        <x:f>IF(ISNUMBER('Data'!G1657),'Data'!G1657*100,"")</x:f>
        <x:v>20</x:v>
      </x:c>
      <x:c r="I1657" s="34" t="str">
        <x:v>PASS</x:v>
      </x:c>
      <x:c r="J1657" s="34" t="str">
        <x:v>PASS</x:v>
      </x:c>
      <x:c r="K1657" s="34" t="str">
        <x:v>PASS</x:v>
      </x:c>
      <x:c r="L1657" s="34" t="str">
        <x:v>PASS</x:v>
      </x:c>
      <x:c r="M1657" s="34" t="str">
        <x:v>numeric coverage for applicable metric</x:v>
      </x:c>
      <x:c r="N1657" s="34" t="str">
        <x:v>Feedback-Directed Random Test Generation/Result_Round2/Mockito_12/result.json</x:v>
      </x:c>
      <x:c r="O1657" s="38" t="n">
        <x:f>IF(AND(G1657="RECORDED",ISNUMBER(H1657)),H1657,"")</x:f>
        <x:v>20</x:v>
      </x:c>
      <x:c r="P1657" s="34" t="str">
        <x:v>NOT_REVEALING</x:v>
      </x:c>
      <x:c r="Q1657" s="34" t="str">
        <x:v>Feedback-Directed Random Test Generation/Result_Round2/Mockito_12/result.json</x:v>
      </x:c>
    </x:row>
    <x:row r="1658">
      <x:c r="A1658" s="34" t="str">
        <x:v>randoop</x:v>
      </x:c>
      <x:c r="B1658" s="34" t="str">
        <x:v>Mockito</x:v>
      </x:c>
      <x:c r="C1658" s="34" t="str">
        <x:v>Round2</x:v>
      </x:c>
      <x:c r="D1658" s="34" t="str">
        <x:v>Mockito_13</x:v>
      </x:c>
      <x:c r="E1658" s="34" t="str">
        <x:v>Coverage</x:v>
      </x:c>
      <x:c r="F1658" s="34" t="n">
        <x:v>50</x:v>
      </x:c>
      <x:c r="G1658" s="34" t="str">
        <x:v>RECORDED</x:v>
      </x:c>
      <x:c r="H1658" s="38" t="n">
        <x:f>IF(ISNUMBER('Data'!G1658),'Data'!G1658*100,"")</x:f>
        <x:v>42</x:v>
      </x:c>
      <x:c r="I1658" s="34" t="str">
        <x:v>PASS</x:v>
      </x:c>
      <x:c r="J1658" s="34" t="str">
        <x:v>PASS</x:v>
      </x:c>
      <x:c r="K1658" s="34" t="str">
        <x:v>PASS</x:v>
      </x:c>
      <x:c r="L1658" s="34" t="str">
        <x:v>PASS</x:v>
      </x:c>
      <x:c r="M1658" s="34" t="str">
        <x:v>numeric coverage for applicable metric</x:v>
      </x:c>
      <x:c r="N1658" s="34" t="str">
        <x:v>Feedback-Directed Random Test Generation/Result_Round2/Mockito_13/result.json</x:v>
      </x:c>
      <x:c r="O1658" s="38" t="n">
        <x:f>IF(AND(G1658="RECORDED",ISNUMBER(H1658)),H1658,"")</x:f>
        <x:v>42</x:v>
      </x:c>
      <x:c r="P1658" s="34" t="str">
        <x:v>NOT_REVEALING</x:v>
      </x:c>
      <x:c r="Q1658" s="34" t="str">
        <x:v>Feedback-Directed Random Test Generation/Result_Round2/Mockito_13/result.json</x:v>
      </x:c>
    </x:row>
    <x:row r="1659">
      <x:c r="A1659" s="34" t="str">
        <x:v>randoop</x:v>
      </x:c>
      <x:c r="B1659" s="34" t="str">
        <x:v>Mockito</x:v>
      </x:c>
      <x:c r="C1659" s="34" t="str">
        <x:v>Round2</x:v>
      </x:c>
      <x:c r="D1659" s="34" t="str">
        <x:v>Mockito_14</x:v>
      </x:c>
      <x:c r="E1659" s="34" t="str">
        <x:v>Coverage</x:v>
      </x:c>
      <x:c r="F1659" s="34" t="n">
        <x:v>0</x:v>
      </x:c>
      <x:c r="G1659" s="34" t="str">
        <x:v>A</x:v>
      </x:c>
      <x:c r="H1659" s="38" t="str">
        <x:f>IF(ISNUMBER('Data'!G1659),'Data'!G1659*100,"")</x:f>
      </x:c>
      <x:c r="I1659" s="34"/>
      <x:c r="J1659" s="34"/>
      <x:c r="K1659" s="34"/>
      <x:c r="L1659" s="34" t="str">
        <x:v>NOT_RUN</x:v>
      </x:c>
      <x:c r="M1659" s="34" t="str">
        <x:v>Latest same-round generation failed; older files/results are excluded</x:v>
      </x:c>
      <x:c r="N1659" s="34" t="str">
        <x:v>Feedback-Directed Random Test Generation/report_Round2.csv</x:v>
      </x:c>
      <x:c r="O1659" s="38" t="str">
        <x:f>IF(AND(G1659="RECORDED",ISNUMBER(H1659)),H1659,"")</x:f>
      </x:c>
      <x:c r="P1659" s="34" t="str">
        <x:v>FAIL</x:v>
      </x:c>
      <x:c r="Q1659" s="34"/>
    </x:row>
    <x:row r="1660">
      <x:c r="A1660" s="34" t="str">
        <x:v>randoop</x:v>
      </x:c>
      <x:c r="B1660" s="34" t="str">
        <x:v>Mockito</x:v>
      </x:c>
      <x:c r="C1660" s="34" t="str">
        <x:v>Round2</x:v>
      </x:c>
      <x:c r="D1660" s="34" t="str">
        <x:v>Mockito_15</x:v>
      </x:c>
      <x:c r="E1660" s="34" t="str">
        <x:v>Coverage</x:v>
      </x:c>
      <x:c r="F1660" s="34" t="n">
        <x:v>15</x:v>
      </x:c>
      <x:c r="G1660" s="34" t="str">
        <x:v>RECORDED</x:v>
      </x:c>
      <x:c r="H1660" s="38" t="n">
        <x:f>IF(ISNUMBER('Data'!G1660),'Data'!G1660*100,"")</x:f>
        <x:v>33.33</x:v>
      </x:c>
      <x:c r="I1660" s="34" t="str">
        <x:v>PASS</x:v>
      </x:c>
      <x:c r="J1660" s="34" t="str">
        <x:v>PASS</x:v>
      </x:c>
      <x:c r="K1660" s="34" t="str">
        <x:v>PASS</x:v>
      </x:c>
      <x:c r="L1660" s="34" t="str">
        <x:v>PASS</x:v>
      </x:c>
      <x:c r="M1660" s="34" t="str">
        <x:v>numeric coverage for applicable metric</x:v>
      </x:c>
      <x:c r="N1660" s="34" t="str">
        <x:v>Feedback-Directed Random Test Generation/Result_Round2/Mockito_15/result.json</x:v>
      </x:c>
      <x:c r="O1660" s="38" t="n">
        <x:f>IF(AND(G1660="RECORDED",ISNUMBER(H1660)),H1660,"")</x:f>
        <x:v>33.33</x:v>
      </x:c>
      <x:c r="P1660" s="34" t="str">
        <x:v>NOT_REVEALING</x:v>
      </x:c>
      <x:c r="Q1660" s="34" t="str">
        <x:v>Feedback-Directed Random Test Generation/Result_Round2/Mockito_15/result.json</x:v>
      </x:c>
    </x:row>
    <x:row r="1661">
      <x:c r="A1661" s="34" t="str">
        <x:v>randoop</x:v>
      </x:c>
      <x:c r="B1661" s="34" t="str">
        <x:v>Mockito</x:v>
      </x:c>
      <x:c r="C1661" s="34" t="str">
        <x:v>Round2</x:v>
      </x:c>
      <x:c r="D1661" s="34" t="str">
        <x:v>Mockito_16</x:v>
      </x:c>
      <x:c r="E1661" s="34" t="str">
        <x:v>Coverage</x:v>
      </x:c>
      <x:c r="F1661" s="34" t="n">
        <x:v>0</x:v>
      </x:c>
      <x:c r="G1661" s="34" t="str">
        <x:v>A</x:v>
      </x:c>
      <x:c r="H1661" s="38" t="str">
        <x:f>IF(ISNUMBER('Data'!G1661),'Data'!G1661*100,"")</x:f>
      </x:c>
      <x:c r="I1661" s="34"/>
      <x:c r="J1661" s="34"/>
      <x:c r="K1661" s="34"/>
      <x:c r="L1661" s="34" t="str">
        <x:v>NOT_RUN</x:v>
      </x:c>
      <x:c r="M1661" s="34" t="str">
        <x:v>Latest same-round generation failed; older files/results are excluded</x:v>
      </x:c>
      <x:c r="N1661" s="34" t="str">
        <x:v>Feedback-Directed Random Test Generation/report_Round2.csv</x:v>
      </x:c>
      <x:c r="O1661" s="38" t="str">
        <x:f>IF(AND(G1661="RECORDED",ISNUMBER(H1661)),H1661,"")</x:f>
      </x:c>
      <x:c r="P1661" s="34" t="str">
        <x:v>FAIL</x:v>
      </x:c>
      <x:c r="Q1661" s="34"/>
    </x:row>
    <x:row r="1662">
      <x:c r="A1662" s="34" t="str">
        <x:v>randoop</x:v>
      </x:c>
      <x:c r="B1662" s="34" t="str">
        <x:v>Mockito</x:v>
      </x:c>
      <x:c r="C1662" s="34" t="str">
        <x:v>Round2</x:v>
      </x:c>
      <x:c r="D1662" s="34" t="str">
        <x:v>Mockito_17</x:v>
      </x:c>
      <x:c r="E1662" s="34" t="str">
        <x:v>Coverage</x:v>
      </x:c>
      <x:c r="F1662" s="34" t="n">
        <x:v>93</x:v>
      </x:c>
      <x:c r="G1662" s="34" t="str">
        <x:v>RECORDED</x:v>
      </x:c>
      <x:c r="H1662" s="38" t="n">
        <x:f>IF(ISNUMBER('Data'!G1662),'Data'!G1662*100,"")</x:f>
        <x:v>59.14</x:v>
      </x:c>
      <x:c r="I1662" s="34" t="str">
        <x:v>PASS</x:v>
      </x:c>
      <x:c r="J1662" s="34" t="str">
        <x:v>PASS</x:v>
      </x:c>
      <x:c r="K1662" s="34" t="str">
        <x:v>PASS</x:v>
      </x:c>
      <x:c r="L1662" s="34" t="str">
        <x:v>PASS</x:v>
      </x:c>
      <x:c r="M1662" s="34" t="str">
        <x:v>numeric coverage for applicable metric</x:v>
      </x:c>
      <x:c r="N1662" s="34" t="str">
        <x:v>Feedback-Directed Random Test Generation/Result_Round2/Mockito_17/result.json</x:v>
      </x:c>
      <x:c r="O1662" s="38" t="n">
        <x:f>IF(AND(G1662="RECORDED",ISNUMBER(H1662)),H1662,"")</x:f>
        <x:v>59.14</x:v>
      </x:c>
      <x:c r="P1662" s="34" t="str">
        <x:v>INCONCLUSIVE</x:v>
      </x:c>
      <x:c r="Q1662" s="34" t="str">
        <x:v>Feedback-Directed Random Test Generation/Result_Round2/Mockito_17/result.json</x:v>
      </x:c>
    </x:row>
    <x:row r="1663">
      <x:c r="A1663" s="34" t="str">
        <x:v>randoop</x:v>
      </x:c>
      <x:c r="B1663" s="34" t="str">
        <x:v>Mockito</x:v>
      </x:c>
      <x:c r="C1663" s="34" t="str">
        <x:v>Round2</x:v>
      </x:c>
      <x:c r="D1663" s="34" t="str">
        <x:v>Mockito_18</x:v>
      </x:c>
      <x:c r="E1663" s="34" t="str">
        <x:v>Coverage</x:v>
      </x:c>
      <x:c r="F1663" s="34" t="n">
        <x:v>0</x:v>
      </x:c>
      <x:c r="G1663" s="34" t="str">
        <x:v>A</x:v>
      </x:c>
      <x:c r="H1663" s="38" t="str">
        <x:f>IF(ISNUMBER('Data'!G1663),'Data'!G1663*100,"")</x:f>
      </x:c>
      <x:c r="I1663" s="34"/>
      <x:c r="J1663" s="34"/>
      <x:c r="K1663" s="34"/>
      <x:c r="L1663" s="34" t="str">
        <x:v>NOT_RUN</x:v>
      </x:c>
      <x:c r="M1663" s="34" t="str">
        <x:v>Latest same-round generation failed; older files/results are excluded</x:v>
      </x:c>
      <x:c r="N1663" s="34" t="str">
        <x:v>Feedback-Directed Random Test Generation/report_Round2.csv</x:v>
      </x:c>
      <x:c r="O1663" s="38" t="str">
        <x:f>IF(AND(G1663="RECORDED",ISNUMBER(H1663)),H1663,"")</x:f>
      </x:c>
      <x:c r="P1663" s="34" t="str">
        <x:v>FAIL</x:v>
      </x:c>
      <x:c r="Q1663" s="34"/>
    </x:row>
    <x:row r="1664">
      <x:c r="A1664" s="34" t="str">
        <x:v>randoop</x:v>
      </x:c>
      <x:c r="B1664" s="34" t="str">
        <x:v>Mockito</x:v>
      </x:c>
      <x:c r="C1664" s="34" t="str">
        <x:v>Round2</x:v>
      </x:c>
      <x:c r="D1664" s="34" t="str">
        <x:v>Mockito_19</x:v>
      </x:c>
      <x:c r="E1664" s="34" t="str">
        <x:v>Coverage</x:v>
      </x:c>
      <x:c r="F1664" s="34" t="n">
        <x:v>0</x:v>
      </x:c>
      <x:c r="G1664" s="34" t="str">
        <x:v>A</x:v>
      </x:c>
      <x:c r="H1664" s="38" t="str">
        <x:f>IF(ISNUMBER('Data'!G1664),'Data'!G1664*100,"")</x:f>
      </x:c>
      <x:c r="I1664" s="34"/>
      <x:c r="J1664" s="34"/>
      <x:c r="K1664" s="34"/>
      <x:c r="L1664" s="34" t="str">
        <x:v>NOT_RUN</x:v>
      </x:c>
      <x:c r="M1664" s="34" t="str">
        <x:v>Latest same-round generation failed; older files/results are excluded</x:v>
      </x:c>
      <x:c r="N1664" s="34" t="str">
        <x:v>Feedback-Directed Random Test Generation/report_Round2.csv</x:v>
      </x:c>
      <x:c r="O1664" s="38" t="str">
        <x:f>IF(AND(G1664="RECORDED",ISNUMBER(H1664)),H1664,"")</x:f>
      </x:c>
      <x:c r="P1664" s="34" t="str">
        <x:v>FAIL</x:v>
      </x:c>
      <x:c r="Q1664" s="34"/>
    </x:row>
    <x:row r="1665">
      <x:c r="A1665" s="34" t="str">
        <x:v>randoop</x:v>
      </x:c>
      <x:c r="B1665" s="34" t="str">
        <x:v>Mockito</x:v>
      </x:c>
      <x:c r="C1665" s="34" t="str">
        <x:v>Round2</x:v>
      </x:c>
      <x:c r="D1665" s="34" t="str">
        <x:v>Mockito_20</x:v>
      </x:c>
      <x:c r="E1665" s="34" t="str">
        <x:v>Coverage</x:v>
      </x:c>
      <x:c r="F1665" s="34" t="n">
        <x:v>0</x:v>
      </x:c>
      <x:c r="G1665" s="34" t="str">
        <x:v>A</x:v>
      </x:c>
      <x:c r="H1665" s="38" t="str">
        <x:f>IF(ISNUMBER('Data'!G1665),'Data'!G1665*100,"")</x:f>
      </x:c>
      <x:c r="I1665" s="34"/>
      <x:c r="J1665" s="34"/>
      <x:c r="K1665" s="34"/>
      <x:c r="L1665" s="34" t="str">
        <x:v>NOT_RUN</x:v>
      </x:c>
      <x:c r="M1665" s="34" t="str">
        <x:v>Latest same-round generation failed; older files/results are excluded</x:v>
      </x:c>
      <x:c r="N1665" s="34" t="str">
        <x:v>Feedback-Directed Random Test Generation/report_Round2.csv</x:v>
      </x:c>
      <x:c r="O1665" s="38" t="str">
        <x:f>IF(AND(G1665="RECORDED",ISNUMBER(H1665)),H1665,"")</x:f>
      </x:c>
      <x:c r="P1665" s="34" t="str">
        <x:v>FAIL</x:v>
      </x:c>
      <x:c r="Q1665" s="34"/>
    </x:row>
    <x:row r="1666">
      <x:c r="A1666" s="34" t="str">
        <x:v>randoop</x:v>
      </x:c>
      <x:c r="B1666" s="34" t="str">
        <x:v>Mockito</x:v>
      </x:c>
      <x:c r="C1666" s="34" t="str">
        <x:v>Round2</x:v>
      </x:c>
      <x:c r="D1666" s="34" t="str">
        <x:v>Mockito_21</x:v>
      </x:c>
      <x:c r="E1666" s="34" t="str">
        <x:v>Coverage</x:v>
      </x:c>
      <x:c r="F1666" s="34" t="n">
        <x:v>18</x:v>
      </x:c>
      <x:c r="G1666" s="34" t="str">
        <x:v>RECORDED</x:v>
      </x:c>
      <x:c r="H1666" s="38" t="n">
        <x:f>IF(ISNUMBER('Data'!G1666),'Data'!G1666*100,"")</x:f>
        <x:v>16.67</x:v>
      </x:c>
      <x:c r="I1666" s="34" t="str">
        <x:v>PASS</x:v>
      </x:c>
      <x:c r="J1666" s="34" t="str">
        <x:v>PASS</x:v>
      </x:c>
      <x:c r="K1666" s="34" t="str">
        <x:v>PASS</x:v>
      </x:c>
      <x:c r="L1666" s="34" t="str">
        <x:v>PASS</x:v>
      </x:c>
      <x:c r="M1666" s="34" t="str">
        <x:v>numeric coverage for applicable metric</x:v>
      </x:c>
      <x:c r="N1666" s="34" t="str">
        <x:v>Feedback-Directed Random Test Generation/Result_Round2/Mockito_21/result.json</x:v>
      </x:c>
      <x:c r="O1666" s="38" t="n">
        <x:f>IF(AND(G1666="RECORDED",ISNUMBER(H1666)),H1666,"")</x:f>
        <x:v>16.67</x:v>
      </x:c>
      <x:c r="P1666" s="34" t="str">
        <x:v>NOT_REVEALING</x:v>
      </x:c>
      <x:c r="Q1666" s="34" t="str">
        <x:v>Feedback-Directed Random Test Generation/Result_Round2/Mockito_21/result.json</x:v>
      </x:c>
    </x:row>
    <x:row r="1667">
      <x:c r="A1667" s="34" t="str">
        <x:v>randoop</x:v>
      </x:c>
      <x:c r="B1667" s="34" t="str">
        <x:v>Mockito</x:v>
      </x:c>
      <x:c r="C1667" s="34" t="str">
        <x:v>Round2</x:v>
      </x:c>
      <x:c r="D1667" s="34" t="str">
        <x:v>Mockito_22</x:v>
      </x:c>
      <x:c r="E1667" s="34" t="str">
        <x:v>Coverage</x:v>
      </x:c>
      <x:c r="F1667" s="34" t="n">
        <x:v>37</x:v>
      </x:c>
      <x:c r="G1667" s="34" t="str">
        <x:v>RECORDED</x:v>
      </x:c>
      <x:c r="H1667" s="38" t="n">
        <x:f>IF(ISNUMBER('Data'!G1667),'Data'!G1667*100,"")</x:f>
        <x:v>48.65</x:v>
      </x:c>
      <x:c r="I1667" s="34" t="str">
        <x:v>PASS</x:v>
      </x:c>
      <x:c r="J1667" s="34" t="str">
        <x:v>PASS</x:v>
      </x:c>
      <x:c r="K1667" s="34" t="str">
        <x:v>PASS</x:v>
      </x:c>
      <x:c r="L1667" s="34" t="str">
        <x:v>PASS</x:v>
      </x:c>
      <x:c r="M1667" s="34" t="str">
        <x:v>numeric coverage for applicable metric</x:v>
      </x:c>
      <x:c r="N1667" s="34" t="str">
        <x:v>Feedback-Directed Random Test Generation/Result_Round2/Mockito_22/result.json</x:v>
      </x:c>
      <x:c r="O1667" s="38" t="n">
        <x:f>IF(AND(G1667="RECORDED",ISNUMBER(H1667)),H1667,"")</x:f>
        <x:v>48.65</x:v>
      </x:c>
      <x:c r="P1667" s="34" t="str">
        <x:v>NOT_REVEALING</x:v>
      </x:c>
      <x:c r="Q1667" s="34" t="str">
        <x:v>Feedback-Directed Random Test Generation/Result_Round2/Mockito_22/result.json</x:v>
      </x:c>
    </x:row>
    <x:row r="1668">
      <x:c r="A1668" s="34" t="str">
        <x:v>randoop</x:v>
      </x:c>
      <x:c r="B1668" s="34" t="str">
        <x:v>Mockito</x:v>
      </x:c>
      <x:c r="C1668" s="34" t="str">
        <x:v>Round2</x:v>
      </x:c>
      <x:c r="D1668" s="34" t="str">
        <x:v>Mockito_23</x:v>
      </x:c>
      <x:c r="E1668" s="34" t="str">
        <x:v>Coverage</x:v>
      </x:c>
      <x:c r="F1668" s="34" t="n">
        <x:v>41</x:v>
      </x:c>
      <x:c r="G1668" s="34" t="str">
        <x:v>RECORDED</x:v>
      </x:c>
      <x:c r="H1668" s="38" t="n">
        <x:f>IF(ISNUMBER('Data'!G1668),'Data'!G1668*100,"")</x:f>
        <x:v>14.63</x:v>
      </x:c>
      <x:c r="I1668" s="34" t="str">
        <x:v>PASS</x:v>
      </x:c>
      <x:c r="J1668" s="34" t="str">
        <x:v>PASS</x:v>
      </x:c>
      <x:c r="K1668" s="34" t="str">
        <x:v>PASS</x:v>
      </x:c>
      <x:c r="L1668" s="34" t="str">
        <x:v>PASS</x:v>
      </x:c>
      <x:c r="M1668" s="34" t="str">
        <x:v>numeric coverage for applicable metric</x:v>
      </x:c>
      <x:c r="N1668" s="34" t="str">
        <x:v>Feedback-Directed Random Test Generation/Result_Round2/Mockito_23/result.json</x:v>
      </x:c>
      <x:c r="O1668" s="38" t="n">
        <x:f>IF(AND(G1668="RECORDED",ISNUMBER(H1668)),H1668,"")</x:f>
        <x:v>14.63</x:v>
      </x:c>
      <x:c r="P1668" s="34" t="str">
        <x:v>NOT_REVEALING</x:v>
      </x:c>
      <x:c r="Q1668" s="34" t="str">
        <x:v>Feedback-Directed Random Test Generation/Result_Round2/Mockito_23/result.json</x:v>
      </x:c>
    </x:row>
    <x:row r="1669">
      <x:c r="A1669" s="34" t="str">
        <x:v>randoop</x:v>
      </x:c>
      <x:c r="B1669" s="34" t="str">
        <x:v>Mockito</x:v>
      </x:c>
      <x:c r="C1669" s="34" t="str">
        <x:v>Round2</x:v>
      </x:c>
      <x:c r="D1669" s="34" t="str">
        <x:v>Mockito_24</x:v>
      </x:c>
      <x:c r="E1669" s="34" t="str">
        <x:v>Coverage</x:v>
      </x:c>
      <x:c r="F1669" s="34" t="n">
        <x:v>80</x:v>
      </x:c>
      <x:c r="G1669" s="34" t="str">
        <x:v>RECORDED</x:v>
      </x:c>
      <x:c r="H1669" s="38" t="n">
        <x:f>IF(ISNUMBER('Data'!G1669),'Data'!G1669*100,"")</x:f>
        <x:v>5</x:v>
      </x:c>
      <x:c r="I1669" s="34" t="str">
        <x:v>PASS</x:v>
      </x:c>
      <x:c r="J1669" s="34" t="str">
        <x:v>PASS</x:v>
      </x:c>
      <x:c r="K1669" s="34" t="str">
        <x:v>PASS</x:v>
      </x:c>
      <x:c r="L1669" s="34" t="str">
        <x:v>PASS</x:v>
      </x:c>
      <x:c r="M1669" s="34" t="str">
        <x:v>numeric coverage for applicable metric</x:v>
      </x:c>
      <x:c r="N1669" s="34" t="str">
        <x:v>Feedback-Directed Random Test Generation/Result_Round2/Mockito_24/result.json</x:v>
      </x:c>
      <x:c r="O1669" s="38" t="n">
        <x:f>IF(AND(G1669="RECORDED",ISNUMBER(H1669)),H1669,"")</x:f>
        <x:v>5</x:v>
      </x:c>
      <x:c r="P1669" s="34" t="str">
        <x:v>NOT_REVEALING</x:v>
      </x:c>
      <x:c r="Q1669" s="34" t="str">
        <x:v>Feedback-Directed Random Test Generation/Result_Round2/Mockito_24/result.json</x:v>
      </x:c>
    </x:row>
    <x:row r="1670">
      <x:c r="A1670" s="34" t="str">
        <x:v>randoop</x:v>
      </x:c>
      <x:c r="B1670" s="34" t="str">
        <x:v>Mockito</x:v>
      </x:c>
      <x:c r="C1670" s="34" t="str">
        <x:v>Round2</x:v>
      </x:c>
      <x:c r="D1670" s="34" t="str">
        <x:v>Mockito_25</x:v>
      </x:c>
      <x:c r="E1670" s="34" t="str">
        <x:v>Coverage</x:v>
      </x:c>
      <x:c r="F1670" s="34" t="n">
        <x:v>29</x:v>
      </x:c>
      <x:c r="G1670" s="34" t="str">
        <x:v>RECORDED</x:v>
      </x:c>
      <x:c r="H1670" s="38" t="n">
        <x:f>IF(ISNUMBER('Data'!G1670),'Data'!G1670*100,"")</x:f>
        <x:v>17.24</x:v>
      </x:c>
      <x:c r="I1670" s="34" t="str">
        <x:v>PASS</x:v>
      </x:c>
      <x:c r="J1670" s="34" t="str">
        <x:v>PASS</x:v>
      </x:c>
      <x:c r="K1670" s="34" t="str">
        <x:v>PASS</x:v>
      </x:c>
      <x:c r="L1670" s="34" t="str">
        <x:v>PASS</x:v>
      </x:c>
      <x:c r="M1670" s="34" t="str">
        <x:v>numeric coverage for applicable metric</x:v>
      </x:c>
      <x:c r="N1670" s="34" t="str">
        <x:v>Feedback-Directed Random Test Generation/Result_Round2/Mockito_25/result.json</x:v>
      </x:c>
      <x:c r="O1670" s="38" t="n">
        <x:f>IF(AND(G1670="RECORDED",ISNUMBER(H1670)),H1670,"")</x:f>
        <x:v>17.24</x:v>
      </x:c>
      <x:c r="P1670" s="34" t="str">
        <x:v>NOT_REVEALING</x:v>
      </x:c>
      <x:c r="Q1670" s="34" t="str">
        <x:v>Feedback-Directed Random Test Generation/Result_Round2/Mockito_25/result.json</x:v>
      </x:c>
    </x:row>
    <x:row r="1671">
      <x:c r="A1671" s="34" t="str">
        <x:v>randoop</x:v>
      </x:c>
      <x:c r="B1671" s="34" t="str">
        <x:v>Mockito</x:v>
      </x:c>
      <x:c r="C1671" s="34" t="str">
        <x:v>Round2</x:v>
      </x:c>
      <x:c r="D1671" s="34" t="str">
        <x:v>Mockito_26</x:v>
      </x:c>
      <x:c r="E1671" s="34" t="str">
        <x:v>Coverage</x:v>
      </x:c>
      <x:c r="F1671" s="34" t="n">
        <x:v>38</x:v>
      </x:c>
      <x:c r="G1671" s="34" t="str">
        <x:v>RECORDED</x:v>
      </x:c>
      <x:c r="H1671" s="38" t="n">
        <x:f>IF(ISNUMBER('Data'!G1671),'Data'!G1671*100,"")</x:f>
        <x:v>78.95</x:v>
      </x:c>
      <x:c r="I1671" s="34" t="str">
        <x:v>PASS</x:v>
      </x:c>
      <x:c r="J1671" s="34" t="str">
        <x:v>PASS</x:v>
      </x:c>
      <x:c r="K1671" s="34" t="str">
        <x:v>PASS</x:v>
      </x:c>
      <x:c r="L1671" s="34" t="str">
        <x:v>PASS</x:v>
      </x:c>
      <x:c r="M1671" s="34" t="str">
        <x:v>numeric coverage for applicable metric</x:v>
      </x:c>
      <x:c r="N1671" s="34" t="str">
        <x:v>Feedback-Directed Random Test Generation/Result_Round2/Mockito_26/result.json</x:v>
      </x:c>
      <x:c r="O1671" s="38" t="n">
        <x:f>IF(AND(G1671="RECORDED",ISNUMBER(H1671)),H1671,"")</x:f>
        <x:v>78.95</x:v>
      </x:c>
      <x:c r="P1671" s="34" t="str">
        <x:v>NOT_REVEALING</x:v>
      </x:c>
      <x:c r="Q1671" s="34" t="str">
        <x:v>Feedback-Directed Random Test Generation/Result_Round2/Mockito_26/result.json</x:v>
      </x:c>
    </x:row>
    <x:row r="1672">
      <x:c r="A1672" s="34" t="str">
        <x:v>randoop</x:v>
      </x:c>
      <x:c r="B1672" s="34" t="str">
        <x:v>Mockito</x:v>
      </x:c>
      <x:c r="C1672" s="34" t="str">
        <x:v>Round2</x:v>
      </x:c>
      <x:c r="D1672" s="34" t="str">
        <x:v>Mockito_27</x:v>
      </x:c>
      <x:c r="E1672" s="34" t="str">
        <x:v>Coverage</x:v>
      </x:c>
      <x:c r="F1672" s="34" t="n">
        <x:v>64</x:v>
      </x:c>
      <x:c r="G1672" s="34" t="str">
        <x:v>RECORDED</x:v>
      </x:c>
      <x:c r="H1672" s="38" t="n">
        <x:f>IF(ISNUMBER('Data'!G1672),'Data'!G1672*100,"")</x:f>
        <x:v>35.94</x:v>
      </x:c>
      <x:c r="I1672" s="34" t="str">
        <x:v>PASS</x:v>
      </x:c>
      <x:c r="J1672" s="34" t="str">
        <x:v>PASS</x:v>
      </x:c>
      <x:c r="K1672" s="34" t="str">
        <x:v>PASS</x:v>
      </x:c>
      <x:c r="L1672" s="34" t="str">
        <x:v>PASS</x:v>
      </x:c>
      <x:c r="M1672" s="34" t="str">
        <x:v>numeric coverage for applicable metric</x:v>
      </x:c>
      <x:c r="N1672" s="34" t="str">
        <x:v>Feedback-Directed Random Test Generation/Result_Round2/Mockito_27/result.json</x:v>
      </x:c>
      <x:c r="O1672" s="38" t="n">
        <x:f>IF(AND(G1672="RECORDED",ISNUMBER(H1672)),H1672,"")</x:f>
        <x:v>35.94</x:v>
      </x:c>
      <x:c r="P1672" s="34" t="str">
        <x:v>NOT_REVEALING</x:v>
      </x:c>
      <x:c r="Q1672" s="34" t="str">
        <x:v>Feedback-Directed Random Test Generation/Result_Round2/Mockito_27/result.json</x:v>
      </x:c>
    </x:row>
    <x:row r="1673">
      <x:c r="A1673" s="34" t="str">
        <x:v>randoop</x:v>
      </x:c>
      <x:c r="B1673" s="34" t="str">
        <x:v>Mockito</x:v>
      </x:c>
      <x:c r="C1673" s="34" t="str">
        <x:v>Round2</x:v>
      </x:c>
      <x:c r="D1673" s="34" t="str">
        <x:v>Mockito_28</x:v>
      </x:c>
      <x:c r="E1673" s="34" t="str">
        <x:v>Coverage</x:v>
      </x:c>
      <x:c r="F1673" s="34" t="n">
        <x:v>40</x:v>
      </x:c>
      <x:c r="G1673" s="34" t="str">
        <x:v>RECORDED</x:v>
      </x:c>
      <x:c r="H1673" s="38" t="n">
        <x:f>IF(ISNUMBER('Data'!G1673),'Data'!G1673*100,"")</x:f>
        <x:v>17.5</x:v>
      </x:c>
      <x:c r="I1673" s="34" t="str">
        <x:v>PASS</x:v>
      </x:c>
      <x:c r="J1673" s="34" t="str">
        <x:v>PASS</x:v>
      </x:c>
      <x:c r="K1673" s="34" t="str">
        <x:v>PASS</x:v>
      </x:c>
      <x:c r="L1673" s="34" t="str">
        <x:v>PASS</x:v>
      </x:c>
      <x:c r="M1673" s="34" t="str">
        <x:v>numeric coverage for applicable metric</x:v>
      </x:c>
      <x:c r="N1673" s="34" t="str">
        <x:v>Feedback-Directed Random Test Generation/Result_Round2/Mockito_28/result.json</x:v>
      </x:c>
      <x:c r="O1673" s="38" t="n">
        <x:f>IF(AND(G1673="RECORDED",ISNUMBER(H1673)),H1673,"")</x:f>
        <x:v>17.5</x:v>
      </x:c>
      <x:c r="P1673" s="34" t="str">
        <x:v>NOT_REVEALING</x:v>
      </x:c>
      <x:c r="Q1673" s="34" t="str">
        <x:v>Feedback-Directed Random Test Generation/Result_Round2/Mockito_28/result.json</x:v>
      </x:c>
    </x:row>
    <x:row r="1674">
      <x:c r="A1674" s="34" t="str">
        <x:v>randoop</x:v>
      </x:c>
      <x:c r="B1674" s="34" t="str">
        <x:v>Mockito</x:v>
      </x:c>
      <x:c r="C1674" s="34" t="str">
        <x:v>Round2</x:v>
      </x:c>
      <x:c r="D1674" s="34" t="str">
        <x:v>Mockito_29</x:v>
      </x:c>
      <x:c r="E1674" s="34" t="str">
        <x:v>Coverage</x:v>
      </x:c>
      <x:c r="F1674" s="34" t="n">
        <x:v>21</x:v>
      </x:c>
      <x:c r="G1674" s="34" t="str">
        <x:v>RECORDED</x:v>
      </x:c>
      <x:c r="H1674" s="38" t="n">
        <x:f>IF(ISNUMBER('Data'!G1674),'Data'!G1674*100,"")</x:f>
        <x:v>100</x:v>
      </x:c>
      <x:c r="I1674" s="34" t="str">
        <x:v>PASS</x:v>
      </x:c>
      <x:c r="J1674" s="34" t="str">
        <x:v>PASS</x:v>
      </x:c>
      <x:c r="K1674" s="34" t="str">
        <x:v>PASS</x:v>
      </x:c>
      <x:c r="L1674" s="34" t="str">
        <x:v>PASS</x:v>
      </x:c>
      <x:c r="M1674" s="34" t="str">
        <x:v>numeric coverage for applicable metric</x:v>
      </x:c>
      <x:c r="N1674" s="34" t="str">
        <x:v>Feedback-Directed Random Test Generation/Result_Round2/Mockito_29/result.json</x:v>
      </x:c>
      <x:c r="O1674" s="38" t="n">
        <x:f>IF(AND(G1674="RECORDED",ISNUMBER(H1674)),H1674,"")</x:f>
        <x:v>100</x:v>
      </x:c>
      <x:c r="P1674" s="34" t="str">
        <x:v>INCONCLUSIVE</x:v>
      </x:c>
      <x:c r="Q1674" s="34" t="str">
        <x:v>Feedback-Directed Random Test Generation/Result_Round2/Mockito_29/result.json</x:v>
      </x:c>
    </x:row>
    <x:row r="1675">
      <x:c r="A1675" s="34" t="str">
        <x:v>randoop</x:v>
      </x:c>
      <x:c r="B1675" s="34" t="str">
        <x:v>Mockito</x:v>
      </x:c>
      <x:c r="C1675" s="34" t="str">
        <x:v>Round2</x:v>
      </x:c>
      <x:c r="D1675" s="34" t="str">
        <x:v>Mockito_30</x:v>
      </x:c>
      <x:c r="E1675" s="34" t="str">
        <x:v>Coverage</x:v>
      </x:c>
      <x:c r="F1675" s="34" t="n">
        <x:v>126</x:v>
      </x:c>
      <x:c r="G1675" s="34" t="str">
        <x:v>RECORDED</x:v>
      </x:c>
      <x:c r="H1675" s="38" t="n">
        <x:f>IF(ISNUMBER('Data'!G1675),'Data'!G1675*100,"")</x:f>
        <x:v>50</x:v>
      </x:c>
      <x:c r="I1675" s="34" t="str">
        <x:v>PASS</x:v>
      </x:c>
      <x:c r="J1675" s="34" t="str">
        <x:v>PASS</x:v>
      </x:c>
      <x:c r="K1675" s="34" t="str">
        <x:v>PASS</x:v>
      </x:c>
      <x:c r="L1675" s="34" t="str">
        <x:v>FAIL</x:v>
      </x:c>
      <x:c r="M1675" s="34" t="str">
        <x:v>numeric coverage for applicable metric</x:v>
      </x:c>
      <x:c r="N1675" s="34" t="str">
        <x:v>Feedback-Directed Random Test Generation/Result_Round2/Mockito_30/result.json</x:v>
      </x:c>
      <x:c r="O1675" s="38" t="n">
        <x:f>IF(AND(G1675="RECORDED",ISNUMBER(H1675)),H1675,"")</x:f>
        <x:v>50</x:v>
      </x:c>
      <x:c r="P1675" s="34" t="str">
        <x:v>NOT_AVAILABLE</x:v>
      </x:c>
      <x:c r="Q1675" s="34" t="str">
        <x:v>Feedback-Directed Random Test Generation/Result_Round2/Mockito_30/result.json</x:v>
      </x:c>
    </x:row>
    <x:row r="1676">
      <x:c r="A1676" s="34" t="str">
        <x:v>randoop</x:v>
      </x:c>
      <x:c r="B1676" s="34" t="str">
        <x:v>Mockito</x:v>
      </x:c>
      <x:c r="C1676" s="34" t="str">
        <x:v>Round2</x:v>
      </x:c>
      <x:c r="D1676" s="34" t="str">
        <x:v>Mockito_31</x:v>
      </x:c>
      <x:c r="E1676" s="34" t="str">
        <x:v>Coverage</x:v>
      </x:c>
      <x:c r="F1676" s="34" t="n">
        <x:v>25</x:v>
      </x:c>
      <x:c r="G1676" s="34" t="str">
        <x:v>RECORDED</x:v>
      </x:c>
      <x:c r="H1676" s="38" t="n">
        <x:f>IF(ISNUMBER('Data'!G1676),'Data'!G1676*100,"")</x:f>
        <x:v>12</x:v>
      </x:c>
      <x:c r="I1676" s="34" t="str">
        <x:v>PASS</x:v>
      </x:c>
      <x:c r="J1676" s="34" t="str">
        <x:v>PASS</x:v>
      </x:c>
      <x:c r="K1676" s="34" t="str">
        <x:v>PASS</x:v>
      </x:c>
      <x:c r="L1676" s="34" t="str">
        <x:v>PASS</x:v>
      </x:c>
      <x:c r="M1676" s="34" t="str">
        <x:v>numeric coverage for applicable metric</x:v>
      </x:c>
      <x:c r="N1676" s="34" t="str">
        <x:v>Feedback-Directed Random Test Generation/Result_Round2/Mockito_31/result.json</x:v>
      </x:c>
      <x:c r="O1676" s="38" t="n">
        <x:f>IF(AND(G1676="RECORDED",ISNUMBER(H1676)),H1676,"")</x:f>
        <x:v>12</x:v>
      </x:c>
      <x:c r="P1676" s="34" t="str">
        <x:v>NOT_REVEALING</x:v>
      </x:c>
      <x:c r="Q1676" s="34" t="str">
        <x:v>Feedback-Directed Random Test Generation/Result_Round2/Mockito_31/result.json</x:v>
      </x:c>
    </x:row>
    <x:row r="1677">
      <x:c r="A1677" s="34" t="str">
        <x:v>randoop</x:v>
      </x:c>
      <x:c r="B1677" s="34" t="str">
        <x:v>Mockito</x:v>
      </x:c>
      <x:c r="C1677" s="34" t="str">
        <x:v>Round2</x:v>
      </x:c>
      <x:c r="D1677" s="34" t="str">
        <x:v>Mockito_32</x:v>
      </x:c>
      <x:c r="E1677" s="34" t="str">
        <x:v>Coverage</x:v>
      </x:c>
      <x:c r="F1677" s="34" t="n">
        <x:v>35</x:v>
      </x:c>
      <x:c r="G1677" s="34" t="str">
        <x:v>RECORDED</x:v>
      </x:c>
      <x:c r="H1677" s="38" t="n">
        <x:f>IF(ISNUMBER('Data'!G1677),'Data'!G1677*100,"")</x:f>
        <x:v>5.71</x:v>
      </x:c>
      <x:c r="I1677" s="34" t="str">
        <x:v>PASS</x:v>
      </x:c>
      <x:c r="J1677" s="34" t="str">
        <x:v>PASS</x:v>
      </x:c>
      <x:c r="K1677" s="34" t="str">
        <x:v>PASS</x:v>
      </x:c>
      <x:c r="L1677" s="34" t="str">
        <x:v>PASS</x:v>
      </x:c>
      <x:c r="M1677" s="34" t="str">
        <x:v>numeric coverage for applicable metric</x:v>
      </x:c>
      <x:c r="N1677" s="34" t="str">
        <x:v>Feedback-Directed Random Test Generation/Result_Round2/Mockito_32/result.json</x:v>
      </x:c>
      <x:c r="O1677" s="38" t="n">
        <x:f>IF(AND(G1677="RECORDED",ISNUMBER(H1677)),H1677,"")</x:f>
        <x:v>5.71</x:v>
      </x:c>
      <x:c r="P1677" s="34" t="str">
        <x:v>NOT_REVEALING</x:v>
      </x:c>
      <x:c r="Q1677" s="34" t="str">
        <x:v>Feedback-Directed Random Test Generation/Result_Round2/Mockito_32/result.json</x:v>
      </x:c>
    </x:row>
    <x:row r="1678">
      <x:c r="A1678" s="34" t="str">
        <x:v>randoop</x:v>
      </x:c>
      <x:c r="B1678" s="34" t="str">
        <x:v>Mockito</x:v>
      </x:c>
      <x:c r="C1678" s="34" t="str">
        <x:v>Round2</x:v>
      </x:c>
      <x:c r="D1678" s="34" t="str">
        <x:v>Mockito_33</x:v>
      </x:c>
      <x:c r="E1678" s="34" t="str">
        <x:v>Coverage</x:v>
      </x:c>
      <x:c r="F1678" s="34" t="n">
        <x:v>77</x:v>
      </x:c>
      <x:c r="G1678" s="34" t="str">
        <x:v>RECORDED</x:v>
      </x:c>
      <x:c r="H1678" s="38" t="n">
        <x:f>IF(ISNUMBER('Data'!G1678),'Data'!G1678*100,"")</x:f>
        <x:v>12.990000000000002</x:v>
      </x:c>
      <x:c r="I1678" s="34" t="str">
        <x:v>PASS</x:v>
      </x:c>
      <x:c r="J1678" s="34" t="str">
        <x:v>PASS</x:v>
      </x:c>
      <x:c r="K1678" s="34" t="str">
        <x:v>PASS</x:v>
      </x:c>
      <x:c r="L1678" s="34" t="str">
        <x:v>PASS</x:v>
      </x:c>
      <x:c r="M1678" s="34" t="str">
        <x:v>numeric coverage for applicable metric</x:v>
      </x:c>
      <x:c r="N1678" s="34" t="str">
        <x:v>Feedback-Directed Random Test Generation/Result_Round2/Mockito_33/result.json</x:v>
      </x:c>
      <x:c r="O1678" s="38" t="n">
        <x:f>IF(AND(G1678="RECORDED",ISNUMBER(H1678)),H1678,"")</x:f>
        <x:v>12.990000000000002</x:v>
      </x:c>
      <x:c r="P1678" s="34" t="str">
        <x:v>NOT_REVEALING</x:v>
      </x:c>
      <x:c r="Q1678" s="34" t="str">
        <x:v>Feedback-Directed Random Test Generation/Result_Round2/Mockito_33/result.json</x:v>
      </x:c>
    </x:row>
    <x:row r="1679">
      <x:c r="A1679" s="34" t="str">
        <x:v>randoop</x:v>
      </x:c>
      <x:c r="B1679" s="34" t="str">
        <x:v>Mockito</x:v>
      </x:c>
      <x:c r="C1679" s="34" t="str">
        <x:v>Round2</x:v>
      </x:c>
      <x:c r="D1679" s="34" t="str">
        <x:v>Mockito_34</x:v>
      </x:c>
      <x:c r="E1679" s="34" t="str">
        <x:v>Coverage</x:v>
      </x:c>
      <x:c r="F1679" s="34" t="n">
        <x:v>66</x:v>
      </x:c>
      <x:c r="G1679" s="34" t="str">
        <x:v>RECORDED</x:v>
      </x:c>
      <x:c r="H1679" s="38" t="n">
        <x:f>IF(ISNUMBER('Data'!G1679),'Data'!G1679*100,"")</x:f>
        <x:v>9.09</x:v>
      </x:c>
      <x:c r="I1679" s="34" t="str">
        <x:v>PASS</x:v>
      </x:c>
      <x:c r="J1679" s="34" t="str">
        <x:v>PASS</x:v>
      </x:c>
      <x:c r="K1679" s="34" t="str">
        <x:v>PASS</x:v>
      </x:c>
      <x:c r="L1679" s="34" t="str">
        <x:v>PASS</x:v>
      </x:c>
      <x:c r="M1679" s="34" t="str">
        <x:v>numeric coverage for applicable metric</x:v>
      </x:c>
      <x:c r="N1679" s="34" t="str">
        <x:v>Feedback-Directed Random Test Generation/Result_Round2/Mockito_34/result.json</x:v>
      </x:c>
      <x:c r="O1679" s="38" t="n">
        <x:f>IF(AND(G1679="RECORDED",ISNUMBER(H1679)),H1679,"")</x:f>
        <x:v>9.09</x:v>
      </x:c>
      <x:c r="P1679" s="34" t="str">
        <x:v>NOT_REVEALING</x:v>
      </x:c>
      <x:c r="Q1679" s="34" t="str">
        <x:v>Feedback-Directed Random Test Generation/Result_Round2/Mockito_34/result.json</x:v>
      </x:c>
    </x:row>
    <x:row r="1680">
      <x:c r="A1680" s="34" t="str">
        <x:v>randoop</x:v>
      </x:c>
      <x:c r="B1680" s="34" t="str">
        <x:v>Mockito</x:v>
      </x:c>
      <x:c r="C1680" s="34" t="str">
        <x:v>Round2</x:v>
      </x:c>
      <x:c r="D1680" s="34" t="str">
        <x:v>Mockito_35</x:v>
      </x:c>
      <x:c r="E1680" s="34" t="str">
        <x:v>Coverage</x:v>
      </x:c>
      <x:c r="F1680" s="34" t="n">
        <x:v>51</x:v>
      </x:c>
      <x:c r="G1680" s="34" t="str">
        <x:v>RECORDED</x:v>
      </x:c>
      <x:c r="H1680" s="38" t="n">
        <x:f>IF(ISNUMBER('Data'!G1680),'Data'!G1680*100,"")</x:f>
        <x:v>88.24</x:v>
      </x:c>
      <x:c r="I1680" s="34" t="str">
        <x:v>PASS</x:v>
      </x:c>
      <x:c r="J1680" s="34" t="str">
        <x:v>PASS</x:v>
      </x:c>
      <x:c r="K1680" s="34" t="str">
        <x:v>PASS</x:v>
      </x:c>
      <x:c r="L1680" s="34" t="str">
        <x:v>PASS</x:v>
      </x:c>
      <x:c r="M1680" s="34" t="str">
        <x:v>numeric coverage for applicable metric</x:v>
      </x:c>
      <x:c r="N1680" s="34" t="str">
        <x:v>Feedback-Directed Random Test Generation/Result_Round2/Mockito_35/result.json</x:v>
      </x:c>
      <x:c r="O1680" s="38" t="n">
        <x:f>IF(AND(G1680="RECORDED",ISNUMBER(H1680)),H1680,"")</x:f>
        <x:v>88.24</x:v>
      </x:c>
      <x:c r="P1680" s="34" t="str">
        <x:v>INCONCLUSIVE</x:v>
      </x:c>
      <x:c r="Q1680" s="34" t="str">
        <x:v>Feedback-Directed Random Test Generation/Result_Round2/Mockito_35/result.json</x:v>
      </x:c>
    </x:row>
    <x:row r="1681">
      <x:c r="A1681" s="34" t="str">
        <x:v>randoop</x:v>
      </x:c>
      <x:c r="B1681" s="34" t="str">
        <x:v>Mockito</x:v>
      </x:c>
      <x:c r="C1681" s="34" t="str">
        <x:v>Round2</x:v>
      </x:c>
      <x:c r="D1681" s="34" t="str">
        <x:v>Mockito_36</x:v>
      </x:c>
      <x:c r="E1681" s="34" t="str">
        <x:v>Coverage</x:v>
      </x:c>
      <x:c r="F1681" s="34" t="n">
        <x:v>112</x:v>
      </x:c>
      <x:c r="G1681" s="34" t="str">
        <x:v>RECORDED</x:v>
      </x:c>
      <x:c r="H1681" s="38" t="n">
        <x:f>IF(ISNUMBER('Data'!G1681),'Data'!G1681*100,"")</x:f>
        <x:v>5.36</x:v>
      </x:c>
      <x:c r="I1681" s="34" t="str">
        <x:v>PASS</x:v>
      </x:c>
      <x:c r="J1681" s="34" t="str">
        <x:v>PASS</x:v>
      </x:c>
      <x:c r="K1681" s="34" t="str">
        <x:v>PASS</x:v>
      </x:c>
      <x:c r="L1681" s="34" t="str">
        <x:v>PASS</x:v>
      </x:c>
      <x:c r="M1681" s="34" t="str">
        <x:v>numeric coverage for applicable metric</x:v>
      </x:c>
      <x:c r="N1681" s="34" t="str">
        <x:v>Feedback-Directed Random Test Generation/Result_Round2/Mockito_36/result.json</x:v>
      </x:c>
      <x:c r="O1681" s="38" t="n">
        <x:f>IF(AND(G1681="RECORDED",ISNUMBER(H1681)),H1681,"")</x:f>
        <x:v>5.36</x:v>
      </x:c>
      <x:c r="P1681" s="34" t="str">
        <x:v>NOT_REVEALING</x:v>
      </x:c>
      <x:c r="Q1681" s="34" t="str">
        <x:v>Feedback-Directed Random Test Generation/Result_Round2/Mockito_36/result.json</x:v>
      </x:c>
    </x:row>
    <x:row r="1682">
      <x:c r="A1682" s="34" t="str">
        <x:v>randoop</x:v>
      </x:c>
      <x:c r="B1682" s="34" t="str">
        <x:v>Mockito</x:v>
      </x:c>
      <x:c r="C1682" s="34" t="str">
        <x:v>Round2</x:v>
      </x:c>
      <x:c r="D1682" s="34" t="str">
        <x:v>Mockito_37</x:v>
      </x:c>
      <x:c r="E1682" s="34" t="str">
        <x:v>Coverage</x:v>
      </x:c>
      <x:c r="F1682" s="34" t="n">
        <x:v>53</x:v>
      </x:c>
      <x:c r="G1682" s="34" t="str">
        <x:v>RECORDED</x:v>
      </x:c>
      <x:c r="H1682" s="38" t="n">
        <x:f>IF(ISNUMBER('Data'!G1682),'Data'!G1682*100,"")</x:f>
        <x:v>3.7699999999999996</x:v>
      </x:c>
      <x:c r="I1682" s="34" t="str">
        <x:v>PASS</x:v>
      </x:c>
      <x:c r="J1682" s="34" t="str">
        <x:v>PASS</x:v>
      </x:c>
      <x:c r="K1682" s="34" t="str">
        <x:v>PASS</x:v>
      </x:c>
      <x:c r="L1682" s="34" t="str">
        <x:v>PASS</x:v>
      </x:c>
      <x:c r="M1682" s="34" t="str">
        <x:v>numeric coverage for applicable metric</x:v>
      </x:c>
      <x:c r="N1682" s="34" t="str">
        <x:v>Feedback-Directed Random Test Generation/Result_Round2/Mockito_37/result.json</x:v>
      </x:c>
      <x:c r="O1682" s="38" t="n">
        <x:f>IF(AND(G1682="RECORDED",ISNUMBER(H1682)),H1682,"")</x:f>
        <x:v>3.7699999999999996</x:v>
      </x:c>
      <x:c r="P1682" s="34" t="str">
        <x:v>NOT_REVEALING</x:v>
      </x:c>
      <x:c r="Q1682" s="34" t="str">
        <x:v>Feedback-Directed Random Test Generation/Result_Round2/Mockito_37/result.json</x:v>
      </x:c>
    </x:row>
    <x:row r="1683">
      <x:c r="A1683" s="34" t="str">
        <x:v>randoop</x:v>
      </x:c>
      <x:c r="B1683" s="34" t="str">
        <x:v>Mockito</x:v>
      </x:c>
      <x:c r="C1683" s="34" t="str">
        <x:v>Round2</x:v>
      </x:c>
      <x:c r="D1683" s="34" t="str">
        <x:v>Mockito_38</x:v>
      </x:c>
      <x:c r="E1683" s="34" t="str">
        <x:v>Coverage</x:v>
      </x:c>
      <x:c r="F1683" s="34" t="n">
        <x:v>30</x:v>
      </x:c>
      <x:c r="G1683" s="34" t="str">
        <x:v>RECORDED</x:v>
      </x:c>
      <x:c r="H1683" s="38" t="n">
        <x:f>IF(ISNUMBER('Data'!G1683),'Data'!G1683*100,"")</x:f>
        <x:v>33.33</x:v>
      </x:c>
      <x:c r="I1683" s="34" t="str">
        <x:v>PASS</x:v>
      </x:c>
      <x:c r="J1683" s="34" t="str">
        <x:v>PASS</x:v>
      </x:c>
      <x:c r="K1683" s="34" t="str">
        <x:v>PASS</x:v>
      </x:c>
      <x:c r="L1683" s="34" t="str">
        <x:v>PASS</x:v>
      </x:c>
      <x:c r="M1683" s="34" t="str">
        <x:v>numeric coverage for applicable metric</x:v>
      </x:c>
      <x:c r="N1683" s="34" t="str">
        <x:v>Feedback-Directed Random Test Generation/Result_Round2/Mockito_38/result.json</x:v>
      </x:c>
      <x:c r="O1683" s="38" t="n">
        <x:f>IF(AND(G1683="RECORDED",ISNUMBER(H1683)),H1683,"")</x:f>
        <x:v>33.33</x:v>
      </x:c>
      <x:c r="P1683" s="34" t="str">
        <x:v>NOT_REVEALING</x:v>
      </x:c>
      <x:c r="Q1683" s="34" t="str">
        <x:v>Feedback-Directed Random Test Generation/Result_Round2/Mockito_38/result.json</x:v>
      </x:c>
    </x:row>
    <x:row r="1684">
      <x:c r="A1684" s="34" t="str">
        <x:v>randoop</x:v>
      </x:c>
      <x:c r="B1684" s="34" t="str">
        <x:v>Time</x:v>
      </x:c>
      <x:c r="C1684" s="34" t="str">
        <x:v>Round2</x:v>
      </x:c>
      <x:c r="D1684" s="34" t="str">
        <x:v>Time_1</x:v>
      </x:c>
      <x:c r="E1684" s="34" t="str">
        <x:v>Coverage</x:v>
      </x:c>
      <x:c r="F1684" s="34" t="n">
        <x:v>419</x:v>
      </x:c>
      <x:c r="G1684" s="34" t="str">
        <x:v>RECORDED</x:v>
      </x:c>
      <x:c r="H1684" s="38" t="n">
        <x:f>IF(ISNUMBER('Data'!G1684),'Data'!G1684*100,"")</x:f>
        <x:v>41.53</x:v>
      </x:c>
      <x:c r="I1684" s="34" t="str">
        <x:v>PASS</x:v>
      </x:c>
      <x:c r="J1684" s="34" t="str">
        <x:v>PASS</x:v>
      </x:c>
      <x:c r="K1684" s="34" t="str">
        <x:v>PASS</x:v>
      </x:c>
      <x:c r="L1684" s="34" t="str">
        <x:v>FAIL</x:v>
      </x:c>
      <x:c r="M1684" s="34" t="str">
        <x:v>numeric coverage for applicable metric</x:v>
      </x:c>
      <x:c r="N1684" s="34" t="str">
        <x:v>Feedback-Directed Random Test Generation/Result_Round2/Time_1/result.json</x:v>
      </x:c>
      <x:c r="O1684" s="38" t="n">
        <x:f>IF(AND(G1684="RECORDED",ISNUMBER(H1684)),H1684,"")</x:f>
        <x:v>41.53</x:v>
      </x:c>
      <x:c r="P1684" s="34" t="str">
        <x:v>INCONCLUSIVE</x:v>
      </x:c>
      <x:c r="Q1684" s="34" t="str">
        <x:v>Feedback-Directed Random Test Generation/Result_Round2/Time_1/result.json</x:v>
      </x:c>
    </x:row>
    <x:row r="1685">
      <x:c r="A1685" s="34" t="str">
        <x:v>randoop</x:v>
      </x:c>
      <x:c r="B1685" s="34" t="str">
        <x:v>Time</x:v>
      </x:c>
      <x:c r="C1685" s="34" t="str">
        <x:v>Round2</x:v>
      </x:c>
      <x:c r="D1685" s="34" t="str">
        <x:v>Time_2</x:v>
      </x:c>
      <x:c r="E1685" s="34" t="str">
        <x:v>Coverage</x:v>
      </x:c>
      <x:c r="F1685" s="34" t="n">
        <x:v>415</x:v>
      </x:c>
      <x:c r="G1685" s="34" t="str">
        <x:v>RECORDED</x:v>
      </x:c>
      <x:c r="H1685" s="38" t="n">
        <x:f>IF(ISNUMBER('Data'!G1685),'Data'!G1685*100,"")</x:f>
        <x:v>41.69</x:v>
      </x:c>
      <x:c r="I1685" s="34" t="str">
        <x:v>PASS</x:v>
      </x:c>
      <x:c r="J1685" s="34" t="str">
        <x:v>PASS</x:v>
      </x:c>
      <x:c r="K1685" s="34" t="str">
        <x:v>PASS</x:v>
      </x:c>
      <x:c r="L1685" s="34" t="str">
        <x:v>FAIL</x:v>
      </x:c>
      <x:c r="M1685" s="34" t="str">
        <x:v>numeric coverage for applicable metric</x:v>
      </x:c>
      <x:c r="N1685" s="34" t="str">
        <x:v>Feedback-Directed Random Test Generation/Result_Round2/Time_2/result.json</x:v>
      </x:c>
      <x:c r="O1685" s="38" t="n">
        <x:f>IF(AND(G1685="RECORDED",ISNUMBER(H1685)),H1685,"")</x:f>
        <x:v>41.69</x:v>
      </x:c>
      <x:c r="P1685" s="34" t="str">
        <x:v>INCONCLUSIVE</x:v>
      </x:c>
      <x:c r="Q1685" s="34" t="str">
        <x:v>Feedback-Directed Random Test Generation/Result_Round2/Time_2/result.json</x:v>
      </x:c>
    </x:row>
    <x:row r="1686">
      <x:c r="A1686" s="34" t="str">
        <x:v>randoop</x:v>
      </x:c>
      <x:c r="B1686" s="34" t="str">
        <x:v>Time</x:v>
      </x:c>
      <x:c r="C1686" s="34" t="str">
        <x:v>Round2</x:v>
      </x:c>
      <x:c r="D1686" s="34" t="str">
        <x:v>Time_3</x:v>
      </x:c>
      <x:c r="E1686" s="34" t="str">
        <x:v>Coverage</x:v>
      </x:c>
      <x:c r="F1686" s="34" t="n">
        <x:v>281</x:v>
      </x:c>
      <x:c r="G1686" s="34" t="str">
        <x:v>RECORDED</x:v>
      </x:c>
      <x:c r="H1686" s="38" t="n">
        <x:f>IF(ISNUMBER('Data'!G1686),'Data'!G1686*100,"")</x:f>
        <x:v>88.26</x:v>
      </x:c>
      <x:c r="I1686" s="34" t="str">
        <x:v>PASS</x:v>
      </x:c>
      <x:c r="J1686" s="34" t="str">
        <x:v>PASS</x:v>
      </x:c>
      <x:c r="K1686" s="34" t="str">
        <x:v>PASS</x:v>
      </x:c>
      <x:c r="L1686" s="34" t="str">
        <x:v>FAIL</x:v>
      </x:c>
      <x:c r="M1686" s="34" t="str">
        <x:v>numeric coverage for applicable metric</x:v>
      </x:c>
      <x:c r="N1686" s="34" t="str">
        <x:v>Feedback-Directed Random Test Generation/Result_Round2/Time_3/result.json</x:v>
      </x:c>
      <x:c r="O1686" s="38" t="n">
        <x:f>IF(AND(G1686="RECORDED",ISNUMBER(H1686)),H1686,"")</x:f>
        <x:v>88.26</x:v>
      </x:c>
      <x:c r="P1686" s="34" t="str">
        <x:v>INCONCLUSIVE</x:v>
      </x:c>
      <x:c r="Q1686" s="34" t="str">
        <x:v>Feedback-Directed Random Test Generation/Result_Round2/Time_3/result.json</x:v>
      </x:c>
    </x:row>
    <x:row r="1687">
      <x:c r="A1687" s="34" t="str">
        <x:v>randoop</x:v>
      </x:c>
      <x:c r="B1687" s="34" t="str">
        <x:v>Time</x:v>
      </x:c>
      <x:c r="C1687" s="34" t="str">
        <x:v>Round2</x:v>
      </x:c>
      <x:c r="D1687" s="34" t="str">
        <x:v>Time_4</x:v>
      </x:c>
      <x:c r="E1687" s="34" t="str">
        <x:v>Coverage</x:v>
      </x:c>
      <x:c r="F1687" s="34" t="n">
        <x:v>359</x:v>
      </x:c>
      <x:c r="G1687" s="34" t="str">
        <x:v>RECORDED</x:v>
      </x:c>
      <x:c r="H1687" s="38" t="n">
        <x:f>IF(ISNUMBER('Data'!G1687),'Data'!G1687*100,"")</x:f>
        <x:v>48.19</x:v>
      </x:c>
      <x:c r="I1687" s="34" t="str">
        <x:v>PASS</x:v>
      </x:c>
      <x:c r="J1687" s="34" t="str">
        <x:v>PASS</x:v>
      </x:c>
      <x:c r="K1687" s="34" t="str">
        <x:v>PASS</x:v>
      </x:c>
      <x:c r="L1687" s="34" t="str">
        <x:v>FAIL</x:v>
      </x:c>
      <x:c r="M1687" s="34" t="str">
        <x:v>numeric coverage for applicable metric</x:v>
      </x:c>
      <x:c r="N1687" s="34" t="str">
        <x:v>Feedback-Directed Random Test Generation/Result_Round2/Time_4/result.json</x:v>
      </x:c>
      <x:c r="O1687" s="38" t="n">
        <x:f>IF(AND(G1687="RECORDED",ISNUMBER(H1687)),H1687,"")</x:f>
        <x:v>48.19</x:v>
      </x:c>
      <x:c r="P1687" s="34" t="str">
        <x:v>INCONCLUSIVE</x:v>
      </x:c>
      <x:c r="Q1687" s="34" t="str">
        <x:v>Feedback-Directed Random Test Generation/Result_Round2/Time_4/result.json</x:v>
      </x:c>
    </x:row>
    <x:row r="1688">
      <x:c r="A1688" s="34" t="str">
        <x:v>randoop</x:v>
      </x:c>
      <x:c r="B1688" s="34" t="str">
        <x:v>Time</x:v>
      </x:c>
      <x:c r="C1688" s="34" t="str">
        <x:v>Round2</x:v>
      </x:c>
      <x:c r="D1688" s="34" t="str">
        <x:v>Time_5</x:v>
      </x:c>
      <x:c r="E1688" s="34" t="str">
        <x:v>Coverage</x:v>
      </x:c>
      <x:c r="F1688" s="34" t="n">
        <x:v>345</x:v>
      </x:c>
      <x:c r="G1688" s="34" t="str">
        <x:v>RECORDED</x:v>
      </x:c>
      <x:c r="H1688" s="38" t="n">
        <x:f>IF(ISNUMBER('Data'!G1688),'Data'!G1688*100,"")</x:f>
        <x:v>91.59</x:v>
      </x:c>
      <x:c r="I1688" s="34" t="str">
        <x:v>PASS</x:v>
      </x:c>
      <x:c r="J1688" s="34" t="str">
        <x:v>PASS</x:v>
      </x:c>
      <x:c r="K1688" s="34" t="str">
        <x:v>PASS</x:v>
      </x:c>
      <x:c r="L1688" s="34" t="str">
        <x:v>FAIL</x:v>
      </x:c>
      <x:c r="M1688" s="34" t="str">
        <x:v>numeric coverage for applicable metric</x:v>
      </x:c>
      <x:c r="N1688" s="34" t="str">
        <x:v>Feedback-Directed Random Test Generation/Result_Round2/Time_5/result.json</x:v>
      </x:c>
      <x:c r="O1688" s="38" t="n">
        <x:f>IF(AND(G1688="RECORDED",ISNUMBER(H1688)),H1688,"")</x:f>
        <x:v>91.59</x:v>
      </x:c>
      <x:c r="P1688" s="34" t="str">
        <x:v>INCONCLUSIVE</x:v>
      </x:c>
      <x:c r="Q1688" s="34" t="str">
        <x:v>Feedback-Directed Random Test Generation/Result_Round2/Time_5/result.json</x:v>
      </x:c>
    </x:row>
    <x:row r="1689">
      <x:c r="A1689" s="34" t="str">
        <x:v>randoop</x:v>
      </x:c>
      <x:c r="B1689" s="34" t="str">
        <x:v>Time</x:v>
      </x:c>
      <x:c r="C1689" s="34" t="str">
        <x:v>Round2</x:v>
      </x:c>
      <x:c r="D1689" s="34" t="str">
        <x:v>Time_6</x:v>
      </x:c>
      <x:c r="E1689" s="34" t="str">
        <x:v>Coverage</x:v>
      </x:c>
      <x:c r="F1689" s="34" t="n">
        <x:v>529</x:v>
      </x:c>
      <x:c r="G1689" s="34" t="str">
        <x:v>RECORDED</x:v>
      </x:c>
      <x:c r="H1689" s="38" t="n">
        <x:f>IF(ISNUMBER('Data'!G1689),'Data'!G1689*100,"")</x:f>
        <x:v>49.15</x:v>
      </x:c>
      <x:c r="I1689" s="34" t="str">
        <x:v>PASS</x:v>
      </x:c>
      <x:c r="J1689" s="34" t="str">
        <x:v>PASS</x:v>
      </x:c>
      <x:c r="K1689" s="34" t="str">
        <x:v>PASS</x:v>
      </x:c>
      <x:c r="L1689" s="34" t="str">
        <x:v>FAIL</x:v>
      </x:c>
      <x:c r="M1689" s="34" t="str">
        <x:v>numeric coverage for applicable metric</x:v>
      </x:c>
      <x:c r="N1689" s="34" t="str">
        <x:v>Feedback-Directed Random Test Generation/Result_Round2/Time_6/result.json</x:v>
      </x:c>
      <x:c r="O1689" s="38" t="n">
        <x:f>IF(AND(G1689="RECORDED",ISNUMBER(H1689)),H1689,"")</x:f>
        <x:v>49.15</x:v>
      </x:c>
      <x:c r="P1689" s="34" t="str">
        <x:v>INCONCLUSIVE</x:v>
      </x:c>
      <x:c r="Q1689" s="34" t="str">
        <x:v>Feedback-Directed Random Test Generation/Result_Round2/Time_6/result.json</x:v>
      </x:c>
    </x:row>
    <x:row r="1690">
      <x:c r="A1690" s="34" t="str">
        <x:v>randoop</x:v>
      </x:c>
      <x:c r="B1690" s="34" t="str">
        <x:v>Time</x:v>
      </x:c>
      <x:c r="C1690" s="34" t="str">
        <x:v>Round2</x:v>
      </x:c>
      <x:c r="D1690" s="34" t="str">
        <x:v>Time_7</x:v>
      </x:c>
      <x:c r="E1690" s="34" t="str">
        <x:v>Coverage</x:v>
      </x:c>
      <x:c r="F1690" s="34" t="n">
        <x:v>296</x:v>
      </x:c>
      <x:c r="G1690" s="34" t="str">
        <x:v>RECORDED</x:v>
      </x:c>
      <x:c r="H1690" s="38" t="n">
        <x:f>IF(ISNUMBER('Data'!G1690),'Data'!G1690*100,"")</x:f>
        <x:v>31.759999999999998</x:v>
      </x:c>
      <x:c r="I1690" s="34" t="str">
        <x:v>PASS</x:v>
      </x:c>
      <x:c r="J1690" s="34" t="str">
        <x:v>PASS</x:v>
      </x:c>
      <x:c r="K1690" s="34" t="str">
        <x:v>PASS</x:v>
      </x:c>
      <x:c r="L1690" s="34" t="str">
        <x:v>PASS</x:v>
      </x:c>
      <x:c r="M1690" s="34" t="str">
        <x:v>numeric coverage for applicable metric</x:v>
      </x:c>
      <x:c r="N1690" s="34" t="str">
        <x:v>Feedback-Directed Random Test Generation/Result_Round2/Time_7/result.json</x:v>
      </x:c>
      <x:c r="O1690" s="38" t="n">
        <x:f>IF(AND(G1690="RECORDED",ISNUMBER(H1690)),H1690,"")</x:f>
        <x:v>31.759999999999998</x:v>
      </x:c>
      <x:c r="P1690" s="34" t="str">
        <x:v>NOT_REVEALING</x:v>
      </x:c>
      <x:c r="Q1690" s="34" t="str">
        <x:v>Feedback-Directed Random Test Generation/Result_Round2/Time_7/result.json</x:v>
      </x:c>
    </x:row>
    <x:row r="1691">
      <x:c r="A1691" s="34" t="str">
        <x:v>randoop</x:v>
      </x:c>
      <x:c r="B1691" s="34" t="str">
        <x:v>Time</x:v>
      </x:c>
      <x:c r="C1691" s="34" t="str">
        <x:v>Round2</x:v>
      </x:c>
      <x:c r="D1691" s="34" t="str">
        <x:v>Time_8</x:v>
      </x:c>
      <x:c r="E1691" s="34" t="str">
        <x:v>Coverage</x:v>
      </x:c>
      <x:c r="F1691" s="34" t="n">
        <x:v>533</x:v>
      </x:c>
      <x:c r="G1691" s="34" t="str">
        <x:v>RECORDED</x:v>
      </x:c>
      <x:c r="H1691" s="38" t="n">
        <x:f>IF(ISNUMBER('Data'!G1691),'Data'!G1691*100,"")</x:f>
        <x:v>73.36</x:v>
      </x:c>
      <x:c r="I1691" s="34" t="str">
        <x:v>PASS</x:v>
      </x:c>
      <x:c r="J1691" s="34" t="str">
        <x:v>PASS</x:v>
      </x:c>
      <x:c r="K1691" s="34" t="str">
        <x:v>PASS</x:v>
      </x:c>
      <x:c r="L1691" s="34" t="str">
        <x:v>FAIL</x:v>
      </x:c>
      <x:c r="M1691" s="34" t="str">
        <x:v>numeric coverage for applicable metric</x:v>
      </x:c>
      <x:c r="N1691" s="34" t="str">
        <x:v>Feedback-Directed Random Test Generation/Result_Round2/Time_8/result.json</x:v>
      </x:c>
      <x:c r="O1691" s="38" t="n">
        <x:f>IF(AND(G1691="RECORDED",ISNUMBER(H1691)),H1691,"")</x:f>
        <x:v>73.36</x:v>
      </x:c>
      <x:c r="P1691" s="34" t="str">
        <x:v>INCONCLUSIVE</x:v>
      </x:c>
      <x:c r="Q1691" s="34" t="str">
        <x:v>Feedback-Directed Random Test Generation/Result_Round2/Time_8/result.json</x:v>
      </x:c>
    </x:row>
    <x:row r="1692">
      <x:c r="A1692" s="34" t="str">
        <x:v>randoop</x:v>
      </x:c>
      <x:c r="B1692" s="34" t="str">
        <x:v>Time</x:v>
      </x:c>
      <x:c r="C1692" s="34" t="str">
        <x:v>Round2</x:v>
      </x:c>
      <x:c r="D1692" s="34" t="str">
        <x:v>Time_9</x:v>
      </x:c>
      <x:c r="E1692" s="34" t="str">
        <x:v>Coverage</x:v>
      </x:c>
      <x:c r="F1692" s="34" t="n">
        <x:v>521</x:v>
      </x:c>
      <x:c r="G1692" s="34" t="str">
        <x:v>RECORDED</x:v>
      </x:c>
      <x:c r="H1692" s="38" t="n">
        <x:f>IF(ISNUMBER('Data'!G1692),'Data'!G1692*100,"")</x:f>
        <x:v>71.98</x:v>
      </x:c>
      <x:c r="I1692" s="34" t="str">
        <x:v>PASS</x:v>
      </x:c>
      <x:c r="J1692" s="34" t="str">
        <x:v>PASS</x:v>
      </x:c>
      <x:c r="K1692" s="34" t="str">
        <x:v>PASS</x:v>
      </x:c>
      <x:c r="L1692" s="34" t="str">
        <x:v>FAIL</x:v>
      </x:c>
      <x:c r="M1692" s="34" t="str">
        <x:v>numeric coverage for applicable metric</x:v>
      </x:c>
      <x:c r="N1692" s="34" t="str">
        <x:v>Feedback-Directed Random Test Generation/Result_Round2/Time_9/result.json</x:v>
      </x:c>
      <x:c r="O1692" s="38" t="n">
        <x:f>IF(AND(G1692="RECORDED",ISNUMBER(H1692)),H1692,"")</x:f>
        <x:v>71.98</x:v>
      </x:c>
      <x:c r="P1692" s="34" t="str">
        <x:v>INCONCLUSIVE</x:v>
      </x:c>
      <x:c r="Q1692" s="34" t="str">
        <x:v>Feedback-Directed Random Test Generation/Result_Round2/Time_9/result.json</x:v>
      </x:c>
    </x:row>
    <x:row r="1693">
      <x:c r="A1693" s="34" t="str">
        <x:v>randoop</x:v>
      </x:c>
      <x:c r="B1693" s="34" t="str">
        <x:v>Time</x:v>
      </x:c>
      <x:c r="C1693" s="34" t="str">
        <x:v>Round2</x:v>
      </x:c>
      <x:c r="D1693" s="34" t="str">
        <x:v>Time_10</x:v>
      </x:c>
      <x:c r="E1693" s="34" t="str">
        <x:v>Coverage</x:v>
      </x:c>
      <x:c r="F1693" s="34" t="n">
        <x:v>117</x:v>
      </x:c>
      <x:c r="G1693" s="34" t="str">
        <x:v>RECORDED</x:v>
      </x:c>
      <x:c r="H1693" s="38" t="n">
        <x:f>IF(ISNUMBER('Data'!G1693),'Data'!G1693*100,"")</x:f>
        <x:v>7.690000000000001</x:v>
      </x:c>
      <x:c r="I1693" s="34" t="str">
        <x:v>PASS</x:v>
      </x:c>
      <x:c r="J1693" s="34" t="str">
        <x:v>PASS</x:v>
      </x:c>
      <x:c r="K1693" s="34" t="str">
        <x:v>PASS</x:v>
      </x:c>
      <x:c r="L1693" s="34" t="str">
        <x:v>PASS</x:v>
      </x:c>
      <x:c r="M1693" s="34" t="str">
        <x:v>numeric coverage for applicable metric</x:v>
      </x:c>
      <x:c r="N1693" s="34" t="str">
        <x:v>Feedback-Directed Random Test Generation/Result_Round2/Time_10/result.json</x:v>
      </x:c>
      <x:c r="O1693" s="38" t="n">
        <x:f>IF(AND(G1693="RECORDED",ISNUMBER(H1693)),H1693,"")</x:f>
        <x:v>7.690000000000001</x:v>
      </x:c>
      <x:c r="P1693" s="34" t="str">
        <x:v>NOT_REVEALING</x:v>
      </x:c>
      <x:c r="Q1693" s="34" t="str">
        <x:v>Feedback-Directed Random Test Generation/Result_Round2/Time_10/result.json</x:v>
      </x:c>
    </x:row>
    <x:row r="1694">
      <x:c r="A1694" s="34" t="str">
        <x:v>randoop</x:v>
      </x:c>
      <x:c r="B1694" s="34" t="str">
        <x:v>Time</x:v>
      </x:c>
      <x:c r="C1694" s="34" t="str">
        <x:v>Round2</x:v>
      </x:c>
      <x:c r="D1694" s="34" t="str">
        <x:v>Time_11</x:v>
      </x:c>
      <x:c r="E1694" s="34" t="str">
        <x:v>Coverage</x:v>
      </x:c>
      <x:c r="F1694" s="34" t="n">
        <x:v>586</x:v>
      </x:c>
      <x:c r="G1694" s="34" t="str">
        <x:v>RECORDED</x:v>
      </x:c>
      <x:c r="H1694" s="38" t="n">
        <x:f>IF(ISNUMBER('Data'!G1694),'Data'!G1694*100,"")</x:f>
        <x:v>16.38</x:v>
      </x:c>
      <x:c r="I1694" s="34" t="str">
        <x:v>PASS</x:v>
      </x:c>
      <x:c r="J1694" s="34" t="str">
        <x:v>PASS</x:v>
      </x:c>
      <x:c r="K1694" s="34" t="str">
        <x:v>PASS</x:v>
      </x:c>
      <x:c r="L1694" s="34" t="str">
        <x:v>PASS</x:v>
      </x:c>
      <x:c r="M1694" s="34" t="str">
        <x:v>numeric coverage for applicable metric</x:v>
      </x:c>
      <x:c r="N1694" s="34" t="str">
        <x:v>Feedback-Directed Random Test Generation/Result_Round2/Time_11/result.json</x:v>
      </x:c>
      <x:c r="O1694" s="38" t="n">
        <x:f>IF(AND(G1694="RECORDED",ISNUMBER(H1694)),H1694,"")</x:f>
        <x:v>16.38</x:v>
      </x:c>
      <x:c r="P1694" s="34" t="str">
        <x:v>NOT_REVEALING</x:v>
      </x:c>
      <x:c r="Q1694" s="34" t="str">
        <x:v>Feedback-Directed Random Test Generation/Result_Round2/Time_11/result.json</x:v>
      </x:c>
    </x:row>
    <x:row r="1695">
      <x:c r="A1695" s="34" t="str">
        <x:v>randoop</x:v>
      </x:c>
      <x:c r="B1695" s="34" t="str">
        <x:v>Time</x:v>
      </x:c>
      <x:c r="C1695" s="34" t="str">
        <x:v>Round2</x:v>
      </x:c>
      <x:c r="D1695" s="34" t="str">
        <x:v>Time_12</x:v>
      </x:c>
      <x:c r="E1695" s="34" t="str">
        <x:v>Coverage</x:v>
      </x:c>
      <x:c r="F1695" s="34" t="n">
        <x:v>900</x:v>
      </x:c>
      <x:c r="G1695" s="34" t="str">
        <x:v>RECORDED</x:v>
      </x:c>
      <x:c r="H1695" s="38" t="n">
        <x:f>IF(ISNUMBER('Data'!G1695),'Data'!G1695*100,"")</x:f>
        <x:v>79.11</x:v>
      </x:c>
      <x:c r="I1695" s="34" t="str">
        <x:v>PASS</x:v>
      </x:c>
      <x:c r="J1695" s="34" t="str">
        <x:v>PASS</x:v>
      </x:c>
      <x:c r="K1695" s="34" t="str">
        <x:v>PASS</x:v>
      </x:c>
      <x:c r="L1695" s="34" t="str">
        <x:v>FAIL</x:v>
      </x:c>
      <x:c r="M1695" s="34" t="str">
        <x:v>numeric coverage for applicable metric</x:v>
      </x:c>
      <x:c r="N1695" s="34" t="str">
        <x:v>Feedback-Directed Random Test Generation/Result_Round2/Time_12/result.json</x:v>
      </x:c>
      <x:c r="O1695" s="38" t="n">
        <x:f>IF(AND(G1695="RECORDED",ISNUMBER(H1695)),H1695,"")</x:f>
        <x:v>79.11</x:v>
      </x:c>
      <x:c r="P1695" s="34" t="str">
        <x:v>INCONCLUSIVE</x:v>
      </x:c>
      <x:c r="Q1695" s="34" t="str">
        <x:v>Feedback-Directed Random Test Generation/Result_Round2/Time_12/result.json</x:v>
      </x:c>
    </x:row>
    <x:row r="1696">
      <x:c r="A1696" s="34" t="str">
        <x:v>randoop</x:v>
      </x:c>
      <x:c r="B1696" s="34" t="str">
        <x:v>Time</x:v>
      </x:c>
      <x:c r="C1696" s="34" t="str">
        <x:v>Round2</x:v>
      </x:c>
      <x:c r="D1696" s="34" t="str">
        <x:v>Time_13</x:v>
      </x:c>
      <x:c r="E1696" s="34" t="str">
        <x:v>Coverage</x:v>
      </x:c>
      <x:c r="F1696" s="34" t="n">
        <x:v>1124</x:v>
      </x:c>
      <x:c r="G1696" s="34" t="str">
        <x:v>RECORDED</x:v>
      </x:c>
      <x:c r="H1696" s="38" t="n">
        <x:f>IF(ISNUMBER('Data'!G1696),'Data'!G1696*100,"")</x:f>
        <x:v>49.29</x:v>
      </x:c>
      <x:c r="I1696" s="34" t="str">
        <x:v>PASS</x:v>
      </x:c>
      <x:c r="J1696" s="34" t="str">
        <x:v>PASS</x:v>
      </x:c>
      <x:c r="K1696" s="34" t="str">
        <x:v>PASS</x:v>
      </x:c>
      <x:c r="L1696" s="34" t="str">
        <x:v>PASS</x:v>
      </x:c>
      <x:c r="M1696" s="34" t="str">
        <x:v>numeric coverage for applicable metric</x:v>
      </x:c>
      <x:c r="N1696" s="34" t="str">
        <x:v>Feedback-Directed Random Test Generation/Result_Round2/Time_13/result.json</x:v>
      </x:c>
      <x:c r="O1696" s="38" t="n">
        <x:f>IF(AND(G1696="RECORDED",ISNUMBER(H1696)),H1696,"")</x:f>
        <x:v>49.29</x:v>
      </x:c>
      <x:c r="P1696" s="34" t="str">
        <x:v>NOT_REVEALING</x:v>
      </x:c>
      <x:c r="Q1696" s="34" t="str">
        <x:v>Feedback-Directed Random Test Generation/Result_Round2/Time_13/result.json</x:v>
      </x:c>
    </x:row>
    <x:row r="1697">
      <x:c r="A1697" s="34" t="str">
        <x:v>randoop</x:v>
      </x:c>
      <x:c r="B1697" s="34" t="str">
        <x:v>Time</x:v>
      </x:c>
      <x:c r="C1697" s="34" t="str">
        <x:v>Round2</x:v>
      </x:c>
      <x:c r="D1697" s="34" t="str">
        <x:v>Time_14</x:v>
      </x:c>
      <x:c r="E1697" s="34" t="str">
        <x:v>Coverage</x:v>
      </x:c>
      <x:c r="F1697" s="34" t="n">
        <x:v>160</x:v>
      </x:c>
      <x:c r="G1697" s="34" t="str">
        <x:v>RECORDED</x:v>
      </x:c>
      <x:c r="H1697" s="38" t="n">
        <x:f>IF(ISNUMBER('Data'!G1697),'Data'!G1697*100,"")</x:f>
        <x:v>0.62</x:v>
      </x:c>
      <x:c r="I1697" s="34" t="str">
        <x:v>PASS</x:v>
      </x:c>
      <x:c r="J1697" s="34" t="str">
        <x:v>PASS</x:v>
      </x:c>
      <x:c r="K1697" s="34" t="str">
        <x:v>PASS</x:v>
      </x:c>
      <x:c r="L1697" s="34" t="str">
        <x:v>PASS</x:v>
      </x:c>
      <x:c r="M1697" s="34" t="str">
        <x:v>numeric coverage for applicable metric</x:v>
      </x:c>
      <x:c r="N1697" s="34" t="str">
        <x:v>Feedback-Directed Random Test Generation/Result_Round2/Time_14/result.json</x:v>
      </x:c>
      <x:c r="O1697" s="38" t="n">
        <x:f>IF(AND(G1697="RECORDED",ISNUMBER(H1697)),H1697,"")</x:f>
        <x:v>0.62</x:v>
      </x:c>
      <x:c r="P1697" s="34" t="str">
        <x:v>NOT_REVEALING</x:v>
      </x:c>
      <x:c r="Q1697" s="34" t="str">
        <x:v>Feedback-Directed Random Test Generation/Result_Round2/Time_14/result.json</x:v>
      </x:c>
    </x:row>
    <x:row r="1698">
      <x:c r="A1698" s="34" t="str">
        <x:v>randoop</x:v>
      </x:c>
      <x:c r="B1698" s="34" t="str">
        <x:v>Time</x:v>
      </x:c>
      <x:c r="C1698" s="34" t="str">
        <x:v>Round2</x:v>
      </x:c>
      <x:c r="D1698" s="34" t="str">
        <x:v>Time_15</x:v>
      </x:c>
      <x:c r="E1698" s="34" t="str">
        <x:v>Coverage</x:v>
      </x:c>
      <x:c r="F1698" s="34" t="n">
        <x:v>145</x:v>
      </x:c>
      <x:c r="G1698" s="34" t="str">
        <x:v>RECORDED</x:v>
      </x:c>
      <x:c r="H1698" s="38" t="n">
        <x:f>IF(ISNUMBER('Data'!G1698),'Data'!G1698*100,"")</x:f>
        <x:v>88.28</x:v>
      </x:c>
      <x:c r="I1698" s="34" t="str">
        <x:v>PASS</x:v>
      </x:c>
      <x:c r="J1698" s="34" t="str">
        <x:v>PASS</x:v>
      </x:c>
      <x:c r="K1698" s="34" t="str">
        <x:v>PASS</x:v>
      </x:c>
      <x:c r="L1698" s="34" t="str">
        <x:v>PASS</x:v>
      </x:c>
      <x:c r="M1698" s="34" t="str">
        <x:v>numeric coverage for applicable metric</x:v>
      </x:c>
      <x:c r="N1698" s="34" t="str">
        <x:v>Feedback-Directed Random Test Generation/Result_Round2/Time_15/result.json</x:v>
      </x:c>
      <x:c r="O1698" s="38" t="n">
        <x:f>IF(AND(G1698="RECORDED",ISNUMBER(H1698)),H1698,"")</x:f>
        <x:v>88.28</x:v>
      </x:c>
      <x:c r="P1698" s="34" t="str">
        <x:v>NOT_REVEALING</x:v>
      </x:c>
      <x:c r="Q1698" s="34" t="str">
        <x:v>Feedback-Directed Random Test Generation/Result_Round2/Time_15/result.json</x:v>
      </x:c>
    </x:row>
    <x:row r="1699">
      <x:c r="A1699" s="34" t="str">
        <x:v>randoop</x:v>
      </x:c>
      <x:c r="B1699" s="34" t="str">
        <x:v>Time</x:v>
      </x:c>
      <x:c r="C1699" s="34" t="str">
        <x:v>Round2</x:v>
      </x:c>
      <x:c r="D1699" s="34" t="str">
        <x:v>Time_16</x:v>
      </x:c>
      <x:c r="E1699" s="34" t="str">
        <x:v>Coverage</x:v>
      </x:c>
      <x:c r="F1699" s="34" t="n">
        <x:v>295</x:v>
      </x:c>
      <x:c r="G1699" s="34" t="str">
        <x:v>RECORDED</x:v>
      </x:c>
      <x:c r="H1699" s="38" t="n">
        <x:f>IF(ISNUMBER('Data'!G1699),'Data'!G1699*100,"")</x:f>
        <x:v>31.86</x:v>
      </x:c>
      <x:c r="I1699" s="34" t="str">
        <x:v>PASS</x:v>
      </x:c>
      <x:c r="J1699" s="34" t="str">
        <x:v>PASS</x:v>
      </x:c>
      <x:c r="K1699" s="34" t="str">
        <x:v>PASS</x:v>
      </x:c>
      <x:c r="L1699" s="34" t="str">
        <x:v>PASS</x:v>
      </x:c>
      <x:c r="M1699" s="34" t="str">
        <x:v>numeric coverage for applicable metric</x:v>
      </x:c>
      <x:c r="N1699" s="34" t="str">
        <x:v>Feedback-Directed Random Test Generation/Result_Round2/Time_16/result.json</x:v>
      </x:c>
      <x:c r="O1699" s="38" t="n">
        <x:f>IF(AND(G1699="RECORDED",ISNUMBER(H1699)),H1699,"")</x:f>
        <x:v>31.86</x:v>
      </x:c>
      <x:c r="P1699" s="34" t="str">
        <x:v>NOT_REVEALING</x:v>
      </x:c>
      <x:c r="Q1699" s="34" t="str">
        <x:v>Feedback-Directed Random Test Generation/Result_Round2/Time_16/result.json</x:v>
      </x:c>
    </x:row>
    <x:row r="1700">
      <x:c r="A1700" s="34" t="str">
        <x:v>randoop</x:v>
      </x:c>
      <x:c r="B1700" s="34" t="str">
        <x:v>Time</x:v>
      </x:c>
      <x:c r="C1700" s="34" t="str">
        <x:v>Round2</x:v>
      </x:c>
      <x:c r="D1700" s="34" t="str">
        <x:v>Time_17</x:v>
      </x:c>
      <x:c r="E1700" s="34" t="str">
        <x:v>Coverage</x:v>
      </x:c>
      <x:c r="F1700" s="34" t="n">
        <x:v>505</x:v>
      </x:c>
      <x:c r="G1700" s="34" t="str">
        <x:v>RECORDED</x:v>
      </x:c>
      <x:c r="H1700" s="38" t="n">
        <x:f>IF(ISNUMBER('Data'!G1700),'Data'!G1700*100,"")</x:f>
        <x:v>74.85</x:v>
      </x:c>
      <x:c r="I1700" s="34" t="str">
        <x:v>PASS</x:v>
      </x:c>
      <x:c r="J1700" s="34" t="str">
        <x:v>PASS</x:v>
      </x:c>
      <x:c r="K1700" s="34" t="str">
        <x:v>PASS</x:v>
      </x:c>
      <x:c r="L1700" s="34" t="str">
        <x:v>FAIL</x:v>
      </x:c>
      <x:c r="M1700" s="34" t="str">
        <x:v>numeric coverage for applicable metric</x:v>
      </x:c>
      <x:c r="N1700" s="34" t="str">
        <x:v>Feedback-Directed Random Test Generation/Result_Round2/Time_17/result.json</x:v>
      </x:c>
      <x:c r="O1700" s="38" t="n">
        <x:f>IF(AND(G1700="RECORDED",ISNUMBER(H1700)),H1700,"")</x:f>
        <x:v>74.85</x:v>
      </x:c>
      <x:c r="P1700" s="34" t="str">
        <x:v>INCONCLUSIVE</x:v>
      </x:c>
      <x:c r="Q1700" s="34" t="str">
        <x:v>Feedback-Directed Random Test Generation/Result_Round2/Time_17/result.json</x:v>
      </x:c>
    </x:row>
    <x:row r="1701">
      <x:c r="A1701" s="34" t="str">
        <x:v>randoop</x:v>
      </x:c>
      <x:c r="B1701" s="34" t="str">
        <x:v>Time</x:v>
      </x:c>
      <x:c r="C1701" s="34" t="str">
        <x:v>Round2</x:v>
      </x:c>
      <x:c r="D1701" s="34" t="str">
        <x:v>Time_18</x:v>
      </x:c>
      <x:c r="E1701" s="34" t="str">
        <x:v>Coverage</x:v>
      </x:c>
      <x:c r="F1701" s="34" t="n">
        <x:v>496</x:v>
      </x:c>
      <x:c r="G1701" s="34" t="str">
        <x:v>RECORDED</x:v>
      </x:c>
      <x:c r="H1701" s="38" t="n">
        <x:f>IF(ISNUMBER('Data'!G1701),'Data'!G1701*100,"")</x:f>
        <x:v>47.78</x:v>
      </x:c>
      <x:c r="I1701" s="34" t="str">
        <x:v>PASS</x:v>
      </x:c>
      <x:c r="J1701" s="34" t="str">
        <x:v>PASS</x:v>
      </x:c>
      <x:c r="K1701" s="34" t="str">
        <x:v>PASS</x:v>
      </x:c>
      <x:c r="L1701" s="34" t="str">
        <x:v>FAIL</x:v>
      </x:c>
      <x:c r="M1701" s="34" t="str">
        <x:v>numeric coverage for applicable metric</x:v>
      </x:c>
      <x:c r="N1701" s="34" t="str">
        <x:v>Feedback-Directed Random Test Generation/Result_Round2/Time_18/result.json</x:v>
      </x:c>
      <x:c r="O1701" s="38" t="n">
        <x:f>IF(AND(G1701="RECORDED",ISNUMBER(H1701)),H1701,"")</x:f>
        <x:v>47.78</x:v>
      </x:c>
      <x:c r="P1701" s="34" t="str">
        <x:v>INCONCLUSIVE</x:v>
      </x:c>
      <x:c r="Q1701" s="34" t="str">
        <x:v>Feedback-Directed Random Test Generation/Result_Round2/Time_18/result.json</x:v>
      </x:c>
    </x:row>
    <x:row r="1702">
      <x:c r="A1702" s="34" t="str">
        <x:v>randoop</x:v>
      </x:c>
      <x:c r="B1702" s="34" t="str">
        <x:v>Time</x:v>
      </x:c>
      <x:c r="C1702" s="34" t="str">
        <x:v>Round2</x:v>
      </x:c>
      <x:c r="D1702" s="34" t="str">
        <x:v>Time_19</x:v>
      </x:c>
      <x:c r="E1702" s="34" t="str">
        <x:v>Coverage</x:v>
      </x:c>
      <x:c r="F1702" s="34" t="n">
        <x:v>505</x:v>
      </x:c>
      <x:c r="G1702" s="34" t="str">
        <x:v>RECORDED</x:v>
      </x:c>
      <x:c r="H1702" s="38" t="n">
        <x:f>IF(ISNUMBER('Data'!G1702),'Data'!G1702*100,"")</x:f>
        <x:v>74.85</x:v>
      </x:c>
      <x:c r="I1702" s="34" t="str">
        <x:v>PASS</x:v>
      </x:c>
      <x:c r="J1702" s="34" t="str">
        <x:v>PASS</x:v>
      </x:c>
      <x:c r="K1702" s="34" t="str">
        <x:v>PASS</x:v>
      </x:c>
      <x:c r="L1702" s="34" t="str">
        <x:v>FAIL</x:v>
      </x:c>
      <x:c r="M1702" s="34" t="str">
        <x:v>numeric coverage for applicable metric</x:v>
      </x:c>
      <x:c r="N1702" s="34" t="str">
        <x:v>Feedback-Directed Random Test Generation/Result_Round2/Time_19/result.json</x:v>
      </x:c>
      <x:c r="O1702" s="38" t="n">
        <x:f>IF(AND(G1702="RECORDED",ISNUMBER(H1702)),H1702,"")</x:f>
        <x:v>74.85</x:v>
      </x:c>
      <x:c r="P1702" s="34" t="str">
        <x:v>INCONCLUSIVE</x:v>
      </x:c>
      <x:c r="Q1702" s="34" t="str">
        <x:v>Feedback-Directed Random Test Generation/Result_Round2/Time_19/result.json</x:v>
      </x:c>
    </x:row>
    <x:row r="1703">
      <x:c r="A1703" s="34" t="str">
        <x:v>randoop</x:v>
      </x:c>
      <x:c r="B1703" s="34" t="str">
        <x:v>Time</x:v>
      </x:c>
      <x:c r="C1703" s="34" t="str">
        <x:v>Round2</x:v>
      </x:c>
      <x:c r="D1703" s="34" t="str">
        <x:v>Time_20</x:v>
      </x:c>
      <x:c r="E1703" s="34" t="str">
        <x:v>Coverage</x:v>
      </x:c>
      <x:c r="F1703" s="34" t="n">
        <x:v>1622</x:v>
      </x:c>
      <x:c r="G1703" s="34" t="str">
        <x:v>RECORDED</x:v>
      </x:c>
      <x:c r="H1703" s="38" t="n">
        <x:f>IF(ISNUMBER('Data'!G1703),'Data'!G1703*100,"")</x:f>
        <x:v>41.49</x:v>
      </x:c>
      <x:c r="I1703" s="34" t="str">
        <x:v>PASS</x:v>
      </x:c>
      <x:c r="J1703" s="34" t="str">
        <x:v>PASS</x:v>
      </x:c>
      <x:c r="K1703" s="34" t="str">
        <x:v>PASS</x:v>
      </x:c>
      <x:c r="L1703" s="34" t="str">
        <x:v>PASS</x:v>
      </x:c>
      <x:c r="M1703" s="34" t="str">
        <x:v>numeric coverage for applicable metric</x:v>
      </x:c>
      <x:c r="N1703" s="34" t="str">
        <x:v>Feedback-Directed Random Test Generation/Result_Round2/Time_20/result.json</x:v>
      </x:c>
      <x:c r="O1703" s="38" t="n">
        <x:f>IF(AND(G1703="RECORDED",ISNUMBER(H1703)),H1703,"")</x:f>
        <x:v>41.49</x:v>
      </x:c>
      <x:c r="P1703" s="34" t="str">
        <x:v>NOT_REVEALING</x:v>
      </x:c>
      <x:c r="Q1703" s="34" t="str">
        <x:v>Feedback-Directed Random Test Generation/Result_Round2/Time_20/result.json</x:v>
      </x:c>
    </x:row>
    <x:row r="1704">
      <x:c r="A1704" s="34" t="str">
        <x:v>randoop</x:v>
      </x:c>
      <x:c r="B1704" s="34" t="str">
        <x:v>Time</x:v>
      </x:c>
      <x:c r="C1704" s="34" t="str">
        <x:v>Round2</x:v>
      </x:c>
      <x:c r="D1704" s="34" t="str">
        <x:v>Time_22</x:v>
      </x:c>
      <x:c r="E1704" s="34" t="str">
        <x:v>Coverage</x:v>
      </x:c>
      <x:c r="F1704" s="34" t="n">
        <x:v>229</x:v>
      </x:c>
      <x:c r="G1704" s="34" t="str">
        <x:v>RECORDED</x:v>
      </x:c>
      <x:c r="H1704" s="38" t="n">
        <x:f>IF(ISNUMBER('Data'!G1704),'Data'!G1704*100,"")</x:f>
        <x:v>0</x:v>
      </x:c>
      <x:c r="I1704" s="34" t="str">
        <x:v>PASS</x:v>
      </x:c>
      <x:c r="J1704" s="34" t="str">
        <x:v>PASS</x:v>
      </x:c>
      <x:c r="K1704" s="34" t="str">
        <x:v>PASS</x:v>
      </x:c>
      <x:c r="L1704" s="34" t="str">
        <x:v>PASS</x:v>
      </x:c>
      <x:c r="M1704" s="34" t="str">
        <x:v>numeric coverage for applicable metric</x:v>
      </x:c>
      <x:c r="N1704" s="34" t="str">
        <x:v>Feedback-Directed Random Test Generation/Result_Round2/Time_22/result.json</x:v>
      </x:c>
      <x:c r="O1704" s="38" t="n">
        <x:f>IF(AND(G1704="RECORDED",ISNUMBER(H1704)),H1704,"")</x:f>
        <x:v>0</x:v>
      </x:c>
      <x:c r="P1704" s="34" t="str">
        <x:v>NOT_REVEALING</x:v>
      </x:c>
      <x:c r="Q1704" s="34" t="str">
        <x:v>Feedback-Directed Random Test Generation/Result_Round2/Time_22/result.json</x:v>
      </x:c>
    </x:row>
    <x:row r="1705">
      <x:c r="A1705" s="34" t="str">
        <x:v>randoop</x:v>
      </x:c>
      <x:c r="B1705" s="34" t="str">
        <x:v>Time</x:v>
      </x:c>
      <x:c r="C1705" s="34" t="str">
        <x:v>Round2</x:v>
      </x:c>
      <x:c r="D1705" s="34" t="str">
        <x:v>Time_23</x:v>
      </x:c>
      <x:c r="E1705" s="34" t="str">
        <x:v>Coverage</x:v>
      </x:c>
      <x:c r="F1705" s="34" t="n">
        <x:v>504</x:v>
      </x:c>
      <x:c r="G1705" s="34" t="str">
        <x:v>RECORDED</x:v>
      </x:c>
      <x:c r="H1705" s="38" t="n">
        <x:f>IF(ISNUMBER('Data'!G1705),'Data'!G1705*100,"")</x:f>
        <x:v>74.8</x:v>
      </x:c>
      <x:c r="I1705" s="34" t="str">
        <x:v>PASS</x:v>
      </x:c>
      <x:c r="J1705" s="34" t="str">
        <x:v>PASS</x:v>
      </x:c>
      <x:c r="K1705" s="34" t="str">
        <x:v>PASS</x:v>
      </x:c>
      <x:c r="L1705" s="34" t="str">
        <x:v>FAIL</x:v>
      </x:c>
      <x:c r="M1705" s="34" t="str">
        <x:v>numeric coverage for applicable metric</x:v>
      </x:c>
      <x:c r="N1705" s="34" t="str">
        <x:v>Feedback-Directed Random Test Generation/Result_Round2/Time_23/result.json</x:v>
      </x:c>
      <x:c r="O1705" s="38" t="n">
        <x:f>IF(AND(G1705="RECORDED",ISNUMBER(H1705)),H1705,"")</x:f>
        <x:v>74.8</x:v>
      </x:c>
      <x:c r="P1705" s="34" t="str">
        <x:v>INCONCLUSIVE</x:v>
      </x:c>
      <x:c r="Q1705" s="34" t="str">
        <x:v>Feedback-Directed Random Test Generation/Result_Round2/Time_23/result.json</x:v>
      </x:c>
    </x:row>
    <x:row r="1706">
      <x:c r="A1706" s="34" t="str">
        <x:v>randoop</x:v>
      </x:c>
      <x:c r="B1706" s="34" t="str">
        <x:v>Time</x:v>
      </x:c>
      <x:c r="C1706" s="34" t="str">
        <x:v>Round2</x:v>
      </x:c>
      <x:c r="D1706" s="34" t="str">
        <x:v>Time_24</x:v>
      </x:c>
      <x:c r="E1706" s="34" t="str">
        <x:v>Coverage</x:v>
      </x:c>
      <x:c r="F1706" s="34" t="n">
        <x:v>208</x:v>
      </x:c>
      <x:c r="G1706" s="34" t="str">
        <x:v>RECORDED</x:v>
      </x:c>
      <x:c r="H1706" s="38" t="n">
        <x:f>IF(ISNUMBER('Data'!G1706),'Data'!G1706*100,"")</x:f>
        <x:v>55.77000000000001</x:v>
      </x:c>
      <x:c r="I1706" s="34" t="str">
        <x:v>PASS</x:v>
      </x:c>
      <x:c r="J1706" s="34" t="str">
        <x:v>PASS</x:v>
      </x:c>
      <x:c r="K1706" s="34" t="str">
        <x:v>PASS</x:v>
      </x:c>
      <x:c r="L1706" s="34" t="str">
        <x:v>FAIL</x:v>
      </x:c>
      <x:c r="M1706" s="34" t="str">
        <x:v>numeric coverage for applicable metric</x:v>
      </x:c>
      <x:c r="N1706" s="34" t="str">
        <x:v>Feedback-Directed Random Test Generation/Result_Round2/Time_24/result.json</x:v>
      </x:c>
      <x:c r="O1706" s="38" t="n">
        <x:f>IF(AND(G1706="RECORDED",ISNUMBER(H1706)),H1706,"")</x:f>
        <x:v>55.77000000000001</x:v>
      </x:c>
      <x:c r="P1706" s="34" t="str">
        <x:v>INCONCLUSIVE</x:v>
      </x:c>
      <x:c r="Q1706" s="34" t="str">
        <x:v>Feedback-Directed Random Test Generation/Result_Round2/Time_24/result.json</x:v>
      </x:c>
    </x:row>
    <x:row r="1707">
      <x:c r="A1707" s="34" t="str">
        <x:v>randoop</x:v>
      </x:c>
      <x:c r="B1707" s="34" t="str">
        <x:v>Time</x:v>
      </x:c>
      <x:c r="C1707" s="34" t="str">
        <x:v>Round2</x:v>
      </x:c>
      <x:c r="D1707" s="34" t="str">
        <x:v>Time_25</x:v>
      </x:c>
      <x:c r="E1707" s="34" t="str">
        <x:v>Coverage</x:v>
      </x:c>
      <x:c r="F1707" s="34" t="n">
        <x:v>480</x:v>
      </x:c>
      <x:c r="G1707" s="34" t="str">
        <x:v>RECORDED</x:v>
      </x:c>
      <x:c r="H1707" s="38" t="n">
        <x:f>IF(ISNUMBER('Data'!G1707),'Data'!G1707*100,"")</x:f>
        <x:v>70.21</x:v>
      </x:c>
      <x:c r="I1707" s="34" t="str">
        <x:v>PASS</x:v>
      </x:c>
      <x:c r="J1707" s="34" t="str">
        <x:v>PASS</x:v>
      </x:c>
      <x:c r="K1707" s="34" t="str">
        <x:v>PASS</x:v>
      </x:c>
      <x:c r="L1707" s="34" t="str">
        <x:v>PASS</x:v>
      </x:c>
      <x:c r="M1707" s="34" t="str">
        <x:v>numeric coverage for applicable metric</x:v>
      </x:c>
      <x:c r="N1707" s="34" t="str">
        <x:v>Feedback-Directed Random Test Generation/Result_Round2/Time_25/result.json</x:v>
      </x:c>
      <x:c r="O1707" s="38" t="n">
        <x:f>IF(AND(G1707="RECORDED",ISNUMBER(H1707)),H1707,"")</x:f>
        <x:v>70.21</x:v>
      </x:c>
      <x:c r="P1707" s="34" t="str">
        <x:v>NOT_REVEALING</x:v>
      </x:c>
      <x:c r="Q1707" s="34" t="str">
        <x:v>Feedback-Directed Random Test Generation/Result_Round2/Time_25/result.json</x:v>
      </x:c>
    </x:row>
    <x:row r="1708">
      <x:c r="A1708" s="34" t="str">
        <x:v>randoop</x:v>
      </x:c>
      <x:c r="B1708" s="34" t="str">
        <x:v>Time</x:v>
      </x:c>
      <x:c r="C1708" s="34" t="str">
        <x:v>Round2</x:v>
      </x:c>
      <x:c r="D1708" s="34" t="str">
        <x:v>Time_26</x:v>
      </x:c>
      <x:c r="E1708" s="34" t="str">
        <x:v>Coverage</x:v>
      </x:c>
      <x:c r="F1708" s="34" t="n">
        <x:v>807</x:v>
      </x:c>
      <x:c r="G1708" s="34" t="str">
        <x:v>RECORDED</x:v>
      </x:c>
      <x:c r="H1708" s="38" t="n">
        <x:f>IF(ISNUMBER('Data'!G1708),'Data'!G1708*100,"")</x:f>
        <x:v>44.98</x:v>
      </x:c>
      <x:c r="I1708" s="34" t="str">
        <x:v>PASS</x:v>
      </x:c>
      <x:c r="J1708" s="34" t="str">
        <x:v>PASS</x:v>
      </x:c>
      <x:c r="K1708" s="34" t="str">
        <x:v>PASS</x:v>
      </x:c>
      <x:c r="L1708" s="34" t="str">
        <x:v>FAIL</x:v>
      </x:c>
      <x:c r="M1708" s="34" t="str">
        <x:v>numeric coverage for applicable metric</x:v>
      </x:c>
      <x:c r="N1708" s="34" t="str">
        <x:v>Feedback-Directed Random Test Generation/Result_Round2/Time_26/result.json</x:v>
      </x:c>
      <x:c r="O1708" s="38" t="n">
        <x:f>IF(AND(G1708="RECORDED",ISNUMBER(H1708)),H1708,"")</x:f>
        <x:v>44.98</x:v>
      </x:c>
      <x:c r="P1708" s="34" t="str">
        <x:v>INCONCLUSIVE</x:v>
      </x:c>
      <x:c r="Q1708" s="34" t="str">
        <x:v>Feedback-Directed Random Test Generation/Result_Round2/Time_26/result.json</x:v>
      </x:c>
    </x:row>
    <x:row r="1709">
      <x:c r="A1709" s="34" t="str">
        <x:v>randoop</x:v>
      </x:c>
      <x:c r="B1709" s="34" t="str">
        <x:v>Time</x:v>
      </x:c>
      <x:c r="C1709" s="34" t="str">
        <x:v>Round2</x:v>
      </x:c>
      <x:c r="D1709" s="34" t="str">
        <x:v>Time_27</x:v>
      </x:c>
      <x:c r="E1709" s="34" t="str">
        <x:v>Coverage</x:v>
      </x:c>
      <x:c r="F1709" s="34" t="n">
        <x:v>1116</x:v>
      </x:c>
      <x:c r="G1709" s="34" t="str">
        <x:v>RECORDED</x:v>
      </x:c>
      <x:c r="H1709" s="38" t="n">
        <x:f>IF(ISNUMBER('Data'!G1709),'Data'!G1709*100,"")</x:f>
        <x:v>49.1</x:v>
      </x:c>
      <x:c r="I1709" s="34" t="str">
        <x:v>PASS</x:v>
      </x:c>
      <x:c r="J1709" s="34" t="str">
        <x:v>PASS</x:v>
      </x:c>
      <x:c r="K1709" s="34" t="str">
        <x:v>PASS</x:v>
      </x:c>
      <x:c r="L1709" s="34" t="str">
        <x:v>PASS</x:v>
      </x:c>
      <x:c r="M1709" s="34" t="str">
        <x:v>numeric coverage for applicable metric</x:v>
      </x:c>
      <x:c r="N1709" s="34" t="str">
        <x:v>Feedback-Directed Random Test Generation/Result_Round2/Time_27/result.json</x:v>
      </x:c>
      <x:c r="O1709" s="38" t="n">
        <x:f>IF(AND(G1709="RECORDED",ISNUMBER(H1709)),H1709,"")</x:f>
        <x:v>49.1</x:v>
      </x:c>
      <x:c r="P1709" s="34" t="str">
        <x:v>NOT_REVEALING</x:v>
      </x:c>
      <x:c r="Q1709" s="34" t="str">
        <x:v>Feedback-Directed Random Test Generation/Result_Round2/Time_27/result.json</x:v>
      </x:c>
    </x:row>
    <x:row r="1710">
      <x:c r="A1710" s="34" t="str">
        <x:v>randoop</x:v>
      </x:c>
      <x:c r="B1710" s="34" t="str">
        <x:v>Chart</x:v>
      </x:c>
      <x:c r="C1710" s="34" t="str">
        <x:v>Round1</x:v>
      </x:c>
      <x:c r="D1710" s="34" t="str">
        <x:v>Chart_1</x:v>
      </x:c>
      <x:c r="E1710" s="34" t="str">
        <x:v>Line</x:v>
      </x:c>
      <x:c r="F1710" s="34" t="n">
        <x:v>574</x:v>
      </x:c>
      <x:c r="G1710" s="34" t="str">
        <x:v>RECORDED</x:v>
      </x:c>
      <x:c r="H1710" s="38" t="n">
        <x:f>IF(ISNUMBER('Data'!H2),'Data'!H2*100,"")</x:f>
        <x:v>0</x:v>
      </x:c>
      <x:c r="I1710" s="34" t="str">
        <x:v>PASS</x:v>
      </x:c>
      <x:c r="J1710" s="34" t="str">
        <x:v>PASS</x:v>
      </x:c>
      <x:c r="K1710" s="34" t="str">
        <x:v>PASS</x:v>
      </x:c>
      <x:c r="L1710" s="34" t="str">
        <x:v>PASS</x:v>
      </x:c>
      <x:c r="M1710" s="34" t="str">
        <x:v>numeric coverage for applicable metric</x:v>
      </x:c>
      <x:c r="N1710" s="34" t="str">
        <x:v>Feedback-Directed Random Test Generation/Result/Chart_1/result.json</x:v>
      </x:c>
      <x:c r="O1710" s="38" t="n">
        <x:f>IF(AND(G1710="RECORDED",ISNUMBER(H1710)),H1710,"")</x:f>
        <x:v>0</x:v>
      </x:c>
      <x:c r="P1710" s="34" t="str">
        <x:v>NOT_REVEALING</x:v>
      </x:c>
      <x:c r="Q1710" s="34" t="str">
        <x:v>Feedback-Directed Random Test Generation/Result/Chart_1/result.json</x:v>
      </x:c>
    </x:row>
    <x:row r="1711">
      <x:c r="A1711" s="34" t="str">
        <x:v>randoop</x:v>
      </x:c>
      <x:c r="B1711" s="34" t="str">
        <x:v>Chart</x:v>
      </x:c>
      <x:c r="C1711" s="34" t="str">
        <x:v>Round1</x:v>
      </x:c>
      <x:c r="D1711" s="34" t="str">
        <x:v>Chart_2</x:v>
      </x:c>
      <x:c r="E1711" s="34" t="str">
        <x:v>Line</x:v>
      </x:c>
      <x:c r="F1711" s="34" t="n">
        <x:v>801</x:v>
      </x:c>
      <x:c r="G1711" s="34" t="str">
        <x:v>RECORDED</x:v>
      </x:c>
      <x:c r="H1711" s="38" t="n">
        <x:f>IF(ISNUMBER('Data'!H3),'Data'!H3*100,"")</x:f>
        <x:v>40.32</x:v>
      </x:c>
      <x:c r="I1711" s="34" t="str">
        <x:v>PASS</x:v>
      </x:c>
      <x:c r="J1711" s="34" t="str">
        <x:v>PASS</x:v>
      </x:c>
      <x:c r="K1711" s="34" t="str">
        <x:v>PASS</x:v>
      </x:c>
      <x:c r="L1711" s="34" t="str">
        <x:v>FAIL</x:v>
      </x:c>
      <x:c r="M1711" s="34" t="str">
        <x:v>numeric coverage for applicable metric</x:v>
      </x:c>
      <x:c r="N1711" s="34" t="str">
        <x:v>Feedback-Directed Random Test Generation/Result/Chart_2/result.json</x:v>
      </x:c>
      <x:c r="O1711" s="38" t="n">
        <x:f>IF(AND(G1711="RECORDED",ISNUMBER(H1711)),H1711,"")</x:f>
        <x:v>40.32</x:v>
      </x:c>
      <x:c r="P1711" s="34" t="str">
        <x:v>INCONCLUSIVE</x:v>
      </x:c>
      <x:c r="Q1711" s="34" t="str">
        <x:v>Feedback-Directed Random Test Generation/Result/Chart_2/result.json</x:v>
      </x:c>
    </x:row>
    <x:row r="1712">
      <x:c r="A1712" s="34" t="str">
        <x:v>randoop</x:v>
      </x:c>
      <x:c r="B1712" s="34" t="str">
        <x:v>Chart</x:v>
      </x:c>
      <x:c r="C1712" s="34" t="str">
        <x:v>Round1</x:v>
      </x:c>
      <x:c r="D1712" s="34" t="str">
        <x:v>Chart_3</x:v>
      </x:c>
      <x:c r="E1712" s="34" t="str">
        <x:v>Line</x:v>
      </x:c>
      <x:c r="F1712" s="34" t="n">
        <x:v>380</x:v>
      </x:c>
      <x:c r="G1712" s="34" t="str">
        <x:v>RECORDED</x:v>
      </x:c>
      <x:c r="H1712" s="38" t="n">
        <x:f>IF(ISNUMBER('Data'!H4),'Data'!H4*100,"")</x:f>
        <x:v>30.260000000000005</x:v>
      </x:c>
      <x:c r="I1712" s="34" t="str">
        <x:v>PASS</x:v>
      </x:c>
      <x:c r="J1712" s="34" t="str">
        <x:v>PASS</x:v>
      </x:c>
      <x:c r="K1712" s="34" t="str">
        <x:v>PASS</x:v>
      </x:c>
      <x:c r="L1712" s="34" t="str">
        <x:v>PASS</x:v>
      </x:c>
      <x:c r="M1712" s="34" t="str">
        <x:v>numeric coverage for applicable metric</x:v>
      </x:c>
      <x:c r="N1712" s="34" t="str">
        <x:v>Feedback-Directed Random Test Generation/Result/Chart_3/result.json</x:v>
      </x:c>
      <x:c r="O1712" s="38" t="n">
        <x:f>IF(AND(G1712="RECORDED",ISNUMBER(H1712)),H1712,"")</x:f>
        <x:v>30.260000000000005</x:v>
      </x:c>
      <x:c r="P1712" s="34" t="str">
        <x:v>NOT_REVEALING</x:v>
      </x:c>
      <x:c r="Q1712" s="34" t="str">
        <x:v>Feedback-Directed Random Test Generation/Result/Chart_3/result.json</x:v>
      </x:c>
    </x:row>
    <x:row r="1713">
      <x:c r="A1713" s="34" t="str">
        <x:v>randoop</x:v>
      </x:c>
      <x:c r="B1713" s="34" t="str">
        <x:v>Chart</x:v>
      </x:c>
      <x:c r="C1713" s="34" t="str">
        <x:v>Round1</x:v>
      </x:c>
      <x:c r="D1713" s="34" t="str">
        <x:v>Chart_4</x:v>
      </x:c>
      <x:c r="E1713" s="34" t="str">
        <x:v>Line</x:v>
      </x:c>
      <x:c r="F1713" s="34" t="n">
        <x:v>1808</x:v>
      </x:c>
      <x:c r="G1713" s="34" t="str">
        <x:v>RECORDED</x:v>
      </x:c>
      <x:c r="H1713" s="38" t="n">
        <x:f>IF(ISNUMBER('Data'!H5),'Data'!H5*100,"")</x:f>
        <x:v>50.22</x:v>
      </x:c>
      <x:c r="I1713" s="34" t="str">
        <x:v>PASS</x:v>
      </x:c>
      <x:c r="J1713" s="34" t="str">
        <x:v>PASS</x:v>
      </x:c>
      <x:c r="K1713" s="34" t="str">
        <x:v>PASS</x:v>
      </x:c>
      <x:c r="L1713" s="34" t="str">
        <x:v>FAIL</x:v>
      </x:c>
      <x:c r="M1713" s="34" t="str">
        <x:v>numeric coverage for applicable metric</x:v>
      </x:c>
      <x:c r="N1713" s="34" t="str">
        <x:v>Feedback-Directed Random Test Generation/Result/Chart_4/result.json</x:v>
      </x:c>
      <x:c r="O1713" s="38" t="n">
        <x:f>IF(AND(G1713="RECORDED",ISNUMBER(H1713)),H1713,"")</x:f>
        <x:v>50.22</x:v>
      </x:c>
      <x:c r="P1713" s="34" t="str">
        <x:v>INCONCLUSIVE</x:v>
      </x:c>
      <x:c r="Q1713" s="34" t="str">
        <x:v>Feedback-Directed Random Test Generation/Result/Chart_4/result.json</x:v>
      </x:c>
    </x:row>
    <x:row r="1714">
      <x:c r="A1714" s="34" t="str">
        <x:v>randoop</x:v>
      </x:c>
      <x:c r="B1714" s="34" t="str">
        <x:v>Chart</x:v>
      </x:c>
      <x:c r="C1714" s="34" t="str">
        <x:v>Round1</x:v>
      </x:c>
      <x:c r="D1714" s="34" t="str">
        <x:v>Chart_5</x:v>
      </x:c>
      <x:c r="E1714" s="34" t="str">
        <x:v>Line</x:v>
      </x:c>
      <x:c r="F1714" s="34" t="n">
        <x:v>172</x:v>
      </x:c>
      <x:c r="G1714" s="34" t="str">
        <x:v>RECORDED</x:v>
      </x:c>
      <x:c r="H1714" s="38" t="n">
        <x:f>IF(ISNUMBER('Data'!H6),'Data'!H6*100,"")</x:f>
        <x:v>86.05</x:v>
      </x:c>
      <x:c r="I1714" s="34" t="str">
        <x:v>PASS</x:v>
      </x:c>
      <x:c r="J1714" s="34" t="str">
        <x:v>PASS</x:v>
      </x:c>
      <x:c r="K1714" s="34" t="str">
        <x:v>PASS</x:v>
      </x:c>
      <x:c r="L1714" s="34" t="str">
        <x:v>PASS</x:v>
      </x:c>
      <x:c r="M1714" s="34" t="str">
        <x:v>numeric coverage for applicable metric</x:v>
      </x:c>
      <x:c r="N1714" s="34" t="str">
        <x:v>Feedback-Directed Random Test Generation/Result/Chart_5/result.json</x:v>
      </x:c>
      <x:c r="O1714" s="38" t="n">
        <x:f>IF(AND(G1714="RECORDED",ISNUMBER(H1714)),H1714,"")</x:f>
        <x:v>86.05</x:v>
      </x:c>
      <x:c r="P1714" s="34" t="str">
        <x:v>INCONCLUSIVE</x:v>
      </x:c>
      <x:c r="Q1714" s="34" t="str">
        <x:v>Feedback-Directed Random Test Generation/Result/Chart_5/result.json</x:v>
      </x:c>
    </x:row>
    <x:row r="1715">
      <x:c r="A1715" s="34" t="str">
        <x:v>randoop</x:v>
      </x:c>
      <x:c r="B1715" s="34" t="str">
        <x:v>Chart</x:v>
      </x:c>
      <x:c r="C1715" s="34" t="str">
        <x:v>Round1</x:v>
      </x:c>
      <x:c r="D1715" s="34" t="str">
        <x:v>Chart_6</x:v>
      </x:c>
      <x:c r="E1715" s="34" t="str">
        <x:v>Line</x:v>
      </x:c>
      <x:c r="F1715" s="34" t="n">
        <x:v>29</x:v>
      </x:c>
      <x:c r="G1715" s="34" t="str">
        <x:v>RECORDED</x:v>
      </x:c>
      <x:c r="H1715" s="38" t="n">
        <x:f>IF(ISNUMBER('Data'!H7),'Data'!H7*100,"")</x:f>
        <x:v>37.93</x:v>
      </x:c>
      <x:c r="I1715" s="34" t="str">
        <x:v>PASS</x:v>
      </x:c>
      <x:c r="J1715" s="34" t="str">
        <x:v>PASS</x:v>
      </x:c>
      <x:c r="K1715" s="34" t="str">
        <x:v>PASS</x:v>
      </x:c>
      <x:c r="L1715" s="34" t="str">
        <x:v>FAIL</x:v>
      </x:c>
      <x:c r="M1715" s="34" t="str">
        <x:v>numeric coverage for applicable metric</x:v>
      </x:c>
      <x:c r="N1715" s="34" t="str">
        <x:v>Feedback-Directed Random Test Generation/Result/Chart_6/result.json</x:v>
      </x:c>
      <x:c r="O1715" s="38" t="n">
        <x:f>IF(AND(G1715="RECORDED",ISNUMBER(H1715)),H1715,"")</x:f>
        <x:v>37.93</x:v>
      </x:c>
      <x:c r="P1715" s="34" t="str">
        <x:v>INCONCLUSIVE</x:v>
      </x:c>
      <x:c r="Q1715" s="34" t="str">
        <x:v>Feedback-Directed Random Test Generation/Result/Chart_6/result.json</x:v>
      </x:c>
    </x:row>
    <x:row r="1716">
      <x:c r="A1716" s="34" t="str">
        <x:v>randoop</x:v>
      </x:c>
      <x:c r="B1716" s="34" t="str">
        <x:v>Chart</x:v>
      </x:c>
      <x:c r="C1716" s="34" t="str">
        <x:v>Round1</x:v>
      </x:c>
      <x:c r="D1716" s="34" t="str">
        <x:v>Chart_7</x:v>
      </x:c>
      <x:c r="E1716" s="34" t="str">
        <x:v>Line</x:v>
      </x:c>
      <x:c r="F1716" s="34" t="n">
        <x:v>159</x:v>
      </x:c>
      <x:c r="G1716" s="34" t="str">
        <x:v>RECORDED</x:v>
      </x:c>
      <x:c r="H1716" s="38" t="n">
        <x:f>IF(ISNUMBER('Data'!H8),'Data'!H8*100,"")</x:f>
        <x:v>45.91</x:v>
      </x:c>
      <x:c r="I1716" s="34" t="str">
        <x:v>PASS</x:v>
      </x:c>
      <x:c r="J1716" s="34" t="str">
        <x:v>PASS</x:v>
      </x:c>
      <x:c r="K1716" s="34" t="str">
        <x:v>PASS</x:v>
      </x:c>
      <x:c r="L1716" s="34" t="str">
        <x:v>PASS</x:v>
      </x:c>
      <x:c r="M1716" s="34" t="str">
        <x:v>numeric coverage for applicable metric</x:v>
      </x:c>
      <x:c r="N1716" s="34" t="str">
        <x:v>Feedback-Directed Random Test Generation/Result/Chart_7/result.json</x:v>
      </x:c>
      <x:c r="O1716" s="38" t="n">
        <x:f>IF(AND(G1716="RECORDED",ISNUMBER(H1716)),H1716,"")</x:f>
        <x:v>45.91</x:v>
      </x:c>
      <x:c r="P1716" s="34" t="str">
        <x:v>NOT_REVEALING</x:v>
      </x:c>
      <x:c r="Q1716" s="34" t="str">
        <x:v>Feedback-Directed Random Test Generation/Result/Chart_7/result.json</x:v>
      </x:c>
    </x:row>
    <x:row r="1717">
      <x:c r="A1717" s="34" t="str">
        <x:v>randoop</x:v>
      </x:c>
      <x:c r="B1717" s="34" t="str">
        <x:v>Chart</x:v>
      </x:c>
      <x:c r="C1717" s="34" t="str">
        <x:v>Round1</x:v>
      </x:c>
      <x:c r="D1717" s="34" t="str">
        <x:v>Chart_8</x:v>
      </x:c>
      <x:c r="E1717" s="34" t="str">
        <x:v>Line</x:v>
      </x:c>
      <x:c r="F1717" s="34" t="n">
        <x:v>162</x:v>
      </x:c>
      <x:c r="G1717" s="34" t="str">
        <x:v>RECORDED</x:v>
      </x:c>
      <x:c r="H1717" s="38" t="n">
        <x:f>IF(ISNUMBER('Data'!H9),'Data'!H9*100,"")</x:f>
        <x:v>87.65</x:v>
      </x:c>
      <x:c r="I1717" s="34" t="str">
        <x:v>PASS</x:v>
      </x:c>
      <x:c r="J1717" s="34" t="str">
        <x:v>PASS</x:v>
      </x:c>
      <x:c r="K1717" s="34" t="str">
        <x:v>PASS</x:v>
      </x:c>
      <x:c r="L1717" s="34" t="str">
        <x:v>FAIL</x:v>
      </x:c>
      <x:c r="M1717" s="34" t="str">
        <x:v>numeric coverage for applicable metric</x:v>
      </x:c>
      <x:c r="N1717" s="34" t="str">
        <x:v>Feedback-Directed Random Test Generation/Result/Chart_8/result.json</x:v>
      </x:c>
      <x:c r="O1717" s="38" t="n">
        <x:f>IF(AND(G1717="RECORDED",ISNUMBER(H1717)),H1717,"")</x:f>
        <x:v>87.65</x:v>
      </x:c>
      <x:c r="P1717" s="34" t="str">
        <x:v>INCONCLUSIVE</x:v>
      </x:c>
      <x:c r="Q1717" s="34" t="str">
        <x:v>Feedback-Directed Random Test Generation/Result/Chart_8/result.json</x:v>
      </x:c>
    </x:row>
    <x:row r="1718">
      <x:c r="A1718" s="34" t="str">
        <x:v>randoop</x:v>
      </x:c>
      <x:c r="B1718" s="34" t="str">
        <x:v>Chart</x:v>
      </x:c>
      <x:c r="C1718" s="34" t="str">
        <x:v>Round1</x:v>
      </x:c>
      <x:c r="D1718" s="34" t="str">
        <x:v>Chart_9</x:v>
      </x:c>
      <x:c r="E1718" s="34" t="str">
        <x:v>Line</x:v>
      </x:c>
      <x:c r="F1718" s="34" t="n">
        <x:v>289</x:v>
      </x:c>
      <x:c r="G1718" s="34" t="str">
        <x:v>RECORDED</x:v>
      </x:c>
      <x:c r="H1718" s="38" t="n">
        <x:f>IF(ISNUMBER('Data'!H10),'Data'!H10*100,"")</x:f>
        <x:v>44.98</x:v>
      </x:c>
      <x:c r="I1718" s="34" t="str">
        <x:v>PASS</x:v>
      </x:c>
      <x:c r="J1718" s="34" t="str">
        <x:v>PASS</x:v>
      </x:c>
      <x:c r="K1718" s="34" t="str">
        <x:v>PASS</x:v>
      </x:c>
      <x:c r="L1718" s="34" t="str">
        <x:v>FAIL</x:v>
      </x:c>
      <x:c r="M1718" s="34" t="str">
        <x:v>numeric coverage for applicable metric</x:v>
      </x:c>
      <x:c r="N1718" s="34" t="str">
        <x:v>Feedback-Directed Random Test Generation/Result/Chart_9/result.json</x:v>
      </x:c>
      <x:c r="O1718" s="38" t="n">
        <x:f>IF(AND(G1718="RECORDED",ISNUMBER(H1718)),H1718,"")</x:f>
        <x:v>44.98</x:v>
      </x:c>
      <x:c r="P1718" s="34" t="str">
        <x:v>INCONCLUSIVE</x:v>
      </x:c>
      <x:c r="Q1718" s="34" t="str">
        <x:v>Feedback-Directed Random Test Generation/Result/Chart_9/result.json</x:v>
      </x:c>
    </x:row>
    <x:row r="1719">
      <x:c r="A1719" s="34" t="str">
        <x:v>randoop</x:v>
      </x:c>
      <x:c r="B1719" s="34" t="str">
        <x:v>Chart</x:v>
      </x:c>
      <x:c r="C1719" s="34" t="str">
        <x:v>Round1</x:v>
      </x:c>
      <x:c r="D1719" s="34" t="str">
        <x:v>Chart_10</x:v>
      </x:c>
      <x:c r="E1719" s="34" t="str">
        <x:v>Line</x:v>
      </x:c>
      <x:c r="F1719" s="34" t="n">
        <x:v>3</x:v>
      </x:c>
      <x:c r="G1719" s="34" t="str">
        <x:v>RECORDED</x:v>
      </x:c>
      <x:c r="H1719" s="38" t="n">
        <x:f>IF(ISNUMBER('Data'!H11),'Data'!H11*100,"")</x:f>
        <x:v>100</x:v>
      </x:c>
      <x:c r="I1719" s="34" t="str">
        <x:v>PASS</x:v>
      </x:c>
      <x:c r="J1719" s="34" t="str">
        <x:v>PASS</x:v>
      </x:c>
      <x:c r="K1719" s="34" t="str">
        <x:v>PASS</x:v>
      </x:c>
      <x:c r="L1719" s="34" t="str">
        <x:v>PASS</x:v>
      </x:c>
      <x:c r="M1719" s="34" t="str">
        <x:v>numeric coverage for applicable metric</x:v>
      </x:c>
      <x:c r="N1719" s="34" t="str">
        <x:v>Feedback-Directed Random Test Generation/Result/Chart_10/result.json</x:v>
      </x:c>
      <x:c r="O1719" s="38" t="n">
        <x:f>IF(AND(G1719="RECORDED",ISNUMBER(H1719)),H1719,"")</x:f>
        <x:v>100</x:v>
      </x:c>
      <x:c r="P1719" s="34" t="str">
        <x:v>INCONCLUSIVE</x:v>
      </x:c>
      <x:c r="Q1719" s="34" t="str">
        <x:v>Feedback-Directed Random Test Generation/Result/Chart_10/result.json</x:v>
      </x:c>
    </x:row>
    <x:row r="1720">
      <x:c r="A1720" s="34" t="str">
        <x:v>randoop</x:v>
      </x:c>
      <x:c r="B1720" s="34" t="str">
        <x:v>Chart</x:v>
      </x:c>
      <x:c r="C1720" s="34" t="str">
        <x:v>Round1</x:v>
      </x:c>
      <x:c r="D1720" s="34" t="str">
        <x:v>Chart_11</x:v>
      </x:c>
      <x:c r="E1720" s="34" t="str">
        <x:v>Line</x:v>
      </x:c>
      <x:c r="F1720" s="34" t="n">
        <x:v>197</x:v>
      </x:c>
      <x:c r="G1720" s="34" t="str">
        <x:v>RECORDED</x:v>
      </x:c>
      <x:c r="H1720" s="38" t="n">
        <x:f>IF(ISNUMBER('Data'!H12),'Data'!H12*100,"")</x:f>
        <x:v>54.82</x:v>
      </x:c>
      <x:c r="I1720" s="34" t="str">
        <x:v>PASS</x:v>
      </x:c>
      <x:c r="J1720" s="34" t="str">
        <x:v>PASS</x:v>
      </x:c>
      <x:c r="K1720" s="34" t="str">
        <x:v>PASS</x:v>
      </x:c>
      <x:c r="L1720" s="34" t="str">
        <x:v>PASS</x:v>
      </x:c>
      <x:c r="M1720" s="34" t="str">
        <x:v>numeric coverage for applicable metric</x:v>
      </x:c>
      <x:c r="N1720" s="34" t="str">
        <x:v>Feedback-Directed Random Test Generation/Result/Chart_11/result.json</x:v>
      </x:c>
      <x:c r="O1720" s="38" t="n">
        <x:f>IF(AND(G1720="RECORDED",ISNUMBER(H1720)),H1720,"")</x:f>
        <x:v>54.82</x:v>
      </x:c>
      <x:c r="P1720" s="34" t="str">
        <x:v>INCONCLUSIVE</x:v>
      </x:c>
      <x:c r="Q1720" s="34" t="str">
        <x:v>Feedback-Directed Random Test Generation/Result/Chart_11/result.json</x:v>
      </x:c>
    </x:row>
    <x:row r="1721">
      <x:c r="A1721" s="34" t="str">
        <x:v>randoop</x:v>
      </x:c>
      <x:c r="B1721" s="34" t="str">
        <x:v>Chart</x:v>
      </x:c>
      <x:c r="C1721" s="34" t="str">
        <x:v>Round1</x:v>
      </x:c>
      <x:c r="D1721" s="34" t="str">
        <x:v>Chart_12</x:v>
      </x:c>
      <x:c r="E1721" s="34" t="str">
        <x:v>Line</x:v>
      </x:c>
      <x:c r="F1721" s="34" t="n">
        <x:v>190</x:v>
      </x:c>
      <x:c r="G1721" s="34" t="str">
        <x:v>RECORDED</x:v>
      </x:c>
      <x:c r="H1721" s="38" t="n">
        <x:f>IF(ISNUMBER('Data'!H13),'Data'!H13*100,"")</x:f>
        <x:v>38.42</x:v>
      </x:c>
      <x:c r="I1721" s="34" t="str">
        <x:v>PASS</x:v>
      </x:c>
      <x:c r="J1721" s="34" t="str">
        <x:v>PASS</x:v>
      </x:c>
      <x:c r="K1721" s="34" t="str">
        <x:v>PASS</x:v>
      </x:c>
      <x:c r="L1721" s="34" t="str">
        <x:v>FAIL</x:v>
      </x:c>
      <x:c r="M1721" s="34" t="str">
        <x:v>numeric coverage for applicable metric</x:v>
      </x:c>
      <x:c r="N1721" s="34" t="str">
        <x:v>Feedback-Directed Random Test Generation/Result/Chart_12/result.json</x:v>
      </x:c>
      <x:c r="O1721" s="38" t="n">
        <x:f>IF(AND(G1721="RECORDED",ISNUMBER(H1721)),H1721,"")</x:f>
        <x:v>38.42</x:v>
      </x:c>
      <x:c r="P1721" s="34" t="str">
        <x:v>INCONCLUSIVE</x:v>
      </x:c>
      <x:c r="Q1721" s="34" t="str">
        <x:v>Feedback-Directed Random Test Generation/Result/Chart_12/result.json</x:v>
      </x:c>
    </x:row>
    <x:row r="1722">
      <x:c r="A1722" s="34" t="str">
        <x:v>randoop</x:v>
      </x:c>
      <x:c r="B1722" s="34" t="str">
        <x:v>Chart</x:v>
      </x:c>
      <x:c r="C1722" s="34" t="str">
        <x:v>Round1</x:v>
      </x:c>
      <x:c r="D1722" s="34" t="str">
        <x:v>Chart_13</x:v>
      </x:c>
      <x:c r="E1722" s="34" t="str">
        <x:v>Line</x:v>
      </x:c>
      <x:c r="F1722" s="34" t="n">
        <x:v>229</x:v>
      </x:c>
      <x:c r="G1722" s="34" t="str">
        <x:v>RECORDED</x:v>
      </x:c>
      <x:c r="H1722" s="38" t="n">
        <x:f>IF(ISNUMBER('Data'!H14),'Data'!H14*100,"")</x:f>
        <x:v>27.949999999999996</x:v>
      </x:c>
      <x:c r="I1722" s="34" t="str">
        <x:v>PASS</x:v>
      </x:c>
      <x:c r="J1722" s="34" t="str">
        <x:v>PASS</x:v>
      </x:c>
      <x:c r="K1722" s="34" t="str">
        <x:v>PASS</x:v>
      </x:c>
      <x:c r="L1722" s="34" t="str">
        <x:v>FAIL</x:v>
      </x:c>
      <x:c r="M1722" s="34" t="str">
        <x:v>numeric coverage for applicable metric</x:v>
      </x:c>
      <x:c r="N1722" s="34" t="str">
        <x:v>Feedback-Directed Random Test Generation/Result/Chart_13/result.json</x:v>
      </x:c>
      <x:c r="O1722" s="38" t="n">
        <x:f>IF(AND(G1722="RECORDED",ISNUMBER(H1722)),H1722,"")</x:f>
        <x:v>27.949999999999996</x:v>
      </x:c>
      <x:c r="P1722" s="34" t="str">
        <x:v>INCONCLUSIVE</x:v>
      </x:c>
      <x:c r="Q1722" s="34" t="str">
        <x:v>Feedback-Directed Random Test Generation/Result/Chart_13/result.json</x:v>
      </x:c>
    </x:row>
    <x:row r="1723">
      <x:c r="A1723" s="34" t="str">
        <x:v>randoop</x:v>
      </x:c>
      <x:c r="B1723" s="34" t="str">
        <x:v>Chart</x:v>
      </x:c>
      <x:c r="C1723" s="34" t="str">
        <x:v>Round1</x:v>
      </x:c>
      <x:c r="D1723" s="34" t="str">
        <x:v>Chart_14</x:v>
      </x:c>
      <x:c r="E1723" s="34" t="str">
        <x:v>Line</x:v>
      </x:c>
      <x:c r="F1723" s="34" t="n">
        <x:v>2722</x:v>
      </x:c>
      <x:c r="G1723" s="34" t="str">
        <x:v>RECORDED</x:v>
      </x:c>
      <x:c r="H1723" s="38" t="n">
        <x:f>IF(ISNUMBER('Data'!H15),'Data'!H15*100,"")</x:f>
        <x:v>53.86</x:v>
      </x:c>
      <x:c r="I1723" s="34" t="str">
        <x:v>PASS</x:v>
      </x:c>
      <x:c r="J1723" s="34" t="str">
        <x:v>PASS</x:v>
      </x:c>
      <x:c r="K1723" s="34" t="str">
        <x:v>PASS</x:v>
      </x:c>
      <x:c r="L1723" s="34" t="str">
        <x:v>FAIL</x:v>
      </x:c>
      <x:c r="M1723" s="34" t="str">
        <x:v>numeric coverage for applicable metric</x:v>
      </x:c>
      <x:c r="N1723" s="34" t="str">
        <x:v>Feedback-Directed Random Test Generation/Result/Chart_14/result.json</x:v>
      </x:c>
      <x:c r="O1723" s="38" t="n">
        <x:f>IF(AND(G1723="RECORDED",ISNUMBER(H1723)),H1723,"")</x:f>
        <x:v>53.86</x:v>
      </x:c>
      <x:c r="P1723" s="34" t="str">
        <x:v>INCONCLUSIVE</x:v>
      </x:c>
      <x:c r="Q1723" s="34" t="str">
        <x:v>Feedback-Directed Random Test Generation/Result/Chart_14/result.json</x:v>
      </x:c>
    </x:row>
    <x:row r="1724">
      <x:c r="A1724" s="34" t="str">
        <x:v>randoop</x:v>
      </x:c>
      <x:c r="B1724" s="34" t="str">
        <x:v>Chart</x:v>
      </x:c>
      <x:c r="C1724" s="34" t="str">
        <x:v>Round1</x:v>
      </x:c>
      <x:c r="D1724" s="34" t="str">
        <x:v>Chart_15</x:v>
      </x:c>
      <x:c r="E1724" s="34" t="str">
        <x:v>Line</x:v>
      </x:c>
      <x:c r="F1724" s="34" t="n">
        <x:v>836</x:v>
      </x:c>
      <x:c r="G1724" s="34" t="str">
        <x:v>RECORDED</x:v>
      </x:c>
      <x:c r="H1724" s="38" t="n">
        <x:f>IF(ISNUMBER('Data'!H16),'Data'!H16*100,"")</x:f>
        <x:v>47.85</x:v>
      </x:c>
      <x:c r="I1724" s="34" t="str">
        <x:v>PASS</x:v>
      </x:c>
      <x:c r="J1724" s="34" t="str">
        <x:v>PASS</x:v>
      </x:c>
      <x:c r="K1724" s="34" t="str">
        <x:v>PASS</x:v>
      </x:c>
      <x:c r="L1724" s="34" t="str">
        <x:v>FAIL</x:v>
      </x:c>
      <x:c r="M1724" s="34" t="str">
        <x:v>numeric coverage for applicable metric</x:v>
      </x:c>
      <x:c r="N1724" s="34" t="str">
        <x:v>Feedback-Directed Random Test Generation/Result/Chart_15/result.json</x:v>
      </x:c>
      <x:c r="O1724" s="38" t="n">
        <x:f>IF(AND(G1724="RECORDED",ISNUMBER(H1724)),H1724,"")</x:f>
        <x:v>47.85</x:v>
      </x:c>
      <x:c r="P1724" s="34" t="str">
        <x:v>INCONCLUSIVE</x:v>
      </x:c>
      <x:c r="Q1724" s="34" t="str">
        <x:v>Feedback-Directed Random Test Generation/Result/Chart_15/result.json</x:v>
      </x:c>
    </x:row>
    <x:row r="1725">
      <x:c r="A1725" s="34" t="str">
        <x:v>randoop</x:v>
      </x:c>
      <x:c r="B1725" s="34" t="str">
        <x:v>Chart</x:v>
      </x:c>
      <x:c r="C1725" s="34" t="str">
        <x:v>Round1</x:v>
      </x:c>
      <x:c r="D1725" s="34" t="str">
        <x:v>Chart_16</x:v>
      </x:c>
      <x:c r="E1725" s="34" t="str">
        <x:v>Line</x:v>
      </x:c>
      <x:c r="F1725" s="34" t="n">
        <x:v>188</x:v>
      </x:c>
      <x:c r="G1725" s="34" t="str">
        <x:v>RECORDED</x:v>
      </x:c>
      <x:c r="H1725" s="38" t="n">
        <x:f>IF(ISNUMBER('Data'!H17),'Data'!H17*100,"")</x:f>
        <x:v>79.26</x:v>
      </x:c>
      <x:c r="I1725" s="34" t="str">
        <x:v>PASS</x:v>
      </x:c>
      <x:c r="J1725" s="34" t="str">
        <x:v>PASS</x:v>
      </x:c>
      <x:c r="K1725" s="34" t="str">
        <x:v>PASS</x:v>
      </x:c>
      <x:c r="L1725" s="34" t="str">
        <x:v>FAIL</x:v>
      </x:c>
      <x:c r="M1725" s="34" t="str">
        <x:v>numeric coverage for applicable metric</x:v>
      </x:c>
      <x:c r="N1725" s="34" t="str">
        <x:v>Feedback-Directed Random Test Generation/Result/Chart_16/result.json</x:v>
      </x:c>
      <x:c r="O1725" s="38" t="n">
        <x:f>IF(AND(G1725="RECORDED",ISNUMBER(H1725)),H1725,"")</x:f>
        <x:v>79.26</x:v>
      </x:c>
      <x:c r="P1725" s="34" t="str">
        <x:v>INCONCLUSIVE</x:v>
      </x:c>
      <x:c r="Q1725" s="34" t="str">
        <x:v>Feedback-Directed Random Test Generation/Result/Chart_16/result.json</x:v>
      </x:c>
    </x:row>
    <x:row r="1726">
      <x:c r="A1726" s="34" t="str">
        <x:v>randoop</x:v>
      </x:c>
      <x:c r="B1726" s="34" t="str">
        <x:v>Chart</x:v>
      </x:c>
      <x:c r="C1726" s="34" t="str">
        <x:v>Round1</x:v>
      </x:c>
      <x:c r="D1726" s="34" t="str">
        <x:v>Chart_17</x:v>
      </x:c>
      <x:c r="E1726" s="34" t="str">
        <x:v>Line</x:v>
      </x:c>
      <x:c r="F1726" s="34" t="n">
        <x:v>288</x:v>
      </x:c>
      <x:c r="G1726" s="34" t="str">
        <x:v>RECORDED</x:v>
      </x:c>
      <x:c r="H1726" s="38" t="n">
        <x:f>IF(ISNUMBER('Data'!H18),'Data'!H18*100,"")</x:f>
        <x:v>44.44</x:v>
      </x:c>
      <x:c r="I1726" s="34" t="str">
        <x:v>PASS</x:v>
      </x:c>
      <x:c r="J1726" s="34" t="str">
        <x:v>PASS</x:v>
      </x:c>
      <x:c r="K1726" s="34" t="str">
        <x:v>PASS</x:v>
      </x:c>
      <x:c r="L1726" s="34" t="str">
        <x:v>FAIL</x:v>
      </x:c>
      <x:c r="M1726" s="34" t="str">
        <x:v>numeric coverage for applicable metric</x:v>
      </x:c>
      <x:c r="N1726" s="34" t="str">
        <x:v>Feedback-Directed Random Test Generation/Result/Chart_17/result.json</x:v>
      </x:c>
      <x:c r="O1726" s="38" t="n">
        <x:f>IF(AND(G1726="RECORDED",ISNUMBER(H1726)),H1726,"")</x:f>
        <x:v>44.44</x:v>
      </x:c>
      <x:c r="P1726" s="34" t="str">
        <x:v>INCONCLUSIVE</x:v>
      </x:c>
      <x:c r="Q1726" s="34" t="str">
        <x:v>Feedback-Directed Random Test Generation/Result/Chart_17/result.json</x:v>
      </x:c>
    </x:row>
    <x:row r="1727">
      <x:c r="A1727" s="34" t="str">
        <x:v>randoop</x:v>
      </x:c>
      <x:c r="B1727" s="34" t="str">
        <x:v>Chart</x:v>
      </x:c>
      <x:c r="C1727" s="34" t="str">
        <x:v>Round1</x:v>
      </x:c>
      <x:c r="D1727" s="34" t="str">
        <x:v>Chart_18</x:v>
      </x:c>
      <x:c r="E1727" s="34" t="str">
        <x:v>Line</x:v>
      </x:c>
      <x:c r="F1727" s="34" t="n">
        <x:v>266</x:v>
      </x:c>
      <x:c r="G1727" s="34" t="str">
        <x:v>RECORDED</x:v>
      </x:c>
      <x:c r="H1727" s="38" t="n">
        <x:f>IF(ISNUMBER('Data'!H19),'Data'!H19*100,"")</x:f>
        <x:v>83.46</x:v>
      </x:c>
      <x:c r="I1727" s="34" t="str">
        <x:v>PASS</x:v>
      </x:c>
      <x:c r="J1727" s="34" t="str">
        <x:v>PASS</x:v>
      </x:c>
      <x:c r="K1727" s="34" t="str">
        <x:v>PASS</x:v>
      </x:c>
      <x:c r="L1727" s="34" t="str">
        <x:v>PASS</x:v>
      </x:c>
      <x:c r="M1727" s="34" t="str">
        <x:v>numeric coverage for applicable metric</x:v>
      </x:c>
      <x:c r="N1727" s="34" t="str">
        <x:v>Feedback-Directed Random Test Generation/Result/Chart_18/result.json</x:v>
      </x:c>
      <x:c r="O1727" s="38" t="n">
        <x:f>IF(AND(G1727="RECORDED",ISNUMBER(H1727)),H1727,"")</x:f>
        <x:v>83.46</x:v>
      </x:c>
      <x:c r="P1727" s="34" t="str">
        <x:v>INCONCLUSIVE</x:v>
      </x:c>
      <x:c r="Q1727" s="34" t="str">
        <x:v>Feedback-Directed Random Test Generation/Result/Chart_18/result.json</x:v>
      </x:c>
    </x:row>
    <x:row r="1728">
      <x:c r="A1728" s="34" t="str">
        <x:v>randoop</x:v>
      </x:c>
      <x:c r="B1728" s="34" t="str">
        <x:v>Chart</x:v>
      </x:c>
      <x:c r="C1728" s="34" t="str">
        <x:v>Round1</x:v>
      </x:c>
      <x:c r="D1728" s="34" t="str">
        <x:v>Chart_19</x:v>
      </x:c>
      <x:c r="E1728" s="34" t="str">
        <x:v>Line</x:v>
      </x:c>
      <x:c r="F1728" s="34" t="n">
        <x:v>1136</x:v>
      </x:c>
      <x:c r="G1728" s="34" t="str">
        <x:v>RECORDED</x:v>
      </x:c>
      <x:c r="H1728" s="38" t="n">
        <x:f>IF(ISNUMBER('Data'!H20),'Data'!H20*100,"")</x:f>
        <x:v>59.86</x:v>
      </x:c>
      <x:c r="I1728" s="34" t="str">
        <x:v>PASS</x:v>
      </x:c>
      <x:c r="J1728" s="34" t="str">
        <x:v>PASS</x:v>
      </x:c>
      <x:c r="K1728" s="34" t="str">
        <x:v>PASS</x:v>
      </x:c>
      <x:c r="L1728" s="34" t="str">
        <x:v>FAIL</x:v>
      </x:c>
      <x:c r="M1728" s="34" t="str">
        <x:v>numeric coverage for applicable metric</x:v>
      </x:c>
      <x:c r="N1728" s="34" t="str">
        <x:v>Feedback-Directed Random Test Generation/Result/Chart_19/result.json</x:v>
      </x:c>
      <x:c r="O1728" s="38" t="n">
        <x:f>IF(AND(G1728="RECORDED",ISNUMBER(H1728)),H1728,"")</x:f>
        <x:v>59.86</x:v>
      </x:c>
      <x:c r="P1728" s="34" t="str">
        <x:v>INCONCLUSIVE</x:v>
      </x:c>
      <x:c r="Q1728" s="34" t="str">
        <x:v>Feedback-Directed Random Test Generation/Result/Chart_19/result.json</x:v>
      </x:c>
    </x:row>
    <x:row r="1729">
      <x:c r="A1729" s="34" t="str">
        <x:v>randoop</x:v>
      </x:c>
      <x:c r="B1729" s="34" t="str">
        <x:v>Chart</x:v>
      </x:c>
      <x:c r="C1729" s="34" t="str">
        <x:v>Round1</x:v>
      </x:c>
      <x:c r="D1729" s="34" t="str">
        <x:v>Chart_20</x:v>
      </x:c>
      <x:c r="E1729" s="34" t="str">
        <x:v>Line</x:v>
      </x:c>
      <x:c r="F1729" s="34" t="n">
        <x:v>22</x:v>
      </x:c>
      <x:c r="G1729" s="34" t="str">
        <x:v>RECORDED</x:v>
      </x:c>
      <x:c r="H1729" s="38" t="n">
        <x:f>IF(ISNUMBER('Data'!H21),'Data'!H21*100,"")</x:f>
        <x:v>90.91</x:v>
      </x:c>
      <x:c r="I1729" s="34" t="str">
        <x:v>PASS</x:v>
      </x:c>
      <x:c r="J1729" s="34" t="str">
        <x:v>PASS</x:v>
      </x:c>
      <x:c r="K1729" s="34" t="str">
        <x:v>PASS</x:v>
      </x:c>
      <x:c r="L1729" s="34" t="str">
        <x:v>FAIL</x:v>
      </x:c>
      <x:c r="M1729" s="34" t="str">
        <x:v>numeric coverage for applicable metric</x:v>
      </x:c>
      <x:c r="N1729" s="34" t="str">
        <x:v>Feedback-Directed Random Test Generation/Result/Chart_20/result.json</x:v>
      </x:c>
      <x:c r="O1729" s="38" t="n">
        <x:f>IF(AND(G1729="RECORDED",ISNUMBER(H1729)),H1729,"")</x:f>
        <x:v>90.91</x:v>
      </x:c>
      <x:c r="P1729" s="34" t="str">
        <x:v>INCONCLUSIVE</x:v>
      </x:c>
      <x:c r="Q1729" s="34" t="str">
        <x:v>Feedback-Directed Random Test Generation/Result/Chart_20/result.json</x:v>
      </x:c>
    </x:row>
    <x:row r="1730">
      <x:c r="A1730" s="34" t="str">
        <x:v>randoop</x:v>
      </x:c>
      <x:c r="B1730" s="34" t="str">
        <x:v>Chart</x:v>
      </x:c>
      <x:c r="C1730" s="34" t="str">
        <x:v>Round1</x:v>
      </x:c>
      <x:c r="D1730" s="34" t="str">
        <x:v>Chart_21</x:v>
      </x:c>
      <x:c r="E1730" s="34" t="str">
        <x:v>Line</x:v>
      </x:c>
      <x:c r="F1730" s="34" t="n">
        <x:v>161</x:v>
      </x:c>
      <x:c r="G1730" s="34" t="str">
        <x:v>RECORDED</x:v>
      </x:c>
      <x:c r="H1730" s="38" t="n">
        <x:f>IF(ISNUMBER('Data'!H22),'Data'!H22*100,"")</x:f>
        <x:v>56.52</x:v>
      </x:c>
      <x:c r="I1730" s="34" t="str">
        <x:v>PASS</x:v>
      </x:c>
      <x:c r="J1730" s="34" t="str">
        <x:v>PASS</x:v>
      </x:c>
      <x:c r="K1730" s="34" t="str">
        <x:v>PASS</x:v>
      </x:c>
      <x:c r="L1730" s="34" t="str">
        <x:v>FAIL</x:v>
      </x:c>
      <x:c r="M1730" s="34" t="str">
        <x:v>numeric coverage for applicable metric</x:v>
      </x:c>
      <x:c r="N1730" s="34" t="str">
        <x:v>Feedback-Directed Random Test Generation/Result/Chart_21/result.json</x:v>
      </x:c>
      <x:c r="O1730" s="38" t="n">
        <x:f>IF(AND(G1730="RECORDED",ISNUMBER(H1730)),H1730,"")</x:f>
        <x:v>56.52</x:v>
      </x:c>
      <x:c r="P1730" s="34" t="str">
        <x:v>INCONCLUSIVE</x:v>
      </x:c>
      <x:c r="Q1730" s="34" t="str">
        <x:v>Feedback-Directed Random Test Generation/Result/Chart_21/result.json</x:v>
      </x:c>
    </x:row>
    <x:row r="1731">
      <x:c r="A1731" s="34" t="str">
        <x:v>randoop</x:v>
      </x:c>
      <x:c r="B1731" s="34" t="str">
        <x:v>Chart</x:v>
      </x:c>
      <x:c r="C1731" s="34" t="str">
        <x:v>Round1</x:v>
      </x:c>
      <x:c r="D1731" s="34" t="str">
        <x:v>Chart_22</x:v>
      </x:c>
      <x:c r="E1731" s="34" t="str">
        <x:v>Line</x:v>
      </x:c>
      <x:c r="F1731" s="34" t="n">
        <x:v>124</x:v>
      </x:c>
      <x:c r="G1731" s="34" t="str">
        <x:v>RECORDED</x:v>
      </x:c>
      <x:c r="H1731" s="38" t="n">
        <x:f>IF(ISNUMBER('Data'!H23),'Data'!H23*100,"")</x:f>
        <x:v>93.55</x:v>
      </x:c>
      <x:c r="I1731" s="34" t="str">
        <x:v>PASS</x:v>
      </x:c>
      <x:c r="J1731" s="34" t="str">
        <x:v>PASS</x:v>
      </x:c>
      <x:c r="K1731" s="34" t="str">
        <x:v>PASS</x:v>
      </x:c>
      <x:c r="L1731" s="34" t="str">
        <x:v>FAIL</x:v>
      </x:c>
      <x:c r="M1731" s="34" t="str">
        <x:v>numeric coverage for applicable metric</x:v>
      </x:c>
      <x:c r="N1731" s="34" t="str">
        <x:v>Feedback-Directed Random Test Generation/Result/Chart_22/result.json</x:v>
      </x:c>
      <x:c r="O1731" s="38" t="n">
        <x:f>IF(AND(G1731="RECORDED",ISNUMBER(H1731)),H1731,"")</x:f>
        <x:v>93.55</x:v>
      </x:c>
      <x:c r="P1731" s="34" t="str">
        <x:v>INCONCLUSIVE</x:v>
      </x:c>
      <x:c r="Q1731" s="34" t="str">
        <x:v>Feedback-Directed Random Test Generation/Result/Chart_22/result.json</x:v>
      </x:c>
    </x:row>
    <x:row r="1732">
      <x:c r="A1732" s="34" t="str">
        <x:v>randoop</x:v>
      </x:c>
      <x:c r="B1732" s="34" t="str">
        <x:v>Chart</x:v>
      </x:c>
      <x:c r="C1732" s="34" t="str">
        <x:v>Round1</x:v>
      </x:c>
      <x:c r="D1732" s="34" t="str">
        <x:v>Chart_23</x:v>
      </x:c>
      <x:c r="E1732" s="34" t="str">
        <x:v>Line</x:v>
      </x:c>
      <x:c r="F1732" s="34" t="n">
        <x:v>144</x:v>
      </x:c>
      <x:c r="G1732" s="34" t="str">
        <x:v>RECORDED</x:v>
      </x:c>
      <x:c r="H1732" s="38" t="n">
        <x:f>IF(ISNUMBER('Data'!H24),'Data'!H24*100,"")</x:f>
        <x:v>37.5</x:v>
      </x:c>
      <x:c r="I1732" s="34" t="str">
        <x:v>PASS</x:v>
      </x:c>
      <x:c r="J1732" s="34" t="str">
        <x:v>PASS</x:v>
      </x:c>
      <x:c r="K1732" s="34" t="str">
        <x:v>PASS</x:v>
      </x:c>
      <x:c r="L1732" s="34" t="str">
        <x:v>FAIL</x:v>
      </x:c>
      <x:c r="M1732" s="34" t="str">
        <x:v>numeric coverage for applicable metric</x:v>
      </x:c>
      <x:c r="N1732" s="34" t="str">
        <x:v>Feedback-Directed Random Test Generation/Result/Chart_23/result.json</x:v>
      </x:c>
      <x:c r="O1732" s="38" t="n">
        <x:f>IF(AND(G1732="RECORDED",ISNUMBER(H1732)),H1732,"")</x:f>
        <x:v>37.5</x:v>
      </x:c>
      <x:c r="P1732" s="34" t="str">
        <x:v>INCONCLUSIVE</x:v>
      </x:c>
      <x:c r="Q1732" s="34" t="str">
        <x:v>Feedback-Directed Random Test Generation/Result/Chart_23/result.json</x:v>
      </x:c>
    </x:row>
    <x:row r="1733">
      <x:c r="A1733" s="34" t="str">
        <x:v>randoop</x:v>
      </x:c>
      <x:c r="B1733" s="34" t="str">
        <x:v>Chart</x:v>
      </x:c>
      <x:c r="C1733" s="34" t="str">
        <x:v>Round1</x:v>
      </x:c>
      <x:c r="D1733" s="34" t="str">
        <x:v>Chart_24</x:v>
      </x:c>
      <x:c r="E1733" s="34" t="str">
        <x:v>Line</x:v>
      </x:c>
      <x:c r="F1733" s="34" t="n">
        <x:v>25</x:v>
      </x:c>
      <x:c r="G1733" s="34" t="str">
        <x:v>RECORDED</x:v>
      </x:c>
      <x:c r="H1733" s="38" t="n">
        <x:f>IF(ISNUMBER('Data'!H25),'Data'!H25*100,"")</x:f>
        <x:v>96</x:v>
      </x:c>
      <x:c r="I1733" s="34" t="str">
        <x:v>PASS</x:v>
      </x:c>
      <x:c r="J1733" s="34" t="str">
        <x:v>PASS</x:v>
      </x:c>
      <x:c r="K1733" s="34" t="str">
        <x:v>PASS</x:v>
      </x:c>
      <x:c r="L1733" s="34" t="str">
        <x:v>FAIL</x:v>
      </x:c>
      <x:c r="M1733" s="34" t="str">
        <x:v>numeric coverage for applicable metric</x:v>
      </x:c>
      <x:c r="N1733" s="34" t="str">
        <x:v>Feedback-Directed Random Test Generation/Result/Chart_24/result.json</x:v>
      </x:c>
      <x:c r="O1733" s="38" t="n">
        <x:f>IF(AND(G1733="RECORDED",ISNUMBER(H1733)),H1733,"")</x:f>
        <x:v>96</x:v>
      </x:c>
      <x:c r="P1733" s="34" t="str">
        <x:v>INCONCLUSIVE</x:v>
      </x:c>
      <x:c r="Q1733" s="34" t="str">
        <x:v>Feedback-Directed Random Test Generation/Result/Chart_24/result.json</x:v>
      </x:c>
    </x:row>
    <x:row r="1734">
      <x:c r="A1734" s="34" t="str">
        <x:v>randoop</x:v>
      </x:c>
      <x:c r="B1734" s="34" t="str">
        <x:v>Chart</x:v>
      </x:c>
      <x:c r="C1734" s="34" t="str">
        <x:v>Round1</x:v>
      </x:c>
      <x:c r="D1734" s="34" t="str">
        <x:v>Chart_25</x:v>
      </x:c>
      <x:c r="E1734" s="34" t="str">
        <x:v>Line</x:v>
      </x:c>
      <x:c r="F1734" s="34" t="n">
        <x:v>174</x:v>
      </x:c>
      <x:c r="G1734" s="34" t="str">
        <x:v>RECORDED</x:v>
      </x:c>
      <x:c r="H1734" s="38" t="n">
        <x:f>IF(ISNUMBER('Data'!H26),'Data'!H26*100,"")</x:f>
        <x:v>13.79</x:v>
      </x:c>
      <x:c r="I1734" s="34" t="str">
        <x:v>PASS</x:v>
      </x:c>
      <x:c r="J1734" s="34" t="str">
        <x:v>PASS</x:v>
      </x:c>
      <x:c r="K1734" s="34" t="str">
        <x:v>PASS</x:v>
      </x:c>
      <x:c r="L1734" s="34" t="str">
        <x:v>FAIL</x:v>
      </x:c>
      <x:c r="M1734" s="34" t="str">
        <x:v>numeric coverage for applicable metric</x:v>
      </x:c>
      <x:c r="N1734" s="34" t="str">
        <x:v>Feedback-Directed Random Test Generation/Result/Chart_25/result.json</x:v>
      </x:c>
      <x:c r="O1734" s="38" t="n">
        <x:f>IF(AND(G1734="RECORDED",ISNUMBER(H1734)),H1734,"")</x:f>
        <x:v>13.79</x:v>
      </x:c>
      <x:c r="P1734" s="34" t="str">
        <x:v>INCONCLUSIVE</x:v>
      </x:c>
      <x:c r="Q1734" s="34" t="str">
        <x:v>Feedback-Directed Random Test Generation/Result/Chart_25/result.json</x:v>
      </x:c>
    </x:row>
    <x:row r="1735">
      <x:c r="A1735" s="34" t="str">
        <x:v>randoop</x:v>
      </x:c>
      <x:c r="B1735" s="34" t="str">
        <x:v>Chart</x:v>
      </x:c>
      <x:c r="C1735" s="34" t="str">
        <x:v>Round1</x:v>
      </x:c>
      <x:c r="D1735" s="34" t="str">
        <x:v>Chart_26</x:v>
      </x:c>
      <x:c r="E1735" s="34" t="str">
        <x:v>Line</x:v>
      </x:c>
      <x:c r="F1735" s="34" t="n">
        <x:v>350</x:v>
      </x:c>
      <x:c r="G1735" s="34" t="str">
        <x:v>RECORDED</x:v>
      </x:c>
      <x:c r="H1735" s="38" t="n">
        <x:f>IF(ISNUMBER('Data'!H27),'Data'!H27*100,"")</x:f>
        <x:v>2.86</x:v>
      </x:c>
      <x:c r="I1735" s="34" t="str">
        <x:v>PASS</x:v>
      </x:c>
      <x:c r="J1735" s="34" t="str">
        <x:v>PASS</x:v>
      </x:c>
      <x:c r="K1735" s="34" t="str">
        <x:v>PASS</x:v>
      </x:c>
      <x:c r="L1735" s="34" t="str">
        <x:v>PASS</x:v>
      </x:c>
      <x:c r="M1735" s="34" t="str">
        <x:v>numeric coverage for applicable metric</x:v>
      </x:c>
      <x:c r="N1735" s="34" t="str">
        <x:v>Feedback-Directed Random Test Generation/Result/Chart_26/result.json</x:v>
      </x:c>
      <x:c r="O1735" s="38" t="n">
        <x:f>IF(AND(G1735="RECORDED",ISNUMBER(H1735)),H1735,"")</x:f>
        <x:v>2.86</x:v>
      </x:c>
      <x:c r="P1735" s="34" t="str">
        <x:v>NOT_REVEALING</x:v>
      </x:c>
      <x:c r="Q1735" s="34" t="str">
        <x:v>Feedback-Directed Random Test Generation/Result/Chart_26/result.json</x:v>
      </x:c>
    </x:row>
    <x:row r="1736">
      <x:c r="A1736" s="34" t="str">
        <x:v>randoop</x:v>
      </x:c>
      <x:c r="B1736" s="34" t="str">
        <x:v>Cli</x:v>
      </x:c>
      <x:c r="C1736" s="34" t="str">
        <x:v>Round1</x:v>
      </x:c>
      <x:c r="D1736" s="34" t="str">
        <x:v>Cli_1</x:v>
      </x:c>
      <x:c r="E1736" s="34" t="str">
        <x:v>Line</x:v>
      </x:c>
      <x:c r="F1736" s="34" t="n">
        <x:v>45</x:v>
      </x:c>
      <x:c r="G1736" s="34" t="str">
        <x:v>RECORDED</x:v>
      </x:c>
      <x:c r="H1736" s="38" t="n">
        <x:f>IF(ISNUMBER('Data'!H28),'Data'!H28*100,"")</x:f>
        <x:v>0</x:v>
      </x:c>
      <x:c r="I1736" s="34" t="str">
        <x:v>PASS</x:v>
      </x:c>
      <x:c r="J1736" s="34" t="str">
        <x:v>PASS</x:v>
      </x:c>
      <x:c r="K1736" s="34" t="str">
        <x:v>PASS</x:v>
      </x:c>
      <x:c r="L1736" s="34" t="str">
        <x:v>FAIL</x:v>
      </x:c>
      <x:c r="M1736" s="34" t="str">
        <x:v>numeric coverage for applicable metric</x:v>
      </x:c>
      <x:c r="N1736" s="34" t="str">
        <x:v>Feedback-Directed Random Test Generation/Result/Cli_1/result.json</x:v>
      </x:c>
      <x:c r="O1736" s="38" t="n">
        <x:f>IF(AND(G1736="RECORDED",ISNUMBER(H1736)),H1736,"")</x:f>
        <x:v>0</x:v>
      </x:c>
      <x:c r="P1736" s="34" t="str">
        <x:v>INCONCLUSIVE</x:v>
      </x:c>
      <x:c r="Q1736" s="34" t="str">
        <x:v>Feedback-Directed Random Test Generation/Result/Cli_1/result.json</x:v>
      </x:c>
    </x:row>
    <x:row r="1737">
      <x:c r="A1737" s="34" t="str">
        <x:v>randoop</x:v>
      </x:c>
      <x:c r="B1737" s="34" t="str">
        <x:v>Cli</x:v>
      </x:c>
      <x:c r="C1737" s="34" t="str">
        <x:v>Round1</x:v>
      </x:c>
      <x:c r="D1737" s="34" t="str">
        <x:v>Cli_2</x:v>
      </x:c>
      <x:c r="E1737" s="34" t="str">
        <x:v>Line</x:v>
      </x:c>
      <x:c r="F1737" s="34" t="n">
        <x:v>68</x:v>
      </x:c>
      <x:c r="G1737" s="34" t="str">
        <x:v>RECORDED</x:v>
      </x:c>
      <x:c r="H1737" s="38" t="n">
        <x:f>IF(ISNUMBER('Data'!H29),'Data'!H29*100,"")</x:f>
        <x:v>0</x:v>
      </x:c>
      <x:c r="I1737" s="34" t="str">
        <x:v>PASS</x:v>
      </x:c>
      <x:c r="J1737" s="34" t="str">
        <x:v>PASS</x:v>
      </x:c>
      <x:c r="K1737" s="34" t="str">
        <x:v>PASS</x:v>
      </x:c>
      <x:c r="L1737" s="34" t="str">
        <x:v>FAIL</x:v>
      </x:c>
      <x:c r="M1737" s="34" t="str">
        <x:v>numeric coverage for applicable metric</x:v>
      </x:c>
      <x:c r="N1737" s="34" t="str">
        <x:v>Feedback-Directed Random Test Generation/Result/Cli_2/result.json</x:v>
      </x:c>
      <x:c r="O1737" s="38" t="n">
        <x:f>IF(AND(G1737="RECORDED",ISNUMBER(H1737)),H1737,"")</x:f>
        <x:v>0</x:v>
      </x:c>
      <x:c r="P1737" s="34" t="str">
        <x:v>INCONCLUSIVE</x:v>
      </x:c>
      <x:c r="Q1737" s="34" t="str">
        <x:v>Feedback-Directed Random Test Generation/Result/Cli_2/result.json</x:v>
      </x:c>
    </x:row>
    <x:row r="1738">
      <x:c r="A1738" s="34" t="str">
        <x:v>randoop</x:v>
      </x:c>
      <x:c r="B1738" s="34" t="str">
        <x:v>Cli</x:v>
      </x:c>
      <x:c r="C1738" s="34" t="str">
        <x:v>Round1</x:v>
      </x:c>
      <x:c r="D1738" s="34" t="str">
        <x:v>Cli_3</x:v>
      </x:c>
      <x:c r="E1738" s="34" t="str">
        <x:v>Line</x:v>
      </x:c>
      <x:c r="F1738" s="34" t="n">
        <x:v>55</x:v>
      </x:c>
      <x:c r="G1738" s="34" t="str">
        <x:v>RECORDED</x:v>
      </x:c>
      <x:c r="H1738" s="38" t="n">
        <x:f>IF(ISNUMBER('Data'!H30),'Data'!H30*100,"")</x:f>
        <x:v>0</x:v>
      </x:c>
      <x:c r="I1738" s="34" t="str">
        <x:v>PASS</x:v>
      </x:c>
      <x:c r="J1738" s="34" t="str">
        <x:v>PASS</x:v>
      </x:c>
      <x:c r="K1738" s="34" t="str">
        <x:v>PASS</x:v>
      </x:c>
      <x:c r="L1738" s="34" t="str">
        <x:v>FAIL</x:v>
      </x:c>
      <x:c r="M1738" s="34" t="str">
        <x:v>numeric coverage for applicable metric</x:v>
      </x:c>
      <x:c r="N1738" s="34" t="str">
        <x:v>Feedback-Directed Random Test Generation/Result/Cli_3/result.json</x:v>
      </x:c>
      <x:c r="O1738" s="38" t="n">
        <x:f>IF(AND(G1738="RECORDED",ISNUMBER(H1738)),H1738,"")</x:f>
        <x:v>0</x:v>
      </x:c>
      <x:c r="P1738" s="34" t="str">
        <x:v>INCONCLUSIVE</x:v>
      </x:c>
      <x:c r="Q1738" s="34" t="str">
        <x:v>Feedback-Directed Random Test Generation/Result/Cli_3/result.json</x:v>
      </x:c>
    </x:row>
    <x:row r="1739">
      <x:c r="A1739" s="34" t="str">
        <x:v>randoop</x:v>
      </x:c>
      <x:c r="B1739" s="34" t="str">
        <x:v>Cli</x:v>
      </x:c>
      <x:c r="C1739" s="34" t="str">
        <x:v>Round1</x:v>
      </x:c>
      <x:c r="D1739" s="34" t="str">
        <x:v>Cli_4</x:v>
      </x:c>
      <x:c r="E1739" s="34" t="str">
        <x:v>Line</x:v>
      </x:c>
      <x:c r="F1739" s="34" t="n">
        <x:v>99</x:v>
      </x:c>
      <x:c r="G1739" s="34" t="str">
        <x:v>RECORDED</x:v>
      </x:c>
      <x:c r="H1739" s="38" t="n">
        <x:f>IF(ISNUMBER('Data'!H31),'Data'!H31*100,"")</x:f>
        <x:v>0</x:v>
      </x:c>
      <x:c r="I1739" s="34" t="str">
        <x:v>PASS</x:v>
      </x:c>
      <x:c r="J1739" s="34" t="str">
        <x:v>PASS</x:v>
      </x:c>
      <x:c r="K1739" s="34" t="str">
        <x:v>PASS</x:v>
      </x:c>
      <x:c r="L1739" s="34" t="str">
        <x:v>FAIL</x:v>
      </x:c>
      <x:c r="M1739" s="34" t="str">
        <x:v>numeric coverage for applicable metric</x:v>
      </x:c>
      <x:c r="N1739" s="34" t="str">
        <x:v>Feedback-Directed Random Test Generation/Result/Cli_4/result.json</x:v>
      </x:c>
      <x:c r="O1739" s="38" t="n">
        <x:f>IF(AND(G1739="RECORDED",ISNUMBER(H1739)),H1739,"")</x:f>
        <x:v>0</x:v>
      </x:c>
      <x:c r="P1739" s="34" t="str">
        <x:v>INCONCLUSIVE</x:v>
      </x:c>
      <x:c r="Q1739" s="34" t="str">
        <x:v>Feedback-Directed Random Test Generation/Result/Cli_4/result.json</x:v>
      </x:c>
    </x:row>
    <x:row r="1740">
      <x:c r="A1740" s="34" t="str">
        <x:v>randoop</x:v>
      </x:c>
      <x:c r="B1740" s="34" t="str">
        <x:v>Cli</x:v>
      </x:c>
      <x:c r="C1740" s="34" t="str">
        <x:v>Round1</x:v>
      </x:c>
      <x:c r="D1740" s="34" t="str">
        <x:v>Cli_5</x:v>
      </x:c>
      <x:c r="E1740" s="34" t="str">
        <x:v>Line</x:v>
      </x:c>
      <x:c r="F1740" s="34" t="n">
        <x:v>11</x:v>
      </x:c>
      <x:c r="G1740" s="34" t="str">
        <x:v>RECORDED</x:v>
      </x:c>
      <x:c r="H1740" s="38" t="n">
        <x:f>IF(ISNUMBER('Data'!H32),'Data'!H32*100,"")</x:f>
        <x:v>0</x:v>
      </x:c>
      <x:c r="I1740" s="34" t="str">
        <x:v>PASS</x:v>
      </x:c>
      <x:c r="J1740" s="34" t="str">
        <x:v>PASS</x:v>
      </x:c>
      <x:c r="K1740" s="34" t="str">
        <x:v>PASS</x:v>
      </x:c>
      <x:c r="L1740" s="34" t="str">
        <x:v>FAIL</x:v>
      </x:c>
      <x:c r="M1740" s="34" t="str">
        <x:v>numeric coverage for applicable metric</x:v>
      </x:c>
      <x:c r="N1740" s="34" t="str">
        <x:v>Feedback-Directed Random Test Generation/Result/Cli_5/result.json</x:v>
      </x:c>
      <x:c r="O1740" s="38" t="n">
        <x:f>IF(AND(G1740="RECORDED",ISNUMBER(H1740)),H1740,"")</x:f>
        <x:v>0</x:v>
      </x:c>
      <x:c r="P1740" s="34" t="str">
        <x:v>INCONCLUSIVE</x:v>
      </x:c>
      <x:c r="Q1740" s="34" t="str">
        <x:v>Feedback-Directed Random Test Generation/Result/Cli_5/result.json</x:v>
      </x:c>
    </x:row>
    <x:row r="1741">
      <x:c r="A1741" s="34" t="str">
        <x:v>randoop</x:v>
      </x:c>
      <x:c r="B1741" s="34" t="str">
        <x:v>Cli</x:v>
      </x:c>
      <x:c r="C1741" s="34" t="str">
        <x:v>Round1</x:v>
      </x:c>
      <x:c r="D1741" s="34" t="str">
        <x:v>Cli_7</x:v>
      </x:c>
      <x:c r="E1741" s="34" t="str">
        <x:v>Line</x:v>
      </x:c>
      <x:c r="F1741" s="34" t="n">
        <x:v>68</x:v>
      </x:c>
      <x:c r="G1741" s="34" t="str">
        <x:v>RECORDED</x:v>
      </x:c>
      <x:c r="H1741" s="38" t="n">
        <x:f>IF(ISNUMBER('Data'!H33),'Data'!H33*100,"")</x:f>
        <x:v>0</x:v>
      </x:c>
      <x:c r="I1741" s="34" t="str">
        <x:v>PASS</x:v>
      </x:c>
      <x:c r="J1741" s="34" t="str">
        <x:v>PASS</x:v>
      </x:c>
      <x:c r="K1741" s="34" t="str">
        <x:v>PASS</x:v>
      </x:c>
      <x:c r="L1741" s="34" t="str">
        <x:v>FAIL</x:v>
      </x:c>
      <x:c r="M1741" s="34" t="str">
        <x:v>numeric coverage for applicable metric</x:v>
      </x:c>
      <x:c r="N1741" s="34" t="str">
        <x:v>Feedback-Directed Random Test Generation/Result/Cli_7/result.json</x:v>
      </x:c>
      <x:c r="O1741" s="38" t="n">
        <x:f>IF(AND(G1741="RECORDED",ISNUMBER(H1741)),H1741,"")</x:f>
        <x:v>0</x:v>
      </x:c>
      <x:c r="P1741" s="34" t="str">
        <x:v>INCONCLUSIVE</x:v>
      </x:c>
      <x:c r="Q1741" s="34" t="str">
        <x:v>Feedback-Directed Random Test Generation/Result/Cli_7/result.json</x:v>
      </x:c>
    </x:row>
    <x:row r="1742">
      <x:c r="A1742" s="34" t="str">
        <x:v>randoop</x:v>
      </x:c>
      <x:c r="B1742" s="34" t="str">
        <x:v>Cli</x:v>
      </x:c>
      <x:c r="C1742" s="34" t="str">
        <x:v>Round1</x:v>
      </x:c>
      <x:c r="D1742" s="34" t="str">
        <x:v>Cli_8</x:v>
      </x:c>
      <x:c r="E1742" s="34" t="str">
        <x:v>Line</x:v>
      </x:c>
      <x:c r="F1742" s="34" t="n">
        <x:v>192</x:v>
      </x:c>
      <x:c r="G1742" s="34" t="str">
        <x:v>RECORDED</x:v>
      </x:c>
      <x:c r="H1742" s="38" t="n">
        <x:f>IF(ISNUMBER('Data'!H34),'Data'!H34*100,"")</x:f>
        <x:v>0</x:v>
      </x:c>
      <x:c r="I1742" s="34" t="str">
        <x:v>PASS</x:v>
      </x:c>
      <x:c r="J1742" s="34" t="str">
        <x:v>PASS</x:v>
      </x:c>
      <x:c r="K1742" s="34" t="str">
        <x:v>PASS</x:v>
      </x:c>
      <x:c r="L1742" s="34" t="str">
        <x:v>FAIL</x:v>
      </x:c>
      <x:c r="M1742" s="34" t="str">
        <x:v>numeric coverage for applicable metric</x:v>
      </x:c>
      <x:c r="N1742" s="34" t="str">
        <x:v>Feedback-Directed Random Test Generation/Result/Cli_8/result.json</x:v>
      </x:c>
      <x:c r="O1742" s="38" t="n">
        <x:f>IF(AND(G1742="RECORDED",ISNUMBER(H1742)),H1742,"")</x:f>
        <x:v>0</x:v>
      </x:c>
      <x:c r="P1742" s="34" t="str">
        <x:v>INCONCLUSIVE</x:v>
      </x:c>
      <x:c r="Q1742" s="34" t="str">
        <x:v>Feedback-Directed Random Test Generation/Result/Cli_8/result.json</x:v>
      </x:c>
    </x:row>
    <x:row r="1743">
      <x:c r="A1743" s="34" t="str">
        <x:v>randoop</x:v>
      </x:c>
      <x:c r="B1743" s="34" t="str">
        <x:v>Cli</x:v>
      </x:c>
      <x:c r="C1743" s="34" t="str">
        <x:v>Round1</x:v>
      </x:c>
      <x:c r="D1743" s="34" t="str">
        <x:v>Cli_9</x:v>
      </x:c>
      <x:c r="E1743" s="34" t="str">
        <x:v>Line</x:v>
      </x:c>
      <x:c r="F1743" s="34" t="n">
        <x:v>105</x:v>
      </x:c>
      <x:c r="G1743" s="34" t="str">
        <x:v>RECORDED</x:v>
      </x:c>
      <x:c r="H1743" s="38" t="n">
        <x:f>IF(ISNUMBER('Data'!H35),'Data'!H35*100,"")</x:f>
        <x:v>0</x:v>
      </x:c>
      <x:c r="I1743" s="34" t="str">
        <x:v>PASS</x:v>
      </x:c>
      <x:c r="J1743" s="34" t="str">
        <x:v>PASS</x:v>
      </x:c>
      <x:c r="K1743" s="34" t="str">
        <x:v>PASS</x:v>
      </x:c>
      <x:c r="L1743" s="34" t="str">
        <x:v>FAIL</x:v>
      </x:c>
      <x:c r="M1743" s="34" t="str">
        <x:v>numeric coverage for applicable metric</x:v>
      </x:c>
      <x:c r="N1743" s="34" t="str">
        <x:v>Feedback-Directed Random Test Generation/Result/Cli_9/result.json</x:v>
      </x:c>
      <x:c r="O1743" s="38" t="n">
        <x:f>IF(AND(G1743="RECORDED",ISNUMBER(H1743)),H1743,"")</x:f>
        <x:v>0</x:v>
      </x:c>
      <x:c r="P1743" s="34" t="str">
        <x:v>INCONCLUSIVE</x:v>
      </x:c>
      <x:c r="Q1743" s="34" t="str">
        <x:v>Feedback-Directed Random Test Generation/Result/Cli_9/result.json</x:v>
      </x:c>
    </x:row>
    <x:row r="1744">
      <x:c r="A1744" s="34" t="str">
        <x:v>randoop</x:v>
      </x:c>
      <x:c r="B1744" s="34" t="str">
        <x:v>Cli</x:v>
      </x:c>
      <x:c r="C1744" s="34" t="str">
        <x:v>Round1</x:v>
      </x:c>
      <x:c r="D1744" s="34" t="str">
        <x:v>Cli_10</x:v>
      </x:c>
      <x:c r="E1744" s="34" t="str">
        <x:v>Line</x:v>
      </x:c>
      <x:c r="F1744" s="34" t="n">
        <x:v>106</x:v>
      </x:c>
      <x:c r="G1744" s="34" t="str">
        <x:v>RECORDED</x:v>
      </x:c>
      <x:c r="H1744" s="38" t="n">
        <x:f>IF(ISNUMBER('Data'!H36),'Data'!H36*100,"")</x:f>
        <x:v>0</x:v>
      </x:c>
      <x:c r="I1744" s="34" t="str">
        <x:v>PASS</x:v>
      </x:c>
      <x:c r="J1744" s="34" t="str">
        <x:v>PASS</x:v>
      </x:c>
      <x:c r="K1744" s="34" t="str">
        <x:v>PASS</x:v>
      </x:c>
      <x:c r="L1744" s="34" t="str">
        <x:v>FAIL</x:v>
      </x:c>
      <x:c r="M1744" s="34" t="str">
        <x:v>numeric coverage for applicable metric</x:v>
      </x:c>
      <x:c r="N1744" s="34" t="str">
        <x:v>Feedback-Directed Random Test Generation/Result/Cli_10/result.json</x:v>
      </x:c>
      <x:c r="O1744" s="38" t="n">
        <x:f>IF(AND(G1744="RECORDED",ISNUMBER(H1744)),H1744,"")</x:f>
        <x:v>0</x:v>
      </x:c>
      <x:c r="P1744" s="34" t="str">
        <x:v>INCONCLUSIVE</x:v>
      </x:c>
      <x:c r="Q1744" s="34" t="str">
        <x:v>Feedback-Directed Random Test Generation/Result/Cli_10/result.json</x:v>
      </x:c>
    </x:row>
    <x:row r="1745">
      <x:c r="A1745" s="34" t="str">
        <x:v>randoop</x:v>
      </x:c>
      <x:c r="B1745" s="34" t="str">
        <x:v>Cli</x:v>
      </x:c>
      <x:c r="C1745" s="34" t="str">
        <x:v>Round1</x:v>
      </x:c>
      <x:c r="D1745" s="34" t="str">
        <x:v>Cli_11</x:v>
      </x:c>
      <x:c r="E1745" s="34" t="str">
        <x:v>Line</x:v>
      </x:c>
      <x:c r="F1745" s="34" t="n">
        <x:v>198</x:v>
      </x:c>
      <x:c r="G1745" s="34" t="str">
        <x:v>RECORDED</x:v>
      </x:c>
      <x:c r="H1745" s="38" t="n">
        <x:f>IF(ISNUMBER('Data'!H37),'Data'!H37*100,"")</x:f>
        <x:v>0</x:v>
      </x:c>
      <x:c r="I1745" s="34" t="str">
        <x:v>PASS</x:v>
      </x:c>
      <x:c r="J1745" s="34" t="str">
        <x:v>PASS</x:v>
      </x:c>
      <x:c r="K1745" s="34" t="str">
        <x:v>PASS</x:v>
      </x:c>
      <x:c r="L1745" s="34" t="str">
        <x:v>FAIL</x:v>
      </x:c>
      <x:c r="M1745" s="34" t="str">
        <x:v>numeric coverage for applicable metric</x:v>
      </x:c>
      <x:c r="N1745" s="34" t="str">
        <x:v>Feedback-Directed Random Test Generation/Result/Cli_11/result.json</x:v>
      </x:c>
      <x:c r="O1745" s="38" t="n">
        <x:f>IF(AND(G1745="RECORDED",ISNUMBER(H1745)),H1745,"")</x:f>
        <x:v>0</x:v>
      </x:c>
      <x:c r="P1745" s="34" t="str">
        <x:v>INCONCLUSIVE</x:v>
      </x:c>
      <x:c r="Q1745" s="34" t="str">
        <x:v>Feedback-Directed Random Test Generation/Result/Cli_11/result.json</x:v>
      </x:c>
    </x:row>
    <x:row r="1746">
      <x:c r="A1746" s="34" t="str">
        <x:v>randoop</x:v>
      </x:c>
      <x:c r="B1746" s="34" t="str">
        <x:v>Cli</x:v>
      </x:c>
      <x:c r="C1746" s="34" t="str">
        <x:v>Round1</x:v>
      </x:c>
      <x:c r="D1746" s="34" t="str">
        <x:v>Cli_12</x:v>
      </x:c>
      <x:c r="E1746" s="34" t="str">
        <x:v>Line</x:v>
      </x:c>
      <x:c r="F1746" s="34" t="n">
        <x:v>25</x:v>
      </x:c>
      <x:c r="G1746" s="34" t="str">
        <x:v>RECORDED</x:v>
      </x:c>
      <x:c r="H1746" s="38" t="n">
        <x:f>IF(ISNUMBER('Data'!H38),'Data'!H38*100,"")</x:f>
        <x:v>0</x:v>
      </x:c>
      <x:c r="I1746" s="34" t="str">
        <x:v>PASS</x:v>
      </x:c>
      <x:c r="J1746" s="34" t="str">
        <x:v>PASS</x:v>
      </x:c>
      <x:c r="K1746" s="34" t="str">
        <x:v>PASS</x:v>
      </x:c>
      <x:c r="L1746" s="34" t="str">
        <x:v>FAIL</x:v>
      </x:c>
      <x:c r="M1746" s="34" t="str">
        <x:v>numeric coverage for applicable metric</x:v>
      </x:c>
      <x:c r="N1746" s="34" t="str">
        <x:v>Feedback-Directed Random Test Generation/Result/Cli_12/result.json</x:v>
      </x:c>
      <x:c r="O1746" s="38" t="n">
        <x:f>IF(AND(G1746="RECORDED",ISNUMBER(H1746)),H1746,"")</x:f>
        <x:v>0</x:v>
      </x:c>
      <x:c r="P1746" s="34" t="str">
        <x:v>INCONCLUSIVE</x:v>
      </x:c>
      <x:c r="Q1746" s="34" t="str">
        <x:v>Feedback-Directed Random Test Generation/Result/Cli_12/result.json</x:v>
      </x:c>
    </x:row>
    <x:row r="1747">
      <x:c r="A1747" s="34" t="str">
        <x:v>randoop</x:v>
      </x:c>
      <x:c r="B1747" s="34" t="str">
        <x:v>Cli</x:v>
      </x:c>
      <x:c r="C1747" s="34" t="str">
        <x:v>Round1</x:v>
      </x:c>
      <x:c r="D1747" s="34" t="str">
        <x:v>Cli_13</x:v>
      </x:c>
      <x:c r="E1747" s="34" t="str">
        <x:v>Line</x:v>
      </x:c>
      <x:c r="F1747" s="34" t="n">
        <x:v>193</x:v>
      </x:c>
      <x:c r="G1747" s="34" t="str">
        <x:v>RECORDED</x:v>
      </x:c>
      <x:c r="H1747" s="38" t="n">
        <x:f>IF(ISNUMBER('Data'!H39),'Data'!H39*100,"")</x:f>
        <x:v>0</x:v>
      </x:c>
      <x:c r="I1747" s="34" t="str">
        <x:v>PASS</x:v>
      </x:c>
      <x:c r="J1747" s="34" t="str">
        <x:v>PASS</x:v>
      </x:c>
      <x:c r="K1747" s="34" t="str">
        <x:v>PASS</x:v>
      </x:c>
      <x:c r="L1747" s="34" t="str">
        <x:v>FAIL</x:v>
      </x:c>
      <x:c r="M1747" s="34" t="str">
        <x:v>numeric coverage for applicable metric</x:v>
      </x:c>
      <x:c r="N1747" s="34" t="str">
        <x:v>Feedback-Directed Random Test Generation/Result/Cli_13/result.json</x:v>
      </x:c>
      <x:c r="O1747" s="38" t="n">
        <x:f>IF(AND(G1747="RECORDED",ISNUMBER(H1747)),H1747,"")</x:f>
        <x:v>0</x:v>
      </x:c>
      <x:c r="P1747" s="34" t="str">
        <x:v>INCONCLUSIVE</x:v>
      </x:c>
      <x:c r="Q1747" s="34" t="str">
        <x:v>Feedback-Directed Random Test Generation/Result/Cli_13/result.json</x:v>
      </x:c>
    </x:row>
    <x:row r="1748">
      <x:c r="A1748" s="34" t="str">
        <x:v>randoop</x:v>
      </x:c>
      <x:c r="B1748" s="34" t="str">
        <x:v>Cli</x:v>
      </x:c>
      <x:c r="C1748" s="34" t="str">
        <x:v>Round1</x:v>
      </x:c>
      <x:c r="D1748" s="34" t="str">
        <x:v>Cli_14</x:v>
      </x:c>
      <x:c r="E1748" s="34" t="str">
        <x:v>Line</x:v>
      </x:c>
      <x:c r="F1748" s="34" t="n">
        <x:v>189</x:v>
      </x:c>
      <x:c r="G1748" s="34" t="str">
        <x:v>RECORDED</x:v>
      </x:c>
      <x:c r="H1748" s="38" t="n">
        <x:f>IF(ISNUMBER('Data'!H40),'Data'!H40*100,"")</x:f>
        <x:v>0</x:v>
      </x:c>
      <x:c r="I1748" s="34" t="str">
        <x:v>PASS</x:v>
      </x:c>
      <x:c r="J1748" s="34" t="str">
        <x:v>PASS</x:v>
      </x:c>
      <x:c r="K1748" s="34" t="str">
        <x:v>PASS</x:v>
      </x:c>
      <x:c r="L1748" s="34" t="str">
        <x:v>FAIL</x:v>
      </x:c>
      <x:c r="M1748" s="34" t="str">
        <x:v>numeric coverage for applicable metric</x:v>
      </x:c>
      <x:c r="N1748" s="34" t="str">
        <x:v>Feedback-Directed Random Test Generation/Result/Cli_14/result.json</x:v>
      </x:c>
      <x:c r="O1748" s="38" t="n">
        <x:f>IF(AND(G1748="RECORDED",ISNUMBER(H1748)),H1748,"")</x:f>
        <x:v>0</x:v>
      </x:c>
      <x:c r="P1748" s="34" t="str">
        <x:v>INCONCLUSIVE</x:v>
      </x:c>
      <x:c r="Q1748" s="34" t="str">
        <x:v>Feedback-Directed Random Test Generation/Result/Cli_14/result.json</x:v>
      </x:c>
    </x:row>
    <x:row r="1749">
      <x:c r="A1749" s="34" t="str">
        <x:v>randoop</x:v>
      </x:c>
      <x:c r="B1749" s="34" t="str">
        <x:v>Cli</x:v>
      </x:c>
      <x:c r="C1749" s="34" t="str">
        <x:v>Round1</x:v>
      </x:c>
      <x:c r="D1749" s="34" t="str">
        <x:v>Cli_15</x:v>
      </x:c>
      <x:c r="E1749" s="34" t="str">
        <x:v>Line</x:v>
      </x:c>
      <x:c r="F1749" s="34" t="n">
        <x:v>93</x:v>
      </x:c>
      <x:c r="G1749" s="34" t="str">
        <x:v>RECORDED</x:v>
      </x:c>
      <x:c r="H1749" s="38" t="n">
        <x:f>IF(ISNUMBER('Data'!H41),'Data'!H41*100,"")</x:f>
        <x:v>0</x:v>
      </x:c>
      <x:c r="I1749" s="34" t="str">
        <x:v>PASS</x:v>
      </x:c>
      <x:c r="J1749" s="34" t="str">
        <x:v>PASS</x:v>
      </x:c>
      <x:c r="K1749" s="34" t="str">
        <x:v>PASS</x:v>
      </x:c>
      <x:c r="L1749" s="34" t="str">
        <x:v>FAIL</x:v>
      </x:c>
      <x:c r="M1749" s="34" t="str">
        <x:v>numeric coverage for applicable metric</x:v>
      </x:c>
      <x:c r="N1749" s="34" t="str">
        <x:v>Feedback-Directed Random Test Generation/Result/Cli_15/result.json</x:v>
      </x:c>
      <x:c r="O1749" s="38" t="n">
        <x:f>IF(AND(G1749="RECORDED",ISNUMBER(H1749)),H1749,"")</x:f>
        <x:v>0</x:v>
      </x:c>
      <x:c r="P1749" s="34" t="str">
        <x:v>INCONCLUSIVE</x:v>
      </x:c>
      <x:c r="Q1749" s="34" t="str">
        <x:v>Feedback-Directed Random Test Generation/Result/Cli_15/result.json</x:v>
      </x:c>
    </x:row>
    <x:row r="1750">
      <x:c r="A1750" s="34" t="str">
        <x:v>randoop</x:v>
      </x:c>
      <x:c r="B1750" s="34" t="str">
        <x:v>Cli</x:v>
      </x:c>
      <x:c r="C1750" s="34" t="str">
        <x:v>Round1</x:v>
      </x:c>
      <x:c r="D1750" s="34" t="str">
        <x:v>Cli_16</x:v>
      </x:c>
      <x:c r="E1750" s="34" t="str">
        <x:v>Line</x:v>
      </x:c>
      <x:c r="F1750" s="34" t="n">
        <x:v>343</x:v>
      </x:c>
      <x:c r="G1750" s="34" t="str">
        <x:v>RECORDED</x:v>
      </x:c>
      <x:c r="H1750" s="38" t="n">
        <x:f>IF(ISNUMBER('Data'!H42),'Data'!H42*100,"")</x:f>
        <x:v>0</x:v>
      </x:c>
      <x:c r="I1750" s="34" t="str">
        <x:v>PASS</x:v>
      </x:c>
      <x:c r="J1750" s="34" t="str">
        <x:v>PASS</x:v>
      </x:c>
      <x:c r="K1750" s="34" t="str">
        <x:v>PASS</x:v>
      </x:c>
      <x:c r="L1750" s="34" t="str">
        <x:v>FAIL</x:v>
      </x:c>
      <x:c r="M1750" s="34" t="str">
        <x:v>numeric coverage for applicable metric</x:v>
      </x:c>
      <x:c r="N1750" s="34" t="str">
        <x:v>Feedback-Directed Random Test Generation/Result/Cli_16/result.json</x:v>
      </x:c>
      <x:c r="O1750" s="38" t="n">
        <x:f>IF(AND(G1750="RECORDED",ISNUMBER(H1750)),H1750,"")</x:f>
        <x:v>0</x:v>
      </x:c>
      <x:c r="P1750" s="34" t="str">
        <x:v>INCONCLUSIVE</x:v>
      </x:c>
      <x:c r="Q1750" s="34" t="str">
        <x:v>Feedback-Directed Random Test Generation/Result/Cli_16/result.json</x:v>
      </x:c>
    </x:row>
    <x:row r="1751">
      <x:c r="A1751" s="34" t="str">
        <x:v>randoop</x:v>
      </x:c>
      <x:c r="B1751" s="34" t="str">
        <x:v>Cli</x:v>
      </x:c>
      <x:c r="C1751" s="34" t="str">
        <x:v>Round1</x:v>
      </x:c>
      <x:c r="D1751" s="34" t="str">
        <x:v>Cli_17</x:v>
      </x:c>
      <x:c r="E1751" s="34" t="str">
        <x:v>Line</x:v>
      </x:c>
      <x:c r="F1751" s="34" t="n">
        <x:v>67</x:v>
      </x:c>
      <x:c r="G1751" s="34" t="str">
        <x:v>RECORDED</x:v>
      </x:c>
      <x:c r="H1751" s="38" t="n">
        <x:f>IF(ISNUMBER('Data'!H43),'Data'!H43*100,"")</x:f>
        <x:v>0</x:v>
      </x:c>
      <x:c r="I1751" s="34" t="str">
        <x:v>PASS</x:v>
      </x:c>
      <x:c r="J1751" s="34" t="str">
        <x:v>PASS</x:v>
      </x:c>
      <x:c r="K1751" s="34" t="str">
        <x:v>PASS</x:v>
      </x:c>
      <x:c r="L1751" s="34" t="str">
        <x:v>FAIL</x:v>
      </x:c>
      <x:c r="M1751" s="34" t="str">
        <x:v>numeric coverage for applicable metric</x:v>
      </x:c>
      <x:c r="N1751" s="34" t="str">
        <x:v>Feedback-Directed Random Test Generation/Result/Cli_17/result.json</x:v>
      </x:c>
      <x:c r="O1751" s="38" t="n">
        <x:f>IF(AND(G1751="RECORDED",ISNUMBER(H1751)),H1751,"")</x:f>
        <x:v>0</x:v>
      </x:c>
      <x:c r="P1751" s="34" t="str">
        <x:v>INCONCLUSIVE</x:v>
      </x:c>
      <x:c r="Q1751" s="34" t="str">
        <x:v>Feedback-Directed Random Test Generation/Result/Cli_17/result.json</x:v>
      </x:c>
    </x:row>
    <x:row r="1752">
      <x:c r="A1752" s="34" t="str">
        <x:v>randoop</x:v>
      </x:c>
      <x:c r="B1752" s="34" t="str">
        <x:v>Cli</x:v>
      </x:c>
      <x:c r="C1752" s="34" t="str">
        <x:v>Round1</x:v>
      </x:c>
      <x:c r="D1752" s="34" t="str">
        <x:v>Cli_18</x:v>
      </x:c>
      <x:c r="E1752" s="34" t="str">
        <x:v>Line</x:v>
      </x:c>
      <x:c r="F1752" s="34" t="n">
        <x:v>66</x:v>
      </x:c>
      <x:c r="G1752" s="34" t="str">
        <x:v>RECORDED</x:v>
      </x:c>
      <x:c r="H1752" s="38" t="n">
        <x:f>IF(ISNUMBER('Data'!H44),'Data'!H44*100,"")</x:f>
        <x:v>0</x:v>
      </x:c>
      <x:c r="I1752" s="34" t="str">
        <x:v>PASS</x:v>
      </x:c>
      <x:c r="J1752" s="34" t="str">
        <x:v>PASS</x:v>
      </x:c>
      <x:c r="K1752" s="34" t="str">
        <x:v>PASS</x:v>
      </x:c>
      <x:c r="L1752" s="34" t="str">
        <x:v>FAIL</x:v>
      </x:c>
      <x:c r="M1752" s="34" t="str">
        <x:v>numeric coverage for applicable metric</x:v>
      </x:c>
      <x:c r="N1752" s="34" t="str">
        <x:v>Feedback-Directed Random Test Generation/Result/Cli_18/result.json</x:v>
      </x:c>
      <x:c r="O1752" s="38" t="n">
        <x:f>IF(AND(G1752="RECORDED",ISNUMBER(H1752)),H1752,"")</x:f>
        <x:v>0</x:v>
      </x:c>
      <x:c r="P1752" s="34" t="str">
        <x:v>INCONCLUSIVE</x:v>
      </x:c>
      <x:c r="Q1752" s="34" t="str">
        <x:v>Feedback-Directed Random Test Generation/Result/Cli_18/result.json</x:v>
      </x:c>
    </x:row>
    <x:row r="1753">
      <x:c r="A1753" s="34" t="str">
        <x:v>randoop</x:v>
      </x:c>
      <x:c r="B1753" s="34" t="str">
        <x:v>Cli</x:v>
      </x:c>
      <x:c r="C1753" s="34" t="str">
        <x:v>Round1</x:v>
      </x:c>
      <x:c r="D1753" s="34" t="str">
        <x:v>Cli_19</x:v>
      </x:c>
      <x:c r="E1753" s="34" t="str">
        <x:v>Line</x:v>
      </x:c>
      <x:c r="F1753" s="34" t="n">
        <x:v>65</x:v>
      </x:c>
      <x:c r="G1753" s="34" t="str">
        <x:v>RECORDED</x:v>
      </x:c>
      <x:c r="H1753" s="38" t="n">
        <x:f>IF(ISNUMBER('Data'!H45),'Data'!H45*100,"")</x:f>
        <x:v>0</x:v>
      </x:c>
      <x:c r="I1753" s="34" t="str">
        <x:v>PASS</x:v>
      </x:c>
      <x:c r="J1753" s="34" t="str">
        <x:v>PASS</x:v>
      </x:c>
      <x:c r="K1753" s="34" t="str">
        <x:v>PASS</x:v>
      </x:c>
      <x:c r="L1753" s="34" t="str">
        <x:v>FAIL</x:v>
      </x:c>
      <x:c r="M1753" s="34" t="str">
        <x:v>numeric coverage for applicable metric</x:v>
      </x:c>
      <x:c r="N1753" s="34" t="str">
        <x:v>Feedback-Directed Random Test Generation/Result/Cli_19/result.json</x:v>
      </x:c>
      <x:c r="O1753" s="38" t="n">
        <x:f>IF(AND(G1753="RECORDED",ISNUMBER(H1753)),H1753,"")</x:f>
        <x:v>0</x:v>
      </x:c>
      <x:c r="P1753" s="34" t="str">
        <x:v>INCONCLUSIVE</x:v>
      </x:c>
      <x:c r="Q1753" s="34" t="str">
        <x:v>Feedback-Directed Random Test Generation/Result/Cli_19/result.json</x:v>
      </x:c>
    </x:row>
    <x:row r="1754">
      <x:c r="A1754" s="34" t="str">
        <x:v>randoop</x:v>
      </x:c>
      <x:c r="B1754" s="34" t="str">
        <x:v>Cli</x:v>
      </x:c>
      <x:c r="C1754" s="34" t="str">
        <x:v>Round1</x:v>
      </x:c>
      <x:c r="D1754" s="34" t="str">
        <x:v>Cli_20</x:v>
      </x:c>
      <x:c r="E1754" s="34" t="str">
        <x:v>Line</x:v>
      </x:c>
      <x:c r="F1754" s="34" t="n">
        <x:v>64</x:v>
      </x:c>
      <x:c r="G1754" s="34" t="str">
        <x:v>RECORDED</x:v>
      </x:c>
      <x:c r="H1754" s="38" t="n">
        <x:f>IF(ISNUMBER('Data'!H46),'Data'!H46*100,"")</x:f>
        <x:v>0</x:v>
      </x:c>
      <x:c r="I1754" s="34" t="str">
        <x:v>PASS</x:v>
      </x:c>
      <x:c r="J1754" s="34" t="str">
        <x:v>PASS</x:v>
      </x:c>
      <x:c r="K1754" s="34" t="str">
        <x:v>PASS</x:v>
      </x:c>
      <x:c r="L1754" s="34" t="str">
        <x:v>FAIL</x:v>
      </x:c>
      <x:c r="M1754" s="34" t="str">
        <x:v>numeric coverage for applicable metric</x:v>
      </x:c>
      <x:c r="N1754" s="34" t="str">
        <x:v>Feedback-Directed Random Test Generation/Result/Cli_20/result.json</x:v>
      </x:c>
      <x:c r="O1754" s="38" t="n">
        <x:f>IF(AND(G1754="RECORDED",ISNUMBER(H1754)),H1754,"")</x:f>
        <x:v>0</x:v>
      </x:c>
      <x:c r="P1754" s="34" t="str">
        <x:v>INCONCLUSIVE</x:v>
      </x:c>
      <x:c r="Q1754" s="34" t="str">
        <x:v>Feedback-Directed Random Test Generation/Result/Cli_20/result.json</x:v>
      </x:c>
    </x:row>
    <x:row r="1755">
      <x:c r="A1755" s="34" t="str">
        <x:v>randoop</x:v>
      </x:c>
      <x:c r="B1755" s="34" t="str">
        <x:v>Cli</x:v>
      </x:c>
      <x:c r="C1755" s="34" t="str">
        <x:v>Round1</x:v>
      </x:c>
      <x:c r="D1755" s="34" t="str">
        <x:v>Cli_21</x:v>
      </x:c>
      <x:c r="E1755" s="34" t="str">
        <x:v>Line</x:v>
      </x:c>
      <x:c r="F1755" s="34" t="n">
        <x:v>294</x:v>
      </x:c>
      <x:c r="G1755" s="34" t="str">
        <x:v>RECORDED</x:v>
      </x:c>
      <x:c r="H1755" s="38" t="n">
        <x:f>IF(ISNUMBER('Data'!H47),'Data'!H47*100,"")</x:f>
        <x:v>0</x:v>
      </x:c>
      <x:c r="I1755" s="34" t="str">
        <x:v>PASS</x:v>
      </x:c>
      <x:c r="J1755" s="34" t="str">
        <x:v>PASS</x:v>
      </x:c>
      <x:c r="K1755" s="34" t="str">
        <x:v>PASS</x:v>
      </x:c>
      <x:c r="L1755" s="34" t="str">
        <x:v>FAIL</x:v>
      </x:c>
      <x:c r="M1755" s="34" t="str">
        <x:v>numeric coverage for applicable metric</x:v>
      </x:c>
      <x:c r="N1755" s="34" t="str">
        <x:v>Feedback-Directed Random Test Generation/Result/Cli_21/result.json</x:v>
      </x:c>
      <x:c r="O1755" s="38" t="n">
        <x:f>IF(AND(G1755="RECORDED",ISNUMBER(H1755)),H1755,"")</x:f>
        <x:v>0</x:v>
      </x:c>
      <x:c r="P1755" s="34" t="str">
        <x:v>INCONCLUSIVE</x:v>
      </x:c>
      <x:c r="Q1755" s="34" t="str">
        <x:v>Feedback-Directed Random Test Generation/Result/Cli_21/result.json</x:v>
      </x:c>
    </x:row>
    <x:row r="1756">
      <x:c r="A1756" s="34" t="str">
        <x:v>randoop</x:v>
      </x:c>
      <x:c r="B1756" s="34" t="str">
        <x:v>Cli</x:v>
      </x:c>
      <x:c r="C1756" s="34" t="str">
        <x:v>Round1</x:v>
      </x:c>
      <x:c r="D1756" s="34" t="str">
        <x:v>Cli_22</x:v>
      </x:c>
      <x:c r="E1756" s="34" t="str">
        <x:v>Line</x:v>
      </x:c>
      <x:c r="F1756" s="34" t="n">
        <x:v>57</x:v>
      </x:c>
      <x:c r="G1756" s="34" t="str">
        <x:v>RECORDED</x:v>
      </x:c>
      <x:c r="H1756" s="38" t="n">
        <x:f>IF(ISNUMBER('Data'!H48),'Data'!H48*100,"")</x:f>
        <x:v>0</x:v>
      </x:c>
      <x:c r="I1756" s="34" t="str">
        <x:v>PASS</x:v>
      </x:c>
      <x:c r="J1756" s="34" t="str">
        <x:v>PASS</x:v>
      </x:c>
      <x:c r="K1756" s="34" t="str">
        <x:v>PASS</x:v>
      </x:c>
      <x:c r="L1756" s="34" t="str">
        <x:v>FAIL</x:v>
      </x:c>
      <x:c r="M1756" s="34" t="str">
        <x:v>numeric coverage for applicable metric</x:v>
      </x:c>
      <x:c r="N1756" s="34" t="str">
        <x:v>Feedback-Directed Random Test Generation/Result/Cli_22/result.json</x:v>
      </x:c>
      <x:c r="O1756" s="38" t="n">
        <x:f>IF(AND(G1756="RECORDED",ISNUMBER(H1756)),H1756,"")</x:f>
        <x:v>0</x:v>
      </x:c>
      <x:c r="P1756" s="34" t="str">
        <x:v>INCONCLUSIVE</x:v>
      </x:c>
      <x:c r="Q1756" s="34" t="str">
        <x:v>Feedback-Directed Random Test Generation/Result/Cli_22/result.json</x:v>
      </x:c>
    </x:row>
    <x:row r="1757">
      <x:c r="A1757" s="34" t="str">
        <x:v>randoop</x:v>
      </x:c>
      <x:c r="B1757" s="34" t="str">
        <x:v>Cli</x:v>
      </x:c>
      <x:c r="C1757" s="34" t="str">
        <x:v>Round1</x:v>
      </x:c>
      <x:c r="D1757" s="34" t="str">
        <x:v>Cli_23</x:v>
      </x:c>
      <x:c r="E1757" s="34" t="str">
        <x:v>Line</x:v>
      </x:c>
      <x:c r="F1757" s="34" t="n">
        <x:v>198</x:v>
      </x:c>
      <x:c r="G1757" s="34" t="str">
        <x:v>RECORDED</x:v>
      </x:c>
      <x:c r="H1757" s="38" t="n">
        <x:f>IF(ISNUMBER('Data'!H49),'Data'!H49*100,"")</x:f>
        <x:v>0</x:v>
      </x:c>
      <x:c r="I1757" s="34" t="str">
        <x:v>PASS</x:v>
      </x:c>
      <x:c r="J1757" s="34" t="str">
        <x:v>PASS</x:v>
      </x:c>
      <x:c r="K1757" s="34" t="str">
        <x:v>PASS</x:v>
      </x:c>
      <x:c r="L1757" s="34" t="str">
        <x:v>FAIL</x:v>
      </x:c>
      <x:c r="M1757" s="34" t="str">
        <x:v>numeric coverage for applicable metric</x:v>
      </x:c>
      <x:c r="N1757" s="34" t="str">
        <x:v>Feedback-Directed Random Test Generation/Result/Cli_23/result.json</x:v>
      </x:c>
      <x:c r="O1757" s="38" t="n">
        <x:f>IF(AND(G1757="RECORDED",ISNUMBER(H1757)),H1757,"")</x:f>
        <x:v>0</x:v>
      </x:c>
      <x:c r="P1757" s="34" t="str">
        <x:v>INCONCLUSIVE</x:v>
      </x:c>
      <x:c r="Q1757" s="34" t="str">
        <x:v>Feedback-Directed Random Test Generation/Result/Cli_23/result.json</x:v>
      </x:c>
    </x:row>
    <x:row r="1758">
      <x:c r="A1758" s="34" t="str">
        <x:v>randoop</x:v>
      </x:c>
      <x:c r="B1758" s="34" t="str">
        <x:v>Cli</x:v>
      </x:c>
      <x:c r="C1758" s="34" t="str">
        <x:v>Round1</x:v>
      </x:c>
      <x:c r="D1758" s="34" t="str">
        <x:v>Cli_24</x:v>
      </x:c>
      <x:c r="E1758" s="34" t="str">
        <x:v>Line</x:v>
      </x:c>
      <x:c r="F1758" s="34" t="n">
        <x:v>198</x:v>
      </x:c>
      <x:c r="G1758" s="34" t="str">
        <x:v>RECORDED</x:v>
      </x:c>
      <x:c r="H1758" s="38" t="n">
        <x:f>IF(ISNUMBER('Data'!H50),'Data'!H50*100,"")</x:f>
        <x:v>0</x:v>
      </x:c>
      <x:c r="I1758" s="34" t="str">
        <x:v>PASS</x:v>
      </x:c>
      <x:c r="J1758" s="34" t="str">
        <x:v>PASS</x:v>
      </x:c>
      <x:c r="K1758" s="34" t="str">
        <x:v>PASS</x:v>
      </x:c>
      <x:c r="L1758" s="34" t="str">
        <x:v>FAIL</x:v>
      </x:c>
      <x:c r="M1758" s="34" t="str">
        <x:v>numeric coverage for applicable metric</x:v>
      </x:c>
      <x:c r="N1758" s="34" t="str">
        <x:v>Feedback-Directed Random Test Generation/Result/Cli_24/result.json</x:v>
      </x:c>
      <x:c r="O1758" s="38" t="n">
        <x:f>IF(AND(G1758="RECORDED",ISNUMBER(H1758)),H1758,"")</x:f>
        <x:v>0</x:v>
      </x:c>
      <x:c r="P1758" s="34" t="str">
        <x:v>INCONCLUSIVE</x:v>
      </x:c>
      <x:c r="Q1758" s="34" t="str">
        <x:v>Feedback-Directed Random Test Generation/Result/Cli_24/result.json</x:v>
      </x:c>
    </x:row>
    <x:row r="1759">
      <x:c r="A1759" s="34" t="str">
        <x:v>randoop</x:v>
      </x:c>
      <x:c r="B1759" s="34" t="str">
        <x:v>Cli</x:v>
      </x:c>
      <x:c r="C1759" s="34" t="str">
        <x:v>Round1</x:v>
      </x:c>
      <x:c r="D1759" s="34" t="str">
        <x:v>Cli_25</x:v>
      </x:c>
      <x:c r="E1759" s="34" t="str">
        <x:v>Line</x:v>
      </x:c>
      <x:c r="F1759" s="34" t="n">
        <x:v>198</x:v>
      </x:c>
      <x:c r="G1759" s="34" t="str">
        <x:v>RECORDED</x:v>
      </x:c>
      <x:c r="H1759" s="38" t="n">
        <x:f>IF(ISNUMBER('Data'!H51),'Data'!H51*100,"")</x:f>
        <x:v>0</x:v>
      </x:c>
      <x:c r="I1759" s="34" t="str">
        <x:v>PASS</x:v>
      </x:c>
      <x:c r="J1759" s="34" t="str">
        <x:v>PASS</x:v>
      </x:c>
      <x:c r="K1759" s="34" t="str">
        <x:v>PASS</x:v>
      </x:c>
      <x:c r="L1759" s="34" t="str">
        <x:v>FAIL</x:v>
      </x:c>
      <x:c r="M1759" s="34" t="str">
        <x:v>numeric coverage for applicable metric</x:v>
      </x:c>
      <x:c r="N1759" s="34" t="str">
        <x:v>Feedback-Directed Random Test Generation/Result/Cli_25/result.json</x:v>
      </x:c>
      <x:c r="O1759" s="38" t="n">
        <x:f>IF(AND(G1759="RECORDED",ISNUMBER(H1759)),H1759,"")</x:f>
        <x:v>0</x:v>
      </x:c>
      <x:c r="P1759" s="34" t="str">
        <x:v>INCONCLUSIVE</x:v>
      </x:c>
      <x:c r="Q1759" s="34" t="str">
        <x:v>Feedback-Directed Random Test Generation/Result/Cli_25/result.json</x:v>
      </x:c>
    </x:row>
    <x:row r="1760">
      <x:c r="A1760" s="34" t="str">
        <x:v>randoop</x:v>
      </x:c>
      <x:c r="B1760" s="34" t="str">
        <x:v>Cli</x:v>
      </x:c>
      <x:c r="C1760" s="34" t="str">
        <x:v>Round1</x:v>
      </x:c>
      <x:c r="D1760" s="34" t="str">
        <x:v>Cli_26</x:v>
      </x:c>
      <x:c r="E1760" s="34" t="str">
        <x:v>Line</x:v>
      </x:c>
      <x:c r="F1760" s="34" t="n">
        <x:v>61</x:v>
      </x:c>
      <x:c r="G1760" s="34" t="str">
        <x:v>RECORDED</x:v>
      </x:c>
      <x:c r="H1760" s="38" t="n">
        <x:f>IF(ISNUMBER('Data'!H52),'Data'!H52*100,"")</x:f>
        <x:v>0</x:v>
      </x:c>
      <x:c r="I1760" s="34" t="str">
        <x:v>PASS</x:v>
      </x:c>
      <x:c r="J1760" s="34" t="str">
        <x:v>PASS</x:v>
      </x:c>
      <x:c r="K1760" s="34" t="str">
        <x:v>PASS</x:v>
      </x:c>
      <x:c r="L1760" s="34" t="str">
        <x:v>FAIL</x:v>
      </x:c>
      <x:c r="M1760" s="34" t="str">
        <x:v>numeric coverage for applicable metric</x:v>
      </x:c>
      <x:c r="N1760" s="34" t="str">
        <x:v>Feedback-Directed Random Test Generation/Result/Cli_26/result.json</x:v>
      </x:c>
      <x:c r="O1760" s="38" t="n">
        <x:f>IF(AND(G1760="RECORDED",ISNUMBER(H1760)),H1760,"")</x:f>
        <x:v>0</x:v>
      </x:c>
      <x:c r="P1760" s="34" t="str">
        <x:v>INCONCLUSIVE</x:v>
      </x:c>
      <x:c r="Q1760" s="34" t="str">
        <x:v>Feedback-Directed Random Test Generation/Result/Cli_26/result.json</x:v>
      </x:c>
    </x:row>
    <x:row r="1761">
      <x:c r="A1761" s="34" t="str">
        <x:v>randoop</x:v>
      </x:c>
      <x:c r="B1761" s="34" t="str">
        <x:v>Cli</x:v>
      </x:c>
      <x:c r="C1761" s="34" t="str">
        <x:v>Round1</x:v>
      </x:c>
      <x:c r="D1761" s="34" t="str">
        <x:v>Cli_27</x:v>
      </x:c>
      <x:c r="E1761" s="34" t="str">
        <x:v>Line</x:v>
      </x:c>
      <x:c r="F1761" s="34" t="n">
        <x:v>34</x:v>
      </x:c>
      <x:c r="G1761" s="34" t="str">
        <x:v>RECORDED</x:v>
      </x:c>
      <x:c r="H1761" s="38" t="n">
        <x:f>IF(ISNUMBER('Data'!H53),'Data'!H53*100,"")</x:f>
        <x:v>0</x:v>
      </x:c>
      <x:c r="I1761" s="34" t="str">
        <x:v>PASS</x:v>
      </x:c>
      <x:c r="J1761" s="34" t="str">
        <x:v>PASS</x:v>
      </x:c>
      <x:c r="K1761" s="34" t="str">
        <x:v>PASS</x:v>
      </x:c>
      <x:c r="L1761" s="34" t="str">
        <x:v>FAIL</x:v>
      </x:c>
      <x:c r="M1761" s="34" t="str">
        <x:v>numeric coverage for applicable metric</x:v>
      </x:c>
      <x:c r="N1761" s="34" t="str">
        <x:v>Feedback-Directed Random Test Generation/Result/Cli_27/result.json</x:v>
      </x:c>
      <x:c r="O1761" s="38" t="n">
        <x:f>IF(AND(G1761="RECORDED",ISNUMBER(H1761)),H1761,"")</x:f>
        <x:v>0</x:v>
      </x:c>
      <x:c r="P1761" s="34" t="str">
        <x:v>INCONCLUSIVE</x:v>
      </x:c>
      <x:c r="Q1761" s="34" t="str">
        <x:v>Feedback-Directed Random Test Generation/Result/Cli_27/result.json</x:v>
      </x:c>
    </x:row>
    <x:row r="1762">
      <x:c r="A1762" s="34" t="str">
        <x:v>randoop</x:v>
      </x:c>
      <x:c r="B1762" s="34" t="str">
        <x:v>Cli</x:v>
      </x:c>
      <x:c r="C1762" s="34" t="str">
        <x:v>Round1</x:v>
      </x:c>
      <x:c r="D1762" s="34" t="str">
        <x:v>Cli_28</x:v>
      </x:c>
      <x:c r="E1762" s="34" t="str">
        <x:v>Line</x:v>
      </x:c>
      <x:c r="F1762" s="34" t="n">
        <x:v>101</x:v>
      </x:c>
      <x:c r="G1762" s="34" t="str">
        <x:v>RECORDED</x:v>
      </x:c>
      <x:c r="H1762" s="38" t="n">
        <x:f>IF(ISNUMBER('Data'!H54),'Data'!H54*100,"")</x:f>
        <x:v>0</x:v>
      </x:c>
      <x:c r="I1762" s="34" t="str">
        <x:v>PASS</x:v>
      </x:c>
      <x:c r="J1762" s="34" t="str">
        <x:v>PASS</x:v>
      </x:c>
      <x:c r="K1762" s="34" t="str">
        <x:v>PASS</x:v>
      </x:c>
      <x:c r="L1762" s="34" t="str">
        <x:v>FAIL</x:v>
      </x:c>
      <x:c r="M1762" s="34" t="str">
        <x:v>numeric coverage for applicable metric</x:v>
      </x:c>
      <x:c r="N1762" s="34" t="str">
        <x:v>Feedback-Directed Random Test Generation/Result/Cli_28/result.json</x:v>
      </x:c>
      <x:c r="O1762" s="38" t="n">
        <x:f>IF(AND(G1762="RECORDED",ISNUMBER(H1762)),H1762,"")</x:f>
        <x:v>0</x:v>
      </x:c>
      <x:c r="P1762" s="34" t="str">
        <x:v>INCONCLUSIVE</x:v>
      </x:c>
      <x:c r="Q1762" s="34" t="str">
        <x:v>Feedback-Directed Random Test Generation/Result/Cli_28/result.json</x:v>
      </x:c>
    </x:row>
    <x:row r="1763">
      <x:c r="A1763" s="34" t="str">
        <x:v>randoop</x:v>
      </x:c>
      <x:c r="B1763" s="34" t="str">
        <x:v>Cli</x:v>
      </x:c>
      <x:c r="C1763" s="34" t="str">
        <x:v>Round1</x:v>
      </x:c>
      <x:c r="D1763" s="34" t="str">
        <x:v>Cli_29</x:v>
      </x:c>
      <x:c r="E1763" s="34" t="str">
        <x:v>Line</x:v>
      </x:c>
      <x:c r="F1763" s="34" t="n">
        <x:v>14</x:v>
      </x:c>
      <x:c r="G1763" s="34" t="str">
        <x:v>RECORDED</x:v>
      </x:c>
      <x:c r="H1763" s="38" t="n">
        <x:f>IF(ISNUMBER('Data'!H55),'Data'!H55*100,"")</x:f>
        <x:v>0</x:v>
      </x:c>
      <x:c r="I1763" s="34" t="str">
        <x:v>PASS</x:v>
      </x:c>
      <x:c r="J1763" s="34" t="str">
        <x:v>PASS</x:v>
      </x:c>
      <x:c r="K1763" s="34" t="str">
        <x:v>PASS</x:v>
      </x:c>
      <x:c r="L1763" s="34" t="str">
        <x:v>FAIL</x:v>
      </x:c>
      <x:c r="M1763" s="34" t="str">
        <x:v>numeric coverage for applicable metric</x:v>
      </x:c>
      <x:c r="N1763" s="34" t="str">
        <x:v>Feedback-Directed Random Test Generation/Result/Cli_29/result.json</x:v>
      </x:c>
      <x:c r="O1763" s="38" t="n">
        <x:f>IF(AND(G1763="RECORDED",ISNUMBER(H1763)),H1763,"")</x:f>
        <x:v>0</x:v>
      </x:c>
      <x:c r="P1763" s="34" t="str">
        <x:v>INCONCLUSIVE</x:v>
      </x:c>
      <x:c r="Q1763" s="34" t="str">
        <x:v>Feedback-Directed Random Test Generation/Result/Cli_29/result.json</x:v>
      </x:c>
    </x:row>
    <x:row r="1764">
      <x:c r="A1764" s="34" t="str">
        <x:v>randoop</x:v>
      </x:c>
      <x:c r="B1764" s="34" t="str">
        <x:v>Cli</x:v>
      </x:c>
      <x:c r="C1764" s="34" t="str">
        <x:v>Round1</x:v>
      </x:c>
      <x:c r="D1764" s="34" t="str">
        <x:v>Cli_30</x:v>
      </x:c>
      <x:c r="E1764" s="34" t="str">
        <x:v>Line</x:v>
      </x:c>
      <x:c r="F1764" s="34" t="n">
        <x:v>288</x:v>
      </x:c>
      <x:c r="G1764" s="34" t="str">
        <x:v>RECORDED</x:v>
      </x:c>
      <x:c r="H1764" s="38" t="n">
        <x:f>IF(ISNUMBER('Data'!H56),'Data'!H56*100,"")</x:f>
        <x:v>0</x:v>
      </x:c>
      <x:c r="I1764" s="34" t="str">
        <x:v>PASS</x:v>
      </x:c>
      <x:c r="J1764" s="34" t="str">
        <x:v>PASS</x:v>
      </x:c>
      <x:c r="K1764" s="34" t="str">
        <x:v>PASS</x:v>
      </x:c>
      <x:c r="L1764" s="34" t="str">
        <x:v>FAIL</x:v>
      </x:c>
      <x:c r="M1764" s="34" t="str">
        <x:v>numeric coverage for applicable metric</x:v>
      </x:c>
      <x:c r="N1764" s="34" t="str">
        <x:v>Feedback-Directed Random Test Generation/Result/Cli_30/result.json</x:v>
      </x:c>
      <x:c r="O1764" s="38" t="n">
        <x:f>IF(AND(G1764="RECORDED",ISNUMBER(H1764)),H1764,"")</x:f>
        <x:v>0</x:v>
      </x:c>
      <x:c r="P1764" s="34" t="str">
        <x:v>INCONCLUSIVE</x:v>
      </x:c>
      <x:c r="Q1764" s="34" t="str">
        <x:v>Feedback-Directed Random Test Generation/Result/Cli_30/result.json</x:v>
      </x:c>
    </x:row>
    <x:row r="1765">
      <x:c r="A1765" s="34" t="str">
        <x:v>randoop</x:v>
      </x:c>
      <x:c r="B1765" s="34" t="str">
        <x:v>Cli</x:v>
      </x:c>
      <x:c r="C1765" s="34" t="str">
        <x:v>Round1</x:v>
      </x:c>
      <x:c r="D1765" s="34" t="str">
        <x:v>Cli_31</x:v>
      </x:c>
      <x:c r="E1765" s="34" t="str">
        <x:v>Line</x:v>
      </x:c>
      <x:c r="F1765" s="34" t="n">
        <x:v>386</x:v>
      </x:c>
      <x:c r="G1765" s="34" t="str">
        <x:v>RECORDED</x:v>
      </x:c>
      <x:c r="H1765" s="38" t="n">
        <x:f>IF(ISNUMBER('Data'!H57),'Data'!H57*100,"")</x:f>
        <x:v>0</x:v>
      </x:c>
      <x:c r="I1765" s="34" t="str">
        <x:v>PASS</x:v>
      </x:c>
      <x:c r="J1765" s="34" t="str">
        <x:v>PASS</x:v>
      </x:c>
      <x:c r="K1765" s="34" t="str">
        <x:v>PASS</x:v>
      </x:c>
      <x:c r="L1765" s="34" t="str">
        <x:v>FAIL</x:v>
      </x:c>
      <x:c r="M1765" s="34" t="str">
        <x:v>numeric coverage for applicable metric</x:v>
      </x:c>
      <x:c r="N1765" s="34" t="str">
        <x:v>Feedback-Directed Random Test Generation/Result/Cli_31/result.json</x:v>
      </x:c>
      <x:c r="O1765" s="38" t="n">
        <x:f>IF(AND(G1765="RECORDED",ISNUMBER(H1765)),H1765,"")</x:f>
        <x:v>0</x:v>
      </x:c>
      <x:c r="P1765" s="34" t="str">
        <x:v>INCONCLUSIVE</x:v>
      </x:c>
      <x:c r="Q1765" s="34" t="str">
        <x:v>Feedback-Directed Random Test Generation/Result/Cli_31/result.json</x:v>
      </x:c>
    </x:row>
    <x:row r="1766">
      <x:c r="A1766" s="34" t="str">
        <x:v>randoop</x:v>
      </x:c>
      <x:c r="B1766" s="34" t="str">
        <x:v>Cli</x:v>
      </x:c>
      <x:c r="C1766" s="34" t="str">
        <x:v>Round1</x:v>
      </x:c>
      <x:c r="D1766" s="34" t="str">
        <x:v>Cli_32</x:v>
      </x:c>
      <x:c r="E1766" s="34" t="str">
        <x:v>Line</x:v>
      </x:c>
      <x:c r="F1766" s="34" t="n">
        <x:v>203</x:v>
      </x:c>
      <x:c r="G1766" s="34" t="str">
        <x:v>RECORDED</x:v>
      </x:c>
      <x:c r="H1766" s="38" t="n">
        <x:f>IF(ISNUMBER('Data'!H58),'Data'!H58*100,"")</x:f>
        <x:v>0</x:v>
      </x:c>
      <x:c r="I1766" s="34" t="str">
        <x:v>PASS</x:v>
      </x:c>
      <x:c r="J1766" s="34" t="str">
        <x:v>PASS</x:v>
      </x:c>
      <x:c r="K1766" s="34" t="str">
        <x:v>PASS</x:v>
      </x:c>
      <x:c r="L1766" s="34" t="str">
        <x:v>FAIL</x:v>
      </x:c>
      <x:c r="M1766" s="34" t="str">
        <x:v>numeric coverage for applicable metric</x:v>
      </x:c>
      <x:c r="N1766" s="34" t="str">
        <x:v>Feedback-Directed Random Test Generation/Result/Cli_32/result.json</x:v>
      </x:c>
      <x:c r="O1766" s="38" t="n">
        <x:f>IF(AND(G1766="RECORDED",ISNUMBER(H1766)),H1766,"")</x:f>
        <x:v>0</x:v>
      </x:c>
      <x:c r="P1766" s="34" t="str">
        <x:v>INCONCLUSIVE</x:v>
      </x:c>
      <x:c r="Q1766" s="34" t="str">
        <x:v>Feedback-Directed Random Test Generation/Result/Cli_32/result.json</x:v>
      </x:c>
    </x:row>
    <x:row r="1767">
      <x:c r="A1767" s="34" t="str">
        <x:v>randoop</x:v>
      </x:c>
      <x:c r="B1767" s="34" t="str">
        <x:v>Cli</x:v>
      </x:c>
      <x:c r="C1767" s="34" t="str">
        <x:v>Round1</x:v>
      </x:c>
      <x:c r="D1767" s="34" t="str">
        <x:v>Cli_33</x:v>
      </x:c>
      <x:c r="E1767" s="34" t="str">
        <x:v>Line</x:v>
      </x:c>
      <x:c r="F1767" s="34" t="n">
        <x:v>201</x:v>
      </x:c>
      <x:c r="G1767" s="34" t="str">
        <x:v>RECORDED</x:v>
      </x:c>
      <x:c r="H1767" s="38" t="n">
        <x:f>IF(ISNUMBER('Data'!H59),'Data'!H59*100,"")</x:f>
        <x:v>0</x:v>
      </x:c>
      <x:c r="I1767" s="34" t="str">
        <x:v>PASS</x:v>
      </x:c>
      <x:c r="J1767" s="34" t="str">
        <x:v>PASS</x:v>
      </x:c>
      <x:c r="K1767" s="34" t="str">
        <x:v>PASS</x:v>
      </x:c>
      <x:c r="L1767" s="34" t="str">
        <x:v>FAIL</x:v>
      </x:c>
      <x:c r="M1767" s="34" t="str">
        <x:v>numeric coverage for applicable metric</x:v>
      </x:c>
      <x:c r="N1767" s="34" t="str">
        <x:v>Feedback-Directed Random Test Generation/Result/Cli_33/result.json</x:v>
      </x:c>
      <x:c r="O1767" s="38" t="n">
        <x:f>IF(AND(G1767="RECORDED",ISNUMBER(H1767)),H1767,"")</x:f>
        <x:v>0</x:v>
      </x:c>
      <x:c r="P1767" s="34" t="str">
        <x:v>INCONCLUSIVE</x:v>
      </x:c>
      <x:c r="Q1767" s="34" t="str">
        <x:v>Feedback-Directed Random Test Generation/Result/Cli_33/result.json</x:v>
      </x:c>
    </x:row>
    <x:row r="1768">
      <x:c r="A1768" s="34" t="str">
        <x:v>randoop</x:v>
      </x:c>
      <x:c r="B1768" s="34" t="str">
        <x:v>Cli</x:v>
      </x:c>
      <x:c r="C1768" s="34" t="str">
        <x:v>Round1</x:v>
      </x:c>
      <x:c r="D1768" s="34" t="str">
        <x:v>Cli_34</x:v>
      </x:c>
      <x:c r="E1768" s="34" t="str">
        <x:v>Line</x:v>
      </x:c>
      <x:c r="F1768" s="34" t="n">
        <x:v>180</x:v>
      </x:c>
      <x:c r="G1768" s="34" t="str">
        <x:v>RECORDED</x:v>
      </x:c>
      <x:c r="H1768" s="38" t="n">
        <x:f>IF(ISNUMBER('Data'!H60),'Data'!H60*100,"")</x:f>
        <x:v>0</x:v>
      </x:c>
      <x:c r="I1768" s="34" t="str">
        <x:v>PASS</x:v>
      </x:c>
      <x:c r="J1768" s="34" t="str">
        <x:v>PASS</x:v>
      </x:c>
      <x:c r="K1768" s="34" t="str">
        <x:v>PASS</x:v>
      </x:c>
      <x:c r="L1768" s="34" t="str">
        <x:v>FAIL</x:v>
      </x:c>
      <x:c r="M1768" s="34" t="str">
        <x:v>numeric coverage for applicable metric</x:v>
      </x:c>
      <x:c r="N1768" s="34" t="str">
        <x:v>Feedback-Directed Random Test Generation/Result/Cli_34/result.json</x:v>
      </x:c>
      <x:c r="O1768" s="38" t="n">
        <x:f>IF(AND(G1768="RECORDED",ISNUMBER(H1768)),H1768,"")</x:f>
        <x:v>0</x:v>
      </x:c>
      <x:c r="P1768" s="34" t="str">
        <x:v>INCONCLUSIVE</x:v>
      </x:c>
      <x:c r="Q1768" s="34" t="str">
        <x:v>Feedback-Directed Random Test Generation/Result/Cli_34/result.json</x:v>
      </x:c>
    </x:row>
    <x:row r="1769">
      <x:c r="A1769" s="34" t="str">
        <x:v>randoop</x:v>
      </x:c>
      <x:c r="B1769" s="34" t="str">
        <x:v>Cli</x:v>
      </x:c>
      <x:c r="C1769" s="34" t="str">
        <x:v>Round1</x:v>
      </x:c>
      <x:c r="D1769" s="34" t="str">
        <x:v>Cli_35</x:v>
      </x:c>
      <x:c r="E1769" s="34" t="str">
        <x:v>Line</x:v>
      </x:c>
      <x:c r="F1769" s="34" t="n">
        <x:v>57</x:v>
      </x:c>
      <x:c r="G1769" s="34" t="str">
        <x:v>RECORDED</x:v>
      </x:c>
      <x:c r="H1769" s="38" t="n">
        <x:f>IF(ISNUMBER('Data'!H61),'Data'!H61*100,"")</x:f>
        <x:v>82.46</x:v>
      </x:c>
      <x:c r="I1769" s="34" t="str">
        <x:v>PASS</x:v>
      </x:c>
      <x:c r="J1769" s="34" t="str">
        <x:v>PASS</x:v>
      </x:c>
      <x:c r="K1769" s="34" t="str">
        <x:v>PASS</x:v>
      </x:c>
      <x:c r="L1769" s="34" t="str">
        <x:v>PASS</x:v>
      </x:c>
      <x:c r="M1769" s="34" t="str">
        <x:v>numeric coverage for applicable metric</x:v>
      </x:c>
      <x:c r="N1769" s="34" t="str">
        <x:v>Feedback-Directed Random Test Generation/Result/Cli_35/result.json</x:v>
      </x:c>
      <x:c r="O1769" s="38" t="n">
        <x:f>IF(AND(G1769="RECORDED",ISNUMBER(H1769)),H1769,"")</x:f>
        <x:v>82.46</x:v>
      </x:c>
      <x:c r="P1769" s="34" t="str">
        <x:v>NOT_REVEALING</x:v>
      </x:c>
      <x:c r="Q1769" s="34" t="str">
        <x:v>Feedback-Directed Random Test Generation/Result/Cli_35/result.json</x:v>
      </x:c>
    </x:row>
    <x:row r="1770">
      <x:c r="A1770" s="34" t="str">
        <x:v>randoop</x:v>
      </x:c>
      <x:c r="B1770" s="34" t="str">
        <x:v>Cli</x:v>
      </x:c>
      <x:c r="C1770" s="34" t="str">
        <x:v>Round1</x:v>
      </x:c>
      <x:c r="D1770" s="34" t="str">
        <x:v>Cli_36</x:v>
      </x:c>
      <x:c r="E1770" s="34" t="str">
        <x:v>Line</x:v>
      </x:c>
      <x:c r="F1770" s="34" t="n">
        <x:v>94</x:v>
      </x:c>
      <x:c r="G1770" s="34" t="str">
        <x:v>RECORDED</x:v>
      </x:c>
      <x:c r="H1770" s="38" t="n">
        <x:f>IF(ISNUMBER('Data'!H62),'Data'!H62*100,"")</x:f>
        <x:v>92.55</x:v>
      </x:c>
      <x:c r="I1770" s="34" t="str">
        <x:v>PASS</x:v>
      </x:c>
      <x:c r="J1770" s="34" t="str">
        <x:v>PASS</x:v>
      </x:c>
      <x:c r="K1770" s="34" t="str">
        <x:v>PASS</x:v>
      </x:c>
      <x:c r="L1770" s="34" t="str">
        <x:v>PASS</x:v>
      </x:c>
      <x:c r="M1770" s="34" t="str">
        <x:v>numeric coverage for applicable metric</x:v>
      </x:c>
      <x:c r="N1770" s="34" t="str">
        <x:v>Feedback-Directed Random Test Generation/Result/Cli_36/result.json</x:v>
      </x:c>
      <x:c r="O1770" s="38" t="n">
        <x:f>IF(AND(G1770="RECORDED",ISNUMBER(H1770)),H1770,"")</x:f>
        <x:v>92.55</x:v>
      </x:c>
      <x:c r="P1770" s="34" t="str">
        <x:v>NOT_REVEALING</x:v>
      </x:c>
      <x:c r="Q1770" s="34" t="str">
        <x:v>Feedback-Directed Random Test Generation/Result/Cli_36/result.json</x:v>
      </x:c>
    </x:row>
    <x:row r="1771">
      <x:c r="A1771" s="34" t="str">
        <x:v>randoop</x:v>
      </x:c>
      <x:c r="B1771" s="34" t="str">
        <x:v>Cli</x:v>
      </x:c>
      <x:c r="C1771" s="34" t="str">
        <x:v>Round1</x:v>
      </x:c>
      <x:c r="D1771" s="34" t="str">
        <x:v>Cli_37</x:v>
      </x:c>
      <x:c r="E1771" s="34" t="str">
        <x:v>Line</x:v>
      </x:c>
      <x:c r="F1771" s="34" t="n">
        <x:v>187</x:v>
      </x:c>
      <x:c r="G1771" s="34" t="str">
        <x:v>RECORDED</x:v>
      </x:c>
      <x:c r="H1771" s="38" t="n">
        <x:f>IF(ISNUMBER('Data'!H63),'Data'!H63*100,"")</x:f>
        <x:v>6.950000000000001</x:v>
      </x:c>
      <x:c r="I1771" s="34" t="str">
        <x:v>PASS</x:v>
      </x:c>
      <x:c r="J1771" s="34" t="str">
        <x:v>PASS</x:v>
      </x:c>
      <x:c r="K1771" s="34" t="str">
        <x:v>PASS</x:v>
      </x:c>
      <x:c r="L1771" s="34" t="str">
        <x:v>FAIL</x:v>
      </x:c>
      <x:c r="M1771" s="34" t="str">
        <x:v>numeric coverage for applicable metric</x:v>
      </x:c>
      <x:c r="N1771" s="34" t="str">
        <x:v>Feedback-Directed Random Test Generation/Result/Cli_37/result.json</x:v>
      </x:c>
      <x:c r="O1771" s="38" t="n">
        <x:f>IF(AND(G1771="RECORDED",ISNUMBER(H1771)),H1771,"")</x:f>
        <x:v>6.950000000000001</x:v>
      </x:c>
      <x:c r="P1771" s="34" t="str">
        <x:v>INCONCLUSIVE</x:v>
      </x:c>
      <x:c r="Q1771" s="34" t="str">
        <x:v>Feedback-Directed Random Test Generation/Result/Cli_37/result.json</x:v>
      </x:c>
    </x:row>
    <x:row r="1772">
      <x:c r="A1772" s="34" t="str">
        <x:v>randoop</x:v>
      </x:c>
      <x:c r="B1772" s="34" t="str">
        <x:v>Cli</x:v>
      </x:c>
      <x:c r="C1772" s="34" t="str">
        <x:v>Round1</x:v>
      </x:c>
      <x:c r="D1772" s="34" t="str">
        <x:v>Cli_38</x:v>
      </x:c>
      <x:c r="E1772" s="34" t="str">
        <x:v>Line</x:v>
      </x:c>
      <x:c r="F1772" s="34" t="n">
        <x:v>191</x:v>
      </x:c>
      <x:c r="G1772" s="34" t="str">
        <x:v>RECORDED</x:v>
      </x:c>
      <x:c r="H1772" s="38" t="n">
        <x:f>IF(ISNUMBER('Data'!H64),'Data'!H64*100,"")</x:f>
        <x:v>6.81</x:v>
      </x:c>
      <x:c r="I1772" s="34" t="str">
        <x:v>PASS</x:v>
      </x:c>
      <x:c r="J1772" s="34" t="str">
        <x:v>PASS</x:v>
      </x:c>
      <x:c r="K1772" s="34" t="str">
        <x:v>PASS</x:v>
      </x:c>
      <x:c r="L1772" s="34" t="str">
        <x:v>FAIL</x:v>
      </x:c>
      <x:c r="M1772" s="34" t="str">
        <x:v>numeric coverage for applicable metric</x:v>
      </x:c>
      <x:c r="N1772" s="34" t="str">
        <x:v>Feedback-Directed Random Test Generation/Result/Cli_38/result.json</x:v>
      </x:c>
      <x:c r="O1772" s="38" t="n">
        <x:f>IF(AND(G1772="RECORDED",ISNUMBER(H1772)),H1772,"")</x:f>
        <x:v>6.81</x:v>
      </x:c>
      <x:c r="P1772" s="34" t="str">
        <x:v>INCONCLUSIVE</x:v>
      </x:c>
      <x:c r="Q1772" s="34" t="str">
        <x:v>Feedback-Directed Random Test Generation/Result/Cli_38/result.json</x:v>
      </x:c>
    </x:row>
    <x:row r="1773">
      <x:c r="A1773" s="34" t="str">
        <x:v>randoop</x:v>
      </x:c>
      <x:c r="B1773" s="34" t="str">
        <x:v>Cli</x:v>
      </x:c>
      <x:c r="C1773" s="34" t="str">
        <x:v>Round1</x:v>
      </x:c>
      <x:c r="D1773" s="34" t="str">
        <x:v>Cli_39</x:v>
      </x:c>
      <x:c r="E1773" s="34" t="str">
        <x:v>Line</x:v>
      </x:c>
      <x:c r="F1773" s="34" t="n">
        <x:v>42</x:v>
      </x:c>
      <x:c r="G1773" s="34" t="str">
        <x:v>RECORDED</x:v>
      </x:c>
      <x:c r="H1773" s="38" t="n">
        <x:f>IF(ISNUMBER('Data'!H65),'Data'!H65*100,"")</x:f>
        <x:v>69.05</x:v>
      </x:c>
      <x:c r="I1773" s="34" t="str">
        <x:v>PASS</x:v>
      </x:c>
      <x:c r="J1773" s="34" t="str">
        <x:v>PASS</x:v>
      </x:c>
      <x:c r="K1773" s="34" t="str">
        <x:v>PASS</x:v>
      </x:c>
      <x:c r="L1773" s="34" t="str">
        <x:v>PASS</x:v>
      </x:c>
      <x:c r="M1773" s="34" t="str">
        <x:v>numeric coverage for applicable metric</x:v>
      </x:c>
      <x:c r="N1773" s="34" t="str">
        <x:v>Feedback-Directed Random Test Generation/Result/Cli_39/result.json</x:v>
      </x:c>
      <x:c r="O1773" s="38" t="n">
        <x:f>IF(AND(G1773="RECORDED",ISNUMBER(H1773)),H1773,"")</x:f>
        <x:v>69.05</x:v>
      </x:c>
      <x:c r="P1773" s="34" t="str">
        <x:v>NOT_REVEALING</x:v>
      </x:c>
      <x:c r="Q1773" s="34" t="str">
        <x:v>Feedback-Directed Random Test Generation/Result/Cli_39/result.json</x:v>
      </x:c>
    </x:row>
    <x:row r="1774">
      <x:c r="A1774" s="34" t="str">
        <x:v>randoop</x:v>
      </x:c>
      <x:c r="B1774" s="34" t="str">
        <x:v>Cli</x:v>
      </x:c>
      <x:c r="C1774" s="34" t="str">
        <x:v>Round1</x:v>
      </x:c>
      <x:c r="D1774" s="34" t="str">
        <x:v>Cli_40</x:v>
      </x:c>
      <x:c r="E1774" s="34" t="str">
        <x:v>Line</x:v>
      </x:c>
      <x:c r="F1774" s="34" t="n">
        <x:v>45</x:v>
      </x:c>
      <x:c r="G1774" s="34" t="str">
        <x:v>RECORDED</x:v>
      </x:c>
      <x:c r="H1774" s="38" t="n">
        <x:f>IF(ISNUMBER('Data'!H66),'Data'!H66*100,"")</x:f>
        <x:v>73.33</x:v>
      </x:c>
      <x:c r="I1774" s="34" t="str">
        <x:v>PASS</x:v>
      </x:c>
      <x:c r="J1774" s="34" t="str">
        <x:v>PASS</x:v>
      </x:c>
      <x:c r="K1774" s="34" t="str">
        <x:v>PASS</x:v>
      </x:c>
      <x:c r="L1774" s="34" t="str">
        <x:v>PASS</x:v>
      </x:c>
      <x:c r="M1774" s="34" t="str">
        <x:v>numeric coverage for applicable metric</x:v>
      </x:c>
      <x:c r="N1774" s="34" t="str">
        <x:v>Feedback-Directed Random Test Generation/Result/Cli_40/result.json</x:v>
      </x:c>
      <x:c r="O1774" s="38" t="n">
        <x:f>IF(AND(G1774="RECORDED",ISNUMBER(H1774)),H1774,"")</x:f>
        <x:v>73.33</x:v>
      </x:c>
      <x:c r="P1774" s="34" t="str">
        <x:v>INCONCLUSIVE</x:v>
      </x:c>
      <x:c r="Q1774" s="34" t="str">
        <x:v>Feedback-Directed Random Test Generation/Result/Cli_40/result.json</x:v>
      </x:c>
    </x:row>
    <x:row r="1775">
      <x:c r="A1775" s="34" t="str">
        <x:v>randoop</x:v>
      </x:c>
      <x:c r="B1775" s="34" t="str">
        <x:v>Closure</x:v>
      </x:c>
      <x:c r="C1775" s="34" t="str">
        <x:v>Round1</x:v>
      </x:c>
      <x:c r="D1775" s="34" t="str">
        <x:v>Closure_1</x:v>
      </x:c>
      <x:c r="E1775" s="34" t="str">
        <x:v>Line</x:v>
      </x:c>
      <x:c r="F1775" s="34" t="n">
        <x:v>390</x:v>
      </x:c>
      <x:c r="G1775" s="34" t="str">
        <x:v>RECORDED</x:v>
      </x:c>
      <x:c r="H1775" s="38" t="n">
        <x:f>IF(ISNUMBER('Data'!H67),'Data'!H67*100,"")</x:f>
        <x:v>3.3300000000000005</x:v>
      </x:c>
      <x:c r="I1775" s="34" t="str">
        <x:v>PASS</x:v>
      </x:c>
      <x:c r="J1775" s="34" t="str">
        <x:v>PASS</x:v>
      </x:c>
      <x:c r="K1775" s="34" t="str">
        <x:v>PASS</x:v>
      </x:c>
      <x:c r="L1775" s="34" t="str">
        <x:v>PASS</x:v>
      </x:c>
      <x:c r="M1775" s="34" t="str">
        <x:v>numeric coverage for applicable metric</x:v>
      </x:c>
      <x:c r="N1775" s="34" t="str">
        <x:v>Feedback-Directed Random Test Generation/Result/Closure_1/result.json</x:v>
      </x:c>
      <x:c r="O1775" s="38" t="n">
        <x:f>IF(AND(G1775="RECORDED",ISNUMBER(H1775)),H1775,"")</x:f>
        <x:v>3.3300000000000005</x:v>
      </x:c>
      <x:c r="P1775" s="34" t="str">
        <x:v>NOT_REVEALING</x:v>
      </x:c>
      <x:c r="Q1775" s="34" t="str">
        <x:v>Feedback-Directed Random Test Generation/Result/Closure_1/result.json</x:v>
      </x:c>
    </x:row>
    <x:row r="1776">
      <x:c r="A1776" s="34" t="str">
        <x:v>randoop</x:v>
      </x:c>
      <x:c r="B1776" s="34" t="str">
        <x:v>Closure</x:v>
      </x:c>
      <x:c r="C1776" s="34" t="str">
        <x:v>Round1</x:v>
      </x:c>
      <x:c r="D1776" s="34" t="str">
        <x:v>Closure_2</x:v>
      </x:c>
      <x:c r="E1776" s="34" t="str">
        <x:v>Line</x:v>
      </x:c>
      <x:c r="F1776" s="34" t="n">
        <x:v>820</x:v>
      </x:c>
      <x:c r="G1776" s="34" t="str">
        <x:v>RECORDED</x:v>
      </x:c>
      <x:c r="H1776" s="38" t="n">
        <x:f>IF(ISNUMBER('Data'!H68),'Data'!H68*100,"")</x:f>
        <x:v>9.15</x:v>
      </x:c>
      <x:c r="I1776" s="34" t="str">
        <x:v>PASS</x:v>
      </x:c>
      <x:c r="J1776" s="34" t="str">
        <x:v>PASS</x:v>
      </x:c>
      <x:c r="K1776" s="34" t="str">
        <x:v>PASS</x:v>
      </x:c>
      <x:c r="L1776" s="34" t="str">
        <x:v>PASS</x:v>
      </x:c>
      <x:c r="M1776" s="34" t="str">
        <x:v>numeric coverage for applicable metric</x:v>
      </x:c>
      <x:c r="N1776" s="34" t="str">
        <x:v>Feedback-Directed Random Test Generation/Result/Closure_2/result.json</x:v>
      </x:c>
      <x:c r="O1776" s="38" t="n">
        <x:f>IF(AND(G1776="RECORDED",ISNUMBER(H1776)),H1776,"")</x:f>
        <x:v>9.15</x:v>
      </x:c>
      <x:c r="P1776" s="34" t="str">
        <x:v>NOT_REVEALING</x:v>
      </x:c>
      <x:c r="Q1776" s="34" t="str">
        <x:v>Feedback-Directed Random Test Generation/Result/Closure_2/result.json</x:v>
      </x:c>
    </x:row>
    <x:row r="1777">
      <x:c r="A1777" s="34" t="str">
        <x:v>randoop</x:v>
      </x:c>
      <x:c r="B1777" s="34" t="str">
        <x:v>Closure</x:v>
      </x:c>
      <x:c r="C1777" s="34" t="str">
        <x:v>Round1</x:v>
      </x:c>
      <x:c r="D1777" s="34" t="str">
        <x:v>Closure_3</x:v>
      </x:c>
      <x:c r="E1777" s="34" t="str">
        <x:v>Line</x:v>
      </x:c>
      <x:c r="F1777" s="34" t="n">
        <x:v>176</x:v>
      </x:c>
      <x:c r="G1777" s="34" t="str">
        <x:v>RECORDED</x:v>
      </x:c>
      <x:c r="H1777" s="38" t="n">
        <x:f>IF(ISNUMBER('Data'!H69),'Data'!H69*100,"")</x:f>
        <x:v>5.68</x:v>
      </x:c>
      <x:c r="I1777" s="34" t="str">
        <x:v>PASS</x:v>
      </x:c>
      <x:c r="J1777" s="34" t="str">
        <x:v>PASS</x:v>
      </x:c>
      <x:c r="K1777" s="34" t="str">
        <x:v>PASS</x:v>
      </x:c>
      <x:c r="L1777" s="34" t="str">
        <x:v>PASS</x:v>
      </x:c>
      <x:c r="M1777" s="34" t="str">
        <x:v>numeric coverage for applicable metric</x:v>
      </x:c>
      <x:c r="N1777" s="34" t="str">
        <x:v>Feedback-Directed Random Test Generation/Result/Closure_3/result.json</x:v>
      </x:c>
      <x:c r="O1777" s="38" t="n">
        <x:f>IF(AND(G1777="RECORDED",ISNUMBER(H1777)),H1777,"")</x:f>
        <x:v>5.68</x:v>
      </x:c>
      <x:c r="P1777" s="34" t="str">
        <x:v>NOT_REVEALING</x:v>
      </x:c>
      <x:c r="Q1777" s="34" t="str">
        <x:v>Feedback-Directed Random Test Generation/Result/Closure_3/result.json</x:v>
      </x:c>
    </x:row>
    <x:row r="1778">
      <x:c r="A1778" s="34" t="str">
        <x:v>randoop</x:v>
      </x:c>
      <x:c r="B1778" s="34" t="str">
        <x:v>Closure</x:v>
      </x:c>
      <x:c r="C1778" s="34" t="str">
        <x:v>Round1</x:v>
      </x:c>
      <x:c r="D1778" s="34" t="str">
        <x:v>Closure_4</x:v>
      </x:c>
      <x:c r="E1778" s="34" t="str">
        <x:v>Line</x:v>
      </x:c>
      <x:c r="F1778" s="34" t="n">
        <x:v>132</x:v>
      </x:c>
      <x:c r="G1778" s="34" t="str">
        <x:v>RECORDED</x:v>
      </x:c>
      <x:c r="H1778" s="38" t="n">
        <x:f>IF(ISNUMBER('Data'!H70),'Data'!H70*100,"")</x:f>
        <x:v>0.76</x:v>
      </x:c>
      <x:c r="I1778" s="34" t="str">
        <x:v>PASS</x:v>
      </x:c>
      <x:c r="J1778" s="34" t="str">
        <x:v>PASS</x:v>
      </x:c>
      <x:c r="K1778" s="34" t="str">
        <x:v>PASS</x:v>
      </x:c>
      <x:c r="L1778" s="34" t="str">
        <x:v>PASS</x:v>
      </x:c>
      <x:c r="M1778" s="34" t="str">
        <x:v>numeric coverage for applicable metric</x:v>
      </x:c>
      <x:c r="N1778" s="34" t="str">
        <x:v>Feedback-Directed Random Test Generation/Result/Closure_4/result.json</x:v>
      </x:c>
      <x:c r="O1778" s="38" t="n">
        <x:f>IF(AND(G1778="RECORDED",ISNUMBER(H1778)),H1778,"")</x:f>
        <x:v>0.76</x:v>
      </x:c>
      <x:c r="P1778" s="34" t="str">
        <x:v>NOT_REVEALING</x:v>
      </x:c>
      <x:c r="Q1778" s="34" t="str">
        <x:v>Feedback-Directed Random Test Generation/Result/Closure_4/result.json</x:v>
      </x:c>
    </x:row>
    <x:row r="1779">
      <x:c r="A1779" s="34" t="str">
        <x:v>randoop</x:v>
      </x:c>
      <x:c r="B1779" s="34" t="str">
        <x:v>Closure</x:v>
      </x:c>
      <x:c r="C1779" s="34" t="str">
        <x:v>Round1</x:v>
      </x:c>
      <x:c r="D1779" s="34" t="str">
        <x:v>Closure_5</x:v>
      </x:c>
      <x:c r="E1779" s="34" t="str">
        <x:v>Line</x:v>
      </x:c>
      <x:c r="F1779" s="34" t="n">
        <x:v>181</x:v>
      </x:c>
      <x:c r="G1779" s="34" t="str">
        <x:v>RECORDED</x:v>
      </x:c>
      <x:c r="H1779" s="38" t="n">
        <x:f>IF(ISNUMBER('Data'!H71),'Data'!H71*100,"")</x:f>
        <x:v>4.42</x:v>
      </x:c>
      <x:c r="I1779" s="34" t="str">
        <x:v>PASS</x:v>
      </x:c>
      <x:c r="J1779" s="34" t="str">
        <x:v>PASS</x:v>
      </x:c>
      <x:c r="K1779" s="34" t="str">
        <x:v>PASS</x:v>
      </x:c>
      <x:c r="L1779" s="34" t="str">
        <x:v>PASS</x:v>
      </x:c>
      <x:c r="M1779" s="34" t="str">
        <x:v>numeric coverage for applicable metric</x:v>
      </x:c>
      <x:c r="N1779" s="34" t="str">
        <x:v>Feedback-Directed Random Test Generation/Result/Closure_5/result.json</x:v>
      </x:c>
      <x:c r="O1779" s="38" t="n">
        <x:f>IF(AND(G1779="RECORDED",ISNUMBER(H1779)),H1779,"")</x:f>
        <x:v>4.42</x:v>
      </x:c>
      <x:c r="P1779" s="34" t="str">
        <x:v>NOT_REVEALING</x:v>
      </x:c>
      <x:c r="Q1779" s="34" t="str">
        <x:v>Feedback-Directed Random Test Generation/Result/Closure_5/result.json</x:v>
      </x:c>
    </x:row>
    <x:row r="1780">
      <x:c r="A1780" s="34" t="str">
        <x:v>randoop</x:v>
      </x:c>
      <x:c r="B1780" s="34" t="str">
        <x:v>Closure</x:v>
      </x:c>
      <x:c r="C1780" s="34" t="str">
        <x:v>Round1</x:v>
      </x:c>
      <x:c r="D1780" s="34" t="str">
        <x:v>Closure_6</x:v>
      </x:c>
      <x:c r="E1780" s="34" t="str">
        <x:v>Line</x:v>
      </x:c>
      <x:c r="F1780" s="34" t="n">
        <x:v>283</x:v>
      </x:c>
      <x:c r="G1780" s="34" t="str">
        <x:v>RECORDED</x:v>
      </x:c>
      <x:c r="H1780" s="38" t="n">
        <x:f>IF(ISNUMBER('Data'!H72),'Data'!H72*100,"")</x:f>
        <x:v>8.48</x:v>
      </x:c>
      <x:c r="I1780" s="34" t="str">
        <x:v>PASS</x:v>
      </x:c>
      <x:c r="J1780" s="34" t="str">
        <x:v>PASS</x:v>
      </x:c>
      <x:c r="K1780" s="34" t="str">
        <x:v>PASS</x:v>
      </x:c>
      <x:c r="L1780" s="34" t="str">
        <x:v>PASS</x:v>
      </x:c>
      <x:c r="M1780" s="34" t="str">
        <x:v>numeric coverage for applicable metric</x:v>
      </x:c>
      <x:c r="N1780" s="34" t="str">
        <x:v>Feedback-Directed Random Test Generation/Result/Closure_6/result.json</x:v>
      </x:c>
      <x:c r="O1780" s="38" t="n">
        <x:f>IF(AND(G1780="RECORDED",ISNUMBER(H1780)),H1780,"")</x:f>
        <x:v>8.48</x:v>
      </x:c>
      <x:c r="P1780" s="34" t="str">
        <x:v>NOT_REVEALING</x:v>
      </x:c>
      <x:c r="Q1780" s="34" t="str">
        <x:v>Feedback-Directed Random Test Generation/Result/Closure_6/result.json</x:v>
      </x:c>
    </x:row>
    <x:row r="1781">
      <x:c r="A1781" s="34" t="str">
        <x:v>randoop</x:v>
      </x:c>
      <x:c r="B1781" s="34" t="str">
        <x:v>Closure</x:v>
      </x:c>
      <x:c r="C1781" s="34" t="str">
        <x:v>Round1</x:v>
      </x:c>
      <x:c r="D1781" s="34" t="str">
        <x:v>Closure_7</x:v>
      </x:c>
      <x:c r="E1781" s="34" t="str">
        <x:v>Line</x:v>
      </x:c>
      <x:c r="F1781" s="34" t="n">
        <x:v>174</x:v>
      </x:c>
      <x:c r="G1781" s="34" t="str">
        <x:v>RECORDED</x:v>
      </x:c>
      <x:c r="H1781" s="38" t="n">
        <x:f>IF(ISNUMBER('Data'!H73),'Data'!H73*100,"")</x:f>
        <x:v>0</x:v>
      </x:c>
      <x:c r="I1781" s="34" t="str">
        <x:v>PASS</x:v>
      </x:c>
      <x:c r="J1781" s="34" t="str">
        <x:v>PASS</x:v>
      </x:c>
      <x:c r="K1781" s="34" t="str">
        <x:v>PASS</x:v>
      </x:c>
      <x:c r="L1781" s="34" t="str">
        <x:v>PASS</x:v>
      </x:c>
      <x:c r="M1781" s="34" t="str">
        <x:v>numeric coverage for applicable metric</x:v>
      </x:c>
      <x:c r="N1781" s="34" t="str">
        <x:v>Feedback-Directed Random Test Generation/Result/Closure_7/result.json</x:v>
      </x:c>
      <x:c r="O1781" s="38" t="n">
        <x:f>IF(AND(G1781="RECORDED",ISNUMBER(H1781)),H1781,"")</x:f>
        <x:v>0</x:v>
      </x:c>
      <x:c r="P1781" s="34" t="str">
        <x:v>NOT_REVEALING</x:v>
      </x:c>
      <x:c r="Q1781" s="34" t="str">
        <x:v>Feedback-Directed Random Test Generation/Result/Closure_7/result.json</x:v>
      </x:c>
    </x:row>
    <x:row r="1782">
      <x:c r="A1782" s="34" t="str">
        <x:v>randoop</x:v>
      </x:c>
      <x:c r="B1782" s="34" t="str">
        <x:v>Closure</x:v>
      </x:c>
      <x:c r="C1782" s="34" t="str">
        <x:v>Round1</x:v>
      </x:c>
      <x:c r="D1782" s="34" t="str">
        <x:v>Closure_8</x:v>
      </x:c>
      <x:c r="E1782" s="34" t="str">
        <x:v>Line</x:v>
      </x:c>
      <x:c r="F1782" s="34" t="n">
        <x:v>84</x:v>
      </x:c>
      <x:c r="G1782" s="34" t="str">
        <x:v>RECORDED</x:v>
      </x:c>
      <x:c r="H1782" s="38" t="n">
        <x:f>IF(ISNUMBER('Data'!H74),'Data'!H74*100,"")</x:f>
        <x:v>4.76</x:v>
      </x:c>
      <x:c r="I1782" s="34" t="str">
        <x:v>PASS</x:v>
      </x:c>
      <x:c r="J1782" s="34" t="str">
        <x:v>PASS</x:v>
      </x:c>
      <x:c r="K1782" s="34" t="str">
        <x:v>PASS</x:v>
      </x:c>
      <x:c r="L1782" s="34" t="str">
        <x:v>PASS</x:v>
      </x:c>
      <x:c r="M1782" s="34" t="str">
        <x:v>numeric coverage for applicable metric</x:v>
      </x:c>
      <x:c r="N1782" s="34" t="str">
        <x:v>Feedback-Directed Random Test Generation/Result/Closure_8/result.json</x:v>
      </x:c>
      <x:c r="O1782" s="38" t="n">
        <x:f>IF(AND(G1782="RECORDED",ISNUMBER(H1782)),H1782,"")</x:f>
        <x:v>4.76</x:v>
      </x:c>
      <x:c r="P1782" s="34" t="str">
        <x:v>NOT_REVEALING</x:v>
      </x:c>
      <x:c r="Q1782" s="34" t="str">
        <x:v>Feedback-Directed Random Test Generation/Result/Closure_8/result.json</x:v>
      </x:c>
    </x:row>
    <x:row r="1783">
      <x:c r="A1783" s="34" t="str">
        <x:v>randoop</x:v>
      </x:c>
      <x:c r="B1783" s="34" t="str">
        <x:v>Closure</x:v>
      </x:c>
      <x:c r="C1783" s="34" t="str">
        <x:v>Round1</x:v>
      </x:c>
      <x:c r="D1783" s="34" t="str">
        <x:v>Closure_9</x:v>
      </x:c>
      <x:c r="E1783" s="34" t="str">
        <x:v>Line</x:v>
      </x:c>
      <x:c r="F1783" s="34" t="n">
        <x:v>109</x:v>
      </x:c>
      <x:c r="G1783" s="34" t="str">
        <x:v>RECORDED</x:v>
      </x:c>
      <x:c r="H1783" s="38" t="n">
        <x:f>IF(ISNUMBER('Data'!H75),'Data'!H75*100,"")</x:f>
        <x:v>26.61</x:v>
      </x:c>
      <x:c r="I1783" s="34" t="str">
        <x:v>PASS</x:v>
      </x:c>
      <x:c r="J1783" s="34" t="str">
        <x:v>PASS</x:v>
      </x:c>
      <x:c r="K1783" s="34" t="str">
        <x:v>PASS</x:v>
      </x:c>
      <x:c r="L1783" s="34" t="str">
        <x:v>PASS</x:v>
      </x:c>
      <x:c r="M1783" s="34" t="str">
        <x:v>numeric coverage for applicable metric</x:v>
      </x:c>
      <x:c r="N1783" s="34" t="str">
        <x:v>Feedback-Directed Random Test Generation/Result/Closure_9/result.json</x:v>
      </x:c>
      <x:c r="O1783" s="38" t="n">
        <x:f>IF(AND(G1783="RECORDED",ISNUMBER(H1783)),H1783,"")</x:f>
        <x:v>26.61</x:v>
      </x:c>
      <x:c r="P1783" s="34" t="str">
        <x:v>NOT_REVEALING</x:v>
      </x:c>
      <x:c r="Q1783" s="34" t="str">
        <x:v>Feedback-Directed Random Test Generation/Result/Closure_9/result.json</x:v>
      </x:c>
    </x:row>
    <x:row r="1784">
      <x:c r="A1784" s="34" t="str">
        <x:v>randoop</x:v>
      </x:c>
      <x:c r="B1784" s="34" t="str">
        <x:v>Closure</x:v>
      </x:c>
      <x:c r="C1784" s="34" t="str">
        <x:v>Round1</x:v>
      </x:c>
      <x:c r="D1784" s="34" t="str">
        <x:v>Closure_10</x:v>
      </x:c>
      <x:c r="E1784" s="34" t="str">
        <x:v>Line</x:v>
      </x:c>
      <x:c r="F1784" s="34" t="n">
        <x:v>1032</x:v>
      </x:c>
      <x:c r="G1784" s="34" t="str">
        <x:v>RECORDED</x:v>
      </x:c>
      <x:c r="H1784" s="38" t="n">
        <x:f>IF(ISNUMBER('Data'!H76),'Data'!H76*100,"")</x:f>
        <x:v>43.41</x:v>
      </x:c>
      <x:c r="I1784" s="34" t="str">
        <x:v>PASS</x:v>
      </x:c>
      <x:c r="J1784" s="34" t="str">
        <x:v>PASS</x:v>
      </x:c>
      <x:c r="K1784" s="34" t="str">
        <x:v>PASS</x:v>
      </x:c>
      <x:c r="L1784" s="34" t="str">
        <x:v>FAIL</x:v>
      </x:c>
      <x:c r="M1784" s="34" t="str">
        <x:v>numeric coverage for applicable metric</x:v>
      </x:c>
      <x:c r="N1784" s="34" t="str">
        <x:v>Feedback-Directed Random Test Generation/Result/Closure_10/result.json</x:v>
      </x:c>
      <x:c r="O1784" s="38" t="n">
        <x:f>IF(AND(G1784="RECORDED",ISNUMBER(H1784)),H1784,"")</x:f>
        <x:v>43.41</x:v>
      </x:c>
      <x:c r="P1784" s="34" t="str">
        <x:v>INCONCLUSIVE</x:v>
      </x:c>
      <x:c r="Q1784" s="34" t="str">
        <x:v>Feedback-Directed Random Test Generation/Result/Closure_10/result.json</x:v>
      </x:c>
    </x:row>
    <x:row r="1785">
      <x:c r="A1785" s="34" t="str">
        <x:v>randoop</x:v>
      </x:c>
      <x:c r="B1785" s="34" t="str">
        <x:v>Closure</x:v>
      </x:c>
      <x:c r="C1785" s="34" t="str">
        <x:v>Round1</x:v>
      </x:c>
      <x:c r="D1785" s="34" t="str">
        <x:v>Closure_11</x:v>
      </x:c>
      <x:c r="E1785" s="34" t="str">
        <x:v>Line</x:v>
      </x:c>
      <x:c r="F1785" s="34" t="n">
        <x:v>778</x:v>
      </x:c>
      <x:c r="G1785" s="34" t="str">
        <x:v>RECORDED</x:v>
      </x:c>
      <x:c r="H1785" s="38" t="n">
        <x:f>IF(ISNUMBER('Data'!H77),'Data'!H77*100,"")</x:f>
        <x:v>8.87</x:v>
      </x:c>
      <x:c r="I1785" s="34" t="str">
        <x:v>PASS</x:v>
      </x:c>
      <x:c r="J1785" s="34" t="str">
        <x:v>PASS</x:v>
      </x:c>
      <x:c r="K1785" s="34" t="str">
        <x:v>PASS</x:v>
      </x:c>
      <x:c r="L1785" s="34" t="str">
        <x:v>PASS</x:v>
      </x:c>
      <x:c r="M1785" s="34" t="str">
        <x:v>numeric coverage for applicable metric</x:v>
      </x:c>
      <x:c r="N1785" s="34" t="str">
        <x:v>Feedback-Directed Random Test Generation/Result/Closure_11/result.json</x:v>
      </x:c>
      <x:c r="O1785" s="38" t="n">
        <x:f>IF(AND(G1785="RECORDED",ISNUMBER(H1785)),H1785,"")</x:f>
        <x:v>8.87</x:v>
      </x:c>
      <x:c r="P1785" s="34" t="str">
        <x:v>NOT_REVEALING</x:v>
      </x:c>
      <x:c r="Q1785" s="34" t="str">
        <x:v>Feedback-Directed Random Test Generation/Result/Closure_11/result.json</x:v>
      </x:c>
    </x:row>
    <x:row r="1786">
      <x:c r="A1786" s="34" t="str">
        <x:v>randoop</x:v>
      </x:c>
      <x:c r="B1786" s="34" t="str">
        <x:v>Closure</x:v>
      </x:c>
      <x:c r="C1786" s="34" t="str">
        <x:v>Round1</x:v>
      </x:c>
      <x:c r="D1786" s="34" t="str">
        <x:v>Closure_12</x:v>
      </x:c>
      <x:c r="E1786" s="34" t="str">
        <x:v>Line</x:v>
      </x:c>
      <x:c r="F1786" s="34" t="n">
        <x:v>88</x:v>
      </x:c>
      <x:c r="G1786" s="34" t="str">
        <x:v>RECORDED</x:v>
      </x:c>
      <x:c r="H1786" s="38" t="n">
        <x:f>IF(ISNUMBER('Data'!H78),'Data'!H78*100,"")</x:f>
        <x:v>12.5</x:v>
      </x:c>
      <x:c r="I1786" s="34" t="str">
        <x:v>PASS</x:v>
      </x:c>
      <x:c r="J1786" s="34" t="str">
        <x:v>PASS</x:v>
      </x:c>
      <x:c r="K1786" s="34" t="str">
        <x:v>PASS</x:v>
      </x:c>
      <x:c r="L1786" s="34" t="str">
        <x:v>PASS</x:v>
      </x:c>
      <x:c r="M1786" s="34" t="str">
        <x:v>numeric coverage for applicable metric</x:v>
      </x:c>
      <x:c r="N1786" s="34" t="str">
        <x:v>Feedback-Directed Random Test Generation/Result/Closure_12/result.json</x:v>
      </x:c>
      <x:c r="O1786" s="38" t="n">
        <x:f>IF(AND(G1786="RECORDED",ISNUMBER(H1786)),H1786,"")</x:f>
        <x:v>12.5</x:v>
      </x:c>
      <x:c r="P1786" s="34" t="str">
        <x:v>NOT_REVEALING</x:v>
      </x:c>
      <x:c r="Q1786" s="34" t="str">
        <x:v>Feedback-Directed Random Test Generation/Result/Closure_12/result.json</x:v>
      </x:c>
    </x:row>
    <x:row r="1787">
      <x:c r="A1787" s="34" t="str">
        <x:v>randoop</x:v>
      </x:c>
      <x:c r="B1787" s="34" t="str">
        <x:v>Closure</x:v>
      </x:c>
      <x:c r="C1787" s="34" t="str">
        <x:v>Round1</x:v>
      </x:c>
      <x:c r="D1787" s="34" t="str">
        <x:v>Closure_13</x:v>
      </x:c>
      <x:c r="E1787" s="34" t="str">
        <x:v>Line</x:v>
      </x:c>
      <x:c r="F1787" s="34" t="n">
        <x:v>86</x:v>
      </x:c>
      <x:c r="G1787" s="34" t="str">
        <x:v>RECORDED</x:v>
      </x:c>
      <x:c r="H1787" s="38" t="n">
        <x:f>IF(ISNUMBER('Data'!H79),'Data'!H79*100,"")</x:f>
        <x:v>0</x:v>
      </x:c>
      <x:c r="I1787" s="34" t="str">
        <x:v>PASS</x:v>
      </x:c>
      <x:c r="J1787" s="34" t="str">
        <x:v>PASS</x:v>
      </x:c>
      <x:c r="K1787" s="34" t="str">
        <x:v>PASS</x:v>
      </x:c>
      <x:c r="L1787" s="34" t="str">
        <x:v>PASS</x:v>
      </x:c>
      <x:c r="M1787" s="34" t="str">
        <x:v>numeric coverage for applicable metric</x:v>
      </x:c>
      <x:c r="N1787" s="34" t="str">
        <x:v>Feedback-Directed Random Test Generation/Result/Closure_13/result.json</x:v>
      </x:c>
      <x:c r="O1787" s="38" t="n">
        <x:f>IF(AND(G1787="RECORDED",ISNUMBER(H1787)),H1787,"")</x:f>
        <x:v>0</x:v>
      </x:c>
      <x:c r="P1787" s="34" t="str">
        <x:v>NOT_REVEALING</x:v>
      </x:c>
      <x:c r="Q1787" s="34" t="str">
        <x:v>Feedback-Directed Random Test Generation/Result/Closure_13/result.json</x:v>
      </x:c>
    </x:row>
    <x:row r="1788">
      <x:c r="A1788" s="34" t="str">
        <x:v>randoop</x:v>
      </x:c>
      <x:c r="B1788" s="34" t="str">
        <x:v>Closure</x:v>
      </x:c>
      <x:c r="C1788" s="34" t="str">
        <x:v>Round1</x:v>
      </x:c>
      <x:c r="D1788" s="34" t="str">
        <x:v>Closure_14</x:v>
      </x:c>
      <x:c r="E1788" s="34" t="str">
        <x:v>Line</x:v>
      </x:c>
      <x:c r="F1788" s="34" t="n">
        <x:v>407</x:v>
      </x:c>
      <x:c r="G1788" s="34" t="str">
        <x:v>RECORDED</x:v>
      </x:c>
      <x:c r="H1788" s="38" t="n">
        <x:f>IF(ISNUMBER('Data'!H80),'Data'!H80*100,"")</x:f>
        <x:v>6.88</x:v>
      </x:c>
      <x:c r="I1788" s="34" t="str">
        <x:v>PASS</x:v>
      </x:c>
      <x:c r="J1788" s="34" t="str">
        <x:v>PASS</x:v>
      </x:c>
      <x:c r="K1788" s="34" t="str">
        <x:v>PASS</x:v>
      </x:c>
      <x:c r="L1788" s="34" t="str">
        <x:v>PASS</x:v>
      </x:c>
      <x:c r="M1788" s="34" t="str">
        <x:v>numeric coverage for applicable metric</x:v>
      </x:c>
      <x:c r="N1788" s="34" t="str">
        <x:v>Feedback-Directed Random Test Generation/Result/Closure_14/result.json</x:v>
      </x:c>
      <x:c r="O1788" s="38" t="n">
        <x:f>IF(AND(G1788="RECORDED",ISNUMBER(H1788)),H1788,"")</x:f>
        <x:v>6.88</x:v>
      </x:c>
      <x:c r="P1788" s="34" t="str">
        <x:v>NOT_REVEALING</x:v>
      </x:c>
      <x:c r="Q1788" s="34" t="str">
        <x:v>Feedback-Directed Random Test Generation/Result/Closure_14/result.json</x:v>
      </x:c>
    </x:row>
    <x:row r="1789">
      <x:c r="A1789" s="34" t="str">
        <x:v>randoop</x:v>
      </x:c>
      <x:c r="B1789" s="34" t="str">
        <x:v>Closure</x:v>
      </x:c>
      <x:c r="C1789" s="34" t="str">
        <x:v>Round1</x:v>
      </x:c>
      <x:c r="D1789" s="34" t="str">
        <x:v>Closure_15</x:v>
      </x:c>
      <x:c r="E1789" s="34" t="str">
        <x:v>Line</x:v>
      </x:c>
      <x:c r="F1789" s="34" t="n">
        <x:v>166</x:v>
      </x:c>
      <x:c r="G1789" s="34" t="str">
        <x:v>RECORDED</x:v>
      </x:c>
      <x:c r="H1789" s="38" t="n">
        <x:f>IF(ISNUMBER('Data'!H81),'Data'!H81*100,"")</x:f>
        <x:v>5.42</x:v>
      </x:c>
      <x:c r="I1789" s="34" t="str">
        <x:v>PASS</x:v>
      </x:c>
      <x:c r="J1789" s="34" t="str">
        <x:v>PASS</x:v>
      </x:c>
      <x:c r="K1789" s="34" t="str">
        <x:v>PASS</x:v>
      </x:c>
      <x:c r="L1789" s="34" t="str">
        <x:v>PASS</x:v>
      </x:c>
      <x:c r="M1789" s="34" t="str">
        <x:v>numeric coverage for applicable metric</x:v>
      </x:c>
      <x:c r="N1789" s="34" t="str">
        <x:v>Feedback-Directed Random Test Generation/Result/Closure_15/result.json</x:v>
      </x:c>
      <x:c r="O1789" s="38" t="n">
        <x:f>IF(AND(G1789="RECORDED",ISNUMBER(H1789)),H1789,"")</x:f>
        <x:v>5.42</x:v>
      </x:c>
      <x:c r="P1789" s="34" t="str">
        <x:v>NOT_REVEALING</x:v>
      </x:c>
      <x:c r="Q1789" s="34" t="str">
        <x:v>Feedback-Directed Random Test Generation/Result/Closure_15/result.json</x:v>
      </x:c>
    </x:row>
    <x:row r="1790">
      <x:c r="A1790" s="34" t="str">
        <x:v>randoop</x:v>
      </x:c>
      <x:c r="B1790" s="34" t="str">
        <x:v>Closure</x:v>
      </x:c>
      <x:c r="C1790" s="34" t="str">
        <x:v>Round1</x:v>
      </x:c>
      <x:c r="D1790" s="34" t="str">
        <x:v>Closure_16</x:v>
      </x:c>
      <x:c r="E1790" s="34" t="str">
        <x:v>Line</x:v>
      </x:c>
      <x:c r="F1790" s="34" t="n">
        <x:v>202</x:v>
      </x:c>
      <x:c r="G1790" s="34" t="str">
        <x:v>RECORDED</x:v>
      </x:c>
      <x:c r="H1790" s="38" t="n">
        <x:f>IF(ISNUMBER('Data'!H82),'Data'!H82*100,"")</x:f>
        <x:v>12.38</x:v>
      </x:c>
      <x:c r="I1790" s="34" t="str">
        <x:v>PASS</x:v>
      </x:c>
      <x:c r="J1790" s="34" t="str">
        <x:v>PASS</x:v>
      </x:c>
      <x:c r="K1790" s="34" t="str">
        <x:v>PASS</x:v>
      </x:c>
      <x:c r="L1790" s="34" t="str">
        <x:v>PASS</x:v>
      </x:c>
      <x:c r="M1790" s="34" t="str">
        <x:v>numeric coverage for applicable metric</x:v>
      </x:c>
      <x:c r="N1790" s="34" t="str">
        <x:v>Feedback-Directed Random Test Generation/Result/Closure_16/result.json</x:v>
      </x:c>
      <x:c r="O1790" s="38" t="n">
        <x:f>IF(AND(G1790="RECORDED",ISNUMBER(H1790)),H1790,"")</x:f>
        <x:v>12.38</x:v>
      </x:c>
      <x:c r="P1790" s="34" t="str">
        <x:v>NOT_REVEALING</x:v>
      </x:c>
      <x:c r="Q1790" s="34" t="str">
        <x:v>Feedback-Directed Random Test Generation/Result/Closure_16/result.json</x:v>
      </x:c>
    </x:row>
    <x:row r="1791">
      <x:c r="A1791" s="34" t="str">
        <x:v>randoop</x:v>
      </x:c>
      <x:c r="B1791" s="34" t="str">
        <x:v>Closure</x:v>
      </x:c>
      <x:c r="C1791" s="34" t="str">
        <x:v>Round1</x:v>
      </x:c>
      <x:c r="D1791" s="34" t="str">
        <x:v>Closure_17</x:v>
      </x:c>
      <x:c r="E1791" s="34" t="str">
        <x:v>Line</x:v>
      </x:c>
      <x:c r="F1791" s="34" t="n">
        <x:v>880</x:v>
      </x:c>
      <x:c r="G1791" s="34" t="str">
        <x:v>RECORDED</x:v>
      </x:c>
      <x:c r="H1791" s="38" t="n">
        <x:f>IF(ISNUMBER('Data'!H83),'Data'!H83*100,"")</x:f>
        <x:v>2.84</x:v>
      </x:c>
      <x:c r="I1791" s="34" t="str">
        <x:v>PASS</x:v>
      </x:c>
      <x:c r="J1791" s="34" t="str">
        <x:v>PASS</x:v>
      </x:c>
      <x:c r="K1791" s="34" t="str">
        <x:v>PASS</x:v>
      </x:c>
      <x:c r="L1791" s="34" t="str">
        <x:v>PASS</x:v>
      </x:c>
      <x:c r="M1791" s="34" t="str">
        <x:v>numeric coverage for applicable metric</x:v>
      </x:c>
      <x:c r="N1791" s="34" t="str">
        <x:v>Feedback-Directed Random Test Generation/Result/Closure_17/result.json</x:v>
      </x:c>
      <x:c r="O1791" s="38" t="n">
        <x:f>IF(AND(G1791="RECORDED",ISNUMBER(H1791)),H1791,"")</x:f>
        <x:v>2.84</x:v>
      </x:c>
      <x:c r="P1791" s="34" t="str">
        <x:v>NOT_REVEALING</x:v>
      </x:c>
      <x:c r="Q1791" s="34" t="str">
        <x:v>Feedback-Directed Random Test Generation/Result/Closure_17/result.json</x:v>
      </x:c>
    </x:row>
    <x:row r="1792">
      <x:c r="A1792" s="34" t="str">
        <x:v>randoop</x:v>
      </x:c>
      <x:c r="B1792" s="34" t="str">
        <x:v>Closure</x:v>
      </x:c>
      <x:c r="C1792" s="34" t="str">
        <x:v>Round1</x:v>
      </x:c>
      <x:c r="D1792" s="34" t="str">
        <x:v>Closure_18</x:v>
      </x:c>
      <x:c r="E1792" s="34" t="str">
        <x:v>Line</x:v>
      </x:c>
      <x:c r="F1792" s="34" t="n">
        <x:v>1006</x:v>
      </x:c>
      <x:c r="G1792" s="34" t="str">
        <x:v>RECORDED</x:v>
      </x:c>
      <x:c r="H1792" s="38" t="n">
        <x:f>IF(ISNUMBER('Data'!H84),'Data'!H84*100,"")</x:f>
        <x:v>59.93999999999999</x:v>
      </x:c>
      <x:c r="I1792" s="34" t="str">
        <x:v>PASS</x:v>
      </x:c>
      <x:c r="J1792" s="34" t="str">
        <x:v>PASS</x:v>
      </x:c>
      <x:c r="K1792" s="34" t="str">
        <x:v>PASS</x:v>
      </x:c>
      <x:c r="L1792" s="34" t="str">
        <x:v>FAIL</x:v>
      </x:c>
      <x:c r="M1792" s="34" t="str">
        <x:v>numeric coverage for applicable metric</x:v>
      </x:c>
      <x:c r="N1792" s="34" t="str">
        <x:v>Feedback-Directed Random Test Generation/Result/Closure_18/result.json</x:v>
      </x:c>
      <x:c r="O1792" s="38" t="n">
        <x:f>IF(AND(G1792="RECORDED",ISNUMBER(H1792)),H1792,"")</x:f>
        <x:v>59.93999999999999</x:v>
      </x:c>
      <x:c r="P1792" s="34" t="str">
        <x:v>INCONCLUSIVE</x:v>
      </x:c>
      <x:c r="Q1792" s="34" t="str">
        <x:v>Feedback-Directed Random Test Generation/Result/Closure_18/result.json</x:v>
      </x:c>
    </x:row>
    <x:row r="1793">
      <x:c r="A1793" s="34" t="str">
        <x:v>randoop</x:v>
      </x:c>
      <x:c r="B1793" s="34" t="str">
        <x:v>Closure</x:v>
      </x:c>
      <x:c r="C1793" s="34" t="str">
        <x:v>Round1</x:v>
      </x:c>
      <x:c r="D1793" s="34" t="str">
        <x:v>Closure_19</x:v>
      </x:c>
      <x:c r="E1793" s="34" t="str">
        <x:v>Line</x:v>
      </x:c>
      <x:c r="F1793" s="34" t="n">
        <x:v>171</x:v>
      </x:c>
      <x:c r="G1793" s="34" t="str">
        <x:v>RECORDED</x:v>
      </x:c>
      <x:c r="H1793" s="38" t="n">
        <x:f>IF(ISNUMBER('Data'!H85),'Data'!H85*100,"")</x:f>
        <x:v>0</x:v>
      </x:c>
      <x:c r="I1793" s="34" t="str">
        <x:v>PASS</x:v>
      </x:c>
      <x:c r="J1793" s="34" t="str">
        <x:v>PASS</x:v>
      </x:c>
      <x:c r="K1793" s="34" t="str">
        <x:v>PASS</x:v>
      </x:c>
      <x:c r="L1793" s="34" t="str">
        <x:v>PASS</x:v>
      </x:c>
      <x:c r="M1793" s="34" t="str">
        <x:v>numeric coverage for applicable metric</x:v>
      </x:c>
      <x:c r="N1793" s="34" t="str">
        <x:v>Feedback-Directed Random Test Generation/Result/Closure_19/result.json</x:v>
      </x:c>
      <x:c r="O1793" s="38" t="n">
        <x:f>IF(AND(G1793="RECORDED",ISNUMBER(H1793)),H1793,"")</x:f>
        <x:v>0</x:v>
      </x:c>
      <x:c r="P1793" s="34" t="str">
        <x:v>NOT_REVEALING</x:v>
      </x:c>
      <x:c r="Q1793" s="34" t="str">
        <x:v>Feedback-Directed Random Test Generation/Result/Closure_19/result.json</x:v>
      </x:c>
    </x:row>
    <x:row r="1794">
      <x:c r="A1794" s="34" t="str">
        <x:v>randoop</x:v>
      </x:c>
      <x:c r="B1794" s="34" t="str">
        <x:v>Closure</x:v>
      </x:c>
      <x:c r="C1794" s="34" t="str">
        <x:v>Round1</x:v>
      </x:c>
      <x:c r="D1794" s="34" t="str">
        <x:v>Closure_20</x:v>
      </x:c>
      <x:c r="E1794" s="34" t="str">
        <x:v>Line</x:v>
      </x:c>
      <x:c r="F1794" s="34" t="n">
        <x:v>754</x:v>
      </x:c>
      <x:c r="G1794" s="34" t="str">
        <x:v>RECORDED</x:v>
      </x:c>
      <x:c r="H1794" s="38" t="n">
        <x:f>IF(ISNUMBER('Data'!H86),'Data'!H86*100,"")</x:f>
        <x:v>3.18</x:v>
      </x:c>
      <x:c r="I1794" s="34" t="str">
        <x:v>PASS</x:v>
      </x:c>
      <x:c r="J1794" s="34" t="str">
        <x:v>PASS</x:v>
      </x:c>
      <x:c r="K1794" s="34" t="str">
        <x:v>PASS</x:v>
      </x:c>
      <x:c r="L1794" s="34" t="str">
        <x:v>PASS</x:v>
      </x:c>
      <x:c r="M1794" s="34" t="str">
        <x:v>numeric coverage for applicable metric</x:v>
      </x:c>
      <x:c r="N1794" s="34" t="str">
        <x:v>Feedback-Directed Random Test Generation/Result/Closure_20/result.json</x:v>
      </x:c>
      <x:c r="O1794" s="38" t="n">
        <x:f>IF(AND(G1794="RECORDED",ISNUMBER(H1794)),H1794,"")</x:f>
        <x:v>3.18</x:v>
      </x:c>
      <x:c r="P1794" s="34" t="str">
        <x:v>NOT_REVEALING</x:v>
      </x:c>
      <x:c r="Q1794" s="34" t="str">
        <x:v>Feedback-Directed Random Test Generation/Result/Closure_20/result.json</x:v>
      </x:c>
    </x:row>
    <x:row r="1795">
      <x:c r="A1795" s="34" t="str">
        <x:v>randoop</x:v>
      </x:c>
      <x:c r="B1795" s="34" t="str">
        <x:v>Closure</x:v>
      </x:c>
      <x:c r="C1795" s="34" t="str">
        <x:v>Round1</x:v>
      </x:c>
      <x:c r="D1795" s="34" t="str">
        <x:v>Closure_21</x:v>
      </x:c>
      <x:c r="E1795" s="34" t="str">
        <x:v>Line</x:v>
      </x:c>
      <x:c r="F1795" s="34" t="n">
        <x:v>81</x:v>
      </x:c>
      <x:c r="G1795" s="34" t="str">
        <x:v>RECORDED</x:v>
      </x:c>
      <x:c r="H1795" s="38" t="n">
        <x:f>IF(ISNUMBER('Data'!H87),'Data'!H87*100,"")</x:f>
        <x:v>18.52</x:v>
      </x:c>
      <x:c r="I1795" s="34" t="str">
        <x:v>PASS</x:v>
      </x:c>
      <x:c r="J1795" s="34" t="str">
        <x:v>PASS</x:v>
      </x:c>
      <x:c r="K1795" s="34" t="str">
        <x:v>PASS</x:v>
      </x:c>
      <x:c r="L1795" s="34" t="str">
        <x:v>PASS</x:v>
      </x:c>
      <x:c r="M1795" s="34" t="str">
        <x:v>numeric coverage for applicable metric</x:v>
      </x:c>
      <x:c r="N1795" s="34" t="str">
        <x:v>Feedback-Directed Random Test Generation/Result/Closure_21/result.json</x:v>
      </x:c>
      <x:c r="O1795" s="38" t="n">
        <x:f>IF(AND(G1795="RECORDED",ISNUMBER(H1795)),H1795,"")</x:f>
        <x:v>18.52</x:v>
      </x:c>
      <x:c r="P1795" s="34" t="str">
        <x:v>NOT_REVEALING</x:v>
      </x:c>
      <x:c r="Q1795" s="34" t="str">
        <x:v>Feedback-Directed Random Test Generation/Result/Closure_21/result.json</x:v>
      </x:c>
    </x:row>
    <x:row r="1796">
      <x:c r="A1796" s="34" t="str">
        <x:v>randoop</x:v>
      </x:c>
      <x:c r="B1796" s="34" t="str">
        <x:v>Closure</x:v>
      </x:c>
      <x:c r="C1796" s="34" t="str">
        <x:v>Round1</x:v>
      </x:c>
      <x:c r="D1796" s="34" t="str">
        <x:v>Closure_22</x:v>
      </x:c>
      <x:c r="E1796" s="34" t="str">
        <x:v>Line</x:v>
      </x:c>
      <x:c r="F1796" s="34" t="n">
        <x:v>86</x:v>
      </x:c>
      <x:c r="G1796" s="34" t="str">
        <x:v>RECORDED</x:v>
      </x:c>
      <x:c r="H1796" s="38" t="n">
        <x:f>IF(ISNUMBER('Data'!H88),'Data'!H88*100,"")</x:f>
        <x:v>17.44</x:v>
      </x:c>
      <x:c r="I1796" s="34" t="str">
        <x:v>PASS</x:v>
      </x:c>
      <x:c r="J1796" s="34" t="str">
        <x:v>PASS</x:v>
      </x:c>
      <x:c r="K1796" s="34" t="str">
        <x:v>PASS</x:v>
      </x:c>
      <x:c r="L1796" s="34" t="str">
        <x:v>PASS</x:v>
      </x:c>
      <x:c r="M1796" s="34" t="str">
        <x:v>numeric coverage for applicable metric</x:v>
      </x:c>
      <x:c r="N1796" s="34" t="str">
        <x:v>Feedback-Directed Random Test Generation/Result/Closure_22/result.json</x:v>
      </x:c>
      <x:c r="O1796" s="38" t="n">
        <x:f>IF(AND(G1796="RECORDED",ISNUMBER(H1796)),H1796,"")</x:f>
        <x:v>17.44</x:v>
      </x:c>
      <x:c r="P1796" s="34" t="str">
        <x:v>NOT_REVEALING</x:v>
      </x:c>
      <x:c r="Q1796" s="34" t="str">
        <x:v>Feedback-Directed Random Test Generation/Result/Closure_22/result.json</x:v>
      </x:c>
    </x:row>
    <x:row r="1797">
      <x:c r="A1797" s="34" t="str">
        <x:v>randoop</x:v>
      </x:c>
      <x:c r="B1797" s="34" t="str">
        <x:v>Closure</x:v>
      </x:c>
      <x:c r="C1797" s="34" t="str">
        <x:v>Round1</x:v>
      </x:c>
      <x:c r="D1797" s="34" t="str">
        <x:v>Closure_23</x:v>
      </x:c>
      <x:c r="E1797" s="34" t="str">
        <x:v>Line</x:v>
      </x:c>
      <x:c r="F1797" s="34" t="n">
        <x:v>695</x:v>
      </x:c>
      <x:c r="G1797" s="34" t="str">
        <x:v>RECORDED</x:v>
      </x:c>
      <x:c r="H1797" s="38" t="n">
        <x:f>IF(ISNUMBER('Data'!H89),'Data'!H89*100,"")</x:f>
        <x:v>2.16</x:v>
      </x:c>
      <x:c r="I1797" s="34" t="str">
        <x:v>PASS</x:v>
      </x:c>
      <x:c r="J1797" s="34" t="str">
        <x:v>PASS</x:v>
      </x:c>
      <x:c r="K1797" s="34" t="str">
        <x:v>PASS</x:v>
      </x:c>
      <x:c r="L1797" s="34" t="str">
        <x:v>PASS</x:v>
      </x:c>
      <x:c r="M1797" s="34" t="str">
        <x:v>numeric coverage for applicable metric</x:v>
      </x:c>
      <x:c r="N1797" s="34" t="str">
        <x:v>Feedback-Directed Random Test Generation/Result/Closure_23/result.json</x:v>
      </x:c>
      <x:c r="O1797" s="38" t="n">
        <x:f>IF(AND(G1797="RECORDED",ISNUMBER(H1797)),H1797,"")</x:f>
        <x:v>2.16</x:v>
      </x:c>
      <x:c r="P1797" s="34" t="str">
        <x:v>NOT_REVEALING</x:v>
      </x:c>
      <x:c r="Q1797" s="34" t="str">
        <x:v>Feedback-Directed Random Test Generation/Result/Closure_23/result.json</x:v>
      </x:c>
    </x:row>
    <x:row r="1798">
      <x:c r="A1798" s="34" t="str">
        <x:v>randoop</x:v>
      </x:c>
      <x:c r="B1798" s="34" t="str">
        <x:v>Closure</x:v>
      </x:c>
      <x:c r="C1798" s="34" t="str">
        <x:v>Round1</x:v>
      </x:c>
      <x:c r="D1798" s="34" t="str">
        <x:v>Closure_24</x:v>
      </x:c>
      <x:c r="E1798" s="34" t="str">
        <x:v>Line</x:v>
      </x:c>
      <x:c r="F1798" s="34" t="n">
        <x:v>173</x:v>
      </x:c>
      <x:c r="G1798" s="34" t="str">
        <x:v>RECORDED</x:v>
      </x:c>
      <x:c r="H1798" s="38" t="n">
        <x:f>IF(ISNUMBER('Data'!H90),'Data'!H90*100,"")</x:f>
        <x:v>13.29</x:v>
      </x:c>
      <x:c r="I1798" s="34" t="str">
        <x:v>PASS</x:v>
      </x:c>
      <x:c r="J1798" s="34" t="str">
        <x:v>PASS</x:v>
      </x:c>
      <x:c r="K1798" s="34" t="str">
        <x:v>PASS</x:v>
      </x:c>
      <x:c r="L1798" s="34" t="str">
        <x:v>PASS</x:v>
      </x:c>
      <x:c r="M1798" s="34" t="str">
        <x:v>numeric coverage for applicable metric</x:v>
      </x:c>
      <x:c r="N1798" s="34" t="str">
        <x:v>Feedback-Directed Random Test Generation/Result/Closure_24/result.json</x:v>
      </x:c>
      <x:c r="O1798" s="38" t="n">
        <x:f>IF(AND(G1798="RECORDED",ISNUMBER(H1798)),H1798,"")</x:f>
        <x:v>13.29</x:v>
      </x:c>
      <x:c r="P1798" s="34" t="str">
        <x:v>NOT_REVEALING</x:v>
      </x:c>
      <x:c r="Q1798" s="34" t="str">
        <x:v>Feedback-Directed Random Test Generation/Result/Closure_24/result.json</x:v>
      </x:c>
    </x:row>
    <x:row r="1799">
      <x:c r="A1799" s="34" t="str">
        <x:v>randoop</x:v>
      </x:c>
      <x:c r="B1799" s="34" t="str">
        <x:v>Closure</x:v>
      </x:c>
      <x:c r="C1799" s="34" t="str">
        <x:v>Round1</x:v>
      </x:c>
      <x:c r="D1799" s="34" t="str">
        <x:v>Closure_25</x:v>
      </x:c>
      <x:c r="E1799" s="34" t="str">
        <x:v>Line</x:v>
      </x:c>
      <x:c r="F1799" s="34" t="n">
        <x:v>608</x:v>
      </x:c>
      <x:c r="G1799" s="34" t="str">
        <x:v>RECORDED</x:v>
      </x:c>
      <x:c r="H1799" s="38" t="n">
        <x:f>IF(ISNUMBER('Data'!H91),'Data'!H91*100,"")</x:f>
        <x:v>1.32</x:v>
      </x:c>
      <x:c r="I1799" s="34" t="str">
        <x:v>PASS</x:v>
      </x:c>
      <x:c r="J1799" s="34" t="str">
        <x:v>PASS</x:v>
      </x:c>
      <x:c r="K1799" s="34" t="str">
        <x:v>PASS</x:v>
      </x:c>
      <x:c r="L1799" s="34" t="str">
        <x:v>PASS</x:v>
      </x:c>
      <x:c r="M1799" s="34" t="str">
        <x:v>numeric coverage for applicable metric</x:v>
      </x:c>
      <x:c r="N1799" s="34" t="str">
        <x:v>Feedback-Directed Random Test Generation/Result/Closure_25/result.json</x:v>
      </x:c>
      <x:c r="O1799" s="38" t="n">
        <x:f>IF(AND(G1799="RECORDED",ISNUMBER(H1799)),H1799,"")</x:f>
        <x:v>1.32</x:v>
      </x:c>
      <x:c r="P1799" s="34" t="str">
        <x:v>NOT_REVEALING</x:v>
      </x:c>
      <x:c r="Q1799" s="34" t="str">
        <x:v>Feedback-Directed Random Test Generation/Result/Closure_25/result.json</x:v>
      </x:c>
    </x:row>
    <x:row r="1800">
      <x:c r="A1800" s="34" t="str">
        <x:v>randoop</x:v>
      </x:c>
      <x:c r="B1800" s="34" t="str">
        <x:v>Closure</x:v>
      </x:c>
      <x:c r="C1800" s="34" t="str">
        <x:v>Round1</x:v>
      </x:c>
      <x:c r="D1800" s="34" t="str">
        <x:v>Closure_26</x:v>
      </x:c>
      <x:c r="E1800" s="34" t="str">
        <x:v>Line</x:v>
      </x:c>
      <x:c r="F1800" s="34" t="n">
        <x:v>107</x:v>
      </x:c>
      <x:c r="G1800" s="34" t="str">
        <x:v>RECORDED</x:v>
      </x:c>
      <x:c r="H1800" s="38" t="n">
        <x:f>IF(ISNUMBER('Data'!H92),'Data'!H92*100,"")</x:f>
        <x:v>27.1</x:v>
      </x:c>
      <x:c r="I1800" s="34" t="str">
        <x:v>PASS</x:v>
      </x:c>
      <x:c r="J1800" s="34" t="str">
        <x:v>PASS</x:v>
      </x:c>
      <x:c r="K1800" s="34" t="str">
        <x:v>PASS</x:v>
      </x:c>
      <x:c r="L1800" s="34" t="str">
        <x:v>PASS</x:v>
      </x:c>
      <x:c r="M1800" s="34" t="str">
        <x:v>numeric coverage for applicable metric</x:v>
      </x:c>
      <x:c r="N1800" s="34" t="str">
        <x:v>Feedback-Directed Random Test Generation/Result/Closure_26/result.json</x:v>
      </x:c>
      <x:c r="O1800" s="38" t="n">
        <x:f>IF(AND(G1800="RECORDED",ISNUMBER(H1800)),H1800,"")</x:f>
        <x:v>27.1</x:v>
      </x:c>
      <x:c r="P1800" s="34" t="str">
        <x:v>NOT_REVEALING</x:v>
      </x:c>
      <x:c r="Q1800" s="34" t="str">
        <x:v>Feedback-Directed Random Test Generation/Result/Closure_26/result.json</x:v>
      </x:c>
    </x:row>
    <x:row r="1801">
      <x:c r="A1801" s="34" t="str">
        <x:v>randoop</x:v>
      </x:c>
      <x:c r="B1801" s="34" t="str">
        <x:v>Closure</x:v>
      </x:c>
      <x:c r="C1801" s="34" t="str">
        <x:v>Round1</x:v>
      </x:c>
      <x:c r="D1801" s="34" t="str">
        <x:v>Closure_27</x:v>
      </x:c>
      <x:c r="E1801" s="34" t="str">
        <x:v>Line</x:v>
      </x:c>
      <x:c r="F1801" s="34" t="n">
        <x:v>187</x:v>
      </x:c>
      <x:c r="G1801" s="34" t="str">
        <x:v>RECORDED</x:v>
      </x:c>
      <x:c r="H1801" s="38" t="n">
        <x:f>IF(ISNUMBER('Data'!H93),'Data'!H93*100,"")</x:f>
        <x:v>79.68</x:v>
      </x:c>
      <x:c r="I1801" s="34" t="str">
        <x:v>PASS</x:v>
      </x:c>
      <x:c r="J1801" s="34" t="str">
        <x:v>PASS</x:v>
      </x:c>
      <x:c r="K1801" s="34" t="str">
        <x:v>PASS</x:v>
      </x:c>
      <x:c r="L1801" s="34" t="str">
        <x:v>PASS</x:v>
      </x:c>
      <x:c r="M1801" s="34" t="str">
        <x:v>numeric coverage for applicable metric</x:v>
      </x:c>
      <x:c r="N1801" s="34" t="str">
        <x:v>Feedback-Directed Random Test Generation/Result/Closure_27/result.json</x:v>
      </x:c>
      <x:c r="O1801" s="38" t="n">
        <x:f>IF(AND(G1801="RECORDED",ISNUMBER(H1801)),H1801,"")</x:f>
        <x:v>79.68</x:v>
      </x:c>
      <x:c r="P1801" s="34" t="str">
        <x:v>INCONCLUSIVE</x:v>
      </x:c>
      <x:c r="Q1801" s="34" t="str">
        <x:v>Feedback-Directed Random Test Generation/Result/Closure_27/result.json</x:v>
      </x:c>
    </x:row>
    <x:row r="1802">
      <x:c r="A1802" s="34" t="str">
        <x:v>randoop</x:v>
      </x:c>
      <x:c r="B1802" s="34" t="str">
        <x:v>Closure</x:v>
      </x:c>
      <x:c r="C1802" s="34" t="str">
        <x:v>Round1</x:v>
      </x:c>
      <x:c r="D1802" s="34" t="str">
        <x:v>Closure_28</x:v>
      </x:c>
      <x:c r="E1802" s="34" t="str">
        <x:v>Line</x:v>
      </x:c>
      <x:c r="F1802" s="34" t="n">
        <x:v>26</x:v>
      </x:c>
      <x:c r="G1802" s="34" t="str">
        <x:v>RECORDED</x:v>
      </x:c>
      <x:c r="H1802" s="38" t="n">
        <x:f>IF(ISNUMBER('Data'!H94),'Data'!H94*100,"")</x:f>
        <x:v>50</x:v>
      </x:c>
      <x:c r="I1802" s="34" t="str">
        <x:v>PASS</x:v>
      </x:c>
      <x:c r="J1802" s="34" t="str">
        <x:v>PASS</x:v>
      </x:c>
      <x:c r="K1802" s="34" t="str">
        <x:v>PASS</x:v>
      </x:c>
      <x:c r="L1802" s="34" t="str">
        <x:v>PASS</x:v>
      </x:c>
      <x:c r="M1802" s="34" t="str">
        <x:v>numeric coverage for applicable metric</x:v>
      </x:c>
      <x:c r="N1802" s="34" t="str">
        <x:v>Feedback-Directed Random Test Generation/Result/Closure_28/result.json</x:v>
      </x:c>
      <x:c r="O1802" s="38" t="n">
        <x:f>IF(AND(G1802="RECORDED",ISNUMBER(H1802)),H1802,"")</x:f>
        <x:v>50</x:v>
      </x:c>
      <x:c r="P1802" s="34" t="str">
        <x:v>NOT_REVEALING</x:v>
      </x:c>
      <x:c r="Q1802" s="34" t="str">
        <x:v>Feedback-Directed Random Test Generation/Result/Closure_28/result.json</x:v>
      </x:c>
    </x:row>
    <x:row r="1803">
      <x:c r="A1803" s="34" t="str">
        <x:v>randoop</x:v>
      </x:c>
      <x:c r="B1803" s="34" t="str">
        <x:v>Closure</x:v>
      </x:c>
      <x:c r="C1803" s="34" t="str">
        <x:v>Round1</x:v>
      </x:c>
      <x:c r="D1803" s="34" t="str">
        <x:v>Closure_29</x:v>
      </x:c>
      <x:c r="E1803" s="34" t="str">
        <x:v>Line</x:v>
      </x:c>
      <x:c r="F1803" s="34" t="n">
        <x:v>174</x:v>
      </x:c>
      <x:c r="G1803" s="34" t="str">
        <x:v>RECORDED</x:v>
      </x:c>
      <x:c r="H1803" s="38" t="n">
        <x:f>IF(ISNUMBER('Data'!H95),'Data'!H95*100,"")</x:f>
        <x:v>4.6</x:v>
      </x:c>
      <x:c r="I1803" s="34" t="str">
        <x:v>PASS</x:v>
      </x:c>
      <x:c r="J1803" s="34" t="str">
        <x:v>PASS</x:v>
      </x:c>
      <x:c r="K1803" s="34" t="str">
        <x:v>PASS</x:v>
      </x:c>
      <x:c r="L1803" s="34" t="str">
        <x:v>PASS</x:v>
      </x:c>
      <x:c r="M1803" s="34" t="str">
        <x:v>numeric coverage for applicable metric</x:v>
      </x:c>
      <x:c r="N1803" s="34" t="str">
        <x:v>Feedback-Directed Random Test Generation/Result/Closure_29/result.json</x:v>
      </x:c>
      <x:c r="O1803" s="38" t="n">
        <x:f>IF(AND(G1803="RECORDED",ISNUMBER(H1803)),H1803,"")</x:f>
        <x:v>4.6</x:v>
      </x:c>
      <x:c r="P1803" s="34" t="str">
        <x:v>NOT_REVEALING</x:v>
      </x:c>
      <x:c r="Q1803" s="34" t="str">
        <x:v>Feedback-Directed Random Test Generation/Result/Closure_29/result.json</x:v>
      </x:c>
    </x:row>
    <x:row r="1804">
      <x:c r="A1804" s="34" t="str">
        <x:v>randoop</x:v>
      </x:c>
      <x:c r="B1804" s="34" t="str">
        <x:v>Closure</x:v>
      </x:c>
      <x:c r="C1804" s="34" t="str">
        <x:v>Round1</x:v>
      </x:c>
      <x:c r="D1804" s="34" t="str">
        <x:v>Closure_30</x:v>
      </x:c>
      <x:c r="E1804" s="34" t="str">
        <x:v>Line</x:v>
      </x:c>
      <x:c r="F1804" s="34" t="n">
        <x:v>331</x:v>
      </x:c>
      <x:c r="G1804" s="34" t="str">
        <x:v>RECORDED</x:v>
      </x:c>
      <x:c r="H1804" s="38" t="n">
        <x:f>IF(ISNUMBER('Data'!H96),'Data'!H96*100,"")</x:f>
        <x:v>6.65</x:v>
      </x:c>
      <x:c r="I1804" s="34" t="str">
        <x:v>PASS</x:v>
      </x:c>
      <x:c r="J1804" s="34" t="str">
        <x:v>PASS</x:v>
      </x:c>
      <x:c r="K1804" s="34" t="str">
        <x:v>PASS</x:v>
      </x:c>
      <x:c r="L1804" s="34" t="str">
        <x:v>FAIL</x:v>
      </x:c>
      <x:c r="M1804" s="34" t="str">
        <x:v>numeric coverage for applicable metric</x:v>
      </x:c>
      <x:c r="N1804" s="34" t="str">
        <x:v>Feedback-Directed Random Test Generation/Result/Closure_30/result.json</x:v>
      </x:c>
      <x:c r="O1804" s="38" t="n">
        <x:f>IF(AND(G1804="RECORDED",ISNUMBER(H1804)),H1804,"")</x:f>
        <x:v>6.65</x:v>
      </x:c>
      <x:c r="P1804" s="34" t="str">
        <x:v>INCONCLUSIVE</x:v>
      </x:c>
      <x:c r="Q1804" s="34" t="str">
        <x:v>Feedback-Directed Random Test Generation/Result/Closure_30/result.json</x:v>
      </x:c>
    </x:row>
    <x:row r="1805">
      <x:c r="A1805" s="34" t="str">
        <x:v>randoop</x:v>
      </x:c>
      <x:c r="B1805" s="34" t="str">
        <x:v>Closure</x:v>
      </x:c>
      <x:c r="C1805" s="34" t="str">
        <x:v>Round1</x:v>
      </x:c>
      <x:c r="D1805" s="34" t="str">
        <x:v>Closure_31</x:v>
      </x:c>
      <x:c r="E1805" s="34" t="str">
        <x:v>Line</x:v>
      </x:c>
      <x:c r="F1805" s="34" t="n">
        <x:v>982</x:v>
      </x:c>
      <x:c r="G1805" s="34" t="str">
        <x:v>RECORDED</x:v>
      </x:c>
      <x:c r="H1805" s="38" t="n">
        <x:f>IF(ISNUMBER('Data'!H97),'Data'!H97*100,"")</x:f>
        <x:v>52.849999999999994</x:v>
      </x:c>
      <x:c r="I1805" s="34" t="str">
        <x:v>PASS</x:v>
      </x:c>
      <x:c r="J1805" s="34" t="str">
        <x:v>PASS</x:v>
      </x:c>
      <x:c r="K1805" s="34" t="str">
        <x:v>PASS</x:v>
      </x:c>
      <x:c r="L1805" s="34" t="str">
        <x:v>FAIL</x:v>
      </x:c>
      <x:c r="M1805" s="34" t="str">
        <x:v>numeric coverage for applicable metric</x:v>
      </x:c>
      <x:c r="N1805" s="34" t="str">
        <x:v>Feedback-Directed Random Test Generation/Result/Closure_31/result.json</x:v>
      </x:c>
      <x:c r="O1805" s="38" t="n">
        <x:f>IF(AND(G1805="RECORDED",ISNUMBER(H1805)),H1805,"")</x:f>
        <x:v>52.849999999999994</x:v>
      </x:c>
      <x:c r="P1805" s="34" t="str">
        <x:v>INCONCLUSIVE</x:v>
      </x:c>
      <x:c r="Q1805" s="34" t="str">
        <x:v>Feedback-Directed Random Test Generation/Result/Closure_31/result.json</x:v>
      </x:c>
    </x:row>
    <x:row r="1806">
      <x:c r="A1806" s="34" t="str">
        <x:v>randoop</x:v>
      </x:c>
      <x:c r="B1806" s="34" t="str">
        <x:v>Closure</x:v>
      </x:c>
      <x:c r="C1806" s="34" t="str">
        <x:v>Round1</x:v>
      </x:c>
      <x:c r="D1806" s="34" t="str">
        <x:v>Closure_32</x:v>
      </x:c>
      <x:c r="E1806" s="34" t="str">
        <x:v>Line</x:v>
      </x:c>
      <x:c r="F1806" s="34" t="n">
        <x:v>1042</x:v>
      </x:c>
      <x:c r="G1806" s="34" t="str">
        <x:v>RECORDED</x:v>
      </x:c>
      <x:c r="H1806" s="38" t="n">
        <x:f>IF(ISNUMBER('Data'!H98),'Data'!H98*100,"")</x:f>
        <x:v>8.35</x:v>
      </x:c>
      <x:c r="I1806" s="34" t="str">
        <x:v>PASS</x:v>
      </x:c>
      <x:c r="J1806" s="34" t="str">
        <x:v>PASS</x:v>
      </x:c>
      <x:c r="K1806" s="34" t="str">
        <x:v>PASS</x:v>
      </x:c>
      <x:c r="L1806" s="34" t="str">
        <x:v>PASS</x:v>
      </x:c>
      <x:c r="M1806" s="34" t="str">
        <x:v>numeric coverage for applicable metric</x:v>
      </x:c>
      <x:c r="N1806" s="34" t="str">
        <x:v>Feedback-Directed Random Test Generation/Result/Closure_32/result.json</x:v>
      </x:c>
      <x:c r="O1806" s="38" t="n">
        <x:f>IF(AND(G1806="RECORDED",ISNUMBER(H1806)),H1806,"")</x:f>
        <x:v>8.35</x:v>
      </x:c>
      <x:c r="P1806" s="34" t="str">
        <x:v>NOT_REVEALING</x:v>
      </x:c>
      <x:c r="Q1806" s="34" t="str">
        <x:v>Feedback-Directed Random Test Generation/Result/Closure_32/result.json</x:v>
      </x:c>
    </x:row>
    <x:row r="1807">
      <x:c r="A1807" s="34" t="str">
        <x:v>randoop</x:v>
      </x:c>
      <x:c r="B1807" s="34" t="str">
        <x:v>Closure</x:v>
      </x:c>
      <x:c r="C1807" s="34" t="str">
        <x:v>Round1</x:v>
      </x:c>
      <x:c r="D1807" s="34" t="str">
        <x:v>Closure_33</x:v>
      </x:c>
      <x:c r="E1807" s="34" t="str">
        <x:v>Line</x:v>
      </x:c>
      <x:c r="F1807" s="34" t="n">
        <x:v>216</x:v>
      </x:c>
      <x:c r="G1807" s="34" t="str">
        <x:v>RECORDED</x:v>
      </x:c>
      <x:c r="H1807" s="38" t="n">
        <x:f>IF(ISNUMBER('Data'!H99),'Data'!H99*100,"")</x:f>
        <x:v>60.19</x:v>
      </x:c>
      <x:c r="I1807" s="34" t="str">
        <x:v>PASS</x:v>
      </x:c>
      <x:c r="J1807" s="34" t="str">
        <x:v>PASS</x:v>
      </x:c>
      <x:c r="K1807" s="34" t="str">
        <x:v>PASS</x:v>
      </x:c>
      <x:c r="L1807" s="34" t="str">
        <x:v>PASS</x:v>
      </x:c>
      <x:c r="M1807" s="34" t="str">
        <x:v>numeric coverage for applicable metric</x:v>
      </x:c>
      <x:c r="N1807" s="34" t="str">
        <x:v>Feedback-Directed Random Test Generation/Result/Closure_33/result.json</x:v>
      </x:c>
      <x:c r="O1807" s="38" t="n">
        <x:f>IF(AND(G1807="RECORDED",ISNUMBER(H1807)),H1807,"")</x:f>
        <x:v>60.19</x:v>
      </x:c>
      <x:c r="P1807" s="34" t="str">
        <x:v>INCONCLUSIVE</x:v>
      </x:c>
      <x:c r="Q1807" s="34" t="str">
        <x:v>Feedback-Directed Random Test Generation/Result/Closure_33/result.json</x:v>
      </x:c>
    </x:row>
    <x:row r="1808">
      <x:c r="A1808" s="34" t="str">
        <x:v>randoop</x:v>
      </x:c>
      <x:c r="B1808" s="34" t="str">
        <x:v>Closure</x:v>
      </x:c>
      <x:c r="C1808" s="34" t="str">
        <x:v>Round1</x:v>
      </x:c>
      <x:c r="D1808" s="34" t="str">
        <x:v>Closure_34</x:v>
      </x:c>
      <x:c r="E1808" s="34" t="str">
        <x:v>Line</x:v>
      </x:c>
      <x:c r="F1808" s="34" t="n">
        <x:v>863</x:v>
      </x:c>
      <x:c r="G1808" s="34" t="str">
        <x:v>RECORDED</x:v>
      </x:c>
      <x:c r="H1808" s="38" t="n">
        <x:f>IF(ISNUMBER('Data'!H100),'Data'!H100*100,"")</x:f>
        <x:v>10.78</x:v>
      </x:c>
      <x:c r="I1808" s="34" t="str">
        <x:v>PASS</x:v>
      </x:c>
      <x:c r="J1808" s="34" t="str">
        <x:v>PASS</x:v>
      </x:c>
      <x:c r="K1808" s="34" t="str">
        <x:v>PASS</x:v>
      </x:c>
      <x:c r="L1808" s="34" t="str">
        <x:v>PASS</x:v>
      </x:c>
      <x:c r="M1808" s="34" t="str">
        <x:v>numeric coverage for applicable metric</x:v>
      </x:c>
      <x:c r="N1808" s="34" t="str">
        <x:v>Feedback-Directed Random Test Generation/Result/Closure_34/result.json</x:v>
      </x:c>
      <x:c r="O1808" s="38" t="n">
        <x:f>IF(AND(G1808="RECORDED",ISNUMBER(H1808)),H1808,"")</x:f>
        <x:v>10.78</x:v>
      </x:c>
      <x:c r="P1808" s="34" t="str">
        <x:v>NOT_REVEALING</x:v>
      </x:c>
      <x:c r="Q1808" s="34" t="str">
        <x:v>Feedback-Directed Random Test Generation/Result/Closure_34/result.json</x:v>
      </x:c>
    </x:row>
    <x:row r="1809">
      <x:c r="A1809" s="34" t="str">
        <x:v>randoop</x:v>
      </x:c>
      <x:c r="B1809" s="34" t="str">
        <x:v>Closure</x:v>
      </x:c>
      <x:c r="C1809" s="34" t="str">
        <x:v>Round1</x:v>
      </x:c>
      <x:c r="D1809" s="34" t="str">
        <x:v>Closure_35</x:v>
      </x:c>
      <x:c r="E1809" s="34" t="str">
        <x:v>Line</x:v>
      </x:c>
      <x:c r="F1809" s="34" t="n">
        <x:v>628</x:v>
      </x:c>
      <x:c r="G1809" s="34" t="str">
        <x:v>RECORDED</x:v>
      </x:c>
      <x:c r="H1809" s="38" t="n">
        <x:f>IF(ISNUMBER('Data'!H101),'Data'!H101*100,"")</x:f>
        <x:v>1.27</x:v>
      </x:c>
      <x:c r="I1809" s="34" t="str">
        <x:v>PASS</x:v>
      </x:c>
      <x:c r="J1809" s="34" t="str">
        <x:v>PASS</x:v>
      </x:c>
      <x:c r="K1809" s="34" t="str">
        <x:v>PASS</x:v>
      </x:c>
      <x:c r="L1809" s="34" t="str">
        <x:v>PASS</x:v>
      </x:c>
      <x:c r="M1809" s="34" t="str">
        <x:v>numeric coverage for applicable metric</x:v>
      </x:c>
      <x:c r="N1809" s="34" t="str">
        <x:v>Feedback-Directed Random Test Generation/Result/Closure_35/result.json</x:v>
      </x:c>
      <x:c r="O1809" s="38" t="n">
        <x:f>IF(AND(G1809="RECORDED",ISNUMBER(H1809)),H1809,"")</x:f>
        <x:v>1.27</x:v>
      </x:c>
      <x:c r="P1809" s="34" t="str">
        <x:v>NOT_REVEALING</x:v>
      </x:c>
      <x:c r="Q1809" s="34" t="str">
        <x:v>Feedback-Directed Random Test Generation/Result/Closure_35/result.json</x:v>
      </x:c>
    </x:row>
    <x:row r="1810">
      <x:c r="A1810" s="34" t="str">
        <x:v>randoop</x:v>
      </x:c>
      <x:c r="B1810" s="34" t="str">
        <x:v>Closure</x:v>
      </x:c>
      <x:c r="C1810" s="34" t="str">
        <x:v>Round1</x:v>
      </x:c>
      <x:c r="D1810" s="34" t="str">
        <x:v>Closure_36</x:v>
      </x:c>
      <x:c r="E1810" s="34" t="str">
        <x:v>Line</x:v>
      </x:c>
      <x:c r="F1810" s="34" t="n">
        <x:v>289</x:v>
      </x:c>
      <x:c r="G1810" s="34" t="str">
        <x:v>RECORDED</x:v>
      </x:c>
      <x:c r="H1810" s="38" t="n">
        <x:f>IF(ISNUMBER('Data'!H102),'Data'!H102*100,"")</x:f>
        <x:v>7.960000000000001</x:v>
      </x:c>
      <x:c r="I1810" s="34" t="str">
        <x:v>PASS</x:v>
      </x:c>
      <x:c r="J1810" s="34" t="str">
        <x:v>PASS</x:v>
      </x:c>
      <x:c r="K1810" s="34" t="str">
        <x:v>PASS</x:v>
      </x:c>
      <x:c r="L1810" s="34" t="str">
        <x:v>PASS</x:v>
      </x:c>
      <x:c r="M1810" s="34" t="str">
        <x:v>numeric coverage for applicable metric</x:v>
      </x:c>
      <x:c r="N1810" s="34" t="str">
        <x:v>Feedback-Directed Random Test Generation/Result/Closure_36/result.json</x:v>
      </x:c>
      <x:c r="O1810" s="38" t="n">
        <x:f>IF(AND(G1810="RECORDED",ISNUMBER(H1810)),H1810,"")</x:f>
        <x:v>7.960000000000001</x:v>
      </x:c>
      <x:c r="P1810" s="34" t="str">
        <x:v>NOT_REVEALING</x:v>
      </x:c>
      <x:c r="Q1810" s="34" t="str">
        <x:v>Feedback-Directed Random Test Generation/Result/Closure_36/result.json</x:v>
      </x:c>
    </x:row>
    <x:row r="1811">
      <x:c r="A1811" s="34" t="str">
        <x:v>randoop</x:v>
      </x:c>
      <x:c r="B1811" s="34" t="str">
        <x:v>Closure</x:v>
      </x:c>
      <x:c r="C1811" s="34" t="str">
        <x:v>Round1</x:v>
      </x:c>
      <x:c r="D1811" s="34" t="str">
        <x:v>Closure_37</x:v>
      </x:c>
      <x:c r="E1811" s="34" t="str">
        <x:v>Line</x:v>
      </x:c>
      <x:c r="F1811" s="34" t="n">
        <x:v>832</x:v>
      </x:c>
      <x:c r="G1811" s="34" t="str">
        <x:v>RECORDED</x:v>
      </x:c>
      <x:c r="H1811" s="38" t="n">
        <x:f>IF(ISNUMBER('Data'!H103),'Data'!H103*100,"")</x:f>
        <x:v>8.29</x:v>
      </x:c>
      <x:c r="I1811" s="34" t="str">
        <x:v>PASS</x:v>
      </x:c>
      <x:c r="J1811" s="34" t="str">
        <x:v>PASS</x:v>
      </x:c>
      <x:c r="K1811" s="34" t="str">
        <x:v>PASS</x:v>
      </x:c>
      <x:c r="L1811" s="34" t="str">
        <x:v>PASS</x:v>
      </x:c>
      <x:c r="M1811" s="34" t="str">
        <x:v>numeric coverage for applicable metric</x:v>
      </x:c>
      <x:c r="N1811" s="34" t="str">
        <x:v>Feedback-Directed Random Test Generation/Result/Closure_37/result.json</x:v>
      </x:c>
      <x:c r="O1811" s="38" t="n">
        <x:f>IF(AND(G1811="RECORDED",ISNUMBER(H1811)),H1811,"")</x:f>
        <x:v>8.29</x:v>
      </x:c>
      <x:c r="P1811" s="34" t="str">
        <x:v>NOT_REVEALING</x:v>
      </x:c>
      <x:c r="Q1811" s="34" t="str">
        <x:v>Feedback-Directed Random Test Generation/Result/Closure_37/result.json</x:v>
      </x:c>
    </x:row>
    <x:row r="1812">
      <x:c r="A1812" s="34" t="str">
        <x:v>randoop</x:v>
      </x:c>
      <x:c r="B1812" s="34" t="str">
        <x:v>Closure</x:v>
      </x:c>
      <x:c r="C1812" s="34" t="str">
        <x:v>Round1</x:v>
      </x:c>
      <x:c r="D1812" s="34" t="str">
        <x:v>Closure_38</x:v>
      </x:c>
      <x:c r="E1812" s="34" t="str">
        <x:v>Line</x:v>
      </x:c>
      <x:c r="F1812" s="34" t="n">
        <x:v>112</x:v>
      </x:c>
      <x:c r="G1812" s="34" t="str">
        <x:v>RECORDED</x:v>
      </x:c>
      <x:c r="H1812" s="38" t="n">
        <x:f>IF(ISNUMBER('Data'!H104),'Data'!H104*100,"")</x:f>
        <x:v>2.68</x:v>
      </x:c>
      <x:c r="I1812" s="34" t="str">
        <x:v>PASS</x:v>
      </x:c>
      <x:c r="J1812" s="34" t="str">
        <x:v>PASS</x:v>
      </x:c>
      <x:c r="K1812" s="34" t="str">
        <x:v>PASS</x:v>
      </x:c>
      <x:c r="L1812" s="34" t="str">
        <x:v>PASS</x:v>
      </x:c>
      <x:c r="M1812" s="34" t="str">
        <x:v>numeric coverage for applicable metric</x:v>
      </x:c>
      <x:c r="N1812" s="34" t="str">
        <x:v>Feedback-Directed Random Test Generation/Result/Closure_38/result.json</x:v>
      </x:c>
      <x:c r="O1812" s="38" t="n">
        <x:f>IF(AND(G1812="RECORDED",ISNUMBER(H1812)),H1812,"")</x:f>
        <x:v>2.68</x:v>
      </x:c>
      <x:c r="P1812" s="34" t="str">
        <x:v>NOT_REVEALING</x:v>
      </x:c>
      <x:c r="Q1812" s="34" t="str">
        <x:v>Feedback-Directed Random Test Generation/Result/Closure_38/result.json</x:v>
      </x:c>
    </x:row>
    <x:row r="1813">
      <x:c r="A1813" s="34" t="str">
        <x:v>randoop</x:v>
      </x:c>
      <x:c r="B1813" s="34" t="str">
        <x:v>Closure</x:v>
      </x:c>
      <x:c r="C1813" s="34" t="str">
        <x:v>Round1</x:v>
      </x:c>
      <x:c r="D1813" s="34" t="str">
        <x:v>Closure_39</x:v>
      </x:c>
      <x:c r="E1813" s="34" t="str">
        <x:v>Line</x:v>
      </x:c>
      <x:c r="F1813" s="34" t="n">
        <x:v>205</x:v>
      </x:c>
      <x:c r="G1813" s="34" t="str">
        <x:v>RECORDED</x:v>
      </x:c>
      <x:c r="H1813" s="38" t="n">
        <x:f>IF(ISNUMBER('Data'!H105),'Data'!H105*100,"")</x:f>
        <x:v>61.46</x:v>
      </x:c>
      <x:c r="I1813" s="34" t="str">
        <x:v>PASS</x:v>
      </x:c>
      <x:c r="J1813" s="34" t="str">
        <x:v>PASS</x:v>
      </x:c>
      <x:c r="K1813" s="34" t="str">
        <x:v>PASS</x:v>
      </x:c>
      <x:c r="L1813" s="34" t="str">
        <x:v>PASS</x:v>
      </x:c>
      <x:c r="M1813" s="34" t="str">
        <x:v>numeric coverage for applicable metric</x:v>
      </x:c>
      <x:c r="N1813" s="34" t="str">
        <x:v>Feedback-Directed Random Test Generation/Result/Closure_39/result.json</x:v>
      </x:c>
      <x:c r="O1813" s="38" t="n">
        <x:f>IF(AND(G1813="RECORDED",ISNUMBER(H1813)),H1813,"")</x:f>
        <x:v>61.46</x:v>
      </x:c>
      <x:c r="P1813" s="34" t="str">
        <x:v>NOT_REVEALING</x:v>
      </x:c>
      <x:c r="Q1813" s="34" t="str">
        <x:v>Feedback-Directed Random Test Generation/Result/Closure_39/result.json</x:v>
      </x:c>
    </x:row>
    <x:row r="1814">
      <x:c r="A1814" s="34" t="str">
        <x:v>randoop</x:v>
      </x:c>
      <x:c r="B1814" s="34" t="str">
        <x:v>Closure</x:v>
      </x:c>
      <x:c r="C1814" s="34" t="str">
        <x:v>Round1</x:v>
      </x:c>
      <x:c r="D1814" s="34" t="str">
        <x:v>Closure_40</x:v>
      </x:c>
      <x:c r="E1814" s="34" t="str">
        <x:v>Line</x:v>
      </x:c>
      <x:c r="F1814" s="34" t="n">
        <x:v>712</x:v>
      </x:c>
      <x:c r="G1814" s="34" t="str">
        <x:v>RECORDED</x:v>
      </x:c>
      <x:c r="H1814" s="38" t="n">
        <x:f>IF(ISNUMBER('Data'!H106),'Data'!H106*100,"")</x:f>
        <x:v>7.870000000000001</x:v>
      </x:c>
      <x:c r="I1814" s="34" t="str">
        <x:v>PASS</x:v>
      </x:c>
      <x:c r="J1814" s="34" t="str">
        <x:v>PASS</x:v>
      </x:c>
      <x:c r="K1814" s="34" t="str">
        <x:v>PASS</x:v>
      </x:c>
      <x:c r="L1814" s="34" t="str">
        <x:v>PASS</x:v>
      </x:c>
      <x:c r="M1814" s="34" t="str">
        <x:v>numeric coverage for applicable metric</x:v>
      </x:c>
      <x:c r="N1814" s="34" t="str">
        <x:v>Feedback-Directed Random Test Generation/Result/Closure_40/result.json</x:v>
      </x:c>
      <x:c r="O1814" s="38" t="n">
        <x:f>IF(AND(G1814="RECORDED",ISNUMBER(H1814)),H1814,"")</x:f>
        <x:v>7.870000000000001</x:v>
      </x:c>
      <x:c r="P1814" s="34" t="str">
        <x:v>NOT_REVEALING</x:v>
      </x:c>
      <x:c r="Q1814" s="34" t="str">
        <x:v>Feedback-Directed Random Test Generation/Result/Closure_40/result.json</x:v>
      </x:c>
    </x:row>
    <x:row r="1815">
      <x:c r="A1815" s="34" t="str">
        <x:v>randoop</x:v>
      </x:c>
      <x:c r="B1815" s="34" t="str">
        <x:v>Closure</x:v>
      </x:c>
      <x:c r="C1815" s="34" t="str">
        <x:v>Round1</x:v>
      </x:c>
      <x:c r="D1815" s="34" t="str">
        <x:v>Closure_41</x:v>
      </x:c>
      <x:c r="E1815" s="34" t="str">
        <x:v>Line</x:v>
      </x:c>
      <x:c r="F1815" s="34" t="n">
        <x:v>336</x:v>
      </x:c>
      <x:c r="G1815" s="34" t="str">
        <x:v>RECORDED</x:v>
      </x:c>
      <x:c r="H1815" s="38" t="n">
        <x:f>IF(ISNUMBER('Data'!H107),'Data'!H107*100,"")</x:f>
        <x:v>14.580000000000002</x:v>
      </x:c>
      <x:c r="I1815" s="34" t="str">
        <x:v>PASS</x:v>
      </x:c>
      <x:c r="J1815" s="34" t="str">
        <x:v>PASS</x:v>
      </x:c>
      <x:c r="K1815" s="34" t="str">
        <x:v>PASS</x:v>
      </x:c>
      <x:c r="L1815" s="34" t="str">
        <x:v>PASS</x:v>
      </x:c>
      <x:c r="M1815" s="34" t="str">
        <x:v>numeric coverage for applicable metric</x:v>
      </x:c>
      <x:c r="N1815" s="34" t="str">
        <x:v>Feedback-Directed Random Test Generation/Result/Closure_41/result.json</x:v>
      </x:c>
      <x:c r="O1815" s="38" t="n">
        <x:f>IF(AND(G1815="RECORDED",ISNUMBER(H1815)),H1815,"")</x:f>
        <x:v>14.580000000000002</x:v>
      </x:c>
      <x:c r="P1815" s="34" t="str">
        <x:v>NOT_REVEALING</x:v>
      </x:c>
      <x:c r="Q1815" s="34" t="str">
        <x:v>Feedback-Directed Random Test Generation/Result/Closure_41/result.json</x:v>
      </x:c>
    </x:row>
    <x:row r="1816">
      <x:c r="A1816" s="34" t="str">
        <x:v>randoop</x:v>
      </x:c>
      <x:c r="B1816" s="34" t="str">
        <x:v>Closure</x:v>
      </x:c>
      <x:c r="C1816" s="34" t="str">
        <x:v>Round1</x:v>
      </x:c>
      <x:c r="D1816" s="34" t="str">
        <x:v>Closure_42</x:v>
      </x:c>
      <x:c r="E1816" s="34" t="str">
        <x:v>Line</x:v>
      </x:c>
      <x:c r="F1816" s="34" t="n">
        <x:v>598</x:v>
      </x:c>
      <x:c r="G1816" s="34" t="str">
        <x:v>RECORDED</x:v>
      </x:c>
      <x:c r="H1816" s="38" t="n">
        <x:f>IF(ISNUMBER('Data'!H108),'Data'!H108*100,"")</x:f>
        <x:v>4.18</x:v>
      </x:c>
      <x:c r="I1816" s="34" t="str">
        <x:v>PASS</x:v>
      </x:c>
      <x:c r="J1816" s="34" t="str">
        <x:v>PASS</x:v>
      </x:c>
      <x:c r="K1816" s="34" t="str">
        <x:v>PASS</x:v>
      </x:c>
      <x:c r="L1816" s="34" t="str">
        <x:v>PASS</x:v>
      </x:c>
      <x:c r="M1816" s="34" t="str">
        <x:v>numeric coverage for applicable metric</x:v>
      </x:c>
      <x:c r="N1816" s="34" t="str">
        <x:v>Feedback-Directed Random Test Generation/Result/Closure_42/result.json</x:v>
      </x:c>
      <x:c r="O1816" s="38" t="n">
        <x:f>IF(AND(G1816="RECORDED",ISNUMBER(H1816)),H1816,"")</x:f>
        <x:v>4.18</x:v>
      </x:c>
      <x:c r="P1816" s="34" t="str">
        <x:v>NOT_REVEALING</x:v>
      </x:c>
      <x:c r="Q1816" s="34" t="str">
        <x:v>Feedback-Directed Random Test Generation/Result/Closure_42/result.json</x:v>
      </x:c>
    </x:row>
    <x:row r="1817">
      <x:c r="A1817" s="34" t="str">
        <x:v>randoop</x:v>
      </x:c>
      <x:c r="B1817" s="34" t="str">
        <x:v>Closure</x:v>
      </x:c>
      <x:c r="C1817" s="34" t="str">
        <x:v>Round1</x:v>
      </x:c>
      <x:c r="D1817" s="34" t="str">
        <x:v>Closure_43</x:v>
      </x:c>
      <x:c r="E1817" s="34" t="str">
        <x:v>Line</x:v>
      </x:c>
      <x:c r="F1817" s="34" t="n">
        <x:v>842</x:v>
      </x:c>
      <x:c r="G1817" s="34" t="str">
        <x:v>RECORDED</x:v>
      </x:c>
      <x:c r="H1817" s="38" t="n">
        <x:f>IF(ISNUMBER('Data'!H109),'Data'!H109*100,"")</x:f>
        <x:v>2.97</x:v>
      </x:c>
      <x:c r="I1817" s="34" t="str">
        <x:v>PASS</x:v>
      </x:c>
      <x:c r="J1817" s="34" t="str">
        <x:v>PASS</x:v>
      </x:c>
      <x:c r="K1817" s="34" t="str">
        <x:v>PASS</x:v>
      </x:c>
      <x:c r="L1817" s="34" t="str">
        <x:v>PASS</x:v>
      </x:c>
      <x:c r="M1817" s="34" t="str">
        <x:v>numeric coverage for applicable metric</x:v>
      </x:c>
      <x:c r="N1817" s="34" t="str">
        <x:v>Feedback-Directed Random Test Generation/Result/Closure_43/result.json</x:v>
      </x:c>
      <x:c r="O1817" s="38" t="n">
        <x:f>IF(AND(G1817="RECORDED",ISNUMBER(H1817)),H1817,"")</x:f>
        <x:v>2.97</x:v>
      </x:c>
      <x:c r="P1817" s="34" t="str">
        <x:v>NOT_REVEALING</x:v>
      </x:c>
      <x:c r="Q1817" s="34" t="str">
        <x:v>Feedback-Directed Random Test Generation/Result/Closure_43/result.json</x:v>
      </x:c>
    </x:row>
    <x:row r="1818">
      <x:c r="A1818" s="34" t="str">
        <x:v>randoop</x:v>
      </x:c>
      <x:c r="B1818" s="34" t="str">
        <x:v>Closure</x:v>
      </x:c>
      <x:c r="C1818" s="34" t="str">
        <x:v>Round1</x:v>
      </x:c>
      <x:c r="D1818" s="34" t="str">
        <x:v>Closure_44</x:v>
      </x:c>
      <x:c r="E1818" s="34" t="str">
        <x:v>Line</x:v>
      </x:c>
      <x:c r="F1818" s="34" t="n">
        <x:v>109</x:v>
      </x:c>
      <x:c r="G1818" s="34" t="str">
        <x:v>RECORDED</x:v>
      </x:c>
      <x:c r="H1818" s="38" t="n">
        <x:f>IF(ISNUMBER('Data'!H110),'Data'!H110*100,"")</x:f>
        <x:v>2.75</x:v>
      </x:c>
      <x:c r="I1818" s="34" t="str">
        <x:v>PASS</x:v>
      </x:c>
      <x:c r="J1818" s="34" t="str">
        <x:v>PASS</x:v>
      </x:c>
      <x:c r="K1818" s="34" t="str">
        <x:v>PASS</x:v>
      </x:c>
      <x:c r="L1818" s="34" t="str">
        <x:v>PASS</x:v>
      </x:c>
      <x:c r="M1818" s="34" t="str">
        <x:v>numeric coverage for applicable metric</x:v>
      </x:c>
      <x:c r="N1818" s="34" t="str">
        <x:v>Feedback-Directed Random Test Generation/Result/Closure_44/result.json</x:v>
      </x:c>
      <x:c r="O1818" s="38" t="n">
        <x:f>IF(AND(G1818="RECORDED",ISNUMBER(H1818)),H1818,"")</x:f>
        <x:v>2.75</x:v>
      </x:c>
      <x:c r="P1818" s="34" t="str">
        <x:v>NOT_REVEALING</x:v>
      </x:c>
      <x:c r="Q1818" s="34" t="str">
        <x:v>Feedback-Directed Random Test Generation/Result/Closure_44/result.json</x:v>
      </x:c>
    </x:row>
    <x:row r="1819">
      <x:c r="A1819" s="34" t="str">
        <x:v>randoop</x:v>
      </x:c>
      <x:c r="B1819" s="34" t="str">
        <x:v>Closure</x:v>
      </x:c>
      <x:c r="C1819" s="34" t="str">
        <x:v>Round1</x:v>
      </x:c>
      <x:c r="D1819" s="34" t="str">
        <x:v>Closure_45</x:v>
      </x:c>
      <x:c r="E1819" s="34" t="str">
        <x:v>Line</x:v>
      </x:c>
      <x:c r="F1819" s="34" t="n">
        <x:v>384</x:v>
      </x:c>
      <x:c r="G1819" s="34" t="str">
        <x:v>RECORDED</x:v>
      </x:c>
      <x:c r="H1819" s="38" t="n">
        <x:f>IF(ISNUMBER('Data'!H111),'Data'!H111*100,"")</x:f>
        <x:v>3.39</x:v>
      </x:c>
      <x:c r="I1819" s="34" t="str">
        <x:v>PASS</x:v>
      </x:c>
      <x:c r="J1819" s="34" t="str">
        <x:v>PASS</x:v>
      </x:c>
      <x:c r="K1819" s="34" t="str">
        <x:v>PASS</x:v>
      </x:c>
      <x:c r="L1819" s="34" t="str">
        <x:v>PASS</x:v>
      </x:c>
      <x:c r="M1819" s="34" t="str">
        <x:v>numeric coverage for applicable metric</x:v>
      </x:c>
      <x:c r="N1819" s="34" t="str">
        <x:v>Feedback-Directed Random Test Generation/Result/Closure_45/result.json</x:v>
      </x:c>
      <x:c r="O1819" s="38" t="n">
        <x:f>IF(AND(G1819="RECORDED",ISNUMBER(H1819)),H1819,"")</x:f>
        <x:v>3.39</x:v>
      </x:c>
      <x:c r="P1819" s="34" t="str">
        <x:v>NOT_REVEALING</x:v>
      </x:c>
      <x:c r="Q1819" s="34" t="str">
        <x:v>Feedback-Directed Random Test Generation/Result/Closure_45/result.json</x:v>
      </x:c>
    </x:row>
    <x:row r="1820">
      <x:c r="A1820" s="34" t="str">
        <x:v>randoop</x:v>
      </x:c>
      <x:c r="B1820" s="34" t="str">
        <x:v>Closure</x:v>
      </x:c>
      <x:c r="C1820" s="34" t="str">
        <x:v>Round1</x:v>
      </x:c>
      <x:c r="D1820" s="34" t="str">
        <x:v>Closure_46</x:v>
      </x:c>
      <x:c r="E1820" s="34" t="str">
        <x:v>Line</x:v>
      </x:c>
      <x:c r="F1820" s="34" t="n">
        <x:v>109</x:v>
      </x:c>
      <x:c r="G1820" s="34" t="str">
        <x:v>RECORDED</x:v>
      </x:c>
      <x:c r="H1820" s="38" t="n">
        <x:f>IF(ISNUMBER('Data'!H112),'Data'!H112*100,"")</x:f>
        <x:v>1.83</x:v>
      </x:c>
      <x:c r="I1820" s="34" t="str">
        <x:v>PASS</x:v>
      </x:c>
      <x:c r="J1820" s="34" t="str">
        <x:v>PASS</x:v>
      </x:c>
      <x:c r="K1820" s="34" t="str">
        <x:v>PASS</x:v>
      </x:c>
      <x:c r="L1820" s="34" t="str">
        <x:v>PASS</x:v>
      </x:c>
      <x:c r="M1820" s="34" t="str">
        <x:v>numeric coverage for applicable metric</x:v>
      </x:c>
      <x:c r="N1820" s="34" t="str">
        <x:v>Feedback-Directed Random Test Generation/Result/Closure_46/result.json</x:v>
      </x:c>
      <x:c r="O1820" s="38" t="n">
        <x:f>IF(AND(G1820="RECORDED",ISNUMBER(H1820)),H1820,"")</x:f>
        <x:v>1.83</x:v>
      </x:c>
      <x:c r="P1820" s="34" t="str">
        <x:v>NOT_REVEALING</x:v>
      </x:c>
      <x:c r="Q1820" s="34" t="str">
        <x:v>Feedback-Directed Random Test Generation/Result/Closure_46/result.json</x:v>
      </x:c>
    </x:row>
    <x:row r="1821">
      <x:c r="A1821" s="34" t="str">
        <x:v>randoop</x:v>
      </x:c>
      <x:c r="B1821" s="34" t="str">
        <x:v>Closure</x:v>
      </x:c>
      <x:c r="C1821" s="34" t="str">
        <x:v>Round1</x:v>
      </x:c>
      <x:c r="D1821" s="34" t="str">
        <x:v>Closure_47</x:v>
      </x:c>
      <x:c r="E1821" s="34" t="str">
        <x:v>Line</x:v>
      </x:c>
      <x:c r="F1821" s="34" t="n">
        <x:v>358</x:v>
      </x:c>
      <x:c r="G1821" s="34" t="str">
        <x:v>RECORDED</x:v>
      </x:c>
      <x:c r="H1821" s="38" t="n">
        <x:f>IF(ISNUMBER('Data'!H113),'Data'!H113*100,"")</x:f>
        <x:v>18.44</x:v>
      </x:c>
      <x:c r="I1821" s="34" t="str">
        <x:v>PASS</x:v>
      </x:c>
      <x:c r="J1821" s="34" t="str">
        <x:v>PASS</x:v>
      </x:c>
      <x:c r="K1821" s="34" t="str">
        <x:v>PASS</x:v>
      </x:c>
      <x:c r="L1821" s="34" t="str">
        <x:v>FAIL</x:v>
      </x:c>
      <x:c r="M1821" s="34" t="str">
        <x:v>numeric coverage for applicable metric</x:v>
      </x:c>
      <x:c r="N1821" s="34" t="str">
        <x:v>Feedback-Directed Random Test Generation/Result/Closure_47/result.json</x:v>
      </x:c>
      <x:c r="O1821" s="38" t="n">
        <x:f>IF(AND(G1821="RECORDED",ISNUMBER(H1821)),H1821,"")</x:f>
        <x:v>18.44</x:v>
      </x:c>
      <x:c r="P1821" s="34" t="str">
        <x:v>INCONCLUSIVE</x:v>
      </x:c>
      <x:c r="Q1821" s="34" t="str">
        <x:v>Feedback-Directed Random Test Generation/Result/Closure_47/result.json</x:v>
      </x:c>
    </x:row>
    <x:row r="1822">
      <x:c r="A1822" s="34" t="str">
        <x:v>randoop</x:v>
      </x:c>
      <x:c r="B1822" s="34" t="str">
        <x:v>Closure</x:v>
      </x:c>
      <x:c r="C1822" s="34" t="str">
        <x:v>Round1</x:v>
      </x:c>
      <x:c r="D1822" s="34" t="str">
        <x:v>Closure_48</x:v>
      </x:c>
      <x:c r="E1822" s="34" t="str">
        <x:v>Line</x:v>
      </x:c>
      <x:c r="F1822" s="34" t="n">
        <x:v>832</x:v>
      </x:c>
      <x:c r="G1822" s="34" t="str">
        <x:v>RECORDED</x:v>
      </x:c>
      <x:c r="H1822" s="38" t="n">
        <x:f>IF(ISNUMBER('Data'!H114),'Data'!H114*100,"")</x:f>
        <x:v>3</x:v>
      </x:c>
      <x:c r="I1822" s="34" t="str">
        <x:v>PASS</x:v>
      </x:c>
      <x:c r="J1822" s="34" t="str">
        <x:v>PASS</x:v>
      </x:c>
      <x:c r="K1822" s="34" t="str">
        <x:v>PASS</x:v>
      </x:c>
      <x:c r="L1822" s="34" t="str">
        <x:v>PASS</x:v>
      </x:c>
      <x:c r="M1822" s="34" t="str">
        <x:v>numeric coverage for applicable metric</x:v>
      </x:c>
      <x:c r="N1822" s="34" t="str">
        <x:v>Feedback-Directed Random Test Generation/Result/Closure_48/result.json</x:v>
      </x:c>
      <x:c r="O1822" s="38" t="n">
        <x:f>IF(AND(G1822="RECORDED",ISNUMBER(H1822)),H1822,"")</x:f>
        <x:v>3</x:v>
      </x:c>
      <x:c r="P1822" s="34" t="str">
        <x:v>NOT_REVEALING</x:v>
      </x:c>
      <x:c r="Q1822" s="34" t="str">
        <x:v>Feedback-Directed Random Test Generation/Result/Closure_48/result.json</x:v>
      </x:c>
    </x:row>
    <x:row r="1823">
      <x:c r="A1823" s="34" t="str">
        <x:v>randoop</x:v>
      </x:c>
      <x:c r="B1823" s="34" t="str">
        <x:v>Closure</x:v>
      </x:c>
      <x:c r="C1823" s="34" t="str">
        <x:v>Round1</x:v>
      </x:c>
      <x:c r="D1823" s="34" t="str">
        <x:v>Closure_49</x:v>
      </x:c>
      <x:c r="E1823" s="34" t="str">
        <x:v>Line</x:v>
      </x:c>
      <x:c r="F1823" s="34" t="n">
        <x:v>193</x:v>
      </x:c>
      <x:c r="G1823" s="34" t="str">
        <x:v>RECORDED</x:v>
      </x:c>
      <x:c r="H1823" s="38" t="n">
        <x:f>IF(ISNUMBER('Data'!H115),'Data'!H115*100,"")</x:f>
        <x:v>37.82</x:v>
      </x:c>
      <x:c r="I1823" s="34" t="str">
        <x:v>PASS</x:v>
      </x:c>
      <x:c r="J1823" s="34" t="str">
        <x:v>PASS</x:v>
      </x:c>
      <x:c r="K1823" s="34" t="str">
        <x:v>PASS</x:v>
      </x:c>
      <x:c r="L1823" s="34" t="str">
        <x:v>PASS</x:v>
      </x:c>
      <x:c r="M1823" s="34" t="str">
        <x:v>numeric coverage for applicable metric</x:v>
      </x:c>
      <x:c r="N1823" s="34" t="str">
        <x:v>Feedback-Directed Random Test Generation/Result/Closure_49/result.json</x:v>
      </x:c>
      <x:c r="O1823" s="38" t="n">
        <x:f>IF(AND(G1823="RECORDED",ISNUMBER(H1823)),H1823,"")</x:f>
        <x:v>37.82</x:v>
      </x:c>
      <x:c r="P1823" s="34" t="str">
        <x:v>NOT_REVEALING</x:v>
      </x:c>
      <x:c r="Q1823" s="34" t="str">
        <x:v>Feedback-Directed Random Test Generation/Result/Closure_49/result.json</x:v>
      </x:c>
    </x:row>
    <x:row r="1824">
      <x:c r="A1824" s="34" t="str">
        <x:v>randoop</x:v>
      </x:c>
      <x:c r="B1824" s="34" t="str">
        <x:v>Closure</x:v>
      </x:c>
      <x:c r="C1824" s="34" t="str">
        <x:v>Round1</x:v>
      </x:c>
      <x:c r="D1824" s="34" t="str">
        <x:v>Closure_50</x:v>
      </x:c>
      <x:c r="E1824" s="34" t="str">
        <x:v>Line</x:v>
      </x:c>
      <x:c r="F1824" s="34" t="n">
        <x:v>308</x:v>
      </x:c>
      <x:c r="G1824" s="34" t="str">
        <x:v>RECORDED</x:v>
      </x:c>
      <x:c r="H1824" s="38" t="n">
        <x:f>IF(ISNUMBER('Data'!H116),'Data'!H116*100,"")</x:f>
        <x:v>0.97</x:v>
      </x:c>
      <x:c r="I1824" s="34" t="str">
        <x:v>PASS</x:v>
      </x:c>
      <x:c r="J1824" s="34" t="str">
        <x:v>PASS</x:v>
      </x:c>
      <x:c r="K1824" s="34" t="str">
        <x:v>PASS</x:v>
      </x:c>
      <x:c r="L1824" s="34" t="str">
        <x:v>PASS</x:v>
      </x:c>
      <x:c r="M1824" s="34" t="str">
        <x:v>numeric coverage for applicable metric</x:v>
      </x:c>
      <x:c r="N1824" s="34" t="str">
        <x:v>Feedback-Directed Random Test Generation/Result/Closure_50/result.json</x:v>
      </x:c>
      <x:c r="O1824" s="38" t="n">
        <x:f>IF(AND(G1824="RECORDED",ISNUMBER(H1824)),H1824,"")</x:f>
        <x:v>0.97</x:v>
      </x:c>
      <x:c r="P1824" s="34" t="str">
        <x:v>NOT_REVEALING</x:v>
      </x:c>
      <x:c r="Q1824" s="34" t="str">
        <x:v>Feedback-Directed Random Test Generation/Result/Closure_50/result.json</x:v>
      </x:c>
    </x:row>
    <x:row r="1825">
      <x:c r="A1825" s="34" t="str">
        <x:v>randoop</x:v>
      </x:c>
      <x:c r="B1825" s="34" t="str">
        <x:v>Closure</x:v>
      </x:c>
      <x:c r="C1825" s="34" t="str">
        <x:v>Round1</x:v>
      </x:c>
      <x:c r="D1825" s="34" t="str">
        <x:v>Closure_51</x:v>
      </x:c>
      <x:c r="E1825" s="34" t="str">
        <x:v>Line</x:v>
      </x:c>
      <x:c r="F1825" s="34" t="n">
        <x:v>108</x:v>
      </x:c>
      <x:c r="G1825" s="34" t="str">
        <x:v>RECORDED</x:v>
      </x:c>
      <x:c r="H1825" s="38" t="n">
        <x:f>IF(ISNUMBER('Data'!H117),'Data'!H117*100,"")</x:f>
        <x:v>1.8500000000000003</x:v>
      </x:c>
      <x:c r="I1825" s="34" t="str">
        <x:v>PASS</x:v>
      </x:c>
      <x:c r="J1825" s="34" t="str">
        <x:v>PASS</x:v>
      </x:c>
      <x:c r="K1825" s="34" t="str">
        <x:v>PASS</x:v>
      </x:c>
      <x:c r="L1825" s="34" t="str">
        <x:v>PASS</x:v>
      </x:c>
      <x:c r="M1825" s="34" t="str">
        <x:v>numeric coverage for applicable metric</x:v>
      </x:c>
      <x:c r="N1825" s="34" t="str">
        <x:v>Feedback-Directed Random Test Generation/Result/Closure_51/result.json</x:v>
      </x:c>
      <x:c r="O1825" s="38" t="n">
        <x:f>IF(AND(G1825="RECORDED",ISNUMBER(H1825)),H1825,"")</x:f>
        <x:v>1.8500000000000003</x:v>
      </x:c>
      <x:c r="P1825" s="34" t="str">
        <x:v>NOT_REVEALING</x:v>
      </x:c>
      <x:c r="Q1825" s="34" t="str">
        <x:v>Feedback-Directed Random Test Generation/Result/Closure_51/result.json</x:v>
      </x:c>
    </x:row>
    <x:row r="1826">
      <x:c r="A1826" s="34" t="str">
        <x:v>randoop</x:v>
      </x:c>
      <x:c r="B1826" s="34" t="str">
        <x:v>Closure</x:v>
      </x:c>
      <x:c r="C1826" s="34" t="str">
        <x:v>Round1</x:v>
      </x:c>
      <x:c r="D1826" s="34" t="str">
        <x:v>Closure_52</x:v>
      </x:c>
      <x:c r="E1826" s="34" t="str">
        <x:v>Line</x:v>
      </x:c>
      <x:c r="F1826" s="34" t="n">
        <x:v>595</x:v>
      </x:c>
      <x:c r="G1826" s="34" t="str">
        <x:v>RECORDED</x:v>
      </x:c>
      <x:c r="H1826" s="38" t="n">
        <x:f>IF(ISNUMBER('Data'!H118),'Data'!H118*100,"")</x:f>
        <x:v>13.95</x:v>
      </x:c>
      <x:c r="I1826" s="34" t="str">
        <x:v>PASS</x:v>
      </x:c>
      <x:c r="J1826" s="34" t="str">
        <x:v>PASS</x:v>
      </x:c>
      <x:c r="K1826" s="34" t="str">
        <x:v>PASS</x:v>
      </x:c>
      <x:c r="L1826" s="34" t="str">
        <x:v>PASS</x:v>
      </x:c>
      <x:c r="M1826" s="34" t="str">
        <x:v>numeric coverage for applicable metric</x:v>
      </x:c>
      <x:c r="N1826" s="34" t="str">
        <x:v>Feedback-Directed Random Test Generation/Result/Closure_52/result.json</x:v>
      </x:c>
      <x:c r="O1826" s="38" t="n">
        <x:f>IF(AND(G1826="RECORDED",ISNUMBER(H1826)),H1826,"")</x:f>
        <x:v>13.95</x:v>
      </x:c>
      <x:c r="P1826" s="34" t="str">
        <x:v>NOT_REVEALING</x:v>
      </x:c>
      <x:c r="Q1826" s="34" t="str">
        <x:v>Feedback-Directed Random Test Generation/Result/Closure_52/result.json</x:v>
      </x:c>
    </x:row>
    <x:row r="1827">
      <x:c r="A1827" s="34" t="str">
        <x:v>randoop</x:v>
      </x:c>
      <x:c r="B1827" s="34" t="str">
        <x:v>Closure</x:v>
      </x:c>
      <x:c r="C1827" s="34" t="str">
        <x:v>Round1</x:v>
      </x:c>
      <x:c r="D1827" s="34" t="str">
        <x:v>Closure_53</x:v>
      </x:c>
      <x:c r="E1827" s="34" t="str">
        <x:v>Line</x:v>
      </x:c>
      <x:c r="F1827" s="34" t="n">
        <x:v>170</x:v>
      </x:c>
      <x:c r="G1827" s="34" t="str">
        <x:v>RECORDED</x:v>
      </x:c>
      <x:c r="H1827" s="38" t="n">
        <x:f>IF(ISNUMBER('Data'!H119),'Data'!H119*100,"")</x:f>
        <x:v>4.71</x:v>
      </x:c>
      <x:c r="I1827" s="34" t="str">
        <x:v>PASS</x:v>
      </x:c>
      <x:c r="J1827" s="34" t="str">
        <x:v>PASS</x:v>
      </x:c>
      <x:c r="K1827" s="34" t="str">
        <x:v>PASS</x:v>
      </x:c>
      <x:c r="L1827" s="34" t="str">
        <x:v>PASS</x:v>
      </x:c>
      <x:c r="M1827" s="34" t="str">
        <x:v>numeric coverage for applicable metric</x:v>
      </x:c>
      <x:c r="N1827" s="34" t="str">
        <x:v>Feedback-Directed Random Test Generation/Result/Closure_53/result.json</x:v>
      </x:c>
      <x:c r="O1827" s="38" t="n">
        <x:f>IF(AND(G1827="RECORDED",ISNUMBER(H1827)),H1827,"")</x:f>
        <x:v>4.71</x:v>
      </x:c>
      <x:c r="P1827" s="34" t="str">
        <x:v>NOT_REVEALING</x:v>
      </x:c>
      <x:c r="Q1827" s="34" t="str">
        <x:v>Feedback-Directed Random Test Generation/Result/Closure_53/result.json</x:v>
      </x:c>
    </x:row>
    <x:row r="1828">
      <x:c r="A1828" s="34" t="str">
        <x:v>randoop</x:v>
      </x:c>
      <x:c r="B1828" s="34" t="str">
        <x:v>Closure</x:v>
      </x:c>
      <x:c r="C1828" s="34" t="str">
        <x:v>Round1</x:v>
      </x:c>
      <x:c r="D1828" s="34" t="str">
        <x:v>Closure_54</x:v>
      </x:c>
      <x:c r="E1828" s="34" t="str">
        <x:v>Line</x:v>
      </x:c>
      <x:c r="F1828" s="34" t="n">
        <x:v>1190</x:v>
      </x:c>
      <x:c r="G1828" s="34" t="str">
        <x:v>RECORDED</x:v>
      </x:c>
      <x:c r="H1828" s="38" t="n">
        <x:f>IF(ISNUMBER('Data'!H120),'Data'!H120*100,"")</x:f>
        <x:v>2.1</x:v>
      </x:c>
      <x:c r="I1828" s="34" t="str">
        <x:v>PASS</x:v>
      </x:c>
      <x:c r="J1828" s="34" t="str">
        <x:v>PASS</x:v>
      </x:c>
      <x:c r="K1828" s="34" t="str">
        <x:v>PASS</x:v>
      </x:c>
      <x:c r="L1828" s="34" t="str">
        <x:v>PASS</x:v>
      </x:c>
      <x:c r="M1828" s="34" t="str">
        <x:v>numeric coverage for applicable metric</x:v>
      </x:c>
      <x:c r="N1828" s="34" t="str">
        <x:v>Feedback-Directed Random Test Generation/Result/Closure_54/result.json</x:v>
      </x:c>
      <x:c r="O1828" s="38" t="n">
        <x:f>IF(AND(G1828="RECORDED",ISNUMBER(H1828)),H1828,"")</x:f>
        <x:v>2.1</x:v>
      </x:c>
      <x:c r="P1828" s="34" t="str">
        <x:v>NOT_REVEALING</x:v>
      </x:c>
      <x:c r="Q1828" s="34" t="str">
        <x:v>Feedback-Directed Random Test Generation/Result/Closure_54/result.json</x:v>
      </x:c>
    </x:row>
    <x:row r="1829">
      <x:c r="A1829" s="34" t="str">
        <x:v>randoop</x:v>
      </x:c>
      <x:c r="B1829" s="34" t="str">
        <x:v>Closure</x:v>
      </x:c>
      <x:c r="C1829" s="34" t="str">
        <x:v>Round1</x:v>
      </x:c>
      <x:c r="D1829" s="34" t="str">
        <x:v>Closure_55</x:v>
      </x:c>
      <x:c r="E1829" s="34" t="str">
        <x:v>Line</x:v>
      </x:c>
      <x:c r="F1829" s="34" t="n">
        <x:v>156</x:v>
      </x:c>
      <x:c r="G1829" s="34" t="str">
        <x:v>RECORDED</x:v>
      </x:c>
      <x:c r="H1829" s="38" t="n">
        <x:f>IF(ISNUMBER('Data'!H121),'Data'!H121*100,"")</x:f>
        <x:v>12.18</x:v>
      </x:c>
      <x:c r="I1829" s="34" t="str">
        <x:v>PASS</x:v>
      </x:c>
      <x:c r="J1829" s="34" t="str">
        <x:v>PASS</x:v>
      </x:c>
      <x:c r="K1829" s="34" t="str">
        <x:v>PASS</x:v>
      </x:c>
      <x:c r="L1829" s="34" t="str">
        <x:v>PASS</x:v>
      </x:c>
      <x:c r="M1829" s="34" t="str">
        <x:v>numeric coverage for applicable metric</x:v>
      </x:c>
      <x:c r="N1829" s="34" t="str">
        <x:v>Feedback-Directed Random Test Generation/Result/Closure_55/result.json</x:v>
      </x:c>
      <x:c r="O1829" s="38" t="n">
        <x:f>IF(AND(G1829="RECORDED",ISNUMBER(H1829)),H1829,"")</x:f>
        <x:v>12.18</x:v>
      </x:c>
      <x:c r="P1829" s="34" t="str">
        <x:v>NOT_REVEALING</x:v>
      </x:c>
      <x:c r="Q1829" s="34" t="str">
        <x:v>Feedback-Directed Random Test Generation/Result/Closure_55/result.json</x:v>
      </x:c>
    </x:row>
    <x:row r="1830">
      <x:c r="A1830" s="34" t="str">
        <x:v>randoop</x:v>
      </x:c>
      <x:c r="B1830" s="34" t="str">
        <x:v>Closure</x:v>
      </x:c>
      <x:c r="C1830" s="34" t="str">
        <x:v>Round1</x:v>
      </x:c>
      <x:c r="D1830" s="34" t="str">
        <x:v>Closure_56</x:v>
      </x:c>
      <x:c r="E1830" s="34" t="str">
        <x:v>Line</x:v>
      </x:c>
      <x:c r="F1830" s="34" t="n">
        <x:v>142</x:v>
      </x:c>
      <x:c r="G1830" s="34" t="str">
        <x:v>RECORDED</x:v>
      </x:c>
      <x:c r="H1830" s="38" t="n">
        <x:f>IF(ISNUMBER('Data'!H122),'Data'!H122*100,"")</x:f>
        <x:v>86.62</x:v>
      </x:c>
      <x:c r="I1830" s="34" t="str">
        <x:v>PASS</x:v>
      </x:c>
      <x:c r="J1830" s="34" t="str">
        <x:v>PASS</x:v>
      </x:c>
      <x:c r="K1830" s="34" t="str">
        <x:v>PASS</x:v>
      </x:c>
      <x:c r="L1830" s="34" t="str">
        <x:v>FAIL</x:v>
      </x:c>
      <x:c r="M1830" s="34" t="str">
        <x:v>numeric coverage for applicable metric</x:v>
      </x:c>
      <x:c r="N1830" s="34" t="str">
        <x:v>Feedback-Directed Random Test Generation/Result/Closure_56/result.json</x:v>
      </x:c>
      <x:c r="O1830" s="38" t="n">
        <x:f>IF(AND(G1830="RECORDED",ISNUMBER(H1830)),H1830,"")</x:f>
        <x:v>86.62</x:v>
      </x:c>
      <x:c r="P1830" s="34" t="str">
        <x:v>INCONCLUSIVE</x:v>
      </x:c>
      <x:c r="Q1830" s="34" t="str">
        <x:v>Feedback-Directed Random Test Generation/Result/Closure_56/result.json</x:v>
      </x:c>
    </x:row>
    <x:row r="1831">
      <x:c r="A1831" s="34" t="str">
        <x:v>randoop</x:v>
      </x:c>
      <x:c r="B1831" s="34" t="str">
        <x:v>Closure</x:v>
      </x:c>
      <x:c r="C1831" s="34" t="str">
        <x:v>Round1</x:v>
      </x:c>
      <x:c r="D1831" s="34" t="str">
        <x:v>Closure_57</x:v>
      </x:c>
      <x:c r="E1831" s="34" t="str">
        <x:v>Line</x:v>
      </x:c>
      <x:c r="F1831" s="34" t="n">
        <x:v>139</x:v>
      </x:c>
      <x:c r="G1831" s="34" t="str">
        <x:v>RECORDED</x:v>
      </x:c>
      <x:c r="H1831" s="38" t="n">
        <x:f>IF(ISNUMBER('Data'!H123),'Data'!H123*100,"")</x:f>
        <x:v>18.71</x:v>
      </x:c>
      <x:c r="I1831" s="34" t="str">
        <x:v>PASS</x:v>
      </x:c>
      <x:c r="J1831" s="34" t="str">
        <x:v>PASS</x:v>
      </x:c>
      <x:c r="K1831" s="34" t="str">
        <x:v>PASS</x:v>
      </x:c>
      <x:c r="L1831" s="34" t="str">
        <x:v>PASS</x:v>
      </x:c>
      <x:c r="M1831" s="34" t="str">
        <x:v>numeric coverage for applicable metric</x:v>
      </x:c>
      <x:c r="N1831" s="34" t="str">
        <x:v>Feedback-Directed Random Test Generation/Result/Closure_57/result.json</x:v>
      </x:c>
      <x:c r="O1831" s="38" t="n">
        <x:f>IF(AND(G1831="RECORDED",ISNUMBER(H1831)),H1831,"")</x:f>
        <x:v>18.71</x:v>
      </x:c>
      <x:c r="P1831" s="34" t="str">
        <x:v>NOT_REVEALING</x:v>
      </x:c>
      <x:c r="Q1831" s="34" t="str">
        <x:v>Feedback-Directed Random Test Generation/Result/Closure_57/result.json</x:v>
      </x:c>
    </x:row>
    <x:row r="1832">
      <x:c r="A1832" s="34" t="str">
        <x:v>randoop</x:v>
      </x:c>
      <x:c r="B1832" s="34" t="str">
        <x:v>Closure</x:v>
      </x:c>
      <x:c r="C1832" s="34" t="str">
        <x:v>Round1</x:v>
      </x:c>
      <x:c r="D1832" s="34" t="str">
        <x:v>Closure_58</x:v>
      </x:c>
      <x:c r="E1832" s="34" t="str">
        <x:v>Line</x:v>
      </x:c>
      <x:c r="F1832" s="34" t="n">
        <x:v>104</x:v>
      </x:c>
      <x:c r="G1832" s="34" t="str">
        <x:v>RECORDED</x:v>
      </x:c>
      <x:c r="H1832" s="38" t="n">
        <x:f>IF(ISNUMBER('Data'!H124),'Data'!H124*100,"")</x:f>
        <x:v>2.88</x:v>
      </x:c>
      <x:c r="I1832" s="34" t="str">
        <x:v>PASS</x:v>
      </x:c>
      <x:c r="J1832" s="34" t="str">
        <x:v>PASS</x:v>
      </x:c>
      <x:c r="K1832" s="34" t="str">
        <x:v>PASS</x:v>
      </x:c>
      <x:c r="L1832" s="34" t="str">
        <x:v>PASS</x:v>
      </x:c>
      <x:c r="M1832" s="34" t="str">
        <x:v>numeric coverage for applicable metric</x:v>
      </x:c>
      <x:c r="N1832" s="34" t="str">
        <x:v>Feedback-Directed Random Test Generation/Result/Closure_58/result.json</x:v>
      </x:c>
      <x:c r="O1832" s="38" t="n">
        <x:f>IF(AND(G1832="RECORDED",ISNUMBER(H1832)),H1832,"")</x:f>
        <x:v>2.88</x:v>
      </x:c>
      <x:c r="P1832" s="34" t="str">
        <x:v>NOT_REVEALING</x:v>
      </x:c>
      <x:c r="Q1832" s="34" t="str">
        <x:v>Feedback-Directed Random Test Generation/Result/Closure_58/result.json</x:v>
      </x:c>
    </x:row>
    <x:row r="1833">
      <x:c r="A1833" s="34" t="str">
        <x:v>randoop</x:v>
      </x:c>
      <x:c r="B1833" s="34" t="str">
        <x:v>Closure</x:v>
      </x:c>
      <x:c r="C1833" s="34" t="str">
        <x:v>Round1</x:v>
      </x:c>
      <x:c r="D1833" s="34" t="str">
        <x:v>Closure_59</x:v>
      </x:c>
      <x:c r="E1833" s="34" t="str">
        <x:v>Line</x:v>
      </x:c>
      <x:c r="F1833" s="34" t="n">
        <x:v>814</x:v>
      </x:c>
      <x:c r="G1833" s="34" t="str">
        <x:v>RECORDED</x:v>
      </x:c>
      <x:c r="H1833" s="38" t="n">
        <x:f>IF(ISNUMBER('Data'!H125),'Data'!H125*100,"")</x:f>
        <x:v>42.87</x:v>
      </x:c>
      <x:c r="I1833" s="34" t="str">
        <x:v>PASS</x:v>
      </x:c>
      <x:c r="J1833" s="34" t="str">
        <x:v>PASS</x:v>
      </x:c>
      <x:c r="K1833" s="34" t="str">
        <x:v>PASS</x:v>
      </x:c>
      <x:c r="L1833" s="34" t="str">
        <x:v>FAIL</x:v>
      </x:c>
      <x:c r="M1833" s="34" t="str">
        <x:v>numeric coverage for applicable metric</x:v>
      </x:c>
      <x:c r="N1833" s="34" t="str">
        <x:v>Feedback-Directed Random Test Generation/Result/Closure_59/result.json</x:v>
      </x:c>
      <x:c r="O1833" s="38" t="n">
        <x:f>IF(AND(G1833="RECORDED",ISNUMBER(H1833)),H1833,"")</x:f>
        <x:v>42.87</x:v>
      </x:c>
      <x:c r="P1833" s="34" t="str">
        <x:v>INCONCLUSIVE</x:v>
      </x:c>
      <x:c r="Q1833" s="34" t="str">
        <x:v>Feedback-Directed Random Test Generation/Result/Closure_59/result.json</x:v>
      </x:c>
    </x:row>
    <x:row r="1834">
      <x:c r="A1834" s="34" t="str">
        <x:v>randoop</x:v>
      </x:c>
      <x:c r="B1834" s="34" t="str">
        <x:v>Closure</x:v>
      </x:c>
      <x:c r="C1834" s="34" t="str">
        <x:v>Round1</x:v>
      </x:c>
      <x:c r="D1834" s="34" t="str">
        <x:v>Closure_60</x:v>
      </x:c>
      <x:c r="E1834" s="34" t="str">
        <x:v>Line</x:v>
      </x:c>
      <x:c r="F1834" s="34" t="n">
        <x:v>936</x:v>
      </x:c>
      <x:c r="G1834" s="34" t="str">
        <x:v>RECORDED</x:v>
      </x:c>
      <x:c r="H1834" s="38" t="n">
        <x:f>IF(ISNUMBER('Data'!H126),'Data'!H126*100,"")</x:f>
        <x:v>47.01</x:v>
      </x:c>
      <x:c r="I1834" s="34" t="str">
        <x:v>PASS</x:v>
      </x:c>
      <x:c r="J1834" s="34" t="str">
        <x:v>PASS</x:v>
      </x:c>
      <x:c r="K1834" s="34" t="str">
        <x:v>PASS</x:v>
      </x:c>
      <x:c r="L1834" s="34" t="str">
        <x:v>PASS</x:v>
      </x:c>
      <x:c r="M1834" s="34" t="str">
        <x:v>numeric coverage for applicable metric</x:v>
      </x:c>
      <x:c r="N1834" s="34" t="str">
        <x:v>Feedback-Directed Random Test Generation/Result/Closure_60/result.json</x:v>
      </x:c>
      <x:c r="O1834" s="38" t="n">
        <x:f>IF(AND(G1834="RECORDED",ISNUMBER(H1834)),H1834,"")</x:f>
        <x:v>47.01</x:v>
      </x:c>
      <x:c r="P1834" s="34" t="str">
        <x:v>NOT_REVEALING</x:v>
      </x:c>
      <x:c r="Q1834" s="34" t="str">
        <x:v>Feedback-Directed Random Test Generation/Result/Closure_60/result.json</x:v>
      </x:c>
    </x:row>
    <x:row r="1835">
      <x:c r="A1835" s="34" t="str">
        <x:v>randoop</x:v>
      </x:c>
      <x:c r="B1835" s="34" t="str">
        <x:v>Closure</x:v>
      </x:c>
      <x:c r="C1835" s="34" t="str">
        <x:v>Round1</x:v>
      </x:c>
      <x:c r="D1835" s="34" t="str">
        <x:v>Closure_61</x:v>
      </x:c>
      <x:c r="E1835" s="34" t="str">
        <x:v>Line</x:v>
      </x:c>
      <x:c r="F1835" s="34" t="n">
        <x:v>932</x:v>
      </x:c>
      <x:c r="G1835" s="34" t="str">
        <x:v>RECORDED</x:v>
      </x:c>
      <x:c r="H1835" s="38" t="n">
        <x:f>IF(ISNUMBER('Data'!H127),'Data'!H127*100,"")</x:f>
        <x:v>47.32</x:v>
      </x:c>
      <x:c r="I1835" s="34" t="str">
        <x:v>PASS</x:v>
      </x:c>
      <x:c r="J1835" s="34" t="str">
        <x:v>PASS</x:v>
      </x:c>
      <x:c r="K1835" s="34" t="str">
        <x:v>PASS</x:v>
      </x:c>
      <x:c r="L1835" s="34" t="str">
        <x:v>PASS</x:v>
      </x:c>
      <x:c r="M1835" s="34" t="str">
        <x:v>numeric coverage for applicable metric</x:v>
      </x:c>
      <x:c r="N1835" s="34" t="str">
        <x:v>Feedback-Directed Random Test Generation/Result/Closure_61/result.json</x:v>
      </x:c>
      <x:c r="O1835" s="38" t="n">
        <x:f>IF(AND(G1835="RECORDED",ISNUMBER(H1835)),H1835,"")</x:f>
        <x:v>47.32</x:v>
      </x:c>
      <x:c r="P1835" s="34" t="str">
        <x:v>NOT_REVEALING</x:v>
      </x:c>
      <x:c r="Q1835" s="34" t="str">
        <x:v>Feedback-Directed Random Test Generation/Result/Closure_61/result.json</x:v>
      </x:c>
    </x:row>
    <x:row r="1836">
      <x:c r="A1836" s="34" t="str">
        <x:v>randoop</x:v>
      </x:c>
      <x:c r="B1836" s="34" t="str">
        <x:v>Closure</x:v>
      </x:c>
      <x:c r="C1836" s="34" t="str">
        <x:v>Round1</x:v>
      </x:c>
      <x:c r="D1836" s="34" t="str">
        <x:v>Closure_62</x:v>
      </x:c>
      <x:c r="E1836" s="34" t="str">
        <x:v>Line</x:v>
      </x:c>
      <x:c r="F1836" s="34" t="n">
        <x:v>74</x:v>
      </x:c>
      <x:c r="G1836" s="34" t="str">
        <x:v>RECORDED</x:v>
      </x:c>
      <x:c r="H1836" s="38" t="n">
        <x:f>IF(ISNUMBER('Data'!H128),'Data'!H128*100,"")</x:f>
        <x:v>24.32</x:v>
      </x:c>
      <x:c r="I1836" s="34" t="str">
        <x:v>PASS</x:v>
      </x:c>
      <x:c r="J1836" s="34" t="str">
        <x:v>PASS</x:v>
      </x:c>
      <x:c r="K1836" s="34" t="str">
        <x:v>PASS</x:v>
      </x:c>
      <x:c r="L1836" s="34" t="str">
        <x:v>PASS</x:v>
      </x:c>
      <x:c r="M1836" s="34" t="str">
        <x:v>numeric coverage for applicable metric</x:v>
      </x:c>
      <x:c r="N1836" s="34" t="str">
        <x:v>Feedback-Directed Random Test Generation/Result/Closure_62/result.json</x:v>
      </x:c>
      <x:c r="O1836" s="38" t="n">
        <x:f>IF(AND(G1836="RECORDED",ISNUMBER(H1836)),H1836,"")</x:f>
        <x:v>24.32</x:v>
      </x:c>
      <x:c r="P1836" s="34" t="str">
        <x:v>NOT_REVEALING</x:v>
      </x:c>
      <x:c r="Q1836" s="34" t="str">
        <x:v>Feedback-Directed Random Test Generation/Result/Closure_62/result.json</x:v>
      </x:c>
    </x:row>
    <x:row r="1837">
      <x:c r="A1837" s="34" t="str">
        <x:v>randoop</x:v>
      </x:c>
      <x:c r="B1837" s="34" t="str">
        <x:v>Closure</x:v>
      </x:c>
      <x:c r="C1837" s="34" t="str">
        <x:v>Round1</x:v>
      </x:c>
      <x:c r="D1837" s="34" t="str">
        <x:v>Closure_64</x:v>
      </x:c>
      <x:c r="E1837" s="34" t="str">
        <x:v>Line</x:v>
      </x:c>
      <x:c r="F1837" s="34" t="n">
        <x:v>793</x:v>
      </x:c>
      <x:c r="G1837" s="34" t="str">
        <x:v>RECORDED</x:v>
      </x:c>
      <x:c r="H1837" s="38" t="n">
        <x:f>IF(ISNUMBER('Data'!H129),'Data'!H129*100,"")</x:f>
        <x:v>44.77</x:v>
      </x:c>
      <x:c r="I1837" s="34" t="str">
        <x:v>PASS</x:v>
      </x:c>
      <x:c r="J1837" s="34" t="str">
        <x:v>PASS</x:v>
      </x:c>
      <x:c r="K1837" s="34" t="str">
        <x:v>PASS</x:v>
      </x:c>
      <x:c r="L1837" s="34" t="str">
        <x:v>FAIL</x:v>
      </x:c>
      <x:c r="M1837" s="34" t="str">
        <x:v>numeric coverage for applicable metric</x:v>
      </x:c>
      <x:c r="N1837" s="34" t="str">
        <x:v>Feedback-Directed Random Test Generation/Result/Closure_64/result.json</x:v>
      </x:c>
      <x:c r="O1837" s="38" t="n">
        <x:f>IF(AND(G1837="RECORDED",ISNUMBER(H1837)),H1837,"")</x:f>
        <x:v>44.77</x:v>
      </x:c>
      <x:c r="P1837" s="34" t="str">
        <x:v>INCONCLUSIVE</x:v>
      </x:c>
      <x:c r="Q1837" s="34" t="str">
        <x:v>Feedback-Directed Random Test Generation/Result/Closure_64/result.json</x:v>
      </x:c>
    </x:row>
    <x:row r="1838">
      <x:c r="A1838" s="34" t="str">
        <x:v>randoop</x:v>
      </x:c>
      <x:c r="B1838" s="34" t="str">
        <x:v>Closure</x:v>
      </x:c>
      <x:c r="C1838" s="34" t="str">
        <x:v>Round1</x:v>
      </x:c>
      <x:c r="D1838" s="34" t="str">
        <x:v>Closure_65</x:v>
      </x:c>
      <x:c r="E1838" s="34" t="str">
        <x:v>Line</x:v>
      </x:c>
      <x:c r="F1838" s="34" t="n">
        <x:v>595</x:v>
      </x:c>
      <x:c r="G1838" s="34" t="str">
        <x:v>RECORDED</x:v>
      </x:c>
      <x:c r="H1838" s="38" t="n">
        <x:f>IF(ISNUMBER('Data'!H130),'Data'!H130*100,"")</x:f>
        <x:v>13.95</x:v>
      </x:c>
      <x:c r="I1838" s="34" t="str">
        <x:v>PASS</x:v>
      </x:c>
      <x:c r="J1838" s="34" t="str">
        <x:v>PASS</x:v>
      </x:c>
      <x:c r="K1838" s="34" t="str">
        <x:v>PASS</x:v>
      </x:c>
      <x:c r="L1838" s="34" t="str">
        <x:v>PASS</x:v>
      </x:c>
      <x:c r="M1838" s="34" t="str">
        <x:v>numeric coverage for applicable metric</x:v>
      </x:c>
      <x:c r="N1838" s="34" t="str">
        <x:v>Feedback-Directed Random Test Generation/Result/Closure_65/result.json</x:v>
      </x:c>
      <x:c r="O1838" s="38" t="n">
        <x:f>IF(AND(G1838="RECORDED",ISNUMBER(H1838)),H1838,"")</x:f>
        <x:v>13.95</x:v>
      </x:c>
      <x:c r="P1838" s="34" t="str">
        <x:v>NOT_REVEALING</x:v>
      </x:c>
      <x:c r="Q1838" s="34" t="str">
        <x:v>Feedback-Directed Random Test Generation/Result/Closure_65/result.json</x:v>
      </x:c>
    </x:row>
    <x:row r="1839">
      <x:c r="A1839" s="34" t="str">
        <x:v>randoop</x:v>
      </x:c>
      <x:c r="B1839" s="34" t="str">
        <x:v>Closure</x:v>
      </x:c>
      <x:c r="C1839" s="34" t="str">
        <x:v>Round1</x:v>
      </x:c>
      <x:c r="D1839" s="34" t="str">
        <x:v>Closure_66</x:v>
      </x:c>
      <x:c r="E1839" s="34" t="str">
        <x:v>Line</x:v>
      </x:c>
      <x:c r="F1839" s="34" t="n">
        <x:v>782</x:v>
      </x:c>
      <x:c r="G1839" s="34" t="str">
        <x:v>RECORDED</x:v>
      </x:c>
      <x:c r="H1839" s="38" t="n">
        <x:f>IF(ISNUMBER('Data'!H131),'Data'!H131*100,"")</x:f>
        <x:v>8.82</x:v>
      </x:c>
      <x:c r="I1839" s="34" t="str">
        <x:v>PASS</x:v>
      </x:c>
      <x:c r="J1839" s="34" t="str">
        <x:v>PASS</x:v>
      </x:c>
      <x:c r="K1839" s="34" t="str">
        <x:v>PASS</x:v>
      </x:c>
      <x:c r="L1839" s="34" t="str">
        <x:v>PASS</x:v>
      </x:c>
      <x:c r="M1839" s="34" t="str">
        <x:v>numeric coverage for applicable metric</x:v>
      </x:c>
      <x:c r="N1839" s="34" t="str">
        <x:v>Feedback-Directed Random Test Generation/Result/Closure_66/result.json</x:v>
      </x:c>
      <x:c r="O1839" s="38" t="n">
        <x:f>IF(AND(G1839="RECORDED",ISNUMBER(H1839)),H1839,"")</x:f>
        <x:v>8.82</x:v>
      </x:c>
      <x:c r="P1839" s="34" t="str">
        <x:v>NOT_REVEALING</x:v>
      </x:c>
      <x:c r="Q1839" s="34" t="str">
        <x:v>Feedback-Directed Random Test Generation/Result/Closure_66/result.json</x:v>
      </x:c>
    </x:row>
    <x:row r="1840">
      <x:c r="A1840" s="34" t="str">
        <x:v>randoop</x:v>
      </x:c>
      <x:c r="B1840" s="34" t="str">
        <x:v>Closure</x:v>
      </x:c>
      <x:c r="C1840" s="34" t="str">
        <x:v>Round1</x:v>
      </x:c>
      <x:c r="D1840" s="34" t="str">
        <x:v>Closure_67</x:v>
      </x:c>
      <x:c r="E1840" s="34" t="str">
        <x:v>Line</x:v>
      </x:c>
      <x:c r="F1840" s="34" t="n">
        <x:v>252</x:v>
      </x:c>
      <x:c r="G1840" s="34" t="str">
        <x:v>RECORDED</x:v>
      </x:c>
      <x:c r="H1840" s="38" t="n">
        <x:f>IF(ISNUMBER('Data'!H132),'Data'!H132*100,"")</x:f>
        <x:v>37.7</x:v>
      </x:c>
      <x:c r="I1840" s="34" t="str">
        <x:v>PASS</x:v>
      </x:c>
      <x:c r="J1840" s="34" t="str">
        <x:v>PASS</x:v>
      </x:c>
      <x:c r="K1840" s="34" t="str">
        <x:v>PASS</x:v>
      </x:c>
      <x:c r="L1840" s="34" t="str">
        <x:v>PASS</x:v>
      </x:c>
      <x:c r="M1840" s="34" t="str">
        <x:v>numeric coverage for applicable metric</x:v>
      </x:c>
      <x:c r="N1840" s="34" t="str">
        <x:v>Feedback-Directed Random Test Generation/Result/Closure_67/result.json</x:v>
      </x:c>
      <x:c r="O1840" s="38" t="n">
        <x:f>IF(AND(G1840="RECORDED",ISNUMBER(H1840)),H1840,"")</x:f>
        <x:v>37.7</x:v>
      </x:c>
      <x:c r="P1840" s="34" t="str">
        <x:v>NOT_REVEALING</x:v>
      </x:c>
      <x:c r="Q1840" s="34" t="str">
        <x:v>Feedback-Directed Random Test Generation/Result/Closure_67/result.json</x:v>
      </x:c>
    </x:row>
    <x:row r="1841">
      <x:c r="A1841" s="34" t="str">
        <x:v>randoop</x:v>
      </x:c>
      <x:c r="B1841" s="34" t="str">
        <x:v>Closure</x:v>
      </x:c>
      <x:c r="C1841" s="34" t="str">
        <x:v>Round1</x:v>
      </x:c>
      <x:c r="D1841" s="34" t="str">
        <x:v>Closure_68</x:v>
      </x:c>
      <x:c r="E1841" s="34" t="str">
        <x:v>Line</x:v>
      </x:c>
      <x:c r="F1841" s="34" t="n">
        <x:v>1012</x:v>
      </x:c>
      <x:c r="G1841" s="34" t="str">
        <x:v>RECORDED</x:v>
      </x:c>
      <x:c r="H1841" s="38" t="n">
        <x:f>IF(ISNUMBER('Data'!H133),'Data'!H133*100,"")</x:f>
        <x:v>7.51</x:v>
      </x:c>
      <x:c r="I1841" s="34" t="str">
        <x:v>PASS</x:v>
      </x:c>
      <x:c r="J1841" s="34" t="str">
        <x:v>PASS</x:v>
      </x:c>
      <x:c r="K1841" s="34" t="str">
        <x:v>PASS</x:v>
      </x:c>
      <x:c r="L1841" s="34" t="str">
        <x:v>PASS</x:v>
      </x:c>
      <x:c r="M1841" s="34" t="str">
        <x:v>numeric coverage for applicable metric</x:v>
      </x:c>
      <x:c r="N1841" s="34" t="str">
        <x:v>Feedback-Directed Random Test Generation/Result/Closure_68/result.json</x:v>
      </x:c>
      <x:c r="O1841" s="38" t="n">
        <x:f>IF(AND(G1841="RECORDED",ISNUMBER(H1841)),H1841,"")</x:f>
        <x:v>7.51</x:v>
      </x:c>
      <x:c r="P1841" s="34" t="str">
        <x:v>NOT_REVEALING</x:v>
      </x:c>
      <x:c r="Q1841" s="34" t="str">
        <x:v>Feedback-Directed Random Test Generation/Result/Closure_68/result.json</x:v>
      </x:c>
    </x:row>
    <x:row r="1842">
      <x:c r="A1842" s="34" t="str">
        <x:v>randoop</x:v>
      </x:c>
      <x:c r="B1842" s="34" t="str">
        <x:v>Closure</x:v>
      </x:c>
      <x:c r="C1842" s="34" t="str">
        <x:v>Round1</x:v>
      </x:c>
      <x:c r="D1842" s="34" t="str">
        <x:v>Closure_69</x:v>
      </x:c>
      <x:c r="E1842" s="34" t="str">
        <x:v>Line</x:v>
      </x:c>
      <x:c r="F1842" s="34" t="n">
        <x:v>776</x:v>
      </x:c>
      <x:c r="G1842" s="34" t="str">
        <x:v>RECORDED</x:v>
      </x:c>
      <x:c r="H1842" s="38" t="n">
        <x:f>IF(ISNUMBER('Data'!H134),'Data'!H134*100,"")</x:f>
        <x:v>8.89</x:v>
      </x:c>
      <x:c r="I1842" s="34" t="str">
        <x:v>PASS</x:v>
      </x:c>
      <x:c r="J1842" s="34" t="str">
        <x:v>PASS</x:v>
      </x:c>
      <x:c r="K1842" s="34" t="str">
        <x:v>PASS</x:v>
      </x:c>
      <x:c r="L1842" s="34" t="str">
        <x:v>PASS</x:v>
      </x:c>
      <x:c r="M1842" s="34" t="str">
        <x:v>numeric coverage for applicable metric</x:v>
      </x:c>
      <x:c r="N1842" s="34" t="str">
        <x:v>Feedback-Directed Random Test Generation/Result/Closure_69/result.json</x:v>
      </x:c>
      <x:c r="O1842" s="38" t="n">
        <x:f>IF(AND(G1842="RECORDED",ISNUMBER(H1842)),H1842,"")</x:f>
        <x:v>8.89</x:v>
      </x:c>
      <x:c r="P1842" s="34" t="str">
        <x:v>NOT_REVEALING</x:v>
      </x:c>
      <x:c r="Q1842" s="34" t="str">
        <x:v>Feedback-Directed Random Test Generation/Result/Closure_69/result.json</x:v>
      </x:c>
    </x:row>
    <x:row r="1843">
      <x:c r="A1843" s="34" t="str">
        <x:v>randoop</x:v>
      </x:c>
      <x:c r="B1843" s="34" t="str">
        <x:v>Closure</x:v>
      </x:c>
      <x:c r="C1843" s="34" t="str">
        <x:v>Round1</x:v>
      </x:c>
      <x:c r="D1843" s="34" t="str">
        <x:v>Closure_70</x:v>
      </x:c>
      <x:c r="E1843" s="34" t="str">
        <x:v>Line</x:v>
      </x:c>
      <x:c r="F1843" s="34" t="n">
        <x:v>806</x:v>
      </x:c>
      <x:c r="G1843" s="34" t="str">
        <x:v>RECORDED</x:v>
      </x:c>
      <x:c r="H1843" s="38" t="n">
        <x:f>IF(ISNUMBER('Data'!H135),'Data'!H135*100,"")</x:f>
        <x:v>2.73</x:v>
      </x:c>
      <x:c r="I1843" s="34" t="str">
        <x:v>PASS</x:v>
      </x:c>
      <x:c r="J1843" s="34" t="str">
        <x:v>PASS</x:v>
      </x:c>
      <x:c r="K1843" s="34" t="str">
        <x:v>PASS</x:v>
      </x:c>
      <x:c r="L1843" s="34" t="str">
        <x:v>PASS</x:v>
      </x:c>
      <x:c r="M1843" s="34" t="str">
        <x:v>numeric coverage for applicable metric</x:v>
      </x:c>
      <x:c r="N1843" s="34" t="str">
        <x:v>Feedback-Directed Random Test Generation/Result/Closure_70/result.json</x:v>
      </x:c>
      <x:c r="O1843" s="38" t="n">
        <x:f>IF(AND(G1843="RECORDED",ISNUMBER(H1843)),H1843,"")</x:f>
        <x:v>2.73</x:v>
      </x:c>
      <x:c r="P1843" s="34" t="str">
        <x:v>NOT_REVEALING</x:v>
      </x:c>
      <x:c r="Q1843" s="34" t="str">
        <x:v>Feedback-Directed Random Test Generation/Result/Closure_70/result.json</x:v>
      </x:c>
    </x:row>
    <x:row r="1844">
      <x:c r="A1844" s="34" t="str">
        <x:v>randoop</x:v>
      </x:c>
      <x:c r="B1844" s="34" t="str">
        <x:v>Closure</x:v>
      </x:c>
      <x:c r="C1844" s="34" t="str">
        <x:v>Round1</x:v>
      </x:c>
      <x:c r="D1844" s="34" t="str">
        <x:v>Closure_71</x:v>
      </x:c>
      <x:c r="E1844" s="34" t="str">
        <x:v>Line</x:v>
      </x:c>
      <x:c r="F1844" s="34" t="n">
        <x:v>267</x:v>
      </x:c>
      <x:c r="G1844" s="34" t="str">
        <x:v>RECORDED</x:v>
      </x:c>
      <x:c r="H1844" s="38" t="n">
        <x:f>IF(ISNUMBER('Data'!H136),'Data'!H136*100,"")</x:f>
        <x:v>8.99</x:v>
      </x:c>
      <x:c r="I1844" s="34" t="str">
        <x:v>PASS</x:v>
      </x:c>
      <x:c r="J1844" s="34" t="str">
        <x:v>PASS</x:v>
      </x:c>
      <x:c r="K1844" s="34" t="str">
        <x:v>PASS</x:v>
      </x:c>
      <x:c r="L1844" s="34" t="str">
        <x:v>PASS</x:v>
      </x:c>
      <x:c r="M1844" s="34" t="str">
        <x:v>numeric coverage for applicable metric</x:v>
      </x:c>
      <x:c r="N1844" s="34" t="str">
        <x:v>Feedback-Directed Random Test Generation/Result/Closure_71/result.json</x:v>
      </x:c>
      <x:c r="O1844" s="38" t="n">
        <x:f>IF(AND(G1844="RECORDED",ISNUMBER(H1844)),H1844,"")</x:f>
        <x:v>8.99</x:v>
      </x:c>
      <x:c r="P1844" s="34" t="str">
        <x:v>NOT_REVEALING</x:v>
      </x:c>
      <x:c r="Q1844" s="34" t="str">
        <x:v>Feedback-Directed Random Test Generation/Result/Closure_71/result.json</x:v>
      </x:c>
    </x:row>
    <x:row r="1845">
      <x:c r="A1845" s="34" t="str">
        <x:v>randoop</x:v>
      </x:c>
      <x:c r="B1845" s="34" t="str">
        <x:v>Closure</x:v>
      </x:c>
      <x:c r="C1845" s="34" t="str">
        <x:v>Round1</x:v>
      </x:c>
      <x:c r="D1845" s="34" t="str">
        <x:v>Closure_72</x:v>
      </x:c>
      <x:c r="E1845" s="34" t="str">
        <x:v>Line</x:v>
      </x:c>
      <x:c r="F1845" s="34" t="n">
        <x:v>216</x:v>
      </x:c>
      <x:c r="G1845" s="34" t="str">
        <x:v>RECORDED</x:v>
      </x:c>
      <x:c r="H1845" s="38" t="n">
        <x:f>IF(ISNUMBER('Data'!H137),'Data'!H137*100,"")</x:f>
        <x:v>16.2</x:v>
      </x:c>
      <x:c r="I1845" s="34" t="str">
        <x:v>PASS</x:v>
      </x:c>
      <x:c r="J1845" s="34" t="str">
        <x:v>PASS</x:v>
      </x:c>
      <x:c r="K1845" s="34" t="str">
        <x:v>PASS</x:v>
      </x:c>
      <x:c r="L1845" s="34" t="str">
        <x:v>PASS</x:v>
      </x:c>
      <x:c r="M1845" s="34" t="str">
        <x:v>numeric coverage for applicable metric</x:v>
      </x:c>
      <x:c r="N1845" s="34" t="str">
        <x:v>Feedback-Directed Random Test Generation/Result/Closure_72/result.json</x:v>
      </x:c>
      <x:c r="O1845" s="38" t="n">
        <x:f>IF(AND(G1845="RECORDED",ISNUMBER(H1845)),H1845,"")</x:f>
        <x:v>16.2</x:v>
      </x:c>
      <x:c r="P1845" s="34" t="str">
        <x:v>NOT_REVEALING</x:v>
      </x:c>
      <x:c r="Q1845" s="34" t="str">
        <x:v>Feedback-Directed Random Test Generation/Result/Closure_72/result.json</x:v>
      </x:c>
    </x:row>
    <x:row r="1846">
      <x:c r="A1846" s="34" t="str">
        <x:v>randoop</x:v>
      </x:c>
      <x:c r="B1846" s="34" t="str">
        <x:v>Closure</x:v>
      </x:c>
      <x:c r="C1846" s="34" t="str">
        <x:v>Round1</x:v>
      </x:c>
      <x:c r="D1846" s="34" t="str">
        <x:v>Closure_73</x:v>
      </x:c>
      <x:c r="E1846" s="34" t="str">
        <x:v>Line</x:v>
      </x:c>
      <x:c r="F1846" s="34" t="n">
        <x:v>586</x:v>
      </x:c>
      <x:c r="G1846" s="34" t="str">
        <x:v>RECORDED</x:v>
      </x:c>
      <x:c r="H1846" s="38" t="n">
        <x:f>IF(ISNUMBER('Data'!H138),'Data'!H138*100,"")</x:f>
        <x:v>12.629999999999999</x:v>
      </x:c>
      <x:c r="I1846" s="34" t="str">
        <x:v>PASS</x:v>
      </x:c>
      <x:c r="J1846" s="34" t="str">
        <x:v>PASS</x:v>
      </x:c>
      <x:c r="K1846" s="34" t="str">
        <x:v>PASS</x:v>
      </x:c>
      <x:c r="L1846" s="34" t="str">
        <x:v>PASS</x:v>
      </x:c>
      <x:c r="M1846" s="34" t="str">
        <x:v>numeric coverage for applicable metric</x:v>
      </x:c>
      <x:c r="N1846" s="34" t="str">
        <x:v>Feedback-Directed Random Test Generation/Result/Closure_73/result.json</x:v>
      </x:c>
      <x:c r="O1846" s="38" t="n">
        <x:f>IF(AND(G1846="RECORDED",ISNUMBER(H1846)),H1846,"")</x:f>
        <x:v>12.629999999999999</x:v>
      </x:c>
      <x:c r="P1846" s="34" t="str">
        <x:v>NOT_REVEALING</x:v>
      </x:c>
      <x:c r="Q1846" s="34" t="str">
        <x:v>Feedback-Directed Random Test Generation/Result/Closure_73/result.json</x:v>
      </x:c>
    </x:row>
    <x:row r="1847">
      <x:c r="A1847" s="34" t="str">
        <x:v>randoop</x:v>
      </x:c>
      <x:c r="B1847" s="34" t="str">
        <x:v>Closure</x:v>
      </x:c>
      <x:c r="C1847" s="34" t="str">
        <x:v>Round1</x:v>
      </x:c>
      <x:c r="D1847" s="34" t="str">
        <x:v>Closure_74</x:v>
      </x:c>
      <x:c r="E1847" s="34" t="str">
        <x:v>Line</x:v>
      </x:c>
      <x:c r="F1847" s="34" t="n">
        <x:v>800</x:v>
      </x:c>
      <x:c r="G1847" s="34" t="str">
        <x:v>RECORDED</x:v>
      </x:c>
      <x:c r="H1847" s="38" t="n">
        <x:f>IF(ISNUMBER('Data'!H139),'Data'!H139*100,"")</x:f>
        <x:v>1.7500000000000002</x:v>
      </x:c>
      <x:c r="I1847" s="34" t="str">
        <x:v>PASS</x:v>
      </x:c>
      <x:c r="J1847" s="34" t="str">
        <x:v>PASS</x:v>
      </x:c>
      <x:c r="K1847" s="34" t="str">
        <x:v>PASS</x:v>
      </x:c>
      <x:c r="L1847" s="34" t="str">
        <x:v>PASS</x:v>
      </x:c>
      <x:c r="M1847" s="34" t="str">
        <x:v>numeric coverage for applicable metric</x:v>
      </x:c>
      <x:c r="N1847" s="34" t="str">
        <x:v>Feedback-Directed Random Test Generation/Result/Closure_74/result.json</x:v>
      </x:c>
      <x:c r="O1847" s="38" t="n">
        <x:f>IF(AND(G1847="RECORDED",ISNUMBER(H1847)),H1847,"")</x:f>
        <x:v>1.7500000000000002</x:v>
      </x:c>
      <x:c r="P1847" s="34" t="str">
        <x:v>NOT_REVEALING</x:v>
      </x:c>
      <x:c r="Q1847" s="34" t="str">
        <x:v>Feedback-Directed Random Test Generation/Result/Closure_74/result.json</x:v>
      </x:c>
    </x:row>
    <x:row r="1848">
      <x:c r="A1848" s="34" t="str">
        <x:v>randoop</x:v>
      </x:c>
      <x:c r="B1848" s="34" t="str">
        <x:v>Closure</x:v>
      </x:c>
      <x:c r="C1848" s="34" t="str">
        <x:v>Round1</x:v>
      </x:c>
      <x:c r="D1848" s="34" t="str">
        <x:v>Closure_75</x:v>
      </x:c>
      <x:c r="E1848" s="34" t="str">
        <x:v>Line</x:v>
      </x:c>
      <x:c r="F1848" s="34" t="n">
        <x:v>920</x:v>
      </x:c>
      <x:c r="G1848" s="34" t="str">
        <x:v>RECORDED</x:v>
      </x:c>
      <x:c r="H1848" s="38" t="n">
        <x:f>IF(ISNUMBER('Data'!H140),'Data'!H140*100,"")</x:f>
        <x:v>48.04</x:v>
      </x:c>
      <x:c r="I1848" s="34" t="str">
        <x:v>PASS</x:v>
      </x:c>
      <x:c r="J1848" s="34" t="str">
        <x:v>PASS</x:v>
      </x:c>
      <x:c r="K1848" s="34" t="str">
        <x:v>PASS</x:v>
      </x:c>
      <x:c r="L1848" s="34" t="str">
        <x:v>PASS</x:v>
      </x:c>
      <x:c r="M1848" s="34" t="str">
        <x:v>numeric coverage for applicable metric</x:v>
      </x:c>
      <x:c r="N1848" s="34" t="str">
        <x:v>Feedback-Directed Random Test Generation/Result/Closure_75/result.json</x:v>
      </x:c>
      <x:c r="O1848" s="38" t="n">
        <x:f>IF(AND(G1848="RECORDED",ISNUMBER(H1848)),H1848,"")</x:f>
        <x:v>48.04</x:v>
      </x:c>
      <x:c r="P1848" s="34" t="str">
        <x:v>NOT_REVEALING</x:v>
      </x:c>
      <x:c r="Q1848" s="34" t="str">
        <x:v>Feedback-Directed Random Test Generation/Result/Closure_75/result.json</x:v>
      </x:c>
    </x:row>
    <x:row r="1849">
      <x:c r="A1849" s="34" t="str">
        <x:v>randoop</x:v>
      </x:c>
      <x:c r="B1849" s="34" t="str">
        <x:v>Closure</x:v>
      </x:c>
      <x:c r="C1849" s="34" t="str">
        <x:v>Round1</x:v>
      </x:c>
      <x:c r="D1849" s="34" t="str">
        <x:v>Closure_76</x:v>
      </x:c>
      <x:c r="E1849" s="34" t="str">
        <x:v>Line</x:v>
      </x:c>
      <x:c r="F1849" s="34" t="n">
        <x:v>150</x:v>
      </x:c>
      <x:c r="G1849" s="34" t="str">
        <x:v>RECORDED</x:v>
      </x:c>
      <x:c r="H1849" s="38" t="n">
        <x:f>IF(ISNUMBER('Data'!H141),'Data'!H141*100,"")</x:f>
        <x:v>6</x:v>
      </x:c>
      <x:c r="I1849" s="34" t="str">
        <x:v>PASS</x:v>
      </x:c>
      <x:c r="J1849" s="34" t="str">
        <x:v>PASS</x:v>
      </x:c>
      <x:c r="K1849" s="34" t="str">
        <x:v>PASS</x:v>
      </x:c>
      <x:c r="L1849" s="34" t="str">
        <x:v>PASS</x:v>
      </x:c>
      <x:c r="M1849" s="34" t="str">
        <x:v>numeric coverage for applicable metric</x:v>
      </x:c>
      <x:c r="N1849" s="34" t="str">
        <x:v>Feedback-Directed Random Test Generation/Result/Closure_76/result.json</x:v>
      </x:c>
      <x:c r="O1849" s="38" t="n">
        <x:f>IF(AND(G1849="RECORDED",ISNUMBER(H1849)),H1849,"")</x:f>
        <x:v>6</x:v>
      </x:c>
      <x:c r="P1849" s="34" t="str">
        <x:v>NOT_REVEALING</x:v>
      </x:c>
      <x:c r="Q1849" s="34" t="str">
        <x:v>Feedback-Directed Random Test Generation/Result/Closure_76/result.json</x:v>
      </x:c>
    </x:row>
    <x:row r="1850">
      <x:c r="A1850" s="34" t="str">
        <x:v>randoop</x:v>
      </x:c>
      <x:c r="B1850" s="34" t="str">
        <x:v>Closure</x:v>
      </x:c>
      <x:c r="C1850" s="34" t="str">
        <x:v>Round1</x:v>
      </x:c>
      <x:c r="D1850" s="34" t="str">
        <x:v>Closure_77</x:v>
      </x:c>
      <x:c r="E1850" s="34" t="str">
        <x:v>Line</x:v>
      </x:c>
      <x:c r="F1850" s="34" t="n">
        <x:v>568</x:v>
      </x:c>
      <x:c r="G1850" s="34" t="str">
        <x:v>RECORDED</x:v>
      </x:c>
      <x:c r="H1850" s="38" t="n">
        <x:f>IF(ISNUMBER('Data'!H142),'Data'!H142*100,"")</x:f>
        <x:v>11.62</x:v>
      </x:c>
      <x:c r="I1850" s="34" t="str">
        <x:v>PASS</x:v>
      </x:c>
      <x:c r="J1850" s="34" t="str">
        <x:v>PASS</x:v>
      </x:c>
      <x:c r="K1850" s="34" t="str">
        <x:v>PASS</x:v>
      </x:c>
      <x:c r="L1850" s="34" t="str">
        <x:v>PASS</x:v>
      </x:c>
      <x:c r="M1850" s="34" t="str">
        <x:v>numeric coverage for applicable metric</x:v>
      </x:c>
      <x:c r="N1850" s="34" t="str">
        <x:v>Feedback-Directed Random Test Generation/Result/Closure_77/result.json</x:v>
      </x:c>
      <x:c r="O1850" s="38" t="n">
        <x:f>IF(AND(G1850="RECORDED",ISNUMBER(H1850)),H1850,"")</x:f>
        <x:v>11.62</x:v>
      </x:c>
      <x:c r="P1850" s="34" t="str">
        <x:v>NOT_REVEALING</x:v>
      </x:c>
      <x:c r="Q1850" s="34" t="str">
        <x:v>Feedback-Directed Random Test Generation/Result/Closure_77/result.json</x:v>
      </x:c>
    </x:row>
    <x:row r="1851">
      <x:c r="A1851" s="34" t="str">
        <x:v>randoop</x:v>
      </x:c>
      <x:c r="B1851" s="34" t="str">
        <x:v>Closure</x:v>
      </x:c>
      <x:c r="C1851" s="34" t="str">
        <x:v>Round1</x:v>
      </x:c>
      <x:c r="D1851" s="34" t="str">
        <x:v>Closure_78</x:v>
      </x:c>
      <x:c r="E1851" s="34" t="str">
        <x:v>Line</x:v>
      </x:c>
      <x:c r="F1851" s="34" t="n">
        <x:v>764</x:v>
      </x:c>
      <x:c r="G1851" s="34" t="str">
        <x:v>RECORDED</x:v>
      </x:c>
      <x:c r="H1851" s="38" t="n">
        <x:f>IF(ISNUMBER('Data'!H143),'Data'!H143*100,"")</x:f>
        <x:v>1.83</x:v>
      </x:c>
      <x:c r="I1851" s="34" t="str">
        <x:v>PASS</x:v>
      </x:c>
      <x:c r="J1851" s="34" t="str">
        <x:v>PASS</x:v>
      </x:c>
      <x:c r="K1851" s="34" t="str">
        <x:v>PASS</x:v>
      </x:c>
      <x:c r="L1851" s="34" t="str">
        <x:v>PASS</x:v>
      </x:c>
      <x:c r="M1851" s="34" t="str">
        <x:v>numeric coverage for applicable metric</x:v>
      </x:c>
      <x:c r="N1851" s="34" t="str">
        <x:v>Feedback-Directed Random Test Generation/Result/Closure_78/result.json</x:v>
      </x:c>
      <x:c r="O1851" s="38" t="n">
        <x:f>IF(AND(G1851="RECORDED",ISNUMBER(H1851)),H1851,"")</x:f>
        <x:v>1.83</x:v>
      </x:c>
      <x:c r="P1851" s="34" t="str">
        <x:v>NOT_REVEALING</x:v>
      </x:c>
      <x:c r="Q1851" s="34" t="str">
        <x:v>Feedback-Directed Random Test Generation/Result/Closure_78/result.json</x:v>
      </x:c>
    </x:row>
    <x:row r="1852">
      <x:c r="A1852" s="34" t="str">
        <x:v>randoop</x:v>
      </x:c>
      <x:c r="B1852" s="34" t="str">
        <x:v>Closure</x:v>
      </x:c>
      <x:c r="C1852" s="34" t="str">
        <x:v>Round1</x:v>
      </x:c>
      <x:c r="D1852" s="34" t="str">
        <x:v>Closure_79</x:v>
      </x:c>
      <x:c r="E1852" s="34" t="str">
        <x:v>Line</x:v>
      </x:c>
      <x:c r="F1852" s="34" t="n">
        <x:v>391</x:v>
      </x:c>
      <x:c r="G1852" s="34" t="str">
        <x:v>RECORDED</x:v>
      </x:c>
      <x:c r="H1852" s="38" t="n">
        <x:f>IF(ISNUMBER('Data'!H144),'Data'!H144*100,"")</x:f>
        <x:v>12.28</x:v>
      </x:c>
      <x:c r="I1852" s="34" t="str">
        <x:v>PASS</x:v>
      </x:c>
      <x:c r="J1852" s="34" t="str">
        <x:v>PASS</x:v>
      </x:c>
      <x:c r="K1852" s="34" t="str">
        <x:v>PASS</x:v>
      </x:c>
      <x:c r="L1852" s="34" t="str">
        <x:v>PASS</x:v>
      </x:c>
      <x:c r="M1852" s="34" t="str">
        <x:v>numeric coverage for applicable metric</x:v>
      </x:c>
      <x:c r="N1852" s="34" t="str">
        <x:v>Feedback-Directed Random Test Generation/Result/Closure_79/result.json</x:v>
      </x:c>
      <x:c r="O1852" s="38" t="n">
        <x:f>IF(AND(G1852="RECORDED",ISNUMBER(H1852)),H1852,"")</x:f>
        <x:v>12.28</x:v>
      </x:c>
      <x:c r="P1852" s="34" t="str">
        <x:v>NOT_REVEALING</x:v>
      </x:c>
      <x:c r="Q1852" s="34" t="str">
        <x:v>Feedback-Directed Random Test Generation/Result/Closure_79/result.json</x:v>
      </x:c>
    </x:row>
    <x:row r="1853">
      <x:c r="A1853" s="34" t="str">
        <x:v>randoop</x:v>
      </x:c>
      <x:c r="B1853" s="34" t="str">
        <x:v>Closure</x:v>
      </x:c>
      <x:c r="C1853" s="34" t="str">
        <x:v>Round1</x:v>
      </x:c>
      <x:c r="D1853" s="34" t="str">
        <x:v>Closure_80</x:v>
      </x:c>
      <x:c r="E1853" s="34" t="str">
        <x:v>Line</x:v>
      </x:c>
      <x:c r="F1853" s="34" t="n">
        <x:v>915</x:v>
      </x:c>
      <x:c r="G1853" s="34" t="str">
        <x:v>RECORDED</x:v>
      </x:c>
      <x:c r="H1853" s="38" t="n">
        <x:f>IF(ISNUMBER('Data'!H145),'Data'!H145*100,"")</x:f>
        <x:v>46.12</x:v>
      </x:c>
      <x:c r="I1853" s="34" t="str">
        <x:v>PASS</x:v>
      </x:c>
      <x:c r="J1853" s="34" t="str">
        <x:v>PASS</x:v>
      </x:c>
      <x:c r="K1853" s="34" t="str">
        <x:v>PASS</x:v>
      </x:c>
      <x:c r="L1853" s="34" t="str">
        <x:v>PASS</x:v>
      </x:c>
      <x:c r="M1853" s="34" t="str">
        <x:v>numeric coverage for applicable metric</x:v>
      </x:c>
      <x:c r="N1853" s="34" t="str">
        <x:v>Feedback-Directed Random Test Generation/Result/Closure_80/result.json</x:v>
      </x:c>
      <x:c r="O1853" s="38" t="n">
        <x:f>IF(AND(G1853="RECORDED",ISNUMBER(H1853)),H1853,"")</x:f>
        <x:v>46.12</x:v>
      </x:c>
      <x:c r="P1853" s="34" t="str">
        <x:v>NOT_REVEALING</x:v>
      </x:c>
      <x:c r="Q1853" s="34" t="str">
        <x:v>Feedback-Directed Random Test Generation/Result/Closure_80/result.json</x:v>
      </x:c>
    </x:row>
    <x:row r="1854">
      <x:c r="A1854" s="34" t="str">
        <x:v>randoop</x:v>
      </x:c>
      <x:c r="B1854" s="34" t="str">
        <x:v>Closure</x:v>
      </x:c>
      <x:c r="C1854" s="34" t="str">
        <x:v>Round1</x:v>
      </x:c>
      <x:c r="D1854" s="34" t="str">
        <x:v>Closure_81</x:v>
      </x:c>
      <x:c r="E1854" s="34" t="str">
        <x:v>Line</x:v>
      </x:c>
      <x:c r="F1854" s="34" t="n">
        <x:v>587</x:v>
      </x:c>
      <x:c r="G1854" s="34" t="str">
        <x:v>RECORDED</x:v>
      </x:c>
      <x:c r="H1854" s="38" t="n">
        <x:f>IF(ISNUMBER('Data'!H146),'Data'!H146*100,"")</x:f>
        <x:v>0.17</x:v>
      </x:c>
      <x:c r="I1854" s="34" t="str">
        <x:v>PASS</x:v>
      </x:c>
      <x:c r="J1854" s="34" t="str">
        <x:v>PASS</x:v>
      </x:c>
      <x:c r="K1854" s="34" t="str">
        <x:v>PASS</x:v>
      </x:c>
      <x:c r="L1854" s="34" t="str">
        <x:v>PASS</x:v>
      </x:c>
      <x:c r="M1854" s="34" t="str">
        <x:v>numeric coverage for applicable metric</x:v>
      </x:c>
      <x:c r="N1854" s="34" t="str">
        <x:v>Feedback-Directed Random Test Generation/Result/Closure_81/result.json</x:v>
      </x:c>
      <x:c r="O1854" s="38" t="n">
        <x:f>IF(AND(G1854="RECORDED",ISNUMBER(H1854)),H1854,"")</x:f>
        <x:v>0.17</x:v>
      </x:c>
      <x:c r="P1854" s="34" t="str">
        <x:v>NOT_REVEALING</x:v>
      </x:c>
      <x:c r="Q1854" s="34" t="str">
        <x:v>Feedback-Directed Random Test Generation/Result/Closure_81/result.json</x:v>
      </x:c>
    </x:row>
    <x:row r="1855">
      <x:c r="A1855" s="34" t="str">
        <x:v>randoop</x:v>
      </x:c>
      <x:c r="B1855" s="34" t="str">
        <x:v>Closure</x:v>
      </x:c>
      <x:c r="C1855" s="34" t="str">
        <x:v>Round1</x:v>
      </x:c>
      <x:c r="D1855" s="34" t="str">
        <x:v>Closure_82</x:v>
      </x:c>
      <x:c r="E1855" s="34" t="str">
        <x:v>Line</x:v>
      </x:c>
      <x:c r="F1855" s="34" t="n">
        <x:v>222</x:v>
      </x:c>
      <x:c r="G1855" s="34" t="str">
        <x:v>RECORDED</x:v>
      </x:c>
      <x:c r="H1855" s="38" t="n">
        <x:f>IF(ISNUMBER('Data'!H147),'Data'!H147*100,"")</x:f>
        <x:v>4.5</x:v>
      </x:c>
      <x:c r="I1855" s="34" t="str">
        <x:v>PASS</x:v>
      </x:c>
      <x:c r="J1855" s="34" t="str">
        <x:v>PASS</x:v>
      </x:c>
      <x:c r="K1855" s="34" t="str">
        <x:v>PASS</x:v>
      </x:c>
      <x:c r="L1855" s="34" t="str">
        <x:v>PASS</x:v>
      </x:c>
      <x:c r="M1855" s="34" t="str">
        <x:v>numeric coverage for applicable metric</x:v>
      </x:c>
      <x:c r="N1855" s="34" t="str">
        <x:v>Feedback-Directed Random Test Generation/Result/Closure_82/result.json</x:v>
      </x:c>
      <x:c r="O1855" s="38" t="n">
        <x:f>IF(AND(G1855="RECORDED",ISNUMBER(H1855)),H1855,"")</x:f>
        <x:v>4.5</x:v>
      </x:c>
      <x:c r="P1855" s="34" t="str">
        <x:v>NOT_REVEALING</x:v>
      </x:c>
      <x:c r="Q1855" s="34" t="str">
        <x:v>Feedback-Directed Random Test Generation/Result/Closure_82/result.json</x:v>
      </x:c>
    </x:row>
    <x:row r="1856">
      <x:c r="A1856" s="34" t="str">
        <x:v>randoop</x:v>
      </x:c>
      <x:c r="B1856" s="34" t="str">
        <x:v>Closure</x:v>
      </x:c>
      <x:c r="C1856" s="34" t="str">
        <x:v>Round1</x:v>
      </x:c>
      <x:c r="D1856" s="34" t="str">
        <x:v>Closure_83</x:v>
      </x:c>
      <x:c r="E1856" s="34" t="str">
        <x:v>Line</x:v>
      </x:c>
      <x:c r="F1856" s="34" t="n">
        <x:v>193</x:v>
      </x:c>
      <x:c r="G1856" s="34" t="str">
        <x:v>RECORDED</x:v>
      </x:c>
      <x:c r="H1856" s="38" t="n">
        <x:f>IF(ISNUMBER('Data'!H148),'Data'!H148*100,"")</x:f>
        <x:v>50.78</x:v>
      </x:c>
      <x:c r="I1856" s="34" t="str">
        <x:v>PASS</x:v>
      </x:c>
      <x:c r="J1856" s="34" t="str">
        <x:v>PASS</x:v>
      </x:c>
      <x:c r="K1856" s="34" t="str">
        <x:v>PASS</x:v>
      </x:c>
      <x:c r="L1856" s="34" t="str">
        <x:v>FAIL</x:v>
      </x:c>
      <x:c r="M1856" s="34" t="str">
        <x:v>numeric coverage for applicable metric</x:v>
      </x:c>
      <x:c r="N1856" s="34" t="str">
        <x:v>Feedback-Directed Random Test Generation/Result/Closure_83/result.json</x:v>
      </x:c>
      <x:c r="O1856" s="38" t="n">
        <x:f>IF(AND(G1856="RECORDED",ISNUMBER(H1856)),H1856,"")</x:f>
        <x:v>50.78</x:v>
      </x:c>
      <x:c r="P1856" s="34" t="str">
        <x:v>INCONCLUSIVE</x:v>
      </x:c>
      <x:c r="Q1856" s="34" t="str">
        <x:v>Feedback-Directed Random Test Generation/Result/Closure_83/result.json</x:v>
      </x:c>
    </x:row>
    <x:row r="1857">
      <x:c r="A1857" s="34" t="str">
        <x:v>randoop</x:v>
      </x:c>
      <x:c r="B1857" s="34" t="str">
        <x:v>Closure</x:v>
      </x:c>
      <x:c r="C1857" s="34" t="str">
        <x:v>Round1</x:v>
      </x:c>
      <x:c r="D1857" s="34" t="str">
        <x:v>Closure_84</x:v>
      </x:c>
      <x:c r="E1857" s="34" t="str">
        <x:v>Line</x:v>
      </x:c>
      <x:c r="F1857" s="34" t="n">
        <x:v>552</x:v>
      </x:c>
      <x:c r="G1857" s="34" t="str">
        <x:v>RECORDED</x:v>
      </x:c>
      <x:c r="H1857" s="38" t="n">
        <x:f>IF(ISNUMBER('Data'!H149),'Data'!H149*100,"")</x:f>
        <x:v>0.18</x:v>
      </x:c>
      <x:c r="I1857" s="34" t="str">
        <x:v>PASS</x:v>
      </x:c>
      <x:c r="J1857" s="34" t="str">
        <x:v>PASS</x:v>
      </x:c>
      <x:c r="K1857" s="34" t="str">
        <x:v>PASS</x:v>
      </x:c>
      <x:c r="L1857" s="34" t="str">
        <x:v>PASS</x:v>
      </x:c>
      <x:c r="M1857" s="34" t="str">
        <x:v>numeric coverage for applicable metric</x:v>
      </x:c>
      <x:c r="N1857" s="34" t="str">
        <x:v>Feedback-Directed Random Test Generation/Result/Closure_84/result.json</x:v>
      </x:c>
      <x:c r="O1857" s="38" t="n">
        <x:f>IF(AND(G1857="RECORDED",ISNUMBER(H1857)),H1857,"")</x:f>
        <x:v>0.18</x:v>
      </x:c>
      <x:c r="P1857" s="34" t="str">
        <x:v>NOT_REVEALING</x:v>
      </x:c>
      <x:c r="Q1857" s="34" t="str">
        <x:v>Feedback-Directed Random Test Generation/Result/Closure_84/result.json</x:v>
      </x:c>
    </x:row>
    <x:row r="1858">
      <x:c r="A1858" s="34" t="str">
        <x:v>randoop</x:v>
      </x:c>
      <x:c r="B1858" s="34" t="str">
        <x:v>Closure</x:v>
      </x:c>
      <x:c r="C1858" s="34" t="str">
        <x:v>Round1</x:v>
      </x:c>
      <x:c r="D1858" s="34" t="str">
        <x:v>Closure_85</x:v>
      </x:c>
      <x:c r="E1858" s="34" t="str">
        <x:v>Line</x:v>
      </x:c>
      <x:c r="F1858" s="34" t="n">
        <x:v>78</x:v>
      </x:c>
      <x:c r="G1858" s="34" t="str">
        <x:v>RECORDED</x:v>
      </x:c>
      <x:c r="H1858" s="38" t="n">
        <x:f>IF(ISNUMBER('Data'!H150),'Data'!H150*100,"")</x:f>
        <x:v>16.67</x:v>
      </x:c>
      <x:c r="I1858" s="34" t="str">
        <x:v>PASS</x:v>
      </x:c>
      <x:c r="J1858" s="34" t="str">
        <x:v>PASS</x:v>
      </x:c>
      <x:c r="K1858" s="34" t="str">
        <x:v>PASS</x:v>
      </x:c>
      <x:c r="L1858" s="34" t="str">
        <x:v>PASS</x:v>
      </x:c>
      <x:c r="M1858" s="34" t="str">
        <x:v>numeric coverage for applicable metric</x:v>
      </x:c>
      <x:c r="N1858" s="34" t="str">
        <x:v>Feedback-Directed Random Test Generation/Result/Closure_85/result.json</x:v>
      </x:c>
      <x:c r="O1858" s="38" t="n">
        <x:f>IF(AND(G1858="RECORDED",ISNUMBER(H1858)),H1858,"")</x:f>
        <x:v>16.67</x:v>
      </x:c>
      <x:c r="P1858" s="34" t="str">
        <x:v>NOT_REVEALING</x:v>
      </x:c>
      <x:c r="Q1858" s="34" t="str">
        <x:v>Feedback-Directed Random Test Generation/Result/Closure_85/result.json</x:v>
      </x:c>
    </x:row>
    <x:row r="1859">
      <x:c r="A1859" s="34" t="str">
        <x:v>randoop</x:v>
      </x:c>
      <x:c r="B1859" s="34" t="str">
        <x:v>Closure</x:v>
      </x:c>
      <x:c r="C1859" s="34" t="str">
        <x:v>Round1</x:v>
      </x:c>
      <x:c r="D1859" s="34" t="str">
        <x:v>Closure_86</x:v>
      </x:c>
      <x:c r="E1859" s="34" t="str">
        <x:v>Line</x:v>
      </x:c>
      <x:c r="F1859" s="34" t="n">
        <x:v>756</x:v>
      </x:c>
      <x:c r="G1859" s="34" t="str">
        <x:v>RECORDED</x:v>
      </x:c>
      <x:c r="H1859" s="38" t="n">
        <x:f>IF(ISNUMBER('Data'!H151),'Data'!H151*100,"")</x:f>
        <x:v>44.71</x:v>
      </x:c>
      <x:c r="I1859" s="34" t="str">
        <x:v>PASS</x:v>
      </x:c>
      <x:c r="J1859" s="34" t="str">
        <x:v>PASS</x:v>
      </x:c>
      <x:c r="K1859" s="34" t="str">
        <x:v>PASS</x:v>
      </x:c>
      <x:c r="L1859" s="34" t="str">
        <x:v>PASS</x:v>
      </x:c>
      <x:c r="M1859" s="34" t="str">
        <x:v>numeric coverage for applicable metric</x:v>
      </x:c>
      <x:c r="N1859" s="34" t="str">
        <x:v>Feedback-Directed Random Test Generation/Result/Closure_86/result.json</x:v>
      </x:c>
      <x:c r="O1859" s="38" t="n">
        <x:f>IF(AND(G1859="RECORDED",ISNUMBER(H1859)),H1859,"")</x:f>
        <x:v>44.71</x:v>
      </x:c>
      <x:c r="P1859" s="34" t="str">
        <x:v>NOT_REVEALING</x:v>
      </x:c>
      <x:c r="Q1859" s="34" t="str">
        <x:v>Feedback-Directed Random Test Generation/Result/Closure_86/result.json</x:v>
      </x:c>
    </x:row>
    <x:row r="1860">
      <x:c r="A1860" s="34" t="str">
        <x:v>randoop</x:v>
      </x:c>
      <x:c r="B1860" s="34" t="str">
        <x:v>Closure</x:v>
      </x:c>
      <x:c r="C1860" s="34" t="str">
        <x:v>Round1</x:v>
      </x:c>
      <x:c r="D1860" s="34" t="str">
        <x:v>Closure_87</x:v>
      </x:c>
      <x:c r="E1860" s="34" t="str">
        <x:v>Line</x:v>
      </x:c>
      <x:c r="F1860" s="34" t="n">
        <x:v>455</x:v>
      </x:c>
      <x:c r="G1860" s="34" t="str">
        <x:v>RECORDED</x:v>
      </x:c>
      <x:c r="H1860" s="38" t="n">
        <x:f>IF(ISNUMBER('Data'!H152),'Data'!H152*100,"")</x:f>
        <x:v>3.08</x:v>
      </x:c>
      <x:c r="I1860" s="34" t="str">
        <x:v>PASS</x:v>
      </x:c>
      <x:c r="J1860" s="34" t="str">
        <x:v>PASS</x:v>
      </x:c>
      <x:c r="K1860" s="34" t="str">
        <x:v>PASS</x:v>
      </x:c>
      <x:c r="L1860" s="34" t="str">
        <x:v>PASS</x:v>
      </x:c>
      <x:c r="M1860" s="34" t="str">
        <x:v>numeric coverage for applicable metric</x:v>
      </x:c>
      <x:c r="N1860" s="34" t="str">
        <x:v>Feedback-Directed Random Test Generation/Result/Closure_87/result.json</x:v>
      </x:c>
      <x:c r="O1860" s="38" t="n">
        <x:f>IF(AND(G1860="RECORDED",ISNUMBER(H1860)),H1860,"")</x:f>
        <x:v>3.08</x:v>
      </x:c>
      <x:c r="P1860" s="34" t="str">
        <x:v>NOT_REVEALING</x:v>
      </x:c>
      <x:c r="Q1860" s="34" t="str">
        <x:v>Feedback-Directed Random Test Generation/Result/Closure_87/result.json</x:v>
      </x:c>
    </x:row>
    <x:row r="1861">
      <x:c r="A1861" s="34" t="str">
        <x:v>randoop</x:v>
      </x:c>
      <x:c r="B1861" s="34" t="str">
        <x:v>Closure</x:v>
      </x:c>
      <x:c r="C1861" s="34" t="str">
        <x:v>Round1</x:v>
      </x:c>
      <x:c r="D1861" s="34" t="str">
        <x:v>Closure_88</x:v>
      </x:c>
      <x:c r="E1861" s="34" t="str">
        <x:v>Line</x:v>
      </x:c>
      <x:c r="F1861" s="34" t="n">
        <x:v>132</x:v>
      </x:c>
      <x:c r="G1861" s="34" t="str">
        <x:v>RECORDED</x:v>
      </x:c>
      <x:c r="H1861" s="38" t="n">
        <x:f>IF(ISNUMBER('Data'!H153),'Data'!H153*100,"")</x:f>
        <x:v>6.819999999999999</x:v>
      </x:c>
      <x:c r="I1861" s="34" t="str">
        <x:v>PASS</x:v>
      </x:c>
      <x:c r="J1861" s="34" t="str">
        <x:v>PASS</x:v>
      </x:c>
      <x:c r="K1861" s="34" t="str">
        <x:v>PASS</x:v>
      </x:c>
      <x:c r="L1861" s="34" t="str">
        <x:v>PASS</x:v>
      </x:c>
      <x:c r="M1861" s="34" t="str">
        <x:v>numeric coverage for applicable metric</x:v>
      </x:c>
      <x:c r="N1861" s="34" t="str">
        <x:v>Feedback-Directed Random Test Generation/Result/Closure_88/result.json</x:v>
      </x:c>
      <x:c r="O1861" s="38" t="n">
        <x:f>IF(AND(G1861="RECORDED",ISNUMBER(H1861)),H1861,"")</x:f>
        <x:v>6.819999999999999</x:v>
      </x:c>
      <x:c r="P1861" s="34" t="str">
        <x:v>NOT_REVEALING</x:v>
      </x:c>
      <x:c r="Q1861" s="34" t="str">
        <x:v>Feedback-Directed Random Test Generation/Result/Closure_88/result.json</x:v>
      </x:c>
    </x:row>
    <x:row r="1862">
      <x:c r="A1862" s="34" t="str">
        <x:v>randoop</x:v>
      </x:c>
      <x:c r="B1862" s="34" t="str">
        <x:v>Closure</x:v>
      </x:c>
      <x:c r="C1862" s="34" t="str">
        <x:v>Round1</x:v>
      </x:c>
      <x:c r="D1862" s="34" t="str">
        <x:v>Closure_89</x:v>
      </x:c>
      <x:c r="E1862" s="34" t="str">
        <x:v>Line</x:v>
      </x:c>
      <x:c r="F1862" s="34" t="n">
        <x:v>714</x:v>
      </x:c>
      <x:c r="G1862" s="34" t="str">
        <x:v>RECORDED</x:v>
      </x:c>
      <x:c r="H1862" s="38" t="n">
        <x:f>IF(ISNUMBER('Data'!H154),'Data'!H154*100,"")</x:f>
        <x:v>21.01</x:v>
      </x:c>
      <x:c r="I1862" s="34" t="str">
        <x:v>PASS</x:v>
      </x:c>
      <x:c r="J1862" s="34" t="str">
        <x:v>PASS</x:v>
      </x:c>
      <x:c r="K1862" s="34" t="str">
        <x:v>PASS</x:v>
      </x:c>
      <x:c r="L1862" s="34" t="str">
        <x:v>PASS</x:v>
      </x:c>
      <x:c r="M1862" s="34" t="str">
        <x:v>numeric coverage for applicable metric</x:v>
      </x:c>
      <x:c r="N1862" s="34" t="str">
        <x:v>Feedback-Directed Random Test Generation/Result/Closure_89/result.json</x:v>
      </x:c>
      <x:c r="O1862" s="38" t="n">
        <x:f>IF(AND(G1862="RECORDED",ISNUMBER(H1862)),H1862,"")</x:f>
        <x:v>21.01</x:v>
      </x:c>
      <x:c r="P1862" s="34" t="str">
        <x:v>NOT_REVEALING</x:v>
      </x:c>
      <x:c r="Q1862" s="34" t="str">
        <x:v>Feedback-Directed Random Test Generation/Result/Closure_89/result.json</x:v>
      </x:c>
    </x:row>
    <x:row r="1863">
      <x:c r="A1863" s="34" t="str">
        <x:v>randoop</x:v>
      </x:c>
      <x:c r="B1863" s="34" t="str">
        <x:v>Closure</x:v>
      </x:c>
      <x:c r="C1863" s="34" t="str">
        <x:v>Round1</x:v>
      </x:c>
      <x:c r="D1863" s="34" t="str">
        <x:v>Closure_90</x:v>
      </x:c>
      <x:c r="E1863" s="34" t="str">
        <x:v>Line</x:v>
      </x:c>
      <x:c r="F1863" s="34" t="n">
        <x:v>656</x:v>
      </x:c>
      <x:c r="G1863" s="34" t="str">
        <x:v>RECORDED</x:v>
      </x:c>
      <x:c r="H1863" s="38" t="n">
        <x:f>IF(ISNUMBER('Data'!H155),'Data'!H155*100,"")</x:f>
        <x:v>3.9599999999999995</x:v>
      </x:c>
      <x:c r="I1863" s="34" t="str">
        <x:v>PASS</x:v>
      </x:c>
      <x:c r="J1863" s="34" t="str">
        <x:v>PASS</x:v>
      </x:c>
      <x:c r="K1863" s="34" t="str">
        <x:v>PASS</x:v>
      </x:c>
      <x:c r="L1863" s="34" t="str">
        <x:v>PASS</x:v>
      </x:c>
      <x:c r="M1863" s="34" t="str">
        <x:v>numeric coverage for applicable metric</x:v>
      </x:c>
      <x:c r="N1863" s="34" t="str">
        <x:v>Feedback-Directed Random Test Generation/Result/Closure_90/result.json</x:v>
      </x:c>
      <x:c r="O1863" s="38" t="n">
        <x:f>IF(AND(G1863="RECORDED",ISNUMBER(H1863)),H1863,"")</x:f>
        <x:v>3.9599999999999995</x:v>
      </x:c>
      <x:c r="P1863" s="34" t="str">
        <x:v>NOT_REVEALING</x:v>
      </x:c>
      <x:c r="Q1863" s="34" t="str">
        <x:v>Feedback-Directed Random Test Generation/Result/Closure_90/result.json</x:v>
      </x:c>
    </x:row>
    <x:row r="1864">
      <x:c r="A1864" s="34" t="str">
        <x:v>randoop</x:v>
      </x:c>
      <x:c r="B1864" s="34" t="str">
        <x:v>Closure</x:v>
      </x:c>
      <x:c r="C1864" s="34" t="str">
        <x:v>Round1</x:v>
      </x:c>
      <x:c r="D1864" s="34" t="str">
        <x:v>Closure_91</x:v>
      </x:c>
      <x:c r="E1864" s="34" t="str">
        <x:v>Line</x:v>
      </x:c>
      <x:c r="F1864" s="34" t="n">
        <x:v>51</x:v>
      </x:c>
      <x:c r="G1864" s="34" t="str">
        <x:v>RECORDED</x:v>
      </x:c>
      <x:c r="H1864" s="38" t="n">
        <x:f>IF(ISNUMBER('Data'!H156),'Data'!H156*100,"")</x:f>
        <x:v>15.689999999999998</x:v>
      </x:c>
      <x:c r="I1864" s="34" t="str">
        <x:v>PASS</x:v>
      </x:c>
      <x:c r="J1864" s="34" t="str">
        <x:v>PASS</x:v>
      </x:c>
      <x:c r="K1864" s="34" t="str">
        <x:v>PASS</x:v>
      </x:c>
      <x:c r="L1864" s="34" t="str">
        <x:v>PASS</x:v>
      </x:c>
      <x:c r="M1864" s="34" t="str">
        <x:v>numeric coverage for applicable metric</x:v>
      </x:c>
      <x:c r="N1864" s="34" t="str">
        <x:v>Feedback-Directed Random Test Generation/Result/Closure_91/result.json</x:v>
      </x:c>
      <x:c r="O1864" s="38" t="n">
        <x:f>IF(AND(G1864="RECORDED",ISNUMBER(H1864)),H1864,"")</x:f>
        <x:v>15.689999999999998</x:v>
      </x:c>
      <x:c r="P1864" s="34" t="str">
        <x:v>NOT_REVEALING</x:v>
      </x:c>
      <x:c r="Q1864" s="34" t="str">
        <x:v>Feedback-Directed Random Test Generation/Result/Closure_91/result.json</x:v>
      </x:c>
    </x:row>
    <x:row r="1865">
      <x:c r="A1865" s="34" t="str">
        <x:v>randoop</x:v>
      </x:c>
      <x:c r="B1865" s="34" t="str">
        <x:v>Closure</x:v>
      </x:c>
      <x:c r="C1865" s="34" t="str">
        <x:v>Round1</x:v>
      </x:c>
      <x:c r="D1865" s="34" t="str">
        <x:v>Closure_92</x:v>
      </x:c>
      <x:c r="E1865" s="34" t="str">
        <x:v>Line</x:v>
      </x:c>
      <x:c r="F1865" s="34" t="n">
        <x:v>409</x:v>
      </x:c>
      <x:c r="G1865" s="34" t="str">
        <x:v>RECORDED</x:v>
      </x:c>
      <x:c r="H1865" s="38" t="n">
        <x:f>IF(ISNUMBER('Data'!H157),'Data'!H157*100,"")</x:f>
        <x:v>4.89</x:v>
      </x:c>
      <x:c r="I1865" s="34" t="str">
        <x:v>PASS</x:v>
      </x:c>
      <x:c r="J1865" s="34" t="str">
        <x:v>PASS</x:v>
      </x:c>
      <x:c r="K1865" s="34" t="str">
        <x:v>PASS</x:v>
      </x:c>
      <x:c r="L1865" s="34" t="str">
        <x:v>PASS</x:v>
      </x:c>
      <x:c r="M1865" s="34" t="str">
        <x:v>numeric coverage for applicable metric</x:v>
      </x:c>
      <x:c r="N1865" s="34" t="str">
        <x:v>Feedback-Directed Random Test Generation/Result/Closure_92/result.json</x:v>
      </x:c>
      <x:c r="O1865" s="38" t="n">
        <x:f>IF(AND(G1865="RECORDED",ISNUMBER(H1865)),H1865,"")</x:f>
        <x:v>4.89</x:v>
      </x:c>
      <x:c r="P1865" s="34" t="str">
        <x:v>NOT_REVEALING</x:v>
      </x:c>
      <x:c r="Q1865" s="34" t="str">
        <x:v>Feedback-Directed Random Test Generation/Result/Closure_92/result.json</x:v>
      </x:c>
    </x:row>
    <x:row r="1866">
      <x:c r="A1866" s="34" t="str">
        <x:v>randoop</x:v>
      </x:c>
      <x:c r="B1866" s="34" t="str">
        <x:v>Closure</x:v>
      </x:c>
      <x:c r="C1866" s="34" t="str">
        <x:v>Round1</x:v>
      </x:c>
      <x:c r="D1866" s="34" t="str">
        <x:v>Closure_94</x:v>
      </x:c>
      <x:c r="E1866" s="34" t="str">
        <x:v>Line</x:v>
      </x:c>
      <x:c r="F1866" s="34" t="n">
        <x:v>687</x:v>
      </x:c>
      <x:c r="G1866" s="34" t="str">
        <x:v>RECORDED</x:v>
      </x:c>
      <x:c r="H1866" s="38" t="n">
        <x:f>IF(ISNUMBER('Data'!H158),'Data'!H158*100,"")</x:f>
        <x:v>53.42</x:v>
      </x:c>
      <x:c r="I1866" s="34" t="str">
        <x:v>PASS</x:v>
      </x:c>
      <x:c r="J1866" s="34" t="str">
        <x:v>PASS</x:v>
      </x:c>
      <x:c r="K1866" s="34" t="str">
        <x:v>PASS</x:v>
      </x:c>
      <x:c r="L1866" s="34" t="str">
        <x:v>FAIL</x:v>
      </x:c>
      <x:c r="M1866" s="34" t="str">
        <x:v>numeric coverage for applicable metric</x:v>
      </x:c>
      <x:c r="N1866" s="34" t="str">
        <x:v>Feedback-Directed Random Test Generation/Result/Closure_94/result.json</x:v>
      </x:c>
      <x:c r="O1866" s="38" t="n">
        <x:f>IF(AND(G1866="RECORDED",ISNUMBER(H1866)),H1866,"")</x:f>
        <x:v>53.42</x:v>
      </x:c>
      <x:c r="P1866" s="34" t="str">
        <x:v>INCONCLUSIVE</x:v>
      </x:c>
      <x:c r="Q1866" s="34" t="str">
        <x:v>Feedback-Directed Random Test Generation/Result/Closure_94/result.json</x:v>
      </x:c>
    </x:row>
    <x:row r="1867">
      <x:c r="A1867" s="34" t="str">
        <x:v>randoop</x:v>
      </x:c>
      <x:c r="B1867" s="34" t="str">
        <x:v>Closure</x:v>
      </x:c>
      <x:c r="C1867" s="34" t="str">
        <x:v>Round1</x:v>
      </x:c>
      <x:c r="D1867" s="34" t="str">
        <x:v>Closure_95</x:v>
      </x:c>
      <x:c r="E1867" s="34" t="str">
        <x:v>Line</x:v>
      </x:c>
      <x:c r="F1867" s="34" t="n">
        <x:v>663</x:v>
      </x:c>
      <x:c r="G1867" s="34" t="str">
        <x:v>RECORDED</x:v>
      </x:c>
      <x:c r="H1867" s="38" t="n">
        <x:f>IF(ISNUMBER('Data'!H159),'Data'!H159*100,"")</x:f>
        <x:v>1.66</x:v>
      </x:c>
      <x:c r="I1867" s="34" t="str">
        <x:v>PASS</x:v>
      </x:c>
      <x:c r="J1867" s="34" t="str">
        <x:v>PASS</x:v>
      </x:c>
      <x:c r="K1867" s="34" t="str">
        <x:v>PASS</x:v>
      </x:c>
      <x:c r="L1867" s="34" t="str">
        <x:v>PASS</x:v>
      </x:c>
      <x:c r="M1867" s="34" t="str">
        <x:v>numeric coverage for applicable metric</x:v>
      </x:c>
      <x:c r="N1867" s="34" t="str">
        <x:v>Feedback-Directed Random Test Generation/Result/Closure_95/result.json</x:v>
      </x:c>
      <x:c r="O1867" s="38" t="n">
        <x:f>IF(AND(G1867="RECORDED",ISNUMBER(H1867)),H1867,"")</x:f>
        <x:v>1.66</x:v>
      </x:c>
      <x:c r="P1867" s="34" t="str">
        <x:v>NOT_REVEALING</x:v>
      </x:c>
      <x:c r="Q1867" s="34" t="str">
        <x:v>Feedback-Directed Random Test Generation/Result/Closure_95/result.json</x:v>
      </x:c>
    </x:row>
    <x:row r="1868">
      <x:c r="A1868" s="34" t="str">
        <x:v>randoop</x:v>
      </x:c>
      <x:c r="B1868" s="34" t="str">
        <x:v>Closure</x:v>
      </x:c>
      <x:c r="C1868" s="34" t="str">
        <x:v>Round1</x:v>
      </x:c>
      <x:c r="D1868" s="34" t="str">
        <x:v>Closure_96</x:v>
      </x:c>
      <x:c r="E1868" s="34" t="str">
        <x:v>Line</x:v>
      </x:c>
      <x:c r="F1868" s="34" t="n">
        <x:v>682</x:v>
      </x:c>
      <x:c r="G1868" s="34" t="str">
        <x:v>RECORDED</x:v>
      </x:c>
      <x:c r="H1868" s="38" t="n">
        <x:f>IF(ISNUMBER('Data'!H160),'Data'!H160*100,"")</x:f>
        <x:v>9.53</x:v>
      </x:c>
      <x:c r="I1868" s="34" t="str">
        <x:v>PASS</x:v>
      </x:c>
      <x:c r="J1868" s="34" t="str">
        <x:v>PASS</x:v>
      </x:c>
      <x:c r="K1868" s="34" t="str">
        <x:v>PASS</x:v>
      </x:c>
      <x:c r="L1868" s="34" t="str">
        <x:v>PASS</x:v>
      </x:c>
      <x:c r="M1868" s="34" t="str">
        <x:v>numeric coverage for applicable metric</x:v>
      </x:c>
      <x:c r="N1868" s="34" t="str">
        <x:v>Feedback-Directed Random Test Generation/Result/Closure_96/result.json</x:v>
      </x:c>
      <x:c r="O1868" s="38" t="n">
        <x:f>IF(AND(G1868="RECORDED",ISNUMBER(H1868)),H1868,"")</x:f>
        <x:v>9.53</x:v>
      </x:c>
      <x:c r="P1868" s="34" t="str">
        <x:v>NOT_REVEALING</x:v>
      </x:c>
      <x:c r="Q1868" s="34" t="str">
        <x:v>Feedback-Directed Random Test Generation/Result/Closure_96/result.json</x:v>
      </x:c>
    </x:row>
    <x:row r="1869">
      <x:c r="A1869" s="34" t="str">
        <x:v>randoop</x:v>
      </x:c>
      <x:c r="B1869" s="34" t="str">
        <x:v>Closure</x:v>
      </x:c>
      <x:c r="C1869" s="34" t="str">
        <x:v>Round1</x:v>
      </x:c>
      <x:c r="D1869" s="34" t="str">
        <x:v>Closure_97</x:v>
      </x:c>
      <x:c r="E1869" s="34" t="str">
        <x:v>Line</x:v>
      </x:c>
      <x:c r="F1869" s="34" t="n">
        <x:v>555</x:v>
      </x:c>
      <x:c r="G1869" s="34" t="str">
        <x:v>RECORDED</x:v>
      </x:c>
      <x:c r="H1869" s="38" t="n">
        <x:f>IF(ISNUMBER('Data'!H161),'Data'!H161*100,"")</x:f>
        <x:v>2.52</x:v>
      </x:c>
      <x:c r="I1869" s="34" t="str">
        <x:v>PASS</x:v>
      </x:c>
      <x:c r="J1869" s="34" t="str">
        <x:v>PASS</x:v>
      </x:c>
      <x:c r="K1869" s="34" t="str">
        <x:v>PASS</x:v>
      </x:c>
      <x:c r="L1869" s="34" t="str">
        <x:v>PASS</x:v>
      </x:c>
      <x:c r="M1869" s="34" t="str">
        <x:v>numeric coverage for applicable metric</x:v>
      </x:c>
      <x:c r="N1869" s="34" t="str">
        <x:v>Feedback-Directed Random Test Generation/Result/Closure_97/result.json</x:v>
      </x:c>
      <x:c r="O1869" s="38" t="n">
        <x:f>IF(AND(G1869="RECORDED",ISNUMBER(H1869)),H1869,"")</x:f>
        <x:v>2.52</x:v>
      </x:c>
      <x:c r="P1869" s="34" t="str">
        <x:v>NOT_REVEALING</x:v>
      </x:c>
      <x:c r="Q1869" s="34" t="str">
        <x:v>Feedback-Directed Random Test Generation/Result/Closure_97/result.json</x:v>
      </x:c>
    </x:row>
    <x:row r="1870">
      <x:c r="A1870" s="34" t="str">
        <x:v>randoop</x:v>
      </x:c>
      <x:c r="B1870" s="34" t="str">
        <x:v>Closure</x:v>
      </x:c>
      <x:c r="C1870" s="34" t="str">
        <x:v>Round1</x:v>
      </x:c>
      <x:c r="D1870" s="34" t="str">
        <x:v>Closure_98</x:v>
      </x:c>
      <x:c r="E1870" s="34" t="str">
        <x:v>Line</x:v>
      </x:c>
      <x:c r="F1870" s="34" t="n">
        <x:v>168</x:v>
      </x:c>
      <x:c r="G1870" s="34" t="str">
        <x:v>RECORDED</x:v>
      </x:c>
      <x:c r="H1870" s="38" t="n">
        <x:f>IF(ISNUMBER('Data'!H162),'Data'!H162*100,"")</x:f>
        <x:v>38.69</x:v>
      </x:c>
      <x:c r="I1870" s="34" t="str">
        <x:v>PASS</x:v>
      </x:c>
      <x:c r="J1870" s="34" t="str">
        <x:v>PASS</x:v>
      </x:c>
      <x:c r="K1870" s="34" t="str">
        <x:v>PASS</x:v>
      </x:c>
      <x:c r="L1870" s="34" t="str">
        <x:v>PASS</x:v>
      </x:c>
      <x:c r="M1870" s="34" t="str">
        <x:v>numeric coverage for applicable metric</x:v>
      </x:c>
      <x:c r="N1870" s="34" t="str">
        <x:v>Feedback-Directed Random Test Generation/Result/Closure_98/result.json</x:v>
      </x:c>
      <x:c r="O1870" s="38" t="n">
        <x:f>IF(AND(G1870="RECORDED",ISNUMBER(H1870)),H1870,"")</x:f>
        <x:v>38.69</x:v>
      </x:c>
      <x:c r="P1870" s="34" t="str">
        <x:v>NOT_REVEALING</x:v>
      </x:c>
      <x:c r="Q1870" s="34" t="str">
        <x:v>Feedback-Directed Random Test Generation/Result/Closure_98/result.json</x:v>
      </x:c>
    </x:row>
    <x:row r="1871">
      <x:c r="A1871" s="34" t="str">
        <x:v>randoop</x:v>
      </x:c>
      <x:c r="B1871" s="34" t="str">
        <x:v>Closure</x:v>
      </x:c>
      <x:c r="C1871" s="34" t="str">
        <x:v>Round1</x:v>
      </x:c>
      <x:c r="D1871" s="34" t="str">
        <x:v>Closure_99</x:v>
      </x:c>
      <x:c r="E1871" s="34" t="str">
        <x:v>Line</x:v>
      </x:c>
      <x:c r="F1871" s="34" t="n">
        <x:v>47</x:v>
      </x:c>
      <x:c r="G1871" s="34" t="str">
        <x:v>RECORDED</x:v>
      </x:c>
      <x:c r="H1871" s="38" t="n">
        <x:f>IF(ISNUMBER('Data'!H163),'Data'!H163*100,"")</x:f>
        <x:v>17.02</x:v>
      </x:c>
      <x:c r="I1871" s="34" t="str">
        <x:v>PASS</x:v>
      </x:c>
      <x:c r="J1871" s="34" t="str">
        <x:v>PASS</x:v>
      </x:c>
      <x:c r="K1871" s="34" t="str">
        <x:v>PASS</x:v>
      </x:c>
      <x:c r="L1871" s="34" t="str">
        <x:v>PASS</x:v>
      </x:c>
      <x:c r="M1871" s="34" t="str">
        <x:v>numeric coverage for applicable metric</x:v>
      </x:c>
      <x:c r="N1871" s="34" t="str">
        <x:v>Feedback-Directed Random Test Generation/Result/Closure_99/result.json</x:v>
      </x:c>
      <x:c r="O1871" s="38" t="n">
        <x:f>IF(AND(G1871="RECORDED",ISNUMBER(H1871)),H1871,"")</x:f>
        <x:v>17.02</x:v>
      </x:c>
      <x:c r="P1871" s="34" t="str">
        <x:v>NOT_REVEALING</x:v>
      </x:c>
      <x:c r="Q1871" s="34" t="str">
        <x:v>Feedback-Directed Random Test Generation/Result/Closure_99/result.json</x:v>
      </x:c>
    </x:row>
    <x:row r="1872">
      <x:c r="A1872" s="34" t="str">
        <x:v>randoop</x:v>
      </x:c>
      <x:c r="B1872" s="34" t="str">
        <x:v>Closure</x:v>
      </x:c>
      <x:c r="C1872" s="34" t="str">
        <x:v>Round1</x:v>
      </x:c>
      <x:c r="D1872" s="34" t="str">
        <x:v>Closure_100</x:v>
      </x:c>
      <x:c r="E1872" s="34" t="str">
        <x:v>Line</x:v>
      </x:c>
      <x:c r="F1872" s="34" t="n">
        <x:v>42</x:v>
      </x:c>
      <x:c r="G1872" s="34" t="str">
        <x:v>RECORDED</x:v>
      </x:c>
      <x:c r="H1872" s="38" t="n">
        <x:f>IF(ISNUMBER('Data'!H164),'Data'!H164*100,"")</x:f>
        <x:v>19.05</x:v>
      </x:c>
      <x:c r="I1872" s="34" t="str">
        <x:v>PASS</x:v>
      </x:c>
      <x:c r="J1872" s="34" t="str">
        <x:v>PASS</x:v>
      </x:c>
      <x:c r="K1872" s="34" t="str">
        <x:v>PASS</x:v>
      </x:c>
      <x:c r="L1872" s="34" t="str">
        <x:v>PASS</x:v>
      </x:c>
      <x:c r="M1872" s="34" t="str">
        <x:v>numeric coverage for applicable metric</x:v>
      </x:c>
      <x:c r="N1872" s="34" t="str">
        <x:v>Feedback-Directed Random Test Generation/Result/Closure_100/result.json</x:v>
      </x:c>
      <x:c r="O1872" s="38" t="n">
        <x:f>IF(AND(G1872="RECORDED",ISNUMBER(H1872)),H1872,"")</x:f>
        <x:v>19.05</x:v>
      </x:c>
      <x:c r="P1872" s="34" t="str">
        <x:v>NOT_REVEALING</x:v>
      </x:c>
      <x:c r="Q1872" s="34" t="str">
        <x:v>Feedback-Directed Random Test Generation/Result/Closure_100/result.json</x:v>
      </x:c>
    </x:row>
    <x:row r="1873">
      <x:c r="A1873" s="34" t="str">
        <x:v>randoop</x:v>
      </x:c>
      <x:c r="B1873" s="34" t="str">
        <x:v>Closure</x:v>
      </x:c>
      <x:c r="C1873" s="34" t="str">
        <x:v>Round1</x:v>
      </x:c>
      <x:c r="D1873" s="34" t="str">
        <x:v>Closure_101</x:v>
      </x:c>
      <x:c r="E1873" s="34" t="str">
        <x:v>Line</x:v>
      </x:c>
      <x:c r="F1873" s="34" t="n">
        <x:v>165</x:v>
      </x:c>
      <x:c r="G1873" s="34" t="str">
        <x:v>RECORDED</x:v>
      </x:c>
      <x:c r="H1873" s="38" t="n">
        <x:f>IF(ISNUMBER('Data'!H165),'Data'!H165*100,"")</x:f>
        <x:v>43.64</x:v>
      </x:c>
      <x:c r="I1873" s="34" t="str">
        <x:v>PASS</x:v>
      </x:c>
      <x:c r="J1873" s="34" t="str">
        <x:v>PASS</x:v>
      </x:c>
      <x:c r="K1873" s="34" t="str">
        <x:v>PASS</x:v>
      </x:c>
      <x:c r="L1873" s="34" t="str">
        <x:v>PASS</x:v>
      </x:c>
      <x:c r="M1873" s="34" t="str">
        <x:v>numeric coverage for applicable metric</x:v>
      </x:c>
      <x:c r="N1873" s="34" t="str">
        <x:v>Feedback-Directed Random Test Generation/Result/Closure_101/result.json</x:v>
      </x:c>
      <x:c r="O1873" s="38" t="n">
        <x:f>IF(AND(G1873="RECORDED",ISNUMBER(H1873)),H1873,"")</x:f>
        <x:v>43.64</x:v>
      </x:c>
      <x:c r="P1873" s="34" t="str">
        <x:v>NOT_REVEALING</x:v>
      </x:c>
      <x:c r="Q1873" s="34" t="str">
        <x:v>Feedback-Directed Random Test Generation/Result/Closure_101/result.json</x:v>
      </x:c>
    </x:row>
    <x:row r="1874">
      <x:c r="A1874" s="34" t="str">
        <x:v>randoop</x:v>
      </x:c>
      <x:c r="B1874" s="34" t="str">
        <x:v>Closure</x:v>
      </x:c>
      <x:c r="C1874" s="34" t="str">
        <x:v>Round1</x:v>
      </x:c>
      <x:c r="D1874" s="34" t="str">
        <x:v>Closure_102</x:v>
      </x:c>
      <x:c r="E1874" s="34" t="str">
        <x:v>Line</x:v>
      </x:c>
      <x:c r="F1874" s="34" t="n">
        <x:v>186</x:v>
      </x:c>
      <x:c r="G1874" s="34" t="str">
        <x:v>RECORDED</x:v>
      </x:c>
      <x:c r="H1874" s="38" t="n">
        <x:f>IF(ISNUMBER('Data'!H166),'Data'!H166*100,"")</x:f>
        <x:v>11.29</x:v>
      </x:c>
      <x:c r="I1874" s="34" t="str">
        <x:v>PASS</x:v>
      </x:c>
      <x:c r="J1874" s="34" t="str">
        <x:v>PASS</x:v>
      </x:c>
      <x:c r="K1874" s="34" t="str">
        <x:v>PASS</x:v>
      </x:c>
      <x:c r="L1874" s="34" t="str">
        <x:v>PASS</x:v>
      </x:c>
      <x:c r="M1874" s="34" t="str">
        <x:v>numeric coverage for applicable metric</x:v>
      </x:c>
      <x:c r="N1874" s="34" t="str">
        <x:v>Feedback-Directed Random Test Generation/Result/Closure_102/result.json</x:v>
      </x:c>
      <x:c r="O1874" s="38" t="n">
        <x:f>IF(AND(G1874="RECORDED",ISNUMBER(H1874)),H1874,"")</x:f>
        <x:v>11.29</x:v>
      </x:c>
      <x:c r="P1874" s="34" t="str">
        <x:v>NOT_REVEALING</x:v>
      </x:c>
      <x:c r="Q1874" s="34" t="str">
        <x:v>Feedback-Directed Random Test Generation/Result/Closure_102/result.json</x:v>
      </x:c>
    </x:row>
    <x:row r="1875">
      <x:c r="A1875" s="34" t="str">
        <x:v>randoop</x:v>
      </x:c>
      <x:c r="B1875" s="34" t="str">
        <x:v>Closure</x:v>
      </x:c>
      <x:c r="C1875" s="34" t="str">
        <x:v>Round1</x:v>
      </x:c>
      <x:c r="D1875" s="34" t="str">
        <x:v>Closure_103</x:v>
      </x:c>
      <x:c r="E1875" s="34" t="str">
        <x:v>Line</x:v>
      </x:c>
      <x:c r="F1875" s="34" t="n">
        <x:v>760</x:v>
      </x:c>
      <x:c r="G1875" s="34" t="str">
        <x:v>RECORDED</x:v>
      </x:c>
      <x:c r="H1875" s="38" t="n">
        <x:f>IF(ISNUMBER('Data'!H167),'Data'!H167*100,"")</x:f>
        <x:v>3.55</x:v>
      </x:c>
      <x:c r="I1875" s="34" t="str">
        <x:v>PASS</x:v>
      </x:c>
      <x:c r="J1875" s="34" t="str">
        <x:v>PASS</x:v>
      </x:c>
      <x:c r="K1875" s="34" t="str">
        <x:v>PASS</x:v>
      </x:c>
      <x:c r="L1875" s="34" t="str">
        <x:v>PASS</x:v>
      </x:c>
      <x:c r="M1875" s="34" t="str">
        <x:v>numeric coverage for applicable metric</x:v>
      </x:c>
      <x:c r="N1875" s="34" t="str">
        <x:v>Feedback-Directed Random Test Generation/Result/Closure_103/result.json</x:v>
      </x:c>
      <x:c r="O1875" s="38" t="n">
        <x:f>IF(AND(G1875="RECORDED",ISNUMBER(H1875)),H1875,"")</x:f>
        <x:v>3.55</x:v>
      </x:c>
      <x:c r="P1875" s="34" t="str">
        <x:v>NOT_REVEALING</x:v>
      </x:c>
      <x:c r="Q1875" s="34" t="str">
        <x:v>Feedback-Directed Random Test Generation/Result/Closure_103/result.json</x:v>
      </x:c>
    </x:row>
    <x:row r="1876">
      <x:c r="A1876" s="34" t="str">
        <x:v>randoop</x:v>
      </x:c>
      <x:c r="B1876" s="34" t="str">
        <x:v>Closure</x:v>
      </x:c>
      <x:c r="C1876" s="34" t="str">
        <x:v>Round1</x:v>
      </x:c>
      <x:c r="D1876" s="34" t="str">
        <x:v>Closure_104</x:v>
      </x:c>
      <x:c r="E1876" s="34" t="str">
        <x:v>Line</x:v>
      </x:c>
      <x:c r="F1876" s="34" t="n">
        <x:v>192</x:v>
      </x:c>
      <x:c r="G1876" s="34" t="str">
        <x:v>RECORDED</x:v>
      </x:c>
      <x:c r="H1876" s="38" t="n">
        <x:f>IF(ISNUMBER('Data'!H168),'Data'!H168*100,"")</x:f>
        <x:v>68.23</x:v>
      </x:c>
      <x:c r="I1876" s="34" t="str">
        <x:v>PASS</x:v>
      </x:c>
      <x:c r="J1876" s="34" t="str">
        <x:v>PASS</x:v>
      </x:c>
      <x:c r="K1876" s="34" t="str">
        <x:v>PASS</x:v>
      </x:c>
      <x:c r="L1876" s="34" t="str">
        <x:v>PASS</x:v>
      </x:c>
      <x:c r="M1876" s="34" t="str">
        <x:v>numeric coverage for applicable metric</x:v>
      </x:c>
      <x:c r="N1876" s="34" t="str">
        <x:v>Feedback-Directed Random Test Generation/Result/Closure_104/result.json</x:v>
      </x:c>
      <x:c r="O1876" s="38" t="n">
        <x:f>IF(AND(G1876="RECORDED",ISNUMBER(H1876)),H1876,"")</x:f>
        <x:v>68.23</x:v>
      </x:c>
      <x:c r="P1876" s="34" t="str">
        <x:v>NOT_REVEALING</x:v>
      </x:c>
      <x:c r="Q1876" s="34" t="str">
        <x:v>Feedback-Directed Random Test Generation/Result/Closure_104/result.json</x:v>
      </x:c>
    </x:row>
    <x:row r="1877">
      <x:c r="A1877" s="34" t="str">
        <x:v>randoop</x:v>
      </x:c>
      <x:c r="B1877" s="34" t="str">
        <x:v>Closure</x:v>
      </x:c>
      <x:c r="C1877" s="34" t="str">
        <x:v>Round1</x:v>
      </x:c>
      <x:c r="D1877" s="34" t="str">
        <x:v>Closure_105</x:v>
      </x:c>
      <x:c r="E1877" s="34" t="str">
        <x:v>Line</x:v>
      </x:c>
      <x:c r="F1877" s="34" t="n">
        <x:v>993</x:v>
      </x:c>
      <x:c r="G1877" s="34" t="str">
        <x:v>RECORDED</x:v>
      </x:c>
      <x:c r="H1877" s="38" t="n">
        <x:f>IF(ISNUMBER('Data'!H169),'Data'!H169*100,"")</x:f>
        <x:v>1.6099999999999999</x:v>
      </x:c>
      <x:c r="I1877" s="34" t="str">
        <x:v>PASS</x:v>
      </x:c>
      <x:c r="J1877" s="34" t="str">
        <x:v>PASS</x:v>
      </x:c>
      <x:c r="K1877" s="34" t="str">
        <x:v>PASS</x:v>
      </x:c>
      <x:c r="L1877" s="34" t="str">
        <x:v>PASS</x:v>
      </x:c>
      <x:c r="M1877" s="34" t="str">
        <x:v>numeric coverage for applicable metric</x:v>
      </x:c>
      <x:c r="N1877" s="34" t="str">
        <x:v>Feedback-Directed Random Test Generation/Result/Closure_105/result.json</x:v>
      </x:c>
      <x:c r="O1877" s="38" t="n">
        <x:f>IF(AND(G1877="RECORDED",ISNUMBER(H1877)),H1877,"")</x:f>
        <x:v>1.6099999999999999</x:v>
      </x:c>
      <x:c r="P1877" s="34" t="str">
        <x:v>NOT_REVEALING</x:v>
      </x:c>
      <x:c r="Q1877" s="34" t="str">
        <x:v>Feedback-Directed Random Test Generation/Result/Closure_105/result.json</x:v>
      </x:c>
    </x:row>
    <x:row r="1878">
      <x:c r="A1878" s="34" t="str">
        <x:v>randoop</x:v>
      </x:c>
      <x:c r="B1878" s="34" t="str">
        <x:v>Closure</x:v>
      </x:c>
      <x:c r="C1878" s="34" t="str">
        <x:v>Round1</x:v>
      </x:c>
      <x:c r="D1878" s="34" t="str">
        <x:v>Closure_106</x:v>
      </x:c>
      <x:c r="E1878" s="34" t="str">
        <x:v>Line</x:v>
      </x:c>
      <x:c r="F1878" s="34" t="n">
        <x:v>628</x:v>
      </x:c>
      <x:c r="G1878" s="34" t="str">
        <x:v>RECORDED</x:v>
      </x:c>
      <x:c r="H1878" s="38" t="n">
        <x:f>IF(ISNUMBER('Data'!H170),'Data'!H170*100,"")</x:f>
        <x:v>48.09</x:v>
      </x:c>
      <x:c r="I1878" s="34" t="str">
        <x:v>PASS</x:v>
      </x:c>
      <x:c r="J1878" s="34" t="str">
        <x:v>PASS</x:v>
      </x:c>
      <x:c r="K1878" s="34" t="str">
        <x:v>PASS</x:v>
      </x:c>
      <x:c r="L1878" s="34" t="str">
        <x:v>PASS</x:v>
      </x:c>
      <x:c r="M1878" s="34" t="str">
        <x:v>numeric coverage for applicable metric</x:v>
      </x:c>
      <x:c r="N1878" s="34" t="str">
        <x:v>Feedback-Directed Random Test Generation/Result/Closure_106/result.json</x:v>
      </x:c>
      <x:c r="O1878" s="38" t="n">
        <x:f>IF(AND(G1878="RECORDED",ISNUMBER(H1878)),H1878,"")</x:f>
        <x:v>48.09</x:v>
      </x:c>
      <x:c r="P1878" s="34" t="str">
        <x:v>NOT_REVEALING</x:v>
      </x:c>
      <x:c r="Q1878" s="34" t="str">
        <x:v>Feedback-Directed Random Test Generation/Result/Closure_106/result.json</x:v>
      </x:c>
    </x:row>
    <x:row r="1879">
      <x:c r="A1879" s="34" t="str">
        <x:v>randoop</x:v>
      </x:c>
      <x:c r="B1879" s="34" t="str">
        <x:v>Closure</x:v>
      </x:c>
      <x:c r="C1879" s="34" t="str">
        <x:v>Round1</x:v>
      </x:c>
      <x:c r="D1879" s="34" t="str">
        <x:v>Closure_107</x:v>
      </x:c>
      <x:c r="E1879" s="34" t="str">
        <x:v>Line</x:v>
      </x:c>
      <x:c r="F1879" s="34" t="n">
        <x:v>327</x:v>
      </x:c>
      <x:c r="G1879" s="34" t="str">
        <x:v>RECORDED</x:v>
      </x:c>
      <x:c r="H1879" s="38" t="n">
        <x:f>IF(ISNUMBER('Data'!H171),'Data'!H171*100,"")</x:f>
        <x:v>50.75999999999999</x:v>
      </x:c>
      <x:c r="I1879" s="34" t="str">
        <x:v>PASS</x:v>
      </x:c>
      <x:c r="J1879" s="34" t="str">
        <x:v>PASS</x:v>
      </x:c>
      <x:c r="K1879" s="34" t="str">
        <x:v>PASS</x:v>
      </x:c>
      <x:c r="L1879" s="34" t="str">
        <x:v>FAIL</x:v>
      </x:c>
      <x:c r="M1879" s="34" t="str">
        <x:v>numeric coverage for applicable metric</x:v>
      </x:c>
      <x:c r="N1879" s="34" t="str">
        <x:v>Feedback-Directed Random Test Generation/Result/Closure_107/result.json</x:v>
      </x:c>
      <x:c r="O1879" s="38" t="n">
        <x:f>IF(AND(G1879="RECORDED",ISNUMBER(H1879)),H1879,"")</x:f>
        <x:v>50.75999999999999</x:v>
      </x:c>
      <x:c r="P1879" s="34" t="str">
        <x:v>INCONCLUSIVE</x:v>
      </x:c>
      <x:c r="Q1879" s="34" t="str">
        <x:v>Feedback-Directed Random Test Generation/Result/Closure_107/result.json</x:v>
      </x:c>
    </x:row>
    <x:row r="1880">
      <x:c r="A1880" s="34" t="str">
        <x:v>randoop</x:v>
      </x:c>
      <x:c r="B1880" s="34" t="str">
        <x:v>Closure</x:v>
      </x:c>
      <x:c r="C1880" s="34" t="str">
        <x:v>Round1</x:v>
      </x:c>
      <x:c r="D1880" s="34" t="str">
        <x:v>Closure_108</x:v>
      </x:c>
      <x:c r="E1880" s="34" t="str">
        <x:v>Line</x:v>
      </x:c>
      <x:c r="F1880" s="34" t="n">
        <x:v>269</x:v>
      </x:c>
      <x:c r="G1880" s="34" t="str">
        <x:v>RECORDED</x:v>
      </x:c>
      <x:c r="H1880" s="38" t="n">
        <x:f>IF(ISNUMBER('Data'!H172),'Data'!H172*100,"")</x:f>
        <x:v>10.04</x:v>
      </x:c>
      <x:c r="I1880" s="34" t="str">
        <x:v>PASS</x:v>
      </x:c>
      <x:c r="J1880" s="34" t="str">
        <x:v>PASS</x:v>
      </x:c>
      <x:c r="K1880" s="34" t="str">
        <x:v>PASS</x:v>
      </x:c>
      <x:c r="L1880" s="34" t="str">
        <x:v>PASS</x:v>
      </x:c>
      <x:c r="M1880" s="34" t="str">
        <x:v>numeric coverage for applicable metric</x:v>
      </x:c>
      <x:c r="N1880" s="34" t="str">
        <x:v>Feedback-Directed Random Test Generation/Result/Closure_108/result.json</x:v>
      </x:c>
      <x:c r="O1880" s="38" t="n">
        <x:f>IF(AND(G1880="RECORDED",ISNUMBER(H1880)),H1880,"")</x:f>
        <x:v>10.04</x:v>
      </x:c>
      <x:c r="P1880" s="34" t="str">
        <x:v>NOT_REVEALING</x:v>
      </x:c>
      <x:c r="Q1880" s="34" t="str">
        <x:v>Feedback-Directed Random Test Generation/Result/Closure_108/result.json</x:v>
      </x:c>
    </x:row>
    <x:row r="1881">
      <x:c r="A1881" s="34" t="str">
        <x:v>randoop</x:v>
      </x:c>
      <x:c r="B1881" s="34" t="str">
        <x:v>Closure</x:v>
      </x:c>
      <x:c r="C1881" s="34" t="str">
        <x:v>Round1</x:v>
      </x:c>
      <x:c r="D1881" s="34" t="str">
        <x:v>Closure_109</x:v>
      </x:c>
      <x:c r="E1881" s="34" t="str">
        <x:v>Line</x:v>
      </x:c>
      <x:c r="F1881" s="34" t="n">
        <x:v>1146</x:v>
      </x:c>
      <x:c r="G1881" s="34" t="str">
        <x:v>RECORDED</x:v>
      </x:c>
      <x:c r="H1881" s="38" t="n">
        <x:f>IF(ISNUMBER('Data'!H173),'Data'!H173*100,"")</x:f>
        <x:v>7.77</x:v>
      </x:c>
      <x:c r="I1881" s="34" t="str">
        <x:v>PASS</x:v>
      </x:c>
      <x:c r="J1881" s="34" t="str">
        <x:v>PASS</x:v>
      </x:c>
      <x:c r="K1881" s="34" t="str">
        <x:v>PASS</x:v>
      </x:c>
      <x:c r="L1881" s="34" t="str">
        <x:v>PASS</x:v>
      </x:c>
      <x:c r="M1881" s="34" t="str">
        <x:v>numeric coverage for applicable metric</x:v>
      </x:c>
      <x:c r="N1881" s="34" t="str">
        <x:v>Feedback-Directed Random Test Generation/Result/Closure_109/result.json</x:v>
      </x:c>
      <x:c r="O1881" s="38" t="n">
        <x:f>IF(AND(G1881="RECORDED",ISNUMBER(H1881)),H1881,"")</x:f>
        <x:v>7.77</x:v>
      </x:c>
      <x:c r="P1881" s="34" t="str">
        <x:v>NOT_REVEALING</x:v>
      </x:c>
      <x:c r="Q1881" s="34" t="str">
        <x:v>Feedback-Directed Random Test Generation/Result/Closure_109/result.json</x:v>
      </x:c>
    </x:row>
    <x:row r="1882">
      <x:c r="A1882" s="34" t="str">
        <x:v>randoop</x:v>
      </x:c>
      <x:c r="B1882" s="34" t="str">
        <x:v>Closure</x:v>
      </x:c>
      <x:c r="C1882" s="34" t="str">
        <x:v>Round1</x:v>
      </x:c>
      <x:c r="D1882" s="34" t="str">
        <x:v>Closure_110</x:v>
      </x:c>
      <x:c r="E1882" s="34" t="str">
        <x:v>Line</x:v>
      </x:c>
      <x:c r="F1882" s="34" t="n">
        <x:v>1121</x:v>
      </x:c>
      <x:c r="G1882" s="34" t="str">
        <x:v>RECORDED</x:v>
      </x:c>
      <x:c r="H1882" s="38" t="n">
        <x:f>IF(ISNUMBER('Data'!H174),'Data'!H174*100,"")</x:f>
        <x:v>64.59</x:v>
      </x:c>
      <x:c r="I1882" s="34" t="str">
        <x:v>PASS</x:v>
      </x:c>
      <x:c r="J1882" s="34" t="str">
        <x:v>PASS</x:v>
      </x:c>
      <x:c r="K1882" s="34" t="str">
        <x:v>PASS</x:v>
      </x:c>
      <x:c r="L1882" s="34" t="str">
        <x:v>FAIL</x:v>
      </x:c>
      <x:c r="M1882" s="34" t="str">
        <x:v>numeric coverage for applicable metric</x:v>
      </x:c>
      <x:c r="N1882" s="34" t="str">
        <x:v>Feedback-Directed Random Test Generation/Result/Closure_110/result.json</x:v>
      </x:c>
      <x:c r="O1882" s="38" t="n">
        <x:f>IF(AND(G1882="RECORDED",ISNUMBER(H1882)),H1882,"")</x:f>
        <x:v>64.59</x:v>
      </x:c>
      <x:c r="P1882" s="34" t="str">
        <x:v>INCONCLUSIVE</x:v>
      </x:c>
      <x:c r="Q1882" s="34" t="str">
        <x:v>Feedback-Directed Random Test Generation/Result/Closure_110/result.json</x:v>
      </x:c>
    </x:row>
    <x:row r="1883">
      <x:c r="A1883" s="34" t="str">
        <x:v>randoop</x:v>
      </x:c>
      <x:c r="B1883" s="34" t="str">
        <x:v>Closure</x:v>
      </x:c>
      <x:c r="C1883" s="34" t="str">
        <x:v>Round1</x:v>
      </x:c>
      <x:c r="D1883" s="34" t="str">
        <x:v>Closure_111</x:v>
      </x:c>
      <x:c r="E1883" s="34" t="str">
        <x:v>Line</x:v>
      </x:c>
      <x:c r="F1883" s="34" t="n">
        <x:v>94</x:v>
      </x:c>
      <x:c r="G1883" s="34" t="str">
        <x:v>RECORDED</x:v>
      </x:c>
      <x:c r="H1883" s="38" t="n">
        <x:f>IF(ISNUMBER('Data'!H175),'Data'!H175*100,"")</x:f>
        <x:v>1.06</x:v>
      </x:c>
      <x:c r="I1883" s="34" t="str">
        <x:v>PASS</x:v>
      </x:c>
      <x:c r="J1883" s="34" t="str">
        <x:v>PASS</x:v>
      </x:c>
      <x:c r="K1883" s="34" t="str">
        <x:v>PASS</x:v>
      </x:c>
      <x:c r="L1883" s="34" t="str">
        <x:v>PASS</x:v>
      </x:c>
      <x:c r="M1883" s="34" t="str">
        <x:v>numeric coverage for applicable metric</x:v>
      </x:c>
      <x:c r="N1883" s="34" t="str">
        <x:v>Feedback-Directed Random Test Generation/Result/Closure_111/result.json</x:v>
      </x:c>
      <x:c r="O1883" s="38" t="n">
        <x:f>IF(AND(G1883="RECORDED",ISNUMBER(H1883)),H1883,"")</x:f>
        <x:v>1.06</x:v>
      </x:c>
      <x:c r="P1883" s="34" t="str">
        <x:v>NOT_REVEALING</x:v>
      </x:c>
      <x:c r="Q1883" s="34" t="str">
        <x:v>Feedback-Directed Random Test Generation/Result/Closure_111/result.json</x:v>
      </x:c>
    </x:row>
    <x:row r="1884">
      <x:c r="A1884" s="34" t="str">
        <x:v>randoop</x:v>
      </x:c>
      <x:c r="B1884" s="34" t="str">
        <x:v>Closure</x:v>
      </x:c>
      <x:c r="C1884" s="34" t="str">
        <x:v>Round1</x:v>
      </x:c>
      <x:c r="D1884" s="34" t="str">
        <x:v>Closure_112</x:v>
      </x:c>
      <x:c r="E1884" s="34" t="str">
        <x:v>Line</x:v>
      </x:c>
      <x:c r="F1884" s="34" t="n">
        <x:v>713</x:v>
      </x:c>
      <x:c r="G1884" s="34" t="str">
        <x:v>RECORDED</x:v>
      </x:c>
      <x:c r="H1884" s="38" t="n">
        <x:f>IF(ISNUMBER('Data'!H176),'Data'!H176*100,"")</x:f>
        <x:v>0.56</x:v>
      </x:c>
      <x:c r="I1884" s="34" t="str">
        <x:v>PASS</x:v>
      </x:c>
      <x:c r="J1884" s="34" t="str">
        <x:v>PASS</x:v>
      </x:c>
      <x:c r="K1884" s="34" t="str">
        <x:v>PASS</x:v>
      </x:c>
      <x:c r="L1884" s="34" t="str">
        <x:v>PASS</x:v>
      </x:c>
      <x:c r="M1884" s="34" t="str">
        <x:v>numeric coverage for applicable metric</x:v>
      </x:c>
      <x:c r="N1884" s="34" t="str">
        <x:v>Feedback-Directed Random Test Generation/Result/Closure_112/result.json</x:v>
      </x:c>
      <x:c r="O1884" s="38" t="n">
        <x:f>IF(AND(G1884="RECORDED",ISNUMBER(H1884)),H1884,"")</x:f>
        <x:v>0.56</x:v>
      </x:c>
      <x:c r="P1884" s="34" t="str">
        <x:v>NOT_REVEALING</x:v>
      </x:c>
      <x:c r="Q1884" s="34" t="str">
        <x:v>Feedback-Directed Random Test Generation/Result/Closure_112/result.json</x:v>
      </x:c>
    </x:row>
    <x:row r="1885">
      <x:c r="A1885" s="34" t="str">
        <x:v>randoop</x:v>
      </x:c>
      <x:c r="B1885" s="34" t="str">
        <x:v>Closure</x:v>
      </x:c>
      <x:c r="C1885" s="34" t="str">
        <x:v>Round1</x:v>
      </x:c>
      <x:c r="D1885" s="34" t="str">
        <x:v>Closure_113</x:v>
      </x:c>
      <x:c r="E1885" s="34" t="str">
        <x:v>Line</x:v>
      </x:c>
      <x:c r="F1885" s="34" t="n">
        <x:v>566</x:v>
      </x:c>
      <x:c r="G1885" s="34" t="str">
        <x:v>RECORDED</x:v>
      </x:c>
      <x:c r="H1885" s="38" t="n">
        <x:f>IF(ISNUMBER('Data'!H177),'Data'!H177*100,"")</x:f>
        <x:v>4.95</x:v>
      </x:c>
      <x:c r="I1885" s="34" t="str">
        <x:v>PASS</x:v>
      </x:c>
      <x:c r="J1885" s="34" t="str">
        <x:v>PASS</x:v>
      </x:c>
      <x:c r="K1885" s="34" t="str">
        <x:v>PASS</x:v>
      </x:c>
      <x:c r="L1885" s="34" t="str">
        <x:v>PASS</x:v>
      </x:c>
      <x:c r="M1885" s="34" t="str">
        <x:v>numeric coverage for applicable metric</x:v>
      </x:c>
      <x:c r="N1885" s="34" t="str">
        <x:v>Feedback-Directed Random Test Generation/Result/Closure_113/result.json</x:v>
      </x:c>
      <x:c r="O1885" s="38" t="n">
        <x:f>IF(AND(G1885="RECORDED",ISNUMBER(H1885)),H1885,"")</x:f>
        <x:v>4.95</x:v>
      </x:c>
      <x:c r="P1885" s="34" t="str">
        <x:v>NOT_REVEALING</x:v>
      </x:c>
      <x:c r="Q1885" s="34" t="str">
        <x:v>Feedback-Directed Random Test Generation/Result/Closure_113/result.json</x:v>
      </x:c>
    </x:row>
    <x:row r="1886">
      <x:c r="A1886" s="34" t="str">
        <x:v>randoop</x:v>
      </x:c>
      <x:c r="B1886" s="34" t="str">
        <x:v>Closure</x:v>
      </x:c>
      <x:c r="C1886" s="34" t="str">
        <x:v>Round1</x:v>
      </x:c>
      <x:c r="D1886" s="34" t="str">
        <x:v>Closure_114</x:v>
      </x:c>
      <x:c r="E1886" s="34" t="str">
        <x:v>Line</x:v>
      </x:c>
      <x:c r="F1886" s="34" t="n">
        <x:v>751</x:v>
      </x:c>
      <x:c r="G1886" s="34" t="str">
        <x:v>RECORDED</x:v>
      </x:c>
      <x:c r="H1886" s="38" t="n">
        <x:f>IF(ISNUMBER('Data'!H178),'Data'!H178*100,"")</x:f>
        <x:v>7.59</x:v>
      </x:c>
      <x:c r="I1886" s="34" t="str">
        <x:v>PASS</x:v>
      </x:c>
      <x:c r="J1886" s="34" t="str">
        <x:v>PASS</x:v>
      </x:c>
      <x:c r="K1886" s="34" t="str">
        <x:v>PASS</x:v>
      </x:c>
      <x:c r="L1886" s="34" t="str">
        <x:v>PASS</x:v>
      </x:c>
      <x:c r="M1886" s="34" t="str">
        <x:v>numeric coverage for applicable metric</x:v>
      </x:c>
      <x:c r="N1886" s="34" t="str">
        <x:v>Feedback-Directed Random Test Generation/Result/Closure_114/result.json</x:v>
      </x:c>
      <x:c r="O1886" s="38" t="n">
        <x:f>IF(AND(G1886="RECORDED",ISNUMBER(H1886)),H1886,"")</x:f>
        <x:v>7.59</x:v>
      </x:c>
      <x:c r="P1886" s="34" t="str">
        <x:v>NOT_REVEALING</x:v>
      </x:c>
      <x:c r="Q1886" s="34" t="str">
        <x:v>Feedback-Directed Random Test Generation/Result/Closure_114/result.json</x:v>
      </x:c>
    </x:row>
    <x:row r="1887">
      <x:c r="A1887" s="34" t="str">
        <x:v>randoop</x:v>
      </x:c>
      <x:c r="B1887" s="34" t="str">
        <x:v>Closure</x:v>
      </x:c>
      <x:c r="C1887" s="34" t="str">
        <x:v>Round1</x:v>
      </x:c>
      <x:c r="D1887" s="34" t="str">
        <x:v>Closure_115</x:v>
      </x:c>
      <x:c r="E1887" s="34" t="str">
        <x:v>Line</x:v>
      </x:c>
      <x:c r="F1887" s="34" t="n">
        <x:v>311</x:v>
      </x:c>
      <x:c r="G1887" s="34" t="str">
        <x:v>RECORDED</x:v>
      </x:c>
      <x:c r="H1887" s="38" t="n">
        <x:f>IF(ISNUMBER('Data'!H179),'Data'!H179*100,"")</x:f>
        <x:v>5.47</x:v>
      </x:c>
      <x:c r="I1887" s="34" t="str">
        <x:v>PASS</x:v>
      </x:c>
      <x:c r="J1887" s="34" t="str">
        <x:v>PASS</x:v>
      </x:c>
      <x:c r="K1887" s="34" t="str">
        <x:v>PASS</x:v>
      </x:c>
      <x:c r="L1887" s="34" t="str">
        <x:v>PASS</x:v>
      </x:c>
      <x:c r="M1887" s="34" t="str">
        <x:v>numeric coverage for applicable metric</x:v>
      </x:c>
      <x:c r="N1887" s="34" t="str">
        <x:v>Feedback-Directed Random Test Generation/Result/Closure_115/result.json</x:v>
      </x:c>
      <x:c r="O1887" s="38" t="n">
        <x:f>IF(AND(G1887="RECORDED",ISNUMBER(H1887)),H1887,"")</x:f>
        <x:v>5.47</x:v>
      </x:c>
      <x:c r="P1887" s="34" t="str">
        <x:v>NOT_REVEALING</x:v>
      </x:c>
      <x:c r="Q1887" s="34" t="str">
        <x:v>Feedback-Directed Random Test Generation/Result/Closure_115/result.json</x:v>
      </x:c>
    </x:row>
    <x:row r="1888">
      <x:c r="A1888" s="34" t="str">
        <x:v>randoop</x:v>
      </x:c>
      <x:c r="B1888" s="34" t="str">
        <x:v>Closure</x:v>
      </x:c>
      <x:c r="C1888" s="34" t="str">
        <x:v>Round1</x:v>
      </x:c>
      <x:c r="D1888" s="34" t="str">
        <x:v>Closure_116</x:v>
      </x:c>
      <x:c r="E1888" s="34" t="str">
        <x:v>Line</x:v>
      </x:c>
      <x:c r="F1888" s="34" t="n">
        <x:v>303</x:v>
      </x:c>
      <x:c r="G1888" s="34" t="str">
        <x:v>RECORDED</x:v>
      </x:c>
      <x:c r="H1888" s="38" t="n">
        <x:f>IF(ISNUMBER('Data'!H180),'Data'!H180*100,"")</x:f>
        <x:v>5.61</x:v>
      </x:c>
      <x:c r="I1888" s="34" t="str">
        <x:v>PASS</x:v>
      </x:c>
      <x:c r="J1888" s="34" t="str">
        <x:v>PASS</x:v>
      </x:c>
      <x:c r="K1888" s="34" t="str">
        <x:v>PASS</x:v>
      </x:c>
      <x:c r="L1888" s="34" t="str">
        <x:v>PASS</x:v>
      </x:c>
      <x:c r="M1888" s="34" t="str">
        <x:v>numeric coverage for applicable metric</x:v>
      </x:c>
      <x:c r="N1888" s="34" t="str">
        <x:v>Feedback-Directed Random Test Generation/Result/Closure_116/result.json</x:v>
      </x:c>
      <x:c r="O1888" s="38" t="n">
        <x:f>IF(AND(G1888="RECORDED",ISNUMBER(H1888)),H1888,"")</x:f>
        <x:v>5.61</x:v>
      </x:c>
      <x:c r="P1888" s="34" t="str">
        <x:v>NOT_REVEALING</x:v>
      </x:c>
      <x:c r="Q1888" s="34" t="str">
        <x:v>Feedback-Directed Random Test Generation/Result/Closure_116/result.json</x:v>
      </x:c>
    </x:row>
    <x:row r="1889">
      <x:c r="A1889" s="34" t="str">
        <x:v>randoop</x:v>
      </x:c>
      <x:c r="B1889" s="34" t="str">
        <x:v>Closure</x:v>
      </x:c>
      <x:c r="C1889" s="34" t="str">
        <x:v>Round1</x:v>
      </x:c>
      <x:c r="D1889" s="34" t="str">
        <x:v>Closure_117</x:v>
      </x:c>
      <x:c r="E1889" s="34" t="str">
        <x:v>Line</x:v>
      </x:c>
      <x:c r="F1889" s="34" t="n">
        <x:v>287</x:v>
      </x:c>
      <x:c r="G1889" s="34" t="str">
        <x:v>RECORDED</x:v>
      </x:c>
      <x:c r="H1889" s="38" t="n">
        <x:f>IF(ISNUMBER('Data'!H181),'Data'!H181*100,"")</x:f>
        <x:v>8.36</x:v>
      </x:c>
      <x:c r="I1889" s="34" t="str">
        <x:v>PASS</x:v>
      </x:c>
      <x:c r="J1889" s="34" t="str">
        <x:v>PASS</x:v>
      </x:c>
      <x:c r="K1889" s="34" t="str">
        <x:v>PASS</x:v>
      </x:c>
      <x:c r="L1889" s="34" t="str">
        <x:v>PASS</x:v>
      </x:c>
      <x:c r="M1889" s="34" t="str">
        <x:v>numeric coverage for applicable metric</x:v>
      </x:c>
      <x:c r="N1889" s="34" t="str">
        <x:v>Feedback-Directed Random Test Generation/Result/Closure_117/result.json</x:v>
      </x:c>
      <x:c r="O1889" s="38" t="n">
        <x:f>IF(AND(G1889="RECORDED",ISNUMBER(H1889)),H1889,"")</x:f>
        <x:v>8.36</x:v>
      </x:c>
      <x:c r="P1889" s="34" t="str">
        <x:v>NOT_REVEALING</x:v>
      </x:c>
      <x:c r="Q1889" s="34" t="str">
        <x:v>Feedback-Directed Random Test Generation/Result/Closure_117/result.json</x:v>
      </x:c>
    </x:row>
    <x:row r="1890">
      <x:c r="A1890" s="34" t="str">
        <x:v>randoop</x:v>
      </x:c>
      <x:c r="B1890" s="34" t="str">
        <x:v>Closure</x:v>
      </x:c>
      <x:c r="C1890" s="34" t="str">
        <x:v>Round1</x:v>
      </x:c>
      <x:c r="D1890" s="34" t="str">
        <x:v>Closure_118</x:v>
      </x:c>
      <x:c r="E1890" s="34" t="str">
        <x:v>Line</x:v>
      </x:c>
      <x:c r="F1890" s="34" t="n">
        <x:v>462</x:v>
      </x:c>
      <x:c r="G1890" s="34" t="str">
        <x:v>RECORDED</x:v>
      </x:c>
      <x:c r="H1890" s="38" t="n">
        <x:f>IF(ISNUMBER('Data'!H182),'Data'!H182*100,"")</x:f>
        <x:v>2.38</x:v>
      </x:c>
      <x:c r="I1890" s="34" t="str">
        <x:v>PASS</x:v>
      </x:c>
      <x:c r="J1890" s="34" t="str">
        <x:v>PASS</x:v>
      </x:c>
      <x:c r="K1890" s="34" t="str">
        <x:v>PASS</x:v>
      </x:c>
      <x:c r="L1890" s="34" t="str">
        <x:v>PASS</x:v>
      </x:c>
      <x:c r="M1890" s="34" t="str">
        <x:v>numeric coverage for applicable metric</x:v>
      </x:c>
      <x:c r="N1890" s="34" t="str">
        <x:v>Feedback-Directed Random Test Generation/Result/Closure_118/result.json</x:v>
      </x:c>
      <x:c r="O1890" s="38" t="n">
        <x:f>IF(AND(G1890="RECORDED",ISNUMBER(H1890)),H1890,"")</x:f>
        <x:v>2.38</x:v>
      </x:c>
      <x:c r="P1890" s="34" t="str">
        <x:v>NOT_REVEALING</x:v>
      </x:c>
      <x:c r="Q1890" s="34" t="str">
        <x:v>Feedback-Directed Random Test Generation/Result/Closure_118/result.json</x:v>
      </x:c>
    </x:row>
    <x:row r="1891">
      <x:c r="A1891" s="34" t="str">
        <x:v>randoop</x:v>
      </x:c>
      <x:c r="B1891" s="34" t="str">
        <x:v>Closure</x:v>
      </x:c>
      <x:c r="C1891" s="34" t="str">
        <x:v>Round1</x:v>
      </x:c>
      <x:c r="D1891" s="34" t="str">
        <x:v>Closure_119</x:v>
      </x:c>
      <x:c r="E1891" s="34" t="str">
        <x:v>Line</x:v>
      </x:c>
      <x:c r="F1891" s="34" t="n">
        <x:v>496</x:v>
      </x:c>
      <x:c r="G1891" s="34" t="str">
        <x:v>RECORDED</x:v>
      </x:c>
      <x:c r="H1891" s="38" t="n">
        <x:f>IF(ISNUMBER('Data'!H183),'Data'!H183*100,"")</x:f>
        <x:v>33.87</x:v>
      </x:c>
      <x:c r="I1891" s="34" t="str">
        <x:v>PASS</x:v>
      </x:c>
      <x:c r="J1891" s="34" t="str">
        <x:v>PASS</x:v>
      </x:c>
      <x:c r="K1891" s="34" t="str">
        <x:v>PASS</x:v>
      </x:c>
      <x:c r="L1891" s="34" t="str">
        <x:v>PASS</x:v>
      </x:c>
      <x:c r="M1891" s="34" t="str">
        <x:v>numeric coverage for applicable metric</x:v>
      </x:c>
      <x:c r="N1891" s="34" t="str">
        <x:v>Feedback-Directed Random Test Generation/Result/Closure_119/result.json</x:v>
      </x:c>
      <x:c r="O1891" s="38" t="n">
        <x:f>IF(AND(G1891="RECORDED",ISNUMBER(H1891)),H1891,"")</x:f>
        <x:v>33.87</x:v>
      </x:c>
      <x:c r="P1891" s="34" t="str">
        <x:v>NOT_REVEALING</x:v>
      </x:c>
      <x:c r="Q1891" s="34" t="str">
        <x:v>Feedback-Directed Random Test Generation/Result/Closure_119/result.json</x:v>
      </x:c>
    </x:row>
    <x:row r="1892">
      <x:c r="A1892" s="34" t="str">
        <x:v>randoop</x:v>
      </x:c>
      <x:c r="B1892" s="34" t="str">
        <x:v>Closure</x:v>
      </x:c>
      <x:c r="C1892" s="34" t="str">
        <x:v>Round1</x:v>
      </x:c>
      <x:c r="D1892" s="34" t="str">
        <x:v>Closure_120</x:v>
      </x:c>
      <x:c r="E1892" s="34" t="str">
        <x:v>Line</x:v>
      </x:c>
      <x:c r="F1892" s="34" t="n">
        <x:v>211</x:v>
      </x:c>
      <x:c r="G1892" s="34" t="str">
        <x:v>RECORDED</x:v>
      </x:c>
      <x:c r="H1892" s="38" t="n">
        <x:f>IF(ISNUMBER('Data'!H184),'Data'!H184*100,"")</x:f>
        <x:v>34.6</x:v>
      </x:c>
      <x:c r="I1892" s="34" t="str">
        <x:v>PASS</x:v>
      </x:c>
      <x:c r="J1892" s="34" t="str">
        <x:v>PASS</x:v>
      </x:c>
      <x:c r="K1892" s="34" t="str">
        <x:v>PASS</x:v>
      </x:c>
      <x:c r="L1892" s="34" t="str">
        <x:v>PASS</x:v>
      </x:c>
      <x:c r="M1892" s="34" t="str">
        <x:v>numeric coverage for applicable metric</x:v>
      </x:c>
      <x:c r="N1892" s="34" t="str">
        <x:v>Feedback-Directed Random Test Generation/Result/Closure_120/result.json</x:v>
      </x:c>
      <x:c r="O1892" s="38" t="n">
        <x:f>IF(AND(G1892="RECORDED",ISNUMBER(H1892)),H1892,"")</x:f>
        <x:v>34.6</x:v>
      </x:c>
      <x:c r="P1892" s="34" t="str">
        <x:v>NOT_REVEALING</x:v>
      </x:c>
      <x:c r="Q1892" s="34" t="str">
        <x:v>Feedback-Directed Random Test Generation/Result/Closure_120/result.json</x:v>
      </x:c>
    </x:row>
    <x:row r="1893">
      <x:c r="A1893" s="34" t="str">
        <x:v>randoop</x:v>
      </x:c>
      <x:c r="B1893" s="34" t="str">
        <x:v>Closure</x:v>
      </x:c>
      <x:c r="C1893" s="34" t="str">
        <x:v>Round1</x:v>
      </x:c>
      <x:c r="D1893" s="34" t="str">
        <x:v>Closure_121</x:v>
      </x:c>
      <x:c r="E1893" s="34" t="str">
        <x:v>Line</x:v>
      </x:c>
      <x:c r="F1893" s="34" t="n">
        <x:v>297</x:v>
      </x:c>
      <x:c r="G1893" s="34" t="str">
        <x:v>RECORDED</x:v>
      </x:c>
      <x:c r="H1893" s="38" t="n">
        <x:f>IF(ISNUMBER('Data'!H185),'Data'!H185*100,"")</x:f>
        <x:v>7.739999999999999</x:v>
      </x:c>
      <x:c r="I1893" s="34" t="str">
        <x:v>PASS</x:v>
      </x:c>
      <x:c r="J1893" s="34" t="str">
        <x:v>PASS</x:v>
      </x:c>
      <x:c r="K1893" s="34" t="str">
        <x:v>PASS</x:v>
      </x:c>
      <x:c r="L1893" s="34" t="str">
        <x:v>PASS</x:v>
      </x:c>
      <x:c r="M1893" s="34" t="str">
        <x:v>numeric coverage for applicable metric</x:v>
      </x:c>
      <x:c r="N1893" s="34" t="str">
        <x:v>Feedback-Directed Random Test Generation/Result/Closure_121/result.json</x:v>
      </x:c>
      <x:c r="O1893" s="38" t="n">
        <x:f>IF(AND(G1893="RECORDED",ISNUMBER(H1893)),H1893,"")</x:f>
        <x:v>7.739999999999999</x:v>
      </x:c>
      <x:c r="P1893" s="34" t="str">
        <x:v>NOT_REVEALING</x:v>
      </x:c>
      <x:c r="Q1893" s="34" t="str">
        <x:v>Feedback-Directed Random Test Generation/Result/Closure_121/result.json</x:v>
      </x:c>
    </x:row>
    <x:row r="1894">
      <x:c r="A1894" s="34" t="str">
        <x:v>randoop</x:v>
      </x:c>
      <x:c r="B1894" s="34" t="str">
        <x:v>Closure</x:v>
      </x:c>
      <x:c r="C1894" s="34" t="str">
        <x:v>Round1</x:v>
      </x:c>
      <x:c r="D1894" s="34" t="str">
        <x:v>Closure_122</x:v>
      </x:c>
      <x:c r="E1894" s="34" t="str">
        <x:v>Line</x:v>
      </x:c>
      <x:c r="F1894" s="34" t="n">
        <x:v>691</x:v>
      </x:c>
      <x:c r="G1894" s="34" t="str">
        <x:v>RECORDED</x:v>
      </x:c>
      <x:c r="H1894" s="38" t="n">
        <x:f>IF(ISNUMBER('Data'!H186),'Data'!H186*100,"")</x:f>
        <x:v>3.7599999999999993</x:v>
      </x:c>
      <x:c r="I1894" s="34" t="str">
        <x:v>PASS</x:v>
      </x:c>
      <x:c r="J1894" s="34" t="str">
        <x:v>PASS</x:v>
      </x:c>
      <x:c r="K1894" s="34" t="str">
        <x:v>PASS</x:v>
      </x:c>
      <x:c r="L1894" s="34" t="str">
        <x:v>PASS</x:v>
      </x:c>
      <x:c r="M1894" s="34" t="str">
        <x:v>numeric coverage for applicable metric</x:v>
      </x:c>
      <x:c r="N1894" s="34" t="str">
        <x:v>Feedback-Directed Random Test Generation/Result/Closure_122/result.json</x:v>
      </x:c>
      <x:c r="O1894" s="38" t="n">
        <x:f>IF(AND(G1894="RECORDED",ISNUMBER(H1894)),H1894,"")</x:f>
        <x:v>3.7599999999999993</x:v>
      </x:c>
      <x:c r="P1894" s="34" t="str">
        <x:v>NOT_REVEALING</x:v>
      </x:c>
      <x:c r="Q1894" s="34" t="str">
        <x:v>Feedback-Directed Random Test Generation/Result/Closure_122/result.json</x:v>
      </x:c>
    </x:row>
    <x:row r="1895">
      <x:c r="A1895" s="34" t="str">
        <x:v>randoop</x:v>
      </x:c>
      <x:c r="B1895" s="34" t="str">
        <x:v>Closure</x:v>
      </x:c>
      <x:c r="C1895" s="34" t="str">
        <x:v>Round1</x:v>
      </x:c>
      <x:c r="D1895" s="34" t="str">
        <x:v>Closure_123</x:v>
      </x:c>
      <x:c r="E1895" s="34" t="str">
        <x:v>Line</x:v>
      </x:c>
      <x:c r="F1895" s="34" t="n">
        <x:v>650</x:v>
      </x:c>
      <x:c r="G1895" s="34" t="str">
        <x:v>RECORDED</x:v>
      </x:c>
      <x:c r="H1895" s="38" t="n">
        <x:f>IF(ISNUMBER('Data'!H187),'Data'!H187*100,"")</x:f>
        <x:v>9.69</x:v>
      </x:c>
      <x:c r="I1895" s="34" t="str">
        <x:v>PASS</x:v>
      </x:c>
      <x:c r="J1895" s="34" t="str">
        <x:v>PASS</x:v>
      </x:c>
      <x:c r="K1895" s="34" t="str">
        <x:v>PASS</x:v>
      </x:c>
      <x:c r="L1895" s="34" t="str">
        <x:v>PASS</x:v>
      </x:c>
      <x:c r="M1895" s="34" t="str">
        <x:v>numeric coverage for applicable metric</x:v>
      </x:c>
      <x:c r="N1895" s="34" t="str">
        <x:v>Feedback-Directed Random Test Generation/Result/Closure_123/result.json</x:v>
      </x:c>
      <x:c r="O1895" s="38" t="n">
        <x:f>IF(AND(G1895="RECORDED",ISNUMBER(H1895)),H1895,"")</x:f>
        <x:v>9.69</x:v>
      </x:c>
      <x:c r="P1895" s="34" t="str">
        <x:v>NOT_REVEALING</x:v>
      </x:c>
      <x:c r="Q1895" s="34" t="str">
        <x:v>Feedback-Directed Random Test Generation/Result/Closure_123/result.json</x:v>
      </x:c>
    </x:row>
    <x:row r="1896">
      <x:c r="A1896" s="34" t="str">
        <x:v>randoop</x:v>
      </x:c>
      <x:c r="B1896" s="34" t="str">
        <x:v>Closure</x:v>
      </x:c>
      <x:c r="C1896" s="34" t="str">
        <x:v>Round1</x:v>
      </x:c>
      <x:c r="D1896" s="34" t="str">
        <x:v>Closure_124</x:v>
      </x:c>
      <x:c r="E1896" s="34" t="str">
        <x:v>Line</x:v>
      </x:c>
      <x:c r="F1896" s="34" t="n">
        <x:v>80</x:v>
      </x:c>
      <x:c r="G1896" s="34" t="str">
        <x:v>RECORDED</x:v>
      </x:c>
      <x:c r="H1896" s="38" t="n">
        <x:f>IF(ISNUMBER('Data'!H188),'Data'!H188*100,"")</x:f>
        <x:v>2.5</x:v>
      </x:c>
      <x:c r="I1896" s="34" t="str">
        <x:v>PASS</x:v>
      </x:c>
      <x:c r="J1896" s="34" t="str">
        <x:v>PASS</x:v>
      </x:c>
      <x:c r="K1896" s="34" t="str">
        <x:v>PASS</x:v>
      </x:c>
      <x:c r="L1896" s="34" t="str">
        <x:v>PASS</x:v>
      </x:c>
      <x:c r="M1896" s="34" t="str">
        <x:v>numeric coverage for applicable metric</x:v>
      </x:c>
      <x:c r="N1896" s="34" t="str">
        <x:v>Feedback-Directed Random Test Generation/Result/Closure_124/result.json</x:v>
      </x:c>
      <x:c r="O1896" s="38" t="n">
        <x:f>IF(AND(G1896="RECORDED",ISNUMBER(H1896)),H1896,"")</x:f>
        <x:v>2.5</x:v>
      </x:c>
      <x:c r="P1896" s="34" t="str">
        <x:v>NOT_REVEALING</x:v>
      </x:c>
      <x:c r="Q1896" s="34" t="str">
        <x:v>Feedback-Directed Random Test Generation/Result/Closure_124/result.json</x:v>
      </x:c>
    </x:row>
    <x:row r="1897">
      <x:c r="A1897" s="34" t="str">
        <x:v>randoop</x:v>
      </x:c>
      <x:c r="B1897" s="34" t="str">
        <x:v>Closure</x:v>
      </x:c>
      <x:c r="C1897" s="34" t="str">
        <x:v>Round1</x:v>
      </x:c>
      <x:c r="D1897" s="34" t="str">
        <x:v>Closure_125</x:v>
      </x:c>
      <x:c r="E1897" s="34" t="str">
        <x:v>Line</x:v>
      </x:c>
      <x:c r="F1897" s="34" t="n">
        <x:v>889</x:v>
      </x:c>
      <x:c r="G1897" s="34" t="str">
        <x:v>RECORDED</x:v>
      </x:c>
      <x:c r="H1897" s="38" t="n">
        <x:f>IF(ISNUMBER('Data'!H189),'Data'!H189*100,"")</x:f>
        <x:v>8.44</x:v>
      </x:c>
      <x:c r="I1897" s="34" t="str">
        <x:v>PASS</x:v>
      </x:c>
      <x:c r="J1897" s="34" t="str">
        <x:v>PASS</x:v>
      </x:c>
      <x:c r="K1897" s="34" t="str">
        <x:v>PASS</x:v>
      </x:c>
      <x:c r="L1897" s="34" t="str">
        <x:v>PASS</x:v>
      </x:c>
      <x:c r="M1897" s="34" t="str">
        <x:v>numeric coverage for applicable metric</x:v>
      </x:c>
      <x:c r="N1897" s="34" t="str">
        <x:v>Feedback-Directed Random Test Generation/Result/Closure_125/result.json</x:v>
      </x:c>
      <x:c r="O1897" s="38" t="n">
        <x:f>IF(AND(G1897="RECORDED",ISNUMBER(H1897)),H1897,"")</x:f>
        <x:v>8.44</x:v>
      </x:c>
      <x:c r="P1897" s="34" t="str">
        <x:v>NOT_REVEALING</x:v>
      </x:c>
      <x:c r="Q1897" s="34" t="str">
        <x:v>Feedback-Directed Random Test Generation/Result/Closure_125/result.json</x:v>
      </x:c>
    </x:row>
    <x:row r="1898">
      <x:c r="A1898" s="34" t="str">
        <x:v>randoop</x:v>
      </x:c>
      <x:c r="B1898" s="34" t="str">
        <x:v>Closure</x:v>
      </x:c>
      <x:c r="C1898" s="34" t="str">
        <x:v>Round1</x:v>
      </x:c>
      <x:c r="D1898" s="34" t="str">
        <x:v>Closure_126</x:v>
      </x:c>
      <x:c r="E1898" s="34" t="str">
        <x:v>Line</x:v>
      </x:c>
      <x:c r="F1898" s="34" t="n">
        <x:v>102</x:v>
      </x:c>
      <x:c r="G1898" s="34" t="str">
        <x:v>RECORDED</x:v>
      </x:c>
      <x:c r="H1898" s="38" t="n">
        <x:f>IF(ISNUMBER('Data'!H190),'Data'!H190*100,"")</x:f>
        <x:v>6.860000000000001</x:v>
      </x:c>
      <x:c r="I1898" s="34" t="str">
        <x:v>PASS</x:v>
      </x:c>
      <x:c r="J1898" s="34" t="str">
        <x:v>PASS</x:v>
      </x:c>
      <x:c r="K1898" s="34" t="str">
        <x:v>PASS</x:v>
      </x:c>
      <x:c r="L1898" s="34" t="str">
        <x:v>PASS</x:v>
      </x:c>
      <x:c r="M1898" s="34" t="str">
        <x:v>numeric coverage for applicable metric</x:v>
      </x:c>
      <x:c r="N1898" s="34" t="str">
        <x:v>Feedback-Directed Random Test Generation/Result/Closure_126/result.json</x:v>
      </x:c>
      <x:c r="O1898" s="38" t="n">
        <x:f>IF(AND(G1898="RECORDED",ISNUMBER(H1898)),H1898,"")</x:f>
        <x:v>6.860000000000001</x:v>
      </x:c>
      <x:c r="P1898" s="34" t="str">
        <x:v>NOT_REVEALING</x:v>
      </x:c>
      <x:c r="Q1898" s="34" t="str">
        <x:v>Feedback-Directed Random Test Generation/Result/Closure_126/result.json</x:v>
      </x:c>
    </x:row>
    <x:row r="1899">
      <x:c r="A1899" s="34" t="str">
        <x:v>randoop</x:v>
      </x:c>
      <x:c r="B1899" s="34" t="str">
        <x:v>Closure</x:v>
      </x:c>
      <x:c r="C1899" s="34" t="str">
        <x:v>Round1</x:v>
      </x:c>
      <x:c r="D1899" s="34" t="str">
        <x:v>Closure_127</x:v>
      </x:c>
      <x:c r="E1899" s="34" t="str">
        <x:v>Line</x:v>
      </x:c>
      <x:c r="F1899" s="34" t="n">
        <x:v>82</x:v>
      </x:c>
      <x:c r="G1899" s="34" t="str">
        <x:v>RECORDED</x:v>
      </x:c>
      <x:c r="H1899" s="38" t="n">
        <x:f>IF(ISNUMBER('Data'!H191),'Data'!H191*100,"")</x:f>
        <x:v>9.76</x:v>
      </x:c>
      <x:c r="I1899" s="34" t="str">
        <x:v>PASS</x:v>
      </x:c>
      <x:c r="J1899" s="34" t="str">
        <x:v>PASS</x:v>
      </x:c>
      <x:c r="K1899" s="34" t="str">
        <x:v>PASS</x:v>
      </x:c>
      <x:c r="L1899" s="34" t="str">
        <x:v>PASS</x:v>
      </x:c>
      <x:c r="M1899" s="34" t="str">
        <x:v>numeric coverage for applicable metric</x:v>
      </x:c>
      <x:c r="N1899" s="34" t="str">
        <x:v>Feedback-Directed Random Test Generation/Result/Closure_127/result.json</x:v>
      </x:c>
      <x:c r="O1899" s="38" t="n">
        <x:f>IF(AND(G1899="RECORDED",ISNUMBER(H1899)),H1899,"")</x:f>
        <x:v>9.76</x:v>
      </x:c>
      <x:c r="P1899" s="34" t="str">
        <x:v>NOT_REVEALING</x:v>
      </x:c>
      <x:c r="Q1899" s="34" t="str">
        <x:v>Feedback-Directed Random Test Generation/Result/Closure_127/result.json</x:v>
      </x:c>
    </x:row>
    <x:row r="1900">
      <x:c r="A1900" s="34" t="str">
        <x:v>randoop</x:v>
      </x:c>
      <x:c r="B1900" s="34" t="str">
        <x:v>Closure</x:v>
      </x:c>
      <x:c r="C1900" s="34" t="str">
        <x:v>Round1</x:v>
      </x:c>
      <x:c r="D1900" s="34" t="str">
        <x:v>Closure_128</x:v>
      </x:c>
      <x:c r="E1900" s="34" t="str">
        <x:v>Line</x:v>
      </x:c>
      <x:c r="F1900" s="34" t="n">
        <x:v>638</x:v>
      </x:c>
      <x:c r="G1900" s="34" t="str">
        <x:v>RECORDED</x:v>
      </x:c>
      <x:c r="H1900" s="38" t="n">
        <x:f>IF(ISNUMBER('Data'!H192),'Data'!H192*100,"")</x:f>
        <x:v>9.56</x:v>
      </x:c>
      <x:c r="I1900" s="34" t="str">
        <x:v>PASS</x:v>
      </x:c>
      <x:c r="J1900" s="34" t="str">
        <x:v>PASS</x:v>
      </x:c>
      <x:c r="K1900" s="34" t="str">
        <x:v>PASS</x:v>
      </x:c>
      <x:c r="L1900" s="34" t="str">
        <x:v>PASS</x:v>
      </x:c>
      <x:c r="M1900" s="34" t="str">
        <x:v>numeric coverage for applicable metric</x:v>
      </x:c>
      <x:c r="N1900" s="34" t="str">
        <x:v>Feedback-Directed Random Test Generation/Result/Closure_128/result.json</x:v>
      </x:c>
      <x:c r="O1900" s="38" t="n">
        <x:f>IF(AND(G1900="RECORDED",ISNUMBER(H1900)),H1900,"")</x:f>
        <x:v>9.56</x:v>
      </x:c>
      <x:c r="P1900" s="34" t="str">
        <x:v>NOT_REVEALING</x:v>
      </x:c>
      <x:c r="Q1900" s="34" t="str">
        <x:v>Feedback-Directed Random Test Generation/Result/Closure_128/result.json</x:v>
      </x:c>
    </x:row>
    <x:row r="1901">
      <x:c r="A1901" s="34" t="str">
        <x:v>randoop</x:v>
      </x:c>
      <x:c r="B1901" s="34" t="str">
        <x:v>Closure</x:v>
      </x:c>
      <x:c r="C1901" s="34" t="str">
        <x:v>Round1</x:v>
      </x:c>
      <x:c r="D1901" s="34" t="str">
        <x:v>Closure_129</x:v>
      </x:c>
      <x:c r="E1901" s="34" t="str">
        <x:v>Line</x:v>
      </x:c>
      <x:c r="F1901" s="34" t="n">
        <x:v>72</x:v>
      </x:c>
      <x:c r="G1901" s="34" t="str">
        <x:v>RECORDED</x:v>
      </x:c>
      <x:c r="H1901" s="38" t="n">
        <x:f>IF(ISNUMBER('Data'!H193),'Data'!H193*100,"")</x:f>
        <x:v>23.61</x:v>
      </x:c>
      <x:c r="I1901" s="34" t="str">
        <x:v>PASS</x:v>
      </x:c>
      <x:c r="J1901" s="34" t="str">
        <x:v>PASS</x:v>
      </x:c>
      <x:c r="K1901" s="34" t="str">
        <x:v>PASS</x:v>
      </x:c>
      <x:c r="L1901" s="34" t="str">
        <x:v>PASS</x:v>
      </x:c>
      <x:c r="M1901" s="34" t="str">
        <x:v>numeric coverage for applicable metric</x:v>
      </x:c>
      <x:c r="N1901" s="34" t="str">
        <x:v>Feedback-Directed Random Test Generation/Result/Closure_129/result.json</x:v>
      </x:c>
      <x:c r="O1901" s="38" t="n">
        <x:f>IF(AND(G1901="RECORDED",ISNUMBER(H1901)),H1901,"")</x:f>
        <x:v>23.61</x:v>
      </x:c>
      <x:c r="P1901" s="34" t="str">
        <x:v>NOT_REVEALING</x:v>
      </x:c>
      <x:c r="Q1901" s="34" t="str">
        <x:v>Feedback-Directed Random Test Generation/Result/Closure_129/result.json</x:v>
      </x:c>
    </x:row>
    <x:row r="1902">
      <x:c r="A1902" s="34" t="str">
        <x:v>randoop</x:v>
      </x:c>
      <x:c r="B1902" s="34" t="str">
        <x:v>Closure</x:v>
      </x:c>
      <x:c r="C1902" s="34" t="str">
        <x:v>Round1</x:v>
      </x:c>
      <x:c r="D1902" s="34" t="str">
        <x:v>Closure_130</x:v>
      </x:c>
      <x:c r="E1902" s="34" t="str">
        <x:v>Line</x:v>
      </x:c>
      <x:c r="F1902" s="34" t="n">
        <x:v>371</x:v>
      </x:c>
      <x:c r="G1902" s="34" t="str">
        <x:v>RECORDED</x:v>
      </x:c>
      <x:c r="H1902" s="38" t="n">
        <x:f>IF(ISNUMBER('Data'!H194),'Data'!H194*100,"")</x:f>
        <x:v>4.58</x:v>
      </x:c>
      <x:c r="I1902" s="34" t="str">
        <x:v>PASS</x:v>
      </x:c>
      <x:c r="J1902" s="34" t="str">
        <x:v>PASS</x:v>
      </x:c>
      <x:c r="K1902" s="34" t="str">
        <x:v>PASS</x:v>
      </x:c>
      <x:c r="L1902" s="34" t="str">
        <x:v>PASS</x:v>
      </x:c>
      <x:c r="M1902" s="34" t="str">
        <x:v>numeric coverage for applicable metric</x:v>
      </x:c>
      <x:c r="N1902" s="34" t="str">
        <x:v>Feedback-Directed Random Test Generation/Result/Closure_130/result.json</x:v>
      </x:c>
      <x:c r="O1902" s="38" t="n">
        <x:f>IF(AND(G1902="RECORDED",ISNUMBER(H1902)),H1902,"")</x:f>
        <x:v>4.58</x:v>
      </x:c>
      <x:c r="P1902" s="34" t="str">
        <x:v>NOT_REVEALING</x:v>
      </x:c>
      <x:c r="Q1902" s="34" t="str">
        <x:v>Feedback-Directed Random Test Generation/Result/Closure_130/result.json</x:v>
      </x:c>
    </x:row>
    <x:row r="1903">
      <x:c r="A1903" s="34" t="str">
        <x:v>randoop</x:v>
      </x:c>
      <x:c r="B1903" s="34" t="str">
        <x:v>Closure</x:v>
      </x:c>
      <x:c r="C1903" s="34" t="str">
        <x:v>Round1</x:v>
      </x:c>
      <x:c r="D1903" s="34" t="str">
        <x:v>Closure_131</x:v>
      </x:c>
      <x:c r="E1903" s="34" t="str">
        <x:v>Line</x:v>
      </x:c>
      <x:c r="F1903" s="34" t="n">
        <x:v>113</x:v>
      </x:c>
      <x:c r="G1903" s="34" t="str">
        <x:v>RECORDED</x:v>
      </x:c>
      <x:c r="H1903" s="38" t="n">
        <x:f>IF(ISNUMBER('Data'!H195),'Data'!H195*100,"")</x:f>
        <x:v>15.039999999999997</x:v>
      </x:c>
      <x:c r="I1903" s="34" t="str">
        <x:v>PASS</x:v>
      </x:c>
      <x:c r="J1903" s="34" t="str">
        <x:v>PASS</x:v>
      </x:c>
      <x:c r="K1903" s="34" t="str">
        <x:v>PASS</x:v>
      </x:c>
      <x:c r="L1903" s="34" t="str">
        <x:v>PASS</x:v>
      </x:c>
      <x:c r="M1903" s="34" t="str">
        <x:v>numeric coverage for applicable metric</x:v>
      </x:c>
      <x:c r="N1903" s="34" t="str">
        <x:v>Feedback-Directed Random Test Generation/Result/Closure_131/result.json</x:v>
      </x:c>
      <x:c r="O1903" s="38" t="n">
        <x:f>IF(AND(G1903="RECORDED",ISNUMBER(H1903)),H1903,"")</x:f>
        <x:v>15.039999999999997</x:v>
      </x:c>
      <x:c r="P1903" s="34" t="str">
        <x:v>NOT_REVEALING</x:v>
      </x:c>
      <x:c r="Q1903" s="34" t="str">
        <x:v>Feedback-Directed Random Test Generation/Result/Closure_131/result.json</x:v>
      </x:c>
    </x:row>
    <x:row r="1904">
      <x:c r="A1904" s="34" t="str">
        <x:v>randoop</x:v>
      </x:c>
      <x:c r="B1904" s="34" t="str">
        <x:v>Closure</x:v>
      </x:c>
      <x:c r="C1904" s="34" t="str">
        <x:v>Round1</x:v>
      </x:c>
      <x:c r="D1904" s="34" t="str">
        <x:v>Closure_132</x:v>
      </x:c>
      <x:c r="E1904" s="34" t="str">
        <x:v>Line</x:v>
      </x:c>
      <x:c r="F1904" s="34" t="n">
        <x:v>757</x:v>
      </x:c>
      <x:c r="G1904" s="34" t="str">
        <x:v>RECORDED</x:v>
      </x:c>
      <x:c r="H1904" s="38" t="n">
        <x:f>IF(ISNUMBER('Data'!H196),'Data'!H196*100,"")</x:f>
        <x:v>3.4300000000000006</x:v>
      </x:c>
      <x:c r="I1904" s="34" t="str">
        <x:v>PASS</x:v>
      </x:c>
      <x:c r="J1904" s="34" t="str">
        <x:v>PASS</x:v>
      </x:c>
      <x:c r="K1904" s="34" t="str">
        <x:v>PASS</x:v>
      </x:c>
      <x:c r="L1904" s="34" t="str">
        <x:v>PASS</x:v>
      </x:c>
      <x:c r="M1904" s="34" t="str">
        <x:v>numeric coverage for applicable metric</x:v>
      </x:c>
      <x:c r="N1904" s="34" t="str">
        <x:v>Feedback-Directed Random Test Generation/Result/Closure_132/result.json</x:v>
      </x:c>
      <x:c r="O1904" s="38" t="n">
        <x:f>IF(AND(G1904="RECORDED",ISNUMBER(H1904)),H1904,"")</x:f>
        <x:v>3.4300000000000006</x:v>
      </x:c>
      <x:c r="P1904" s="34" t="str">
        <x:v>NOT_REVEALING</x:v>
      </x:c>
      <x:c r="Q1904" s="34" t="str">
        <x:v>Feedback-Directed Random Test Generation/Result/Closure_132/result.json</x:v>
      </x:c>
    </x:row>
    <x:row r="1905">
      <x:c r="A1905" s="34" t="str">
        <x:v>randoop</x:v>
      </x:c>
      <x:c r="B1905" s="34" t="str">
        <x:v>Closure</x:v>
      </x:c>
      <x:c r="C1905" s="34" t="str">
        <x:v>Round1</x:v>
      </x:c>
      <x:c r="D1905" s="34" t="str">
        <x:v>Closure_133</x:v>
      </x:c>
      <x:c r="E1905" s="34" t="str">
        <x:v>Line</x:v>
      </x:c>
      <x:c r="F1905" s="34" t="n">
        <x:v>1089</x:v>
      </x:c>
      <x:c r="G1905" s="34" t="str">
        <x:v>RECORDED</x:v>
      </x:c>
      <x:c r="H1905" s="38" t="n">
        <x:f>IF(ISNUMBER('Data'!H197),'Data'!H197*100,"")</x:f>
        <x:v>7.99</x:v>
      </x:c>
      <x:c r="I1905" s="34" t="str">
        <x:v>PASS</x:v>
      </x:c>
      <x:c r="J1905" s="34" t="str">
        <x:v>PASS</x:v>
      </x:c>
      <x:c r="K1905" s="34" t="str">
        <x:v>PASS</x:v>
      </x:c>
      <x:c r="L1905" s="34" t="str">
        <x:v>PASS</x:v>
      </x:c>
      <x:c r="M1905" s="34" t="str">
        <x:v>numeric coverage for applicable metric</x:v>
      </x:c>
      <x:c r="N1905" s="34" t="str">
        <x:v>Feedback-Directed Random Test Generation/Result/Closure_133/result.json</x:v>
      </x:c>
      <x:c r="O1905" s="38" t="n">
        <x:f>IF(AND(G1905="RECORDED",ISNUMBER(H1905)),H1905,"")</x:f>
        <x:v>7.99</x:v>
      </x:c>
      <x:c r="P1905" s="34" t="str">
        <x:v>NOT_REVEALING</x:v>
      </x:c>
      <x:c r="Q1905" s="34" t="str">
        <x:v>Feedback-Directed Random Test Generation/Result/Closure_133/result.json</x:v>
      </x:c>
    </x:row>
    <x:row r="1906">
      <x:c r="A1906" s="34" t="str">
        <x:v>randoop</x:v>
      </x:c>
      <x:c r="B1906" s="34" t="str">
        <x:v>Closure</x:v>
      </x:c>
      <x:c r="C1906" s="34" t="str">
        <x:v>Round1</x:v>
      </x:c>
      <x:c r="D1906" s="34" t="str">
        <x:v>Closure_134</x:v>
      </x:c>
      <x:c r="E1906" s="34" t="str">
        <x:v>Line</x:v>
      </x:c>
      <x:c r="F1906" s="34" t="n">
        <x:v>846</x:v>
      </x:c>
      <x:c r="G1906" s="34" t="str">
        <x:v>RECORDED</x:v>
      </x:c>
      <x:c r="H1906" s="38" t="n">
        <x:f>IF(ISNUMBER('Data'!H198),'Data'!H198*100,"")</x:f>
        <x:v>3.19</x:v>
      </x:c>
      <x:c r="I1906" s="34" t="str">
        <x:v>PASS</x:v>
      </x:c>
      <x:c r="J1906" s="34" t="str">
        <x:v>PASS</x:v>
      </x:c>
      <x:c r="K1906" s="34" t="str">
        <x:v>PASS</x:v>
      </x:c>
      <x:c r="L1906" s="34" t="str">
        <x:v>PASS</x:v>
      </x:c>
      <x:c r="M1906" s="34" t="str">
        <x:v>numeric coverage for applicable metric</x:v>
      </x:c>
      <x:c r="N1906" s="34" t="str">
        <x:v>Feedback-Directed Random Test Generation/Result/Closure_134/result.json</x:v>
      </x:c>
      <x:c r="O1906" s="38" t="n">
        <x:f>IF(AND(G1906="RECORDED",ISNUMBER(H1906)),H1906,"")</x:f>
        <x:v>3.19</x:v>
      </x:c>
      <x:c r="P1906" s="34" t="str">
        <x:v>NOT_REVEALING</x:v>
      </x:c>
      <x:c r="Q1906" s="34" t="str">
        <x:v>Feedback-Directed Random Test Generation/Result/Closure_134/result.json</x:v>
      </x:c>
    </x:row>
    <x:row r="1907">
      <x:c r="A1907" s="34" t="str">
        <x:v>randoop</x:v>
      </x:c>
      <x:c r="B1907" s="34" t="str">
        <x:v>Closure</x:v>
      </x:c>
      <x:c r="C1907" s="34" t="str">
        <x:v>Round1</x:v>
      </x:c>
      <x:c r="D1907" s="34" t="str">
        <x:v>Closure_135</x:v>
      </x:c>
      <x:c r="E1907" s="34" t="str">
        <x:v>Line</x:v>
      </x:c>
      <x:c r="F1907" s="34" t="n">
        <x:v>424</x:v>
      </x:c>
      <x:c r="G1907" s="34" t="str">
        <x:v>RECORDED</x:v>
      </x:c>
      <x:c r="H1907" s="38" t="n">
        <x:f>IF(ISNUMBER('Data'!H199),'Data'!H199*100,"")</x:f>
        <x:v>2.36</x:v>
      </x:c>
      <x:c r="I1907" s="34" t="str">
        <x:v>PASS</x:v>
      </x:c>
      <x:c r="J1907" s="34" t="str">
        <x:v>PASS</x:v>
      </x:c>
      <x:c r="K1907" s="34" t="str">
        <x:v>PASS</x:v>
      </x:c>
      <x:c r="L1907" s="34" t="str">
        <x:v>PASS</x:v>
      </x:c>
      <x:c r="M1907" s="34" t="str">
        <x:v>numeric coverage for applicable metric</x:v>
      </x:c>
      <x:c r="N1907" s="34" t="str">
        <x:v>Feedback-Directed Random Test Generation/Result/Closure_135/result.json</x:v>
      </x:c>
      <x:c r="O1907" s="38" t="n">
        <x:f>IF(AND(G1907="RECORDED",ISNUMBER(H1907)),H1907,"")</x:f>
        <x:v>2.36</x:v>
      </x:c>
      <x:c r="P1907" s="34" t="str">
        <x:v>NOT_REVEALING</x:v>
      </x:c>
      <x:c r="Q1907" s="34" t="str">
        <x:v>Feedback-Directed Random Test Generation/Result/Closure_135/result.json</x:v>
      </x:c>
    </x:row>
    <x:row r="1908">
      <x:c r="A1908" s="34" t="str">
        <x:v>randoop</x:v>
      </x:c>
      <x:c r="B1908" s="34" t="str">
        <x:v>Closure</x:v>
      </x:c>
      <x:c r="C1908" s="34" t="str">
        <x:v>Round1</x:v>
      </x:c>
      <x:c r="D1908" s="34" t="str">
        <x:v>Closure_136</x:v>
      </x:c>
      <x:c r="E1908" s="34" t="str">
        <x:v>Line</x:v>
      </x:c>
      <x:c r="F1908" s="34" t="n">
        <x:v>265</x:v>
      </x:c>
      <x:c r="G1908" s="34" t="str">
        <x:v>RECORDED</x:v>
      </x:c>
      <x:c r="H1908" s="38" t="n">
        <x:f>IF(ISNUMBER('Data'!H200),'Data'!H200*100,"")</x:f>
        <x:v>17.74</x:v>
      </x:c>
      <x:c r="I1908" s="34" t="str">
        <x:v>PASS</x:v>
      </x:c>
      <x:c r="J1908" s="34" t="str">
        <x:v>PASS</x:v>
      </x:c>
      <x:c r="K1908" s="34" t="str">
        <x:v>PASS</x:v>
      </x:c>
      <x:c r="L1908" s="34" t="str">
        <x:v>PASS</x:v>
      </x:c>
      <x:c r="M1908" s="34" t="str">
        <x:v>numeric coverage for applicable metric</x:v>
      </x:c>
      <x:c r="N1908" s="34" t="str">
        <x:v>Feedback-Directed Random Test Generation/Result/Closure_136/result.json</x:v>
      </x:c>
      <x:c r="O1908" s="38" t="n">
        <x:f>IF(AND(G1908="RECORDED",ISNUMBER(H1908)),H1908,"")</x:f>
        <x:v>17.74</x:v>
      </x:c>
      <x:c r="P1908" s="34" t="str">
        <x:v>NOT_REVEALING</x:v>
      </x:c>
      <x:c r="Q1908" s="34" t="str">
        <x:v>Feedback-Directed Random Test Generation/Result/Closure_136/result.json</x:v>
      </x:c>
    </x:row>
    <x:row r="1909">
      <x:c r="A1909" s="34" t="str">
        <x:v>randoop</x:v>
      </x:c>
      <x:c r="B1909" s="34" t="str">
        <x:v>Closure</x:v>
      </x:c>
      <x:c r="C1909" s="34" t="str">
        <x:v>Round1</x:v>
      </x:c>
      <x:c r="D1909" s="34" t="str">
        <x:v>Closure_137</x:v>
      </x:c>
      <x:c r="E1909" s="34" t="str">
        <x:v>Line</x:v>
      </x:c>
      <x:c r="F1909" s="34" t="n">
        <x:v>912</x:v>
      </x:c>
      <x:c r="G1909" s="34" t="str">
        <x:v>RECORDED</x:v>
      </x:c>
      <x:c r="H1909" s="38" t="n">
        <x:f>IF(ISNUMBER('Data'!H201),'Data'!H201*100,"")</x:f>
        <x:v>43.2</x:v>
      </x:c>
      <x:c r="I1909" s="34" t="str">
        <x:v>PASS</x:v>
      </x:c>
      <x:c r="J1909" s="34" t="str">
        <x:v>PASS</x:v>
      </x:c>
      <x:c r="K1909" s="34" t="str">
        <x:v>PASS</x:v>
      </x:c>
      <x:c r="L1909" s="34" t="str">
        <x:v>FAIL</x:v>
      </x:c>
      <x:c r="M1909" s="34" t="str">
        <x:v>numeric coverage for applicable metric</x:v>
      </x:c>
      <x:c r="N1909" s="34" t="str">
        <x:v>Feedback-Directed Random Test Generation/Result/Closure_137/result.json</x:v>
      </x:c>
      <x:c r="O1909" s="38" t="n">
        <x:f>IF(AND(G1909="RECORDED",ISNUMBER(H1909)),H1909,"")</x:f>
        <x:v>43.2</x:v>
      </x:c>
      <x:c r="P1909" s="34" t="str">
        <x:v>INCONCLUSIVE</x:v>
      </x:c>
      <x:c r="Q1909" s="34" t="str">
        <x:v>Feedback-Directed Random Test Generation/Result/Closure_137/result.json</x:v>
      </x:c>
    </x:row>
    <x:row r="1910">
      <x:c r="A1910" s="34" t="str">
        <x:v>randoop</x:v>
      </x:c>
      <x:c r="B1910" s="34" t="str">
        <x:v>Closure</x:v>
      </x:c>
      <x:c r="C1910" s="34" t="str">
        <x:v>Round1</x:v>
      </x:c>
      <x:c r="D1910" s="34" t="str">
        <x:v>Closure_138</x:v>
      </x:c>
      <x:c r="E1910" s="34" t="str">
        <x:v>Line</x:v>
      </x:c>
      <x:c r="F1910" s="34" t="n">
        <x:v>605</x:v>
      </x:c>
      <x:c r="G1910" s="34" t="str">
        <x:v>RECORDED</x:v>
      </x:c>
      <x:c r="H1910" s="38" t="n">
        <x:f>IF(ISNUMBER('Data'!H202),'Data'!H202*100,"")</x:f>
        <x:v>0.17</x:v>
      </x:c>
      <x:c r="I1910" s="34" t="str">
        <x:v>PASS</x:v>
      </x:c>
      <x:c r="J1910" s="34" t="str">
        <x:v>PASS</x:v>
      </x:c>
      <x:c r="K1910" s="34" t="str">
        <x:v>PASS</x:v>
      </x:c>
      <x:c r="L1910" s="34" t="str">
        <x:v>PASS</x:v>
      </x:c>
      <x:c r="M1910" s="34" t="str">
        <x:v>numeric coverage for applicable metric</x:v>
      </x:c>
      <x:c r="N1910" s="34" t="str">
        <x:v>Feedback-Directed Random Test Generation/Result/Closure_138/result.json</x:v>
      </x:c>
      <x:c r="O1910" s="38" t="n">
        <x:f>IF(AND(G1910="RECORDED",ISNUMBER(H1910)),H1910,"")</x:f>
        <x:v>0.17</x:v>
      </x:c>
      <x:c r="P1910" s="34" t="str">
        <x:v>NOT_REVEALING</x:v>
      </x:c>
      <x:c r="Q1910" s="34" t="str">
        <x:v>Feedback-Directed Random Test Generation/Result/Closure_138/result.json</x:v>
      </x:c>
    </x:row>
    <x:row r="1911">
      <x:c r="A1911" s="34" t="str">
        <x:v>randoop</x:v>
      </x:c>
      <x:c r="B1911" s="34" t="str">
        <x:v>Closure</x:v>
      </x:c>
      <x:c r="C1911" s="34" t="str">
        <x:v>Round1</x:v>
      </x:c>
      <x:c r="D1911" s="34" t="str">
        <x:v>Closure_139</x:v>
      </x:c>
      <x:c r="E1911" s="34" t="str">
        <x:v>Line</x:v>
      </x:c>
      <x:c r="F1911" s="34" t="n">
        <x:v>197</x:v>
      </x:c>
      <x:c r="G1911" s="34" t="str">
        <x:v>RECORDED</x:v>
      </x:c>
      <x:c r="H1911" s="38" t="n">
        <x:f>IF(ISNUMBER('Data'!H203),'Data'!H203*100,"")</x:f>
        <x:v>12.689999999999998</x:v>
      </x:c>
      <x:c r="I1911" s="34" t="str">
        <x:v>PASS</x:v>
      </x:c>
      <x:c r="J1911" s="34" t="str">
        <x:v>PASS</x:v>
      </x:c>
      <x:c r="K1911" s="34" t="str">
        <x:v>PASS</x:v>
      </x:c>
      <x:c r="L1911" s="34" t="str">
        <x:v>PASS</x:v>
      </x:c>
      <x:c r="M1911" s="34" t="str">
        <x:v>numeric coverage for applicable metric</x:v>
      </x:c>
      <x:c r="N1911" s="34" t="str">
        <x:v>Feedback-Directed Random Test Generation/Result/Closure_139/result.json</x:v>
      </x:c>
      <x:c r="O1911" s="38" t="n">
        <x:f>IF(AND(G1911="RECORDED",ISNUMBER(H1911)),H1911,"")</x:f>
        <x:v>12.689999999999998</x:v>
      </x:c>
      <x:c r="P1911" s="34" t="str">
        <x:v>NOT_REVEALING</x:v>
      </x:c>
      <x:c r="Q1911" s="34" t="str">
        <x:v>Feedback-Directed Random Test Generation/Result/Closure_139/result.json</x:v>
      </x:c>
    </x:row>
    <x:row r="1912">
      <x:c r="A1912" s="34" t="str">
        <x:v>randoop</x:v>
      </x:c>
      <x:c r="B1912" s="34" t="str">
        <x:v>Closure</x:v>
      </x:c>
      <x:c r="C1912" s="34" t="str">
        <x:v>Round1</x:v>
      </x:c>
      <x:c r="D1912" s="34" t="str">
        <x:v>Closure_140</x:v>
      </x:c>
      <x:c r="E1912" s="34" t="str">
        <x:v>Line</x:v>
      </x:c>
      <x:c r="F1912" s="34" t="n">
        <x:v>657</x:v>
      </x:c>
      <x:c r="G1912" s="34" t="str">
        <x:v>RECORDED</x:v>
      </x:c>
      <x:c r="H1912" s="38" t="n">
        <x:f>IF(ISNUMBER('Data'!H204),'Data'!H204*100,"")</x:f>
        <x:v>45.51</x:v>
      </x:c>
      <x:c r="I1912" s="34" t="str">
        <x:v>PASS</x:v>
      </x:c>
      <x:c r="J1912" s="34" t="str">
        <x:v>PASS</x:v>
      </x:c>
      <x:c r="K1912" s="34" t="str">
        <x:v>PASS</x:v>
      </x:c>
      <x:c r="L1912" s="34" t="str">
        <x:v>FAIL</x:v>
      </x:c>
      <x:c r="M1912" s="34" t="str">
        <x:v>numeric coverage for applicable metric</x:v>
      </x:c>
      <x:c r="N1912" s="34" t="str">
        <x:v>Feedback-Directed Random Test Generation/Result/Closure_140/result.json</x:v>
      </x:c>
      <x:c r="O1912" s="38" t="n">
        <x:f>IF(AND(G1912="RECORDED",ISNUMBER(H1912)),H1912,"")</x:f>
        <x:v>45.51</x:v>
      </x:c>
      <x:c r="P1912" s="34" t="str">
        <x:v>INCONCLUSIVE</x:v>
      </x:c>
      <x:c r="Q1912" s="34" t="str">
        <x:v>Feedback-Directed Random Test Generation/Result/Closure_140/result.json</x:v>
      </x:c>
    </x:row>
    <x:row r="1913">
      <x:c r="A1913" s="34" t="str">
        <x:v>randoop</x:v>
      </x:c>
      <x:c r="B1913" s="34" t="str">
        <x:v>Closure</x:v>
      </x:c>
      <x:c r="C1913" s="34" t="str">
        <x:v>Round1</x:v>
      </x:c>
      <x:c r="D1913" s="34" t="str">
        <x:v>Closure_141</x:v>
      </x:c>
      <x:c r="E1913" s="34" t="str">
        <x:v>Line</x:v>
      </x:c>
      <x:c r="F1913" s="34" t="n">
        <x:v>832</x:v>
      </x:c>
      <x:c r="G1913" s="34" t="str">
        <x:v>RECORDED</x:v>
      </x:c>
      <x:c r="H1913" s="38" t="n">
        <x:f>IF(ISNUMBER('Data'!H205),'Data'!H205*100,"")</x:f>
        <x:v>43.03</x:v>
      </x:c>
      <x:c r="I1913" s="34" t="str">
        <x:v>PASS</x:v>
      </x:c>
      <x:c r="J1913" s="34" t="str">
        <x:v>PASS</x:v>
      </x:c>
      <x:c r="K1913" s="34" t="str">
        <x:v>PASS</x:v>
      </x:c>
      <x:c r="L1913" s="34" t="str">
        <x:v>FAIL</x:v>
      </x:c>
      <x:c r="M1913" s="34" t="str">
        <x:v>numeric coverage for applicable metric</x:v>
      </x:c>
      <x:c r="N1913" s="34" t="str">
        <x:v>Feedback-Directed Random Test Generation/Result/Closure_141/result.json</x:v>
      </x:c>
      <x:c r="O1913" s="38" t="n">
        <x:f>IF(AND(G1913="RECORDED",ISNUMBER(H1913)),H1913,"")</x:f>
        <x:v>43.03</x:v>
      </x:c>
      <x:c r="P1913" s="34" t="str">
        <x:v>INCONCLUSIVE</x:v>
      </x:c>
      <x:c r="Q1913" s="34" t="str">
        <x:v>Feedback-Directed Random Test Generation/Result/Closure_141/result.json</x:v>
      </x:c>
    </x:row>
    <x:row r="1914">
      <x:c r="A1914" s="34" t="str">
        <x:v>randoop</x:v>
      </x:c>
      <x:c r="B1914" s="34" t="str">
        <x:v>Closure</x:v>
      </x:c>
      <x:c r="C1914" s="34" t="str">
        <x:v>Round1</x:v>
      </x:c>
      <x:c r="D1914" s="34" t="str">
        <x:v>Closure_142</x:v>
      </x:c>
      <x:c r="E1914" s="34" t="str">
        <x:v>Line</x:v>
      </x:c>
      <x:c r="F1914" s="34" t="n">
        <x:v>1039</x:v>
      </x:c>
      <x:c r="G1914" s="34" t="str">
        <x:v>RECORDED</x:v>
      </x:c>
      <x:c r="H1914" s="38" t="n">
        <x:f>IF(ISNUMBER('Data'!H206),'Data'!H206*100,"")</x:f>
        <x:v>7.31</x:v>
      </x:c>
      <x:c r="I1914" s="34" t="str">
        <x:v>PASS</x:v>
      </x:c>
      <x:c r="J1914" s="34" t="str">
        <x:v>PASS</x:v>
      </x:c>
      <x:c r="K1914" s="34" t="str">
        <x:v>PASS</x:v>
      </x:c>
      <x:c r="L1914" s="34" t="str">
        <x:v>PASS</x:v>
      </x:c>
      <x:c r="M1914" s="34" t="str">
        <x:v>numeric coverage for applicable metric</x:v>
      </x:c>
      <x:c r="N1914" s="34" t="str">
        <x:v>Feedback-Directed Random Test Generation/Result/Closure_142/result.json</x:v>
      </x:c>
      <x:c r="O1914" s="38" t="n">
        <x:f>IF(AND(G1914="RECORDED",ISNUMBER(H1914)),H1914,"")</x:f>
        <x:v>7.31</x:v>
      </x:c>
      <x:c r="P1914" s="34" t="str">
        <x:v>NOT_REVEALING</x:v>
      </x:c>
      <x:c r="Q1914" s="34" t="str">
        <x:v>Feedback-Directed Random Test Generation/Result/Closure_142/result.json</x:v>
      </x:c>
    </x:row>
    <x:row r="1915">
      <x:c r="A1915" s="34" t="str">
        <x:v>randoop</x:v>
      </x:c>
      <x:c r="B1915" s="34" t="str">
        <x:v>Closure</x:v>
      </x:c>
      <x:c r="C1915" s="34" t="str">
        <x:v>Round1</x:v>
      </x:c>
      <x:c r="D1915" s="34" t="str">
        <x:v>Closure_143</x:v>
      </x:c>
      <x:c r="E1915" s="34" t="str">
        <x:v>Line</x:v>
      </x:c>
      <x:c r="F1915" s="34" t="n">
        <x:v>502</x:v>
      </x:c>
      <x:c r="G1915" s="34" t="str">
        <x:v>RECORDED</x:v>
      </x:c>
      <x:c r="H1915" s="38" t="n">
        <x:f>IF(ISNUMBER('Data'!H207),'Data'!H207*100,"")</x:f>
        <x:v>29.68</x:v>
      </x:c>
      <x:c r="I1915" s="34" t="str">
        <x:v>PASS</x:v>
      </x:c>
      <x:c r="J1915" s="34" t="str">
        <x:v>PASS</x:v>
      </x:c>
      <x:c r="K1915" s="34" t="str">
        <x:v>PASS</x:v>
      </x:c>
      <x:c r="L1915" s="34" t="str">
        <x:v>PASS</x:v>
      </x:c>
      <x:c r="M1915" s="34" t="str">
        <x:v>numeric coverage for applicable metric</x:v>
      </x:c>
      <x:c r="N1915" s="34" t="str">
        <x:v>Feedback-Directed Random Test Generation/Result/Closure_143/result.json</x:v>
      </x:c>
      <x:c r="O1915" s="38" t="n">
        <x:f>IF(AND(G1915="RECORDED",ISNUMBER(H1915)),H1915,"")</x:f>
        <x:v>29.68</x:v>
      </x:c>
      <x:c r="P1915" s="34" t="str">
        <x:v>NOT_REVEALING</x:v>
      </x:c>
      <x:c r="Q1915" s="34" t="str">
        <x:v>Feedback-Directed Random Test Generation/Result/Closure_143/result.json</x:v>
      </x:c>
    </x:row>
    <x:row r="1916">
      <x:c r="A1916" s="34" t="str">
        <x:v>randoop</x:v>
      </x:c>
      <x:c r="B1916" s="34" t="str">
        <x:v>Closure</x:v>
      </x:c>
      <x:c r="C1916" s="34" t="str">
        <x:v>Round1</x:v>
      </x:c>
      <x:c r="D1916" s="34" t="str">
        <x:v>Closure_144</x:v>
      </x:c>
      <x:c r="E1916" s="34" t="str">
        <x:v>Line</x:v>
      </x:c>
      <x:c r="F1916" s="34" t="n">
        <x:v>1221</x:v>
      </x:c>
      <x:c r="G1916" s="34" t="str">
        <x:v>RECORDED</x:v>
      </x:c>
      <x:c r="H1916" s="38" t="n">
        <x:f>IF(ISNUMBER('Data'!H208),'Data'!H208*100,"")</x:f>
        <x:v>5.32</x:v>
      </x:c>
      <x:c r="I1916" s="34" t="str">
        <x:v>PASS</x:v>
      </x:c>
      <x:c r="J1916" s="34" t="str">
        <x:v>PASS</x:v>
      </x:c>
      <x:c r="K1916" s="34" t="str">
        <x:v>PASS</x:v>
      </x:c>
      <x:c r="L1916" s="34" t="str">
        <x:v>PASS</x:v>
      </x:c>
      <x:c r="M1916" s="34" t="str">
        <x:v>numeric coverage for applicable metric</x:v>
      </x:c>
      <x:c r="N1916" s="34" t="str">
        <x:v>Feedback-Directed Random Test Generation/Result/Closure_144/result.json</x:v>
      </x:c>
      <x:c r="O1916" s="38" t="n">
        <x:f>IF(AND(G1916="RECORDED",ISNUMBER(H1916)),H1916,"")</x:f>
        <x:v>5.32</x:v>
      </x:c>
      <x:c r="P1916" s="34" t="str">
        <x:v>NOT_REVEALING</x:v>
      </x:c>
      <x:c r="Q1916" s="34" t="str">
        <x:v>Feedback-Directed Random Test Generation/Result/Closure_144/result.json</x:v>
      </x:c>
    </x:row>
    <x:row r="1917">
      <x:c r="A1917" s="34" t="str">
        <x:v>randoop</x:v>
      </x:c>
      <x:c r="B1917" s="34" t="str">
        <x:v>Closure</x:v>
      </x:c>
      <x:c r="C1917" s="34" t="str">
        <x:v>Round1</x:v>
      </x:c>
      <x:c r="D1917" s="34" t="str">
        <x:v>Closure_145</x:v>
      </x:c>
      <x:c r="E1917" s="34" t="str">
        <x:v>Line</x:v>
      </x:c>
      <x:c r="F1917" s="34" t="n">
        <x:v>513</x:v>
      </x:c>
      <x:c r="G1917" s="34" t="str">
        <x:v>RECORDED</x:v>
      </x:c>
      <x:c r="H1917" s="38" t="n">
        <x:f>IF(ISNUMBER('Data'!H209),'Data'!H209*100,"")</x:f>
        <x:v>12.67</x:v>
      </x:c>
      <x:c r="I1917" s="34" t="str">
        <x:v>PASS</x:v>
      </x:c>
      <x:c r="J1917" s="34" t="str">
        <x:v>PASS</x:v>
      </x:c>
      <x:c r="K1917" s="34" t="str">
        <x:v>PASS</x:v>
      </x:c>
      <x:c r="L1917" s="34" t="str">
        <x:v>PASS</x:v>
      </x:c>
      <x:c r="M1917" s="34" t="str">
        <x:v>numeric coverage for applicable metric</x:v>
      </x:c>
      <x:c r="N1917" s="34" t="str">
        <x:v>Feedback-Directed Random Test Generation/Result/Closure_145/result.json</x:v>
      </x:c>
      <x:c r="O1917" s="38" t="n">
        <x:f>IF(AND(G1917="RECORDED",ISNUMBER(H1917)),H1917,"")</x:f>
        <x:v>12.67</x:v>
      </x:c>
      <x:c r="P1917" s="34" t="str">
        <x:v>NOT_REVEALING</x:v>
      </x:c>
      <x:c r="Q1917" s="34" t="str">
        <x:v>Feedback-Directed Random Test Generation/Result/Closure_145/result.json</x:v>
      </x:c>
    </x:row>
    <x:row r="1918">
      <x:c r="A1918" s="34" t="str">
        <x:v>randoop</x:v>
      </x:c>
      <x:c r="B1918" s="34" t="str">
        <x:v>Closure</x:v>
      </x:c>
      <x:c r="C1918" s="34" t="str">
        <x:v>Round1</x:v>
      </x:c>
      <x:c r="D1918" s="34" t="str">
        <x:v>Closure_146</x:v>
      </x:c>
      <x:c r="E1918" s="34" t="str">
        <x:v>Line</x:v>
      </x:c>
      <x:c r="F1918" s="34" t="n">
        <x:v>190</x:v>
      </x:c>
      <x:c r="G1918" s="34" t="str">
        <x:v>RECORDED</x:v>
      </x:c>
      <x:c r="H1918" s="38" t="n">
        <x:f>IF(ISNUMBER('Data'!H210),'Data'!H210*100,"")</x:f>
        <x:v>4.74</x:v>
      </x:c>
      <x:c r="I1918" s="34" t="str">
        <x:v>PASS</x:v>
      </x:c>
      <x:c r="J1918" s="34" t="str">
        <x:v>PASS</x:v>
      </x:c>
      <x:c r="K1918" s="34" t="str">
        <x:v>PASS</x:v>
      </x:c>
      <x:c r="L1918" s="34" t="str">
        <x:v>PASS</x:v>
      </x:c>
      <x:c r="M1918" s="34" t="str">
        <x:v>numeric coverage for applicable metric</x:v>
      </x:c>
      <x:c r="N1918" s="34" t="str">
        <x:v>Feedback-Directed Random Test Generation/Result/Closure_146/result.json</x:v>
      </x:c>
      <x:c r="O1918" s="38" t="n">
        <x:f>IF(AND(G1918="RECORDED",ISNUMBER(H1918)),H1918,"")</x:f>
        <x:v>4.74</x:v>
      </x:c>
      <x:c r="P1918" s="34" t="str">
        <x:v>NOT_REVEALING</x:v>
      </x:c>
      <x:c r="Q1918" s="34" t="str">
        <x:v>Feedback-Directed Random Test Generation/Result/Closure_146/result.json</x:v>
      </x:c>
    </x:row>
    <x:row r="1919">
      <x:c r="A1919" s="34" t="str">
        <x:v>randoop</x:v>
      </x:c>
      <x:c r="B1919" s="34" t="str">
        <x:v>Closure</x:v>
      </x:c>
      <x:c r="C1919" s="34" t="str">
        <x:v>Round1</x:v>
      </x:c>
      <x:c r="D1919" s="34" t="str">
        <x:v>Closure_147</x:v>
      </x:c>
      <x:c r="E1919" s="34" t="str">
        <x:v>Line</x:v>
      </x:c>
      <x:c r="F1919" s="34" t="n">
        <x:v>212</x:v>
      </x:c>
      <x:c r="G1919" s="34" t="str">
        <x:v>RECORDED</x:v>
      </x:c>
      <x:c r="H1919" s="38" t="n">
        <x:f>IF(ISNUMBER('Data'!H211),'Data'!H211*100,"")</x:f>
        <x:v>11.79</x:v>
      </x:c>
      <x:c r="I1919" s="34" t="str">
        <x:v>PASS</x:v>
      </x:c>
      <x:c r="J1919" s="34" t="str">
        <x:v>PASS</x:v>
      </x:c>
      <x:c r="K1919" s="34" t="str">
        <x:v>PASS</x:v>
      </x:c>
      <x:c r="L1919" s="34" t="str">
        <x:v>PASS</x:v>
      </x:c>
      <x:c r="M1919" s="34" t="str">
        <x:v>numeric coverage for applicable metric</x:v>
      </x:c>
      <x:c r="N1919" s="34" t="str">
        <x:v>Feedback-Directed Random Test Generation/Result/Closure_147/result.json</x:v>
      </x:c>
      <x:c r="O1919" s="38" t="n">
        <x:f>IF(AND(G1919="RECORDED",ISNUMBER(H1919)),H1919,"")</x:f>
        <x:v>11.79</x:v>
      </x:c>
      <x:c r="P1919" s="34" t="str">
        <x:v>NOT_REVEALING</x:v>
      </x:c>
      <x:c r="Q1919" s="34" t="str">
        <x:v>Feedback-Directed Random Test Generation/Result/Closure_147/result.json</x:v>
      </x:c>
    </x:row>
    <x:row r="1920">
      <x:c r="A1920" s="34" t="str">
        <x:v>randoop</x:v>
      </x:c>
      <x:c r="B1920" s="34" t="str">
        <x:v>Closure</x:v>
      </x:c>
      <x:c r="C1920" s="34" t="str">
        <x:v>Round1</x:v>
      </x:c>
      <x:c r="D1920" s="34" t="str">
        <x:v>Closure_148</x:v>
      </x:c>
      <x:c r="E1920" s="34" t="str">
        <x:v>Line</x:v>
      </x:c>
      <x:c r="F1920" s="34" t="n">
        <x:v>705</x:v>
      </x:c>
      <x:c r="G1920" s="34" t="str">
        <x:v>RECORDED</x:v>
      </x:c>
      <x:c r="H1920" s="38" t="n">
        <x:f>IF(ISNUMBER('Data'!H212),'Data'!H212*100,"")</x:f>
        <x:v>5.82</x:v>
      </x:c>
      <x:c r="I1920" s="34" t="str">
        <x:v>PASS</x:v>
      </x:c>
      <x:c r="J1920" s="34" t="str">
        <x:v>PASS</x:v>
      </x:c>
      <x:c r="K1920" s="34" t="str">
        <x:v>PASS</x:v>
      </x:c>
      <x:c r="L1920" s="34" t="str">
        <x:v>PASS</x:v>
      </x:c>
      <x:c r="M1920" s="34" t="str">
        <x:v>numeric coverage for applicable metric</x:v>
      </x:c>
      <x:c r="N1920" s="34" t="str">
        <x:v>Feedback-Directed Random Test Generation/Result/Closure_148/result.json</x:v>
      </x:c>
      <x:c r="O1920" s="38" t="n">
        <x:f>IF(AND(G1920="RECORDED",ISNUMBER(H1920)),H1920,"")</x:f>
        <x:v>5.82</x:v>
      </x:c>
      <x:c r="P1920" s="34" t="str">
        <x:v>NOT_AVAILABLE</x:v>
      </x:c>
      <x:c r="Q1920" s="34" t="str">
        <x:v>Feedback-Directed Random Test Generation/Result/Closure_148/result.json</x:v>
      </x:c>
    </x:row>
    <x:row r="1921">
      <x:c r="A1921" s="34" t="str">
        <x:v>randoop</x:v>
      </x:c>
      <x:c r="B1921" s="34" t="str">
        <x:v>Closure</x:v>
      </x:c>
      <x:c r="C1921" s="34" t="str">
        <x:v>Round1</x:v>
      </x:c>
      <x:c r="D1921" s="34" t="str">
        <x:v>Closure_149</x:v>
      </x:c>
      <x:c r="E1921" s="34" t="str">
        <x:v>Line</x:v>
      </x:c>
      <x:c r="F1921" s="34" t="n">
        <x:v>1661</x:v>
      </x:c>
      <x:c r="G1921" s="34" t="str">
        <x:v>RECORDED</x:v>
      </x:c>
      <x:c r="H1921" s="38" t="n">
        <x:f>IF(ISNUMBER('Data'!H213),'Data'!H213*100,"")</x:f>
        <x:v>3.1300000000000003</x:v>
      </x:c>
      <x:c r="I1921" s="34" t="str">
        <x:v>PASS</x:v>
      </x:c>
      <x:c r="J1921" s="34" t="str">
        <x:v>PASS</x:v>
      </x:c>
      <x:c r="K1921" s="34" t="str">
        <x:v>PASS</x:v>
      </x:c>
      <x:c r="L1921" s="34" t="str">
        <x:v>FAIL</x:v>
      </x:c>
      <x:c r="M1921" s="34" t="str">
        <x:v>numeric coverage for applicable metric</x:v>
      </x:c>
      <x:c r="N1921" s="34" t="str">
        <x:v>Feedback-Directed Random Test Generation/Result/Closure_149/result.json</x:v>
      </x:c>
      <x:c r="O1921" s="38" t="n">
        <x:f>IF(AND(G1921="RECORDED",ISNUMBER(H1921)),H1921,"")</x:f>
        <x:v>3.1300000000000003</x:v>
      </x:c>
      <x:c r="P1921" s="34" t="str">
        <x:v>INCONCLUSIVE</x:v>
      </x:c>
      <x:c r="Q1921" s="34" t="str">
        <x:v>Feedback-Directed Random Test Generation/Result/Closure_149/result.json</x:v>
      </x:c>
    </x:row>
    <x:row r="1922">
      <x:c r="A1922" s="34" t="str">
        <x:v>randoop</x:v>
      </x:c>
      <x:c r="B1922" s="34" t="str">
        <x:v>Closure</x:v>
      </x:c>
      <x:c r="C1922" s="34" t="str">
        <x:v>Round1</x:v>
      </x:c>
      <x:c r="D1922" s="34" t="str">
        <x:v>Closure_150</x:v>
      </x:c>
      <x:c r="E1922" s="34" t="str">
        <x:v>Line</x:v>
      </x:c>
      <x:c r="F1922" s="34" t="n">
        <x:v>660</x:v>
      </x:c>
      <x:c r="G1922" s="34" t="str">
        <x:v>RECORDED</x:v>
      </x:c>
      <x:c r="H1922" s="38" t="n">
        <x:f>IF(ISNUMBER('Data'!H214),'Data'!H214*100,"")</x:f>
        <x:v>1.67</x:v>
      </x:c>
      <x:c r="I1922" s="34" t="str">
        <x:v>PASS</x:v>
      </x:c>
      <x:c r="J1922" s="34" t="str">
        <x:v>PASS</x:v>
      </x:c>
      <x:c r="K1922" s="34" t="str">
        <x:v>PASS</x:v>
      </x:c>
      <x:c r="L1922" s="34" t="str">
        <x:v>PASS</x:v>
      </x:c>
      <x:c r="M1922" s="34" t="str">
        <x:v>numeric coverage for applicable metric</x:v>
      </x:c>
      <x:c r="N1922" s="34" t="str">
        <x:v>Feedback-Directed Random Test Generation/Result/Closure_150/result.json</x:v>
      </x:c>
      <x:c r="O1922" s="38" t="n">
        <x:f>IF(AND(G1922="RECORDED",ISNUMBER(H1922)),H1922,"")</x:f>
        <x:v>1.67</x:v>
      </x:c>
      <x:c r="P1922" s="34" t="str">
        <x:v>NOT_REVEALING</x:v>
      </x:c>
      <x:c r="Q1922" s="34" t="str">
        <x:v>Feedback-Directed Random Test Generation/Result/Closure_150/result.json</x:v>
      </x:c>
    </x:row>
    <x:row r="1923">
      <x:c r="A1923" s="34" t="str">
        <x:v>randoop</x:v>
      </x:c>
      <x:c r="B1923" s="34" t="str">
        <x:v>Closure</x:v>
      </x:c>
      <x:c r="C1923" s="34" t="str">
        <x:v>Round1</x:v>
      </x:c>
      <x:c r="D1923" s="34" t="str">
        <x:v>Closure_151</x:v>
      </x:c>
      <x:c r="E1923" s="34" t="str">
        <x:v>Line</x:v>
      </x:c>
      <x:c r="F1923" s="34" t="n">
        <x:v>182</x:v>
      </x:c>
      <x:c r="G1923" s="34" t="str">
        <x:v>RECORDED</x:v>
      </x:c>
      <x:c r="H1923" s="38" t="n">
        <x:f>IF(ISNUMBER('Data'!H215),'Data'!H215*100,"")</x:f>
        <x:v>51.65</x:v>
      </x:c>
      <x:c r="I1923" s="34" t="str">
        <x:v>PASS</x:v>
      </x:c>
      <x:c r="J1923" s="34" t="str">
        <x:v>PASS</x:v>
      </x:c>
      <x:c r="K1923" s="34" t="str">
        <x:v>PASS</x:v>
      </x:c>
      <x:c r="L1923" s="34" t="str">
        <x:v>FAIL</x:v>
      </x:c>
      <x:c r="M1923" s="34" t="str">
        <x:v>numeric coverage for applicable metric</x:v>
      </x:c>
      <x:c r="N1923" s="34" t="str">
        <x:v>Feedback-Directed Random Test Generation/Result/Closure_151/result.json</x:v>
      </x:c>
      <x:c r="O1923" s="38" t="n">
        <x:f>IF(AND(G1923="RECORDED",ISNUMBER(H1923)),H1923,"")</x:f>
        <x:v>51.65</x:v>
      </x:c>
      <x:c r="P1923" s="34" t="str">
        <x:v>INCONCLUSIVE</x:v>
      </x:c>
      <x:c r="Q1923" s="34" t="str">
        <x:v>Feedback-Directed Random Test Generation/Result/Closure_151/result.json</x:v>
      </x:c>
    </x:row>
    <x:row r="1924">
      <x:c r="A1924" s="34" t="str">
        <x:v>randoop</x:v>
      </x:c>
      <x:c r="B1924" s="34" t="str">
        <x:v>Closure</x:v>
      </x:c>
      <x:c r="C1924" s="34" t="str">
        <x:v>Round1</x:v>
      </x:c>
      <x:c r="D1924" s="34" t="str">
        <x:v>Closure_152</x:v>
      </x:c>
      <x:c r="E1924" s="34" t="str">
        <x:v>Line</x:v>
      </x:c>
      <x:c r="F1924" s="34" t="n">
        <x:v>351</x:v>
      </x:c>
      <x:c r="G1924" s="34" t="str">
        <x:v>RECORDED</x:v>
      </x:c>
      <x:c r="H1924" s="38" t="n">
        <x:f>IF(ISNUMBER('Data'!H216),'Data'!H216*100,"")</x:f>
        <x:v>1.42</x:v>
      </x:c>
      <x:c r="I1924" s="34" t="str">
        <x:v>PASS</x:v>
      </x:c>
      <x:c r="J1924" s="34" t="str">
        <x:v>PASS</x:v>
      </x:c>
      <x:c r="K1924" s="34" t="str">
        <x:v>PASS</x:v>
      </x:c>
      <x:c r="L1924" s="34" t="str">
        <x:v>PASS</x:v>
      </x:c>
      <x:c r="M1924" s="34" t="str">
        <x:v>numeric coverage for applicable metric</x:v>
      </x:c>
      <x:c r="N1924" s="34" t="str">
        <x:v>Feedback-Directed Random Test Generation/Result/Closure_152/result.json</x:v>
      </x:c>
      <x:c r="O1924" s="38" t="n">
        <x:f>IF(AND(G1924="RECORDED",ISNUMBER(H1924)),H1924,"")</x:f>
        <x:v>1.42</x:v>
      </x:c>
      <x:c r="P1924" s="34" t="str">
        <x:v>NOT_REVEALING</x:v>
      </x:c>
      <x:c r="Q1924" s="34" t="str">
        <x:v>Feedback-Directed Random Test Generation/Result/Closure_152/result.json</x:v>
      </x:c>
    </x:row>
    <x:row r="1925">
      <x:c r="A1925" s="34" t="str">
        <x:v>randoop</x:v>
      </x:c>
      <x:c r="B1925" s="34" t="str">
        <x:v>Closure</x:v>
      </x:c>
      <x:c r="C1925" s="34" t="str">
        <x:v>Round1</x:v>
      </x:c>
      <x:c r="D1925" s="34" t="str">
        <x:v>Closure_153</x:v>
      </x:c>
      <x:c r="E1925" s="34" t="str">
        <x:v>Line</x:v>
      </x:c>
      <x:c r="F1925" s="34" t="n">
        <x:v>376</x:v>
      </x:c>
      <x:c r="G1925" s="34" t="str">
        <x:v>RECORDED</x:v>
      </x:c>
      <x:c r="H1925" s="38" t="n">
        <x:f>IF(ISNUMBER('Data'!H217),'Data'!H217*100,"")</x:f>
        <x:v>11.97</x:v>
      </x:c>
      <x:c r="I1925" s="34" t="str">
        <x:v>PASS</x:v>
      </x:c>
      <x:c r="J1925" s="34" t="str">
        <x:v>PASS</x:v>
      </x:c>
      <x:c r="K1925" s="34" t="str">
        <x:v>PASS</x:v>
      </x:c>
      <x:c r="L1925" s="34" t="str">
        <x:v>PASS</x:v>
      </x:c>
      <x:c r="M1925" s="34" t="str">
        <x:v>numeric coverage for applicable metric</x:v>
      </x:c>
      <x:c r="N1925" s="34" t="str">
        <x:v>Feedback-Directed Random Test Generation/Result/Closure_153/result.json</x:v>
      </x:c>
      <x:c r="O1925" s="38" t="n">
        <x:f>IF(AND(G1925="RECORDED",ISNUMBER(H1925)),H1925,"")</x:f>
        <x:v>11.97</x:v>
      </x:c>
      <x:c r="P1925" s="34" t="str">
        <x:v>NOT_REVEALING</x:v>
      </x:c>
      <x:c r="Q1925" s="34" t="str">
        <x:v>Feedback-Directed Random Test Generation/Result/Closure_153/result.json</x:v>
      </x:c>
    </x:row>
    <x:row r="1926">
      <x:c r="A1926" s="34" t="str">
        <x:v>randoop</x:v>
      </x:c>
      <x:c r="B1926" s="34" t="str">
        <x:v>Closure</x:v>
      </x:c>
      <x:c r="C1926" s="34" t="str">
        <x:v>Round1</x:v>
      </x:c>
      <x:c r="D1926" s="34" t="str">
        <x:v>Closure_154</x:v>
      </x:c>
      <x:c r="E1926" s="34" t="str">
        <x:v>Line</x:v>
      </x:c>
      <x:c r="F1926" s="34" t="n">
        <x:v>967</x:v>
      </x:c>
      <x:c r="G1926" s="34" t="str">
        <x:v>RECORDED</x:v>
      </x:c>
      <x:c r="H1926" s="38" t="n">
        <x:f>IF(ISNUMBER('Data'!H218),'Data'!H218*100,"")</x:f>
        <x:v>8.58</x:v>
      </x:c>
      <x:c r="I1926" s="34" t="str">
        <x:v>PASS</x:v>
      </x:c>
      <x:c r="J1926" s="34" t="str">
        <x:v>PASS</x:v>
      </x:c>
      <x:c r="K1926" s="34" t="str">
        <x:v>PASS</x:v>
      </x:c>
      <x:c r="L1926" s="34" t="str">
        <x:v>PASS</x:v>
      </x:c>
      <x:c r="M1926" s="34" t="str">
        <x:v>numeric coverage for applicable metric</x:v>
      </x:c>
      <x:c r="N1926" s="34" t="str">
        <x:v>Feedback-Directed Random Test Generation/Result/Closure_154/result.json</x:v>
      </x:c>
      <x:c r="O1926" s="38" t="n">
        <x:f>IF(AND(G1926="RECORDED",ISNUMBER(H1926)),H1926,"")</x:f>
        <x:v>8.58</x:v>
      </x:c>
      <x:c r="P1926" s="34" t="str">
        <x:v>NOT_AVAILABLE</x:v>
      </x:c>
      <x:c r="Q1926" s="34" t="str">
        <x:v>Feedback-Directed Random Test Generation/Result/Closure_154/result.json</x:v>
      </x:c>
    </x:row>
    <x:row r="1927">
      <x:c r="A1927" s="34" t="str">
        <x:v>randoop</x:v>
      </x:c>
      <x:c r="B1927" s="34" t="str">
        <x:v>Closure</x:v>
      </x:c>
      <x:c r="C1927" s="34" t="str">
        <x:v>Round1</x:v>
      </x:c>
      <x:c r="D1927" s="34" t="str">
        <x:v>Closure_155</x:v>
      </x:c>
      <x:c r="E1927" s="34" t="str">
        <x:v>Line</x:v>
      </x:c>
      <x:c r="F1927" s="34" t="n">
        <x:v>569</x:v>
      </x:c>
      <x:c r="G1927" s="34" t="str">
        <x:v>RECORDED</x:v>
      </x:c>
      <x:c r="H1927" s="38" t="n">
        <x:f>IF(ISNUMBER('Data'!H219),'Data'!H219*100,"")</x:f>
        <x:v>26.19</x:v>
      </x:c>
      <x:c r="I1927" s="34" t="str">
        <x:v>PASS</x:v>
      </x:c>
      <x:c r="J1927" s="34" t="str">
        <x:v>PASS</x:v>
      </x:c>
      <x:c r="K1927" s="34" t="str">
        <x:v>PASS</x:v>
      </x:c>
      <x:c r="L1927" s="34" t="str">
        <x:v>FAIL</x:v>
      </x:c>
      <x:c r="M1927" s="34" t="str">
        <x:v>numeric coverage for applicable metric</x:v>
      </x:c>
      <x:c r="N1927" s="34" t="str">
        <x:v>Feedback-Directed Random Test Generation/Result/Closure_155/result.json</x:v>
      </x:c>
      <x:c r="O1927" s="38" t="n">
        <x:f>IF(AND(G1927="RECORDED",ISNUMBER(H1927)),H1927,"")</x:f>
        <x:v>26.19</x:v>
      </x:c>
      <x:c r="P1927" s="34" t="str">
        <x:v>INCONCLUSIVE</x:v>
      </x:c>
      <x:c r="Q1927" s="34" t="str">
        <x:v>Feedback-Directed Random Test Generation/Result/Closure_155/result.json</x:v>
      </x:c>
    </x:row>
    <x:row r="1928">
      <x:c r="A1928" s="34" t="str">
        <x:v>randoop</x:v>
      </x:c>
      <x:c r="B1928" s="34" t="str">
        <x:v>Closure</x:v>
      </x:c>
      <x:c r="C1928" s="34" t="str">
        <x:v>Round1</x:v>
      </x:c>
      <x:c r="D1928" s="34" t="str">
        <x:v>Closure_156</x:v>
      </x:c>
      <x:c r="E1928" s="34" t="str">
        <x:v>Line</x:v>
      </x:c>
      <x:c r="F1928" s="34" t="n">
        <x:v>335</x:v>
      </x:c>
      <x:c r="G1928" s="34" t="str">
        <x:v>RECORDED</x:v>
      </x:c>
      <x:c r="H1928" s="38" t="n">
        <x:f>IF(ISNUMBER('Data'!H220),'Data'!H220*100,"")</x:f>
        <x:v>5.07</x:v>
      </x:c>
      <x:c r="I1928" s="34" t="str">
        <x:v>PASS</x:v>
      </x:c>
      <x:c r="J1928" s="34" t="str">
        <x:v>PASS</x:v>
      </x:c>
      <x:c r="K1928" s="34" t="str">
        <x:v>PASS</x:v>
      </x:c>
      <x:c r="L1928" s="34" t="str">
        <x:v>PASS</x:v>
      </x:c>
      <x:c r="M1928" s="34" t="str">
        <x:v>numeric coverage for applicable metric</x:v>
      </x:c>
      <x:c r="N1928" s="34" t="str">
        <x:v>Feedback-Directed Random Test Generation/Result/Closure_156/result.json</x:v>
      </x:c>
      <x:c r="O1928" s="38" t="n">
        <x:f>IF(AND(G1928="RECORDED",ISNUMBER(H1928)),H1928,"")</x:f>
        <x:v>5.07</x:v>
      </x:c>
      <x:c r="P1928" s="34" t="str">
        <x:v>NOT_REVEALING</x:v>
      </x:c>
      <x:c r="Q1928" s="34" t="str">
        <x:v>Feedback-Directed Random Test Generation/Result/Closure_156/result.json</x:v>
      </x:c>
    </x:row>
    <x:row r="1929">
      <x:c r="A1929" s="34" t="str">
        <x:v>randoop</x:v>
      </x:c>
      <x:c r="B1929" s="34" t="str">
        <x:v>Closure</x:v>
      </x:c>
      <x:c r="C1929" s="34" t="str">
        <x:v>Round1</x:v>
      </x:c>
      <x:c r="D1929" s="34" t="str">
        <x:v>Closure_157</x:v>
      </x:c>
      <x:c r="E1929" s="34" t="str">
        <x:v>Line</x:v>
      </x:c>
      <x:c r="F1929" s="34" t="n">
        <x:v>1325</x:v>
      </x:c>
      <x:c r="G1929" s="34" t="str">
        <x:v>RECORDED</x:v>
      </x:c>
      <x:c r="H1929" s="38" t="n">
        <x:f>IF(ISNUMBER('Data'!H221),'Data'!H221*100,"")</x:f>
        <x:v>6.64</x:v>
      </x:c>
      <x:c r="I1929" s="34" t="str">
        <x:v>PASS</x:v>
      </x:c>
      <x:c r="J1929" s="34" t="str">
        <x:v>PASS</x:v>
      </x:c>
      <x:c r="K1929" s="34" t="str">
        <x:v>PASS</x:v>
      </x:c>
      <x:c r="L1929" s="34" t="str">
        <x:v>PASS</x:v>
      </x:c>
      <x:c r="M1929" s="34" t="str">
        <x:v>numeric coverage for applicable metric</x:v>
      </x:c>
      <x:c r="N1929" s="34" t="str">
        <x:v>Feedback-Directed Random Test Generation/Result/Closure_157/result.json</x:v>
      </x:c>
      <x:c r="O1929" s="38" t="n">
        <x:f>IF(AND(G1929="RECORDED",ISNUMBER(H1929)),H1929,"")</x:f>
        <x:v>6.64</x:v>
      </x:c>
      <x:c r="P1929" s="34" t="str">
        <x:v>NOT_REVEALING</x:v>
      </x:c>
      <x:c r="Q1929" s="34" t="str">
        <x:v>Feedback-Directed Random Test Generation/Result/Closure_157/result.json</x:v>
      </x:c>
    </x:row>
    <x:row r="1930">
      <x:c r="A1930" s="34" t="str">
        <x:v>randoop</x:v>
      </x:c>
      <x:c r="B1930" s="34" t="str">
        <x:v>Closure</x:v>
      </x:c>
      <x:c r="C1930" s="34" t="str">
        <x:v>Round1</x:v>
      </x:c>
      <x:c r="D1930" s="34" t="str">
        <x:v>Closure_158</x:v>
      </x:c>
      <x:c r="E1930" s="34" t="str">
        <x:v>Line</x:v>
      </x:c>
      <x:c r="F1930" s="34" t="n">
        <x:v>896</x:v>
      </x:c>
      <x:c r="G1930" s="34" t="str">
        <x:v>RECORDED</x:v>
      </x:c>
      <x:c r="H1930" s="38" t="n">
        <x:f>IF(ISNUMBER('Data'!H222),'Data'!H222*100,"")</x:f>
        <x:v>5.58</x:v>
      </x:c>
      <x:c r="I1930" s="34" t="str">
        <x:v>PASS</x:v>
      </x:c>
      <x:c r="J1930" s="34" t="str">
        <x:v>PASS</x:v>
      </x:c>
      <x:c r="K1930" s="34" t="str">
        <x:v>PASS</x:v>
      </x:c>
      <x:c r="L1930" s="34" t="str">
        <x:v>PASS</x:v>
      </x:c>
      <x:c r="M1930" s="34" t="str">
        <x:v>numeric coverage for applicable metric</x:v>
      </x:c>
      <x:c r="N1930" s="34" t="str">
        <x:v>Feedback-Directed Random Test Generation/Result/Closure_158/result.json</x:v>
      </x:c>
      <x:c r="O1930" s="38" t="n">
        <x:f>IF(AND(G1930="RECORDED",ISNUMBER(H1930)),H1930,"")</x:f>
        <x:v>5.58</x:v>
      </x:c>
      <x:c r="P1930" s="34" t="str">
        <x:v>NOT_REVEALING</x:v>
      </x:c>
      <x:c r="Q1930" s="34" t="str">
        <x:v>Feedback-Directed Random Test Generation/Result/Closure_158/result.json</x:v>
      </x:c>
    </x:row>
    <x:row r="1931">
      <x:c r="A1931" s="34" t="str">
        <x:v>randoop</x:v>
      </x:c>
      <x:c r="B1931" s="34" t="str">
        <x:v>Closure</x:v>
      </x:c>
      <x:c r="C1931" s="34" t="str">
        <x:v>Round1</x:v>
      </x:c>
      <x:c r="D1931" s="34" t="str">
        <x:v>Closure_159</x:v>
      </x:c>
      <x:c r="E1931" s="34" t="str">
        <x:v>Line</x:v>
      </x:c>
      <x:c r="F1931" s="34" t="n">
        <x:v>413</x:v>
      </x:c>
      <x:c r="G1931" s="34" t="str">
        <x:v>RECORDED</x:v>
      </x:c>
      <x:c r="H1931" s="38" t="n">
        <x:f>IF(ISNUMBER('Data'!H223),'Data'!H223*100,"")</x:f>
        <x:v>1.21</x:v>
      </x:c>
      <x:c r="I1931" s="34" t="str">
        <x:v>PASS</x:v>
      </x:c>
      <x:c r="J1931" s="34" t="str">
        <x:v>PASS</x:v>
      </x:c>
      <x:c r="K1931" s="34" t="str">
        <x:v>PASS</x:v>
      </x:c>
      <x:c r="L1931" s="34" t="str">
        <x:v>PASS</x:v>
      </x:c>
      <x:c r="M1931" s="34" t="str">
        <x:v>numeric coverage for applicable metric</x:v>
      </x:c>
      <x:c r="N1931" s="34" t="str">
        <x:v>Feedback-Directed Random Test Generation/Result/Closure_159/result.json</x:v>
      </x:c>
      <x:c r="O1931" s="38" t="n">
        <x:f>IF(AND(G1931="RECORDED",ISNUMBER(H1931)),H1931,"")</x:f>
        <x:v>1.21</x:v>
      </x:c>
      <x:c r="P1931" s="34" t="str">
        <x:v>NOT_REVEALING</x:v>
      </x:c>
      <x:c r="Q1931" s="34" t="str">
        <x:v>Feedback-Directed Random Test Generation/Result/Closure_159/result.json</x:v>
      </x:c>
    </x:row>
    <x:row r="1932">
      <x:c r="A1932" s="34" t="str">
        <x:v>randoop</x:v>
      </x:c>
      <x:c r="B1932" s="34" t="str">
        <x:v>Closure</x:v>
      </x:c>
      <x:c r="C1932" s="34" t="str">
        <x:v>Round1</x:v>
      </x:c>
      <x:c r="D1932" s="34" t="str">
        <x:v>Closure_160</x:v>
      </x:c>
      <x:c r="E1932" s="34" t="str">
        <x:v>Line</x:v>
      </x:c>
      <x:c r="F1932" s="34" t="n">
        <x:v>792</x:v>
      </x:c>
      <x:c r="G1932" s="34" t="str">
        <x:v>RECORDED</x:v>
      </x:c>
      <x:c r="H1932" s="38" t="n">
        <x:f>IF(ISNUMBER('Data'!H224),'Data'!H224*100,"")</x:f>
        <x:v>44.7</x:v>
      </x:c>
      <x:c r="I1932" s="34" t="str">
        <x:v>PASS</x:v>
      </x:c>
      <x:c r="J1932" s="34" t="str">
        <x:v>PASS</x:v>
      </x:c>
      <x:c r="K1932" s="34" t="str">
        <x:v>PASS</x:v>
      </x:c>
      <x:c r="L1932" s="34" t="str">
        <x:v>FAIL</x:v>
      </x:c>
      <x:c r="M1932" s="34" t="str">
        <x:v>numeric coverage for applicable metric</x:v>
      </x:c>
      <x:c r="N1932" s="34" t="str">
        <x:v>Feedback-Directed Random Test Generation/Result/Closure_160/result.json</x:v>
      </x:c>
      <x:c r="O1932" s="38" t="n">
        <x:f>IF(AND(G1932="RECORDED",ISNUMBER(H1932)),H1932,"")</x:f>
        <x:v>44.7</x:v>
      </x:c>
      <x:c r="P1932" s="34" t="str">
        <x:v>INCONCLUSIVE</x:v>
      </x:c>
      <x:c r="Q1932" s="34" t="str">
        <x:v>Feedback-Directed Random Test Generation/Result/Closure_160/result.json</x:v>
      </x:c>
    </x:row>
    <x:row r="1933">
      <x:c r="A1933" s="34" t="str">
        <x:v>randoop</x:v>
      </x:c>
      <x:c r="B1933" s="34" t="str">
        <x:v>Closure</x:v>
      </x:c>
      <x:c r="C1933" s="34" t="str">
        <x:v>Round1</x:v>
      </x:c>
      <x:c r="D1933" s="34" t="str">
        <x:v>Closure_161</x:v>
      </x:c>
      <x:c r="E1933" s="34" t="str">
        <x:v>Line</x:v>
      </x:c>
      <x:c r="F1933" s="34" t="n">
        <x:v>636</x:v>
      </x:c>
      <x:c r="G1933" s="34" t="str">
        <x:v>RECORDED</x:v>
      </x:c>
      <x:c r="H1933" s="38" t="n">
        <x:f>IF(ISNUMBER('Data'!H225),'Data'!H225*100,"")</x:f>
        <x:v>2.04</x:v>
      </x:c>
      <x:c r="I1933" s="34" t="str">
        <x:v>PASS</x:v>
      </x:c>
      <x:c r="J1933" s="34" t="str">
        <x:v>PASS</x:v>
      </x:c>
      <x:c r="K1933" s="34" t="str">
        <x:v>PASS</x:v>
      </x:c>
      <x:c r="L1933" s="34" t="str">
        <x:v>PASS</x:v>
      </x:c>
      <x:c r="M1933" s="34" t="str">
        <x:v>numeric coverage for applicable metric</x:v>
      </x:c>
      <x:c r="N1933" s="34" t="str">
        <x:v>Feedback-Directed Random Test Generation/Result/Closure_161/result.json</x:v>
      </x:c>
      <x:c r="O1933" s="38" t="n">
        <x:f>IF(AND(G1933="RECORDED",ISNUMBER(H1933)),H1933,"")</x:f>
        <x:v>2.04</x:v>
      </x:c>
      <x:c r="P1933" s="34" t="str">
        <x:v>NOT_REVEALING</x:v>
      </x:c>
      <x:c r="Q1933" s="34" t="str">
        <x:v>Feedback-Directed Random Test Generation/Result/Closure_161/result.json</x:v>
      </x:c>
    </x:row>
    <x:row r="1934">
      <x:c r="A1934" s="34" t="str">
        <x:v>randoop</x:v>
      </x:c>
      <x:c r="B1934" s="34" t="str">
        <x:v>Closure</x:v>
      </x:c>
      <x:c r="C1934" s="34" t="str">
        <x:v>Round1</x:v>
      </x:c>
      <x:c r="D1934" s="34" t="str">
        <x:v>Closure_162</x:v>
      </x:c>
      <x:c r="E1934" s="34" t="str">
        <x:v>Line</x:v>
      </x:c>
      <x:c r="F1934" s="34" t="n">
        <x:v>306</x:v>
      </x:c>
      <x:c r="G1934" s="34" t="str">
        <x:v>RECORDED</x:v>
      </x:c>
      <x:c r="H1934" s="38" t="n">
        <x:f>IF(ISNUMBER('Data'!H226),'Data'!H226*100,"")</x:f>
        <x:v>43.14</x:v>
      </x:c>
      <x:c r="I1934" s="34" t="str">
        <x:v>PASS</x:v>
      </x:c>
      <x:c r="J1934" s="34" t="str">
        <x:v>PASS</x:v>
      </x:c>
      <x:c r="K1934" s="34" t="str">
        <x:v>PASS</x:v>
      </x:c>
      <x:c r="L1934" s="34" t="str">
        <x:v>FAIL</x:v>
      </x:c>
      <x:c r="M1934" s="34" t="str">
        <x:v>numeric coverage for applicable metric</x:v>
      </x:c>
      <x:c r="N1934" s="34" t="str">
        <x:v>Feedback-Directed Random Test Generation/Result/Closure_162/result.json</x:v>
      </x:c>
      <x:c r="O1934" s="38" t="n">
        <x:f>IF(AND(G1934="RECORDED",ISNUMBER(H1934)),H1934,"")</x:f>
        <x:v>43.14</x:v>
      </x:c>
      <x:c r="P1934" s="34" t="str">
        <x:v>INCONCLUSIVE</x:v>
      </x:c>
      <x:c r="Q1934" s="34" t="str">
        <x:v>Feedback-Directed Random Test Generation/Result/Closure_162/result.json</x:v>
      </x:c>
    </x:row>
    <x:row r="1935">
      <x:c r="A1935" s="34" t="str">
        <x:v>randoop</x:v>
      </x:c>
      <x:c r="B1935" s="34" t="str">
        <x:v>Closure</x:v>
      </x:c>
      <x:c r="C1935" s="34" t="str">
        <x:v>Round1</x:v>
      </x:c>
      <x:c r="D1935" s="34" t="str">
        <x:v>Closure_163</x:v>
      </x:c>
      <x:c r="E1935" s="34" t="str">
        <x:v>Line</x:v>
      </x:c>
      <x:c r="F1935" s="34" t="n">
        <x:v>324</x:v>
      </x:c>
      <x:c r="G1935" s="34" t="str">
        <x:v>RECORDED</x:v>
      </x:c>
      <x:c r="H1935" s="38" t="n">
        <x:f>IF(ISNUMBER('Data'!H227),'Data'!H227*100,"")</x:f>
        <x:v>32.72</x:v>
      </x:c>
      <x:c r="I1935" s="34" t="str">
        <x:v>PASS</x:v>
      </x:c>
      <x:c r="J1935" s="34" t="str">
        <x:v>PASS</x:v>
      </x:c>
      <x:c r="K1935" s="34" t="str">
        <x:v>PASS</x:v>
      </x:c>
      <x:c r="L1935" s="34" t="str">
        <x:v>PASS</x:v>
      </x:c>
      <x:c r="M1935" s="34" t="str">
        <x:v>numeric coverage for applicable metric</x:v>
      </x:c>
      <x:c r="N1935" s="34" t="str">
        <x:v>Feedback-Directed Random Test Generation/Result/Closure_163/result.json</x:v>
      </x:c>
      <x:c r="O1935" s="38" t="n">
        <x:f>IF(AND(G1935="RECORDED",ISNUMBER(H1935)),H1935,"")</x:f>
        <x:v>32.72</x:v>
      </x:c>
      <x:c r="P1935" s="34" t="str">
        <x:v>NOT_AVAILABLE</x:v>
      </x:c>
      <x:c r="Q1935" s="34" t="str">
        <x:v>Feedback-Directed Random Test Generation/Result/Closure_163/result.json</x:v>
      </x:c>
    </x:row>
    <x:row r="1936">
      <x:c r="A1936" s="34" t="str">
        <x:v>randoop</x:v>
      </x:c>
      <x:c r="B1936" s="34" t="str">
        <x:v>Closure</x:v>
      </x:c>
      <x:c r="C1936" s="34" t="str">
        <x:v>Round1</x:v>
      </x:c>
      <x:c r="D1936" s="34" t="str">
        <x:v>Closure_164</x:v>
      </x:c>
      <x:c r="E1936" s="34" t="str">
        <x:v>Line</x:v>
      </x:c>
      <x:c r="F1936" s="34" t="n">
        <x:v>89</x:v>
      </x:c>
      <x:c r="G1936" s="34" t="str">
        <x:v>RECORDED</x:v>
      </x:c>
      <x:c r="H1936" s="38" t="n">
        <x:f>IF(ISNUMBER('Data'!H228),'Data'!H228*100,"")</x:f>
        <x:v>4.49</x:v>
      </x:c>
      <x:c r="I1936" s="34" t="str">
        <x:v>PASS</x:v>
      </x:c>
      <x:c r="J1936" s="34" t="str">
        <x:v>PASS</x:v>
      </x:c>
      <x:c r="K1936" s="34" t="str">
        <x:v>PASS</x:v>
      </x:c>
      <x:c r="L1936" s="34" t="str">
        <x:v>PASS</x:v>
      </x:c>
      <x:c r="M1936" s="34" t="str">
        <x:v>numeric coverage for applicable metric</x:v>
      </x:c>
      <x:c r="N1936" s="34" t="str">
        <x:v>Feedback-Directed Random Test Generation/Result/Closure_164/result.json</x:v>
      </x:c>
      <x:c r="O1936" s="38" t="n">
        <x:f>IF(AND(G1936="RECORDED",ISNUMBER(H1936)),H1936,"")</x:f>
        <x:v>4.49</x:v>
      </x:c>
      <x:c r="P1936" s="34" t="str">
        <x:v>NOT_REVEALING</x:v>
      </x:c>
      <x:c r="Q1936" s="34" t="str">
        <x:v>Feedback-Directed Random Test Generation/Result/Closure_164/result.json</x:v>
      </x:c>
    </x:row>
    <x:row r="1937">
      <x:c r="A1937" s="34" t="str">
        <x:v>randoop</x:v>
      </x:c>
      <x:c r="B1937" s="34" t="str">
        <x:v>Closure</x:v>
      </x:c>
      <x:c r="C1937" s="34" t="str">
        <x:v>Round1</x:v>
      </x:c>
      <x:c r="D1937" s="34" t="str">
        <x:v>Closure_165</x:v>
      </x:c>
      <x:c r="E1937" s="34" t="str">
        <x:v>Line</x:v>
      </x:c>
      <x:c r="F1937" s="34" t="n">
        <x:v>830</x:v>
      </x:c>
      <x:c r="G1937" s="34" t="str">
        <x:v>RECORDED</x:v>
      </x:c>
      <x:c r="H1937" s="38" t="n">
        <x:f>IF(ISNUMBER('Data'!H229),'Data'!H229*100,"")</x:f>
        <x:v>69.64</x:v>
      </x:c>
      <x:c r="I1937" s="34" t="str">
        <x:v>PASS</x:v>
      </x:c>
      <x:c r="J1937" s="34" t="str">
        <x:v>PASS</x:v>
      </x:c>
      <x:c r="K1937" s="34" t="str">
        <x:v>PASS</x:v>
      </x:c>
      <x:c r="L1937" s="34" t="str">
        <x:v>PASS</x:v>
      </x:c>
      <x:c r="M1937" s="34" t="str">
        <x:v>numeric coverage for applicable metric</x:v>
      </x:c>
      <x:c r="N1937" s="34" t="str">
        <x:v>Feedback-Directed Random Test Generation/Result/Closure_165/result.json</x:v>
      </x:c>
      <x:c r="O1937" s="38" t="n">
        <x:f>IF(AND(G1937="RECORDED",ISNUMBER(H1937)),H1937,"")</x:f>
        <x:v>69.64</x:v>
      </x:c>
      <x:c r="P1937" s="34" t="str">
        <x:v>NOT_REVEALING</x:v>
      </x:c>
      <x:c r="Q1937" s="34" t="str">
        <x:v>Feedback-Directed Random Test Generation/Result/Closure_165/result.json</x:v>
      </x:c>
    </x:row>
    <x:row r="1938">
      <x:c r="A1938" s="34" t="str">
        <x:v>randoop</x:v>
      </x:c>
      <x:c r="B1938" s="34" t="str">
        <x:v>Closure</x:v>
      </x:c>
      <x:c r="C1938" s="34" t="str">
        <x:v>Round1</x:v>
      </x:c>
      <x:c r="D1938" s="34" t="str">
        <x:v>Closure_166</x:v>
      </x:c>
      <x:c r="E1938" s="34" t="str">
        <x:v>Line</x:v>
      </x:c>
      <x:c r="F1938" s="34" t="n">
        <x:v>220</x:v>
      </x:c>
      <x:c r="G1938" s="34" t="str">
        <x:v>RECORDED</x:v>
      </x:c>
      <x:c r="H1938" s="38" t="n">
        <x:f>IF(ISNUMBER('Data'!H230),'Data'!H230*100,"")</x:f>
        <x:v>63.63999999999999</x:v>
      </x:c>
      <x:c r="I1938" s="34" t="str">
        <x:v>PASS</x:v>
      </x:c>
      <x:c r="J1938" s="34" t="str">
        <x:v>PASS</x:v>
      </x:c>
      <x:c r="K1938" s="34" t="str">
        <x:v>PASS</x:v>
      </x:c>
      <x:c r="L1938" s="34" t="str">
        <x:v>PASS</x:v>
      </x:c>
      <x:c r="M1938" s="34" t="str">
        <x:v>numeric coverage for applicable metric</x:v>
      </x:c>
      <x:c r="N1938" s="34" t="str">
        <x:v>Feedback-Directed Random Test Generation/Result/Closure_166/result.json</x:v>
      </x:c>
      <x:c r="O1938" s="38" t="n">
        <x:f>IF(AND(G1938="RECORDED",ISNUMBER(H1938)),H1938,"")</x:f>
        <x:v>63.63999999999999</x:v>
      </x:c>
      <x:c r="P1938" s="34" t="str">
        <x:v>NOT_REVEALING</x:v>
      </x:c>
      <x:c r="Q1938" s="34" t="str">
        <x:v>Feedback-Directed Random Test Generation/Result/Closure_166/result.json</x:v>
      </x:c>
    </x:row>
    <x:row r="1939">
      <x:c r="A1939" s="34" t="str">
        <x:v>randoop</x:v>
      </x:c>
      <x:c r="B1939" s="34" t="str">
        <x:v>Closure</x:v>
      </x:c>
      <x:c r="C1939" s="34" t="str">
        <x:v>Round1</x:v>
      </x:c>
      <x:c r="D1939" s="34" t="str">
        <x:v>Closure_167</x:v>
      </x:c>
      <x:c r="E1939" s="34" t="str">
        <x:v>Line</x:v>
      </x:c>
      <x:c r="F1939" s="34" t="n">
        <x:v>510</x:v>
      </x:c>
      <x:c r="G1939" s="34" t="str">
        <x:v>RECORDED</x:v>
      </x:c>
      <x:c r="H1939" s="38" t="n">
        <x:f>IF(ISNUMBER('Data'!H231),'Data'!H231*100,"")</x:f>
        <x:v>3.92</x:v>
      </x:c>
      <x:c r="I1939" s="34" t="str">
        <x:v>PASS</x:v>
      </x:c>
      <x:c r="J1939" s="34" t="str">
        <x:v>PASS</x:v>
      </x:c>
      <x:c r="K1939" s="34" t="str">
        <x:v>PASS</x:v>
      </x:c>
      <x:c r="L1939" s="34" t="str">
        <x:v>PASS</x:v>
      </x:c>
      <x:c r="M1939" s="34" t="str">
        <x:v>numeric coverage for applicable metric</x:v>
      </x:c>
      <x:c r="N1939" s="34" t="str">
        <x:v>Feedback-Directed Random Test Generation/Result/Closure_167/result.json</x:v>
      </x:c>
      <x:c r="O1939" s="38" t="n">
        <x:f>IF(AND(G1939="RECORDED",ISNUMBER(H1939)),H1939,"")</x:f>
        <x:v>3.92</x:v>
      </x:c>
      <x:c r="P1939" s="34" t="str">
        <x:v>NOT_REVEALING</x:v>
      </x:c>
      <x:c r="Q1939" s="34" t="str">
        <x:v>Feedback-Directed Random Test Generation/Result/Closure_167/result.json</x:v>
      </x:c>
    </x:row>
    <x:row r="1940">
      <x:c r="A1940" s="34" t="str">
        <x:v>randoop</x:v>
      </x:c>
      <x:c r="B1940" s="34" t="str">
        <x:v>Closure</x:v>
      </x:c>
      <x:c r="C1940" s="34" t="str">
        <x:v>Round1</x:v>
      </x:c>
      <x:c r="D1940" s="34" t="str">
        <x:v>Closure_168</x:v>
      </x:c>
      <x:c r="E1940" s="34" t="str">
        <x:v>Line</x:v>
      </x:c>
      <x:c r="F1940" s="34" t="n">
        <x:v>895</x:v>
      </x:c>
      <x:c r="G1940" s="34" t="str">
        <x:v>RECORDED</x:v>
      </x:c>
      <x:c r="H1940" s="38" t="n">
        <x:f>IF(ISNUMBER('Data'!H232),'Data'!H232*100,"")</x:f>
        <x:v>2.79</x:v>
      </x:c>
      <x:c r="I1940" s="34" t="str">
        <x:v>PASS</x:v>
      </x:c>
      <x:c r="J1940" s="34" t="str">
        <x:v>PASS</x:v>
      </x:c>
      <x:c r="K1940" s="34" t="str">
        <x:v>PASS</x:v>
      </x:c>
      <x:c r="L1940" s="34" t="str">
        <x:v>PASS</x:v>
      </x:c>
      <x:c r="M1940" s="34" t="str">
        <x:v>numeric coverage for applicable metric</x:v>
      </x:c>
      <x:c r="N1940" s="34" t="str">
        <x:v>Feedback-Directed Random Test Generation/Result/Closure_168/result.json</x:v>
      </x:c>
      <x:c r="O1940" s="38" t="n">
        <x:f>IF(AND(G1940="RECORDED",ISNUMBER(H1940)),H1940,"")</x:f>
        <x:v>2.79</x:v>
      </x:c>
      <x:c r="P1940" s="34" t="str">
        <x:v>NOT_REVEALING</x:v>
      </x:c>
      <x:c r="Q1940" s="34" t="str">
        <x:v>Feedback-Directed Random Test Generation/Result/Closure_168/result.json</x:v>
      </x:c>
    </x:row>
    <x:row r="1941">
      <x:c r="A1941" s="34" t="str">
        <x:v>randoop</x:v>
      </x:c>
      <x:c r="B1941" s="34" t="str">
        <x:v>Closure</x:v>
      </x:c>
      <x:c r="C1941" s="34" t="str">
        <x:v>Round1</x:v>
      </x:c>
      <x:c r="D1941" s="34" t="str">
        <x:v>Closure_169</x:v>
      </x:c>
      <x:c r="E1941" s="34" t="str">
        <x:v>Line</x:v>
      </x:c>
      <x:c r="F1941" s="34" t="n">
        <x:v>1283</x:v>
      </x:c>
      <x:c r="G1941" s="34" t="str">
        <x:v>RECORDED</x:v>
      </x:c>
      <x:c r="H1941" s="38" t="n">
        <x:f>IF(ISNUMBER('Data'!H233),'Data'!H233*100,"")</x:f>
        <x:v>14.499999999999998</x:v>
      </x:c>
      <x:c r="I1941" s="34" t="str">
        <x:v>PASS</x:v>
      </x:c>
      <x:c r="J1941" s="34" t="str">
        <x:v>PASS</x:v>
      </x:c>
      <x:c r="K1941" s="34" t="str">
        <x:v>PASS</x:v>
      </x:c>
      <x:c r="L1941" s="34" t="str">
        <x:v>PASS</x:v>
      </x:c>
      <x:c r="M1941" s="34" t="str">
        <x:v>numeric coverage for applicable metric</x:v>
      </x:c>
      <x:c r="N1941" s="34" t="str">
        <x:v>Feedback-Directed Random Test Generation/Result/Closure_169/result.json</x:v>
      </x:c>
      <x:c r="O1941" s="38" t="n">
        <x:f>IF(AND(G1941="RECORDED",ISNUMBER(H1941)),H1941,"")</x:f>
        <x:v>14.499999999999998</x:v>
      </x:c>
      <x:c r="P1941" s="34" t="str">
        <x:v>NOT_REVEALING</x:v>
      </x:c>
      <x:c r="Q1941" s="34" t="str">
        <x:v>Feedback-Directed Random Test Generation/Result/Closure_169/result.json</x:v>
      </x:c>
    </x:row>
    <x:row r="1942">
      <x:c r="A1942" s="34" t="str">
        <x:v>randoop</x:v>
      </x:c>
      <x:c r="B1942" s="34" t="str">
        <x:v>Closure</x:v>
      </x:c>
      <x:c r="C1942" s="34" t="str">
        <x:v>Round1</x:v>
      </x:c>
      <x:c r="D1942" s="34" t="str">
        <x:v>Closure_170</x:v>
      </x:c>
      <x:c r="E1942" s="34" t="str">
        <x:v>Line</x:v>
      </x:c>
      <x:c r="F1942" s="34" t="n">
        <x:v>179</x:v>
      </x:c>
      <x:c r="G1942" s="34" t="str">
        <x:v>RECORDED</x:v>
      </x:c>
      <x:c r="H1942" s="38" t="n">
        <x:f>IF(ISNUMBER('Data'!H234),'Data'!H234*100,"")</x:f>
        <x:v>5.59</x:v>
      </x:c>
      <x:c r="I1942" s="34" t="str">
        <x:v>PASS</x:v>
      </x:c>
      <x:c r="J1942" s="34" t="str">
        <x:v>PASS</x:v>
      </x:c>
      <x:c r="K1942" s="34" t="str">
        <x:v>PASS</x:v>
      </x:c>
      <x:c r="L1942" s="34" t="str">
        <x:v>PASS</x:v>
      </x:c>
      <x:c r="M1942" s="34" t="str">
        <x:v>numeric coverage for applicable metric</x:v>
      </x:c>
      <x:c r="N1942" s="34" t="str">
        <x:v>Feedback-Directed Random Test Generation/Result/Closure_170/result.json</x:v>
      </x:c>
      <x:c r="O1942" s="38" t="n">
        <x:f>IF(AND(G1942="RECORDED",ISNUMBER(H1942)),H1942,"")</x:f>
        <x:v>5.59</x:v>
      </x:c>
      <x:c r="P1942" s="34" t="str">
        <x:v>NOT_REVEALING</x:v>
      </x:c>
      <x:c r="Q1942" s="34" t="str">
        <x:v>Feedback-Directed Random Test Generation/Result/Closure_170/result.json</x:v>
      </x:c>
    </x:row>
    <x:row r="1943">
      <x:c r="A1943" s="34" t="str">
        <x:v>randoop</x:v>
      </x:c>
      <x:c r="B1943" s="34" t="str">
        <x:v>Closure</x:v>
      </x:c>
      <x:c r="C1943" s="34" t="str">
        <x:v>Round1</x:v>
      </x:c>
      <x:c r="D1943" s="34" t="str">
        <x:v>Closure_171</x:v>
      </x:c>
      <x:c r="E1943" s="34" t="str">
        <x:v>Line</x:v>
      </x:c>
      <x:c r="F1943" s="34" t="n">
        <x:v>1652</x:v>
      </x:c>
      <x:c r="G1943" s="34" t="str">
        <x:v>RECORDED</x:v>
      </x:c>
      <x:c r="H1943" s="38" t="n">
        <x:f>IF(ISNUMBER('Data'!H235),'Data'!H235*100,"")</x:f>
        <x:v>1.76</x:v>
      </x:c>
      <x:c r="I1943" s="34" t="str">
        <x:v>PASS</x:v>
      </x:c>
      <x:c r="J1943" s="34" t="str">
        <x:v>PASS</x:v>
      </x:c>
      <x:c r="K1943" s="34" t="str">
        <x:v>PASS</x:v>
      </x:c>
      <x:c r="L1943" s="34" t="str">
        <x:v>PASS</x:v>
      </x:c>
      <x:c r="M1943" s="34" t="str">
        <x:v>numeric coverage for applicable metric</x:v>
      </x:c>
      <x:c r="N1943" s="34" t="str">
        <x:v>Feedback-Directed Random Test Generation/Result/Closure_171/result.json</x:v>
      </x:c>
      <x:c r="O1943" s="38" t="n">
        <x:f>IF(AND(G1943="RECORDED",ISNUMBER(H1943)),H1943,"")</x:f>
        <x:v>1.76</x:v>
      </x:c>
      <x:c r="P1943" s="34" t="str">
        <x:v>NOT_REVEALING</x:v>
      </x:c>
      <x:c r="Q1943" s="34" t="str">
        <x:v>Feedback-Directed Random Test Generation/Result/Closure_171/result.json</x:v>
      </x:c>
    </x:row>
    <x:row r="1944">
      <x:c r="A1944" s="34" t="str">
        <x:v>randoop</x:v>
      </x:c>
      <x:c r="B1944" s="34" t="str">
        <x:v>Closure</x:v>
      </x:c>
      <x:c r="C1944" s="34" t="str">
        <x:v>Round1</x:v>
      </x:c>
      <x:c r="D1944" s="34" t="str">
        <x:v>Closure_172</x:v>
      </x:c>
      <x:c r="E1944" s="34" t="str">
        <x:v>Line</x:v>
      </x:c>
      <x:c r="F1944" s="34" t="n">
        <x:v>951</x:v>
      </x:c>
      <x:c r="G1944" s="34" t="str">
        <x:v>RECORDED</x:v>
      </x:c>
      <x:c r="H1944" s="38" t="n">
        <x:f>IF(ISNUMBER('Data'!H236),'Data'!H236*100,"")</x:f>
        <x:v>2.63</x:v>
      </x:c>
      <x:c r="I1944" s="34" t="str">
        <x:v>PASS</x:v>
      </x:c>
      <x:c r="J1944" s="34" t="str">
        <x:v>PASS</x:v>
      </x:c>
      <x:c r="K1944" s="34" t="str">
        <x:v>PASS</x:v>
      </x:c>
      <x:c r="L1944" s="34" t="str">
        <x:v>PASS</x:v>
      </x:c>
      <x:c r="M1944" s="34" t="str">
        <x:v>numeric coverage for applicable metric</x:v>
      </x:c>
      <x:c r="N1944" s="34" t="str">
        <x:v>Feedback-Directed Random Test Generation/Result/Closure_172/result.json</x:v>
      </x:c>
      <x:c r="O1944" s="38" t="n">
        <x:f>IF(AND(G1944="RECORDED",ISNUMBER(H1944)),H1944,"")</x:f>
        <x:v>2.63</x:v>
      </x:c>
      <x:c r="P1944" s="34" t="str">
        <x:v>NOT_REVEALING</x:v>
      </x:c>
      <x:c r="Q1944" s="34" t="str">
        <x:v>Feedback-Directed Random Test Generation/Result/Closure_172/result.json</x:v>
      </x:c>
    </x:row>
    <x:row r="1945">
      <x:c r="A1945" s="34" t="str">
        <x:v>randoop</x:v>
      </x:c>
      <x:c r="B1945" s="34" t="str">
        <x:v>Closure</x:v>
      </x:c>
      <x:c r="C1945" s="34" t="str">
        <x:v>Round1</x:v>
      </x:c>
      <x:c r="D1945" s="34" t="str">
        <x:v>Closure_173</x:v>
      </x:c>
      <x:c r="E1945" s="34" t="str">
        <x:v>Line</x:v>
      </x:c>
      <x:c r="F1945" s="34" t="n">
        <x:v>917</x:v>
      </x:c>
      <x:c r="G1945" s="34" t="str">
        <x:v>RECORDED</x:v>
      </x:c>
      <x:c r="H1945" s="38" t="n">
        <x:f>IF(ISNUMBER('Data'!H237),'Data'!H237*100,"")</x:f>
        <x:v>8.51</x:v>
      </x:c>
      <x:c r="I1945" s="34" t="str">
        <x:v>PASS</x:v>
      </x:c>
      <x:c r="J1945" s="34" t="str">
        <x:v>PASS</x:v>
      </x:c>
      <x:c r="K1945" s="34" t="str">
        <x:v>PASS</x:v>
      </x:c>
      <x:c r="L1945" s="34" t="str">
        <x:v>PASS</x:v>
      </x:c>
      <x:c r="M1945" s="34" t="str">
        <x:v>numeric coverage for applicable metric</x:v>
      </x:c>
      <x:c r="N1945" s="34" t="str">
        <x:v>Feedback-Directed Random Test Generation/Result/Closure_173/result.json</x:v>
      </x:c>
      <x:c r="O1945" s="38" t="n">
        <x:f>IF(AND(G1945="RECORDED",ISNUMBER(H1945)),H1945,"")</x:f>
        <x:v>8.51</x:v>
      </x:c>
      <x:c r="P1945" s="34" t="str">
        <x:v>NOT_REVEALING</x:v>
      </x:c>
      <x:c r="Q1945" s="34" t="str">
        <x:v>Feedback-Directed Random Test Generation/Result/Closure_173/result.json</x:v>
      </x:c>
    </x:row>
    <x:row r="1946">
      <x:c r="A1946" s="34" t="str">
        <x:v>randoop</x:v>
      </x:c>
      <x:c r="B1946" s="34" t="str">
        <x:v>Closure</x:v>
      </x:c>
      <x:c r="C1946" s="34" t="str">
        <x:v>Round1</x:v>
      </x:c>
      <x:c r="D1946" s="34" t="str">
        <x:v>Closure_174</x:v>
      </x:c>
      <x:c r="E1946" s="34" t="str">
        <x:v>Line</x:v>
      </x:c>
      <x:c r="F1946" s="34" t="n">
        <x:v>1385</x:v>
      </x:c>
      <x:c r="G1946" s="34" t="str">
        <x:v>RECORDED</x:v>
      </x:c>
      <x:c r="H1946" s="38" t="n">
        <x:f>IF(ISNUMBER('Data'!H238),'Data'!H238*100,"")</x:f>
        <x:v>37.76</x:v>
      </x:c>
      <x:c r="I1946" s="34" t="str">
        <x:v>PASS</x:v>
      </x:c>
      <x:c r="J1946" s="34" t="str">
        <x:v>PASS</x:v>
      </x:c>
      <x:c r="K1946" s="34" t="str">
        <x:v>PASS</x:v>
      </x:c>
      <x:c r="L1946" s="34" t="str">
        <x:v>FAIL</x:v>
      </x:c>
      <x:c r="M1946" s="34" t="str">
        <x:v>numeric coverage for applicable metric</x:v>
      </x:c>
      <x:c r="N1946" s="34" t="str">
        <x:v>Feedback-Directed Random Test Generation/Result/Closure_174/result.json</x:v>
      </x:c>
      <x:c r="O1946" s="38" t="n">
        <x:f>IF(AND(G1946="RECORDED",ISNUMBER(H1946)),H1946,"")</x:f>
        <x:v>37.76</x:v>
      </x:c>
      <x:c r="P1946" s="34" t="str">
        <x:v>INCONCLUSIVE</x:v>
      </x:c>
      <x:c r="Q1946" s="34" t="str">
        <x:v>Feedback-Directed Random Test Generation/Result/Closure_174/result.json</x:v>
      </x:c>
    </x:row>
    <x:row r="1947">
      <x:c r="A1947" s="34" t="str">
        <x:v>randoop</x:v>
      </x:c>
      <x:c r="B1947" s="34" t="str">
        <x:v>Closure</x:v>
      </x:c>
      <x:c r="C1947" s="34" t="str">
        <x:v>Round1</x:v>
      </x:c>
      <x:c r="D1947" s="34" t="str">
        <x:v>Closure_175</x:v>
      </x:c>
      <x:c r="E1947" s="34" t="str">
        <x:v>Line</x:v>
      </x:c>
      <x:c r="F1947" s="34" t="n">
        <x:v>303</x:v>
      </x:c>
      <x:c r="G1947" s="34" t="str">
        <x:v>RECORDED</x:v>
      </x:c>
      <x:c r="H1947" s="38" t="n">
        <x:f>IF(ISNUMBER('Data'!H239),'Data'!H239*100,"")</x:f>
        <x:v>2.31</x:v>
      </x:c>
      <x:c r="I1947" s="34" t="str">
        <x:v>PASS</x:v>
      </x:c>
      <x:c r="J1947" s="34" t="str">
        <x:v>PASS</x:v>
      </x:c>
      <x:c r="K1947" s="34" t="str">
        <x:v>PASS</x:v>
      </x:c>
      <x:c r="L1947" s="34" t="str">
        <x:v>PASS</x:v>
      </x:c>
      <x:c r="M1947" s="34" t="str">
        <x:v>numeric coverage for applicable metric</x:v>
      </x:c>
      <x:c r="N1947" s="34" t="str">
        <x:v>Feedback-Directed Random Test Generation/Result/Closure_175/result.json</x:v>
      </x:c>
      <x:c r="O1947" s="38" t="n">
        <x:f>IF(AND(G1947="RECORDED",ISNUMBER(H1947)),H1947,"")</x:f>
        <x:v>2.31</x:v>
      </x:c>
      <x:c r="P1947" s="34" t="str">
        <x:v>NOT_REVEALING</x:v>
      </x:c>
      <x:c r="Q1947" s="34" t="str">
        <x:v>Feedback-Directed Random Test Generation/Result/Closure_175/result.json</x:v>
      </x:c>
    </x:row>
    <x:row r="1948">
      <x:c r="A1948" s="34" t="str">
        <x:v>randoop</x:v>
      </x:c>
      <x:c r="B1948" s="34" t="str">
        <x:v>Closure</x:v>
      </x:c>
      <x:c r="C1948" s="34" t="str">
        <x:v>Round1</x:v>
      </x:c>
      <x:c r="D1948" s="34" t="str">
        <x:v>Closure_176</x:v>
      </x:c>
      <x:c r="E1948" s="34" t="str">
        <x:v>Line</x:v>
      </x:c>
      <x:c r="F1948" s="34" t="n">
        <x:v>732</x:v>
      </x:c>
      <x:c r="G1948" s="34" t="str">
        <x:v>RECORDED</x:v>
      </x:c>
      <x:c r="H1948" s="38" t="n">
        <x:f>IF(ISNUMBER('Data'!H240),'Data'!H240*100,"")</x:f>
        <x:v>0.55</x:v>
      </x:c>
      <x:c r="I1948" s="34" t="str">
        <x:v>PASS</x:v>
      </x:c>
      <x:c r="J1948" s="34" t="str">
        <x:v>PASS</x:v>
      </x:c>
      <x:c r="K1948" s="34" t="str">
        <x:v>PASS</x:v>
      </x:c>
      <x:c r="L1948" s="34" t="str">
        <x:v>PASS</x:v>
      </x:c>
      <x:c r="M1948" s="34" t="str">
        <x:v>numeric coverage for applicable metric</x:v>
      </x:c>
      <x:c r="N1948" s="34" t="str">
        <x:v>Feedback-Directed Random Test Generation/Result/Closure_176/result.json</x:v>
      </x:c>
      <x:c r="O1948" s="38" t="n">
        <x:f>IF(AND(G1948="RECORDED",ISNUMBER(H1948)),H1948,"")</x:f>
        <x:v>0.55</x:v>
      </x:c>
      <x:c r="P1948" s="34" t="str">
        <x:v>NOT_REVEALING</x:v>
      </x:c>
      <x:c r="Q1948" s="34" t="str">
        <x:v>Feedback-Directed Random Test Generation/Result/Closure_176/result.json</x:v>
      </x:c>
    </x:row>
    <x:row r="1949">
      <x:c r="A1949" s="34" t="str">
        <x:v>randoop</x:v>
      </x:c>
      <x:c r="B1949" s="34" t="str">
        <x:v>Codec</x:v>
      </x:c>
      <x:c r="C1949" s="34" t="str">
        <x:v>Round1</x:v>
      </x:c>
      <x:c r="D1949" s="34" t="str">
        <x:v>Codec_1</x:v>
      </x:c>
      <x:c r="E1949" s="34" t="str">
        <x:v>Line</x:v>
      </x:c>
      <x:c r="F1949" s="34" t="n">
        <x:v>256</x:v>
      </x:c>
      <x:c r="G1949" s="34" t="str">
        <x:v>RECORDED</x:v>
      </x:c>
      <x:c r="H1949" s="38" t="n">
        <x:f>IF(ISNUMBER('Data'!H241),'Data'!H241*100,"")</x:f>
        <x:v>51.95000000000001</x:v>
      </x:c>
      <x:c r="I1949" s="34" t="str">
        <x:v>PASS</x:v>
      </x:c>
      <x:c r="J1949" s="34" t="str">
        <x:v>PASS</x:v>
      </x:c>
      <x:c r="K1949" s="34" t="str">
        <x:v>PASS</x:v>
      </x:c>
      <x:c r="L1949" s="34" t="str">
        <x:v>FAIL</x:v>
      </x:c>
      <x:c r="M1949" s="34" t="str">
        <x:v>numeric coverage for applicable metric</x:v>
      </x:c>
      <x:c r="N1949" s="34" t="str">
        <x:v>Feedback-Directed Random Test Generation/Result/Codec_1/result.json</x:v>
      </x:c>
      <x:c r="O1949" s="38" t="n">
        <x:f>IF(AND(G1949="RECORDED",ISNUMBER(H1949)),H1949,"")</x:f>
        <x:v>51.95000000000001</x:v>
      </x:c>
      <x:c r="P1949" s="34" t="str">
        <x:v>INCONCLUSIVE</x:v>
      </x:c>
      <x:c r="Q1949" s="34" t="str">
        <x:v>Feedback-Directed Random Test Generation/Result/Codec_1/result.json</x:v>
      </x:c>
    </x:row>
    <x:row r="1950">
      <x:c r="A1950" s="34" t="str">
        <x:v>randoop</x:v>
      </x:c>
      <x:c r="B1950" s="34" t="str">
        <x:v>Codec</x:v>
      </x:c>
      <x:c r="C1950" s="34" t="str">
        <x:v>Round1</x:v>
      </x:c>
      <x:c r="D1950" s="34" t="str">
        <x:v>Codec_2</x:v>
      </x:c>
      <x:c r="E1950" s="34" t="str">
        <x:v>Line</x:v>
      </x:c>
      <x:c r="F1950" s="34" t="n">
        <x:v>214</x:v>
      </x:c>
      <x:c r="G1950" s="34" t="str">
        <x:v>RECORDED</x:v>
      </x:c>
      <x:c r="H1950" s="38" t="n">
        <x:f>IF(ISNUMBER('Data'!H242),'Data'!H242*100,"")</x:f>
        <x:v>95.33</x:v>
      </x:c>
      <x:c r="I1950" s="34" t="str">
        <x:v>PASS</x:v>
      </x:c>
      <x:c r="J1950" s="34" t="str">
        <x:v>PASS</x:v>
      </x:c>
      <x:c r="K1950" s="34" t="str">
        <x:v>PASS</x:v>
      </x:c>
      <x:c r="L1950" s="34" t="str">
        <x:v>PASS</x:v>
      </x:c>
      <x:c r="M1950" s="34" t="str">
        <x:v>numeric coverage for applicable metric</x:v>
      </x:c>
      <x:c r="N1950" s="34" t="str">
        <x:v>Feedback-Directed Random Test Generation/Result/Codec_2/result.json</x:v>
      </x:c>
      <x:c r="O1950" s="38" t="n">
        <x:f>IF(AND(G1950="RECORDED",ISNUMBER(H1950)),H1950,"")</x:f>
        <x:v>95.33</x:v>
      </x:c>
      <x:c r="P1950" s="34" t="str">
        <x:v>NOT_REVEALING</x:v>
      </x:c>
      <x:c r="Q1950" s="34" t="str">
        <x:v>Feedback-Directed Random Test Generation/Result/Codec_2/result.json</x:v>
      </x:c>
    </x:row>
    <x:row r="1951">
      <x:c r="A1951" s="34" t="str">
        <x:v>randoop</x:v>
      </x:c>
      <x:c r="B1951" s="34" t="str">
        <x:v>Codec</x:v>
      </x:c>
      <x:c r="C1951" s="34" t="str">
        <x:v>Round1</x:v>
      </x:c>
      <x:c r="D1951" s="34" t="str">
        <x:v>Codec_3</x:v>
      </x:c>
      <x:c r="E1951" s="34" t="str">
        <x:v>Line</x:v>
      </x:c>
      <x:c r="F1951" s="34" t="n">
        <x:v>453</x:v>
      </x:c>
      <x:c r="G1951" s="34" t="str">
        <x:v>RECORDED</x:v>
      </x:c>
      <x:c r="H1951" s="38" t="n">
        <x:f>IF(ISNUMBER('Data'!H243),'Data'!H243*100,"")</x:f>
        <x:v>21.41</x:v>
      </x:c>
      <x:c r="I1951" s="34" t="str">
        <x:v>PASS</x:v>
      </x:c>
      <x:c r="J1951" s="34" t="str">
        <x:v>PASS</x:v>
      </x:c>
      <x:c r="K1951" s="34" t="str">
        <x:v>PASS</x:v>
      </x:c>
      <x:c r="L1951" s="34" t="str">
        <x:v>FAIL</x:v>
      </x:c>
      <x:c r="M1951" s="34" t="str">
        <x:v>numeric coverage for applicable metric</x:v>
      </x:c>
      <x:c r="N1951" s="34" t="str">
        <x:v>Feedback-Directed Random Test Generation/Result/Codec_3/result.json</x:v>
      </x:c>
      <x:c r="O1951" s="38" t="n">
        <x:f>IF(AND(G1951="RECORDED",ISNUMBER(H1951)),H1951,"")</x:f>
        <x:v>21.41</x:v>
      </x:c>
      <x:c r="P1951" s="34" t="str">
        <x:v>INCONCLUSIVE</x:v>
      </x:c>
      <x:c r="Q1951" s="34" t="str">
        <x:v>Feedback-Directed Random Test Generation/Result/Codec_3/result.json</x:v>
      </x:c>
    </x:row>
    <x:row r="1952">
      <x:c r="A1952" s="34" t="str">
        <x:v>randoop</x:v>
      </x:c>
      <x:c r="B1952" s="34" t="str">
        <x:v>Codec</x:v>
      </x:c>
      <x:c r="C1952" s="34" t="str">
        <x:v>Round1</x:v>
      </x:c>
      <x:c r="D1952" s="34" t="str">
        <x:v>Codec_4</x:v>
      </x:c>
      <x:c r="E1952" s="34" t="str">
        <x:v>Line</x:v>
      </x:c>
      <x:c r="F1952" s="34" t="n">
        <x:v>231</x:v>
      </x:c>
      <x:c r="G1952" s="34" t="str">
        <x:v>RECORDED</x:v>
      </x:c>
      <x:c r="H1952" s="38" t="n">
        <x:f>IF(ISNUMBER('Data'!H244),'Data'!H244*100,"")</x:f>
        <x:v>96.54</x:v>
      </x:c>
      <x:c r="I1952" s="34" t="str">
        <x:v>PASS</x:v>
      </x:c>
      <x:c r="J1952" s="34" t="str">
        <x:v>PASS</x:v>
      </x:c>
      <x:c r="K1952" s="34" t="str">
        <x:v>PASS</x:v>
      </x:c>
      <x:c r="L1952" s="34" t="str">
        <x:v>PASS</x:v>
      </x:c>
      <x:c r="M1952" s="34" t="str">
        <x:v>numeric coverage for applicable metric</x:v>
      </x:c>
      <x:c r="N1952" s="34" t="str">
        <x:v>Feedback-Directed Random Test Generation/Result/Codec_4/result.json</x:v>
      </x:c>
      <x:c r="O1952" s="38" t="n">
        <x:f>IF(AND(G1952="RECORDED",ISNUMBER(H1952)),H1952,"")</x:f>
        <x:v>96.54</x:v>
      </x:c>
      <x:c r="P1952" s="34" t="str">
        <x:v>INCONCLUSIVE</x:v>
      </x:c>
      <x:c r="Q1952" s="34" t="str">
        <x:v>Feedback-Directed Random Test Generation/Result/Codec_4/result.json</x:v>
      </x:c>
    </x:row>
    <x:row r="1953">
      <x:c r="A1953" s="34" t="str">
        <x:v>randoop</x:v>
      </x:c>
      <x:c r="B1953" s="34" t="str">
        <x:v>Codec</x:v>
      </x:c>
      <x:c r="C1953" s="34" t="str">
        <x:v>Round1</x:v>
      </x:c>
      <x:c r="D1953" s="34" t="str">
        <x:v>Codec_5</x:v>
      </x:c>
      <x:c r="E1953" s="34" t="str">
        <x:v>Line</x:v>
      </x:c>
      <x:c r="F1953" s="34" t="n">
        <x:v>231</x:v>
      </x:c>
      <x:c r="G1953" s="34" t="str">
        <x:v>RECORDED</x:v>
      </x:c>
      <x:c r="H1953" s="38" t="n">
        <x:f>IF(ISNUMBER('Data'!H245),'Data'!H245*100,"")</x:f>
        <x:v>93.94</x:v>
      </x:c>
      <x:c r="I1953" s="34" t="str">
        <x:v>PASS</x:v>
      </x:c>
      <x:c r="J1953" s="34" t="str">
        <x:v>PASS</x:v>
      </x:c>
      <x:c r="K1953" s="34" t="str">
        <x:v>PASS</x:v>
      </x:c>
      <x:c r="L1953" s="34" t="str">
        <x:v>PASS</x:v>
      </x:c>
      <x:c r="M1953" s="34" t="str">
        <x:v>numeric coverage for applicable metric</x:v>
      </x:c>
      <x:c r="N1953" s="34" t="str">
        <x:v>Feedback-Directed Random Test Generation/Result/Codec_5/result.json</x:v>
      </x:c>
      <x:c r="O1953" s="38" t="n">
        <x:f>IF(AND(G1953="RECORDED",ISNUMBER(H1953)),H1953,"")</x:f>
        <x:v>93.94</x:v>
      </x:c>
      <x:c r="P1953" s="34" t="str">
        <x:v>NOT_REVEALING</x:v>
      </x:c>
      <x:c r="Q1953" s="34" t="str">
        <x:v>Feedback-Directed Random Test Generation/Result/Codec_5/result.json</x:v>
      </x:c>
    </x:row>
    <x:row r="1954">
      <x:c r="A1954" s="34" t="str">
        <x:v>randoop</x:v>
      </x:c>
      <x:c r="B1954" s="34" t="str">
        <x:v>Codec</x:v>
      </x:c>
      <x:c r="C1954" s="34" t="str">
        <x:v>Round1</x:v>
      </x:c>
      <x:c r="D1954" s="34" t="str">
        <x:v>Codec_6</x:v>
      </x:c>
      <x:c r="E1954" s="34" t="str">
        <x:v>Line</x:v>
      </x:c>
      <x:c r="F1954" s="34" t="n">
        <x:v>35</x:v>
      </x:c>
      <x:c r="G1954" s="34" t="str">
        <x:v>RECORDED</x:v>
      </x:c>
      <x:c r="H1954" s="38" t="n">
        <x:f>IF(ISNUMBER('Data'!H246),'Data'!H246*100,"")</x:f>
        <x:v>62.86000000000001</x:v>
      </x:c>
      <x:c r="I1954" s="34" t="str">
        <x:v>PASS</x:v>
      </x:c>
      <x:c r="J1954" s="34" t="str">
        <x:v>PASS</x:v>
      </x:c>
      <x:c r="K1954" s="34" t="str">
        <x:v>PASS</x:v>
      </x:c>
      <x:c r="L1954" s="34" t="str">
        <x:v>PASS</x:v>
      </x:c>
      <x:c r="M1954" s="34" t="str">
        <x:v>numeric coverage for applicable metric</x:v>
      </x:c>
      <x:c r="N1954" s="34" t="str">
        <x:v>Feedback-Directed Random Test Generation/Result/Codec_6/result.json</x:v>
      </x:c>
      <x:c r="O1954" s="38" t="n">
        <x:f>IF(AND(G1954="RECORDED",ISNUMBER(H1954)),H1954,"")</x:f>
        <x:v>62.86000000000001</x:v>
      </x:c>
      <x:c r="P1954" s="34" t="str">
        <x:v>NOT_REVEALING</x:v>
      </x:c>
      <x:c r="Q1954" s="34" t="str">
        <x:v>Feedback-Directed Random Test Generation/Result/Codec_6/result.json</x:v>
      </x:c>
    </x:row>
    <x:row r="1955">
      <x:c r="A1955" s="34" t="str">
        <x:v>randoop</x:v>
      </x:c>
      <x:c r="B1955" s="34" t="str">
        <x:v>Codec</x:v>
      </x:c>
      <x:c r="C1955" s="34" t="str">
        <x:v>Round1</x:v>
      </x:c>
      <x:c r="D1955" s="34" t="str">
        <x:v>Codec_7</x:v>
      </x:c>
      <x:c r="E1955" s="34" t="str">
        <x:v>Line</x:v>
      </x:c>
      <x:c r="F1955" s="34" t="n">
        <x:v>233</x:v>
      </x:c>
      <x:c r="G1955" s="34" t="str">
        <x:v>RECORDED</x:v>
      </x:c>
      <x:c r="H1955" s="38" t="n">
        <x:f>IF(ISNUMBER('Data'!H247),'Data'!H247*100,"")</x:f>
        <x:v>93.99</x:v>
      </x:c>
      <x:c r="I1955" s="34" t="str">
        <x:v>PASS</x:v>
      </x:c>
      <x:c r="J1955" s="34" t="str">
        <x:v>PASS</x:v>
      </x:c>
      <x:c r="K1955" s="34" t="str">
        <x:v>PASS</x:v>
      </x:c>
      <x:c r="L1955" s="34" t="str">
        <x:v>PASS</x:v>
      </x:c>
      <x:c r="M1955" s="34" t="str">
        <x:v>numeric coverage for applicable metric</x:v>
      </x:c>
      <x:c r="N1955" s="34" t="str">
        <x:v>Feedback-Directed Random Test Generation/Result/Codec_7/result.json</x:v>
      </x:c>
      <x:c r="O1955" s="38" t="n">
        <x:f>IF(AND(G1955="RECORDED",ISNUMBER(H1955)),H1955,"")</x:f>
        <x:v>93.99</x:v>
      </x:c>
      <x:c r="P1955" s="34" t="str">
        <x:v>INCONCLUSIVE</x:v>
      </x:c>
      <x:c r="Q1955" s="34" t="str">
        <x:v>Feedback-Directed Random Test Generation/Result/Codec_7/result.json</x:v>
      </x:c>
    </x:row>
    <x:row r="1956">
      <x:c r="A1956" s="34" t="str">
        <x:v>randoop</x:v>
      </x:c>
      <x:c r="B1956" s="34" t="str">
        <x:v>Codec</x:v>
      </x:c>
      <x:c r="C1956" s="34" t="str">
        <x:v>Round1</x:v>
      </x:c>
      <x:c r="D1956" s="34" t="str">
        <x:v>Codec_8</x:v>
      </x:c>
      <x:c r="E1956" s="34" t="str">
        <x:v>Line</x:v>
      </x:c>
      <x:c r="F1956" s="34" t="n">
        <x:v>261</x:v>
      </x:c>
      <x:c r="G1956" s="34" t="str">
        <x:v>RECORDED</x:v>
      </x:c>
      <x:c r="H1956" s="38" t="n">
        <x:f>IF(ISNUMBER('Data'!H248),'Data'!H248*100,"")</x:f>
        <x:v>86.59</x:v>
      </x:c>
      <x:c r="I1956" s="34" t="str">
        <x:v>PASS</x:v>
      </x:c>
      <x:c r="J1956" s="34" t="str">
        <x:v>PASS</x:v>
      </x:c>
      <x:c r="K1956" s="34" t="str">
        <x:v>PASS</x:v>
      </x:c>
      <x:c r="L1956" s="34" t="str">
        <x:v>PASS</x:v>
      </x:c>
      <x:c r="M1956" s="34" t="str">
        <x:v>numeric coverage for applicable metric</x:v>
      </x:c>
      <x:c r="N1956" s="34" t="str">
        <x:v>Feedback-Directed Random Test Generation/Result/Codec_8/result.json</x:v>
      </x:c>
      <x:c r="O1956" s="38" t="n">
        <x:f>IF(AND(G1956="RECORDED",ISNUMBER(H1956)),H1956,"")</x:f>
        <x:v>86.59</x:v>
      </x:c>
      <x:c r="P1956" s="34" t="str">
        <x:v>NOT_AVAILABLE</x:v>
      </x:c>
      <x:c r="Q1956" s="34" t="str">
        <x:v>Feedback-Directed Random Test Generation/Result/Codec_8/result.json</x:v>
      </x:c>
    </x:row>
    <x:row r="1957">
      <x:c r="A1957" s="34" t="str">
        <x:v>randoop</x:v>
      </x:c>
      <x:c r="B1957" s="34" t="str">
        <x:v>Codec</x:v>
      </x:c>
      <x:c r="C1957" s="34" t="str">
        <x:v>Round1</x:v>
      </x:c>
      <x:c r="D1957" s="34" t="str">
        <x:v>Codec_9</x:v>
      </x:c>
      <x:c r="E1957" s="34" t="str">
        <x:v>Line</x:v>
      </x:c>
      <x:c r="F1957" s="34" t="n">
        <x:v>220</x:v>
      </x:c>
      <x:c r="G1957" s="34" t="str">
        <x:v>RECORDED</x:v>
      </x:c>
      <x:c r="H1957" s="38" t="n">
        <x:f>IF(ISNUMBER('Data'!H249),'Data'!H249*100,"")</x:f>
        <x:v>94.09</x:v>
      </x:c>
      <x:c r="I1957" s="34" t="str">
        <x:v>PASS</x:v>
      </x:c>
      <x:c r="J1957" s="34" t="str">
        <x:v>PASS</x:v>
      </x:c>
      <x:c r="K1957" s="34" t="str">
        <x:v>PASS</x:v>
      </x:c>
      <x:c r="L1957" s="34" t="str">
        <x:v>PASS</x:v>
      </x:c>
      <x:c r="M1957" s="34" t="str">
        <x:v>numeric coverage for applicable metric</x:v>
      </x:c>
      <x:c r="N1957" s="34" t="str">
        <x:v>Feedback-Directed Random Test Generation/Result/Codec_9/result.json</x:v>
      </x:c>
      <x:c r="O1957" s="38" t="n">
        <x:f>IF(AND(G1957="RECORDED",ISNUMBER(H1957)),H1957,"")</x:f>
        <x:v>94.09</x:v>
      </x:c>
      <x:c r="P1957" s="34" t="str">
        <x:v>NOT_REVEALING</x:v>
      </x:c>
      <x:c r="Q1957" s="34" t="str">
        <x:v>Feedback-Directed Random Test Generation/Result/Codec_9/result.json</x:v>
      </x:c>
    </x:row>
    <x:row r="1958">
      <x:c r="A1958" s="34" t="str">
        <x:v>randoop</x:v>
      </x:c>
      <x:c r="B1958" s="34" t="str">
        <x:v>Codec</x:v>
      </x:c>
      <x:c r="C1958" s="34" t="str">
        <x:v>Round1</x:v>
      </x:c>
      <x:c r="D1958" s="34" t="str">
        <x:v>Codec_10</x:v>
      </x:c>
      <x:c r="E1958" s="34" t="str">
        <x:v>Line</x:v>
      </x:c>
      <x:c r="F1958" s="34" t="n">
        <x:v>69</x:v>
      </x:c>
      <x:c r="G1958" s="34" t="str">
        <x:v>RECORDED</x:v>
      </x:c>
      <x:c r="H1958" s="38" t="n">
        <x:f>IF(ISNUMBER('Data'!H250),'Data'!H250*100,"")</x:f>
        <x:v>100</x:v>
      </x:c>
      <x:c r="I1958" s="34" t="str">
        <x:v>PASS</x:v>
      </x:c>
      <x:c r="J1958" s="34" t="str">
        <x:v>PASS</x:v>
      </x:c>
      <x:c r="K1958" s="34" t="str">
        <x:v>PASS</x:v>
      </x:c>
      <x:c r="L1958" s="34" t="str">
        <x:v>PASS</x:v>
      </x:c>
      <x:c r="M1958" s="34" t="str">
        <x:v>numeric coverage for applicable metric</x:v>
      </x:c>
      <x:c r="N1958" s="34" t="str">
        <x:v>Feedback-Directed Random Test Generation/Result/Codec_10/result.json</x:v>
      </x:c>
      <x:c r="O1958" s="38" t="n">
        <x:f>IF(AND(G1958="RECORDED",ISNUMBER(H1958)),H1958,"")</x:f>
        <x:v>100</x:v>
      </x:c>
      <x:c r="P1958" s="34" t="str">
        <x:v>NOT_REVEALING</x:v>
      </x:c>
      <x:c r="Q1958" s="34" t="str">
        <x:v>Feedback-Directed Random Test Generation/Result/Codec_10/result.json</x:v>
      </x:c>
    </x:row>
    <x:row r="1959">
      <x:c r="A1959" s="34" t="str">
        <x:v>randoop</x:v>
      </x:c>
      <x:c r="B1959" s="34" t="str">
        <x:v>Codec</x:v>
      </x:c>
      <x:c r="C1959" s="34" t="str">
        <x:v>Round1</x:v>
      </x:c>
      <x:c r="D1959" s="34" t="str">
        <x:v>Codec_11</x:v>
      </x:c>
      <x:c r="E1959" s="34" t="str">
        <x:v>Line</x:v>
      </x:c>
      <x:c r="F1959" s="34" t="n">
        <x:v>81</x:v>
      </x:c>
      <x:c r="G1959" s="34" t="str">
        <x:v>RECORDED</x:v>
      </x:c>
      <x:c r="H1959" s="38" t="n">
        <x:f>IF(ISNUMBER('Data'!H251),'Data'!H251*100,"")</x:f>
        <x:v>86.42</x:v>
      </x:c>
      <x:c r="I1959" s="34" t="str">
        <x:v>PASS</x:v>
      </x:c>
      <x:c r="J1959" s="34" t="str">
        <x:v>PASS</x:v>
      </x:c>
      <x:c r="K1959" s="34" t="str">
        <x:v>PASS</x:v>
      </x:c>
      <x:c r="L1959" s="34" t="str">
        <x:v>PASS</x:v>
      </x:c>
      <x:c r="M1959" s="34" t="str">
        <x:v>numeric coverage for applicable metric</x:v>
      </x:c>
      <x:c r="N1959" s="34" t="str">
        <x:v>Feedback-Directed Random Test Generation/Result/Codec_11/result.json</x:v>
      </x:c>
      <x:c r="O1959" s="38" t="n">
        <x:f>IF(AND(G1959="RECORDED",ISNUMBER(H1959)),H1959,"")</x:f>
        <x:v>86.42</x:v>
      </x:c>
      <x:c r="P1959" s="34" t="str">
        <x:v>INCONCLUSIVE</x:v>
      </x:c>
      <x:c r="Q1959" s="34" t="str">
        <x:v>Feedback-Directed Random Test Generation/Result/Codec_11/result.json</x:v>
      </x:c>
    </x:row>
    <x:row r="1960">
      <x:c r="A1960" s="34" t="str">
        <x:v>randoop</x:v>
      </x:c>
      <x:c r="B1960" s="34" t="str">
        <x:v>Codec</x:v>
      </x:c>
      <x:c r="C1960" s="34" t="str">
        <x:v>Round1</x:v>
      </x:c>
      <x:c r="D1960" s="34" t="str">
        <x:v>Codec_12</x:v>
      </x:c>
      <x:c r="E1960" s="34" t="str">
        <x:v>Line</x:v>
      </x:c>
      <x:c r="F1960" s="34" t="n">
        <x:v>31</x:v>
      </x:c>
      <x:c r="G1960" s="34" t="str">
        <x:v>RECORDED</x:v>
      </x:c>
      <x:c r="H1960" s="38" t="n">
        <x:f>IF(ISNUMBER('Data'!H252),'Data'!H252*100,"")</x:f>
        <x:v>58.06</x:v>
      </x:c>
      <x:c r="I1960" s="34" t="str">
        <x:v>PASS</x:v>
      </x:c>
      <x:c r="J1960" s="34" t="str">
        <x:v>PASS</x:v>
      </x:c>
      <x:c r="K1960" s="34" t="str">
        <x:v>PASS</x:v>
      </x:c>
      <x:c r="L1960" s="34" t="str">
        <x:v>PASS</x:v>
      </x:c>
      <x:c r="M1960" s="34" t="str">
        <x:v>numeric coverage for applicable metric</x:v>
      </x:c>
      <x:c r="N1960" s="34" t="str">
        <x:v>Feedback-Directed Random Test Generation/Result/Codec_12/result.json</x:v>
      </x:c>
      <x:c r="O1960" s="38" t="n">
        <x:f>IF(AND(G1960="RECORDED",ISNUMBER(H1960)),H1960,"")</x:f>
        <x:v>58.06</x:v>
      </x:c>
      <x:c r="P1960" s="34" t="str">
        <x:v>INCONCLUSIVE</x:v>
      </x:c>
      <x:c r="Q1960" s="34" t="str">
        <x:v>Feedback-Directed Random Test Generation/Result/Codec_12/result.json</x:v>
      </x:c>
    </x:row>
    <x:row r="1961">
      <x:c r="A1961" s="34" t="str">
        <x:v>randoop</x:v>
      </x:c>
      <x:c r="B1961" s="34" t="str">
        <x:v>Codec</x:v>
      </x:c>
      <x:c r="C1961" s="34" t="str">
        <x:v>Round1</x:v>
      </x:c>
      <x:c r="D1961" s="34" t="str">
        <x:v>Codec_13</x:v>
      </x:c>
      <x:c r="E1961" s="34" t="str">
        <x:v>Line</x:v>
      </x:c>
      <x:c r="F1961" s="34" t="n">
        <x:v>481</x:v>
      </x:c>
      <x:c r="G1961" s="34" t="str">
        <x:v>RECORDED</x:v>
      </x:c>
      <x:c r="H1961" s="38" t="n">
        <x:f>IF(ISNUMBER('Data'!H253),'Data'!H253*100,"")</x:f>
        <x:v>23.91</x:v>
      </x:c>
      <x:c r="I1961" s="34" t="str">
        <x:v>PASS</x:v>
      </x:c>
      <x:c r="J1961" s="34" t="str">
        <x:v>PASS</x:v>
      </x:c>
      <x:c r="K1961" s="34" t="str">
        <x:v>PASS</x:v>
      </x:c>
      <x:c r="L1961" s="34" t="str">
        <x:v>FAIL</x:v>
      </x:c>
      <x:c r="M1961" s="34" t="str">
        <x:v>numeric coverage for applicable metric</x:v>
      </x:c>
      <x:c r="N1961" s="34" t="str">
        <x:v>Feedback-Directed Random Test Generation/Result/Codec_13/result.json</x:v>
      </x:c>
      <x:c r="O1961" s="38" t="n">
        <x:f>IF(AND(G1961="RECORDED",ISNUMBER(H1961)),H1961,"")</x:f>
        <x:v>23.91</x:v>
      </x:c>
      <x:c r="P1961" s="34" t="str">
        <x:v>REVEALING</x:v>
      </x:c>
      <x:c r="Q1961" s="34" t="str">
        <x:v>Feedback-Directed Random Test Generation/Result/Codec_13/result.json</x:v>
      </x:c>
    </x:row>
    <x:row r="1962">
      <x:c r="A1962" s="34" t="str">
        <x:v>randoop</x:v>
      </x:c>
      <x:c r="B1962" s="34" t="str">
        <x:v>Codec</x:v>
      </x:c>
      <x:c r="C1962" s="34" t="str">
        <x:v>Round1</x:v>
      </x:c>
      <x:c r="D1962" s="34" t="str">
        <x:v>Codec_14</x:v>
      </x:c>
      <x:c r="E1962" s="34" t="str">
        <x:v>Line</x:v>
      </x:c>
      <x:c r="F1962" s="34" t="n">
        <x:v>0</x:v>
      </x:c>
      <x:c r="G1962" s="34" t="str">
        <x:v>A</x:v>
      </x:c>
      <x:c r="H1962" s="38" t="str">
        <x:f>IF(ISNUMBER('Data'!H254),'Data'!H254*100,"")</x:f>
      </x:c>
      <x:c r="I1962" s="34"/>
      <x:c r="J1962" s="34"/>
      <x:c r="K1962" s="34"/>
      <x:c r="L1962" s="34" t="str">
        <x:v>NOT_RUN</x:v>
      </x:c>
      <x:c r="M1962" s="34" t="str">
        <x:v>Latest same-round generation failed; older files/results are excluded</x:v>
      </x:c>
      <x:c r="N1962" s="34" t="str">
        <x:v>Feedback-Directed Random Test Generation/report.csv</x:v>
      </x:c>
      <x:c r="O1962" s="38" t="str">
        <x:f>IF(AND(G1962="RECORDED",ISNUMBER(H1962)),H1962,"")</x:f>
      </x:c>
      <x:c r="P1962" s="34" t="str">
        <x:v>FAIL</x:v>
      </x:c>
      <x:c r="Q1962" s="34"/>
    </x:row>
    <x:row r="1963">
      <x:c r="A1963" s="34" t="str">
        <x:v>randoop</x:v>
      </x:c>
      <x:c r="B1963" s="34" t="str">
        <x:v>Codec</x:v>
      </x:c>
      <x:c r="C1963" s="34" t="str">
        <x:v>Round1</x:v>
      </x:c>
      <x:c r="D1963" s="34" t="str">
        <x:v>Codec_15</x:v>
      </x:c>
      <x:c r="E1963" s="34" t="str">
        <x:v>Line</x:v>
      </x:c>
      <x:c r="F1963" s="34" t="n">
        <x:v>51</x:v>
      </x:c>
      <x:c r="G1963" s="34" t="str">
        <x:v>RECORDED</x:v>
      </x:c>
      <x:c r="H1963" s="38" t="n">
        <x:f>IF(ISNUMBER('Data'!H255),'Data'!H255*100,"")</x:f>
        <x:v>84.31</x:v>
      </x:c>
      <x:c r="I1963" s="34" t="str">
        <x:v>PASS</x:v>
      </x:c>
      <x:c r="J1963" s="34" t="str">
        <x:v>PASS</x:v>
      </x:c>
      <x:c r="K1963" s="34" t="str">
        <x:v>PASS</x:v>
      </x:c>
      <x:c r="L1963" s="34" t="str">
        <x:v>PASS</x:v>
      </x:c>
      <x:c r="M1963" s="34" t="str">
        <x:v>numeric coverage for applicable metric</x:v>
      </x:c>
      <x:c r="N1963" s="34" t="str">
        <x:v>Feedback-Directed Random Test Generation/Result/Codec_15/result.json</x:v>
      </x:c>
      <x:c r="O1963" s="38" t="n">
        <x:f>IF(AND(G1963="RECORDED",ISNUMBER(H1963)),H1963,"")</x:f>
        <x:v>84.31</x:v>
      </x:c>
      <x:c r="P1963" s="34" t="str">
        <x:v>NOT_REVEALING</x:v>
      </x:c>
      <x:c r="Q1963" s="34" t="str">
        <x:v>Feedback-Directed Random Test Generation/Result/Codec_15/result.json</x:v>
      </x:c>
    </x:row>
    <x:row r="1964">
      <x:c r="A1964" s="34" t="str">
        <x:v>randoop</x:v>
      </x:c>
      <x:c r="B1964" s="34" t="str">
        <x:v>Codec</x:v>
      </x:c>
      <x:c r="C1964" s="34" t="str">
        <x:v>Round1</x:v>
      </x:c>
      <x:c r="D1964" s="34" t="str">
        <x:v>Codec_16</x:v>
      </x:c>
      <x:c r="E1964" s="34" t="str">
        <x:v>Line</x:v>
      </x:c>
      <x:c r="F1964" s="34" t="n">
        <x:v>166</x:v>
      </x:c>
      <x:c r="G1964" s="34" t="str">
        <x:v>RECORDED</x:v>
      </x:c>
      <x:c r="H1964" s="38" t="n">
        <x:f>IF(ISNUMBER('Data'!H256),'Data'!H256*100,"")</x:f>
        <x:v>75.9</x:v>
      </x:c>
      <x:c r="I1964" s="34" t="str">
        <x:v>PASS</x:v>
      </x:c>
      <x:c r="J1964" s="34" t="str">
        <x:v>PASS</x:v>
      </x:c>
      <x:c r="K1964" s="34" t="str">
        <x:v>PASS</x:v>
      </x:c>
      <x:c r="L1964" s="34" t="str">
        <x:v>PASS</x:v>
      </x:c>
      <x:c r="M1964" s="34" t="str">
        <x:v>numeric coverage for applicable metric</x:v>
      </x:c>
      <x:c r="N1964" s="34" t="str">
        <x:v>Feedback-Directed Random Test Generation/Result/Codec_16/result.json</x:v>
      </x:c>
      <x:c r="O1964" s="38" t="n">
        <x:f>IF(AND(G1964="RECORDED",ISNUMBER(H1964)),H1964,"")</x:f>
        <x:v>75.9</x:v>
      </x:c>
      <x:c r="P1964" s="34" t="str">
        <x:v>NOT_REVEALING</x:v>
      </x:c>
      <x:c r="Q1964" s="34" t="str">
        <x:v>Feedback-Directed Random Test Generation/Result/Codec_16/result.json</x:v>
      </x:c>
    </x:row>
    <x:row r="1965">
      <x:c r="A1965" s="34" t="str">
        <x:v>randoop</x:v>
      </x:c>
      <x:c r="B1965" s="34" t="str">
        <x:v>Codec</x:v>
      </x:c>
      <x:c r="C1965" s="34" t="str">
        <x:v>Round1</x:v>
      </x:c>
      <x:c r="D1965" s="34" t="str">
        <x:v>Codec_17</x:v>
      </x:c>
      <x:c r="E1965" s="34" t="str">
        <x:v>Line</x:v>
      </x:c>
      <x:c r="F1965" s="34" t="n">
        <x:v>39</x:v>
      </x:c>
      <x:c r="G1965" s="34" t="str">
        <x:v>RECORDED</x:v>
      </x:c>
      <x:c r="H1965" s="38" t="n">
        <x:f>IF(ISNUMBER('Data'!H257),'Data'!H257*100,"")</x:f>
        <x:v>87.18</x:v>
      </x:c>
      <x:c r="I1965" s="34" t="str">
        <x:v>PASS</x:v>
      </x:c>
      <x:c r="J1965" s="34" t="str">
        <x:v>PASS</x:v>
      </x:c>
      <x:c r="K1965" s="34" t="str">
        <x:v>PASS</x:v>
      </x:c>
      <x:c r="L1965" s="34" t="str">
        <x:v>PASS</x:v>
      </x:c>
      <x:c r="M1965" s="34" t="str">
        <x:v>numeric coverage for applicable metric</x:v>
      </x:c>
      <x:c r="N1965" s="34" t="str">
        <x:v>Feedback-Directed Random Test Generation/Result/Codec_17/result.json</x:v>
      </x:c>
      <x:c r="O1965" s="38" t="n">
        <x:f>IF(AND(G1965="RECORDED",ISNUMBER(H1965)),H1965,"")</x:f>
        <x:v>87.18</x:v>
      </x:c>
      <x:c r="P1965" s="34" t="str">
        <x:v>INCONCLUSIVE</x:v>
      </x:c>
      <x:c r="Q1965" s="34" t="str">
        <x:v>Feedback-Directed Random Test Generation/Result/Codec_17/result.json</x:v>
      </x:c>
    </x:row>
    <x:row r="1966">
      <x:c r="A1966" s="34" t="str">
        <x:v>randoop</x:v>
      </x:c>
      <x:c r="B1966" s="34" t="str">
        <x:v>Codec</x:v>
      </x:c>
      <x:c r="C1966" s="34" t="str">
        <x:v>Round1</x:v>
      </x:c>
      <x:c r="D1966" s="34" t="str">
        <x:v>Codec_18</x:v>
      </x:c>
      <x:c r="E1966" s="34" t="str">
        <x:v>Line</x:v>
      </x:c>
      <x:c r="F1966" s="34" t="n">
        <x:v>39</x:v>
      </x:c>
      <x:c r="G1966" s="34" t="str">
        <x:v>RECORDED</x:v>
      </x:c>
      <x:c r="H1966" s="38" t="n">
        <x:f>IF(ISNUMBER('Data'!H258),'Data'!H258*100,"")</x:f>
        <x:v>87.18</x:v>
      </x:c>
      <x:c r="I1966" s="34" t="str">
        <x:v>PASS</x:v>
      </x:c>
      <x:c r="J1966" s="34" t="str">
        <x:v>PASS</x:v>
      </x:c>
      <x:c r="K1966" s="34" t="str">
        <x:v>PASS</x:v>
      </x:c>
      <x:c r="L1966" s="34" t="str">
        <x:v>PASS</x:v>
      </x:c>
      <x:c r="M1966" s="34" t="str">
        <x:v>numeric coverage for applicable metric</x:v>
      </x:c>
      <x:c r="N1966" s="34" t="str">
        <x:v>Feedback-Directed Random Test Generation/Result/Codec_18/result.json</x:v>
      </x:c>
      <x:c r="O1966" s="38" t="n">
        <x:f>IF(AND(G1966="RECORDED",ISNUMBER(H1966)),H1966,"")</x:f>
        <x:v>87.18</x:v>
      </x:c>
      <x:c r="P1966" s="34" t="str">
        <x:v>NOT_REVEALING</x:v>
      </x:c>
      <x:c r="Q1966" s="34" t="str">
        <x:v>Feedback-Directed Random Test Generation/Result/Codec_18/result.json</x:v>
      </x:c>
    </x:row>
    <x:row r="1967">
      <x:c r="A1967" s="34" t="str">
        <x:v>randoop</x:v>
      </x:c>
      <x:c r="B1967" s="34" t="str">
        <x:v>Collections</x:v>
      </x:c>
      <x:c r="C1967" s="34" t="str">
        <x:v>Round1</x:v>
      </x:c>
      <x:c r="D1967" s="34" t="str">
        <x:v>Collections_1</x:v>
      </x:c>
      <x:c r="E1967" s="34" t="str">
        <x:v>Line</x:v>
      </x:c>
      <x:c r="F1967" s="34" t="n">
        <x:v>491</x:v>
      </x:c>
      <x:c r="G1967" s="34" t="str">
        <x:v>RECORDED</x:v>
      </x:c>
      <x:c r="H1967" s="38" t="n">
        <x:f>IF(ISNUMBER('Data'!H259),'Data'!H259*100,"")</x:f>
        <x:v>13.44</x:v>
      </x:c>
      <x:c r="I1967" s="34" t="str">
        <x:v>PASS</x:v>
      </x:c>
      <x:c r="J1967" s="34" t="str">
        <x:v>PASS</x:v>
      </x:c>
      <x:c r="K1967" s="34" t="str">
        <x:v>PASS</x:v>
      </x:c>
      <x:c r="L1967" s="34" t="str">
        <x:v>FAIL</x:v>
      </x:c>
      <x:c r="M1967" s="34" t="str">
        <x:v>numeric coverage for applicable metric</x:v>
      </x:c>
      <x:c r="N1967" s="34" t="str">
        <x:v>Feedback-Directed Random Test Generation/Result/Collections_1/result.json</x:v>
      </x:c>
      <x:c r="O1967" s="38" t="n">
        <x:f>IF(AND(G1967="RECORDED",ISNUMBER(H1967)),H1967,"")</x:f>
        <x:v>13.44</x:v>
      </x:c>
      <x:c r="P1967" s="34" t="str">
        <x:v>INCONCLUSIVE</x:v>
      </x:c>
      <x:c r="Q1967" s="34" t="str">
        <x:v>Feedback-Directed Random Test Generation/Result/Collections_1/result.json</x:v>
      </x:c>
    </x:row>
    <x:row r="1968">
      <x:c r="A1968" s="34" t="str">
        <x:v>randoop</x:v>
      </x:c>
      <x:c r="B1968" s="34" t="str">
        <x:v>Collections</x:v>
      </x:c>
      <x:c r="C1968" s="34" t="str">
        <x:v>Round1</x:v>
      </x:c>
      <x:c r="D1968" s="34" t="str">
        <x:v>Collections_2</x:v>
      </x:c>
      <x:c r="E1968" s="34" t="str">
        <x:v>Line</x:v>
      </x:c>
      <x:c r="F1968" s="34" t="n">
        <x:v>465</x:v>
      </x:c>
      <x:c r="G1968" s="34" t="str">
        <x:v>RECORDED</x:v>
      </x:c>
      <x:c r="H1968" s="38" t="n">
        <x:f>IF(ISNUMBER('Data'!H260),'Data'!H260*100,"")</x:f>
        <x:v>49.03</x:v>
      </x:c>
      <x:c r="I1968" s="34" t="str">
        <x:v>PASS</x:v>
      </x:c>
      <x:c r="J1968" s="34" t="str">
        <x:v>PASS</x:v>
      </x:c>
      <x:c r="K1968" s="34" t="str">
        <x:v>PASS</x:v>
      </x:c>
      <x:c r="L1968" s="34" t="str">
        <x:v>PASS</x:v>
      </x:c>
      <x:c r="M1968" s="34" t="str">
        <x:v>numeric coverage for applicable metric</x:v>
      </x:c>
      <x:c r="N1968" s="34" t="str">
        <x:v>Feedback-Directed Random Test Generation/Result/Collections_2/result.json</x:v>
      </x:c>
      <x:c r="O1968" s="38" t="n">
        <x:f>IF(AND(G1968="RECORDED",ISNUMBER(H1968)),H1968,"")</x:f>
        <x:v>49.03</x:v>
      </x:c>
      <x:c r="P1968" s="34" t="str">
        <x:v>INCONCLUSIVE</x:v>
      </x:c>
      <x:c r="Q1968" s="34" t="str">
        <x:v>Feedback-Directed Random Test Generation/Result/Collections_2/result.json</x:v>
      </x:c>
    </x:row>
    <x:row r="1969">
      <x:c r="A1969" s="34" t="str">
        <x:v>randoop</x:v>
      </x:c>
      <x:c r="B1969" s="34" t="str">
        <x:v>Collections</x:v>
      </x:c>
      <x:c r="C1969" s="34" t="str">
        <x:v>Round1</x:v>
      </x:c>
      <x:c r="D1969" s="34" t="str">
        <x:v>Collections_3</x:v>
      </x:c>
      <x:c r="E1969" s="34" t="str">
        <x:v>Line</x:v>
      </x:c>
      <x:c r="F1969" s="34" t="n">
        <x:v>329</x:v>
      </x:c>
      <x:c r="G1969" s="34" t="str">
        <x:v>RECORDED</x:v>
      </x:c>
      <x:c r="H1969" s="38" t="n">
        <x:f>IF(ISNUMBER('Data'!H261),'Data'!H261*100,"")</x:f>
        <x:v>38.91</x:v>
      </x:c>
      <x:c r="I1969" s="34" t="str">
        <x:v>PASS</x:v>
      </x:c>
      <x:c r="J1969" s="34" t="str">
        <x:v>PASS</x:v>
      </x:c>
      <x:c r="K1969" s="34" t="str">
        <x:v>PASS</x:v>
      </x:c>
      <x:c r="L1969" s="34" t="str">
        <x:v>FAIL</x:v>
      </x:c>
      <x:c r="M1969" s="34" t="str">
        <x:v>numeric coverage for applicable metric</x:v>
      </x:c>
      <x:c r="N1969" s="34" t="str">
        <x:v>Feedback-Directed Random Test Generation/Result/Collections_3/result.json</x:v>
      </x:c>
      <x:c r="O1969" s="38" t="n">
        <x:f>IF(AND(G1969="RECORDED",ISNUMBER(H1969)),H1969,"")</x:f>
        <x:v>38.91</x:v>
      </x:c>
      <x:c r="P1969" s="34" t="str">
        <x:v>INCONCLUSIVE</x:v>
      </x:c>
      <x:c r="Q1969" s="34" t="str">
        <x:v>Feedback-Directed Random Test Generation/Result/Collections_3/result.json</x:v>
      </x:c>
    </x:row>
    <x:row r="1970">
      <x:c r="A1970" s="34" t="str">
        <x:v>randoop</x:v>
      </x:c>
      <x:c r="B1970" s="34" t="str">
        <x:v>Collections</x:v>
      </x:c>
      <x:c r="C1970" s="34" t="str">
        <x:v>Round1</x:v>
      </x:c>
      <x:c r="D1970" s="34" t="str">
        <x:v>Collections_4</x:v>
      </x:c>
      <x:c r="E1970" s="34" t="str">
        <x:v>Line</x:v>
      </x:c>
      <x:c r="F1970" s="34" t="n">
        <x:v>111</x:v>
      </x:c>
      <x:c r="G1970" s="34" t="str">
        <x:v>RECORDED</x:v>
      </x:c>
      <x:c r="H1970" s="38" t="n">
        <x:f>IF(ISNUMBER('Data'!H262),'Data'!H262*100,"")</x:f>
        <x:v>36.94</x:v>
      </x:c>
      <x:c r="I1970" s="34" t="str">
        <x:v>PASS</x:v>
      </x:c>
      <x:c r="J1970" s="34" t="str">
        <x:v>PASS</x:v>
      </x:c>
      <x:c r="K1970" s="34" t="str">
        <x:v>PASS</x:v>
      </x:c>
      <x:c r="L1970" s="34" t="str">
        <x:v>PASS</x:v>
      </x:c>
      <x:c r="M1970" s="34" t="str">
        <x:v>numeric coverage for applicable metric</x:v>
      </x:c>
      <x:c r="N1970" s="34" t="str">
        <x:v>Feedback-Directed Random Test Generation/Result/Collections_4/result.json</x:v>
      </x:c>
      <x:c r="O1970" s="38" t="n">
        <x:f>IF(AND(G1970="RECORDED",ISNUMBER(H1970)),H1970,"")</x:f>
        <x:v>36.94</x:v>
      </x:c>
      <x:c r="P1970" s="34" t="str">
        <x:v>NOT_REVEALING</x:v>
      </x:c>
      <x:c r="Q1970" s="34" t="str">
        <x:v>Feedback-Directed Random Test Generation/Result/Collections_4/result.json</x:v>
      </x:c>
    </x:row>
    <x:row r="1971">
      <x:c r="A1971" s="34" t="str">
        <x:v>randoop</x:v>
      </x:c>
      <x:c r="B1971" s="34" t="str">
        <x:v>Collections</x:v>
      </x:c>
      <x:c r="C1971" s="34" t="str">
        <x:v>Round1</x:v>
      </x:c>
      <x:c r="D1971" s="34" t="str">
        <x:v>Collections_5</x:v>
      </x:c>
      <x:c r="E1971" s="34" t="str">
        <x:v>Line</x:v>
      </x:c>
      <x:c r="F1971" s="34" t="n">
        <x:v>82</x:v>
      </x:c>
      <x:c r="G1971" s="34" t="str">
        <x:v>RECORDED</x:v>
      </x:c>
      <x:c r="H1971" s="38" t="n">
        <x:f>IF(ISNUMBER('Data'!H263),'Data'!H263*100,"")</x:f>
        <x:v>6.1</x:v>
      </x:c>
      <x:c r="I1971" s="34" t="str">
        <x:v>PASS</x:v>
      </x:c>
      <x:c r="J1971" s="34" t="str">
        <x:v>PASS</x:v>
      </x:c>
      <x:c r="K1971" s="34" t="str">
        <x:v>PASS</x:v>
      </x:c>
      <x:c r="L1971" s="34" t="str">
        <x:v>PASS</x:v>
      </x:c>
      <x:c r="M1971" s="34" t="str">
        <x:v>numeric coverage for applicable metric</x:v>
      </x:c>
      <x:c r="N1971" s="34" t="str">
        <x:v>Feedback-Directed Random Test Generation/Result/Collections_5/result.json</x:v>
      </x:c>
      <x:c r="O1971" s="38" t="n">
        <x:f>IF(AND(G1971="RECORDED",ISNUMBER(H1971)),H1971,"")</x:f>
        <x:v>6.1</x:v>
      </x:c>
      <x:c r="P1971" s="34" t="str">
        <x:v>NOT_REVEALING</x:v>
      </x:c>
      <x:c r="Q1971" s="34" t="str">
        <x:v>Feedback-Directed Random Test Generation/Result/Collections_5/result.json</x:v>
      </x:c>
    </x:row>
    <x:row r="1972">
      <x:c r="A1972" s="34" t="str">
        <x:v>randoop</x:v>
      </x:c>
      <x:c r="B1972" s="34" t="str">
        <x:v>Collections</x:v>
      </x:c>
      <x:c r="C1972" s="34" t="str">
        <x:v>Round1</x:v>
      </x:c>
      <x:c r="D1972" s="34" t="str">
        <x:v>Collections_6</x:v>
      </x:c>
      <x:c r="E1972" s="34" t="str">
        <x:v>Line</x:v>
      </x:c>
      <x:c r="F1972" s="34" t="n">
        <x:v>495</x:v>
      </x:c>
      <x:c r="G1972" s="34" t="str">
        <x:v>RECORDED</x:v>
      </x:c>
      <x:c r="H1972" s="38" t="n">
        <x:f>IF(ISNUMBER('Data'!H264),'Data'!H264*100,"")</x:f>
        <x:v>12.53</x:v>
      </x:c>
      <x:c r="I1972" s="34" t="str">
        <x:v>PASS</x:v>
      </x:c>
      <x:c r="J1972" s="34" t="str">
        <x:v>PASS</x:v>
      </x:c>
      <x:c r="K1972" s="34" t="str">
        <x:v>PASS</x:v>
      </x:c>
      <x:c r="L1972" s="34" t="str">
        <x:v>FAIL</x:v>
      </x:c>
      <x:c r="M1972" s="34" t="str">
        <x:v>numeric coverage for applicable metric</x:v>
      </x:c>
      <x:c r="N1972" s="34" t="str">
        <x:v>Feedback-Directed Random Test Generation/Result/Collections_6/result.json</x:v>
      </x:c>
      <x:c r="O1972" s="38" t="n">
        <x:f>IF(AND(G1972="RECORDED",ISNUMBER(H1972)),H1972,"")</x:f>
        <x:v>12.53</x:v>
      </x:c>
      <x:c r="P1972" s="34" t="str">
        <x:v>INCONCLUSIVE</x:v>
      </x:c>
      <x:c r="Q1972" s="34" t="str">
        <x:v>Feedback-Directed Random Test Generation/Result/Collections_6/result.json</x:v>
      </x:c>
    </x:row>
    <x:row r="1973">
      <x:c r="A1973" s="34" t="str">
        <x:v>randoop</x:v>
      </x:c>
      <x:c r="B1973" s="34" t="str">
        <x:v>Collections</x:v>
      </x:c>
      <x:c r="C1973" s="34" t="str">
        <x:v>Round1</x:v>
      </x:c>
      <x:c r="D1973" s="34" t="str">
        <x:v>Collections_7</x:v>
      </x:c>
      <x:c r="E1973" s="34" t="str">
        <x:v>Line</x:v>
      </x:c>
      <x:c r="F1973" s="34" t="n">
        <x:v>483</x:v>
      </x:c>
      <x:c r="G1973" s="34" t="str">
        <x:v>RECORDED</x:v>
      </x:c>
      <x:c r="H1973" s="38" t="n">
        <x:f>IF(ISNUMBER('Data'!H265),'Data'!H265*100,"")</x:f>
        <x:v>47.83</x:v>
      </x:c>
      <x:c r="I1973" s="34" t="str">
        <x:v>PASS</x:v>
      </x:c>
      <x:c r="J1973" s="34" t="str">
        <x:v>PASS</x:v>
      </x:c>
      <x:c r="K1973" s="34" t="str">
        <x:v>PASS</x:v>
      </x:c>
      <x:c r="L1973" s="34" t="str">
        <x:v>PASS</x:v>
      </x:c>
      <x:c r="M1973" s="34" t="str">
        <x:v>numeric coverage for applicable metric</x:v>
      </x:c>
      <x:c r="N1973" s="34" t="str">
        <x:v>Feedback-Directed Random Test Generation/Result/Collections_7/result.json</x:v>
      </x:c>
      <x:c r="O1973" s="38" t="n">
        <x:f>IF(AND(G1973="RECORDED",ISNUMBER(H1973)),H1973,"")</x:f>
        <x:v>47.83</x:v>
      </x:c>
      <x:c r="P1973" s="34" t="str">
        <x:v>NOT_REVEALING</x:v>
      </x:c>
      <x:c r="Q1973" s="34" t="str">
        <x:v>Feedback-Directed Random Test Generation/Result/Collections_7/result.json</x:v>
      </x:c>
    </x:row>
    <x:row r="1974">
      <x:c r="A1974" s="34" t="str">
        <x:v>randoop</x:v>
      </x:c>
      <x:c r="B1974" s="34" t="str">
        <x:v>Collections</x:v>
      </x:c>
      <x:c r="C1974" s="34" t="str">
        <x:v>Round1</x:v>
      </x:c>
      <x:c r="D1974" s="34" t="str">
        <x:v>Collections_8</x:v>
      </x:c>
      <x:c r="E1974" s="34" t="str">
        <x:v>Line</x:v>
      </x:c>
      <x:c r="F1974" s="34" t="n">
        <x:v>88</x:v>
      </x:c>
      <x:c r="G1974" s="34" t="str">
        <x:v>RECORDED</x:v>
      </x:c>
      <x:c r="H1974" s="38" t="n">
        <x:f>IF(ISNUMBER('Data'!H266),'Data'!H266*100,"")</x:f>
        <x:v>62.5</x:v>
      </x:c>
      <x:c r="I1974" s="34" t="str">
        <x:v>PASS</x:v>
      </x:c>
      <x:c r="J1974" s="34" t="str">
        <x:v>PASS</x:v>
      </x:c>
      <x:c r="K1974" s="34" t="str">
        <x:v>PASS</x:v>
      </x:c>
      <x:c r="L1974" s="34" t="str">
        <x:v>PASS</x:v>
      </x:c>
      <x:c r="M1974" s="34" t="str">
        <x:v>numeric coverage for applicable metric</x:v>
      </x:c>
      <x:c r="N1974" s="34" t="str">
        <x:v>Feedback-Directed Random Test Generation/Result/Collections_8/result.json</x:v>
      </x:c>
      <x:c r="O1974" s="38" t="n">
        <x:f>IF(AND(G1974="RECORDED",ISNUMBER(H1974)),H1974,"")</x:f>
        <x:v>62.5</x:v>
      </x:c>
      <x:c r="P1974" s="34" t="str">
        <x:v>NOT_REVEALING</x:v>
      </x:c>
      <x:c r="Q1974" s="34" t="str">
        <x:v>Feedback-Directed Random Test Generation/Result/Collections_8/result.json</x:v>
      </x:c>
    </x:row>
    <x:row r="1975">
      <x:c r="A1975" s="34" t="str">
        <x:v>randoop</x:v>
      </x:c>
      <x:c r="B1975" s="34" t="str">
        <x:v>Collections</x:v>
      </x:c>
      <x:c r="C1975" s="34" t="str">
        <x:v>Round1</x:v>
      </x:c>
      <x:c r="D1975" s="34" t="str">
        <x:v>Collections_9</x:v>
      </x:c>
      <x:c r="E1975" s="34" t="str">
        <x:v>Line</x:v>
      </x:c>
      <x:c r="F1975" s="34" t="n">
        <x:v>491</x:v>
      </x:c>
      <x:c r="G1975" s="34" t="str">
        <x:v>RECORDED</x:v>
      </x:c>
      <x:c r="H1975" s="38" t="n">
        <x:f>IF(ISNUMBER('Data'!H267),'Data'!H267*100,"")</x:f>
        <x:v>56.61999999999999</x:v>
      </x:c>
      <x:c r="I1975" s="34" t="str">
        <x:v>PASS</x:v>
      </x:c>
      <x:c r="J1975" s="34" t="str">
        <x:v>PASS</x:v>
      </x:c>
      <x:c r="K1975" s="34" t="str">
        <x:v>PASS</x:v>
      </x:c>
      <x:c r="L1975" s="34" t="str">
        <x:v>PASS</x:v>
      </x:c>
      <x:c r="M1975" s="34" t="str">
        <x:v>numeric coverage for applicable metric</x:v>
      </x:c>
      <x:c r="N1975" s="34" t="str">
        <x:v>Feedback-Directed Random Test Generation/Result/Collections_9/result.json</x:v>
      </x:c>
      <x:c r="O1975" s="38" t="n">
        <x:f>IF(AND(G1975="RECORDED",ISNUMBER(H1975)),H1975,"")</x:f>
        <x:v>56.61999999999999</x:v>
      </x:c>
      <x:c r="P1975" s="34" t="str">
        <x:v>NOT_REVEALING</x:v>
      </x:c>
      <x:c r="Q1975" s="34" t="str">
        <x:v>Feedback-Directed Random Test Generation/Result/Collections_9/result.json</x:v>
      </x:c>
    </x:row>
    <x:row r="1976">
      <x:c r="A1976" s="34" t="str">
        <x:v>randoop</x:v>
      </x:c>
      <x:c r="B1976" s="34" t="str">
        <x:v>Collections</x:v>
      </x:c>
      <x:c r="C1976" s="34" t="str">
        <x:v>Round1</x:v>
      </x:c>
      <x:c r="D1976" s="34" t="str">
        <x:v>Collections_10</x:v>
      </x:c>
      <x:c r="E1976" s="34" t="str">
        <x:v>Line</x:v>
      </x:c>
      <x:c r="F1976" s="34" t="n">
        <x:v>119</x:v>
      </x:c>
      <x:c r="G1976" s="34" t="str">
        <x:v>RECORDED</x:v>
      </x:c>
      <x:c r="H1976" s="38" t="n">
        <x:f>IF(ISNUMBER('Data'!H268),'Data'!H268*100,"")</x:f>
        <x:v>35.29</x:v>
      </x:c>
      <x:c r="I1976" s="34" t="str">
        <x:v>PASS</x:v>
      </x:c>
      <x:c r="J1976" s="34" t="str">
        <x:v>PASS</x:v>
      </x:c>
      <x:c r="K1976" s="34" t="str">
        <x:v>PASS</x:v>
      </x:c>
      <x:c r="L1976" s="34" t="str">
        <x:v>PASS</x:v>
      </x:c>
      <x:c r="M1976" s="34" t="str">
        <x:v>numeric coverage for applicable metric</x:v>
      </x:c>
      <x:c r="N1976" s="34" t="str">
        <x:v>Feedback-Directed Random Test Generation/Result/Collections_10/result.json</x:v>
      </x:c>
      <x:c r="O1976" s="38" t="n">
        <x:f>IF(AND(G1976="RECORDED",ISNUMBER(H1976)),H1976,"")</x:f>
        <x:v>35.29</x:v>
      </x:c>
      <x:c r="P1976" s="34" t="str">
        <x:v>NOT_REVEALING</x:v>
      </x:c>
      <x:c r="Q1976" s="34" t="str">
        <x:v>Feedback-Directed Random Test Generation/Result/Collections_10/result.json</x:v>
      </x:c>
    </x:row>
    <x:row r="1977">
      <x:c r="A1977" s="34" t="str">
        <x:v>randoop</x:v>
      </x:c>
      <x:c r="B1977" s="34" t="str">
        <x:v>Collections</x:v>
      </x:c>
      <x:c r="C1977" s="34" t="str">
        <x:v>Round1</x:v>
      </x:c>
      <x:c r="D1977" s="34" t="str">
        <x:v>Collections_11</x:v>
      </x:c>
      <x:c r="E1977" s="34" t="str">
        <x:v>Line</x:v>
      </x:c>
      <x:c r="F1977" s="34" t="n">
        <x:v>35</x:v>
      </x:c>
      <x:c r="G1977" s="34" t="str">
        <x:v>RECORDED</x:v>
      </x:c>
      <x:c r="H1977" s="38" t="n">
        <x:f>IF(ISNUMBER('Data'!H269),'Data'!H269*100,"")</x:f>
        <x:v>97.14</x:v>
      </x:c>
      <x:c r="I1977" s="34" t="str">
        <x:v>PASS</x:v>
      </x:c>
      <x:c r="J1977" s="34" t="str">
        <x:v>PASS</x:v>
      </x:c>
      <x:c r="K1977" s="34" t="str">
        <x:v>PASS</x:v>
      </x:c>
      <x:c r="L1977" s="34" t="str">
        <x:v>PASS</x:v>
      </x:c>
      <x:c r="M1977" s="34" t="str">
        <x:v>numeric coverage for applicable metric</x:v>
      </x:c>
      <x:c r="N1977" s="34" t="str">
        <x:v>Feedback-Directed Random Test Generation/Result/Collections_11/result.json</x:v>
      </x:c>
      <x:c r="O1977" s="38" t="n">
        <x:f>IF(AND(G1977="RECORDED",ISNUMBER(H1977)),H1977,"")</x:f>
        <x:v>97.14</x:v>
      </x:c>
      <x:c r="P1977" s="34" t="str">
        <x:v>NOT_REVEALING</x:v>
      </x:c>
      <x:c r="Q1977" s="34" t="str">
        <x:v>Feedback-Directed Random Test Generation/Result/Collections_11/result.json</x:v>
      </x:c>
    </x:row>
    <x:row r="1978">
      <x:c r="A1978" s="34" t="str">
        <x:v>randoop</x:v>
      </x:c>
      <x:c r="B1978" s="34" t="str">
        <x:v>Collections</x:v>
      </x:c>
      <x:c r="C1978" s="34" t="str">
        <x:v>Round1</x:v>
      </x:c>
      <x:c r="D1978" s="34" t="str">
        <x:v>Collections_12</x:v>
      </x:c>
      <x:c r="E1978" s="34" t="str">
        <x:v>Line</x:v>
      </x:c>
      <x:c r="F1978" s="34" t="n">
        <x:v>489</x:v>
      </x:c>
      <x:c r="G1978" s="34" t="str">
        <x:v>RECORDED</x:v>
      </x:c>
      <x:c r="H1978" s="38" t="n">
        <x:f>IF(ISNUMBER('Data'!H270),'Data'!H270*100,"")</x:f>
        <x:v>56.85</x:v>
      </x:c>
      <x:c r="I1978" s="34" t="str">
        <x:v>PASS</x:v>
      </x:c>
      <x:c r="J1978" s="34" t="str">
        <x:v>PASS</x:v>
      </x:c>
      <x:c r="K1978" s="34" t="str">
        <x:v>PASS</x:v>
      </x:c>
      <x:c r="L1978" s="34" t="str">
        <x:v>PASS</x:v>
      </x:c>
      <x:c r="M1978" s="34" t="str">
        <x:v>numeric coverage for applicable metric</x:v>
      </x:c>
      <x:c r="N1978" s="34" t="str">
        <x:v>Feedback-Directed Random Test Generation/Result/Collections_12/result.json</x:v>
      </x:c>
      <x:c r="O1978" s="38" t="n">
        <x:f>IF(AND(G1978="RECORDED",ISNUMBER(H1978)),H1978,"")</x:f>
        <x:v>56.85</x:v>
      </x:c>
      <x:c r="P1978" s="34" t="str">
        <x:v>NOT_REVEALING</x:v>
      </x:c>
      <x:c r="Q1978" s="34" t="str">
        <x:v>Feedback-Directed Random Test Generation/Result/Collections_12/result.json</x:v>
      </x:c>
    </x:row>
    <x:row r="1979">
      <x:c r="A1979" s="34" t="str">
        <x:v>randoop</x:v>
      </x:c>
      <x:c r="B1979" s="34" t="str">
        <x:v>Collections</x:v>
      </x:c>
      <x:c r="C1979" s="34" t="str">
        <x:v>Round1</x:v>
      </x:c>
      <x:c r="D1979" s="34" t="str">
        <x:v>Collections_13</x:v>
      </x:c>
      <x:c r="E1979" s="34" t="str">
        <x:v>Line</x:v>
      </x:c>
      <x:c r="F1979" s="34" t="n">
        <x:v>490</x:v>
      </x:c>
      <x:c r="G1979" s="34" t="str">
        <x:v>RECORDED</x:v>
      </x:c>
      <x:c r="H1979" s="38" t="n">
        <x:f>IF(ISNUMBER('Data'!H271),'Data'!H271*100,"")</x:f>
        <x:v>56.940000000000005</x:v>
      </x:c>
      <x:c r="I1979" s="34" t="str">
        <x:v>PASS</x:v>
      </x:c>
      <x:c r="J1979" s="34" t="str">
        <x:v>PASS</x:v>
      </x:c>
      <x:c r="K1979" s="34" t="str">
        <x:v>PASS</x:v>
      </x:c>
      <x:c r="L1979" s="34" t="str">
        <x:v>PASS</x:v>
      </x:c>
      <x:c r="M1979" s="34" t="str">
        <x:v>numeric coverage for applicable metric</x:v>
      </x:c>
      <x:c r="N1979" s="34" t="str">
        <x:v>Feedback-Directed Random Test Generation/Result/Collections_13/result.json</x:v>
      </x:c>
      <x:c r="O1979" s="38" t="n">
        <x:f>IF(AND(G1979="RECORDED",ISNUMBER(H1979)),H1979,"")</x:f>
        <x:v>56.940000000000005</x:v>
      </x:c>
      <x:c r="P1979" s="34" t="str">
        <x:v>NOT_REVEALING</x:v>
      </x:c>
      <x:c r="Q1979" s="34" t="str">
        <x:v>Feedback-Directed Random Test Generation/Result/Collections_13/result.json</x:v>
      </x:c>
    </x:row>
    <x:row r="1980">
      <x:c r="A1980" s="34" t="str">
        <x:v>randoop</x:v>
      </x:c>
      <x:c r="B1980" s="34" t="str">
        <x:v>Collections</x:v>
      </x:c>
      <x:c r="C1980" s="34" t="str">
        <x:v>Round1</x:v>
      </x:c>
      <x:c r="D1980" s="34" t="str">
        <x:v>Collections_14</x:v>
      </x:c>
      <x:c r="E1980" s="34" t="str">
        <x:v>Line</x:v>
      </x:c>
      <x:c r="F1980" s="34" t="n">
        <x:v>18</x:v>
      </x:c>
      <x:c r="G1980" s="34" t="str">
        <x:v>RECORDED</x:v>
      </x:c>
      <x:c r="H1980" s="38" t="n">
        <x:f>IF(ISNUMBER('Data'!H272),'Data'!H272*100,"")</x:f>
        <x:v>50</x:v>
      </x:c>
      <x:c r="I1980" s="34" t="str">
        <x:v>PASS</x:v>
      </x:c>
      <x:c r="J1980" s="34" t="str">
        <x:v>PASS</x:v>
      </x:c>
      <x:c r="K1980" s="34" t="str">
        <x:v>PASS</x:v>
      </x:c>
      <x:c r="L1980" s="34" t="str">
        <x:v>PASS</x:v>
      </x:c>
      <x:c r="M1980" s="34" t="str">
        <x:v>numeric coverage for applicable metric</x:v>
      </x:c>
      <x:c r="N1980" s="34" t="str">
        <x:v>Feedback-Directed Random Test Generation/Result/Collections_14/result.json</x:v>
      </x:c>
      <x:c r="O1980" s="38" t="n">
        <x:f>IF(AND(G1980="RECORDED",ISNUMBER(H1980)),H1980,"")</x:f>
        <x:v>50</x:v>
      </x:c>
      <x:c r="P1980" s="34" t="str">
        <x:v>NOT_REVEALING</x:v>
      </x:c>
      <x:c r="Q1980" s="34" t="str">
        <x:v>Feedback-Directed Random Test Generation/Result/Collections_14/result.json</x:v>
      </x:c>
    </x:row>
    <x:row r="1981">
      <x:c r="A1981" s="34" t="str">
        <x:v>randoop</x:v>
      </x:c>
      <x:c r="B1981" s="34" t="str">
        <x:v>Collections</x:v>
      </x:c>
      <x:c r="C1981" s="34" t="str">
        <x:v>Round1</x:v>
      </x:c>
      <x:c r="D1981" s="34" t="str">
        <x:v>Collections_15</x:v>
      </x:c>
      <x:c r="E1981" s="34" t="str">
        <x:v>Line</x:v>
      </x:c>
      <x:c r="F1981" s="34" t="n">
        <x:v>86</x:v>
      </x:c>
      <x:c r="G1981" s="34" t="str">
        <x:v>RECORDED</x:v>
      </x:c>
      <x:c r="H1981" s="38" t="n">
        <x:f>IF(ISNUMBER('Data'!H273),'Data'!H273*100,"")</x:f>
        <x:v>5.81</x:v>
      </x:c>
      <x:c r="I1981" s="34" t="str">
        <x:v>PASS</x:v>
      </x:c>
      <x:c r="J1981" s="34" t="str">
        <x:v>PASS</x:v>
      </x:c>
      <x:c r="K1981" s="34" t="str">
        <x:v>PASS</x:v>
      </x:c>
      <x:c r="L1981" s="34" t="str">
        <x:v>PASS</x:v>
      </x:c>
      <x:c r="M1981" s="34" t="str">
        <x:v>numeric coverage for applicable metric</x:v>
      </x:c>
      <x:c r="N1981" s="34" t="str">
        <x:v>Feedback-Directed Random Test Generation/Result/Collections_15/result.json</x:v>
      </x:c>
      <x:c r="O1981" s="38" t="n">
        <x:f>IF(AND(G1981="RECORDED",ISNUMBER(H1981)),H1981,"")</x:f>
        <x:v>5.81</x:v>
      </x:c>
      <x:c r="P1981" s="34" t="str">
        <x:v>NOT_REVEALING</x:v>
      </x:c>
      <x:c r="Q1981" s="34" t="str">
        <x:v>Feedback-Directed Random Test Generation/Result/Collections_15/result.json</x:v>
      </x:c>
    </x:row>
    <x:row r="1982">
      <x:c r="A1982" s="34" t="str">
        <x:v>randoop</x:v>
      </x:c>
      <x:c r="B1982" s="34" t="str">
        <x:v>Collections</x:v>
      </x:c>
      <x:c r="C1982" s="34" t="str">
        <x:v>Round1</x:v>
      </x:c>
      <x:c r="D1982" s="34" t="str">
        <x:v>Collections_16</x:v>
      </x:c>
      <x:c r="E1982" s="34" t="str">
        <x:v>Line</x:v>
      </x:c>
      <x:c r="F1982" s="34" t="n">
        <x:v>86</x:v>
      </x:c>
      <x:c r="G1982" s="34" t="str">
        <x:v>RECORDED</x:v>
      </x:c>
      <x:c r="H1982" s="38" t="n">
        <x:f>IF(ISNUMBER('Data'!H274),'Data'!H274*100,"")</x:f>
        <x:v>5.81</x:v>
      </x:c>
      <x:c r="I1982" s="34" t="str">
        <x:v>PASS</x:v>
      </x:c>
      <x:c r="J1982" s="34" t="str">
        <x:v>PASS</x:v>
      </x:c>
      <x:c r="K1982" s="34" t="str">
        <x:v>PASS</x:v>
      </x:c>
      <x:c r="L1982" s="34" t="str">
        <x:v>PASS</x:v>
      </x:c>
      <x:c r="M1982" s="34" t="str">
        <x:v>numeric coverage for applicable metric</x:v>
      </x:c>
      <x:c r="N1982" s="34" t="str">
        <x:v>Feedback-Directed Random Test Generation/Result/Collections_16/result.json</x:v>
      </x:c>
      <x:c r="O1982" s="38" t="n">
        <x:f>IF(AND(G1982="RECORDED",ISNUMBER(H1982)),H1982,"")</x:f>
        <x:v>5.81</x:v>
      </x:c>
      <x:c r="P1982" s="34" t="str">
        <x:v>NOT_REVEALING</x:v>
      </x:c>
      <x:c r="Q1982" s="34" t="str">
        <x:v>Feedback-Directed Random Test Generation/Result/Collections_16/result.json</x:v>
      </x:c>
    </x:row>
    <x:row r="1983">
      <x:c r="A1983" s="34" t="str">
        <x:v>randoop</x:v>
      </x:c>
      <x:c r="B1983" s="34" t="str">
        <x:v>Collections</x:v>
      </x:c>
      <x:c r="C1983" s="34" t="str">
        <x:v>Round1</x:v>
      </x:c>
      <x:c r="D1983" s="34" t="str">
        <x:v>Collections_17</x:v>
      </x:c>
      <x:c r="E1983" s="34" t="str">
        <x:v>Line</x:v>
      </x:c>
      <x:c r="F1983" s="34" t="n">
        <x:v>14</x:v>
      </x:c>
      <x:c r="G1983" s="34" t="str">
        <x:v>RECORDED</x:v>
      </x:c>
      <x:c r="H1983" s="38" t="n">
        <x:f>IF(ISNUMBER('Data'!H275),'Data'!H275*100,"")</x:f>
        <x:v>71.43</x:v>
      </x:c>
      <x:c r="I1983" s="34" t="str">
        <x:v>PASS</x:v>
      </x:c>
      <x:c r="J1983" s="34" t="str">
        <x:v>PASS</x:v>
      </x:c>
      <x:c r="K1983" s="34" t="str">
        <x:v>PASS</x:v>
      </x:c>
      <x:c r="L1983" s="34" t="str">
        <x:v>PASS</x:v>
      </x:c>
      <x:c r="M1983" s="34" t="str">
        <x:v>numeric coverage for applicable metric</x:v>
      </x:c>
      <x:c r="N1983" s="34" t="str">
        <x:v>Feedback-Directed Random Test Generation/Result/Collections_17/result.json</x:v>
      </x:c>
      <x:c r="O1983" s="38" t="n">
        <x:f>IF(AND(G1983="RECORDED",ISNUMBER(H1983)),H1983,"")</x:f>
        <x:v>71.43</x:v>
      </x:c>
      <x:c r="P1983" s="34" t="str">
        <x:v>INCONCLUSIVE</x:v>
      </x:c>
      <x:c r="Q1983" s="34" t="str">
        <x:v>Feedback-Directed Random Test Generation/Result/Collections_17/result.json</x:v>
      </x:c>
    </x:row>
    <x:row r="1984">
      <x:c r="A1984" s="34" t="str">
        <x:v>randoop</x:v>
      </x:c>
      <x:c r="B1984" s="34" t="str">
        <x:v>Collections</x:v>
      </x:c>
      <x:c r="C1984" s="34" t="str">
        <x:v>Round1</x:v>
      </x:c>
      <x:c r="D1984" s="34" t="str">
        <x:v>Collections_18</x:v>
      </x:c>
      <x:c r="E1984" s="34" t="str">
        <x:v>Line</x:v>
      </x:c>
      <x:c r="F1984" s="34" t="n">
        <x:v>93</x:v>
      </x:c>
      <x:c r="G1984" s="34" t="str">
        <x:v>RECORDED</x:v>
      </x:c>
      <x:c r="H1984" s="38" t="n">
        <x:f>IF(ISNUMBER('Data'!H276),'Data'!H276*100,"")</x:f>
        <x:v>76.34</x:v>
      </x:c>
      <x:c r="I1984" s="34" t="str">
        <x:v>PASS</x:v>
      </x:c>
      <x:c r="J1984" s="34" t="str">
        <x:v>PASS</x:v>
      </x:c>
      <x:c r="K1984" s="34" t="str">
        <x:v>PASS</x:v>
      </x:c>
      <x:c r="L1984" s="34" t="str">
        <x:v>FAIL</x:v>
      </x:c>
      <x:c r="M1984" s="34" t="str">
        <x:v>numeric coverage for applicable metric</x:v>
      </x:c>
      <x:c r="N1984" s="34" t="str">
        <x:v>Feedback-Directed Random Test Generation/Result/Collections_18/result.json</x:v>
      </x:c>
      <x:c r="O1984" s="38" t="n">
        <x:f>IF(AND(G1984="RECORDED",ISNUMBER(H1984)),H1984,"")</x:f>
        <x:v>76.34</x:v>
      </x:c>
      <x:c r="P1984" s="34" t="str">
        <x:v>INCONCLUSIVE</x:v>
      </x:c>
      <x:c r="Q1984" s="34" t="str">
        <x:v>Feedback-Directed Random Test Generation/Result/Collections_18/result.json</x:v>
      </x:c>
    </x:row>
    <x:row r="1985">
      <x:c r="A1985" s="34" t="str">
        <x:v>randoop</x:v>
      </x:c>
      <x:c r="B1985" s="34" t="str">
        <x:v>Collections</x:v>
      </x:c>
      <x:c r="C1985" s="34" t="str">
        <x:v>Round1</x:v>
      </x:c>
      <x:c r="D1985" s="34" t="str">
        <x:v>Collections_19</x:v>
      </x:c>
      <x:c r="E1985" s="34" t="str">
        <x:v>Line</x:v>
      </x:c>
      <x:c r="F1985" s="34" t="n">
        <x:v>109</x:v>
      </x:c>
      <x:c r="G1985" s="34" t="str">
        <x:v>RECORDED</x:v>
      </x:c>
      <x:c r="H1985" s="38" t="n">
        <x:f>IF(ISNUMBER('Data'!H277),'Data'!H277*100,"")</x:f>
        <x:v>56.879999999999995</x:v>
      </x:c>
      <x:c r="I1985" s="34" t="str">
        <x:v>PASS</x:v>
      </x:c>
      <x:c r="J1985" s="34" t="str">
        <x:v>PASS</x:v>
      </x:c>
      <x:c r="K1985" s="34" t="str">
        <x:v>PASS</x:v>
      </x:c>
      <x:c r="L1985" s="34" t="str">
        <x:v>PASS</x:v>
      </x:c>
      <x:c r="M1985" s="34" t="str">
        <x:v>numeric coverage for applicable metric</x:v>
      </x:c>
      <x:c r="N1985" s="34" t="str">
        <x:v>Feedback-Directed Random Test Generation/Result/Collections_19/result.json</x:v>
      </x:c>
      <x:c r="O1985" s="38" t="n">
        <x:f>IF(AND(G1985="RECORDED",ISNUMBER(H1985)),H1985,"")</x:f>
        <x:v>56.879999999999995</x:v>
      </x:c>
      <x:c r="P1985" s="34" t="str">
        <x:v>NOT_REVEALING</x:v>
      </x:c>
      <x:c r="Q1985" s="34" t="str">
        <x:v>Feedback-Directed Random Test Generation/Result/Collections_19/result.json</x:v>
      </x:c>
    </x:row>
    <x:row r="1986">
      <x:c r="A1986" s="34" t="str">
        <x:v>randoop</x:v>
      </x:c>
      <x:c r="B1986" s="34" t="str">
        <x:v>Collections</x:v>
      </x:c>
      <x:c r="C1986" s="34" t="str">
        <x:v>Round1</x:v>
      </x:c>
      <x:c r="D1986" s="34" t="str">
        <x:v>Collections_20</x:v>
      </x:c>
      <x:c r="E1986" s="34" t="str">
        <x:v>Line</x:v>
      </x:c>
      <x:c r="F1986" s="34" t="n">
        <x:v>293</x:v>
      </x:c>
      <x:c r="G1986" s="34" t="str">
        <x:v>RECORDED</x:v>
      </x:c>
      <x:c r="H1986" s="38" t="n">
        <x:f>IF(ISNUMBER('Data'!H278),'Data'!H278*100,"")</x:f>
        <x:v>46.42</x:v>
      </x:c>
      <x:c r="I1986" s="34" t="str">
        <x:v>PASS</x:v>
      </x:c>
      <x:c r="J1986" s="34" t="str">
        <x:v>PASS</x:v>
      </x:c>
      <x:c r="K1986" s="34" t="str">
        <x:v>PASS</x:v>
      </x:c>
      <x:c r="L1986" s="34" t="str">
        <x:v>PASS</x:v>
      </x:c>
      <x:c r="M1986" s="34" t="str">
        <x:v>numeric coverage for applicable metric</x:v>
      </x:c>
      <x:c r="N1986" s="34" t="str">
        <x:v>Feedback-Directed Random Test Generation/Result/Collections_20/result.json</x:v>
      </x:c>
      <x:c r="O1986" s="38" t="n">
        <x:f>IF(AND(G1986="RECORDED",ISNUMBER(H1986)),H1986,"")</x:f>
        <x:v>46.42</x:v>
      </x:c>
      <x:c r="P1986" s="34" t="str">
        <x:v>NOT_REVEALING</x:v>
      </x:c>
      <x:c r="Q1986" s="34" t="str">
        <x:v>Feedback-Directed Random Test Generation/Result/Collections_20/result.json</x:v>
      </x:c>
    </x:row>
    <x:row r="1987">
      <x:c r="A1987" s="34" t="str">
        <x:v>randoop</x:v>
      </x:c>
      <x:c r="B1987" s="34" t="str">
        <x:v>Collections</x:v>
      </x:c>
      <x:c r="C1987" s="34" t="str">
        <x:v>Round1</x:v>
      </x:c>
      <x:c r="D1987" s="34" t="str">
        <x:v>Collections_21</x:v>
      </x:c>
      <x:c r="E1987" s="34" t="str">
        <x:v>Line</x:v>
      </x:c>
      <x:c r="F1987" s="34" t="n">
        <x:v>109</x:v>
      </x:c>
      <x:c r="G1987" s="34" t="str">
        <x:v>RECORDED</x:v>
      </x:c>
      <x:c r="H1987" s="38" t="n">
        <x:f>IF(ISNUMBER('Data'!H279),'Data'!H279*100,"")</x:f>
        <x:v>56.879999999999995</x:v>
      </x:c>
      <x:c r="I1987" s="34" t="str">
        <x:v>PASS</x:v>
      </x:c>
      <x:c r="J1987" s="34" t="str">
        <x:v>PASS</x:v>
      </x:c>
      <x:c r="K1987" s="34" t="str">
        <x:v>PASS</x:v>
      </x:c>
      <x:c r="L1987" s="34" t="str">
        <x:v>PASS</x:v>
      </x:c>
      <x:c r="M1987" s="34" t="str">
        <x:v>numeric coverage for applicable metric</x:v>
      </x:c>
      <x:c r="N1987" s="34" t="str">
        <x:v>Feedback-Directed Random Test Generation/Result/Collections_21/result.json</x:v>
      </x:c>
      <x:c r="O1987" s="38" t="n">
        <x:f>IF(AND(G1987="RECORDED",ISNUMBER(H1987)),H1987,"")</x:f>
        <x:v>56.879999999999995</x:v>
      </x:c>
      <x:c r="P1987" s="34" t="str">
        <x:v>NOT_REVEALING</x:v>
      </x:c>
      <x:c r="Q1987" s="34" t="str">
        <x:v>Feedback-Directed Random Test Generation/Result/Collections_21/result.json</x:v>
      </x:c>
    </x:row>
    <x:row r="1988">
      <x:c r="A1988" s="34" t="str">
        <x:v>randoop</x:v>
      </x:c>
      <x:c r="B1988" s="34" t="str">
        <x:v>Collections</x:v>
      </x:c>
      <x:c r="C1988" s="34" t="str">
        <x:v>Round1</x:v>
      </x:c>
      <x:c r="D1988" s="34" t="str">
        <x:v>Collections_22</x:v>
      </x:c>
      <x:c r="E1988" s="34" t="str">
        <x:v>Line</x:v>
      </x:c>
      <x:c r="F1988" s="34" t="n">
        <x:v>195</x:v>
      </x:c>
      <x:c r="G1988" s="34" t="str">
        <x:v>RECORDED</x:v>
      </x:c>
      <x:c r="H1988" s="38" t="n">
        <x:f>IF(ISNUMBER('Data'!H280),'Data'!H280*100,"")</x:f>
        <x:v>28.720000000000002</x:v>
      </x:c>
      <x:c r="I1988" s="34" t="str">
        <x:v>PASS</x:v>
      </x:c>
      <x:c r="J1988" s="34" t="str">
        <x:v>PASS</x:v>
      </x:c>
      <x:c r="K1988" s="34" t="str">
        <x:v>PASS</x:v>
      </x:c>
      <x:c r="L1988" s="34" t="str">
        <x:v>FAIL</x:v>
      </x:c>
      <x:c r="M1988" s="34" t="str">
        <x:v>numeric coverage for applicable metric</x:v>
      </x:c>
      <x:c r="N1988" s="34" t="str">
        <x:v>Feedback-Directed Random Test Generation/Result/Collections_22/result.json</x:v>
      </x:c>
      <x:c r="O1988" s="38" t="n">
        <x:f>IF(AND(G1988="RECORDED",ISNUMBER(H1988)),H1988,"")</x:f>
        <x:v>28.720000000000002</x:v>
      </x:c>
      <x:c r="P1988" s="34" t="str">
        <x:v>INCONCLUSIVE</x:v>
      </x:c>
      <x:c r="Q1988" s="34" t="str">
        <x:v>Feedback-Directed Random Test Generation/Result/Collections_22/result.json</x:v>
      </x:c>
    </x:row>
    <x:row r="1989">
      <x:c r="A1989" s="34" t="str">
        <x:v>randoop</x:v>
      </x:c>
      <x:c r="B1989" s="34" t="str">
        <x:v>Collections</x:v>
      </x:c>
      <x:c r="C1989" s="34" t="str">
        <x:v>Round1</x:v>
      </x:c>
      <x:c r="D1989" s="34" t="str">
        <x:v>Collections_23</x:v>
      </x:c>
      <x:c r="E1989" s="34" t="str">
        <x:v>Line</x:v>
      </x:c>
      <x:c r="F1989" s="34" t="n">
        <x:v>34</x:v>
      </x:c>
      <x:c r="G1989" s="34" t="str">
        <x:v>RECORDED</x:v>
      </x:c>
      <x:c r="H1989" s="38" t="n">
        <x:f>IF(ISNUMBER('Data'!H281),'Data'!H281*100,"")</x:f>
        <x:v>0</x:v>
      </x:c>
      <x:c r="I1989" s="34" t="str">
        <x:v>PASS</x:v>
      </x:c>
      <x:c r="J1989" s="34" t="str">
        <x:v>PASS</x:v>
      </x:c>
      <x:c r="K1989" s="34" t="str">
        <x:v>PASS</x:v>
      </x:c>
      <x:c r="L1989" s="34" t="str">
        <x:v>PASS</x:v>
      </x:c>
      <x:c r="M1989" s="34" t="str">
        <x:v>numeric coverage for applicable metric</x:v>
      </x:c>
      <x:c r="N1989" s="34" t="str">
        <x:v>Feedback-Directed Random Test Generation/Result/Collections_23/result.json</x:v>
      </x:c>
      <x:c r="O1989" s="38" t="n">
        <x:f>IF(AND(G1989="RECORDED",ISNUMBER(H1989)),H1989,"")</x:f>
        <x:v>0</x:v>
      </x:c>
      <x:c r="P1989" s="34" t="str">
        <x:v>NOT_REVEALING</x:v>
      </x:c>
      <x:c r="Q1989" s="34" t="str">
        <x:v>Feedback-Directed Random Test Generation/Result/Collections_23/result.json</x:v>
      </x:c>
    </x:row>
    <x:row r="1990">
      <x:c r="A1990" s="34" t="str">
        <x:v>randoop</x:v>
      </x:c>
      <x:c r="B1990" s="34" t="str">
        <x:v>Collections</x:v>
      </x:c>
      <x:c r="C1990" s="34" t="str">
        <x:v>Round1</x:v>
      </x:c>
      <x:c r="D1990" s="34" t="str">
        <x:v>Collections_24</x:v>
      </x:c>
      <x:c r="E1990" s="34" t="str">
        <x:v>Line</x:v>
      </x:c>
      <x:c r="F1990" s="34" t="n">
        <x:v>26</x:v>
      </x:c>
      <x:c r="G1990" s="34" t="str">
        <x:v>RECORDED</x:v>
      </x:c>
      <x:c r="H1990" s="38" t="n">
        <x:f>IF(ISNUMBER('Data'!H282),'Data'!H282*100,"")</x:f>
        <x:v>0</x:v>
      </x:c>
      <x:c r="I1990" s="34" t="str">
        <x:v>PASS</x:v>
      </x:c>
      <x:c r="J1990" s="34" t="str">
        <x:v>PASS</x:v>
      </x:c>
      <x:c r="K1990" s="34" t="str">
        <x:v>PASS</x:v>
      </x:c>
      <x:c r="L1990" s="34" t="str">
        <x:v>PASS</x:v>
      </x:c>
      <x:c r="M1990" s="34" t="str">
        <x:v>numeric coverage for applicable metric</x:v>
      </x:c>
      <x:c r="N1990" s="34" t="str">
        <x:v>Feedback-Directed Random Test Generation/Result/Collections_24/result.json</x:v>
      </x:c>
      <x:c r="O1990" s="38" t="n">
        <x:f>IF(AND(G1990="RECORDED",ISNUMBER(H1990)),H1990,"")</x:f>
        <x:v>0</x:v>
      </x:c>
      <x:c r="P1990" s="34" t="str">
        <x:v>NOT_REVEALING</x:v>
      </x:c>
      <x:c r="Q1990" s="34" t="str">
        <x:v>Feedback-Directed Random Test Generation/Result/Collections_24/result.json</x:v>
      </x:c>
    </x:row>
    <x:row r="1991">
      <x:c r="A1991" s="34" t="str">
        <x:v>randoop</x:v>
      </x:c>
      <x:c r="B1991" s="34" t="str">
        <x:v>Collections</x:v>
      </x:c>
      <x:c r="C1991" s="34" t="str">
        <x:v>Round1</x:v>
      </x:c>
      <x:c r="D1991" s="34" t="str">
        <x:v>Collections_25</x:v>
      </x:c>
      <x:c r="E1991" s="34" t="str">
        <x:v>Line</x:v>
      </x:c>
      <x:c r="F1991" s="34" t="n">
        <x:v>213</x:v>
      </x:c>
      <x:c r="G1991" s="34" t="str">
        <x:v>RECORDED</x:v>
      </x:c>
      <x:c r="H1991" s="38" t="n">
        <x:f>IF(ISNUMBER('Data'!H283),'Data'!H283*100,"")</x:f>
        <x:v>20.66</x:v>
      </x:c>
      <x:c r="I1991" s="34" t="str">
        <x:v>PASS</x:v>
      </x:c>
      <x:c r="J1991" s="34" t="str">
        <x:v>PASS</x:v>
      </x:c>
      <x:c r="K1991" s="34" t="str">
        <x:v>PASS</x:v>
      </x:c>
      <x:c r="L1991" s="34" t="str">
        <x:v>PASS</x:v>
      </x:c>
      <x:c r="M1991" s="34" t="str">
        <x:v>numeric coverage for applicable metric</x:v>
      </x:c>
      <x:c r="N1991" s="34" t="str">
        <x:v>Feedback-Directed Random Test Generation/Result/Collections_25/result.json</x:v>
      </x:c>
      <x:c r="O1991" s="38" t="n">
        <x:f>IF(AND(G1991="RECORDED",ISNUMBER(H1991)),H1991,"")</x:f>
        <x:v>20.66</x:v>
      </x:c>
      <x:c r="P1991" s="34" t="str">
        <x:v>NOT_REVEALING</x:v>
      </x:c>
      <x:c r="Q1991" s="34" t="str">
        <x:v>Feedback-Directed Random Test Generation/Result/Collections_25/result.json</x:v>
      </x:c>
    </x:row>
    <x:row r="1992">
      <x:c r="A1992" s="34" t="str">
        <x:v>randoop</x:v>
      </x:c>
      <x:c r="B1992" s="34" t="str">
        <x:v>Collections</x:v>
      </x:c>
      <x:c r="C1992" s="34" t="str">
        <x:v>Round1</x:v>
      </x:c>
      <x:c r="D1992" s="34" t="str">
        <x:v>Collections_26</x:v>
      </x:c>
      <x:c r="E1992" s="34" t="str">
        <x:v>Line</x:v>
      </x:c>
      <x:c r="F1992" s="34" t="n">
        <x:v>37</x:v>
      </x:c>
      <x:c r="G1992" s="34" t="str">
        <x:v>RECORDED</x:v>
      </x:c>
      <x:c r="H1992" s="38" t="n">
        <x:f>IF(ISNUMBER('Data'!H284),'Data'!H284*100,"")</x:f>
        <x:v>91.89</x:v>
      </x:c>
      <x:c r="I1992" s="34" t="str">
        <x:v>PASS</x:v>
      </x:c>
      <x:c r="J1992" s="34" t="str">
        <x:v>PASS</x:v>
      </x:c>
      <x:c r="K1992" s="34" t="str">
        <x:v>PASS</x:v>
      </x:c>
      <x:c r="L1992" s="34" t="str">
        <x:v>PASS</x:v>
      </x:c>
      <x:c r="M1992" s="34" t="str">
        <x:v>numeric coverage for applicable metric</x:v>
      </x:c>
      <x:c r="N1992" s="34" t="str">
        <x:v>Feedback-Directed Random Test Generation/Result/Collections_26/result.json</x:v>
      </x:c>
      <x:c r="O1992" s="38" t="n">
        <x:f>IF(AND(G1992="RECORDED",ISNUMBER(H1992)),H1992,"")</x:f>
        <x:v>91.89</x:v>
      </x:c>
      <x:c r="P1992" s="34" t="str">
        <x:v>NOT_REVEALING</x:v>
      </x:c>
      <x:c r="Q1992" s="34" t="str">
        <x:v>Feedback-Directed Random Test Generation/Result/Collections_26/result.json</x:v>
      </x:c>
    </x:row>
    <x:row r="1993">
      <x:c r="A1993" s="34" t="str">
        <x:v>randoop</x:v>
      </x:c>
      <x:c r="B1993" s="34" t="str">
        <x:v>Collections</x:v>
      </x:c>
      <x:c r="C1993" s="34" t="str">
        <x:v>Round1</x:v>
      </x:c>
      <x:c r="D1993" s="34" t="str">
        <x:v>Collections_27</x:v>
      </x:c>
      <x:c r="E1993" s="34" t="str">
        <x:v>Line</x:v>
      </x:c>
      <x:c r="F1993" s="34" t="n">
        <x:v>127</x:v>
      </x:c>
      <x:c r="G1993" s="34" t="str">
        <x:v>RECORDED</x:v>
      </x:c>
      <x:c r="H1993" s="38" t="n">
        <x:f>IF(ISNUMBER('Data'!H285),'Data'!H285*100,"")</x:f>
        <x:v>42.52</x:v>
      </x:c>
      <x:c r="I1993" s="34" t="str">
        <x:v>PASS</x:v>
      </x:c>
      <x:c r="J1993" s="34" t="str">
        <x:v>PASS</x:v>
      </x:c>
      <x:c r="K1993" s="34" t="str">
        <x:v>PASS</x:v>
      </x:c>
      <x:c r="L1993" s="34" t="str">
        <x:v>PASS</x:v>
      </x:c>
      <x:c r="M1993" s="34" t="str">
        <x:v>numeric coverage for applicable metric</x:v>
      </x:c>
      <x:c r="N1993" s="34" t="str">
        <x:v>Feedback-Directed Random Test Generation/Result/Collections_27/result.json</x:v>
      </x:c>
      <x:c r="O1993" s="38" t="n">
        <x:f>IF(AND(G1993="RECORDED",ISNUMBER(H1993)),H1993,"")</x:f>
        <x:v>42.52</x:v>
      </x:c>
      <x:c r="P1993" s="34" t="str">
        <x:v>NOT_REVEALING</x:v>
      </x:c>
      <x:c r="Q1993" s="34" t="str">
        <x:v>Feedback-Directed Random Test Generation/Result/Collections_27/result.json</x:v>
      </x:c>
    </x:row>
    <x:row r="1994">
      <x:c r="A1994" s="34" t="str">
        <x:v>randoop</x:v>
      </x:c>
      <x:c r="B1994" s="34" t="str">
        <x:v>Collections</x:v>
      </x:c>
      <x:c r="C1994" s="34" t="str">
        <x:v>Round1</x:v>
      </x:c>
      <x:c r="D1994" s="34" t="str">
        <x:v>Collections_28</x:v>
      </x:c>
      <x:c r="E1994" s="34" t="str">
        <x:v>Line</x:v>
      </x:c>
      <x:c r="F1994" s="34" t="n">
        <x:v>823</x:v>
      </x:c>
      <x:c r="G1994" s="34" t="str">
        <x:v>RECORDED</x:v>
      </x:c>
      <x:c r="H1994" s="38" t="n">
        <x:f>IF(ISNUMBER('Data'!H286),'Data'!H286*100,"")</x:f>
        <x:v>3.8900000000000006</x:v>
      </x:c>
      <x:c r="I1994" s="34" t="str">
        <x:v>PASS</x:v>
      </x:c>
      <x:c r="J1994" s="34" t="str">
        <x:v>PASS</x:v>
      </x:c>
      <x:c r="K1994" s="34" t="str">
        <x:v>PASS</x:v>
      </x:c>
      <x:c r="L1994" s="34" t="str">
        <x:v>PASS</x:v>
      </x:c>
      <x:c r="M1994" s="34" t="str">
        <x:v>numeric coverage for applicable metric</x:v>
      </x:c>
      <x:c r="N1994" s="34" t="str">
        <x:v>Feedback-Directed Random Test Generation/Result/Collections_28/result.json</x:v>
      </x:c>
      <x:c r="O1994" s="38" t="n">
        <x:f>IF(AND(G1994="RECORDED",ISNUMBER(H1994)),H1994,"")</x:f>
        <x:v>3.8900000000000006</x:v>
      </x:c>
      <x:c r="P1994" s="34" t="str">
        <x:v>NOT_REVEALING</x:v>
      </x:c>
      <x:c r="Q1994" s="34" t="str">
        <x:v>Feedback-Directed Random Test Generation/Result/Collections_28/result.json</x:v>
      </x:c>
    </x:row>
    <x:row r="1995">
      <x:c r="A1995" s="34" t="str">
        <x:v>randoop</x:v>
      </x:c>
      <x:c r="B1995" s="34" t="str">
        <x:v>Compress</x:v>
      </x:c>
      <x:c r="C1995" s="34" t="str">
        <x:v>Round1</x:v>
      </x:c>
      <x:c r="D1995" s="34" t="str">
        <x:v>Compress_1</x:v>
      </x:c>
      <x:c r="E1995" s="34" t="str">
        <x:v>Line</x:v>
      </x:c>
      <x:c r="F1995" s="34" t="n">
        <x:v>164</x:v>
      </x:c>
      <x:c r="G1995" s="34" t="str">
        <x:v>RECORDED</x:v>
      </x:c>
      <x:c r="H1995" s="38" t="n">
        <x:f>IF(ISNUMBER('Data'!H287),'Data'!H287*100,"")</x:f>
        <x:v>29.270000000000003</x:v>
      </x:c>
      <x:c r="I1995" s="34" t="str">
        <x:v>PASS</x:v>
      </x:c>
      <x:c r="J1995" s="34" t="str">
        <x:v>PASS</x:v>
      </x:c>
      <x:c r="K1995" s="34" t="str">
        <x:v>PASS</x:v>
      </x:c>
      <x:c r="L1995" s="34" t="str">
        <x:v>PASS</x:v>
      </x:c>
      <x:c r="M1995" s="34" t="str">
        <x:v>numeric coverage for applicable metric</x:v>
      </x:c>
      <x:c r="N1995" s="34" t="str">
        <x:v>Feedback-Directed Random Test Generation/Result/Compress_1/result.json</x:v>
      </x:c>
      <x:c r="O1995" s="38" t="n">
        <x:f>IF(AND(G1995="RECORDED",ISNUMBER(H1995)),H1995,"")</x:f>
        <x:v>29.270000000000003</x:v>
      </x:c>
      <x:c r="P1995" s="34" t="str">
        <x:v>INCONCLUSIVE</x:v>
      </x:c>
      <x:c r="Q1995" s="34" t="str">
        <x:v>Feedback-Directed Random Test Generation/Result/Compress_1/result.json</x:v>
      </x:c>
    </x:row>
    <x:row r="1996">
      <x:c r="A1996" s="34" t="str">
        <x:v>randoop</x:v>
      </x:c>
      <x:c r="B1996" s="34" t="str">
        <x:v>Compress</x:v>
      </x:c>
      <x:c r="C1996" s="34" t="str">
        <x:v>Round1</x:v>
      </x:c>
      <x:c r="D1996" s="34" t="str">
        <x:v>Compress_2</x:v>
      </x:c>
      <x:c r="E1996" s="34" t="str">
        <x:v>Line</x:v>
      </x:c>
      <x:c r="F1996" s="34" t="n">
        <x:v>73</x:v>
      </x:c>
      <x:c r="G1996" s="34" t="str">
        <x:v>RECORDED</x:v>
      </x:c>
      <x:c r="H1996" s="38" t="n">
        <x:f>IF(ISNUMBER('Data'!H288),'Data'!H288*100,"")</x:f>
        <x:v>28.77</x:v>
      </x:c>
      <x:c r="I1996" s="34" t="str">
        <x:v>PASS</x:v>
      </x:c>
      <x:c r="J1996" s="34" t="str">
        <x:v>PASS</x:v>
      </x:c>
      <x:c r="K1996" s="34" t="str">
        <x:v>PASS</x:v>
      </x:c>
      <x:c r="L1996" s="34" t="str">
        <x:v>PASS</x:v>
      </x:c>
      <x:c r="M1996" s="34" t="str">
        <x:v>numeric coverage for applicable metric</x:v>
      </x:c>
      <x:c r="N1996" s="34" t="str">
        <x:v>Feedback-Directed Random Test Generation/Result/Compress_2/result.json</x:v>
      </x:c>
      <x:c r="O1996" s="38" t="n">
        <x:f>IF(AND(G1996="RECORDED",ISNUMBER(H1996)),H1996,"")</x:f>
        <x:v>28.77</x:v>
      </x:c>
      <x:c r="P1996" s="34" t="str">
        <x:v>NOT_REVEALING</x:v>
      </x:c>
      <x:c r="Q1996" s="34" t="str">
        <x:v>Feedback-Directed Random Test Generation/Result/Compress_2/result.json</x:v>
      </x:c>
    </x:row>
    <x:row r="1997">
      <x:c r="A1997" s="34" t="str">
        <x:v>randoop</x:v>
      </x:c>
      <x:c r="B1997" s="34" t="str">
        <x:v>Compress</x:v>
      </x:c>
      <x:c r="C1997" s="34" t="str">
        <x:v>Round1</x:v>
      </x:c>
      <x:c r="D1997" s="34" t="str">
        <x:v>Compress_3</x:v>
      </x:c>
      <x:c r="E1997" s="34" t="str">
        <x:v>Line</x:v>
      </x:c>
      <x:c r="F1997" s="34" t="n">
        <x:v>90</x:v>
      </x:c>
      <x:c r="G1997" s="34" t="str">
        <x:v>RECORDED</x:v>
      </x:c>
      <x:c r="H1997" s="38" t="n">
        <x:f>IF(ISNUMBER('Data'!H289),'Data'!H289*100,"")</x:f>
        <x:v>42.22</x:v>
      </x:c>
      <x:c r="I1997" s="34" t="str">
        <x:v>PASS</x:v>
      </x:c>
      <x:c r="J1997" s="34" t="str">
        <x:v>PASS</x:v>
      </x:c>
      <x:c r="K1997" s="34" t="str">
        <x:v>PASS</x:v>
      </x:c>
      <x:c r="L1997" s="34" t="str">
        <x:v>PASS</x:v>
      </x:c>
      <x:c r="M1997" s="34" t="str">
        <x:v>numeric coverage for applicable metric</x:v>
      </x:c>
      <x:c r="N1997" s="34" t="str">
        <x:v>Feedback-Directed Random Test Generation/Result/Compress_3/result.json</x:v>
      </x:c>
      <x:c r="O1997" s="38" t="n">
        <x:f>IF(AND(G1997="RECORDED",ISNUMBER(H1997)),H1997,"")</x:f>
        <x:v>42.22</x:v>
      </x:c>
      <x:c r="P1997" s="34" t="str">
        <x:v>NOT_REVEALING</x:v>
      </x:c>
      <x:c r="Q1997" s="34" t="str">
        <x:v>Feedback-Directed Random Test Generation/Result/Compress_3/result.json</x:v>
      </x:c>
    </x:row>
    <x:row r="1998">
      <x:c r="A1998" s="34" t="str">
        <x:v>randoop</x:v>
      </x:c>
      <x:c r="B1998" s="34" t="str">
        <x:v>Compress</x:v>
      </x:c>
      <x:c r="C1998" s="34" t="str">
        <x:v>Round1</x:v>
      </x:c>
      <x:c r="D1998" s="34" t="str">
        <x:v>Compress_4</x:v>
      </x:c>
      <x:c r="E1998" s="34" t="str">
        <x:v>Line</x:v>
      </x:c>
      <x:c r="F1998" s="34" t="n">
        <x:v>616</x:v>
      </x:c>
      <x:c r="G1998" s="34" t="str">
        <x:v>RECORDED</x:v>
      </x:c>
      <x:c r="H1998" s="38" t="n">
        <x:f>IF(ISNUMBER('Data'!H290),'Data'!H290*100,"")</x:f>
        <x:v>17.21</x:v>
      </x:c>
      <x:c r="I1998" s="34" t="str">
        <x:v>PASS</x:v>
      </x:c>
      <x:c r="J1998" s="34" t="str">
        <x:v>PASS</x:v>
      </x:c>
      <x:c r="K1998" s="34" t="str">
        <x:v>PASS</x:v>
      </x:c>
      <x:c r="L1998" s="34" t="str">
        <x:v>PASS</x:v>
      </x:c>
      <x:c r="M1998" s="34" t="str">
        <x:v>numeric coverage for applicable metric</x:v>
      </x:c>
      <x:c r="N1998" s="34" t="str">
        <x:v>Feedback-Directed Random Test Generation/Result/Compress_4/result.json</x:v>
      </x:c>
      <x:c r="O1998" s="38" t="n">
        <x:f>IF(AND(G1998="RECORDED",ISNUMBER(H1998)),H1998,"")</x:f>
        <x:v>17.21</x:v>
      </x:c>
      <x:c r="P1998" s="34" t="str">
        <x:v>INCONCLUSIVE</x:v>
      </x:c>
      <x:c r="Q1998" s="34" t="str">
        <x:v>Feedback-Directed Random Test Generation/Result/Compress_4/result.json</x:v>
      </x:c>
    </x:row>
    <x:row r="1999">
      <x:c r="A1999" s="34" t="str">
        <x:v>randoop</x:v>
      </x:c>
      <x:c r="B1999" s="34" t="str">
        <x:v>Compress</x:v>
      </x:c>
      <x:c r="C1999" s="34" t="str">
        <x:v>Round1</x:v>
      </x:c>
      <x:c r="D1999" s="34" t="str">
        <x:v>Compress_5</x:v>
      </x:c>
      <x:c r="E1999" s="34" t="str">
        <x:v>Line</x:v>
      </x:c>
      <x:c r="F1999" s="34" t="n">
        <x:v>161</x:v>
      </x:c>
      <x:c r="G1999" s="34" t="str">
        <x:v>RECORDED</x:v>
      </x:c>
      <x:c r="H1999" s="38" t="n">
        <x:f>IF(ISNUMBER('Data'!H291),'Data'!H291*100,"")</x:f>
        <x:v>33.54</x:v>
      </x:c>
      <x:c r="I1999" s="34" t="str">
        <x:v>PASS</x:v>
      </x:c>
      <x:c r="J1999" s="34" t="str">
        <x:v>PASS</x:v>
      </x:c>
      <x:c r="K1999" s="34" t="str">
        <x:v>PASS</x:v>
      </x:c>
      <x:c r="L1999" s="34" t="str">
        <x:v>PASS</x:v>
      </x:c>
      <x:c r="M1999" s="34" t="str">
        <x:v>numeric coverage for applicable metric</x:v>
      </x:c>
      <x:c r="N1999" s="34" t="str">
        <x:v>Feedback-Directed Random Test Generation/Result/Compress_5/result.json</x:v>
      </x:c>
      <x:c r="O1999" s="38" t="n">
        <x:f>IF(AND(G1999="RECORDED",ISNUMBER(H1999)),H1999,"")</x:f>
        <x:v>33.54</x:v>
      </x:c>
      <x:c r="P1999" s="34" t="str">
        <x:v>NOT_REVEALING</x:v>
      </x:c>
      <x:c r="Q1999" s="34" t="str">
        <x:v>Feedback-Directed Random Test Generation/Result/Compress_5/result.json</x:v>
      </x:c>
    </x:row>
    <x:row r="2000">
      <x:c r="A2000" s="34" t="str">
        <x:v>randoop</x:v>
      </x:c>
      <x:c r="B2000" s="34" t="str">
        <x:v>Compress</x:v>
      </x:c>
      <x:c r="C2000" s="34" t="str">
        <x:v>Round1</x:v>
      </x:c>
      <x:c r="D2000" s="34" t="str">
        <x:v>Compress_6</x:v>
      </x:c>
      <x:c r="E2000" s="34" t="str">
        <x:v>Line</x:v>
      </x:c>
      <x:c r="F2000" s="34" t="n">
        <x:v>136</x:v>
      </x:c>
      <x:c r="G2000" s="34" t="str">
        <x:v>RECORDED</x:v>
      </x:c>
      <x:c r="H2000" s="38" t="n">
        <x:f>IF(ISNUMBER('Data'!H292),'Data'!H292*100,"")</x:f>
        <x:v>47.06</x:v>
      </x:c>
      <x:c r="I2000" s="34" t="str">
        <x:v>PASS</x:v>
      </x:c>
      <x:c r="J2000" s="34" t="str">
        <x:v>PASS</x:v>
      </x:c>
      <x:c r="K2000" s="34" t="str">
        <x:v>PASS</x:v>
      </x:c>
      <x:c r="L2000" s="34" t="str">
        <x:v>FAIL</x:v>
      </x:c>
      <x:c r="M2000" s="34" t="str">
        <x:v>numeric coverage for applicable metric</x:v>
      </x:c>
      <x:c r="N2000" s="34" t="str">
        <x:v>Feedback-Directed Random Test Generation/Result/Compress_6/result.json</x:v>
      </x:c>
      <x:c r="O2000" s="38" t="n">
        <x:f>IF(AND(G2000="RECORDED",ISNUMBER(H2000)),H2000,"")</x:f>
        <x:v>47.06</x:v>
      </x:c>
      <x:c r="P2000" s="34" t="str">
        <x:v>INCONCLUSIVE</x:v>
      </x:c>
      <x:c r="Q2000" s="34" t="str">
        <x:v>Feedback-Directed Random Test Generation/Result/Compress_6/result.json</x:v>
      </x:c>
    </x:row>
    <x:row r="2001">
      <x:c r="A2001" s="34" t="str">
        <x:v>randoop</x:v>
      </x:c>
      <x:c r="B2001" s="34" t="str">
        <x:v>Compress</x:v>
      </x:c>
      <x:c r="C2001" s="34" t="str">
        <x:v>Round1</x:v>
      </x:c>
      <x:c r="D2001" s="34" t="str">
        <x:v>Compress_7</x:v>
      </x:c>
      <x:c r="E2001" s="34" t="str">
        <x:v>Line</x:v>
      </x:c>
      <x:c r="F2001" s="34" t="n">
        <x:v>63</x:v>
      </x:c>
      <x:c r="G2001" s="34" t="str">
        <x:v>RECORDED</x:v>
      </x:c>
      <x:c r="H2001" s="38" t="n">
        <x:f>IF(ISNUMBER('Data'!H293),'Data'!H293*100,"")</x:f>
        <x:v>74.6</x:v>
      </x:c>
      <x:c r="I2001" s="34" t="str">
        <x:v>PASS</x:v>
      </x:c>
      <x:c r="J2001" s="34" t="str">
        <x:v>PASS</x:v>
      </x:c>
      <x:c r="K2001" s="34" t="str">
        <x:v>PASS</x:v>
      </x:c>
      <x:c r="L2001" s="34" t="str">
        <x:v>PASS</x:v>
      </x:c>
      <x:c r="M2001" s="34" t="str">
        <x:v>numeric coverage for applicable metric</x:v>
      </x:c>
      <x:c r="N2001" s="34" t="str">
        <x:v>Feedback-Directed Random Test Generation/Result/Compress_7/result.json</x:v>
      </x:c>
      <x:c r="O2001" s="38" t="n">
        <x:f>IF(AND(G2001="RECORDED",ISNUMBER(H2001)),H2001,"")</x:f>
        <x:v>74.6</x:v>
      </x:c>
      <x:c r="P2001" s="34" t="str">
        <x:v>INCONCLUSIVE</x:v>
      </x:c>
      <x:c r="Q2001" s="34" t="str">
        <x:v>Feedback-Directed Random Test Generation/Result/Compress_7/result.json</x:v>
      </x:c>
    </x:row>
    <x:row r="2002">
      <x:c r="A2002" s="34" t="str">
        <x:v>randoop</x:v>
      </x:c>
      <x:c r="B2002" s="34" t="str">
        <x:v>Compress</x:v>
      </x:c>
      <x:c r="C2002" s="34" t="str">
        <x:v>Round1</x:v>
      </x:c>
      <x:c r="D2002" s="34" t="str">
        <x:v>Compress_8</x:v>
      </x:c>
      <x:c r="E2002" s="34" t="str">
        <x:v>Line</x:v>
      </x:c>
      <x:c r="F2002" s="34" t="n">
        <x:v>70</x:v>
      </x:c>
      <x:c r="G2002" s="34" t="str">
        <x:v>RECORDED</x:v>
      </x:c>
      <x:c r="H2002" s="38" t="n">
        <x:f>IF(ISNUMBER('Data'!H294),'Data'!H294*100,"")</x:f>
        <x:v>77.14</x:v>
      </x:c>
      <x:c r="I2002" s="34" t="str">
        <x:v>PASS</x:v>
      </x:c>
      <x:c r="J2002" s="34" t="str">
        <x:v>PASS</x:v>
      </x:c>
      <x:c r="K2002" s="34" t="str">
        <x:v>PASS</x:v>
      </x:c>
      <x:c r="L2002" s="34" t="str">
        <x:v>PASS</x:v>
      </x:c>
      <x:c r="M2002" s="34" t="str">
        <x:v>numeric coverage for applicable metric</x:v>
      </x:c>
      <x:c r="N2002" s="34" t="str">
        <x:v>Feedback-Directed Random Test Generation/Result/Compress_8/result.json</x:v>
      </x:c>
      <x:c r="O2002" s="38" t="n">
        <x:f>IF(AND(G2002="RECORDED",ISNUMBER(H2002)),H2002,"")</x:f>
        <x:v>77.14</x:v>
      </x:c>
      <x:c r="P2002" s="34" t="str">
        <x:v>INCONCLUSIVE</x:v>
      </x:c>
      <x:c r="Q2002" s="34" t="str">
        <x:v>Feedback-Directed Random Test Generation/Result/Compress_8/result.json</x:v>
      </x:c>
    </x:row>
    <x:row r="2003">
      <x:c r="A2003" s="34" t="str">
        <x:v>randoop</x:v>
      </x:c>
      <x:c r="B2003" s="34" t="str">
        <x:v>Compress</x:v>
      </x:c>
      <x:c r="C2003" s="34" t="str">
        <x:v>Round1</x:v>
      </x:c>
      <x:c r="D2003" s="34" t="str">
        <x:v>Compress_9</x:v>
      </x:c>
      <x:c r="E2003" s="34" t="str">
        <x:v>Line</x:v>
      </x:c>
      <x:c r="F2003" s="34" t="n">
        <x:v>110</x:v>
      </x:c>
      <x:c r="G2003" s="34" t="str">
        <x:v>RECORDED</x:v>
      </x:c>
      <x:c r="H2003" s="38" t="n">
        <x:f>IF(ISNUMBER('Data'!H295),'Data'!H295*100,"")</x:f>
        <x:v>40</x:v>
      </x:c>
      <x:c r="I2003" s="34" t="str">
        <x:v>PASS</x:v>
      </x:c>
      <x:c r="J2003" s="34" t="str">
        <x:v>PASS</x:v>
      </x:c>
      <x:c r="K2003" s="34" t="str">
        <x:v>PASS</x:v>
      </x:c>
      <x:c r="L2003" s="34" t="str">
        <x:v>PASS</x:v>
      </x:c>
      <x:c r="M2003" s="34" t="str">
        <x:v>numeric coverage for applicable metric</x:v>
      </x:c>
      <x:c r="N2003" s="34" t="str">
        <x:v>Feedback-Directed Random Test Generation/Result/Compress_9/result.json</x:v>
      </x:c>
      <x:c r="O2003" s="38" t="n">
        <x:f>IF(AND(G2003="RECORDED",ISNUMBER(H2003)),H2003,"")</x:f>
        <x:v>40</x:v>
      </x:c>
      <x:c r="P2003" s="34" t="str">
        <x:v>NOT_REVEALING</x:v>
      </x:c>
      <x:c r="Q2003" s="34" t="str">
        <x:v>Feedback-Directed Random Test Generation/Result/Compress_9/result.json</x:v>
      </x:c>
    </x:row>
    <x:row r="2004">
      <x:c r="A2004" s="34" t="str">
        <x:v>randoop</x:v>
      </x:c>
      <x:c r="B2004" s="34" t="str">
        <x:v>Compress</x:v>
      </x:c>
      <x:c r="C2004" s="34" t="str">
        <x:v>Round1</x:v>
      </x:c>
      <x:c r="D2004" s="34" t="str">
        <x:v>Compress_10</x:v>
      </x:c>
      <x:c r="E2004" s="34" t="str">
        <x:v>Line</x:v>
      </x:c>
      <x:c r="F2004" s="34" t="n">
        <x:v>304</x:v>
      </x:c>
      <x:c r="G2004" s="34" t="str">
        <x:v>RECORDED</x:v>
      </x:c>
      <x:c r="H2004" s="38" t="n">
        <x:f>IF(ISNUMBER('Data'!H296),'Data'!H296*100,"")</x:f>
        <x:v>5.92</x:v>
      </x:c>
      <x:c r="I2004" s="34" t="str">
        <x:v>PASS</x:v>
      </x:c>
      <x:c r="J2004" s="34" t="str">
        <x:v>PASS</x:v>
      </x:c>
      <x:c r="K2004" s="34" t="str">
        <x:v>PASS</x:v>
      </x:c>
      <x:c r="L2004" s="34" t="str">
        <x:v>PASS</x:v>
      </x:c>
      <x:c r="M2004" s="34" t="str">
        <x:v>numeric coverage for applicable metric</x:v>
      </x:c>
      <x:c r="N2004" s="34" t="str">
        <x:v>Feedback-Directed Random Test Generation/Result/Compress_10/result.json</x:v>
      </x:c>
      <x:c r="O2004" s="38" t="n">
        <x:f>IF(AND(G2004="RECORDED",ISNUMBER(H2004)),H2004,"")</x:f>
        <x:v>5.92</x:v>
      </x:c>
      <x:c r="P2004" s="34" t="str">
        <x:v>NOT_REVEALING</x:v>
      </x:c>
      <x:c r="Q2004" s="34" t="str">
        <x:v>Feedback-Directed Random Test Generation/Result/Compress_10/result.json</x:v>
      </x:c>
    </x:row>
    <x:row r="2005">
      <x:c r="A2005" s="34" t="str">
        <x:v>randoop</x:v>
      </x:c>
      <x:c r="B2005" s="34" t="str">
        <x:v>Compress</x:v>
      </x:c>
      <x:c r="C2005" s="34" t="str">
        <x:v>Round1</x:v>
      </x:c>
      <x:c r="D2005" s="34" t="str">
        <x:v>Compress_11</x:v>
      </x:c>
      <x:c r="E2005" s="34" t="str">
        <x:v>Line</x:v>
      </x:c>
      <x:c r="F2005" s="34" t="n">
        <x:v>69</x:v>
      </x:c>
      <x:c r="G2005" s="34" t="str">
        <x:v>RECORDED</x:v>
      </x:c>
      <x:c r="H2005" s="38" t="n">
        <x:f>IF(ISNUMBER('Data'!H297),'Data'!H297*100,"")</x:f>
        <x:v>13.04</x:v>
      </x:c>
      <x:c r="I2005" s="34" t="str">
        <x:v>PASS</x:v>
      </x:c>
      <x:c r="J2005" s="34" t="str">
        <x:v>PASS</x:v>
      </x:c>
      <x:c r="K2005" s="34" t="str">
        <x:v>PASS</x:v>
      </x:c>
      <x:c r="L2005" s="34" t="str">
        <x:v>PASS</x:v>
      </x:c>
      <x:c r="M2005" s="34" t="str">
        <x:v>numeric coverage for applicable metric</x:v>
      </x:c>
      <x:c r="N2005" s="34" t="str">
        <x:v>Feedback-Directed Random Test Generation/Result/Compress_11/result.json</x:v>
      </x:c>
      <x:c r="O2005" s="38" t="n">
        <x:f>IF(AND(G2005="RECORDED",ISNUMBER(H2005)),H2005,"")</x:f>
        <x:v>13.04</x:v>
      </x:c>
      <x:c r="P2005" s="34" t="str">
        <x:v>NOT_REVEALING</x:v>
      </x:c>
      <x:c r="Q2005" s="34" t="str">
        <x:v>Feedback-Directed Random Test Generation/Result/Compress_11/result.json</x:v>
      </x:c>
    </x:row>
    <x:row r="2006">
      <x:c r="A2006" s="34" t="str">
        <x:v>randoop</x:v>
      </x:c>
      <x:c r="B2006" s="34" t="str">
        <x:v>Compress</x:v>
      </x:c>
      <x:c r="C2006" s="34" t="str">
        <x:v>Round1</x:v>
      </x:c>
      <x:c r="D2006" s="34" t="str">
        <x:v>Compress_12</x:v>
      </x:c>
      <x:c r="E2006" s="34" t="str">
        <x:v>Line</x:v>
      </x:c>
      <x:c r="F2006" s="34" t="n">
        <x:v>195</x:v>
      </x:c>
      <x:c r="G2006" s="34" t="str">
        <x:v>RECORDED</x:v>
      </x:c>
      <x:c r="H2006" s="38" t="n">
        <x:f>IF(ISNUMBER('Data'!H298),'Data'!H298*100,"")</x:f>
        <x:v>26.669999999999998</x:v>
      </x:c>
      <x:c r="I2006" s="34" t="str">
        <x:v>PASS</x:v>
      </x:c>
      <x:c r="J2006" s="34" t="str">
        <x:v>PASS</x:v>
      </x:c>
      <x:c r="K2006" s="34" t="str">
        <x:v>PASS</x:v>
      </x:c>
      <x:c r="L2006" s="34" t="str">
        <x:v>PASS</x:v>
      </x:c>
      <x:c r="M2006" s="34" t="str">
        <x:v>numeric coverage for applicable metric</x:v>
      </x:c>
      <x:c r="N2006" s="34" t="str">
        <x:v>Feedback-Directed Random Test Generation/Result/Compress_12/result.json</x:v>
      </x:c>
      <x:c r="O2006" s="38" t="n">
        <x:f>IF(AND(G2006="RECORDED",ISNUMBER(H2006)),H2006,"")</x:f>
        <x:v>26.669999999999998</x:v>
      </x:c>
      <x:c r="P2006" s="34" t="str">
        <x:v>NOT_REVEALING</x:v>
      </x:c>
      <x:c r="Q2006" s="34" t="str">
        <x:v>Feedback-Directed Random Test Generation/Result/Compress_12/result.json</x:v>
      </x:c>
    </x:row>
    <x:row r="2007">
      <x:c r="A2007" s="34" t="str">
        <x:v>randoop</x:v>
      </x:c>
      <x:c r="B2007" s="34" t="str">
        <x:v>Compress</x:v>
      </x:c>
      <x:c r="C2007" s="34" t="str">
        <x:v>Round1</x:v>
      </x:c>
      <x:c r="D2007" s="34" t="str">
        <x:v>Compress_13</x:v>
      </x:c>
      <x:c r="E2007" s="34" t="str">
        <x:v>Line</x:v>
      </x:c>
      <x:c r="F2007" s="34" t="n">
        <x:v>200</x:v>
      </x:c>
      <x:c r="G2007" s="34" t="str">
        <x:v>RECORDED</x:v>
      </x:c>
      <x:c r="H2007" s="38" t="n">
        <x:f>IF(ISNUMBER('Data'!H299),'Data'!H299*100,"")</x:f>
        <x:v>46.5</x:v>
      </x:c>
      <x:c r="I2007" s="34" t="str">
        <x:v>PASS</x:v>
      </x:c>
      <x:c r="J2007" s="34" t="str">
        <x:v>PASS</x:v>
      </x:c>
      <x:c r="K2007" s="34" t="str">
        <x:v>PASS</x:v>
      </x:c>
      <x:c r="L2007" s="34" t="str">
        <x:v>PASS</x:v>
      </x:c>
      <x:c r="M2007" s="34" t="str">
        <x:v>numeric coverage for applicable metric</x:v>
      </x:c>
      <x:c r="N2007" s="34" t="str">
        <x:v>Feedback-Directed Random Test Generation/Result/Compress_13/result.json</x:v>
      </x:c>
      <x:c r="O2007" s="38" t="n">
        <x:f>IF(AND(G2007="RECORDED",ISNUMBER(H2007)),H2007,"")</x:f>
        <x:v>46.5</x:v>
      </x:c>
      <x:c r="P2007" s="34" t="str">
        <x:v>NOT_REVEALING</x:v>
      </x:c>
      <x:c r="Q2007" s="34" t="str">
        <x:v>Feedback-Directed Random Test Generation/Result/Compress_13/result.json</x:v>
      </x:c>
    </x:row>
    <x:row r="2008">
      <x:c r="A2008" s="34" t="str">
        <x:v>randoop</x:v>
      </x:c>
      <x:c r="B2008" s="34" t="str">
        <x:v>Compress</x:v>
      </x:c>
      <x:c r="C2008" s="34" t="str">
        <x:v>Round1</x:v>
      </x:c>
      <x:c r="D2008" s="34" t="str">
        <x:v>Compress_14</x:v>
      </x:c>
      <x:c r="E2008" s="34" t="str">
        <x:v>Line</x:v>
      </x:c>
      <x:c r="F2008" s="34" t="n">
        <x:v>101</x:v>
      </x:c>
      <x:c r="G2008" s="34" t="str">
        <x:v>RECORDED</x:v>
      </x:c>
      <x:c r="H2008" s="38" t="n">
        <x:f>IF(ISNUMBER('Data'!H300),'Data'!H300*100,"")</x:f>
        <x:v>53.47</x:v>
      </x:c>
      <x:c r="I2008" s="34" t="str">
        <x:v>PASS</x:v>
      </x:c>
      <x:c r="J2008" s="34" t="str">
        <x:v>PASS</x:v>
      </x:c>
      <x:c r="K2008" s="34" t="str">
        <x:v>PASS</x:v>
      </x:c>
      <x:c r="L2008" s="34" t="str">
        <x:v>PASS</x:v>
      </x:c>
      <x:c r="M2008" s="34" t="str">
        <x:v>numeric coverage for applicable metric</x:v>
      </x:c>
      <x:c r="N2008" s="34" t="str">
        <x:v>Feedback-Directed Random Test Generation/Result/Compress_14/result.json</x:v>
      </x:c>
      <x:c r="O2008" s="38" t="n">
        <x:f>IF(AND(G2008="RECORDED",ISNUMBER(H2008)),H2008,"")</x:f>
        <x:v>53.47</x:v>
      </x:c>
      <x:c r="P2008" s="34" t="str">
        <x:v>NOT_REVEALING</x:v>
      </x:c>
      <x:c r="Q2008" s="34" t="str">
        <x:v>Feedback-Directed Random Test Generation/Result/Compress_14/result.json</x:v>
      </x:c>
    </x:row>
    <x:row r="2009">
      <x:c r="A2009" s="34" t="str">
        <x:v>randoop</x:v>
      </x:c>
      <x:c r="B2009" s="34" t="str">
        <x:v>Compress</x:v>
      </x:c>
      <x:c r="C2009" s="34" t="str">
        <x:v>Round1</x:v>
      </x:c>
      <x:c r="D2009" s="34" t="str">
        <x:v>Compress_15</x:v>
      </x:c>
      <x:c r="E2009" s="34" t="str">
        <x:v>Line</x:v>
      </x:c>
      <x:c r="F2009" s="34" t="n">
        <x:v>203</x:v>
      </x:c>
      <x:c r="G2009" s="34" t="str">
        <x:v>RECORDED</x:v>
      </x:c>
      <x:c r="H2009" s="38" t="n">
        <x:f>IF(ISNUMBER('Data'!H301),'Data'!H301*100,"")</x:f>
        <x:v>43.84</x:v>
      </x:c>
      <x:c r="I2009" s="34" t="str">
        <x:v>PASS</x:v>
      </x:c>
      <x:c r="J2009" s="34" t="str">
        <x:v>PASS</x:v>
      </x:c>
      <x:c r="K2009" s="34" t="str">
        <x:v>PASS</x:v>
      </x:c>
      <x:c r="L2009" s="34" t="str">
        <x:v>PASS</x:v>
      </x:c>
      <x:c r="M2009" s="34" t="str">
        <x:v>numeric coverage for applicable metric</x:v>
      </x:c>
      <x:c r="N2009" s="34" t="str">
        <x:v>Feedback-Directed Random Test Generation/Result/Compress_15/result.json</x:v>
      </x:c>
      <x:c r="O2009" s="38" t="n">
        <x:f>IF(AND(G2009="RECORDED",ISNUMBER(H2009)),H2009,"")</x:f>
        <x:v>43.84</x:v>
      </x:c>
      <x:c r="P2009" s="34" t="str">
        <x:v>NOT_REVEALING</x:v>
      </x:c>
      <x:c r="Q2009" s="34" t="str">
        <x:v>Feedback-Directed Random Test Generation/Result/Compress_15/result.json</x:v>
      </x:c>
    </x:row>
    <x:row r="2010">
      <x:c r="A2010" s="34" t="str">
        <x:v>randoop</x:v>
      </x:c>
      <x:c r="B2010" s="34" t="str">
        <x:v>Compress</x:v>
      </x:c>
      <x:c r="C2010" s="34" t="str">
        <x:v>Round1</x:v>
      </x:c>
      <x:c r="D2010" s="34" t="str">
        <x:v>Compress_16</x:v>
      </x:c>
      <x:c r="E2010" s="34" t="str">
        <x:v>Line</x:v>
      </x:c>
      <x:c r="F2010" s="34" t="n">
        <x:v>70</x:v>
      </x:c>
      <x:c r="G2010" s="34" t="str">
        <x:v>RECORDED</x:v>
      </x:c>
      <x:c r="H2010" s="38" t="n">
        <x:f>IF(ISNUMBER('Data'!H302),'Data'!H302*100,"")</x:f>
        <x:v>12.86</x:v>
      </x:c>
      <x:c r="I2010" s="34" t="str">
        <x:v>PASS</x:v>
      </x:c>
      <x:c r="J2010" s="34" t="str">
        <x:v>PASS</x:v>
      </x:c>
      <x:c r="K2010" s="34" t="str">
        <x:v>PASS</x:v>
      </x:c>
      <x:c r="L2010" s="34" t="str">
        <x:v>PASS</x:v>
      </x:c>
      <x:c r="M2010" s="34" t="str">
        <x:v>numeric coverage for applicable metric</x:v>
      </x:c>
      <x:c r="N2010" s="34" t="str">
        <x:v>Feedback-Directed Random Test Generation/Result/Compress_16/result.json</x:v>
      </x:c>
      <x:c r="O2010" s="38" t="n">
        <x:f>IF(AND(G2010="RECORDED",ISNUMBER(H2010)),H2010,"")</x:f>
        <x:v>12.86</x:v>
      </x:c>
      <x:c r="P2010" s="34" t="str">
        <x:v>NOT_REVEALING</x:v>
      </x:c>
      <x:c r="Q2010" s="34" t="str">
        <x:v>Feedback-Directed Random Test Generation/Result/Compress_16/result.json</x:v>
      </x:c>
    </x:row>
    <x:row r="2011">
      <x:c r="A2011" s="34" t="str">
        <x:v>randoop</x:v>
      </x:c>
      <x:c r="B2011" s="34" t="str">
        <x:v>Compress</x:v>
      </x:c>
      <x:c r="C2011" s="34" t="str">
        <x:v>Round1</x:v>
      </x:c>
      <x:c r="D2011" s="34" t="str">
        <x:v>Compress_17</x:v>
      </x:c>
      <x:c r="E2011" s="34" t="str">
        <x:v>Line</x:v>
      </x:c>
      <x:c r="F2011" s="34" t="n">
        <x:v>179</x:v>
      </x:c>
      <x:c r="G2011" s="34" t="str">
        <x:v>RECORDED</x:v>
      </x:c>
      <x:c r="H2011" s="38" t="n">
        <x:f>IF(ISNUMBER('Data'!H303),'Data'!H303*100,"")</x:f>
        <x:v>46.37</x:v>
      </x:c>
      <x:c r="I2011" s="34" t="str">
        <x:v>PASS</x:v>
      </x:c>
      <x:c r="J2011" s="34" t="str">
        <x:v>PASS</x:v>
      </x:c>
      <x:c r="K2011" s="34" t="str">
        <x:v>PASS</x:v>
      </x:c>
      <x:c r="L2011" s="34" t="str">
        <x:v>PASS</x:v>
      </x:c>
      <x:c r="M2011" s="34" t="str">
        <x:v>numeric coverage for applicable metric</x:v>
      </x:c>
      <x:c r="N2011" s="34" t="str">
        <x:v>Feedback-Directed Random Test Generation/Result/Compress_17/result.json</x:v>
      </x:c>
      <x:c r="O2011" s="38" t="n">
        <x:f>IF(AND(G2011="RECORDED",ISNUMBER(H2011)),H2011,"")</x:f>
        <x:v>46.37</x:v>
      </x:c>
      <x:c r="P2011" s="34" t="str">
        <x:v>NOT_REVEALING</x:v>
      </x:c>
      <x:c r="Q2011" s="34" t="str">
        <x:v>Feedback-Directed Random Test Generation/Result/Compress_17/result.json</x:v>
      </x:c>
    </x:row>
    <x:row r="2012">
      <x:c r="A2012" s="34" t="str">
        <x:v>randoop</x:v>
      </x:c>
      <x:c r="B2012" s="34" t="str">
        <x:v>Compress</x:v>
      </x:c>
      <x:c r="C2012" s="34" t="str">
        <x:v>Round1</x:v>
      </x:c>
      <x:c r="D2012" s="34" t="str">
        <x:v>Compress_18</x:v>
      </x:c>
      <x:c r="E2012" s="34" t="str">
        <x:v>Line</x:v>
      </x:c>
      <x:c r="F2012" s="34" t="n">
        <x:v>202</x:v>
      </x:c>
      <x:c r="G2012" s="34" t="str">
        <x:v>RECORDED</x:v>
      </x:c>
      <x:c r="H2012" s="38" t="n">
        <x:f>IF(ISNUMBER('Data'!H304),'Data'!H304*100,"")</x:f>
        <x:v>35.15</x:v>
      </x:c>
      <x:c r="I2012" s="34" t="str">
        <x:v>PASS</x:v>
      </x:c>
      <x:c r="J2012" s="34" t="str">
        <x:v>PASS</x:v>
      </x:c>
      <x:c r="K2012" s="34" t="str">
        <x:v>PASS</x:v>
      </x:c>
      <x:c r="L2012" s="34" t="str">
        <x:v>PASS</x:v>
      </x:c>
      <x:c r="M2012" s="34" t="str">
        <x:v>numeric coverage for applicable metric</x:v>
      </x:c>
      <x:c r="N2012" s="34" t="str">
        <x:v>Feedback-Directed Random Test Generation/Result/Compress_18/result.json</x:v>
      </x:c>
      <x:c r="O2012" s="38" t="n">
        <x:f>IF(AND(G2012="RECORDED",ISNUMBER(H2012)),H2012,"")</x:f>
        <x:v>35.15</x:v>
      </x:c>
      <x:c r="P2012" s="34" t="str">
        <x:v>NOT_REVEALING</x:v>
      </x:c>
      <x:c r="Q2012" s="34" t="str">
        <x:v>Feedback-Directed Random Test Generation/Result/Compress_18/result.json</x:v>
      </x:c>
    </x:row>
    <x:row r="2013">
      <x:c r="A2013" s="34" t="str">
        <x:v>randoop</x:v>
      </x:c>
      <x:c r="B2013" s="34" t="str">
        <x:v>Compress</x:v>
      </x:c>
      <x:c r="C2013" s="34" t="str">
        <x:v>Round1</x:v>
      </x:c>
      <x:c r="D2013" s="34" t="str">
        <x:v>Compress_19</x:v>
      </x:c>
      <x:c r="E2013" s="34" t="str">
        <x:v>Line</x:v>
      </x:c>
      <x:c r="F2013" s="34" t="n">
        <x:v>105</x:v>
      </x:c>
      <x:c r="G2013" s="34" t="str">
        <x:v>RECORDED</x:v>
      </x:c>
      <x:c r="H2013" s="38" t="n">
        <x:f>IF(ISNUMBER('Data'!H305),'Data'!H305*100,"")</x:f>
        <x:v>43.81</x:v>
      </x:c>
      <x:c r="I2013" s="34" t="str">
        <x:v>PASS</x:v>
      </x:c>
      <x:c r="J2013" s="34" t="str">
        <x:v>PASS</x:v>
      </x:c>
      <x:c r="K2013" s="34" t="str">
        <x:v>PASS</x:v>
      </x:c>
      <x:c r="L2013" s="34" t="str">
        <x:v>PASS</x:v>
      </x:c>
      <x:c r="M2013" s="34" t="str">
        <x:v>numeric coverage for applicable metric</x:v>
      </x:c>
      <x:c r="N2013" s="34" t="str">
        <x:v>Feedback-Directed Random Test Generation/Result/Compress_19/result.json</x:v>
      </x:c>
      <x:c r="O2013" s="38" t="n">
        <x:f>IF(AND(G2013="RECORDED",ISNUMBER(H2013)),H2013,"")</x:f>
        <x:v>43.81</x:v>
      </x:c>
      <x:c r="P2013" s="34" t="str">
        <x:v>NOT_REVEALING</x:v>
      </x:c>
      <x:c r="Q2013" s="34" t="str">
        <x:v>Feedback-Directed Random Test Generation/Result/Compress_19/result.json</x:v>
      </x:c>
    </x:row>
    <x:row r="2014">
      <x:c r="A2014" s="34" t="str">
        <x:v>randoop</x:v>
      </x:c>
      <x:c r="B2014" s="34" t="str">
        <x:v>Compress</x:v>
      </x:c>
      <x:c r="C2014" s="34" t="str">
        <x:v>Round1</x:v>
      </x:c>
      <x:c r="D2014" s="34" t="str">
        <x:v>Compress_20</x:v>
      </x:c>
      <x:c r="E2014" s="34" t="str">
        <x:v>Line</x:v>
      </x:c>
      <x:c r="F2014" s="34" t="n">
        <x:v>214</x:v>
      </x:c>
      <x:c r="G2014" s="34" t="str">
        <x:v>RECORDED</x:v>
      </x:c>
      <x:c r="H2014" s="38" t="n">
        <x:f>IF(ISNUMBER('Data'!H306),'Data'!H306*100,"")</x:f>
        <x:v>26.170000000000005</x:v>
      </x:c>
      <x:c r="I2014" s="34" t="str">
        <x:v>PASS</x:v>
      </x:c>
      <x:c r="J2014" s="34" t="str">
        <x:v>PASS</x:v>
      </x:c>
      <x:c r="K2014" s="34" t="str">
        <x:v>PASS</x:v>
      </x:c>
      <x:c r="L2014" s="34" t="str">
        <x:v>PASS</x:v>
      </x:c>
      <x:c r="M2014" s="34" t="str">
        <x:v>numeric coverage for applicable metric</x:v>
      </x:c>
      <x:c r="N2014" s="34" t="str">
        <x:v>Feedback-Directed Random Test Generation/Result/Compress_20/result.json</x:v>
      </x:c>
      <x:c r="O2014" s="38" t="n">
        <x:f>IF(AND(G2014="RECORDED",ISNUMBER(H2014)),H2014,"")</x:f>
        <x:v>26.170000000000005</x:v>
      </x:c>
      <x:c r="P2014" s="34" t="str">
        <x:v>NOT_REVEALING</x:v>
      </x:c>
      <x:c r="Q2014" s="34" t="str">
        <x:v>Feedback-Directed Random Test Generation/Result/Compress_20/result.json</x:v>
      </x:c>
    </x:row>
    <x:row r="2015">
      <x:c r="A2015" s="34" t="str">
        <x:v>randoop</x:v>
      </x:c>
      <x:c r="B2015" s="34" t="str">
        <x:v>Compress</x:v>
      </x:c>
      <x:c r="C2015" s="34" t="str">
        <x:v>Round1</x:v>
      </x:c>
      <x:c r="D2015" s="34" t="str">
        <x:v>Compress_21</x:v>
      </x:c>
      <x:c r="E2015" s="34" t="str">
        <x:v>Line</x:v>
      </x:c>
      <x:c r="F2015" s="34" t="n">
        <x:v>390</x:v>
      </x:c>
      <x:c r="G2015" s="34" t="str">
        <x:v>RECORDED</x:v>
      </x:c>
      <x:c r="H2015" s="38" t="n">
        <x:f>IF(ISNUMBER('Data'!H307),'Data'!H307*100,"")</x:f>
        <x:v>2.31</x:v>
      </x:c>
      <x:c r="I2015" s="34" t="str">
        <x:v>PASS</x:v>
      </x:c>
      <x:c r="J2015" s="34" t="str">
        <x:v>PASS</x:v>
      </x:c>
      <x:c r="K2015" s="34" t="str">
        <x:v>PASS</x:v>
      </x:c>
      <x:c r="L2015" s="34" t="str">
        <x:v>PASS</x:v>
      </x:c>
      <x:c r="M2015" s="34" t="str">
        <x:v>numeric coverage for applicable metric</x:v>
      </x:c>
      <x:c r="N2015" s="34" t="str">
        <x:v>Feedback-Directed Random Test Generation/Result/Compress_21/result.json</x:v>
      </x:c>
      <x:c r="O2015" s="38" t="n">
        <x:f>IF(AND(G2015="RECORDED",ISNUMBER(H2015)),H2015,"")</x:f>
        <x:v>2.31</x:v>
      </x:c>
      <x:c r="P2015" s="34" t="str">
        <x:v>NOT_REVEALING</x:v>
      </x:c>
      <x:c r="Q2015" s="34" t="str">
        <x:v>Feedback-Directed Random Test Generation/Result/Compress_21/result.json</x:v>
      </x:c>
    </x:row>
    <x:row r="2016">
      <x:c r="A2016" s="34" t="str">
        <x:v>randoop</x:v>
      </x:c>
      <x:c r="B2016" s="34" t="str">
        <x:v>Compress</x:v>
      </x:c>
      <x:c r="C2016" s="34" t="str">
        <x:v>Round1</x:v>
      </x:c>
      <x:c r="D2016" s="34" t="str">
        <x:v>Compress_22</x:v>
      </x:c>
      <x:c r="E2016" s="34" t="str">
        <x:v>Line</x:v>
      </x:c>
      <x:c r="F2016" s="34" t="n">
        <x:v>502</x:v>
      </x:c>
      <x:c r="G2016" s="34" t="str">
        <x:v>RECORDED</x:v>
      </x:c>
      <x:c r="H2016" s="38" t="n">
        <x:f>IF(ISNUMBER('Data'!H308),'Data'!H308*100,"")</x:f>
        <x:v>2.79</x:v>
      </x:c>
      <x:c r="I2016" s="34" t="str">
        <x:v>PASS</x:v>
      </x:c>
      <x:c r="J2016" s="34" t="str">
        <x:v>PASS</x:v>
      </x:c>
      <x:c r="K2016" s="34" t="str">
        <x:v>PASS</x:v>
      </x:c>
      <x:c r="L2016" s="34" t="str">
        <x:v>PASS</x:v>
      </x:c>
      <x:c r="M2016" s="34" t="str">
        <x:v>numeric coverage for applicable metric</x:v>
      </x:c>
      <x:c r="N2016" s="34" t="str">
        <x:v>Feedback-Directed Random Test Generation/Result/Compress_22/result.json</x:v>
      </x:c>
      <x:c r="O2016" s="38" t="n">
        <x:f>IF(AND(G2016="RECORDED",ISNUMBER(H2016)),H2016,"")</x:f>
        <x:v>2.79</x:v>
      </x:c>
      <x:c r="P2016" s="34" t="str">
        <x:v>NOT_REVEALING</x:v>
      </x:c>
      <x:c r="Q2016" s="34" t="str">
        <x:v>Feedback-Directed Random Test Generation/Result/Compress_22/result.json</x:v>
      </x:c>
    </x:row>
    <x:row r="2017">
      <x:c r="A2017" s="34" t="str">
        <x:v>randoop</x:v>
      </x:c>
      <x:c r="B2017" s="34" t="str">
        <x:v>Compress</x:v>
      </x:c>
      <x:c r="C2017" s="34" t="str">
        <x:v>Round1</x:v>
      </x:c>
      <x:c r="D2017" s="34" t="str">
        <x:v>Compress_23</x:v>
      </x:c>
      <x:c r="E2017" s="34" t="str">
        <x:v>Line</x:v>
      </x:c>
      <x:c r="F2017" s="34" t="n">
        <x:v>103</x:v>
      </x:c>
      <x:c r="G2017" s="34" t="str">
        <x:v>RECORDED</x:v>
      </x:c>
      <x:c r="H2017" s="38" t="n">
        <x:f>IF(ISNUMBER('Data'!H309),'Data'!H309*100,"")</x:f>
        <x:v>35.92</x:v>
      </x:c>
      <x:c r="I2017" s="34" t="str">
        <x:v>PASS</x:v>
      </x:c>
      <x:c r="J2017" s="34" t="str">
        <x:v>PASS</x:v>
      </x:c>
      <x:c r="K2017" s="34" t="str">
        <x:v>PASS</x:v>
      </x:c>
      <x:c r="L2017" s="34" t="str">
        <x:v>FAIL</x:v>
      </x:c>
      <x:c r="M2017" s="34" t="str">
        <x:v>numeric coverage for applicable metric</x:v>
      </x:c>
      <x:c r="N2017" s="34" t="str">
        <x:v>Feedback-Directed Random Test Generation/Result/Compress_23/result.json</x:v>
      </x:c>
      <x:c r="O2017" s="38" t="n">
        <x:f>IF(AND(G2017="RECORDED",ISNUMBER(H2017)),H2017,"")</x:f>
        <x:v>35.92</x:v>
      </x:c>
      <x:c r="P2017" s="34" t="str">
        <x:v>INCONCLUSIVE</x:v>
      </x:c>
      <x:c r="Q2017" s="34" t="str">
        <x:v>Feedback-Directed Random Test Generation/Result/Compress_23/result.json</x:v>
      </x:c>
    </x:row>
    <x:row r="2018">
      <x:c r="A2018" s="34" t="str">
        <x:v>randoop</x:v>
      </x:c>
      <x:c r="B2018" s="34" t="str">
        <x:v>Compress</x:v>
      </x:c>
      <x:c r="C2018" s="34" t="str">
        <x:v>Round1</x:v>
      </x:c>
      <x:c r="D2018" s="34" t="str">
        <x:v>Compress_24</x:v>
      </x:c>
      <x:c r="E2018" s="34" t="str">
        <x:v>Line</x:v>
      </x:c>
      <x:c r="F2018" s="34" t="n">
        <x:v>180</x:v>
      </x:c>
      <x:c r="G2018" s="34" t="str">
        <x:v>RECORDED</x:v>
      </x:c>
      <x:c r="H2018" s="38" t="n">
        <x:f>IF(ISNUMBER('Data'!H310),'Data'!H310*100,"")</x:f>
        <x:v>46.11</x:v>
      </x:c>
      <x:c r="I2018" s="34" t="str">
        <x:v>PASS</x:v>
      </x:c>
      <x:c r="J2018" s="34" t="str">
        <x:v>PASS</x:v>
      </x:c>
      <x:c r="K2018" s="34" t="str">
        <x:v>PASS</x:v>
      </x:c>
      <x:c r="L2018" s="34" t="str">
        <x:v>PASS</x:v>
      </x:c>
      <x:c r="M2018" s="34" t="str">
        <x:v>numeric coverage for applicable metric</x:v>
      </x:c>
      <x:c r="N2018" s="34" t="str">
        <x:v>Feedback-Directed Random Test Generation/Result/Compress_24/result.json</x:v>
      </x:c>
      <x:c r="O2018" s="38" t="n">
        <x:f>IF(AND(G2018="RECORDED",ISNUMBER(H2018)),H2018,"")</x:f>
        <x:v>46.11</x:v>
      </x:c>
      <x:c r="P2018" s="34" t="str">
        <x:v>NOT_REVEALING</x:v>
      </x:c>
      <x:c r="Q2018" s="34" t="str">
        <x:v>Feedback-Directed Random Test Generation/Result/Compress_24/result.json</x:v>
      </x:c>
    </x:row>
    <x:row r="2019">
      <x:c r="A2019" s="34" t="str">
        <x:v>randoop</x:v>
      </x:c>
      <x:c r="B2019" s="34" t="str">
        <x:v>Compress</x:v>
      </x:c>
      <x:c r="C2019" s="34" t="str">
        <x:v>Round1</x:v>
      </x:c>
      <x:c r="D2019" s="34" t="str">
        <x:v>Compress_25</x:v>
      </x:c>
      <x:c r="E2019" s="34" t="str">
        <x:v>Line</x:v>
      </x:c>
      <x:c r="F2019" s="34" t="n">
        <x:v>401</x:v>
      </x:c>
      <x:c r="G2019" s="34" t="str">
        <x:v>RECORDED</x:v>
      </x:c>
      <x:c r="H2019" s="38" t="n">
        <x:f>IF(ISNUMBER('Data'!H311),'Data'!H311*100,"")</x:f>
        <x:v>11.97</x:v>
      </x:c>
      <x:c r="I2019" s="34" t="str">
        <x:v>PASS</x:v>
      </x:c>
      <x:c r="J2019" s="34" t="str">
        <x:v>PASS</x:v>
      </x:c>
      <x:c r="K2019" s="34" t="str">
        <x:v>PASS</x:v>
      </x:c>
      <x:c r="L2019" s="34" t="str">
        <x:v>PASS</x:v>
      </x:c>
      <x:c r="M2019" s="34" t="str">
        <x:v>numeric coverage for applicable metric</x:v>
      </x:c>
      <x:c r="N2019" s="34" t="str">
        <x:v>Feedback-Directed Random Test Generation/Result/Compress_25/result.json</x:v>
      </x:c>
      <x:c r="O2019" s="38" t="n">
        <x:f>IF(AND(G2019="RECORDED",ISNUMBER(H2019)),H2019,"")</x:f>
        <x:v>11.97</x:v>
      </x:c>
      <x:c r="P2019" s="34" t="str">
        <x:v>NOT_REVEALING</x:v>
      </x:c>
      <x:c r="Q2019" s="34" t="str">
        <x:v>Feedback-Directed Random Test Generation/Result/Compress_25/result.json</x:v>
      </x:c>
    </x:row>
    <x:row r="2020">
      <x:c r="A2020" s="34" t="str">
        <x:v>randoop</x:v>
      </x:c>
      <x:c r="B2020" s="34" t="str">
        <x:v>Compress</x:v>
      </x:c>
      <x:c r="C2020" s="34" t="str">
        <x:v>Round1</x:v>
      </x:c>
      <x:c r="D2020" s="34" t="str">
        <x:v>Compress_26</x:v>
      </x:c>
      <x:c r="E2020" s="34" t="str">
        <x:v>Line</x:v>
      </x:c>
      <x:c r="F2020" s="34" t="n">
        <x:v>36</x:v>
      </x:c>
      <x:c r="G2020" s="34" t="str">
        <x:v>RECORDED</x:v>
      </x:c>
      <x:c r="H2020" s="38" t="n">
        <x:f>IF(ISNUMBER('Data'!H312),'Data'!H312*100,"")</x:f>
        <x:v>55.559999999999995</x:v>
      </x:c>
      <x:c r="I2020" s="34" t="str">
        <x:v>PASS</x:v>
      </x:c>
      <x:c r="J2020" s="34" t="str">
        <x:v>PASS</x:v>
      </x:c>
      <x:c r="K2020" s="34" t="str">
        <x:v>PASS</x:v>
      </x:c>
      <x:c r="L2020" s="34" t="str">
        <x:v>PASS</x:v>
      </x:c>
      <x:c r="M2020" s="34" t="str">
        <x:v>numeric coverage for applicable metric</x:v>
      </x:c>
      <x:c r="N2020" s="34" t="str">
        <x:v>Feedback-Directed Random Test Generation/Result/Compress_26/result.json</x:v>
      </x:c>
      <x:c r="O2020" s="38" t="n">
        <x:f>IF(AND(G2020="RECORDED",ISNUMBER(H2020)),H2020,"")</x:f>
        <x:v>55.559999999999995</x:v>
      </x:c>
      <x:c r="P2020" s="34" t="str">
        <x:v>NOT_REVEALING</x:v>
      </x:c>
      <x:c r="Q2020" s="34" t="str">
        <x:v>Feedback-Directed Random Test Generation/Result/Compress_26/result.json</x:v>
      </x:c>
    </x:row>
    <x:row r="2021">
      <x:c r="A2021" s="34" t="str">
        <x:v>randoop</x:v>
      </x:c>
      <x:c r="B2021" s="34" t="str">
        <x:v>Compress</x:v>
      </x:c>
      <x:c r="C2021" s="34" t="str">
        <x:v>Round1</x:v>
      </x:c>
      <x:c r="D2021" s="34" t="str">
        <x:v>Compress_27</x:v>
      </x:c>
      <x:c r="E2021" s="34" t="str">
        <x:v>Line</x:v>
      </x:c>
      <x:c r="F2021" s="34" t="n">
        <x:v>178</x:v>
      </x:c>
      <x:c r="G2021" s="34" t="str">
        <x:v>RECORDED</x:v>
      </x:c>
      <x:c r="H2021" s="38" t="n">
        <x:f>IF(ISNUMBER('Data'!H313),'Data'!H313*100,"")</x:f>
        <x:v>46.63</x:v>
      </x:c>
      <x:c r="I2021" s="34" t="str">
        <x:v>PASS</x:v>
      </x:c>
      <x:c r="J2021" s="34" t="str">
        <x:v>PASS</x:v>
      </x:c>
      <x:c r="K2021" s="34" t="str">
        <x:v>PASS</x:v>
      </x:c>
      <x:c r="L2021" s="34" t="str">
        <x:v>PASS</x:v>
      </x:c>
      <x:c r="M2021" s="34" t="str">
        <x:v>numeric coverage for applicable metric</x:v>
      </x:c>
      <x:c r="N2021" s="34" t="str">
        <x:v>Feedback-Directed Random Test Generation/Result/Compress_27/result.json</x:v>
      </x:c>
      <x:c r="O2021" s="38" t="n">
        <x:f>IF(AND(G2021="RECORDED",ISNUMBER(H2021)),H2021,"")</x:f>
        <x:v>46.63</x:v>
      </x:c>
      <x:c r="P2021" s="34" t="str">
        <x:v>NOT_REVEALING</x:v>
      </x:c>
      <x:c r="Q2021" s="34" t="str">
        <x:v>Feedback-Directed Random Test Generation/Result/Compress_27/result.json</x:v>
      </x:c>
    </x:row>
    <x:row r="2022">
      <x:c r="A2022" s="34" t="str">
        <x:v>randoop</x:v>
      </x:c>
      <x:c r="B2022" s="34" t="str">
        <x:v>Compress</x:v>
      </x:c>
      <x:c r="C2022" s="34" t="str">
        <x:v>Round1</x:v>
      </x:c>
      <x:c r="D2022" s="34" t="str">
        <x:v>Compress_28</x:v>
      </x:c>
      <x:c r="E2022" s="34" t="str">
        <x:v>Line</x:v>
      </x:c>
      <x:c r="F2022" s="34" t="n">
        <x:v>213</x:v>
      </x:c>
      <x:c r="G2022" s="34" t="str">
        <x:v>RECORDED</x:v>
      </x:c>
      <x:c r="H2022" s="38" t="n">
        <x:f>IF(ISNUMBER('Data'!H314),'Data'!H314*100,"")</x:f>
        <x:v>33.33</x:v>
      </x:c>
      <x:c r="I2022" s="34" t="str">
        <x:v>PASS</x:v>
      </x:c>
      <x:c r="J2022" s="34" t="str">
        <x:v>PASS</x:v>
      </x:c>
      <x:c r="K2022" s="34" t="str">
        <x:v>PASS</x:v>
      </x:c>
      <x:c r="L2022" s="34" t="str">
        <x:v>PASS</x:v>
      </x:c>
      <x:c r="M2022" s="34" t="str">
        <x:v>numeric coverage for applicable metric</x:v>
      </x:c>
      <x:c r="N2022" s="34" t="str">
        <x:v>Feedback-Directed Random Test Generation/Result/Compress_28/result.json</x:v>
      </x:c>
      <x:c r="O2022" s="38" t="n">
        <x:f>IF(AND(G2022="RECORDED",ISNUMBER(H2022)),H2022,"")</x:f>
        <x:v>33.33</x:v>
      </x:c>
      <x:c r="P2022" s="34" t="str">
        <x:v>NOT_REVEALING</x:v>
      </x:c>
      <x:c r="Q2022" s="34" t="str">
        <x:v>Feedback-Directed Random Test Generation/Result/Compress_28/result.json</x:v>
      </x:c>
    </x:row>
    <x:row r="2023">
      <x:c r="A2023" s="34" t="str">
        <x:v>randoop</x:v>
      </x:c>
      <x:c r="B2023" s="34" t="str">
        <x:v>Compress</x:v>
      </x:c>
      <x:c r="C2023" s="34" t="str">
        <x:v>Round1</x:v>
      </x:c>
      <x:c r="D2023" s="34" t="str">
        <x:v>Compress_29</x:v>
      </x:c>
      <x:c r="E2023" s="34" t="str">
        <x:v>Line</x:v>
      </x:c>
      <x:c r="F2023" s="34" t="n">
        <x:v>1609</x:v>
      </x:c>
      <x:c r="G2023" s="34" t="str">
        <x:v>RECORDED</x:v>
      </x:c>
      <x:c r="H2023" s="38" t="n">
        <x:f>IF(ISNUMBER('Data'!H315),'Data'!H315*100,"")</x:f>
        <x:v>9.88</x:v>
      </x:c>
      <x:c r="I2023" s="34" t="str">
        <x:v>PASS</x:v>
      </x:c>
      <x:c r="J2023" s="34" t="str">
        <x:v>PASS</x:v>
      </x:c>
      <x:c r="K2023" s="34" t="str">
        <x:v>PASS</x:v>
      </x:c>
      <x:c r="L2023" s="34" t="str">
        <x:v>PASS</x:v>
      </x:c>
      <x:c r="M2023" s="34" t="str">
        <x:v>numeric coverage for applicable metric</x:v>
      </x:c>
      <x:c r="N2023" s="34" t="str">
        <x:v>Feedback-Directed Random Test Generation/Result/Compress_29/result.json</x:v>
      </x:c>
      <x:c r="O2023" s="38" t="n">
        <x:f>IF(AND(G2023="RECORDED",ISNUMBER(H2023)),H2023,"")</x:f>
        <x:v>9.88</x:v>
      </x:c>
      <x:c r="P2023" s="34" t="str">
        <x:v>NOT_REVEALING</x:v>
      </x:c>
      <x:c r="Q2023" s="34" t="str">
        <x:v>Feedback-Directed Random Test Generation/Result/Compress_29/result.json</x:v>
      </x:c>
    </x:row>
    <x:row r="2024">
      <x:c r="A2024" s="34" t="str">
        <x:v>randoop</x:v>
      </x:c>
      <x:c r="B2024" s="34" t="str">
        <x:v>Compress</x:v>
      </x:c>
      <x:c r="C2024" s="34" t="str">
        <x:v>Round1</x:v>
      </x:c>
      <x:c r="D2024" s="34" t="str">
        <x:v>Compress_30</x:v>
      </x:c>
      <x:c r="E2024" s="34" t="str">
        <x:v>Line</x:v>
      </x:c>
      <x:c r="F2024" s="34" t="n">
        <x:v>490</x:v>
      </x:c>
      <x:c r="G2024" s="34" t="str">
        <x:v>RECORDED</x:v>
      </x:c>
      <x:c r="H2024" s="38" t="n">
        <x:f>IF(ISNUMBER('Data'!H316),'Data'!H316*100,"")</x:f>
        <x:v>2.65</x:v>
      </x:c>
      <x:c r="I2024" s="34" t="str">
        <x:v>PASS</x:v>
      </x:c>
      <x:c r="J2024" s="34" t="str">
        <x:v>PASS</x:v>
      </x:c>
      <x:c r="K2024" s="34" t="str">
        <x:v>PASS</x:v>
      </x:c>
      <x:c r="L2024" s="34" t="str">
        <x:v>PASS</x:v>
      </x:c>
      <x:c r="M2024" s="34" t="str">
        <x:v>numeric coverage for applicable metric</x:v>
      </x:c>
      <x:c r="N2024" s="34" t="str">
        <x:v>Feedback-Directed Random Test Generation/Result/Compress_30/result.json</x:v>
      </x:c>
      <x:c r="O2024" s="38" t="n">
        <x:f>IF(AND(G2024="RECORDED",ISNUMBER(H2024)),H2024,"")</x:f>
        <x:v>2.65</x:v>
      </x:c>
      <x:c r="P2024" s="34" t="str">
        <x:v>NOT_REVEALING</x:v>
      </x:c>
      <x:c r="Q2024" s="34" t="str">
        <x:v>Feedback-Directed Random Test Generation/Result/Compress_30/result.json</x:v>
      </x:c>
    </x:row>
    <x:row r="2025">
      <x:c r="A2025" s="34" t="str">
        <x:v>randoop</x:v>
      </x:c>
      <x:c r="B2025" s="34" t="str">
        <x:v>Compress</x:v>
      </x:c>
      <x:c r="C2025" s="34" t="str">
        <x:v>Round1</x:v>
      </x:c>
      <x:c r="D2025" s="34" t="str">
        <x:v>Compress_31</x:v>
      </x:c>
      <x:c r="E2025" s="34" t="str">
        <x:v>Line</x:v>
      </x:c>
      <x:c r="F2025" s="34" t="n">
        <x:v>176</x:v>
      </x:c>
      <x:c r="G2025" s="34" t="str">
        <x:v>RECORDED</x:v>
      </x:c>
      <x:c r="H2025" s="38" t="n">
        <x:f>IF(ISNUMBER('Data'!H317),'Data'!H317*100,"")</x:f>
        <x:v>47.16</x:v>
      </x:c>
      <x:c r="I2025" s="34" t="str">
        <x:v>PASS</x:v>
      </x:c>
      <x:c r="J2025" s="34" t="str">
        <x:v>PASS</x:v>
      </x:c>
      <x:c r="K2025" s="34" t="str">
        <x:v>PASS</x:v>
      </x:c>
      <x:c r="L2025" s="34" t="str">
        <x:v>PASS</x:v>
      </x:c>
      <x:c r="M2025" s="34" t="str">
        <x:v>numeric coverage for applicable metric</x:v>
      </x:c>
      <x:c r="N2025" s="34" t="str">
        <x:v>Feedback-Directed Random Test Generation/Result/Compress_31/result.json</x:v>
      </x:c>
      <x:c r="O2025" s="38" t="n">
        <x:f>IF(AND(G2025="RECORDED",ISNUMBER(H2025)),H2025,"")</x:f>
        <x:v>47.16</x:v>
      </x:c>
      <x:c r="P2025" s="34" t="str">
        <x:v>NOT_REVEALING</x:v>
      </x:c>
      <x:c r="Q2025" s="34" t="str">
        <x:v>Feedback-Directed Random Test Generation/Result/Compress_31/result.json</x:v>
      </x:c>
    </x:row>
    <x:row r="2026">
      <x:c r="A2026" s="34" t="str">
        <x:v>randoop</x:v>
      </x:c>
      <x:c r="B2026" s="34" t="str">
        <x:v>Compress</x:v>
      </x:c>
      <x:c r="C2026" s="34" t="str">
        <x:v>Round1</x:v>
      </x:c>
      <x:c r="D2026" s="34" t="str">
        <x:v>Compress_32</x:v>
      </x:c>
      <x:c r="E2026" s="34" t="str">
        <x:v>Line</x:v>
      </x:c>
      <x:c r="F2026" s="34" t="n">
        <x:v>220</x:v>
      </x:c>
      <x:c r="G2026" s="34" t="str">
        <x:v>RECORDED</x:v>
      </x:c>
      <x:c r="H2026" s="38" t="n">
        <x:f>IF(ISNUMBER('Data'!H318),'Data'!H318*100,"")</x:f>
        <x:v>30.45</x:v>
      </x:c>
      <x:c r="I2026" s="34" t="str">
        <x:v>PASS</x:v>
      </x:c>
      <x:c r="J2026" s="34" t="str">
        <x:v>PASS</x:v>
      </x:c>
      <x:c r="K2026" s="34" t="str">
        <x:v>PASS</x:v>
      </x:c>
      <x:c r="L2026" s="34" t="str">
        <x:v>PASS</x:v>
      </x:c>
      <x:c r="M2026" s="34" t="str">
        <x:v>numeric coverage for applicable metric</x:v>
      </x:c>
      <x:c r="N2026" s="34" t="str">
        <x:v>Feedback-Directed Random Test Generation/Result/Compress_32/result.json</x:v>
      </x:c>
      <x:c r="O2026" s="38" t="n">
        <x:f>IF(AND(G2026="RECORDED",ISNUMBER(H2026)),H2026,"")</x:f>
        <x:v>30.45</x:v>
      </x:c>
      <x:c r="P2026" s="34" t="str">
        <x:v>NOT_REVEALING</x:v>
      </x:c>
      <x:c r="Q2026" s="34" t="str">
        <x:v>Feedback-Directed Random Test Generation/Result/Compress_32/result.json</x:v>
      </x:c>
    </x:row>
    <x:row r="2027">
      <x:c r="A2027" s="34" t="str">
        <x:v>randoop</x:v>
      </x:c>
      <x:c r="B2027" s="34" t="str">
        <x:v>Compress</x:v>
      </x:c>
      <x:c r="C2027" s="34" t="str">
        <x:v>Round1</x:v>
      </x:c>
      <x:c r="D2027" s="34" t="str">
        <x:v>Compress_33</x:v>
      </x:c>
      <x:c r="E2027" s="34" t="str">
        <x:v>Line</x:v>
      </x:c>
      <x:c r="F2027" s="34" t="n">
        <x:v>96</x:v>
      </x:c>
      <x:c r="G2027" s="34" t="str">
        <x:v>RECORDED</x:v>
      </x:c>
      <x:c r="H2027" s="38" t="n">
        <x:f>IF(ISNUMBER('Data'!H319),'Data'!H319*100,"")</x:f>
        <x:v>22.92</x:v>
      </x:c>
      <x:c r="I2027" s="34" t="str">
        <x:v>PASS</x:v>
      </x:c>
      <x:c r="J2027" s="34" t="str">
        <x:v>PASS</x:v>
      </x:c>
      <x:c r="K2027" s="34" t="str">
        <x:v>PASS</x:v>
      </x:c>
      <x:c r="L2027" s="34" t="str">
        <x:v>PASS</x:v>
      </x:c>
      <x:c r="M2027" s="34" t="str">
        <x:v>numeric coverage for applicable metric</x:v>
      </x:c>
      <x:c r="N2027" s="34" t="str">
        <x:v>Feedback-Directed Random Test Generation/Result/Compress_33/result.json</x:v>
      </x:c>
      <x:c r="O2027" s="38" t="n">
        <x:f>IF(AND(G2027="RECORDED",ISNUMBER(H2027)),H2027,"")</x:f>
        <x:v>22.92</x:v>
      </x:c>
      <x:c r="P2027" s="34" t="str">
        <x:v>NOT_REVEALING</x:v>
      </x:c>
      <x:c r="Q2027" s="34" t="str">
        <x:v>Feedback-Directed Random Test Generation/Result/Compress_33/result.json</x:v>
      </x:c>
    </x:row>
    <x:row r="2028">
      <x:c r="A2028" s="34" t="str">
        <x:v>randoop</x:v>
      </x:c>
      <x:c r="B2028" s="34" t="str">
        <x:v>Compress</x:v>
      </x:c>
      <x:c r="C2028" s="34" t="str">
        <x:v>Round1</x:v>
      </x:c>
      <x:c r="D2028" s="34" t="str">
        <x:v>Compress_34</x:v>
      </x:c>
      <x:c r="E2028" s="34" t="str">
        <x:v>Line</x:v>
      </x:c>
      <x:c r="F2028" s="34" t="n">
        <x:v>70</x:v>
      </x:c>
      <x:c r="G2028" s="34" t="str">
        <x:v>RECORDED</x:v>
      </x:c>
      <x:c r="H2028" s="38" t="n">
        <x:f>IF(ISNUMBER('Data'!H320),'Data'!H320*100,"")</x:f>
        <x:v>81.43</x:v>
      </x:c>
      <x:c r="I2028" s="34" t="str">
        <x:v>PASS</x:v>
      </x:c>
      <x:c r="J2028" s="34" t="str">
        <x:v>PASS</x:v>
      </x:c>
      <x:c r="K2028" s="34" t="str">
        <x:v>PASS</x:v>
      </x:c>
      <x:c r="L2028" s="34" t="str">
        <x:v>PASS</x:v>
      </x:c>
      <x:c r="M2028" s="34" t="str">
        <x:v>numeric coverage for applicable metric</x:v>
      </x:c>
      <x:c r="N2028" s="34" t="str">
        <x:v>Feedback-Directed Random Test Generation/Result/Compress_34/result.json</x:v>
      </x:c>
      <x:c r="O2028" s="38" t="n">
        <x:f>IF(AND(G2028="RECORDED",ISNUMBER(H2028)),H2028,"")</x:f>
        <x:v>81.43</x:v>
      </x:c>
      <x:c r="P2028" s="34" t="str">
        <x:v>NOT_REVEALING</x:v>
      </x:c>
      <x:c r="Q2028" s="34" t="str">
        <x:v>Feedback-Directed Random Test Generation/Result/Compress_34/result.json</x:v>
      </x:c>
    </x:row>
    <x:row r="2029">
      <x:c r="A2029" s="34" t="str">
        <x:v>randoop</x:v>
      </x:c>
      <x:c r="B2029" s="34" t="str">
        <x:v>Compress</x:v>
      </x:c>
      <x:c r="C2029" s="34" t="str">
        <x:v>Round1</x:v>
      </x:c>
      <x:c r="D2029" s="34" t="str">
        <x:v>Compress_35</x:v>
      </x:c>
      <x:c r="E2029" s="34" t="str">
        <x:v>Line</x:v>
      </x:c>
      <x:c r="F2029" s="34" t="n">
        <x:v>174</x:v>
      </x:c>
      <x:c r="G2029" s="34" t="str">
        <x:v>RECORDED</x:v>
      </x:c>
      <x:c r="H2029" s="38" t="n">
        <x:f>IF(ISNUMBER('Data'!H321),'Data'!H321*100,"")</x:f>
        <x:v>47.7</x:v>
      </x:c>
      <x:c r="I2029" s="34" t="str">
        <x:v>PASS</x:v>
      </x:c>
      <x:c r="J2029" s="34" t="str">
        <x:v>PASS</x:v>
      </x:c>
      <x:c r="K2029" s="34" t="str">
        <x:v>PASS</x:v>
      </x:c>
      <x:c r="L2029" s="34" t="str">
        <x:v>PASS</x:v>
      </x:c>
      <x:c r="M2029" s="34" t="str">
        <x:v>numeric coverage for applicable metric</x:v>
      </x:c>
      <x:c r="N2029" s="34" t="str">
        <x:v>Feedback-Directed Random Test Generation/Result/Compress_35/result.json</x:v>
      </x:c>
      <x:c r="O2029" s="38" t="n">
        <x:f>IF(AND(G2029="RECORDED",ISNUMBER(H2029)),H2029,"")</x:f>
        <x:v>47.7</x:v>
      </x:c>
      <x:c r="P2029" s="34" t="str">
        <x:v>INCONCLUSIVE</x:v>
      </x:c>
      <x:c r="Q2029" s="34" t="str">
        <x:v>Feedback-Directed Random Test Generation/Result/Compress_35/result.json</x:v>
      </x:c>
    </x:row>
    <x:row r="2030">
      <x:c r="A2030" s="34" t="str">
        <x:v>randoop</x:v>
      </x:c>
      <x:c r="B2030" s="34" t="str">
        <x:v>Compress</x:v>
      </x:c>
      <x:c r="C2030" s="34" t="str">
        <x:v>Round1</x:v>
      </x:c>
      <x:c r="D2030" s="34" t="str">
        <x:v>Compress_36</x:v>
      </x:c>
      <x:c r="E2030" s="34" t="str">
        <x:v>Line</x:v>
      </x:c>
      <x:c r="F2030" s="34" t="n">
        <x:v>533</x:v>
      </x:c>
      <x:c r="G2030" s="34" t="str">
        <x:v>RECORDED</x:v>
      </x:c>
      <x:c r="H2030" s="38" t="n">
        <x:f>IF(ISNUMBER('Data'!H322),'Data'!H322*100,"")</x:f>
        <x:v>2.81</x:v>
      </x:c>
      <x:c r="I2030" s="34" t="str">
        <x:v>PASS</x:v>
      </x:c>
      <x:c r="J2030" s="34" t="str">
        <x:v>PASS</x:v>
      </x:c>
      <x:c r="K2030" s="34" t="str">
        <x:v>PASS</x:v>
      </x:c>
      <x:c r="L2030" s="34" t="str">
        <x:v>PASS</x:v>
      </x:c>
      <x:c r="M2030" s="34" t="str">
        <x:v>numeric coverage for applicable metric</x:v>
      </x:c>
      <x:c r="N2030" s="34" t="str">
        <x:v>Feedback-Directed Random Test Generation/Result/Compress_36/result.json</x:v>
      </x:c>
      <x:c r="O2030" s="38" t="n">
        <x:f>IF(AND(G2030="RECORDED",ISNUMBER(H2030)),H2030,"")</x:f>
        <x:v>2.81</x:v>
      </x:c>
      <x:c r="P2030" s="34" t="str">
        <x:v>NOT_REVEALING</x:v>
      </x:c>
      <x:c r="Q2030" s="34" t="str">
        <x:v>Feedback-Directed Random Test Generation/Result/Compress_36/result.json</x:v>
      </x:c>
    </x:row>
    <x:row r="2031">
      <x:c r="A2031" s="34" t="str">
        <x:v>randoop</x:v>
      </x:c>
      <x:c r="B2031" s="34" t="str">
        <x:v>Compress</x:v>
      </x:c>
      <x:c r="C2031" s="34" t="str">
        <x:v>Round1</x:v>
      </x:c>
      <x:c r="D2031" s="34" t="str">
        <x:v>Compress_37</x:v>
      </x:c>
      <x:c r="E2031" s="34" t="str">
        <x:v>Line</x:v>
      </x:c>
      <x:c r="F2031" s="34" t="n">
        <x:v>237</x:v>
      </x:c>
      <x:c r="G2031" s="34" t="str">
        <x:v>RECORDED</x:v>
      </x:c>
      <x:c r="H2031" s="38" t="n">
        <x:f>IF(ISNUMBER('Data'!H323),'Data'!H323*100,"")</x:f>
        <x:v>29.109999999999996</x:v>
      </x:c>
      <x:c r="I2031" s="34" t="str">
        <x:v>PASS</x:v>
      </x:c>
      <x:c r="J2031" s="34" t="str">
        <x:v>PASS</x:v>
      </x:c>
      <x:c r="K2031" s="34" t="str">
        <x:v>PASS</x:v>
      </x:c>
      <x:c r="L2031" s="34" t="str">
        <x:v>PASS</x:v>
      </x:c>
      <x:c r="M2031" s="34" t="str">
        <x:v>numeric coverage for applicable metric</x:v>
      </x:c>
      <x:c r="N2031" s="34" t="str">
        <x:v>Feedback-Directed Random Test Generation/Result/Compress_37/result.json</x:v>
      </x:c>
      <x:c r="O2031" s="38" t="n">
        <x:f>IF(AND(G2031="RECORDED",ISNUMBER(H2031)),H2031,"")</x:f>
        <x:v>29.109999999999996</x:v>
      </x:c>
      <x:c r="P2031" s="34" t="str">
        <x:v>NOT_REVEALING</x:v>
      </x:c>
      <x:c r="Q2031" s="34" t="str">
        <x:v>Feedback-Directed Random Test Generation/Result/Compress_37/result.json</x:v>
      </x:c>
    </x:row>
    <x:row r="2032">
      <x:c r="A2032" s="34" t="str">
        <x:v>randoop</x:v>
      </x:c>
      <x:c r="B2032" s="34" t="str">
        <x:v>Compress</x:v>
      </x:c>
      <x:c r="C2032" s="34" t="str">
        <x:v>Round1</x:v>
      </x:c>
      <x:c r="D2032" s="34" t="str">
        <x:v>Compress_38</x:v>
      </x:c>
      <x:c r="E2032" s="34" t="str">
        <x:v>Line</x:v>
      </x:c>
      <x:c r="F2032" s="34" t="n">
        <x:v>304</x:v>
      </x:c>
      <x:c r="G2032" s="34" t="str">
        <x:v>RECORDED</x:v>
      </x:c>
      <x:c r="H2032" s="38" t="n">
        <x:f>IF(ISNUMBER('Data'!H324),'Data'!H324*100,"")</x:f>
        <x:v>37.83</x:v>
      </x:c>
      <x:c r="I2032" s="34" t="str">
        <x:v>PASS</x:v>
      </x:c>
      <x:c r="J2032" s="34" t="str">
        <x:v>PASS</x:v>
      </x:c>
      <x:c r="K2032" s="34" t="str">
        <x:v>PASS</x:v>
      </x:c>
      <x:c r="L2032" s="34" t="str">
        <x:v>PASS</x:v>
      </x:c>
      <x:c r="M2032" s="34" t="str">
        <x:v>numeric coverage for applicable metric</x:v>
      </x:c>
      <x:c r="N2032" s="34" t="str">
        <x:v>Feedback-Directed Random Test Generation/Result/Compress_38/result.json</x:v>
      </x:c>
      <x:c r="O2032" s="38" t="n">
        <x:f>IF(AND(G2032="RECORDED",ISNUMBER(H2032)),H2032,"")</x:f>
        <x:v>37.83</x:v>
      </x:c>
      <x:c r="P2032" s="34" t="str">
        <x:v>NOT_REVEALING</x:v>
      </x:c>
      <x:c r="Q2032" s="34" t="str">
        <x:v>Feedback-Directed Random Test Generation/Result/Compress_38/result.json</x:v>
      </x:c>
    </x:row>
    <x:row r="2033">
      <x:c r="A2033" s="34" t="str">
        <x:v>randoop</x:v>
      </x:c>
      <x:c r="B2033" s="34" t="str">
        <x:v>Compress</x:v>
      </x:c>
      <x:c r="C2033" s="34" t="str">
        <x:v>Round1</x:v>
      </x:c>
      <x:c r="D2033" s="34" t="str">
        <x:v>Compress_39</x:v>
      </x:c>
      <x:c r="E2033" s="34" t="str">
        <x:v>Line</x:v>
      </x:c>
      <x:c r="F2033" s="34" t="n">
        <x:v>62</x:v>
      </x:c>
      <x:c r="G2033" s="34" t="str">
        <x:v>RECORDED</x:v>
      </x:c>
      <x:c r="H2033" s="38" t="n">
        <x:f>IF(ISNUMBER('Data'!H325),'Data'!H325*100,"")</x:f>
        <x:v>70.97</x:v>
      </x:c>
      <x:c r="I2033" s="34" t="str">
        <x:v>PASS</x:v>
      </x:c>
      <x:c r="J2033" s="34" t="str">
        <x:v>PASS</x:v>
      </x:c>
      <x:c r="K2033" s="34" t="str">
        <x:v>PASS</x:v>
      </x:c>
      <x:c r="L2033" s="34" t="str">
        <x:v>FAIL</x:v>
      </x:c>
      <x:c r="M2033" s="34" t="str">
        <x:v>numeric coverage for applicable metric</x:v>
      </x:c>
      <x:c r="N2033" s="34" t="str">
        <x:v>Feedback-Directed Random Test Generation/Result/Compress_39/result.json</x:v>
      </x:c>
      <x:c r="O2033" s="38" t="n">
        <x:f>IF(AND(G2033="RECORDED",ISNUMBER(H2033)),H2033,"")</x:f>
        <x:v>70.97</x:v>
      </x:c>
      <x:c r="P2033" s="34" t="str">
        <x:v>INCONCLUSIVE</x:v>
      </x:c>
      <x:c r="Q2033" s="34" t="str">
        <x:v>Feedback-Directed Random Test Generation/Result/Compress_39/result.json</x:v>
      </x:c>
    </x:row>
    <x:row r="2034">
      <x:c r="A2034" s="34" t="str">
        <x:v>randoop</x:v>
      </x:c>
      <x:c r="B2034" s="34" t="str">
        <x:v>Compress</x:v>
      </x:c>
      <x:c r="C2034" s="34" t="str">
        <x:v>Round1</x:v>
      </x:c>
      <x:c r="D2034" s="34" t="str">
        <x:v>Compress_40</x:v>
      </x:c>
      <x:c r="E2034" s="34" t="str">
        <x:v>Line</x:v>
      </x:c>
      <x:c r="F2034" s="34" t="n">
        <x:v>33</x:v>
      </x:c>
      <x:c r="G2034" s="34" t="str">
        <x:v>RECORDED</x:v>
      </x:c>
      <x:c r="H2034" s="38" t="n">
        <x:f>IF(ISNUMBER('Data'!H326),'Data'!H326*100,"")</x:f>
        <x:v>66.67</x:v>
      </x:c>
      <x:c r="I2034" s="34" t="str">
        <x:v>PASS</x:v>
      </x:c>
      <x:c r="J2034" s="34" t="str">
        <x:v>PASS</x:v>
      </x:c>
      <x:c r="K2034" s="34" t="str">
        <x:v>PASS</x:v>
      </x:c>
      <x:c r="L2034" s="34" t="str">
        <x:v>PASS</x:v>
      </x:c>
      <x:c r="M2034" s="34" t="str">
        <x:v>numeric coverage for applicable metric</x:v>
      </x:c>
      <x:c r="N2034" s="34" t="str">
        <x:v>Feedback-Directed Random Test Generation/Result/Compress_40/result.json</x:v>
      </x:c>
      <x:c r="O2034" s="38" t="n">
        <x:f>IF(AND(G2034="RECORDED",ISNUMBER(H2034)),H2034,"")</x:f>
        <x:v>66.67</x:v>
      </x:c>
      <x:c r="P2034" s="34" t="str">
        <x:v>NOT_REVEALING</x:v>
      </x:c>
      <x:c r="Q2034" s="34" t="str">
        <x:v>Feedback-Directed Random Test Generation/Result/Compress_40/result.json</x:v>
      </x:c>
    </x:row>
    <x:row r="2035">
      <x:c r="A2035" s="34" t="str">
        <x:v>randoop</x:v>
      </x:c>
      <x:c r="B2035" s="34" t="str">
        <x:v>Compress</x:v>
      </x:c>
      <x:c r="C2035" s="34" t="str">
        <x:v>Round1</x:v>
      </x:c>
      <x:c r="D2035" s="34" t="str">
        <x:v>Compress_41</x:v>
      </x:c>
      <x:c r="E2035" s="34" t="str">
        <x:v>Line</x:v>
      </x:c>
      <x:c r="F2035" s="34" t="n">
        <x:v>412</x:v>
      </x:c>
      <x:c r="G2035" s="34" t="str">
        <x:v>RECORDED</x:v>
      </x:c>
      <x:c r="H2035" s="38" t="n">
        <x:f>IF(ISNUMBER('Data'!H327),'Data'!H327*100,"")</x:f>
        <x:v>13.59</x:v>
      </x:c>
      <x:c r="I2035" s="34" t="str">
        <x:v>PASS</x:v>
      </x:c>
      <x:c r="J2035" s="34" t="str">
        <x:v>PASS</x:v>
      </x:c>
      <x:c r="K2035" s="34" t="str">
        <x:v>PASS</x:v>
      </x:c>
      <x:c r="L2035" s="34" t="str">
        <x:v>PASS</x:v>
      </x:c>
      <x:c r="M2035" s="34" t="str">
        <x:v>numeric coverage for applicable metric</x:v>
      </x:c>
      <x:c r="N2035" s="34" t="str">
        <x:v>Feedback-Directed Random Test Generation/Result/Compress_41/result.json</x:v>
      </x:c>
      <x:c r="O2035" s="38" t="n">
        <x:f>IF(AND(G2035="RECORDED",ISNUMBER(H2035)),H2035,"")</x:f>
        <x:v>13.59</x:v>
      </x:c>
      <x:c r="P2035" s="34" t="str">
        <x:v>NOT_REVEALING</x:v>
      </x:c>
      <x:c r="Q2035" s="34" t="str">
        <x:v>Feedback-Directed Random Test Generation/Result/Compress_41/result.json</x:v>
      </x:c>
    </x:row>
    <x:row r="2036">
      <x:c r="A2036" s="34" t="str">
        <x:v>randoop</x:v>
      </x:c>
      <x:c r="B2036" s="34" t="str">
        <x:v>Compress</x:v>
      </x:c>
      <x:c r="C2036" s="34" t="str">
        <x:v>Round1</x:v>
      </x:c>
      <x:c r="D2036" s="34" t="str">
        <x:v>Compress_42</x:v>
      </x:c>
      <x:c r="E2036" s="34" t="str">
        <x:v>Line</x:v>
      </x:c>
      <x:c r="F2036" s="34" t="n">
        <x:v>244</x:v>
      </x:c>
      <x:c r="G2036" s="34" t="str">
        <x:v>RECORDED</x:v>
      </x:c>
      <x:c r="H2036" s="38" t="n">
        <x:f>IF(ISNUMBER('Data'!H328),'Data'!H328*100,"")</x:f>
        <x:v>23.36</x:v>
      </x:c>
      <x:c r="I2036" s="34" t="str">
        <x:v>PASS</x:v>
      </x:c>
      <x:c r="J2036" s="34" t="str">
        <x:v>PASS</x:v>
      </x:c>
      <x:c r="K2036" s="34" t="str">
        <x:v>PASS</x:v>
      </x:c>
      <x:c r="L2036" s="34" t="str">
        <x:v>PASS</x:v>
      </x:c>
      <x:c r="M2036" s="34" t="str">
        <x:v>numeric coverage for applicable metric</x:v>
      </x:c>
      <x:c r="N2036" s="34" t="str">
        <x:v>Feedback-Directed Random Test Generation/Result/Compress_42/result.json</x:v>
      </x:c>
      <x:c r="O2036" s="38" t="n">
        <x:f>IF(AND(G2036="RECORDED",ISNUMBER(H2036)),H2036,"")</x:f>
        <x:v>23.36</x:v>
      </x:c>
      <x:c r="P2036" s="34" t="str">
        <x:v>NOT_REVEALING</x:v>
      </x:c>
      <x:c r="Q2036" s="34" t="str">
        <x:v>Feedback-Directed Random Test Generation/Result/Compress_42/result.json</x:v>
      </x:c>
    </x:row>
    <x:row r="2037">
      <x:c r="A2037" s="34" t="str">
        <x:v>randoop</x:v>
      </x:c>
      <x:c r="B2037" s="34" t="str">
        <x:v>Compress</x:v>
      </x:c>
      <x:c r="C2037" s="34" t="str">
        <x:v>Round1</x:v>
      </x:c>
      <x:c r="D2037" s="34" t="str">
        <x:v>Compress_43</x:v>
      </x:c>
      <x:c r="E2037" s="34" t="str">
        <x:v>Line</x:v>
      </x:c>
      <x:c r="F2037" s="34" t="n">
        <x:v>533</x:v>
      </x:c>
      <x:c r="G2037" s="34" t="str">
        <x:v>RECORDED</x:v>
      </x:c>
      <x:c r="H2037" s="38" t="n">
        <x:f>IF(ISNUMBER('Data'!H329),'Data'!H329*100,"")</x:f>
        <x:v>10.88</x:v>
      </x:c>
      <x:c r="I2037" s="34" t="str">
        <x:v>PASS</x:v>
      </x:c>
      <x:c r="J2037" s="34" t="str">
        <x:v>PASS</x:v>
      </x:c>
      <x:c r="K2037" s="34" t="str">
        <x:v>PASS</x:v>
      </x:c>
      <x:c r="L2037" s="34" t="str">
        <x:v>PASS</x:v>
      </x:c>
      <x:c r="M2037" s="34" t="str">
        <x:v>numeric coverage for applicable metric</x:v>
      </x:c>
      <x:c r="N2037" s="34" t="str">
        <x:v>Feedback-Directed Random Test Generation/Result/Compress_43/result.json</x:v>
      </x:c>
      <x:c r="O2037" s="38" t="n">
        <x:f>IF(AND(G2037="RECORDED",ISNUMBER(H2037)),H2037,"")</x:f>
        <x:v>10.88</x:v>
      </x:c>
      <x:c r="P2037" s="34" t="str">
        <x:v>NOT_REVEALING</x:v>
      </x:c>
      <x:c r="Q2037" s="34" t="str">
        <x:v>Feedback-Directed Random Test Generation/Result/Compress_43/result.json</x:v>
      </x:c>
    </x:row>
    <x:row r="2038">
      <x:c r="A2038" s="34" t="str">
        <x:v>randoop</x:v>
      </x:c>
      <x:c r="B2038" s="34" t="str">
        <x:v>Compress</x:v>
      </x:c>
      <x:c r="C2038" s="34" t="str">
        <x:v>Round1</x:v>
      </x:c>
      <x:c r="D2038" s="34" t="str">
        <x:v>Compress_44</x:v>
      </x:c>
      <x:c r="E2038" s="34" t="str">
        <x:v>Line</x:v>
      </x:c>
      <x:c r="F2038" s="34" t="n">
        <x:v>17</x:v>
      </x:c>
      <x:c r="G2038" s="34" t="str">
        <x:v>RECORDED</x:v>
      </x:c>
      <x:c r="H2038" s="38" t="n">
        <x:f>IF(ISNUMBER('Data'!H330),'Data'!H330*100,"")</x:f>
        <x:v>52.94</x:v>
      </x:c>
      <x:c r="I2038" s="34" t="str">
        <x:v>PASS</x:v>
      </x:c>
      <x:c r="J2038" s="34" t="str">
        <x:v>PASS</x:v>
      </x:c>
      <x:c r="K2038" s="34" t="str">
        <x:v>PASS</x:v>
      </x:c>
      <x:c r="L2038" s="34" t="str">
        <x:v>PASS</x:v>
      </x:c>
      <x:c r="M2038" s="34" t="str">
        <x:v>numeric coverage for applicable metric</x:v>
      </x:c>
      <x:c r="N2038" s="34" t="str">
        <x:v>Feedback-Directed Random Test Generation/Result/Compress_44/result.json</x:v>
      </x:c>
      <x:c r="O2038" s="38" t="n">
        <x:f>IF(AND(G2038="RECORDED",ISNUMBER(H2038)),H2038,"")</x:f>
        <x:v>52.94</x:v>
      </x:c>
      <x:c r="P2038" s="34" t="str">
        <x:v>INCONCLUSIVE</x:v>
      </x:c>
      <x:c r="Q2038" s="34" t="str">
        <x:v>Feedback-Directed Random Test Generation/Result/Compress_44/result.json</x:v>
      </x:c>
    </x:row>
    <x:row r="2039">
      <x:c r="A2039" s="34" t="str">
        <x:v>randoop</x:v>
      </x:c>
      <x:c r="B2039" s="34" t="str">
        <x:v>Compress</x:v>
      </x:c>
      <x:c r="C2039" s="34" t="str">
        <x:v>Round1</x:v>
      </x:c>
      <x:c r="D2039" s="34" t="str">
        <x:v>Compress_45</x:v>
      </x:c>
      <x:c r="E2039" s="34" t="str">
        <x:v>Line</x:v>
      </x:c>
      <x:c r="F2039" s="34" t="n">
        <x:v>171</x:v>
      </x:c>
      <x:c r="G2039" s="34" t="str">
        <x:v>RECORDED</x:v>
      </x:c>
      <x:c r="H2039" s="38" t="n">
        <x:f>IF(ISNUMBER('Data'!H331),'Data'!H331*100,"")</x:f>
        <x:v>39.77</x:v>
      </x:c>
      <x:c r="I2039" s="34" t="str">
        <x:v>PASS</x:v>
      </x:c>
      <x:c r="J2039" s="34" t="str">
        <x:v>PASS</x:v>
      </x:c>
      <x:c r="K2039" s="34" t="str">
        <x:v>PASS</x:v>
      </x:c>
      <x:c r="L2039" s="34" t="str">
        <x:v>PASS</x:v>
      </x:c>
      <x:c r="M2039" s="34" t="str">
        <x:v>numeric coverage for applicable metric</x:v>
      </x:c>
      <x:c r="N2039" s="34" t="str">
        <x:v>Feedback-Directed Random Test Generation/Result/Compress_45/result.json</x:v>
      </x:c>
      <x:c r="O2039" s="38" t="n">
        <x:f>IF(AND(G2039="RECORDED",ISNUMBER(H2039)),H2039,"")</x:f>
        <x:v>39.77</x:v>
      </x:c>
      <x:c r="P2039" s="34" t="str">
        <x:v>INCONCLUSIVE</x:v>
      </x:c>
      <x:c r="Q2039" s="34" t="str">
        <x:v>Feedback-Directed Random Test Generation/Result/Compress_45/result.json</x:v>
      </x:c>
    </x:row>
    <x:row r="2040">
      <x:c r="A2040" s="34" t="str">
        <x:v>randoop</x:v>
      </x:c>
      <x:c r="B2040" s="34" t="str">
        <x:v>Compress</x:v>
      </x:c>
      <x:c r="C2040" s="34" t="str">
        <x:v>Round1</x:v>
      </x:c>
      <x:c r="D2040" s="34" t="str">
        <x:v>Compress_46</x:v>
      </x:c>
      <x:c r="E2040" s="34" t="str">
        <x:v>Line</x:v>
      </x:c>
      <x:c r="F2040" s="34" t="n">
        <x:v>119</x:v>
      </x:c>
      <x:c r="G2040" s="34" t="str">
        <x:v>RECORDED</x:v>
      </x:c>
      <x:c r="H2040" s="38" t="n">
        <x:f>IF(ISNUMBER('Data'!H332),'Data'!H332*100,"")</x:f>
        <x:v>48.74</x:v>
      </x:c>
      <x:c r="I2040" s="34" t="str">
        <x:v>PASS</x:v>
      </x:c>
      <x:c r="J2040" s="34" t="str">
        <x:v>PASS</x:v>
      </x:c>
      <x:c r="K2040" s="34" t="str">
        <x:v>PASS</x:v>
      </x:c>
      <x:c r="L2040" s="34" t="str">
        <x:v>PASS</x:v>
      </x:c>
      <x:c r="M2040" s="34" t="str">
        <x:v>numeric coverage for applicable metric</x:v>
      </x:c>
      <x:c r="N2040" s="34" t="str">
        <x:v>Feedback-Directed Random Test Generation/Result/Compress_46/result.json</x:v>
      </x:c>
      <x:c r="O2040" s="38" t="n">
        <x:f>IF(AND(G2040="RECORDED",ISNUMBER(H2040)),H2040,"")</x:f>
        <x:v>48.74</x:v>
      </x:c>
      <x:c r="P2040" s="34" t="str">
        <x:v>NOT_REVEALING</x:v>
      </x:c>
      <x:c r="Q2040" s="34" t="str">
        <x:v>Feedback-Directed Random Test Generation/Result/Compress_46/result.json</x:v>
      </x:c>
    </x:row>
    <x:row r="2041">
      <x:c r="A2041" s="34" t="str">
        <x:v>randoop</x:v>
      </x:c>
      <x:c r="B2041" s="34" t="str">
        <x:v>Compress</x:v>
      </x:c>
      <x:c r="C2041" s="34" t="str">
        <x:v>Round1</x:v>
      </x:c>
      <x:c r="D2041" s="34" t="str">
        <x:v>Compress_47</x:v>
      </x:c>
      <x:c r="E2041" s="34" t="str">
        <x:v>Line</x:v>
      </x:c>
      <x:c r="F2041" s="34" t="n">
        <x:v>430</x:v>
      </x:c>
      <x:c r="G2041" s="34" t="str">
        <x:v>RECORDED</x:v>
      </x:c>
      <x:c r="H2041" s="38" t="n">
        <x:f>IF(ISNUMBER('Data'!H333),'Data'!H333*100,"")</x:f>
        <x:v>13.26</x:v>
      </x:c>
      <x:c r="I2041" s="34" t="str">
        <x:v>PASS</x:v>
      </x:c>
      <x:c r="J2041" s="34" t="str">
        <x:v>PASS</x:v>
      </x:c>
      <x:c r="K2041" s="34" t="str">
        <x:v>PASS</x:v>
      </x:c>
      <x:c r="L2041" s="34" t="str">
        <x:v>PASS</x:v>
      </x:c>
      <x:c r="M2041" s="34" t="str">
        <x:v>numeric coverage for applicable metric</x:v>
      </x:c>
      <x:c r="N2041" s="34" t="str">
        <x:v>Feedback-Directed Random Test Generation/Result/Compress_47/result.json</x:v>
      </x:c>
      <x:c r="O2041" s="38" t="n">
        <x:f>IF(AND(G2041="RECORDED",ISNUMBER(H2041)),H2041,"")</x:f>
        <x:v>13.26</x:v>
      </x:c>
      <x:c r="P2041" s="34" t="str">
        <x:v>NOT_REVEALING</x:v>
      </x:c>
      <x:c r="Q2041" s="34" t="str">
        <x:v>Feedback-Directed Random Test Generation/Result/Compress_47/result.json</x:v>
      </x:c>
    </x:row>
    <x:row r="2042">
      <x:c r="A2042" s="34" t="str">
        <x:v>randoop</x:v>
      </x:c>
      <x:c r="B2042" s="34" t="str">
        <x:v>Csv</x:v>
      </x:c>
      <x:c r="C2042" s="34" t="str">
        <x:v>Round1</x:v>
      </x:c>
      <x:c r="D2042" s="34" t="str">
        <x:v>Csv_1</x:v>
      </x:c>
      <x:c r="E2042" s="34" t="str">
        <x:v>Line</x:v>
      </x:c>
      <x:c r="F2042" s="34" t="n">
        <x:v>37</x:v>
      </x:c>
      <x:c r="G2042" s="34" t="str">
        <x:v>RECORDED</x:v>
      </x:c>
      <x:c r="H2042" s="38" t="n">
        <x:f>IF(ISNUMBER('Data'!H334),'Data'!H334*100,"")</x:f>
        <x:v>2.7</x:v>
      </x:c>
      <x:c r="I2042" s="34" t="str">
        <x:v>PASS</x:v>
      </x:c>
      <x:c r="J2042" s="34" t="str">
        <x:v>PASS</x:v>
      </x:c>
      <x:c r="K2042" s="34" t="str">
        <x:v>PASS</x:v>
      </x:c>
      <x:c r="L2042" s="34" t="str">
        <x:v>PASS</x:v>
      </x:c>
      <x:c r="M2042" s="34" t="str">
        <x:v>numeric coverage for applicable metric</x:v>
      </x:c>
      <x:c r="N2042" s="34" t="str">
        <x:v>Feedback-Directed Random Test Generation/Result/Csv_1/result.json</x:v>
      </x:c>
      <x:c r="O2042" s="38" t="n">
        <x:f>IF(AND(G2042="RECORDED",ISNUMBER(H2042)),H2042,"")</x:f>
        <x:v>2.7</x:v>
      </x:c>
      <x:c r="P2042" s="34" t="str">
        <x:v>NOT_REVEALING</x:v>
      </x:c>
      <x:c r="Q2042" s="34" t="str">
        <x:v>Feedback-Directed Random Test Generation/Result/Csv_1/result.json</x:v>
      </x:c>
    </x:row>
    <x:row r="2043">
      <x:c r="A2043" s="34" t="str">
        <x:v>randoop</x:v>
      </x:c>
      <x:c r="B2043" s="34" t="str">
        <x:v>Csv</x:v>
      </x:c>
      <x:c r="C2043" s="34" t="str">
        <x:v>Round1</x:v>
      </x:c>
      <x:c r="D2043" s="34" t="str">
        <x:v>Csv_2</x:v>
      </x:c>
      <x:c r="E2043" s="34" t="str">
        <x:v>Line</x:v>
      </x:c>
      <x:c r="F2043" s="34" t="n">
        <x:v>21</x:v>
      </x:c>
      <x:c r="G2043" s="34" t="str">
        <x:v>RECORDED</x:v>
      </x:c>
      <x:c r="H2043" s="38" t="n">
        <x:f>IF(ISNUMBER('Data'!H335),'Data'!H335*100,"")</x:f>
        <x:v>90.48</x:v>
      </x:c>
      <x:c r="I2043" s="34" t="str">
        <x:v>PASS</x:v>
      </x:c>
      <x:c r="J2043" s="34" t="str">
        <x:v>PASS</x:v>
      </x:c>
      <x:c r="K2043" s="34" t="str">
        <x:v>PASS</x:v>
      </x:c>
      <x:c r="L2043" s="34" t="str">
        <x:v>PASS</x:v>
      </x:c>
      <x:c r="M2043" s="34" t="str">
        <x:v>numeric coverage for applicable metric</x:v>
      </x:c>
      <x:c r="N2043" s="34" t="str">
        <x:v>Feedback-Directed Random Test Generation/Result/Csv_2/result.json</x:v>
      </x:c>
      <x:c r="O2043" s="38" t="n">
        <x:f>IF(AND(G2043="RECORDED",ISNUMBER(H2043)),H2043,"")</x:f>
        <x:v>90.48</x:v>
      </x:c>
      <x:c r="P2043" s="34" t="str">
        <x:v>NOT_REVEALING</x:v>
      </x:c>
      <x:c r="Q2043" s="34" t="str">
        <x:v>Feedback-Directed Random Test Generation/Result/Csv_2/result.json</x:v>
      </x:c>
    </x:row>
    <x:row r="2044">
      <x:c r="A2044" s="34" t="str">
        <x:v>randoop</x:v>
      </x:c>
      <x:c r="B2044" s="34" t="str">
        <x:v>Csv</x:v>
      </x:c>
      <x:c r="C2044" s="34" t="str">
        <x:v>Round1</x:v>
      </x:c>
      <x:c r="D2044" s="34" t="str">
        <x:v>Csv_3</x:v>
      </x:c>
      <x:c r="E2044" s="34" t="str">
        <x:v>Line</x:v>
      </x:c>
      <x:c r="F2044" s="34" t="n">
        <x:v>38</x:v>
      </x:c>
      <x:c r="G2044" s="34" t="str">
        <x:v>RECORDED</x:v>
      </x:c>
      <x:c r="H2044" s="38" t="n">
        <x:f>IF(ISNUMBER('Data'!H336),'Data'!H336*100,"")</x:f>
        <x:v>0</x:v>
      </x:c>
      <x:c r="I2044" s="34" t="str">
        <x:v>PASS</x:v>
      </x:c>
      <x:c r="J2044" s="34" t="str">
        <x:v>PASS</x:v>
      </x:c>
      <x:c r="K2044" s="34" t="str">
        <x:v>PASS</x:v>
      </x:c>
      <x:c r="L2044" s="34" t="str">
        <x:v>PASS</x:v>
      </x:c>
      <x:c r="M2044" s="34" t="str">
        <x:v>numeric coverage for applicable metric</x:v>
      </x:c>
      <x:c r="N2044" s="34" t="str">
        <x:v>Feedback-Directed Random Test Generation/Result/Csv_3/result.json</x:v>
      </x:c>
      <x:c r="O2044" s="38" t="n">
        <x:f>IF(AND(G2044="RECORDED",ISNUMBER(H2044)),H2044,"")</x:f>
        <x:v>0</x:v>
      </x:c>
      <x:c r="P2044" s="34" t="str">
        <x:v>NOT_REVEALING</x:v>
      </x:c>
      <x:c r="Q2044" s="34" t="str">
        <x:v>Feedback-Directed Random Test Generation/Result/Csv_3/result.json</x:v>
      </x:c>
    </x:row>
    <x:row r="2045">
      <x:c r="A2045" s="34" t="str">
        <x:v>randoop</x:v>
      </x:c>
      <x:c r="B2045" s="34" t="str">
        <x:v>Csv</x:v>
      </x:c>
      <x:c r="C2045" s="34" t="str">
        <x:v>Round1</x:v>
      </x:c>
      <x:c r="D2045" s="34" t="str">
        <x:v>Csv_4</x:v>
      </x:c>
      <x:c r="E2045" s="34" t="str">
        <x:v>Line</x:v>
      </x:c>
      <x:c r="F2045" s="34" t="n">
        <x:v>100</x:v>
      </x:c>
      <x:c r="G2045" s="34" t="str">
        <x:v>RECORDED</x:v>
      </x:c>
      <x:c r="H2045" s="38" t="n">
        <x:f>IF(ISNUMBER('Data'!H337),'Data'!H337*100,"")</x:f>
        <x:v>4</x:v>
      </x:c>
      <x:c r="I2045" s="34" t="str">
        <x:v>PASS</x:v>
      </x:c>
      <x:c r="J2045" s="34" t="str">
        <x:v>PASS</x:v>
      </x:c>
      <x:c r="K2045" s="34" t="str">
        <x:v>PASS</x:v>
      </x:c>
      <x:c r="L2045" s="34" t="str">
        <x:v>PASS</x:v>
      </x:c>
      <x:c r="M2045" s="34" t="str">
        <x:v>numeric coverage for applicable metric</x:v>
      </x:c>
      <x:c r="N2045" s="34" t="str">
        <x:v>Feedback-Directed Random Test Generation/Result/Csv_4/result.json</x:v>
      </x:c>
      <x:c r="O2045" s="38" t="n">
        <x:f>IF(AND(G2045="RECORDED",ISNUMBER(H2045)),H2045,"")</x:f>
        <x:v>4</x:v>
      </x:c>
      <x:c r="P2045" s="34" t="str">
        <x:v>NOT_REVEALING</x:v>
      </x:c>
      <x:c r="Q2045" s="34" t="str">
        <x:v>Feedback-Directed Random Test Generation/Result/Csv_4/result.json</x:v>
      </x:c>
    </x:row>
    <x:row r="2046">
      <x:c r="A2046" s="34" t="str">
        <x:v>randoop</x:v>
      </x:c>
      <x:c r="B2046" s="34" t="str">
        <x:v>Csv</x:v>
      </x:c>
      <x:c r="C2046" s="34" t="str">
        <x:v>Round1</x:v>
      </x:c>
      <x:c r="D2046" s="34" t="str">
        <x:v>Csv_5</x:v>
      </x:c>
      <x:c r="E2046" s="34" t="str">
        <x:v>Line</x:v>
      </x:c>
      <x:c r="F2046" s="34" t="n">
        <x:v>158</x:v>
      </x:c>
      <x:c r="G2046" s="34" t="str">
        <x:v>RECORDED</x:v>
      </x:c>
      <x:c r="H2046" s="38" t="n">
        <x:f>IF(ISNUMBER('Data'!H338),'Data'!H338*100,"")</x:f>
        <x:v>1.9</x:v>
      </x:c>
      <x:c r="I2046" s="34" t="str">
        <x:v>PASS</x:v>
      </x:c>
      <x:c r="J2046" s="34" t="str">
        <x:v>PASS</x:v>
      </x:c>
      <x:c r="K2046" s="34" t="str">
        <x:v>PASS</x:v>
      </x:c>
      <x:c r="L2046" s="34" t="str">
        <x:v>PASS</x:v>
      </x:c>
      <x:c r="M2046" s="34" t="str">
        <x:v>numeric coverage for applicable metric</x:v>
      </x:c>
      <x:c r="N2046" s="34" t="str">
        <x:v>Feedback-Directed Random Test Generation/Result/Csv_5/result.json</x:v>
      </x:c>
      <x:c r="O2046" s="38" t="n">
        <x:f>IF(AND(G2046="RECORDED",ISNUMBER(H2046)),H2046,"")</x:f>
        <x:v>1.9</x:v>
      </x:c>
      <x:c r="P2046" s="34" t="str">
        <x:v>NOT_REVEALING</x:v>
      </x:c>
      <x:c r="Q2046" s="34" t="str">
        <x:v>Feedback-Directed Random Test Generation/Result/Csv_5/result.json</x:v>
      </x:c>
    </x:row>
    <x:row r="2047">
      <x:c r="A2047" s="34" t="str">
        <x:v>randoop</x:v>
      </x:c>
      <x:c r="B2047" s="34" t="str">
        <x:v>Csv</x:v>
      </x:c>
      <x:c r="C2047" s="34" t="str">
        <x:v>Round1</x:v>
      </x:c>
      <x:c r="D2047" s="34" t="str">
        <x:v>Csv_6</x:v>
      </x:c>
      <x:c r="E2047" s="34" t="str">
        <x:v>Line</x:v>
      </x:c>
      <x:c r="F2047" s="34" t="n">
        <x:v>35</x:v>
      </x:c>
      <x:c r="G2047" s="34" t="str">
        <x:v>RECORDED</x:v>
      </x:c>
      <x:c r="H2047" s="38" t="n">
        <x:f>IF(ISNUMBER('Data'!H339),'Data'!H339*100,"")</x:f>
        <x:v>62.86000000000001</x:v>
      </x:c>
      <x:c r="I2047" s="34" t="str">
        <x:v>PASS</x:v>
      </x:c>
      <x:c r="J2047" s="34" t="str">
        <x:v>PASS</x:v>
      </x:c>
      <x:c r="K2047" s="34" t="str">
        <x:v>PASS</x:v>
      </x:c>
      <x:c r="L2047" s="34" t="str">
        <x:v>PASS</x:v>
      </x:c>
      <x:c r="M2047" s="34" t="str">
        <x:v>numeric coverage for applicable metric</x:v>
      </x:c>
      <x:c r="N2047" s="34" t="str">
        <x:v>Feedback-Directed Random Test Generation/Result/Csv_6/result.json</x:v>
      </x:c>
      <x:c r="O2047" s="38" t="n">
        <x:f>IF(AND(G2047="RECORDED",ISNUMBER(H2047)),H2047,"")</x:f>
        <x:v>62.86000000000001</x:v>
      </x:c>
      <x:c r="P2047" s="34" t="str">
        <x:v>NOT_REVEALING</x:v>
      </x:c>
      <x:c r="Q2047" s="34" t="str">
        <x:v>Feedback-Directed Random Test Generation/Result/Csv_6/result.json</x:v>
      </x:c>
    </x:row>
    <x:row r="2048">
      <x:c r="A2048" s="34" t="str">
        <x:v>randoop</x:v>
      </x:c>
      <x:c r="B2048" s="34" t="str">
        <x:v>Csv</x:v>
      </x:c>
      <x:c r="C2048" s="34" t="str">
        <x:v>Round1</x:v>
      </x:c>
      <x:c r="D2048" s="34" t="str">
        <x:v>Csv_7</x:v>
      </x:c>
      <x:c r="E2048" s="34" t="str">
        <x:v>Line</x:v>
      </x:c>
      <x:c r="F2048" s="34" t="n">
        <x:v>101</x:v>
      </x:c>
      <x:c r="G2048" s="34" t="str">
        <x:v>RECORDED</x:v>
      </x:c>
      <x:c r="H2048" s="38" t="n">
        <x:f>IF(ISNUMBER('Data'!H340),'Data'!H340*100,"")</x:f>
        <x:v>7.919999999999999</x:v>
      </x:c>
      <x:c r="I2048" s="34" t="str">
        <x:v>PASS</x:v>
      </x:c>
      <x:c r="J2048" s="34" t="str">
        <x:v>PASS</x:v>
      </x:c>
      <x:c r="K2048" s="34" t="str">
        <x:v>PASS</x:v>
      </x:c>
      <x:c r="L2048" s="34" t="str">
        <x:v>PASS</x:v>
      </x:c>
      <x:c r="M2048" s="34" t="str">
        <x:v>numeric coverage for applicable metric</x:v>
      </x:c>
      <x:c r="N2048" s="34" t="str">
        <x:v>Feedback-Directed Random Test Generation/Result/Csv_7/result.json</x:v>
      </x:c>
      <x:c r="O2048" s="38" t="n">
        <x:f>IF(AND(G2048="RECORDED",ISNUMBER(H2048)),H2048,"")</x:f>
        <x:v>7.919999999999999</x:v>
      </x:c>
      <x:c r="P2048" s="34" t="str">
        <x:v>NOT_REVEALING</x:v>
      </x:c>
      <x:c r="Q2048" s="34" t="str">
        <x:v>Feedback-Directed Random Test Generation/Result/Csv_7/result.json</x:v>
      </x:c>
    </x:row>
    <x:row r="2049">
      <x:c r="A2049" s="34" t="str">
        <x:v>randoop</x:v>
      </x:c>
      <x:c r="B2049" s="34" t="str">
        <x:v>Csv</x:v>
      </x:c>
      <x:c r="C2049" s="34" t="str">
        <x:v>Round1</x:v>
      </x:c>
      <x:c r="D2049" s="34" t="str">
        <x:v>Csv_8</x:v>
      </x:c>
      <x:c r="E2049" s="34" t="str">
        <x:v>Line</x:v>
      </x:c>
      <x:c r="F2049" s="34" t="n">
        <x:v>179</x:v>
      </x:c>
      <x:c r="G2049" s="34" t="str">
        <x:v>RECORDED</x:v>
      </x:c>
      <x:c r="H2049" s="38" t="n">
        <x:f>IF(ISNUMBER('Data'!H341),'Data'!H341*100,"")</x:f>
        <x:v>63.690000000000005</x:v>
      </x:c>
      <x:c r="I2049" s="34" t="str">
        <x:v>PASS</x:v>
      </x:c>
      <x:c r="J2049" s="34" t="str">
        <x:v>PASS</x:v>
      </x:c>
      <x:c r="K2049" s="34" t="str">
        <x:v>PASS</x:v>
      </x:c>
      <x:c r="L2049" s="34" t="str">
        <x:v>PASS</x:v>
      </x:c>
      <x:c r="M2049" s="34" t="str">
        <x:v>numeric coverage for applicable metric</x:v>
      </x:c>
      <x:c r="N2049" s="34" t="str">
        <x:v>Feedback-Directed Random Test Generation/Result/Csv_8/result.json</x:v>
      </x:c>
      <x:c r="O2049" s="38" t="n">
        <x:f>IF(AND(G2049="RECORDED",ISNUMBER(H2049)),H2049,"")</x:f>
        <x:v>63.690000000000005</x:v>
      </x:c>
      <x:c r="P2049" s="34" t="str">
        <x:v>INCONCLUSIVE</x:v>
      </x:c>
      <x:c r="Q2049" s="34" t="str">
        <x:v>Feedback-Directed Random Test Generation/Result/Csv_8/result.json</x:v>
      </x:c>
    </x:row>
    <x:row r="2050">
      <x:c r="A2050" s="34" t="str">
        <x:v>randoop</x:v>
      </x:c>
      <x:c r="B2050" s="34" t="str">
        <x:v>Csv</x:v>
      </x:c>
      <x:c r="C2050" s="34" t="str">
        <x:v>Round1</x:v>
      </x:c>
      <x:c r="D2050" s="34" t="str">
        <x:v>Csv_9</x:v>
      </x:c>
      <x:c r="E2050" s="34" t="str">
        <x:v>Line</x:v>
      </x:c>
      <x:c r="F2050" s="34" t="n">
        <x:v>36</x:v>
      </x:c>
      <x:c r="G2050" s="34" t="str">
        <x:v>RECORDED</x:v>
      </x:c>
      <x:c r="H2050" s="38" t="n">
        <x:f>IF(ISNUMBER('Data'!H342),'Data'!H342*100,"")</x:f>
        <x:v>61.11</x:v>
      </x:c>
      <x:c r="I2050" s="34" t="str">
        <x:v>PASS</x:v>
      </x:c>
      <x:c r="J2050" s="34" t="str">
        <x:v>PASS</x:v>
      </x:c>
      <x:c r="K2050" s="34" t="str">
        <x:v>PASS</x:v>
      </x:c>
      <x:c r="L2050" s="34" t="str">
        <x:v>PASS</x:v>
      </x:c>
      <x:c r="M2050" s="34" t="str">
        <x:v>numeric coverage for applicable metric</x:v>
      </x:c>
      <x:c r="N2050" s="34" t="str">
        <x:v>Feedback-Directed Random Test Generation/Result/Csv_9/result.json</x:v>
      </x:c>
      <x:c r="O2050" s="38" t="n">
        <x:f>IF(AND(G2050="RECORDED",ISNUMBER(H2050)),H2050,"")</x:f>
        <x:v>61.11</x:v>
      </x:c>
      <x:c r="P2050" s="34" t="str">
        <x:v>INCONCLUSIVE</x:v>
      </x:c>
      <x:c r="Q2050" s="34" t="str">
        <x:v>Feedback-Directed Random Test Generation/Result/Csv_9/result.json</x:v>
      </x:c>
    </x:row>
    <x:row r="2051">
      <x:c r="A2051" s="34" t="str">
        <x:v>randoop</x:v>
      </x:c>
      <x:c r="B2051" s="34" t="str">
        <x:v>Csv</x:v>
      </x:c>
      <x:c r="C2051" s="34" t="str">
        <x:v>Round1</x:v>
      </x:c>
      <x:c r="D2051" s="34" t="str">
        <x:v>Csv_10</x:v>
      </x:c>
      <x:c r="E2051" s="34" t="str">
        <x:v>Line</x:v>
      </x:c>
      <x:c r="F2051" s="34" t="n">
        <x:v>160</x:v>
      </x:c>
      <x:c r="G2051" s="34" t="str">
        <x:v>RECORDED</x:v>
      </x:c>
      <x:c r="H2051" s="38" t="n">
        <x:f>IF(ISNUMBER('Data'!H343),'Data'!H343*100,"")</x:f>
        <x:v>1.8799999999999997</x:v>
      </x:c>
      <x:c r="I2051" s="34" t="str">
        <x:v>PASS</x:v>
      </x:c>
      <x:c r="J2051" s="34" t="str">
        <x:v>PASS</x:v>
      </x:c>
      <x:c r="K2051" s="34" t="str">
        <x:v>PASS</x:v>
      </x:c>
      <x:c r="L2051" s="34" t="str">
        <x:v>PASS</x:v>
      </x:c>
      <x:c r="M2051" s="34" t="str">
        <x:v>numeric coverage for applicable metric</x:v>
      </x:c>
      <x:c r="N2051" s="34" t="str">
        <x:v>Feedback-Directed Random Test Generation/Result/Csv_10/result.json</x:v>
      </x:c>
      <x:c r="O2051" s="38" t="n">
        <x:f>IF(AND(G2051="RECORDED",ISNUMBER(H2051)),H2051,"")</x:f>
        <x:v>1.8799999999999997</x:v>
      </x:c>
      <x:c r="P2051" s="34" t="str">
        <x:v>NOT_REVEALING</x:v>
      </x:c>
      <x:c r="Q2051" s="34" t="str">
        <x:v>Feedback-Directed Random Test Generation/Result/Csv_10/result.json</x:v>
      </x:c>
    </x:row>
    <x:row r="2052">
      <x:c r="A2052" s="34" t="str">
        <x:v>randoop</x:v>
      </x:c>
      <x:c r="B2052" s="34" t="str">
        <x:v>Csv</x:v>
      </x:c>
      <x:c r="C2052" s="34" t="str">
        <x:v>Round1</x:v>
      </x:c>
      <x:c r="D2052" s="34" t="str">
        <x:v>Csv_11</x:v>
      </x:c>
      <x:c r="E2052" s="34" t="str">
        <x:v>Line</x:v>
      </x:c>
      <x:c r="F2052" s="34" t="n">
        <x:v>106</x:v>
      </x:c>
      <x:c r="G2052" s="34" t="str">
        <x:v>RECORDED</x:v>
      </x:c>
      <x:c r="H2052" s="38" t="n">
        <x:f>IF(ISNUMBER('Data'!H344),'Data'!H344*100,"")</x:f>
        <x:v>7.55</x:v>
      </x:c>
      <x:c r="I2052" s="34" t="str">
        <x:v>PASS</x:v>
      </x:c>
      <x:c r="J2052" s="34" t="str">
        <x:v>PASS</x:v>
      </x:c>
      <x:c r="K2052" s="34" t="str">
        <x:v>PASS</x:v>
      </x:c>
      <x:c r="L2052" s="34" t="str">
        <x:v>PASS</x:v>
      </x:c>
      <x:c r="M2052" s="34" t="str">
        <x:v>numeric coverage for applicable metric</x:v>
      </x:c>
      <x:c r="N2052" s="34" t="str">
        <x:v>Feedback-Directed Random Test Generation/Result/Csv_11/result.json</x:v>
      </x:c>
      <x:c r="O2052" s="38" t="n">
        <x:f>IF(AND(G2052="RECORDED",ISNUMBER(H2052)),H2052,"")</x:f>
        <x:v>7.55</x:v>
      </x:c>
      <x:c r="P2052" s="34" t="str">
        <x:v>NOT_REVEALING</x:v>
      </x:c>
      <x:c r="Q2052" s="34" t="str">
        <x:v>Feedback-Directed Random Test Generation/Result/Csv_11/result.json</x:v>
      </x:c>
    </x:row>
    <x:row r="2053">
      <x:c r="A2053" s="34" t="str">
        <x:v>randoop</x:v>
      </x:c>
      <x:c r="B2053" s="34" t="str">
        <x:v>Csv</x:v>
      </x:c>
      <x:c r="C2053" s="34" t="str">
        <x:v>Round1</x:v>
      </x:c>
      <x:c r="D2053" s="34" t="str">
        <x:v>Csv_12</x:v>
      </x:c>
      <x:c r="E2053" s="34" t="str">
        <x:v>Line</x:v>
      </x:c>
      <x:c r="F2053" s="34" t="n">
        <x:v>184</x:v>
      </x:c>
      <x:c r="G2053" s="34" t="str">
        <x:v>RECORDED</x:v>
      </x:c>
      <x:c r="H2053" s="38" t="n">
        <x:f>IF(ISNUMBER('Data'!H345),'Data'!H345*100,"")</x:f>
        <x:v>64.13</x:v>
      </x:c>
      <x:c r="I2053" s="34" t="str">
        <x:v>PASS</x:v>
      </x:c>
      <x:c r="J2053" s="34" t="str">
        <x:v>PASS</x:v>
      </x:c>
      <x:c r="K2053" s="34" t="str">
        <x:v>PASS</x:v>
      </x:c>
      <x:c r="L2053" s="34" t="str">
        <x:v>PASS</x:v>
      </x:c>
      <x:c r="M2053" s="34" t="str">
        <x:v>numeric coverage for applicable metric</x:v>
      </x:c>
      <x:c r="N2053" s="34" t="str">
        <x:v>Feedback-Directed Random Test Generation/Result/Csv_12/result.json</x:v>
      </x:c>
      <x:c r="O2053" s="38" t="n">
        <x:f>IF(AND(G2053="RECORDED",ISNUMBER(H2053)),H2053,"")</x:f>
        <x:v>64.13</x:v>
      </x:c>
      <x:c r="P2053" s="34" t="str">
        <x:v>NOT_REVEALING</x:v>
      </x:c>
      <x:c r="Q2053" s="34" t="str">
        <x:v>Feedback-Directed Random Test Generation/Result/Csv_12/result.json</x:v>
      </x:c>
    </x:row>
    <x:row r="2054">
      <x:c r="A2054" s="34" t="str">
        <x:v>randoop</x:v>
      </x:c>
      <x:c r="B2054" s="34" t="str">
        <x:v>Csv</x:v>
      </x:c>
      <x:c r="C2054" s="34" t="str">
        <x:v>Round1</x:v>
      </x:c>
      <x:c r="D2054" s="34" t="str">
        <x:v>Csv_13</x:v>
      </x:c>
      <x:c r="E2054" s="34" t="str">
        <x:v>Line</x:v>
      </x:c>
      <x:c r="F2054" s="34" t="n">
        <x:v>385</x:v>
      </x:c>
      <x:c r="G2054" s="34" t="str">
        <x:v>RECORDED</x:v>
      </x:c>
      <x:c r="H2054" s="38" t="n">
        <x:f>IF(ISNUMBER('Data'!H346),'Data'!H346*100,"")</x:f>
        <x:v>63.12</x:v>
      </x:c>
      <x:c r="I2054" s="34" t="str">
        <x:v>PASS</x:v>
      </x:c>
      <x:c r="J2054" s="34" t="str">
        <x:v>PASS</x:v>
      </x:c>
      <x:c r="K2054" s="34" t="str">
        <x:v>PASS</x:v>
      </x:c>
      <x:c r="L2054" s="34" t="str">
        <x:v>FAIL</x:v>
      </x:c>
      <x:c r="M2054" s="34" t="str">
        <x:v>numeric coverage for applicable metric</x:v>
      </x:c>
      <x:c r="N2054" s="34" t="str">
        <x:v>Feedback-Directed Random Test Generation/Result/Csv_13/result.json</x:v>
      </x:c>
      <x:c r="O2054" s="38" t="n">
        <x:f>IF(AND(G2054="RECORDED",ISNUMBER(H2054)),H2054,"")</x:f>
        <x:v>63.12</x:v>
      </x:c>
      <x:c r="P2054" s="34" t="str">
        <x:v>INCONCLUSIVE</x:v>
      </x:c>
      <x:c r="Q2054" s="34" t="str">
        <x:v>Feedback-Directed Random Test Generation/Result/Csv_13/result.json</x:v>
      </x:c>
    </x:row>
    <x:row r="2055">
      <x:c r="A2055" s="34" t="str">
        <x:v>randoop</x:v>
      </x:c>
      <x:c r="B2055" s="34" t="str">
        <x:v>Csv</x:v>
      </x:c>
      <x:c r="C2055" s="34" t="str">
        <x:v>Round1</x:v>
      </x:c>
      <x:c r="D2055" s="34" t="str">
        <x:v>Csv_14</x:v>
      </x:c>
      <x:c r="E2055" s="34" t="str">
        <x:v>Line</x:v>
      </x:c>
      <x:c r="F2055" s="34" t="n">
        <x:v>356</x:v>
      </x:c>
      <x:c r="G2055" s="34" t="str">
        <x:v>RECORDED</x:v>
      </x:c>
      <x:c r="H2055" s="38" t="n">
        <x:f>IF(ISNUMBER('Data'!H347),'Data'!H347*100,"")</x:f>
        <x:v>64.04</x:v>
      </x:c>
      <x:c r="I2055" s="34" t="str">
        <x:v>PASS</x:v>
      </x:c>
      <x:c r="J2055" s="34" t="str">
        <x:v>PASS</x:v>
      </x:c>
      <x:c r="K2055" s="34" t="str">
        <x:v>PASS</x:v>
      </x:c>
      <x:c r="L2055" s="34" t="str">
        <x:v>FAIL</x:v>
      </x:c>
      <x:c r="M2055" s="34" t="str">
        <x:v>numeric coverage for applicable metric</x:v>
      </x:c>
      <x:c r="N2055" s="34" t="str">
        <x:v>Feedback-Directed Random Test Generation/Result/Csv_14/result.json</x:v>
      </x:c>
      <x:c r="O2055" s="38" t="n">
        <x:f>IF(AND(G2055="RECORDED",ISNUMBER(H2055)),H2055,"")</x:f>
        <x:v>64.04</x:v>
      </x:c>
      <x:c r="P2055" s="34" t="str">
        <x:v>INCONCLUSIVE</x:v>
      </x:c>
      <x:c r="Q2055" s="34" t="str">
        <x:v>Feedback-Directed Random Test Generation/Result/Csv_14/result.json</x:v>
      </x:c>
    </x:row>
    <x:row r="2056">
      <x:c r="A2056" s="34" t="str">
        <x:v>randoop</x:v>
      </x:c>
      <x:c r="B2056" s="34" t="str">
        <x:v>Csv</x:v>
      </x:c>
      <x:c r="C2056" s="34" t="str">
        <x:v>Round1</x:v>
      </x:c>
      <x:c r="D2056" s="34" t="str">
        <x:v>Csv_15</x:v>
      </x:c>
      <x:c r="E2056" s="34" t="str">
        <x:v>Line</x:v>
      </x:c>
      <x:c r="F2056" s="34" t="n">
        <x:v>397</x:v>
      </x:c>
      <x:c r="G2056" s="34" t="str">
        <x:v>RECORDED</x:v>
      </x:c>
      <x:c r="H2056" s="38" t="n">
        <x:f>IF(ISNUMBER('Data'!H348),'Data'!H348*100,"")</x:f>
        <x:v>61.96</x:v>
      </x:c>
      <x:c r="I2056" s="34" t="str">
        <x:v>PASS</x:v>
      </x:c>
      <x:c r="J2056" s="34" t="str">
        <x:v>PASS</x:v>
      </x:c>
      <x:c r="K2056" s="34" t="str">
        <x:v>PASS</x:v>
      </x:c>
      <x:c r="L2056" s="34" t="str">
        <x:v>FAIL</x:v>
      </x:c>
      <x:c r="M2056" s="34" t="str">
        <x:v>numeric coverage for applicable metric</x:v>
      </x:c>
      <x:c r="N2056" s="34" t="str">
        <x:v>Feedback-Directed Random Test Generation/Result/Csv_15/result.json</x:v>
      </x:c>
      <x:c r="O2056" s="38" t="n">
        <x:f>IF(AND(G2056="RECORDED",ISNUMBER(H2056)),H2056,"")</x:f>
        <x:v>61.96</x:v>
      </x:c>
      <x:c r="P2056" s="34" t="str">
        <x:v>INCONCLUSIVE</x:v>
      </x:c>
      <x:c r="Q2056" s="34" t="str">
        <x:v>Feedback-Directed Random Test Generation/Result/Csv_15/result.json</x:v>
      </x:c>
    </x:row>
    <x:row r="2057">
      <x:c r="A2057" s="34" t="str">
        <x:v>randoop</x:v>
      </x:c>
      <x:c r="B2057" s="34" t="str">
        <x:v>Csv</x:v>
      </x:c>
      <x:c r="C2057" s="34" t="str">
        <x:v>Round1</x:v>
      </x:c>
      <x:c r="D2057" s="34" t="str">
        <x:v>Csv_16</x:v>
      </x:c>
      <x:c r="E2057" s="34" t="str">
        <x:v>Line</x:v>
      </x:c>
      <x:c r="F2057" s="34" t="n">
        <x:v>123</x:v>
      </x:c>
      <x:c r="G2057" s="34" t="str">
        <x:v>RECORDED</x:v>
      </x:c>
      <x:c r="H2057" s="38" t="n">
        <x:f>IF(ISNUMBER('Data'!H349),'Data'!H349*100,"")</x:f>
        <x:v>9.76</x:v>
      </x:c>
      <x:c r="I2057" s="34" t="str">
        <x:v>PASS</x:v>
      </x:c>
      <x:c r="J2057" s="34" t="str">
        <x:v>PASS</x:v>
      </x:c>
      <x:c r="K2057" s="34" t="str">
        <x:v>PASS</x:v>
      </x:c>
      <x:c r="L2057" s="34" t="str">
        <x:v>PASS</x:v>
      </x:c>
      <x:c r="M2057" s="34" t="str">
        <x:v>numeric coverage for applicable metric</x:v>
      </x:c>
      <x:c r="N2057" s="34" t="str">
        <x:v>Feedback-Directed Random Test Generation/Result/Csv_16/result.json</x:v>
      </x:c>
      <x:c r="O2057" s="38" t="n">
        <x:f>IF(AND(G2057="RECORDED",ISNUMBER(H2057)),H2057,"")</x:f>
        <x:v>9.76</x:v>
      </x:c>
      <x:c r="P2057" s="34" t="str">
        <x:v>NOT_REVEALING</x:v>
      </x:c>
      <x:c r="Q2057" s="34" t="str">
        <x:v>Feedback-Directed Random Test Generation/Result/Csv_16/result.json</x:v>
      </x:c>
    </x:row>
    <x:row r="2058">
      <x:c r="A2058" s="34" t="str">
        <x:v>randoop</x:v>
      </x:c>
      <x:c r="B2058" s="34" t="str">
        <x:v>Gson</x:v>
      </x:c>
      <x:c r="C2058" s="34" t="str">
        <x:v>Round1</x:v>
      </x:c>
      <x:c r="D2058" s="34" t="str">
        <x:v>Gson_1</x:v>
      </x:c>
      <x:c r="E2058" s="34" t="str">
        <x:v>Line</x:v>
      </x:c>
      <x:c r="F2058" s="34" t="n">
        <x:v>48</x:v>
      </x:c>
      <x:c r="G2058" s="34" t="str">
        <x:v>RECORDED</x:v>
      </x:c>
      <x:c r="H2058" s="38" t="n">
        <x:f>IF(ISNUMBER('Data'!H350),'Data'!H350*100,"")</x:f>
        <x:v>6.25</x:v>
      </x:c>
      <x:c r="I2058" s="34" t="str">
        <x:v>PASS</x:v>
      </x:c>
      <x:c r="J2058" s="34" t="str">
        <x:v>PASS</x:v>
      </x:c>
      <x:c r="K2058" s="34" t="str">
        <x:v>PASS</x:v>
      </x:c>
      <x:c r="L2058" s="34" t="str">
        <x:v>PASS</x:v>
      </x:c>
      <x:c r="M2058" s="34" t="str">
        <x:v>numeric coverage for applicable metric</x:v>
      </x:c>
      <x:c r="N2058" s="34" t="str">
        <x:v>Feedback-Directed Random Test Generation/Result/Gson_1/result.json</x:v>
      </x:c>
      <x:c r="O2058" s="38" t="n">
        <x:f>IF(AND(G2058="RECORDED",ISNUMBER(H2058)),H2058,"")</x:f>
        <x:v>6.25</x:v>
      </x:c>
      <x:c r="P2058" s="34" t="str">
        <x:v>NOT_REVEALING</x:v>
      </x:c>
      <x:c r="Q2058" s="34" t="str">
        <x:v>Feedback-Directed Random Test Generation/Result/Gson_1/result.json</x:v>
      </x:c>
    </x:row>
    <x:row r="2059">
      <x:c r="A2059" s="34" t="str">
        <x:v>randoop</x:v>
      </x:c>
      <x:c r="B2059" s="34" t="str">
        <x:v>Gson</x:v>
      </x:c>
      <x:c r="C2059" s="34" t="str">
        <x:v>Round1</x:v>
      </x:c>
      <x:c r="D2059" s="34" t="str">
        <x:v>Gson_2</x:v>
      </x:c>
      <x:c r="E2059" s="34" t="str">
        <x:v>Line</x:v>
      </x:c>
      <x:c r="F2059" s="34" t="n">
        <x:v>446</x:v>
      </x:c>
      <x:c r="G2059" s="34" t="str">
        <x:v>RECORDED</x:v>
      </x:c>
      <x:c r="H2059" s="38" t="n">
        <x:f>IF(ISNUMBER('Data'!H351),'Data'!H351*100,"")</x:f>
        <x:v>19.73</x:v>
      </x:c>
      <x:c r="I2059" s="34" t="str">
        <x:v>PASS</x:v>
      </x:c>
      <x:c r="J2059" s="34" t="str">
        <x:v>PASS</x:v>
      </x:c>
      <x:c r="K2059" s="34" t="str">
        <x:v>PASS</x:v>
      </x:c>
      <x:c r="L2059" s="34" t="str">
        <x:v>PASS</x:v>
      </x:c>
      <x:c r="M2059" s="34" t="str">
        <x:v>numeric coverage for applicable metric</x:v>
      </x:c>
      <x:c r="N2059" s="34" t="str">
        <x:v>Feedback-Directed Random Test Generation/Result/Gson_2/result.json</x:v>
      </x:c>
      <x:c r="O2059" s="38" t="n">
        <x:f>IF(AND(G2059="RECORDED",ISNUMBER(H2059)),H2059,"")</x:f>
        <x:v>19.73</x:v>
      </x:c>
      <x:c r="P2059" s="34" t="str">
        <x:v>NOT_REVEALING</x:v>
      </x:c>
      <x:c r="Q2059" s="34" t="str">
        <x:v>Feedback-Directed Random Test Generation/Result/Gson_2/result.json</x:v>
      </x:c>
    </x:row>
    <x:row r="2060">
      <x:c r="A2060" s="34" t="str">
        <x:v>randoop</x:v>
      </x:c>
      <x:c r="B2060" s="34" t="str">
        <x:v>Gson</x:v>
      </x:c>
      <x:c r="C2060" s="34" t="str">
        <x:v>Round1</x:v>
      </x:c>
      <x:c r="D2060" s="34" t="str">
        <x:v>Gson_3</x:v>
      </x:c>
      <x:c r="E2060" s="34" t="str">
        <x:v>Line</x:v>
      </x:c>
      <x:c r="F2060" s="34" t="n">
        <x:v>86</x:v>
      </x:c>
      <x:c r="G2060" s="34" t="str">
        <x:v>RECORDED</x:v>
      </x:c>
      <x:c r="H2060" s="38" t="n">
        <x:f>IF(ISNUMBER('Data'!H352),'Data'!H352*100,"")</x:f>
        <x:v>0</x:v>
      </x:c>
      <x:c r="I2060" s="34" t="str">
        <x:v>PASS</x:v>
      </x:c>
      <x:c r="J2060" s="34" t="str">
        <x:v>PASS</x:v>
      </x:c>
      <x:c r="K2060" s="34" t="str">
        <x:v>PASS</x:v>
      </x:c>
      <x:c r="L2060" s="34" t="str">
        <x:v>PASS</x:v>
      </x:c>
      <x:c r="M2060" s="34" t="str">
        <x:v>numeric coverage for applicable metric</x:v>
      </x:c>
      <x:c r="N2060" s="34" t="str">
        <x:v>Feedback-Directed Random Test Generation/Result/Gson_3/result.json</x:v>
      </x:c>
      <x:c r="O2060" s="38" t="n">
        <x:f>IF(AND(G2060="RECORDED",ISNUMBER(H2060)),H2060,"")</x:f>
        <x:v>0</x:v>
      </x:c>
      <x:c r="P2060" s="34" t="str">
        <x:v>NOT_REVEALING</x:v>
      </x:c>
      <x:c r="Q2060" s="34" t="str">
        <x:v>Feedback-Directed Random Test Generation/Result/Gson_3/result.json</x:v>
      </x:c>
    </x:row>
    <x:row r="2061">
      <x:c r="A2061" s="34" t="str">
        <x:v>randoop</x:v>
      </x:c>
      <x:c r="B2061" s="34" t="str">
        <x:v>Gson</x:v>
      </x:c>
      <x:c r="C2061" s="34" t="str">
        <x:v>Round1</x:v>
      </x:c>
      <x:c r="D2061" s="34" t="str">
        <x:v>Gson_4</x:v>
      </x:c>
      <x:c r="E2061" s="34" t="str">
        <x:v>Line</x:v>
      </x:c>
      <x:c r="F2061" s="34" t="n">
        <x:v>882</x:v>
      </x:c>
      <x:c r="G2061" s="34" t="str">
        <x:v>RECORDED</x:v>
      </x:c>
      <x:c r="H2061" s="38" t="n">
        <x:f>IF(ISNUMBER('Data'!H353),'Data'!H353*100,"")</x:f>
        <x:v>5.33</x:v>
      </x:c>
      <x:c r="I2061" s="34" t="str">
        <x:v>PASS</x:v>
      </x:c>
      <x:c r="J2061" s="34" t="str">
        <x:v>PASS</x:v>
      </x:c>
      <x:c r="K2061" s="34" t="str">
        <x:v>PASS</x:v>
      </x:c>
      <x:c r="L2061" s="34" t="str">
        <x:v>PASS</x:v>
      </x:c>
      <x:c r="M2061" s="34" t="str">
        <x:v>numeric coverage for applicable metric</x:v>
      </x:c>
      <x:c r="N2061" s="34" t="str">
        <x:v>Feedback-Directed Random Test Generation/Result/Gson_4/result.json</x:v>
      </x:c>
      <x:c r="O2061" s="38" t="n">
        <x:f>IF(AND(G2061="RECORDED",ISNUMBER(H2061)),H2061,"")</x:f>
        <x:v>5.33</x:v>
      </x:c>
      <x:c r="P2061" s="34" t="str">
        <x:v>NOT_REVEALING</x:v>
      </x:c>
      <x:c r="Q2061" s="34" t="str">
        <x:v>Feedback-Directed Random Test Generation/Result/Gson_4/result.json</x:v>
      </x:c>
    </x:row>
    <x:row r="2062">
      <x:c r="A2062" s="34" t="str">
        <x:v>randoop</x:v>
      </x:c>
      <x:c r="B2062" s="34" t="str">
        <x:v>Gson</x:v>
      </x:c>
      <x:c r="C2062" s="34" t="str">
        <x:v>Round1</x:v>
      </x:c>
      <x:c r="D2062" s="34" t="str">
        <x:v>Gson_5</x:v>
      </x:c>
      <x:c r="E2062" s="34" t="str">
        <x:v>Line</x:v>
      </x:c>
      <x:c r="F2062" s="34" t="n">
        <x:v>150</x:v>
      </x:c>
      <x:c r="G2062" s="34" t="str">
        <x:v>RECORDED</x:v>
      </x:c>
      <x:c r="H2062" s="38" t="n">
        <x:f>IF(ISNUMBER('Data'!H354),'Data'!H354*100,"")</x:f>
        <x:v>5.33</x:v>
      </x:c>
      <x:c r="I2062" s="34" t="str">
        <x:v>PASS</x:v>
      </x:c>
      <x:c r="J2062" s="34" t="str">
        <x:v>PASS</x:v>
      </x:c>
      <x:c r="K2062" s="34" t="str">
        <x:v>PASS</x:v>
      </x:c>
      <x:c r="L2062" s="34" t="str">
        <x:v>PASS</x:v>
      </x:c>
      <x:c r="M2062" s="34" t="str">
        <x:v>numeric coverage for applicable metric</x:v>
      </x:c>
      <x:c r="N2062" s="34" t="str">
        <x:v>Feedback-Directed Random Test Generation/Result/Gson_5/result.json</x:v>
      </x:c>
      <x:c r="O2062" s="38" t="n">
        <x:f>IF(AND(G2062="RECORDED",ISNUMBER(H2062)),H2062,"")</x:f>
        <x:v>5.33</x:v>
      </x:c>
      <x:c r="P2062" s="34" t="str">
        <x:v>NOT_REVEALING</x:v>
      </x:c>
      <x:c r="Q2062" s="34" t="str">
        <x:v>Feedback-Directed Random Test Generation/Result/Gson_5/result.json</x:v>
      </x:c>
    </x:row>
    <x:row r="2063">
      <x:c r="A2063" s="34" t="str">
        <x:v>randoop</x:v>
      </x:c>
      <x:c r="B2063" s="34" t="str">
        <x:v>Gson</x:v>
      </x:c>
      <x:c r="C2063" s="34" t="str">
        <x:v>Round1</x:v>
      </x:c>
      <x:c r="D2063" s="34" t="str">
        <x:v>Gson_6</x:v>
      </x:c>
      <x:c r="E2063" s="34" t="str">
        <x:v>Line</x:v>
      </x:c>
      <x:c r="F2063" s="34" t="n">
        <x:v>20</x:v>
      </x:c>
      <x:c r="G2063" s="34" t="str">
        <x:v>RECORDED</x:v>
      </x:c>
      <x:c r="H2063" s="38" t="n">
        <x:f>IF(ISNUMBER('Data'!H355),'Data'!H355*100,"")</x:f>
        <x:v>15</x:v>
      </x:c>
      <x:c r="I2063" s="34" t="str">
        <x:v>PASS</x:v>
      </x:c>
      <x:c r="J2063" s="34" t="str">
        <x:v>PASS</x:v>
      </x:c>
      <x:c r="K2063" s="34" t="str">
        <x:v>PASS</x:v>
      </x:c>
      <x:c r="L2063" s="34" t="str">
        <x:v>PASS</x:v>
      </x:c>
      <x:c r="M2063" s="34" t="str">
        <x:v>numeric coverage for applicable metric</x:v>
      </x:c>
      <x:c r="N2063" s="34" t="str">
        <x:v>Feedback-Directed Random Test Generation/Result/Gson_6/result.json</x:v>
      </x:c>
      <x:c r="O2063" s="38" t="n">
        <x:f>IF(AND(G2063="RECORDED",ISNUMBER(H2063)),H2063,"")</x:f>
        <x:v>15</x:v>
      </x:c>
      <x:c r="P2063" s="34" t="str">
        <x:v>NOT_REVEALING</x:v>
      </x:c>
      <x:c r="Q2063" s="34" t="str">
        <x:v>Feedback-Directed Random Test Generation/Result/Gson_6/result.json</x:v>
      </x:c>
    </x:row>
    <x:row r="2064">
      <x:c r="A2064" s="34" t="str">
        <x:v>randoop</x:v>
      </x:c>
      <x:c r="B2064" s="34" t="str">
        <x:v>Gson</x:v>
      </x:c>
      <x:c r="C2064" s="34" t="str">
        <x:v>Round1</x:v>
      </x:c>
      <x:c r="D2064" s="34" t="str">
        <x:v>Gson_7</x:v>
      </x:c>
      <x:c r="E2064" s="34" t="str">
        <x:v>Line</x:v>
      </x:c>
      <x:c r="F2064" s="34" t="n">
        <x:v>684</x:v>
      </x:c>
      <x:c r="G2064" s="34" t="str">
        <x:v>RECORDED</x:v>
      </x:c>
      <x:c r="H2064" s="38" t="n">
        <x:f>IF(ISNUMBER('Data'!H356),'Data'!H356*100,"")</x:f>
        <x:v>2.78</x:v>
      </x:c>
      <x:c r="I2064" s="34" t="str">
        <x:v>PASS</x:v>
      </x:c>
      <x:c r="J2064" s="34" t="str">
        <x:v>PASS</x:v>
      </x:c>
      <x:c r="K2064" s="34" t="str">
        <x:v>PASS</x:v>
      </x:c>
      <x:c r="L2064" s="34" t="str">
        <x:v>PASS</x:v>
      </x:c>
      <x:c r="M2064" s="34" t="str">
        <x:v>numeric coverage for applicable metric</x:v>
      </x:c>
      <x:c r="N2064" s="34" t="str">
        <x:v>Feedback-Directed Random Test Generation/Result/Gson_7/result.json</x:v>
      </x:c>
      <x:c r="O2064" s="38" t="n">
        <x:f>IF(AND(G2064="RECORDED",ISNUMBER(H2064)),H2064,"")</x:f>
        <x:v>2.78</x:v>
      </x:c>
      <x:c r="P2064" s="34" t="str">
        <x:v>NOT_REVEALING</x:v>
      </x:c>
      <x:c r="Q2064" s="34" t="str">
        <x:v>Feedback-Directed Random Test Generation/Result/Gson_7/result.json</x:v>
      </x:c>
    </x:row>
    <x:row r="2065">
      <x:c r="A2065" s="34" t="str">
        <x:v>randoop</x:v>
      </x:c>
      <x:c r="B2065" s="34" t="str">
        <x:v>Gson</x:v>
      </x:c>
      <x:c r="C2065" s="34" t="str">
        <x:v>Round1</x:v>
      </x:c>
      <x:c r="D2065" s="34" t="str">
        <x:v>Gson_8</x:v>
      </x:c>
      <x:c r="E2065" s="34" t="str">
        <x:v>Line</x:v>
      </x:c>
      <x:c r="F2065" s="34" t="n">
        <x:v>31</x:v>
      </x:c>
      <x:c r="G2065" s="34" t="str">
        <x:v>RECORDED</x:v>
      </x:c>
      <x:c r="H2065" s="38" t="n">
        <x:f>IF(ISNUMBER('Data'!H357),'Data'!H357*100,"")</x:f>
        <x:v>25.81</x:v>
      </x:c>
      <x:c r="I2065" s="34" t="str">
        <x:v>PASS</x:v>
      </x:c>
      <x:c r="J2065" s="34" t="str">
        <x:v>PASS</x:v>
      </x:c>
      <x:c r="K2065" s="34" t="str">
        <x:v>PASS</x:v>
      </x:c>
      <x:c r="L2065" s="34" t="str">
        <x:v>PASS</x:v>
      </x:c>
      <x:c r="M2065" s="34" t="str">
        <x:v>numeric coverage for applicable metric</x:v>
      </x:c>
      <x:c r="N2065" s="34" t="str">
        <x:v>Feedback-Directed Random Test Generation/Result/Gson_8/result.json</x:v>
      </x:c>
      <x:c r="O2065" s="38" t="n">
        <x:f>IF(AND(G2065="RECORDED",ISNUMBER(H2065)),H2065,"")</x:f>
        <x:v>25.81</x:v>
      </x:c>
      <x:c r="P2065" s="34" t="str">
        <x:v>NOT_REVEALING</x:v>
      </x:c>
      <x:c r="Q2065" s="34" t="str">
        <x:v>Feedback-Directed Random Test Generation/Result/Gson_8/result.json</x:v>
      </x:c>
    </x:row>
    <x:row r="2066">
      <x:c r="A2066" s="34" t="str">
        <x:v>randoop</x:v>
      </x:c>
      <x:c r="B2066" s="34" t="str">
        <x:v>Gson</x:v>
      </x:c>
      <x:c r="C2066" s="34" t="str">
        <x:v>Round1</x:v>
      </x:c>
      <x:c r="D2066" s="34" t="str">
        <x:v>Gson_9</x:v>
      </x:c>
      <x:c r="E2066" s="34" t="str">
        <x:v>Line</x:v>
      </x:c>
      <x:c r="F2066" s="34" t="n">
        <x:v>777</x:v>
      </x:c>
      <x:c r="G2066" s="34" t="str">
        <x:v>RECORDED</x:v>
      </x:c>
      <x:c r="H2066" s="38" t="n">
        <x:f>IF(ISNUMBER('Data'!H358),'Data'!H358*100,"")</x:f>
        <x:v>13.77</x:v>
      </x:c>
      <x:c r="I2066" s="34" t="str">
        <x:v>PASS</x:v>
      </x:c>
      <x:c r="J2066" s="34" t="str">
        <x:v>PASS</x:v>
      </x:c>
      <x:c r="K2066" s="34" t="str">
        <x:v>PASS</x:v>
      </x:c>
      <x:c r="L2066" s="34" t="str">
        <x:v>PASS</x:v>
      </x:c>
      <x:c r="M2066" s="34" t="str">
        <x:v>numeric coverage for applicable metric</x:v>
      </x:c>
      <x:c r="N2066" s="34" t="str">
        <x:v>Feedback-Directed Random Test Generation/Result/Gson_9/result.json</x:v>
      </x:c>
      <x:c r="O2066" s="38" t="n">
        <x:f>IF(AND(G2066="RECORDED",ISNUMBER(H2066)),H2066,"")</x:f>
        <x:v>13.77</x:v>
      </x:c>
      <x:c r="P2066" s="34" t="str">
        <x:v>NOT_REVEALING</x:v>
      </x:c>
      <x:c r="Q2066" s="34" t="str">
        <x:v>Feedback-Directed Random Test Generation/Result/Gson_9/result.json</x:v>
      </x:c>
    </x:row>
    <x:row r="2067">
      <x:c r="A2067" s="34" t="str">
        <x:v>randoop</x:v>
      </x:c>
      <x:c r="B2067" s="34" t="str">
        <x:v>Gson</x:v>
      </x:c>
      <x:c r="C2067" s="34" t="str">
        <x:v>Round1</x:v>
      </x:c>
      <x:c r="D2067" s="34" t="str">
        <x:v>Gson_10</x:v>
      </x:c>
      <x:c r="E2067" s="34" t="str">
        <x:v>Line</x:v>
      </x:c>
      <x:c r="F2067" s="34" t="n">
        <x:v>117</x:v>
      </x:c>
      <x:c r="G2067" s="34" t="str">
        <x:v>RECORDED</x:v>
      </x:c>
      <x:c r="H2067" s="38" t="n">
        <x:f>IF(ISNUMBER('Data'!H359),'Data'!H359*100,"")</x:f>
        <x:v>12.82</x:v>
      </x:c>
      <x:c r="I2067" s="34" t="str">
        <x:v>PASS</x:v>
      </x:c>
      <x:c r="J2067" s="34" t="str">
        <x:v>PASS</x:v>
      </x:c>
      <x:c r="K2067" s="34" t="str">
        <x:v>PASS</x:v>
      </x:c>
      <x:c r="L2067" s="34" t="str">
        <x:v>FAIL</x:v>
      </x:c>
      <x:c r="M2067" s="34" t="str">
        <x:v>numeric coverage for applicable metric</x:v>
      </x:c>
      <x:c r="N2067" s="34" t="str">
        <x:v>Feedback-Directed Random Test Generation/Result/Gson_10/result.json</x:v>
      </x:c>
      <x:c r="O2067" s="38" t="n">
        <x:f>IF(AND(G2067="RECORDED",ISNUMBER(H2067)),H2067,"")</x:f>
        <x:v>12.82</x:v>
      </x:c>
      <x:c r="P2067" s="34" t="str">
        <x:v>INCONCLUSIVE</x:v>
      </x:c>
      <x:c r="Q2067" s="34" t="str">
        <x:v>Feedback-Directed Random Test Generation/Result/Gson_10/result.json</x:v>
      </x:c>
    </x:row>
    <x:row r="2068">
      <x:c r="A2068" s="34" t="str">
        <x:v>randoop</x:v>
      </x:c>
      <x:c r="B2068" s="34" t="str">
        <x:v>Gson</x:v>
      </x:c>
      <x:c r="C2068" s="34" t="str">
        <x:v>Round1</x:v>
      </x:c>
      <x:c r="D2068" s="34" t="str">
        <x:v>Gson_11</x:v>
      </x:c>
      <x:c r="E2068" s="34" t="str">
        <x:v>Line</x:v>
      </x:c>
      <x:c r="F2068" s="34" t="n">
        <x:v>500</x:v>
      </x:c>
      <x:c r="G2068" s="34" t="str">
        <x:v>RECORDED</x:v>
      </x:c>
      <x:c r="H2068" s="38" t="n">
        <x:f>IF(ISNUMBER('Data'!H360),'Data'!H360*100,"")</x:f>
        <x:v>21.4</x:v>
      </x:c>
      <x:c r="I2068" s="34" t="str">
        <x:v>PASS</x:v>
      </x:c>
      <x:c r="J2068" s="34" t="str">
        <x:v>PASS</x:v>
      </x:c>
      <x:c r="K2068" s="34" t="str">
        <x:v>PASS</x:v>
      </x:c>
      <x:c r="L2068" s="34" t="str">
        <x:v>PASS</x:v>
      </x:c>
      <x:c r="M2068" s="34" t="str">
        <x:v>numeric coverage for applicable metric</x:v>
      </x:c>
      <x:c r="N2068" s="34" t="str">
        <x:v>Feedback-Directed Random Test Generation/Result/Gson_11/result.json</x:v>
      </x:c>
      <x:c r="O2068" s="38" t="n">
        <x:f>IF(AND(G2068="RECORDED",ISNUMBER(H2068)),H2068,"")</x:f>
        <x:v>21.4</x:v>
      </x:c>
      <x:c r="P2068" s="34" t="str">
        <x:v>NOT_REVEALING</x:v>
      </x:c>
      <x:c r="Q2068" s="34" t="str">
        <x:v>Feedback-Directed Random Test Generation/Result/Gson_11/result.json</x:v>
      </x:c>
    </x:row>
    <x:row r="2069">
      <x:c r="A2069" s="34" t="str">
        <x:v>randoop</x:v>
      </x:c>
      <x:c r="B2069" s="34" t="str">
        <x:v>Gson</x:v>
      </x:c>
      <x:c r="C2069" s="34" t="str">
        <x:v>Round1</x:v>
      </x:c>
      <x:c r="D2069" s="34" t="str">
        <x:v>Gson_12</x:v>
      </x:c>
      <x:c r="E2069" s="34" t="str">
        <x:v>Line</x:v>
      </x:c>
      <x:c r="F2069" s="34" t="n">
        <x:v>168</x:v>
      </x:c>
      <x:c r="G2069" s="34" t="str">
        <x:v>RECORDED</x:v>
      </x:c>
      <x:c r="H2069" s="38" t="n">
        <x:f>IF(ISNUMBER('Data'!H361),'Data'!H361*100,"")</x:f>
        <x:v>26.789999999999996</x:v>
      </x:c>
      <x:c r="I2069" s="34" t="str">
        <x:v>PASS</x:v>
      </x:c>
      <x:c r="J2069" s="34" t="str">
        <x:v>PASS</x:v>
      </x:c>
      <x:c r="K2069" s="34" t="str">
        <x:v>PASS</x:v>
      </x:c>
      <x:c r="L2069" s="34" t="str">
        <x:v>FAIL</x:v>
      </x:c>
      <x:c r="M2069" s="34" t="str">
        <x:v>numeric coverage for applicable metric</x:v>
      </x:c>
      <x:c r="N2069" s="34" t="str">
        <x:v>Feedback-Directed Random Test Generation/Result/Gson_12/result.json</x:v>
      </x:c>
      <x:c r="O2069" s="38" t="n">
        <x:f>IF(AND(G2069="RECORDED",ISNUMBER(H2069)),H2069,"")</x:f>
        <x:v>26.789999999999996</x:v>
      </x:c>
      <x:c r="P2069" s="34" t="str">
        <x:v>INCONCLUSIVE</x:v>
      </x:c>
      <x:c r="Q2069" s="34" t="str">
        <x:v>Feedback-Directed Random Test Generation/Result/Gson_12/result.json</x:v>
      </x:c>
    </x:row>
    <x:row r="2070">
      <x:c r="A2070" s="34" t="str">
        <x:v>randoop</x:v>
      </x:c>
      <x:c r="B2070" s="34" t="str">
        <x:v>Gson</x:v>
      </x:c>
      <x:c r="C2070" s="34" t="str">
        <x:v>Round1</x:v>
      </x:c>
      <x:c r="D2070" s="34" t="str">
        <x:v>Gson_13</x:v>
      </x:c>
      <x:c r="E2070" s="34" t="str">
        <x:v>Line</x:v>
      </x:c>
      <x:c r="F2070" s="34" t="n">
        <x:v>683</x:v>
      </x:c>
      <x:c r="G2070" s="34" t="str">
        <x:v>RECORDED</x:v>
      </x:c>
      <x:c r="H2070" s="38" t="n">
        <x:f>IF(ISNUMBER('Data'!H362),'Data'!H362*100,"")</x:f>
        <x:v>2.78</x:v>
      </x:c>
      <x:c r="I2070" s="34" t="str">
        <x:v>PASS</x:v>
      </x:c>
      <x:c r="J2070" s="34" t="str">
        <x:v>PASS</x:v>
      </x:c>
      <x:c r="K2070" s="34" t="str">
        <x:v>PASS</x:v>
      </x:c>
      <x:c r="L2070" s="34" t="str">
        <x:v>PASS</x:v>
      </x:c>
      <x:c r="M2070" s="34" t="str">
        <x:v>numeric coverage for applicable metric</x:v>
      </x:c>
      <x:c r="N2070" s="34" t="str">
        <x:v>Feedback-Directed Random Test Generation/Result/Gson_13/result.json</x:v>
      </x:c>
      <x:c r="O2070" s="38" t="n">
        <x:f>IF(AND(G2070="RECORDED",ISNUMBER(H2070)),H2070,"")</x:f>
        <x:v>2.78</x:v>
      </x:c>
      <x:c r="P2070" s="34" t="str">
        <x:v>NOT_REVEALING</x:v>
      </x:c>
      <x:c r="Q2070" s="34" t="str">
        <x:v>Feedback-Directed Random Test Generation/Result/Gson_13/result.json</x:v>
      </x:c>
    </x:row>
    <x:row r="2071">
      <x:c r="A2071" s="34" t="str">
        <x:v>randoop</x:v>
      </x:c>
      <x:c r="B2071" s="34" t="str">
        <x:v>Gson</x:v>
      </x:c>
      <x:c r="C2071" s="34" t="str">
        <x:v>Round1</x:v>
      </x:c>
      <x:c r="D2071" s="34" t="str">
        <x:v>Gson_14</x:v>
      </x:c>
      <x:c r="E2071" s="34" t="str">
        <x:v>Line</x:v>
      </x:c>
      <x:c r="F2071" s="34" t="n">
        <x:v>243</x:v>
      </x:c>
      <x:c r="G2071" s="34" t="str">
        <x:v>RECORDED</x:v>
      </x:c>
      <x:c r="H2071" s="38" t="n">
        <x:f>IF(ISNUMBER('Data'!H363),'Data'!H363*100,"")</x:f>
        <x:v>0.4099999999999999</x:v>
      </x:c>
      <x:c r="I2071" s="34" t="str">
        <x:v>PASS</x:v>
      </x:c>
      <x:c r="J2071" s="34" t="str">
        <x:v>PASS</x:v>
      </x:c>
      <x:c r="K2071" s="34" t="str">
        <x:v>PASS</x:v>
      </x:c>
      <x:c r="L2071" s="34" t="str">
        <x:v>PASS</x:v>
      </x:c>
      <x:c r="M2071" s="34" t="str">
        <x:v>numeric coverage for applicable metric</x:v>
      </x:c>
      <x:c r="N2071" s="34" t="str">
        <x:v>Feedback-Directed Random Test Generation/Result/Gson_14/result.json</x:v>
      </x:c>
      <x:c r="O2071" s="38" t="n">
        <x:f>IF(AND(G2071="RECORDED",ISNUMBER(H2071)),H2071,"")</x:f>
        <x:v>0.4099999999999999</x:v>
      </x:c>
      <x:c r="P2071" s="34" t="str">
        <x:v>NOT_REVEALING</x:v>
      </x:c>
      <x:c r="Q2071" s="34" t="str">
        <x:v>Feedback-Directed Random Test Generation/Result/Gson_14/result.json</x:v>
      </x:c>
    </x:row>
    <x:row r="2072">
      <x:c r="A2072" s="34" t="str">
        <x:v>randoop</x:v>
      </x:c>
      <x:c r="B2072" s="34" t="str">
        <x:v>Gson</x:v>
      </x:c>
      <x:c r="C2072" s="34" t="str">
        <x:v>Round1</x:v>
      </x:c>
      <x:c r="D2072" s="34" t="str">
        <x:v>Gson_15</x:v>
      </x:c>
      <x:c r="E2072" s="34" t="str">
        <x:v>Line</x:v>
      </x:c>
      <x:c r="F2072" s="34" t="n">
        <x:v>198</x:v>
      </x:c>
      <x:c r="G2072" s="34" t="str">
        <x:v>RECORDED</x:v>
      </x:c>
      <x:c r="H2072" s="38" t="n">
        <x:f>IF(ISNUMBER('Data'!H364),'Data'!H364*100,"")</x:f>
        <x:v>14.14</x:v>
      </x:c>
      <x:c r="I2072" s="34" t="str">
        <x:v>PASS</x:v>
      </x:c>
      <x:c r="J2072" s="34" t="str">
        <x:v>PASS</x:v>
      </x:c>
      <x:c r="K2072" s="34" t="str">
        <x:v>PASS</x:v>
      </x:c>
      <x:c r="L2072" s="34" t="str">
        <x:v>PASS</x:v>
      </x:c>
      <x:c r="M2072" s="34" t="str">
        <x:v>numeric coverage for applicable metric</x:v>
      </x:c>
      <x:c r="N2072" s="34" t="str">
        <x:v>Feedback-Directed Random Test Generation/Result/Gson_15/result.json</x:v>
      </x:c>
      <x:c r="O2072" s="38" t="n">
        <x:f>IF(AND(G2072="RECORDED",ISNUMBER(H2072)),H2072,"")</x:f>
        <x:v>14.14</x:v>
      </x:c>
      <x:c r="P2072" s="34" t="str">
        <x:v>NOT_REVEALING</x:v>
      </x:c>
      <x:c r="Q2072" s="34" t="str">
        <x:v>Feedback-Directed Random Test Generation/Result/Gson_15/result.json</x:v>
      </x:c>
    </x:row>
    <x:row r="2073">
      <x:c r="A2073" s="34" t="str">
        <x:v>randoop</x:v>
      </x:c>
      <x:c r="B2073" s="34" t="str">
        <x:v>Gson</x:v>
      </x:c>
      <x:c r="C2073" s="34" t="str">
        <x:v>Round1</x:v>
      </x:c>
      <x:c r="D2073" s="34" t="str">
        <x:v>Gson_16</x:v>
      </x:c>
      <x:c r="E2073" s="34" t="str">
        <x:v>Line</x:v>
      </x:c>
      <x:c r="F2073" s="34" t="n">
        <x:v>248</x:v>
      </x:c>
      <x:c r="G2073" s="34" t="str">
        <x:v>RECORDED</x:v>
      </x:c>
      <x:c r="H2073" s="38" t="n">
        <x:f>IF(ISNUMBER('Data'!H365),'Data'!H365*100,"")</x:f>
        <x:v>0.4</x:v>
      </x:c>
      <x:c r="I2073" s="34" t="str">
        <x:v>PASS</x:v>
      </x:c>
      <x:c r="J2073" s="34" t="str">
        <x:v>PASS</x:v>
      </x:c>
      <x:c r="K2073" s="34" t="str">
        <x:v>PASS</x:v>
      </x:c>
      <x:c r="L2073" s="34" t="str">
        <x:v>PASS</x:v>
      </x:c>
      <x:c r="M2073" s="34" t="str">
        <x:v>numeric coverage for applicable metric</x:v>
      </x:c>
      <x:c r="N2073" s="34" t="str">
        <x:v>Feedback-Directed Random Test Generation/Result/Gson_16/result.json</x:v>
      </x:c>
      <x:c r="O2073" s="38" t="n">
        <x:f>IF(AND(G2073="RECORDED",ISNUMBER(H2073)),H2073,"")</x:f>
        <x:v>0.4</x:v>
      </x:c>
      <x:c r="P2073" s="34" t="str">
        <x:v>NOT_REVEALING</x:v>
      </x:c>
      <x:c r="Q2073" s="34" t="str">
        <x:v>Feedback-Directed Random Test Generation/Result/Gson_16/result.json</x:v>
      </x:c>
    </x:row>
    <x:row r="2074">
      <x:c r="A2074" s="34" t="str">
        <x:v>randoop</x:v>
      </x:c>
      <x:c r="B2074" s="34" t="str">
        <x:v>Gson</x:v>
      </x:c>
      <x:c r="C2074" s="34" t="str">
        <x:v>Round1</x:v>
      </x:c>
      <x:c r="D2074" s="34" t="str">
        <x:v>Gson_17</x:v>
      </x:c>
      <x:c r="E2074" s="34" t="str">
        <x:v>Line</x:v>
      </x:c>
      <x:c r="F2074" s="34" t="n">
        <x:v>55</x:v>
      </x:c>
      <x:c r="G2074" s="34" t="str">
        <x:v>RECORDED</x:v>
      </x:c>
      <x:c r="H2074" s="38" t="n">
        <x:f>IF(ISNUMBER('Data'!H366),'Data'!H366*100,"")</x:f>
        <x:v>36.36</x:v>
      </x:c>
      <x:c r="I2074" s="34" t="str">
        <x:v>PASS</x:v>
      </x:c>
      <x:c r="J2074" s="34" t="str">
        <x:v>PASS</x:v>
      </x:c>
      <x:c r="K2074" s="34" t="str">
        <x:v>PASS</x:v>
      </x:c>
      <x:c r="L2074" s="34" t="str">
        <x:v>PASS</x:v>
      </x:c>
      <x:c r="M2074" s="34" t="str">
        <x:v>numeric coverage for applicable metric</x:v>
      </x:c>
      <x:c r="N2074" s="34" t="str">
        <x:v>Feedback-Directed Random Test Generation/Result/Gson_17/result.json</x:v>
      </x:c>
      <x:c r="O2074" s="38" t="n">
        <x:f>IF(AND(G2074="RECORDED",ISNUMBER(H2074)),H2074,"")</x:f>
        <x:v>36.36</x:v>
      </x:c>
      <x:c r="P2074" s="34" t="str">
        <x:v>INCONCLUSIVE</x:v>
      </x:c>
      <x:c r="Q2074" s="34" t="str">
        <x:v>Feedback-Directed Random Test Generation/Result/Gson_17/result.json</x:v>
      </x:c>
    </x:row>
    <x:row r="2075">
      <x:c r="A2075" s="34" t="str">
        <x:v>randoop</x:v>
      </x:c>
      <x:c r="B2075" s="34" t="str">
        <x:v>Gson</x:v>
      </x:c>
      <x:c r="C2075" s="34" t="str">
        <x:v>Round1</x:v>
      </x:c>
      <x:c r="D2075" s="34" t="str">
        <x:v>Gson_18</x:v>
      </x:c>
      <x:c r="E2075" s="34" t="str">
        <x:v>Line</x:v>
      </x:c>
      <x:c r="F2075" s="34" t="n">
        <x:v>251</x:v>
      </x:c>
      <x:c r="G2075" s="34" t="str">
        <x:v>RECORDED</x:v>
      </x:c>
      <x:c r="H2075" s="38" t="n">
        <x:f>IF(ISNUMBER('Data'!H367),'Data'!H367*100,"")</x:f>
        <x:v>0.4</x:v>
      </x:c>
      <x:c r="I2075" s="34" t="str">
        <x:v>PASS</x:v>
      </x:c>
      <x:c r="J2075" s="34" t="str">
        <x:v>PASS</x:v>
      </x:c>
      <x:c r="K2075" s="34" t="str">
        <x:v>PASS</x:v>
      </x:c>
      <x:c r="L2075" s="34" t="str">
        <x:v>PASS</x:v>
      </x:c>
      <x:c r="M2075" s="34" t="str">
        <x:v>numeric coverage for applicable metric</x:v>
      </x:c>
      <x:c r="N2075" s="34" t="str">
        <x:v>Feedback-Directed Random Test Generation/Result/Gson_18/result.json</x:v>
      </x:c>
      <x:c r="O2075" s="38" t="n">
        <x:f>IF(AND(G2075="RECORDED",ISNUMBER(H2075)),H2075,"")</x:f>
        <x:v>0.4</x:v>
      </x:c>
      <x:c r="P2075" s="34" t="str">
        <x:v>NOT_REVEALING</x:v>
      </x:c>
      <x:c r="Q2075" s="34" t="str">
        <x:v>Feedback-Directed Random Test Generation/Result/Gson_18/result.json</x:v>
      </x:c>
    </x:row>
    <x:row r="2076">
      <x:c r="A2076" s="34" t="str">
        <x:v>randoop</x:v>
      </x:c>
      <x:c r="B2076" s="34" t="str">
        <x:v>JacksonCore</x:v>
      </x:c>
      <x:c r="C2076" s="34" t="str">
        <x:v>Round1</x:v>
      </x:c>
      <x:c r="D2076" s="34" t="str">
        <x:v>JacksonCore_1</x:v>
      </x:c>
      <x:c r="E2076" s="34" t="str">
        <x:v>Line</x:v>
      </x:c>
      <x:c r="F2076" s="34" t="n">
        <x:v>398</x:v>
      </x:c>
      <x:c r="G2076" s="34" t="str">
        <x:v>RECORDED</x:v>
      </x:c>
      <x:c r="H2076" s="38" t="n">
        <x:f>IF(ISNUMBER('Data'!H368),'Data'!H368*100,"")</x:f>
        <x:v>45.23</x:v>
      </x:c>
      <x:c r="I2076" s="34" t="str">
        <x:v>PASS</x:v>
      </x:c>
      <x:c r="J2076" s="34" t="str">
        <x:v>PASS</x:v>
      </x:c>
      <x:c r="K2076" s="34" t="str">
        <x:v>PASS</x:v>
      </x:c>
      <x:c r="L2076" s="34" t="str">
        <x:v>PASS</x:v>
      </x:c>
      <x:c r="M2076" s="34" t="str">
        <x:v>numeric coverage for applicable metric</x:v>
      </x:c>
      <x:c r="N2076" s="34" t="str">
        <x:v>Feedback-Directed Random Test Generation/Result/JacksonCore_1/result.json</x:v>
      </x:c>
      <x:c r="O2076" s="38" t="n">
        <x:f>IF(AND(G2076="RECORDED",ISNUMBER(H2076)),H2076,"")</x:f>
        <x:v>45.23</x:v>
      </x:c>
      <x:c r="P2076" s="34" t="str">
        <x:v>INCONCLUSIVE</x:v>
      </x:c>
      <x:c r="Q2076" s="34" t="str">
        <x:v>Feedback-Directed Random Test Generation/Result/JacksonCore_1/result.json</x:v>
      </x:c>
    </x:row>
    <x:row r="2077">
      <x:c r="A2077" s="34" t="str">
        <x:v>randoop</x:v>
      </x:c>
      <x:c r="B2077" s="34" t="str">
        <x:v>JacksonCore</x:v>
      </x:c>
      <x:c r="C2077" s="34" t="str">
        <x:v>Round1</x:v>
      </x:c>
      <x:c r="D2077" s="34" t="str">
        <x:v>JacksonCore_2</x:v>
      </x:c>
      <x:c r="E2077" s="34" t="str">
        <x:v>Line</x:v>
      </x:c>
      <x:c r="F2077" s="34" t="n">
        <x:v>2463</x:v>
      </x:c>
      <x:c r="G2077" s="34" t="str">
        <x:v>RECORDED</x:v>
      </x:c>
      <x:c r="H2077" s="38" t="n">
        <x:f>IF(ISNUMBER('Data'!H369),'Data'!H369*100,"")</x:f>
        <x:v>0.37</x:v>
      </x:c>
      <x:c r="I2077" s="34" t="str">
        <x:v>PASS</x:v>
      </x:c>
      <x:c r="J2077" s="34" t="str">
        <x:v>PASS</x:v>
      </x:c>
      <x:c r="K2077" s="34" t="str">
        <x:v>PASS</x:v>
      </x:c>
      <x:c r="L2077" s="34" t="str">
        <x:v>PASS</x:v>
      </x:c>
      <x:c r="M2077" s="34" t="str">
        <x:v>numeric coverage for applicable metric</x:v>
      </x:c>
      <x:c r="N2077" s="34" t="str">
        <x:v>Feedback-Directed Random Test Generation/Result/JacksonCore_2/result.json</x:v>
      </x:c>
      <x:c r="O2077" s="38" t="n">
        <x:f>IF(AND(G2077="RECORDED",ISNUMBER(H2077)),H2077,"")</x:f>
        <x:v>0.37</x:v>
      </x:c>
      <x:c r="P2077" s="34" t="str">
        <x:v>NOT_REVEALING</x:v>
      </x:c>
      <x:c r="Q2077" s="34" t="str">
        <x:v>Feedback-Directed Random Test Generation/Result/JacksonCore_2/result.json</x:v>
      </x:c>
    </x:row>
    <x:row r="2078">
      <x:c r="A2078" s="34" t="str">
        <x:v>randoop</x:v>
      </x:c>
      <x:c r="B2078" s="34" t="str">
        <x:v>JacksonCore</x:v>
      </x:c>
      <x:c r="C2078" s="34" t="str">
        <x:v>Round1</x:v>
      </x:c>
      <x:c r="D2078" s="34" t="str">
        <x:v>JacksonCore_3</x:v>
      </x:c>
      <x:c r="E2078" s="34" t="str">
        <x:v>Line</x:v>
      </x:c>
      <x:c r="F2078" s="34" t="n">
        <x:v>1538</x:v>
      </x:c>
      <x:c r="G2078" s="34" t="str">
        <x:v>RECORDED</x:v>
      </x:c>
      <x:c r="H2078" s="38" t="n">
        <x:f>IF(ISNUMBER('Data'!H370),'Data'!H370*100,"")</x:f>
        <x:v>0.45999999999999996</x:v>
      </x:c>
      <x:c r="I2078" s="34" t="str">
        <x:v>PASS</x:v>
      </x:c>
      <x:c r="J2078" s="34" t="str">
        <x:v>PASS</x:v>
      </x:c>
      <x:c r="K2078" s="34" t="str">
        <x:v>PASS</x:v>
      </x:c>
      <x:c r="L2078" s="34" t="str">
        <x:v>PASS</x:v>
      </x:c>
      <x:c r="M2078" s="34" t="str">
        <x:v>numeric coverage for applicable metric</x:v>
      </x:c>
      <x:c r="N2078" s="34" t="str">
        <x:v>Feedback-Directed Random Test Generation/Result/JacksonCore_3/result.json</x:v>
      </x:c>
      <x:c r="O2078" s="38" t="n">
        <x:f>IF(AND(G2078="RECORDED",ISNUMBER(H2078)),H2078,"")</x:f>
        <x:v>0.45999999999999996</x:v>
      </x:c>
      <x:c r="P2078" s="34" t="str">
        <x:v>NOT_REVEALING</x:v>
      </x:c>
      <x:c r="Q2078" s="34" t="str">
        <x:v>Feedback-Directed Random Test Generation/Result/JacksonCore_3/result.json</x:v>
      </x:c>
    </x:row>
    <x:row r="2079">
      <x:c r="A2079" s="34" t="str">
        <x:v>randoop</x:v>
      </x:c>
      <x:c r="B2079" s="34" t="str">
        <x:v>JacksonCore</x:v>
      </x:c>
      <x:c r="C2079" s="34" t="str">
        <x:v>Round1</x:v>
      </x:c>
      <x:c r="D2079" s="34" t="str">
        <x:v>JacksonCore_4</x:v>
      </x:c>
      <x:c r="E2079" s="34" t="str">
        <x:v>Line</x:v>
      </x:c>
      <x:c r="F2079" s="34" t="n">
        <x:v>262</x:v>
      </x:c>
      <x:c r="G2079" s="34" t="str">
        <x:v>RECORDED</x:v>
      </x:c>
      <x:c r="H2079" s="38" t="n">
        <x:f>IF(ISNUMBER('Data'!H371),'Data'!H371*100,"")</x:f>
        <x:v>52.290000000000006</x:v>
      </x:c>
      <x:c r="I2079" s="34" t="str">
        <x:v>PASS</x:v>
      </x:c>
      <x:c r="J2079" s="34" t="str">
        <x:v>PASS</x:v>
      </x:c>
      <x:c r="K2079" s="34" t="str">
        <x:v>PASS</x:v>
      </x:c>
      <x:c r="L2079" s="34" t="str">
        <x:v>PASS</x:v>
      </x:c>
      <x:c r="M2079" s="34" t="str">
        <x:v>numeric coverage for applicable metric</x:v>
      </x:c>
      <x:c r="N2079" s="34" t="str">
        <x:v>Feedback-Directed Random Test Generation/Result/JacksonCore_4/result.json</x:v>
      </x:c>
      <x:c r="O2079" s="38" t="n">
        <x:f>IF(AND(G2079="RECORDED",ISNUMBER(H2079)),H2079,"")</x:f>
        <x:v>52.290000000000006</x:v>
      </x:c>
      <x:c r="P2079" s="34" t="str">
        <x:v>NOT_REVEALING</x:v>
      </x:c>
      <x:c r="Q2079" s="34" t="str">
        <x:v>Feedback-Directed Random Test Generation/Result/JacksonCore_4/result.json</x:v>
      </x:c>
    </x:row>
    <x:row r="2080">
      <x:c r="A2080" s="34" t="str">
        <x:v>randoop</x:v>
      </x:c>
      <x:c r="B2080" s="34" t="str">
        <x:v>JacksonCore</x:v>
      </x:c>
      <x:c r="C2080" s="34" t="str">
        <x:v>Round1</x:v>
      </x:c>
      <x:c r="D2080" s="34" t="str">
        <x:v>JacksonCore_5</x:v>
      </x:c>
      <x:c r="E2080" s="34" t="str">
        <x:v>Line</x:v>
      </x:c>
      <x:c r="F2080" s="34" t="n">
        <x:v>84</x:v>
      </x:c>
      <x:c r="G2080" s="34" t="str">
        <x:v>RECORDED</x:v>
      </x:c>
      <x:c r="H2080" s="38" t="n">
        <x:f>IF(ISNUMBER('Data'!H372),'Data'!H372*100,"")</x:f>
        <x:v>63.1</x:v>
      </x:c>
      <x:c r="I2080" s="34" t="str">
        <x:v>PASS</x:v>
      </x:c>
      <x:c r="J2080" s="34" t="str">
        <x:v>PASS</x:v>
      </x:c>
      <x:c r="K2080" s="34" t="str">
        <x:v>PASS</x:v>
      </x:c>
      <x:c r="L2080" s="34" t="str">
        <x:v>PASS</x:v>
      </x:c>
      <x:c r="M2080" s="34" t="str">
        <x:v>numeric coverage for applicable metric</x:v>
      </x:c>
      <x:c r="N2080" s="34" t="str">
        <x:v>Feedback-Directed Random Test Generation/Result/JacksonCore_5/result.json</x:v>
      </x:c>
      <x:c r="O2080" s="38" t="n">
        <x:f>IF(AND(G2080="RECORDED",ISNUMBER(H2080)),H2080,"")</x:f>
        <x:v>63.1</x:v>
      </x:c>
      <x:c r="P2080" s="34" t="str">
        <x:v>NOT_REVEALING</x:v>
      </x:c>
      <x:c r="Q2080" s="34" t="str">
        <x:v>Feedback-Directed Random Test Generation/Result/JacksonCore_5/result.json</x:v>
      </x:c>
    </x:row>
    <x:row r="2081">
      <x:c r="A2081" s="34" t="str">
        <x:v>randoop</x:v>
      </x:c>
      <x:c r="B2081" s="34" t="str">
        <x:v>JacksonCore</x:v>
      </x:c>
      <x:c r="C2081" s="34" t="str">
        <x:v>Round1</x:v>
      </x:c>
      <x:c r="D2081" s="34" t="str">
        <x:v>JacksonCore_6</x:v>
      </x:c>
      <x:c r="E2081" s="34" t="str">
        <x:v>Line</x:v>
      </x:c>
      <x:c r="F2081" s="34" t="n">
        <x:v>84</x:v>
      </x:c>
      <x:c r="G2081" s="34" t="str">
        <x:v>RECORDED</x:v>
      </x:c>
      <x:c r="H2081" s="38" t="n">
        <x:f>IF(ISNUMBER('Data'!H373),'Data'!H373*100,"")</x:f>
        <x:v>63.1</x:v>
      </x:c>
      <x:c r="I2081" s="34" t="str">
        <x:v>PASS</x:v>
      </x:c>
      <x:c r="J2081" s="34" t="str">
        <x:v>PASS</x:v>
      </x:c>
      <x:c r="K2081" s="34" t="str">
        <x:v>PASS</x:v>
      </x:c>
      <x:c r="L2081" s="34" t="str">
        <x:v>PASS</x:v>
      </x:c>
      <x:c r="M2081" s="34" t="str">
        <x:v>numeric coverage for applicable metric</x:v>
      </x:c>
      <x:c r="N2081" s="34" t="str">
        <x:v>Feedback-Directed Random Test Generation/Result/JacksonCore_6/result.json</x:v>
      </x:c>
      <x:c r="O2081" s="38" t="n">
        <x:f>IF(AND(G2081="RECORDED",ISNUMBER(H2081)),H2081,"")</x:f>
        <x:v>63.1</x:v>
      </x:c>
      <x:c r="P2081" s="34" t="str">
        <x:v>NOT_REVEALING</x:v>
      </x:c>
      <x:c r="Q2081" s="34" t="str">
        <x:v>Feedback-Directed Random Test Generation/Result/JacksonCore_6/result.json</x:v>
      </x:c>
    </x:row>
    <x:row r="2082">
      <x:c r="A2082" s="34" t="str">
        <x:v>randoop</x:v>
      </x:c>
      <x:c r="B2082" s="34" t="str">
        <x:v>JacksonCore</x:v>
      </x:c>
      <x:c r="C2082" s="34" t="str">
        <x:v>Round1</x:v>
      </x:c>
      <x:c r="D2082" s="34" t="str">
        <x:v>JacksonCore_7</x:v>
      </x:c>
      <x:c r="E2082" s="34" t="str">
        <x:v>Line</x:v>
      </x:c>
      <x:c r="F2082" s="34" t="n">
        <x:v>70</x:v>
      </x:c>
      <x:c r="G2082" s="34" t="str">
        <x:v>RECORDED</x:v>
      </x:c>
      <x:c r="H2082" s="38" t="n">
        <x:f>IF(ISNUMBER('Data'!H374),'Data'!H374*100,"")</x:f>
        <x:v>40</x:v>
      </x:c>
      <x:c r="I2082" s="34" t="str">
        <x:v>PASS</x:v>
      </x:c>
      <x:c r="J2082" s="34" t="str">
        <x:v>PASS</x:v>
      </x:c>
      <x:c r="K2082" s="34" t="str">
        <x:v>PASS</x:v>
      </x:c>
      <x:c r="L2082" s="34" t="str">
        <x:v>PASS</x:v>
      </x:c>
      <x:c r="M2082" s="34" t="str">
        <x:v>numeric coverage for applicable metric</x:v>
      </x:c>
      <x:c r="N2082" s="34" t="str">
        <x:v>Feedback-Directed Random Test Generation/Result/JacksonCore_7/result.json</x:v>
      </x:c>
      <x:c r="O2082" s="38" t="n">
        <x:f>IF(AND(G2082="RECORDED",ISNUMBER(H2082)),H2082,"")</x:f>
        <x:v>40</x:v>
      </x:c>
      <x:c r="P2082" s="34" t="str">
        <x:v>NOT_REVEALING</x:v>
      </x:c>
      <x:c r="Q2082" s="34" t="str">
        <x:v>Feedback-Directed Random Test Generation/Result/JacksonCore_7/result.json</x:v>
      </x:c>
    </x:row>
    <x:row r="2083">
      <x:c r="A2083" s="34" t="str">
        <x:v>randoop</x:v>
      </x:c>
      <x:c r="B2083" s="34" t="str">
        <x:v>JacksonCore</x:v>
      </x:c>
      <x:c r="C2083" s="34" t="str">
        <x:v>Round1</x:v>
      </x:c>
      <x:c r="D2083" s="34" t="str">
        <x:v>JacksonCore_8</x:v>
      </x:c>
      <x:c r="E2083" s="34" t="str">
        <x:v>Line</x:v>
      </x:c>
      <x:c r="F2083" s="34" t="n">
        <x:v>271</x:v>
      </x:c>
      <x:c r="G2083" s="34" t="str">
        <x:v>RECORDED</x:v>
      </x:c>
      <x:c r="H2083" s="38" t="n">
        <x:f>IF(ISNUMBER('Data'!H375),'Data'!H375*100,"")</x:f>
        <x:v>51.66</x:v>
      </x:c>
      <x:c r="I2083" s="34" t="str">
        <x:v>PASS</x:v>
      </x:c>
      <x:c r="J2083" s="34" t="str">
        <x:v>PASS</x:v>
      </x:c>
      <x:c r="K2083" s="34" t="str">
        <x:v>PASS</x:v>
      </x:c>
      <x:c r="L2083" s="34" t="str">
        <x:v>FAIL</x:v>
      </x:c>
      <x:c r="M2083" s="34" t="str">
        <x:v>numeric coverage for applicable metric</x:v>
      </x:c>
      <x:c r="N2083" s="34" t="str">
        <x:v>Feedback-Directed Random Test Generation/Result/JacksonCore_8/result.json</x:v>
      </x:c>
      <x:c r="O2083" s="38" t="n">
        <x:f>IF(AND(G2083="RECORDED",ISNUMBER(H2083)),H2083,"")</x:f>
        <x:v>51.66</x:v>
      </x:c>
      <x:c r="P2083" s="34" t="str">
        <x:v>INCONCLUSIVE</x:v>
      </x:c>
      <x:c r="Q2083" s="34" t="str">
        <x:v>Feedback-Directed Random Test Generation/Result/JacksonCore_8/result.json</x:v>
      </x:c>
    </x:row>
    <x:row r="2084">
      <x:c r="A2084" s="34" t="str">
        <x:v>randoop</x:v>
      </x:c>
      <x:c r="B2084" s="34" t="str">
        <x:v>JacksonCore</x:v>
      </x:c>
      <x:c r="C2084" s="34" t="str">
        <x:v>Round1</x:v>
      </x:c>
      <x:c r="D2084" s="34" t="str">
        <x:v>JacksonCore_9</x:v>
      </x:c>
      <x:c r="E2084" s="34" t="str">
        <x:v>Line</x:v>
      </x:c>
      <x:c r="F2084" s="34" t="n">
        <x:v>3116</x:v>
      </x:c>
      <x:c r="G2084" s="34" t="str">
        <x:v>RECORDED</x:v>
      </x:c>
      <x:c r="H2084" s="38" t="n">
        <x:f>IF(ISNUMBER('Data'!H376),'Data'!H376*100,"")</x:f>
        <x:v>0.29</x:v>
      </x:c>
      <x:c r="I2084" s="34" t="str">
        <x:v>PASS</x:v>
      </x:c>
      <x:c r="J2084" s="34" t="str">
        <x:v>PASS</x:v>
      </x:c>
      <x:c r="K2084" s="34" t="str">
        <x:v>PASS</x:v>
      </x:c>
      <x:c r="L2084" s="34" t="str">
        <x:v>PASS</x:v>
      </x:c>
      <x:c r="M2084" s="34" t="str">
        <x:v>numeric coverage for applicable metric</x:v>
      </x:c>
      <x:c r="N2084" s="34" t="str">
        <x:v>Feedback-Directed Random Test Generation/Result/JacksonCore_9/result.json</x:v>
      </x:c>
      <x:c r="O2084" s="38" t="n">
        <x:f>IF(AND(G2084="RECORDED",ISNUMBER(H2084)),H2084,"")</x:f>
        <x:v>0.29</x:v>
      </x:c>
      <x:c r="P2084" s="34" t="str">
        <x:v>NOT_REVEALING</x:v>
      </x:c>
      <x:c r="Q2084" s="34" t="str">
        <x:v>Feedback-Directed Random Test Generation/Result/JacksonCore_9/result.json</x:v>
      </x:c>
    </x:row>
    <x:row r="2085">
      <x:c r="A2085" s="34" t="str">
        <x:v>randoop</x:v>
      </x:c>
      <x:c r="B2085" s="34" t="str">
        <x:v>JacksonCore</x:v>
      </x:c>
      <x:c r="C2085" s="34" t="str">
        <x:v>Round1</x:v>
      </x:c>
      <x:c r="D2085" s="34" t="str">
        <x:v>JacksonCore_10</x:v>
      </x:c>
      <x:c r="E2085" s="34" t="str">
        <x:v>Line</x:v>
      </x:c>
      <x:c r="F2085" s="34" t="n">
        <x:v>465</x:v>
      </x:c>
      <x:c r="G2085" s="34" t="str">
        <x:v>RECORDED</x:v>
      </x:c>
      <x:c r="H2085" s="38" t="n">
        <x:f>IF(ISNUMBER('Data'!H377),'Data'!H377*100,"")</x:f>
        <x:v>32.69</x:v>
      </x:c>
      <x:c r="I2085" s="34" t="str">
        <x:v>PASS</x:v>
      </x:c>
      <x:c r="J2085" s="34" t="str">
        <x:v>PASS</x:v>
      </x:c>
      <x:c r="K2085" s="34" t="str">
        <x:v>PASS</x:v>
      </x:c>
      <x:c r="L2085" s="34" t="str">
        <x:v>FAIL</x:v>
      </x:c>
      <x:c r="M2085" s="34" t="str">
        <x:v>numeric coverage for applicable metric</x:v>
      </x:c>
      <x:c r="N2085" s="34" t="str">
        <x:v>Feedback-Directed Random Test Generation/Result/JacksonCore_10/result.json</x:v>
      </x:c>
      <x:c r="O2085" s="38" t="n">
        <x:f>IF(AND(G2085="RECORDED",ISNUMBER(H2085)),H2085,"")</x:f>
        <x:v>32.69</x:v>
      </x:c>
      <x:c r="P2085" s="34" t="str">
        <x:v>INCONCLUSIVE</x:v>
      </x:c>
      <x:c r="Q2085" s="34" t="str">
        <x:v>Feedback-Directed Random Test Generation/Result/JacksonCore_10/result.json</x:v>
      </x:c>
    </x:row>
    <x:row r="2086">
      <x:c r="A2086" s="34" t="str">
        <x:v>randoop</x:v>
      </x:c>
      <x:c r="B2086" s="34" t="str">
        <x:v>JacksonCore</x:v>
      </x:c>
      <x:c r="C2086" s="34" t="str">
        <x:v>Round1</x:v>
      </x:c>
      <x:c r="D2086" s="34" t="str">
        <x:v>JacksonCore_11</x:v>
      </x:c>
      <x:c r="E2086" s="34" t="str">
        <x:v>Line</x:v>
      </x:c>
      <x:c r="F2086" s="34" t="n">
        <x:v>468</x:v>
      </x:c>
      <x:c r="G2086" s="34" t="str">
        <x:v>RECORDED</x:v>
      </x:c>
      <x:c r="H2086" s="38" t="n">
        <x:f>IF(ISNUMBER('Data'!H378),'Data'!H378*100,"")</x:f>
        <x:v>32.69</x:v>
      </x:c>
      <x:c r="I2086" s="34" t="str">
        <x:v>PASS</x:v>
      </x:c>
      <x:c r="J2086" s="34" t="str">
        <x:v>PASS</x:v>
      </x:c>
      <x:c r="K2086" s="34" t="str">
        <x:v>PASS</x:v>
      </x:c>
      <x:c r="L2086" s="34" t="str">
        <x:v>FAIL</x:v>
      </x:c>
      <x:c r="M2086" s="34" t="str">
        <x:v>numeric coverage for applicable metric</x:v>
      </x:c>
      <x:c r="N2086" s="34" t="str">
        <x:v>Feedback-Directed Random Test Generation/Result/JacksonCore_11/result.json</x:v>
      </x:c>
      <x:c r="O2086" s="38" t="n">
        <x:f>IF(AND(G2086="RECORDED",ISNUMBER(H2086)),H2086,"")</x:f>
        <x:v>32.69</x:v>
      </x:c>
      <x:c r="P2086" s="34" t="str">
        <x:v>INCONCLUSIVE</x:v>
      </x:c>
      <x:c r="Q2086" s="34" t="str">
        <x:v>Feedback-Directed Random Test Generation/Result/JacksonCore_11/result.json</x:v>
      </x:c>
    </x:row>
    <x:row r="2087">
      <x:c r="A2087" s="34" t="str">
        <x:v>randoop</x:v>
      </x:c>
      <x:c r="B2087" s="34" t="str">
        <x:v>JacksonCore</x:v>
      </x:c>
      <x:c r="C2087" s="34" t="str">
        <x:v>Round1</x:v>
      </x:c>
      <x:c r="D2087" s="34" t="str">
        <x:v>JacksonCore_12</x:v>
      </x:c>
      <x:c r="E2087" s="34" t="str">
        <x:v>Line</x:v>
      </x:c>
      <x:c r="F2087" s="34" t="n">
        <x:v>3187</x:v>
      </x:c>
      <x:c r="G2087" s="34" t="str">
        <x:v>RECORDED</x:v>
      </x:c>
      <x:c r="H2087" s="38" t="n">
        <x:f>IF(ISNUMBER('Data'!H379),'Data'!H379*100,"")</x:f>
        <x:v>0.28</x:v>
      </x:c>
      <x:c r="I2087" s="34" t="str">
        <x:v>PASS</x:v>
      </x:c>
      <x:c r="J2087" s="34" t="str">
        <x:v>PASS</x:v>
      </x:c>
      <x:c r="K2087" s="34" t="str">
        <x:v>PASS</x:v>
      </x:c>
      <x:c r="L2087" s="34" t="str">
        <x:v>PASS</x:v>
      </x:c>
      <x:c r="M2087" s="34" t="str">
        <x:v>numeric coverage for applicable metric</x:v>
      </x:c>
      <x:c r="N2087" s="34" t="str">
        <x:v>Feedback-Directed Random Test Generation/Result/JacksonCore_12/result.json</x:v>
      </x:c>
      <x:c r="O2087" s="38" t="n">
        <x:f>IF(AND(G2087="RECORDED",ISNUMBER(H2087)),H2087,"")</x:f>
        <x:v>0.28</x:v>
      </x:c>
      <x:c r="P2087" s="34" t="str">
        <x:v>NOT_REVEALING</x:v>
      </x:c>
      <x:c r="Q2087" s="34" t="str">
        <x:v>Feedback-Directed Random Test Generation/Result/JacksonCore_12/result.json</x:v>
      </x:c>
    </x:row>
    <x:row r="2088">
      <x:c r="A2088" s="34" t="str">
        <x:v>randoop</x:v>
      </x:c>
      <x:c r="B2088" s="34" t="str">
        <x:v>JacksonCore</x:v>
      </x:c>
      <x:c r="C2088" s="34" t="str">
        <x:v>Round1</x:v>
      </x:c>
      <x:c r="D2088" s="34" t="str">
        <x:v>JacksonCore_13</x:v>
      </x:c>
      <x:c r="E2088" s="34" t="str">
        <x:v>Line</x:v>
      </x:c>
      <x:c r="F2088" s="34" t="n">
        <x:v>31</x:v>
      </x:c>
      <x:c r="G2088" s="34" t="str">
        <x:v>RECORDED</x:v>
      </x:c>
      <x:c r="H2088" s="38" t="n">
        <x:f>IF(ISNUMBER('Data'!H380),'Data'!H380*100,"")</x:f>
        <x:v>3.2300000000000004</x:v>
      </x:c>
      <x:c r="I2088" s="34" t="str">
        <x:v>PASS</x:v>
      </x:c>
      <x:c r="J2088" s="34" t="str">
        <x:v>PASS</x:v>
      </x:c>
      <x:c r="K2088" s="34" t="str">
        <x:v>PASS</x:v>
      </x:c>
      <x:c r="L2088" s="34" t="str">
        <x:v>PASS</x:v>
      </x:c>
      <x:c r="M2088" s="34" t="str">
        <x:v>numeric coverage for applicable metric</x:v>
      </x:c>
      <x:c r="N2088" s="34" t="str">
        <x:v>Feedback-Directed Random Test Generation/Result/JacksonCore_13/result.json</x:v>
      </x:c>
      <x:c r="O2088" s="38" t="n">
        <x:f>IF(AND(G2088="RECORDED",ISNUMBER(H2088)),H2088,"")</x:f>
        <x:v>3.2300000000000004</x:v>
      </x:c>
      <x:c r="P2088" s="34" t="str">
        <x:v>NOT_REVEALING</x:v>
      </x:c>
      <x:c r="Q2088" s="34" t="str">
        <x:v>Feedback-Directed Random Test Generation/Result/JacksonCore_13/result.json</x:v>
      </x:c>
    </x:row>
    <x:row r="2089">
      <x:c r="A2089" s="34" t="str">
        <x:v>randoop</x:v>
      </x:c>
      <x:c r="B2089" s="34" t="str">
        <x:v>JacksonCore</x:v>
      </x:c>
      <x:c r="C2089" s="34" t="str">
        <x:v>Round1</x:v>
      </x:c>
      <x:c r="D2089" s="34" t="str">
        <x:v>JacksonCore_14</x:v>
      </x:c>
      <x:c r="E2089" s="34" t="str">
        <x:v>Line</x:v>
      </x:c>
      <x:c r="F2089" s="34" t="n">
        <x:v>68</x:v>
      </x:c>
      <x:c r="G2089" s="34" t="str">
        <x:v>RECORDED</x:v>
      </x:c>
      <x:c r="H2089" s="38" t="n">
        <x:f>IF(ISNUMBER('Data'!H381),'Data'!H381*100,"")</x:f>
        <x:v>51.46999999999999</x:v>
      </x:c>
      <x:c r="I2089" s="34" t="str">
        <x:v>PASS</x:v>
      </x:c>
      <x:c r="J2089" s="34" t="str">
        <x:v>PASS</x:v>
      </x:c>
      <x:c r="K2089" s="34" t="str">
        <x:v>PASS</x:v>
      </x:c>
      <x:c r="L2089" s="34" t="str">
        <x:v>PASS</x:v>
      </x:c>
      <x:c r="M2089" s="34" t="str">
        <x:v>numeric coverage for applicable metric</x:v>
      </x:c>
      <x:c r="N2089" s="34" t="str">
        <x:v>Feedback-Directed Random Test Generation/Result/JacksonCore_14/result.json</x:v>
      </x:c>
      <x:c r="O2089" s="38" t="n">
        <x:f>IF(AND(G2089="RECORDED",ISNUMBER(H2089)),H2089,"")</x:f>
        <x:v>51.46999999999999</x:v>
      </x:c>
      <x:c r="P2089" s="34" t="str">
        <x:v>NOT_REVEALING</x:v>
      </x:c>
      <x:c r="Q2089" s="34" t="str">
        <x:v>Feedback-Directed Random Test Generation/Result/JacksonCore_14/result.json</x:v>
      </x:c>
    </x:row>
    <x:row r="2090">
      <x:c r="A2090" s="34" t="str">
        <x:v>randoop</x:v>
      </x:c>
      <x:c r="B2090" s="34" t="str">
        <x:v>JacksonCore</x:v>
      </x:c>
      <x:c r="C2090" s="34" t="str">
        <x:v>Round1</x:v>
      </x:c>
      <x:c r="D2090" s="34" t="str">
        <x:v>JacksonCore_15</x:v>
      </x:c>
      <x:c r="E2090" s="34" t="str">
        <x:v>Line</x:v>
      </x:c>
      <x:c r="F2090" s="34" t="n">
        <x:v>373</x:v>
      </x:c>
      <x:c r="G2090" s="34" t="str">
        <x:v>RECORDED</x:v>
      </x:c>
      <x:c r="H2090" s="38" t="n">
        <x:f>IF(ISNUMBER('Data'!H382),'Data'!H382*100,"")</x:f>
        <x:v>7.51</x:v>
      </x:c>
      <x:c r="I2090" s="34" t="str">
        <x:v>PASS</x:v>
      </x:c>
      <x:c r="J2090" s="34" t="str">
        <x:v>PASS</x:v>
      </x:c>
      <x:c r="K2090" s="34" t="str">
        <x:v>PASS</x:v>
      </x:c>
      <x:c r="L2090" s="34" t="str">
        <x:v>PASS</x:v>
      </x:c>
      <x:c r="M2090" s="34" t="str">
        <x:v>numeric coverage for applicable metric</x:v>
      </x:c>
      <x:c r="N2090" s="34" t="str">
        <x:v>Feedback-Directed Random Test Generation/Result/JacksonCore_15/result.json</x:v>
      </x:c>
      <x:c r="O2090" s="38" t="n">
        <x:f>IF(AND(G2090="RECORDED",ISNUMBER(H2090)),H2090,"")</x:f>
        <x:v>7.51</x:v>
      </x:c>
      <x:c r="P2090" s="34" t="str">
        <x:v>NOT_REVEALING</x:v>
      </x:c>
      <x:c r="Q2090" s="34" t="str">
        <x:v>Feedback-Directed Random Test Generation/Result/JacksonCore_15/result.json</x:v>
      </x:c>
    </x:row>
    <x:row r="2091">
      <x:c r="A2091" s="34" t="str">
        <x:v>randoop</x:v>
      </x:c>
      <x:c r="B2091" s="34" t="str">
        <x:v>JacksonCore</x:v>
      </x:c>
      <x:c r="C2091" s="34" t="str">
        <x:v>Round1</x:v>
      </x:c>
      <x:c r="D2091" s="34" t="str">
        <x:v>JacksonCore_16</x:v>
      </x:c>
      <x:c r="E2091" s="34" t="str">
        <x:v>Line</x:v>
      </x:c>
      <x:c r="F2091" s="34" t="n">
        <x:v>33</x:v>
      </x:c>
      <x:c r="G2091" s="34" t="str">
        <x:v>RECORDED</x:v>
      </x:c>
      <x:c r="H2091" s="38" t="n">
        <x:f>IF(ISNUMBER('Data'!H383),'Data'!H383*100,"")</x:f>
        <x:v>33.33</x:v>
      </x:c>
      <x:c r="I2091" s="34" t="str">
        <x:v>PASS</x:v>
      </x:c>
      <x:c r="J2091" s="34" t="str">
        <x:v>PASS</x:v>
      </x:c>
      <x:c r="K2091" s="34" t="str">
        <x:v>PASS</x:v>
      </x:c>
      <x:c r="L2091" s="34" t="str">
        <x:v>PASS</x:v>
      </x:c>
      <x:c r="M2091" s="34" t="str">
        <x:v>numeric coverage for applicable metric</x:v>
      </x:c>
      <x:c r="N2091" s="34" t="str">
        <x:v>Feedback-Directed Random Test Generation/Result/JacksonCore_16/result.json</x:v>
      </x:c>
      <x:c r="O2091" s="38" t="n">
        <x:f>IF(AND(G2091="RECORDED",ISNUMBER(H2091)),H2091,"")</x:f>
        <x:v>33.33</x:v>
      </x:c>
      <x:c r="P2091" s="34" t="str">
        <x:v>INCONCLUSIVE</x:v>
      </x:c>
      <x:c r="Q2091" s="34" t="str">
        <x:v>Feedback-Directed Random Test Generation/Result/JacksonCore_16/result.json</x:v>
      </x:c>
    </x:row>
    <x:row r="2092">
      <x:c r="A2092" s="34" t="str">
        <x:v>randoop</x:v>
      </x:c>
      <x:c r="B2092" s="34" t="str">
        <x:v>JacksonCore</x:v>
      </x:c>
      <x:c r="C2092" s="34" t="str">
        <x:v>Round1</x:v>
      </x:c>
      <x:c r="D2092" s="34" t="str">
        <x:v>JacksonCore_17</x:v>
      </x:c>
      <x:c r="E2092" s="34" t="str">
        <x:v>Line</x:v>
      </x:c>
      <x:c r="F2092" s="34" t="n">
        <x:v>991</x:v>
      </x:c>
      <x:c r="G2092" s="34" t="str">
        <x:v>RECORDED</x:v>
      </x:c>
      <x:c r="H2092" s="38" t="n">
        <x:f>IF(ISNUMBER('Data'!H384),'Data'!H384*100,"")</x:f>
        <x:v>1.6099999999999999</x:v>
      </x:c>
      <x:c r="I2092" s="34" t="str">
        <x:v>PASS</x:v>
      </x:c>
      <x:c r="J2092" s="34" t="str">
        <x:v>PASS</x:v>
      </x:c>
      <x:c r="K2092" s="34" t="str">
        <x:v>PASS</x:v>
      </x:c>
      <x:c r="L2092" s="34" t="str">
        <x:v>PASS</x:v>
      </x:c>
      <x:c r="M2092" s="34" t="str">
        <x:v>numeric coverage for applicable metric</x:v>
      </x:c>
      <x:c r="N2092" s="34" t="str">
        <x:v>Feedback-Directed Random Test Generation/Result/JacksonCore_17/result.json</x:v>
      </x:c>
      <x:c r="O2092" s="38" t="n">
        <x:f>IF(AND(G2092="RECORDED",ISNUMBER(H2092)),H2092,"")</x:f>
        <x:v>1.6099999999999999</x:v>
      </x:c>
      <x:c r="P2092" s="34" t="str">
        <x:v>NOT_REVEALING</x:v>
      </x:c>
      <x:c r="Q2092" s="34" t="str">
        <x:v>Feedback-Directed Random Test Generation/Result/JacksonCore_17/result.json</x:v>
      </x:c>
    </x:row>
    <x:row r="2093">
      <x:c r="A2093" s="34" t="str">
        <x:v>randoop</x:v>
      </x:c>
      <x:c r="B2093" s="34" t="str">
        <x:v>JacksonCore</x:v>
      </x:c>
      <x:c r="C2093" s="34" t="str">
        <x:v>Round1</x:v>
      </x:c>
      <x:c r="D2093" s="34" t="str">
        <x:v>JacksonCore_18</x:v>
      </x:c>
      <x:c r="E2093" s="34" t="str">
        <x:v>Line</x:v>
      </x:c>
      <x:c r="F2093" s="34" t="n">
        <x:v>2113</x:v>
      </x:c>
      <x:c r="G2093" s="34" t="str">
        <x:v>RECORDED</x:v>
      </x:c>
      <x:c r="H2093" s="38" t="n">
        <x:f>IF(ISNUMBER('Data'!H385),'Data'!H385*100,"")</x:f>
        <x:v>1.51</x:v>
      </x:c>
      <x:c r="I2093" s="34" t="str">
        <x:v>PASS</x:v>
      </x:c>
      <x:c r="J2093" s="34" t="str">
        <x:v>PASS</x:v>
      </x:c>
      <x:c r="K2093" s="34" t="str">
        <x:v>PASS</x:v>
      </x:c>
      <x:c r="L2093" s="34" t="str">
        <x:v>PASS</x:v>
      </x:c>
      <x:c r="M2093" s="34" t="str">
        <x:v>numeric coverage for applicable metric</x:v>
      </x:c>
      <x:c r="N2093" s="34" t="str">
        <x:v>Feedback-Directed Random Test Generation/Result/JacksonCore_18/result.json</x:v>
      </x:c>
      <x:c r="O2093" s="38" t="n">
        <x:f>IF(AND(G2093="RECORDED",ISNUMBER(H2093)),H2093,"")</x:f>
        <x:v>1.51</x:v>
      </x:c>
      <x:c r="P2093" s="34" t="str">
        <x:v>NOT_REVEALING</x:v>
      </x:c>
      <x:c r="Q2093" s="34" t="str">
        <x:v>Feedback-Directed Random Test Generation/Result/JacksonCore_18/result.json</x:v>
      </x:c>
    </x:row>
    <x:row r="2094">
      <x:c r="A2094" s="34" t="str">
        <x:v>randoop</x:v>
      </x:c>
      <x:c r="B2094" s="34" t="str">
        <x:v>JacksonCore</x:v>
      </x:c>
      <x:c r="C2094" s="34" t="str">
        <x:v>Round1</x:v>
      </x:c>
      <x:c r="D2094" s="34" t="str">
        <x:v>JacksonCore_19</x:v>
      </x:c>
      <x:c r="E2094" s="34" t="str">
        <x:v>Line</x:v>
      </x:c>
      <x:c r="F2094" s="34" t="n">
        <x:v>3197</x:v>
      </x:c>
      <x:c r="G2094" s="34" t="str">
        <x:v>RECORDED</x:v>
      </x:c>
      <x:c r="H2094" s="38" t="n">
        <x:f>IF(ISNUMBER('Data'!H386),'Data'!H386*100,"")</x:f>
        <x:v>0.28</x:v>
      </x:c>
      <x:c r="I2094" s="34" t="str">
        <x:v>PASS</x:v>
      </x:c>
      <x:c r="J2094" s="34" t="str">
        <x:v>PASS</x:v>
      </x:c>
      <x:c r="K2094" s="34" t="str">
        <x:v>PASS</x:v>
      </x:c>
      <x:c r="L2094" s="34" t="str">
        <x:v>PASS</x:v>
      </x:c>
      <x:c r="M2094" s="34" t="str">
        <x:v>numeric coverage for applicable metric</x:v>
      </x:c>
      <x:c r="N2094" s="34" t="str">
        <x:v>Feedback-Directed Random Test Generation/Result/JacksonCore_19/result.json</x:v>
      </x:c>
      <x:c r="O2094" s="38" t="n">
        <x:f>IF(AND(G2094="RECORDED",ISNUMBER(H2094)),H2094,"")</x:f>
        <x:v>0.28</x:v>
      </x:c>
      <x:c r="P2094" s="34" t="str">
        <x:v>NOT_REVEALING</x:v>
      </x:c>
      <x:c r="Q2094" s="34" t="str">
        <x:v>Feedback-Directed Random Test Generation/Result/JacksonCore_19/result.json</x:v>
      </x:c>
    </x:row>
    <x:row r="2095">
      <x:c r="A2095" s="34" t="str">
        <x:v>randoop</x:v>
      </x:c>
      <x:c r="B2095" s="34" t="str">
        <x:v>JacksonCore</x:v>
      </x:c>
      <x:c r="C2095" s="34" t="str">
        <x:v>Round1</x:v>
      </x:c>
      <x:c r="D2095" s="34" t="str">
        <x:v>JacksonCore_20</x:v>
      </x:c>
      <x:c r="E2095" s="34" t="str">
        <x:v>Line</x:v>
      </x:c>
      <x:c r="F2095" s="34" t="n">
        <x:v>259</x:v>
      </x:c>
      <x:c r="G2095" s="34" t="str">
        <x:v>RECORDED</x:v>
      </x:c>
      <x:c r="H2095" s="38" t="n">
        <x:f>IF(ISNUMBER('Data'!H387),'Data'!H387*100,"")</x:f>
        <x:v>8.88</x:v>
      </x:c>
      <x:c r="I2095" s="34" t="str">
        <x:v>PASS</x:v>
      </x:c>
      <x:c r="J2095" s="34" t="str">
        <x:v>PASS</x:v>
      </x:c>
      <x:c r="K2095" s="34" t="str">
        <x:v>PASS</x:v>
      </x:c>
      <x:c r="L2095" s="34" t="str">
        <x:v>PASS</x:v>
      </x:c>
      <x:c r="M2095" s="34" t="str">
        <x:v>numeric coverage for applicable metric</x:v>
      </x:c>
      <x:c r="N2095" s="34" t="str">
        <x:v>Feedback-Directed Random Test Generation/Result/JacksonCore_20/result.json</x:v>
      </x:c>
      <x:c r="O2095" s="38" t="n">
        <x:f>IF(AND(G2095="RECORDED",ISNUMBER(H2095)),H2095,"")</x:f>
        <x:v>8.88</x:v>
      </x:c>
      <x:c r="P2095" s="34" t="str">
        <x:v>NOT_REVEALING</x:v>
      </x:c>
      <x:c r="Q2095" s="34" t="str">
        <x:v>Feedback-Directed Random Test Generation/Result/JacksonCore_20/result.json</x:v>
      </x:c>
    </x:row>
    <x:row r="2096">
      <x:c r="A2096" s="34" t="str">
        <x:v>randoop</x:v>
      </x:c>
      <x:c r="B2096" s="34" t="str">
        <x:v>JacksonCore</x:v>
      </x:c>
      <x:c r="C2096" s="34" t="str">
        <x:v>Round1</x:v>
      </x:c>
      <x:c r="D2096" s="34" t="str">
        <x:v>JacksonCore_21</x:v>
      </x:c>
      <x:c r="E2096" s="34" t="str">
        <x:v>Line</x:v>
      </x:c>
      <x:c r="F2096" s="34" t="n">
        <x:v>385</x:v>
      </x:c>
      <x:c r="G2096" s="34" t="str">
        <x:v>RECORDED</x:v>
      </x:c>
      <x:c r="H2096" s="38" t="n">
        <x:f>IF(ISNUMBER('Data'!H388),'Data'!H388*100,"")</x:f>
        <x:v>7.01</x:v>
      </x:c>
      <x:c r="I2096" s="34" t="str">
        <x:v>PASS</x:v>
      </x:c>
      <x:c r="J2096" s="34" t="str">
        <x:v>PASS</x:v>
      </x:c>
      <x:c r="K2096" s="34" t="str">
        <x:v>PASS</x:v>
      </x:c>
      <x:c r="L2096" s="34" t="str">
        <x:v>PASS</x:v>
      </x:c>
      <x:c r="M2096" s="34" t="str">
        <x:v>numeric coverage for applicable metric</x:v>
      </x:c>
      <x:c r="N2096" s="34" t="str">
        <x:v>Feedback-Directed Random Test Generation/Result/JacksonCore_21/result.json</x:v>
      </x:c>
      <x:c r="O2096" s="38" t="n">
        <x:f>IF(AND(G2096="RECORDED",ISNUMBER(H2096)),H2096,"")</x:f>
        <x:v>7.01</x:v>
      </x:c>
      <x:c r="P2096" s="34" t="str">
        <x:v>NOT_REVEALING</x:v>
      </x:c>
      <x:c r="Q2096" s="34" t="str">
        <x:v>Feedback-Directed Random Test Generation/Result/JacksonCore_21/result.json</x:v>
      </x:c>
    </x:row>
    <x:row r="2097">
      <x:c r="A2097" s="34" t="str">
        <x:v>randoop</x:v>
      </x:c>
      <x:c r="B2097" s="34" t="str">
        <x:v>JacksonCore</x:v>
      </x:c>
      <x:c r="C2097" s="34" t="str">
        <x:v>Round1</x:v>
      </x:c>
      <x:c r="D2097" s="34" t="str">
        <x:v>JacksonCore_22</x:v>
      </x:c>
      <x:c r="E2097" s="34" t="str">
        <x:v>Line</x:v>
      </x:c>
      <x:c r="F2097" s="34" t="n">
        <x:v>381</x:v>
      </x:c>
      <x:c r="G2097" s="34" t="str">
        <x:v>RECORDED</x:v>
      </x:c>
      <x:c r="H2097" s="38" t="n">
        <x:f>IF(ISNUMBER('Data'!H389),'Data'!H389*100,"")</x:f>
        <x:v>7.090000000000001</x:v>
      </x:c>
      <x:c r="I2097" s="34" t="str">
        <x:v>PASS</x:v>
      </x:c>
      <x:c r="J2097" s="34" t="str">
        <x:v>PASS</x:v>
      </x:c>
      <x:c r="K2097" s="34" t="str">
        <x:v>PASS</x:v>
      </x:c>
      <x:c r="L2097" s="34" t="str">
        <x:v>PASS</x:v>
      </x:c>
      <x:c r="M2097" s="34" t="str">
        <x:v>numeric coverage for applicable metric</x:v>
      </x:c>
      <x:c r="N2097" s="34" t="str">
        <x:v>Feedback-Directed Random Test Generation/Result/JacksonCore_22/result.json</x:v>
      </x:c>
      <x:c r="O2097" s="38" t="n">
        <x:f>IF(AND(G2097="RECORDED",ISNUMBER(H2097)),H2097,"")</x:f>
        <x:v>7.090000000000001</x:v>
      </x:c>
      <x:c r="P2097" s="34" t="str">
        <x:v>NOT_REVEALING</x:v>
      </x:c>
      <x:c r="Q2097" s="34" t="str">
        <x:v>Feedback-Directed Random Test Generation/Result/JacksonCore_22/result.json</x:v>
      </x:c>
    </x:row>
    <x:row r="2098">
      <x:c r="A2098" s="34" t="str">
        <x:v>randoop</x:v>
      </x:c>
      <x:c r="B2098" s="34" t="str">
        <x:v>JacksonCore</x:v>
      </x:c>
      <x:c r="C2098" s="34" t="str">
        <x:v>Round1</x:v>
      </x:c>
      <x:c r="D2098" s="34" t="str">
        <x:v>JacksonCore_23</x:v>
      </x:c>
      <x:c r="E2098" s="34" t="str">
        <x:v>Line</x:v>
      </x:c>
      <x:c r="F2098" s="34" t="n">
        <x:v>106</x:v>
      </x:c>
      <x:c r="G2098" s="34" t="str">
        <x:v>RECORDED</x:v>
      </x:c>
      <x:c r="H2098" s="38" t="n">
        <x:f>IF(ISNUMBER('Data'!H390),'Data'!H390*100,"")</x:f>
        <x:v>68.87</x:v>
      </x:c>
      <x:c r="I2098" s="34" t="str">
        <x:v>PASS</x:v>
      </x:c>
      <x:c r="J2098" s="34" t="str">
        <x:v>PASS</x:v>
      </x:c>
      <x:c r="K2098" s="34" t="str">
        <x:v>PASS</x:v>
      </x:c>
      <x:c r="L2098" s="34" t="str">
        <x:v>PASS</x:v>
      </x:c>
      <x:c r="M2098" s="34" t="str">
        <x:v>numeric coverage for applicable metric</x:v>
      </x:c>
      <x:c r="N2098" s="34" t="str">
        <x:v>Feedback-Directed Random Test Generation/Result/JacksonCore_23/result.json</x:v>
      </x:c>
      <x:c r="O2098" s="38" t="n">
        <x:f>IF(AND(G2098="RECORDED",ISNUMBER(H2098)),H2098,"")</x:f>
        <x:v>68.87</x:v>
      </x:c>
      <x:c r="P2098" s="34" t="str">
        <x:v>NOT_REVEALING</x:v>
      </x:c>
      <x:c r="Q2098" s="34" t="str">
        <x:v>Feedback-Directed Random Test Generation/Result/JacksonCore_23/result.json</x:v>
      </x:c>
    </x:row>
    <x:row r="2099">
      <x:c r="A2099" s="34" t="str">
        <x:v>randoop</x:v>
      </x:c>
      <x:c r="B2099" s="34" t="str">
        <x:v>JacksonCore</x:v>
      </x:c>
      <x:c r="C2099" s="34" t="str">
        <x:v>Round1</x:v>
      </x:c>
      <x:c r="D2099" s="34" t="str">
        <x:v>JacksonCore_24</x:v>
      </x:c>
      <x:c r="E2099" s="34" t="str">
        <x:v>Line</x:v>
      </x:c>
      <x:c r="F2099" s="34" t="n">
        <x:v>607</x:v>
      </x:c>
      <x:c r="G2099" s="34" t="str">
        <x:v>RECORDED</x:v>
      </x:c>
      <x:c r="H2099" s="38" t="n">
        <x:f>IF(ISNUMBER('Data'!H391),'Data'!H391*100,"")</x:f>
        <x:v>3.7900000000000005</x:v>
      </x:c>
      <x:c r="I2099" s="34" t="str">
        <x:v>PASS</x:v>
      </x:c>
      <x:c r="J2099" s="34" t="str">
        <x:v>PASS</x:v>
      </x:c>
      <x:c r="K2099" s="34" t="str">
        <x:v>PASS</x:v>
      </x:c>
      <x:c r="L2099" s="34" t="str">
        <x:v>PASS</x:v>
      </x:c>
      <x:c r="M2099" s="34" t="str">
        <x:v>numeric coverage for applicable metric</x:v>
      </x:c>
      <x:c r="N2099" s="34" t="str">
        <x:v>Feedback-Directed Random Test Generation/Result/JacksonCore_24/result.json</x:v>
      </x:c>
      <x:c r="O2099" s="38" t="n">
        <x:f>IF(AND(G2099="RECORDED",ISNUMBER(H2099)),H2099,"")</x:f>
        <x:v>3.7900000000000005</x:v>
      </x:c>
      <x:c r="P2099" s="34" t="str">
        <x:v>NOT_REVEALING</x:v>
      </x:c>
      <x:c r="Q2099" s="34" t="str">
        <x:v>Feedback-Directed Random Test Generation/Result/JacksonCore_24/result.json</x:v>
      </x:c>
    </x:row>
    <x:row r="2100">
      <x:c r="A2100" s="34" t="str">
        <x:v>randoop</x:v>
      </x:c>
      <x:c r="B2100" s="34" t="str">
        <x:v>JacksonCore</x:v>
      </x:c>
      <x:c r="C2100" s="34" t="str">
        <x:v>Round1</x:v>
      </x:c>
      <x:c r="D2100" s="34" t="str">
        <x:v>JacksonCore_25</x:v>
      </x:c>
      <x:c r="E2100" s="34" t="str">
        <x:v>Line</x:v>
      </x:c>
      <x:c r="F2100" s="34" t="n">
        <x:v>1438</x:v>
      </x:c>
      <x:c r="G2100" s="34" t="str">
        <x:v>RECORDED</x:v>
      </x:c>
      <x:c r="H2100" s="38" t="n">
        <x:f>IF(ISNUMBER('Data'!H392),'Data'!H392*100,"")</x:f>
        <x:v>0.28</x:v>
      </x:c>
      <x:c r="I2100" s="34" t="str">
        <x:v>PASS</x:v>
      </x:c>
      <x:c r="J2100" s="34" t="str">
        <x:v>PASS</x:v>
      </x:c>
      <x:c r="K2100" s="34" t="str">
        <x:v>PASS</x:v>
      </x:c>
      <x:c r="L2100" s="34" t="str">
        <x:v>PASS</x:v>
      </x:c>
      <x:c r="M2100" s="34" t="str">
        <x:v>numeric coverage for applicable metric</x:v>
      </x:c>
      <x:c r="N2100" s="34" t="str">
        <x:v>Feedback-Directed Random Test Generation/Result/JacksonCore_25/result.json</x:v>
      </x:c>
      <x:c r="O2100" s="38" t="n">
        <x:f>IF(AND(G2100="RECORDED",ISNUMBER(H2100)),H2100,"")</x:f>
        <x:v>0.28</x:v>
      </x:c>
      <x:c r="P2100" s="34" t="str">
        <x:v>NOT_REVEALING</x:v>
      </x:c>
      <x:c r="Q2100" s="34" t="str">
        <x:v>Feedback-Directed Random Test Generation/Result/JacksonCore_25/result.json</x:v>
      </x:c>
    </x:row>
    <x:row r="2101">
      <x:c r="A2101" s="34" t="str">
        <x:v>randoop</x:v>
      </x:c>
      <x:c r="B2101" s="34" t="str">
        <x:v>JacksonCore</x:v>
      </x:c>
      <x:c r="C2101" s="34" t="str">
        <x:v>Round1</x:v>
      </x:c>
      <x:c r="D2101" s="34" t="str">
        <x:v>JacksonCore_26</x:v>
      </x:c>
      <x:c r="E2101" s="34" t="str">
        <x:v>Line</x:v>
      </x:c>
      <x:c r="F2101" s="34" t="n">
        <x:v>1482</x:v>
      </x:c>
      <x:c r="G2101" s="34" t="str">
        <x:v>RECORDED</x:v>
      </x:c>
      <x:c r="H2101" s="38" t="n">
        <x:f>IF(ISNUMBER('Data'!H393),'Data'!H393*100,"")</x:f>
        <x:v>0.67</x:v>
      </x:c>
      <x:c r="I2101" s="34" t="str">
        <x:v>PASS</x:v>
      </x:c>
      <x:c r="J2101" s="34" t="str">
        <x:v>PASS</x:v>
      </x:c>
      <x:c r="K2101" s="34" t="str">
        <x:v>PASS</x:v>
      </x:c>
      <x:c r="L2101" s="34" t="str">
        <x:v>PASS</x:v>
      </x:c>
      <x:c r="M2101" s="34" t="str">
        <x:v>numeric coverage for applicable metric</x:v>
      </x:c>
      <x:c r="N2101" s="34" t="str">
        <x:v>Feedback-Directed Random Test Generation/Result/JacksonCore_26/result.json</x:v>
      </x:c>
      <x:c r="O2101" s="38" t="n">
        <x:f>IF(AND(G2101="RECORDED",ISNUMBER(H2101)),H2101,"")</x:f>
        <x:v>0.67</x:v>
      </x:c>
      <x:c r="P2101" s="34" t="str">
        <x:v>NOT_REVEALING</x:v>
      </x:c>
      <x:c r="Q2101" s="34" t="str">
        <x:v>Feedback-Directed Random Test Generation/Result/JacksonCore_26/result.json</x:v>
      </x:c>
    </x:row>
    <x:row r="2102">
      <x:c r="A2102" s="34" t="str">
        <x:v>randoop</x:v>
      </x:c>
      <x:c r="B2102" s="34" t="str">
        <x:v>JacksonDatabind</x:v>
      </x:c>
      <x:c r="C2102" s="34" t="str">
        <x:v>Round1</x:v>
      </x:c>
      <x:c r="D2102" s="34" t="str">
        <x:v>JacksonDatabind_1</x:v>
      </x:c>
      <x:c r="E2102" s="34" t="str">
        <x:v>Line</x:v>
      </x:c>
      <x:c r="F2102" s="34" t="n">
        <x:v>195</x:v>
      </x:c>
      <x:c r="G2102" s="34" t="str">
        <x:v>RECORDED</x:v>
      </x:c>
      <x:c r="H2102" s="38" t="n">
        <x:f>IF(ISNUMBER('Data'!H394),'Data'!H394*100,"")</x:f>
        <x:v>2.56</x:v>
      </x:c>
      <x:c r="I2102" s="34" t="str">
        <x:v>PASS</x:v>
      </x:c>
      <x:c r="J2102" s="34" t="str">
        <x:v>PASS</x:v>
      </x:c>
      <x:c r="K2102" s="34" t="str">
        <x:v>PASS</x:v>
      </x:c>
      <x:c r="L2102" s="34" t="str">
        <x:v>PASS</x:v>
      </x:c>
      <x:c r="M2102" s="34" t="str">
        <x:v>numeric coverage for applicable metric</x:v>
      </x:c>
      <x:c r="N2102" s="34" t="str">
        <x:v>Feedback-Directed Random Test Generation/Result/JacksonDatabind_1/result.json</x:v>
      </x:c>
      <x:c r="O2102" s="38" t="n">
        <x:f>IF(AND(G2102="RECORDED",ISNUMBER(H2102)),H2102,"")</x:f>
        <x:v>2.56</x:v>
      </x:c>
      <x:c r="P2102" s="34" t="str">
        <x:v>NOT_REVEALING</x:v>
      </x:c>
      <x:c r="Q2102" s="34" t="str">
        <x:v>Feedback-Directed Random Test Generation/Result/JacksonDatabind_1/result.json</x:v>
      </x:c>
    </x:row>
    <x:row r="2103">
      <x:c r="A2103" s="34" t="str">
        <x:v>randoop</x:v>
      </x:c>
      <x:c r="B2103" s="34" t="str">
        <x:v>JacksonDatabind</x:v>
      </x:c>
      <x:c r="C2103" s="34" t="str">
        <x:v>Round1</x:v>
      </x:c>
      <x:c r="D2103" s="34" t="str">
        <x:v>JacksonDatabind_2</x:v>
      </x:c>
      <x:c r="E2103" s="34" t="str">
        <x:v>Line</x:v>
      </x:c>
      <x:c r="F2103" s="34" t="n">
        <x:v>610</x:v>
      </x:c>
      <x:c r="G2103" s="34" t="str">
        <x:v>RECORDED</x:v>
      </x:c>
      <x:c r="H2103" s="38" t="n">
        <x:f>IF(ISNUMBER('Data'!H395),'Data'!H395*100,"")</x:f>
        <x:v>80.82</x:v>
      </x:c>
      <x:c r="I2103" s="34" t="str">
        <x:v>PASS</x:v>
      </x:c>
      <x:c r="J2103" s="34" t="str">
        <x:v>PASS</x:v>
      </x:c>
      <x:c r="K2103" s="34" t="str">
        <x:v>PASS</x:v>
      </x:c>
      <x:c r="L2103" s="34" t="str">
        <x:v>PASS</x:v>
      </x:c>
      <x:c r="M2103" s="34" t="str">
        <x:v>numeric coverage for applicable metric</x:v>
      </x:c>
      <x:c r="N2103" s="34" t="str">
        <x:v>Feedback-Directed Random Test Generation/Result/JacksonDatabind_2/result.json</x:v>
      </x:c>
      <x:c r="O2103" s="38" t="n">
        <x:f>IF(AND(G2103="RECORDED",ISNUMBER(H2103)),H2103,"")</x:f>
        <x:v>80.82</x:v>
      </x:c>
      <x:c r="P2103" s="34" t="str">
        <x:v>INCONCLUSIVE</x:v>
      </x:c>
      <x:c r="Q2103" s="34" t="str">
        <x:v>Feedback-Directed Random Test Generation/Result/JacksonDatabind_2/result.json</x:v>
      </x:c>
    </x:row>
    <x:row r="2104">
      <x:c r="A2104" s="34" t="str">
        <x:v>randoop</x:v>
      </x:c>
      <x:c r="B2104" s="34" t="str">
        <x:v>JacksonDatabind</x:v>
      </x:c>
      <x:c r="C2104" s="34" t="str">
        <x:v>Round1</x:v>
      </x:c>
      <x:c r="D2104" s="34" t="str">
        <x:v>JacksonDatabind_3</x:v>
      </x:c>
      <x:c r="E2104" s="34" t="str">
        <x:v>Line</x:v>
      </x:c>
      <x:c r="F2104" s="34" t="n">
        <x:v>62</x:v>
      </x:c>
      <x:c r="G2104" s="34" t="str">
        <x:v>RECORDED</x:v>
      </x:c>
      <x:c r="H2104" s="38" t="n">
        <x:f>IF(ISNUMBER('Data'!H396),'Data'!H396*100,"")</x:f>
        <x:v>19.35</x:v>
      </x:c>
      <x:c r="I2104" s="34" t="str">
        <x:v>PASS</x:v>
      </x:c>
      <x:c r="J2104" s="34" t="str">
        <x:v>PASS</x:v>
      </x:c>
      <x:c r="K2104" s="34" t="str">
        <x:v>PASS</x:v>
      </x:c>
      <x:c r="L2104" s="34" t="str">
        <x:v>PASS</x:v>
      </x:c>
      <x:c r="M2104" s="34" t="str">
        <x:v>numeric coverage for applicable metric</x:v>
      </x:c>
      <x:c r="N2104" s="34" t="str">
        <x:v>Feedback-Directed Random Test Generation/Result/JacksonDatabind_3/result.json</x:v>
      </x:c>
      <x:c r="O2104" s="38" t="n">
        <x:f>IF(AND(G2104="RECORDED",ISNUMBER(H2104)),H2104,"")</x:f>
        <x:v>19.35</x:v>
      </x:c>
      <x:c r="P2104" s="34" t="str">
        <x:v>NOT_REVEALING</x:v>
      </x:c>
      <x:c r="Q2104" s="34" t="str">
        <x:v>Feedback-Directed Random Test Generation/Result/JacksonDatabind_3/result.json</x:v>
      </x:c>
    </x:row>
    <x:row r="2105">
      <x:c r="A2105" s="34" t="str">
        <x:v>randoop</x:v>
      </x:c>
      <x:c r="B2105" s="34" t="str">
        <x:v>JacksonDatabind</x:v>
      </x:c>
      <x:c r="C2105" s="34" t="str">
        <x:v>Round1</x:v>
      </x:c>
      <x:c r="D2105" s="34" t="str">
        <x:v>JacksonDatabind_4</x:v>
      </x:c>
      <x:c r="E2105" s="34" t="str">
        <x:v>Line</x:v>
      </x:c>
      <x:c r="F2105" s="34" t="n">
        <x:v>62</x:v>
      </x:c>
      <x:c r="G2105" s="34" t="str">
        <x:v>RECORDED</x:v>
      </x:c>
      <x:c r="H2105" s="38" t="n">
        <x:f>IF(ISNUMBER('Data'!H397),'Data'!H397*100,"")</x:f>
        <x:v>19.35</x:v>
      </x:c>
      <x:c r="I2105" s="34" t="str">
        <x:v>PASS</x:v>
      </x:c>
      <x:c r="J2105" s="34" t="str">
        <x:v>PASS</x:v>
      </x:c>
      <x:c r="K2105" s="34" t="str">
        <x:v>PASS</x:v>
      </x:c>
      <x:c r="L2105" s="34" t="str">
        <x:v>PASS</x:v>
      </x:c>
      <x:c r="M2105" s="34" t="str">
        <x:v>numeric coverage for applicable metric</x:v>
      </x:c>
      <x:c r="N2105" s="34" t="str">
        <x:v>Feedback-Directed Random Test Generation/Result/JacksonDatabind_4/result.json</x:v>
      </x:c>
      <x:c r="O2105" s="38" t="n">
        <x:f>IF(AND(G2105="RECORDED",ISNUMBER(H2105)),H2105,"")</x:f>
        <x:v>19.35</x:v>
      </x:c>
      <x:c r="P2105" s="34" t="str">
        <x:v>NOT_REVEALING</x:v>
      </x:c>
      <x:c r="Q2105" s="34" t="str">
        <x:v>Feedback-Directed Random Test Generation/Result/JacksonDatabind_4/result.json</x:v>
      </x:c>
    </x:row>
    <x:row r="2106">
      <x:c r="A2106" s="34" t="str">
        <x:v>randoop</x:v>
      </x:c>
      <x:c r="B2106" s="34" t="str">
        <x:v>JacksonDatabind</x:v>
      </x:c>
      <x:c r="C2106" s="34" t="str">
        <x:v>Round1</x:v>
      </x:c>
      <x:c r="D2106" s="34" t="str">
        <x:v>JacksonDatabind_5</x:v>
      </x:c>
      <x:c r="E2106" s="34" t="str">
        <x:v>Line</x:v>
      </x:c>
      <x:c r="F2106" s="34" t="n">
        <x:v>365</x:v>
      </x:c>
      <x:c r="G2106" s="34" t="str">
        <x:v>RECORDED</x:v>
      </x:c>
      <x:c r="H2106" s="38" t="n">
        <x:f>IF(ISNUMBER('Data'!H398),'Data'!H398*100,"")</x:f>
        <x:v>0</x:v>
      </x:c>
      <x:c r="I2106" s="34" t="str">
        <x:v>PASS</x:v>
      </x:c>
      <x:c r="J2106" s="34" t="str">
        <x:v>PASS</x:v>
      </x:c>
      <x:c r="K2106" s="34" t="str">
        <x:v>PASS</x:v>
      </x:c>
      <x:c r="L2106" s="34" t="str">
        <x:v>PASS</x:v>
      </x:c>
      <x:c r="M2106" s="34" t="str">
        <x:v>numeric coverage for applicable metric</x:v>
      </x:c>
      <x:c r="N2106" s="34" t="str">
        <x:v>Feedback-Directed Random Test Generation/Result/JacksonDatabind_5/result.json</x:v>
      </x:c>
      <x:c r="O2106" s="38" t="n">
        <x:f>IF(AND(G2106="RECORDED",ISNUMBER(H2106)),H2106,"")</x:f>
        <x:v>0</x:v>
      </x:c>
      <x:c r="P2106" s="34" t="str">
        <x:v>NOT_REVEALING</x:v>
      </x:c>
      <x:c r="Q2106" s="34" t="str">
        <x:v>Feedback-Directed Random Test Generation/Result/JacksonDatabind_5/result.json</x:v>
      </x:c>
    </x:row>
    <x:row r="2107">
      <x:c r="A2107" s="34" t="str">
        <x:v>randoop</x:v>
      </x:c>
      <x:c r="B2107" s="34" t="str">
        <x:v>JacksonDatabind</x:v>
      </x:c>
      <x:c r="C2107" s="34" t="str">
        <x:v>Round1</x:v>
      </x:c>
      <x:c r="D2107" s="34" t="str">
        <x:v>JacksonDatabind_6</x:v>
      </x:c>
      <x:c r="E2107" s="34" t="str">
        <x:v>Line</x:v>
      </x:c>
      <x:c r="F2107" s="34" t="n">
        <x:v>149</x:v>
      </x:c>
      <x:c r="G2107" s="34" t="str">
        <x:v>RECORDED</x:v>
      </x:c>
      <x:c r="H2107" s="38" t="n">
        <x:f>IF(ISNUMBER('Data'!H399),'Data'!H399*100,"")</x:f>
        <x:v>88.59</x:v>
      </x:c>
      <x:c r="I2107" s="34" t="str">
        <x:v>PASS</x:v>
      </x:c>
      <x:c r="J2107" s="34" t="str">
        <x:v>PASS</x:v>
      </x:c>
      <x:c r="K2107" s="34" t="str">
        <x:v>PASS</x:v>
      </x:c>
      <x:c r="L2107" s="34" t="str">
        <x:v>FAIL</x:v>
      </x:c>
      <x:c r="M2107" s="34" t="str">
        <x:v>numeric coverage for applicable metric</x:v>
      </x:c>
      <x:c r="N2107" s="34" t="str">
        <x:v>Feedback-Directed Random Test Generation/Result/JacksonDatabind_6/result.json</x:v>
      </x:c>
      <x:c r="O2107" s="38" t="n">
        <x:f>IF(AND(G2107="RECORDED",ISNUMBER(H2107)),H2107,"")</x:f>
        <x:v>88.59</x:v>
      </x:c>
      <x:c r="P2107" s="34" t="str">
        <x:v>INCONCLUSIVE</x:v>
      </x:c>
      <x:c r="Q2107" s="34" t="str">
        <x:v>Feedback-Directed Random Test Generation/Result/JacksonDatabind_6/result.json</x:v>
      </x:c>
    </x:row>
    <x:row r="2108">
      <x:c r="A2108" s="34" t="str">
        <x:v>randoop</x:v>
      </x:c>
      <x:c r="B2108" s="34" t="str">
        <x:v>JacksonDatabind</x:v>
      </x:c>
      <x:c r="C2108" s="34" t="str">
        <x:v>Round1</x:v>
      </x:c>
      <x:c r="D2108" s="34" t="str">
        <x:v>JacksonDatabind_7</x:v>
      </x:c>
      <x:c r="E2108" s="34" t="str">
        <x:v>Line</x:v>
      </x:c>
      <x:c r="F2108" s="34" t="n">
        <x:v>624</x:v>
      </x:c>
      <x:c r="G2108" s="34" t="str">
        <x:v>RECORDED</x:v>
      </x:c>
      <x:c r="H2108" s="38" t="n">
        <x:f>IF(ISNUMBER('Data'!H400),'Data'!H400*100,"")</x:f>
        <x:v>80.45</x:v>
      </x:c>
      <x:c r="I2108" s="34" t="str">
        <x:v>PASS</x:v>
      </x:c>
      <x:c r="J2108" s="34" t="str">
        <x:v>PASS</x:v>
      </x:c>
      <x:c r="K2108" s="34" t="str">
        <x:v>PASS</x:v>
      </x:c>
      <x:c r="L2108" s="34" t="str">
        <x:v>PASS</x:v>
      </x:c>
      <x:c r="M2108" s="34" t="str">
        <x:v>numeric coverage for applicable metric</x:v>
      </x:c>
      <x:c r="N2108" s="34" t="str">
        <x:v>Feedback-Directed Random Test Generation/Result/JacksonDatabind_7/result.json</x:v>
      </x:c>
      <x:c r="O2108" s="38" t="n">
        <x:f>IF(AND(G2108="RECORDED",ISNUMBER(H2108)),H2108,"")</x:f>
        <x:v>80.45</x:v>
      </x:c>
      <x:c r="P2108" s="34" t="str">
        <x:v>NOT_REVEALING</x:v>
      </x:c>
      <x:c r="Q2108" s="34" t="str">
        <x:v>Feedback-Directed Random Test Generation/Result/JacksonDatabind_7/result.json</x:v>
      </x:c>
    </x:row>
    <x:row r="2109">
      <x:c r="A2109" s="34" t="str">
        <x:v>randoop</x:v>
      </x:c>
      <x:c r="B2109" s="34" t="str">
        <x:v>JacksonDatabind</x:v>
      </x:c>
      <x:c r="C2109" s="34" t="str">
        <x:v>Round1</x:v>
      </x:c>
      <x:c r="D2109" s="34" t="str">
        <x:v>JacksonDatabind_8</x:v>
      </x:c>
      <x:c r="E2109" s="34" t="str">
        <x:v>Line</x:v>
      </x:c>
      <x:c r="F2109" s="34" t="n">
        <x:v>116</x:v>
      </x:c>
      <x:c r="G2109" s="34" t="str">
        <x:v>RECORDED</x:v>
      </x:c>
      <x:c r="H2109" s="38" t="n">
        <x:f>IF(ISNUMBER('Data'!H401),'Data'!H401*100,"")</x:f>
        <x:v>62.93</x:v>
      </x:c>
      <x:c r="I2109" s="34" t="str">
        <x:v>PASS</x:v>
      </x:c>
      <x:c r="J2109" s="34" t="str">
        <x:v>PASS</x:v>
      </x:c>
      <x:c r="K2109" s="34" t="str">
        <x:v>PASS</x:v>
      </x:c>
      <x:c r="L2109" s="34" t="str">
        <x:v>PASS</x:v>
      </x:c>
      <x:c r="M2109" s="34" t="str">
        <x:v>numeric coverage for applicable metric</x:v>
      </x:c>
      <x:c r="N2109" s="34" t="str">
        <x:v>Feedback-Directed Random Test Generation/Result/JacksonDatabind_8/result.json</x:v>
      </x:c>
      <x:c r="O2109" s="38" t="n">
        <x:f>IF(AND(G2109="RECORDED",ISNUMBER(H2109)),H2109,"")</x:f>
        <x:v>62.93</x:v>
      </x:c>
      <x:c r="P2109" s="34" t="str">
        <x:v>NOT_REVEALING</x:v>
      </x:c>
      <x:c r="Q2109" s="34" t="str">
        <x:v>Feedback-Directed Random Test Generation/Result/JacksonDatabind_8/result.json</x:v>
      </x:c>
    </x:row>
    <x:row r="2110">
      <x:c r="A2110" s="34" t="str">
        <x:v>randoop</x:v>
      </x:c>
      <x:c r="B2110" s="34" t="str">
        <x:v>JacksonDatabind</x:v>
      </x:c>
      <x:c r="C2110" s="34" t="str">
        <x:v>Round1</x:v>
      </x:c>
      <x:c r="D2110" s="34" t="str">
        <x:v>JacksonDatabind_9</x:v>
      </x:c>
      <x:c r="E2110" s="34" t="str">
        <x:v>Line</x:v>
      </x:c>
      <x:c r="F2110" s="34" t="n">
        <x:v>10</x:v>
      </x:c>
      <x:c r="G2110" s="34" t="str">
        <x:v>RECORDED</x:v>
      </x:c>
      <x:c r="H2110" s="38" t="n">
        <x:f>IF(ISNUMBER('Data'!H402),'Data'!H402*100,"")</x:f>
        <x:v>10</x:v>
      </x:c>
      <x:c r="I2110" s="34" t="str">
        <x:v>PASS</x:v>
      </x:c>
      <x:c r="J2110" s="34" t="str">
        <x:v>PASS</x:v>
      </x:c>
      <x:c r="K2110" s="34" t="str">
        <x:v>PASS</x:v>
      </x:c>
      <x:c r="L2110" s="34" t="str">
        <x:v>PASS</x:v>
      </x:c>
      <x:c r="M2110" s="34" t="str">
        <x:v>numeric coverage for applicable metric</x:v>
      </x:c>
      <x:c r="N2110" s="34" t="str">
        <x:v>Feedback-Directed Random Test Generation/Result/JacksonDatabind_9/result.json</x:v>
      </x:c>
      <x:c r="O2110" s="38" t="n">
        <x:f>IF(AND(G2110="RECORDED",ISNUMBER(H2110)),H2110,"")</x:f>
        <x:v>10</x:v>
      </x:c>
      <x:c r="P2110" s="34" t="str">
        <x:v>NOT_REVEALING</x:v>
      </x:c>
      <x:c r="Q2110" s="34" t="str">
        <x:v>Feedback-Directed Random Test Generation/Result/JacksonDatabind_9/result.json</x:v>
      </x:c>
    </x:row>
    <x:row r="2111">
      <x:c r="A2111" s="34" t="str">
        <x:v>randoop</x:v>
      </x:c>
      <x:c r="B2111" s="34" t="str">
        <x:v>JacksonDatabind</x:v>
      </x:c>
      <x:c r="C2111" s="34" t="str">
        <x:v>Round1</x:v>
      </x:c>
      <x:c r="D2111" s="34" t="str">
        <x:v>JacksonDatabind_10</x:v>
      </x:c>
      <x:c r="E2111" s="34" t="str">
        <x:v>Line</x:v>
      </x:c>
      <x:c r="F2111" s="34" t="n">
        <x:v>275</x:v>
      </x:c>
      <x:c r="G2111" s="34" t="str">
        <x:v>RECORDED</x:v>
      </x:c>
      <x:c r="H2111" s="38" t="n">
        <x:f>IF(ISNUMBER('Data'!H403),'Data'!H403*100,"")</x:f>
        <x:v>12.73</x:v>
      </x:c>
      <x:c r="I2111" s="34" t="str">
        <x:v>PASS</x:v>
      </x:c>
      <x:c r="J2111" s="34" t="str">
        <x:v>PASS</x:v>
      </x:c>
      <x:c r="K2111" s="34" t="str">
        <x:v>PASS</x:v>
      </x:c>
      <x:c r="L2111" s="34" t="str">
        <x:v>PASS</x:v>
      </x:c>
      <x:c r="M2111" s="34" t="str">
        <x:v>numeric coverage for applicable metric</x:v>
      </x:c>
      <x:c r="N2111" s="34" t="str">
        <x:v>Feedback-Directed Random Test Generation/Result/JacksonDatabind_10/result.json</x:v>
      </x:c>
      <x:c r="O2111" s="38" t="n">
        <x:f>IF(AND(G2111="RECORDED",ISNUMBER(H2111)),H2111,"")</x:f>
        <x:v>12.73</x:v>
      </x:c>
      <x:c r="P2111" s="34" t="str">
        <x:v>INCONCLUSIVE</x:v>
      </x:c>
      <x:c r="Q2111" s="34" t="str">
        <x:v>Feedback-Directed Random Test Generation/Result/JacksonDatabind_10/result.json</x:v>
      </x:c>
    </x:row>
    <x:row r="2112">
      <x:c r="A2112" s="34" t="str">
        <x:v>randoop</x:v>
      </x:c>
      <x:c r="B2112" s="34" t="str">
        <x:v>JacksonDatabind</x:v>
      </x:c>
      <x:c r="C2112" s="34" t="str">
        <x:v>Round1</x:v>
      </x:c>
      <x:c r="D2112" s="34" t="str">
        <x:v>JacksonDatabind_11</x:v>
      </x:c>
      <x:c r="E2112" s="34" t="str">
        <x:v>Line</x:v>
      </x:c>
      <x:c r="F2112" s="34" t="n">
        <x:v>320</x:v>
      </x:c>
      <x:c r="G2112" s="34" t="str">
        <x:v>RECORDED</x:v>
      </x:c>
      <x:c r="H2112" s="38" t="n">
        <x:f>IF(ISNUMBER('Data'!H404),'Data'!H404*100,"")</x:f>
        <x:v>17.19</x:v>
      </x:c>
      <x:c r="I2112" s="34" t="str">
        <x:v>PASS</x:v>
      </x:c>
      <x:c r="J2112" s="34" t="str">
        <x:v>PASS</x:v>
      </x:c>
      <x:c r="K2112" s="34" t="str">
        <x:v>PASS</x:v>
      </x:c>
      <x:c r="L2112" s="34" t="str">
        <x:v>PASS</x:v>
      </x:c>
      <x:c r="M2112" s="34" t="str">
        <x:v>numeric coverage for applicable metric</x:v>
      </x:c>
      <x:c r="N2112" s="34" t="str">
        <x:v>Feedback-Directed Random Test Generation/Result/JacksonDatabind_11/result.json</x:v>
      </x:c>
      <x:c r="O2112" s="38" t="n">
        <x:f>IF(AND(G2112="RECORDED",ISNUMBER(H2112)),H2112,"")</x:f>
        <x:v>17.19</x:v>
      </x:c>
      <x:c r="P2112" s="34" t="str">
        <x:v>NOT_REVEALING</x:v>
      </x:c>
      <x:c r="Q2112" s="34" t="str">
        <x:v>Feedback-Directed Random Test Generation/Result/JacksonDatabind_11/result.json</x:v>
      </x:c>
    </x:row>
    <x:row r="2113">
      <x:c r="A2113" s="34" t="str">
        <x:v>randoop</x:v>
      </x:c>
      <x:c r="B2113" s="34" t="str">
        <x:v>JacksonDatabind</x:v>
      </x:c>
      <x:c r="C2113" s="34" t="str">
        <x:v>Round1</x:v>
      </x:c>
      <x:c r="D2113" s="34" t="str">
        <x:v>JacksonDatabind_12</x:v>
      </x:c>
      <x:c r="E2113" s="34" t="str">
        <x:v>Line</x:v>
      </x:c>
      <x:c r="F2113" s="34" t="n">
        <x:v>262</x:v>
      </x:c>
      <x:c r="G2113" s="34" t="str">
        <x:v>RECORDED</x:v>
      </x:c>
      <x:c r="H2113" s="38" t="n">
        <x:f>IF(ISNUMBER('Data'!H405),'Data'!H405*100,"")</x:f>
        <x:v>3.44</x:v>
      </x:c>
      <x:c r="I2113" s="34" t="str">
        <x:v>PASS</x:v>
      </x:c>
      <x:c r="J2113" s="34" t="str">
        <x:v>PASS</x:v>
      </x:c>
      <x:c r="K2113" s="34" t="str">
        <x:v>PASS</x:v>
      </x:c>
      <x:c r="L2113" s="34" t="str">
        <x:v>PASS</x:v>
      </x:c>
      <x:c r="M2113" s="34" t="str">
        <x:v>numeric coverage for applicable metric</x:v>
      </x:c>
      <x:c r="N2113" s="34" t="str">
        <x:v>Feedback-Directed Random Test Generation/Result/JacksonDatabind_12/result.json</x:v>
      </x:c>
      <x:c r="O2113" s="38" t="n">
        <x:f>IF(AND(G2113="RECORDED",ISNUMBER(H2113)),H2113,"")</x:f>
        <x:v>3.44</x:v>
      </x:c>
      <x:c r="P2113" s="34" t="str">
        <x:v>NOT_REVEALING</x:v>
      </x:c>
      <x:c r="Q2113" s="34" t="str">
        <x:v>Feedback-Directed Random Test Generation/Result/JacksonDatabind_12/result.json</x:v>
      </x:c>
    </x:row>
    <x:row r="2114">
      <x:c r="A2114" s="34" t="str">
        <x:v>randoop</x:v>
      </x:c>
      <x:c r="B2114" s="34" t="str">
        <x:v>JacksonDatabind</x:v>
      </x:c>
      <x:c r="C2114" s="34" t="str">
        <x:v>Round1</x:v>
      </x:c>
      <x:c r="D2114" s="34" t="str">
        <x:v>JacksonDatabind_13</x:v>
      </x:c>
      <x:c r="E2114" s="34" t="str">
        <x:v>Line</x:v>
      </x:c>
      <x:c r="F2114" s="34" t="n">
        <x:v>132</x:v>
      </x:c>
      <x:c r="G2114" s="34" t="str">
        <x:v>RECORDED</x:v>
      </x:c>
      <x:c r="H2114" s="38" t="n">
        <x:f>IF(ISNUMBER('Data'!H406),'Data'!H406*100,"")</x:f>
        <x:v>6.819999999999999</x:v>
      </x:c>
      <x:c r="I2114" s="34" t="str">
        <x:v>PASS</x:v>
      </x:c>
      <x:c r="J2114" s="34" t="str">
        <x:v>PASS</x:v>
      </x:c>
      <x:c r="K2114" s="34" t="str">
        <x:v>PASS</x:v>
      </x:c>
      <x:c r="L2114" s="34" t="str">
        <x:v>PASS</x:v>
      </x:c>
      <x:c r="M2114" s="34" t="str">
        <x:v>numeric coverage for applicable metric</x:v>
      </x:c>
      <x:c r="N2114" s="34" t="str">
        <x:v>Feedback-Directed Random Test Generation/Result/JacksonDatabind_13/result.json</x:v>
      </x:c>
      <x:c r="O2114" s="38" t="n">
        <x:f>IF(AND(G2114="RECORDED",ISNUMBER(H2114)),H2114,"")</x:f>
        <x:v>6.819999999999999</x:v>
      </x:c>
      <x:c r="P2114" s="34" t="str">
        <x:v>NOT_REVEALING</x:v>
      </x:c>
      <x:c r="Q2114" s="34" t="str">
        <x:v>Feedback-Directed Random Test Generation/Result/JacksonDatabind_13/result.json</x:v>
      </x:c>
    </x:row>
    <x:row r="2115">
      <x:c r="A2115" s="34" t="str">
        <x:v>randoop</x:v>
      </x:c>
      <x:c r="B2115" s="34" t="str">
        <x:v>JacksonDatabind</x:v>
      </x:c>
      <x:c r="C2115" s="34" t="str">
        <x:v>Round1</x:v>
      </x:c>
      <x:c r="D2115" s="34" t="str">
        <x:v>JacksonDatabind_14</x:v>
      </x:c>
      <x:c r="E2115" s="34" t="str">
        <x:v>Line</x:v>
      </x:c>
      <x:c r="F2115" s="34" t="n">
        <x:v>382</x:v>
      </x:c>
      <x:c r="G2115" s="34" t="str">
        <x:v>RECORDED</x:v>
      </x:c>
      <x:c r="H2115" s="38" t="n">
        <x:f>IF(ISNUMBER('Data'!H407),'Data'!H407*100,"")</x:f>
        <x:v>3.4000000000000004</x:v>
      </x:c>
      <x:c r="I2115" s="34" t="str">
        <x:v>PASS</x:v>
      </x:c>
      <x:c r="J2115" s="34" t="str">
        <x:v>PASS</x:v>
      </x:c>
      <x:c r="K2115" s="34" t="str">
        <x:v>PASS</x:v>
      </x:c>
      <x:c r="L2115" s="34" t="str">
        <x:v>PASS</x:v>
      </x:c>
      <x:c r="M2115" s="34" t="str">
        <x:v>numeric coverage for applicable metric</x:v>
      </x:c>
      <x:c r="N2115" s="34" t="str">
        <x:v>Feedback-Directed Random Test Generation/Result/JacksonDatabind_14/result.json</x:v>
      </x:c>
      <x:c r="O2115" s="38" t="n">
        <x:f>IF(AND(G2115="RECORDED",ISNUMBER(H2115)),H2115,"")</x:f>
        <x:v>3.4000000000000004</x:v>
      </x:c>
      <x:c r="P2115" s="34" t="str">
        <x:v>NOT_REVEALING</x:v>
      </x:c>
      <x:c r="Q2115" s="34" t="str">
        <x:v>Feedback-Directed Random Test Generation/Result/JacksonDatabind_14/result.json</x:v>
      </x:c>
    </x:row>
    <x:row r="2116">
      <x:c r="A2116" s="34" t="str">
        <x:v>randoop</x:v>
      </x:c>
      <x:c r="B2116" s="34" t="str">
        <x:v>JacksonDatabind</x:v>
      </x:c>
      <x:c r="C2116" s="34" t="str">
        <x:v>Round1</x:v>
      </x:c>
      <x:c r="D2116" s="34" t="str">
        <x:v>JacksonDatabind_15</x:v>
      </x:c>
      <x:c r="E2116" s="34" t="str">
        <x:v>Line</x:v>
      </x:c>
      <x:c r="F2116" s="34" t="n">
        <x:v>763</x:v>
      </x:c>
      <x:c r="G2116" s="34" t="str">
        <x:v>RECORDED</x:v>
      </x:c>
      <x:c r="H2116" s="38" t="n">
        <x:f>IF(ISNUMBER('Data'!H408),'Data'!H408*100,"")</x:f>
        <x:v>5.5</x:v>
      </x:c>
      <x:c r="I2116" s="34" t="str">
        <x:v>PASS</x:v>
      </x:c>
      <x:c r="J2116" s="34" t="str">
        <x:v>PASS</x:v>
      </x:c>
      <x:c r="K2116" s="34" t="str">
        <x:v>PASS</x:v>
      </x:c>
      <x:c r="L2116" s="34" t="str">
        <x:v>PASS</x:v>
      </x:c>
      <x:c r="M2116" s="34" t="str">
        <x:v>numeric coverage for applicable metric</x:v>
      </x:c>
      <x:c r="N2116" s="34" t="str">
        <x:v>Feedback-Directed Random Test Generation/Result/JacksonDatabind_15/result.json</x:v>
      </x:c>
      <x:c r="O2116" s="38" t="n">
        <x:f>IF(AND(G2116="RECORDED",ISNUMBER(H2116)),H2116,"")</x:f>
        <x:v>5.5</x:v>
      </x:c>
      <x:c r="P2116" s="34" t="str">
        <x:v>NOT_REVEALING</x:v>
      </x:c>
      <x:c r="Q2116" s="34" t="str">
        <x:v>Feedback-Directed Random Test Generation/Result/JacksonDatabind_15/result.json</x:v>
      </x:c>
    </x:row>
    <x:row r="2117">
      <x:c r="A2117" s="34" t="str">
        <x:v>randoop</x:v>
      </x:c>
      <x:c r="B2117" s="34" t="str">
        <x:v>JacksonDatabind</x:v>
      </x:c>
      <x:c r="C2117" s="34" t="str">
        <x:v>Round1</x:v>
      </x:c>
      <x:c r="D2117" s="34" t="str">
        <x:v>JacksonDatabind_16</x:v>
      </x:c>
      <x:c r="E2117" s="34" t="str">
        <x:v>Line</x:v>
      </x:c>
      <x:c r="F2117" s="34" t="n">
        <x:v>35</x:v>
      </x:c>
      <x:c r="G2117" s="34" t="str">
        <x:v>RECORDED</x:v>
      </x:c>
      <x:c r="H2117" s="38" t="n">
        <x:f>IF(ISNUMBER('Data'!H409),'Data'!H409*100,"")</x:f>
        <x:v>40</x:v>
      </x:c>
      <x:c r="I2117" s="34" t="str">
        <x:v>PASS</x:v>
      </x:c>
      <x:c r="J2117" s="34" t="str">
        <x:v>PASS</x:v>
      </x:c>
      <x:c r="K2117" s="34" t="str">
        <x:v>PASS</x:v>
      </x:c>
      <x:c r="L2117" s="34" t="str">
        <x:v>PASS</x:v>
      </x:c>
      <x:c r="M2117" s="34" t="str">
        <x:v>numeric coverage for applicable metric</x:v>
      </x:c>
      <x:c r="N2117" s="34" t="str">
        <x:v>Feedback-Directed Random Test Generation/Result/JacksonDatabind_16/result.json</x:v>
      </x:c>
      <x:c r="O2117" s="38" t="n">
        <x:f>IF(AND(G2117="RECORDED",ISNUMBER(H2117)),H2117,"")</x:f>
        <x:v>40</x:v>
      </x:c>
      <x:c r="P2117" s="34" t="str">
        <x:v>NOT_REVEALING</x:v>
      </x:c>
      <x:c r="Q2117" s="34" t="str">
        <x:v>Feedback-Directed Random Test Generation/Result/JacksonDatabind_16/result.json</x:v>
      </x:c>
    </x:row>
    <x:row r="2118">
      <x:c r="A2118" s="34" t="str">
        <x:v>randoop</x:v>
      </x:c>
      <x:c r="B2118" s="34" t="str">
        <x:v>JacksonDatabind</x:v>
      </x:c>
      <x:c r="C2118" s="34" t="str">
        <x:v>Round1</x:v>
      </x:c>
      <x:c r="D2118" s="34" t="str">
        <x:v>JacksonDatabind_17</x:v>
      </x:c>
      <x:c r="E2118" s="34" t="str">
        <x:v>Line</x:v>
      </x:c>
      <x:c r="F2118" s="34" t="n">
        <x:v>638</x:v>
      </x:c>
      <x:c r="G2118" s="34" t="str">
        <x:v>RECORDED</x:v>
      </x:c>
      <x:c r="H2118" s="38" t="n">
        <x:f>IF(ISNUMBER('Data'!H410),'Data'!H410*100,"")</x:f>
        <x:v>59.4</x:v>
      </x:c>
      <x:c r="I2118" s="34" t="str">
        <x:v>PASS</x:v>
      </x:c>
      <x:c r="J2118" s="34" t="str">
        <x:v>PASS</x:v>
      </x:c>
      <x:c r="K2118" s="34" t="str">
        <x:v>PASS</x:v>
      </x:c>
      <x:c r="L2118" s="34" t="str">
        <x:v>PASS</x:v>
      </x:c>
      <x:c r="M2118" s="34" t="str">
        <x:v>numeric coverage for applicable metric</x:v>
      </x:c>
      <x:c r="N2118" s="34" t="str">
        <x:v>Feedback-Directed Random Test Generation/Result/JacksonDatabind_17/result.json</x:v>
      </x:c>
      <x:c r="O2118" s="38" t="n">
        <x:f>IF(AND(G2118="RECORDED",ISNUMBER(H2118)),H2118,"")</x:f>
        <x:v>59.4</x:v>
      </x:c>
      <x:c r="P2118" s="34" t="str">
        <x:v>INCONCLUSIVE</x:v>
      </x:c>
      <x:c r="Q2118" s="34" t="str">
        <x:v>Feedback-Directed Random Test Generation/Result/JacksonDatabind_17/result.json</x:v>
      </x:c>
    </x:row>
    <x:row r="2119">
      <x:c r="A2119" s="34" t="str">
        <x:v>randoop</x:v>
      </x:c>
      <x:c r="B2119" s="34" t="str">
        <x:v>JacksonDatabind</x:v>
      </x:c>
      <x:c r="C2119" s="34" t="str">
        <x:v>Round1</x:v>
      </x:c>
      <x:c r="D2119" s="34" t="str">
        <x:v>JacksonDatabind_18</x:v>
      </x:c>
      <x:c r="E2119" s="34" t="str">
        <x:v>Line</x:v>
      </x:c>
      <x:c r="F2119" s="34" t="n">
        <x:v>68</x:v>
      </x:c>
      <x:c r="G2119" s="34" t="str">
        <x:v>RECORDED</x:v>
      </x:c>
      <x:c r="H2119" s="38" t="n">
        <x:f>IF(ISNUMBER('Data'!H411),'Data'!H411*100,"")</x:f>
        <x:v>17.65</x:v>
      </x:c>
      <x:c r="I2119" s="34" t="str">
        <x:v>PASS</x:v>
      </x:c>
      <x:c r="J2119" s="34" t="str">
        <x:v>PASS</x:v>
      </x:c>
      <x:c r="K2119" s="34" t="str">
        <x:v>PASS</x:v>
      </x:c>
      <x:c r="L2119" s="34" t="str">
        <x:v>PASS</x:v>
      </x:c>
      <x:c r="M2119" s="34" t="str">
        <x:v>numeric coverage for applicable metric</x:v>
      </x:c>
      <x:c r="N2119" s="34" t="str">
        <x:v>Feedback-Directed Random Test Generation/Result/JacksonDatabind_18/result.json</x:v>
      </x:c>
      <x:c r="O2119" s="38" t="n">
        <x:f>IF(AND(G2119="RECORDED",ISNUMBER(H2119)),H2119,"")</x:f>
        <x:v>17.65</x:v>
      </x:c>
      <x:c r="P2119" s="34" t="str">
        <x:v>NOT_REVEALING</x:v>
      </x:c>
      <x:c r="Q2119" s="34" t="str">
        <x:v>Feedback-Directed Random Test Generation/Result/JacksonDatabind_18/result.json</x:v>
      </x:c>
    </x:row>
    <x:row r="2120">
      <x:c r="A2120" s="34" t="str">
        <x:v>randoop</x:v>
      </x:c>
      <x:c r="B2120" s="34" t="str">
        <x:v>JacksonDatabind</x:v>
      </x:c>
      <x:c r="C2120" s="34" t="str">
        <x:v>Round1</x:v>
      </x:c>
      <x:c r="D2120" s="34" t="str">
        <x:v>JacksonDatabind_19</x:v>
      </x:c>
      <x:c r="E2120" s="34" t="str">
        <x:v>Line</x:v>
      </x:c>
      <x:c r="F2120" s="34" t="n">
        <x:v>347</x:v>
      </x:c>
      <x:c r="G2120" s="34" t="str">
        <x:v>RECORDED</x:v>
      </x:c>
      <x:c r="H2120" s="38" t="n">
        <x:f>IF(ISNUMBER('Data'!H412),'Data'!H412*100,"")</x:f>
        <x:v>21.33</x:v>
      </x:c>
      <x:c r="I2120" s="34" t="str">
        <x:v>PASS</x:v>
      </x:c>
      <x:c r="J2120" s="34" t="str">
        <x:v>PASS</x:v>
      </x:c>
      <x:c r="K2120" s="34" t="str">
        <x:v>PASS</x:v>
      </x:c>
      <x:c r="L2120" s="34" t="str">
        <x:v>PASS</x:v>
      </x:c>
      <x:c r="M2120" s="34" t="str">
        <x:v>numeric coverage for applicable metric</x:v>
      </x:c>
      <x:c r="N2120" s="34" t="str">
        <x:v>Feedback-Directed Random Test Generation/Result/JacksonDatabind_19/result.json</x:v>
      </x:c>
      <x:c r="O2120" s="38" t="n">
        <x:f>IF(AND(G2120="RECORDED",ISNUMBER(H2120)),H2120,"")</x:f>
        <x:v>21.33</x:v>
      </x:c>
      <x:c r="P2120" s="34" t="str">
        <x:v>NOT_REVEALING</x:v>
      </x:c>
      <x:c r="Q2120" s="34" t="str">
        <x:v>Feedback-Directed Random Test Generation/Result/JacksonDatabind_19/result.json</x:v>
      </x:c>
    </x:row>
    <x:row r="2121">
      <x:c r="A2121" s="34" t="str">
        <x:v>randoop</x:v>
      </x:c>
      <x:c r="B2121" s="34" t="str">
        <x:v>JacksonDatabind</x:v>
      </x:c>
      <x:c r="C2121" s="34" t="str">
        <x:v>Round1</x:v>
      </x:c>
      <x:c r="D2121" s="34" t="str">
        <x:v>JacksonDatabind_20</x:v>
      </x:c>
      <x:c r="E2121" s="34" t="str">
        <x:v>Line</x:v>
      </x:c>
      <x:c r="F2121" s="34" t="n">
        <x:v>186</x:v>
      </x:c>
      <x:c r="G2121" s="34" t="str">
        <x:v>RECORDED</x:v>
      </x:c>
      <x:c r="H2121" s="38" t="n">
        <x:f>IF(ISNUMBER('Data'!H413),'Data'!H413*100,"")</x:f>
        <x:v>83.87</x:v>
      </x:c>
      <x:c r="I2121" s="34" t="str">
        <x:v>PASS</x:v>
      </x:c>
      <x:c r="J2121" s="34" t="str">
        <x:v>PASS</x:v>
      </x:c>
      <x:c r="K2121" s="34" t="str">
        <x:v>PASS</x:v>
      </x:c>
      <x:c r="L2121" s="34" t="str">
        <x:v>PASS</x:v>
      </x:c>
      <x:c r="M2121" s="34" t="str">
        <x:v>numeric coverage for applicable metric</x:v>
      </x:c>
      <x:c r="N2121" s="34" t="str">
        <x:v>Feedback-Directed Random Test Generation/Result/JacksonDatabind_20/result.json</x:v>
      </x:c>
      <x:c r="O2121" s="38" t="n">
        <x:f>IF(AND(G2121="RECORDED",ISNUMBER(H2121)),H2121,"")</x:f>
        <x:v>83.87</x:v>
      </x:c>
      <x:c r="P2121" s="34" t="str">
        <x:v>NOT_REVEALING</x:v>
      </x:c>
      <x:c r="Q2121" s="34" t="str">
        <x:v>Feedback-Directed Random Test Generation/Result/JacksonDatabind_20/result.json</x:v>
      </x:c>
    </x:row>
    <x:row r="2122">
      <x:c r="A2122" s="34" t="str">
        <x:v>randoop</x:v>
      </x:c>
      <x:c r="B2122" s="34" t="str">
        <x:v>JacksonDatabind</x:v>
      </x:c>
      <x:c r="C2122" s="34" t="str">
        <x:v>Round1</x:v>
      </x:c>
      <x:c r="D2122" s="34" t="str">
        <x:v>JacksonDatabind_21</x:v>
      </x:c>
      <x:c r="E2122" s="34" t="str">
        <x:v>Line</x:v>
      </x:c>
      <x:c r="F2122" s="34" t="n">
        <x:v>333</x:v>
      </x:c>
      <x:c r="G2122" s="34" t="str">
        <x:v>RECORDED</x:v>
      </x:c>
      <x:c r="H2122" s="38" t="n">
        <x:f>IF(ISNUMBER('Data'!H414),'Data'!H414*100,"")</x:f>
        <x:v>21.62</x:v>
      </x:c>
      <x:c r="I2122" s="34" t="str">
        <x:v>PASS</x:v>
      </x:c>
      <x:c r="J2122" s="34" t="str">
        <x:v>PASS</x:v>
      </x:c>
      <x:c r="K2122" s="34" t="str">
        <x:v>PASS</x:v>
      </x:c>
      <x:c r="L2122" s="34" t="str">
        <x:v>PASS</x:v>
      </x:c>
      <x:c r="M2122" s="34" t="str">
        <x:v>numeric coverage for applicable metric</x:v>
      </x:c>
      <x:c r="N2122" s="34" t="str">
        <x:v>Feedback-Directed Random Test Generation/Result/JacksonDatabind_21/result.json</x:v>
      </x:c>
      <x:c r="O2122" s="38" t="n">
        <x:f>IF(AND(G2122="RECORDED",ISNUMBER(H2122)),H2122,"")</x:f>
        <x:v>21.62</x:v>
      </x:c>
      <x:c r="P2122" s="34" t="str">
        <x:v>NOT_REVEALING</x:v>
      </x:c>
      <x:c r="Q2122" s="34" t="str">
        <x:v>Feedback-Directed Random Test Generation/Result/JacksonDatabind_21/result.json</x:v>
      </x:c>
    </x:row>
    <x:row r="2123">
      <x:c r="A2123" s="34" t="str">
        <x:v>randoop</x:v>
      </x:c>
      <x:c r="B2123" s="34" t="str">
        <x:v>JacksonDatabind</x:v>
      </x:c>
      <x:c r="C2123" s="34" t="str">
        <x:v>Round1</x:v>
      </x:c>
      <x:c r="D2123" s="34" t="str">
        <x:v>JacksonDatabind_22</x:v>
      </x:c>
      <x:c r="E2123" s="34" t="str">
        <x:v>Line</x:v>
      </x:c>
      <x:c r="F2123" s="34" t="n">
        <x:v>638</x:v>
      </x:c>
      <x:c r="G2123" s="34" t="str">
        <x:v>RECORDED</x:v>
      </x:c>
      <x:c r="H2123" s="38" t="n">
        <x:f>IF(ISNUMBER('Data'!H415),'Data'!H415*100,"")</x:f>
        <x:v>16.3</x:v>
      </x:c>
      <x:c r="I2123" s="34" t="str">
        <x:v>PASS</x:v>
      </x:c>
      <x:c r="J2123" s="34" t="str">
        <x:v>PASS</x:v>
      </x:c>
      <x:c r="K2123" s="34" t="str">
        <x:v>PASS</x:v>
      </x:c>
      <x:c r="L2123" s="34" t="str">
        <x:v>PASS</x:v>
      </x:c>
      <x:c r="M2123" s="34" t="str">
        <x:v>numeric coverage for applicable metric</x:v>
      </x:c>
      <x:c r="N2123" s="34" t="str">
        <x:v>Feedback-Directed Random Test Generation/Result/JacksonDatabind_22/result.json</x:v>
      </x:c>
      <x:c r="O2123" s="38" t="n">
        <x:f>IF(AND(G2123="RECORDED",ISNUMBER(H2123)),H2123,"")</x:f>
        <x:v>16.3</x:v>
      </x:c>
      <x:c r="P2123" s="34" t="str">
        <x:v>NOT_AVAILABLE</x:v>
      </x:c>
      <x:c r="Q2123" s="34" t="str">
        <x:v>Feedback-Directed Random Test Generation/Result/JacksonDatabind_22/result.json</x:v>
      </x:c>
    </x:row>
    <x:row r="2124">
      <x:c r="A2124" s="34" t="str">
        <x:v>randoop</x:v>
      </x:c>
      <x:c r="B2124" s="34" t="str">
        <x:v>JacksonDatabind</x:v>
      </x:c>
      <x:c r="C2124" s="34" t="str">
        <x:v>Round1</x:v>
      </x:c>
      <x:c r="D2124" s="34" t="str">
        <x:v>JacksonDatabind_23</x:v>
      </x:c>
      <x:c r="E2124" s="34" t="str">
        <x:v>Line</x:v>
      </x:c>
      <x:c r="F2124" s="34" t="n">
        <x:v>73</x:v>
      </x:c>
      <x:c r="G2124" s="34" t="str">
        <x:v>RECORDED</x:v>
      </x:c>
      <x:c r="H2124" s="38" t="n">
        <x:f>IF(ISNUMBER('Data'!H416),'Data'!H416*100,"")</x:f>
        <x:v>52.05</x:v>
      </x:c>
      <x:c r="I2124" s="34" t="str">
        <x:v>PASS</x:v>
      </x:c>
      <x:c r="J2124" s="34" t="str">
        <x:v>PASS</x:v>
      </x:c>
      <x:c r="K2124" s="34" t="str">
        <x:v>PASS</x:v>
      </x:c>
      <x:c r="L2124" s="34" t="str">
        <x:v>PASS</x:v>
      </x:c>
      <x:c r="M2124" s="34" t="str">
        <x:v>numeric coverage for applicable metric</x:v>
      </x:c>
      <x:c r="N2124" s="34" t="str">
        <x:v>Feedback-Directed Random Test Generation/Result/JacksonDatabind_23/result.json</x:v>
      </x:c>
      <x:c r="O2124" s="38" t="n">
        <x:f>IF(AND(G2124="RECORDED",ISNUMBER(H2124)),H2124,"")</x:f>
        <x:v>52.05</x:v>
      </x:c>
      <x:c r="P2124" s="34" t="str">
        <x:v>INCONCLUSIVE</x:v>
      </x:c>
      <x:c r="Q2124" s="34" t="str">
        <x:v>Feedback-Directed Random Test Generation/Result/JacksonDatabind_23/result.json</x:v>
      </x:c>
    </x:row>
    <x:row r="2125">
      <x:c r="A2125" s="34" t="str">
        <x:v>randoop</x:v>
      </x:c>
      <x:c r="B2125" s="34" t="str">
        <x:v>JacksonDatabind</x:v>
      </x:c>
      <x:c r="C2125" s="34" t="str">
        <x:v>Round1</x:v>
      </x:c>
      <x:c r="D2125" s="34" t="str">
        <x:v>JacksonDatabind_24</x:v>
      </x:c>
      <x:c r="E2125" s="34" t="str">
        <x:v>Line</x:v>
      </x:c>
      <x:c r="F2125" s="34" t="n">
        <x:v>67</x:v>
      </x:c>
      <x:c r="G2125" s="34" t="str">
        <x:v>RECORDED</x:v>
      </x:c>
      <x:c r="H2125" s="38" t="n">
        <x:f>IF(ISNUMBER('Data'!H417),'Data'!H417*100,"")</x:f>
        <x:v>0</x:v>
      </x:c>
      <x:c r="I2125" s="34" t="str">
        <x:v>PASS</x:v>
      </x:c>
      <x:c r="J2125" s="34" t="str">
        <x:v>PASS</x:v>
      </x:c>
      <x:c r="K2125" s="34" t="str">
        <x:v>PASS</x:v>
      </x:c>
      <x:c r="L2125" s="34" t="str">
        <x:v>PASS</x:v>
      </x:c>
      <x:c r="M2125" s="34" t="str">
        <x:v>numeric coverage for applicable metric</x:v>
      </x:c>
      <x:c r="N2125" s="34" t="str">
        <x:v>Feedback-Directed Random Test Generation/Result/JacksonDatabind_24/result.json</x:v>
      </x:c>
      <x:c r="O2125" s="38" t="n">
        <x:f>IF(AND(G2125="RECORDED",ISNUMBER(H2125)),H2125,"")</x:f>
        <x:v>0</x:v>
      </x:c>
      <x:c r="P2125" s="34" t="str">
        <x:v>NOT_REVEALING</x:v>
      </x:c>
      <x:c r="Q2125" s="34" t="str">
        <x:v>Feedback-Directed Random Test Generation/Result/JacksonDatabind_24/result.json</x:v>
      </x:c>
    </x:row>
    <x:row r="2126">
      <x:c r="A2126" s="34" t="str">
        <x:v>randoop</x:v>
      </x:c>
      <x:c r="B2126" s="34" t="str">
        <x:v>JacksonDatabind</x:v>
      </x:c>
      <x:c r="C2126" s="34" t="str">
        <x:v>Round1</x:v>
      </x:c>
      <x:c r="D2126" s="34" t="str">
        <x:v>JacksonDatabind_25</x:v>
      </x:c>
      <x:c r="E2126" s="34" t="str">
        <x:v>Line</x:v>
      </x:c>
      <x:c r="F2126" s="34" t="n">
        <x:v>1058</x:v>
      </x:c>
      <x:c r="G2126" s="34" t="str">
        <x:v>RECORDED</x:v>
      </x:c>
      <x:c r="H2126" s="38" t="n">
        <x:f>IF(ISNUMBER('Data'!H418),'Data'!H418*100,"")</x:f>
        <x:v>4.63</x:v>
      </x:c>
      <x:c r="I2126" s="34" t="str">
        <x:v>PASS</x:v>
      </x:c>
      <x:c r="J2126" s="34" t="str">
        <x:v>PASS</x:v>
      </x:c>
      <x:c r="K2126" s="34" t="str">
        <x:v>PASS</x:v>
      </x:c>
      <x:c r="L2126" s="34" t="str">
        <x:v>PASS</x:v>
      </x:c>
      <x:c r="M2126" s="34" t="str">
        <x:v>numeric coverage for applicable metric</x:v>
      </x:c>
      <x:c r="N2126" s="34" t="str">
        <x:v>Feedback-Directed Random Test Generation/Result/JacksonDatabind_25/result.json</x:v>
      </x:c>
      <x:c r="O2126" s="38" t="n">
        <x:f>IF(AND(G2126="RECORDED",ISNUMBER(H2126)),H2126,"")</x:f>
        <x:v>4.63</x:v>
      </x:c>
      <x:c r="P2126" s="34" t="str">
        <x:v>NOT_REVEALING</x:v>
      </x:c>
      <x:c r="Q2126" s="34" t="str">
        <x:v>Feedback-Directed Random Test Generation/Result/JacksonDatabind_25/result.json</x:v>
      </x:c>
    </x:row>
    <x:row r="2127">
      <x:c r="A2127" s="34" t="str">
        <x:v>randoop</x:v>
      </x:c>
      <x:c r="B2127" s="34" t="str">
        <x:v>JacksonDatabind</x:v>
      </x:c>
      <x:c r="C2127" s="34" t="str">
        <x:v>Round1</x:v>
      </x:c>
      <x:c r="D2127" s="34" t="str">
        <x:v>JacksonDatabind_26</x:v>
      </x:c>
      <x:c r="E2127" s="34" t="str">
        <x:v>Line</x:v>
      </x:c>
      <x:c r="F2127" s="34" t="n">
        <x:v>267</x:v>
      </x:c>
      <x:c r="G2127" s="34" t="str">
        <x:v>RECORDED</x:v>
      </x:c>
      <x:c r="H2127" s="38" t="n">
        <x:f>IF(ISNUMBER('Data'!H419),'Data'!H419*100,"")</x:f>
        <x:v>44.19</x:v>
      </x:c>
      <x:c r="I2127" s="34" t="str">
        <x:v>PASS</x:v>
      </x:c>
      <x:c r="J2127" s="34" t="str">
        <x:v>PASS</x:v>
      </x:c>
      <x:c r="K2127" s="34" t="str">
        <x:v>PASS</x:v>
      </x:c>
      <x:c r="L2127" s="34" t="str">
        <x:v>FAIL</x:v>
      </x:c>
      <x:c r="M2127" s="34" t="str">
        <x:v>numeric coverage for applicable metric</x:v>
      </x:c>
      <x:c r="N2127" s="34" t="str">
        <x:v>Feedback-Directed Random Test Generation/Result/JacksonDatabind_26/result.json</x:v>
      </x:c>
      <x:c r="O2127" s="38" t="n">
        <x:f>IF(AND(G2127="RECORDED",ISNUMBER(H2127)),H2127,"")</x:f>
        <x:v>44.19</x:v>
      </x:c>
      <x:c r="P2127" s="34" t="str">
        <x:v>INCONCLUSIVE</x:v>
      </x:c>
      <x:c r="Q2127" s="34" t="str">
        <x:v>Feedback-Directed Random Test Generation/Result/JacksonDatabind_26/result.json</x:v>
      </x:c>
    </x:row>
    <x:row r="2128">
      <x:c r="A2128" s="34" t="str">
        <x:v>randoop</x:v>
      </x:c>
      <x:c r="B2128" s="34" t="str">
        <x:v>JacksonDatabind</x:v>
      </x:c>
      <x:c r="C2128" s="34" t="str">
        <x:v>Round1</x:v>
      </x:c>
      <x:c r="D2128" s="34" t="str">
        <x:v>JacksonDatabind_27</x:v>
      </x:c>
      <x:c r="E2128" s="34" t="str">
        <x:v>Line</x:v>
      </x:c>
      <x:c r="F2128" s="34" t="n">
        <x:v>392</x:v>
      </x:c>
      <x:c r="G2128" s="34" t="str">
        <x:v>RECORDED</x:v>
      </x:c>
      <x:c r="H2128" s="38" t="n">
        <x:f>IF(ISNUMBER('Data'!H420),'Data'!H420*100,"")</x:f>
        <x:v>1.53</x:v>
      </x:c>
      <x:c r="I2128" s="34" t="str">
        <x:v>PASS</x:v>
      </x:c>
      <x:c r="J2128" s="34" t="str">
        <x:v>PASS</x:v>
      </x:c>
      <x:c r="K2128" s="34" t="str">
        <x:v>PASS</x:v>
      </x:c>
      <x:c r="L2128" s="34" t="str">
        <x:v>PASS</x:v>
      </x:c>
      <x:c r="M2128" s="34" t="str">
        <x:v>numeric coverage for applicable metric</x:v>
      </x:c>
      <x:c r="N2128" s="34" t="str">
        <x:v>Feedback-Directed Random Test Generation/Result/JacksonDatabind_27/result.json</x:v>
      </x:c>
      <x:c r="O2128" s="38" t="n">
        <x:f>IF(AND(G2128="RECORDED",ISNUMBER(H2128)),H2128,"")</x:f>
        <x:v>1.53</x:v>
      </x:c>
      <x:c r="P2128" s="34" t="str">
        <x:v>NOT_REVEALING</x:v>
      </x:c>
      <x:c r="Q2128" s="34" t="str">
        <x:v>Feedback-Directed Random Test Generation/Result/JacksonDatabind_27/result.json</x:v>
      </x:c>
    </x:row>
    <x:row r="2129">
      <x:c r="A2129" s="34" t="str">
        <x:v>randoop</x:v>
      </x:c>
      <x:c r="B2129" s="34" t="str">
        <x:v>JacksonDatabind</x:v>
      </x:c>
      <x:c r="C2129" s="34" t="str">
        <x:v>Round1</x:v>
      </x:c>
      <x:c r="D2129" s="34" t="str">
        <x:v>JacksonDatabind_28</x:v>
      </x:c>
      <x:c r="E2129" s="34" t="str">
        <x:v>Line</x:v>
      </x:c>
      <x:c r="F2129" s="34" t="n">
        <x:v>31</x:v>
      </x:c>
      <x:c r="G2129" s="34" t="str">
        <x:v>RECORDED</x:v>
      </x:c>
      <x:c r="H2129" s="38" t="n">
        <x:f>IF(ISNUMBER('Data'!H421),'Data'!H421*100,"")</x:f>
        <x:v>45.16</x:v>
      </x:c>
      <x:c r="I2129" s="34" t="str">
        <x:v>PASS</x:v>
      </x:c>
      <x:c r="J2129" s="34" t="str">
        <x:v>PASS</x:v>
      </x:c>
      <x:c r="K2129" s="34" t="str">
        <x:v>PASS</x:v>
      </x:c>
      <x:c r="L2129" s="34" t="str">
        <x:v>PASS</x:v>
      </x:c>
      <x:c r="M2129" s="34" t="str">
        <x:v>numeric coverage for applicable metric</x:v>
      </x:c>
      <x:c r="N2129" s="34" t="str">
        <x:v>Feedback-Directed Random Test Generation/Result/JacksonDatabind_28/result.json</x:v>
      </x:c>
      <x:c r="O2129" s="38" t="n">
        <x:f>IF(AND(G2129="RECORDED",ISNUMBER(H2129)),H2129,"")</x:f>
        <x:v>45.16</x:v>
      </x:c>
      <x:c r="P2129" s="34" t="str">
        <x:v>NOT_REVEALING</x:v>
      </x:c>
      <x:c r="Q2129" s="34" t="str">
        <x:v>Feedback-Directed Random Test Generation/Result/JacksonDatabind_28/result.json</x:v>
      </x:c>
    </x:row>
    <x:row r="2130">
      <x:c r="A2130" s="34" t="str">
        <x:v>randoop</x:v>
      </x:c>
      <x:c r="B2130" s="34" t="str">
        <x:v>JacksonDatabind</x:v>
      </x:c>
      <x:c r="C2130" s="34" t="str">
        <x:v>Round1</x:v>
      </x:c>
      <x:c r="D2130" s="34" t="str">
        <x:v>JacksonDatabind_29</x:v>
      </x:c>
      <x:c r="E2130" s="34" t="str">
        <x:v>Line</x:v>
      </x:c>
      <x:c r="F2130" s="34" t="n">
        <x:v>141</x:v>
      </x:c>
      <x:c r="G2130" s="34" t="str">
        <x:v>RECORDED</x:v>
      </x:c>
      <x:c r="H2130" s="38" t="n">
        <x:f>IF(ISNUMBER('Data'!H422),'Data'!H422*100,"")</x:f>
        <x:v>27.66</x:v>
      </x:c>
      <x:c r="I2130" s="34" t="str">
        <x:v>PASS</x:v>
      </x:c>
      <x:c r="J2130" s="34" t="str">
        <x:v>PASS</x:v>
      </x:c>
      <x:c r="K2130" s="34" t="str">
        <x:v>PASS</x:v>
      </x:c>
      <x:c r="L2130" s="34" t="str">
        <x:v>PASS</x:v>
      </x:c>
      <x:c r="M2130" s="34" t="str">
        <x:v>numeric coverage for applicable metric</x:v>
      </x:c>
      <x:c r="N2130" s="34" t="str">
        <x:v>Feedback-Directed Random Test Generation/Result/JacksonDatabind_29/result.json</x:v>
      </x:c>
      <x:c r="O2130" s="38" t="n">
        <x:f>IF(AND(G2130="RECORDED",ISNUMBER(H2130)),H2130,"")</x:f>
        <x:v>27.66</x:v>
      </x:c>
      <x:c r="P2130" s="34" t="str">
        <x:v>NOT_REVEALING</x:v>
      </x:c>
      <x:c r="Q2130" s="34" t="str">
        <x:v>Feedback-Directed Random Test Generation/Result/JacksonDatabind_29/result.json</x:v>
      </x:c>
    </x:row>
    <x:row r="2131">
      <x:c r="A2131" s="34" t="str">
        <x:v>randoop</x:v>
      </x:c>
      <x:c r="B2131" s="34" t="str">
        <x:v>JacksonDatabind</x:v>
      </x:c>
      <x:c r="C2131" s="34" t="str">
        <x:v>Round1</x:v>
      </x:c>
      <x:c r="D2131" s="34" t="str">
        <x:v>JacksonDatabind_30</x:v>
      </x:c>
      <x:c r="E2131" s="34" t="str">
        <x:v>Line</x:v>
      </x:c>
      <x:c r="F2131" s="34" t="n">
        <x:v>0</x:v>
      </x:c>
      <x:c r="G2131" s="34" t="str">
        <x:v>A</x:v>
      </x:c>
      <x:c r="H2131" s="38" t="str">
        <x:f>IF(ISNUMBER('Data'!H423),'Data'!H423*100,"")</x:f>
      </x:c>
      <x:c r="I2131" s="34"/>
      <x:c r="J2131" s="34"/>
      <x:c r="K2131" s="34"/>
      <x:c r="L2131" s="34" t="str">
        <x:v>NOT_RUN</x:v>
      </x:c>
      <x:c r="M2131" s="34" t="str">
        <x:v>Latest same-round generation failed; older files/results are excluded</x:v>
      </x:c>
      <x:c r="N2131" s="34" t="str">
        <x:v>Feedback-Directed Random Test Generation/report.csv</x:v>
      </x:c>
      <x:c r="O2131" s="38" t="str">
        <x:f>IF(AND(G2131="RECORDED",ISNUMBER(H2131)),H2131,"")</x:f>
      </x:c>
      <x:c r="P2131" s="34" t="str">
        <x:v>FAIL</x:v>
      </x:c>
      <x:c r="Q2131" s="34"/>
    </x:row>
    <x:row r="2132">
      <x:c r="A2132" s="34" t="str">
        <x:v>randoop</x:v>
      </x:c>
      <x:c r="B2132" s="34" t="str">
        <x:v>JacksonDatabind</x:v>
      </x:c>
      <x:c r="C2132" s="34" t="str">
        <x:v>Round1</x:v>
      </x:c>
      <x:c r="D2132" s="34" t="str">
        <x:v>JacksonDatabind_31</x:v>
      </x:c>
      <x:c r="E2132" s="34" t="str">
        <x:v>Line</x:v>
      </x:c>
      <x:c r="F2132" s="34" t="n">
        <x:v>655</x:v>
      </x:c>
      <x:c r="G2132" s="34" t="str">
        <x:v>RECORDED</x:v>
      </x:c>
      <x:c r="H2132" s="38" t="n">
        <x:f>IF(ISNUMBER('Data'!H424),'Data'!H424*100,"")</x:f>
        <x:v>77.86</x:v>
      </x:c>
      <x:c r="I2132" s="34" t="str">
        <x:v>PASS</x:v>
      </x:c>
      <x:c r="J2132" s="34" t="str">
        <x:v>PASS</x:v>
      </x:c>
      <x:c r="K2132" s="34" t="str">
        <x:v>PASS</x:v>
      </x:c>
      <x:c r="L2132" s="34" t="str">
        <x:v>PASS</x:v>
      </x:c>
      <x:c r="M2132" s="34" t="str">
        <x:v>numeric coverage for applicable metric</x:v>
      </x:c>
      <x:c r="N2132" s="34" t="str">
        <x:v>Feedback-Directed Random Test Generation/Result/JacksonDatabind_31/result.json</x:v>
      </x:c>
      <x:c r="O2132" s="38" t="n">
        <x:f>IF(AND(G2132="RECORDED",ISNUMBER(H2132)),H2132,"")</x:f>
        <x:v>77.86</x:v>
      </x:c>
      <x:c r="P2132" s="34" t="str">
        <x:v>NOT_REVEALING</x:v>
      </x:c>
      <x:c r="Q2132" s="34" t="str">
        <x:v>Feedback-Directed Random Test Generation/Result/JacksonDatabind_31/result.json</x:v>
      </x:c>
    </x:row>
    <x:row r="2133">
      <x:c r="A2133" s="34" t="str">
        <x:v>randoop</x:v>
      </x:c>
      <x:c r="B2133" s="34" t="str">
        <x:v>JacksonDatabind</x:v>
      </x:c>
      <x:c r="C2133" s="34" t="str">
        <x:v>Round1</x:v>
      </x:c>
      <x:c r="D2133" s="34" t="str">
        <x:v>JacksonDatabind_32</x:v>
      </x:c>
      <x:c r="E2133" s="34" t="str">
        <x:v>Line</x:v>
      </x:c>
      <x:c r="F2133" s="34" t="n">
        <x:v>262</x:v>
      </x:c>
      <x:c r="G2133" s="34" t="str">
        <x:v>RECORDED</x:v>
      </x:c>
      <x:c r="H2133" s="38" t="n">
        <x:f>IF(ISNUMBER('Data'!H425),'Data'!H425*100,"")</x:f>
        <x:v>14.12</x:v>
      </x:c>
      <x:c r="I2133" s="34" t="str">
        <x:v>PASS</x:v>
      </x:c>
      <x:c r="J2133" s="34" t="str">
        <x:v>PASS</x:v>
      </x:c>
      <x:c r="K2133" s="34" t="str">
        <x:v>PASS</x:v>
      </x:c>
      <x:c r="L2133" s="34" t="str">
        <x:v>FAIL</x:v>
      </x:c>
      <x:c r="M2133" s="34" t="str">
        <x:v>numeric coverage for applicable metric</x:v>
      </x:c>
      <x:c r="N2133" s="34" t="str">
        <x:v>Feedback-Directed Random Test Generation/Result/JacksonDatabind_32/result.json</x:v>
      </x:c>
      <x:c r="O2133" s="38" t="n">
        <x:f>IF(AND(G2133="RECORDED",ISNUMBER(H2133)),H2133,"")</x:f>
        <x:v>14.12</x:v>
      </x:c>
      <x:c r="P2133" s="34" t="str">
        <x:v>INCONCLUSIVE</x:v>
      </x:c>
      <x:c r="Q2133" s="34" t="str">
        <x:v>Feedback-Directed Random Test Generation/Result/JacksonDatabind_32/result.json</x:v>
      </x:c>
    </x:row>
    <x:row r="2134">
      <x:c r="A2134" s="34" t="str">
        <x:v>randoop</x:v>
      </x:c>
      <x:c r="B2134" s="34" t="str">
        <x:v>JacksonDatabind</x:v>
      </x:c>
      <x:c r="C2134" s="34" t="str">
        <x:v>Round1</x:v>
      </x:c>
      <x:c r="D2134" s="34" t="str">
        <x:v>JacksonDatabind_33</x:v>
      </x:c>
      <x:c r="E2134" s="34" t="str">
        <x:v>Line</x:v>
      </x:c>
      <x:c r="F2134" s="34" t="n">
        <x:v>368</x:v>
      </x:c>
      <x:c r="G2134" s="34" t="str">
        <x:v>RECORDED</x:v>
      </x:c>
      <x:c r="H2134" s="38" t="n">
        <x:f>IF(ISNUMBER('Data'!H426),'Data'!H426*100,"")</x:f>
        <x:v>19.57</x:v>
      </x:c>
      <x:c r="I2134" s="34" t="str">
        <x:v>PASS</x:v>
      </x:c>
      <x:c r="J2134" s="34" t="str">
        <x:v>PASS</x:v>
      </x:c>
      <x:c r="K2134" s="34" t="str">
        <x:v>PASS</x:v>
      </x:c>
      <x:c r="L2134" s="34" t="str">
        <x:v>PASS</x:v>
      </x:c>
      <x:c r="M2134" s="34" t="str">
        <x:v>numeric coverage for applicable metric</x:v>
      </x:c>
      <x:c r="N2134" s="34" t="str">
        <x:v>Feedback-Directed Random Test Generation/Result/JacksonDatabind_33/result.json</x:v>
      </x:c>
      <x:c r="O2134" s="38" t="n">
        <x:f>IF(AND(G2134="RECORDED",ISNUMBER(H2134)),H2134,"")</x:f>
        <x:v>19.57</x:v>
      </x:c>
      <x:c r="P2134" s="34" t="str">
        <x:v>NOT_REVEALING</x:v>
      </x:c>
      <x:c r="Q2134" s="34" t="str">
        <x:v>Feedback-Directed Random Test Generation/Result/JacksonDatabind_33/result.json</x:v>
      </x:c>
    </x:row>
    <x:row r="2135">
      <x:c r="A2135" s="34" t="str">
        <x:v>randoop</x:v>
      </x:c>
      <x:c r="B2135" s="34" t="str">
        <x:v>JacksonDatabind</x:v>
      </x:c>
      <x:c r="C2135" s="34" t="str">
        <x:v>Round1</x:v>
      </x:c>
      <x:c r="D2135" s="34" t="str">
        <x:v>JacksonDatabind_34</x:v>
      </x:c>
      <x:c r="E2135" s="34" t="str">
        <x:v>Line</x:v>
      </x:c>
      <x:c r="F2135" s="34" t="n">
        <x:v>29</x:v>
      </x:c>
      <x:c r="G2135" s="34" t="str">
        <x:v>RECORDED</x:v>
      </x:c>
      <x:c r="H2135" s="38" t="n">
        <x:f>IF(ISNUMBER('Data'!H427),'Data'!H427*100,"")</x:f>
        <x:v>75.86</x:v>
      </x:c>
      <x:c r="I2135" s="34" t="str">
        <x:v>PASS</x:v>
      </x:c>
      <x:c r="J2135" s="34" t="str">
        <x:v>PASS</x:v>
      </x:c>
      <x:c r="K2135" s="34" t="str">
        <x:v>PASS</x:v>
      </x:c>
      <x:c r="L2135" s="34" t="str">
        <x:v>PASS</x:v>
      </x:c>
      <x:c r="M2135" s="34" t="str">
        <x:v>numeric coverage for applicable metric</x:v>
      </x:c>
      <x:c r="N2135" s="34" t="str">
        <x:v>Feedback-Directed Random Test Generation/Result/JacksonDatabind_34/result.json</x:v>
      </x:c>
      <x:c r="O2135" s="38" t="n">
        <x:f>IF(AND(G2135="RECORDED",ISNUMBER(H2135)),H2135,"")</x:f>
        <x:v>75.86</x:v>
      </x:c>
      <x:c r="P2135" s="34" t="str">
        <x:v>NOT_REVEALING</x:v>
      </x:c>
      <x:c r="Q2135" s="34" t="str">
        <x:v>Feedback-Directed Random Test Generation/Result/JacksonDatabind_34/result.json</x:v>
      </x:c>
    </x:row>
    <x:row r="2136">
      <x:c r="A2136" s="34" t="str">
        <x:v>randoop</x:v>
      </x:c>
      <x:c r="B2136" s="34" t="str">
        <x:v>JacksonDatabind</x:v>
      </x:c>
      <x:c r="C2136" s="34" t="str">
        <x:v>Round1</x:v>
      </x:c>
      <x:c r="D2136" s="34" t="str">
        <x:v>JacksonDatabind_35</x:v>
      </x:c>
      <x:c r="E2136" s="34" t="str">
        <x:v>Line</x:v>
      </x:c>
      <x:c r="F2136" s="34" t="n">
        <x:v>34</x:v>
      </x:c>
      <x:c r="G2136" s="34" t="str">
        <x:v>RECORDED</x:v>
      </x:c>
      <x:c r="H2136" s="38" t="n">
        <x:f>IF(ISNUMBER('Data'!H428),'Data'!H428*100,"")</x:f>
        <x:v>2.94</x:v>
      </x:c>
      <x:c r="I2136" s="34" t="str">
        <x:v>PASS</x:v>
      </x:c>
      <x:c r="J2136" s="34" t="str">
        <x:v>PASS</x:v>
      </x:c>
      <x:c r="K2136" s="34" t="str">
        <x:v>PASS</x:v>
      </x:c>
      <x:c r="L2136" s="34" t="str">
        <x:v>PASS</x:v>
      </x:c>
      <x:c r="M2136" s="34" t="str">
        <x:v>numeric coverage for applicable metric</x:v>
      </x:c>
      <x:c r="N2136" s="34" t="str">
        <x:v>Feedback-Directed Random Test Generation/Result/JacksonDatabind_35/result.json</x:v>
      </x:c>
      <x:c r="O2136" s="38" t="n">
        <x:f>IF(AND(G2136="RECORDED",ISNUMBER(H2136)),H2136,"")</x:f>
        <x:v>2.94</x:v>
      </x:c>
      <x:c r="P2136" s="34" t="str">
        <x:v>NOT_REVEALING</x:v>
      </x:c>
      <x:c r="Q2136" s="34" t="str">
        <x:v>Feedback-Directed Random Test Generation/Result/JacksonDatabind_35/result.json</x:v>
      </x:c>
    </x:row>
    <x:row r="2137">
      <x:c r="A2137" s="34" t="str">
        <x:v>randoop</x:v>
      </x:c>
      <x:c r="B2137" s="34" t="str">
        <x:v>JacksonDatabind</x:v>
      </x:c>
      <x:c r="C2137" s="34" t="str">
        <x:v>Round1</x:v>
      </x:c>
      <x:c r="D2137" s="34" t="str">
        <x:v>JacksonDatabind_36</x:v>
      </x:c>
      <x:c r="E2137" s="34" t="str">
        <x:v>Line</x:v>
      </x:c>
      <x:c r="F2137" s="34" t="n">
        <x:v>193</x:v>
      </x:c>
      <x:c r="G2137" s="34" t="str">
        <x:v>RECORDED</x:v>
      </x:c>
      <x:c r="H2137" s="38" t="n">
        <x:f>IF(ISNUMBER('Data'!H429),'Data'!H429*100,"")</x:f>
        <x:v>87.56</x:v>
      </x:c>
      <x:c r="I2137" s="34" t="str">
        <x:v>PASS</x:v>
      </x:c>
      <x:c r="J2137" s="34" t="str">
        <x:v>PASS</x:v>
      </x:c>
      <x:c r="K2137" s="34" t="str">
        <x:v>PASS</x:v>
      </x:c>
      <x:c r="L2137" s="34" t="str">
        <x:v>FAIL</x:v>
      </x:c>
      <x:c r="M2137" s="34" t="str">
        <x:v>numeric coverage for applicable metric</x:v>
      </x:c>
      <x:c r="N2137" s="34" t="str">
        <x:v>Feedback-Directed Random Test Generation/Result/JacksonDatabind_36/result.json</x:v>
      </x:c>
      <x:c r="O2137" s="38" t="n">
        <x:f>IF(AND(G2137="RECORDED",ISNUMBER(H2137)),H2137,"")</x:f>
        <x:v>87.56</x:v>
      </x:c>
      <x:c r="P2137" s="34" t="str">
        <x:v>INCONCLUSIVE</x:v>
      </x:c>
      <x:c r="Q2137" s="34" t="str">
        <x:v>Feedback-Directed Random Test Generation/Result/JacksonDatabind_36/result.json</x:v>
      </x:c>
    </x:row>
    <x:row r="2138">
      <x:c r="A2138" s="34" t="str">
        <x:v>randoop</x:v>
      </x:c>
      <x:c r="B2138" s="34" t="str">
        <x:v>JacksonDatabind</x:v>
      </x:c>
      <x:c r="C2138" s="34" t="str">
        <x:v>Round1</x:v>
      </x:c>
      <x:c r="D2138" s="34" t="str">
        <x:v>JacksonDatabind_37</x:v>
      </x:c>
      <x:c r="E2138" s="34" t="str">
        <x:v>Line</x:v>
      </x:c>
      <x:c r="F2138" s="34" t="n">
        <x:v>67</x:v>
      </x:c>
      <x:c r="G2138" s="34" t="str">
        <x:v>RECORDED</x:v>
      </x:c>
      <x:c r="H2138" s="38" t="n">
        <x:f>IF(ISNUMBER('Data'!H430),'Data'!H430*100,"")</x:f>
        <x:v>0</x:v>
      </x:c>
      <x:c r="I2138" s="34" t="str">
        <x:v>PASS</x:v>
      </x:c>
      <x:c r="J2138" s="34" t="str">
        <x:v>PASS</x:v>
      </x:c>
      <x:c r="K2138" s="34" t="str">
        <x:v>PASS</x:v>
      </x:c>
      <x:c r="L2138" s="34" t="str">
        <x:v>PASS</x:v>
      </x:c>
      <x:c r="M2138" s="34" t="str">
        <x:v>numeric coverage for applicable metric</x:v>
      </x:c>
      <x:c r="N2138" s="34" t="str">
        <x:v>Feedback-Directed Random Test Generation/Result/JacksonDatabind_37/result.json</x:v>
      </x:c>
      <x:c r="O2138" s="38" t="n">
        <x:f>IF(AND(G2138="RECORDED",ISNUMBER(H2138)),H2138,"")</x:f>
        <x:v>0</x:v>
      </x:c>
      <x:c r="P2138" s="34" t="str">
        <x:v>NOT_REVEALING</x:v>
      </x:c>
      <x:c r="Q2138" s="34" t="str">
        <x:v>Feedback-Directed Random Test Generation/Result/JacksonDatabind_37/result.json</x:v>
      </x:c>
    </x:row>
    <x:row r="2139">
      <x:c r="A2139" s="34" t="str">
        <x:v>randoop</x:v>
      </x:c>
      <x:c r="B2139" s="34" t="str">
        <x:v>JacksonDatabind</x:v>
      </x:c>
      <x:c r="C2139" s="34" t="str">
        <x:v>Round1</x:v>
      </x:c>
      <x:c r="D2139" s="34" t="str">
        <x:v>JacksonDatabind_38</x:v>
      </x:c>
      <x:c r="E2139" s="34" t="str">
        <x:v>Line</x:v>
      </x:c>
      <x:c r="F2139" s="34" t="n">
        <x:v>122</x:v>
      </x:c>
      <x:c r="G2139" s="34" t="str">
        <x:v>RECORDED</x:v>
      </x:c>
      <x:c r="H2139" s="38" t="n">
        <x:f>IF(ISNUMBER('Data'!H431),'Data'!H431*100,"")</x:f>
        <x:v>2.46</x:v>
      </x:c>
      <x:c r="I2139" s="34" t="str">
        <x:v>PASS</x:v>
      </x:c>
      <x:c r="J2139" s="34" t="str">
        <x:v>PASS</x:v>
      </x:c>
      <x:c r="K2139" s="34" t="str">
        <x:v>PASS</x:v>
      </x:c>
      <x:c r="L2139" s="34" t="str">
        <x:v>PASS</x:v>
      </x:c>
      <x:c r="M2139" s="34" t="str">
        <x:v>numeric coverage for applicable metric</x:v>
      </x:c>
      <x:c r="N2139" s="34" t="str">
        <x:v>Feedback-Directed Random Test Generation/Result/JacksonDatabind_38/result.json</x:v>
      </x:c>
      <x:c r="O2139" s="38" t="n">
        <x:f>IF(AND(G2139="RECORDED",ISNUMBER(H2139)),H2139,"")</x:f>
        <x:v>2.46</x:v>
      </x:c>
      <x:c r="P2139" s="34" t="str">
        <x:v>NOT_REVEALING</x:v>
      </x:c>
      <x:c r="Q2139" s="34" t="str">
        <x:v>Feedback-Directed Random Test Generation/Result/JacksonDatabind_38/result.json</x:v>
      </x:c>
    </x:row>
    <x:row r="2140">
      <x:c r="A2140" s="34" t="str">
        <x:v>randoop</x:v>
      </x:c>
      <x:c r="B2140" s="34" t="str">
        <x:v>JacksonDatabind</x:v>
      </x:c>
      <x:c r="C2140" s="34" t="str">
        <x:v>Round1</x:v>
      </x:c>
      <x:c r="D2140" s="34" t="str">
        <x:v>JacksonDatabind_39</x:v>
      </x:c>
      <x:c r="E2140" s="34" t="str">
        <x:v>Line</x:v>
      </x:c>
      <x:c r="F2140" s="34" t="n">
        <x:v>7</x:v>
      </x:c>
      <x:c r="G2140" s="34" t="str">
        <x:v>RECORDED</x:v>
      </x:c>
      <x:c r="H2140" s="38" t="n">
        <x:f>IF(ISNUMBER('Data'!H432),'Data'!H432*100,"")</x:f>
        <x:v>28.57</x:v>
      </x:c>
      <x:c r="I2140" s="34" t="str">
        <x:v>PASS</x:v>
      </x:c>
      <x:c r="J2140" s="34" t="str">
        <x:v>PASS</x:v>
      </x:c>
      <x:c r="K2140" s="34" t="str">
        <x:v>PASS</x:v>
      </x:c>
      <x:c r="L2140" s="34" t="str">
        <x:v>PASS</x:v>
      </x:c>
      <x:c r="M2140" s="34" t="str">
        <x:v>numeric coverage for applicable metric</x:v>
      </x:c>
      <x:c r="N2140" s="34" t="str">
        <x:v>Feedback-Directed Random Test Generation/Result/JacksonDatabind_39/result.json</x:v>
      </x:c>
      <x:c r="O2140" s="38" t="n">
        <x:f>IF(AND(G2140="RECORDED",ISNUMBER(H2140)),H2140,"")</x:f>
        <x:v>28.57</x:v>
      </x:c>
      <x:c r="P2140" s="34" t="str">
        <x:v>NOT_REVEALING</x:v>
      </x:c>
      <x:c r="Q2140" s="34" t="str">
        <x:v>Feedback-Directed Random Test Generation/Result/JacksonDatabind_39/result.json</x:v>
      </x:c>
    </x:row>
    <x:row r="2141">
      <x:c r="A2141" s="34" t="str">
        <x:v>randoop</x:v>
      </x:c>
      <x:c r="B2141" s="34" t="str">
        <x:v>JacksonDatabind</x:v>
      </x:c>
      <x:c r="C2141" s="34" t="str">
        <x:v>Round1</x:v>
      </x:c>
      <x:c r="D2141" s="34" t="str">
        <x:v>JacksonDatabind_40</x:v>
      </x:c>
      <x:c r="E2141" s="34" t="str">
        <x:v>Line</x:v>
      </x:c>
      <x:c r="F2141" s="34" t="n">
        <x:v>219</x:v>
      </x:c>
      <x:c r="G2141" s="34" t="str">
        <x:v>RECORDED</x:v>
      </x:c>
      <x:c r="H2141" s="38" t="n">
        <x:f>IF(ISNUMBER('Data'!H433),'Data'!H433*100,"")</x:f>
        <x:v>31.96</x:v>
      </x:c>
      <x:c r="I2141" s="34" t="str">
        <x:v>PASS</x:v>
      </x:c>
      <x:c r="J2141" s="34" t="str">
        <x:v>PASS</x:v>
      </x:c>
      <x:c r="K2141" s="34" t="str">
        <x:v>PASS</x:v>
      </x:c>
      <x:c r="L2141" s="34" t="str">
        <x:v>PASS</x:v>
      </x:c>
      <x:c r="M2141" s="34" t="str">
        <x:v>numeric coverage for applicable metric</x:v>
      </x:c>
      <x:c r="N2141" s="34" t="str">
        <x:v>Feedback-Directed Random Test Generation/Result/JacksonDatabind_40/result.json</x:v>
      </x:c>
      <x:c r="O2141" s="38" t="n">
        <x:f>IF(AND(G2141="RECORDED",ISNUMBER(H2141)),H2141,"")</x:f>
        <x:v>31.96</x:v>
      </x:c>
      <x:c r="P2141" s="34" t="str">
        <x:v>INCONCLUSIVE</x:v>
      </x:c>
      <x:c r="Q2141" s="34" t="str">
        <x:v>Feedback-Directed Random Test Generation/Result/JacksonDatabind_40/result.json</x:v>
      </x:c>
    </x:row>
    <x:row r="2142">
      <x:c r="A2142" s="34" t="str">
        <x:v>randoop</x:v>
      </x:c>
      <x:c r="B2142" s="34" t="str">
        <x:v>JacksonDatabind</x:v>
      </x:c>
      <x:c r="C2142" s="34" t="str">
        <x:v>Round1</x:v>
      </x:c>
      <x:c r="D2142" s="34" t="str">
        <x:v>JacksonDatabind_41</x:v>
      </x:c>
      <x:c r="E2142" s="34" t="str">
        <x:v>Line</x:v>
      </x:c>
      <x:c r="F2142" s="34" t="n">
        <x:v>339</x:v>
      </x:c>
      <x:c r="G2142" s="34" t="str">
        <x:v>RECORDED</x:v>
      </x:c>
      <x:c r="H2142" s="38" t="n">
        <x:f>IF(ISNUMBER('Data'!H434),'Data'!H434*100,"")</x:f>
        <x:v>24.78</x:v>
      </x:c>
      <x:c r="I2142" s="34" t="str">
        <x:v>PASS</x:v>
      </x:c>
      <x:c r="J2142" s="34" t="str">
        <x:v>PASS</x:v>
      </x:c>
      <x:c r="K2142" s="34" t="str">
        <x:v>PASS</x:v>
      </x:c>
      <x:c r="L2142" s="34" t="str">
        <x:v>PASS</x:v>
      </x:c>
      <x:c r="M2142" s="34" t="str">
        <x:v>numeric coverage for applicable metric</x:v>
      </x:c>
      <x:c r="N2142" s="34" t="str">
        <x:v>Feedback-Directed Random Test Generation/Result/JacksonDatabind_41/result.json</x:v>
      </x:c>
      <x:c r="O2142" s="38" t="n">
        <x:f>IF(AND(G2142="RECORDED",ISNUMBER(H2142)),H2142,"")</x:f>
        <x:v>24.78</x:v>
      </x:c>
      <x:c r="P2142" s="34" t="str">
        <x:v>NOT_REVEALING</x:v>
      </x:c>
      <x:c r="Q2142" s="34" t="str">
        <x:v>Feedback-Directed Random Test Generation/Result/JacksonDatabind_41/result.json</x:v>
      </x:c>
    </x:row>
    <x:row r="2143">
      <x:c r="A2143" s="34" t="str">
        <x:v>randoop</x:v>
      </x:c>
      <x:c r="B2143" s="34" t="str">
        <x:v>JacksonDatabind</x:v>
      </x:c>
      <x:c r="C2143" s="34" t="str">
        <x:v>Round1</x:v>
      </x:c>
      <x:c r="D2143" s="34" t="str">
        <x:v>JacksonDatabind_42</x:v>
      </x:c>
      <x:c r="E2143" s="34" t="str">
        <x:v>Line</x:v>
      </x:c>
      <x:c r="F2143" s="34" t="n">
        <x:v>110</x:v>
      </x:c>
      <x:c r="G2143" s="34" t="str">
        <x:v>RECORDED</x:v>
      </x:c>
      <x:c r="H2143" s="38" t="n">
        <x:f>IF(ISNUMBER('Data'!H435),'Data'!H435*100,"")</x:f>
        <x:v>0.91</x:v>
      </x:c>
      <x:c r="I2143" s="34" t="str">
        <x:v>PASS</x:v>
      </x:c>
      <x:c r="J2143" s="34" t="str">
        <x:v>PASS</x:v>
      </x:c>
      <x:c r="K2143" s="34" t="str">
        <x:v>PASS</x:v>
      </x:c>
      <x:c r="L2143" s="34" t="str">
        <x:v>PASS</x:v>
      </x:c>
      <x:c r="M2143" s="34" t="str">
        <x:v>numeric coverage for applicable metric</x:v>
      </x:c>
      <x:c r="N2143" s="34" t="str">
        <x:v>Feedback-Directed Random Test Generation/Result/JacksonDatabind_42/result.json</x:v>
      </x:c>
      <x:c r="O2143" s="38" t="n">
        <x:f>IF(AND(G2143="RECORDED",ISNUMBER(H2143)),H2143,"")</x:f>
        <x:v>0.91</x:v>
      </x:c>
      <x:c r="P2143" s="34" t="str">
        <x:v>NOT_REVEALING</x:v>
      </x:c>
      <x:c r="Q2143" s="34" t="str">
        <x:v>Feedback-Directed Random Test Generation/Result/JacksonDatabind_42/result.json</x:v>
      </x:c>
    </x:row>
    <x:row r="2144">
      <x:c r="A2144" s="34" t="str">
        <x:v>randoop</x:v>
      </x:c>
      <x:c r="B2144" s="34" t="str">
        <x:v>JacksonDatabind</x:v>
      </x:c>
      <x:c r="C2144" s="34" t="str">
        <x:v>Round1</x:v>
      </x:c>
      <x:c r="D2144" s="34" t="str">
        <x:v>JacksonDatabind_43</x:v>
      </x:c>
      <x:c r="E2144" s="34" t="str">
        <x:v>Line</x:v>
      </x:c>
      <x:c r="F2144" s="34" t="n">
        <x:v>32</x:v>
      </x:c>
      <x:c r="G2144" s="34" t="str">
        <x:v>RECORDED</x:v>
      </x:c>
      <x:c r="H2144" s="38" t="n">
        <x:f>IF(ISNUMBER('Data'!H436),'Data'!H436*100,"")</x:f>
        <x:v>6.25</x:v>
      </x:c>
      <x:c r="I2144" s="34" t="str">
        <x:v>PASS</x:v>
      </x:c>
      <x:c r="J2144" s="34" t="str">
        <x:v>PASS</x:v>
      </x:c>
      <x:c r="K2144" s="34" t="str">
        <x:v>PASS</x:v>
      </x:c>
      <x:c r="L2144" s="34" t="str">
        <x:v>PASS</x:v>
      </x:c>
      <x:c r="M2144" s="34" t="str">
        <x:v>numeric coverage for applicable metric</x:v>
      </x:c>
      <x:c r="N2144" s="34" t="str">
        <x:v>Feedback-Directed Random Test Generation/Result/JacksonDatabind_43/result.json</x:v>
      </x:c>
      <x:c r="O2144" s="38" t="n">
        <x:f>IF(AND(G2144="RECORDED",ISNUMBER(H2144)),H2144,"")</x:f>
        <x:v>6.25</x:v>
      </x:c>
      <x:c r="P2144" s="34" t="str">
        <x:v>NOT_REVEALING</x:v>
      </x:c>
      <x:c r="Q2144" s="34" t="str">
        <x:v>Feedback-Directed Random Test Generation/Result/JacksonDatabind_43/result.json</x:v>
      </x:c>
    </x:row>
    <x:row r="2145">
      <x:c r="A2145" s="34" t="str">
        <x:v>randoop</x:v>
      </x:c>
      <x:c r="B2145" s="34" t="str">
        <x:v>JacksonDatabind</x:v>
      </x:c>
      <x:c r="C2145" s="34" t="str">
        <x:v>Round1</x:v>
      </x:c>
      <x:c r="D2145" s="34" t="str">
        <x:v>JacksonDatabind_44</x:v>
      </x:c>
      <x:c r="E2145" s="34" t="str">
        <x:v>Line</x:v>
      </x:c>
      <x:c r="F2145" s="34" t="n">
        <x:v>75</x:v>
      </x:c>
      <x:c r="G2145" s="34" t="str">
        <x:v>RECORDED</x:v>
      </x:c>
      <x:c r="H2145" s="38" t="n">
        <x:f>IF(ISNUMBER('Data'!H437),'Data'!H437*100,"")</x:f>
        <x:v>0</x:v>
      </x:c>
      <x:c r="I2145" s="34" t="str">
        <x:v>PASS</x:v>
      </x:c>
      <x:c r="J2145" s="34" t="str">
        <x:v>PASS</x:v>
      </x:c>
      <x:c r="K2145" s="34" t="str">
        <x:v>PASS</x:v>
      </x:c>
      <x:c r="L2145" s="34" t="str">
        <x:v>PASS</x:v>
      </x:c>
      <x:c r="M2145" s="34" t="str">
        <x:v>numeric coverage for applicable metric</x:v>
      </x:c>
      <x:c r="N2145" s="34" t="str">
        <x:v>Feedback-Directed Random Test Generation/Result/JacksonDatabind_44/result.json</x:v>
      </x:c>
      <x:c r="O2145" s="38" t="n">
        <x:f>IF(AND(G2145="RECORDED",ISNUMBER(H2145)),H2145,"")</x:f>
        <x:v>0</x:v>
      </x:c>
      <x:c r="P2145" s="34" t="str">
        <x:v>NOT_REVEALING</x:v>
      </x:c>
      <x:c r="Q2145" s="34" t="str">
        <x:v>Feedback-Directed Random Test Generation/Result/JacksonDatabind_44/result.json</x:v>
      </x:c>
    </x:row>
    <x:row r="2146">
      <x:c r="A2146" s="34" t="str">
        <x:v>randoop</x:v>
      </x:c>
      <x:c r="B2146" s="34" t="str">
        <x:v>JacksonDatabind</x:v>
      </x:c>
      <x:c r="C2146" s="34" t="str">
        <x:v>Round1</x:v>
      </x:c>
      <x:c r="D2146" s="34" t="str">
        <x:v>JacksonDatabind_45</x:v>
      </x:c>
      <x:c r="E2146" s="34" t="str">
        <x:v>Line</x:v>
      </x:c>
      <x:c r="F2146" s="34" t="n">
        <x:v>40</x:v>
      </x:c>
      <x:c r="G2146" s="34" t="str">
        <x:v>RECORDED</x:v>
      </x:c>
      <x:c r="H2146" s="38" t="n">
        <x:f>IF(ISNUMBER('Data'!H438),'Data'!H438*100,"")</x:f>
        <x:v>0</x:v>
      </x:c>
      <x:c r="I2146" s="34" t="str">
        <x:v>PASS</x:v>
      </x:c>
      <x:c r="J2146" s="34" t="str">
        <x:v>PASS</x:v>
      </x:c>
      <x:c r="K2146" s="34" t="str">
        <x:v>PASS</x:v>
      </x:c>
      <x:c r="L2146" s="34" t="str">
        <x:v>PASS</x:v>
      </x:c>
      <x:c r="M2146" s="34" t="str">
        <x:v>numeric coverage for applicable metric</x:v>
      </x:c>
      <x:c r="N2146" s="34" t="str">
        <x:v>Feedback-Directed Random Test Generation/Result/JacksonDatabind_45/result.json</x:v>
      </x:c>
      <x:c r="O2146" s="38" t="n">
        <x:f>IF(AND(G2146="RECORDED",ISNUMBER(H2146)),H2146,"")</x:f>
        <x:v>0</x:v>
      </x:c>
      <x:c r="P2146" s="34" t="str">
        <x:v>NOT_REVEALING</x:v>
      </x:c>
      <x:c r="Q2146" s="34" t="str">
        <x:v>Feedback-Directed Random Test Generation/Result/JacksonDatabind_45/result.json</x:v>
      </x:c>
    </x:row>
    <x:row r="2147">
      <x:c r="A2147" s="34" t="str">
        <x:v>randoop</x:v>
      </x:c>
      <x:c r="B2147" s="34" t="str">
        <x:v>JacksonDatabind</x:v>
      </x:c>
      <x:c r="C2147" s="34" t="str">
        <x:v>Round1</x:v>
      </x:c>
      <x:c r="D2147" s="34" t="str">
        <x:v>JacksonDatabind_46</x:v>
      </x:c>
      <x:c r="E2147" s="34" t="str">
        <x:v>Line</x:v>
      </x:c>
      <x:c r="F2147" s="34" t="n">
        <x:v>52</x:v>
      </x:c>
      <x:c r="G2147" s="34" t="str">
        <x:v>RECORDED</x:v>
      </x:c>
      <x:c r="H2147" s="38" t="n">
        <x:f>IF(ISNUMBER('Data'!H439),'Data'!H439*100,"")</x:f>
        <x:v>0</x:v>
      </x:c>
      <x:c r="I2147" s="34" t="str">
        <x:v>PASS</x:v>
      </x:c>
      <x:c r="J2147" s="34" t="str">
        <x:v>PASS</x:v>
      </x:c>
      <x:c r="K2147" s="34" t="str">
        <x:v>PASS</x:v>
      </x:c>
      <x:c r="L2147" s="34" t="str">
        <x:v>PASS</x:v>
      </x:c>
      <x:c r="M2147" s="34" t="str">
        <x:v>numeric coverage for applicable metric</x:v>
      </x:c>
      <x:c r="N2147" s="34" t="str">
        <x:v>Feedback-Directed Random Test Generation/Result/JacksonDatabind_46/result.json</x:v>
      </x:c>
      <x:c r="O2147" s="38" t="n">
        <x:f>IF(AND(G2147="RECORDED",ISNUMBER(H2147)),H2147,"")</x:f>
        <x:v>0</x:v>
      </x:c>
      <x:c r="P2147" s="34" t="str">
        <x:v>NOT_REVEALING</x:v>
      </x:c>
      <x:c r="Q2147" s="34" t="str">
        <x:v>Feedback-Directed Random Test Generation/Result/JacksonDatabind_46/result.json</x:v>
      </x:c>
    </x:row>
    <x:row r="2148">
      <x:c r="A2148" s="34" t="str">
        <x:v>randoop</x:v>
      </x:c>
      <x:c r="B2148" s="34" t="str">
        <x:v>JacksonDatabind</x:v>
      </x:c>
      <x:c r="C2148" s="34" t="str">
        <x:v>Round1</x:v>
      </x:c>
      <x:c r="D2148" s="34" t="str">
        <x:v>JacksonDatabind_47</x:v>
      </x:c>
      <x:c r="E2148" s="34" t="str">
        <x:v>Line</x:v>
      </x:c>
      <x:c r="F2148" s="34" t="n">
        <x:v>0</x:v>
      </x:c>
      <x:c r="G2148" s="34" t="str">
        <x:v>A</x:v>
      </x:c>
      <x:c r="H2148" s="38" t="str">
        <x:f>IF(ISNUMBER('Data'!H440),'Data'!H440*100,"")</x:f>
      </x:c>
      <x:c r="I2148" s="34"/>
      <x:c r="J2148" s="34"/>
      <x:c r="K2148" s="34"/>
      <x:c r="L2148" s="34" t="str">
        <x:v>NOT_RUN</x:v>
      </x:c>
      <x:c r="M2148" s="34" t="str">
        <x:v>Latest same-round generation failed; older files/results are excluded</x:v>
      </x:c>
      <x:c r="N2148" s="34" t="str">
        <x:v>Feedback-Directed Random Test Generation/report.csv</x:v>
      </x:c>
      <x:c r="O2148" s="38" t="str">
        <x:f>IF(AND(G2148="RECORDED",ISNUMBER(H2148)),H2148,"")</x:f>
      </x:c>
      <x:c r="P2148" s="34" t="str">
        <x:v>FAIL</x:v>
      </x:c>
      <x:c r="Q2148" s="34"/>
    </x:row>
    <x:row r="2149">
      <x:c r="A2149" s="34" t="str">
        <x:v>randoop</x:v>
      </x:c>
      <x:c r="B2149" s="34" t="str">
        <x:v>JacksonDatabind</x:v>
      </x:c>
      <x:c r="C2149" s="34" t="str">
        <x:v>Round1</x:v>
      </x:c>
      <x:c r="D2149" s="34" t="str">
        <x:v>JacksonDatabind_48</x:v>
      </x:c>
      <x:c r="E2149" s="34" t="str">
        <x:v>Line</x:v>
      </x:c>
      <x:c r="F2149" s="34" t="n">
        <x:v>569</x:v>
      </x:c>
      <x:c r="G2149" s="34" t="str">
        <x:v>RECORDED</x:v>
      </x:c>
      <x:c r="H2149" s="38" t="n">
        <x:f>IF(ISNUMBER('Data'!H441),'Data'!H441*100,"")</x:f>
        <x:v>57.47</x:v>
      </x:c>
      <x:c r="I2149" s="34" t="str">
        <x:v>PASS</x:v>
      </x:c>
      <x:c r="J2149" s="34" t="str">
        <x:v>PASS</x:v>
      </x:c>
      <x:c r="K2149" s="34" t="str">
        <x:v>PASS</x:v>
      </x:c>
      <x:c r="L2149" s="34" t="str">
        <x:v>PASS</x:v>
      </x:c>
      <x:c r="M2149" s="34" t="str">
        <x:v>numeric coverage for applicable metric</x:v>
      </x:c>
      <x:c r="N2149" s="34" t="str">
        <x:v>Feedback-Directed Random Test Generation/Result/JacksonDatabind_48/result.json</x:v>
      </x:c>
      <x:c r="O2149" s="38" t="n">
        <x:f>IF(AND(G2149="RECORDED",ISNUMBER(H2149)),H2149,"")</x:f>
        <x:v>57.47</x:v>
      </x:c>
      <x:c r="P2149" s="34" t="str">
        <x:v>NOT_REVEALING</x:v>
      </x:c>
      <x:c r="Q2149" s="34" t="str">
        <x:v>Feedback-Directed Random Test Generation/Result/JacksonDatabind_48/result.json</x:v>
      </x:c>
    </x:row>
    <x:row r="2150">
      <x:c r="A2150" s="34" t="str">
        <x:v>randoop</x:v>
      </x:c>
      <x:c r="B2150" s="34" t="str">
        <x:v>JacksonDatabind</x:v>
      </x:c>
      <x:c r="C2150" s="34" t="str">
        <x:v>Round1</x:v>
      </x:c>
      <x:c r="D2150" s="34" t="str">
        <x:v>JacksonDatabind_49</x:v>
      </x:c>
      <x:c r="E2150" s="34" t="str">
        <x:v>Line</x:v>
      </x:c>
      <x:c r="F2150" s="34" t="n">
        <x:v>21</x:v>
      </x:c>
      <x:c r="G2150" s="34" t="str">
        <x:v>RECORDED</x:v>
      </x:c>
      <x:c r="H2150" s="38" t="n">
        <x:f>IF(ISNUMBER('Data'!H442),'Data'!H442*100,"")</x:f>
        <x:v>0</x:v>
      </x:c>
      <x:c r="I2150" s="34" t="str">
        <x:v>PASS</x:v>
      </x:c>
      <x:c r="J2150" s="34" t="str">
        <x:v>PASS</x:v>
      </x:c>
      <x:c r="K2150" s="34" t="str">
        <x:v>PASS</x:v>
      </x:c>
      <x:c r="L2150" s="34" t="str">
        <x:v>PASS</x:v>
      </x:c>
      <x:c r="M2150" s="34" t="str">
        <x:v>numeric coverage for applicable metric</x:v>
      </x:c>
      <x:c r="N2150" s="34" t="str">
        <x:v>Feedback-Directed Random Test Generation/Result/JacksonDatabind_49/result.json</x:v>
      </x:c>
      <x:c r="O2150" s="38" t="n">
        <x:f>IF(AND(G2150="RECORDED",ISNUMBER(H2150)),H2150,"")</x:f>
        <x:v>0</x:v>
      </x:c>
      <x:c r="P2150" s="34" t="str">
        <x:v>NOT_REVEALING</x:v>
      </x:c>
      <x:c r="Q2150" s="34" t="str">
        <x:v>Feedback-Directed Random Test Generation/Result/JacksonDatabind_49/result.json</x:v>
      </x:c>
    </x:row>
    <x:row r="2151">
      <x:c r="A2151" s="34" t="str">
        <x:v>randoop</x:v>
      </x:c>
      <x:c r="B2151" s="34" t="str">
        <x:v>JacksonDatabind</x:v>
      </x:c>
      <x:c r="C2151" s="34" t="str">
        <x:v>Round1</x:v>
      </x:c>
      <x:c r="D2151" s="34" t="str">
        <x:v>JacksonDatabind_50</x:v>
      </x:c>
      <x:c r="E2151" s="34" t="str">
        <x:v>Line</x:v>
      </x:c>
      <x:c r="F2151" s="34" t="n">
        <x:v>411</x:v>
      </x:c>
      <x:c r="G2151" s="34" t="str">
        <x:v>RECORDED</x:v>
      </x:c>
      <x:c r="H2151" s="38" t="n">
        <x:f>IF(ISNUMBER('Data'!H443),'Data'!H443*100,"")</x:f>
        <x:v>1.7000000000000002</x:v>
      </x:c>
      <x:c r="I2151" s="34" t="str">
        <x:v>PASS</x:v>
      </x:c>
      <x:c r="J2151" s="34" t="str">
        <x:v>PASS</x:v>
      </x:c>
      <x:c r="K2151" s="34" t="str">
        <x:v>PASS</x:v>
      </x:c>
      <x:c r="L2151" s="34" t="str">
        <x:v>PASS</x:v>
      </x:c>
      <x:c r="M2151" s="34" t="str">
        <x:v>numeric coverage for applicable metric</x:v>
      </x:c>
      <x:c r="N2151" s="34" t="str">
        <x:v>Feedback-Directed Random Test Generation/Result/JacksonDatabind_50/result.json</x:v>
      </x:c>
      <x:c r="O2151" s="38" t="n">
        <x:f>IF(AND(G2151="RECORDED",ISNUMBER(H2151)),H2151,"")</x:f>
        <x:v>1.7000000000000002</x:v>
      </x:c>
      <x:c r="P2151" s="34" t="str">
        <x:v>NOT_REVEALING</x:v>
      </x:c>
      <x:c r="Q2151" s="34" t="str">
        <x:v>Feedback-Directed Random Test Generation/Result/JacksonDatabind_50/result.json</x:v>
      </x:c>
    </x:row>
    <x:row r="2152">
      <x:c r="A2152" s="34" t="str">
        <x:v>randoop</x:v>
      </x:c>
      <x:c r="B2152" s="34" t="str">
        <x:v>JacksonDatabind</x:v>
      </x:c>
      <x:c r="C2152" s="34" t="str">
        <x:v>Round1</x:v>
      </x:c>
      <x:c r="D2152" s="34" t="str">
        <x:v>JacksonDatabind_51</x:v>
      </x:c>
      <x:c r="E2152" s="34" t="str">
        <x:v>Line</x:v>
      </x:c>
      <x:c r="F2152" s="34" t="n">
        <x:v>74</x:v>
      </x:c>
      <x:c r="G2152" s="34" t="str">
        <x:v>RECORDED</x:v>
      </x:c>
      <x:c r="H2152" s="38" t="n">
        <x:f>IF(ISNUMBER('Data'!H444),'Data'!H444*100,"")</x:f>
        <x:v>0</x:v>
      </x:c>
      <x:c r="I2152" s="34" t="str">
        <x:v>PASS</x:v>
      </x:c>
      <x:c r="J2152" s="34" t="str">
        <x:v>PASS</x:v>
      </x:c>
      <x:c r="K2152" s="34" t="str">
        <x:v>PASS</x:v>
      </x:c>
      <x:c r="L2152" s="34" t="str">
        <x:v>PASS</x:v>
      </x:c>
      <x:c r="M2152" s="34" t="str">
        <x:v>numeric coverage for applicable metric</x:v>
      </x:c>
      <x:c r="N2152" s="34" t="str">
        <x:v>Feedback-Directed Random Test Generation/Result/JacksonDatabind_51/result.json</x:v>
      </x:c>
      <x:c r="O2152" s="38" t="n">
        <x:f>IF(AND(G2152="RECORDED",ISNUMBER(H2152)),H2152,"")</x:f>
        <x:v>0</x:v>
      </x:c>
      <x:c r="P2152" s="34" t="str">
        <x:v>NOT_REVEALING</x:v>
      </x:c>
      <x:c r="Q2152" s="34" t="str">
        <x:v>Feedback-Directed Random Test Generation/Result/JacksonDatabind_51/result.json</x:v>
      </x:c>
    </x:row>
    <x:row r="2153">
      <x:c r="A2153" s="34" t="str">
        <x:v>randoop</x:v>
      </x:c>
      <x:c r="B2153" s="34" t="str">
        <x:v>JacksonDatabind</x:v>
      </x:c>
      <x:c r="C2153" s="34" t="str">
        <x:v>Round1</x:v>
      </x:c>
      <x:c r="D2153" s="34" t="str">
        <x:v>JacksonDatabind_52</x:v>
      </x:c>
      <x:c r="E2153" s="34" t="str">
        <x:v>Line</x:v>
      </x:c>
      <x:c r="F2153" s="34" t="n">
        <x:v>738</x:v>
      </x:c>
      <x:c r="G2153" s="34" t="str">
        <x:v>RECORDED</x:v>
      </x:c>
      <x:c r="H2153" s="38" t="n">
        <x:f>IF(ISNUMBER('Data'!H445),'Data'!H445*100,"")</x:f>
        <x:v>5.01</x:v>
      </x:c>
      <x:c r="I2153" s="34" t="str">
        <x:v>PASS</x:v>
      </x:c>
      <x:c r="J2153" s="34" t="str">
        <x:v>PASS</x:v>
      </x:c>
      <x:c r="K2153" s="34" t="str">
        <x:v>PASS</x:v>
      </x:c>
      <x:c r="L2153" s="34" t="str">
        <x:v>PASS</x:v>
      </x:c>
      <x:c r="M2153" s="34" t="str">
        <x:v>numeric coverage for applicable metric</x:v>
      </x:c>
      <x:c r="N2153" s="34" t="str">
        <x:v>Feedback-Directed Random Test Generation/Result/JacksonDatabind_52/result.json</x:v>
      </x:c>
      <x:c r="O2153" s="38" t="n">
        <x:f>IF(AND(G2153="RECORDED",ISNUMBER(H2153)),H2153,"")</x:f>
        <x:v>5.01</x:v>
      </x:c>
      <x:c r="P2153" s="34" t="str">
        <x:v>NOT_REVEALING</x:v>
      </x:c>
      <x:c r="Q2153" s="34" t="str">
        <x:v>Feedback-Directed Random Test Generation/Result/JacksonDatabind_52/result.json</x:v>
      </x:c>
    </x:row>
    <x:row r="2154">
      <x:c r="A2154" s="34" t="str">
        <x:v>randoop</x:v>
      </x:c>
      <x:c r="B2154" s="34" t="str">
        <x:v>JacksonDatabind</x:v>
      </x:c>
      <x:c r="C2154" s="34" t="str">
        <x:v>Round1</x:v>
      </x:c>
      <x:c r="D2154" s="34" t="str">
        <x:v>JacksonDatabind_53</x:v>
      </x:c>
      <x:c r="E2154" s="34" t="str">
        <x:v>Line</x:v>
      </x:c>
      <x:c r="F2154" s="34" t="n">
        <x:v>505</x:v>
      </x:c>
      <x:c r="G2154" s="34" t="str">
        <x:v>RECORDED</x:v>
      </x:c>
      <x:c r="H2154" s="38" t="n">
        <x:f>IF(ISNUMBER('Data'!H446),'Data'!H446*100,"")</x:f>
        <x:v>40.4</x:v>
      </x:c>
      <x:c r="I2154" s="34" t="str">
        <x:v>PASS</x:v>
      </x:c>
      <x:c r="J2154" s="34" t="str">
        <x:v>PASS</x:v>
      </x:c>
      <x:c r="K2154" s="34" t="str">
        <x:v>PASS</x:v>
      </x:c>
      <x:c r="L2154" s="34" t="str">
        <x:v>PASS</x:v>
      </x:c>
      <x:c r="M2154" s="34" t="str">
        <x:v>numeric coverage for applicable metric</x:v>
      </x:c>
      <x:c r="N2154" s="34" t="str">
        <x:v>Feedback-Directed Random Test Generation/Result/JacksonDatabind_53/result.json</x:v>
      </x:c>
      <x:c r="O2154" s="38" t="n">
        <x:f>IF(AND(G2154="RECORDED",ISNUMBER(H2154)),H2154,"")</x:f>
        <x:v>40.4</x:v>
      </x:c>
      <x:c r="P2154" s="34" t="str">
        <x:v>NOT_AVAILABLE</x:v>
      </x:c>
      <x:c r="Q2154" s="34" t="str">
        <x:v>Feedback-Directed Random Test Generation/Result/JacksonDatabind_53/result.json</x:v>
      </x:c>
    </x:row>
    <x:row r="2155">
      <x:c r="A2155" s="34" t="str">
        <x:v>randoop</x:v>
      </x:c>
      <x:c r="B2155" s="34" t="str">
        <x:v>JacksonDatabind</x:v>
      </x:c>
      <x:c r="C2155" s="34" t="str">
        <x:v>Round1</x:v>
      </x:c>
      <x:c r="D2155" s="34" t="str">
        <x:v>JacksonDatabind_54</x:v>
      </x:c>
      <x:c r="E2155" s="34" t="str">
        <x:v>Line</x:v>
      </x:c>
      <x:c r="F2155" s="34" t="n">
        <x:v>97</x:v>
      </x:c>
      <x:c r="G2155" s="34" t="str">
        <x:v>RECORDED</x:v>
      </x:c>
      <x:c r="H2155" s="38" t="n">
        <x:f>IF(ISNUMBER('Data'!H447),'Data'!H447*100,"")</x:f>
        <x:v>6.19</x:v>
      </x:c>
      <x:c r="I2155" s="34" t="str">
        <x:v>PASS</x:v>
      </x:c>
      <x:c r="J2155" s="34" t="str">
        <x:v>PASS</x:v>
      </x:c>
      <x:c r="K2155" s="34" t="str">
        <x:v>PASS</x:v>
      </x:c>
      <x:c r="L2155" s="34" t="str">
        <x:v>PASS</x:v>
      </x:c>
      <x:c r="M2155" s="34" t="str">
        <x:v>numeric coverage for applicable metric</x:v>
      </x:c>
      <x:c r="N2155" s="34" t="str">
        <x:v>Feedback-Directed Random Test Generation/Result/JacksonDatabind_54/result.json</x:v>
      </x:c>
      <x:c r="O2155" s="38" t="n">
        <x:f>IF(AND(G2155="RECORDED",ISNUMBER(H2155)),H2155,"")</x:f>
        <x:v>6.19</x:v>
      </x:c>
      <x:c r="P2155" s="34" t="str">
        <x:v>NOT_REVEALING</x:v>
      </x:c>
      <x:c r="Q2155" s="34" t="str">
        <x:v>Feedback-Directed Random Test Generation/Result/JacksonDatabind_54/result.json</x:v>
      </x:c>
    </x:row>
    <x:row r="2156">
      <x:c r="A2156" s="34" t="str">
        <x:v>randoop</x:v>
      </x:c>
      <x:c r="B2156" s="34" t="str">
        <x:v>JacksonDatabind</x:v>
      </x:c>
      <x:c r="C2156" s="34" t="str">
        <x:v>Round1</x:v>
      </x:c>
      <x:c r="D2156" s="34" t="str">
        <x:v>JacksonDatabind_55</x:v>
      </x:c>
      <x:c r="E2156" s="34" t="str">
        <x:v>Line</x:v>
      </x:c>
      <x:c r="F2156" s="34" t="n">
        <x:v>61</x:v>
      </x:c>
      <x:c r="G2156" s="34" t="str">
        <x:v>RECORDED</x:v>
      </x:c>
      <x:c r="H2156" s="38" t="n">
        <x:f>IF(ISNUMBER('Data'!H448),'Data'!H448*100,"")</x:f>
        <x:v>27.87</x:v>
      </x:c>
      <x:c r="I2156" s="34" t="str">
        <x:v>PASS</x:v>
      </x:c>
      <x:c r="J2156" s="34" t="str">
        <x:v>PASS</x:v>
      </x:c>
      <x:c r="K2156" s="34" t="str">
        <x:v>PASS</x:v>
      </x:c>
      <x:c r="L2156" s="34" t="str">
        <x:v>PASS</x:v>
      </x:c>
      <x:c r="M2156" s="34" t="str">
        <x:v>numeric coverage for applicable metric</x:v>
      </x:c>
      <x:c r="N2156" s="34" t="str">
        <x:v>Feedback-Directed Random Test Generation/Result/JacksonDatabind_55/result.json</x:v>
      </x:c>
      <x:c r="O2156" s="38" t="n">
        <x:f>IF(AND(G2156="RECORDED",ISNUMBER(H2156)),H2156,"")</x:f>
        <x:v>27.87</x:v>
      </x:c>
      <x:c r="P2156" s="34" t="str">
        <x:v>NOT_REVEALING</x:v>
      </x:c>
      <x:c r="Q2156" s="34" t="str">
        <x:v>Feedback-Directed Random Test Generation/Result/JacksonDatabind_55/result.json</x:v>
      </x:c>
    </x:row>
    <x:row r="2157">
      <x:c r="A2157" s="34" t="str">
        <x:v>randoop</x:v>
      </x:c>
      <x:c r="B2157" s="34" t="str">
        <x:v>JacksonDatabind</x:v>
      </x:c>
      <x:c r="C2157" s="34" t="str">
        <x:v>Round1</x:v>
      </x:c>
      <x:c r="D2157" s="34" t="str">
        <x:v>JacksonDatabind_56</x:v>
      </x:c>
      <x:c r="E2157" s="34" t="str">
        <x:v>Line</x:v>
      </x:c>
      <x:c r="F2157" s="34" t="n">
        <x:v>112</x:v>
      </x:c>
      <x:c r="G2157" s="34" t="str">
        <x:v>RECORDED</x:v>
      </x:c>
      <x:c r="H2157" s="38" t="n">
        <x:f>IF(ISNUMBER('Data'!H449),'Data'!H449*100,"")</x:f>
        <x:v>0.89</x:v>
      </x:c>
      <x:c r="I2157" s="34" t="str">
        <x:v>PASS</x:v>
      </x:c>
      <x:c r="J2157" s="34" t="str">
        <x:v>PASS</x:v>
      </x:c>
      <x:c r="K2157" s="34" t="str">
        <x:v>PASS</x:v>
      </x:c>
      <x:c r="L2157" s="34" t="str">
        <x:v>PASS</x:v>
      </x:c>
      <x:c r="M2157" s="34" t="str">
        <x:v>numeric coverage for applicable metric</x:v>
      </x:c>
      <x:c r="N2157" s="34" t="str">
        <x:v>Feedback-Directed Random Test Generation/Result/JacksonDatabind_56/result.json</x:v>
      </x:c>
      <x:c r="O2157" s="38" t="n">
        <x:f>IF(AND(G2157="RECORDED",ISNUMBER(H2157)),H2157,"")</x:f>
        <x:v>0.89</x:v>
      </x:c>
      <x:c r="P2157" s="34" t="str">
        <x:v>NOT_REVEALING</x:v>
      </x:c>
      <x:c r="Q2157" s="34" t="str">
        <x:v>Feedback-Directed Random Test Generation/Result/JacksonDatabind_56/result.json</x:v>
      </x:c>
    </x:row>
    <x:row r="2158">
      <x:c r="A2158" s="34" t="str">
        <x:v>randoop</x:v>
      </x:c>
      <x:c r="B2158" s="34" t="str">
        <x:v>JacksonDatabind</x:v>
      </x:c>
      <x:c r="C2158" s="34" t="str">
        <x:v>Round1</x:v>
      </x:c>
      <x:c r="D2158" s="34" t="str">
        <x:v>JacksonDatabind_57</x:v>
      </x:c>
      <x:c r="E2158" s="34" t="str">
        <x:v>Line</x:v>
      </x:c>
      <x:c r="F2158" s="34" t="n">
        <x:v>408</x:v>
      </x:c>
      <x:c r="G2158" s="34" t="str">
        <x:v>RECORDED</x:v>
      </x:c>
      <x:c r="H2158" s="38" t="n">
        <x:f>IF(ISNUMBER('Data'!H450),'Data'!H450*100,"")</x:f>
        <x:v>3.6799999999999997</x:v>
      </x:c>
      <x:c r="I2158" s="34" t="str">
        <x:v>PASS</x:v>
      </x:c>
      <x:c r="J2158" s="34" t="str">
        <x:v>PASS</x:v>
      </x:c>
      <x:c r="K2158" s="34" t="str">
        <x:v>PASS</x:v>
      </x:c>
      <x:c r="L2158" s="34" t="str">
        <x:v>PASS</x:v>
      </x:c>
      <x:c r="M2158" s="34" t="str">
        <x:v>numeric coverage for applicable metric</x:v>
      </x:c>
      <x:c r="N2158" s="34" t="str">
        <x:v>Feedback-Directed Random Test Generation/Result/JacksonDatabind_57/result.json</x:v>
      </x:c>
      <x:c r="O2158" s="38" t="n">
        <x:f>IF(AND(G2158="RECORDED",ISNUMBER(H2158)),H2158,"")</x:f>
        <x:v>3.6799999999999997</x:v>
      </x:c>
      <x:c r="P2158" s="34" t="str">
        <x:v>NOT_REVEALING</x:v>
      </x:c>
      <x:c r="Q2158" s="34" t="str">
        <x:v>Feedback-Directed Random Test Generation/Result/JacksonDatabind_57/result.json</x:v>
      </x:c>
    </x:row>
    <x:row r="2159">
      <x:c r="A2159" s="34" t="str">
        <x:v>randoop</x:v>
      </x:c>
      <x:c r="B2159" s="34" t="str">
        <x:v>JacksonDatabind</x:v>
      </x:c>
      <x:c r="C2159" s="34" t="str">
        <x:v>Round1</x:v>
      </x:c>
      <x:c r="D2159" s="34" t="str">
        <x:v>JacksonDatabind_58</x:v>
      </x:c>
      <x:c r="E2159" s="34" t="str">
        <x:v>Line</x:v>
      </x:c>
      <x:c r="F2159" s="34" t="n">
        <x:v>321</x:v>
      </x:c>
      <x:c r="G2159" s="34" t="str">
        <x:v>RECORDED</x:v>
      </x:c>
      <x:c r="H2159" s="38" t="n">
        <x:f>IF(ISNUMBER('Data'!H451),'Data'!H451*100,"")</x:f>
        <x:v>9.35</x:v>
      </x:c>
      <x:c r="I2159" s="34" t="str">
        <x:v>PASS</x:v>
      </x:c>
      <x:c r="J2159" s="34" t="str">
        <x:v>PASS</x:v>
      </x:c>
      <x:c r="K2159" s="34" t="str">
        <x:v>PASS</x:v>
      </x:c>
      <x:c r="L2159" s="34" t="str">
        <x:v>PASS</x:v>
      </x:c>
      <x:c r="M2159" s="34" t="str">
        <x:v>numeric coverage for applicable metric</x:v>
      </x:c>
      <x:c r="N2159" s="34" t="str">
        <x:v>Feedback-Directed Random Test Generation/Result/JacksonDatabind_58/result.json</x:v>
      </x:c>
      <x:c r="O2159" s="38" t="n">
        <x:f>IF(AND(G2159="RECORDED",ISNUMBER(H2159)),H2159,"")</x:f>
        <x:v>9.35</x:v>
      </x:c>
      <x:c r="P2159" s="34" t="str">
        <x:v>NOT_REVEALING</x:v>
      </x:c>
      <x:c r="Q2159" s="34" t="str">
        <x:v>Feedback-Directed Random Test Generation/Result/JacksonDatabind_58/result.json</x:v>
      </x:c>
    </x:row>
    <x:row r="2160">
      <x:c r="A2160" s="34" t="str">
        <x:v>randoop</x:v>
      </x:c>
      <x:c r="B2160" s="34" t="str">
        <x:v>JacksonDatabind</x:v>
      </x:c>
      <x:c r="C2160" s="34" t="str">
        <x:v>Round1</x:v>
      </x:c>
      <x:c r="D2160" s="34" t="str">
        <x:v>JacksonDatabind_59</x:v>
      </x:c>
      <x:c r="E2160" s="34" t="str">
        <x:v>Line</x:v>
      </x:c>
      <x:c r="F2160" s="34" t="n">
        <x:v>568</x:v>
      </x:c>
      <x:c r="G2160" s="34" t="str">
        <x:v>RECORDED</x:v>
      </x:c>
      <x:c r="H2160" s="38" t="n">
        <x:f>IF(ISNUMBER('Data'!H452),'Data'!H452*100,"")</x:f>
        <x:v>29.049999999999997</x:v>
      </x:c>
      <x:c r="I2160" s="34" t="str">
        <x:v>PASS</x:v>
      </x:c>
      <x:c r="J2160" s="34" t="str">
        <x:v>PASS</x:v>
      </x:c>
      <x:c r="K2160" s="34" t="str">
        <x:v>PASS</x:v>
      </x:c>
      <x:c r="L2160" s="34" t="str">
        <x:v>PASS</x:v>
      </x:c>
      <x:c r="M2160" s="34" t="str">
        <x:v>numeric coverage for applicable metric</x:v>
      </x:c>
      <x:c r="N2160" s="34" t="str">
        <x:v>Feedback-Directed Random Test Generation/Result/JacksonDatabind_59/result.json</x:v>
      </x:c>
      <x:c r="O2160" s="38" t="n">
        <x:f>IF(AND(G2160="RECORDED",ISNUMBER(H2160)),H2160,"")</x:f>
        <x:v>29.049999999999997</x:v>
      </x:c>
      <x:c r="P2160" s="34" t="str">
        <x:v>NOT_REVEALING</x:v>
      </x:c>
      <x:c r="Q2160" s="34" t="str">
        <x:v>Feedback-Directed Random Test Generation/Result/JacksonDatabind_59/result.json</x:v>
      </x:c>
    </x:row>
    <x:row r="2161">
      <x:c r="A2161" s="34" t="str">
        <x:v>randoop</x:v>
      </x:c>
      <x:c r="B2161" s="34" t="str">
        <x:v>JacksonDatabind</x:v>
      </x:c>
      <x:c r="C2161" s="34" t="str">
        <x:v>Round1</x:v>
      </x:c>
      <x:c r="D2161" s="34" t="str">
        <x:v>JacksonDatabind_60</x:v>
      </x:c>
      <x:c r="E2161" s="34" t="str">
        <x:v>Line</x:v>
      </x:c>
      <x:c r="F2161" s="34" t="n">
        <x:v>110</x:v>
      </x:c>
      <x:c r="G2161" s="34" t="str">
        <x:v>RECORDED</x:v>
      </x:c>
      <x:c r="H2161" s="38" t="n">
        <x:f>IF(ISNUMBER('Data'!H453),'Data'!H453*100,"")</x:f>
        <x:v>0</x:v>
      </x:c>
      <x:c r="I2161" s="34" t="str">
        <x:v>PASS</x:v>
      </x:c>
      <x:c r="J2161" s="34" t="str">
        <x:v>PASS</x:v>
      </x:c>
      <x:c r="K2161" s="34" t="str">
        <x:v>PASS</x:v>
      </x:c>
      <x:c r="L2161" s="34" t="str">
        <x:v>PASS</x:v>
      </x:c>
      <x:c r="M2161" s="34" t="str">
        <x:v>numeric coverage for applicable metric</x:v>
      </x:c>
      <x:c r="N2161" s="34" t="str">
        <x:v>Feedback-Directed Random Test Generation/Result/JacksonDatabind_60/result.json</x:v>
      </x:c>
      <x:c r="O2161" s="38" t="n">
        <x:f>IF(AND(G2161="RECORDED",ISNUMBER(H2161)),H2161,"")</x:f>
        <x:v>0</x:v>
      </x:c>
      <x:c r="P2161" s="34" t="str">
        <x:v>NOT_REVEALING</x:v>
      </x:c>
      <x:c r="Q2161" s="34" t="str">
        <x:v>Feedback-Directed Random Test Generation/Result/JacksonDatabind_60/result.json</x:v>
      </x:c>
    </x:row>
    <x:row r="2162">
      <x:c r="A2162" s="34" t="str">
        <x:v>randoop</x:v>
      </x:c>
      <x:c r="B2162" s="34" t="str">
        <x:v>JacksonDatabind</x:v>
      </x:c>
      <x:c r="C2162" s="34" t="str">
        <x:v>Round1</x:v>
      </x:c>
      <x:c r="D2162" s="34" t="str">
        <x:v>JacksonDatabind_61</x:v>
      </x:c>
      <x:c r="E2162" s="34" t="str">
        <x:v>Line</x:v>
      </x:c>
      <x:c r="F2162" s="34" t="n">
        <x:v>737</x:v>
      </x:c>
      <x:c r="G2162" s="34" t="str">
        <x:v>RECORDED</x:v>
      </x:c>
      <x:c r="H2162" s="38" t="n">
        <x:f>IF(ISNUMBER('Data'!H454),'Data'!H454*100,"")</x:f>
        <x:v>40.84</x:v>
      </x:c>
      <x:c r="I2162" s="34" t="str">
        <x:v>PASS</x:v>
      </x:c>
      <x:c r="J2162" s="34" t="str">
        <x:v>PASS</x:v>
      </x:c>
      <x:c r="K2162" s="34" t="str">
        <x:v>PASS</x:v>
      </x:c>
      <x:c r="L2162" s="34" t="str">
        <x:v>FAIL</x:v>
      </x:c>
      <x:c r="M2162" s="34" t="str">
        <x:v>numeric coverage for applicable metric</x:v>
      </x:c>
      <x:c r="N2162" s="34" t="str">
        <x:v>Feedback-Directed Random Test Generation/Result/JacksonDatabind_61/result.json</x:v>
      </x:c>
      <x:c r="O2162" s="38" t="n">
        <x:f>IF(AND(G2162="RECORDED",ISNUMBER(H2162)),H2162,"")</x:f>
        <x:v>40.84</x:v>
      </x:c>
      <x:c r="P2162" s="34" t="str">
        <x:v>INCONCLUSIVE</x:v>
      </x:c>
      <x:c r="Q2162" s="34" t="str">
        <x:v>Feedback-Directed Random Test Generation/Result/JacksonDatabind_61/result.json</x:v>
      </x:c>
    </x:row>
    <x:row r="2163">
      <x:c r="A2163" s="34" t="str">
        <x:v>randoop</x:v>
      </x:c>
      <x:c r="B2163" s="34" t="str">
        <x:v>JacksonDatabind</x:v>
      </x:c>
      <x:c r="C2163" s="34" t="str">
        <x:v>Round1</x:v>
      </x:c>
      <x:c r="D2163" s="34" t="str">
        <x:v>JacksonDatabind_62</x:v>
      </x:c>
      <x:c r="E2163" s="34" t="str">
        <x:v>Line</x:v>
      </x:c>
      <x:c r="F2163" s="34" t="n">
        <x:v>131</x:v>
      </x:c>
      <x:c r="G2163" s="34" t="str">
        <x:v>RECORDED</x:v>
      </x:c>
      <x:c r="H2163" s="38" t="n">
        <x:f>IF(ISNUMBER('Data'!H455),'Data'!H455*100,"")</x:f>
        <x:v>30.53</x:v>
      </x:c>
      <x:c r="I2163" s="34" t="str">
        <x:v>PASS</x:v>
      </x:c>
      <x:c r="J2163" s="34" t="str">
        <x:v>PASS</x:v>
      </x:c>
      <x:c r="K2163" s="34" t="str">
        <x:v>PASS</x:v>
      </x:c>
      <x:c r="L2163" s="34" t="str">
        <x:v>PASS</x:v>
      </x:c>
      <x:c r="M2163" s="34" t="str">
        <x:v>numeric coverage for applicable metric</x:v>
      </x:c>
      <x:c r="N2163" s="34" t="str">
        <x:v>Feedback-Directed Random Test Generation/Result/JacksonDatabind_62/result.json</x:v>
      </x:c>
      <x:c r="O2163" s="38" t="n">
        <x:f>IF(AND(G2163="RECORDED",ISNUMBER(H2163)),H2163,"")</x:f>
        <x:v>30.53</x:v>
      </x:c>
      <x:c r="P2163" s="34" t="str">
        <x:v>NOT_REVEALING</x:v>
      </x:c>
      <x:c r="Q2163" s="34" t="str">
        <x:v>Feedback-Directed Random Test Generation/Result/JacksonDatabind_62/result.json</x:v>
      </x:c>
    </x:row>
    <x:row r="2164">
      <x:c r="A2164" s="34" t="str">
        <x:v>randoop</x:v>
      </x:c>
      <x:c r="B2164" s="34" t="str">
        <x:v>JacksonDatabind</x:v>
      </x:c>
      <x:c r="C2164" s="34" t="str">
        <x:v>Round1</x:v>
      </x:c>
      <x:c r="D2164" s="34" t="str">
        <x:v>JacksonDatabind_63</x:v>
      </x:c>
      <x:c r="E2164" s="34" t="str">
        <x:v>Line</x:v>
      </x:c>
      <x:c r="F2164" s="34" t="n">
        <x:v>123</x:v>
      </x:c>
      <x:c r="G2164" s="34" t="str">
        <x:v>RECORDED</x:v>
      </x:c>
      <x:c r="H2164" s="38" t="n">
        <x:f>IF(ISNUMBER('Data'!H456),'Data'!H456*100,"")</x:f>
        <x:v>90.24</x:v>
      </x:c>
      <x:c r="I2164" s="34" t="str">
        <x:v>PASS</x:v>
      </x:c>
      <x:c r="J2164" s="34" t="str">
        <x:v>PASS</x:v>
      </x:c>
      <x:c r="K2164" s="34" t="str">
        <x:v>PASS</x:v>
      </x:c>
      <x:c r="L2164" s="34" t="str">
        <x:v>PASS</x:v>
      </x:c>
      <x:c r="M2164" s="34" t="str">
        <x:v>numeric coverage for applicable metric</x:v>
      </x:c>
      <x:c r="N2164" s="34" t="str">
        <x:v>Feedback-Directed Random Test Generation/Result/JacksonDatabind_63/result.json</x:v>
      </x:c>
      <x:c r="O2164" s="38" t="n">
        <x:f>IF(AND(G2164="RECORDED",ISNUMBER(H2164)),H2164,"")</x:f>
        <x:v>90.24</x:v>
      </x:c>
      <x:c r="P2164" s="34" t="str">
        <x:v>INCONCLUSIVE</x:v>
      </x:c>
      <x:c r="Q2164" s="34" t="str">
        <x:v>Feedback-Directed Random Test Generation/Result/JacksonDatabind_63/result.json</x:v>
      </x:c>
    </x:row>
    <x:row r="2165">
      <x:c r="A2165" s="34" t="str">
        <x:v>randoop</x:v>
      </x:c>
      <x:c r="B2165" s="34" t="str">
        <x:v>JacksonDatabind</x:v>
      </x:c>
      <x:c r="C2165" s="34" t="str">
        <x:v>Round1</x:v>
      </x:c>
      <x:c r="D2165" s="34" t="str">
        <x:v>JacksonDatabind_64</x:v>
      </x:c>
      <x:c r="E2165" s="34" t="str">
        <x:v>Line</x:v>
      </x:c>
      <x:c r="F2165" s="34" t="n">
        <x:v>107</x:v>
      </x:c>
      <x:c r="G2165" s="34" t="str">
        <x:v>RECORDED</x:v>
      </x:c>
      <x:c r="H2165" s="38" t="n">
        <x:f>IF(ISNUMBER('Data'!H457),'Data'!H457*100,"")</x:f>
        <x:v>5.61</x:v>
      </x:c>
      <x:c r="I2165" s="34" t="str">
        <x:v>PASS</x:v>
      </x:c>
      <x:c r="J2165" s="34" t="str">
        <x:v>PASS</x:v>
      </x:c>
      <x:c r="K2165" s="34" t="str">
        <x:v>PASS</x:v>
      </x:c>
      <x:c r="L2165" s="34" t="str">
        <x:v>PASS</x:v>
      </x:c>
      <x:c r="M2165" s="34" t="str">
        <x:v>numeric coverage for applicable metric</x:v>
      </x:c>
      <x:c r="N2165" s="34" t="str">
        <x:v>Feedback-Directed Random Test Generation/Result/JacksonDatabind_64/result.json</x:v>
      </x:c>
      <x:c r="O2165" s="38" t="n">
        <x:f>IF(AND(G2165="RECORDED",ISNUMBER(H2165)),H2165,"")</x:f>
        <x:v>5.61</x:v>
      </x:c>
      <x:c r="P2165" s="34" t="str">
        <x:v>NOT_REVEALING</x:v>
      </x:c>
      <x:c r="Q2165" s="34" t="str">
        <x:v>Feedback-Directed Random Test Generation/Result/JacksonDatabind_64/result.json</x:v>
      </x:c>
    </x:row>
    <x:row r="2166">
      <x:c r="A2166" s="34" t="str">
        <x:v>randoop</x:v>
      </x:c>
      <x:c r="B2166" s="34" t="str">
        <x:v>JacksonDatabind</x:v>
      </x:c>
      <x:c r="C2166" s="34" t="str">
        <x:v>Round1</x:v>
      </x:c>
      <x:c r="D2166" s="34" t="str">
        <x:v>JacksonDatabind_66</x:v>
      </x:c>
      <x:c r="E2166" s="34" t="str">
        <x:v>Line</x:v>
      </x:c>
      <x:c r="F2166" s="34" t="n">
        <x:v>156</x:v>
      </x:c>
      <x:c r="G2166" s="34" t="str">
        <x:v>RECORDED</x:v>
      </x:c>
      <x:c r="H2166" s="38" t="n">
        <x:f>IF(ISNUMBER('Data'!H458),'Data'!H458*100,"")</x:f>
        <x:v>1.28</x:v>
      </x:c>
      <x:c r="I2166" s="34" t="str">
        <x:v>PASS</x:v>
      </x:c>
      <x:c r="J2166" s="34" t="str">
        <x:v>PASS</x:v>
      </x:c>
      <x:c r="K2166" s="34" t="str">
        <x:v>PASS</x:v>
      </x:c>
      <x:c r="L2166" s="34" t="str">
        <x:v>PASS</x:v>
      </x:c>
      <x:c r="M2166" s="34" t="str">
        <x:v>numeric coverage for applicable metric</x:v>
      </x:c>
      <x:c r="N2166" s="34" t="str">
        <x:v>Feedback-Directed Random Test Generation/Result/JacksonDatabind_66/result.json</x:v>
      </x:c>
      <x:c r="O2166" s="38" t="n">
        <x:f>IF(AND(G2166="RECORDED",ISNUMBER(H2166)),H2166,"")</x:f>
        <x:v>1.28</x:v>
      </x:c>
      <x:c r="P2166" s="34" t="str">
        <x:v>NOT_REVEALING</x:v>
      </x:c>
      <x:c r="Q2166" s="34" t="str">
        <x:v>Feedback-Directed Random Test Generation/Result/JacksonDatabind_66/result.json</x:v>
      </x:c>
    </x:row>
    <x:row r="2167">
      <x:c r="A2167" s="34" t="str">
        <x:v>randoop</x:v>
      </x:c>
      <x:c r="B2167" s="34" t="str">
        <x:v>JacksonDatabind</x:v>
      </x:c>
      <x:c r="C2167" s="34" t="str">
        <x:v>Round1</x:v>
      </x:c>
      <x:c r="D2167" s="34" t="str">
        <x:v>JacksonDatabind_67</x:v>
      </x:c>
      <x:c r="E2167" s="34" t="str">
        <x:v>Line</x:v>
      </x:c>
      <x:c r="F2167" s="34" t="n">
        <x:v>793</x:v>
      </x:c>
      <x:c r="G2167" s="34" t="str">
        <x:v>RECORDED</x:v>
      </x:c>
      <x:c r="H2167" s="38" t="n">
        <x:f>IF(ISNUMBER('Data'!H459),'Data'!H459*100,"")</x:f>
        <x:v>2.65</x:v>
      </x:c>
      <x:c r="I2167" s="34" t="str">
        <x:v>PASS</x:v>
      </x:c>
      <x:c r="J2167" s="34" t="str">
        <x:v>PASS</x:v>
      </x:c>
      <x:c r="K2167" s="34" t="str">
        <x:v>PASS</x:v>
      </x:c>
      <x:c r="L2167" s="34" t="str">
        <x:v>PASS</x:v>
      </x:c>
      <x:c r="M2167" s="34" t="str">
        <x:v>numeric coverage for applicable metric</x:v>
      </x:c>
      <x:c r="N2167" s="34" t="str">
        <x:v>Feedback-Directed Random Test Generation/Result/JacksonDatabind_67/result.json</x:v>
      </x:c>
      <x:c r="O2167" s="38" t="n">
        <x:f>IF(AND(G2167="RECORDED",ISNUMBER(H2167)),H2167,"")</x:f>
        <x:v>2.65</x:v>
      </x:c>
      <x:c r="P2167" s="34" t="str">
        <x:v>NOT_REVEALING</x:v>
      </x:c>
      <x:c r="Q2167" s="34" t="str">
        <x:v>Feedback-Directed Random Test Generation/Result/JacksonDatabind_67/result.json</x:v>
      </x:c>
    </x:row>
    <x:row r="2168">
      <x:c r="A2168" s="34" t="str">
        <x:v>randoop</x:v>
      </x:c>
      <x:c r="B2168" s="34" t="str">
        <x:v>JacksonDatabind</x:v>
      </x:c>
      <x:c r="C2168" s="34" t="str">
        <x:v>Round1</x:v>
      </x:c>
      <x:c r="D2168" s="34" t="str">
        <x:v>JacksonDatabind_68</x:v>
      </x:c>
      <x:c r="E2168" s="34" t="str">
        <x:v>Line</x:v>
      </x:c>
      <x:c r="F2168" s="34" t="n">
        <x:v>592</x:v>
      </x:c>
      <x:c r="G2168" s="34" t="str">
        <x:v>RECORDED</x:v>
      </x:c>
      <x:c r="H2168" s="38" t="n">
        <x:f>IF(ISNUMBER('Data'!H460),'Data'!H460*100,"")</x:f>
        <x:v>0.17</x:v>
      </x:c>
      <x:c r="I2168" s="34" t="str">
        <x:v>PASS</x:v>
      </x:c>
      <x:c r="J2168" s="34" t="str">
        <x:v>PASS</x:v>
      </x:c>
      <x:c r="K2168" s="34" t="str">
        <x:v>PASS</x:v>
      </x:c>
      <x:c r="L2168" s="34" t="str">
        <x:v>PASS</x:v>
      </x:c>
      <x:c r="M2168" s="34" t="str">
        <x:v>numeric coverage for applicable metric</x:v>
      </x:c>
      <x:c r="N2168" s="34" t="str">
        <x:v>Feedback-Directed Random Test Generation/Result/JacksonDatabind_68/result.json</x:v>
      </x:c>
      <x:c r="O2168" s="38" t="n">
        <x:f>IF(AND(G2168="RECORDED",ISNUMBER(H2168)),H2168,"")</x:f>
        <x:v>0.17</x:v>
      </x:c>
      <x:c r="P2168" s="34" t="str">
        <x:v>NOT_REVEALING</x:v>
      </x:c>
      <x:c r="Q2168" s="34" t="str">
        <x:v>Feedback-Directed Random Test Generation/Result/JacksonDatabind_68/result.json</x:v>
      </x:c>
    </x:row>
    <x:row r="2169">
      <x:c r="A2169" s="34" t="str">
        <x:v>randoop</x:v>
      </x:c>
      <x:c r="B2169" s="34" t="str">
        <x:v>JacksonDatabind</x:v>
      </x:c>
      <x:c r="C2169" s="34" t="str">
        <x:v>Round1</x:v>
      </x:c>
      <x:c r="D2169" s="34" t="str">
        <x:v>JacksonDatabind_69</x:v>
      </x:c>
      <x:c r="E2169" s="34" t="str">
        <x:v>Line</x:v>
      </x:c>
      <x:c r="F2169" s="34" t="n">
        <x:v>127</x:v>
      </x:c>
      <x:c r="G2169" s="34" t="str">
        <x:v>RECORDED</x:v>
      </x:c>
      <x:c r="H2169" s="38" t="n">
        <x:f>IF(ISNUMBER('Data'!H461),'Data'!H461*100,"")</x:f>
        <x:v>10.24</x:v>
      </x:c>
      <x:c r="I2169" s="34" t="str">
        <x:v>PASS</x:v>
      </x:c>
      <x:c r="J2169" s="34" t="str">
        <x:v>PASS</x:v>
      </x:c>
      <x:c r="K2169" s="34" t="str">
        <x:v>PASS</x:v>
      </x:c>
      <x:c r="L2169" s="34" t="str">
        <x:v>PASS</x:v>
      </x:c>
      <x:c r="M2169" s="34" t="str">
        <x:v>numeric coverage for applicable metric</x:v>
      </x:c>
      <x:c r="N2169" s="34" t="str">
        <x:v>Feedback-Directed Random Test Generation/Result/JacksonDatabind_69/result.json</x:v>
      </x:c>
      <x:c r="O2169" s="38" t="n">
        <x:f>IF(AND(G2169="RECORDED",ISNUMBER(H2169)),H2169,"")</x:f>
        <x:v>10.24</x:v>
      </x:c>
      <x:c r="P2169" s="34" t="str">
        <x:v>NOT_REVEALING</x:v>
      </x:c>
      <x:c r="Q2169" s="34" t="str">
        <x:v>Feedback-Directed Random Test Generation/Result/JacksonDatabind_69/result.json</x:v>
      </x:c>
    </x:row>
    <x:row r="2170">
      <x:c r="A2170" s="34" t="str">
        <x:v>randoop</x:v>
      </x:c>
      <x:c r="B2170" s="34" t="str">
        <x:v>JacksonDatabind</x:v>
      </x:c>
      <x:c r="C2170" s="34" t="str">
        <x:v>Round1</x:v>
      </x:c>
      <x:c r="D2170" s="34" t="str">
        <x:v>JacksonDatabind_70</x:v>
      </x:c>
      <x:c r="E2170" s="34" t="str">
        <x:v>Line</x:v>
      </x:c>
      <x:c r="F2170" s="34" t="n">
        <x:v>226</x:v>
      </x:c>
      <x:c r="G2170" s="34" t="str">
        <x:v>RECORDED</x:v>
      </x:c>
      <x:c r="H2170" s="38" t="n">
        <x:f>IF(ISNUMBER('Data'!H462),'Data'!H462*100,"")</x:f>
        <x:v>36.73</x:v>
      </x:c>
      <x:c r="I2170" s="34" t="str">
        <x:v>PASS</x:v>
      </x:c>
      <x:c r="J2170" s="34" t="str">
        <x:v>PASS</x:v>
      </x:c>
      <x:c r="K2170" s="34" t="str">
        <x:v>PASS</x:v>
      </x:c>
      <x:c r="L2170" s="34" t="str">
        <x:v>PASS</x:v>
      </x:c>
      <x:c r="M2170" s="34" t="str">
        <x:v>numeric coverage for applicable metric</x:v>
      </x:c>
      <x:c r="N2170" s="34" t="str">
        <x:v>Feedback-Directed Random Test Generation/Result/JacksonDatabind_70/result.json</x:v>
      </x:c>
      <x:c r="O2170" s="38" t="n">
        <x:f>IF(AND(G2170="RECORDED",ISNUMBER(H2170)),H2170,"")</x:f>
        <x:v>36.73</x:v>
      </x:c>
      <x:c r="P2170" s="34" t="str">
        <x:v>NOT_REVEALING</x:v>
      </x:c>
      <x:c r="Q2170" s="34" t="str">
        <x:v>Feedback-Directed Random Test Generation/Result/JacksonDatabind_70/result.json</x:v>
      </x:c>
    </x:row>
    <x:row r="2171">
      <x:c r="A2171" s="34" t="str">
        <x:v>randoop</x:v>
      </x:c>
      <x:c r="B2171" s="34" t="str">
        <x:v>JacksonDatabind</x:v>
      </x:c>
      <x:c r="C2171" s="34" t="str">
        <x:v>Round1</x:v>
      </x:c>
      <x:c r="D2171" s="34" t="str">
        <x:v>JacksonDatabind_71</x:v>
      </x:c>
      <x:c r="E2171" s="34" t="str">
        <x:v>Line</x:v>
      </x:c>
      <x:c r="F2171" s="34" t="n">
        <x:v>149</x:v>
      </x:c>
      <x:c r="G2171" s="34" t="str">
        <x:v>RECORDED</x:v>
      </x:c>
      <x:c r="H2171" s="38" t="n">
        <x:f>IF(ISNUMBER('Data'!H463),'Data'!H463*100,"")</x:f>
        <x:v>1.34</x:v>
      </x:c>
      <x:c r="I2171" s="34" t="str">
        <x:v>PASS</x:v>
      </x:c>
      <x:c r="J2171" s="34" t="str">
        <x:v>PASS</x:v>
      </x:c>
      <x:c r="K2171" s="34" t="str">
        <x:v>PASS</x:v>
      </x:c>
      <x:c r="L2171" s="34" t="str">
        <x:v>PASS</x:v>
      </x:c>
      <x:c r="M2171" s="34" t="str">
        <x:v>numeric coverage for applicable metric</x:v>
      </x:c>
      <x:c r="N2171" s="34" t="str">
        <x:v>Feedback-Directed Random Test Generation/Result/JacksonDatabind_71/result.json</x:v>
      </x:c>
      <x:c r="O2171" s="38" t="n">
        <x:f>IF(AND(G2171="RECORDED",ISNUMBER(H2171)),H2171,"")</x:f>
        <x:v>1.34</x:v>
      </x:c>
      <x:c r="P2171" s="34" t="str">
        <x:v>NOT_REVEALING</x:v>
      </x:c>
      <x:c r="Q2171" s="34" t="str">
        <x:v>Feedback-Directed Random Test Generation/Result/JacksonDatabind_71/result.json</x:v>
      </x:c>
    </x:row>
    <x:row r="2172">
      <x:c r="A2172" s="34" t="str">
        <x:v>randoop</x:v>
      </x:c>
      <x:c r="B2172" s="34" t="str">
        <x:v>JacksonDatabind</x:v>
      </x:c>
      <x:c r="C2172" s="34" t="str">
        <x:v>Round1</x:v>
      </x:c>
      <x:c r="D2172" s="34" t="str">
        <x:v>JacksonDatabind_72</x:v>
      </x:c>
      <x:c r="E2172" s="34" t="str">
        <x:v>Line</x:v>
      </x:c>
      <x:c r="F2172" s="34" t="n">
        <x:v>47</x:v>
      </x:c>
      <x:c r="G2172" s="34" t="str">
        <x:v>RECORDED</x:v>
      </x:c>
      <x:c r="H2172" s="38" t="n">
        <x:f>IF(ISNUMBER('Data'!H464),'Data'!H464*100,"")</x:f>
        <x:v>4.26</x:v>
      </x:c>
      <x:c r="I2172" s="34" t="str">
        <x:v>PASS</x:v>
      </x:c>
      <x:c r="J2172" s="34" t="str">
        <x:v>PASS</x:v>
      </x:c>
      <x:c r="K2172" s="34" t="str">
        <x:v>PASS</x:v>
      </x:c>
      <x:c r="L2172" s="34" t="str">
        <x:v>PASS</x:v>
      </x:c>
      <x:c r="M2172" s="34" t="str">
        <x:v>numeric coverage for applicable metric</x:v>
      </x:c>
      <x:c r="N2172" s="34" t="str">
        <x:v>Feedback-Directed Random Test Generation/Result/JacksonDatabind_72/result.json</x:v>
      </x:c>
      <x:c r="O2172" s="38" t="n">
        <x:f>IF(AND(G2172="RECORDED",ISNUMBER(H2172)),H2172,"")</x:f>
        <x:v>4.26</x:v>
      </x:c>
      <x:c r="P2172" s="34" t="str">
        <x:v>NOT_REVEALING</x:v>
      </x:c>
      <x:c r="Q2172" s="34" t="str">
        <x:v>Feedback-Directed Random Test Generation/Result/JacksonDatabind_72/result.json</x:v>
      </x:c>
    </x:row>
    <x:row r="2173">
      <x:c r="A2173" s="34" t="str">
        <x:v>randoop</x:v>
      </x:c>
      <x:c r="B2173" s="34" t="str">
        <x:v>JacksonDatabind</x:v>
      </x:c>
      <x:c r="C2173" s="34" t="str">
        <x:v>Round1</x:v>
      </x:c>
      <x:c r="D2173" s="34" t="str">
        <x:v>JacksonDatabind_73</x:v>
      </x:c>
      <x:c r="E2173" s="34" t="str">
        <x:v>Line</x:v>
      </x:c>
      <x:c r="F2173" s="34" t="n">
        <x:v>928</x:v>
      </x:c>
      <x:c r="G2173" s="34" t="str">
        <x:v>RECORDED</x:v>
      </x:c>
      <x:c r="H2173" s="38" t="n">
        <x:f>IF(ISNUMBER('Data'!H465),'Data'!H465*100,"")</x:f>
        <x:v>4.96</x:v>
      </x:c>
      <x:c r="I2173" s="34" t="str">
        <x:v>PASS</x:v>
      </x:c>
      <x:c r="J2173" s="34" t="str">
        <x:v>PASS</x:v>
      </x:c>
      <x:c r="K2173" s="34" t="str">
        <x:v>PASS</x:v>
      </x:c>
      <x:c r="L2173" s="34" t="str">
        <x:v>PASS</x:v>
      </x:c>
      <x:c r="M2173" s="34" t="str">
        <x:v>numeric coverage for applicable metric</x:v>
      </x:c>
      <x:c r="N2173" s="34" t="str">
        <x:v>Feedback-Directed Random Test Generation/Result/JacksonDatabind_73/result.json</x:v>
      </x:c>
      <x:c r="O2173" s="38" t="n">
        <x:f>IF(AND(G2173="RECORDED",ISNUMBER(H2173)),H2173,"")</x:f>
        <x:v>4.96</x:v>
      </x:c>
      <x:c r="P2173" s="34" t="str">
        <x:v>NOT_REVEALING</x:v>
      </x:c>
      <x:c r="Q2173" s="34" t="str">
        <x:v>Feedback-Directed Random Test Generation/Result/JacksonDatabind_73/result.json</x:v>
      </x:c>
    </x:row>
    <x:row r="2174">
      <x:c r="A2174" s="34" t="str">
        <x:v>randoop</x:v>
      </x:c>
      <x:c r="B2174" s="34" t="str">
        <x:v>JacksonDatabind</x:v>
      </x:c>
      <x:c r="C2174" s="34" t="str">
        <x:v>Round1</x:v>
      </x:c>
      <x:c r="D2174" s="34" t="str">
        <x:v>JacksonDatabind_74</x:v>
      </x:c>
      <x:c r="E2174" s="34" t="str">
        <x:v>Line</x:v>
      </x:c>
      <x:c r="F2174" s="34" t="n">
        <x:v>60</x:v>
      </x:c>
      <x:c r="G2174" s="34" t="str">
        <x:v>RECORDED</x:v>
      </x:c>
      <x:c r="H2174" s="38" t="n">
        <x:f>IF(ISNUMBER('Data'!H466),'Data'!H466*100,"")</x:f>
        <x:v>23.33</x:v>
      </x:c>
      <x:c r="I2174" s="34" t="str">
        <x:v>PASS</x:v>
      </x:c>
      <x:c r="J2174" s="34" t="str">
        <x:v>PASS</x:v>
      </x:c>
      <x:c r="K2174" s="34" t="str">
        <x:v>PASS</x:v>
      </x:c>
      <x:c r="L2174" s="34" t="str">
        <x:v>PASS</x:v>
      </x:c>
      <x:c r="M2174" s="34" t="str">
        <x:v>numeric coverage for applicable metric</x:v>
      </x:c>
      <x:c r="N2174" s="34" t="str">
        <x:v>Feedback-Directed Random Test Generation/Result/JacksonDatabind_74/result.json</x:v>
      </x:c>
      <x:c r="O2174" s="38" t="n">
        <x:f>IF(AND(G2174="RECORDED",ISNUMBER(H2174)),H2174,"")</x:f>
        <x:v>23.33</x:v>
      </x:c>
      <x:c r="P2174" s="34" t="str">
        <x:v>NOT_REVEALING</x:v>
      </x:c>
      <x:c r="Q2174" s="34" t="str">
        <x:v>Feedback-Directed Random Test Generation/Result/JacksonDatabind_74/result.json</x:v>
      </x:c>
    </x:row>
    <x:row r="2175">
      <x:c r="A2175" s="34" t="str">
        <x:v>randoop</x:v>
      </x:c>
      <x:c r="B2175" s="34" t="str">
        <x:v>JacksonDatabind</x:v>
      </x:c>
      <x:c r="C2175" s="34" t="str">
        <x:v>Round1</x:v>
      </x:c>
      <x:c r="D2175" s="34" t="str">
        <x:v>JacksonDatabind_75</x:v>
      </x:c>
      <x:c r="E2175" s="34" t="str">
        <x:v>Line</x:v>
      </x:c>
      <x:c r="F2175" s="34" t="n">
        <x:v>69</x:v>
      </x:c>
      <x:c r="G2175" s="34" t="str">
        <x:v>RECORDED</x:v>
      </x:c>
      <x:c r="H2175" s="38" t="n">
        <x:f>IF(ISNUMBER('Data'!H467),'Data'!H467*100,"")</x:f>
        <x:v>2.9</x:v>
      </x:c>
      <x:c r="I2175" s="34" t="str">
        <x:v>PASS</x:v>
      </x:c>
      <x:c r="J2175" s="34" t="str">
        <x:v>PASS</x:v>
      </x:c>
      <x:c r="K2175" s="34" t="str">
        <x:v>PASS</x:v>
      </x:c>
      <x:c r="L2175" s="34" t="str">
        <x:v>PASS</x:v>
      </x:c>
      <x:c r="M2175" s="34" t="str">
        <x:v>numeric coverage for applicable metric</x:v>
      </x:c>
      <x:c r="N2175" s="34" t="str">
        <x:v>Feedback-Directed Random Test Generation/Result/JacksonDatabind_75/result.json</x:v>
      </x:c>
      <x:c r="O2175" s="38" t="n">
        <x:f>IF(AND(G2175="RECORDED",ISNUMBER(H2175)),H2175,"")</x:f>
        <x:v>2.9</x:v>
      </x:c>
      <x:c r="P2175" s="34" t="str">
        <x:v>NOT_REVEALING</x:v>
      </x:c>
      <x:c r="Q2175" s="34" t="str">
        <x:v>Feedback-Directed Random Test Generation/Result/JacksonDatabind_75/result.json</x:v>
      </x:c>
    </x:row>
    <x:row r="2176">
      <x:c r="A2176" s="34" t="str">
        <x:v>randoop</x:v>
      </x:c>
      <x:c r="B2176" s="34" t="str">
        <x:v>JacksonDatabind</x:v>
      </x:c>
      <x:c r="C2176" s="34" t="str">
        <x:v>Round1</x:v>
      </x:c>
      <x:c r="D2176" s="34" t="str">
        <x:v>JacksonDatabind_76</x:v>
      </x:c>
      <x:c r="E2176" s="34" t="str">
        <x:v>Line</x:v>
      </x:c>
      <x:c r="F2176" s="34" t="n">
        <x:v>320</x:v>
      </x:c>
      <x:c r="G2176" s="34" t="str">
        <x:v>RECORDED</x:v>
      </x:c>
      <x:c r="H2176" s="38" t="n">
        <x:f>IF(ISNUMBER('Data'!H468),'Data'!H468*100,"")</x:f>
        <x:v>2.19</x:v>
      </x:c>
      <x:c r="I2176" s="34" t="str">
        <x:v>PASS</x:v>
      </x:c>
      <x:c r="J2176" s="34" t="str">
        <x:v>PASS</x:v>
      </x:c>
      <x:c r="K2176" s="34" t="str">
        <x:v>PASS</x:v>
      </x:c>
      <x:c r="L2176" s="34" t="str">
        <x:v>PASS</x:v>
      </x:c>
      <x:c r="M2176" s="34" t="str">
        <x:v>numeric coverage for applicable metric</x:v>
      </x:c>
      <x:c r="N2176" s="34" t="str">
        <x:v>Feedback-Directed Random Test Generation/Result/JacksonDatabind_76/result.json</x:v>
      </x:c>
      <x:c r="O2176" s="38" t="n">
        <x:f>IF(AND(G2176="RECORDED",ISNUMBER(H2176)),H2176,"")</x:f>
        <x:v>2.19</x:v>
      </x:c>
      <x:c r="P2176" s="34" t="str">
        <x:v>NOT_REVEALING</x:v>
      </x:c>
      <x:c r="Q2176" s="34" t="str">
        <x:v>Feedback-Directed Random Test Generation/Result/JacksonDatabind_76/result.json</x:v>
      </x:c>
    </x:row>
    <x:row r="2177">
      <x:c r="A2177" s="34" t="str">
        <x:v>randoop</x:v>
      </x:c>
      <x:c r="B2177" s="34" t="str">
        <x:v>JacksonDatabind</x:v>
      </x:c>
      <x:c r="C2177" s="34" t="str">
        <x:v>Round1</x:v>
      </x:c>
      <x:c r="D2177" s="34" t="str">
        <x:v>JacksonDatabind_77</x:v>
      </x:c>
      <x:c r="E2177" s="34" t="str">
        <x:v>Line</x:v>
      </x:c>
      <x:c r="F2177" s="34" t="n">
        <x:v>324</x:v>
      </x:c>
      <x:c r="G2177" s="34" t="str">
        <x:v>RECORDED</x:v>
      </x:c>
      <x:c r="H2177" s="38" t="n">
        <x:f>IF(ISNUMBER('Data'!H469),'Data'!H469*100,"")</x:f>
        <x:v>9.26</x:v>
      </x:c>
      <x:c r="I2177" s="34" t="str">
        <x:v>PASS</x:v>
      </x:c>
      <x:c r="J2177" s="34" t="str">
        <x:v>PASS</x:v>
      </x:c>
      <x:c r="K2177" s="34" t="str">
        <x:v>PASS</x:v>
      </x:c>
      <x:c r="L2177" s="34" t="str">
        <x:v>PASS</x:v>
      </x:c>
      <x:c r="M2177" s="34" t="str">
        <x:v>numeric coverage for applicable metric</x:v>
      </x:c>
      <x:c r="N2177" s="34" t="str">
        <x:v>Feedback-Directed Random Test Generation/Result/JacksonDatabind_77/result.json</x:v>
      </x:c>
      <x:c r="O2177" s="38" t="n">
        <x:f>IF(AND(G2177="RECORDED",ISNUMBER(H2177)),H2177,"")</x:f>
        <x:v>9.26</x:v>
      </x:c>
      <x:c r="P2177" s="34" t="str">
        <x:v>NOT_REVEALING</x:v>
      </x:c>
      <x:c r="Q2177" s="34" t="str">
        <x:v>Feedback-Directed Random Test Generation/Result/JacksonDatabind_77/result.json</x:v>
      </x:c>
    </x:row>
    <x:row r="2178">
      <x:c r="A2178" s="34" t="str">
        <x:v>randoop</x:v>
      </x:c>
      <x:c r="B2178" s="34" t="str">
        <x:v>JacksonDatabind</x:v>
      </x:c>
      <x:c r="C2178" s="34" t="str">
        <x:v>Round1</x:v>
      </x:c>
      <x:c r="D2178" s="34" t="str">
        <x:v>JacksonDatabind_78</x:v>
      </x:c>
      <x:c r="E2178" s="34" t="str">
        <x:v>Line</x:v>
      </x:c>
      <x:c r="F2178" s="34" t="n">
        <x:v>338</x:v>
      </x:c>
      <x:c r="G2178" s="34" t="str">
        <x:v>RECORDED</x:v>
      </x:c>
      <x:c r="H2178" s="38" t="n">
        <x:f>IF(ISNUMBER('Data'!H470),'Data'!H470*100,"")</x:f>
        <x:v>9.47</x:v>
      </x:c>
      <x:c r="I2178" s="34" t="str">
        <x:v>PASS</x:v>
      </x:c>
      <x:c r="J2178" s="34" t="str">
        <x:v>PASS</x:v>
      </x:c>
      <x:c r="K2178" s="34" t="str">
        <x:v>PASS</x:v>
      </x:c>
      <x:c r="L2178" s="34" t="str">
        <x:v>PASS</x:v>
      </x:c>
      <x:c r="M2178" s="34" t="str">
        <x:v>numeric coverage for applicable metric</x:v>
      </x:c>
      <x:c r="N2178" s="34" t="str">
        <x:v>Feedback-Directed Random Test Generation/Result/JacksonDatabind_78/result.json</x:v>
      </x:c>
      <x:c r="O2178" s="38" t="n">
        <x:f>IF(AND(G2178="RECORDED",ISNUMBER(H2178)),H2178,"")</x:f>
        <x:v>9.47</x:v>
      </x:c>
      <x:c r="P2178" s="34" t="str">
        <x:v>NOT_REVEALING</x:v>
      </x:c>
      <x:c r="Q2178" s="34" t="str">
        <x:v>Feedback-Directed Random Test Generation/Result/JacksonDatabind_78/result.json</x:v>
      </x:c>
    </x:row>
    <x:row r="2179">
      <x:c r="A2179" s="34" t="str">
        <x:v>randoop</x:v>
      </x:c>
      <x:c r="B2179" s="34" t="str">
        <x:v>JacksonDatabind</x:v>
      </x:c>
      <x:c r="C2179" s="34" t="str">
        <x:v>Round1</x:v>
      </x:c>
      <x:c r="D2179" s="34" t="str">
        <x:v>JacksonDatabind_79</x:v>
      </x:c>
      <x:c r="E2179" s="34" t="str">
        <x:v>Line</x:v>
      </x:c>
      <x:c r="F2179" s="34" t="n">
        <x:v>829</x:v>
      </x:c>
      <x:c r="G2179" s="34" t="str">
        <x:v>RECORDED</x:v>
      </x:c>
      <x:c r="H2179" s="38" t="n">
        <x:f>IF(ISNUMBER('Data'!H471),'Data'!H471*100,"")</x:f>
        <x:v>10.98</x:v>
      </x:c>
      <x:c r="I2179" s="34" t="str">
        <x:v>PASS</x:v>
      </x:c>
      <x:c r="J2179" s="34" t="str">
        <x:v>PASS</x:v>
      </x:c>
      <x:c r="K2179" s="34" t="str">
        <x:v>PASS</x:v>
      </x:c>
      <x:c r="L2179" s="34" t="str">
        <x:v>PASS</x:v>
      </x:c>
      <x:c r="M2179" s="34" t="str">
        <x:v>numeric coverage for applicable metric</x:v>
      </x:c>
      <x:c r="N2179" s="34" t="str">
        <x:v>Feedback-Directed Random Test Generation/Result/JacksonDatabind_79/result.json</x:v>
      </x:c>
      <x:c r="O2179" s="38" t="n">
        <x:f>IF(AND(G2179="RECORDED",ISNUMBER(H2179)),H2179,"")</x:f>
        <x:v>10.98</x:v>
      </x:c>
      <x:c r="P2179" s="34" t="str">
        <x:v>NOT_REVEALING</x:v>
      </x:c>
      <x:c r="Q2179" s="34" t="str">
        <x:v>Feedback-Directed Random Test Generation/Result/JacksonDatabind_79/result.json</x:v>
      </x:c>
    </x:row>
    <x:row r="2180">
      <x:c r="A2180" s="34" t="str">
        <x:v>randoop</x:v>
      </x:c>
      <x:c r="B2180" s="34" t="str">
        <x:v>JacksonDatabind</x:v>
      </x:c>
      <x:c r="C2180" s="34" t="str">
        <x:v>Round1</x:v>
      </x:c>
      <x:c r="D2180" s="34" t="str">
        <x:v>JacksonDatabind_80</x:v>
      </x:c>
      <x:c r="E2180" s="34" t="str">
        <x:v>Line</x:v>
      </x:c>
      <x:c r="F2180" s="34" t="n">
        <x:v>124</x:v>
      </x:c>
      <x:c r="G2180" s="34" t="str">
        <x:v>RECORDED</x:v>
      </x:c>
      <x:c r="H2180" s="38" t="n">
        <x:f>IF(ISNUMBER('Data'!H472),'Data'!H472*100,"")</x:f>
        <x:v>8.87</x:v>
      </x:c>
      <x:c r="I2180" s="34" t="str">
        <x:v>PASS</x:v>
      </x:c>
      <x:c r="J2180" s="34" t="str">
        <x:v>PASS</x:v>
      </x:c>
      <x:c r="K2180" s="34" t="str">
        <x:v>PASS</x:v>
      </x:c>
      <x:c r="L2180" s="34" t="str">
        <x:v>PASS</x:v>
      </x:c>
      <x:c r="M2180" s="34" t="str">
        <x:v>numeric coverage for applicable metric</x:v>
      </x:c>
      <x:c r="N2180" s="34" t="str">
        <x:v>Feedback-Directed Random Test Generation/Result/JacksonDatabind_80/result.json</x:v>
      </x:c>
      <x:c r="O2180" s="38" t="n">
        <x:f>IF(AND(G2180="RECORDED",ISNUMBER(H2180)),H2180,"")</x:f>
        <x:v>8.87</x:v>
      </x:c>
      <x:c r="P2180" s="34" t="str">
        <x:v>NOT_REVEALING</x:v>
      </x:c>
      <x:c r="Q2180" s="34" t="str">
        <x:v>Feedback-Directed Random Test Generation/Result/JacksonDatabind_80/result.json</x:v>
      </x:c>
    </x:row>
    <x:row r="2181">
      <x:c r="A2181" s="34" t="str">
        <x:v>randoop</x:v>
      </x:c>
      <x:c r="B2181" s="34" t="str">
        <x:v>JacksonDatabind</x:v>
      </x:c>
      <x:c r="C2181" s="34" t="str">
        <x:v>Round1</x:v>
      </x:c>
      <x:c r="D2181" s="34" t="str">
        <x:v>JacksonDatabind_81</x:v>
      </x:c>
      <x:c r="E2181" s="34" t="str">
        <x:v>Line</x:v>
      </x:c>
      <x:c r="F2181" s="34" t="n">
        <x:v>532</x:v>
      </x:c>
      <x:c r="G2181" s="34" t="str">
        <x:v>RECORDED</x:v>
      </x:c>
      <x:c r="H2181" s="38" t="n">
        <x:f>IF(ISNUMBER('Data'!H473),'Data'!H473*100,"")</x:f>
        <x:v>16.73</x:v>
      </x:c>
      <x:c r="I2181" s="34" t="str">
        <x:v>PASS</x:v>
      </x:c>
      <x:c r="J2181" s="34" t="str">
        <x:v>PASS</x:v>
      </x:c>
      <x:c r="K2181" s="34" t="str">
        <x:v>PASS</x:v>
      </x:c>
      <x:c r="L2181" s="34" t="str">
        <x:v>PASS</x:v>
      </x:c>
      <x:c r="M2181" s="34" t="str">
        <x:v>numeric coverage for applicable metric</x:v>
      </x:c>
      <x:c r="N2181" s="34" t="str">
        <x:v>Feedback-Directed Random Test Generation/Result/JacksonDatabind_81/result.json</x:v>
      </x:c>
      <x:c r="O2181" s="38" t="n">
        <x:f>IF(AND(G2181="RECORDED",ISNUMBER(H2181)),H2181,"")</x:f>
        <x:v>16.73</x:v>
      </x:c>
      <x:c r="P2181" s="34" t="str">
        <x:v>NOT_REVEALING</x:v>
      </x:c>
      <x:c r="Q2181" s="34" t="str">
        <x:v>Feedback-Directed Random Test Generation/Result/JacksonDatabind_81/result.json</x:v>
      </x:c>
    </x:row>
    <x:row r="2182">
      <x:c r="A2182" s="34" t="str">
        <x:v>randoop</x:v>
      </x:c>
      <x:c r="B2182" s="34" t="str">
        <x:v>JacksonDatabind</x:v>
      </x:c>
      <x:c r="C2182" s="34" t="str">
        <x:v>Round1</x:v>
      </x:c>
      <x:c r="D2182" s="34" t="str">
        <x:v>JacksonDatabind_82</x:v>
      </x:c>
      <x:c r="E2182" s="34" t="str">
        <x:v>Line</x:v>
      </x:c>
      <x:c r="F2182" s="34" t="n">
        <x:v>355</x:v>
      </x:c>
      <x:c r="G2182" s="34" t="str">
        <x:v>RECORDED</x:v>
      </x:c>
      <x:c r="H2182" s="38" t="n">
        <x:f>IF(ISNUMBER('Data'!H474),'Data'!H474*100,"")</x:f>
        <x:v>12.68</x:v>
      </x:c>
      <x:c r="I2182" s="34" t="str">
        <x:v>PASS</x:v>
      </x:c>
      <x:c r="J2182" s="34" t="str">
        <x:v>PASS</x:v>
      </x:c>
      <x:c r="K2182" s="34" t="str">
        <x:v>PASS</x:v>
      </x:c>
      <x:c r="L2182" s="34" t="str">
        <x:v>PASS</x:v>
      </x:c>
      <x:c r="M2182" s="34" t="str">
        <x:v>numeric coverage for applicable metric</x:v>
      </x:c>
      <x:c r="N2182" s="34" t="str">
        <x:v>Feedback-Directed Random Test Generation/Result/JacksonDatabind_82/result.json</x:v>
      </x:c>
      <x:c r="O2182" s="38" t="n">
        <x:f>IF(AND(G2182="RECORDED",ISNUMBER(H2182)),H2182,"")</x:f>
        <x:v>12.68</x:v>
      </x:c>
      <x:c r="P2182" s="34" t="str">
        <x:v>NOT_REVEALING</x:v>
      </x:c>
      <x:c r="Q2182" s="34" t="str">
        <x:v>Feedback-Directed Random Test Generation/Result/JacksonDatabind_82/result.json</x:v>
      </x:c>
    </x:row>
    <x:row r="2183">
      <x:c r="A2183" s="34" t="str">
        <x:v>randoop</x:v>
      </x:c>
      <x:c r="B2183" s="34" t="str">
        <x:v>JacksonDatabind</x:v>
      </x:c>
      <x:c r="C2183" s="34" t="str">
        <x:v>Round1</x:v>
      </x:c>
      <x:c r="D2183" s="34" t="str">
        <x:v>JacksonDatabind_83</x:v>
      </x:c>
      <x:c r="E2183" s="34" t="str">
        <x:v>Line</x:v>
      </x:c>
      <x:c r="F2183" s="34" t="n">
        <x:v>122</x:v>
      </x:c>
      <x:c r="G2183" s="34" t="str">
        <x:v>RECORDED</x:v>
      </x:c>
      <x:c r="H2183" s="38" t="n">
        <x:f>IF(ISNUMBER('Data'!H475),'Data'!H475*100,"")</x:f>
        <x:v>0.8199999999999998</x:v>
      </x:c>
      <x:c r="I2183" s="34" t="str">
        <x:v>PASS</x:v>
      </x:c>
      <x:c r="J2183" s="34" t="str">
        <x:v>PASS</x:v>
      </x:c>
      <x:c r="K2183" s="34" t="str">
        <x:v>PASS</x:v>
      </x:c>
      <x:c r="L2183" s="34" t="str">
        <x:v>PASS</x:v>
      </x:c>
      <x:c r="M2183" s="34" t="str">
        <x:v>numeric coverage for applicable metric</x:v>
      </x:c>
      <x:c r="N2183" s="34" t="str">
        <x:v>Feedback-Directed Random Test Generation/Result/JacksonDatabind_83/result.json</x:v>
      </x:c>
      <x:c r="O2183" s="38" t="n">
        <x:f>IF(AND(G2183="RECORDED",ISNUMBER(H2183)),H2183,"")</x:f>
        <x:v>0.8199999999999998</x:v>
      </x:c>
      <x:c r="P2183" s="34" t="str">
        <x:v>NOT_REVEALING</x:v>
      </x:c>
      <x:c r="Q2183" s="34" t="str">
        <x:v>Feedback-Directed Random Test Generation/Result/JacksonDatabind_83/result.json</x:v>
      </x:c>
    </x:row>
    <x:row r="2184">
      <x:c r="A2184" s="34" t="str">
        <x:v>randoop</x:v>
      </x:c>
      <x:c r="B2184" s="34" t="str">
        <x:v>JacksonDatabind</x:v>
      </x:c>
      <x:c r="C2184" s="34" t="str">
        <x:v>Round1</x:v>
      </x:c>
      <x:c r="D2184" s="34" t="str">
        <x:v>JacksonDatabind_84</x:v>
      </x:c>
      <x:c r="E2184" s="34" t="str">
        <x:v>Line</x:v>
      </x:c>
      <x:c r="F2184" s="34" t="n">
        <x:v>30</x:v>
      </x:c>
      <x:c r="G2184" s="34" t="str">
        <x:v>RECORDED</x:v>
      </x:c>
      <x:c r="H2184" s="38" t="n">
        <x:f>IF(ISNUMBER('Data'!H476),'Data'!H476*100,"")</x:f>
        <x:v>0</x:v>
      </x:c>
      <x:c r="I2184" s="34" t="str">
        <x:v>PASS</x:v>
      </x:c>
      <x:c r="J2184" s="34" t="str">
        <x:v>PASS</x:v>
      </x:c>
      <x:c r="K2184" s="34" t="str">
        <x:v>PASS</x:v>
      </x:c>
      <x:c r="L2184" s="34" t="str">
        <x:v>PASS</x:v>
      </x:c>
      <x:c r="M2184" s="34" t="str">
        <x:v>numeric coverage for applicable metric</x:v>
      </x:c>
      <x:c r="N2184" s="34" t="str">
        <x:v>Feedback-Directed Random Test Generation/Result/JacksonDatabind_84/result.json</x:v>
      </x:c>
      <x:c r="O2184" s="38" t="n">
        <x:f>IF(AND(G2184="RECORDED",ISNUMBER(H2184)),H2184,"")</x:f>
        <x:v>0</x:v>
      </x:c>
      <x:c r="P2184" s="34" t="str">
        <x:v>NOT_REVEALING</x:v>
      </x:c>
      <x:c r="Q2184" s="34" t="str">
        <x:v>Feedback-Directed Random Test Generation/Result/JacksonDatabind_84/result.json</x:v>
      </x:c>
    </x:row>
    <x:row r="2185">
      <x:c r="A2185" s="34" t="str">
        <x:v>randoop</x:v>
      </x:c>
      <x:c r="B2185" s="34" t="str">
        <x:v>JacksonDatabind</x:v>
      </x:c>
      <x:c r="C2185" s="34" t="str">
        <x:v>Round1</x:v>
      </x:c>
      <x:c r="D2185" s="34" t="str">
        <x:v>JacksonDatabind_85</x:v>
      </x:c>
      <x:c r="E2185" s="34" t="str">
        <x:v>Line</x:v>
      </x:c>
      <x:c r="F2185" s="34" t="n">
        <x:v>43</x:v>
      </x:c>
      <x:c r="G2185" s="34" t="str">
        <x:v>RECORDED</x:v>
      </x:c>
      <x:c r="H2185" s="38" t="n">
        <x:f>IF(ISNUMBER('Data'!H477),'Data'!H477*100,"")</x:f>
        <x:v>0</x:v>
      </x:c>
      <x:c r="I2185" s="34" t="str">
        <x:v>PASS</x:v>
      </x:c>
      <x:c r="J2185" s="34" t="str">
        <x:v>PASS</x:v>
      </x:c>
      <x:c r="K2185" s="34" t="str">
        <x:v>PASS</x:v>
      </x:c>
      <x:c r="L2185" s="34" t="str">
        <x:v>PASS</x:v>
      </x:c>
      <x:c r="M2185" s="34" t="str">
        <x:v>numeric coverage for applicable metric</x:v>
      </x:c>
      <x:c r="N2185" s="34" t="str">
        <x:v>Feedback-Directed Random Test Generation/Result/JacksonDatabind_85/result.json</x:v>
      </x:c>
      <x:c r="O2185" s="38" t="n">
        <x:f>IF(AND(G2185="RECORDED",ISNUMBER(H2185)),H2185,"")</x:f>
        <x:v>0</x:v>
      </x:c>
      <x:c r="P2185" s="34" t="str">
        <x:v>NOT_REVEALING</x:v>
      </x:c>
      <x:c r="Q2185" s="34" t="str">
        <x:v>Feedback-Directed Random Test Generation/Result/JacksonDatabind_85/result.json</x:v>
      </x:c>
    </x:row>
    <x:row r="2186">
      <x:c r="A2186" s="34" t="str">
        <x:v>randoop</x:v>
      </x:c>
      <x:c r="B2186" s="34" t="str">
        <x:v>JacksonDatabind</x:v>
      </x:c>
      <x:c r="C2186" s="34" t="str">
        <x:v>Round1</x:v>
      </x:c>
      <x:c r="D2186" s="34" t="str">
        <x:v>JacksonDatabind_86</x:v>
      </x:c>
      <x:c r="E2186" s="34" t="str">
        <x:v>Line</x:v>
      </x:c>
      <x:c r="F2186" s="34" t="n">
        <x:v>30</x:v>
      </x:c>
      <x:c r="G2186" s="34" t="str">
        <x:v>RECORDED</x:v>
      </x:c>
      <x:c r="H2186" s="38" t="n">
        <x:f>IF(ISNUMBER('Data'!H478),'Data'!H478*100,"")</x:f>
        <x:v>0</x:v>
      </x:c>
      <x:c r="I2186" s="34" t="str">
        <x:v>PASS</x:v>
      </x:c>
      <x:c r="J2186" s="34" t="str">
        <x:v>PASS</x:v>
      </x:c>
      <x:c r="K2186" s="34" t="str">
        <x:v>PASS</x:v>
      </x:c>
      <x:c r="L2186" s="34" t="str">
        <x:v>PASS</x:v>
      </x:c>
      <x:c r="M2186" s="34" t="str">
        <x:v>numeric coverage for applicable metric</x:v>
      </x:c>
      <x:c r="N2186" s="34" t="str">
        <x:v>Feedback-Directed Random Test Generation/Result/JacksonDatabind_86/result.json</x:v>
      </x:c>
      <x:c r="O2186" s="38" t="n">
        <x:f>IF(AND(G2186="RECORDED",ISNUMBER(H2186)),H2186,"")</x:f>
        <x:v>0</x:v>
      </x:c>
      <x:c r="P2186" s="34" t="str">
        <x:v>NOT_REVEALING</x:v>
      </x:c>
      <x:c r="Q2186" s="34" t="str">
        <x:v>Feedback-Directed Random Test Generation/Result/JacksonDatabind_86/result.json</x:v>
      </x:c>
    </x:row>
    <x:row r="2187">
      <x:c r="A2187" s="34" t="str">
        <x:v>randoop</x:v>
      </x:c>
      <x:c r="B2187" s="34" t="str">
        <x:v>JacksonDatabind</x:v>
      </x:c>
      <x:c r="C2187" s="34" t="str">
        <x:v>Round1</x:v>
      </x:c>
      <x:c r="D2187" s="34" t="str">
        <x:v>JacksonDatabind_87</x:v>
      </x:c>
      <x:c r="E2187" s="34" t="str">
        <x:v>Line</x:v>
      </x:c>
      <x:c r="F2187" s="34" t="n">
        <x:v>202</x:v>
      </x:c>
      <x:c r="G2187" s="34" t="str">
        <x:v>RECORDED</x:v>
      </x:c>
      <x:c r="H2187" s="38" t="n">
        <x:f>IF(ISNUMBER('Data'!H479),'Data'!H479*100,"")</x:f>
        <x:v>77.23</x:v>
      </x:c>
      <x:c r="I2187" s="34" t="str">
        <x:v>PASS</x:v>
      </x:c>
      <x:c r="J2187" s="34" t="str">
        <x:v>PASS</x:v>
      </x:c>
      <x:c r="K2187" s="34" t="str">
        <x:v>PASS</x:v>
      </x:c>
      <x:c r="L2187" s="34" t="str">
        <x:v>PASS</x:v>
      </x:c>
      <x:c r="M2187" s="34" t="str">
        <x:v>numeric coverage for applicable metric</x:v>
      </x:c>
      <x:c r="N2187" s="34" t="str">
        <x:v>Feedback-Directed Random Test Generation/Result/JacksonDatabind_87/result.json</x:v>
      </x:c>
      <x:c r="O2187" s="38" t="n">
        <x:f>IF(AND(G2187="RECORDED",ISNUMBER(H2187)),H2187,"")</x:f>
        <x:v>77.23</x:v>
      </x:c>
      <x:c r="P2187" s="34" t="str">
        <x:v>INCONCLUSIVE</x:v>
      </x:c>
      <x:c r="Q2187" s="34" t="str">
        <x:v>Feedback-Directed Random Test Generation/Result/JacksonDatabind_87/result.json</x:v>
      </x:c>
    </x:row>
    <x:row r="2188">
      <x:c r="A2188" s="34" t="str">
        <x:v>randoop</x:v>
      </x:c>
      <x:c r="B2188" s="34" t="str">
        <x:v>JacksonDatabind</x:v>
      </x:c>
      <x:c r="C2188" s="34" t="str">
        <x:v>Round1</x:v>
      </x:c>
      <x:c r="D2188" s="34" t="str">
        <x:v>JacksonDatabind_88</x:v>
      </x:c>
      <x:c r="E2188" s="34" t="str">
        <x:v>Line</x:v>
      </x:c>
      <x:c r="F2188" s="34" t="n">
        <x:v>48</x:v>
      </x:c>
      <x:c r="G2188" s="34" t="str">
        <x:v>RECORDED</x:v>
      </x:c>
      <x:c r="H2188" s="38" t="n">
        <x:f>IF(ISNUMBER('Data'!H480),'Data'!H480*100,"")</x:f>
        <x:v>31.25</x:v>
      </x:c>
      <x:c r="I2188" s="34" t="str">
        <x:v>PASS</x:v>
      </x:c>
      <x:c r="J2188" s="34" t="str">
        <x:v>PASS</x:v>
      </x:c>
      <x:c r="K2188" s="34" t="str">
        <x:v>PASS</x:v>
      </x:c>
      <x:c r="L2188" s="34" t="str">
        <x:v>PASS</x:v>
      </x:c>
      <x:c r="M2188" s="34" t="str">
        <x:v>numeric coverage for applicable metric</x:v>
      </x:c>
      <x:c r="N2188" s="34" t="str">
        <x:v>Feedback-Directed Random Test Generation/Result/JacksonDatabind_88/result.json</x:v>
      </x:c>
      <x:c r="O2188" s="38" t="n">
        <x:f>IF(AND(G2188="RECORDED",ISNUMBER(H2188)),H2188,"")</x:f>
        <x:v>31.25</x:v>
      </x:c>
      <x:c r="P2188" s="34" t="str">
        <x:v>NOT_REVEALING</x:v>
      </x:c>
      <x:c r="Q2188" s="34" t="str">
        <x:v>Feedback-Directed Random Test Generation/Result/JacksonDatabind_88/result.json</x:v>
      </x:c>
    </x:row>
    <x:row r="2189">
      <x:c r="A2189" s="34" t="str">
        <x:v>randoop</x:v>
      </x:c>
      <x:c r="B2189" s="34" t="str">
        <x:v>JacksonDatabind</x:v>
      </x:c>
      <x:c r="C2189" s="34" t="str">
        <x:v>Round1</x:v>
      </x:c>
      <x:c r="D2189" s="34" t="str">
        <x:v>JacksonDatabind_90</x:v>
      </x:c>
      <x:c r="E2189" s="34" t="str">
        <x:v>Line</x:v>
      </x:c>
      <x:c r="F2189" s="34" t="n">
        <x:v>219</x:v>
      </x:c>
      <x:c r="G2189" s="34" t="str">
        <x:v>RECORDED</x:v>
      </x:c>
      <x:c r="H2189" s="38" t="n">
        <x:f>IF(ISNUMBER('Data'!H481),'Data'!H481*100,"")</x:f>
        <x:v>40.18</x:v>
      </x:c>
      <x:c r="I2189" s="34" t="str">
        <x:v>PASS</x:v>
      </x:c>
      <x:c r="J2189" s="34" t="str">
        <x:v>PASS</x:v>
      </x:c>
      <x:c r="K2189" s="34" t="str">
        <x:v>PASS</x:v>
      </x:c>
      <x:c r="L2189" s="34" t="str">
        <x:v>PASS</x:v>
      </x:c>
      <x:c r="M2189" s="34" t="str">
        <x:v>numeric coverage for applicable metric</x:v>
      </x:c>
      <x:c r="N2189" s="34" t="str">
        <x:v>Feedback-Directed Random Test Generation/Result/JacksonDatabind_90/result.json</x:v>
      </x:c>
      <x:c r="O2189" s="38" t="n">
        <x:f>IF(AND(G2189="RECORDED",ISNUMBER(H2189)),H2189,"")</x:f>
        <x:v>40.18</x:v>
      </x:c>
      <x:c r="P2189" s="34" t="str">
        <x:v>NOT_REVEALING</x:v>
      </x:c>
      <x:c r="Q2189" s="34" t="str">
        <x:v>Feedback-Directed Random Test Generation/Result/JacksonDatabind_90/result.json</x:v>
      </x:c>
    </x:row>
    <x:row r="2190">
      <x:c r="A2190" s="34" t="str">
        <x:v>randoop</x:v>
      </x:c>
      <x:c r="B2190" s="34" t="str">
        <x:v>JacksonDatabind</x:v>
      </x:c>
      <x:c r="C2190" s="34" t="str">
        <x:v>Round1</x:v>
      </x:c>
      <x:c r="D2190" s="34" t="str">
        <x:v>JacksonDatabind_91</x:v>
      </x:c>
      <x:c r="E2190" s="34" t="str">
        <x:v>Line</x:v>
      </x:c>
      <x:c r="F2190" s="34" t="n">
        <x:v>164</x:v>
      </x:c>
      <x:c r="G2190" s="34" t="str">
        <x:v>RECORDED</x:v>
      </x:c>
      <x:c r="H2190" s="38" t="n">
        <x:f>IF(ISNUMBER('Data'!H482),'Data'!H482*100,"")</x:f>
        <x:v>14.63</x:v>
      </x:c>
      <x:c r="I2190" s="34" t="str">
        <x:v>PASS</x:v>
      </x:c>
      <x:c r="J2190" s="34" t="str">
        <x:v>PASS</x:v>
      </x:c>
      <x:c r="K2190" s="34" t="str">
        <x:v>PASS</x:v>
      </x:c>
      <x:c r="L2190" s="34" t="str">
        <x:v>PASS</x:v>
      </x:c>
      <x:c r="M2190" s="34" t="str">
        <x:v>numeric coverage for applicable metric</x:v>
      </x:c>
      <x:c r="N2190" s="34" t="str">
        <x:v>Feedback-Directed Random Test Generation/Result/JacksonDatabind_91/result.json</x:v>
      </x:c>
      <x:c r="O2190" s="38" t="n">
        <x:f>IF(AND(G2190="RECORDED",ISNUMBER(H2190)),H2190,"")</x:f>
        <x:v>14.63</x:v>
      </x:c>
      <x:c r="P2190" s="34" t="str">
        <x:v>NOT_REVEALING</x:v>
      </x:c>
      <x:c r="Q2190" s="34" t="str">
        <x:v>Feedback-Directed Random Test Generation/Result/JacksonDatabind_91/result.json</x:v>
      </x:c>
    </x:row>
    <x:row r="2191">
      <x:c r="A2191" s="34" t="str">
        <x:v>randoop</x:v>
      </x:c>
      <x:c r="B2191" s="34" t="str">
        <x:v>JacksonDatabind</x:v>
      </x:c>
      <x:c r="C2191" s="34" t="str">
        <x:v>Round1</x:v>
      </x:c>
      <x:c r="D2191" s="34" t="str">
        <x:v>JacksonDatabind_92</x:v>
      </x:c>
      <x:c r="E2191" s="34" t="str">
        <x:v>Line</x:v>
      </x:c>
      <x:c r="F2191" s="34" t="n">
        <x:v>343</x:v>
      </x:c>
      <x:c r="G2191" s="34" t="str">
        <x:v>RECORDED</x:v>
      </x:c>
      <x:c r="H2191" s="38" t="n">
        <x:f>IF(ISNUMBER('Data'!H483),'Data'!H483*100,"")</x:f>
        <x:v>12.83</x:v>
      </x:c>
      <x:c r="I2191" s="34" t="str">
        <x:v>PASS</x:v>
      </x:c>
      <x:c r="J2191" s="34" t="str">
        <x:v>PASS</x:v>
      </x:c>
      <x:c r="K2191" s="34" t="str">
        <x:v>PASS</x:v>
      </x:c>
      <x:c r="L2191" s="34" t="str">
        <x:v>PASS</x:v>
      </x:c>
      <x:c r="M2191" s="34" t="str">
        <x:v>numeric coverage for applicable metric</x:v>
      </x:c>
      <x:c r="N2191" s="34" t="str">
        <x:v>Feedback-Directed Random Test Generation/Result/JacksonDatabind_92/result.json</x:v>
      </x:c>
      <x:c r="O2191" s="38" t="n">
        <x:f>IF(AND(G2191="RECORDED",ISNUMBER(H2191)),H2191,"")</x:f>
        <x:v>12.83</x:v>
      </x:c>
      <x:c r="P2191" s="34" t="str">
        <x:v>NOT_REVEALING</x:v>
      </x:c>
      <x:c r="Q2191" s="34" t="str">
        <x:v>Feedback-Directed Random Test Generation/Result/JacksonDatabind_92/result.json</x:v>
      </x:c>
    </x:row>
    <x:row r="2192">
      <x:c r="A2192" s="34" t="str">
        <x:v>randoop</x:v>
      </x:c>
      <x:c r="B2192" s="34" t="str">
        <x:v>JacksonDatabind</x:v>
      </x:c>
      <x:c r="C2192" s="34" t="str">
        <x:v>Round1</x:v>
      </x:c>
      <x:c r="D2192" s="34" t="str">
        <x:v>JacksonDatabind_93</x:v>
      </x:c>
      <x:c r="E2192" s="34" t="str">
        <x:v>Line</x:v>
      </x:c>
      <x:c r="F2192" s="34" t="n">
        <x:v>36</x:v>
      </x:c>
      <x:c r="G2192" s="34" t="str">
        <x:v>RECORDED</x:v>
      </x:c>
      <x:c r="H2192" s="38" t="n">
        <x:f>IF(ISNUMBER('Data'!H484),'Data'!H484*100,"")</x:f>
        <x:v>66.67</x:v>
      </x:c>
      <x:c r="I2192" s="34" t="str">
        <x:v>PASS</x:v>
      </x:c>
      <x:c r="J2192" s="34" t="str">
        <x:v>PASS</x:v>
      </x:c>
      <x:c r="K2192" s="34" t="str">
        <x:v>PASS</x:v>
      </x:c>
      <x:c r="L2192" s="34" t="str">
        <x:v>PASS</x:v>
      </x:c>
      <x:c r="M2192" s="34" t="str">
        <x:v>numeric coverage for applicable metric</x:v>
      </x:c>
      <x:c r="N2192" s="34" t="str">
        <x:v>Feedback-Directed Random Test Generation/Result/JacksonDatabind_93/result.json</x:v>
      </x:c>
      <x:c r="O2192" s="38" t="n">
        <x:f>IF(AND(G2192="RECORDED",ISNUMBER(H2192)),H2192,"")</x:f>
        <x:v>66.67</x:v>
      </x:c>
      <x:c r="P2192" s="34" t="str">
        <x:v>NOT_REVEALING</x:v>
      </x:c>
      <x:c r="Q2192" s="34" t="str">
        <x:v>Feedback-Directed Random Test Generation/Result/JacksonDatabind_93/result.json</x:v>
      </x:c>
    </x:row>
    <x:row r="2193">
      <x:c r="A2193" s="34" t="str">
        <x:v>randoop</x:v>
      </x:c>
      <x:c r="B2193" s="34" t="str">
        <x:v>JacksonDatabind</x:v>
      </x:c>
      <x:c r="C2193" s="34" t="str">
        <x:v>Round1</x:v>
      </x:c>
      <x:c r="D2193" s="34" t="str">
        <x:v>JacksonDatabind_94</x:v>
      </x:c>
      <x:c r="E2193" s="34" t="str">
        <x:v>Line</x:v>
      </x:c>
      <x:c r="F2193" s="34" t="n">
        <x:v>35</x:v>
      </x:c>
      <x:c r="G2193" s="34" t="str">
        <x:v>RECORDED</x:v>
      </x:c>
      <x:c r="H2193" s="38" t="n">
        <x:f>IF(ISNUMBER('Data'!H485),'Data'!H485*100,"")</x:f>
        <x:v>62.86000000000001</x:v>
      </x:c>
      <x:c r="I2193" s="34" t="str">
        <x:v>PASS</x:v>
      </x:c>
      <x:c r="J2193" s="34" t="str">
        <x:v>PASS</x:v>
      </x:c>
      <x:c r="K2193" s="34" t="str">
        <x:v>PASS</x:v>
      </x:c>
      <x:c r="L2193" s="34" t="str">
        <x:v>FAIL</x:v>
      </x:c>
      <x:c r="M2193" s="34" t="str">
        <x:v>numeric coverage for applicable metric</x:v>
      </x:c>
      <x:c r="N2193" s="34" t="str">
        <x:v>Feedback-Directed Random Test Generation/Result/JacksonDatabind_94/result.json</x:v>
      </x:c>
      <x:c r="O2193" s="38" t="n">
        <x:f>IF(AND(G2193="RECORDED",ISNUMBER(H2193)),H2193,"")</x:f>
        <x:v>62.86000000000001</x:v>
      </x:c>
      <x:c r="P2193" s="34" t="str">
        <x:v>INCONCLUSIVE</x:v>
      </x:c>
      <x:c r="Q2193" s="34" t="str">
        <x:v>Feedback-Directed Random Test Generation/Result/JacksonDatabind_94/result.json</x:v>
      </x:c>
    </x:row>
    <x:row r="2194">
      <x:c r="A2194" s="34" t="str">
        <x:v>randoop</x:v>
      </x:c>
      <x:c r="B2194" s="34" t="str">
        <x:v>JacksonDatabind</x:v>
      </x:c>
      <x:c r="C2194" s="34" t="str">
        <x:v>Round1</x:v>
      </x:c>
      <x:c r="D2194" s="34" t="str">
        <x:v>JacksonDatabind_95</x:v>
      </x:c>
      <x:c r="E2194" s="34" t="str">
        <x:v>Line</x:v>
      </x:c>
      <x:c r="F2194" s="34" t="n">
        <x:v>459</x:v>
      </x:c>
      <x:c r="G2194" s="34" t="str">
        <x:v>RECORDED</x:v>
      </x:c>
      <x:c r="H2194" s="38" t="n">
        <x:f>IF(ISNUMBER('Data'!H486),'Data'!H486*100,"")</x:f>
        <x:v>47.71</x:v>
      </x:c>
      <x:c r="I2194" s="34" t="str">
        <x:v>PASS</x:v>
      </x:c>
      <x:c r="J2194" s="34" t="str">
        <x:v>PASS</x:v>
      </x:c>
      <x:c r="K2194" s="34" t="str">
        <x:v>PASS</x:v>
      </x:c>
      <x:c r="L2194" s="34" t="str">
        <x:v>PASS</x:v>
      </x:c>
      <x:c r="M2194" s="34" t="str">
        <x:v>numeric coverage for applicable metric</x:v>
      </x:c>
      <x:c r="N2194" s="34" t="str">
        <x:v>Feedback-Directed Random Test Generation/Result/JacksonDatabind_95/result.json</x:v>
      </x:c>
      <x:c r="O2194" s="38" t="n">
        <x:f>IF(AND(G2194="RECORDED",ISNUMBER(H2194)),H2194,"")</x:f>
        <x:v>47.71</x:v>
      </x:c>
      <x:c r="P2194" s="34" t="str">
        <x:v>NOT_REVEALING</x:v>
      </x:c>
      <x:c r="Q2194" s="34" t="str">
        <x:v>Feedback-Directed Random Test Generation/Result/JacksonDatabind_95/result.json</x:v>
      </x:c>
    </x:row>
    <x:row r="2195">
      <x:c r="A2195" s="34" t="str">
        <x:v>randoop</x:v>
      </x:c>
      <x:c r="B2195" s="34" t="str">
        <x:v>JacksonDatabind</x:v>
      </x:c>
      <x:c r="C2195" s="34" t="str">
        <x:v>Round1</x:v>
      </x:c>
      <x:c r="D2195" s="34" t="str">
        <x:v>JacksonDatabind_96</x:v>
      </x:c>
      <x:c r="E2195" s="34" t="str">
        <x:v>Line</x:v>
      </x:c>
      <x:c r="F2195" s="34" t="n">
        <x:v>889</x:v>
      </x:c>
      <x:c r="G2195" s="34" t="str">
        <x:v>RECORDED</x:v>
      </x:c>
      <x:c r="H2195" s="38" t="n">
        <x:f>IF(ISNUMBER('Data'!H487),'Data'!H487*100,"")</x:f>
        <x:v>2.36</x:v>
      </x:c>
      <x:c r="I2195" s="34" t="str">
        <x:v>PASS</x:v>
      </x:c>
      <x:c r="J2195" s="34" t="str">
        <x:v>PASS</x:v>
      </x:c>
      <x:c r="K2195" s="34" t="str">
        <x:v>PASS</x:v>
      </x:c>
      <x:c r="L2195" s="34" t="str">
        <x:v>PASS</x:v>
      </x:c>
      <x:c r="M2195" s="34" t="str">
        <x:v>numeric coverage for applicable metric</x:v>
      </x:c>
      <x:c r="N2195" s="34" t="str">
        <x:v>Feedback-Directed Random Test Generation/Result/JacksonDatabind_96/result.json</x:v>
      </x:c>
      <x:c r="O2195" s="38" t="n">
        <x:f>IF(AND(G2195="RECORDED",ISNUMBER(H2195)),H2195,"")</x:f>
        <x:v>2.36</x:v>
      </x:c>
      <x:c r="P2195" s="34" t="str">
        <x:v>NOT_REVEALING</x:v>
      </x:c>
      <x:c r="Q2195" s="34" t="str">
        <x:v>Feedback-Directed Random Test Generation/Result/JacksonDatabind_96/result.json</x:v>
      </x:c>
    </x:row>
    <x:row r="2196">
      <x:c r="A2196" s="34" t="str">
        <x:v>randoop</x:v>
      </x:c>
      <x:c r="B2196" s="34" t="str">
        <x:v>JacksonDatabind</x:v>
      </x:c>
      <x:c r="C2196" s="34" t="str">
        <x:v>Round1</x:v>
      </x:c>
      <x:c r="D2196" s="34" t="str">
        <x:v>JacksonDatabind_97</x:v>
      </x:c>
      <x:c r="E2196" s="34" t="str">
        <x:v>Line</x:v>
      </x:c>
      <x:c r="F2196" s="34" t="n">
        <x:v>41</x:v>
      </x:c>
      <x:c r="G2196" s="34" t="str">
        <x:v>RECORDED</x:v>
      </x:c>
      <x:c r="H2196" s="38" t="n">
        <x:f>IF(ISNUMBER('Data'!H488),'Data'!H488*100,"")</x:f>
        <x:v>82.93</x:v>
      </x:c>
      <x:c r="I2196" s="34" t="str">
        <x:v>PASS</x:v>
      </x:c>
      <x:c r="J2196" s="34" t="str">
        <x:v>PASS</x:v>
      </x:c>
      <x:c r="K2196" s="34" t="str">
        <x:v>PASS</x:v>
      </x:c>
      <x:c r="L2196" s="34" t="str">
        <x:v>PASS</x:v>
      </x:c>
      <x:c r="M2196" s="34" t="str">
        <x:v>numeric coverage for applicable metric</x:v>
      </x:c>
      <x:c r="N2196" s="34" t="str">
        <x:v>Feedback-Directed Random Test Generation/Result/JacksonDatabind_97/result.json</x:v>
      </x:c>
      <x:c r="O2196" s="38" t="n">
        <x:f>IF(AND(G2196="RECORDED",ISNUMBER(H2196)),H2196,"")</x:f>
        <x:v>82.93</x:v>
      </x:c>
      <x:c r="P2196" s="34" t="str">
        <x:v>NOT_REVEALING</x:v>
      </x:c>
      <x:c r="Q2196" s="34" t="str">
        <x:v>Feedback-Directed Random Test Generation/Result/JacksonDatabind_97/result.json</x:v>
      </x:c>
    </x:row>
    <x:row r="2197">
      <x:c r="A2197" s="34" t="str">
        <x:v>randoop</x:v>
      </x:c>
      <x:c r="B2197" s="34" t="str">
        <x:v>JacksonDatabind</x:v>
      </x:c>
      <x:c r="C2197" s="34" t="str">
        <x:v>Round1</x:v>
      </x:c>
      <x:c r="D2197" s="34" t="str">
        <x:v>JacksonDatabind_98</x:v>
      </x:c>
      <x:c r="E2197" s="34" t="str">
        <x:v>Line</x:v>
      </x:c>
      <x:c r="F2197" s="34" t="n">
        <x:v>207</x:v>
      </x:c>
      <x:c r="G2197" s="34" t="str">
        <x:v>RECORDED</x:v>
      </x:c>
      <x:c r="H2197" s="38" t="n">
        <x:f>IF(ISNUMBER('Data'!H489),'Data'!H489*100,"")</x:f>
        <x:v>22.22</x:v>
      </x:c>
      <x:c r="I2197" s="34" t="str">
        <x:v>PASS</x:v>
      </x:c>
      <x:c r="J2197" s="34" t="str">
        <x:v>PASS</x:v>
      </x:c>
      <x:c r="K2197" s="34" t="str">
        <x:v>PASS</x:v>
      </x:c>
      <x:c r="L2197" s="34" t="str">
        <x:v>PASS</x:v>
      </x:c>
      <x:c r="M2197" s="34" t="str">
        <x:v>numeric coverage for applicable metric</x:v>
      </x:c>
      <x:c r="N2197" s="34" t="str">
        <x:v>Feedback-Directed Random Test Generation/Result/JacksonDatabind_98/result.json</x:v>
      </x:c>
      <x:c r="O2197" s="38" t="n">
        <x:f>IF(AND(G2197="RECORDED",ISNUMBER(H2197)),H2197,"")</x:f>
        <x:v>22.22</x:v>
      </x:c>
      <x:c r="P2197" s="34" t="str">
        <x:v>NOT_REVEALING</x:v>
      </x:c>
      <x:c r="Q2197" s="34" t="str">
        <x:v>Feedback-Directed Random Test Generation/Result/JacksonDatabind_98/result.json</x:v>
      </x:c>
    </x:row>
    <x:row r="2198">
      <x:c r="A2198" s="34" t="str">
        <x:v>randoop</x:v>
      </x:c>
      <x:c r="B2198" s="34" t="str">
        <x:v>JacksonDatabind</x:v>
      </x:c>
      <x:c r="C2198" s="34" t="str">
        <x:v>Round1</x:v>
      </x:c>
      <x:c r="D2198" s="34" t="str">
        <x:v>JacksonDatabind_99</x:v>
      </x:c>
      <x:c r="E2198" s="34" t="str">
        <x:v>Line</x:v>
      </x:c>
      <x:c r="F2198" s="34" t="n">
        <x:v>70</x:v>
      </x:c>
      <x:c r="G2198" s="34" t="str">
        <x:v>RECORDED</x:v>
      </x:c>
      <x:c r="H2198" s="38" t="n">
        <x:f>IF(ISNUMBER('Data'!H490),'Data'!H490*100,"")</x:f>
        <x:v>4.29</x:v>
      </x:c>
      <x:c r="I2198" s="34" t="str">
        <x:v>PASS</x:v>
      </x:c>
      <x:c r="J2198" s="34" t="str">
        <x:v>PASS</x:v>
      </x:c>
      <x:c r="K2198" s="34" t="str">
        <x:v>PASS</x:v>
      </x:c>
      <x:c r="L2198" s="34" t="str">
        <x:v>PASS</x:v>
      </x:c>
      <x:c r="M2198" s="34" t="str">
        <x:v>numeric coverage for applicable metric</x:v>
      </x:c>
      <x:c r="N2198" s="34" t="str">
        <x:v>Feedback-Directed Random Test Generation/Result/JacksonDatabind_99/result.json</x:v>
      </x:c>
      <x:c r="O2198" s="38" t="n">
        <x:f>IF(AND(G2198="RECORDED",ISNUMBER(H2198)),H2198,"")</x:f>
        <x:v>4.29</x:v>
      </x:c>
      <x:c r="P2198" s="34" t="str">
        <x:v>NOT_REVEALING</x:v>
      </x:c>
      <x:c r="Q2198" s="34" t="str">
        <x:v>Feedback-Directed Random Test Generation/Result/JacksonDatabind_99/result.json</x:v>
      </x:c>
    </x:row>
    <x:row r="2199">
      <x:c r="A2199" s="34" t="str">
        <x:v>randoop</x:v>
      </x:c>
      <x:c r="B2199" s="34" t="str">
        <x:v>JacksonDatabind</x:v>
      </x:c>
      <x:c r="C2199" s="34" t="str">
        <x:v>Round1</x:v>
      </x:c>
      <x:c r="D2199" s="34" t="str">
        <x:v>JacksonDatabind_100</x:v>
      </x:c>
      <x:c r="E2199" s="34" t="str">
        <x:v>Line</x:v>
      </x:c>
      <x:c r="F2199" s="34" t="n">
        <x:v>123</x:v>
      </x:c>
      <x:c r="G2199" s="34" t="str">
        <x:v>RECORDED</x:v>
      </x:c>
      <x:c r="H2199" s="38" t="n">
        <x:f>IF(ISNUMBER('Data'!H491),'Data'!H491*100,"")</x:f>
        <x:v>3.25</x:v>
      </x:c>
      <x:c r="I2199" s="34" t="str">
        <x:v>PASS</x:v>
      </x:c>
      <x:c r="J2199" s="34" t="str">
        <x:v>PASS</x:v>
      </x:c>
      <x:c r="K2199" s="34" t="str">
        <x:v>PASS</x:v>
      </x:c>
      <x:c r="L2199" s="34" t="str">
        <x:v>PASS</x:v>
      </x:c>
      <x:c r="M2199" s="34" t="str">
        <x:v>numeric coverage for applicable metric</x:v>
      </x:c>
      <x:c r="N2199" s="34" t="str">
        <x:v>Feedback-Directed Random Test Generation/Result/JacksonDatabind_100/result.json</x:v>
      </x:c>
      <x:c r="O2199" s="38" t="n">
        <x:f>IF(AND(G2199="RECORDED",ISNUMBER(H2199)),H2199,"")</x:f>
        <x:v>3.25</x:v>
      </x:c>
      <x:c r="P2199" s="34" t="str">
        <x:v>NOT_REVEALING</x:v>
      </x:c>
      <x:c r="Q2199" s="34" t="str">
        <x:v>Feedback-Directed Random Test Generation/Result/JacksonDatabind_100/result.json</x:v>
      </x:c>
    </x:row>
    <x:row r="2200">
      <x:c r="A2200" s="34" t="str">
        <x:v>randoop</x:v>
      </x:c>
      <x:c r="B2200" s="34" t="str">
        <x:v>JacksonDatabind</x:v>
      </x:c>
      <x:c r="C2200" s="34" t="str">
        <x:v>Round1</x:v>
      </x:c>
      <x:c r="D2200" s="34" t="str">
        <x:v>JacksonDatabind_101</x:v>
      </x:c>
      <x:c r="E2200" s="34" t="str">
        <x:v>Line</x:v>
      </x:c>
      <x:c r="F2200" s="34" t="n">
        <x:v>463</x:v>
      </x:c>
      <x:c r="G2200" s="34" t="str">
        <x:v>RECORDED</x:v>
      </x:c>
      <x:c r="H2200" s="38" t="n">
        <x:f>IF(ISNUMBER('Data'!H492),'Data'!H492*100,"")</x:f>
        <x:v>1.73</x:v>
      </x:c>
      <x:c r="I2200" s="34" t="str">
        <x:v>PASS</x:v>
      </x:c>
      <x:c r="J2200" s="34" t="str">
        <x:v>PASS</x:v>
      </x:c>
      <x:c r="K2200" s="34" t="str">
        <x:v>PASS</x:v>
      </x:c>
      <x:c r="L2200" s="34" t="str">
        <x:v>PASS</x:v>
      </x:c>
      <x:c r="M2200" s="34" t="str">
        <x:v>numeric coverage for applicable metric</x:v>
      </x:c>
      <x:c r="N2200" s="34" t="str">
        <x:v>Feedback-Directed Random Test Generation/Result/JacksonDatabind_101/result.json</x:v>
      </x:c>
      <x:c r="O2200" s="38" t="n">
        <x:f>IF(AND(G2200="RECORDED",ISNUMBER(H2200)),H2200,"")</x:f>
        <x:v>1.73</x:v>
      </x:c>
      <x:c r="P2200" s="34" t="str">
        <x:v>NOT_REVEALING</x:v>
      </x:c>
      <x:c r="Q2200" s="34" t="str">
        <x:v>Feedback-Directed Random Test Generation/Result/JacksonDatabind_101/result.json</x:v>
      </x:c>
    </x:row>
    <x:row r="2201">
      <x:c r="A2201" s="34" t="str">
        <x:v>randoop</x:v>
      </x:c>
      <x:c r="B2201" s="34" t="str">
        <x:v>JacksonDatabind</x:v>
      </x:c>
      <x:c r="C2201" s="34" t="str">
        <x:v>Round1</x:v>
      </x:c>
      <x:c r="D2201" s="34" t="str">
        <x:v>JacksonDatabind_102</x:v>
      </x:c>
      <x:c r="E2201" s="34" t="str">
        <x:v>Line</x:v>
      </x:c>
      <x:c r="F2201" s="34" t="n">
        <x:v>71</x:v>
      </x:c>
      <x:c r="G2201" s="34" t="str">
        <x:v>RECORDED</x:v>
      </x:c>
      <x:c r="H2201" s="38" t="n">
        <x:f>IF(ISNUMBER('Data'!H493),'Data'!H493*100,"")</x:f>
        <x:v>0</x:v>
      </x:c>
      <x:c r="I2201" s="34" t="str">
        <x:v>PASS</x:v>
      </x:c>
      <x:c r="J2201" s="34" t="str">
        <x:v>PASS</x:v>
      </x:c>
      <x:c r="K2201" s="34" t="str">
        <x:v>PASS</x:v>
      </x:c>
      <x:c r="L2201" s="34" t="str">
        <x:v>PASS</x:v>
      </x:c>
      <x:c r="M2201" s="34" t="str">
        <x:v>numeric coverage for applicable metric</x:v>
      </x:c>
      <x:c r="N2201" s="34" t="str">
        <x:v>Feedback-Directed Random Test Generation/Result/JacksonDatabind_102/result.json</x:v>
      </x:c>
      <x:c r="O2201" s="38" t="n">
        <x:f>IF(AND(G2201="RECORDED",ISNUMBER(H2201)),H2201,"")</x:f>
        <x:v>0</x:v>
      </x:c>
      <x:c r="P2201" s="34" t="str">
        <x:v>NOT_REVEALING</x:v>
      </x:c>
      <x:c r="Q2201" s="34" t="str">
        <x:v>Feedback-Directed Random Test Generation/Result/JacksonDatabind_102/result.json</x:v>
      </x:c>
    </x:row>
    <x:row r="2202">
      <x:c r="A2202" s="34" t="str">
        <x:v>randoop</x:v>
      </x:c>
      <x:c r="B2202" s="34" t="str">
        <x:v>JacksonDatabind</x:v>
      </x:c>
      <x:c r="C2202" s="34" t="str">
        <x:v>Round1</x:v>
      </x:c>
      <x:c r="D2202" s="34" t="str">
        <x:v>JacksonDatabind_103</x:v>
      </x:c>
      <x:c r="E2202" s="34" t="str">
        <x:v>Line</x:v>
      </x:c>
      <x:c r="F2202" s="34" t="n">
        <x:v>4256</x:v>
      </x:c>
      <x:c r="G2202" s="34" t="str">
        <x:v>RECORDED</x:v>
      </x:c>
      <x:c r="H2202" s="38" t="n">
        <x:f>IF(ISNUMBER('Data'!H494),'Data'!H494*100,"")</x:f>
        <x:v>15.229999999999999</x:v>
      </x:c>
      <x:c r="I2202" s="34" t="str">
        <x:v>PASS</x:v>
      </x:c>
      <x:c r="J2202" s="34" t="str">
        <x:v>PASS</x:v>
      </x:c>
      <x:c r="K2202" s="34" t="str">
        <x:v>PASS</x:v>
      </x:c>
      <x:c r="L2202" s="34" t="str">
        <x:v>FAIL</x:v>
      </x:c>
      <x:c r="M2202" s="34" t="str">
        <x:v>numeric coverage for applicable metric</x:v>
      </x:c>
      <x:c r="N2202" s="34" t="str">
        <x:v>Feedback-Directed Random Test Generation/Result/JacksonDatabind_103/result.json</x:v>
      </x:c>
      <x:c r="O2202" s="38" t="n">
        <x:f>IF(AND(G2202="RECORDED",ISNUMBER(H2202)),H2202,"")</x:f>
        <x:v>15.229999999999999</x:v>
      </x:c>
      <x:c r="P2202" s="34" t="str">
        <x:v>INCONCLUSIVE</x:v>
      </x:c>
      <x:c r="Q2202" s="34" t="str">
        <x:v>Feedback-Directed Random Test Generation/Result/JacksonDatabind_103/result.json</x:v>
      </x:c>
    </x:row>
    <x:row r="2203">
      <x:c r="A2203" s="34" t="str">
        <x:v>randoop</x:v>
      </x:c>
      <x:c r="B2203" s="34" t="str">
        <x:v>JacksonDatabind</x:v>
      </x:c>
      <x:c r="C2203" s="34" t="str">
        <x:v>Round1</x:v>
      </x:c>
      <x:c r="D2203" s="34" t="str">
        <x:v>JacksonDatabind_104</x:v>
      </x:c>
      <x:c r="E2203" s="34" t="str">
        <x:v>Line</x:v>
      </x:c>
      <x:c r="F2203" s="34" t="n">
        <x:v>272</x:v>
      </x:c>
      <x:c r="G2203" s="34" t="str">
        <x:v>RECORDED</x:v>
      </x:c>
      <x:c r="H2203" s="38" t="n">
        <x:f>IF(ISNUMBER('Data'!H495),'Data'!H495*100,"")</x:f>
        <x:v>84.93</x:v>
      </x:c>
      <x:c r="I2203" s="34" t="str">
        <x:v>PASS</x:v>
      </x:c>
      <x:c r="J2203" s="34" t="str">
        <x:v>PASS</x:v>
      </x:c>
      <x:c r="K2203" s="34" t="str">
        <x:v>PASS</x:v>
      </x:c>
      <x:c r="L2203" s="34" t="str">
        <x:v>FAIL</x:v>
      </x:c>
      <x:c r="M2203" s="34" t="str">
        <x:v>numeric coverage for applicable metric</x:v>
      </x:c>
      <x:c r="N2203" s="34" t="str">
        <x:v>Feedback-Directed Random Test Generation/Result/JacksonDatabind_104/result.json</x:v>
      </x:c>
      <x:c r="O2203" s="38" t="n">
        <x:f>IF(AND(G2203="RECORDED",ISNUMBER(H2203)),H2203,"")</x:f>
        <x:v>84.93</x:v>
      </x:c>
      <x:c r="P2203" s="34" t="str">
        <x:v>INCONCLUSIVE</x:v>
      </x:c>
      <x:c r="Q2203" s="34" t="str">
        <x:v>Feedback-Directed Random Test Generation/Result/JacksonDatabind_104/result.json</x:v>
      </x:c>
    </x:row>
    <x:row r="2204">
      <x:c r="A2204" s="34" t="str">
        <x:v>randoop</x:v>
      </x:c>
      <x:c r="B2204" s="34" t="str">
        <x:v>JacksonDatabind</x:v>
      </x:c>
      <x:c r="C2204" s="34" t="str">
        <x:v>Round1</x:v>
      </x:c>
      <x:c r="D2204" s="34" t="str">
        <x:v>JacksonDatabind_105</x:v>
      </x:c>
      <x:c r="E2204" s="34" t="str">
        <x:v>Line</x:v>
      </x:c>
      <x:c r="F2204" s="34" t="n">
        <x:v>19</x:v>
      </x:c>
      <x:c r="G2204" s="34" t="str">
        <x:v>RECORDED</x:v>
      </x:c>
      <x:c r="H2204" s="38" t="n">
        <x:f>IF(ISNUMBER('Data'!H496),'Data'!H496*100,"")</x:f>
        <x:v>31.58</x:v>
      </x:c>
      <x:c r="I2204" s="34" t="str">
        <x:v>PASS</x:v>
      </x:c>
      <x:c r="J2204" s="34" t="str">
        <x:v>PASS</x:v>
      </x:c>
      <x:c r="K2204" s="34" t="str">
        <x:v>PASS</x:v>
      </x:c>
      <x:c r="L2204" s="34" t="str">
        <x:v>PASS</x:v>
      </x:c>
      <x:c r="M2204" s="34" t="str">
        <x:v>numeric coverage for applicable metric</x:v>
      </x:c>
      <x:c r="N2204" s="34" t="str">
        <x:v>Feedback-Directed Random Test Generation/Result/JacksonDatabind_105/result.json</x:v>
      </x:c>
      <x:c r="O2204" s="38" t="n">
        <x:f>IF(AND(G2204="RECORDED",ISNUMBER(H2204)),H2204,"")</x:f>
        <x:v>31.58</x:v>
      </x:c>
      <x:c r="P2204" s="34" t="str">
        <x:v>NOT_REVEALING</x:v>
      </x:c>
      <x:c r="Q2204" s="34" t="str">
        <x:v>Feedback-Directed Random Test Generation/Result/JacksonDatabind_105/result.json</x:v>
      </x:c>
    </x:row>
    <x:row r="2205">
      <x:c r="A2205" s="34" t="str">
        <x:v>randoop</x:v>
      </x:c>
      <x:c r="B2205" s="34" t="str">
        <x:v>JacksonDatabind</x:v>
      </x:c>
      <x:c r="C2205" s="34" t="str">
        <x:v>Round1</x:v>
      </x:c>
      <x:c r="D2205" s="34" t="str">
        <x:v>JacksonDatabind_106</x:v>
      </x:c>
      <x:c r="E2205" s="34" t="str">
        <x:v>Line</x:v>
      </x:c>
      <x:c r="F2205" s="34" t="n">
        <x:v>121</x:v>
      </x:c>
      <x:c r="G2205" s="34" t="str">
        <x:v>RECORDED</x:v>
      </x:c>
      <x:c r="H2205" s="38" t="n">
        <x:f>IF(ISNUMBER('Data'!H497),'Data'!H497*100,"")</x:f>
        <x:v>3.3099999999999996</x:v>
      </x:c>
      <x:c r="I2205" s="34" t="str">
        <x:v>PASS</x:v>
      </x:c>
      <x:c r="J2205" s="34" t="str">
        <x:v>PASS</x:v>
      </x:c>
      <x:c r="K2205" s="34" t="str">
        <x:v>PASS</x:v>
      </x:c>
      <x:c r="L2205" s="34" t="str">
        <x:v>PASS</x:v>
      </x:c>
      <x:c r="M2205" s="34" t="str">
        <x:v>numeric coverage for applicable metric</x:v>
      </x:c>
      <x:c r="N2205" s="34" t="str">
        <x:v>Feedback-Directed Random Test Generation/Result/JacksonDatabind_106/result.json</x:v>
      </x:c>
      <x:c r="O2205" s="38" t="n">
        <x:f>IF(AND(G2205="RECORDED",ISNUMBER(H2205)),H2205,"")</x:f>
        <x:v>3.3099999999999996</x:v>
      </x:c>
      <x:c r="P2205" s="34" t="str">
        <x:v>NOT_REVEALING</x:v>
      </x:c>
      <x:c r="Q2205" s="34" t="str">
        <x:v>Feedback-Directed Random Test Generation/Result/JacksonDatabind_106/result.json</x:v>
      </x:c>
    </x:row>
    <x:row r="2206">
      <x:c r="A2206" s="34" t="str">
        <x:v>randoop</x:v>
      </x:c>
      <x:c r="B2206" s="34" t="str">
        <x:v>JacksonDatabind</x:v>
      </x:c>
      <x:c r="C2206" s="34" t="str">
        <x:v>Round1</x:v>
      </x:c>
      <x:c r="D2206" s="34" t="str">
        <x:v>JacksonDatabind_107</x:v>
      </x:c>
      <x:c r="E2206" s="34" t="str">
        <x:v>Line</x:v>
      </x:c>
      <x:c r="F2206" s="34" t="n">
        <x:v>77</x:v>
      </x:c>
      <x:c r="G2206" s="34" t="str">
        <x:v>RECORDED</x:v>
      </x:c>
      <x:c r="H2206" s="38" t="n">
        <x:f>IF(ISNUMBER('Data'!H498),'Data'!H498*100,"")</x:f>
        <x:v>0</x:v>
      </x:c>
      <x:c r="I2206" s="34" t="str">
        <x:v>PASS</x:v>
      </x:c>
      <x:c r="J2206" s="34" t="str">
        <x:v>PASS</x:v>
      </x:c>
      <x:c r="K2206" s="34" t="str">
        <x:v>PASS</x:v>
      </x:c>
      <x:c r="L2206" s="34" t="str">
        <x:v>PASS</x:v>
      </x:c>
      <x:c r="M2206" s="34" t="str">
        <x:v>numeric coverage for applicable metric</x:v>
      </x:c>
      <x:c r="N2206" s="34" t="str">
        <x:v>Feedback-Directed Random Test Generation/Result/JacksonDatabind_107/result.json</x:v>
      </x:c>
      <x:c r="O2206" s="38" t="n">
        <x:f>IF(AND(G2206="RECORDED",ISNUMBER(H2206)),H2206,"")</x:f>
        <x:v>0</x:v>
      </x:c>
      <x:c r="P2206" s="34" t="str">
        <x:v>NOT_REVEALING</x:v>
      </x:c>
      <x:c r="Q2206" s="34" t="str">
        <x:v>Feedback-Directed Random Test Generation/Result/JacksonDatabind_107/result.json</x:v>
      </x:c>
    </x:row>
    <x:row r="2207">
      <x:c r="A2207" s="34" t="str">
        <x:v>randoop</x:v>
      </x:c>
      <x:c r="B2207" s="34" t="str">
        <x:v>JacksonDatabind</x:v>
      </x:c>
      <x:c r="C2207" s="34" t="str">
        <x:v>Round1</x:v>
      </x:c>
      <x:c r="D2207" s="34" t="str">
        <x:v>JacksonDatabind_108</x:v>
      </x:c>
      <x:c r="E2207" s="34" t="str">
        <x:v>Line</x:v>
      </x:c>
      <x:c r="F2207" s="34" t="n">
        <x:v>433</x:v>
      </x:c>
      <x:c r="G2207" s="34" t="str">
        <x:v>RECORDED</x:v>
      </x:c>
      <x:c r="H2207" s="38" t="n">
        <x:f>IF(ISNUMBER('Data'!H499),'Data'!H499*100,"")</x:f>
        <x:v>3.46</x:v>
      </x:c>
      <x:c r="I2207" s="34" t="str">
        <x:v>PASS</x:v>
      </x:c>
      <x:c r="J2207" s="34" t="str">
        <x:v>PASS</x:v>
      </x:c>
      <x:c r="K2207" s="34" t="str">
        <x:v>PASS</x:v>
      </x:c>
      <x:c r="L2207" s="34" t="str">
        <x:v>PASS</x:v>
      </x:c>
      <x:c r="M2207" s="34" t="str">
        <x:v>numeric coverage for applicable metric</x:v>
      </x:c>
      <x:c r="N2207" s="34" t="str">
        <x:v>Feedback-Directed Random Test Generation/Result/JacksonDatabind_108/result.json</x:v>
      </x:c>
      <x:c r="O2207" s="38" t="n">
        <x:f>IF(AND(G2207="RECORDED",ISNUMBER(H2207)),H2207,"")</x:f>
        <x:v>3.46</x:v>
      </x:c>
      <x:c r="P2207" s="34" t="str">
        <x:v>NOT_REVEALING</x:v>
      </x:c>
      <x:c r="Q2207" s="34" t="str">
        <x:v>Feedback-Directed Random Test Generation/Result/JacksonDatabind_108/result.json</x:v>
      </x:c>
    </x:row>
    <x:row r="2208">
      <x:c r="A2208" s="34" t="str">
        <x:v>randoop</x:v>
      </x:c>
      <x:c r="B2208" s="34" t="str">
        <x:v>JacksonDatabind</x:v>
      </x:c>
      <x:c r="C2208" s="34" t="str">
        <x:v>Round1</x:v>
      </x:c>
      <x:c r="D2208" s="34" t="str">
        <x:v>JacksonDatabind_109</x:v>
      </x:c>
      <x:c r="E2208" s="34" t="str">
        <x:v>Line</x:v>
      </x:c>
      <x:c r="F2208" s="34" t="n">
        <x:v>93</x:v>
      </x:c>
      <x:c r="G2208" s="34" t="str">
        <x:v>RECORDED</x:v>
      </x:c>
      <x:c r="H2208" s="38" t="n">
        <x:f>IF(ISNUMBER('Data'!H500),'Data'!H500*100,"")</x:f>
        <x:v>58.06</x:v>
      </x:c>
      <x:c r="I2208" s="34" t="str">
        <x:v>PASS</x:v>
      </x:c>
      <x:c r="J2208" s="34" t="str">
        <x:v>PASS</x:v>
      </x:c>
      <x:c r="K2208" s="34" t="str">
        <x:v>PASS</x:v>
      </x:c>
      <x:c r="L2208" s="34" t="str">
        <x:v>PASS</x:v>
      </x:c>
      <x:c r="M2208" s="34" t="str">
        <x:v>numeric coverage for applicable metric</x:v>
      </x:c>
      <x:c r="N2208" s="34" t="str">
        <x:v>Feedback-Directed Random Test Generation/Result/JacksonDatabind_109/result.json</x:v>
      </x:c>
      <x:c r="O2208" s="38" t="n">
        <x:f>IF(AND(G2208="RECORDED",ISNUMBER(H2208)),H2208,"")</x:f>
        <x:v>58.06</x:v>
      </x:c>
      <x:c r="P2208" s="34" t="str">
        <x:v>NOT_REVEALING</x:v>
      </x:c>
      <x:c r="Q2208" s="34" t="str">
        <x:v>Feedback-Directed Random Test Generation/Result/JacksonDatabind_109/result.json</x:v>
      </x:c>
    </x:row>
    <x:row r="2209">
      <x:c r="A2209" s="34" t="str">
        <x:v>randoop</x:v>
      </x:c>
      <x:c r="B2209" s="34" t="str">
        <x:v>JacksonDatabind</x:v>
      </x:c>
      <x:c r="C2209" s="34" t="str">
        <x:v>Round1</x:v>
      </x:c>
      <x:c r="D2209" s="34" t="str">
        <x:v>JacksonDatabind_110</x:v>
      </x:c>
      <x:c r="E2209" s="34" t="str">
        <x:v>Line</x:v>
      </x:c>
      <x:c r="F2209" s="34" t="n">
        <x:v>58</x:v>
      </x:c>
      <x:c r="G2209" s="34" t="str">
        <x:v>RECORDED</x:v>
      </x:c>
      <x:c r="H2209" s="38" t="n">
        <x:f>IF(ISNUMBER('Data'!H501),'Data'!H501*100,"")</x:f>
        <x:v>22.41</x:v>
      </x:c>
      <x:c r="I2209" s="34" t="str">
        <x:v>PASS</x:v>
      </x:c>
      <x:c r="J2209" s="34" t="str">
        <x:v>PASS</x:v>
      </x:c>
      <x:c r="K2209" s="34" t="str">
        <x:v>PASS</x:v>
      </x:c>
      <x:c r="L2209" s="34" t="str">
        <x:v>PASS</x:v>
      </x:c>
      <x:c r="M2209" s="34" t="str">
        <x:v>numeric coverage for applicable metric</x:v>
      </x:c>
      <x:c r="N2209" s="34" t="str">
        <x:v>Feedback-Directed Random Test Generation/Result/JacksonDatabind_110/result.json</x:v>
      </x:c>
      <x:c r="O2209" s="38" t="n">
        <x:f>IF(AND(G2209="RECORDED",ISNUMBER(H2209)),H2209,"")</x:f>
        <x:v>22.41</x:v>
      </x:c>
      <x:c r="P2209" s="34" t="str">
        <x:v>NOT_REVEALING</x:v>
      </x:c>
      <x:c r="Q2209" s="34" t="str">
        <x:v>Feedback-Directed Random Test Generation/Result/JacksonDatabind_110/result.json</x:v>
      </x:c>
    </x:row>
    <x:row r="2210">
      <x:c r="A2210" s="34" t="str">
        <x:v>randoop</x:v>
      </x:c>
      <x:c r="B2210" s="34" t="str">
        <x:v>JacksonDatabind</x:v>
      </x:c>
      <x:c r="C2210" s="34" t="str">
        <x:v>Round1</x:v>
      </x:c>
      <x:c r="D2210" s="34" t="str">
        <x:v>JacksonDatabind_111</x:v>
      </x:c>
      <x:c r="E2210" s="34" t="str">
        <x:v>Line</x:v>
      </x:c>
      <x:c r="F2210" s="34" t="n">
        <x:v>345</x:v>
      </x:c>
      <x:c r="G2210" s="34" t="str">
        <x:v>RECORDED</x:v>
      </x:c>
      <x:c r="H2210" s="38" t="n">
        <x:f>IF(ISNUMBER('Data'!H502),'Data'!H502*100,"")</x:f>
        <x:v>24.93</x:v>
      </x:c>
      <x:c r="I2210" s="34" t="str">
        <x:v>PASS</x:v>
      </x:c>
      <x:c r="J2210" s="34" t="str">
        <x:v>PASS</x:v>
      </x:c>
      <x:c r="K2210" s="34" t="str">
        <x:v>PASS</x:v>
      </x:c>
      <x:c r="L2210" s="34" t="str">
        <x:v>PASS</x:v>
      </x:c>
      <x:c r="M2210" s="34" t="str">
        <x:v>numeric coverage for applicable metric</x:v>
      </x:c>
      <x:c r="N2210" s="34" t="str">
        <x:v>Feedback-Directed Random Test Generation/Result/JacksonDatabind_111/result.json</x:v>
      </x:c>
      <x:c r="O2210" s="38" t="n">
        <x:f>IF(AND(G2210="RECORDED",ISNUMBER(H2210)),H2210,"")</x:f>
        <x:v>24.93</x:v>
      </x:c>
      <x:c r="P2210" s="34" t="str">
        <x:v>NOT_REVEALING</x:v>
      </x:c>
      <x:c r="Q2210" s="34" t="str">
        <x:v>Feedback-Directed Random Test Generation/Result/JacksonDatabind_111/result.json</x:v>
      </x:c>
    </x:row>
    <x:row r="2211">
      <x:c r="A2211" s="34" t="str">
        <x:v>randoop</x:v>
      </x:c>
      <x:c r="B2211" s="34" t="str">
        <x:v>JacksonDatabind</x:v>
      </x:c>
      <x:c r="C2211" s="34" t="str">
        <x:v>Round1</x:v>
      </x:c>
      <x:c r="D2211" s="34" t="str">
        <x:v>JacksonDatabind_112</x:v>
      </x:c>
      <x:c r="E2211" s="34" t="str">
        <x:v>Line</x:v>
      </x:c>
      <x:c r="F2211" s="34" t="n">
        <x:v>88</x:v>
      </x:c>
      <x:c r="G2211" s="34" t="str">
        <x:v>RECORDED</x:v>
      </x:c>
      <x:c r="H2211" s="38" t="n">
        <x:f>IF(ISNUMBER('Data'!H503),'Data'!H503*100,"")</x:f>
        <x:v>0</x:v>
      </x:c>
      <x:c r="I2211" s="34" t="str">
        <x:v>PASS</x:v>
      </x:c>
      <x:c r="J2211" s="34" t="str">
        <x:v>PASS</x:v>
      </x:c>
      <x:c r="K2211" s="34" t="str">
        <x:v>PASS</x:v>
      </x:c>
      <x:c r="L2211" s="34" t="str">
        <x:v>PASS</x:v>
      </x:c>
      <x:c r="M2211" s="34" t="str">
        <x:v>numeric coverage for applicable metric</x:v>
      </x:c>
      <x:c r="N2211" s="34" t="str">
        <x:v>Feedback-Directed Random Test Generation/Result/JacksonDatabind_112/result.json</x:v>
      </x:c>
      <x:c r="O2211" s="38" t="n">
        <x:f>IF(AND(G2211="RECORDED",ISNUMBER(H2211)),H2211,"")</x:f>
        <x:v>0</x:v>
      </x:c>
      <x:c r="P2211" s="34" t="str">
        <x:v>NOT_REVEALING</x:v>
      </x:c>
      <x:c r="Q2211" s="34" t="str">
        <x:v>Feedback-Directed Random Test Generation/Result/JacksonDatabind_112/result.json</x:v>
      </x:c>
    </x:row>
    <x:row r="2212">
      <x:c r="A2212" s="34" t="str">
        <x:v>randoop</x:v>
      </x:c>
      <x:c r="B2212" s="34" t="str">
        <x:v>JacksonXml</x:v>
      </x:c>
      <x:c r="C2212" s="34" t="str">
        <x:v>Round1</x:v>
      </x:c>
      <x:c r="D2212" s="34" t="str">
        <x:v>JacksonXml_1</x:v>
      </x:c>
      <x:c r="E2212" s="34" t="str">
        <x:v>Line</x:v>
      </x:c>
      <x:c r="F2212" s="34" t="n">
        <x:v>294</x:v>
      </x:c>
      <x:c r="G2212" s="34" t="str">
        <x:v>RECORDED</x:v>
      </x:c>
      <x:c r="H2212" s="38" t="n">
        <x:f>IF(ISNUMBER('Data'!H504),'Data'!H504*100,"")</x:f>
        <x:v>4.42</x:v>
      </x:c>
      <x:c r="I2212" s="34" t="str">
        <x:v>PASS</x:v>
      </x:c>
      <x:c r="J2212" s="34" t="str">
        <x:v>PASS</x:v>
      </x:c>
      <x:c r="K2212" s="34" t="str">
        <x:v>PASS</x:v>
      </x:c>
      <x:c r="L2212" s="34" t="str">
        <x:v>PASS</x:v>
      </x:c>
      <x:c r="M2212" s="34" t="str">
        <x:v>numeric coverage for applicable metric</x:v>
      </x:c>
      <x:c r="N2212" s="34" t="str">
        <x:v>Feedback-Directed Random Test Generation/Result/JacksonXml_1/result.json</x:v>
      </x:c>
      <x:c r="O2212" s="38" t="n">
        <x:f>IF(AND(G2212="RECORDED",ISNUMBER(H2212)),H2212,"")</x:f>
        <x:v>4.42</x:v>
      </x:c>
      <x:c r="P2212" s="34" t="str">
        <x:v>NOT_REVEALING</x:v>
      </x:c>
      <x:c r="Q2212" s="34" t="str">
        <x:v>Feedback-Directed Random Test Generation/Result/JacksonXml_1/result.json</x:v>
      </x:c>
    </x:row>
    <x:row r="2213">
      <x:c r="A2213" s="34" t="str">
        <x:v>randoop</x:v>
      </x:c>
      <x:c r="B2213" s="34" t="str">
        <x:v>JacksonXml</x:v>
      </x:c>
      <x:c r="C2213" s="34" t="str">
        <x:v>Round1</x:v>
      </x:c>
      <x:c r="D2213" s="34" t="str">
        <x:v>JacksonXml_2</x:v>
      </x:c>
      <x:c r="E2213" s="34" t="str">
        <x:v>Line</x:v>
      </x:c>
      <x:c r="F2213" s="34" t="n">
        <x:v>170</x:v>
      </x:c>
      <x:c r="G2213" s="34" t="str">
        <x:v>RECORDED</x:v>
      </x:c>
      <x:c r="H2213" s="38" t="n">
        <x:f>IF(ISNUMBER('Data'!H505),'Data'!H505*100,"")</x:f>
        <x:v>2.35</x:v>
      </x:c>
      <x:c r="I2213" s="34" t="str">
        <x:v>PASS</x:v>
      </x:c>
      <x:c r="J2213" s="34" t="str">
        <x:v>PASS</x:v>
      </x:c>
      <x:c r="K2213" s="34" t="str">
        <x:v>PASS</x:v>
      </x:c>
      <x:c r="L2213" s="34" t="str">
        <x:v>PASS</x:v>
      </x:c>
      <x:c r="M2213" s="34" t="str">
        <x:v>numeric coverage for applicable metric</x:v>
      </x:c>
      <x:c r="N2213" s="34" t="str">
        <x:v>Feedback-Directed Random Test Generation/Result/JacksonXml_2/result.json</x:v>
      </x:c>
      <x:c r="O2213" s="38" t="n">
        <x:f>IF(AND(G2213="RECORDED",ISNUMBER(H2213)),H2213,"")</x:f>
        <x:v>2.35</x:v>
      </x:c>
      <x:c r="P2213" s="34" t="str">
        <x:v>NOT_REVEALING</x:v>
      </x:c>
      <x:c r="Q2213" s="34" t="str">
        <x:v>Feedback-Directed Random Test Generation/Result/JacksonXml_2/result.json</x:v>
      </x:c>
    </x:row>
    <x:row r="2214">
      <x:c r="A2214" s="34" t="str">
        <x:v>randoop</x:v>
      </x:c>
      <x:c r="B2214" s="34" t="str">
        <x:v>JacksonXml</x:v>
      </x:c>
      <x:c r="C2214" s="34" t="str">
        <x:v>Round1</x:v>
      </x:c>
      <x:c r="D2214" s="34" t="str">
        <x:v>JacksonXml_3</x:v>
      </x:c>
      <x:c r="E2214" s="34" t="str">
        <x:v>Line</x:v>
      </x:c>
      <x:c r="F2214" s="34" t="n">
        <x:v>295</x:v>
      </x:c>
      <x:c r="G2214" s="34" t="str">
        <x:v>RECORDED</x:v>
      </x:c>
      <x:c r="H2214" s="38" t="n">
        <x:f>IF(ISNUMBER('Data'!H506),'Data'!H506*100,"")</x:f>
        <x:v>4.41</x:v>
      </x:c>
      <x:c r="I2214" s="34" t="str">
        <x:v>PASS</x:v>
      </x:c>
      <x:c r="J2214" s="34" t="str">
        <x:v>PASS</x:v>
      </x:c>
      <x:c r="K2214" s="34" t="str">
        <x:v>PASS</x:v>
      </x:c>
      <x:c r="L2214" s="34" t="str">
        <x:v>PASS</x:v>
      </x:c>
      <x:c r="M2214" s="34" t="str">
        <x:v>numeric coverage for applicable metric</x:v>
      </x:c>
      <x:c r="N2214" s="34" t="str">
        <x:v>Feedback-Directed Random Test Generation/Result/JacksonXml_3/result.json</x:v>
      </x:c>
      <x:c r="O2214" s="38" t="n">
        <x:f>IF(AND(G2214="RECORDED",ISNUMBER(H2214)),H2214,"")</x:f>
        <x:v>4.41</x:v>
      </x:c>
      <x:c r="P2214" s="34" t="str">
        <x:v>NOT_REVEALING</x:v>
      </x:c>
      <x:c r="Q2214" s="34" t="str">
        <x:v>Feedback-Directed Random Test Generation/Result/JacksonXml_3/result.json</x:v>
      </x:c>
    </x:row>
    <x:row r="2215">
      <x:c r="A2215" s="34" t="str">
        <x:v>randoop</x:v>
      </x:c>
      <x:c r="B2215" s="34" t="str">
        <x:v>JacksonXml</x:v>
      </x:c>
      <x:c r="C2215" s="34" t="str">
        <x:v>Round1</x:v>
      </x:c>
      <x:c r="D2215" s="34" t="str">
        <x:v>JacksonXml_4</x:v>
      </x:c>
      <x:c r="E2215" s="34" t="str">
        <x:v>Line</x:v>
      </x:c>
      <x:c r="F2215" s="34" t="n">
        <x:v>119</x:v>
      </x:c>
      <x:c r="G2215" s="34" t="str">
        <x:v>RECORDED</x:v>
      </x:c>
      <x:c r="H2215" s="38" t="n">
        <x:f>IF(ISNUMBER('Data'!H507),'Data'!H507*100,"")</x:f>
        <x:v>21.01</x:v>
      </x:c>
      <x:c r="I2215" s="34" t="str">
        <x:v>PASS</x:v>
      </x:c>
      <x:c r="J2215" s="34" t="str">
        <x:v>PASS</x:v>
      </x:c>
      <x:c r="K2215" s="34" t="str">
        <x:v>PASS</x:v>
      </x:c>
      <x:c r="L2215" s="34" t="str">
        <x:v>PASS</x:v>
      </x:c>
      <x:c r="M2215" s="34" t="str">
        <x:v>numeric coverage for applicable metric</x:v>
      </x:c>
      <x:c r="N2215" s="34" t="str">
        <x:v>Feedback-Directed Random Test Generation/Result/JacksonXml_4/result.json</x:v>
      </x:c>
      <x:c r="O2215" s="38" t="n">
        <x:f>IF(AND(G2215="RECORDED",ISNUMBER(H2215)),H2215,"")</x:f>
        <x:v>21.01</x:v>
      </x:c>
      <x:c r="P2215" s="34" t="str">
        <x:v>INCONCLUSIVE</x:v>
      </x:c>
      <x:c r="Q2215" s="34" t="str">
        <x:v>Feedback-Directed Random Test Generation/Result/JacksonXml_4/result.json</x:v>
      </x:c>
    </x:row>
    <x:row r="2216">
      <x:c r="A2216" s="34" t="str">
        <x:v>randoop</x:v>
      </x:c>
      <x:c r="B2216" s="34" t="str">
        <x:v>JacksonXml</x:v>
      </x:c>
      <x:c r="C2216" s="34" t="str">
        <x:v>Round1</x:v>
      </x:c>
      <x:c r="D2216" s="34" t="str">
        <x:v>JacksonXml_5</x:v>
      </x:c>
      <x:c r="E2216" s="34" t="str">
        <x:v>Line</x:v>
      </x:c>
      <x:c r="F2216" s="34" t="n">
        <x:v>96</x:v>
      </x:c>
      <x:c r="G2216" s="34" t="str">
        <x:v>RECORDED</x:v>
      </x:c>
      <x:c r="H2216" s="38" t="n">
        <x:f>IF(ISNUMBER('Data'!H508),'Data'!H508*100,"")</x:f>
        <x:v>29.17</x:v>
      </x:c>
      <x:c r="I2216" s="34" t="str">
        <x:v>PASS</x:v>
      </x:c>
      <x:c r="J2216" s="34" t="str">
        <x:v>PASS</x:v>
      </x:c>
      <x:c r="K2216" s="34" t="str">
        <x:v>PASS</x:v>
      </x:c>
      <x:c r="L2216" s="34" t="str">
        <x:v>PASS</x:v>
      </x:c>
      <x:c r="M2216" s="34" t="str">
        <x:v>numeric coverage for applicable metric</x:v>
      </x:c>
      <x:c r="N2216" s="34" t="str">
        <x:v>Feedback-Directed Random Test Generation/Result/JacksonXml_5/result.json</x:v>
      </x:c>
      <x:c r="O2216" s="38" t="n">
        <x:f>IF(AND(G2216="RECORDED",ISNUMBER(H2216)),H2216,"")</x:f>
        <x:v>29.17</x:v>
      </x:c>
      <x:c r="P2216" s="34" t="str">
        <x:v>INCONCLUSIVE</x:v>
      </x:c>
      <x:c r="Q2216" s="34" t="str">
        <x:v>Feedback-Directed Random Test Generation/Result/JacksonXml_5/result.json</x:v>
      </x:c>
    </x:row>
    <x:row r="2217">
      <x:c r="A2217" s="34" t="str">
        <x:v>randoop</x:v>
      </x:c>
      <x:c r="B2217" s="34" t="str">
        <x:v>JacksonXml</x:v>
      </x:c>
      <x:c r="C2217" s="34" t="str">
        <x:v>Round1</x:v>
      </x:c>
      <x:c r="D2217" s="34" t="str">
        <x:v>JacksonXml_6</x:v>
      </x:c>
      <x:c r="E2217" s="34" t="str">
        <x:v>Line</x:v>
      </x:c>
      <x:c r="F2217" s="34" t="n">
        <x:v>485</x:v>
      </x:c>
      <x:c r="G2217" s="34" t="str">
        <x:v>RECORDED</x:v>
      </x:c>
      <x:c r="H2217" s="38" t="n">
        <x:f>IF(ISNUMBER('Data'!H509),'Data'!H509*100,"")</x:f>
        <x:v>4.95</x:v>
      </x:c>
      <x:c r="I2217" s="34" t="str">
        <x:v>PASS</x:v>
      </x:c>
      <x:c r="J2217" s="34" t="str">
        <x:v>PASS</x:v>
      </x:c>
      <x:c r="K2217" s="34" t="str">
        <x:v>PASS</x:v>
      </x:c>
      <x:c r="L2217" s="34" t="str">
        <x:v>PASS</x:v>
      </x:c>
      <x:c r="M2217" s="34" t="str">
        <x:v>numeric coverage for applicable metric</x:v>
      </x:c>
      <x:c r="N2217" s="34" t="str">
        <x:v>Feedback-Directed Random Test Generation/Result/JacksonXml_6/result.json</x:v>
      </x:c>
      <x:c r="O2217" s="38" t="n">
        <x:f>IF(AND(G2217="RECORDED",ISNUMBER(H2217)),H2217,"")</x:f>
        <x:v>4.95</x:v>
      </x:c>
      <x:c r="P2217" s="34" t="str">
        <x:v>NOT_REVEALING</x:v>
      </x:c>
      <x:c r="Q2217" s="34" t="str">
        <x:v>Feedback-Directed Random Test Generation/Result/JacksonXml_6/result.json</x:v>
      </x:c>
    </x:row>
    <x:row r="2218">
      <x:c r="A2218" s="34" t="str">
        <x:v>randoop</x:v>
      </x:c>
      <x:c r="B2218" s="34" t="str">
        <x:v>Jsoup</x:v>
      </x:c>
      <x:c r="C2218" s="34" t="str">
        <x:v>Round1</x:v>
      </x:c>
      <x:c r="D2218" s="34" t="str">
        <x:v>Jsoup_1</x:v>
      </x:c>
      <x:c r="E2218" s="34" t="str">
        <x:v>Line</x:v>
      </x:c>
      <x:c r="F2218" s="34" t="n">
        <x:v>46</x:v>
      </x:c>
      <x:c r="G2218" s="34" t="str">
        <x:v>RECORDED</x:v>
      </x:c>
      <x:c r="H2218" s="38" t="n">
        <x:f>IF(ISNUMBER('Data'!H510),'Data'!H510*100,"")</x:f>
        <x:v>100</x:v>
      </x:c>
      <x:c r="I2218" s="34" t="str">
        <x:v>PASS</x:v>
      </x:c>
      <x:c r="J2218" s="34" t="str">
        <x:v>PASS</x:v>
      </x:c>
      <x:c r="K2218" s="34" t="str">
        <x:v>PASS</x:v>
      </x:c>
      <x:c r="L2218" s="34" t="str">
        <x:v>FAIL</x:v>
      </x:c>
      <x:c r="M2218" s="34" t="str">
        <x:v>numeric coverage for applicable metric</x:v>
      </x:c>
      <x:c r="N2218" s="34" t="str">
        <x:v>Feedback-Directed Random Test Generation/Result/Jsoup_1/result.json</x:v>
      </x:c>
      <x:c r="O2218" s="38" t="n">
        <x:f>IF(AND(G2218="RECORDED",ISNUMBER(H2218)),H2218,"")</x:f>
        <x:v>100</x:v>
      </x:c>
      <x:c r="P2218" s="34" t="str">
        <x:v>INCONCLUSIVE</x:v>
      </x:c>
      <x:c r="Q2218" s="34" t="str">
        <x:v>Feedback-Directed Random Test Generation/Result/Jsoup_1/result.json</x:v>
      </x:c>
    </x:row>
    <x:row r="2219">
      <x:c r="A2219" s="34" t="str">
        <x:v>randoop</x:v>
      </x:c>
      <x:c r="B2219" s="34" t="str">
        <x:v>Jsoup</x:v>
      </x:c>
      <x:c r="C2219" s="34" t="str">
        <x:v>Round1</x:v>
      </x:c>
      <x:c r="D2219" s="34" t="str">
        <x:v>Jsoup_2</x:v>
      </x:c>
      <x:c r="E2219" s="34" t="str">
        <x:v>Line</x:v>
      </x:c>
      <x:c r="F2219" s="34" t="n">
        <x:v>162</x:v>
      </x:c>
      <x:c r="G2219" s="34" t="str">
        <x:v>RECORDED</x:v>
      </x:c>
      <x:c r="H2219" s="38" t="n">
        <x:f>IF(ISNUMBER('Data'!H511),'Data'!H511*100,"")</x:f>
        <x:v>20.99</x:v>
      </x:c>
      <x:c r="I2219" s="34" t="str">
        <x:v>PASS</x:v>
      </x:c>
      <x:c r="J2219" s="34" t="str">
        <x:v>PASS</x:v>
      </x:c>
      <x:c r="K2219" s="34" t="str">
        <x:v>PASS</x:v>
      </x:c>
      <x:c r="L2219" s="34" t="str">
        <x:v>PASS</x:v>
      </x:c>
      <x:c r="M2219" s="34" t="str">
        <x:v>numeric coverage for applicable metric</x:v>
      </x:c>
      <x:c r="N2219" s="34" t="str">
        <x:v>Feedback-Directed Random Test Generation/Result/Jsoup_2/result.json</x:v>
      </x:c>
      <x:c r="O2219" s="38" t="n">
        <x:f>IF(AND(G2219="RECORDED",ISNUMBER(H2219)),H2219,"")</x:f>
        <x:v>20.99</x:v>
      </x:c>
      <x:c r="P2219" s="34" t="str">
        <x:v>NOT_REVEALING</x:v>
      </x:c>
      <x:c r="Q2219" s="34" t="str">
        <x:v>Feedback-Directed Random Test Generation/Result/Jsoup_2/result.json</x:v>
      </x:c>
    </x:row>
    <x:row r="2220">
      <x:c r="A2220" s="34" t="str">
        <x:v>randoop</x:v>
      </x:c>
      <x:c r="B2220" s="34" t="str">
        <x:v>Jsoup</x:v>
      </x:c>
      <x:c r="C2220" s="34" t="str">
        <x:v>Round1</x:v>
      </x:c>
      <x:c r="D2220" s="34" t="str">
        <x:v>Jsoup_3</x:v>
      </x:c>
      <x:c r="E2220" s="34" t="str">
        <x:v>Line</x:v>
      </x:c>
      <x:c r="F2220" s="34" t="n">
        <x:v>593</x:v>
      </x:c>
      <x:c r="G2220" s="34" t="str">
        <x:v>RECORDED</x:v>
      </x:c>
      <x:c r="H2220" s="38" t="n">
        <x:f>IF(ISNUMBER('Data'!H512),'Data'!H512*100,"")</x:f>
        <x:v>88.7</x:v>
      </x:c>
      <x:c r="I2220" s="34" t="str">
        <x:v>PASS</x:v>
      </x:c>
      <x:c r="J2220" s="34" t="str">
        <x:v>PASS</x:v>
      </x:c>
      <x:c r="K2220" s="34" t="str">
        <x:v>PASS</x:v>
      </x:c>
      <x:c r="L2220" s="34" t="str">
        <x:v>FAIL</x:v>
      </x:c>
      <x:c r="M2220" s="34" t="str">
        <x:v>numeric coverage for applicable metric</x:v>
      </x:c>
      <x:c r="N2220" s="34" t="str">
        <x:v>Feedback-Directed Random Test Generation/Result/Jsoup_3/result.json</x:v>
      </x:c>
      <x:c r="O2220" s="38" t="n">
        <x:f>IF(AND(G2220="RECORDED",ISNUMBER(H2220)),H2220,"")</x:f>
        <x:v>88.7</x:v>
      </x:c>
      <x:c r="P2220" s="34" t="str">
        <x:v>INCONCLUSIVE</x:v>
      </x:c>
      <x:c r="Q2220" s="34" t="str">
        <x:v>Feedback-Directed Random Test Generation/Result/Jsoup_3/result.json</x:v>
      </x:c>
    </x:row>
    <x:row r="2221">
      <x:c r="A2221" s="34" t="str">
        <x:v>randoop</x:v>
      </x:c>
      <x:c r="B2221" s="34" t="str">
        <x:v>Jsoup</x:v>
      </x:c>
      <x:c r="C2221" s="34" t="str">
        <x:v>Round1</x:v>
      </x:c>
      <x:c r="D2221" s="34" t="str">
        <x:v>Jsoup_4</x:v>
      </x:c>
      <x:c r="E2221" s="34" t="str">
        <x:v>Line</x:v>
      </x:c>
      <x:c r="F2221" s="34" t="n">
        <x:v>0</x:v>
      </x:c>
      <x:c r="G2221" s="34" t="str">
        <x:v>A</x:v>
      </x:c>
      <x:c r="H2221" s="38" t="str">
        <x:f>IF(ISNUMBER('Data'!H513),'Data'!H513*100,"")</x:f>
      </x:c>
      <x:c r="I2221" s="34" t="str">
        <x:v>FAIL</x:v>
      </x:c>
      <x:c r="J2221" s="34" t="str">
        <x:v>PASS</x:v>
      </x:c>
      <x:c r="K2221" s="34" t="str">
        <x:v>PASS</x:v>
      </x:c>
      <x:c r="L2221" s="34" t="str">
        <x:v>PASS</x:v>
      </x:c>
      <x:c r="M2221" s="34" t="str">
        <x:v>coverage unavailable or execution/compile failed</x:v>
      </x:c>
      <x:c r="N2221" s="34" t="str">
        <x:v>Feedback-Directed Random Test Generation/Result/Jsoup_4/result.json</x:v>
      </x:c>
      <x:c r="O2221" s="38" t="str">
        <x:f>IF(AND(G2221="RECORDED",ISNUMBER(H2221)),H2221,"")</x:f>
      </x:c>
      <x:c r="P2221" s="34" t="str">
        <x:v>NOT_AVAILABLE</x:v>
      </x:c>
      <x:c r="Q2221" s="34" t="str">
        <x:v>Feedback-Directed Random Test Generation/Result/Jsoup_4/result.json</x:v>
      </x:c>
    </x:row>
    <x:row r="2222">
      <x:c r="A2222" s="34" t="str">
        <x:v>randoop</x:v>
      </x:c>
      <x:c r="B2222" s="34" t="str">
        <x:v>Jsoup</x:v>
      </x:c>
      <x:c r="C2222" s="34" t="str">
        <x:v>Round1</x:v>
      </x:c>
      <x:c r="D2222" s="34" t="str">
        <x:v>Jsoup_5</x:v>
      </x:c>
      <x:c r="E2222" s="34" t="str">
        <x:v>Line</x:v>
      </x:c>
      <x:c r="F2222" s="34" t="n">
        <x:v>172</x:v>
      </x:c>
      <x:c r="G2222" s="34" t="str">
        <x:v>RECORDED</x:v>
      </x:c>
      <x:c r="H2222" s="38" t="n">
        <x:f>IF(ISNUMBER('Data'!H514),'Data'!H514*100,"")</x:f>
        <x:v>22.67</x:v>
      </x:c>
      <x:c r="I2222" s="34" t="str">
        <x:v>PASS</x:v>
      </x:c>
      <x:c r="J2222" s="34" t="str">
        <x:v>PASS</x:v>
      </x:c>
      <x:c r="K2222" s="34" t="str">
        <x:v>PASS</x:v>
      </x:c>
      <x:c r="L2222" s="34" t="str">
        <x:v>PASS</x:v>
      </x:c>
      <x:c r="M2222" s="34" t="str">
        <x:v>numeric coverage for applicable metric</x:v>
      </x:c>
      <x:c r="N2222" s="34" t="str">
        <x:v>Feedback-Directed Random Test Generation/Result/Jsoup_5/result.json</x:v>
      </x:c>
      <x:c r="O2222" s="38" t="n">
        <x:f>IF(AND(G2222="RECORDED",ISNUMBER(H2222)),H2222,"")</x:f>
        <x:v>22.67</x:v>
      </x:c>
      <x:c r="P2222" s="34" t="str">
        <x:v>NOT_REVEALING</x:v>
      </x:c>
      <x:c r="Q2222" s="34" t="str">
        <x:v>Feedback-Directed Random Test Generation/Result/Jsoup_5/result.json</x:v>
      </x:c>
    </x:row>
    <x:row r="2223">
      <x:c r="A2223" s="34" t="str">
        <x:v>randoop</x:v>
      </x:c>
      <x:c r="B2223" s="34" t="str">
        <x:v>Jsoup</x:v>
      </x:c>
      <x:c r="C2223" s="34" t="str">
        <x:v>Round1</x:v>
      </x:c>
      <x:c r="D2223" s="34" t="str">
        <x:v>Jsoup_6</x:v>
      </x:c>
      <x:c r="E2223" s="34" t="str">
        <x:v>Line</x:v>
      </x:c>
      <x:c r="F2223" s="34" t="n">
        <x:v>0</x:v>
      </x:c>
      <x:c r="G2223" s="34" t="str">
        <x:v>A</x:v>
      </x:c>
      <x:c r="H2223" s="38" t="str">
        <x:f>IF(ISNUMBER('Data'!H515),'Data'!H515*100,"")</x:f>
      </x:c>
      <x:c r="I2223" s="34" t="str">
        <x:v>FAIL</x:v>
      </x:c>
      <x:c r="J2223" s="34" t="str">
        <x:v>PASS</x:v>
      </x:c>
      <x:c r="K2223" s="34" t="str">
        <x:v>PASS</x:v>
      </x:c>
      <x:c r="L2223" s="34" t="str">
        <x:v>PASS</x:v>
      </x:c>
      <x:c r="M2223" s="34" t="str">
        <x:v>coverage unavailable or execution/compile failed</x:v>
      </x:c>
      <x:c r="N2223" s="34" t="str">
        <x:v>Feedback-Directed Random Test Generation/Result/Jsoup_6/result.json</x:v>
      </x:c>
      <x:c r="O2223" s="38" t="str">
        <x:f>IF(AND(G2223="RECORDED",ISNUMBER(H2223)),H2223,"")</x:f>
      </x:c>
      <x:c r="P2223" s="34" t="str">
        <x:v>NOT_AVAILABLE</x:v>
      </x:c>
      <x:c r="Q2223" s="34" t="str">
        <x:v>Feedback-Directed Random Test Generation/Result/Jsoup_6/result.json</x:v>
      </x:c>
    </x:row>
    <x:row r="2224">
      <x:c r="A2224" s="34" t="str">
        <x:v>randoop</x:v>
      </x:c>
      <x:c r="B2224" s="34" t="str">
        <x:v>Jsoup</x:v>
      </x:c>
      <x:c r="C2224" s="34" t="str">
        <x:v>Round1</x:v>
      </x:c>
      <x:c r="D2224" s="34" t="str">
        <x:v>Jsoup_7</x:v>
      </x:c>
      <x:c r="E2224" s="34" t="str">
        <x:v>Line</x:v>
      </x:c>
      <x:c r="F2224" s="34" t="n">
        <x:v>80</x:v>
      </x:c>
      <x:c r="G2224" s="34" t="str">
        <x:v>RECORDED</x:v>
      </x:c>
      <x:c r="H2224" s="38" t="n">
        <x:f>IF(ISNUMBER('Data'!H516),'Data'!H516*100,"")</x:f>
        <x:v>98.75</x:v>
      </x:c>
      <x:c r="I2224" s="34" t="str">
        <x:v>PASS</x:v>
      </x:c>
      <x:c r="J2224" s="34" t="str">
        <x:v>PASS</x:v>
      </x:c>
      <x:c r="K2224" s="34" t="str">
        <x:v>PASS</x:v>
      </x:c>
      <x:c r="L2224" s="34" t="str">
        <x:v>FAIL</x:v>
      </x:c>
      <x:c r="M2224" s="34" t="str">
        <x:v>numeric coverage for applicable metric</x:v>
      </x:c>
      <x:c r="N2224" s="34" t="str">
        <x:v>Feedback-Directed Random Test Generation/Result/Jsoup_7/result.json</x:v>
      </x:c>
      <x:c r="O2224" s="38" t="n">
        <x:f>IF(AND(G2224="RECORDED",ISNUMBER(H2224)),H2224,"")</x:f>
        <x:v>98.75</x:v>
      </x:c>
      <x:c r="P2224" s="34" t="str">
        <x:v>INCONCLUSIVE</x:v>
      </x:c>
      <x:c r="Q2224" s="34" t="str">
        <x:v>Feedback-Directed Random Test Generation/Result/Jsoup_7/result.json</x:v>
      </x:c>
    </x:row>
    <x:row r="2225">
      <x:c r="A2225" s="34" t="str">
        <x:v>randoop</x:v>
      </x:c>
      <x:c r="B2225" s="34" t="str">
        <x:v>Jsoup</x:v>
      </x:c>
      <x:c r="C2225" s="34" t="str">
        <x:v>Round1</x:v>
      </x:c>
      <x:c r="D2225" s="34" t="str">
        <x:v>Jsoup_8</x:v>
      </x:c>
      <x:c r="E2225" s="34" t="str">
        <x:v>Line</x:v>
      </x:c>
      <x:c r="F2225" s="34" t="n">
        <x:v>139</x:v>
      </x:c>
      <x:c r="G2225" s="34" t="str">
        <x:v>RECORDED</x:v>
      </x:c>
      <x:c r="H2225" s="38" t="n">
        <x:f>IF(ISNUMBER('Data'!H517),'Data'!H517*100,"")</x:f>
        <x:v>0</x:v>
      </x:c>
      <x:c r="I2225" s="34" t="str">
        <x:v>PASS</x:v>
      </x:c>
      <x:c r="J2225" s="34" t="str">
        <x:v>PASS</x:v>
      </x:c>
      <x:c r="K2225" s="34" t="str">
        <x:v>PASS</x:v>
      </x:c>
      <x:c r="L2225" s="34" t="str">
        <x:v>PASS</x:v>
      </x:c>
      <x:c r="M2225" s="34" t="str">
        <x:v>numeric coverage for applicable metric</x:v>
      </x:c>
      <x:c r="N2225" s="34" t="str">
        <x:v>Feedback-Directed Random Test Generation/Result/Jsoup_8/result.json</x:v>
      </x:c>
      <x:c r="O2225" s="38" t="n">
        <x:f>IF(AND(G2225="RECORDED",ISNUMBER(H2225)),H2225,"")</x:f>
        <x:v>0</x:v>
      </x:c>
      <x:c r="P2225" s="34" t="str">
        <x:v>NOT_REVEALING</x:v>
      </x:c>
      <x:c r="Q2225" s="34" t="str">
        <x:v>Feedback-Directed Random Test Generation/Result/Jsoup_8/result.json</x:v>
      </x:c>
    </x:row>
    <x:row r="2226">
      <x:c r="A2226" s="34" t="str">
        <x:v>randoop</x:v>
      </x:c>
      <x:c r="B2226" s="34" t="str">
        <x:v>Jsoup</x:v>
      </x:c>
      <x:c r="C2226" s="34" t="str">
        <x:v>Round1</x:v>
      </x:c>
      <x:c r="D2226" s="34" t="str">
        <x:v>Jsoup_9</x:v>
      </x:c>
      <x:c r="E2226" s="34" t="str">
        <x:v>Line</x:v>
      </x:c>
      <x:c r="F2226" s="34" t="n">
        <x:v>0</x:v>
      </x:c>
      <x:c r="G2226" s="34" t="str">
        <x:v>A</x:v>
      </x:c>
      <x:c r="H2226" s="38" t="str">
        <x:f>IF(ISNUMBER('Data'!H518),'Data'!H518*100,"")</x:f>
      </x:c>
      <x:c r="I2226" s="34" t="str">
        <x:v>FAIL</x:v>
      </x:c>
      <x:c r="J2226" s="34" t="str">
        <x:v>PASS</x:v>
      </x:c>
      <x:c r="K2226" s="34" t="str">
        <x:v>PASS</x:v>
      </x:c>
      <x:c r="L2226" s="34" t="str">
        <x:v>PASS</x:v>
      </x:c>
      <x:c r="M2226" s="34" t="str">
        <x:v>coverage unavailable or execution/compile failed</x:v>
      </x:c>
      <x:c r="N2226" s="34" t="str">
        <x:v>Feedback-Directed Random Test Generation/Result/Jsoup_9/result.json</x:v>
      </x:c>
      <x:c r="O2226" s="38" t="str">
        <x:f>IF(AND(G2226="RECORDED",ISNUMBER(H2226)),H2226,"")</x:f>
      </x:c>
      <x:c r="P2226" s="34" t="str">
        <x:v>NOT_AVAILABLE</x:v>
      </x:c>
      <x:c r="Q2226" s="34" t="str">
        <x:v>Feedback-Directed Random Test Generation/Result/Jsoup_9/result.json</x:v>
      </x:c>
    </x:row>
    <x:row r="2227">
      <x:c r="A2227" s="34" t="str">
        <x:v>randoop</x:v>
      </x:c>
      <x:c r="B2227" s="34" t="str">
        <x:v>Jsoup</x:v>
      </x:c>
      <x:c r="C2227" s="34" t="str">
        <x:v>Round1</x:v>
      </x:c>
      <x:c r="D2227" s="34" t="str">
        <x:v>Jsoup_10</x:v>
      </x:c>
      <x:c r="E2227" s="34" t="str">
        <x:v>Line</x:v>
      </x:c>
      <x:c r="F2227" s="34" t="n">
        <x:v>154</x:v>
      </x:c>
      <x:c r="G2227" s="34" t="str">
        <x:v>RECORDED</x:v>
      </x:c>
      <x:c r="H2227" s="38" t="n">
        <x:f>IF(ISNUMBER('Data'!H519),'Data'!H519*100,"")</x:f>
        <x:v>0</x:v>
      </x:c>
      <x:c r="I2227" s="34" t="str">
        <x:v>PASS</x:v>
      </x:c>
      <x:c r="J2227" s="34" t="str">
        <x:v>PASS</x:v>
      </x:c>
      <x:c r="K2227" s="34" t="str">
        <x:v>PASS</x:v>
      </x:c>
      <x:c r="L2227" s="34" t="str">
        <x:v>PASS</x:v>
      </x:c>
      <x:c r="M2227" s="34" t="str">
        <x:v>numeric coverage for applicable metric</x:v>
      </x:c>
      <x:c r="N2227" s="34" t="str">
        <x:v>Feedback-Directed Random Test Generation/Result/Jsoup_10/result.json</x:v>
      </x:c>
      <x:c r="O2227" s="38" t="n">
        <x:f>IF(AND(G2227="RECORDED",ISNUMBER(H2227)),H2227,"")</x:f>
        <x:v>0</x:v>
      </x:c>
      <x:c r="P2227" s="34" t="str">
        <x:v>NOT_REVEALING</x:v>
      </x:c>
      <x:c r="Q2227" s="34" t="str">
        <x:v>Feedback-Directed Random Test Generation/Result/Jsoup_10/result.json</x:v>
      </x:c>
    </x:row>
    <x:row r="2228">
      <x:c r="A2228" s="34" t="str">
        <x:v>randoop</x:v>
      </x:c>
      <x:c r="B2228" s="34" t="str">
        <x:v>Jsoup</x:v>
      </x:c>
      <x:c r="C2228" s="34" t="str">
        <x:v>Round1</x:v>
      </x:c>
      <x:c r="D2228" s="34" t="str">
        <x:v>Jsoup_11</x:v>
      </x:c>
      <x:c r="E2228" s="34" t="str">
        <x:v>Line</x:v>
      </x:c>
      <x:c r="F2228" s="34" t="n">
        <x:v>198</x:v>
      </x:c>
      <x:c r="G2228" s="34" t="str">
        <x:v>RECORDED</x:v>
      </x:c>
      <x:c r="H2228" s="38" t="n">
        <x:f>IF(ISNUMBER('Data'!H520),'Data'!H520*100,"")</x:f>
        <x:v>5.56</x:v>
      </x:c>
      <x:c r="I2228" s="34" t="str">
        <x:v>PASS</x:v>
      </x:c>
      <x:c r="J2228" s="34" t="str">
        <x:v>PASS</x:v>
      </x:c>
      <x:c r="K2228" s="34" t="str">
        <x:v>PASS</x:v>
      </x:c>
      <x:c r="L2228" s="34" t="str">
        <x:v>PASS</x:v>
      </x:c>
      <x:c r="M2228" s="34" t="str">
        <x:v>numeric coverage for applicable metric</x:v>
      </x:c>
      <x:c r="N2228" s="34" t="str">
        <x:v>Feedback-Directed Random Test Generation/Result/Jsoup_11/result.json</x:v>
      </x:c>
      <x:c r="O2228" s="38" t="n">
        <x:f>IF(AND(G2228="RECORDED",ISNUMBER(H2228)),H2228,"")</x:f>
        <x:v>5.56</x:v>
      </x:c>
      <x:c r="P2228" s="34" t="str">
        <x:v>NOT_REVEALING</x:v>
      </x:c>
      <x:c r="Q2228" s="34" t="str">
        <x:v>Feedback-Directed Random Test Generation/Result/Jsoup_11/result.json</x:v>
      </x:c>
    </x:row>
    <x:row r="2229">
      <x:c r="A2229" s="34" t="str">
        <x:v>randoop</x:v>
      </x:c>
      <x:c r="B2229" s="34" t="str">
        <x:v>Jsoup</x:v>
      </x:c>
      <x:c r="C2229" s="34" t="str">
        <x:v>Round1</x:v>
      </x:c>
      <x:c r="D2229" s="34" t="str">
        <x:v>Jsoup_12</x:v>
      </x:c>
      <x:c r="E2229" s="34" t="str">
        <x:v>Line</x:v>
      </x:c>
      <x:c r="F2229" s="34" t="n">
        <x:v>218</x:v>
      </x:c>
      <x:c r="G2229" s="34" t="str">
        <x:v>RECORDED</x:v>
      </x:c>
      <x:c r="H2229" s="38" t="n">
        <x:f>IF(ISNUMBER('Data'!H521),'Data'!H521*100,"")</x:f>
        <x:v>7.8</x:v>
      </x:c>
      <x:c r="I2229" s="34" t="str">
        <x:v>PASS</x:v>
      </x:c>
      <x:c r="J2229" s="34" t="str">
        <x:v>PASS</x:v>
      </x:c>
      <x:c r="K2229" s="34" t="str">
        <x:v>PASS</x:v>
      </x:c>
      <x:c r="L2229" s="34" t="str">
        <x:v>PASS</x:v>
      </x:c>
      <x:c r="M2229" s="34" t="str">
        <x:v>numeric coverage for applicable metric</x:v>
      </x:c>
      <x:c r="N2229" s="34" t="str">
        <x:v>Feedback-Directed Random Test Generation/Result/Jsoup_12/result.json</x:v>
      </x:c>
      <x:c r="O2229" s="38" t="n">
        <x:f>IF(AND(G2229="RECORDED",ISNUMBER(H2229)),H2229,"")</x:f>
        <x:v>7.8</x:v>
      </x:c>
      <x:c r="P2229" s="34" t="str">
        <x:v>NOT_REVEALING</x:v>
      </x:c>
      <x:c r="Q2229" s="34" t="str">
        <x:v>Feedback-Directed Random Test Generation/Result/Jsoup_12/result.json</x:v>
      </x:c>
    </x:row>
    <x:row r="2230">
      <x:c r="A2230" s="34" t="str">
        <x:v>randoop</x:v>
      </x:c>
      <x:c r="B2230" s="34" t="str">
        <x:v>Jsoup</x:v>
      </x:c>
      <x:c r="C2230" s="34" t="str">
        <x:v>Round1</x:v>
      </x:c>
      <x:c r="D2230" s="34" t="str">
        <x:v>Jsoup_13</x:v>
      </x:c>
      <x:c r="E2230" s="34" t="str">
        <x:v>Line</x:v>
      </x:c>
      <x:c r="F2230" s="34" t="n">
        <x:v>194</x:v>
      </x:c>
      <x:c r="G2230" s="34" t="str">
        <x:v>RECORDED</x:v>
      </x:c>
      <x:c r="H2230" s="38" t="n">
        <x:f>IF(ISNUMBER('Data'!H522),'Data'!H522*100,"")</x:f>
        <x:v>0</x:v>
      </x:c>
      <x:c r="I2230" s="34" t="str">
        <x:v>PASS</x:v>
      </x:c>
      <x:c r="J2230" s="34" t="str">
        <x:v>PASS</x:v>
      </x:c>
      <x:c r="K2230" s="34" t="str">
        <x:v>PASS</x:v>
      </x:c>
      <x:c r="L2230" s="34" t="str">
        <x:v>PASS</x:v>
      </x:c>
      <x:c r="M2230" s="34" t="str">
        <x:v>numeric coverage for applicable metric</x:v>
      </x:c>
      <x:c r="N2230" s="34" t="str">
        <x:v>Feedback-Directed Random Test Generation/Result/Jsoup_13/result.json</x:v>
      </x:c>
      <x:c r="O2230" s="38" t="n">
        <x:f>IF(AND(G2230="RECORDED",ISNUMBER(H2230)),H2230,"")</x:f>
        <x:v>0</x:v>
      </x:c>
      <x:c r="P2230" s="34" t="str">
        <x:v>NOT_REVEALING</x:v>
      </x:c>
      <x:c r="Q2230" s="34" t="str">
        <x:v>Feedback-Directed Random Test Generation/Result/Jsoup_13/result.json</x:v>
      </x:c>
    </x:row>
    <x:row r="2231">
      <x:c r="A2231" s="34" t="str">
        <x:v>randoop</x:v>
      </x:c>
      <x:c r="B2231" s="34" t="str">
        <x:v>Jsoup</x:v>
      </x:c>
      <x:c r="C2231" s="34" t="str">
        <x:v>Round1</x:v>
      </x:c>
      <x:c r="D2231" s="34" t="str">
        <x:v>Jsoup_14</x:v>
      </x:c>
      <x:c r="E2231" s="34" t="str">
        <x:v>Line</x:v>
      </x:c>
      <x:c r="F2231" s="34" t="n">
        <x:v>1313</x:v>
      </x:c>
      <x:c r="G2231" s="34" t="str">
        <x:v>RECORDED</x:v>
      </x:c>
      <x:c r="H2231" s="38" t="n">
        <x:f>IF(ISNUMBER('Data'!H523),'Data'!H523*100,"")</x:f>
        <x:v>19.65</x:v>
      </x:c>
      <x:c r="I2231" s="34" t="str">
        <x:v>PASS</x:v>
      </x:c>
      <x:c r="J2231" s="34" t="str">
        <x:v>PASS</x:v>
      </x:c>
      <x:c r="K2231" s="34" t="str">
        <x:v>PASS</x:v>
      </x:c>
      <x:c r="L2231" s="34" t="str">
        <x:v>PASS</x:v>
      </x:c>
      <x:c r="M2231" s="34" t="str">
        <x:v>numeric coverage for applicable metric</x:v>
      </x:c>
      <x:c r="N2231" s="34" t="str">
        <x:v>Feedback-Directed Random Test Generation/Result/Jsoup_14/result.json</x:v>
      </x:c>
      <x:c r="O2231" s="38" t="n">
        <x:f>IF(AND(G2231="RECORDED",ISNUMBER(H2231)),H2231,"")</x:f>
        <x:v>19.65</x:v>
      </x:c>
      <x:c r="P2231" s="34" t="str">
        <x:v>NOT_REVEALING</x:v>
      </x:c>
      <x:c r="Q2231" s="34" t="str">
        <x:v>Feedback-Directed Random Test Generation/Result/Jsoup_14/result.json</x:v>
      </x:c>
    </x:row>
    <x:row r="2232">
      <x:c r="A2232" s="34" t="str">
        <x:v>randoop</x:v>
      </x:c>
      <x:c r="B2232" s="34" t="str">
        <x:v>Jsoup</x:v>
      </x:c>
      <x:c r="C2232" s="34" t="str">
        <x:v>Round1</x:v>
      </x:c>
      <x:c r="D2232" s="34" t="str">
        <x:v>Jsoup_15</x:v>
      </x:c>
      <x:c r="E2232" s="34" t="str">
        <x:v>Line</x:v>
      </x:c>
      <x:c r="F2232" s="34" t="n">
        <x:v>1079</x:v>
      </x:c>
      <x:c r="G2232" s="34" t="str">
        <x:v>RECORDED</x:v>
      </x:c>
      <x:c r="H2232" s="38" t="n">
        <x:f>IF(ISNUMBER('Data'!H524),'Data'!H524*100,"")</x:f>
        <x:v>6.77</x:v>
      </x:c>
      <x:c r="I2232" s="34" t="str">
        <x:v>PASS</x:v>
      </x:c>
      <x:c r="J2232" s="34" t="str">
        <x:v>PASS</x:v>
      </x:c>
      <x:c r="K2232" s="34" t="str">
        <x:v>PASS</x:v>
      </x:c>
      <x:c r="L2232" s="34" t="str">
        <x:v>PASS</x:v>
      </x:c>
      <x:c r="M2232" s="34" t="str">
        <x:v>numeric coverage for applicable metric</x:v>
      </x:c>
      <x:c r="N2232" s="34" t="str">
        <x:v>Feedback-Directed Random Test Generation/Result/Jsoup_15/result.json</x:v>
      </x:c>
      <x:c r="O2232" s="38" t="n">
        <x:f>IF(AND(G2232="RECORDED",ISNUMBER(H2232)),H2232,"")</x:f>
        <x:v>6.77</x:v>
      </x:c>
      <x:c r="P2232" s="34" t="str">
        <x:v>NOT_REVEALING</x:v>
      </x:c>
      <x:c r="Q2232" s="34" t="str">
        <x:v>Feedback-Directed Random Test Generation/Result/Jsoup_15/result.json</x:v>
      </x:c>
    </x:row>
    <x:row r="2233">
      <x:c r="A2233" s="34" t="str">
        <x:v>randoop</x:v>
      </x:c>
      <x:c r="B2233" s="34" t="str">
        <x:v>Jsoup</x:v>
      </x:c>
      <x:c r="C2233" s="34" t="str">
        <x:v>Round1</x:v>
      </x:c>
      <x:c r="D2233" s="34" t="str">
        <x:v>Jsoup_16</x:v>
      </x:c>
      <x:c r="E2233" s="34" t="str">
        <x:v>Line</x:v>
      </x:c>
      <x:c r="F2233" s="34" t="n">
        <x:v>14</x:v>
      </x:c>
      <x:c r="G2233" s="34" t="str">
        <x:v>RECORDED</x:v>
      </x:c>
      <x:c r="H2233" s="38" t="n">
        <x:f>IF(ISNUMBER('Data'!H525),'Data'!H525*100,"")</x:f>
        <x:v>92.86</x:v>
      </x:c>
      <x:c r="I2233" s="34" t="str">
        <x:v>PASS</x:v>
      </x:c>
      <x:c r="J2233" s="34" t="str">
        <x:v>PASS</x:v>
      </x:c>
      <x:c r="K2233" s="34" t="str">
        <x:v>PASS</x:v>
      </x:c>
      <x:c r="L2233" s="34" t="str">
        <x:v>PASS</x:v>
      </x:c>
      <x:c r="M2233" s="34" t="str">
        <x:v>numeric coverage for applicable metric</x:v>
      </x:c>
      <x:c r="N2233" s="34" t="str">
        <x:v>Feedback-Directed Random Test Generation/Result/Jsoup_16/result.json</x:v>
      </x:c>
      <x:c r="O2233" s="38" t="n">
        <x:f>IF(AND(G2233="RECORDED",ISNUMBER(H2233)),H2233,"")</x:f>
        <x:v>92.86</x:v>
      </x:c>
      <x:c r="P2233" s="34" t="str">
        <x:v>INCONCLUSIVE</x:v>
      </x:c>
      <x:c r="Q2233" s="34" t="str">
        <x:v>Feedback-Directed Random Test Generation/Result/Jsoup_16/result.json</x:v>
      </x:c>
    </x:row>
    <x:row r="2234">
      <x:c r="A2234" s="34" t="str">
        <x:v>randoop</x:v>
      </x:c>
      <x:c r="B2234" s="34" t="str">
        <x:v>Jsoup</x:v>
      </x:c>
      <x:c r="C2234" s="34" t="str">
        <x:v>Round1</x:v>
      </x:c>
      <x:c r="D2234" s="34" t="str">
        <x:v>Jsoup_17</x:v>
      </x:c>
      <x:c r="E2234" s="34" t="str">
        <x:v>Line</x:v>
      </x:c>
      <x:c r="F2234" s="34" t="n">
        <x:v>1079</x:v>
      </x:c>
      <x:c r="G2234" s="34" t="str">
        <x:v>RECORDED</x:v>
      </x:c>
      <x:c r="H2234" s="38" t="n">
        <x:f>IF(ISNUMBER('Data'!H526),'Data'!H526*100,"")</x:f>
        <x:v>6.77</x:v>
      </x:c>
      <x:c r="I2234" s="34" t="str">
        <x:v>PASS</x:v>
      </x:c>
      <x:c r="J2234" s="34" t="str">
        <x:v>PASS</x:v>
      </x:c>
      <x:c r="K2234" s="34" t="str">
        <x:v>PASS</x:v>
      </x:c>
      <x:c r="L2234" s="34" t="str">
        <x:v>PASS</x:v>
      </x:c>
      <x:c r="M2234" s="34" t="str">
        <x:v>numeric coverage for applicable metric</x:v>
      </x:c>
      <x:c r="N2234" s="34" t="str">
        <x:v>Feedback-Directed Random Test Generation/Result/Jsoup_17/result.json</x:v>
      </x:c>
      <x:c r="O2234" s="38" t="n">
        <x:f>IF(AND(G2234="RECORDED",ISNUMBER(H2234)),H2234,"")</x:f>
        <x:v>6.77</x:v>
      </x:c>
      <x:c r="P2234" s="34" t="str">
        <x:v>NOT_REVEALING</x:v>
      </x:c>
      <x:c r="Q2234" s="34" t="str">
        <x:v>Feedback-Directed Random Test Generation/Result/Jsoup_17/result.json</x:v>
      </x:c>
    </x:row>
    <x:row r="2235">
      <x:c r="A2235" s="34" t="str">
        <x:v>randoop</x:v>
      </x:c>
      <x:c r="B2235" s="34" t="str">
        <x:v>Jsoup</x:v>
      </x:c>
      <x:c r="C2235" s="34" t="str">
        <x:v>Round1</x:v>
      </x:c>
      <x:c r="D2235" s="34" t="str">
        <x:v>Jsoup_18</x:v>
      </x:c>
      <x:c r="E2235" s="34" t="str">
        <x:v>Line</x:v>
      </x:c>
      <x:c r="F2235" s="34" t="n">
        <x:v>97</x:v>
      </x:c>
      <x:c r="G2235" s="34" t="str">
        <x:v>RECORDED</x:v>
      </x:c>
      <x:c r="H2235" s="38" t="n">
        <x:f>IF(ISNUMBER('Data'!H527),'Data'!H527*100,"")</x:f>
        <x:v>94.85</x:v>
      </x:c>
      <x:c r="I2235" s="34" t="str">
        <x:v>PASS</x:v>
      </x:c>
      <x:c r="J2235" s="34" t="str">
        <x:v>PASS</x:v>
      </x:c>
      <x:c r="K2235" s="34" t="str">
        <x:v>PASS</x:v>
      </x:c>
      <x:c r="L2235" s="34" t="str">
        <x:v>PASS</x:v>
      </x:c>
      <x:c r="M2235" s="34" t="str">
        <x:v>numeric coverage for applicable metric</x:v>
      </x:c>
      <x:c r="N2235" s="34" t="str">
        <x:v>Feedback-Directed Random Test Generation/Result/Jsoup_18/result.json</x:v>
      </x:c>
      <x:c r="O2235" s="38" t="n">
        <x:f>IF(AND(G2235="RECORDED",ISNUMBER(H2235)),H2235,"")</x:f>
        <x:v>94.85</x:v>
      </x:c>
      <x:c r="P2235" s="34" t="str">
        <x:v>INCONCLUSIVE</x:v>
      </x:c>
      <x:c r="Q2235" s="34" t="str">
        <x:v>Feedback-Directed Random Test Generation/Result/Jsoup_18/result.json</x:v>
      </x:c>
    </x:row>
    <x:row r="2236">
      <x:c r="A2236" s="34" t="str">
        <x:v>randoop</x:v>
      </x:c>
      <x:c r="B2236" s="34" t="str">
        <x:v>Jsoup</x:v>
      </x:c>
      <x:c r="C2236" s="34" t="str">
        <x:v>Round1</x:v>
      </x:c>
      <x:c r="D2236" s="34" t="str">
        <x:v>Jsoup_19</x:v>
      </x:c>
      <x:c r="E2236" s="34" t="str">
        <x:v>Line</x:v>
      </x:c>
      <x:c r="F2236" s="34" t="n">
        <x:v>147</x:v>
      </x:c>
      <x:c r="G2236" s="34" t="str">
        <x:v>RECORDED</x:v>
      </x:c>
      <x:c r="H2236" s="38" t="n">
        <x:f>IF(ISNUMBER('Data'!H528),'Data'!H528*100,"")</x:f>
        <x:v>87.76</x:v>
      </x:c>
      <x:c r="I2236" s="34" t="str">
        <x:v>PASS</x:v>
      </x:c>
      <x:c r="J2236" s="34" t="str">
        <x:v>PASS</x:v>
      </x:c>
      <x:c r="K2236" s="34" t="str">
        <x:v>PASS</x:v>
      </x:c>
      <x:c r="L2236" s="34" t="str">
        <x:v>PASS</x:v>
      </x:c>
      <x:c r="M2236" s="34" t="str">
        <x:v>numeric coverage for applicable metric</x:v>
      </x:c>
      <x:c r="N2236" s="34" t="str">
        <x:v>Feedback-Directed Random Test Generation/Result/Jsoup_19/result.json</x:v>
      </x:c>
      <x:c r="O2236" s="38" t="n">
        <x:f>IF(AND(G2236="RECORDED",ISNUMBER(H2236)),H2236,"")</x:f>
        <x:v>87.76</x:v>
      </x:c>
      <x:c r="P2236" s="34" t="str">
        <x:v>NOT_REVEALING</x:v>
      </x:c>
      <x:c r="Q2236" s="34" t="str">
        <x:v>Feedback-Directed Random Test Generation/Result/Jsoup_19/result.json</x:v>
      </x:c>
    </x:row>
    <x:row r="2237">
      <x:c r="A2237" s="34" t="str">
        <x:v>randoop</x:v>
      </x:c>
      <x:c r="B2237" s="34" t="str">
        <x:v>Jsoup</x:v>
      </x:c>
      <x:c r="C2237" s="34" t="str">
        <x:v>Round1</x:v>
      </x:c>
      <x:c r="D2237" s="34" t="str">
        <x:v>Jsoup_20</x:v>
      </x:c>
      <x:c r="E2237" s="34" t="str">
        <x:v>Line</x:v>
      </x:c>
      <x:c r="F2237" s="34" t="n">
        <x:v>44</x:v>
      </x:c>
      <x:c r="G2237" s="34" t="str">
        <x:v>RECORDED</x:v>
      </x:c>
      <x:c r="H2237" s="38" t="n">
        <x:f>IF(ISNUMBER('Data'!H529),'Data'!H529*100,"")</x:f>
        <x:v>40.91</x:v>
      </x:c>
      <x:c r="I2237" s="34" t="str">
        <x:v>PASS</x:v>
      </x:c>
      <x:c r="J2237" s="34" t="str">
        <x:v>PASS</x:v>
      </x:c>
      <x:c r="K2237" s="34" t="str">
        <x:v>PASS</x:v>
      </x:c>
      <x:c r="L2237" s="34" t="str">
        <x:v>PASS</x:v>
      </x:c>
      <x:c r="M2237" s="34" t="str">
        <x:v>numeric coverage for applicable metric</x:v>
      </x:c>
      <x:c r="N2237" s="34" t="str">
        <x:v>Feedback-Directed Random Test Generation/Result/Jsoup_20/result.json</x:v>
      </x:c>
      <x:c r="O2237" s="38" t="n">
        <x:f>IF(AND(G2237="RECORDED",ISNUMBER(H2237)),H2237,"")</x:f>
        <x:v>40.91</x:v>
      </x:c>
      <x:c r="P2237" s="34" t="str">
        <x:v>NOT_REVEALING</x:v>
      </x:c>
      <x:c r="Q2237" s="34" t="str">
        <x:v>Feedback-Directed Random Test Generation/Result/Jsoup_20/result.json</x:v>
      </x:c>
    </x:row>
    <x:row r="2238">
      <x:c r="A2238" s="34" t="str">
        <x:v>randoop</x:v>
      </x:c>
      <x:c r="B2238" s="34" t="str">
        <x:v>Jsoup</x:v>
      </x:c>
      <x:c r="C2238" s="34" t="str">
        <x:v>Round1</x:v>
      </x:c>
      <x:c r="D2238" s="34" t="str">
        <x:v>Jsoup_21</x:v>
      </x:c>
      <x:c r="E2238" s="34" t="str">
        <x:v>Line</x:v>
      </x:c>
      <x:c r="F2238" s="34" t="n">
        <x:v>189</x:v>
      </x:c>
      <x:c r="G2238" s="34" t="str">
        <x:v>RECORDED</x:v>
      </x:c>
      <x:c r="H2238" s="38" t="n">
        <x:f>IF(ISNUMBER('Data'!H530),'Data'!H530*100,"")</x:f>
        <x:v>35.45</x:v>
      </x:c>
      <x:c r="I2238" s="34" t="str">
        <x:v>PASS</x:v>
      </x:c>
      <x:c r="J2238" s="34" t="str">
        <x:v>PASS</x:v>
      </x:c>
      <x:c r="K2238" s="34" t="str">
        <x:v>PASS</x:v>
      </x:c>
      <x:c r="L2238" s="34" t="str">
        <x:v>PASS</x:v>
      </x:c>
      <x:c r="M2238" s="34" t="str">
        <x:v>numeric coverage for applicable metric</x:v>
      </x:c>
      <x:c r="N2238" s="34" t="str">
        <x:v>Feedback-Directed Random Test Generation/Result/Jsoup_21/result.json</x:v>
      </x:c>
      <x:c r="O2238" s="38" t="n">
        <x:f>IF(AND(G2238="RECORDED",ISNUMBER(H2238)),H2238,"")</x:f>
        <x:v>35.45</x:v>
      </x:c>
      <x:c r="P2238" s="34" t="str">
        <x:v>NOT_REVEALING</x:v>
      </x:c>
      <x:c r="Q2238" s="34" t="str">
        <x:v>Feedback-Directed Random Test Generation/Result/Jsoup_21/result.json</x:v>
      </x:c>
    </x:row>
    <x:row r="2239">
      <x:c r="A2239" s="34" t="str">
        <x:v>randoop</x:v>
      </x:c>
      <x:c r="B2239" s="34" t="str">
        <x:v>Jsoup</x:v>
      </x:c>
      <x:c r="C2239" s="34" t="str">
        <x:v>Round1</x:v>
      </x:c>
      <x:c r="D2239" s="34" t="str">
        <x:v>Jsoup_22</x:v>
      </x:c>
      <x:c r="E2239" s="34" t="str">
        <x:v>Line</x:v>
      </x:c>
      <x:c r="F2239" s="34" t="n">
        <x:v>667</x:v>
      </x:c>
      <x:c r="G2239" s="34" t="str">
        <x:v>RECORDED</x:v>
      </x:c>
      <x:c r="H2239" s="38" t="n">
        <x:f>IF(ISNUMBER('Data'!H531),'Data'!H531*100,"")</x:f>
        <x:v>21.29</x:v>
      </x:c>
      <x:c r="I2239" s="34" t="str">
        <x:v>PASS</x:v>
      </x:c>
      <x:c r="J2239" s="34" t="str">
        <x:v>PASS</x:v>
      </x:c>
      <x:c r="K2239" s="34" t="str">
        <x:v>PASS</x:v>
      </x:c>
      <x:c r="L2239" s="34" t="str">
        <x:v>PASS</x:v>
      </x:c>
      <x:c r="M2239" s="34" t="str">
        <x:v>numeric coverage for applicable metric</x:v>
      </x:c>
      <x:c r="N2239" s="34" t="str">
        <x:v>Feedback-Directed Random Test Generation/Result/Jsoup_22/result.json</x:v>
      </x:c>
      <x:c r="O2239" s="38" t="n">
        <x:f>IF(AND(G2239="RECORDED",ISNUMBER(H2239)),H2239,"")</x:f>
        <x:v>21.29</x:v>
      </x:c>
      <x:c r="P2239" s="34" t="str">
        <x:v>NOT_REVEALING</x:v>
      </x:c>
      <x:c r="Q2239" s="34" t="str">
        <x:v>Feedback-Directed Random Test Generation/Result/Jsoup_22/result.json</x:v>
      </x:c>
    </x:row>
    <x:row r="2240">
      <x:c r="A2240" s="34" t="str">
        <x:v>randoop</x:v>
      </x:c>
      <x:c r="B2240" s="34" t="str">
        <x:v>Jsoup</x:v>
      </x:c>
      <x:c r="C2240" s="34" t="str">
        <x:v>Round1</x:v>
      </x:c>
      <x:c r="D2240" s="34" t="str">
        <x:v>Jsoup_23</x:v>
      </x:c>
      <x:c r="E2240" s="34" t="str">
        <x:v>Line</x:v>
      </x:c>
      <x:c r="F2240" s="34" t="n">
        <x:v>217</x:v>
      </x:c>
      <x:c r="G2240" s="34" t="str">
        <x:v>RECORDED</x:v>
      </x:c>
      <x:c r="H2240" s="38" t="n">
        <x:f>IF(ISNUMBER('Data'!H532),'Data'!H532*100,"")</x:f>
        <x:v>70.05</x:v>
      </x:c>
      <x:c r="I2240" s="34" t="str">
        <x:v>PASS</x:v>
      </x:c>
      <x:c r="J2240" s="34" t="str">
        <x:v>PASS</x:v>
      </x:c>
      <x:c r="K2240" s="34" t="str">
        <x:v>PASS</x:v>
      </x:c>
      <x:c r="L2240" s="34" t="str">
        <x:v>PASS</x:v>
      </x:c>
      <x:c r="M2240" s="34" t="str">
        <x:v>numeric coverage for applicable metric</x:v>
      </x:c>
      <x:c r="N2240" s="34" t="str">
        <x:v>Feedback-Directed Random Test Generation/Result/Jsoup_23/result.json</x:v>
      </x:c>
      <x:c r="O2240" s="38" t="n">
        <x:f>IF(AND(G2240="RECORDED",ISNUMBER(H2240)),H2240,"")</x:f>
        <x:v>70.05</x:v>
      </x:c>
      <x:c r="P2240" s="34" t="str">
        <x:v>NOT_REVEALING</x:v>
      </x:c>
      <x:c r="Q2240" s="34" t="str">
        <x:v>Feedback-Directed Random Test Generation/Result/Jsoup_23/result.json</x:v>
      </x:c>
    </x:row>
    <x:row r="2241">
      <x:c r="A2241" s="34" t="str">
        <x:v>randoop</x:v>
      </x:c>
      <x:c r="B2241" s="34" t="str">
        <x:v>Jsoup</x:v>
      </x:c>
      <x:c r="C2241" s="34" t="str">
        <x:v>Round1</x:v>
      </x:c>
      <x:c r="D2241" s="34" t="str">
        <x:v>Jsoup_24</x:v>
      </x:c>
      <x:c r="E2241" s="34" t="str">
        <x:v>Line</x:v>
      </x:c>
      <x:c r="F2241" s="34" t="n">
        <x:v>1195</x:v>
      </x:c>
      <x:c r="G2241" s="34" t="str">
        <x:v>RECORDED</x:v>
      </x:c>
      <x:c r="H2241" s="38" t="n">
        <x:f>IF(ISNUMBER('Data'!H533),'Data'!H533*100,"")</x:f>
        <x:v>16.99</x:v>
      </x:c>
      <x:c r="I2241" s="34" t="str">
        <x:v>PASS</x:v>
      </x:c>
      <x:c r="J2241" s="34" t="str">
        <x:v>PASS</x:v>
      </x:c>
      <x:c r="K2241" s="34" t="str">
        <x:v>PASS</x:v>
      </x:c>
      <x:c r="L2241" s="34" t="str">
        <x:v>PASS</x:v>
      </x:c>
      <x:c r="M2241" s="34" t="str">
        <x:v>numeric coverage for applicable metric</x:v>
      </x:c>
      <x:c r="N2241" s="34" t="str">
        <x:v>Feedback-Directed Random Test Generation/Result/Jsoup_24/result.json</x:v>
      </x:c>
      <x:c r="O2241" s="38" t="n">
        <x:f>IF(AND(G2241="RECORDED",ISNUMBER(H2241)),H2241,"")</x:f>
        <x:v>16.99</x:v>
      </x:c>
      <x:c r="P2241" s="34" t="str">
        <x:v>NOT_REVEALING</x:v>
      </x:c>
      <x:c r="Q2241" s="34" t="str">
        <x:v>Feedback-Directed Random Test Generation/Result/Jsoup_24/result.json</x:v>
      </x:c>
    </x:row>
    <x:row r="2242">
      <x:c r="A2242" s="34" t="str">
        <x:v>randoop</x:v>
      </x:c>
      <x:c r="B2242" s="34" t="str">
        <x:v>Jsoup</x:v>
      </x:c>
      <x:c r="C2242" s="34" t="str">
        <x:v>Round1</x:v>
      </x:c>
      <x:c r="D2242" s="34" t="str">
        <x:v>Jsoup_25</x:v>
      </x:c>
      <x:c r="E2242" s="34" t="str">
        <x:v>Line</x:v>
      </x:c>
      <x:c r="F2242" s="34" t="n">
        <x:v>90</x:v>
      </x:c>
      <x:c r="G2242" s="34" t="str">
        <x:v>RECORDED</x:v>
      </x:c>
      <x:c r="H2242" s="38" t="n">
        <x:f>IF(ISNUMBER('Data'!H534),'Data'!H534*100,"")</x:f>
        <x:v>88.89</x:v>
      </x:c>
      <x:c r="I2242" s="34" t="str">
        <x:v>PASS</x:v>
      </x:c>
      <x:c r="J2242" s="34" t="str">
        <x:v>PASS</x:v>
      </x:c>
      <x:c r="K2242" s="34" t="str">
        <x:v>PASS</x:v>
      </x:c>
      <x:c r="L2242" s="34" t="str">
        <x:v>PASS</x:v>
      </x:c>
      <x:c r="M2242" s="34" t="str">
        <x:v>numeric coverage for applicable metric</x:v>
      </x:c>
      <x:c r="N2242" s="34" t="str">
        <x:v>Feedback-Directed Random Test Generation/Result/Jsoup_25/result.json</x:v>
      </x:c>
      <x:c r="O2242" s="38" t="n">
        <x:f>IF(AND(G2242="RECORDED",ISNUMBER(H2242)),H2242,"")</x:f>
        <x:v>88.89</x:v>
      </x:c>
      <x:c r="P2242" s="34" t="str">
        <x:v>NOT_REVEALING</x:v>
      </x:c>
      <x:c r="Q2242" s="34" t="str">
        <x:v>Feedback-Directed Random Test Generation/Result/Jsoup_25/result.json</x:v>
      </x:c>
    </x:row>
    <x:row r="2243">
      <x:c r="A2243" s="34" t="str">
        <x:v>randoop</x:v>
      </x:c>
      <x:c r="B2243" s="34" t="str">
        <x:v>Jsoup</x:v>
      </x:c>
      <x:c r="C2243" s="34" t="str">
        <x:v>Round1</x:v>
      </x:c>
      <x:c r="D2243" s="34" t="str">
        <x:v>Jsoup_26</x:v>
      </x:c>
      <x:c r="E2243" s="34" t="str">
        <x:v>Line</x:v>
      </x:c>
      <x:c r="F2243" s="34" t="n">
        <x:v>49</x:v>
      </x:c>
      <x:c r="G2243" s="34" t="str">
        <x:v>RECORDED</x:v>
      </x:c>
      <x:c r="H2243" s="38" t="n">
        <x:f>IF(ISNUMBER('Data'!H535),'Data'!H535*100,"")</x:f>
        <x:v>4.08</x:v>
      </x:c>
      <x:c r="I2243" s="34" t="str">
        <x:v>PASS</x:v>
      </x:c>
      <x:c r="J2243" s="34" t="str">
        <x:v>PASS</x:v>
      </x:c>
      <x:c r="K2243" s="34" t="str">
        <x:v>PASS</x:v>
      </x:c>
      <x:c r="L2243" s="34" t="str">
        <x:v>PASS</x:v>
      </x:c>
      <x:c r="M2243" s="34" t="str">
        <x:v>numeric coverage for applicable metric</x:v>
      </x:c>
      <x:c r="N2243" s="34" t="str">
        <x:v>Feedback-Directed Random Test Generation/Result/Jsoup_26/result.json</x:v>
      </x:c>
      <x:c r="O2243" s="38" t="n">
        <x:f>IF(AND(G2243="RECORDED",ISNUMBER(H2243)),H2243,"")</x:f>
        <x:v>4.08</x:v>
      </x:c>
      <x:c r="P2243" s="34" t="str">
        <x:v>NOT_REVEALING</x:v>
      </x:c>
      <x:c r="Q2243" s="34" t="str">
        <x:v>Feedback-Directed Random Test Generation/Result/Jsoup_26/result.json</x:v>
      </x:c>
    </x:row>
    <x:row r="2244">
      <x:c r="A2244" s="34" t="str">
        <x:v>randoop</x:v>
      </x:c>
      <x:c r="B2244" s="34" t="str">
        <x:v>Jsoup</x:v>
      </x:c>
      <x:c r="C2244" s="34" t="str">
        <x:v>Round1</x:v>
      </x:c>
      <x:c r="D2244" s="34" t="str">
        <x:v>Jsoup_27</x:v>
      </x:c>
      <x:c r="E2244" s="34" t="str">
        <x:v>Line</x:v>
      </x:c>
      <x:c r="F2244" s="34" t="n">
        <x:v>48</x:v>
      </x:c>
      <x:c r="G2244" s="34" t="str">
        <x:v>RECORDED</x:v>
      </x:c>
      <x:c r="H2244" s="38" t="n">
        <x:f>IF(ISNUMBER('Data'!H536),'Data'!H536*100,"")</x:f>
        <x:v>37.5</x:v>
      </x:c>
      <x:c r="I2244" s="34" t="str">
        <x:v>PASS</x:v>
      </x:c>
      <x:c r="J2244" s="34" t="str">
        <x:v>PASS</x:v>
      </x:c>
      <x:c r="K2244" s="34" t="str">
        <x:v>PASS</x:v>
      </x:c>
      <x:c r="L2244" s="34" t="str">
        <x:v>PASS</x:v>
      </x:c>
      <x:c r="M2244" s="34" t="str">
        <x:v>numeric coverage for applicable metric</x:v>
      </x:c>
      <x:c r="N2244" s="34" t="str">
        <x:v>Feedback-Directed Random Test Generation/Result/Jsoup_27/result.json</x:v>
      </x:c>
      <x:c r="O2244" s="38" t="n">
        <x:f>IF(AND(G2244="RECORDED",ISNUMBER(H2244)),H2244,"")</x:f>
        <x:v>37.5</x:v>
      </x:c>
      <x:c r="P2244" s="34" t="str">
        <x:v>NOT_REVEALING</x:v>
      </x:c>
      <x:c r="Q2244" s="34" t="str">
        <x:v>Feedback-Directed Random Test Generation/Result/Jsoup_27/result.json</x:v>
      </x:c>
    </x:row>
    <x:row r="2245">
      <x:c r="A2245" s="34" t="str">
        <x:v>randoop</x:v>
      </x:c>
      <x:c r="B2245" s="34" t="str">
        <x:v>Jsoup</x:v>
      </x:c>
      <x:c r="C2245" s="34" t="str">
        <x:v>Round1</x:v>
      </x:c>
      <x:c r="D2245" s="34" t="str">
        <x:v>Jsoup_28</x:v>
      </x:c>
      <x:c r="E2245" s="34" t="str">
        <x:v>Line</x:v>
      </x:c>
      <x:c r="F2245" s="34" t="n">
        <x:v>237</x:v>
      </x:c>
      <x:c r="G2245" s="34" t="str">
        <x:v>RECORDED</x:v>
      </x:c>
      <x:c r="H2245" s="38" t="n">
        <x:f>IF(ISNUMBER('Data'!H537),'Data'!H537*100,"")</x:f>
        <x:v>58.650000000000006</x:v>
      </x:c>
      <x:c r="I2245" s="34" t="str">
        <x:v>PASS</x:v>
      </x:c>
      <x:c r="J2245" s="34" t="str">
        <x:v>PASS</x:v>
      </x:c>
      <x:c r="K2245" s="34" t="str">
        <x:v>PASS</x:v>
      </x:c>
      <x:c r="L2245" s="34" t="str">
        <x:v>PASS</x:v>
      </x:c>
      <x:c r="M2245" s="34" t="str">
        <x:v>numeric coverage for applicable metric</x:v>
      </x:c>
      <x:c r="N2245" s="34" t="str">
        <x:v>Feedback-Directed Random Test Generation/Result/Jsoup_28/result.json</x:v>
      </x:c>
      <x:c r="O2245" s="38" t="n">
        <x:f>IF(AND(G2245="RECORDED",ISNUMBER(H2245)),H2245,"")</x:f>
        <x:v>58.650000000000006</x:v>
      </x:c>
      <x:c r="P2245" s="34" t="str">
        <x:v>NOT_REVEALING</x:v>
      </x:c>
      <x:c r="Q2245" s="34" t="str">
        <x:v>Feedback-Directed Random Test Generation/Result/Jsoup_28/result.json</x:v>
      </x:c>
    </x:row>
    <x:row r="2246">
      <x:c r="A2246" s="34" t="str">
        <x:v>randoop</x:v>
      </x:c>
      <x:c r="B2246" s="34" t="str">
        <x:v>Jsoup</x:v>
      </x:c>
      <x:c r="C2246" s="34" t="str">
        <x:v>Round1</x:v>
      </x:c>
      <x:c r="D2246" s="34" t="str">
        <x:v>Jsoup_29</x:v>
      </x:c>
      <x:c r="E2246" s="34" t="str">
        <x:v>Line</x:v>
      </x:c>
      <x:c r="F2246" s="34" t="n">
        <x:v>117</x:v>
      </x:c>
      <x:c r="G2246" s="34" t="str">
        <x:v>RECORDED</x:v>
      </x:c>
      <x:c r="H2246" s="38" t="n">
        <x:f>IF(ISNUMBER('Data'!H538),'Data'!H538*100,"")</x:f>
        <x:v>89.74</x:v>
      </x:c>
      <x:c r="I2246" s="34" t="str">
        <x:v>PASS</x:v>
      </x:c>
      <x:c r="J2246" s="34" t="str">
        <x:v>PASS</x:v>
      </x:c>
      <x:c r="K2246" s="34" t="str">
        <x:v>PASS</x:v>
      </x:c>
      <x:c r="L2246" s="34" t="str">
        <x:v>FAIL</x:v>
      </x:c>
      <x:c r="M2246" s="34" t="str">
        <x:v>numeric coverage for applicable metric</x:v>
      </x:c>
      <x:c r="N2246" s="34" t="str">
        <x:v>Feedback-Directed Random Test Generation/Result/Jsoup_29/result.json</x:v>
      </x:c>
      <x:c r="O2246" s="38" t="n">
        <x:f>IF(AND(G2246="RECORDED",ISNUMBER(H2246)),H2246,"")</x:f>
        <x:v>89.74</x:v>
      </x:c>
      <x:c r="P2246" s="34" t="str">
        <x:v>INCONCLUSIVE</x:v>
      </x:c>
      <x:c r="Q2246" s="34" t="str">
        <x:v>Feedback-Directed Random Test Generation/Result/Jsoup_29/result.json</x:v>
      </x:c>
    </x:row>
    <x:row r="2247">
      <x:c r="A2247" s="34" t="str">
        <x:v>randoop</x:v>
      </x:c>
      <x:c r="B2247" s="34" t="str">
        <x:v>Jsoup</x:v>
      </x:c>
      <x:c r="C2247" s="34" t="str">
        <x:v>Round1</x:v>
      </x:c>
      <x:c r="D2247" s="34" t="str">
        <x:v>Jsoup_30</x:v>
      </x:c>
      <x:c r="E2247" s="34" t="str">
        <x:v>Line</x:v>
      </x:c>
      <x:c r="F2247" s="34" t="n">
        <x:v>50</x:v>
      </x:c>
      <x:c r="G2247" s="34" t="str">
        <x:v>RECORDED</x:v>
      </x:c>
      <x:c r="H2247" s="38" t="n">
        <x:f>IF(ISNUMBER('Data'!H539),'Data'!H539*100,"")</x:f>
        <x:v>4</x:v>
      </x:c>
      <x:c r="I2247" s="34" t="str">
        <x:v>PASS</x:v>
      </x:c>
      <x:c r="J2247" s="34" t="str">
        <x:v>PASS</x:v>
      </x:c>
      <x:c r="K2247" s="34" t="str">
        <x:v>PASS</x:v>
      </x:c>
      <x:c r="L2247" s="34" t="str">
        <x:v>PASS</x:v>
      </x:c>
      <x:c r="M2247" s="34" t="str">
        <x:v>numeric coverage for applicable metric</x:v>
      </x:c>
      <x:c r="N2247" s="34" t="str">
        <x:v>Feedback-Directed Random Test Generation/Result/Jsoup_30/result.json</x:v>
      </x:c>
      <x:c r="O2247" s="38" t="n">
        <x:f>IF(AND(G2247="RECORDED",ISNUMBER(H2247)),H2247,"")</x:f>
        <x:v>4</x:v>
      </x:c>
      <x:c r="P2247" s="34" t="str">
        <x:v>NOT_REVEALING</x:v>
      </x:c>
      <x:c r="Q2247" s="34" t="str">
        <x:v>Feedback-Directed Random Test Generation/Result/Jsoup_30/result.json</x:v>
      </x:c>
    </x:row>
    <x:row r="2248">
      <x:c r="A2248" s="34" t="str">
        <x:v>randoop</x:v>
      </x:c>
      <x:c r="B2248" s="34" t="str">
        <x:v>Jsoup</x:v>
      </x:c>
      <x:c r="C2248" s="34" t="str">
        <x:v>Round1</x:v>
      </x:c>
      <x:c r="D2248" s="34" t="str">
        <x:v>Jsoup_31</x:v>
      </x:c>
      <x:c r="E2248" s="34" t="str">
        <x:v>Line</x:v>
      </x:c>
      <x:c r="F2248" s="34" t="n">
        <x:v>1357</x:v>
      </x:c>
      <x:c r="G2248" s="34" t="str">
        <x:v>RECORDED</x:v>
      </x:c>
      <x:c r="H2248" s="38" t="n">
        <x:f>IF(ISNUMBER('Data'!H540),'Data'!H540*100,"")</x:f>
        <x:v>25.06</x:v>
      </x:c>
      <x:c r="I2248" s="34" t="str">
        <x:v>PASS</x:v>
      </x:c>
      <x:c r="J2248" s="34" t="str">
        <x:v>PASS</x:v>
      </x:c>
      <x:c r="K2248" s="34" t="str">
        <x:v>PASS</x:v>
      </x:c>
      <x:c r="L2248" s="34" t="str">
        <x:v>FAIL</x:v>
      </x:c>
      <x:c r="M2248" s="34" t="str">
        <x:v>numeric coverage for applicable metric</x:v>
      </x:c>
      <x:c r="N2248" s="34" t="str">
        <x:v>Feedback-Directed Random Test Generation/Result/Jsoup_31/result.json</x:v>
      </x:c>
      <x:c r="O2248" s="38" t="n">
        <x:f>IF(AND(G2248="RECORDED",ISNUMBER(H2248)),H2248,"")</x:f>
        <x:v>25.06</x:v>
      </x:c>
      <x:c r="P2248" s="34" t="str">
        <x:v>INCONCLUSIVE</x:v>
      </x:c>
      <x:c r="Q2248" s="34" t="str">
        <x:v>Feedback-Directed Random Test Generation/Result/Jsoup_31/result.json</x:v>
      </x:c>
    </x:row>
    <x:row r="2249">
      <x:c r="A2249" s="34" t="str">
        <x:v>randoop</x:v>
      </x:c>
      <x:c r="B2249" s="34" t="str">
        <x:v>Jsoup</x:v>
      </x:c>
      <x:c r="C2249" s="34" t="str">
        <x:v>Round1</x:v>
      </x:c>
      <x:c r="D2249" s="34" t="str">
        <x:v>Jsoup_32</x:v>
      </x:c>
      <x:c r="E2249" s="34" t="str">
        <x:v>Line</x:v>
      </x:c>
      <x:c r="F2249" s="34" t="n">
        <x:v>303</x:v>
      </x:c>
      <x:c r="G2249" s="34" t="str">
        <x:v>RECORDED</x:v>
      </x:c>
      <x:c r="H2249" s="38" t="n">
        <x:f>IF(ISNUMBER('Data'!H541),'Data'!H541*100,"")</x:f>
        <x:v>0.9899999999999999</x:v>
      </x:c>
      <x:c r="I2249" s="34" t="str">
        <x:v>PASS</x:v>
      </x:c>
      <x:c r="J2249" s="34" t="str">
        <x:v>PASS</x:v>
      </x:c>
      <x:c r="K2249" s="34" t="str">
        <x:v>PASS</x:v>
      </x:c>
      <x:c r="L2249" s="34" t="str">
        <x:v>PASS</x:v>
      </x:c>
      <x:c r="M2249" s="34" t="str">
        <x:v>numeric coverage for applicable metric</x:v>
      </x:c>
      <x:c r="N2249" s="34" t="str">
        <x:v>Feedback-Directed Random Test Generation/Result/Jsoup_32/result.json</x:v>
      </x:c>
      <x:c r="O2249" s="38" t="n">
        <x:f>IF(AND(G2249="RECORDED",ISNUMBER(H2249)),H2249,"")</x:f>
        <x:v>0.9899999999999999</x:v>
      </x:c>
      <x:c r="P2249" s="34" t="str">
        <x:v>NOT_REVEALING</x:v>
      </x:c>
      <x:c r="Q2249" s="34" t="str">
        <x:v>Feedback-Directed Random Test Generation/Result/Jsoup_32/result.json</x:v>
      </x:c>
    </x:row>
    <x:row r="2250">
      <x:c r="A2250" s="34" t="str">
        <x:v>randoop</x:v>
      </x:c>
      <x:c r="B2250" s="34" t="str">
        <x:v>Jsoup</x:v>
      </x:c>
      <x:c r="C2250" s="34" t="str">
        <x:v>Round1</x:v>
      </x:c>
      <x:c r="D2250" s="34" t="str">
        <x:v>Jsoup_33</x:v>
      </x:c>
      <x:c r="E2250" s="34" t="str">
        <x:v>Line</x:v>
      </x:c>
      <x:c r="F2250" s="34" t="n">
        <x:v>393</x:v>
      </x:c>
      <x:c r="G2250" s="34" t="str">
        <x:v>RECORDED</x:v>
      </x:c>
      <x:c r="H2250" s="38" t="n">
        <x:f>IF(ISNUMBER('Data'!H542),'Data'!H542*100,"")</x:f>
        <x:v>76.59</x:v>
      </x:c>
      <x:c r="I2250" s="34" t="str">
        <x:v>PASS</x:v>
      </x:c>
      <x:c r="J2250" s="34" t="str">
        <x:v>PASS</x:v>
      </x:c>
      <x:c r="K2250" s="34" t="str">
        <x:v>PASS</x:v>
      </x:c>
      <x:c r="L2250" s="34" t="str">
        <x:v>FAIL</x:v>
      </x:c>
      <x:c r="M2250" s="34" t="str">
        <x:v>numeric coverage for applicable metric</x:v>
      </x:c>
      <x:c r="N2250" s="34" t="str">
        <x:v>Feedback-Directed Random Test Generation/Result/Jsoup_33/result.json</x:v>
      </x:c>
      <x:c r="O2250" s="38" t="n">
        <x:f>IF(AND(G2250="RECORDED",ISNUMBER(H2250)),H2250,"")</x:f>
        <x:v>76.59</x:v>
      </x:c>
      <x:c r="P2250" s="34" t="str">
        <x:v>INCONCLUSIVE</x:v>
      </x:c>
      <x:c r="Q2250" s="34" t="str">
        <x:v>Feedback-Directed Random Test Generation/Result/Jsoup_33/result.json</x:v>
      </x:c>
    </x:row>
    <x:row r="2251">
      <x:c r="A2251" s="34" t="str">
        <x:v>randoop</x:v>
      </x:c>
      <x:c r="B2251" s="34" t="str">
        <x:v>Jsoup</x:v>
      </x:c>
      <x:c r="C2251" s="34" t="str">
        <x:v>Round1</x:v>
      </x:c>
      <x:c r="D2251" s="34" t="str">
        <x:v>Jsoup_34</x:v>
      </x:c>
      <x:c r="E2251" s="34" t="str">
        <x:v>Line</x:v>
      </x:c>
      <x:c r="F2251" s="34" t="n">
        <x:v>136</x:v>
      </x:c>
      <x:c r="G2251" s="34" t="str">
        <x:v>RECORDED</x:v>
      </x:c>
      <x:c r="H2251" s="38" t="n">
        <x:f>IF(ISNUMBER('Data'!H543),'Data'!H543*100,"")</x:f>
        <x:v>94.12</x:v>
      </x:c>
      <x:c r="I2251" s="34" t="str">
        <x:v>PASS</x:v>
      </x:c>
      <x:c r="J2251" s="34" t="str">
        <x:v>PASS</x:v>
      </x:c>
      <x:c r="K2251" s="34" t="str">
        <x:v>PASS</x:v>
      </x:c>
      <x:c r="L2251" s="34" t="str">
        <x:v>PASS</x:v>
      </x:c>
      <x:c r="M2251" s="34" t="str">
        <x:v>numeric coverage for applicable metric</x:v>
      </x:c>
      <x:c r="N2251" s="34" t="str">
        <x:v>Feedback-Directed Random Test Generation/Result/Jsoup_34/result.json</x:v>
      </x:c>
      <x:c r="O2251" s="38" t="n">
        <x:f>IF(AND(G2251="RECORDED",ISNUMBER(H2251)),H2251,"")</x:f>
        <x:v>94.12</x:v>
      </x:c>
      <x:c r="P2251" s="34" t="str">
        <x:v>INCONCLUSIVE</x:v>
      </x:c>
      <x:c r="Q2251" s="34" t="str">
        <x:v>Feedback-Directed Random Test Generation/Result/Jsoup_34/result.json</x:v>
      </x:c>
    </x:row>
    <x:row r="2252">
      <x:c r="A2252" s="34" t="str">
        <x:v>randoop</x:v>
      </x:c>
      <x:c r="B2252" s="34" t="str">
        <x:v>Jsoup</x:v>
      </x:c>
      <x:c r="C2252" s="34" t="str">
        <x:v>Round1</x:v>
      </x:c>
      <x:c r="D2252" s="34" t="str">
        <x:v>Jsoup_35</x:v>
      </x:c>
      <x:c r="E2252" s="34" t="str">
        <x:v>Line</x:v>
      </x:c>
      <x:c r="F2252" s="34" t="n">
        <x:v>1078</x:v>
      </x:c>
      <x:c r="G2252" s="34" t="str">
        <x:v>RECORDED</x:v>
      </x:c>
      <x:c r="H2252" s="38" t="n">
        <x:f>IF(ISNUMBER('Data'!H544),'Data'!H544*100,"")</x:f>
        <x:v>6.77</x:v>
      </x:c>
      <x:c r="I2252" s="34" t="str">
        <x:v>PASS</x:v>
      </x:c>
      <x:c r="J2252" s="34" t="str">
        <x:v>PASS</x:v>
      </x:c>
      <x:c r="K2252" s="34" t="str">
        <x:v>PASS</x:v>
      </x:c>
      <x:c r="L2252" s="34" t="str">
        <x:v>PASS</x:v>
      </x:c>
      <x:c r="M2252" s="34" t="str">
        <x:v>numeric coverage for applicable metric</x:v>
      </x:c>
      <x:c r="N2252" s="34" t="str">
        <x:v>Feedback-Directed Random Test Generation/Result/Jsoup_35/result.json</x:v>
      </x:c>
      <x:c r="O2252" s="38" t="n">
        <x:f>IF(AND(G2252="RECORDED",ISNUMBER(H2252)),H2252,"")</x:f>
        <x:v>6.77</x:v>
      </x:c>
      <x:c r="P2252" s="34" t="str">
        <x:v>NOT_REVEALING</x:v>
      </x:c>
      <x:c r="Q2252" s="34" t="str">
        <x:v>Feedback-Directed Random Test Generation/Result/Jsoup_35/result.json</x:v>
      </x:c>
    </x:row>
    <x:row r="2253">
      <x:c r="A2253" s="34" t="str">
        <x:v>randoop</x:v>
      </x:c>
      <x:c r="B2253" s="34" t="str">
        <x:v>Jsoup</x:v>
      </x:c>
      <x:c r="C2253" s="34" t="str">
        <x:v>Round1</x:v>
      </x:c>
      <x:c r="D2253" s="34" t="str">
        <x:v>Jsoup_36</x:v>
      </x:c>
      <x:c r="E2253" s="34" t="str">
        <x:v>Line</x:v>
      </x:c>
      <x:c r="F2253" s="34" t="n">
        <x:v>60</x:v>
      </x:c>
      <x:c r="G2253" s="34" t="str">
        <x:v>RECORDED</x:v>
      </x:c>
      <x:c r="H2253" s="38" t="n">
        <x:f>IF(ISNUMBER('Data'!H545),'Data'!H545*100,"")</x:f>
        <x:v>36.67</x:v>
      </x:c>
      <x:c r="I2253" s="34" t="str">
        <x:v>PASS</x:v>
      </x:c>
      <x:c r="J2253" s="34" t="str">
        <x:v>PASS</x:v>
      </x:c>
      <x:c r="K2253" s="34" t="str">
        <x:v>PASS</x:v>
      </x:c>
      <x:c r="L2253" s="34" t="str">
        <x:v>PASS</x:v>
      </x:c>
      <x:c r="M2253" s="34" t="str">
        <x:v>numeric coverage for applicable metric</x:v>
      </x:c>
      <x:c r="N2253" s="34" t="str">
        <x:v>Feedback-Directed Random Test Generation/Result/Jsoup_36/result.json</x:v>
      </x:c>
      <x:c r="O2253" s="38" t="n">
        <x:f>IF(AND(G2253="RECORDED",ISNUMBER(H2253)),H2253,"")</x:f>
        <x:v>36.67</x:v>
      </x:c>
      <x:c r="P2253" s="34" t="str">
        <x:v>NOT_REVEALING</x:v>
      </x:c>
      <x:c r="Q2253" s="34" t="str">
        <x:v>Feedback-Directed Random Test Generation/Result/Jsoup_36/result.json</x:v>
      </x:c>
    </x:row>
    <x:row r="2254">
      <x:c r="A2254" s="34" t="str">
        <x:v>randoop</x:v>
      </x:c>
      <x:c r="B2254" s="34" t="str">
        <x:v>Jsoup</x:v>
      </x:c>
      <x:c r="C2254" s="34" t="str">
        <x:v>Round1</x:v>
      </x:c>
      <x:c r="D2254" s="34" t="str">
        <x:v>Jsoup_37</x:v>
      </x:c>
      <x:c r="E2254" s="34" t="str">
        <x:v>Line</x:v>
      </x:c>
      <x:c r="F2254" s="34" t="n">
        <x:v>307</x:v>
      </x:c>
      <x:c r="G2254" s="34" t="str">
        <x:v>RECORDED</x:v>
      </x:c>
      <x:c r="H2254" s="38" t="n">
        <x:f>IF(ISNUMBER('Data'!H546),'Data'!H546*100,"")</x:f>
        <x:v>1.63</x:v>
      </x:c>
      <x:c r="I2254" s="34" t="str">
        <x:v>PASS</x:v>
      </x:c>
      <x:c r="J2254" s="34" t="str">
        <x:v>PASS</x:v>
      </x:c>
      <x:c r="K2254" s="34" t="str">
        <x:v>PASS</x:v>
      </x:c>
      <x:c r="L2254" s="34" t="str">
        <x:v>PASS</x:v>
      </x:c>
      <x:c r="M2254" s="34" t="str">
        <x:v>numeric coverage for applicable metric</x:v>
      </x:c>
      <x:c r="N2254" s="34" t="str">
        <x:v>Feedback-Directed Random Test Generation/Result/Jsoup_37/result.json</x:v>
      </x:c>
      <x:c r="O2254" s="38" t="n">
        <x:f>IF(AND(G2254="RECORDED",ISNUMBER(H2254)),H2254,"")</x:f>
        <x:v>1.63</x:v>
      </x:c>
      <x:c r="P2254" s="34" t="str">
        <x:v>NOT_REVEALING</x:v>
      </x:c>
      <x:c r="Q2254" s="34" t="str">
        <x:v>Feedback-Directed Random Test Generation/Result/Jsoup_37/result.json</x:v>
      </x:c>
    </x:row>
    <x:row r="2255">
      <x:c r="A2255" s="34" t="str">
        <x:v>randoop</x:v>
      </x:c>
      <x:c r="B2255" s="34" t="str">
        <x:v>Jsoup</x:v>
      </x:c>
      <x:c r="C2255" s="34" t="str">
        <x:v>Round1</x:v>
      </x:c>
      <x:c r="D2255" s="34" t="str">
        <x:v>Jsoup_38</x:v>
      </x:c>
      <x:c r="E2255" s="34" t="str">
        <x:v>Line</x:v>
      </x:c>
      <x:c r="F2255" s="34" t="n">
        <x:v>1097</x:v>
      </x:c>
      <x:c r="G2255" s="34" t="str">
        <x:v>RECORDED</x:v>
      </x:c>
      <x:c r="H2255" s="38" t="n">
        <x:f>IF(ISNUMBER('Data'!H547),'Data'!H547*100,"")</x:f>
        <x:v>6.65</x:v>
      </x:c>
      <x:c r="I2255" s="34" t="str">
        <x:v>PASS</x:v>
      </x:c>
      <x:c r="J2255" s="34" t="str">
        <x:v>PASS</x:v>
      </x:c>
      <x:c r="K2255" s="34" t="str">
        <x:v>PASS</x:v>
      </x:c>
      <x:c r="L2255" s="34" t="str">
        <x:v>PASS</x:v>
      </x:c>
      <x:c r="M2255" s="34" t="str">
        <x:v>numeric coverage for applicable metric</x:v>
      </x:c>
      <x:c r="N2255" s="34" t="str">
        <x:v>Feedback-Directed Random Test Generation/Result/Jsoup_38/result.json</x:v>
      </x:c>
      <x:c r="O2255" s="38" t="n">
        <x:f>IF(AND(G2255="RECORDED",ISNUMBER(H2255)),H2255,"")</x:f>
        <x:v>6.65</x:v>
      </x:c>
      <x:c r="P2255" s="34" t="str">
        <x:v>NOT_REVEALING</x:v>
      </x:c>
      <x:c r="Q2255" s="34" t="str">
        <x:v>Feedback-Directed Random Test Generation/Result/Jsoup_38/result.json</x:v>
      </x:c>
    </x:row>
    <x:row r="2256">
      <x:c r="A2256" s="34" t="str">
        <x:v>randoop</x:v>
      </x:c>
      <x:c r="B2256" s="34" t="str">
        <x:v>Jsoup</x:v>
      </x:c>
      <x:c r="C2256" s="34" t="str">
        <x:v>Round1</x:v>
      </x:c>
      <x:c r="D2256" s="34" t="str">
        <x:v>Jsoup_39</x:v>
      </x:c>
      <x:c r="E2256" s="34" t="str">
        <x:v>Line</x:v>
      </x:c>
      <x:c r="F2256" s="34" t="n">
        <x:v>75</x:v>
      </x:c>
      <x:c r="G2256" s="34" t="str">
        <x:v>RECORDED</x:v>
      </x:c>
      <x:c r="H2256" s="38" t="n">
        <x:f>IF(ISNUMBER('Data'!H548),'Data'!H548*100,"")</x:f>
        <x:v>29.330000000000002</x:v>
      </x:c>
      <x:c r="I2256" s="34" t="str">
        <x:v>PASS</x:v>
      </x:c>
      <x:c r="J2256" s="34" t="str">
        <x:v>PASS</x:v>
      </x:c>
      <x:c r="K2256" s="34" t="str">
        <x:v>PASS</x:v>
      </x:c>
      <x:c r="L2256" s="34" t="str">
        <x:v>PASS</x:v>
      </x:c>
      <x:c r="M2256" s="34" t="str">
        <x:v>numeric coverage for applicable metric</x:v>
      </x:c>
      <x:c r="N2256" s="34" t="str">
        <x:v>Feedback-Directed Random Test Generation/Result/Jsoup_39/result.json</x:v>
      </x:c>
      <x:c r="O2256" s="38" t="n">
        <x:f>IF(AND(G2256="RECORDED",ISNUMBER(H2256)),H2256,"")</x:f>
        <x:v>29.330000000000002</x:v>
      </x:c>
      <x:c r="P2256" s="34" t="str">
        <x:v>NOT_REVEALING</x:v>
      </x:c>
      <x:c r="Q2256" s="34" t="str">
        <x:v>Feedback-Directed Random Test Generation/Result/Jsoup_39/result.json</x:v>
      </x:c>
    </x:row>
    <x:row r="2257">
      <x:c r="A2257" s="34" t="str">
        <x:v>randoop</x:v>
      </x:c>
      <x:c r="B2257" s="34" t="str">
        <x:v>Jsoup</x:v>
      </x:c>
      <x:c r="C2257" s="34" t="str">
        <x:v>Round1</x:v>
      </x:c>
      <x:c r="D2257" s="34" t="str">
        <x:v>Jsoup_40</x:v>
      </x:c>
      <x:c r="E2257" s="34" t="str">
        <x:v>Line</x:v>
      </x:c>
      <x:c r="F2257" s="34" t="n">
        <x:v>17</x:v>
      </x:c>
      <x:c r="G2257" s="34" t="str">
        <x:v>RECORDED</x:v>
      </x:c>
      <x:c r="H2257" s="38" t="n">
        <x:f>IF(ISNUMBER('Data'!H549),'Data'!H549*100,"")</x:f>
        <x:v>94.12</x:v>
      </x:c>
      <x:c r="I2257" s="34" t="str">
        <x:v>PASS</x:v>
      </x:c>
      <x:c r="J2257" s="34" t="str">
        <x:v>PASS</x:v>
      </x:c>
      <x:c r="K2257" s="34" t="str">
        <x:v>PASS</x:v>
      </x:c>
      <x:c r="L2257" s="34" t="str">
        <x:v>PASS</x:v>
      </x:c>
      <x:c r="M2257" s="34" t="str">
        <x:v>numeric coverage for applicable metric</x:v>
      </x:c>
      <x:c r="N2257" s="34" t="str">
        <x:v>Feedback-Directed Random Test Generation/Result/Jsoup_40/result.json</x:v>
      </x:c>
      <x:c r="O2257" s="38" t="n">
        <x:f>IF(AND(G2257="RECORDED",ISNUMBER(H2257)),H2257,"")</x:f>
        <x:v>94.12</x:v>
      </x:c>
      <x:c r="P2257" s="34" t="str">
        <x:v>INCONCLUSIVE</x:v>
      </x:c>
      <x:c r="Q2257" s="34" t="str">
        <x:v>Feedback-Directed Random Test Generation/Result/Jsoup_40/result.json</x:v>
      </x:c>
    </x:row>
    <x:row r="2258">
      <x:c r="A2258" s="34" t="str">
        <x:v>randoop</x:v>
      </x:c>
      <x:c r="B2258" s="34" t="str">
        <x:v>Jsoup</x:v>
      </x:c>
      <x:c r="C2258" s="34" t="str">
        <x:v>Round1</x:v>
      </x:c>
      <x:c r="D2258" s="34" t="str">
        <x:v>Jsoup_41</x:v>
      </x:c>
      <x:c r="E2258" s="34" t="str">
        <x:v>Line</x:v>
      </x:c>
      <x:c r="F2258" s="34" t="n">
        <x:v>326</x:v>
      </x:c>
      <x:c r="G2258" s="34" t="str">
        <x:v>RECORDED</x:v>
      </x:c>
      <x:c r="H2258" s="38" t="n">
        <x:f>IF(ISNUMBER('Data'!H550),'Data'!H550*100,"")</x:f>
        <x:v>1.53</x:v>
      </x:c>
      <x:c r="I2258" s="34" t="str">
        <x:v>PASS</x:v>
      </x:c>
      <x:c r="J2258" s="34" t="str">
        <x:v>PASS</x:v>
      </x:c>
      <x:c r="K2258" s="34" t="str">
        <x:v>PASS</x:v>
      </x:c>
      <x:c r="L2258" s="34" t="str">
        <x:v>PASS</x:v>
      </x:c>
      <x:c r="M2258" s="34" t="str">
        <x:v>numeric coverage for applicable metric</x:v>
      </x:c>
      <x:c r="N2258" s="34" t="str">
        <x:v>Feedback-Directed Random Test Generation/Result/Jsoup_41/result.json</x:v>
      </x:c>
      <x:c r="O2258" s="38" t="n">
        <x:f>IF(AND(G2258="RECORDED",ISNUMBER(H2258)),H2258,"")</x:f>
        <x:v>1.53</x:v>
      </x:c>
      <x:c r="P2258" s="34" t="str">
        <x:v>NOT_REVEALING</x:v>
      </x:c>
      <x:c r="Q2258" s="34" t="str">
        <x:v>Feedback-Directed Random Test Generation/Result/Jsoup_41/result.json</x:v>
      </x:c>
    </x:row>
    <x:row r="2259">
      <x:c r="A2259" s="34" t="str">
        <x:v>randoop</x:v>
      </x:c>
      <x:c r="B2259" s="34" t="str">
        <x:v>Jsoup</x:v>
      </x:c>
      <x:c r="C2259" s="34" t="str">
        <x:v>Round1</x:v>
      </x:c>
      <x:c r="D2259" s="34" t="str">
        <x:v>Jsoup_42</x:v>
      </x:c>
      <x:c r="E2259" s="34" t="str">
        <x:v>Line</x:v>
      </x:c>
      <x:c r="F2259" s="34" t="n">
        <x:v>40</x:v>
      </x:c>
      <x:c r="G2259" s="34" t="str">
        <x:v>RECORDED</x:v>
      </x:c>
      <x:c r="H2259" s="38" t="n">
        <x:f>IF(ISNUMBER('Data'!H551),'Data'!H551*100,"")</x:f>
        <x:v>2.5</x:v>
      </x:c>
      <x:c r="I2259" s="34" t="str">
        <x:v>PASS</x:v>
      </x:c>
      <x:c r="J2259" s="34" t="str">
        <x:v>PASS</x:v>
      </x:c>
      <x:c r="K2259" s="34" t="str">
        <x:v>PASS</x:v>
      </x:c>
      <x:c r="L2259" s="34" t="str">
        <x:v>PASS</x:v>
      </x:c>
      <x:c r="M2259" s="34" t="str">
        <x:v>numeric coverage for applicable metric</x:v>
      </x:c>
      <x:c r="N2259" s="34" t="str">
        <x:v>Feedback-Directed Random Test Generation/Result/Jsoup_42/result.json</x:v>
      </x:c>
      <x:c r="O2259" s="38" t="n">
        <x:f>IF(AND(G2259="RECORDED",ISNUMBER(H2259)),H2259,"")</x:f>
        <x:v>2.5</x:v>
      </x:c>
      <x:c r="P2259" s="34" t="str">
        <x:v>NOT_REVEALING</x:v>
      </x:c>
      <x:c r="Q2259" s="34" t="str">
        <x:v>Feedback-Directed Random Test Generation/Result/Jsoup_42/result.json</x:v>
      </x:c>
    </x:row>
    <x:row r="2260">
      <x:c r="A2260" s="34" t="str">
        <x:v>randoop</x:v>
      </x:c>
      <x:c r="B2260" s="34" t="str">
        <x:v>Jsoup</x:v>
      </x:c>
      <x:c r="C2260" s="34" t="str">
        <x:v>Round1</x:v>
      </x:c>
      <x:c r="D2260" s="34" t="str">
        <x:v>Jsoup_43</x:v>
      </x:c>
      <x:c r="E2260" s="34" t="str">
        <x:v>Line</x:v>
      </x:c>
      <x:c r="F2260" s="34" t="n">
        <x:v>328</x:v>
      </x:c>
      <x:c r="G2260" s="34" t="str">
        <x:v>RECORDED</x:v>
      </x:c>
      <x:c r="H2260" s="38" t="n">
        <x:f>IF(ISNUMBER('Data'!H552),'Data'!H552*100,"")</x:f>
        <x:v>1.83</x:v>
      </x:c>
      <x:c r="I2260" s="34" t="str">
        <x:v>PASS</x:v>
      </x:c>
      <x:c r="J2260" s="34" t="str">
        <x:v>PASS</x:v>
      </x:c>
      <x:c r="K2260" s="34" t="str">
        <x:v>PASS</x:v>
      </x:c>
      <x:c r="L2260" s="34" t="str">
        <x:v>PASS</x:v>
      </x:c>
      <x:c r="M2260" s="34" t="str">
        <x:v>numeric coverage for applicable metric</x:v>
      </x:c>
      <x:c r="N2260" s="34" t="str">
        <x:v>Feedback-Directed Random Test Generation/Result/Jsoup_43/result.json</x:v>
      </x:c>
      <x:c r="O2260" s="38" t="n">
        <x:f>IF(AND(G2260="RECORDED",ISNUMBER(H2260)),H2260,"")</x:f>
        <x:v>1.83</x:v>
      </x:c>
      <x:c r="P2260" s="34" t="str">
        <x:v>NOT_REVEALING</x:v>
      </x:c>
      <x:c r="Q2260" s="34" t="str">
        <x:v>Feedback-Directed Random Test Generation/Result/Jsoup_43/result.json</x:v>
      </x:c>
    </x:row>
    <x:row r="2261">
      <x:c r="A2261" s="34" t="str">
        <x:v>randoop</x:v>
      </x:c>
      <x:c r="B2261" s="34" t="str">
        <x:v>Jsoup</x:v>
      </x:c>
      <x:c r="C2261" s="34" t="str">
        <x:v>Round1</x:v>
      </x:c>
      <x:c r="D2261" s="34" t="str">
        <x:v>Jsoup_44</x:v>
      </x:c>
      <x:c r="E2261" s="34" t="str">
        <x:v>Line</x:v>
      </x:c>
      <x:c r="F2261" s="34" t="n">
        <x:v>30</x:v>
      </x:c>
      <x:c r="G2261" s="34" t="str">
        <x:v>RECORDED</x:v>
      </x:c>
      <x:c r="H2261" s="38" t="n">
        <x:f>IF(ISNUMBER('Data'!H553),'Data'!H553*100,"")</x:f>
        <x:v>0</x:v>
      </x:c>
      <x:c r="I2261" s="34" t="str">
        <x:v>PASS</x:v>
      </x:c>
      <x:c r="J2261" s="34" t="str">
        <x:v>PASS</x:v>
      </x:c>
      <x:c r="K2261" s="34" t="str">
        <x:v>PASS</x:v>
      </x:c>
      <x:c r="L2261" s="34" t="str">
        <x:v>PASS</x:v>
      </x:c>
      <x:c r="M2261" s="34" t="str">
        <x:v>numeric coverage for applicable metric</x:v>
      </x:c>
      <x:c r="N2261" s="34" t="str">
        <x:v>Feedback-Directed Random Test Generation/Result/Jsoup_44/result.json</x:v>
      </x:c>
      <x:c r="O2261" s="38" t="n">
        <x:f>IF(AND(G2261="RECORDED",ISNUMBER(H2261)),H2261,"")</x:f>
        <x:v>0</x:v>
      </x:c>
      <x:c r="P2261" s="34" t="str">
        <x:v>NOT_REVEALING</x:v>
      </x:c>
      <x:c r="Q2261" s="34" t="str">
        <x:v>Feedback-Directed Random Test Generation/Result/Jsoup_44/result.json</x:v>
      </x:c>
    </x:row>
    <x:row r="2262">
      <x:c r="A2262" s="34" t="str">
        <x:v>randoop</x:v>
      </x:c>
      <x:c r="B2262" s="34" t="str">
        <x:v>Jsoup</x:v>
      </x:c>
      <x:c r="C2262" s="34" t="str">
        <x:v>Round1</x:v>
      </x:c>
      <x:c r="D2262" s="34" t="str">
        <x:v>Jsoup_45</x:v>
      </x:c>
      <x:c r="E2262" s="34" t="str">
        <x:v>Line</x:v>
      </x:c>
      <x:c r="F2262" s="34" t="n">
        <x:v>376</x:v>
      </x:c>
      <x:c r="G2262" s="34" t="str">
        <x:v>RECORDED</x:v>
      </x:c>
      <x:c r="H2262" s="38" t="n">
        <x:f>IF(ISNUMBER('Data'!H554),'Data'!H554*100,"")</x:f>
        <x:v>78.99</x:v>
      </x:c>
      <x:c r="I2262" s="34" t="str">
        <x:v>PASS</x:v>
      </x:c>
      <x:c r="J2262" s="34" t="str">
        <x:v>PASS</x:v>
      </x:c>
      <x:c r="K2262" s="34" t="str">
        <x:v>PASS</x:v>
      </x:c>
      <x:c r="L2262" s="34" t="str">
        <x:v>FAIL</x:v>
      </x:c>
      <x:c r="M2262" s="34" t="str">
        <x:v>numeric coverage for applicable metric</x:v>
      </x:c>
      <x:c r="N2262" s="34" t="str">
        <x:v>Feedback-Directed Random Test Generation/Result/Jsoup_45/result.json</x:v>
      </x:c>
      <x:c r="O2262" s="38" t="n">
        <x:f>IF(AND(G2262="RECORDED",ISNUMBER(H2262)),H2262,"")</x:f>
        <x:v>78.99</x:v>
      </x:c>
      <x:c r="P2262" s="34" t="str">
        <x:v>INCONCLUSIVE</x:v>
      </x:c>
      <x:c r="Q2262" s="34" t="str">
        <x:v>Feedback-Directed Random Test Generation/Result/Jsoup_45/result.json</x:v>
      </x:c>
    </x:row>
    <x:row r="2263">
      <x:c r="A2263" s="34" t="str">
        <x:v>randoop</x:v>
      </x:c>
      <x:c r="B2263" s="34" t="str">
        <x:v>Jsoup</x:v>
      </x:c>
      <x:c r="C2263" s="34" t="str">
        <x:v>Round1</x:v>
      </x:c>
      <x:c r="D2263" s="34" t="str">
        <x:v>Jsoup_46</x:v>
      </x:c>
      <x:c r="E2263" s="34" t="str">
        <x:v>Line</x:v>
      </x:c>
      <x:c r="F2263" s="34" t="n">
        <x:v>118</x:v>
      </x:c>
      <x:c r="G2263" s="34" t="str">
        <x:v>RECORDED</x:v>
      </x:c>
      <x:c r="H2263" s="38" t="n">
        <x:f>IF(ISNUMBER('Data'!H555),'Data'!H555*100,"")</x:f>
        <x:v>48.31</x:v>
      </x:c>
      <x:c r="I2263" s="34" t="str">
        <x:v>PASS</x:v>
      </x:c>
      <x:c r="J2263" s="34" t="str">
        <x:v>PASS</x:v>
      </x:c>
      <x:c r="K2263" s="34" t="str">
        <x:v>PASS</x:v>
      </x:c>
      <x:c r="L2263" s="34" t="str">
        <x:v>PASS</x:v>
      </x:c>
      <x:c r="M2263" s="34" t="str">
        <x:v>numeric coverage for applicable metric</x:v>
      </x:c>
      <x:c r="N2263" s="34" t="str">
        <x:v>Feedback-Directed Random Test Generation/Result/Jsoup_46/result.json</x:v>
      </x:c>
      <x:c r="O2263" s="38" t="n">
        <x:f>IF(AND(G2263="RECORDED",ISNUMBER(H2263)),H2263,"")</x:f>
        <x:v>48.31</x:v>
      </x:c>
      <x:c r="P2263" s="34" t="str">
        <x:v>NOT_REVEALING</x:v>
      </x:c>
      <x:c r="Q2263" s="34" t="str">
        <x:v>Feedback-Directed Random Test Generation/Result/Jsoup_46/result.json</x:v>
      </x:c>
    </x:row>
    <x:row r="2264">
      <x:c r="A2264" s="34" t="str">
        <x:v>randoop</x:v>
      </x:c>
      <x:c r="B2264" s="34" t="str">
        <x:v>Jsoup</x:v>
      </x:c>
      <x:c r="C2264" s="34" t="str">
        <x:v>Round1</x:v>
      </x:c>
      <x:c r="D2264" s="34" t="str">
        <x:v>Jsoup_47</x:v>
      </x:c>
      <x:c r="E2264" s="34" t="str">
        <x:v>Line</x:v>
      </x:c>
      <x:c r="F2264" s="34" t="n">
        <x:v>118</x:v>
      </x:c>
      <x:c r="G2264" s="34" t="str">
        <x:v>RECORDED</x:v>
      </x:c>
      <x:c r="H2264" s="38" t="n">
        <x:f>IF(ISNUMBER('Data'!H556),'Data'!H556*100,"")</x:f>
        <x:v>48.31</x:v>
      </x:c>
      <x:c r="I2264" s="34" t="str">
        <x:v>PASS</x:v>
      </x:c>
      <x:c r="J2264" s="34" t="str">
        <x:v>PASS</x:v>
      </x:c>
      <x:c r="K2264" s="34" t="str">
        <x:v>PASS</x:v>
      </x:c>
      <x:c r="L2264" s="34" t="str">
        <x:v>PASS</x:v>
      </x:c>
      <x:c r="M2264" s="34" t="str">
        <x:v>numeric coverage for applicable metric</x:v>
      </x:c>
      <x:c r="N2264" s="34" t="str">
        <x:v>Feedback-Directed Random Test Generation/Result/Jsoup_47/result.json</x:v>
      </x:c>
      <x:c r="O2264" s="38" t="n">
        <x:f>IF(AND(G2264="RECORDED",ISNUMBER(H2264)),H2264,"")</x:f>
        <x:v>48.31</x:v>
      </x:c>
      <x:c r="P2264" s="34" t="str">
        <x:v>NOT_REVEALING</x:v>
      </x:c>
      <x:c r="Q2264" s="34" t="str">
        <x:v>Feedback-Directed Random Test Generation/Result/Jsoup_47/result.json</x:v>
      </x:c>
    </x:row>
    <x:row r="2265">
      <x:c r="A2265" s="34" t="str">
        <x:v>randoop</x:v>
      </x:c>
      <x:c r="B2265" s="34" t="str">
        <x:v>Jsoup</x:v>
      </x:c>
      <x:c r="C2265" s="34" t="str">
        <x:v>Round1</x:v>
      </x:c>
      <x:c r="D2265" s="34" t="str">
        <x:v>Jsoup_48</x:v>
      </x:c>
      <x:c r="E2265" s="34" t="str">
        <x:v>Line</x:v>
      </x:c>
      <x:c r="F2265" s="34" t="n">
        <x:v>469</x:v>
      </x:c>
      <x:c r="G2265" s="34" t="str">
        <x:v>RECORDED</x:v>
      </x:c>
      <x:c r="H2265" s="38" t="n">
        <x:f>IF(ISNUMBER('Data'!H557),'Data'!H557*100,"")</x:f>
        <x:v>25.16</x:v>
      </x:c>
      <x:c r="I2265" s="34" t="str">
        <x:v>PASS</x:v>
      </x:c>
      <x:c r="J2265" s="34" t="str">
        <x:v>PASS</x:v>
      </x:c>
      <x:c r="K2265" s="34" t="str">
        <x:v>PASS</x:v>
      </x:c>
      <x:c r="L2265" s="34" t="str">
        <x:v>PASS</x:v>
      </x:c>
      <x:c r="M2265" s="34" t="str">
        <x:v>numeric coverage for applicable metric</x:v>
      </x:c>
      <x:c r="N2265" s="34" t="str">
        <x:v>Feedback-Directed Random Test Generation/Result/Jsoup_48/result.json</x:v>
      </x:c>
      <x:c r="O2265" s="38" t="n">
        <x:f>IF(AND(G2265="RECORDED",ISNUMBER(H2265)),H2265,"")</x:f>
        <x:v>25.16</x:v>
      </x:c>
      <x:c r="P2265" s="34" t="str">
        <x:v>NOT_REVEALING</x:v>
      </x:c>
      <x:c r="Q2265" s="34" t="str">
        <x:v>Feedback-Directed Random Test Generation/Result/Jsoup_48/result.json</x:v>
      </x:c>
    </x:row>
    <x:row r="2266">
      <x:c r="A2266" s="34" t="str">
        <x:v>randoop</x:v>
      </x:c>
      <x:c r="B2266" s="34" t="str">
        <x:v>Jsoup</x:v>
      </x:c>
      <x:c r="C2266" s="34" t="str">
        <x:v>Round1</x:v>
      </x:c>
      <x:c r="D2266" s="34" t="str">
        <x:v>Jsoup_49</x:v>
      </x:c>
      <x:c r="E2266" s="34" t="str">
        <x:v>Line</x:v>
      </x:c>
      <x:c r="F2266" s="34" t="n">
        <x:v>231</x:v>
      </x:c>
      <x:c r="G2266" s="34" t="str">
        <x:v>RECORDED</x:v>
      </x:c>
      <x:c r="H2266" s="38" t="n">
        <x:f>IF(ISNUMBER('Data'!H558),'Data'!H558*100,"")</x:f>
        <x:v>0</x:v>
      </x:c>
      <x:c r="I2266" s="34" t="str">
        <x:v>PASS</x:v>
      </x:c>
      <x:c r="J2266" s="34" t="str">
        <x:v>PASS</x:v>
      </x:c>
      <x:c r="K2266" s="34" t="str">
        <x:v>PASS</x:v>
      </x:c>
      <x:c r="L2266" s="34" t="str">
        <x:v>PASS</x:v>
      </x:c>
      <x:c r="M2266" s="34" t="str">
        <x:v>numeric coverage for applicable metric</x:v>
      </x:c>
      <x:c r="N2266" s="34" t="str">
        <x:v>Feedback-Directed Random Test Generation/Result/Jsoup_49/result.json</x:v>
      </x:c>
      <x:c r="O2266" s="38" t="n">
        <x:f>IF(AND(G2266="RECORDED",ISNUMBER(H2266)),H2266,"")</x:f>
        <x:v>0</x:v>
      </x:c>
      <x:c r="P2266" s="34" t="str">
        <x:v>NOT_REVEALING</x:v>
      </x:c>
      <x:c r="Q2266" s="34" t="str">
        <x:v>Feedback-Directed Random Test Generation/Result/Jsoup_49/result.json</x:v>
      </x:c>
    </x:row>
    <x:row r="2267">
      <x:c r="A2267" s="34" t="str">
        <x:v>randoop</x:v>
      </x:c>
      <x:c r="B2267" s="34" t="str">
        <x:v>Jsoup</x:v>
      </x:c>
      <x:c r="C2267" s="34" t="str">
        <x:v>Round1</x:v>
      </x:c>
      <x:c r="D2267" s="34" t="str">
        <x:v>Jsoup_50</x:v>
      </x:c>
      <x:c r="E2267" s="34" t="str">
        <x:v>Line</x:v>
      </x:c>
      <x:c r="F2267" s="34" t="n">
        <x:v>90</x:v>
      </x:c>
      <x:c r="G2267" s="34" t="str">
        <x:v>RECORDED</x:v>
      </x:c>
      <x:c r="H2267" s="38" t="n">
        <x:f>IF(ISNUMBER('Data'!H559),'Data'!H559*100,"")</x:f>
        <x:v>40</x:v>
      </x:c>
      <x:c r="I2267" s="34" t="str">
        <x:v>PASS</x:v>
      </x:c>
      <x:c r="J2267" s="34" t="str">
        <x:v>PASS</x:v>
      </x:c>
      <x:c r="K2267" s="34" t="str">
        <x:v>PASS</x:v>
      </x:c>
      <x:c r="L2267" s="34" t="str">
        <x:v>PASS</x:v>
      </x:c>
      <x:c r="M2267" s="34" t="str">
        <x:v>numeric coverage for applicable metric</x:v>
      </x:c>
      <x:c r="N2267" s="34" t="str">
        <x:v>Feedback-Directed Random Test Generation/Result/Jsoup_50/result.json</x:v>
      </x:c>
      <x:c r="O2267" s="38" t="n">
        <x:f>IF(AND(G2267="RECORDED",ISNUMBER(H2267)),H2267,"")</x:f>
        <x:v>40</x:v>
      </x:c>
      <x:c r="P2267" s="34" t="str">
        <x:v>INCONCLUSIVE</x:v>
      </x:c>
      <x:c r="Q2267" s="34" t="str">
        <x:v>Feedback-Directed Random Test Generation/Result/Jsoup_50/result.json</x:v>
      </x:c>
    </x:row>
    <x:row r="2268">
      <x:c r="A2268" s="34" t="str">
        <x:v>randoop</x:v>
      </x:c>
      <x:c r="B2268" s="34" t="str">
        <x:v>Jsoup</x:v>
      </x:c>
      <x:c r="C2268" s="34" t="str">
        <x:v>Round1</x:v>
      </x:c>
      <x:c r="D2268" s="34" t="str">
        <x:v>Jsoup_51</x:v>
      </x:c>
      <x:c r="E2268" s="34" t="str">
        <x:v>Line</x:v>
      </x:c>
      <x:c r="F2268" s="34" t="n">
        <x:v>195</x:v>
      </x:c>
      <x:c r="G2268" s="34" t="str">
        <x:v>RECORDED</x:v>
      </x:c>
      <x:c r="H2268" s="38" t="n">
        <x:f>IF(ISNUMBER('Data'!H560),'Data'!H560*100,"")</x:f>
        <x:v>93.33</x:v>
      </x:c>
      <x:c r="I2268" s="34" t="str">
        <x:v>PASS</x:v>
      </x:c>
      <x:c r="J2268" s="34" t="str">
        <x:v>PASS</x:v>
      </x:c>
      <x:c r="K2268" s="34" t="str">
        <x:v>PASS</x:v>
      </x:c>
      <x:c r="L2268" s="34" t="str">
        <x:v>PASS</x:v>
      </x:c>
      <x:c r="M2268" s="34" t="str">
        <x:v>numeric coverage for applicable metric</x:v>
      </x:c>
      <x:c r="N2268" s="34" t="str">
        <x:v>Feedback-Directed Random Test Generation/Result/Jsoup_51/result.json</x:v>
      </x:c>
      <x:c r="O2268" s="38" t="n">
        <x:f>IF(AND(G2268="RECORDED",ISNUMBER(H2268)),H2268,"")</x:f>
        <x:v>93.33</x:v>
      </x:c>
      <x:c r="P2268" s="34" t="str">
        <x:v>NOT_REVEALING</x:v>
      </x:c>
      <x:c r="Q2268" s="34" t="str">
        <x:v>Feedback-Directed Random Test Generation/Result/Jsoup_51/result.json</x:v>
      </x:c>
    </x:row>
    <x:row r="2269">
      <x:c r="A2269" s="34" t="str">
        <x:v>randoop</x:v>
      </x:c>
      <x:c r="B2269" s="34" t="str">
        <x:v>Jsoup</x:v>
      </x:c>
      <x:c r="C2269" s="34" t="str">
        <x:v>Round1</x:v>
      </x:c>
      <x:c r="D2269" s="34" t="str">
        <x:v>Jsoup_52</x:v>
      </x:c>
      <x:c r="E2269" s="34" t="str">
        <x:v>Line</x:v>
      </x:c>
      <x:c r="F2269" s="34" t="n">
        <x:v>195</x:v>
      </x:c>
      <x:c r="G2269" s="34" t="str">
        <x:v>RECORDED</x:v>
      </x:c>
      <x:c r="H2269" s="38" t="n">
        <x:f>IF(ISNUMBER('Data'!H561),'Data'!H561*100,"")</x:f>
        <x:v>21.03</x:v>
      </x:c>
      <x:c r="I2269" s="34" t="str">
        <x:v>PASS</x:v>
      </x:c>
      <x:c r="J2269" s="34" t="str">
        <x:v>PASS</x:v>
      </x:c>
      <x:c r="K2269" s="34" t="str">
        <x:v>PASS</x:v>
      </x:c>
      <x:c r="L2269" s="34" t="str">
        <x:v>FAIL</x:v>
      </x:c>
      <x:c r="M2269" s="34" t="str">
        <x:v>numeric coverage for applicable metric</x:v>
      </x:c>
      <x:c r="N2269" s="34" t="str">
        <x:v>Feedback-Directed Random Test Generation/Result/Jsoup_52/result.json</x:v>
      </x:c>
      <x:c r="O2269" s="38" t="n">
        <x:f>IF(AND(G2269="RECORDED",ISNUMBER(H2269)),H2269,"")</x:f>
        <x:v>21.03</x:v>
      </x:c>
      <x:c r="P2269" s="34" t="str">
        <x:v>INCONCLUSIVE</x:v>
      </x:c>
      <x:c r="Q2269" s="34" t="str">
        <x:v>Feedback-Directed Random Test Generation/Result/Jsoup_52/result.json</x:v>
      </x:c>
    </x:row>
    <x:row r="2270">
      <x:c r="A2270" s="34" t="str">
        <x:v>randoop</x:v>
      </x:c>
      <x:c r="B2270" s="34" t="str">
        <x:v>Jsoup</x:v>
      </x:c>
      <x:c r="C2270" s="34" t="str">
        <x:v>Round1</x:v>
      </x:c>
      <x:c r="D2270" s="34" t="str">
        <x:v>Jsoup_53</x:v>
      </x:c>
      <x:c r="E2270" s="34" t="str">
        <x:v>Line</x:v>
      </x:c>
      <x:c r="F2270" s="34" t="n">
        <x:v>130</x:v>
      </x:c>
      <x:c r="G2270" s="34" t="str">
        <x:v>RECORDED</x:v>
      </x:c>
      <x:c r="H2270" s="38" t="n">
        <x:f>IF(ISNUMBER('Data'!H562),'Data'!H562*100,"")</x:f>
        <x:v>96.92</x:v>
      </x:c>
      <x:c r="I2270" s="34" t="str">
        <x:v>PASS</x:v>
      </x:c>
      <x:c r="J2270" s="34" t="str">
        <x:v>PASS</x:v>
      </x:c>
      <x:c r="K2270" s="34" t="str">
        <x:v>PASS</x:v>
      </x:c>
      <x:c r="L2270" s="34" t="str">
        <x:v>PASS</x:v>
      </x:c>
      <x:c r="M2270" s="34" t="str">
        <x:v>numeric coverage for applicable metric</x:v>
      </x:c>
      <x:c r="N2270" s="34" t="str">
        <x:v>Feedback-Directed Random Test Generation/Result/Jsoup_53/result.json</x:v>
      </x:c>
      <x:c r="O2270" s="38" t="n">
        <x:f>IF(AND(G2270="RECORDED",ISNUMBER(H2270)),H2270,"")</x:f>
        <x:v>96.92</x:v>
      </x:c>
      <x:c r="P2270" s="34" t="str">
        <x:v>NOT_REVEALING</x:v>
      </x:c>
      <x:c r="Q2270" s="34" t="str">
        <x:v>Feedback-Directed Random Test Generation/Result/Jsoup_53/result.json</x:v>
      </x:c>
    </x:row>
    <x:row r="2271">
      <x:c r="A2271" s="34" t="str">
        <x:v>randoop</x:v>
      </x:c>
      <x:c r="B2271" s="34" t="str">
        <x:v>Jsoup</x:v>
      </x:c>
      <x:c r="C2271" s="34" t="str">
        <x:v>Round1</x:v>
      </x:c>
      <x:c r="D2271" s="34" t="str">
        <x:v>Jsoup_54</x:v>
      </x:c>
      <x:c r="E2271" s="34" t="str">
        <x:v>Line</x:v>
      </x:c>
      <x:c r="F2271" s="34" t="n">
        <x:v>71</x:v>
      </x:c>
      <x:c r="G2271" s="34" t="str">
        <x:v>RECORDED</x:v>
      </x:c>
      <x:c r="H2271" s="38" t="n">
        <x:f>IF(ISNUMBER('Data'!H563),'Data'!H563*100,"")</x:f>
        <x:v>26.76</x:v>
      </x:c>
      <x:c r="I2271" s="34" t="str">
        <x:v>PASS</x:v>
      </x:c>
      <x:c r="J2271" s="34" t="str">
        <x:v>PASS</x:v>
      </x:c>
      <x:c r="K2271" s="34" t="str">
        <x:v>PASS</x:v>
      </x:c>
      <x:c r="L2271" s="34" t="str">
        <x:v>PASS</x:v>
      </x:c>
      <x:c r="M2271" s="34" t="str">
        <x:v>numeric coverage for applicable metric</x:v>
      </x:c>
      <x:c r="N2271" s="34" t="str">
        <x:v>Feedback-Directed Random Test Generation/Result/Jsoup_54/result.json</x:v>
      </x:c>
      <x:c r="O2271" s="38" t="n">
        <x:f>IF(AND(G2271="RECORDED",ISNUMBER(H2271)),H2271,"")</x:f>
        <x:v>26.76</x:v>
      </x:c>
      <x:c r="P2271" s="34" t="str">
        <x:v>NOT_REVEALING</x:v>
      </x:c>
      <x:c r="Q2271" s="34" t="str">
        <x:v>Feedback-Directed Random Test Generation/Result/Jsoup_54/result.json</x:v>
      </x:c>
    </x:row>
    <x:row r="2272">
      <x:c r="A2272" s="34" t="str">
        <x:v>randoop</x:v>
      </x:c>
      <x:c r="B2272" s="34" t="str">
        <x:v>Jsoup</x:v>
      </x:c>
      <x:c r="C2272" s="34" t="str">
        <x:v>Round1</x:v>
      </x:c>
      <x:c r="D2272" s="34" t="str">
        <x:v>Jsoup_55</x:v>
      </x:c>
      <x:c r="E2272" s="34" t="str">
        <x:v>Line</x:v>
      </x:c>
      <x:c r="F2272" s="34" t="n">
        <x:v>1148</x:v>
      </x:c>
      <x:c r="G2272" s="34" t="str">
        <x:v>RECORDED</x:v>
      </x:c>
      <x:c r="H2272" s="38" t="n">
        <x:f>IF(ISNUMBER('Data'!H564),'Data'!H564*100,"")</x:f>
        <x:v>18.9</x:v>
      </x:c>
      <x:c r="I2272" s="34" t="str">
        <x:v>PASS</x:v>
      </x:c>
      <x:c r="J2272" s="34" t="str">
        <x:v>PASS</x:v>
      </x:c>
      <x:c r="K2272" s="34" t="str">
        <x:v>PASS</x:v>
      </x:c>
      <x:c r="L2272" s="34" t="str">
        <x:v>PASS</x:v>
      </x:c>
      <x:c r="M2272" s="34" t="str">
        <x:v>numeric coverage for applicable metric</x:v>
      </x:c>
      <x:c r="N2272" s="34" t="str">
        <x:v>Feedback-Directed Random Test Generation/Result/Jsoup_55/result.json</x:v>
      </x:c>
      <x:c r="O2272" s="38" t="n">
        <x:f>IF(AND(G2272="RECORDED",ISNUMBER(H2272)),H2272,"")</x:f>
        <x:v>18.9</x:v>
      </x:c>
      <x:c r="P2272" s="34" t="str">
        <x:v>NOT_REVEALING</x:v>
      </x:c>
      <x:c r="Q2272" s="34" t="str">
        <x:v>Feedback-Directed Random Test Generation/Result/Jsoup_55/result.json</x:v>
      </x:c>
    </x:row>
    <x:row r="2273">
      <x:c r="A2273" s="34" t="str">
        <x:v>randoop</x:v>
      </x:c>
      <x:c r="B2273" s="34" t="str">
        <x:v>Jsoup</x:v>
      </x:c>
      <x:c r="C2273" s="34" t="str">
        <x:v>Round1</x:v>
      </x:c>
      <x:c r="D2273" s="34" t="str">
        <x:v>Jsoup_56</x:v>
      </x:c>
      <x:c r="E2273" s="34" t="str">
        <x:v>Line</x:v>
      </x:c>
      <x:c r="F2273" s="34" t="n">
        <x:v>2495</x:v>
      </x:c>
      <x:c r="G2273" s="34" t="str">
        <x:v>RECORDED</x:v>
      </x:c>
      <x:c r="H2273" s="38" t="n">
        <x:f>IF(ISNUMBER('Data'!H565),'Data'!H565*100,"")</x:f>
        <x:v>33.55</x:v>
      </x:c>
      <x:c r="I2273" s="34" t="str">
        <x:v>PASS</x:v>
      </x:c>
      <x:c r="J2273" s="34" t="str">
        <x:v>PASS</x:v>
      </x:c>
      <x:c r="K2273" s="34" t="str">
        <x:v>PASS</x:v>
      </x:c>
      <x:c r="L2273" s="34" t="str">
        <x:v>FAIL</x:v>
      </x:c>
      <x:c r="M2273" s="34" t="str">
        <x:v>numeric coverage for applicable metric</x:v>
      </x:c>
      <x:c r="N2273" s="34" t="str">
        <x:v>Feedback-Directed Random Test Generation/Result/Jsoup_56/result.json</x:v>
      </x:c>
      <x:c r="O2273" s="38" t="n">
        <x:f>IF(AND(G2273="RECORDED",ISNUMBER(H2273)),H2273,"")</x:f>
        <x:v>33.55</x:v>
      </x:c>
      <x:c r="P2273" s="34" t="str">
        <x:v>INCONCLUSIVE</x:v>
      </x:c>
      <x:c r="Q2273" s="34" t="str">
        <x:v>Feedback-Directed Random Test Generation/Result/Jsoup_56/result.json</x:v>
      </x:c>
    </x:row>
    <x:row r="2274">
      <x:c r="A2274" s="34" t="str">
        <x:v>randoop</x:v>
      </x:c>
      <x:c r="B2274" s="34" t="str">
        <x:v>Jsoup</x:v>
      </x:c>
      <x:c r="C2274" s="34" t="str">
        <x:v>Round1</x:v>
      </x:c>
      <x:c r="D2274" s="34" t="str">
        <x:v>Jsoup_57</x:v>
      </x:c>
      <x:c r="E2274" s="34" t="str">
        <x:v>Line</x:v>
      </x:c>
      <x:c r="F2274" s="34" t="n">
        <x:v>127</x:v>
      </x:c>
      <x:c r="G2274" s="34" t="str">
        <x:v>RECORDED</x:v>
      </x:c>
      <x:c r="H2274" s="38" t="n">
        <x:f>IF(ISNUMBER('Data'!H566),'Data'!H566*100,"")</x:f>
        <x:v>77.17</x:v>
      </x:c>
      <x:c r="I2274" s="34" t="str">
        <x:v>PASS</x:v>
      </x:c>
      <x:c r="J2274" s="34" t="str">
        <x:v>PASS</x:v>
      </x:c>
      <x:c r="K2274" s="34" t="str">
        <x:v>PASS</x:v>
      </x:c>
      <x:c r="L2274" s="34" t="str">
        <x:v>PASS</x:v>
      </x:c>
      <x:c r="M2274" s="34" t="str">
        <x:v>numeric coverage for applicable metric</x:v>
      </x:c>
      <x:c r="N2274" s="34" t="str">
        <x:v>Feedback-Directed Random Test Generation/Result/Jsoup_57/result.json</x:v>
      </x:c>
      <x:c r="O2274" s="38" t="n">
        <x:f>IF(AND(G2274="RECORDED",ISNUMBER(H2274)),H2274,"")</x:f>
        <x:v>77.17</x:v>
      </x:c>
      <x:c r="P2274" s="34" t="str">
        <x:v>NOT_REVEALING</x:v>
      </x:c>
      <x:c r="Q2274" s="34" t="str">
        <x:v>Feedback-Directed Random Test Generation/Result/Jsoup_57/result.json</x:v>
      </x:c>
    </x:row>
    <x:row r="2275">
      <x:c r="A2275" s="34" t="str">
        <x:v>randoop</x:v>
      </x:c>
      <x:c r="B2275" s="34" t="str">
        <x:v>Jsoup</x:v>
      </x:c>
      <x:c r="C2275" s="34" t="str">
        <x:v>Round1</x:v>
      </x:c>
      <x:c r="D2275" s="34" t="str">
        <x:v>Jsoup_58</x:v>
      </x:c>
      <x:c r="E2275" s="34" t="str">
        <x:v>Line</x:v>
      </x:c>
      <x:c r="F2275" s="34" t="n">
        <x:v>127</x:v>
      </x:c>
      <x:c r="G2275" s="34" t="str">
        <x:v>RECORDED</x:v>
      </x:c>
      <x:c r="H2275" s="38" t="n">
        <x:f>IF(ISNUMBER('Data'!H567),'Data'!H567*100,"")</x:f>
        <x:v>40.94</x:v>
      </x:c>
      <x:c r="I2275" s="34" t="str">
        <x:v>PASS</x:v>
      </x:c>
      <x:c r="J2275" s="34" t="str">
        <x:v>PASS</x:v>
      </x:c>
      <x:c r="K2275" s="34" t="str">
        <x:v>PASS</x:v>
      </x:c>
      <x:c r="L2275" s="34" t="str">
        <x:v>PASS</x:v>
      </x:c>
      <x:c r="M2275" s="34" t="str">
        <x:v>numeric coverage for applicable metric</x:v>
      </x:c>
      <x:c r="N2275" s="34" t="str">
        <x:v>Feedback-Directed Random Test Generation/Result/Jsoup_58/result.json</x:v>
      </x:c>
      <x:c r="O2275" s="38" t="n">
        <x:f>IF(AND(G2275="RECORDED",ISNUMBER(H2275)),H2275,"")</x:f>
        <x:v>40.94</x:v>
      </x:c>
      <x:c r="P2275" s="34" t="str">
        <x:v>NOT_REVEALING</x:v>
      </x:c>
      <x:c r="Q2275" s="34" t="str">
        <x:v>Feedback-Directed Random Test Generation/Result/Jsoup_58/result.json</x:v>
      </x:c>
    </x:row>
    <x:row r="2276">
      <x:c r="A2276" s="34" t="str">
        <x:v>randoop</x:v>
      </x:c>
      <x:c r="B2276" s="34" t="str">
        <x:v>Jsoup</x:v>
      </x:c>
      <x:c r="C2276" s="34" t="str">
        <x:v>Round1</x:v>
      </x:c>
      <x:c r="D2276" s="34" t="str">
        <x:v>Jsoup_59</x:v>
      </x:c>
      <x:c r="E2276" s="34" t="str">
        <x:v>Line</x:v>
      </x:c>
      <x:c r="F2276" s="34" t="n">
        <x:v>160</x:v>
      </x:c>
      <x:c r="G2276" s="34" t="str">
        <x:v>RECORDED</x:v>
      </x:c>
      <x:c r="H2276" s="38" t="n">
        <x:f>IF(ISNUMBER('Data'!H568),'Data'!H568*100,"")</x:f>
        <x:v>100</x:v>
      </x:c>
      <x:c r="I2276" s="34" t="str">
        <x:v>PASS</x:v>
      </x:c>
      <x:c r="J2276" s="34" t="str">
        <x:v>PASS</x:v>
      </x:c>
      <x:c r="K2276" s="34" t="str">
        <x:v>PASS</x:v>
      </x:c>
      <x:c r="L2276" s="34" t="str">
        <x:v>PASS</x:v>
      </x:c>
      <x:c r="M2276" s="34" t="str">
        <x:v>numeric coverage for applicable metric</x:v>
      </x:c>
      <x:c r="N2276" s="34" t="str">
        <x:v>Feedback-Directed Random Test Generation/Result/Jsoup_59/result.json</x:v>
      </x:c>
      <x:c r="O2276" s="38" t="n">
        <x:f>IF(AND(G2276="RECORDED",ISNUMBER(H2276)),H2276,"")</x:f>
        <x:v>100</x:v>
      </x:c>
      <x:c r="P2276" s="34" t="str">
        <x:v>NOT_REVEALING</x:v>
      </x:c>
      <x:c r="Q2276" s="34" t="str">
        <x:v>Feedback-Directed Random Test Generation/Result/Jsoup_59/result.json</x:v>
      </x:c>
    </x:row>
    <x:row r="2277">
      <x:c r="A2277" s="34" t="str">
        <x:v>randoop</x:v>
      </x:c>
      <x:c r="B2277" s="34" t="str">
        <x:v>Jsoup</x:v>
      </x:c>
      <x:c r="C2277" s="34" t="str">
        <x:v>Round1</x:v>
      </x:c>
      <x:c r="D2277" s="34" t="str">
        <x:v>Jsoup_60</x:v>
      </x:c>
      <x:c r="E2277" s="34" t="str">
        <x:v>Line</x:v>
      </x:c>
      <x:c r="F2277" s="34" t="n">
        <x:v>365</x:v>
      </x:c>
      <x:c r="G2277" s="34" t="str">
        <x:v>RECORDED</x:v>
      </x:c>
      <x:c r="H2277" s="38" t="n">
        <x:f>IF(ISNUMBER('Data'!H569),'Data'!H569*100,"")</x:f>
        <x:v>52.05</x:v>
      </x:c>
      <x:c r="I2277" s="34" t="str">
        <x:v>PASS</x:v>
      </x:c>
      <x:c r="J2277" s="34" t="str">
        <x:v>PASS</x:v>
      </x:c>
      <x:c r="K2277" s="34" t="str">
        <x:v>PASS</x:v>
      </x:c>
      <x:c r="L2277" s="34" t="str">
        <x:v>PASS</x:v>
      </x:c>
      <x:c r="M2277" s="34" t="str">
        <x:v>numeric coverage for applicable metric</x:v>
      </x:c>
      <x:c r="N2277" s="34" t="str">
        <x:v>Feedback-Directed Random Test Generation/Result/Jsoup_60/result.json</x:v>
      </x:c>
      <x:c r="O2277" s="38" t="n">
        <x:f>IF(AND(G2277="RECORDED",ISNUMBER(H2277)),H2277,"")</x:f>
        <x:v>52.05</x:v>
      </x:c>
      <x:c r="P2277" s="34" t="str">
        <x:v>INCONCLUSIVE</x:v>
      </x:c>
      <x:c r="Q2277" s="34" t="str">
        <x:v>Feedback-Directed Random Test Generation/Result/Jsoup_60/result.json</x:v>
      </x:c>
    </x:row>
    <x:row r="2278">
      <x:c r="A2278" s="34" t="str">
        <x:v>randoop</x:v>
      </x:c>
      <x:c r="B2278" s="34" t="str">
        <x:v>Jsoup</x:v>
      </x:c>
      <x:c r="C2278" s="34" t="str">
        <x:v>Round1</x:v>
      </x:c>
      <x:c r="D2278" s="34" t="str">
        <x:v>Jsoup_61</x:v>
      </x:c>
      <x:c r="E2278" s="34" t="str">
        <x:v>Line</x:v>
      </x:c>
      <x:c r="F2278" s="34" t="n">
        <x:v>352</x:v>
      </x:c>
      <x:c r="G2278" s="34" t="str">
        <x:v>RECORDED</x:v>
      </x:c>
      <x:c r="H2278" s="38" t="n">
        <x:f>IF(ISNUMBER('Data'!H570),'Data'!H570*100,"")</x:f>
        <x:v>90.06</x:v>
      </x:c>
      <x:c r="I2278" s="34" t="str">
        <x:v>PASS</x:v>
      </x:c>
      <x:c r="J2278" s="34" t="str">
        <x:v>PASS</x:v>
      </x:c>
      <x:c r="K2278" s="34" t="str">
        <x:v>PASS</x:v>
      </x:c>
      <x:c r="L2278" s="34" t="str">
        <x:v>FAIL</x:v>
      </x:c>
      <x:c r="M2278" s="34" t="str">
        <x:v>numeric coverage for applicable metric</x:v>
      </x:c>
      <x:c r="N2278" s="34" t="str">
        <x:v>Feedback-Directed Random Test Generation/Result/Jsoup_61/result.json</x:v>
      </x:c>
      <x:c r="O2278" s="38" t="n">
        <x:f>IF(AND(G2278="RECORDED",ISNUMBER(H2278)),H2278,"")</x:f>
        <x:v>90.06</x:v>
      </x:c>
      <x:c r="P2278" s="34" t="str">
        <x:v>INCONCLUSIVE</x:v>
      </x:c>
      <x:c r="Q2278" s="34" t="str">
        <x:v>Feedback-Directed Random Test Generation/Result/Jsoup_61/result.json</x:v>
      </x:c>
    </x:row>
    <x:row r="2279">
      <x:c r="A2279" s="34" t="str">
        <x:v>randoop</x:v>
      </x:c>
      <x:c r="B2279" s="34" t="str">
        <x:v>Jsoup</x:v>
      </x:c>
      <x:c r="C2279" s="34" t="str">
        <x:v>Round1</x:v>
      </x:c>
      <x:c r="D2279" s="34" t="str">
        <x:v>Jsoup_62</x:v>
      </x:c>
      <x:c r="E2279" s="34" t="str">
        <x:v>Line</x:v>
      </x:c>
      <x:c r="F2279" s="34" t="n">
        <x:v>1103</x:v>
      </x:c>
      <x:c r="G2279" s="34" t="str">
        <x:v>RECORDED</x:v>
      </x:c>
      <x:c r="H2279" s="38" t="n">
        <x:f>IF(ISNUMBER('Data'!H571),'Data'!H571*100,"")</x:f>
        <x:v>6.619999999999999</x:v>
      </x:c>
      <x:c r="I2279" s="34" t="str">
        <x:v>PASS</x:v>
      </x:c>
      <x:c r="J2279" s="34" t="str">
        <x:v>PASS</x:v>
      </x:c>
      <x:c r="K2279" s="34" t="str">
        <x:v>PASS</x:v>
      </x:c>
      <x:c r="L2279" s="34" t="str">
        <x:v>PASS</x:v>
      </x:c>
      <x:c r="M2279" s="34" t="str">
        <x:v>numeric coverage for applicable metric</x:v>
      </x:c>
      <x:c r="N2279" s="34" t="str">
        <x:v>Feedback-Directed Random Test Generation/Result/Jsoup_62/result.json</x:v>
      </x:c>
      <x:c r="O2279" s="38" t="n">
        <x:f>IF(AND(G2279="RECORDED",ISNUMBER(H2279)),H2279,"")</x:f>
        <x:v>6.619999999999999</x:v>
      </x:c>
      <x:c r="P2279" s="34" t="str">
        <x:v>NOT_REVEALING</x:v>
      </x:c>
      <x:c r="Q2279" s="34" t="str">
        <x:v>Feedback-Directed Random Test Generation/Result/Jsoup_62/result.json</x:v>
      </x:c>
    </x:row>
    <x:row r="2280">
      <x:c r="A2280" s="34" t="str">
        <x:v>randoop</x:v>
      </x:c>
      <x:c r="B2280" s="34" t="str">
        <x:v>Jsoup</x:v>
      </x:c>
      <x:c r="C2280" s="34" t="str">
        <x:v>Round1</x:v>
      </x:c>
      <x:c r="D2280" s="34" t="str">
        <x:v>Jsoup_63</x:v>
      </x:c>
      <x:c r="E2280" s="34" t="str">
        <x:v>Line</x:v>
      </x:c>
      <x:c r="F2280" s="34" t="n">
        <x:v>543</x:v>
      </x:c>
      <x:c r="G2280" s="34" t="str">
        <x:v>RECORDED</x:v>
      </x:c>
      <x:c r="H2280" s="38" t="n">
        <x:f>IF(ISNUMBER('Data'!H572),'Data'!H572*100,"")</x:f>
        <x:v>63.72</x:v>
      </x:c>
      <x:c r="I2280" s="34" t="str">
        <x:v>PASS</x:v>
      </x:c>
      <x:c r="J2280" s="34" t="str">
        <x:v>PASS</x:v>
      </x:c>
      <x:c r="K2280" s="34" t="str">
        <x:v>PASS</x:v>
      </x:c>
      <x:c r="L2280" s="34" t="str">
        <x:v>FAIL</x:v>
      </x:c>
      <x:c r="M2280" s="34" t="str">
        <x:v>numeric coverage for applicable metric</x:v>
      </x:c>
      <x:c r="N2280" s="34" t="str">
        <x:v>Feedback-Directed Random Test Generation/Result/Jsoup_63/result.json</x:v>
      </x:c>
      <x:c r="O2280" s="38" t="n">
        <x:f>IF(AND(G2280="RECORDED",ISNUMBER(H2280)),H2280,"")</x:f>
        <x:v>63.72</x:v>
      </x:c>
      <x:c r="P2280" s="34" t="str">
        <x:v>NOT_AVAILABLE</x:v>
      </x:c>
      <x:c r="Q2280" s="34" t="str">
        <x:v>Feedback-Directed Random Test Generation/Result/Jsoup_63/result.json</x:v>
      </x:c>
    </x:row>
    <x:row r="2281">
      <x:c r="A2281" s="34" t="str">
        <x:v>randoop</x:v>
      </x:c>
      <x:c r="B2281" s="34" t="str">
        <x:v>Jsoup</x:v>
      </x:c>
      <x:c r="C2281" s="34" t="str">
        <x:v>Round1</x:v>
      </x:c>
      <x:c r="D2281" s="34" t="str">
        <x:v>Jsoup_64</x:v>
      </x:c>
      <x:c r="E2281" s="34" t="str">
        <x:v>Line</x:v>
      </x:c>
      <x:c r="F2281" s="34" t="n">
        <x:v>1100</x:v>
      </x:c>
      <x:c r="G2281" s="34" t="str">
        <x:v>RECORDED</x:v>
      </x:c>
      <x:c r="H2281" s="38" t="n">
        <x:f>IF(ISNUMBER('Data'!H573),'Data'!H573*100,"")</x:f>
        <x:v>6.64</x:v>
      </x:c>
      <x:c r="I2281" s="34" t="str">
        <x:v>PASS</x:v>
      </x:c>
      <x:c r="J2281" s="34" t="str">
        <x:v>PASS</x:v>
      </x:c>
      <x:c r="K2281" s="34" t="str">
        <x:v>PASS</x:v>
      </x:c>
      <x:c r="L2281" s="34" t="str">
        <x:v>PASS</x:v>
      </x:c>
      <x:c r="M2281" s="34" t="str">
        <x:v>numeric coverage for applicable metric</x:v>
      </x:c>
      <x:c r="N2281" s="34" t="str">
        <x:v>Feedback-Directed Random Test Generation/Result/Jsoup_64/result.json</x:v>
      </x:c>
      <x:c r="O2281" s="38" t="n">
        <x:f>IF(AND(G2281="RECORDED",ISNUMBER(H2281)),H2281,"")</x:f>
        <x:v>6.64</x:v>
      </x:c>
      <x:c r="P2281" s="34" t="str">
        <x:v>NOT_REVEALING</x:v>
      </x:c>
      <x:c r="Q2281" s="34" t="str">
        <x:v>Feedback-Directed Random Test Generation/Result/Jsoup_64/result.json</x:v>
      </x:c>
    </x:row>
    <x:row r="2282">
      <x:c r="A2282" s="34" t="str">
        <x:v>randoop</x:v>
      </x:c>
      <x:c r="B2282" s="34" t="str">
        <x:v>Jsoup</x:v>
      </x:c>
      <x:c r="C2282" s="34" t="str">
        <x:v>Round1</x:v>
      </x:c>
      <x:c r="D2282" s="34" t="str">
        <x:v>Jsoup_65</x:v>
      </x:c>
      <x:c r="E2282" s="34" t="str">
        <x:v>Line</x:v>
      </x:c>
      <x:c r="F2282" s="34" t="n">
        <x:v>1481</x:v>
      </x:c>
      <x:c r="G2282" s="34" t="str">
        <x:v>RECORDED</x:v>
      </x:c>
      <x:c r="H2282" s="38" t="n">
        <x:f>IF(ISNUMBER('Data'!H574),'Data'!H574*100,"")</x:f>
        <x:v>32.55</x:v>
      </x:c>
      <x:c r="I2282" s="34" t="str">
        <x:v>PASS</x:v>
      </x:c>
      <x:c r="J2282" s="34" t="str">
        <x:v>PASS</x:v>
      </x:c>
      <x:c r="K2282" s="34" t="str">
        <x:v>PASS</x:v>
      </x:c>
      <x:c r="L2282" s="34" t="str">
        <x:v>FAIL</x:v>
      </x:c>
      <x:c r="M2282" s="34" t="str">
        <x:v>numeric coverage for applicable metric</x:v>
      </x:c>
      <x:c r="N2282" s="34" t="str">
        <x:v>Feedback-Directed Random Test Generation/Result/Jsoup_65/result.json</x:v>
      </x:c>
      <x:c r="O2282" s="38" t="n">
        <x:f>IF(AND(G2282="RECORDED",ISNUMBER(H2282)),H2282,"")</x:f>
        <x:v>32.55</x:v>
      </x:c>
      <x:c r="P2282" s="34" t="str">
        <x:v>INCONCLUSIVE</x:v>
      </x:c>
      <x:c r="Q2282" s="34" t="str">
        <x:v>Feedback-Directed Random Test Generation/Result/Jsoup_65/result.json</x:v>
      </x:c>
    </x:row>
    <x:row r="2283">
      <x:c r="A2283" s="34" t="str">
        <x:v>randoop</x:v>
      </x:c>
      <x:c r="B2283" s="34" t="str">
        <x:v>Jsoup</x:v>
      </x:c>
      <x:c r="C2283" s="34" t="str">
        <x:v>Round1</x:v>
      </x:c>
      <x:c r="D2283" s="34" t="str">
        <x:v>Jsoup_66</x:v>
      </x:c>
      <x:c r="E2283" s="34" t="str">
        <x:v>Line</x:v>
      </x:c>
      <x:c r="F2283" s="34" t="n">
        <x:v>390</x:v>
      </x:c>
      <x:c r="G2283" s="34" t="str">
        <x:v>RECORDED</x:v>
      </x:c>
      <x:c r="H2283" s="38" t="n">
        <x:f>IF(ISNUMBER('Data'!H575),'Data'!H575*100,"")</x:f>
        <x:v>91.79</x:v>
      </x:c>
      <x:c r="I2283" s="34" t="str">
        <x:v>PASS</x:v>
      </x:c>
      <x:c r="J2283" s="34" t="str">
        <x:v>PASS</x:v>
      </x:c>
      <x:c r="K2283" s="34" t="str">
        <x:v>PASS</x:v>
      </x:c>
      <x:c r="L2283" s="34" t="str">
        <x:v>FAIL</x:v>
      </x:c>
      <x:c r="M2283" s="34" t="str">
        <x:v>numeric coverage for applicable metric</x:v>
      </x:c>
      <x:c r="N2283" s="34" t="str">
        <x:v>Feedback-Directed Random Test Generation/Result/Jsoup_66/result.json</x:v>
      </x:c>
      <x:c r="O2283" s="38" t="n">
        <x:f>IF(AND(G2283="RECORDED",ISNUMBER(H2283)),H2283,"")</x:f>
        <x:v>91.79</x:v>
      </x:c>
      <x:c r="P2283" s="34" t="str">
        <x:v>INCONCLUSIVE</x:v>
      </x:c>
      <x:c r="Q2283" s="34" t="str">
        <x:v>Feedback-Directed Random Test Generation/Result/Jsoup_66/result.json</x:v>
      </x:c>
    </x:row>
    <x:row r="2284">
      <x:c r="A2284" s="34" t="str">
        <x:v>randoop</x:v>
      </x:c>
      <x:c r="B2284" s="34" t="str">
        <x:v>Jsoup</x:v>
      </x:c>
      <x:c r="C2284" s="34" t="str">
        <x:v>Round1</x:v>
      </x:c>
      <x:c r="D2284" s="34" t="str">
        <x:v>Jsoup_67</x:v>
      </x:c>
      <x:c r="E2284" s="34" t="str">
        <x:v>Line</x:v>
      </x:c>
      <x:c r="F2284" s="34" t="n">
        <x:v>381</x:v>
      </x:c>
      <x:c r="G2284" s="34" t="str">
        <x:v>RECORDED</x:v>
      </x:c>
      <x:c r="H2284" s="38" t="n">
        <x:f>IF(ISNUMBER('Data'!H576),'Data'!H576*100,"")</x:f>
        <x:v>69.55</x:v>
      </x:c>
      <x:c r="I2284" s="34" t="str">
        <x:v>PASS</x:v>
      </x:c>
      <x:c r="J2284" s="34" t="str">
        <x:v>PASS</x:v>
      </x:c>
      <x:c r="K2284" s="34" t="str">
        <x:v>PASS</x:v>
      </x:c>
      <x:c r="L2284" s="34" t="str">
        <x:v>FAIL</x:v>
      </x:c>
      <x:c r="M2284" s="34" t="str">
        <x:v>numeric coverage for applicable metric</x:v>
      </x:c>
      <x:c r="N2284" s="34" t="str">
        <x:v>Feedback-Directed Random Test Generation/Result/Jsoup_67/result.json</x:v>
      </x:c>
      <x:c r="O2284" s="38" t="n">
        <x:f>IF(AND(G2284="RECORDED",ISNUMBER(H2284)),H2284,"")</x:f>
        <x:v>69.55</x:v>
      </x:c>
      <x:c r="P2284" s="34" t="str">
        <x:v>INCONCLUSIVE</x:v>
      </x:c>
      <x:c r="Q2284" s="34" t="str">
        <x:v>Feedback-Directed Random Test Generation/Result/Jsoup_67/result.json</x:v>
      </x:c>
    </x:row>
    <x:row r="2285">
      <x:c r="A2285" s="34" t="str">
        <x:v>randoop</x:v>
      </x:c>
      <x:c r="B2285" s="34" t="str">
        <x:v>Jsoup</x:v>
      </x:c>
      <x:c r="C2285" s="34" t="str">
        <x:v>Round1</x:v>
      </x:c>
      <x:c r="D2285" s="34" t="str">
        <x:v>Jsoup_68</x:v>
      </x:c>
      <x:c r="E2285" s="34" t="str">
        <x:v>Line</x:v>
      </x:c>
      <x:c r="F2285" s="34" t="n">
        <x:v>382</x:v>
      </x:c>
      <x:c r="G2285" s="34" t="str">
        <x:v>RECORDED</x:v>
      </x:c>
      <x:c r="H2285" s="38" t="n">
        <x:f>IF(ISNUMBER('Data'!H577),'Data'!H577*100,"")</x:f>
        <x:v>75.13</x:v>
      </x:c>
      <x:c r="I2285" s="34" t="str">
        <x:v>PASS</x:v>
      </x:c>
      <x:c r="J2285" s="34" t="str">
        <x:v>PASS</x:v>
      </x:c>
      <x:c r="K2285" s="34" t="str">
        <x:v>PASS</x:v>
      </x:c>
      <x:c r="L2285" s="34" t="str">
        <x:v>FAIL</x:v>
      </x:c>
      <x:c r="M2285" s="34" t="str">
        <x:v>numeric coverage for applicable metric</x:v>
      </x:c>
      <x:c r="N2285" s="34" t="str">
        <x:v>Feedback-Directed Random Test Generation/Result/Jsoup_68/result.json</x:v>
      </x:c>
      <x:c r="O2285" s="38" t="n">
        <x:f>IF(AND(G2285="RECORDED",ISNUMBER(H2285)),H2285,"")</x:f>
        <x:v>75.13</x:v>
      </x:c>
      <x:c r="P2285" s="34" t="str">
        <x:v>INCONCLUSIVE</x:v>
      </x:c>
      <x:c r="Q2285" s="34" t="str">
        <x:v>Feedback-Directed Random Test Generation/Result/Jsoup_68/result.json</x:v>
      </x:c>
    </x:row>
    <x:row r="2286">
      <x:c r="A2286" s="34" t="str">
        <x:v>randoop</x:v>
      </x:c>
      <x:c r="B2286" s="34" t="str">
        <x:v>Jsoup</x:v>
      </x:c>
      <x:c r="C2286" s="34" t="str">
        <x:v>Round1</x:v>
      </x:c>
      <x:c r="D2286" s="34" t="str">
        <x:v>Jsoup_69</x:v>
      </x:c>
      <x:c r="E2286" s="34" t="str">
        <x:v>Line</x:v>
      </x:c>
      <x:c r="F2286" s="34" t="n">
        <x:v>39</x:v>
      </x:c>
      <x:c r="G2286" s="34" t="str">
        <x:v>RECORDED</x:v>
      </x:c>
      <x:c r="H2286" s="38" t="n">
        <x:f>IF(ISNUMBER('Data'!H578),'Data'!H578*100,"")</x:f>
        <x:v>2.56</x:v>
      </x:c>
      <x:c r="I2286" s="34" t="str">
        <x:v>PASS</x:v>
      </x:c>
      <x:c r="J2286" s="34" t="str">
        <x:v>PASS</x:v>
      </x:c>
      <x:c r="K2286" s="34" t="str">
        <x:v>PASS</x:v>
      </x:c>
      <x:c r="L2286" s="34" t="str">
        <x:v>PASS</x:v>
      </x:c>
      <x:c r="M2286" s="34" t="str">
        <x:v>numeric coverage for applicable metric</x:v>
      </x:c>
      <x:c r="N2286" s="34" t="str">
        <x:v>Feedback-Directed Random Test Generation/Result/Jsoup_69/result.json</x:v>
      </x:c>
      <x:c r="O2286" s="38" t="n">
        <x:f>IF(AND(G2286="RECORDED",ISNUMBER(H2286)),H2286,"")</x:f>
        <x:v>2.56</x:v>
      </x:c>
      <x:c r="P2286" s="34" t="str">
        <x:v>NOT_REVEALING</x:v>
      </x:c>
      <x:c r="Q2286" s="34" t="str">
        <x:v>Feedback-Directed Random Test Generation/Result/Jsoup_69/result.json</x:v>
      </x:c>
    </x:row>
    <x:row r="2287">
      <x:c r="A2287" s="34" t="str">
        <x:v>randoop</x:v>
      </x:c>
      <x:c r="B2287" s="34" t="str">
        <x:v>Jsoup</x:v>
      </x:c>
      <x:c r="C2287" s="34" t="str">
        <x:v>Round1</x:v>
      </x:c>
      <x:c r="D2287" s="34" t="str">
        <x:v>Jsoup_70</x:v>
      </x:c>
      <x:c r="E2287" s="34" t="str">
        <x:v>Line</x:v>
      </x:c>
      <x:c r="F2287" s="34" t="n">
        <x:v>394</x:v>
      </x:c>
      <x:c r="G2287" s="34" t="str">
        <x:v>RECORDED</x:v>
      </x:c>
      <x:c r="H2287" s="38" t="n">
        <x:f>IF(ISNUMBER('Data'!H579),'Data'!H579*100,"")</x:f>
        <x:v>90.61</x:v>
      </x:c>
      <x:c r="I2287" s="34" t="str">
        <x:v>PASS</x:v>
      </x:c>
      <x:c r="J2287" s="34" t="str">
        <x:v>PASS</x:v>
      </x:c>
      <x:c r="K2287" s="34" t="str">
        <x:v>PASS</x:v>
      </x:c>
      <x:c r="L2287" s="34" t="str">
        <x:v>FAIL</x:v>
      </x:c>
      <x:c r="M2287" s="34" t="str">
        <x:v>numeric coverage for applicable metric</x:v>
      </x:c>
      <x:c r="N2287" s="34" t="str">
        <x:v>Feedback-Directed Random Test Generation/Result/Jsoup_70/result.json</x:v>
      </x:c>
      <x:c r="O2287" s="38" t="n">
        <x:f>IF(AND(G2287="RECORDED",ISNUMBER(H2287)),H2287,"")</x:f>
        <x:v>90.61</x:v>
      </x:c>
      <x:c r="P2287" s="34" t="str">
        <x:v>INCONCLUSIVE</x:v>
      </x:c>
      <x:c r="Q2287" s="34" t="str">
        <x:v>Feedback-Directed Random Test Generation/Result/Jsoup_70/result.json</x:v>
      </x:c>
    </x:row>
    <x:row r="2288">
      <x:c r="A2288" s="34" t="str">
        <x:v>randoop</x:v>
      </x:c>
      <x:c r="B2288" s="34" t="str">
        <x:v>Jsoup</x:v>
      </x:c>
      <x:c r="C2288" s="34" t="str">
        <x:v>Round1</x:v>
      </x:c>
      <x:c r="D2288" s="34" t="str">
        <x:v>Jsoup_71</x:v>
      </x:c>
      <x:c r="E2288" s="34" t="str">
        <x:v>Line</x:v>
      </x:c>
      <x:c r="F2288" s="34" t="n">
        <x:v>430</x:v>
      </x:c>
      <x:c r="G2288" s="34" t="str">
        <x:v>RECORDED</x:v>
      </x:c>
      <x:c r="H2288" s="38" t="n">
        <x:f>IF(ISNUMBER('Data'!H580),'Data'!H580*100,"")</x:f>
        <x:v>70.23</x:v>
      </x:c>
      <x:c r="I2288" s="34" t="str">
        <x:v>PASS</x:v>
      </x:c>
      <x:c r="J2288" s="34" t="str">
        <x:v>PASS</x:v>
      </x:c>
      <x:c r="K2288" s="34" t="str">
        <x:v>PASS</x:v>
      </x:c>
      <x:c r="L2288" s="34" t="str">
        <x:v>PASS</x:v>
      </x:c>
      <x:c r="M2288" s="34" t="str">
        <x:v>numeric coverage for applicable metric</x:v>
      </x:c>
      <x:c r="N2288" s="34" t="str">
        <x:v>Feedback-Directed Random Test Generation/Result/Jsoup_71/result.json</x:v>
      </x:c>
      <x:c r="O2288" s="38" t="n">
        <x:f>IF(AND(G2288="RECORDED",ISNUMBER(H2288)),H2288,"")</x:f>
        <x:v>70.23</x:v>
      </x:c>
      <x:c r="P2288" s="34" t="str">
        <x:v>NOT_REVEALING</x:v>
      </x:c>
      <x:c r="Q2288" s="34" t="str">
        <x:v>Feedback-Directed Random Test Generation/Result/Jsoup_71/result.json</x:v>
      </x:c>
    </x:row>
    <x:row r="2289">
      <x:c r="A2289" s="34" t="str">
        <x:v>randoop</x:v>
      </x:c>
      <x:c r="B2289" s="34" t="str">
        <x:v>Jsoup</x:v>
      </x:c>
      <x:c r="C2289" s="34" t="str">
        <x:v>Round1</x:v>
      </x:c>
      <x:c r="D2289" s="34" t="str">
        <x:v>Jsoup_72</x:v>
      </x:c>
      <x:c r="E2289" s="34" t="str">
        <x:v>Line</x:v>
      </x:c>
      <x:c r="F2289" s="34" t="n">
        <x:v>228</x:v>
      </x:c>
      <x:c r="G2289" s="34" t="str">
        <x:v>RECORDED</x:v>
      </x:c>
      <x:c r="H2289" s="38" t="n">
        <x:f>IF(ISNUMBER('Data'!H581),'Data'!H581*100,"")</x:f>
        <x:v>94.3</x:v>
      </x:c>
      <x:c r="I2289" s="34" t="str">
        <x:v>PASS</x:v>
      </x:c>
      <x:c r="J2289" s="34" t="str">
        <x:v>PASS</x:v>
      </x:c>
      <x:c r="K2289" s="34" t="str">
        <x:v>PASS</x:v>
      </x:c>
      <x:c r="L2289" s="34" t="str">
        <x:v>PASS</x:v>
      </x:c>
      <x:c r="M2289" s="34" t="str">
        <x:v>numeric coverage for applicable metric</x:v>
      </x:c>
      <x:c r="N2289" s="34" t="str">
        <x:v>Feedback-Directed Random Test Generation/Result/Jsoup_72/result.json</x:v>
      </x:c>
      <x:c r="O2289" s="38" t="n">
        <x:f>IF(AND(G2289="RECORDED",ISNUMBER(H2289)),H2289,"")</x:f>
        <x:v>94.3</x:v>
      </x:c>
      <x:c r="P2289" s="34" t="str">
        <x:v>INCONCLUSIVE</x:v>
      </x:c>
      <x:c r="Q2289" s="34" t="str">
        <x:v>Feedback-Directed Random Test Generation/Result/Jsoup_72/result.json</x:v>
      </x:c>
    </x:row>
    <x:row r="2290">
      <x:c r="A2290" s="34" t="str">
        <x:v>randoop</x:v>
      </x:c>
      <x:c r="B2290" s="34" t="str">
        <x:v>Jsoup</x:v>
      </x:c>
      <x:c r="C2290" s="34" t="str">
        <x:v>Round1</x:v>
      </x:c>
      <x:c r="D2290" s="34" t="str">
        <x:v>Jsoup_73</x:v>
      </x:c>
      <x:c r="E2290" s="34" t="str">
        <x:v>Line</x:v>
      </x:c>
      <x:c r="F2290" s="34" t="n">
        <x:v>71</x:v>
      </x:c>
      <x:c r="G2290" s="34" t="str">
        <x:v>RECORDED</x:v>
      </x:c>
      <x:c r="H2290" s="38" t="n">
        <x:f>IF(ISNUMBER('Data'!H582),'Data'!H582*100,"")</x:f>
        <x:v>26.76</x:v>
      </x:c>
      <x:c r="I2290" s="34" t="str">
        <x:v>PASS</x:v>
      </x:c>
      <x:c r="J2290" s="34" t="str">
        <x:v>PASS</x:v>
      </x:c>
      <x:c r="K2290" s="34" t="str">
        <x:v>PASS</x:v>
      </x:c>
      <x:c r="L2290" s="34" t="str">
        <x:v>PASS</x:v>
      </x:c>
      <x:c r="M2290" s="34" t="str">
        <x:v>numeric coverage for applicable metric</x:v>
      </x:c>
      <x:c r="N2290" s="34" t="str">
        <x:v>Feedback-Directed Random Test Generation/Result/Jsoup_73/result.json</x:v>
      </x:c>
      <x:c r="O2290" s="38" t="n">
        <x:f>IF(AND(G2290="RECORDED",ISNUMBER(H2290)),H2290,"")</x:f>
        <x:v>26.76</x:v>
      </x:c>
      <x:c r="P2290" s="34" t="str">
        <x:v>INCONCLUSIVE</x:v>
      </x:c>
      <x:c r="Q2290" s="34" t="str">
        <x:v>Feedback-Directed Random Test Generation/Result/Jsoup_73/result.json</x:v>
      </x:c>
    </x:row>
    <x:row r="2291">
      <x:c r="A2291" s="34" t="str">
        <x:v>randoop</x:v>
      </x:c>
      <x:c r="B2291" s="34" t="str">
        <x:v>Jsoup</x:v>
      </x:c>
      <x:c r="C2291" s="34" t="str">
        <x:v>Round1</x:v>
      </x:c>
      <x:c r="D2291" s="34" t="str">
        <x:v>Jsoup_74</x:v>
      </x:c>
      <x:c r="E2291" s="34" t="str">
        <x:v>Line</x:v>
      </x:c>
      <x:c r="F2291" s="34" t="n">
        <x:v>83</x:v>
      </x:c>
      <x:c r="G2291" s="34" t="str">
        <x:v>RECORDED</x:v>
      </x:c>
      <x:c r="H2291" s="38" t="n">
        <x:f>IF(ISNUMBER('Data'!H583),'Data'!H583*100,"")</x:f>
        <x:v>89.16</x:v>
      </x:c>
      <x:c r="I2291" s="34" t="str">
        <x:v>PASS</x:v>
      </x:c>
      <x:c r="J2291" s="34" t="str">
        <x:v>PASS</x:v>
      </x:c>
      <x:c r="K2291" s="34" t="str">
        <x:v>PASS</x:v>
      </x:c>
      <x:c r="L2291" s="34" t="str">
        <x:v>PASS</x:v>
      </x:c>
      <x:c r="M2291" s="34" t="str">
        <x:v>numeric coverage for applicable metric</x:v>
      </x:c>
      <x:c r="N2291" s="34" t="str">
        <x:v>Feedback-Directed Random Test Generation/Result/Jsoup_74/result.json</x:v>
      </x:c>
      <x:c r="O2291" s="38" t="n">
        <x:f>IF(AND(G2291="RECORDED",ISNUMBER(H2291)),H2291,"")</x:f>
        <x:v>89.16</x:v>
      </x:c>
      <x:c r="P2291" s="34" t="str">
        <x:v>NOT_REVEALING</x:v>
      </x:c>
      <x:c r="Q2291" s="34" t="str">
        <x:v>Feedback-Directed Random Test Generation/Result/Jsoup_74/result.json</x:v>
      </x:c>
    </x:row>
    <x:row r="2292">
      <x:c r="A2292" s="34" t="str">
        <x:v>randoop</x:v>
      </x:c>
      <x:c r="B2292" s="34" t="str">
        <x:v>Jsoup</x:v>
      </x:c>
      <x:c r="C2292" s="34" t="str">
        <x:v>Round1</x:v>
      </x:c>
      <x:c r="D2292" s="34" t="str">
        <x:v>Jsoup_75</x:v>
      </x:c>
      <x:c r="E2292" s="34" t="str">
        <x:v>Line</x:v>
      </x:c>
      <x:c r="F2292" s="34" t="n">
        <x:v>168</x:v>
      </x:c>
      <x:c r="G2292" s="34" t="str">
        <x:v>RECORDED</x:v>
      </x:c>
      <x:c r="H2292" s="38" t="n">
        <x:f>IF(ISNUMBER('Data'!H584),'Data'!H584*100,"")</x:f>
        <x:v>80.36</x:v>
      </x:c>
      <x:c r="I2292" s="34" t="str">
        <x:v>PASS</x:v>
      </x:c>
      <x:c r="J2292" s="34" t="str">
        <x:v>PASS</x:v>
      </x:c>
      <x:c r="K2292" s="34" t="str">
        <x:v>PASS</x:v>
      </x:c>
      <x:c r="L2292" s="34" t="str">
        <x:v>PASS</x:v>
      </x:c>
      <x:c r="M2292" s="34" t="str">
        <x:v>numeric coverage for applicable metric</x:v>
      </x:c>
      <x:c r="N2292" s="34" t="str">
        <x:v>Feedback-Directed Random Test Generation/Result/Jsoup_75/result.json</x:v>
      </x:c>
      <x:c r="O2292" s="38" t="n">
        <x:f>IF(AND(G2292="RECORDED",ISNUMBER(H2292)),H2292,"")</x:f>
        <x:v>80.36</x:v>
      </x:c>
      <x:c r="P2292" s="34" t="str">
        <x:v>INCONCLUSIVE</x:v>
      </x:c>
      <x:c r="Q2292" s="34" t="str">
        <x:v>Feedback-Directed Random Test Generation/Result/Jsoup_75/result.json</x:v>
      </x:c>
    </x:row>
    <x:row r="2293">
      <x:c r="A2293" s="34" t="str">
        <x:v>randoop</x:v>
      </x:c>
      <x:c r="B2293" s="34" t="str">
        <x:v>Jsoup</x:v>
      </x:c>
      <x:c r="C2293" s="34" t="str">
        <x:v>Round1</x:v>
      </x:c>
      <x:c r="D2293" s="34" t="str">
        <x:v>Jsoup_76</x:v>
      </x:c>
      <x:c r="E2293" s="34" t="str">
        <x:v>Line</x:v>
      </x:c>
      <x:c r="F2293" s="34" t="n">
        <x:v>1105</x:v>
      </x:c>
      <x:c r="G2293" s="34" t="str">
        <x:v>RECORDED</x:v>
      </x:c>
      <x:c r="H2293" s="38" t="n">
        <x:f>IF(ISNUMBER('Data'!H585),'Data'!H585*100,"")</x:f>
        <x:v>6.61</x:v>
      </x:c>
      <x:c r="I2293" s="34" t="str">
        <x:v>PASS</x:v>
      </x:c>
      <x:c r="J2293" s="34" t="str">
        <x:v>PASS</x:v>
      </x:c>
      <x:c r="K2293" s="34" t="str">
        <x:v>PASS</x:v>
      </x:c>
      <x:c r="L2293" s="34" t="str">
        <x:v>PASS</x:v>
      </x:c>
      <x:c r="M2293" s="34" t="str">
        <x:v>numeric coverage for applicable metric</x:v>
      </x:c>
      <x:c r="N2293" s="34" t="str">
        <x:v>Feedback-Directed Random Test Generation/Result/Jsoup_76/result.json</x:v>
      </x:c>
      <x:c r="O2293" s="38" t="n">
        <x:f>IF(AND(G2293="RECORDED",ISNUMBER(H2293)),H2293,"")</x:f>
        <x:v>6.61</x:v>
      </x:c>
      <x:c r="P2293" s="34" t="str">
        <x:v>NOT_REVEALING</x:v>
      </x:c>
      <x:c r="Q2293" s="34" t="str">
        <x:v>Feedback-Directed Random Test Generation/Result/Jsoup_76/result.json</x:v>
      </x:c>
    </x:row>
    <x:row r="2294">
      <x:c r="A2294" s="34" t="str">
        <x:v>randoop</x:v>
      </x:c>
      <x:c r="B2294" s="34" t="str">
        <x:v>Jsoup</x:v>
      </x:c>
      <x:c r="C2294" s="34" t="str">
        <x:v>Round1</x:v>
      </x:c>
      <x:c r="D2294" s="34" t="str">
        <x:v>Jsoup_77</x:v>
      </x:c>
      <x:c r="E2294" s="34" t="str">
        <x:v>Line</x:v>
      </x:c>
      <x:c r="F2294" s="34" t="n">
        <x:v>69</x:v>
      </x:c>
      <x:c r="G2294" s="34" t="str">
        <x:v>RECORDED</x:v>
      </x:c>
      <x:c r="H2294" s="38" t="n">
        <x:f>IF(ISNUMBER('Data'!H586),'Data'!H586*100,"")</x:f>
        <x:v>46.38</x:v>
      </x:c>
      <x:c r="I2294" s="34" t="str">
        <x:v>PASS</x:v>
      </x:c>
      <x:c r="J2294" s="34" t="str">
        <x:v>PASS</x:v>
      </x:c>
      <x:c r="K2294" s="34" t="str">
        <x:v>PASS</x:v>
      </x:c>
      <x:c r="L2294" s="34" t="str">
        <x:v>PASS</x:v>
      </x:c>
      <x:c r="M2294" s="34" t="str">
        <x:v>numeric coverage for applicable metric</x:v>
      </x:c>
      <x:c r="N2294" s="34" t="str">
        <x:v>Feedback-Directed Random Test Generation/Result/Jsoup_77/result.json</x:v>
      </x:c>
      <x:c r="O2294" s="38" t="n">
        <x:f>IF(AND(G2294="RECORDED",ISNUMBER(H2294)),H2294,"")</x:f>
        <x:v>46.38</x:v>
      </x:c>
      <x:c r="P2294" s="34" t="str">
        <x:v>NOT_REVEALING</x:v>
      </x:c>
      <x:c r="Q2294" s="34" t="str">
        <x:v>Feedback-Directed Random Test Generation/Result/Jsoup_77/result.json</x:v>
      </x:c>
    </x:row>
    <x:row r="2295">
      <x:c r="A2295" s="34" t="str">
        <x:v>randoop</x:v>
      </x:c>
      <x:c r="B2295" s="34" t="str">
        <x:v>Jsoup</x:v>
      </x:c>
      <x:c r="C2295" s="34" t="str">
        <x:v>Round1</x:v>
      </x:c>
      <x:c r="D2295" s="34" t="str">
        <x:v>Jsoup_78</x:v>
      </x:c>
      <x:c r="E2295" s="34" t="str">
        <x:v>Line</x:v>
      </x:c>
      <x:c r="F2295" s="34" t="n">
        <x:v>109</x:v>
      </x:c>
      <x:c r="G2295" s="34" t="str">
        <x:v>RECORDED</x:v>
      </x:c>
      <x:c r="H2295" s="38" t="n">
        <x:f>IF(ISNUMBER('Data'!H587),'Data'!H587*100,"")</x:f>
        <x:v>25.69</x:v>
      </x:c>
      <x:c r="I2295" s="34" t="str">
        <x:v>PASS</x:v>
      </x:c>
      <x:c r="J2295" s="34" t="str">
        <x:v>PASS</x:v>
      </x:c>
      <x:c r="K2295" s="34" t="str">
        <x:v>PASS</x:v>
      </x:c>
      <x:c r="L2295" s="34" t="str">
        <x:v>PASS</x:v>
      </x:c>
      <x:c r="M2295" s="34" t="str">
        <x:v>numeric coverage for applicable metric</x:v>
      </x:c>
      <x:c r="N2295" s="34" t="str">
        <x:v>Feedback-Directed Random Test Generation/Result/Jsoup_78/result.json</x:v>
      </x:c>
      <x:c r="O2295" s="38" t="n">
        <x:f>IF(AND(G2295="RECORDED",ISNUMBER(H2295)),H2295,"")</x:f>
        <x:v>25.69</x:v>
      </x:c>
      <x:c r="P2295" s="34" t="str">
        <x:v>NOT_REVEALING</x:v>
      </x:c>
      <x:c r="Q2295" s="34" t="str">
        <x:v>Feedback-Directed Random Test Generation/Result/Jsoup_78/result.json</x:v>
      </x:c>
    </x:row>
    <x:row r="2296">
      <x:c r="A2296" s="34" t="str">
        <x:v>randoop</x:v>
      </x:c>
      <x:c r="B2296" s="34" t="str">
        <x:v>Jsoup</x:v>
      </x:c>
      <x:c r="C2296" s="34" t="str">
        <x:v>Round1</x:v>
      </x:c>
      <x:c r="D2296" s="34" t="str">
        <x:v>Jsoup_79</x:v>
      </x:c>
      <x:c r="E2296" s="34" t="str">
        <x:v>Line</x:v>
      </x:c>
      <x:c r="F2296" s="34" t="n">
        <x:v>33</x:v>
      </x:c>
      <x:c r="G2296" s="34" t="str">
        <x:v>RECORDED</x:v>
      </x:c>
      <x:c r="H2296" s="38" t="n">
        <x:f>IF(ISNUMBER('Data'!H588),'Data'!H588*100,"")</x:f>
        <x:v>0</x:v>
      </x:c>
      <x:c r="I2296" s="34" t="str">
        <x:v>PASS</x:v>
      </x:c>
      <x:c r="J2296" s="34" t="str">
        <x:v>PASS</x:v>
      </x:c>
      <x:c r="K2296" s="34" t="str">
        <x:v>PASS</x:v>
      </x:c>
      <x:c r="L2296" s="34" t="str">
        <x:v>PASS</x:v>
      </x:c>
      <x:c r="M2296" s="34" t="str">
        <x:v>numeric coverage for applicable metric</x:v>
      </x:c>
      <x:c r="N2296" s="34" t="str">
        <x:v>Feedback-Directed Random Test Generation/Result/Jsoup_79/result.json</x:v>
      </x:c>
      <x:c r="O2296" s="38" t="n">
        <x:f>IF(AND(G2296="RECORDED",ISNUMBER(H2296)),H2296,"")</x:f>
        <x:v>0</x:v>
      </x:c>
      <x:c r="P2296" s="34" t="str">
        <x:v>NOT_REVEALING</x:v>
      </x:c>
      <x:c r="Q2296" s="34" t="str">
        <x:v>Feedback-Directed Random Test Generation/Result/Jsoup_79/result.json</x:v>
      </x:c>
    </x:row>
    <x:row r="2297">
      <x:c r="A2297" s="34" t="str">
        <x:v>randoop</x:v>
      </x:c>
      <x:c r="B2297" s="34" t="str">
        <x:v>Jsoup</x:v>
      </x:c>
      <x:c r="C2297" s="34" t="str">
        <x:v>Round1</x:v>
      </x:c>
      <x:c r="D2297" s="34" t="str">
        <x:v>Jsoup_80</x:v>
      </x:c>
      <x:c r="E2297" s="34" t="str">
        <x:v>Line</x:v>
      </x:c>
      <x:c r="F2297" s="34" t="n">
        <x:v>69</x:v>
      </x:c>
      <x:c r="G2297" s="34" t="str">
        <x:v>RECORDED</x:v>
      </x:c>
      <x:c r="H2297" s="38" t="n">
        <x:f>IF(ISNUMBER('Data'!H589),'Data'!H589*100,"")</x:f>
        <x:v>46.38</x:v>
      </x:c>
      <x:c r="I2297" s="34" t="str">
        <x:v>PASS</x:v>
      </x:c>
      <x:c r="J2297" s="34" t="str">
        <x:v>PASS</x:v>
      </x:c>
      <x:c r="K2297" s="34" t="str">
        <x:v>PASS</x:v>
      </x:c>
      <x:c r="L2297" s="34" t="str">
        <x:v>PASS</x:v>
      </x:c>
      <x:c r="M2297" s="34" t="str">
        <x:v>numeric coverage for applicable metric</x:v>
      </x:c>
      <x:c r="N2297" s="34" t="str">
        <x:v>Feedback-Directed Random Test Generation/Result/Jsoup_80/result.json</x:v>
      </x:c>
      <x:c r="O2297" s="38" t="n">
        <x:f>IF(AND(G2297="RECORDED",ISNUMBER(H2297)),H2297,"")</x:f>
        <x:v>46.38</x:v>
      </x:c>
      <x:c r="P2297" s="34" t="str">
        <x:v>NOT_REVEALING</x:v>
      </x:c>
      <x:c r="Q2297" s="34" t="str">
        <x:v>Feedback-Directed Random Test Generation/Result/Jsoup_80/result.json</x:v>
      </x:c>
    </x:row>
    <x:row r="2298">
      <x:c r="A2298" s="34" t="str">
        <x:v>randoop</x:v>
      </x:c>
      <x:c r="B2298" s="34" t="str">
        <x:v>Jsoup</x:v>
      </x:c>
      <x:c r="C2298" s="34" t="str">
        <x:v>Round1</x:v>
      </x:c>
      <x:c r="D2298" s="34" t="str">
        <x:v>Jsoup_81</x:v>
      </x:c>
      <x:c r="E2298" s="34" t="str">
        <x:v>Line</x:v>
      </x:c>
      <x:c r="F2298" s="34" t="n">
        <x:v>117</x:v>
      </x:c>
      <x:c r="G2298" s="34" t="str">
        <x:v>RECORDED</x:v>
      </x:c>
      <x:c r="H2298" s="38" t="n">
        <x:f>IF(ISNUMBER('Data'!H590),'Data'!H590*100,"")</x:f>
        <x:v>23.93</x:v>
      </x:c>
      <x:c r="I2298" s="34" t="str">
        <x:v>PASS</x:v>
      </x:c>
      <x:c r="J2298" s="34" t="str">
        <x:v>PASS</x:v>
      </x:c>
      <x:c r="K2298" s="34" t="str">
        <x:v>PASS</x:v>
      </x:c>
      <x:c r="L2298" s="34" t="str">
        <x:v>PASS</x:v>
      </x:c>
      <x:c r="M2298" s="34" t="str">
        <x:v>numeric coverage for applicable metric</x:v>
      </x:c>
      <x:c r="N2298" s="34" t="str">
        <x:v>Feedback-Directed Random Test Generation/Result/Jsoup_81/result.json</x:v>
      </x:c>
      <x:c r="O2298" s="38" t="n">
        <x:f>IF(AND(G2298="RECORDED",ISNUMBER(H2298)),H2298,"")</x:f>
        <x:v>23.93</x:v>
      </x:c>
      <x:c r="P2298" s="34" t="str">
        <x:v>NOT_REVEALING</x:v>
      </x:c>
      <x:c r="Q2298" s="34" t="str">
        <x:v>Feedback-Directed Random Test Generation/Result/Jsoup_81/result.json</x:v>
      </x:c>
    </x:row>
    <x:row r="2299">
      <x:c r="A2299" s="34" t="str">
        <x:v>randoop</x:v>
      </x:c>
      <x:c r="B2299" s="34" t="str">
        <x:v>Jsoup</x:v>
      </x:c>
      <x:c r="C2299" s="34" t="str">
        <x:v>Round1</x:v>
      </x:c>
      <x:c r="D2299" s="34" t="str">
        <x:v>Jsoup_82</x:v>
      </x:c>
      <x:c r="E2299" s="34" t="str">
        <x:v>Line</x:v>
      </x:c>
      <x:c r="F2299" s="34" t="n">
        <x:v>113</x:v>
      </x:c>
      <x:c r="G2299" s="34" t="str">
        <x:v>RECORDED</x:v>
      </x:c>
      <x:c r="H2299" s="38" t="n">
        <x:f>IF(ISNUMBER('Data'!H591),'Data'!H591*100,"")</x:f>
        <x:v>20.35</x:v>
      </x:c>
      <x:c r="I2299" s="34" t="str">
        <x:v>PASS</x:v>
      </x:c>
      <x:c r="J2299" s="34" t="str">
        <x:v>PASS</x:v>
      </x:c>
      <x:c r="K2299" s="34" t="str">
        <x:v>PASS</x:v>
      </x:c>
      <x:c r="L2299" s="34" t="str">
        <x:v>PASS</x:v>
      </x:c>
      <x:c r="M2299" s="34" t="str">
        <x:v>numeric coverage for applicable metric</x:v>
      </x:c>
      <x:c r="N2299" s="34" t="str">
        <x:v>Feedback-Directed Random Test Generation/Result/Jsoup_82/result.json</x:v>
      </x:c>
      <x:c r="O2299" s="38" t="n">
        <x:f>IF(AND(G2299="RECORDED",ISNUMBER(H2299)),H2299,"")</x:f>
        <x:v>20.35</x:v>
      </x:c>
      <x:c r="P2299" s="34" t="str">
        <x:v>NOT_REVEALING</x:v>
      </x:c>
      <x:c r="Q2299" s="34" t="str">
        <x:v>Feedback-Directed Random Test Generation/Result/Jsoup_82/result.json</x:v>
      </x:c>
    </x:row>
    <x:row r="2300">
      <x:c r="A2300" s="34" t="str">
        <x:v>randoop</x:v>
      </x:c>
      <x:c r="B2300" s="34" t="str">
        <x:v>Jsoup</x:v>
      </x:c>
      <x:c r="C2300" s="34" t="str">
        <x:v>Round1</x:v>
      </x:c>
      <x:c r="D2300" s="34" t="str">
        <x:v>Jsoup_83</x:v>
      </x:c>
      <x:c r="E2300" s="34" t="str">
        <x:v>Line</x:v>
      </x:c>
      <x:c r="F2300" s="34" t="n">
        <x:v>1393</x:v>
      </x:c>
      <x:c r="G2300" s="34" t="str">
        <x:v>RECORDED</x:v>
      </x:c>
      <x:c r="H2300" s="38" t="n">
        <x:f>IF(ISNUMBER('Data'!H592),'Data'!H592*100,"")</x:f>
        <x:v>38.55</x:v>
      </x:c>
      <x:c r="I2300" s="34" t="str">
        <x:v>PASS</x:v>
      </x:c>
      <x:c r="J2300" s="34" t="str">
        <x:v>PASS</x:v>
      </x:c>
      <x:c r="K2300" s="34" t="str">
        <x:v>PASS</x:v>
      </x:c>
      <x:c r="L2300" s="34" t="str">
        <x:v>PASS</x:v>
      </x:c>
      <x:c r="M2300" s="34" t="str">
        <x:v>numeric coverage for applicable metric</x:v>
      </x:c>
      <x:c r="N2300" s="34" t="str">
        <x:v>Feedback-Directed Random Test Generation/Result/Jsoup_83/result.json</x:v>
      </x:c>
      <x:c r="O2300" s="38" t="n">
        <x:f>IF(AND(G2300="RECORDED",ISNUMBER(H2300)),H2300,"")</x:f>
        <x:v>38.55</x:v>
      </x:c>
      <x:c r="P2300" s="34" t="str">
        <x:v>NOT_REVEALING</x:v>
      </x:c>
      <x:c r="Q2300" s="34" t="str">
        <x:v>Feedback-Directed Random Test Generation/Result/Jsoup_83/result.json</x:v>
      </x:c>
    </x:row>
    <x:row r="2301">
      <x:c r="A2301" s="34" t="str">
        <x:v>randoop</x:v>
      </x:c>
      <x:c r="B2301" s="34" t="str">
        <x:v>Jsoup</x:v>
      </x:c>
      <x:c r="C2301" s="34" t="str">
        <x:v>Round1</x:v>
      </x:c>
      <x:c r="D2301" s="34" t="str">
        <x:v>Jsoup_84</x:v>
      </x:c>
      <x:c r="E2301" s="34" t="str">
        <x:v>Line</x:v>
      </x:c>
      <x:c r="F2301" s="34" t="n">
        <x:v>76</x:v>
      </x:c>
      <x:c r="G2301" s="34" t="str">
        <x:v>RECORDED</x:v>
      </x:c>
      <x:c r="H2301" s="38" t="n">
        <x:f>IF(ISNUMBER('Data'!H593),'Data'!H593*100,"")</x:f>
        <x:v>28.95</x:v>
      </x:c>
      <x:c r="I2301" s="34" t="str">
        <x:v>PASS</x:v>
      </x:c>
      <x:c r="J2301" s="34" t="str">
        <x:v>PASS</x:v>
      </x:c>
      <x:c r="K2301" s="34" t="str">
        <x:v>PASS</x:v>
      </x:c>
      <x:c r="L2301" s="34" t="str">
        <x:v>PASS</x:v>
      </x:c>
      <x:c r="M2301" s="34" t="str">
        <x:v>numeric coverage for applicable metric</x:v>
      </x:c>
      <x:c r="N2301" s="34" t="str">
        <x:v>Feedback-Directed Random Test Generation/Result/Jsoup_84/result.json</x:v>
      </x:c>
      <x:c r="O2301" s="38" t="n">
        <x:f>IF(AND(G2301="RECORDED",ISNUMBER(H2301)),H2301,"")</x:f>
        <x:v>28.95</x:v>
      </x:c>
      <x:c r="P2301" s="34" t="str">
        <x:v>NOT_REVEALING</x:v>
      </x:c>
      <x:c r="Q2301" s="34" t="str">
        <x:v>Feedback-Directed Random Test Generation/Result/Jsoup_84/result.json</x:v>
      </x:c>
    </x:row>
    <x:row r="2302">
      <x:c r="A2302" s="34" t="str">
        <x:v>randoop</x:v>
      </x:c>
      <x:c r="B2302" s="34" t="str">
        <x:v>Jsoup</x:v>
      </x:c>
      <x:c r="C2302" s="34" t="str">
        <x:v>Round1</x:v>
      </x:c>
      <x:c r="D2302" s="34" t="str">
        <x:v>Jsoup_85</x:v>
      </x:c>
      <x:c r="E2302" s="34" t="str">
        <x:v>Line</x:v>
      </x:c>
      <x:c r="F2302" s="34" t="n">
        <x:v>65</x:v>
      </x:c>
      <x:c r="G2302" s="34" t="str">
        <x:v>RECORDED</x:v>
      </x:c>
      <x:c r="H2302" s="38" t="n">
        <x:f>IF(ISNUMBER('Data'!H594),'Data'!H594*100,"")</x:f>
        <x:v>73.85</x:v>
      </x:c>
      <x:c r="I2302" s="34" t="str">
        <x:v>PASS</x:v>
      </x:c>
      <x:c r="J2302" s="34" t="str">
        <x:v>PASS</x:v>
      </x:c>
      <x:c r="K2302" s="34" t="str">
        <x:v>PASS</x:v>
      </x:c>
      <x:c r="L2302" s="34" t="str">
        <x:v>FAIL</x:v>
      </x:c>
      <x:c r="M2302" s="34" t="str">
        <x:v>numeric coverage for applicable metric</x:v>
      </x:c>
      <x:c r="N2302" s="34" t="str">
        <x:v>Feedback-Directed Random Test Generation/Result/Jsoup_85/result.json</x:v>
      </x:c>
      <x:c r="O2302" s="38" t="n">
        <x:f>IF(AND(G2302="RECORDED",ISNUMBER(H2302)),H2302,"")</x:f>
        <x:v>73.85</x:v>
      </x:c>
      <x:c r="P2302" s="34" t="str">
        <x:v>INCONCLUSIVE</x:v>
      </x:c>
      <x:c r="Q2302" s="34" t="str">
        <x:v>Feedback-Directed Random Test Generation/Result/Jsoup_85/result.json</x:v>
      </x:c>
    </x:row>
    <x:row r="2303">
      <x:c r="A2303" s="34" t="str">
        <x:v>randoop</x:v>
      </x:c>
      <x:c r="B2303" s="34" t="str">
        <x:v>Jsoup</x:v>
      </x:c>
      <x:c r="C2303" s="34" t="str">
        <x:v>Round1</x:v>
      </x:c>
      <x:c r="D2303" s="34" t="str">
        <x:v>Jsoup_86</x:v>
      </x:c>
      <x:c r="E2303" s="34" t="str">
        <x:v>Line</x:v>
      </x:c>
      <x:c r="F2303" s="34" t="n">
        <x:v>27</x:v>
      </x:c>
      <x:c r="G2303" s="34" t="str">
        <x:v>RECORDED</x:v>
      </x:c>
      <x:c r="H2303" s="38" t="n">
        <x:f>IF(ISNUMBER('Data'!H595),'Data'!H595*100,"")</x:f>
        <x:v>100</x:v>
      </x:c>
      <x:c r="I2303" s="34" t="str">
        <x:v>PASS</x:v>
      </x:c>
      <x:c r="J2303" s="34" t="str">
        <x:v>PASS</x:v>
      </x:c>
      <x:c r="K2303" s="34" t="str">
        <x:v>PASS</x:v>
      </x:c>
      <x:c r="L2303" s="34" t="str">
        <x:v>FAIL</x:v>
      </x:c>
      <x:c r="M2303" s="34" t="str">
        <x:v>numeric coverage for applicable metric</x:v>
      </x:c>
      <x:c r="N2303" s="34" t="str">
        <x:v>Feedback-Directed Random Test Generation/Result/Jsoup_86/result.json</x:v>
      </x:c>
      <x:c r="O2303" s="38" t="n">
        <x:f>IF(AND(G2303="RECORDED",ISNUMBER(H2303)),H2303,"")</x:f>
        <x:v>100</x:v>
      </x:c>
      <x:c r="P2303" s="34" t="str">
        <x:v>INCONCLUSIVE</x:v>
      </x:c>
      <x:c r="Q2303" s="34" t="str">
        <x:v>Feedback-Directed Random Test Generation/Result/Jsoup_86/result.json</x:v>
      </x:c>
    </x:row>
    <x:row r="2304">
      <x:c r="A2304" s="34" t="str">
        <x:v>randoop</x:v>
      </x:c>
      <x:c r="B2304" s="34" t="str">
        <x:v>Jsoup</x:v>
      </x:c>
      <x:c r="C2304" s="34" t="str">
        <x:v>Round1</x:v>
      </x:c>
      <x:c r="D2304" s="34" t="str">
        <x:v>Jsoup_87</x:v>
      </x:c>
      <x:c r="E2304" s="34" t="str">
        <x:v>Line</x:v>
      </x:c>
      <x:c r="F2304" s="34" t="n">
        <x:v>2006</x:v>
      </x:c>
      <x:c r="G2304" s="34" t="str">
        <x:v>RECORDED</x:v>
      </x:c>
      <x:c r="H2304" s="38" t="n">
        <x:f>IF(ISNUMBER('Data'!H596),'Data'!H596*100,"")</x:f>
        <x:v>44.37</x:v>
      </x:c>
      <x:c r="I2304" s="34" t="str">
        <x:v>PASS</x:v>
      </x:c>
      <x:c r="J2304" s="34" t="str">
        <x:v>PASS</x:v>
      </x:c>
      <x:c r="K2304" s="34" t="str">
        <x:v>PASS</x:v>
      </x:c>
      <x:c r="L2304" s="34" t="str">
        <x:v>FAIL</x:v>
      </x:c>
      <x:c r="M2304" s="34" t="str">
        <x:v>numeric coverage for applicable metric</x:v>
      </x:c>
      <x:c r="N2304" s="34" t="str">
        <x:v>Feedback-Directed Random Test Generation/Result/Jsoup_87/result.json</x:v>
      </x:c>
      <x:c r="O2304" s="38" t="n">
        <x:f>IF(AND(G2304="RECORDED",ISNUMBER(H2304)),H2304,"")</x:f>
        <x:v>44.37</x:v>
      </x:c>
      <x:c r="P2304" s="34" t="str">
        <x:v>INCONCLUSIVE</x:v>
      </x:c>
      <x:c r="Q2304" s="34" t="str">
        <x:v>Feedback-Directed Random Test Generation/Result/Jsoup_87/result.json</x:v>
      </x:c>
    </x:row>
    <x:row r="2305">
      <x:c r="A2305" s="34" t="str">
        <x:v>randoop</x:v>
      </x:c>
      <x:c r="B2305" s="34" t="str">
        <x:v>Jsoup</x:v>
      </x:c>
      <x:c r="C2305" s="34" t="str">
        <x:v>Round1</x:v>
      </x:c>
      <x:c r="D2305" s="34" t="str">
        <x:v>Jsoup_88</x:v>
      </x:c>
      <x:c r="E2305" s="34" t="str">
        <x:v>Line</x:v>
      </x:c>
      <x:c r="F2305" s="34" t="n">
        <x:v>66</x:v>
      </x:c>
      <x:c r="G2305" s="34" t="str">
        <x:v>RECORDED</x:v>
      </x:c>
      <x:c r="H2305" s="38" t="n">
        <x:f>IF(ISNUMBER('Data'!H597),'Data'!H597*100,"")</x:f>
        <x:v>74.24</x:v>
      </x:c>
      <x:c r="I2305" s="34" t="str">
        <x:v>PASS</x:v>
      </x:c>
      <x:c r="J2305" s="34" t="str">
        <x:v>PASS</x:v>
      </x:c>
      <x:c r="K2305" s="34" t="str">
        <x:v>PASS</x:v>
      </x:c>
      <x:c r="L2305" s="34" t="str">
        <x:v>FAIL</x:v>
      </x:c>
      <x:c r="M2305" s="34" t="str">
        <x:v>numeric coverage for applicable metric</x:v>
      </x:c>
      <x:c r="N2305" s="34" t="str">
        <x:v>Feedback-Directed Random Test Generation/Result/Jsoup_88/result.json</x:v>
      </x:c>
      <x:c r="O2305" s="38" t="n">
        <x:f>IF(AND(G2305="RECORDED",ISNUMBER(H2305)),H2305,"")</x:f>
        <x:v>74.24</x:v>
      </x:c>
      <x:c r="P2305" s="34" t="str">
        <x:v>INCONCLUSIVE</x:v>
      </x:c>
      <x:c r="Q2305" s="34" t="str">
        <x:v>Feedback-Directed Random Test Generation/Result/Jsoup_88/result.json</x:v>
      </x:c>
    </x:row>
    <x:row r="2306">
      <x:c r="A2306" s="34" t="str">
        <x:v>randoop</x:v>
      </x:c>
      <x:c r="B2306" s="34" t="str">
        <x:v>Jsoup</x:v>
      </x:c>
      <x:c r="C2306" s="34" t="str">
        <x:v>Round1</x:v>
      </x:c>
      <x:c r="D2306" s="34" t="str">
        <x:v>Jsoup_89</x:v>
      </x:c>
      <x:c r="E2306" s="34" t="str">
        <x:v>Line</x:v>
      </x:c>
      <x:c r="F2306" s="34" t="n">
        <x:v>66</x:v>
      </x:c>
      <x:c r="G2306" s="34" t="str">
        <x:v>RECORDED</x:v>
      </x:c>
      <x:c r="H2306" s="38" t="n">
        <x:f>IF(ISNUMBER('Data'!H598),'Data'!H598*100,"")</x:f>
        <x:v>74.24</x:v>
      </x:c>
      <x:c r="I2306" s="34" t="str">
        <x:v>PASS</x:v>
      </x:c>
      <x:c r="J2306" s="34" t="str">
        <x:v>PASS</x:v>
      </x:c>
      <x:c r="K2306" s="34" t="str">
        <x:v>PASS</x:v>
      </x:c>
      <x:c r="L2306" s="34" t="str">
        <x:v>FAIL</x:v>
      </x:c>
      <x:c r="M2306" s="34" t="str">
        <x:v>numeric coverage for applicable metric</x:v>
      </x:c>
      <x:c r="N2306" s="34" t="str">
        <x:v>Feedback-Directed Random Test Generation/Result/Jsoup_89/result.json</x:v>
      </x:c>
      <x:c r="O2306" s="38" t="n">
        <x:f>IF(AND(G2306="RECORDED",ISNUMBER(H2306)),H2306,"")</x:f>
        <x:v>74.24</x:v>
      </x:c>
      <x:c r="P2306" s="34" t="str">
        <x:v>INCONCLUSIVE</x:v>
      </x:c>
      <x:c r="Q2306" s="34" t="str">
        <x:v>Feedback-Directed Random Test Generation/Result/Jsoup_89/result.json</x:v>
      </x:c>
    </x:row>
    <x:row r="2307">
      <x:c r="A2307" s="34" t="str">
        <x:v>randoop</x:v>
      </x:c>
      <x:c r="B2307" s="34" t="str">
        <x:v>Jsoup</x:v>
      </x:c>
      <x:c r="C2307" s="34" t="str">
        <x:v>Round1</x:v>
      </x:c>
      <x:c r="D2307" s="34" t="str">
        <x:v>Jsoup_90</x:v>
      </x:c>
      <x:c r="E2307" s="34" t="str">
        <x:v>Line</x:v>
      </x:c>
      <x:c r="F2307" s="34" t="n">
        <x:v>596</x:v>
      </x:c>
      <x:c r="G2307" s="34" t="str">
        <x:v>RECORDED</x:v>
      </x:c>
      <x:c r="H2307" s="38" t="n">
        <x:f>IF(ISNUMBER('Data'!H599),'Data'!H599*100,"")</x:f>
        <x:v>50.34</x:v>
      </x:c>
      <x:c r="I2307" s="34" t="str">
        <x:v>PASS</x:v>
      </x:c>
      <x:c r="J2307" s="34" t="str">
        <x:v>PASS</x:v>
      </x:c>
      <x:c r="K2307" s="34" t="str">
        <x:v>PASS</x:v>
      </x:c>
      <x:c r="L2307" s="34" t="str">
        <x:v>PASS</x:v>
      </x:c>
      <x:c r="M2307" s="34" t="str">
        <x:v>numeric coverage for applicable metric</x:v>
      </x:c>
      <x:c r="N2307" s="34" t="str">
        <x:v>Feedback-Directed Random Test Generation/Result/Jsoup_90/result.json</x:v>
      </x:c>
      <x:c r="O2307" s="38" t="n">
        <x:f>IF(AND(G2307="RECORDED",ISNUMBER(H2307)),H2307,"")</x:f>
        <x:v>50.34</x:v>
      </x:c>
      <x:c r="P2307" s="34" t="str">
        <x:v>NOT_REVEALING</x:v>
      </x:c>
      <x:c r="Q2307" s="34" t="str">
        <x:v>Feedback-Directed Random Test Generation/Result/Jsoup_90/result.json</x:v>
      </x:c>
    </x:row>
    <x:row r="2308">
      <x:c r="A2308" s="34" t="str">
        <x:v>randoop</x:v>
      </x:c>
      <x:c r="B2308" s="34" t="str">
        <x:v>Jsoup</x:v>
      </x:c>
      <x:c r="C2308" s="34" t="str">
        <x:v>Round1</x:v>
      </x:c>
      <x:c r="D2308" s="34" t="str">
        <x:v>Jsoup_91</x:v>
      </x:c>
      <x:c r="E2308" s="34" t="str">
        <x:v>Line</x:v>
      </x:c>
      <x:c r="F2308" s="34" t="n">
        <x:v>249</x:v>
      </x:c>
      <x:c r="G2308" s="34" t="str">
        <x:v>RECORDED</x:v>
      </x:c>
      <x:c r="H2308" s="38" t="n">
        <x:f>IF(ISNUMBER('Data'!H600),'Data'!H600*100,"")</x:f>
        <x:v>32.13</x:v>
      </x:c>
      <x:c r="I2308" s="34" t="str">
        <x:v>PASS</x:v>
      </x:c>
      <x:c r="J2308" s="34" t="str">
        <x:v>PASS</x:v>
      </x:c>
      <x:c r="K2308" s="34" t="str">
        <x:v>PASS</x:v>
      </x:c>
      <x:c r="L2308" s="34" t="str">
        <x:v>PASS</x:v>
      </x:c>
      <x:c r="M2308" s="34" t="str">
        <x:v>numeric coverage for applicable metric</x:v>
      </x:c>
      <x:c r="N2308" s="34" t="str">
        <x:v>Feedback-Directed Random Test Generation/Result/Jsoup_91/result.json</x:v>
      </x:c>
      <x:c r="O2308" s="38" t="n">
        <x:f>IF(AND(G2308="RECORDED",ISNUMBER(H2308)),H2308,"")</x:f>
        <x:v>32.13</x:v>
      </x:c>
      <x:c r="P2308" s="34" t="str">
        <x:v>NOT_REVEALING</x:v>
      </x:c>
      <x:c r="Q2308" s="34" t="str">
        <x:v>Feedback-Directed Random Test Generation/Result/Jsoup_91/result.json</x:v>
      </x:c>
    </x:row>
    <x:row r="2309">
      <x:c r="A2309" s="34" t="str">
        <x:v>randoop</x:v>
      </x:c>
      <x:c r="B2309" s="34" t="str">
        <x:v>Jsoup</x:v>
      </x:c>
      <x:c r="C2309" s="34" t="str">
        <x:v>Round1</x:v>
      </x:c>
      <x:c r="D2309" s="34" t="str">
        <x:v>Jsoup_92</x:v>
      </x:c>
      <x:c r="E2309" s="34" t="str">
        <x:v>Line</x:v>
      </x:c>
      <x:c r="F2309" s="34" t="n">
        <x:v>799</x:v>
      </x:c>
      <x:c r="G2309" s="34" t="str">
        <x:v>RECORDED</x:v>
      </x:c>
      <x:c r="H2309" s="38" t="n">
        <x:f>IF(ISNUMBER('Data'!H601),'Data'!H601*100,"")</x:f>
        <x:v>59.45</x:v>
      </x:c>
      <x:c r="I2309" s="34" t="str">
        <x:v>PASS</x:v>
      </x:c>
      <x:c r="J2309" s="34" t="str">
        <x:v>PASS</x:v>
      </x:c>
      <x:c r="K2309" s="34" t="str">
        <x:v>PASS</x:v>
      </x:c>
      <x:c r="L2309" s="34" t="str">
        <x:v>FAIL</x:v>
      </x:c>
      <x:c r="M2309" s="34" t="str">
        <x:v>numeric coverage for applicable metric</x:v>
      </x:c>
      <x:c r="N2309" s="34" t="str">
        <x:v>Feedback-Directed Random Test Generation/Result/Jsoup_92/result.json</x:v>
      </x:c>
      <x:c r="O2309" s="38" t="n">
        <x:f>IF(AND(G2309="RECORDED",ISNUMBER(H2309)),H2309,"")</x:f>
        <x:v>59.45</x:v>
      </x:c>
      <x:c r="P2309" s="34" t="str">
        <x:v>INCONCLUSIVE</x:v>
      </x:c>
      <x:c r="Q2309" s="34" t="str">
        <x:v>Feedback-Directed Random Test Generation/Result/Jsoup_92/result.json</x:v>
      </x:c>
    </x:row>
    <x:row r="2310">
      <x:c r="A2310" s="34" t="str">
        <x:v>randoop</x:v>
      </x:c>
      <x:c r="B2310" s="34" t="str">
        <x:v>Jsoup</x:v>
      </x:c>
      <x:c r="C2310" s="34" t="str">
        <x:v>Round1</x:v>
      </x:c>
      <x:c r="D2310" s="34" t="str">
        <x:v>Jsoup_93</x:v>
      </x:c>
      <x:c r="E2310" s="34" t="str">
        <x:v>Line</x:v>
      </x:c>
      <x:c r="F2310" s="34" t="n">
        <x:v>42</x:v>
      </x:c>
      <x:c r="G2310" s="34" t="str">
        <x:v>RECORDED</x:v>
      </x:c>
      <x:c r="H2310" s="38" t="n">
        <x:f>IF(ISNUMBER('Data'!H602),'Data'!H602*100,"")</x:f>
        <x:v>2.38</x:v>
      </x:c>
      <x:c r="I2310" s="34" t="str">
        <x:v>PASS</x:v>
      </x:c>
      <x:c r="J2310" s="34" t="str">
        <x:v>PASS</x:v>
      </x:c>
      <x:c r="K2310" s="34" t="str">
        <x:v>PASS</x:v>
      </x:c>
      <x:c r="L2310" s="34" t="str">
        <x:v>PASS</x:v>
      </x:c>
      <x:c r="M2310" s="34" t="str">
        <x:v>numeric coverage for applicable metric</x:v>
      </x:c>
      <x:c r="N2310" s="34" t="str">
        <x:v>Feedback-Directed Random Test Generation/Result/Jsoup_93/result.json</x:v>
      </x:c>
      <x:c r="O2310" s="38" t="n">
        <x:f>IF(AND(G2310="RECORDED",ISNUMBER(H2310)),H2310,"")</x:f>
        <x:v>2.38</x:v>
      </x:c>
      <x:c r="P2310" s="34" t="str">
        <x:v>NOT_REVEALING</x:v>
      </x:c>
      <x:c r="Q2310" s="34" t="str">
        <x:v>Feedback-Directed Random Test Generation/Result/Jsoup_93/result.json</x:v>
      </x:c>
    </x:row>
    <x:row r="2311">
      <x:c r="A2311" s="34" t="str">
        <x:v>randoop</x:v>
      </x:c>
      <x:c r="B2311" s="34" t="str">
        <x:v>JxPath</x:v>
      </x:c>
      <x:c r="C2311" s="34" t="str">
        <x:v>Round1</x:v>
      </x:c>
      <x:c r="D2311" s="34" t="str">
        <x:v>JxPath_1</x:v>
      </x:c>
      <x:c r="E2311" s="34" t="str">
        <x:v>Line</x:v>
      </x:c>
      <x:c r="F2311" s="34" t="n">
        <x:v>773</x:v>
      </x:c>
      <x:c r="G2311" s="34" t="str">
        <x:v>RECORDED</x:v>
      </x:c>
      <x:c r="H2311" s="38" t="n">
        <x:f>IF(ISNUMBER('Data'!H603),'Data'!H603*100,"")</x:f>
        <x:v>9.57</x:v>
      </x:c>
      <x:c r="I2311" s="34" t="str">
        <x:v>PASS</x:v>
      </x:c>
      <x:c r="J2311" s="34" t="str">
        <x:v>PASS</x:v>
      </x:c>
      <x:c r="K2311" s="34" t="str">
        <x:v>PASS</x:v>
      </x:c>
      <x:c r="L2311" s="34" t="str">
        <x:v>PASS</x:v>
      </x:c>
      <x:c r="M2311" s="34" t="str">
        <x:v>numeric coverage for applicable metric</x:v>
      </x:c>
      <x:c r="N2311" s="34" t="str">
        <x:v>Feedback-Directed Random Test Generation/Result/JxPath_1/result.json</x:v>
      </x:c>
      <x:c r="O2311" s="38" t="n">
        <x:f>IF(AND(G2311="RECORDED",ISNUMBER(H2311)),H2311,"")</x:f>
        <x:v>9.57</x:v>
      </x:c>
      <x:c r="P2311" s="34" t="str">
        <x:v>NOT_REVEALING</x:v>
      </x:c>
      <x:c r="Q2311" s="34" t="str">
        <x:v>Feedback-Directed Random Test Generation/Result/JxPath_1/result.json</x:v>
      </x:c>
    </x:row>
    <x:row r="2312">
      <x:c r="A2312" s="34" t="str">
        <x:v>randoop</x:v>
      </x:c>
      <x:c r="B2312" s="34" t="str">
        <x:v>JxPath</x:v>
      </x:c>
      <x:c r="C2312" s="34" t="str">
        <x:v>Round1</x:v>
      </x:c>
      <x:c r="D2312" s="34" t="str">
        <x:v>JxPath_2</x:v>
      </x:c>
      <x:c r="E2312" s="34" t="str">
        <x:v>Line</x:v>
      </x:c>
      <x:c r="F2312" s="34" t="n">
        <x:v>38</x:v>
      </x:c>
      <x:c r="G2312" s="34" t="str">
        <x:v>RECORDED</x:v>
      </x:c>
      <x:c r="H2312" s="38" t="n">
        <x:f>IF(ISNUMBER('Data'!H604),'Data'!H604*100,"")</x:f>
        <x:v>44.74</x:v>
      </x:c>
      <x:c r="I2312" s="34" t="str">
        <x:v>PASS</x:v>
      </x:c>
      <x:c r="J2312" s="34" t="str">
        <x:v>PASS</x:v>
      </x:c>
      <x:c r="K2312" s="34" t="str">
        <x:v>PASS</x:v>
      </x:c>
      <x:c r="L2312" s="34" t="str">
        <x:v>PASS</x:v>
      </x:c>
      <x:c r="M2312" s="34" t="str">
        <x:v>numeric coverage for applicable metric</x:v>
      </x:c>
      <x:c r="N2312" s="34" t="str">
        <x:v>Feedback-Directed Random Test Generation/Result/JxPath_2/result.json</x:v>
      </x:c>
      <x:c r="O2312" s="38" t="n">
        <x:f>IF(AND(G2312="RECORDED",ISNUMBER(H2312)),H2312,"")</x:f>
        <x:v>44.74</x:v>
      </x:c>
      <x:c r="P2312" s="34" t="str">
        <x:v>NOT_REVEALING</x:v>
      </x:c>
      <x:c r="Q2312" s="34" t="str">
        <x:v>Feedback-Directed Random Test Generation/Result/JxPath_2/result.json</x:v>
      </x:c>
    </x:row>
    <x:row r="2313">
      <x:c r="A2313" s="34" t="str">
        <x:v>randoop</x:v>
      </x:c>
      <x:c r="B2313" s="34" t="str">
        <x:v>JxPath</x:v>
      </x:c>
      <x:c r="C2313" s="34" t="str">
        <x:v>Round1</x:v>
      </x:c>
      <x:c r="D2313" s="34" t="str">
        <x:v>JxPath_3</x:v>
      </x:c>
      <x:c r="E2313" s="34" t="str">
        <x:v>Line</x:v>
      </x:c>
      <x:c r="F2313" s="34" t="n">
        <x:v>77</x:v>
      </x:c>
      <x:c r="G2313" s="34" t="str">
        <x:v>RECORDED</x:v>
      </x:c>
      <x:c r="H2313" s="38" t="n">
        <x:f>IF(ISNUMBER('Data'!H605),'Data'!H605*100,"")</x:f>
        <x:v>29.87</x:v>
      </x:c>
      <x:c r="I2313" s="34" t="str">
        <x:v>PASS</x:v>
      </x:c>
      <x:c r="J2313" s="34" t="str">
        <x:v>PASS</x:v>
      </x:c>
      <x:c r="K2313" s="34" t="str">
        <x:v>PASS</x:v>
      </x:c>
      <x:c r="L2313" s="34" t="str">
        <x:v>PASS</x:v>
      </x:c>
      <x:c r="M2313" s="34" t="str">
        <x:v>numeric coverage for applicable metric</x:v>
      </x:c>
      <x:c r="N2313" s="34" t="str">
        <x:v>Feedback-Directed Random Test Generation/Result/JxPath_3/result.json</x:v>
      </x:c>
      <x:c r="O2313" s="38" t="n">
        <x:f>IF(AND(G2313="RECORDED",ISNUMBER(H2313)),H2313,"")</x:f>
        <x:v>29.87</x:v>
      </x:c>
      <x:c r="P2313" s="34" t="str">
        <x:v>NOT_REVEALING</x:v>
      </x:c>
      <x:c r="Q2313" s="34" t="str">
        <x:v>Feedback-Directed Random Test Generation/Result/JxPath_3/result.json</x:v>
      </x:c>
    </x:row>
    <x:row r="2314">
      <x:c r="A2314" s="34" t="str">
        <x:v>randoop</x:v>
      </x:c>
      <x:c r="B2314" s="34" t="str">
        <x:v>JxPath</x:v>
      </x:c>
      <x:c r="C2314" s="34" t="str">
        <x:v>Round1</x:v>
      </x:c>
      <x:c r="D2314" s="34" t="str">
        <x:v>JxPath_4</x:v>
      </x:c>
      <x:c r="E2314" s="34" t="str">
        <x:v>Line</x:v>
      </x:c>
      <x:c r="F2314" s="34" t="n">
        <x:v>750</x:v>
      </x:c>
      <x:c r="G2314" s="34" t="str">
        <x:v>RECORDED</x:v>
      </x:c>
      <x:c r="H2314" s="38" t="n">
        <x:f>IF(ISNUMBER('Data'!H606),'Data'!H606*100,"")</x:f>
        <x:v>9.73</x:v>
      </x:c>
      <x:c r="I2314" s="34" t="str">
        <x:v>PASS</x:v>
      </x:c>
      <x:c r="J2314" s="34" t="str">
        <x:v>PASS</x:v>
      </x:c>
      <x:c r="K2314" s="34" t="str">
        <x:v>PASS</x:v>
      </x:c>
      <x:c r="L2314" s="34" t="str">
        <x:v>PASS</x:v>
      </x:c>
      <x:c r="M2314" s="34" t="str">
        <x:v>numeric coverage for applicable metric</x:v>
      </x:c>
      <x:c r="N2314" s="34" t="str">
        <x:v>Feedback-Directed Random Test Generation/Result/JxPath_4/result.json</x:v>
      </x:c>
      <x:c r="O2314" s="38" t="n">
        <x:f>IF(AND(G2314="RECORDED",ISNUMBER(H2314)),H2314,"")</x:f>
        <x:v>9.73</x:v>
      </x:c>
      <x:c r="P2314" s="34" t="str">
        <x:v>NOT_REVEALING</x:v>
      </x:c>
      <x:c r="Q2314" s="34" t="str">
        <x:v>Feedback-Directed Random Test Generation/Result/JxPath_4/result.json</x:v>
      </x:c>
    </x:row>
    <x:row r="2315">
      <x:c r="A2315" s="34" t="str">
        <x:v>randoop</x:v>
      </x:c>
      <x:c r="B2315" s="34" t="str">
        <x:v>JxPath</x:v>
      </x:c>
      <x:c r="C2315" s="34" t="str">
        <x:v>Round1</x:v>
      </x:c>
      <x:c r="D2315" s="34" t="str">
        <x:v>JxPath_5</x:v>
      </x:c>
      <x:c r="E2315" s="34" t="str">
        <x:v>Line</x:v>
      </x:c>
      <x:c r="F2315" s="34" t="n">
        <x:v>179</x:v>
      </x:c>
      <x:c r="G2315" s="34" t="str">
        <x:v>RECORDED</x:v>
      </x:c>
      <x:c r="H2315" s="38" t="n">
        <x:f>IF(ISNUMBER('Data'!H607),'Data'!H607*100,"")</x:f>
        <x:v>41.9</x:v>
      </x:c>
      <x:c r="I2315" s="34" t="str">
        <x:v>PASS</x:v>
      </x:c>
      <x:c r="J2315" s="34" t="str">
        <x:v>PASS</x:v>
      </x:c>
      <x:c r="K2315" s="34" t="str">
        <x:v>PASS</x:v>
      </x:c>
      <x:c r="L2315" s="34" t="str">
        <x:v>PASS</x:v>
      </x:c>
      <x:c r="M2315" s="34" t="str">
        <x:v>numeric coverage for applicable metric</x:v>
      </x:c>
      <x:c r="N2315" s="34" t="str">
        <x:v>Feedback-Directed Random Test Generation/Result/JxPath_5/result.json</x:v>
      </x:c>
      <x:c r="O2315" s="38" t="n">
        <x:f>IF(AND(G2315="RECORDED",ISNUMBER(H2315)),H2315,"")</x:f>
        <x:v>41.9</x:v>
      </x:c>
      <x:c r="P2315" s="34" t="str">
        <x:v>NOT_REVEALING</x:v>
      </x:c>
      <x:c r="Q2315" s="34" t="str">
        <x:v>Feedback-Directed Random Test Generation/Result/JxPath_5/result.json</x:v>
      </x:c>
    </x:row>
    <x:row r="2316">
      <x:c r="A2316" s="34" t="str">
        <x:v>randoop</x:v>
      </x:c>
      <x:c r="B2316" s="34" t="str">
        <x:v>JxPath</x:v>
      </x:c>
      <x:c r="C2316" s="34" t="str">
        <x:v>Round1</x:v>
      </x:c>
      <x:c r="D2316" s="34" t="str">
        <x:v>JxPath_6</x:v>
      </x:c>
      <x:c r="E2316" s="34" t="str">
        <x:v>Line</x:v>
      </x:c>
      <x:c r="F2316" s="34" t="n">
        <x:v>49</x:v>
      </x:c>
      <x:c r="G2316" s="34" t="str">
        <x:v>RECORDED</x:v>
      </x:c>
      <x:c r="H2316" s="38" t="n">
        <x:f>IF(ISNUMBER('Data'!H608),'Data'!H608*100,"")</x:f>
        <x:v>0</x:v>
      </x:c>
      <x:c r="I2316" s="34" t="str">
        <x:v>PASS</x:v>
      </x:c>
      <x:c r="J2316" s="34" t="str">
        <x:v>PASS</x:v>
      </x:c>
      <x:c r="K2316" s="34" t="str">
        <x:v>PASS</x:v>
      </x:c>
      <x:c r="L2316" s="34" t="str">
        <x:v>PASS</x:v>
      </x:c>
      <x:c r="M2316" s="34" t="str">
        <x:v>numeric coverage for applicable metric</x:v>
      </x:c>
      <x:c r="N2316" s="34" t="str">
        <x:v>Feedback-Directed Random Test Generation/Result/JxPath_6/result.json</x:v>
      </x:c>
      <x:c r="O2316" s="38" t="n">
        <x:f>IF(AND(G2316="RECORDED",ISNUMBER(H2316)),H2316,"")</x:f>
        <x:v>0</x:v>
      </x:c>
      <x:c r="P2316" s="34" t="str">
        <x:v>NOT_REVEALING</x:v>
      </x:c>
      <x:c r="Q2316" s="34" t="str">
        <x:v>Feedback-Directed Random Test Generation/Result/JxPath_6/result.json</x:v>
      </x:c>
    </x:row>
    <x:row r="2317">
      <x:c r="A2317" s="34" t="str">
        <x:v>randoop</x:v>
      </x:c>
      <x:c r="B2317" s="34" t="str">
        <x:v>JxPath</x:v>
      </x:c>
      <x:c r="C2317" s="34" t="str">
        <x:v>Round1</x:v>
      </x:c>
      <x:c r="D2317" s="34" t="str">
        <x:v>JxPath_7</x:v>
      </x:c>
      <x:c r="E2317" s="34" t="str">
        <x:v>Line</x:v>
      </x:c>
      <x:c r="F2317" s="34" t="n">
        <x:v>28</x:v>
      </x:c>
      <x:c r="G2317" s="34" t="str">
        <x:v>RECORDED</x:v>
      </x:c>
      <x:c r="H2317" s="38" t="n">
        <x:f>IF(ISNUMBER('Data'!H609),'Data'!H609*100,"")</x:f>
        <x:v>67.86</x:v>
      </x:c>
      <x:c r="I2317" s="34" t="str">
        <x:v>PASS</x:v>
      </x:c>
      <x:c r="J2317" s="34" t="str">
        <x:v>PASS</x:v>
      </x:c>
      <x:c r="K2317" s="34" t="str">
        <x:v>PASS</x:v>
      </x:c>
      <x:c r="L2317" s="34" t="str">
        <x:v>PASS</x:v>
      </x:c>
      <x:c r="M2317" s="34" t="str">
        <x:v>numeric coverage for applicable metric</x:v>
      </x:c>
      <x:c r="N2317" s="34" t="str">
        <x:v>Feedback-Directed Random Test Generation/Result/JxPath_7/result.json</x:v>
      </x:c>
      <x:c r="O2317" s="38" t="n">
        <x:f>IF(AND(G2317="RECORDED",ISNUMBER(H2317)),H2317,"")</x:f>
        <x:v>67.86</x:v>
      </x:c>
      <x:c r="P2317" s="34" t="str">
        <x:v>NOT_REVEALING</x:v>
      </x:c>
      <x:c r="Q2317" s="34" t="str">
        <x:v>Feedback-Directed Random Test Generation/Result/JxPath_7/result.json</x:v>
      </x:c>
    </x:row>
    <x:row r="2318">
      <x:c r="A2318" s="34" t="str">
        <x:v>randoop</x:v>
      </x:c>
      <x:c r="B2318" s="34" t="str">
        <x:v>JxPath</x:v>
      </x:c>
      <x:c r="C2318" s="34" t="str">
        <x:v>Round1</x:v>
      </x:c>
      <x:c r="D2318" s="34" t="str">
        <x:v>JxPath_8</x:v>
      </x:c>
      <x:c r="E2318" s="34" t="str">
        <x:v>Line</x:v>
      </x:c>
      <x:c r="F2318" s="34" t="n">
        <x:v>39</x:v>
      </x:c>
      <x:c r="G2318" s="34" t="str">
        <x:v>RECORDED</x:v>
      </x:c>
      <x:c r="H2318" s="38" t="n">
        <x:f>IF(ISNUMBER('Data'!H610),'Data'!H610*100,"")</x:f>
        <x:v>0</x:v>
      </x:c>
      <x:c r="I2318" s="34" t="str">
        <x:v>PASS</x:v>
      </x:c>
      <x:c r="J2318" s="34" t="str">
        <x:v>PASS</x:v>
      </x:c>
      <x:c r="K2318" s="34" t="str">
        <x:v>PASS</x:v>
      </x:c>
      <x:c r="L2318" s="34" t="str">
        <x:v>PASS</x:v>
      </x:c>
      <x:c r="M2318" s="34" t="str">
        <x:v>numeric coverage for applicable metric</x:v>
      </x:c>
      <x:c r="N2318" s="34" t="str">
        <x:v>Feedback-Directed Random Test Generation/Result/JxPath_8/result.json</x:v>
      </x:c>
      <x:c r="O2318" s="38" t="n">
        <x:f>IF(AND(G2318="RECORDED",ISNUMBER(H2318)),H2318,"")</x:f>
        <x:v>0</x:v>
      </x:c>
      <x:c r="P2318" s="34" t="str">
        <x:v>NOT_REVEALING</x:v>
      </x:c>
      <x:c r="Q2318" s="34" t="str">
        <x:v>Feedback-Directed Random Test Generation/Result/JxPath_8/result.json</x:v>
      </x:c>
    </x:row>
    <x:row r="2319">
      <x:c r="A2319" s="34" t="str">
        <x:v>randoop</x:v>
      </x:c>
      <x:c r="B2319" s="34" t="str">
        <x:v>JxPath</x:v>
      </x:c>
      <x:c r="C2319" s="34" t="str">
        <x:v>Round1</x:v>
      </x:c>
      <x:c r="D2319" s="34" t="str">
        <x:v>JxPath_9</x:v>
      </x:c>
      <x:c r="E2319" s="34" t="str">
        <x:v>Line</x:v>
      </x:c>
      <x:c r="F2319" s="34" t="n">
        <x:v>63</x:v>
      </x:c>
      <x:c r="G2319" s="34" t="str">
        <x:v>RECORDED</x:v>
      </x:c>
      <x:c r="H2319" s="38" t="n">
        <x:f>IF(ISNUMBER('Data'!H611),'Data'!H611*100,"")</x:f>
        <x:v>23.81</x:v>
      </x:c>
      <x:c r="I2319" s="34" t="str">
        <x:v>PASS</x:v>
      </x:c>
      <x:c r="J2319" s="34" t="str">
        <x:v>PASS</x:v>
      </x:c>
      <x:c r="K2319" s="34" t="str">
        <x:v>PASS</x:v>
      </x:c>
      <x:c r="L2319" s="34" t="str">
        <x:v>PASS</x:v>
      </x:c>
      <x:c r="M2319" s="34" t="str">
        <x:v>numeric coverage for applicable metric</x:v>
      </x:c>
      <x:c r="N2319" s="34" t="str">
        <x:v>Feedback-Directed Random Test Generation/Result/JxPath_9/result.json</x:v>
      </x:c>
      <x:c r="O2319" s="38" t="n">
        <x:f>IF(AND(G2319="RECORDED",ISNUMBER(H2319)),H2319,"")</x:f>
        <x:v>23.81</x:v>
      </x:c>
      <x:c r="P2319" s="34" t="str">
        <x:v>NOT_REVEALING</x:v>
      </x:c>
      <x:c r="Q2319" s="34" t="str">
        <x:v>Feedback-Directed Random Test Generation/Result/JxPath_9/result.json</x:v>
      </x:c>
    </x:row>
    <x:row r="2320">
      <x:c r="A2320" s="34" t="str">
        <x:v>randoop</x:v>
      </x:c>
      <x:c r="B2320" s="34" t="str">
        <x:v>JxPath</x:v>
      </x:c>
      <x:c r="C2320" s="34" t="str">
        <x:v>Round1</x:v>
      </x:c>
      <x:c r="D2320" s="34" t="str">
        <x:v>JxPath_10</x:v>
      </x:c>
      <x:c r="E2320" s="34" t="str">
        <x:v>Line</x:v>
      </x:c>
      <x:c r="F2320" s="34" t="n">
        <x:v>43</x:v>
      </x:c>
      <x:c r="G2320" s="34" t="str">
        <x:v>RECORDED</x:v>
      </x:c>
      <x:c r="H2320" s="38" t="n">
        <x:f>IF(ISNUMBER('Data'!H612),'Data'!H612*100,"")</x:f>
        <x:v>0</x:v>
      </x:c>
      <x:c r="I2320" s="34" t="str">
        <x:v>PASS</x:v>
      </x:c>
      <x:c r="J2320" s="34" t="str">
        <x:v>PASS</x:v>
      </x:c>
      <x:c r="K2320" s="34" t="str">
        <x:v>PASS</x:v>
      </x:c>
      <x:c r="L2320" s="34" t="str">
        <x:v>PASS</x:v>
      </x:c>
      <x:c r="M2320" s="34" t="str">
        <x:v>numeric coverage for applicable metric</x:v>
      </x:c>
      <x:c r="N2320" s="34" t="str">
        <x:v>Feedback-Directed Random Test Generation/Result/JxPath_10/result.json</x:v>
      </x:c>
      <x:c r="O2320" s="38" t="n">
        <x:f>IF(AND(G2320="RECORDED",ISNUMBER(H2320)),H2320,"")</x:f>
        <x:v>0</x:v>
      </x:c>
      <x:c r="P2320" s="34" t="str">
        <x:v>NOT_REVEALING</x:v>
      </x:c>
      <x:c r="Q2320" s="34" t="str">
        <x:v>Feedback-Directed Random Test Generation/Result/JxPath_10/result.json</x:v>
      </x:c>
    </x:row>
    <x:row r="2321">
      <x:c r="A2321" s="34" t="str">
        <x:v>randoop</x:v>
      </x:c>
      <x:c r="B2321" s="34" t="str">
        <x:v>JxPath</x:v>
      </x:c>
      <x:c r="C2321" s="34" t="str">
        <x:v>Round1</x:v>
      </x:c>
      <x:c r="D2321" s="34" t="str">
        <x:v>JxPath_11</x:v>
      </x:c>
      <x:c r="E2321" s="34" t="str">
        <x:v>Line</x:v>
      </x:c>
      <x:c r="F2321" s="34" t="n">
        <x:v>110</x:v>
      </x:c>
      <x:c r="G2321" s="34" t="str">
        <x:v>RECORDED</x:v>
      </x:c>
      <x:c r="H2321" s="38" t="n">
        <x:f>IF(ISNUMBER('Data'!H613),'Data'!H613*100,"")</x:f>
        <x:v>9.09</x:v>
      </x:c>
      <x:c r="I2321" s="34" t="str">
        <x:v>PASS</x:v>
      </x:c>
      <x:c r="J2321" s="34" t="str">
        <x:v>PASS</x:v>
      </x:c>
      <x:c r="K2321" s="34" t="str">
        <x:v>PASS</x:v>
      </x:c>
      <x:c r="L2321" s="34" t="str">
        <x:v>PASS</x:v>
      </x:c>
      <x:c r="M2321" s="34" t="str">
        <x:v>numeric coverage for applicable metric</x:v>
      </x:c>
      <x:c r="N2321" s="34" t="str">
        <x:v>Feedback-Directed Random Test Generation/Result/JxPath_11/result.json</x:v>
      </x:c>
      <x:c r="O2321" s="38" t="n">
        <x:f>IF(AND(G2321="RECORDED",ISNUMBER(H2321)),H2321,"")</x:f>
        <x:v>9.09</x:v>
      </x:c>
      <x:c r="P2321" s="34" t="str">
        <x:v>NOT_REVEALING</x:v>
      </x:c>
      <x:c r="Q2321" s="34" t="str">
        <x:v>Feedback-Directed Random Test Generation/Result/JxPath_11/result.json</x:v>
      </x:c>
    </x:row>
    <x:row r="2322">
      <x:c r="A2322" s="34" t="str">
        <x:v>randoop</x:v>
      </x:c>
      <x:c r="B2322" s="34" t="str">
        <x:v>JxPath</x:v>
      </x:c>
      <x:c r="C2322" s="34" t="str">
        <x:v>Round1</x:v>
      </x:c>
      <x:c r="D2322" s="34" t="str">
        <x:v>JxPath_12</x:v>
      </x:c>
      <x:c r="E2322" s="34" t="str">
        <x:v>Line</x:v>
      </x:c>
      <x:c r="F2322" s="34" t="n">
        <x:v>361</x:v>
      </x:c>
      <x:c r="G2322" s="34" t="str">
        <x:v>RECORDED</x:v>
      </x:c>
      <x:c r="H2322" s="38" t="n">
        <x:f>IF(ISNUMBER('Data'!H614),'Data'!H614*100,"")</x:f>
        <x:v>15.24</x:v>
      </x:c>
      <x:c r="I2322" s="34" t="str">
        <x:v>PASS</x:v>
      </x:c>
      <x:c r="J2322" s="34" t="str">
        <x:v>PASS</x:v>
      </x:c>
      <x:c r="K2322" s="34" t="str">
        <x:v>PASS</x:v>
      </x:c>
      <x:c r="L2322" s="34" t="str">
        <x:v>PASS</x:v>
      </x:c>
      <x:c r="M2322" s="34" t="str">
        <x:v>numeric coverage for applicable metric</x:v>
      </x:c>
      <x:c r="N2322" s="34" t="str">
        <x:v>Feedback-Directed Random Test Generation/Result/JxPath_12/result.json</x:v>
      </x:c>
      <x:c r="O2322" s="38" t="n">
        <x:f>IF(AND(G2322="RECORDED",ISNUMBER(H2322)),H2322,"")</x:f>
        <x:v>15.24</x:v>
      </x:c>
      <x:c r="P2322" s="34" t="str">
        <x:v>NOT_REVEALING</x:v>
      </x:c>
      <x:c r="Q2322" s="34" t="str">
        <x:v>Feedback-Directed Random Test Generation/Result/JxPath_12/result.json</x:v>
      </x:c>
    </x:row>
    <x:row r="2323">
      <x:c r="A2323" s="34" t="str">
        <x:v>randoop</x:v>
      </x:c>
      <x:c r="B2323" s="34" t="str">
        <x:v>JxPath</x:v>
      </x:c>
      <x:c r="C2323" s="34" t="str">
        <x:v>Round1</x:v>
      </x:c>
      <x:c r="D2323" s="34" t="str">
        <x:v>JxPath_13</x:v>
      </x:c>
      <x:c r="E2323" s="34" t="str">
        <x:v>Line</x:v>
      </x:c>
      <x:c r="F2323" s="34" t="n">
        <x:v>414</x:v>
      </x:c>
      <x:c r="G2323" s="34" t="str">
        <x:v>RECORDED</x:v>
      </x:c>
      <x:c r="H2323" s="38" t="n">
        <x:f>IF(ISNUMBER('Data'!H615),'Data'!H615*100,"")</x:f>
        <x:v>11.59</x:v>
      </x:c>
      <x:c r="I2323" s="34" t="str">
        <x:v>PASS</x:v>
      </x:c>
      <x:c r="J2323" s="34" t="str">
        <x:v>PASS</x:v>
      </x:c>
      <x:c r="K2323" s="34" t="str">
        <x:v>PASS</x:v>
      </x:c>
      <x:c r="L2323" s="34" t="str">
        <x:v>PASS</x:v>
      </x:c>
      <x:c r="M2323" s="34" t="str">
        <x:v>numeric coverage for applicable metric</x:v>
      </x:c>
      <x:c r="N2323" s="34" t="str">
        <x:v>Feedback-Directed Random Test Generation/Result/JxPath_13/result.json</x:v>
      </x:c>
      <x:c r="O2323" s="38" t="n">
        <x:f>IF(AND(G2323="RECORDED",ISNUMBER(H2323)),H2323,"")</x:f>
        <x:v>11.59</x:v>
      </x:c>
      <x:c r="P2323" s="34" t="str">
        <x:v>NOT_REVEALING</x:v>
      </x:c>
      <x:c r="Q2323" s="34" t="str">
        <x:v>Feedback-Directed Random Test Generation/Result/JxPath_13/result.json</x:v>
      </x:c>
    </x:row>
    <x:row r="2324">
      <x:c r="A2324" s="34" t="str">
        <x:v>randoop</x:v>
      </x:c>
      <x:c r="B2324" s="34" t="str">
        <x:v>JxPath</x:v>
      </x:c>
      <x:c r="C2324" s="34" t="str">
        <x:v>Round1</x:v>
      </x:c>
      <x:c r="D2324" s="34" t="str">
        <x:v>JxPath_14</x:v>
      </x:c>
      <x:c r="E2324" s="34" t="str">
        <x:v>Line</x:v>
      </x:c>
      <x:c r="F2324" s="34" t="n">
        <x:v>355</x:v>
      </x:c>
      <x:c r="G2324" s="34" t="str">
        <x:v>RECORDED</x:v>
      </x:c>
      <x:c r="H2324" s="38" t="n">
        <x:f>IF(ISNUMBER('Data'!H616),'Data'!H616*100,"")</x:f>
        <x:v>16.34</x:v>
      </x:c>
      <x:c r="I2324" s="34" t="str">
        <x:v>PASS</x:v>
      </x:c>
      <x:c r="J2324" s="34" t="str">
        <x:v>PASS</x:v>
      </x:c>
      <x:c r="K2324" s="34" t="str">
        <x:v>PASS</x:v>
      </x:c>
      <x:c r="L2324" s="34" t="str">
        <x:v>PASS</x:v>
      </x:c>
      <x:c r="M2324" s="34" t="str">
        <x:v>numeric coverage for applicable metric</x:v>
      </x:c>
      <x:c r="N2324" s="34" t="str">
        <x:v>Feedback-Directed Random Test Generation/Result/JxPath_14/result.json</x:v>
      </x:c>
      <x:c r="O2324" s="38" t="n">
        <x:f>IF(AND(G2324="RECORDED",ISNUMBER(H2324)),H2324,"")</x:f>
        <x:v>16.34</x:v>
      </x:c>
      <x:c r="P2324" s="34" t="str">
        <x:v>NOT_REVEALING</x:v>
      </x:c>
      <x:c r="Q2324" s="34" t="str">
        <x:v>Feedback-Directed Random Test Generation/Result/JxPath_14/result.json</x:v>
      </x:c>
    </x:row>
    <x:row r="2325">
      <x:c r="A2325" s="34" t="str">
        <x:v>randoop</x:v>
      </x:c>
      <x:c r="B2325" s="34" t="str">
        <x:v>JxPath</x:v>
      </x:c>
      <x:c r="C2325" s="34" t="str">
        <x:v>Round1</x:v>
      </x:c>
      <x:c r="D2325" s="34" t="str">
        <x:v>JxPath_15</x:v>
      </x:c>
      <x:c r="E2325" s="34" t="str">
        <x:v>Line</x:v>
      </x:c>
      <x:c r="F2325" s="34" t="n">
        <x:v>18</x:v>
      </x:c>
      <x:c r="G2325" s="34" t="str">
        <x:v>RECORDED</x:v>
      </x:c>
      <x:c r="H2325" s="38" t="n">
        <x:f>IF(ISNUMBER('Data'!H617),'Data'!H617*100,"")</x:f>
        <x:v>61.11</x:v>
      </x:c>
      <x:c r="I2325" s="34" t="str">
        <x:v>PASS</x:v>
      </x:c>
      <x:c r="J2325" s="34" t="str">
        <x:v>PASS</x:v>
      </x:c>
      <x:c r="K2325" s="34" t="str">
        <x:v>PASS</x:v>
      </x:c>
      <x:c r="L2325" s="34" t="str">
        <x:v>PASS</x:v>
      </x:c>
      <x:c r="M2325" s="34" t="str">
        <x:v>numeric coverage for applicable metric</x:v>
      </x:c>
      <x:c r="N2325" s="34" t="str">
        <x:v>Feedback-Directed Random Test Generation/Result/JxPath_15/result.json</x:v>
      </x:c>
      <x:c r="O2325" s="38" t="n">
        <x:f>IF(AND(G2325="RECORDED",ISNUMBER(H2325)),H2325,"")</x:f>
        <x:v>61.11</x:v>
      </x:c>
      <x:c r="P2325" s="34" t="str">
        <x:v>NOT_REVEALING</x:v>
      </x:c>
      <x:c r="Q2325" s="34" t="str">
        <x:v>Feedback-Directed Random Test Generation/Result/JxPath_15/result.json</x:v>
      </x:c>
    </x:row>
    <x:row r="2326">
      <x:c r="A2326" s="34" t="str">
        <x:v>randoop</x:v>
      </x:c>
      <x:c r="B2326" s="34" t="str">
        <x:v>JxPath</x:v>
      </x:c>
      <x:c r="C2326" s="34" t="str">
        <x:v>Round1</x:v>
      </x:c>
      <x:c r="D2326" s="34" t="str">
        <x:v>JxPath_16</x:v>
      </x:c>
      <x:c r="E2326" s="34" t="str">
        <x:v>Line</x:v>
      </x:c>
      <x:c r="F2326" s="34" t="n">
        <x:v>767</x:v>
      </x:c>
      <x:c r="G2326" s="34" t="str">
        <x:v>RECORDED</x:v>
      </x:c>
      <x:c r="H2326" s="38" t="n">
        <x:f>IF(ISNUMBER('Data'!H618),'Data'!H618*100,"")</x:f>
        <x:v>9.26</x:v>
      </x:c>
      <x:c r="I2326" s="34" t="str">
        <x:v>PASS</x:v>
      </x:c>
      <x:c r="J2326" s="34" t="str">
        <x:v>PASS</x:v>
      </x:c>
      <x:c r="K2326" s="34" t="str">
        <x:v>PASS</x:v>
      </x:c>
      <x:c r="L2326" s="34" t="str">
        <x:v>PASS</x:v>
      </x:c>
      <x:c r="M2326" s="34" t="str">
        <x:v>numeric coverage for applicable metric</x:v>
      </x:c>
      <x:c r="N2326" s="34" t="str">
        <x:v>Feedback-Directed Random Test Generation/Result/JxPath_16/result.json</x:v>
      </x:c>
      <x:c r="O2326" s="38" t="n">
        <x:f>IF(AND(G2326="RECORDED",ISNUMBER(H2326)),H2326,"")</x:f>
        <x:v>9.26</x:v>
      </x:c>
      <x:c r="P2326" s="34" t="str">
        <x:v>NOT_REVEALING</x:v>
      </x:c>
      <x:c r="Q2326" s="34" t="str">
        <x:v>Feedback-Directed Random Test Generation/Result/JxPath_16/result.json</x:v>
      </x:c>
    </x:row>
    <x:row r="2327">
      <x:c r="A2327" s="34" t="str">
        <x:v>randoop</x:v>
      </x:c>
      <x:c r="B2327" s="34" t="str">
        <x:v>JxPath</x:v>
      </x:c>
      <x:c r="C2327" s="34" t="str">
        <x:v>Round1</x:v>
      </x:c>
      <x:c r="D2327" s="34" t="str">
        <x:v>JxPath_17</x:v>
      </x:c>
      <x:c r="E2327" s="34" t="str">
        <x:v>Line</x:v>
      </x:c>
      <x:c r="F2327" s="34" t="n">
        <x:v>113</x:v>
      </x:c>
      <x:c r="G2327" s="34" t="str">
        <x:v>RECORDED</x:v>
      </x:c>
      <x:c r="H2327" s="38" t="n">
        <x:f>IF(ISNUMBER('Data'!H619),'Data'!H619*100,"")</x:f>
        <x:v>8.85</x:v>
      </x:c>
      <x:c r="I2327" s="34" t="str">
        <x:v>PASS</x:v>
      </x:c>
      <x:c r="J2327" s="34" t="str">
        <x:v>PASS</x:v>
      </x:c>
      <x:c r="K2327" s="34" t="str">
        <x:v>PASS</x:v>
      </x:c>
      <x:c r="L2327" s="34" t="str">
        <x:v>PASS</x:v>
      </x:c>
      <x:c r="M2327" s="34" t="str">
        <x:v>numeric coverage for applicable metric</x:v>
      </x:c>
      <x:c r="N2327" s="34" t="str">
        <x:v>Feedback-Directed Random Test Generation/Result/JxPath_17/result.json</x:v>
      </x:c>
      <x:c r="O2327" s="38" t="n">
        <x:f>IF(AND(G2327="RECORDED",ISNUMBER(H2327)),H2327,"")</x:f>
        <x:v>8.85</x:v>
      </x:c>
      <x:c r="P2327" s="34" t="str">
        <x:v>NOT_REVEALING</x:v>
      </x:c>
      <x:c r="Q2327" s="34" t="str">
        <x:v>Feedback-Directed Random Test Generation/Result/JxPath_17/result.json</x:v>
      </x:c>
    </x:row>
    <x:row r="2328">
      <x:c r="A2328" s="34" t="str">
        <x:v>randoop</x:v>
      </x:c>
      <x:c r="B2328" s="34" t="str">
        <x:v>JxPath</x:v>
      </x:c>
      <x:c r="C2328" s="34" t="str">
        <x:v>Round1</x:v>
      </x:c>
      <x:c r="D2328" s="34" t="str">
        <x:v>JxPath_18</x:v>
      </x:c>
      <x:c r="E2328" s="34" t="str">
        <x:v>Line</x:v>
      </x:c>
      <x:c r="F2328" s="34" t="n">
        <x:v>29</x:v>
      </x:c>
      <x:c r="G2328" s="34" t="str">
        <x:v>RECORDED</x:v>
      </x:c>
      <x:c r="H2328" s="38" t="n">
        <x:f>IF(ISNUMBER('Data'!H620),'Data'!H620*100,"")</x:f>
        <x:v>58.62</x:v>
      </x:c>
      <x:c r="I2328" s="34" t="str">
        <x:v>PASS</x:v>
      </x:c>
      <x:c r="J2328" s="34" t="str">
        <x:v>PASS</x:v>
      </x:c>
      <x:c r="K2328" s="34" t="str">
        <x:v>PASS</x:v>
      </x:c>
      <x:c r="L2328" s="34" t="str">
        <x:v>PASS</x:v>
      </x:c>
      <x:c r="M2328" s="34" t="str">
        <x:v>numeric coverage for applicable metric</x:v>
      </x:c>
      <x:c r="N2328" s="34" t="str">
        <x:v>Feedback-Directed Random Test Generation/Result/JxPath_18/result.json</x:v>
      </x:c>
      <x:c r="O2328" s="38" t="n">
        <x:f>IF(AND(G2328="RECORDED",ISNUMBER(H2328)),H2328,"")</x:f>
        <x:v>58.62</x:v>
      </x:c>
      <x:c r="P2328" s="34" t="str">
        <x:v>NOT_REVEALING</x:v>
      </x:c>
      <x:c r="Q2328" s="34" t="str">
        <x:v>Feedback-Directed Random Test Generation/Result/JxPath_18/result.json</x:v>
      </x:c>
    </x:row>
    <x:row r="2329">
      <x:c r="A2329" s="34" t="str">
        <x:v>randoop</x:v>
      </x:c>
      <x:c r="B2329" s="34" t="str">
        <x:v>JxPath</x:v>
      </x:c>
      <x:c r="C2329" s="34" t="str">
        <x:v>Round1</x:v>
      </x:c>
      <x:c r="D2329" s="34" t="str">
        <x:v>JxPath_19</x:v>
      </x:c>
      <x:c r="E2329" s="34" t="str">
        <x:v>Line</x:v>
      </x:c>
      <x:c r="F2329" s="34" t="n">
        <x:v>728</x:v>
      </x:c>
      <x:c r="G2329" s="34" t="str">
        <x:v>RECORDED</x:v>
      </x:c>
      <x:c r="H2329" s="38" t="n">
        <x:f>IF(ISNUMBER('Data'!H621),'Data'!H621*100,"")</x:f>
        <x:v>9.07</x:v>
      </x:c>
      <x:c r="I2329" s="34" t="str">
        <x:v>PASS</x:v>
      </x:c>
      <x:c r="J2329" s="34" t="str">
        <x:v>PASS</x:v>
      </x:c>
      <x:c r="K2329" s="34" t="str">
        <x:v>PASS</x:v>
      </x:c>
      <x:c r="L2329" s="34" t="str">
        <x:v>PASS</x:v>
      </x:c>
      <x:c r="M2329" s="34" t="str">
        <x:v>numeric coverage for applicable metric</x:v>
      </x:c>
      <x:c r="N2329" s="34" t="str">
        <x:v>Feedback-Directed Random Test Generation/Result/JxPath_19/result.json</x:v>
      </x:c>
      <x:c r="O2329" s="38" t="n">
        <x:f>IF(AND(G2329="RECORDED",ISNUMBER(H2329)),H2329,"")</x:f>
        <x:v>9.07</x:v>
      </x:c>
      <x:c r="P2329" s="34" t="str">
        <x:v>NOT_REVEALING</x:v>
      </x:c>
      <x:c r="Q2329" s="34" t="str">
        <x:v>Feedback-Directed Random Test Generation/Result/JxPath_19/result.json</x:v>
      </x:c>
    </x:row>
    <x:row r="2330">
      <x:c r="A2330" s="34" t="str">
        <x:v>randoop</x:v>
      </x:c>
      <x:c r="B2330" s="34" t="str">
        <x:v>JxPath</x:v>
      </x:c>
      <x:c r="C2330" s="34" t="str">
        <x:v>Round1</x:v>
      </x:c>
      <x:c r="D2330" s="34" t="str">
        <x:v>JxPath_20</x:v>
      </x:c>
      <x:c r="E2330" s="34" t="str">
        <x:v>Line</x:v>
      </x:c>
      <x:c r="F2330" s="34" t="n">
        <x:v>43</x:v>
      </x:c>
      <x:c r="G2330" s="34" t="str">
        <x:v>RECORDED</x:v>
      </x:c>
      <x:c r="H2330" s="38" t="n">
        <x:f>IF(ISNUMBER('Data'!H622),'Data'!H622*100,"")</x:f>
        <x:v>0</x:v>
      </x:c>
      <x:c r="I2330" s="34" t="str">
        <x:v>PASS</x:v>
      </x:c>
      <x:c r="J2330" s="34" t="str">
        <x:v>PASS</x:v>
      </x:c>
      <x:c r="K2330" s="34" t="str">
        <x:v>PASS</x:v>
      </x:c>
      <x:c r="L2330" s="34" t="str">
        <x:v>PASS</x:v>
      </x:c>
      <x:c r="M2330" s="34" t="str">
        <x:v>numeric coverage for applicable metric</x:v>
      </x:c>
      <x:c r="N2330" s="34" t="str">
        <x:v>Feedback-Directed Random Test Generation/Result/JxPath_20/result.json</x:v>
      </x:c>
      <x:c r="O2330" s="38" t="n">
        <x:f>IF(AND(G2330="RECORDED",ISNUMBER(H2330)),H2330,"")</x:f>
        <x:v>0</x:v>
      </x:c>
      <x:c r="P2330" s="34" t="str">
        <x:v>NOT_REVEALING</x:v>
      </x:c>
      <x:c r="Q2330" s="34" t="str">
        <x:v>Feedback-Directed Random Test Generation/Result/JxPath_20/result.json</x:v>
      </x:c>
    </x:row>
    <x:row r="2331">
      <x:c r="A2331" s="34" t="str">
        <x:v>randoop</x:v>
      </x:c>
      <x:c r="B2331" s="34" t="str">
        <x:v>JxPath</x:v>
      </x:c>
      <x:c r="C2331" s="34" t="str">
        <x:v>Round1</x:v>
      </x:c>
      <x:c r="D2331" s="34" t="str">
        <x:v>JxPath_21</x:v>
      </x:c>
      <x:c r="E2331" s="34" t="str">
        <x:v>Line</x:v>
      </x:c>
      <x:c r="F2331" s="34" t="n">
        <x:v>70</x:v>
      </x:c>
      <x:c r="G2331" s="34" t="str">
        <x:v>RECORDED</x:v>
      </x:c>
      <x:c r="H2331" s="38" t="n">
        <x:f>IF(ISNUMBER('Data'!H623),'Data'!H623*100,"")</x:f>
        <x:v>7.139999999999999</x:v>
      </x:c>
      <x:c r="I2331" s="34" t="str">
        <x:v>PASS</x:v>
      </x:c>
      <x:c r="J2331" s="34" t="str">
        <x:v>PASS</x:v>
      </x:c>
      <x:c r="K2331" s="34" t="str">
        <x:v>PASS</x:v>
      </x:c>
      <x:c r="L2331" s="34" t="str">
        <x:v>PASS</x:v>
      </x:c>
      <x:c r="M2331" s="34" t="str">
        <x:v>numeric coverage for applicable metric</x:v>
      </x:c>
      <x:c r="N2331" s="34" t="str">
        <x:v>Feedback-Directed Random Test Generation/Result/JxPath_21/result.json</x:v>
      </x:c>
      <x:c r="O2331" s="38" t="n">
        <x:f>IF(AND(G2331="RECORDED",ISNUMBER(H2331)),H2331,"")</x:f>
        <x:v>7.139999999999999</x:v>
      </x:c>
      <x:c r="P2331" s="34" t="str">
        <x:v>NOT_REVEALING</x:v>
      </x:c>
      <x:c r="Q2331" s="34" t="str">
        <x:v>Feedback-Directed Random Test Generation/Result/JxPath_21/result.json</x:v>
      </x:c>
    </x:row>
    <x:row r="2332">
      <x:c r="A2332" s="34" t="str">
        <x:v>randoop</x:v>
      </x:c>
      <x:c r="B2332" s="34" t="str">
        <x:v>JxPath</x:v>
      </x:c>
      <x:c r="C2332" s="34" t="str">
        <x:v>Round1</x:v>
      </x:c>
      <x:c r="D2332" s="34" t="str">
        <x:v>JxPath_22</x:v>
      </x:c>
      <x:c r="E2332" s="34" t="str">
        <x:v>Line</x:v>
      </x:c>
      <x:c r="F2332" s="34" t="n">
        <x:v>354</x:v>
      </x:c>
      <x:c r="G2332" s="34" t="str">
        <x:v>RECORDED</x:v>
      </x:c>
      <x:c r="H2332" s="38" t="n">
        <x:f>IF(ISNUMBER('Data'!H624),'Data'!H624*100,"")</x:f>
        <x:v>11.58</x:v>
      </x:c>
      <x:c r="I2332" s="34" t="str">
        <x:v>PASS</x:v>
      </x:c>
      <x:c r="J2332" s="34" t="str">
        <x:v>PASS</x:v>
      </x:c>
      <x:c r="K2332" s="34" t="str">
        <x:v>PASS</x:v>
      </x:c>
      <x:c r="L2332" s="34" t="str">
        <x:v>PASS</x:v>
      </x:c>
      <x:c r="M2332" s="34" t="str">
        <x:v>numeric coverage for applicable metric</x:v>
      </x:c>
      <x:c r="N2332" s="34" t="str">
        <x:v>Feedback-Directed Random Test Generation/Result/JxPath_22/result.json</x:v>
      </x:c>
      <x:c r="O2332" s="38" t="n">
        <x:f>IF(AND(G2332="RECORDED",ISNUMBER(H2332)),H2332,"")</x:f>
        <x:v>11.58</x:v>
      </x:c>
      <x:c r="P2332" s="34" t="str">
        <x:v>NOT_REVEALING</x:v>
      </x:c>
      <x:c r="Q2332" s="34" t="str">
        <x:v>Feedback-Directed Random Test Generation/Result/JxPath_22/result.json</x:v>
      </x:c>
    </x:row>
    <x:row r="2333">
      <x:c r="A2333" s="34" t="str">
        <x:v>randoop</x:v>
      </x:c>
      <x:c r="B2333" s="34" t="str">
        <x:v>Lang</x:v>
      </x:c>
      <x:c r="C2333" s="34" t="str">
        <x:v>Round1</x:v>
      </x:c>
      <x:c r="D2333" s="34" t="str">
        <x:v>Lang_1</x:v>
      </x:c>
      <x:c r="E2333" s="34" t="str">
        <x:v>Line</x:v>
      </x:c>
      <x:c r="F2333" s="34" t="n">
        <x:v>375</x:v>
      </x:c>
      <x:c r="G2333" s="34" t="str">
        <x:v>RECORDED</x:v>
      </x:c>
      <x:c r="H2333" s="38" t="n">
        <x:f>IF(ISNUMBER('Data'!H625),'Data'!H625*100,"")</x:f>
        <x:v>65.87</x:v>
      </x:c>
      <x:c r="I2333" s="34" t="str">
        <x:v>PASS</x:v>
      </x:c>
      <x:c r="J2333" s="34" t="str">
        <x:v>PASS</x:v>
      </x:c>
      <x:c r="K2333" s="34" t="str">
        <x:v>PASS</x:v>
      </x:c>
      <x:c r="L2333" s="34" t="str">
        <x:v>PASS</x:v>
      </x:c>
      <x:c r="M2333" s="34" t="str">
        <x:v>numeric coverage for applicable metric</x:v>
      </x:c>
      <x:c r="N2333" s="34" t="str">
        <x:v>Feedback-Directed Random Test Generation/Result/Lang_1/result.json</x:v>
      </x:c>
      <x:c r="O2333" s="38" t="n">
        <x:f>IF(AND(G2333="RECORDED",ISNUMBER(H2333)),H2333,"")</x:f>
        <x:v>65.87</x:v>
      </x:c>
      <x:c r="P2333" s="34" t="str">
        <x:v>NOT_REVEALING</x:v>
      </x:c>
      <x:c r="Q2333" s="34" t="str">
        <x:v>Feedback-Directed Random Test Generation/Result/Lang_1/result.json</x:v>
      </x:c>
    </x:row>
    <x:row r="2334">
      <x:c r="A2334" s="34" t="str">
        <x:v>randoop</x:v>
      </x:c>
      <x:c r="B2334" s="34" t="str">
        <x:v>Lang</x:v>
      </x:c>
      <x:c r="C2334" s="34" t="str">
        <x:v>Round1</x:v>
      </x:c>
      <x:c r="D2334" s="34" t="str">
        <x:v>Lang_3</x:v>
      </x:c>
      <x:c r="E2334" s="34" t="str">
        <x:v>Line</x:v>
      </x:c>
      <x:c r="F2334" s="34" t="n">
        <x:v>373</x:v>
      </x:c>
      <x:c r="G2334" s="34" t="str">
        <x:v>RECORDED</x:v>
      </x:c>
      <x:c r="H2334" s="38" t="n">
        <x:f>IF(ISNUMBER('Data'!H626),'Data'!H626*100,"")</x:f>
        <x:v>66.22</x:v>
      </x:c>
      <x:c r="I2334" s="34" t="str">
        <x:v>PASS</x:v>
      </x:c>
      <x:c r="J2334" s="34" t="str">
        <x:v>PASS</x:v>
      </x:c>
      <x:c r="K2334" s="34" t="str">
        <x:v>PASS</x:v>
      </x:c>
      <x:c r="L2334" s="34" t="str">
        <x:v>PASS</x:v>
      </x:c>
      <x:c r="M2334" s="34" t="str">
        <x:v>numeric coverage for applicable metric</x:v>
      </x:c>
      <x:c r="N2334" s="34" t="str">
        <x:v>Feedback-Directed Random Test Generation/Result/Lang_3/result.json</x:v>
      </x:c>
      <x:c r="O2334" s="38" t="n">
        <x:f>IF(AND(G2334="RECORDED",ISNUMBER(H2334)),H2334,"")</x:f>
        <x:v>66.22</x:v>
      </x:c>
      <x:c r="P2334" s="34" t="str">
        <x:v>NOT_REVEALING</x:v>
      </x:c>
      <x:c r="Q2334" s="34" t="str">
        <x:v>Feedback-Directed Random Test Generation/Result/Lang_3/result.json</x:v>
      </x:c>
    </x:row>
    <x:row r="2335">
      <x:c r="A2335" s="34" t="str">
        <x:v>randoop</x:v>
      </x:c>
      <x:c r="B2335" s="34" t="str">
        <x:v>Lang</x:v>
      </x:c>
      <x:c r="C2335" s="34" t="str">
        <x:v>Round1</x:v>
      </x:c>
      <x:c r="D2335" s="34" t="str">
        <x:v>Lang_4</x:v>
      </x:c>
      <x:c r="E2335" s="34" t="str">
        <x:v>Line</x:v>
      </x:c>
      <x:c r="F2335" s="34" t="n">
        <x:v>25</x:v>
      </x:c>
      <x:c r="G2335" s="34" t="str">
        <x:v>RECORDED</x:v>
      </x:c>
      <x:c r="H2335" s="38" t="n">
        <x:f>IF(ISNUMBER('Data'!H627),'Data'!H627*100,"")</x:f>
        <x:v>100</x:v>
      </x:c>
      <x:c r="I2335" s="34" t="str">
        <x:v>PASS</x:v>
      </x:c>
      <x:c r="J2335" s="34" t="str">
        <x:v>PASS</x:v>
      </x:c>
      <x:c r="K2335" s="34" t="str">
        <x:v>PASS</x:v>
      </x:c>
      <x:c r="L2335" s="34" t="str">
        <x:v>PASS</x:v>
      </x:c>
      <x:c r="M2335" s="34" t="str">
        <x:v>numeric coverage for applicable metric</x:v>
      </x:c>
      <x:c r="N2335" s="34" t="str">
        <x:v>Feedback-Directed Random Test Generation/Result/Lang_4/result.json</x:v>
      </x:c>
      <x:c r="O2335" s="38" t="n">
        <x:f>IF(AND(G2335="RECORDED",ISNUMBER(H2335)),H2335,"")</x:f>
        <x:v>100</x:v>
      </x:c>
      <x:c r="P2335" s="34" t="str">
        <x:v>NOT_REVEALING</x:v>
      </x:c>
      <x:c r="Q2335" s="34" t="str">
        <x:v>Feedback-Directed Random Test Generation/Result/Lang_4/result.json</x:v>
      </x:c>
    </x:row>
    <x:row r="2336">
      <x:c r="A2336" s="34" t="str">
        <x:v>randoop</x:v>
      </x:c>
      <x:c r="B2336" s="34" t="str">
        <x:v>Lang</x:v>
      </x:c>
      <x:c r="C2336" s="34" t="str">
        <x:v>Round1</x:v>
      </x:c>
      <x:c r="D2336" s="34" t="str">
        <x:v>Lang_5</x:v>
      </x:c>
      <x:c r="E2336" s="34" t="str">
        <x:v>Line</x:v>
      </x:c>
      <x:c r="F2336" s="34" t="n">
        <x:v>82</x:v>
      </x:c>
      <x:c r="G2336" s="34" t="str">
        <x:v>RECORDED</x:v>
      </x:c>
      <x:c r="H2336" s="38" t="n">
        <x:f>IF(ISNUMBER('Data'!H628),'Data'!H628*100,"")</x:f>
        <x:v>64.63</x:v>
      </x:c>
      <x:c r="I2336" s="34" t="str">
        <x:v>PASS</x:v>
      </x:c>
      <x:c r="J2336" s="34" t="str">
        <x:v>PASS</x:v>
      </x:c>
      <x:c r="K2336" s="34" t="str">
        <x:v>PASS</x:v>
      </x:c>
      <x:c r="L2336" s="34" t="str">
        <x:v>PASS</x:v>
      </x:c>
      <x:c r="M2336" s="34" t="str">
        <x:v>numeric coverage for applicable metric</x:v>
      </x:c>
      <x:c r="N2336" s="34" t="str">
        <x:v>Feedback-Directed Random Test Generation/Result/Lang_5/result.json</x:v>
      </x:c>
      <x:c r="O2336" s="38" t="n">
        <x:f>IF(AND(G2336="RECORDED",ISNUMBER(H2336)),H2336,"")</x:f>
        <x:v>64.63</x:v>
      </x:c>
      <x:c r="P2336" s="34" t="str">
        <x:v>NOT_REVEALING</x:v>
      </x:c>
      <x:c r="Q2336" s="34" t="str">
        <x:v>Feedback-Directed Random Test Generation/Result/Lang_5/result.json</x:v>
      </x:c>
    </x:row>
    <x:row r="2337">
      <x:c r="A2337" s="34" t="str">
        <x:v>randoop</x:v>
      </x:c>
      <x:c r="B2337" s="34" t="str">
        <x:v>Lang</x:v>
      </x:c>
      <x:c r="C2337" s="34" t="str">
        <x:v>Round1</x:v>
      </x:c>
      <x:c r="D2337" s="34" t="str">
        <x:v>Lang_6</x:v>
      </x:c>
      <x:c r="E2337" s="34" t="str">
        <x:v>Line</x:v>
      </x:c>
      <x:c r="F2337" s="34" t="n">
        <x:v>30</x:v>
      </x:c>
      <x:c r="G2337" s="34" t="str">
        <x:v>RECORDED</x:v>
      </x:c>
      <x:c r="H2337" s="38" t="n">
        <x:f>IF(ISNUMBER('Data'!H629),'Data'!H629*100,"")</x:f>
        <x:v>3.3300000000000005</x:v>
      </x:c>
      <x:c r="I2337" s="34" t="str">
        <x:v>PASS</x:v>
      </x:c>
      <x:c r="J2337" s="34" t="str">
        <x:v>PASS</x:v>
      </x:c>
      <x:c r="K2337" s="34" t="str">
        <x:v>PASS</x:v>
      </x:c>
      <x:c r="L2337" s="34" t="str">
        <x:v>PASS</x:v>
      </x:c>
      <x:c r="M2337" s="34" t="str">
        <x:v>numeric coverage for applicable metric</x:v>
      </x:c>
      <x:c r="N2337" s="34" t="str">
        <x:v>Feedback-Directed Random Test Generation/Result/Lang_6/result.json</x:v>
      </x:c>
      <x:c r="O2337" s="38" t="n">
        <x:f>IF(AND(G2337="RECORDED",ISNUMBER(H2337)),H2337,"")</x:f>
        <x:v>3.3300000000000005</x:v>
      </x:c>
      <x:c r="P2337" s="34" t="str">
        <x:v>NOT_REVEALING</x:v>
      </x:c>
      <x:c r="Q2337" s="34" t="str">
        <x:v>Feedback-Directed Random Test Generation/Result/Lang_6/result.json</x:v>
      </x:c>
    </x:row>
    <x:row r="2338">
      <x:c r="A2338" s="34" t="str">
        <x:v>randoop</x:v>
      </x:c>
      <x:c r="B2338" s="34" t="str">
        <x:v>Lang</x:v>
      </x:c>
      <x:c r="C2338" s="34" t="str">
        <x:v>Round1</x:v>
      </x:c>
      <x:c r="D2338" s="34" t="str">
        <x:v>Lang_7</x:v>
      </x:c>
      <x:c r="E2338" s="34" t="str">
        <x:v>Line</x:v>
      </x:c>
      <x:c r="F2338" s="34" t="n">
        <x:v>380</x:v>
      </x:c>
      <x:c r="G2338" s="34" t="str">
        <x:v>RECORDED</x:v>
      </x:c>
      <x:c r="H2338" s="38" t="n">
        <x:f>IF(ISNUMBER('Data'!H630),'Data'!H630*100,"")</x:f>
        <x:v>68.95</x:v>
      </x:c>
      <x:c r="I2338" s="34" t="str">
        <x:v>PASS</x:v>
      </x:c>
      <x:c r="J2338" s="34" t="str">
        <x:v>PASS</x:v>
      </x:c>
      <x:c r="K2338" s="34" t="str">
        <x:v>PASS</x:v>
      </x:c>
      <x:c r="L2338" s="34" t="str">
        <x:v>PASS</x:v>
      </x:c>
      <x:c r="M2338" s="34" t="str">
        <x:v>numeric coverage for applicable metric</x:v>
      </x:c>
      <x:c r="N2338" s="34" t="str">
        <x:v>Feedback-Directed Random Test Generation/Result/Lang_7/result.json</x:v>
      </x:c>
      <x:c r="O2338" s="38" t="n">
        <x:f>IF(AND(G2338="RECORDED",ISNUMBER(H2338)),H2338,"")</x:f>
        <x:v>68.95</x:v>
      </x:c>
      <x:c r="P2338" s="34" t="str">
        <x:v>NOT_REVEALING</x:v>
      </x:c>
      <x:c r="Q2338" s="34" t="str">
        <x:v>Feedback-Directed Random Test Generation/Result/Lang_7/result.json</x:v>
      </x:c>
    </x:row>
    <x:row r="2339">
      <x:c r="A2339" s="34" t="str">
        <x:v>randoop</x:v>
      </x:c>
      <x:c r="B2339" s="34" t="str">
        <x:v>Lang</x:v>
      </x:c>
      <x:c r="C2339" s="34" t="str">
        <x:v>Round1</x:v>
      </x:c>
      <x:c r="D2339" s="34" t="str">
        <x:v>Lang_8</x:v>
      </x:c>
      <x:c r="E2339" s="34" t="str">
        <x:v>Line</x:v>
      </x:c>
      <x:c r="F2339" s="34" t="n">
        <x:v>337</x:v>
      </x:c>
      <x:c r="G2339" s="34" t="str">
        <x:v>RECORDED</x:v>
      </x:c>
      <x:c r="H2339" s="38" t="n">
        <x:f>IF(ISNUMBER('Data'!H631),'Data'!H631*100,"")</x:f>
        <x:v>5.34</x:v>
      </x:c>
      <x:c r="I2339" s="34" t="str">
        <x:v>PASS</x:v>
      </x:c>
      <x:c r="J2339" s="34" t="str">
        <x:v>PASS</x:v>
      </x:c>
      <x:c r="K2339" s="34" t="str">
        <x:v>PASS</x:v>
      </x:c>
      <x:c r="L2339" s="34" t="str">
        <x:v>PASS</x:v>
      </x:c>
      <x:c r="M2339" s="34" t="str">
        <x:v>numeric coverage for applicable metric</x:v>
      </x:c>
      <x:c r="N2339" s="34" t="str">
        <x:v>Feedback-Directed Random Test Generation/Result/Lang_8/result.json</x:v>
      </x:c>
      <x:c r="O2339" s="38" t="n">
        <x:f>IF(AND(G2339="RECORDED",ISNUMBER(H2339)),H2339,"")</x:f>
        <x:v>5.34</x:v>
      </x:c>
      <x:c r="P2339" s="34" t="str">
        <x:v>NOT_REVEALING</x:v>
      </x:c>
      <x:c r="Q2339" s="34" t="str">
        <x:v>Feedback-Directed Random Test Generation/Result/Lang_8/result.json</x:v>
      </x:c>
    </x:row>
    <x:row r="2340">
      <x:c r="A2340" s="34" t="str">
        <x:v>randoop</x:v>
      </x:c>
      <x:c r="B2340" s="34" t="str">
        <x:v>Lang</x:v>
      </x:c>
      <x:c r="C2340" s="34" t="str">
        <x:v>Round1</x:v>
      </x:c>
      <x:c r="D2340" s="34" t="str">
        <x:v>Lang_9</x:v>
      </x:c>
      <x:c r="E2340" s="34" t="str">
        <x:v>Line</x:v>
      </x:c>
      <x:c r="F2340" s="34" t="n">
        <x:v>273</x:v>
      </x:c>
      <x:c r="G2340" s="34" t="str">
        <x:v>RECORDED</x:v>
      </x:c>
      <x:c r="H2340" s="38" t="n">
        <x:f>IF(ISNUMBER('Data'!H632),'Data'!H632*100,"")</x:f>
        <x:v>14.649999999999999</x:v>
      </x:c>
      <x:c r="I2340" s="34" t="str">
        <x:v>PASS</x:v>
      </x:c>
      <x:c r="J2340" s="34" t="str">
        <x:v>PASS</x:v>
      </x:c>
      <x:c r="K2340" s="34" t="str">
        <x:v>PASS</x:v>
      </x:c>
      <x:c r="L2340" s="34" t="str">
        <x:v>PASS</x:v>
      </x:c>
      <x:c r="M2340" s="34" t="str">
        <x:v>numeric coverage for applicable metric</x:v>
      </x:c>
      <x:c r="N2340" s="34" t="str">
        <x:v>Feedback-Directed Random Test Generation/Result/Lang_9/result.json</x:v>
      </x:c>
      <x:c r="O2340" s="38" t="n">
        <x:f>IF(AND(G2340="RECORDED",ISNUMBER(H2340)),H2340,"")</x:f>
        <x:v>14.649999999999999</x:v>
      </x:c>
      <x:c r="P2340" s="34" t="str">
        <x:v>NOT_REVEALING</x:v>
      </x:c>
      <x:c r="Q2340" s="34" t="str">
        <x:v>Feedback-Directed Random Test Generation/Result/Lang_9/result.json</x:v>
      </x:c>
    </x:row>
    <x:row r="2341">
      <x:c r="A2341" s="34" t="str">
        <x:v>randoop</x:v>
      </x:c>
      <x:c r="B2341" s="34" t="str">
        <x:v>Lang</x:v>
      </x:c>
      <x:c r="C2341" s="34" t="str">
        <x:v>Round1</x:v>
      </x:c>
      <x:c r="D2341" s="34" t="str">
        <x:v>Lang_10</x:v>
      </x:c>
      <x:c r="E2341" s="34" t="str">
        <x:v>Line</x:v>
      </x:c>
      <x:c r="F2341" s="34" t="n">
        <x:v>279</x:v>
      </x:c>
      <x:c r="G2341" s="34" t="str">
        <x:v>RECORDED</x:v>
      </x:c>
      <x:c r="H2341" s="38" t="n">
        <x:f>IF(ISNUMBER('Data'!H633),'Data'!H633*100,"")</x:f>
        <x:v>14.34</x:v>
      </x:c>
      <x:c r="I2341" s="34" t="str">
        <x:v>PASS</x:v>
      </x:c>
      <x:c r="J2341" s="34" t="str">
        <x:v>PASS</x:v>
      </x:c>
      <x:c r="K2341" s="34" t="str">
        <x:v>PASS</x:v>
      </x:c>
      <x:c r="L2341" s="34" t="str">
        <x:v>PASS</x:v>
      </x:c>
      <x:c r="M2341" s="34" t="str">
        <x:v>numeric coverage for applicable metric</x:v>
      </x:c>
      <x:c r="N2341" s="34" t="str">
        <x:v>Feedback-Directed Random Test Generation/Result/Lang_10/result.json</x:v>
      </x:c>
      <x:c r="O2341" s="38" t="n">
        <x:f>IF(AND(G2341="RECORDED",ISNUMBER(H2341)),H2341,"")</x:f>
        <x:v>14.34</x:v>
      </x:c>
      <x:c r="P2341" s="34" t="str">
        <x:v>NOT_REVEALING</x:v>
      </x:c>
      <x:c r="Q2341" s="34" t="str">
        <x:v>Feedback-Directed Random Test Generation/Result/Lang_10/result.json</x:v>
      </x:c>
    </x:row>
    <x:row r="2342">
      <x:c r="A2342" s="34" t="str">
        <x:v>randoop</x:v>
      </x:c>
      <x:c r="B2342" s="34" t="str">
        <x:v>Lang</x:v>
      </x:c>
      <x:c r="C2342" s="34" t="str">
        <x:v>Round1</x:v>
      </x:c>
      <x:c r="D2342" s="34" t="str">
        <x:v>Lang_11</x:v>
      </x:c>
      <x:c r="E2342" s="34" t="str">
        <x:v>Line</x:v>
      </x:c>
      <x:c r="F2342" s="34" t="n">
        <x:v>0</x:v>
      </x:c>
      <x:c r="G2342" s="34" t="str">
        <x:v>A</x:v>
      </x:c>
      <x:c r="H2342" s="38" t="str">
        <x:f>IF(ISNUMBER('Data'!H634),'Data'!H634*100,"")</x:f>
      </x:c>
      <x:c r="I2342" s="34"/>
      <x:c r="J2342" s="34"/>
      <x:c r="K2342" s="34"/>
      <x:c r="L2342" s="34" t="str">
        <x:v>NOT_RUN</x:v>
      </x:c>
      <x:c r="M2342" s="34" t="str">
        <x:v>Latest same-round generation failed; older files/results are excluded</x:v>
      </x:c>
      <x:c r="N2342" s="34" t="str">
        <x:v>Feedback-Directed Random Test Generation/report.csv</x:v>
      </x:c>
      <x:c r="O2342" s="38" t="str">
        <x:f>IF(AND(G2342="RECORDED",ISNUMBER(H2342)),H2342,"")</x:f>
      </x:c>
      <x:c r="P2342" s="34" t="str">
        <x:v>FAIL</x:v>
      </x:c>
      <x:c r="Q2342" s="34"/>
    </x:row>
    <x:row r="2343">
      <x:c r="A2343" s="34" t="str">
        <x:v>randoop</x:v>
      </x:c>
      <x:c r="B2343" s="34" t="str">
        <x:v>Lang</x:v>
      </x:c>
      <x:c r="C2343" s="34" t="str">
        <x:v>Round1</x:v>
      </x:c>
      <x:c r="D2343" s="34" t="str">
        <x:v>Lang_12</x:v>
      </x:c>
      <x:c r="E2343" s="34" t="str">
        <x:v>Line</x:v>
      </x:c>
      <x:c r="F2343" s="34" t="n">
        <x:v>0</x:v>
      </x:c>
      <x:c r="G2343" s="34" t="str">
        <x:v>A</x:v>
      </x:c>
      <x:c r="H2343" s="38" t="str">
        <x:f>IF(ISNUMBER('Data'!H635),'Data'!H635*100,"")</x:f>
      </x:c>
      <x:c r="I2343" s="34"/>
      <x:c r="J2343" s="34"/>
      <x:c r="K2343" s="34"/>
      <x:c r="L2343" s="34" t="str">
        <x:v>NOT_RUN</x:v>
      </x:c>
      <x:c r="M2343" s="34" t="str">
        <x:v>Latest same-round generation failed; older files/results are excluded</x:v>
      </x:c>
      <x:c r="N2343" s="34" t="str">
        <x:v>Feedback-Directed Random Test Generation/report.csv</x:v>
      </x:c>
      <x:c r="O2343" s="38" t="str">
        <x:f>IF(AND(G2343="RECORDED",ISNUMBER(H2343)),H2343,"")</x:f>
      </x:c>
      <x:c r="P2343" s="34" t="str">
        <x:v>FAIL</x:v>
      </x:c>
      <x:c r="Q2343" s="34"/>
    </x:row>
    <x:row r="2344">
      <x:c r="A2344" s="34" t="str">
        <x:v>randoop</x:v>
      </x:c>
      <x:c r="B2344" s="34" t="str">
        <x:v>Lang</x:v>
      </x:c>
      <x:c r="C2344" s="34" t="str">
        <x:v>Round1</x:v>
      </x:c>
      <x:c r="D2344" s="34" t="str">
        <x:v>Lang_13</x:v>
      </x:c>
      <x:c r="E2344" s="34" t="str">
        <x:v>Line</x:v>
      </x:c>
      <x:c r="F2344" s="34" t="n">
        <x:v>64</x:v>
      </x:c>
      <x:c r="G2344" s="34" t="str">
        <x:v>RECORDED</x:v>
      </x:c>
      <x:c r="H2344" s="38" t="n">
        <x:f>IF(ISNUMBER('Data'!H636),'Data'!H636*100,"")</x:f>
        <x:v>75</x:v>
      </x:c>
      <x:c r="I2344" s="34" t="str">
        <x:v>PASS</x:v>
      </x:c>
      <x:c r="J2344" s="34" t="str">
        <x:v>PASS</x:v>
      </x:c>
      <x:c r="K2344" s="34" t="str">
        <x:v>PASS</x:v>
      </x:c>
      <x:c r="L2344" s="34" t="str">
        <x:v>PASS</x:v>
      </x:c>
      <x:c r="M2344" s="34" t="str">
        <x:v>numeric coverage for applicable metric</x:v>
      </x:c>
      <x:c r="N2344" s="34" t="str">
        <x:v>Feedback-Directed Random Test Generation/Result/Lang_13/result.json</x:v>
      </x:c>
      <x:c r="O2344" s="38" t="n">
        <x:f>IF(AND(G2344="RECORDED",ISNUMBER(H2344)),H2344,"")</x:f>
        <x:v>75</x:v>
      </x:c>
      <x:c r="P2344" s="34" t="str">
        <x:v>NOT_REVEALING</x:v>
      </x:c>
      <x:c r="Q2344" s="34" t="str">
        <x:v>Feedback-Directed Random Test Generation/Result/Lang_13/result.json</x:v>
      </x:c>
    </x:row>
    <x:row r="2345">
      <x:c r="A2345" s="34" t="str">
        <x:v>randoop</x:v>
      </x:c>
      <x:c r="B2345" s="34" t="str">
        <x:v>Lang</x:v>
      </x:c>
      <x:c r="C2345" s="34" t="str">
        <x:v>Round1</x:v>
      </x:c>
      <x:c r="D2345" s="34" t="str">
        <x:v>Lang_14</x:v>
      </x:c>
      <x:c r="E2345" s="34" t="str">
        <x:v>Line</x:v>
      </x:c>
      <x:c r="F2345" s="34" t="n">
        <x:v>1292</x:v>
      </x:c>
      <x:c r="G2345" s="34" t="str">
        <x:v>RECORDED</x:v>
      </x:c>
      <x:c r="H2345" s="38" t="n">
        <x:f>IF(ISNUMBER('Data'!H637),'Data'!H637*100,"")</x:f>
        <x:v>87.23</x:v>
      </x:c>
      <x:c r="I2345" s="34" t="str">
        <x:v>PASS</x:v>
      </x:c>
      <x:c r="J2345" s="34" t="str">
        <x:v>PASS</x:v>
      </x:c>
      <x:c r="K2345" s="34" t="str">
        <x:v>PASS</x:v>
      </x:c>
      <x:c r="L2345" s="34" t="str">
        <x:v>PASS</x:v>
      </x:c>
      <x:c r="M2345" s="34" t="str">
        <x:v>numeric coverage for applicable metric</x:v>
      </x:c>
      <x:c r="N2345" s="34" t="str">
        <x:v>Feedback-Directed Random Test Generation/Result/Lang_14/result.json</x:v>
      </x:c>
      <x:c r="O2345" s="38" t="n">
        <x:f>IF(AND(G2345="RECORDED",ISNUMBER(H2345)),H2345,"")</x:f>
        <x:v>87.23</x:v>
      </x:c>
      <x:c r="P2345" s="34" t="str">
        <x:v>NOT_REVEALING</x:v>
      </x:c>
      <x:c r="Q2345" s="34" t="str">
        <x:v>Feedback-Directed Random Test Generation/Result/Lang_14/result.json</x:v>
      </x:c>
    </x:row>
    <x:row r="2346">
      <x:c r="A2346" s="34" t="str">
        <x:v>randoop</x:v>
      </x:c>
      <x:c r="B2346" s="34" t="str">
        <x:v>Lang</x:v>
      </x:c>
      <x:c r="C2346" s="34" t="str">
        <x:v>Round1</x:v>
      </x:c>
      <x:c r="D2346" s="34" t="str">
        <x:v>Lang_15</x:v>
      </x:c>
      <x:c r="E2346" s="34" t="str">
        <x:v>Line</x:v>
      </x:c>
      <x:c r="F2346" s="34" t="n">
        <x:v>299</x:v>
      </x:c>
      <x:c r="G2346" s="34" t="str">
        <x:v>RECORDED</x:v>
      </x:c>
      <x:c r="H2346" s="38" t="n">
        <x:f>IF(ISNUMBER('Data'!H638),'Data'!H638*100,"")</x:f>
        <x:v>14.719999999999999</x:v>
      </x:c>
      <x:c r="I2346" s="34" t="str">
        <x:v>PASS</x:v>
      </x:c>
      <x:c r="J2346" s="34" t="str">
        <x:v>PASS</x:v>
      </x:c>
      <x:c r="K2346" s="34" t="str">
        <x:v>PASS</x:v>
      </x:c>
      <x:c r="L2346" s="34" t="str">
        <x:v>PASS</x:v>
      </x:c>
      <x:c r="M2346" s="34" t="str">
        <x:v>numeric coverage for applicable metric</x:v>
      </x:c>
      <x:c r="N2346" s="34" t="str">
        <x:v>Feedback-Directed Random Test Generation/Result/Lang_15/result.json</x:v>
      </x:c>
      <x:c r="O2346" s="38" t="n">
        <x:f>IF(AND(G2346="RECORDED",ISNUMBER(H2346)),H2346,"")</x:f>
        <x:v>14.719999999999999</x:v>
      </x:c>
      <x:c r="P2346" s="34" t="str">
        <x:v>NOT_REVEALING</x:v>
      </x:c>
      <x:c r="Q2346" s="34" t="str">
        <x:v>Feedback-Directed Random Test Generation/Result/Lang_15/result.json</x:v>
      </x:c>
    </x:row>
    <x:row r="2347">
      <x:c r="A2347" s="34" t="str">
        <x:v>randoop</x:v>
      </x:c>
      <x:c r="B2347" s="34" t="str">
        <x:v>Lang</x:v>
      </x:c>
      <x:c r="C2347" s="34" t="str">
        <x:v>Round1</x:v>
      </x:c>
      <x:c r="D2347" s="34" t="str">
        <x:v>Lang_16</x:v>
      </x:c>
      <x:c r="E2347" s="34" t="str">
        <x:v>Line</x:v>
      </x:c>
      <x:c r="F2347" s="34" t="n">
        <x:v>375</x:v>
      </x:c>
      <x:c r="G2347" s="34" t="str">
        <x:v>RECORDED</x:v>
      </x:c>
      <x:c r="H2347" s="38" t="n">
        <x:f>IF(ISNUMBER('Data'!H639),'Data'!H639*100,"")</x:f>
        <x:v>69.87</x:v>
      </x:c>
      <x:c r="I2347" s="34" t="str">
        <x:v>PASS</x:v>
      </x:c>
      <x:c r="J2347" s="34" t="str">
        <x:v>PASS</x:v>
      </x:c>
      <x:c r="K2347" s="34" t="str">
        <x:v>PASS</x:v>
      </x:c>
      <x:c r="L2347" s="34" t="str">
        <x:v>PASS</x:v>
      </x:c>
      <x:c r="M2347" s="34" t="str">
        <x:v>numeric coverage for applicable metric</x:v>
      </x:c>
      <x:c r="N2347" s="34" t="str">
        <x:v>Feedback-Directed Random Test Generation/Result/Lang_16/result.json</x:v>
      </x:c>
      <x:c r="O2347" s="38" t="n">
        <x:f>IF(AND(G2347="RECORDED",ISNUMBER(H2347)),H2347,"")</x:f>
        <x:v>69.87</x:v>
      </x:c>
      <x:c r="P2347" s="34" t="str">
        <x:v>NOT_REVEALING</x:v>
      </x:c>
      <x:c r="Q2347" s="34" t="str">
        <x:v>Feedback-Directed Random Test Generation/Result/Lang_16/result.json</x:v>
      </x:c>
    </x:row>
    <x:row r="2348">
      <x:c r="A2348" s="34" t="str">
        <x:v>randoop</x:v>
      </x:c>
      <x:c r="B2348" s="34" t="str">
        <x:v>Lang</x:v>
      </x:c>
      <x:c r="C2348" s="34" t="str">
        <x:v>Round1</x:v>
      </x:c>
      <x:c r="D2348" s="34" t="str">
        <x:v>Lang_17</x:v>
      </x:c>
      <x:c r="E2348" s="34" t="str">
        <x:v>Line</x:v>
      </x:c>
      <x:c r="F2348" s="34" t="n">
        <x:v>33</x:v>
      </x:c>
      <x:c r="G2348" s="34" t="str">
        <x:v>RECORDED</x:v>
      </x:c>
      <x:c r="H2348" s="38" t="n">
        <x:f>IF(ISNUMBER('Data'!H640),'Data'!H640*100,"")</x:f>
        <x:v>3.03</x:v>
      </x:c>
      <x:c r="I2348" s="34" t="str">
        <x:v>PASS</x:v>
      </x:c>
      <x:c r="J2348" s="34" t="str">
        <x:v>PASS</x:v>
      </x:c>
      <x:c r="K2348" s="34" t="str">
        <x:v>PASS</x:v>
      </x:c>
      <x:c r="L2348" s="34" t="str">
        <x:v>PASS</x:v>
      </x:c>
      <x:c r="M2348" s="34" t="str">
        <x:v>numeric coverage for applicable metric</x:v>
      </x:c>
      <x:c r="N2348" s="34" t="str">
        <x:v>Feedback-Directed Random Test Generation/Result/Lang_17/result.json</x:v>
      </x:c>
      <x:c r="O2348" s="38" t="n">
        <x:f>IF(AND(G2348="RECORDED",ISNUMBER(H2348)),H2348,"")</x:f>
        <x:v>3.03</x:v>
      </x:c>
      <x:c r="P2348" s="34" t="str">
        <x:v>NOT_REVEALING</x:v>
      </x:c>
      <x:c r="Q2348" s="34" t="str">
        <x:v>Feedback-Directed Random Test Generation/Result/Lang_17/result.json</x:v>
      </x:c>
    </x:row>
    <x:row r="2349">
      <x:c r="A2349" s="34" t="str">
        <x:v>randoop</x:v>
      </x:c>
      <x:c r="B2349" s="34" t="str">
        <x:v>Lang</x:v>
      </x:c>
      <x:c r="C2349" s="34" t="str">
        <x:v>Round1</x:v>
      </x:c>
      <x:c r="D2349" s="34" t="str">
        <x:v>Lang_19</x:v>
      </x:c>
      <x:c r="E2349" s="34" t="str">
        <x:v>Line</x:v>
      </x:c>
      <x:c r="F2349" s="34" t="n">
        <x:v>27</x:v>
      </x:c>
      <x:c r="G2349" s="34" t="str">
        <x:v>RECORDED</x:v>
      </x:c>
      <x:c r="H2349" s="38" t="n">
        <x:f>IF(ISNUMBER('Data'!H641),'Data'!H641*100,"")</x:f>
        <x:v>14.81</x:v>
      </x:c>
      <x:c r="I2349" s="34" t="str">
        <x:v>PASS</x:v>
      </x:c>
      <x:c r="J2349" s="34" t="str">
        <x:v>PASS</x:v>
      </x:c>
      <x:c r="K2349" s="34" t="str">
        <x:v>PASS</x:v>
      </x:c>
      <x:c r="L2349" s="34" t="str">
        <x:v>PASS</x:v>
      </x:c>
      <x:c r="M2349" s="34" t="str">
        <x:v>numeric coverage for applicable metric</x:v>
      </x:c>
      <x:c r="N2349" s="34" t="str">
        <x:v>Feedback-Directed Random Test Generation/Result/Lang_19/result.json</x:v>
      </x:c>
      <x:c r="O2349" s="38" t="n">
        <x:f>IF(AND(G2349="RECORDED",ISNUMBER(H2349)),H2349,"")</x:f>
        <x:v>14.81</x:v>
      </x:c>
      <x:c r="P2349" s="34" t="str">
        <x:v>NOT_REVEALING</x:v>
      </x:c>
      <x:c r="Q2349" s="34" t="str">
        <x:v>Feedback-Directed Random Test Generation/Result/Lang_19/result.json</x:v>
      </x:c>
    </x:row>
    <x:row r="2350">
      <x:c r="A2350" s="34" t="str">
        <x:v>randoop</x:v>
      </x:c>
      <x:c r="B2350" s="34" t="str">
        <x:v>Lang</x:v>
      </x:c>
      <x:c r="C2350" s="34" t="str">
        <x:v>Round1</x:v>
      </x:c>
      <x:c r="D2350" s="34" t="str">
        <x:v>Lang_20</x:v>
      </x:c>
      <x:c r="E2350" s="34" t="str">
        <x:v>Line</x:v>
      </x:c>
      <x:c r="F2350" s="34" t="n">
        <x:v>1298</x:v>
      </x:c>
      <x:c r="G2350" s="34" t="str">
        <x:v>RECORDED</x:v>
      </x:c>
      <x:c r="H2350" s="38" t="n">
        <x:f>IF(ISNUMBER('Data'!H642),'Data'!H642*100,"")</x:f>
        <x:v>87.29</x:v>
      </x:c>
      <x:c r="I2350" s="34" t="str">
        <x:v>PASS</x:v>
      </x:c>
      <x:c r="J2350" s="34" t="str">
        <x:v>PASS</x:v>
      </x:c>
      <x:c r="K2350" s="34" t="str">
        <x:v>PASS</x:v>
      </x:c>
      <x:c r="L2350" s="34" t="str">
        <x:v>PASS</x:v>
      </x:c>
      <x:c r="M2350" s="34" t="str">
        <x:v>numeric coverage for applicable metric</x:v>
      </x:c>
      <x:c r="N2350" s="34" t="str">
        <x:v>Feedback-Directed Random Test Generation/Result/Lang_20/result.json</x:v>
      </x:c>
      <x:c r="O2350" s="38" t="n">
        <x:f>IF(AND(G2350="RECORDED",ISNUMBER(H2350)),H2350,"")</x:f>
        <x:v>87.29</x:v>
      </x:c>
      <x:c r="P2350" s="34" t="str">
        <x:v>NOT_REVEALING</x:v>
      </x:c>
      <x:c r="Q2350" s="34" t="str">
        <x:v>Feedback-Directed Random Test Generation/Result/Lang_20/result.json</x:v>
      </x:c>
    </x:row>
    <x:row r="2351">
      <x:c r="A2351" s="34" t="str">
        <x:v>randoop</x:v>
      </x:c>
      <x:c r="B2351" s="34" t="str">
        <x:v>Lang</x:v>
      </x:c>
      <x:c r="C2351" s="34" t="str">
        <x:v>Round1</x:v>
      </x:c>
      <x:c r="D2351" s="34" t="str">
        <x:v>Lang_21</x:v>
      </x:c>
      <x:c r="E2351" s="34" t="str">
        <x:v>Line</x:v>
      </x:c>
      <x:c r="F2351" s="34" t="n">
        <x:v>319</x:v>
      </x:c>
      <x:c r="G2351" s="34" t="str">
        <x:v>RECORDED</x:v>
      </x:c>
      <x:c r="H2351" s="38" t="n">
        <x:f>IF(ISNUMBER('Data'!H643),'Data'!H643*100,"")</x:f>
        <x:v>93.73</x:v>
      </x:c>
      <x:c r="I2351" s="34" t="str">
        <x:v>PASS</x:v>
      </x:c>
      <x:c r="J2351" s="34" t="str">
        <x:v>PASS</x:v>
      </x:c>
      <x:c r="K2351" s="34" t="str">
        <x:v>PASS</x:v>
      </x:c>
      <x:c r="L2351" s="34" t="str">
        <x:v>FAIL</x:v>
      </x:c>
      <x:c r="M2351" s="34" t="str">
        <x:v>numeric coverage for applicable metric</x:v>
      </x:c>
      <x:c r="N2351" s="34" t="str">
        <x:v>Feedback-Directed Random Test Generation/Result/Lang_21/result.json</x:v>
      </x:c>
      <x:c r="O2351" s="38" t="n">
        <x:f>IF(AND(G2351="RECORDED",ISNUMBER(H2351)),H2351,"")</x:f>
        <x:v>93.73</x:v>
      </x:c>
      <x:c r="P2351" s="34" t="str">
        <x:v>INCONCLUSIVE</x:v>
      </x:c>
      <x:c r="Q2351" s="34" t="str">
        <x:v>Feedback-Directed Random Test Generation/Result/Lang_21/result.json</x:v>
      </x:c>
    </x:row>
    <x:row r="2352">
      <x:c r="A2352" s="34" t="str">
        <x:v>randoop</x:v>
      </x:c>
      <x:c r="B2352" s="34" t="str">
        <x:v>Lang</x:v>
      </x:c>
      <x:c r="C2352" s="34" t="str">
        <x:v>Round1</x:v>
      </x:c>
      <x:c r="D2352" s="34" t="str">
        <x:v>Lang_22</x:v>
      </x:c>
      <x:c r="E2352" s="34" t="str">
        <x:v>Line</x:v>
      </x:c>
      <x:c r="F2352" s="34" t="n">
        <x:v>278</x:v>
      </x:c>
      <x:c r="G2352" s="34" t="str">
        <x:v>RECORDED</x:v>
      </x:c>
      <x:c r="H2352" s="38" t="n">
        <x:f>IF(ISNUMBER('Data'!H644),'Data'!H644*100,"")</x:f>
        <x:v>93.17</x:v>
      </x:c>
      <x:c r="I2352" s="34" t="str">
        <x:v>PASS</x:v>
      </x:c>
      <x:c r="J2352" s="34" t="str">
        <x:v>PASS</x:v>
      </x:c>
      <x:c r="K2352" s="34" t="str">
        <x:v>PASS</x:v>
      </x:c>
      <x:c r="L2352" s="34" t="str">
        <x:v>FAIL</x:v>
      </x:c>
      <x:c r="M2352" s="34" t="str">
        <x:v>numeric coverage for applicable metric</x:v>
      </x:c>
      <x:c r="N2352" s="34" t="str">
        <x:v>Feedback-Directed Random Test Generation/Result/Lang_22/result.json</x:v>
      </x:c>
      <x:c r="O2352" s="38" t="n">
        <x:f>IF(AND(G2352="RECORDED",ISNUMBER(H2352)),H2352,"")</x:f>
        <x:v>93.17</x:v>
      </x:c>
      <x:c r="P2352" s="34" t="str">
        <x:v>INCONCLUSIVE</x:v>
      </x:c>
      <x:c r="Q2352" s="34" t="str">
        <x:v>Feedback-Directed Random Test Generation/Result/Lang_22/result.json</x:v>
      </x:c>
    </x:row>
    <x:row r="2353">
      <x:c r="A2353" s="34" t="str">
        <x:v>randoop</x:v>
      </x:c>
      <x:c r="B2353" s="34" t="str">
        <x:v>Lang</x:v>
      </x:c>
      <x:c r="C2353" s="34" t="str">
        <x:v>Round1</x:v>
      </x:c>
      <x:c r="D2353" s="34" t="str">
        <x:v>Lang_23</x:v>
      </x:c>
      <x:c r="E2353" s="34" t="str">
        <x:v>Line</x:v>
      </x:c>
      <x:c r="F2353" s="34" t="n">
        <x:v>167</x:v>
      </x:c>
      <x:c r="G2353" s="34" t="str">
        <x:v>RECORDED</x:v>
      </x:c>
      <x:c r="H2353" s="38" t="n">
        <x:f>IF(ISNUMBER('Data'!H645),'Data'!H645*100,"")</x:f>
        <x:v>10.78</x:v>
      </x:c>
      <x:c r="I2353" s="34" t="str">
        <x:v>PASS</x:v>
      </x:c>
      <x:c r="J2353" s="34" t="str">
        <x:v>PASS</x:v>
      </x:c>
      <x:c r="K2353" s="34" t="str">
        <x:v>PASS</x:v>
      </x:c>
      <x:c r="L2353" s="34" t="str">
        <x:v>PASS</x:v>
      </x:c>
      <x:c r="M2353" s="34" t="str">
        <x:v>numeric coverage for applicable metric</x:v>
      </x:c>
      <x:c r="N2353" s="34" t="str">
        <x:v>Feedback-Directed Random Test Generation/Result/Lang_23/result.json</x:v>
      </x:c>
      <x:c r="O2353" s="38" t="n">
        <x:f>IF(AND(G2353="RECORDED",ISNUMBER(H2353)),H2353,"")</x:f>
        <x:v>10.78</x:v>
      </x:c>
      <x:c r="P2353" s="34" t="str">
        <x:v>NOT_REVEALING</x:v>
      </x:c>
      <x:c r="Q2353" s="34" t="str">
        <x:v>Feedback-Directed Random Test Generation/Result/Lang_23/result.json</x:v>
      </x:c>
    </x:row>
    <x:row r="2354">
      <x:c r="A2354" s="34" t="str">
        <x:v>randoop</x:v>
      </x:c>
      <x:c r="B2354" s="34" t="str">
        <x:v>Lang</x:v>
      </x:c>
      <x:c r="C2354" s="34" t="str">
        <x:v>Round1</x:v>
      </x:c>
      <x:c r="D2354" s="34" t="str">
        <x:v>Lang_24</x:v>
      </x:c>
      <x:c r="E2354" s="34" t="str">
        <x:v>Line</x:v>
      </x:c>
      <x:c r="F2354" s="34" t="n">
        <x:v>376</x:v>
      </x:c>
      <x:c r="G2354" s="34" t="str">
        <x:v>RECORDED</x:v>
      </x:c>
      <x:c r="H2354" s="38" t="n">
        <x:f>IF(ISNUMBER('Data'!H646),'Data'!H646*100,"")</x:f>
        <x:v>69.95</x:v>
      </x:c>
      <x:c r="I2354" s="34" t="str">
        <x:v>PASS</x:v>
      </x:c>
      <x:c r="J2354" s="34" t="str">
        <x:v>PASS</x:v>
      </x:c>
      <x:c r="K2354" s="34" t="str">
        <x:v>PASS</x:v>
      </x:c>
      <x:c r="L2354" s="34" t="str">
        <x:v>PASS</x:v>
      </x:c>
      <x:c r="M2354" s="34" t="str">
        <x:v>numeric coverage for applicable metric</x:v>
      </x:c>
      <x:c r="N2354" s="34" t="str">
        <x:v>Feedback-Directed Random Test Generation/Result/Lang_24/result.json</x:v>
      </x:c>
      <x:c r="O2354" s="38" t="n">
        <x:f>IF(AND(G2354="RECORDED",ISNUMBER(H2354)),H2354,"")</x:f>
        <x:v>69.95</x:v>
      </x:c>
      <x:c r="P2354" s="34" t="str">
        <x:v>NOT_REVEALING</x:v>
      </x:c>
      <x:c r="Q2354" s="34" t="str">
        <x:v>Feedback-Directed Random Test Generation/Result/Lang_24/result.json</x:v>
      </x:c>
    </x:row>
    <x:row r="2355">
      <x:c r="A2355" s="34" t="str">
        <x:v>randoop</x:v>
      </x:c>
      <x:c r="B2355" s="34" t="str">
        <x:v>Lang</x:v>
      </x:c>
      <x:c r="C2355" s="34" t="str">
        <x:v>Round1</x:v>
      </x:c>
      <x:c r="D2355" s="34" t="str">
        <x:v>Lang_26</x:v>
      </x:c>
      <x:c r="E2355" s="34" t="str">
        <x:v>Line</x:v>
      </x:c>
      <x:c r="F2355" s="34" t="n">
        <x:v>465</x:v>
      </x:c>
      <x:c r="G2355" s="34" t="str">
        <x:v>RECORDED</x:v>
      </x:c>
      <x:c r="H2355" s="38" t="n">
        <x:f>IF(ISNUMBER('Data'!H647),'Data'!H647*100,"")</x:f>
        <x:v>74.62</x:v>
      </x:c>
      <x:c r="I2355" s="34" t="str">
        <x:v>PASS</x:v>
      </x:c>
      <x:c r="J2355" s="34" t="str">
        <x:v>PASS</x:v>
      </x:c>
      <x:c r="K2355" s="34" t="str">
        <x:v>PASS</x:v>
      </x:c>
      <x:c r="L2355" s="34" t="str">
        <x:v>FAIL</x:v>
      </x:c>
      <x:c r="M2355" s="34" t="str">
        <x:v>numeric coverage for applicable metric</x:v>
      </x:c>
      <x:c r="N2355" s="34" t="str">
        <x:v>Feedback-Directed Random Test Generation/Result/Lang_26/result.json</x:v>
      </x:c>
      <x:c r="O2355" s="38" t="n">
        <x:f>IF(AND(G2355="RECORDED",ISNUMBER(H2355)),H2355,"")</x:f>
        <x:v>74.62</x:v>
      </x:c>
      <x:c r="P2355" s="34" t="str">
        <x:v>INCONCLUSIVE</x:v>
      </x:c>
      <x:c r="Q2355" s="34" t="str">
        <x:v>Feedback-Directed Random Test Generation/Result/Lang_26/result.json</x:v>
      </x:c>
    </x:row>
    <x:row r="2356">
      <x:c r="A2356" s="34" t="str">
        <x:v>randoop</x:v>
      </x:c>
      <x:c r="B2356" s="34" t="str">
        <x:v>Lang</x:v>
      </x:c>
      <x:c r="C2356" s="34" t="str">
        <x:v>Round1</x:v>
      </x:c>
      <x:c r="D2356" s="34" t="str">
        <x:v>Lang_27</x:v>
      </x:c>
      <x:c r="E2356" s="34" t="str">
        <x:v>Line</x:v>
      </x:c>
      <x:c r="F2356" s="34" t="n">
        <x:v>374</x:v>
      </x:c>
      <x:c r="G2356" s="34" t="str">
        <x:v>RECORDED</x:v>
      </x:c>
      <x:c r="H2356" s="38" t="n">
        <x:f>IF(ISNUMBER('Data'!H648),'Data'!H648*100,"")</x:f>
        <x:v>70.32</x:v>
      </x:c>
      <x:c r="I2356" s="34" t="str">
        <x:v>PASS</x:v>
      </x:c>
      <x:c r="J2356" s="34" t="str">
        <x:v>PASS</x:v>
      </x:c>
      <x:c r="K2356" s="34" t="str">
        <x:v>PASS</x:v>
      </x:c>
      <x:c r="L2356" s="34" t="str">
        <x:v>PASS</x:v>
      </x:c>
      <x:c r="M2356" s="34" t="str">
        <x:v>numeric coverage for applicable metric</x:v>
      </x:c>
      <x:c r="N2356" s="34" t="str">
        <x:v>Feedback-Directed Random Test Generation/Result/Lang_27/result.json</x:v>
      </x:c>
      <x:c r="O2356" s="38" t="n">
        <x:f>IF(AND(G2356="RECORDED",ISNUMBER(H2356)),H2356,"")</x:f>
        <x:v>70.32</x:v>
      </x:c>
      <x:c r="P2356" s="34" t="str">
        <x:v>NOT_REVEALING</x:v>
      </x:c>
      <x:c r="Q2356" s="34" t="str">
        <x:v>Feedback-Directed Random Test Generation/Result/Lang_27/result.json</x:v>
      </x:c>
    </x:row>
    <x:row r="2357">
      <x:c r="A2357" s="34" t="str">
        <x:v>randoop</x:v>
      </x:c>
      <x:c r="B2357" s="34" t="str">
        <x:v>Lang</x:v>
      </x:c>
      <x:c r="C2357" s="34" t="str">
        <x:v>Round1</x:v>
      </x:c>
      <x:c r="D2357" s="34" t="str">
        <x:v>Lang_28</x:v>
      </x:c>
      <x:c r="E2357" s="34" t="str">
        <x:v>Line</x:v>
      </x:c>
      <x:c r="F2357" s="34" t="n">
        <x:v>20</x:v>
      </x:c>
      <x:c r="G2357" s="34" t="str">
        <x:v>RECORDED</x:v>
      </x:c>
      <x:c r="H2357" s="38" t="n">
        <x:f>IF(ISNUMBER('Data'!H649),'Data'!H649*100,"")</x:f>
        <x:v>15</x:v>
      </x:c>
      <x:c r="I2357" s="34" t="str">
        <x:v>PASS</x:v>
      </x:c>
      <x:c r="J2357" s="34" t="str">
        <x:v>PASS</x:v>
      </x:c>
      <x:c r="K2357" s="34" t="str">
        <x:v>PASS</x:v>
      </x:c>
      <x:c r="L2357" s="34" t="str">
        <x:v>PASS</x:v>
      </x:c>
      <x:c r="M2357" s="34" t="str">
        <x:v>numeric coverage for applicable metric</x:v>
      </x:c>
      <x:c r="N2357" s="34" t="str">
        <x:v>Feedback-Directed Random Test Generation/Result/Lang_28/result.json</x:v>
      </x:c>
      <x:c r="O2357" s="38" t="n">
        <x:f>IF(AND(G2357="RECORDED",ISNUMBER(H2357)),H2357,"")</x:f>
        <x:v>15</x:v>
      </x:c>
      <x:c r="P2357" s="34" t="str">
        <x:v>NOT_REVEALING</x:v>
      </x:c>
      <x:c r="Q2357" s="34" t="str">
        <x:v>Feedback-Directed Random Test Generation/Result/Lang_28/result.json</x:v>
      </x:c>
    </x:row>
    <x:row r="2358">
      <x:c r="A2358" s="34" t="str">
        <x:v>randoop</x:v>
      </x:c>
      <x:c r="B2358" s="34" t="str">
        <x:v>Lang</x:v>
      </x:c>
      <x:c r="C2358" s="34" t="str">
        <x:v>Round1</x:v>
      </x:c>
      <x:c r="D2358" s="34" t="str">
        <x:v>Lang_29</x:v>
      </x:c>
      <x:c r="E2358" s="34" t="str">
        <x:v>Line</x:v>
      </x:c>
      <x:c r="F2358" s="34" t="n">
        <x:v>141</x:v>
      </x:c>
      <x:c r="G2358" s="34" t="str">
        <x:v>RECORDED</x:v>
      </x:c>
      <x:c r="H2358" s="38" t="n">
        <x:f>IF(ISNUMBER('Data'!H650),'Data'!H650*100,"")</x:f>
        <x:v>92.2</x:v>
      </x:c>
      <x:c r="I2358" s="34" t="str">
        <x:v>PASS</x:v>
      </x:c>
      <x:c r="J2358" s="34" t="str">
        <x:v>PASS</x:v>
      </x:c>
      <x:c r="K2358" s="34" t="str">
        <x:v>PASS</x:v>
      </x:c>
      <x:c r="L2358" s="34" t="str">
        <x:v>PASS</x:v>
      </x:c>
      <x:c r="M2358" s="34" t="str">
        <x:v>numeric coverage for applicable metric</x:v>
      </x:c>
      <x:c r="N2358" s="34" t="str">
        <x:v>Feedback-Directed Random Test Generation/Result/Lang_29/result.json</x:v>
      </x:c>
      <x:c r="O2358" s="38" t="n">
        <x:f>IF(AND(G2358="RECORDED",ISNUMBER(H2358)),H2358,"")</x:f>
        <x:v>92.2</x:v>
      </x:c>
      <x:c r="P2358" s="34" t="str">
        <x:v>NOT_REVEALING</x:v>
      </x:c>
      <x:c r="Q2358" s="34" t="str">
        <x:v>Feedback-Directed Random Test Generation/Result/Lang_29/result.json</x:v>
      </x:c>
    </x:row>
    <x:row r="2359">
      <x:c r="A2359" s="34" t="str">
        <x:v>randoop</x:v>
      </x:c>
      <x:c r="B2359" s="34" t="str">
        <x:v>Lang</x:v>
      </x:c>
      <x:c r="C2359" s="34" t="str">
        <x:v>Round1</x:v>
      </x:c>
      <x:c r="D2359" s="34" t="str">
        <x:v>Lang_30</x:v>
      </x:c>
      <x:c r="E2359" s="34" t="str">
        <x:v>Line</x:v>
      </x:c>
      <x:c r="F2359" s="34" t="n">
        <x:v>1189</x:v>
      </x:c>
      <x:c r="G2359" s="34" t="str">
        <x:v>RECORDED</x:v>
      </x:c>
      <x:c r="H2359" s="38" t="n">
        <x:f>IF(ISNUMBER('Data'!H651),'Data'!H651*100,"")</x:f>
        <x:v>86.54</x:v>
      </x:c>
      <x:c r="I2359" s="34" t="str">
        <x:v>PASS</x:v>
      </x:c>
      <x:c r="J2359" s="34" t="str">
        <x:v>PASS</x:v>
      </x:c>
      <x:c r="K2359" s="34" t="str">
        <x:v>PASS</x:v>
      </x:c>
      <x:c r="L2359" s="34" t="str">
        <x:v>PASS</x:v>
      </x:c>
      <x:c r="M2359" s="34" t="str">
        <x:v>numeric coverage for applicable metric</x:v>
      </x:c>
      <x:c r="N2359" s="34" t="str">
        <x:v>Feedback-Directed Random Test Generation/Result/Lang_30/result.json</x:v>
      </x:c>
      <x:c r="O2359" s="38" t="n">
        <x:f>IF(AND(G2359="RECORDED",ISNUMBER(H2359)),H2359,"")</x:f>
        <x:v>86.54</x:v>
      </x:c>
      <x:c r="P2359" s="34" t="str">
        <x:v>NOT_AVAILABLE</x:v>
      </x:c>
      <x:c r="Q2359" s="34" t="str">
        <x:v>Feedback-Directed Random Test Generation/Result/Lang_30/result.json</x:v>
      </x:c>
    </x:row>
    <x:row r="2360">
      <x:c r="A2360" s="34" t="str">
        <x:v>randoop</x:v>
      </x:c>
      <x:c r="B2360" s="34" t="str">
        <x:v>Lang</x:v>
      </x:c>
      <x:c r="C2360" s="34" t="str">
        <x:v>Round1</x:v>
      </x:c>
      <x:c r="D2360" s="34" t="str">
        <x:v>Lang_31</x:v>
      </x:c>
      <x:c r="E2360" s="34" t="str">
        <x:v>Line</x:v>
      </x:c>
      <x:c r="F2360" s="34" t="n">
        <x:v>1178</x:v>
      </x:c>
      <x:c r="G2360" s="34" t="str">
        <x:v>RECORDED</x:v>
      </x:c>
      <x:c r="H2360" s="38" t="n">
        <x:f>IF(ISNUMBER('Data'!H652),'Data'!H652*100,"")</x:f>
        <x:v>87.18</x:v>
      </x:c>
      <x:c r="I2360" s="34" t="str">
        <x:v>PASS</x:v>
      </x:c>
      <x:c r="J2360" s="34" t="str">
        <x:v>PASS</x:v>
      </x:c>
      <x:c r="K2360" s="34" t="str">
        <x:v>PASS</x:v>
      </x:c>
      <x:c r="L2360" s="34" t="str">
        <x:v>PASS</x:v>
      </x:c>
      <x:c r="M2360" s="34" t="str">
        <x:v>numeric coverage for applicable metric</x:v>
      </x:c>
      <x:c r="N2360" s="34" t="str">
        <x:v>Feedback-Directed Random Test Generation/Result/Lang_31/result.json</x:v>
      </x:c>
      <x:c r="O2360" s="38" t="n">
        <x:f>IF(AND(G2360="RECORDED",ISNUMBER(H2360)),H2360,"")</x:f>
        <x:v>87.18</x:v>
      </x:c>
      <x:c r="P2360" s="34" t="str">
        <x:v>NOT_REVEALING</x:v>
      </x:c>
      <x:c r="Q2360" s="34" t="str">
        <x:v>Feedback-Directed Random Test Generation/Result/Lang_31/result.json</x:v>
      </x:c>
    </x:row>
    <x:row r="2361">
      <x:c r="A2361" s="34" t="str">
        <x:v>randoop</x:v>
      </x:c>
      <x:c r="B2361" s="34" t="str">
        <x:v>Lang</x:v>
      </x:c>
      <x:c r="C2361" s="34" t="str">
        <x:v>Round1</x:v>
      </x:c>
      <x:c r="D2361" s="34" t="str">
        <x:v>Lang_32</x:v>
      </x:c>
      <x:c r="E2361" s="34" t="str">
        <x:v>Line</x:v>
      </x:c>
      <x:c r="F2361" s="34" t="n">
        <x:v>146</x:v>
      </x:c>
      <x:c r="G2361" s="34" t="str">
        <x:v>RECORDED</x:v>
      </x:c>
      <x:c r="H2361" s="38" t="n">
        <x:f>IF(ISNUMBER('Data'!H653),'Data'!H653*100,"")</x:f>
        <x:v>95.89</x:v>
      </x:c>
      <x:c r="I2361" s="34" t="str">
        <x:v>PASS</x:v>
      </x:c>
      <x:c r="J2361" s="34" t="str">
        <x:v>PASS</x:v>
      </x:c>
      <x:c r="K2361" s="34" t="str">
        <x:v>PASS</x:v>
      </x:c>
      <x:c r="L2361" s="34" t="str">
        <x:v>FAIL</x:v>
      </x:c>
      <x:c r="M2361" s="34" t="str">
        <x:v>numeric coverage for applicable metric</x:v>
      </x:c>
      <x:c r="N2361" s="34" t="str">
        <x:v>Feedback-Directed Random Test Generation/Result/Lang_32/result.json</x:v>
      </x:c>
      <x:c r="O2361" s="38" t="n">
        <x:f>IF(AND(G2361="RECORDED",ISNUMBER(H2361)),H2361,"")</x:f>
        <x:v>95.89</x:v>
      </x:c>
      <x:c r="P2361" s="34" t="str">
        <x:v>INCONCLUSIVE</x:v>
      </x:c>
      <x:c r="Q2361" s="34" t="str">
        <x:v>Feedback-Directed Random Test Generation/Result/Lang_32/result.json</x:v>
      </x:c>
    </x:row>
    <x:row r="2362">
      <x:c r="A2362" s="34" t="str">
        <x:v>randoop</x:v>
      </x:c>
      <x:c r="B2362" s="34" t="str">
        <x:v>Lang</x:v>
      </x:c>
      <x:c r="C2362" s="34" t="str">
        <x:v>Round1</x:v>
      </x:c>
      <x:c r="D2362" s="34" t="str">
        <x:v>Lang_33</x:v>
      </x:c>
      <x:c r="E2362" s="34" t="str">
        <x:v>Line</x:v>
      </x:c>
      <x:c r="F2362" s="34" t="n">
        <x:v>286</x:v>
      </x:c>
      <x:c r="G2362" s="34" t="str">
        <x:v>RECORDED</x:v>
      </x:c>
      <x:c r="H2362" s="38" t="n">
        <x:f>IF(ISNUMBER('Data'!H654),'Data'!H654*100,"")</x:f>
        <x:v>60.84</x:v>
      </x:c>
      <x:c r="I2362" s="34" t="str">
        <x:v>PASS</x:v>
      </x:c>
      <x:c r="J2362" s="34" t="str">
        <x:v>PASS</x:v>
      </x:c>
      <x:c r="K2362" s="34" t="str">
        <x:v>PASS</x:v>
      </x:c>
      <x:c r="L2362" s="34" t="str">
        <x:v>PASS</x:v>
      </x:c>
      <x:c r="M2362" s="34" t="str">
        <x:v>numeric coverage for applicable metric</x:v>
      </x:c>
      <x:c r="N2362" s="34" t="str">
        <x:v>Feedback-Directed Random Test Generation/Result/Lang_33/result.json</x:v>
      </x:c>
      <x:c r="O2362" s="38" t="n">
        <x:f>IF(AND(G2362="RECORDED",ISNUMBER(H2362)),H2362,"")</x:f>
        <x:v>60.84</x:v>
      </x:c>
      <x:c r="P2362" s="34" t="str">
        <x:v>INCONCLUSIVE</x:v>
      </x:c>
      <x:c r="Q2362" s="34" t="str">
        <x:v>Feedback-Directed Random Test Generation/Result/Lang_33/result.json</x:v>
      </x:c>
    </x:row>
    <x:row r="2363">
      <x:c r="A2363" s="34" t="str">
        <x:v>randoop</x:v>
      </x:c>
      <x:c r="B2363" s="34" t="str">
        <x:v>Lang</x:v>
      </x:c>
      <x:c r="C2363" s="34" t="str">
        <x:v>Round1</x:v>
      </x:c>
      <x:c r="D2363" s="34" t="str">
        <x:v>Lang_34</x:v>
      </x:c>
      <x:c r="E2363" s="34" t="str">
        <x:v>Line</x:v>
      </x:c>
      <x:c r="F2363" s="34" t="n">
        <x:v>515</x:v>
      </x:c>
      <x:c r="G2363" s="34" t="str">
        <x:v>RECORDED</x:v>
      </x:c>
      <x:c r="H2363" s="38" t="n">
        <x:f>IF(ISNUMBER('Data'!H655),'Data'!H655*100,"")</x:f>
        <x:v>59.81000000000001</x:v>
      </x:c>
      <x:c r="I2363" s="34" t="str">
        <x:v>PASS</x:v>
      </x:c>
      <x:c r="J2363" s="34" t="str">
        <x:v>PASS</x:v>
      </x:c>
      <x:c r="K2363" s="34" t="str">
        <x:v>PASS</x:v>
      </x:c>
      <x:c r="L2363" s="34" t="str">
        <x:v>FAIL</x:v>
      </x:c>
      <x:c r="M2363" s="34" t="str">
        <x:v>numeric coverage for applicable metric</x:v>
      </x:c>
      <x:c r="N2363" s="34" t="str">
        <x:v>Feedback-Directed Random Test Generation/Result/Lang_34/result.json</x:v>
      </x:c>
      <x:c r="O2363" s="38" t="n">
        <x:f>IF(AND(G2363="RECORDED",ISNUMBER(H2363)),H2363,"")</x:f>
        <x:v>59.81000000000001</x:v>
      </x:c>
      <x:c r="P2363" s="34" t="str">
        <x:v>INCONCLUSIVE</x:v>
      </x:c>
      <x:c r="Q2363" s="34" t="str">
        <x:v>Feedback-Directed Random Test Generation/Result/Lang_34/result.json</x:v>
      </x:c>
    </x:row>
    <x:row r="2364">
      <x:c r="A2364" s="34" t="str">
        <x:v>randoop</x:v>
      </x:c>
      <x:c r="B2364" s="34" t="str">
        <x:v>Lang</x:v>
      </x:c>
      <x:c r="C2364" s="34" t="str">
        <x:v>Round1</x:v>
      </x:c>
      <x:c r="D2364" s="34" t="str">
        <x:v>Lang_35</x:v>
      </x:c>
      <x:c r="E2364" s="34" t="str">
        <x:v>Line</x:v>
      </x:c>
      <x:c r="F2364" s="34" t="n">
        <x:v>964</x:v>
      </x:c>
      <x:c r="G2364" s="34" t="str">
        <x:v>RECORDED</x:v>
      </x:c>
      <x:c r="H2364" s="38" t="n">
        <x:f>IF(ISNUMBER('Data'!H656),'Data'!H656*100,"")</x:f>
        <x:v>99.07</x:v>
      </x:c>
      <x:c r="I2364" s="34" t="str">
        <x:v>PASS</x:v>
      </x:c>
      <x:c r="J2364" s="34" t="str">
        <x:v>PASS</x:v>
      </x:c>
      <x:c r="K2364" s="34" t="str">
        <x:v>PASS</x:v>
      </x:c>
      <x:c r="L2364" s="34" t="str">
        <x:v>PASS</x:v>
      </x:c>
      <x:c r="M2364" s="34" t="str">
        <x:v>numeric coverage for applicable metric</x:v>
      </x:c>
      <x:c r="N2364" s="34" t="str">
        <x:v>Feedback-Directed Random Test Generation/Result/Lang_35/result.json</x:v>
      </x:c>
      <x:c r="O2364" s="38" t="n">
        <x:f>IF(AND(G2364="RECORDED",ISNUMBER(H2364)),H2364,"")</x:f>
        <x:v>99.07</x:v>
      </x:c>
      <x:c r="P2364" s="34" t="str">
        <x:v>NOT_REVEALING</x:v>
      </x:c>
      <x:c r="Q2364" s="34" t="str">
        <x:v>Feedback-Directed Random Test Generation/Result/Lang_35/result.json</x:v>
      </x:c>
    </x:row>
    <x:row r="2365">
      <x:c r="A2365" s="34" t="str">
        <x:v>randoop</x:v>
      </x:c>
      <x:c r="B2365" s="34" t="str">
        <x:v>Lang</x:v>
      </x:c>
      <x:c r="C2365" s="34" t="str">
        <x:v>Round1</x:v>
      </x:c>
      <x:c r="D2365" s="34" t="str">
        <x:v>Lang_36</x:v>
      </x:c>
      <x:c r="E2365" s="34" t="str">
        <x:v>Line</x:v>
      </x:c>
      <x:c r="F2365" s="34" t="n">
        <x:v>370</x:v>
      </x:c>
      <x:c r="G2365" s="34" t="str">
        <x:v>RECORDED</x:v>
      </x:c>
      <x:c r="H2365" s="38" t="n">
        <x:f>IF(ISNUMBER('Data'!H657),'Data'!H657*100,"")</x:f>
        <x:v>71.08</x:v>
      </x:c>
      <x:c r="I2365" s="34" t="str">
        <x:v>PASS</x:v>
      </x:c>
      <x:c r="J2365" s="34" t="str">
        <x:v>PASS</x:v>
      </x:c>
      <x:c r="K2365" s="34" t="str">
        <x:v>PASS</x:v>
      </x:c>
      <x:c r="L2365" s="34" t="str">
        <x:v>PASS</x:v>
      </x:c>
      <x:c r="M2365" s="34" t="str">
        <x:v>numeric coverage for applicable metric</x:v>
      </x:c>
      <x:c r="N2365" s="34" t="str">
        <x:v>Feedback-Directed Random Test Generation/Result/Lang_36/result.json</x:v>
      </x:c>
      <x:c r="O2365" s="38" t="n">
        <x:f>IF(AND(G2365="RECORDED",ISNUMBER(H2365)),H2365,"")</x:f>
        <x:v>71.08</x:v>
      </x:c>
      <x:c r="P2365" s="34" t="str">
        <x:v>NOT_REVEALING</x:v>
      </x:c>
      <x:c r="Q2365" s="34" t="str">
        <x:v>Feedback-Directed Random Test Generation/Result/Lang_36/result.json</x:v>
      </x:c>
    </x:row>
    <x:row r="2366">
      <x:c r="A2366" s="34" t="str">
        <x:v>randoop</x:v>
      </x:c>
      <x:c r="B2366" s="34" t="str">
        <x:v>Lang</x:v>
      </x:c>
      <x:c r="C2366" s="34" t="str">
        <x:v>Round1</x:v>
      </x:c>
      <x:c r="D2366" s="34" t="str">
        <x:v>Lang_37</x:v>
      </x:c>
      <x:c r="E2366" s="34" t="str">
        <x:v>Line</x:v>
      </x:c>
      <x:c r="F2366" s="34" t="n">
        <x:v>951</x:v>
      </x:c>
      <x:c r="G2366" s="34" t="str">
        <x:v>RECORDED</x:v>
      </x:c>
      <x:c r="H2366" s="38" t="n">
        <x:f>IF(ISNUMBER('Data'!H658),'Data'!H658*100,"")</x:f>
        <x:v>98.32</x:v>
      </x:c>
      <x:c r="I2366" s="34" t="str">
        <x:v>PASS</x:v>
      </x:c>
      <x:c r="J2366" s="34" t="str">
        <x:v>PASS</x:v>
      </x:c>
      <x:c r="K2366" s="34" t="str">
        <x:v>PASS</x:v>
      </x:c>
      <x:c r="L2366" s="34" t="str">
        <x:v>PASS</x:v>
      </x:c>
      <x:c r="M2366" s="34" t="str">
        <x:v>numeric coverage for applicable metric</x:v>
      </x:c>
      <x:c r="N2366" s="34" t="str">
        <x:v>Feedback-Directed Random Test Generation/Result/Lang_37/result.json</x:v>
      </x:c>
      <x:c r="O2366" s="38" t="n">
        <x:f>IF(AND(G2366="RECORDED",ISNUMBER(H2366)),H2366,"")</x:f>
        <x:v>98.32</x:v>
      </x:c>
      <x:c r="P2366" s="34" t="str">
        <x:v>INCONCLUSIVE</x:v>
      </x:c>
      <x:c r="Q2366" s="34" t="str">
        <x:v>Feedback-Directed Random Test Generation/Result/Lang_37/result.json</x:v>
      </x:c>
    </x:row>
    <x:row r="2367">
      <x:c r="A2367" s="34" t="str">
        <x:v>randoop</x:v>
      </x:c>
      <x:c r="B2367" s="34" t="str">
        <x:v>Lang</x:v>
      </x:c>
      <x:c r="C2367" s="34" t="str">
        <x:v>Round1</x:v>
      </x:c>
      <x:c r="D2367" s="34" t="str">
        <x:v>Lang_38</x:v>
      </x:c>
      <x:c r="E2367" s="34" t="str">
        <x:v>Line</x:v>
      </x:c>
      <x:c r="F2367" s="34" t="n">
        <x:v>464</x:v>
      </x:c>
      <x:c r="G2367" s="34" t="str">
        <x:v>RECORDED</x:v>
      </x:c>
      <x:c r="H2367" s="38" t="n">
        <x:f>IF(ISNUMBER('Data'!H659),'Data'!H659*100,"")</x:f>
        <x:v>74.78</x:v>
      </x:c>
      <x:c r="I2367" s="34" t="str">
        <x:v>PASS</x:v>
      </x:c>
      <x:c r="J2367" s="34" t="str">
        <x:v>PASS</x:v>
      </x:c>
      <x:c r="K2367" s="34" t="str">
        <x:v>PASS</x:v>
      </x:c>
      <x:c r="L2367" s="34" t="str">
        <x:v>FAIL</x:v>
      </x:c>
      <x:c r="M2367" s="34" t="str">
        <x:v>numeric coverage for applicable metric</x:v>
      </x:c>
      <x:c r="N2367" s="34" t="str">
        <x:v>Feedback-Directed Random Test Generation/Result/Lang_38/result.json</x:v>
      </x:c>
      <x:c r="O2367" s="38" t="n">
        <x:f>IF(AND(G2367="RECORDED",ISNUMBER(H2367)),H2367,"")</x:f>
        <x:v>74.78</x:v>
      </x:c>
      <x:c r="P2367" s="34" t="str">
        <x:v>INCONCLUSIVE</x:v>
      </x:c>
      <x:c r="Q2367" s="34" t="str">
        <x:v>Feedback-Directed Random Test Generation/Result/Lang_38/result.json</x:v>
      </x:c>
    </x:row>
    <x:row r="2368">
      <x:c r="A2368" s="34" t="str">
        <x:v>randoop</x:v>
      </x:c>
      <x:c r="B2368" s="34" t="str">
        <x:v>Lang</x:v>
      </x:c>
      <x:c r="C2368" s="34" t="str">
        <x:v>Round1</x:v>
      </x:c>
      <x:c r="D2368" s="34" t="str">
        <x:v>Lang_39</x:v>
      </x:c>
      <x:c r="E2368" s="34" t="str">
        <x:v>Line</x:v>
      </x:c>
      <x:c r="F2368" s="34" t="n">
        <x:v>1126</x:v>
      </x:c>
      <x:c r="G2368" s="34" t="str">
        <x:v>RECORDED</x:v>
      </x:c>
      <x:c r="H2368" s="38" t="n">
        <x:f>IF(ISNUMBER('Data'!H660),'Data'!H660*100,"")</x:f>
        <x:v>85.88</x:v>
      </x:c>
      <x:c r="I2368" s="34" t="str">
        <x:v>PASS</x:v>
      </x:c>
      <x:c r="J2368" s="34" t="str">
        <x:v>PASS</x:v>
      </x:c>
      <x:c r="K2368" s="34" t="str">
        <x:v>PASS</x:v>
      </x:c>
      <x:c r="L2368" s="34" t="str">
        <x:v>PASS</x:v>
      </x:c>
      <x:c r="M2368" s="34" t="str">
        <x:v>numeric coverage for applicable metric</x:v>
      </x:c>
      <x:c r="N2368" s="34" t="str">
        <x:v>Feedback-Directed Random Test Generation/Result/Lang_39/result.json</x:v>
      </x:c>
      <x:c r="O2368" s="38" t="n">
        <x:f>IF(AND(G2368="RECORDED",ISNUMBER(H2368)),H2368,"")</x:f>
        <x:v>85.88</x:v>
      </x:c>
      <x:c r="P2368" s="34" t="str">
        <x:v>NOT_REVEALING</x:v>
      </x:c>
      <x:c r="Q2368" s="34" t="str">
        <x:v>Feedback-Directed Random Test Generation/Result/Lang_39/result.json</x:v>
      </x:c>
    </x:row>
    <x:row r="2369">
      <x:c r="A2369" s="34" t="str">
        <x:v>randoop</x:v>
      </x:c>
      <x:c r="B2369" s="34" t="str">
        <x:v>Lang</x:v>
      </x:c>
      <x:c r="C2369" s="34" t="str">
        <x:v>Round1</x:v>
      </x:c>
      <x:c r="D2369" s="34" t="str">
        <x:v>Lang_40</x:v>
      </x:c>
      <x:c r="E2369" s="34" t="str">
        <x:v>Line</x:v>
      </x:c>
      <x:c r="F2369" s="34" t="n">
        <x:v>1096</x:v>
      </x:c>
      <x:c r="G2369" s="34" t="str">
        <x:v>RECORDED</x:v>
      </x:c>
      <x:c r="H2369" s="38" t="n">
        <x:f>IF(ISNUMBER('Data'!H661),'Data'!H661*100,"")</x:f>
        <x:v>87.5</x:v>
      </x:c>
      <x:c r="I2369" s="34" t="str">
        <x:v>PASS</x:v>
      </x:c>
      <x:c r="J2369" s="34" t="str">
        <x:v>PASS</x:v>
      </x:c>
      <x:c r="K2369" s="34" t="str">
        <x:v>PASS</x:v>
      </x:c>
      <x:c r="L2369" s="34" t="str">
        <x:v>PASS</x:v>
      </x:c>
      <x:c r="M2369" s="34" t="str">
        <x:v>numeric coverage for applicable metric</x:v>
      </x:c>
      <x:c r="N2369" s="34" t="str">
        <x:v>Feedback-Directed Random Test Generation/Result/Lang_40/result.json</x:v>
      </x:c>
      <x:c r="O2369" s="38" t="n">
        <x:f>IF(AND(G2369="RECORDED",ISNUMBER(H2369)),H2369,"")</x:f>
        <x:v>87.5</x:v>
      </x:c>
      <x:c r="P2369" s="34" t="str">
        <x:v>NOT_REVEALING</x:v>
      </x:c>
      <x:c r="Q2369" s="34" t="str">
        <x:v>Feedback-Directed Random Test Generation/Result/Lang_40/result.json</x:v>
      </x:c>
    </x:row>
    <x:row r="2370">
      <x:c r="A2370" s="34" t="str">
        <x:v>randoop</x:v>
      </x:c>
      <x:c r="B2370" s="34" t="str">
        <x:v>Lang</x:v>
      </x:c>
      <x:c r="C2370" s="34" t="str">
        <x:v>Round1</x:v>
      </x:c>
      <x:c r="D2370" s="34" t="str">
        <x:v>Lang_41</x:v>
      </x:c>
      <x:c r="E2370" s="34" t="str">
        <x:v>Line</x:v>
      </x:c>
      <x:c r="F2370" s="34" t="n">
        <x:v>273</x:v>
      </x:c>
      <x:c r="G2370" s="34" t="str">
        <x:v>RECORDED</x:v>
      </x:c>
      <x:c r="H2370" s="38" t="n">
        <x:f>IF(ISNUMBER('Data'!H662),'Data'!H662*100,"")</x:f>
        <x:v>56.41</x:v>
      </x:c>
      <x:c r="I2370" s="34" t="str">
        <x:v>PASS</x:v>
      </x:c>
      <x:c r="J2370" s="34" t="str">
        <x:v>PASS</x:v>
      </x:c>
      <x:c r="K2370" s="34" t="str">
        <x:v>PASS</x:v>
      </x:c>
      <x:c r="L2370" s="34" t="str">
        <x:v>PASS</x:v>
      </x:c>
      <x:c r="M2370" s="34" t="str">
        <x:v>numeric coverage for applicable metric</x:v>
      </x:c>
      <x:c r="N2370" s="34" t="str">
        <x:v>Feedback-Directed Random Test Generation/Result/Lang_41/result.json</x:v>
      </x:c>
      <x:c r="O2370" s="38" t="n">
        <x:f>IF(AND(G2370="RECORDED",ISNUMBER(H2370)),H2370,"")</x:f>
        <x:v>56.41</x:v>
      </x:c>
      <x:c r="P2370" s="34" t="str">
        <x:v>INCONCLUSIVE</x:v>
      </x:c>
      <x:c r="Q2370" s="34" t="str">
        <x:v>Feedback-Directed Random Test Generation/Result/Lang_41/result.json</x:v>
      </x:c>
    </x:row>
    <x:row r="2371">
      <x:c r="A2371" s="34" t="str">
        <x:v>randoop</x:v>
      </x:c>
      <x:c r="B2371" s="34" t="str">
        <x:v>Lang</x:v>
      </x:c>
      <x:c r="C2371" s="34" t="str">
        <x:v>Round1</x:v>
      </x:c>
      <x:c r="D2371" s="34" t="str">
        <x:v>Lang_42</x:v>
      </x:c>
      <x:c r="E2371" s="34" t="str">
        <x:v>Line</x:v>
      </x:c>
      <x:c r="F2371" s="34" t="n">
        <x:v>207</x:v>
      </x:c>
      <x:c r="G2371" s="34" t="str">
        <x:v>RECORDED</x:v>
      </x:c>
      <x:c r="H2371" s="38" t="n">
        <x:f>IF(ISNUMBER('Data'!H663),'Data'!H663*100,"")</x:f>
        <x:v>71.5</x:v>
      </x:c>
      <x:c r="I2371" s="34" t="str">
        <x:v>PASS</x:v>
      </x:c>
      <x:c r="J2371" s="34" t="str">
        <x:v>PASS</x:v>
      </x:c>
      <x:c r="K2371" s="34" t="str">
        <x:v>PASS</x:v>
      </x:c>
      <x:c r="L2371" s="34" t="str">
        <x:v>FAIL</x:v>
      </x:c>
      <x:c r="M2371" s="34" t="str">
        <x:v>numeric coverage for applicable metric</x:v>
      </x:c>
      <x:c r="N2371" s="34" t="str">
        <x:v>Feedback-Directed Random Test Generation/Result/Lang_42/result.json</x:v>
      </x:c>
      <x:c r="O2371" s="38" t="n">
        <x:f>IF(AND(G2371="RECORDED",ISNUMBER(H2371)),H2371,"")</x:f>
        <x:v>71.5</x:v>
      </x:c>
      <x:c r="P2371" s="34" t="str">
        <x:v>INCONCLUSIVE</x:v>
      </x:c>
      <x:c r="Q2371" s="34" t="str">
        <x:v>Feedback-Directed Random Test Generation/Result/Lang_42/result.json</x:v>
      </x:c>
    </x:row>
    <x:row r="2372">
      <x:c r="A2372" s="34" t="str">
        <x:v>randoop</x:v>
      </x:c>
      <x:c r="B2372" s="34" t="str">
        <x:v>Lang</x:v>
      </x:c>
      <x:c r="C2372" s="34" t="str">
        <x:v>Round1</x:v>
      </x:c>
      <x:c r="D2372" s="34" t="str">
        <x:v>Lang_43</x:v>
      </x:c>
      <x:c r="E2372" s="34" t="str">
        <x:v>Line</x:v>
      </x:c>
      <x:c r="F2372" s="34" t="n">
        <x:v>166</x:v>
      </x:c>
      <x:c r="G2372" s="34" t="str">
        <x:v>RECORDED</x:v>
      </x:c>
      <x:c r="H2372" s="38" t="n">
        <x:f>IF(ISNUMBER('Data'!H664),'Data'!H664*100,"")</x:f>
        <x:v>12.05</x:v>
      </x:c>
      <x:c r="I2372" s="34" t="str">
        <x:v>PASS</x:v>
      </x:c>
      <x:c r="J2372" s="34" t="str">
        <x:v>PASS</x:v>
      </x:c>
      <x:c r="K2372" s="34" t="str">
        <x:v>PASS</x:v>
      </x:c>
      <x:c r="L2372" s="34" t="str">
        <x:v>PASS</x:v>
      </x:c>
      <x:c r="M2372" s="34" t="str">
        <x:v>numeric coverage for applicable metric</x:v>
      </x:c>
      <x:c r="N2372" s="34" t="str">
        <x:v>Feedback-Directed Random Test Generation/Result/Lang_43/result.json</x:v>
      </x:c>
      <x:c r="O2372" s="38" t="n">
        <x:f>IF(AND(G2372="RECORDED",ISNUMBER(H2372)),H2372,"")</x:f>
        <x:v>12.05</x:v>
      </x:c>
      <x:c r="P2372" s="34" t="str">
        <x:v>NOT_REVEALING</x:v>
      </x:c>
      <x:c r="Q2372" s="34" t="str">
        <x:v>Feedback-Directed Random Test Generation/Result/Lang_43/result.json</x:v>
      </x:c>
    </x:row>
    <x:row r="2373">
      <x:c r="A2373" s="34" t="str">
        <x:v>randoop</x:v>
      </x:c>
      <x:c r="B2373" s="34" t="str">
        <x:v>Lang</x:v>
      </x:c>
      <x:c r="C2373" s="34" t="str">
        <x:v>Round1</x:v>
      </x:c>
      <x:c r="D2373" s="34" t="str">
        <x:v>Lang_44</x:v>
      </x:c>
      <x:c r="E2373" s="34" t="str">
        <x:v>Line</x:v>
      </x:c>
      <x:c r="F2373" s="34" t="n">
        <x:v>190</x:v>
      </x:c>
      <x:c r="G2373" s="34" t="str">
        <x:v>RECORDED</x:v>
      </x:c>
      <x:c r="H2373" s="38" t="n">
        <x:f>IF(ISNUMBER('Data'!H665),'Data'!H665*100,"")</x:f>
        <x:v>50</x:v>
      </x:c>
      <x:c r="I2373" s="34" t="str">
        <x:v>PASS</x:v>
      </x:c>
      <x:c r="J2373" s="34" t="str">
        <x:v>PASS</x:v>
      </x:c>
      <x:c r="K2373" s="34" t="str">
        <x:v>PASS</x:v>
      </x:c>
      <x:c r="L2373" s="34" t="str">
        <x:v>PASS</x:v>
      </x:c>
      <x:c r="M2373" s="34" t="str">
        <x:v>numeric coverage for applicable metric</x:v>
      </x:c>
      <x:c r="N2373" s="34" t="str">
        <x:v>Feedback-Directed Random Test Generation/Result/Lang_44/result.json</x:v>
      </x:c>
      <x:c r="O2373" s="38" t="n">
        <x:f>IF(AND(G2373="RECORDED",ISNUMBER(H2373)),H2373,"")</x:f>
        <x:v>50</x:v>
      </x:c>
      <x:c r="P2373" s="34" t="str">
        <x:v>NOT_REVEALING</x:v>
      </x:c>
      <x:c r="Q2373" s="34" t="str">
        <x:v>Feedback-Directed Random Test Generation/Result/Lang_44/result.json</x:v>
      </x:c>
    </x:row>
    <x:row r="2374">
      <x:c r="A2374" s="34" t="str">
        <x:v>randoop</x:v>
      </x:c>
      <x:c r="B2374" s="34" t="str">
        <x:v>Lang</x:v>
      </x:c>
      <x:c r="C2374" s="34" t="str">
        <x:v>Round1</x:v>
      </x:c>
      <x:c r="D2374" s="34" t="str">
        <x:v>Lang_45</x:v>
      </x:c>
      <x:c r="E2374" s="34" t="str">
        <x:v>Line</x:v>
      </x:c>
      <x:c r="F2374" s="34" t="n">
        <x:v>138</x:v>
      </x:c>
      <x:c r="G2374" s="34" t="str">
        <x:v>RECORDED</x:v>
      </x:c>
      <x:c r="H2374" s="38" t="n">
        <x:f>IF(ISNUMBER('Data'!H666),'Data'!H666*100,"")</x:f>
        <x:v>84.06</x:v>
      </x:c>
      <x:c r="I2374" s="34" t="str">
        <x:v>PASS</x:v>
      </x:c>
      <x:c r="J2374" s="34" t="str">
        <x:v>PASS</x:v>
      </x:c>
      <x:c r="K2374" s="34" t="str">
        <x:v>PASS</x:v>
      </x:c>
      <x:c r="L2374" s="34" t="str">
        <x:v>PASS</x:v>
      </x:c>
      <x:c r="M2374" s="34" t="str">
        <x:v>numeric coverage for applicable metric</x:v>
      </x:c>
      <x:c r="N2374" s="34" t="str">
        <x:v>Feedback-Directed Random Test Generation/Result/Lang_45/result.json</x:v>
      </x:c>
      <x:c r="O2374" s="38" t="n">
        <x:f>IF(AND(G2374="RECORDED",ISNUMBER(H2374)),H2374,"")</x:f>
        <x:v>84.06</x:v>
      </x:c>
      <x:c r="P2374" s="34" t="str">
        <x:v>INCONCLUSIVE</x:v>
      </x:c>
      <x:c r="Q2374" s="34" t="str">
        <x:v>Feedback-Directed Random Test Generation/Result/Lang_45/result.json</x:v>
      </x:c>
    </x:row>
    <x:row r="2375">
      <x:c r="A2375" s="34" t="str">
        <x:v>randoop</x:v>
      </x:c>
      <x:c r="B2375" s="34" t="str">
        <x:v>Lang</x:v>
      </x:c>
      <x:c r="C2375" s="34" t="str">
        <x:v>Round1</x:v>
      </x:c>
      <x:c r="D2375" s="34" t="str">
        <x:v>Lang_46</x:v>
      </x:c>
      <x:c r="E2375" s="34" t="str">
        <x:v>Line</x:v>
      </x:c>
      <x:c r="F2375" s="34" t="n">
        <x:v>221</x:v>
      </x:c>
      <x:c r="G2375" s="34" t="str">
        <x:v>RECORDED</x:v>
      </x:c>
      <x:c r="H2375" s="38" t="n">
        <x:f>IF(ISNUMBER('Data'!H667),'Data'!H667*100,"")</x:f>
        <x:v>40.72</x:v>
      </x:c>
      <x:c r="I2375" s="34" t="str">
        <x:v>PASS</x:v>
      </x:c>
      <x:c r="J2375" s="34" t="str">
        <x:v>PASS</x:v>
      </x:c>
      <x:c r="K2375" s="34" t="str">
        <x:v>PASS</x:v>
      </x:c>
      <x:c r="L2375" s="34" t="str">
        <x:v>PASS</x:v>
      </x:c>
      <x:c r="M2375" s="34" t="str">
        <x:v>numeric coverage for applicable metric</x:v>
      </x:c>
      <x:c r="N2375" s="34" t="str">
        <x:v>Feedback-Directed Random Test Generation/Result/Lang_46/result.json</x:v>
      </x:c>
      <x:c r="O2375" s="38" t="n">
        <x:f>IF(AND(G2375="RECORDED",ISNUMBER(H2375)),H2375,"")</x:f>
        <x:v>40.72</x:v>
      </x:c>
      <x:c r="P2375" s="34" t="str">
        <x:v>NOT_REVEALING</x:v>
      </x:c>
      <x:c r="Q2375" s="34" t="str">
        <x:v>Feedback-Directed Random Test Generation/Result/Lang_46/result.json</x:v>
      </x:c>
    </x:row>
    <x:row r="2376">
      <x:c r="A2376" s="34" t="str">
        <x:v>randoop</x:v>
      </x:c>
      <x:c r="B2376" s="34" t="str">
        <x:v>Lang</x:v>
      </x:c>
      <x:c r="C2376" s="34" t="str">
        <x:v>Round1</x:v>
      </x:c>
      <x:c r="D2376" s="34" t="str">
        <x:v>Lang_47</x:v>
      </x:c>
      <x:c r="E2376" s="34" t="str">
        <x:v>Line</x:v>
      </x:c>
      <x:c r="F2376" s="34" t="n">
        <x:v>696</x:v>
      </x:c>
      <x:c r="G2376" s="34" t="str">
        <x:v>RECORDED</x:v>
      </x:c>
      <x:c r="H2376" s="38" t="n">
        <x:f>IF(ISNUMBER('Data'!H668),'Data'!H668*100,"")</x:f>
        <x:v>96.41</x:v>
      </x:c>
      <x:c r="I2376" s="34" t="str">
        <x:v>PASS</x:v>
      </x:c>
      <x:c r="J2376" s="34" t="str">
        <x:v>PASS</x:v>
      </x:c>
      <x:c r="K2376" s="34" t="str">
        <x:v>PASS</x:v>
      </x:c>
      <x:c r="L2376" s="34" t="str">
        <x:v>FAIL</x:v>
      </x:c>
      <x:c r="M2376" s="34" t="str">
        <x:v>numeric coverage for applicable metric</x:v>
      </x:c>
      <x:c r="N2376" s="34" t="str">
        <x:v>Feedback-Directed Random Test Generation/Result/Lang_47/result.json</x:v>
      </x:c>
      <x:c r="O2376" s="38" t="n">
        <x:f>IF(AND(G2376="RECORDED",ISNUMBER(H2376)),H2376,"")</x:f>
        <x:v>96.41</x:v>
      </x:c>
      <x:c r="P2376" s="34" t="str">
        <x:v>INCONCLUSIVE</x:v>
      </x:c>
      <x:c r="Q2376" s="34" t="str">
        <x:v>Feedback-Directed Random Test Generation/Result/Lang_47/result.json</x:v>
      </x:c>
    </x:row>
    <x:row r="2377">
      <x:c r="A2377" s="34" t="str">
        <x:v>randoop</x:v>
      </x:c>
      <x:c r="B2377" s="34" t="str">
        <x:v>Lang</x:v>
      </x:c>
      <x:c r="C2377" s="34" t="str">
        <x:v>Round1</x:v>
      </x:c>
      <x:c r="D2377" s="34" t="str">
        <x:v>Lang_49</x:v>
      </x:c>
      <x:c r="E2377" s="34" t="str">
        <x:v>Line</x:v>
      </x:c>
      <x:c r="F2377" s="34" t="n">
        <x:v>276</x:v>
      </x:c>
      <x:c r="G2377" s="34" t="str">
        <x:v>RECORDED</x:v>
      </x:c>
      <x:c r="H2377" s="38" t="n">
        <x:f>IF(ISNUMBER('Data'!H669),'Data'!H669*100,"")</x:f>
        <x:v>92.39</x:v>
      </x:c>
      <x:c r="I2377" s="34" t="str">
        <x:v>PASS</x:v>
      </x:c>
      <x:c r="J2377" s="34" t="str">
        <x:v>PASS</x:v>
      </x:c>
      <x:c r="K2377" s="34" t="str">
        <x:v>PASS</x:v>
      </x:c>
      <x:c r="L2377" s="34" t="str">
        <x:v>PASS</x:v>
      </x:c>
      <x:c r="M2377" s="34" t="str">
        <x:v>numeric coverage for applicable metric</x:v>
      </x:c>
      <x:c r="N2377" s="34" t="str">
        <x:v>Feedback-Directed Random Test Generation/Result/Lang_49/result.json</x:v>
      </x:c>
      <x:c r="O2377" s="38" t="n">
        <x:f>IF(AND(G2377="RECORDED",ISNUMBER(H2377)),H2377,"")</x:f>
        <x:v>92.39</x:v>
      </x:c>
      <x:c r="P2377" s="34" t="str">
        <x:v>NOT_REVEALING</x:v>
      </x:c>
      <x:c r="Q2377" s="34" t="str">
        <x:v>Feedback-Directed Random Test Generation/Result/Lang_49/result.json</x:v>
      </x:c>
    </x:row>
    <x:row r="2378">
      <x:c r="A2378" s="34" t="str">
        <x:v>randoop</x:v>
      </x:c>
      <x:c r="B2378" s="34" t="str">
        <x:v>Lang</x:v>
      </x:c>
      <x:c r="C2378" s="34" t="str">
        <x:v>Round1</x:v>
      </x:c>
      <x:c r="D2378" s="34" t="str">
        <x:v>Lang_50</x:v>
      </x:c>
      <x:c r="E2378" s="34" t="str">
        <x:v>Line</x:v>
      </x:c>
      <x:c r="F2378" s="34" t="n">
        <x:v>467</x:v>
      </x:c>
      <x:c r="G2378" s="34" t="str">
        <x:v>RECORDED</x:v>
      </x:c>
      <x:c r="H2378" s="38" t="n">
        <x:f>IF(ISNUMBER('Data'!H670),'Data'!H670*100,"")</x:f>
        <x:v>78.8</x:v>
      </x:c>
      <x:c r="I2378" s="34" t="str">
        <x:v>PASS</x:v>
      </x:c>
      <x:c r="J2378" s="34" t="str">
        <x:v>PASS</x:v>
      </x:c>
      <x:c r="K2378" s="34" t="str">
        <x:v>PASS</x:v>
      </x:c>
      <x:c r="L2378" s="34" t="str">
        <x:v>FAIL</x:v>
      </x:c>
      <x:c r="M2378" s="34" t="str">
        <x:v>numeric coverage for applicable metric</x:v>
      </x:c>
      <x:c r="N2378" s="34" t="str">
        <x:v>Feedback-Directed Random Test Generation/Result/Lang_50/result.json</x:v>
      </x:c>
      <x:c r="O2378" s="38" t="n">
        <x:f>IF(AND(G2378="RECORDED",ISNUMBER(H2378)),H2378,"")</x:f>
        <x:v>78.8</x:v>
      </x:c>
      <x:c r="P2378" s="34" t="str">
        <x:v>INCONCLUSIVE</x:v>
      </x:c>
      <x:c r="Q2378" s="34" t="str">
        <x:v>Feedback-Directed Random Test Generation/Result/Lang_50/result.json</x:v>
      </x:c>
    </x:row>
    <x:row r="2379">
      <x:c r="A2379" s="34" t="str">
        <x:v>randoop</x:v>
      </x:c>
      <x:c r="B2379" s="34" t="str">
        <x:v>Lang</x:v>
      </x:c>
      <x:c r="C2379" s="34" t="str">
        <x:v>Round1</x:v>
      </x:c>
      <x:c r="D2379" s="34" t="str">
        <x:v>Lang_51</x:v>
      </x:c>
      <x:c r="E2379" s="34" t="str">
        <x:v>Line</x:v>
      </x:c>
      <x:c r="F2379" s="34" t="n">
        <x:v>171</x:v>
      </x:c>
      <x:c r="G2379" s="34" t="str">
        <x:v>RECORDED</x:v>
      </x:c>
      <x:c r="H2379" s="38" t="n">
        <x:f>IF(ISNUMBER('Data'!H671),'Data'!H671*100,"")</x:f>
        <x:v>74.27</x:v>
      </x:c>
      <x:c r="I2379" s="34" t="str">
        <x:v>PASS</x:v>
      </x:c>
      <x:c r="J2379" s="34" t="str">
        <x:v>PASS</x:v>
      </x:c>
      <x:c r="K2379" s="34" t="str">
        <x:v>PASS</x:v>
      </x:c>
      <x:c r="L2379" s="34" t="str">
        <x:v>PASS</x:v>
      </x:c>
      <x:c r="M2379" s="34" t="str">
        <x:v>numeric coverage for applicable metric</x:v>
      </x:c>
      <x:c r="N2379" s="34" t="str">
        <x:v>Feedback-Directed Random Test Generation/Result/Lang_51/result.json</x:v>
      </x:c>
      <x:c r="O2379" s="38" t="n">
        <x:f>IF(AND(G2379="RECORDED",ISNUMBER(H2379)),H2379,"")</x:f>
        <x:v>74.27</x:v>
      </x:c>
      <x:c r="P2379" s="34" t="str">
        <x:v>NOT_REVEALING</x:v>
      </x:c>
      <x:c r="Q2379" s="34" t="str">
        <x:v>Feedback-Directed Random Test Generation/Result/Lang_51/result.json</x:v>
      </x:c>
    </x:row>
    <x:row r="2380">
      <x:c r="A2380" s="34" t="str">
        <x:v>randoop</x:v>
      </x:c>
      <x:c r="B2380" s="34" t="str">
        <x:v>Lang</x:v>
      </x:c>
      <x:c r="C2380" s="34" t="str">
        <x:v>Round1</x:v>
      </x:c>
      <x:c r="D2380" s="34" t="str">
        <x:v>Lang_52</x:v>
      </x:c>
      <x:c r="E2380" s="34" t="str">
        <x:v>Line</x:v>
      </x:c>
      <x:c r="F2380" s="34" t="n">
        <x:v>175</x:v>
      </x:c>
      <x:c r="G2380" s="34" t="str">
        <x:v>RECORDED</x:v>
      </x:c>
      <x:c r="H2380" s="38" t="n">
        <x:f>IF(ISNUMBER('Data'!H672),'Data'!H672*100,"")</x:f>
        <x:v>41.14</x:v>
      </x:c>
      <x:c r="I2380" s="34" t="str">
        <x:v>PASS</x:v>
      </x:c>
      <x:c r="J2380" s="34" t="str">
        <x:v>PASS</x:v>
      </x:c>
      <x:c r="K2380" s="34" t="str">
        <x:v>PASS</x:v>
      </x:c>
      <x:c r="L2380" s="34" t="str">
        <x:v>PASS</x:v>
      </x:c>
      <x:c r="M2380" s="34" t="str">
        <x:v>numeric coverage for applicable metric</x:v>
      </x:c>
      <x:c r="N2380" s="34" t="str">
        <x:v>Feedback-Directed Random Test Generation/Result/Lang_52/result.json</x:v>
      </x:c>
      <x:c r="O2380" s="38" t="n">
        <x:f>IF(AND(G2380="RECORDED",ISNUMBER(H2380)),H2380,"")</x:f>
        <x:v>41.14</x:v>
      </x:c>
      <x:c r="P2380" s="34" t="str">
        <x:v>NOT_REVEALING</x:v>
      </x:c>
      <x:c r="Q2380" s="34" t="str">
        <x:v>Feedback-Directed Random Test Generation/Result/Lang_52/result.json</x:v>
      </x:c>
    </x:row>
    <x:row r="2381">
      <x:c r="A2381" s="34" t="str">
        <x:v>randoop</x:v>
      </x:c>
      <x:c r="B2381" s="34" t="str">
        <x:v>Lang</x:v>
      </x:c>
      <x:c r="C2381" s="34" t="str">
        <x:v>Round1</x:v>
      </x:c>
      <x:c r="D2381" s="34" t="str">
        <x:v>Lang_53</x:v>
      </x:c>
      <x:c r="E2381" s="34" t="str">
        <x:v>Line</x:v>
      </x:c>
      <x:c r="F2381" s="34" t="n">
        <x:v>217</x:v>
      </x:c>
      <x:c r="G2381" s="34" t="str">
        <x:v>RECORDED</x:v>
      </x:c>
      <x:c r="H2381" s="38" t="n">
        <x:f>IF(ISNUMBER('Data'!H673),'Data'!H673*100,"")</x:f>
        <x:v>83.87</x:v>
      </x:c>
      <x:c r="I2381" s="34" t="str">
        <x:v>PASS</x:v>
      </x:c>
      <x:c r="J2381" s="34" t="str">
        <x:v>PASS</x:v>
      </x:c>
      <x:c r="K2381" s="34" t="str">
        <x:v>PASS</x:v>
      </x:c>
      <x:c r="L2381" s="34" t="str">
        <x:v>FAIL</x:v>
      </x:c>
      <x:c r="M2381" s="34" t="str">
        <x:v>numeric coverage for applicable metric</x:v>
      </x:c>
      <x:c r="N2381" s="34" t="str">
        <x:v>Feedback-Directed Random Test Generation/Result/Lang_53/result.json</x:v>
      </x:c>
      <x:c r="O2381" s="38" t="n">
        <x:f>IF(AND(G2381="RECORDED",ISNUMBER(H2381)),H2381,"")</x:f>
        <x:v>83.87</x:v>
      </x:c>
      <x:c r="P2381" s="34" t="str">
        <x:v>INCONCLUSIVE</x:v>
      </x:c>
      <x:c r="Q2381" s="34" t="str">
        <x:v>Feedback-Directed Random Test Generation/Result/Lang_53/result.json</x:v>
      </x:c>
    </x:row>
    <x:row r="2382">
      <x:c r="A2382" s="34" t="str">
        <x:v>randoop</x:v>
      </x:c>
      <x:c r="B2382" s="34" t="str">
        <x:v>Lang</x:v>
      </x:c>
      <x:c r="C2382" s="34" t="str">
        <x:v>Round1</x:v>
      </x:c>
      <x:c r="D2382" s="34" t="str">
        <x:v>Lang_54</x:v>
      </x:c>
      <x:c r="E2382" s="34" t="str">
        <x:v>Line</x:v>
      </x:c>
      <x:c r="F2382" s="34" t="n">
        <x:v>79</x:v>
      </x:c>
      <x:c r="G2382" s="34" t="str">
        <x:v>RECORDED</x:v>
      </x:c>
      <x:c r="H2382" s="38" t="n">
        <x:f>IF(ISNUMBER('Data'!H674),'Data'!H674*100,"")</x:f>
        <x:v>63.29</x:v>
      </x:c>
      <x:c r="I2382" s="34" t="str">
        <x:v>PASS</x:v>
      </x:c>
      <x:c r="J2382" s="34" t="str">
        <x:v>PASS</x:v>
      </x:c>
      <x:c r="K2382" s="34" t="str">
        <x:v>PASS</x:v>
      </x:c>
      <x:c r="L2382" s="34" t="str">
        <x:v>PASS</x:v>
      </x:c>
      <x:c r="M2382" s="34" t="str">
        <x:v>numeric coverage for applicable metric</x:v>
      </x:c>
      <x:c r="N2382" s="34" t="str">
        <x:v>Feedback-Directed Random Test Generation/Result/Lang_54/result.json</x:v>
      </x:c>
      <x:c r="O2382" s="38" t="n">
        <x:f>IF(AND(G2382="RECORDED",ISNUMBER(H2382)),H2382,"")</x:f>
        <x:v>63.29</x:v>
      </x:c>
      <x:c r="P2382" s="34" t="str">
        <x:v>NOT_REVEALING</x:v>
      </x:c>
      <x:c r="Q2382" s="34" t="str">
        <x:v>Feedback-Directed Random Test Generation/Result/Lang_54/result.json</x:v>
      </x:c>
    </x:row>
    <x:row r="2383">
      <x:c r="A2383" s="34" t="str">
        <x:v>randoop</x:v>
      </x:c>
      <x:c r="B2383" s="34" t="str">
        <x:v>Lang</x:v>
      </x:c>
      <x:c r="C2383" s="34" t="str">
        <x:v>Round1</x:v>
      </x:c>
      <x:c r="D2383" s="34" t="str">
        <x:v>Lang_55</x:v>
      </x:c>
      <x:c r="E2383" s="34" t="str">
        <x:v>Line</x:v>
      </x:c>
      <x:c r="F2383" s="34" t="n">
        <x:v>57</x:v>
      </x:c>
      <x:c r="G2383" s="34" t="str">
        <x:v>RECORDED</x:v>
      </x:c>
      <x:c r="H2383" s="38" t="n">
        <x:f>IF(ISNUMBER('Data'!H675),'Data'!H675*100,"")</x:f>
        <x:v>98.25</x:v>
      </x:c>
      <x:c r="I2383" s="34" t="str">
        <x:v>PASS</x:v>
      </x:c>
      <x:c r="J2383" s="34" t="str">
        <x:v>PASS</x:v>
      </x:c>
      <x:c r="K2383" s="34" t="str">
        <x:v>PASS</x:v>
      </x:c>
      <x:c r="L2383" s="34" t="str">
        <x:v>FAIL</x:v>
      </x:c>
      <x:c r="M2383" s="34" t="str">
        <x:v>numeric coverage for applicable metric</x:v>
      </x:c>
      <x:c r="N2383" s="34" t="str">
        <x:v>Feedback-Directed Random Test Generation/Result/Lang_55/result.json</x:v>
      </x:c>
      <x:c r="O2383" s="38" t="n">
        <x:f>IF(AND(G2383="RECORDED",ISNUMBER(H2383)),H2383,"")</x:f>
        <x:v>98.25</x:v>
      </x:c>
      <x:c r="P2383" s="34" t="str">
        <x:v>INCONCLUSIVE</x:v>
      </x:c>
      <x:c r="Q2383" s="34" t="str">
        <x:v>Feedback-Directed Random Test Generation/Result/Lang_55/result.json</x:v>
      </x:c>
    </x:row>
    <x:row r="2384">
      <x:c r="A2384" s="34" t="str">
        <x:v>randoop</x:v>
      </x:c>
      <x:c r="B2384" s="34" t="str">
        <x:v>Lang</x:v>
      </x:c>
      <x:c r="C2384" s="34" t="str">
        <x:v>Round1</x:v>
      </x:c>
      <x:c r="D2384" s="34" t="str">
        <x:v>Lang_56</x:v>
      </x:c>
      <x:c r="E2384" s="34" t="str">
        <x:v>Line</x:v>
      </x:c>
      <x:c r="F2384" s="34" t="n">
        <x:v>464</x:v>
      </x:c>
      <x:c r="G2384" s="34" t="str">
        <x:v>RECORDED</x:v>
      </x:c>
      <x:c r="H2384" s="38" t="n">
        <x:f>IF(ISNUMBER('Data'!H676),'Data'!H676*100,"")</x:f>
        <x:v>79.31</x:v>
      </x:c>
      <x:c r="I2384" s="34" t="str">
        <x:v>PASS</x:v>
      </x:c>
      <x:c r="J2384" s="34" t="str">
        <x:v>PASS</x:v>
      </x:c>
      <x:c r="K2384" s="34" t="str">
        <x:v>PASS</x:v>
      </x:c>
      <x:c r="L2384" s="34" t="str">
        <x:v>FAIL</x:v>
      </x:c>
      <x:c r="M2384" s="34" t="str">
        <x:v>numeric coverage for applicable metric</x:v>
      </x:c>
      <x:c r="N2384" s="34" t="str">
        <x:v>Feedback-Directed Random Test Generation/Result/Lang_56/result.json</x:v>
      </x:c>
      <x:c r="O2384" s="38" t="n">
        <x:f>IF(AND(G2384="RECORDED",ISNUMBER(H2384)),H2384,"")</x:f>
        <x:v>79.31</x:v>
      </x:c>
      <x:c r="P2384" s="34" t="str">
        <x:v>INCONCLUSIVE</x:v>
      </x:c>
      <x:c r="Q2384" s="34" t="str">
        <x:v>Feedback-Directed Random Test Generation/Result/Lang_56/result.json</x:v>
      </x:c>
    </x:row>
    <x:row r="2385">
      <x:c r="A2385" s="34" t="str">
        <x:v>randoop</x:v>
      </x:c>
      <x:c r="B2385" s="34" t="str">
        <x:v>Lang</x:v>
      </x:c>
      <x:c r="C2385" s="34" t="str">
        <x:v>Round1</x:v>
      </x:c>
      <x:c r="D2385" s="34" t="str">
        <x:v>Lang_57</x:v>
      </x:c>
      <x:c r="E2385" s="34" t="str">
        <x:v>Line</x:v>
      </x:c>
      <x:c r="F2385" s="34" t="n">
        <x:v>79</x:v>
      </x:c>
      <x:c r="G2385" s="34" t="str">
        <x:v>RECORDED</x:v>
      </x:c>
      <x:c r="H2385" s="38" t="n">
        <x:f>IF(ISNUMBER('Data'!H677),'Data'!H677*100,"")</x:f>
        <x:v>62.029999999999994</x:v>
      </x:c>
      <x:c r="I2385" s="34" t="str">
        <x:v>PASS</x:v>
      </x:c>
      <x:c r="J2385" s="34" t="str">
        <x:v>PASS</x:v>
      </x:c>
      <x:c r="K2385" s="34" t="str">
        <x:v>PASS</x:v>
      </x:c>
      <x:c r="L2385" s="34" t="str">
        <x:v>PASS</x:v>
      </x:c>
      <x:c r="M2385" s="34" t="str">
        <x:v>numeric coverage for applicable metric</x:v>
      </x:c>
      <x:c r="N2385" s="34" t="str">
        <x:v>Feedback-Directed Random Test Generation/Result/Lang_57/result.json</x:v>
      </x:c>
      <x:c r="O2385" s="38" t="n">
        <x:f>IF(AND(G2385="RECORDED",ISNUMBER(H2385)),H2385,"")</x:f>
        <x:v>62.029999999999994</x:v>
      </x:c>
      <x:c r="P2385" s="34" t="str">
        <x:v>NOT_REVEALING</x:v>
      </x:c>
      <x:c r="Q2385" s="34" t="str">
        <x:v>Feedback-Directed Random Test Generation/Result/Lang_57/result.json</x:v>
      </x:c>
    </x:row>
    <x:row r="2386">
      <x:c r="A2386" s="34" t="str">
        <x:v>randoop</x:v>
      </x:c>
      <x:c r="B2386" s="34" t="str">
        <x:v>Lang</x:v>
      </x:c>
      <x:c r="C2386" s="34" t="str">
        <x:v>Round1</x:v>
      </x:c>
      <x:c r="D2386" s="34" t="str">
        <x:v>Lang_58</x:v>
      </x:c>
      <x:c r="E2386" s="34" t="str">
        <x:v>Line</x:v>
      </x:c>
      <x:c r="F2386" s="34" t="n">
        <x:v>435</x:v>
      </x:c>
      <x:c r="G2386" s="34" t="str">
        <x:v>RECORDED</x:v>
      </x:c>
      <x:c r="H2386" s="38" t="n">
        <x:f>IF(ISNUMBER('Data'!H678),'Data'!H678*100,"")</x:f>
        <x:v>73.1</x:v>
      </x:c>
      <x:c r="I2386" s="34" t="str">
        <x:v>PASS</x:v>
      </x:c>
      <x:c r="J2386" s="34" t="str">
        <x:v>PASS</x:v>
      </x:c>
      <x:c r="K2386" s="34" t="str">
        <x:v>PASS</x:v>
      </x:c>
      <x:c r="L2386" s="34" t="str">
        <x:v>PASS</x:v>
      </x:c>
      <x:c r="M2386" s="34" t="str">
        <x:v>numeric coverage for applicable metric</x:v>
      </x:c>
      <x:c r="N2386" s="34" t="str">
        <x:v>Feedback-Directed Random Test Generation/Result/Lang_58/result.json</x:v>
      </x:c>
      <x:c r="O2386" s="38" t="n">
        <x:f>IF(AND(G2386="RECORDED",ISNUMBER(H2386)),H2386,"")</x:f>
        <x:v>73.1</x:v>
      </x:c>
      <x:c r="P2386" s="34" t="str">
        <x:v>NOT_REVEALING</x:v>
      </x:c>
      <x:c r="Q2386" s="34" t="str">
        <x:v>Feedback-Directed Random Test Generation/Result/Lang_58/result.json</x:v>
      </x:c>
    </x:row>
    <x:row r="2387">
      <x:c r="A2387" s="34" t="str">
        <x:v>randoop</x:v>
      </x:c>
      <x:c r="B2387" s="34" t="str">
        <x:v>Lang</x:v>
      </x:c>
      <x:c r="C2387" s="34" t="str">
        <x:v>Round1</x:v>
      </x:c>
      <x:c r="D2387" s="34" t="str">
        <x:v>Lang_59</x:v>
      </x:c>
      <x:c r="E2387" s="34" t="str">
        <x:v>Line</x:v>
      </x:c>
      <x:c r="F2387" s="34" t="n">
        <x:v>656</x:v>
      </x:c>
      <x:c r="G2387" s="34" t="str">
        <x:v>RECORDED</x:v>
      </x:c>
      <x:c r="H2387" s="38" t="n">
        <x:f>IF(ISNUMBER('Data'!H679),'Data'!H679*100,"")</x:f>
        <x:v>96.04</x:v>
      </x:c>
      <x:c r="I2387" s="34" t="str">
        <x:v>PASS</x:v>
      </x:c>
      <x:c r="J2387" s="34" t="str">
        <x:v>PASS</x:v>
      </x:c>
      <x:c r="K2387" s="34" t="str">
        <x:v>PASS</x:v>
      </x:c>
      <x:c r="L2387" s="34" t="str">
        <x:v>FAIL</x:v>
      </x:c>
      <x:c r="M2387" s="34" t="str">
        <x:v>numeric coverage for applicable metric</x:v>
      </x:c>
      <x:c r="N2387" s="34" t="str">
        <x:v>Feedback-Directed Random Test Generation/Result/Lang_59/result.json</x:v>
      </x:c>
      <x:c r="O2387" s="38" t="n">
        <x:f>IF(AND(G2387="RECORDED",ISNUMBER(H2387)),H2387,"")</x:f>
        <x:v>96.04</x:v>
      </x:c>
      <x:c r="P2387" s="34" t="str">
        <x:v>INCONCLUSIVE</x:v>
      </x:c>
      <x:c r="Q2387" s="34" t="str">
        <x:v>Feedback-Directed Random Test Generation/Result/Lang_59/result.json</x:v>
      </x:c>
    </x:row>
    <x:row r="2388">
      <x:c r="A2388" s="34" t="str">
        <x:v>randoop</x:v>
      </x:c>
      <x:c r="B2388" s="34" t="str">
        <x:v>Lang</x:v>
      </x:c>
      <x:c r="C2388" s="34" t="str">
        <x:v>Round1</x:v>
      </x:c>
      <x:c r="D2388" s="34" t="str">
        <x:v>Lang_60</x:v>
      </x:c>
      <x:c r="E2388" s="34" t="str">
        <x:v>Line</x:v>
      </x:c>
      <x:c r="F2388" s="34" t="n">
        <x:v>656</x:v>
      </x:c>
      <x:c r="G2388" s="34" t="str">
        <x:v>RECORDED</x:v>
      </x:c>
      <x:c r="H2388" s="38" t="n">
        <x:f>IF(ISNUMBER('Data'!H680),'Data'!H680*100,"")</x:f>
        <x:v>94.51</x:v>
      </x:c>
      <x:c r="I2388" s="34" t="str">
        <x:v>PASS</x:v>
      </x:c>
      <x:c r="J2388" s="34" t="str">
        <x:v>PASS</x:v>
      </x:c>
      <x:c r="K2388" s="34" t="str">
        <x:v>PASS</x:v>
      </x:c>
      <x:c r="L2388" s="34" t="str">
        <x:v>FAIL</x:v>
      </x:c>
      <x:c r="M2388" s="34" t="str">
        <x:v>numeric coverage for applicable metric</x:v>
      </x:c>
      <x:c r="N2388" s="34" t="str">
        <x:v>Feedback-Directed Random Test Generation/Result/Lang_60/result.json</x:v>
      </x:c>
      <x:c r="O2388" s="38" t="n">
        <x:f>IF(AND(G2388="RECORDED",ISNUMBER(H2388)),H2388,"")</x:f>
        <x:v>94.51</x:v>
      </x:c>
      <x:c r="P2388" s="34" t="str">
        <x:v>INCONCLUSIVE</x:v>
      </x:c>
      <x:c r="Q2388" s="34" t="str">
        <x:v>Feedback-Directed Random Test Generation/Result/Lang_60/result.json</x:v>
      </x:c>
    </x:row>
    <x:row r="2389">
      <x:c r="A2389" s="34" t="str">
        <x:v>randoop</x:v>
      </x:c>
      <x:c r="B2389" s="34" t="str">
        <x:v>Lang</x:v>
      </x:c>
      <x:c r="C2389" s="34" t="str">
        <x:v>Round1</x:v>
      </x:c>
      <x:c r="D2389" s="34" t="str">
        <x:v>Lang_61</x:v>
      </x:c>
      <x:c r="E2389" s="34" t="str">
        <x:v>Line</x:v>
      </x:c>
      <x:c r="F2389" s="34" t="n">
        <x:v>656</x:v>
      </x:c>
      <x:c r="G2389" s="34" t="str">
        <x:v>RECORDED</x:v>
      </x:c>
      <x:c r="H2389" s="38" t="n">
        <x:f>IF(ISNUMBER('Data'!H681),'Data'!H681*100,"")</x:f>
        <x:v>96.19</x:v>
      </x:c>
      <x:c r="I2389" s="34" t="str">
        <x:v>PASS</x:v>
      </x:c>
      <x:c r="J2389" s="34" t="str">
        <x:v>PASS</x:v>
      </x:c>
      <x:c r="K2389" s="34" t="str">
        <x:v>PASS</x:v>
      </x:c>
      <x:c r="L2389" s="34" t="str">
        <x:v>FAIL</x:v>
      </x:c>
      <x:c r="M2389" s="34" t="str">
        <x:v>numeric coverage for applicable metric</x:v>
      </x:c>
      <x:c r="N2389" s="34" t="str">
        <x:v>Feedback-Directed Random Test Generation/Result/Lang_61/result.json</x:v>
      </x:c>
      <x:c r="O2389" s="38" t="n">
        <x:f>IF(AND(G2389="RECORDED",ISNUMBER(H2389)),H2389,"")</x:f>
        <x:v>96.19</x:v>
      </x:c>
      <x:c r="P2389" s="34" t="str">
        <x:v>INCONCLUSIVE</x:v>
      </x:c>
      <x:c r="Q2389" s="34" t="str">
        <x:v>Feedback-Directed Random Test Generation/Result/Lang_61/result.json</x:v>
      </x:c>
    </x:row>
    <x:row r="2390">
      <x:c r="A2390" s="34" t="str">
        <x:v>randoop</x:v>
      </x:c>
      <x:c r="B2390" s="34" t="str">
        <x:v>Lang</x:v>
      </x:c>
      <x:c r="C2390" s="34" t="str">
        <x:v>Round1</x:v>
      </x:c>
      <x:c r="D2390" s="34" t="str">
        <x:v>Lang_62</x:v>
      </x:c>
      <x:c r="E2390" s="34" t="str">
        <x:v>Line</x:v>
      </x:c>
      <x:c r="F2390" s="34" t="n">
        <x:v>241</x:v>
      </x:c>
      <x:c r="G2390" s="34" t="str">
        <x:v>RECORDED</x:v>
      </x:c>
      <x:c r="H2390" s="38" t="n">
        <x:f>IF(ISNUMBER('Data'!H682),'Data'!H682*100,"")</x:f>
        <x:v>62.66</x:v>
      </x:c>
      <x:c r="I2390" s="34" t="str">
        <x:v>PASS</x:v>
      </x:c>
      <x:c r="J2390" s="34" t="str">
        <x:v>PASS</x:v>
      </x:c>
      <x:c r="K2390" s="34" t="str">
        <x:v>PASS</x:v>
      </x:c>
      <x:c r="L2390" s="34" t="str">
        <x:v>FAIL</x:v>
      </x:c>
      <x:c r="M2390" s="34" t="str">
        <x:v>numeric coverage for applicable metric</x:v>
      </x:c>
      <x:c r="N2390" s="34" t="str">
        <x:v>Feedback-Directed Random Test Generation/Result/Lang_62/result.json</x:v>
      </x:c>
      <x:c r="O2390" s="38" t="n">
        <x:f>IF(AND(G2390="RECORDED",ISNUMBER(H2390)),H2390,"")</x:f>
        <x:v>62.66</x:v>
      </x:c>
      <x:c r="P2390" s="34" t="str">
        <x:v>INCONCLUSIVE</x:v>
      </x:c>
      <x:c r="Q2390" s="34" t="str">
        <x:v>Feedback-Directed Random Test Generation/Result/Lang_62/result.json</x:v>
      </x:c>
    </x:row>
    <x:row r="2391">
      <x:c r="A2391" s="34" t="str">
        <x:v>randoop</x:v>
      </x:c>
      <x:c r="B2391" s="34" t="str">
        <x:v>Lang</x:v>
      </x:c>
      <x:c r="C2391" s="34" t="str">
        <x:v>Round1</x:v>
      </x:c>
      <x:c r="D2391" s="34" t="str">
        <x:v>Lang_63</x:v>
      </x:c>
      <x:c r="E2391" s="34" t="str">
        <x:v>Line</x:v>
      </x:c>
      <x:c r="F2391" s="34" t="n">
        <x:v>252</x:v>
      </x:c>
      <x:c r="G2391" s="34" t="str">
        <x:v>RECORDED</x:v>
      </x:c>
      <x:c r="H2391" s="38" t="n">
        <x:f>IF(ISNUMBER('Data'!H683),'Data'!H683*100,"")</x:f>
        <x:v>72.22</x:v>
      </x:c>
      <x:c r="I2391" s="34" t="str">
        <x:v>PASS</x:v>
      </x:c>
      <x:c r="J2391" s="34" t="str">
        <x:v>PASS</x:v>
      </x:c>
      <x:c r="K2391" s="34" t="str">
        <x:v>PASS</x:v>
      </x:c>
      <x:c r="L2391" s="34" t="str">
        <x:v>PASS</x:v>
      </x:c>
      <x:c r="M2391" s="34" t="str">
        <x:v>numeric coverage for applicable metric</x:v>
      </x:c>
      <x:c r="N2391" s="34" t="str">
        <x:v>Feedback-Directed Random Test Generation/Result/Lang_63/result.json</x:v>
      </x:c>
      <x:c r="O2391" s="38" t="n">
        <x:f>IF(AND(G2391="RECORDED",ISNUMBER(H2391)),H2391,"")</x:f>
        <x:v>72.22</x:v>
      </x:c>
      <x:c r="P2391" s="34" t="str">
        <x:v>NOT_AVAILABLE</x:v>
      </x:c>
      <x:c r="Q2391" s="34" t="str">
        <x:v>Feedback-Directed Random Test Generation/Result/Lang_63/result.json</x:v>
      </x:c>
    </x:row>
    <x:row r="2392">
      <x:c r="A2392" s="34" t="str">
        <x:v>randoop</x:v>
      </x:c>
      <x:c r="B2392" s="34" t="str">
        <x:v>Lang</x:v>
      </x:c>
      <x:c r="C2392" s="34" t="str">
        <x:v>Round1</x:v>
      </x:c>
      <x:c r="D2392" s="34" t="str">
        <x:v>Lang_64</x:v>
      </x:c>
      <x:c r="E2392" s="34" t="str">
        <x:v>Line</x:v>
      </x:c>
      <x:c r="F2392" s="34" t="n">
        <x:v>18</x:v>
      </x:c>
      <x:c r="G2392" s="34" t="str">
        <x:v>RECORDED</x:v>
      </x:c>
      <x:c r="H2392" s="38" t="n">
        <x:f>IF(ISNUMBER('Data'!H684),'Data'!H684*100,"")</x:f>
        <x:v>16.67</x:v>
      </x:c>
      <x:c r="I2392" s="34" t="str">
        <x:v>PASS</x:v>
      </x:c>
      <x:c r="J2392" s="34" t="str">
        <x:v>PASS</x:v>
      </x:c>
      <x:c r="K2392" s="34" t="str">
        <x:v>PASS</x:v>
      </x:c>
      <x:c r="L2392" s="34" t="str">
        <x:v>PASS</x:v>
      </x:c>
      <x:c r="M2392" s="34" t="str">
        <x:v>numeric coverage for applicable metric</x:v>
      </x:c>
      <x:c r="N2392" s="34" t="str">
        <x:v>Feedback-Directed Random Test Generation/Result/Lang_64/result.json</x:v>
      </x:c>
      <x:c r="O2392" s="38" t="n">
        <x:f>IF(AND(G2392="RECORDED",ISNUMBER(H2392)),H2392,"")</x:f>
        <x:v>16.67</x:v>
      </x:c>
      <x:c r="P2392" s="34" t="str">
        <x:v>NOT_REVEALING</x:v>
      </x:c>
      <x:c r="Q2392" s="34" t="str">
        <x:v>Feedback-Directed Random Test Generation/Result/Lang_64/result.json</x:v>
      </x:c>
    </x:row>
    <x:row r="2393">
      <x:c r="A2393" s="34" t="str">
        <x:v>randoop</x:v>
      </x:c>
      <x:c r="B2393" s="34" t="str">
        <x:v>Lang</x:v>
      </x:c>
      <x:c r="C2393" s="34" t="str">
        <x:v>Round1</x:v>
      </x:c>
      <x:c r="D2393" s="34" t="str">
        <x:v>Lang_65</x:v>
      </x:c>
      <x:c r="E2393" s="34" t="str">
        <x:v>Line</x:v>
      </x:c>
      <x:c r="F2393" s="34" t="n">
        <x:v>195</x:v>
      </x:c>
      <x:c r="G2393" s="34" t="str">
        <x:v>RECORDED</x:v>
      </x:c>
      <x:c r="H2393" s="38" t="n">
        <x:f>IF(ISNUMBER('Data'!H685),'Data'!H685*100,"")</x:f>
        <x:v>83.59</x:v>
      </x:c>
      <x:c r="I2393" s="34" t="str">
        <x:v>PASS</x:v>
      </x:c>
      <x:c r="J2393" s="34" t="str">
        <x:v>PASS</x:v>
      </x:c>
      <x:c r="K2393" s="34" t="str">
        <x:v>PASS</x:v>
      </x:c>
      <x:c r="L2393" s="34" t="str">
        <x:v>FAIL</x:v>
      </x:c>
      <x:c r="M2393" s="34" t="str">
        <x:v>numeric coverage for applicable metric</x:v>
      </x:c>
      <x:c r="N2393" s="34" t="str">
        <x:v>Feedback-Directed Random Test Generation/Result/Lang_65/result.json</x:v>
      </x:c>
      <x:c r="O2393" s="38" t="n">
        <x:f>IF(AND(G2393="RECORDED",ISNUMBER(H2393)),H2393,"")</x:f>
        <x:v>83.59</x:v>
      </x:c>
      <x:c r="P2393" s="34" t="str">
        <x:v>INCONCLUSIVE</x:v>
      </x:c>
      <x:c r="Q2393" s="34" t="str">
        <x:v>Feedback-Directed Random Test Generation/Result/Lang_65/result.json</x:v>
      </x:c>
    </x:row>
    <x:row r="2394">
      <x:c r="A2394" s="34" t="str">
        <x:v>randoop</x:v>
      </x:c>
      <x:c r="B2394" s="34" t="str">
        <x:v>Math</x:v>
      </x:c>
      <x:c r="C2394" s="34" t="str">
        <x:v>Round1</x:v>
      </x:c>
      <x:c r="D2394" s="34" t="str">
        <x:v>Math_1</x:v>
      </x:c>
      <x:c r="E2394" s="34" t="str">
        <x:v>Line</x:v>
      </x:c>
      <x:c r="F2394" s="34" t="n">
        <x:v>425</x:v>
      </x:c>
      <x:c r="G2394" s="34" t="str">
        <x:v>RECORDED</x:v>
      </x:c>
      <x:c r="H2394" s="38" t="n">
        <x:f>IF(ISNUMBER('Data'!H686),'Data'!H686*100,"")</x:f>
        <x:v>93.88</x:v>
      </x:c>
      <x:c r="I2394" s="34" t="str">
        <x:v>PASS</x:v>
      </x:c>
      <x:c r="J2394" s="34" t="str">
        <x:v>PASS</x:v>
      </x:c>
      <x:c r="K2394" s="34" t="str">
        <x:v>PASS</x:v>
      </x:c>
      <x:c r="L2394" s="34" t="str">
        <x:v>FAIL</x:v>
      </x:c>
      <x:c r="M2394" s="34" t="str">
        <x:v>numeric coverage for applicable metric</x:v>
      </x:c>
      <x:c r="N2394" s="34" t="str">
        <x:v>Feedback-Directed Random Test Generation/Result/Math_1/result.json</x:v>
      </x:c>
      <x:c r="O2394" s="38" t="n">
        <x:f>IF(AND(G2394="RECORDED",ISNUMBER(H2394)),H2394,"")</x:f>
        <x:v>93.88</x:v>
      </x:c>
      <x:c r="P2394" s="34" t="str">
        <x:v>INCONCLUSIVE</x:v>
      </x:c>
      <x:c r="Q2394" s="34" t="str">
        <x:v>Feedback-Directed Random Test Generation/Result/Math_1/result.json</x:v>
      </x:c>
    </x:row>
    <x:row r="2395">
      <x:c r="A2395" s="34" t="str">
        <x:v>randoop</x:v>
      </x:c>
      <x:c r="B2395" s="34" t="str">
        <x:v>Math</x:v>
      </x:c>
      <x:c r="C2395" s="34" t="str">
        <x:v>Round1</x:v>
      </x:c>
      <x:c r="D2395" s="34" t="str">
        <x:v>Math_2</x:v>
      </x:c>
      <x:c r="E2395" s="34" t="str">
        <x:v>Line</x:v>
      </x:c>
      <x:c r="F2395" s="34" t="n">
        <x:v>74</x:v>
      </x:c>
      <x:c r="G2395" s="34" t="str">
        <x:v>RECORDED</x:v>
      </x:c>
      <x:c r="H2395" s="38" t="n">
        <x:f>IF(ISNUMBER('Data'!H687),'Data'!H687*100,"")</x:f>
        <x:v>100</x:v>
      </x:c>
      <x:c r="I2395" s="34" t="str">
        <x:v>PASS</x:v>
      </x:c>
      <x:c r="J2395" s="34" t="str">
        <x:v>PASS</x:v>
      </x:c>
      <x:c r="K2395" s="34" t="str">
        <x:v>PASS</x:v>
      </x:c>
      <x:c r="L2395" s="34" t="str">
        <x:v>FAIL</x:v>
      </x:c>
      <x:c r="M2395" s="34" t="str">
        <x:v>numeric coverage for applicable metric</x:v>
      </x:c>
      <x:c r="N2395" s="34" t="str">
        <x:v>Feedback-Directed Random Test Generation/Result/Math_2/result.json</x:v>
      </x:c>
      <x:c r="O2395" s="38" t="n">
        <x:f>IF(AND(G2395="RECORDED",ISNUMBER(H2395)),H2395,"")</x:f>
        <x:v>100</x:v>
      </x:c>
      <x:c r="P2395" s="34" t="str">
        <x:v>INCONCLUSIVE</x:v>
      </x:c>
      <x:c r="Q2395" s="34" t="str">
        <x:v>Feedback-Directed Random Test Generation/Result/Math_2/result.json</x:v>
      </x:c>
    </x:row>
    <x:row r="2396">
      <x:c r="A2396" s="34" t="str">
        <x:v>randoop</x:v>
      </x:c>
      <x:c r="B2396" s="34" t="str">
        <x:v>Math</x:v>
      </x:c>
      <x:c r="C2396" s="34" t="str">
        <x:v>Round1</x:v>
      </x:c>
      <x:c r="D2396" s="34" t="str">
        <x:v>Math_3</x:v>
      </x:c>
      <x:c r="E2396" s="34" t="str">
        <x:v>Line</x:v>
      </x:c>
      <x:c r="F2396" s="34" t="n">
        <x:v>421</x:v>
      </x:c>
      <x:c r="G2396" s="34" t="str">
        <x:v>RECORDED</x:v>
      </x:c>
      <x:c r="H2396" s="38" t="n">
        <x:f>IF(ISNUMBER('Data'!H688),'Data'!H688*100,"")</x:f>
        <x:v>88.6</x:v>
      </x:c>
      <x:c r="I2396" s="34" t="str">
        <x:v>PASS</x:v>
      </x:c>
      <x:c r="J2396" s="34" t="str">
        <x:v>PASS</x:v>
      </x:c>
      <x:c r="K2396" s="34" t="str">
        <x:v>PASS</x:v>
      </x:c>
      <x:c r="L2396" s="34" t="str">
        <x:v>PASS</x:v>
      </x:c>
      <x:c r="M2396" s="34" t="str">
        <x:v>numeric coverage for applicable metric</x:v>
      </x:c>
      <x:c r="N2396" s="34" t="str">
        <x:v>Feedback-Directed Random Test Generation/Result/Math_3/result.json</x:v>
      </x:c>
      <x:c r="O2396" s="38" t="n">
        <x:f>IF(AND(G2396="RECORDED",ISNUMBER(H2396)),H2396,"")</x:f>
        <x:v>88.6</x:v>
      </x:c>
      <x:c r="P2396" s="34" t="str">
        <x:v>INCONCLUSIVE</x:v>
      </x:c>
      <x:c r="Q2396" s="34" t="str">
        <x:v>Feedback-Directed Random Test Generation/Result/Math_3/result.json</x:v>
      </x:c>
    </x:row>
    <x:row r="2397">
      <x:c r="A2397" s="34" t="str">
        <x:v>randoop</x:v>
      </x:c>
      <x:c r="B2397" s="34" t="str">
        <x:v>Math</x:v>
      </x:c>
      <x:c r="C2397" s="34" t="str">
        <x:v>Round1</x:v>
      </x:c>
      <x:c r="D2397" s="34" t="str">
        <x:v>Math_4</x:v>
      </x:c>
      <x:c r="E2397" s="34" t="str">
        <x:v>Line</x:v>
      </x:c>
      <x:c r="F2397" s="34" t="n">
        <x:v>84</x:v>
      </x:c>
      <x:c r="G2397" s="34" t="str">
        <x:v>RECORDED</x:v>
      </x:c>
      <x:c r="H2397" s="38" t="n">
        <x:f>IF(ISNUMBER('Data'!H689),'Data'!H689*100,"")</x:f>
        <x:v>28.57</x:v>
      </x:c>
      <x:c r="I2397" s="34" t="str">
        <x:v>PASS</x:v>
      </x:c>
      <x:c r="J2397" s="34" t="str">
        <x:v>PASS</x:v>
      </x:c>
      <x:c r="K2397" s="34" t="str">
        <x:v>PASS</x:v>
      </x:c>
      <x:c r="L2397" s="34" t="str">
        <x:v>PASS</x:v>
      </x:c>
      <x:c r="M2397" s="34" t="str">
        <x:v>numeric coverage for applicable metric</x:v>
      </x:c>
      <x:c r="N2397" s="34" t="str">
        <x:v>Feedback-Directed Random Test Generation/Result/Math_4/result.json</x:v>
      </x:c>
      <x:c r="O2397" s="38" t="n">
        <x:f>IF(AND(G2397="RECORDED",ISNUMBER(H2397)),H2397,"")</x:f>
        <x:v>28.57</x:v>
      </x:c>
      <x:c r="P2397" s="34" t="str">
        <x:v>NOT_REVEALING</x:v>
      </x:c>
      <x:c r="Q2397" s="34" t="str">
        <x:v>Feedback-Directed Random Test Generation/Result/Math_4/result.json</x:v>
      </x:c>
    </x:row>
    <x:row r="2398">
      <x:c r="A2398" s="34" t="str">
        <x:v>randoop</x:v>
      </x:c>
      <x:c r="B2398" s="34" t="str">
        <x:v>Math</x:v>
      </x:c>
      <x:c r="C2398" s="34" t="str">
        <x:v>Round1</x:v>
      </x:c>
      <x:c r="D2398" s="34" t="str">
        <x:v>Math_5</x:v>
      </x:c>
      <x:c r="E2398" s="34" t="str">
        <x:v>Line</x:v>
      </x:c>
      <x:c r="F2398" s="34" t="n">
        <x:v>226</x:v>
      </x:c>
      <x:c r="G2398" s="34" t="str">
        <x:v>RECORDED</x:v>
      </x:c>
      <x:c r="H2398" s="38" t="n">
        <x:f>IF(ISNUMBER('Data'!H690),'Data'!H690*100,"")</x:f>
        <x:v>98.67</x:v>
      </x:c>
      <x:c r="I2398" s="34" t="str">
        <x:v>PASS</x:v>
      </x:c>
      <x:c r="J2398" s="34" t="str">
        <x:v>PASS</x:v>
      </x:c>
      <x:c r="K2398" s="34" t="str">
        <x:v>PASS</x:v>
      </x:c>
      <x:c r="L2398" s="34" t="str">
        <x:v>FAIL</x:v>
      </x:c>
      <x:c r="M2398" s="34" t="str">
        <x:v>numeric coverage for applicable metric</x:v>
      </x:c>
      <x:c r="N2398" s="34" t="str">
        <x:v>Feedback-Directed Random Test Generation/Result/Math_5/result.json</x:v>
      </x:c>
      <x:c r="O2398" s="38" t="n">
        <x:f>IF(AND(G2398="RECORDED",ISNUMBER(H2398)),H2398,"")</x:f>
        <x:v>98.67</x:v>
      </x:c>
      <x:c r="P2398" s="34" t="str">
        <x:v>INCONCLUSIVE</x:v>
      </x:c>
      <x:c r="Q2398" s="34" t="str">
        <x:v>Feedback-Directed Random Test Generation/Result/Math_5/result.json</x:v>
      </x:c>
    </x:row>
    <x:row r="2399">
      <x:c r="A2399" s="34" t="str">
        <x:v>randoop</x:v>
      </x:c>
      <x:c r="B2399" s="34" t="str">
        <x:v>Math</x:v>
      </x:c>
      <x:c r="C2399" s="34" t="str">
        <x:v>Round1</x:v>
      </x:c>
      <x:c r="D2399" s="34" t="str">
        <x:v>Math_6</x:v>
      </x:c>
      <x:c r="E2399" s="34" t="str">
        <x:v>Line</x:v>
      </x:c>
      <x:c r="F2399" s="34" t="n">
        <x:v>1204</x:v>
      </x:c>
      <x:c r="G2399" s="34" t="str">
        <x:v>RECORDED</x:v>
      </x:c>
      <x:c r="H2399" s="38" t="n">
        <x:f>IF(ISNUMBER('Data'!H691),'Data'!H691*100,"")</x:f>
        <x:v>14.95</x:v>
      </x:c>
      <x:c r="I2399" s="34" t="str">
        <x:v>PASS</x:v>
      </x:c>
      <x:c r="J2399" s="34" t="str">
        <x:v>PASS</x:v>
      </x:c>
      <x:c r="K2399" s="34" t="str">
        <x:v>PASS</x:v>
      </x:c>
      <x:c r="L2399" s="34" t="str">
        <x:v>FAIL</x:v>
      </x:c>
      <x:c r="M2399" s="34" t="str">
        <x:v>numeric coverage for applicable metric</x:v>
      </x:c>
      <x:c r="N2399" s="34" t="str">
        <x:v>Feedback-Directed Random Test Generation/Result/Math_6/result.json</x:v>
      </x:c>
      <x:c r="O2399" s="38" t="n">
        <x:f>IF(AND(G2399="RECORDED",ISNUMBER(H2399)),H2399,"")</x:f>
        <x:v>14.95</x:v>
      </x:c>
      <x:c r="P2399" s="34" t="str">
        <x:v>INCONCLUSIVE</x:v>
      </x:c>
      <x:c r="Q2399" s="34" t="str">
        <x:v>Feedback-Directed Random Test Generation/Result/Math_6/result.json</x:v>
      </x:c>
    </x:row>
    <x:row r="2400">
      <x:c r="A2400" s="34" t="str">
        <x:v>randoop</x:v>
      </x:c>
      <x:c r="B2400" s="34" t="str">
        <x:v>Math</x:v>
      </x:c>
      <x:c r="C2400" s="34" t="str">
        <x:v>Round1</x:v>
      </x:c>
      <x:c r="D2400" s="34" t="str">
        <x:v>Math_7</x:v>
      </x:c>
      <x:c r="E2400" s="34" t="str">
        <x:v>Line</x:v>
      </x:c>
      <x:c r="F2400" s="34" t="n">
        <x:v>130</x:v>
      </x:c>
      <x:c r="G2400" s="34" t="str">
        <x:v>RECORDED</x:v>
      </x:c>
      <x:c r="H2400" s="38" t="n">
        <x:f>IF(ISNUMBER('Data'!H692),'Data'!H692*100,"")</x:f>
        <x:v>0</x:v>
      </x:c>
      <x:c r="I2400" s="34" t="str">
        <x:v>PASS</x:v>
      </x:c>
      <x:c r="J2400" s="34" t="str">
        <x:v>PASS</x:v>
      </x:c>
      <x:c r="K2400" s="34" t="str">
        <x:v>PASS</x:v>
      </x:c>
      <x:c r="L2400" s="34" t="str">
        <x:v>PASS</x:v>
      </x:c>
      <x:c r="M2400" s="34" t="str">
        <x:v>numeric coverage for applicable metric</x:v>
      </x:c>
      <x:c r="N2400" s="34" t="str">
        <x:v>Feedback-Directed Random Test Generation/Result/Math_7/result.json</x:v>
      </x:c>
      <x:c r="O2400" s="38" t="n">
        <x:f>IF(AND(G2400="RECORDED",ISNUMBER(H2400)),H2400,"")</x:f>
        <x:v>0</x:v>
      </x:c>
      <x:c r="P2400" s="34" t="str">
        <x:v>NOT_REVEALING</x:v>
      </x:c>
      <x:c r="Q2400" s="34" t="str">
        <x:v>Feedback-Directed Random Test Generation/Result/Math_7/result.json</x:v>
      </x:c>
    </x:row>
    <x:row r="2401">
      <x:c r="A2401" s="34" t="str">
        <x:v>randoop</x:v>
      </x:c>
      <x:c r="B2401" s="34" t="str">
        <x:v>Math</x:v>
      </x:c>
      <x:c r="C2401" s="34" t="str">
        <x:v>Round1</x:v>
      </x:c>
      <x:c r="D2401" s="34" t="str">
        <x:v>Math_8</x:v>
      </x:c>
      <x:c r="E2401" s="34" t="str">
        <x:v>Line</x:v>
      </x:c>
      <x:c r="F2401" s="34" t="n">
        <x:v>40</x:v>
      </x:c>
      <x:c r="G2401" s="34" t="str">
        <x:v>RECORDED</x:v>
      </x:c>
      <x:c r="H2401" s="38" t="n">
        <x:f>IF(ISNUMBER('Data'!H693),'Data'!H693*100,"")</x:f>
        <x:v>17.5</x:v>
      </x:c>
      <x:c r="I2401" s="34" t="str">
        <x:v>PASS</x:v>
      </x:c>
      <x:c r="J2401" s="34" t="str">
        <x:v>PASS</x:v>
      </x:c>
      <x:c r="K2401" s="34" t="str">
        <x:v>PASS</x:v>
      </x:c>
      <x:c r="L2401" s="34" t="str">
        <x:v>PASS</x:v>
      </x:c>
      <x:c r="M2401" s="34" t="str">
        <x:v>numeric coverage for applicable metric</x:v>
      </x:c>
      <x:c r="N2401" s="34" t="str">
        <x:v>Feedback-Directed Random Test Generation/Result/Math_8/result.json</x:v>
      </x:c>
      <x:c r="O2401" s="38" t="n">
        <x:f>IF(AND(G2401="RECORDED",ISNUMBER(H2401)),H2401,"")</x:f>
        <x:v>17.5</x:v>
      </x:c>
      <x:c r="P2401" s="34" t="str">
        <x:v>NOT_REVEALING</x:v>
      </x:c>
      <x:c r="Q2401" s="34" t="str">
        <x:v>Feedback-Directed Random Test Generation/Result/Math_8/result.json</x:v>
      </x:c>
    </x:row>
    <x:row r="2402">
      <x:c r="A2402" s="34" t="str">
        <x:v>randoop</x:v>
      </x:c>
      <x:c r="B2402" s="34" t="str">
        <x:v>Math</x:v>
      </x:c>
      <x:c r="C2402" s="34" t="str">
        <x:v>Round1</x:v>
      </x:c>
      <x:c r="D2402" s="34" t="str">
        <x:v>Math_9</x:v>
      </x:c>
      <x:c r="E2402" s="34" t="str">
        <x:v>Line</x:v>
      </x:c>
      <x:c r="F2402" s="34" t="n">
        <x:v>46</x:v>
      </x:c>
      <x:c r="G2402" s="34" t="str">
        <x:v>RECORDED</x:v>
      </x:c>
      <x:c r="H2402" s="38" t="n">
        <x:f>IF(ISNUMBER('Data'!H694),'Data'!H694*100,"")</x:f>
        <x:v>10.87</x:v>
      </x:c>
      <x:c r="I2402" s="34" t="str">
        <x:v>PASS</x:v>
      </x:c>
      <x:c r="J2402" s="34" t="str">
        <x:v>PASS</x:v>
      </x:c>
      <x:c r="K2402" s="34" t="str">
        <x:v>PASS</x:v>
      </x:c>
      <x:c r="L2402" s="34" t="str">
        <x:v>PASS</x:v>
      </x:c>
      <x:c r="M2402" s="34" t="str">
        <x:v>numeric coverage for applicable metric</x:v>
      </x:c>
      <x:c r="N2402" s="34" t="str">
        <x:v>Feedback-Directed Random Test Generation/Result/Math_9/result.json</x:v>
      </x:c>
      <x:c r="O2402" s="38" t="n">
        <x:f>IF(AND(G2402="RECORDED",ISNUMBER(H2402)),H2402,"")</x:f>
        <x:v>10.87</x:v>
      </x:c>
      <x:c r="P2402" s="34" t="str">
        <x:v>NOT_REVEALING</x:v>
      </x:c>
      <x:c r="Q2402" s="34" t="str">
        <x:v>Feedback-Directed Random Test Generation/Result/Math_9/result.json</x:v>
      </x:c>
    </x:row>
    <x:row r="2403">
      <x:c r="A2403" s="34" t="str">
        <x:v>randoop</x:v>
      </x:c>
      <x:c r="B2403" s="34" t="str">
        <x:v>Math</x:v>
      </x:c>
      <x:c r="C2403" s="34" t="str">
        <x:v>Round1</x:v>
      </x:c>
      <x:c r="D2403" s="34" t="str">
        <x:v>Math_10</x:v>
      </x:c>
      <x:c r="E2403" s="34" t="str">
        <x:v>Line</x:v>
      </x:c>
      <x:c r="F2403" s="34" t="n">
        <x:v>553</x:v>
      </x:c>
      <x:c r="G2403" s="34" t="str">
        <x:v>RECORDED</x:v>
      </x:c>
      <x:c r="H2403" s="38" t="n">
        <x:f>IF(ISNUMBER('Data'!H695),'Data'!H695*100,"")</x:f>
        <x:v>29.48</x:v>
      </x:c>
      <x:c r="I2403" s="34" t="str">
        <x:v>PASS</x:v>
      </x:c>
      <x:c r="J2403" s="34" t="str">
        <x:v>PASS</x:v>
      </x:c>
      <x:c r="K2403" s="34" t="str">
        <x:v>PASS</x:v>
      </x:c>
      <x:c r="L2403" s="34" t="str">
        <x:v>PASS</x:v>
      </x:c>
      <x:c r="M2403" s="34" t="str">
        <x:v>numeric coverage for applicable metric</x:v>
      </x:c>
      <x:c r="N2403" s="34" t="str">
        <x:v>Feedback-Directed Random Test Generation/Result/Math_10/result.json</x:v>
      </x:c>
      <x:c r="O2403" s="38" t="n">
        <x:f>IF(AND(G2403="RECORDED",ISNUMBER(H2403)),H2403,"")</x:f>
        <x:v>29.48</x:v>
      </x:c>
      <x:c r="P2403" s="34" t="str">
        <x:v>NOT_REVEALING</x:v>
      </x:c>
      <x:c r="Q2403" s="34" t="str">
        <x:v>Feedback-Directed Random Test Generation/Result/Math_10/result.json</x:v>
      </x:c>
    </x:row>
    <x:row r="2404">
      <x:c r="A2404" s="34" t="str">
        <x:v>randoop</x:v>
      </x:c>
      <x:c r="B2404" s="34" t="str">
        <x:v>Math</x:v>
      </x:c>
      <x:c r="C2404" s="34" t="str">
        <x:v>Round1</x:v>
      </x:c>
      <x:c r="D2404" s="34" t="str">
        <x:v>Math_11</x:v>
      </x:c>
      <x:c r="E2404" s="34" t="str">
        <x:v>Line</x:v>
      </x:c>
      <x:c r="F2404" s="34" t="n">
        <x:v>59</x:v>
      </x:c>
      <x:c r="G2404" s="34" t="str">
        <x:v>RECORDED</x:v>
      </x:c>
      <x:c r="H2404" s="38" t="n">
        <x:f>IF(ISNUMBER('Data'!H696),'Data'!H696*100,"")</x:f>
        <x:v>100</x:v>
      </x:c>
      <x:c r="I2404" s="34" t="str">
        <x:v>PASS</x:v>
      </x:c>
      <x:c r="J2404" s="34" t="str">
        <x:v>PASS</x:v>
      </x:c>
      <x:c r="K2404" s="34" t="str">
        <x:v>PASS</x:v>
      </x:c>
      <x:c r="L2404" s="34" t="str">
        <x:v>PASS</x:v>
      </x:c>
      <x:c r="M2404" s="34" t="str">
        <x:v>numeric coverage for applicable metric</x:v>
      </x:c>
      <x:c r="N2404" s="34" t="str">
        <x:v>Feedback-Directed Random Test Generation/Result/Math_11/result.json</x:v>
      </x:c>
      <x:c r="O2404" s="38" t="n">
        <x:f>IF(AND(G2404="RECORDED",ISNUMBER(H2404)),H2404,"")</x:f>
        <x:v>100</x:v>
      </x:c>
      <x:c r="P2404" s="34" t="str">
        <x:v>INCONCLUSIVE</x:v>
      </x:c>
      <x:c r="Q2404" s="34" t="str">
        <x:v>Feedback-Directed Random Test Generation/Result/Math_11/result.json</x:v>
      </x:c>
    </x:row>
    <x:row r="2405">
      <x:c r="A2405" s="34" t="str">
        <x:v>randoop</x:v>
      </x:c>
      <x:c r="B2405" s="34" t="str">
        <x:v>Math</x:v>
      </x:c>
      <x:c r="C2405" s="34" t="str">
        <x:v>Round1</x:v>
      </x:c>
      <x:c r="D2405" s="34" t="str">
        <x:v>Math_12</x:v>
      </x:c>
      <x:c r="E2405" s="34" t="str">
        <x:v>Line</x:v>
      </x:c>
      <x:c r="F2405" s="34" t="n">
        <x:v>48</x:v>
      </x:c>
      <x:c r="G2405" s="34" t="str">
        <x:v>RECORDED</x:v>
      </x:c>
      <x:c r="H2405" s="38" t="n">
        <x:f>IF(ISNUMBER('Data'!H697),'Data'!H697*100,"")</x:f>
        <x:v>0</x:v>
      </x:c>
      <x:c r="I2405" s="34" t="str">
        <x:v>PASS</x:v>
      </x:c>
      <x:c r="J2405" s="34" t="str">
        <x:v>PASS</x:v>
      </x:c>
      <x:c r="K2405" s="34" t="str">
        <x:v>PASS</x:v>
      </x:c>
      <x:c r="L2405" s="34" t="str">
        <x:v>PASS</x:v>
      </x:c>
      <x:c r="M2405" s="34" t="str">
        <x:v>numeric coverage for applicable metric</x:v>
      </x:c>
      <x:c r="N2405" s="34" t="str">
        <x:v>Feedback-Directed Random Test Generation/Result/Math_12/result.json</x:v>
      </x:c>
      <x:c r="O2405" s="38" t="n">
        <x:f>IF(AND(G2405="RECORDED",ISNUMBER(H2405)),H2405,"")</x:f>
        <x:v>0</x:v>
      </x:c>
      <x:c r="P2405" s="34" t="str">
        <x:v>NOT_REVEALING</x:v>
      </x:c>
      <x:c r="Q2405" s="34" t="str">
        <x:v>Feedback-Directed Random Test Generation/Result/Math_12/result.json</x:v>
      </x:c>
    </x:row>
    <x:row r="2406">
      <x:c r="A2406" s="34" t="str">
        <x:v>randoop</x:v>
      </x:c>
      <x:c r="B2406" s="34" t="str">
        <x:v>Math</x:v>
      </x:c>
      <x:c r="C2406" s="34" t="str">
        <x:v>Round1</x:v>
      </x:c>
      <x:c r="D2406" s="34" t="str">
        <x:v>Math_13</x:v>
      </x:c>
      <x:c r="E2406" s="34" t="str">
        <x:v>Line</x:v>
      </x:c>
      <x:c r="F2406" s="34" t="n">
        <x:v>81</x:v>
      </x:c>
      <x:c r="G2406" s="34" t="str">
        <x:v>RECORDED</x:v>
      </x:c>
      <x:c r="H2406" s="38" t="n">
        <x:f>IF(ISNUMBER('Data'!H698),'Data'!H698*100,"")</x:f>
        <x:v>0</x:v>
      </x:c>
      <x:c r="I2406" s="34" t="str">
        <x:v>PASS</x:v>
      </x:c>
      <x:c r="J2406" s="34" t="str">
        <x:v>PASS</x:v>
      </x:c>
      <x:c r="K2406" s="34" t="str">
        <x:v>PASS</x:v>
      </x:c>
      <x:c r="L2406" s="34" t="str">
        <x:v>PASS</x:v>
      </x:c>
      <x:c r="M2406" s="34" t="str">
        <x:v>numeric coverage for applicable metric</x:v>
      </x:c>
      <x:c r="N2406" s="34" t="str">
        <x:v>Feedback-Directed Random Test Generation/Result/Math_13/result.json</x:v>
      </x:c>
      <x:c r="O2406" s="38" t="n">
        <x:f>IF(AND(G2406="RECORDED",ISNUMBER(H2406)),H2406,"")</x:f>
        <x:v>0</x:v>
      </x:c>
      <x:c r="P2406" s="34" t="str">
        <x:v>NOT_REVEALING</x:v>
      </x:c>
      <x:c r="Q2406" s="34" t="str">
        <x:v>Feedback-Directed Random Test Generation/Result/Math_13/result.json</x:v>
      </x:c>
    </x:row>
    <x:row r="2407">
      <x:c r="A2407" s="34" t="str">
        <x:v>randoop</x:v>
      </x:c>
      <x:c r="B2407" s="34" t="str">
        <x:v>Math</x:v>
      </x:c>
      <x:c r="C2407" s="34" t="str">
        <x:v>Round1</x:v>
      </x:c>
      <x:c r="D2407" s="34" t="str">
        <x:v>Math_14</x:v>
      </x:c>
      <x:c r="E2407" s="34" t="str">
        <x:v>Line</x:v>
      </x:c>
      <x:c r="F2407" s="34" t="n">
        <x:v>51</x:v>
      </x:c>
      <x:c r="G2407" s="34" t="str">
        <x:v>RECORDED</x:v>
      </x:c>
      <x:c r="H2407" s="38" t="n">
        <x:f>IF(ISNUMBER('Data'!H699),'Data'!H699*100,"")</x:f>
        <x:v>21.57</x:v>
      </x:c>
      <x:c r="I2407" s="34" t="str">
        <x:v>PASS</x:v>
      </x:c>
      <x:c r="J2407" s="34" t="str">
        <x:v>PASS</x:v>
      </x:c>
      <x:c r="K2407" s="34" t="str">
        <x:v>PASS</x:v>
      </x:c>
      <x:c r="L2407" s="34" t="str">
        <x:v>PASS</x:v>
      </x:c>
      <x:c r="M2407" s="34" t="str">
        <x:v>numeric coverage for applicable metric</x:v>
      </x:c>
      <x:c r="N2407" s="34" t="str">
        <x:v>Feedback-Directed Random Test Generation/Result/Math_14/result.json</x:v>
      </x:c>
      <x:c r="O2407" s="38" t="n">
        <x:f>IF(AND(G2407="RECORDED",ISNUMBER(H2407)),H2407,"")</x:f>
        <x:v>21.57</x:v>
      </x:c>
      <x:c r="P2407" s="34" t="str">
        <x:v>INCONCLUSIVE</x:v>
      </x:c>
      <x:c r="Q2407" s="34" t="str">
        <x:v>Feedback-Directed Random Test Generation/Result/Math_14/result.json</x:v>
      </x:c>
    </x:row>
    <x:row r="2408">
      <x:c r="A2408" s="34" t="str">
        <x:v>randoop</x:v>
      </x:c>
      <x:c r="B2408" s="34" t="str">
        <x:v>Math</x:v>
      </x:c>
      <x:c r="C2408" s="34" t="str">
        <x:v>Round1</x:v>
      </x:c>
      <x:c r="D2408" s="34" t="str">
        <x:v>Math_15</x:v>
      </x:c>
      <x:c r="E2408" s="34" t="str">
        <x:v>Line</x:v>
      </x:c>
      <x:c r="F2408" s="34" t="n">
        <x:v>1497</x:v>
      </x:c>
      <x:c r="G2408" s="34" t="str">
        <x:v>RECORDED</x:v>
      </x:c>
      <x:c r="H2408" s="38" t="n">
        <x:f>IF(ISNUMBER('Data'!H700),'Data'!H700*100,"")</x:f>
        <x:v>91.18</x:v>
      </x:c>
      <x:c r="I2408" s="34" t="str">
        <x:v>PASS</x:v>
      </x:c>
      <x:c r="J2408" s="34" t="str">
        <x:v>PASS</x:v>
      </x:c>
      <x:c r="K2408" s="34" t="str">
        <x:v>PASS</x:v>
      </x:c>
      <x:c r="L2408" s="34" t="str">
        <x:v>PASS</x:v>
      </x:c>
      <x:c r="M2408" s="34" t="str">
        <x:v>numeric coverage for applicable metric</x:v>
      </x:c>
      <x:c r="N2408" s="34" t="str">
        <x:v>Feedback-Directed Random Test Generation/Result/Math_15/result.json</x:v>
      </x:c>
      <x:c r="O2408" s="38" t="n">
        <x:f>IF(AND(G2408="RECORDED",ISNUMBER(H2408)),H2408,"")</x:f>
        <x:v>91.18</x:v>
      </x:c>
      <x:c r="P2408" s="34" t="str">
        <x:v>NOT_REVEALING</x:v>
      </x:c>
      <x:c r="Q2408" s="34" t="str">
        <x:v>Feedback-Directed Random Test Generation/Result/Math_15/result.json</x:v>
      </x:c>
    </x:row>
    <x:row r="2409">
      <x:c r="A2409" s="34" t="str">
        <x:v>randoop</x:v>
      </x:c>
      <x:c r="B2409" s="34" t="str">
        <x:v>Math</x:v>
      </x:c>
      <x:c r="C2409" s="34" t="str">
        <x:v>Round1</x:v>
      </x:c>
      <x:c r="D2409" s="34" t="str">
        <x:v>Math_16</x:v>
      </x:c>
      <x:c r="E2409" s="34" t="str">
        <x:v>Line</x:v>
      </x:c>
      <x:c r="F2409" s="34" t="n">
        <x:v>1484</x:v>
      </x:c>
      <x:c r="G2409" s="34" t="str">
        <x:v>RECORDED</x:v>
      </x:c>
      <x:c r="H2409" s="38" t="n">
        <x:f>IF(ISNUMBER('Data'!H701),'Data'!H701*100,"")</x:f>
        <x:v>29.65</x:v>
      </x:c>
      <x:c r="I2409" s="34" t="str">
        <x:v>PASS</x:v>
      </x:c>
      <x:c r="J2409" s="34" t="str">
        <x:v>PASS</x:v>
      </x:c>
      <x:c r="K2409" s="34" t="str">
        <x:v>PASS</x:v>
      </x:c>
      <x:c r="L2409" s="34" t="str">
        <x:v>PASS</x:v>
      </x:c>
      <x:c r="M2409" s="34" t="str">
        <x:v>numeric coverage for applicable metric</x:v>
      </x:c>
      <x:c r="N2409" s="34" t="str">
        <x:v>Feedback-Directed Random Test Generation/Result/Math_16/result.json</x:v>
      </x:c>
      <x:c r="O2409" s="38" t="n">
        <x:f>IF(AND(G2409="RECORDED",ISNUMBER(H2409)),H2409,"")</x:f>
        <x:v>29.65</x:v>
      </x:c>
      <x:c r="P2409" s="34" t="str">
        <x:v>NOT_REVEALING</x:v>
      </x:c>
      <x:c r="Q2409" s="34" t="str">
        <x:v>Feedback-Directed Random Test Generation/Result/Math_16/result.json</x:v>
      </x:c>
    </x:row>
    <x:row r="2410">
      <x:c r="A2410" s="34" t="str">
        <x:v>randoop</x:v>
      </x:c>
      <x:c r="B2410" s="34" t="str">
        <x:v>Math</x:v>
      </x:c>
      <x:c r="C2410" s="34" t="str">
        <x:v>Round1</x:v>
      </x:c>
      <x:c r="D2410" s="34" t="str">
        <x:v>Math_17</x:v>
      </x:c>
      <x:c r="E2410" s="34" t="str">
        <x:v>Line</x:v>
      </x:c>
      <x:c r="F2410" s="34" t="n">
        <x:v>1029</x:v>
      </x:c>
      <x:c r="G2410" s="34" t="str">
        <x:v>RECORDED</x:v>
      </x:c>
      <x:c r="H2410" s="38" t="n">
        <x:f>IF(ISNUMBER('Data'!H702),'Data'!H702*100,"")</x:f>
        <x:v>1.55</x:v>
      </x:c>
      <x:c r="I2410" s="34" t="str">
        <x:v>PASS</x:v>
      </x:c>
      <x:c r="J2410" s="34" t="str">
        <x:v>PASS</x:v>
      </x:c>
      <x:c r="K2410" s="34" t="str">
        <x:v>PASS</x:v>
      </x:c>
      <x:c r="L2410" s="34" t="str">
        <x:v>PASS</x:v>
      </x:c>
      <x:c r="M2410" s="34" t="str">
        <x:v>numeric coverage for applicable metric</x:v>
      </x:c>
      <x:c r="N2410" s="34" t="str">
        <x:v>Feedback-Directed Random Test Generation/Result/Math_17/result.json</x:v>
      </x:c>
      <x:c r="O2410" s="38" t="n">
        <x:f>IF(AND(G2410="RECORDED",ISNUMBER(H2410)),H2410,"")</x:f>
        <x:v>1.55</x:v>
      </x:c>
      <x:c r="P2410" s="34" t="str">
        <x:v>NOT_REVEALING</x:v>
      </x:c>
      <x:c r="Q2410" s="34" t="str">
        <x:v>Feedback-Directed Random Test Generation/Result/Math_17/result.json</x:v>
      </x:c>
    </x:row>
    <x:row r="2411">
      <x:c r="A2411" s="34" t="str">
        <x:v>randoop</x:v>
      </x:c>
      <x:c r="B2411" s="34" t="str">
        <x:v>Math</x:v>
      </x:c>
      <x:c r="C2411" s="34" t="str">
        <x:v>Round1</x:v>
      </x:c>
      <x:c r="D2411" s="34" t="str">
        <x:v>Math_18</x:v>
      </x:c>
      <x:c r="E2411" s="34" t="str">
        <x:v>Line</x:v>
      </x:c>
      <x:c r="F2411" s="34" t="n">
        <x:v>510</x:v>
      </x:c>
      <x:c r="G2411" s="34" t="str">
        <x:v>RECORDED</x:v>
      </x:c>
      <x:c r="H2411" s="38" t="n">
        <x:f>IF(ISNUMBER('Data'!H703),'Data'!H703*100,"")</x:f>
        <x:v>6.47</x:v>
      </x:c>
      <x:c r="I2411" s="34" t="str">
        <x:v>PASS</x:v>
      </x:c>
      <x:c r="J2411" s="34" t="str">
        <x:v>PASS</x:v>
      </x:c>
      <x:c r="K2411" s="34" t="str">
        <x:v>PASS</x:v>
      </x:c>
      <x:c r="L2411" s="34" t="str">
        <x:v>FAIL</x:v>
      </x:c>
      <x:c r="M2411" s="34" t="str">
        <x:v>numeric coverage for applicable metric</x:v>
      </x:c>
      <x:c r="N2411" s="34" t="str">
        <x:v>Feedback-Directed Random Test Generation/Result/Math_18/result.json</x:v>
      </x:c>
      <x:c r="O2411" s="38" t="n">
        <x:f>IF(AND(G2411="RECORDED",ISNUMBER(H2411)),H2411,"")</x:f>
        <x:v>6.47</x:v>
      </x:c>
      <x:c r="P2411" s="34" t="str">
        <x:v>INCONCLUSIVE</x:v>
      </x:c>
      <x:c r="Q2411" s="34" t="str">
        <x:v>Feedback-Directed Random Test Generation/Result/Math_18/result.json</x:v>
      </x:c>
    </x:row>
    <x:row r="2412">
      <x:c r="A2412" s="34" t="str">
        <x:v>randoop</x:v>
      </x:c>
      <x:c r="B2412" s="34" t="str">
        <x:v>Math</x:v>
      </x:c>
      <x:c r="C2412" s="34" t="str">
        <x:v>Round1</x:v>
      </x:c>
      <x:c r="D2412" s="34" t="str">
        <x:v>Math_19</x:v>
      </x:c>
      <x:c r="E2412" s="34" t="str">
        <x:v>Line</x:v>
      </x:c>
      <x:c r="F2412" s="34" t="n">
        <x:v>501</x:v>
      </x:c>
      <x:c r="G2412" s="34" t="str">
        <x:v>RECORDED</x:v>
      </x:c>
      <x:c r="H2412" s="38" t="n">
        <x:f>IF(ISNUMBER('Data'!H704),'Data'!H704*100,"")</x:f>
        <x:v>6.59</x:v>
      </x:c>
      <x:c r="I2412" s="34" t="str">
        <x:v>PASS</x:v>
      </x:c>
      <x:c r="J2412" s="34" t="str">
        <x:v>PASS</x:v>
      </x:c>
      <x:c r="K2412" s="34" t="str">
        <x:v>PASS</x:v>
      </x:c>
      <x:c r="L2412" s="34" t="str">
        <x:v>FAIL</x:v>
      </x:c>
      <x:c r="M2412" s="34" t="str">
        <x:v>numeric coverage for applicable metric</x:v>
      </x:c>
      <x:c r="N2412" s="34" t="str">
        <x:v>Feedback-Directed Random Test Generation/Result/Math_19/result.json</x:v>
      </x:c>
      <x:c r="O2412" s="38" t="n">
        <x:f>IF(AND(G2412="RECORDED",ISNUMBER(H2412)),H2412,"")</x:f>
        <x:v>6.59</x:v>
      </x:c>
      <x:c r="P2412" s="34" t="str">
        <x:v>INCONCLUSIVE</x:v>
      </x:c>
      <x:c r="Q2412" s="34" t="str">
        <x:v>Feedback-Directed Random Test Generation/Result/Math_19/result.json</x:v>
      </x:c>
    </x:row>
    <x:row r="2413">
      <x:c r="A2413" s="34" t="str">
        <x:v>randoop</x:v>
      </x:c>
      <x:c r="B2413" s="34" t="str">
        <x:v>Math</x:v>
      </x:c>
      <x:c r="C2413" s="34" t="str">
        <x:v>Round1</x:v>
      </x:c>
      <x:c r="D2413" s="34" t="str">
        <x:v>Math_20</x:v>
      </x:c>
      <x:c r="E2413" s="34" t="str">
        <x:v>Line</x:v>
      </x:c>
      <x:c r="F2413" s="34" t="n">
        <x:v>500</x:v>
      </x:c>
      <x:c r="G2413" s="34" t="str">
        <x:v>RECORDED</x:v>
      </x:c>
      <x:c r="H2413" s="38" t="n">
        <x:f>IF(ISNUMBER('Data'!H705),'Data'!H705*100,"")</x:f>
        <x:v>6.6000000000000005</x:v>
      </x:c>
      <x:c r="I2413" s="34" t="str">
        <x:v>PASS</x:v>
      </x:c>
      <x:c r="J2413" s="34" t="str">
        <x:v>PASS</x:v>
      </x:c>
      <x:c r="K2413" s="34" t="str">
        <x:v>PASS</x:v>
      </x:c>
      <x:c r="L2413" s="34" t="str">
        <x:v>FAIL</x:v>
      </x:c>
      <x:c r="M2413" s="34" t="str">
        <x:v>numeric coverage for applicable metric</x:v>
      </x:c>
      <x:c r="N2413" s="34" t="str">
        <x:v>Feedback-Directed Random Test Generation/Result/Math_20/result.json</x:v>
      </x:c>
      <x:c r="O2413" s="38" t="n">
        <x:f>IF(AND(G2413="RECORDED",ISNUMBER(H2413)),H2413,"")</x:f>
        <x:v>6.6000000000000005</x:v>
      </x:c>
      <x:c r="P2413" s="34" t="str">
        <x:v>INCONCLUSIVE</x:v>
      </x:c>
      <x:c r="Q2413" s="34" t="str">
        <x:v>Feedback-Directed Random Test Generation/Result/Math_20/result.json</x:v>
      </x:c>
    </x:row>
    <x:row r="2414">
      <x:c r="A2414" s="34" t="str">
        <x:v>randoop</x:v>
      </x:c>
      <x:c r="B2414" s="34" t="str">
        <x:v>Math</x:v>
      </x:c>
      <x:c r="C2414" s="34" t="str">
        <x:v>Round1</x:v>
      </x:c>
      <x:c r="D2414" s="34" t="str">
        <x:v>Math_21</x:v>
      </x:c>
      <x:c r="E2414" s="34" t="str">
        <x:v>Line</x:v>
      </x:c>
      <x:c r="F2414" s="34" t="n">
        <x:v>52</x:v>
      </x:c>
      <x:c r="G2414" s="34" t="str">
        <x:v>RECORDED</x:v>
      </x:c>
      <x:c r="H2414" s="38" t="n">
        <x:f>IF(ISNUMBER('Data'!H706),'Data'!H706*100,"")</x:f>
        <x:v>3.85</x:v>
      </x:c>
      <x:c r="I2414" s="34" t="str">
        <x:v>PASS</x:v>
      </x:c>
      <x:c r="J2414" s="34" t="str">
        <x:v>PASS</x:v>
      </x:c>
      <x:c r="K2414" s="34" t="str">
        <x:v>PASS</x:v>
      </x:c>
      <x:c r="L2414" s="34" t="str">
        <x:v>PASS</x:v>
      </x:c>
      <x:c r="M2414" s="34" t="str">
        <x:v>numeric coverage for applicable metric</x:v>
      </x:c>
      <x:c r="N2414" s="34" t="str">
        <x:v>Feedback-Directed Random Test Generation/Result/Math_21/result.json</x:v>
      </x:c>
      <x:c r="O2414" s="38" t="n">
        <x:f>IF(AND(G2414="RECORDED",ISNUMBER(H2414)),H2414,"")</x:f>
        <x:v>3.85</x:v>
      </x:c>
      <x:c r="P2414" s="34" t="str">
        <x:v>NOT_REVEALING</x:v>
      </x:c>
      <x:c r="Q2414" s="34" t="str">
        <x:v>Feedback-Directed Random Test Generation/Result/Math_21/result.json</x:v>
      </x:c>
    </x:row>
    <x:row r="2415">
      <x:c r="A2415" s="34" t="str">
        <x:v>randoop</x:v>
      </x:c>
      <x:c r="B2415" s="34" t="str">
        <x:v>Math</x:v>
      </x:c>
      <x:c r="C2415" s="34" t="str">
        <x:v>Round1</x:v>
      </x:c>
      <x:c r="D2415" s="34" t="str">
        <x:v>Math_22</x:v>
      </x:c>
      <x:c r="E2415" s="34" t="str">
        <x:v>Line</x:v>
      </x:c>
      <x:c r="F2415" s="34" t="n">
        <x:v>86</x:v>
      </x:c>
      <x:c r="G2415" s="34" t="str">
        <x:v>RECORDED</x:v>
      </x:c>
      <x:c r="H2415" s="38" t="n">
        <x:f>IF(ISNUMBER('Data'!H707),'Data'!H707*100,"")</x:f>
        <x:v>100</x:v>
      </x:c>
      <x:c r="I2415" s="34" t="str">
        <x:v>PASS</x:v>
      </x:c>
      <x:c r="J2415" s="34" t="str">
        <x:v>PASS</x:v>
      </x:c>
      <x:c r="K2415" s="34" t="str">
        <x:v>PASS</x:v>
      </x:c>
      <x:c r="L2415" s="34" t="str">
        <x:v>FAIL</x:v>
      </x:c>
      <x:c r="M2415" s="34" t="str">
        <x:v>numeric coverage for applicable metric</x:v>
      </x:c>
      <x:c r="N2415" s="34" t="str">
        <x:v>Feedback-Directed Random Test Generation/Result/Math_22/result.json</x:v>
      </x:c>
      <x:c r="O2415" s="38" t="n">
        <x:f>IF(AND(G2415="RECORDED",ISNUMBER(H2415)),H2415,"")</x:f>
        <x:v>100</x:v>
      </x:c>
      <x:c r="P2415" s="34" t="str">
        <x:v>INCONCLUSIVE</x:v>
      </x:c>
      <x:c r="Q2415" s="34" t="str">
        <x:v>Feedback-Directed Random Test Generation/Result/Math_22/result.json</x:v>
      </x:c>
    </x:row>
    <x:row r="2416">
      <x:c r="A2416" s="34" t="str">
        <x:v>randoop</x:v>
      </x:c>
      <x:c r="B2416" s="34" t="str">
        <x:v>Math</x:v>
      </x:c>
      <x:c r="C2416" s="34" t="str">
        <x:v>Round1</x:v>
      </x:c>
      <x:c r="D2416" s="34" t="str">
        <x:v>Math_23</x:v>
      </x:c>
      <x:c r="E2416" s="34" t="str">
        <x:v>Line</x:v>
      </x:c>
      <x:c r="F2416" s="34" t="n">
        <x:v>121</x:v>
      </x:c>
      <x:c r="G2416" s="34" t="str">
        <x:v>RECORDED</x:v>
      </x:c>
      <x:c r="H2416" s="38" t="n">
        <x:f>IF(ISNUMBER('Data'!H708),'Data'!H708*100,"")</x:f>
        <x:v>22.31</x:v>
      </x:c>
      <x:c r="I2416" s="34" t="str">
        <x:v>PASS</x:v>
      </x:c>
      <x:c r="J2416" s="34" t="str">
        <x:v>PASS</x:v>
      </x:c>
      <x:c r="K2416" s="34" t="str">
        <x:v>PASS</x:v>
      </x:c>
      <x:c r="L2416" s="34" t="str">
        <x:v>PASS</x:v>
      </x:c>
      <x:c r="M2416" s="34" t="str">
        <x:v>numeric coverage for applicable metric</x:v>
      </x:c>
      <x:c r="N2416" s="34" t="str">
        <x:v>Feedback-Directed Random Test Generation/Result/Math_23/result.json</x:v>
      </x:c>
      <x:c r="O2416" s="38" t="n">
        <x:f>IF(AND(G2416="RECORDED",ISNUMBER(H2416)),H2416,"")</x:f>
        <x:v>22.31</x:v>
      </x:c>
      <x:c r="P2416" s="34" t="str">
        <x:v>NOT_REVEALING</x:v>
      </x:c>
      <x:c r="Q2416" s="34" t="str">
        <x:v>Feedback-Directed Random Test Generation/Result/Math_23/result.json</x:v>
      </x:c>
    </x:row>
    <x:row r="2417">
      <x:c r="A2417" s="34" t="str">
        <x:v>randoop</x:v>
      </x:c>
      <x:c r="B2417" s="34" t="str">
        <x:v>Math</x:v>
      </x:c>
      <x:c r="C2417" s="34" t="str">
        <x:v>Round1</x:v>
      </x:c>
      <x:c r="D2417" s="34" t="str">
        <x:v>Math_24</x:v>
      </x:c>
      <x:c r="E2417" s="34" t="str">
        <x:v>Line</x:v>
      </x:c>
      <x:c r="F2417" s="34" t="n">
        <x:v>120</x:v>
      </x:c>
      <x:c r="G2417" s="34" t="str">
        <x:v>RECORDED</x:v>
      </x:c>
      <x:c r="H2417" s="38" t="n">
        <x:f>IF(ISNUMBER('Data'!H709),'Data'!H709*100,"")</x:f>
        <x:v>22.5</x:v>
      </x:c>
      <x:c r="I2417" s="34" t="str">
        <x:v>PASS</x:v>
      </x:c>
      <x:c r="J2417" s="34" t="str">
        <x:v>PASS</x:v>
      </x:c>
      <x:c r="K2417" s="34" t="str">
        <x:v>PASS</x:v>
      </x:c>
      <x:c r="L2417" s="34" t="str">
        <x:v>PASS</x:v>
      </x:c>
      <x:c r="M2417" s="34" t="str">
        <x:v>numeric coverage for applicable metric</x:v>
      </x:c>
      <x:c r="N2417" s="34" t="str">
        <x:v>Feedback-Directed Random Test Generation/Result/Math_24/result.json</x:v>
      </x:c>
      <x:c r="O2417" s="38" t="n">
        <x:f>IF(AND(G2417="RECORDED",ISNUMBER(H2417)),H2417,"")</x:f>
        <x:v>22.5</x:v>
      </x:c>
      <x:c r="P2417" s="34" t="str">
        <x:v>NOT_REVEALING</x:v>
      </x:c>
      <x:c r="Q2417" s="34" t="str">
        <x:v>Feedback-Directed Random Test Generation/Result/Math_24/result.json</x:v>
      </x:c>
    </x:row>
    <x:row r="2418">
      <x:c r="A2418" s="34" t="str">
        <x:v>randoop</x:v>
      </x:c>
      <x:c r="B2418" s="34" t="str">
        <x:v>Math</x:v>
      </x:c>
      <x:c r="C2418" s="34" t="str">
        <x:v>Round1</x:v>
      </x:c>
      <x:c r="D2418" s="34" t="str">
        <x:v>Math_25</x:v>
      </x:c>
      <x:c r="E2418" s="34" t="str">
        <x:v>Line</x:v>
      </x:c>
      <x:c r="F2418" s="34" t="n">
        <x:v>94</x:v>
      </x:c>
      <x:c r="G2418" s="34" t="str">
        <x:v>RECORDED</x:v>
      </x:c>
      <x:c r="H2418" s="38" t="n">
        <x:f>IF(ISNUMBER('Data'!H710),'Data'!H710*100,"")</x:f>
        <x:v>98.94</x:v>
      </x:c>
      <x:c r="I2418" s="34" t="str">
        <x:v>PASS</x:v>
      </x:c>
      <x:c r="J2418" s="34" t="str">
        <x:v>PASS</x:v>
      </x:c>
      <x:c r="K2418" s="34" t="str">
        <x:v>PASS</x:v>
      </x:c>
      <x:c r="L2418" s="34" t="str">
        <x:v>PASS</x:v>
      </x:c>
      <x:c r="M2418" s="34" t="str">
        <x:v>numeric coverage for applicable metric</x:v>
      </x:c>
      <x:c r="N2418" s="34" t="str">
        <x:v>Feedback-Directed Random Test Generation/Result/Math_25/result.json</x:v>
      </x:c>
      <x:c r="O2418" s="38" t="n">
        <x:f>IF(AND(G2418="RECORDED",ISNUMBER(H2418)),H2418,"")</x:f>
        <x:v>98.94</x:v>
      </x:c>
      <x:c r="P2418" s="34" t="str">
        <x:v>NOT_REVEALING</x:v>
      </x:c>
      <x:c r="Q2418" s="34" t="str">
        <x:v>Feedback-Directed Random Test Generation/Result/Math_25/result.json</x:v>
      </x:c>
    </x:row>
    <x:row r="2419">
      <x:c r="A2419" s="34" t="str">
        <x:v>randoop</x:v>
      </x:c>
      <x:c r="B2419" s="34" t="str">
        <x:v>Math</x:v>
      </x:c>
      <x:c r="C2419" s="34" t="str">
        <x:v>Round1</x:v>
      </x:c>
      <x:c r="D2419" s="34" t="str">
        <x:v>Math_26</x:v>
      </x:c>
      <x:c r="E2419" s="34" t="str">
        <x:v>Line</x:v>
      </x:c>
      <x:c r="F2419" s="34" t="n">
        <x:v>183</x:v>
      </x:c>
      <x:c r="G2419" s="34" t="str">
        <x:v>RECORDED</x:v>
      </x:c>
      <x:c r="H2419" s="38" t="n">
        <x:f>IF(ISNUMBER('Data'!H711),'Data'!H711*100,"")</x:f>
        <x:v>92.9</x:v>
      </x:c>
      <x:c r="I2419" s="34" t="str">
        <x:v>PASS</x:v>
      </x:c>
      <x:c r="J2419" s="34" t="str">
        <x:v>PASS</x:v>
      </x:c>
      <x:c r="K2419" s="34" t="str">
        <x:v>PASS</x:v>
      </x:c>
      <x:c r="L2419" s="34" t="str">
        <x:v>PASS</x:v>
      </x:c>
      <x:c r="M2419" s="34" t="str">
        <x:v>numeric coverage for applicable metric</x:v>
      </x:c>
      <x:c r="N2419" s="34" t="str">
        <x:v>Feedback-Directed Random Test Generation/Result/Math_26/result.json</x:v>
      </x:c>
      <x:c r="O2419" s="38" t="n">
        <x:f>IF(AND(G2419="RECORDED",ISNUMBER(H2419)),H2419,"")</x:f>
        <x:v>92.9</x:v>
      </x:c>
      <x:c r="P2419" s="34" t="str">
        <x:v>NOT_REVEALING</x:v>
      </x:c>
      <x:c r="Q2419" s="34" t="str">
        <x:v>Feedback-Directed Random Test Generation/Result/Math_26/result.json</x:v>
      </x:c>
    </x:row>
    <x:row r="2420">
      <x:c r="A2420" s="34" t="str">
        <x:v>randoop</x:v>
      </x:c>
      <x:c r="B2420" s="34" t="str">
        <x:v>Math</x:v>
      </x:c>
      <x:c r="C2420" s="34" t="str">
        <x:v>Round1</x:v>
      </x:c>
      <x:c r="D2420" s="34" t="str">
        <x:v>Math_27</x:v>
      </x:c>
      <x:c r="E2420" s="34" t="str">
        <x:v>Line</x:v>
      </x:c>
      <x:c r="F2420" s="34" t="n">
        <x:v>183</x:v>
      </x:c>
      <x:c r="G2420" s="34" t="str">
        <x:v>RECORDED</x:v>
      </x:c>
      <x:c r="H2420" s="38" t="n">
        <x:f>IF(ISNUMBER('Data'!H712),'Data'!H712*100,"")</x:f>
        <x:v>92.9</x:v>
      </x:c>
      <x:c r="I2420" s="34" t="str">
        <x:v>PASS</x:v>
      </x:c>
      <x:c r="J2420" s="34" t="str">
        <x:v>PASS</x:v>
      </x:c>
      <x:c r="K2420" s="34" t="str">
        <x:v>PASS</x:v>
      </x:c>
      <x:c r="L2420" s="34" t="str">
        <x:v>PASS</x:v>
      </x:c>
      <x:c r="M2420" s="34" t="str">
        <x:v>numeric coverage for applicable metric</x:v>
      </x:c>
      <x:c r="N2420" s="34" t="str">
        <x:v>Feedback-Directed Random Test Generation/Result/Math_27/result.json</x:v>
      </x:c>
      <x:c r="O2420" s="38" t="n">
        <x:f>IF(AND(G2420="RECORDED",ISNUMBER(H2420)),H2420,"")</x:f>
        <x:v>92.9</x:v>
      </x:c>
      <x:c r="P2420" s="34" t="str">
        <x:v>INCONCLUSIVE</x:v>
      </x:c>
      <x:c r="Q2420" s="34" t="str">
        <x:v>Feedback-Directed Random Test Generation/Result/Math_27/result.json</x:v>
      </x:c>
    </x:row>
    <x:row r="2421">
      <x:c r="A2421" s="34" t="str">
        <x:v>randoop</x:v>
      </x:c>
      <x:c r="B2421" s="34" t="str">
        <x:v>Math</x:v>
      </x:c>
      <x:c r="C2421" s="34" t="str">
        <x:v>Round1</x:v>
      </x:c>
      <x:c r="D2421" s="34" t="str">
        <x:v>Math_28</x:v>
      </x:c>
      <x:c r="E2421" s="34" t="str">
        <x:v>Line</x:v>
      </x:c>
      <x:c r="F2421" s="34" t="n">
        <x:v>79</x:v>
      </x:c>
      <x:c r="G2421" s="34" t="str">
        <x:v>RECORDED</x:v>
      </x:c>
      <x:c r="H2421" s="38" t="n">
        <x:f>IF(ISNUMBER('Data'!H713),'Data'!H713*100,"")</x:f>
        <x:v>21.52</x:v>
      </x:c>
      <x:c r="I2421" s="34" t="str">
        <x:v>PASS</x:v>
      </x:c>
      <x:c r="J2421" s="34" t="str">
        <x:v>PASS</x:v>
      </x:c>
      <x:c r="K2421" s="34" t="str">
        <x:v>PASS</x:v>
      </x:c>
      <x:c r="L2421" s="34" t="str">
        <x:v>FAIL</x:v>
      </x:c>
      <x:c r="M2421" s="34" t="str">
        <x:v>numeric coverage for applicable metric</x:v>
      </x:c>
      <x:c r="N2421" s="34" t="str">
        <x:v>Feedback-Directed Random Test Generation/Result/Math_28/result.json</x:v>
      </x:c>
      <x:c r="O2421" s="38" t="n">
        <x:f>IF(AND(G2421="RECORDED",ISNUMBER(H2421)),H2421,"")</x:f>
        <x:v>21.52</x:v>
      </x:c>
      <x:c r="P2421" s="34" t="str">
        <x:v>INCONCLUSIVE</x:v>
      </x:c>
      <x:c r="Q2421" s="34" t="str">
        <x:v>Feedback-Directed Random Test Generation/Result/Math_28/result.json</x:v>
      </x:c>
    </x:row>
    <x:row r="2422">
      <x:c r="A2422" s="34" t="str">
        <x:v>randoop</x:v>
      </x:c>
      <x:c r="B2422" s="34" t="str">
        <x:v>Math</x:v>
      </x:c>
      <x:c r="C2422" s="34" t="str">
        <x:v>Round1</x:v>
      </x:c>
      <x:c r="D2422" s="34" t="str">
        <x:v>Math_29</x:v>
      </x:c>
      <x:c r="E2422" s="34" t="str">
        <x:v>Line</x:v>
      </x:c>
      <x:c r="F2422" s="34" t="n">
        <x:v>321</x:v>
      </x:c>
      <x:c r="G2422" s="34" t="str">
        <x:v>RECORDED</x:v>
      </x:c>
      <x:c r="H2422" s="38" t="n">
        <x:f>IF(ISNUMBER('Data'!H714),'Data'!H714*100,"")</x:f>
        <x:v>95.95</x:v>
      </x:c>
      <x:c r="I2422" s="34" t="str">
        <x:v>PASS</x:v>
      </x:c>
      <x:c r="J2422" s="34" t="str">
        <x:v>PASS</x:v>
      </x:c>
      <x:c r="K2422" s="34" t="str">
        <x:v>PASS</x:v>
      </x:c>
      <x:c r="L2422" s="34" t="str">
        <x:v>FAIL</x:v>
      </x:c>
      <x:c r="M2422" s="34" t="str">
        <x:v>numeric coverage for applicable metric</x:v>
      </x:c>
      <x:c r="N2422" s="34" t="str">
        <x:v>Feedback-Directed Random Test Generation/Result/Math_29/result.json</x:v>
      </x:c>
      <x:c r="O2422" s="38" t="n">
        <x:f>IF(AND(G2422="RECORDED",ISNUMBER(H2422)),H2422,"")</x:f>
        <x:v>95.95</x:v>
      </x:c>
      <x:c r="P2422" s="34" t="str">
        <x:v>INCONCLUSIVE</x:v>
      </x:c>
      <x:c r="Q2422" s="34" t="str">
        <x:v>Feedback-Directed Random Test Generation/Result/Math_29/result.json</x:v>
      </x:c>
    </x:row>
    <x:row r="2423">
      <x:c r="A2423" s="34" t="str">
        <x:v>randoop</x:v>
      </x:c>
      <x:c r="B2423" s="34" t="str">
        <x:v>Math</x:v>
      </x:c>
      <x:c r="C2423" s="34" t="str">
        <x:v>Round1</x:v>
      </x:c>
      <x:c r="D2423" s="34" t="str">
        <x:v>Math_30</x:v>
      </x:c>
      <x:c r="E2423" s="34" t="str">
        <x:v>Line</x:v>
      </x:c>
      <x:c r="F2423" s="34" t="n">
        <x:v>34</x:v>
      </x:c>
      <x:c r="G2423" s="34" t="str">
        <x:v>RECORDED</x:v>
      </x:c>
      <x:c r="H2423" s="38" t="n">
        <x:f>IF(ISNUMBER('Data'!H715),'Data'!H715*100,"")</x:f>
        <x:v>100</x:v>
      </x:c>
      <x:c r="I2423" s="34" t="str">
        <x:v>PASS</x:v>
      </x:c>
      <x:c r="J2423" s="34" t="str">
        <x:v>PASS</x:v>
      </x:c>
      <x:c r="K2423" s="34" t="str">
        <x:v>PASS</x:v>
      </x:c>
      <x:c r="L2423" s="34" t="str">
        <x:v>PASS</x:v>
      </x:c>
      <x:c r="M2423" s="34" t="str">
        <x:v>numeric coverage for applicable metric</x:v>
      </x:c>
      <x:c r="N2423" s="34" t="str">
        <x:v>Feedback-Directed Random Test Generation/Result/Math_30/result.json</x:v>
      </x:c>
      <x:c r="O2423" s="38" t="n">
        <x:f>IF(AND(G2423="RECORDED",ISNUMBER(H2423)),H2423,"")</x:f>
        <x:v>100</x:v>
      </x:c>
      <x:c r="P2423" s="34" t="str">
        <x:v>NOT_REVEALING</x:v>
      </x:c>
      <x:c r="Q2423" s="34" t="str">
        <x:v>Feedback-Directed Random Test Generation/Result/Math_30/result.json</x:v>
      </x:c>
    </x:row>
    <x:row r="2424">
      <x:c r="A2424" s="34" t="str">
        <x:v>randoop</x:v>
      </x:c>
      <x:c r="B2424" s="34" t="str">
        <x:v>Math</x:v>
      </x:c>
      <x:c r="C2424" s="34" t="str">
        <x:v>Round1</x:v>
      </x:c>
      <x:c r="D2424" s="34" t="str">
        <x:v>Math_31</x:v>
      </x:c>
      <x:c r="E2424" s="34" t="str">
        <x:v>Line</x:v>
      </x:c>
      <x:c r="F2424" s="34" t="n">
        <x:v>59</x:v>
      </x:c>
      <x:c r="G2424" s="34" t="str">
        <x:v>RECORDED</x:v>
      </x:c>
      <x:c r="H2424" s="38" t="n">
        <x:f>IF(ISNUMBER('Data'!H716),'Data'!H716*100,"")</x:f>
        <x:v>0</x:v>
      </x:c>
      <x:c r="I2424" s="34" t="str">
        <x:v>PASS</x:v>
      </x:c>
      <x:c r="J2424" s="34" t="str">
        <x:v>PASS</x:v>
      </x:c>
      <x:c r="K2424" s="34" t="str">
        <x:v>PASS</x:v>
      </x:c>
      <x:c r="L2424" s="34" t="str">
        <x:v>PASS</x:v>
      </x:c>
      <x:c r="M2424" s="34" t="str">
        <x:v>numeric coverage for applicable metric</x:v>
      </x:c>
      <x:c r="N2424" s="34" t="str">
        <x:v>Feedback-Directed Random Test Generation/Result/Math_31/result.json</x:v>
      </x:c>
      <x:c r="O2424" s="38" t="n">
        <x:f>IF(AND(G2424="RECORDED",ISNUMBER(H2424)),H2424,"")</x:f>
        <x:v>0</x:v>
      </x:c>
      <x:c r="P2424" s="34" t="str">
        <x:v>NOT_REVEALING</x:v>
      </x:c>
      <x:c r="Q2424" s="34" t="str">
        <x:v>Feedback-Directed Random Test Generation/Result/Math_31/result.json</x:v>
      </x:c>
    </x:row>
    <x:row r="2425">
      <x:c r="A2425" s="34" t="str">
        <x:v>randoop</x:v>
      </x:c>
      <x:c r="B2425" s="34" t="str">
        <x:v>Math</x:v>
      </x:c>
      <x:c r="C2425" s="34" t="str">
        <x:v>Round1</x:v>
      </x:c>
      <x:c r="D2425" s="34" t="str">
        <x:v>Math_32</x:v>
      </x:c>
      <x:c r="E2425" s="34" t="str">
        <x:v>Line</x:v>
      </x:c>
      <x:c r="F2425" s="34" t="n">
        <x:v>169</x:v>
      </x:c>
      <x:c r="G2425" s="34" t="str">
        <x:v>RECORDED</x:v>
      </x:c>
      <x:c r="H2425" s="38" t="n">
        <x:f>IF(ISNUMBER('Data'!H717),'Data'!H717*100,"")</x:f>
        <x:v>74.56</x:v>
      </x:c>
      <x:c r="I2425" s="34" t="str">
        <x:v>PASS</x:v>
      </x:c>
      <x:c r="J2425" s="34" t="str">
        <x:v>PASS</x:v>
      </x:c>
      <x:c r="K2425" s="34" t="str">
        <x:v>PASS</x:v>
      </x:c>
      <x:c r="L2425" s="34" t="str">
        <x:v>FAIL</x:v>
      </x:c>
      <x:c r="M2425" s="34" t="str">
        <x:v>numeric coverage for applicable metric</x:v>
      </x:c>
      <x:c r="N2425" s="34" t="str">
        <x:v>Feedback-Directed Random Test Generation/Result/Math_32/result.json</x:v>
      </x:c>
      <x:c r="O2425" s="38" t="n">
        <x:f>IF(AND(G2425="RECORDED",ISNUMBER(H2425)),H2425,"")</x:f>
        <x:v>74.56</x:v>
      </x:c>
      <x:c r="P2425" s="34" t="str">
        <x:v>INCONCLUSIVE</x:v>
      </x:c>
      <x:c r="Q2425" s="34" t="str">
        <x:v>Feedback-Directed Random Test Generation/Result/Math_32/result.json</x:v>
      </x:c>
    </x:row>
    <x:row r="2426">
      <x:c r="A2426" s="34" t="str">
        <x:v>randoop</x:v>
      </x:c>
      <x:c r="B2426" s="34" t="str">
        <x:v>Math</x:v>
      </x:c>
      <x:c r="C2426" s="34" t="str">
        <x:v>Round1</x:v>
      </x:c>
      <x:c r="D2426" s="34" t="str">
        <x:v>Math_33</x:v>
      </x:c>
      <x:c r="E2426" s="34" t="str">
        <x:v>Line</x:v>
      </x:c>
      <x:c r="F2426" s="34" t="n">
        <x:v>185</x:v>
      </x:c>
      <x:c r="G2426" s="34" t="str">
        <x:v>RECORDED</x:v>
      </x:c>
      <x:c r="H2426" s="38" t="n">
        <x:f>IF(ISNUMBER('Data'!H718),'Data'!H718*100,"")</x:f>
        <x:v>7.57</x:v>
      </x:c>
      <x:c r="I2426" s="34" t="str">
        <x:v>PASS</x:v>
      </x:c>
      <x:c r="J2426" s="34" t="str">
        <x:v>PASS</x:v>
      </x:c>
      <x:c r="K2426" s="34" t="str">
        <x:v>PASS</x:v>
      </x:c>
      <x:c r="L2426" s="34" t="str">
        <x:v>PASS</x:v>
      </x:c>
      <x:c r="M2426" s="34" t="str">
        <x:v>numeric coverage for applicable metric</x:v>
      </x:c>
      <x:c r="N2426" s="34" t="str">
        <x:v>Feedback-Directed Random Test Generation/Result/Math_33/result.json</x:v>
      </x:c>
      <x:c r="O2426" s="38" t="n">
        <x:f>IF(AND(G2426="RECORDED",ISNUMBER(H2426)),H2426,"")</x:f>
        <x:v>7.57</x:v>
      </x:c>
      <x:c r="P2426" s="34" t="str">
        <x:v>NOT_REVEALING</x:v>
      </x:c>
      <x:c r="Q2426" s="34" t="str">
        <x:v>Feedback-Directed Random Test Generation/Result/Math_33/result.json</x:v>
      </x:c>
    </x:row>
    <x:row r="2427">
      <x:c r="A2427" s="34" t="str">
        <x:v>randoop</x:v>
      </x:c>
      <x:c r="B2427" s="34" t="str">
        <x:v>Math</x:v>
      </x:c>
      <x:c r="C2427" s="34" t="str">
        <x:v>Round1</x:v>
      </x:c>
      <x:c r="D2427" s="34" t="str">
        <x:v>Math_34</x:v>
      </x:c>
      <x:c r="E2427" s="34" t="str">
        <x:v>Line</x:v>
      </x:c>
      <x:c r="F2427" s="34" t="n">
        <x:v>50</x:v>
      </x:c>
      <x:c r="G2427" s="34" t="str">
        <x:v>RECORDED</x:v>
      </x:c>
      <x:c r="H2427" s="38" t="n">
        <x:f>IF(ISNUMBER('Data'!H719),'Data'!H719*100,"")</x:f>
        <x:v>0</x:v>
      </x:c>
      <x:c r="I2427" s="34" t="str">
        <x:v>PASS</x:v>
      </x:c>
      <x:c r="J2427" s="34" t="str">
        <x:v>PASS</x:v>
      </x:c>
      <x:c r="K2427" s="34" t="str">
        <x:v>PASS</x:v>
      </x:c>
      <x:c r="L2427" s="34" t="str">
        <x:v>PASS</x:v>
      </x:c>
      <x:c r="M2427" s="34" t="str">
        <x:v>numeric coverage for applicable metric</x:v>
      </x:c>
      <x:c r="N2427" s="34" t="str">
        <x:v>Feedback-Directed Random Test Generation/Result/Math_34/result.json</x:v>
      </x:c>
      <x:c r="O2427" s="38" t="n">
        <x:f>IF(AND(G2427="RECORDED",ISNUMBER(H2427)),H2427,"")</x:f>
        <x:v>0</x:v>
      </x:c>
      <x:c r="P2427" s="34" t="str">
        <x:v>NOT_REVEALING</x:v>
      </x:c>
      <x:c r="Q2427" s="34" t="str">
        <x:v>Feedback-Directed Random Test Generation/Result/Math_34/result.json</x:v>
      </x:c>
    </x:row>
    <x:row r="2428">
      <x:c r="A2428" s="34" t="str">
        <x:v>randoop</x:v>
      </x:c>
      <x:c r="B2428" s="34" t="str">
        <x:v>Math</x:v>
      </x:c>
      <x:c r="C2428" s="34" t="str">
        <x:v>Round1</x:v>
      </x:c>
      <x:c r="D2428" s="34" t="str">
        <x:v>Math_35</x:v>
      </x:c>
      <x:c r="E2428" s="34" t="str">
        <x:v>Line</x:v>
      </x:c>
      <x:c r="F2428" s="34" t="n">
        <x:v>19</x:v>
      </x:c>
      <x:c r="G2428" s="34" t="str">
        <x:v>RECORDED</x:v>
      </x:c>
      <x:c r="H2428" s="38" t="n">
        <x:f>IF(ISNUMBER('Data'!H720),'Data'!H720*100,"")</x:f>
        <x:v>100</x:v>
      </x:c>
      <x:c r="I2428" s="34" t="str">
        <x:v>PASS</x:v>
      </x:c>
      <x:c r="J2428" s="34" t="str">
        <x:v>PASS</x:v>
      </x:c>
      <x:c r="K2428" s="34" t="str">
        <x:v>PASS</x:v>
      </x:c>
      <x:c r="L2428" s="34" t="str">
        <x:v>PASS</x:v>
      </x:c>
      <x:c r="M2428" s="34" t="str">
        <x:v>numeric coverage for applicable metric</x:v>
      </x:c>
      <x:c r="N2428" s="34" t="str">
        <x:v>Feedback-Directed Random Test Generation/Result/Math_35/result.json</x:v>
      </x:c>
      <x:c r="O2428" s="38" t="n">
        <x:f>IF(AND(G2428="RECORDED",ISNUMBER(H2428)),H2428,"")</x:f>
        <x:v>100</x:v>
      </x:c>
      <x:c r="P2428" s="34" t="str">
        <x:v>INCONCLUSIVE</x:v>
      </x:c>
      <x:c r="Q2428" s="34" t="str">
        <x:v>Feedback-Directed Random Test Generation/Result/Math_35/result.json</x:v>
      </x:c>
    </x:row>
    <x:row r="2429">
      <x:c r="A2429" s="34" t="str">
        <x:v>randoop</x:v>
      </x:c>
      <x:c r="B2429" s="34" t="str">
        <x:v>Math</x:v>
      </x:c>
      <x:c r="C2429" s="34" t="str">
        <x:v>Round1</x:v>
      </x:c>
      <x:c r="D2429" s="34" t="str">
        <x:v>Math_36</x:v>
      </x:c>
      <x:c r="E2429" s="34" t="str">
        <x:v>Line</x:v>
      </x:c>
      <x:c r="F2429" s="34" t="n">
        <x:v>230</x:v>
      </x:c>
      <x:c r="G2429" s="34" t="str">
        <x:v>RECORDED</x:v>
      </x:c>
      <x:c r="H2429" s="38" t="n">
        <x:f>IF(ISNUMBER('Data'!H721),'Data'!H721*100,"")</x:f>
        <x:v>67.83</x:v>
      </x:c>
      <x:c r="I2429" s="34" t="str">
        <x:v>PASS</x:v>
      </x:c>
      <x:c r="J2429" s="34" t="str">
        <x:v>PASS</x:v>
      </x:c>
      <x:c r="K2429" s="34" t="str">
        <x:v>PASS</x:v>
      </x:c>
      <x:c r="L2429" s="34" t="str">
        <x:v>PASS</x:v>
      </x:c>
      <x:c r="M2429" s="34" t="str">
        <x:v>numeric coverage for applicable metric</x:v>
      </x:c>
      <x:c r="N2429" s="34" t="str">
        <x:v>Feedback-Directed Random Test Generation/Result/Math_36/result.json</x:v>
      </x:c>
      <x:c r="O2429" s="38" t="n">
        <x:f>IF(AND(G2429="RECORDED",ISNUMBER(H2429)),H2429,"")</x:f>
        <x:v>67.83</x:v>
      </x:c>
      <x:c r="P2429" s="34" t="str">
        <x:v>NOT_REVEALING</x:v>
      </x:c>
      <x:c r="Q2429" s="34" t="str">
        <x:v>Feedback-Directed Random Test Generation/Result/Math_36/result.json</x:v>
      </x:c>
    </x:row>
    <x:row r="2430">
      <x:c r="A2430" s="34" t="str">
        <x:v>randoop</x:v>
      </x:c>
      <x:c r="B2430" s="34" t="str">
        <x:v>Math</x:v>
      </x:c>
      <x:c r="C2430" s="34" t="str">
        <x:v>Round1</x:v>
      </x:c>
      <x:c r="D2430" s="34" t="str">
        <x:v>Math_37</x:v>
      </x:c>
      <x:c r="E2430" s="34" t="str">
        <x:v>Line</x:v>
      </x:c>
      <x:c r="F2430" s="34" t="n">
        <x:v>220</x:v>
      </x:c>
      <x:c r="G2430" s="34" t="str">
        <x:v>RECORDED</x:v>
      </x:c>
      <x:c r="H2430" s="38" t="n">
        <x:f>IF(ISNUMBER('Data'!H722),'Data'!H722*100,"")</x:f>
        <x:v>98.64</x:v>
      </x:c>
      <x:c r="I2430" s="34" t="str">
        <x:v>PASS</x:v>
      </x:c>
      <x:c r="J2430" s="34" t="str">
        <x:v>PASS</x:v>
      </x:c>
      <x:c r="K2430" s="34" t="str">
        <x:v>PASS</x:v>
      </x:c>
      <x:c r="L2430" s="34" t="str">
        <x:v>FAIL</x:v>
      </x:c>
      <x:c r="M2430" s="34" t="str">
        <x:v>numeric coverage for applicable metric</x:v>
      </x:c>
      <x:c r="N2430" s="34" t="str">
        <x:v>Feedback-Directed Random Test Generation/Result/Math_37/result.json</x:v>
      </x:c>
      <x:c r="O2430" s="38" t="n">
        <x:f>IF(AND(G2430="RECORDED",ISNUMBER(H2430)),H2430,"")</x:f>
        <x:v>98.64</x:v>
      </x:c>
      <x:c r="P2430" s="34" t="str">
        <x:v>INCONCLUSIVE</x:v>
      </x:c>
      <x:c r="Q2430" s="34" t="str">
        <x:v>Feedback-Directed Random Test Generation/Result/Math_37/result.json</x:v>
      </x:c>
    </x:row>
    <x:row r="2431">
      <x:c r="A2431" s="34" t="str">
        <x:v>randoop</x:v>
      </x:c>
      <x:c r="B2431" s="34" t="str">
        <x:v>Math</x:v>
      </x:c>
      <x:c r="C2431" s="34" t="str">
        <x:v>Round1</x:v>
      </x:c>
      <x:c r="D2431" s="34" t="str">
        <x:v>Math_38</x:v>
      </x:c>
      <x:c r="E2431" s="34" t="str">
        <x:v>Line</x:v>
      </x:c>
      <x:c r="F2431" s="34" t="n">
        <x:v>1200</x:v>
      </x:c>
      <x:c r="G2431" s="34" t="str">
        <x:v>RECORDED</x:v>
      </x:c>
      <x:c r="H2431" s="38" t="n">
        <x:f>IF(ISNUMBER('Data'!H723),'Data'!H723*100,"")</x:f>
        <x:v>0.67</x:v>
      </x:c>
      <x:c r="I2431" s="34" t="str">
        <x:v>PASS</x:v>
      </x:c>
      <x:c r="J2431" s="34" t="str">
        <x:v>PASS</x:v>
      </x:c>
      <x:c r="K2431" s="34" t="str">
        <x:v>PASS</x:v>
      </x:c>
      <x:c r="L2431" s="34" t="str">
        <x:v>FAIL</x:v>
      </x:c>
      <x:c r="M2431" s="34" t="str">
        <x:v>numeric coverage for applicable metric</x:v>
      </x:c>
      <x:c r="N2431" s="34" t="str">
        <x:v>Feedback-Directed Random Test Generation/Result/Math_38/result.json</x:v>
      </x:c>
      <x:c r="O2431" s="38" t="n">
        <x:f>IF(AND(G2431="RECORDED",ISNUMBER(H2431)),H2431,"")</x:f>
        <x:v>0.67</x:v>
      </x:c>
      <x:c r="P2431" s="34" t="str">
        <x:v>INCONCLUSIVE</x:v>
      </x:c>
      <x:c r="Q2431" s="34" t="str">
        <x:v>Feedback-Directed Random Test Generation/Result/Math_38/result.json</x:v>
      </x:c>
    </x:row>
    <x:row r="2432">
      <x:c r="A2432" s="34" t="str">
        <x:v>randoop</x:v>
      </x:c>
      <x:c r="B2432" s="34" t="str">
        <x:v>Math</x:v>
      </x:c>
      <x:c r="C2432" s="34" t="str">
        <x:v>Round1</x:v>
      </x:c>
      <x:c r="D2432" s="34" t="str">
        <x:v>Math_39</x:v>
      </x:c>
      <x:c r="E2432" s="34" t="str">
        <x:v>Line</x:v>
      </x:c>
      <x:c r="F2432" s="34" t="n">
        <x:v>107</x:v>
      </x:c>
      <x:c r="G2432" s="34" t="str">
        <x:v>RECORDED</x:v>
      </x:c>
      <x:c r="H2432" s="38" t="n">
        <x:f>IF(ISNUMBER('Data'!H724),'Data'!H724*100,"")</x:f>
        <x:v>0</x:v>
      </x:c>
      <x:c r="I2432" s="34" t="str">
        <x:v>PASS</x:v>
      </x:c>
      <x:c r="J2432" s="34" t="str">
        <x:v>PASS</x:v>
      </x:c>
      <x:c r="K2432" s="34" t="str">
        <x:v>PASS</x:v>
      </x:c>
      <x:c r="L2432" s="34" t="str">
        <x:v>PASS</x:v>
      </x:c>
      <x:c r="M2432" s="34" t="str">
        <x:v>numeric coverage for applicable metric</x:v>
      </x:c>
      <x:c r="N2432" s="34" t="str">
        <x:v>Feedback-Directed Random Test Generation/Result/Math_39/result.json</x:v>
      </x:c>
      <x:c r="O2432" s="38" t="n">
        <x:f>IF(AND(G2432="RECORDED",ISNUMBER(H2432)),H2432,"")</x:f>
        <x:v>0</x:v>
      </x:c>
      <x:c r="P2432" s="34" t="str">
        <x:v>NOT_REVEALING</x:v>
      </x:c>
      <x:c r="Q2432" s="34" t="str">
        <x:v>Feedback-Directed Random Test Generation/Result/Math_39/result.json</x:v>
      </x:c>
    </x:row>
    <x:row r="2433">
      <x:c r="A2433" s="34" t="str">
        <x:v>randoop</x:v>
      </x:c>
      <x:c r="B2433" s="34" t="str">
        <x:v>Math</x:v>
      </x:c>
      <x:c r="C2433" s="34" t="str">
        <x:v>Round1</x:v>
      </x:c>
      <x:c r="D2433" s="34" t="str">
        <x:v>Math_40</x:v>
      </x:c>
      <x:c r="E2433" s="34" t="str">
        <x:v>Line</x:v>
      </x:c>
      <x:c r="F2433" s="34" t="n">
        <x:v>126</x:v>
      </x:c>
      <x:c r="G2433" s="34" t="str">
        <x:v>RECORDED</x:v>
      </x:c>
      <x:c r="H2433" s="38" t="n">
        <x:f>IF(ISNUMBER('Data'!H725),'Data'!H725*100,"")</x:f>
        <x:v>24.6</x:v>
      </x:c>
      <x:c r="I2433" s="34" t="str">
        <x:v>PASS</x:v>
      </x:c>
      <x:c r="J2433" s="34" t="str">
        <x:v>PASS</x:v>
      </x:c>
      <x:c r="K2433" s="34" t="str">
        <x:v>PASS</x:v>
      </x:c>
      <x:c r="L2433" s="34" t="str">
        <x:v>PASS</x:v>
      </x:c>
      <x:c r="M2433" s="34" t="str">
        <x:v>numeric coverage for applicable metric</x:v>
      </x:c>
      <x:c r="N2433" s="34" t="str">
        <x:v>Feedback-Directed Random Test Generation/Result/Math_40/result.json</x:v>
      </x:c>
      <x:c r="O2433" s="38" t="n">
        <x:f>IF(AND(G2433="RECORDED",ISNUMBER(H2433)),H2433,"")</x:f>
        <x:v>24.6</x:v>
      </x:c>
      <x:c r="P2433" s="34" t="str">
        <x:v>NOT_REVEALING</x:v>
      </x:c>
      <x:c r="Q2433" s="34" t="str">
        <x:v>Feedback-Directed Random Test Generation/Result/Math_40/result.json</x:v>
      </x:c>
    </x:row>
    <x:row r="2434">
      <x:c r="A2434" s="34" t="str">
        <x:v>randoop</x:v>
      </x:c>
      <x:c r="B2434" s="34" t="str">
        <x:v>Math</x:v>
      </x:c>
      <x:c r="C2434" s="34" t="str">
        <x:v>Round1</x:v>
      </x:c>
      <x:c r="D2434" s="34" t="str">
        <x:v>Math_41</x:v>
      </x:c>
      <x:c r="E2434" s="34" t="str">
        <x:v>Line</x:v>
      </x:c>
      <x:c r="F2434" s="34" t="n">
        <x:v>112</x:v>
      </x:c>
      <x:c r="G2434" s="34" t="str">
        <x:v>RECORDED</x:v>
      </x:c>
      <x:c r="H2434" s="38" t="n">
        <x:f>IF(ISNUMBER('Data'!H726),'Data'!H726*100,"")</x:f>
        <x:v>80.36</x:v>
      </x:c>
      <x:c r="I2434" s="34" t="str">
        <x:v>PASS</x:v>
      </x:c>
      <x:c r="J2434" s="34" t="str">
        <x:v>PASS</x:v>
      </x:c>
      <x:c r="K2434" s="34" t="str">
        <x:v>PASS</x:v>
      </x:c>
      <x:c r="L2434" s="34" t="str">
        <x:v>PASS</x:v>
      </x:c>
      <x:c r="M2434" s="34" t="str">
        <x:v>numeric coverage for applicable metric</x:v>
      </x:c>
      <x:c r="N2434" s="34" t="str">
        <x:v>Feedback-Directed Random Test Generation/Result/Math_41/result.json</x:v>
      </x:c>
      <x:c r="O2434" s="38" t="n">
        <x:f>IF(AND(G2434="RECORDED",ISNUMBER(H2434)),H2434,"")</x:f>
        <x:v>80.36</x:v>
      </x:c>
      <x:c r="P2434" s="34" t="str">
        <x:v>NOT_REVEALING</x:v>
      </x:c>
      <x:c r="Q2434" s="34" t="str">
        <x:v>Feedback-Directed Random Test Generation/Result/Math_41/result.json</x:v>
      </x:c>
    </x:row>
    <x:row r="2435">
      <x:c r="A2435" s="34" t="str">
        <x:v>randoop</x:v>
      </x:c>
      <x:c r="B2435" s="34" t="str">
        <x:v>Math</x:v>
      </x:c>
      <x:c r="C2435" s="34" t="str">
        <x:v>Round1</x:v>
      </x:c>
      <x:c r="D2435" s="34" t="str">
        <x:v>Math_42</x:v>
      </x:c>
      <x:c r="E2435" s="34" t="str">
        <x:v>Line</x:v>
      </x:c>
      <x:c r="F2435" s="34" t="n">
        <x:v>183</x:v>
      </x:c>
      <x:c r="G2435" s="34" t="str">
        <x:v>RECORDED</x:v>
      </x:c>
      <x:c r="H2435" s="38" t="n">
        <x:f>IF(ISNUMBER('Data'!H727),'Data'!H727*100,"")</x:f>
        <x:v>7.6499999999999995</x:v>
      </x:c>
      <x:c r="I2435" s="34" t="str">
        <x:v>PASS</x:v>
      </x:c>
      <x:c r="J2435" s="34" t="str">
        <x:v>PASS</x:v>
      </x:c>
      <x:c r="K2435" s="34" t="str">
        <x:v>PASS</x:v>
      </x:c>
      <x:c r="L2435" s="34" t="str">
        <x:v>PASS</x:v>
      </x:c>
      <x:c r="M2435" s="34" t="str">
        <x:v>numeric coverage for applicable metric</x:v>
      </x:c>
      <x:c r="N2435" s="34" t="str">
        <x:v>Feedback-Directed Random Test Generation/Result/Math_42/result.json</x:v>
      </x:c>
      <x:c r="O2435" s="38" t="n">
        <x:f>IF(AND(G2435="RECORDED",ISNUMBER(H2435)),H2435,"")</x:f>
        <x:v>7.6499999999999995</x:v>
      </x:c>
      <x:c r="P2435" s="34" t="str">
        <x:v>NOT_REVEALING</x:v>
      </x:c>
      <x:c r="Q2435" s="34" t="str">
        <x:v>Feedback-Directed Random Test Generation/Result/Math_42/result.json</x:v>
      </x:c>
    </x:row>
    <x:row r="2436">
      <x:c r="A2436" s="34" t="str">
        <x:v>randoop</x:v>
      </x:c>
      <x:c r="B2436" s="34" t="str">
        <x:v>Math</x:v>
      </x:c>
      <x:c r="C2436" s="34" t="str">
        <x:v>Round1</x:v>
      </x:c>
      <x:c r="D2436" s="34" t="str">
        <x:v>Math_43</x:v>
      </x:c>
      <x:c r="E2436" s="34" t="str">
        <x:v>Line</x:v>
      </x:c>
      <x:c r="F2436" s="34" t="n">
        <x:v>192</x:v>
      </x:c>
      <x:c r="G2436" s="34" t="str">
        <x:v>RECORDED</x:v>
      </x:c>
      <x:c r="H2436" s="38" t="n">
        <x:f>IF(ISNUMBER('Data'!H728),'Data'!H728*100,"")</x:f>
        <x:v>94.27</x:v>
      </x:c>
      <x:c r="I2436" s="34" t="str">
        <x:v>PASS</x:v>
      </x:c>
      <x:c r="J2436" s="34" t="str">
        <x:v>PASS</x:v>
      </x:c>
      <x:c r="K2436" s="34" t="str">
        <x:v>PASS</x:v>
      </x:c>
      <x:c r="L2436" s="34" t="str">
        <x:v>FAIL</x:v>
      </x:c>
      <x:c r="M2436" s="34" t="str">
        <x:v>numeric coverage for applicable metric</x:v>
      </x:c>
      <x:c r="N2436" s="34" t="str">
        <x:v>Feedback-Directed Random Test Generation/Result/Math_43/result.json</x:v>
      </x:c>
      <x:c r="O2436" s="38" t="n">
        <x:f>IF(AND(G2436="RECORDED",ISNUMBER(H2436)),H2436,"")</x:f>
        <x:v>94.27</x:v>
      </x:c>
      <x:c r="P2436" s="34" t="str">
        <x:v>INCONCLUSIVE</x:v>
      </x:c>
      <x:c r="Q2436" s="34" t="str">
        <x:v>Feedback-Directed Random Test Generation/Result/Math_43/result.json</x:v>
      </x:c>
    </x:row>
    <x:row r="2437">
      <x:c r="A2437" s="34" t="str">
        <x:v>randoop</x:v>
      </x:c>
      <x:c r="B2437" s="34" t="str">
        <x:v>Math</x:v>
      </x:c>
      <x:c r="C2437" s="34" t="str">
        <x:v>Round1</x:v>
      </x:c>
      <x:c r="D2437" s="34" t="str">
        <x:v>Math_44</x:v>
      </x:c>
      <x:c r="E2437" s="34" t="str">
        <x:v>Line</x:v>
      </x:c>
      <x:c r="F2437" s="34" t="n">
        <x:v>117</x:v>
      </x:c>
      <x:c r="G2437" s="34" t="str">
        <x:v>RECORDED</x:v>
      </x:c>
      <x:c r="H2437" s="38" t="n">
        <x:f>IF(ISNUMBER('Data'!H729),'Data'!H729*100,"")</x:f>
        <x:v>0</x:v>
      </x:c>
      <x:c r="I2437" s="34" t="str">
        <x:v>PASS</x:v>
      </x:c>
      <x:c r="J2437" s="34" t="str">
        <x:v>PASS</x:v>
      </x:c>
      <x:c r="K2437" s="34" t="str">
        <x:v>PASS</x:v>
      </x:c>
      <x:c r="L2437" s="34" t="str">
        <x:v>PASS</x:v>
      </x:c>
      <x:c r="M2437" s="34" t="str">
        <x:v>numeric coverage for applicable metric</x:v>
      </x:c>
      <x:c r="N2437" s="34" t="str">
        <x:v>Feedback-Directed Random Test Generation/Result/Math_44/result.json</x:v>
      </x:c>
      <x:c r="O2437" s="38" t="n">
        <x:f>IF(AND(G2437="RECORDED",ISNUMBER(H2437)),H2437,"")</x:f>
        <x:v>0</x:v>
      </x:c>
      <x:c r="P2437" s="34" t="str">
        <x:v>NOT_REVEALING</x:v>
      </x:c>
      <x:c r="Q2437" s="34" t="str">
        <x:v>Feedback-Directed Random Test Generation/Result/Math_44/result.json</x:v>
      </x:c>
    </x:row>
    <x:row r="2438">
      <x:c r="A2438" s="34" t="str">
        <x:v>randoop</x:v>
      </x:c>
      <x:c r="B2438" s="34" t="str">
        <x:v>Math</x:v>
      </x:c>
      <x:c r="C2438" s="34" t="str">
        <x:v>Round1</x:v>
      </x:c>
      <x:c r="D2438" s="34" t="str">
        <x:v>Math_45</x:v>
      </x:c>
      <x:c r="E2438" s="34" t="str">
        <x:v>Line</x:v>
      </x:c>
      <x:c r="F2438" s="34" t="n">
        <x:v>97</x:v>
      </x:c>
      <x:c r="G2438" s="34" t="str">
        <x:v>RECORDED</x:v>
      </x:c>
      <x:c r="H2438" s="38" t="n">
        <x:f>IF(ISNUMBER('Data'!H730),'Data'!H730*100,"")</x:f>
        <x:v>82.47</x:v>
      </x:c>
      <x:c r="I2438" s="34" t="str">
        <x:v>PASS</x:v>
      </x:c>
      <x:c r="J2438" s="34" t="str">
        <x:v>PASS</x:v>
      </x:c>
      <x:c r="K2438" s="34" t="str">
        <x:v>PASS</x:v>
      </x:c>
      <x:c r="L2438" s="34" t="str">
        <x:v>PASS</x:v>
      </x:c>
      <x:c r="M2438" s="34" t="str">
        <x:v>numeric coverage for applicable metric</x:v>
      </x:c>
      <x:c r="N2438" s="34" t="str">
        <x:v>Feedback-Directed Random Test Generation/Result/Math_45/result.json</x:v>
      </x:c>
      <x:c r="O2438" s="38" t="n">
        <x:f>IF(AND(G2438="RECORDED",ISNUMBER(H2438)),H2438,"")</x:f>
        <x:v>82.47</x:v>
      </x:c>
      <x:c r="P2438" s="34" t="str">
        <x:v>NOT_REVEALING</x:v>
      </x:c>
      <x:c r="Q2438" s="34" t="str">
        <x:v>Feedback-Directed Random Test Generation/Result/Math_45/result.json</x:v>
      </x:c>
    </x:row>
    <x:row r="2439">
      <x:c r="A2439" s="34" t="str">
        <x:v>randoop</x:v>
      </x:c>
      <x:c r="B2439" s="34" t="str">
        <x:v>Math</x:v>
      </x:c>
      <x:c r="C2439" s="34" t="str">
        <x:v>Round1</x:v>
      </x:c>
      <x:c r="D2439" s="34" t="str">
        <x:v>Math_46</x:v>
      </x:c>
      <x:c r="E2439" s="34" t="str">
        <x:v>Line</x:v>
      </x:c>
      <x:c r="F2439" s="34" t="n">
        <x:v>202</x:v>
      </x:c>
      <x:c r="G2439" s="34" t="str">
        <x:v>RECORDED</x:v>
      </x:c>
      <x:c r="H2439" s="38" t="n">
        <x:f>IF(ISNUMBER('Data'!H731),'Data'!H731*100,"")</x:f>
        <x:v>98.51</x:v>
      </x:c>
      <x:c r="I2439" s="34" t="str">
        <x:v>PASS</x:v>
      </x:c>
      <x:c r="J2439" s="34" t="str">
        <x:v>PASS</x:v>
      </x:c>
      <x:c r="K2439" s="34" t="str">
        <x:v>PASS</x:v>
      </x:c>
      <x:c r="L2439" s="34" t="str">
        <x:v>FAIL</x:v>
      </x:c>
      <x:c r="M2439" s="34" t="str">
        <x:v>numeric coverage for applicable metric</x:v>
      </x:c>
      <x:c r="N2439" s="34" t="str">
        <x:v>Feedback-Directed Random Test Generation/Result/Math_46/result.json</x:v>
      </x:c>
      <x:c r="O2439" s="38" t="n">
        <x:f>IF(AND(G2439="RECORDED",ISNUMBER(H2439)),H2439,"")</x:f>
        <x:v>98.51</x:v>
      </x:c>
      <x:c r="P2439" s="34" t="str">
        <x:v>INCONCLUSIVE</x:v>
      </x:c>
      <x:c r="Q2439" s="34" t="str">
        <x:v>Feedback-Directed Random Test Generation/Result/Math_46/result.json</x:v>
      </x:c>
    </x:row>
    <x:row r="2440">
      <x:c r="A2440" s="34" t="str">
        <x:v>randoop</x:v>
      </x:c>
      <x:c r="B2440" s="34" t="str">
        <x:v>Math</x:v>
      </x:c>
      <x:c r="C2440" s="34" t="str">
        <x:v>Round1</x:v>
      </x:c>
      <x:c r="D2440" s="34" t="str">
        <x:v>Math_47</x:v>
      </x:c>
      <x:c r="E2440" s="34" t="str">
        <x:v>Line</x:v>
      </x:c>
      <x:c r="F2440" s="34" t="n">
        <x:v>201</x:v>
      </x:c>
      <x:c r="G2440" s="34" t="str">
        <x:v>RECORDED</x:v>
      </x:c>
      <x:c r="H2440" s="38" t="n">
        <x:f>IF(ISNUMBER('Data'!H732),'Data'!H732*100,"")</x:f>
        <x:v>98.01</x:v>
      </x:c>
      <x:c r="I2440" s="34" t="str">
        <x:v>PASS</x:v>
      </x:c>
      <x:c r="J2440" s="34" t="str">
        <x:v>PASS</x:v>
      </x:c>
      <x:c r="K2440" s="34" t="str">
        <x:v>PASS</x:v>
      </x:c>
      <x:c r="L2440" s="34" t="str">
        <x:v>FAIL</x:v>
      </x:c>
      <x:c r="M2440" s="34" t="str">
        <x:v>numeric coverage for applicable metric</x:v>
      </x:c>
      <x:c r="N2440" s="34" t="str">
        <x:v>Feedback-Directed Random Test Generation/Result/Math_47/result.json</x:v>
      </x:c>
      <x:c r="O2440" s="38" t="n">
        <x:f>IF(AND(G2440="RECORDED",ISNUMBER(H2440)),H2440,"")</x:f>
        <x:v>98.01</x:v>
      </x:c>
      <x:c r="P2440" s="34" t="str">
        <x:v>INCONCLUSIVE</x:v>
      </x:c>
      <x:c r="Q2440" s="34" t="str">
        <x:v>Feedback-Directed Random Test Generation/Result/Math_47/result.json</x:v>
      </x:c>
    </x:row>
    <x:row r="2441">
      <x:c r="A2441" s="34" t="str">
        <x:v>randoop</x:v>
      </x:c>
      <x:c r="B2441" s="34" t="str">
        <x:v>Math</x:v>
      </x:c>
      <x:c r="C2441" s="34" t="str">
        <x:v>Round1</x:v>
      </x:c>
      <x:c r="D2441" s="34" t="str">
        <x:v>Math_48</x:v>
      </x:c>
      <x:c r="E2441" s="34" t="str">
        <x:v>Line</x:v>
      </x:c>
      <x:c r="F2441" s="34" t="n">
        <x:v>73</x:v>
      </x:c>
      <x:c r="G2441" s="34" t="str">
        <x:v>RECORDED</x:v>
      </x:c>
      <x:c r="H2441" s="38" t="n">
        <x:f>IF(ISNUMBER('Data'!H733),'Data'!H733*100,"")</x:f>
        <x:v>5.48</x:v>
      </x:c>
      <x:c r="I2441" s="34" t="str">
        <x:v>PASS</x:v>
      </x:c>
      <x:c r="J2441" s="34" t="str">
        <x:v>PASS</x:v>
      </x:c>
      <x:c r="K2441" s="34" t="str">
        <x:v>PASS</x:v>
      </x:c>
      <x:c r="L2441" s="34" t="str">
        <x:v>PASS</x:v>
      </x:c>
      <x:c r="M2441" s="34" t="str">
        <x:v>numeric coverage for applicable metric</x:v>
      </x:c>
      <x:c r="N2441" s="34" t="str">
        <x:v>Feedback-Directed Random Test Generation/Result/Math_48/result.json</x:v>
      </x:c>
      <x:c r="O2441" s="38" t="n">
        <x:f>IF(AND(G2441="RECORDED",ISNUMBER(H2441)),H2441,"")</x:f>
        <x:v>5.48</x:v>
      </x:c>
      <x:c r="P2441" s="34" t="str">
        <x:v>NOT_REVEALING</x:v>
      </x:c>
      <x:c r="Q2441" s="34" t="str">
        <x:v>Feedback-Directed Random Test Generation/Result/Math_48/result.json</x:v>
      </x:c>
    </x:row>
    <x:row r="2442">
      <x:c r="A2442" s="34" t="str">
        <x:v>randoop</x:v>
      </x:c>
      <x:c r="B2442" s="34" t="str">
        <x:v>Math</x:v>
      </x:c>
      <x:c r="C2442" s="34" t="str">
        <x:v>Round1</x:v>
      </x:c>
      <x:c r="D2442" s="34" t="str">
        <x:v>Math_49</x:v>
      </x:c>
      <x:c r="E2442" s="34" t="str">
        <x:v>Line</x:v>
      </x:c>
      <x:c r="F2442" s="34" t="n">
        <x:v>378</x:v>
      </x:c>
      <x:c r="G2442" s="34" t="str">
        <x:v>RECORDED</x:v>
      </x:c>
      <x:c r="H2442" s="38" t="n">
        <x:f>IF(ISNUMBER('Data'!H734),'Data'!H734*100,"")</x:f>
        <x:v>73.02</x:v>
      </x:c>
      <x:c r="I2442" s="34" t="str">
        <x:v>PASS</x:v>
      </x:c>
      <x:c r="J2442" s="34" t="str">
        <x:v>PASS</x:v>
      </x:c>
      <x:c r="K2442" s="34" t="str">
        <x:v>PASS</x:v>
      </x:c>
      <x:c r="L2442" s="34" t="str">
        <x:v>FAIL</x:v>
      </x:c>
      <x:c r="M2442" s="34" t="str">
        <x:v>numeric coverage for applicable metric</x:v>
      </x:c>
      <x:c r="N2442" s="34" t="str">
        <x:v>Feedback-Directed Random Test Generation/Result/Math_49/result.json</x:v>
      </x:c>
      <x:c r="O2442" s="38" t="n">
        <x:f>IF(AND(G2442="RECORDED",ISNUMBER(H2442)),H2442,"")</x:f>
        <x:v>73.02</x:v>
      </x:c>
      <x:c r="P2442" s="34" t="str">
        <x:v>INCONCLUSIVE</x:v>
      </x:c>
      <x:c r="Q2442" s="34" t="str">
        <x:v>Feedback-Directed Random Test Generation/Result/Math_49/result.json</x:v>
      </x:c>
    </x:row>
    <x:row r="2443">
      <x:c r="A2443" s="34" t="str">
        <x:v>randoop</x:v>
      </x:c>
      <x:c r="B2443" s="34" t="str">
        <x:v>Math</x:v>
      </x:c>
      <x:c r="C2443" s="34" t="str">
        <x:v>Round1</x:v>
      </x:c>
      <x:c r="D2443" s="34" t="str">
        <x:v>Math_50</x:v>
      </x:c>
      <x:c r="E2443" s="34" t="str">
        <x:v>Line</x:v>
      </x:c>
      <x:c r="F2443" s="34" t="n">
        <x:v>75</x:v>
      </x:c>
      <x:c r="G2443" s="34" t="str">
        <x:v>RECORDED</x:v>
      </x:c>
      <x:c r="H2443" s="38" t="n">
        <x:f>IF(ISNUMBER('Data'!H735),'Data'!H735*100,"")</x:f>
        <x:v>5.33</x:v>
      </x:c>
      <x:c r="I2443" s="34" t="str">
        <x:v>PASS</x:v>
      </x:c>
      <x:c r="J2443" s="34" t="str">
        <x:v>PASS</x:v>
      </x:c>
      <x:c r="K2443" s="34" t="str">
        <x:v>PASS</x:v>
      </x:c>
      <x:c r="L2443" s="34" t="str">
        <x:v>PASS</x:v>
      </x:c>
      <x:c r="M2443" s="34" t="str">
        <x:v>numeric coverage for applicable metric</x:v>
      </x:c>
      <x:c r="N2443" s="34" t="str">
        <x:v>Feedback-Directed Random Test Generation/Result/Math_50/result.json</x:v>
      </x:c>
      <x:c r="O2443" s="38" t="n">
        <x:f>IF(AND(G2443="RECORDED",ISNUMBER(H2443)),H2443,"")</x:f>
        <x:v>5.33</x:v>
      </x:c>
      <x:c r="P2443" s="34" t="str">
        <x:v>NOT_REVEALING</x:v>
      </x:c>
      <x:c r="Q2443" s="34" t="str">
        <x:v>Feedback-Directed Random Test Generation/Result/Math_50/result.json</x:v>
      </x:c>
    </x:row>
    <x:row r="2444">
      <x:c r="A2444" s="34" t="str">
        <x:v>randoop</x:v>
      </x:c>
      <x:c r="B2444" s="34" t="str">
        <x:v>Math</x:v>
      </x:c>
      <x:c r="C2444" s="34" t="str">
        <x:v>Round1</x:v>
      </x:c>
      <x:c r="D2444" s="34" t="str">
        <x:v>Math_51</x:v>
      </x:c>
      <x:c r="E2444" s="34" t="str">
        <x:v>Line</x:v>
      </x:c>
      <x:c r="F2444" s="34" t="n">
        <x:v>71</x:v>
      </x:c>
      <x:c r="G2444" s="34" t="str">
        <x:v>RECORDED</x:v>
      </x:c>
      <x:c r="H2444" s="38" t="n">
        <x:f>IF(ISNUMBER('Data'!H736),'Data'!H736*100,"")</x:f>
        <x:v>5.63</x:v>
      </x:c>
      <x:c r="I2444" s="34" t="str">
        <x:v>PASS</x:v>
      </x:c>
      <x:c r="J2444" s="34" t="str">
        <x:v>PASS</x:v>
      </x:c>
      <x:c r="K2444" s="34" t="str">
        <x:v>PASS</x:v>
      </x:c>
      <x:c r="L2444" s="34" t="str">
        <x:v>PASS</x:v>
      </x:c>
      <x:c r="M2444" s="34" t="str">
        <x:v>numeric coverage for applicable metric</x:v>
      </x:c>
      <x:c r="N2444" s="34" t="str">
        <x:v>Feedback-Directed Random Test Generation/Result/Math_51/result.json</x:v>
      </x:c>
      <x:c r="O2444" s="38" t="n">
        <x:f>IF(AND(G2444="RECORDED",ISNUMBER(H2444)),H2444,"")</x:f>
        <x:v>5.63</x:v>
      </x:c>
      <x:c r="P2444" s="34" t="str">
        <x:v>NOT_REVEALING</x:v>
      </x:c>
      <x:c r="Q2444" s="34" t="str">
        <x:v>Feedback-Directed Random Test Generation/Result/Math_51/result.json</x:v>
      </x:c>
    </x:row>
    <x:row r="2445">
      <x:c r="A2445" s="34" t="str">
        <x:v>randoop</x:v>
      </x:c>
      <x:c r="B2445" s="34" t="str">
        <x:v>Math</x:v>
      </x:c>
      <x:c r="C2445" s="34" t="str">
        <x:v>Round1</x:v>
      </x:c>
      <x:c r="D2445" s="34" t="str">
        <x:v>Math_52</x:v>
      </x:c>
      <x:c r="E2445" s="34" t="str">
        <x:v>Line</x:v>
      </x:c>
      <x:c r="F2445" s="34" t="n">
        <x:v>367</x:v>
      </x:c>
      <x:c r="G2445" s="34" t="str">
        <x:v>RECORDED</x:v>
      </x:c>
      <x:c r="H2445" s="38" t="n">
        <x:f>IF(ISNUMBER('Data'!H737),'Data'!H737*100,"")</x:f>
        <x:v>68.12</x:v>
      </x:c>
      <x:c r="I2445" s="34" t="str">
        <x:v>PASS</x:v>
      </x:c>
      <x:c r="J2445" s="34" t="str">
        <x:v>PASS</x:v>
      </x:c>
      <x:c r="K2445" s="34" t="str">
        <x:v>PASS</x:v>
      </x:c>
      <x:c r="L2445" s="34" t="str">
        <x:v>FAIL</x:v>
      </x:c>
      <x:c r="M2445" s="34" t="str">
        <x:v>numeric coverage for applicable metric</x:v>
      </x:c>
      <x:c r="N2445" s="34" t="str">
        <x:v>Feedback-Directed Random Test Generation/Result/Math_52/result.json</x:v>
      </x:c>
      <x:c r="O2445" s="38" t="n">
        <x:f>IF(AND(G2445="RECORDED",ISNUMBER(H2445)),H2445,"")</x:f>
        <x:v>68.12</x:v>
      </x:c>
      <x:c r="P2445" s="34" t="str">
        <x:v>INCONCLUSIVE</x:v>
      </x:c>
      <x:c r="Q2445" s="34" t="str">
        <x:v>Feedback-Directed Random Test Generation/Result/Math_52/result.json</x:v>
      </x:c>
    </x:row>
    <x:row r="2446">
      <x:c r="A2446" s="34" t="str">
        <x:v>randoop</x:v>
      </x:c>
      <x:c r="B2446" s="34" t="str">
        <x:v>Math</x:v>
      </x:c>
      <x:c r="C2446" s="34" t="str">
        <x:v>Round1</x:v>
      </x:c>
      <x:c r="D2446" s="34" t="str">
        <x:v>Math_53</x:v>
      </x:c>
      <x:c r="E2446" s="34" t="str">
        <x:v>Line</x:v>
      </x:c>
      <x:c r="F2446" s="34" t="n">
        <x:v>170</x:v>
      </x:c>
      <x:c r="G2446" s="34" t="str">
        <x:v>RECORDED</x:v>
      </x:c>
      <x:c r="H2446" s="38" t="n">
        <x:f>IF(ISNUMBER('Data'!H738),'Data'!H738*100,"")</x:f>
        <x:v>98.24</x:v>
      </x:c>
      <x:c r="I2446" s="34" t="str">
        <x:v>PASS</x:v>
      </x:c>
      <x:c r="J2446" s="34" t="str">
        <x:v>PASS</x:v>
      </x:c>
      <x:c r="K2446" s="34" t="str">
        <x:v>PASS</x:v>
      </x:c>
      <x:c r="L2446" s="34" t="str">
        <x:v>FAIL</x:v>
      </x:c>
      <x:c r="M2446" s="34" t="str">
        <x:v>numeric coverage for applicable metric</x:v>
      </x:c>
      <x:c r="N2446" s="34" t="str">
        <x:v>Feedback-Directed Random Test Generation/Result/Math_53/result.json</x:v>
      </x:c>
      <x:c r="O2446" s="38" t="n">
        <x:f>IF(AND(G2446="RECORDED",ISNUMBER(H2446)),H2446,"")</x:f>
        <x:v>98.24</x:v>
      </x:c>
      <x:c r="P2446" s="34" t="str">
        <x:v>INCONCLUSIVE</x:v>
      </x:c>
      <x:c r="Q2446" s="34" t="str">
        <x:v>Feedback-Directed Random Test Generation/Result/Math_53/result.json</x:v>
      </x:c>
    </x:row>
    <x:row r="2447">
      <x:c r="A2447" s="34" t="str">
        <x:v>randoop</x:v>
      </x:c>
      <x:c r="B2447" s="34" t="str">
        <x:v>Math</x:v>
      </x:c>
      <x:c r="C2447" s="34" t="str">
        <x:v>Round1</x:v>
      </x:c>
      <x:c r="D2447" s="34" t="str">
        <x:v>Math_54</x:v>
      </x:c>
      <x:c r="E2447" s="34" t="str">
        <x:v>Line</x:v>
      </x:c>
      <x:c r="F2447" s="34" t="n">
        <x:v>996</x:v>
      </x:c>
      <x:c r="G2447" s="34" t="str">
        <x:v>RECORDED</x:v>
      </x:c>
      <x:c r="H2447" s="38" t="n">
        <x:f>IF(ISNUMBER('Data'!H739),'Data'!H739*100,"")</x:f>
        <x:v>1.6099999999999999</x:v>
      </x:c>
      <x:c r="I2447" s="34" t="str">
        <x:v>PASS</x:v>
      </x:c>
      <x:c r="J2447" s="34" t="str">
        <x:v>PASS</x:v>
      </x:c>
      <x:c r="K2447" s="34" t="str">
        <x:v>PASS</x:v>
      </x:c>
      <x:c r="L2447" s="34" t="str">
        <x:v>PASS</x:v>
      </x:c>
      <x:c r="M2447" s="34" t="str">
        <x:v>numeric coverage for applicable metric</x:v>
      </x:c>
      <x:c r="N2447" s="34" t="str">
        <x:v>Feedback-Directed Random Test Generation/Result/Math_54/result.json</x:v>
      </x:c>
      <x:c r="O2447" s="38" t="n">
        <x:f>IF(AND(G2447="RECORDED",ISNUMBER(H2447)),H2447,"")</x:f>
        <x:v>1.6099999999999999</x:v>
      </x:c>
      <x:c r="P2447" s="34" t="str">
        <x:v>NOT_REVEALING</x:v>
      </x:c>
      <x:c r="Q2447" s="34" t="str">
        <x:v>Feedback-Directed Random Test Generation/Result/Math_54/result.json</x:v>
      </x:c>
    </x:row>
    <x:row r="2448">
      <x:c r="A2448" s="34" t="str">
        <x:v>randoop</x:v>
      </x:c>
      <x:c r="B2448" s="34" t="str">
        <x:v>Math</x:v>
      </x:c>
      <x:c r="C2448" s="34" t="str">
        <x:v>Round1</x:v>
      </x:c>
      <x:c r="D2448" s="34" t="str">
        <x:v>Math_55</x:v>
      </x:c>
      <x:c r="E2448" s="34" t="str">
        <x:v>Line</x:v>
      </x:c>
      <x:c r="F2448" s="34" t="n">
        <x:v>116</x:v>
      </x:c>
      <x:c r="G2448" s="34" t="str">
        <x:v>RECORDED</x:v>
      </x:c>
      <x:c r="H2448" s="38" t="n">
        <x:f>IF(ISNUMBER('Data'!H740),'Data'!H740*100,"")</x:f>
        <x:v>98.28</x:v>
      </x:c>
      <x:c r="I2448" s="34" t="str">
        <x:v>PASS</x:v>
      </x:c>
      <x:c r="J2448" s="34" t="str">
        <x:v>PASS</x:v>
      </x:c>
      <x:c r="K2448" s="34" t="str">
        <x:v>PASS</x:v>
      </x:c>
      <x:c r="L2448" s="34" t="str">
        <x:v>FAIL</x:v>
      </x:c>
      <x:c r="M2448" s="34" t="str">
        <x:v>numeric coverage for applicable metric</x:v>
      </x:c>
      <x:c r="N2448" s="34" t="str">
        <x:v>Feedback-Directed Random Test Generation/Result/Math_55/result.json</x:v>
      </x:c>
      <x:c r="O2448" s="38" t="n">
        <x:f>IF(AND(G2448="RECORDED",ISNUMBER(H2448)),H2448,"")</x:f>
        <x:v>98.28</x:v>
      </x:c>
      <x:c r="P2448" s="34" t="str">
        <x:v>INCONCLUSIVE</x:v>
      </x:c>
      <x:c r="Q2448" s="34" t="str">
        <x:v>Feedback-Directed Random Test Generation/Result/Math_55/result.json</x:v>
      </x:c>
    </x:row>
    <x:row r="2449">
      <x:c r="A2449" s="34" t="str">
        <x:v>randoop</x:v>
      </x:c>
      <x:c r="B2449" s="34" t="str">
        <x:v>Math</x:v>
      </x:c>
      <x:c r="C2449" s="34" t="str">
        <x:v>Round1</x:v>
      </x:c>
      <x:c r="D2449" s="34" t="str">
        <x:v>Math_56</x:v>
      </x:c>
      <x:c r="E2449" s="34" t="str">
        <x:v>Line</x:v>
      </x:c>
      <x:c r="F2449" s="34" t="n">
        <x:v>75</x:v>
      </x:c>
      <x:c r="G2449" s="34" t="str">
        <x:v>RECORDED</x:v>
      </x:c>
      <x:c r="H2449" s="38" t="n">
        <x:f>IF(ISNUMBER('Data'!H741),'Data'!H741*100,"")</x:f>
        <x:v>97.33</x:v>
      </x:c>
      <x:c r="I2449" s="34" t="str">
        <x:v>PASS</x:v>
      </x:c>
      <x:c r="J2449" s="34" t="str">
        <x:v>PASS</x:v>
      </x:c>
      <x:c r="K2449" s="34" t="str">
        <x:v>PASS</x:v>
      </x:c>
      <x:c r="L2449" s="34" t="str">
        <x:v>PASS</x:v>
      </x:c>
      <x:c r="M2449" s="34" t="str">
        <x:v>numeric coverage for applicable metric</x:v>
      </x:c>
      <x:c r="N2449" s="34" t="str">
        <x:v>Feedback-Directed Random Test Generation/Result/Math_56/result.json</x:v>
      </x:c>
      <x:c r="O2449" s="38" t="n">
        <x:f>IF(AND(G2449="RECORDED",ISNUMBER(H2449)),H2449,"")</x:f>
        <x:v>97.33</x:v>
      </x:c>
      <x:c r="P2449" s="34" t="str">
        <x:v>INCONCLUSIVE</x:v>
      </x:c>
      <x:c r="Q2449" s="34" t="str">
        <x:v>Feedback-Directed Random Test Generation/Result/Math_56/result.json</x:v>
      </x:c>
    </x:row>
    <x:row r="2450">
      <x:c r="A2450" s="34" t="str">
        <x:v>randoop</x:v>
      </x:c>
      <x:c r="B2450" s="34" t="str">
        <x:v>Math</x:v>
      </x:c>
      <x:c r="C2450" s="34" t="str">
        <x:v>Round1</x:v>
      </x:c>
      <x:c r="D2450" s="34" t="str">
        <x:v>Math_57</x:v>
      </x:c>
      <x:c r="E2450" s="34" t="str">
        <x:v>Line</x:v>
      </x:c>
      <x:c r="F2450" s="34" t="n">
        <x:v>120</x:v>
      </x:c>
      <x:c r="G2450" s="34" t="str">
        <x:v>RECORDED</x:v>
      </x:c>
      <x:c r="H2450" s="38" t="n">
        <x:f>IF(ISNUMBER('Data'!H742),'Data'!H742*100,"")</x:f>
        <x:v>4.17</x:v>
      </x:c>
      <x:c r="I2450" s="34" t="str">
        <x:v>PASS</x:v>
      </x:c>
      <x:c r="J2450" s="34" t="str">
        <x:v>PASS</x:v>
      </x:c>
      <x:c r="K2450" s="34" t="str">
        <x:v>PASS</x:v>
      </x:c>
      <x:c r="L2450" s="34" t="str">
        <x:v>PASS</x:v>
      </x:c>
      <x:c r="M2450" s="34" t="str">
        <x:v>numeric coverage for applicable metric</x:v>
      </x:c>
      <x:c r="N2450" s="34" t="str">
        <x:v>Feedback-Directed Random Test Generation/Result/Math_57/result.json</x:v>
      </x:c>
      <x:c r="O2450" s="38" t="n">
        <x:f>IF(AND(G2450="RECORDED",ISNUMBER(H2450)),H2450,"")</x:f>
        <x:v>4.17</x:v>
      </x:c>
      <x:c r="P2450" s="34" t="str">
        <x:v>NOT_REVEALING</x:v>
      </x:c>
      <x:c r="Q2450" s="34" t="str">
        <x:v>Feedback-Directed Random Test Generation/Result/Math_57/result.json</x:v>
      </x:c>
    </x:row>
    <x:row r="2451">
      <x:c r="A2451" s="34" t="str">
        <x:v>randoop</x:v>
      </x:c>
      <x:c r="B2451" s="34" t="str">
        <x:v>Math</x:v>
      </x:c>
      <x:c r="C2451" s="34" t="str">
        <x:v>Round1</x:v>
      </x:c>
      <x:c r="D2451" s="34" t="str">
        <x:v>Math_58</x:v>
      </x:c>
      <x:c r="E2451" s="34" t="str">
        <x:v>Line</x:v>
      </x:c>
      <x:c r="F2451" s="34" t="n">
        <x:v>96</x:v>
      </x:c>
      <x:c r="G2451" s="34" t="str">
        <x:v>RECORDED</x:v>
      </x:c>
      <x:c r="H2451" s="38" t="n">
        <x:f>IF(ISNUMBER('Data'!H743),'Data'!H743*100,"")</x:f>
        <x:v>87.5</x:v>
      </x:c>
      <x:c r="I2451" s="34" t="str">
        <x:v>PASS</x:v>
      </x:c>
      <x:c r="J2451" s="34" t="str">
        <x:v>PASS</x:v>
      </x:c>
      <x:c r="K2451" s="34" t="str">
        <x:v>PASS</x:v>
      </x:c>
      <x:c r="L2451" s="34" t="str">
        <x:v>PASS</x:v>
      </x:c>
      <x:c r="M2451" s="34" t="str">
        <x:v>numeric coverage for applicable metric</x:v>
      </x:c>
      <x:c r="N2451" s="34" t="str">
        <x:v>Feedback-Directed Random Test Generation/Result/Math_58/result.json</x:v>
      </x:c>
      <x:c r="O2451" s="38" t="n">
        <x:f>IF(AND(G2451="RECORDED",ISNUMBER(H2451)),H2451,"")</x:f>
        <x:v>87.5</x:v>
      </x:c>
      <x:c r="P2451" s="34" t="str">
        <x:v>NOT_REVEALING</x:v>
      </x:c>
      <x:c r="Q2451" s="34" t="str">
        <x:v>Feedback-Directed Random Test Generation/Result/Math_58/result.json</x:v>
      </x:c>
    </x:row>
    <x:row r="2452">
      <x:c r="A2452" s="34" t="str">
        <x:v>randoop</x:v>
      </x:c>
      <x:c r="B2452" s="34" t="str">
        <x:v>Math</x:v>
      </x:c>
      <x:c r="C2452" s="34" t="str">
        <x:v>Round1</x:v>
      </x:c>
      <x:c r="D2452" s="34" t="str">
        <x:v>Math_59</x:v>
      </x:c>
      <x:c r="E2452" s="34" t="str">
        <x:v>Line</x:v>
      </x:c>
      <x:c r="F2452" s="34" t="n">
        <x:v>1549</x:v>
      </x:c>
      <x:c r="G2452" s="34" t="str">
        <x:v>RECORDED</x:v>
      </x:c>
      <x:c r="H2452" s="38" t="n">
        <x:f>IF(ISNUMBER('Data'!H744),'Data'!H744*100,"")</x:f>
        <x:v>93.42</x:v>
      </x:c>
      <x:c r="I2452" s="34" t="str">
        <x:v>PASS</x:v>
      </x:c>
      <x:c r="J2452" s="34" t="str">
        <x:v>PASS</x:v>
      </x:c>
      <x:c r="K2452" s="34" t="str">
        <x:v>PASS</x:v>
      </x:c>
      <x:c r="L2452" s="34" t="str">
        <x:v>PASS</x:v>
      </x:c>
      <x:c r="M2452" s="34" t="str">
        <x:v>numeric coverage for applicable metric</x:v>
      </x:c>
      <x:c r="N2452" s="34" t="str">
        <x:v>Feedback-Directed Random Test Generation/Result/Math_59/result.json</x:v>
      </x:c>
      <x:c r="O2452" s="38" t="n">
        <x:f>IF(AND(G2452="RECORDED",ISNUMBER(H2452)),H2452,"")</x:f>
        <x:v>93.42</x:v>
      </x:c>
      <x:c r="P2452" s="34" t="str">
        <x:v>INCONCLUSIVE</x:v>
      </x:c>
      <x:c r="Q2452" s="34" t="str">
        <x:v>Feedback-Directed Random Test Generation/Result/Math_59/result.json</x:v>
      </x:c>
    </x:row>
    <x:row r="2453">
      <x:c r="A2453" s="34" t="str">
        <x:v>randoop</x:v>
      </x:c>
      <x:c r="B2453" s="34" t="str">
        <x:v>Math</x:v>
      </x:c>
      <x:c r="C2453" s="34" t="str">
        <x:v>Round1</x:v>
      </x:c>
      <x:c r="D2453" s="34" t="str">
        <x:v>Math_60</x:v>
      </x:c>
      <x:c r="E2453" s="34" t="str">
        <x:v>Line</x:v>
      </x:c>
      <x:c r="F2453" s="34" t="n">
        <x:v>47</x:v>
      </x:c>
      <x:c r="G2453" s="34" t="str">
        <x:v>RECORDED</x:v>
      </x:c>
      <x:c r="H2453" s="38" t="n">
        <x:f>IF(ISNUMBER('Data'!H745),'Data'!H745*100,"")</x:f>
        <x:v>80.85</x:v>
      </x:c>
      <x:c r="I2453" s="34" t="str">
        <x:v>PASS</x:v>
      </x:c>
      <x:c r="J2453" s="34" t="str">
        <x:v>PASS</x:v>
      </x:c>
      <x:c r="K2453" s="34" t="str">
        <x:v>PASS</x:v>
      </x:c>
      <x:c r="L2453" s="34" t="str">
        <x:v>PASS</x:v>
      </x:c>
      <x:c r="M2453" s="34" t="str">
        <x:v>numeric coverage for applicable metric</x:v>
      </x:c>
      <x:c r="N2453" s="34" t="str">
        <x:v>Feedback-Directed Random Test Generation/Result/Math_60/result.json</x:v>
      </x:c>
      <x:c r="O2453" s="38" t="n">
        <x:f>IF(AND(G2453="RECORDED",ISNUMBER(H2453)),H2453,"")</x:f>
        <x:v>80.85</x:v>
      </x:c>
      <x:c r="P2453" s="34" t="str">
        <x:v>NOT_REVEALING</x:v>
      </x:c>
      <x:c r="Q2453" s="34" t="str">
        <x:v>Feedback-Directed Random Test Generation/Result/Math_60/result.json</x:v>
      </x:c>
    </x:row>
    <x:row r="2454">
      <x:c r="A2454" s="34" t="str">
        <x:v>randoop</x:v>
      </x:c>
      <x:c r="B2454" s="34" t="str">
        <x:v>Math</x:v>
      </x:c>
      <x:c r="C2454" s="34" t="str">
        <x:v>Round1</x:v>
      </x:c>
      <x:c r="D2454" s="34" t="str">
        <x:v>Math_61</x:v>
      </x:c>
      <x:c r="E2454" s="34" t="str">
        <x:v>Line</x:v>
      </x:c>
      <x:c r="F2454" s="34" t="n">
        <x:v>34</x:v>
      </x:c>
      <x:c r="G2454" s="34" t="str">
        <x:v>RECORDED</x:v>
      </x:c>
      <x:c r="H2454" s="38" t="n">
        <x:f>IF(ISNUMBER('Data'!H746),'Data'!H746*100,"")</x:f>
        <x:v>91.18</x:v>
      </x:c>
      <x:c r="I2454" s="34" t="str">
        <x:v>PASS</x:v>
      </x:c>
      <x:c r="J2454" s="34" t="str">
        <x:v>PASS</x:v>
      </x:c>
      <x:c r="K2454" s="34" t="str">
        <x:v>PASS</x:v>
      </x:c>
      <x:c r="L2454" s="34" t="str">
        <x:v>PASS</x:v>
      </x:c>
      <x:c r="M2454" s="34" t="str">
        <x:v>numeric coverage for applicable metric</x:v>
      </x:c>
      <x:c r="N2454" s="34" t="str">
        <x:v>Feedback-Directed Random Test Generation/Result/Math_61/result.json</x:v>
      </x:c>
      <x:c r="O2454" s="38" t="n">
        <x:f>IF(AND(G2454="RECORDED",ISNUMBER(H2454)),H2454,"")</x:f>
        <x:v>91.18</x:v>
      </x:c>
      <x:c r="P2454" s="34" t="str">
        <x:v>INCONCLUSIVE</x:v>
      </x:c>
      <x:c r="Q2454" s="34" t="str">
        <x:v>Feedback-Directed Random Test Generation/Result/Math_61/result.json</x:v>
      </x:c>
    </x:row>
    <x:row r="2455">
      <x:c r="A2455" s="34" t="str">
        <x:v>randoop</x:v>
      </x:c>
      <x:c r="B2455" s="34" t="str">
        <x:v>Math</x:v>
      </x:c>
      <x:c r="C2455" s="34" t="str">
        <x:v>Round1</x:v>
      </x:c>
      <x:c r="D2455" s="34" t="str">
        <x:v>Math_62</x:v>
      </x:c>
      <x:c r="E2455" s="34" t="str">
        <x:v>Line</x:v>
      </x:c>
      <x:c r="F2455" s="34" t="n">
        <x:v>47</x:v>
      </x:c>
      <x:c r="G2455" s="34" t="str">
        <x:v>RECORDED</x:v>
      </x:c>
      <x:c r="H2455" s="38" t="n">
        <x:f>IF(ISNUMBER('Data'!H747),'Data'!H747*100,"")</x:f>
        <x:v>0</x:v>
      </x:c>
      <x:c r="I2455" s="34" t="str">
        <x:v>PASS</x:v>
      </x:c>
      <x:c r="J2455" s="34" t="str">
        <x:v>PASS</x:v>
      </x:c>
      <x:c r="K2455" s="34" t="str">
        <x:v>PASS</x:v>
      </x:c>
      <x:c r="L2455" s="34" t="str">
        <x:v>PASS</x:v>
      </x:c>
      <x:c r="M2455" s="34" t="str">
        <x:v>numeric coverage for applicable metric</x:v>
      </x:c>
      <x:c r="N2455" s="34" t="str">
        <x:v>Feedback-Directed Random Test Generation/Result/Math_62/result.json</x:v>
      </x:c>
      <x:c r="O2455" s="38" t="n">
        <x:f>IF(AND(G2455="RECORDED",ISNUMBER(H2455)),H2455,"")</x:f>
        <x:v>0</x:v>
      </x:c>
      <x:c r="P2455" s="34" t="str">
        <x:v>NOT_REVEALING</x:v>
      </x:c>
      <x:c r="Q2455" s="34" t="str">
        <x:v>Feedback-Directed Random Test Generation/Result/Math_62/result.json</x:v>
      </x:c>
    </x:row>
    <x:row r="2456">
      <x:c r="A2456" s="34" t="str">
        <x:v>randoop</x:v>
      </x:c>
      <x:c r="B2456" s="34" t="str">
        <x:v>Math</x:v>
      </x:c>
      <x:c r="C2456" s="34" t="str">
        <x:v>Round1</x:v>
      </x:c>
      <x:c r="D2456" s="34" t="str">
        <x:v>Math_63</x:v>
      </x:c>
      <x:c r="E2456" s="34" t="str">
        <x:v>Line</x:v>
      </x:c>
      <x:c r="F2456" s="34" t="n">
        <x:v>518</x:v>
      </x:c>
      <x:c r="G2456" s="34" t="str">
        <x:v>RECORDED</x:v>
      </x:c>
      <x:c r="H2456" s="38" t="n">
        <x:f>IF(ISNUMBER('Data'!H748),'Data'!H748*100,"")</x:f>
        <x:v>80.89</x:v>
      </x:c>
      <x:c r="I2456" s="34" t="str">
        <x:v>PASS</x:v>
      </x:c>
      <x:c r="J2456" s="34" t="str">
        <x:v>PASS</x:v>
      </x:c>
      <x:c r="K2456" s="34" t="str">
        <x:v>PASS</x:v>
      </x:c>
      <x:c r="L2456" s="34" t="str">
        <x:v>PASS</x:v>
      </x:c>
      <x:c r="M2456" s="34" t="str">
        <x:v>numeric coverage for applicable metric</x:v>
      </x:c>
      <x:c r="N2456" s="34" t="str">
        <x:v>Feedback-Directed Random Test Generation/Result/Math_63/result.json</x:v>
      </x:c>
      <x:c r="O2456" s="38" t="n">
        <x:f>IF(AND(G2456="RECORDED",ISNUMBER(H2456)),H2456,"")</x:f>
        <x:v>80.89</x:v>
      </x:c>
      <x:c r="P2456" s="34" t="str">
        <x:v>NOT_REVEALING</x:v>
      </x:c>
      <x:c r="Q2456" s="34" t="str">
        <x:v>Feedback-Directed Random Test Generation/Result/Math_63/result.json</x:v>
      </x:c>
    </x:row>
    <x:row r="2457">
      <x:c r="A2457" s="34" t="str">
        <x:v>randoop</x:v>
      </x:c>
      <x:c r="B2457" s="34" t="str">
        <x:v>Math</x:v>
      </x:c>
      <x:c r="C2457" s="34" t="str">
        <x:v>Round1</x:v>
      </x:c>
      <x:c r="D2457" s="34" t="str">
        <x:v>Math_64</x:v>
      </x:c>
      <x:c r="E2457" s="34" t="str">
        <x:v>Line</x:v>
      </x:c>
      <x:c r="F2457" s="34" t="n">
        <x:v>342</x:v>
      </x:c>
      <x:c r="G2457" s="34" t="str">
        <x:v>RECORDED</x:v>
      </x:c>
      <x:c r="H2457" s="38" t="n">
        <x:f>IF(ISNUMBER('Data'!H749),'Data'!H749*100,"")</x:f>
        <x:v>9.94</x:v>
      </x:c>
      <x:c r="I2457" s="34" t="str">
        <x:v>PASS</x:v>
      </x:c>
      <x:c r="J2457" s="34" t="str">
        <x:v>PASS</x:v>
      </x:c>
      <x:c r="K2457" s="34" t="str">
        <x:v>PASS</x:v>
      </x:c>
      <x:c r="L2457" s="34" t="str">
        <x:v>FAIL</x:v>
      </x:c>
      <x:c r="M2457" s="34" t="str">
        <x:v>numeric coverage for applicable metric</x:v>
      </x:c>
      <x:c r="N2457" s="34" t="str">
        <x:v>Feedback-Directed Random Test Generation/Result/Math_64/result.json</x:v>
      </x:c>
      <x:c r="O2457" s="38" t="n">
        <x:f>IF(AND(G2457="RECORDED",ISNUMBER(H2457)),H2457,"")</x:f>
        <x:v>9.94</x:v>
      </x:c>
      <x:c r="P2457" s="34" t="str">
        <x:v>INCONCLUSIVE</x:v>
      </x:c>
      <x:c r="Q2457" s="34" t="str">
        <x:v>Feedback-Directed Random Test Generation/Result/Math_64/result.json</x:v>
      </x:c>
    </x:row>
    <x:row r="2458">
      <x:c r="A2458" s="34" t="str">
        <x:v>randoop</x:v>
      </x:c>
      <x:c r="B2458" s="34" t="str">
        <x:v>Math</x:v>
      </x:c>
      <x:c r="C2458" s="34" t="str">
        <x:v>Round1</x:v>
      </x:c>
      <x:c r="D2458" s="34" t="str">
        <x:v>Math_65</x:v>
      </x:c>
      <x:c r="E2458" s="34" t="str">
        <x:v>Line</x:v>
      </x:c>
      <x:c r="F2458" s="34" t="n">
        <x:v>96</x:v>
      </x:c>
      <x:c r="G2458" s="34" t="str">
        <x:v>RECORDED</x:v>
      </x:c>
      <x:c r="H2458" s="38" t="n">
        <x:f>IF(ISNUMBER('Data'!H750),'Data'!H750*100,"")</x:f>
        <x:v>0</x:v>
      </x:c>
      <x:c r="I2458" s="34" t="str">
        <x:v>PASS</x:v>
      </x:c>
      <x:c r="J2458" s="34" t="str">
        <x:v>PASS</x:v>
      </x:c>
      <x:c r="K2458" s="34" t="str">
        <x:v>PASS</x:v>
      </x:c>
      <x:c r="L2458" s="34" t="str">
        <x:v>PASS</x:v>
      </x:c>
      <x:c r="M2458" s="34" t="str">
        <x:v>numeric coverage for applicable metric</x:v>
      </x:c>
      <x:c r="N2458" s="34" t="str">
        <x:v>Feedback-Directed Random Test Generation/Result/Math_65/result.json</x:v>
      </x:c>
      <x:c r="O2458" s="38" t="n">
        <x:f>IF(AND(G2458="RECORDED",ISNUMBER(H2458)),H2458,"")</x:f>
        <x:v>0</x:v>
      </x:c>
      <x:c r="P2458" s="34" t="str">
        <x:v>NOT_REVEALING</x:v>
      </x:c>
      <x:c r="Q2458" s="34" t="str">
        <x:v>Feedback-Directed Random Test Generation/Result/Math_65/result.json</x:v>
      </x:c>
    </x:row>
    <x:row r="2459">
      <x:c r="A2459" s="34" t="str">
        <x:v>randoop</x:v>
      </x:c>
      <x:c r="B2459" s="34" t="str">
        <x:v>Math</x:v>
      </x:c>
      <x:c r="C2459" s="34" t="str">
        <x:v>Round1</x:v>
      </x:c>
      <x:c r="D2459" s="34" t="str">
        <x:v>Math_66</x:v>
      </x:c>
      <x:c r="E2459" s="34" t="str">
        <x:v>Line</x:v>
      </x:c>
      <x:c r="F2459" s="34" t="n">
        <x:v>102</x:v>
      </x:c>
      <x:c r="G2459" s="34" t="str">
        <x:v>RECORDED</x:v>
      </x:c>
      <x:c r="H2459" s="38" t="n">
        <x:f>IF(ISNUMBER('Data'!H751),'Data'!H751*100,"")</x:f>
        <x:v>26.47</x:v>
      </x:c>
      <x:c r="I2459" s="34" t="str">
        <x:v>PASS</x:v>
      </x:c>
      <x:c r="J2459" s="34" t="str">
        <x:v>PASS</x:v>
      </x:c>
      <x:c r="K2459" s="34" t="str">
        <x:v>PASS</x:v>
      </x:c>
      <x:c r="L2459" s="34" t="str">
        <x:v>PASS</x:v>
      </x:c>
      <x:c r="M2459" s="34" t="str">
        <x:v>numeric coverage for applicable metric</x:v>
      </x:c>
      <x:c r="N2459" s="34" t="str">
        <x:v>Feedback-Directed Random Test Generation/Result/Math_66/result.json</x:v>
      </x:c>
      <x:c r="O2459" s="38" t="n">
        <x:f>IF(AND(G2459="RECORDED",ISNUMBER(H2459)),H2459,"")</x:f>
        <x:v>26.47</x:v>
      </x:c>
      <x:c r="P2459" s="34" t="str">
        <x:v>INCONCLUSIVE</x:v>
      </x:c>
      <x:c r="Q2459" s="34" t="str">
        <x:v>Feedback-Directed Random Test Generation/Result/Math_66/result.json</x:v>
      </x:c>
    </x:row>
    <x:row r="2460">
      <x:c r="A2460" s="34" t="str">
        <x:v>randoop</x:v>
      </x:c>
      <x:c r="B2460" s="34" t="str">
        <x:v>Math</x:v>
      </x:c>
      <x:c r="C2460" s="34" t="str">
        <x:v>Round1</x:v>
      </x:c>
      <x:c r="D2460" s="34" t="str">
        <x:v>Math_67</x:v>
      </x:c>
      <x:c r="E2460" s="34" t="str">
        <x:v>Line</x:v>
      </x:c>
      <x:c r="F2460" s="34" t="n">
        <x:v>93</x:v>
      </x:c>
      <x:c r="G2460" s="34" t="str">
        <x:v>RECORDED</x:v>
      </x:c>
      <x:c r="H2460" s="38" t="n">
        <x:f>IF(ISNUMBER('Data'!H752),'Data'!H752*100,"")</x:f>
        <x:v>49.46</x:v>
      </x:c>
      <x:c r="I2460" s="34" t="str">
        <x:v>PASS</x:v>
      </x:c>
      <x:c r="J2460" s="34" t="str">
        <x:v>PASS</x:v>
      </x:c>
      <x:c r="K2460" s="34" t="str">
        <x:v>PASS</x:v>
      </x:c>
      <x:c r="L2460" s="34" t="str">
        <x:v>PASS</x:v>
      </x:c>
      <x:c r="M2460" s="34" t="str">
        <x:v>numeric coverage for applicable metric</x:v>
      </x:c>
      <x:c r="N2460" s="34" t="str">
        <x:v>Feedback-Directed Random Test Generation/Result/Math_67/result.json</x:v>
      </x:c>
      <x:c r="O2460" s="38" t="n">
        <x:f>IF(AND(G2460="RECORDED",ISNUMBER(H2460)),H2460,"")</x:f>
        <x:v>49.46</x:v>
      </x:c>
      <x:c r="P2460" s="34" t="str">
        <x:v>NOT_REVEALING</x:v>
      </x:c>
      <x:c r="Q2460" s="34" t="str">
        <x:v>Feedback-Directed Random Test Generation/Result/Math_67/result.json</x:v>
      </x:c>
    </x:row>
    <x:row r="2461">
      <x:c r="A2461" s="34" t="str">
        <x:v>randoop</x:v>
      </x:c>
      <x:c r="B2461" s="34" t="str">
        <x:v>Math</x:v>
      </x:c>
      <x:c r="C2461" s="34" t="str">
        <x:v>Round1</x:v>
      </x:c>
      <x:c r="D2461" s="34" t="str">
        <x:v>Math_68</x:v>
      </x:c>
      <x:c r="E2461" s="34" t="str">
        <x:v>Line</x:v>
      </x:c>
      <x:c r="F2461" s="34" t="n">
        <x:v>332</x:v>
      </x:c>
      <x:c r="G2461" s="34" t="str">
        <x:v>RECORDED</x:v>
      </x:c>
      <x:c r="H2461" s="38" t="n">
        <x:f>IF(ISNUMBER('Data'!H753),'Data'!H753*100,"")</x:f>
        <x:v>9.04</x:v>
      </x:c>
      <x:c r="I2461" s="34" t="str">
        <x:v>PASS</x:v>
      </x:c>
      <x:c r="J2461" s="34" t="str">
        <x:v>PASS</x:v>
      </x:c>
      <x:c r="K2461" s="34" t="str">
        <x:v>PASS</x:v>
      </x:c>
      <x:c r="L2461" s="34" t="str">
        <x:v>FAIL</x:v>
      </x:c>
      <x:c r="M2461" s="34" t="str">
        <x:v>numeric coverage for applicable metric</x:v>
      </x:c>
      <x:c r="N2461" s="34" t="str">
        <x:v>Feedback-Directed Random Test Generation/Result/Math_68/result.json</x:v>
      </x:c>
      <x:c r="O2461" s="38" t="n">
        <x:f>IF(AND(G2461="RECORDED",ISNUMBER(H2461)),H2461,"")</x:f>
        <x:v>9.04</x:v>
      </x:c>
      <x:c r="P2461" s="34" t="str">
        <x:v>INCONCLUSIVE</x:v>
      </x:c>
      <x:c r="Q2461" s="34" t="str">
        <x:v>Feedback-Directed Random Test Generation/Result/Math_68/result.json</x:v>
      </x:c>
    </x:row>
    <x:row r="2462">
      <x:c r="A2462" s="34" t="str">
        <x:v>randoop</x:v>
      </x:c>
      <x:c r="B2462" s="34" t="str">
        <x:v>Math</x:v>
      </x:c>
      <x:c r="C2462" s="34" t="str">
        <x:v>Round1</x:v>
      </x:c>
      <x:c r="D2462" s="34" t="str">
        <x:v>Math_69</x:v>
      </x:c>
      <x:c r="E2462" s="34" t="str">
        <x:v>Line</x:v>
      </x:c>
      <x:c r="F2462" s="34" t="n">
        <x:v>75</x:v>
      </x:c>
      <x:c r="G2462" s="34" t="str">
        <x:v>RECORDED</x:v>
      </x:c>
      <x:c r="H2462" s="38" t="n">
        <x:f>IF(ISNUMBER('Data'!H754),'Data'!H754*100,"")</x:f>
        <x:v>93.33</x:v>
      </x:c>
      <x:c r="I2462" s="34" t="str">
        <x:v>PASS</x:v>
      </x:c>
      <x:c r="J2462" s="34" t="str">
        <x:v>PASS</x:v>
      </x:c>
      <x:c r="K2462" s="34" t="str">
        <x:v>PASS</x:v>
      </x:c>
      <x:c r="L2462" s="34" t="str">
        <x:v>FAIL</x:v>
      </x:c>
      <x:c r="M2462" s="34" t="str">
        <x:v>numeric coverage for applicable metric</x:v>
      </x:c>
      <x:c r="N2462" s="34" t="str">
        <x:v>Feedback-Directed Random Test Generation/Result/Math_69/result.json</x:v>
      </x:c>
      <x:c r="O2462" s="38" t="n">
        <x:f>IF(AND(G2462="RECORDED",ISNUMBER(H2462)),H2462,"")</x:f>
        <x:v>93.33</x:v>
      </x:c>
      <x:c r="P2462" s="34" t="str">
        <x:v>INCONCLUSIVE</x:v>
      </x:c>
      <x:c r="Q2462" s="34" t="str">
        <x:v>Feedback-Directed Random Test Generation/Result/Math_69/result.json</x:v>
      </x:c>
    </x:row>
    <x:row r="2463">
      <x:c r="A2463" s="34" t="str">
        <x:v>randoop</x:v>
      </x:c>
      <x:c r="B2463" s="34" t="str">
        <x:v>Math</x:v>
      </x:c>
      <x:c r="C2463" s="34" t="str">
        <x:v>Round1</x:v>
      </x:c>
      <x:c r="D2463" s="34" t="str">
        <x:v>Math_70</x:v>
      </x:c>
      <x:c r="E2463" s="34" t="str">
        <x:v>Line</x:v>
      </x:c>
      <x:c r="F2463" s="34" t="n">
        <x:v>23</x:v>
      </x:c>
      <x:c r="G2463" s="34" t="str">
        <x:v>RECORDED</x:v>
      </x:c>
      <x:c r="H2463" s="38" t="n">
        <x:f>IF(ISNUMBER('Data'!H755),'Data'!H755*100,"")</x:f>
        <x:v>56.52</x:v>
      </x:c>
      <x:c r="I2463" s="34" t="str">
        <x:v>PASS</x:v>
      </x:c>
      <x:c r="J2463" s="34" t="str">
        <x:v>PASS</x:v>
      </x:c>
      <x:c r="K2463" s="34" t="str">
        <x:v>PASS</x:v>
      </x:c>
      <x:c r="L2463" s="34" t="str">
        <x:v>FAIL</x:v>
      </x:c>
      <x:c r="M2463" s="34" t="str">
        <x:v>numeric coverage for applicable metric</x:v>
      </x:c>
      <x:c r="N2463" s="34" t="str">
        <x:v>Feedback-Directed Random Test Generation/Result/Math_70/result.json</x:v>
      </x:c>
      <x:c r="O2463" s="38" t="n">
        <x:f>IF(AND(G2463="RECORDED",ISNUMBER(H2463)),H2463,"")</x:f>
        <x:v>56.52</x:v>
      </x:c>
      <x:c r="P2463" s="34" t="str">
        <x:v>INCONCLUSIVE</x:v>
      </x:c>
      <x:c r="Q2463" s="34" t="str">
        <x:v>Feedback-Directed Random Test Generation/Result/Math_70/result.json</x:v>
      </x:c>
    </x:row>
    <x:row r="2464">
      <x:c r="A2464" s="34" t="str">
        <x:v>randoop</x:v>
      </x:c>
      <x:c r="B2464" s="34" t="str">
        <x:v>Math</x:v>
      </x:c>
      <x:c r="C2464" s="34" t="str">
        <x:v>Round1</x:v>
      </x:c>
      <x:c r="D2464" s="34" t="str">
        <x:v>Math_71</x:v>
      </x:c>
      <x:c r="E2464" s="34" t="str">
        <x:v>Line</x:v>
      </x:c>
      <x:c r="F2464" s="34" t="n">
        <x:v>197</x:v>
      </x:c>
      <x:c r="G2464" s="34" t="str">
        <x:v>RECORDED</x:v>
      </x:c>
      <x:c r="H2464" s="38" t="n">
        <x:f>IF(ISNUMBER('Data'!H756),'Data'!H756*100,"")</x:f>
        <x:v>0</x:v>
      </x:c>
      <x:c r="I2464" s="34" t="str">
        <x:v>PASS</x:v>
      </x:c>
      <x:c r="J2464" s="34" t="str">
        <x:v>PASS</x:v>
      </x:c>
      <x:c r="K2464" s="34" t="str">
        <x:v>PASS</x:v>
      </x:c>
      <x:c r="L2464" s="34" t="str">
        <x:v>PASS</x:v>
      </x:c>
      <x:c r="M2464" s="34" t="str">
        <x:v>numeric coverage for applicable metric</x:v>
      </x:c>
      <x:c r="N2464" s="34" t="str">
        <x:v>Feedback-Directed Random Test Generation/Result/Math_71/result.json</x:v>
      </x:c>
      <x:c r="O2464" s="38" t="n">
        <x:f>IF(AND(G2464="RECORDED",ISNUMBER(H2464)),H2464,"")</x:f>
        <x:v>0</x:v>
      </x:c>
      <x:c r="P2464" s="34" t="str">
        <x:v>NOT_REVEALING</x:v>
      </x:c>
      <x:c r="Q2464" s="34" t="str">
        <x:v>Feedback-Directed Random Test Generation/Result/Math_71/result.json</x:v>
      </x:c>
    </x:row>
    <x:row r="2465">
      <x:c r="A2465" s="34" t="str">
        <x:v>randoop</x:v>
      </x:c>
      <x:c r="B2465" s="34" t="str">
        <x:v>Math</x:v>
      </x:c>
      <x:c r="C2465" s="34" t="str">
        <x:v>Round1</x:v>
      </x:c>
      <x:c r="D2465" s="34" t="str">
        <x:v>Math_72</x:v>
      </x:c>
      <x:c r="E2465" s="34" t="str">
        <x:v>Line</x:v>
      </x:c>
      <x:c r="F2465" s="34" t="n">
        <x:v>107</x:v>
      </x:c>
      <x:c r="G2465" s="34" t="str">
        <x:v>RECORDED</x:v>
      </x:c>
      <x:c r="H2465" s="38" t="n">
        <x:f>IF(ISNUMBER('Data'!H757),'Data'!H757*100,"")</x:f>
        <x:v>11.21</x:v>
      </x:c>
      <x:c r="I2465" s="34" t="str">
        <x:v>PASS</x:v>
      </x:c>
      <x:c r="J2465" s="34" t="str">
        <x:v>PASS</x:v>
      </x:c>
      <x:c r="K2465" s="34" t="str">
        <x:v>PASS</x:v>
      </x:c>
      <x:c r="L2465" s="34" t="str">
        <x:v>FAIL</x:v>
      </x:c>
      <x:c r="M2465" s="34" t="str">
        <x:v>numeric coverage for applicable metric</x:v>
      </x:c>
      <x:c r="N2465" s="34" t="str">
        <x:v>Feedback-Directed Random Test Generation/Result/Math_72/result.json</x:v>
      </x:c>
      <x:c r="O2465" s="38" t="n">
        <x:f>IF(AND(G2465="RECORDED",ISNUMBER(H2465)),H2465,"")</x:f>
        <x:v>11.21</x:v>
      </x:c>
      <x:c r="P2465" s="34" t="str">
        <x:v>INCONCLUSIVE</x:v>
      </x:c>
      <x:c r="Q2465" s="34" t="str">
        <x:v>Feedback-Directed Random Test Generation/Result/Math_72/result.json</x:v>
      </x:c>
    </x:row>
    <x:row r="2466">
      <x:c r="A2466" s="34" t="str">
        <x:v>randoop</x:v>
      </x:c>
      <x:c r="B2466" s="34" t="str">
        <x:v>Math</x:v>
      </x:c>
      <x:c r="C2466" s="34" t="str">
        <x:v>Round1</x:v>
      </x:c>
      <x:c r="D2466" s="34" t="str">
        <x:v>Math_73</x:v>
      </x:c>
      <x:c r="E2466" s="34" t="str">
        <x:v>Line</x:v>
      </x:c>
      <x:c r="F2466" s="34" t="n">
        <x:v>104</x:v>
      </x:c>
      <x:c r="G2466" s="34" t="str">
        <x:v>RECORDED</x:v>
      </x:c>
      <x:c r="H2466" s="38" t="n">
        <x:f>IF(ISNUMBER('Data'!H758),'Data'!H758*100,"")</x:f>
        <x:v>11.54</x:v>
      </x:c>
      <x:c r="I2466" s="34" t="str">
        <x:v>PASS</x:v>
      </x:c>
      <x:c r="J2466" s="34" t="str">
        <x:v>PASS</x:v>
      </x:c>
      <x:c r="K2466" s="34" t="str">
        <x:v>PASS</x:v>
      </x:c>
      <x:c r="L2466" s="34" t="str">
        <x:v>FAIL</x:v>
      </x:c>
      <x:c r="M2466" s="34" t="str">
        <x:v>numeric coverage for applicable metric</x:v>
      </x:c>
      <x:c r="N2466" s="34" t="str">
        <x:v>Feedback-Directed Random Test Generation/Result/Math_73/result.json</x:v>
      </x:c>
      <x:c r="O2466" s="38" t="n">
        <x:f>IF(AND(G2466="RECORDED",ISNUMBER(H2466)),H2466,"")</x:f>
        <x:v>11.54</x:v>
      </x:c>
      <x:c r="P2466" s="34" t="str">
        <x:v>INCONCLUSIVE</x:v>
      </x:c>
      <x:c r="Q2466" s="34" t="str">
        <x:v>Feedback-Directed Random Test Generation/Result/Math_73/result.json</x:v>
      </x:c>
    </x:row>
    <x:row r="2467">
      <x:c r="A2467" s="34" t="str">
        <x:v>randoop</x:v>
      </x:c>
      <x:c r="B2467" s="34" t="str">
        <x:v>Math</x:v>
      </x:c>
      <x:c r="C2467" s="34" t="str">
        <x:v>Round1</x:v>
      </x:c>
      <x:c r="D2467" s="34" t="str">
        <x:v>Math_74</x:v>
      </x:c>
      <x:c r="E2467" s="34" t="str">
        <x:v>Line</x:v>
      </x:c>
      <x:c r="F2467" s="34" t="n">
        <x:v>122</x:v>
      </x:c>
      <x:c r="G2467" s="34" t="str">
        <x:v>RECORDED</x:v>
      </x:c>
      <x:c r="H2467" s="38" t="n">
        <x:f>IF(ISNUMBER('Data'!H759),'Data'!H759*100,"")</x:f>
        <x:v>0</x:v>
      </x:c>
      <x:c r="I2467" s="34" t="str">
        <x:v>PASS</x:v>
      </x:c>
      <x:c r="J2467" s="34" t="str">
        <x:v>PASS</x:v>
      </x:c>
      <x:c r="K2467" s="34" t="str">
        <x:v>PASS</x:v>
      </x:c>
      <x:c r="L2467" s="34" t="str">
        <x:v>PASS</x:v>
      </x:c>
      <x:c r="M2467" s="34" t="str">
        <x:v>numeric coverage for applicable metric</x:v>
      </x:c>
      <x:c r="N2467" s="34" t="str">
        <x:v>Feedback-Directed Random Test Generation/Result/Math_74/result.json</x:v>
      </x:c>
      <x:c r="O2467" s="38" t="n">
        <x:f>IF(AND(G2467="RECORDED",ISNUMBER(H2467)),H2467,"")</x:f>
        <x:v>0</x:v>
      </x:c>
      <x:c r="P2467" s="34" t="str">
        <x:v>NOT_REVEALING</x:v>
      </x:c>
      <x:c r="Q2467" s="34" t="str">
        <x:v>Feedback-Directed Random Test Generation/Result/Math_74/result.json</x:v>
      </x:c>
    </x:row>
    <x:row r="2468">
      <x:c r="A2468" s="34" t="str">
        <x:v>randoop</x:v>
      </x:c>
      <x:c r="B2468" s="34" t="str">
        <x:v>Math</x:v>
      </x:c>
      <x:c r="C2468" s="34" t="str">
        <x:v>Round1</x:v>
      </x:c>
      <x:c r="D2468" s="34" t="str">
        <x:v>Math_75</x:v>
      </x:c>
      <x:c r="E2468" s="34" t="str">
        <x:v>Line</x:v>
      </x:c>
      <x:c r="F2468" s="34" t="n">
        <x:v>134</x:v>
      </x:c>
      <x:c r="G2468" s="34" t="str">
        <x:v>RECORDED</x:v>
      </x:c>
      <x:c r="H2468" s="38" t="n">
        <x:f>IF(ISNUMBER('Data'!H760),'Data'!H760*100,"")</x:f>
        <x:v>91.04</x:v>
      </x:c>
      <x:c r="I2468" s="34" t="str">
        <x:v>PASS</x:v>
      </x:c>
      <x:c r="J2468" s="34" t="str">
        <x:v>PASS</x:v>
      </x:c>
      <x:c r="K2468" s="34" t="str">
        <x:v>PASS</x:v>
      </x:c>
      <x:c r="L2468" s="34" t="str">
        <x:v>PASS</x:v>
      </x:c>
      <x:c r="M2468" s="34" t="str">
        <x:v>numeric coverage for applicable metric</x:v>
      </x:c>
      <x:c r="N2468" s="34" t="str">
        <x:v>Feedback-Directed Random Test Generation/Result/Math_75/result.json</x:v>
      </x:c>
      <x:c r="O2468" s="38" t="n">
        <x:f>IF(AND(G2468="RECORDED",ISNUMBER(H2468)),H2468,"")</x:f>
        <x:v>91.04</x:v>
      </x:c>
      <x:c r="P2468" s="34" t="str">
        <x:v>INCONCLUSIVE</x:v>
      </x:c>
      <x:c r="Q2468" s="34" t="str">
        <x:v>Feedback-Directed Random Test Generation/Result/Math_75/result.json</x:v>
      </x:c>
    </x:row>
    <x:row r="2469">
      <x:c r="A2469" s="34" t="str">
        <x:v>randoop</x:v>
      </x:c>
      <x:c r="B2469" s="34" t="str">
        <x:v>Math</x:v>
      </x:c>
      <x:c r="C2469" s="34" t="str">
        <x:v>Round1</x:v>
      </x:c>
      <x:c r="D2469" s="34" t="str">
        <x:v>Math_76</x:v>
      </x:c>
      <x:c r="E2469" s="34" t="str">
        <x:v>Line</x:v>
      </x:c>
      <x:c r="F2469" s="34" t="n">
        <x:v>134</x:v>
      </x:c>
      <x:c r="G2469" s="34" t="str">
        <x:v>RECORDED</x:v>
      </x:c>
      <x:c r="H2469" s="38" t="n">
        <x:f>IF(ISNUMBER('Data'!H761),'Data'!H761*100,"")</x:f>
        <x:v>2.24</x:v>
      </x:c>
      <x:c r="I2469" s="34" t="str">
        <x:v>PASS</x:v>
      </x:c>
      <x:c r="J2469" s="34" t="str">
        <x:v>PASS</x:v>
      </x:c>
      <x:c r="K2469" s="34" t="str">
        <x:v>PASS</x:v>
      </x:c>
      <x:c r="L2469" s="34" t="str">
        <x:v>PASS</x:v>
      </x:c>
      <x:c r="M2469" s="34" t="str">
        <x:v>numeric coverage for applicable metric</x:v>
      </x:c>
      <x:c r="N2469" s="34" t="str">
        <x:v>Feedback-Directed Random Test Generation/Result/Math_76/result.json</x:v>
      </x:c>
      <x:c r="O2469" s="38" t="n">
        <x:f>IF(AND(G2469="RECORDED",ISNUMBER(H2469)),H2469,"")</x:f>
        <x:v>2.24</x:v>
      </x:c>
      <x:c r="P2469" s="34" t="str">
        <x:v>NOT_REVEALING</x:v>
      </x:c>
      <x:c r="Q2469" s="34" t="str">
        <x:v>Feedback-Directed Random Test Generation/Result/Math_76/result.json</x:v>
      </x:c>
    </x:row>
    <x:row r="2470">
      <x:c r="A2470" s="34" t="str">
        <x:v>randoop</x:v>
      </x:c>
      <x:c r="B2470" s="34" t="str">
        <x:v>Math</x:v>
      </x:c>
      <x:c r="C2470" s="34" t="str">
        <x:v>Round1</x:v>
      </x:c>
      <x:c r="D2470" s="34" t="str">
        <x:v>Math_77</x:v>
      </x:c>
      <x:c r="E2470" s="34" t="str">
        <x:v>Line</x:v>
      </x:c>
      <x:c r="F2470" s="34" t="n">
        <x:v>799</x:v>
      </x:c>
      <x:c r="G2470" s="34" t="str">
        <x:v>RECORDED</x:v>
      </x:c>
      <x:c r="H2470" s="38" t="n">
        <x:f>IF(ISNUMBER('Data'!H762),'Data'!H762*100,"")</x:f>
        <x:v>85.36</x:v>
      </x:c>
      <x:c r="I2470" s="34" t="str">
        <x:v>PASS</x:v>
      </x:c>
      <x:c r="J2470" s="34" t="str">
        <x:v>PASS</x:v>
      </x:c>
      <x:c r="K2470" s="34" t="str">
        <x:v>PASS</x:v>
      </x:c>
      <x:c r="L2470" s="34" t="str">
        <x:v>FAIL</x:v>
      </x:c>
      <x:c r="M2470" s="34" t="str">
        <x:v>numeric coverage for applicable metric</x:v>
      </x:c>
      <x:c r="N2470" s="34" t="str">
        <x:v>Feedback-Directed Random Test Generation/Result/Math_77/result.json</x:v>
      </x:c>
      <x:c r="O2470" s="38" t="n">
        <x:f>IF(AND(G2470="RECORDED",ISNUMBER(H2470)),H2470,"")</x:f>
        <x:v>85.36</x:v>
      </x:c>
      <x:c r="P2470" s="34" t="str">
        <x:v>INCONCLUSIVE</x:v>
      </x:c>
      <x:c r="Q2470" s="34" t="str">
        <x:v>Feedback-Directed Random Test Generation/Result/Math_77/result.json</x:v>
      </x:c>
    </x:row>
    <x:row r="2471">
      <x:c r="A2471" s="34" t="str">
        <x:v>randoop</x:v>
      </x:c>
      <x:c r="B2471" s="34" t="str">
        <x:v>Math</x:v>
      </x:c>
      <x:c r="C2471" s="34" t="str">
        <x:v>Round1</x:v>
      </x:c>
      <x:c r="D2471" s="34" t="str">
        <x:v>Math_78</x:v>
      </x:c>
      <x:c r="E2471" s="34" t="str">
        <x:v>Line</x:v>
      </x:c>
      <x:c r="F2471" s="34" t="n">
        <x:v>90</x:v>
      </x:c>
      <x:c r="G2471" s="34" t="str">
        <x:v>RECORDED</x:v>
      </x:c>
      <x:c r="H2471" s="38" t="n">
        <x:f>IF(ISNUMBER('Data'!H763),'Data'!H763*100,"")</x:f>
        <x:v>30</x:v>
      </x:c>
      <x:c r="I2471" s="34" t="str">
        <x:v>PASS</x:v>
      </x:c>
      <x:c r="J2471" s="34" t="str">
        <x:v>PASS</x:v>
      </x:c>
      <x:c r="K2471" s="34" t="str">
        <x:v>PASS</x:v>
      </x:c>
      <x:c r="L2471" s="34" t="str">
        <x:v>PASS</x:v>
      </x:c>
      <x:c r="M2471" s="34" t="str">
        <x:v>numeric coverage for applicable metric</x:v>
      </x:c>
      <x:c r="N2471" s="34" t="str">
        <x:v>Feedback-Directed Random Test Generation/Result/Math_78/result.json</x:v>
      </x:c>
      <x:c r="O2471" s="38" t="n">
        <x:f>IF(AND(G2471="RECORDED",ISNUMBER(H2471)),H2471,"")</x:f>
        <x:v>30</x:v>
      </x:c>
      <x:c r="P2471" s="34" t="str">
        <x:v>NOT_REVEALING</x:v>
      </x:c>
      <x:c r="Q2471" s="34" t="str">
        <x:v>Feedback-Directed Random Test Generation/Result/Math_78/result.json</x:v>
      </x:c>
    </x:row>
    <x:row r="2472">
      <x:c r="A2472" s="34" t="str">
        <x:v>randoop</x:v>
      </x:c>
      <x:c r="B2472" s="34" t="str">
        <x:v>Math</x:v>
      </x:c>
      <x:c r="C2472" s="34" t="str">
        <x:v>Round1</x:v>
      </x:c>
      <x:c r="D2472" s="34" t="str">
        <x:v>Math_79</x:v>
      </x:c>
      <x:c r="E2472" s="34" t="str">
        <x:v>Line</x:v>
      </x:c>
      <x:c r="F2472" s="34" t="n">
        <x:v>420</x:v>
      </x:c>
      <x:c r="G2472" s="34" t="str">
        <x:v>RECORDED</x:v>
      </x:c>
      <x:c r="H2472" s="38" t="n">
        <x:f>IF(ISNUMBER('Data'!H764),'Data'!H764*100,"")</x:f>
        <x:v>35.95</x:v>
      </x:c>
      <x:c r="I2472" s="34" t="str">
        <x:v>PASS</x:v>
      </x:c>
      <x:c r="J2472" s="34" t="str">
        <x:v>PASS</x:v>
      </x:c>
      <x:c r="K2472" s="34" t="str">
        <x:v>PASS</x:v>
      </x:c>
      <x:c r="L2472" s="34" t="str">
        <x:v>PASS</x:v>
      </x:c>
      <x:c r="M2472" s="34" t="str">
        <x:v>numeric coverage for applicable metric</x:v>
      </x:c>
      <x:c r="N2472" s="34" t="str">
        <x:v>Feedback-Directed Random Test Generation/Result/Math_79/result.json</x:v>
      </x:c>
      <x:c r="O2472" s="38" t="n">
        <x:f>IF(AND(G2472="RECORDED",ISNUMBER(H2472)),H2472,"")</x:f>
        <x:v>35.95</x:v>
      </x:c>
      <x:c r="P2472" s="34" t="str">
        <x:v>NOT_REVEALING</x:v>
      </x:c>
      <x:c r="Q2472" s="34" t="str">
        <x:v>Feedback-Directed Random Test Generation/Result/Math_79/result.json</x:v>
      </x:c>
    </x:row>
    <x:row r="2473">
      <x:c r="A2473" s="34" t="str">
        <x:v>randoop</x:v>
      </x:c>
      <x:c r="B2473" s="34" t="str">
        <x:v>Math</x:v>
      </x:c>
      <x:c r="C2473" s="34" t="str">
        <x:v>Round1</x:v>
      </x:c>
      <x:c r="D2473" s="34" t="str">
        <x:v>Math_80</x:v>
      </x:c>
      <x:c r="E2473" s="34" t="str">
        <x:v>Line</x:v>
      </x:c>
      <x:c r="F2473" s="34" t="n">
        <x:v>855</x:v>
      </x:c>
      <x:c r="G2473" s="34" t="str">
        <x:v>RECORDED</x:v>
      </x:c>
      <x:c r="H2473" s="38" t="n">
        <x:f>IF(ISNUMBER('Data'!H765),'Data'!H765*100,"")</x:f>
        <x:v>20.82</x:v>
      </x:c>
      <x:c r="I2473" s="34" t="str">
        <x:v>PASS</x:v>
      </x:c>
      <x:c r="J2473" s="34" t="str">
        <x:v>PASS</x:v>
      </x:c>
      <x:c r="K2473" s="34" t="str">
        <x:v>PASS</x:v>
      </x:c>
      <x:c r="L2473" s="34" t="str">
        <x:v>PASS</x:v>
      </x:c>
      <x:c r="M2473" s="34" t="str">
        <x:v>numeric coverage for applicable metric</x:v>
      </x:c>
      <x:c r="N2473" s="34" t="str">
        <x:v>Feedback-Directed Random Test Generation/Result/Math_80/result.json</x:v>
      </x:c>
      <x:c r="O2473" s="38" t="n">
        <x:f>IF(AND(G2473="RECORDED",ISNUMBER(H2473)),H2473,"")</x:f>
        <x:v>20.82</x:v>
      </x:c>
      <x:c r="P2473" s="34" t="str">
        <x:v>NOT_REVEALING</x:v>
      </x:c>
      <x:c r="Q2473" s="34" t="str">
        <x:v>Feedback-Directed Random Test Generation/Result/Math_80/result.json</x:v>
      </x:c>
    </x:row>
    <x:row r="2474">
      <x:c r="A2474" s="34" t="str">
        <x:v>randoop</x:v>
      </x:c>
      <x:c r="B2474" s="34" t="str">
        <x:v>Math</x:v>
      </x:c>
      <x:c r="C2474" s="34" t="str">
        <x:v>Round1</x:v>
      </x:c>
      <x:c r="D2474" s="34" t="str">
        <x:v>Math_81</x:v>
      </x:c>
      <x:c r="E2474" s="34" t="str">
        <x:v>Line</x:v>
      </x:c>
      <x:c r="F2474" s="34" t="n">
        <x:v>854</x:v>
      </x:c>
      <x:c r="G2474" s="34" t="str">
        <x:v>RECORDED</x:v>
      </x:c>
      <x:c r="H2474" s="38" t="n">
        <x:f>IF(ISNUMBER('Data'!H766),'Data'!H766*100,"")</x:f>
        <x:v>20.73</x:v>
      </x:c>
      <x:c r="I2474" s="34" t="str">
        <x:v>PASS</x:v>
      </x:c>
      <x:c r="J2474" s="34" t="str">
        <x:v>PASS</x:v>
      </x:c>
      <x:c r="K2474" s="34" t="str">
        <x:v>PASS</x:v>
      </x:c>
      <x:c r="L2474" s="34" t="str">
        <x:v>PASS</x:v>
      </x:c>
      <x:c r="M2474" s="34" t="str">
        <x:v>numeric coverage for applicable metric</x:v>
      </x:c>
      <x:c r="N2474" s="34" t="str">
        <x:v>Feedback-Directed Random Test Generation/Result/Math_81/result.json</x:v>
      </x:c>
      <x:c r="O2474" s="38" t="n">
        <x:f>IF(AND(G2474="RECORDED",ISNUMBER(H2474)),H2474,"")</x:f>
        <x:v>20.73</x:v>
      </x:c>
      <x:c r="P2474" s="34" t="str">
        <x:v>NOT_REVEALING</x:v>
      </x:c>
      <x:c r="Q2474" s="34" t="str">
        <x:v>Feedback-Directed Random Test Generation/Result/Math_81/result.json</x:v>
      </x:c>
    </x:row>
    <x:row r="2475">
      <x:c r="A2475" s="34" t="str">
        <x:v>randoop</x:v>
      </x:c>
      <x:c r="B2475" s="34" t="str">
        <x:v>Math</x:v>
      </x:c>
      <x:c r="C2475" s="34" t="str">
        <x:v>Round1</x:v>
      </x:c>
      <x:c r="D2475" s="34" t="str">
        <x:v>Math_82</x:v>
      </x:c>
      <x:c r="E2475" s="34" t="str">
        <x:v>Line</x:v>
      </x:c>
      <x:c r="F2475" s="34" t="n">
        <x:v>60</x:v>
      </x:c>
      <x:c r="G2475" s="34" t="str">
        <x:v>RECORDED</x:v>
      </x:c>
      <x:c r="H2475" s="38" t="n">
        <x:f>IF(ISNUMBER('Data'!H767),'Data'!H767*100,"")</x:f>
        <x:v>21.67</x:v>
      </x:c>
      <x:c r="I2475" s="34" t="str">
        <x:v>PASS</x:v>
      </x:c>
      <x:c r="J2475" s="34" t="str">
        <x:v>PASS</x:v>
      </x:c>
      <x:c r="K2475" s="34" t="str">
        <x:v>PASS</x:v>
      </x:c>
      <x:c r="L2475" s="34" t="str">
        <x:v>FAIL</x:v>
      </x:c>
      <x:c r="M2475" s="34" t="str">
        <x:v>numeric coverage for applicable metric</x:v>
      </x:c>
      <x:c r="N2475" s="34" t="str">
        <x:v>Feedback-Directed Random Test Generation/Result/Math_82/result.json</x:v>
      </x:c>
      <x:c r="O2475" s="38" t="n">
        <x:f>IF(AND(G2475="RECORDED",ISNUMBER(H2475)),H2475,"")</x:f>
        <x:v>21.67</x:v>
      </x:c>
      <x:c r="P2475" s="34" t="str">
        <x:v>INCONCLUSIVE</x:v>
      </x:c>
      <x:c r="Q2475" s="34" t="str">
        <x:v>Feedback-Directed Random Test Generation/Result/Math_82/result.json</x:v>
      </x:c>
    </x:row>
    <x:row r="2476">
      <x:c r="A2476" s="34" t="str">
        <x:v>randoop</x:v>
      </x:c>
      <x:c r="B2476" s="34" t="str">
        <x:v>Math</x:v>
      </x:c>
      <x:c r="C2476" s="34" t="str">
        <x:v>Round1</x:v>
      </x:c>
      <x:c r="D2476" s="34" t="str">
        <x:v>Math_83</x:v>
      </x:c>
      <x:c r="E2476" s="34" t="str">
        <x:v>Line</x:v>
      </x:c>
      <x:c r="F2476" s="34" t="n">
        <x:v>155</x:v>
      </x:c>
      <x:c r="G2476" s="34" t="str">
        <x:v>RECORDED</x:v>
      </x:c>
      <x:c r="H2476" s="38" t="n">
        <x:f>IF(ISNUMBER('Data'!H768),'Data'!H768*100,"")</x:f>
        <x:v>3.8699999999999997</x:v>
      </x:c>
      <x:c r="I2476" s="34" t="str">
        <x:v>PASS</x:v>
      </x:c>
      <x:c r="J2476" s="34" t="str">
        <x:v>PASS</x:v>
      </x:c>
      <x:c r="K2476" s="34" t="str">
        <x:v>PASS</x:v>
      </x:c>
      <x:c r="L2476" s="34" t="str">
        <x:v>PASS</x:v>
      </x:c>
      <x:c r="M2476" s="34" t="str">
        <x:v>numeric coverage for applicable metric</x:v>
      </x:c>
      <x:c r="N2476" s="34" t="str">
        <x:v>Feedback-Directed Random Test Generation/Result/Math_83/result.json</x:v>
      </x:c>
      <x:c r="O2476" s="38" t="n">
        <x:f>IF(AND(G2476="RECORDED",ISNUMBER(H2476)),H2476,"")</x:f>
        <x:v>3.8699999999999997</x:v>
      </x:c>
      <x:c r="P2476" s="34" t="str">
        <x:v>NOT_REVEALING</x:v>
      </x:c>
      <x:c r="Q2476" s="34" t="str">
        <x:v>Feedback-Directed Random Test Generation/Result/Math_83/result.json</x:v>
      </x:c>
    </x:row>
    <x:row r="2477">
      <x:c r="A2477" s="34" t="str">
        <x:v>randoop</x:v>
      </x:c>
      <x:c r="B2477" s="34" t="str">
        <x:v>Math</x:v>
      </x:c>
      <x:c r="C2477" s="34" t="str">
        <x:v>Round1</x:v>
      </x:c>
      <x:c r="D2477" s="34" t="str">
        <x:v>Math_84</x:v>
      </x:c>
      <x:c r="E2477" s="34" t="str">
        <x:v>Line</x:v>
      </x:c>
      <x:c r="F2477" s="34" t="n">
        <x:v>34</x:v>
      </x:c>
      <x:c r="G2477" s="34" t="str">
        <x:v>RECORDED</x:v>
      </x:c>
      <x:c r="H2477" s="38" t="n">
        <x:f>IF(ISNUMBER('Data'!H769),'Data'!H769*100,"")</x:f>
        <x:v>32.35</x:v>
      </x:c>
      <x:c r="I2477" s="34" t="str">
        <x:v>PASS</x:v>
      </x:c>
      <x:c r="J2477" s="34" t="str">
        <x:v>PASS</x:v>
      </x:c>
      <x:c r="K2477" s="34" t="str">
        <x:v>PASS</x:v>
      </x:c>
      <x:c r="L2477" s="34" t="str">
        <x:v>PASS</x:v>
      </x:c>
      <x:c r="M2477" s="34" t="str">
        <x:v>numeric coverage for applicable metric</x:v>
      </x:c>
      <x:c r="N2477" s="34" t="str">
        <x:v>Feedback-Directed Random Test Generation/Result/Math_84/result.json</x:v>
      </x:c>
      <x:c r="O2477" s="38" t="n">
        <x:f>IF(AND(G2477="RECORDED",ISNUMBER(H2477)),H2477,"")</x:f>
        <x:v>32.35</x:v>
      </x:c>
      <x:c r="P2477" s="34" t="str">
        <x:v>NOT_REVEALING</x:v>
      </x:c>
      <x:c r="Q2477" s="34" t="str">
        <x:v>Feedback-Directed Random Test Generation/Result/Math_84/result.json</x:v>
      </x:c>
    </x:row>
    <x:row r="2478">
      <x:c r="A2478" s="34" t="str">
        <x:v>randoop</x:v>
      </x:c>
      <x:c r="B2478" s="34" t="str">
        <x:v>Math</x:v>
      </x:c>
      <x:c r="C2478" s="34" t="str">
        <x:v>Round1</x:v>
      </x:c>
      <x:c r="D2478" s="34" t="str">
        <x:v>Math_85</x:v>
      </x:c>
      <x:c r="E2478" s="34" t="str">
        <x:v>Line</x:v>
      </x:c>
      <x:c r="F2478" s="34" t="n">
        <x:v>38</x:v>
      </x:c>
      <x:c r="G2478" s="34" t="str">
        <x:v>RECORDED</x:v>
      </x:c>
      <x:c r="H2478" s="38" t="n">
        <x:f>IF(ISNUMBER('Data'!H770),'Data'!H770*100,"")</x:f>
        <x:v>21.05</x:v>
      </x:c>
      <x:c r="I2478" s="34" t="str">
        <x:v>PASS</x:v>
      </x:c>
      <x:c r="J2478" s="34" t="str">
        <x:v>PASS</x:v>
      </x:c>
      <x:c r="K2478" s="34" t="str">
        <x:v>PASS</x:v>
      </x:c>
      <x:c r="L2478" s="34" t="str">
        <x:v>PASS</x:v>
      </x:c>
      <x:c r="M2478" s="34" t="str">
        <x:v>numeric coverage for applicable metric</x:v>
      </x:c>
      <x:c r="N2478" s="34" t="str">
        <x:v>Feedback-Directed Random Test Generation/Result/Math_85/result.json</x:v>
      </x:c>
      <x:c r="O2478" s="38" t="n">
        <x:f>IF(AND(G2478="RECORDED",ISNUMBER(H2478)),H2478,"")</x:f>
        <x:v>21.05</x:v>
      </x:c>
      <x:c r="P2478" s="34" t="str">
        <x:v>NOT_REVEALING</x:v>
      </x:c>
      <x:c r="Q2478" s="34" t="str">
        <x:v>Feedback-Directed Random Test Generation/Result/Math_85/result.json</x:v>
      </x:c>
    </x:row>
    <x:row r="2479">
      <x:c r="A2479" s="34" t="str">
        <x:v>randoop</x:v>
      </x:c>
      <x:c r="B2479" s="34" t="str">
        <x:v>Math</x:v>
      </x:c>
      <x:c r="C2479" s="34" t="str">
        <x:v>Round1</x:v>
      </x:c>
      <x:c r="D2479" s="34" t="str">
        <x:v>Math_86</x:v>
      </x:c>
      <x:c r="E2479" s="34" t="str">
        <x:v>Line</x:v>
      </x:c>
      <x:c r="F2479" s="34" t="n">
        <x:v>116</x:v>
      </x:c>
      <x:c r="G2479" s="34" t="str">
        <x:v>RECORDED</x:v>
      </x:c>
      <x:c r="H2479" s="38" t="n">
        <x:f>IF(ISNUMBER('Data'!H771),'Data'!H771*100,"")</x:f>
        <x:v>2.59</x:v>
      </x:c>
      <x:c r="I2479" s="34" t="str">
        <x:v>PASS</x:v>
      </x:c>
      <x:c r="J2479" s="34" t="str">
        <x:v>PASS</x:v>
      </x:c>
      <x:c r="K2479" s="34" t="str">
        <x:v>PASS</x:v>
      </x:c>
      <x:c r="L2479" s="34" t="str">
        <x:v>PASS</x:v>
      </x:c>
      <x:c r="M2479" s="34" t="str">
        <x:v>numeric coverage for applicable metric</x:v>
      </x:c>
      <x:c r="N2479" s="34" t="str">
        <x:v>Feedback-Directed Random Test Generation/Result/Math_86/result.json</x:v>
      </x:c>
      <x:c r="O2479" s="38" t="n">
        <x:f>IF(AND(G2479="RECORDED",ISNUMBER(H2479)),H2479,"")</x:f>
        <x:v>2.59</x:v>
      </x:c>
      <x:c r="P2479" s="34" t="str">
        <x:v>NOT_REVEALING</x:v>
      </x:c>
      <x:c r="Q2479" s="34" t="str">
        <x:v>Feedback-Directed Random Test Generation/Result/Math_86/result.json</x:v>
      </x:c>
    </x:row>
    <x:row r="2480">
      <x:c r="A2480" s="34" t="str">
        <x:v>randoop</x:v>
      </x:c>
      <x:c r="B2480" s="34" t="str">
        <x:v>Math</x:v>
      </x:c>
      <x:c r="C2480" s="34" t="str">
        <x:v>Round1</x:v>
      </x:c>
      <x:c r="D2480" s="34" t="str">
        <x:v>Math_87</x:v>
      </x:c>
      <x:c r="E2480" s="34" t="str">
        <x:v>Line</x:v>
      </x:c>
      <x:c r="F2480" s="34" t="n">
        <x:v>152</x:v>
      </x:c>
      <x:c r="G2480" s="34" t="str">
        <x:v>RECORDED</x:v>
      </x:c>
      <x:c r="H2480" s="38" t="n">
        <x:f>IF(ISNUMBER('Data'!H772),'Data'!H772*100,"")</x:f>
        <x:v>3.95</x:v>
      </x:c>
      <x:c r="I2480" s="34" t="str">
        <x:v>PASS</x:v>
      </x:c>
      <x:c r="J2480" s="34" t="str">
        <x:v>PASS</x:v>
      </x:c>
      <x:c r="K2480" s="34" t="str">
        <x:v>PASS</x:v>
      </x:c>
      <x:c r="L2480" s="34" t="str">
        <x:v>PASS</x:v>
      </x:c>
      <x:c r="M2480" s="34" t="str">
        <x:v>numeric coverage for applicable metric</x:v>
      </x:c>
      <x:c r="N2480" s="34" t="str">
        <x:v>Feedback-Directed Random Test Generation/Result/Math_87/result.json</x:v>
      </x:c>
      <x:c r="O2480" s="38" t="n">
        <x:f>IF(AND(G2480="RECORDED",ISNUMBER(H2480)),H2480,"")</x:f>
        <x:v>3.95</x:v>
      </x:c>
      <x:c r="P2480" s="34" t="str">
        <x:v>NOT_REVEALING</x:v>
      </x:c>
      <x:c r="Q2480" s="34" t="str">
        <x:v>Feedback-Directed Random Test Generation/Result/Math_87/result.json</x:v>
      </x:c>
    </x:row>
    <x:row r="2481">
      <x:c r="A2481" s="34" t="str">
        <x:v>randoop</x:v>
      </x:c>
      <x:c r="B2481" s="34" t="str">
        <x:v>Math</x:v>
      </x:c>
      <x:c r="C2481" s="34" t="str">
        <x:v>Round1</x:v>
      </x:c>
      <x:c r="D2481" s="34" t="str">
        <x:v>Math_88</x:v>
      </x:c>
      <x:c r="E2481" s="34" t="str">
        <x:v>Line</x:v>
      </x:c>
      <x:c r="F2481" s="34" t="n">
        <x:v>152</x:v>
      </x:c>
      <x:c r="G2481" s="34" t="str">
        <x:v>RECORDED</x:v>
      </x:c>
      <x:c r="H2481" s="38" t="n">
        <x:f>IF(ISNUMBER('Data'!H773),'Data'!H773*100,"")</x:f>
        <x:v>3.95</x:v>
      </x:c>
      <x:c r="I2481" s="34" t="str">
        <x:v>PASS</x:v>
      </x:c>
      <x:c r="J2481" s="34" t="str">
        <x:v>PASS</x:v>
      </x:c>
      <x:c r="K2481" s="34" t="str">
        <x:v>PASS</x:v>
      </x:c>
      <x:c r="L2481" s="34" t="str">
        <x:v>PASS</x:v>
      </x:c>
      <x:c r="M2481" s="34" t="str">
        <x:v>numeric coverage for applicable metric</x:v>
      </x:c>
      <x:c r="N2481" s="34" t="str">
        <x:v>Feedback-Directed Random Test Generation/Result/Math_88/result.json</x:v>
      </x:c>
      <x:c r="O2481" s="38" t="n">
        <x:f>IF(AND(G2481="RECORDED",ISNUMBER(H2481)),H2481,"")</x:f>
        <x:v>3.95</x:v>
      </x:c>
      <x:c r="P2481" s="34" t="str">
        <x:v>NOT_REVEALING</x:v>
      </x:c>
      <x:c r="Q2481" s="34" t="str">
        <x:v>Feedback-Directed Random Test Generation/Result/Math_88/result.json</x:v>
      </x:c>
    </x:row>
    <x:row r="2482">
      <x:c r="A2482" s="34" t="str">
        <x:v>randoop</x:v>
      </x:c>
      <x:c r="B2482" s="34" t="str">
        <x:v>Math</x:v>
      </x:c>
      <x:c r="C2482" s="34" t="str">
        <x:v>Round1</x:v>
      </x:c>
      <x:c r="D2482" s="34" t="str">
        <x:v>Math_89</x:v>
      </x:c>
      <x:c r="E2482" s="34" t="str">
        <x:v>Line</x:v>
      </x:c>
      <x:c r="F2482" s="34" t="n">
        <x:v>108</x:v>
      </x:c>
      <x:c r="G2482" s="34" t="str">
        <x:v>RECORDED</x:v>
      </x:c>
      <x:c r="H2482" s="38" t="n">
        <x:f>IF(ISNUMBER('Data'!H774),'Data'!H774*100,"")</x:f>
        <x:v>99.07</x:v>
      </x:c>
      <x:c r="I2482" s="34" t="str">
        <x:v>PASS</x:v>
      </x:c>
      <x:c r="J2482" s="34" t="str">
        <x:v>PASS</x:v>
      </x:c>
      <x:c r="K2482" s="34" t="str">
        <x:v>PASS</x:v>
      </x:c>
      <x:c r="L2482" s="34" t="str">
        <x:v>PASS</x:v>
      </x:c>
      <x:c r="M2482" s="34" t="str">
        <x:v>numeric coverage for applicable metric</x:v>
      </x:c>
      <x:c r="N2482" s="34" t="str">
        <x:v>Feedback-Directed Random Test Generation/Result/Math_89/result.json</x:v>
      </x:c>
      <x:c r="O2482" s="38" t="n">
        <x:f>IF(AND(G2482="RECORDED",ISNUMBER(H2482)),H2482,"")</x:f>
        <x:v>99.07</x:v>
      </x:c>
      <x:c r="P2482" s="34" t="str">
        <x:v>INCONCLUSIVE</x:v>
      </x:c>
      <x:c r="Q2482" s="34" t="str">
        <x:v>Feedback-Directed Random Test Generation/Result/Math_89/result.json</x:v>
      </x:c>
    </x:row>
    <x:row r="2483">
      <x:c r="A2483" s="34" t="str">
        <x:v>randoop</x:v>
      </x:c>
      <x:c r="B2483" s="34" t="str">
        <x:v>Math</x:v>
      </x:c>
      <x:c r="C2483" s="34" t="str">
        <x:v>Round1</x:v>
      </x:c>
      <x:c r="D2483" s="34" t="str">
        <x:v>Math_90</x:v>
      </x:c>
      <x:c r="E2483" s="34" t="str">
        <x:v>Line</x:v>
      </x:c>
      <x:c r="F2483" s="34" t="n">
        <x:v>106</x:v>
      </x:c>
      <x:c r="G2483" s="34" t="str">
        <x:v>RECORDED</x:v>
      </x:c>
      <x:c r="H2483" s="38" t="n">
        <x:f>IF(ISNUMBER('Data'!H775),'Data'!H775*100,"")</x:f>
        <x:v>99.06</x:v>
      </x:c>
      <x:c r="I2483" s="34" t="str">
        <x:v>PASS</x:v>
      </x:c>
      <x:c r="J2483" s="34" t="str">
        <x:v>PASS</x:v>
      </x:c>
      <x:c r="K2483" s="34" t="str">
        <x:v>PASS</x:v>
      </x:c>
      <x:c r="L2483" s="34" t="str">
        <x:v>PASS</x:v>
      </x:c>
      <x:c r="M2483" s="34" t="str">
        <x:v>numeric coverage for applicable metric</x:v>
      </x:c>
      <x:c r="N2483" s="34" t="str">
        <x:v>Feedback-Directed Random Test Generation/Result/Math_90/result.json</x:v>
      </x:c>
      <x:c r="O2483" s="38" t="n">
        <x:f>IF(AND(G2483="RECORDED",ISNUMBER(H2483)),H2483,"")</x:f>
        <x:v>99.06</x:v>
      </x:c>
      <x:c r="P2483" s="34" t="str">
        <x:v>INCONCLUSIVE</x:v>
      </x:c>
      <x:c r="Q2483" s="34" t="str">
        <x:v>Feedback-Directed Random Test Generation/Result/Math_90/result.json</x:v>
      </x:c>
    </x:row>
    <x:row r="2484">
      <x:c r="A2484" s="34" t="str">
        <x:v>randoop</x:v>
      </x:c>
      <x:c r="B2484" s="34" t="str">
        <x:v>Math</x:v>
      </x:c>
      <x:c r="C2484" s="34" t="str">
        <x:v>Round1</x:v>
      </x:c>
      <x:c r="D2484" s="34" t="str">
        <x:v>Math_91</x:v>
      </x:c>
      <x:c r="E2484" s="34" t="str">
        <x:v>Line</x:v>
      </x:c>
      <x:c r="F2484" s="34" t="n">
        <x:v>163</x:v>
      </x:c>
      <x:c r="G2484" s="34" t="str">
        <x:v>RECORDED</x:v>
      </x:c>
      <x:c r="H2484" s="38" t="n">
        <x:f>IF(ISNUMBER('Data'!H776),'Data'!H776*100,"")</x:f>
        <x:v>91.41</x:v>
      </x:c>
      <x:c r="I2484" s="34" t="str">
        <x:v>PASS</x:v>
      </x:c>
      <x:c r="J2484" s="34" t="str">
        <x:v>PASS</x:v>
      </x:c>
      <x:c r="K2484" s="34" t="str">
        <x:v>PASS</x:v>
      </x:c>
      <x:c r="L2484" s="34" t="str">
        <x:v>PASS</x:v>
      </x:c>
      <x:c r="M2484" s="34" t="str">
        <x:v>numeric coverage for applicable metric</x:v>
      </x:c>
      <x:c r="N2484" s="34" t="str">
        <x:v>Feedback-Directed Random Test Generation/Result/Math_91/result.json</x:v>
      </x:c>
      <x:c r="O2484" s="38" t="n">
        <x:f>IF(AND(G2484="RECORDED",ISNUMBER(H2484)),H2484,"")</x:f>
        <x:v>91.41</x:v>
      </x:c>
      <x:c r="P2484" s="34" t="str">
        <x:v>NOT_REVEALING</x:v>
      </x:c>
      <x:c r="Q2484" s="34" t="str">
        <x:v>Feedback-Directed Random Test Generation/Result/Math_91/result.json</x:v>
      </x:c>
    </x:row>
    <x:row r="2485">
      <x:c r="A2485" s="34" t="str">
        <x:v>randoop</x:v>
      </x:c>
      <x:c r="B2485" s="34" t="str">
        <x:v>Math</x:v>
      </x:c>
      <x:c r="C2485" s="34" t="str">
        <x:v>Round1</x:v>
      </x:c>
      <x:c r="D2485" s="34" t="str">
        <x:v>Math_92</x:v>
      </x:c>
      <x:c r="E2485" s="34" t="str">
        <x:v>Line</x:v>
      </x:c>
      <x:c r="F2485" s="34" t="n">
        <x:v>231</x:v>
      </x:c>
      <x:c r="G2485" s="34" t="str">
        <x:v>RECORDED</x:v>
      </x:c>
      <x:c r="H2485" s="38" t="n">
        <x:f>IF(ISNUMBER('Data'!H777),'Data'!H777*100,"")</x:f>
        <x:v>62.77</x:v>
      </x:c>
      <x:c r="I2485" s="34" t="str">
        <x:v>PASS</x:v>
      </x:c>
      <x:c r="J2485" s="34" t="str">
        <x:v>PASS</x:v>
      </x:c>
      <x:c r="K2485" s="34" t="str">
        <x:v>PASS</x:v>
      </x:c>
      <x:c r="L2485" s="34" t="str">
        <x:v>PASS</x:v>
      </x:c>
      <x:c r="M2485" s="34" t="str">
        <x:v>numeric coverage for applicable metric</x:v>
      </x:c>
      <x:c r="N2485" s="34" t="str">
        <x:v>Feedback-Directed Random Test Generation/Result/Math_92/result.json</x:v>
      </x:c>
      <x:c r="O2485" s="38" t="n">
        <x:f>IF(AND(G2485="RECORDED",ISNUMBER(H2485)),H2485,"")</x:f>
        <x:v>62.77</x:v>
      </x:c>
      <x:c r="P2485" s="34" t="str">
        <x:v>INCONCLUSIVE</x:v>
      </x:c>
      <x:c r="Q2485" s="34" t="str">
        <x:v>Feedback-Directed Random Test Generation/Result/Math_92/result.json</x:v>
      </x:c>
    </x:row>
    <x:row r="2486">
      <x:c r="A2486" s="34" t="str">
        <x:v>randoop</x:v>
      </x:c>
      <x:c r="B2486" s="34" t="str">
        <x:v>Math</x:v>
      </x:c>
      <x:c r="C2486" s="34" t="str">
        <x:v>Round1</x:v>
      </x:c>
      <x:c r="D2486" s="34" t="str">
        <x:v>Math_93</x:v>
      </x:c>
      <x:c r="E2486" s="34" t="str">
        <x:v>Line</x:v>
      </x:c>
      <x:c r="F2486" s="34" t="n">
        <x:v>226</x:v>
      </x:c>
      <x:c r="G2486" s="34" t="str">
        <x:v>RECORDED</x:v>
      </x:c>
      <x:c r="H2486" s="38" t="n">
        <x:f>IF(ISNUMBER('Data'!H778),'Data'!H778*100,"")</x:f>
        <x:v>62.39</x:v>
      </x:c>
      <x:c r="I2486" s="34" t="str">
        <x:v>PASS</x:v>
      </x:c>
      <x:c r="J2486" s="34" t="str">
        <x:v>PASS</x:v>
      </x:c>
      <x:c r="K2486" s="34" t="str">
        <x:v>PASS</x:v>
      </x:c>
      <x:c r="L2486" s="34" t="str">
        <x:v>PASS</x:v>
      </x:c>
      <x:c r="M2486" s="34" t="str">
        <x:v>numeric coverage for applicable metric</x:v>
      </x:c>
      <x:c r="N2486" s="34" t="str">
        <x:v>Feedback-Directed Random Test Generation/Result/Math_93/result.json</x:v>
      </x:c>
      <x:c r="O2486" s="38" t="n">
        <x:f>IF(AND(G2486="RECORDED",ISNUMBER(H2486)),H2486,"")</x:f>
        <x:v>62.39</x:v>
      </x:c>
      <x:c r="P2486" s="34" t="str">
        <x:v>NOT_REVEALING</x:v>
      </x:c>
      <x:c r="Q2486" s="34" t="str">
        <x:v>Feedback-Directed Random Test Generation/Result/Math_93/result.json</x:v>
      </x:c>
    </x:row>
    <x:row r="2487">
      <x:c r="A2487" s="34" t="str">
        <x:v>randoop</x:v>
      </x:c>
      <x:c r="B2487" s="34" t="str">
        <x:v>Math</x:v>
      </x:c>
      <x:c r="C2487" s="34" t="str">
        <x:v>Round1</x:v>
      </x:c>
      <x:c r="D2487" s="34" t="str">
        <x:v>Math_94</x:v>
      </x:c>
      <x:c r="E2487" s="34" t="str">
        <x:v>Line</x:v>
      </x:c>
      <x:c r="F2487" s="34" t="n">
        <x:v>225</x:v>
      </x:c>
      <x:c r="G2487" s="34" t="str">
        <x:v>RECORDED</x:v>
      </x:c>
      <x:c r="H2487" s="38" t="n">
        <x:f>IF(ISNUMBER('Data'!H779),'Data'!H779*100,"")</x:f>
        <x:v>62.22</x:v>
      </x:c>
      <x:c r="I2487" s="34" t="str">
        <x:v>PASS</x:v>
      </x:c>
      <x:c r="J2487" s="34" t="str">
        <x:v>PASS</x:v>
      </x:c>
      <x:c r="K2487" s="34" t="str">
        <x:v>PASS</x:v>
      </x:c>
      <x:c r="L2487" s="34" t="str">
        <x:v>PASS</x:v>
      </x:c>
      <x:c r="M2487" s="34" t="str">
        <x:v>numeric coverage for applicable metric</x:v>
      </x:c>
      <x:c r="N2487" s="34" t="str">
        <x:v>Feedback-Directed Random Test Generation/Result/Math_94/result.json</x:v>
      </x:c>
      <x:c r="O2487" s="38" t="n">
        <x:f>IF(AND(G2487="RECORDED",ISNUMBER(H2487)),H2487,"")</x:f>
        <x:v>62.22</x:v>
      </x:c>
      <x:c r="P2487" s="34" t="str">
        <x:v>NOT_REVEALING</x:v>
      </x:c>
      <x:c r="Q2487" s="34" t="str">
        <x:v>Feedback-Directed Random Test Generation/Result/Math_94/result.json</x:v>
      </x:c>
    </x:row>
    <x:row r="2488">
      <x:c r="A2488" s="34" t="str">
        <x:v>randoop</x:v>
      </x:c>
      <x:c r="B2488" s="34" t="str">
        <x:v>Math</x:v>
      </x:c>
      <x:c r="C2488" s="34" t="str">
        <x:v>Round1</x:v>
      </x:c>
      <x:c r="D2488" s="34" t="str">
        <x:v>Math_95</x:v>
      </x:c>
      <x:c r="E2488" s="34" t="str">
        <x:v>Line</x:v>
      </x:c>
      <x:c r="F2488" s="34" t="n">
        <x:v>30</x:v>
      </x:c>
      <x:c r="G2488" s="34" t="str">
        <x:v>RECORDED</x:v>
      </x:c>
      <x:c r="H2488" s="38" t="n">
        <x:f>IF(ISNUMBER('Data'!H780),'Data'!H780*100,"")</x:f>
        <x:v>100</x:v>
      </x:c>
      <x:c r="I2488" s="34" t="str">
        <x:v>PASS</x:v>
      </x:c>
      <x:c r="J2488" s="34" t="str">
        <x:v>PASS</x:v>
      </x:c>
      <x:c r="K2488" s="34" t="str">
        <x:v>PASS</x:v>
      </x:c>
      <x:c r="L2488" s="34" t="str">
        <x:v>PASS</x:v>
      </x:c>
      <x:c r="M2488" s="34" t="str">
        <x:v>numeric coverage for applicable metric</x:v>
      </x:c>
      <x:c r="N2488" s="34" t="str">
        <x:v>Feedback-Directed Random Test Generation/Result/Math_95/result.json</x:v>
      </x:c>
      <x:c r="O2488" s="38" t="n">
        <x:f>IF(AND(G2488="RECORDED",ISNUMBER(H2488)),H2488,"")</x:f>
        <x:v>100</x:v>
      </x:c>
      <x:c r="P2488" s="34" t="str">
        <x:v>NOT_AVAILABLE</x:v>
      </x:c>
      <x:c r="Q2488" s="34" t="str">
        <x:v>Feedback-Directed Random Test Generation/Result/Math_95/result.json</x:v>
      </x:c>
    </x:row>
    <x:row r="2489">
      <x:c r="A2489" s="34" t="str">
        <x:v>randoop</x:v>
      </x:c>
      <x:c r="B2489" s="34" t="str">
        <x:v>Math</x:v>
      </x:c>
      <x:c r="C2489" s="34" t="str">
        <x:v>Round1</x:v>
      </x:c>
      <x:c r="D2489" s="34" t="str">
        <x:v>Math_96</x:v>
      </x:c>
      <x:c r="E2489" s="34" t="str">
        <x:v>Line</x:v>
      </x:c>
      <x:c r="F2489" s="34" t="n">
        <x:v>142</x:v>
      </x:c>
      <x:c r="G2489" s="34" t="str">
        <x:v>RECORDED</x:v>
      </x:c>
      <x:c r="H2489" s="38" t="n">
        <x:f>IF(ISNUMBER('Data'!H781),'Data'!H781*100,"")</x:f>
        <x:v>95.07</x:v>
      </x:c>
      <x:c r="I2489" s="34" t="str">
        <x:v>PASS</x:v>
      </x:c>
      <x:c r="J2489" s="34" t="str">
        <x:v>PASS</x:v>
      </x:c>
      <x:c r="K2489" s="34" t="str">
        <x:v>PASS</x:v>
      </x:c>
      <x:c r="L2489" s="34" t="str">
        <x:v>PASS</x:v>
      </x:c>
      <x:c r="M2489" s="34" t="str">
        <x:v>numeric coverage for applicable metric</x:v>
      </x:c>
      <x:c r="N2489" s="34" t="str">
        <x:v>Feedback-Directed Random Test Generation/Result/Math_96/result.json</x:v>
      </x:c>
      <x:c r="O2489" s="38" t="n">
        <x:f>IF(AND(G2489="RECORDED",ISNUMBER(H2489)),H2489,"")</x:f>
        <x:v>95.07</x:v>
      </x:c>
      <x:c r="P2489" s="34" t="str">
        <x:v>NOT_REVEALING</x:v>
      </x:c>
      <x:c r="Q2489" s="34" t="str">
        <x:v>Feedback-Directed Random Test Generation/Result/Math_96/result.json</x:v>
      </x:c>
    </x:row>
    <x:row r="2490">
      <x:c r="A2490" s="34" t="str">
        <x:v>randoop</x:v>
      </x:c>
      <x:c r="B2490" s="34" t="str">
        <x:v>Math</x:v>
      </x:c>
      <x:c r="C2490" s="34" t="str">
        <x:v>Round1</x:v>
      </x:c>
      <x:c r="D2490" s="34" t="str">
        <x:v>Math_97</x:v>
      </x:c>
      <x:c r="E2490" s="34" t="str">
        <x:v>Line</x:v>
      </x:c>
      <x:c r="F2490" s="34" t="n">
        <x:v>89</x:v>
      </x:c>
      <x:c r="G2490" s="34" t="str">
        <x:v>RECORDED</x:v>
      </x:c>
      <x:c r="H2490" s="38" t="n">
        <x:f>IF(ISNUMBER('Data'!H782),'Data'!H782*100,"")</x:f>
        <x:v>1.12</x:v>
      </x:c>
      <x:c r="I2490" s="34" t="str">
        <x:v>PASS</x:v>
      </x:c>
      <x:c r="J2490" s="34" t="str">
        <x:v>PASS</x:v>
      </x:c>
      <x:c r="K2490" s="34" t="str">
        <x:v>PASS</x:v>
      </x:c>
      <x:c r="L2490" s="34" t="str">
        <x:v>PASS</x:v>
      </x:c>
      <x:c r="M2490" s="34" t="str">
        <x:v>numeric coverage for applicable metric</x:v>
      </x:c>
      <x:c r="N2490" s="34" t="str">
        <x:v>Feedback-Directed Random Test Generation/Result/Math_97/result.json</x:v>
      </x:c>
      <x:c r="O2490" s="38" t="n">
        <x:f>IF(AND(G2490="RECORDED",ISNUMBER(H2490)),H2490,"")</x:f>
        <x:v>1.12</x:v>
      </x:c>
      <x:c r="P2490" s="34" t="str">
        <x:v>NOT_REVEALING</x:v>
      </x:c>
      <x:c r="Q2490" s="34" t="str">
        <x:v>Feedback-Directed Random Test Generation/Result/Math_97/result.json</x:v>
      </x:c>
    </x:row>
    <x:row r="2491">
      <x:c r="A2491" s="34" t="str">
        <x:v>randoop</x:v>
      </x:c>
      <x:c r="B2491" s="34" t="str">
        <x:v>Math</x:v>
      </x:c>
      <x:c r="C2491" s="34" t="str">
        <x:v>Round1</x:v>
      </x:c>
      <x:c r="D2491" s="34" t="str">
        <x:v>Math_98</x:v>
      </x:c>
      <x:c r="E2491" s="34" t="str">
        <x:v>Line</x:v>
      </x:c>
      <x:c r="F2491" s="34" t="n">
        <x:v>918</x:v>
      </x:c>
      <x:c r="G2491" s="34" t="str">
        <x:v>RECORDED</x:v>
      </x:c>
      <x:c r="H2491" s="38" t="n">
        <x:f>IF(ISNUMBER('Data'!H783),'Data'!H783*100,"")</x:f>
        <x:v>79.96</x:v>
      </x:c>
      <x:c r="I2491" s="34" t="str">
        <x:v>PASS</x:v>
      </x:c>
      <x:c r="J2491" s="34" t="str">
        <x:v>PASS</x:v>
      </x:c>
      <x:c r="K2491" s="34" t="str">
        <x:v>PASS</x:v>
      </x:c>
      <x:c r="L2491" s="34" t="str">
        <x:v>FAIL</x:v>
      </x:c>
      <x:c r="M2491" s="34" t="str">
        <x:v>numeric coverage for applicable metric</x:v>
      </x:c>
      <x:c r="N2491" s="34" t="str">
        <x:v>Feedback-Directed Random Test Generation/Result/Math_98/result.json</x:v>
      </x:c>
      <x:c r="O2491" s="38" t="n">
        <x:f>IF(AND(G2491="RECORDED",ISNUMBER(H2491)),H2491,"")</x:f>
        <x:v>79.96</x:v>
      </x:c>
      <x:c r="P2491" s="34" t="str">
        <x:v>INCONCLUSIVE</x:v>
      </x:c>
      <x:c r="Q2491" s="34" t="str">
        <x:v>Feedback-Directed Random Test Generation/Result/Math_98/result.json</x:v>
      </x:c>
    </x:row>
    <x:row r="2492">
      <x:c r="A2492" s="34" t="str">
        <x:v>randoop</x:v>
      </x:c>
      <x:c r="B2492" s="34" t="str">
        <x:v>Math</x:v>
      </x:c>
      <x:c r="C2492" s="34" t="str">
        <x:v>Round1</x:v>
      </x:c>
      <x:c r="D2492" s="34" t="str">
        <x:v>Math_99</x:v>
      </x:c>
      <x:c r="E2492" s="34" t="str">
        <x:v>Line</x:v>
      </x:c>
      <x:c r="F2492" s="34" t="n">
        <x:v>269</x:v>
      </x:c>
      <x:c r="G2492" s="34" t="str">
        <x:v>RECORDED</x:v>
      </x:c>
      <x:c r="H2492" s="38" t="n">
        <x:f>IF(ISNUMBER('Data'!H784),'Data'!H784*100,"")</x:f>
        <x:v>78.07</x:v>
      </x:c>
      <x:c r="I2492" s="34" t="str">
        <x:v>PASS</x:v>
      </x:c>
      <x:c r="J2492" s="34" t="str">
        <x:v>PASS</x:v>
      </x:c>
      <x:c r="K2492" s="34" t="str">
        <x:v>PASS</x:v>
      </x:c>
      <x:c r="L2492" s="34" t="str">
        <x:v>PASS</x:v>
      </x:c>
      <x:c r="M2492" s="34" t="str">
        <x:v>numeric coverage for applicable metric</x:v>
      </x:c>
      <x:c r="N2492" s="34" t="str">
        <x:v>Feedback-Directed Random Test Generation/Result/Math_99/result.json</x:v>
      </x:c>
      <x:c r="O2492" s="38" t="n">
        <x:f>IF(AND(G2492="RECORDED",ISNUMBER(H2492)),H2492,"")</x:f>
        <x:v>78.07</x:v>
      </x:c>
      <x:c r="P2492" s="34" t="str">
        <x:v>NOT_REVEALING</x:v>
      </x:c>
      <x:c r="Q2492" s="34" t="str">
        <x:v>Feedback-Directed Random Test Generation/Result/Math_99/result.json</x:v>
      </x:c>
    </x:row>
    <x:row r="2493">
      <x:c r="A2493" s="34" t="str">
        <x:v>randoop</x:v>
      </x:c>
      <x:c r="B2493" s="34" t="str">
        <x:v>Math</x:v>
      </x:c>
      <x:c r="C2493" s="34" t="str">
        <x:v>Round1</x:v>
      </x:c>
      <x:c r="D2493" s="34" t="str">
        <x:v>Math_100</x:v>
      </x:c>
      <x:c r="E2493" s="34" t="str">
        <x:v>Line</x:v>
      </x:c>
      <x:c r="F2493" s="34" t="n">
        <x:v>73</x:v>
      </x:c>
      <x:c r="G2493" s="34" t="str">
        <x:v>RECORDED</x:v>
      </x:c>
      <x:c r="H2493" s="38" t="n">
        <x:f>IF(ISNUMBER('Data'!H785),'Data'!H785*100,"")</x:f>
        <x:v>0</x:v>
      </x:c>
      <x:c r="I2493" s="34" t="str">
        <x:v>PASS</x:v>
      </x:c>
      <x:c r="J2493" s="34" t="str">
        <x:v>PASS</x:v>
      </x:c>
      <x:c r="K2493" s="34" t="str">
        <x:v>PASS</x:v>
      </x:c>
      <x:c r="L2493" s="34" t="str">
        <x:v>PASS</x:v>
      </x:c>
      <x:c r="M2493" s="34" t="str">
        <x:v>numeric coverage for applicable metric</x:v>
      </x:c>
      <x:c r="N2493" s="34" t="str">
        <x:v>Feedback-Directed Random Test Generation/Result/Math_100/result.json</x:v>
      </x:c>
      <x:c r="O2493" s="38" t="n">
        <x:f>IF(AND(G2493="RECORDED",ISNUMBER(H2493)),H2493,"")</x:f>
        <x:v>0</x:v>
      </x:c>
      <x:c r="P2493" s="34" t="str">
        <x:v>NOT_REVEALING</x:v>
      </x:c>
      <x:c r="Q2493" s="34" t="str">
        <x:v>Feedback-Directed Random Test Generation/Result/Math_100/result.json</x:v>
      </x:c>
    </x:row>
    <x:row r="2494">
      <x:c r="A2494" s="34" t="str">
        <x:v>randoop</x:v>
      </x:c>
      <x:c r="B2494" s="34" t="str">
        <x:v>Math</x:v>
      </x:c>
      <x:c r="C2494" s="34" t="str">
        <x:v>Round1</x:v>
      </x:c>
      <x:c r="D2494" s="34" t="str">
        <x:v>Math_101</x:v>
      </x:c>
      <x:c r="E2494" s="34" t="str">
        <x:v>Line</x:v>
      </x:c>
      <x:c r="F2494" s="34" t="n">
        <x:v>143</x:v>
      </x:c>
      <x:c r="G2494" s="34" t="str">
        <x:v>RECORDED</x:v>
      </x:c>
      <x:c r="H2494" s="38" t="n">
        <x:f>IF(ISNUMBER('Data'!H786),'Data'!H786*100,"")</x:f>
        <x:v>74.13</x:v>
      </x:c>
      <x:c r="I2494" s="34" t="str">
        <x:v>PASS</x:v>
      </x:c>
      <x:c r="J2494" s="34" t="str">
        <x:v>PASS</x:v>
      </x:c>
      <x:c r="K2494" s="34" t="str">
        <x:v>PASS</x:v>
      </x:c>
      <x:c r="L2494" s="34" t="str">
        <x:v>PASS</x:v>
      </x:c>
      <x:c r="M2494" s="34" t="str">
        <x:v>numeric coverage for applicable metric</x:v>
      </x:c>
      <x:c r="N2494" s="34" t="str">
        <x:v>Feedback-Directed Random Test Generation/Result/Math_101/result.json</x:v>
      </x:c>
      <x:c r="O2494" s="38" t="n">
        <x:f>IF(AND(G2494="RECORDED",ISNUMBER(H2494)),H2494,"")</x:f>
        <x:v>74.13</x:v>
      </x:c>
      <x:c r="P2494" s="34" t="str">
        <x:v>NOT_REVEALING</x:v>
      </x:c>
      <x:c r="Q2494" s="34" t="str">
        <x:v>Feedback-Directed Random Test Generation/Result/Math_101/result.json</x:v>
      </x:c>
    </x:row>
    <x:row r="2495">
      <x:c r="A2495" s="34" t="str">
        <x:v>randoop</x:v>
      </x:c>
      <x:c r="B2495" s="34" t="str">
        <x:v>Math</x:v>
      </x:c>
      <x:c r="C2495" s="34" t="str">
        <x:v>Round1</x:v>
      </x:c>
      <x:c r="D2495" s="34" t="str">
        <x:v>Math_102</x:v>
      </x:c>
      <x:c r="E2495" s="34" t="str">
        <x:v>Line</x:v>
      </x:c>
      <x:c r="F2495" s="34" t="n">
        <x:v>111</x:v>
      </x:c>
      <x:c r="G2495" s="34" t="str">
        <x:v>RECORDED</x:v>
      </x:c>
      <x:c r="H2495" s="38" t="n">
        <x:f>IF(ISNUMBER('Data'!H787),'Data'!H787*100,"")</x:f>
        <x:v>94.59</x:v>
      </x:c>
      <x:c r="I2495" s="34" t="str">
        <x:v>PASS</x:v>
      </x:c>
      <x:c r="J2495" s="34" t="str">
        <x:v>PASS</x:v>
      </x:c>
      <x:c r="K2495" s="34" t="str">
        <x:v>PASS</x:v>
      </x:c>
      <x:c r="L2495" s="34" t="str">
        <x:v>PASS</x:v>
      </x:c>
      <x:c r="M2495" s="34" t="str">
        <x:v>numeric coverage for applicable metric</x:v>
      </x:c>
      <x:c r="N2495" s="34" t="str">
        <x:v>Feedback-Directed Random Test Generation/Result/Math_102/result.json</x:v>
      </x:c>
      <x:c r="O2495" s="38" t="n">
        <x:f>IF(AND(G2495="RECORDED",ISNUMBER(H2495)),H2495,"")</x:f>
        <x:v>94.59</x:v>
      </x:c>
      <x:c r="P2495" s="34" t="str">
        <x:v>INCONCLUSIVE</x:v>
      </x:c>
      <x:c r="Q2495" s="34" t="str">
        <x:v>Feedback-Directed Random Test Generation/Result/Math_102/result.json</x:v>
      </x:c>
    </x:row>
    <x:row r="2496">
      <x:c r="A2496" s="34" t="str">
        <x:v>randoop</x:v>
      </x:c>
      <x:c r="B2496" s="34" t="str">
        <x:v>Math</x:v>
      </x:c>
      <x:c r="C2496" s="34" t="str">
        <x:v>Round1</x:v>
      </x:c>
      <x:c r="D2496" s="34" t="str">
        <x:v>Math_103</x:v>
      </x:c>
      <x:c r="E2496" s="34" t="str">
        <x:v>Line</x:v>
      </x:c>
      <x:c r="F2496" s="34" t="n">
        <x:v>37</x:v>
      </x:c>
      <x:c r="G2496" s="34" t="str">
        <x:v>RECORDED</x:v>
      </x:c>
      <x:c r="H2496" s="38" t="n">
        <x:f>IF(ISNUMBER('Data'!H788),'Data'!H788*100,"")</x:f>
        <x:v>100</x:v>
      </x:c>
      <x:c r="I2496" s="34" t="str">
        <x:v>PASS</x:v>
      </x:c>
      <x:c r="J2496" s="34" t="str">
        <x:v>PASS</x:v>
      </x:c>
      <x:c r="K2496" s="34" t="str">
        <x:v>PASS</x:v>
      </x:c>
      <x:c r="L2496" s="34" t="str">
        <x:v>PASS</x:v>
      </x:c>
      <x:c r="M2496" s="34" t="str">
        <x:v>numeric coverage for applicable metric</x:v>
      </x:c>
      <x:c r="N2496" s="34" t="str">
        <x:v>Feedback-Directed Random Test Generation/Result/Math_103/result.json</x:v>
      </x:c>
      <x:c r="O2496" s="38" t="n">
        <x:f>IF(AND(G2496="RECORDED",ISNUMBER(H2496)),H2496,"")</x:f>
        <x:v>100</x:v>
      </x:c>
      <x:c r="P2496" s="34" t="str">
        <x:v>INCONCLUSIVE</x:v>
      </x:c>
      <x:c r="Q2496" s="34" t="str">
        <x:v>Feedback-Directed Random Test Generation/Result/Math_103/result.json</x:v>
      </x:c>
    </x:row>
    <x:row r="2497">
      <x:c r="A2497" s="34" t="str">
        <x:v>randoop</x:v>
      </x:c>
      <x:c r="B2497" s="34" t="str">
        <x:v>Math</x:v>
      </x:c>
      <x:c r="C2497" s="34" t="str">
        <x:v>Round1</x:v>
      </x:c>
      <x:c r="D2497" s="34" t="str">
        <x:v>Math_104</x:v>
      </x:c>
      <x:c r="E2497" s="34" t="str">
        <x:v>Line</x:v>
      </x:c>
      <x:c r="F2497" s="34" t="n">
        <x:v>47</x:v>
      </x:c>
      <x:c r="G2497" s="34" t="str">
        <x:v>RECORDED</x:v>
      </x:c>
      <x:c r="H2497" s="38" t="n">
        <x:f>IF(ISNUMBER('Data'!H789),'Data'!H789*100,"")</x:f>
        <x:v>95.74</x:v>
      </x:c>
      <x:c r="I2497" s="34" t="str">
        <x:v>PASS</x:v>
      </x:c>
      <x:c r="J2497" s="34" t="str">
        <x:v>PASS</x:v>
      </x:c>
      <x:c r="K2497" s="34" t="str">
        <x:v>PASS</x:v>
      </x:c>
      <x:c r="L2497" s="34" t="str">
        <x:v>PASS</x:v>
      </x:c>
      <x:c r="M2497" s="34" t="str">
        <x:v>numeric coverage for applicable metric</x:v>
      </x:c>
      <x:c r="N2497" s="34" t="str">
        <x:v>Feedback-Directed Random Test Generation/Result/Math_104/result.json</x:v>
      </x:c>
      <x:c r="O2497" s="38" t="n">
        <x:f>IF(AND(G2497="RECORDED",ISNUMBER(H2497)),H2497,"")</x:f>
        <x:v>95.74</x:v>
      </x:c>
      <x:c r="P2497" s="34" t="str">
        <x:v>INCONCLUSIVE</x:v>
      </x:c>
      <x:c r="Q2497" s="34" t="str">
        <x:v>Feedback-Directed Random Test Generation/Result/Math_104/result.json</x:v>
      </x:c>
    </x:row>
    <x:row r="2498">
      <x:c r="A2498" s="34" t="str">
        <x:v>randoop</x:v>
      </x:c>
      <x:c r="B2498" s="34" t="str">
        <x:v>Math</x:v>
      </x:c>
      <x:c r="C2498" s="34" t="str">
        <x:v>Round1</x:v>
      </x:c>
      <x:c r="D2498" s="34" t="str">
        <x:v>Math_105</x:v>
      </x:c>
      <x:c r="E2498" s="34" t="str">
        <x:v>Line</x:v>
      </x:c>
      <x:c r="F2498" s="34" t="n">
        <x:v>71</x:v>
      </x:c>
      <x:c r="G2498" s="34" t="str">
        <x:v>RECORDED</x:v>
      </x:c>
      <x:c r="H2498" s="38" t="n">
        <x:f>IF(ISNUMBER('Data'!H790),'Data'!H790*100,"")</x:f>
        <x:v>95.77</x:v>
      </x:c>
      <x:c r="I2498" s="34" t="str">
        <x:v>PASS</x:v>
      </x:c>
      <x:c r="J2498" s="34" t="str">
        <x:v>PASS</x:v>
      </x:c>
      <x:c r="K2498" s="34" t="str">
        <x:v>PASS</x:v>
      </x:c>
      <x:c r="L2498" s="34" t="str">
        <x:v>PASS</x:v>
      </x:c>
      <x:c r="M2498" s="34" t="str">
        <x:v>numeric coverage for applicable metric</x:v>
      </x:c>
      <x:c r="N2498" s="34" t="str">
        <x:v>Feedback-Directed Random Test Generation/Result/Math_105/result.json</x:v>
      </x:c>
      <x:c r="O2498" s="38" t="n">
        <x:f>IF(AND(G2498="RECORDED",ISNUMBER(H2498)),H2498,"")</x:f>
        <x:v>95.77</x:v>
      </x:c>
      <x:c r="P2498" s="34" t="str">
        <x:v>NOT_REVEALING</x:v>
      </x:c>
      <x:c r="Q2498" s="34" t="str">
        <x:v>Feedback-Directed Random Test Generation/Result/Math_105/result.json</x:v>
      </x:c>
    </x:row>
    <x:row r="2499">
      <x:c r="A2499" s="34" t="str">
        <x:v>randoop</x:v>
      </x:c>
      <x:c r="B2499" s="34" t="str">
        <x:v>Math</x:v>
      </x:c>
      <x:c r="C2499" s="34" t="str">
        <x:v>Round1</x:v>
      </x:c>
      <x:c r="D2499" s="34" t="str">
        <x:v>Math_106</x:v>
      </x:c>
      <x:c r="E2499" s="34" t="str">
        <x:v>Line</x:v>
      </x:c>
      <x:c r="F2499" s="34" t="n">
        <x:v>57</x:v>
      </x:c>
      <x:c r="G2499" s="34" t="str">
        <x:v>RECORDED</x:v>
      </x:c>
      <x:c r="H2499" s="38" t="n">
        <x:f>IF(ISNUMBER('Data'!H791),'Data'!H791*100,"")</x:f>
        <x:v>85.96</x:v>
      </x:c>
      <x:c r="I2499" s="34" t="str">
        <x:v>PASS</x:v>
      </x:c>
      <x:c r="J2499" s="34" t="str">
        <x:v>PASS</x:v>
      </x:c>
      <x:c r="K2499" s="34" t="str">
        <x:v>PASS</x:v>
      </x:c>
      <x:c r="L2499" s="34" t="str">
        <x:v>PASS</x:v>
      </x:c>
      <x:c r="M2499" s="34" t="str">
        <x:v>numeric coverage for applicable metric</x:v>
      </x:c>
      <x:c r="N2499" s="34" t="str">
        <x:v>Feedback-Directed Random Test Generation/Result/Math_106/result.json</x:v>
      </x:c>
      <x:c r="O2499" s="38" t="n">
        <x:f>IF(AND(G2499="RECORDED",ISNUMBER(H2499)),H2499,"")</x:f>
        <x:v>85.96</x:v>
      </x:c>
      <x:c r="P2499" s="34" t="str">
        <x:v>NOT_REVEALING</x:v>
      </x:c>
      <x:c r="Q2499" s="34" t="str">
        <x:v>Feedback-Directed Random Test Generation/Result/Math_106/result.json</x:v>
      </x:c>
    </x:row>
    <x:row r="2500">
      <x:c r="A2500" s="34" t="str">
        <x:v>randoop</x:v>
      </x:c>
      <x:c r="B2500" s="34" t="str">
        <x:v>Mockito</x:v>
      </x:c>
      <x:c r="C2500" s="34" t="str">
        <x:v>Round1</x:v>
      </x:c>
      <x:c r="D2500" s="34" t="str">
        <x:v>Mockito_1</x:v>
      </x:c>
      <x:c r="E2500" s="34" t="str">
        <x:v>Line</x:v>
      </x:c>
      <x:c r="F2500" s="34" t="n">
        <x:v>0</x:v>
      </x:c>
      <x:c r="G2500" s="34" t="str">
        <x:v>A</x:v>
      </x:c>
      <x:c r="H2500" s="38" t="str">
        <x:f>IF(ISNUMBER('Data'!H792),'Data'!H792*100,"")</x:f>
      </x:c>
      <x:c r="I2500" s="34"/>
      <x:c r="J2500" s="34" t="str">
        <x:v>FAIL</x:v>
      </x:c>
      <x:c r="K2500" s="34"/>
      <x:c r="L2500" s="34" t="str">
        <x:v>NOT_RUN</x:v>
      </x:c>
      <x:c r="M2500" s="34" t="str">
        <x:v>coverage unavailable or execution/compile failed</x:v>
      </x:c>
      <x:c r="N2500" s="34" t="str">
        <x:v>Feedback-Directed Random Test Generation/Result/Mockito_1/result.json</x:v>
      </x:c>
      <x:c r="O2500" s="38" t="str">
        <x:f>IF(AND(G2500="RECORDED",ISNUMBER(H2500)),H2500,"")</x:f>
      </x:c>
      <x:c r="P2500" s="34" t="str">
        <x:v>NOT_AVAILABLE</x:v>
      </x:c>
      <x:c r="Q2500" s="34" t="str">
        <x:v>Feedback-Directed Random Test Generation/Result/Mockito_1/result.json</x:v>
      </x:c>
    </x:row>
    <x:row r="2501">
      <x:c r="A2501" s="34" t="str">
        <x:v>randoop</x:v>
      </x:c>
      <x:c r="B2501" s="34" t="str">
        <x:v>Mockito</x:v>
      </x:c>
      <x:c r="C2501" s="34" t="str">
        <x:v>Round1</x:v>
      </x:c>
      <x:c r="D2501" s="34" t="str">
        <x:v>Mockito_2</x:v>
      </x:c>
      <x:c r="E2501" s="34" t="str">
        <x:v>Line</x:v>
      </x:c>
      <x:c r="F2501" s="34" t="n">
        <x:v>0</x:v>
      </x:c>
      <x:c r="G2501" s="34" t="str">
        <x:v>A</x:v>
      </x:c>
      <x:c r="H2501" s="38" t="str">
        <x:f>IF(ISNUMBER('Data'!H793),'Data'!H793*100,"")</x:f>
      </x:c>
      <x:c r="I2501" s="34"/>
      <x:c r="J2501" s="34" t="str">
        <x:v>FAIL</x:v>
      </x:c>
      <x:c r="K2501" s="34"/>
      <x:c r="L2501" s="34" t="str">
        <x:v>NOT_RUN</x:v>
      </x:c>
      <x:c r="M2501" s="34" t="str">
        <x:v>coverage unavailable or execution/compile failed</x:v>
      </x:c>
      <x:c r="N2501" s="34" t="str">
        <x:v>Feedback-Directed Random Test Generation/Result/Mockito_2/result.json</x:v>
      </x:c>
      <x:c r="O2501" s="38" t="str">
        <x:f>IF(AND(G2501="RECORDED",ISNUMBER(H2501)),H2501,"")</x:f>
      </x:c>
      <x:c r="P2501" s="34" t="str">
        <x:v>NOT_AVAILABLE</x:v>
      </x:c>
      <x:c r="Q2501" s="34" t="str">
        <x:v>Feedback-Directed Random Test Generation/Result/Mockito_2/result.json</x:v>
      </x:c>
    </x:row>
    <x:row r="2502">
      <x:c r="A2502" s="34" t="str">
        <x:v>randoop</x:v>
      </x:c>
      <x:c r="B2502" s="34" t="str">
        <x:v>Mockito</x:v>
      </x:c>
      <x:c r="C2502" s="34" t="str">
        <x:v>Round1</x:v>
      </x:c>
      <x:c r="D2502" s="34" t="str">
        <x:v>Mockito_3</x:v>
      </x:c>
      <x:c r="E2502" s="34" t="str">
        <x:v>Line</x:v>
      </x:c>
      <x:c r="F2502" s="34" t="n">
        <x:v>0</x:v>
      </x:c>
      <x:c r="G2502" s="34" t="str">
        <x:v>A</x:v>
      </x:c>
      <x:c r="H2502" s="38" t="str">
        <x:f>IF(ISNUMBER('Data'!H794),'Data'!H794*100,"")</x:f>
      </x:c>
      <x:c r="I2502" s="34"/>
      <x:c r="J2502" s="34" t="str">
        <x:v>FAIL</x:v>
      </x:c>
      <x:c r="K2502" s="34"/>
      <x:c r="L2502" s="34" t="str">
        <x:v>NOT_RUN</x:v>
      </x:c>
      <x:c r="M2502" s="34" t="str">
        <x:v>coverage unavailable or execution/compile failed</x:v>
      </x:c>
      <x:c r="N2502" s="34" t="str">
        <x:v>Feedback-Directed Random Test Generation/Result/Mockito_3/result.json</x:v>
      </x:c>
      <x:c r="O2502" s="38" t="str">
        <x:f>IF(AND(G2502="RECORDED",ISNUMBER(H2502)),H2502,"")</x:f>
      </x:c>
      <x:c r="P2502" s="34" t="str">
        <x:v>NOT_AVAILABLE</x:v>
      </x:c>
      <x:c r="Q2502" s="34" t="str">
        <x:v>Feedback-Directed Random Test Generation/Result/Mockito_3/result.json</x:v>
      </x:c>
    </x:row>
    <x:row r="2503">
      <x:c r="A2503" s="34" t="str">
        <x:v>randoop</x:v>
      </x:c>
      <x:c r="B2503" s="34" t="str">
        <x:v>Mockito</x:v>
      </x:c>
      <x:c r="C2503" s="34" t="str">
        <x:v>Round1</x:v>
      </x:c>
      <x:c r="D2503" s="34" t="str">
        <x:v>Mockito_4</x:v>
      </x:c>
      <x:c r="E2503" s="34" t="str">
        <x:v>Line</x:v>
      </x:c>
      <x:c r="F2503" s="34" t="n">
        <x:v>0</x:v>
      </x:c>
      <x:c r="G2503" s="34" t="str">
        <x:v>A</x:v>
      </x:c>
      <x:c r="H2503" s="38" t="str">
        <x:f>IF(ISNUMBER('Data'!H795),'Data'!H795*100,"")</x:f>
      </x:c>
      <x:c r="I2503" s="34"/>
      <x:c r="J2503" s="34" t="str">
        <x:v>FAIL</x:v>
      </x:c>
      <x:c r="K2503" s="34"/>
      <x:c r="L2503" s="34" t="str">
        <x:v>NOT_RUN</x:v>
      </x:c>
      <x:c r="M2503" s="34" t="str">
        <x:v>coverage unavailable or execution/compile failed</x:v>
      </x:c>
      <x:c r="N2503" s="34" t="str">
        <x:v>Feedback-Directed Random Test Generation/Result/Mockito_4/result.json</x:v>
      </x:c>
      <x:c r="O2503" s="38" t="str">
        <x:f>IF(AND(G2503="RECORDED",ISNUMBER(H2503)),H2503,"")</x:f>
      </x:c>
      <x:c r="P2503" s="34" t="str">
        <x:v>NOT_AVAILABLE</x:v>
      </x:c>
      <x:c r="Q2503" s="34" t="str">
        <x:v>Feedback-Directed Random Test Generation/Result/Mockito_4/result.json</x:v>
      </x:c>
    </x:row>
    <x:row r="2504">
      <x:c r="A2504" s="34" t="str">
        <x:v>randoop</x:v>
      </x:c>
      <x:c r="B2504" s="34" t="str">
        <x:v>Mockito</x:v>
      </x:c>
      <x:c r="C2504" s="34" t="str">
        <x:v>Round1</x:v>
      </x:c>
      <x:c r="D2504" s="34" t="str">
        <x:v>Mockito_5</x:v>
      </x:c>
      <x:c r="E2504" s="34" t="str">
        <x:v>Line</x:v>
      </x:c>
      <x:c r="F2504" s="34" t="n">
        <x:v>0</x:v>
      </x:c>
      <x:c r="G2504" s="34" t="str">
        <x:v>A</x:v>
      </x:c>
      <x:c r="H2504" s="38" t="str">
        <x:f>IF(ISNUMBER('Data'!H796),'Data'!H796*100,"")</x:f>
      </x:c>
      <x:c r="I2504" s="34"/>
      <x:c r="J2504" s="34" t="str">
        <x:v>FAIL</x:v>
      </x:c>
      <x:c r="K2504" s="34"/>
      <x:c r="L2504" s="34" t="str">
        <x:v>NOT_RUN</x:v>
      </x:c>
      <x:c r="M2504" s="34" t="str">
        <x:v>coverage unavailable or execution/compile failed</x:v>
      </x:c>
      <x:c r="N2504" s="34" t="str">
        <x:v>Feedback-Directed Random Test Generation/Result/Mockito_5/result.json</x:v>
      </x:c>
      <x:c r="O2504" s="38" t="str">
        <x:f>IF(AND(G2504="RECORDED",ISNUMBER(H2504)),H2504,"")</x:f>
      </x:c>
      <x:c r="P2504" s="34" t="str">
        <x:v>NOT_AVAILABLE</x:v>
      </x:c>
      <x:c r="Q2504" s="34" t="str">
        <x:v>Feedback-Directed Random Test Generation/Result/Mockito_5/result.json</x:v>
      </x:c>
    </x:row>
    <x:row r="2505">
      <x:c r="A2505" s="34" t="str">
        <x:v>randoop</x:v>
      </x:c>
      <x:c r="B2505" s="34" t="str">
        <x:v>Mockito</x:v>
      </x:c>
      <x:c r="C2505" s="34" t="str">
        <x:v>Round1</x:v>
      </x:c>
      <x:c r="D2505" s="34" t="str">
        <x:v>Mockito_6</x:v>
      </x:c>
      <x:c r="E2505" s="34" t="str">
        <x:v>Line</x:v>
      </x:c>
      <x:c r="F2505" s="34" t="n">
        <x:v>0</x:v>
      </x:c>
      <x:c r="G2505" s="34" t="str">
        <x:v>A</x:v>
      </x:c>
      <x:c r="H2505" s="38" t="str">
        <x:f>IF(ISNUMBER('Data'!H797),'Data'!H797*100,"")</x:f>
      </x:c>
      <x:c r="I2505" s="34"/>
      <x:c r="J2505" s="34" t="str">
        <x:v>FAIL</x:v>
      </x:c>
      <x:c r="K2505" s="34"/>
      <x:c r="L2505" s="34" t="str">
        <x:v>NOT_RUN</x:v>
      </x:c>
      <x:c r="M2505" s="34" t="str">
        <x:v>coverage unavailable or execution/compile failed</x:v>
      </x:c>
      <x:c r="N2505" s="34" t="str">
        <x:v>Feedback-Directed Random Test Generation/Result/Mockito_6/result.json</x:v>
      </x:c>
      <x:c r="O2505" s="38" t="str">
        <x:f>IF(AND(G2505="RECORDED",ISNUMBER(H2505)),H2505,"")</x:f>
      </x:c>
      <x:c r="P2505" s="34" t="str">
        <x:v>NOT_AVAILABLE</x:v>
      </x:c>
      <x:c r="Q2505" s="34" t="str">
        <x:v>Feedback-Directed Random Test Generation/Result/Mockito_6/result.json</x:v>
      </x:c>
    </x:row>
    <x:row r="2506">
      <x:c r="A2506" s="34" t="str">
        <x:v>randoop</x:v>
      </x:c>
      <x:c r="B2506" s="34" t="str">
        <x:v>Mockito</x:v>
      </x:c>
      <x:c r="C2506" s="34" t="str">
        <x:v>Round1</x:v>
      </x:c>
      <x:c r="D2506" s="34" t="str">
        <x:v>Mockito_7</x:v>
      </x:c>
      <x:c r="E2506" s="34" t="str">
        <x:v>Line</x:v>
      </x:c>
      <x:c r="F2506" s="34" t="n">
        <x:v>0</x:v>
      </x:c>
      <x:c r="G2506" s="34" t="str">
        <x:v>A</x:v>
      </x:c>
      <x:c r="H2506" s="38" t="str">
        <x:f>IF(ISNUMBER('Data'!H798),'Data'!H798*100,"")</x:f>
      </x:c>
      <x:c r="I2506" s="34"/>
      <x:c r="J2506" s="34" t="str">
        <x:v>FAIL</x:v>
      </x:c>
      <x:c r="K2506" s="34"/>
      <x:c r="L2506" s="34" t="str">
        <x:v>NOT_RUN</x:v>
      </x:c>
      <x:c r="M2506" s="34" t="str">
        <x:v>coverage unavailable or execution/compile failed</x:v>
      </x:c>
      <x:c r="N2506" s="34" t="str">
        <x:v>Feedback-Directed Random Test Generation/Result/Mockito_7/result.json</x:v>
      </x:c>
      <x:c r="O2506" s="38" t="str">
        <x:f>IF(AND(G2506="RECORDED",ISNUMBER(H2506)),H2506,"")</x:f>
      </x:c>
      <x:c r="P2506" s="34" t="str">
        <x:v>NOT_AVAILABLE</x:v>
      </x:c>
      <x:c r="Q2506" s="34" t="str">
        <x:v>Feedback-Directed Random Test Generation/Result/Mockito_7/result.json</x:v>
      </x:c>
    </x:row>
    <x:row r="2507">
      <x:c r="A2507" s="34" t="str">
        <x:v>randoop</x:v>
      </x:c>
      <x:c r="B2507" s="34" t="str">
        <x:v>Mockito</x:v>
      </x:c>
      <x:c r="C2507" s="34" t="str">
        <x:v>Round1</x:v>
      </x:c>
      <x:c r="D2507" s="34" t="str">
        <x:v>Mockito_8</x:v>
      </x:c>
      <x:c r="E2507" s="34" t="str">
        <x:v>Line</x:v>
      </x:c>
      <x:c r="F2507" s="34" t="n">
        <x:v>0</x:v>
      </x:c>
      <x:c r="G2507" s="34" t="str">
        <x:v>A</x:v>
      </x:c>
      <x:c r="H2507" s="38" t="str">
        <x:f>IF(ISNUMBER('Data'!H799),'Data'!H799*100,"")</x:f>
      </x:c>
      <x:c r="I2507" s="34"/>
      <x:c r="J2507" s="34" t="str">
        <x:v>FAIL</x:v>
      </x:c>
      <x:c r="K2507" s="34"/>
      <x:c r="L2507" s="34" t="str">
        <x:v>NOT_RUN</x:v>
      </x:c>
      <x:c r="M2507" s="34" t="str">
        <x:v>coverage unavailable or execution/compile failed</x:v>
      </x:c>
      <x:c r="N2507" s="34" t="str">
        <x:v>Feedback-Directed Random Test Generation/Result/Mockito_8/result.json</x:v>
      </x:c>
      <x:c r="O2507" s="38" t="str">
        <x:f>IF(AND(G2507="RECORDED",ISNUMBER(H2507)),H2507,"")</x:f>
      </x:c>
      <x:c r="P2507" s="34" t="str">
        <x:v>NOT_AVAILABLE</x:v>
      </x:c>
      <x:c r="Q2507" s="34" t="str">
        <x:v>Feedback-Directed Random Test Generation/Result/Mockito_8/result.json</x:v>
      </x:c>
    </x:row>
    <x:row r="2508">
      <x:c r="A2508" s="34" t="str">
        <x:v>randoop</x:v>
      </x:c>
      <x:c r="B2508" s="34" t="str">
        <x:v>Mockito</x:v>
      </x:c>
      <x:c r="C2508" s="34" t="str">
        <x:v>Round1</x:v>
      </x:c>
      <x:c r="D2508" s="34" t="str">
        <x:v>Mockito_9</x:v>
      </x:c>
      <x:c r="E2508" s="34" t="str">
        <x:v>Line</x:v>
      </x:c>
      <x:c r="F2508" s="34" t="n">
        <x:v>0</x:v>
      </x:c>
      <x:c r="G2508" s="34" t="str">
        <x:v>A</x:v>
      </x:c>
      <x:c r="H2508" s="38" t="str">
        <x:f>IF(ISNUMBER('Data'!H800),'Data'!H800*100,"")</x:f>
      </x:c>
      <x:c r="I2508" s="34"/>
      <x:c r="J2508" s="34" t="str">
        <x:v>FAIL</x:v>
      </x:c>
      <x:c r="K2508" s="34"/>
      <x:c r="L2508" s="34" t="str">
        <x:v>NOT_RUN</x:v>
      </x:c>
      <x:c r="M2508" s="34" t="str">
        <x:v>coverage unavailable or execution/compile failed</x:v>
      </x:c>
      <x:c r="N2508" s="34" t="str">
        <x:v>Feedback-Directed Random Test Generation/Result/Mockito_9/result.json</x:v>
      </x:c>
      <x:c r="O2508" s="38" t="str">
        <x:f>IF(AND(G2508="RECORDED",ISNUMBER(H2508)),H2508,"")</x:f>
      </x:c>
      <x:c r="P2508" s="34" t="str">
        <x:v>NOT_AVAILABLE</x:v>
      </x:c>
      <x:c r="Q2508" s="34" t="str">
        <x:v>Feedback-Directed Random Test Generation/Result/Mockito_9/result.json</x:v>
      </x:c>
    </x:row>
    <x:row r="2509">
      <x:c r="A2509" s="34" t="str">
        <x:v>randoop</x:v>
      </x:c>
      <x:c r="B2509" s="34" t="str">
        <x:v>Mockito</x:v>
      </x:c>
      <x:c r="C2509" s="34" t="str">
        <x:v>Round1</x:v>
      </x:c>
      <x:c r="D2509" s="34" t="str">
        <x:v>Mockito_10</x:v>
      </x:c>
      <x:c r="E2509" s="34" t="str">
        <x:v>Line</x:v>
      </x:c>
      <x:c r="F2509" s="34" t="n">
        <x:v>42</x:v>
      </x:c>
      <x:c r="G2509" s="34" t="str">
        <x:v>RECORDED</x:v>
      </x:c>
      <x:c r="H2509" s="38" t="n">
        <x:f>IF(ISNUMBER('Data'!H801),'Data'!H801*100,"")</x:f>
        <x:v>9.52</x:v>
      </x:c>
      <x:c r="I2509" s="34" t="str">
        <x:v>PASS</x:v>
      </x:c>
      <x:c r="J2509" s="34" t="str">
        <x:v>PASS</x:v>
      </x:c>
      <x:c r="K2509" s="34" t="str">
        <x:v>PASS</x:v>
      </x:c>
      <x:c r="L2509" s="34" t="str">
        <x:v>PASS</x:v>
      </x:c>
      <x:c r="M2509" s="34" t="str">
        <x:v>numeric coverage for applicable metric</x:v>
      </x:c>
      <x:c r="N2509" s="34" t="str">
        <x:v>Feedback-Directed Random Test Generation/Result/Mockito_10/result.json</x:v>
      </x:c>
      <x:c r="O2509" s="38" t="n">
        <x:f>IF(AND(G2509="RECORDED",ISNUMBER(H2509)),H2509,"")</x:f>
        <x:v>9.52</x:v>
      </x:c>
      <x:c r="P2509" s="34" t="str">
        <x:v>NOT_REVEALING</x:v>
      </x:c>
      <x:c r="Q2509" s="34" t="str">
        <x:v>Feedback-Directed Random Test Generation/Result/Mockito_10/result.json</x:v>
      </x:c>
    </x:row>
    <x:row r="2510">
      <x:c r="A2510" s="34" t="str">
        <x:v>randoop</x:v>
      </x:c>
      <x:c r="B2510" s="34" t="str">
        <x:v>Mockito</x:v>
      </x:c>
      <x:c r="C2510" s="34" t="str">
        <x:v>Round1</x:v>
      </x:c>
      <x:c r="D2510" s="34" t="str">
        <x:v>Mockito_11</x:v>
      </x:c>
      <x:c r="E2510" s="34" t="str">
        <x:v>Line</x:v>
      </x:c>
      <x:c r="F2510" s="34" t="n">
        <x:v>14</x:v>
      </x:c>
      <x:c r="G2510" s="34" t="str">
        <x:v>RECORDED</x:v>
      </x:c>
      <x:c r="H2510" s="38" t="n">
        <x:f>IF(ISNUMBER('Data'!H802),'Data'!H802*100,"")</x:f>
        <x:v>0</x:v>
      </x:c>
      <x:c r="I2510" s="34" t="str">
        <x:v>PASS</x:v>
      </x:c>
      <x:c r="J2510" s="34" t="str">
        <x:v>PASS</x:v>
      </x:c>
      <x:c r="K2510" s="34" t="str">
        <x:v>PASS</x:v>
      </x:c>
      <x:c r="L2510" s="34" t="str">
        <x:v>PASS</x:v>
      </x:c>
      <x:c r="M2510" s="34" t="str">
        <x:v>numeric coverage for applicable metric</x:v>
      </x:c>
      <x:c r="N2510" s="34" t="str">
        <x:v>Feedback-Directed Random Test Generation/Result/Mockito_11/result.json</x:v>
      </x:c>
      <x:c r="O2510" s="38" t="n">
        <x:f>IF(AND(G2510="RECORDED",ISNUMBER(H2510)),H2510,"")</x:f>
        <x:v>0</x:v>
      </x:c>
      <x:c r="P2510" s="34" t="str">
        <x:v>NOT_REVEALING</x:v>
      </x:c>
      <x:c r="Q2510" s="34" t="str">
        <x:v>Feedback-Directed Random Test Generation/Result/Mockito_11/result.json</x:v>
      </x:c>
    </x:row>
    <x:row r="2511">
      <x:c r="A2511" s="34" t="str">
        <x:v>randoop</x:v>
      </x:c>
      <x:c r="B2511" s="34" t="str">
        <x:v>Mockito</x:v>
      </x:c>
      <x:c r="C2511" s="34" t="str">
        <x:v>Round1</x:v>
      </x:c>
      <x:c r="D2511" s="34" t="str">
        <x:v>Mockito_12</x:v>
      </x:c>
      <x:c r="E2511" s="34" t="str">
        <x:v>Line</x:v>
      </x:c>
      <x:c r="F2511" s="34" t="n">
        <x:v>6</x:v>
      </x:c>
      <x:c r="G2511" s="34" t="str">
        <x:v>RECORDED</x:v>
      </x:c>
      <x:c r="H2511" s="38" t="n">
        <x:f>IF(ISNUMBER('Data'!H803),'Data'!H803*100,"")</x:f>
        <x:v>33.33</x:v>
      </x:c>
      <x:c r="I2511" s="34" t="str">
        <x:v>PASS</x:v>
      </x:c>
      <x:c r="J2511" s="34" t="str">
        <x:v>PASS</x:v>
      </x:c>
      <x:c r="K2511" s="34" t="str">
        <x:v>PASS</x:v>
      </x:c>
      <x:c r="L2511" s="34" t="str">
        <x:v>PASS</x:v>
      </x:c>
      <x:c r="M2511" s="34" t="str">
        <x:v>numeric coverage for applicable metric</x:v>
      </x:c>
      <x:c r="N2511" s="34" t="str">
        <x:v>Feedback-Directed Random Test Generation/Result/Mockito_12/result.json</x:v>
      </x:c>
      <x:c r="O2511" s="38" t="n">
        <x:f>IF(AND(G2511="RECORDED",ISNUMBER(H2511)),H2511,"")</x:f>
        <x:v>33.33</x:v>
      </x:c>
      <x:c r="P2511" s="34" t="str">
        <x:v>NOT_REVEALING</x:v>
      </x:c>
      <x:c r="Q2511" s="34" t="str">
        <x:v>Feedback-Directed Random Test Generation/Result/Mockito_12/result.json</x:v>
      </x:c>
    </x:row>
    <x:row r="2512">
      <x:c r="A2512" s="34" t="str">
        <x:v>randoop</x:v>
      </x:c>
      <x:c r="B2512" s="34" t="str">
        <x:v>Mockito</x:v>
      </x:c>
      <x:c r="C2512" s="34" t="str">
        <x:v>Round1</x:v>
      </x:c>
      <x:c r="D2512" s="34" t="str">
        <x:v>Mockito_13</x:v>
      </x:c>
      <x:c r="E2512" s="34" t="str">
        <x:v>Line</x:v>
      </x:c>
      <x:c r="F2512" s="34" t="n">
        <x:v>40</x:v>
      </x:c>
      <x:c r="G2512" s="34" t="str">
        <x:v>RECORDED</x:v>
      </x:c>
      <x:c r="H2512" s="38" t="n">
        <x:f>IF(ISNUMBER('Data'!H804),'Data'!H804*100,"")</x:f>
        <x:v>50</x:v>
      </x:c>
      <x:c r="I2512" s="34" t="str">
        <x:v>PASS</x:v>
      </x:c>
      <x:c r="J2512" s="34" t="str">
        <x:v>PASS</x:v>
      </x:c>
      <x:c r="K2512" s="34" t="str">
        <x:v>PASS</x:v>
      </x:c>
      <x:c r="L2512" s="34" t="str">
        <x:v>PASS</x:v>
      </x:c>
      <x:c r="M2512" s="34" t="str">
        <x:v>numeric coverage for applicable metric</x:v>
      </x:c>
      <x:c r="N2512" s="34" t="str">
        <x:v>Feedback-Directed Random Test Generation/Result/Mockito_13/result.json</x:v>
      </x:c>
      <x:c r="O2512" s="38" t="n">
        <x:f>IF(AND(G2512="RECORDED",ISNUMBER(H2512)),H2512,"")</x:f>
        <x:v>50</x:v>
      </x:c>
      <x:c r="P2512" s="34" t="str">
        <x:v>NOT_REVEALING</x:v>
      </x:c>
      <x:c r="Q2512" s="34" t="str">
        <x:v>Feedback-Directed Random Test Generation/Result/Mockito_13/result.json</x:v>
      </x:c>
    </x:row>
    <x:row r="2513">
      <x:c r="A2513" s="34" t="str">
        <x:v>randoop</x:v>
      </x:c>
      <x:c r="B2513" s="34" t="str">
        <x:v>Mockito</x:v>
      </x:c>
      <x:c r="C2513" s="34" t="str">
        <x:v>Round1</x:v>
      </x:c>
      <x:c r="D2513" s="34" t="str">
        <x:v>Mockito_14</x:v>
      </x:c>
      <x:c r="E2513" s="34" t="str">
        <x:v>Line</x:v>
      </x:c>
      <x:c r="F2513" s="34" t="n">
        <x:v>106</x:v>
      </x:c>
      <x:c r="G2513" s="34" t="str">
        <x:v>A</x:v>
      </x:c>
      <x:c r="H2513" s="38" t="n">
        <x:f>IF(ISNUMBER('Data'!H805),'Data'!H805*100,"")</x:f>
        <x:v>58.489999999999995</x:v>
      </x:c>
      <x:c r="I2513" s="34" t="str">
        <x:v>PASS</x:v>
      </x:c>
      <x:c r="J2513" s="34" t="str">
        <x:v>PASS</x:v>
      </x:c>
      <x:c r="K2513" s="34" t="str">
        <x:v>PASS</x:v>
      </x:c>
      <x:c r="L2513" s="34" t="str">
        <x:v>FAIL</x:v>
      </x:c>
      <x:c r="M2513" s="34" t="str">
        <x:v>Latest same-round generation failed; older files/results are excluded</x:v>
      </x:c>
      <x:c r="N2513" s="34" t="str">
        <x:v>Feedback-Directed Random Test Generation/Result/Mockito_14/result.json</x:v>
      </x:c>
      <x:c r="O2513" s="38" t="str">
        <x:f>IF(AND(G2513="RECORDED",ISNUMBER(H2513)),H2513,"")</x:f>
      </x:c>
      <x:c r="P2513" s="34" t="str">
        <x:v>FAIL</x:v>
      </x:c>
      <x:c r="Q2513" s="34" t="str">
        <x:v>Feedback-Directed Random Test Generation/Result/Mockito_14/result.json</x:v>
      </x:c>
    </x:row>
    <x:row r="2514">
      <x:c r="A2514" s="34" t="str">
        <x:v>randoop</x:v>
      </x:c>
      <x:c r="B2514" s="34" t="str">
        <x:v>Mockito</x:v>
      </x:c>
      <x:c r="C2514" s="34" t="str">
        <x:v>Round1</x:v>
      </x:c>
      <x:c r="D2514" s="34" t="str">
        <x:v>Mockito_15</x:v>
      </x:c>
      <x:c r="E2514" s="34" t="str">
        <x:v>Line</x:v>
      </x:c>
      <x:c r="F2514" s="34" t="n">
        <x:v>13</x:v>
      </x:c>
      <x:c r="G2514" s="34" t="str">
        <x:v>RECORDED</x:v>
      </x:c>
      <x:c r="H2514" s="38" t="n">
        <x:f>IF(ISNUMBER('Data'!H806),'Data'!H806*100,"")</x:f>
        <x:v>30.769999999999996</x:v>
      </x:c>
      <x:c r="I2514" s="34" t="str">
        <x:v>PASS</x:v>
      </x:c>
      <x:c r="J2514" s="34" t="str">
        <x:v>PASS</x:v>
      </x:c>
      <x:c r="K2514" s="34" t="str">
        <x:v>PASS</x:v>
      </x:c>
      <x:c r="L2514" s="34" t="str">
        <x:v>PASS</x:v>
      </x:c>
      <x:c r="M2514" s="34" t="str">
        <x:v>numeric coverage for applicable metric</x:v>
      </x:c>
      <x:c r="N2514" s="34" t="str">
        <x:v>Feedback-Directed Random Test Generation/Result/Mockito_15/result.json</x:v>
      </x:c>
      <x:c r="O2514" s="38" t="n">
        <x:f>IF(AND(G2514="RECORDED",ISNUMBER(H2514)),H2514,"")</x:f>
        <x:v>30.769999999999996</x:v>
      </x:c>
      <x:c r="P2514" s="34" t="str">
        <x:v>NOT_REVEALING</x:v>
      </x:c>
      <x:c r="Q2514" s="34" t="str">
        <x:v>Feedback-Directed Random Test Generation/Result/Mockito_15/result.json</x:v>
      </x:c>
    </x:row>
    <x:row r="2515">
      <x:c r="A2515" s="34" t="str">
        <x:v>randoop</x:v>
      </x:c>
      <x:c r="B2515" s="34" t="str">
        <x:v>Mockito</x:v>
      </x:c>
      <x:c r="C2515" s="34" t="str">
        <x:v>Round1</x:v>
      </x:c>
      <x:c r="D2515" s="34" t="str">
        <x:v>Mockito_16</x:v>
      </x:c>
      <x:c r="E2515" s="34" t="str">
        <x:v>Line</x:v>
      </x:c>
      <x:c r="F2515" s="34" t="n">
        <x:v>104</x:v>
      </x:c>
      <x:c r="G2515" s="34" t="str">
        <x:v>A</x:v>
      </x:c>
      <x:c r="H2515" s="38" t="n">
        <x:f>IF(ISNUMBER('Data'!H807),'Data'!H807*100,"")</x:f>
        <x:v>70.19</x:v>
      </x:c>
      <x:c r="I2515" s="34" t="str">
        <x:v>PASS</x:v>
      </x:c>
      <x:c r="J2515" s="34" t="str">
        <x:v>PASS</x:v>
      </x:c>
      <x:c r="K2515" s="34" t="str">
        <x:v>PASS</x:v>
      </x:c>
      <x:c r="L2515" s="34" t="str">
        <x:v>FAIL</x:v>
      </x:c>
      <x:c r="M2515" s="34" t="str">
        <x:v>Latest same-round generation failed; older files/results are excluded</x:v>
      </x:c>
      <x:c r="N2515" s="34" t="str">
        <x:v>Feedback-Directed Random Test Generation/Result/Mockito_16/result.json</x:v>
      </x:c>
      <x:c r="O2515" s="38" t="str">
        <x:f>IF(AND(G2515="RECORDED",ISNUMBER(H2515)),H2515,"")</x:f>
      </x:c>
      <x:c r="P2515" s="34" t="str">
        <x:v>FAIL</x:v>
      </x:c>
      <x:c r="Q2515" s="34" t="str">
        <x:v>Feedback-Directed Random Test Generation/Result/Mockito_16/result.json</x:v>
      </x:c>
    </x:row>
    <x:row r="2516">
      <x:c r="A2516" s="34" t="str">
        <x:v>randoop</x:v>
      </x:c>
      <x:c r="B2516" s="34" t="str">
        <x:v>Mockito</x:v>
      </x:c>
      <x:c r="C2516" s="34" t="str">
        <x:v>Round1</x:v>
      </x:c>
      <x:c r="D2516" s="34" t="str">
        <x:v>Mockito_17</x:v>
      </x:c>
      <x:c r="E2516" s="34" t="str">
        <x:v>Line</x:v>
      </x:c>
      <x:c r="F2516" s="34" t="n">
        <x:v>61</x:v>
      </x:c>
      <x:c r="G2516" s="34" t="str">
        <x:v>RECORDED</x:v>
      </x:c>
      <x:c r="H2516" s="38" t="n">
        <x:f>IF(ISNUMBER('Data'!H808),'Data'!H808*100,"")</x:f>
        <x:v>57.379999999999995</x:v>
      </x:c>
      <x:c r="I2516" s="34" t="str">
        <x:v>PASS</x:v>
      </x:c>
      <x:c r="J2516" s="34" t="str">
        <x:v>PASS</x:v>
      </x:c>
      <x:c r="K2516" s="34" t="str">
        <x:v>PASS</x:v>
      </x:c>
      <x:c r="L2516" s="34" t="str">
        <x:v>PASS</x:v>
      </x:c>
      <x:c r="M2516" s="34" t="str">
        <x:v>numeric coverage for applicable metric</x:v>
      </x:c>
      <x:c r="N2516" s="34" t="str">
        <x:v>Feedback-Directed Random Test Generation/Result/Mockito_17/result.json</x:v>
      </x:c>
      <x:c r="O2516" s="38" t="n">
        <x:f>IF(AND(G2516="RECORDED",ISNUMBER(H2516)),H2516,"")</x:f>
        <x:v>57.379999999999995</x:v>
      </x:c>
      <x:c r="P2516" s="34" t="str">
        <x:v>INCONCLUSIVE</x:v>
      </x:c>
      <x:c r="Q2516" s="34" t="str">
        <x:v>Feedback-Directed Random Test Generation/Result/Mockito_17/result.json</x:v>
      </x:c>
    </x:row>
    <x:row r="2517">
      <x:c r="A2517" s="34" t="str">
        <x:v>randoop</x:v>
      </x:c>
      <x:c r="B2517" s="34" t="str">
        <x:v>Mockito</x:v>
      </x:c>
      <x:c r="C2517" s="34" t="str">
        <x:v>Round1</x:v>
      </x:c>
      <x:c r="D2517" s="34" t="str">
        <x:v>Mockito_18</x:v>
      </x:c>
      <x:c r="E2517" s="34" t="str">
        <x:v>Line</x:v>
      </x:c>
      <x:c r="F2517" s="34" t="n">
        <x:v>0</x:v>
      </x:c>
      <x:c r="G2517" s="34" t="str">
        <x:v>A</x:v>
      </x:c>
      <x:c r="H2517" s="38" t="str">
        <x:f>IF(ISNUMBER('Data'!H809),'Data'!H809*100,"")</x:f>
      </x:c>
      <x:c r="I2517" s="34"/>
      <x:c r="J2517" s="34" t="str">
        <x:v>FAIL</x:v>
      </x:c>
      <x:c r="K2517" s="34"/>
      <x:c r="L2517" s="34" t="str">
        <x:v>NOT_RUN</x:v>
      </x:c>
      <x:c r="M2517" s="34" t="str">
        <x:v>coverage unavailable or execution/compile failed</x:v>
      </x:c>
      <x:c r="N2517" s="34" t="str">
        <x:v>Feedback-Directed Random Test Generation/Result/Mockito_18/result.json</x:v>
      </x:c>
      <x:c r="O2517" s="38" t="str">
        <x:f>IF(AND(G2517="RECORDED",ISNUMBER(H2517)),H2517,"")</x:f>
      </x:c>
      <x:c r="P2517" s="34" t="str">
        <x:v>NOT_AVAILABLE</x:v>
      </x:c>
      <x:c r="Q2517" s="34" t="str">
        <x:v>Feedback-Directed Random Test Generation/Result/Mockito_18/result.json</x:v>
      </x:c>
    </x:row>
    <x:row r="2518">
      <x:c r="A2518" s="34" t="str">
        <x:v>randoop</x:v>
      </x:c>
      <x:c r="B2518" s="34" t="str">
        <x:v>Mockito</x:v>
      </x:c>
      <x:c r="C2518" s="34" t="str">
        <x:v>Round1</x:v>
      </x:c>
      <x:c r="D2518" s="34" t="str">
        <x:v>Mockito_19</x:v>
      </x:c>
      <x:c r="E2518" s="34" t="str">
        <x:v>Line</x:v>
      </x:c>
      <x:c r="F2518" s="34" t="n">
        <x:v>0</x:v>
      </x:c>
      <x:c r="G2518" s="34" t="str">
        <x:v>A</x:v>
      </x:c>
      <x:c r="H2518" s="38" t="str">
        <x:f>IF(ISNUMBER('Data'!H810),'Data'!H810*100,"")</x:f>
      </x:c>
      <x:c r="I2518" s="34"/>
      <x:c r="J2518" s="34" t="str">
        <x:v>FAIL</x:v>
      </x:c>
      <x:c r="K2518" s="34"/>
      <x:c r="L2518" s="34" t="str">
        <x:v>NOT_RUN</x:v>
      </x:c>
      <x:c r="M2518" s="34" t="str">
        <x:v>coverage unavailable or execution/compile failed</x:v>
      </x:c>
      <x:c r="N2518" s="34" t="str">
        <x:v>Feedback-Directed Random Test Generation/Result/Mockito_19/result.json</x:v>
      </x:c>
      <x:c r="O2518" s="38" t="str">
        <x:f>IF(AND(G2518="RECORDED",ISNUMBER(H2518)),H2518,"")</x:f>
      </x:c>
      <x:c r="P2518" s="34" t="str">
        <x:v>NOT_AVAILABLE</x:v>
      </x:c>
      <x:c r="Q2518" s="34" t="str">
        <x:v>Feedback-Directed Random Test Generation/Result/Mockito_19/result.json</x:v>
      </x:c>
    </x:row>
    <x:row r="2519">
      <x:c r="A2519" s="34" t="str">
        <x:v>randoop</x:v>
      </x:c>
      <x:c r="B2519" s="34" t="str">
        <x:v>Mockito</x:v>
      </x:c>
      <x:c r="C2519" s="34" t="str">
        <x:v>Round1</x:v>
      </x:c>
      <x:c r="D2519" s="34" t="str">
        <x:v>Mockito_20</x:v>
      </x:c>
      <x:c r="E2519" s="34" t="str">
        <x:v>Line</x:v>
      </x:c>
      <x:c r="F2519" s="34" t="n">
        <x:v>0</x:v>
      </x:c>
      <x:c r="G2519" s="34" t="str">
        <x:v>A</x:v>
      </x:c>
      <x:c r="H2519" s="38" t="str">
        <x:f>IF(ISNUMBER('Data'!H811),'Data'!H811*100,"")</x:f>
      </x:c>
      <x:c r="I2519" s="34"/>
      <x:c r="J2519" s="34" t="str">
        <x:v>FAIL</x:v>
      </x:c>
      <x:c r="K2519" s="34"/>
      <x:c r="L2519" s="34" t="str">
        <x:v>NOT_RUN</x:v>
      </x:c>
      <x:c r="M2519" s="34" t="str">
        <x:v>coverage unavailable or execution/compile failed</x:v>
      </x:c>
      <x:c r="N2519" s="34" t="str">
        <x:v>Feedback-Directed Random Test Generation/Result/Mockito_20/result.json</x:v>
      </x:c>
      <x:c r="O2519" s="38" t="str">
        <x:f>IF(AND(G2519="RECORDED",ISNUMBER(H2519)),H2519,"")</x:f>
      </x:c>
      <x:c r="P2519" s="34" t="str">
        <x:v>NOT_AVAILABLE</x:v>
      </x:c>
      <x:c r="Q2519" s="34" t="str">
        <x:v>Feedback-Directed Random Test Generation/Result/Mockito_20/result.json</x:v>
      </x:c>
    </x:row>
    <x:row r="2520">
      <x:c r="A2520" s="34" t="str">
        <x:v>randoop</x:v>
      </x:c>
      <x:c r="B2520" s="34" t="str">
        <x:v>Mockito</x:v>
      </x:c>
      <x:c r="C2520" s="34" t="str">
        <x:v>Round1</x:v>
      </x:c>
      <x:c r="D2520" s="34" t="str">
        <x:v>Mockito_21</x:v>
      </x:c>
      <x:c r="E2520" s="34" t="str">
        <x:v>Line</x:v>
      </x:c>
      <x:c r="F2520" s="34" t="n">
        <x:v>16</x:v>
      </x:c>
      <x:c r="G2520" s="34" t="str">
        <x:v>RECORDED</x:v>
      </x:c>
      <x:c r="H2520" s="38" t="n">
        <x:f>IF(ISNUMBER('Data'!H812),'Data'!H812*100,"")</x:f>
        <x:v>18.75</x:v>
      </x:c>
      <x:c r="I2520" s="34" t="str">
        <x:v>PASS</x:v>
      </x:c>
      <x:c r="J2520" s="34" t="str">
        <x:v>PASS</x:v>
      </x:c>
      <x:c r="K2520" s="34" t="str">
        <x:v>PASS</x:v>
      </x:c>
      <x:c r="L2520" s="34" t="str">
        <x:v>PASS</x:v>
      </x:c>
      <x:c r="M2520" s="34" t="str">
        <x:v>numeric coverage for applicable metric</x:v>
      </x:c>
      <x:c r="N2520" s="34" t="str">
        <x:v>Feedback-Directed Random Test Generation/Result/Mockito_21/result.json</x:v>
      </x:c>
      <x:c r="O2520" s="38" t="n">
        <x:f>IF(AND(G2520="RECORDED",ISNUMBER(H2520)),H2520,"")</x:f>
        <x:v>18.75</x:v>
      </x:c>
      <x:c r="P2520" s="34" t="str">
        <x:v>NOT_REVEALING</x:v>
      </x:c>
      <x:c r="Q2520" s="34" t="str">
        <x:v>Feedback-Directed Random Test Generation/Result/Mockito_21/result.json</x:v>
      </x:c>
    </x:row>
    <x:row r="2521">
      <x:c r="A2521" s="34" t="str">
        <x:v>randoop</x:v>
      </x:c>
      <x:c r="B2521" s="34" t="str">
        <x:v>Mockito</x:v>
      </x:c>
      <x:c r="C2521" s="34" t="str">
        <x:v>Round1</x:v>
      </x:c>
      <x:c r="D2521" s="34" t="str">
        <x:v>Mockito_22</x:v>
      </x:c>
      <x:c r="E2521" s="34" t="str">
        <x:v>Line</x:v>
      </x:c>
      <x:c r="F2521" s="34" t="n">
        <x:v>13</x:v>
      </x:c>
      <x:c r="G2521" s="34" t="str">
        <x:v>RECORDED</x:v>
      </x:c>
      <x:c r="H2521" s="38" t="n">
        <x:f>IF(ISNUMBER('Data'!H813),'Data'!H813*100,"")</x:f>
        <x:v>69.23</x:v>
      </x:c>
      <x:c r="I2521" s="34" t="str">
        <x:v>PASS</x:v>
      </x:c>
      <x:c r="J2521" s="34" t="str">
        <x:v>PASS</x:v>
      </x:c>
      <x:c r="K2521" s="34" t="str">
        <x:v>PASS</x:v>
      </x:c>
      <x:c r="L2521" s="34" t="str">
        <x:v>PASS</x:v>
      </x:c>
      <x:c r="M2521" s="34" t="str">
        <x:v>numeric coverage for applicable metric</x:v>
      </x:c>
      <x:c r="N2521" s="34" t="str">
        <x:v>Feedback-Directed Random Test Generation/Result/Mockito_22/result.json</x:v>
      </x:c>
      <x:c r="O2521" s="38" t="n">
        <x:f>IF(AND(G2521="RECORDED",ISNUMBER(H2521)),H2521,"")</x:f>
        <x:v>69.23</x:v>
      </x:c>
      <x:c r="P2521" s="34" t="str">
        <x:v>NOT_REVEALING</x:v>
      </x:c>
      <x:c r="Q2521" s="34" t="str">
        <x:v>Feedback-Directed Random Test Generation/Result/Mockito_22/result.json</x:v>
      </x:c>
    </x:row>
    <x:row r="2522">
      <x:c r="A2522" s="34" t="str">
        <x:v>randoop</x:v>
      </x:c>
      <x:c r="B2522" s="34" t="str">
        <x:v>Mockito</x:v>
      </x:c>
      <x:c r="C2522" s="34" t="str">
        <x:v>Round1</x:v>
      </x:c>
      <x:c r="D2522" s="34" t="str">
        <x:v>Mockito_23</x:v>
      </x:c>
      <x:c r="E2522" s="34" t="str">
        <x:v>Line</x:v>
      </x:c>
      <x:c r="F2522" s="34" t="n">
        <x:v>33</x:v>
      </x:c>
      <x:c r="G2522" s="34" t="str">
        <x:v>RECORDED</x:v>
      </x:c>
      <x:c r="H2522" s="38" t="n">
        <x:f>IF(ISNUMBER('Data'!H814),'Data'!H814*100,"")</x:f>
        <x:v>18.18</x:v>
      </x:c>
      <x:c r="I2522" s="34" t="str">
        <x:v>PASS</x:v>
      </x:c>
      <x:c r="J2522" s="34" t="str">
        <x:v>PASS</x:v>
      </x:c>
      <x:c r="K2522" s="34" t="str">
        <x:v>PASS</x:v>
      </x:c>
      <x:c r="L2522" s="34" t="str">
        <x:v>PASS</x:v>
      </x:c>
      <x:c r="M2522" s="34" t="str">
        <x:v>numeric coverage for applicable metric</x:v>
      </x:c>
      <x:c r="N2522" s="34" t="str">
        <x:v>Feedback-Directed Random Test Generation/Result/Mockito_23/result.json</x:v>
      </x:c>
      <x:c r="O2522" s="38" t="n">
        <x:f>IF(AND(G2522="RECORDED",ISNUMBER(H2522)),H2522,"")</x:f>
        <x:v>18.18</x:v>
      </x:c>
      <x:c r="P2522" s="34" t="str">
        <x:v>NOT_REVEALING</x:v>
      </x:c>
      <x:c r="Q2522" s="34" t="str">
        <x:v>Feedback-Directed Random Test Generation/Result/Mockito_23/result.json</x:v>
      </x:c>
    </x:row>
    <x:row r="2523">
      <x:c r="A2523" s="34" t="str">
        <x:v>randoop</x:v>
      </x:c>
      <x:c r="B2523" s="34" t="str">
        <x:v>Mockito</x:v>
      </x:c>
      <x:c r="C2523" s="34" t="str">
        <x:v>Round1</x:v>
      </x:c>
      <x:c r="D2523" s="34" t="str">
        <x:v>Mockito_24</x:v>
      </x:c>
      <x:c r="E2523" s="34" t="str">
        <x:v>Line</x:v>
      </x:c>
      <x:c r="F2523" s="34" t="n">
        <x:v>44</x:v>
      </x:c>
      <x:c r="G2523" s="34" t="str">
        <x:v>RECORDED</x:v>
      </x:c>
      <x:c r="H2523" s="38" t="n">
        <x:f>IF(ISNUMBER('Data'!H815),'Data'!H815*100,"")</x:f>
        <x:v>9.09</x:v>
      </x:c>
      <x:c r="I2523" s="34" t="str">
        <x:v>PASS</x:v>
      </x:c>
      <x:c r="J2523" s="34" t="str">
        <x:v>PASS</x:v>
      </x:c>
      <x:c r="K2523" s="34" t="str">
        <x:v>PASS</x:v>
      </x:c>
      <x:c r="L2523" s="34" t="str">
        <x:v>PASS</x:v>
      </x:c>
      <x:c r="M2523" s="34" t="str">
        <x:v>numeric coverage for applicable metric</x:v>
      </x:c>
      <x:c r="N2523" s="34" t="str">
        <x:v>Feedback-Directed Random Test Generation/Result/Mockito_24/result.json</x:v>
      </x:c>
      <x:c r="O2523" s="38" t="n">
        <x:f>IF(AND(G2523="RECORDED",ISNUMBER(H2523)),H2523,"")</x:f>
        <x:v>9.09</x:v>
      </x:c>
      <x:c r="P2523" s="34" t="str">
        <x:v>NOT_REVEALING</x:v>
      </x:c>
      <x:c r="Q2523" s="34" t="str">
        <x:v>Feedback-Directed Random Test Generation/Result/Mockito_24/result.json</x:v>
      </x:c>
    </x:row>
    <x:row r="2524">
      <x:c r="A2524" s="34" t="str">
        <x:v>randoop</x:v>
      </x:c>
      <x:c r="B2524" s="34" t="str">
        <x:v>Mockito</x:v>
      </x:c>
      <x:c r="C2524" s="34" t="str">
        <x:v>Round1</x:v>
      </x:c>
      <x:c r="D2524" s="34" t="str">
        <x:v>Mockito_25</x:v>
      </x:c>
      <x:c r="E2524" s="34" t="str">
        <x:v>Line</x:v>
      </x:c>
      <x:c r="F2524" s="34" t="n">
        <x:v>23</x:v>
      </x:c>
      <x:c r="G2524" s="34" t="str">
        <x:v>RECORDED</x:v>
      </x:c>
      <x:c r="H2524" s="38" t="n">
        <x:f>IF(ISNUMBER('Data'!H816),'Data'!H816*100,"")</x:f>
        <x:v>21.74</x:v>
      </x:c>
      <x:c r="I2524" s="34" t="str">
        <x:v>PASS</x:v>
      </x:c>
      <x:c r="J2524" s="34" t="str">
        <x:v>PASS</x:v>
      </x:c>
      <x:c r="K2524" s="34" t="str">
        <x:v>PASS</x:v>
      </x:c>
      <x:c r="L2524" s="34" t="str">
        <x:v>PASS</x:v>
      </x:c>
      <x:c r="M2524" s="34" t="str">
        <x:v>numeric coverage for applicable metric</x:v>
      </x:c>
      <x:c r="N2524" s="34" t="str">
        <x:v>Feedback-Directed Random Test Generation/Result/Mockito_25/result.json</x:v>
      </x:c>
      <x:c r="O2524" s="38" t="n">
        <x:f>IF(AND(G2524="RECORDED",ISNUMBER(H2524)),H2524,"")</x:f>
        <x:v>21.74</x:v>
      </x:c>
      <x:c r="P2524" s="34" t="str">
        <x:v>NOT_REVEALING</x:v>
      </x:c>
      <x:c r="Q2524" s="34" t="str">
        <x:v>Feedback-Directed Random Test Generation/Result/Mockito_25/result.json</x:v>
      </x:c>
    </x:row>
    <x:row r="2525">
      <x:c r="A2525" s="34" t="str">
        <x:v>randoop</x:v>
      </x:c>
      <x:c r="B2525" s="34" t="str">
        <x:v>Mockito</x:v>
      </x:c>
      <x:c r="C2525" s="34" t="str">
        <x:v>Round1</x:v>
      </x:c>
      <x:c r="D2525" s="34" t="str">
        <x:v>Mockito_26</x:v>
      </x:c>
      <x:c r="E2525" s="34" t="str">
        <x:v>Line</x:v>
      </x:c>
      <x:c r="F2525" s="34" t="n">
        <x:v>36</x:v>
      </x:c>
      <x:c r="G2525" s="34" t="str">
        <x:v>RECORDED</x:v>
      </x:c>
      <x:c r="H2525" s="38" t="n">
        <x:f>IF(ISNUMBER('Data'!H817),'Data'!H817*100,"")</x:f>
        <x:v>83.33</x:v>
      </x:c>
      <x:c r="I2525" s="34" t="str">
        <x:v>PASS</x:v>
      </x:c>
      <x:c r="J2525" s="34" t="str">
        <x:v>PASS</x:v>
      </x:c>
      <x:c r="K2525" s="34" t="str">
        <x:v>PASS</x:v>
      </x:c>
      <x:c r="L2525" s="34" t="str">
        <x:v>PASS</x:v>
      </x:c>
      <x:c r="M2525" s="34" t="str">
        <x:v>numeric coverage for applicable metric</x:v>
      </x:c>
      <x:c r="N2525" s="34" t="str">
        <x:v>Feedback-Directed Random Test Generation/Result/Mockito_26/result.json</x:v>
      </x:c>
      <x:c r="O2525" s="38" t="n">
        <x:f>IF(AND(G2525="RECORDED",ISNUMBER(H2525)),H2525,"")</x:f>
        <x:v>83.33</x:v>
      </x:c>
      <x:c r="P2525" s="34" t="str">
        <x:v>NOT_REVEALING</x:v>
      </x:c>
      <x:c r="Q2525" s="34" t="str">
        <x:v>Feedback-Directed Random Test Generation/Result/Mockito_26/result.json</x:v>
      </x:c>
    </x:row>
    <x:row r="2526">
      <x:c r="A2526" s="34" t="str">
        <x:v>randoop</x:v>
      </x:c>
      <x:c r="B2526" s="34" t="str">
        <x:v>Mockito</x:v>
      </x:c>
      <x:c r="C2526" s="34" t="str">
        <x:v>Round1</x:v>
      </x:c>
      <x:c r="D2526" s="34" t="str">
        <x:v>Mockito_27</x:v>
      </x:c>
      <x:c r="E2526" s="34" t="str">
        <x:v>Line</x:v>
      </x:c>
      <x:c r="F2526" s="34" t="n">
        <x:v>42</x:v>
      </x:c>
      <x:c r="G2526" s="34" t="str">
        <x:v>RECORDED</x:v>
      </x:c>
      <x:c r="H2526" s="38" t="n">
        <x:f>IF(ISNUMBER('Data'!H818),'Data'!H818*100,"")</x:f>
        <x:v>35.71</x:v>
      </x:c>
      <x:c r="I2526" s="34" t="str">
        <x:v>PASS</x:v>
      </x:c>
      <x:c r="J2526" s="34" t="str">
        <x:v>PASS</x:v>
      </x:c>
      <x:c r="K2526" s="34" t="str">
        <x:v>PASS</x:v>
      </x:c>
      <x:c r="L2526" s="34" t="str">
        <x:v>PASS</x:v>
      </x:c>
      <x:c r="M2526" s="34" t="str">
        <x:v>numeric coverage for applicable metric</x:v>
      </x:c>
      <x:c r="N2526" s="34" t="str">
        <x:v>Feedback-Directed Random Test Generation/Result/Mockito_27/result.json</x:v>
      </x:c>
      <x:c r="O2526" s="38" t="n">
        <x:f>IF(AND(G2526="RECORDED",ISNUMBER(H2526)),H2526,"")</x:f>
        <x:v>35.71</x:v>
      </x:c>
      <x:c r="P2526" s="34" t="str">
        <x:v>NOT_REVEALING</x:v>
      </x:c>
      <x:c r="Q2526" s="34" t="str">
        <x:v>Feedback-Directed Random Test Generation/Result/Mockito_27/result.json</x:v>
      </x:c>
    </x:row>
    <x:row r="2527">
      <x:c r="A2527" s="34" t="str">
        <x:v>randoop</x:v>
      </x:c>
      <x:c r="B2527" s="34" t="str">
        <x:v>Mockito</x:v>
      </x:c>
      <x:c r="C2527" s="34" t="str">
        <x:v>Round1</x:v>
      </x:c>
      <x:c r="D2527" s="34" t="str">
        <x:v>Mockito_28</x:v>
      </x:c>
      <x:c r="E2527" s="34" t="str">
        <x:v>Line</x:v>
      </x:c>
      <x:c r="F2527" s="34" t="n">
        <x:v>30</x:v>
      </x:c>
      <x:c r="G2527" s="34" t="str">
        <x:v>RECORDED</x:v>
      </x:c>
      <x:c r="H2527" s="38" t="n">
        <x:f>IF(ISNUMBER('Data'!H819),'Data'!H819*100,"")</x:f>
        <x:v>20</x:v>
      </x:c>
      <x:c r="I2527" s="34" t="str">
        <x:v>PASS</x:v>
      </x:c>
      <x:c r="J2527" s="34" t="str">
        <x:v>PASS</x:v>
      </x:c>
      <x:c r="K2527" s="34" t="str">
        <x:v>PASS</x:v>
      </x:c>
      <x:c r="L2527" s="34" t="str">
        <x:v>PASS</x:v>
      </x:c>
      <x:c r="M2527" s="34" t="str">
        <x:v>numeric coverage for applicable metric</x:v>
      </x:c>
      <x:c r="N2527" s="34" t="str">
        <x:v>Feedback-Directed Random Test Generation/Result/Mockito_28/result.json</x:v>
      </x:c>
      <x:c r="O2527" s="38" t="n">
        <x:f>IF(AND(G2527="RECORDED",ISNUMBER(H2527)),H2527,"")</x:f>
        <x:v>20</x:v>
      </x:c>
      <x:c r="P2527" s="34" t="str">
        <x:v>NOT_REVEALING</x:v>
      </x:c>
      <x:c r="Q2527" s="34" t="str">
        <x:v>Feedback-Directed Random Test Generation/Result/Mockito_28/result.json</x:v>
      </x:c>
    </x:row>
    <x:row r="2528">
      <x:c r="A2528" s="34" t="str">
        <x:v>randoop</x:v>
      </x:c>
      <x:c r="B2528" s="34" t="str">
        <x:v>Mockito</x:v>
      </x:c>
      <x:c r="C2528" s="34" t="str">
        <x:v>Round1</x:v>
      </x:c>
      <x:c r="D2528" s="34" t="str">
        <x:v>Mockito_29</x:v>
      </x:c>
      <x:c r="E2528" s="34" t="str">
        <x:v>Line</x:v>
      </x:c>
      <x:c r="F2528" s="34" t="n">
        <x:v>15</x:v>
      </x:c>
      <x:c r="G2528" s="34" t="str">
        <x:v>RECORDED</x:v>
      </x:c>
      <x:c r="H2528" s="38" t="n">
        <x:f>IF(ISNUMBER('Data'!H820),'Data'!H820*100,"")</x:f>
        <x:v>93.33</x:v>
      </x:c>
      <x:c r="I2528" s="34" t="str">
        <x:v>PASS</x:v>
      </x:c>
      <x:c r="J2528" s="34" t="str">
        <x:v>PASS</x:v>
      </x:c>
      <x:c r="K2528" s="34" t="str">
        <x:v>PASS</x:v>
      </x:c>
      <x:c r="L2528" s="34" t="str">
        <x:v>PASS</x:v>
      </x:c>
      <x:c r="M2528" s="34" t="str">
        <x:v>numeric coverage for applicable metric</x:v>
      </x:c>
      <x:c r="N2528" s="34" t="str">
        <x:v>Feedback-Directed Random Test Generation/Result/Mockito_29/result.json</x:v>
      </x:c>
      <x:c r="O2528" s="38" t="n">
        <x:f>IF(AND(G2528="RECORDED",ISNUMBER(H2528)),H2528,"")</x:f>
        <x:v>93.33</x:v>
      </x:c>
      <x:c r="P2528" s="34" t="str">
        <x:v>NOT_REVEALING</x:v>
      </x:c>
      <x:c r="Q2528" s="34" t="str">
        <x:v>Feedback-Directed Random Test Generation/Result/Mockito_29/result.json</x:v>
      </x:c>
    </x:row>
    <x:row r="2529">
      <x:c r="A2529" s="34" t="str">
        <x:v>randoop</x:v>
      </x:c>
      <x:c r="B2529" s="34" t="str">
        <x:v>Mockito</x:v>
      </x:c>
      <x:c r="C2529" s="34" t="str">
        <x:v>Round1</x:v>
      </x:c>
      <x:c r="D2529" s="34" t="str">
        <x:v>Mockito_30</x:v>
      </x:c>
      <x:c r="E2529" s="34" t="str">
        <x:v>Line</x:v>
      </x:c>
      <x:c r="F2529" s="34" t="n">
        <x:v>112</x:v>
      </x:c>
      <x:c r="G2529" s="34" t="str">
        <x:v>RECORDED</x:v>
      </x:c>
      <x:c r="H2529" s="38" t="n">
        <x:f>IF(ISNUMBER('Data'!H821),'Data'!H821*100,"")</x:f>
        <x:v>55.36</x:v>
      </x:c>
      <x:c r="I2529" s="34" t="str">
        <x:v>PASS</x:v>
      </x:c>
      <x:c r="J2529" s="34" t="str">
        <x:v>PASS</x:v>
      </x:c>
      <x:c r="K2529" s="34" t="str">
        <x:v>PASS</x:v>
      </x:c>
      <x:c r="L2529" s="34" t="str">
        <x:v>FAIL</x:v>
      </x:c>
      <x:c r="M2529" s="34" t="str">
        <x:v>numeric coverage for applicable metric</x:v>
      </x:c>
      <x:c r="N2529" s="34" t="str">
        <x:v>Feedback-Directed Random Test Generation/Result/Mockito_30/result.json</x:v>
      </x:c>
      <x:c r="O2529" s="38" t="n">
        <x:f>IF(AND(G2529="RECORDED",ISNUMBER(H2529)),H2529,"")</x:f>
        <x:v>55.36</x:v>
      </x:c>
      <x:c r="P2529" s="34" t="str">
        <x:v>NOT_AVAILABLE</x:v>
      </x:c>
      <x:c r="Q2529" s="34" t="str">
        <x:v>Feedback-Directed Random Test Generation/Result/Mockito_30/result.json</x:v>
      </x:c>
    </x:row>
    <x:row r="2530">
      <x:c r="A2530" s="34" t="str">
        <x:v>randoop</x:v>
      </x:c>
      <x:c r="B2530" s="34" t="str">
        <x:v>Mockito</x:v>
      </x:c>
      <x:c r="C2530" s="34" t="str">
        <x:v>Round1</x:v>
      </x:c>
      <x:c r="D2530" s="34" t="str">
        <x:v>Mockito_31</x:v>
      </x:c>
      <x:c r="E2530" s="34" t="str">
        <x:v>Line</x:v>
      </x:c>
      <x:c r="F2530" s="34" t="n">
        <x:v>19</x:v>
      </x:c>
      <x:c r="G2530" s="34" t="str">
        <x:v>RECORDED</x:v>
      </x:c>
      <x:c r="H2530" s="38" t="n">
        <x:f>IF(ISNUMBER('Data'!H822),'Data'!H822*100,"")</x:f>
        <x:v>15.79</x:v>
      </x:c>
      <x:c r="I2530" s="34" t="str">
        <x:v>PASS</x:v>
      </x:c>
      <x:c r="J2530" s="34" t="str">
        <x:v>PASS</x:v>
      </x:c>
      <x:c r="K2530" s="34" t="str">
        <x:v>PASS</x:v>
      </x:c>
      <x:c r="L2530" s="34" t="str">
        <x:v>PASS</x:v>
      </x:c>
      <x:c r="M2530" s="34" t="str">
        <x:v>numeric coverage for applicable metric</x:v>
      </x:c>
      <x:c r="N2530" s="34" t="str">
        <x:v>Feedback-Directed Random Test Generation/Result/Mockito_31/result.json</x:v>
      </x:c>
      <x:c r="O2530" s="38" t="n">
        <x:f>IF(AND(G2530="RECORDED",ISNUMBER(H2530)),H2530,"")</x:f>
        <x:v>15.79</x:v>
      </x:c>
      <x:c r="P2530" s="34" t="str">
        <x:v>NOT_REVEALING</x:v>
      </x:c>
      <x:c r="Q2530" s="34" t="str">
        <x:v>Feedback-Directed Random Test Generation/Result/Mockito_31/result.json</x:v>
      </x:c>
    </x:row>
    <x:row r="2531">
      <x:c r="A2531" s="34" t="str">
        <x:v>randoop</x:v>
      </x:c>
      <x:c r="B2531" s="34" t="str">
        <x:v>Mockito</x:v>
      </x:c>
      <x:c r="C2531" s="34" t="str">
        <x:v>Round1</x:v>
      </x:c>
      <x:c r="D2531" s="34" t="str">
        <x:v>Mockito_32</x:v>
      </x:c>
      <x:c r="E2531" s="34" t="str">
        <x:v>Line</x:v>
      </x:c>
      <x:c r="F2531" s="34" t="n">
        <x:v>23</x:v>
      </x:c>
      <x:c r="G2531" s="34" t="str">
        <x:v>RECORDED</x:v>
      </x:c>
      <x:c r="H2531" s="38" t="n">
        <x:f>IF(ISNUMBER('Data'!H823),'Data'!H823*100,"")</x:f>
        <x:v>8.7</x:v>
      </x:c>
      <x:c r="I2531" s="34" t="str">
        <x:v>PASS</x:v>
      </x:c>
      <x:c r="J2531" s="34" t="str">
        <x:v>PASS</x:v>
      </x:c>
      <x:c r="K2531" s="34" t="str">
        <x:v>PASS</x:v>
      </x:c>
      <x:c r="L2531" s="34" t="str">
        <x:v>PASS</x:v>
      </x:c>
      <x:c r="M2531" s="34" t="str">
        <x:v>numeric coverage for applicable metric</x:v>
      </x:c>
      <x:c r="N2531" s="34" t="str">
        <x:v>Feedback-Directed Random Test Generation/Result/Mockito_32/result.json</x:v>
      </x:c>
      <x:c r="O2531" s="38" t="n">
        <x:f>IF(AND(G2531="RECORDED",ISNUMBER(H2531)),H2531,"")</x:f>
        <x:v>8.7</x:v>
      </x:c>
      <x:c r="P2531" s="34" t="str">
        <x:v>NOT_REVEALING</x:v>
      </x:c>
      <x:c r="Q2531" s="34" t="str">
        <x:v>Feedback-Directed Random Test Generation/Result/Mockito_32/result.json</x:v>
      </x:c>
    </x:row>
    <x:row r="2532">
      <x:c r="A2532" s="34" t="str">
        <x:v>randoop</x:v>
      </x:c>
      <x:c r="B2532" s="34" t="str">
        <x:v>Mockito</x:v>
      </x:c>
      <x:c r="C2532" s="34" t="str">
        <x:v>Round1</x:v>
      </x:c>
      <x:c r="D2532" s="34" t="str">
        <x:v>Mockito_33</x:v>
      </x:c>
      <x:c r="E2532" s="34" t="str">
        <x:v>Line</x:v>
      </x:c>
      <x:c r="F2532" s="34" t="n">
        <x:v>45</x:v>
      </x:c>
      <x:c r="G2532" s="34" t="str">
        <x:v>RECORDED</x:v>
      </x:c>
      <x:c r="H2532" s="38" t="n">
        <x:f>IF(ISNUMBER('Data'!H824),'Data'!H824*100,"")</x:f>
        <x:v>17.78</x:v>
      </x:c>
      <x:c r="I2532" s="34" t="str">
        <x:v>PASS</x:v>
      </x:c>
      <x:c r="J2532" s="34" t="str">
        <x:v>PASS</x:v>
      </x:c>
      <x:c r="K2532" s="34" t="str">
        <x:v>PASS</x:v>
      </x:c>
      <x:c r="L2532" s="34" t="str">
        <x:v>PASS</x:v>
      </x:c>
      <x:c r="M2532" s="34" t="str">
        <x:v>numeric coverage for applicable metric</x:v>
      </x:c>
      <x:c r="N2532" s="34" t="str">
        <x:v>Feedback-Directed Random Test Generation/Result/Mockito_33/result.json</x:v>
      </x:c>
      <x:c r="O2532" s="38" t="n">
        <x:f>IF(AND(G2532="RECORDED",ISNUMBER(H2532)),H2532,"")</x:f>
        <x:v>17.78</x:v>
      </x:c>
      <x:c r="P2532" s="34" t="str">
        <x:v>NOT_REVEALING</x:v>
      </x:c>
      <x:c r="Q2532" s="34" t="str">
        <x:v>Feedback-Directed Random Test Generation/Result/Mockito_33/result.json</x:v>
      </x:c>
    </x:row>
    <x:row r="2533">
      <x:c r="A2533" s="34" t="str">
        <x:v>randoop</x:v>
      </x:c>
      <x:c r="B2533" s="34" t="str">
        <x:v>Mockito</x:v>
      </x:c>
      <x:c r="C2533" s="34" t="str">
        <x:v>Round1</x:v>
      </x:c>
      <x:c r="D2533" s="34" t="str">
        <x:v>Mockito_34</x:v>
      </x:c>
      <x:c r="E2533" s="34" t="str">
        <x:v>Line</x:v>
      </x:c>
      <x:c r="F2533" s="34" t="n">
        <x:v>38</x:v>
      </x:c>
      <x:c r="G2533" s="34" t="str">
        <x:v>RECORDED</x:v>
      </x:c>
      <x:c r="H2533" s="38" t="n">
        <x:f>IF(ISNUMBER('Data'!H825),'Data'!H825*100,"")</x:f>
        <x:v>13.16</x:v>
      </x:c>
      <x:c r="I2533" s="34" t="str">
        <x:v>PASS</x:v>
      </x:c>
      <x:c r="J2533" s="34" t="str">
        <x:v>PASS</x:v>
      </x:c>
      <x:c r="K2533" s="34" t="str">
        <x:v>PASS</x:v>
      </x:c>
      <x:c r="L2533" s="34" t="str">
        <x:v>PASS</x:v>
      </x:c>
      <x:c r="M2533" s="34" t="str">
        <x:v>numeric coverage for applicable metric</x:v>
      </x:c>
      <x:c r="N2533" s="34" t="str">
        <x:v>Feedback-Directed Random Test Generation/Result/Mockito_34/result.json</x:v>
      </x:c>
      <x:c r="O2533" s="38" t="n">
        <x:f>IF(AND(G2533="RECORDED",ISNUMBER(H2533)),H2533,"")</x:f>
        <x:v>13.16</x:v>
      </x:c>
      <x:c r="P2533" s="34" t="str">
        <x:v>NOT_REVEALING</x:v>
      </x:c>
      <x:c r="Q2533" s="34" t="str">
        <x:v>Feedback-Directed Random Test Generation/Result/Mockito_34/result.json</x:v>
      </x:c>
    </x:row>
    <x:row r="2534">
      <x:c r="A2534" s="34" t="str">
        <x:v>randoop</x:v>
      </x:c>
      <x:c r="B2534" s="34" t="str">
        <x:v>Mockito</x:v>
      </x:c>
      <x:c r="C2534" s="34" t="str">
        <x:v>Round1</x:v>
      </x:c>
      <x:c r="D2534" s="34" t="str">
        <x:v>Mockito_35</x:v>
      </x:c>
      <x:c r="E2534" s="34" t="str">
        <x:v>Line</x:v>
      </x:c>
      <x:c r="F2534" s="34" t="n">
        <x:v>51</x:v>
      </x:c>
      <x:c r="G2534" s="34" t="str">
        <x:v>RECORDED</x:v>
      </x:c>
      <x:c r="H2534" s="38" t="n">
        <x:f>IF(ISNUMBER('Data'!H826),'Data'!H826*100,"")</x:f>
        <x:v>88.24</x:v>
      </x:c>
      <x:c r="I2534" s="34" t="str">
        <x:v>PASS</x:v>
      </x:c>
      <x:c r="J2534" s="34" t="str">
        <x:v>PASS</x:v>
      </x:c>
      <x:c r="K2534" s="34" t="str">
        <x:v>PASS</x:v>
      </x:c>
      <x:c r="L2534" s="34" t="str">
        <x:v>PASS</x:v>
      </x:c>
      <x:c r="M2534" s="34" t="str">
        <x:v>numeric coverage for applicable metric</x:v>
      </x:c>
      <x:c r="N2534" s="34" t="str">
        <x:v>Feedback-Directed Random Test Generation/Result/Mockito_35/result.json</x:v>
      </x:c>
      <x:c r="O2534" s="38" t="n">
        <x:f>IF(AND(G2534="RECORDED",ISNUMBER(H2534)),H2534,"")</x:f>
        <x:v>88.24</x:v>
      </x:c>
      <x:c r="P2534" s="34" t="str">
        <x:v>INCONCLUSIVE</x:v>
      </x:c>
      <x:c r="Q2534" s="34" t="str">
        <x:v>Feedback-Directed Random Test Generation/Result/Mockito_35/result.json</x:v>
      </x:c>
    </x:row>
    <x:row r="2535">
      <x:c r="A2535" s="34" t="str">
        <x:v>randoop</x:v>
      </x:c>
      <x:c r="B2535" s="34" t="str">
        <x:v>Mockito</x:v>
      </x:c>
      <x:c r="C2535" s="34" t="str">
        <x:v>Round1</x:v>
      </x:c>
      <x:c r="D2535" s="34" t="str">
        <x:v>Mockito_36</x:v>
      </x:c>
      <x:c r="E2535" s="34" t="str">
        <x:v>Line</x:v>
      </x:c>
      <x:c r="F2535" s="34" t="n">
        <x:v>70</x:v>
      </x:c>
      <x:c r="G2535" s="34" t="str">
        <x:v>RECORDED</x:v>
      </x:c>
      <x:c r="H2535" s="38" t="n">
        <x:f>IF(ISNUMBER('Data'!H827),'Data'!H827*100,"")</x:f>
        <x:v>8.57</x:v>
      </x:c>
      <x:c r="I2535" s="34" t="str">
        <x:v>PASS</x:v>
      </x:c>
      <x:c r="J2535" s="34" t="str">
        <x:v>PASS</x:v>
      </x:c>
      <x:c r="K2535" s="34" t="str">
        <x:v>PASS</x:v>
      </x:c>
      <x:c r="L2535" s="34" t="str">
        <x:v>PASS</x:v>
      </x:c>
      <x:c r="M2535" s="34" t="str">
        <x:v>numeric coverage for applicable metric</x:v>
      </x:c>
      <x:c r="N2535" s="34" t="str">
        <x:v>Feedback-Directed Random Test Generation/Result/Mockito_36/result.json</x:v>
      </x:c>
      <x:c r="O2535" s="38" t="n">
        <x:f>IF(AND(G2535="RECORDED",ISNUMBER(H2535)),H2535,"")</x:f>
        <x:v>8.57</x:v>
      </x:c>
      <x:c r="P2535" s="34" t="str">
        <x:v>NOT_REVEALING</x:v>
      </x:c>
      <x:c r="Q2535" s="34" t="str">
        <x:v>Feedback-Directed Random Test Generation/Result/Mockito_36/result.json</x:v>
      </x:c>
    </x:row>
    <x:row r="2536">
      <x:c r="A2536" s="34" t="str">
        <x:v>randoop</x:v>
      </x:c>
      <x:c r="B2536" s="34" t="str">
        <x:v>Mockito</x:v>
      </x:c>
      <x:c r="C2536" s="34" t="str">
        <x:v>Round1</x:v>
      </x:c>
      <x:c r="D2536" s="34" t="str">
        <x:v>Mockito_37</x:v>
      </x:c>
      <x:c r="E2536" s="34" t="str">
        <x:v>Line</x:v>
      </x:c>
      <x:c r="F2536" s="34" t="n">
        <x:v>27</x:v>
      </x:c>
      <x:c r="G2536" s="34" t="str">
        <x:v>RECORDED</x:v>
      </x:c>
      <x:c r="H2536" s="38" t="n">
        <x:f>IF(ISNUMBER('Data'!H828),'Data'!H828*100,"")</x:f>
        <x:v>7.41</x:v>
      </x:c>
      <x:c r="I2536" s="34" t="str">
        <x:v>PASS</x:v>
      </x:c>
      <x:c r="J2536" s="34" t="str">
        <x:v>PASS</x:v>
      </x:c>
      <x:c r="K2536" s="34" t="str">
        <x:v>PASS</x:v>
      </x:c>
      <x:c r="L2536" s="34" t="str">
        <x:v>PASS</x:v>
      </x:c>
      <x:c r="M2536" s="34" t="str">
        <x:v>numeric coverage for applicable metric</x:v>
      </x:c>
      <x:c r="N2536" s="34" t="str">
        <x:v>Feedback-Directed Random Test Generation/Result/Mockito_37/result.json</x:v>
      </x:c>
      <x:c r="O2536" s="38" t="n">
        <x:f>IF(AND(G2536="RECORDED",ISNUMBER(H2536)),H2536,"")</x:f>
        <x:v>7.41</x:v>
      </x:c>
      <x:c r="P2536" s="34" t="str">
        <x:v>NOT_REVEALING</x:v>
      </x:c>
      <x:c r="Q2536" s="34" t="str">
        <x:v>Feedback-Directed Random Test Generation/Result/Mockito_37/result.json</x:v>
      </x:c>
    </x:row>
    <x:row r="2537">
      <x:c r="A2537" s="34" t="str">
        <x:v>randoop</x:v>
      </x:c>
      <x:c r="B2537" s="34" t="str">
        <x:v>Mockito</x:v>
      </x:c>
      <x:c r="C2537" s="34" t="str">
        <x:v>Round1</x:v>
      </x:c>
      <x:c r="D2537" s="34" t="str">
        <x:v>Mockito_38</x:v>
      </x:c>
      <x:c r="E2537" s="34" t="str">
        <x:v>Line</x:v>
      </x:c>
      <x:c r="F2537" s="34" t="n">
        <x:v>18</x:v>
      </x:c>
      <x:c r="G2537" s="34" t="str">
        <x:v>RECORDED</x:v>
      </x:c>
      <x:c r="H2537" s="38" t="n">
        <x:f>IF(ISNUMBER('Data'!H829),'Data'!H829*100,"")</x:f>
        <x:v>38.89</x:v>
      </x:c>
      <x:c r="I2537" s="34" t="str">
        <x:v>PASS</x:v>
      </x:c>
      <x:c r="J2537" s="34" t="str">
        <x:v>PASS</x:v>
      </x:c>
      <x:c r="K2537" s="34" t="str">
        <x:v>PASS</x:v>
      </x:c>
      <x:c r="L2537" s="34" t="str">
        <x:v>PASS</x:v>
      </x:c>
      <x:c r="M2537" s="34" t="str">
        <x:v>numeric coverage for applicable metric</x:v>
      </x:c>
      <x:c r="N2537" s="34" t="str">
        <x:v>Feedback-Directed Random Test Generation/Result/Mockito_38/result.json</x:v>
      </x:c>
      <x:c r="O2537" s="38" t="n">
        <x:f>IF(AND(G2537="RECORDED",ISNUMBER(H2537)),H2537,"")</x:f>
        <x:v>38.89</x:v>
      </x:c>
      <x:c r="P2537" s="34" t="str">
        <x:v>NOT_REVEALING</x:v>
      </x:c>
      <x:c r="Q2537" s="34" t="str">
        <x:v>Feedback-Directed Random Test Generation/Result/Mockito_38/result.json</x:v>
      </x:c>
    </x:row>
    <x:row r="2538">
      <x:c r="A2538" s="34" t="str">
        <x:v>randoop</x:v>
      </x:c>
      <x:c r="B2538" s="34" t="str">
        <x:v>Time</x:v>
      </x:c>
      <x:c r="C2538" s="34" t="str">
        <x:v>Round1</x:v>
      </x:c>
      <x:c r="D2538" s="34" t="str">
        <x:v>Time_1</x:v>
      </x:c>
      <x:c r="E2538" s="34" t="str">
        <x:v>Line</x:v>
      </x:c>
      <x:c r="F2538" s="34" t="n">
        <x:v>301</x:v>
      </x:c>
      <x:c r="G2538" s="34" t="str">
        <x:v>RECORDED</x:v>
      </x:c>
      <x:c r="H2538" s="38" t="n">
        <x:f>IF(ISNUMBER('Data'!H830),'Data'!H830*100,"")</x:f>
        <x:v>31.230000000000004</x:v>
      </x:c>
      <x:c r="I2538" s="34" t="str">
        <x:v>PASS</x:v>
      </x:c>
      <x:c r="J2538" s="34" t="str">
        <x:v>PASS</x:v>
      </x:c>
      <x:c r="K2538" s="34" t="str">
        <x:v>PASS</x:v>
      </x:c>
      <x:c r="L2538" s="34" t="str">
        <x:v>PASS</x:v>
      </x:c>
      <x:c r="M2538" s="34" t="str">
        <x:v>numeric coverage for applicable metric</x:v>
      </x:c>
      <x:c r="N2538" s="34" t="str">
        <x:v>Feedback-Directed Random Test Generation/Result/Time_1/result.json</x:v>
      </x:c>
      <x:c r="O2538" s="38" t="n">
        <x:f>IF(AND(G2538="RECORDED",ISNUMBER(H2538)),H2538,"")</x:f>
        <x:v>31.230000000000004</x:v>
      </x:c>
      <x:c r="P2538" s="34" t="str">
        <x:v>NOT_REVEALING</x:v>
      </x:c>
      <x:c r="Q2538" s="34" t="str">
        <x:v>Feedback-Directed Random Test Generation/Result/Time_1/result.json</x:v>
      </x:c>
    </x:row>
    <x:row r="2539">
      <x:c r="A2539" s="34" t="str">
        <x:v>randoop</x:v>
      </x:c>
      <x:c r="B2539" s="34" t="str">
        <x:v>Time</x:v>
      </x:c>
      <x:c r="C2539" s="34" t="str">
        <x:v>Round1</x:v>
      </x:c>
      <x:c r="D2539" s="34" t="str">
        <x:v>Time_2</x:v>
      </x:c>
      <x:c r="E2539" s="34" t="str">
        <x:v>Line</x:v>
      </x:c>
      <x:c r="F2539" s="34" t="n">
        <x:v>297</x:v>
      </x:c>
      <x:c r="G2539" s="34" t="str">
        <x:v>RECORDED</x:v>
      </x:c>
      <x:c r="H2539" s="38" t="n">
        <x:f>IF(ISNUMBER('Data'!H831),'Data'!H831*100,"")</x:f>
        <x:v>31.65</x:v>
      </x:c>
      <x:c r="I2539" s="34" t="str">
        <x:v>PASS</x:v>
      </x:c>
      <x:c r="J2539" s="34" t="str">
        <x:v>PASS</x:v>
      </x:c>
      <x:c r="K2539" s="34" t="str">
        <x:v>PASS</x:v>
      </x:c>
      <x:c r="L2539" s="34" t="str">
        <x:v>PASS</x:v>
      </x:c>
      <x:c r="M2539" s="34" t="str">
        <x:v>numeric coverage for applicable metric</x:v>
      </x:c>
      <x:c r="N2539" s="34" t="str">
        <x:v>Feedback-Directed Random Test Generation/Result/Time_2/result.json</x:v>
      </x:c>
      <x:c r="O2539" s="38" t="n">
        <x:f>IF(AND(G2539="RECORDED",ISNUMBER(H2539)),H2539,"")</x:f>
        <x:v>31.65</x:v>
      </x:c>
      <x:c r="P2539" s="34" t="str">
        <x:v>NOT_REVEALING</x:v>
      </x:c>
      <x:c r="Q2539" s="34" t="str">
        <x:v>Feedback-Directed Random Test Generation/Result/Time_2/result.json</x:v>
      </x:c>
    </x:row>
    <x:row r="2540">
      <x:c r="A2540" s="34" t="str">
        <x:v>randoop</x:v>
      </x:c>
      <x:c r="B2540" s="34" t="str">
        <x:v>Time</x:v>
      </x:c>
      <x:c r="C2540" s="34" t="str">
        <x:v>Round1</x:v>
      </x:c>
      <x:c r="D2540" s="34" t="str">
        <x:v>Time_3</x:v>
      </x:c>
      <x:c r="E2540" s="34" t="str">
        <x:v>Line</x:v>
      </x:c>
      <x:c r="F2540" s="34" t="n">
        <x:v>238</x:v>
      </x:c>
      <x:c r="G2540" s="34" t="str">
        <x:v>RECORDED</x:v>
      </x:c>
      <x:c r="H2540" s="38" t="n">
        <x:f>IF(ISNUMBER('Data'!H832),'Data'!H832*100,"")</x:f>
        <x:v>40.34</x:v>
      </x:c>
      <x:c r="I2540" s="34" t="str">
        <x:v>PASS</x:v>
      </x:c>
      <x:c r="J2540" s="34" t="str">
        <x:v>PASS</x:v>
      </x:c>
      <x:c r="K2540" s="34" t="str">
        <x:v>PASS</x:v>
      </x:c>
      <x:c r="L2540" s="34" t="str">
        <x:v>FAIL</x:v>
      </x:c>
      <x:c r="M2540" s="34" t="str">
        <x:v>numeric coverage for applicable metric</x:v>
      </x:c>
      <x:c r="N2540" s="34" t="str">
        <x:v>Feedback-Directed Random Test Generation/Result/Time_3/result.json</x:v>
      </x:c>
      <x:c r="O2540" s="38" t="n">
        <x:f>IF(AND(G2540="RECORDED",ISNUMBER(H2540)),H2540,"")</x:f>
        <x:v>40.34</x:v>
      </x:c>
      <x:c r="P2540" s="34" t="str">
        <x:v>INCONCLUSIVE</x:v>
      </x:c>
      <x:c r="Q2540" s="34" t="str">
        <x:v>Feedback-Directed Random Test Generation/Result/Time_3/result.json</x:v>
      </x:c>
    </x:row>
    <x:row r="2541">
      <x:c r="A2541" s="34" t="str">
        <x:v>randoop</x:v>
      </x:c>
      <x:c r="B2541" s="34" t="str">
        <x:v>Time</x:v>
      </x:c>
      <x:c r="C2541" s="34" t="str">
        <x:v>Round1</x:v>
      </x:c>
      <x:c r="D2541" s="34" t="str">
        <x:v>Time_4</x:v>
      </x:c>
      <x:c r="E2541" s="34" t="str">
        <x:v>Line</x:v>
      </x:c>
      <x:c r="F2541" s="34" t="n">
        <x:v>253</x:v>
      </x:c>
      <x:c r="G2541" s="34" t="str">
        <x:v>RECORDED</x:v>
      </x:c>
      <x:c r="H2541" s="38" t="n">
        <x:f>IF(ISNUMBER('Data'!H833),'Data'!H833*100,"")</x:f>
        <x:v>40.71</x:v>
      </x:c>
      <x:c r="I2541" s="34" t="str">
        <x:v>PASS</x:v>
      </x:c>
      <x:c r="J2541" s="34" t="str">
        <x:v>PASS</x:v>
      </x:c>
      <x:c r="K2541" s="34" t="str">
        <x:v>PASS</x:v>
      </x:c>
      <x:c r="L2541" s="34" t="str">
        <x:v>PASS</x:v>
      </x:c>
      <x:c r="M2541" s="34" t="str">
        <x:v>numeric coverage for applicable metric</x:v>
      </x:c>
      <x:c r="N2541" s="34" t="str">
        <x:v>Feedback-Directed Random Test Generation/Result/Time_4/result.json</x:v>
      </x:c>
      <x:c r="O2541" s="38" t="n">
        <x:f>IF(AND(G2541="RECORDED",ISNUMBER(H2541)),H2541,"")</x:f>
        <x:v>40.71</x:v>
      </x:c>
      <x:c r="P2541" s="34" t="str">
        <x:v>NOT_REVEALING</x:v>
      </x:c>
      <x:c r="Q2541" s="34" t="str">
        <x:v>Feedback-Directed Random Test Generation/Result/Time_4/result.json</x:v>
      </x:c>
    </x:row>
    <x:row r="2542">
      <x:c r="A2542" s="34" t="str">
        <x:v>randoop</x:v>
      </x:c>
      <x:c r="B2542" s="34" t="str">
        <x:v>Time</x:v>
      </x:c>
      <x:c r="C2542" s="34" t="str">
        <x:v>Round1</x:v>
      </x:c>
      <x:c r="D2542" s="34" t="str">
        <x:v>Time_5</x:v>
      </x:c>
      <x:c r="E2542" s="34" t="str">
        <x:v>Line</x:v>
      </x:c>
      <x:c r="F2542" s="34" t="n">
        <x:v>283</x:v>
      </x:c>
      <x:c r="G2542" s="34" t="str">
        <x:v>RECORDED</x:v>
      </x:c>
      <x:c r="H2542" s="38" t="n">
        <x:f>IF(ISNUMBER('Data'!H834),'Data'!H834*100,"")</x:f>
        <x:v>55.48</x:v>
      </x:c>
      <x:c r="I2542" s="34" t="str">
        <x:v>PASS</x:v>
      </x:c>
      <x:c r="J2542" s="34" t="str">
        <x:v>PASS</x:v>
      </x:c>
      <x:c r="K2542" s="34" t="str">
        <x:v>PASS</x:v>
      </x:c>
      <x:c r="L2542" s="34" t="str">
        <x:v>PASS</x:v>
      </x:c>
      <x:c r="M2542" s="34" t="str">
        <x:v>numeric coverage for applicable metric</x:v>
      </x:c>
      <x:c r="N2542" s="34" t="str">
        <x:v>Feedback-Directed Random Test Generation/Result/Time_5/result.json</x:v>
      </x:c>
      <x:c r="O2542" s="38" t="n">
        <x:f>IF(AND(G2542="RECORDED",ISNUMBER(H2542)),H2542,"")</x:f>
        <x:v>55.48</x:v>
      </x:c>
      <x:c r="P2542" s="34" t="str">
        <x:v>NOT_REVEALING</x:v>
      </x:c>
      <x:c r="Q2542" s="34" t="str">
        <x:v>Feedback-Directed Random Test Generation/Result/Time_5/result.json</x:v>
      </x:c>
    </x:row>
    <x:row r="2543">
      <x:c r="A2543" s="34" t="str">
        <x:v>randoop</x:v>
      </x:c>
      <x:c r="B2543" s="34" t="str">
        <x:v>Time</x:v>
      </x:c>
      <x:c r="C2543" s="34" t="str">
        <x:v>Round1</x:v>
      </x:c>
      <x:c r="D2543" s="34" t="str">
        <x:v>Time_6</x:v>
      </x:c>
      <x:c r="E2543" s="34" t="str">
        <x:v>Line</x:v>
      </x:c>
      <x:c r="F2543" s="34" t="n">
        <x:v>361</x:v>
      </x:c>
      <x:c r="G2543" s="34" t="str">
        <x:v>RECORDED</x:v>
      </x:c>
      <x:c r="H2543" s="38" t="n">
        <x:f>IF(ISNUMBER('Data'!H835),'Data'!H835*100,"")</x:f>
        <x:v>44.6</x:v>
      </x:c>
      <x:c r="I2543" s="34" t="str">
        <x:v>PASS</x:v>
      </x:c>
      <x:c r="J2543" s="34" t="str">
        <x:v>PASS</x:v>
      </x:c>
      <x:c r="K2543" s="34" t="str">
        <x:v>PASS</x:v>
      </x:c>
      <x:c r="L2543" s="34" t="str">
        <x:v>PASS</x:v>
      </x:c>
      <x:c r="M2543" s="34" t="str">
        <x:v>numeric coverage for applicable metric</x:v>
      </x:c>
      <x:c r="N2543" s="34" t="str">
        <x:v>Feedback-Directed Random Test Generation/Result/Time_6/result.json</x:v>
      </x:c>
      <x:c r="O2543" s="38" t="n">
        <x:f>IF(AND(G2543="RECORDED",ISNUMBER(H2543)),H2543,"")</x:f>
        <x:v>44.6</x:v>
      </x:c>
      <x:c r="P2543" s="34" t="str">
        <x:v>NOT_REVEALING</x:v>
      </x:c>
      <x:c r="Q2543" s="34" t="str">
        <x:v>Feedback-Directed Random Test Generation/Result/Time_6/result.json</x:v>
      </x:c>
    </x:row>
    <x:row r="2544">
      <x:c r="A2544" s="34" t="str">
        <x:v>randoop</x:v>
      </x:c>
      <x:c r="B2544" s="34" t="str">
        <x:v>Time</x:v>
      </x:c>
      <x:c r="C2544" s="34" t="str">
        <x:v>Round1</x:v>
      </x:c>
      <x:c r="D2544" s="34" t="str">
        <x:v>Time_7</x:v>
      </x:c>
      <x:c r="E2544" s="34" t="str">
        <x:v>Line</x:v>
      </x:c>
      <x:c r="F2544" s="34" t="n">
        <x:v>208</x:v>
      </x:c>
      <x:c r="G2544" s="34" t="str">
        <x:v>RECORDED</x:v>
      </x:c>
      <x:c r="H2544" s="38" t="n">
        <x:f>IF(ISNUMBER('Data'!H836),'Data'!H836*100,"")</x:f>
        <x:v>32.21</x:v>
      </x:c>
      <x:c r="I2544" s="34" t="str">
        <x:v>PASS</x:v>
      </x:c>
      <x:c r="J2544" s="34" t="str">
        <x:v>PASS</x:v>
      </x:c>
      <x:c r="K2544" s="34" t="str">
        <x:v>PASS</x:v>
      </x:c>
      <x:c r="L2544" s="34" t="str">
        <x:v>PASS</x:v>
      </x:c>
      <x:c r="M2544" s="34" t="str">
        <x:v>numeric coverage for applicable metric</x:v>
      </x:c>
      <x:c r="N2544" s="34" t="str">
        <x:v>Feedback-Directed Random Test Generation/Result/Time_7/result.json</x:v>
      </x:c>
      <x:c r="O2544" s="38" t="n">
        <x:f>IF(AND(G2544="RECORDED",ISNUMBER(H2544)),H2544,"")</x:f>
        <x:v>32.21</x:v>
      </x:c>
      <x:c r="P2544" s="34" t="str">
        <x:v>NOT_REVEALING</x:v>
      </x:c>
      <x:c r="Q2544" s="34" t="str">
        <x:v>Feedback-Directed Random Test Generation/Result/Time_7/result.json</x:v>
      </x:c>
    </x:row>
    <x:row r="2545">
      <x:c r="A2545" s="34" t="str">
        <x:v>randoop</x:v>
      </x:c>
      <x:c r="B2545" s="34" t="str">
        <x:v>Time</x:v>
      </x:c>
      <x:c r="C2545" s="34" t="str">
        <x:v>Round1</x:v>
      </x:c>
      <x:c r="D2545" s="34" t="str">
        <x:v>Time_8</x:v>
      </x:c>
      <x:c r="E2545" s="34" t="str">
        <x:v>Line</x:v>
      </x:c>
      <x:c r="F2545" s="34" t="n">
        <x:v>355</x:v>
      </x:c>
      <x:c r="G2545" s="34" t="str">
        <x:v>RECORDED</x:v>
      </x:c>
      <x:c r="H2545" s="38" t="n">
        <x:f>IF(ISNUMBER('Data'!H837),'Data'!H837*100,"")</x:f>
        <x:v>69.86</x:v>
      </x:c>
      <x:c r="I2545" s="34" t="str">
        <x:v>PASS</x:v>
      </x:c>
      <x:c r="J2545" s="34" t="str">
        <x:v>PASS</x:v>
      </x:c>
      <x:c r="K2545" s="34" t="str">
        <x:v>PASS</x:v>
      </x:c>
      <x:c r="L2545" s="34" t="str">
        <x:v>FAIL</x:v>
      </x:c>
      <x:c r="M2545" s="34" t="str">
        <x:v>numeric coverage for applicable metric</x:v>
      </x:c>
      <x:c r="N2545" s="34" t="str">
        <x:v>Feedback-Directed Random Test Generation/Result/Time_8/result.json</x:v>
      </x:c>
      <x:c r="O2545" s="38" t="n">
        <x:f>IF(AND(G2545="RECORDED",ISNUMBER(H2545)),H2545,"")</x:f>
        <x:v>69.86</x:v>
      </x:c>
      <x:c r="P2545" s="34" t="str">
        <x:v>INCONCLUSIVE</x:v>
      </x:c>
      <x:c r="Q2545" s="34" t="str">
        <x:v>Feedback-Directed Random Test Generation/Result/Time_8/result.json</x:v>
      </x:c>
    </x:row>
    <x:row r="2546">
      <x:c r="A2546" s="34" t="str">
        <x:v>randoop</x:v>
      </x:c>
      <x:c r="B2546" s="34" t="str">
        <x:v>Time</x:v>
      </x:c>
      <x:c r="C2546" s="34" t="str">
        <x:v>Round1</x:v>
      </x:c>
      <x:c r="D2546" s="34" t="str">
        <x:v>Time_9</x:v>
      </x:c>
      <x:c r="E2546" s="34" t="str">
        <x:v>Line</x:v>
      </x:c>
      <x:c r="F2546" s="34" t="n">
        <x:v>351</x:v>
      </x:c>
      <x:c r="G2546" s="34" t="str">
        <x:v>RECORDED</x:v>
      </x:c>
      <x:c r="H2546" s="38" t="n">
        <x:f>IF(ISNUMBER('Data'!H838),'Data'!H838*100,"")</x:f>
        <x:v>50.71</x:v>
      </x:c>
      <x:c r="I2546" s="34" t="str">
        <x:v>PASS</x:v>
      </x:c>
      <x:c r="J2546" s="34" t="str">
        <x:v>PASS</x:v>
      </x:c>
      <x:c r="K2546" s="34" t="str">
        <x:v>PASS</x:v>
      </x:c>
      <x:c r="L2546" s="34" t="str">
        <x:v>PASS</x:v>
      </x:c>
      <x:c r="M2546" s="34" t="str">
        <x:v>numeric coverage for applicable metric</x:v>
      </x:c>
      <x:c r="N2546" s="34" t="str">
        <x:v>Feedback-Directed Random Test Generation/Result/Time_9/result.json</x:v>
      </x:c>
      <x:c r="O2546" s="38" t="n">
        <x:f>IF(AND(G2546="RECORDED",ISNUMBER(H2546)),H2546,"")</x:f>
        <x:v>50.71</x:v>
      </x:c>
      <x:c r="P2546" s="34" t="str">
        <x:v>INCONCLUSIVE</x:v>
      </x:c>
      <x:c r="Q2546" s="34" t="str">
        <x:v>Feedback-Directed Random Test Generation/Result/Time_9/result.json</x:v>
      </x:c>
    </x:row>
    <x:row r="2547">
      <x:c r="A2547" s="34" t="str">
        <x:v>randoop</x:v>
      </x:c>
      <x:c r="B2547" s="34" t="str">
        <x:v>Time</x:v>
      </x:c>
      <x:c r="C2547" s="34" t="str">
        <x:v>Round1</x:v>
      </x:c>
      <x:c r="D2547" s="34" t="str">
        <x:v>Time_10</x:v>
      </x:c>
      <x:c r="E2547" s="34" t="str">
        <x:v>Line</x:v>
      </x:c>
      <x:c r="F2547" s="34" t="n">
        <x:v>71</x:v>
      </x:c>
      <x:c r="G2547" s="34" t="str">
        <x:v>RECORDED</x:v>
      </x:c>
      <x:c r="H2547" s="38" t="n">
        <x:f>IF(ISNUMBER('Data'!H839),'Data'!H839*100,"")</x:f>
        <x:v>8.45</x:v>
      </x:c>
      <x:c r="I2547" s="34" t="str">
        <x:v>PASS</x:v>
      </x:c>
      <x:c r="J2547" s="34" t="str">
        <x:v>PASS</x:v>
      </x:c>
      <x:c r="K2547" s="34" t="str">
        <x:v>PASS</x:v>
      </x:c>
      <x:c r="L2547" s="34" t="str">
        <x:v>PASS</x:v>
      </x:c>
      <x:c r="M2547" s="34" t="str">
        <x:v>numeric coverage for applicable metric</x:v>
      </x:c>
      <x:c r="N2547" s="34" t="str">
        <x:v>Feedback-Directed Random Test Generation/Result/Time_10/result.json</x:v>
      </x:c>
      <x:c r="O2547" s="38" t="n">
        <x:f>IF(AND(G2547="RECORDED",ISNUMBER(H2547)),H2547,"")</x:f>
        <x:v>8.45</x:v>
      </x:c>
      <x:c r="P2547" s="34" t="str">
        <x:v>NOT_REVEALING</x:v>
      </x:c>
      <x:c r="Q2547" s="34" t="str">
        <x:v>Feedback-Directed Random Test Generation/Result/Time_10/result.json</x:v>
      </x:c>
    </x:row>
    <x:row r="2548">
      <x:c r="A2548" s="34" t="str">
        <x:v>randoop</x:v>
      </x:c>
      <x:c r="B2548" s="34" t="str">
        <x:v>Time</x:v>
      </x:c>
      <x:c r="C2548" s="34" t="str">
        <x:v>Round1</x:v>
      </x:c>
      <x:c r="D2548" s="34" t="str">
        <x:v>Time_11</x:v>
      </x:c>
      <x:c r="E2548" s="34" t="str">
        <x:v>Line</x:v>
      </x:c>
      <x:c r="F2548" s="34" t="n">
        <x:v>393</x:v>
      </x:c>
      <x:c r="G2548" s="34" t="str">
        <x:v>RECORDED</x:v>
      </x:c>
      <x:c r="H2548" s="38" t="n">
        <x:f>IF(ISNUMBER('Data'!H840),'Data'!H840*100,"")</x:f>
        <x:v>18.07</x:v>
      </x:c>
      <x:c r="I2548" s="34" t="str">
        <x:v>PASS</x:v>
      </x:c>
      <x:c r="J2548" s="34" t="str">
        <x:v>PASS</x:v>
      </x:c>
      <x:c r="K2548" s="34" t="str">
        <x:v>PASS</x:v>
      </x:c>
      <x:c r="L2548" s="34" t="str">
        <x:v>PASS</x:v>
      </x:c>
      <x:c r="M2548" s="34" t="str">
        <x:v>numeric coverage for applicable metric</x:v>
      </x:c>
      <x:c r="N2548" s="34" t="str">
        <x:v>Feedback-Directed Random Test Generation/Result/Time_11/result.json</x:v>
      </x:c>
      <x:c r="O2548" s="38" t="n">
        <x:f>IF(AND(G2548="RECORDED",ISNUMBER(H2548)),H2548,"")</x:f>
        <x:v>18.07</x:v>
      </x:c>
      <x:c r="P2548" s="34" t="str">
        <x:v>NOT_REVEALING</x:v>
      </x:c>
      <x:c r="Q2548" s="34" t="str">
        <x:v>Feedback-Directed Random Test Generation/Result/Time_11/result.json</x:v>
      </x:c>
    </x:row>
    <x:row r="2549">
      <x:c r="A2549" s="34" t="str">
        <x:v>randoop</x:v>
      </x:c>
      <x:c r="B2549" s="34" t="str">
        <x:v>Time</x:v>
      </x:c>
      <x:c r="C2549" s="34" t="str">
        <x:v>Round1</x:v>
      </x:c>
      <x:c r="D2549" s="34" t="str">
        <x:v>Time_12</x:v>
      </x:c>
      <x:c r="E2549" s="34" t="str">
        <x:v>Line</x:v>
      </x:c>
      <x:c r="F2549" s="34" t="n">
        <x:v>664</x:v>
      </x:c>
      <x:c r="G2549" s="34" t="str">
        <x:v>RECORDED</x:v>
      </x:c>
      <x:c r="H2549" s="38" t="n">
        <x:f>IF(ISNUMBER('Data'!H841),'Data'!H841*100,"")</x:f>
        <x:v>27.11</x:v>
      </x:c>
      <x:c r="I2549" s="34" t="str">
        <x:v>PASS</x:v>
      </x:c>
      <x:c r="J2549" s="34" t="str">
        <x:v>PASS</x:v>
      </x:c>
      <x:c r="K2549" s="34" t="str">
        <x:v>PASS</x:v>
      </x:c>
      <x:c r="L2549" s="34" t="str">
        <x:v>FAIL</x:v>
      </x:c>
      <x:c r="M2549" s="34" t="str">
        <x:v>numeric coverage for applicable metric</x:v>
      </x:c>
      <x:c r="N2549" s="34" t="str">
        <x:v>Feedback-Directed Random Test Generation/Result/Time_12/result.json</x:v>
      </x:c>
      <x:c r="O2549" s="38" t="n">
        <x:f>IF(AND(G2549="RECORDED",ISNUMBER(H2549)),H2549,"")</x:f>
        <x:v>27.11</x:v>
      </x:c>
      <x:c r="P2549" s="34" t="str">
        <x:v>INCONCLUSIVE</x:v>
      </x:c>
      <x:c r="Q2549" s="34" t="str">
        <x:v>Feedback-Directed Random Test Generation/Result/Time_12/result.json</x:v>
      </x:c>
    </x:row>
    <x:row r="2550">
      <x:c r="A2550" s="34" t="str">
        <x:v>randoop</x:v>
      </x:c>
      <x:c r="B2550" s="34" t="str">
        <x:v>Time</x:v>
      </x:c>
      <x:c r="C2550" s="34" t="str">
        <x:v>Round1</x:v>
      </x:c>
      <x:c r="D2550" s="34" t="str">
        <x:v>Time_13</x:v>
      </x:c>
      <x:c r="E2550" s="34" t="str">
        <x:v>Line</x:v>
      </x:c>
      <x:c r="F2550" s="34" t="n">
        <x:v>672</x:v>
      </x:c>
      <x:c r="G2550" s="34" t="str">
        <x:v>RECORDED</x:v>
      </x:c>
      <x:c r="H2550" s="38" t="n">
        <x:f>IF(ISNUMBER('Data'!H842),'Data'!H842*100,"")</x:f>
        <x:v>38.84</x:v>
      </x:c>
      <x:c r="I2550" s="34" t="str">
        <x:v>PASS</x:v>
      </x:c>
      <x:c r="J2550" s="34" t="str">
        <x:v>PASS</x:v>
      </x:c>
      <x:c r="K2550" s="34" t="str">
        <x:v>PASS</x:v>
      </x:c>
      <x:c r="L2550" s="34" t="str">
        <x:v>PASS</x:v>
      </x:c>
      <x:c r="M2550" s="34" t="str">
        <x:v>numeric coverage for applicable metric</x:v>
      </x:c>
      <x:c r="N2550" s="34" t="str">
        <x:v>Feedback-Directed Random Test Generation/Result/Time_13/result.json</x:v>
      </x:c>
      <x:c r="O2550" s="38" t="n">
        <x:f>IF(AND(G2550="RECORDED",ISNUMBER(H2550)),H2550,"")</x:f>
        <x:v>38.84</x:v>
      </x:c>
      <x:c r="P2550" s="34" t="str">
        <x:v>NOT_REVEALING</x:v>
      </x:c>
      <x:c r="Q2550" s="34" t="str">
        <x:v>Feedback-Directed Random Test Generation/Result/Time_13/result.json</x:v>
      </x:c>
    </x:row>
    <x:row r="2551">
      <x:c r="A2551" s="34" t="str">
        <x:v>randoop</x:v>
      </x:c>
      <x:c r="B2551" s="34" t="str">
        <x:v>Time</x:v>
      </x:c>
      <x:c r="C2551" s="34" t="str">
        <x:v>Round1</x:v>
      </x:c>
      <x:c r="D2551" s="34" t="str">
        <x:v>Time_14</x:v>
      </x:c>
      <x:c r="E2551" s="34" t="str">
        <x:v>Line</x:v>
      </x:c>
      <x:c r="F2551" s="34" t="n">
        <x:v>114</x:v>
      </x:c>
      <x:c r="G2551" s="34" t="str">
        <x:v>RECORDED</x:v>
      </x:c>
      <x:c r="H2551" s="38" t="n">
        <x:f>IF(ISNUMBER('Data'!H843),'Data'!H843*100,"")</x:f>
        <x:v>0.88</x:v>
      </x:c>
      <x:c r="I2551" s="34" t="str">
        <x:v>PASS</x:v>
      </x:c>
      <x:c r="J2551" s="34" t="str">
        <x:v>PASS</x:v>
      </x:c>
      <x:c r="K2551" s="34" t="str">
        <x:v>PASS</x:v>
      </x:c>
      <x:c r="L2551" s="34" t="str">
        <x:v>PASS</x:v>
      </x:c>
      <x:c r="M2551" s="34" t="str">
        <x:v>numeric coverage for applicable metric</x:v>
      </x:c>
      <x:c r="N2551" s="34" t="str">
        <x:v>Feedback-Directed Random Test Generation/Result/Time_14/result.json</x:v>
      </x:c>
      <x:c r="O2551" s="38" t="n">
        <x:f>IF(AND(G2551="RECORDED",ISNUMBER(H2551)),H2551,"")</x:f>
        <x:v>0.88</x:v>
      </x:c>
      <x:c r="P2551" s="34" t="str">
        <x:v>NOT_REVEALING</x:v>
      </x:c>
      <x:c r="Q2551" s="34" t="str">
        <x:v>Feedback-Directed Random Test Generation/Result/Time_14/result.json</x:v>
      </x:c>
    </x:row>
    <x:row r="2552">
      <x:c r="A2552" s="34" t="str">
        <x:v>randoop</x:v>
      </x:c>
      <x:c r="B2552" s="34" t="str">
        <x:v>Time</x:v>
      </x:c>
      <x:c r="C2552" s="34" t="str">
        <x:v>Round1</x:v>
      </x:c>
      <x:c r="D2552" s="34" t="str">
        <x:v>Time_15</x:v>
      </x:c>
      <x:c r="E2552" s="34" t="str">
        <x:v>Line</x:v>
      </x:c>
      <x:c r="F2552" s="34" t="n">
        <x:v>75</x:v>
      </x:c>
      <x:c r="G2552" s="34" t="str">
        <x:v>RECORDED</x:v>
      </x:c>
      <x:c r="H2552" s="38" t="n">
        <x:f>IF(ISNUMBER('Data'!H844),'Data'!H844*100,"")</x:f>
        <x:v>76</x:v>
      </x:c>
      <x:c r="I2552" s="34" t="str">
        <x:v>PASS</x:v>
      </x:c>
      <x:c r="J2552" s="34" t="str">
        <x:v>PASS</x:v>
      </x:c>
      <x:c r="K2552" s="34" t="str">
        <x:v>PASS</x:v>
      </x:c>
      <x:c r="L2552" s="34" t="str">
        <x:v>PASS</x:v>
      </x:c>
      <x:c r="M2552" s="34" t="str">
        <x:v>numeric coverage for applicable metric</x:v>
      </x:c>
      <x:c r="N2552" s="34" t="str">
        <x:v>Feedback-Directed Random Test Generation/Result/Time_15/result.json</x:v>
      </x:c>
      <x:c r="O2552" s="38" t="n">
        <x:f>IF(AND(G2552="RECORDED",ISNUMBER(H2552)),H2552,"")</x:f>
        <x:v>76</x:v>
      </x:c>
      <x:c r="P2552" s="34" t="str">
        <x:v>NOT_REVEALING</x:v>
      </x:c>
      <x:c r="Q2552" s="34" t="str">
        <x:v>Feedback-Directed Random Test Generation/Result/Time_15/result.json</x:v>
      </x:c>
    </x:row>
    <x:row r="2553">
      <x:c r="A2553" s="34" t="str">
        <x:v>randoop</x:v>
      </x:c>
      <x:c r="B2553" s="34" t="str">
        <x:v>Time</x:v>
      </x:c>
      <x:c r="C2553" s="34" t="str">
        <x:v>Round1</x:v>
      </x:c>
      <x:c r="D2553" s="34" t="str">
        <x:v>Time_16</x:v>
      </x:c>
      <x:c r="E2553" s="34" t="str">
        <x:v>Line</x:v>
      </x:c>
      <x:c r="F2553" s="34" t="n">
        <x:v>207</x:v>
      </x:c>
      <x:c r="G2553" s="34" t="str">
        <x:v>RECORDED</x:v>
      </x:c>
      <x:c r="H2553" s="38" t="n">
        <x:f>IF(ISNUMBER('Data'!H845),'Data'!H845*100,"")</x:f>
        <x:v>32.37</x:v>
      </x:c>
      <x:c r="I2553" s="34" t="str">
        <x:v>PASS</x:v>
      </x:c>
      <x:c r="J2553" s="34" t="str">
        <x:v>PASS</x:v>
      </x:c>
      <x:c r="K2553" s="34" t="str">
        <x:v>PASS</x:v>
      </x:c>
      <x:c r="L2553" s="34" t="str">
        <x:v>PASS</x:v>
      </x:c>
      <x:c r="M2553" s="34" t="str">
        <x:v>numeric coverage for applicable metric</x:v>
      </x:c>
      <x:c r="N2553" s="34" t="str">
        <x:v>Feedback-Directed Random Test Generation/Result/Time_16/result.json</x:v>
      </x:c>
      <x:c r="O2553" s="38" t="n">
        <x:f>IF(AND(G2553="RECORDED",ISNUMBER(H2553)),H2553,"")</x:f>
        <x:v>32.37</x:v>
      </x:c>
      <x:c r="P2553" s="34" t="str">
        <x:v>NOT_REVEALING</x:v>
      </x:c>
      <x:c r="Q2553" s="34" t="str">
        <x:v>Feedback-Directed Random Test Generation/Result/Time_16/result.json</x:v>
      </x:c>
    </x:row>
    <x:row r="2554">
      <x:c r="A2554" s="34" t="str">
        <x:v>randoop</x:v>
      </x:c>
      <x:c r="B2554" s="34" t="str">
        <x:v>Time</x:v>
      </x:c>
      <x:c r="C2554" s="34" t="str">
        <x:v>Round1</x:v>
      </x:c>
      <x:c r="D2554" s="34" t="str">
        <x:v>Time_17</x:v>
      </x:c>
      <x:c r="E2554" s="34" t="str">
        <x:v>Line</x:v>
      </x:c>
      <x:c r="F2554" s="34" t="n">
        <x:v>343</x:v>
      </x:c>
      <x:c r="G2554" s="34" t="str">
        <x:v>RECORDED</x:v>
      </x:c>
      <x:c r="H2554" s="38" t="n">
        <x:f>IF(ISNUMBER('Data'!H846),'Data'!H846*100,"")</x:f>
        <x:v>49.56</x:v>
      </x:c>
      <x:c r="I2554" s="34" t="str">
        <x:v>PASS</x:v>
      </x:c>
      <x:c r="J2554" s="34" t="str">
        <x:v>PASS</x:v>
      </x:c>
      <x:c r="K2554" s="34" t="str">
        <x:v>PASS</x:v>
      </x:c>
      <x:c r="L2554" s="34" t="str">
        <x:v>PASS</x:v>
      </x:c>
      <x:c r="M2554" s="34" t="str">
        <x:v>numeric coverage for applicable metric</x:v>
      </x:c>
      <x:c r="N2554" s="34" t="str">
        <x:v>Feedback-Directed Random Test Generation/Result/Time_17/result.json</x:v>
      </x:c>
      <x:c r="O2554" s="38" t="n">
        <x:f>IF(AND(G2554="RECORDED",ISNUMBER(H2554)),H2554,"")</x:f>
        <x:v>49.56</x:v>
      </x:c>
      <x:c r="P2554" s="34" t="str">
        <x:v>NOT_REVEALING</x:v>
      </x:c>
      <x:c r="Q2554" s="34" t="str">
        <x:v>Feedback-Directed Random Test Generation/Result/Time_17/result.json</x:v>
      </x:c>
    </x:row>
    <x:row r="2555">
      <x:c r="A2555" s="34" t="str">
        <x:v>randoop</x:v>
      </x:c>
      <x:c r="B2555" s="34" t="str">
        <x:v>Time</x:v>
      </x:c>
      <x:c r="C2555" s="34" t="str">
        <x:v>Round1</x:v>
      </x:c>
      <x:c r="D2555" s="34" t="str">
        <x:v>Time_18</x:v>
      </x:c>
      <x:c r="E2555" s="34" t="str">
        <x:v>Line</x:v>
      </x:c>
      <x:c r="F2555" s="34" t="n">
        <x:v>344</x:v>
      </x:c>
      <x:c r="G2555" s="34" t="str">
        <x:v>RECORDED</x:v>
      </x:c>
      <x:c r="H2555" s="38" t="n">
        <x:f>IF(ISNUMBER('Data'!H847),'Data'!H847*100,"")</x:f>
        <x:v>45.64</x:v>
      </x:c>
      <x:c r="I2555" s="34" t="str">
        <x:v>PASS</x:v>
      </x:c>
      <x:c r="J2555" s="34" t="str">
        <x:v>PASS</x:v>
      </x:c>
      <x:c r="K2555" s="34" t="str">
        <x:v>PASS</x:v>
      </x:c>
      <x:c r="L2555" s="34" t="str">
        <x:v>PASS</x:v>
      </x:c>
      <x:c r="M2555" s="34" t="str">
        <x:v>numeric coverage for applicable metric</x:v>
      </x:c>
      <x:c r="N2555" s="34" t="str">
        <x:v>Feedback-Directed Random Test Generation/Result/Time_18/result.json</x:v>
      </x:c>
      <x:c r="O2555" s="38" t="n">
        <x:f>IF(AND(G2555="RECORDED",ISNUMBER(H2555)),H2555,"")</x:f>
        <x:v>45.64</x:v>
      </x:c>
      <x:c r="P2555" s="34" t="str">
        <x:v>NOT_REVEALING</x:v>
      </x:c>
      <x:c r="Q2555" s="34" t="str">
        <x:v>Feedback-Directed Random Test Generation/Result/Time_18/result.json</x:v>
      </x:c>
    </x:row>
    <x:row r="2556">
      <x:c r="A2556" s="34" t="str">
        <x:v>randoop</x:v>
      </x:c>
      <x:c r="B2556" s="34" t="str">
        <x:v>Time</x:v>
      </x:c>
      <x:c r="C2556" s="34" t="str">
        <x:v>Round1</x:v>
      </x:c>
      <x:c r="D2556" s="34" t="str">
        <x:v>Time_19</x:v>
      </x:c>
      <x:c r="E2556" s="34" t="str">
        <x:v>Line</x:v>
      </x:c>
      <x:c r="F2556" s="34" t="n">
        <x:v>343</x:v>
      </x:c>
      <x:c r="G2556" s="34" t="str">
        <x:v>RECORDED</x:v>
      </x:c>
      <x:c r="H2556" s="38" t="n">
        <x:f>IF(ISNUMBER('Data'!H848),'Data'!H848*100,"")</x:f>
        <x:v>51.31</x:v>
      </x:c>
      <x:c r="I2556" s="34" t="str">
        <x:v>PASS</x:v>
      </x:c>
      <x:c r="J2556" s="34" t="str">
        <x:v>PASS</x:v>
      </x:c>
      <x:c r="K2556" s="34" t="str">
        <x:v>PASS</x:v>
      </x:c>
      <x:c r="L2556" s="34" t="str">
        <x:v>PASS</x:v>
      </x:c>
      <x:c r="M2556" s="34" t="str">
        <x:v>numeric coverage for applicable metric</x:v>
      </x:c>
      <x:c r="N2556" s="34" t="str">
        <x:v>Feedback-Directed Random Test Generation/Result/Time_19/result.json</x:v>
      </x:c>
      <x:c r="O2556" s="38" t="n">
        <x:f>IF(AND(G2556="RECORDED",ISNUMBER(H2556)),H2556,"")</x:f>
        <x:v>51.31</x:v>
      </x:c>
      <x:c r="P2556" s="34" t="str">
        <x:v>NOT_REVEALING</x:v>
      </x:c>
      <x:c r="Q2556" s="34" t="str">
        <x:v>Feedback-Directed Random Test Generation/Result/Time_19/result.json</x:v>
      </x:c>
    </x:row>
    <x:row r="2557">
      <x:c r="A2557" s="34" t="str">
        <x:v>randoop</x:v>
      </x:c>
      <x:c r="B2557" s="34" t="str">
        <x:v>Time</x:v>
      </x:c>
      <x:c r="C2557" s="34" t="str">
        <x:v>Round1</x:v>
      </x:c>
      <x:c r="D2557" s="34" t="str">
        <x:v>Time_20</x:v>
      </x:c>
      <x:c r="E2557" s="34" t="str">
        <x:v>Line</x:v>
      </x:c>
      <x:c r="F2557" s="34" t="n">
        <x:v>1033</x:v>
      </x:c>
      <x:c r="G2557" s="34" t="str">
        <x:v>RECORDED</x:v>
      </x:c>
      <x:c r="H2557" s="38" t="n">
        <x:f>IF(ISNUMBER('Data'!H849),'Data'!H849*100,"")</x:f>
        <x:v>14.330000000000002</x:v>
      </x:c>
      <x:c r="I2557" s="34" t="str">
        <x:v>PASS</x:v>
      </x:c>
      <x:c r="J2557" s="34" t="str">
        <x:v>PASS</x:v>
      </x:c>
      <x:c r="K2557" s="34" t="str">
        <x:v>PASS</x:v>
      </x:c>
      <x:c r="L2557" s="34" t="str">
        <x:v>PASS</x:v>
      </x:c>
      <x:c r="M2557" s="34" t="str">
        <x:v>numeric coverage for applicable metric</x:v>
      </x:c>
      <x:c r="N2557" s="34" t="str">
        <x:v>Feedback-Directed Random Test Generation/Result/Time_20/result.json</x:v>
      </x:c>
      <x:c r="O2557" s="38" t="n">
        <x:f>IF(AND(G2557="RECORDED",ISNUMBER(H2557)),H2557,"")</x:f>
        <x:v>14.330000000000002</x:v>
      </x:c>
      <x:c r="P2557" s="34" t="str">
        <x:v>NOT_REVEALING</x:v>
      </x:c>
      <x:c r="Q2557" s="34" t="str">
        <x:v>Feedback-Directed Random Test Generation/Result/Time_20/result.json</x:v>
      </x:c>
    </x:row>
    <x:row r="2558">
      <x:c r="A2558" s="34" t="str">
        <x:v>randoop</x:v>
      </x:c>
      <x:c r="B2558" s="34" t="str">
        <x:v>Time</x:v>
      </x:c>
      <x:c r="C2558" s="34" t="str">
        <x:v>Round1</x:v>
      </x:c>
      <x:c r="D2558" s="34" t="str">
        <x:v>Time_22</x:v>
      </x:c>
      <x:c r="E2558" s="34" t="str">
        <x:v>Line</x:v>
      </x:c>
      <x:c r="F2558" s="34" t="n">
        <x:v>171</x:v>
      </x:c>
      <x:c r="G2558" s="34" t="str">
        <x:v>RECORDED</x:v>
      </x:c>
      <x:c r="H2558" s="38" t="n">
        <x:f>IF(ISNUMBER('Data'!H850),'Data'!H850*100,"")</x:f>
        <x:v>0</x:v>
      </x:c>
      <x:c r="I2558" s="34" t="str">
        <x:v>PASS</x:v>
      </x:c>
      <x:c r="J2558" s="34" t="str">
        <x:v>PASS</x:v>
      </x:c>
      <x:c r="K2558" s="34" t="str">
        <x:v>PASS</x:v>
      </x:c>
      <x:c r="L2558" s="34" t="str">
        <x:v>PASS</x:v>
      </x:c>
      <x:c r="M2558" s="34" t="str">
        <x:v>numeric coverage for applicable metric</x:v>
      </x:c>
      <x:c r="N2558" s="34" t="str">
        <x:v>Feedback-Directed Random Test Generation/Result/Time_22/result.json</x:v>
      </x:c>
      <x:c r="O2558" s="38" t="n">
        <x:f>IF(AND(G2558="RECORDED",ISNUMBER(H2558)),H2558,"")</x:f>
        <x:v>0</x:v>
      </x:c>
      <x:c r="P2558" s="34" t="str">
        <x:v>NOT_REVEALING</x:v>
      </x:c>
      <x:c r="Q2558" s="34" t="str">
        <x:v>Feedback-Directed Random Test Generation/Result/Time_22/result.json</x:v>
      </x:c>
    </x:row>
    <x:row r="2559">
      <x:c r="A2559" s="34" t="str">
        <x:v>randoop</x:v>
      </x:c>
      <x:c r="B2559" s="34" t="str">
        <x:v>Time</x:v>
      </x:c>
      <x:c r="C2559" s="34" t="str">
        <x:v>Round1</x:v>
      </x:c>
      <x:c r="D2559" s="34" t="str">
        <x:v>Time_23</x:v>
      </x:c>
      <x:c r="E2559" s="34" t="str">
        <x:v>Line</x:v>
      </x:c>
      <x:c r="F2559" s="34" t="n">
        <x:v>342</x:v>
      </x:c>
      <x:c r="G2559" s="34" t="str">
        <x:v>RECORDED</x:v>
      </x:c>
      <x:c r="H2559" s="38" t="n">
        <x:f>IF(ISNUMBER('Data'!H851),'Data'!H851*100,"")</x:f>
        <x:v>51.46000000000001</x:v>
      </x:c>
      <x:c r="I2559" s="34" t="str">
        <x:v>PASS</x:v>
      </x:c>
      <x:c r="J2559" s="34" t="str">
        <x:v>PASS</x:v>
      </x:c>
      <x:c r="K2559" s="34" t="str">
        <x:v>PASS</x:v>
      </x:c>
      <x:c r="L2559" s="34" t="str">
        <x:v>PASS</x:v>
      </x:c>
      <x:c r="M2559" s="34" t="str">
        <x:v>numeric coverage for applicable metric</x:v>
      </x:c>
      <x:c r="N2559" s="34" t="str">
        <x:v>Feedback-Directed Random Test Generation/Result/Time_23/result.json</x:v>
      </x:c>
      <x:c r="O2559" s="38" t="n">
        <x:f>IF(AND(G2559="RECORDED",ISNUMBER(H2559)),H2559,"")</x:f>
        <x:v>51.46000000000001</x:v>
      </x:c>
      <x:c r="P2559" s="34" t="str">
        <x:v>NOT_REVEALING</x:v>
      </x:c>
      <x:c r="Q2559" s="34" t="str">
        <x:v>Feedback-Directed Random Test Generation/Result/Time_23/result.json</x:v>
      </x:c>
    </x:row>
    <x:row r="2560">
      <x:c r="A2560" s="34" t="str">
        <x:v>randoop</x:v>
      </x:c>
      <x:c r="B2560" s="34" t="str">
        <x:v>Time</x:v>
      </x:c>
      <x:c r="C2560" s="34" t="str">
        <x:v>Round1</x:v>
      </x:c>
      <x:c r="D2560" s="34" t="str">
        <x:v>Time_24</x:v>
      </x:c>
      <x:c r="E2560" s="34" t="str">
        <x:v>Line</x:v>
      </x:c>
      <x:c r="F2560" s="34" t="n">
        <x:v>144</x:v>
      </x:c>
      <x:c r="G2560" s="34" t="str">
        <x:v>RECORDED</x:v>
      </x:c>
      <x:c r="H2560" s="38" t="n">
        <x:f>IF(ISNUMBER('Data'!H852),'Data'!H852*100,"")</x:f>
        <x:v>56.940000000000005</x:v>
      </x:c>
      <x:c r="I2560" s="34" t="str">
        <x:v>PASS</x:v>
      </x:c>
      <x:c r="J2560" s="34" t="str">
        <x:v>PASS</x:v>
      </x:c>
      <x:c r="K2560" s="34" t="str">
        <x:v>PASS</x:v>
      </x:c>
      <x:c r="L2560" s="34" t="str">
        <x:v>FAIL</x:v>
      </x:c>
      <x:c r="M2560" s="34" t="str">
        <x:v>numeric coverage for applicable metric</x:v>
      </x:c>
      <x:c r="N2560" s="34" t="str">
        <x:v>Feedback-Directed Random Test Generation/Result/Time_24/result.json</x:v>
      </x:c>
      <x:c r="O2560" s="38" t="n">
        <x:f>IF(AND(G2560="RECORDED",ISNUMBER(H2560)),H2560,"")</x:f>
        <x:v>56.940000000000005</x:v>
      </x:c>
      <x:c r="P2560" s="34" t="str">
        <x:v>INCONCLUSIVE</x:v>
      </x:c>
      <x:c r="Q2560" s="34" t="str">
        <x:v>Feedback-Directed Random Test Generation/Result/Time_24/result.json</x:v>
      </x:c>
    </x:row>
    <x:row r="2561">
      <x:c r="A2561" s="34" t="str">
        <x:v>randoop</x:v>
      </x:c>
      <x:c r="B2561" s="34" t="str">
        <x:v>Time</x:v>
      </x:c>
      <x:c r="C2561" s="34" t="str">
        <x:v>Round1</x:v>
      </x:c>
      <x:c r="D2561" s="34" t="str">
        <x:v>Time_25</x:v>
      </x:c>
      <x:c r="E2561" s="34" t="str">
        <x:v>Line</x:v>
      </x:c>
      <x:c r="F2561" s="34" t="n">
        <x:v>328</x:v>
      </x:c>
      <x:c r="G2561" s="34" t="str">
        <x:v>RECORDED</x:v>
      </x:c>
      <x:c r="H2561" s="38" t="n">
        <x:f>IF(ISNUMBER('Data'!H853),'Data'!H853*100,"")</x:f>
        <x:v>70.73</x:v>
      </x:c>
      <x:c r="I2561" s="34" t="str">
        <x:v>PASS</x:v>
      </x:c>
      <x:c r="J2561" s="34" t="str">
        <x:v>PASS</x:v>
      </x:c>
      <x:c r="K2561" s="34" t="str">
        <x:v>PASS</x:v>
      </x:c>
      <x:c r="L2561" s="34" t="str">
        <x:v>FAIL</x:v>
      </x:c>
      <x:c r="M2561" s="34" t="str">
        <x:v>numeric coverage for applicable metric</x:v>
      </x:c>
      <x:c r="N2561" s="34" t="str">
        <x:v>Feedback-Directed Random Test Generation/Result/Time_25/result.json</x:v>
      </x:c>
      <x:c r="O2561" s="38" t="n">
        <x:f>IF(AND(G2561="RECORDED",ISNUMBER(H2561)),H2561,"")</x:f>
        <x:v>70.73</x:v>
      </x:c>
      <x:c r="P2561" s="34" t="str">
        <x:v>INCONCLUSIVE</x:v>
      </x:c>
      <x:c r="Q2561" s="34" t="str">
        <x:v>Feedback-Directed Random Test Generation/Result/Time_25/result.json</x:v>
      </x:c>
    </x:row>
    <x:row r="2562">
      <x:c r="A2562" s="34" t="str">
        <x:v>randoop</x:v>
      </x:c>
      <x:c r="B2562" s="34" t="str">
        <x:v>Time</x:v>
      </x:c>
      <x:c r="C2562" s="34" t="str">
        <x:v>Round1</x:v>
      </x:c>
      <x:c r="D2562" s="34" t="str">
        <x:v>Time_26</x:v>
      </x:c>
      <x:c r="E2562" s="34" t="str">
        <x:v>Line</x:v>
      </x:c>
      <x:c r="F2562" s="34" t="n">
        <x:v>567</x:v>
      </x:c>
      <x:c r="G2562" s="34" t="str">
        <x:v>RECORDED</x:v>
      </x:c>
      <x:c r="H2562" s="38" t="n">
        <x:f>IF(ISNUMBER('Data'!H854),'Data'!H854*100,"")</x:f>
        <x:v>43.39</x:v>
      </x:c>
      <x:c r="I2562" s="34" t="str">
        <x:v>PASS</x:v>
      </x:c>
      <x:c r="J2562" s="34" t="str">
        <x:v>PASS</x:v>
      </x:c>
      <x:c r="K2562" s="34" t="str">
        <x:v>PASS</x:v>
      </x:c>
      <x:c r="L2562" s="34" t="str">
        <x:v>FAIL</x:v>
      </x:c>
      <x:c r="M2562" s="34" t="str">
        <x:v>numeric coverage for applicable metric</x:v>
      </x:c>
      <x:c r="N2562" s="34" t="str">
        <x:v>Feedback-Directed Random Test Generation/Result/Time_26/result.json</x:v>
      </x:c>
      <x:c r="O2562" s="38" t="n">
        <x:f>IF(AND(G2562="RECORDED",ISNUMBER(H2562)),H2562,"")</x:f>
        <x:v>43.39</x:v>
      </x:c>
      <x:c r="P2562" s="34" t="str">
        <x:v>INCONCLUSIVE</x:v>
      </x:c>
      <x:c r="Q2562" s="34" t="str">
        <x:v>Feedback-Directed Random Test Generation/Result/Time_26/result.json</x:v>
      </x:c>
    </x:row>
    <x:row r="2563">
      <x:c r="A2563" s="34" t="str">
        <x:v>randoop</x:v>
      </x:c>
      <x:c r="B2563" s="34" t="str">
        <x:v>Time</x:v>
      </x:c>
      <x:c r="C2563" s="34" t="str">
        <x:v>Round1</x:v>
      </x:c>
      <x:c r="D2563" s="34" t="str">
        <x:v>Time_27</x:v>
      </x:c>
      <x:c r="E2563" s="34" t="str">
        <x:v>Line</x:v>
      </x:c>
      <x:c r="F2563" s="34" t="n">
        <x:v>670</x:v>
      </x:c>
      <x:c r="G2563" s="34" t="str">
        <x:v>RECORDED</x:v>
      </x:c>
      <x:c r="H2563" s="38" t="n">
        <x:f>IF(ISNUMBER('Data'!H855),'Data'!H855*100,"")</x:f>
        <x:v>38.66</x:v>
      </x:c>
      <x:c r="I2563" s="34" t="str">
        <x:v>PASS</x:v>
      </x:c>
      <x:c r="J2563" s="34" t="str">
        <x:v>PASS</x:v>
      </x:c>
      <x:c r="K2563" s="34" t="str">
        <x:v>PASS</x:v>
      </x:c>
      <x:c r="L2563" s="34" t="str">
        <x:v>PASS</x:v>
      </x:c>
      <x:c r="M2563" s="34" t="str">
        <x:v>numeric coverage for applicable metric</x:v>
      </x:c>
      <x:c r="N2563" s="34" t="str">
        <x:v>Feedback-Directed Random Test Generation/Result/Time_27/result.json</x:v>
      </x:c>
      <x:c r="O2563" s="38" t="n">
        <x:f>IF(AND(G2563="RECORDED",ISNUMBER(H2563)),H2563,"")</x:f>
        <x:v>38.66</x:v>
      </x:c>
      <x:c r="P2563" s="34" t="str">
        <x:v>NOT_REVEALING</x:v>
      </x:c>
      <x:c r="Q2563" s="34" t="str">
        <x:v>Feedback-Directed Random Test Generation/Result/Time_27/result.json</x:v>
      </x:c>
    </x:row>
    <x:row r="2564">
      <x:c r="A2564" s="34" t="str">
        <x:v>randoop</x:v>
      </x:c>
      <x:c r="B2564" s="34" t="str">
        <x:v>Chart</x:v>
      </x:c>
      <x:c r="C2564" s="34" t="str">
        <x:v>Round2</x:v>
      </x:c>
      <x:c r="D2564" s="34" t="str">
        <x:v>Chart_1</x:v>
      </x:c>
      <x:c r="E2564" s="34" t="str">
        <x:v>Line</x:v>
      </x:c>
      <x:c r="F2564" s="34" t="n">
        <x:v>574</x:v>
      </x:c>
      <x:c r="G2564" s="34" t="str">
        <x:v>RECORDED</x:v>
      </x:c>
      <x:c r="H2564" s="38" t="n">
        <x:f>IF(ISNUMBER('Data'!H856),'Data'!H856*100,"")</x:f>
        <x:v>0</x:v>
      </x:c>
      <x:c r="I2564" s="34" t="str">
        <x:v>PASS</x:v>
      </x:c>
      <x:c r="J2564" s="34" t="str">
        <x:v>PASS</x:v>
      </x:c>
      <x:c r="K2564" s="34" t="str">
        <x:v>PASS</x:v>
      </x:c>
      <x:c r="L2564" s="34" t="str">
        <x:v>PASS</x:v>
      </x:c>
      <x:c r="M2564" s="34" t="str">
        <x:v>numeric coverage for applicable metric</x:v>
      </x:c>
      <x:c r="N2564" s="34" t="str">
        <x:v>Feedback-Directed Random Test Generation/Result_Round2/Chart_1/result.json</x:v>
      </x:c>
      <x:c r="O2564" s="38" t="n">
        <x:f>IF(AND(G2564="RECORDED",ISNUMBER(H2564)),H2564,"")</x:f>
        <x:v>0</x:v>
      </x:c>
      <x:c r="P2564" s="34" t="str">
        <x:v>NOT_REVEALING</x:v>
      </x:c>
      <x:c r="Q2564" s="34" t="str">
        <x:v>Feedback-Directed Random Test Generation/Result_Round2/Chart_1/result.json</x:v>
      </x:c>
    </x:row>
    <x:row r="2565">
      <x:c r="A2565" s="34" t="str">
        <x:v>randoop</x:v>
      </x:c>
      <x:c r="B2565" s="34" t="str">
        <x:v>Chart</x:v>
      </x:c>
      <x:c r="C2565" s="34" t="str">
        <x:v>Round2</x:v>
      </x:c>
      <x:c r="D2565" s="34" t="str">
        <x:v>Chart_2</x:v>
      </x:c>
      <x:c r="E2565" s="34" t="str">
        <x:v>Line</x:v>
      </x:c>
      <x:c r="F2565" s="34" t="n">
        <x:v>801</x:v>
      </x:c>
      <x:c r="G2565" s="34" t="str">
        <x:v>RECORDED</x:v>
      </x:c>
      <x:c r="H2565" s="38" t="n">
        <x:f>IF(ISNUMBER('Data'!H857),'Data'!H857*100,"")</x:f>
        <x:v>40.2</x:v>
      </x:c>
      <x:c r="I2565" s="34" t="str">
        <x:v>PASS</x:v>
      </x:c>
      <x:c r="J2565" s="34" t="str">
        <x:v>PASS</x:v>
      </x:c>
      <x:c r="K2565" s="34" t="str">
        <x:v>PASS</x:v>
      </x:c>
      <x:c r="L2565" s="34" t="str">
        <x:v>FAIL</x:v>
      </x:c>
      <x:c r="M2565" s="34" t="str">
        <x:v>numeric coverage for applicable metric</x:v>
      </x:c>
      <x:c r="N2565" s="34" t="str">
        <x:v>Feedback-Directed Random Test Generation/Result_Round2/Chart_2/result.json</x:v>
      </x:c>
      <x:c r="O2565" s="38" t="n">
        <x:f>IF(AND(G2565="RECORDED",ISNUMBER(H2565)),H2565,"")</x:f>
        <x:v>40.2</x:v>
      </x:c>
      <x:c r="P2565" s="34" t="str">
        <x:v>INCONCLUSIVE</x:v>
      </x:c>
      <x:c r="Q2565" s="34" t="str">
        <x:v>Feedback-Directed Random Test Generation/Result_Round2/Chart_2/result.json</x:v>
      </x:c>
    </x:row>
    <x:row r="2566">
      <x:c r="A2566" s="34" t="str">
        <x:v>randoop</x:v>
      </x:c>
      <x:c r="B2566" s="34" t="str">
        <x:v>Chart</x:v>
      </x:c>
      <x:c r="C2566" s="34" t="str">
        <x:v>Round2</x:v>
      </x:c>
      <x:c r="D2566" s="34" t="str">
        <x:v>Chart_3</x:v>
      </x:c>
      <x:c r="E2566" s="34" t="str">
        <x:v>Line</x:v>
      </x:c>
      <x:c r="F2566" s="34" t="n">
        <x:v>380</x:v>
      </x:c>
      <x:c r="G2566" s="34" t="str">
        <x:v>RECORDED</x:v>
      </x:c>
      <x:c r="H2566" s="38" t="n">
        <x:f>IF(ISNUMBER('Data'!H858),'Data'!H858*100,"")</x:f>
        <x:v>30.53</x:v>
      </x:c>
      <x:c r="I2566" s="34" t="str">
        <x:v>PASS</x:v>
      </x:c>
      <x:c r="J2566" s="34" t="str">
        <x:v>PASS</x:v>
      </x:c>
      <x:c r="K2566" s="34" t="str">
        <x:v>PASS</x:v>
      </x:c>
      <x:c r="L2566" s="34" t="str">
        <x:v>PASS</x:v>
      </x:c>
      <x:c r="M2566" s="34" t="str">
        <x:v>numeric coverage for applicable metric</x:v>
      </x:c>
      <x:c r="N2566" s="34" t="str">
        <x:v>Feedback-Directed Random Test Generation/Result_Round2/Chart_3/result.json</x:v>
      </x:c>
      <x:c r="O2566" s="38" t="n">
        <x:f>IF(AND(G2566="RECORDED",ISNUMBER(H2566)),H2566,"")</x:f>
        <x:v>30.53</x:v>
      </x:c>
      <x:c r="P2566" s="34" t="str">
        <x:v>NOT_REVEALING</x:v>
      </x:c>
      <x:c r="Q2566" s="34" t="str">
        <x:v>Feedback-Directed Random Test Generation/Result_Round2/Chart_3/result.json</x:v>
      </x:c>
    </x:row>
    <x:row r="2567">
      <x:c r="A2567" s="34" t="str">
        <x:v>randoop</x:v>
      </x:c>
      <x:c r="B2567" s="34" t="str">
        <x:v>Chart</x:v>
      </x:c>
      <x:c r="C2567" s="34" t="str">
        <x:v>Round2</x:v>
      </x:c>
      <x:c r="D2567" s="34" t="str">
        <x:v>Chart_4</x:v>
      </x:c>
      <x:c r="E2567" s="34" t="str">
        <x:v>Line</x:v>
      </x:c>
      <x:c r="F2567" s="34" t="n">
        <x:v>1808</x:v>
      </x:c>
      <x:c r="G2567" s="34" t="str">
        <x:v>RECORDED</x:v>
      </x:c>
      <x:c r="H2567" s="38" t="n">
        <x:f>IF(ISNUMBER('Data'!H859),'Data'!H859*100,"")</x:f>
        <x:v>50.06</x:v>
      </x:c>
      <x:c r="I2567" s="34" t="str">
        <x:v>PASS</x:v>
      </x:c>
      <x:c r="J2567" s="34" t="str">
        <x:v>PASS</x:v>
      </x:c>
      <x:c r="K2567" s="34" t="str">
        <x:v>PASS</x:v>
      </x:c>
      <x:c r="L2567" s="34" t="str">
        <x:v>FAIL</x:v>
      </x:c>
      <x:c r="M2567" s="34" t="str">
        <x:v>numeric coverage for applicable metric</x:v>
      </x:c>
      <x:c r="N2567" s="34" t="str">
        <x:v>Feedback-Directed Random Test Generation/Result_Round2/Chart_4/result.json</x:v>
      </x:c>
      <x:c r="O2567" s="38" t="n">
        <x:f>IF(AND(G2567="RECORDED",ISNUMBER(H2567)),H2567,"")</x:f>
        <x:v>50.06</x:v>
      </x:c>
      <x:c r="P2567" s="34" t="str">
        <x:v>INCONCLUSIVE</x:v>
      </x:c>
      <x:c r="Q2567" s="34" t="str">
        <x:v>Feedback-Directed Random Test Generation/Result_Round2/Chart_4/result.json</x:v>
      </x:c>
    </x:row>
    <x:row r="2568">
      <x:c r="A2568" s="34" t="str">
        <x:v>randoop</x:v>
      </x:c>
      <x:c r="B2568" s="34" t="str">
        <x:v>Chart</x:v>
      </x:c>
      <x:c r="C2568" s="34" t="str">
        <x:v>Round2</x:v>
      </x:c>
      <x:c r="D2568" s="34" t="str">
        <x:v>Chart_5</x:v>
      </x:c>
      <x:c r="E2568" s="34" t="str">
        <x:v>Line</x:v>
      </x:c>
      <x:c r="F2568" s="34" t="n">
        <x:v>172</x:v>
      </x:c>
      <x:c r="G2568" s="34" t="str">
        <x:v>RECORDED</x:v>
      </x:c>
      <x:c r="H2568" s="38" t="n">
        <x:f>IF(ISNUMBER('Data'!H860),'Data'!H860*100,"")</x:f>
        <x:v>85.47</x:v>
      </x:c>
      <x:c r="I2568" s="34" t="str">
        <x:v>PASS</x:v>
      </x:c>
      <x:c r="J2568" s="34" t="str">
        <x:v>PASS</x:v>
      </x:c>
      <x:c r="K2568" s="34" t="str">
        <x:v>PASS</x:v>
      </x:c>
      <x:c r="L2568" s="34" t="str">
        <x:v>PASS</x:v>
      </x:c>
      <x:c r="M2568" s="34" t="str">
        <x:v>numeric coverage for applicable metric</x:v>
      </x:c>
      <x:c r="N2568" s="34" t="str">
        <x:v>Feedback-Directed Random Test Generation/Result_Round2/Chart_5/result.json</x:v>
      </x:c>
      <x:c r="O2568" s="38" t="n">
        <x:f>IF(AND(G2568="RECORDED",ISNUMBER(H2568)),H2568,"")</x:f>
        <x:v>85.47</x:v>
      </x:c>
      <x:c r="P2568" s="34" t="str">
        <x:v>INCONCLUSIVE</x:v>
      </x:c>
      <x:c r="Q2568" s="34" t="str">
        <x:v>Feedback-Directed Random Test Generation/Result_Round2/Chart_5/result.json</x:v>
      </x:c>
    </x:row>
    <x:row r="2569">
      <x:c r="A2569" s="34" t="str">
        <x:v>randoop</x:v>
      </x:c>
      <x:c r="B2569" s="34" t="str">
        <x:v>Chart</x:v>
      </x:c>
      <x:c r="C2569" s="34" t="str">
        <x:v>Round2</x:v>
      </x:c>
      <x:c r="D2569" s="34" t="str">
        <x:v>Chart_6</x:v>
      </x:c>
      <x:c r="E2569" s="34" t="str">
        <x:v>Line</x:v>
      </x:c>
      <x:c r="F2569" s="34" t="n">
        <x:v>29</x:v>
      </x:c>
      <x:c r="G2569" s="34" t="str">
        <x:v>RECORDED</x:v>
      </x:c>
      <x:c r="H2569" s="38" t="n">
        <x:f>IF(ISNUMBER('Data'!H861),'Data'!H861*100,"")</x:f>
        <x:v>37.93</x:v>
      </x:c>
      <x:c r="I2569" s="34" t="str">
        <x:v>PASS</x:v>
      </x:c>
      <x:c r="J2569" s="34" t="str">
        <x:v>PASS</x:v>
      </x:c>
      <x:c r="K2569" s="34" t="str">
        <x:v>PASS</x:v>
      </x:c>
      <x:c r="L2569" s="34" t="str">
        <x:v>FAIL</x:v>
      </x:c>
      <x:c r="M2569" s="34" t="str">
        <x:v>numeric coverage for applicable metric</x:v>
      </x:c>
      <x:c r="N2569" s="34" t="str">
        <x:v>Feedback-Directed Random Test Generation/Result_Round2/Chart_6/result.json</x:v>
      </x:c>
      <x:c r="O2569" s="38" t="n">
        <x:f>IF(AND(G2569="RECORDED",ISNUMBER(H2569)),H2569,"")</x:f>
        <x:v>37.93</x:v>
      </x:c>
      <x:c r="P2569" s="34" t="str">
        <x:v>INCONCLUSIVE</x:v>
      </x:c>
      <x:c r="Q2569" s="34" t="str">
        <x:v>Feedback-Directed Random Test Generation/Result_Round2/Chart_6/result.json</x:v>
      </x:c>
    </x:row>
    <x:row r="2570">
      <x:c r="A2570" s="34" t="str">
        <x:v>randoop</x:v>
      </x:c>
      <x:c r="B2570" s="34" t="str">
        <x:v>Chart</x:v>
      </x:c>
      <x:c r="C2570" s="34" t="str">
        <x:v>Round2</x:v>
      </x:c>
      <x:c r="D2570" s="34" t="str">
        <x:v>Chart_7</x:v>
      </x:c>
      <x:c r="E2570" s="34" t="str">
        <x:v>Line</x:v>
      </x:c>
      <x:c r="F2570" s="34" t="n">
        <x:v>159</x:v>
      </x:c>
      <x:c r="G2570" s="34" t="str">
        <x:v>RECORDED</x:v>
      </x:c>
      <x:c r="H2570" s="38" t="n">
        <x:f>IF(ISNUMBER('Data'!H862),'Data'!H862*100,"")</x:f>
        <x:v>45.91</x:v>
      </x:c>
      <x:c r="I2570" s="34" t="str">
        <x:v>PASS</x:v>
      </x:c>
      <x:c r="J2570" s="34" t="str">
        <x:v>PASS</x:v>
      </x:c>
      <x:c r="K2570" s="34" t="str">
        <x:v>PASS</x:v>
      </x:c>
      <x:c r="L2570" s="34" t="str">
        <x:v>PASS</x:v>
      </x:c>
      <x:c r="M2570" s="34" t="str">
        <x:v>numeric coverage for applicable metric</x:v>
      </x:c>
      <x:c r="N2570" s="34" t="str">
        <x:v>Feedback-Directed Random Test Generation/Result_Round2/Chart_7/result.json</x:v>
      </x:c>
      <x:c r="O2570" s="38" t="n">
        <x:f>IF(AND(G2570="RECORDED",ISNUMBER(H2570)),H2570,"")</x:f>
        <x:v>45.91</x:v>
      </x:c>
      <x:c r="P2570" s="34" t="str">
        <x:v>NOT_REVEALING</x:v>
      </x:c>
      <x:c r="Q2570" s="34" t="str">
        <x:v>Feedback-Directed Random Test Generation/Result_Round2/Chart_7/result.json</x:v>
      </x:c>
    </x:row>
    <x:row r="2571">
      <x:c r="A2571" s="34" t="str">
        <x:v>randoop</x:v>
      </x:c>
      <x:c r="B2571" s="34" t="str">
        <x:v>Chart</x:v>
      </x:c>
      <x:c r="C2571" s="34" t="str">
        <x:v>Round2</x:v>
      </x:c>
      <x:c r="D2571" s="34" t="str">
        <x:v>Chart_8</x:v>
      </x:c>
      <x:c r="E2571" s="34" t="str">
        <x:v>Line</x:v>
      </x:c>
      <x:c r="F2571" s="34" t="n">
        <x:v>162</x:v>
      </x:c>
      <x:c r="G2571" s="34" t="str">
        <x:v>RECORDED</x:v>
      </x:c>
      <x:c r="H2571" s="38" t="n">
        <x:f>IF(ISNUMBER('Data'!H863),'Data'!H863*100,"")</x:f>
        <x:v>83.95</x:v>
      </x:c>
      <x:c r="I2571" s="34" t="str">
        <x:v>PASS</x:v>
      </x:c>
      <x:c r="J2571" s="34" t="str">
        <x:v>PASS</x:v>
      </x:c>
      <x:c r="K2571" s="34" t="str">
        <x:v>PASS</x:v>
      </x:c>
      <x:c r="L2571" s="34" t="str">
        <x:v>FAIL</x:v>
      </x:c>
      <x:c r="M2571" s="34" t="str">
        <x:v>numeric coverage for applicable metric</x:v>
      </x:c>
      <x:c r="N2571" s="34" t="str">
        <x:v>Feedback-Directed Random Test Generation/Result_Round2/Chart_8/result.json</x:v>
      </x:c>
      <x:c r="O2571" s="38" t="n">
        <x:f>IF(AND(G2571="RECORDED",ISNUMBER(H2571)),H2571,"")</x:f>
        <x:v>83.95</x:v>
      </x:c>
      <x:c r="P2571" s="34" t="str">
        <x:v>INCONCLUSIVE</x:v>
      </x:c>
      <x:c r="Q2571" s="34" t="str">
        <x:v>Feedback-Directed Random Test Generation/Result_Round2/Chart_8/result.json</x:v>
      </x:c>
    </x:row>
    <x:row r="2572">
      <x:c r="A2572" s="34" t="str">
        <x:v>randoop</x:v>
      </x:c>
      <x:c r="B2572" s="34" t="str">
        <x:v>Chart</x:v>
      </x:c>
      <x:c r="C2572" s="34" t="str">
        <x:v>Round2</x:v>
      </x:c>
      <x:c r="D2572" s="34" t="str">
        <x:v>Chart_9</x:v>
      </x:c>
      <x:c r="E2572" s="34" t="str">
        <x:v>Line</x:v>
      </x:c>
      <x:c r="F2572" s="34" t="n">
        <x:v>289</x:v>
      </x:c>
      <x:c r="G2572" s="34" t="str">
        <x:v>RECORDED</x:v>
      </x:c>
      <x:c r="H2572" s="38" t="n">
        <x:f>IF(ISNUMBER('Data'!H864),'Data'!H864*100,"")</x:f>
        <x:v>44.98</x:v>
      </x:c>
      <x:c r="I2572" s="34" t="str">
        <x:v>PASS</x:v>
      </x:c>
      <x:c r="J2572" s="34" t="str">
        <x:v>PASS</x:v>
      </x:c>
      <x:c r="K2572" s="34" t="str">
        <x:v>PASS</x:v>
      </x:c>
      <x:c r="L2572" s="34" t="str">
        <x:v>FAIL</x:v>
      </x:c>
      <x:c r="M2572" s="34" t="str">
        <x:v>numeric coverage for applicable metric</x:v>
      </x:c>
      <x:c r="N2572" s="34" t="str">
        <x:v>Feedback-Directed Random Test Generation/Result_Round2/Chart_9/result.json</x:v>
      </x:c>
      <x:c r="O2572" s="38" t="n">
        <x:f>IF(AND(G2572="RECORDED",ISNUMBER(H2572)),H2572,"")</x:f>
        <x:v>44.98</x:v>
      </x:c>
      <x:c r="P2572" s="34" t="str">
        <x:v>INCONCLUSIVE</x:v>
      </x:c>
      <x:c r="Q2572" s="34" t="str">
        <x:v>Feedback-Directed Random Test Generation/Result_Round2/Chart_9/result.json</x:v>
      </x:c>
    </x:row>
    <x:row r="2573">
      <x:c r="A2573" s="34" t="str">
        <x:v>randoop</x:v>
      </x:c>
      <x:c r="B2573" s="34" t="str">
        <x:v>Chart</x:v>
      </x:c>
      <x:c r="C2573" s="34" t="str">
        <x:v>Round2</x:v>
      </x:c>
      <x:c r="D2573" s="34" t="str">
        <x:v>Chart_10</x:v>
      </x:c>
      <x:c r="E2573" s="34" t="str">
        <x:v>Line</x:v>
      </x:c>
      <x:c r="F2573" s="34" t="n">
        <x:v>3</x:v>
      </x:c>
      <x:c r="G2573" s="34" t="str">
        <x:v>RECORDED</x:v>
      </x:c>
      <x:c r="H2573" s="38" t="n">
        <x:f>IF(ISNUMBER('Data'!H865),'Data'!H865*100,"")</x:f>
        <x:v>100</x:v>
      </x:c>
      <x:c r="I2573" s="34" t="str">
        <x:v>PASS</x:v>
      </x:c>
      <x:c r="J2573" s="34" t="str">
        <x:v>PASS</x:v>
      </x:c>
      <x:c r="K2573" s="34" t="str">
        <x:v>PASS</x:v>
      </x:c>
      <x:c r="L2573" s="34" t="str">
        <x:v>PASS</x:v>
      </x:c>
      <x:c r="M2573" s="34" t="str">
        <x:v>numeric coverage for applicable metric</x:v>
      </x:c>
      <x:c r="N2573" s="34" t="str">
        <x:v>Feedback-Directed Random Test Generation/Result_Round2/Chart_10/result.json</x:v>
      </x:c>
      <x:c r="O2573" s="38" t="n">
        <x:f>IF(AND(G2573="RECORDED",ISNUMBER(H2573)),H2573,"")</x:f>
        <x:v>100</x:v>
      </x:c>
      <x:c r="P2573" s="34" t="str">
        <x:v>INCONCLUSIVE</x:v>
      </x:c>
      <x:c r="Q2573" s="34" t="str">
        <x:v>Feedback-Directed Random Test Generation/Result_Round2/Chart_10/result.json</x:v>
      </x:c>
    </x:row>
    <x:row r="2574">
      <x:c r="A2574" s="34" t="str">
        <x:v>randoop</x:v>
      </x:c>
      <x:c r="B2574" s="34" t="str">
        <x:v>Chart</x:v>
      </x:c>
      <x:c r="C2574" s="34" t="str">
        <x:v>Round2</x:v>
      </x:c>
      <x:c r="D2574" s="34" t="str">
        <x:v>Chart_11</x:v>
      </x:c>
      <x:c r="E2574" s="34" t="str">
        <x:v>Line</x:v>
      </x:c>
      <x:c r="F2574" s="34" t="n">
        <x:v>197</x:v>
      </x:c>
      <x:c r="G2574" s="34" t="str">
        <x:v>RECORDED</x:v>
      </x:c>
      <x:c r="H2574" s="38" t="n">
        <x:f>IF(ISNUMBER('Data'!H866),'Data'!H866*100,"")</x:f>
        <x:v>54.82</x:v>
      </x:c>
      <x:c r="I2574" s="34" t="str">
        <x:v>PASS</x:v>
      </x:c>
      <x:c r="J2574" s="34" t="str">
        <x:v>PASS</x:v>
      </x:c>
      <x:c r="K2574" s="34" t="str">
        <x:v>PASS</x:v>
      </x:c>
      <x:c r="L2574" s="34" t="str">
        <x:v>PASS</x:v>
      </x:c>
      <x:c r="M2574" s="34" t="str">
        <x:v>numeric coverage for applicable metric</x:v>
      </x:c>
      <x:c r="N2574" s="34" t="str">
        <x:v>Feedback-Directed Random Test Generation/Result_Round2/Chart_11/result.json</x:v>
      </x:c>
      <x:c r="O2574" s="38" t="n">
        <x:f>IF(AND(G2574="RECORDED",ISNUMBER(H2574)),H2574,"")</x:f>
        <x:v>54.82</x:v>
      </x:c>
      <x:c r="P2574" s="34" t="str">
        <x:v>INCONCLUSIVE</x:v>
      </x:c>
      <x:c r="Q2574" s="34" t="str">
        <x:v>Feedback-Directed Random Test Generation/Result_Round2/Chart_11/result.json</x:v>
      </x:c>
    </x:row>
    <x:row r="2575">
      <x:c r="A2575" s="34" t="str">
        <x:v>randoop</x:v>
      </x:c>
      <x:c r="B2575" s="34" t="str">
        <x:v>Chart</x:v>
      </x:c>
      <x:c r="C2575" s="34" t="str">
        <x:v>Round2</x:v>
      </x:c>
      <x:c r="D2575" s="34" t="str">
        <x:v>Chart_12</x:v>
      </x:c>
      <x:c r="E2575" s="34" t="str">
        <x:v>Line</x:v>
      </x:c>
      <x:c r="F2575" s="34" t="n">
        <x:v>190</x:v>
      </x:c>
      <x:c r="G2575" s="34" t="str">
        <x:v>RECORDED</x:v>
      </x:c>
      <x:c r="H2575" s="38" t="n">
        <x:f>IF(ISNUMBER('Data'!H867),'Data'!H867*100,"")</x:f>
        <x:v>37.89</x:v>
      </x:c>
      <x:c r="I2575" s="34" t="str">
        <x:v>PASS</x:v>
      </x:c>
      <x:c r="J2575" s="34" t="str">
        <x:v>PASS</x:v>
      </x:c>
      <x:c r="K2575" s="34" t="str">
        <x:v>PASS</x:v>
      </x:c>
      <x:c r="L2575" s="34" t="str">
        <x:v>FAIL</x:v>
      </x:c>
      <x:c r="M2575" s="34" t="str">
        <x:v>numeric coverage for applicable metric</x:v>
      </x:c>
      <x:c r="N2575" s="34" t="str">
        <x:v>Feedback-Directed Random Test Generation/Result_Round2/Chart_12/result.json</x:v>
      </x:c>
      <x:c r="O2575" s="38" t="n">
        <x:f>IF(AND(G2575="RECORDED",ISNUMBER(H2575)),H2575,"")</x:f>
        <x:v>37.89</x:v>
      </x:c>
      <x:c r="P2575" s="34" t="str">
        <x:v>INCONCLUSIVE</x:v>
      </x:c>
      <x:c r="Q2575" s="34" t="str">
        <x:v>Feedback-Directed Random Test Generation/Result_Round2/Chart_12/result.json</x:v>
      </x:c>
    </x:row>
    <x:row r="2576">
      <x:c r="A2576" s="34" t="str">
        <x:v>randoop</x:v>
      </x:c>
      <x:c r="B2576" s="34" t="str">
        <x:v>Chart</x:v>
      </x:c>
      <x:c r="C2576" s="34" t="str">
        <x:v>Round2</x:v>
      </x:c>
      <x:c r="D2576" s="34" t="str">
        <x:v>Chart_13</x:v>
      </x:c>
      <x:c r="E2576" s="34" t="str">
        <x:v>Line</x:v>
      </x:c>
      <x:c r="F2576" s="34" t="n">
        <x:v>229</x:v>
      </x:c>
      <x:c r="G2576" s="34" t="str">
        <x:v>RECORDED</x:v>
      </x:c>
      <x:c r="H2576" s="38" t="n">
        <x:f>IF(ISNUMBER('Data'!H868),'Data'!H868*100,"")</x:f>
        <x:v>27.949999999999996</x:v>
      </x:c>
      <x:c r="I2576" s="34" t="str">
        <x:v>PASS</x:v>
      </x:c>
      <x:c r="J2576" s="34" t="str">
        <x:v>PASS</x:v>
      </x:c>
      <x:c r="K2576" s="34" t="str">
        <x:v>PASS</x:v>
      </x:c>
      <x:c r="L2576" s="34" t="str">
        <x:v>FAIL</x:v>
      </x:c>
      <x:c r="M2576" s="34" t="str">
        <x:v>numeric coverage for applicable metric</x:v>
      </x:c>
      <x:c r="N2576" s="34" t="str">
        <x:v>Feedback-Directed Random Test Generation/Result_Round2/Chart_13/result.json</x:v>
      </x:c>
      <x:c r="O2576" s="38" t="n">
        <x:f>IF(AND(G2576="RECORDED",ISNUMBER(H2576)),H2576,"")</x:f>
        <x:v>27.949999999999996</x:v>
      </x:c>
      <x:c r="P2576" s="34" t="str">
        <x:v>INCONCLUSIVE</x:v>
      </x:c>
      <x:c r="Q2576" s="34" t="str">
        <x:v>Feedback-Directed Random Test Generation/Result_Round2/Chart_13/result.json</x:v>
      </x:c>
    </x:row>
    <x:row r="2577">
      <x:c r="A2577" s="34" t="str">
        <x:v>randoop</x:v>
      </x:c>
      <x:c r="B2577" s="34" t="str">
        <x:v>Chart</x:v>
      </x:c>
      <x:c r="C2577" s="34" t="str">
        <x:v>Round2</x:v>
      </x:c>
      <x:c r="D2577" s="34" t="str">
        <x:v>Chart_14</x:v>
      </x:c>
      <x:c r="E2577" s="34" t="str">
        <x:v>Line</x:v>
      </x:c>
      <x:c r="F2577" s="34" t="n">
        <x:v>2722</x:v>
      </x:c>
      <x:c r="G2577" s="34" t="str">
        <x:v>RECORDED</x:v>
      </x:c>
      <x:c r="H2577" s="38" t="n">
        <x:f>IF(ISNUMBER('Data'!H869),'Data'!H869*100,"")</x:f>
        <x:v>54</x:v>
      </x:c>
      <x:c r="I2577" s="34" t="str">
        <x:v>PASS</x:v>
      </x:c>
      <x:c r="J2577" s="34" t="str">
        <x:v>PASS</x:v>
      </x:c>
      <x:c r="K2577" s="34" t="str">
        <x:v>PASS</x:v>
      </x:c>
      <x:c r="L2577" s="34" t="str">
        <x:v>FAIL</x:v>
      </x:c>
      <x:c r="M2577" s="34" t="str">
        <x:v>numeric coverage for applicable metric</x:v>
      </x:c>
      <x:c r="N2577" s="34" t="str">
        <x:v>Feedback-Directed Random Test Generation/Result_Round2/Chart_14/result.json</x:v>
      </x:c>
      <x:c r="O2577" s="38" t="n">
        <x:f>IF(AND(G2577="RECORDED",ISNUMBER(H2577)),H2577,"")</x:f>
        <x:v>54</x:v>
      </x:c>
      <x:c r="P2577" s="34" t="str">
        <x:v>INCONCLUSIVE</x:v>
      </x:c>
      <x:c r="Q2577" s="34" t="str">
        <x:v>Feedback-Directed Random Test Generation/Result_Round2/Chart_14/result.json</x:v>
      </x:c>
    </x:row>
    <x:row r="2578">
      <x:c r="A2578" s="34" t="str">
        <x:v>randoop</x:v>
      </x:c>
      <x:c r="B2578" s="34" t="str">
        <x:v>Chart</x:v>
      </x:c>
      <x:c r="C2578" s="34" t="str">
        <x:v>Round2</x:v>
      </x:c>
      <x:c r="D2578" s="34" t="str">
        <x:v>Chart_15</x:v>
      </x:c>
      <x:c r="E2578" s="34" t="str">
        <x:v>Line</x:v>
      </x:c>
      <x:c r="F2578" s="34" t="n">
        <x:v>836</x:v>
      </x:c>
      <x:c r="G2578" s="34" t="str">
        <x:v>RECORDED</x:v>
      </x:c>
      <x:c r="H2578" s="38" t="n">
        <x:f>IF(ISNUMBER('Data'!H870),'Data'!H870*100,"")</x:f>
        <x:v>47.73</x:v>
      </x:c>
      <x:c r="I2578" s="34" t="str">
        <x:v>PASS</x:v>
      </x:c>
      <x:c r="J2578" s="34" t="str">
        <x:v>PASS</x:v>
      </x:c>
      <x:c r="K2578" s="34" t="str">
        <x:v>PASS</x:v>
      </x:c>
      <x:c r="L2578" s="34" t="str">
        <x:v>FAIL</x:v>
      </x:c>
      <x:c r="M2578" s="34" t="str">
        <x:v>numeric coverage for applicable metric</x:v>
      </x:c>
      <x:c r="N2578" s="34" t="str">
        <x:v>Feedback-Directed Random Test Generation/Result_Round2/Chart_15/result.json</x:v>
      </x:c>
      <x:c r="O2578" s="38" t="n">
        <x:f>IF(AND(G2578="RECORDED",ISNUMBER(H2578)),H2578,"")</x:f>
        <x:v>47.73</x:v>
      </x:c>
      <x:c r="P2578" s="34" t="str">
        <x:v>INCONCLUSIVE</x:v>
      </x:c>
      <x:c r="Q2578" s="34" t="str">
        <x:v>Feedback-Directed Random Test Generation/Result_Round2/Chart_15/result.json</x:v>
      </x:c>
    </x:row>
    <x:row r="2579">
      <x:c r="A2579" s="34" t="str">
        <x:v>randoop</x:v>
      </x:c>
      <x:c r="B2579" s="34" t="str">
        <x:v>Chart</x:v>
      </x:c>
      <x:c r="C2579" s="34" t="str">
        <x:v>Round2</x:v>
      </x:c>
      <x:c r="D2579" s="34" t="str">
        <x:v>Chart_16</x:v>
      </x:c>
      <x:c r="E2579" s="34" t="str">
        <x:v>Line</x:v>
      </x:c>
      <x:c r="F2579" s="34" t="n">
        <x:v>188</x:v>
      </x:c>
      <x:c r="G2579" s="34" t="str">
        <x:v>RECORDED</x:v>
      </x:c>
      <x:c r="H2579" s="38" t="n">
        <x:f>IF(ISNUMBER('Data'!H871),'Data'!H871*100,"")</x:f>
        <x:v>82.98</x:v>
      </x:c>
      <x:c r="I2579" s="34" t="str">
        <x:v>PASS</x:v>
      </x:c>
      <x:c r="J2579" s="34" t="str">
        <x:v>PASS</x:v>
      </x:c>
      <x:c r="K2579" s="34" t="str">
        <x:v>PASS</x:v>
      </x:c>
      <x:c r="L2579" s="34" t="str">
        <x:v>FAIL</x:v>
      </x:c>
      <x:c r="M2579" s="34" t="str">
        <x:v>numeric coverage for applicable metric</x:v>
      </x:c>
      <x:c r="N2579" s="34" t="str">
        <x:v>Feedback-Directed Random Test Generation/Result_Round2/Chart_16/result.json</x:v>
      </x:c>
      <x:c r="O2579" s="38" t="n">
        <x:f>IF(AND(G2579="RECORDED",ISNUMBER(H2579)),H2579,"")</x:f>
        <x:v>82.98</x:v>
      </x:c>
      <x:c r="P2579" s="34" t="str">
        <x:v>INCONCLUSIVE</x:v>
      </x:c>
      <x:c r="Q2579" s="34" t="str">
        <x:v>Feedback-Directed Random Test Generation/Result_Round2/Chart_16/result.json</x:v>
      </x:c>
    </x:row>
    <x:row r="2580">
      <x:c r="A2580" s="34" t="str">
        <x:v>randoop</x:v>
      </x:c>
      <x:c r="B2580" s="34" t="str">
        <x:v>Chart</x:v>
      </x:c>
      <x:c r="C2580" s="34" t="str">
        <x:v>Round2</x:v>
      </x:c>
      <x:c r="D2580" s="34" t="str">
        <x:v>Chart_17</x:v>
      </x:c>
      <x:c r="E2580" s="34" t="str">
        <x:v>Line</x:v>
      </x:c>
      <x:c r="F2580" s="34" t="n">
        <x:v>288</x:v>
      </x:c>
      <x:c r="G2580" s="34" t="str">
        <x:v>RECORDED</x:v>
      </x:c>
      <x:c r="H2580" s="38" t="n">
        <x:f>IF(ISNUMBER('Data'!H872),'Data'!H872*100,"")</x:f>
        <x:v>44.44</x:v>
      </x:c>
      <x:c r="I2580" s="34" t="str">
        <x:v>PASS</x:v>
      </x:c>
      <x:c r="J2580" s="34" t="str">
        <x:v>PASS</x:v>
      </x:c>
      <x:c r="K2580" s="34" t="str">
        <x:v>PASS</x:v>
      </x:c>
      <x:c r="L2580" s="34" t="str">
        <x:v>FAIL</x:v>
      </x:c>
      <x:c r="M2580" s="34" t="str">
        <x:v>numeric coverage for applicable metric</x:v>
      </x:c>
      <x:c r="N2580" s="34" t="str">
        <x:v>Feedback-Directed Random Test Generation/Result_Round2/Chart_17/result.json</x:v>
      </x:c>
      <x:c r="O2580" s="38" t="n">
        <x:f>IF(AND(G2580="RECORDED",ISNUMBER(H2580)),H2580,"")</x:f>
        <x:v>44.44</x:v>
      </x:c>
      <x:c r="P2580" s="34" t="str">
        <x:v>INCONCLUSIVE</x:v>
      </x:c>
      <x:c r="Q2580" s="34" t="str">
        <x:v>Feedback-Directed Random Test Generation/Result_Round2/Chart_17/result.json</x:v>
      </x:c>
    </x:row>
    <x:row r="2581">
      <x:c r="A2581" s="34" t="str">
        <x:v>randoop</x:v>
      </x:c>
      <x:c r="B2581" s="34" t="str">
        <x:v>Chart</x:v>
      </x:c>
      <x:c r="C2581" s="34" t="str">
        <x:v>Round2</x:v>
      </x:c>
      <x:c r="D2581" s="34" t="str">
        <x:v>Chart_18</x:v>
      </x:c>
      <x:c r="E2581" s="34" t="str">
        <x:v>Line</x:v>
      </x:c>
      <x:c r="F2581" s="34" t="n">
        <x:v>266</x:v>
      </x:c>
      <x:c r="G2581" s="34" t="str">
        <x:v>RECORDED</x:v>
      </x:c>
      <x:c r="H2581" s="38" t="n">
        <x:f>IF(ISNUMBER('Data'!H873),'Data'!H873*100,"")</x:f>
        <x:v>84.96</x:v>
      </x:c>
      <x:c r="I2581" s="34" t="str">
        <x:v>PASS</x:v>
      </x:c>
      <x:c r="J2581" s="34" t="str">
        <x:v>PASS</x:v>
      </x:c>
      <x:c r="K2581" s="34" t="str">
        <x:v>PASS</x:v>
      </x:c>
      <x:c r="L2581" s="34" t="str">
        <x:v>PASS</x:v>
      </x:c>
      <x:c r="M2581" s="34" t="str">
        <x:v>numeric coverage for applicable metric</x:v>
      </x:c>
      <x:c r="N2581" s="34" t="str">
        <x:v>Feedback-Directed Random Test Generation/Result_Round2/Chart_18/result.json</x:v>
      </x:c>
      <x:c r="O2581" s="38" t="n">
        <x:f>IF(AND(G2581="RECORDED",ISNUMBER(H2581)),H2581,"")</x:f>
        <x:v>84.96</x:v>
      </x:c>
      <x:c r="P2581" s="34" t="str">
        <x:v>INCONCLUSIVE</x:v>
      </x:c>
      <x:c r="Q2581" s="34" t="str">
        <x:v>Feedback-Directed Random Test Generation/Result_Round2/Chart_18/result.json</x:v>
      </x:c>
    </x:row>
    <x:row r="2582">
      <x:c r="A2582" s="34" t="str">
        <x:v>randoop</x:v>
      </x:c>
      <x:c r="B2582" s="34" t="str">
        <x:v>Chart</x:v>
      </x:c>
      <x:c r="C2582" s="34" t="str">
        <x:v>Round2</x:v>
      </x:c>
      <x:c r="D2582" s="34" t="str">
        <x:v>Chart_19</x:v>
      </x:c>
      <x:c r="E2582" s="34" t="str">
        <x:v>Line</x:v>
      </x:c>
      <x:c r="F2582" s="34" t="n">
        <x:v>0</x:v>
      </x:c>
      <x:c r="G2582" s="34" t="str">
        <x:v>A</x:v>
      </x:c>
      <x:c r="H2582" s="38" t="str">
        <x:f>IF(ISNUMBER('Data'!H874),'Data'!H874*100,"")</x:f>
      </x:c>
      <x:c r="I2582" s="34"/>
      <x:c r="J2582" s="34"/>
      <x:c r="K2582" s="34"/>
      <x:c r="L2582" s="34" t="str">
        <x:v>NOT_RUN</x:v>
      </x:c>
      <x:c r="M2582" s="34" t="str">
        <x:v>Latest same-round generation failed; older files/results are excluded</x:v>
      </x:c>
      <x:c r="N2582" s="34" t="str">
        <x:v>Feedback-Directed Random Test Generation/report_Round2.csv</x:v>
      </x:c>
      <x:c r="O2582" s="38" t="str">
        <x:f>IF(AND(G2582="RECORDED",ISNUMBER(H2582)),H2582,"")</x:f>
      </x:c>
      <x:c r="P2582" s="34" t="str">
        <x:v>FAIL</x:v>
      </x:c>
      <x:c r="Q2582" s="34"/>
    </x:row>
    <x:row r="2583">
      <x:c r="A2583" s="34" t="str">
        <x:v>randoop</x:v>
      </x:c>
      <x:c r="B2583" s="34" t="str">
        <x:v>Chart</x:v>
      </x:c>
      <x:c r="C2583" s="34" t="str">
        <x:v>Round2</x:v>
      </x:c>
      <x:c r="D2583" s="34" t="str">
        <x:v>Chart_20</x:v>
      </x:c>
      <x:c r="E2583" s="34" t="str">
        <x:v>Line</x:v>
      </x:c>
      <x:c r="F2583" s="34" t="n">
        <x:v>22</x:v>
      </x:c>
      <x:c r="G2583" s="34" t="str">
        <x:v>RECORDED</x:v>
      </x:c>
      <x:c r="H2583" s="38" t="n">
        <x:f>IF(ISNUMBER('Data'!H875),'Data'!H875*100,"")</x:f>
        <x:v>90.91</x:v>
      </x:c>
      <x:c r="I2583" s="34" t="str">
        <x:v>PASS</x:v>
      </x:c>
      <x:c r="J2583" s="34" t="str">
        <x:v>PASS</x:v>
      </x:c>
      <x:c r="K2583" s="34" t="str">
        <x:v>PASS</x:v>
      </x:c>
      <x:c r="L2583" s="34" t="str">
        <x:v>FAIL</x:v>
      </x:c>
      <x:c r="M2583" s="34" t="str">
        <x:v>numeric coverage for applicable metric</x:v>
      </x:c>
      <x:c r="N2583" s="34" t="str">
        <x:v>Feedback-Directed Random Test Generation/Result_Round2/Chart_20/result.json</x:v>
      </x:c>
      <x:c r="O2583" s="38" t="n">
        <x:f>IF(AND(G2583="RECORDED",ISNUMBER(H2583)),H2583,"")</x:f>
        <x:v>90.91</x:v>
      </x:c>
      <x:c r="P2583" s="34" t="str">
        <x:v>INCONCLUSIVE</x:v>
      </x:c>
      <x:c r="Q2583" s="34" t="str">
        <x:v>Feedback-Directed Random Test Generation/Result_Round2/Chart_20/result.json</x:v>
      </x:c>
    </x:row>
    <x:row r="2584">
      <x:c r="A2584" s="34" t="str">
        <x:v>randoop</x:v>
      </x:c>
      <x:c r="B2584" s="34" t="str">
        <x:v>Chart</x:v>
      </x:c>
      <x:c r="C2584" s="34" t="str">
        <x:v>Round2</x:v>
      </x:c>
      <x:c r="D2584" s="34" t="str">
        <x:v>Chart_21</x:v>
      </x:c>
      <x:c r="E2584" s="34" t="str">
        <x:v>Line</x:v>
      </x:c>
      <x:c r="F2584" s="34" t="n">
        <x:v>161</x:v>
      </x:c>
      <x:c r="G2584" s="34" t="str">
        <x:v>RECORDED</x:v>
      </x:c>
      <x:c r="H2584" s="38" t="n">
        <x:f>IF(ISNUMBER('Data'!H876),'Data'!H876*100,"")</x:f>
        <x:v>56.52</x:v>
      </x:c>
      <x:c r="I2584" s="34" t="str">
        <x:v>PASS</x:v>
      </x:c>
      <x:c r="J2584" s="34" t="str">
        <x:v>PASS</x:v>
      </x:c>
      <x:c r="K2584" s="34" t="str">
        <x:v>PASS</x:v>
      </x:c>
      <x:c r="L2584" s="34" t="str">
        <x:v>FAIL</x:v>
      </x:c>
      <x:c r="M2584" s="34" t="str">
        <x:v>numeric coverage for applicable metric</x:v>
      </x:c>
      <x:c r="N2584" s="34" t="str">
        <x:v>Feedback-Directed Random Test Generation/Result_Round2/Chart_21/result.json</x:v>
      </x:c>
      <x:c r="O2584" s="38" t="n">
        <x:f>IF(AND(G2584="RECORDED",ISNUMBER(H2584)),H2584,"")</x:f>
        <x:v>56.52</x:v>
      </x:c>
      <x:c r="P2584" s="34" t="str">
        <x:v>INCONCLUSIVE</x:v>
      </x:c>
      <x:c r="Q2584" s="34" t="str">
        <x:v>Feedback-Directed Random Test Generation/Result_Round2/Chart_21/result.json</x:v>
      </x:c>
    </x:row>
    <x:row r="2585">
      <x:c r="A2585" s="34" t="str">
        <x:v>randoop</x:v>
      </x:c>
      <x:c r="B2585" s="34" t="str">
        <x:v>Chart</x:v>
      </x:c>
      <x:c r="C2585" s="34" t="str">
        <x:v>Round2</x:v>
      </x:c>
      <x:c r="D2585" s="34" t="str">
        <x:v>Chart_22</x:v>
      </x:c>
      <x:c r="E2585" s="34" t="str">
        <x:v>Line</x:v>
      </x:c>
      <x:c r="F2585" s="34" t="n">
        <x:v>124</x:v>
      </x:c>
      <x:c r="G2585" s="34" t="str">
        <x:v>RECORDED</x:v>
      </x:c>
      <x:c r="H2585" s="38" t="n">
        <x:f>IF(ISNUMBER('Data'!H877),'Data'!H877*100,"")</x:f>
        <x:v>93.55</x:v>
      </x:c>
      <x:c r="I2585" s="34" t="str">
        <x:v>PASS</x:v>
      </x:c>
      <x:c r="J2585" s="34" t="str">
        <x:v>PASS</x:v>
      </x:c>
      <x:c r="K2585" s="34" t="str">
        <x:v>PASS</x:v>
      </x:c>
      <x:c r="L2585" s="34" t="str">
        <x:v>FAIL</x:v>
      </x:c>
      <x:c r="M2585" s="34" t="str">
        <x:v>numeric coverage for applicable metric</x:v>
      </x:c>
      <x:c r="N2585" s="34" t="str">
        <x:v>Feedback-Directed Random Test Generation/Result_Round2/Chart_22/result.json</x:v>
      </x:c>
      <x:c r="O2585" s="38" t="n">
        <x:f>IF(AND(G2585="RECORDED",ISNUMBER(H2585)),H2585,"")</x:f>
        <x:v>93.55</x:v>
      </x:c>
      <x:c r="P2585" s="34" t="str">
        <x:v>INCONCLUSIVE</x:v>
      </x:c>
      <x:c r="Q2585" s="34" t="str">
        <x:v>Feedback-Directed Random Test Generation/Result_Round2/Chart_22/result.json</x:v>
      </x:c>
    </x:row>
    <x:row r="2586">
      <x:c r="A2586" s="34" t="str">
        <x:v>randoop</x:v>
      </x:c>
      <x:c r="B2586" s="34" t="str">
        <x:v>Chart</x:v>
      </x:c>
      <x:c r="C2586" s="34" t="str">
        <x:v>Round2</x:v>
      </x:c>
      <x:c r="D2586" s="34" t="str">
        <x:v>Chart_23</x:v>
      </x:c>
      <x:c r="E2586" s="34" t="str">
        <x:v>Line</x:v>
      </x:c>
      <x:c r="F2586" s="34" t="n">
        <x:v>144</x:v>
      </x:c>
      <x:c r="G2586" s="34" t="str">
        <x:v>RECORDED</x:v>
      </x:c>
      <x:c r="H2586" s="38" t="n">
        <x:f>IF(ISNUMBER('Data'!H878),'Data'!H878*100,"")</x:f>
        <x:v>36.81</x:v>
      </x:c>
      <x:c r="I2586" s="34" t="str">
        <x:v>PASS</x:v>
      </x:c>
      <x:c r="J2586" s="34" t="str">
        <x:v>PASS</x:v>
      </x:c>
      <x:c r="K2586" s="34" t="str">
        <x:v>PASS</x:v>
      </x:c>
      <x:c r="L2586" s="34" t="str">
        <x:v>FAIL</x:v>
      </x:c>
      <x:c r="M2586" s="34" t="str">
        <x:v>numeric coverage for applicable metric</x:v>
      </x:c>
      <x:c r="N2586" s="34" t="str">
        <x:v>Feedback-Directed Random Test Generation/Result_Round2/Chart_23/result.json</x:v>
      </x:c>
      <x:c r="O2586" s="38" t="n">
        <x:f>IF(AND(G2586="RECORDED",ISNUMBER(H2586)),H2586,"")</x:f>
        <x:v>36.81</x:v>
      </x:c>
      <x:c r="P2586" s="34" t="str">
        <x:v>INCONCLUSIVE</x:v>
      </x:c>
      <x:c r="Q2586" s="34" t="str">
        <x:v>Feedback-Directed Random Test Generation/Result_Round2/Chart_23/result.json</x:v>
      </x:c>
    </x:row>
    <x:row r="2587">
      <x:c r="A2587" s="34" t="str">
        <x:v>randoop</x:v>
      </x:c>
      <x:c r="B2587" s="34" t="str">
        <x:v>Chart</x:v>
      </x:c>
      <x:c r="C2587" s="34" t="str">
        <x:v>Round2</x:v>
      </x:c>
      <x:c r="D2587" s="34" t="str">
        <x:v>Chart_24</x:v>
      </x:c>
      <x:c r="E2587" s="34" t="str">
        <x:v>Line</x:v>
      </x:c>
      <x:c r="F2587" s="34" t="n">
        <x:v>25</x:v>
      </x:c>
      <x:c r="G2587" s="34" t="str">
        <x:v>RECORDED</x:v>
      </x:c>
      <x:c r="H2587" s="38" t="n">
        <x:f>IF(ISNUMBER('Data'!H879),'Data'!H879*100,"")</x:f>
        <x:v>96</x:v>
      </x:c>
      <x:c r="I2587" s="34" t="str">
        <x:v>PASS</x:v>
      </x:c>
      <x:c r="J2587" s="34" t="str">
        <x:v>PASS</x:v>
      </x:c>
      <x:c r="K2587" s="34" t="str">
        <x:v>PASS</x:v>
      </x:c>
      <x:c r="L2587" s="34" t="str">
        <x:v>FAIL</x:v>
      </x:c>
      <x:c r="M2587" s="34" t="str">
        <x:v>numeric coverage for applicable metric</x:v>
      </x:c>
      <x:c r="N2587" s="34" t="str">
        <x:v>Feedback-Directed Random Test Generation/Result_Round2/Chart_24/result.json</x:v>
      </x:c>
      <x:c r="O2587" s="38" t="n">
        <x:f>IF(AND(G2587="RECORDED",ISNUMBER(H2587)),H2587,"")</x:f>
        <x:v>96</x:v>
      </x:c>
      <x:c r="P2587" s="34" t="str">
        <x:v>INCONCLUSIVE</x:v>
      </x:c>
      <x:c r="Q2587" s="34" t="str">
        <x:v>Feedback-Directed Random Test Generation/Result_Round2/Chart_24/result.json</x:v>
      </x:c>
    </x:row>
    <x:row r="2588">
      <x:c r="A2588" s="34" t="str">
        <x:v>randoop</x:v>
      </x:c>
      <x:c r="B2588" s="34" t="str">
        <x:v>Chart</x:v>
      </x:c>
      <x:c r="C2588" s="34" t="str">
        <x:v>Round2</x:v>
      </x:c>
      <x:c r="D2588" s="34" t="str">
        <x:v>Chart_25</x:v>
      </x:c>
      <x:c r="E2588" s="34" t="str">
        <x:v>Line</x:v>
      </x:c>
      <x:c r="F2588" s="34" t="n">
        <x:v>174</x:v>
      </x:c>
      <x:c r="G2588" s="34" t="str">
        <x:v>RECORDED</x:v>
      </x:c>
      <x:c r="H2588" s="38" t="n">
        <x:f>IF(ISNUMBER('Data'!H880),'Data'!H880*100,"")</x:f>
        <x:v>13.79</x:v>
      </x:c>
      <x:c r="I2588" s="34" t="str">
        <x:v>PASS</x:v>
      </x:c>
      <x:c r="J2588" s="34" t="str">
        <x:v>PASS</x:v>
      </x:c>
      <x:c r="K2588" s="34" t="str">
        <x:v>PASS</x:v>
      </x:c>
      <x:c r="L2588" s="34" t="str">
        <x:v>FAIL</x:v>
      </x:c>
      <x:c r="M2588" s="34" t="str">
        <x:v>numeric coverage for applicable metric</x:v>
      </x:c>
      <x:c r="N2588" s="34" t="str">
        <x:v>Feedback-Directed Random Test Generation/Result_Round2/Chart_25/result.json</x:v>
      </x:c>
      <x:c r="O2588" s="38" t="n">
        <x:f>IF(AND(G2588="RECORDED",ISNUMBER(H2588)),H2588,"")</x:f>
        <x:v>13.79</x:v>
      </x:c>
      <x:c r="P2588" s="34" t="str">
        <x:v>INCONCLUSIVE</x:v>
      </x:c>
      <x:c r="Q2588" s="34" t="str">
        <x:v>Feedback-Directed Random Test Generation/Result_Round2/Chart_25/result.json</x:v>
      </x:c>
    </x:row>
    <x:row r="2589">
      <x:c r="A2589" s="34" t="str">
        <x:v>randoop</x:v>
      </x:c>
      <x:c r="B2589" s="34" t="str">
        <x:v>Chart</x:v>
      </x:c>
      <x:c r="C2589" s="34" t="str">
        <x:v>Round2</x:v>
      </x:c>
      <x:c r="D2589" s="34" t="str">
        <x:v>Chart_26</x:v>
      </x:c>
      <x:c r="E2589" s="34" t="str">
        <x:v>Line</x:v>
      </x:c>
      <x:c r="F2589" s="34" t="n">
        <x:v>350</x:v>
      </x:c>
      <x:c r="G2589" s="34" t="str">
        <x:v>RECORDED</x:v>
      </x:c>
      <x:c r="H2589" s="38" t="n">
        <x:f>IF(ISNUMBER('Data'!H881),'Data'!H881*100,"")</x:f>
        <x:v>2.86</x:v>
      </x:c>
      <x:c r="I2589" s="34" t="str">
        <x:v>PASS</x:v>
      </x:c>
      <x:c r="J2589" s="34" t="str">
        <x:v>PASS</x:v>
      </x:c>
      <x:c r="K2589" s="34" t="str">
        <x:v>PASS</x:v>
      </x:c>
      <x:c r="L2589" s="34" t="str">
        <x:v>PASS</x:v>
      </x:c>
      <x:c r="M2589" s="34" t="str">
        <x:v>numeric coverage for applicable metric</x:v>
      </x:c>
      <x:c r="N2589" s="34" t="str">
        <x:v>Feedback-Directed Random Test Generation/Result_Round2/Chart_26/result.json</x:v>
      </x:c>
      <x:c r="O2589" s="38" t="n">
        <x:f>IF(AND(G2589="RECORDED",ISNUMBER(H2589)),H2589,"")</x:f>
        <x:v>2.86</x:v>
      </x:c>
      <x:c r="P2589" s="34" t="str">
        <x:v>NOT_REVEALING</x:v>
      </x:c>
      <x:c r="Q2589" s="34" t="str">
        <x:v>Feedback-Directed Random Test Generation/Result_Round2/Chart_26/result.json</x:v>
      </x:c>
    </x:row>
    <x:row r="2590">
      <x:c r="A2590" s="34" t="str">
        <x:v>randoop</x:v>
      </x:c>
      <x:c r="B2590" s="34" t="str">
        <x:v>Cli</x:v>
      </x:c>
      <x:c r="C2590" s="34" t="str">
        <x:v>Round2</x:v>
      </x:c>
      <x:c r="D2590" s="34" t="str">
        <x:v>Cli_1</x:v>
      </x:c>
      <x:c r="E2590" s="34" t="str">
        <x:v>Line</x:v>
      </x:c>
      <x:c r="F2590" s="34" t="n">
        <x:v>45</x:v>
      </x:c>
      <x:c r="G2590" s="34" t="str">
        <x:v>RECORDED</x:v>
      </x:c>
      <x:c r="H2590" s="38" t="n">
        <x:f>IF(ISNUMBER('Data'!H882),'Data'!H882*100,"")</x:f>
        <x:v>0</x:v>
      </x:c>
      <x:c r="I2590" s="34" t="str">
        <x:v>PASS</x:v>
      </x:c>
      <x:c r="J2590" s="34" t="str">
        <x:v>PASS</x:v>
      </x:c>
      <x:c r="K2590" s="34" t="str">
        <x:v>PASS</x:v>
      </x:c>
      <x:c r="L2590" s="34" t="str">
        <x:v>FAIL</x:v>
      </x:c>
      <x:c r="M2590" s="34" t="str">
        <x:v>numeric coverage for applicable metric</x:v>
      </x:c>
      <x:c r="N2590" s="34" t="str">
        <x:v>Feedback-Directed Random Test Generation/Result_Round2/Cli_1/result.json</x:v>
      </x:c>
      <x:c r="O2590" s="38" t="n">
        <x:f>IF(AND(G2590="RECORDED",ISNUMBER(H2590)),H2590,"")</x:f>
        <x:v>0</x:v>
      </x:c>
      <x:c r="P2590" s="34" t="str">
        <x:v>INCONCLUSIVE</x:v>
      </x:c>
      <x:c r="Q2590" s="34" t="str">
        <x:v>Feedback-Directed Random Test Generation/Result_Round2/Cli_1/result.json</x:v>
      </x:c>
    </x:row>
    <x:row r="2591">
      <x:c r="A2591" s="34" t="str">
        <x:v>randoop</x:v>
      </x:c>
      <x:c r="B2591" s="34" t="str">
        <x:v>Cli</x:v>
      </x:c>
      <x:c r="C2591" s="34" t="str">
        <x:v>Round2</x:v>
      </x:c>
      <x:c r="D2591" s="34" t="str">
        <x:v>Cli_2</x:v>
      </x:c>
      <x:c r="E2591" s="34" t="str">
        <x:v>Line</x:v>
      </x:c>
      <x:c r="F2591" s="34" t="n">
        <x:v>68</x:v>
      </x:c>
      <x:c r="G2591" s="34" t="str">
        <x:v>RECORDED</x:v>
      </x:c>
      <x:c r="H2591" s="38" t="n">
        <x:f>IF(ISNUMBER('Data'!H883),'Data'!H883*100,"")</x:f>
        <x:v>0</x:v>
      </x:c>
      <x:c r="I2591" s="34" t="str">
        <x:v>PASS</x:v>
      </x:c>
      <x:c r="J2591" s="34" t="str">
        <x:v>PASS</x:v>
      </x:c>
      <x:c r="K2591" s="34" t="str">
        <x:v>PASS</x:v>
      </x:c>
      <x:c r="L2591" s="34" t="str">
        <x:v>FAIL</x:v>
      </x:c>
      <x:c r="M2591" s="34" t="str">
        <x:v>numeric coverage for applicable metric</x:v>
      </x:c>
      <x:c r="N2591" s="34" t="str">
        <x:v>Feedback-Directed Random Test Generation/Result_Round2/Cli_2/result.json</x:v>
      </x:c>
      <x:c r="O2591" s="38" t="n">
        <x:f>IF(AND(G2591="RECORDED",ISNUMBER(H2591)),H2591,"")</x:f>
        <x:v>0</x:v>
      </x:c>
      <x:c r="P2591" s="34" t="str">
        <x:v>INCONCLUSIVE</x:v>
      </x:c>
      <x:c r="Q2591" s="34" t="str">
        <x:v>Feedback-Directed Random Test Generation/Result_Round2/Cli_2/result.json</x:v>
      </x:c>
    </x:row>
    <x:row r="2592">
      <x:c r="A2592" s="34" t="str">
        <x:v>randoop</x:v>
      </x:c>
      <x:c r="B2592" s="34" t="str">
        <x:v>Cli</x:v>
      </x:c>
      <x:c r="C2592" s="34" t="str">
        <x:v>Round2</x:v>
      </x:c>
      <x:c r="D2592" s="34" t="str">
        <x:v>Cli_3</x:v>
      </x:c>
      <x:c r="E2592" s="34" t="str">
        <x:v>Line</x:v>
      </x:c>
      <x:c r="F2592" s="34" t="n">
        <x:v>55</x:v>
      </x:c>
      <x:c r="G2592" s="34" t="str">
        <x:v>RECORDED</x:v>
      </x:c>
      <x:c r="H2592" s="38" t="n">
        <x:f>IF(ISNUMBER('Data'!H884),'Data'!H884*100,"")</x:f>
        <x:v>0</x:v>
      </x:c>
      <x:c r="I2592" s="34" t="str">
        <x:v>PASS</x:v>
      </x:c>
      <x:c r="J2592" s="34" t="str">
        <x:v>PASS</x:v>
      </x:c>
      <x:c r="K2592" s="34" t="str">
        <x:v>PASS</x:v>
      </x:c>
      <x:c r="L2592" s="34" t="str">
        <x:v>FAIL</x:v>
      </x:c>
      <x:c r="M2592" s="34" t="str">
        <x:v>numeric coverage for applicable metric</x:v>
      </x:c>
      <x:c r="N2592" s="34" t="str">
        <x:v>Feedback-Directed Random Test Generation/Result_Round2/Cli_3/result.json</x:v>
      </x:c>
      <x:c r="O2592" s="38" t="n">
        <x:f>IF(AND(G2592="RECORDED",ISNUMBER(H2592)),H2592,"")</x:f>
        <x:v>0</x:v>
      </x:c>
      <x:c r="P2592" s="34" t="str">
        <x:v>INCONCLUSIVE</x:v>
      </x:c>
      <x:c r="Q2592" s="34" t="str">
        <x:v>Feedback-Directed Random Test Generation/Result_Round2/Cli_3/result.json</x:v>
      </x:c>
    </x:row>
    <x:row r="2593">
      <x:c r="A2593" s="34" t="str">
        <x:v>randoop</x:v>
      </x:c>
      <x:c r="B2593" s="34" t="str">
        <x:v>Cli</x:v>
      </x:c>
      <x:c r="C2593" s="34" t="str">
        <x:v>Round2</x:v>
      </x:c>
      <x:c r="D2593" s="34" t="str">
        <x:v>Cli_4</x:v>
      </x:c>
      <x:c r="E2593" s="34" t="str">
        <x:v>Line</x:v>
      </x:c>
      <x:c r="F2593" s="34" t="n">
        <x:v>99</x:v>
      </x:c>
      <x:c r="G2593" s="34" t="str">
        <x:v>RECORDED</x:v>
      </x:c>
      <x:c r="H2593" s="38" t="n">
        <x:f>IF(ISNUMBER('Data'!H885),'Data'!H885*100,"")</x:f>
        <x:v>0</x:v>
      </x:c>
      <x:c r="I2593" s="34" t="str">
        <x:v>PASS</x:v>
      </x:c>
      <x:c r="J2593" s="34" t="str">
        <x:v>PASS</x:v>
      </x:c>
      <x:c r="K2593" s="34" t="str">
        <x:v>PASS</x:v>
      </x:c>
      <x:c r="L2593" s="34" t="str">
        <x:v>FAIL</x:v>
      </x:c>
      <x:c r="M2593" s="34" t="str">
        <x:v>numeric coverage for applicable metric</x:v>
      </x:c>
      <x:c r="N2593" s="34" t="str">
        <x:v>Feedback-Directed Random Test Generation/Result_Round2/Cli_4/result.json</x:v>
      </x:c>
      <x:c r="O2593" s="38" t="n">
        <x:f>IF(AND(G2593="RECORDED",ISNUMBER(H2593)),H2593,"")</x:f>
        <x:v>0</x:v>
      </x:c>
      <x:c r="P2593" s="34" t="str">
        <x:v>INCONCLUSIVE</x:v>
      </x:c>
      <x:c r="Q2593" s="34" t="str">
        <x:v>Feedback-Directed Random Test Generation/Result_Round2/Cli_4/result.json</x:v>
      </x:c>
    </x:row>
    <x:row r="2594">
      <x:c r="A2594" s="34" t="str">
        <x:v>randoop</x:v>
      </x:c>
      <x:c r="B2594" s="34" t="str">
        <x:v>Cli</x:v>
      </x:c>
      <x:c r="C2594" s="34" t="str">
        <x:v>Round2</x:v>
      </x:c>
      <x:c r="D2594" s="34" t="str">
        <x:v>Cli_5</x:v>
      </x:c>
      <x:c r="E2594" s="34" t="str">
        <x:v>Line</x:v>
      </x:c>
      <x:c r="F2594" s="34" t="n">
        <x:v>11</x:v>
      </x:c>
      <x:c r="G2594" s="34" t="str">
        <x:v>RECORDED</x:v>
      </x:c>
      <x:c r="H2594" s="38" t="n">
        <x:f>IF(ISNUMBER('Data'!H886),'Data'!H886*100,"")</x:f>
        <x:v>0</x:v>
      </x:c>
      <x:c r="I2594" s="34" t="str">
        <x:v>PASS</x:v>
      </x:c>
      <x:c r="J2594" s="34" t="str">
        <x:v>PASS</x:v>
      </x:c>
      <x:c r="K2594" s="34" t="str">
        <x:v>PASS</x:v>
      </x:c>
      <x:c r="L2594" s="34" t="str">
        <x:v>FAIL</x:v>
      </x:c>
      <x:c r="M2594" s="34" t="str">
        <x:v>numeric coverage for applicable metric</x:v>
      </x:c>
      <x:c r="N2594" s="34" t="str">
        <x:v>Feedback-Directed Random Test Generation/Result_Round2/Cli_5/result.json</x:v>
      </x:c>
      <x:c r="O2594" s="38" t="n">
        <x:f>IF(AND(G2594="RECORDED",ISNUMBER(H2594)),H2594,"")</x:f>
        <x:v>0</x:v>
      </x:c>
      <x:c r="P2594" s="34" t="str">
        <x:v>INCONCLUSIVE</x:v>
      </x:c>
      <x:c r="Q2594" s="34" t="str">
        <x:v>Feedback-Directed Random Test Generation/Result_Round2/Cli_5/result.json</x:v>
      </x:c>
    </x:row>
    <x:row r="2595">
      <x:c r="A2595" s="34" t="str">
        <x:v>randoop</x:v>
      </x:c>
      <x:c r="B2595" s="34" t="str">
        <x:v>Cli</x:v>
      </x:c>
      <x:c r="C2595" s="34" t="str">
        <x:v>Round2</x:v>
      </x:c>
      <x:c r="D2595" s="34" t="str">
        <x:v>Cli_7</x:v>
      </x:c>
      <x:c r="E2595" s="34" t="str">
        <x:v>Line</x:v>
      </x:c>
      <x:c r="F2595" s="34" t="n">
        <x:v>68</x:v>
      </x:c>
      <x:c r="G2595" s="34" t="str">
        <x:v>RECORDED</x:v>
      </x:c>
      <x:c r="H2595" s="38" t="n">
        <x:f>IF(ISNUMBER('Data'!H887),'Data'!H887*100,"")</x:f>
        <x:v>0</x:v>
      </x:c>
      <x:c r="I2595" s="34" t="str">
        <x:v>PASS</x:v>
      </x:c>
      <x:c r="J2595" s="34" t="str">
        <x:v>PASS</x:v>
      </x:c>
      <x:c r="K2595" s="34" t="str">
        <x:v>PASS</x:v>
      </x:c>
      <x:c r="L2595" s="34" t="str">
        <x:v>FAIL</x:v>
      </x:c>
      <x:c r="M2595" s="34" t="str">
        <x:v>numeric coverage for applicable metric</x:v>
      </x:c>
      <x:c r="N2595" s="34" t="str">
        <x:v>Feedback-Directed Random Test Generation/Result_Round2/Cli_7/result.json</x:v>
      </x:c>
      <x:c r="O2595" s="38" t="n">
        <x:f>IF(AND(G2595="RECORDED",ISNUMBER(H2595)),H2595,"")</x:f>
        <x:v>0</x:v>
      </x:c>
      <x:c r="P2595" s="34" t="str">
        <x:v>INCONCLUSIVE</x:v>
      </x:c>
      <x:c r="Q2595" s="34" t="str">
        <x:v>Feedback-Directed Random Test Generation/Result_Round2/Cli_7/result.json</x:v>
      </x:c>
    </x:row>
    <x:row r="2596">
      <x:c r="A2596" s="34" t="str">
        <x:v>randoop</x:v>
      </x:c>
      <x:c r="B2596" s="34" t="str">
        <x:v>Cli</x:v>
      </x:c>
      <x:c r="C2596" s="34" t="str">
        <x:v>Round2</x:v>
      </x:c>
      <x:c r="D2596" s="34" t="str">
        <x:v>Cli_8</x:v>
      </x:c>
      <x:c r="E2596" s="34" t="str">
        <x:v>Line</x:v>
      </x:c>
      <x:c r="F2596" s="34" t="n">
        <x:v>192</x:v>
      </x:c>
      <x:c r="G2596" s="34" t="str">
        <x:v>RECORDED</x:v>
      </x:c>
      <x:c r="H2596" s="38" t="n">
        <x:f>IF(ISNUMBER('Data'!H888),'Data'!H888*100,"")</x:f>
        <x:v>0</x:v>
      </x:c>
      <x:c r="I2596" s="34" t="str">
        <x:v>PASS</x:v>
      </x:c>
      <x:c r="J2596" s="34" t="str">
        <x:v>PASS</x:v>
      </x:c>
      <x:c r="K2596" s="34" t="str">
        <x:v>PASS</x:v>
      </x:c>
      <x:c r="L2596" s="34" t="str">
        <x:v>FAIL</x:v>
      </x:c>
      <x:c r="M2596" s="34" t="str">
        <x:v>numeric coverage for applicable metric</x:v>
      </x:c>
      <x:c r="N2596" s="34" t="str">
        <x:v>Feedback-Directed Random Test Generation/Result_Round2/Cli_8/result.json</x:v>
      </x:c>
      <x:c r="O2596" s="38" t="n">
        <x:f>IF(AND(G2596="RECORDED",ISNUMBER(H2596)),H2596,"")</x:f>
        <x:v>0</x:v>
      </x:c>
      <x:c r="P2596" s="34" t="str">
        <x:v>INCONCLUSIVE</x:v>
      </x:c>
      <x:c r="Q2596" s="34" t="str">
        <x:v>Feedback-Directed Random Test Generation/Result_Round2/Cli_8/result.json</x:v>
      </x:c>
    </x:row>
    <x:row r="2597">
      <x:c r="A2597" s="34" t="str">
        <x:v>randoop</x:v>
      </x:c>
      <x:c r="B2597" s="34" t="str">
        <x:v>Cli</x:v>
      </x:c>
      <x:c r="C2597" s="34" t="str">
        <x:v>Round2</x:v>
      </x:c>
      <x:c r="D2597" s="34" t="str">
        <x:v>Cli_9</x:v>
      </x:c>
      <x:c r="E2597" s="34" t="str">
        <x:v>Line</x:v>
      </x:c>
      <x:c r="F2597" s="34" t="n">
        <x:v>105</x:v>
      </x:c>
      <x:c r="G2597" s="34" t="str">
        <x:v>RECORDED</x:v>
      </x:c>
      <x:c r="H2597" s="38" t="n">
        <x:f>IF(ISNUMBER('Data'!H889),'Data'!H889*100,"")</x:f>
        <x:v>0</x:v>
      </x:c>
      <x:c r="I2597" s="34" t="str">
        <x:v>PASS</x:v>
      </x:c>
      <x:c r="J2597" s="34" t="str">
        <x:v>PASS</x:v>
      </x:c>
      <x:c r="K2597" s="34" t="str">
        <x:v>PASS</x:v>
      </x:c>
      <x:c r="L2597" s="34" t="str">
        <x:v>FAIL</x:v>
      </x:c>
      <x:c r="M2597" s="34" t="str">
        <x:v>numeric coverage for applicable metric</x:v>
      </x:c>
      <x:c r="N2597" s="34" t="str">
        <x:v>Feedback-Directed Random Test Generation/Result_Round2/Cli_9/result.json</x:v>
      </x:c>
      <x:c r="O2597" s="38" t="n">
        <x:f>IF(AND(G2597="RECORDED",ISNUMBER(H2597)),H2597,"")</x:f>
        <x:v>0</x:v>
      </x:c>
      <x:c r="P2597" s="34" t="str">
        <x:v>INCONCLUSIVE</x:v>
      </x:c>
      <x:c r="Q2597" s="34" t="str">
        <x:v>Feedback-Directed Random Test Generation/Result_Round2/Cli_9/result.json</x:v>
      </x:c>
    </x:row>
    <x:row r="2598">
      <x:c r="A2598" s="34" t="str">
        <x:v>randoop</x:v>
      </x:c>
      <x:c r="B2598" s="34" t="str">
        <x:v>Cli</x:v>
      </x:c>
      <x:c r="C2598" s="34" t="str">
        <x:v>Round2</x:v>
      </x:c>
      <x:c r="D2598" s="34" t="str">
        <x:v>Cli_10</x:v>
      </x:c>
      <x:c r="E2598" s="34" t="str">
        <x:v>Line</x:v>
      </x:c>
      <x:c r="F2598" s="34" t="n">
        <x:v>106</x:v>
      </x:c>
      <x:c r="G2598" s="34" t="str">
        <x:v>RECORDED</x:v>
      </x:c>
      <x:c r="H2598" s="38" t="n">
        <x:f>IF(ISNUMBER('Data'!H890),'Data'!H890*100,"")</x:f>
        <x:v>0</x:v>
      </x:c>
      <x:c r="I2598" s="34" t="str">
        <x:v>PASS</x:v>
      </x:c>
      <x:c r="J2598" s="34" t="str">
        <x:v>PASS</x:v>
      </x:c>
      <x:c r="K2598" s="34" t="str">
        <x:v>PASS</x:v>
      </x:c>
      <x:c r="L2598" s="34" t="str">
        <x:v>FAIL</x:v>
      </x:c>
      <x:c r="M2598" s="34" t="str">
        <x:v>numeric coverage for applicable metric</x:v>
      </x:c>
      <x:c r="N2598" s="34" t="str">
        <x:v>Feedback-Directed Random Test Generation/Result_Round2/Cli_10/result.json</x:v>
      </x:c>
      <x:c r="O2598" s="38" t="n">
        <x:f>IF(AND(G2598="RECORDED",ISNUMBER(H2598)),H2598,"")</x:f>
        <x:v>0</x:v>
      </x:c>
      <x:c r="P2598" s="34" t="str">
        <x:v>INCONCLUSIVE</x:v>
      </x:c>
      <x:c r="Q2598" s="34" t="str">
        <x:v>Feedback-Directed Random Test Generation/Result_Round2/Cli_10/result.json</x:v>
      </x:c>
    </x:row>
    <x:row r="2599">
      <x:c r="A2599" s="34" t="str">
        <x:v>randoop</x:v>
      </x:c>
      <x:c r="B2599" s="34" t="str">
        <x:v>Cli</x:v>
      </x:c>
      <x:c r="C2599" s="34" t="str">
        <x:v>Round2</x:v>
      </x:c>
      <x:c r="D2599" s="34" t="str">
        <x:v>Cli_11</x:v>
      </x:c>
      <x:c r="E2599" s="34" t="str">
        <x:v>Line</x:v>
      </x:c>
      <x:c r="F2599" s="34" t="n">
        <x:v>198</x:v>
      </x:c>
      <x:c r="G2599" s="34" t="str">
        <x:v>RECORDED</x:v>
      </x:c>
      <x:c r="H2599" s="38" t="n">
        <x:f>IF(ISNUMBER('Data'!H891),'Data'!H891*100,"")</x:f>
        <x:v>0</x:v>
      </x:c>
      <x:c r="I2599" s="34" t="str">
        <x:v>PASS</x:v>
      </x:c>
      <x:c r="J2599" s="34" t="str">
        <x:v>PASS</x:v>
      </x:c>
      <x:c r="K2599" s="34" t="str">
        <x:v>PASS</x:v>
      </x:c>
      <x:c r="L2599" s="34" t="str">
        <x:v>FAIL</x:v>
      </x:c>
      <x:c r="M2599" s="34" t="str">
        <x:v>numeric coverage for applicable metric</x:v>
      </x:c>
      <x:c r="N2599" s="34" t="str">
        <x:v>Feedback-Directed Random Test Generation/Result_Round2/Cli_11/result.json</x:v>
      </x:c>
      <x:c r="O2599" s="38" t="n">
        <x:f>IF(AND(G2599="RECORDED",ISNUMBER(H2599)),H2599,"")</x:f>
        <x:v>0</x:v>
      </x:c>
      <x:c r="P2599" s="34" t="str">
        <x:v>INCONCLUSIVE</x:v>
      </x:c>
      <x:c r="Q2599" s="34" t="str">
        <x:v>Feedback-Directed Random Test Generation/Result_Round2/Cli_11/result.json</x:v>
      </x:c>
    </x:row>
    <x:row r="2600">
      <x:c r="A2600" s="34" t="str">
        <x:v>randoop</x:v>
      </x:c>
      <x:c r="B2600" s="34" t="str">
        <x:v>Cli</x:v>
      </x:c>
      <x:c r="C2600" s="34" t="str">
        <x:v>Round2</x:v>
      </x:c>
      <x:c r="D2600" s="34" t="str">
        <x:v>Cli_12</x:v>
      </x:c>
      <x:c r="E2600" s="34" t="str">
        <x:v>Line</x:v>
      </x:c>
      <x:c r="F2600" s="34" t="n">
        <x:v>25</x:v>
      </x:c>
      <x:c r="G2600" s="34" t="str">
        <x:v>RECORDED</x:v>
      </x:c>
      <x:c r="H2600" s="38" t="n">
        <x:f>IF(ISNUMBER('Data'!H892),'Data'!H892*100,"")</x:f>
        <x:v>0</x:v>
      </x:c>
      <x:c r="I2600" s="34" t="str">
        <x:v>PASS</x:v>
      </x:c>
      <x:c r="J2600" s="34" t="str">
        <x:v>PASS</x:v>
      </x:c>
      <x:c r="K2600" s="34" t="str">
        <x:v>PASS</x:v>
      </x:c>
      <x:c r="L2600" s="34" t="str">
        <x:v>FAIL</x:v>
      </x:c>
      <x:c r="M2600" s="34" t="str">
        <x:v>numeric coverage for applicable metric</x:v>
      </x:c>
      <x:c r="N2600" s="34" t="str">
        <x:v>Feedback-Directed Random Test Generation/Result_Round2/Cli_12/result.json</x:v>
      </x:c>
      <x:c r="O2600" s="38" t="n">
        <x:f>IF(AND(G2600="RECORDED",ISNUMBER(H2600)),H2600,"")</x:f>
        <x:v>0</x:v>
      </x:c>
      <x:c r="P2600" s="34" t="str">
        <x:v>INCONCLUSIVE</x:v>
      </x:c>
      <x:c r="Q2600" s="34" t="str">
        <x:v>Feedback-Directed Random Test Generation/Result_Round2/Cli_12/result.json</x:v>
      </x:c>
    </x:row>
    <x:row r="2601">
      <x:c r="A2601" s="34" t="str">
        <x:v>randoop</x:v>
      </x:c>
      <x:c r="B2601" s="34" t="str">
        <x:v>Cli</x:v>
      </x:c>
      <x:c r="C2601" s="34" t="str">
        <x:v>Round2</x:v>
      </x:c>
      <x:c r="D2601" s="34" t="str">
        <x:v>Cli_13</x:v>
      </x:c>
      <x:c r="E2601" s="34" t="str">
        <x:v>Line</x:v>
      </x:c>
      <x:c r="F2601" s="34" t="n">
        <x:v>193</x:v>
      </x:c>
      <x:c r="G2601" s="34" t="str">
        <x:v>RECORDED</x:v>
      </x:c>
      <x:c r="H2601" s="38" t="n">
        <x:f>IF(ISNUMBER('Data'!H893),'Data'!H893*100,"")</x:f>
        <x:v>0</x:v>
      </x:c>
      <x:c r="I2601" s="34" t="str">
        <x:v>PASS</x:v>
      </x:c>
      <x:c r="J2601" s="34" t="str">
        <x:v>PASS</x:v>
      </x:c>
      <x:c r="K2601" s="34" t="str">
        <x:v>PASS</x:v>
      </x:c>
      <x:c r="L2601" s="34" t="str">
        <x:v>FAIL</x:v>
      </x:c>
      <x:c r="M2601" s="34" t="str">
        <x:v>numeric coverage for applicable metric</x:v>
      </x:c>
      <x:c r="N2601" s="34" t="str">
        <x:v>Feedback-Directed Random Test Generation/Result_Round2/Cli_13/result.json</x:v>
      </x:c>
      <x:c r="O2601" s="38" t="n">
        <x:f>IF(AND(G2601="RECORDED",ISNUMBER(H2601)),H2601,"")</x:f>
        <x:v>0</x:v>
      </x:c>
      <x:c r="P2601" s="34" t="str">
        <x:v>INCONCLUSIVE</x:v>
      </x:c>
      <x:c r="Q2601" s="34" t="str">
        <x:v>Feedback-Directed Random Test Generation/Result_Round2/Cli_13/result.json</x:v>
      </x:c>
    </x:row>
    <x:row r="2602">
      <x:c r="A2602" s="34" t="str">
        <x:v>randoop</x:v>
      </x:c>
      <x:c r="B2602" s="34" t="str">
        <x:v>Cli</x:v>
      </x:c>
      <x:c r="C2602" s="34" t="str">
        <x:v>Round2</x:v>
      </x:c>
      <x:c r="D2602" s="34" t="str">
        <x:v>Cli_14</x:v>
      </x:c>
      <x:c r="E2602" s="34" t="str">
        <x:v>Line</x:v>
      </x:c>
      <x:c r="F2602" s="34" t="n">
        <x:v>189</x:v>
      </x:c>
      <x:c r="G2602" s="34" t="str">
        <x:v>RECORDED</x:v>
      </x:c>
      <x:c r="H2602" s="38" t="n">
        <x:f>IF(ISNUMBER('Data'!H894),'Data'!H894*100,"")</x:f>
        <x:v>0</x:v>
      </x:c>
      <x:c r="I2602" s="34" t="str">
        <x:v>PASS</x:v>
      </x:c>
      <x:c r="J2602" s="34" t="str">
        <x:v>PASS</x:v>
      </x:c>
      <x:c r="K2602" s="34" t="str">
        <x:v>PASS</x:v>
      </x:c>
      <x:c r="L2602" s="34" t="str">
        <x:v>FAIL</x:v>
      </x:c>
      <x:c r="M2602" s="34" t="str">
        <x:v>numeric coverage for applicable metric</x:v>
      </x:c>
      <x:c r="N2602" s="34" t="str">
        <x:v>Feedback-Directed Random Test Generation/Result_Round2/Cli_14/result.json</x:v>
      </x:c>
      <x:c r="O2602" s="38" t="n">
        <x:f>IF(AND(G2602="RECORDED",ISNUMBER(H2602)),H2602,"")</x:f>
        <x:v>0</x:v>
      </x:c>
      <x:c r="P2602" s="34" t="str">
        <x:v>INCONCLUSIVE</x:v>
      </x:c>
      <x:c r="Q2602" s="34" t="str">
        <x:v>Feedback-Directed Random Test Generation/Result_Round2/Cli_14/result.json</x:v>
      </x:c>
    </x:row>
    <x:row r="2603">
      <x:c r="A2603" s="34" t="str">
        <x:v>randoop</x:v>
      </x:c>
      <x:c r="B2603" s="34" t="str">
        <x:v>Cli</x:v>
      </x:c>
      <x:c r="C2603" s="34" t="str">
        <x:v>Round2</x:v>
      </x:c>
      <x:c r="D2603" s="34" t="str">
        <x:v>Cli_15</x:v>
      </x:c>
      <x:c r="E2603" s="34" t="str">
        <x:v>Line</x:v>
      </x:c>
      <x:c r="F2603" s="34" t="n">
        <x:v>93</x:v>
      </x:c>
      <x:c r="G2603" s="34" t="str">
        <x:v>RECORDED</x:v>
      </x:c>
      <x:c r="H2603" s="38" t="n">
        <x:f>IF(ISNUMBER('Data'!H895),'Data'!H895*100,"")</x:f>
        <x:v>0</x:v>
      </x:c>
      <x:c r="I2603" s="34" t="str">
        <x:v>PASS</x:v>
      </x:c>
      <x:c r="J2603" s="34" t="str">
        <x:v>PASS</x:v>
      </x:c>
      <x:c r="K2603" s="34" t="str">
        <x:v>PASS</x:v>
      </x:c>
      <x:c r="L2603" s="34" t="str">
        <x:v>FAIL</x:v>
      </x:c>
      <x:c r="M2603" s="34" t="str">
        <x:v>numeric coverage for applicable metric</x:v>
      </x:c>
      <x:c r="N2603" s="34" t="str">
        <x:v>Feedback-Directed Random Test Generation/Result_Round2/Cli_15/result.json</x:v>
      </x:c>
      <x:c r="O2603" s="38" t="n">
        <x:f>IF(AND(G2603="RECORDED",ISNUMBER(H2603)),H2603,"")</x:f>
        <x:v>0</x:v>
      </x:c>
      <x:c r="P2603" s="34" t="str">
        <x:v>INCONCLUSIVE</x:v>
      </x:c>
      <x:c r="Q2603" s="34" t="str">
        <x:v>Feedback-Directed Random Test Generation/Result_Round2/Cli_15/result.json</x:v>
      </x:c>
    </x:row>
    <x:row r="2604">
      <x:c r="A2604" s="34" t="str">
        <x:v>randoop</x:v>
      </x:c>
      <x:c r="B2604" s="34" t="str">
        <x:v>Cli</x:v>
      </x:c>
      <x:c r="C2604" s="34" t="str">
        <x:v>Round2</x:v>
      </x:c>
      <x:c r="D2604" s="34" t="str">
        <x:v>Cli_16</x:v>
      </x:c>
      <x:c r="E2604" s="34" t="str">
        <x:v>Line</x:v>
      </x:c>
      <x:c r="F2604" s="34" t="n">
        <x:v>343</x:v>
      </x:c>
      <x:c r="G2604" s="34" t="str">
        <x:v>RECORDED</x:v>
      </x:c>
      <x:c r="H2604" s="38" t="n">
        <x:f>IF(ISNUMBER('Data'!H896),'Data'!H896*100,"")</x:f>
        <x:v>0</x:v>
      </x:c>
      <x:c r="I2604" s="34" t="str">
        <x:v>PASS</x:v>
      </x:c>
      <x:c r="J2604" s="34" t="str">
        <x:v>PASS</x:v>
      </x:c>
      <x:c r="K2604" s="34" t="str">
        <x:v>PASS</x:v>
      </x:c>
      <x:c r="L2604" s="34" t="str">
        <x:v>FAIL</x:v>
      </x:c>
      <x:c r="M2604" s="34" t="str">
        <x:v>numeric coverage for applicable metric</x:v>
      </x:c>
      <x:c r="N2604" s="34" t="str">
        <x:v>Feedback-Directed Random Test Generation/Result_Round2/Cli_16/result.json</x:v>
      </x:c>
      <x:c r="O2604" s="38" t="n">
        <x:f>IF(AND(G2604="RECORDED",ISNUMBER(H2604)),H2604,"")</x:f>
        <x:v>0</x:v>
      </x:c>
      <x:c r="P2604" s="34" t="str">
        <x:v>INCONCLUSIVE</x:v>
      </x:c>
      <x:c r="Q2604" s="34" t="str">
        <x:v>Feedback-Directed Random Test Generation/Result_Round2/Cli_16/result.json</x:v>
      </x:c>
    </x:row>
    <x:row r="2605">
      <x:c r="A2605" s="34" t="str">
        <x:v>randoop</x:v>
      </x:c>
      <x:c r="B2605" s="34" t="str">
        <x:v>Cli</x:v>
      </x:c>
      <x:c r="C2605" s="34" t="str">
        <x:v>Round2</x:v>
      </x:c>
      <x:c r="D2605" s="34" t="str">
        <x:v>Cli_17</x:v>
      </x:c>
      <x:c r="E2605" s="34" t="str">
        <x:v>Line</x:v>
      </x:c>
      <x:c r="F2605" s="34" t="n">
        <x:v>67</x:v>
      </x:c>
      <x:c r="G2605" s="34" t="str">
        <x:v>RECORDED</x:v>
      </x:c>
      <x:c r="H2605" s="38" t="n">
        <x:f>IF(ISNUMBER('Data'!H897),'Data'!H897*100,"")</x:f>
        <x:v>0</x:v>
      </x:c>
      <x:c r="I2605" s="34" t="str">
        <x:v>PASS</x:v>
      </x:c>
      <x:c r="J2605" s="34" t="str">
        <x:v>PASS</x:v>
      </x:c>
      <x:c r="K2605" s="34" t="str">
        <x:v>PASS</x:v>
      </x:c>
      <x:c r="L2605" s="34" t="str">
        <x:v>FAIL</x:v>
      </x:c>
      <x:c r="M2605" s="34" t="str">
        <x:v>numeric coverage for applicable metric</x:v>
      </x:c>
      <x:c r="N2605" s="34" t="str">
        <x:v>Feedback-Directed Random Test Generation/Result_Round2/Cli_17/result.json</x:v>
      </x:c>
      <x:c r="O2605" s="38" t="n">
        <x:f>IF(AND(G2605="RECORDED",ISNUMBER(H2605)),H2605,"")</x:f>
        <x:v>0</x:v>
      </x:c>
      <x:c r="P2605" s="34" t="str">
        <x:v>INCONCLUSIVE</x:v>
      </x:c>
      <x:c r="Q2605" s="34" t="str">
        <x:v>Feedback-Directed Random Test Generation/Result_Round2/Cli_17/result.json</x:v>
      </x:c>
    </x:row>
    <x:row r="2606">
      <x:c r="A2606" s="34" t="str">
        <x:v>randoop</x:v>
      </x:c>
      <x:c r="B2606" s="34" t="str">
        <x:v>Cli</x:v>
      </x:c>
      <x:c r="C2606" s="34" t="str">
        <x:v>Round2</x:v>
      </x:c>
      <x:c r="D2606" s="34" t="str">
        <x:v>Cli_18</x:v>
      </x:c>
      <x:c r="E2606" s="34" t="str">
        <x:v>Line</x:v>
      </x:c>
      <x:c r="F2606" s="34" t="n">
        <x:v>66</x:v>
      </x:c>
      <x:c r="G2606" s="34" t="str">
        <x:v>RECORDED</x:v>
      </x:c>
      <x:c r="H2606" s="38" t="n">
        <x:f>IF(ISNUMBER('Data'!H898),'Data'!H898*100,"")</x:f>
        <x:v>0</x:v>
      </x:c>
      <x:c r="I2606" s="34" t="str">
        <x:v>PASS</x:v>
      </x:c>
      <x:c r="J2606" s="34" t="str">
        <x:v>PASS</x:v>
      </x:c>
      <x:c r="K2606" s="34" t="str">
        <x:v>PASS</x:v>
      </x:c>
      <x:c r="L2606" s="34" t="str">
        <x:v>FAIL</x:v>
      </x:c>
      <x:c r="M2606" s="34" t="str">
        <x:v>numeric coverage for applicable metric</x:v>
      </x:c>
      <x:c r="N2606" s="34" t="str">
        <x:v>Feedback-Directed Random Test Generation/Result_Round2/Cli_18/result.json</x:v>
      </x:c>
      <x:c r="O2606" s="38" t="n">
        <x:f>IF(AND(G2606="RECORDED",ISNUMBER(H2606)),H2606,"")</x:f>
        <x:v>0</x:v>
      </x:c>
      <x:c r="P2606" s="34" t="str">
        <x:v>INCONCLUSIVE</x:v>
      </x:c>
      <x:c r="Q2606" s="34" t="str">
        <x:v>Feedback-Directed Random Test Generation/Result_Round2/Cli_18/result.json</x:v>
      </x:c>
    </x:row>
    <x:row r="2607">
      <x:c r="A2607" s="34" t="str">
        <x:v>randoop</x:v>
      </x:c>
      <x:c r="B2607" s="34" t="str">
        <x:v>Cli</x:v>
      </x:c>
      <x:c r="C2607" s="34" t="str">
        <x:v>Round2</x:v>
      </x:c>
      <x:c r="D2607" s="34" t="str">
        <x:v>Cli_19</x:v>
      </x:c>
      <x:c r="E2607" s="34" t="str">
        <x:v>Line</x:v>
      </x:c>
      <x:c r="F2607" s="34" t="n">
        <x:v>65</x:v>
      </x:c>
      <x:c r="G2607" s="34" t="str">
        <x:v>RECORDED</x:v>
      </x:c>
      <x:c r="H2607" s="38" t="n">
        <x:f>IF(ISNUMBER('Data'!H899),'Data'!H899*100,"")</x:f>
        <x:v>0</x:v>
      </x:c>
      <x:c r="I2607" s="34" t="str">
        <x:v>PASS</x:v>
      </x:c>
      <x:c r="J2607" s="34" t="str">
        <x:v>PASS</x:v>
      </x:c>
      <x:c r="K2607" s="34" t="str">
        <x:v>PASS</x:v>
      </x:c>
      <x:c r="L2607" s="34" t="str">
        <x:v>FAIL</x:v>
      </x:c>
      <x:c r="M2607" s="34" t="str">
        <x:v>numeric coverage for applicable metric</x:v>
      </x:c>
      <x:c r="N2607" s="34" t="str">
        <x:v>Feedback-Directed Random Test Generation/Result_Round2/Cli_19/result.json</x:v>
      </x:c>
      <x:c r="O2607" s="38" t="n">
        <x:f>IF(AND(G2607="RECORDED",ISNUMBER(H2607)),H2607,"")</x:f>
        <x:v>0</x:v>
      </x:c>
      <x:c r="P2607" s="34" t="str">
        <x:v>INCONCLUSIVE</x:v>
      </x:c>
      <x:c r="Q2607" s="34" t="str">
        <x:v>Feedback-Directed Random Test Generation/Result_Round2/Cli_19/result.json</x:v>
      </x:c>
    </x:row>
    <x:row r="2608">
      <x:c r="A2608" s="34" t="str">
        <x:v>randoop</x:v>
      </x:c>
      <x:c r="B2608" s="34" t="str">
        <x:v>Cli</x:v>
      </x:c>
      <x:c r="C2608" s="34" t="str">
        <x:v>Round2</x:v>
      </x:c>
      <x:c r="D2608" s="34" t="str">
        <x:v>Cli_20</x:v>
      </x:c>
      <x:c r="E2608" s="34" t="str">
        <x:v>Line</x:v>
      </x:c>
      <x:c r="F2608" s="34" t="n">
        <x:v>64</x:v>
      </x:c>
      <x:c r="G2608" s="34" t="str">
        <x:v>RECORDED</x:v>
      </x:c>
      <x:c r="H2608" s="38" t="n">
        <x:f>IF(ISNUMBER('Data'!H900),'Data'!H900*100,"")</x:f>
        <x:v>0</x:v>
      </x:c>
      <x:c r="I2608" s="34" t="str">
        <x:v>PASS</x:v>
      </x:c>
      <x:c r="J2608" s="34" t="str">
        <x:v>PASS</x:v>
      </x:c>
      <x:c r="K2608" s="34" t="str">
        <x:v>PASS</x:v>
      </x:c>
      <x:c r="L2608" s="34" t="str">
        <x:v>FAIL</x:v>
      </x:c>
      <x:c r="M2608" s="34" t="str">
        <x:v>numeric coverage for applicable metric</x:v>
      </x:c>
      <x:c r="N2608" s="34" t="str">
        <x:v>Feedback-Directed Random Test Generation/Result_Round2/Cli_20/result.json</x:v>
      </x:c>
      <x:c r="O2608" s="38" t="n">
        <x:f>IF(AND(G2608="RECORDED",ISNUMBER(H2608)),H2608,"")</x:f>
        <x:v>0</x:v>
      </x:c>
      <x:c r="P2608" s="34" t="str">
        <x:v>INCONCLUSIVE</x:v>
      </x:c>
      <x:c r="Q2608" s="34" t="str">
        <x:v>Feedback-Directed Random Test Generation/Result_Round2/Cli_20/result.json</x:v>
      </x:c>
    </x:row>
    <x:row r="2609">
      <x:c r="A2609" s="34" t="str">
        <x:v>randoop</x:v>
      </x:c>
      <x:c r="B2609" s="34" t="str">
        <x:v>Cli</x:v>
      </x:c>
      <x:c r="C2609" s="34" t="str">
        <x:v>Round2</x:v>
      </x:c>
      <x:c r="D2609" s="34" t="str">
        <x:v>Cli_21</x:v>
      </x:c>
      <x:c r="E2609" s="34" t="str">
        <x:v>Line</x:v>
      </x:c>
      <x:c r="F2609" s="34" t="n">
        <x:v>294</x:v>
      </x:c>
      <x:c r="G2609" s="34" t="str">
        <x:v>RECORDED</x:v>
      </x:c>
      <x:c r="H2609" s="38" t="n">
        <x:f>IF(ISNUMBER('Data'!H901),'Data'!H901*100,"")</x:f>
        <x:v>0</x:v>
      </x:c>
      <x:c r="I2609" s="34" t="str">
        <x:v>PASS</x:v>
      </x:c>
      <x:c r="J2609" s="34" t="str">
        <x:v>PASS</x:v>
      </x:c>
      <x:c r="K2609" s="34" t="str">
        <x:v>PASS</x:v>
      </x:c>
      <x:c r="L2609" s="34" t="str">
        <x:v>FAIL</x:v>
      </x:c>
      <x:c r="M2609" s="34" t="str">
        <x:v>numeric coverage for applicable metric</x:v>
      </x:c>
      <x:c r="N2609" s="34" t="str">
        <x:v>Feedback-Directed Random Test Generation/Result_Round2/Cli_21/result.json</x:v>
      </x:c>
      <x:c r="O2609" s="38" t="n">
        <x:f>IF(AND(G2609="RECORDED",ISNUMBER(H2609)),H2609,"")</x:f>
        <x:v>0</x:v>
      </x:c>
      <x:c r="P2609" s="34" t="str">
        <x:v>INCONCLUSIVE</x:v>
      </x:c>
      <x:c r="Q2609" s="34" t="str">
        <x:v>Feedback-Directed Random Test Generation/Result_Round2/Cli_21/result.json</x:v>
      </x:c>
    </x:row>
    <x:row r="2610">
      <x:c r="A2610" s="34" t="str">
        <x:v>randoop</x:v>
      </x:c>
      <x:c r="B2610" s="34" t="str">
        <x:v>Cli</x:v>
      </x:c>
      <x:c r="C2610" s="34" t="str">
        <x:v>Round2</x:v>
      </x:c>
      <x:c r="D2610" s="34" t="str">
        <x:v>Cli_22</x:v>
      </x:c>
      <x:c r="E2610" s="34" t="str">
        <x:v>Line</x:v>
      </x:c>
      <x:c r="F2610" s="34" t="n">
        <x:v>57</x:v>
      </x:c>
      <x:c r="G2610" s="34" t="str">
        <x:v>RECORDED</x:v>
      </x:c>
      <x:c r="H2610" s="38" t="n">
        <x:f>IF(ISNUMBER('Data'!H902),'Data'!H902*100,"")</x:f>
        <x:v>0</x:v>
      </x:c>
      <x:c r="I2610" s="34" t="str">
        <x:v>PASS</x:v>
      </x:c>
      <x:c r="J2610" s="34" t="str">
        <x:v>PASS</x:v>
      </x:c>
      <x:c r="K2610" s="34" t="str">
        <x:v>PASS</x:v>
      </x:c>
      <x:c r="L2610" s="34" t="str">
        <x:v>FAIL</x:v>
      </x:c>
      <x:c r="M2610" s="34" t="str">
        <x:v>numeric coverage for applicable metric</x:v>
      </x:c>
      <x:c r="N2610" s="34" t="str">
        <x:v>Feedback-Directed Random Test Generation/Result_Round2/Cli_22/result.json</x:v>
      </x:c>
      <x:c r="O2610" s="38" t="n">
        <x:f>IF(AND(G2610="RECORDED",ISNUMBER(H2610)),H2610,"")</x:f>
        <x:v>0</x:v>
      </x:c>
      <x:c r="P2610" s="34" t="str">
        <x:v>INCONCLUSIVE</x:v>
      </x:c>
      <x:c r="Q2610" s="34" t="str">
        <x:v>Feedback-Directed Random Test Generation/Result_Round2/Cli_22/result.json</x:v>
      </x:c>
    </x:row>
    <x:row r="2611">
      <x:c r="A2611" s="34" t="str">
        <x:v>randoop</x:v>
      </x:c>
      <x:c r="B2611" s="34" t="str">
        <x:v>Cli</x:v>
      </x:c>
      <x:c r="C2611" s="34" t="str">
        <x:v>Round2</x:v>
      </x:c>
      <x:c r="D2611" s="34" t="str">
        <x:v>Cli_23</x:v>
      </x:c>
      <x:c r="E2611" s="34" t="str">
        <x:v>Line</x:v>
      </x:c>
      <x:c r="F2611" s="34" t="n">
        <x:v>198</x:v>
      </x:c>
      <x:c r="G2611" s="34" t="str">
        <x:v>RECORDED</x:v>
      </x:c>
      <x:c r="H2611" s="38" t="n">
        <x:f>IF(ISNUMBER('Data'!H903),'Data'!H903*100,"")</x:f>
        <x:v>0</x:v>
      </x:c>
      <x:c r="I2611" s="34" t="str">
        <x:v>PASS</x:v>
      </x:c>
      <x:c r="J2611" s="34" t="str">
        <x:v>PASS</x:v>
      </x:c>
      <x:c r="K2611" s="34" t="str">
        <x:v>PASS</x:v>
      </x:c>
      <x:c r="L2611" s="34" t="str">
        <x:v>FAIL</x:v>
      </x:c>
      <x:c r="M2611" s="34" t="str">
        <x:v>numeric coverage for applicable metric</x:v>
      </x:c>
      <x:c r="N2611" s="34" t="str">
        <x:v>Feedback-Directed Random Test Generation/Result_Round2/Cli_23/result.json</x:v>
      </x:c>
      <x:c r="O2611" s="38" t="n">
        <x:f>IF(AND(G2611="RECORDED",ISNUMBER(H2611)),H2611,"")</x:f>
        <x:v>0</x:v>
      </x:c>
      <x:c r="P2611" s="34" t="str">
        <x:v>INCONCLUSIVE</x:v>
      </x:c>
      <x:c r="Q2611" s="34" t="str">
        <x:v>Feedback-Directed Random Test Generation/Result_Round2/Cli_23/result.json</x:v>
      </x:c>
    </x:row>
    <x:row r="2612">
      <x:c r="A2612" s="34" t="str">
        <x:v>randoop</x:v>
      </x:c>
      <x:c r="B2612" s="34" t="str">
        <x:v>Cli</x:v>
      </x:c>
      <x:c r="C2612" s="34" t="str">
        <x:v>Round2</x:v>
      </x:c>
      <x:c r="D2612" s="34" t="str">
        <x:v>Cli_24</x:v>
      </x:c>
      <x:c r="E2612" s="34" t="str">
        <x:v>Line</x:v>
      </x:c>
      <x:c r="F2612" s="34" t="n">
        <x:v>198</x:v>
      </x:c>
      <x:c r="G2612" s="34" t="str">
        <x:v>RECORDED</x:v>
      </x:c>
      <x:c r="H2612" s="38" t="n">
        <x:f>IF(ISNUMBER('Data'!H904),'Data'!H904*100,"")</x:f>
        <x:v>0</x:v>
      </x:c>
      <x:c r="I2612" s="34" t="str">
        <x:v>PASS</x:v>
      </x:c>
      <x:c r="J2612" s="34" t="str">
        <x:v>PASS</x:v>
      </x:c>
      <x:c r="K2612" s="34" t="str">
        <x:v>PASS</x:v>
      </x:c>
      <x:c r="L2612" s="34" t="str">
        <x:v>FAIL</x:v>
      </x:c>
      <x:c r="M2612" s="34" t="str">
        <x:v>numeric coverage for applicable metric</x:v>
      </x:c>
      <x:c r="N2612" s="34" t="str">
        <x:v>Feedback-Directed Random Test Generation/Result_Round2/Cli_24/result.json</x:v>
      </x:c>
      <x:c r="O2612" s="38" t="n">
        <x:f>IF(AND(G2612="RECORDED",ISNUMBER(H2612)),H2612,"")</x:f>
        <x:v>0</x:v>
      </x:c>
      <x:c r="P2612" s="34" t="str">
        <x:v>INCONCLUSIVE</x:v>
      </x:c>
      <x:c r="Q2612" s="34" t="str">
        <x:v>Feedback-Directed Random Test Generation/Result_Round2/Cli_24/result.json</x:v>
      </x:c>
    </x:row>
    <x:row r="2613">
      <x:c r="A2613" s="34" t="str">
        <x:v>randoop</x:v>
      </x:c>
      <x:c r="B2613" s="34" t="str">
        <x:v>Cli</x:v>
      </x:c>
      <x:c r="C2613" s="34" t="str">
        <x:v>Round2</x:v>
      </x:c>
      <x:c r="D2613" s="34" t="str">
        <x:v>Cli_25</x:v>
      </x:c>
      <x:c r="E2613" s="34" t="str">
        <x:v>Line</x:v>
      </x:c>
      <x:c r="F2613" s="34" t="n">
        <x:v>198</x:v>
      </x:c>
      <x:c r="G2613" s="34" t="str">
        <x:v>RECORDED</x:v>
      </x:c>
      <x:c r="H2613" s="38" t="n">
        <x:f>IF(ISNUMBER('Data'!H905),'Data'!H905*100,"")</x:f>
        <x:v>0</x:v>
      </x:c>
      <x:c r="I2613" s="34" t="str">
        <x:v>PASS</x:v>
      </x:c>
      <x:c r="J2613" s="34" t="str">
        <x:v>PASS</x:v>
      </x:c>
      <x:c r="K2613" s="34" t="str">
        <x:v>PASS</x:v>
      </x:c>
      <x:c r="L2613" s="34" t="str">
        <x:v>FAIL</x:v>
      </x:c>
      <x:c r="M2613" s="34" t="str">
        <x:v>numeric coverage for applicable metric</x:v>
      </x:c>
      <x:c r="N2613" s="34" t="str">
        <x:v>Feedback-Directed Random Test Generation/Result_Round2/Cli_25/result.json</x:v>
      </x:c>
      <x:c r="O2613" s="38" t="n">
        <x:f>IF(AND(G2613="RECORDED",ISNUMBER(H2613)),H2613,"")</x:f>
        <x:v>0</x:v>
      </x:c>
      <x:c r="P2613" s="34" t="str">
        <x:v>INCONCLUSIVE</x:v>
      </x:c>
      <x:c r="Q2613" s="34" t="str">
        <x:v>Feedback-Directed Random Test Generation/Result_Round2/Cli_25/result.json</x:v>
      </x:c>
    </x:row>
    <x:row r="2614">
      <x:c r="A2614" s="34" t="str">
        <x:v>randoop</x:v>
      </x:c>
      <x:c r="B2614" s="34" t="str">
        <x:v>Cli</x:v>
      </x:c>
      <x:c r="C2614" s="34" t="str">
        <x:v>Round2</x:v>
      </x:c>
      <x:c r="D2614" s="34" t="str">
        <x:v>Cli_26</x:v>
      </x:c>
      <x:c r="E2614" s="34" t="str">
        <x:v>Line</x:v>
      </x:c>
      <x:c r="F2614" s="34" t="n">
        <x:v>61</x:v>
      </x:c>
      <x:c r="G2614" s="34" t="str">
        <x:v>RECORDED</x:v>
      </x:c>
      <x:c r="H2614" s="38" t="n">
        <x:f>IF(ISNUMBER('Data'!H906),'Data'!H906*100,"")</x:f>
        <x:v>0</x:v>
      </x:c>
      <x:c r="I2614" s="34" t="str">
        <x:v>PASS</x:v>
      </x:c>
      <x:c r="J2614" s="34" t="str">
        <x:v>PASS</x:v>
      </x:c>
      <x:c r="K2614" s="34" t="str">
        <x:v>PASS</x:v>
      </x:c>
      <x:c r="L2614" s="34" t="str">
        <x:v>FAIL</x:v>
      </x:c>
      <x:c r="M2614" s="34" t="str">
        <x:v>numeric coverage for applicable metric</x:v>
      </x:c>
      <x:c r="N2614" s="34" t="str">
        <x:v>Feedback-Directed Random Test Generation/Result_Round2/Cli_26/result.json</x:v>
      </x:c>
      <x:c r="O2614" s="38" t="n">
        <x:f>IF(AND(G2614="RECORDED",ISNUMBER(H2614)),H2614,"")</x:f>
        <x:v>0</x:v>
      </x:c>
      <x:c r="P2614" s="34" t="str">
        <x:v>INCONCLUSIVE</x:v>
      </x:c>
      <x:c r="Q2614" s="34" t="str">
        <x:v>Feedback-Directed Random Test Generation/Result_Round2/Cli_26/result.json</x:v>
      </x:c>
    </x:row>
    <x:row r="2615">
      <x:c r="A2615" s="34" t="str">
        <x:v>randoop</x:v>
      </x:c>
      <x:c r="B2615" s="34" t="str">
        <x:v>Cli</x:v>
      </x:c>
      <x:c r="C2615" s="34" t="str">
        <x:v>Round2</x:v>
      </x:c>
      <x:c r="D2615" s="34" t="str">
        <x:v>Cli_27</x:v>
      </x:c>
      <x:c r="E2615" s="34" t="str">
        <x:v>Line</x:v>
      </x:c>
      <x:c r="F2615" s="34" t="n">
        <x:v>34</x:v>
      </x:c>
      <x:c r="G2615" s="34" t="str">
        <x:v>RECORDED</x:v>
      </x:c>
      <x:c r="H2615" s="38" t="n">
        <x:f>IF(ISNUMBER('Data'!H907),'Data'!H907*100,"")</x:f>
        <x:v>0</x:v>
      </x:c>
      <x:c r="I2615" s="34" t="str">
        <x:v>PASS</x:v>
      </x:c>
      <x:c r="J2615" s="34" t="str">
        <x:v>PASS</x:v>
      </x:c>
      <x:c r="K2615" s="34" t="str">
        <x:v>PASS</x:v>
      </x:c>
      <x:c r="L2615" s="34" t="str">
        <x:v>FAIL</x:v>
      </x:c>
      <x:c r="M2615" s="34" t="str">
        <x:v>numeric coverage for applicable metric</x:v>
      </x:c>
      <x:c r="N2615" s="34" t="str">
        <x:v>Feedback-Directed Random Test Generation/Result_Round2/Cli_27/result.json</x:v>
      </x:c>
      <x:c r="O2615" s="38" t="n">
        <x:f>IF(AND(G2615="RECORDED",ISNUMBER(H2615)),H2615,"")</x:f>
        <x:v>0</x:v>
      </x:c>
      <x:c r="P2615" s="34" t="str">
        <x:v>INCONCLUSIVE</x:v>
      </x:c>
      <x:c r="Q2615" s="34" t="str">
        <x:v>Feedback-Directed Random Test Generation/Result_Round2/Cli_27/result.json</x:v>
      </x:c>
    </x:row>
    <x:row r="2616">
      <x:c r="A2616" s="34" t="str">
        <x:v>randoop</x:v>
      </x:c>
      <x:c r="B2616" s="34" t="str">
        <x:v>Cli</x:v>
      </x:c>
      <x:c r="C2616" s="34" t="str">
        <x:v>Round2</x:v>
      </x:c>
      <x:c r="D2616" s="34" t="str">
        <x:v>Cli_28</x:v>
      </x:c>
      <x:c r="E2616" s="34" t="str">
        <x:v>Line</x:v>
      </x:c>
      <x:c r="F2616" s="34" t="n">
        <x:v>101</x:v>
      </x:c>
      <x:c r="G2616" s="34" t="str">
        <x:v>RECORDED</x:v>
      </x:c>
      <x:c r="H2616" s="38" t="n">
        <x:f>IF(ISNUMBER('Data'!H908),'Data'!H908*100,"")</x:f>
        <x:v>0</x:v>
      </x:c>
      <x:c r="I2616" s="34" t="str">
        <x:v>PASS</x:v>
      </x:c>
      <x:c r="J2616" s="34" t="str">
        <x:v>PASS</x:v>
      </x:c>
      <x:c r="K2616" s="34" t="str">
        <x:v>PASS</x:v>
      </x:c>
      <x:c r="L2616" s="34" t="str">
        <x:v>FAIL</x:v>
      </x:c>
      <x:c r="M2616" s="34" t="str">
        <x:v>numeric coverage for applicable metric</x:v>
      </x:c>
      <x:c r="N2616" s="34" t="str">
        <x:v>Feedback-Directed Random Test Generation/Result_Round2/Cli_28/result.json</x:v>
      </x:c>
      <x:c r="O2616" s="38" t="n">
        <x:f>IF(AND(G2616="RECORDED",ISNUMBER(H2616)),H2616,"")</x:f>
        <x:v>0</x:v>
      </x:c>
      <x:c r="P2616" s="34" t="str">
        <x:v>INCONCLUSIVE</x:v>
      </x:c>
      <x:c r="Q2616" s="34" t="str">
        <x:v>Feedback-Directed Random Test Generation/Result_Round2/Cli_28/result.json</x:v>
      </x:c>
    </x:row>
    <x:row r="2617">
      <x:c r="A2617" s="34" t="str">
        <x:v>randoop</x:v>
      </x:c>
      <x:c r="B2617" s="34" t="str">
        <x:v>Cli</x:v>
      </x:c>
      <x:c r="C2617" s="34" t="str">
        <x:v>Round2</x:v>
      </x:c>
      <x:c r="D2617" s="34" t="str">
        <x:v>Cli_29</x:v>
      </x:c>
      <x:c r="E2617" s="34" t="str">
        <x:v>Line</x:v>
      </x:c>
      <x:c r="F2617" s="34" t="n">
        <x:v>14</x:v>
      </x:c>
      <x:c r="G2617" s="34" t="str">
        <x:v>RECORDED</x:v>
      </x:c>
      <x:c r="H2617" s="38" t="n">
        <x:f>IF(ISNUMBER('Data'!H909),'Data'!H909*100,"")</x:f>
        <x:v>0</x:v>
      </x:c>
      <x:c r="I2617" s="34" t="str">
        <x:v>PASS</x:v>
      </x:c>
      <x:c r="J2617" s="34" t="str">
        <x:v>PASS</x:v>
      </x:c>
      <x:c r="K2617" s="34" t="str">
        <x:v>PASS</x:v>
      </x:c>
      <x:c r="L2617" s="34" t="str">
        <x:v>FAIL</x:v>
      </x:c>
      <x:c r="M2617" s="34" t="str">
        <x:v>numeric coverage for applicable metric</x:v>
      </x:c>
      <x:c r="N2617" s="34" t="str">
        <x:v>Feedback-Directed Random Test Generation/Result_Round2/Cli_29/result.json</x:v>
      </x:c>
      <x:c r="O2617" s="38" t="n">
        <x:f>IF(AND(G2617="RECORDED",ISNUMBER(H2617)),H2617,"")</x:f>
        <x:v>0</x:v>
      </x:c>
      <x:c r="P2617" s="34" t="str">
        <x:v>INCONCLUSIVE</x:v>
      </x:c>
      <x:c r="Q2617" s="34" t="str">
        <x:v>Feedback-Directed Random Test Generation/Result_Round2/Cli_29/result.json</x:v>
      </x:c>
    </x:row>
    <x:row r="2618">
      <x:c r="A2618" s="34" t="str">
        <x:v>randoop</x:v>
      </x:c>
      <x:c r="B2618" s="34" t="str">
        <x:v>Cli</x:v>
      </x:c>
      <x:c r="C2618" s="34" t="str">
        <x:v>Round2</x:v>
      </x:c>
      <x:c r="D2618" s="34" t="str">
        <x:v>Cli_30</x:v>
      </x:c>
      <x:c r="E2618" s="34" t="str">
        <x:v>Line</x:v>
      </x:c>
      <x:c r="F2618" s="34" t="n">
        <x:v>288</x:v>
      </x:c>
      <x:c r="G2618" s="34" t="str">
        <x:v>RECORDED</x:v>
      </x:c>
      <x:c r="H2618" s="38" t="n">
        <x:f>IF(ISNUMBER('Data'!H910),'Data'!H910*100,"")</x:f>
        <x:v>0</x:v>
      </x:c>
      <x:c r="I2618" s="34" t="str">
        <x:v>PASS</x:v>
      </x:c>
      <x:c r="J2618" s="34" t="str">
        <x:v>PASS</x:v>
      </x:c>
      <x:c r="K2618" s="34" t="str">
        <x:v>PASS</x:v>
      </x:c>
      <x:c r="L2618" s="34" t="str">
        <x:v>FAIL</x:v>
      </x:c>
      <x:c r="M2618" s="34" t="str">
        <x:v>numeric coverage for applicable metric</x:v>
      </x:c>
      <x:c r="N2618" s="34" t="str">
        <x:v>Feedback-Directed Random Test Generation/Result_Round2/Cli_30/result.json</x:v>
      </x:c>
      <x:c r="O2618" s="38" t="n">
        <x:f>IF(AND(G2618="RECORDED",ISNUMBER(H2618)),H2618,"")</x:f>
        <x:v>0</x:v>
      </x:c>
      <x:c r="P2618" s="34" t="str">
        <x:v>INCONCLUSIVE</x:v>
      </x:c>
      <x:c r="Q2618" s="34" t="str">
        <x:v>Feedback-Directed Random Test Generation/Result_Round2/Cli_30/result.json</x:v>
      </x:c>
    </x:row>
    <x:row r="2619">
      <x:c r="A2619" s="34" t="str">
        <x:v>randoop</x:v>
      </x:c>
      <x:c r="B2619" s="34" t="str">
        <x:v>Cli</x:v>
      </x:c>
      <x:c r="C2619" s="34" t="str">
        <x:v>Round2</x:v>
      </x:c>
      <x:c r="D2619" s="34" t="str">
        <x:v>Cli_31</x:v>
      </x:c>
      <x:c r="E2619" s="34" t="str">
        <x:v>Line</x:v>
      </x:c>
      <x:c r="F2619" s="34" t="n">
        <x:v>386</x:v>
      </x:c>
      <x:c r="G2619" s="34" t="str">
        <x:v>RECORDED</x:v>
      </x:c>
      <x:c r="H2619" s="38" t="n">
        <x:f>IF(ISNUMBER('Data'!H911),'Data'!H911*100,"")</x:f>
        <x:v>0</x:v>
      </x:c>
      <x:c r="I2619" s="34" t="str">
        <x:v>PASS</x:v>
      </x:c>
      <x:c r="J2619" s="34" t="str">
        <x:v>PASS</x:v>
      </x:c>
      <x:c r="K2619" s="34" t="str">
        <x:v>PASS</x:v>
      </x:c>
      <x:c r="L2619" s="34" t="str">
        <x:v>FAIL</x:v>
      </x:c>
      <x:c r="M2619" s="34" t="str">
        <x:v>numeric coverage for applicable metric</x:v>
      </x:c>
      <x:c r="N2619" s="34" t="str">
        <x:v>Feedback-Directed Random Test Generation/Result_Round2/Cli_31/result.json</x:v>
      </x:c>
      <x:c r="O2619" s="38" t="n">
        <x:f>IF(AND(G2619="RECORDED",ISNUMBER(H2619)),H2619,"")</x:f>
        <x:v>0</x:v>
      </x:c>
      <x:c r="P2619" s="34" t="str">
        <x:v>INCONCLUSIVE</x:v>
      </x:c>
      <x:c r="Q2619" s="34" t="str">
        <x:v>Feedback-Directed Random Test Generation/Result_Round2/Cli_31/result.json</x:v>
      </x:c>
    </x:row>
    <x:row r="2620">
      <x:c r="A2620" s="34" t="str">
        <x:v>randoop</x:v>
      </x:c>
      <x:c r="B2620" s="34" t="str">
        <x:v>Cli</x:v>
      </x:c>
      <x:c r="C2620" s="34" t="str">
        <x:v>Round2</x:v>
      </x:c>
      <x:c r="D2620" s="34" t="str">
        <x:v>Cli_32</x:v>
      </x:c>
      <x:c r="E2620" s="34" t="str">
        <x:v>Line</x:v>
      </x:c>
      <x:c r="F2620" s="34" t="n">
        <x:v>203</x:v>
      </x:c>
      <x:c r="G2620" s="34" t="str">
        <x:v>RECORDED</x:v>
      </x:c>
      <x:c r="H2620" s="38" t="n">
        <x:f>IF(ISNUMBER('Data'!H912),'Data'!H912*100,"")</x:f>
        <x:v>0</x:v>
      </x:c>
      <x:c r="I2620" s="34" t="str">
        <x:v>PASS</x:v>
      </x:c>
      <x:c r="J2620" s="34" t="str">
        <x:v>PASS</x:v>
      </x:c>
      <x:c r="K2620" s="34" t="str">
        <x:v>PASS</x:v>
      </x:c>
      <x:c r="L2620" s="34" t="str">
        <x:v>FAIL</x:v>
      </x:c>
      <x:c r="M2620" s="34" t="str">
        <x:v>numeric coverage for applicable metric</x:v>
      </x:c>
      <x:c r="N2620" s="34" t="str">
        <x:v>Feedback-Directed Random Test Generation/Result_Round2/Cli_32/result.json</x:v>
      </x:c>
      <x:c r="O2620" s="38" t="n">
        <x:f>IF(AND(G2620="RECORDED",ISNUMBER(H2620)),H2620,"")</x:f>
        <x:v>0</x:v>
      </x:c>
      <x:c r="P2620" s="34" t="str">
        <x:v>INCONCLUSIVE</x:v>
      </x:c>
      <x:c r="Q2620" s="34" t="str">
        <x:v>Feedback-Directed Random Test Generation/Result_Round2/Cli_32/result.json</x:v>
      </x:c>
    </x:row>
    <x:row r="2621">
      <x:c r="A2621" s="34" t="str">
        <x:v>randoop</x:v>
      </x:c>
      <x:c r="B2621" s="34" t="str">
        <x:v>Cli</x:v>
      </x:c>
      <x:c r="C2621" s="34" t="str">
        <x:v>Round2</x:v>
      </x:c>
      <x:c r="D2621" s="34" t="str">
        <x:v>Cli_33</x:v>
      </x:c>
      <x:c r="E2621" s="34" t="str">
        <x:v>Line</x:v>
      </x:c>
      <x:c r="F2621" s="34" t="n">
        <x:v>201</x:v>
      </x:c>
      <x:c r="G2621" s="34" t="str">
        <x:v>RECORDED</x:v>
      </x:c>
      <x:c r="H2621" s="38" t="n">
        <x:f>IF(ISNUMBER('Data'!H913),'Data'!H913*100,"")</x:f>
        <x:v>0</x:v>
      </x:c>
      <x:c r="I2621" s="34" t="str">
        <x:v>PASS</x:v>
      </x:c>
      <x:c r="J2621" s="34" t="str">
        <x:v>PASS</x:v>
      </x:c>
      <x:c r="K2621" s="34" t="str">
        <x:v>PASS</x:v>
      </x:c>
      <x:c r="L2621" s="34" t="str">
        <x:v>FAIL</x:v>
      </x:c>
      <x:c r="M2621" s="34" t="str">
        <x:v>numeric coverage for applicable metric</x:v>
      </x:c>
      <x:c r="N2621" s="34" t="str">
        <x:v>Feedback-Directed Random Test Generation/Result_Round2/Cli_33/result.json</x:v>
      </x:c>
      <x:c r="O2621" s="38" t="n">
        <x:f>IF(AND(G2621="RECORDED",ISNUMBER(H2621)),H2621,"")</x:f>
        <x:v>0</x:v>
      </x:c>
      <x:c r="P2621" s="34" t="str">
        <x:v>INCONCLUSIVE</x:v>
      </x:c>
      <x:c r="Q2621" s="34" t="str">
        <x:v>Feedback-Directed Random Test Generation/Result_Round2/Cli_33/result.json</x:v>
      </x:c>
    </x:row>
    <x:row r="2622">
      <x:c r="A2622" s="34" t="str">
        <x:v>randoop</x:v>
      </x:c>
      <x:c r="B2622" s="34" t="str">
        <x:v>Cli</x:v>
      </x:c>
      <x:c r="C2622" s="34" t="str">
        <x:v>Round2</x:v>
      </x:c>
      <x:c r="D2622" s="34" t="str">
        <x:v>Cli_34</x:v>
      </x:c>
      <x:c r="E2622" s="34" t="str">
        <x:v>Line</x:v>
      </x:c>
      <x:c r="F2622" s="34" t="n">
        <x:v>0</x:v>
      </x:c>
      <x:c r="G2622" s="34" t="str">
        <x:v>A</x:v>
      </x:c>
      <x:c r="H2622" s="38" t="str">
        <x:f>IF(ISNUMBER('Data'!H914),'Data'!H914*100,"")</x:f>
      </x:c>
      <x:c r="I2622" s="34"/>
      <x:c r="J2622" s="34"/>
      <x:c r="K2622" s="34"/>
      <x:c r="L2622" s="34" t="str">
        <x:v>NOT_RUN</x:v>
      </x:c>
      <x:c r="M2622" s="34" t="str">
        <x:v>Latest same-round generation failed; older files/results are excluded</x:v>
      </x:c>
      <x:c r="N2622" s="34" t="str">
        <x:v>Feedback-Directed Random Test Generation/report_Round2.csv</x:v>
      </x:c>
      <x:c r="O2622" s="38" t="str">
        <x:f>IF(AND(G2622="RECORDED",ISNUMBER(H2622)),H2622,"")</x:f>
      </x:c>
      <x:c r="P2622" s="34" t="str">
        <x:v>FAIL</x:v>
      </x:c>
      <x:c r="Q2622" s="34"/>
    </x:row>
    <x:row r="2623">
      <x:c r="A2623" s="34" t="str">
        <x:v>randoop</x:v>
      </x:c>
      <x:c r="B2623" s="34" t="str">
        <x:v>Cli</x:v>
      </x:c>
      <x:c r="C2623" s="34" t="str">
        <x:v>Round2</x:v>
      </x:c>
      <x:c r="D2623" s="34" t="str">
        <x:v>Cli_35</x:v>
      </x:c>
      <x:c r="E2623" s="34" t="str">
        <x:v>Line</x:v>
      </x:c>
      <x:c r="F2623" s="34" t="n">
        <x:v>57</x:v>
      </x:c>
      <x:c r="G2623" s="34" t="str">
        <x:v>RECORDED</x:v>
      </x:c>
      <x:c r="H2623" s="38" t="n">
        <x:f>IF(ISNUMBER('Data'!H915),'Data'!H915*100,"")</x:f>
        <x:v>82.46</x:v>
      </x:c>
      <x:c r="I2623" s="34" t="str">
        <x:v>PASS</x:v>
      </x:c>
      <x:c r="J2623" s="34" t="str">
        <x:v>PASS</x:v>
      </x:c>
      <x:c r="K2623" s="34" t="str">
        <x:v>PASS</x:v>
      </x:c>
      <x:c r="L2623" s="34" t="str">
        <x:v>PASS</x:v>
      </x:c>
      <x:c r="M2623" s="34" t="str">
        <x:v>numeric coverage for applicable metric</x:v>
      </x:c>
      <x:c r="N2623" s="34" t="str">
        <x:v>Feedback-Directed Random Test Generation/Result_Round2/Cli_35/result.json</x:v>
      </x:c>
      <x:c r="O2623" s="38" t="n">
        <x:f>IF(AND(G2623="RECORDED",ISNUMBER(H2623)),H2623,"")</x:f>
        <x:v>82.46</x:v>
      </x:c>
      <x:c r="P2623" s="34" t="str">
        <x:v>NOT_REVEALING</x:v>
      </x:c>
      <x:c r="Q2623" s="34" t="str">
        <x:v>Feedback-Directed Random Test Generation/Result_Round2/Cli_35/result.json</x:v>
      </x:c>
    </x:row>
    <x:row r="2624">
      <x:c r="A2624" s="34" t="str">
        <x:v>randoop</x:v>
      </x:c>
      <x:c r="B2624" s="34" t="str">
        <x:v>Cli</x:v>
      </x:c>
      <x:c r="C2624" s="34" t="str">
        <x:v>Round2</x:v>
      </x:c>
      <x:c r="D2624" s="34" t="str">
        <x:v>Cli_36</x:v>
      </x:c>
      <x:c r="E2624" s="34" t="str">
        <x:v>Line</x:v>
      </x:c>
      <x:c r="F2624" s="34" t="n">
        <x:v>94</x:v>
      </x:c>
      <x:c r="G2624" s="34" t="str">
        <x:v>RECORDED</x:v>
      </x:c>
      <x:c r="H2624" s="38" t="n">
        <x:f>IF(ISNUMBER('Data'!H916),'Data'!H916*100,"")</x:f>
        <x:v>91.49</x:v>
      </x:c>
      <x:c r="I2624" s="34" t="str">
        <x:v>PASS</x:v>
      </x:c>
      <x:c r="J2624" s="34" t="str">
        <x:v>PASS</x:v>
      </x:c>
      <x:c r="K2624" s="34" t="str">
        <x:v>PASS</x:v>
      </x:c>
      <x:c r="L2624" s="34" t="str">
        <x:v>PASS</x:v>
      </x:c>
      <x:c r="M2624" s="34" t="str">
        <x:v>numeric coverage for applicable metric</x:v>
      </x:c>
      <x:c r="N2624" s="34" t="str">
        <x:v>Feedback-Directed Random Test Generation/Result_Round2/Cli_36/result.json</x:v>
      </x:c>
      <x:c r="O2624" s="38" t="n">
        <x:f>IF(AND(G2624="RECORDED",ISNUMBER(H2624)),H2624,"")</x:f>
        <x:v>91.49</x:v>
      </x:c>
      <x:c r="P2624" s="34" t="str">
        <x:v>NOT_REVEALING</x:v>
      </x:c>
      <x:c r="Q2624" s="34" t="str">
        <x:v>Feedback-Directed Random Test Generation/Result_Round2/Cli_36/result.json</x:v>
      </x:c>
    </x:row>
    <x:row r="2625">
      <x:c r="A2625" s="34" t="str">
        <x:v>randoop</x:v>
      </x:c>
      <x:c r="B2625" s="34" t="str">
        <x:v>Cli</x:v>
      </x:c>
      <x:c r="C2625" s="34" t="str">
        <x:v>Round2</x:v>
      </x:c>
      <x:c r="D2625" s="34" t="str">
        <x:v>Cli_37</x:v>
      </x:c>
      <x:c r="E2625" s="34" t="str">
        <x:v>Line</x:v>
      </x:c>
      <x:c r="F2625" s="34" t="n">
        <x:v>187</x:v>
      </x:c>
      <x:c r="G2625" s="34" t="str">
        <x:v>RECORDED</x:v>
      </x:c>
      <x:c r="H2625" s="38" t="n">
        <x:f>IF(ISNUMBER('Data'!H917),'Data'!H917*100,"")</x:f>
        <x:v>6.950000000000001</x:v>
      </x:c>
      <x:c r="I2625" s="34" t="str">
        <x:v>PASS</x:v>
      </x:c>
      <x:c r="J2625" s="34" t="str">
        <x:v>PASS</x:v>
      </x:c>
      <x:c r="K2625" s="34" t="str">
        <x:v>PASS</x:v>
      </x:c>
      <x:c r="L2625" s="34" t="str">
        <x:v>FAIL</x:v>
      </x:c>
      <x:c r="M2625" s="34" t="str">
        <x:v>numeric coverage for applicable metric</x:v>
      </x:c>
      <x:c r="N2625" s="34" t="str">
        <x:v>Feedback-Directed Random Test Generation/Result_Round2/Cli_37/result.json</x:v>
      </x:c>
      <x:c r="O2625" s="38" t="n">
        <x:f>IF(AND(G2625="RECORDED",ISNUMBER(H2625)),H2625,"")</x:f>
        <x:v>6.950000000000001</x:v>
      </x:c>
      <x:c r="P2625" s="34" t="str">
        <x:v>INCONCLUSIVE</x:v>
      </x:c>
      <x:c r="Q2625" s="34" t="str">
        <x:v>Feedback-Directed Random Test Generation/Result_Round2/Cli_37/result.json</x:v>
      </x:c>
    </x:row>
    <x:row r="2626">
      <x:c r="A2626" s="34" t="str">
        <x:v>randoop</x:v>
      </x:c>
      <x:c r="B2626" s="34" t="str">
        <x:v>Cli</x:v>
      </x:c>
      <x:c r="C2626" s="34" t="str">
        <x:v>Round2</x:v>
      </x:c>
      <x:c r="D2626" s="34" t="str">
        <x:v>Cli_38</x:v>
      </x:c>
      <x:c r="E2626" s="34" t="str">
        <x:v>Line</x:v>
      </x:c>
      <x:c r="F2626" s="34" t="n">
        <x:v>191</x:v>
      </x:c>
      <x:c r="G2626" s="34" t="str">
        <x:v>RECORDED</x:v>
      </x:c>
      <x:c r="H2626" s="38" t="n">
        <x:f>IF(ISNUMBER('Data'!H918),'Data'!H918*100,"")</x:f>
        <x:v>6.81</x:v>
      </x:c>
      <x:c r="I2626" s="34" t="str">
        <x:v>PASS</x:v>
      </x:c>
      <x:c r="J2626" s="34" t="str">
        <x:v>PASS</x:v>
      </x:c>
      <x:c r="K2626" s="34" t="str">
        <x:v>PASS</x:v>
      </x:c>
      <x:c r="L2626" s="34" t="str">
        <x:v>FAIL</x:v>
      </x:c>
      <x:c r="M2626" s="34" t="str">
        <x:v>numeric coverage for applicable metric</x:v>
      </x:c>
      <x:c r="N2626" s="34" t="str">
        <x:v>Feedback-Directed Random Test Generation/Result_Round2/Cli_38/result.json</x:v>
      </x:c>
      <x:c r="O2626" s="38" t="n">
        <x:f>IF(AND(G2626="RECORDED",ISNUMBER(H2626)),H2626,"")</x:f>
        <x:v>6.81</x:v>
      </x:c>
      <x:c r="P2626" s="34" t="str">
        <x:v>INCONCLUSIVE</x:v>
      </x:c>
      <x:c r="Q2626" s="34" t="str">
        <x:v>Feedback-Directed Random Test Generation/Result_Round2/Cli_38/result.json</x:v>
      </x:c>
    </x:row>
    <x:row r="2627">
      <x:c r="A2627" s="34" t="str">
        <x:v>randoop</x:v>
      </x:c>
      <x:c r="B2627" s="34" t="str">
        <x:v>Cli</x:v>
      </x:c>
      <x:c r="C2627" s="34" t="str">
        <x:v>Round2</x:v>
      </x:c>
      <x:c r="D2627" s="34" t="str">
        <x:v>Cli_39</x:v>
      </x:c>
      <x:c r="E2627" s="34" t="str">
        <x:v>Line</x:v>
      </x:c>
      <x:c r="F2627" s="34" t="n">
        <x:v>42</x:v>
      </x:c>
      <x:c r="G2627" s="34" t="str">
        <x:v>RECORDED</x:v>
      </x:c>
      <x:c r="H2627" s="38" t="n">
        <x:f>IF(ISNUMBER('Data'!H919),'Data'!H919*100,"")</x:f>
        <x:v>69.05</x:v>
      </x:c>
      <x:c r="I2627" s="34" t="str">
        <x:v>PASS</x:v>
      </x:c>
      <x:c r="J2627" s="34" t="str">
        <x:v>PASS</x:v>
      </x:c>
      <x:c r="K2627" s="34" t="str">
        <x:v>PASS</x:v>
      </x:c>
      <x:c r="L2627" s="34" t="str">
        <x:v>PASS</x:v>
      </x:c>
      <x:c r="M2627" s="34" t="str">
        <x:v>numeric coverage for applicable metric</x:v>
      </x:c>
      <x:c r="N2627" s="34" t="str">
        <x:v>Feedback-Directed Random Test Generation/Result_Round2/Cli_39/result.json</x:v>
      </x:c>
      <x:c r="O2627" s="38" t="n">
        <x:f>IF(AND(G2627="RECORDED",ISNUMBER(H2627)),H2627,"")</x:f>
        <x:v>69.05</x:v>
      </x:c>
      <x:c r="P2627" s="34" t="str">
        <x:v>NOT_REVEALING</x:v>
      </x:c>
      <x:c r="Q2627" s="34" t="str">
        <x:v>Feedback-Directed Random Test Generation/Result_Round2/Cli_39/result.json</x:v>
      </x:c>
    </x:row>
    <x:row r="2628">
      <x:c r="A2628" s="34" t="str">
        <x:v>randoop</x:v>
      </x:c>
      <x:c r="B2628" s="34" t="str">
        <x:v>Cli</x:v>
      </x:c>
      <x:c r="C2628" s="34" t="str">
        <x:v>Round2</x:v>
      </x:c>
      <x:c r="D2628" s="34" t="str">
        <x:v>Cli_40</x:v>
      </x:c>
      <x:c r="E2628" s="34" t="str">
        <x:v>Line</x:v>
      </x:c>
      <x:c r="F2628" s="34" t="n">
        <x:v>45</x:v>
      </x:c>
      <x:c r="G2628" s="34" t="str">
        <x:v>RECORDED</x:v>
      </x:c>
      <x:c r="H2628" s="38" t="n">
        <x:f>IF(ISNUMBER('Data'!H920),'Data'!H920*100,"")</x:f>
        <x:v>73.33</x:v>
      </x:c>
      <x:c r="I2628" s="34" t="str">
        <x:v>PASS</x:v>
      </x:c>
      <x:c r="J2628" s="34" t="str">
        <x:v>PASS</x:v>
      </x:c>
      <x:c r="K2628" s="34" t="str">
        <x:v>PASS</x:v>
      </x:c>
      <x:c r="L2628" s="34" t="str">
        <x:v>PASS</x:v>
      </x:c>
      <x:c r="M2628" s="34" t="str">
        <x:v>numeric coverage for applicable metric</x:v>
      </x:c>
      <x:c r="N2628" s="34" t="str">
        <x:v>Feedback-Directed Random Test Generation/Result_Round2/Cli_40/result.json</x:v>
      </x:c>
      <x:c r="O2628" s="38" t="n">
        <x:f>IF(AND(G2628="RECORDED",ISNUMBER(H2628)),H2628,"")</x:f>
        <x:v>73.33</x:v>
      </x:c>
      <x:c r="P2628" s="34" t="str">
        <x:v>INCONCLUSIVE</x:v>
      </x:c>
      <x:c r="Q2628" s="34" t="str">
        <x:v>Feedback-Directed Random Test Generation/Result_Round2/Cli_40/result.json</x:v>
      </x:c>
    </x:row>
    <x:row r="2629">
      <x:c r="A2629" s="34" t="str">
        <x:v>randoop</x:v>
      </x:c>
      <x:c r="B2629" s="34" t="str">
        <x:v>Closure</x:v>
      </x:c>
      <x:c r="C2629" s="34" t="str">
        <x:v>Round2</x:v>
      </x:c>
      <x:c r="D2629" s="34" t="str">
        <x:v>Closure_1</x:v>
      </x:c>
      <x:c r="E2629" s="34" t="str">
        <x:v>Line</x:v>
      </x:c>
      <x:c r="F2629" s="34" t="n">
        <x:v>390</x:v>
      </x:c>
      <x:c r="G2629" s="34" t="str">
        <x:v>RECORDED</x:v>
      </x:c>
      <x:c r="H2629" s="38" t="n">
        <x:f>IF(ISNUMBER('Data'!H921),'Data'!H921*100,"")</x:f>
        <x:v>3.3300000000000005</x:v>
      </x:c>
      <x:c r="I2629" s="34" t="str">
        <x:v>PASS</x:v>
      </x:c>
      <x:c r="J2629" s="34" t="str">
        <x:v>PASS</x:v>
      </x:c>
      <x:c r="K2629" s="34" t="str">
        <x:v>PASS</x:v>
      </x:c>
      <x:c r="L2629" s="34" t="str">
        <x:v>PASS</x:v>
      </x:c>
      <x:c r="M2629" s="34" t="str">
        <x:v>numeric coverage for applicable metric</x:v>
      </x:c>
      <x:c r="N2629" s="34" t="str">
        <x:v>Feedback-Directed Random Test Generation/Result_Round2/Closure_1/result.json</x:v>
      </x:c>
      <x:c r="O2629" s="38" t="n">
        <x:f>IF(AND(G2629="RECORDED",ISNUMBER(H2629)),H2629,"")</x:f>
        <x:v>3.3300000000000005</x:v>
      </x:c>
      <x:c r="P2629" s="34" t="str">
        <x:v>NOT_REVEALING</x:v>
      </x:c>
      <x:c r="Q2629" s="34" t="str">
        <x:v>Feedback-Directed Random Test Generation/Result_Round2/Closure_1/result.json</x:v>
      </x:c>
    </x:row>
    <x:row r="2630">
      <x:c r="A2630" s="34" t="str">
        <x:v>randoop</x:v>
      </x:c>
      <x:c r="B2630" s="34" t="str">
        <x:v>Closure</x:v>
      </x:c>
      <x:c r="C2630" s="34" t="str">
        <x:v>Round2</x:v>
      </x:c>
      <x:c r="D2630" s="34" t="str">
        <x:v>Closure_2</x:v>
      </x:c>
      <x:c r="E2630" s="34" t="str">
        <x:v>Line</x:v>
      </x:c>
      <x:c r="F2630" s="34" t="n">
        <x:v>820</x:v>
      </x:c>
      <x:c r="G2630" s="34" t="str">
        <x:v>RECORDED</x:v>
      </x:c>
      <x:c r="H2630" s="38" t="n">
        <x:f>IF(ISNUMBER('Data'!H922),'Data'!H922*100,"")</x:f>
        <x:v>9.15</x:v>
      </x:c>
      <x:c r="I2630" s="34" t="str">
        <x:v>PASS</x:v>
      </x:c>
      <x:c r="J2630" s="34" t="str">
        <x:v>PASS</x:v>
      </x:c>
      <x:c r="K2630" s="34" t="str">
        <x:v>PASS</x:v>
      </x:c>
      <x:c r="L2630" s="34" t="str">
        <x:v>PASS</x:v>
      </x:c>
      <x:c r="M2630" s="34" t="str">
        <x:v>numeric coverage for applicable metric</x:v>
      </x:c>
      <x:c r="N2630" s="34" t="str">
        <x:v>Feedback-Directed Random Test Generation/Result_Round2/Closure_2/result.json</x:v>
      </x:c>
      <x:c r="O2630" s="38" t="n">
        <x:f>IF(AND(G2630="RECORDED",ISNUMBER(H2630)),H2630,"")</x:f>
        <x:v>9.15</x:v>
      </x:c>
      <x:c r="P2630" s="34" t="str">
        <x:v>NOT_REVEALING</x:v>
      </x:c>
      <x:c r="Q2630" s="34" t="str">
        <x:v>Feedback-Directed Random Test Generation/Result_Round2/Closure_2/result.json</x:v>
      </x:c>
    </x:row>
    <x:row r="2631">
      <x:c r="A2631" s="34" t="str">
        <x:v>randoop</x:v>
      </x:c>
      <x:c r="B2631" s="34" t="str">
        <x:v>Closure</x:v>
      </x:c>
      <x:c r="C2631" s="34" t="str">
        <x:v>Round2</x:v>
      </x:c>
      <x:c r="D2631" s="34" t="str">
        <x:v>Closure_3</x:v>
      </x:c>
      <x:c r="E2631" s="34" t="str">
        <x:v>Line</x:v>
      </x:c>
      <x:c r="F2631" s="34" t="n">
        <x:v>176</x:v>
      </x:c>
      <x:c r="G2631" s="34" t="str">
        <x:v>RECORDED</x:v>
      </x:c>
      <x:c r="H2631" s="38" t="n">
        <x:f>IF(ISNUMBER('Data'!H923),'Data'!H923*100,"")</x:f>
        <x:v>5.68</x:v>
      </x:c>
      <x:c r="I2631" s="34" t="str">
        <x:v>PASS</x:v>
      </x:c>
      <x:c r="J2631" s="34" t="str">
        <x:v>PASS</x:v>
      </x:c>
      <x:c r="K2631" s="34" t="str">
        <x:v>PASS</x:v>
      </x:c>
      <x:c r="L2631" s="34" t="str">
        <x:v>PASS</x:v>
      </x:c>
      <x:c r="M2631" s="34" t="str">
        <x:v>numeric coverage for applicable metric</x:v>
      </x:c>
      <x:c r="N2631" s="34" t="str">
        <x:v>Feedback-Directed Random Test Generation/Result_Round2/Closure_3/result.json</x:v>
      </x:c>
      <x:c r="O2631" s="38" t="n">
        <x:f>IF(AND(G2631="RECORDED",ISNUMBER(H2631)),H2631,"")</x:f>
        <x:v>5.68</x:v>
      </x:c>
      <x:c r="P2631" s="34" t="str">
        <x:v>NOT_REVEALING</x:v>
      </x:c>
      <x:c r="Q2631" s="34" t="str">
        <x:v>Feedback-Directed Random Test Generation/Result_Round2/Closure_3/result.json</x:v>
      </x:c>
    </x:row>
    <x:row r="2632">
      <x:c r="A2632" s="34" t="str">
        <x:v>randoop</x:v>
      </x:c>
      <x:c r="B2632" s="34" t="str">
        <x:v>Closure</x:v>
      </x:c>
      <x:c r="C2632" s="34" t="str">
        <x:v>Round2</x:v>
      </x:c>
      <x:c r="D2632" s="34" t="str">
        <x:v>Closure_4</x:v>
      </x:c>
      <x:c r="E2632" s="34" t="str">
        <x:v>Line</x:v>
      </x:c>
      <x:c r="F2632" s="34" t="n">
        <x:v>132</x:v>
      </x:c>
      <x:c r="G2632" s="34" t="str">
        <x:v>RECORDED</x:v>
      </x:c>
      <x:c r="H2632" s="38" t="n">
        <x:f>IF(ISNUMBER('Data'!H924),'Data'!H924*100,"")</x:f>
        <x:v>0.76</x:v>
      </x:c>
      <x:c r="I2632" s="34" t="str">
        <x:v>PASS</x:v>
      </x:c>
      <x:c r="J2632" s="34" t="str">
        <x:v>PASS</x:v>
      </x:c>
      <x:c r="K2632" s="34" t="str">
        <x:v>PASS</x:v>
      </x:c>
      <x:c r="L2632" s="34" t="str">
        <x:v>PASS</x:v>
      </x:c>
      <x:c r="M2632" s="34" t="str">
        <x:v>numeric coverage for applicable metric</x:v>
      </x:c>
      <x:c r="N2632" s="34" t="str">
        <x:v>Feedback-Directed Random Test Generation/Result_Round2/Closure_4/result.json</x:v>
      </x:c>
      <x:c r="O2632" s="38" t="n">
        <x:f>IF(AND(G2632="RECORDED",ISNUMBER(H2632)),H2632,"")</x:f>
        <x:v>0.76</x:v>
      </x:c>
      <x:c r="P2632" s="34" t="str">
        <x:v>NOT_REVEALING</x:v>
      </x:c>
      <x:c r="Q2632" s="34" t="str">
        <x:v>Feedback-Directed Random Test Generation/Result_Round2/Closure_4/result.json</x:v>
      </x:c>
    </x:row>
    <x:row r="2633">
      <x:c r="A2633" s="34" t="str">
        <x:v>randoop</x:v>
      </x:c>
      <x:c r="B2633" s="34" t="str">
        <x:v>Closure</x:v>
      </x:c>
      <x:c r="C2633" s="34" t="str">
        <x:v>Round2</x:v>
      </x:c>
      <x:c r="D2633" s="34" t="str">
        <x:v>Closure_5</x:v>
      </x:c>
      <x:c r="E2633" s="34" t="str">
        <x:v>Line</x:v>
      </x:c>
      <x:c r="F2633" s="34" t="n">
        <x:v>181</x:v>
      </x:c>
      <x:c r="G2633" s="34" t="str">
        <x:v>RECORDED</x:v>
      </x:c>
      <x:c r="H2633" s="38" t="n">
        <x:f>IF(ISNUMBER('Data'!H925),'Data'!H925*100,"")</x:f>
        <x:v>4.42</x:v>
      </x:c>
      <x:c r="I2633" s="34" t="str">
        <x:v>PASS</x:v>
      </x:c>
      <x:c r="J2633" s="34" t="str">
        <x:v>PASS</x:v>
      </x:c>
      <x:c r="K2633" s="34" t="str">
        <x:v>PASS</x:v>
      </x:c>
      <x:c r="L2633" s="34" t="str">
        <x:v>PASS</x:v>
      </x:c>
      <x:c r="M2633" s="34" t="str">
        <x:v>numeric coverage for applicable metric</x:v>
      </x:c>
      <x:c r="N2633" s="34" t="str">
        <x:v>Feedback-Directed Random Test Generation/Result_Round2/Closure_5/result.json</x:v>
      </x:c>
      <x:c r="O2633" s="38" t="n">
        <x:f>IF(AND(G2633="RECORDED",ISNUMBER(H2633)),H2633,"")</x:f>
        <x:v>4.42</x:v>
      </x:c>
      <x:c r="P2633" s="34" t="str">
        <x:v>NOT_REVEALING</x:v>
      </x:c>
      <x:c r="Q2633" s="34" t="str">
        <x:v>Feedback-Directed Random Test Generation/Result_Round2/Closure_5/result.json</x:v>
      </x:c>
    </x:row>
    <x:row r="2634">
      <x:c r="A2634" s="34" t="str">
        <x:v>randoop</x:v>
      </x:c>
      <x:c r="B2634" s="34" t="str">
        <x:v>Closure</x:v>
      </x:c>
      <x:c r="C2634" s="34" t="str">
        <x:v>Round2</x:v>
      </x:c>
      <x:c r="D2634" s="34" t="str">
        <x:v>Closure_6</x:v>
      </x:c>
      <x:c r="E2634" s="34" t="str">
        <x:v>Line</x:v>
      </x:c>
      <x:c r="F2634" s="34" t="n">
        <x:v>283</x:v>
      </x:c>
      <x:c r="G2634" s="34" t="str">
        <x:v>RECORDED</x:v>
      </x:c>
      <x:c r="H2634" s="38" t="n">
        <x:f>IF(ISNUMBER('Data'!H926),'Data'!H926*100,"")</x:f>
        <x:v>8.48</x:v>
      </x:c>
      <x:c r="I2634" s="34" t="str">
        <x:v>PASS</x:v>
      </x:c>
      <x:c r="J2634" s="34" t="str">
        <x:v>PASS</x:v>
      </x:c>
      <x:c r="K2634" s="34" t="str">
        <x:v>PASS</x:v>
      </x:c>
      <x:c r="L2634" s="34" t="str">
        <x:v>PASS</x:v>
      </x:c>
      <x:c r="M2634" s="34" t="str">
        <x:v>numeric coverage for applicable metric</x:v>
      </x:c>
      <x:c r="N2634" s="34" t="str">
        <x:v>Feedback-Directed Random Test Generation/Result_Round2/Closure_6/result.json</x:v>
      </x:c>
      <x:c r="O2634" s="38" t="n">
        <x:f>IF(AND(G2634="RECORDED",ISNUMBER(H2634)),H2634,"")</x:f>
        <x:v>8.48</x:v>
      </x:c>
      <x:c r="P2634" s="34" t="str">
        <x:v>NOT_REVEALING</x:v>
      </x:c>
      <x:c r="Q2634" s="34" t="str">
        <x:v>Feedback-Directed Random Test Generation/Result_Round2/Closure_6/result.json</x:v>
      </x:c>
    </x:row>
    <x:row r="2635">
      <x:c r="A2635" s="34" t="str">
        <x:v>randoop</x:v>
      </x:c>
      <x:c r="B2635" s="34" t="str">
        <x:v>Closure</x:v>
      </x:c>
      <x:c r="C2635" s="34" t="str">
        <x:v>Round2</x:v>
      </x:c>
      <x:c r="D2635" s="34" t="str">
        <x:v>Closure_7</x:v>
      </x:c>
      <x:c r="E2635" s="34" t="str">
        <x:v>Line</x:v>
      </x:c>
      <x:c r="F2635" s="34" t="n">
        <x:v>174</x:v>
      </x:c>
      <x:c r="G2635" s="34" t="str">
        <x:v>RECORDED</x:v>
      </x:c>
      <x:c r="H2635" s="38" t="n">
        <x:f>IF(ISNUMBER('Data'!H927),'Data'!H927*100,"")</x:f>
        <x:v>0</x:v>
      </x:c>
      <x:c r="I2635" s="34" t="str">
        <x:v>PASS</x:v>
      </x:c>
      <x:c r="J2635" s="34" t="str">
        <x:v>PASS</x:v>
      </x:c>
      <x:c r="K2635" s="34" t="str">
        <x:v>PASS</x:v>
      </x:c>
      <x:c r="L2635" s="34" t="str">
        <x:v>PASS</x:v>
      </x:c>
      <x:c r="M2635" s="34" t="str">
        <x:v>numeric coverage for applicable metric</x:v>
      </x:c>
      <x:c r="N2635" s="34" t="str">
        <x:v>Feedback-Directed Random Test Generation/Result_Round2/Closure_7/result.json</x:v>
      </x:c>
      <x:c r="O2635" s="38" t="n">
        <x:f>IF(AND(G2635="RECORDED",ISNUMBER(H2635)),H2635,"")</x:f>
        <x:v>0</x:v>
      </x:c>
      <x:c r="P2635" s="34" t="str">
        <x:v>NOT_REVEALING</x:v>
      </x:c>
      <x:c r="Q2635" s="34" t="str">
        <x:v>Feedback-Directed Random Test Generation/Result_Round2/Closure_7/result.json</x:v>
      </x:c>
    </x:row>
    <x:row r="2636">
      <x:c r="A2636" s="34" t="str">
        <x:v>randoop</x:v>
      </x:c>
      <x:c r="B2636" s="34" t="str">
        <x:v>Closure</x:v>
      </x:c>
      <x:c r="C2636" s="34" t="str">
        <x:v>Round2</x:v>
      </x:c>
      <x:c r="D2636" s="34" t="str">
        <x:v>Closure_8</x:v>
      </x:c>
      <x:c r="E2636" s="34" t="str">
        <x:v>Line</x:v>
      </x:c>
      <x:c r="F2636" s="34" t="n">
        <x:v>84</x:v>
      </x:c>
      <x:c r="G2636" s="34" t="str">
        <x:v>RECORDED</x:v>
      </x:c>
      <x:c r="H2636" s="38" t="n">
        <x:f>IF(ISNUMBER('Data'!H928),'Data'!H928*100,"")</x:f>
        <x:v>4.76</x:v>
      </x:c>
      <x:c r="I2636" s="34" t="str">
        <x:v>PASS</x:v>
      </x:c>
      <x:c r="J2636" s="34" t="str">
        <x:v>PASS</x:v>
      </x:c>
      <x:c r="K2636" s="34" t="str">
        <x:v>PASS</x:v>
      </x:c>
      <x:c r="L2636" s="34" t="str">
        <x:v>PASS</x:v>
      </x:c>
      <x:c r="M2636" s="34" t="str">
        <x:v>numeric coverage for applicable metric</x:v>
      </x:c>
      <x:c r="N2636" s="34" t="str">
        <x:v>Feedback-Directed Random Test Generation/Result_Round2/Closure_8/result.json</x:v>
      </x:c>
      <x:c r="O2636" s="38" t="n">
        <x:f>IF(AND(G2636="RECORDED",ISNUMBER(H2636)),H2636,"")</x:f>
        <x:v>4.76</x:v>
      </x:c>
      <x:c r="P2636" s="34" t="str">
        <x:v>NOT_REVEALING</x:v>
      </x:c>
      <x:c r="Q2636" s="34" t="str">
        <x:v>Feedback-Directed Random Test Generation/Result_Round2/Closure_8/result.json</x:v>
      </x:c>
    </x:row>
    <x:row r="2637">
      <x:c r="A2637" s="34" t="str">
        <x:v>randoop</x:v>
      </x:c>
      <x:c r="B2637" s="34" t="str">
        <x:v>Closure</x:v>
      </x:c>
      <x:c r="C2637" s="34" t="str">
        <x:v>Round2</x:v>
      </x:c>
      <x:c r="D2637" s="34" t="str">
        <x:v>Closure_9</x:v>
      </x:c>
      <x:c r="E2637" s="34" t="str">
        <x:v>Line</x:v>
      </x:c>
      <x:c r="F2637" s="34" t="n">
        <x:v>109</x:v>
      </x:c>
      <x:c r="G2637" s="34" t="str">
        <x:v>RECORDED</x:v>
      </x:c>
      <x:c r="H2637" s="38" t="n">
        <x:f>IF(ISNUMBER('Data'!H929),'Data'!H929*100,"")</x:f>
        <x:v>26.61</x:v>
      </x:c>
      <x:c r="I2637" s="34" t="str">
        <x:v>PASS</x:v>
      </x:c>
      <x:c r="J2637" s="34" t="str">
        <x:v>PASS</x:v>
      </x:c>
      <x:c r="K2637" s="34" t="str">
        <x:v>PASS</x:v>
      </x:c>
      <x:c r="L2637" s="34" t="str">
        <x:v>PASS</x:v>
      </x:c>
      <x:c r="M2637" s="34" t="str">
        <x:v>numeric coverage for applicable metric</x:v>
      </x:c>
      <x:c r="N2637" s="34" t="str">
        <x:v>Feedback-Directed Random Test Generation/Result_Round2/Closure_9/result.json</x:v>
      </x:c>
      <x:c r="O2637" s="38" t="n">
        <x:f>IF(AND(G2637="RECORDED",ISNUMBER(H2637)),H2637,"")</x:f>
        <x:v>26.61</x:v>
      </x:c>
      <x:c r="P2637" s="34" t="str">
        <x:v>NOT_REVEALING</x:v>
      </x:c>
      <x:c r="Q2637" s="34" t="str">
        <x:v>Feedback-Directed Random Test Generation/Result_Round2/Closure_9/result.json</x:v>
      </x:c>
    </x:row>
    <x:row r="2638">
      <x:c r="A2638" s="34" t="str">
        <x:v>randoop</x:v>
      </x:c>
      <x:c r="B2638" s="34" t="str">
        <x:v>Closure</x:v>
      </x:c>
      <x:c r="C2638" s="34" t="str">
        <x:v>Round2</x:v>
      </x:c>
      <x:c r="D2638" s="34" t="str">
        <x:v>Closure_10</x:v>
      </x:c>
      <x:c r="E2638" s="34" t="str">
        <x:v>Line</x:v>
      </x:c>
      <x:c r="F2638" s="34" t="n">
        <x:v>1032</x:v>
      </x:c>
      <x:c r="G2638" s="34" t="str">
        <x:v>RECORDED</x:v>
      </x:c>
      <x:c r="H2638" s="38" t="n">
        <x:f>IF(ISNUMBER('Data'!H930),'Data'!H930*100,"")</x:f>
        <x:v>46.71</x:v>
      </x:c>
      <x:c r="I2638" s="34" t="str">
        <x:v>PASS</x:v>
      </x:c>
      <x:c r="J2638" s="34" t="str">
        <x:v>PASS</x:v>
      </x:c>
      <x:c r="K2638" s="34" t="str">
        <x:v>PASS</x:v>
      </x:c>
      <x:c r="L2638" s="34" t="str">
        <x:v>FAIL</x:v>
      </x:c>
      <x:c r="M2638" s="34" t="str">
        <x:v>numeric coverage for applicable metric</x:v>
      </x:c>
      <x:c r="N2638" s="34" t="str">
        <x:v>Feedback-Directed Random Test Generation/Result_Round2/Closure_10/result.json</x:v>
      </x:c>
      <x:c r="O2638" s="38" t="n">
        <x:f>IF(AND(G2638="RECORDED",ISNUMBER(H2638)),H2638,"")</x:f>
        <x:v>46.71</x:v>
      </x:c>
      <x:c r="P2638" s="34" t="str">
        <x:v>INCONCLUSIVE</x:v>
      </x:c>
      <x:c r="Q2638" s="34" t="str">
        <x:v>Feedback-Directed Random Test Generation/Result_Round2/Closure_10/result.json</x:v>
      </x:c>
    </x:row>
    <x:row r="2639">
      <x:c r="A2639" s="34" t="str">
        <x:v>randoop</x:v>
      </x:c>
      <x:c r="B2639" s="34" t="str">
        <x:v>Closure</x:v>
      </x:c>
      <x:c r="C2639" s="34" t="str">
        <x:v>Round2</x:v>
      </x:c>
      <x:c r="D2639" s="34" t="str">
        <x:v>Closure_11</x:v>
      </x:c>
      <x:c r="E2639" s="34" t="str">
        <x:v>Line</x:v>
      </x:c>
      <x:c r="F2639" s="34" t="n">
        <x:v>778</x:v>
      </x:c>
      <x:c r="G2639" s="34" t="str">
        <x:v>RECORDED</x:v>
      </x:c>
      <x:c r="H2639" s="38" t="n">
        <x:f>IF(ISNUMBER('Data'!H931),'Data'!H931*100,"")</x:f>
        <x:v>8.87</x:v>
      </x:c>
      <x:c r="I2639" s="34" t="str">
        <x:v>PASS</x:v>
      </x:c>
      <x:c r="J2639" s="34" t="str">
        <x:v>PASS</x:v>
      </x:c>
      <x:c r="K2639" s="34" t="str">
        <x:v>PASS</x:v>
      </x:c>
      <x:c r="L2639" s="34" t="str">
        <x:v>PASS</x:v>
      </x:c>
      <x:c r="M2639" s="34" t="str">
        <x:v>numeric coverage for applicable metric</x:v>
      </x:c>
      <x:c r="N2639" s="34" t="str">
        <x:v>Feedback-Directed Random Test Generation/Result_Round2/Closure_11/result.json</x:v>
      </x:c>
      <x:c r="O2639" s="38" t="n">
        <x:f>IF(AND(G2639="RECORDED",ISNUMBER(H2639)),H2639,"")</x:f>
        <x:v>8.87</x:v>
      </x:c>
      <x:c r="P2639" s="34" t="str">
        <x:v>NOT_REVEALING</x:v>
      </x:c>
      <x:c r="Q2639" s="34" t="str">
        <x:v>Feedback-Directed Random Test Generation/Result_Round2/Closure_11/result.json</x:v>
      </x:c>
    </x:row>
    <x:row r="2640">
      <x:c r="A2640" s="34" t="str">
        <x:v>randoop</x:v>
      </x:c>
      <x:c r="B2640" s="34" t="str">
        <x:v>Closure</x:v>
      </x:c>
      <x:c r="C2640" s="34" t="str">
        <x:v>Round2</x:v>
      </x:c>
      <x:c r="D2640" s="34" t="str">
        <x:v>Closure_12</x:v>
      </x:c>
      <x:c r="E2640" s="34" t="str">
        <x:v>Line</x:v>
      </x:c>
      <x:c r="F2640" s="34" t="n">
        <x:v>88</x:v>
      </x:c>
      <x:c r="G2640" s="34" t="str">
        <x:v>RECORDED</x:v>
      </x:c>
      <x:c r="H2640" s="38" t="n">
        <x:f>IF(ISNUMBER('Data'!H932),'Data'!H932*100,"")</x:f>
        <x:v>12.5</x:v>
      </x:c>
      <x:c r="I2640" s="34" t="str">
        <x:v>PASS</x:v>
      </x:c>
      <x:c r="J2640" s="34" t="str">
        <x:v>PASS</x:v>
      </x:c>
      <x:c r="K2640" s="34" t="str">
        <x:v>PASS</x:v>
      </x:c>
      <x:c r="L2640" s="34" t="str">
        <x:v>PASS</x:v>
      </x:c>
      <x:c r="M2640" s="34" t="str">
        <x:v>numeric coverage for applicable metric</x:v>
      </x:c>
      <x:c r="N2640" s="34" t="str">
        <x:v>Feedback-Directed Random Test Generation/Result_Round2/Closure_12/result.json</x:v>
      </x:c>
      <x:c r="O2640" s="38" t="n">
        <x:f>IF(AND(G2640="RECORDED",ISNUMBER(H2640)),H2640,"")</x:f>
        <x:v>12.5</x:v>
      </x:c>
      <x:c r="P2640" s="34" t="str">
        <x:v>NOT_REVEALING</x:v>
      </x:c>
      <x:c r="Q2640" s="34" t="str">
        <x:v>Feedback-Directed Random Test Generation/Result_Round2/Closure_12/result.json</x:v>
      </x:c>
    </x:row>
    <x:row r="2641">
      <x:c r="A2641" s="34" t="str">
        <x:v>randoop</x:v>
      </x:c>
      <x:c r="B2641" s="34" t="str">
        <x:v>Closure</x:v>
      </x:c>
      <x:c r="C2641" s="34" t="str">
        <x:v>Round2</x:v>
      </x:c>
      <x:c r="D2641" s="34" t="str">
        <x:v>Closure_13</x:v>
      </x:c>
      <x:c r="E2641" s="34" t="str">
        <x:v>Line</x:v>
      </x:c>
      <x:c r="F2641" s="34" t="n">
        <x:v>86</x:v>
      </x:c>
      <x:c r="G2641" s="34" t="str">
        <x:v>RECORDED</x:v>
      </x:c>
      <x:c r="H2641" s="38" t="n">
        <x:f>IF(ISNUMBER('Data'!H933),'Data'!H933*100,"")</x:f>
        <x:v>0</x:v>
      </x:c>
      <x:c r="I2641" s="34" t="str">
        <x:v>PASS</x:v>
      </x:c>
      <x:c r="J2641" s="34" t="str">
        <x:v>PASS</x:v>
      </x:c>
      <x:c r="K2641" s="34" t="str">
        <x:v>PASS</x:v>
      </x:c>
      <x:c r="L2641" s="34" t="str">
        <x:v>PASS</x:v>
      </x:c>
      <x:c r="M2641" s="34" t="str">
        <x:v>numeric coverage for applicable metric</x:v>
      </x:c>
      <x:c r="N2641" s="34" t="str">
        <x:v>Feedback-Directed Random Test Generation/Result_Round2/Closure_13/result.json</x:v>
      </x:c>
      <x:c r="O2641" s="38" t="n">
        <x:f>IF(AND(G2641="RECORDED",ISNUMBER(H2641)),H2641,"")</x:f>
        <x:v>0</x:v>
      </x:c>
      <x:c r="P2641" s="34" t="str">
        <x:v>NOT_REVEALING</x:v>
      </x:c>
      <x:c r="Q2641" s="34" t="str">
        <x:v>Feedback-Directed Random Test Generation/Result_Round2/Closure_13/result.json</x:v>
      </x:c>
    </x:row>
    <x:row r="2642">
      <x:c r="A2642" s="34" t="str">
        <x:v>randoop</x:v>
      </x:c>
      <x:c r="B2642" s="34" t="str">
        <x:v>Closure</x:v>
      </x:c>
      <x:c r="C2642" s="34" t="str">
        <x:v>Round2</x:v>
      </x:c>
      <x:c r="D2642" s="34" t="str">
        <x:v>Closure_14</x:v>
      </x:c>
      <x:c r="E2642" s="34" t="str">
        <x:v>Line</x:v>
      </x:c>
      <x:c r="F2642" s="34" t="n">
        <x:v>407</x:v>
      </x:c>
      <x:c r="G2642" s="34" t="str">
        <x:v>RECORDED</x:v>
      </x:c>
      <x:c r="H2642" s="38" t="n">
        <x:f>IF(ISNUMBER('Data'!H934),'Data'!H934*100,"")</x:f>
        <x:v>6.88</x:v>
      </x:c>
      <x:c r="I2642" s="34" t="str">
        <x:v>PASS</x:v>
      </x:c>
      <x:c r="J2642" s="34" t="str">
        <x:v>PASS</x:v>
      </x:c>
      <x:c r="K2642" s="34" t="str">
        <x:v>PASS</x:v>
      </x:c>
      <x:c r="L2642" s="34" t="str">
        <x:v>PASS</x:v>
      </x:c>
      <x:c r="M2642" s="34" t="str">
        <x:v>numeric coverage for applicable metric</x:v>
      </x:c>
      <x:c r="N2642" s="34" t="str">
        <x:v>Feedback-Directed Random Test Generation/Result_Round2/Closure_14/result.json</x:v>
      </x:c>
      <x:c r="O2642" s="38" t="n">
        <x:f>IF(AND(G2642="RECORDED",ISNUMBER(H2642)),H2642,"")</x:f>
        <x:v>6.88</x:v>
      </x:c>
      <x:c r="P2642" s="34" t="str">
        <x:v>NOT_REVEALING</x:v>
      </x:c>
      <x:c r="Q2642" s="34" t="str">
        <x:v>Feedback-Directed Random Test Generation/Result_Round2/Closure_14/result.json</x:v>
      </x:c>
    </x:row>
    <x:row r="2643">
      <x:c r="A2643" s="34" t="str">
        <x:v>randoop</x:v>
      </x:c>
      <x:c r="B2643" s="34" t="str">
        <x:v>Closure</x:v>
      </x:c>
      <x:c r="C2643" s="34" t="str">
        <x:v>Round2</x:v>
      </x:c>
      <x:c r="D2643" s="34" t="str">
        <x:v>Closure_15</x:v>
      </x:c>
      <x:c r="E2643" s="34" t="str">
        <x:v>Line</x:v>
      </x:c>
      <x:c r="F2643" s="34" t="n">
        <x:v>166</x:v>
      </x:c>
      <x:c r="G2643" s="34" t="str">
        <x:v>RECORDED</x:v>
      </x:c>
      <x:c r="H2643" s="38" t="n">
        <x:f>IF(ISNUMBER('Data'!H935),'Data'!H935*100,"")</x:f>
        <x:v>5.42</x:v>
      </x:c>
      <x:c r="I2643" s="34" t="str">
        <x:v>PASS</x:v>
      </x:c>
      <x:c r="J2643" s="34" t="str">
        <x:v>PASS</x:v>
      </x:c>
      <x:c r="K2643" s="34" t="str">
        <x:v>PASS</x:v>
      </x:c>
      <x:c r="L2643" s="34" t="str">
        <x:v>PASS</x:v>
      </x:c>
      <x:c r="M2643" s="34" t="str">
        <x:v>numeric coverage for applicable metric</x:v>
      </x:c>
      <x:c r="N2643" s="34" t="str">
        <x:v>Feedback-Directed Random Test Generation/Result_Round2/Closure_15/result.json</x:v>
      </x:c>
      <x:c r="O2643" s="38" t="n">
        <x:f>IF(AND(G2643="RECORDED",ISNUMBER(H2643)),H2643,"")</x:f>
        <x:v>5.42</x:v>
      </x:c>
      <x:c r="P2643" s="34" t="str">
        <x:v>NOT_REVEALING</x:v>
      </x:c>
      <x:c r="Q2643" s="34" t="str">
        <x:v>Feedback-Directed Random Test Generation/Result_Round2/Closure_15/result.json</x:v>
      </x:c>
    </x:row>
    <x:row r="2644">
      <x:c r="A2644" s="34" t="str">
        <x:v>randoop</x:v>
      </x:c>
      <x:c r="B2644" s="34" t="str">
        <x:v>Closure</x:v>
      </x:c>
      <x:c r="C2644" s="34" t="str">
        <x:v>Round2</x:v>
      </x:c>
      <x:c r="D2644" s="34" t="str">
        <x:v>Closure_16</x:v>
      </x:c>
      <x:c r="E2644" s="34" t="str">
        <x:v>Line</x:v>
      </x:c>
      <x:c r="F2644" s="34" t="n">
        <x:v>202</x:v>
      </x:c>
      <x:c r="G2644" s="34" t="str">
        <x:v>RECORDED</x:v>
      </x:c>
      <x:c r="H2644" s="38" t="n">
        <x:f>IF(ISNUMBER('Data'!H936),'Data'!H936*100,"")</x:f>
        <x:v>12.38</x:v>
      </x:c>
      <x:c r="I2644" s="34" t="str">
        <x:v>PASS</x:v>
      </x:c>
      <x:c r="J2644" s="34" t="str">
        <x:v>PASS</x:v>
      </x:c>
      <x:c r="K2644" s="34" t="str">
        <x:v>PASS</x:v>
      </x:c>
      <x:c r="L2644" s="34" t="str">
        <x:v>PASS</x:v>
      </x:c>
      <x:c r="M2644" s="34" t="str">
        <x:v>numeric coverage for applicable metric</x:v>
      </x:c>
      <x:c r="N2644" s="34" t="str">
        <x:v>Feedback-Directed Random Test Generation/Result_Round2/Closure_16/result.json</x:v>
      </x:c>
      <x:c r="O2644" s="38" t="n">
        <x:f>IF(AND(G2644="RECORDED",ISNUMBER(H2644)),H2644,"")</x:f>
        <x:v>12.38</x:v>
      </x:c>
      <x:c r="P2644" s="34" t="str">
        <x:v>NOT_REVEALING</x:v>
      </x:c>
      <x:c r="Q2644" s="34" t="str">
        <x:v>Feedback-Directed Random Test Generation/Result_Round2/Closure_16/result.json</x:v>
      </x:c>
    </x:row>
    <x:row r="2645">
      <x:c r="A2645" s="34" t="str">
        <x:v>randoop</x:v>
      </x:c>
      <x:c r="B2645" s="34" t="str">
        <x:v>Closure</x:v>
      </x:c>
      <x:c r="C2645" s="34" t="str">
        <x:v>Round2</x:v>
      </x:c>
      <x:c r="D2645" s="34" t="str">
        <x:v>Closure_17</x:v>
      </x:c>
      <x:c r="E2645" s="34" t="str">
        <x:v>Line</x:v>
      </x:c>
      <x:c r="F2645" s="34" t="n">
        <x:v>880</x:v>
      </x:c>
      <x:c r="G2645" s="34" t="str">
        <x:v>RECORDED</x:v>
      </x:c>
      <x:c r="H2645" s="38" t="n">
        <x:f>IF(ISNUMBER('Data'!H937),'Data'!H937*100,"")</x:f>
        <x:v>2.84</x:v>
      </x:c>
      <x:c r="I2645" s="34" t="str">
        <x:v>PASS</x:v>
      </x:c>
      <x:c r="J2645" s="34" t="str">
        <x:v>PASS</x:v>
      </x:c>
      <x:c r="K2645" s="34" t="str">
        <x:v>PASS</x:v>
      </x:c>
      <x:c r="L2645" s="34" t="str">
        <x:v>PASS</x:v>
      </x:c>
      <x:c r="M2645" s="34" t="str">
        <x:v>numeric coverage for applicable metric</x:v>
      </x:c>
      <x:c r="N2645" s="34" t="str">
        <x:v>Feedback-Directed Random Test Generation/Result_Round2/Closure_17/result.json</x:v>
      </x:c>
      <x:c r="O2645" s="38" t="n">
        <x:f>IF(AND(G2645="RECORDED",ISNUMBER(H2645)),H2645,"")</x:f>
        <x:v>2.84</x:v>
      </x:c>
      <x:c r="P2645" s="34" t="str">
        <x:v>NOT_REVEALING</x:v>
      </x:c>
      <x:c r="Q2645" s="34" t="str">
        <x:v>Feedback-Directed Random Test Generation/Result_Round2/Closure_17/result.json</x:v>
      </x:c>
    </x:row>
    <x:row r="2646">
      <x:c r="A2646" s="34" t="str">
        <x:v>randoop</x:v>
      </x:c>
      <x:c r="B2646" s="34" t="str">
        <x:v>Closure</x:v>
      </x:c>
      <x:c r="C2646" s="34" t="str">
        <x:v>Round2</x:v>
      </x:c>
      <x:c r="D2646" s="34" t="str">
        <x:v>Closure_18</x:v>
      </x:c>
      <x:c r="E2646" s="34" t="str">
        <x:v>Line</x:v>
      </x:c>
      <x:c r="F2646" s="34" t="n">
        <x:v>1006</x:v>
      </x:c>
      <x:c r="G2646" s="34" t="str">
        <x:v>RECORDED</x:v>
      </x:c>
      <x:c r="H2646" s="38" t="n">
        <x:f>IF(ISNUMBER('Data'!H938),'Data'!H938*100,"")</x:f>
        <x:v>65.01</x:v>
      </x:c>
      <x:c r="I2646" s="34" t="str">
        <x:v>PASS</x:v>
      </x:c>
      <x:c r="J2646" s="34" t="str">
        <x:v>PASS</x:v>
      </x:c>
      <x:c r="K2646" s="34" t="str">
        <x:v>PASS</x:v>
      </x:c>
      <x:c r="L2646" s="34" t="str">
        <x:v>FAIL</x:v>
      </x:c>
      <x:c r="M2646" s="34" t="str">
        <x:v>numeric coverage for applicable metric</x:v>
      </x:c>
      <x:c r="N2646" s="34" t="str">
        <x:v>Feedback-Directed Random Test Generation/Result_Round2/Closure_18/result.json</x:v>
      </x:c>
      <x:c r="O2646" s="38" t="n">
        <x:f>IF(AND(G2646="RECORDED",ISNUMBER(H2646)),H2646,"")</x:f>
        <x:v>65.01</x:v>
      </x:c>
      <x:c r="P2646" s="34" t="str">
        <x:v>INCONCLUSIVE</x:v>
      </x:c>
      <x:c r="Q2646" s="34" t="str">
        <x:v>Feedback-Directed Random Test Generation/Result_Round2/Closure_18/result.json</x:v>
      </x:c>
    </x:row>
    <x:row r="2647">
      <x:c r="A2647" s="34" t="str">
        <x:v>randoop</x:v>
      </x:c>
      <x:c r="B2647" s="34" t="str">
        <x:v>Closure</x:v>
      </x:c>
      <x:c r="C2647" s="34" t="str">
        <x:v>Round2</x:v>
      </x:c>
      <x:c r="D2647" s="34" t="str">
        <x:v>Closure_19</x:v>
      </x:c>
      <x:c r="E2647" s="34" t="str">
        <x:v>Line</x:v>
      </x:c>
      <x:c r="F2647" s="34" t="n">
        <x:v>171</x:v>
      </x:c>
      <x:c r="G2647" s="34" t="str">
        <x:v>RECORDED</x:v>
      </x:c>
      <x:c r="H2647" s="38" t="n">
        <x:f>IF(ISNUMBER('Data'!H939),'Data'!H939*100,"")</x:f>
        <x:v>0</x:v>
      </x:c>
      <x:c r="I2647" s="34" t="str">
        <x:v>PASS</x:v>
      </x:c>
      <x:c r="J2647" s="34" t="str">
        <x:v>PASS</x:v>
      </x:c>
      <x:c r="K2647" s="34" t="str">
        <x:v>PASS</x:v>
      </x:c>
      <x:c r="L2647" s="34" t="str">
        <x:v>PASS</x:v>
      </x:c>
      <x:c r="M2647" s="34" t="str">
        <x:v>numeric coverage for applicable metric</x:v>
      </x:c>
      <x:c r="N2647" s="34" t="str">
        <x:v>Feedback-Directed Random Test Generation/Result_Round2/Closure_19/result.json</x:v>
      </x:c>
      <x:c r="O2647" s="38" t="n">
        <x:f>IF(AND(G2647="RECORDED",ISNUMBER(H2647)),H2647,"")</x:f>
        <x:v>0</x:v>
      </x:c>
      <x:c r="P2647" s="34" t="str">
        <x:v>NOT_REVEALING</x:v>
      </x:c>
      <x:c r="Q2647" s="34" t="str">
        <x:v>Feedback-Directed Random Test Generation/Result_Round2/Closure_19/result.json</x:v>
      </x:c>
    </x:row>
    <x:row r="2648">
      <x:c r="A2648" s="34" t="str">
        <x:v>randoop</x:v>
      </x:c>
      <x:c r="B2648" s="34" t="str">
        <x:v>Closure</x:v>
      </x:c>
      <x:c r="C2648" s="34" t="str">
        <x:v>Round2</x:v>
      </x:c>
      <x:c r="D2648" s="34" t="str">
        <x:v>Closure_20</x:v>
      </x:c>
      <x:c r="E2648" s="34" t="str">
        <x:v>Line</x:v>
      </x:c>
      <x:c r="F2648" s="34" t="n">
        <x:v>754</x:v>
      </x:c>
      <x:c r="G2648" s="34" t="str">
        <x:v>RECORDED</x:v>
      </x:c>
      <x:c r="H2648" s="38" t="n">
        <x:f>IF(ISNUMBER('Data'!H940),'Data'!H940*100,"")</x:f>
        <x:v>3.18</x:v>
      </x:c>
      <x:c r="I2648" s="34" t="str">
        <x:v>PASS</x:v>
      </x:c>
      <x:c r="J2648" s="34" t="str">
        <x:v>PASS</x:v>
      </x:c>
      <x:c r="K2648" s="34" t="str">
        <x:v>PASS</x:v>
      </x:c>
      <x:c r="L2648" s="34" t="str">
        <x:v>PASS</x:v>
      </x:c>
      <x:c r="M2648" s="34" t="str">
        <x:v>numeric coverage for applicable metric</x:v>
      </x:c>
      <x:c r="N2648" s="34" t="str">
        <x:v>Feedback-Directed Random Test Generation/Result_Round2/Closure_20/result.json</x:v>
      </x:c>
      <x:c r="O2648" s="38" t="n">
        <x:f>IF(AND(G2648="RECORDED",ISNUMBER(H2648)),H2648,"")</x:f>
        <x:v>3.18</x:v>
      </x:c>
      <x:c r="P2648" s="34" t="str">
        <x:v>NOT_REVEALING</x:v>
      </x:c>
      <x:c r="Q2648" s="34" t="str">
        <x:v>Feedback-Directed Random Test Generation/Result_Round2/Closure_20/result.json</x:v>
      </x:c>
    </x:row>
    <x:row r="2649">
      <x:c r="A2649" s="34" t="str">
        <x:v>randoop</x:v>
      </x:c>
      <x:c r="B2649" s="34" t="str">
        <x:v>Closure</x:v>
      </x:c>
      <x:c r="C2649" s="34" t="str">
        <x:v>Round2</x:v>
      </x:c>
      <x:c r="D2649" s="34" t="str">
        <x:v>Closure_21</x:v>
      </x:c>
      <x:c r="E2649" s="34" t="str">
        <x:v>Line</x:v>
      </x:c>
      <x:c r="F2649" s="34" t="n">
        <x:v>81</x:v>
      </x:c>
      <x:c r="G2649" s="34" t="str">
        <x:v>RECORDED</x:v>
      </x:c>
      <x:c r="H2649" s="38" t="n">
        <x:f>IF(ISNUMBER('Data'!H941),'Data'!H941*100,"")</x:f>
        <x:v>18.52</x:v>
      </x:c>
      <x:c r="I2649" s="34" t="str">
        <x:v>PASS</x:v>
      </x:c>
      <x:c r="J2649" s="34" t="str">
        <x:v>PASS</x:v>
      </x:c>
      <x:c r="K2649" s="34" t="str">
        <x:v>PASS</x:v>
      </x:c>
      <x:c r="L2649" s="34" t="str">
        <x:v>PASS</x:v>
      </x:c>
      <x:c r="M2649" s="34" t="str">
        <x:v>numeric coverage for applicable metric</x:v>
      </x:c>
      <x:c r="N2649" s="34" t="str">
        <x:v>Feedback-Directed Random Test Generation/Result_Round2/Closure_21/result.json</x:v>
      </x:c>
      <x:c r="O2649" s="38" t="n">
        <x:f>IF(AND(G2649="RECORDED",ISNUMBER(H2649)),H2649,"")</x:f>
        <x:v>18.52</x:v>
      </x:c>
      <x:c r="P2649" s="34" t="str">
        <x:v>NOT_REVEALING</x:v>
      </x:c>
      <x:c r="Q2649" s="34" t="str">
        <x:v>Feedback-Directed Random Test Generation/Result_Round2/Closure_21/result.json</x:v>
      </x:c>
    </x:row>
    <x:row r="2650">
      <x:c r="A2650" s="34" t="str">
        <x:v>randoop</x:v>
      </x:c>
      <x:c r="B2650" s="34" t="str">
        <x:v>Closure</x:v>
      </x:c>
      <x:c r="C2650" s="34" t="str">
        <x:v>Round2</x:v>
      </x:c>
      <x:c r="D2650" s="34" t="str">
        <x:v>Closure_22</x:v>
      </x:c>
      <x:c r="E2650" s="34" t="str">
        <x:v>Line</x:v>
      </x:c>
      <x:c r="F2650" s="34" t="n">
        <x:v>86</x:v>
      </x:c>
      <x:c r="G2650" s="34" t="str">
        <x:v>RECORDED</x:v>
      </x:c>
      <x:c r="H2650" s="38" t="n">
        <x:f>IF(ISNUMBER('Data'!H942),'Data'!H942*100,"")</x:f>
        <x:v>17.44</x:v>
      </x:c>
      <x:c r="I2650" s="34" t="str">
        <x:v>PASS</x:v>
      </x:c>
      <x:c r="J2650" s="34" t="str">
        <x:v>PASS</x:v>
      </x:c>
      <x:c r="K2650" s="34" t="str">
        <x:v>PASS</x:v>
      </x:c>
      <x:c r="L2650" s="34" t="str">
        <x:v>PASS</x:v>
      </x:c>
      <x:c r="M2650" s="34" t="str">
        <x:v>numeric coverage for applicable metric</x:v>
      </x:c>
      <x:c r="N2650" s="34" t="str">
        <x:v>Feedback-Directed Random Test Generation/Result_Round2/Closure_22/result.json</x:v>
      </x:c>
      <x:c r="O2650" s="38" t="n">
        <x:f>IF(AND(G2650="RECORDED",ISNUMBER(H2650)),H2650,"")</x:f>
        <x:v>17.44</x:v>
      </x:c>
      <x:c r="P2650" s="34" t="str">
        <x:v>NOT_REVEALING</x:v>
      </x:c>
      <x:c r="Q2650" s="34" t="str">
        <x:v>Feedback-Directed Random Test Generation/Result_Round2/Closure_22/result.json</x:v>
      </x:c>
    </x:row>
    <x:row r="2651">
      <x:c r="A2651" s="34" t="str">
        <x:v>randoop</x:v>
      </x:c>
      <x:c r="B2651" s="34" t="str">
        <x:v>Closure</x:v>
      </x:c>
      <x:c r="C2651" s="34" t="str">
        <x:v>Round2</x:v>
      </x:c>
      <x:c r="D2651" s="34" t="str">
        <x:v>Closure_23</x:v>
      </x:c>
      <x:c r="E2651" s="34" t="str">
        <x:v>Line</x:v>
      </x:c>
      <x:c r="F2651" s="34" t="n">
        <x:v>695</x:v>
      </x:c>
      <x:c r="G2651" s="34" t="str">
        <x:v>RECORDED</x:v>
      </x:c>
      <x:c r="H2651" s="38" t="n">
        <x:f>IF(ISNUMBER('Data'!H943),'Data'!H943*100,"")</x:f>
        <x:v>2.16</x:v>
      </x:c>
      <x:c r="I2651" s="34" t="str">
        <x:v>PASS</x:v>
      </x:c>
      <x:c r="J2651" s="34" t="str">
        <x:v>PASS</x:v>
      </x:c>
      <x:c r="K2651" s="34" t="str">
        <x:v>PASS</x:v>
      </x:c>
      <x:c r="L2651" s="34" t="str">
        <x:v>PASS</x:v>
      </x:c>
      <x:c r="M2651" s="34" t="str">
        <x:v>numeric coverage for applicable metric</x:v>
      </x:c>
      <x:c r="N2651" s="34" t="str">
        <x:v>Feedback-Directed Random Test Generation/Result_Round2/Closure_23/result.json</x:v>
      </x:c>
      <x:c r="O2651" s="38" t="n">
        <x:f>IF(AND(G2651="RECORDED",ISNUMBER(H2651)),H2651,"")</x:f>
        <x:v>2.16</x:v>
      </x:c>
      <x:c r="P2651" s="34" t="str">
        <x:v>NOT_REVEALING</x:v>
      </x:c>
      <x:c r="Q2651" s="34" t="str">
        <x:v>Feedback-Directed Random Test Generation/Result_Round2/Closure_23/result.json</x:v>
      </x:c>
    </x:row>
    <x:row r="2652">
      <x:c r="A2652" s="34" t="str">
        <x:v>randoop</x:v>
      </x:c>
      <x:c r="B2652" s="34" t="str">
        <x:v>Closure</x:v>
      </x:c>
      <x:c r="C2652" s="34" t="str">
        <x:v>Round2</x:v>
      </x:c>
      <x:c r="D2652" s="34" t="str">
        <x:v>Closure_24</x:v>
      </x:c>
      <x:c r="E2652" s="34" t="str">
        <x:v>Line</x:v>
      </x:c>
      <x:c r="F2652" s="34" t="n">
        <x:v>173</x:v>
      </x:c>
      <x:c r="G2652" s="34" t="str">
        <x:v>RECORDED</x:v>
      </x:c>
      <x:c r="H2652" s="38" t="n">
        <x:f>IF(ISNUMBER('Data'!H944),'Data'!H944*100,"")</x:f>
        <x:v>13.29</x:v>
      </x:c>
      <x:c r="I2652" s="34" t="str">
        <x:v>PASS</x:v>
      </x:c>
      <x:c r="J2652" s="34" t="str">
        <x:v>PASS</x:v>
      </x:c>
      <x:c r="K2652" s="34" t="str">
        <x:v>PASS</x:v>
      </x:c>
      <x:c r="L2652" s="34" t="str">
        <x:v>PASS</x:v>
      </x:c>
      <x:c r="M2652" s="34" t="str">
        <x:v>numeric coverage for applicable metric</x:v>
      </x:c>
      <x:c r="N2652" s="34" t="str">
        <x:v>Feedback-Directed Random Test Generation/Result_Round2/Closure_24/result.json</x:v>
      </x:c>
      <x:c r="O2652" s="38" t="n">
        <x:f>IF(AND(G2652="RECORDED",ISNUMBER(H2652)),H2652,"")</x:f>
        <x:v>13.29</x:v>
      </x:c>
      <x:c r="P2652" s="34" t="str">
        <x:v>NOT_REVEALING</x:v>
      </x:c>
      <x:c r="Q2652" s="34" t="str">
        <x:v>Feedback-Directed Random Test Generation/Result_Round2/Closure_24/result.json</x:v>
      </x:c>
    </x:row>
    <x:row r="2653">
      <x:c r="A2653" s="34" t="str">
        <x:v>randoop</x:v>
      </x:c>
      <x:c r="B2653" s="34" t="str">
        <x:v>Closure</x:v>
      </x:c>
      <x:c r="C2653" s="34" t="str">
        <x:v>Round2</x:v>
      </x:c>
      <x:c r="D2653" s="34" t="str">
        <x:v>Closure_25</x:v>
      </x:c>
      <x:c r="E2653" s="34" t="str">
        <x:v>Line</x:v>
      </x:c>
      <x:c r="F2653" s="34" t="n">
        <x:v>608</x:v>
      </x:c>
      <x:c r="G2653" s="34" t="str">
        <x:v>RECORDED</x:v>
      </x:c>
      <x:c r="H2653" s="38" t="n">
        <x:f>IF(ISNUMBER('Data'!H945),'Data'!H945*100,"")</x:f>
        <x:v>1.32</x:v>
      </x:c>
      <x:c r="I2653" s="34" t="str">
        <x:v>PASS</x:v>
      </x:c>
      <x:c r="J2653" s="34" t="str">
        <x:v>PASS</x:v>
      </x:c>
      <x:c r="K2653" s="34" t="str">
        <x:v>PASS</x:v>
      </x:c>
      <x:c r="L2653" s="34" t="str">
        <x:v>PASS</x:v>
      </x:c>
      <x:c r="M2653" s="34" t="str">
        <x:v>numeric coverage for applicable metric</x:v>
      </x:c>
      <x:c r="N2653" s="34" t="str">
        <x:v>Feedback-Directed Random Test Generation/Result_Round2/Closure_25/result.json</x:v>
      </x:c>
      <x:c r="O2653" s="38" t="n">
        <x:f>IF(AND(G2653="RECORDED",ISNUMBER(H2653)),H2653,"")</x:f>
        <x:v>1.32</x:v>
      </x:c>
      <x:c r="P2653" s="34" t="str">
        <x:v>NOT_REVEALING</x:v>
      </x:c>
      <x:c r="Q2653" s="34" t="str">
        <x:v>Feedback-Directed Random Test Generation/Result_Round2/Closure_25/result.json</x:v>
      </x:c>
    </x:row>
    <x:row r="2654">
      <x:c r="A2654" s="34" t="str">
        <x:v>randoop</x:v>
      </x:c>
      <x:c r="B2654" s="34" t="str">
        <x:v>Closure</x:v>
      </x:c>
      <x:c r="C2654" s="34" t="str">
        <x:v>Round2</x:v>
      </x:c>
      <x:c r="D2654" s="34" t="str">
        <x:v>Closure_26</x:v>
      </x:c>
      <x:c r="E2654" s="34" t="str">
        <x:v>Line</x:v>
      </x:c>
      <x:c r="F2654" s="34" t="n">
        <x:v>107</x:v>
      </x:c>
      <x:c r="G2654" s="34" t="str">
        <x:v>RECORDED</x:v>
      </x:c>
      <x:c r="H2654" s="38" t="n">
        <x:f>IF(ISNUMBER('Data'!H946),'Data'!H946*100,"")</x:f>
        <x:v>27.1</x:v>
      </x:c>
      <x:c r="I2654" s="34" t="str">
        <x:v>PASS</x:v>
      </x:c>
      <x:c r="J2654" s="34" t="str">
        <x:v>PASS</x:v>
      </x:c>
      <x:c r="K2654" s="34" t="str">
        <x:v>PASS</x:v>
      </x:c>
      <x:c r="L2654" s="34" t="str">
        <x:v>PASS</x:v>
      </x:c>
      <x:c r="M2654" s="34" t="str">
        <x:v>numeric coverage for applicable metric</x:v>
      </x:c>
      <x:c r="N2654" s="34" t="str">
        <x:v>Feedback-Directed Random Test Generation/Result_Round2/Closure_26/result.json</x:v>
      </x:c>
      <x:c r="O2654" s="38" t="n">
        <x:f>IF(AND(G2654="RECORDED",ISNUMBER(H2654)),H2654,"")</x:f>
        <x:v>27.1</x:v>
      </x:c>
      <x:c r="P2654" s="34" t="str">
        <x:v>NOT_REVEALING</x:v>
      </x:c>
      <x:c r="Q2654" s="34" t="str">
        <x:v>Feedback-Directed Random Test Generation/Result_Round2/Closure_26/result.json</x:v>
      </x:c>
    </x:row>
    <x:row r="2655">
      <x:c r="A2655" s="34" t="str">
        <x:v>randoop</x:v>
      </x:c>
      <x:c r="B2655" s="34" t="str">
        <x:v>Closure</x:v>
      </x:c>
      <x:c r="C2655" s="34" t="str">
        <x:v>Round2</x:v>
      </x:c>
      <x:c r="D2655" s="34" t="str">
        <x:v>Closure_27</x:v>
      </x:c>
      <x:c r="E2655" s="34" t="str">
        <x:v>Line</x:v>
      </x:c>
      <x:c r="F2655" s="34" t="n">
        <x:v>187</x:v>
      </x:c>
      <x:c r="G2655" s="34" t="str">
        <x:v>RECORDED</x:v>
      </x:c>
      <x:c r="H2655" s="38" t="n">
        <x:f>IF(ISNUMBER('Data'!H947),'Data'!H947*100,"")</x:f>
        <x:v>79.68</x:v>
      </x:c>
      <x:c r="I2655" s="34" t="str">
        <x:v>PASS</x:v>
      </x:c>
      <x:c r="J2655" s="34" t="str">
        <x:v>PASS</x:v>
      </x:c>
      <x:c r="K2655" s="34" t="str">
        <x:v>PASS</x:v>
      </x:c>
      <x:c r="L2655" s="34" t="str">
        <x:v>PASS</x:v>
      </x:c>
      <x:c r="M2655" s="34" t="str">
        <x:v>numeric coverage for applicable metric</x:v>
      </x:c>
      <x:c r="N2655" s="34" t="str">
        <x:v>Feedback-Directed Random Test Generation/Result_Round2/Closure_27/result.json</x:v>
      </x:c>
      <x:c r="O2655" s="38" t="n">
        <x:f>IF(AND(G2655="RECORDED",ISNUMBER(H2655)),H2655,"")</x:f>
        <x:v>79.68</x:v>
      </x:c>
      <x:c r="P2655" s="34" t="str">
        <x:v>INCONCLUSIVE</x:v>
      </x:c>
      <x:c r="Q2655" s="34" t="str">
        <x:v>Feedback-Directed Random Test Generation/Result_Round2/Closure_27/result.json</x:v>
      </x:c>
    </x:row>
    <x:row r="2656">
      <x:c r="A2656" s="34" t="str">
        <x:v>randoop</x:v>
      </x:c>
      <x:c r="B2656" s="34" t="str">
        <x:v>Closure</x:v>
      </x:c>
      <x:c r="C2656" s="34" t="str">
        <x:v>Round2</x:v>
      </x:c>
      <x:c r="D2656" s="34" t="str">
        <x:v>Closure_28</x:v>
      </x:c>
      <x:c r="E2656" s="34" t="str">
        <x:v>Line</x:v>
      </x:c>
      <x:c r="F2656" s="34" t="n">
        <x:v>26</x:v>
      </x:c>
      <x:c r="G2656" s="34" t="str">
        <x:v>RECORDED</x:v>
      </x:c>
      <x:c r="H2656" s="38" t="n">
        <x:f>IF(ISNUMBER('Data'!H948),'Data'!H948*100,"")</x:f>
        <x:v>50</x:v>
      </x:c>
      <x:c r="I2656" s="34" t="str">
        <x:v>PASS</x:v>
      </x:c>
      <x:c r="J2656" s="34" t="str">
        <x:v>PASS</x:v>
      </x:c>
      <x:c r="K2656" s="34" t="str">
        <x:v>PASS</x:v>
      </x:c>
      <x:c r="L2656" s="34" t="str">
        <x:v>PASS</x:v>
      </x:c>
      <x:c r="M2656" s="34" t="str">
        <x:v>numeric coverage for applicable metric</x:v>
      </x:c>
      <x:c r="N2656" s="34" t="str">
        <x:v>Feedback-Directed Random Test Generation/Result_Round2/Closure_28/result.json</x:v>
      </x:c>
      <x:c r="O2656" s="38" t="n">
        <x:f>IF(AND(G2656="RECORDED",ISNUMBER(H2656)),H2656,"")</x:f>
        <x:v>50</x:v>
      </x:c>
      <x:c r="P2656" s="34" t="str">
        <x:v>NOT_REVEALING</x:v>
      </x:c>
      <x:c r="Q2656" s="34" t="str">
        <x:v>Feedback-Directed Random Test Generation/Result_Round2/Closure_28/result.json</x:v>
      </x:c>
    </x:row>
    <x:row r="2657">
      <x:c r="A2657" s="34" t="str">
        <x:v>randoop</x:v>
      </x:c>
      <x:c r="B2657" s="34" t="str">
        <x:v>Closure</x:v>
      </x:c>
      <x:c r="C2657" s="34" t="str">
        <x:v>Round2</x:v>
      </x:c>
      <x:c r="D2657" s="34" t="str">
        <x:v>Closure_29</x:v>
      </x:c>
      <x:c r="E2657" s="34" t="str">
        <x:v>Line</x:v>
      </x:c>
      <x:c r="F2657" s="34" t="n">
        <x:v>174</x:v>
      </x:c>
      <x:c r="G2657" s="34" t="str">
        <x:v>RECORDED</x:v>
      </x:c>
      <x:c r="H2657" s="38" t="n">
        <x:f>IF(ISNUMBER('Data'!H949),'Data'!H949*100,"")</x:f>
        <x:v>4.6</x:v>
      </x:c>
      <x:c r="I2657" s="34" t="str">
        <x:v>PASS</x:v>
      </x:c>
      <x:c r="J2657" s="34" t="str">
        <x:v>PASS</x:v>
      </x:c>
      <x:c r="K2657" s="34" t="str">
        <x:v>PASS</x:v>
      </x:c>
      <x:c r="L2657" s="34" t="str">
        <x:v>PASS</x:v>
      </x:c>
      <x:c r="M2657" s="34" t="str">
        <x:v>numeric coverage for applicable metric</x:v>
      </x:c>
      <x:c r="N2657" s="34" t="str">
        <x:v>Feedback-Directed Random Test Generation/Result_Round2/Closure_29/result.json</x:v>
      </x:c>
      <x:c r="O2657" s="38" t="n">
        <x:f>IF(AND(G2657="RECORDED",ISNUMBER(H2657)),H2657,"")</x:f>
        <x:v>4.6</x:v>
      </x:c>
      <x:c r="P2657" s="34" t="str">
        <x:v>NOT_REVEALING</x:v>
      </x:c>
      <x:c r="Q2657" s="34" t="str">
        <x:v>Feedback-Directed Random Test Generation/Result_Round2/Closure_29/result.json</x:v>
      </x:c>
    </x:row>
    <x:row r="2658">
      <x:c r="A2658" s="34" t="str">
        <x:v>randoop</x:v>
      </x:c>
      <x:c r="B2658" s="34" t="str">
        <x:v>Closure</x:v>
      </x:c>
      <x:c r="C2658" s="34" t="str">
        <x:v>Round2</x:v>
      </x:c>
      <x:c r="D2658" s="34" t="str">
        <x:v>Closure_30</x:v>
      </x:c>
      <x:c r="E2658" s="34" t="str">
        <x:v>Line</x:v>
      </x:c>
      <x:c r="F2658" s="34" t="n">
        <x:v>331</x:v>
      </x:c>
      <x:c r="G2658" s="34" t="str">
        <x:v>RECORDED</x:v>
      </x:c>
      <x:c r="H2658" s="38" t="n">
        <x:f>IF(ISNUMBER('Data'!H950),'Data'!H950*100,"")</x:f>
        <x:v>6.65</x:v>
      </x:c>
      <x:c r="I2658" s="34" t="str">
        <x:v>PASS</x:v>
      </x:c>
      <x:c r="J2658" s="34" t="str">
        <x:v>PASS</x:v>
      </x:c>
      <x:c r="K2658" s="34" t="str">
        <x:v>PASS</x:v>
      </x:c>
      <x:c r="L2658" s="34" t="str">
        <x:v>FAIL</x:v>
      </x:c>
      <x:c r="M2658" s="34" t="str">
        <x:v>numeric coverage for applicable metric</x:v>
      </x:c>
      <x:c r="N2658" s="34" t="str">
        <x:v>Feedback-Directed Random Test Generation/Result_Round2/Closure_30/result.json</x:v>
      </x:c>
      <x:c r="O2658" s="38" t="n">
        <x:f>IF(AND(G2658="RECORDED",ISNUMBER(H2658)),H2658,"")</x:f>
        <x:v>6.65</x:v>
      </x:c>
      <x:c r="P2658" s="34" t="str">
        <x:v>INCONCLUSIVE</x:v>
      </x:c>
      <x:c r="Q2658" s="34" t="str">
        <x:v>Feedback-Directed Random Test Generation/Result_Round2/Closure_30/result.json</x:v>
      </x:c>
    </x:row>
    <x:row r="2659">
      <x:c r="A2659" s="34" t="str">
        <x:v>randoop</x:v>
      </x:c>
      <x:c r="B2659" s="34" t="str">
        <x:v>Closure</x:v>
      </x:c>
      <x:c r="C2659" s="34" t="str">
        <x:v>Round2</x:v>
      </x:c>
      <x:c r="D2659" s="34" t="str">
        <x:v>Closure_31</x:v>
      </x:c>
      <x:c r="E2659" s="34" t="str">
        <x:v>Line</x:v>
      </x:c>
      <x:c r="F2659" s="34" t="n">
        <x:v>982</x:v>
      </x:c>
      <x:c r="G2659" s="34" t="str">
        <x:v>RECORDED</x:v>
      </x:c>
      <x:c r="H2659" s="38" t="n">
        <x:f>IF(ISNUMBER('Data'!H951),'Data'!H951*100,"")</x:f>
        <x:v>61.41</x:v>
      </x:c>
      <x:c r="I2659" s="34" t="str">
        <x:v>PASS</x:v>
      </x:c>
      <x:c r="J2659" s="34" t="str">
        <x:v>PASS</x:v>
      </x:c>
      <x:c r="K2659" s="34" t="str">
        <x:v>PASS</x:v>
      </x:c>
      <x:c r="L2659" s="34" t="str">
        <x:v>FAIL</x:v>
      </x:c>
      <x:c r="M2659" s="34" t="str">
        <x:v>numeric coverage for applicable metric</x:v>
      </x:c>
      <x:c r="N2659" s="34" t="str">
        <x:v>Feedback-Directed Random Test Generation/Result_Round2/Closure_31/result.json</x:v>
      </x:c>
      <x:c r="O2659" s="38" t="n">
        <x:f>IF(AND(G2659="RECORDED",ISNUMBER(H2659)),H2659,"")</x:f>
        <x:v>61.41</x:v>
      </x:c>
      <x:c r="P2659" s="34" t="str">
        <x:v>INCONCLUSIVE</x:v>
      </x:c>
      <x:c r="Q2659" s="34" t="str">
        <x:v>Feedback-Directed Random Test Generation/Result_Round2/Closure_31/result.json</x:v>
      </x:c>
    </x:row>
    <x:row r="2660">
      <x:c r="A2660" s="34" t="str">
        <x:v>randoop</x:v>
      </x:c>
      <x:c r="B2660" s="34" t="str">
        <x:v>Closure</x:v>
      </x:c>
      <x:c r="C2660" s="34" t="str">
        <x:v>Round2</x:v>
      </x:c>
      <x:c r="D2660" s="34" t="str">
        <x:v>Closure_32</x:v>
      </x:c>
      <x:c r="E2660" s="34" t="str">
        <x:v>Line</x:v>
      </x:c>
      <x:c r="F2660" s="34" t="n">
        <x:v>1042</x:v>
      </x:c>
      <x:c r="G2660" s="34" t="str">
        <x:v>RECORDED</x:v>
      </x:c>
      <x:c r="H2660" s="38" t="n">
        <x:f>IF(ISNUMBER('Data'!H952),'Data'!H952*100,"")</x:f>
        <x:v>8.35</x:v>
      </x:c>
      <x:c r="I2660" s="34" t="str">
        <x:v>PASS</x:v>
      </x:c>
      <x:c r="J2660" s="34" t="str">
        <x:v>PASS</x:v>
      </x:c>
      <x:c r="K2660" s="34" t="str">
        <x:v>PASS</x:v>
      </x:c>
      <x:c r="L2660" s="34" t="str">
        <x:v>PASS</x:v>
      </x:c>
      <x:c r="M2660" s="34" t="str">
        <x:v>numeric coverage for applicable metric</x:v>
      </x:c>
      <x:c r="N2660" s="34" t="str">
        <x:v>Feedback-Directed Random Test Generation/Result_Round2/Closure_32/result.json</x:v>
      </x:c>
      <x:c r="O2660" s="38" t="n">
        <x:f>IF(AND(G2660="RECORDED",ISNUMBER(H2660)),H2660,"")</x:f>
        <x:v>8.35</x:v>
      </x:c>
      <x:c r="P2660" s="34" t="str">
        <x:v>NOT_REVEALING</x:v>
      </x:c>
      <x:c r="Q2660" s="34" t="str">
        <x:v>Feedback-Directed Random Test Generation/Result_Round2/Closure_32/result.json</x:v>
      </x:c>
    </x:row>
    <x:row r="2661">
      <x:c r="A2661" s="34" t="str">
        <x:v>randoop</x:v>
      </x:c>
      <x:c r="B2661" s="34" t="str">
        <x:v>Closure</x:v>
      </x:c>
      <x:c r="C2661" s="34" t="str">
        <x:v>Round2</x:v>
      </x:c>
      <x:c r="D2661" s="34" t="str">
        <x:v>Closure_33</x:v>
      </x:c>
      <x:c r="E2661" s="34" t="str">
        <x:v>Line</x:v>
      </x:c>
      <x:c r="F2661" s="34" t="n">
        <x:v>216</x:v>
      </x:c>
      <x:c r="G2661" s="34" t="str">
        <x:v>RECORDED</x:v>
      </x:c>
      <x:c r="H2661" s="38" t="n">
        <x:f>IF(ISNUMBER('Data'!H953),'Data'!H953*100,"")</x:f>
        <x:v>60.650000000000006</x:v>
      </x:c>
      <x:c r="I2661" s="34" t="str">
        <x:v>PASS</x:v>
      </x:c>
      <x:c r="J2661" s="34" t="str">
        <x:v>PASS</x:v>
      </x:c>
      <x:c r="K2661" s="34" t="str">
        <x:v>PASS</x:v>
      </x:c>
      <x:c r="L2661" s="34" t="str">
        <x:v>PASS</x:v>
      </x:c>
      <x:c r="M2661" s="34" t="str">
        <x:v>numeric coverage for applicable metric</x:v>
      </x:c>
      <x:c r="N2661" s="34" t="str">
        <x:v>Feedback-Directed Random Test Generation/Result_Round2/Closure_33/result.json</x:v>
      </x:c>
      <x:c r="O2661" s="38" t="n">
        <x:f>IF(AND(G2661="RECORDED",ISNUMBER(H2661)),H2661,"")</x:f>
        <x:v>60.650000000000006</x:v>
      </x:c>
      <x:c r="P2661" s="34" t="str">
        <x:v>INCONCLUSIVE</x:v>
      </x:c>
      <x:c r="Q2661" s="34" t="str">
        <x:v>Feedback-Directed Random Test Generation/Result_Round2/Closure_33/result.json</x:v>
      </x:c>
    </x:row>
    <x:row r="2662">
      <x:c r="A2662" s="34" t="str">
        <x:v>randoop</x:v>
      </x:c>
      <x:c r="B2662" s="34" t="str">
        <x:v>Closure</x:v>
      </x:c>
      <x:c r="C2662" s="34" t="str">
        <x:v>Round2</x:v>
      </x:c>
      <x:c r="D2662" s="34" t="str">
        <x:v>Closure_34</x:v>
      </x:c>
      <x:c r="E2662" s="34" t="str">
        <x:v>Line</x:v>
      </x:c>
      <x:c r="F2662" s="34" t="n">
        <x:v>863</x:v>
      </x:c>
      <x:c r="G2662" s="34" t="str">
        <x:v>RECORDED</x:v>
      </x:c>
      <x:c r="H2662" s="38" t="n">
        <x:f>IF(ISNUMBER('Data'!H954),'Data'!H954*100,"")</x:f>
        <x:v>10.78</x:v>
      </x:c>
      <x:c r="I2662" s="34" t="str">
        <x:v>PASS</x:v>
      </x:c>
      <x:c r="J2662" s="34" t="str">
        <x:v>PASS</x:v>
      </x:c>
      <x:c r="K2662" s="34" t="str">
        <x:v>PASS</x:v>
      </x:c>
      <x:c r="L2662" s="34" t="str">
        <x:v>PASS</x:v>
      </x:c>
      <x:c r="M2662" s="34" t="str">
        <x:v>numeric coverage for applicable metric</x:v>
      </x:c>
      <x:c r="N2662" s="34" t="str">
        <x:v>Feedback-Directed Random Test Generation/Result_Round2/Closure_34/result.json</x:v>
      </x:c>
      <x:c r="O2662" s="38" t="n">
        <x:f>IF(AND(G2662="RECORDED",ISNUMBER(H2662)),H2662,"")</x:f>
        <x:v>10.78</x:v>
      </x:c>
      <x:c r="P2662" s="34" t="str">
        <x:v>NOT_REVEALING</x:v>
      </x:c>
      <x:c r="Q2662" s="34" t="str">
        <x:v>Feedback-Directed Random Test Generation/Result_Round2/Closure_34/result.json</x:v>
      </x:c>
    </x:row>
    <x:row r="2663">
      <x:c r="A2663" s="34" t="str">
        <x:v>randoop</x:v>
      </x:c>
      <x:c r="B2663" s="34" t="str">
        <x:v>Closure</x:v>
      </x:c>
      <x:c r="C2663" s="34" t="str">
        <x:v>Round2</x:v>
      </x:c>
      <x:c r="D2663" s="34" t="str">
        <x:v>Closure_35</x:v>
      </x:c>
      <x:c r="E2663" s="34" t="str">
        <x:v>Line</x:v>
      </x:c>
      <x:c r="F2663" s="34" t="n">
        <x:v>628</x:v>
      </x:c>
      <x:c r="G2663" s="34" t="str">
        <x:v>RECORDED</x:v>
      </x:c>
      <x:c r="H2663" s="38" t="n">
        <x:f>IF(ISNUMBER('Data'!H955),'Data'!H955*100,"")</x:f>
        <x:v>1.27</x:v>
      </x:c>
      <x:c r="I2663" s="34" t="str">
        <x:v>PASS</x:v>
      </x:c>
      <x:c r="J2663" s="34" t="str">
        <x:v>PASS</x:v>
      </x:c>
      <x:c r="K2663" s="34" t="str">
        <x:v>PASS</x:v>
      </x:c>
      <x:c r="L2663" s="34" t="str">
        <x:v>PASS</x:v>
      </x:c>
      <x:c r="M2663" s="34" t="str">
        <x:v>numeric coverage for applicable metric</x:v>
      </x:c>
      <x:c r="N2663" s="34" t="str">
        <x:v>Feedback-Directed Random Test Generation/Result_Round2/Closure_35/result.json</x:v>
      </x:c>
      <x:c r="O2663" s="38" t="n">
        <x:f>IF(AND(G2663="RECORDED",ISNUMBER(H2663)),H2663,"")</x:f>
        <x:v>1.27</x:v>
      </x:c>
      <x:c r="P2663" s="34" t="str">
        <x:v>NOT_REVEALING</x:v>
      </x:c>
      <x:c r="Q2663" s="34" t="str">
        <x:v>Feedback-Directed Random Test Generation/Result_Round2/Closure_35/result.json</x:v>
      </x:c>
    </x:row>
    <x:row r="2664">
      <x:c r="A2664" s="34" t="str">
        <x:v>randoop</x:v>
      </x:c>
      <x:c r="B2664" s="34" t="str">
        <x:v>Closure</x:v>
      </x:c>
      <x:c r="C2664" s="34" t="str">
        <x:v>Round2</x:v>
      </x:c>
      <x:c r="D2664" s="34" t="str">
        <x:v>Closure_36</x:v>
      </x:c>
      <x:c r="E2664" s="34" t="str">
        <x:v>Line</x:v>
      </x:c>
      <x:c r="F2664" s="34" t="n">
        <x:v>289</x:v>
      </x:c>
      <x:c r="G2664" s="34" t="str">
        <x:v>RECORDED</x:v>
      </x:c>
      <x:c r="H2664" s="38" t="n">
        <x:f>IF(ISNUMBER('Data'!H956),'Data'!H956*100,"")</x:f>
        <x:v>7.960000000000001</x:v>
      </x:c>
      <x:c r="I2664" s="34" t="str">
        <x:v>PASS</x:v>
      </x:c>
      <x:c r="J2664" s="34" t="str">
        <x:v>PASS</x:v>
      </x:c>
      <x:c r="K2664" s="34" t="str">
        <x:v>PASS</x:v>
      </x:c>
      <x:c r="L2664" s="34" t="str">
        <x:v>PASS</x:v>
      </x:c>
      <x:c r="M2664" s="34" t="str">
        <x:v>numeric coverage for applicable metric</x:v>
      </x:c>
      <x:c r="N2664" s="34" t="str">
        <x:v>Feedback-Directed Random Test Generation/Result_Round2/Closure_36/result.json</x:v>
      </x:c>
      <x:c r="O2664" s="38" t="n">
        <x:f>IF(AND(G2664="RECORDED",ISNUMBER(H2664)),H2664,"")</x:f>
        <x:v>7.960000000000001</x:v>
      </x:c>
      <x:c r="P2664" s="34" t="str">
        <x:v>NOT_REVEALING</x:v>
      </x:c>
      <x:c r="Q2664" s="34" t="str">
        <x:v>Feedback-Directed Random Test Generation/Result_Round2/Closure_36/result.json</x:v>
      </x:c>
    </x:row>
    <x:row r="2665">
      <x:c r="A2665" s="34" t="str">
        <x:v>randoop</x:v>
      </x:c>
      <x:c r="B2665" s="34" t="str">
        <x:v>Closure</x:v>
      </x:c>
      <x:c r="C2665" s="34" t="str">
        <x:v>Round2</x:v>
      </x:c>
      <x:c r="D2665" s="34" t="str">
        <x:v>Closure_37</x:v>
      </x:c>
      <x:c r="E2665" s="34" t="str">
        <x:v>Line</x:v>
      </x:c>
      <x:c r="F2665" s="34" t="n">
        <x:v>832</x:v>
      </x:c>
      <x:c r="G2665" s="34" t="str">
        <x:v>RECORDED</x:v>
      </x:c>
      <x:c r="H2665" s="38" t="n">
        <x:f>IF(ISNUMBER('Data'!H957),'Data'!H957*100,"")</x:f>
        <x:v>8.29</x:v>
      </x:c>
      <x:c r="I2665" s="34" t="str">
        <x:v>PASS</x:v>
      </x:c>
      <x:c r="J2665" s="34" t="str">
        <x:v>PASS</x:v>
      </x:c>
      <x:c r="K2665" s="34" t="str">
        <x:v>PASS</x:v>
      </x:c>
      <x:c r="L2665" s="34" t="str">
        <x:v>PASS</x:v>
      </x:c>
      <x:c r="M2665" s="34" t="str">
        <x:v>numeric coverage for applicable metric</x:v>
      </x:c>
      <x:c r="N2665" s="34" t="str">
        <x:v>Feedback-Directed Random Test Generation/Result_Round2/Closure_37/result.json</x:v>
      </x:c>
      <x:c r="O2665" s="38" t="n">
        <x:f>IF(AND(G2665="RECORDED",ISNUMBER(H2665)),H2665,"")</x:f>
        <x:v>8.29</x:v>
      </x:c>
      <x:c r="P2665" s="34" t="str">
        <x:v>NOT_REVEALING</x:v>
      </x:c>
      <x:c r="Q2665" s="34" t="str">
        <x:v>Feedback-Directed Random Test Generation/Result_Round2/Closure_37/result.json</x:v>
      </x:c>
    </x:row>
    <x:row r="2666">
      <x:c r="A2666" s="34" t="str">
        <x:v>randoop</x:v>
      </x:c>
      <x:c r="B2666" s="34" t="str">
        <x:v>Closure</x:v>
      </x:c>
      <x:c r="C2666" s="34" t="str">
        <x:v>Round2</x:v>
      </x:c>
      <x:c r="D2666" s="34" t="str">
        <x:v>Closure_38</x:v>
      </x:c>
      <x:c r="E2666" s="34" t="str">
        <x:v>Line</x:v>
      </x:c>
      <x:c r="F2666" s="34" t="n">
        <x:v>112</x:v>
      </x:c>
      <x:c r="G2666" s="34" t="str">
        <x:v>RECORDED</x:v>
      </x:c>
      <x:c r="H2666" s="38" t="n">
        <x:f>IF(ISNUMBER('Data'!H958),'Data'!H958*100,"")</x:f>
        <x:v>2.68</x:v>
      </x:c>
      <x:c r="I2666" s="34" t="str">
        <x:v>PASS</x:v>
      </x:c>
      <x:c r="J2666" s="34" t="str">
        <x:v>PASS</x:v>
      </x:c>
      <x:c r="K2666" s="34" t="str">
        <x:v>PASS</x:v>
      </x:c>
      <x:c r="L2666" s="34" t="str">
        <x:v>PASS</x:v>
      </x:c>
      <x:c r="M2666" s="34" t="str">
        <x:v>numeric coverage for applicable metric</x:v>
      </x:c>
      <x:c r="N2666" s="34" t="str">
        <x:v>Feedback-Directed Random Test Generation/Result_Round2/Closure_38/result.json</x:v>
      </x:c>
      <x:c r="O2666" s="38" t="n">
        <x:f>IF(AND(G2666="RECORDED",ISNUMBER(H2666)),H2666,"")</x:f>
        <x:v>2.68</x:v>
      </x:c>
      <x:c r="P2666" s="34" t="str">
        <x:v>NOT_REVEALING</x:v>
      </x:c>
      <x:c r="Q2666" s="34" t="str">
        <x:v>Feedback-Directed Random Test Generation/Result_Round2/Closure_38/result.json</x:v>
      </x:c>
    </x:row>
    <x:row r="2667">
      <x:c r="A2667" s="34" t="str">
        <x:v>randoop</x:v>
      </x:c>
      <x:c r="B2667" s="34" t="str">
        <x:v>Closure</x:v>
      </x:c>
      <x:c r="C2667" s="34" t="str">
        <x:v>Round2</x:v>
      </x:c>
      <x:c r="D2667" s="34" t="str">
        <x:v>Closure_39</x:v>
      </x:c>
      <x:c r="E2667" s="34" t="str">
        <x:v>Line</x:v>
      </x:c>
      <x:c r="F2667" s="34" t="n">
        <x:v>205</x:v>
      </x:c>
      <x:c r="G2667" s="34" t="str">
        <x:v>RECORDED</x:v>
      </x:c>
      <x:c r="H2667" s="38" t="n">
        <x:f>IF(ISNUMBER('Data'!H959),'Data'!H959*100,"")</x:f>
        <x:v>62.93</x:v>
      </x:c>
      <x:c r="I2667" s="34" t="str">
        <x:v>PASS</x:v>
      </x:c>
      <x:c r="J2667" s="34" t="str">
        <x:v>PASS</x:v>
      </x:c>
      <x:c r="K2667" s="34" t="str">
        <x:v>PASS</x:v>
      </x:c>
      <x:c r="L2667" s="34" t="str">
        <x:v>PASS</x:v>
      </x:c>
      <x:c r="M2667" s="34" t="str">
        <x:v>numeric coverage for applicable metric</x:v>
      </x:c>
      <x:c r="N2667" s="34" t="str">
        <x:v>Feedback-Directed Random Test Generation/Result_Round2/Closure_39/result.json</x:v>
      </x:c>
      <x:c r="O2667" s="38" t="n">
        <x:f>IF(AND(G2667="RECORDED",ISNUMBER(H2667)),H2667,"")</x:f>
        <x:v>62.93</x:v>
      </x:c>
      <x:c r="P2667" s="34" t="str">
        <x:v>NOT_REVEALING</x:v>
      </x:c>
      <x:c r="Q2667" s="34" t="str">
        <x:v>Feedback-Directed Random Test Generation/Result_Round2/Closure_39/result.json</x:v>
      </x:c>
    </x:row>
    <x:row r="2668">
      <x:c r="A2668" s="34" t="str">
        <x:v>randoop</x:v>
      </x:c>
      <x:c r="B2668" s="34" t="str">
        <x:v>Closure</x:v>
      </x:c>
      <x:c r="C2668" s="34" t="str">
        <x:v>Round2</x:v>
      </x:c>
      <x:c r="D2668" s="34" t="str">
        <x:v>Closure_40</x:v>
      </x:c>
      <x:c r="E2668" s="34" t="str">
        <x:v>Line</x:v>
      </x:c>
      <x:c r="F2668" s="34" t="n">
        <x:v>712</x:v>
      </x:c>
      <x:c r="G2668" s="34" t="str">
        <x:v>RECORDED</x:v>
      </x:c>
      <x:c r="H2668" s="38" t="n">
        <x:f>IF(ISNUMBER('Data'!H960),'Data'!H960*100,"")</x:f>
        <x:v>7.870000000000001</x:v>
      </x:c>
      <x:c r="I2668" s="34" t="str">
        <x:v>PASS</x:v>
      </x:c>
      <x:c r="J2668" s="34" t="str">
        <x:v>PASS</x:v>
      </x:c>
      <x:c r="K2668" s="34" t="str">
        <x:v>PASS</x:v>
      </x:c>
      <x:c r="L2668" s="34" t="str">
        <x:v>PASS</x:v>
      </x:c>
      <x:c r="M2668" s="34" t="str">
        <x:v>numeric coverage for applicable metric</x:v>
      </x:c>
      <x:c r="N2668" s="34" t="str">
        <x:v>Feedback-Directed Random Test Generation/Result_Round2/Closure_40/result.json</x:v>
      </x:c>
      <x:c r="O2668" s="38" t="n">
        <x:f>IF(AND(G2668="RECORDED",ISNUMBER(H2668)),H2668,"")</x:f>
        <x:v>7.870000000000001</x:v>
      </x:c>
      <x:c r="P2668" s="34" t="str">
        <x:v>NOT_REVEALING</x:v>
      </x:c>
      <x:c r="Q2668" s="34" t="str">
        <x:v>Feedback-Directed Random Test Generation/Result_Round2/Closure_40/result.json</x:v>
      </x:c>
    </x:row>
    <x:row r="2669">
      <x:c r="A2669" s="34" t="str">
        <x:v>randoop</x:v>
      </x:c>
      <x:c r="B2669" s="34" t="str">
        <x:v>Closure</x:v>
      </x:c>
      <x:c r="C2669" s="34" t="str">
        <x:v>Round2</x:v>
      </x:c>
      <x:c r="D2669" s="34" t="str">
        <x:v>Closure_41</x:v>
      </x:c>
      <x:c r="E2669" s="34" t="str">
        <x:v>Line</x:v>
      </x:c>
      <x:c r="F2669" s="34" t="n">
        <x:v>336</x:v>
      </x:c>
      <x:c r="G2669" s="34" t="str">
        <x:v>RECORDED</x:v>
      </x:c>
      <x:c r="H2669" s="38" t="n">
        <x:f>IF(ISNUMBER('Data'!H961),'Data'!H961*100,"")</x:f>
        <x:v>14.580000000000002</x:v>
      </x:c>
      <x:c r="I2669" s="34" t="str">
        <x:v>PASS</x:v>
      </x:c>
      <x:c r="J2669" s="34" t="str">
        <x:v>PASS</x:v>
      </x:c>
      <x:c r="K2669" s="34" t="str">
        <x:v>PASS</x:v>
      </x:c>
      <x:c r="L2669" s="34" t="str">
        <x:v>PASS</x:v>
      </x:c>
      <x:c r="M2669" s="34" t="str">
        <x:v>numeric coverage for applicable metric</x:v>
      </x:c>
      <x:c r="N2669" s="34" t="str">
        <x:v>Feedback-Directed Random Test Generation/Result_Round2/Closure_41/result.json</x:v>
      </x:c>
      <x:c r="O2669" s="38" t="n">
        <x:f>IF(AND(G2669="RECORDED",ISNUMBER(H2669)),H2669,"")</x:f>
        <x:v>14.580000000000002</x:v>
      </x:c>
      <x:c r="P2669" s="34" t="str">
        <x:v>NOT_REVEALING</x:v>
      </x:c>
      <x:c r="Q2669" s="34" t="str">
        <x:v>Feedback-Directed Random Test Generation/Result_Round2/Closure_41/result.json</x:v>
      </x:c>
    </x:row>
    <x:row r="2670">
      <x:c r="A2670" s="34" t="str">
        <x:v>randoop</x:v>
      </x:c>
      <x:c r="B2670" s="34" t="str">
        <x:v>Closure</x:v>
      </x:c>
      <x:c r="C2670" s="34" t="str">
        <x:v>Round2</x:v>
      </x:c>
      <x:c r="D2670" s="34" t="str">
        <x:v>Closure_42</x:v>
      </x:c>
      <x:c r="E2670" s="34" t="str">
        <x:v>Line</x:v>
      </x:c>
      <x:c r="F2670" s="34" t="n">
        <x:v>598</x:v>
      </x:c>
      <x:c r="G2670" s="34" t="str">
        <x:v>RECORDED</x:v>
      </x:c>
      <x:c r="H2670" s="38" t="n">
        <x:f>IF(ISNUMBER('Data'!H962),'Data'!H962*100,"")</x:f>
        <x:v>4.18</x:v>
      </x:c>
      <x:c r="I2670" s="34" t="str">
        <x:v>PASS</x:v>
      </x:c>
      <x:c r="J2670" s="34" t="str">
        <x:v>PASS</x:v>
      </x:c>
      <x:c r="K2670" s="34" t="str">
        <x:v>PASS</x:v>
      </x:c>
      <x:c r="L2670" s="34" t="str">
        <x:v>PASS</x:v>
      </x:c>
      <x:c r="M2670" s="34" t="str">
        <x:v>numeric coverage for applicable metric</x:v>
      </x:c>
      <x:c r="N2670" s="34" t="str">
        <x:v>Feedback-Directed Random Test Generation/Result_Round2/Closure_42/result.json</x:v>
      </x:c>
      <x:c r="O2670" s="38" t="n">
        <x:f>IF(AND(G2670="RECORDED",ISNUMBER(H2670)),H2670,"")</x:f>
        <x:v>4.18</x:v>
      </x:c>
      <x:c r="P2670" s="34" t="str">
        <x:v>NOT_REVEALING</x:v>
      </x:c>
      <x:c r="Q2670" s="34" t="str">
        <x:v>Feedback-Directed Random Test Generation/Result_Round2/Closure_42/result.json</x:v>
      </x:c>
    </x:row>
    <x:row r="2671">
      <x:c r="A2671" s="34" t="str">
        <x:v>randoop</x:v>
      </x:c>
      <x:c r="B2671" s="34" t="str">
        <x:v>Closure</x:v>
      </x:c>
      <x:c r="C2671" s="34" t="str">
        <x:v>Round2</x:v>
      </x:c>
      <x:c r="D2671" s="34" t="str">
        <x:v>Closure_43</x:v>
      </x:c>
      <x:c r="E2671" s="34" t="str">
        <x:v>Line</x:v>
      </x:c>
      <x:c r="F2671" s="34" t="n">
        <x:v>842</x:v>
      </x:c>
      <x:c r="G2671" s="34" t="str">
        <x:v>RECORDED</x:v>
      </x:c>
      <x:c r="H2671" s="38" t="n">
        <x:f>IF(ISNUMBER('Data'!H963),'Data'!H963*100,"")</x:f>
        <x:v>2.97</x:v>
      </x:c>
      <x:c r="I2671" s="34" t="str">
        <x:v>PASS</x:v>
      </x:c>
      <x:c r="J2671" s="34" t="str">
        <x:v>PASS</x:v>
      </x:c>
      <x:c r="K2671" s="34" t="str">
        <x:v>PASS</x:v>
      </x:c>
      <x:c r="L2671" s="34" t="str">
        <x:v>PASS</x:v>
      </x:c>
      <x:c r="M2671" s="34" t="str">
        <x:v>numeric coverage for applicable metric</x:v>
      </x:c>
      <x:c r="N2671" s="34" t="str">
        <x:v>Feedback-Directed Random Test Generation/Result_Round2/Closure_43/result.json</x:v>
      </x:c>
      <x:c r="O2671" s="38" t="n">
        <x:f>IF(AND(G2671="RECORDED",ISNUMBER(H2671)),H2671,"")</x:f>
        <x:v>2.97</x:v>
      </x:c>
      <x:c r="P2671" s="34" t="str">
        <x:v>NOT_REVEALING</x:v>
      </x:c>
      <x:c r="Q2671" s="34" t="str">
        <x:v>Feedback-Directed Random Test Generation/Result_Round2/Closure_43/result.json</x:v>
      </x:c>
    </x:row>
    <x:row r="2672">
      <x:c r="A2672" s="34" t="str">
        <x:v>randoop</x:v>
      </x:c>
      <x:c r="B2672" s="34" t="str">
        <x:v>Closure</x:v>
      </x:c>
      <x:c r="C2672" s="34" t="str">
        <x:v>Round2</x:v>
      </x:c>
      <x:c r="D2672" s="34" t="str">
        <x:v>Closure_44</x:v>
      </x:c>
      <x:c r="E2672" s="34" t="str">
        <x:v>Line</x:v>
      </x:c>
      <x:c r="F2672" s="34" t="n">
        <x:v>109</x:v>
      </x:c>
      <x:c r="G2672" s="34" t="str">
        <x:v>RECORDED</x:v>
      </x:c>
      <x:c r="H2672" s="38" t="n">
        <x:f>IF(ISNUMBER('Data'!H964),'Data'!H964*100,"")</x:f>
        <x:v>2.75</x:v>
      </x:c>
      <x:c r="I2672" s="34" t="str">
        <x:v>PASS</x:v>
      </x:c>
      <x:c r="J2672" s="34" t="str">
        <x:v>PASS</x:v>
      </x:c>
      <x:c r="K2672" s="34" t="str">
        <x:v>PASS</x:v>
      </x:c>
      <x:c r="L2672" s="34" t="str">
        <x:v>PASS</x:v>
      </x:c>
      <x:c r="M2672" s="34" t="str">
        <x:v>numeric coverage for applicable metric</x:v>
      </x:c>
      <x:c r="N2672" s="34" t="str">
        <x:v>Feedback-Directed Random Test Generation/Result_Round2/Closure_44/result.json</x:v>
      </x:c>
      <x:c r="O2672" s="38" t="n">
        <x:f>IF(AND(G2672="RECORDED",ISNUMBER(H2672)),H2672,"")</x:f>
        <x:v>2.75</x:v>
      </x:c>
      <x:c r="P2672" s="34" t="str">
        <x:v>NOT_REVEALING</x:v>
      </x:c>
      <x:c r="Q2672" s="34" t="str">
        <x:v>Feedback-Directed Random Test Generation/Result_Round2/Closure_44/result.json</x:v>
      </x:c>
    </x:row>
    <x:row r="2673">
      <x:c r="A2673" s="34" t="str">
        <x:v>randoop</x:v>
      </x:c>
      <x:c r="B2673" s="34" t="str">
        <x:v>Closure</x:v>
      </x:c>
      <x:c r="C2673" s="34" t="str">
        <x:v>Round2</x:v>
      </x:c>
      <x:c r="D2673" s="34" t="str">
        <x:v>Closure_45</x:v>
      </x:c>
      <x:c r="E2673" s="34" t="str">
        <x:v>Line</x:v>
      </x:c>
      <x:c r="F2673" s="34" t="n">
        <x:v>384</x:v>
      </x:c>
      <x:c r="G2673" s="34" t="str">
        <x:v>RECORDED</x:v>
      </x:c>
      <x:c r="H2673" s="38" t="n">
        <x:f>IF(ISNUMBER('Data'!H965),'Data'!H965*100,"")</x:f>
        <x:v>3.39</x:v>
      </x:c>
      <x:c r="I2673" s="34" t="str">
        <x:v>PASS</x:v>
      </x:c>
      <x:c r="J2673" s="34" t="str">
        <x:v>PASS</x:v>
      </x:c>
      <x:c r="K2673" s="34" t="str">
        <x:v>PASS</x:v>
      </x:c>
      <x:c r="L2673" s="34" t="str">
        <x:v>PASS</x:v>
      </x:c>
      <x:c r="M2673" s="34" t="str">
        <x:v>numeric coverage for applicable metric</x:v>
      </x:c>
      <x:c r="N2673" s="34" t="str">
        <x:v>Feedback-Directed Random Test Generation/Result_Round2/Closure_45/result.json</x:v>
      </x:c>
      <x:c r="O2673" s="38" t="n">
        <x:f>IF(AND(G2673="RECORDED",ISNUMBER(H2673)),H2673,"")</x:f>
        <x:v>3.39</x:v>
      </x:c>
      <x:c r="P2673" s="34" t="str">
        <x:v>NOT_REVEALING</x:v>
      </x:c>
      <x:c r="Q2673" s="34" t="str">
        <x:v>Feedback-Directed Random Test Generation/Result_Round2/Closure_45/result.json</x:v>
      </x:c>
    </x:row>
    <x:row r="2674">
      <x:c r="A2674" s="34" t="str">
        <x:v>randoop</x:v>
      </x:c>
      <x:c r="B2674" s="34" t="str">
        <x:v>Closure</x:v>
      </x:c>
      <x:c r="C2674" s="34" t="str">
        <x:v>Round2</x:v>
      </x:c>
      <x:c r="D2674" s="34" t="str">
        <x:v>Closure_46</x:v>
      </x:c>
      <x:c r="E2674" s="34" t="str">
        <x:v>Line</x:v>
      </x:c>
      <x:c r="F2674" s="34" t="n">
        <x:v>109</x:v>
      </x:c>
      <x:c r="G2674" s="34" t="str">
        <x:v>RECORDED</x:v>
      </x:c>
      <x:c r="H2674" s="38" t="n">
        <x:f>IF(ISNUMBER('Data'!H966),'Data'!H966*100,"")</x:f>
        <x:v>1.83</x:v>
      </x:c>
      <x:c r="I2674" s="34" t="str">
        <x:v>PASS</x:v>
      </x:c>
      <x:c r="J2674" s="34" t="str">
        <x:v>PASS</x:v>
      </x:c>
      <x:c r="K2674" s="34" t="str">
        <x:v>PASS</x:v>
      </x:c>
      <x:c r="L2674" s="34" t="str">
        <x:v>PASS</x:v>
      </x:c>
      <x:c r="M2674" s="34" t="str">
        <x:v>numeric coverage for applicable metric</x:v>
      </x:c>
      <x:c r="N2674" s="34" t="str">
        <x:v>Feedback-Directed Random Test Generation/Result_Round2/Closure_46/result.json</x:v>
      </x:c>
      <x:c r="O2674" s="38" t="n">
        <x:f>IF(AND(G2674="RECORDED",ISNUMBER(H2674)),H2674,"")</x:f>
        <x:v>1.83</x:v>
      </x:c>
      <x:c r="P2674" s="34" t="str">
        <x:v>NOT_REVEALING</x:v>
      </x:c>
      <x:c r="Q2674" s="34" t="str">
        <x:v>Feedback-Directed Random Test Generation/Result_Round2/Closure_46/result.json</x:v>
      </x:c>
    </x:row>
    <x:row r="2675">
      <x:c r="A2675" s="34" t="str">
        <x:v>randoop</x:v>
      </x:c>
      <x:c r="B2675" s="34" t="str">
        <x:v>Closure</x:v>
      </x:c>
      <x:c r="C2675" s="34" t="str">
        <x:v>Round2</x:v>
      </x:c>
      <x:c r="D2675" s="34" t="str">
        <x:v>Closure_47</x:v>
      </x:c>
      <x:c r="E2675" s="34" t="str">
        <x:v>Line</x:v>
      </x:c>
      <x:c r="F2675" s="34" t="n">
        <x:v>358</x:v>
      </x:c>
      <x:c r="G2675" s="34" t="str">
        <x:v>RECORDED</x:v>
      </x:c>
      <x:c r="H2675" s="38" t="n">
        <x:f>IF(ISNUMBER('Data'!H967),'Data'!H967*100,"")</x:f>
        <x:v>18.44</x:v>
      </x:c>
      <x:c r="I2675" s="34" t="str">
        <x:v>PASS</x:v>
      </x:c>
      <x:c r="J2675" s="34" t="str">
        <x:v>PASS</x:v>
      </x:c>
      <x:c r="K2675" s="34" t="str">
        <x:v>PASS</x:v>
      </x:c>
      <x:c r="L2675" s="34" t="str">
        <x:v>FAIL</x:v>
      </x:c>
      <x:c r="M2675" s="34" t="str">
        <x:v>numeric coverage for applicable metric</x:v>
      </x:c>
      <x:c r="N2675" s="34" t="str">
        <x:v>Feedback-Directed Random Test Generation/Result_Round2/Closure_47/result.json</x:v>
      </x:c>
      <x:c r="O2675" s="38" t="n">
        <x:f>IF(AND(G2675="RECORDED",ISNUMBER(H2675)),H2675,"")</x:f>
        <x:v>18.44</x:v>
      </x:c>
      <x:c r="P2675" s="34" t="str">
        <x:v>INCONCLUSIVE</x:v>
      </x:c>
      <x:c r="Q2675" s="34" t="str">
        <x:v>Feedback-Directed Random Test Generation/Result_Round2/Closure_47/result.json</x:v>
      </x:c>
    </x:row>
    <x:row r="2676">
      <x:c r="A2676" s="34" t="str">
        <x:v>randoop</x:v>
      </x:c>
      <x:c r="B2676" s="34" t="str">
        <x:v>Closure</x:v>
      </x:c>
      <x:c r="C2676" s="34" t="str">
        <x:v>Round2</x:v>
      </x:c>
      <x:c r="D2676" s="34" t="str">
        <x:v>Closure_48</x:v>
      </x:c>
      <x:c r="E2676" s="34" t="str">
        <x:v>Line</x:v>
      </x:c>
      <x:c r="F2676" s="34" t="n">
        <x:v>832</x:v>
      </x:c>
      <x:c r="G2676" s="34" t="str">
        <x:v>RECORDED</x:v>
      </x:c>
      <x:c r="H2676" s="38" t="n">
        <x:f>IF(ISNUMBER('Data'!H968),'Data'!H968*100,"")</x:f>
        <x:v>3</x:v>
      </x:c>
      <x:c r="I2676" s="34" t="str">
        <x:v>PASS</x:v>
      </x:c>
      <x:c r="J2676" s="34" t="str">
        <x:v>PASS</x:v>
      </x:c>
      <x:c r="K2676" s="34" t="str">
        <x:v>PASS</x:v>
      </x:c>
      <x:c r="L2676" s="34" t="str">
        <x:v>PASS</x:v>
      </x:c>
      <x:c r="M2676" s="34" t="str">
        <x:v>numeric coverage for applicable metric</x:v>
      </x:c>
      <x:c r="N2676" s="34" t="str">
        <x:v>Feedback-Directed Random Test Generation/Result_Round2/Closure_48/result.json</x:v>
      </x:c>
      <x:c r="O2676" s="38" t="n">
        <x:f>IF(AND(G2676="RECORDED",ISNUMBER(H2676)),H2676,"")</x:f>
        <x:v>3</x:v>
      </x:c>
      <x:c r="P2676" s="34" t="str">
        <x:v>NOT_REVEALING</x:v>
      </x:c>
      <x:c r="Q2676" s="34" t="str">
        <x:v>Feedback-Directed Random Test Generation/Result_Round2/Closure_48/result.json</x:v>
      </x:c>
    </x:row>
    <x:row r="2677">
      <x:c r="A2677" s="34" t="str">
        <x:v>randoop</x:v>
      </x:c>
      <x:c r="B2677" s="34" t="str">
        <x:v>Closure</x:v>
      </x:c>
      <x:c r="C2677" s="34" t="str">
        <x:v>Round2</x:v>
      </x:c>
      <x:c r="D2677" s="34" t="str">
        <x:v>Closure_49</x:v>
      </x:c>
      <x:c r="E2677" s="34" t="str">
        <x:v>Line</x:v>
      </x:c>
      <x:c r="F2677" s="34" t="n">
        <x:v>193</x:v>
      </x:c>
      <x:c r="G2677" s="34" t="str">
        <x:v>RECORDED</x:v>
      </x:c>
      <x:c r="H2677" s="38" t="n">
        <x:f>IF(ISNUMBER('Data'!H969),'Data'!H969*100,"")</x:f>
        <x:v>37.82</x:v>
      </x:c>
      <x:c r="I2677" s="34" t="str">
        <x:v>PASS</x:v>
      </x:c>
      <x:c r="J2677" s="34" t="str">
        <x:v>PASS</x:v>
      </x:c>
      <x:c r="K2677" s="34" t="str">
        <x:v>PASS</x:v>
      </x:c>
      <x:c r="L2677" s="34" t="str">
        <x:v>PASS</x:v>
      </x:c>
      <x:c r="M2677" s="34" t="str">
        <x:v>numeric coverage for applicable metric</x:v>
      </x:c>
      <x:c r="N2677" s="34" t="str">
        <x:v>Feedback-Directed Random Test Generation/Result_Round2/Closure_49/result.json</x:v>
      </x:c>
      <x:c r="O2677" s="38" t="n">
        <x:f>IF(AND(G2677="RECORDED",ISNUMBER(H2677)),H2677,"")</x:f>
        <x:v>37.82</x:v>
      </x:c>
      <x:c r="P2677" s="34" t="str">
        <x:v>NOT_REVEALING</x:v>
      </x:c>
      <x:c r="Q2677" s="34" t="str">
        <x:v>Feedback-Directed Random Test Generation/Result_Round2/Closure_49/result.json</x:v>
      </x:c>
    </x:row>
    <x:row r="2678">
      <x:c r="A2678" s="34" t="str">
        <x:v>randoop</x:v>
      </x:c>
      <x:c r="B2678" s="34" t="str">
        <x:v>Closure</x:v>
      </x:c>
      <x:c r="C2678" s="34" t="str">
        <x:v>Round2</x:v>
      </x:c>
      <x:c r="D2678" s="34" t="str">
        <x:v>Closure_50</x:v>
      </x:c>
      <x:c r="E2678" s="34" t="str">
        <x:v>Line</x:v>
      </x:c>
      <x:c r="F2678" s="34" t="n">
        <x:v>308</x:v>
      </x:c>
      <x:c r="G2678" s="34" t="str">
        <x:v>RECORDED</x:v>
      </x:c>
      <x:c r="H2678" s="38" t="n">
        <x:f>IF(ISNUMBER('Data'!H970),'Data'!H970*100,"")</x:f>
        <x:v>0.97</x:v>
      </x:c>
      <x:c r="I2678" s="34" t="str">
        <x:v>PASS</x:v>
      </x:c>
      <x:c r="J2678" s="34" t="str">
        <x:v>PASS</x:v>
      </x:c>
      <x:c r="K2678" s="34" t="str">
        <x:v>PASS</x:v>
      </x:c>
      <x:c r="L2678" s="34" t="str">
        <x:v>PASS</x:v>
      </x:c>
      <x:c r="M2678" s="34" t="str">
        <x:v>numeric coverage for applicable metric</x:v>
      </x:c>
      <x:c r="N2678" s="34" t="str">
        <x:v>Feedback-Directed Random Test Generation/Result_Round2/Closure_50/result.json</x:v>
      </x:c>
      <x:c r="O2678" s="38" t="n">
        <x:f>IF(AND(G2678="RECORDED",ISNUMBER(H2678)),H2678,"")</x:f>
        <x:v>0.97</x:v>
      </x:c>
      <x:c r="P2678" s="34" t="str">
        <x:v>NOT_REVEALING</x:v>
      </x:c>
      <x:c r="Q2678" s="34" t="str">
        <x:v>Feedback-Directed Random Test Generation/Result_Round2/Closure_50/result.json</x:v>
      </x:c>
    </x:row>
    <x:row r="2679">
      <x:c r="A2679" s="34" t="str">
        <x:v>randoop</x:v>
      </x:c>
      <x:c r="B2679" s="34" t="str">
        <x:v>Closure</x:v>
      </x:c>
      <x:c r="C2679" s="34" t="str">
        <x:v>Round2</x:v>
      </x:c>
      <x:c r="D2679" s="34" t="str">
        <x:v>Closure_51</x:v>
      </x:c>
      <x:c r="E2679" s="34" t="str">
        <x:v>Line</x:v>
      </x:c>
      <x:c r="F2679" s="34" t="n">
        <x:v>108</x:v>
      </x:c>
      <x:c r="G2679" s="34" t="str">
        <x:v>RECORDED</x:v>
      </x:c>
      <x:c r="H2679" s="38" t="n">
        <x:f>IF(ISNUMBER('Data'!H971),'Data'!H971*100,"")</x:f>
        <x:v>1.8500000000000003</x:v>
      </x:c>
      <x:c r="I2679" s="34" t="str">
        <x:v>PASS</x:v>
      </x:c>
      <x:c r="J2679" s="34" t="str">
        <x:v>PASS</x:v>
      </x:c>
      <x:c r="K2679" s="34" t="str">
        <x:v>PASS</x:v>
      </x:c>
      <x:c r="L2679" s="34" t="str">
        <x:v>PASS</x:v>
      </x:c>
      <x:c r="M2679" s="34" t="str">
        <x:v>numeric coverage for applicable metric</x:v>
      </x:c>
      <x:c r="N2679" s="34" t="str">
        <x:v>Feedback-Directed Random Test Generation/Result_Round2/Closure_51/result.json</x:v>
      </x:c>
      <x:c r="O2679" s="38" t="n">
        <x:f>IF(AND(G2679="RECORDED",ISNUMBER(H2679)),H2679,"")</x:f>
        <x:v>1.8500000000000003</x:v>
      </x:c>
      <x:c r="P2679" s="34" t="str">
        <x:v>NOT_REVEALING</x:v>
      </x:c>
      <x:c r="Q2679" s="34" t="str">
        <x:v>Feedback-Directed Random Test Generation/Result_Round2/Closure_51/result.json</x:v>
      </x:c>
    </x:row>
    <x:row r="2680">
      <x:c r="A2680" s="34" t="str">
        <x:v>randoop</x:v>
      </x:c>
      <x:c r="B2680" s="34" t="str">
        <x:v>Closure</x:v>
      </x:c>
      <x:c r="C2680" s="34" t="str">
        <x:v>Round2</x:v>
      </x:c>
      <x:c r="D2680" s="34" t="str">
        <x:v>Closure_52</x:v>
      </x:c>
      <x:c r="E2680" s="34" t="str">
        <x:v>Line</x:v>
      </x:c>
      <x:c r="F2680" s="34" t="n">
        <x:v>595</x:v>
      </x:c>
      <x:c r="G2680" s="34" t="str">
        <x:v>RECORDED</x:v>
      </x:c>
      <x:c r="H2680" s="38" t="n">
        <x:f>IF(ISNUMBER('Data'!H972),'Data'!H972*100,"")</x:f>
        <x:v>13.449999999999998</x:v>
      </x:c>
      <x:c r="I2680" s="34" t="str">
        <x:v>PASS</x:v>
      </x:c>
      <x:c r="J2680" s="34" t="str">
        <x:v>PASS</x:v>
      </x:c>
      <x:c r="K2680" s="34" t="str">
        <x:v>PASS</x:v>
      </x:c>
      <x:c r="L2680" s="34" t="str">
        <x:v>PASS</x:v>
      </x:c>
      <x:c r="M2680" s="34" t="str">
        <x:v>numeric coverage for applicable metric</x:v>
      </x:c>
      <x:c r="N2680" s="34" t="str">
        <x:v>Feedback-Directed Random Test Generation/Result_Round2/Closure_52/result.json</x:v>
      </x:c>
      <x:c r="O2680" s="38" t="n">
        <x:f>IF(AND(G2680="RECORDED",ISNUMBER(H2680)),H2680,"")</x:f>
        <x:v>13.449999999999998</x:v>
      </x:c>
      <x:c r="P2680" s="34" t="str">
        <x:v>NOT_REVEALING</x:v>
      </x:c>
      <x:c r="Q2680" s="34" t="str">
        <x:v>Feedback-Directed Random Test Generation/Result_Round2/Closure_52/result.json</x:v>
      </x:c>
    </x:row>
    <x:row r="2681">
      <x:c r="A2681" s="34" t="str">
        <x:v>randoop</x:v>
      </x:c>
      <x:c r="B2681" s="34" t="str">
        <x:v>Closure</x:v>
      </x:c>
      <x:c r="C2681" s="34" t="str">
        <x:v>Round2</x:v>
      </x:c>
      <x:c r="D2681" s="34" t="str">
        <x:v>Closure_53</x:v>
      </x:c>
      <x:c r="E2681" s="34" t="str">
        <x:v>Line</x:v>
      </x:c>
      <x:c r="F2681" s="34" t="n">
        <x:v>170</x:v>
      </x:c>
      <x:c r="G2681" s="34" t="str">
        <x:v>RECORDED</x:v>
      </x:c>
      <x:c r="H2681" s="38" t="n">
        <x:f>IF(ISNUMBER('Data'!H973),'Data'!H973*100,"")</x:f>
        <x:v>4.71</x:v>
      </x:c>
      <x:c r="I2681" s="34" t="str">
        <x:v>PASS</x:v>
      </x:c>
      <x:c r="J2681" s="34" t="str">
        <x:v>PASS</x:v>
      </x:c>
      <x:c r="K2681" s="34" t="str">
        <x:v>PASS</x:v>
      </x:c>
      <x:c r="L2681" s="34" t="str">
        <x:v>PASS</x:v>
      </x:c>
      <x:c r="M2681" s="34" t="str">
        <x:v>numeric coverage for applicable metric</x:v>
      </x:c>
      <x:c r="N2681" s="34" t="str">
        <x:v>Feedback-Directed Random Test Generation/Result_Round2/Closure_53/result.json</x:v>
      </x:c>
      <x:c r="O2681" s="38" t="n">
        <x:f>IF(AND(G2681="RECORDED",ISNUMBER(H2681)),H2681,"")</x:f>
        <x:v>4.71</x:v>
      </x:c>
      <x:c r="P2681" s="34" t="str">
        <x:v>NOT_REVEALING</x:v>
      </x:c>
      <x:c r="Q2681" s="34" t="str">
        <x:v>Feedback-Directed Random Test Generation/Result_Round2/Closure_53/result.json</x:v>
      </x:c>
    </x:row>
    <x:row r="2682">
      <x:c r="A2682" s="34" t="str">
        <x:v>randoop</x:v>
      </x:c>
      <x:c r="B2682" s="34" t="str">
        <x:v>Closure</x:v>
      </x:c>
      <x:c r="C2682" s="34" t="str">
        <x:v>Round2</x:v>
      </x:c>
      <x:c r="D2682" s="34" t="str">
        <x:v>Closure_54</x:v>
      </x:c>
      <x:c r="E2682" s="34" t="str">
        <x:v>Line</x:v>
      </x:c>
      <x:c r="F2682" s="34" t="n">
        <x:v>1190</x:v>
      </x:c>
      <x:c r="G2682" s="34" t="str">
        <x:v>RECORDED</x:v>
      </x:c>
      <x:c r="H2682" s="38" t="n">
        <x:f>IF(ISNUMBER('Data'!H974),'Data'!H974*100,"")</x:f>
        <x:v>2.1</x:v>
      </x:c>
      <x:c r="I2682" s="34" t="str">
        <x:v>PASS</x:v>
      </x:c>
      <x:c r="J2682" s="34" t="str">
        <x:v>PASS</x:v>
      </x:c>
      <x:c r="K2682" s="34" t="str">
        <x:v>PASS</x:v>
      </x:c>
      <x:c r="L2682" s="34" t="str">
        <x:v>PASS</x:v>
      </x:c>
      <x:c r="M2682" s="34" t="str">
        <x:v>numeric coverage for applicable metric</x:v>
      </x:c>
      <x:c r="N2682" s="34" t="str">
        <x:v>Feedback-Directed Random Test Generation/Result_Round2/Closure_54/result.json</x:v>
      </x:c>
      <x:c r="O2682" s="38" t="n">
        <x:f>IF(AND(G2682="RECORDED",ISNUMBER(H2682)),H2682,"")</x:f>
        <x:v>2.1</x:v>
      </x:c>
      <x:c r="P2682" s="34" t="str">
        <x:v>NOT_REVEALING</x:v>
      </x:c>
      <x:c r="Q2682" s="34" t="str">
        <x:v>Feedback-Directed Random Test Generation/Result_Round2/Closure_54/result.json</x:v>
      </x:c>
    </x:row>
    <x:row r="2683">
      <x:c r="A2683" s="34" t="str">
        <x:v>randoop</x:v>
      </x:c>
      <x:c r="B2683" s="34" t="str">
        <x:v>Closure</x:v>
      </x:c>
      <x:c r="C2683" s="34" t="str">
        <x:v>Round2</x:v>
      </x:c>
      <x:c r="D2683" s="34" t="str">
        <x:v>Closure_55</x:v>
      </x:c>
      <x:c r="E2683" s="34" t="str">
        <x:v>Line</x:v>
      </x:c>
      <x:c r="F2683" s="34" t="n">
        <x:v>156</x:v>
      </x:c>
      <x:c r="G2683" s="34" t="str">
        <x:v>RECORDED</x:v>
      </x:c>
      <x:c r="H2683" s="38" t="n">
        <x:f>IF(ISNUMBER('Data'!H975),'Data'!H975*100,"")</x:f>
        <x:v>12.18</x:v>
      </x:c>
      <x:c r="I2683" s="34" t="str">
        <x:v>PASS</x:v>
      </x:c>
      <x:c r="J2683" s="34" t="str">
        <x:v>PASS</x:v>
      </x:c>
      <x:c r="K2683" s="34" t="str">
        <x:v>PASS</x:v>
      </x:c>
      <x:c r="L2683" s="34" t="str">
        <x:v>PASS</x:v>
      </x:c>
      <x:c r="M2683" s="34" t="str">
        <x:v>numeric coverage for applicable metric</x:v>
      </x:c>
      <x:c r="N2683" s="34" t="str">
        <x:v>Feedback-Directed Random Test Generation/Result_Round2/Closure_55/result.json</x:v>
      </x:c>
      <x:c r="O2683" s="38" t="n">
        <x:f>IF(AND(G2683="RECORDED",ISNUMBER(H2683)),H2683,"")</x:f>
        <x:v>12.18</x:v>
      </x:c>
      <x:c r="P2683" s="34" t="str">
        <x:v>NOT_REVEALING</x:v>
      </x:c>
      <x:c r="Q2683" s="34" t="str">
        <x:v>Feedback-Directed Random Test Generation/Result_Round2/Closure_55/result.json</x:v>
      </x:c>
    </x:row>
    <x:row r="2684">
      <x:c r="A2684" s="34" t="str">
        <x:v>randoop</x:v>
      </x:c>
      <x:c r="B2684" s="34" t="str">
        <x:v>Closure</x:v>
      </x:c>
      <x:c r="C2684" s="34" t="str">
        <x:v>Round2</x:v>
      </x:c>
      <x:c r="D2684" s="34" t="str">
        <x:v>Closure_56</x:v>
      </x:c>
      <x:c r="E2684" s="34" t="str">
        <x:v>Line</x:v>
      </x:c>
      <x:c r="F2684" s="34" t="n">
        <x:v>142</x:v>
      </x:c>
      <x:c r="G2684" s="34" t="str">
        <x:v>RECORDED</x:v>
      </x:c>
      <x:c r="H2684" s="38" t="n">
        <x:f>IF(ISNUMBER('Data'!H976),'Data'!H976*100,"")</x:f>
        <x:v>86.62</x:v>
      </x:c>
      <x:c r="I2684" s="34" t="str">
        <x:v>PASS</x:v>
      </x:c>
      <x:c r="J2684" s="34" t="str">
        <x:v>PASS</x:v>
      </x:c>
      <x:c r="K2684" s="34" t="str">
        <x:v>PASS</x:v>
      </x:c>
      <x:c r="L2684" s="34" t="str">
        <x:v>FAIL</x:v>
      </x:c>
      <x:c r="M2684" s="34" t="str">
        <x:v>numeric coverage for applicable metric</x:v>
      </x:c>
      <x:c r="N2684" s="34" t="str">
        <x:v>Feedback-Directed Random Test Generation/Result_Round2/Closure_56/result.json</x:v>
      </x:c>
      <x:c r="O2684" s="38" t="n">
        <x:f>IF(AND(G2684="RECORDED",ISNUMBER(H2684)),H2684,"")</x:f>
        <x:v>86.62</x:v>
      </x:c>
      <x:c r="P2684" s="34" t="str">
        <x:v>INCONCLUSIVE</x:v>
      </x:c>
      <x:c r="Q2684" s="34" t="str">
        <x:v>Feedback-Directed Random Test Generation/Result_Round2/Closure_56/result.json</x:v>
      </x:c>
    </x:row>
    <x:row r="2685">
      <x:c r="A2685" s="34" t="str">
        <x:v>randoop</x:v>
      </x:c>
      <x:c r="B2685" s="34" t="str">
        <x:v>Closure</x:v>
      </x:c>
      <x:c r="C2685" s="34" t="str">
        <x:v>Round2</x:v>
      </x:c>
      <x:c r="D2685" s="34" t="str">
        <x:v>Closure_57</x:v>
      </x:c>
      <x:c r="E2685" s="34" t="str">
        <x:v>Line</x:v>
      </x:c>
      <x:c r="F2685" s="34" t="n">
        <x:v>139</x:v>
      </x:c>
      <x:c r="G2685" s="34" t="str">
        <x:v>RECORDED</x:v>
      </x:c>
      <x:c r="H2685" s="38" t="n">
        <x:f>IF(ISNUMBER('Data'!H977),'Data'!H977*100,"")</x:f>
        <x:v>18.71</x:v>
      </x:c>
      <x:c r="I2685" s="34" t="str">
        <x:v>PASS</x:v>
      </x:c>
      <x:c r="J2685" s="34" t="str">
        <x:v>PASS</x:v>
      </x:c>
      <x:c r="K2685" s="34" t="str">
        <x:v>PASS</x:v>
      </x:c>
      <x:c r="L2685" s="34" t="str">
        <x:v>PASS</x:v>
      </x:c>
      <x:c r="M2685" s="34" t="str">
        <x:v>numeric coverage for applicable metric</x:v>
      </x:c>
      <x:c r="N2685" s="34" t="str">
        <x:v>Feedback-Directed Random Test Generation/Result_Round2/Closure_57/result.json</x:v>
      </x:c>
      <x:c r="O2685" s="38" t="n">
        <x:f>IF(AND(G2685="RECORDED",ISNUMBER(H2685)),H2685,"")</x:f>
        <x:v>18.71</x:v>
      </x:c>
      <x:c r="P2685" s="34" t="str">
        <x:v>NOT_REVEALING</x:v>
      </x:c>
      <x:c r="Q2685" s="34" t="str">
        <x:v>Feedback-Directed Random Test Generation/Result_Round2/Closure_57/result.json</x:v>
      </x:c>
    </x:row>
    <x:row r="2686">
      <x:c r="A2686" s="34" t="str">
        <x:v>randoop</x:v>
      </x:c>
      <x:c r="B2686" s="34" t="str">
        <x:v>Closure</x:v>
      </x:c>
      <x:c r="C2686" s="34" t="str">
        <x:v>Round2</x:v>
      </x:c>
      <x:c r="D2686" s="34" t="str">
        <x:v>Closure_58</x:v>
      </x:c>
      <x:c r="E2686" s="34" t="str">
        <x:v>Line</x:v>
      </x:c>
      <x:c r="F2686" s="34" t="n">
        <x:v>104</x:v>
      </x:c>
      <x:c r="G2686" s="34" t="str">
        <x:v>RECORDED</x:v>
      </x:c>
      <x:c r="H2686" s="38" t="n">
        <x:f>IF(ISNUMBER('Data'!H978),'Data'!H978*100,"")</x:f>
        <x:v>2.88</x:v>
      </x:c>
      <x:c r="I2686" s="34" t="str">
        <x:v>PASS</x:v>
      </x:c>
      <x:c r="J2686" s="34" t="str">
        <x:v>PASS</x:v>
      </x:c>
      <x:c r="K2686" s="34" t="str">
        <x:v>PASS</x:v>
      </x:c>
      <x:c r="L2686" s="34" t="str">
        <x:v>PASS</x:v>
      </x:c>
      <x:c r="M2686" s="34" t="str">
        <x:v>numeric coverage for applicable metric</x:v>
      </x:c>
      <x:c r="N2686" s="34" t="str">
        <x:v>Feedback-Directed Random Test Generation/Result_Round2/Closure_58/result.json</x:v>
      </x:c>
      <x:c r="O2686" s="38" t="n">
        <x:f>IF(AND(G2686="RECORDED",ISNUMBER(H2686)),H2686,"")</x:f>
        <x:v>2.88</x:v>
      </x:c>
      <x:c r="P2686" s="34" t="str">
        <x:v>NOT_REVEALING</x:v>
      </x:c>
      <x:c r="Q2686" s="34" t="str">
        <x:v>Feedback-Directed Random Test Generation/Result_Round2/Closure_58/result.json</x:v>
      </x:c>
    </x:row>
    <x:row r="2687">
      <x:c r="A2687" s="34" t="str">
        <x:v>randoop</x:v>
      </x:c>
      <x:c r="B2687" s="34" t="str">
        <x:v>Closure</x:v>
      </x:c>
      <x:c r="C2687" s="34" t="str">
        <x:v>Round2</x:v>
      </x:c>
      <x:c r="D2687" s="34" t="str">
        <x:v>Closure_59</x:v>
      </x:c>
      <x:c r="E2687" s="34" t="str">
        <x:v>Line</x:v>
      </x:c>
      <x:c r="F2687" s="34" t="n">
        <x:v>814</x:v>
      </x:c>
      <x:c r="G2687" s="34" t="str">
        <x:v>RECORDED</x:v>
      </x:c>
      <x:c r="H2687" s="38" t="n">
        <x:f>IF(ISNUMBER('Data'!H979),'Data'!H979*100,"")</x:f>
        <x:v>43.98</x:v>
      </x:c>
      <x:c r="I2687" s="34" t="str">
        <x:v>PASS</x:v>
      </x:c>
      <x:c r="J2687" s="34" t="str">
        <x:v>PASS</x:v>
      </x:c>
      <x:c r="K2687" s="34" t="str">
        <x:v>PASS</x:v>
      </x:c>
      <x:c r="L2687" s="34" t="str">
        <x:v>FAIL</x:v>
      </x:c>
      <x:c r="M2687" s="34" t="str">
        <x:v>numeric coverage for applicable metric</x:v>
      </x:c>
      <x:c r="N2687" s="34" t="str">
        <x:v>Feedback-Directed Random Test Generation/Result_Round2/Closure_59/result.json</x:v>
      </x:c>
      <x:c r="O2687" s="38" t="n">
        <x:f>IF(AND(G2687="RECORDED",ISNUMBER(H2687)),H2687,"")</x:f>
        <x:v>43.98</x:v>
      </x:c>
      <x:c r="P2687" s="34" t="str">
        <x:v>INCONCLUSIVE</x:v>
      </x:c>
      <x:c r="Q2687" s="34" t="str">
        <x:v>Feedback-Directed Random Test Generation/Result_Round2/Closure_59/result.json</x:v>
      </x:c>
    </x:row>
    <x:row r="2688">
      <x:c r="A2688" s="34" t="str">
        <x:v>randoop</x:v>
      </x:c>
      <x:c r="B2688" s="34" t="str">
        <x:v>Closure</x:v>
      </x:c>
      <x:c r="C2688" s="34" t="str">
        <x:v>Round2</x:v>
      </x:c>
      <x:c r="D2688" s="34" t="str">
        <x:v>Closure_60</x:v>
      </x:c>
      <x:c r="E2688" s="34" t="str">
        <x:v>Line</x:v>
      </x:c>
      <x:c r="F2688" s="34" t="n">
        <x:v>936</x:v>
      </x:c>
      <x:c r="G2688" s="34" t="str">
        <x:v>RECORDED</x:v>
      </x:c>
      <x:c r="H2688" s="38" t="n">
        <x:f>IF(ISNUMBER('Data'!H980),'Data'!H980*100,"")</x:f>
        <x:v>47.01</x:v>
      </x:c>
      <x:c r="I2688" s="34" t="str">
        <x:v>PASS</x:v>
      </x:c>
      <x:c r="J2688" s="34" t="str">
        <x:v>PASS</x:v>
      </x:c>
      <x:c r="K2688" s="34" t="str">
        <x:v>PASS</x:v>
      </x:c>
      <x:c r="L2688" s="34" t="str">
        <x:v>PASS</x:v>
      </x:c>
      <x:c r="M2688" s="34" t="str">
        <x:v>numeric coverage for applicable metric</x:v>
      </x:c>
      <x:c r="N2688" s="34" t="str">
        <x:v>Feedback-Directed Random Test Generation/Result_Round2/Closure_60/result.json</x:v>
      </x:c>
      <x:c r="O2688" s="38" t="n">
        <x:f>IF(AND(G2688="RECORDED",ISNUMBER(H2688)),H2688,"")</x:f>
        <x:v>47.01</x:v>
      </x:c>
      <x:c r="P2688" s="34" t="str">
        <x:v>NOT_REVEALING</x:v>
      </x:c>
      <x:c r="Q2688" s="34" t="str">
        <x:v>Feedback-Directed Random Test Generation/Result_Round2/Closure_60/result.json</x:v>
      </x:c>
    </x:row>
    <x:row r="2689">
      <x:c r="A2689" s="34" t="str">
        <x:v>randoop</x:v>
      </x:c>
      <x:c r="B2689" s="34" t="str">
        <x:v>Closure</x:v>
      </x:c>
      <x:c r="C2689" s="34" t="str">
        <x:v>Round2</x:v>
      </x:c>
      <x:c r="D2689" s="34" t="str">
        <x:v>Closure_61</x:v>
      </x:c>
      <x:c r="E2689" s="34" t="str">
        <x:v>Line</x:v>
      </x:c>
      <x:c r="F2689" s="34" t="n">
        <x:v>932</x:v>
      </x:c>
      <x:c r="G2689" s="34" t="str">
        <x:v>RECORDED</x:v>
      </x:c>
      <x:c r="H2689" s="38" t="n">
        <x:f>IF(ISNUMBER('Data'!H981),'Data'!H981*100,"")</x:f>
        <x:v>47.21</x:v>
      </x:c>
      <x:c r="I2689" s="34" t="str">
        <x:v>PASS</x:v>
      </x:c>
      <x:c r="J2689" s="34" t="str">
        <x:v>PASS</x:v>
      </x:c>
      <x:c r="K2689" s="34" t="str">
        <x:v>PASS</x:v>
      </x:c>
      <x:c r="L2689" s="34" t="str">
        <x:v>PASS</x:v>
      </x:c>
      <x:c r="M2689" s="34" t="str">
        <x:v>numeric coverage for applicable metric</x:v>
      </x:c>
      <x:c r="N2689" s="34" t="str">
        <x:v>Feedback-Directed Random Test Generation/Result_Round2/Closure_61/result.json</x:v>
      </x:c>
      <x:c r="O2689" s="38" t="n">
        <x:f>IF(AND(G2689="RECORDED",ISNUMBER(H2689)),H2689,"")</x:f>
        <x:v>47.21</x:v>
      </x:c>
      <x:c r="P2689" s="34" t="str">
        <x:v>NOT_REVEALING</x:v>
      </x:c>
      <x:c r="Q2689" s="34" t="str">
        <x:v>Feedback-Directed Random Test Generation/Result_Round2/Closure_61/result.json</x:v>
      </x:c>
    </x:row>
    <x:row r="2690">
      <x:c r="A2690" s="34" t="str">
        <x:v>randoop</x:v>
      </x:c>
      <x:c r="B2690" s="34" t="str">
        <x:v>Closure</x:v>
      </x:c>
      <x:c r="C2690" s="34" t="str">
        <x:v>Round2</x:v>
      </x:c>
      <x:c r="D2690" s="34" t="str">
        <x:v>Closure_62</x:v>
      </x:c>
      <x:c r="E2690" s="34" t="str">
        <x:v>Line</x:v>
      </x:c>
      <x:c r="F2690" s="34" t="n">
        <x:v>74</x:v>
      </x:c>
      <x:c r="G2690" s="34" t="str">
        <x:v>RECORDED</x:v>
      </x:c>
      <x:c r="H2690" s="38" t="n">
        <x:f>IF(ISNUMBER('Data'!H982),'Data'!H982*100,"")</x:f>
        <x:v>24.32</x:v>
      </x:c>
      <x:c r="I2690" s="34" t="str">
        <x:v>PASS</x:v>
      </x:c>
      <x:c r="J2690" s="34" t="str">
        <x:v>PASS</x:v>
      </x:c>
      <x:c r="K2690" s="34" t="str">
        <x:v>PASS</x:v>
      </x:c>
      <x:c r="L2690" s="34" t="str">
        <x:v>PASS</x:v>
      </x:c>
      <x:c r="M2690" s="34" t="str">
        <x:v>numeric coverage for applicable metric</x:v>
      </x:c>
      <x:c r="N2690" s="34" t="str">
        <x:v>Feedback-Directed Random Test Generation/Result_Round2/Closure_62/result.json</x:v>
      </x:c>
      <x:c r="O2690" s="38" t="n">
        <x:f>IF(AND(G2690="RECORDED",ISNUMBER(H2690)),H2690,"")</x:f>
        <x:v>24.32</x:v>
      </x:c>
      <x:c r="P2690" s="34" t="str">
        <x:v>NOT_REVEALING</x:v>
      </x:c>
      <x:c r="Q2690" s="34" t="str">
        <x:v>Feedback-Directed Random Test Generation/Result_Round2/Closure_62/result.json</x:v>
      </x:c>
    </x:row>
    <x:row r="2691">
      <x:c r="A2691" s="34" t="str">
        <x:v>randoop</x:v>
      </x:c>
      <x:c r="B2691" s="34" t="str">
        <x:v>Closure</x:v>
      </x:c>
      <x:c r="C2691" s="34" t="str">
        <x:v>Round2</x:v>
      </x:c>
      <x:c r="D2691" s="34" t="str">
        <x:v>Closure_64</x:v>
      </x:c>
      <x:c r="E2691" s="34" t="str">
        <x:v>Line</x:v>
      </x:c>
      <x:c r="F2691" s="34" t="n">
        <x:v>793</x:v>
      </x:c>
      <x:c r="G2691" s="34" t="str">
        <x:v>RECORDED</x:v>
      </x:c>
      <x:c r="H2691" s="38" t="n">
        <x:f>IF(ISNUMBER('Data'!H983),'Data'!H983*100,"")</x:f>
        <x:v>43.13</x:v>
      </x:c>
      <x:c r="I2691" s="34" t="str">
        <x:v>PASS</x:v>
      </x:c>
      <x:c r="J2691" s="34" t="str">
        <x:v>PASS</x:v>
      </x:c>
      <x:c r="K2691" s="34" t="str">
        <x:v>PASS</x:v>
      </x:c>
      <x:c r="L2691" s="34" t="str">
        <x:v>FAIL</x:v>
      </x:c>
      <x:c r="M2691" s="34" t="str">
        <x:v>numeric coverage for applicable metric</x:v>
      </x:c>
      <x:c r="N2691" s="34" t="str">
        <x:v>Feedback-Directed Random Test Generation/Result_Round2/Closure_64/result.json</x:v>
      </x:c>
      <x:c r="O2691" s="38" t="n">
        <x:f>IF(AND(G2691="RECORDED",ISNUMBER(H2691)),H2691,"")</x:f>
        <x:v>43.13</x:v>
      </x:c>
      <x:c r="P2691" s="34" t="str">
        <x:v>INCONCLUSIVE</x:v>
      </x:c>
      <x:c r="Q2691" s="34" t="str">
        <x:v>Feedback-Directed Random Test Generation/Result_Round2/Closure_64/result.json</x:v>
      </x:c>
    </x:row>
    <x:row r="2692">
      <x:c r="A2692" s="34" t="str">
        <x:v>randoop</x:v>
      </x:c>
      <x:c r="B2692" s="34" t="str">
        <x:v>Closure</x:v>
      </x:c>
      <x:c r="C2692" s="34" t="str">
        <x:v>Round2</x:v>
      </x:c>
      <x:c r="D2692" s="34" t="str">
        <x:v>Closure_65</x:v>
      </x:c>
      <x:c r="E2692" s="34" t="str">
        <x:v>Line</x:v>
      </x:c>
      <x:c r="F2692" s="34" t="n">
        <x:v>595</x:v>
      </x:c>
      <x:c r="G2692" s="34" t="str">
        <x:v>RECORDED</x:v>
      </x:c>
      <x:c r="H2692" s="38" t="n">
        <x:f>IF(ISNUMBER('Data'!H984),'Data'!H984*100,"")</x:f>
        <x:v>13.449999999999998</x:v>
      </x:c>
      <x:c r="I2692" s="34" t="str">
        <x:v>PASS</x:v>
      </x:c>
      <x:c r="J2692" s="34" t="str">
        <x:v>PASS</x:v>
      </x:c>
      <x:c r="K2692" s="34" t="str">
        <x:v>PASS</x:v>
      </x:c>
      <x:c r="L2692" s="34" t="str">
        <x:v>PASS</x:v>
      </x:c>
      <x:c r="M2692" s="34" t="str">
        <x:v>numeric coverage for applicable metric</x:v>
      </x:c>
      <x:c r="N2692" s="34" t="str">
        <x:v>Feedback-Directed Random Test Generation/Result_Round2/Closure_65/result.json</x:v>
      </x:c>
      <x:c r="O2692" s="38" t="n">
        <x:f>IF(AND(G2692="RECORDED",ISNUMBER(H2692)),H2692,"")</x:f>
        <x:v>13.449999999999998</x:v>
      </x:c>
      <x:c r="P2692" s="34" t="str">
        <x:v>NOT_REVEALING</x:v>
      </x:c>
      <x:c r="Q2692" s="34" t="str">
        <x:v>Feedback-Directed Random Test Generation/Result_Round2/Closure_65/result.json</x:v>
      </x:c>
    </x:row>
    <x:row r="2693">
      <x:c r="A2693" s="34" t="str">
        <x:v>randoop</x:v>
      </x:c>
      <x:c r="B2693" s="34" t="str">
        <x:v>Closure</x:v>
      </x:c>
      <x:c r="C2693" s="34" t="str">
        <x:v>Round2</x:v>
      </x:c>
      <x:c r="D2693" s="34" t="str">
        <x:v>Closure_66</x:v>
      </x:c>
      <x:c r="E2693" s="34" t="str">
        <x:v>Line</x:v>
      </x:c>
      <x:c r="F2693" s="34" t="n">
        <x:v>782</x:v>
      </x:c>
      <x:c r="G2693" s="34" t="str">
        <x:v>RECORDED</x:v>
      </x:c>
      <x:c r="H2693" s="38" t="n">
        <x:f>IF(ISNUMBER('Data'!H985),'Data'!H985*100,"")</x:f>
        <x:v>8.82</x:v>
      </x:c>
      <x:c r="I2693" s="34" t="str">
        <x:v>PASS</x:v>
      </x:c>
      <x:c r="J2693" s="34" t="str">
        <x:v>PASS</x:v>
      </x:c>
      <x:c r="K2693" s="34" t="str">
        <x:v>PASS</x:v>
      </x:c>
      <x:c r="L2693" s="34" t="str">
        <x:v>PASS</x:v>
      </x:c>
      <x:c r="M2693" s="34" t="str">
        <x:v>numeric coverage for applicable metric</x:v>
      </x:c>
      <x:c r="N2693" s="34" t="str">
        <x:v>Feedback-Directed Random Test Generation/Result_Round2/Closure_66/result.json</x:v>
      </x:c>
      <x:c r="O2693" s="38" t="n">
        <x:f>IF(AND(G2693="RECORDED",ISNUMBER(H2693)),H2693,"")</x:f>
        <x:v>8.82</x:v>
      </x:c>
      <x:c r="P2693" s="34" t="str">
        <x:v>NOT_REVEALING</x:v>
      </x:c>
      <x:c r="Q2693" s="34" t="str">
        <x:v>Feedback-Directed Random Test Generation/Result_Round2/Closure_66/result.json</x:v>
      </x:c>
    </x:row>
    <x:row r="2694">
      <x:c r="A2694" s="34" t="str">
        <x:v>randoop</x:v>
      </x:c>
      <x:c r="B2694" s="34" t="str">
        <x:v>Closure</x:v>
      </x:c>
      <x:c r="C2694" s="34" t="str">
        <x:v>Round2</x:v>
      </x:c>
      <x:c r="D2694" s="34" t="str">
        <x:v>Closure_67</x:v>
      </x:c>
      <x:c r="E2694" s="34" t="str">
        <x:v>Line</x:v>
      </x:c>
      <x:c r="F2694" s="34" t="n">
        <x:v>252</x:v>
      </x:c>
      <x:c r="G2694" s="34" t="str">
        <x:v>RECORDED</x:v>
      </x:c>
      <x:c r="H2694" s="38" t="n">
        <x:f>IF(ISNUMBER('Data'!H986),'Data'!H986*100,"")</x:f>
        <x:v>37.7</x:v>
      </x:c>
      <x:c r="I2694" s="34" t="str">
        <x:v>PASS</x:v>
      </x:c>
      <x:c r="J2694" s="34" t="str">
        <x:v>PASS</x:v>
      </x:c>
      <x:c r="K2694" s="34" t="str">
        <x:v>PASS</x:v>
      </x:c>
      <x:c r="L2694" s="34" t="str">
        <x:v>PASS</x:v>
      </x:c>
      <x:c r="M2694" s="34" t="str">
        <x:v>numeric coverage for applicable metric</x:v>
      </x:c>
      <x:c r="N2694" s="34" t="str">
        <x:v>Feedback-Directed Random Test Generation/Result_Round2/Closure_67/result.json</x:v>
      </x:c>
      <x:c r="O2694" s="38" t="n">
        <x:f>IF(AND(G2694="RECORDED",ISNUMBER(H2694)),H2694,"")</x:f>
        <x:v>37.7</x:v>
      </x:c>
      <x:c r="P2694" s="34" t="str">
        <x:v>NOT_REVEALING</x:v>
      </x:c>
      <x:c r="Q2694" s="34" t="str">
        <x:v>Feedback-Directed Random Test Generation/Result_Round2/Closure_67/result.json</x:v>
      </x:c>
    </x:row>
    <x:row r="2695">
      <x:c r="A2695" s="34" t="str">
        <x:v>randoop</x:v>
      </x:c>
      <x:c r="B2695" s="34" t="str">
        <x:v>Closure</x:v>
      </x:c>
      <x:c r="C2695" s="34" t="str">
        <x:v>Round2</x:v>
      </x:c>
      <x:c r="D2695" s="34" t="str">
        <x:v>Closure_68</x:v>
      </x:c>
      <x:c r="E2695" s="34" t="str">
        <x:v>Line</x:v>
      </x:c>
      <x:c r="F2695" s="34" t="n">
        <x:v>1012</x:v>
      </x:c>
      <x:c r="G2695" s="34" t="str">
        <x:v>RECORDED</x:v>
      </x:c>
      <x:c r="H2695" s="38" t="n">
        <x:f>IF(ISNUMBER('Data'!H987),'Data'!H987*100,"")</x:f>
        <x:v>7.51</x:v>
      </x:c>
      <x:c r="I2695" s="34" t="str">
        <x:v>PASS</x:v>
      </x:c>
      <x:c r="J2695" s="34" t="str">
        <x:v>PASS</x:v>
      </x:c>
      <x:c r="K2695" s="34" t="str">
        <x:v>PASS</x:v>
      </x:c>
      <x:c r="L2695" s="34" t="str">
        <x:v>PASS</x:v>
      </x:c>
      <x:c r="M2695" s="34" t="str">
        <x:v>numeric coverage for applicable metric</x:v>
      </x:c>
      <x:c r="N2695" s="34" t="str">
        <x:v>Feedback-Directed Random Test Generation/Result_Round2/Closure_68/result.json</x:v>
      </x:c>
      <x:c r="O2695" s="38" t="n">
        <x:f>IF(AND(G2695="RECORDED",ISNUMBER(H2695)),H2695,"")</x:f>
        <x:v>7.51</x:v>
      </x:c>
      <x:c r="P2695" s="34" t="str">
        <x:v>NOT_REVEALING</x:v>
      </x:c>
      <x:c r="Q2695" s="34" t="str">
        <x:v>Feedback-Directed Random Test Generation/Result_Round2/Closure_68/result.json</x:v>
      </x:c>
    </x:row>
    <x:row r="2696">
      <x:c r="A2696" s="34" t="str">
        <x:v>randoop</x:v>
      </x:c>
      <x:c r="B2696" s="34" t="str">
        <x:v>Closure</x:v>
      </x:c>
      <x:c r="C2696" s="34" t="str">
        <x:v>Round2</x:v>
      </x:c>
      <x:c r="D2696" s="34" t="str">
        <x:v>Closure_69</x:v>
      </x:c>
      <x:c r="E2696" s="34" t="str">
        <x:v>Line</x:v>
      </x:c>
      <x:c r="F2696" s="34" t="n">
        <x:v>776</x:v>
      </x:c>
      <x:c r="G2696" s="34" t="str">
        <x:v>RECORDED</x:v>
      </x:c>
      <x:c r="H2696" s="38" t="n">
        <x:f>IF(ISNUMBER('Data'!H988),'Data'!H988*100,"")</x:f>
        <x:v>8.89</x:v>
      </x:c>
      <x:c r="I2696" s="34" t="str">
        <x:v>PASS</x:v>
      </x:c>
      <x:c r="J2696" s="34" t="str">
        <x:v>PASS</x:v>
      </x:c>
      <x:c r="K2696" s="34" t="str">
        <x:v>PASS</x:v>
      </x:c>
      <x:c r="L2696" s="34" t="str">
        <x:v>PASS</x:v>
      </x:c>
      <x:c r="M2696" s="34" t="str">
        <x:v>numeric coverage for applicable metric</x:v>
      </x:c>
      <x:c r="N2696" s="34" t="str">
        <x:v>Feedback-Directed Random Test Generation/Result_Round2/Closure_69/result.json</x:v>
      </x:c>
      <x:c r="O2696" s="38" t="n">
        <x:f>IF(AND(G2696="RECORDED",ISNUMBER(H2696)),H2696,"")</x:f>
        <x:v>8.89</x:v>
      </x:c>
      <x:c r="P2696" s="34" t="str">
        <x:v>NOT_REVEALING</x:v>
      </x:c>
      <x:c r="Q2696" s="34" t="str">
        <x:v>Feedback-Directed Random Test Generation/Result_Round2/Closure_69/result.json</x:v>
      </x:c>
    </x:row>
    <x:row r="2697">
      <x:c r="A2697" s="34" t="str">
        <x:v>randoop</x:v>
      </x:c>
      <x:c r="B2697" s="34" t="str">
        <x:v>Closure</x:v>
      </x:c>
      <x:c r="C2697" s="34" t="str">
        <x:v>Round2</x:v>
      </x:c>
      <x:c r="D2697" s="34" t="str">
        <x:v>Closure_70</x:v>
      </x:c>
      <x:c r="E2697" s="34" t="str">
        <x:v>Line</x:v>
      </x:c>
      <x:c r="F2697" s="34" t="n">
        <x:v>806</x:v>
      </x:c>
      <x:c r="G2697" s="34" t="str">
        <x:v>RECORDED</x:v>
      </x:c>
      <x:c r="H2697" s="38" t="n">
        <x:f>IF(ISNUMBER('Data'!H989),'Data'!H989*100,"")</x:f>
        <x:v>2.73</x:v>
      </x:c>
      <x:c r="I2697" s="34" t="str">
        <x:v>PASS</x:v>
      </x:c>
      <x:c r="J2697" s="34" t="str">
        <x:v>PASS</x:v>
      </x:c>
      <x:c r="K2697" s="34" t="str">
        <x:v>PASS</x:v>
      </x:c>
      <x:c r="L2697" s="34" t="str">
        <x:v>PASS</x:v>
      </x:c>
      <x:c r="M2697" s="34" t="str">
        <x:v>numeric coverage for applicable metric</x:v>
      </x:c>
      <x:c r="N2697" s="34" t="str">
        <x:v>Feedback-Directed Random Test Generation/Result_Round2/Closure_70/result.json</x:v>
      </x:c>
      <x:c r="O2697" s="38" t="n">
        <x:f>IF(AND(G2697="RECORDED",ISNUMBER(H2697)),H2697,"")</x:f>
        <x:v>2.73</x:v>
      </x:c>
      <x:c r="P2697" s="34" t="str">
        <x:v>NOT_REVEALING</x:v>
      </x:c>
      <x:c r="Q2697" s="34" t="str">
        <x:v>Feedback-Directed Random Test Generation/Result_Round2/Closure_70/result.json</x:v>
      </x:c>
    </x:row>
    <x:row r="2698">
      <x:c r="A2698" s="34" t="str">
        <x:v>randoop</x:v>
      </x:c>
      <x:c r="B2698" s="34" t="str">
        <x:v>Closure</x:v>
      </x:c>
      <x:c r="C2698" s="34" t="str">
        <x:v>Round2</x:v>
      </x:c>
      <x:c r="D2698" s="34" t="str">
        <x:v>Closure_71</x:v>
      </x:c>
      <x:c r="E2698" s="34" t="str">
        <x:v>Line</x:v>
      </x:c>
      <x:c r="F2698" s="34" t="n">
        <x:v>267</x:v>
      </x:c>
      <x:c r="G2698" s="34" t="str">
        <x:v>RECORDED</x:v>
      </x:c>
      <x:c r="H2698" s="38" t="n">
        <x:f>IF(ISNUMBER('Data'!H990),'Data'!H990*100,"")</x:f>
        <x:v>8.99</x:v>
      </x:c>
      <x:c r="I2698" s="34" t="str">
        <x:v>PASS</x:v>
      </x:c>
      <x:c r="J2698" s="34" t="str">
        <x:v>PASS</x:v>
      </x:c>
      <x:c r="K2698" s="34" t="str">
        <x:v>PASS</x:v>
      </x:c>
      <x:c r="L2698" s="34" t="str">
        <x:v>PASS</x:v>
      </x:c>
      <x:c r="M2698" s="34" t="str">
        <x:v>numeric coverage for applicable metric</x:v>
      </x:c>
      <x:c r="N2698" s="34" t="str">
        <x:v>Feedback-Directed Random Test Generation/Result_Round2/Closure_71/result.json</x:v>
      </x:c>
      <x:c r="O2698" s="38" t="n">
        <x:f>IF(AND(G2698="RECORDED",ISNUMBER(H2698)),H2698,"")</x:f>
        <x:v>8.99</x:v>
      </x:c>
      <x:c r="P2698" s="34" t="str">
        <x:v>NOT_REVEALING</x:v>
      </x:c>
      <x:c r="Q2698" s="34" t="str">
        <x:v>Feedback-Directed Random Test Generation/Result_Round2/Closure_71/result.json</x:v>
      </x:c>
    </x:row>
    <x:row r="2699">
      <x:c r="A2699" s="34" t="str">
        <x:v>randoop</x:v>
      </x:c>
      <x:c r="B2699" s="34" t="str">
        <x:v>Closure</x:v>
      </x:c>
      <x:c r="C2699" s="34" t="str">
        <x:v>Round2</x:v>
      </x:c>
      <x:c r="D2699" s="34" t="str">
        <x:v>Closure_72</x:v>
      </x:c>
      <x:c r="E2699" s="34" t="str">
        <x:v>Line</x:v>
      </x:c>
      <x:c r="F2699" s="34" t="n">
        <x:v>216</x:v>
      </x:c>
      <x:c r="G2699" s="34" t="str">
        <x:v>RECORDED</x:v>
      </x:c>
      <x:c r="H2699" s="38" t="n">
        <x:f>IF(ISNUMBER('Data'!H991),'Data'!H991*100,"")</x:f>
        <x:v>16.2</x:v>
      </x:c>
      <x:c r="I2699" s="34" t="str">
        <x:v>PASS</x:v>
      </x:c>
      <x:c r="J2699" s="34" t="str">
        <x:v>PASS</x:v>
      </x:c>
      <x:c r="K2699" s="34" t="str">
        <x:v>PASS</x:v>
      </x:c>
      <x:c r="L2699" s="34" t="str">
        <x:v>PASS</x:v>
      </x:c>
      <x:c r="M2699" s="34" t="str">
        <x:v>numeric coverage for applicable metric</x:v>
      </x:c>
      <x:c r="N2699" s="34" t="str">
        <x:v>Feedback-Directed Random Test Generation/Result_Round2/Closure_72/result.json</x:v>
      </x:c>
      <x:c r="O2699" s="38" t="n">
        <x:f>IF(AND(G2699="RECORDED",ISNUMBER(H2699)),H2699,"")</x:f>
        <x:v>16.2</x:v>
      </x:c>
      <x:c r="P2699" s="34" t="str">
        <x:v>NOT_REVEALING</x:v>
      </x:c>
      <x:c r="Q2699" s="34" t="str">
        <x:v>Feedback-Directed Random Test Generation/Result_Round2/Closure_72/result.json</x:v>
      </x:c>
    </x:row>
    <x:row r="2700">
      <x:c r="A2700" s="34" t="str">
        <x:v>randoop</x:v>
      </x:c>
      <x:c r="B2700" s="34" t="str">
        <x:v>Closure</x:v>
      </x:c>
      <x:c r="C2700" s="34" t="str">
        <x:v>Round2</x:v>
      </x:c>
      <x:c r="D2700" s="34" t="str">
        <x:v>Closure_73</x:v>
      </x:c>
      <x:c r="E2700" s="34" t="str">
        <x:v>Line</x:v>
      </x:c>
      <x:c r="F2700" s="34" t="n">
        <x:v>586</x:v>
      </x:c>
      <x:c r="G2700" s="34" t="str">
        <x:v>RECORDED</x:v>
      </x:c>
      <x:c r="H2700" s="38" t="n">
        <x:f>IF(ISNUMBER('Data'!H992),'Data'!H992*100,"")</x:f>
        <x:v>12.629999999999999</x:v>
      </x:c>
      <x:c r="I2700" s="34" t="str">
        <x:v>PASS</x:v>
      </x:c>
      <x:c r="J2700" s="34" t="str">
        <x:v>PASS</x:v>
      </x:c>
      <x:c r="K2700" s="34" t="str">
        <x:v>PASS</x:v>
      </x:c>
      <x:c r="L2700" s="34" t="str">
        <x:v>PASS</x:v>
      </x:c>
      <x:c r="M2700" s="34" t="str">
        <x:v>numeric coverage for applicable metric</x:v>
      </x:c>
      <x:c r="N2700" s="34" t="str">
        <x:v>Feedback-Directed Random Test Generation/Result_Round2/Closure_73/result.json</x:v>
      </x:c>
      <x:c r="O2700" s="38" t="n">
        <x:f>IF(AND(G2700="RECORDED",ISNUMBER(H2700)),H2700,"")</x:f>
        <x:v>12.629999999999999</x:v>
      </x:c>
      <x:c r="P2700" s="34" t="str">
        <x:v>NOT_REVEALING</x:v>
      </x:c>
      <x:c r="Q2700" s="34" t="str">
        <x:v>Feedback-Directed Random Test Generation/Result_Round2/Closure_73/result.json</x:v>
      </x:c>
    </x:row>
    <x:row r="2701">
      <x:c r="A2701" s="34" t="str">
        <x:v>randoop</x:v>
      </x:c>
      <x:c r="B2701" s="34" t="str">
        <x:v>Closure</x:v>
      </x:c>
      <x:c r="C2701" s="34" t="str">
        <x:v>Round2</x:v>
      </x:c>
      <x:c r="D2701" s="34" t="str">
        <x:v>Closure_74</x:v>
      </x:c>
      <x:c r="E2701" s="34" t="str">
        <x:v>Line</x:v>
      </x:c>
      <x:c r="F2701" s="34" t="n">
        <x:v>800</x:v>
      </x:c>
      <x:c r="G2701" s="34" t="str">
        <x:v>RECORDED</x:v>
      </x:c>
      <x:c r="H2701" s="38" t="n">
        <x:f>IF(ISNUMBER('Data'!H993),'Data'!H993*100,"")</x:f>
        <x:v>1.7500000000000002</x:v>
      </x:c>
      <x:c r="I2701" s="34" t="str">
        <x:v>PASS</x:v>
      </x:c>
      <x:c r="J2701" s="34" t="str">
        <x:v>PASS</x:v>
      </x:c>
      <x:c r="K2701" s="34" t="str">
        <x:v>PASS</x:v>
      </x:c>
      <x:c r="L2701" s="34" t="str">
        <x:v>PASS</x:v>
      </x:c>
      <x:c r="M2701" s="34" t="str">
        <x:v>numeric coverage for applicable metric</x:v>
      </x:c>
      <x:c r="N2701" s="34" t="str">
        <x:v>Feedback-Directed Random Test Generation/Result_Round2/Closure_74/result.json</x:v>
      </x:c>
      <x:c r="O2701" s="38" t="n">
        <x:f>IF(AND(G2701="RECORDED",ISNUMBER(H2701)),H2701,"")</x:f>
        <x:v>1.7500000000000002</x:v>
      </x:c>
      <x:c r="P2701" s="34" t="str">
        <x:v>NOT_REVEALING</x:v>
      </x:c>
      <x:c r="Q2701" s="34" t="str">
        <x:v>Feedback-Directed Random Test Generation/Result_Round2/Closure_74/result.json</x:v>
      </x:c>
    </x:row>
    <x:row r="2702">
      <x:c r="A2702" s="34" t="str">
        <x:v>randoop</x:v>
      </x:c>
      <x:c r="B2702" s="34" t="str">
        <x:v>Closure</x:v>
      </x:c>
      <x:c r="C2702" s="34" t="str">
        <x:v>Round2</x:v>
      </x:c>
      <x:c r="D2702" s="34" t="str">
        <x:v>Closure_75</x:v>
      </x:c>
      <x:c r="E2702" s="34" t="str">
        <x:v>Line</x:v>
      </x:c>
      <x:c r="F2702" s="34" t="n">
        <x:v>920</x:v>
      </x:c>
      <x:c r="G2702" s="34" t="str">
        <x:v>RECORDED</x:v>
      </x:c>
      <x:c r="H2702" s="38" t="n">
        <x:f>IF(ISNUMBER('Data'!H994),'Data'!H994*100,"")</x:f>
        <x:v>46.96</x:v>
      </x:c>
      <x:c r="I2702" s="34" t="str">
        <x:v>PASS</x:v>
      </x:c>
      <x:c r="J2702" s="34" t="str">
        <x:v>PASS</x:v>
      </x:c>
      <x:c r="K2702" s="34" t="str">
        <x:v>PASS</x:v>
      </x:c>
      <x:c r="L2702" s="34" t="str">
        <x:v>PASS</x:v>
      </x:c>
      <x:c r="M2702" s="34" t="str">
        <x:v>numeric coverage for applicable metric</x:v>
      </x:c>
      <x:c r="N2702" s="34" t="str">
        <x:v>Feedback-Directed Random Test Generation/Result_Round2/Closure_75/result.json</x:v>
      </x:c>
      <x:c r="O2702" s="38" t="n">
        <x:f>IF(AND(G2702="RECORDED",ISNUMBER(H2702)),H2702,"")</x:f>
        <x:v>46.96</x:v>
      </x:c>
      <x:c r="P2702" s="34" t="str">
        <x:v>NOT_REVEALING</x:v>
      </x:c>
      <x:c r="Q2702" s="34" t="str">
        <x:v>Feedback-Directed Random Test Generation/Result_Round2/Closure_75/result.json</x:v>
      </x:c>
    </x:row>
    <x:row r="2703">
      <x:c r="A2703" s="34" t="str">
        <x:v>randoop</x:v>
      </x:c>
      <x:c r="B2703" s="34" t="str">
        <x:v>Closure</x:v>
      </x:c>
      <x:c r="C2703" s="34" t="str">
        <x:v>Round2</x:v>
      </x:c>
      <x:c r="D2703" s="34" t="str">
        <x:v>Closure_76</x:v>
      </x:c>
      <x:c r="E2703" s="34" t="str">
        <x:v>Line</x:v>
      </x:c>
      <x:c r="F2703" s="34" t="n">
        <x:v>150</x:v>
      </x:c>
      <x:c r="G2703" s="34" t="str">
        <x:v>RECORDED</x:v>
      </x:c>
      <x:c r="H2703" s="38" t="n">
        <x:f>IF(ISNUMBER('Data'!H995),'Data'!H995*100,"")</x:f>
        <x:v>6</x:v>
      </x:c>
      <x:c r="I2703" s="34" t="str">
        <x:v>PASS</x:v>
      </x:c>
      <x:c r="J2703" s="34" t="str">
        <x:v>PASS</x:v>
      </x:c>
      <x:c r="K2703" s="34" t="str">
        <x:v>PASS</x:v>
      </x:c>
      <x:c r="L2703" s="34" t="str">
        <x:v>PASS</x:v>
      </x:c>
      <x:c r="M2703" s="34" t="str">
        <x:v>numeric coverage for applicable metric</x:v>
      </x:c>
      <x:c r="N2703" s="34" t="str">
        <x:v>Feedback-Directed Random Test Generation/Result_Round2/Closure_76/result.json</x:v>
      </x:c>
      <x:c r="O2703" s="38" t="n">
        <x:f>IF(AND(G2703="RECORDED",ISNUMBER(H2703)),H2703,"")</x:f>
        <x:v>6</x:v>
      </x:c>
      <x:c r="P2703" s="34" t="str">
        <x:v>NOT_REVEALING</x:v>
      </x:c>
      <x:c r="Q2703" s="34" t="str">
        <x:v>Feedback-Directed Random Test Generation/Result_Round2/Closure_76/result.json</x:v>
      </x:c>
    </x:row>
    <x:row r="2704">
      <x:c r="A2704" s="34" t="str">
        <x:v>randoop</x:v>
      </x:c>
      <x:c r="B2704" s="34" t="str">
        <x:v>Closure</x:v>
      </x:c>
      <x:c r="C2704" s="34" t="str">
        <x:v>Round2</x:v>
      </x:c>
      <x:c r="D2704" s="34" t="str">
        <x:v>Closure_77</x:v>
      </x:c>
      <x:c r="E2704" s="34" t="str">
        <x:v>Line</x:v>
      </x:c>
      <x:c r="F2704" s="34" t="n">
        <x:v>568</x:v>
      </x:c>
      <x:c r="G2704" s="34" t="str">
        <x:v>RECORDED</x:v>
      </x:c>
      <x:c r="H2704" s="38" t="n">
        <x:f>IF(ISNUMBER('Data'!H996),'Data'!H996*100,"")</x:f>
        <x:v>11.62</x:v>
      </x:c>
      <x:c r="I2704" s="34" t="str">
        <x:v>PASS</x:v>
      </x:c>
      <x:c r="J2704" s="34" t="str">
        <x:v>PASS</x:v>
      </x:c>
      <x:c r="K2704" s="34" t="str">
        <x:v>PASS</x:v>
      </x:c>
      <x:c r="L2704" s="34" t="str">
        <x:v>PASS</x:v>
      </x:c>
      <x:c r="M2704" s="34" t="str">
        <x:v>numeric coverage for applicable metric</x:v>
      </x:c>
      <x:c r="N2704" s="34" t="str">
        <x:v>Feedback-Directed Random Test Generation/Result_Round2/Closure_77/result.json</x:v>
      </x:c>
      <x:c r="O2704" s="38" t="n">
        <x:f>IF(AND(G2704="RECORDED",ISNUMBER(H2704)),H2704,"")</x:f>
        <x:v>11.62</x:v>
      </x:c>
      <x:c r="P2704" s="34" t="str">
        <x:v>NOT_REVEALING</x:v>
      </x:c>
      <x:c r="Q2704" s="34" t="str">
        <x:v>Feedback-Directed Random Test Generation/Result_Round2/Closure_77/result.json</x:v>
      </x:c>
    </x:row>
    <x:row r="2705">
      <x:c r="A2705" s="34" t="str">
        <x:v>randoop</x:v>
      </x:c>
      <x:c r="B2705" s="34" t="str">
        <x:v>Closure</x:v>
      </x:c>
      <x:c r="C2705" s="34" t="str">
        <x:v>Round2</x:v>
      </x:c>
      <x:c r="D2705" s="34" t="str">
        <x:v>Closure_78</x:v>
      </x:c>
      <x:c r="E2705" s="34" t="str">
        <x:v>Line</x:v>
      </x:c>
      <x:c r="F2705" s="34" t="n">
        <x:v>764</x:v>
      </x:c>
      <x:c r="G2705" s="34" t="str">
        <x:v>RECORDED</x:v>
      </x:c>
      <x:c r="H2705" s="38" t="n">
        <x:f>IF(ISNUMBER('Data'!H997),'Data'!H997*100,"")</x:f>
        <x:v>1.83</x:v>
      </x:c>
      <x:c r="I2705" s="34" t="str">
        <x:v>PASS</x:v>
      </x:c>
      <x:c r="J2705" s="34" t="str">
        <x:v>PASS</x:v>
      </x:c>
      <x:c r="K2705" s="34" t="str">
        <x:v>PASS</x:v>
      </x:c>
      <x:c r="L2705" s="34" t="str">
        <x:v>PASS</x:v>
      </x:c>
      <x:c r="M2705" s="34" t="str">
        <x:v>numeric coverage for applicable metric</x:v>
      </x:c>
      <x:c r="N2705" s="34" t="str">
        <x:v>Feedback-Directed Random Test Generation/Result_Round2/Closure_78/result.json</x:v>
      </x:c>
      <x:c r="O2705" s="38" t="n">
        <x:f>IF(AND(G2705="RECORDED",ISNUMBER(H2705)),H2705,"")</x:f>
        <x:v>1.83</x:v>
      </x:c>
      <x:c r="P2705" s="34" t="str">
        <x:v>NOT_REVEALING</x:v>
      </x:c>
      <x:c r="Q2705" s="34" t="str">
        <x:v>Feedback-Directed Random Test Generation/Result_Round2/Closure_78/result.json</x:v>
      </x:c>
    </x:row>
    <x:row r="2706">
      <x:c r="A2706" s="34" t="str">
        <x:v>randoop</x:v>
      </x:c>
      <x:c r="B2706" s="34" t="str">
        <x:v>Closure</x:v>
      </x:c>
      <x:c r="C2706" s="34" t="str">
        <x:v>Round2</x:v>
      </x:c>
      <x:c r="D2706" s="34" t="str">
        <x:v>Closure_79</x:v>
      </x:c>
      <x:c r="E2706" s="34" t="str">
        <x:v>Line</x:v>
      </x:c>
      <x:c r="F2706" s="34" t="n">
        <x:v>391</x:v>
      </x:c>
      <x:c r="G2706" s="34" t="str">
        <x:v>RECORDED</x:v>
      </x:c>
      <x:c r="H2706" s="38" t="n">
        <x:f>IF(ISNUMBER('Data'!H998),'Data'!H998*100,"")</x:f>
        <x:v>12.28</x:v>
      </x:c>
      <x:c r="I2706" s="34" t="str">
        <x:v>PASS</x:v>
      </x:c>
      <x:c r="J2706" s="34" t="str">
        <x:v>PASS</x:v>
      </x:c>
      <x:c r="K2706" s="34" t="str">
        <x:v>PASS</x:v>
      </x:c>
      <x:c r="L2706" s="34" t="str">
        <x:v>PASS</x:v>
      </x:c>
      <x:c r="M2706" s="34" t="str">
        <x:v>numeric coverage for applicable metric</x:v>
      </x:c>
      <x:c r="N2706" s="34" t="str">
        <x:v>Feedback-Directed Random Test Generation/Result_Round2/Closure_79/result.json</x:v>
      </x:c>
      <x:c r="O2706" s="38" t="n">
        <x:f>IF(AND(G2706="RECORDED",ISNUMBER(H2706)),H2706,"")</x:f>
        <x:v>12.28</x:v>
      </x:c>
      <x:c r="P2706" s="34" t="str">
        <x:v>NOT_REVEALING</x:v>
      </x:c>
      <x:c r="Q2706" s="34" t="str">
        <x:v>Feedback-Directed Random Test Generation/Result_Round2/Closure_79/result.json</x:v>
      </x:c>
    </x:row>
    <x:row r="2707">
      <x:c r="A2707" s="34" t="str">
        <x:v>randoop</x:v>
      </x:c>
      <x:c r="B2707" s="34" t="str">
        <x:v>Closure</x:v>
      </x:c>
      <x:c r="C2707" s="34" t="str">
        <x:v>Round2</x:v>
      </x:c>
      <x:c r="D2707" s="34" t="str">
        <x:v>Closure_80</x:v>
      </x:c>
      <x:c r="E2707" s="34" t="str">
        <x:v>Line</x:v>
      </x:c>
      <x:c r="F2707" s="34" t="n">
        <x:v>915</x:v>
      </x:c>
      <x:c r="G2707" s="34" t="str">
        <x:v>RECORDED</x:v>
      </x:c>
      <x:c r="H2707" s="38" t="n">
        <x:f>IF(ISNUMBER('Data'!H999),'Data'!H999*100,"")</x:f>
        <x:v>48.74</x:v>
      </x:c>
      <x:c r="I2707" s="34" t="str">
        <x:v>PASS</x:v>
      </x:c>
      <x:c r="J2707" s="34" t="str">
        <x:v>PASS</x:v>
      </x:c>
      <x:c r="K2707" s="34" t="str">
        <x:v>PASS</x:v>
      </x:c>
      <x:c r="L2707" s="34" t="str">
        <x:v>PASS</x:v>
      </x:c>
      <x:c r="M2707" s="34" t="str">
        <x:v>numeric coverage for applicable metric</x:v>
      </x:c>
      <x:c r="N2707" s="34" t="str">
        <x:v>Feedback-Directed Random Test Generation/Result_Round2/Closure_80/result.json</x:v>
      </x:c>
      <x:c r="O2707" s="38" t="n">
        <x:f>IF(AND(G2707="RECORDED",ISNUMBER(H2707)),H2707,"")</x:f>
        <x:v>48.74</x:v>
      </x:c>
      <x:c r="P2707" s="34" t="str">
        <x:v>NOT_REVEALING</x:v>
      </x:c>
      <x:c r="Q2707" s="34" t="str">
        <x:v>Feedback-Directed Random Test Generation/Result_Round2/Closure_80/result.json</x:v>
      </x:c>
    </x:row>
    <x:row r="2708">
      <x:c r="A2708" s="34" t="str">
        <x:v>randoop</x:v>
      </x:c>
      <x:c r="B2708" s="34" t="str">
        <x:v>Closure</x:v>
      </x:c>
      <x:c r="C2708" s="34" t="str">
        <x:v>Round2</x:v>
      </x:c>
      <x:c r="D2708" s="34" t="str">
        <x:v>Closure_81</x:v>
      </x:c>
      <x:c r="E2708" s="34" t="str">
        <x:v>Line</x:v>
      </x:c>
      <x:c r="F2708" s="34" t="n">
        <x:v>587</x:v>
      </x:c>
      <x:c r="G2708" s="34" t="str">
        <x:v>RECORDED</x:v>
      </x:c>
      <x:c r="H2708" s="38" t="n">
        <x:f>IF(ISNUMBER('Data'!H1000),'Data'!H1000*100,"")</x:f>
        <x:v>0.17</x:v>
      </x:c>
      <x:c r="I2708" s="34" t="str">
        <x:v>PASS</x:v>
      </x:c>
      <x:c r="J2708" s="34" t="str">
        <x:v>PASS</x:v>
      </x:c>
      <x:c r="K2708" s="34" t="str">
        <x:v>PASS</x:v>
      </x:c>
      <x:c r="L2708" s="34" t="str">
        <x:v>PASS</x:v>
      </x:c>
      <x:c r="M2708" s="34" t="str">
        <x:v>numeric coverage for applicable metric</x:v>
      </x:c>
      <x:c r="N2708" s="34" t="str">
        <x:v>Feedback-Directed Random Test Generation/Result_Round2/Closure_81/result.json</x:v>
      </x:c>
      <x:c r="O2708" s="38" t="n">
        <x:f>IF(AND(G2708="RECORDED",ISNUMBER(H2708)),H2708,"")</x:f>
        <x:v>0.17</x:v>
      </x:c>
      <x:c r="P2708" s="34" t="str">
        <x:v>NOT_REVEALING</x:v>
      </x:c>
      <x:c r="Q2708" s="34" t="str">
        <x:v>Feedback-Directed Random Test Generation/Result_Round2/Closure_81/result.json</x:v>
      </x:c>
    </x:row>
    <x:row r="2709">
      <x:c r="A2709" s="34" t="str">
        <x:v>randoop</x:v>
      </x:c>
      <x:c r="B2709" s="34" t="str">
        <x:v>Closure</x:v>
      </x:c>
      <x:c r="C2709" s="34" t="str">
        <x:v>Round2</x:v>
      </x:c>
      <x:c r="D2709" s="34" t="str">
        <x:v>Closure_82</x:v>
      </x:c>
      <x:c r="E2709" s="34" t="str">
        <x:v>Line</x:v>
      </x:c>
      <x:c r="F2709" s="34" t="n">
        <x:v>222</x:v>
      </x:c>
      <x:c r="G2709" s="34" t="str">
        <x:v>RECORDED</x:v>
      </x:c>
      <x:c r="H2709" s="38" t="n">
        <x:f>IF(ISNUMBER('Data'!H1001),'Data'!H1001*100,"")</x:f>
        <x:v>4.5</x:v>
      </x:c>
      <x:c r="I2709" s="34" t="str">
        <x:v>PASS</x:v>
      </x:c>
      <x:c r="J2709" s="34" t="str">
        <x:v>PASS</x:v>
      </x:c>
      <x:c r="K2709" s="34" t="str">
        <x:v>PASS</x:v>
      </x:c>
      <x:c r="L2709" s="34" t="str">
        <x:v>PASS</x:v>
      </x:c>
      <x:c r="M2709" s="34" t="str">
        <x:v>numeric coverage for applicable metric</x:v>
      </x:c>
      <x:c r="N2709" s="34" t="str">
        <x:v>Feedback-Directed Random Test Generation/Result_Round2/Closure_82/result.json</x:v>
      </x:c>
      <x:c r="O2709" s="38" t="n">
        <x:f>IF(AND(G2709="RECORDED",ISNUMBER(H2709)),H2709,"")</x:f>
        <x:v>4.5</x:v>
      </x:c>
      <x:c r="P2709" s="34" t="str">
        <x:v>NOT_REVEALING</x:v>
      </x:c>
      <x:c r="Q2709" s="34" t="str">
        <x:v>Feedback-Directed Random Test Generation/Result_Round2/Closure_82/result.json</x:v>
      </x:c>
    </x:row>
    <x:row r="2710">
      <x:c r="A2710" s="34" t="str">
        <x:v>randoop</x:v>
      </x:c>
      <x:c r="B2710" s="34" t="str">
        <x:v>Closure</x:v>
      </x:c>
      <x:c r="C2710" s="34" t="str">
        <x:v>Round2</x:v>
      </x:c>
      <x:c r="D2710" s="34" t="str">
        <x:v>Closure_83</x:v>
      </x:c>
      <x:c r="E2710" s="34" t="str">
        <x:v>Line</x:v>
      </x:c>
      <x:c r="F2710" s="34" t="n">
        <x:v>0</x:v>
      </x:c>
      <x:c r="G2710" s="34" t="str">
        <x:v>A</x:v>
      </x:c>
      <x:c r="H2710" s="38" t="str">
        <x:f>IF(ISNUMBER('Data'!H1002),'Data'!H1002*100,"")</x:f>
      </x:c>
      <x:c r="I2710" s="34"/>
      <x:c r="J2710" s="34"/>
      <x:c r="K2710" s="34"/>
      <x:c r="L2710" s="34" t="str">
        <x:v>NOT_RUN</x:v>
      </x:c>
      <x:c r="M2710" s="34" t="str">
        <x:v>Latest same-round generation failed; older files/results are excluded</x:v>
      </x:c>
      <x:c r="N2710" s="34" t="str">
        <x:v>Feedback-Directed Random Test Generation/report_Round2.csv</x:v>
      </x:c>
      <x:c r="O2710" s="38" t="str">
        <x:f>IF(AND(G2710="RECORDED",ISNUMBER(H2710)),H2710,"")</x:f>
      </x:c>
      <x:c r="P2710" s="34" t="str">
        <x:v>FAIL</x:v>
      </x:c>
      <x:c r="Q2710" s="34"/>
    </x:row>
    <x:row r="2711">
      <x:c r="A2711" s="34" t="str">
        <x:v>randoop</x:v>
      </x:c>
      <x:c r="B2711" s="34" t="str">
        <x:v>Closure</x:v>
      </x:c>
      <x:c r="C2711" s="34" t="str">
        <x:v>Round2</x:v>
      </x:c>
      <x:c r="D2711" s="34" t="str">
        <x:v>Closure_84</x:v>
      </x:c>
      <x:c r="E2711" s="34" t="str">
        <x:v>Line</x:v>
      </x:c>
      <x:c r="F2711" s="34" t="n">
        <x:v>552</x:v>
      </x:c>
      <x:c r="G2711" s="34" t="str">
        <x:v>RECORDED</x:v>
      </x:c>
      <x:c r="H2711" s="38" t="n">
        <x:f>IF(ISNUMBER('Data'!H1003),'Data'!H1003*100,"")</x:f>
        <x:v>0.18</x:v>
      </x:c>
      <x:c r="I2711" s="34" t="str">
        <x:v>PASS</x:v>
      </x:c>
      <x:c r="J2711" s="34" t="str">
        <x:v>PASS</x:v>
      </x:c>
      <x:c r="K2711" s="34" t="str">
        <x:v>PASS</x:v>
      </x:c>
      <x:c r="L2711" s="34" t="str">
        <x:v>PASS</x:v>
      </x:c>
      <x:c r="M2711" s="34" t="str">
        <x:v>numeric coverage for applicable metric</x:v>
      </x:c>
      <x:c r="N2711" s="34" t="str">
        <x:v>Feedback-Directed Random Test Generation/Result_Round2/Closure_84/result.json</x:v>
      </x:c>
      <x:c r="O2711" s="38" t="n">
        <x:f>IF(AND(G2711="RECORDED",ISNUMBER(H2711)),H2711,"")</x:f>
        <x:v>0.18</x:v>
      </x:c>
      <x:c r="P2711" s="34" t="str">
        <x:v>NOT_REVEALING</x:v>
      </x:c>
      <x:c r="Q2711" s="34" t="str">
        <x:v>Feedback-Directed Random Test Generation/Result_Round2/Closure_84/result.json</x:v>
      </x:c>
    </x:row>
    <x:row r="2712">
      <x:c r="A2712" s="34" t="str">
        <x:v>randoop</x:v>
      </x:c>
      <x:c r="B2712" s="34" t="str">
        <x:v>Closure</x:v>
      </x:c>
      <x:c r="C2712" s="34" t="str">
        <x:v>Round2</x:v>
      </x:c>
      <x:c r="D2712" s="34" t="str">
        <x:v>Closure_85</x:v>
      </x:c>
      <x:c r="E2712" s="34" t="str">
        <x:v>Line</x:v>
      </x:c>
      <x:c r="F2712" s="34" t="n">
        <x:v>78</x:v>
      </x:c>
      <x:c r="G2712" s="34" t="str">
        <x:v>RECORDED</x:v>
      </x:c>
      <x:c r="H2712" s="38" t="n">
        <x:f>IF(ISNUMBER('Data'!H1004),'Data'!H1004*100,"")</x:f>
        <x:v>16.67</x:v>
      </x:c>
      <x:c r="I2712" s="34" t="str">
        <x:v>PASS</x:v>
      </x:c>
      <x:c r="J2712" s="34" t="str">
        <x:v>PASS</x:v>
      </x:c>
      <x:c r="K2712" s="34" t="str">
        <x:v>PASS</x:v>
      </x:c>
      <x:c r="L2712" s="34" t="str">
        <x:v>PASS</x:v>
      </x:c>
      <x:c r="M2712" s="34" t="str">
        <x:v>numeric coverage for applicable metric</x:v>
      </x:c>
      <x:c r="N2712" s="34" t="str">
        <x:v>Feedback-Directed Random Test Generation/Result_Round2/Closure_85/result.json</x:v>
      </x:c>
      <x:c r="O2712" s="38" t="n">
        <x:f>IF(AND(G2712="RECORDED",ISNUMBER(H2712)),H2712,"")</x:f>
        <x:v>16.67</x:v>
      </x:c>
      <x:c r="P2712" s="34" t="str">
        <x:v>NOT_REVEALING</x:v>
      </x:c>
      <x:c r="Q2712" s="34" t="str">
        <x:v>Feedback-Directed Random Test Generation/Result_Round2/Closure_85/result.json</x:v>
      </x:c>
    </x:row>
    <x:row r="2713">
      <x:c r="A2713" s="34" t="str">
        <x:v>randoop</x:v>
      </x:c>
      <x:c r="B2713" s="34" t="str">
        <x:v>Closure</x:v>
      </x:c>
      <x:c r="C2713" s="34" t="str">
        <x:v>Round2</x:v>
      </x:c>
      <x:c r="D2713" s="34" t="str">
        <x:v>Closure_86</x:v>
      </x:c>
      <x:c r="E2713" s="34" t="str">
        <x:v>Line</x:v>
      </x:c>
      <x:c r="F2713" s="34" t="n">
        <x:v>756</x:v>
      </x:c>
      <x:c r="G2713" s="34" t="str">
        <x:v>RECORDED</x:v>
      </x:c>
      <x:c r="H2713" s="38" t="n">
        <x:f>IF(ISNUMBER('Data'!H1005),'Data'!H1005*100,"")</x:f>
        <x:v>49.07</x:v>
      </x:c>
      <x:c r="I2713" s="34" t="str">
        <x:v>PASS</x:v>
      </x:c>
      <x:c r="J2713" s="34" t="str">
        <x:v>PASS</x:v>
      </x:c>
      <x:c r="K2713" s="34" t="str">
        <x:v>PASS</x:v>
      </x:c>
      <x:c r="L2713" s="34" t="str">
        <x:v>PASS</x:v>
      </x:c>
      <x:c r="M2713" s="34" t="str">
        <x:v>numeric coverage for applicable metric</x:v>
      </x:c>
      <x:c r="N2713" s="34" t="str">
        <x:v>Feedback-Directed Random Test Generation/Result_Round2/Closure_86/result.json</x:v>
      </x:c>
      <x:c r="O2713" s="38" t="n">
        <x:f>IF(AND(G2713="RECORDED",ISNUMBER(H2713)),H2713,"")</x:f>
        <x:v>49.07</x:v>
      </x:c>
      <x:c r="P2713" s="34" t="str">
        <x:v>NOT_REVEALING</x:v>
      </x:c>
      <x:c r="Q2713" s="34" t="str">
        <x:v>Feedback-Directed Random Test Generation/Result_Round2/Closure_86/result.json</x:v>
      </x:c>
    </x:row>
    <x:row r="2714">
      <x:c r="A2714" s="34" t="str">
        <x:v>randoop</x:v>
      </x:c>
      <x:c r="B2714" s="34" t="str">
        <x:v>Closure</x:v>
      </x:c>
      <x:c r="C2714" s="34" t="str">
        <x:v>Round2</x:v>
      </x:c>
      <x:c r="D2714" s="34" t="str">
        <x:v>Closure_87</x:v>
      </x:c>
      <x:c r="E2714" s="34" t="str">
        <x:v>Line</x:v>
      </x:c>
      <x:c r="F2714" s="34" t="n">
        <x:v>455</x:v>
      </x:c>
      <x:c r="G2714" s="34" t="str">
        <x:v>RECORDED</x:v>
      </x:c>
      <x:c r="H2714" s="38" t="n">
        <x:f>IF(ISNUMBER('Data'!H1006),'Data'!H1006*100,"")</x:f>
        <x:v>3.08</x:v>
      </x:c>
      <x:c r="I2714" s="34" t="str">
        <x:v>PASS</x:v>
      </x:c>
      <x:c r="J2714" s="34" t="str">
        <x:v>PASS</x:v>
      </x:c>
      <x:c r="K2714" s="34" t="str">
        <x:v>PASS</x:v>
      </x:c>
      <x:c r="L2714" s="34" t="str">
        <x:v>PASS</x:v>
      </x:c>
      <x:c r="M2714" s="34" t="str">
        <x:v>numeric coverage for applicable metric</x:v>
      </x:c>
      <x:c r="N2714" s="34" t="str">
        <x:v>Feedback-Directed Random Test Generation/Result_Round2/Closure_87/result.json</x:v>
      </x:c>
      <x:c r="O2714" s="38" t="n">
        <x:f>IF(AND(G2714="RECORDED",ISNUMBER(H2714)),H2714,"")</x:f>
        <x:v>3.08</x:v>
      </x:c>
      <x:c r="P2714" s="34" t="str">
        <x:v>NOT_REVEALING</x:v>
      </x:c>
      <x:c r="Q2714" s="34" t="str">
        <x:v>Feedback-Directed Random Test Generation/Result_Round2/Closure_87/result.json</x:v>
      </x:c>
    </x:row>
    <x:row r="2715">
      <x:c r="A2715" s="34" t="str">
        <x:v>randoop</x:v>
      </x:c>
      <x:c r="B2715" s="34" t="str">
        <x:v>Closure</x:v>
      </x:c>
      <x:c r="C2715" s="34" t="str">
        <x:v>Round2</x:v>
      </x:c>
      <x:c r="D2715" s="34" t="str">
        <x:v>Closure_88</x:v>
      </x:c>
      <x:c r="E2715" s="34" t="str">
        <x:v>Line</x:v>
      </x:c>
      <x:c r="F2715" s="34" t="n">
        <x:v>132</x:v>
      </x:c>
      <x:c r="G2715" s="34" t="str">
        <x:v>RECORDED</x:v>
      </x:c>
      <x:c r="H2715" s="38" t="n">
        <x:f>IF(ISNUMBER('Data'!H1007),'Data'!H1007*100,"")</x:f>
        <x:v>6.819999999999999</x:v>
      </x:c>
      <x:c r="I2715" s="34" t="str">
        <x:v>PASS</x:v>
      </x:c>
      <x:c r="J2715" s="34" t="str">
        <x:v>PASS</x:v>
      </x:c>
      <x:c r="K2715" s="34" t="str">
        <x:v>PASS</x:v>
      </x:c>
      <x:c r="L2715" s="34" t="str">
        <x:v>PASS</x:v>
      </x:c>
      <x:c r="M2715" s="34" t="str">
        <x:v>numeric coverage for applicable metric</x:v>
      </x:c>
      <x:c r="N2715" s="34" t="str">
        <x:v>Feedback-Directed Random Test Generation/Result_Round2/Closure_88/result.json</x:v>
      </x:c>
      <x:c r="O2715" s="38" t="n">
        <x:f>IF(AND(G2715="RECORDED",ISNUMBER(H2715)),H2715,"")</x:f>
        <x:v>6.819999999999999</x:v>
      </x:c>
      <x:c r="P2715" s="34" t="str">
        <x:v>NOT_REVEALING</x:v>
      </x:c>
      <x:c r="Q2715" s="34" t="str">
        <x:v>Feedback-Directed Random Test Generation/Result_Round2/Closure_88/result.json</x:v>
      </x:c>
    </x:row>
    <x:row r="2716">
      <x:c r="A2716" s="34" t="str">
        <x:v>randoop</x:v>
      </x:c>
      <x:c r="B2716" s="34" t="str">
        <x:v>Closure</x:v>
      </x:c>
      <x:c r="C2716" s="34" t="str">
        <x:v>Round2</x:v>
      </x:c>
      <x:c r="D2716" s="34" t="str">
        <x:v>Closure_89</x:v>
      </x:c>
      <x:c r="E2716" s="34" t="str">
        <x:v>Line</x:v>
      </x:c>
      <x:c r="F2716" s="34" t="n">
        <x:v>714</x:v>
      </x:c>
      <x:c r="G2716" s="34" t="str">
        <x:v>RECORDED</x:v>
      </x:c>
      <x:c r="H2716" s="38" t="n">
        <x:f>IF(ISNUMBER('Data'!H1008),'Data'!H1008*100,"")</x:f>
        <x:v>19.75</x:v>
      </x:c>
      <x:c r="I2716" s="34" t="str">
        <x:v>PASS</x:v>
      </x:c>
      <x:c r="J2716" s="34" t="str">
        <x:v>PASS</x:v>
      </x:c>
      <x:c r="K2716" s="34" t="str">
        <x:v>PASS</x:v>
      </x:c>
      <x:c r="L2716" s="34" t="str">
        <x:v>PASS</x:v>
      </x:c>
      <x:c r="M2716" s="34" t="str">
        <x:v>numeric coverage for applicable metric</x:v>
      </x:c>
      <x:c r="N2716" s="34" t="str">
        <x:v>Feedback-Directed Random Test Generation/Result_Round2/Closure_89/result.json</x:v>
      </x:c>
      <x:c r="O2716" s="38" t="n">
        <x:f>IF(AND(G2716="RECORDED",ISNUMBER(H2716)),H2716,"")</x:f>
        <x:v>19.75</x:v>
      </x:c>
      <x:c r="P2716" s="34" t="str">
        <x:v>NOT_REVEALING</x:v>
      </x:c>
      <x:c r="Q2716" s="34" t="str">
        <x:v>Feedback-Directed Random Test Generation/Result_Round2/Closure_89/result.json</x:v>
      </x:c>
    </x:row>
    <x:row r="2717">
      <x:c r="A2717" s="34" t="str">
        <x:v>randoop</x:v>
      </x:c>
      <x:c r="B2717" s="34" t="str">
        <x:v>Closure</x:v>
      </x:c>
      <x:c r="C2717" s="34" t="str">
        <x:v>Round2</x:v>
      </x:c>
      <x:c r="D2717" s="34" t="str">
        <x:v>Closure_90</x:v>
      </x:c>
      <x:c r="E2717" s="34" t="str">
        <x:v>Line</x:v>
      </x:c>
      <x:c r="F2717" s="34" t="n">
        <x:v>656</x:v>
      </x:c>
      <x:c r="G2717" s="34" t="str">
        <x:v>RECORDED</x:v>
      </x:c>
      <x:c r="H2717" s="38" t="n">
        <x:f>IF(ISNUMBER('Data'!H1009),'Data'!H1009*100,"")</x:f>
        <x:v>3.9599999999999995</x:v>
      </x:c>
      <x:c r="I2717" s="34" t="str">
        <x:v>PASS</x:v>
      </x:c>
      <x:c r="J2717" s="34" t="str">
        <x:v>PASS</x:v>
      </x:c>
      <x:c r="K2717" s="34" t="str">
        <x:v>PASS</x:v>
      </x:c>
      <x:c r="L2717" s="34" t="str">
        <x:v>PASS</x:v>
      </x:c>
      <x:c r="M2717" s="34" t="str">
        <x:v>numeric coverage for applicable metric</x:v>
      </x:c>
      <x:c r="N2717" s="34" t="str">
        <x:v>Feedback-Directed Random Test Generation/Result_Round2/Closure_90/result.json</x:v>
      </x:c>
      <x:c r="O2717" s="38" t="n">
        <x:f>IF(AND(G2717="RECORDED",ISNUMBER(H2717)),H2717,"")</x:f>
        <x:v>3.9599999999999995</x:v>
      </x:c>
      <x:c r="P2717" s="34" t="str">
        <x:v>NOT_REVEALING</x:v>
      </x:c>
      <x:c r="Q2717" s="34" t="str">
        <x:v>Feedback-Directed Random Test Generation/Result_Round2/Closure_90/result.json</x:v>
      </x:c>
    </x:row>
    <x:row r="2718">
      <x:c r="A2718" s="34" t="str">
        <x:v>randoop</x:v>
      </x:c>
      <x:c r="B2718" s="34" t="str">
        <x:v>Closure</x:v>
      </x:c>
      <x:c r="C2718" s="34" t="str">
        <x:v>Round2</x:v>
      </x:c>
      <x:c r="D2718" s="34" t="str">
        <x:v>Closure_91</x:v>
      </x:c>
      <x:c r="E2718" s="34" t="str">
        <x:v>Line</x:v>
      </x:c>
      <x:c r="F2718" s="34" t="n">
        <x:v>51</x:v>
      </x:c>
      <x:c r="G2718" s="34" t="str">
        <x:v>RECORDED</x:v>
      </x:c>
      <x:c r="H2718" s="38" t="n">
        <x:f>IF(ISNUMBER('Data'!H1010),'Data'!H1010*100,"")</x:f>
        <x:v>15.689999999999998</x:v>
      </x:c>
      <x:c r="I2718" s="34" t="str">
        <x:v>PASS</x:v>
      </x:c>
      <x:c r="J2718" s="34" t="str">
        <x:v>PASS</x:v>
      </x:c>
      <x:c r="K2718" s="34" t="str">
        <x:v>PASS</x:v>
      </x:c>
      <x:c r="L2718" s="34" t="str">
        <x:v>PASS</x:v>
      </x:c>
      <x:c r="M2718" s="34" t="str">
        <x:v>numeric coverage for applicable metric</x:v>
      </x:c>
      <x:c r="N2718" s="34" t="str">
        <x:v>Feedback-Directed Random Test Generation/Result_Round2/Closure_91/result.json</x:v>
      </x:c>
      <x:c r="O2718" s="38" t="n">
        <x:f>IF(AND(G2718="RECORDED",ISNUMBER(H2718)),H2718,"")</x:f>
        <x:v>15.689999999999998</x:v>
      </x:c>
      <x:c r="P2718" s="34" t="str">
        <x:v>NOT_REVEALING</x:v>
      </x:c>
      <x:c r="Q2718" s="34" t="str">
        <x:v>Feedback-Directed Random Test Generation/Result_Round2/Closure_91/result.json</x:v>
      </x:c>
    </x:row>
    <x:row r="2719">
      <x:c r="A2719" s="34" t="str">
        <x:v>randoop</x:v>
      </x:c>
      <x:c r="B2719" s="34" t="str">
        <x:v>Closure</x:v>
      </x:c>
      <x:c r="C2719" s="34" t="str">
        <x:v>Round2</x:v>
      </x:c>
      <x:c r="D2719" s="34" t="str">
        <x:v>Closure_92</x:v>
      </x:c>
      <x:c r="E2719" s="34" t="str">
        <x:v>Line</x:v>
      </x:c>
      <x:c r="F2719" s="34" t="n">
        <x:v>409</x:v>
      </x:c>
      <x:c r="G2719" s="34" t="str">
        <x:v>RECORDED</x:v>
      </x:c>
      <x:c r="H2719" s="38" t="n">
        <x:f>IF(ISNUMBER('Data'!H1011),'Data'!H1011*100,"")</x:f>
        <x:v>4.89</x:v>
      </x:c>
      <x:c r="I2719" s="34" t="str">
        <x:v>PASS</x:v>
      </x:c>
      <x:c r="J2719" s="34" t="str">
        <x:v>PASS</x:v>
      </x:c>
      <x:c r="K2719" s="34" t="str">
        <x:v>PASS</x:v>
      </x:c>
      <x:c r="L2719" s="34" t="str">
        <x:v>PASS</x:v>
      </x:c>
      <x:c r="M2719" s="34" t="str">
        <x:v>numeric coverage for applicable metric</x:v>
      </x:c>
      <x:c r="N2719" s="34" t="str">
        <x:v>Feedback-Directed Random Test Generation/Result_Round2/Closure_92/result.json</x:v>
      </x:c>
      <x:c r="O2719" s="38" t="n">
        <x:f>IF(AND(G2719="RECORDED",ISNUMBER(H2719)),H2719,"")</x:f>
        <x:v>4.89</x:v>
      </x:c>
      <x:c r="P2719" s="34" t="str">
        <x:v>NOT_REVEALING</x:v>
      </x:c>
      <x:c r="Q2719" s="34" t="str">
        <x:v>Feedback-Directed Random Test Generation/Result_Round2/Closure_92/result.json</x:v>
      </x:c>
    </x:row>
    <x:row r="2720">
      <x:c r="A2720" s="34" t="str">
        <x:v>randoop</x:v>
      </x:c>
      <x:c r="B2720" s="34" t="str">
        <x:v>Closure</x:v>
      </x:c>
      <x:c r="C2720" s="34" t="str">
        <x:v>Round2</x:v>
      </x:c>
      <x:c r="D2720" s="34" t="str">
        <x:v>Closure_94</x:v>
      </x:c>
      <x:c r="E2720" s="34" t="str">
        <x:v>Line</x:v>
      </x:c>
      <x:c r="F2720" s="34" t="n">
        <x:v>687</x:v>
      </x:c>
      <x:c r="G2720" s="34" t="str">
        <x:v>RECORDED</x:v>
      </x:c>
      <x:c r="H2720" s="38" t="n">
        <x:f>IF(ISNUMBER('Data'!H1012),'Data'!H1012*100,"")</x:f>
        <x:v>51.53</x:v>
      </x:c>
      <x:c r="I2720" s="34" t="str">
        <x:v>PASS</x:v>
      </x:c>
      <x:c r="J2720" s="34" t="str">
        <x:v>PASS</x:v>
      </x:c>
      <x:c r="K2720" s="34" t="str">
        <x:v>PASS</x:v>
      </x:c>
      <x:c r="L2720" s="34" t="str">
        <x:v>FAIL</x:v>
      </x:c>
      <x:c r="M2720" s="34" t="str">
        <x:v>numeric coverage for applicable metric</x:v>
      </x:c>
      <x:c r="N2720" s="34" t="str">
        <x:v>Feedback-Directed Random Test Generation/Result_Round2/Closure_94/result.json</x:v>
      </x:c>
      <x:c r="O2720" s="38" t="n">
        <x:f>IF(AND(G2720="RECORDED",ISNUMBER(H2720)),H2720,"")</x:f>
        <x:v>51.53</x:v>
      </x:c>
      <x:c r="P2720" s="34" t="str">
        <x:v>INCONCLUSIVE</x:v>
      </x:c>
      <x:c r="Q2720" s="34" t="str">
        <x:v>Feedback-Directed Random Test Generation/Result_Round2/Closure_94/result.json</x:v>
      </x:c>
    </x:row>
    <x:row r="2721">
      <x:c r="A2721" s="34" t="str">
        <x:v>randoop</x:v>
      </x:c>
      <x:c r="B2721" s="34" t="str">
        <x:v>Closure</x:v>
      </x:c>
      <x:c r="C2721" s="34" t="str">
        <x:v>Round2</x:v>
      </x:c>
      <x:c r="D2721" s="34" t="str">
        <x:v>Closure_95</x:v>
      </x:c>
      <x:c r="E2721" s="34" t="str">
        <x:v>Line</x:v>
      </x:c>
      <x:c r="F2721" s="34" t="n">
        <x:v>663</x:v>
      </x:c>
      <x:c r="G2721" s="34" t="str">
        <x:v>RECORDED</x:v>
      </x:c>
      <x:c r="H2721" s="38" t="n">
        <x:f>IF(ISNUMBER('Data'!H1013),'Data'!H1013*100,"")</x:f>
        <x:v>1.66</x:v>
      </x:c>
      <x:c r="I2721" s="34" t="str">
        <x:v>PASS</x:v>
      </x:c>
      <x:c r="J2721" s="34" t="str">
        <x:v>PASS</x:v>
      </x:c>
      <x:c r="K2721" s="34" t="str">
        <x:v>PASS</x:v>
      </x:c>
      <x:c r="L2721" s="34" t="str">
        <x:v>PASS</x:v>
      </x:c>
      <x:c r="M2721" s="34" t="str">
        <x:v>numeric coverage for applicable metric</x:v>
      </x:c>
      <x:c r="N2721" s="34" t="str">
        <x:v>Feedback-Directed Random Test Generation/Result_Round2/Closure_95/result.json</x:v>
      </x:c>
      <x:c r="O2721" s="38" t="n">
        <x:f>IF(AND(G2721="RECORDED",ISNUMBER(H2721)),H2721,"")</x:f>
        <x:v>1.66</x:v>
      </x:c>
      <x:c r="P2721" s="34" t="str">
        <x:v>NOT_REVEALING</x:v>
      </x:c>
      <x:c r="Q2721" s="34" t="str">
        <x:v>Feedback-Directed Random Test Generation/Result_Round2/Closure_95/result.json</x:v>
      </x:c>
    </x:row>
    <x:row r="2722">
      <x:c r="A2722" s="34" t="str">
        <x:v>randoop</x:v>
      </x:c>
      <x:c r="B2722" s="34" t="str">
        <x:v>Closure</x:v>
      </x:c>
      <x:c r="C2722" s="34" t="str">
        <x:v>Round2</x:v>
      </x:c>
      <x:c r="D2722" s="34" t="str">
        <x:v>Closure_96</x:v>
      </x:c>
      <x:c r="E2722" s="34" t="str">
        <x:v>Line</x:v>
      </x:c>
      <x:c r="F2722" s="34" t="n">
        <x:v>682</x:v>
      </x:c>
      <x:c r="G2722" s="34" t="str">
        <x:v>RECORDED</x:v>
      </x:c>
      <x:c r="H2722" s="38" t="n">
        <x:f>IF(ISNUMBER('Data'!H1014),'Data'!H1014*100,"")</x:f>
        <x:v>9.53</x:v>
      </x:c>
      <x:c r="I2722" s="34" t="str">
        <x:v>PASS</x:v>
      </x:c>
      <x:c r="J2722" s="34" t="str">
        <x:v>PASS</x:v>
      </x:c>
      <x:c r="K2722" s="34" t="str">
        <x:v>PASS</x:v>
      </x:c>
      <x:c r="L2722" s="34" t="str">
        <x:v>PASS</x:v>
      </x:c>
      <x:c r="M2722" s="34" t="str">
        <x:v>numeric coverage for applicable metric</x:v>
      </x:c>
      <x:c r="N2722" s="34" t="str">
        <x:v>Feedback-Directed Random Test Generation/Result_Round2/Closure_96/result.json</x:v>
      </x:c>
      <x:c r="O2722" s="38" t="n">
        <x:f>IF(AND(G2722="RECORDED",ISNUMBER(H2722)),H2722,"")</x:f>
        <x:v>9.53</x:v>
      </x:c>
      <x:c r="P2722" s="34" t="str">
        <x:v>NOT_REVEALING</x:v>
      </x:c>
      <x:c r="Q2722" s="34" t="str">
        <x:v>Feedback-Directed Random Test Generation/Result_Round2/Closure_96/result.json</x:v>
      </x:c>
    </x:row>
    <x:row r="2723">
      <x:c r="A2723" s="34" t="str">
        <x:v>randoop</x:v>
      </x:c>
      <x:c r="B2723" s="34" t="str">
        <x:v>Closure</x:v>
      </x:c>
      <x:c r="C2723" s="34" t="str">
        <x:v>Round2</x:v>
      </x:c>
      <x:c r="D2723" s="34" t="str">
        <x:v>Closure_97</x:v>
      </x:c>
      <x:c r="E2723" s="34" t="str">
        <x:v>Line</x:v>
      </x:c>
      <x:c r="F2723" s="34" t="n">
        <x:v>555</x:v>
      </x:c>
      <x:c r="G2723" s="34" t="str">
        <x:v>RECORDED</x:v>
      </x:c>
      <x:c r="H2723" s="38" t="n">
        <x:f>IF(ISNUMBER('Data'!H1015),'Data'!H1015*100,"")</x:f>
        <x:v>2.52</x:v>
      </x:c>
      <x:c r="I2723" s="34" t="str">
        <x:v>PASS</x:v>
      </x:c>
      <x:c r="J2723" s="34" t="str">
        <x:v>PASS</x:v>
      </x:c>
      <x:c r="K2723" s="34" t="str">
        <x:v>PASS</x:v>
      </x:c>
      <x:c r="L2723" s="34" t="str">
        <x:v>PASS</x:v>
      </x:c>
      <x:c r="M2723" s="34" t="str">
        <x:v>numeric coverage for applicable metric</x:v>
      </x:c>
      <x:c r="N2723" s="34" t="str">
        <x:v>Feedback-Directed Random Test Generation/Result_Round2/Closure_97/result.json</x:v>
      </x:c>
      <x:c r="O2723" s="38" t="n">
        <x:f>IF(AND(G2723="RECORDED",ISNUMBER(H2723)),H2723,"")</x:f>
        <x:v>2.52</x:v>
      </x:c>
      <x:c r="P2723" s="34" t="str">
        <x:v>NOT_REVEALING</x:v>
      </x:c>
      <x:c r="Q2723" s="34" t="str">
        <x:v>Feedback-Directed Random Test Generation/Result_Round2/Closure_97/result.json</x:v>
      </x:c>
    </x:row>
    <x:row r="2724">
      <x:c r="A2724" s="34" t="str">
        <x:v>randoop</x:v>
      </x:c>
      <x:c r="B2724" s="34" t="str">
        <x:v>Closure</x:v>
      </x:c>
      <x:c r="C2724" s="34" t="str">
        <x:v>Round2</x:v>
      </x:c>
      <x:c r="D2724" s="34" t="str">
        <x:v>Closure_98</x:v>
      </x:c>
      <x:c r="E2724" s="34" t="str">
        <x:v>Line</x:v>
      </x:c>
      <x:c r="F2724" s="34" t="n">
        <x:v>168</x:v>
      </x:c>
      <x:c r="G2724" s="34" t="str">
        <x:v>RECORDED</x:v>
      </x:c>
      <x:c r="H2724" s="38" t="n">
        <x:f>IF(ISNUMBER('Data'!H1016),'Data'!H1016*100,"")</x:f>
        <x:v>38.69</x:v>
      </x:c>
      <x:c r="I2724" s="34" t="str">
        <x:v>PASS</x:v>
      </x:c>
      <x:c r="J2724" s="34" t="str">
        <x:v>PASS</x:v>
      </x:c>
      <x:c r="K2724" s="34" t="str">
        <x:v>PASS</x:v>
      </x:c>
      <x:c r="L2724" s="34" t="str">
        <x:v>PASS</x:v>
      </x:c>
      <x:c r="M2724" s="34" t="str">
        <x:v>numeric coverage for applicable metric</x:v>
      </x:c>
      <x:c r="N2724" s="34" t="str">
        <x:v>Feedback-Directed Random Test Generation/Result_Round2/Closure_98/result.json</x:v>
      </x:c>
      <x:c r="O2724" s="38" t="n">
        <x:f>IF(AND(G2724="RECORDED",ISNUMBER(H2724)),H2724,"")</x:f>
        <x:v>38.69</x:v>
      </x:c>
      <x:c r="P2724" s="34" t="str">
        <x:v>NOT_REVEALING</x:v>
      </x:c>
      <x:c r="Q2724" s="34" t="str">
        <x:v>Feedback-Directed Random Test Generation/Result_Round2/Closure_98/result.json</x:v>
      </x:c>
    </x:row>
    <x:row r="2725">
      <x:c r="A2725" s="34" t="str">
        <x:v>randoop</x:v>
      </x:c>
      <x:c r="B2725" s="34" t="str">
        <x:v>Closure</x:v>
      </x:c>
      <x:c r="C2725" s="34" t="str">
        <x:v>Round2</x:v>
      </x:c>
      <x:c r="D2725" s="34" t="str">
        <x:v>Closure_99</x:v>
      </x:c>
      <x:c r="E2725" s="34" t="str">
        <x:v>Line</x:v>
      </x:c>
      <x:c r="F2725" s="34" t="n">
        <x:v>47</x:v>
      </x:c>
      <x:c r="G2725" s="34" t="str">
        <x:v>RECORDED</x:v>
      </x:c>
      <x:c r="H2725" s="38" t="n">
        <x:f>IF(ISNUMBER('Data'!H1017),'Data'!H1017*100,"")</x:f>
        <x:v>17.02</x:v>
      </x:c>
      <x:c r="I2725" s="34" t="str">
        <x:v>PASS</x:v>
      </x:c>
      <x:c r="J2725" s="34" t="str">
        <x:v>PASS</x:v>
      </x:c>
      <x:c r="K2725" s="34" t="str">
        <x:v>PASS</x:v>
      </x:c>
      <x:c r="L2725" s="34" t="str">
        <x:v>PASS</x:v>
      </x:c>
      <x:c r="M2725" s="34" t="str">
        <x:v>numeric coverage for applicable metric</x:v>
      </x:c>
      <x:c r="N2725" s="34" t="str">
        <x:v>Feedback-Directed Random Test Generation/Result_Round2/Closure_99/result.json</x:v>
      </x:c>
      <x:c r="O2725" s="38" t="n">
        <x:f>IF(AND(G2725="RECORDED",ISNUMBER(H2725)),H2725,"")</x:f>
        <x:v>17.02</x:v>
      </x:c>
      <x:c r="P2725" s="34" t="str">
        <x:v>NOT_REVEALING</x:v>
      </x:c>
      <x:c r="Q2725" s="34" t="str">
        <x:v>Feedback-Directed Random Test Generation/Result_Round2/Closure_99/result.json</x:v>
      </x:c>
    </x:row>
    <x:row r="2726">
      <x:c r="A2726" s="34" t="str">
        <x:v>randoop</x:v>
      </x:c>
      <x:c r="B2726" s="34" t="str">
        <x:v>Closure</x:v>
      </x:c>
      <x:c r="C2726" s="34" t="str">
        <x:v>Round2</x:v>
      </x:c>
      <x:c r="D2726" s="34" t="str">
        <x:v>Closure_100</x:v>
      </x:c>
      <x:c r="E2726" s="34" t="str">
        <x:v>Line</x:v>
      </x:c>
      <x:c r="F2726" s="34" t="n">
        <x:v>42</x:v>
      </x:c>
      <x:c r="G2726" s="34" t="str">
        <x:v>RECORDED</x:v>
      </x:c>
      <x:c r="H2726" s="38" t="n">
        <x:f>IF(ISNUMBER('Data'!H1018),'Data'!H1018*100,"")</x:f>
        <x:v>19.05</x:v>
      </x:c>
      <x:c r="I2726" s="34" t="str">
        <x:v>PASS</x:v>
      </x:c>
      <x:c r="J2726" s="34" t="str">
        <x:v>PASS</x:v>
      </x:c>
      <x:c r="K2726" s="34" t="str">
        <x:v>PASS</x:v>
      </x:c>
      <x:c r="L2726" s="34" t="str">
        <x:v>PASS</x:v>
      </x:c>
      <x:c r="M2726" s="34" t="str">
        <x:v>numeric coverage for applicable metric</x:v>
      </x:c>
      <x:c r="N2726" s="34" t="str">
        <x:v>Feedback-Directed Random Test Generation/Result_Round2/Closure_100/result.json</x:v>
      </x:c>
      <x:c r="O2726" s="38" t="n">
        <x:f>IF(AND(G2726="RECORDED",ISNUMBER(H2726)),H2726,"")</x:f>
        <x:v>19.05</x:v>
      </x:c>
      <x:c r="P2726" s="34" t="str">
        <x:v>NOT_REVEALING</x:v>
      </x:c>
      <x:c r="Q2726" s="34" t="str">
        <x:v>Feedback-Directed Random Test Generation/Result_Round2/Closure_100/result.json</x:v>
      </x:c>
    </x:row>
    <x:row r="2727">
      <x:c r="A2727" s="34" t="str">
        <x:v>randoop</x:v>
      </x:c>
      <x:c r="B2727" s="34" t="str">
        <x:v>Closure</x:v>
      </x:c>
      <x:c r="C2727" s="34" t="str">
        <x:v>Round2</x:v>
      </x:c>
      <x:c r="D2727" s="34" t="str">
        <x:v>Closure_101</x:v>
      </x:c>
      <x:c r="E2727" s="34" t="str">
        <x:v>Line</x:v>
      </x:c>
      <x:c r="F2727" s="34" t="n">
        <x:v>0</x:v>
      </x:c>
      <x:c r="G2727" s="34" t="str">
        <x:v>A</x:v>
      </x:c>
      <x:c r="H2727" s="38" t="str">
        <x:f>IF(ISNUMBER('Data'!H1019),'Data'!H1019*100,"")</x:f>
      </x:c>
      <x:c r="I2727" s="34"/>
      <x:c r="J2727" s="34"/>
      <x:c r="K2727" s="34"/>
      <x:c r="L2727" s="34" t="str">
        <x:v>NOT_RUN</x:v>
      </x:c>
      <x:c r="M2727" s="34" t="str">
        <x:v>Latest same-round generation failed; older files/results are excluded</x:v>
      </x:c>
      <x:c r="N2727" s="34" t="str">
        <x:v>Feedback-Directed Random Test Generation/report_Round2.csv</x:v>
      </x:c>
      <x:c r="O2727" s="38" t="str">
        <x:f>IF(AND(G2727="RECORDED",ISNUMBER(H2727)),H2727,"")</x:f>
      </x:c>
      <x:c r="P2727" s="34" t="str">
        <x:v>FAIL</x:v>
      </x:c>
      <x:c r="Q2727" s="34"/>
    </x:row>
    <x:row r="2728">
      <x:c r="A2728" s="34" t="str">
        <x:v>randoop</x:v>
      </x:c>
      <x:c r="B2728" s="34" t="str">
        <x:v>Closure</x:v>
      </x:c>
      <x:c r="C2728" s="34" t="str">
        <x:v>Round2</x:v>
      </x:c>
      <x:c r="D2728" s="34" t="str">
        <x:v>Closure_102</x:v>
      </x:c>
      <x:c r="E2728" s="34" t="str">
        <x:v>Line</x:v>
      </x:c>
      <x:c r="F2728" s="34" t="n">
        <x:v>186</x:v>
      </x:c>
      <x:c r="G2728" s="34" t="str">
        <x:v>RECORDED</x:v>
      </x:c>
      <x:c r="H2728" s="38" t="n">
        <x:f>IF(ISNUMBER('Data'!H1020),'Data'!H1020*100,"")</x:f>
        <x:v>11.29</x:v>
      </x:c>
      <x:c r="I2728" s="34" t="str">
        <x:v>PASS</x:v>
      </x:c>
      <x:c r="J2728" s="34" t="str">
        <x:v>PASS</x:v>
      </x:c>
      <x:c r="K2728" s="34" t="str">
        <x:v>PASS</x:v>
      </x:c>
      <x:c r="L2728" s="34" t="str">
        <x:v>PASS</x:v>
      </x:c>
      <x:c r="M2728" s="34" t="str">
        <x:v>numeric coverage for applicable metric</x:v>
      </x:c>
      <x:c r="N2728" s="34" t="str">
        <x:v>Feedback-Directed Random Test Generation/Result_Round2/Closure_102/result.json</x:v>
      </x:c>
      <x:c r="O2728" s="38" t="n">
        <x:f>IF(AND(G2728="RECORDED",ISNUMBER(H2728)),H2728,"")</x:f>
        <x:v>11.29</x:v>
      </x:c>
      <x:c r="P2728" s="34" t="str">
        <x:v>NOT_REVEALING</x:v>
      </x:c>
      <x:c r="Q2728" s="34" t="str">
        <x:v>Feedback-Directed Random Test Generation/Result_Round2/Closure_102/result.json</x:v>
      </x:c>
    </x:row>
    <x:row r="2729">
      <x:c r="A2729" s="34" t="str">
        <x:v>randoop</x:v>
      </x:c>
      <x:c r="B2729" s="34" t="str">
        <x:v>Closure</x:v>
      </x:c>
      <x:c r="C2729" s="34" t="str">
        <x:v>Round2</x:v>
      </x:c>
      <x:c r="D2729" s="34" t="str">
        <x:v>Closure_103</x:v>
      </x:c>
      <x:c r="E2729" s="34" t="str">
        <x:v>Line</x:v>
      </x:c>
      <x:c r="F2729" s="34" t="n">
        <x:v>760</x:v>
      </x:c>
      <x:c r="G2729" s="34" t="str">
        <x:v>RECORDED</x:v>
      </x:c>
      <x:c r="H2729" s="38" t="n">
        <x:f>IF(ISNUMBER('Data'!H1021),'Data'!H1021*100,"")</x:f>
        <x:v>3.55</x:v>
      </x:c>
      <x:c r="I2729" s="34" t="str">
        <x:v>PASS</x:v>
      </x:c>
      <x:c r="J2729" s="34" t="str">
        <x:v>PASS</x:v>
      </x:c>
      <x:c r="K2729" s="34" t="str">
        <x:v>PASS</x:v>
      </x:c>
      <x:c r="L2729" s="34" t="str">
        <x:v>PASS</x:v>
      </x:c>
      <x:c r="M2729" s="34" t="str">
        <x:v>numeric coverage for applicable metric</x:v>
      </x:c>
      <x:c r="N2729" s="34" t="str">
        <x:v>Feedback-Directed Random Test Generation/Result_Round2/Closure_103/result.json</x:v>
      </x:c>
      <x:c r="O2729" s="38" t="n">
        <x:f>IF(AND(G2729="RECORDED",ISNUMBER(H2729)),H2729,"")</x:f>
        <x:v>3.55</x:v>
      </x:c>
      <x:c r="P2729" s="34" t="str">
        <x:v>NOT_REVEALING</x:v>
      </x:c>
      <x:c r="Q2729" s="34" t="str">
        <x:v>Feedback-Directed Random Test Generation/Result_Round2/Closure_103/result.json</x:v>
      </x:c>
    </x:row>
    <x:row r="2730">
      <x:c r="A2730" s="34" t="str">
        <x:v>randoop</x:v>
      </x:c>
      <x:c r="B2730" s="34" t="str">
        <x:v>Closure</x:v>
      </x:c>
      <x:c r="C2730" s="34" t="str">
        <x:v>Round2</x:v>
      </x:c>
      <x:c r="D2730" s="34" t="str">
        <x:v>Closure_104</x:v>
      </x:c>
      <x:c r="E2730" s="34" t="str">
        <x:v>Line</x:v>
      </x:c>
      <x:c r="F2730" s="34" t="n">
        <x:v>192</x:v>
      </x:c>
      <x:c r="G2730" s="34" t="str">
        <x:v>RECORDED</x:v>
      </x:c>
      <x:c r="H2730" s="38" t="n">
        <x:f>IF(ISNUMBER('Data'!H1022),'Data'!H1022*100,"")</x:f>
        <x:v>65.62</x:v>
      </x:c>
      <x:c r="I2730" s="34" t="str">
        <x:v>PASS</x:v>
      </x:c>
      <x:c r="J2730" s="34" t="str">
        <x:v>PASS</x:v>
      </x:c>
      <x:c r="K2730" s="34" t="str">
        <x:v>PASS</x:v>
      </x:c>
      <x:c r="L2730" s="34" t="str">
        <x:v>PASS</x:v>
      </x:c>
      <x:c r="M2730" s="34" t="str">
        <x:v>numeric coverage for applicable metric</x:v>
      </x:c>
      <x:c r="N2730" s="34" t="str">
        <x:v>Feedback-Directed Random Test Generation/Result_Round2/Closure_104/result.json</x:v>
      </x:c>
      <x:c r="O2730" s="38" t="n">
        <x:f>IF(AND(G2730="RECORDED",ISNUMBER(H2730)),H2730,"")</x:f>
        <x:v>65.62</x:v>
      </x:c>
      <x:c r="P2730" s="34" t="str">
        <x:v>NOT_REVEALING</x:v>
      </x:c>
      <x:c r="Q2730" s="34" t="str">
        <x:v>Feedback-Directed Random Test Generation/Result_Round2/Closure_104/result.json</x:v>
      </x:c>
    </x:row>
    <x:row r="2731">
      <x:c r="A2731" s="34" t="str">
        <x:v>randoop</x:v>
      </x:c>
      <x:c r="B2731" s="34" t="str">
        <x:v>Closure</x:v>
      </x:c>
      <x:c r="C2731" s="34" t="str">
        <x:v>Round2</x:v>
      </x:c>
      <x:c r="D2731" s="34" t="str">
        <x:v>Closure_105</x:v>
      </x:c>
      <x:c r="E2731" s="34" t="str">
        <x:v>Line</x:v>
      </x:c>
      <x:c r="F2731" s="34" t="n">
        <x:v>993</x:v>
      </x:c>
      <x:c r="G2731" s="34" t="str">
        <x:v>RECORDED</x:v>
      </x:c>
      <x:c r="H2731" s="38" t="n">
        <x:f>IF(ISNUMBER('Data'!H1023),'Data'!H1023*100,"")</x:f>
        <x:v>1.6099999999999999</x:v>
      </x:c>
      <x:c r="I2731" s="34" t="str">
        <x:v>PASS</x:v>
      </x:c>
      <x:c r="J2731" s="34" t="str">
        <x:v>PASS</x:v>
      </x:c>
      <x:c r="K2731" s="34" t="str">
        <x:v>PASS</x:v>
      </x:c>
      <x:c r="L2731" s="34" t="str">
        <x:v>PASS</x:v>
      </x:c>
      <x:c r="M2731" s="34" t="str">
        <x:v>numeric coverage for applicable metric</x:v>
      </x:c>
      <x:c r="N2731" s="34" t="str">
        <x:v>Feedback-Directed Random Test Generation/Result_Round2/Closure_105/result.json</x:v>
      </x:c>
      <x:c r="O2731" s="38" t="n">
        <x:f>IF(AND(G2731="RECORDED",ISNUMBER(H2731)),H2731,"")</x:f>
        <x:v>1.6099999999999999</x:v>
      </x:c>
      <x:c r="P2731" s="34" t="str">
        <x:v>NOT_REVEALING</x:v>
      </x:c>
      <x:c r="Q2731" s="34" t="str">
        <x:v>Feedback-Directed Random Test Generation/Result_Round2/Closure_105/result.json</x:v>
      </x:c>
    </x:row>
    <x:row r="2732">
      <x:c r="A2732" s="34" t="str">
        <x:v>randoop</x:v>
      </x:c>
      <x:c r="B2732" s="34" t="str">
        <x:v>Closure</x:v>
      </x:c>
      <x:c r="C2732" s="34" t="str">
        <x:v>Round2</x:v>
      </x:c>
      <x:c r="D2732" s="34" t="str">
        <x:v>Closure_106</x:v>
      </x:c>
      <x:c r="E2732" s="34" t="str">
        <x:v>Line</x:v>
      </x:c>
      <x:c r="F2732" s="34" t="n">
        <x:v>628</x:v>
      </x:c>
      <x:c r="G2732" s="34" t="str">
        <x:v>RECORDED</x:v>
      </x:c>
      <x:c r="H2732" s="38" t="n">
        <x:f>IF(ISNUMBER('Data'!H1024),'Data'!H1024*100,"")</x:f>
        <x:v>46.82</x:v>
      </x:c>
      <x:c r="I2732" s="34" t="str">
        <x:v>PASS</x:v>
      </x:c>
      <x:c r="J2732" s="34" t="str">
        <x:v>PASS</x:v>
      </x:c>
      <x:c r="K2732" s="34" t="str">
        <x:v>PASS</x:v>
      </x:c>
      <x:c r="L2732" s="34" t="str">
        <x:v>PASS</x:v>
      </x:c>
      <x:c r="M2732" s="34" t="str">
        <x:v>numeric coverage for applicable metric</x:v>
      </x:c>
      <x:c r="N2732" s="34" t="str">
        <x:v>Feedback-Directed Random Test Generation/Result_Round2/Closure_106/result.json</x:v>
      </x:c>
      <x:c r="O2732" s="38" t="n">
        <x:f>IF(AND(G2732="RECORDED",ISNUMBER(H2732)),H2732,"")</x:f>
        <x:v>46.82</x:v>
      </x:c>
      <x:c r="P2732" s="34" t="str">
        <x:v>INCONCLUSIVE</x:v>
      </x:c>
      <x:c r="Q2732" s="34" t="str">
        <x:v>Feedback-Directed Random Test Generation/Result_Round2/Closure_106/result.json</x:v>
      </x:c>
    </x:row>
    <x:row r="2733">
      <x:c r="A2733" s="34" t="str">
        <x:v>randoop</x:v>
      </x:c>
      <x:c r="B2733" s="34" t="str">
        <x:v>Closure</x:v>
      </x:c>
      <x:c r="C2733" s="34" t="str">
        <x:v>Round2</x:v>
      </x:c>
      <x:c r="D2733" s="34" t="str">
        <x:v>Closure_107</x:v>
      </x:c>
      <x:c r="E2733" s="34" t="str">
        <x:v>Line</x:v>
      </x:c>
      <x:c r="F2733" s="34" t="n">
        <x:v>0</x:v>
      </x:c>
      <x:c r="G2733" s="34" t="str">
        <x:v>A</x:v>
      </x:c>
      <x:c r="H2733" s="38" t="str">
        <x:f>IF(ISNUMBER('Data'!H1025),'Data'!H1025*100,"")</x:f>
      </x:c>
      <x:c r="I2733" s="34"/>
      <x:c r="J2733" s="34"/>
      <x:c r="K2733" s="34"/>
      <x:c r="L2733" s="34" t="str">
        <x:v>NOT_RUN</x:v>
      </x:c>
      <x:c r="M2733" s="34" t="str">
        <x:v>Latest same-round generation failed; older files/results are excluded</x:v>
      </x:c>
      <x:c r="N2733" s="34" t="str">
        <x:v>Feedback-Directed Random Test Generation/report_Round2.csv</x:v>
      </x:c>
      <x:c r="O2733" s="38" t="str">
        <x:f>IF(AND(G2733="RECORDED",ISNUMBER(H2733)),H2733,"")</x:f>
      </x:c>
      <x:c r="P2733" s="34" t="str">
        <x:v>FAIL</x:v>
      </x:c>
      <x:c r="Q2733" s="34"/>
    </x:row>
    <x:row r="2734">
      <x:c r="A2734" s="34" t="str">
        <x:v>randoop</x:v>
      </x:c>
      <x:c r="B2734" s="34" t="str">
        <x:v>Closure</x:v>
      </x:c>
      <x:c r="C2734" s="34" t="str">
        <x:v>Round2</x:v>
      </x:c>
      <x:c r="D2734" s="34" t="str">
        <x:v>Closure_108</x:v>
      </x:c>
      <x:c r="E2734" s="34" t="str">
        <x:v>Line</x:v>
      </x:c>
      <x:c r="F2734" s="34" t="n">
        <x:v>269</x:v>
      </x:c>
      <x:c r="G2734" s="34" t="str">
        <x:v>RECORDED</x:v>
      </x:c>
      <x:c r="H2734" s="38" t="n">
        <x:f>IF(ISNUMBER('Data'!H1026),'Data'!H1026*100,"")</x:f>
        <x:v>10.04</x:v>
      </x:c>
      <x:c r="I2734" s="34" t="str">
        <x:v>PASS</x:v>
      </x:c>
      <x:c r="J2734" s="34" t="str">
        <x:v>PASS</x:v>
      </x:c>
      <x:c r="K2734" s="34" t="str">
        <x:v>PASS</x:v>
      </x:c>
      <x:c r="L2734" s="34" t="str">
        <x:v>PASS</x:v>
      </x:c>
      <x:c r="M2734" s="34" t="str">
        <x:v>numeric coverage for applicable metric</x:v>
      </x:c>
      <x:c r="N2734" s="34" t="str">
        <x:v>Feedback-Directed Random Test Generation/Result_Round2/Closure_108/result.json</x:v>
      </x:c>
      <x:c r="O2734" s="38" t="n">
        <x:f>IF(AND(G2734="RECORDED",ISNUMBER(H2734)),H2734,"")</x:f>
        <x:v>10.04</x:v>
      </x:c>
      <x:c r="P2734" s="34" t="str">
        <x:v>NOT_REVEALING</x:v>
      </x:c>
      <x:c r="Q2734" s="34" t="str">
        <x:v>Feedback-Directed Random Test Generation/Result_Round2/Closure_108/result.json</x:v>
      </x:c>
    </x:row>
    <x:row r="2735">
      <x:c r="A2735" s="34" t="str">
        <x:v>randoop</x:v>
      </x:c>
      <x:c r="B2735" s="34" t="str">
        <x:v>Closure</x:v>
      </x:c>
      <x:c r="C2735" s="34" t="str">
        <x:v>Round2</x:v>
      </x:c>
      <x:c r="D2735" s="34" t="str">
        <x:v>Closure_109</x:v>
      </x:c>
      <x:c r="E2735" s="34" t="str">
        <x:v>Line</x:v>
      </x:c>
      <x:c r="F2735" s="34" t="n">
        <x:v>1146</x:v>
      </x:c>
      <x:c r="G2735" s="34" t="str">
        <x:v>RECORDED</x:v>
      </x:c>
      <x:c r="H2735" s="38" t="n">
        <x:f>IF(ISNUMBER('Data'!H1027),'Data'!H1027*100,"")</x:f>
        <x:v>7.77</x:v>
      </x:c>
      <x:c r="I2735" s="34" t="str">
        <x:v>PASS</x:v>
      </x:c>
      <x:c r="J2735" s="34" t="str">
        <x:v>PASS</x:v>
      </x:c>
      <x:c r="K2735" s="34" t="str">
        <x:v>PASS</x:v>
      </x:c>
      <x:c r="L2735" s="34" t="str">
        <x:v>PASS</x:v>
      </x:c>
      <x:c r="M2735" s="34" t="str">
        <x:v>numeric coverage for applicable metric</x:v>
      </x:c>
      <x:c r="N2735" s="34" t="str">
        <x:v>Feedback-Directed Random Test Generation/Result_Round2/Closure_109/result.json</x:v>
      </x:c>
      <x:c r="O2735" s="38" t="n">
        <x:f>IF(AND(G2735="RECORDED",ISNUMBER(H2735)),H2735,"")</x:f>
        <x:v>7.77</x:v>
      </x:c>
      <x:c r="P2735" s="34" t="str">
        <x:v>NOT_REVEALING</x:v>
      </x:c>
      <x:c r="Q2735" s="34" t="str">
        <x:v>Feedback-Directed Random Test Generation/Result_Round2/Closure_109/result.json</x:v>
      </x:c>
    </x:row>
    <x:row r="2736">
      <x:c r="A2736" s="34" t="str">
        <x:v>randoop</x:v>
      </x:c>
      <x:c r="B2736" s="34" t="str">
        <x:v>Closure</x:v>
      </x:c>
      <x:c r="C2736" s="34" t="str">
        <x:v>Round2</x:v>
      </x:c>
      <x:c r="D2736" s="34" t="str">
        <x:v>Closure_110</x:v>
      </x:c>
      <x:c r="E2736" s="34" t="str">
        <x:v>Line</x:v>
      </x:c>
      <x:c r="F2736" s="34" t="n">
        <x:v>1121</x:v>
      </x:c>
      <x:c r="G2736" s="34" t="str">
        <x:v>RECORDED</x:v>
      </x:c>
      <x:c r="H2736" s="38" t="n">
        <x:f>IF(ISNUMBER('Data'!H1028),'Data'!H1028*100,"")</x:f>
        <x:v>63.690000000000005</x:v>
      </x:c>
      <x:c r="I2736" s="34" t="str">
        <x:v>PASS</x:v>
      </x:c>
      <x:c r="J2736" s="34" t="str">
        <x:v>PASS</x:v>
      </x:c>
      <x:c r="K2736" s="34" t="str">
        <x:v>PASS</x:v>
      </x:c>
      <x:c r="L2736" s="34" t="str">
        <x:v>FAIL</x:v>
      </x:c>
      <x:c r="M2736" s="34" t="str">
        <x:v>numeric coverage for applicable metric</x:v>
      </x:c>
      <x:c r="N2736" s="34" t="str">
        <x:v>Feedback-Directed Random Test Generation/Result_Round2/Closure_110/result.json</x:v>
      </x:c>
      <x:c r="O2736" s="38" t="n">
        <x:f>IF(AND(G2736="RECORDED",ISNUMBER(H2736)),H2736,"")</x:f>
        <x:v>63.690000000000005</x:v>
      </x:c>
      <x:c r="P2736" s="34" t="str">
        <x:v>INCONCLUSIVE</x:v>
      </x:c>
      <x:c r="Q2736" s="34" t="str">
        <x:v>Feedback-Directed Random Test Generation/Result_Round2/Closure_110/result.json</x:v>
      </x:c>
    </x:row>
    <x:row r="2737">
      <x:c r="A2737" s="34" t="str">
        <x:v>randoop</x:v>
      </x:c>
      <x:c r="B2737" s="34" t="str">
        <x:v>Closure</x:v>
      </x:c>
      <x:c r="C2737" s="34" t="str">
        <x:v>Round2</x:v>
      </x:c>
      <x:c r="D2737" s="34" t="str">
        <x:v>Closure_111</x:v>
      </x:c>
      <x:c r="E2737" s="34" t="str">
        <x:v>Line</x:v>
      </x:c>
      <x:c r="F2737" s="34" t="n">
        <x:v>94</x:v>
      </x:c>
      <x:c r="G2737" s="34" t="str">
        <x:v>RECORDED</x:v>
      </x:c>
      <x:c r="H2737" s="38" t="n">
        <x:f>IF(ISNUMBER('Data'!H1029),'Data'!H1029*100,"")</x:f>
        <x:v>1.06</x:v>
      </x:c>
      <x:c r="I2737" s="34" t="str">
        <x:v>PASS</x:v>
      </x:c>
      <x:c r="J2737" s="34" t="str">
        <x:v>PASS</x:v>
      </x:c>
      <x:c r="K2737" s="34" t="str">
        <x:v>PASS</x:v>
      </x:c>
      <x:c r="L2737" s="34" t="str">
        <x:v>PASS</x:v>
      </x:c>
      <x:c r="M2737" s="34" t="str">
        <x:v>numeric coverage for applicable metric</x:v>
      </x:c>
      <x:c r="N2737" s="34" t="str">
        <x:v>Feedback-Directed Random Test Generation/Result_Round2/Closure_111/result.json</x:v>
      </x:c>
      <x:c r="O2737" s="38" t="n">
        <x:f>IF(AND(G2737="RECORDED",ISNUMBER(H2737)),H2737,"")</x:f>
        <x:v>1.06</x:v>
      </x:c>
      <x:c r="P2737" s="34" t="str">
        <x:v>NOT_REVEALING</x:v>
      </x:c>
      <x:c r="Q2737" s="34" t="str">
        <x:v>Feedback-Directed Random Test Generation/Result_Round2/Closure_111/result.json</x:v>
      </x:c>
    </x:row>
    <x:row r="2738">
      <x:c r="A2738" s="34" t="str">
        <x:v>randoop</x:v>
      </x:c>
      <x:c r="B2738" s="34" t="str">
        <x:v>Closure</x:v>
      </x:c>
      <x:c r="C2738" s="34" t="str">
        <x:v>Round2</x:v>
      </x:c>
      <x:c r="D2738" s="34" t="str">
        <x:v>Closure_112</x:v>
      </x:c>
      <x:c r="E2738" s="34" t="str">
        <x:v>Line</x:v>
      </x:c>
      <x:c r="F2738" s="34" t="n">
        <x:v>713</x:v>
      </x:c>
      <x:c r="G2738" s="34" t="str">
        <x:v>RECORDED</x:v>
      </x:c>
      <x:c r="H2738" s="38" t="n">
        <x:f>IF(ISNUMBER('Data'!H1030),'Data'!H1030*100,"")</x:f>
        <x:v>0.56</x:v>
      </x:c>
      <x:c r="I2738" s="34" t="str">
        <x:v>PASS</x:v>
      </x:c>
      <x:c r="J2738" s="34" t="str">
        <x:v>PASS</x:v>
      </x:c>
      <x:c r="K2738" s="34" t="str">
        <x:v>PASS</x:v>
      </x:c>
      <x:c r="L2738" s="34" t="str">
        <x:v>PASS</x:v>
      </x:c>
      <x:c r="M2738" s="34" t="str">
        <x:v>numeric coverage for applicable metric</x:v>
      </x:c>
      <x:c r="N2738" s="34" t="str">
        <x:v>Feedback-Directed Random Test Generation/Result_Round2/Closure_112/result.json</x:v>
      </x:c>
      <x:c r="O2738" s="38" t="n">
        <x:f>IF(AND(G2738="RECORDED",ISNUMBER(H2738)),H2738,"")</x:f>
        <x:v>0.56</x:v>
      </x:c>
      <x:c r="P2738" s="34" t="str">
        <x:v>NOT_REVEALING</x:v>
      </x:c>
      <x:c r="Q2738" s="34" t="str">
        <x:v>Feedback-Directed Random Test Generation/Result_Round2/Closure_112/result.json</x:v>
      </x:c>
    </x:row>
    <x:row r="2739">
      <x:c r="A2739" s="34" t="str">
        <x:v>randoop</x:v>
      </x:c>
      <x:c r="B2739" s="34" t="str">
        <x:v>Closure</x:v>
      </x:c>
      <x:c r="C2739" s="34" t="str">
        <x:v>Round2</x:v>
      </x:c>
      <x:c r="D2739" s="34" t="str">
        <x:v>Closure_113</x:v>
      </x:c>
      <x:c r="E2739" s="34" t="str">
        <x:v>Line</x:v>
      </x:c>
      <x:c r="F2739" s="34" t="n">
        <x:v>566</x:v>
      </x:c>
      <x:c r="G2739" s="34" t="str">
        <x:v>RECORDED</x:v>
      </x:c>
      <x:c r="H2739" s="38" t="n">
        <x:f>IF(ISNUMBER('Data'!H1031),'Data'!H1031*100,"")</x:f>
        <x:v>4.95</x:v>
      </x:c>
      <x:c r="I2739" s="34" t="str">
        <x:v>PASS</x:v>
      </x:c>
      <x:c r="J2739" s="34" t="str">
        <x:v>PASS</x:v>
      </x:c>
      <x:c r="K2739" s="34" t="str">
        <x:v>PASS</x:v>
      </x:c>
      <x:c r="L2739" s="34" t="str">
        <x:v>PASS</x:v>
      </x:c>
      <x:c r="M2739" s="34" t="str">
        <x:v>numeric coverage for applicable metric</x:v>
      </x:c>
      <x:c r="N2739" s="34" t="str">
        <x:v>Feedback-Directed Random Test Generation/Result_Round2/Closure_113/result.json</x:v>
      </x:c>
      <x:c r="O2739" s="38" t="n">
        <x:f>IF(AND(G2739="RECORDED",ISNUMBER(H2739)),H2739,"")</x:f>
        <x:v>4.95</x:v>
      </x:c>
      <x:c r="P2739" s="34" t="str">
        <x:v>NOT_REVEALING</x:v>
      </x:c>
      <x:c r="Q2739" s="34" t="str">
        <x:v>Feedback-Directed Random Test Generation/Result_Round2/Closure_113/result.json</x:v>
      </x:c>
    </x:row>
    <x:row r="2740">
      <x:c r="A2740" s="34" t="str">
        <x:v>randoop</x:v>
      </x:c>
      <x:c r="B2740" s="34" t="str">
        <x:v>Closure</x:v>
      </x:c>
      <x:c r="C2740" s="34" t="str">
        <x:v>Round2</x:v>
      </x:c>
      <x:c r="D2740" s="34" t="str">
        <x:v>Closure_114</x:v>
      </x:c>
      <x:c r="E2740" s="34" t="str">
        <x:v>Line</x:v>
      </x:c>
      <x:c r="F2740" s="34" t="n">
        <x:v>751</x:v>
      </x:c>
      <x:c r="G2740" s="34" t="str">
        <x:v>RECORDED</x:v>
      </x:c>
      <x:c r="H2740" s="38" t="n">
        <x:f>IF(ISNUMBER('Data'!H1032),'Data'!H1032*100,"")</x:f>
        <x:v>7.59</x:v>
      </x:c>
      <x:c r="I2740" s="34" t="str">
        <x:v>PASS</x:v>
      </x:c>
      <x:c r="J2740" s="34" t="str">
        <x:v>PASS</x:v>
      </x:c>
      <x:c r="K2740" s="34" t="str">
        <x:v>PASS</x:v>
      </x:c>
      <x:c r="L2740" s="34" t="str">
        <x:v>PASS</x:v>
      </x:c>
      <x:c r="M2740" s="34" t="str">
        <x:v>numeric coverage for applicable metric</x:v>
      </x:c>
      <x:c r="N2740" s="34" t="str">
        <x:v>Feedback-Directed Random Test Generation/Result_Round2/Closure_114/result.json</x:v>
      </x:c>
      <x:c r="O2740" s="38" t="n">
        <x:f>IF(AND(G2740="RECORDED",ISNUMBER(H2740)),H2740,"")</x:f>
        <x:v>7.59</x:v>
      </x:c>
      <x:c r="P2740" s="34" t="str">
        <x:v>NOT_REVEALING</x:v>
      </x:c>
      <x:c r="Q2740" s="34" t="str">
        <x:v>Feedback-Directed Random Test Generation/Result_Round2/Closure_114/result.json</x:v>
      </x:c>
    </x:row>
    <x:row r="2741">
      <x:c r="A2741" s="34" t="str">
        <x:v>randoop</x:v>
      </x:c>
      <x:c r="B2741" s="34" t="str">
        <x:v>Closure</x:v>
      </x:c>
      <x:c r="C2741" s="34" t="str">
        <x:v>Round2</x:v>
      </x:c>
      <x:c r="D2741" s="34" t="str">
        <x:v>Closure_115</x:v>
      </x:c>
      <x:c r="E2741" s="34" t="str">
        <x:v>Line</x:v>
      </x:c>
      <x:c r="F2741" s="34" t="n">
        <x:v>311</x:v>
      </x:c>
      <x:c r="G2741" s="34" t="str">
        <x:v>RECORDED</x:v>
      </x:c>
      <x:c r="H2741" s="38" t="n">
        <x:f>IF(ISNUMBER('Data'!H1033),'Data'!H1033*100,"")</x:f>
        <x:v>5.47</x:v>
      </x:c>
      <x:c r="I2741" s="34" t="str">
        <x:v>PASS</x:v>
      </x:c>
      <x:c r="J2741" s="34" t="str">
        <x:v>PASS</x:v>
      </x:c>
      <x:c r="K2741" s="34" t="str">
        <x:v>PASS</x:v>
      </x:c>
      <x:c r="L2741" s="34" t="str">
        <x:v>PASS</x:v>
      </x:c>
      <x:c r="M2741" s="34" t="str">
        <x:v>numeric coverage for applicable metric</x:v>
      </x:c>
      <x:c r="N2741" s="34" t="str">
        <x:v>Feedback-Directed Random Test Generation/Result_Round2/Closure_115/result.json</x:v>
      </x:c>
      <x:c r="O2741" s="38" t="n">
        <x:f>IF(AND(G2741="RECORDED",ISNUMBER(H2741)),H2741,"")</x:f>
        <x:v>5.47</x:v>
      </x:c>
      <x:c r="P2741" s="34" t="str">
        <x:v>NOT_REVEALING</x:v>
      </x:c>
      <x:c r="Q2741" s="34" t="str">
        <x:v>Feedback-Directed Random Test Generation/Result_Round2/Closure_115/result.json</x:v>
      </x:c>
    </x:row>
    <x:row r="2742">
      <x:c r="A2742" s="34" t="str">
        <x:v>randoop</x:v>
      </x:c>
      <x:c r="B2742" s="34" t="str">
        <x:v>Closure</x:v>
      </x:c>
      <x:c r="C2742" s="34" t="str">
        <x:v>Round2</x:v>
      </x:c>
      <x:c r="D2742" s="34" t="str">
        <x:v>Closure_116</x:v>
      </x:c>
      <x:c r="E2742" s="34" t="str">
        <x:v>Line</x:v>
      </x:c>
      <x:c r="F2742" s="34" t="n">
        <x:v>303</x:v>
      </x:c>
      <x:c r="G2742" s="34" t="str">
        <x:v>RECORDED</x:v>
      </x:c>
      <x:c r="H2742" s="38" t="n">
        <x:f>IF(ISNUMBER('Data'!H1034),'Data'!H1034*100,"")</x:f>
        <x:v>5.61</x:v>
      </x:c>
      <x:c r="I2742" s="34" t="str">
        <x:v>PASS</x:v>
      </x:c>
      <x:c r="J2742" s="34" t="str">
        <x:v>PASS</x:v>
      </x:c>
      <x:c r="K2742" s="34" t="str">
        <x:v>PASS</x:v>
      </x:c>
      <x:c r="L2742" s="34" t="str">
        <x:v>PASS</x:v>
      </x:c>
      <x:c r="M2742" s="34" t="str">
        <x:v>numeric coverage for applicable metric</x:v>
      </x:c>
      <x:c r="N2742" s="34" t="str">
        <x:v>Feedback-Directed Random Test Generation/Result_Round2/Closure_116/result.json</x:v>
      </x:c>
      <x:c r="O2742" s="38" t="n">
        <x:f>IF(AND(G2742="RECORDED",ISNUMBER(H2742)),H2742,"")</x:f>
        <x:v>5.61</x:v>
      </x:c>
      <x:c r="P2742" s="34" t="str">
        <x:v>NOT_REVEALING</x:v>
      </x:c>
      <x:c r="Q2742" s="34" t="str">
        <x:v>Feedback-Directed Random Test Generation/Result_Round2/Closure_116/result.json</x:v>
      </x:c>
    </x:row>
    <x:row r="2743">
      <x:c r="A2743" s="34" t="str">
        <x:v>randoop</x:v>
      </x:c>
      <x:c r="B2743" s="34" t="str">
        <x:v>Closure</x:v>
      </x:c>
      <x:c r="C2743" s="34" t="str">
        <x:v>Round2</x:v>
      </x:c>
      <x:c r="D2743" s="34" t="str">
        <x:v>Closure_117</x:v>
      </x:c>
      <x:c r="E2743" s="34" t="str">
        <x:v>Line</x:v>
      </x:c>
      <x:c r="F2743" s="34" t="n">
        <x:v>287</x:v>
      </x:c>
      <x:c r="G2743" s="34" t="str">
        <x:v>RECORDED</x:v>
      </x:c>
      <x:c r="H2743" s="38" t="n">
        <x:f>IF(ISNUMBER('Data'!H1035),'Data'!H1035*100,"")</x:f>
        <x:v>8.36</x:v>
      </x:c>
      <x:c r="I2743" s="34" t="str">
        <x:v>PASS</x:v>
      </x:c>
      <x:c r="J2743" s="34" t="str">
        <x:v>PASS</x:v>
      </x:c>
      <x:c r="K2743" s="34" t="str">
        <x:v>PASS</x:v>
      </x:c>
      <x:c r="L2743" s="34" t="str">
        <x:v>PASS</x:v>
      </x:c>
      <x:c r="M2743" s="34" t="str">
        <x:v>numeric coverage for applicable metric</x:v>
      </x:c>
      <x:c r="N2743" s="34" t="str">
        <x:v>Feedback-Directed Random Test Generation/Result_Round2/Closure_117/result.json</x:v>
      </x:c>
      <x:c r="O2743" s="38" t="n">
        <x:f>IF(AND(G2743="RECORDED",ISNUMBER(H2743)),H2743,"")</x:f>
        <x:v>8.36</x:v>
      </x:c>
      <x:c r="P2743" s="34" t="str">
        <x:v>NOT_REVEALING</x:v>
      </x:c>
      <x:c r="Q2743" s="34" t="str">
        <x:v>Feedback-Directed Random Test Generation/Result_Round2/Closure_117/result.json</x:v>
      </x:c>
    </x:row>
    <x:row r="2744">
      <x:c r="A2744" s="34" t="str">
        <x:v>randoop</x:v>
      </x:c>
      <x:c r="B2744" s="34" t="str">
        <x:v>Closure</x:v>
      </x:c>
      <x:c r="C2744" s="34" t="str">
        <x:v>Round2</x:v>
      </x:c>
      <x:c r="D2744" s="34" t="str">
        <x:v>Closure_118</x:v>
      </x:c>
      <x:c r="E2744" s="34" t="str">
        <x:v>Line</x:v>
      </x:c>
      <x:c r="F2744" s="34" t="n">
        <x:v>462</x:v>
      </x:c>
      <x:c r="G2744" s="34" t="str">
        <x:v>RECORDED</x:v>
      </x:c>
      <x:c r="H2744" s="38" t="n">
        <x:f>IF(ISNUMBER('Data'!H1036),'Data'!H1036*100,"")</x:f>
        <x:v>2.38</x:v>
      </x:c>
      <x:c r="I2744" s="34" t="str">
        <x:v>PASS</x:v>
      </x:c>
      <x:c r="J2744" s="34" t="str">
        <x:v>PASS</x:v>
      </x:c>
      <x:c r="K2744" s="34" t="str">
        <x:v>PASS</x:v>
      </x:c>
      <x:c r="L2744" s="34" t="str">
        <x:v>PASS</x:v>
      </x:c>
      <x:c r="M2744" s="34" t="str">
        <x:v>numeric coverage for applicable metric</x:v>
      </x:c>
      <x:c r="N2744" s="34" t="str">
        <x:v>Feedback-Directed Random Test Generation/Result_Round2/Closure_118/result.json</x:v>
      </x:c>
      <x:c r="O2744" s="38" t="n">
        <x:f>IF(AND(G2744="RECORDED",ISNUMBER(H2744)),H2744,"")</x:f>
        <x:v>2.38</x:v>
      </x:c>
      <x:c r="P2744" s="34" t="str">
        <x:v>NOT_REVEALING</x:v>
      </x:c>
      <x:c r="Q2744" s="34" t="str">
        <x:v>Feedback-Directed Random Test Generation/Result_Round2/Closure_118/result.json</x:v>
      </x:c>
    </x:row>
    <x:row r="2745">
      <x:c r="A2745" s="34" t="str">
        <x:v>randoop</x:v>
      </x:c>
      <x:c r="B2745" s="34" t="str">
        <x:v>Closure</x:v>
      </x:c>
      <x:c r="C2745" s="34" t="str">
        <x:v>Round2</x:v>
      </x:c>
      <x:c r="D2745" s="34" t="str">
        <x:v>Closure_119</x:v>
      </x:c>
      <x:c r="E2745" s="34" t="str">
        <x:v>Line</x:v>
      </x:c>
      <x:c r="F2745" s="34" t="n">
        <x:v>496</x:v>
      </x:c>
      <x:c r="G2745" s="34" t="str">
        <x:v>RECORDED</x:v>
      </x:c>
      <x:c r="H2745" s="38" t="n">
        <x:f>IF(ISNUMBER('Data'!H1037),'Data'!H1037*100,"")</x:f>
        <x:v>32.86</x:v>
      </x:c>
      <x:c r="I2745" s="34" t="str">
        <x:v>PASS</x:v>
      </x:c>
      <x:c r="J2745" s="34" t="str">
        <x:v>PASS</x:v>
      </x:c>
      <x:c r="K2745" s="34" t="str">
        <x:v>PASS</x:v>
      </x:c>
      <x:c r="L2745" s="34" t="str">
        <x:v>PASS</x:v>
      </x:c>
      <x:c r="M2745" s="34" t="str">
        <x:v>numeric coverage for applicable metric</x:v>
      </x:c>
      <x:c r="N2745" s="34" t="str">
        <x:v>Feedback-Directed Random Test Generation/Result_Round2/Closure_119/result.json</x:v>
      </x:c>
      <x:c r="O2745" s="38" t="n">
        <x:f>IF(AND(G2745="RECORDED",ISNUMBER(H2745)),H2745,"")</x:f>
        <x:v>32.86</x:v>
      </x:c>
      <x:c r="P2745" s="34" t="str">
        <x:v>NOT_REVEALING</x:v>
      </x:c>
      <x:c r="Q2745" s="34" t="str">
        <x:v>Feedback-Directed Random Test Generation/Result_Round2/Closure_119/result.json</x:v>
      </x:c>
    </x:row>
    <x:row r="2746">
      <x:c r="A2746" s="34" t="str">
        <x:v>randoop</x:v>
      </x:c>
      <x:c r="B2746" s="34" t="str">
        <x:v>Closure</x:v>
      </x:c>
      <x:c r="C2746" s="34" t="str">
        <x:v>Round2</x:v>
      </x:c>
      <x:c r="D2746" s="34" t="str">
        <x:v>Closure_120</x:v>
      </x:c>
      <x:c r="E2746" s="34" t="str">
        <x:v>Line</x:v>
      </x:c>
      <x:c r="F2746" s="34" t="n">
        <x:v>211</x:v>
      </x:c>
      <x:c r="G2746" s="34" t="str">
        <x:v>RECORDED</x:v>
      </x:c>
      <x:c r="H2746" s="38" t="n">
        <x:f>IF(ISNUMBER('Data'!H1038),'Data'!H1038*100,"")</x:f>
        <x:v>34.6</x:v>
      </x:c>
      <x:c r="I2746" s="34" t="str">
        <x:v>PASS</x:v>
      </x:c>
      <x:c r="J2746" s="34" t="str">
        <x:v>PASS</x:v>
      </x:c>
      <x:c r="K2746" s="34" t="str">
        <x:v>PASS</x:v>
      </x:c>
      <x:c r="L2746" s="34" t="str">
        <x:v>PASS</x:v>
      </x:c>
      <x:c r="M2746" s="34" t="str">
        <x:v>numeric coverage for applicable metric</x:v>
      </x:c>
      <x:c r="N2746" s="34" t="str">
        <x:v>Feedback-Directed Random Test Generation/Result_Round2/Closure_120/result.json</x:v>
      </x:c>
      <x:c r="O2746" s="38" t="n">
        <x:f>IF(AND(G2746="RECORDED",ISNUMBER(H2746)),H2746,"")</x:f>
        <x:v>34.6</x:v>
      </x:c>
      <x:c r="P2746" s="34" t="str">
        <x:v>NOT_REVEALING</x:v>
      </x:c>
      <x:c r="Q2746" s="34" t="str">
        <x:v>Feedback-Directed Random Test Generation/Result_Round2/Closure_120/result.json</x:v>
      </x:c>
    </x:row>
    <x:row r="2747">
      <x:c r="A2747" s="34" t="str">
        <x:v>randoop</x:v>
      </x:c>
      <x:c r="B2747" s="34" t="str">
        <x:v>Closure</x:v>
      </x:c>
      <x:c r="C2747" s="34" t="str">
        <x:v>Round2</x:v>
      </x:c>
      <x:c r="D2747" s="34" t="str">
        <x:v>Closure_121</x:v>
      </x:c>
      <x:c r="E2747" s="34" t="str">
        <x:v>Line</x:v>
      </x:c>
      <x:c r="F2747" s="34" t="n">
        <x:v>297</x:v>
      </x:c>
      <x:c r="G2747" s="34" t="str">
        <x:v>RECORDED</x:v>
      </x:c>
      <x:c r="H2747" s="38" t="n">
        <x:f>IF(ISNUMBER('Data'!H1039),'Data'!H1039*100,"")</x:f>
        <x:v>7.739999999999999</x:v>
      </x:c>
      <x:c r="I2747" s="34" t="str">
        <x:v>PASS</x:v>
      </x:c>
      <x:c r="J2747" s="34" t="str">
        <x:v>PASS</x:v>
      </x:c>
      <x:c r="K2747" s="34" t="str">
        <x:v>PASS</x:v>
      </x:c>
      <x:c r="L2747" s="34" t="str">
        <x:v>PASS</x:v>
      </x:c>
      <x:c r="M2747" s="34" t="str">
        <x:v>numeric coverage for applicable metric</x:v>
      </x:c>
      <x:c r="N2747" s="34" t="str">
        <x:v>Feedback-Directed Random Test Generation/Result_Round2/Closure_121/result.json</x:v>
      </x:c>
      <x:c r="O2747" s="38" t="n">
        <x:f>IF(AND(G2747="RECORDED",ISNUMBER(H2747)),H2747,"")</x:f>
        <x:v>7.739999999999999</x:v>
      </x:c>
      <x:c r="P2747" s="34" t="str">
        <x:v>NOT_REVEALING</x:v>
      </x:c>
      <x:c r="Q2747" s="34" t="str">
        <x:v>Feedback-Directed Random Test Generation/Result_Round2/Closure_121/result.json</x:v>
      </x:c>
    </x:row>
    <x:row r="2748">
      <x:c r="A2748" s="34" t="str">
        <x:v>randoop</x:v>
      </x:c>
      <x:c r="B2748" s="34" t="str">
        <x:v>Closure</x:v>
      </x:c>
      <x:c r="C2748" s="34" t="str">
        <x:v>Round2</x:v>
      </x:c>
      <x:c r="D2748" s="34" t="str">
        <x:v>Closure_122</x:v>
      </x:c>
      <x:c r="E2748" s="34" t="str">
        <x:v>Line</x:v>
      </x:c>
      <x:c r="F2748" s="34" t="n">
        <x:v>691</x:v>
      </x:c>
      <x:c r="G2748" s="34" t="str">
        <x:v>RECORDED</x:v>
      </x:c>
      <x:c r="H2748" s="38" t="n">
        <x:f>IF(ISNUMBER('Data'!H1040),'Data'!H1040*100,"")</x:f>
        <x:v>3.7599999999999993</x:v>
      </x:c>
      <x:c r="I2748" s="34" t="str">
        <x:v>PASS</x:v>
      </x:c>
      <x:c r="J2748" s="34" t="str">
        <x:v>PASS</x:v>
      </x:c>
      <x:c r="K2748" s="34" t="str">
        <x:v>PASS</x:v>
      </x:c>
      <x:c r="L2748" s="34" t="str">
        <x:v>PASS</x:v>
      </x:c>
      <x:c r="M2748" s="34" t="str">
        <x:v>numeric coverage for applicable metric</x:v>
      </x:c>
      <x:c r="N2748" s="34" t="str">
        <x:v>Feedback-Directed Random Test Generation/Result_Round2/Closure_122/result.json</x:v>
      </x:c>
      <x:c r="O2748" s="38" t="n">
        <x:f>IF(AND(G2748="RECORDED",ISNUMBER(H2748)),H2748,"")</x:f>
        <x:v>3.7599999999999993</x:v>
      </x:c>
      <x:c r="P2748" s="34" t="str">
        <x:v>NOT_REVEALING</x:v>
      </x:c>
      <x:c r="Q2748" s="34" t="str">
        <x:v>Feedback-Directed Random Test Generation/Result_Round2/Closure_122/result.json</x:v>
      </x:c>
    </x:row>
    <x:row r="2749">
      <x:c r="A2749" s="34" t="str">
        <x:v>randoop</x:v>
      </x:c>
      <x:c r="B2749" s="34" t="str">
        <x:v>Closure</x:v>
      </x:c>
      <x:c r="C2749" s="34" t="str">
        <x:v>Round2</x:v>
      </x:c>
      <x:c r="D2749" s="34" t="str">
        <x:v>Closure_123</x:v>
      </x:c>
      <x:c r="E2749" s="34" t="str">
        <x:v>Line</x:v>
      </x:c>
      <x:c r="F2749" s="34" t="n">
        <x:v>650</x:v>
      </x:c>
      <x:c r="G2749" s="34" t="str">
        <x:v>RECORDED</x:v>
      </x:c>
      <x:c r="H2749" s="38" t="n">
        <x:f>IF(ISNUMBER('Data'!H1041),'Data'!H1041*100,"")</x:f>
        <x:v>9.69</x:v>
      </x:c>
      <x:c r="I2749" s="34" t="str">
        <x:v>PASS</x:v>
      </x:c>
      <x:c r="J2749" s="34" t="str">
        <x:v>PASS</x:v>
      </x:c>
      <x:c r="K2749" s="34" t="str">
        <x:v>PASS</x:v>
      </x:c>
      <x:c r="L2749" s="34" t="str">
        <x:v>PASS</x:v>
      </x:c>
      <x:c r="M2749" s="34" t="str">
        <x:v>numeric coverage for applicable metric</x:v>
      </x:c>
      <x:c r="N2749" s="34" t="str">
        <x:v>Feedback-Directed Random Test Generation/Result_Round2/Closure_123/result.json</x:v>
      </x:c>
      <x:c r="O2749" s="38" t="n">
        <x:f>IF(AND(G2749="RECORDED",ISNUMBER(H2749)),H2749,"")</x:f>
        <x:v>9.69</x:v>
      </x:c>
      <x:c r="P2749" s="34" t="str">
        <x:v>NOT_REVEALING</x:v>
      </x:c>
      <x:c r="Q2749" s="34" t="str">
        <x:v>Feedback-Directed Random Test Generation/Result_Round2/Closure_123/result.json</x:v>
      </x:c>
    </x:row>
    <x:row r="2750">
      <x:c r="A2750" s="34" t="str">
        <x:v>randoop</x:v>
      </x:c>
      <x:c r="B2750" s="34" t="str">
        <x:v>Closure</x:v>
      </x:c>
      <x:c r="C2750" s="34" t="str">
        <x:v>Round2</x:v>
      </x:c>
      <x:c r="D2750" s="34" t="str">
        <x:v>Closure_124</x:v>
      </x:c>
      <x:c r="E2750" s="34" t="str">
        <x:v>Line</x:v>
      </x:c>
      <x:c r="F2750" s="34" t="n">
        <x:v>80</x:v>
      </x:c>
      <x:c r="G2750" s="34" t="str">
        <x:v>RECORDED</x:v>
      </x:c>
      <x:c r="H2750" s="38" t="n">
        <x:f>IF(ISNUMBER('Data'!H1042),'Data'!H1042*100,"")</x:f>
        <x:v>2.5</x:v>
      </x:c>
      <x:c r="I2750" s="34" t="str">
        <x:v>PASS</x:v>
      </x:c>
      <x:c r="J2750" s="34" t="str">
        <x:v>PASS</x:v>
      </x:c>
      <x:c r="K2750" s="34" t="str">
        <x:v>PASS</x:v>
      </x:c>
      <x:c r="L2750" s="34" t="str">
        <x:v>PASS</x:v>
      </x:c>
      <x:c r="M2750" s="34" t="str">
        <x:v>numeric coverage for applicable metric</x:v>
      </x:c>
      <x:c r="N2750" s="34" t="str">
        <x:v>Feedback-Directed Random Test Generation/Result_Round2/Closure_124/result.json</x:v>
      </x:c>
      <x:c r="O2750" s="38" t="n">
        <x:f>IF(AND(G2750="RECORDED",ISNUMBER(H2750)),H2750,"")</x:f>
        <x:v>2.5</x:v>
      </x:c>
      <x:c r="P2750" s="34" t="str">
        <x:v>NOT_REVEALING</x:v>
      </x:c>
      <x:c r="Q2750" s="34" t="str">
        <x:v>Feedback-Directed Random Test Generation/Result_Round2/Closure_124/result.json</x:v>
      </x:c>
    </x:row>
    <x:row r="2751">
      <x:c r="A2751" s="34" t="str">
        <x:v>randoop</x:v>
      </x:c>
      <x:c r="B2751" s="34" t="str">
        <x:v>Closure</x:v>
      </x:c>
      <x:c r="C2751" s="34" t="str">
        <x:v>Round2</x:v>
      </x:c>
      <x:c r="D2751" s="34" t="str">
        <x:v>Closure_125</x:v>
      </x:c>
      <x:c r="E2751" s="34" t="str">
        <x:v>Line</x:v>
      </x:c>
      <x:c r="F2751" s="34" t="n">
        <x:v>889</x:v>
      </x:c>
      <x:c r="G2751" s="34" t="str">
        <x:v>RECORDED</x:v>
      </x:c>
      <x:c r="H2751" s="38" t="n">
        <x:f>IF(ISNUMBER('Data'!H1043),'Data'!H1043*100,"")</x:f>
        <x:v>8.44</x:v>
      </x:c>
      <x:c r="I2751" s="34" t="str">
        <x:v>PASS</x:v>
      </x:c>
      <x:c r="J2751" s="34" t="str">
        <x:v>PASS</x:v>
      </x:c>
      <x:c r="K2751" s="34" t="str">
        <x:v>PASS</x:v>
      </x:c>
      <x:c r="L2751" s="34" t="str">
        <x:v>PASS</x:v>
      </x:c>
      <x:c r="M2751" s="34" t="str">
        <x:v>numeric coverage for applicable metric</x:v>
      </x:c>
      <x:c r="N2751" s="34" t="str">
        <x:v>Feedback-Directed Random Test Generation/Result_Round2/Closure_125/result.json</x:v>
      </x:c>
      <x:c r="O2751" s="38" t="n">
        <x:f>IF(AND(G2751="RECORDED",ISNUMBER(H2751)),H2751,"")</x:f>
        <x:v>8.44</x:v>
      </x:c>
      <x:c r="P2751" s="34" t="str">
        <x:v>NOT_REVEALING</x:v>
      </x:c>
      <x:c r="Q2751" s="34" t="str">
        <x:v>Feedback-Directed Random Test Generation/Result_Round2/Closure_125/result.json</x:v>
      </x:c>
    </x:row>
    <x:row r="2752">
      <x:c r="A2752" s="34" t="str">
        <x:v>randoop</x:v>
      </x:c>
      <x:c r="B2752" s="34" t="str">
        <x:v>Closure</x:v>
      </x:c>
      <x:c r="C2752" s="34" t="str">
        <x:v>Round2</x:v>
      </x:c>
      <x:c r="D2752" s="34" t="str">
        <x:v>Closure_126</x:v>
      </x:c>
      <x:c r="E2752" s="34" t="str">
        <x:v>Line</x:v>
      </x:c>
      <x:c r="F2752" s="34" t="n">
        <x:v>102</x:v>
      </x:c>
      <x:c r="G2752" s="34" t="str">
        <x:v>RECORDED</x:v>
      </x:c>
      <x:c r="H2752" s="38" t="n">
        <x:f>IF(ISNUMBER('Data'!H1044),'Data'!H1044*100,"")</x:f>
        <x:v>6.860000000000001</x:v>
      </x:c>
      <x:c r="I2752" s="34" t="str">
        <x:v>PASS</x:v>
      </x:c>
      <x:c r="J2752" s="34" t="str">
        <x:v>PASS</x:v>
      </x:c>
      <x:c r="K2752" s="34" t="str">
        <x:v>PASS</x:v>
      </x:c>
      <x:c r="L2752" s="34" t="str">
        <x:v>PASS</x:v>
      </x:c>
      <x:c r="M2752" s="34" t="str">
        <x:v>numeric coverage for applicable metric</x:v>
      </x:c>
      <x:c r="N2752" s="34" t="str">
        <x:v>Feedback-Directed Random Test Generation/Result_Round2/Closure_126/result.json</x:v>
      </x:c>
      <x:c r="O2752" s="38" t="n">
        <x:f>IF(AND(G2752="RECORDED",ISNUMBER(H2752)),H2752,"")</x:f>
        <x:v>6.860000000000001</x:v>
      </x:c>
      <x:c r="P2752" s="34" t="str">
        <x:v>NOT_REVEALING</x:v>
      </x:c>
      <x:c r="Q2752" s="34" t="str">
        <x:v>Feedback-Directed Random Test Generation/Result_Round2/Closure_126/result.json</x:v>
      </x:c>
    </x:row>
    <x:row r="2753">
      <x:c r="A2753" s="34" t="str">
        <x:v>randoop</x:v>
      </x:c>
      <x:c r="B2753" s="34" t="str">
        <x:v>Closure</x:v>
      </x:c>
      <x:c r="C2753" s="34" t="str">
        <x:v>Round2</x:v>
      </x:c>
      <x:c r="D2753" s="34" t="str">
        <x:v>Closure_127</x:v>
      </x:c>
      <x:c r="E2753" s="34" t="str">
        <x:v>Line</x:v>
      </x:c>
      <x:c r="F2753" s="34" t="n">
        <x:v>82</x:v>
      </x:c>
      <x:c r="G2753" s="34" t="str">
        <x:v>RECORDED</x:v>
      </x:c>
      <x:c r="H2753" s="38" t="n">
        <x:f>IF(ISNUMBER('Data'!H1045),'Data'!H1045*100,"")</x:f>
        <x:v>9.76</x:v>
      </x:c>
      <x:c r="I2753" s="34" t="str">
        <x:v>PASS</x:v>
      </x:c>
      <x:c r="J2753" s="34" t="str">
        <x:v>PASS</x:v>
      </x:c>
      <x:c r="K2753" s="34" t="str">
        <x:v>PASS</x:v>
      </x:c>
      <x:c r="L2753" s="34" t="str">
        <x:v>PASS</x:v>
      </x:c>
      <x:c r="M2753" s="34" t="str">
        <x:v>numeric coverage for applicable metric</x:v>
      </x:c>
      <x:c r="N2753" s="34" t="str">
        <x:v>Feedback-Directed Random Test Generation/Result_Round2/Closure_127/result.json</x:v>
      </x:c>
      <x:c r="O2753" s="38" t="n">
        <x:f>IF(AND(G2753="RECORDED",ISNUMBER(H2753)),H2753,"")</x:f>
        <x:v>9.76</x:v>
      </x:c>
      <x:c r="P2753" s="34" t="str">
        <x:v>NOT_REVEALING</x:v>
      </x:c>
      <x:c r="Q2753" s="34" t="str">
        <x:v>Feedback-Directed Random Test Generation/Result_Round2/Closure_127/result.json</x:v>
      </x:c>
    </x:row>
    <x:row r="2754">
      <x:c r="A2754" s="34" t="str">
        <x:v>randoop</x:v>
      </x:c>
      <x:c r="B2754" s="34" t="str">
        <x:v>Closure</x:v>
      </x:c>
      <x:c r="C2754" s="34" t="str">
        <x:v>Round2</x:v>
      </x:c>
      <x:c r="D2754" s="34" t="str">
        <x:v>Closure_128</x:v>
      </x:c>
      <x:c r="E2754" s="34" t="str">
        <x:v>Line</x:v>
      </x:c>
      <x:c r="F2754" s="34" t="n">
        <x:v>638</x:v>
      </x:c>
      <x:c r="G2754" s="34" t="str">
        <x:v>RECORDED</x:v>
      </x:c>
      <x:c r="H2754" s="38" t="n">
        <x:f>IF(ISNUMBER('Data'!H1046),'Data'!H1046*100,"")</x:f>
        <x:v>9.56</x:v>
      </x:c>
      <x:c r="I2754" s="34" t="str">
        <x:v>PASS</x:v>
      </x:c>
      <x:c r="J2754" s="34" t="str">
        <x:v>PASS</x:v>
      </x:c>
      <x:c r="K2754" s="34" t="str">
        <x:v>PASS</x:v>
      </x:c>
      <x:c r="L2754" s="34" t="str">
        <x:v>PASS</x:v>
      </x:c>
      <x:c r="M2754" s="34" t="str">
        <x:v>numeric coverage for applicable metric</x:v>
      </x:c>
      <x:c r="N2754" s="34" t="str">
        <x:v>Feedback-Directed Random Test Generation/Result_Round2/Closure_128/result.json</x:v>
      </x:c>
      <x:c r="O2754" s="38" t="n">
        <x:f>IF(AND(G2754="RECORDED",ISNUMBER(H2754)),H2754,"")</x:f>
        <x:v>9.56</x:v>
      </x:c>
      <x:c r="P2754" s="34" t="str">
        <x:v>NOT_REVEALING</x:v>
      </x:c>
      <x:c r="Q2754" s="34" t="str">
        <x:v>Feedback-Directed Random Test Generation/Result_Round2/Closure_128/result.json</x:v>
      </x:c>
    </x:row>
    <x:row r="2755">
      <x:c r="A2755" s="34" t="str">
        <x:v>randoop</x:v>
      </x:c>
      <x:c r="B2755" s="34" t="str">
        <x:v>Closure</x:v>
      </x:c>
      <x:c r="C2755" s="34" t="str">
        <x:v>Round2</x:v>
      </x:c>
      <x:c r="D2755" s="34" t="str">
        <x:v>Closure_129</x:v>
      </x:c>
      <x:c r="E2755" s="34" t="str">
        <x:v>Line</x:v>
      </x:c>
      <x:c r="F2755" s="34" t="n">
        <x:v>72</x:v>
      </x:c>
      <x:c r="G2755" s="34" t="str">
        <x:v>RECORDED</x:v>
      </x:c>
      <x:c r="H2755" s="38" t="n">
        <x:f>IF(ISNUMBER('Data'!H1047),'Data'!H1047*100,"")</x:f>
        <x:v>23.61</x:v>
      </x:c>
      <x:c r="I2755" s="34" t="str">
        <x:v>PASS</x:v>
      </x:c>
      <x:c r="J2755" s="34" t="str">
        <x:v>PASS</x:v>
      </x:c>
      <x:c r="K2755" s="34" t="str">
        <x:v>PASS</x:v>
      </x:c>
      <x:c r="L2755" s="34" t="str">
        <x:v>PASS</x:v>
      </x:c>
      <x:c r="M2755" s="34" t="str">
        <x:v>numeric coverage for applicable metric</x:v>
      </x:c>
      <x:c r="N2755" s="34" t="str">
        <x:v>Feedback-Directed Random Test Generation/Result_Round2/Closure_129/result.json</x:v>
      </x:c>
      <x:c r="O2755" s="38" t="n">
        <x:f>IF(AND(G2755="RECORDED",ISNUMBER(H2755)),H2755,"")</x:f>
        <x:v>23.61</x:v>
      </x:c>
      <x:c r="P2755" s="34" t="str">
        <x:v>NOT_REVEALING</x:v>
      </x:c>
      <x:c r="Q2755" s="34" t="str">
        <x:v>Feedback-Directed Random Test Generation/Result_Round2/Closure_129/result.json</x:v>
      </x:c>
    </x:row>
    <x:row r="2756">
      <x:c r="A2756" s="34" t="str">
        <x:v>randoop</x:v>
      </x:c>
      <x:c r="B2756" s="34" t="str">
        <x:v>Closure</x:v>
      </x:c>
      <x:c r="C2756" s="34" t="str">
        <x:v>Round2</x:v>
      </x:c>
      <x:c r="D2756" s="34" t="str">
        <x:v>Closure_130</x:v>
      </x:c>
      <x:c r="E2756" s="34" t="str">
        <x:v>Line</x:v>
      </x:c>
      <x:c r="F2756" s="34" t="n">
        <x:v>371</x:v>
      </x:c>
      <x:c r="G2756" s="34" t="str">
        <x:v>RECORDED</x:v>
      </x:c>
      <x:c r="H2756" s="38" t="n">
        <x:f>IF(ISNUMBER('Data'!H1048),'Data'!H1048*100,"")</x:f>
        <x:v>4.58</x:v>
      </x:c>
      <x:c r="I2756" s="34" t="str">
        <x:v>PASS</x:v>
      </x:c>
      <x:c r="J2756" s="34" t="str">
        <x:v>PASS</x:v>
      </x:c>
      <x:c r="K2756" s="34" t="str">
        <x:v>PASS</x:v>
      </x:c>
      <x:c r="L2756" s="34" t="str">
        <x:v>PASS</x:v>
      </x:c>
      <x:c r="M2756" s="34" t="str">
        <x:v>numeric coverage for applicable metric</x:v>
      </x:c>
      <x:c r="N2756" s="34" t="str">
        <x:v>Feedback-Directed Random Test Generation/Result_Round2/Closure_130/result.json</x:v>
      </x:c>
      <x:c r="O2756" s="38" t="n">
        <x:f>IF(AND(G2756="RECORDED",ISNUMBER(H2756)),H2756,"")</x:f>
        <x:v>4.58</x:v>
      </x:c>
      <x:c r="P2756" s="34" t="str">
        <x:v>NOT_REVEALING</x:v>
      </x:c>
      <x:c r="Q2756" s="34" t="str">
        <x:v>Feedback-Directed Random Test Generation/Result_Round2/Closure_130/result.json</x:v>
      </x:c>
    </x:row>
    <x:row r="2757">
      <x:c r="A2757" s="34" t="str">
        <x:v>randoop</x:v>
      </x:c>
      <x:c r="B2757" s="34" t="str">
        <x:v>Closure</x:v>
      </x:c>
      <x:c r="C2757" s="34" t="str">
        <x:v>Round2</x:v>
      </x:c>
      <x:c r="D2757" s="34" t="str">
        <x:v>Closure_131</x:v>
      </x:c>
      <x:c r="E2757" s="34" t="str">
        <x:v>Line</x:v>
      </x:c>
      <x:c r="F2757" s="34" t="n">
        <x:v>113</x:v>
      </x:c>
      <x:c r="G2757" s="34" t="str">
        <x:v>RECORDED</x:v>
      </x:c>
      <x:c r="H2757" s="38" t="n">
        <x:f>IF(ISNUMBER('Data'!H1049),'Data'!H1049*100,"")</x:f>
        <x:v>15.039999999999997</x:v>
      </x:c>
      <x:c r="I2757" s="34" t="str">
        <x:v>PASS</x:v>
      </x:c>
      <x:c r="J2757" s="34" t="str">
        <x:v>PASS</x:v>
      </x:c>
      <x:c r="K2757" s="34" t="str">
        <x:v>PASS</x:v>
      </x:c>
      <x:c r="L2757" s="34" t="str">
        <x:v>PASS</x:v>
      </x:c>
      <x:c r="M2757" s="34" t="str">
        <x:v>numeric coverage for applicable metric</x:v>
      </x:c>
      <x:c r="N2757" s="34" t="str">
        <x:v>Feedback-Directed Random Test Generation/Result_Round2/Closure_131/result.json</x:v>
      </x:c>
      <x:c r="O2757" s="38" t="n">
        <x:f>IF(AND(G2757="RECORDED",ISNUMBER(H2757)),H2757,"")</x:f>
        <x:v>15.039999999999997</x:v>
      </x:c>
      <x:c r="P2757" s="34" t="str">
        <x:v>NOT_REVEALING</x:v>
      </x:c>
      <x:c r="Q2757" s="34" t="str">
        <x:v>Feedback-Directed Random Test Generation/Result_Round2/Closure_131/result.json</x:v>
      </x:c>
    </x:row>
    <x:row r="2758">
      <x:c r="A2758" s="34" t="str">
        <x:v>randoop</x:v>
      </x:c>
      <x:c r="B2758" s="34" t="str">
        <x:v>Closure</x:v>
      </x:c>
      <x:c r="C2758" s="34" t="str">
        <x:v>Round2</x:v>
      </x:c>
      <x:c r="D2758" s="34" t="str">
        <x:v>Closure_132</x:v>
      </x:c>
      <x:c r="E2758" s="34" t="str">
        <x:v>Line</x:v>
      </x:c>
      <x:c r="F2758" s="34" t="n">
        <x:v>757</x:v>
      </x:c>
      <x:c r="G2758" s="34" t="str">
        <x:v>RECORDED</x:v>
      </x:c>
      <x:c r="H2758" s="38" t="n">
        <x:f>IF(ISNUMBER('Data'!H1050),'Data'!H1050*100,"")</x:f>
        <x:v>3.4300000000000006</x:v>
      </x:c>
      <x:c r="I2758" s="34" t="str">
        <x:v>PASS</x:v>
      </x:c>
      <x:c r="J2758" s="34" t="str">
        <x:v>PASS</x:v>
      </x:c>
      <x:c r="K2758" s="34" t="str">
        <x:v>PASS</x:v>
      </x:c>
      <x:c r="L2758" s="34" t="str">
        <x:v>PASS</x:v>
      </x:c>
      <x:c r="M2758" s="34" t="str">
        <x:v>numeric coverage for applicable metric</x:v>
      </x:c>
      <x:c r="N2758" s="34" t="str">
        <x:v>Feedback-Directed Random Test Generation/Result_Round2/Closure_132/result.json</x:v>
      </x:c>
      <x:c r="O2758" s="38" t="n">
        <x:f>IF(AND(G2758="RECORDED",ISNUMBER(H2758)),H2758,"")</x:f>
        <x:v>3.4300000000000006</x:v>
      </x:c>
      <x:c r="P2758" s="34" t="str">
        <x:v>NOT_REVEALING</x:v>
      </x:c>
      <x:c r="Q2758" s="34" t="str">
        <x:v>Feedback-Directed Random Test Generation/Result_Round2/Closure_132/result.json</x:v>
      </x:c>
    </x:row>
    <x:row r="2759">
      <x:c r="A2759" s="34" t="str">
        <x:v>randoop</x:v>
      </x:c>
      <x:c r="B2759" s="34" t="str">
        <x:v>Closure</x:v>
      </x:c>
      <x:c r="C2759" s="34" t="str">
        <x:v>Round2</x:v>
      </x:c>
      <x:c r="D2759" s="34" t="str">
        <x:v>Closure_133</x:v>
      </x:c>
      <x:c r="E2759" s="34" t="str">
        <x:v>Line</x:v>
      </x:c>
      <x:c r="F2759" s="34" t="n">
        <x:v>1089</x:v>
      </x:c>
      <x:c r="G2759" s="34" t="str">
        <x:v>RECORDED</x:v>
      </x:c>
      <x:c r="H2759" s="38" t="n">
        <x:f>IF(ISNUMBER('Data'!H1051),'Data'!H1051*100,"")</x:f>
        <x:v>7.99</x:v>
      </x:c>
      <x:c r="I2759" s="34" t="str">
        <x:v>PASS</x:v>
      </x:c>
      <x:c r="J2759" s="34" t="str">
        <x:v>PASS</x:v>
      </x:c>
      <x:c r="K2759" s="34" t="str">
        <x:v>PASS</x:v>
      </x:c>
      <x:c r="L2759" s="34" t="str">
        <x:v>PASS</x:v>
      </x:c>
      <x:c r="M2759" s="34" t="str">
        <x:v>numeric coverage for applicable metric</x:v>
      </x:c>
      <x:c r="N2759" s="34" t="str">
        <x:v>Feedback-Directed Random Test Generation/Result_Round2/Closure_133/result.json</x:v>
      </x:c>
      <x:c r="O2759" s="38" t="n">
        <x:f>IF(AND(G2759="RECORDED",ISNUMBER(H2759)),H2759,"")</x:f>
        <x:v>7.99</x:v>
      </x:c>
      <x:c r="P2759" s="34" t="str">
        <x:v>NOT_REVEALING</x:v>
      </x:c>
      <x:c r="Q2759" s="34" t="str">
        <x:v>Feedback-Directed Random Test Generation/Result_Round2/Closure_133/result.json</x:v>
      </x:c>
    </x:row>
    <x:row r="2760">
      <x:c r="A2760" s="34" t="str">
        <x:v>randoop</x:v>
      </x:c>
      <x:c r="B2760" s="34" t="str">
        <x:v>Closure</x:v>
      </x:c>
      <x:c r="C2760" s="34" t="str">
        <x:v>Round2</x:v>
      </x:c>
      <x:c r="D2760" s="34" t="str">
        <x:v>Closure_134</x:v>
      </x:c>
      <x:c r="E2760" s="34" t="str">
        <x:v>Line</x:v>
      </x:c>
      <x:c r="F2760" s="34" t="n">
        <x:v>846</x:v>
      </x:c>
      <x:c r="G2760" s="34" t="str">
        <x:v>RECORDED</x:v>
      </x:c>
      <x:c r="H2760" s="38" t="n">
        <x:f>IF(ISNUMBER('Data'!H1052),'Data'!H1052*100,"")</x:f>
        <x:v>3.19</x:v>
      </x:c>
      <x:c r="I2760" s="34" t="str">
        <x:v>PASS</x:v>
      </x:c>
      <x:c r="J2760" s="34" t="str">
        <x:v>PASS</x:v>
      </x:c>
      <x:c r="K2760" s="34" t="str">
        <x:v>PASS</x:v>
      </x:c>
      <x:c r="L2760" s="34" t="str">
        <x:v>PASS</x:v>
      </x:c>
      <x:c r="M2760" s="34" t="str">
        <x:v>numeric coverage for applicable metric</x:v>
      </x:c>
      <x:c r="N2760" s="34" t="str">
        <x:v>Feedback-Directed Random Test Generation/Result_Round2/Closure_134/result.json</x:v>
      </x:c>
      <x:c r="O2760" s="38" t="n">
        <x:f>IF(AND(G2760="RECORDED",ISNUMBER(H2760)),H2760,"")</x:f>
        <x:v>3.19</x:v>
      </x:c>
      <x:c r="P2760" s="34" t="str">
        <x:v>NOT_REVEALING</x:v>
      </x:c>
      <x:c r="Q2760" s="34" t="str">
        <x:v>Feedback-Directed Random Test Generation/Result_Round2/Closure_134/result.json</x:v>
      </x:c>
    </x:row>
    <x:row r="2761">
      <x:c r="A2761" s="34" t="str">
        <x:v>randoop</x:v>
      </x:c>
      <x:c r="B2761" s="34" t="str">
        <x:v>Closure</x:v>
      </x:c>
      <x:c r="C2761" s="34" t="str">
        <x:v>Round2</x:v>
      </x:c>
      <x:c r="D2761" s="34" t="str">
        <x:v>Closure_135</x:v>
      </x:c>
      <x:c r="E2761" s="34" t="str">
        <x:v>Line</x:v>
      </x:c>
      <x:c r="F2761" s="34" t="n">
        <x:v>424</x:v>
      </x:c>
      <x:c r="G2761" s="34" t="str">
        <x:v>RECORDED</x:v>
      </x:c>
      <x:c r="H2761" s="38" t="n">
        <x:f>IF(ISNUMBER('Data'!H1053),'Data'!H1053*100,"")</x:f>
        <x:v>2.36</x:v>
      </x:c>
      <x:c r="I2761" s="34" t="str">
        <x:v>PASS</x:v>
      </x:c>
      <x:c r="J2761" s="34" t="str">
        <x:v>PASS</x:v>
      </x:c>
      <x:c r="K2761" s="34" t="str">
        <x:v>PASS</x:v>
      </x:c>
      <x:c r="L2761" s="34" t="str">
        <x:v>PASS</x:v>
      </x:c>
      <x:c r="M2761" s="34" t="str">
        <x:v>numeric coverage for applicable metric</x:v>
      </x:c>
      <x:c r="N2761" s="34" t="str">
        <x:v>Feedback-Directed Random Test Generation/Result_Round2/Closure_135/result.json</x:v>
      </x:c>
      <x:c r="O2761" s="38" t="n">
        <x:f>IF(AND(G2761="RECORDED",ISNUMBER(H2761)),H2761,"")</x:f>
        <x:v>2.36</x:v>
      </x:c>
      <x:c r="P2761" s="34" t="str">
        <x:v>NOT_REVEALING</x:v>
      </x:c>
      <x:c r="Q2761" s="34" t="str">
        <x:v>Feedback-Directed Random Test Generation/Result_Round2/Closure_135/result.json</x:v>
      </x:c>
    </x:row>
    <x:row r="2762">
      <x:c r="A2762" s="34" t="str">
        <x:v>randoop</x:v>
      </x:c>
      <x:c r="B2762" s="34" t="str">
        <x:v>Closure</x:v>
      </x:c>
      <x:c r="C2762" s="34" t="str">
        <x:v>Round2</x:v>
      </x:c>
      <x:c r="D2762" s="34" t="str">
        <x:v>Closure_136</x:v>
      </x:c>
      <x:c r="E2762" s="34" t="str">
        <x:v>Line</x:v>
      </x:c>
      <x:c r="F2762" s="34" t="n">
        <x:v>265</x:v>
      </x:c>
      <x:c r="G2762" s="34" t="str">
        <x:v>RECORDED</x:v>
      </x:c>
      <x:c r="H2762" s="38" t="n">
        <x:f>IF(ISNUMBER('Data'!H1054),'Data'!H1054*100,"")</x:f>
        <x:v>17.74</x:v>
      </x:c>
      <x:c r="I2762" s="34" t="str">
        <x:v>PASS</x:v>
      </x:c>
      <x:c r="J2762" s="34" t="str">
        <x:v>PASS</x:v>
      </x:c>
      <x:c r="K2762" s="34" t="str">
        <x:v>PASS</x:v>
      </x:c>
      <x:c r="L2762" s="34" t="str">
        <x:v>PASS</x:v>
      </x:c>
      <x:c r="M2762" s="34" t="str">
        <x:v>numeric coverage for applicable metric</x:v>
      </x:c>
      <x:c r="N2762" s="34" t="str">
        <x:v>Feedback-Directed Random Test Generation/Result_Round2/Closure_136/result.json</x:v>
      </x:c>
      <x:c r="O2762" s="38" t="n">
        <x:f>IF(AND(G2762="RECORDED",ISNUMBER(H2762)),H2762,"")</x:f>
        <x:v>17.74</x:v>
      </x:c>
      <x:c r="P2762" s="34" t="str">
        <x:v>NOT_REVEALING</x:v>
      </x:c>
      <x:c r="Q2762" s="34" t="str">
        <x:v>Feedback-Directed Random Test Generation/Result_Round2/Closure_136/result.json</x:v>
      </x:c>
    </x:row>
    <x:row r="2763">
      <x:c r="A2763" s="34" t="str">
        <x:v>randoop</x:v>
      </x:c>
      <x:c r="B2763" s="34" t="str">
        <x:v>Closure</x:v>
      </x:c>
      <x:c r="C2763" s="34" t="str">
        <x:v>Round2</x:v>
      </x:c>
      <x:c r="D2763" s="34" t="str">
        <x:v>Closure_137</x:v>
      </x:c>
      <x:c r="E2763" s="34" t="str">
        <x:v>Line</x:v>
      </x:c>
      <x:c r="F2763" s="34" t="n">
        <x:v>912</x:v>
      </x:c>
      <x:c r="G2763" s="34" t="str">
        <x:v>RECORDED</x:v>
      </x:c>
      <x:c r="H2763" s="38" t="n">
        <x:f>IF(ISNUMBER('Data'!H1055),'Data'!H1055*100,"")</x:f>
        <x:v>47.26</x:v>
      </x:c>
      <x:c r="I2763" s="34" t="str">
        <x:v>PASS</x:v>
      </x:c>
      <x:c r="J2763" s="34" t="str">
        <x:v>PASS</x:v>
      </x:c>
      <x:c r="K2763" s="34" t="str">
        <x:v>PASS</x:v>
      </x:c>
      <x:c r="L2763" s="34" t="str">
        <x:v>FAIL</x:v>
      </x:c>
      <x:c r="M2763" s="34" t="str">
        <x:v>numeric coverage for applicable metric</x:v>
      </x:c>
      <x:c r="N2763" s="34" t="str">
        <x:v>Feedback-Directed Random Test Generation/Result_Round2/Closure_137/result.json</x:v>
      </x:c>
      <x:c r="O2763" s="38" t="n">
        <x:f>IF(AND(G2763="RECORDED",ISNUMBER(H2763)),H2763,"")</x:f>
        <x:v>47.26</x:v>
      </x:c>
      <x:c r="P2763" s="34" t="str">
        <x:v>INCONCLUSIVE</x:v>
      </x:c>
      <x:c r="Q2763" s="34" t="str">
        <x:v>Feedback-Directed Random Test Generation/Result_Round2/Closure_137/result.json</x:v>
      </x:c>
    </x:row>
    <x:row r="2764">
      <x:c r="A2764" s="34" t="str">
        <x:v>randoop</x:v>
      </x:c>
      <x:c r="B2764" s="34" t="str">
        <x:v>Closure</x:v>
      </x:c>
      <x:c r="C2764" s="34" t="str">
        <x:v>Round2</x:v>
      </x:c>
      <x:c r="D2764" s="34" t="str">
        <x:v>Closure_138</x:v>
      </x:c>
      <x:c r="E2764" s="34" t="str">
        <x:v>Line</x:v>
      </x:c>
      <x:c r="F2764" s="34" t="n">
        <x:v>605</x:v>
      </x:c>
      <x:c r="G2764" s="34" t="str">
        <x:v>RECORDED</x:v>
      </x:c>
      <x:c r="H2764" s="38" t="n">
        <x:f>IF(ISNUMBER('Data'!H1056),'Data'!H1056*100,"")</x:f>
        <x:v>0.17</x:v>
      </x:c>
      <x:c r="I2764" s="34" t="str">
        <x:v>PASS</x:v>
      </x:c>
      <x:c r="J2764" s="34" t="str">
        <x:v>PASS</x:v>
      </x:c>
      <x:c r="K2764" s="34" t="str">
        <x:v>PASS</x:v>
      </x:c>
      <x:c r="L2764" s="34" t="str">
        <x:v>PASS</x:v>
      </x:c>
      <x:c r="M2764" s="34" t="str">
        <x:v>numeric coverage for applicable metric</x:v>
      </x:c>
      <x:c r="N2764" s="34" t="str">
        <x:v>Feedback-Directed Random Test Generation/Result_Round2/Closure_138/result.json</x:v>
      </x:c>
      <x:c r="O2764" s="38" t="n">
        <x:f>IF(AND(G2764="RECORDED",ISNUMBER(H2764)),H2764,"")</x:f>
        <x:v>0.17</x:v>
      </x:c>
      <x:c r="P2764" s="34" t="str">
        <x:v>NOT_REVEALING</x:v>
      </x:c>
      <x:c r="Q2764" s="34" t="str">
        <x:v>Feedback-Directed Random Test Generation/Result_Round2/Closure_138/result.json</x:v>
      </x:c>
    </x:row>
    <x:row r="2765">
      <x:c r="A2765" s="34" t="str">
        <x:v>randoop</x:v>
      </x:c>
      <x:c r="B2765" s="34" t="str">
        <x:v>Closure</x:v>
      </x:c>
      <x:c r="C2765" s="34" t="str">
        <x:v>Round2</x:v>
      </x:c>
      <x:c r="D2765" s="34" t="str">
        <x:v>Closure_139</x:v>
      </x:c>
      <x:c r="E2765" s="34" t="str">
        <x:v>Line</x:v>
      </x:c>
      <x:c r="F2765" s="34" t="n">
        <x:v>197</x:v>
      </x:c>
      <x:c r="G2765" s="34" t="str">
        <x:v>RECORDED</x:v>
      </x:c>
      <x:c r="H2765" s="38" t="n">
        <x:f>IF(ISNUMBER('Data'!H1057),'Data'!H1057*100,"")</x:f>
        <x:v>12.689999999999998</x:v>
      </x:c>
      <x:c r="I2765" s="34" t="str">
        <x:v>PASS</x:v>
      </x:c>
      <x:c r="J2765" s="34" t="str">
        <x:v>PASS</x:v>
      </x:c>
      <x:c r="K2765" s="34" t="str">
        <x:v>PASS</x:v>
      </x:c>
      <x:c r="L2765" s="34" t="str">
        <x:v>PASS</x:v>
      </x:c>
      <x:c r="M2765" s="34" t="str">
        <x:v>numeric coverage for applicable metric</x:v>
      </x:c>
      <x:c r="N2765" s="34" t="str">
        <x:v>Feedback-Directed Random Test Generation/Result_Round2/Closure_139/result.json</x:v>
      </x:c>
      <x:c r="O2765" s="38" t="n">
        <x:f>IF(AND(G2765="RECORDED",ISNUMBER(H2765)),H2765,"")</x:f>
        <x:v>12.689999999999998</x:v>
      </x:c>
      <x:c r="P2765" s="34" t="str">
        <x:v>NOT_REVEALING</x:v>
      </x:c>
      <x:c r="Q2765" s="34" t="str">
        <x:v>Feedback-Directed Random Test Generation/Result_Round2/Closure_139/result.json</x:v>
      </x:c>
    </x:row>
    <x:row r="2766">
      <x:c r="A2766" s="34" t="str">
        <x:v>randoop</x:v>
      </x:c>
      <x:c r="B2766" s="34" t="str">
        <x:v>Closure</x:v>
      </x:c>
      <x:c r="C2766" s="34" t="str">
        <x:v>Round2</x:v>
      </x:c>
      <x:c r="D2766" s="34" t="str">
        <x:v>Closure_140</x:v>
      </x:c>
      <x:c r="E2766" s="34" t="str">
        <x:v>Line</x:v>
      </x:c>
      <x:c r="F2766" s="34" t="n">
        <x:v>657</x:v>
      </x:c>
      <x:c r="G2766" s="34" t="str">
        <x:v>RECORDED</x:v>
      </x:c>
      <x:c r="H2766" s="38" t="n">
        <x:f>IF(ISNUMBER('Data'!H1058),'Data'!H1058*100,"")</x:f>
        <x:v>41.55</x:v>
      </x:c>
      <x:c r="I2766" s="34" t="str">
        <x:v>PASS</x:v>
      </x:c>
      <x:c r="J2766" s="34" t="str">
        <x:v>PASS</x:v>
      </x:c>
      <x:c r="K2766" s="34" t="str">
        <x:v>PASS</x:v>
      </x:c>
      <x:c r="L2766" s="34" t="str">
        <x:v>FAIL</x:v>
      </x:c>
      <x:c r="M2766" s="34" t="str">
        <x:v>numeric coverage for applicable metric</x:v>
      </x:c>
      <x:c r="N2766" s="34" t="str">
        <x:v>Feedback-Directed Random Test Generation/Result_Round2/Closure_140/result.json</x:v>
      </x:c>
      <x:c r="O2766" s="38" t="n">
        <x:f>IF(AND(G2766="RECORDED",ISNUMBER(H2766)),H2766,"")</x:f>
        <x:v>41.55</x:v>
      </x:c>
      <x:c r="P2766" s="34" t="str">
        <x:v>INCONCLUSIVE</x:v>
      </x:c>
      <x:c r="Q2766" s="34" t="str">
        <x:v>Feedback-Directed Random Test Generation/Result_Round2/Closure_140/result.json</x:v>
      </x:c>
    </x:row>
    <x:row r="2767">
      <x:c r="A2767" s="34" t="str">
        <x:v>randoop</x:v>
      </x:c>
      <x:c r="B2767" s="34" t="str">
        <x:v>Closure</x:v>
      </x:c>
      <x:c r="C2767" s="34" t="str">
        <x:v>Round2</x:v>
      </x:c>
      <x:c r="D2767" s="34" t="str">
        <x:v>Closure_141</x:v>
      </x:c>
      <x:c r="E2767" s="34" t="str">
        <x:v>Line</x:v>
      </x:c>
      <x:c r="F2767" s="34" t="n">
        <x:v>832</x:v>
      </x:c>
      <x:c r="G2767" s="34" t="str">
        <x:v>RECORDED</x:v>
      </x:c>
      <x:c r="H2767" s="38" t="n">
        <x:f>IF(ISNUMBER('Data'!H1059),'Data'!H1059*100,"")</x:f>
        <x:v>42.67</x:v>
      </x:c>
      <x:c r="I2767" s="34" t="str">
        <x:v>PASS</x:v>
      </x:c>
      <x:c r="J2767" s="34" t="str">
        <x:v>PASS</x:v>
      </x:c>
      <x:c r="K2767" s="34" t="str">
        <x:v>PASS</x:v>
      </x:c>
      <x:c r="L2767" s="34" t="str">
        <x:v>FAIL</x:v>
      </x:c>
      <x:c r="M2767" s="34" t="str">
        <x:v>numeric coverage for applicable metric</x:v>
      </x:c>
      <x:c r="N2767" s="34" t="str">
        <x:v>Feedback-Directed Random Test Generation/Result_Round2/Closure_141/result.json</x:v>
      </x:c>
      <x:c r="O2767" s="38" t="n">
        <x:f>IF(AND(G2767="RECORDED",ISNUMBER(H2767)),H2767,"")</x:f>
        <x:v>42.67</x:v>
      </x:c>
      <x:c r="P2767" s="34" t="str">
        <x:v>INCONCLUSIVE</x:v>
      </x:c>
      <x:c r="Q2767" s="34" t="str">
        <x:v>Feedback-Directed Random Test Generation/Result_Round2/Closure_141/result.json</x:v>
      </x:c>
    </x:row>
    <x:row r="2768">
      <x:c r="A2768" s="34" t="str">
        <x:v>randoop</x:v>
      </x:c>
      <x:c r="B2768" s="34" t="str">
        <x:v>Closure</x:v>
      </x:c>
      <x:c r="C2768" s="34" t="str">
        <x:v>Round2</x:v>
      </x:c>
      <x:c r="D2768" s="34" t="str">
        <x:v>Closure_142</x:v>
      </x:c>
      <x:c r="E2768" s="34" t="str">
        <x:v>Line</x:v>
      </x:c>
      <x:c r="F2768" s="34" t="n">
        <x:v>1039</x:v>
      </x:c>
      <x:c r="G2768" s="34" t="str">
        <x:v>RECORDED</x:v>
      </x:c>
      <x:c r="H2768" s="38" t="n">
        <x:f>IF(ISNUMBER('Data'!H1060),'Data'!H1060*100,"")</x:f>
        <x:v>7.31</x:v>
      </x:c>
      <x:c r="I2768" s="34" t="str">
        <x:v>PASS</x:v>
      </x:c>
      <x:c r="J2768" s="34" t="str">
        <x:v>PASS</x:v>
      </x:c>
      <x:c r="K2768" s="34" t="str">
        <x:v>PASS</x:v>
      </x:c>
      <x:c r="L2768" s="34" t="str">
        <x:v>PASS</x:v>
      </x:c>
      <x:c r="M2768" s="34" t="str">
        <x:v>numeric coverage for applicable metric</x:v>
      </x:c>
      <x:c r="N2768" s="34" t="str">
        <x:v>Feedback-Directed Random Test Generation/Result_Round2/Closure_142/result.json</x:v>
      </x:c>
      <x:c r="O2768" s="38" t="n">
        <x:f>IF(AND(G2768="RECORDED",ISNUMBER(H2768)),H2768,"")</x:f>
        <x:v>7.31</x:v>
      </x:c>
      <x:c r="P2768" s="34" t="str">
        <x:v>NOT_REVEALING</x:v>
      </x:c>
      <x:c r="Q2768" s="34" t="str">
        <x:v>Feedback-Directed Random Test Generation/Result_Round2/Closure_142/result.json</x:v>
      </x:c>
    </x:row>
    <x:row r="2769">
      <x:c r="A2769" s="34" t="str">
        <x:v>randoop</x:v>
      </x:c>
      <x:c r="B2769" s="34" t="str">
        <x:v>Closure</x:v>
      </x:c>
      <x:c r="C2769" s="34" t="str">
        <x:v>Round2</x:v>
      </x:c>
      <x:c r="D2769" s="34" t="str">
        <x:v>Closure_143</x:v>
      </x:c>
      <x:c r="E2769" s="34" t="str">
        <x:v>Line</x:v>
      </x:c>
      <x:c r="F2769" s="34" t="n">
        <x:v>502</x:v>
      </x:c>
      <x:c r="G2769" s="34" t="str">
        <x:v>RECORDED</x:v>
      </x:c>
      <x:c r="H2769" s="38" t="n">
        <x:f>IF(ISNUMBER('Data'!H1061),'Data'!H1061*100,"")</x:f>
        <x:v>29.68</x:v>
      </x:c>
      <x:c r="I2769" s="34" t="str">
        <x:v>PASS</x:v>
      </x:c>
      <x:c r="J2769" s="34" t="str">
        <x:v>PASS</x:v>
      </x:c>
      <x:c r="K2769" s="34" t="str">
        <x:v>PASS</x:v>
      </x:c>
      <x:c r="L2769" s="34" t="str">
        <x:v>PASS</x:v>
      </x:c>
      <x:c r="M2769" s="34" t="str">
        <x:v>numeric coverage for applicable metric</x:v>
      </x:c>
      <x:c r="N2769" s="34" t="str">
        <x:v>Feedback-Directed Random Test Generation/Result_Round2/Closure_143/result.json</x:v>
      </x:c>
      <x:c r="O2769" s="38" t="n">
        <x:f>IF(AND(G2769="RECORDED",ISNUMBER(H2769)),H2769,"")</x:f>
        <x:v>29.68</x:v>
      </x:c>
      <x:c r="P2769" s="34" t="str">
        <x:v>NOT_REVEALING</x:v>
      </x:c>
      <x:c r="Q2769" s="34" t="str">
        <x:v>Feedback-Directed Random Test Generation/Result_Round2/Closure_143/result.json</x:v>
      </x:c>
    </x:row>
    <x:row r="2770">
      <x:c r="A2770" s="34" t="str">
        <x:v>randoop</x:v>
      </x:c>
      <x:c r="B2770" s="34" t="str">
        <x:v>Closure</x:v>
      </x:c>
      <x:c r="C2770" s="34" t="str">
        <x:v>Round2</x:v>
      </x:c>
      <x:c r="D2770" s="34" t="str">
        <x:v>Closure_144</x:v>
      </x:c>
      <x:c r="E2770" s="34" t="str">
        <x:v>Line</x:v>
      </x:c>
      <x:c r="F2770" s="34" t="n">
        <x:v>1221</x:v>
      </x:c>
      <x:c r="G2770" s="34" t="str">
        <x:v>RECORDED</x:v>
      </x:c>
      <x:c r="H2770" s="38" t="n">
        <x:f>IF(ISNUMBER('Data'!H1062),'Data'!H1062*100,"")</x:f>
        <x:v>5.32</x:v>
      </x:c>
      <x:c r="I2770" s="34" t="str">
        <x:v>PASS</x:v>
      </x:c>
      <x:c r="J2770" s="34" t="str">
        <x:v>PASS</x:v>
      </x:c>
      <x:c r="K2770" s="34" t="str">
        <x:v>PASS</x:v>
      </x:c>
      <x:c r="L2770" s="34" t="str">
        <x:v>PASS</x:v>
      </x:c>
      <x:c r="M2770" s="34" t="str">
        <x:v>numeric coverage for applicable metric</x:v>
      </x:c>
      <x:c r="N2770" s="34" t="str">
        <x:v>Feedback-Directed Random Test Generation/Result_Round2/Closure_144/result.json</x:v>
      </x:c>
      <x:c r="O2770" s="38" t="n">
        <x:f>IF(AND(G2770="RECORDED",ISNUMBER(H2770)),H2770,"")</x:f>
        <x:v>5.32</x:v>
      </x:c>
      <x:c r="P2770" s="34" t="str">
        <x:v>NOT_REVEALING</x:v>
      </x:c>
      <x:c r="Q2770" s="34" t="str">
        <x:v>Feedback-Directed Random Test Generation/Result_Round2/Closure_144/result.json</x:v>
      </x:c>
    </x:row>
    <x:row r="2771">
      <x:c r="A2771" s="34" t="str">
        <x:v>randoop</x:v>
      </x:c>
      <x:c r="B2771" s="34" t="str">
        <x:v>Closure</x:v>
      </x:c>
      <x:c r="C2771" s="34" t="str">
        <x:v>Round2</x:v>
      </x:c>
      <x:c r="D2771" s="34" t="str">
        <x:v>Closure_145</x:v>
      </x:c>
      <x:c r="E2771" s="34" t="str">
        <x:v>Line</x:v>
      </x:c>
      <x:c r="F2771" s="34" t="n">
        <x:v>513</x:v>
      </x:c>
      <x:c r="G2771" s="34" t="str">
        <x:v>RECORDED</x:v>
      </x:c>
      <x:c r="H2771" s="38" t="n">
        <x:f>IF(ISNUMBER('Data'!H1063),'Data'!H1063*100,"")</x:f>
        <x:v>12.67</x:v>
      </x:c>
      <x:c r="I2771" s="34" t="str">
        <x:v>PASS</x:v>
      </x:c>
      <x:c r="J2771" s="34" t="str">
        <x:v>PASS</x:v>
      </x:c>
      <x:c r="K2771" s="34" t="str">
        <x:v>PASS</x:v>
      </x:c>
      <x:c r="L2771" s="34" t="str">
        <x:v>PASS</x:v>
      </x:c>
      <x:c r="M2771" s="34" t="str">
        <x:v>numeric coverage for applicable metric</x:v>
      </x:c>
      <x:c r="N2771" s="34" t="str">
        <x:v>Feedback-Directed Random Test Generation/Result_Round2/Closure_145/result.json</x:v>
      </x:c>
      <x:c r="O2771" s="38" t="n">
        <x:f>IF(AND(G2771="RECORDED",ISNUMBER(H2771)),H2771,"")</x:f>
        <x:v>12.67</x:v>
      </x:c>
      <x:c r="P2771" s="34" t="str">
        <x:v>NOT_REVEALING</x:v>
      </x:c>
      <x:c r="Q2771" s="34" t="str">
        <x:v>Feedback-Directed Random Test Generation/Result_Round2/Closure_145/result.json</x:v>
      </x:c>
    </x:row>
    <x:row r="2772">
      <x:c r="A2772" s="34" t="str">
        <x:v>randoop</x:v>
      </x:c>
      <x:c r="B2772" s="34" t="str">
        <x:v>Closure</x:v>
      </x:c>
      <x:c r="C2772" s="34" t="str">
        <x:v>Round2</x:v>
      </x:c>
      <x:c r="D2772" s="34" t="str">
        <x:v>Closure_146</x:v>
      </x:c>
      <x:c r="E2772" s="34" t="str">
        <x:v>Line</x:v>
      </x:c>
      <x:c r="F2772" s="34" t="n">
        <x:v>190</x:v>
      </x:c>
      <x:c r="G2772" s="34" t="str">
        <x:v>RECORDED</x:v>
      </x:c>
      <x:c r="H2772" s="38" t="n">
        <x:f>IF(ISNUMBER('Data'!H1064),'Data'!H1064*100,"")</x:f>
        <x:v>4.74</x:v>
      </x:c>
      <x:c r="I2772" s="34" t="str">
        <x:v>PASS</x:v>
      </x:c>
      <x:c r="J2772" s="34" t="str">
        <x:v>PASS</x:v>
      </x:c>
      <x:c r="K2772" s="34" t="str">
        <x:v>PASS</x:v>
      </x:c>
      <x:c r="L2772" s="34" t="str">
        <x:v>PASS</x:v>
      </x:c>
      <x:c r="M2772" s="34" t="str">
        <x:v>numeric coverage for applicable metric</x:v>
      </x:c>
      <x:c r="N2772" s="34" t="str">
        <x:v>Feedback-Directed Random Test Generation/Result_Round2/Closure_146/result.json</x:v>
      </x:c>
      <x:c r="O2772" s="38" t="n">
        <x:f>IF(AND(G2772="RECORDED",ISNUMBER(H2772)),H2772,"")</x:f>
        <x:v>4.74</x:v>
      </x:c>
      <x:c r="P2772" s="34" t="str">
        <x:v>NOT_REVEALING</x:v>
      </x:c>
      <x:c r="Q2772" s="34" t="str">
        <x:v>Feedback-Directed Random Test Generation/Result_Round2/Closure_146/result.json</x:v>
      </x:c>
    </x:row>
    <x:row r="2773">
      <x:c r="A2773" s="34" t="str">
        <x:v>randoop</x:v>
      </x:c>
      <x:c r="B2773" s="34" t="str">
        <x:v>Closure</x:v>
      </x:c>
      <x:c r="C2773" s="34" t="str">
        <x:v>Round2</x:v>
      </x:c>
      <x:c r="D2773" s="34" t="str">
        <x:v>Closure_147</x:v>
      </x:c>
      <x:c r="E2773" s="34" t="str">
        <x:v>Line</x:v>
      </x:c>
      <x:c r="F2773" s="34" t="n">
        <x:v>212</x:v>
      </x:c>
      <x:c r="G2773" s="34" t="str">
        <x:v>RECORDED</x:v>
      </x:c>
      <x:c r="H2773" s="38" t="n">
        <x:f>IF(ISNUMBER('Data'!H1065),'Data'!H1065*100,"")</x:f>
        <x:v>11.79</x:v>
      </x:c>
      <x:c r="I2773" s="34" t="str">
        <x:v>PASS</x:v>
      </x:c>
      <x:c r="J2773" s="34" t="str">
        <x:v>PASS</x:v>
      </x:c>
      <x:c r="K2773" s="34" t="str">
        <x:v>PASS</x:v>
      </x:c>
      <x:c r="L2773" s="34" t="str">
        <x:v>PASS</x:v>
      </x:c>
      <x:c r="M2773" s="34" t="str">
        <x:v>numeric coverage for applicable metric</x:v>
      </x:c>
      <x:c r="N2773" s="34" t="str">
        <x:v>Feedback-Directed Random Test Generation/Result_Round2/Closure_147/result.json</x:v>
      </x:c>
      <x:c r="O2773" s="38" t="n">
        <x:f>IF(AND(G2773="RECORDED",ISNUMBER(H2773)),H2773,"")</x:f>
        <x:v>11.79</x:v>
      </x:c>
      <x:c r="P2773" s="34" t="str">
        <x:v>NOT_REVEALING</x:v>
      </x:c>
      <x:c r="Q2773" s="34" t="str">
        <x:v>Feedback-Directed Random Test Generation/Result_Round2/Closure_147/result.json</x:v>
      </x:c>
    </x:row>
    <x:row r="2774">
      <x:c r="A2774" s="34" t="str">
        <x:v>randoop</x:v>
      </x:c>
      <x:c r="B2774" s="34" t="str">
        <x:v>Closure</x:v>
      </x:c>
      <x:c r="C2774" s="34" t="str">
        <x:v>Round2</x:v>
      </x:c>
      <x:c r="D2774" s="34" t="str">
        <x:v>Closure_148</x:v>
      </x:c>
      <x:c r="E2774" s="34" t="str">
        <x:v>Line</x:v>
      </x:c>
      <x:c r="F2774" s="34" t="n">
        <x:v>705</x:v>
      </x:c>
      <x:c r="G2774" s="34" t="str">
        <x:v>RECORDED</x:v>
      </x:c>
      <x:c r="H2774" s="38" t="n">
        <x:f>IF(ISNUMBER('Data'!H1066),'Data'!H1066*100,"")</x:f>
        <x:v>5.82</x:v>
      </x:c>
      <x:c r="I2774" s="34" t="str">
        <x:v>PASS</x:v>
      </x:c>
      <x:c r="J2774" s="34" t="str">
        <x:v>PASS</x:v>
      </x:c>
      <x:c r="K2774" s="34" t="str">
        <x:v>PASS</x:v>
      </x:c>
      <x:c r="L2774" s="34" t="str">
        <x:v>PASS</x:v>
      </x:c>
      <x:c r="M2774" s="34" t="str">
        <x:v>numeric coverage for applicable metric</x:v>
      </x:c>
      <x:c r="N2774" s="34" t="str">
        <x:v>Feedback-Directed Random Test Generation/Result_Round2/Closure_148/result.json</x:v>
      </x:c>
      <x:c r="O2774" s="38" t="n">
        <x:f>IF(AND(G2774="RECORDED",ISNUMBER(H2774)),H2774,"")</x:f>
        <x:v>5.82</x:v>
      </x:c>
      <x:c r="P2774" s="34" t="str">
        <x:v>NOT_AVAILABLE</x:v>
      </x:c>
      <x:c r="Q2774" s="34" t="str">
        <x:v>Feedback-Directed Random Test Generation/Result_Round2/Closure_148/result.json</x:v>
      </x:c>
    </x:row>
    <x:row r="2775">
      <x:c r="A2775" s="34" t="str">
        <x:v>randoop</x:v>
      </x:c>
      <x:c r="B2775" s="34" t="str">
        <x:v>Closure</x:v>
      </x:c>
      <x:c r="C2775" s="34" t="str">
        <x:v>Round2</x:v>
      </x:c>
      <x:c r="D2775" s="34" t="str">
        <x:v>Closure_149</x:v>
      </x:c>
      <x:c r="E2775" s="34" t="str">
        <x:v>Line</x:v>
      </x:c>
      <x:c r="F2775" s="34" t="n">
        <x:v>0</x:v>
      </x:c>
      <x:c r="G2775" s="34" t="str">
        <x:v>A</x:v>
      </x:c>
      <x:c r="H2775" s="38" t="str">
        <x:f>IF(ISNUMBER('Data'!H1067),'Data'!H1067*100,"")</x:f>
      </x:c>
      <x:c r="I2775" s="34"/>
      <x:c r="J2775" s="34"/>
      <x:c r="K2775" s="34"/>
      <x:c r="L2775" s="34" t="str">
        <x:v>NOT_RUN</x:v>
      </x:c>
      <x:c r="M2775" s="34" t="str">
        <x:v>Latest same-round generation failed; older files/results are excluded</x:v>
      </x:c>
      <x:c r="N2775" s="34" t="str">
        <x:v>Feedback-Directed Random Test Generation/report_Round2.csv</x:v>
      </x:c>
      <x:c r="O2775" s="38" t="str">
        <x:f>IF(AND(G2775="RECORDED",ISNUMBER(H2775)),H2775,"")</x:f>
      </x:c>
      <x:c r="P2775" s="34" t="str">
        <x:v>FAIL</x:v>
      </x:c>
      <x:c r="Q2775" s="34"/>
    </x:row>
    <x:row r="2776">
      <x:c r="A2776" s="34" t="str">
        <x:v>randoop</x:v>
      </x:c>
      <x:c r="B2776" s="34" t="str">
        <x:v>Closure</x:v>
      </x:c>
      <x:c r="C2776" s="34" t="str">
        <x:v>Round2</x:v>
      </x:c>
      <x:c r="D2776" s="34" t="str">
        <x:v>Closure_150</x:v>
      </x:c>
      <x:c r="E2776" s="34" t="str">
        <x:v>Line</x:v>
      </x:c>
      <x:c r="F2776" s="34" t="n">
        <x:v>660</x:v>
      </x:c>
      <x:c r="G2776" s="34" t="str">
        <x:v>RECORDED</x:v>
      </x:c>
      <x:c r="H2776" s="38" t="n">
        <x:f>IF(ISNUMBER('Data'!H1068),'Data'!H1068*100,"")</x:f>
        <x:v>1.67</x:v>
      </x:c>
      <x:c r="I2776" s="34" t="str">
        <x:v>PASS</x:v>
      </x:c>
      <x:c r="J2776" s="34" t="str">
        <x:v>PASS</x:v>
      </x:c>
      <x:c r="K2776" s="34" t="str">
        <x:v>PASS</x:v>
      </x:c>
      <x:c r="L2776" s="34" t="str">
        <x:v>PASS</x:v>
      </x:c>
      <x:c r="M2776" s="34" t="str">
        <x:v>numeric coverage for applicable metric</x:v>
      </x:c>
      <x:c r="N2776" s="34" t="str">
        <x:v>Feedback-Directed Random Test Generation/Result_Round2/Closure_150/result.json</x:v>
      </x:c>
      <x:c r="O2776" s="38" t="n">
        <x:f>IF(AND(G2776="RECORDED",ISNUMBER(H2776)),H2776,"")</x:f>
        <x:v>1.67</x:v>
      </x:c>
      <x:c r="P2776" s="34" t="str">
        <x:v>NOT_REVEALING</x:v>
      </x:c>
      <x:c r="Q2776" s="34" t="str">
        <x:v>Feedback-Directed Random Test Generation/Result_Round2/Closure_150/result.json</x:v>
      </x:c>
    </x:row>
    <x:row r="2777">
      <x:c r="A2777" s="34" t="str">
        <x:v>randoop</x:v>
      </x:c>
      <x:c r="B2777" s="34" t="str">
        <x:v>Closure</x:v>
      </x:c>
      <x:c r="C2777" s="34" t="str">
        <x:v>Round2</x:v>
      </x:c>
      <x:c r="D2777" s="34" t="str">
        <x:v>Closure_151</x:v>
      </x:c>
      <x:c r="E2777" s="34" t="str">
        <x:v>Line</x:v>
      </x:c>
      <x:c r="F2777" s="34" t="n">
        <x:v>0</x:v>
      </x:c>
      <x:c r="G2777" s="34" t="str">
        <x:v>A</x:v>
      </x:c>
      <x:c r="H2777" s="38" t="str">
        <x:f>IF(ISNUMBER('Data'!H1069),'Data'!H1069*100,"")</x:f>
      </x:c>
      <x:c r="I2777" s="34"/>
      <x:c r="J2777" s="34"/>
      <x:c r="K2777" s="34"/>
      <x:c r="L2777" s="34" t="str">
        <x:v>NOT_RUN</x:v>
      </x:c>
      <x:c r="M2777" s="34" t="str">
        <x:v>Latest same-round generation failed; older files/results are excluded</x:v>
      </x:c>
      <x:c r="N2777" s="34" t="str">
        <x:v>Feedback-Directed Random Test Generation/report_Round2.csv</x:v>
      </x:c>
      <x:c r="O2777" s="38" t="str">
        <x:f>IF(AND(G2777="RECORDED",ISNUMBER(H2777)),H2777,"")</x:f>
      </x:c>
      <x:c r="P2777" s="34" t="str">
        <x:v>FAIL</x:v>
      </x:c>
      <x:c r="Q2777" s="34"/>
    </x:row>
    <x:row r="2778">
      <x:c r="A2778" s="34" t="str">
        <x:v>randoop</x:v>
      </x:c>
      <x:c r="B2778" s="34" t="str">
        <x:v>Closure</x:v>
      </x:c>
      <x:c r="C2778" s="34" t="str">
        <x:v>Round2</x:v>
      </x:c>
      <x:c r="D2778" s="34" t="str">
        <x:v>Closure_152</x:v>
      </x:c>
      <x:c r="E2778" s="34" t="str">
        <x:v>Line</x:v>
      </x:c>
      <x:c r="F2778" s="34" t="n">
        <x:v>351</x:v>
      </x:c>
      <x:c r="G2778" s="34" t="str">
        <x:v>RECORDED</x:v>
      </x:c>
      <x:c r="H2778" s="38" t="n">
        <x:f>IF(ISNUMBER('Data'!H1070),'Data'!H1070*100,"")</x:f>
        <x:v>1.42</x:v>
      </x:c>
      <x:c r="I2778" s="34" t="str">
        <x:v>PASS</x:v>
      </x:c>
      <x:c r="J2778" s="34" t="str">
        <x:v>PASS</x:v>
      </x:c>
      <x:c r="K2778" s="34" t="str">
        <x:v>PASS</x:v>
      </x:c>
      <x:c r="L2778" s="34" t="str">
        <x:v>PASS</x:v>
      </x:c>
      <x:c r="M2778" s="34" t="str">
        <x:v>numeric coverage for applicable metric</x:v>
      </x:c>
      <x:c r="N2778" s="34" t="str">
        <x:v>Feedback-Directed Random Test Generation/Result_Round2/Closure_152/result.json</x:v>
      </x:c>
      <x:c r="O2778" s="38" t="n">
        <x:f>IF(AND(G2778="RECORDED",ISNUMBER(H2778)),H2778,"")</x:f>
        <x:v>1.42</x:v>
      </x:c>
      <x:c r="P2778" s="34" t="str">
        <x:v>NOT_REVEALING</x:v>
      </x:c>
      <x:c r="Q2778" s="34" t="str">
        <x:v>Feedback-Directed Random Test Generation/Result_Round2/Closure_152/result.json</x:v>
      </x:c>
    </x:row>
    <x:row r="2779">
      <x:c r="A2779" s="34" t="str">
        <x:v>randoop</x:v>
      </x:c>
      <x:c r="B2779" s="34" t="str">
        <x:v>Closure</x:v>
      </x:c>
      <x:c r="C2779" s="34" t="str">
        <x:v>Round2</x:v>
      </x:c>
      <x:c r="D2779" s="34" t="str">
        <x:v>Closure_153</x:v>
      </x:c>
      <x:c r="E2779" s="34" t="str">
        <x:v>Line</x:v>
      </x:c>
      <x:c r="F2779" s="34" t="n">
        <x:v>376</x:v>
      </x:c>
      <x:c r="G2779" s="34" t="str">
        <x:v>RECORDED</x:v>
      </x:c>
      <x:c r="H2779" s="38" t="n">
        <x:f>IF(ISNUMBER('Data'!H1071),'Data'!H1071*100,"")</x:f>
        <x:v>11.97</x:v>
      </x:c>
      <x:c r="I2779" s="34" t="str">
        <x:v>PASS</x:v>
      </x:c>
      <x:c r="J2779" s="34" t="str">
        <x:v>PASS</x:v>
      </x:c>
      <x:c r="K2779" s="34" t="str">
        <x:v>PASS</x:v>
      </x:c>
      <x:c r="L2779" s="34" t="str">
        <x:v>PASS</x:v>
      </x:c>
      <x:c r="M2779" s="34" t="str">
        <x:v>numeric coverage for applicable metric</x:v>
      </x:c>
      <x:c r="N2779" s="34" t="str">
        <x:v>Feedback-Directed Random Test Generation/Result_Round2/Closure_153/result.json</x:v>
      </x:c>
      <x:c r="O2779" s="38" t="n">
        <x:f>IF(AND(G2779="RECORDED",ISNUMBER(H2779)),H2779,"")</x:f>
        <x:v>11.97</x:v>
      </x:c>
      <x:c r="P2779" s="34" t="str">
        <x:v>NOT_REVEALING</x:v>
      </x:c>
      <x:c r="Q2779" s="34" t="str">
        <x:v>Feedback-Directed Random Test Generation/Result_Round2/Closure_153/result.json</x:v>
      </x:c>
    </x:row>
    <x:row r="2780">
      <x:c r="A2780" s="34" t="str">
        <x:v>randoop</x:v>
      </x:c>
      <x:c r="B2780" s="34" t="str">
        <x:v>Closure</x:v>
      </x:c>
      <x:c r="C2780" s="34" t="str">
        <x:v>Round2</x:v>
      </x:c>
      <x:c r="D2780" s="34" t="str">
        <x:v>Closure_154</x:v>
      </x:c>
      <x:c r="E2780" s="34" t="str">
        <x:v>Line</x:v>
      </x:c>
      <x:c r="F2780" s="34" t="n">
        <x:v>967</x:v>
      </x:c>
      <x:c r="G2780" s="34" t="str">
        <x:v>RECORDED</x:v>
      </x:c>
      <x:c r="H2780" s="38" t="n">
        <x:f>IF(ISNUMBER('Data'!H1072),'Data'!H1072*100,"")</x:f>
        <x:v>8.58</x:v>
      </x:c>
      <x:c r="I2780" s="34" t="str">
        <x:v>PASS</x:v>
      </x:c>
      <x:c r="J2780" s="34" t="str">
        <x:v>PASS</x:v>
      </x:c>
      <x:c r="K2780" s="34" t="str">
        <x:v>PASS</x:v>
      </x:c>
      <x:c r="L2780" s="34" t="str">
        <x:v>PASS</x:v>
      </x:c>
      <x:c r="M2780" s="34" t="str">
        <x:v>numeric coverage for applicable metric</x:v>
      </x:c>
      <x:c r="N2780" s="34" t="str">
        <x:v>Feedback-Directed Random Test Generation/Result_Round2/Closure_154/result.json</x:v>
      </x:c>
      <x:c r="O2780" s="38" t="n">
        <x:f>IF(AND(G2780="RECORDED",ISNUMBER(H2780)),H2780,"")</x:f>
        <x:v>8.58</x:v>
      </x:c>
      <x:c r="P2780" s="34" t="str">
        <x:v>NOT_AVAILABLE</x:v>
      </x:c>
      <x:c r="Q2780" s="34" t="str">
        <x:v>Feedback-Directed Random Test Generation/Result_Round2/Closure_154/result.json</x:v>
      </x:c>
    </x:row>
    <x:row r="2781">
      <x:c r="A2781" s="34" t="str">
        <x:v>randoop</x:v>
      </x:c>
      <x:c r="B2781" s="34" t="str">
        <x:v>Closure</x:v>
      </x:c>
      <x:c r="C2781" s="34" t="str">
        <x:v>Round2</x:v>
      </x:c>
      <x:c r="D2781" s="34" t="str">
        <x:v>Closure_155</x:v>
      </x:c>
      <x:c r="E2781" s="34" t="str">
        <x:v>Line</x:v>
      </x:c>
      <x:c r="F2781" s="34" t="n">
        <x:v>569</x:v>
      </x:c>
      <x:c r="G2781" s="34" t="str">
        <x:v>RECORDED</x:v>
      </x:c>
      <x:c r="H2781" s="38" t="n">
        <x:f>IF(ISNUMBER('Data'!H1073),'Data'!H1073*100,"")</x:f>
        <x:v>26.890000000000004</x:v>
      </x:c>
      <x:c r="I2781" s="34" t="str">
        <x:v>PASS</x:v>
      </x:c>
      <x:c r="J2781" s="34" t="str">
        <x:v>PASS</x:v>
      </x:c>
      <x:c r="K2781" s="34" t="str">
        <x:v>PASS</x:v>
      </x:c>
      <x:c r="L2781" s="34" t="str">
        <x:v>FAIL</x:v>
      </x:c>
      <x:c r="M2781" s="34" t="str">
        <x:v>numeric coverage for applicable metric</x:v>
      </x:c>
      <x:c r="N2781" s="34" t="str">
        <x:v>Feedback-Directed Random Test Generation/Result_Round2/Closure_155/result.json</x:v>
      </x:c>
      <x:c r="O2781" s="38" t="n">
        <x:f>IF(AND(G2781="RECORDED",ISNUMBER(H2781)),H2781,"")</x:f>
        <x:v>26.890000000000004</x:v>
      </x:c>
      <x:c r="P2781" s="34" t="str">
        <x:v>INCONCLUSIVE</x:v>
      </x:c>
      <x:c r="Q2781" s="34" t="str">
        <x:v>Feedback-Directed Random Test Generation/Result_Round2/Closure_155/result.json</x:v>
      </x:c>
    </x:row>
    <x:row r="2782">
      <x:c r="A2782" s="34" t="str">
        <x:v>randoop</x:v>
      </x:c>
      <x:c r="B2782" s="34" t="str">
        <x:v>Closure</x:v>
      </x:c>
      <x:c r="C2782" s="34" t="str">
        <x:v>Round2</x:v>
      </x:c>
      <x:c r="D2782" s="34" t="str">
        <x:v>Closure_156</x:v>
      </x:c>
      <x:c r="E2782" s="34" t="str">
        <x:v>Line</x:v>
      </x:c>
      <x:c r="F2782" s="34" t="n">
        <x:v>335</x:v>
      </x:c>
      <x:c r="G2782" s="34" t="str">
        <x:v>RECORDED</x:v>
      </x:c>
      <x:c r="H2782" s="38" t="n">
        <x:f>IF(ISNUMBER('Data'!H1074),'Data'!H1074*100,"")</x:f>
        <x:v>5.07</x:v>
      </x:c>
      <x:c r="I2782" s="34" t="str">
        <x:v>PASS</x:v>
      </x:c>
      <x:c r="J2782" s="34" t="str">
        <x:v>PASS</x:v>
      </x:c>
      <x:c r="K2782" s="34" t="str">
        <x:v>PASS</x:v>
      </x:c>
      <x:c r="L2782" s="34" t="str">
        <x:v>PASS</x:v>
      </x:c>
      <x:c r="M2782" s="34" t="str">
        <x:v>numeric coverage for applicable metric</x:v>
      </x:c>
      <x:c r="N2782" s="34" t="str">
        <x:v>Feedback-Directed Random Test Generation/Result_Round2/Closure_156/result.json</x:v>
      </x:c>
      <x:c r="O2782" s="38" t="n">
        <x:f>IF(AND(G2782="RECORDED",ISNUMBER(H2782)),H2782,"")</x:f>
        <x:v>5.07</x:v>
      </x:c>
      <x:c r="P2782" s="34" t="str">
        <x:v>NOT_REVEALING</x:v>
      </x:c>
      <x:c r="Q2782" s="34" t="str">
        <x:v>Feedback-Directed Random Test Generation/Result_Round2/Closure_156/result.json</x:v>
      </x:c>
    </x:row>
    <x:row r="2783">
      <x:c r="A2783" s="34" t="str">
        <x:v>randoop</x:v>
      </x:c>
      <x:c r="B2783" s="34" t="str">
        <x:v>Closure</x:v>
      </x:c>
      <x:c r="C2783" s="34" t="str">
        <x:v>Round2</x:v>
      </x:c>
      <x:c r="D2783" s="34" t="str">
        <x:v>Closure_157</x:v>
      </x:c>
      <x:c r="E2783" s="34" t="str">
        <x:v>Line</x:v>
      </x:c>
      <x:c r="F2783" s="34" t="n">
        <x:v>1325</x:v>
      </x:c>
      <x:c r="G2783" s="34" t="str">
        <x:v>RECORDED</x:v>
      </x:c>
      <x:c r="H2783" s="38" t="n">
        <x:f>IF(ISNUMBER('Data'!H1075),'Data'!H1075*100,"")</x:f>
        <x:v>6.64</x:v>
      </x:c>
      <x:c r="I2783" s="34" t="str">
        <x:v>PASS</x:v>
      </x:c>
      <x:c r="J2783" s="34" t="str">
        <x:v>PASS</x:v>
      </x:c>
      <x:c r="K2783" s="34" t="str">
        <x:v>PASS</x:v>
      </x:c>
      <x:c r="L2783" s="34" t="str">
        <x:v>PASS</x:v>
      </x:c>
      <x:c r="M2783" s="34" t="str">
        <x:v>numeric coverage for applicable metric</x:v>
      </x:c>
      <x:c r="N2783" s="34" t="str">
        <x:v>Feedback-Directed Random Test Generation/Result_Round2/Closure_157/result.json</x:v>
      </x:c>
      <x:c r="O2783" s="38" t="n">
        <x:f>IF(AND(G2783="RECORDED",ISNUMBER(H2783)),H2783,"")</x:f>
        <x:v>6.64</x:v>
      </x:c>
      <x:c r="P2783" s="34" t="str">
        <x:v>NOT_REVEALING</x:v>
      </x:c>
      <x:c r="Q2783" s="34" t="str">
        <x:v>Feedback-Directed Random Test Generation/Result_Round2/Closure_157/result.json</x:v>
      </x:c>
    </x:row>
    <x:row r="2784">
      <x:c r="A2784" s="34" t="str">
        <x:v>randoop</x:v>
      </x:c>
      <x:c r="B2784" s="34" t="str">
        <x:v>Closure</x:v>
      </x:c>
      <x:c r="C2784" s="34" t="str">
        <x:v>Round2</x:v>
      </x:c>
      <x:c r="D2784" s="34" t="str">
        <x:v>Closure_158</x:v>
      </x:c>
      <x:c r="E2784" s="34" t="str">
        <x:v>Line</x:v>
      </x:c>
      <x:c r="F2784" s="34" t="n">
        <x:v>0</x:v>
      </x:c>
      <x:c r="G2784" s="34" t="str">
        <x:v>A</x:v>
      </x:c>
      <x:c r="H2784" s="38" t="str">
        <x:f>IF(ISNUMBER('Data'!H1076),'Data'!H1076*100,"")</x:f>
      </x:c>
      <x:c r="I2784" s="34"/>
      <x:c r="J2784" s="34"/>
      <x:c r="K2784" s="34"/>
      <x:c r="L2784" s="34" t="str">
        <x:v>NOT_RUN</x:v>
      </x:c>
      <x:c r="M2784" s="34" t="str">
        <x:v>Latest same-round generation failed; older files/results are excluded</x:v>
      </x:c>
      <x:c r="N2784" s="34" t="str">
        <x:v>Feedback-Directed Random Test Generation/report_Round2.csv</x:v>
      </x:c>
      <x:c r="O2784" s="38" t="str">
        <x:f>IF(AND(G2784="RECORDED",ISNUMBER(H2784)),H2784,"")</x:f>
      </x:c>
      <x:c r="P2784" s="34" t="str">
        <x:v>FAIL</x:v>
      </x:c>
      <x:c r="Q2784" s="34"/>
    </x:row>
    <x:row r="2785">
      <x:c r="A2785" s="34" t="str">
        <x:v>randoop</x:v>
      </x:c>
      <x:c r="B2785" s="34" t="str">
        <x:v>Closure</x:v>
      </x:c>
      <x:c r="C2785" s="34" t="str">
        <x:v>Round2</x:v>
      </x:c>
      <x:c r="D2785" s="34" t="str">
        <x:v>Closure_159</x:v>
      </x:c>
      <x:c r="E2785" s="34" t="str">
        <x:v>Line</x:v>
      </x:c>
      <x:c r="F2785" s="34" t="n">
        <x:v>413</x:v>
      </x:c>
      <x:c r="G2785" s="34" t="str">
        <x:v>RECORDED</x:v>
      </x:c>
      <x:c r="H2785" s="38" t="n">
        <x:f>IF(ISNUMBER('Data'!H1077),'Data'!H1077*100,"")</x:f>
        <x:v>1.21</x:v>
      </x:c>
      <x:c r="I2785" s="34" t="str">
        <x:v>PASS</x:v>
      </x:c>
      <x:c r="J2785" s="34" t="str">
        <x:v>PASS</x:v>
      </x:c>
      <x:c r="K2785" s="34" t="str">
        <x:v>PASS</x:v>
      </x:c>
      <x:c r="L2785" s="34" t="str">
        <x:v>PASS</x:v>
      </x:c>
      <x:c r="M2785" s="34" t="str">
        <x:v>numeric coverage for applicable metric</x:v>
      </x:c>
      <x:c r="N2785" s="34" t="str">
        <x:v>Feedback-Directed Random Test Generation/Result_Round2/Closure_159/result.json</x:v>
      </x:c>
      <x:c r="O2785" s="38" t="n">
        <x:f>IF(AND(G2785="RECORDED",ISNUMBER(H2785)),H2785,"")</x:f>
        <x:v>1.21</x:v>
      </x:c>
      <x:c r="P2785" s="34" t="str">
        <x:v>NOT_REVEALING</x:v>
      </x:c>
      <x:c r="Q2785" s="34" t="str">
        <x:v>Feedback-Directed Random Test Generation/Result_Round2/Closure_159/result.json</x:v>
      </x:c>
    </x:row>
    <x:row r="2786">
      <x:c r="A2786" s="34" t="str">
        <x:v>randoop</x:v>
      </x:c>
      <x:c r="B2786" s="34" t="str">
        <x:v>Closure</x:v>
      </x:c>
      <x:c r="C2786" s="34" t="str">
        <x:v>Round2</x:v>
      </x:c>
      <x:c r="D2786" s="34" t="str">
        <x:v>Closure_160</x:v>
      </x:c>
      <x:c r="E2786" s="34" t="str">
        <x:v>Line</x:v>
      </x:c>
      <x:c r="F2786" s="34" t="n">
        <x:v>792</x:v>
      </x:c>
      <x:c r="G2786" s="34" t="str">
        <x:v>RECORDED</x:v>
      </x:c>
      <x:c r="H2786" s="38" t="n">
        <x:f>IF(ISNUMBER('Data'!H1078),'Data'!H1078*100,"")</x:f>
        <x:v>43.06</x:v>
      </x:c>
      <x:c r="I2786" s="34" t="str">
        <x:v>PASS</x:v>
      </x:c>
      <x:c r="J2786" s="34" t="str">
        <x:v>PASS</x:v>
      </x:c>
      <x:c r="K2786" s="34" t="str">
        <x:v>PASS</x:v>
      </x:c>
      <x:c r="L2786" s="34" t="str">
        <x:v>FAIL</x:v>
      </x:c>
      <x:c r="M2786" s="34" t="str">
        <x:v>numeric coverage for applicable metric</x:v>
      </x:c>
      <x:c r="N2786" s="34" t="str">
        <x:v>Feedback-Directed Random Test Generation/Result_Round2/Closure_160/result.json</x:v>
      </x:c>
      <x:c r="O2786" s="38" t="n">
        <x:f>IF(AND(G2786="RECORDED",ISNUMBER(H2786)),H2786,"")</x:f>
        <x:v>43.06</x:v>
      </x:c>
      <x:c r="P2786" s="34" t="str">
        <x:v>INCONCLUSIVE</x:v>
      </x:c>
      <x:c r="Q2786" s="34" t="str">
        <x:v>Feedback-Directed Random Test Generation/Result_Round2/Closure_160/result.json</x:v>
      </x:c>
    </x:row>
    <x:row r="2787">
      <x:c r="A2787" s="34" t="str">
        <x:v>randoop</x:v>
      </x:c>
      <x:c r="B2787" s="34" t="str">
        <x:v>Closure</x:v>
      </x:c>
      <x:c r="C2787" s="34" t="str">
        <x:v>Round2</x:v>
      </x:c>
      <x:c r="D2787" s="34" t="str">
        <x:v>Closure_161</x:v>
      </x:c>
      <x:c r="E2787" s="34" t="str">
        <x:v>Line</x:v>
      </x:c>
      <x:c r="F2787" s="34" t="n">
        <x:v>636</x:v>
      </x:c>
      <x:c r="G2787" s="34" t="str">
        <x:v>RECORDED</x:v>
      </x:c>
      <x:c r="H2787" s="38" t="n">
        <x:f>IF(ISNUMBER('Data'!H1079),'Data'!H1079*100,"")</x:f>
        <x:v>2.04</x:v>
      </x:c>
      <x:c r="I2787" s="34" t="str">
        <x:v>PASS</x:v>
      </x:c>
      <x:c r="J2787" s="34" t="str">
        <x:v>PASS</x:v>
      </x:c>
      <x:c r="K2787" s="34" t="str">
        <x:v>PASS</x:v>
      </x:c>
      <x:c r="L2787" s="34" t="str">
        <x:v>PASS</x:v>
      </x:c>
      <x:c r="M2787" s="34" t="str">
        <x:v>numeric coverage for applicable metric</x:v>
      </x:c>
      <x:c r="N2787" s="34" t="str">
        <x:v>Feedback-Directed Random Test Generation/Result_Round2/Closure_161/result.json</x:v>
      </x:c>
      <x:c r="O2787" s="38" t="n">
        <x:f>IF(AND(G2787="RECORDED",ISNUMBER(H2787)),H2787,"")</x:f>
        <x:v>2.04</x:v>
      </x:c>
      <x:c r="P2787" s="34" t="str">
        <x:v>NOT_REVEALING</x:v>
      </x:c>
      <x:c r="Q2787" s="34" t="str">
        <x:v>Feedback-Directed Random Test Generation/Result_Round2/Closure_161/result.json</x:v>
      </x:c>
    </x:row>
    <x:row r="2788">
      <x:c r="A2788" s="34" t="str">
        <x:v>randoop</x:v>
      </x:c>
      <x:c r="B2788" s="34" t="str">
        <x:v>Closure</x:v>
      </x:c>
      <x:c r="C2788" s="34" t="str">
        <x:v>Round2</x:v>
      </x:c>
      <x:c r="D2788" s="34" t="str">
        <x:v>Closure_162</x:v>
      </x:c>
      <x:c r="E2788" s="34" t="str">
        <x:v>Line</x:v>
      </x:c>
      <x:c r="F2788" s="34" t="n">
        <x:v>306</x:v>
      </x:c>
      <x:c r="G2788" s="34" t="str">
        <x:v>RECORDED</x:v>
      </x:c>
      <x:c r="H2788" s="38" t="n">
        <x:f>IF(ISNUMBER('Data'!H1080),'Data'!H1080*100,"")</x:f>
        <x:v>43.46</x:v>
      </x:c>
      <x:c r="I2788" s="34" t="str">
        <x:v>PASS</x:v>
      </x:c>
      <x:c r="J2788" s="34" t="str">
        <x:v>PASS</x:v>
      </x:c>
      <x:c r="K2788" s="34" t="str">
        <x:v>PASS</x:v>
      </x:c>
      <x:c r="L2788" s="34" t="str">
        <x:v>FAIL</x:v>
      </x:c>
      <x:c r="M2788" s="34" t="str">
        <x:v>numeric coverage for applicable metric</x:v>
      </x:c>
      <x:c r="N2788" s="34" t="str">
        <x:v>Feedback-Directed Random Test Generation/Result_Round2/Closure_162/result.json</x:v>
      </x:c>
      <x:c r="O2788" s="38" t="n">
        <x:f>IF(AND(G2788="RECORDED",ISNUMBER(H2788)),H2788,"")</x:f>
        <x:v>43.46</x:v>
      </x:c>
      <x:c r="P2788" s="34" t="str">
        <x:v>INCONCLUSIVE</x:v>
      </x:c>
      <x:c r="Q2788" s="34" t="str">
        <x:v>Feedback-Directed Random Test Generation/Result_Round2/Closure_162/result.json</x:v>
      </x:c>
    </x:row>
    <x:row r="2789">
      <x:c r="A2789" s="34" t="str">
        <x:v>randoop</x:v>
      </x:c>
      <x:c r="B2789" s="34" t="str">
        <x:v>Closure</x:v>
      </x:c>
      <x:c r="C2789" s="34" t="str">
        <x:v>Round2</x:v>
      </x:c>
      <x:c r="D2789" s="34" t="str">
        <x:v>Closure_163</x:v>
      </x:c>
      <x:c r="E2789" s="34" t="str">
        <x:v>Line</x:v>
      </x:c>
      <x:c r="F2789" s="34" t="n">
        <x:v>324</x:v>
      </x:c>
      <x:c r="G2789" s="34" t="str">
        <x:v>RECORDED</x:v>
      </x:c>
      <x:c r="H2789" s="38" t="n">
        <x:f>IF(ISNUMBER('Data'!H1081),'Data'!H1081*100,"")</x:f>
        <x:v>32.72</x:v>
      </x:c>
      <x:c r="I2789" s="34" t="str">
        <x:v>PASS</x:v>
      </x:c>
      <x:c r="J2789" s="34" t="str">
        <x:v>PASS</x:v>
      </x:c>
      <x:c r="K2789" s="34" t="str">
        <x:v>PASS</x:v>
      </x:c>
      <x:c r="L2789" s="34" t="str">
        <x:v>PASS</x:v>
      </x:c>
      <x:c r="M2789" s="34" t="str">
        <x:v>numeric coverage for applicable metric</x:v>
      </x:c>
      <x:c r="N2789" s="34" t="str">
        <x:v>Feedback-Directed Random Test Generation/Result_Round2/Closure_163/result.json</x:v>
      </x:c>
      <x:c r="O2789" s="38" t="n">
        <x:f>IF(AND(G2789="RECORDED",ISNUMBER(H2789)),H2789,"")</x:f>
        <x:v>32.72</x:v>
      </x:c>
      <x:c r="P2789" s="34" t="str">
        <x:v>NOT_AVAILABLE</x:v>
      </x:c>
      <x:c r="Q2789" s="34" t="str">
        <x:v>Feedback-Directed Random Test Generation/Result_Round2/Closure_163/result.json</x:v>
      </x:c>
    </x:row>
    <x:row r="2790">
      <x:c r="A2790" s="34" t="str">
        <x:v>randoop</x:v>
      </x:c>
      <x:c r="B2790" s="34" t="str">
        <x:v>Closure</x:v>
      </x:c>
      <x:c r="C2790" s="34" t="str">
        <x:v>Round2</x:v>
      </x:c>
      <x:c r="D2790" s="34" t="str">
        <x:v>Closure_164</x:v>
      </x:c>
      <x:c r="E2790" s="34" t="str">
        <x:v>Line</x:v>
      </x:c>
      <x:c r="F2790" s="34" t="n">
        <x:v>89</x:v>
      </x:c>
      <x:c r="G2790" s="34" t="str">
        <x:v>RECORDED</x:v>
      </x:c>
      <x:c r="H2790" s="38" t="n">
        <x:f>IF(ISNUMBER('Data'!H1082),'Data'!H1082*100,"")</x:f>
        <x:v>4.49</x:v>
      </x:c>
      <x:c r="I2790" s="34" t="str">
        <x:v>PASS</x:v>
      </x:c>
      <x:c r="J2790" s="34" t="str">
        <x:v>PASS</x:v>
      </x:c>
      <x:c r="K2790" s="34" t="str">
        <x:v>PASS</x:v>
      </x:c>
      <x:c r="L2790" s="34" t="str">
        <x:v>PASS</x:v>
      </x:c>
      <x:c r="M2790" s="34" t="str">
        <x:v>numeric coverage for applicable metric</x:v>
      </x:c>
      <x:c r="N2790" s="34" t="str">
        <x:v>Feedback-Directed Random Test Generation/Result_Round2/Closure_164/result.json</x:v>
      </x:c>
      <x:c r="O2790" s="38" t="n">
        <x:f>IF(AND(G2790="RECORDED",ISNUMBER(H2790)),H2790,"")</x:f>
        <x:v>4.49</x:v>
      </x:c>
      <x:c r="P2790" s="34" t="str">
        <x:v>NOT_REVEALING</x:v>
      </x:c>
      <x:c r="Q2790" s="34" t="str">
        <x:v>Feedback-Directed Random Test Generation/Result_Round2/Closure_164/result.json</x:v>
      </x:c>
    </x:row>
    <x:row r="2791">
      <x:c r="A2791" s="34" t="str">
        <x:v>randoop</x:v>
      </x:c>
      <x:c r="B2791" s="34" t="str">
        <x:v>Closure</x:v>
      </x:c>
      <x:c r="C2791" s="34" t="str">
        <x:v>Round2</x:v>
      </x:c>
      <x:c r="D2791" s="34" t="str">
        <x:v>Closure_165</x:v>
      </x:c>
      <x:c r="E2791" s="34" t="str">
        <x:v>Line</x:v>
      </x:c>
      <x:c r="F2791" s="34" t="n">
        <x:v>830</x:v>
      </x:c>
      <x:c r="G2791" s="34" t="str">
        <x:v>RECORDED</x:v>
      </x:c>
      <x:c r="H2791" s="38" t="n">
        <x:f>IF(ISNUMBER('Data'!H1083),'Data'!H1083*100,"")</x:f>
        <x:v>67.71</x:v>
      </x:c>
      <x:c r="I2791" s="34" t="str">
        <x:v>PASS</x:v>
      </x:c>
      <x:c r="J2791" s="34" t="str">
        <x:v>PASS</x:v>
      </x:c>
      <x:c r="K2791" s="34" t="str">
        <x:v>PASS</x:v>
      </x:c>
      <x:c r="L2791" s="34" t="str">
        <x:v>PASS</x:v>
      </x:c>
      <x:c r="M2791" s="34" t="str">
        <x:v>numeric coverage for applicable metric</x:v>
      </x:c>
      <x:c r="N2791" s="34" t="str">
        <x:v>Feedback-Directed Random Test Generation/Result_Round2/Closure_165/result.json</x:v>
      </x:c>
      <x:c r="O2791" s="38" t="n">
        <x:f>IF(AND(G2791="RECORDED",ISNUMBER(H2791)),H2791,"")</x:f>
        <x:v>67.71</x:v>
      </x:c>
      <x:c r="P2791" s="34" t="str">
        <x:v>NOT_REVEALING</x:v>
      </x:c>
      <x:c r="Q2791" s="34" t="str">
        <x:v>Feedback-Directed Random Test Generation/Result_Round2/Closure_165/result.json</x:v>
      </x:c>
    </x:row>
    <x:row r="2792">
      <x:c r="A2792" s="34" t="str">
        <x:v>randoop</x:v>
      </x:c>
      <x:c r="B2792" s="34" t="str">
        <x:v>Closure</x:v>
      </x:c>
      <x:c r="C2792" s="34" t="str">
        <x:v>Round2</x:v>
      </x:c>
      <x:c r="D2792" s="34" t="str">
        <x:v>Closure_166</x:v>
      </x:c>
      <x:c r="E2792" s="34" t="str">
        <x:v>Line</x:v>
      </x:c>
      <x:c r="F2792" s="34" t="n">
        <x:v>220</x:v>
      </x:c>
      <x:c r="G2792" s="34" t="str">
        <x:v>RECORDED</x:v>
      </x:c>
      <x:c r="H2792" s="38" t="n">
        <x:f>IF(ISNUMBER('Data'!H1084),'Data'!H1084*100,"")</x:f>
        <x:v>61.36000000000001</x:v>
      </x:c>
      <x:c r="I2792" s="34" t="str">
        <x:v>PASS</x:v>
      </x:c>
      <x:c r="J2792" s="34" t="str">
        <x:v>PASS</x:v>
      </x:c>
      <x:c r="K2792" s="34" t="str">
        <x:v>PASS</x:v>
      </x:c>
      <x:c r="L2792" s="34" t="str">
        <x:v>PASS</x:v>
      </x:c>
      <x:c r="M2792" s="34" t="str">
        <x:v>numeric coverage for applicable metric</x:v>
      </x:c>
      <x:c r="N2792" s="34" t="str">
        <x:v>Feedback-Directed Random Test Generation/Result_Round2/Closure_166/result.json</x:v>
      </x:c>
      <x:c r="O2792" s="38" t="n">
        <x:f>IF(AND(G2792="RECORDED",ISNUMBER(H2792)),H2792,"")</x:f>
        <x:v>61.36000000000001</x:v>
      </x:c>
      <x:c r="P2792" s="34" t="str">
        <x:v>NOT_REVEALING</x:v>
      </x:c>
      <x:c r="Q2792" s="34" t="str">
        <x:v>Feedback-Directed Random Test Generation/Result_Round2/Closure_166/result.json</x:v>
      </x:c>
    </x:row>
    <x:row r="2793">
      <x:c r="A2793" s="34" t="str">
        <x:v>randoop</x:v>
      </x:c>
      <x:c r="B2793" s="34" t="str">
        <x:v>Closure</x:v>
      </x:c>
      <x:c r="C2793" s="34" t="str">
        <x:v>Round2</x:v>
      </x:c>
      <x:c r="D2793" s="34" t="str">
        <x:v>Closure_167</x:v>
      </x:c>
      <x:c r="E2793" s="34" t="str">
        <x:v>Line</x:v>
      </x:c>
      <x:c r="F2793" s="34" t="n">
        <x:v>510</x:v>
      </x:c>
      <x:c r="G2793" s="34" t="str">
        <x:v>RECORDED</x:v>
      </x:c>
      <x:c r="H2793" s="38" t="n">
        <x:f>IF(ISNUMBER('Data'!H1085),'Data'!H1085*100,"")</x:f>
        <x:v>3.92</x:v>
      </x:c>
      <x:c r="I2793" s="34" t="str">
        <x:v>PASS</x:v>
      </x:c>
      <x:c r="J2793" s="34" t="str">
        <x:v>PASS</x:v>
      </x:c>
      <x:c r="K2793" s="34" t="str">
        <x:v>PASS</x:v>
      </x:c>
      <x:c r="L2793" s="34" t="str">
        <x:v>PASS</x:v>
      </x:c>
      <x:c r="M2793" s="34" t="str">
        <x:v>numeric coverage for applicable metric</x:v>
      </x:c>
      <x:c r="N2793" s="34" t="str">
        <x:v>Feedback-Directed Random Test Generation/Result_Round2/Closure_167/result.json</x:v>
      </x:c>
      <x:c r="O2793" s="38" t="n">
        <x:f>IF(AND(G2793="RECORDED",ISNUMBER(H2793)),H2793,"")</x:f>
        <x:v>3.92</x:v>
      </x:c>
      <x:c r="P2793" s="34" t="str">
        <x:v>NOT_REVEALING</x:v>
      </x:c>
      <x:c r="Q2793" s="34" t="str">
        <x:v>Feedback-Directed Random Test Generation/Result_Round2/Closure_167/result.json</x:v>
      </x:c>
    </x:row>
    <x:row r="2794">
      <x:c r="A2794" s="34" t="str">
        <x:v>randoop</x:v>
      </x:c>
      <x:c r="B2794" s="34" t="str">
        <x:v>Closure</x:v>
      </x:c>
      <x:c r="C2794" s="34" t="str">
        <x:v>Round2</x:v>
      </x:c>
      <x:c r="D2794" s="34" t="str">
        <x:v>Closure_168</x:v>
      </x:c>
      <x:c r="E2794" s="34" t="str">
        <x:v>Line</x:v>
      </x:c>
      <x:c r="F2794" s="34" t="n">
        <x:v>895</x:v>
      </x:c>
      <x:c r="G2794" s="34" t="str">
        <x:v>RECORDED</x:v>
      </x:c>
      <x:c r="H2794" s="38" t="n">
        <x:f>IF(ISNUMBER('Data'!H1086),'Data'!H1086*100,"")</x:f>
        <x:v>2.79</x:v>
      </x:c>
      <x:c r="I2794" s="34" t="str">
        <x:v>PASS</x:v>
      </x:c>
      <x:c r="J2794" s="34" t="str">
        <x:v>PASS</x:v>
      </x:c>
      <x:c r="K2794" s="34" t="str">
        <x:v>PASS</x:v>
      </x:c>
      <x:c r="L2794" s="34" t="str">
        <x:v>PASS</x:v>
      </x:c>
      <x:c r="M2794" s="34" t="str">
        <x:v>numeric coverage for applicable metric</x:v>
      </x:c>
      <x:c r="N2794" s="34" t="str">
        <x:v>Feedback-Directed Random Test Generation/Result_Round2/Closure_168/result.json</x:v>
      </x:c>
      <x:c r="O2794" s="38" t="n">
        <x:f>IF(AND(G2794="RECORDED",ISNUMBER(H2794)),H2794,"")</x:f>
        <x:v>2.79</x:v>
      </x:c>
      <x:c r="P2794" s="34" t="str">
        <x:v>NOT_REVEALING</x:v>
      </x:c>
      <x:c r="Q2794" s="34" t="str">
        <x:v>Feedback-Directed Random Test Generation/Result_Round2/Closure_168/result.json</x:v>
      </x:c>
    </x:row>
    <x:row r="2795">
      <x:c r="A2795" s="34" t="str">
        <x:v>randoop</x:v>
      </x:c>
      <x:c r="B2795" s="34" t="str">
        <x:v>Closure</x:v>
      </x:c>
      <x:c r="C2795" s="34" t="str">
        <x:v>Round2</x:v>
      </x:c>
      <x:c r="D2795" s="34" t="str">
        <x:v>Closure_169</x:v>
      </x:c>
      <x:c r="E2795" s="34" t="str">
        <x:v>Line</x:v>
      </x:c>
      <x:c r="F2795" s="34" t="n">
        <x:v>1283</x:v>
      </x:c>
      <x:c r="G2795" s="34" t="str">
        <x:v>RECORDED</x:v>
      </x:c>
      <x:c r="H2795" s="38" t="n">
        <x:f>IF(ISNUMBER('Data'!H1087),'Data'!H1087*100,"")</x:f>
        <x:v>9.12</x:v>
      </x:c>
      <x:c r="I2795" s="34" t="str">
        <x:v>PASS</x:v>
      </x:c>
      <x:c r="J2795" s="34" t="str">
        <x:v>PASS</x:v>
      </x:c>
      <x:c r="K2795" s="34" t="str">
        <x:v>PASS</x:v>
      </x:c>
      <x:c r="L2795" s="34" t="str">
        <x:v>PASS</x:v>
      </x:c>
      <x:c r="M2795" s="34" t="str">
        <x:v>numeric coverage for applicable metric</x:v>
      </x:c>
      <x:c r="N2795" s="34" t="str">
        <x:v>Feedback-Directed Random Test Generation/Result_Round2/Closure_169/result.json</x:v>
      </x:c>
      <x:c r="O2795" s="38" t="n">
        <x:f>IF(AND(G2795="RECORDED",ISNUMBER(H2795)),H2795,"")</x:f>
        <x:v>9.12</x:v>
      </x:c>
      <x:c r="P2795" s="34" t="str">
        <x:v>NOT_REVEALING</x:v>
      </x:c>
      <x:c r="Q2795" s="34" t="str">
        <x:v>Feedback-Directed Random Test Generation/Result_Round2/Closure_169/result.json</x:v>
      </x:c>
    </x:row>
    <x:row r="2796">
      <x:c r="A2796" s="34" t="str">
        <x:v>randoop</x:v>
      </x:c>
      <x:c r="B2796" s="34" t="str">
        <x:v>Closure</x:v>
      </x:c>
      <x:c r="C2796" s="34" t="str">
        <x:v>Round2</x:v>
      </x:c>
      <x:c r="D2796" s="34" t="str">
        <x:v>Closure_170</x:v>
      </x:c>
      <x:c r="E2796" s="34" t="str">
        <x:v>Line</x:v>
      </x:c>
      <x:c r="F2796" s="34" t="n">
        <x:v>179</x:v>
      </x:c>
      <x:c r="G2796" s="34" t="str">
        <x:v>RECORDED</x:v>
      </x:c>
      <x:c r="H2796" s="38" t="n">
        <x:f>IF(ISNUMBER('Data'!H1088),'Data'!H1088*100,"")</x:f>
        <x:v>5.59</x:v>
      </x:c>
      <x:c r="I2796" s="34" t="str">
        <x:v>PASS</x:v>
      </x:c>
      <x:c r="J2796" s="34" t="str">
        <x:v>PASS</x:v>
      </x:c>
      <x:c r="K2796" s="34" t="str">
        <x:v>PASS</x:v>
      </x:c>
      <x:c r="L2796" s="34" t="str">
        <x:v>PASS</x:v>
      </x:c>
      <x:c r="M2796" s="34" t="str">
        <x:v>numeric coverage for applicable metric</x:v>
      </x:c>
      <x:c r="N2796" s="34" t="str">
        <x:v>Feedback-Directed Random Test Generation/Result_Round2/Closure_170/result.json</x:v>
      </x:c>
      <x:c r="O2796" s="38" t="n">
        <x:f>IF(AND(G2796="RECORDED",ISNUMBER(H2796)),H2796,"")</x:f>
        <x:v>5.59</x:v>
      </x:c>
      <x:c r="P2796" s="34" t="str">
        <x:v>NOT_REVEALING</x:v>
      </x:c>
      <x:c r="Q2796" s="34" t="str">
        <x:v>Feedback-Directed Random Test Generation/Result_Round2/Closure_170/result.json</x:v>
      </x:c>
    </x:row>
    <x:row r="2797">
      <x:c r="A2797" s="34" t="str">
        <x:v>randoop</x:v>
      </x:c>
      <x:c r="B2797" s="34" t="str">
        <x:v>Closure</x:v>
      </x:c>
      <x:c r="C2797" s="34" t="str">
        <x:v>Round2</x:v>
      </x:c>
      <x:c r="D2797" s="34" t="str">
        <x:v>Closure_171</x:v>
      </x:c>
      <x:c r="E2797" s="34" t="str">
        <x:v>Line</x:v>
      </x:c>
      <x:c r="F2797" s="34" t="n">
        <x:v>1652</x:v>
      </x:c>
      <x:c r="G2797" s="34" t="str">
        <x:v>RECORDED</x:v>
      </x:c>
      <x:c r="H2797" s="38" t="n">
        <x:f>IF(ISNUMBER('Data'!H1089),'Data'!H1089*100,"")</x:f>
        <x:v>1.76</x:v>
      </x:c>
      <x:c r="I2797" s="34" t="str">
        <x:v>PASS</x:v>
      </x:c>
      <x:c r="J2797" s="34" t="str">
        <x:v>PASS</x:v>
      </x:c>
      <x:c r="K2797" s="34" t="str">
        <x:v>PASS</x:v>
      </x:c>
      <x:c r="L2797" s="34" t="str">
        <x:v>PASS</x:v>
      </x:c>
      <x:c r="M2797" s="34" t="str">
        <x:v>numeric coverage for applicable metric</x:v>
      </x:c>
      <x:c r="N2797" s="34" t="str">
        <x:v>Feedback-Directed Random Test Generation/Result_Round2/Closure_171/result.json</x:v>
      </x:c>
      <x:c r="O2797" s="38" t="n">
        <x:f>IF(AND(G2797="RECORDED",ISNUMBER(H2797)),H2797,"")</x:f>
        <x:v>1.76</x:v>
      </x:c>
      <x:c r="P2797" s="34" t="str">
        <x:v>NOT_REVEALING</x:v>
      </x:c>
      <x:c r="Q2797" s="34" t="str">
        <x:v>Feedback-Directed Random Test Generation/Result_Round2/Closure_171/result.json</x:v>
      </x:c>
    </x:row>
    <x:row r="2798">
      <x:c r="A2798" s="34" t="str">
        <x:v>randoop</x:v>
      </x:c>
      <x:c r="B2798" s="34" t="str">
        <x:v>Closure</x:v>
      </x:c>
      <x:c r="C2798" s="34" t="str">
        <x:v>Round2</x:v>
      </x:c>
      <x:c r="D2798" s="34" t="str">
        <x:v>Closure_172</x:v>
      </x:c>
      <x:c r="E2798" s="34" t="str">
        <x:v>Line</x:v>
      </x:c>
      <x:c r="F2798" s="34" t="n">
        <x:v>951</x:v>
      </x:c>
      <x:c r="G2798" s="34" t="str">
        <x:v>RECORDED</x:v>
      </x:c>
      <x:c r="H2798" s="38" t="n">
        <x:f>IF(ISNUMBER('Data'!H1090),'Data'!H1090*100,"")</x:f>
        <x:v>2.63</x:v>
      </x:c>
      <x:c r="I2798" s="34" t="str">
        <x:v>PASS</x:v>
      </x:c>
      <x:c r="J2798" s="34" t="str">
        <x:v>PASS</x:v>
      </x:c>
      <x:c r="K2798" s="34" t="str">
        <x:v>PASS</x:v>
      </x:c>
      <x:c r="L2798" s="34" t="str">
        <x:v>PASS</x:v>
      </x:c>
      <x:c r="M2798" s="34" t="str">
        <x:v>numeric coverage for applicable metric</x:v>
      </x:c>
      <x:c r="N2798" s="34" t="str">
        <x:v>Feedback-Directed Random Test Generation/Result_Round2/Closure_172/result.json</x:v>
      </x:c>
      <x:c r="O2798" s="38" t="n">
        <x:f>IF(AND(G2798="RECORDED",ISNUMBER(H2798)),H2798,"")</x:f>
        <x:v>2.63</x:v>
      </x:c>
      <x:c r="P2798" s="34" t="str">
        <x:v>NOT_REVEALING</x:v>
      </x:c>
      <x:c r="Q2798" s="34" t="str">
        <x:v>Feedback-Directed Random Test Generation/Result_Round2/Closure_172/result.json</x:v>
      </x:c>
    </x:row>
    <x:row r="2799">
      <x:c r="A2799" s="34" t="str">
        <x:v>randoop</x:v>
      </x:c>
      <x:c r="B2799" s="34" t="str">
        <x:v>Closure</x:v>
      </x:c>
      <x:c r="C2799" s="34" t="str">
        <x:v>Round2</x:v>
      </x:c>
      <x:c r="D2799" s="34" t="str">
        <x:v>Closure_173</x:v>
      </x:c>
      <x:c r="E2799" s="34" t="str">
        <x:v>Line</x:v>
      </x:c>
      <x:c r="F2799" s="34" t="n">
        <x:v>917</x:v>
      </x:c>
      <x:c r="G2799" s="34" t="str">
        <x:v>RECORDED</x:v>
      </x:c>
      <x:c r="H2799" s="38" t="n">
        <x:f>IF(ISNUMBER('Data'!H1091),'Data'!H1091*100,"")</x:f>
        <x:v>8.51</x:v>
      </x:c>
      <x:c r="I2799" s="34" t="str">
        <x:v>PASS</x:v>
      </x:c>
      <x:c r="J2799" s="34" t="str">
        <x:v>PASS</x:v>
      </x:c>
      <x:c r="K2799" s="34" t="str">
        <x:v>PASS</x:v>
      </x:c>
      <x:c r="L2799" s="34" t="str">
        <x:v>PASS</x:v>
      </x:c>
      <x:c r="M2799" s="34" t="str">
        <x:v>numeric coverage for applicable metric</x:v>
      </x:c>
      <x:c r="N2799" s="34" t="str">
        <x:v>Feedback-Directed Random Test Generation/Result_Round2/Closure_173/result.json</x:v>
      </x:c>
      <x:c r="O2799" s="38" t="n">
        <x:f>IF(AND(G2799="RECORDED",ISNUMBER(H2799)),H2799,"")</x:f>
        <x:v>8.51</x:v>
      </x:c>
      <x:c r="P2799" s="34" t="str">
        <x:v>NOT_REVEALING</x:v>
      </x:c>
      <x:c r="Q2799" s="34" t="str">
        <x:v>Feedback-Directed Random Test Generation/Result_Round2/Closure_173/result.json</x:v>
      </x:c>
    </x:row>
    <x:row r="2800">
      <x:c r="A2800" s="34" t="str">
        <x:v>randoop</x:v>
      </x:c>
      <x:c r="B2800" s="34" t="str">
        <x:v>Closure</x:v>
      </x:c>
      <x:c r="C2800" s="34" t="str">
        <x:v>Round2</x:v>
      </x:c>
      <x:c r="D2800" s="34" t="str">
        <x:v>Closure_174</x:v>
      </x:c>
      <x:c r="E2800" s="34" t="str">
        <x:v>Line</x:v>
      </x:c>
      <x:c r="F2800" s="34" t="n">
        <x:v>1385</x:v>
      </x:c>
      <x:c r="G2800" s="34" t="str">
        <x:v>RECORDED</x:v>
      </x:c>
      <x:c r="H2800" s="38" t="n">
        <x:f>IF(ISNUMBER('Data'!H1092),'Data'!H1092*100,"")</x:f>
        <x:v>40.72</x:v>
      </x:c>
      <x:c r="I2800" s="34" t="str">
        <x:v>PASS</x:v>
      </x:c>
      <x:c r="J2800" s="34" t="str">
        <x:v>PASS</x:v>
      </x:c>
      <x:c r="K2800" s="34" t="str">
        <x:v>PASS</x:v>
      </x:c>
      <x:c r="L2800" s="34" t="str">
        <x:v>PASS</x:v>
      </x:c>
      <x:c r="M2800" s="34" t="str">
        <x:v>numeric coverage for applicable metric</x:v>
      </x:c>
      <x:c r="N2800" s="34" t="str">
        <x:v>Feedback-Directed Random Test Generation/Result_Round2/Closure_174/result.json</x:v>
      </x:c>
      <x:c r="O2800" s="38" t="n">
        <x:f>IF(AND(G2800="RECORDED",ISNUMBER(H2800)),H2800,"")</x:f>
        <x:v>40.72</x:v>
      </x:c>
      <x:c r="P2800" s="34" t="str">
        <x:v>NOT_REVEALING</x:v>
      </x:c>
      <x:c r="Q2800" s="34" t="str">
        <x:v>Feedback-Directed Random Test Generation/Result_Round2/Closure_174/result.json</x:v>
      </x:c>
    </x:row>
    <x:row r="2801">
      <x:c r="A2801" s="34" t="str">
        <x:v>randoop</x:v>
      </x:c>
      <x:c r="B2801" s="34" t="str">
        <x:v>Closure</x:v>
      </x:c>
      <x:c r="C2801" s="34" t="str">
        <x:v>Round2</x:v>
      </x:c>
      <x:c r="D2801" s="34" t="str">
        <x:v>Closure_175</x:v>
      </x:c>
      <x:c r="E2801" s="34" t="str">
        <x:v>Line</x:v>
      </x:c>
      <x:c r="F2801" s="34" t="n">
        <x:v>303</x:v>
      </x:c>
      <x:c r="G2801" s="34" t="str">
        <x:v>RECORDED</x:v>
      </x:c>
      <x:c r="H2801" s="38" t="n">
        <x:f>IF(ISNUMBER('Data'!H1093),'Data'!H1093*100,"")</x:f>
        <x:v>3.9599999999999995</x:v>
      </x:c>
      <x:c r="I2801" s="34" t="str">
        <x:v>PASS</x:v>
      </x:c>
      <x:c r="J2801" s="34" t="str">
        <x:v>PASS</x:v>
      </x:c>
      <x:c r="K2801" s="34" t="str">
        <x:v>PASS</x:v>
      </x:c>
      <x:c r="L2801" s="34" t="str">
        <x:v>PASS</x:v>
      </x:c>
      <x:c r="M2801" s="34" t="str">
        <x:v>numeric coverage for applicable metric</x:v>
      </x:c>
      <x:c r="N2801" s="34" t="str">
        <x:v>Feedback-Directed Random Test Generation/Result_Round2/Closure_175/result.json</x:v>
      </x:c>
      <x:c r="O2801" s="38" t="n">
        <x:f>IF(AND(G2801="RECORDED",ISNUMBER(H2801)),H2801,"")</x:f>
        <x:v>3.9599999999999995</x:v>
      </x:c>
      <x:c r="P2801" s="34" t="str">
        <x:v>NOT_REVEALING</x:v>
      </x:c>
      <x:c r="Q2801" s="34" t="str">
        <x:v>Feedback-Directed Random Test Generation/Result_Round2/Closure_175/result.json</x:v>
      </x:c>
    </x:row>
    <x:row r="2802">
      <x:c r="A2802" s="34" t="str">
        <x:v>randoop</x:v>
      </x:c>
      <x:c r="B2802" s="34" t="str">
        <x:v>Closure</x:v>
      </x:c>
      <x:c r="C2802" s="34" t="str">
        <x:v>Round2</x:v>
      </x:c>
      <x:c r="D2802" s="34" t="str">
        <x:v>Closure_176</x:v>
      </x:c>
      <x:c r="E2802" s="34" t="str">
        <x:v>Line</x:v>
      </x:c>
      <x:c r="F2802" s="34" t="n">
        <x:v>732</x:v>
      </x:c>
      <x:c r="G2802" s="34" t="str">
        <x:v>RECORDED</x:v>
      </x:c>
      <x:c r="H2802" s="38" t="n">
        <x:f>IF(ISNUMBER('Data'!H1094),'Data'!H1094*100,"")</x:f>
        <x:v>0.55</x:v>
      </x:c>
      <x:c r="I2802" s="34" t="str">
        <x:v>PASS</x:v>
      </x:c>
      <x:c r="J2802" s="34" t="str">
        <x:v>PASS</x:v>
      </x:c>
      <x:c r="K2802" s="34" t="str">
        <x:v>PASS</x:v>
      </x:c>
      <x:c r="L2802" s="34" t="str">
        <x:v>PASS</x:v>
      </x:c>
      <x:c r="M2802" s="34" t="str">
        <x:v>numeric coverage for applicable metric</x:v>
      </x:c>
      <x:c r="N2802" s="34" t="str">
        <x:v>Feedback-Directed Random Test Generation/Result_Round2/Closure_176/result.json</x:v>
      </x:c>
      <x:c r="O2802" s="38" t="n">
        <x:f>IF(AND(G2802="RECORDED",ISNUMBER(H2802)),H2802,"")</x:f>
        <x:v>0.55</x:v>
      </x:c>
      <x:c r="P2802" s="34" t="str">
        <x:v>NOT_REVEALING</x:v>
      </x:c>
      <x:c r="Q2802" s="34" t="str">
        <x:v>Feedback-Directed Random Test Generation/Result_Round2/Closure_176/result.json</x:v>
      </x:c>
    </x:row>
    <x:row r="2803">
      <x:c r="A2803" s="34" t="str">
        <x:v>randoop</x:v>
      </x:c>
      <x:c r="B2803" s="34" t="str">
        <x:v>Codec</x:v>
      </x:c>
      <x:c r="C2803" s="34" t="str">
        <x:v>Round2</x:v>
      </x:c>
      <x:c r="D2803" s="34" t="str">
        <x:v>Codec_1</x:v>
      </x:c>
      <x:c r="E2803" s="34" t="str">
        <x:v>Line</x:v>
      </x:c>
      <x:c r="F2803" s="34" t="n">
        <x:v>256</x:v>
      </x:c>
      <x:c r="G2803" s="34" t="str">
        <x:v>RECORDED</x:v>
      </x:c>
      <x:c r="H2803" s="38" t="n">
        <x:f>IF(ISNUMBER('Data'!H1095),'Data'!H1095*100,"")</x:f>
        <x:v>54.29999999999999</x:v>
      </x:c>
      <x:c r="I2803" s="34" t="str">
        <x:v>PASS</x:v>
      </x:c>
      <x:c r="J2803" s="34" t="str">
        <x:v>PASS</x:v>
      </x:c>
      <x:c r="K2803" s="34" t="str">
        <x:v>PASS</x:v>
      </x:c>
      <x:c r="L2803" s="34" t="str">
        <x:v>FAIL</x:v>
      </x:c>
      <x:c r="M2803" s="34" t="str">
        <x:v>numeric coverage for applicable metric</x:v>
      </x:c>
      <x:c r="N2803" s="34" t="str">
        <x:v>Feedback-Directed Random Test Generation/Result_Round2/Codec_1/result.json</x:v>
      </x:c>
      <x:c r="O2803" s="38" t="n">
        <x:f>IF(AND(G2803="RECORDED",ISNUMBER(H2803)),H2803,"")</x:f>
        <x:v>54.29999999999999</x:v>
      </x:c>
      <x:c r="P2803" s="34" t="str">
        <x:v>INCONCLUSIVE</x:v>
      </x:c>
      <x:c r="Q2803" s="34" t="str">
        <x:v>Feedback-Directed Random Test Generation/Result_Round2/Codec_1/result.json</x:v>
      </x:c>
    </x:row>
    <x:row r="2804">
      <x:c r="A2804" s="34" t="str">
        <x:v>randoop</x:v>
      </x:c>
      <x:c r="B2804" s="34" t="str">
        <x:v>Codec</x:v>
      </x:c>
      <x:c r="C2804" s="34" t="str">
        <x:v>Round2</x:v>
      </x:c>
      <x:c r="D2804" s="34" t="str">
        <x:v>Codec_2</x:v>
      </x:c>
      <x:c r="E2804" s="34" t="str">
        <x:v>Line</x:v>
      </x:c>
      <x:c r="F2804" s="34" t="n">
        <x:v>214</x:v>
      </x:c>
      <x:c r="G2804" s="34" t="str">
        <x:v>RECORDED</x:v>
      </x:c>
      <x:c r="H2804" s="38" t="n">
        <x:f>IF(ISNUMBER('Data'!H1096),'Data'!H1096*100,"")</x:f>
        <x:v>96.73</x:v>
      </x:c>
      <x:c r="I2804" s="34" t="str">
        <x:v>PASS</x:v>
      </x:c>
      <x:c r="J2804" s="34" t="str">
        <x:v>PASS</x:v>
      </x:c>
      <x:c r="K2804" s="34" t="str">
        <x:v>PASS</x:v>
      </x:c>
      <x:c r="L2804" s="34" t="str">
        <x:v>PASS</x:v>
      </x:c>
      <x:c r="M2804" s="34" t="str">
        <x:v>numeric coverage for applicable metric</x:v>
      </x:c>
      <x:c r="N2804" s="34" t="str">
        <x:v>Feedback-Directed Random Test Generation/Result_Round2/Codec_2/result.json</x:v>
      </x:c>
      <x:c r="O2804" s="38" t="n">
        <x:f>IF(AND(G2804="RECORDED",ISNUMBER(H2804)),H2804,"")</x:f>
        <x:v>96.73</x:v>
      </x:c>
      <x:c r="P2804" s="34" t="str">
        <x:v>INCONCLUSIVE</x:v>
      </x:c>
      <x:c r="Q2804" s="34" t="str">
        <x:v>Feedback-Directed Random Test Generation/Result_Round2/Codec_2/result.json</x:v>
      </x:c>
    </x:row>
    <x:row r="2805">
      <x:c r="A2805" s="34" t="str">
        <x:v>randoop</x:v>
      </x:c>
      <x:c r="B2805" s="34" t="str">
        <x:v>Codec</x:v>
      </x:c>
      <x:c r="C2805" s="34" t="str">
        <x:v>Round2</x:v>
      </x:c>
      <x:c r="D2805" s="34" t="str">
        <x:v>Codec_3</x:v>
      </x:c>
      <x:c r="E2805" s="34" t="str">
        <x:v>Line</x:v>
      </x:c>
      <x:c r="F2805" s="34" t="n">
        <x:v>453</x:v>
      </x:c>
      <x:c r="G2805" s="34" t="str">
        <x:v>RECORDED</x:v>
      </x:c>
      <x:c r="H2805" s="38" t="n">
        <x:f>IF(ISNUMBER('Data'!H1097),'Data'!H1097*100,"")</x:f>
        <x:v>22.52</x:v>
      </x:c>
      <x:c r="I2805" s="34" t="str">
        <x:v>PASS</x:v>
      </x:c>
      <x:c r="J2805" s="34" t="str">
        <x:v>PASS</x:v>
      </x:c>
      <x:c r="K2805" s="34" t="str">
        <x:v>PASS</x:v>
      </x:c>
      <x:c r="L2805" s="34" t="str">
        <x:v>FAIL</x:v>
      </x:c>
      <x:c r="M2805" s="34" t="str">
        <x:v>numeric coverage for applicable metric</x:v>
      </x:c>
      <x:c r="N2805" s="34" t="str">
        <x:v>Feedback-Directed Random Test Generation/Result_Round2/Codec_3/result.json</x:v>
      </x:c>
      <x:c r="O2805" s="38" t="n">
        <x:f>IF(AND(G2805="RECORDED",ISNUMBER(H2805)),H2805,"")</x:f>
        <x:v>22.52</x:v>
      </x:c>
      <x:c r="P2805" s="34" t="str">
        <x:v>INCONCLUSIVE</x:v>
      </x:c>
      <x:c r="Q2805" s="34" t="str">
        <x:v>Feedback-Directed Random Test Generation/Result_Round2/Codec_3/result.json</x:v>
      </x:c>
    </x:row>
    <x:row r="2806">
      <x:c r="A2806" s="34" t="str">
        <x:v>randoop</x:v>
      </x:c>
      <x:c r="B2806" s="34" t="str">
        <x:v>Codec</x:v>
      </x:c>
      <x:c r="C2806" s="34" t="str">
        <x:v>Round2</x:v>
      </x:c>
      <x:c r="D2806" s="34" t="str">
        <x:v>Codec_4</x:v>
      </x:c>
      <x:c r="E2806" s="34" t="str">
        <x:v>Line</x:v>
      </x:c>
      <x:c r="F2806" s="34" t="n">
        <x:v>231</x:v>
      </x:c>
      <x:c r="G2806" s="34" t="str">
        <x:v>RECORDED</x:v>
      </x:c>
      <x:c r="H2806" s="38" t="n">
        <x:f>IF(ISNUMBER('Data'!H1098),'Data'!H1098*100,"")</x:f>
        <x:v>98.7</x:v>
      </x:c>
      <x:c r="I2806" s="34" t="str">
        <x:v>PASS</x:v>
      </x:c>
      <x:c r="J2806" s="34" t="str">
        <x:v>PASS</x:v>
      </x:c>
      <x:c r="K2806" s="34" t="str">
        <x:v>PASS</x:v>
      </x:c>
      <x:c r="L2806" s="34" t="str">
        <x:v>PASS</x:v>
      </x:c>
      <x:c r="M2806" s="34" t="str">
        <x:v>numeric coverage for applicable metric</x:v>
      </x:c>
      <x:c r="N2806" s="34" t="str">
        <x:v>Feedback-Directed Random Test Generation/Result_Round2/Codec_4/result.json</x:v>
      </x:c>
      <x:c r="O2806" s="38" t="n">
        <x:f>IF(AND(G2806="RECORDED",ISNUMBER(H2806)),H2806,"")</x:f>
        <x:v>98.7</x:v>
      </x:c>
      <x:c r="P2806" s="34" t="str">
        <x:v>INCONCLUSIVE</x:v>
      </x:c>
      <x:c r="Q2806" s="34" t="str">
        <x:v>Feedback-Directed Random Test Generation/Result_Round2/Codec_4/result.json</x:v>
      </x:c>
    </x:row>
    <x:row r="2807">
      <x:c r="A2807" s="34" t="str">
        <x:v>randoop</x:v>
      </x:c>
      <x:c r="B2807" s="34" t="str">
        <x:v>Codec</x:v>
      </x:c>
      <x:c r="C2807" s="34" t="str">
        <x:v>Round2</x:v>
      </x:c>
      <x:c r="D2807" s="34" t="str">
        <x:v>Codec_5</x:v>
      </x:c>
      <x:c r="E2807" s="34" t="str">
        <x:v>Line</x:v>
      </x:c>
      <x:c r="F2807" s="34" t="n">
        <x:v>231</x:v>
      </x:c>
      <x:c r="G2807" s="34" t="str">
        <x:v>RECORDED</x:v>
      </x:c>
      <x:c r="H2807" s="38" t="n">
        <x:f>IF(ISNUMBER('Data'!H1099),'Data'!H1099*100,"")</x:f>
        <x:v>98.27</x:v>
      </x:c>
      <x:c r="I2807" s="34" t="str">
        <x:v>PASS</x:v>
      </x:c>
      <x:c r="J2807" s="34" t="str">
        <x:v>PASS</x:v>
      </x:c>
      <x:c r="K2807" s="34" t="str">
        <x:v>PASS</x:v>
      </x:c>
      <x:c r="L2807" s="34" t="str">
        <x:v>PASS</x:v>
      </x:c>
      <x:c r="M2807" s="34" t="str">
        <x:v>numeric coverage for applicable metric</x:v>
      </x:c>
      <x:c r="N2807" s="34" t="str">
        <x:v>Feedback-Directed Random Test Generation/Result_Round2/Codec_5/result.json</x:v>
      </x:c>
      <x:c r="O2807" s="38" t="n">
        <x:f>IF(AND(G2807="RECORDED",ISNUMBER(H2807)),H2807,"")</x:f>
        <x:v>98.27</x:v>
      </x:c>
      <x:c r="P2807" s="34" t="str">
        <x:v>NOT_REVEALING</x:v>
      </x:c>
      <x:c r="Q2807" s="34" t="str">
        <x:v>Feedback-Directed Random Test Generation/Result_Round2/Codec_5/result.json</x:v>
      </x:c>
    </x:row>
    <x:row r="2808">
      <x:c r="A2808" s="34" t="str">
        <x:v>randoop</x:v>
      </x:c>
      <x:c r="B2808" s="34" t="str">
        <x:v>Codec</x:v>
      </x:c>
      <x:c r="C2808" s="34" t="str">
        <x:v>Round2</x:v>
      </x:c>
      <x:c r="D2808" s="34" t="str">
        <x:v>Codec_6</x:v>
      </x:c>
      <x:c r="E2808" s="34" t="str">
        <x:v>Line</x:v>
      </x:c>
      <x:c r="F2808" s="34" t="n">
        <x:v>35</x:v>
      </x:c>
      <x:c r="G2808" s="34" t="str">
        <x:v>RECORDED</x:v>
      </x:c>
      <x:c r="H2808" s="38" t="n">
        <x:f>IF(ISNUMBER('Data'!H1100),'Data'!H1100*100,"")</x:f>
        <x:v>94.29</x:v>
      </x:c>
      <x:c r="I2808" s="34" t="str">
        <x:v>PASS</x:v>
      </x:c>
      <x:c r="J2808" s="34" t="str">
        <x:v>PASS</x:v>
      </x:c>
      <x:c r="K2808" s="34" t="str">
        <x:v>PASS</x:v>
      </x:c>
      <x:c r="L2808" s="34" t="str">
        <x:v>PASS</x:v>
      </x:c>
      <x:c r="M2808" s="34" t="str">
        <x:v>numeric coverage for applicable metric</x:v>
      </x:c>
      <x:c r="N2808" s="34" t="str">
        <x:v>Feedback-Directed Random Test Generation/Result_Round2/Codec_6/result.json</x:v>
      </x:c>
      <x:c r="O2808" s="38" t="n">
        <x:f>IF(AND(G2808="RECORDED",ISNUMBER(H2808)),H2808,"")</x:f>
        <x:v>94.29</x:v>
      </x:c>
      <x:c r="P2808" s="34" t="str">
        <x:v>INCONCLUSIVE</x:v>
      </x:c>
      <x:c r="Q2808" s="34" t="str">
        <x:v>Feedback-Directed Random Test Generation/Result_Round2/Codec_6/result.json</x:v>
      </x:c>
    </x:row>
    <x:row r="2809">
      <x:c r="A2809" s="34" t="str">
        <x:v>randoop</x:v>
      </x:c>
      <x:c r="B2809" s="34" t="str">
        <x:v>Codec</x:v>
      </x:c>
      <x:c r="C2809" s="34" t="str">
        <x:v>Round2</x:v>
      </x:c>
      <x:c r="D2809" s="34" t="str">
        <x:v>Codec_7</x:v>
      </x:c>
      <x:c r="E2809" s="34" t="str">
        <x:v>Line</x:v>
      </x:c>
      <x:c r="F2809" s="34" t="n">
        <x:v>233</x:v>
      </x:c>
      <x:c r="G2809" s="34" t="str">
        <x:v>RECORDED</x:v>
      </x:c>
      <x:c r="H2809" s="38" t="n">
        <x:f>IF(ISNUMBER('Data'!H1101),'Data'!H1101*100,"")</x:f>
        <x:v>98.28</x:v>
      </x:c>
      <x:c r="I2809" s="34" t="str">
        <x:v>PASS</x:v>
      </x:c>
      <x:c r="J2809" s="34" t="str">
        <x:v>PASS</x:v>
      </x:c>
      <x:c r="K2809" s="34" t="str">
        <x:v>PASS</x:v>
      </x:c>
      <x:c r="L2809" s="34" t="str">
        <x:v>PASS</x:v>
      </x:c>
      <x:c r="M2809" s="34" t="str">
        <x:v>numeric coverage for applicable metric</x:v>
      </x:c>
      <x:c r="N2809" s="34" t="str">
        <x:v>Feedback-Directed Random Test Generation/Result_Round2/Codec_7/result.json</x:v>
      </x:c>
      <x:c r="O2809" s="38" t="n">
        <x:f>IF(AND(G2809="RECORDED",ISNUMBER(H2809)),H2809,"")</x:f>
        <x:v>98.28</x:v>
      </x:c>
      <x:c r="P2809" s="34" t="str">
        <x:v>INCONCLUSIVE</x:v>
      </x:c>
      <x:c r="Q2809" s="34" t="str">
        <x:v>Feedback-Directed Random Test Generation/Result_Round2/Codec_7/result.json</x:v>
      </x:c>
    </x:row>
    <x:row r="2810">
      <x:c r="A2810" s="34" t="str">
        <x:v>randoop</x:v>
      </x:c>
      <x:c r="B2810" s="34" t="str">
        <x:v>Codec</x:v>
      </x:c>
      <x:c r="C2810" s="34" t="str">
        <x:v>Round2</x:v>
      </x:c>
      <x:c r="D2810" s="34" t="str">
        <x:v>Codec_8</x:v>
      </x:c>
      <x:c r="E2810" s="34" t="str">
        <x:v>Line</x:v>
      </x:c>
      <x:c r="F2810" s="34" t="n">
        <x:v>261</x:v>
      </x:c>
      <x:c r="G2810" s="34" t="str">
        <x:v>RECORDED</x:v>
      </x:c>
      <x:c r="H2810" s="38" t="n">
        <x:f>IF(ISNUMBER('Data'!H1102),'Data'!H1102*100,"")</x:f>
        <x:v>96.55</x:v>
      </x:c>
      <x:c r="I2810" s="34" t="str">
        <x:v>PASS</x:v>
      </x:c>
      <x:c r="J2810" s="34" t="str">
        <x:v>PASS</x:v>
      </x:c>
      <x:c r="K2810" s="34" t="str">
        <x:v>PASS</x:v>
      </x:c>
      <x:c r="L2810" s="34" t="str">
        <x:v>PASS</x:v>
      </x:c>
      <x:c r="M2810" s="34" t="str">
        <x:v>numeric coverage for applicable metric</x:v>
      </x:c>
      <x:c r="N2810" s="34" t="str">
        <x:v>Feedback-Directed Random Test Generation/Result_Round2/Codec_8/result.json</x:v>
      </x:c>
      <x:c r="O2810" s="38" t="n">
        <x:f>IF(AND(G2810="RECORDED",ISNUMBER(H2810)),H2810,"")</x:f>
        <x:v>96.55</x:v>
      </x:c>
      <x:c r="P2810" s="34" t="str">
        <x:v>NOT_AVAILABLE</x:v>
      </x:c>
      <x:c r="Q2810" s="34" t="str">
        <x:v>Feedback-Directed Random Test Generation/Result_Round2/Codec_8/result.json</x:v>
      </x:c>
    </x:row>
    <x:row r="2811">
      <x:c r="A2811" s="34" t="str">
        <x:v>randoop</x:v>
      </x:c>
      <x:c r="B2811" s="34" t="str">
        <x:v>Codec</x:v>
      </x:c>
      <x:c r="C2811" s="34" t="str">
        <x:v>Round2</x:v>
      </x:c>
      <x:c r="D2811" s="34" t="str">
        <x:v>Codec_9</x:v>
      </x:c>
      <x:c r="E2811" s="34" t="str">
        <x:v>Line</x:v>
      </x:c>
      <x:c r="F2811" s="34" t="n">
        <x:v>220</x:v>
      </x:c>
      <x:c r="G2811" s="34" t="str">
        <x:v>RECORDED</x:v>
      </x:c>
      <x:c r="H2811" s="38" t="n">
        <x:f>IF(ISNUMBER('Data'!H1103),'Data'!H1103*100,"")</x:f>
        <x:v>97.27</x:v>
      </x:c>
      <x:c r="I2811" s="34" t="str">
        <x:v>PASS</x:v>
      </x:c>
      <x:c r="J2811" s="34" t="str">
        <x:v>PASS</x:v>
      </x:c>
      <x:c r="K2811" s="34" t="str">
        <x:v>PASS</x:v>
      </x:c>
      <x:c r="L2811" s="34" t="str">
        <x:v>PASS</x:v>
      </x:c>
      <x:c r="M2811" s="34" t="str">
        <x:v>numeric coverage for applicable metric</x:v>
      </x:c>
      <x:c r="N2811" s="34" t="str">
        <x:v>Feedback-Directed Random Test Generation/Result_Round2/Codec_9/result.json</x:v>
      </x:c>
      <x:c r="O2811" s="38" t="n">
        <x:f>IF(AND(G2811="RECORDED",ISNUMBER(H2811)),H2811,"")</x:f>
        <x:v>97.27</x:v>
      </x:c>
      <x:c r="P2811" s="34" t="str">
        <x:v>NOT_REVEALING</x:v>
      </x:c>
      <x:c r="Q2811" s="34" t="str">
        <x:v>Feedback-Directed Random Test Generation/Result_Round2/Codec_9/result.json</x:v>
      </x:c>
    </x:row>
    <x:row r="2812">
      <x:c r="A2812" s="34" t="str">
        <x:v>randoop</x:v>
      </x:c>
      <x:c r="B2812" s="34" t="str">
        <x:v>Codec</x:v>
      </x:c>
      <x:c r="C2812" s="34" t="str">
        <x:v>Round2</x:v>
      </x:c>
      <x:c r="D2812" s="34" t="str">
        <x:v>Codec_10</x:v>
      </x:c>
      <x:c r="E2812" s="34" t="str">
        <x:v>Line</x:v>
      </x:c>
      <x:c r="F2812" s="34" t="n">
        <x:v>69</x:v>
      </x:c>
      <x:c r="G2812" s="34" t="str">
        <x:v>RECORDED</x:v>
      </x:c>
      <x:c r="H2812" s="38" t="n">
        <x:f>IF(ISNUMBER('Data'!H1104),'Data'!H1104*100,"")</x:f>
        <x:v>100</x:v>
      </x:c>
      <x:c r="I2812" s="34" t="str">
        <x:v>PASS</x:v>
      </x:c>
      <x:c r="J2812" s="34" t="str">
        <x:v>PASS</x:v>
      </x:c>
      <x:c r="K2812" s="34" t="str">
        <x:v>PASS</x:v>
      </x:c>
      <x:c r="L2812" s="34" t="str">
        <x:v>PASS</x:v>
      </x:c>
      <x:c r="M2812" s="34" t="str">
        <x:v>numeric coverage for applicable metric</x:v>
      </x:c>
      <x:c r="N2812" s="34" t="str">
        <x:v>Feedback-Directed Random Test Generation/Result_Round2/Codec_10/result.json</x:v>
      </x:c>
      <x:c r="O2812" s="38" t="n">
        <x:f>IF(AND(G2812="RECORDED",ISNUMBER(H2812)),H2812,"")</x:f>
        <x:v>100</x:v>
      </x:c>
      <x:c r="P2812" s="34" t="str">
        <x:v>NOT_REVEALING</x:v>
      </x:c>
      <x:c r="Q2812" s="34" t="str">
        <x:v>Feedback-Directed Random Test Generation/Result_Round2/Codec_10/result.json</x:v>
      </x:c>
    </x:row>
    <x:row r="2813">
      <x:c r="A2813" s="34" t="str">
        <x:v>randoop</x:v>
      </x:c>
      <x:c r="B2813" s="34" t="str">
        <x:v>Codec</x:v>
      </x:c>
      <x:c r="C2813" s="34" t="str">
        <x:v>Round2</x:v>
      </x:c>
      <x:c r="D2813" s="34" t="str">
        <x:v>Codec_11</x:v>
      </x:c>
      <x:c r="E2813" s="34" t="str">
        <x:v>Line</x:v>
      </x:c>
      <x:c r="F2813" s="34" t="n">
        <x:v>81</x:v>
      </x:c>
      <x:c r="G2813" s="34" t="str">
        <x:v>RECORDED</x:v>
      </x:c>
      <x:c r="H2813" s="38" t="n">
        <x:f>IF(ISNUMBER('Data'!H1105),'Data'!H1105*100,"")</x:f>
        <x:v>91.36</x:v>
      </x:c>
      <x:c r="I2813" s="34" t="str">
        <x:v>PASS</x:v>
      </x:c>
      <x:c r="J2813" s="34" t="str">
        <x:v>PASS</x:v>
      </x:c>
      <x:c r="K2813" s="34" t="str">
        <x:v>PASS</x:v>
      </x:c>
      <x:c r="L2813" s="34" t="str">
        <x:v>PASS</x:v>
      </x:c>
      <x:c r="M2813" s="34" t="str">
        <x:v>numeric coverage for applicable metric</x:v>
      </x:c>
      <x:c r="N2813" s="34" t="str">
        <x:v>Feedback-Directed Random Test Generation/Result_Round2/Codec_11/result.json</x:v>
      </x:c>
      <x:c r="O2813" s="38" t="n">
        <x:f>IF(AND(G2813="RECORDED",ISNUMBER(H2813)),H2813,"")</x:f>
        <x:v>91.36</x:v>
      </x:c>
      <x:c r="P2813" s="34" t="str">
        <x:v>INCONCLUSIVE</x:v>
      </x:c>
      <x:c r="Q2813" s="34" t="str">
        <x:v>Feedback-Directed Random Test Generation/Result_Round2/Codec_11/result.json</x:v>
      </x:c>
    </x:row>
    <x:row r="2814">
      <x:c r="A2814" s="34" t="str">
        <x:v>randoop</x:v>
      </x:c>
      <x:c r="B2814" s="34" t="str">
        <x:v>Codec</x:v>
      </x:c>
      <x:c r="C2814" s="34" t="str">
        <x:v>Round2</x:v>
      </x:c>
      <x:c r="D2814" s="34" t="str">
        <x:v>Codec_12</x:v>
      </x:c>
      <x:c r="E2814" s="34" t="str">
        <x:v>Line</x:v>
      </x:c>
      <x:c r="F2814" s="34" t="n">
        <x:v>31</x:v>
      </x:c>
      <x:c r="G2814" s="34" t="str">
        <x:v>RECORDED</x:v>
      </x:c>
      <x:c r="H2814" s="38" t="n">
        <x:f>IF(ISNUMBER('Data'!H1106),'Data'!H1106*100,"")</x:f>
        <x:v>58.06</x:v>
      </x:c>
      <x:c r="I2814" s="34" t="str">
        <x:v>PASS</x:v>
      </x:c>
      <x:c r="J2814" s="34" t="str">
        <x:v>PASS</x:v>
      </x:c>
      <x:c r="K2814" s="34" t="str">
        <x:v>PASS</x:v>
      </x:c>
      <x:c r="L2814" s="34" t="str">
        <x:v>PASS</x:v>
      </x:c>
      <x:c r="M2814" s="34" t="str">
        <x:v>numeric coverage for applicable metric</x:v>
      </x:c>
      <x:c r="N2814" s="34" t="str">
        <x:v>Feedback-Directed Random Test Generation/Result_Round2/Codec_12/result.json</x:v>
      </x:c>
      <x:c r="O2814" s="38" t="n">
        <x:f>IF(AND(G2814="RECORDED",ISNUMBER(H2814)),H2814,"")</x:f>
        <x:v>58.06</x:v>
      </x:c>
      <x:c r="P2814" s="34" t="str">
        <x:v>INCONCLUSIVE</x:v>
      </x:c>
      <x:c r="Q2814" s="34" t="str">
        <x:v>Feedback-Directed Random Test Generation/Result_Round2/Codec_12/result.json</x:v>
      </x:c>
    </x:row>
    <x:row r="2815">
      <x:c r="A2815" s="34" t="str">
        <x:v>randoop</x:v>
      </x:c>
      <x:c r="B2815" s="34" t="str">
        <x:v>Codec</x:v>
      </x:c>
      <x:c r="C2815" s="34" t="str">
        <x:v>Round2</x:v>
      </x:c>
      <x:c r="D2815" s="34" t="str">
        <x:v>Codec_13</x:v>
      </x:c>
      <x:c r="E2815" s="34" t="str">
        <x:v>Line</x:v>
      </x:c>
      <x:c r="F2815" s="34" t="n">
        <x:v>481</x:v>
      </x:c>
      <x:c r="G2815" s="34" t="str">
        <x:v>RECORDED</x:v>
      </x:c>
      <x:c r="H2815" s="38" t="n">
        <x:f>IF(ISNUMBER('Data'!H1107),'Data'!H1107*100,"")</x:f>
        <x:v>29.520000000000003</x:v>
      </x:c>
      <x:c r="I2815" s="34" t="str">
        <x:v>PASS</x:v>
      </x:c>
      <x:c r="J2815" s="34" t="str">
        <x:v>PASS</x:v>
      </x:c>
      <x:c r="K2815" s="34" t="str">
        <x:v>PASS</x:v>
      </x:c>
      <x:c r="L2815" s="34" t="str">
        <x:v>FAIL</x:v>
      </x:c>
      <x:c r="M2815" s="34" t="str">
        <x:v>numeric coverage for applicable metric</x:v>
      </x:c>
      <x:c r="N2815" s="34" t="str">
        <x:v>Feedback-Directed Random Test Generation/Result_Round2/Codec_13/result.json</x:v>
      </x:c>
      <x:c r="O2815" s="38" t="n">
        <x:f>IF(AND(G2815="RECORDED",ISNUMBER(H2815)),H2815,"")</x:f>
        <x:v>29.520000000000003</x:v>
      </x:c>
      <x:c r="P2815" s="34" t="str">
        <x:v>REVEALING</x:v>
      </x:c>
      <x:c r="Q2815" s="34" t="str">
        <x:v>Feedback-Directed Random Test Generation/Result_Round2/Codec_13/result.json</x:v>
      </x:c>
    </x:row>
    <x:row r="2816">
      <x:c r="A2816" s="34" t="str">
        <x:v>randoop</x:v>
      </x:c>
      <x:c r="B2816" s="34" t="str">
        <x:v>Codec</x:v>
      </x:c>
      <x:c r="C2816" s="34" t="str">
        <x:v>Round2</x:v>
      </x:c>
      <x:c r="D2816" s="34" t="str">
        <x:v>Codec_14</x:v>
      </x:c>
      <x:c r="E2816" s="34" t="str">
        <x:v>Line</x:v>
      </x:c>
      <x:c r="F2816" s="34" t="n">
        <x:v>0</x:v>
      </x:c>
      <x:c r="G2816" s="34" t="str">
        <x:v>A</x:v>
      </x:c>
      <x:c r="H2816" s="38" t="str">
        <x:f>IF(ISNUMBER('Data'!H1108),'Data'!H1108*100,"")</x:f>
      </x:c>
      <x:c r="I2816" s="34"/>
      <x:c r="J2816" s="34"/>
      <x:c r="K2816" s="34"/>
      <x:c r="L2816" s="34" t="str">
        <x:v>NOT_RUN</x:v>
      </x:c>
      <x:c r="M2816" s="34" t="str">
        <x:v>Latest same-round generation failed; older files/results are excluded</x:v>
      </x:c>
      <x:c r="N2816" s="34" t="str">
        <x:v>Feedback-Directed Random Test Generation/report_Round2.csv</x:v>
      </x:c>
      <x:c r="O2816" s="38" t="str">
        <x:f>IF(AND(G2816="RECORDED",ISNUMBER(H2816)),H2816,"")</x:f>
      </x:c>
      <x:c r="P2816" s="34" t="str">
        <x:v>FAIL</x:v>
      </x:c>
      <x:c r="Q2816" s="34"/>
    </x:row>
    <x:row r="2817">
      <x:c r="A2817" s="34" t="str">
        <x:v>randoop</x:v>
      </x:c>
      <x:c r="B2817" s="34" t="str">
        <x:v>Codec</x:v>
      </x:c>
      <x:c r="C2817" s="34" t="str">
        <x:v>Round2</x:v>
      </x:c>
      <x:c r="D2817" s="34" t="str">
        <x:v>Codec_15</x:v>
      </x:c>
      <x:c r="E2817" s="34" t="str">
        <x:v>Line</x:v>
      </x:c>
      <x:c r="F2817" s="34" t="n">
        <x:v>51</x:v>
      </x:c>
      <x:c r="G2817" s="34" t="str">
        <x:v>RECORDED</x:v>
      </x:c>
      <x:c r="H2817" s="38" t="n">
        <x:f>IF(ISNUMBER('Data'!H1109),'Data'!H1109*100,"")</x:f>
        <x:v>84.31</x:v>
      </x:c>
      <x:c r="I2817" s="34" t="str">
        <x:v>PASS</x:v>
      </x:c>
      <x:c r="J2817" s="34" t="str">
        <x:v>PASS</x:v>
      </x:c>
      <x:c r="K2817" s="34" t="str">
        <x:v>PASS</x:v>
      </x:c>
      <x:c r="L2817" s="34" t="str">
        <x:v>PASS</x:v>
      </x:c>
      <x:c r="M2817" s="34" t="str">
        <x:v>numeric coverage for applicable metric</x:v>
      </x:c>
      <x:c r="N2817" s="34" t="str">
        <x:v>Feedback-Directed Random Test Generation/Result_Round2/Codec_15/result.json</x:v>
      </x:c>
      <x:c r="O2817" s="38" t="n">
        <x:f>IF(AND(G2817="RECORDED",ISNUMBER(H2817)),H2817,"")</x:f>
        <x:v>84.31</x:v>
      </x:c>
      <x:c r="P2817" s="34" t="str">
        <x:v>NOT_REVEALING</x:v>
      </x:c>
      <x:c r="Q2817" s="34" t="str">
        <x:v>Feedback-Directed Random Test Generation/Result_Round2/Codec_15/result.json</x:v>
      </x:c>
    </x:row>
    <x:row r="2818">
      <x:c r="A2818" s="34" t="str">
        <x:v>randoop</x:v>
      </x:c>
      <x:c r="B2818" s="34" t="str">
        <x:v>Codec</x:v>
      </x:c>
      <x:c r="C2818" s="34" t="str">
        <x:v>Round2</x:v>
      </x:c>
      <x:c r="D2818" s="34" t="str">
        <x:v>Codec_16</x:v>
      </x:c>
      <x:c r="E2818" s="34" t="str">
        <x:v>Line</x:v>
      </x:c>
      <x:c r="F2818" s="34" t="n">
        <x:v>166</x:v>
      </x:c>
      <x:c r="G2818" s="34" t="str">
        <x:v>RECORDED</x:v>
      </x:c>
      <x:c r="H2818" s="38" t="n">
        <x:f>IF(ISNUMBER('Data'!H1110),'Data'!H1110*100,"")</x:f>
        <x:v>98.19</x:v>
      </x:c>
      <x:c r="I2818" s="34" t="str">
        <x:v>PASS</x:v>
      </x:c>
      <x:c r="J2818" s="34" t="str">
        <x:v>PASS</x:v>
      </x:c>
      <x:c r="K2818" s="34" t="str">
        <x:v>PASS</x:v>
      </x:c>
      <x:c r="L2818" s="34" t="str">
        <x:v>PASS</x:v>
      </x:c>
      <x:c r="M2818" s="34" t="str">
        <x:v>numeric coverage for applicable metric</x:v>
      </x:c>
      <x:c r="N2818" s="34" t="str">
        <x:v>Feedback-Directed Random Test Generation/Result_Round2/Codec_16/result.json</x:v>
      </x:c>
      <x:c r="O2818" s="38" t="n">
        <x:f>IF(AND(G2818="RECORDED",ISNUMBER(H2818)),H2818,"")</x:f>
        <x:v>98.19</x:v>
      </x:c>
      <x:c r="P2818" s="34" t="str">
        <x:v>INCONCLUSIVE</x:v>
      </x:c>
      <x:c r="Q2818" s="34" t="str">
        <x:v>Feedback-Directed Random Test Generation/Result_Round2/Codec_16/result.json</x:v>
      </x:c>
    </x:row>
    <x:row r="2819">
      <x:c r="A2819" s="34" t="str">
        <x:v>randoop</x:v>
      </x:c>
      <x:c r="B2819" s="34" t="str">
        <x:v>Codec</x:v>
      </x:c>
      <x:c r="C2819" s="34" t="str">
        <x:v>Round2</x:v>
      </x:c>
      <x:c r="D2819" s="34" t="str">
        <x:v>Codec_17</x:v>
      </x:c>
      <x:c r="E2819" s="34" t="str">
        <x:v>Line</x:v>
      </x:c>
      <x:c r="F2819" s="34" t="n">
        <x:v>39</x:v>
      </x:c>
      <x:c r="G2819" s="34" t="str">
        <x:v>RECORDED</x:v>
      </x:c>
      <x:c r="H2819" s="38" t="n">
        <x:f>IF(ISNUMBER('Data'!H1111),'Data'!H1111*100,"")</x:f>
        <x:v>89.74</x:v>
      </x:c>
      <x:c r="I2819" s="34" t="str">
        <x:v>PASS</x:v>
      </x:c>
      <x:c r="J2819" s="34" t="str">
        <x:v>PASS</x:v>
      </x:c>
      <x:c r="K2819" s="34" t="str">
        <x:v>PASS</x:v>
      </x:c>
      <x:c r="L2819" s="34" t="str">
        <x:v>PASS</x:v>
      </x:c>
      <x:c r="M2819" s="34" t="str">
        <x:v>numeric coverage for applicable metric</x:v>
      </x:c>
      <x:c r="N2819" s="34" t="str">
        <x:v>Feedback-Directed Random Test Generation/Result_Round2/Codec_17/result.json</x:v>
      </x:c>
      <x:c r="O2819" s="38" t="n">
        <x:f>IF(AND(G2819="RECORDED",ISNUMBER(H2819)),H2819,"")</x:f>
        <x:v>89.74</x:v>
      </x:c>
      <x:c r="P2819" s="34" t="str">
        <x:v>INCONCLUSIVE</x:v>
      </x:c>
      <x:c r="Q2819" s="34" t="str">
        <x:v>Feedback-Directed Random Test Generation/Result_Round2/Codec_17/result.json</x:v>
      </x:c>
    </x:row>
    <x:row r="2820">
      <x:c r="A2820" s="34" t="str">
        <x:v>randoop</x:v>
      </x:c>
      <x:c r="B2820" s="34" t="str">
        <x:v>Codec</x:v>
      </x:c>
      <x:c r="C2820" s="34" t="str">
        <x:v>Round2</x:v>
      </x:c>
      <x:c r="D2820" s="34" t="str">
        <x:v>Codec_18</x:v>
      </x:c>
      <x:c r="E2820" s="34" t="str">
        <x:v>Line</x:v>
      </x:c>
      <x:c r="F2820" s="34" t="n">
        <x:v>39</x:v>
      </x:c>
      <x:c r="G2820" s="34" t="str">
        <x:v>RECORDED</x:v>
      </x:c>
      <x:c r="H2820" s="38" t="n">
        <x:f>IF(ISNUMBER('Data'!H1112),'Data'!H1112*100,"")</x:f>
        <x:v>89.74</x:v>
      </x:c>
      <x:c r="I2820" s="34" t="str">
        <x:v>PASS</x:v>
      </x:c>
      <x:c r="J2820" s="34" t="str">
        <x:v>PASS</x:v>
      </x:c>
      <x:c r="K2820" s="34" t="str">
        <x:v>PASS</x:v>
      </x:c>
      <x:c r="L2820" s="34" t="str">
        <x:v>PASS</x:v>
      </x:c>
      <x:c r="M2820" s="34" t="str">
        <x:v>numeric coverage for applicable metric</x:v>
      </x:c>
      <x:c r="N2820" s="34" t="str">
        <x:v>Feedback-Directed Random Test Generation/Result_Round2/Codec_18/result.json</x:v>
      </x:c>
      <x:c r="O2820" s="38" t="n">
        <x:f>IF(AND(G2820="RECORDED",ISNUMBER(H2820)),H2820,"")</x:f>
        <x:v>89.74</x:v>
      </x:c>
      <x:c r="P2820" s="34" t="str">
        <x:v>NOT_REVEALING</x:v>
      </x:c>
      <x:c r="Q2820" s="34" t="str">
        <x:v>Feedback-Directed Random Test Generation/Result_Round2/Codec_18/result.json</x:v>
      </x:c>
    </x:row>
    <x:row r="2821">
      <x:c r="A2821" s="34" t="str">
        <x:v>randoop</x:v>
      </x:c>
      <x:c r="B2821" s="34" t="str">
        <x:v>Collections</x:v>
      </x:c>
      <x:c r="C2821" s="34" t="str">
        <x:v>Round2</x:v>
      </x:c>
      <x:c r="D2821" s="34" t="str">
        <x:v>Collections_1</x:v>
      </x:c>
      <x:c r="E2821" s="34" t="str">
        <x:v>Line</x:v>
      </x:c>
      <x:c r="F2821" s="34" t="n">
        <x:v>491</x:v>
      </x:c>
      <x:c r="G2821" s="34" t="str">
        <x:v>RECORDED</x:v>
      </x:c>
      <x:c r="H2821" s="38" t="n">
        <x:f>IF(ISNUMBER('Data'!H1113),'Data'!H1113*100,"")</x:f>
        <x:v>49.08</x:v>
      </x:c>
      <x:c r="I2821" s="34" t="str">
        <x:v>PASS</x:v>
      </x:c>
      <x:c r="J2821" s="34" t="str">
        <x:v>PASS</x:v>
      </x:c>
      <x:c r="K2821" s="34" t="str">
        <x:v>PASS</x:v>
      </x:c>
      <x:c r="L2821" s="34" t="str">
        <x:v>FAIL</x:v>
      </x:c>
      <x:c r="M2821" s="34" t="str">
        <x:v>numeric coverage for applicable metric</x:v>
      </x:c>
      <x:c r="N2821" s="34" t="str">
        <x:v>Feedback-Directed Random Test Generation/Result_Round2/Collections_1/result.json</x:v>
      </x:c>
      <x:c r="O2821" s="38" t="n">
        <x:f>IF(AND(G2821="RECORDED",ISNUMBER(H2821)),H2821,"")</x:f>
        <x:v>49.08</x:v>
      </x:c>
      <x:c r="P2821" s="34" t="str">
        <x:v>INCONCLUSIVE</x:v>
      </x:c>
      <x:c r="Q2821" s="34" t="str">
        <x:v>Feedback-Directed Random Test Generation/Result_Round2/Collections_1/result.json</x:v>
      </x:c>
    </x:row>
    <x:row r="2822">
      <x:c r="A2822" s="34" t="str">
        <x:v>randoop</x:v>
      </x:c>
      <x:c r="B2822" s="34" t="str">
        <x:v>Collections</x:v>
      </x:c>
      <x:c r="C2822" s="34" t="str">
        <x:v>Round2</x:v>
      </x:c>
      <x:c r="D2822" s="34" t="str">
        <x:v>Collections_2</x:v>
      </x:c>
      <x:c r="E2822" s="34" t="str">
        <x:v>Line</x:v>
      </x:c>
      <x:c r="F2822" s="34" t="n">
        <x:v>465</x:v>
      </x:c>
      <x:c r="G2822" s="34" t="str">
        <x:v>RECORDED</x:v>
      </x:c>
      <x:c r="H2822" s="38" t="n">
        <x:f>IF(ISNUMBER('Data'!H1114),'Data'!H1114*100,"")</x:f>
        <x:v>59.35</x:v>
      </x:c>
      <x:c r="I2822" s="34" t="str">
        <x:v>PASS</x:v>
      </x:c>
      <x:c r="J2822" s="34" t="str">
        <x:v>PASS</x:v>
      </x:c>
      <x:c r="K2822" s="34" t="str">
        <x:v>PASS</x:v>
      </x:c>
      <x:c r="L2822" s="34" t="str">
        <x:v>PASS</x:v>
      </x:c>
      <x:c r="M2822" s="34" t="str">
        <x:v>numeric coverage for applicable metric</x:v>
      </x:c>
      <x:c r="N2822" s="34" t="str">
        <x:v>Feedback-Directed Random Test Generation/Result_Round2/Collections_2/result.json</x:v>
      </x:c>
      <x:c r="O2822" s="38" t="n">
        <x:f>IF(AND(G2822="RECORDED",ISNUMBER(H2822)),H2822,"")</x:f>
        <x:v>59.35</x:v>
      </x:c>
      <x:c r="P2822" s="34" t="str">
        <x:v>INCONCLUSIVE</x:v>
      </x:c>
      <x:c r="Q2822" s="34" t="str">
        <x:v>Feedback-Directed Random Test Generation/Result_Round2/Collections_2/result.json</x:v>
      </x:c>
    </x:row>
    <x:row r="2823">
      <x:c r="A2823" s="34" t="str">
        <x:v>randoop</x:v>
      </x:c>
      <x:c r="B2823" s="34" t="str">
        <x:v>Collections</x:v>
      </x:c>
      <x:c r="C2823" s="34" t="str">
        <x:v>Round2</x:v>
      </x:c>
      <x:c r="D2823" s="34" t="str">
        <x:v>Collections_3</x:v>
      </x:c>
      <x:c r="E2823" s="34" t="str">
        <x:v>Line</x:v>
      </x:c>
      <x:c r="F2823" s="34" t="n">
        <x:v>329</x:v>
      </x:c>
      <x:c r="G2823" s="34" t="str">
        <x:v>RECORDED</x:v>
      </x:c>
      <x:c r="H2823" s="38" t="n">
        <x:f>IF(ISNUMBER('Data'!H1115),'Data'!H1115*100,"")</x:f>
        <x:v>61.7</x:v>
      </x:c>
      <x:c r="I2823" s="34" t="str">
        <x:v>PASS</x:v>
      </x:c>
      <x:c r="J2823" s="34" t="str">
        <x:v>PASS</x:v>
      </x:c>
      <x:c r="K2823" s="34" t="str">
        <x:v>PASS</x:v>
      </x:c>
      <x:c r="L2823" s="34" t="str">
        <x:v>FAIL</x:v>
      </x:c>
      <x:c r="M2823" s="34" t="str">
        <x:v>numeric coverage for applicable metric</x:v>
      </x:c>
      <x:c r="N2823" s="34" t="str">
        <x:v>Feedback-Directed Random Test Generation/Result_Round2/Collections_3/result.json</x:v>
      </x:c>
      <x:c r="O2823" s="38" t="n">
        <x:f>IF(AND(G2823="RECORDED",ISNUMBER(H2823)),H2823,"")</x:f>
        <x:v>61.7</x:v>
      </x:c>
      <x:c r="P2823" s="34" t="str">
        <x:v>INCONCLUSIVE</x:v>
      </x:c>
      <x:c r="Q2823" s="34" t="str">
        <x:v>Feedback-Directed Random Test Generation/Result_Round2/Collections_3/result.json</x:v>
      </x:c>
    </x:row>
    <x:row r="2824">
      <x:c r="A2824" s="34" t="str">
        <x:v>randoop</x:v>
      </x:c>
      <x:c r="B2824" s="34" t="str">
        <x:v>Collections</x:v>
      </x:c>
      <x:c r="C2824" s="34" t="str">
        <x:v>Round2</x:v>
      </x:c>
      <x:c r="D2824" s="34" t="str">
        <x:v>Collections_4</x:v>
      </x:c>
      <x:c r="E2824" s="34" t="str">
        <x:v>Line</x:v>
      </x:c>
      <x:c r="F2824" s="34" t="n">
        <x:v>111</x:v>
      </x:c>
      <x:c r="G2824" s="34" t="str">
        <x:v>RECORDED</x:v>
      </x:c>
      <x:c r="H2824" s="38" t="n">
        <x:f>IF(ISNUMBER('Data'!H1116),'Data'!H1116*100,"")</x:f>
        <x:v>84.68</x:v>
      </x:c>
      <x:c r="I2824" s="34" t="str">
        <x:v>PASS</x:v>
      </x:c>
      <x:c r="J2824" s="34" t="str">
        <x:v>PASS</x:v>
      </x:c>
      <x:c r="K2824" s="34" t="str">
        <x:v>PASS</x:v>
      </x:c>
      <x:c r="L2824" s="34" t="str">
        <x:v>FAIL</x:v>
      </x:c>
      <x:c r="M2824" s="34" t="str">
        <x:v>numeric coverage for applicable metric</x:v>
      </x:c>
      <x:c r="N2824" s="34" t="str">
        <x:v>Feedback-Directed Random Test Generation/Result_Round2/Collections_4/result.json</x:v>
      </x:c>
      <x:c r="O2824" s="38" t="n">
        <x:f>IF(AND(G2824="RECORDED",ISNUMBER(H2824)),H2824,"")</x:f>
        <x:v>84.68</x:v>
      </x:c>
      <x:c r="P2824" s="34" t="str">
        <x:v>INCONCLUSIVE</x:v>
      </x:c>
      <x:c r="Q2824" s="34" t="str">
        <x:v>Feedback-Directed Random Test Generation/Result_Round2/Collections_4/result.json</x:v>
      </x:c>
    </x:row>
    <x:row r="2825">
      <x:c r="A2825" s="34" t="str">
        <x:v>randoop</x:v>
      </x:c>
      <x:c r="B2825" s="34" t="str">
        <x:v>Collections</x:v>
      </x:c>
      <x:c r="C2825" s="34" t="str">
        <x:v>Round2</x:v>
      </x:c>
      <x:c r="D2825" s="34" t="str">
        <x:v>Collections_5</x:v>
      </x:c>
      <x:c r="E2825" s="34" t="str">
        <x:v>Line</x:v>
      </x:c>
      <x:c r="F2825" s="34" t="n">
        <x:v>82</x:v>
      </x:c>
      <x:c r="G2825" s="34" t="str">
        <x:v>RECORDED</x:v>
      </x:c>
      <x:c r="H2825" s="38" t="n">
        <x:f>IF(ISNUMBER('Data'!H1117),'Data'!H1117*100,"")</x:f>
        <x:v>6.1</x:v>
      </x:c>
      <x:c r="I2825" s="34" t="str">
        <x:v>PASS</x:v>
      </x:c>
      <x:c r="J2825" s="34" t="str">
        <x:v>PASS</x:v>
      </x:c>
      <x:c r="K2825" s="34" t="str">
        <x:v>PASS</x:v>
      </x:c>
      <x:c r="L2825" s="34" t="str">
        <x:v>PASS</x:v>
      </x:c>
      <x:c r="M2825" s="34" t="str">
        <x:v>numeric coverage for applicable metric</x:v>
      </x:c>
      <x:c r="N2825" s="34" t="str">
        <x:v>Feedback-Directed Random Test Generation/Result_Round2/Collections_5/result.json</x:v>
      </x:c>
      <x:c r="O2825" s="38" t="n">
        <x:f>IF(AND(G2825="RECORDED",ISNUMBER(H2825)),H2825,"")</x:f>
        <x:v>6.1</x:v>
      </x:c>
      <x:c r="P2825" s="34" t="str">
        <x:v>NOT_REVEALING</x:v>
      </x:c>
      <x:c r="Q2825" s="34" t="str">
        <x:v>Feedback-Directed Random Test Generation/Result_Round2/Collections_5/result.json</x:v>
      </x:c>
    </x:row>
    <x:row r="2826">
      <x:c r="A2826" s="34" t="str">
        <x:v>randoop</x:v>
      </x:c>
      <x:c r="B2826" s="34" t="str">
        <x:v>Collections</x:v>
      </x:c>
      <x:c r="C2826" s="34" t="str">
        <x:v>Round2</x:v>
      </x:c>
      <x:c r="D2826" s="34" t="str">
        <x:v>Collections_6</x:v>
      </x:c>
      <x:c r="E2826" s="34" t="str">
        <x:v>Line</x:v>
      </x:c>
      <x:c r="F2826" s="34" t="n">
        <x:v>495</x:v>
      </x:c>
      <x:c r="G2826" s="34" t="str">
        <x:v>RECORDED</x:v>
      </x:c>
      <x:c r="H2826" s="38" t="n">
        <x:f>IF(ISNUMBER('Data'!H1118),'Data'!H1118*100,"")</x:f>
        <x:v>49.49</x:v>
      </x:c>
      <x:c r="I2826" s="34" t="str">
        <x:v>PASS</x:v>
      </x:c>
      <x:c r="J2826" s="34" t="str">
        <x:v>PASS</x:v>
      </x:c>
      <x:c r="K2826" s="34" t="str">
        <x:v>PASS</x:v>
      </x:c>
      <x:c r="L2826" s="34" t="str">
        <x:v>FAIL</x:v>
      </x:c>
      <x:c r="M2826" s="34" t="str">
        <x:v>numeric coverage for applicable metric</x:v>
      </x:c>
      <x:c r="N2826" s="34" t="str">
        <x:v>Feedback-Directed Random Test Generation/Result_Round2/Collections_6/result.json</x:v>
      </x:c>
      <x:c r="O2826" s="38" t="n">
        <x:f>IF(AND(G2826="RECORDED",ISNUMBER(H2826)),H2826,"")</x:f>
        <x:v>49.49</x:v>
      </x:c>
      <x:c r="P2826" s="34" t="str">
        <x:v>INCONCLUSIVE</x:v>
      </x:c>
      <x:c r="Q2826" s="34" t="str">
        <x:v>Feedback-Directed Random Test Generation/Result_Round2/Collections_6/result.json</x:v>
      </x:c>
    </x:row>
    <x:row r="2827">
      <x:c r="A2827" s="34" t="str">
        <x:v>randoop</x:v>
      </x:c>
      <x:c r="B2827" s="34" t="str">
        <x:v>Collections</x:v>
      </x:c>
      <x:c r="C2827" s="34" t="str">
        <x:v>Round2</x:v>
      </x:c>
      <x:c r="D2827" s="34" t="str">
        <x:v>Collections_7</x:v>
      </x:c>
      <x:c r="E2827" s="34" t="str">
        <x:v>Line</x:v>
      </x:c>
      <x:c r="F2827" s="34" t="n">
        <x:v>483</x:v>
      </x:c>
      <x:c r="G2827" s="34" t="str">
        <x:v>RECORDED</x:v>
      </x:c>
      <x:c r="H2827" s="38" t="n">
        <x:f>IF(ISNUMBER('Data'!H1119),'Data'!H1119*100,"")</x:f>
        <x:v>57.97</x:v>
      </x:c>
      <x:c r="I2827" s="34" t="str">
        <x:v>PASS</x:v>
      </x:c>
      <x:c r="J2827" s="34" t="str">
        <x:v>PASS</x:v>
      </x:c>
      <x:c r="K2827" s="34" t="str">
        <x:v>PASS</x:v>
      </x:c>
      <x:c r="L2827" s="34" t="str">
        <x:v>FAIL</x:v>
      </x:c>
      <x:c r="M2827" s="34" t="str">
        <x:v>numeric coverage for applicable metric</x:v>
      </x:c>
      <x:c r="N2827" s="34" t="str">
        <x:v>Feedback-Directed Random Test Generation/Result_Round2/Collections_7/result.json</x:v>
      </x:c>
      <x:c r="O2827" s="38" t="n">
        <x:f>IF(AND(G2827="RECORDED",ISNUMBER(H2827)),H2827,"")</x:f>
        <x:v>57.97</x:v>
      </x:c>
      <x:c r="P2827" s="34" t="str">
        <x:v>INCONCLUSIVE</x:v>
      </x:c>
      <x:c r="Q2827" s="34" t="str">
        <x:v>Feedback-Directed Random Test Generation/Result_Round2/Collections_7/result.json</x:v>
      </x:c>
    </x:row>
    <x:row r="2828">
      <x:c r="A2828" s="34" t="str">
        <x:v>randoop</x:v>
      </x:c>
      <x:c r="B2828" s="34" t="str">
        <x:v>Collections</x:v>
      </x:c>
      <x:c r="C2828" s="34" t="str">
        <x:v>Round2</x:v>
      </x:c>
      <x:c r="D2828" s="34" t="str">
        <x:v>Collections_8</x:v>
      </x:c>
      <x:c r="E2828" s="34" t="str">
        <x:v>Line</x:v>
      </x:c>
      <x:c r="F2828" s="34" t="n">
        <x:v>88</x:v>
      </x:c>
      <x:c r="G2828" s="34" t="str">
        <x:v>RECORDED</x:v>
      </x:c>
      <x:c r="H2828" s="38" t="n">
        <x:f>IF(ISNUMBER('Data'!H1120),'Data'!H1120*100,"")</x:f>
        <x:v>61.36000000000001</x:v>
      </x:c>
      <x:c r="I2828" s="34" t="str">
        <x:v>PASS</x:v>
      </x:c>
      <x:c r="J2828" s="34" t="str">
        <x:v>PASS</x:v>
      </x:c>
      <x:c r="K2828" s="34" t="str">
        <x:v>PASS</x:v>
      </x:c>
      <x:c r="L2828" s="34" t="str">
        <x:v>PASS</x:v>
      </x:c>
      <x:c r="M2828" s="34" t="str">
        <x:v>numeric coverage for applicable metric</x:v>
      </x:c>
      <x:c r="N2828" s="34" t="str">
        <x:v>Feedback-Directed Random Test Generation/Result_Round2/Collections_8/result.json</x:v>
      </x:c>
      <x:c r="O2828" s="38" t="n">
        <x:f>IF(AND(G2828="RECORDED",ISNUMBER(H2828)),H2828,"")</x:f>
        <x:v>61.36000000000001</x:v>
      </x:c>
      <x:c r="P2828" s="34" t="str">
        <x:v>NOT_REVEALING</x:v>
      </x:c>
      <x:c r="Q2828" s="34" t="str">
        <x:v>Feedback-Directed Random Test Generation/Result_Round2/Collections_8/result.json</x:v>
      </x:c>
    </x:row>
    <x:row r="2829">
      <x:c r="A2829" s="34" t="str">
        <x:v>randoop</x:v>
      </x:c>
      <x:c r="B2829" s="34" t="str">
        <x:v>Collections</x:v>
      </x:c>
      <x:c r="C2829" s="34" t="str">
        <x:v>Round2</x:v>
      </x:c>
      <x:c r="D2829" s="34" t="str">
        <x:v>Collections_9</x:v>
      </x:c>
      <x:c r="E2829" s="34" t="str">
        <x:v>Line</x:v>
      </x:c>
      <x:c r="F2829" s="34" t="n">
        <x:v>491</x:v>
      </x:c>
      <x:c r="G2829" s="34" t="str">
        <x:v>RECORDED</x:v>
      </x:c>
      <x:c r="H2829" s="38" t="n">
        <x:f>IF(ISNUMBER('Data'!H1121),'Data'!H1121*100,"")</x:f>
        <x:v>58.040000000000006</x:v>
      </x:c>
      <x:c r="I2829" s="34" t="str">
        <x:v>PASS</x:v>
      </x:c>
      <x:c r="J2829" s="34" t="str">
        <x:v>PASS</x:v>
      </x:c>
      <x:c r="K2829" s="34" t="str">
        <x:v>PASS</x:v>
      </x:c>
      <x:c r="L2829" s="34" t="str">
        <x:v>PASS</x:v>
      </x:c>
      <x:c r="M2829" s="34" t="str">
        <x:v>numeric coverage for applicable metric</x:v>
      </x:c>
      <x:c r="N2829" s="34" t="str">
        <x:v>Feedback-Directed Random Test Generation/Result_Round2/Collections_9/result.json</x:v>
      </x:c>
      <x:c r="O2829" s="38" t="n">
        <x:f>IF(AND(G2829="RECORDED",ISNUMBER(H2829)),H2829,"")</x:f>
        <x:v>58.040000000000006</x:v>
      </x:c>
      <x:c r="P2829" s="34" t="str">
        <x:v>NOT_REVEALING</x:v>
      </x:c>
      <x:c r="Q2829" s="34" t="str">
        <x:v>Feedback-Directed Random Test Generation/Result_Round2/Collections_9/result.json</x:v>
      </x:c>
    </x:row>
    <x:row r="2830">
      <x:c r="A2830" s="34" t="str">
        <x:v>randoop</x:v>
      </x:c>
      <x:c r="B2830" s="34" t="str">
        <x:v>Collections</x:v>
      </x:c>
      <x:c r="C2830" s="34" t="str">
        <x:v>Round2</x:v>
      </x:c>
      <x:c r="D2830" s="34" t="str">
        <x:v>Collections_10</x:v>
      </x:c>
      <x:c r="E2830" s="34" t="str">
        <x:v>Line</x:v>
      </x:c>
      <x:c r="F2830" s="34" t="n">
        <x:v>119</x:v>
      </x:c>
      <x:c r="G2830" s="34" t="str">
        <x:v>RECORDED</x:v>
      </x:c>
      <x:c r="H2830" s="38" t="n">
        <x:f>IF(ISNUMBER('Data'!H1122),'Data'!H1122*100,"")</x:f>
        <x:v>81.51</x:v>
      </x:c>
      <x:c r="I2830" s="34" t="str">
        <x:v>PASS</x:v>
      </x:c>
      <x:c r="J2830" s="34" t="str">
        <x:v>PASS</x:v>
      </x:c>
      <x:c r="K2830" s="34" t="str">
        <x:v>PASS</x:v>
      </x:c>
      <x:c r="L2830" s="34" t="str">
        <x:v>PASS</x:v>
      </x:c>
      <x:c r="M2830" s="34" t="str">
        <x:v>numeric coverage for applicable metric</x:v>
      </x:c>
      <x:c r="N2830" s="34" t="str">
        <x:v>Feedback-Directed Random Test Generation/Result_Round2/Collections_10/result.json</x:v>
      </x:c>
      <x:c r="O2830" s="38" t="n">
        <x:f>IF(AND(G2830="RECORDED",ISNUMBER(H2830)),H2830,"")</x:f>
        <x:v>81.51</x:v>
      </x:c>
      <x:c r="P2830" s="34" t="str">
        <x:v>NOT_REVEALING</x:v>
      </x:c>
      <x:c r="Q2830" s="34" t="str">
        <x:v>Feedback-Directed Random Test Generation/Result_Round2/Collections_10/result.json</x:v>
      </x:c>
    </x:row>
    <x:row r="2831">
      <x:c r="A2831" s="34" t="str">
        <x:v>randoop</x:v>
      </x:c>
      <x:c r="B2831" s="34" t="str">
        <x:v>Collections</x:v>
      </x:c>
      <x:c r="C2831" s="34" t="str">
        <x:v>Round2</x:v>
      </x:c>
      <x:c r="D2831" s="34" t="str">
        <x:v>Collections_11</x:v>
      </x:c>
      <x:c r="E2831" s="34" t="str">
        <x:v>Line</x:v>
      </x:c>
      <x:c r="F2831" s="34" t="n">
        <x:v>35</x:v>
      </x:c>
      <x:c r="G2831" s="34" t="str">
        <x:v>RECORDED</x:v>
      </x:c>
      <x:c r="H2831" s="38" t="n">
        <x:f>IF(ISNUMBER('Data'!H1123),'Data'!H1123*100,"")</x:f>
        <x:v>97.14</x:v>
      </x:c>
      <x:c r="I2831" s="34" t="str">
        <x:v>PASS</x:v>
      </x:c>
      <x:c r="J2831" s="34" t="str">
        <x:v>PASS</x:v>
      </x:c>
      <x:c r="K2831" s="34" t="str">
        <x:v>PASS</x:v>
      </x:c>
      <x:c r="L2831" s="34" t="str">
        <x:v>PASS</x:v>
      </x:c>
      <x:c r="M2831" s="34" t="str">
        <x:v>numeric coverage for applicable metric</x:v>
      </x:c>
      <x:c r="N2831" s="34" t="str">
        <x:v>Feedback-Directed Random Test Generation/Result_Round2/Collections_11/result.json</x:v>
      </x:c>
      <x:c r="O2831" s="38" t="n">
        <x:f>IF(AND(G2831="RECORDED",ISNUMBER(H2831)),H2831,"")</x:f>
        <x:v>97.14</x:v>
      </x:c>
      <x:c r="P2831" s="34" t="str">
        <x:v>NOT_REVEALING</x:v>
      </x:c>
      <x:c r="Q2831" s="34" t="str">
        <x:v>Feedback-Directed Random Test Generation/Result_Round2/Collections_11/result.json</x:v>
      </x:c>
    </x:row>
    <x:row r="2832">
      <x:c r="A2832" s="34" t="str">
        <x:v>randoop</x:v>
      </x:c>
      <x:c r="B2832" s="34" t="str">
        <x:v>Collections</x:v>
      </x:c>
      <x:c r="C2832" s="34" t="str">
        <x:v>Round2</x:v>
      </x:c>
      <x:c r="D2832" s="34" t="str">
        <x:v>Collections_12</x:v>
      </x:c>
      <x:c r="E2832" s="34" t="str">
        <x:v>Line</x:v>
      </x:c>
      <x:c r="F2832" s="34" t="n">
        <x:v>489</x:v>
      </x:c>
      <x:c r="G2832" s="34" t="str">
        <x:v>RECORDED</x:v>
      </x:c>
      <x:c r="H2832" s="38" t="n">
        <x:f>IF(ISNUMBER('Data'!H1124),'Data'!H1124*100,"")</x:f>
        <x:v>58.08</x:v>
      </x:c>
      <x:c r="I2832" s="34" t="str">
        <x:v>PASS</x:v>
      </x:c>
      <x:c r="J2832" s="34" t="str">
        <x:v>PASS</x:v>
      </x:c>
      <x:c r="K2832" s="34" t="str">
        <x:v>PASS</x:v>
      </x:c>
      <x:c r="L2832" s="34" t="str">
        <x:v>PASS</x:v>
      </x:c>
      <x:c r="M2832" s="34" t="str">
        <x:v>numeric coverage for applicable metric</x:v>
      </x:c>
      <x:c r="N2832" s="34" t="str">
        <x:v>Feedback-Directed Random Test Generation/Result_Round2/Collections_12/result.json</x:v>
      </x:c>
      <x:c r="O2832" s="38" t="n">
        <x:f>IF(AND(G2832="RECORDED",ISNUMBER(H2832)),H2832,"")</x:f>
        <x:v>58.08</x:v>
      </x:c>
      <x:c r="P2832" s="34" t="str">
        <x:v>NOT_REVEALING</x:v>
      </x:c>
      <x:c r="Q2832" s="34" t="str">
        <x:v>Feedback-Directed Random Test Generation/Result_Round2/Collections_12/result.json</x:v>
      </x:c>
    </x:row>
    <x:row r="2833">
      <x:c r="A2833" s="34" t="str">
        <x:v>randoop</x:v>
      </x:c>
      <x:c r="B2833" s="34" t="str">
        <x:v>Collections</x:v>
      </x:c>
      <x:c r="C2833" s="34" t="str">
        <x:v>Round2</x:v>
      </x:c>
      <x:c r="D2833" s="34" t="str">
        <x:v>Collections_13</x:v>
      </x:c>
      <x:c r="E2833" s="34" t="str">
        <x:v>Line</x:v>
      </x:c>
      <x:c r="F2833" s="34" t="n">
        <x:v>490</x:v>
      </x:c>
      <x:c r="G2833" s="34" t="str">
        <x:v>RECORDED</x:v>
      </x:c>
      <x:c r="H2833" s="38" t="n">
        <x:f>IF(ISNUMBER('Data'!H1125),'Data'!H1125*100,"")</x:f>
        <x:v>58.37</x:v>
      </x:c>
      <x:c r="I2833" s="34" t="str">
        <x:v>PASS</x:v>
      </x:c>
      <x:c r="J2833" s="34" t="str">
        <x:v>PASS</x:v>
      </x:c>
      <x:c r="K2833" s="34" t="str">
        <x:v>PASS</x:v>
      </x:c>
      <x:c r="L2833" s="34" t="str">
        <x:v>PASS</x:v>
      </x:c>
      <x:c r="M2833" s="34" t="str">
        <x:v>numeric coverage for applicable metric</x:v>
      </x:c>
      <x:c r="N2833" s="34" t="str">
        <x:v>Feedback-Directed Random Test Generation/Result_Round2/Collections_13/result.json</x:v>
      </x:c>
      <x:c r="O2833" s="38" t="n">
        <x:f>IF(AND(G2833="RECORDED",ISNUMBER(H2833)),H2833,"")</x:f>
        <x:v>58.37</x:v>
      </x:c>
      <x:c r="P2833" s="34" t="str">
        <x:v>NOT_REVEALING</x:v>
      </x:c>
      <x:c r="Q2833" s="34" t="str">
        <x:v>Feedback-Directed Random Test Generation/Result_Round2/Collections_13/result.json</x:v>
      </x:c>
    </x:row>
    <x:row r="2834">
      <x:c r="A2834" s="34" t="str">
        <x:v>randoop</x:v>
      </x:c>
      <x:c r="B2834" s="34" t="str">
        <x:v>Collections</x:v>
      </x:c>
      <x:c r="C2834" s="34" t="str">
        <x:v>Round2</x:v>
      </x:c>
      <x:c r="D2834" s="34" t="str">
        <x:v>Collections_14</x:v>
      </x:c>
      <x:c r="E2834" s="34" t="str">
        <x:v>Line</x:v>
      </x:c>
      <x:c r="F2834" s="34" t="n">
        <x:v>18</x:v>
      </x:c>
      <x:c r="G2834" s="34" t="str">
        <x:v>RECORDED</x:v>
      </x:c>
      <x:c r="H2834" s="38" t="n">
        <x:f>IF(ISNUMBER('Data'!H1126),'Data'!H1126*100,"")</x:f>
        <x:v>66.67</x:v>
      </x:c>
      <x:c r="I2834" s="34" t="str">
        <x:v>PASS</x:v>
      </x:c>
      <x:c r="J2834" s="34" t="str">
        <x:v>PASS</x:v>
      </x:c>
      <x:c r="K2834" s="34" t="str">
        <x:v>PASS</x:v>
      </x:c>
      <x:c r="L2834" s="34" t="str">
        <x:v>PASS</x:v>
      </x:c>
      <x:c r="M2834" s="34" t="str">
        <x:v>numeric coverage for applicable metric</x:v>
      </x:c>
      <x:c r="N2834" s="34" t="str">
        <x:v>Feedback-Directed Random Test Generation/Result_Round2/Collections_14/result.json</x:v>
      </x:c>
      <x:c r="O2834" s="38" t="n">
        <x:f>IF(AND(G2834="RECORDED",ISNUMBER(H2834)),H2834,"")</x:f>
        <x:v>66.67</x:v>
      </x:c>
      <x:c r="P2834" s="34" t="str">
        <x:v>NOT_REVEALING</x:v>
      </x:c>
      <x:c r="Q2834" s="34" t="str">
        <x:v>Feedback-Directed Random Test Generation/Result_Round2/Collections_14/result.json</x:v>
      </x:c>
    </x:row>
    <x:row r="2835">
      <x:c r="A2835" s="34" t="str">
        <x:v>randoop</x:v>
      </x:c>
      <x:c r="B2835" s="34" t="str">
        <x:v>Collections</x:v>
      </x:c>
      <x:c r="C2835" s="34" t="str">
        <x:v>Round2</x:v>
      </x:c>
      <x:c r="D2835" s="34" t="str">
        <x:v>Collections_15</x:v>
      </x:c>
      <x:c r="E2835" s="34" t="str">
        <x:v>Line</x:v>
      </x:c>
      <x:c r="F2835" s="34" t="n">
        <x:v>86</x:v>
      </x:c>
      <x:c r="G2835" s="34" t="str">
        <x:v>RECORDED</x:v>
      </x:c>
      <x:c r="H2835" s="38" t="n">
        <x:f>IF(ISNUMBER('Data'!H1127),'Data'!H1127*100,"")</x:f>
        <x:v>5.81</x:v>
      </x:c>
      <x:c r="I2835" s="34" t="str">
        <x:v>PASS</x:v>
      </x:c>
      <x:c r="J2835" s="34" t="str">
        <x:v>PASS</x:v>
      </x:c>
      <x:c r="K2835" s="34" t="str">
        <x:v>PASS</x:v>
      </x:c>
      <x:c r="L2835" s="34" t="str">
        <x:v>PASS</x:v>
      </x:c>
      <x:c r="M2835" s="34" t="str">
        <x:v>numeric coverage for applicable metric</x:v>
      </x:c>
      <x:c r="N2835" s="34" t="str">
        <x:v>Feedback-Directed Random Test Generation/Result_Round2/Collections_15/result.json</x:v>
      </x:c>
      <x:c r="O2835" s="38" t="n">
        <x:f>IF(AND(G2835="RECORDED",ISNUMBER(H2835)),H2835,"")</x:f>
        <x:v>5.81</x:v>
      </x:c>
      <x:c r="P2835" s="34" t="str">
        <x:v>NOT_REVEALING</x:v>
      </x:c>
      <x:c r="Q2835" s="34" t="str">
        <x:v>Feedback-Directed Random Test Generation/Result_Round2/Collections_15/result.json</x:v>
      </x:c>
    </x:row>
    <x:row r="2836">
      <x:c r="A2836" s="34" t="str">
        <x:v>randoop</x:v>
      </x:c>
      <x:c r="B2836" s="34" t="str">
        <x:v>Collections</x:v>
      </x:c>
      <x:c r="C2836" s="34" t="str">
        <x:v>Round2</x:v>
      </x:c>
      <x:c r="D2836" s="34" t="str">
        <x:v>Collections_16</x:v>
      </x:c>
      <x:c r="E2836" s="34" t="str">
        <x:v>Line</x:v>
      </x:c>
      <x:c r="F2836" s="34" t="n">
        <x:v>86</x:v>
      </x:c>
      <x:c r="G2836" s="34" t="str">
        <x:v>RECORDED</x:v>
      </x:c>
      <x:c r="H2836" s="38" t="n">
        <x:f>IF(ISNUMBER('Data'!H1128),'Data'!H1128*100,"")</x:f>
        <x:v>5.81</x:v>
      </x:c>
      <x:c r="I2836" s="34" t="str">
        <x:v>PASS</x:v>
      </x:c>
      <x:c r="J2836" s="34" t="str">
        <x:v>PASS</x:v>
      </x:c>
      <x:c r="K2836" s="34" t="str">
        <x:v>PASS</x:v>
      </x:c>
      <x:c r="L2836" s="34" t="str">
        <x:v>PASS</x:v>
      </x:c>
      <x:c r="M2836" s="34" t="str">
        <x:v>numeric coverage for applicable metric</x:v>
      </x:c>
      <x:c r="N2836" s="34" t="str">
        <x:v>Feedback-Directed Random Test Generation/Result_Round2/Collections_16/result.json</x:v>
      </x:c>
      <x:c r="O2836" s="38" t="n">
        <x:f>IF(AND(G2836="RECORDED",ISNUMBER(H2836)),H2836,"")</x:f>
        <x:v>5.81</x:v>
      </x:c>
      <x:c r="P2836" s="34" t="str">
        <x:v>NOT_REVEALING</x:v>
      </x:c>
      <x:c r="Q2836" s="34" t="str">
        <x:v>Feedback-Directed Random Test Generation/Result_Round2/Collections_16/result.json</x:v>
      </x:c>
    </x:row>
    <x:row r="2837">
      <x:c r="A2837" s="34" t="str">
        <x:v>randoop</x:v>
      </x:c>
      <x:c r="B2837" s="34" t="str">
        <x:v>Collections</x:v>
      </x:c>
      <x:c r="C2837" s="34" t="str">
        <x:v>Round2</x:v>
      </x:c>
      <x:c r="D2837" s="34" t="str">
        <x:v>Collections_17</x:v>
      </x:c>
      <x:c r="E2837" s="34" t="str">
        <x:v>Line</x:v>
      </x:c>
      <x:c r="F2837" s="34" t="n">
        <x:v>14</x:v>
      </x:c>
      <x:c r="G2837" s="34" t="str">
        <x:v>RECORDED</x:v>
      </x:c>
      <x:c r="H2837" s="38" t="n">
        <x:f>IF(ISNUMBER('Data'!H1129),'Data'!H1129*100,"")</x:f>
        <x:v>78.57</x:v>
      </x:c>
      <x:c r="I2837" s="34" t="str">
        <x:v>PASS</x:v>
      </x:c>
      <x:c r="J2837" s="34" t="str">
        <x:v>PASS</x:v>
      </x:c>
      <x:c r="K2837" s="34" t="str">
        <x:v>PASS</x:v>
      </x:c>
      <x:c r="L2837" s="34" t="str">
        <x:v>PASS</x:v>
      </x:c>
      <x:c r="M2837" s="34" t="str">
        <x:v>numeric coverage for applicable metric</x:v>
      </x:c>
      <x:c r="N2837" s="34" t="str">
        <x:v>Feedback-Directed Random Test Generation/Result_Round2/Collections_17/result.json</x:v>
      </x:c>
      <x:c r="O2837" s="38" t="n">
        <x:f>IF(AND(G2837="RECORDED",ISNUMBER(H2837)),H2837,"")</x:f>
        <x:v>78.57</x:v>
      </x:c>
      <x:c r="P2837" s="34" t="str">
        <x:v>INCONCLUSIVE</x:v>
      </x:c>
      <x:c r="Q2837" s="34" t="str">
        <x:v>Feedback-Directed Random Test Generation/Result_Round2/Collections_17/result.json</x:v>
      </x:c>
    </x:row>
    <x:row r="2838">
      <x:c r="A2838" s="34" t="str">
        <x:v>randoop</x:v>
      </x:c>
      <x:c r="B2838" s="34" t="str">
        <x:v>Collections</x:v>
      </x:c>
      <x:c r="C2838" s="34" t="str">
        <x:v>Round2</x:v>
      </x:c>
      <x:c r="D2838" s="34" t="str">
        <x:v>Collections_18</x:v>
      </x:c>
      <x:c r="E2838" s="34" t="str">
        <x:v>Line</x:v>
      </x:c>
      <x:c r="F2838" s="34" t="n">
        <x:v>93</x:v>
      </x:c>
      <x:c r="G2838" s="34" t="str">
        <x:v>RECORDED</x:v>
      </x:c>
      <x:c r="H2838" s="38" t="n">
        <x:f>IF(ISNUMBER('Data'!H1130),'Data'!H1130*100,"")</x:f>
        <x:v>92.47</x:v>
      </x:c>
      <x:c r="I2838" s="34" t="str">
        <x:v>PASS</x:v>
      </x:c>
      <x:c r="J2838" s="34" t="str">
        <x:v>PASS</x:v>
      </x:c>
      <x:c r="K2838" s="34" t="str">
        <x:v>PASS</x:v>
      </x:c>
      <x:c r="L2838" s="34" t="str">
        <x:v>FAIL</x:v>
      </x:c>
      <x:c r="M2838" s="34" t="str">
        <x:v>numeric coverage for applicable metric</x:v>
      </x:c>
      <x:c r="N2838" s="34" t="str">
        <x:v>Feedback-Directed Random Test Generation/Result_Round2/Collections_18/result.json</x:v>
      </x:c>
      <x:c r="O2838" s="38" t="n">
        <x:f>IF(AND(G2838="RECORDED",ISNUMBER(H2838)),H2838,"")</x:f>
        <x:v>92.47</x:v>
      </x:c>
      <x:c r="P2838" s="34" t="str">
        <x:v>INCONCLUSIVE</x:v>
      </x:c>
      <x:c r="Q2838" s="34" t="str">
        <x:v>Feedback-Directed Random Test Generation/Result_Round2/Collections_18/result.json</x:v>
      </x:c>
    </x:row>
    <x:row r="2839">
      <x:c r="A2839" s="34" t="str">
        <x:v>randoop</x:v>
      </x:c>
      <x:c r="B2839" s="34" t="str">
        <x:v>Collections</x:v>
      </x:c>
      <x:c r="C2839" s="34" t="str">
        <x:v>Round2</x:v>
      </x:c>
      <x:c r="D2839" s="34" t="str">
        <x:v>Collections_19</x:v>
      </x:c>
      <x:c r="E2839" s="34" t="str">
        <x:v>Line</x:v>
      </x:c>
      <x:c r="F2839" s="34" t="n">
        <x:v>109</x:v>
      </x:c>
      <x:c r="G2839" s="34" t="str">
        <x:v>RECORDED</x:v>
      </x:c>
      <x:c r="H2839" s="38" t="n">
        <x:f>IF(ISNUMBER('Data'!H1131),'Data'!H1131*100,"")</x:f>
        <x:v>91.74</x:v>
      </x:c>
      <x:c r="I2839" s="34" t="str">
        <x:v>PASS</x:v>
      </x:c>
      <x:c r="J2839" s="34" t="str">
        <x:v>PASS</x:v>
      </x:c>
      <x:c r="K2839" s="34" t="str">
        <x:v>PASS</x:v>
      </x:c>
      <x:c r="L2839" s="34" t="str">
        <x:v>PASS</x:v>
      </x:c>
      <x:c r="M2839" s="34" t="str">
        <x:v>numeric coverage for applicable metric</x:v>
      </x:c>
      <x:c r="N2839" s="34" t="str">
        <x:v>Feedback-Directed Random Test Generation/Result_Round2/Collections_19/result.json</x:v>
      </x:c>
      <x:c r="O2839" s="38" t="n">
        <x:f>IF(AND(G2839="RECORDED",ISNUMBER(H2839)),H2839,"")</x:f>
        <x:v>91.74</x:v>
      </x:c>
      <x:c r="P2839" s="34" t="str">
        <x:v>NOT_REVEALING</x:v>
      </x:c>
      <x:c r="Q2839" s="34" t="str">
        <x:v>Feedback-Directed Random Test Generation/Result_Round2/Collections_19/result.json</x:v>
      </x:c>
    </x:row>
    <x:row r="2840">
      <x:c r="A2840" s="34" t="str">
        <x:v>randoop</x:v>
      </x:c>
      <x:c r="B2840" s="34" t="str">
        <x:v>Collections</x:v>
      </x:c>
      <x:c r="C2840" s="34" t="str">
        <x:v>Round2</x:v>
      </x:c>
      <x:c r="D2840" s="34" t="str">
        <x:v>Collections_20</x:v>
      </x:c>
      <x:c r="E2840" s="34" t="str">
        <x:v>Line</x:v>
      </x:c>
      <x:c r="F2840" s="34" t="n">
        <x:v>293</x:v>
      </x:c>
      <x:c r="G2840" s="34" t="str">
        <x:v>RECORDED</x:v>
      </x:c>
      <x:c r="H2840" s="38" t="n">
        <x:f>IF(ISNUMBER('Data'!H1132),'Data'!H1132*100,"")</x:f>
        <x:v>94.54</x:v>
      </x:c>
      <x:c r="I2840" s="34" t="str">
        <x:v>PASS</x:v>
      </x:c>
      <x:c r="J2840" s="34" t="str">
        <x:v>PASS</x:v>
      </x:c>
      <x:c r="K2840" s="34" t="str">
        <x:v>PASS</x:v>
      </x:c>
      <x:c r="L2840" s="34" t="str">
        <x:v>FAIL</x:v>
      </x:c>
      <x:c r="M2840" s="34" t="str">
        <x:v>numeric coverage for applicable metric</x:v>
      </x:c>
      <x:c r="N2840" s="34" t="str">
        <x:v>Feedback-Directed Random Test Generation/Result_Round2/Collections_20/result.json</x:v>
      </x:c>
      <x:c r="O2840" s="38" t="n">
        <x:f>IF(AND(G2840="RECORDED",ISNUMBER(H2840)),H2840,"")</x:f>
        <x:v>94.54</x:v>
      </x:c>
      <x:c r="P2840" s="34" t="str">
        <x:v>INCONCLUSIVE</x:v>
      </x:c>
      <x:c r="Q2840" s="34" t="str">
        <x:v>Feedback-Directed Random Test Generation/Result_Round2/Collections_20/result.json</x:v>
      </x:c>
    </x:row>
    <x:row r="2841">
      <x:c r="A2841" s="34" t="str">
        <x:v>randoop</x:v>
      </x:c>
      <x:c r="B2841" s="34" t="str">
        <x:v>Collections</x:v>
      </x:c>
      <x:c r="C2841" s="34" t="str">
        <x:v>Round2</x:v>
      </x:c>
      <x:c r="D2841" s="34" t="str">
        <x:v>Collections_21</x:v>
      </x:c>
      <x:c r="E2841" s="34" t="str">
        <x:v>Line</x:v>
      </x:c>
      <x:c r="F2841" s="34" t="n">
        <x:v>109</x:v>
      </x:c>
      <x:c r="G2841" s="34" t="str">
        <x:v>RECORDED</x:v>
      </x:c>
      <x:c r="H2841" s="38" t="n">
        <x:f>IF(ISNUMBER('Data'!H1133),'Data'!H1133*100,"")</x:f>
        <x:v>91.74</x:v>
      </x:c>
      <x:c r="I2841" s="34" t="str">
        <x:v>PASS</x:v>
      </x:c>
      <x:c r="J2841" s="34" t="str">
        <x:v>PASS</x:v>
      </x:c>
      <x:c r="K2841" s="34" t="str">
        <x:v>PASS</x:v>
      </x:c>
      <x:c r="L2841" s="34" t="str">
        <x:v>PASS</x:v>
      </x:c>
      <x:c r="M2841" s="34" t="str">
        <x:v>numeric coverage for applicable metric</x:v>
      </x:c>
      <x:c r="N2841" s="34" t="str">
        <x:v>Feedback-Directed Random Test Generation/Result_Round2/Collections_21/result.json</x:v>
      </x:c>
      <x:c r="O2841" s="38" t="n">
        <x:f>IF(AND(G2841="RECORDED",ISNUMBER(H2841)),H2841,"")</x:f>
        <x:v>91.74</x:v>
      </x:c>
      <x:c r="P2841" s="34" t="str">
        <x:v>NOT_REVEALING</x:v>
      </x:c>
      <x:c r="Q2841" s="34" t="str">
        <x:v>Feedback-Directed Random Test Generation/Result_Round2/Collections_21/result.json</x:v>
      </x:c>
    </x:row>
    <x:row r="2842">
      <x:c r="A2842" s="34" t="str">
        <x:v>randoop</x:v>
      </x:c>
      <x:c r="B2842" s="34" t="str">
        <x:v>Collections</x:v>
      </x:c>
      <x:c r="C2842" s="34" t="str">
        <x:v>Round2</x:v>
      </x:c>
      <x:c r="D2842" s="34" t="str">
        <x:v>Collections_22</x:v>
      </x:c>
      <x:c r="E2842" s="34" t="str">
        <x:v>Line</x:v>
      </x:c>
      <x:c r="F2842" s="34" t="n">
        <x:v>195</x:v>
      </x:c>
      <x:c r="G2842" s="34" t="str">
        <x:v>RECORDED</x:v>
      </x:c>
      <x:c r="H2842" s="38" t="n">
        <x:f>IF(ISNUMBER('Data'!H1134),'Data'!H1134*100,"")</x:f>
        <x:v>51.28</x:v>
      </x:c>
      <x:c r="I2842" s="34" t="str">
        <x:v>PASS</x:v>
      </x:c>
      <x:c r="J2842" s="34" t="str">
        <x:v>PASS</x:v>
      </x:c>
      <x:c r="K2842" s="34" t="str">
        <x:v>PASS</x:v>
      </x:c>
      <x:c r="L2842" s="34" t="str">
        <x:v>PASS</x:v>
      </x:c>
      <x:c r="M2842" s="34" t="str">
        <x:v>numeric coverage for applicable metric</x:v>
      </x:c>
      <x:c r="N2842" s="34" t="str">
        <x:v>Feedback-Directed Random Test Generation/Result_Round2/Collections_22/result.json</x:v>
      </x:c>
      <x:c r="O2842" s="38" t="n">
        <x:f>IF(AND(G2842="RECORDED",ISNUMBER(H2842)),H2842,"")</x:f>
        <x:v>51.28</x:v>
      </x:c>
      <x:c r="P2842" s="34" t="str">
        <x:v>NOT_REVEALING</x:v>
      </x:c>
      <x:c r="Q2842" s="34" t="str">
        <x:v>Feedback-Directed Random Test Generation/Result_Round2/Collections_22/result.json</x:v>
      </x:c>
    </x:row>
    <x:row r="2843">
      <x:c r="A2843" s="34" t="str">
        <x:v>randoop</x:v>
      </x:c>
      <x:c r="B2843" s="34" t="str">
        <x:v>Collections</x:v>
      </x:c>
      <x:c r="C2843" s="34" t="str">
        <x:v>Round2</x:v>
      </x:c>
      <x:c r="D2843" s="34" t="str">
        <x:v>Collections_23</x:v>
      </x:c>
      <x:c r="E2843" s="34" t="str">
        <x:v>Line</x:v>
      </x:c>
      <x:c r="F2843" s="34" t="n">
        <x:v>34</x:v>
      </x:c>
      <x:c r="G2843" s="34" t="str">
        <x:v>RECORDED</x:v>
      </x:c>
      <x:c r="H2843" s="38" t="n">
        <x:f>IF(ISNUMBER('Data'!H1135),'Data'!H1135*100,"")</x:f>
        <x:v>0</x:v>
      </x:c>
      <x:c r="I2843" s="34" t="str">
        <x:v>PASS</x:v>
      </x:c>
      <x:c r="J2843" s="34" t="str">
        <x:v>PASS</x:v>
      </x:c>
      <x:c r="K2843" s="34" t="str">
        <x:v>PASS</x:v>
      </x:c>
      <x:c r="L2843" s="34" t="str">
        <x:v>PASS</x:v>
      </x:c>
      <x:c r="M2843" s="34" t="str">
        <x:v>numeric coverage for applicable metric</x:v>
      </x:c>
      <x:c r="N2843" s="34" t="str">
        <x:v>Feedback-Directed Random Test Generation/Result_Round2/Collections_23/result.json</x:v>
      </x:c>
      <x:c r="O2843" s="38" t="n">
        <x:f>IF(AND(G2843="RECORDED",ISNUMBER(H2843)),H2843,"")</x:f>
        <x:v>0</x:v>
      </x:c>
      <x:c r="P2843" s="34" t="str">
        <x:v>NOT_REVEALING</x:v>
      </x:c>
      <x:c r="Q2843" s="34" t="str">
        <x:v>Feedback-Directed Random Test Generation/Result_Round2/Collections_23/result.json</x:v>
      </x:c>
    </x:row>
    <x:row r="2844">
      <x:c r="A2844" s="34" t="str">
        <x:v>randoop</x:v>
      </x:c>
      <x:c r="B2844" s="34" t="str">
        <x:v>Collections</x:v>
      </x:c>
      <x:c r="C2844" s="34" t="str">
        <x:v>Round2</x:v>
      </x:c>
      <x:c r="D2844" s="34" t="str">
        <x:v>Collections_24</x:v>
      </x:c>
      <x:c r="E2844" s="34" t="str">
        <x:v>Line</x:v>
      </x:c>
      <x:c r="F2844" s="34" t="n">
        <x:v>26</x:v>
      </x:c>
      <x:c r="G2844" s="34" t="str">
        <x:v>RECORDED</x:v>
      </x:c>
      <x:c r="H2844" s="38" t="n">
        <x:f>IF(ISNUMBER('Data'!H1136),'Data'!H1136*100,"")</x:f>
        <x:v>0</x:v>
      </x:c>
      <x:c r="I2844" s="34" t="str">
        <x:v>PASS</x:v>
      </x:c>
      <x:c r="J2844" s="34" t="str">
        <x:v>PASS</x:v>
      </x:c>
      <x:c r="K2844" s="34" t="str">
        <x:v>PASS</x:v>
      </x:c>
      <x:c r="L2844" s="34" t="str">
        <x:v>PASS</x:v>
      </x:c>
      <x:c r="M2844" s="34" t="str">
        <x:v>numeric coverage for applicable metric</x:v>
      </x:c>
      <x:c r="N2844" s="34" t="str">
        <x:v>Feedback-Directed Random Test Generation/Result_Round2/Collections_24/result.json</x:v>
      </x:c>
      <x:c r="O2844" s="38" t="n">
        <x:f>IF(AND(G2844="RECORDED",ISNUMBER(H2844)),H2844,"")</x:f>
        <x:v>0</x:v>
      </x:c>
      <x:c r="P2844" s="34" t="str">
        <x:v>NOT_REVEALING</x:v>
      </x:c>
      <x:c r="Q2844" s="34" t="str">
        <x:v>Feedback-Directed Random Test Generation/Result_Round2/Collections_24/result.json</x:v>
      </x:c>
    </x:row>
    <x:row r="2845">
      <x:c r="A2845" s="34" t="str">
        <x:v>randoop</x:v>
      </x:c>
      <x:c r="B2845" s="34" t="str">
        <x:v>Collections</x:v>
      </x:c>
      <x:c r="C2845" s="34" t="str">
        <x:v>Round2</x:v>
      </x:c>
      <x:c r="D2845" s="34" t="str">
        <x:v>Collections_25</x:v>
      </x:c>
      <x:c r="E2845" s="34" t="str">
        <x:v>Line</x:v>
      </x:c>
      <x:c r="F2845" s="34" t="n">
        <x:v>213</x:v>
      </x:c>
      <x:c r="G2845" s="34" t="str">
        <x:v>RECORDED</x:v>
      </x:c>
      <x:c r="H2845" s="38" t="n">
        <x:f>IF(ISNUMBER('Data'!H1137),'Data'!H1137*100,"")</x:f>
        <x:v>23</x:v>
      </x:c>
      <x:c r="I2845" s="34" t="str">
        <x:v>PASS</x:v>
      </x:c>
      <x:c r="J2845" s="34" t="str">
        <x:v>PASS</x:v>
      </x:c>
      <x:c r="K2845" s="34" t="str">
        <x:v>PASS</x:v>
      </x:c>
      <x:c r="L2845" s="34" t="str">
        <x:v>PASS</x:v>
      </x:c>
      <x:c r="M2845" s="34" t="str">
        <x:v>numeric coverage for applicable metric</x:v>
      </x:c>
      <x:c r="N2845" s="34" t="str">
        <x:v>Feedback-Directed Random Test Generation/Result_Round2/Collections_25/result.json</x:v>
      </x:c>
      <x:c r="O2845" s="38" t="n">
        <x:f>IF(AND(G2845="RECORDED",ISNUMBER(H2845)),H2845,"")</x:f>
        <x:v>23</x:v>
      </x:c>
      <x:c r="P2845" s="34" t="str">
        <x:v>NOT_REVEALING</x:v>
      </x:c>
      <x:c r="Q2845" s="34" t="str">
        <x:v>Feedback-Directed Random Test Generation/Result_Round2/Collections_25/result.json</x:v>
      </x:c>
    </x:row>
    <x:row r="2846">
      <x:c r="A2846" s="34" t="str">
        <x:v>randoop</x:v>
      </x:c>
      <x:c r="B2846" s="34" t="str">
        <x:v>Collections</x:v>
      </x:c>
      <x:c r="C2846" s="34" t="str">
        <x:v>Round2</x:v>
      </x:c>
      <x:c r="D2846" s="34" t="str">
        <x:v>Collections_26</x:v>
      </x:c>
      <x:c r="E2846" s="34" t="str">
        <x:v>Line</x:v>
      </x:c>
      <x:c r="F2846" s="34" t="n">
        <x:v>37</x:v>
      </x:c>
      <x:c r="G2846" s="34" t="str">
        <x:v>RECORDED</x:v>
      </x:c>
      <x:c r="H2846" s="38" t="n">
        <x:f>IF(ISNUMBER('Data'!H1138),'Data'!H1138*100,"")</x:f>
        <x:v>91.89</x:v>
      </x:c>
      <x:c r="I2846" s="34" t="str">
        <x:v>PASS</x:v>
      </x:c>
      <x:c r="J2846" s="34" t="str">
        <x:v>PASS</x:v>
      </x:c>
      <x:c r="K2846" s="34" t="str">
        <x:v>PASS</x:v>
      </x:c>
      <x:c r="L2846" s="34" t="str">
        <x:v>PASS</x:v>
      </x:c>
      <x:c r="M2846" s="34" t="str">
        <x:v>numeric coverage for applicable metric</x:v>
      </x:c>
      <x:c r="N2846" s="34" t="str">
        <x:v>Feedback-Directed Random Test Generation/Result_Round2/Collections_26/result.json</x:v>
      </x:c>
      <x:c r="O2846" s="38" t="n">
        <x:f>IF(AND(G2846="RECORDED",ISNUMBER(H2846)),H2846,"")</x:f>
        <x:v>91.89</x:v>
      </x:c>
      <x:c r="P2846" s="34" t="str">
        <x:v>NOT_REVEALING</x:v>
      </x:c>
      <x:c r="Q2846" s="34" t="str">
        <x:v>Feedback-Directed Random Test Generation/Result_Round2/Collections_26/result.json</x:v>
      </x:c>
    </x:row>
    <x:row r="2847">
      <x:c r="A2847" s="34" t="str">
        <x:v>randoop</x:v>
      </x:c>
      <x:c r="B2847" s="34" t="str">
        <x:v>Collections</x:v>
      </x:c>
      <x:c r="C2847" s="34" t="str">
        <x:v>Round2</x:v>
      </x:c>
      <x:c r="D2847" s="34" t="str">
        <x:v>Collections_27</x:v>
      </x:c>
      <x:c r="E2847" s="34" t="str">
        <x:v>Line</x:v>
      </x:c>
      <x:c r="F2847" s="34" t="n">
        <x:v>127</x:v>
      </x:c>
      <x:c r="G2847" s="34" t="str">
        <x:v>RECORDED</x:v>
      </x:c>
      <x:c r="H2847" s="38" t="n">
        <x:f>IF(ISNUMBER('Data'!H1139),'Data'!H1139*100,"")</x:f>
        <x:v>69.29</x:v>
      </x:c>
      <x:c r="I2847" s="34" t="str">
        <x:v>PASS</x:v>
      </x:c>
      <x:c r="J2847" s="34" t="str">
        <x:v>PASS</x:v>
      </x:c>
      <x:c r="K2847" s="34" t="str">
        <x:v>PASS</x:v>
      </x:c>
      <x:c r="L2847" s="34" t="str">
        <x:v>PASS</x:v>
      </x:c>
      <x:c r="M2847" s="34" t="str">
        <x:v>numeric coverage for applicable metric</x:v>
      </x:c>
      <x:c r="N2847" s="34" t="str">
        <x:v>Feedback-Directed Random Test Generation/Result_Round2/Collections_27/result.json</x:v>
      </x:c>
      <x:c r="O2847" s="38" t="n">
        <x:f>IF(AND(G2847="RECORDED",ISNUMBER(H2847)),H2847,"")</x:f>
        <x:v>69.29</x:v>
      </x:c>
      <x:c r="P2847" s="34" t="str">
        <x:v>NOT_REVEALING</x:v>
      </x:c>
      <x:c r="Q2847" s="34" t="str">
        <x:v>Feedback-Directed Random Test Generation/Result_Round2/Collections_27/result.json</x:v>
      </x:c>
    </x:row>
    <x:row r="2848">
      <x:c r="A2848" s="34" t="str">
        <x:v>randoop</x:v>
      </x:c>
      <x:c r="B2848" s="34" t="str">
        <x:v>Collections</x:v>
      </x:c>
      <x:c r="C2848" s="34" t="str">
        <x:v>Round2</x:v>
      </x:c>
      <x:c r="D2848" s="34" t="str">
        <x:v>Collections_28</x:v>
      </x:c>
      <x:c r="E2848" s="34" t="str">
        <x:v>Line</x:v>
      </x:c>
      <x:c r="F2848" s="34" t="n">
        <x:v>823</x:v>
      </x:c>
      <x:c r="G2848" s="34" t="str">
        <x:v>RECORDED</x:v>
      </x:c>
      <x:c r="H2848" s="38" t="n">
        <x:f>IF(ISNUMBER('Data'!H1140),'Data'!H1140*100,"")</x:f>
        <x:v>4.62</x:v>
      </x:c>
      <x:c r="I2848" s="34" t="str">
        <x:v>PASS</x:v>
      </x:c>
      <x:c r="J2848" s="34" t="str">
        <x:v>PASS</x:v>
      </x:c>
      <x:c r="K2848" s="34" t="str">
        <x:v>PASS</x:v>
      </x:c>
      <x:c r="L2848" s="34" t="str">
        <x:v>PASS</x:v>
      </x:c>
      <x:c r="M2848" s="34" t="str">
        <x:v>numeric coverage for applicable metric</x:v>
      </x:c>
      <x:c r="N2848" s="34" t="str">
        <x:v>Feedback-Directed Random Test Generation/Result_Round2/Collections_28/result.json</x:v>
      </x:c>
      <x:c r="O2848" s="38" t="n">
        <x:f>IF(AND(G2848="RECORDED",ISNUMBER(H2848)),H2848,"")</x:f>
        <x:v>4.62</x:v>
      </x:c>
      <x:c r="P2848" s="34" t="str">
        <x:v>NOT_REVEALING</x:v>
      </x:c>
      <x:c r="Q2848" s="34" t="str">
        <x:v>Feedback-Directed Random Test Generation/Result_Round2/Collections_28/result.json</x:v>
      </x:c>
    </x:row>
    <x:row r="2849">
      <x:c r="A2849" s="34" t="str">
        <x:v>randoop</x:v>
      </x:c>
      <x:c r="B2849" s="34" t="str">
        <x:v>Compress</x:v>
      </x:c>
      <x:c r="C2849" s="34" t="str">
        <x:v>Round2</x:v>
      </x:c>
      <x:c r="D2849" s="34" t="str">
        <x:v>Compress_1</x:v>
      </x:c>
      <x:c r="E2849" s="34" t="str">
        <x:v>Line</x:v>
      </x:c>
      <x:c r="F2849" s="34" t="n">
        <x:v>164</x:v>
      </x:c>
      <x:c r="G2849" s="34" t="str">
        <x:v>RECORDED</x:v>
      </x:c>
      <x:c r="H2849" s="38" t="n">
        <x:f>IF(ISNUMBER('Data'!H1141),'Data'!H1141*100,"")</x:f>
        <x:v>84.76</x:v>
      </x:c>
      <x:c r="I2849" s="34" t="str">
        <x:v>PASS</x:v>
      </x:c>
      <x:c r="J2849" s="34" t="str">
        <x:v>PASS</x:v>
      </x:c>
      <x:c r="K2849" s="34" t="str">
        <x:v>PASS</x:v>
      </x:c>
      <x:c r="L2849" s="34" t="str">
        <x:v>FAIL</x:v>
      </x:c>
      <x:c r="M2849" s="34" t="str">
        <x:v>numeric coverage for applicable metric</x:v>
      </x:c>
      <x:c r="N2849" s="34" t="str">
        <x:v>Feedback-Directed Random Test Generation/Result_Round2/Compress_1/result.json</x:v>
      </x:c>
      <x:c r="O2849" s="38" t="n">
        <x:f>IF(AND(G2849="RECORDED",ISNUMBER(H2849)),H2849,"")</x:f>
        <x:v>84.76</x:v>
      </x:c>
      <x:c r="P2849" s="34" t="str">
        <x:v>INCONCLUSIVE</x:v>
      </x:c>
      <x:c r="Q2849" s="34" t="str">
        <x:v>Feedback-Directed Random Test Generation/Result_Round2/Compress_1/result.json</x:v>
      </x:c>
    </x:row>
    <x:row r="2850">
      <x:c r="A2850" s="34" t="str">
        <x:v>randoop</x:v>
      </x:c>
      <x:c r="B2850" s="34" t="str">
        <x:v>Compress</x:v>
      </x:c>
      <x:c r="C2850" s="34" t="str">
        <x:v>Round2</x:v>
      </x:c>
      <x:c r="D2850" s="34" t="str">
        <x:v>Compress_2</x:v>
      </x:c>
      <x:c r="E2850" s="34" t="str">
        <x:v>Line</x:v>
      </x:c>
      <x:c r="F2850" s="34" t="n">
        <x:v>73</x:v>
      </x:c>
      <x:c r="G2850" s="34" t="str">
        <x:v>RECORDED</x:v>
      </x:c>
      <x:c r="H2850" s="38" t="n">
        <x:f>IF(ISNUMBER('Data'!H1142),'Data'!H1142*100,"")</x:f>
        <x:v>38.36</x:v>
      </x:c>
      <x:c r="I2850" s="34" t="str">
        <x:v>PASS</x:v>
      </x:c>
      <x:c r="J2850" s="34" t="str">
        <x:v>PASS</x:v>
      </x:c>
      <x:c r="K2850" s="34" t="str">
        <x:v>PASS</x:v>
      </x:c>
      <x:c r="L2850" s="34" t="str">
        <x:v>PASS</x:v>
      </x:c>
      <x:c r="M2850" s="34" t="str">
        <x:v>numeric coverage for applicable metric</x:v>
      </x:c>
      <x:c r="N2850" s="34" t="str">
        <x:v>Feedback-Directed Random Test Generation/Result_Round2/Compress_2/result.json</x:v>
      </x:c>
      <x:c r="O2850" s="38" t="n">
        <x:f>IF(AND(G2850="RECORDED",ISNUMBER(H2850)),H2850,"")</x:f>
        <x:v>38.36</x:v>
      </x:c>
      <x:c r="P2850" s="34" t="str">
        <x:v>NOT_REVEALING</x:v>
      </x:c>
      <x:c r="Q2850" s="34" t="str">
        <x:v>Feedback-Directed Random Test Generation/Result_Round2/Compress_2/result.json</x:v>
      </x:c>
    </x:row>
    <x:row r="2851">
      <x:c r="A2851" s="34" t="str">
        <x:v>randoop</x:v>
      </x:c>
      <x:c r="B2851" s="34" t="str">
        <x:v>Compress</x:v>
      </x:c>
      <x:c r="C2851" s="34" t="str">
        <x:v>Round2</x:v>
      </x:c>
      <x:c r="D2851" s="34" t="str">
        <x:v>Compress_3</x:v>
      </x:c>
      <x:c r="E2851" s="34" t="str">
        <x:v>Line</x:v>
      </x:c>
      <x:c r="F2851" s="34" t="n">
        <x:v>90</x:v>
      </x:c>
      <x:c r="G2851" s="34" t="str">
        <x:v>RECORDED</x:v>
      </x:c>
      <x:c r="H2851" s="38" t="n">
        <x:f>IF(ISNUMBER('Data'!H1143),'Data'!H1143*100,"")</x:f>
        <x:v>46.67</x:v>
      </x:c>
      <x:c r="I2851" s="34" t="str">
        <x:v>PASS</x:v>
      </x:c>
      <x:c r="J2851" s="34" t="str">
        <x:v>PASS</x:v>
      </x:c>
      <x:c r="K2851" s="34" t="str">
        <x:v>PASS</x:v>
      </x:c>
      <x:c r="L2851" s="34" t="str">
        <x:v>PASS</x:v>
      </x:c>
      <x:c r="M2851" s="34" t="str">
        <x:v>numeric coverage for applicable metric</x:v>
      </x:c>
      <x:c r="N2851" s="34" t="str">
        <x:v>Feedback-Directed Random Test Generation/Result_Round2/Compress_3/result.json</x:v>
      </x:c>
      <x:c r="O2851" s="38" t="n">
        <x:f>IF(AND(G2851="RECORDED",ISNUMBER(H2851)),H2851,"")</x:f>
        <x:v>46.67</x:v>
      </x:c>
      <x:c r="P2851" s="34" t="str">
        <x:v>NOT_REVEALING</x:v>
      </x:c>
      <x:c r="Q2851" s="34" t="str">
        <x:v>Feedback-Directed Random Test Generation/Result_Round2/Compress_3/result.json</x:v>
      </x:c>
    </x:row>
    <x:row r="2852">
      <x:c r="A2852" s="34" t="str">
        <x:v>randoop</x:v>
      </x:c>
      <x:c r="B2852" s="34" t="str">
        <x:v>Compress</x:v>
      </x:c>
      <x:c r="C2852" s="34" t="str">
        <x:v>Round2</x:v>
      </x:c>
      <x:c r="D2852" s="34" t="str">
        <x:v>Compress_4</x:v>
      </x:c>
      <x:c r="E2852" s="34" t="str">
        <x:v>Line</x:v>
      </x:c>
      <x:c r="F2852" s="34" t="n">
        <x:v>616</x:v>
      </x:c>
      <x:c r="G2852" s="34" t="str">
        <x:v>RECORDED</x:v>
      </x:c>
      <x:c r="H2852" s="38" t="n">
        <x:f>IF(ISNUMBER('Data'!H1144),'Data'!H1144*100,"")</x:f>
        <x:v>28.410000000000004</x:v>
      </x:c>
      <x:c r="I2852" s="34" t="str">
        <x:v>PASS</x:v>
      </x:c>
      <x:c r="J2852" s="34" t="str">
        <x:v>PASS</x:v>
      </x:c>
      <x:c r="K2852" s="34" t="str">
        <x:v>PASS</x:v>
      </x:c>
      <x:c r="L2852" s="34" t="str">
        <x:v>PASS</x:v>
      </x:c>
      <x:c r="M2852" s="34" t="str">
        <x:v>numeric coverage for applicable metric</x:v>
      </x:c>
      <x:c r="N2852" s="34" t="str">
        <x:v>Feedback-Directed Random Test Generation/Result_Round2/Compress_4/result.json</x:v>
      </x:c>
      <x:c r="O2852" s="38" t="n">
        <x:f>IF(AND(G2852="RECORDED",ISNUMBER(H2852)),H2852,"")</x:f>
        <x:v>28.410000000000004</x:v>
      </x:c>
      <x:c r="P2852" s="34" t="str">
        <x:v>INCONCLUSIVE</x:v>
      </x:c>
      <x:c r="Q2852" s="34" t="str">
        <x:v>Feedback-Directed Random Test Generation/Result_Round2/Compress_4/result.json</x:v>
      </x:c>
    </x:row>
    <x:row r="2853">
      <x:c r="A2853" s="34" t="str">
        <x:v>randoop</x:v>
      </x:c>
      <x:c r="B2853" s="34" t="str">
        <x:v>Compress</x:v>
      </x:c>
      <x:c r="C2853" s="34" t="str">
        <x:v>Round2</x:v>
      </x:c>
      <x:c r="D2853" s="34" t="str">
        <x:v>Compress_5</x:v>
      </x:c>
      <x:c r="E2853" s="34" t="str">
        <x:v>Line</x:v>
      </x:c>
      <x:c r="F2853" s="34" t="n">
        <x:v>161</x:v>
      </x:c>
      <x:c r="G2853" s="34" t="str">
        <x:v>RECORDED</x:v>
      </x:c>
      <x:c r="H2853" s="38" t="n">
        <x:f>IF(ISNUMBER('Data'!H1145),'Data'!H1145*100,"")</x:f>
        <x:v>34.16</x:v>
      </x:c>
      <x:c r="I2853" s="34" t="str">
        <x:v>PASS</x:v>
      </x:c>
      <x:c r="J2853" s="34" t="str">
        <x:v>PASS</x:v>
      </x:c>
      <x:c r="K2853" s="34" t="str">
        <x:v>PASS</x:v>
      </x:c>
      <x:c r="L2853" s="34" t="str">
        <x:v>PASS</x:v>
      </x:c>
      <x:c r="M2853" s="34" t="str">
        <x:v>numeric coverage for applicable metric</x:v>
      </x:c>
      <x:c r="N2853" s="34" t="str">
        <x:v>Feedback-Directed Random Test Generation/Result_Round2/Compress_5/result.json</x:v>
      </x:c>
      <x:c r="O2853" s="38" t="n">
        <x:f>IF(AND(G2853="RECORDED",ISNUMBER(H2853)),H2853,"")</x:f>
        <x:v>34.16</x:v>
      </x:c>
      <x:c r="P2853" s="34" t="str">
        <x:v>NOT_REVEALING</x:v>
      </x:c>
      <x:c r="Q2853" s="34" t="str">
        <x:v>Feedback-Directed Random Test Generation/Result_Round2/Compress_5/result.json</x:v>
      </x:c>
    </x:row>
    <x:row r="2854">
      <x:c r="A2854" s="34" t="str">
        <x:v>randoop</x:v>
      </x:c>
      <x:c r="B2854" s="34" t="str">
        <x:v>Compress</x:v>
      </x:c>
      <x:c r="C2854" s="34" t="str">
        <x:v>Round2</x:v>
      </x:c>
      <x:c r="D2854" s="34" t="str">
        <x:v>Compress_6</x:v>
      </x:c>
      <x:c r="E2854" s="34" t="str">
        <x:v>Line</x:v>
      </x:c>
      <x:c r="F2854" s="34" t="n">
        <x:v>136</x:v>
      </x:c>
      <x:c r="G2854" s="34" t="str">
        <x:v>RECORDED</x:v>
      </x:c>
      <x:c r="H2854" s="38" t="n">
        <x:f>IF(ISNUMBER('Data'!H1146),'Data'!H1146*100,"")</x:f>
        <x:v>80.15</x:v>
      </x:c>
      <x:c r="I2854" s="34" t="str">
        <x:v>PASS</x:v>
      </x:c>
      <x:c r="J2854" s="34" t="str">
        <x:v>PASS</x:v>
      </x:c>
      <x:c r="K2854" s="34" t="str">
        <x:v>PASS</x:v>
      </x:c>
      <x:c r="L2854" s="34" t="str">
        <x:v>FAIL</x:v>
      </x:c>
      <x:c r="M2854" s="34" t="str">
        <x:v>numeric coverage for applicable metric</x:v>
      </x:c>
      <x:c r="N2854" s="34" t="str">
        <x:v>Feedback-Directed Random Test Generation/Result_Round2/Compress_6/result.json</x:v>
      </x:c>
      <x:c r="O2854" s="38" t="n">
        <x:f>IF(AND(G2854="RECORDED",ISNUMBER(H2854)),H2854,"")</x:f>
        <x:v>80.15</x:v>
      </x:c>
      <x:c r="P2854" s="34" t="str">
        <x:v>INCONCLUSIVE</x:v>
      </x:c>
      <x:c r="Q2854" s="34" t="str">
        <x:v>Feedback-Directed Random Test Generation/Result_Round2/Compress_6/result.json</x:v>
      </x:c>
    </x:row>
    <x:row r="2855">
      <x:c r="A2855" s="34" t="str">
        <x:v>randoop</x:v>
      </x:c>
      <x:c r="B2855" s="34" t="str">
        <x:v>Compress</x:v>
      </x:c>
      <x:c r="C2855" s="34" t="str">
        <x:v>Round2</x:v>
      </x:c>
      <x:c r="D2855" s="34" t="str">
        <x:v>Compress_7</x:v>
      </x:c>
      <x:c r="E2855" s="34" t="str">
        <x:v>Line</x:v>
      </x:c>
      <x:c r="F2855" s="34" t="n">
        <x:v>63</x:v>
      </x:c>
      <x:c r="G2855" s="34" t="str">
        <x:v>RECORDED</x:v>
      </x:c>
      <x:c r="H2855" s="38" t="n">
        <x:f>IF(ISNUMBER('Data'!H1147),'Data'!H1147*100,"")</x:f>
        <x:v>92.06</x:v>
      </x:c>
      <x:c r="I2855" s="34" t="str">
        <x:v>PASS</x:v>
      </x:c>
      <x:c r="J2855" s="34" t="str">
        <x:v>PASS</x:v>
      </x:c>
      <x:c r="K2855" s="34" t="str">
        <x:v>PASS</x:v>
      </x:c>
      <x:c r="L2855" s="34" t="str">
        <x:v>PASS</x:v>
      </x:c>
      <x:c r="M2855" s="34" t="str">
        <x:v>numeric coverage for applicable metric</x:v>
      </x:c>
      <x:c r="N2855" s="34" t="str">
        <x:v>Feedback-Directed Random Test Generation/Result_Round2/Compress_7/result.json</x:v>
      </x:c>
      <x:c r="O2855" s="38" t="n">
        <x:f>IF(AND(G2855="RECORDED",ISNUMBER(H2855)),H2855,"")</x:f>
        <x:v>92.06</x:v>
      </x:c>
      <x:c r="P2855" s="34" t="str">
        <x:v>INCONCLUSIVE</x:v>
      </x:c>
      <x:c r="Q2855" s="34" t="str">
        <x:v>Feedback-Directed Random Test Generation/Result_Round2/Compress_7/result.json</x:v>
      </x:c>
    </x:row>
    <x:row r="2856">
      <x:c r="A2856" s="34" t="str">
        <x:v>randoop</x:v>
      </x:c>
      <x:c r="B2856" s="34" t="str">
        <x:v>Compress</x:v>
      </x:c>
      <x:c r="C2856" s="34" t="str">
        <x:v>Round2</x:v>
      </x:c>
      <x:c r="D2856" s="34" t="str">
        <x:v>Compress_8</x:v>
      </x:c>
      <x:c r="E2856" s="34" t="str">
        <x:v>Line</x:v>
      </x:c>
      <x:c r="F2856" s="34" t="n">
        <x:v>70</x:v>
      </x:c>
      <x:c r="G2856" s="34" t="str">
        <x:v>RECORDED</x:v>
      </x:c>
      <x:c r="H2856" s="38" t="n">
        <x:f>IF(ISNUMBER('Data'!H1148),'Data'!H1148*100,"")</x:f>
        <x:v>92.86</x:v>
      </x:c>
      <x:c r="I2856" s="34" t="str">
        <x:v>PASS</x:v>
      </x:c>
      <x:c r="J2856" s="34" t="str">
        <x:v>PASS</x:v>
      </x:c>
      <x:c r="K2856" s="34" t="str">
        <x:v>PASS</x:v>
      </x:c>
      <x:c r="L2856" s="34" t="str">
        <x:v>PASS</x:v>
      </x:c>
      <x:c r="M2856" s="34" t="str">
        <x:v>numeric coverage for applicable metric</x:v>
      </x:c>
      <x:c r="N2856" s="34" t="str">
        <x:v>Feedback-Directed Random Test Generation/Result_Round2/Compress_8/result.json</x:v>
      </x:c>
      <x:c r="O2856" s="38" t="n">
        <x:f>IF(AND(G2856="RECORDED",ISNUMBER(H2856)),H2856,"")</x:f>
        <x:v>92.86</x:v>
      </x:c>
      <x:c r="P2856" s="34" t="str">
        <x:v>INCONCLUSIVE</x:v>
      </x:c>
      <x:c r="Q2856" s="34" t="str">
        <x:v>Feedback-Directed Random Test Generation/Result_Round2/Compress_8/result.json</x:v>
      </x:c>
    </x:row>
    <x:row r="2857">
      <x:c r="A2857" s="34" t="str">
        <x:v>randoop</x:v>
      </x:c>
      <x:c r="B2857" s="34" t="str">
        <x:v>Compress</x:v>
      </x:c>
      <x:c r="C2857" s="34" t="str">
        <x:v>Round2</x:v>
      </x:c>
      <x:c r="D2857" s="34" t="str">
        <x:v>Compress_9</x:v>
      </x:c>
      <x:c r="E2857" s="34" t="str">
        <x:v>Line</x:v>
      </x:c>
      <x:c r="F2857" s="34" t="n">
        <x:v>110</x:v>
      </x:c>
      <x:c r="G2857" s="34" t="str">
        <x:v>RECORDED</x:v>
      </x:c>
      <x:c r="H2857" s="38" t="n">
        <x:f>IF(ISNUMBER('Data'!H1149),'Data'!H1149*100,"")</x:f>
        <x:v>47.27</x:v>
      </x:c>
      <x:c r="I2857" s="34" t="str">
        <x:v>PASS</x:v>
      </x:c>
      <x:c r="J2857" s="34" t="str">
        <x:v>PASS</x:v>
      </x:c>
      <x:c r="K2857" s="34" t="str">
        <x:v>PASS</x:v>
      </x:c>
      <x:c r="L2857" s="34" t="str">
        <x:v>PASS</x:v>
      </x:c>
      <x:c r="M2857" s="34" t="str">
        <x:v>numeric coverage for applicable metric</x:v>
      </x:c>
      <x:c r="N2857" s="34" t="str">
        <x:v>Feedback-Directed Random Test Generation/Result_Round2/Compress_9/result.json</x:v>
      </x:c>
      <x:c r="O2857" s="38" t="n">
        <x:f>IF(AND(G2857="RECORDED",ISNUMBER(H2857)),H2857,"")</x:f>
        <x:v>47.27</x:v>
      </x:c>
      <x:c r="P2857" s="34" t="str">
        <x:v>INCONCLUSIVE</x:v>
      </x:c>
      <x:c r="Q2857" s="34" t="str">
        <x:v>Feedback-Directed Random Test Generation/Result_Round2/Compress_9/result.json</x:v>
      </x:c>
    </x:row>
    <x:row r="2858">
      <x:c r="A2858" s="34" t="str">
        <x:v>randoop</x:v>
      </x:c>
      <x:c r="B2858" s="34" t="str">
        <x:v>Compress</x:v>
      </x:c>
      <x:c r="C2858" s="34" t="str">
        <x:v>Round2</x:v>
      </x:c>
      <x:c r="D2858" s="34" t="str">
        <x:v>Compress_10</x:v>
      </x:c>
      <x:c r="E2858" s="34" t="str">
        <x:v>Line</x:v>
      </x:c>
      <x:c r="F2858" s="34" t="n">
        <x:v>304</x:v>
      </x:c>
      <x:c r="G2858" s="34" t="str">
        <x:v>RECORDED</x:v>
      </x:c>
      <x:c r="H2858" s="38" t="n">
        <x:f>IF(ISNUMBER('Data'!H1150),'Data'!H1150*100,"")</x:f>
        <x:v>5.92</x:v>
      </x:c>
      <x:c r="I2858" s="34" t="str">
        <x:v>PASS</x:v>
      </x:c>
      <x:c r="J2858" s="34" t="str">
        <x:v>PASS</x:v>
      </x:c>
      <x:c r="K2858" s="34" t="str">
        <x:v>PASS</x:v>
      </x:c>
      <x:c r="L2858" s="34" t="str">
        <x:v>PASS</x:v>
      </x:c>
      <x:c r="M2858" s="34" t="str">
        <x:v>numeric coverage for applicable metric</x:v>
      </x:c>
      <x:c r="N2858" s="34" t="str">
        <x:v>Feedback-Directed Random Test Generation/Result_Round2/Compress_10/result.json</x:v>
      </x:c>
      <x:c r="O2858" s="38" t="n">
        <x:f>IF(AND(G2858="RECORDED",ISNUMBER(H2858)),H2858,"")</x:f>
        <x:v>5.92</x:v>
      </x:c>
      <x:c r="P2858" s="34" t="str">
        <x:v>NOT_REVEALING</x:v>
      </x:c>
      <x:c r="Q2858" s="34" t="str">
        <x:v>Feedback-Directed Random Test Generation/Result_Round2/Compress_10/result.json</x:v>
      </x:c>
    </x:row>
    <x:row r="2859">
      <x:c r="A2859" s="34" t="str">
        <x:v>randoop</x:v>
      </x:c>
      <x:c r="B2859" s="34" t="str">
        <x:v>Compress</x:v>
      </x:c>
      <x:c r="C2859" s="34" t="str">
        <x:v>Round2</x:v>
      </x:c>
      <x:c r="D2859" s="34" t="str">
        <x:v>Compress_11</x:v>
      </x:c>
      <x:c r="E2859" s="34" t="str">
        <x:v>Line</x:v>
      </x:c>
      <x:c r="F2859" s="34" t="n">
        <x:v>69</x:v>
      </x:c>
      <x:c r="G2859" s="34" t="str">
        <x:v>RECORDED</x:v>
      </x:c>
      <x:c r="H2859" s="38" t="n">
        <x:f>IF(ISNUMBER('Data'!H1151),'Data'!H1151*100,"")</x:f>
        <x:v>13.04</x:v>
      </x:c>
      <x:c r="I2859" s="34" t="str">
        <x:v>PASS</x:v>
      </x:c>
      <x:c r="J2859" s="34" t="str">
        <x:v>PASS</x:v>
      </x:c>
      <x:c r="K2859" s="34" t="str">
        <x:v>PASS</x:v>
      </x:c>
      <x:c r="L2859" s="34" t="str">
        <x:v>PASS</x:v>
      </x:c>
      <x:c r="M2859" s="34" t="str">
        <x:v>numeric coverage for applicable metric</x:v>
      </x:c>
      <x:c r="N2859" s="34" t="str">
        <x:v>Feedback-Directed Random Test Generation/Result_Round2/Compress_11/result.json</x:v>
      </x:c>
      <x:c r="O2859" s="38" t="n">
        <x:f>IF(AND(G2859="RECORDED",ISNUMBER(H2859)),H2859,"")</x:f>
        <x:v>13.04</x:v>
      </x:c>
      <x:c r="P2859" s="34" t="str">
        <x:v>NOT_REVEALING</x:v>
      </x:c>
      <x:c r="Q2859" s="34" t="str">
        <x:v>Feedback-Directed Random Test Generation/Result_Round2/Compress_11/result.json</x:v>
      </x:c>
    </x:row>
    <x:row r="2860">
      <x:c r="A2860" s="34" t="str">
        <x:v>randoop</x:v>
      </x:c>
      <x:c r="B2860" s="34" t="str">
        <x:v>Compress</x:v>
      </x:c>
      <x:c r="C2860" s="34" t="str">
        <x:v>Round2</x:v>
      </x:c>
      <x:c r="D2860" s="34" t="str">
        <x:v>Compress_12</x:v>
      </x:c>
      <x:c r="E2860" s="34" t="str">
        <x:v>Line</x:v>
      </x:c>
      <x:c r="F2860" s="34" t="n">
        <x:v>195</x:v>
      </x:c>
      <x:c r="G2860" s="34" t="str">
        <x:v>RECORDED</x:v>
      </x:c>
      <x:c r="H2860" s="38" t="n">
        <x:f>IF(ISNUMBER('Data'!H1152),'Data'!H1152*100,"")</x:f>
        <x:v>27.690000000000005</x:v>
      </x:c>
      <x:c r="I2860" s="34" t="str">
        <x:v>PASS</x:v>
      </x:c>
      <x:c r="J2860" s="34" t="str">
        <x:v>PASS</x:v>
      </x:c>
      <x:c r="K2860" s="34" t="str">
        <x:v>PASS</x:v>
      </x:c>
      <x:c r="L2860" s="34" t="str">
        <x:v>PASS</x:v>
      </x:c>
      <x:c r="M2860" s="34" t="str">
        <x:v>numeric coverage for applicable metric</x:v>
      </x:c>
      <x:c r="N2860" s="34" t="str">
        <x:v>Feedback-Directed Random Test Generation/Result_Round2/Compress_12/result.json</x:v>
      </x:c>
      <x:c r="O2860" s="38" t="n">
        <x:f>IF(AND(G2860="RECORDED",ISNUMBER(H2860)),H2860,"")</x:f>
        <x:v>27.690000000000005</x:v>
      </x:c>
      <x:c r="P2860" s="34" t="str">
        <x:v>NOT_REVEALING</x:v>
      </x:c>
      <x:c r="Q2860" s="34" t="str">
        <x:v>Feedback-Directed Random Test Generation/Result_Round2/Compress_12/result.json</x:v>
      </x:c>
    </x:row>
    <x:row r="2861">
      <x:c r="A2861" s="34" t="str">
        <x:v>randoop</x:v>
      </x:c>
      <x:c r="B2861" s="34" t="str">
        <x:v>Compress</x:v>
      </x:c>
      <x:c r="C2861" s="34" t="str">
        <x:v>Round2</x:v>
      </x:c>
      <x:c r="D2861" s="34" t="str">
        <x:v>Compress_13</x:v>
      </x:c>
      <x:c r="E2861" s="34" t="str">
        <x:v>Line</x:v>
      </x:c>
      <x:c r="F2861" s="34" t="n">
        <x:v>200</x:v>
      </x:c>
      <x:c r="G2861" s="34" t="str">
        <x:v>RECORDED</x:v>
      </x:c>
      <x:c r="H2861" s="38" t="n">
        <x:f>IF(ISNUMBER('Data'!H1153),'Data'!H1153*100,"")</x:f>
        <x:v>88.5</x:v>
      </x:c>
      <x:c r="I2861" s="34" t="str">
        <x:v>PASS</x:v>
      </x:c>
      <x:c r="J2861" s="34" t="str">
        <x:v>PASS</x:v>
      </x:c>
      <x:c r="K2861" s="34" t="str">
        <x:v>PASS</x:v>
      </x:c>
      <x:c r="L2861" s="34" t="str">
        <x:v>FAIL</x:v>
      </x:c>
      <x:c r="M2861" s="34" t="str">
        <x:v>numeric coverage for applicable metric</x:v>
      </x:c>
      <x:c r="N2861" s="34" t="str">
        <x:v>Feedback-Directed Random Test Generation/Result_Round2/Compress_13/result.json</x:v>
      </x:c>
      <x:c r="O2861" s="38" t="n">
        <x:f>IF(AND(G2861="RECORDED",ISNUMBER(H2861)),H2861,"")</x:f>
        <x:v>88.5</x:v>
      </x:c>
      <x:c r="P2861" s="34" t="str">
        <x:v>INCONCLUSIVE</x:v>
      </x:c>
      <x:c r="Q2861" s="34" t="str">
        <x:v>Feedback-Directed Random Test Generation/Result_Round2/Compress_13/result.json</x:v>
      </x:c>
    </x:row>
    <x:row r="2862">
      <x:c r="A2862" s="34" t="str">
        <x:v>randoop</x:v>
      </x:c>
      <x:c r="B2862" s="34" t="str">
        <x:v>Compress</x:v>
      </x:c>
      <x:c r="C2862" s="34" t="str">
        <x:v>Round2</x:v>
      </x:c>
      <x:c r="D2862" s="34" t="str">
        <x:v>Compress_14</x:v>
      </x:c>
      <x:c r="E2862" s="34" t="str">
        <x:v>Line</x:v>
      </x:c>
      <x:c r="F2862" s="34" t="n">
        <x:v>101</x:v>
      </x:c>
      <x:c r="G2862" s="34" t="str">
        <x:v>RECORDED</x:v>
      </x:c>
      <x:c r="H2862" s="38" t="n">
        <x:f>IF(ISNUMBER('Data'!H1154),'Data'!H1154*100,"")</x:f>
        <x:v>88.12</x:v>
      </x:c>
      <x:c r="I2862" s="34" t="str">
        <x:v>PASS</x:v>
      </x:c>
      <x:c r="J2862" s="34" t="str">
        <x:v>PASS</x:v>
      </x:c>
      <x:c r="K2862" s="34" t="str">
        <x:v>PASS</x:v>
      </x:c>
      <x:c r="L2862" s="34" t="str">
        <x:v>PASS</x:v>
      </x:c>
      <x:c r="M2862" s="34" t="str">
        <x:v>numeric coverage for applicable metric</x:v>
      </x:c>
      <x:c r="N2862" s="34" t="str">
        <x:v>Feedback-Directed Random Test Generation/Result_Round2/Compress_14/result.json</x:v>
      </x:c>
      <x:c r="O2862" s="38" t="n">
        <x:f>IF(AND(G2862="RECORDED",ISNUMBER(H2862)),H2862,"")</x:f>
        <x:v>88.12</x:v>
      </x:c>
      <x:c r="P2862" s="34" t="str">
        <x:v>INCONCLUSIVE</x:v>
      </x:c>
      <x:c r="Q2862" s="34" t="str">
        <x:v>Feedback-Directed Random Test Generation/Result_Round2/Compress_14/result.json</x:v>
      </x:c>
    </x:row>
    <x:row r="2863">
      <x:c r="A2863" s="34" t="str">
        <x:v>randoop</x:v>
      </x:c>
      <x:c r="B2863" s="34" t="str">
        <x:v>Compress</x:v>
      </x:c>
      <x:c r="C2863" s="34" t="str">
        <x:v>Round2</x:v>
      </x:c>
      <x:c r="D2863" s="34" t="str">
        <x:v>Compress_15</x:v>
      </x:c>
      <x:c r="E2863" s="34" t="str">
        <x:v>Line</x:v>
      </x:c>
      <x:c r="F2863" s="34" t="n">
        <x:v>203</x:v>
      </x:c>
      <x:c r="G2863" s="34" t="str">
        <x:v>RECORDED</x:v>
      </x:c>
      <x:c r="H2863" s="38" t="n">
        <x:f>IF(ISNUMBER('Data'!H1155),'Data'!H1155*100,"")</x:f>
        <x:v>88.67</x:v>
      </x:c>
      <x:c r="I2863" s="34" t="str">
        <x:v>PASS</x:v>
      </x:c>
      <x:c r="J2863" s="34" t="str">
        <x:v>PASS</x:v>
      </x:c>
      <x:c r="K2863" s="34" t="str">
        <x:v>PASS</x:v>
      </x:c>
      <x:c r="L2863" s="34" t="str">
        <x:v>FAIL</x:v>
      </x:c>
      <x:c r="M2863" s="34" t="str">
        <x:v>numeric coverage for applicable metric</x:v>
      </x:c>
      <x:c r="N2863" s="34" t="str">
        <x:v>Feedback-Directed Random Test Generation/Result_Round2/Compress_15/result.json</x:v>
      </x:c>
      <x:c r="O2863" s="38" t="n">
        <x:f>IF(AND(G2863="RECORDED",ISNUMBER(H2863)),H2863,"")</x:f>
        <x:v>88.67</x:v>
      </x:c>
      <x:c r="P2863" s="34" t="str">
        <x:v>INCONCLUSIVE</x:v>
      </x:c>
      <x:c r="Q2863" s="34" t="str">
        <x:v>Feedback-Directed Random Test Generation/Result_Round2/Compress_15/result.json</x:v>
      </x:c>
    </x:row>
    <x:row r="2864">
      <x:c r="A2864" s="34" t="str">
        <x:v>randoop</x:v>
      </x:c>
      <x:c r="B2864" s="34" t="str">
        <x:v>Compress</x:v>
      </x:c>
      <x:c r="C2864" s="34" t="str">
        <x:v>Round2</x:v>
      </x:c>
      <x:c r="D2864" s="34" t="str">
        <x:v>Compress_16</x:v>
      </x:c>
      <x:c r="E2864" s="34" t="str">
        <x:v>Line</x:v>
      </x:c>
      <x:c r="F2864" s="34" t="n">
        <x:v>70</x:v>
      </x:c>
      <x:c r="G2864" s="34" t="str">
        <x:v>RECORDED</x:v>
      </x:c>
      <x:c r="H2864" s="38" t="n">
        <x:f>IF(ISNUMBER('Data'!H1156),'Data'!H1156*100,"")</x:f>
        <x:v>12.86</x:v>
      </x:c>
      <x:c r="I2864" s="34" t="str">
        <x:v>PASS</x:v>
      </x:c>
      <x:c r="J2864" s="34" t="str">
        <x:v>PASS</x:v>
      </x:c>
      <x:c r="K2864" s="34" t="str">
        <x:v>PASS</x:v>
      </x:c>
      <x:c r="L2864" s="34" t="str">
        <x:v>PASS</x:v>
      </x:c>
      <x:c r="M2864" s="34" t="str">
        <x:v>numeric coverage for applicable metric</x:v>
      </x:c>
      <x:c r="N2864" s="34" t="str">
        <x:v>Feedback-Directed Random Test Generation/Result_Round2/Compress_16/result.json</x:v>
      </x:c>
      <x:c r="O2864" s="38" t="n">
        <x:f>IF(AND(G2864="RECORDED",ISNUMBER(H2864)),H2864,"")</x:f>
        <x:v>12.86</x:v>
      </x:c>
      <x:c r="P2864" s="34" t="str">
        <x:v>NOT_REVEALING</x:v>
      </x:c>
      <x:c r="Q2864" s="34" t="str">
        <x:v>Feedback-Directed Random Test Generation/Result_Round2/Compress_16/result.json</x:v>
      </x:c>
    </x:row>
    <x:row r="2865">
      <x:c r="A2865" s="34" t="str">
        <x:v>randoop</x:v>
      </x:c>
      <x:c r="B2865" s="34" t="str">
        <x:v>Compress</x:v>
      </x:c>
      <x:c r="C2865" s="34" t="str">
        <x:v>Round2</x:v>
      </x:c>
      <x:c r="D2865" s="34" t="str">
        <x:v>Compress_17</x:v>
      </x:c>
      <x:c r="E2865" s="34" t="str">
        <x:v>Line</x:v>
      </x:c>
      <x:c r="F2865" s="34" t="n">
        <x:v>179</x:v>
      </x:c>
      <x:c r="G2865" s="34" t="str">
        <x:v>RECORDED</x:v>
      </x:c>
      <x:c r="H2865" s="38" t="n">
        <x:f>IF(ISNUMBER('Data'!H1157),'Data'!H1157*100,"")</x:f>
        <x:v>80.45</x:v>
      </x:c>
      <x:c r="I2865" s="34" t="str">
        <x:v>PASS</x:v>
      </x:c>
      <x:c r="J2865" s="34" t="str">
        <x:v>PASS</x:v>
      </x:c>
      <x:c r="K2865" s="34" t="str">
        <x:v>PASS</x:v>
      </x:c>
      <x:c r="L2865" s="34" t="str">
        <x:v>PASS</x:v>
      </x:c>
      <x:c r="M2865" s="34" t="str">
        <x:v>numeric coverage for applicable metric</x:v>
      </x:c>
      <x:c r="N2865" s="34" t="str">
        <x:v>Feedback-Directed Random Test Generation/Result_Round2/Compress_17/result.json</x:v>
      </x:c>
      <x:c r="O2865" s="38" t="n">
        <x:f>IF(AND(G2865="RECORDED",ISNUMBER(H2865)),H2865,"")</x:f>
        <x:v>80.45</x:v>
      </x:c>
      <x:c r="P2865" s="34" t="str">
        <x:v>NOT_REVEALING</x:v>
      </x:c>
      <x:c r="Q2865" s="34" t="str">
        <x:v>Feedback-Directed Random Test Generation/Result_Round2/Compress_17/result.json</x:v>
      </x:c>
    </x:row>
    <x:row r="2866">
      <x:c r="A2866" s="34" t="str">
        <x:v>randoop</x:v>
      </x:c>
      <x:c r="B2866" s="34" t="str">
        <x:v>Compress</x:v>
      </x:c>
      <x:c r="C2866" s="34" t="str">
        <x:v>Round2</x:v>
      </x:c>
      <x:c r="D2866" s="34" t="str">
        <x:v>Compress_18</x:v>
      </x:c>
      <x:c r="E2866" s="34" t="str">
        <x:v>Line</x:v>
      </x:c>
      <x:c r="F2866" s="34" t="n">
        <x:v>202</x:v>
      </x:c>
      <x:c r="G2866" s="34" t="str">
        <x:v>RECORDED</x:v>
      </x:c>
      <x:c r="H2866" s="38" t="n">
        <x:f>IF(ISNUMBER('Data'!H1158),'Data'!H1158*100,"")</x:f>
        <x:v>35.15</x:v>
      </x:c>
      <x:c r="I2866" s="34" t="str">
        <x:v>PASS</x:v>
      </x:c>
      <x:c r="J2866" s="34" t="str">
        <x:v>PASS</x:v>
      </x:c>
      <x:c r="K2866" s="34" t="str">
        <x:v>PASS</x:v>
      </x:c>
      <x:c r="L2866" s="34" t="str">
        <x:v>PASS</x:v>
      </x:c>
      <x:c r="M2866" s="34" t="str">
        <x:v>numeric coverage for applicable metric</x:v>
      </x:c>
      <x:c r="N2866" s="34" t="str">
        <x:v>Feedback-Directed Random Test Generation/Result_Round2/Compress_18/result.json</x:v>
      </x:c>
      <x:c r="O2866" s="38" t="n">
        <x:f>IF(AND(G2866="RECORDED",ISNUMBER(H2866)),H2866,"")</x:f>
        <x:v>35.15</x:v>
      </x:c>
      <x:c r="P2866" s="34" t="str">
        <x:v>NOT_REVEALING</x:v>
      </x:c>
      <x:c r="Q2866" s="34" t="str">
        <x:v>Feedback-Directed Random Test Generation/Result_Round2/Compress_18/result.json</x:v>
      </x:c>
    </x:row>
    <x:row r="2867">
      <x:c r="A2867" s="34" t="str">
        <x:v>randoop</x:v>
      </x:c>
      <x:c r="B2867" s="34" t="str">
        <x:v>Compress</x:v>
      </x:c>
      <x:c r="C2867" s="34" t="str">
        <x:v>Round2</x:v>
      </x:c>
      <x:c r="D2867" s="34" t="str">
        <x:v>Compress_19</x:v>
      </x:c>
      <x:c r="E2867" s="34" t="str">
        <x:v>Line</x:v>
      </x:c>
      <x:c r="F2867" s="34" t="n">
        <x:v>105</x:v>
      </x:c>
      <x:c r="G2867" s="34" t="str">
        <x:v>RECORDED</x:v>
      </x:c>
      <x:c r="H2867" s="38" t="n">
        <x:f>IF(ISNUMBER('Data'!H1159),'Data'!H1159*100,"")</x:f>
        <x:v>60.95</x:v>
      </x:c>
      <x:c r="I2867" s="34" t="str">
        <x:v>PASS</x:v>
      </x:c>
      <x:c r="J2867" s="34" t="str">
        <x:v>PASS</x:v>
      </x:c>
      <x:c r="K2867" s="34" t="str">
        <x:v>PASS</x:v>
      </x:c>
      <x:c r="L2867" s="34" t="str">
        <x:v>PASS</x:v>
      </x:c>
      <x:c r="M2867" s="34" t="str">
        <x:v>numeric coverage for applicable metric</x:v>
      </x:c>
      <x:c r="N2867" s="34" t="str">
        <x:v>Feedback-Directed Random Test Generation/Result_Round2/Compress_19/result.json</x:v>
      </x:c>
      <x:c r="O2867" s="38" t="n">
        <x:f>IF(AND(G2867="RECORDED",ISNUMBER(H2867)),H2867,"")</x:f>
        <x:v>60.95</x:v>
      </x:c>
      <x:c r="P2867" s="34" t="str">
        <x:v>NOT_REVEALING</x:v>
      </x:c>
      <x:c r="Q2867" s="34" t="str">
        <x:v>Feedback-Directed Random Test Generation/Result_Round2/Compress_19/result.json</x:v>
      </x:c>
    </x:row>
    <x:row r="2868">
      <x:c r="A2868" s="34" t="str">
        <x:v>randoop</x:v>
      </x:c>
      <x:c r="B2868" s="34" t="str">
        <x:v>Compress</x:v>
      </x:c>
      <x:c r="C2868" s="34" t="str">
        <x:v>Round2</x:v>
      </x:c>
      <x:c r="D2868" s="34" t="str">
        <x:v>Compress_20</x:v>
      </x:c>
      <x:c r="E2868" s="34" t="str">
        <x:v>Line</x:v>
      </x:c>
      <x:c r="F2868" s="34" t="n">
        <x:v>214</x:v>
      </x:c>
      <x:c r="G2868" s="34" t="str">
        <x:v>RECORDED</x:v>
      </x:c>
      <x:c r="H2868" s="38" t="n">
        <x:f>IF(ISNUMBER('Data'!H1160),'Data'!H1160*100,"")</x:f>
        <x:v>28.970000000000002</x:v>
      </x:c>
      <x:c r="I2868" s="34" t="str">
        <x:v>PASS</x:v>
      </x:c>
      <x:c r="J2868" s="34" t="str">
        <x:v>PASS</x:v>
      </x:c>
      <x:c r="K2868" s="34" t="str">
        <x:v>PASS</x:v>
      </x:c>
      <x:c r="L2868" s="34" t="str">
        <x:v>PASS</x:v>
      </x:c>
      <x:c r="M2868" s="34" t="str">
        <x:v>numeric coverage for applicable metric</x:v>
      </x:c>
      <x:c r="N2868" s="34" t="str">
        <x:v>Feedback-Directed Random Test Generation/Result_Round2/Compress_20/result.json</x:v>
      </x:c>
      <x:c r="O2868" s="38" t="n">
        <x:f>IF(AND(G2868="RECORDED",ISNUMBER(H2868)),H2868,"")</x:f>
        <x:v>28.970000000000002</x:v>
      </x:c>
      <x:c r="P2868" s="34" t="str">
        <x:v>NOT_REVEALING</x:v>
      </x:c>
      <x:c r="Q2868" s="34" t="str">
        <x:v>Feedback-Directed Random Test Generation/Result_Round2/Compress_20/result.json</x:v>
      </x:c>
    </x:row>
    <x:row r="2869">
      <x:c r="A2869" s="34" t="str">
        <x:v>randoop</x:v>
      </x:c>
      <x:c r="B2869" s="34" t="str">
        <x:v>Compress</x:v>
      </x:c>
      <x:c r="C2869" s="34" t="str">
        <x:v>Round2</x:v>
      </x:c>
      <x:c r="D2869" s="34" t="str">
        <x:v>Compress_21</x:v>
      </x:c>
      <x:c r="E2869" s="34" t="str">
        <x:v>Line</x:v>
      </x:c>
      <x:c r="F2869" s="34" t="n">
        <x:v>390</x:v>
      </x:c>
      <x:c r="G2869" s="34" t="str">
        <x:v>RECORDED</x:v>
      </x:c>
      <x:c r="H2869" s="38" t="n">
        <x:f>IF(ISNUMBER('Data'!H1161),'Data'!H1161*100,"")</x:f>
        <x:v>2.31</x:v>
      </x:c>
      <x:c r="I2869" s="34" t="str">
        <x:v>PASS</x:v>
      </x:c>
      <x:c r="J2869" s="34" t="str">
        <x:v>PASS</x:v>
      </x:c>
      <x:c r="K2869" s="34" t="str">
        <x:v>PASS</x:v>
      </x:c>
      <x:c r="L2869" s="34" t="str">
        <x:v>PASS</x:v>
      </x:c>
      <x:c r="M2869" s="34" t="str">
        <x:v>numeric coverage for applicable metric</x:v>
      </x:c>
      <x:c r="N2869" s="34" t="str">
        <x:v>Feedback-Directed Random Test Generation/Result_Round2/Compress_21/result.json</x:v>
      </x:c>
      <x:c r="O2869" s="38" t="n">
        <x:f>IF(AND(G2869="RECORDED",ISNUMBER(H2869)),H2869,"")</x:f>
        <x:v>2.31</x:v>
      </x:c>
      <x:c r="P2869" s="34" t="str">
        <x:v>NOT_REVEALING</x:v>
      </x:c>
      <x:c r="Q2869" s="34" t="str">
        <x:v>Feedback-Directed Random Test Generation/Result_Round2/Compress_21/result.json</x:v>
      </x:c>
    </x:row>
    <x:row r="2870">
      <x:c r="A2870" s="34" t="str">
        <x:v>randoop</x:v>
      </x:c>
      <x:c r="B2870" s="34" t="str">
        <x:v>Compress</x:v>
      </x:c>
      <x:c r="C2870" s="34" t="str">
        <x:v>Round2</x:v>
      </x:c>
      <x:c r="D2870" s="34" t="str">
        <x:v>Compress_22</x:v>
      </x:c>
      <x:c r="E2870" s="34" t="str">
        <x:v>Line</x:v>
      </x:c>
      <x:c r="F2870" s="34" t="n">
        <x:v>502</x:v>
      </x:c>
      <x:c r="G2870" s="34" t="str">
        <x:v>RECORDED</x:v>
      </x:c>
      <x:c r="H2870" s="38" t="n">
        <x:f>IF(ISNUMBER('Data'!H1162),'Data'!H1162*100,"")</x:f>
        <x:v>4.18</x:v>
      </x:c>
      <x:c r="I2870" s="34" t="str">
        <x:v>PASS</x:v>
      </x:c>
      <x:c r="J2870" s="34" t="str">
        <x:v>PASS</x:v>
      </x:c>
      <x:c r="K2870" s="34" t="str">
        <x:v>PASS</x:v>
      </x:c>
      <x:c r="L2870" s="34" t="str">
        <x:v>PASS</x:v>
      </x:c>
      <x:c r="M2870" s="34" t="str">
        <x:v>numeric coverage for applicable metric</x:v>
      </x:c>
      <x:c r="N2870" s="34" t="str">
        <x:v>Feedback-Directed Random Test Generation/Result_Round2/Compress_22/result.json</x:v>
      </x:c>
      <x:c r="O2870" s="38" t="n">
        <x:f>IF(AND(G2870="RECORDED",ISNUMBER(H2870)),H2870,"")</x:f>
        <x:v>4.18</x:v>
      </x:c>
      <x:c r="P2870" s="34" t="str">
        <x:v>NOT_REVEALING</x:v>
      </x:c>
      <x:c r="Q2870" s="34" t="str">
        <x:v>Feedback-Directed Random Test Generation/Result_Round2/Compress_22/result.json</x:v>
      </x:c>
    </x:row>
    <x:row r="2871">
      <x:c r="A2871" s="34" t="str">
        <x:v>randoop</x:v>
      </x:c>
      <x:c r="B2871" s="34" t="str">
        <x:v>Compress</x:v>
      </x:c>
      <x:c r="C2871" s="34" t="str">
        <x:v>Round2</x:v>
      </x:c>
      <x:c r="D2871" s="34" t="str">
        <x:v>Compress_23</x:v>
      </x:c>
      <x:c r="E2871" s="34" t="str">
        <x:v>Line</x:v>
      </x:c>
      <x:c r="F2871" s="34" t="n">
        <x:v>103</x:v>
      </x:c>
      <x:c r="G2871" s="34" t="str">
        <x:v>RECORDED</x:v>
      </x:c>
      <x:c r="H2871" s="38" t="n">
        <x:f>IF(ISNUMBER('Data'!H1163),'Data'!H1163*100,"")</x:f>
        <x:v>37.86</x:v>
      </x:c>
      <x:c r="I2871" s="34" t="str">
        <x:v>PASS</x:v>
      </x:c>
      <x:c r="J2871" s="34" t="str">
        <x:v>PASS</x:v>
      </x:c>
      <x:c r="K2871" s="34" t="str">
        <x:v>PASS</x:v>
      </x:c>
      <x:c r="L2871" s="34" t="str">
        <x:v>FAIL</x:v>
      </x:c>
      <x:c r="M2871" s="34" t="str">
        <x:v>numeric coverage for applicable metric</x:v>
      </x:c>
      <x:c r="N2871" s="34" t="str">
        <x:v>Feedback-Directed Random Test Generation/Result_Round2/Compress_23/result.json</x:v>
      </x:c>
      <x:c r="O2871" s="38" t="n">
        <x:f>IF(AND(G2871="RECORDED",ISNUMBER(H2871)),H2871,"")</x:f>
        <x:v>37.86</x:v>
      </x:c>
      <x:c r="P2871" s="34" t="str">
        <x:v>INCONCLUSIVE</x:v>
      </x:c>
      <x:c r="Q2871" s="34" t="str">
        <x:v>Feedback-Directed Random Test Generation/Result_Round2/Compress_23/result.json</x:v>
      </x:c>
    </x:row>
    <x:row r="2872">
      <x:c r="A2872" s="34" t="str">
        <x:v>randoop</x:v>
      </x:c>
      <x:c r="B2872" s="34" t="str">
        <x:v>Compress</x:v>
      </x:c>
      <x:c r="C2872" s="34" t="str">
        <x:v>Round2</x:v>
      </x:c>
      <x:c r="D2872" s="34" t="str">
        <x:v>Compress_24</x:v>
      </x:c>
      <x:c r="E2872" s="34" t="str">
        <x:v>Line</x:v>
      </x:c>
      <x:c r="F2872" s="34" t="n">
        <x:v>180</x:v>
      </x:c>
      <x:c r="G2872" s="34" t="str">
        <x:v>RECORDED</x:v>
      </x:c>
      <x:c r="H2872" s="38" t="n">
        <x:f>IF(ISNUMBER('Data'!H1164),'Data'!H1164*100,"")</x:f>
        <x:v>80.56</x:v>
      </x:c>
      <x:c r="I2872" s="34" t="str">
        <x:v>PASS</x:v>
      </x:c>
      <x:c r="J2872" s="34" t="str">
        <x:v>PASS</x:v>
      </x:c>
      <x:c r="K2872" s="34" t="str">
        <x:v>PASS</x:v>
      </x:c>
      <x:c r="L2872" s="34" t="str">
        <x:v>PASS</x:v>
      </x:c>
      <x:c r="M2872" s="34" t="str">
        <x:v>numeric coverage for applicable metric</x:v>
      </x:c>
      <x:c r="N2872" s="34" t="str">
        <x:v>Feedback-Directed Random Test Generation/Result_Round2/Compress_24/result.json</x:v>
      </x:c>
      <x:c r="O2872" s="38" t="n">
        <x:f>IF(AND(G2872="RECORDED",ISNUMBER(H2872)),H2872,"")</x:f>
        <x:v>80.56</x:v>
      </x:c>
      <x:c r="P2872" s="34" t="str">
        <x:v>NOT_REVEALING</x:v>
      </x:c>
      <x:c r="Q2872" s="34" t="str">
        <x:v>Feedback-Directed Random Test Generation/Result_Round2/Compress_24/result.json</x:v>
      </x:c>
    </x:row>
    <x:row r="2873">
      <x:c r="A2873" s="34" t="str">
        <x:v>randoop</x:v>
      </x:c>
      <x:c r="B2873" s="34" t="str">
        <x:v>Compress</x:v>
      </x:c>
      <x:c r="C2873" s="34" t="str">
        <x:v>Round2</x:v>
      </x:c>
      <x:c r="D2873" s="34" t="str">
        <x:v>Compress_25</x:v>
      </x:c>
      <x:c r="E2873" s="34" t="str">
        <x:v>Line</x:v>
      </x:c>
      <x:c r="F2873" s="34" t="n">
        <x:v>401</x:v>
      </x:c>
      <x:c r="G2873" s="34" t="str">
        <x:v>RECORDED</x:v>
      </x:c>
      <x:c r="H2873" s="38" t="n">
        <x:f>IF(ISNUMBER('Data'!H1165),'Data'!H1165*100,"")</x:f>
        <x:v>17.71</x:v>
      </x:c>
      <x:c r="I2873" s="34" t="str">
        <x:v>PASS</x:v>
      </x:c>
      <x:c r="J2873" s="34" t="str">
        <x:v>PASS</x:v>
      </x:c>
      <x:c r="K2873" s="34" t="str">
        <x:v>PASS</x:v>
      </x:c>
      <x:c r="L2873" s="34" t="str">
        <x:v>PASS</x:v>
      </x:c>
      <x:c r="M2873" s="34" t="str">
        <x:v>numeric coverage for applicable metric</x:v>
      </x:c>
      <x:c r="N2873" s="34" t="str">
        <x:v>Feedback-Directed Random Test Generation/Result_Round2/Compress_25/result.json</x:v>
      </x:c>
      <x:c r="O2873" s="38" t="n">
        <x:f>IF(AND(G2873="RECORDED",ISNUMBER(H2873)),H2873,"")</x:f>
        <x:v>17.71</x:v>
      </x:c>
      <x:c r="P2873" s="34" t="str">
        <x:v>NOT_REVEALING</x:v>
      </x:c>
      <x:c r="Q2873" s="34" t="str">
        <x:v>Feedback-Directed Random Test Generation/Result_Round2/Compress_25/result.json</x:v>
      </x:c>
    </x:row>
    <x:row r="2874">
      <x:c r="A2874" s="34" t="str">
        <x:v>randoop</x:v>
      </x:c>
      <x:c r="B2874" s="34" t="str">
        <x:v>Compress</x:v>
      </x:c>
      <x:c r="C2874" s="34" t="str">
        <x:v>Round2</x:v>
      </x:c>
      <x:c r="D2874" s="34" t="str">
        <x:v>Compress_26</x:v>
      </x:c>
      <x:c r="E2874" s="34" t="str">
        <x:v>Line</x:v>
      </x:c>
      <x:c r="F2874" s="34" t="n">
        <x:v>36</x:v>
      </x:c>
      <x:c r="G2874" s="34" t="str">
        <x:v>RECORDED</x:v>
      </x:c>
      <x:c r="H2874" s="38" t="n">
        <x:f>IF(ISNUMBER('Data'!H1166),'Data'!H1166*100,"")</x:f>
        <x:v>55.559999999999995</x:v>
      </x:c>
      <x:c r="I2874" s="34" t="str">
        <x:v>PASS</x:v>
      </x:c>
      <x:c r="J2874" s="34" t="str">
        <x:v>PASS</x:v>
      </x:c>
      <x:c r="K2874" s="34" t="str">
        <x:v>PASS</x:v>
      </x:c>
      <x:c r="L2874" s="34" t="str">
        <x:v>PASS</x:v>
      </x:c>
      <x:c r="M2874" s="34" t="str">
        <x:v>numeric coverage for applicable metric</x:v>
      </x:c>
      <x:c r="N2874" s="34" t="str">
        <x:v>Feedback-Directed Random Test Generation/Result_Round2/Compress_26/result.json</x:v>
      </x:c>
      <x:c r="O2874" s="38" t="n">
        <x:f>IF(AND(G2874="RECORDED",ISNUMBER(H2874)),H2874,"")</x:f>
        <x:v>55.559999999999995</x:v>
      </x:c>
      <x:c r="P2874" s="34" t="str">
        <x:v>NOT_REVEALING</x:v>
      </x:c>
      <x:c r="Q2874" s="34" t="str">
        <x:v>Feedback-Directed Random Test Generation/Result_Round2/Compress_26/result.json</x:v>
      </x:c>
    </x:row>
    <x:row r="2875">
      <x:c r="A2875" s="34" t="str">
        <x:v>randoop</x:v>
      </x:c>
      <x:c r="B2875" s="34" t="str">
        <x:v>Compress</x:v>
      </x:c>
      <x:c r="C2875" s="34" t="str">
        <x:v>Round2</x:v>
      </x:c>
      <x:c r="D2875" s="34" t="str">
        <x:v>Compress_27</x:v>
      </x:c>
      <x:c r="E2875" s="34" t="str">
        <x:v>Line</x:v>
      </x:c>
      <x:c r="F2875" s="34" t="n">
        <x:v>178</x:v>
      </x:c>
      <x:c r="G2875" s="34" t="str">
        <x:v>RECORDED</x:v>
      </x:c>
      <x:c r="H2875" s="38" t="n">
        <x:f>IF(ISNUMBER('Data'!H1167),'Data'!H1167*100,"")</x:f>
        <x:v>84.27</x:v>
      </x:c>
      <x:c r="I2875" s="34" t="str">
        <x:v>PASS</x:v>
      </x:c>
      <x:c r="J2875" s="34" t="str">
        <x:v>PASS</x:v>
      </x:c>
      <x:c r="K2875" s="34" t="str">
        <x:v>PASS</x:v>
      </x:c>
      <x:c r="L2875" s="34" t="str">
        <x:v>PASS</x:v>
      </x:c>
      <x:c r="M2875" s="34" t="str">
        <x:v>numeric coverage for applicable metric</x:v>
      </x:c>
      <x:c r="N2875" s="34" t="str">
        <x:v>Feedback-Directed Random Test Generation/Result_Round2/Compress_27/result.json</x:v>
      </x:c>
      <x:c r="O2875" s="38" t="n">
        <x:f>IF(AND(G2875="RECORDED",ISNUMBER(H2875)),H2875,"")</x:f>
        <x:v>84.27</x:v>
      </x:c>
      <x:c r="P2875" s="34" t="str">
        <x:v>NOT_REVEALING</x:v>
      </x:c>
      <x:c r="Q2875" s="34" t="str">
        <x:v>Feedback-Directed Random Test Generation/Result_Round2/Compress_27/result.json</x:v>
      </x:c>
    </x:row>
    <x:row r="2876">
      <x:c r="A2876" s="34" t="str">
        <x:v>randoop</x:v>
      </x:c>
      <x:c r="B2876" s="34" t="str">
        <x:v>Compress</x:v>
      </x:c>
      <x:c r="C2876" s="34" t="str">
        <x:v>Round2</x:v>
      </x:c>
      <x:c r="D2876" s="34" t="str">
        <x:v>Compress_28</x:v>
      </x:c>
      <x:c r="E2876" s="34" t="str">
        <x:v>Line</x:v>
      </x:c>
      <x:c r="F2876" s="34" t="n">
        <x:v>213</x:v>
      </x:c>
      <x:c r="G2876" s="34" t="str">
        <x:v>RECORDED</x:v>
      </x:c>
      <x:c r="H2876" s="38" t="n">
        <x:f>IF(ISNUMBER('Data'!H1168),'Data'!H1168*100,"")</x:f>
        <x:v>39.91</x:v>
      </x:c>
      <x:c r="I2876" s="34" t="str">
        <x:v>PASS</x:v>
      </x:c>
      <x:c r="J2876" s="34" t="str">
        <x:v>PASS</x:v>
      </x:c>
      <x:c r="K2876" s="34" t="str">
        <x:v>PASS</x:v>
      </x:c>
      <x:c r="L2876" s="34" t="str">
        <x:v>PASS</x:v>
      </x:c>
      <x:c r="M2876" s="34" t="str">
        <x:v>numeric coverage for applicable metric</x:v>
      </x:c>
      <x:c r="N2876" s="34" t="str">
        <x:v>Feedback-Directed Random Test Generation/Result_Round2/Compress_28/result.json</x:v>
      </x:c>
      <x:c r="O2876" s="38" t="n">
        <x:f>IF(AND(G2876="RECORDED",ISNUMBER(H2876)),H2876,"")</x:f>
        <x:v>39.91</x:v>
      </x:c>
      <x:c r="P2876" s="34" t="str">
        <x:v>NOT_REVEALING</x:v>
      </x:c>
      <x:c r="Q2876" s="34" t="str">
        <x:v>Feedback-Directed Random Test Generation/Result_Round2/Compress_28/result.json</x:v>
      </x:c>
    </x:row>
    <x:row r="2877">
      <x:c r="A2877" s="34" t="str">
        <x:v>randoop</x:v>
      </x:c>
      <x:c r="B2877" s="34" t="str">
        <x:v>Compress</x:v>
      </x:c>
      <x:c r="C2877" s="34" t="str">
        <x:v>Round2</x:v>
      </x:c>
      <x:c r="D2877" s="34" t="str">
        <x:v>Compress_29</x:v>
      </x:c>
      <x:c r="E2877" s="34" t="str">
        <x:v>Line</x:v>
      </x:c>
      <x:c r="F2877" s="34" t="n">
        <x:v>1609</x:v>
      </x:c>
      <x:c r="G2877" s="34" t="str">
        <x:v>RECORDED</x:v>
      </x:c>
      <x:c r="H2877" s="38" t="n">
        <x:f>IF(ISNUMBER('Data'!H1169),'Data'!H1169*100,"")</x:f>
        <x:v>32.26</x:v>
      </x:c>
      <x:c r="I2877" s="34" t="str">
        <x:v>PASS</x:v>
      </x:c>
      <x:c r="J2877" s="34" t="str">
        <x:v>PASS</x:v>
      </x:c>
      <x:c r="K2877" s="34" t="str">
        <x:v>PASS</x:v>
      </x:c>
      <x:c r="L2877" s="34" t="str">
        <x:v>PASS</x:v>
      </x:c>
      <x:c r="M2877" s="34" t="str">
        <x:v>numeric coverage for applicable metric</x:v>
      </x:c>
      <x:c r="N2877" s="34" t="str">
        <x:v>Feedback-Directed Random Test Generation/Result_Round2/Compress_29/result.json</x:v>
      </x:c>
      <x:c r="O2877" s="38" t="n">
        <x:f>IF(AND(G2877="RECORDED",ISNUMBER(H2877)),H2877,"")</x:f>
        <x:v>32.26</x:v>
      </x:c>
      <x:c r="P2877" s="34" t="str">
        <x:v>NOT_REVEALING</x:v>
      </x:c>
      <x:c r="Q2877" s="34" t="str">
        <x:v>Feedback-Directed Random Test Generation/Result_Round2/Compress_29/result.json</x:v>
      </x:c>
    </x:row>
    <x:row r="2878">
      <x:c r="A2878" s="34" t="str">
        <x:v>randoop</x:v>
      </x:c>
      <x:c r="B2878" s="34" t="str">
        <x:v>Compress</x:v>
      </x:c>
      <x:c r="C2878" s="34" t="str">
        <x:v>Round2</x:v>
      </x:c>
      <x:c r="D2878" s="34" t="str">
        <x:v>Compress_30</x:v>
      </x:c>
      <x:c r="E2878" s="34" t="str">
        <x:v>Line</x:v>
      </x:c>
      <x:c r="F2878" s="34" t="n">
        <x:v>490</x:v>
      </x:c>
      <x:c r="G2878" s="34" t="str">
        <x:v>RECORDED</x:v>
      </x:c>
      <x:c r="H2878" s="38" t="n">
        <x:f>IF(ISNUMBER('Data'!H1170),'Data'!H1170*100,"")</x:f>
        <x:v>4.08</x:v>
      </x:c>
      <x:c r="I2878" s="34" t="str">
        <x:v>PASS</x:v>
      </x:c>
      <x:c r="J2878" s="34" t="str">
        <x:v>PASS</x:v>
      </x:c>
      <x:c r="K2878" s="34" t="str">
        <x:v>PASS</x:v>
      </x:c>
      <x:c r="L2878" s="34" t="str">
        <x:v>PASS</x:v>
      </x:c>
      <x:c r="M2878" s="34" t="str">
        <x:v>numeric coverage for applicable metric</x:v>
      </x:c>
      <x:c r="N2878" s="34" t="str">
        <x:v>Feedback-Directed Random Test Generation/Result_Round2/Compress_30/result.json</x:v>
      </x:c>
      <x:c r="O2878" s="38" t="n">
        <x:f>IF(AND(G2878="RECORDED",ISNUMBER(H2878)),H2878,"")</x:f>
        <x:v>4.08</x:v>
      </x:c>
      <x:c r="P2878" s="34" t="str">
        <x:v>NOT_REVEALING</x:v>
      </x:c>
      <x:c r="Q2878" s="34" t="str">
        <x:v>Feedback-Directed Random Test Generation/Result_Round2/Compress_30/result.json</x:v>
      </x:c>
    </x:row>
    <x:row r="2879">
      <x:c r="A2879" s="34" t="str">
        <x:v>randoop</x:v>
      </x:c>
      <x:c r="B2879" s="34" t="str">
        <x:v>Compress</x:v>
      </x:c>
      <x:c r="C2879" s="34" t="str">
        <x:v>Round2</x:v>
      </x:c>
      <x:c r="D2879" s="34" t="str">
        <x:v>Compress_31</x:v>
      </x:c>
      <x:c r="E2879" s="34" t="str">
        <x:v>Line</x:v>
      </x:c>
      <x:c r="F2879" s="34" t="n">
        <x:v>176</x:v>
      </x:c>
      <x:c r="G2879" s="34" t="str">
        <x:v>RECORDED</x:v>
      </x:c>
      <x:c r="H2879" s="38" t="n">
        <x:f>IF(ISNUMBER('Data'!H1171),'Data'!H1171*100,"")</x:f>
        <x:v>84.09</x:v>
      </x:c>
      <x:c r="I2879" s="34" t="str">
        <x:v>PASS</x:v>
      </x:c>
      <x:c r="J2879" s="34" t="str">
        <x:v>PASS</x:v>
      </x:c>
      <x:c r="K2879" s="34" t="str">
        <x:v>PASS</x:v>
      </x:c>
      <x:c r="L2879" s="34" t="str">
        <x:v>PASS</x:v>
      </x:c>
      <x:c r="M2879" s="34" t="str">
        <x:v>numeric coverage for applicable metric</x:v>
      </x:c>
      <x:c r="N2879" s="34" t="str">
        <x:v>Feedback-Directed Random Test Generation/Result_Round2/Compress_31/result.json</x:v>
      </x:c>
      <x:c r="O2879" s="38" t="n">
        <x:f>IF(AND(G2879="RECORDED",ISNUMBER(H2879)),H2879,"")</x:f>
        <x:v>84.09</x:v>
      </x:c>
      <x:c r="P2879" s="34" t="str">
        <x:v>NOT_REVEALING</x:v>
      </x:c>
      <x:c r="Q2879" s="34" t="str">
        <x:v>Feedback-Directed Random Test Generation/Result_Round2/Compress_31/result.json</x:v>
      </x:c>
    </x:row>
    <x:row r="2880">
      <x:c r="A2880" s="34" t="str">
        <x:v>randoop</x:v>
      </x:c>
      <x:c r="B2880" s="34" t="str">
        <x:v>Compress</x:v>
      </x:c>
      <x:c r="C2880" s="34" t="str">
        <x:v>Round2</x:v>
      </x:c>
      <x:c r="D2880" s="34" t="str">
        <x:v>Compress_32</x:v>
      </x:c>
      <x:c r="E2880" s="34" t="str">
        <x:v>Line</x:v>
      </x:c>
      <x:c r="F2880" s="34" t="n">
        <x:v>220</x:v>
      </x:c>
      <x:c r="G2880" s="34" t="str">
        <x:v>RECORDED</x:v>
      </x:c>
      <x:c r="H2880" s="38" t="n">
        <x:f>IF(ISNUMBER('Data'!H1172),'Data'!H1172*100,"")</x:f>
        <x:v>40.45</x:v>
      </x:c>
      <x:c r="I2880" s="34" t="str">
        <x:v>PASS</x:v>
      </x:c>
      <x:c r="J2880" s="34" t="str">
        <x:v>PASS</x:v>
      </x:c>
      <x:c r="K2880" s="34" t="str">
        <x:v>PASS</x:v>
      </x:c>
      <x:c r="L2880" s="34" t="str">
        <x:v>PASS</x:v>
      </x:c>
      <x:c r="M2880" s="34" t="str">
        <x:v>numeric coverage for applicable metric</x:v>
      </x:c>
      <x:c r="N2880" s="34" t="str">
        <x:v>Feedback-Directed Random Test Generation/Result_Round2/Compress_32/result.json</x:v>
      </x:c>
      <x:c r="O2880" s="38" t="n">
        <x:f>IF(AND(G2880="RECORDED",ISNUMBER(H2880)),H2880,"")</x:f>
        <x:v>40.45</x:v>
      </x:c>
      <x:c r="P2880" s="34" t="str">
        <x:v>NOT_REVEALING</x:v>
      </x:c>
      <x:c r="Q2880" s="34" t="str">
        <x:v>Feedback-Directed Random Test Generation/Result_Round2/Compress_32/result.json</x:v>
      </x:c>
    </x:row>
    <x:row r="2881">
      <x:c r="A2881" s="34" t="str">
        <x:v>randoop</x:v>
      </x:c>
      <x:c r="B2881" s="34" t="str">
        <x:v>Compress</x:v>
      </x:c>
      <x:c r="C2881" s="34" t="str">
        <x:v>Round2</x:v>
      </x:c>
      <x:c r="D2881" s="34" t="str">
        <x:v>Compress_33</x:v>
      </x:c>
      <x:c r="E2881" s="34" t="str">
        <x:v>Line</x:v>
      </x:c>
      <x:c r="F2881" s="34" t="n">
        <x:v>96</x:v>
      </x:c>
      <x:c r="G2881" s="34" t="str">
        <x:v>RECORDED</x:v>
      </x:c>
      <x:c r="H2881" s="38" t="n">
        <x:f>IF(ISNUMBER('Data'!H1173),'Data'!H1173*100,"")</x:f>
        <x:v>52.07999999999999</x:v>
      </x:c>
      <x:c r="I2881" s="34" t="str">
        <x:v>PASS</x:v>
      </x:c>
      <x:c r="J2881" s="34" t="str">
        <x:v>PASS</x:v>
      </x:c>
      <x:c r="K2881" s="34" t="str">
        <x:v>PASS</x:v>
      </x:c>
      <x:c r="L2881" s="34" t="str">
        <x:v>PASS</x:v>
      </x:c>
      <x:c r="M2881" s="34" t="str">
        <x:v>numeric coverage for applicable metric</x:v>
      </x:c>
      <x:c r="N2881" s="34" t="str">
        <x:v>Feedback-Directed Random Test Generation/Result_Round2/Compress_33/result.json</x:v>
      </x:c>
      <x:c r="O2881" s="38" t="n">
        <x:f>IF(AND(G2881="RECORDED",ISNUMBER(H2881)),H2881,"")</x:f>
        <x:v>52.07999999999999</x:v>
      </x:c>
      <x:c r="P2881" s="34" t="str">
        <x:v>NOT_REVEALING</x:v>
      </x:c>
      <x:c r="Q2881" s="34" t="str">
        <x:v>Feedback-Directed Random Test Generation/Result_Round2/Compress_33/result.json</x:v>
      </x:c>
    </x:row>
    <x:row r="2882">
      <x:c r="A2882" s="34" t="str">
        <x:v>randoop</x:v>
      </x:c>
      <x:c r="B2882" s="34" t="str">
        <x:v>Compress</x:v>
      </x:c>
      <x:c r="C2882" s="34" t="str">
        <x:v>Round2</x:v>
      </x:c>
      <x:c r="D2882" s="34" t="str">
        <x:v>Compress_34</x:v>
      </x:c>
      <x:c r="E2882" s="34" t="str">
        <x:v>Line</x:v>
      </x:c>
      <x:c r="F2882" s="34" t="n">
        <x:v>70</x:v>
      </x:c>
      <x:c r="G2882" s="34" t="str">
        <x:v>RECORDED</x:v>
      </x:c>
      <x:c r="H2882" s="38" t="n">
        <x:f>IF(ISNUMBER('Data'!H1174),'Data'!H1174*100,"")</x:f>
        <x:v>94.29</x:v>
      </x:c>
      <x:c r="I2882" s="34" t="str">
        <x:v>PASS</x:v>
      </x:c>
      <x:c r="J2882" s="34" t="str">
        <x:v>PASS</x:v>
      </x:c>
      <x:c r="K2882" s="34" t="str">
        <x:v>PASS</x:v>
      </x:c>
      <x:c r="L2882" s="34" t="str">
        <x:v>PASS</x:v>
      </x:c>
      <x:c r="M2882" s="34" t="str">
        <x:v>numeric coverage for applicable metric</x:v>
      </x:c>
      <x:c r="N2882" s="34" t="str">
        <x:v>Feedback-Directed Random Test Generation/Result_Round2/Compress_34/result.json</x:v>
      </x:c>
      <x:c r="O2882" s="38" t="n">
        <x:f>IF(AND(G2882="RECORDED",ISNUMBER(H2882)),H2882,"")</x:f>
        <x:v>94.29</x:v>
      </x:c>
      <x:c r="P2882" s="34" t="str">
        <x:v>NOT_REVEALING</x:v>
      </x:c>
      <x:c r="Q2882" s="34" t="str">
        <x:v>Feedback-Directed Random Test Generation/Result_Round2/Compress_34/result.json</x:v>
      </x:c>
    </x:row>
    <x:row r="2883">
      <x:c r="A2883" s="34" t="str">
        <x:v>randoop</x:v>
      </x:c>
      <x:c r="B2883" s="34" t="str">
        <x:v>Compress</x:v>
      </x:c>
      <x:c r="C2883" s="34" t="str">
        <x:v>Round2</x:v>
      </x:c>
      <x:c r="D2883" s="34" t="str">
        <x:v>Compress_35</x:v>
      </x:c>
      <x:c r="E2883" s="34" t="str">
        <x:v>Line</x:v>
      </x:c>
      <x:c r="F2883" s="34" t="n">
        <x:v>174</x:v>
      </x:c>
      <x:c r="G2883" s="34" t="str">
        <x:v>RECORDED</x:v>
      </x:c>
      <x:c r="H2883" s="38" t="n">
        <x:f>IF(ISNUMBER('Data'!H1175),'Data'!H1175*100,"")</x:f>
        <x:v>84.48</x:v>
      </x:c>
      <x:c r="I2883" s="34" t="str">
        <x:v>PASS</x:v>
      </x:c>
      <x:c r="J2883" s="34" t="str">
        <x:v>PASS</x:v>
      </x:c>
      <x:c r="K2883" s="34" t="str">
        <x:v>PASS</x:v>
      </x:c>
      <x:c r="L2883" s="34" t="str">
        <x:v>PASS</x:v>
      </x:c>
      <x:c r="M2883" s="34" t="str">
        <x:v>numeric coverage for applicable metric</x:v>
      </x:c>
      <x:c r="N2883" s="34" t="str">
        <x:v>Feedback-Directed Random Test Generation/Result_Round2/Compress_35/result.json</x:v>
      </x:c>
      <x:c r="O2883" s="38" t="n">
        <x:f>IF(AND(G2883="RECORDED",ISNUMBER(H2883)),H2883,"")</x:f>
        <x:v>84.48</x:v>
      </x:c>
      <x:c r="P2883" s="34" t="str">
        <x:v>INCONCLUSIVE</x:v>
      </x:c>
      <x:c r="Q2883" s="34" t="str">
        <x:v>Feedback-Directed Random Test Generation/Result_Round2/Compress_35/result.json</x:v>
      </x:c>
    </x:row>
    <x:row r="2884">
      <x:c r="A2884" s="34" t="str">
        <x:v>randoop</x:v>
      </x:c>
      <x:c r="B2884" s="34" t="str">
        <x:v>Compress</x:v>
      </x:c>
      <x:c r="C2884" s="34" t="str">
        <x:v>Round2</x:v>
      </x:c>
      <x:c r="D2884" s="34" t="str">
        <x:v>Compress_36</x:v>
      </x:c>
      <x:c r="E2884" s="34" t="str">
        <x:v>Line</x:v>
      </x:c>
      <x:c r="F2884" s="34" t="n">
        <x:v>533</x:v>
      </x:c>
      <x:c r="G2884" s="34" t="str">
        <x:v>RECORDED</x:v>
      </x:c>
      <x:c r="H2884" s="38" t="n">
        <x:f>IF(ISNUMBER('Data'!H1176),'Data'!H1176*100,"")</x:f>
        <x:v>2.81</x:v>
      </x:c>
      <x:c r="I2884" s="34" t="str">
        <x:v>PASS</x:v>
      </x:c>
      <x:c r="J2884" s="34" t="str">
        <x:v>PASS</x:v>
      </x:c>
      <x:c r="K2884" s="34" t="str">
        <x:v>PASS</x:v>
      </x:c>
      <x:c r="L2884" s="34" t="str">
        <x:v>PASS</x:v>
      </x:c>
      <x:c r="M2884" s="34" t="str">
        <x:v>numeric coverage for applicable metric</x:v>
      </x:c>
      <x:c r="N2884" s="34" t="str">
        <x:v>Feedback-Directed Random Test Generation/Result_Round2/Compress_36/result.json</x:v>
      </x:c>
      <x:c r="O2884" s="38" t="n">
        <x:f>IF(AND(G2884="RECORDED",ISNUMBER(H2884)),H2884,"")</x:f>
        <x:v>2.81</x:v>
      </x:c>
      <x:c r="P2884" s="34" t="str">
        <x:v>NOT_REVEALING</x:v>
      </x:c>
      <x:c r="Q2884" s="34" t="str">
        <x:v>Feedback-Directed Random Test Generation/Result_Round2/Compress_36/result.json</x:v>
      </x:c>
    </x:row>
    <x:row r="2885">
      <x:c r="A2885" s="34" t="str">
        <x:v>randoop</x:v>
      </x:c>
      <x:c r="B2885" s="34" t="str">
        <x:v>Compress</x:v>
      </x:c>
      <x:c r="C2885" s="34" t="str">
        <x:v>Round2</x:v>
      </x:c>
      <x:c r="D2885" s="34" t="str">
        <x:v>Compress_37</x:v>
      </x:c>
      <x:c r="E2885" s="34" t="str">
        <x:v>Line</x:v>
      </x:c>
      <x:c r="F2885" s="34" t="n">
        <x:v>237</x:v>
      </x:c>
      <x:c r="G2885" s="34" t="str">
        <x:v>RECORDED</x:v>
      </x:c>
      <x:c r="H2885" s="38" t="n">
        <x:f>IF(ISNUMBER('Data'!H1177),'Data'!H1177*100,"")</x:f>
        <x:v>38.82</x:v>
      </x:c>
      <x:c r="I2885" s="34" t="str">
        <x:v>PASS</x:v>
      </x:c>
      <x:c r="J2885" s="34" t="str">
        <x:v>PASS</x:v>
      </x:c>
      <x:c r="K2885" s="34" t="str">
        <x:v>PASS</x:v>
      </x:c>
      <x:c r="L2885" s="34" t="str">
        <x:v>PASS</x:v>
      </x:c>
      <x:c r="M2885" s="34" t="str">
        <x:v>numeric coverage for applicable metric</x:v>
      </x:c>
      <x:c r="N2885" s="34" t="str">
        <x:v>Feedback-Directed Random Test Generation/Result_Round2/Compress_37/result.json</x:v>
      </x:c>
      <x:c r="O2885" s="38" t="n">
        <x:f>IF(AND(G2885="RECORDED",ISNUMBER(H2885)),H2885,"")</x:f>
        <x:v>38.82</x:v>
      </x:c>
      <x:c r="P2885" s="34" t="str">
        <x:v>NOT_REVEALING</x:v>
      </x:c>
      <x:c r="Q2885" s="34" t="str">
        <x:v>Feedback-Directed Random Test Generation/Result_Round2/Compress_37/result.json</x:v>
      </x:c>
    </x:row>
    <x:row r="2886">
      <x:c r="A2886" s="34" t="str">
        <x:v>randoop</x:v>
      </x:c>
      <x:c r="B2886" s="34" t="str">
        <x:v>Compress</x:v>
      </x:c>
      <x:c r="C2886" s="34" t="str">
        <x:v>Round2</x:v>
      </x:c>
      <x:c r="D2886" s="34" t="str">
        <x:v>Compress_38</x:v>
      </x:c>
      <x:c r="E2886" s="34" t="str">
        <x:v>Line</x:v>
      </x:c>
      <x:c r="F2886" s="34" t="n">
        <x:v>304</x:v>
      </x:c>
      <x:c r="G2886" s="34" t="str">
        <x:v>RECORDED</x:v>
      </x:c>
      <x:c r="H2886" s="38" t="n">
        <x:f>IF(ISNUMBER('Data'!H1178),'Data'!H1178*100,"")</x:f>
        <x:v>50.66</x:v>
      </x:c>
      <x:c r="I2886" s="34" t="str">
        <x:v>PASS</x:v>
      </x:c>
      <x:c r="J2886" s="34" t="str">
        <x:v>PASS</x:v>
      </x:c>
      <x:c r="K2886" s="34" t="str">
        <x:v>PASS</x:v>
      </x:c>
      <x:c r="L2886" s="34" t="str">
        <x:v>FAIL</x:v>
      </x:c>
      <x:c r="M2886" s="34" t="str">
        <x:v>numeric coverage for applicable metric</x:v>
      </x:c>
      <x:c r="N2886" s="34" t="str">
        <x:v>Feedback-Directed Random Test Generation/Result_Round2/Compress_38/result.json</x:v>
      </x:c>
      <x:c r="O2886" s="38" t="n">
        <x:f>IF(AND(G2886="RECORDED",ISNUMBER(H2886)),H2886,"")</x:f>
        <x:v>50.66</x:v>
      </x:c>
      <x:c r="P2886" s="34" t="str">
        <x:v>INCONCLUSIVE</x:v>
      </x:c>
      <x:c r="Q2886" s="34" t="str">
        <x:v>Feedback-Directed Random Test Generation/Result_Round2/Compress_38/result.json</x:v>
      </x:c>
    </x:row>
    <x:row r="2887">
      <x:c r="A2887" s="34" t="str">
        <x:v>randoop</x:v>
      </x:c>
      <x:c r="B2887" s="34" t="str">
        <x:v>Compress</x:v>
      </x:c>
      <x:c r="C2887" s="34" t="str">
        <x:v>Round2</x:v>
      </x:c>
      <x:c r="D2887" s="34" t="str">
        <x:v>Compress_39</x:v>
      </x:c>
      <x:c r="E2887" s="34" t="str">
        <x:v>Line</x:v>
      </x:c>
      <x:c r="F2887" s="34" t="n">
        <x:v>62</x:v>
      </x:c>
      <x:c r="G2887" s="34" t="str">
        <x:v>RECORDED</x:v>
      </x:c>
      <x:c r="H2887" s="38" t="n">
        <x:f>IF(ISNUMBER('Data'!H1179),'Data'!H1179*100,"")</x:f>
        <x:v>72.58</x:v>
      </x:c>
      <x:c r="I2887" s="34" t="str">
        <x:v>PASS</x:v>
      </x:c>
      <x:c r="J2887" s="34" t="str">
        <x:v>PASS</x:v>
      </x:c>
      <x:c r="K2887" s="34" t="str">
        <x:v>PASS</x:v>
      </x:c>
      <x:c r="L2887" s="34" t="str">
        <x:v>PASS</x:v>
      </x:c>
      <x:c r="M2887" s="34" t="str">
        <x:v>numeric coverage for applicable metric</x:v>
      </x:c>
      <x:c r="N2887" s="34" t="str">
        <x:v>Feedback-Directed Random Test Generation/Result_Round2/Compress_39/result.json</x:v>
      </x:c>
      <x:c r="O2887" s="38" t="n">
        <x:f>IF(AND(G2887="RECORDED",ISNUMBER(H2887)),H2887,"")</x:f>
        <x:v>72.58</x:v>
      </x:c>
      <x:c r="P2887" s="34" t="str">
        <x:v>NOT_REVEALING</x:v>
      </x:c>
      <x:c r="Q2887" s="34" t="str">
        <x:v>Feedback-Directed Random Test Generation/Result_Round2/Compress_39/result.json</x:v>
      </x:c>
    </x:row>
    <x:row r="2888">
      <x:c r="A2888" s="34" t="str">
        <x:v>randoop</x:v>
      </x:c>
      <x:c r="B2888" s="34" t="str">
        <x:v>Compress</x:v>
      </x:c>
      <x:c r="C2888" s="34" t="str">
        <x:v>Round2</x:v>
      </x:c>
      <x:c r="D2888" s="34" t="str">
        <x:v>Compress_40</x:v>
      </x:c>
      <x:c r="E2888" s="34" t="str">
        <x:v>Line</x:v>
      </x:c>
      <x:c r="F2888" s="34" t="n">
        <x:v>33</x:v>
      </x:c>
      <x:c r="G2888" s="34" t="str">
        <x:v>RECORDED</x:v>
      </x:c>
      <x:c r="H2888" s="38" t="n">
        <x:f>IF(ISNUMBER('Data'!H1180),'Data'!H1180*100,"")</x:f>
        <x:v>66.67</x:v>
      </x:c>
      <x:c r="I2888" s="34" t="str">
        <x:v>PASS</x:v>
      </x:c>
      <x:c r="J2888" s="34" t="str">
        <x:v>PASS</x:v>
      </x:c>
      <x:c r="K2888" s="34" t="str">
        <x:v>PASS</x:v>
      </x:c>
      <x:c r="L2888" s="34" t="str">
        <x:v>PASS</x:v>
      </x:c>
      <x:c r="M2888" s="34" t="str">
        <x:v>numeric coverage for applicable metric</x:v>
      </x:c>
      <x:c r="N2888" s="34" t="str">
        <x:v>Feedback-Directed Random Test Generation/Result_Round2/Compress_40/result.json</x:v>
      </x:c>
      <x:c r="O2888" s="38" t="n">
        <x:f>IF(AND(G2888="RECORDED",ISNUMBER(H2888)),H2888,"")</x:f>
        <x:v>66.67</x:v>
      </x:c>
      <x:c r="P2888" s="34" t="str">
        <x:v>NOT_REVEALING</x:v>
      </x:c>
      <x:c r="Q2888" s="34" t="str">
        <x:v>Feedback-Directed Random Test Generation/Result_Round2/Compress_40/result.json</x:v>
      </x:c>
    </x:row>
    <x:row r="2889">
      <x:c r="A2889" s="34" t="str">
        <x:v>randoop</x:v>
      </x:c>
      <x:c r="B2889" s="34" t="str">
        <x:v>Compress</x:v>
      </x:c>
      <x:c r="C2889" s="34" t="str">
        <x:v>Round2</x:v>
      </x:c>
      <x:c r="D2889" s="34" t="str">
        <x:v>Compress_41</x:v>
      </x:c>
      <x:c r="E2889" s="34" t="str">
        <x:v>Line</x:v>
      </x:c>
      <x:c r="F2889" s="34" t="n">
        <x:v>412</x:v>
      </x:c>
      <x:c r="G2889" s="34" t="str">
        <x:v>RECORDED</x:v>
      </x:c>
      <x:c r="H2889" s="38" t="n">
        <x:f>IF(ISNUMBER('Data'!H1181),'Data'!H1181*100,"")</x:f>
        <x:v>17.96</x:v>
      </x:c>
      <x:c r="I2889" s="34" t="str">
        <x:v>PASS</x:v>
      </x:c>
      <x:c r="J2889" s="34" t="str">
        <x:v>PASS</x:v>
      </x:c>
      <x:c r="K2889" s="34" t="str">
        <x:v>PASS</x:v>
      </x:c>
      <x:c r="L2889" s="34" t="str">
        <x:v>PASS</x:v>
      </x:c>
      <x:c r="M2889" s="34" t="str">
        <x:v>numeric coverage for applicable metric</x:v>
      </x:c>
      <x:c r="N2889" s="34" t="str">
        <x:v>Feedback-Directed Random Test Generation/Result_Round2/Compress_41/result.json</x:v>
      </x:c>
      <x:c r="O2889" s="38" t="n">
        <x:f>IF(AND(G2889="RECORDED",ISNUMBER(H2889)),H2889,"")</x:f>
        <x:v>17.96</x:v>
      </x:c>
      <x:c r="P2889" s="34" t="str">
        <x:v>NOT_REVEALING</x:v>
      </x:c>
      <x:c r="Q2889" s="34" t="str">
        <x:v>Feedback-Directed Random Test Generation/Result_Round2/Compress_41/result.json</x:v>
      </x:c>
    </x:row>
    <x:row r="2890">
      <x:c r="A2890" s="34" t="str">
        <x:v>randoop</x:v>
      </x:c>
      <x:c r="B2890" s="34" t="str">
        <x:v>Compress</x:v>
      </x:c>
      <x:c r="C2890" s="34" t="str">
        <x:v>Round2</x:v>
      </x:c>
      <x:c r="D2890" s="34" t="str">
        <x:v>Compress_42</x:v>
      </x:c>
      <x:c r="E2890" s="34" t="str">
        <x:v>Line</x:v>
      </x:c>
      <x:c r="F2890" s="34" t="n">
        <x:v>244</x:v>
      </x:c>
      <x:c r="G2890" s="34" t="str">
        <x:v>RECORDED</x:v>
      </x:c>
      <x:c r="H2890" s="38" t="n">
        <x:f>IF(ISNUMBER('Data'!H1182),'Data'!H1182*100,"")</x:f>
        <x:v>85.25</x:v>
      </x:c>
      <x:c r="I2890" s="34" t="str">
        <x:v>PASS</x:v>
      </x:c>
      <x:c r="J2890" s="34" t="str">
        <x:v>PASS</x:v>
      </x:c>
      <x:c r="K2890" s="34" t="str">
        <x:v>PASS</x:v>
      </x:c>
      <x:c r="L2890" s="34" t="str">
        <x:v>FAIL</x:v>
      </x:c>
      <x:c r="M2890" s="34" t="str">
        <x:v>numeric coverage for applicable metric</x:v>
      </x:c>
      <x:c r="N2890" s="34" t="str">
        <x:v>Feedback-Directed Random Test Generation/Result_Round2/Compress_42/result.json</x:v>
      </x:c>
      <x:c r="O2890" s="38" t="n">
        <x:f>IF(AND(G2890="RECORDED",ISNUMBER(H2890)),H2890,"")</x:f>
        <x:v>85.25</x:v>
      </x:c>
      <x:c r="P2890" s="34" t="str">
        <x:v>INCONCLUSIVE</x:v>
      </x:c>
      <x:c r="Q2890" s="34" t="str">
        <x:v>Feedback-Directed Random Test Generation/Result_Round2/Compress_42/result.json</x:v>
      </x:c>
    </x:row>
    <x:row r="2891">
      <x:c r="A2891" s="34" t="str">
        <x:v>randoop</x:v>
      </x:c>
      <x:c r="B2891" s="34" t="str">
        <x:v>Compress</x:v>
      </x:c>
      <x:c r="C2891" s="34" t="str">
        <x:v>Round2</x:v>
      </x:c>
      <x:c r="D2891" s="34" t="str">
        <x:v>Compress_43</x:v>
      </x:c>
      <x:c r="E2891" s="34" t="str">
        <x:v>Line</x:v>
      </x:c>
      <x:c r="F2891" s="34" t="n">
        <x:v>533</x:v>
      </x:c>
      <x:c r="G2891" s="34" t="str">
        <x:v>RECORDED</x:v>
      </x:c>
      <x:c r="H2891" s="38" t="n">
        <x:f>IF(ISNUMBER('Data'!H1183),'Data'!H1183*100,"")</x:f>
        <x:v>21.76</x:v>
      </x:c>
      <x:c r="I2891" s="34" t="str">
        <x:v>PASS</x:v>
      </x:c>
      <x:c r="J2891" s="34" t="str">
        <x:v>PASS</x:v>
      </x:c>
      <x:c r="K2891" s="34" t="str">
        <x:v>PASS</x:v>
      </x:c>
      <x:c r="L2891" s="34" t="str">
        <x:v>PASS</x:v>
      </x:c>
      <x:c r="M2891" s="34" t="str">
        <x:v>numeric coverage for applicable metric</x:v>
      </x:c>
      <x:c r="N2891" s="34" t="str">
        <x:v>Feedback-Directed Random Test Generation/Result_Round2/Compress_43/result.json</x:v>
      </x:c>
      <x:c r="O2891" s="38" t="n">
        <x:f>IF(AND(G2891="RECORDED",ISNUMBER(H2891)),H2891,"")</x:f>
        <x:v>21.76</x:v>
      </x:c>
      <x:c r="P2891" s="34" t="str">
        <x:v>NOT_REVEALING</x:v>
      </x:c>
      <x:c r="Q2891" s="34" t="str">
        <x:v>Feedback-Directed Random Test Generation/Result_Round2/Compress_43/result.json</x:v>
      </x:c>
    </x:row>
    <x:row r="2892">
      <x:c r="A2892" s="34" t="str">
        <x:v>randoop</x:v>
      </x:c>
      <x:c r="B2892" s="34" t="str">
        <x:v>Compress</x:v>
      </x:c>
      <x:c r="C2892" s="34" t="str">
        <x:v>Round2</x:v>
      </x:c>
      <x:c r="D2892" s="34" t="str">
        <x:v>Compress_44</x:v>
      </x:c>
      <x:c r="E2892" s="34" t="str">
        <x:v>Line</x:v>
      </x:c>
      <x:c r="F2892" s="34" t="n">
        <x:v>17</x:v>
      </x:c>
      <x:c r="G2892" s="34" t="str">
        <x:v>RECORDED</x:v>
      </x:c>
      <x:c r="H2892" s="38" t="n">
        <x:f>IF(ISNUMBER('Data'!H1184),'Data'!H1184*100,"")</x:f>
        <x:v>88.24</x:v>
      </x:c>
      <x:c r="I2892" s="34" t="str">
        <x:v>PASS</x:v>
      </x:c>
      <x:c r="J2892" s="34" t="str">
        <x:v>PASS</x:v>
      </x:c>
      <x:c r="K2892" s="34" t="str">
        <x:v>PASS</x:v>
      </x:c>
      <x:c r="L2892" s="34" t="str">
        <x:v>PASS</x:v>
      </x:c>
      <x:c r="M2892" s="34" t="str">
        <x:v>numeric coverage for applicable metric</x:v>
      </x:c>
      <x:c r="N2892" s="34" t="str">
        <x:v>Feedback-Directed Random Test Generation/Result_Round2/Compress_44/result.json</x:v>
      </x:c>
      <x:c r="O2892" s="38" t="n">
        <x:f>IF(AND(G2892="RECORDED",ISNUMBER(H2892)),H2892,"")</x:f>
        <x:v>88.24</x:v>
      </x:c>
      <x:c r="P2892" s="34" t="str">
        <x:v>INCONCLUSIVE</x:v>
      </x:c>
      <x:c r="Q2892" s="34" t="str">
        <x:v>Feedback-Directed Random Test Generation/Result_Round2/Compress_44/result.json</x:v>
      </x:c>
    </x:row>
    <x:row r="2893">
      <x:c r="A2893" s="34" t="str">
        <x:v>randoop</x:v>
      </x:c>
      <x:c r="B2893" s="34" t="str">
        <x:v>Compress</x:v>
      </x:c>
      <x:c r="C2893" s="34" t="str">
        <x:v>Round2</x:v>
      </x:c>
      <x:c r="D2893" s="34" t="str">
        <x:v>Compress_45</x:v>
      </x:c>
      <x:c r="E2893" s="34" t="str">
        <x:v>Line</x:v>
      </x:c>
      <x:c r="F2893" s="34" t="n">
        <x:v>171</x:v>
      </x:c>
      <x:c r="G2893" s="34" t="str">
        <x:v>RECORDED</x:v>
      </x:c>
      <x:c r="H2893" s="38" t="n">
        <x:f>IF(ISNUMBER('Data'!H1185),'Data'!H1185*100,"")</x:f>
        <x:v>80.12</x:v>
      </x:c>
      <x:c r="I2893" s="34" t="str">
        <x:v>PASS</x:v>
      </x:c>
      <x:c r="J2893" s="34" t="str">
        <x:v>PASS</x:v>
      </x:c>
      <x:c r="K2893" s="34" t="str">
        <x:v>PASS</x:v>
      </x:c>
      <x:c r="L2893" s="34" t="str">
        <x:v>PASS</x:v>
      </x:c>
      <x:c r="M2893" s="34" t="str">
        <x:v>numeric coverage for applicable metric</x:v>
      </x:c>
      <x:c r="N2893" s="34" t="str">
        <x:v>Feedback-Directed Random Test Generation/Result_Round2/Compress_45/result.json</x:v>
      </x:c>
      <x:c r="O2893" s="38" t="n">
        <x:f>IF(AND(G2893="RECORDED",ISNUMBER(H2893)),H2893,"")</x:f>
        <x:v>80.12</x:v>
      </x:c>
      <x:c r="P2893" s="34" t="str">
        <x:v>INCONCLUSIVE</x:v>
      </x:c>
      <x:c r="Q2893" s="34" t="str">
        <x:v>Feedback-Directed Random Test Generation/Result_Round2/Compress_45/result.json</x:v>
      </x:c>
    </x:row>
    <x:row r="2894">
      <x:c r="A2894" s="34" t="str">
        <x:v>randoop</x:v>
      </x:c>
      <x:c r="B2894" s="34" t="str">
        <x:v>Compress</x:v>
      </x:c>
      <x:c r="C2894" s="34" t="str">
        <x:v>Round2</x:v>
      </x:c>
      <x:c r="D2894" s="34" t="str">
        <x:v>Compress_46</x:v>
      </x:c>
      <x:c r="E2894" s="34" t="str">
        <x:v>Line</x:v>
      </x:c>
      <x:c r="F2894" s="34" t="n">
        <x:v>119</x:v>
      </x:c>
      <x:c r="G2894" s="34" t="str">
        <x:v>RECORDED</x:v>
      </x:c>
      <x:c r="H2894" s="38" t="n">
        <x:f>IF(ISNUMBER('Data'!H1186),'Data'!H1186*100,"")</x:f>
        <x:v>71.43</x:v>
      </x:c>
      <x:c r="I2894" s="34" t="str">
        <x:v>PASS</x:v>
      </x:c>
      <x:c r="J2894" s="34" t="str">
        <x:v>PASS</x:v>
      </x:c>
      <x:c r="K2894" s="34" t="str">
        <x:v>PASS</x:v>
      </x:c>
      <x:c r="L2894" s="34" t="str">
        <x:v>FAIL</x:v>
      </x:c>
      <x:c r="M2894" s="34" t="str">
        <x:v>numeric coverage for applicable metric</x:v>
      </x:c>
      <x:c r="N2894" s="34" t="str">
        <x:v>Feedback-Directed Random Test Generation/Result_Round2/Compress_46/result.json</x:v>
      </x:c>
      <x:c r="O2894" s="38" t="n">
        <x:f>IF(AND(G2894="RECORDED",ISNUMBER(H2894)),H2894,"")</x:f>
        <x:v>71.43</x:v>
      </x:c>
      <x:c r="P2894" s="34" t="str">
        <x:v>INCONCLUSIVE</x:v>
      </x:c>
      <x:c r="Q2894" s="34" t="str">
        <x:v>Feedback-Directed Random Test Generation/Result_Round2/Compress_46/result.json</x:v>
      </x:c>
    </x:row>
    <x:row r="2895">
      <x:c r="A2895" s="34" t="str">
        <x:v>randoop</x:v>
      </x:c>
      <x:c r="B2895" s="34" t="str">
        <x:v>Compress</x:v>
      </x:c>
      <x:c r="C2895" s="34" t="str">
        <x:v>Round2</x:v>
      </x:c>
      <x:c r="D2895" s="34" t="str">
        <x:v>Compress_47</x:v>
      </x:c>
      <x:c r="E2895" s="34" t="str">
        <x:v>Line</x:v>
      </x:c>
      <x:c r="F2895" s="34" t="n">
        <x:v>430</x:v>
      </x:c>
      <x:c r="G2895" s="34" t="str">
        <x:v>RECORDED</x:v>
      </x:c>
      <x:c r="H2895" s="38" t="n">
        <x:f>IF(ISNUMBER('Data'!H1187),'Data'!H1187*100,"")</x:f>
        <x:v>17.44</x:v>
      </x:c>
      <x:c r="I2895" s="34" t="str">
        <x:v>PASS</x:v>
      </x:c>
      <x:c r="J2895" s="34" t="str">
        <x:v>PASS</x:v>
      </x:c>
      <x:c r="K2895" s="34" t="str">
        <x:v>PASS</x:v>
      </x:c>
      <x:c r="L2895" s="34" t="str">
        <x:v>PASS</x:v>
      </x:c>
      <x:c r="M2895" s="34" t="str">
        <x:v>numeric coverage for applicable metric</x:v>
      </x:c>
      <x:c r="N2895" s="34" t="str">
        <x:v>Feedback-Directed Random Test Generation/Result_Round2/Compress_47/result.json</x:v>
      </x:c>
      <x:c r="O2895" s="38" t="n">
        <x:f>IF(AND(G2895="RECORDED",ISNUMBER(H2895)),H2895,"")</x:f>
        <x:v>17.44</x:v>
      </x:c>
      <x:c r="P2895" s="34" t="str">
        <x:v>NOT_REVEALING</x:v>
      </x:c>
      <x:c r="Q2895" s="34" t="str">
        <x:v>Feedback-Directed Random Test Generation/Result_Round2/Compress_47/result.json</x:v>
      </x:c>
    </x:row>
    <x:row r="2896">
      <x:c r="A2896" s="34" t="str">
        <x:v>randoop</x:v>
      </x:c>
      <x:c r="B2896" s="34" t="str">
        <x:v>Csv</x:v>
      </x:c>
      <x:c r="C2896" s="34" t="str">
        <x:v>Round2</x:v>
      </x:c>
      <x:c r="D2896" s="34" t="str">
        <x:v>Csv_1</x:v>
      </x:c>
      <x:c r="E2896" s="34" t="str">
        <x:v>Line</x:v>
      </x:c>
      <x:c r="F2896" s="34" t="n">
        <x:v>37</x:v>
      </x:c>
      <x:c r="G2896" s="34" t="str">
        <x:v>RECORDED</x:v>
      </x:c>
      <x:c r="H2896" s="38" t="n">
        <x:f>IF(ISNUMBER('Data'!H1188),'Data'!H1188*100,"")</x:f>
        <x:v>67.57</x:v>
      </x:c>
      <x:c r="I2896" s="34" t="str">
        <x:v>PASS</x:v>
      </x:c>
      <x:c r="J2896" s="34" t="str">
        <x:v>PASS</x:v>
      </x:c>
      <x:c r="K2896" s="34" t="str">
        <x:v>PASS</x:v>
      </x:c>
      <x:c r="L2896" s="34" t="str">
        <x:v>PASS</x:v>
      </x:c>
      <x:c r="M2896" s="34" t="str">
        <x:v>numeric coverage for applicable metric</x:v>
      </x:c>
      <x:c r="N2896" s="34" t="str">
        <x:v>Feedback-Directed Random Test Generation/Result_Round2/Csv_1/result.json</x:v>
      </x:c>
      <x:c r="O2896" s="38" t="n">
        <x:f>IF(AND(G2896="RECORDED",ISNUMBER(H2896)),H2896,"")</x:f>
        <x:v>67.57</x:v>
      </x:c>
      <x:c r="P2896" s="34" t="str">
        <x:v>NOT_REVEALING</x:v>
      </x:c>
      <x:c r="Q2896" s="34" t="str">
        <x:v>Feedback-Directed Random Test Generation/Result_Round2/Csv_1/result.json</x:v>
      </x:c>
    </x:row>
    <x:row r="2897">
      <x:c r="A2897" s="34" t="str">
        <x:v>randoop</x:v>
      </x:c>
      <x:c r="B2897" s="34" t="str">
        <x:v>Csv</x:v>
      </x:c>
      <x:c r="C2897" s="34" t="str">
        <x:v>Round2</x:v>
      </x:c>
      <x:c r="D2897" s="34" t="str">
        <x:v>Csv_2</x:v>
      </x:c>
      <x:c r="E2897" s="34" t="str">
        <x:v>Line</x:v>
      </x:c>
      <x:c r="F2897" s="34" t="n">
        <x:v>21</x:v>
      </x:c>
      <x:c r="G2897" s="34" t="str">
        <x:v>RECORDED</x:v>
      </x:c>
      <x:c r="H2897" s="38" t="n">
        <x:f>IF(ISNUMBER('Data'!H1189),'Data'!H1189*100,"")</x:f>
        <x:v>90.48</x:v>
      </x:c>
      <x:c r="I2897" s="34" t="str">
        <x:v>PASS</x:v>
      </x:c>
      <x:c r="J2897" s="34" t="str">
        <x:v>PASS</x:v>
      </x:c>
      <x:c r="K2897" s="34" t="str">
        <x:v>PASS</x:v>
      </x:c>
      <x:c r="L2897" s="34" t="str">
        <x:v>PASS</x:v>
      </x:c>
      <x:c r="M2897" s="34" t="str">
        <x:v>numeric coverage for applicable metric</x:v>
      </x:c>
      <x:c r="N2897" s="34" t="str">
        <x:v>Feedback-Directed Random Test Generation/Result_Round2/Csv_2/result.json</x:v>
      </x:c>
      <x:c r="O2897" s="38" t="n">
        <x:f>IF(AND(G2897="RECORDED",ISNUMBER(H2897)),H2897,"")</x:f>
        <x:v>90.48</x:v>
      </x:c>
      <x:c r="P2897" s="34" t="str">
        <x:v>NOT_REVEALING</x:v>
      </x:c>
      <x:c r="Q2897" s="34" t="str">
        <x:v>Feedback-Directed Random Test Generation/Result_Round2/Csv_2/result.json</x:v>
      </x:c>
    </x:row>
    <x:row r="2898">
      <x:c r="A2898" s="34" t="str">
        <x:v>randoop</x:v>
      </x:c>
      <x:c r="B2898" s="34" t="str">
        <x:v>Csv</x:v>
      </x:c>
      <x:c r="C2898" s="34" t="str">
        <x:v>Round2</x:v>
      </x:c>
      <x:c r="D2898" s="34" t="str">
        <x:v>Csv_3</x:v>
      </x:c>
      <x:c r="E2898" s="34" t="str">
        <x:v>Line</x:v>
      </x:c>
      <x:c r="F2898" s="34" t="n">
        <x:v>38</x:v>
      </x:c>
      <x:c r="G2898" s="34" t="str">
        <x:v>RECORDED</x:v>
      </x:c>
      <x:c r="H2898" s="38" t="n">
        <x:f>IF(ISNUMBER('Data'!H1190),'Data'!H1190*100,"")</x:f>
        <x:v>0</x:v>
      </x:c>
      <x:c r="I2898" s="34" t="str">
        <x:v>PASS</x:v>
      </x:c>
      <x:c r="J2898" s="34" t="str">
        <x:v>PASS</x:v>
      </x:c>
      <x:c r="K2898" s="34" t="str">
        <x:v>PASS</x:v>
      </x:c>
      <x:c r="L2898" s="34" t="str">
        <x:v>PASS</x:v>
      </x:c>
      <x:c r="M2898" s="34" t="str">
        <x:v>numeric coverage for applicable metric</x:v>
      </x:c>
      <x:c r="N2898" s="34" t="str">
        <x:v>Feedback-Directed Random Test Generation/Result_Round2/Csv_3/result.json</x:v>
      </x:c>
      <x:c r="O2898" s="38" t="n">
        <x:f>IF(AND(G2898="RECORDED",ISNUMBER(H2898)),H2898,"")</x:f>
        <x:v>0</x:v>
      </x:c>
      <x:c r="P2898" s="34" t="str">
        <x:v>NOT_REVEALING</x:v>
      </x:c>
      <x:c r="Q2898" s="34" t="str">
        <x:v>Feedback-Directed Random Test Generation/Result_Round2/Csv_3/result.json</x:v>
      </x:c>
    </x:row>
    <x:row r="2899">
      <x:c r="A2899" s="34" t="str">
        <x:v>randoop</x:v>
      </x:c>
      <x:c r="B2899" s="34" t="str">
        <x:v>Csv</x:v>
      </x:c>
      <x:c r="C2899" s="34" t="str">
        <x:v>Round2</x:v>
      </x:c>
      <x:c r="D2899" s="34" t="str">
        <x:v>Csv_4</x:v>
      </x:c>
      <x:c r="E2899" s="34" t="str">
        <x:v>Line</x:v>
      </x:c>
      <x:c r="F2899" s="34" t="n">
        <x:v>100</x:v>
      </x:c>
      <x:c r="G2899" s="34" t="str">
        <x:v>RECORDED</x:v>
      </x:c>
      <x:c r="H2899" s="38" t="n">
        <x:f>IF(ISNUMBER('Data'!H1191),'Data'!H1191*100,"")</x:f>
        <x:v>4</x:v>
      </x:c>
      <x:c r="I2899" s="34" t="str">
        <x:v>PASS</x:v>
      </x:c>
      <x:c r="J2899" s="34" t="str">
        <x:v>PASS</x:v>
      </x:c>
      <x:c r="K2899" s="34" t="str">
        <x:v>PASS</x:v>
      </x:c>
      <x:c r="L2899" s="34" t="str">
        <x:v>PASS</x:v>
      </x:c>
      <x:c r="M2899" s="34" t="str">
        <x:v>numeric coverage for applicable metric</x:v>
      </x:c>
      <x:c r="N2899" s="34" t="str">
        <x:v>Feedback-Directed Random Test Generation/Result_Round2/Csv_4/result.json</x:v>
      </x:c>
      <x:c r="O2899" s="38" t="n">
        <x:f>IF(AND(G2899="RECORDED",ISNUMBER(H2899)),H2899,"")</x:f>
        <x:v>4</x:v>
      </x:c>
      <x:c r="P2899" s="34" t="str">
        <x:v>NOT_REVEALING</x:v>
      </x:c>
      <x:c r="Q2899" s="34" t="str">
        <x:v>Feedback-Directed Random Test Generation/Result_Round2/Csv_4/result.json</x:v>
      </x:c>
    </x:row>
    <x:row r="2900">
      <x:c r="A2900" s="34" t="str">
        <x:v>randoop</x:v>
      </x:c>
      <x:c r="B2900" s="34" t="str">
        <x:v>Csv</x:v>
      </x:c>
      <x:c r="C2900" s="34" t="str">
        <x:v>Round2</x:v>
      </x:c>
      <x:c r="D2900" s="34" t="str">
        <x:v>Csv_5</x:v>
      </x:c>
      <x:c r="E2900" s="34" t="str">
        <x:v>Line</x:v>
      </x:c>
      <x:c r="F2900" s="34" t="n">
        <x:v>158</x:v>
      </x:c>
      <x:c r="G2900" s="34" t="str">
        <x:v>RECORDED</x:v>
      </x:c>
      <x:c r="H2900" s="38" t="n">
        <x:f>IF(ISNUMBER('Data'!H1192),'Data'!H1192*100,"")</x:f>
        <x:v>1.9</x:v>
      </x:c>
      <x:c r="I2900" s="34" t="str">
        <x:v>PASS</x:v>
      </x:c>
      <x:c r="J2900" s="34" t="str">
        <x:v>PASS</x:v>
      </x:c>
      <x:c r="K2900" s="34" t="str">
        <x:v>PASS</x:v>
      </x:c>
      <x:c r="L2900" s="34" t="str">
        <x:v>PASS</x:v>
      </x:c>
      <x:c r="M2900" s="34" t="str">
        <x:v>numeric coverage for applicable metric</x:v>
      </x:c>
      <x:c r="N2900" s="34" t="str">
        <x:v>Feedback-Directed Random Test Generation/Result_Round2/Csv_5/result.json</x:v>
      </x:c>
      <x:c r="O2900" s="38" t="n">
        <x:f>IF(AND(G2900="RECORDED",ISNUMBER(H2900)),H2900,"")</x:f>
        <x:v>1.9</x:v>
      </x:c>
      <x:c r="P2900" s="34" t="str">
        <x:v>NOT_REVEALING</x:v>
      </x:c>
      <x:c r="Q2900" s="34" t="str">
        <x:v>Feedback-Directed Random Test Generation/Result_Round2/Csv_5/result.json</x:v>
      </x:c>
    </x:row>
    <x:row r="2901">
      <x:c r="A2901" s="34" t="str">
        <x:v>randoop</x:v>
      </x:c>
      <x:c r="B2901" s="34" t="str">
        <x:v>Csv</x:v>
      </x:c>
      <x:c r="C2901" s="34" t="str">
        <x:v>Round2</x:v>
      </x:c>
      <x:c r="D2901" s="34" t="str">
        <x:v>Csv_6</x:v>
      </x:c>
      <x:c r="E2901" s="34" t="str">
        <x:v>Line</x:v>
      </x:c>
      <x:c r="F2901" s="34" t="n">
        <x:v>35</x:v>
      </x:c>
      <x:c r="G2901" s="34" t="str">
        <x:v>RECORDED</x:v>
      </x:c>
      <x:c r="H2901" s="38" t="n">
        <x:f>IF(ISNUMBER('Data'!H1193),'Data'!H1193*100,"")</x:f>
        <x:v>62.86000000000001</x:v>
      </x:c>
      <x:c r="I2901" s="34" t="str">
        <x:v>PASS</x:v>
      </x:c>
      <x:c r="J2901" s="34" t="str">
        <x:v>PASS</x:v>
      </x:c>
      <x:c r="K2901" s="34" t="str">
        <x:v>PASS</x:v>
      </x:c>
      <x:c r="L2901" s="34" t="str">
        <x:v>PASS</x:v>
      </x:c>
      <x:c r="M2901" s="34" t="str">
        <x:v>numeric coverage for applicable metric</x:v>
      </x:c>
      <x:c r="N2901" s="34" t="str">
        <x:v>Feedback-Directed Random Test Generation/Result_Round2/Csv_6/result.json</x:v>
      </x:c>
      <x:c r="O2901" s="38" t="n">
        <x:f>IF(AND(G2901="RECORDED",ISNUMBER(H2901)),H2901,"")</x:f>
        <x:v>62.86000000000001</x:v>
      </x:c>
      <x:c r="P2901" s="34" t="str">
        <x:v>NOT_REVEALING</x:v>
      </x:c>
      <x:c r="Q2901" s="34" t="str">
        <x:v>Feedback-Directed Random Test Generation/Result_Round2/Csv_6/result.json</x:v>
      </x:c>
    </x:row>
    <x:row r="2902">
      <x:c r="A2902" s="34" t="str">
        <x:v>randoop</x:v>
      </x:c>
      <x:c r="B2902" s="34" t="str">
        <x:v>Csv</x:v>
      </x:c>
      <x:c r="C2902" s="34" t="str">
        <x:v>Round2</x:v>
      </x:c>
      <x:c r="D2902" s="34" t="str">
        <x:v>Csv_7</x:v>
      </x:c>
      <x:c r="E2902" s="34" t="str">
        <x:v>Line</x:v>
      </x:c>
      <x:c r="F2902" s="34" t="n">
        <x:v>101</x:v>
      </x:c>
      <x:c r="G2902" s="34" t="str">
        <x:v>RECORDED</x:v>
      </x:c>
      <x:c r="H2902" s="38" t="n">
        <x:f>IF(ISNUMBER('Data'!H1194),'Data'!H1194*100,"")</x:f>
        <x:v>7.919999999999999</x:v>
      </x:c>
      <x:c r="I2902" s="34" t="str">
        <x:v>PASS</x:v>
      </x:c>
      <x:c r="J2902" s="34" t="str">
        <x:v>PASS</x:v>
      </x:c>
      <x:c r="K2902" s="34" t="str">
        <x:v>PASS</x:v>
      </x:c>
      <x:c r="L2902" s="34" t="str">
        <x:v>PASS</x:v>
      </x:c>
      <x:c r="M2902" s="34" t="str">
        <x:v>numeric coverage for applicable metric</x:v>
      </x:c>
      <x:c r="N2902" s="34" t="str">
        <x:v>Feedback-Directed Random Test Generation/Result_Round2/Csv_7/result.json</x:v>
      </x:c>
      <x:c r="O2902" s="38" t="n">
        <x:f>IF(AND(G2902="RECORDED",ISNUMBER(H2902)),H2902,"")</x:f>
        <x:v>7.919999999999999</x:v>
      </x:c>
      <x:c r="P2902" s="34" t="str">
        <x:v>NOT_REVEALING</x:v>
      </x:c>
      <x:c r="Q2902" s="34" t="str">
        <x:v>Feedback-Directed Random Test Generation/Result_Round2/Csv_7/result.json</x:v>
      </x:c>
    </x:row>
    <x:row r="2903">
      <x:c r="A2903" s="34" t="str">
        <x:v>randoop</x:v>
      </x:c>
      <x:c r="B2903" s="34" t="str">
        <x:v>Csv</x:v>
      </x:c>
      <x:c r="C2903" s="34" t="str">
        <x:v>Round2</x:v>
      </x:c>
      <x:c r="D2903" s="34" t="str">
        <x:v>Csv_8</x:v>
      </x:c>
      <x:c r="E2903" s="34" t="str">
        <x:v>Line</x:v>
      </x:c>
      <x:c r="F2903" s="34" t="n">
        <x:v>179</x:v>
      </x:c>
      <x:c r="G2903" s="34" t="str">
        <x:v>RECORDED</x:v>
      </x:c>
      <x:c r="H2903" s="38" t="n">
        <x:f>IF(ISNUMBER('Data'!H1195),'Data'!H1195*100,"")</x:f>
        <x:v>82.12</x:v>
      </x:c>
      <x:c r="I2903" s="34" t="str">
        <x:v>PASS</x:v>
      </x:c>
      <x:c r="J2903" s="34" t="str">
        <x:v>PASS</x:v>
      </x:c>
      <x:c r="K2903" s="34" t="str">
        <x:v>PASS</x:v>
      </x:c>
      <x:c r="L2903" s="34" t="str">
        <x:v>PASS</x:v>
      </x:c>
      <x:c r="M2903" s="34" t="str">
        <x:v>numeric coverage for applicable metric</x:v>
      </x:c>
      <x:c r="N2903" s="34" t="str">
        <x:v>Feedback-Directed Random Test Generation/Result_Round2/Csv_8/result.json</x:v>
      </x:c>
      <x:c r="O2903" s="38" t="n">
        <x:f>IF(AND(G2903="RECORDED",ISNUMBER(H2903)),H2903,"")</x:f>
        <x:v>82.12</x:v>
      </x:c>
      <x:c r="P2903" s="34" t="str">
        <x:v>NOT_REVEALING</x:v>
      </x:c>
      <x:c r="Q2903" s="34" t="str">
        <x:v>Feedback-Directed Random Test Generation/Result_Round2/Csv_8/result.json</x:v>
      </x:c>
    </x:row>
    <x:row r="2904">
      <x:c r="A2904" s="34" t="str">
        <x:v>randoop</x:v>
      </x:c>
      <x:c r="B2904" s="34" t="str">
        <x:v>Csv</x:v>
      </x:c>
      <x:c r="C2904" s="34" t="str">
        <x:v>Round2</x:v>
      </x:c>
      <x:c r="D2904" s="34" t="str">
        <x:v>Csv_9</x:v>
      </x:c>
      <x:c r="E2904" s="34" t="str">
        <x:v>Line</x:v>
      </x:c>
      <x:c r="F2904" s="34" t="n">
        <x:v>36</x:v>
      </x:c>
      <x:c r="G2904" s="34" t="str">
        <x:v>RECORDED</x:v>
      </x:c>
      <x:c r="H2904" s="38" t="n">
        <x:f>IF(ISNUMBER('Data'!H1196),'Data'!H1196*100,"")</x:f>
        <x:v>61.11</x:v>
      </x:c>
      <x:c r="I2904" s="34" t="str">
        <x:v>PASS</x:v>
      </x:c>
      <x:c r="J2904" s="34" t="str">
        <x:v>PASS</x:v>
      </x:c>
      <x:c r="K2904" s="34" t="str">
        <x:v>PASS</x:v>
      </x:c>
      <x:c r="L2904" s="34" t="str">
        <x:v>PASS</x:v>
      </x:c>
      <x:c r="M2904" s="34" t="str">
        <x:v>numeric coverage for applicable metric</x:v>
      </x:c>
      <x:c r="N2904" s="34" t="str">
        <x:v>Feedback-Directed Random Test Generation/Result_Round2/Csv_9/result.json</x:v>
      </x:c>
      <x:c r="O2904" s="38" t="n">
        <x:f>IF(AND(G2904="RECORDED",ISNUMBER(H2904)),H2904,"")</x:f>
        <x:v>61.11</x:v>
      </x:c>
      <x:c r="P2904" s="34" t="str">
        <x:v>INCONCLUSIVE</x:v>
      </x:c>
      <x:c r="Q2904" s="34" t="str">
        <x:v>Feedback-Directed Random Test Generation/Result_Round2/Csv_9/result.json</x:v>
      </x:c>
    </x:row>
    <x:row r="2905">
      <x:c r="A2905" s="34" t="str">
        <x:v>randoop</x:v>
      </x:c>
      <x:c r="B2905" s="34" t="str">
        <x:v>Csv</x:v>
      </x:c>
      <x:c r="C2905" s="34" t="str">
        <x:v>Round2</x:v>
      </x:c>
      <x:c r="D2905" s="34" t="str">
        <x:v>Csv_10</x:v>
      </x:c>
      <x:c r="E2905" s="34" t="str">
        <x:v>Line</x:v>
      </x:c>
      <x:c r="F2905" s="34" t="n">
        <x:v>160</x:v>
      </x:c>
      <x:c r="G2905" s="34" t="str">
        <x:v>RECORDED</x:v>
      </x:c>
      <x:c r="H2905" s="38" t="n">
        <x:f>IF(ISNUMBER('Data'!H1197),'Data'!H1197*100,"")</x:f>
        <x:v>1.8799999999999997</x:v>
      </x:c>
      <x:c r="I2905" s="34" t="str">
        <x:v>PASS</x:v>
      </x:c>
      <x:c r="J2905" s="34" t="str">
        <x:v>PASS</x:v>
      </x:c>
      <x:c r="K2905" s="34" t="str">
        <x:v>PASS</x:v>
      </x:c>
      <x:c r="L2905" s="34" t="str">
        <x:v>PASS</x:v>
      </x:c>
      <x:c r="M2905" s="34" t="str">
        <x:v>numeric coverage for applicable metric</x:v>
      </x:c>
      <x:c r="N2905" s="34" t="str">
        <x:v>Feedback-Directed Random Test Generation/Result_Round2/Csv_10/result.json</x:v>
      </x:c>
      <x:c r="O2905" s="38" t="n">
        <x:f>IF(AND(G2905="RECORDED",ISNUMBER(H2905)),H2905,"")</x:f>
        <x:v>1.8799999999999997</x:v>
      </x:c>
      <x:c r="P2905" s="34" t="str">
        <x:v>NOT_REVEALING</x:v>
      </x:c>
      <x:c r="Q2905" s="34" t="str">
        <x:v>Feedback-Directed Random Test Generation/Result_Round2/Csv_10/result.json</x:v>
      </x:c>
    </x:row>
    <x:row r="2906">
      <x:c r="A2906" s="34" t="str">
        <x:v>randoop</x:v>
      </x:c>
      <x:c r="B2906" s="34" t="str">
        <x:v>Csv</x:v>
      </x:c>
      <x:c r="C2906" s="34" t="str">
        <x:v>Round2</x:v>
      </x:c>
      <x:c r="D2906" s="34" t="str">
        <x:v>Csv_11</x:v>
      </x:c>
      <x:c r="E2906" s="34" t="str">
        <x:v>Line</x:v>
      </x:c>
      <x:c r="F2906" s="34" t="n">
        <x:v>106</x:v>
      </x:c>
      <x:c r="G2906" s="34" t="str">
        <x:v>RECORDED</x:v>
      </x:c>
      <x:c r="H2906" s="38" t="n">
        <x:f>IF(ISNUMBER('Data'!H1198),'Data'!H1198*100,"")</x:f>
        <x:v>7.55</x:v>
      </x:c>
      <x:c r="I2906" s="34" t="str">
        <x:v>PASS</x:v>
      </x:c>
      <x:c r="J2906" s="34" t="str">
        <x:v>PASS</x:v>
      </x:c>
      <x:c r="K2906" s="34" t="str">
        <x:v>PASS</x:v>
      </x:c>
      <x:c r="L2906" s="34" t="str">
        <x:v>PASS</x:v>
      </x:c>
      <x:c r="M2906" s="34" t="str">
        <x:v>numeric coverage for applicable metric</x:v>
      </x:c>
      <x:c r="N2906" s="34" t="str">
        <x:v>Feedback-Directed Random Test Generation/Result_Round2/Csv_11/result.json</x:v>
      </x:c>
      <x:c r="O2906" s="38" t="n">
        <x:f>IF(AND(G2906="RECORDED",ISNUMBER(H2906)),H2906,"")</x:f>
        <x:v>7.55</x:v>
      </x:c>
      <x:c r="P2906" s="34" t="str">
        <x:v>NOT_REVEALING</x:v>
      </x:c>
      <x:c r="Q2906" s="34" t="str">
        <x:v>Feedback-Directed Random Test Generation/Result_Round2/Csv_11/result.json</x:v>
      </x:c>
    </x:row>
    <x:row r="2907">
      <x:c r="A2907" s="34" t="str">
        <x:v>randoop</x:v>
      </x:c>
      <x:c r="B2907" s="34" t="str">
        <x:v>Csv</x:v>
      </x:c>
      <x:c r="C2907" s="34" t="str">
        <x:v>Round2</x:v>
      </x:c>
      <x:c r="D2907" s="34" t="str">
        <x:v>Csv_12</x:v>
      </x:c>
      <x:c r="E2907" s="34" t="str">
        <x:v>Line</x:v>
      </x:c>
      <x:c r="F2907" s="34" t="n">
        <x:v>184</x:v>
      </x:c>
      <x:c r="G2907" s="34" t="str">
        <x:v>RECORDED</x:v>
      </x:c>
      <x:c r="H2907" s="38" t="n">
        <x:f>IF(ISNUMBER('Data'!H1199),'Data'!H1199*100,"")</x:f>
        <x:v>83.7</x:v>
      </x:c>
      <x:c r="I2907" s="34" t="str">
        <x:v>PASS</x:v>
      </x:c>
      <x:c r="J2907" s="34" t="str">
        <x:v>PASS</x:v>
      </x:c>
      <x:c r="K2907" s="34" t="str">
        <x:v>PASS</x:v>
      </x:c>
      <x:c r="L2907" s="34" t="str">
        <x:v>PASS</x:v>
      </x:c>
      <x:c r="M2907" s="34" t="str">
        <x:v>numeric coverage for applicable metric</x:v>
      </x:c>
      <x:c r="N2907" s="34" t="str">
        <x:v>Feedback-Directed Random Test Generation/Result_Round2/Csv_12/result.json</x:v>
      </x:c>
      <x:c r="O2907" s="38" t="n">
        <x:f>IF(AND(G2907="RECORDED",ISNUMBER(H2907)),H2907,"")</x:f>
        <x:v>83.7</x:v>
      </x:c>
      <x:c r="P2907" s="34" t="str">
        <x:v>INCONCLUSIVE</x:v>
      </x:c>
      <x:c r="Q2907" s="34" t="str">
        <x:v>Feedback-Directed Random Test Generation/Result_Round2/Csv_12/result.json</x:v>
      </x:c>
    </x:row>
    <x:row r="2908">
      <x:c r="A2908" s="34" t="str">
        <x:v>randoop</x:v>
      </x:c>
      <x:c r="B2908" s="34" t="str">
        <x:v>Csv</x:v>
      </x:c>
      <x:c r="C2908" s="34" t="str">
        <x:v>Round2</x:v>
      </x:c>
      <x:c r="D2908" s="34" t="str">
        <x:v>Csv_13</x:v>
      </x:c>
      <x:c r="E2908" s="34" t="str">
        <x:v>Line</x:v>
      </x:c>
      <x:c r="F2908" s="34" t="n">
        <x:v>385</x:v>
      </x:c>
      <x:c r="G2908" s="34" t="str">
        <x:v>RECORDED</x:v>
      </x:c>
      <x:c r="H2908" s="38" t="n">
        <x:f>IF(ISNUMBER('Data'!H1200),'Data'!H1200*100,"")</x:f>
        <x:v>78.44</x:v>
      </x:c>
      <x:c r="I2908" s="34" t="str">
        <x:v>PASS</x:v>
      </x:c>
      <x:c r="J2908" s="34" t="str">
        <x:v>PASS</x:v>
      </x:c>
      <x:c r="K2908" s="34" t="str">
        <x:v>PASS</x:v>
      </x:c>
      <x:c r="L2908" s="34" t="str">
        <x:v>FAIL</x:v>
      </x:c>
      <x:c r="M2908" s="34" t="str">
        <x:v>numeric coverage for applicable metric</x:v>
      </x:c>
      <x:c r="N2908" s="34" t="str">
        <x:v>Feedback-Directed Random Test Generation/Result_Round2/Csv_13/result.json</x:v>
      </x:c>
      <x:c r="O2908" s="38" t="n">
        <x:f>IF(AND(G2908="RECORDED",ISNUMBER(H2908)),H2908,"")</x:f>
        <x:v>78.44</x:v>
      </x:c>
      <x:c r="P2908" s="34" t="str">
        <x:v>INCONCLUSIVE</x:v>
      </x:c>
      <x:c r="Q2908" s="34" t="str">
        <x:v>Feedback-Directed Random Test Generation/Result_Round2/Csv_13/result.json</x:v>
      </x:c>
    </x:row>
    <x:row r="2909">
      <x:c r="A2909" s="34" t="str">
        <x:v>randoop</x:v>
      </x:c>
      <x:c r="B2909" s="34" t="str">
        <x:v>Csv</x:v>
      </x:c>
      <x:c r="C2909" s="34" t="str">
        <x:v>Round2</x:v>
      </x:c>
      <x:c r="D2909" s="34" t="str">
        <x:v>Csv_14</x:v>
      </x:c>
      <x:c r="E2909" s="34" t="str">
        <x:v>Line</x:v>
      </x:c>
      <x:c r="F2909" s="34" t="n">
        <x:v>356</x:v>
      </x:c>
      <x:c r="G2909" s="34" t="str">
        <x:v>RECORDED</x:v>
      </x:c>
      <x:c r="H2909" s="38" t="n">
        <x:f>IF(ISNUMBER('Data'!H1201),'Data'!H1201*100,"")</x:f>
        <x:v>88.48</x:v>
      </x:c>
      <x:c r="I2909" s="34" t="str">
        <x:v>PASS</x:v>
      </x:c>
      <x:c r="J2909" s="34" t="str">
        <x:v>PASS</x:v>
      </x:c>
      <x:c r="K2909" s="34" t="str">
        <x:v>PASS</x:v>
      </x:c>
      <x:c r="L2909" s="34" t="str">
        <x:v>FAIL</x:v>
      </x:c>
      <x:c r="M2909" s="34" t="str">
        <x:v>numeric coverage for applicable metric</x:v>
      </x:c>
      <x:c r="N2909" s="34" t="str">
        <x:v>Feedback-Directed Random Test Generation/Result_Round2/Csv_14/result.json</x:v>
      </x:c>
      <x:c r="O2909" s="38" t="n">
        <x:f>IF(AND(G2909="RECORDED",ISNUMBER(H2909)),H2909,"")</x:f>
        <x:v>88.48</x:v>
      </x:c>
      <x:c r="P2909" s="34" t="str">
        <x:v>INCONCLUSIVE</x:v>
      </x:c>
      <x:c r="Q2909" s="34" t="str">
        <x:v>Feedback-Directed Random Test Generation/Result_Round2/Csv_14/result.json</x:v>
      </x:c>
    </x:row>
    <x:row r="2910">
      <x:c r="A2910" s="34" t="str">
        <x:v>randoop</x:v>
      </x:c>
      <x:c r="B2910" s="34" t="str">
        <x:v>Csv</x:v>
      </x:c>
      <x:c r="C2910" s="34" t="str">
        <x:v>Round2</x:v>
      </x:c>
      <x:c r="D2910" s="34" t="str">
        <x:v>Csv_15</x:v>
      </x:c>
      <x:c r="E2910" s="34" t="str">
        <x:v>Line</x:v>
      </x:c>
      <x:c r="F2910" s="34" t="n">
        <x:v>397</x:v>
      </x:c>
      <x:c r="G2910" s="34" t="str">
        <x:v>RECORDED</x:v>
      </x:c>
      <x:c r="H2910" s="38" t="n">
        <x:f>IF(ISNUMBER('Data'!H1202),'Data'!H1202*100,"")</x:f>
        <x:v>90.43</x:v>
      </x:c>
      <x:c r="I2910" s="34" t="str">
        <x:v>PASS</x:v>
      </x:c>
      <x:c r="J2910" s="34" t="str">
        <x:v>PASS</x:v>
      </x:c>
      <x:c r="K2910" s="34" t="str">
        <x:v>PASS</x:v>
      </x:c>
      <x:c r="L2910" s="34" t="str">
        <x:v>FAIL</x:v>
      </x:c>
      <x:c r="M2910" s="34" t="str">
        <x:v>numeric coverage for applicable metric</x:v>
      </x:c>
      <x:c r="N2910" s="34" t="str">
        <x:v>Feedback-Directed Random Test Generation/Result_Round2/Csv_15/result.json</x:v>
      </x:c>
      <x:c r="O2910" s="38" t="n">
        <x:f>IF(AND(G2910="RECORDED",ISNUMBER(H2910)),H2910,"")</x:f>
        <x:v>90.43</x:v>
      </x:c>
      <x:c r="P2910" s="34" t="str">
        <x:v>INCONCLUSIVE</x:v>
      </x:c>
      <x:c r="Q2910" s="34" t="str">
        <x:v>Feedback-Directed Random Test Generation/Result_Round2/Csv_15/result.json</x:v>
      </x:c>
    </x:row>
    <x:row r="2911">
      <x:c r="A2911" s="34" t="str">
        <x:v>randoop</x:v>
      </x:c>
      <x:c r="B2911" s="34" t="str">
        <x:v>Csv</x:v>
      </x:c>
      <x:c r="C2911" s="34" t="str">
        <x:v>Round2</x:v>
      </x:c>
      <x:c r="D2911" s="34" t="str">
        <x:v>Csv_16</x:v>
      </x:c>
      <x:c r="E2911" s="34" t="str">
        <x:v>Line</x:v>
      </x:c>
      <x:c r="F2911" s="34" t="n">
        <x:v>123</x:v>
      </x:c>
      <x:c r="G2911" s="34" t="str">
        <x:v>RECORDED</x:v>
      </x:c>
      <x:c r="H2911" s="38" t="n">
        <x:f>IF(ISNUMBER('Data'!H1203),'Data'!H1203*100,"")</x:f>
        <x:v>9.76</x:v>
      </x:c>
      <x:c r="I2911" s="34" t="str">
        <x:v>PASS</x:v>
      </x:c>
      <x:c r="J2911" s="34" t="str">
        <x:v>PASS</x:v>
      </x:c>
      <x:c r="K2911" s="34" t="str">
        <x:v>PASS</x:v>
      </x:c>
      <x:c r="L2911" s="34" t="str">
        <x:v>PASS</x:v>
      </x:c>
      <x:c r="M2911" s="34" t="str">
        <x:v>numeric coverage for applicable metric</x:v>
      </x:c>
      <x:c r="N2911" s="34" t="str">
        <x:v>Feedback-Directed Random Test Generation/Result_Round2/Csv_16/result.json</x:v>
      </x:c>
      <x:c r="O2911" s="38" t="n">
        <x:f>IF(AND(G2911="RECORDED",ISNUMBER(H2911)),H2911,"")</x:f>
        <x:v>9.76</x:v>
      </x:c>
      <x:c r="P2911" s="34" t="str">
        <x:v>NOT_REVEALING</x:v>
      </x:c>
      <x:c r="Q2911" s="34" t="str">
        <x:v>Feedback-Directed Random Test Generation/Result_Round2/Csv_16/result.json</x:v>
      </x:c>
    </x:row>
    <x:row r="2912">
      <x:c r="A2912" s="34" t="str">
        <x:v>randoop</x:v>
      </x:c>
      <x:c r="B2912" s="34" t="str">
        <x:v>Gson</x:v>
      </x:c>
      <x:c r="C2912" s="34" t="str">
        <x:v>Round2</x:v>
      </x:c>
      <x:c r="D2912" s="34" t="str">
        <x:v>Gson_1</x:v>
      </x:c>
      <x:c r="E2912" s="34" t="str">
        <x:v>Line</x:v>
      </x:c>
      <x:c r="F2912" s="34" t="n">
        <x:v>48</x:v>
      </x:c>
      <x:c r="G2912" s="34" t="str">
        <x:v>RECORDED</x:v>
      </x:c>
      <x:c r="H2912" s="38" t="n">
        <x:f>IF(ISNUMBER('Data'!H1204),'Data'!H1204*100,"")</x:f>
        <x:v>6.25</x:v>
      </x:c>
      <x:c r="I2912" s="34" t="str">
        <x:v>PASS</x:v>
      </x:c>
      <x:c r="J2912" s="34" t="str">
        <x:v>PASS</x:v>
      </x:c>
      <x:c r="K2912" s="34" t="str">
        <x:v>PASS</x:v>
      </x:c>
      <x:c r="L2912" s="34" t="str">
        <x:v>PASS</x:v>
      </x:c>
      <x:c r="M2912" s="34" t="str">
        <x:v>numeric coverage for applicable metric</x:v>
      </x:c>
      <x:c r="N2912" s="34" t="str">
        <x:v>Feedback-Directed Random Test Generation/Result_Round2/Gson_1/result.json</x:v>
      </x:c>
      <x:c r="O2912" s="38" t="n">
        <x:f>IF(AND(G2912="RECORDED",ISNUMBER(H2912)),H2912,"")</x:f>
        <x:v>6.25</x:v>
      </x:c>
      <x:c r="P2912" s="34" t="str">
        <x:v>NOT_REVEALING</x:v>
      </x:c>
      <x:c r="Q2912" s="34" t="str">
        <x:v>Feedback-Directed Random Test Generation/Result_Round2/Gson_1/result.json</x:v>
      </x:c>
    </x:row>
    <x:row r="2913">
      <x:c r="A2913" s="34" t="str">
        <x:v>randoop</x:v>
      </x:c>
      <x:c r="B2913" s="34" t="str">
        <x:v>Gson</x:v>
      </x:c>
      <x:c r="C2913" s="34" t="str">
        <x:v>Round2</x:v>
      </x:c>
      <x:c r="D2913" s="34" t="str">
        <x:v>Gson_2</x:v>
      </x:c>
      <x:c r="E2913" s="34" t="str">
        <x:v>Line</x:v>
      </x:c>
      <x:c r="F2913" s="34" t="n">
        <x:v>446</x:v>
      </x:c>
      <x:c r="G2913" s="34" t="str">
        <x:v>RECORDED</x:v>
      </x:c>
      <x:c r="H2913" s="38" t="n">
        <x:f>IF(ISNUMBER('Data'!H1205),'Data'!H1205*100,"")</x:f>
        <x:v>19.73</x:v>
      </x:c>
      <x:c r="I2913" s="34" t="str">
        <x:v>PASS</x:v>
      </x:c>
      <x:c r="J2913" s="34" t="str">
        <x:v>PASS</x:v>
      </x:c>
      <x:c r="K2913" s="34" t="str">
        <x:v>PASS</x:v>
      </x:c>
      <x:c r="L2913" s="34" t="str">
        <x:v>PASS</x:v>
      </x:c>
      <x:c r="M2913" s="34" t="str">
        <x:v>numeric coverage for applicable metric</x:v>
      </x:c>
      <x:c r="N2913" s="34" t="str">
        <x:v>Feedback-Directed Random Test Generation/Result_Round2/Gson_2/result.json</x:v>
      </x:c>
      <x:c r="O2913" s="38" t="n">
        <x:f>IF(AND(G2913="RECORDED",ISNUMBER(H2913)),H2913,"")</x:f>
        <x:v>19.73</x:v>
      </x:c>
      <x:c r="P2913" s="34" t="str">
        <x:v>NOT_REVEALING</x:v>
      </x:c>
      <x:c r="Q2913" s="34" t="str">
        <x:v>Feedback-Directed Random Test Generation/Result_Round2/Gson_2/result.json</x:v>
      </x:c>
    </x:row>
    <x:row r="2914">
      <x:c r="A2914" s="34" t="str">
        <x:v>randoop</x:v>
      </x:c>
      <x:c r="B2914" s="34" t="str">
        <x:v>Gson</x:v>
      </x:c>
      <x:c r="C2914" s="34" t="str">
        <x:v>Round2</x:v>
      </x:c>
      <x:c r="D2914" s="34" t="str">
        <x:v>Gson_3</x:v>
      </x:c>
      <x:c r="E2914" s="34" t="str">
        <x:v>Line</x:v>
      </x:c>
      <x:c r="F2914" s="34" t="n">
        <x:v>86</x:v>
      </x:c>
      <x:c r="G2914" s="34" t="str">
        <x:v>RECORDED</x:v>
      </x:c>
      <x:c r="H2914" s="38" t="n">
        <x:f>IF(ISNUMBER('Data'!H1206),'Data'!H1206*100,"")</x:f>
        <x:v>0</x:v>
      </x:c>
      <x:c r="I2914" s="34" t="str">
        <x:v>PASS</x:v>
      </x:c>
      <x:c r="J2914" s="34" t="str">
        <x:v>PASS</x:v>
      </x:c>
      <x:c r="K2914" s="34" t="str">
        <x:v>PASS</x:v>
      </x:c>
      <x:c r="L2914" s="34" t="str">
        <x:v>PASS</x:v>
      </x:c>
      <x:c r="M2914" s="34" t="str">
        <x:v>numeric coverage for applicable metric</x:v>
      </x:c>
      <x:c r="N2914" s="34" t="str">
        <x:v>Feedback-Directed Random Test Generation/Result_Round2/Gson_3/result.json</x:v>
      </x:c>
      <x:c r="O2914" s="38" t="n">
        <x:f>IF(AND(G2914="RECORDED",ISNUMBER(H2914)),H2914,"")</x:f>
        <x:v>0</x:v>
      </x:c>
      <x:c r="P2914" s="34" t="str">
        <x:v>NOT_REVEALING</x:v>
      </x:c>
      <x:c r="Q2914" s="34" t="str">
        <x:v>Feedback-Directed Random Test Generation/Result_Round2/Gson_3/result.json</x:v>
      </x:c>
    </x:row>
    <x:row r="2915">
      <x:c r="A2915" s="34" t="str">
        <x:v>randoop</x:v>
      </x:c>
      <x:c r="B2915" s="34" t="str">
        <x:v>Gson</x:v>
      </x:c>
      <x:c r="C2915" s="34" t="str">
        <x:v>Round2</x:v>
      </x:c>
      <x:c r="D2915" s="34" t="str">
        <x:v>Gson_4</x:v>
      </x:c>
      <x:c r="E2915" s="34" t="str">
        <x:v>Line</x:v>
      </x:c>
      <x:c r="F2915" s="34" t="n">
        <x:v>882</x:v>
      </x:c>
      <x:c r="G2915" s="34" t="str">
        <x:v>RECORDED</x:v>
      </x:c>
      <x:c r="H2915" s="38" t="n">
        <x:f>IF(ISNUMBER('Data'!H1207),'Data'!H1207*100,"")</x:f>
        <x:v>5.33</x:v>
      </x:c>
      <x:c r="I2915" s="34" t="str">
        <x:v>PASS</x:v>
      </x:c>
      <x:c r="J2915" s="34" t="str">
        <x:v>PASS</x:v>
      </x:c>
      <x:c r="K2915" s="34" t="str">
        <x:v>PASS</x:v>
      </x:c>
      <x:c r="L2915" s="34" t="str">
        <x:v>PASS</x:v>
      </x:c>
      <x:c r="M2915" s="34" t="str">
        <x:v>numeric coverage for applicable metric</x:v>
      </x:c>
      <x:c r="N2915" s="34" t="str">
        <x:v>Feedback-Directed Random Test Generation/Result_Round2/Gson_4/result.json</x:v>
      </x:c>
      <x:c r="O2915" s="38" t="n">
        <x:f>IF(AND(G2915="RECORDED",ISNUMBER(H2915)),H2915,"")</x:f>
        <x:v>5.33</x:v>
      </x:c>
      <x:c r="P2915" s="34" t="str">
        <x:v>NOT_REVEALING</x:v>
      </x:c>
      <x:c r="Q2915" s="34" t="str">
        <x:v>Feedback-Directed Random Test Generation/Result_Round2/Gson_4/result.json</x:v>
      </x:c>
    </x:row>
    <x:row r="2916">
      <x:c r="A2916" s="34" t="str">
        <x:v>randoop</x:v>
      </x:c>
      <x:c r="B2916" s="34" t="str">
        <x:v>Gson</x:v>
      </x:c>
      <x:c r="C2916" s="34" t="str">
        <x:v>Round2</x:v>
      </x:c>
      <x:c r="D2916" s="34" t="str">
        <x:v>Gson_5</x:v>
      </x:c>
      <x:c r="E2916" s="34" t="str">
        <x:v>Line</x:v>
      </x:c>
      <x:c r="F2916" s="34" t="n">
        <x:v>150</x:v>
      </x:c>
      <x:c r="G2916" s="34" t="str">
        <x:v>RECORDED</x:v>
      </x:c>
      <x:c r="H2916" s="38" t="n">
        <x:f>IF(ISNUMBER('Data'!H1208),'Data'!H1208*100,"")</x:f>
        <x:v>5.33</x:v>
      </x:c>
      <x:c r="I2916" s="34" t="str">
        <x:v>PASS</x:v>
      </x:c>
      <x:c r="J2916" s="34" t="str">
        <x:v>PASS</x:v>
      </x:c>
      <x:c r="K2916" s="34" t="str">
        <x:v>PASS</x:v>
      </x:c>
      <x:c r="L2916" s="34" t="str">
        <x:v>PASS</x:v>
      </x:c>
      <x:c r="M2916" s="34" t="str">
        <x:v>numeric coverage for applicable metric</x:v>
      </x:c>
      <x:c r="N2916" s="34" t="str">
        <x:v>Feedback-Directed Random Test Generation/Result_Round2/Gson_5/result.json</x:v>
      </x:c>
      <x:c r="O2916" s="38" t="n">
        <x:f>IF(AND(G2916="RECORDED",ISNUMBER(H2916)),H2916,"")</x:f>
        <x:v>5.33</x:v>
      </x:c>
      <x:c r="P2916" s="34" t="str">
        <x:v>NOT_REVEALING</x:v>
      </x:c>
      <x:c r="Q2916" s="34" t="str">
        <x:v>Feedback-Directed Random Test Generation/Result_Round2/Gson_5/result.json</x:v>
      </x:c>
    </x:row>
    <x:row r="2917">
      <x:c r="A2917" s="34" t="str">
        <x:v>randoop</x:v>
      </x:c>
      <x:c r="B2917" s="34" t="str">
        <x:v>Gson</x:v>
      </x:c>
      <x:c r="C2917" s="34" t="str">
        <x:v>Round2</x:v>
      </x:c>
      <x:c r="D2917" s="34" t="str">
        <x:v>Gson_6</x:v>
      </x:c>
      <x:c r="E2917" s="34" t="str">
        <x:v>Line</x:v>
      </x:c>
      <x:c r="F2917" s="34" t="n">
        <x:v>20</x:v>
      </x:c>
      <x:c r="G2917" s="34" t="str">
        <x:v>RECORDED</x:v>
      </x:c>
      <x:c r="H2917" s="38" t="n">
        <x:f>IF(ISNUMBER('Data'!H1209),'Data'!H1209*100,"")</x:f>
        <x:v>15</x:v>
      </x:c>
      <x:c r="I2917" s="34" t="str">
        <x:v>PASS</x:v>
      </x:c>
      <x:c r="J2917" s="34" t="str">
        <x:v>PASS</x:v>
      </x:c>
      <x:c r="K2917" s="34" t="str">
        <x:v>PASS</x:v>
      </x:c>
      <x:c r="L2917" s="34" t="str">
        <x:v>PASS</x:v>
      </x:c>
      <x:c r="M2917" s="34" t="str">
        <x:v>numeric coverage for applicable metric</x:v>
      </x:c>
      <x:c r="N2917" s="34" t="str">
        <x:v>Feedback-Directed Random Test Generation/Result_Round2/Gson_6/result.json</x:v>
      </x:c>
      <x:c r="O2917" s="38" t="n">
        <x:f>IF(AND(G2917="RECORDED",ISNUMBER(H2917)),H2917,"")</x:f>
        <x:v>15</x:v>
      </x:c>
      <x:c r="P2917" s="34" t="str">
        <x:v>NOT_REVEALING</x:v>
      </x:c>
      <x:c r="Q2917" s="34" t="str">
        <x:v>Feedback-Directed Random Test Generation/Result_Round2/Gson_6/result.json</x:v>
      </x:c>
    </x:row>
    <x:row r="2918">
      <x:c r="A2918" s="34" t="str">
        <x:v>randoop</x:v>
      </x:c>
      <x:c r="B2918" s="34" t="str">
        <x:v>Gson</x:v>
      </x:c>
      <x:c r="C2918" s="34" t="str">
        <x:v>Round2</x:v>
      </x:c>
      <x:c r="D2918" s="34" t="str">
        <x:v>Gson_7</x:v>
      </x:c>
      <x:c r="E2918" s="34" t="str">
        <x:v>Line</x:v>
      </x:c>
      <x:c r="F2918" s="34" t="n">
        <x:v>684</x:v>
      </x:c>
      <x:c r="G2918" s="34" t="str">
        <x:v>RECORDED</x:v>
      </x:c>
      <x:c r="H2918" s="38" t="n">
        <x:f>IF(ISNUMBER('Data'!H1210),'Data'!H1210*100,"")</x:f>
        <x:v>2.78</x:v>
      </x:c>
      <x:c r="I2918" s="34" t="str">
        <x:v>PASS</x:v>
      </x:c>
      <x:c r="J2918" s="34" t="str">
        <x:v>PASS</x:v>
      </x:c>
      <x:c r="K2918" s="34" t="str">
        <x:v>PASS</x:v>
      </x:c>
      <x:c r="L2918" s="34" t="str">
        <x:v>PASS</x:v>
      </x:c>
      <x:c r="M2918" s="34" t="str">
        <x:v>numeric coverage for applicable metric</x:v>
      </x:c>
      <x:c r="N2918" s="34" t="str">
        <x:v>Feedback-Directed Random Test Generation/Result_Round2/Gson_7/result.json</x:v>
      </x:c>
      <x:c r="O2918" s="38" t="n">
        <x:f>IF(AND(G2918="RECORDED",ISNUMBER(H2918)),H2918,"")</x:f>
        <x:v>2.78</x:v>
      </x:c>
      <x:c r="P2918" s="34" t="str">
        <x:v>NOT_REVEALING</x:v>
      </x:c>
      <x:c r="Q2918" s="34" t="str">
        <x:v>Feedback-Directed Random Test Generation/Result_Round2/Gson_7/result.json</x:v>
      </x:c>
    </x:row>
    <x:row r="2919">
      <x:c r="A2919" s="34" t="str">
        <x:v>randoop</x:v>
      </x:c>
      <x:c r="B2919" s="34" t="str">
        <x:v>Gson</x:v>
      </x:c>
      <x:c r="C2919" s="34" t="str">
        <x:v>Round2</x:v>
      </x:c>
      <x:c r="D2919" s="34" t="str">
        <x:v>Gson_8</x:v>
      </x:c>
      <x:c r="E2919" s="34" t="str">
        <x:v>Line</x:v>
      </x:c>
      <x:c r="F2919" s="34" t="n">
        <x:v>31</x:v>
      </x:c>
      <x:c r="G2919" s="34" t="str">
        <x:v>RECORDED</x:v>
      </x:c>
      <x:c r="H2919" s="38" t="n">
        <x:f>IF(ISNUMBER('Data'!H1211),'Data'!H1211*100,"")</x:f>
        <x:v>25.81</x:v>
      </x:c>
      <x:c r="I2919" s="34" t="str">
        <x:v>PASS</x:v>
      </x:c>
      <x:c r="J2919" s="34" t="str">
        <x:v>PASS</x:v>
      </x:c>
      <x:c r="K2919" s="34" t="str">
        <x:v>PASS</x:v>
      </x:c>
      <x:c r="L2919" s="34" t="str">
        <x:v>PASS</x:v>
      </x:c>
      <x:c r="M2919" s="34" t="str">
        <x:v>numeric coverage for applicable metric</x:v>
      </x:c>
      <x:c r="N2919" s="34" t="str">
        <x:v>Feedback-Directed Random Test Generation/Result_Round2/Gson_8/result.json</x:v>
      </x:c>
      <x:c r="O2919" s="38" t="n">
        <x:f>IF(AND(G2919="RECORDED",ISNUMBER(H2919)),H2919,"")</x:f>
        <x:v>25.81</x:v>
      </x:c>
      <x:c r="P2919" s="34" t="str">
        <x:v>NOT_REVEALING</x:v>
      </x:c>
      <x:c r="Q2919" s="34" t="str">
        <x:v>Feedback-Directed Random Test Generation/Result_Round2/Gson_8/result.json</x:v>
      </x:c>
    </x:row>
    <x:row r="2920">
      <x:c r="A2920" s="34" t="str">
        <x:v>randoop</x:v>
      </x:c>
      <x:c r="B2920" s="34" t="str">
        <x:v>Gson</x:v>
      </x:c>
      <x:c r="C2920" s="34" t="str">
        <x:v>Round2</x:v>
      </x:c>
      <x:c r="D2920" s="34" t="str">
        <x:v>Gson_9</x:v>
      </x:c>
      <x:c r="E2920" s="34" t="str">
        <x:v>Line</x:v>
      </x:c>
      <x:c r="F2920" s="34" t="n">
        <x:v>777</x:v>
      </x:c>
      <x:c r="G2920" s="34" t="str">
        <x:v>RECORDED</x:v>
      </x:c>
      <x:c r="H2920" s="38" t="n">
        <x:f>IF(ISNUMBER('Data'!H1212),'Data'!H1212*100,"")</x:f>
        <x:v>44.4</x:v>
      </x:c>
      <x:c r="I2920" s="34" t="str">
        <x:v>PASS</x:v>
      </x:c>
      <x:c r="J2920" s="34" t="str">
        <x:v>PASS</x:v>
      </x:c>
      <x:c r="K2920" s="34" t="str">
        <x:v>PASS</x:v>
      </x:c>
      <x:c r="L2920" s="34" t="str">
        <x:v>FAIL</x:v>
      </x:c>
      <x:c r="M2920" s="34" t="str">
        <x:v>numeric coverage for applicable metric</x:v>
      </x:c>
      <x:c r="N2920" s="34" t="str">
        <x:v>Feedback-Directed Random Test Generation/Result_Round2/Gson_9/result.json</x:v>
      </x:c>
      <x:c r="O2920" s="38" t="n">
        <x:f>IF(AND(G2920="RECORDED",ISNUMBER(H2920)),H2920,"")</x:f>
        <x:v>44.4</x:v>
      </x:c>
      <x:c r="P2920" s="34" t="str">
        <x:v>INCONCLUSIVE</x:v>
      </x:c>
      <x:c r="Q2920" s="34" t="str">
        <x:v>Feedback-Directed Random Test Generation/Result_Round2/Gson_9/result.json</x:v>
      </x:c>
    </x:row>
    <x:row r="2921">
      <x:c r="A2921" s="34" t="str">
        <x:v>randoop</x:v>
      </x:c>
      <x:c r="B2921" s="34" t="str">
        <x:v>Gson</x:v>
      </x:c>
      <x:c r="C2921" s="34" t="str">
        <x:v>Round2</x:v>
      </x:c>
      <x:c r="D2921" s="34" t="str">
        <x:v>Gson_10</x:v>
      </x:c>
      <x:c r="E2921" s="34" t="str">
        <x:v>Line</x:v>
      </x:c>
      <x:c r="F2921" s="34" t="n">
        <x:v>117</x:v>
      </x:c>
      <x:c r="G2921" s="34" t="str">
        <x:v>RECORDED</x:v>
      </x:c>
      <x:c r="H2921" s="38" t="n">
        <x:f>IF(ISNUMBER('Data'!H1213),'Data'!H1213*100,"")</x:f>
        <x:v>16.24</x:v>
      </x:c>
      <x:c r="I2921" s="34" t="str">
        <x:v>PASS</x:v>
      </x:c>
      <x:c r="J2921" s="34" t="str">
        <x:v>PASS</x:v>
      </x:c>
      <x:c r="K2921" s="34" t="str">
        <x:v>PASS</x:v>
      </x:c>
      <x:c r="L2921" s="34" t="str">
        <x:v>FAIL</x:v>
      </x:c>
      <x:c r="M2921" s="34" t="str">
        <x:v>numeric coverage for applicable metric</x:v>
      </x:c>
      <x:c r="N2921" s="34" t="str">
        <x:v>Feedback-Directed Random Test Generation/Result_Round2/Gson_10/result.json</x:v>
      </x:c>
      <x:c r="O2921" s="38" t="n">
        <x:f>IF(AND(G2921="RECORDED",ISNUMBER(H2921)),H2921,"")</x:f>
        <x:v>16.24</x:v>
      </x:c>
      <x:c r="P2921" s="34" t="str">
        <x:v>INCONCLUSIVE</x:v>
      </x:c>
      <x:c r="Q2921" s="34" t="str">
        <x:v>Feedback-Directed Random Test Generation/Result_Round2/Gson_10/result.json</x:v>
      </x:c>
    </x:row>
    <x:row r="2922">
      <x:c r="A2922" s="34" t="str">
        <x:v>randoop</x:v>
      </x:c>
      <x:c r="B2922" s="34" t="str">
        <x:v>Gson</x:v>
      </x:c>
      <x:c r="C2922" s="34" t="str">
        <x:v>Round2</x:v>
      </x:c>
      <x:c r="D2922" s="34" t="str">
        <x:v>Gson_11</x:v>
      </x:c>
      <x:c r="E2922" s="34" t="str">
        <x:v>Line</x:v>
      </x:c>
      <x:c r="F2922" s="34" t="n">
        <x:v>500</x:v>
      </x:c>
      <x:c r="G2922" s="34" t="str">
        <x:v>RECORDED</x:v>
      </x:c>
      <x:c r="H2922" s="38" t="n">
        <x:f>IF(ISNUMBER('Data'!H1214),'Data'!H1214*100,"")</x:f>
        <x:v>21.4</x:v>
      </x:c>
      <x:c r="I2922" s="34" t="str">
        <x:v>PASS</x:v>
      </x:c>
      <x:c r="J2922" s="34" t="str">
        <x:v>PASS</x:v>
      </x:c>
      <x:c r="K2922" s="34" t="str">
        <x:v>PASS</x:v>
      </x:c>
      <x:c r="L2922" s="34" t="str">
        <x:v>PASS</x:v>
      </x:c>
      <x:c r="M2922" s="34" t="str">
        <x:v>numeric coverage for applicable metric</x:v>
      </x:c>
      <x:c r="N2922" s="34" t="str">
        <x:v>Feedback-Directed Random Test Generation/Result_Round2/Gson_11/result.json</x:v>
      </x:c>
      <x:c r="O2922" s="38" t="n">
        <x:f>IF(AND(G2922="RECORDED",ISNUMBER(H2922)),H2922,"")</x:f>
        <x:v>21.4</x:v>
      </x:c>
      <x:c r="P2922" s="34" t="str">
        <x:v>NOT_REVEALING</x:v>
      </x:c>
      <x:c r="Q2922" s="34" t="str">
        <x:v>Feedback-Directed Random Test Generation/Result_Round2/Gson_11/result.json</x:v>
      </x:c>
    </x:row>
    <x:row r="2923">
      <x:c r="A2923" s="34" t="str">
        <x:v>randoop</x:v>
      </x:c>
      <x:c r="B2923" s="34" t="str">
        <x:v>Gson</x:v>
      </x:c>
      <x:c r="C2923" s="34" t="str">
        <x:v>Round2</x:v>
      </x:c>
      <x:c r="D2923" s="34" t="str">
        <x:v>Gson_12</x:v>
      </x:c>
      <x:c r="E2923" s="34" t="str">
        <x:v>Line</x:v>
      </x:c>
      <x:c r="F2923" s="34" t="n">
        <x:v>168</x:v>
      </x:c>
      <x:c r="G2923" s="34" t="str">
        <x:v>RECORDED</x:v>
      </x:c>
      <x:c r="H2923" s="38" t="n">
        <x:f>IF(ISNUMBER('Data'!H1215),'Data'!H1215*100,"")</x:f>
        <x:v>28.57</x:v>
      </x:c>
      <x:c r="I2923" s="34" t="str">
        <x:v>PASS</x:v>
      </x:c>
      <x:c r="J2923" s="34" t="str">
        <x:v>PASS</x:v>
      </x:c>
      <x:c r="K2923" s="34" t="str">
        <x:v>PASS</x:v>
      </x:c>
      <x:c r="L2923" s="34" t="str">
        <x:v>FAIL</x:v>
      </x:c>
      <x:c r="M2923" s="34" t="str">
        <x:v>numeric coverage for applicable metric</x:v>
      </x:c>
      <x:c r="N2923" s="34" t="str">
        <x:v>Feedback-Directed Random Test Generation/Result_Round2/Gson_12/result.json</x:v>
      </x:c>
      <x:c r="O2923" s="38" t="n">
        <x:f>IF(AND(G2923="RECORDED",ISNUMBER(H2923)),H2923,"")</x:f>
        <x:v>28.57</x:v>
      </x:c>
      <x:c r="P2923" s="34" t="str">
        <x:v>INCONCLUSIVE</x:v>
      </x:c>
      <x:c r="Q2923" s="34" t="str">
        <x:v>Feedback-Directed Random Test Generation/Result_Round2/Gson_12/result.json</x:v>
      </x:c>
    </x:row>
    <x:row r="2924">
      <x:c r="A2924" s="34" t="str">
        <x:v>randoop</x:v>
      </x:c>
      <x:c r="B2924" s="34" t="str">
        <x:v>Gson</x:v>
      </x:c>
      <x:c r="C2924" s="34" t="str">
        <x:v>Round2</x:v>
      </x:c>
      <x:c r="D2924" s="34" t="str">
        <x:v>Gson_13</x:v>
      </x:c>
      <x:c r="E2924" s="34" t="str">
        <x:v>Line</x:v>
      </x:c>
      <x:c r="F2924" s="34" t="n">
        <x:v>683</x:v>
      </x:c>
      <x:c r="G2924" s="34" t="str">
        <x:v>RECORDED</x:v>
      </x:c>
      <x:c r="H2924" s="38" t="n">
        <x:f>IF(ISNUMBER('Data'!H1216),'Data'!H1216*100,"")</x:f>
        <x:v>2.78</x:v>
      </x:c>
      <x:c r="I2924" s="34" t="str">
        <x:v>PASS</x:v>
      </x:c>
      <x:c r="J2924" s="34" t="str">
        <x:v>PASS</x:v>
      </x:c>
      <x:c r="K2924" s="34" t="str">
        <x:v>PASS</x:v>
      </x:c>
      <x:c r="L2924" s="34" t="str">
        <x:v>PASS</x:v>
      </x:c>
      <x:c r="M2924" s="34" t="str">
        <x:v>numeric coverage for applicable metric</x:v>
      </x:c>
      <x:c r="N2924" s="34" t="str">
        <x:v>Feedback-Directed Random Test Generation/Result_Round2/Gson_13/result.json</x:v>
      </x:c>
      <x:c r="O2924" s="38" t="n">
        <x:f>IF(AND(G2924="RECORDED",ISNUMBER(H2924)),H2924,"")</x:f>
        <x:v>2.78</x:v>
      </x:c>
      <x:c r="P2924" s="34" t="str">
        <x:v>NOT_REVEALING</x:v>
      </x:c>
      <x:c r="Q2924" s="34" t="str">
        <x:v>Feedback-Directed Random Test Generation/Result_Round2/Gson_13/result.json</x:v>
      </x:c>
    </x:row>
    <x:row r="2925">
      <x:c r="A2925" s="34" t="str">
        <x:v>randoop</x:v>
      </x:c>
      <x:c r="B2925" s="34" t="str">
        <x:v>Gson</x:v>
      </x:c>
      <x:c r="C2925" s="34" t="str">
        <x:v>Round2</x:v>
      </x:c>
      <x:c r="D2925" s="34" t="str">
        <x:v>Gson_14</x:v>
      </x:c>
      <x:c r="E2925" s="34" t="str">
        <x:v>Line</x:v>
      </x:c>
      <x:c r="F2925" s="34" t="n">
        <x:v>243</x:v>
      </x:c>
      <x:c r="G2925" s="34" t="str">
        <x:v>RECORDED</x:v>
      </x:c>
      <x:c r="H2925" s="38" t="n">
        <x:f>IF(ISNUMBER('Data'!H1217),'Data'!H1217*100,"")</x:f>
        <x:v>0.4099999999999999</x:v>
      </x:c>
      <x:c r="I2925" s="34" t="str">
        <x:v>PASS</x:v>
      </x:c>
      <x:c r="J2925" s="34" t="str">
        <x:v>PASS</x:v>
      </x:c>
      <x:c r="K2925" s="34" t="str">
        <x:v>PASS</x:v>
      </x:c>
      <x:c r="L2925" s="34" t="str">
        <x:v>PASS</x:v>
      </x:c>
      <x:c r="M2925" s="34" t="str">
        <x:v>numeric coverage for applicable metric</x:v>
      </x:c>
      <x:c r="N2925" s="34" t="str">
        <x:v>Feedback-Directed Random Test Generation/Result_Round2/Gson_14/result.json</x:v>
      </x:c>
      <x:c r="O2925" s="38" t="n">
        <x:f>IF(AND(G2925="RECORDED",ISNUMBER(H2925)),H2925,"")</x:f>
        <x:v>0.4099999999999999</x:v>
      </x:c>
      <x:c r="P2925" s="34" t="str">
        <x:v>NOT_REVEALING</x:v>
      </x:c>
      <x:c r="Q2925" s="34" t="str">
        <x:v>Feedback-Directed Random Test Generation/Result_Round2/Gson_14/result.json</x:v>
      </x:c>
    </x:row>
    <x:row r="2926">
      <x:c r="A2926" s="34" t="str">
        <x:v>randoop</x:v>
      </x:c>
      <x:c r="B2926" s="34" t="str">
        <x:v>Gson</x:v>
      </x:c>
      <x:c r="C2926" s="34" t="str">
        <x:v>Round2</x:v>
      </x:c>
      <x:c r="D2926" s="34" t="str">
        <x:v>Gson_15</x:v>
      </x:c>
      <x:c r="E2926" s="34" t="str">
        <x:v>Line</x:v>
      </x:c>
      <x:c r="F2926" s="34" t="n">
        <x:v>198</x:v>
      </x:c>
      <x:c r="G2926" s="34" t="str">
        <x:v>RECORDED</x:v>
      </x:c>
      <x:c r="H2926" s="38" t="n">
        <x:f>IF(ISNUMBER('Data'!H1218),'Data'!H1218*100,"")</x:f>
        <x:v>14.14</x:v>
      </x:c>
      <x:c r="I2926" s="34" t="str">
        <x:v>PASS</x:v>
      </x:c>
      <x:c r="J2926" s="34" t="str">
        <x:v>PASS</x:v>
      </x:c>
      <x:c r="K2926" s="34" t="str">
        <x:v>PASS</x:v>
      </x:c>
      <x:c r="L2926" s="34" t="str">
        <x:v>PASS</x:v>
      </x:c>
      <x:c r="M2926" s="34" t="str">
        <x:v>numeric coverage for applicable metric</x:v>
      </x:c>
      <x:c r="N2926" s="34" t="str">
        <x:v>Feedback-Directed Random Test Generation/Result_Round2/Gson_15/result.json</x:v>
      </x:c>
      <x:c r="O2926" s="38" t="n">
        <x:f>IF(AND(G2926="RECORDED",ISNUMBER(H2926)),H2926,"")</x:f>
        <x:v>14.14</x:v>
      </x:c>
      <x:c r="P2926" s="34" t="str">
        <x:v>NOT_REVEALING</x:v>
      </x:c>
      <x:c r="Q2926" s="34" t="str">
        <x:v>Feedback-Directed Random Test Generation/Result_Round2/Gson_15/result.json</x:v>
      </x:c>
    </x:row>
    <x:row r="2927">
      <x:c r="A2927" s="34" t="str">
        <x:v>randoop</x:v>
      </x:c>
      <x:c r="B2927" s="34" t="str">
        <x:v>Gson</x:v>
      </x:c>
      <x:c r="C2927" s="34" t="str">
        <x:v>Round2</x:v>
      </x:c>
      <x:c r="D2927" s="34" t="str">
        <x:v>Gson_16</x:v>
      </x:c>
      <x:c r="E2927" s="34" t="str">
        <x:v>Line</x:v>
      </x:c>
      <x:c r="F2927" s="34" t="n">
        <x:v>248</x:v>
      </x:c>
      <x:c r="G2927" s="34" t="str">
        <x:v>RECORDED</x:v>
      </x:c>
      <x:c r="H2927" s="38" t="n">
        <x:f>IF(ISNUMBER('Data'!H1219),'Data'!H1219*100,"")</x:f>
        <x:v>0.4</x:v>
      </x:c>
      <x:c r="I2927" s="34" t="str">
        <x:v>PASS</x:v>
      </x:c>
      <x:c r="J2927" s="34" t="str">
        <x:v>PASS</x:v>
      </x:c>
      <x:c r="K2927" s="34" t="str">
        <x:v>PASS</x:v>
      </x:c>
      <x:c r="L2927" s="34" t="str">
        <x:v>PASS</x:v>
      </x:c>
      <x:c r="M2927" s="34" t="str">
        <x:v>numeric coverage for applicable metric</x:v>
      </x:c>
      <x:c r="N2927" s="34" t="str">
        <x:v>Feedback-Directed Random Test Generation/Result_Round2/Gson_16/result.json</x:v>
      </x:c>
      <x:c r="O2927" s="38" t="n">
        <x:f>IF(AND(G2927="RECORDED",ISNUMBER(H2927)),H2927,"")</x:f>
        <x:v>0.4</x:v>
      </x:c>
      <x:c r="P2927" s="34" t="str">
        <x:v>NOT_REVEALING</x:v>
      </x:c>
      <x:c r="Q2927" s="34" t="str">
        <x:v>Feedback-Directed Random Test Generation/Result_Round2/Gson_16/result.json</x:v>
      </x:c>
    </x:row>
    <x:row r="2928">
      <x:c r="A2928" s="34" t="str">
        <x:v>randoop</x:v>
      </x:c>
      <x:c r="B2928" s="34" t="str">
        <x:v>Gson</x:v>
      </x:c>
      <x:c r="C2928" s="34" t="str">
        <x:v>Round2</x:v>
      </x:c>
      <x:c r="D2928" s="34" t="str">
        <x:v>Gson_17</x:v>
      </x:c>
      <x:c r="E2928" s="34" t="str">
        <x:v>Line</x:v>
      </x:c>
      <x:c r="F2928" s="34" t="n">
        <x:v>55</x:v>
      </x:c>
      <x:c r="G2928" s="34" t="str">
        <x:v>RECORDED</x:v>
      </x:c>
      <x:c r="H2928" s="38" t="n">
        <x:f>IF(ISNUMBER('Data'!H1220),'Data'!H1220*100,"")</x:f>
        <x:v>36.36</x:v>
      </x:c>
      <x:c r="I2928" s="34" t="str">
        <x:v>PASS</x:v>
      </x:c>
      <x:c r="J2928" s="34" t="str">
        <x:v>PASS</x:v>
      </x:c>
      <x:c r="K2928" s="34" t="str">
        <x:v>PASS</x:v>
      </x:c>
      <x:c r="L2928" s="34" t="str">
        <x:v>FAIL</x:v>
      </x:c>
      <x:c r="M2928" s="34" t="str">
        <x:v>numeric coverage for applicable metric</x:v>
      </x:c>
      <x:c r="N2928" s="34" t="str">
        <x:v>Feedback-Directed Random Test Generation/Result_Round2/Gson_17/result.json</x:v>
      </x:c>
      <x:c r="O2928" s="38" t="n">
        <x:f>IF(AND(G2928="RECORDED",ISNUMBER(H2928)),H2928,"")</x:f>
        <x:v>36.36</x:v>
      </x:c>
      <x:c r="P2928" s="34" t="str">
        <x:v>INCONCLUSIVE</x:v>
      </x:c>
      <x:c r="Q2928" s="34" t="str">
        <x:v>Feedback-Directed Random Test Generation/Result_Round2/Gson_17/result.json</x:v>
      </x:c>
    </x:row>
    <x:row r="2929">
      <x:c r="A2929" s="34" t="str">
        <x:v>randoop</x:v>
      </x:c>
      <x:c r="B2929" s="34" t="str">
        <x:v>Gson</x:v>
      </x:c>
      <x:c r="C2929" s="34" t="str">
        <x:v>Round2</x:v>
      </x:c>
      <x:c r="D2929" s="34" t="str">
        <x:v>Gson_18</x:v>
      </x:c>
      <x:c r="E2929" s="34" t="str">
        <x:v>Line</x:v>
      </x:c>
      <x:c r="F2929" s="34" t="n">
        <x:v>251</x:v>
      </x:c>
      <x:c r="G2929" s="34" t="str">
        <x:v>RECORDED</x:v>
      </x:c>
      <x:c r="H2929" s="38" t="n">
        <x:f>IF(ISNUMBER('Data'!H1221),'Data'!H1221*100,"")</x:f>
        <x:v>0.4</x:v>
      </x:c>
      <x:c r="I2929" s="34" t="str">
        <x:v>PASS</x:v>
      </x:c>
      <x:c r="J2929" s="34" t="str">
        <x:v>PASS</x:v>
      </x:c>
      <x:c r="K2929" s="34" t="str">
        <x:v>PASS</x:v>
      </x:c>
      <x:c r="L2929" s="34" t="str">
        <x:v>PASS</x:v>
      </x:c>
      <x:c r="M2929" s="34" t="str">
        <x:v>numeric coverage for applicable metric</x:v>
      </x:c>
      <x:c r="N2929" s="34" t="str">
        <x:v>Feedback-Directed Random Test Generation/Result_Round2/Gson_18/result.json</x:v>
      </x:c>
      <x:c r="O2929" s="38" t="n">
        <x:f>IF(AND(G2929="RECORDED",ISNUMBER(H2929)),H2929,"")</x:f>
        <x:v>0.4</x:v>
      </x:c>
      <x:c r="P2929" s="34" t="str">
        <x:v>NOT_REVEALING</x:v>
      </x:c>
      <x:c r="Q2929" s="34" t="str">
        <x:v>Feedback-Directed Random Test Generation/Result_Round2/Gson_18/result.json</x:v>
      </x:c>
    </x:row>
    <x:row r="2930">
      <x:c r="A2930" s="34" t="str">
        <x:v>randoop</x:v>
      </x:c>
      <x:c r="B2930" s="34" t="str">
        <x:v>JacksonCore</x:v>
      </x:c>
      <x:c r="C2930" s="34" t="str">
        <x:v>Round2</x:v>
      </x:c>
      <x:c r="D2930" s="34" t="str">
        <x:v>JacksonCore_1</x:v>
      </x:c>
      <x:c r="E2930" s="34" t="str">
        <x:v>Line</x:v>
      </x:c>
      <x:c r="F2930" s="34" t="n">
        <x:v>398</x:v>
      </x:c>
      <x:c r="G2930" s="34" t="str">
        <x:v>RECORDED</x:v>
      </x:c>
      <x:c r="H2930" s="38" t="n">
        <x:f>IF(ISNUMBER('Data'!H1222),'Data'!H1222*100,"")</x:f>
        <x:v>76.13</x:v>
      </x:c>
      <x:c r="I2930" s="34" t="str">
        <x:v>PASS</x:v>
      </x:c>
      <x:c r="J2930" s="34" t="str">
        <x:v>PASS</x:v>
      </x:c>
      <x:c r="K2930" s="34" t="str">
        <x:v>PASS</x:v>
      </x:c>
      <x:c r="L2930" s="34" t="str">
        <x:v>PASS</x:v>
      </x:c>
      <x:c r="M2930" s="34" t="str">
        <x:v>numeric coverage for applicable metric</x:v>
      </x:c>
      <x:c r="N2930" s="34" t="str">
        <x:v>Feedback-Directed Random Test Generation/Result_Round2/JacksonCore_1/result.json</x:v>
      </x:c>
      <x:c r="O2930" s="38" t="n">
        <x:f>IF(AND(G2930="RECORDED",ISNUMBER(H2930)),H2930,"")</x:f>
        <x:v>76.13</x:v>
      </x:c>
      <x:c r="P2930" s="34" t="str">
        <x:v>INCONCLUSIVE</x:v>
      </x:c>
      <x:c r="Q2930" s="34" t="str">
        <x:v>Feedback-Directed Random Test Generation/Result_Round2/JacksonCore_1/result.json</x:v>
      </x:c>
    </x:row>
    <x:row r="2931">
      <x:c r="A2931" s="34" t="str">
        <x:v>randoop</x:v>
      </x:c>
      <x:c r="B2931" s="34" t="str">
        <x:v>JacksonCore</x:v>
      </x:c>
      <x:c r="C2931" s="34" t="str">
        <x:v>Round2</x:v>
      </x:c>
      <x:c r="D2931" s="34" t="str">
        <x:v>JacksonCore_2</x:v>
      </x:c>
      <x:c r="E2931" s="34" t="str">
        <x:v>Line</x:v>
      </x:c>
      <x:c r="F2931" s="34" t="n">
        <x:v>2463</x:v>
      </x:c>
      <x:c r="G2931" s="34" t="str">
        <x:v>RECORDED</x:v>
      </x:c>
      <x:c r="H2931" s="38" t="n">
        <x:f>IF(ISNUMBER('Data'!H1223),'Data'!H1223*100,"")</x:f>
        <x:v>0.4099999999999999</x:v>
      </x:c>
      <x:c r="I2931" s="34" t="str">
        <x:v>PASS</x:v>
      </x:c>
      <x:c r="J2931" s="34" t="str">
        <x:v>PASS</x:v>
      </x:c>
      <x:c r="K2931" s="34" t="str">
        <x:v>PASS</x:v>
      </x:c>
      <x:c r="L2931" s="34" t="str">
        <x:v>PASS</x:v>
      </x:c>
      <x:c r="M2931" s="34" t="str">
        <x:v>numeric coverage for applicable metric</x:v>
      </x:c>
      <x:c r="N2931" s="34" t="str">
        <x:v>Feedback-Directed Random Test Generation/Result_Round2/JacksonCore_2/result.json</x:v>
      </x:c>
      <x:c r="O2931" s="38" t="n">
        <x:f>IF(AND(G2931="RECORDED",ISNUMBER(H2931)),H2931,"")</x:f>
        <x:v>0.4099999999999999</x:v>
      </x:c>
      <x:c r="P2931" s="34" t="str">
        <x:v>NOT_REVEALING</x:v>
      </x:c>
      <x:c r="Q2931" s="34" t="str">
        <x:v>Feedback-Directed Random Test Generation/Result_Round2/JacksonCore_2/result.json</x:v>
      </x:c>
    </x:row>
    <x:row r="2932">
      <x:c r="A2932" s="34" t="str">
        <x:v>randoop</x:v>
      </x:c>
      <x:c r="B2932" s="34" t="str">
        <x:v>JacksonCore</x:v>
      </x:c>
      <x:c r="C2932" s="34" t="str">
        <x:v>Round2</x:v>
      </x:c>
      <x:c r="D2932" s="34" t="str">
        <x:v>JacksonCore_3</x:v>
      </x:c>
      <x:c r="E2932" s="34" t="str">
        <x:v>Line</x:v>
      </x:c>
      <x:c r="F2932" s="34" t="n">
        <x:v>1538</x:v>
      </x:c>
      <x:c r="G2932" s="34" t="str">
        <x:v>RECORDED</x:v>
      </x:c>
      <x:c r="H2932" s="38" t="n">
        <x:f>IF(ISNUMBER('Data'!H1224),'Data'!H1224*100,"")</x:f>
        <x:v>0.45999999999999996</x:v>
      </x:c>
      <x:c r="I2932" s="34" t="str">
        <x:v>PASS</x:v>
      </x:c>
      <x:c r="J2932" s="34" t="str">
        <x:v>PASS</x:v>
      </x:c>
      <x:c r="K2932" s="34" t="str">
        <x:v>PASS</x:v>
      </x:c>
      <x:c r="L2932" s="34" t="str">
        <x:v>PASS</x:v>
      </x:c>
      <x:c r="M2932" s="34" t="str">
        <x:v>numeric coverage for applicable metric</x:v>
      </x:c>
      <x:c r="N2932" s="34" t="str">
        <x:v>Feedback-Directed Random Test Generation/Result_Round2/JacksonCore_3/result.json</x:v>
      </x:c>
      <x:c r="O2932" s="38" t="n">
        <x:f>IF(AND(G2932="RECORDED",ISNUMBER(H2932)),H2932,"")</x:f>
        <x:v>0.45999999999999996</x:v>
      </x:c>
      <x:c r="P2932" s="34" t="str">
        <x:v>NOT_REVEALING</x:v>
      </x:c>
      <x:c r="Q2932" s="34" t="str">
        <x:v>Feedback-Directed Random Test Generation/Result_Round2/JacksonCore_3/result.json</x:v>
      </x:c>
    </x:row>
    <x:row r="2933">
      <x:c r="A2933" s="34" t="str">
        <x:v>randoop</x:v>
      </x:c>
      <x:c r="B2933" s="34" t="str">
        <x:v>JacksonCore</x:v>
      </x:c>
      <x:c r="C2933" s="34" t="str">
        <x:v>Round2</x:v>
      </x:c>
      <x:c r="D2933" s="34" t="str">
        <x:v>JacksonCore_4</x:v>
      </x:c>
      <x:c r="E2933" s="34" t="str">
        <x:v>Line</x:v>
      </x:c>
      <x:c r="F2933" s="34" t="n">
        <x:v>262</x:v>
      </x:c>
      <x:c r="G2933" s="34" t="str">
        <x:v>RECORDED</x:v>
      </x:c>
      <x:c r="H2933" s="38" t="n">
        <x:f>IF(ISNUMBER('Data'!H1225),'Data'!H1225*100,"")</x:f>
        <x:v>84.35</x:v>
      </x:c>
      <x:c r="I2933" s="34" t="str">
        <x:v>PASS</x:v>
      </x:c>
      <x:c r="J2933" s="34" t="str">
        <x:v>PASS</x:v>
      </x:c>
      <x:c r="K2933" s="34" t="str">
        <x:v>PASS</x:v>
      </x:c>
      <x:c r="L2933" s="34" t="str">
        <x:v>PASS</x:v>
      </x:c>
      <x:c r="M2933" s="34" t="str">
        <x:v>numeric coverage for applicable metric</x:v>
      </x:c>
      <x:c r="N2933" s="34" t="str">
        <x:v>Feedback-Directed Random Test Generation/Result_Round2/JacksonCore_4/result.json</x:v>
      </x:c>
      <x:c r="O2933" s="38" t="n">
        <x:f>IF(AND(G2933="RECORDED",ISNUMBER(H2933)),H2933,"")</x:f>
        <x:v>84.35</x:v>
      </x:c>
      <x:c r="P2933" s="34" t="str">
        <x:v>NOT_REVEALING</x:v>
      </x:c>
      <x:c r="Q2933" s="34" t="str">
        <x:v>Feedback-Directed Random Test Generation/Result_Round2/JacksonCore_4/result.json</x:v>
      </x:c>
    </x:row>
    <x:row r="2934">
      <x:c r="A2934" s="34" t="str">
        <x:v>randoop</x:v>
      </x:c>
      <x:c r="B2934" s="34" t="str">
        <x:v>JacksonCore</x:v>
      </x:c>
      <x:c r="C2934" s="34" t="str">
        <x:v>Round2</x:v>
      </x:c>
      <x:c r="D2934" s="34" t="str">
        <x:v>JacksonCore_5</x:v>
      </x:c>
      <x:c r="E2934" s="34" t="str">
        <x:v>Line</x:v>
      </x:c>
      <x:c r="F2934" s="34" t="n">
        <x:v>84</x:v>
      </x:c>
      <x:c r="G2934" s="34" t="str">
        <x:v>RECORDED</x:v>
      </x:c>
      <x:c r="H2934" s="38" t="n">
        <x:f>IF(ISNUMBER('Data'!H1226),'Data'!H1226*100,"")</x:f>
        <x:v>79.76</x:v>
      </x:c>
      <x:c r="I2934" s="34" t="str">
        <x:v>PASS</x:v>
      </x:c>
      <x:c r="J2934" s="34" t="str">
        <x:v>PASS</x:v>
      </x:c>
      <x:c r="K2934" s="34" t="str">
        <x:v>PASS</x:v>
      </x:c>
      <x:c r="L2934" s="34" t="str">
        <x:v>PASS</x:v>
      </x:c>
      <x:c r="M2934" s="34" t="str">
        <x:v>numeric coverage for applicable metric</x:v>
      </x:c>
      <x:c r="N2934" s="34" t="str">
        <x:v>Feedback-Directed Random Test Generation/Result_Round2/JacksonCore_5/result.json</x:v>
      </x:c>
      <x:c r="O2934" s="38" t="n">
        <x:f>IF(AND(G2934="RECORDED",ISNUMBER(H2934)),H2934,"")</x:f>
        <x:v>79.76</x:v>
      </x:c>
      <x:c r="P2934" s="34" t="str">
        <x:v>NOT_REVEALING</x:v>
      </x:c>
      <x:c r="Q2934" s="34" t="str">
        <x:v>Feedback-Directed Random Test Generation/Result_Round2/JacksonCore_5/result.json</x:v>
      </x:c>
    </x:row>
    <x:row r="2935">
      <x:c r="A2935" s="34" t="str">
        <x:v>randoop</x:v>
      </x:c>
      <x:c r="B2935" s="34" t="str">
        <x:v>JacksonCore</x:v>
      </x:c>
      <x:c r="C2935" s="34" t="str">
        <x:v>Round2</x:v>
      </x:c>
      <x:c r="D2935" s="34" t="str">
        <x:v>JacksonCore_6</x:v>
      </x:c>
      <x:c r="E2935" s="34" t="str">
        <x:v>Line</x:v>
      </x:c>
      <x:c r="F2935" s="34" t="n">
        <x:v>84</x:v>
      </x:c>
      <x:c r="G2935" s="34" t="str">
        <x:v>RECORDED</x:v>
      </x:c>
      <x:c r="H2935" s="38" t="n">
        <x:f>IF(ISNUMBER('Data'!H1227),'Data'!H1227*100,"")</x:f>
        <x:v>79.76</x:v>
      </x:c>
      <x:c r="I2935" s="34" t="str">
        <x:v>PASS</x:v>
      </x:c>
      <x:c r="J2935" s="34" t="str">
        <x:v>PASS</x:v>
      </x:c>
      <x:c r="K2935" s="34" t="str">
        <x:v>PASS</x:v>
      </x:c>
      <x:c r="L2935" s="34" t="str">
        <x:v>PASS</x:v>
      </x:c>
      <x:c r="M2935" s="34" t="str">
        <x:v>numeric coverage for applicable metric</x:v>
      </x:c>
      <x:c r="N2935" s="34" t="str">
        <x:v>Feedback-Directed Random Test Generation/Result_Round2/JacksonCore_6/result.json</x:v>
      </x:c>
      <x:c r="O2935" s="38" t="n">
        <x:f>IF(AND(G2935="RECORDED",ISNUMBER(H2935)),H2935,"")</x:f>
        <x:v>79.76</x:v>
      </x:c>
      <x:c r="P2935" s="34" t="str">
        <x:v>NOT_REVEALING</x:v>
      </x:c>
      <x:c r="Q2935" s="34" t="str">
        <x:v>Feedback-Directed Random Test Generation/Result_Round2/JacksonCore_6/result.json</x:v>
      </x:c>
    </x:row>
    <x:row r="2936">
      <x:c r="A2936" s="34" t="str">
        <x:v>randoop</x:v>
      </x:c>
      <x:c r="B2936" s="34" t="str">
        <x:v>JacksonCore</x:v>
      </x:c>
      <x:c r="C2936" s="34" t="str">
        <x:v>Round2</x:v>
      </x:c>
      <x:c r="D2936" s="34" t="str">
        <x:v>JacksonCore_7</x:v>
      </x:c>
      <x:c r="E2936" s="34" t="str">
        <x:v>Line</x:v>
      </x:c>
      <x:c r="F2936" s="34" t="n">
        <x:v>70</x:v>
      </x:c>
      <x:c r="G2936" s="34" t="str">
        <x:v>RECORDED</x:v>
      </x:c>
      <x:c r="H2936" s="38" t="n">
        <x:f>IF(ISNUMBER('Data'!H1228),'Data'!H1228*100,"")</x:f>
        <x:v>65.71</x:v>
      </x:c>
      <x:c r="I2936" s="34" t="str">
        <x:v>PASS</x:v>
      </x:c>
      <x:c r="J2936" s="34" t="str">
        <x:v>PASS</x:v>
      </x:c>
      <x:c r="K2936" s="34" t="str">
        <x:v>PASS</x:v>
      </x:c>
      <x:c r="L2936" s="34" t="str">
        <x:v>PASS</x:v>
      </x:c>
      <x:c r="M2936" s="34" t="str">
        <x:v>numeric coverage for applicable metric</x:v>
      </x:c>
      <x:c r="N2936" s="34" t="str">
        <x:v>Feedback-Directed Random Test Generation/Result_Round2/JacksonCore_7/result.json</x:v>
      </x:c>
      <x:c r="O2936" s="38" t="n">
        <x:f>IF(AND(G2936="RECORDED",ISNUMBER(H2936)),H2936,"")</x:f>
        <x:v>65.71</x:v>
      </x:c>
      <x:c r="P2936" s="34" t="str">
        <x:v>INCONCLUSIVE</x:v>
      </x:c>
      <x:c r="Q2936" s="34" t="str">
        <x:v>Feedback-Directed Random Test Generation/Result_Round2/JacksonCore_7/result.json</x:v>
      </x:c>
    </x:row>
    <x:row r="2937">
      <x:c r="A2937" s="34" t="str">
        <x:v>randoop</x:v>
      </x:c>
      <x:c r="B2937" s="34" t="str">
        <x:v>JacksonCore</x:v>
      </x:c>
      <x:c r="C2937" s="34" t="str">
        <x:v>Round2</x:v>
      </x:c>
      <x:c r="D2937" s="34" t="str">
        <x:v>JacksonCore_8</x:v>
      </x:c>
      <x:c r="E2937" s="34" t="str">
        <x:v>Line</x:v>
      </x:c>
      <x:c r="F2937" s="34" t="n">
        <x:v>271</x:v>
      </x:c>
      <x:c r="G2937" s="34" t="str">
        <x:v>RECORDED</x:v>
      </x:c>
      <x:c r="H2937" s="38" t="n">
        <x:f>IF(ISNUMBER('Data'!H1229),'Data'!H1229*100,"")</x:f>
        <x:v>77.86</x:v>
      </x:c>
      <x:c r="I2937" s="34" t="str">
        <x:v>PASS</x:v>
      </x:c>
      <x:c r="J2937" s="34" t="str">
        <x:v>PASS</x:v>
      </x:c>
      <x:c r="K2937" s="34" t="str">
        <x:v>PASS</x:v>
      </x:c>
      <x:c r="L2937" s="34" t="str">
        <x:v>PASS</x:v>
      </x:c>
      <x:c r="M2937" s="34" t="str">
        <x:v>numeric coverage for applicable metric</x:v>
      </x:c>
      <x:c r="N2937" s="34" t="str">
        <x:v>Feedback-Directed Random Test Generation/Result_Round2/JacksonCore_8/result.json</x:v>
      </x:c>
      <x:c r="O2937" s="38" t="n">
        <x:f>IF(AND(G2937="RECORDED",ISNUMBER(H2937)),H2937,"")</x:f>
        <x:v>77.86</x:v>
      </x:c>
      <x:c r="P2937" s="34" t="str">
        <x:v>INCONCLUSIVE</x:v>
      </x:c>
      <x:c r="Q2937" s="34" t="str">
        <x:v>Feedback-Directed Random Test Generation/Result_Round2/JacksonCore_8/result.json</x:v>
      </x:c>
    </x:row>
    <x:row r="2938">
      <x:c r="A2938" s="34" t="str">
        <x:v>randoop</x:v>
      </x:c>
      <x:c r="B2938" s="34" t="str">
        <x:v>JacksonCore</x:v>
      </x:c>
      <x:c r="C2938" s="34" t="str">
        <x:v>Round2</x:v>
      </x:c>
      <x:c r="D2938" s="34" t="str">
        <x:v>JacksonCore_9</x:v>
      </x:c>
      <x:c r="E2938" s="34" t="str">
        <x:v>Line</x:v>
      </x:c>
      <x:c r="F2938" s="34" t="n">
        <x:v>3116</x:v>
      </x:c>
      <x:c r="G2938" s="34" t="str">
        <x:v>RECORDED</x:v>
      </x:c>
      <x:c r="H2938" s="38" t="n">
        <x:f>IF(ISNUMBER('Data'!H1230),'Data'!H1230*100,"")</x:f>
        <x:v>0.32</x:v>
      </x:c>
      <x:c r="I2938" s="34" t="str">
        <x:v>PASS</x:v>
      </x:c>
      <x:c r="J2938" s="34" t="str">
        <x:v>PASS</x:v>
      </x:c>
      <x:c r="K2938" s="34" t="str">
        <x:v>PASS</x:v>
      </x:c>
      <x:c r="L2938" s="34" t="str">
        <x:v>PASS</x:v>
      </x:c>
      <x:c r="M2938" s="34" t="str">
        <x:v>numeric coverage for applicable metric</x:v>
      </x:c>
      <x:c r="N2938" s="34" t="str">
        <x:v>Feedback-Directed Random Test Generation/Result_Round2/JacksonCore_9/result.json</x:v>
      </x:c>
      <x:c r="O2938" s="38" t="n">
        <x:f>IF(AND(G2938="RECORDED",ISNUMBER(H2938)),H2938,"")</x:f>
        <x:v>0.32</x:v>
      </x:c>
      <x:c r="P2938" s="34" t="str">
        <x:v>NOT_REVEALING</x:v>
      </x:c>
      <x:c r="Q2938" s="34" t="str">
        <x:v>Feedback-Directed Random Test Generation/Result_Round2/JacksonCore_9/result.json</x:v>
      </x:c>
    </x:row>
    <x:row r="2939">
      <x:c r="A2939" s="34" t="str">
        <x:v>randoop</x:v>
      </x:c>
      <x:c r="B2939" s="34" t="str">
        <x:v>JacksonCore</x:v>
      </x:c>
      <x:c r="C2939" s="34" t="str">
        <x:v>Round2</x:v>
      </x:c>
      <x:c r="D2939" s="34" t="str">
        <x:v>JacksonCore_10</x:v>
      </x:c>
      <x:c r="E2939" s="34" t="str">
        <x:v>Line</x:v>
      </x:c>
      <x:c r="F2939" s="34" t="n">
        <x:v>465</x:v>
      </x:c>
      <x:c r="G2939" s="34" t="str">
        <x:v>RECORDED</x:v>
      </x:c>
      <x:c r="H2939" s="38" t="n">
        <x:f>IF(ISNUMBER('Data'!H1231),'Data'!H1231*100,"")</x:f>
        <x:v>49.03</x:v>
      </x:c>
      <x:c r="I2939" s="34" t="str">
        <x:v>PASS</x:v>
      </x:c>
      <x:c r="J2939" s="34" t="str">
        <x:v>PASS</x:v>
      </x:c>
      <x:c r="K2939" s="34" t="str">
        <x:v>PASS</x:v>
      </x:c>
      <x:c r="L2939" s="34" t="str">
        <x:v>FAIL</x:v>
      </x:c>
      <x:c r="M2939" s="34" t="str">
        <x:v>numeric coverage for applicable metric</x:v>
      </x:c>
      <x:c r="N2939" s="34" t="str">
        <x:v>Feedback-Directed Random Test Generation/Result_Round2/JacksonCore_10/result.json</x:v>
      </x:c>
      <x:c r="O2939" s="38" t="n">
        <x:f>IF(AND(G2939="RECORDED",ISNUMBER(H2939)),H2939,"")</x:f>
        <x:v>49.03</x:v>
      </x:c>
      <x:c r="P2939" s="34" t="str">
        <x:v>INCONCLUSIVE</x:v>
      </x:c>
      <x:c r="Q2939" s="34" t="str">
        <x:v>Feedback-Directed Random Test Generation/Result_Round2/JacksonCore_10/result.json</x:v>
      </x:c>
    </x:row>
    <x:row r="2940">
      <x:c r="A2940" s="34" t="str">
        <x:v>randoop</x:v>
      </x:c>
      <x:c r="B2940" s="34" t="str">
        <x:v>JacksonCore</x:v>
      </x:c>
      <x:c r="C2940" s="34" t="str">
        <x:v>Round2</x:v>
      </x:c>
      <x:c r="D2940" s="34" t="str">
        <x:v>JacksonCore_11</x:v>
      </x:c>
      <x:c r="E2940" s="34" t="str">
        <x:v>Line</x:v>
      </x:c>
      <x:c r="F2940" s="34" t="n">
        <x:v>468</x:v>
      </x:c>
      <x:c r="G2940" s="34" t="str">
        <x:v>RECORDED</x:v>
      </x:c>
      <x:c r="H2940" s="38" t="n">
        <x:f>IF(ISNUMBER('Data'!H1232),'Data'!H1232*100,"")</x:f>
        <x:v>49.36</x:v>
      </x:c>
      <x:c r="I2940" s="34" t="str">
        <x:v>PASS</x:v>
      </x:c>
      <x:c r="J2940" s="34" t="str">
        <x:v>PASS</x:v>
      </x:c>
      <x:c r="K2940" s="34" t="str">
        <x:v>PASS</x:v>
      </x:c>
      <x:c r="L2940" s="34" t="str">
        <x:v>FAIL</x:v>
      </x:c>
      <x:c r="M2940" s="34" t="str">
        <x:v>numeric coverage for applicable metric</x:v>
      </x:c>
      <x:c r="N2940" s="34" t="str">
        <x:v>Feedback-Directed Random Test Generation/Result_Round2/JacksonCore_11/result.json</x:v>
      </x:c>
      <x:c r="O2940" s="38" t="n">
        <x:f>IF(AND(G2940="RECORDED",ISNUMBER(H2940)),H2940,"")</x:f>
        <x:v>49.36</x:v>
      </x:c>
      <x:c r="P2940" s="34" t="str">
        <x:v>INCONCLUSIVE</x:v>
      </x:c>
      <x:c r="Q2940" s="34" t="str">
        <x:v>Feedback-Directed Random Test Generation/Result_Round2/JacksonCore_11/result.json</x:v>
      </x:c>
    </x:row>
    <x:row r="2941">
      <x:c r="A2941" s="34" t="str">
        <x:v>randoop</x:v>
      </x:c>
      <x:c r="B2941" s="34" t="str">
        <x:v>JacksonCore</x:v>
      </x:c>
      <x:c r="C2941" s="34" t="str">
        <x:v>Round2</x:v>
      </x:c>
      <x:c r="D2941" s="34" t="str">
        <x:v>JacksonCore_12</x:v>
      </x:c>
      <x:c r="E2941" s="34" t="str">
        <x:v>Line</x:v>
      </x:c>
      <x:c r="F2941" s="34" t="n">
        <x:v>3187</x:v>
      </x:c>
      <x:c r="G2941" s="34" t="str">
        <x:v>RECORDED</x:v>
      </x:c>
      <x:c r="H2941" s="38" t="n">
        <x:f>IF(ISNUMBER('Data'!H1233),'Data'!H1233*100,"")</x:f>
        <x:v>0.28</x:v>
      </x:c>
      <x:c r="I2941" s="34" t="str">
        <x:v>PASS</x:v>
      </x:c>
      <x:c r="J2941" s="34" t="str">
        <x:v>PASS</x:v>
      </x:c>
      <x:c r="K2941" s="34" t="str">
        <x:v>PASS</x:v>
      </x:c>
      <x:c r="L2941" s="34" t="str">
        <x:v>PASS</x:v>
      </x:c>
      <x:c r="M2941" s="34" t="str">
        <x:v>numeric coverage for applicable metric</x:v>
      </x:c>
      <x:c r="N2941" s="34" t="str">
        <x:v>Feedback-Directed Random Test Generation/Result_Round2/JacksonCore_12/result.json</x:v>
      </x:c>
      <x:c r="O2941" s="38" t="n">
        <x:f>IF(AND(G2941="RECORDED",ISNUMBER(H2941)),H2941,"")</x:f>
        <x:v>0.28</x:v>
      </x:c>
      <x:c r="P2941" s="34" t="str">
        <x:v>NOT_REVEALING</x:v>
      </x:c>
      <x:c r="Q2941" s="34" t="str">
        <x:v>Feedback-Directed Random Test Generation/Result_Round2/JacksonCore_12/result.json</x:v>
      </x:c>
    </x:row>
    <x:row r="2942">
      <x:c r="A2942" s="34" t="str">
        <x:v>randoop</x:v>
      </x:c>
      <x:c r="B2942" s="34" t="str">
        <x:v>JacksonCore</x:v>
      </x:c>
      <x:c r="C2942" s="34" t="str">
        <x:v>Round2</x:v>
      </x:c>
      <x:c r="D2942" s="34" t="str">
        <x:v>JacksonCore_13</x:v>
      </x:c>
      <x:c r="E2942" s="34" t="str">
        <x:v>Line</x:v>
      </x:c>
      <x:c r="F2942" s="34" t="n">
        <x:v>31</x:v>
      </x:c>
      <x:c r="G2942" s="34" t="str">
        <x:v>RECORDED</x:v>
      </x:c>
      <x:c r="H2942" s="38" t="n">
        <x:f>IF(ISNUMBER('Data'!H1234),'Data'!H1234*100,"")</x:f>
        <x:v>3.2300000000000004</x:v>
      </x:c>
      <x:c r="I2942" s="34" t="str">
        <x:v>PASS</x:v>
      </x:c>
      <x:c r="J2942" s="34" t="str">
        <x:v>PASS</x:v>
      </x:c>
      <x:c r="K2942" s="34" t="str">
        <x:v>PASS</x:v>
      </x:c>
      <x:c r="L2942" s="34" t="str">
        <x:v>PASS</x:v>
      </x:c>
      <x:c r="M2942" s="34" t="str">
        <x:v>numeric coverage for applicable metric</x:v>
      </x:c>
      <x:c r="N2942" s="34" t="str">
        <x:v>Feedback-Directed Random Test Generation/Result_Round2/JacksonCore_13/result.json</x:v>
      </x:c>
      <x:c r="O2942" s="38" t="n">
        <x:f>IF(AND(G2942="RECORDED",ISNUMBER(H2942)),H2942,"")</x:f>
        <x:v>3.2300000000000004</x:v>
      </x:c>
      <x:c r="P2942" s="34" t="str">
        <x:v>NOT_REVEALING</x:v>
      </x:c>
      <x:c r="Q2942" s="34" t="str">
        <x:v>Feedback-Directed Random Test Generation/Result_Round2/JacksonCore_13/result.json</x:v>
      </x:c>
    </x:row>
    <x:row r="2943">
      <x:c r="A2943" s="34" t="str">
        <x:v>randoop</x:v>
      </x:c>
      <x:c r="B2943" s="34" t="str">
        <x:v>JacksonCore</x:v>
      </x:c>
      <x:c r="C2943" s="34" t="str">
        <x:v>Round2</x:v>
      </x:c>
      <x:c r="D2943" s="34" t="str">
        <x:v>JacksonCore_14</x:v>
      </x:c>
      <x:c r="E2943" s="34" t="str">
        <x:v>Line</x:v>
      </x:c>
      <x:c r="F2943" s="34" t="n">
        <x:v>68</x:v>
      </x:c>
      <x:c r="G2943" s="34" t="str">
        <x:v>RECORDED</x:v>
      </x:c>
      <x:c r="H2943" s="38" t="n">
        <x:f>IF(ISNUMBER('Data'!H1235),'Data'!H1235*100,"")</x:f>
        <x:v>91.18</x:v>
      </x:c>
      <x:c r="I2943" s="34" t="str">
        <x:v>PASS</x:v>
      </x:c>
      <x:c r="J2943" s="34" t="str">
        <x:v>PASS</x:v>
      </x:c>
      <x:c r="K2943" s="34" t="str">
        <x:v>PASS</x:v>
      </x:c>
      <x:c r="L2943" s="34" t="str">
        <x:v>PASS</x:v>
      </x:c>
      <x:c r="M2943" s="34" t="str">
        <x:v>numeric coverage for applicable metric</x:v>
      </x:c>
      <x:c r="N2943" s="34" t="str">
        <x:v>Feedback-Directed Random Test Generation/Result_Round2/JacksonCore_14/result.json</x:v>
      </x:c>
      <x:c r="O2943" s="38" t="n">
        <x:f>IF(AND(G2943="RECORDED",ISNUMBER(H2943)),H2943,"")</x:f>
        <x:v>91.18</x:v>
      </x:c>
      <x:c r="P2943" s="34" t="str">
        <x:v>INCONCLUSIVE</x:v>
      </x:c>
      <x:c r="Q2943" s="34" t="str">
        <x:v>Feedback-Directed Random Test Generation/Result_Round2/JacksonCore_14/result.json</x:v>
      </x:c>
    </x:row>
    <x:row r="2944">
      <x:c r="A2944" s="34" t="str">
        <x:v>randoop</x:v>
      </x:c>
      <x:c r="B2944" s="34" t="str">
        <x:v>JacksonCore</x:v>
      </x:c>
      <x:c r="C2944" s="34" t="str">
        <x:v>Round2</x:v>
      </x:c>
      <x:c r="D2944" s="34" t="str">
        <x:v>JacksonCore_15</x:v>
      </x:c>
      <x:c r="E2944" s="34" t="str">
        <x:v>Line</x:v>
      </x:c>
      <x:c r="F2944" s="34" t="n">
        <x:v>373</x:v>
      </x:c>
      <x:c r="G2944" s="34" t="str">
        <x:v>RECORDED</x:v>
      </x:c>
      <x:c r="H2944" s="38" t="n">
        <x:f>IF(ISNUMBER('Data'!H1236),'Data'!H1236*100,"")</x:f>
        <x:v>20.38</x:v>
      </x:c>
      <x:c r="I2944" s="34" t="str">
        <x:v>PASS</x:v>
      </x:c>
      <x:c r="J2944" s="34" t="str">
        <x:v>PASS</x:v>
      </x:c>
      <x:c r="K2944" s="34" t="str">
        <x:v>PASS</x:v>
      </x:c>
      <x:c r="L2944" s="34" t="str">
        <x:v>PASS</x:v>
      </x:c>
      <x:c r="M2944" s="34" t="str">
        <x:v>numeric coverage for applicable metric</x:v>
      </x:c>
      <x:c r="N2944" s="34" t="str">
        <x:v>Feedback-Directed Random Test Generation/Result_Round2/JacksonCore_15/result.json</x:v>
      </x:c>
      <x:c r="O2944" s="38" t="n">
        <x:f>IF(AND(G2944="RECORDED",ISNUMBER(H2944)),H2944,"")</x:f>
        <x:v>20.38</x:v>
      </x:c>
      <x:c r="P2944" s="34" t="str">
        <x:v>NOT_REVEALING</x:v>
      </x:c>
      <x:c r="Q2944" s="34" t="str">
        <x:v>Feedback-Directed Random Test Generation/Result_Round2/JacksonCore_15/result.json</x:v>
      </x:c>
    </x:row>
    <x:row r="2945">
      <x:c r="A2945" s="34" t="str">
        <x:v>randoop</x:v>
      </x:c>
      <x:c r="B2945" s="34" t="str">
        <x:v>JacksonCore</x:v>
      </x:c>
      <x:c r="C2945" s="34" t="str">
        <x:v>Round2</x:v>
      </x:c>
      <x:c r="D2945" s="34" t="str">
        <x:v>JacksonCore_16</x:v>
      </x:c>
      <x:c r="E2945" s="34" t="str">
        <x:v>Line</x:v>
      </x:c>
      <x:c r="F2945" s="34" t="n">
        <x:v>33</x:v>
      </x:c>
      <x:c r="G2945" s="34" t="str">
        <x:v>RECORDED</x:v>
      </x:c>
      <x:c r="H2945" s="38" t="n">
        <x:f>IF(ISNUMBER('Data'!H1237),'Data'!H1237*100,"")</x:f>
        <x:v>78.79</x:v>
      </x:c>
      <x:c r="I2945" s="34" t="str">
        <x:v>PASS</x:v>
      </x:c>
      <x:c r="J2945" s="34" t="str">
        <x:v>PASS</x:v>
      </x:c>
      <x:c r="K2945" s="34" t="str">
        <x:v>PASS</x:v>
      </x:c>
      <x:c r="L2945" s="34" t="str">
        <x:v>PASS</x:v>
      </x:c>
      <x:c r="M2945" s="34" t="str">
        <x:v>numeric coverage for applicable metric</x:v>
      </x:c>
      <x:c r="N2945" s="34" t="str">
        <x:v>Feedback-Directed Random Test Generation/Result_Round2/JacksonCore_16/result.json</x:v>
      </x:c>
      <x:c r="O2945" s="38" t="n">
        <x:f>IF(AND(G2945="RECORDED",ISNUMBER(H2945)),H2945,"")</x:f>
        <x:v>78.79</x:v>
      </x:c>
      <x:c r="P2945" s="34" t="str">
        <x:v>INCONCLUSIVE</x:v>
      </x:c>
      <x:c r="Q2945" s="34" t="str">
        <x:v>Feedback-Directed Random Test Generation/Result_Round2/JacksonCore_16/result.json</x:v>
      </x:c>
    </x:row>
    <x:row r="2946">
      <x:c r="A2946" s="34" t="str">
        <x:v>randoop</x:v>
      </x:c>
      <x:c r="B2946" s="34" t="str">
        <x:v>JacksonCore</x:v>
      </x:c>
      <x:c r="C2946" s="34" t="str">
        <x:v>Round2</x:v>
      </x:c>
      <x:c r="D2946" s="34" t="str">
        <x:v>JacksonCore_17</x:v>
      </x:c>
      <x:c r="E2946" s="34" t="str">
        <x:v>Line</x:v>
      </x:c>
      <x:c r="F2946" s="34" t="n">
        <x:v>991</x:v>
      </x:c>
      <x:c r="G2946" s="34" t="str">
        <x:v>RECORDED</x:v>
      </x:c>
      <x:c r="H2946" s="38" t="n">
        <x:f>IF(ISNUMBER('Data'!H1238),'Data'!H1238*100,"")</x:f>
        <x:v>1.6099999999999999</x:v>
      </x:c>
      <x:c r="I2946" s="34" t="str">
        <x:v>PASS</x:v>
      </x:c>
      <x:c r="J2946" s="34" t="str">
        <x:v>PASS</x:v>
      </x:c>
      <x:c r="K2946" s="34" t="str">
        <x:v>PASS</x:v>
      </x:c>
      <x:c r="L2946" s="34" t="str">
        <x:v>PASS</x:v>
      </x:c>
      <x:c r="M2946" s="34" t="str">
        <x:v>numeric coverage for applicable metric</x:v>
      </x:c>
      <x:c r="N2946" s="34" t="str">
        <x:v>Feedback-Directed Random Test Generation/Result_Round2/JacksonCore_17/result.json</x:v>
      </x:c>
      <x:c r="O2946" s="38" t="n">
        <x:f>IF(AND(G2946="RECORDED",ISNUMBER(H2946)),H2946,"")</x:f>
        <x:v>1.6099999999999999</x:v>
      </x:c>
      <x:c r="P2946" s="34" t="str">
        <x:v>NOT_REVEALING</x:v>
      </x:c>
      <x:c r="Q2946" s="34" t="str">
        <x:v>Feedback-Directed Random Test Generation/Result_Round2/JacksonCore_17/result.json</x:v>
      </x:c>
    </x:row>
    <x:row r="2947">
      <x:c r="A2947" s="34" t="str">
        <x:v>randoop</x:v>
      </x:c>
      <x:c r="B2947" s="34" t="str">
        <x:v>JacksonCore</x:v>
      </x:c>
      <x:c r="C2947" s="34" t="str">
        <x:v>Round2</x:v>
      </x:c>
      <x:c r="D2947" s="34" t="str">
        <x:v>JacksonCore_18</x:v>
      </x:c>
      <x:c r="E2947" s="34" t="str">
        <x:v>Line</x:v>
      </x:c>
      <x:c r="F2947" s="34" t="n">
        <x:v>2113</x:v>
      </x:c>
      <x:c r="G2947" s="34" t="str">
        <x:v>RECORDED</x:v>
      </x:c>
      <x:c r="H2947" s="38" t="n">
        <x:f>IF(ISNUMBER('Data'!H1239),'Data'!H1239*100,"")</x:f>
        <x:v>1.51</x:v>
      </x:c>
      <x:c r="I2947" s="34" t="str">
        <x:v>PASS</x:v>
      </x:c>
      <x:c r="J2947" s="34" t="str">
        <x:v>PASS</x:v>
      </x:c>
      <x:c r="K2947" s="34" t="str">
        <x:v>PASS</x:v>
      </x:c>
      <x:c r="L2947" s="34" t="str">
        <x:v>PASS</x:v>
      </x:c>
      <x:c r="M2947" s="34" t="str">
        <x:v>numeric coverage for applicable metric</x:v>
      </x:c>
      <x:c r="N2947" s="34" t="str">
        <x:v>Feedback-Directed Random Test Generation/Result_Round2/JacksonCore_18/result.json</x:v>
      </x:c>
      <x:c r="O2947" s="38" t="n">
        <x:f>IF(AND(G2947="RECORDED",ISNUMBER(H2947)),H2947,"")</x:f>
        <x:v>1.51</x:v>
      </x:c>
      <x:c r="P2947" s="34" t="str">
        <x:v>NOT_REVEALING</x:v>
      </x:c>
      <x:c r="Q2947" s="34" t="str">
        <x:v>Feedback-Directed Random Test Generation/Result_Round2/JacksonCore_18/result.json</x:v>
      </x:c>
    </x:row>
    <x:row r="2948">
      <x:c r="A2948" s="34" t="str">
        <x:v>randoop</x:v>
      </x:c>
      <x:c r="B2948" s="34" t="str">
        <x:v>JacksonCore</x:v>
      </x:c>
      <x:c r="C2948" s="34" t="str">
        <x:v>Round2</x:v>
      </x:c>
      <x:c r="D2948" s="34" t="str">
        <x:v>JacksonCore_19</x:v>
      </x:c>
      <x:c r="E2948" s="34" t="str">
        <x:v>Line</x:v>
      </x:c>
      <x:c r="F2948" s="34" t="n">
        <x:v>3197</x:v>
      </x:c>
      <x:c r="G2948" s="34" t="str">
        <x:v>RECORDED</x:v>
      </x:c>
      <x:c r="H2948" s="38" t="n">
        <x:f>IF(ISNUMBER('Data'!H1240),'Data'!H1240*100,"")</x:f>
        <x:v>0.28</x:v>
      </x:c>
      <x:c r="I2948" s="34" t="str">
        <x:v>PASS</x:v>
      </x:c>
      <x:c r="J2948" s="34" t="str">
        <x:v>PASS</x:v>
      </x:c>
      <x:c r="K2948" s="34" t="str">
        <x:v>PASS</x:v>
      </x:c>
      <x:c r="L2948" s="34" t="str">
        <x:v>PASS</x:v>
      </x:c>
      <x:c r="M2948" s="34" t="str">
        <x:v>numeric coverage for applicable metric</x:v>
      </x:c>
      <x:c r="N2948" s="34" t="str">
        <x:v>Feedback-Directed Random Test Generation/Result_Round2/JacksonCore_19/result.json</x:v>
      </x:c>
      <x:c r="O2948" s="38" t="n">
        <x:f>IF(AND(G2948="RECORDED",ISNUMBER(H2948)),H2948,"")</x:f>
        <x:v>0.28</x:v>
      </x:c>
      <x:c r="P2948" s="34" t="str">
        <x:v>NOT_REVEALING</x:v>
      </x:c>
      <x:c r="Q2948" s="34" t="str">
        <x:v>Feedback-Directed Random Test Generation/Result_Round2/JacksonCore_19/result.json</x:v>
      </x:c>
    </x:row>
    <x:row r="2949">
      <x:c r="A2949" s="34" t="str">
        <x:v>randoop</x:v>
      </x:c>
      <x:c r="B2949" s="34" t="str">
        <x:v>JacksonCore</x:v>
      </x:c>
      <x:c r="C2949" s="34" t="str">
        <x:v>Round2</x:v>
      </x:c>
      <x:c r="D2949" s="34" t="str">
        <x:v>JacksonCore_20</x:v>
      </x:c>
      <x:c r="E2949" s="34" t="str">
        <x:v>Line</x:v>
      </x:c>
      <x:c r="F2949" s="34" t="n">
        <x:v>259</x:v>
      </x:c>
      <x:c r="G2949" s="34" t="str">
        <x:v>RECORDED</x:v>
      </x:c>
      <x:c r="H2949" s="38" t="n">
        <x:f>IF(ISNUMBER('Data'!H1241),'Data'!H1241*100,"")</x:f>
        <x:v>8.88</x:v>
      </x:c>
      <x:c r="I2949" s="34" t="str">
        <x:v>PASS</x:v>
      </x:c>
      <x:c r="J2949" s="34" t="str">
        <x:v>PASS</x:v>
      </x:c>
      <x:c r="K2949" s="34" t="str">
        <x:v>PASS</x:v>
      </x:c>
      <x:c r="L2949" s="34" t="str">
        <x:v>PASS</x:v>
      </x:c>
      <x:c r="M2949" s="34" t="str">
        <x:v>numeric coverage for applicable metric</x:v>
      </x:c>
      <x:c r="N2949" s="34" t="str">
        <x:v>Feedback-Directed Random Test Generation/Result_Round2/JacksonCore_20/result.json</x:v>
      </x:c>
      <x:c r="O2949" s="38" t="n">
        <x:f>IF(AND(G2949="RECORDED",ISNUMBER(H2949)),H2949,"")</x:f>
        <x:v>8.88</x:v>
      </x:c>
      <x:c r="P2949" s="34" t="str">
        <x:v>NOT_REVEALING</x:v>
      </x:c>
      <x:c r="Q2949" s="34" t="str">
        <x:v>Feedback-Directed Random Test Generation/Result_Round2/JacksonCore_20/result.json</x:v>
      </x:c>
    </x:row>
    <x:row r="2950">
      <x:c r="A2950" s="34" t="str">
        <x:v>randoop</x:v>
      </x:c>
      <x:c r="B2950" s="34" t="str">
        <x:v>JacksonCore</x:v>
      </x:c>
      <x:c r="C2950" s="34" t="str">
        <x:v>Round2</x:v>
      </x:c>
      <x:c r="D2950" s="34" t="str">
        <x:v>JacksonCore_21</x:v>
      </x:c>
      <x:c r="E2950" s="34" t="str">
        <x:v>Line</x:v>
      </x:c>
      <x:c r="F2950" s="34" t="n">
        <x:v>385</x:v>
      </x:c>
      <x:c r="G2950" s="34" t="str">
        <x:v>RECORDED</x:v>
      </x:c>
      <x:c r="H2950" s="38" t="n">
        <x:f>IF(ISNUMBER('Data'!H1242),'Data'!H1242*100,"")</x:f>
        <x:v>20.78</x:v>
      </x:c>
      <x:c r="I2950" s="34" t="str">
        <x:v>PASS</x:v>
      </x:c>
      <x:c r="J2950" s="34" t="str">
        <x:v>PASS</x:v>
      </x:c>
      <x:c r="K2950" s="34" t="str">
        <x:v>PASS</x:v>
      </x:c>
      <x:c r="L2950" s="34" t="str">
        <x:v>PASS</x:v>
      </x:c>
      <x:c r="M2950" s="34" t="str">
        <x:v>numeric coverage for applicable metric</x:v>
      </x:c>
      <x:c r="N2950" s="34" t="str">
        <x:v>Feedback-Directed Random Test Generation/Result_Round2/JacksonCore_21/result.json</x:v>
      </x:c>
      <x:c r="O2950" s="38" t="n">
        <x:f>IF(AND(G2950="RECORDED",ISNUMBER(H2950)),H2950,"")</x:f>
        <x:v>20.78</x:v>
      </x:c>
      <x:c r="P2950" s="34" t="str">
        <x:v>NOT_REVEALING</x:v>
      </x:c>
      <x:c r="Q2950" s="34" t="str">
        <x:v>Feedback-Directed Random Test Generation/Result_Round2/JacksonCore_21/result.json</x:v>
      </x:c>
    </x:row>
    <x:row r="2951">
      <x:c r="A2951" s="34" t="str">
        <x:v>randoop</x:v>
      </x:c>
      <x:c r="B2951" s="34" t="str">
        <x:v>JacksonCore</x:v>
      </x:c>
      <x:c r="C2951" s="34" t="str">
        <x:v>Round2</x:v>
      </x:c>
      <x:c r="D2951" s="34" t="str">
        <x:v>JacksonCore_22</x:v>
      </x:c>
      <x:c r="E2951" s="34" t="str">
        <x:v>Line</x:v>
      </x:c>
      <x:c r="F2951" s="34" t="n">
        <x:v>381</x:v>
      </x:c>
      <x:c r="G2951" s="34" t="str">
        <x:v>RECORDED</x:v>
      </x:c>
      <x:c r="H2951" s="38" t="n">
        <x:f>IF(ISNUMBER('Data'!H1243),'Data'!H1243*100,"")</x:f>
        <x:v>21</x:v>
      </x:c>
      <x:c r="I2951" s="34" t="str">
        <x:v>PASS</x:v>
      </x:c>
      <x:c r="J2951" s="34" t="str">
        <x:v>PASS</x:v>
      </x:c>
      <x:c r="K2951" s="34" t="str">
        <x:v>PASS</x:v>
      </x:c>
      <x:c r="L2951" s="34" t="str">
        <x:v>PASS</x:v>
      </x:c>
      <x:c r="M2951" s="34" t="str">
        <x:v>numeric coverage for applicable metric</x:v>
      </x:c>
      <x:c r="N2951" s="34" t="str">
        <x:v>Feedback-Directed Random Test Generation/Result_Round2/JacksonCore_22/result.json</x:v>
      </x:c>
      <x:c r="O2951" s="38" t="n">
        <x:f>IF(AND(G2951="RECORDED",ISNUMBER(H2951)),H2951,"")</x:f>
        <x:v>21</x:v>
      </x:c>
      <x:c r="P2951" s="34" t="str">
        <x:v>NOT_REVEALING</x:v>
      </x:c>
      <x:c r="Q2951" s="34" t="str">
        <x:v>Feedback-Directed Random Test Generation/Result_Round2/JacksonCore_22/result.json</x:v>
      </x:c>
    </x:row>
    <x:row r="2952">
      <x:c r="A2952" s="34" t="str">
        <x:v>randoop</x:v>
      </x:c>
      <x:c r="B2952" s="34" t="str">
        <x:v>JacksonCore</x:v>
      </x:c>
      <x:c r="C2952" s="34" t="str">
        <x:v>Round2</x:v>
      </x:c>
      <x:c r="D2952" s="34" t="str">
        <x:v>JacksonCore_23</x:v>
      </x:c>
      <x:c r="E2952" s="34" t="str">
        <x:v>Line</x:v>
      </x:c>
      <x:c r="F2952" s="34" t="n">
        <x:v>106</x:v>
      </x:c>
      <x:c r="G2952" s="34" t="str">
        <x:v>RECORDED</x:v>
      </x:c>
      <x:c r="H2952" s="38" t="n">
        <x:f>IF(ISNUMBER('Data'!H1244),'Data'!H1244*100,"")</x:f>
        <x:v>87.74</x:v>
      </x:c>
      <x:c r="I2952" s="34" t="str">
        <x:v>PASS</x:v>
      </x:c>
      <x:c r="J2952" s="34" t="str">
        <x:v>PASS</x:v>
      </x:c>
      <x:c r="K2952" s="34" t="str">
        <x:v>PASS</x:v>
      </x:c>
      <x:c r="L2952" s="34" t="str">
        <x:v>PASS</x:v>
      </x:c>
      <x:c r="M2952" s="34" t="str">
        <x:v>numeric coverage for applicable metric</x:v>
      </x:c>
      <x:c r="N2952" s="34" t="str">
        <x:v>Feedback-Directed Random Test Generation/Result_Round2/JacksonCore_23/result.json</x:v>
      </x:c>
      <x:c r="O2952" s="38" t="n">
        <x:f>IF(AND(G2952="RECORDED",ISNUMBER(H2952)),H2952,"")</x:f>
        <x:v>87.74</x:v>
      </x:c>
      <x:c r="P2952" s="34" t="str">
        <x:v>NOT_REVEALING</x:v>
      </x:c>
      <x:c r="Q2952" s="34" t="str">
        <x:v>Feedback-Directed Random Test Generation/Result_Round2/JacksonCore_23/result.json</x:v>
      </x:c>
    </x:row>
    <x:row r="2953">
      <x:c r="A2953" s="34" t="str">
        <x:v>randoop</x:v>
      </x:c>
      <x:c r="B2953" s="34" t="str">
        <x:v>JacksonCore</x:v>
      </x:c>
      <x:c r="C2953" s="34" t="str">
        <x:v>Round2</x:v>
      </x:c>
      <x:c r="D2953" s="34" t="str">
        <x:v>JacksonCore_24</x:v>
      </x:c>
      <x:c r="E2953" s="34" t="str">
        <x:v>Line</x:v>
      </x:c>
      <x:c r="F2953" s="34" t="n">
        <x:v>607</x:v>
      </x:c>
      <x:c r="G2953" s="34" t="str">
        <x:v>RECORDED</x:v>
      </x:c>
      <x:c r="H2953" s="38" t="n">
        <x:f>IF(ISNUMBER('Data'!H1245),'Data'!H1245*100,"")</x:f>
        <x:v>3.95</x:v>
      </x:c>
      <x:c r="I2953" s="34" t="str">
        <x:v>PASS</x:v>
      </x:c>
      <x:c r="J2953" s="34" t="str">
        <x:v>PASS</x:v>
      </x:c>
      <x:c r="K2953" s="34" t="str">
        <x:v>PASS</x:v>
      </x:c>
      <x:c r="L2953" s="34" t="str">
        <x:v>PASS</x:v>
      </x:c>
      <x:c r="M2953" s="34" t="str">
        <x:v>numeric coverage for applicable metric</x:v>
      </x:c>
      <x:c r="N2953" s="34" t="str">
        <x:v>Feedback-Directed Random Test Generation/Result_Round2/JacksonCore_24/result.json</x:v>
      </x:c>
      <x:c r="O2953" s="38" t="n">
        <x:f>IF(AND(G2953="RECORDED",ISNUMBER(H2953)),H2953,"")</x:f>
        <x:v>3.95</x:v>
      </x:c>
      <x:c r="P2953" s="34" t="str">
        <x:v>NOT_REVEALING</x:v>
      </x:c>
      <x:c r="Q2953" s="34" t="str">
        <x:v>Feedback-Directed Random Test Generation/Result_Round2/JacksonCore_24/result.json</x:v>
      </x:c>
    </x:row>
    <x:row r="2954">
      <x:c r="A2954" s="34" t="str">
        <x:v>randoop</x:v>
      </x:c>
      <x:c r="B2954" s="34" t="str">
        <x:v>JacksonCore</x:v>
      </x:c>
      <x:c r="C2954" s="34" t="str">
        <x:v>Round2</x:v>
      </x:c>
      <x:c r="D2954" s="34" t="str">
        <x:v>JacksonCore_25</x:v>
      </x:c>
      <x:c r="E2954" s="34" t="str">
        <x:v>Line</x:v>
      </x:c>
      <x:c r="F2954" s="34" t="n">
        <x:v>1438</x:v>
      </x:c>
      <x:c r="G2954" s="34" t="str">
        <x:v>RECORDED</x:v>
      </x:c>
      <x:c r="H2954" s="38" t="n">
        <x:f>IF(ISNUMBER('Data'!H1246),'Data'!H1246*100,"")</x:f>
        <x:v>0.28</x:v>
      </x:c>
      <x:c r="I2954" s="34" t="str">
        <x:v>PASS</x:v>
      </x:c>
      <x:c r="J2954" s="34" t="str">
        <x:v>PASS</x:v>
      </x:c>
      <x:c r="K2954" s="34" t="str">
        <x:v>PASS</x:v>
      </x:c>
      <x:c r="L2954" s="34" t="str">
        <x:v>PASS</x:v>
      </x:c>
      <x:c r="M2954" s="34" t="str">
        <x:v>numeric coverage for applicable metric</x:v>
      </x:c>
      <x:c r="N2954" s="34" t="str">
        <x:v>Feedback-Directed Random Test Generation/Result_Round2/JacksonCore_25/result.json</x:v>
      </x:c>
      <x:c r="O2954" s="38" t="n">
        <x:f>IF(AND(G2954="RECORDED",ISNUMBER(H2954)),H2954,"")</x:f>
        <x:v>0.28</x:v>
      </x:c>
      <x:c r="P2954" s="34" t="str">
        <x:v>NOT_REVEALING</x:v>
      </x:c>
      <x:c r="Q2954" s="34" t="str">
        <x:v>Feedback-Directed Random Test Generation/Result_Round2/JacksonCore_25/result.json</x:v>
      </x:c>
    </x:row>
    <x:row r="2955">
      <x:c r="A2955" s="34" t="str">
        <x:v>randoop</x:v>
      </x:c>
      <x:c r="B2955" s="34" t="str">
        <x:v>JacksonCore</x:v>
      </x:c>
      <x:c r="C2955" s="34" t="str">
        <x:v>Round2</x:v>
      </x:c>
      <x:c r="D2955" s="34" t="str">
        <x:v>JacksonCore_26</x:v>
      </x:c>
      <x:c r="E2955" s="34" t="str">
        <x:v>Line</x:v>
      </x:c>
      <x:c r="F2955" s="34" t="n">
        <x:v>1482</x:v>
      </x:c>
      <x:c r="G2955" s="34" t="str">
        <x:v>RECORDED</x:v>
      </x:c>
      <x:c r="H2955" s="38" t="n">
        <x:f>IF(ISNUMBER('Data'!H1247),'Data'!H1247*100,"")</x:f>
        <x:v>0.67</x:v>
      </x:c>
      <x:c r="I2955" s="34" t="str">
        <x:v>PASS</x:v>
      </x:c>
      <x:c r="J2955" s="34" t="str">
        <x:v>PASS</x:v>
      </x:c>
      <x:c r="K2955" s="34" t="str">
        <x:v>PASS</x:v>
      </x:c>
      <x:c r="L2955" s="34" t="str">
        <x:v>PASS</x:v>
      </x:c>
      <x:c r="M2955" s="34" t="str">
        <x:v>numeric coverage for applicable metric</x:v>
      </x:c>
      <x:c r="N2955" s="34" t="str">
        <x:v>Feedback-Directed Random Test Generation/Result_Round2/JacksonCore_26/result.json</x:v>
      </x:c>
      <x:c r="O2955" s="38" t="n">
        <x:f>IF(AND(G2955="RECORDED",ISNUMBER(H2955)),H2955,"")</x:f>
        <x:v>0.67</x:v>
      </x:c>
      <x:c r="P2955" s="34" t="str">
        <x:v>NOT_REVEALING</x:v>
      </x:c>
      <x:c r="Q2955" s="34" t="str">
        <x:v>Feedback-Directed Random Test Generation/Result_Round2/JacksonCore_26/result.json</x:v>
      </x:c>
    </x:row>
    <x:row r="2956">
      <x:c r="A2956" s="34" t="str">
        <x:v>randoop</x:v>
      </x:c>
      <x:c r="B2956" s="34" t="str">
        <x:v>JacksonDatabind</x:v>
      </x:c>
      <x:c r="C2956" s="34" t="str">
        <x:v>Round2</x:v>
      </x:c>
      <x:c r="D2956" s="34" t="str">
        <x:v>JacksonDatabind_1</x:v>
      </x:c>
      <x:c r="E2956" s="34" t="str">
        <x:v>Line</x:v>
      </x:c>
      <x:c r="F2956" s="34" t="n">
        <x:v>195</x:v>
      </x:c>
      <x:c r="G2956" s="34" t="str">
        <x:v>RECORDED</x:v>
      </x:c>
      <x:c r="H2956" s="38" t="n">
        <x:f>IF(ISNUMBER('Data'!H1248),'Data'!H1248*100,"")</x:f>
        <x:v>2.56</x:v>
      </x:c>
      <x:c r="I2956" s="34" t="str">
        <x:v>PASS</x:v>
      </x:c>
      <x:c r="J2956" s="34" t="str">
        <x:v>PASS</x:v>
      </x:c>
      <x:c r="K2956" s="34" t="str">
        <x:v>PASS</x:v>
      </x:c>
      <x:c r="L2956" s="34" t="str">
        <x:v>PASS</x:v>
      </x:c>
      <x:c r="M2956" s="34" t="str">
        <x:v>numeric coverage for applicable metric</x:v>
      </x:c>
      <x:c r="N2956" s="34" t="str">
        <x:v>Feedback-Directed Random Test Generation/Result_Round2/JacksonDatabind_1/result.json</x:v>
      </x:c>
      <x:c r="O2956" s="38" t="n">
        <x:f>IF(AND(G2956="RECORDED",ISNUMBER(H2956)),H2956,"")</x:f>
        <x:v>2.56</x:v>
      </x:c>
      <x:c r="P2956" s="34" t="str">
        <x:v>NOT_REVEALING</x:v>
      </x:c>
      <x:c r="Q2956" s="34" t="str">
        <x:v>Feedback-Directed Random Test Generation/Result_Round2/JacksonDatabind_1/result.json</x:v>
      </x:c>
    </x:row>
    <x:row r="2957">
      <x:c r="A2957" s="34" t="str">
        <x:v>randoop</x:v>
      </x:c>
      <x:c r="B2957" s="34" t="str">
        <x:v>JacksonDatabind</x:v>
      </x:c>
      <x:c r="C2957" s="34" t="str">
        <x:v>Round2</x:v>
      </x:c>
      <x:c r="D2957" s="34" t="str">
        <x:v>JacksonDatabind_2</x:v>
      </x:c>
      <x:c r="E2957" s="34" t="str">
        <x:v>Line</x:v>
      </x:c>
      <x:c r="F2957" s="34" t="n">
        <x:v>610</x:v>
      </x:c>
      <x:c r="G2957" s="34" t="str">
        <x:v>RECORDED</x:v>
      </x:c>
      <x:c r="H2957" s="38" t="n">
        <x:f>IF(ISNUMBER('Data'!H1249),'Data'!H1249*100,"")</x:f>
        <x:v>80.82</x:v>
      </x:c>
      <x:c r="I2957" s="34" t="str">
        <x:v>PASS</x:v>
      </x:c>
      <x:c r="J2957" s="34" t="str">
        <x:v>PASS</x:v>
      </x:c>
      <x:c r="K2957" s="34" t="str">
        <x:v>PASS</x:v>
      </x:c>
      <x:c r="L2957" s="34" t="str">
        <x:v>PASS</x:v>
      </x:c>
      <x:c r="M2957" s="34" t="str">
        <x:v>numeric coverage for applicable metric</x:v>
      </x:c>
      <x:c r="N2957" s="34" t="str">
        <x:v>Feedback-Directed Random Test Generation/Result_Round2/JacksonDatabind_2/result.json</x:v>
      </x:c>
      <x:c r="O2957" s="38" t="n">
        <x:f>IF(AND(G2957="RECORDED",ISNUMBER(H2957)),H2957,"")</x:f>
        <x:v>80.82</x:v>
      </x:c>
      <x:c r="P2957" s="34" t="str">
        <x:v>INCONCLUSIVE</x:v>
      </x:c>
      <x:c r="Q2957" s="34" t="str">
        <x:v>Feedback-Directed Random Test Generation/Result_Round2/JacksonDatabind_2/result.json</x:v>
      </x:c>
    </x:row>
    <x:row r="2958">
      <x:c r="A2958" s="34" t="str">
        <x:v>randoop</x:v>
      </x:c>
      <x:c r="B2958" s="34" t="str">
        <x:v>JacksonDatabind</x:v>
      </x:c>
      <x:c r="C2958" s="34" t="str">
        <x:v>Round2</x:v>
      </x:c>
      <x:c r="D2958" s="34" t="str">
        <x:v>JacksonDatabind_3</x:v>
      </x:c>
      <x:c r="E2958" s="34" t="str">
        <x:v>Line</x:v>
      </x:c>
      <x:c r="F2958" s="34" t="n">
        <x:v>62</x:v>
      </x:c>
      <x:c r="G2958" s="34" t="str">
        <x:v>RECORDED</x:v>
      </x:c>
      <x:c r="H2958" s="38" t="n">
        <x:f>IF(ISNUMBER('Data'!H1250),'Data'!H1250*100,"")</x:f>
        <x:v>19.35</x:v>
      </x:c>
      <x:c r="I2958" s="34" t="str">
        <x:v>PASS</x:v>
      </x:c>
      <x:c r="J2958" s="34" t="str">
        <x:v>PASS</x:v>
      </x:c>
      <x:c r="K2958" s="34" t="str">
        <x:v>PASS</x:v>
      </x:c>
      <x:c r="L2958" s="34" t="str">
        <x:v>FAIL</x:v>
      </x:c>
      <x:c r="M2958" s="34" t="str">
        <x:v>numeric coverage for applicable metric</x:v>
      </x:c>
      <x:c r="N2958" s="34" t="str">
        <x:v>Feedback-Directed Random Test Generation/Result_Round2/JacksonDatabind_3/result.json</x:v>
      </x:c>
      <x:c r="O2958" s="38" t="n">
        <x:f>IF(AND(G2958="RECORDED",ISNUMBER(H2958)),H2958,"")</x:f>
        <x:v>19.35</x:v>
      </x:c>
      <x:c r="P2958" s="34" t="str">
        <x:v>INCONCLUSIVE</x:v>
      </x:c>
      <x:c r="Q2958" s="34" t="str">
        <x:v>Feedback-Directed Random Test Generation/Result_Round2/JacksonDatabind_3/result.json</x:v>
      </x:c>
    </x:row>
    <x:row r="2959">
      <x:c r="A2959" s="34" t="str">
        <x:v>randoop</x:v>
      </x:c>
      <x:c r="B2959" s="34" t="str">
        <x:v>JacksonDatabind</x:v>
      </x:c>
      <x:c r="C2959" s="34" t="str">
        <x:v>Round2</x:v>
      </x:c>
      <x:c r="D2959" s="34" t="str">
        <x:v>JacksonDatabind_4</x:v>
      </x:c>
      <x:c r="E2959" s="34" t="str">
        <x:v>Line</x:v>
      </x:c>
      <x:c r="F2959" s="34" t="n">
        <x:v>62</x:v>
      </x:c>
      <x:c r="G2959" s="34" t="str">
        <x:v>RECORDED</x:v>
      </x:c>
      <x:c r="H2959" s="38" t="n">
        <x:f>IF(ISNUMBER('Data'!H1251),'Data'!H1251*100,"")</x:f>
        <x:v>19.35</x:v>
      </x:c>
      <x:c r="I2959" s="34" t="str">
        <x:v>PASS</x:v>
      </x:c>
      <x:c r="J2959" s="34" t="str">
        <x:v>PASS</x:v>
      </x:c>
      <x:c r="K2959" s="34" t="str">
        <x:v>PASS</x:v>
      </x:c>
      <x:c r="L2959" s="34" t="str">
        <x:v>FAIL</x:v>
      </x:c>
      <x:c r="M2959" s="34" t="str">
        <x:v>numeric coverage for applicable metric</x:v>
      </x:c>
      <x:c r="N2959" s="34" t="str">
        <x:v>Feedback-Directed Random Test Generation/Result_Round2/JacksonDatabind_4/result.json</x:v>
      </x:c>
      <x:c r="O2959" s="38" t="n">
        <x:f>IF(AND(G2959="RECORDED",ISNUMBER(H2959)),H2959,"")</x:f>
        <x:v>19.35</x:v>
      </x:c>
      <x:c r="P2959" s="34" t="str">
        <x:v>INCONCLUSIVE</x:v>
      </x:c>
      <x:c r="Q2959" s="34" t="str">
        <x:v>Feedback-Directed Random Test Generation/Result_Round2/JacksonDatabind_4/result.json</x:v>
      </x:c>
    </x:row>
    <x:row r="2960">
      <x:c r="A2960" s="34" t="str">
        <x:v>randoop</x:v>
      </x:c>
      <x:c r="B2960" s="34" t="str">
        <x:v>JacksonDatabind</x:v>
      </x:c>
      <x:c r="C2960" s="34" t="str">
        <x:v>Round2</x:v>
      </x:c>
      <x:c r="D2960" s="34" t="str">
        <x:v>JacksonDatabind_5</x:v>
      </x:c>
      <x:c r="E2960" s="34" t="str">
        <x:v>Line</x:v>
      </x:c>
      <x:c r="F2960" s="34" t="n">
        <x:v>365</x:v>
      </x:c>
      <x:c r="G2960" s="34" t="str">
        <x:v>RECORDED</x:v>
      </x:c>
      <x:c r="H2960" s="38" t="n">
        <x:f>IF(ISNUMBER('Data'!H1252),'Data'!H1252*100,"")</x:f>
        <x:v>0</x:v>
      </x:c>
      <x:c r="I2960" s="34" t="str">
        <x:v>PASS</x:v>
      </x:c>
      <x:c r="J2960" s="34" t="str">
        <x:v>PASS</x:v>
      </x:c>
      <x:c r="K2960" s="34" t="str">
        <x:v>PASS</x:v>
      </x:c>
      <x:c r="L2960" s="34" t="str">
        <x:v>PASS</x:v>
      </x:c>
      <x:c r="M2960" s="34" t="str">
        <x:v>numeric coverage for applicable metric</x:v>
      </x:c>
      <x:c r="N2960" s="34" t="str">
        <x:v>Feedback-Directed Random Test Generation/Result_Round2/JacksonDatabind_5/result.json</x:v>
      </x:c>
      <x:c r="O2960" s="38" t="n">
        <x:f>IF(AND(G2960="RECORDED",ISNUMBER(H2960)),H2960,"")</x:f>
        <x:v>0</x:v>
      </x:c>
      <x:c r="P2960" s="34" t="str">
        <x:v>NOT_REVEALING</x:v>
      </x:c>
      <x:c r="Q2960" s="34" t="str">
        <x:v>Feedback-Directed Random Test Generation/Result_Round2/JacksonDatabind_5/result.json</x:v>
      </x:c>
    </x:row>
    <x:row r="2961">
      <x:c r="A2961" s="34" t="str">
        <x:v>randoop</x:v>
      </x:c>
      <x:c r="B2961" s="34" t="str">
        <x:v>JacksonDatabind</x:v>
      </x:c>
      <x:c r="C2961" s="34" t="str">
        <x:v>Round2</x:v>
      </x:c>
      <x:c r="D2961" s="34" t="str">
        <x:v>JacksonDatabind_6</x:v>
      </x:c>
      <x:c r="E2961" s="34" t="str">
        <x:v>Line</x:v>
      </x:c>
      <x:c r="F2961" s="34" t="n">
        <x:v>149</x:v>
      </x:c>
      <x:c r="G2961" s="34" t="str">
        <x:v>RECORDED</x:v>
      </x:c>
      <x:c r="H2961" s="38" t="n">
        <x:f>IF(ISNUMBER('Data'!H1253),'Data'!H1253*100,"")</x:f>
        <x:v>88.59</x:v>
      </x:c>
      <x:c r="I2961" s="34" t="str">
        <x:v>PASS</x:v>
      </x:c>
      <x:c r="J2961" s="34" t="str">
        <x:v>PASS</x:v>
      </x:c>
      <x:c r="K2961" s="34" t="str">
        <x:v>PASS</x:v>
      </x:c>
      <x:c r="L2961" s="34" t="str">
        <x:v>FAIL</x:v>
      </x:c>
      <x:c r="M2961" s="34" t="str">
        <x:v>numeric coverage for applicable metric</x:v>
      </x:c>
      <x:c r="N2961" s="34" t="str">
        <x:v>Feedback-Directed Random Test Generation/Result_Round2/JacksonDatabind_6/result.json</x:v>
      </x:c>
      <x:c r="O2961" s="38" t="n">
        <x:f>IF(AND(G2961="RECORDED",ISNUMBER(H2961)),H2961,"")</x:f>
        <x:v>88.59</x:v>
      </x:c>
      <x:c r="P2961" s="34" t="str">
        <x:v>INCONCLUSIVE</x:v>
      </x:c>
      <x:c r="Q2961" s="34" t="str">
        <x:v>Feedback-Directed Random Test Generation/Result_Round2/JacksonDatabind_6/result.json</x:v>
      </x:c>
    </x:row>
    <x:row r="2962">
      <x:c r="A2962" s="34" t="str">
        <x:v>randoop</x:v>
      </x:c>
      <x:c r="B2962" s="34" t="str">
        <x:v>JacksonDatabind</x:v>
      </x:c>
      <x:c r="C2962" s="34" t="str">
        <x:v>Round2</x:v>
      </x:c>
      <x:c r="D2962" s="34" t="str">
        <x:v>JacksonDatabind_7</x:v>
      </x:c>
      <x:c r="E2962" s="34" t="str">
        <x:v>Line</x:v>
      </x:c>
      <x:c r="F2962" s="34" t="n">
        <x:v>624</x:v>
      </x:c>
      <x:c r="G2962" s="34" t="str">
        <x:v>RECORDED</x:v>
      </x:c>
      <x:c r="H2962" s="38" t="n">
        <x:f>IF(ISNUMBER('Data'!H1254),'Data'!H1254*100,"")</x:f>
        <x:v>80.45</x:v>
      </x:c>
      <x:c r="I2962" s="34" t="str">
        <x:v>PASS</x:v>
      </x:c>
      <x:c r="J2962" s="34" t="str">
        <x:v>PASS</x:v>
      </x:c>
      <x:c r="K2962" s="34" t="str">
        <x:v>PASS</x:v>
      </x:c>
      <x:c r="L2962" s="34" t="str">
        <x:v>PASS</x:v>
      </x:c>
      <x:c r="M2962" s="34" t="str">
        <x:v>numeric coverage for applicable metric</x:v>
      </x:c>
      <x:c r="N2962" s="34" t="str">
        <x:v>Feedback-Directed Random Test Generation/Result_Round2/JacksonDatabind_7/result.json</x:v>
      </x:c>
      <x:c r="O2962" s="38" t="n">
        <x:f>IF(AND(G2962="RECORDED",ISNUMBER(H2962)),H2962,"")</x:f>
        <x:v>80.45</x:v>
      </x:c>
      <x:c r="P2962" s="34" t="str">
        <x:v>NOT_REVEALING</x:v>
      </x:c>
      <x:c r="Q2962" s="34" t="str">
        <x:v>Feedback-Directed Random Test Generation/Result_Round2/JacksonDatabind_7/result.json</x:v>
      </x:c>
    </x:row>
    <x:row r="2963">
      <x:c r="A2963" s="34" t="str">
        <x:v>randoop</x:v>
      </x:c>
      <x:c r="B2963" s="34" t="str">
        <x:v>JacksonDatabind</x:v>
      </x:c>
      <x:c r="C2963" s="34" t="str">
        <x:v>Round2</x:v>
      </x:c>
      <x:c r="D2963" s="34" t="str">
        <x:v>JacksonDatabind_8</x:v>
      </x:c>
      <x:c r="E2963" s="34" t="str">
        <x:v>Line</x:v>
      </x:c>
      <x:c r="F2963" s="34" t="n">
        <x:v>116</x:v>
      </x:c>
      <x:c r="G2963" s="34" t="str">
        <x:v>RECORDED</x:v>
      </x:c>
      <x:c r="H2963" s="38" t="n">
        <x:f>IF(ISNUMBER('Data'!H1255),'Data'!H1255*100,"")</x:f>
        <x:v>64.66</x:v>
      </x:c>
      <x:c r="I2963" s="34" t="str">
        <x:v>PASS</x:v>
      </x:c>
      <x:c r="J2963" s="34" t="str">
        <x:v>PASS</x:v>
      </x:c>
      <x:c r="K2963" s="34" t="str">
        <x:v>PASS</x:v>
      </x:c>
      <x:c r="L2963" s="34" t="str">
        <x:v>PASS</x:v>
      </x:c>
      <x:c r="M2963" s="34" t="str">
        <x:v>numeric coverage for applicable metric</x:v>
      </x:c>
      <x:c r="N2963" s="34" t="str">
        <x:v>Feedback-Directed Random Test Generation/Result_Round2/JacksonDatabind_8/result.json</x:v>
      </x:c>
      <x:c r="O2963" s="38" t="n">
        <x:f>IF(AND(G2963="RECORDED",ISNUMBER(H2963)),H2963,"")</x:f>
        <x:v>64.66</x:v>
      </x:c>
      <x:c r="P2963" s="34" t="str">
        <x:v>NOT_REVEALING</x:v>
      </x:c>
      <x:c r="Q2963" s="34" t="str">
        <x:v>Feedback-Directed Random Test Generation/Result_Round2/JacksonDatabind_8/result.json</x:v>
      </x:c>
    </x:row>
    <x:row r="2964">
      <x:c r="A2964" s="34" t="str">
        <x:v>randoop</x:v>
      </x:c>
      <x:c r="B2964" s="34" t="str">
        <x:v>JacksonDatabind</x:v>
      </x:c>
      <x:c r="C2964" s="34" t="str">
        <x:v>Round2</x:v>
      </x:c>
      <x:c r="D2964" s="34" t="str">
        <x:v>JacksonDatabind_9</x:v>
      </x:c>
      <x:c r="E2964" s="34" t="str">
        <x:v>Line</x:v>
      </x:c>
      <x:c r="F2964" s="34" t="n">
        <x:v>10</x:v>
      </x:c>
      <x:c r="G2964" s="34" t="str">
        <x:v>RECORDED</x:v>
      </x:c>
      <x:c r="H2964" s="38" t="n">
        <x:f>IF(ISNUMBER('Data'!H1256),'Data'!H1256*100,"")</x:f>
        <x:v>60</x:v>
      </x:c>
      <x:c r="I2964" s="34" t="str">
        <x:v>PASS</x:v>
      </x:c>
      <x:c r="J2964" s="34" t="str">
        <x:v>PASS</x:v>
      </x:c>
      <x:c r="K2964" s="34" t="str">
        <x:v>PASS</x:v>
      </x:c>
      <x:c r="L2964" s="34" t="str">
        <x:v>PASS</x:v>
      </x:c>
      <x:c r="M2964" s="34" t="str">
        <x:v>numeric coverage for applicable metric</x:v>
      </x:c>
      <x:c r="N2964" s="34" t="str">
        <x:v>Feedback-Directed Random Test Generation/Result_Round2/JacksonDatabind_9/result.json</x:v>
      </x:c>
      <x:c r="O2964" s="38" t="n">
        <x:f>IF(AND(G2964="RECORDED",ISNUMBER(H2964)),H2964,"")</x:f>
        <x:v>60</x:v>
      </x:c>
      <x:c r="P2964" s="34" t="str">
        <x:v>NOT_REVEALING</x:v>
      </x:c>
      <x:c r="Q2964" s="34" t="str">
        <x:v>Feedback-Directed Random Test Generation/Result_Round2/JacksonDatabind_9/result.json</x:v>
      </x:c>
    </x:row>
    <x:row r="2965">
      <x:c r="A2965" s="34" t="str">
        <x:v>randoop</x:v>
      </x:c>
      <x:c r="B2965" s="34" t="str">
        <x:v>JacksonDatabind</x:v>
      </x:c>
      <x:c r="C2965" s="34" t="str">
        <x:v>Round2</x:v>
      </x:c>
      <x:c r="D2965" s="34" t="str">
        <x:v>JacksonDatabind_10</x:v>
      </x:c>
      <x:c r="E2965" s="34" t="str">
        <x:v>Line</x:v>
      </x:c>
      <x:c r="F2965" s="34" t="n">
        <x:v>275</x:v>
      </x:c>
      <x:c r="G2965" s="34" t="str">
        <x:v>RECORDED</x:v>
      </x:c>
      <x:c r="H2965" s="38" t="n">
        <x:f>IF(ISNUMBER('Data'!H1257),'Data'!H1257*100,"")</x:f>
        <x:v>12.73</x:v>
      </x:c>
      <x:c r="I2965" s="34" t="str">
        <x:v>PASS</x:v>
      </x:c>
      <x:c r="J2965" s="34" t="str">
        <x:v>PASS</x:v>
      </x:c>
      <x:c r="K2965" s="34" t="str">
        <x:v>PASS</x:v>
      </x:c>
      <x:c r="L2965" s="34" t="str">
        <x:v>PASS</x:v>
      </x:c>
      <x:c r="M2965" s="34" t="str">
        <x:v>numeric coverage for applicable metric</x:v>
      </x:c>
      <x:c r="N2965" s="34" t="str">
        <x:v>Feedback-Directed Random Test Generation/Result_Round2/JacksonDatabind_10/result.json</x:v>
      </x:c>
      <x:c r="O2965" s="38" t="n">
        <x:f>IF(AND(G2965="RECORDED",ISNUMBER(H2965)),H2965,"")</x:f>
        <x:v>12.73</x:v>
      </x:c>
      <x:c r="P2965" s="34" t="str">
        <x:v>INCONCLUSIVE</x:v>
      </x:c>
      <x:c r="Q2965" s="34" t="str">
        <x:v>Feedback-Directed Random Test Generation/Result_Round2/JacksonDatabind_10/result.json</x:v>
      </x:c>
    </x:row>
    <x:row r="2966">
      <x:c r="A2966" s="34" t="str">
        <x:v>randoop</x:v>
      </x:c>
      <x:c r="B2966" s="34" t="str">
        <x:v>JacksonDatabind</x:v>
      </x:c>
      <x:c r="C2966" s="34" t="str">
        <x:v>Round2</x:v>
      </x:c>
      <x:c r="D2966" s="34" t="str">
        <x:v>JacksonDatabind_11</x:v>
      </x:c>
      <x:c r="E2966" s="34" t="str">
        <x:v>Line</x:v>
      </x:c>
      <x:c r="F2966" s="34" t="n">
        <x:v>320</x:v>
      </x:c>
      <x:c r="G2966" s="34" t="str">
        <x:v>RECORDED</x:v>
      </x:c>
      <x:c r="H2966" s="38" t="n">
        <x:f>IF(ISNUMBER('Data'!H1258),'Data'!H1258*100,"")</x:f>
        <x:v>21.25</x:v>
      </x:c>
      <x:c r="I2966" s="34" t="str">
        <x:v>PASS</x:v>
      </x:c>
      <x:c r="J2966" s="34" t="str">
        <x:v>PASS</x:v>
      </x:c>
      <x:c r="K2966" s="34" t="str">
        <x:v>PASS</x:v>
      </x:c>
      <x:c r="L2966" s="34" t="str">
        <x:v>PASS</x:v>
      </x:c>
      <x:c r="M2966" s="34" t="str">
        <x:v>numeric coverage for applicable metric</x:v>
      </x:c>
      <x:c r="N2966" s="34" t="str">
        <x:v>Feedback-Directed Random Test Generation/Result_Round2/JacksonDatabind_11/result.json</x:v>
      </x:c>
      <x:c r="O2966" s="38" t="n">
        <x:f>IF(AND(G2966="RECORDED",ISNUMBER(H2966)),H2966,"")</x:f>
        <x:v>21.25</x:v>
      </x:c>
      <x:c r="P2966" s="34" t="str">
        <x:v>NOT_REVEALING</x:v>
      </x:c>
      <x:c r="Q2966" s="34" t="str">
        <x:v>Feedback-Directed Random Test Generation/Result_Round2/JacksonDatabind_11/result.json</x:v>
      </x:c>
    </x:row>
    <x:row r="2967">
      <x:c r="A2967" s="34" t="str">
        <x:v>randoop</x:v>
      </x:c>
      <x:c r="B2967" s="34" t="str">
        <x:v>JacksonDatabind</x:v>
      </x:c>
      <x:c r="C2967" s="34" t="str">
        <x:v>Round2</x:v>
      </x:c>
      <x:c r="D2967" s="34" t="str">
        <x:v>JacksonDatabind_12</x:v>
      </x:c>
      <x:c r="E2967" s="34" t="str">
        <x:v>Line</x:v>
      </x:c>
      <x:c r="F2967" s="34" t="n">
        <x:v>262</x:v>
      </x:c>
      <x:c r="G2967" s="34" t="str">
        <x:v>RECORDED</x:v>
      </x:c>
      <x:c r="H2967" s="38" t="n">
        <x:f>IF(ISNUMBER('Data'!H1259),'Data'!H1259*100,"")</x:f>
        <x:v>3.44</x:v>
      </x:c>
      <x:c r="I2967" s="34" t="str">
        <x:v>PASS</x:v>
      </x:c>
      <x:c r="J2967" s="34" t="str">
        <x:v>PASS</x:v>
      </x:c>
      <x:c r="K2967" s="34" t="str">
        <x:v>PASS</x:v>
      </x:c>
      <x:c r="L2967" s="34" t="str">
        <x:v>PASS</x:v>
      </x:c>
      <x:c r="M2967" s="34" t="str">
        <x:v>numeric coverage for applicable metric</x:v>
      </x:c>
      <x:c r="N2967" s="34" t="str">
        <x:v>Feedback-Directed Random Test Generation/Result_Round2/JacksonDatabind_12/result.json</x:v>
      </x:c>
      <x:c r="O2967" s="38" t="n">
        <x:f>IF(AND(G2967="RECORDED",ISNUMBER(H2967)),H2967,"")</x:f>
        <x:v>3.44</x:v>
      </x:c>
      <x:c r="P2967" s="34" t="str">
        <x:v>NOT_REVEALING</x:v>
      </x:c>
      <x:c r="Q2967" s="34" t="str">
        <x:v>Feedback-Directed Random Test Generation/Result_Round2/JacksonDatabind_12/result.json</x:v>
      </x:c>
    </x:row>
    <x:row r="2968">
      <x:c r="A2968" s="34" t="str">
        <x:v>randoop</x:v>
      </x:c>
      <x:c r="B2968" s="34" t="str">
        <x:v>JacksonDatabind</x:v>
      </x:c>
      <x:c r="C2968" s="34" t="str">
        <x:v>Round2</x:v>
      </x:c>
      <x:c r="D2968" s="34" t="str">
        <x:v>JacksonDatabind_13</x:v>
      </x:c>
      <x:c r="E2968" s="34" t="str">
        <x:v>Line</x:v>
      </x:c>
      <x:c r="F2968" s="34" t="n">
        <x:v>132</x:v>
      </x:c>
      <x:c r="G2968" s="34" t="str">
        <x:v>RECORDED</x:v>
      </x:c>
      <x:c r="H2968" s="38" t="n">
        <x:f>IF(ISNUMBER('Data'!H1260),'Data'!H1260*100,"")</x:f>
        <x:v>6.819999999999999</x:v>
      </x:c>
      <x:c r="I2968" s="34" t="str">
        <x:v>PASS</x:v>
      </x:c>
      <x:c r="J2968" s="34" t="str">
        <x:v>PASS</x:v>
      </x:c>
      <x:c r="K2968" s="34" t="str">
        <x:v>PASS</x:v>
      </x:c>
      <x:c r="L2968" s="34" t="str">
        <x:v>PASS</x:v>
      </x:c>
      <x:c r="M2968" s="34" t="str">
        <x:v>numeric coverage for applicable metric</x:v>
      </x:c>
      <x:c r="N2968" s="34" t="str">
        <x:v>Feedback-Directed Random Test Generation/Result_Round2/JacksonDatabind_13/result.json</x:v>
      </x:c>
      <x:c r="O2968" s="38" t="n">
        <x:f>IF(AND(G2968="RECORDED",ISNUMBER(H2968)),H2968,"")</x:f>
        <x:v>6.819999999999999</x:v>
      </x:c>
      <x:c r="P2968" s="34" t="str">
        <x:v>NOT_REVEALING</x:v>
      </x:c>
      <x:c r="Q2968" s="34" t="str">
        <x:v>Feedback-Directed Random Test Generation/Result_Round2/JacksonDatabind_13/result.json</x:v>
      </x:c>
    </x:row>
    <x:row r="2969">
      <x:c r="A2969" s="34" t="str">
        <x:v>randoop</x:v>
      </x:c>
      <x:c r="B2969" s="34" t="str">
        <x:v>JacksonDatabind</x:v>
      </x:c>
      <x:c r="C2969" s="34" t="str">
        <x:v>Round2</x:v>
      </x:c>
      <x:c r="D2969" s="34" t="str">
        <x:v>JacksonDatabind_14</x:v>
      </x:c>
      <x:c r="E2969" s="34" t="str">
        <x:v>Line</x:v>
      </x:c>
      <x:c r="F2969" s="34" t="n">
        <x:v>382</x:v>
      </x:c>
      <x:c r="G2969" s="34" t="str">
        <x:v>RECORDED</x:v>
      </x:c>
      <x:c r="H2969" s="38" t="n">
        <x:f>IF(ISNUMBER('Data'!H1261),'Data'!H1261*100,"")</x:f>
        <x:v>3.4000000000000004</x:v>
      </x:c>
      <x:c r="I2969" s="34" t="str">
        <x:v>PASS</x:v>
      </x:c>
      <x:c r="J2969" s="34" t="str">
        <x:v>PASS</x:v>
      </x:c>
      <x:c r="K2969" s="34" t="str">
        <x:v>PASS</x:v>
      </x:c>
      <x:c r="L2969" s="34" t="str">
        <x:v>PASS</x:v>
      </x:c>
      <x:c r="M2969" s="34" t="str">
        <x:v>numeric coverage for applicable metric</x:v>
      </x:c>
      <x:c r="N2969" s="34" t="str">
        <x:v>Feedback-Directed Random Test Generation/Result_Round2/JacksonDatabind_14/result.json</x:v>
      </x:c>
      <x:c r="O2969" s="38" t="n">
        <x:f>IF(AND(G2969="RECORDED",ISNUMBER(H2969)),H2969,"")</x:f>
        <x:v>3.4000000000000004</x:v>
      </x:c>
      <x:c r="P2969" s="34" t="str">
        <x:v>NOT_REVEALING</x:v>
      </x:c>
      <x:c r="Q2969" s="34" t="str">
        <x:v>Feedback-Directed Random Test Generation/Result_Round2/JacksonDatabind_14/result.json</x:v>
      </x:c>
    </x:row>
    <x:row r="2970">
      <x:c r="A2970" s="34" t="str">
        <x:v>randoop</x:v>
      </x:c>
      <x:c r="B2970" s="34" t="str">
        <x:v>JacksonDatabind</x:v>
      </x:c>
      <x:c r="C2970" s="34" t="str">
        <x:v>Round2</x:v>
      </x:c>
      <x:c r="D2970" s="34" t="str">
        <x:v>JacksonDatabind_15</x:v>
      </x:c>
      <x:c r="E2970" s="34" t="str">
        <x:v>Line</x:v>
      </x:c>
      <x:c r="F2970" s="34" t="n">
        <x:v>763</x:v>
      </x:c>
      <x:c r="G2970" s="34" t="str">
        <x:v>RECORDED</x:v>
      </x:c>
      <x:c r="H2970" s="38" t="n">
        <x:f>IF(ISNUMBER('Data'!H1262),'Data'!H1262*100,"")</x:f>
        <x:v>5.5</x:v>
      </x:c>
      <x:c r="I2970" s="34" t="str">
        <x:v>PASS</x:v>
      </x:c>
      <x:c r="J2970" s="34" t="str">
        <x:v>PASS</x:v>
      </x:c>
      <x:c r="K2970" s="34" t="str">
        <x:v>PASS</x:v>
      </x:c>
      <x:c r="L2970" s="34" t="str">
        <x:v>PASS</x:v>
      </x:c>
      <x:c r="M2970" s="34" t="str">
        <x:v>numeric coverage for applicable metric</x:v>
      </x:c>
      <x:c r="N2970" s="34" t="str">
        <x:v>Feedback-Directed Random Test Generation/Result_Round2/JacksonDatabind_15/result.json</x:v>
      </x:c>
      <x:c r="O2970" s="38" t="n">
        <x:f>IF(AND(G2970="RECORDED",ISNUMBER(H2970)),H2970,"")</x:f>
        <x:v>5.5</x:v>
      </x:c>
      <x:c r="P2970" s="34" t="str">
        <x:v>NOT_REVEALING</x:v>
      </x:c>
      <x:c r="Q2970" s="34" t="str">
        <x:v>Feedback-Directed Random Test Generation/Result_Round2/JacksonDatabind_15/result.json</x:v>
      </x:c>
    </x:row>
    <x:row r="2971">
      <x:c r="A2971" s="34" t="str">
        <x:v>randoop</x:v>
      </x:c>
      <x:c r="B2971" s="34" t="str">
        <x:v>JacksonDatabind</x:v>
      </x:c>
      <x:c r="C2971" s="34" t="str">
        <x:v>Round2</x:v>
      </x:c>
      <x:c r="D2971" s="34" t="str">
        <x:v>JacksonDatabind_16</x:v>
      </x:c>
      <x:c r="E2971" s="34" t="str">
        <x:v>Line</x:v>
      </x:c>
      <x:c r="F2971" s="34" t="n">
        <x:v>35</x:v>
      </x:c>
      <x:c r="G2971" s="34" t="str">
        <x:v>RECORDED</x:v>
      </x:c>
      <x:c r="H2971" s="38" t="n">
        <x:f>IF(ISNUMBER('Data'!H1263),'Data'!H1263*100,"")</x:f>
        <x:v>40</x:v>
      </x:c>
      <x:c r="I2971" s="34" t="str">
        <x:v>PASS</x:v>
      </x:c>
      <x:c r="J2971" s="34" t="str">
        <x:v>PASS</x:v>
      </x:c>
      <x:c r="K2971" s="34" t="str">
        <x:v>PASS</x:v>
      </x:c>
      <x:c r="L2971" s="34" t="str">
        <x:v>PASS</x:v>
      </x:c>
      <x:c r="M2971" s="34" t="str">
        <x:v>numeric coverage for applicable metric</x:v>
      </x:c>
      <x:c r="N2971" s="34" t="str">
        <x:v>Feedback-Directed Random Test Generation/Result_Round2/JacksonDatabind_16/result.json</x:v>
      </x:c>
      <x:c r="O2971" s="38" t="n">
        <x:f>IF(AND(G2971="RECORDED",ISNUMBER(H2971)),H2971,"")</x:f>
        <x:v>40</x:v>
      </x:c>
      <x:c r="P2971" s="34" t="str">
        <x:v>NOT_REVEALING</x:v>
      </x:c>
      <x:c r="Q2971" s="34" t="str">
        <x:v>Feedback-Directed Random Test Generation/Result_Round2/JacksonDatabind_16/result.json</x:v>
      </x:c>
    </x:row>
    <x:row r="2972">
      <x:c r="A2972" s="34" t="str">
        <x:v>randoop</x:v>
      </x:c>
      <x:c r="B2972" s="34" t="str">
        <x:v>JacksonDatabind</x:v>
      </x:c>
      <x:c r="C2972" s="34" t="str">
        <x:v>Round2</x:v>
      </x:c>
      <x:c r="D2972" s="34" t="str">
        <x:v>JacksonDatabind_17</x:v>
      </x:c>
      <x:c r="E2972" s="34" t="str">
        <x:v>Line</x:v>
      </x:c>
      <x:c r="F2972" s="34" t="n">
        <x:v>638</x:v>
      </x:c>
      <x:c r="G2972" s="34" t="str">
        <x:v>RECORDED</x:v>
      </x:c>
      <x:c r="H2972" s="38" t="n">
        <x:f>IF(ISNUMBER('Data'!H1264),'Data'!H1264*100,"")</x:f>
        <x:v>56.58</x:v>
      </x:c>
      <x:c r="I2972" s="34" t="str">
        <x:v>PASS</x:v>
      </x:c>
      <x:c r="J2972" s="34" t="str">
        <x:v>PASS</x:v>
      </x:c>
      <x:c r="K2972" s="34" t="str">
        <x:v>PASS</x:v>
      </x:c>
      <x:c r="L2972" s="34" t="str">
        <x:v>FAIL</x:v>
      </x:c>
      <x:c r="M2972" s="34" t="str">
        <x:v>numeric coverage for applicable metric</x:v>
      </x:c>
      <x:c r="N2972" s="34" t="str">
        <x:v>Feedback-Directed Random Test Generation/Result_Round2/JacksonDatabind_17/result.json</x:v>
      </x:c>
      <x:c r="O2972" s="38" t="n">
        <x:f>IF(AND(G2972="RECORDED",ISNUMBER(H2972)),H2972,"")</x:f>
        <x:v>56.58</x:v>
      </x:c>
      <x:c r="P2972" s="34" t="str">
        <x:v>INCONCLUSIVE</x:v>
      </x:c>
      <x:c r="Q2972" s="34" t="str">
        <x:v>Feedback-Directed Random Test Generation/Result_Round2/JacksonDatabind_17/result.json</x:v>
      </x:c>
    </x:row>
    <x:row r="2973">
      <x:c r="A2973" s="34" t="str">
        <x:v>randoop</x:v>
      </x:c>
      <x:c r="B2973" s="34" t="str">
        <x:v>JacksonDatabind</x:v>
      </x:c>
      <x:c r="C2973" s="34" t="str">
        <x:v>Round2</x:v>
      </x:c>
      <x:c r="D2973" s="34" t="str">
        <x:v>JacksonDatabind_18</x:v>
      </x:c>
      <x:c r="E2973" s="34" t="str">
        <x:v>Line</x:v>
      </x:c>
      <x:c r="F2973" s="34" t="n">
        <x:v>68</x:v>
      </x:c>
      <x:c r="G2973" s="34" t="str">
        <x:v>RECORDED</x:v>
      </x:c>
      <x:c r="H2973" s="38" t="n">
        <x:f>IF(ISNUMBER('Data'!H1265),'Data'!H1265*100,"")</x:f>
        <x:v>17.65</x:v>
      </x:c>
      <x:c r="I2973" s="34" t="str">
        <x:v>PASS</x:v>
      </x:c>
      <x:c r="J2973" s="34" t="str">
        <x:v>PASS</x:v>
      </x:c>
      <x:c r="K2973" s="34" t="str">
        <x:v>PASS</x:v>
      </x:c>
      <x:c r="L2973" s="34" t="str">
        <x:v>PASS</x:v>
      </x:c>
      <x:c r="M2973" s="34" t="str">
        <x:v>numeric coverage for applicable metric</x:v>
      </x:c>
      <x:c r="N2973" s="34" t="str">
        <x:v>Feedback-Directed Random Test Generation/Result_Round2/JacksonDatabind_18/result.json</x:v>
      </x:c>
      <x:c r="O2973" s="38" t="n">
        <x:f>IF(AND(G2973="RECORDED",ISNUMBER(H2973)),H2973,"")</x:f>
        <x:v>17.65</x:v>
      </x:c>
      <x:c r="P2973" s="34" t="str">
        <x:v>NOT_REVEALING</x:v>
      </x:c>
      <x:c r="Q2973" s="34" t="str">
        <x:v>Feedback-Directed Random Test Generation/Result_Round2/JacksonDatabind_18/result.json</x:v>
      </x:c>
    </x:row>
    <x:row r="2974">
      <x:c r="A2974" s="34" t="str">
        <x:v>randoop</x:v>
      </x:c>
      <x:c r="B2974" s="34" t="str">
        <x:v>JacksonDatabind</x:v>
      </x:c>
      <x:c r="C2974" s="34" t="str">
        <x:v>Round2</x:v>
      </x:c>
      <x:c r="D2974" s="34" t="str">
        <x:v>JacksonDatabind_19</x:v>
      </x:c>
      <x:c r="E2974" s="34" t="str">
        <x:v>Line</x:v>
      </x:c>
      <x:c r="F2974" s="34" t="n">
        <x:v>347</x:v>
      </x:c>
      <x:c r="G2974" s="34" t="str">
        <x:v>RECORDED</x:v>
      </x:c>
      <x:c r="H2974" s="38" t="n">
        <x:f>IF(ISNUMBER('Data'!H1266),'Data'!H1266*100,"")</x:f>
        <x:v>16.71</x:v>
      </x:c>
      <x:c r="I2974" s="34" t="str">
        <x:v>PASS</x:v>
      </x:c>
      <x:c r="J2974" s="34" t="str">
        <x:v>PASS</x:v>
      </x:c>
      <x:c r="K2974" s="34" t="str">
        <x:v>PASS</x:v>
      </x:c>
      <x:c r="L2974" s="34" t="str">
        <x:v>PASS</x:v>
      </x:c>
      <x:c r="M2974" s="34" t="str">
        <x:v>numeric coverage for applicable metric</x:v>
      </x:c>
      <x:c r="N2974" s="34" t="str">
        <x:v>Feedback-Directed Random Test Generation/Result_Round2/JacksonDatabind_19/result.json</x:v>
      </x:c>
      <x:c r="O2974" s="38" t="n">
        <x:f>IF(AND(G2974="RECORDED",ISNUMBER(H2974)),H2974,"")</x:f>
        <x:v>16.71</x:v>
      </x:c>
      <x:c r="P2974" s="34" t="str">
        <x:v>NOT_REVEALING</x:v>
      </x:c>
      <x:c r="Q2974" s="34" t="str">
        <x:v>Feedback-Directed Random Test Generation/Result_Round2/JacksonDatabind_19/result.json</x:v>
      </x:c>
    </x:row>
    <x:row r="2975">
      <x:c r="A2975" s="34" t="str">
        <x:v>randoop</x:v>
      </x:c>
      <x:c r="B2975" s="34" t="str">
        <x:v>JacksonDatabind</x:v>
      </x:c>
      <x:c r="C2975" s="34" t="str">
        <x:v>Round2</x:v>
      </x:c>
      <x:c r="D2975" s="34" t="str">
        <x:v>JacksonDatabind_20</x:v>
      </x:c>
      <x:c r="E2975" s="34" t="str">
        <x:v>Line</x:v>
      </x:c>
      <x:c r="F2975" s="34" t="n">
        <x:v>186</x:v>
      </x:c>
      <x:c r="G2975" s="34" t="str">
        <x:v>RECORDED</x:v>
      </x:c>
      <x:c r="H2975" s="38" t="n">
        <x:f>IF(ISNUMBER('Data'!H1267),'Data'!H1267*100,"")</x:f>
        <x:v>85.48</x:v>
      </x:c>
      <x:c r="I2975" s="34" t="str">
        <x:v>PASS</x:v>
      </x:c>
      <x:c r="J2975" s="34" t="str">
        <x:v>PASS</x:v>
      </x:c>
      <x:c r="K2975" s="34" t="str">
        <x:v>PASS</x:v>
      </x:c>
      <x:c r="L2975" s="34" t="str">
        <x:v>PASS</x:v>
      </x:c>
      <x:c r="M2975" s="34" t="str">
        <x:v>numeric coverage for applicable metric</x:v>
      </x:c>
      <x:c r="N2975" s="34" t="str">
        <x:v>Feedback-Directed Random Test Generation/Result_Round2/JacksonDatabind_20/result.json</x:v>
      </x:c>
      <x:c r="O2975" s="38" t="n">
        <x:f>IF(AND(G2975="RECORDED",ISNUMBER(H2975)),H2975,"")</x:f>
        <x:v>85.48</x:v>
      </x:c>
      <x:c r="P2975" s="34" t="str">
        <x:v>NOT_REVEALING</x:v>
      </x:c>
      <x:c r="Q2975" s="34" t="str">
        <x:v>Feedback-Directed Random Test Generation/Result_Round2/JacksonDatabind_20/result.json</x:v>
      </x:c>
    </x:row>
    <x:row r="2976">
      <x:c r="A2976" s="34" t="str">
        <x:v>randoop</x:v>
      </x:c>
      <x:c r="B2976" s="34" t="str">
        <x:v>JacksonDatabind</x:v>
      </x:c>
      <x:c r="C2976" s="34" t="str">
        <x:v>Round2</x:v>
      </x:c>
      <x:c r="D2976" s="34" t="str">
        <x:v>JacksonDatabind_21</x:v>
      </x:c>
      <x:c r="E2976" s="34" t="str">
        <x:v>Line</x:v>
      </x:c>
      <x:c r="F2976" s="34" t="n">
        <x:v>333</x:v>
      </x:c>
      <x:c r="G2976" s="34" t="str">
        <x:v>RECORDED</x:v>
      </x:c>
      <x:c r="H2976" s="38" t="n">
        <x:f>IF(ISNUMBER('Data'!H1268),'Data'!H1268*100,"")</x:f>
        <x:v>21.62</x:v>
      </x:c>
      <x:c r="I2976" s="34" t="str">
        <x:v>PASS</x:v>
      </x:c>
      <x:c r="J2976" s="34" t="str">
        <x:v>PASS</x:v>
      </x:c>
      <x:c r="K2976" s="34" t="str">
        <x:v>PASS</x:v>
      </x:c>
      <x:c r="L2976" s="34" t="str">
        <x:v>PASS</x:v>
      </x:c>
      <x:c r="M2976" s="34" t="str">
        <x:v>numeric coverage for applicable metric</x:v>
      </x:c>
      <x:c r="N2976" s="34" t="str">
        <x:v>Feedback-Directed Random Test Generation/Result_Round2/JacksonDatabind_21/result.json</x:v>
      </x:c>
      <x:c r="O2976" s="38" t="n">
        <x:f>IF(AND(G2976="RECORDED",ISNUMBER(H2976)),H2976,"")</x:f>
        <x:v>21.62</x:v>
      </x:c>
      <x:c r="P2976" s="34" t="str">
        <x:v>NOT_REVEALING</x:v>
      </x:c>
      <x:c r="Q2976" s="34" t="str">
        <x:v>Feedback-Directed Random Test Generation/Result_Round2/JacksonDatabind_21/result.json</x:v>
      </x:c>
    </x:row>
    <x:row r="2977">
      <x:c r="A2977" s="34" t="str">
        <x:v>randoop</x:v>
      </x:c>
      <x:c r="B2977" s="34" t="str">
        <x:v>JacksonDatabind</x:v>
      </x:c>
      <x:c r="C2977" s="34" t="str">
        <x:v>Round2</x:v>
      </x:c>
      <x:c r="D2977" s="34" t="str">
        <x:v>JacksonDatabind_22</x:v>
      </x:c>
      <x:c r="E2977" s="34" t="str">
        <x:v>Line</x:v>
      </x:c>
      <x:c r="F2977" s="34" t="n">
        <x:v>638</x:v>
      </x:c>
      <x:c r="G2977" s="34" t="str">
        <x:v>RECORDED</x:v>
      </x:c>
      <x:c r="H2977" s="38" t="n">
        <x:f>IF(ISNUMBER('Data'!H1269),'Data'!H1269*100,"")</x:f>
        <x:v>16.3</x:v>
      </x:c>
      <x:c r="I2977" s="34" t="str">
        <x:v>PASS</x:v>
      </x:c>
      <x:c r="J2977" s="34" t="str">
        <x:v>PASS</x:v>
      </x:c>
      <x:c r="K2977" s="34" t="str">
        <x:v>PASS</x:v>
      </x:c>
      <x:c r="L2977" s="34" t="str">
        <x:v>PASS</x:v>
      </x:c>
      <x:c r="M2977" s="34" t="str">
        <x:v>numeric coverage for applicable metric</x:v>
      </x:c>
      <x:c r="N2977" s="34" t="str">
        <x:v>Feedback-Directed Random Test Generation/Result_Round2/JacksonDatabind_22/result.json</x:v>
      </x:c>
      <x:c r="O2977" s="38" t="n">
        <x:f>IF(AND(G2977="RECORDED",ISNUMBER(H2977)),H2977,"")</x:f>
        <x:v>16.3</x:v>
      </x:c>
      <x:c r="P2977" s="34" t="str">
        <x:v>NOT_AVAILABLE</x:v>
      </x:c>
      <x:c r="Q2977" s="34" t="str">
        <x:v>Feedback-Directed Random Test Generation/Result_Round2/JacksonDatabind_22/result.json</x:v>
      </x:c>
    </x:row>
    <x:row r="2978">
      <x:c r="A2978" s="34" t="str">
        <x:v>randoop</x:v>
      </x:c>
      <x:c r="B2978" s="34" t="str">
        <x:v>JacksonDatabind</x:v>
      </x:c>
      <x:c r="C2978" s="34" t="str">
        <x:v>Round2</x:v>
      </x:c>
      <x:c r="D2978" s="34" t="str">
        <x:v>JacksonDatabind_23</x:v>
      </x:c>
      <x:c r="E2978" s="34" t="str">
        <x:v>Line</x:v>
      </x:c>
      <x:c r="F2978" s="34" t="n">
        <x:v>73</x:v>
      </x:c>
      <x:c r="G2978" s="34" t="str">
        <x:v>RECORDED</x:v>
      </x:c>
      <x:c r="H2978" s="38" t="n">
        <x:f>IF(ISNUMBER('Data'!H1270),'Data'!H1270*100,"")</x:f>
        <x:v>52.05</x:v>
      </x:c>
      <x:c r="I2978" s="34" t="str">
        <x:v>PASS</x:v>
      </x:c>
      <x:c r="J2978" s="34" t="str">
        <x:v>PASS</x:v>
      </x:c>
      <x:c r="K2978" s="34" t="str">
        <x:v>PASS</x:v>
      </x:c>
      <x:c r="L2978" s="34" t="str">
        <x:v>PASS</x:v>
      </x:c>
      <x:c r="M2978" s="34" t="str">
        <x:v>numeric coverage for applicable metric</x:v>
      </x:c>
      <x:c r="N2978" s="34" t="str">
        <x:v>Feedback-Directed Random Test Generation/Result_Round2/JacksonDatabind_23/result.json</x:v>
      </x:c>
      <x:c r="O2978" s="38" t="n">
        <x:f>IF(AND(G2978="RECORDED",ISNUMBER(H2978)),H2978,"")</x:f>
        <x:v>52.05</x:v>
      </x:c>
      <x:c r="P2978" s="34" t="str">
        <x:v>INCONCLUSIVE</x:v>
      </x:c>
      <x:c r="Q2978" s="34" t="str">
        <x:v>Feedback-Directed Random Test Generation/Result_Round2/JacksonDatabind_23/result.json</x:v>
      </x:c>
    </x:row>
    <x:row r="2979">
      <x:c r="A2979" s="34" t="str">
        <x:v>randoop</x:v>
      </x:c>
      <x:c r="B2979" s="34" t="str">
        <x:v>JacksonDatabind</x:v>
      </x:c>
      <x:c r="C2979" s="34" t="str">
        <x:v>Round2</x:v>
      </x:c>
      <x:c r="D2979" s="34" t="str">
        <x:v>JacksonDatabind_24</x:v>
      </x:c>
      <x:c r="E2979" s="34" t="str">
        <x:v>Line</x:v>
      </x:c>
      <x:c r="F2979" s="34" t="n">
        <x:v>67</x:v>
      </x:c>
      <x:c r="G2979" s="34" t="str">
        <x:v>RECORDED</x:v>
      </x:c>
      <x:c r="H2979" s="38" t="n">
        <x:f>IF(ISNUMBER('Data'!H1271),'Data'!H1271*100,"")</x:f>
        <x:v>0</x:v>
      </x:c>
      <x:c r="I2979" s="34" t="str">
        <x:v>PASS</x:v>
      </x:c>
      <x:c r="J2979" s="34" t="str">
        <x:v>PASS</x:v>
      </x:c>
      <x:c r="K2979" s="34" t="str">
        <x:v>PASS</x:v>
      </x:c>
      <x:c r="L2979" s="34" t="str">
        <x:v>PASS</x:v>
      </x:c>
      <x:c r="M2979" s="34" t="str">
        <x:v>numeric coverage for applicable metric</x:v>
      </x:c>
      <x:c r="N2979" s="34" t="str">
        <x:v>Feedback-Directed Random Test Generation/Result_Round2/JacksonDatabind_24/result.json</x:v>
      </x:c>
      <x:c r="O2979" s="38" t="n">
        <x:f>IF(AND(G2979="RECORDED",ISNUMBER(H2979)),H2979,"")</x:f>
        <x:v>0</x:v>
      </x:c>
      <x:c r="P2979" s="34" t="str">
        <x:v>NOT_REVEALING</x:v>
      </x:c>
      <x:c r="Q2979" s="34" t="str">
        <x:v>Feedback-Directed Random Test Generation/Result_Round2/JacksonDatabind_24/result.json</x:v>
      </x:c>
    </x:row>
    <x:row r="2980">
      <x:c r="A2980" s="34" t="str">
        <x:v>randoop</x:v>
      </x:c>
      <x:c r="B2980" s="34" t="str">
        <x:v>JacksonDatabind</x:v>
      </x:c>
      <x:c r="C2980" s="34" t="str">
        <x:v>Round2</x:v>
      </x:c>
      <x:c r="D2980" s="34" t="str">
        <x:v>JacksonDatabind_25</x:v>
      </x:c>
      <x:c r="E2980" s="34" t="str">
        <x:v>Line</x:v>
      </x:c>
      <x:c r="F2980" s="34" t="n">
        <x:v>1058</x:v>
      </x:c>
      <x:c r="G2980" s="34" t="str">
        <x:v>RECORDED</x:v>
      </x:c>
      <x:c r="H2980" s="38" t="n">
        <x:f>IF(ISNUMBER('Data'!H1272),'Data'!H1272*100,"")</x:f>
        <x:v>4.63</x:v>
      </x:c>
      <x:c r="I2980" s="34" t="str">
        <x:v>PASS</x:v>
      </x:c>
      <x:c r="J2980" s="34" t="str">
        <x:v>PASS</x:v>
      </x:c>
      <x:c r="K2980" s="34" t="str">
        <x:v>PASS</x:v>
      </x:c>
      <x:c r="L2980" s="34" t="str">
        <x:v>PASS</x:v>
      </x:c>
      <x:c r="M2980" s="34" t="str">
        <x:v>numeric coverage for applicable metric</x:v>
      </x:c>
      <x:c r="N2980" s="34" t="str">
        <x:v>Feedback-Directed Random Test Generation/Result_Round2/JacksonDatabind_25/result.json</x:v>
      </x:c>
      <x:c r="O2980" s="38" t="n">
        <x:f>IF(AND(G2980="RECORDED",ISNUMBER(H2980)),H2980,"")</x:f>
        <x:v>4.63</x:v>
      </x:c>
      <x:c r="P2980" s="34" t="str">
        <x:v>NOT_REVEALING</x:v>
      </x:c>
      <x:c r="Q2980" s="34" t="str">
        <x:v>Feedback-Directed Random Test Generation/Result_Round2/JacksonDatabind_25/result.json</x:v>
      </x:c>
    </x:row>
    <x:row r="2981">
      <x:c r="A2981" s="34" t="str">
        <x:v>randoop</x:v>
      </x:c>
      <x:c r="B2981" s="34" t="str">
        <x:v>JacksonDatabind</x:v>
      </x:c>
      <x:c r="C2981" s="34" t="str">
        <x:v>Round2</x:v>
      </x:c>
      <x:c r="D2981" s="34" t="str">
        <x:v>JacksonDatabind_26</x:v>
      </x:c>
      <x:c r="E2981" s="34" t="str">
        <x:v>Line</x:v>
      </x:c>
      <x:c r="F2981" s="34" t="n">
        <x:v>267</x:v>
      </x:c>
      <x:c r="G2981" s="34" t="str">
        <x:v>RECORDED</x:v>
      </x:c>
      <x:c r="H2981" s="38" t="n">
        <x:f>IF(ISNUMBER('Data'!H1273),'Data'!H1273*100,"")</x:f>
        <x:v>44.19</x:v>
      </x:c>
      <x:c r="I2981" s="34" t="str">
        <x:v>PASS</x:v>
      </x:c>
      <x:c r="J2981" s="34" t="str">
        <x:v>PASS</x:v>
      </x:c>
      <x:c r="K2981" s="34" t="str">
        <x:v>PASS</x:v>
      </x:c>
      <x:c r="L2981" s="34" t="str">
        <x:v>FAIL</x:v>
      </x:c>
      <x:c r="M2981" s="34" t="str">
        <x:v>numeric coverage for applicable metric</x:v>
      </x:c>
      <x:c r="N2981" s="34" t="str">
        <x:v>Feedback-Directed Random Test Generation/Result_Round2/JacksonDatabind_26/result.json</x:v>
      </x:c>
      <x:c r="O2981" s="38" t="n">
        <x:f>IF(AND(G2981="RECORDED",ISNUMBER(H2981)),H2981,"")</x:f>
        <x:v>44.19</x:v>
      </x:c>
      <x:c r="P2981" s="34" t="str">
        <x:v>INCONCLUSIVE</x:v>
      </x:c>
      <x:c r="Q2981" s="34" t="str">
        <x:v>Feedback-Directed Random Test Generation/Result_Round2/JacksonDatabind_26/result.json</x:v>
      </x:c>
    </x:row>
    <x:row r="2982">
      <x:c r="A2982" s="34" t="str">
        <x:v>randoop</x:v>
      </x:c>
      <x:c r="B2982" s="34" t="str">
        <x:v>JacksonDatabind</x:v>
      </x:c>
      <x:c r="C2982" s="34" t="str">
        <x:v>Round2</x:v>
      </x:c>
      <x:c r="D2982" s="34" t="str">
        <x:v>JacksonDatabind_27</x:v>
      </x:c>
      <x:c r="E2982" s="34" t="str">
        <x:v>Line</x:v>
      </x:c>
      <x:c r="F2982" s="34" t="n">
        <x:v>392</x:v>
      </x:c>
      <x:c r="G2982" s="34" t="str">
        <x:v>RECORDED</x:v>
      </x:c>
      <x:c r="H2982" s="38" t="n">
        <x:f>IF(ISNUMBER('Data'!H1274),'Data'!H1274*100,"")</x:f>
        <x:v>1.53</x:v>
      </x:c>
      <x:c r="I2982" s="34" t="str">
        <x:v>PASS</x:v>
      </x:c>
      <x:c r="J2982" s="34" t="str">
        <x:v>PASS</x:v>
      </x:c>
      <x:c r="K2982" s="34" t="str">
        <x:v>PASS</x:v>
      </x:c>
      <x:c r="L2982" s="34" t="str">
        <x:v>PASS</x:v>
      </x:c>
      <x:c r="M2982" s="34" t="str">
        <x:v>numeric coverage for applicable metric</x:v>
      </x:c>
      <x:c r="N2982" s="34" t="str">
        <x:v>Feedback-Directed Random Test Generation/Result_Round2/JacksonDatabind_27/result.json</x:v>
      </x:c>
      <x:c r="O2982" s="38" t="n">
        <x:f>IF(AND(G2982="RECORDED",ISNUMBER(H2982)),H2982,"")</x:f>
        <x:v>1.53</x:v>
      </x:c>
      <x:c r="P2982" s="34" t="str">
        <x:v>NOT_REVEALING</x:v>
      </x:c>
      <x:c r="Q2982" s="34" t="str">
        <x:v>Feedback-Directed Random Test Generation/Result_Round2/JacksonDatabind_27/result.json</x:v>
      </x:c>
    </x:row>
    <x:row r="2983">
      <x:c r="A2983" s="34" t="str">
        <x:v>randoop</x:v>
      </x:c>
      <x:c r="B2983" s="34" t="str">
        <x:v>JacksonDatabind</x:v>
      </x:c>
      <x:c r="C2983" s="34" t="str">
        <x:v>Round2</x:v>
      </x:c>
      <x:c r="D2983" s="34" t="str">
        <x:v>JacksonDatabind_28</x:v>
      </x:c>
      <x:c r="E2983" s="34" t="str">
        <x:v>Line</x:v>
      </x:c>
      <x:c r="F2983" s="34" t="n">
        <x:v>31</x:v>
      </x:c>
      <x:c r="G2983" s="34" t="str">
        <x:v>RECORDED</x:v>
      </x:c>
      <x:c r="H2983" s="38" t="n">
        <x:f>IF(ISNUMBER('Data'!H1275),'Data'!H1275*100,"")</x:f>
        <x:v>45.16</x:v>
      </x:c>
      <x:c r="I2983" s="34" t="str">
        <x:v>PASS</x:v>
      </x:c>
      <x:c r="J2983" s="34" t="str">
        <x:v>PASS</x:v>
      </x:c>
      <x:c r="K2983" s="34" t="str">
        <x:v>PASS</x:v>
      </x:c>
      <x:c r="L2983" s="34" t="str">
        <x:v>PASS</x:v>
      </x:c>
      <x:c r="M2983" s="34" t="str">
        <x:v>numeric coverage for applicable metric</x:v>
      </x:c>
      <x:c r="N2983" s="34" t="str">
        <x:v>Feedback-Directed Random Test Generation/Result_Round2/JacksonDatabind_28/result.json</x:v>
      </x:c>
      <x:c r="O2983" s="38" t="n">
        <x:f>IF(AND(G2983="RECORDED",ISNUMBER(H2983)),H2983,"")</x:f>
        <x:v>45.16</x:v>
      </x:c>
      <x:c r="P2983" s="34" t="str">
        <x:v>NOT_REVEALING</x:v>
      </x:c>
      <x:c r="Q2983" s="34" t="str">
        <x:v>Feedback-Directed Random Test Generation/Result_Round2/JacksonDatabind_28/result.json</x:v>
      </x:c>
    </x:row>
    <x:row r="2984">
      <x:c r="A2984" s="34" t="str">
        <x:v>randoop</x:v>
      </x:c>
      <x:c r="B2984" s="34" t="str">
        <x:v>JacksonDatabind</x:v>
      </x:c>
      <x:c r="C2984" s="34" t="str">
        <x:v>Round2</x:v>
      </x:c>
      <x:c r="D2984" s="34" t="str">
        <x:v>JacksonDatabind_29</x:v>
      </x:c>
      <x:c r="E2984" s="34" t="str">
        <x:v>Line</x:v>
      </x:c>
      <x:c r="F2984" s="34" t="n">
        <x:v>141</x:v>
      </x:c>
      <x:c r="G2984" s="34" t="str">
        <x:v>RECORDED</x:v>
      </x:c>
      <x:c r="H2984" s="38" t="n">
        <x:f>IF(ISNUMBER('Data'!H1276),'Data'!H1276*100,"")</x:f>
        <x:v>27.66</x:v>
      </x:c>
      <x:c r="I2984" s="34" t="str">
        <x:v>PASS</x:v>
      </x:c>
      <x:c r="J2984" s="34" t="str">
        <x:v>PASS</x:v>
      </x:c>
      <x:c r="K2984" s="34" t="str">
        <x:v>PASS</x:v>
      </x:c>
      <x:c r="L2984" s="34" t="str">
        <x:v>PASS</x:v>
      </x:c>
      <x:c r="M2984" s="34" t="str">
        <x:v>numeric coverage for applicable metric</x:v>
      </x:c>
      <x:c r="N2984" s="34" t="str">
        <x:v>Feedback-Directed Random Test Generation/Result_Round2/JacksonDatabind_29/result.json</x:v>
      </x:c>
      <x:c r="O2984" s="38" t="n">
        <x:f>IF(AND(G2984="RECORDED",ISNUMBER(H2984)),H2984,"")</x:f>
        <x:v>27.66</x:v>
      </x:c>
      <x:c r="P2984" s="34" t="str">
        <x:v>NOT_REVEALING</x:v>
      </x:c>
      <x:c r="Q2984" s="34" t="str">
        <x:v>Feedback-Directed Random Test Generation/Result_Round2/JacksonDatabind_29/result.json</x:v>
      </x:c>
    </x:row>
    <x:row r="2985">
      <x:c r="A2985" s="34" t="str">
        <x:v>randoop</x:v>
      </x:c>
      <x:c r="B2985" s="34" t="str">
        <x:v>JacksonDatabind</x:v>
      </x:c>
      <x:c r="C2985" s="34" t="str">
        <x:v>Round2</x:v>
      </x:c>
      <x:c r="D2985" s="34" t="str">
        <x:v>JacksonDatabind_30</x:v>
      </x:c>
      <x:c r="E2985" s="34" t="str">
        <x:v>Line</x:v>
      </x:c>
      <x:c r="F2985" s="34" t="n">
        <x:v>1332</x:v>
      </x:c>
      <x:c r="G2985" s="34" t="str">
        <x:v>RECORDED</x:v>
      </x:c>
      <x:c r="H2985" s="38" t="n">
        <x:f>IF(ISNUMBER('Data'!H1277),'Data'!H1277*100,"")</x:f>
        <x:v>54.79999999999999</x:v>
      </x:c>
      <x:c r="I2985" s="34" t="str">
        <x:v>PASS</x:v>
      </x:c>
      <x:c r="J2985" s="34" t="str">
        <x:v>PASS</x:v>
      </x:c>
      <x:c r="K2985" s="34" t="str">
        <x:v>PASS</x:v>
      </x:c>
      <x:c r="L2985" s="34" t="str">
        <x:v>FAIL</x:v>
      </x:c>
      <x:c r="M2985" s="34" t="str">
        <x:v>numeric coverage for applicable metric</x:v>
      </x:c>
      <x:c r="N2985" s="34" t="str">
        <x:v>Feedback-Directed Random Test Generation/Result_Round2/JacksonDatabind_30/result.json</x:v>
      </x:c>
      <x:c r="O2985" s="38" t="n">
        <x:f>IF(AND(G2985="RECORDED",ISNUMBER(H2985)),H2985,"")</x:f>
        <x:v>54.79999999999999</x:v>
      </x:c>
      <x:c r="P2985" s="34" t="str">
        <x:v>INCONCLUSIVE</x:v>
      </x:c>
      <x:c r="Q2985" s="34" t="str">
        <x:v>Feedback-Directed Random Test Generation/Result_Round2/JacksonDatabind_30/result.json</x:v>
      </x:c>
    </x:row>
    <x:row r="2986">
      <x:c r="A2986" s="34" t="str">
        <x:v>randoop</x:v>
      </x:c>
      <x:c r="B2986" s="34" t="str">
        <x:v>JacksonDatabind</x:v>
      </x:c>
      <x:c r="C2986" s="34" t="str">
        <x:v>Round2</x:v>
      </x:c>
      <x:c r="D2986" s="34" t="str">
        <x:v>JacksonDatabind_31</x:v>
      </x:c>
      <x:c r="E2986" s="34" t="str">
        <x:v>Line</x:v>
      </x:c>
      <x:c r="F2986" s="34" t="n">
        <x:v>655</x:v>
      </x:c>
      <x:c r="G2986" s="34" t="str">
        <x:v>RECORDED</x:v>
      </x:c>
      <x:c r="H2986" s="38" t="n">
        <x:f>IF(ISNUMBER('Data'!H1278),'Data'!H1278*100,"")</x:f>
        <x:v>74.05</x:v>
      </x:c>
      <x:c r="I2986" s="34" t="str">
        <x:v>PASS</x:v>
      </x:c>
      <x:c r="J2986" s="34" t="str">
        <x:v>PASS</x:v>
      </x:c>
      <x:c r="K2986" s="34" t="str">
        <x:v>PASS</x:v>
      </x:c>
      <x:c r="L2986" s="34" t="str">
        <x:v>PASS</x:v>
      </x:c>
      <x:c r="M2986" s="34" t="str">
        <x:v>numeric coverage for applicable metric</x:v>
      </x:c>
      <x:c r="N2986" s="34" t="str">
        <x:v>Feedback-Directed Random Test Generation/Result_Round2/JacksonDatabind_31/result.json</x:v>
      </x:c>
      <x:c r="O2986" s="38" t="n">
        <x:f>IF(AND(G2986="RECORDED",ISNUMBER(H2986)),H2986,"")</x:f>
        <x:v>74.05</x:v>
      </x:c>
      <x:c r="P2986" s="34" t="str">
        <x:v>INCONCLUSIVE</x:v>
      </x:c>
      <x:c r="Q2986" s="34" t="str">
        <x:v>Feedback-Directed Random Test Generation/Result_Round2/JacksonDatabind_31/result.json</x:v>
      </x:c>
    </x:row>
    <x:row r="2987">
      <x:c r="A2987" s="34" t="str">
        <x:v>randoop</x:v>
      </x:c>
      <x:c r="B2987" s="34" t="str">
        <x:v>JacksonDatabind</x:v>
      </x:c>
      <x:c r="C2987" s="34" t="str">
        <x:v>Round2</x:v>
      </x:c>
      <x:c r="D2987" s="34" t="str">
        <x:v>JacksonDatabind_32</x:v>
      </x:c>
      <x:c r="E2987" s="34" t="str">
        <x:v>Line</x:v>
      </x:c>
      <x:c r="F2987" s="34" t="n">
        <x:v>262</x:v>
      </x:c>
      <x:c r="G2987" s="34" t="str">
        <x:v>RECORDED</x:v>
      </x:c>
      <x:c r="H2987" s="38" t="n">
        <x:f>IF(ISNUMBER('Data'!H1279),'Data'!H1279*100,"")</x:f>
        <x:v>10.69</x:v>
      </x:c>
      <x:c r="I2987" s="34" t="str">
        <x:v>PASS</x:v>
      </x:c>
      <x:c r="J2987" s="34" t="str">
        <x:v>PASS</x:v>
      </x:c>
      <x:c r="K2987" s="34" t="str">
        <x:v>PASS</x:v>
      </x:c>
      <x:c r="L2987" s="34" t="str">
        <x:v>FAIL</x:v>
      </x:c>
      <x:c r="M2987" s="34" t="str">
        <x:v>numeric coverage for applicable metric</x:v>
      </x:c>
      <x:c r="N2987" s="34" t="str">
        <x:v>Feedback-Directed Random Test Generation/Result_Round2/JacksonDatabind_32/result.json</x:v>
      </x:c>
      <x:c r="O2987" s="38" t="n">
        <x:f>IF(AND(G2987="RECORDED",ISNUMBER(H2987)),H2987,"")</x:f>
        <x:v>10.69</x:v>
      </x:c>
      <x:c r="P2987" s="34" t="str">
        <x:v>INCONCLUSIVE</x:v>
      </x:c>
      <x:c r="Q2987" s="34" t="str">
        <x:v>Feedback-Directed Random Test Generation/Result_Round2/JacksonDatabind_32/result.json</x:v>
      </x:c>
    </x:row>
    <x:row r="2988">
      <x:c r="A2988" s="34" t="str">
        <x:v>randoop</x:v>
      </x:c>
      <x:c r="B2988" s="34" t="str">
        <x:v>JacksonDatabind</x:v>
      </x:c>
      <x:c r="C2988" s="34" t="str">
        <x:v>Round2</x:v>
      </x:c>
      <x:c r="D2988" s="34" t="str">
        <x:v>JacksonDatabind_33</x:v>
      </x:c>
      <x:c r="E2988" s="34" t="str">
        <x:v>Line</x:v>
      </x:c>
      <x:c r="F2988" s="34" t="n">
        <x:v>368</x:v>
      </x:c>
      <x:c r="G2988" s="34" t="str">
        <x:v>RECORDED</x:v>
      </x:c>
      <x:c r="H2988" s="38" t="n">
        <x:f>IF(ISNUMBER('Data'!H1280),'Data'!H1280*100,"")</x:f>
        <x:v>19.57</x:v>
      </x:c>
      <x:c r="I2988" s="34" t="str">
        <x:v>PASS</x:v>
      </x:c>
      <x:c r="J2988" s="34" t="str">
        <x:v>PASS</x:v>
      </x:c>
      <x:c r="K2988" s="34" t="str">
        <x:v>PASS</x:v>
      </x:c>
      <x:c r="L2988" s="34" t="str">
        <x:v>PASS</x:v>
      </x:c>
      <x:c r="M2988" s="34" t="str">
        <x:v>numeric coverage for applicable metric</x:v>
      </x:c>
      <x:c r="N2988" s="34" t="str">
        <x:v>Feedback-Directed Random Test Generation/Result_Round2/JacksonDatabind_33/result.json</x:v>
      </x:c>
      <x:c r="O2988" s="38" t="n">
        <x:f>IF(AND(G2988="RECORDED",ISNUMBER(H2988)),H2988,"")</x:f>
        <x:v>19.57</x:v>
      </x:c>
      <x:c r="P2988" s="34" t="str">
        <x:v>NOT_REVEALING</x:v>
      </x:c>
      <x:c r="Q2988" s="34" t="str">
        <x:v>Feedback-Directed Random Test Generation/Result_Round2/JacksonDatabind_33/result.json</x:v>
      </x:c>
    </x:row>
    <x:row r="2989">
      <x:c r="A2989" s="34" t="str">
        <x:v>randoop</x:v>
      </x:c>
      <x:c r="B2989" s="34" t="str">
        <x:v>JacksonDatabind</x:v>
      </x:c>
      <x:c r="C2989" s="34" t="str">
        <x:v>Round2</x:v>
      </x:c>
      <x:c r="D2989" s="34" t="str">
        <x:v>JacksonDatabind_34</x:v>
      </x:c>
      <x:c r="E2989" s="34" t="str">
        <x:v>Line</x:v>
      </x:c>
      <x:c r="F2989" s="34" t="n">
        <x:v>29</x:v>
      </x:c>
      <x:c r="G2989" s="34" t="str">
        <x:v>RECORDED</x:v>
      </x:c>
      <x:c r="H2989" s="38" t="n">
        <x:f>IF(ISNUMBER('Data'!H1281),'Data'!H1281*100,"")</x:f>
        <x:v>75.86</x:v>
      </x:c>
      <x:c r="I2989" s="34" t="str">
        <x:v>PASS</x:v>
      </x:c>
      <x:c r="J2989" s="34" t="str">
        <x:v>PASS</x:v>
      </x:c>
      <x:c r="K2989" s="34" t="str">
        <x:v>PASS</x:v>
      </x:c>
      <x:c r="L2989" s="34" t="str">
        <x:v>PASS</x:v>
      </x:c>
      <x:c r="M2989" s="34" t="str">
        <x:v>numeric coverage for applicable metric</x:v>
      </x:c>
      <x:c r="N2989" s="34" t="str">
        <x:v>Feedback-Directed Random Test Generation/Result_Round2/JacksonDatabind_34/result.json</x:v>
      </x:c>
      <x:c r="O2989" s="38" t="n">
        <x:f>IF(AND(G2989="RECORDED",ISNUMBER(H2989)),H2989,"")</x:f>
        <x:v>75.86</x:v>
      </x:c>
      <x:c r="P2989" s="34" t="str">
        <x:v>NOT_REVEALING</x:v>
      </x:c>
      <x:c r="Q2989" s="34" t="str">
        <x:v>Feedback-Directed Random Test Generation/Result_Round2/JacksonDatabind_34/result.json</x:v>
      </x:c>
    </x:row>
    <x:row r="2990">
      <x:c r="A2990" s="34" t="str">
        <x:v>randoop</x:v>
      </x:c>
      <x:c r="B2990" s="34" t="str">
        <x:v>JacksonDatabind</x:v>
      </x:c>
      <x:c r="C2990" s="34" t="str">
        <x:v>Round2</x:v>
      </x:c>
      <x:c r="D2990" s="34" t="str">
        <x:v>JacksonDatabind_35</x:v>
      </x:c>
      <x:c r="E2990" s="34" t="str">
        <x:v>Line</x:v>
      </x:c>
      <x:c r="F2990" s="34" t="n">
        <x:v>34</x:v>
      </x:c>
      <x:c r="G2990" s="34" t="str">
        <x:v>RECORDED</x:v>
      </x:c>
      <x:c r="H2990" s="38" t="n">
        <x:f>IF(ISNUMBER('Data'!H1282),'Data'!H1282*100,"")</x:f>
        <x:v>2.94</x:v>
      </x:c>
      <x:c r="I2990" s="34" t="str">
        <x:v>PASS</x:v>
      </x:c>
      <x:c r="J2990" s="34" t="str">
        <x:v>PASS</x:v>
      </x:c>
      <x:c r="K2990" s="34" t="str">
        <x:v>PASS</x:v>
      </x:c>
      <x:c r="L2990" s="34" t="str">
        <x:v>PASS</x:v>
      </x:c>
      <x:c r="M2990" s="34" t="str">
        <x:v>numeric coverage for applicable metric</x:v>
      </x:c>
      <x:c r="N2990" s="34" t="str">
        <x:v>Feedback-Directed Random Test Generation/Result_Round2/JacksonDatabind_35/result.json</x:v>
      </x:c>
      <x:c r="O2990" s="38" t="n">
        <x:f>IF(AND(G2990="RECORDED",ISNUMBER(H2990)),H2990,"")</x:f>
        <x:v>2.94</x:v>
      </x:c>
      <x:c r="P2990" s="34" t="str">
        <x:v>NOT_REVEALING</x:v>
      </x:c>
      <x:c r="Q2990" s="34" t="str">
        <x:v>Feedback-Directed Random Test Generation/Result_Round2/JacksonDatabind_35/result.json</x:v>
      </x:c>
    </x:row>
    <x:row r="2991">
      <x:c r="A2991" s="34" t="str">
        <x:v>randoop</x:v>
      </x:c>
      <x:c r="B2991" s="34" t="str">
        <x:v>JacksonDatabind</x:v>
      </x:c>
      <x:c r="C2991" s="34" t="str">
        <x:v>Round2</x:v>
      </x:c>
      <x:c r="D2991" s="34" t="str">
        <x:v>JacksonDatabind_36</x:v>
      </x:c>
      <x:c r="E2991" s="34" t="str">
        <x:v>Line</x:v>
      </x:c>
      <x:c r="F2991" s="34" t="n">
        <x:v>193</x:v>
      </x:c>
      <x:c r="G2991" s="34" t="str">
        <x:v>RECORDED</x:v>
      </x:c>
      <x:c r="H2991" s="38" t="n">
        <x:f>IF(ISNUMBER('Data'!H1283),'Data'!H1283*100,"")</x:f>
        <x:v>89.12</x:v>
      </x:c>
      <x:c r="I2991" s="34" t="str">
        <x:v>PASS</x:v>
      </x:c>
      <x:c r="J2991" s="34" t="str">
        <x:v>PASS</x:v>
      </x:c>
      <x:c r="K2991" s="34" t="str">
        <x:v>PASS</x:v>
      </x:c>
      <x:c r="L2991" s="34" t="str">
        <x:v>FAIL</x:v>
      </x:c>
      <x:c r="M2991" s="34" t="str">
        <x:v>numeric coverage for applicable metric</x:v>
      </x:c>
      <x:c r="N2991" s="34" t="str">
        <x:v>Feedback-Directed Random Test Generation/Result_Round2/JacksonDatabind_36/result.json</x:v>
      </x:c>
      <x:c r="O2991" s="38" t="n">
        <x:f>IF(AND(G2991="RECORDED",ISNUMBER(H2991)),H2991,"")</x:f>
        <x:v>89.12</x:v>
      </x:c>
      <x:c r="P2991" s="34" t="str">
        <x:v>INCONCLUSIVE</x:v>
      </x:c>
      <x:c r="Q2991" s="34" t="str">
        <x:v>Feedback-Directed Random Test Generation/Result_Round2/JacksonDatabind_36/result.json</x:v>
      </x:c>
    </x:row>
    <x:row r="2992">
      <x:c r="A2992" s="34" t="str">
        <x:v>randoop</x:v>
      </x:c>
      <x:c r="B2992" s="34" t="str">
        <x:v>JacksonDatabind</x:v>
      </x:c>
      <x:c r="C2992" s="34" t="str">
        <x:v>Round2</x:v>
      </x:c>
      <x:c r="D2992" s="34" t="str">
        <x:v>JacksonDatabind_37</x:v>
      </x:c>
      <x:c r="E2992" s="34" t="str">
        <x:v>Line</x:v>
      </x:c>
      <x:c r="F2992" s="34" t="n">
        <x:v>67</x:v>
      </x:c>
      <x:c r="G2992" s="34" t="str">
        <x:v>RECORDED</x:v>
      </x:c>
      <x:c r="H2992" s="38" t="n">
        <x:f>IF(ISNUMBER('Data'!H1284),'Data'!H1284*100,"")</x:f>
        <x:v>1.49</x:v>
      </x:c>
      <x:c r="I2992" s="34" t="str">
        <x:v>PASS</x:v>
      </x:c>
      <x:c r="J2992" s="34" t="str">
        <x:v>PASS</x:v>
      </x:c>
      <x:c r="K2992" s="34" t="str">
        <x:v>PASS</x:v>
      </x:c>
      <x:c r="L2992" s="34" t="str">
        <x:v>PASS</x:v>
      </x:c>
      <x:c r="M2992" s="34" t="str">
        <x:v>numeric coverage for applicable metric</x:v>
      </x:c>
      <x:c r="N2992" s="34" t="str">
        <x:v>Feedback-Directed Random Test Generation/Result_Round2/JacksonDatabind_37/result.json</x:v>
      </x:c>
      <x:c r="O2992" s="38" t="n">
        <x:f>IF(AND(G2992="RECORDED",ISNUMBER(H2992)),H2992,"")</x:f>
        <x:v>1.49</x:v>
      </x:c>
      <x:c r="P2992" s="34" t="str">
        <x:v>NOT_REVEALING</x:v>
      </x:c>
      <x:c r="Q2992" s="34" t="str">
        <x:v>Feedback-Directed Random Test Generation/Result_Round2/JacksonDatabind_37/result.json</x:v>
      </x:c>
    </x:row>
    <x:row r="2993">
      <x:c r="A2993" s="34" t="str">
        <x:v>randoop</x:v>
      </x:c>
      <x:c r="B2993" s="34" t="str">
        <x:v>JacksonDatabind</x:v>
      </x:c>
      <x:c r="C2993" s="34" t="str">
        <x:v>Round2</x:v>
      </x:c>
      <x:c r="D2993" s="34" t="str">
        <x:v>JacksonDatabind_38</x:v>
      </x:c>
      <x:c r="E2993" s="34" t="str">
        <x:v>Line</x:v>
      </x:c>
      <x:c r="F2993" s="34" t="n">
        <x:v>122</x:v>
      </x:c>
      <x:c r="G2993" s="34" t="str">
        <x:v>RECORDED</x:v>
      </x:c>
      <x:c r="H2993" s="38" t="n">
        <x:f>IF(ISNUMBER('Data'!H1285),'Data'!H1285*100,"")</x:f>
        <x:v>2.46</x:v>
      </x:c>
      <x:c r="I2993" s="34" t="str">
        <x:v>PASS</x:v>
      </x:c>
      <x:c r="J2993" s="34" t="str">
        <x:v>PASS</x:v>
      </x:c>
      <x:c r="K2993" s="34" t="str">
        <x:v>PASS</x:v>
      </x:c>
      <x:c r="L2993" s="34" t="str">
        <x:v>PASS</x:v>
      </x:c>
      <x:c r="M2993" s="34" t="str">
        <x:v>numeric coverage for applicable metric</x:v>
      </x:c>
      <x:c r="N2993" s="34" t="str">
        <x:v>Feedback-Directed Random Test Generation/Result_Round2/JacksonDatabind_38/result.json</x:v>
      </x:c>
      <x:c r="O2993" s="38" t="n">
        <x:f>IF(AND(G2993="RECORDED",ISNUMBER(H2993)),H2993,"")</x:f>
        <x:v>2.46</x:v>
      </x:c>
      <x:c r="P2993" s="34" t="str">
        <x:v>NOT_REVEALING</x:v>
      </x:c>
      <x:c r="Q2993" s="34" t="str">
        <x:v>Feedback-Directed Random Test Generation/Result_Round2/JacksonDatabind_38/result.json</x:v>
      </x:c>
    </x:row>
    <x:row r="2994">
      <x:c r="A2994" s="34" t="str">
        <x:v>randoop</x:v>
      </x:c>
      <x:c r="B2994" s="34" t="str">
        <x:v>JacksonDatabind</x:v>
      </x:c>
      <x:c r="C2994" s="34" t="str">
        <x:v>Round2</x:v>
      </x:c>
      <x:c r="D2994" s="34" t="str">
        <x:v>JacksonDatabind_39</x:v>
      </x:c>
      <x:c r="E2994" s="34" t="str">
        <x:v>Line</x:v>
      </x:c>
      <x:c r="F2994" s="34" t="n">
        <x:v>7</x:v>
      </x:c>
      <x:c r="G2994" s="34" t="str">
        <x:v>RECORDED</x:v>
      </x:c>
      <x:c r="H2994" s="38" t="n">
        <x:f>IF(ISNUMBER('Data'!H1286),'Data'!H1286*100,"")</x:f>
        <x:v>57.14</x:v>
      </x:c>
      <x:c r="I2994" s="34" t="str">
        <x:v>PASS</x:v>
      </x:c>
      <x:c r="J2994" s="34" t="str">
        <x:v>PASS</x:v>
      </x:c>
      <x:c r="K2994" s="34" t="str">
        <x:v>PASS</x:v>
      </x:c>
      <x:c r="L2994" s="34" t="str">
        <x:v>PASS</x:v>
      </x:c>
      <x:c r="M2994" s="34" t="str">
        <x:v>numeric coverage for applicable metric</x:v>
      </x:c>
      <x:c r="N2994" s="34" t="str">
        <x:v>Feedback-Directed Random Test Generation/Result_Round2/JacksonDatabind_39/result.json</x:v>
      </x:c>
      <x:c r="O2994" s="38" t="n">
        <x:f>IF(AND(G2994="RECORDED",ISNUMBER(H2994)),H2994,"")</x:f>
        <x:v>57.14</x:v>
      </x:c>
      <x:c r="P2994" s="34" t="str">
        <x:v>NOT_REVEALING</x:v>
      </x:c>
      <x:c r="Q2994" s="34" t="str">
        <x:v>Feedback-Directed Random Test Generation/Result_Round2/JacksonDatabind_39/result.json</x:v>
      </x:c>
    </x:row>
    <x:row r="2995">
      <x:c r="A2995" s="34" t="str">
        <x:v>randoop</x:v>
      </x:c>
      <x:c r="B2995" s="34" t="str">
        <x:v>JacksonDatabind</x:v>
      </x:c>
      <x:c r="C2995" s="34" t="str">
        <x:v>Round2</x:v>
      </x:c>
      <x:c r="D2995" s="34" t="str">
        <x:v>JacksonDatabind_40</x:v>
      </x:c>
      <x:c r="E2995" s="34" t="str">
        <x:v>Line</x:v>
      </x:c>
      <x:c r="F2995" s="34" t="n">
        <x:v>219</x:v>
      </x:c>
      <x:c r="G2995" s="34" t="str">
        <x:v>RECORDED</x:v>
      </x:c>
      <x:c r="H2995" s="38" t="n">
        <x:f>IF(ISNUMBER('Data'!H1287),'Data'!H1287*100,"")</x:f>
        <x:v>31.96</x:v>
      </x:c>
      <x:c r="I2995" s="34" t="str">
        <x:v>PASS</x:v>
      </x:c>
      <x:c r="J2995" s="34" t="str">
        <x:v>PASS</x:v>
      </x:c>
      <x:c r="K2995" s="34" t="str">
        <x:v>PASS</x:v>
      </x:c>
      <x:c r="L2995" s="34" t="str">
        <x:v>PASS</x:v>
      </x:c>
      <x:c r="M2995" s="34" t="str">
        <x:v>numeric coverage for applicable metric</x:v>
      </x:c>
      <x:c r="N2995" s="34" t="str">
        <x:v>Feedback-Directed Random Test Generation/Result_Round2/JacksonDatabind_40/result.json</x:v>
      </x:c>
      <x:c r="O2995" s="38" t="n">
        <x:f>IF(AND(G2995="RECORDED",ISNUMBER(H2995)),H2995,"")</x:f>
        <x:v>31.96</x:v>
      </x:c>
      <x:c r="P2995" s="34" t="str">
        <x:v>INCONCLUSIVE</x:v>
      </x:c>
      <x:c r="Q2995" s="34" t="str">
        <x:v>Feedback-Directed Random Test Generation/Result_Round2/JacksonDatabind_40/result.json</x:v>
      </x:c>
    </x:row>
    <x:row r="2996">
      <x:c r="A2996" s="34" t="str">
        <x:v>randoop</x:v>
      </x:c>
      <x:c r="B2996" s="34" t="str">
        <x:v>JacksonDatabind</x:v>
      </x:c>
      <x:c r="C2996" s="34" t="str">
        <x:v>Round2</x:v>
      </x:c>
      <x:c r="D2996" s="34" t="str">
        <x:v>JacksonDatabind_41</x:v>
      </x:c>
      <x:c r="E2996" s="34" t="str">
        <x:v>Line</x:v>
      </x:c>
      <x:c r="F2996" s="34" t="n">
        <x:v>339</x:v>
      </x:c>
      <x:c r="G2996" s="34" t="str">
        <x:v>RECORDED</x:v>
      </x:c>
      <x:c r="H2996" s="38" t="n">
        <x:f>IF(ISNUMBER('Data'!H1288),'Data'!H1288*100,"")</x:f>
        <x:v>47.49</x:v>
      </x:c>
      <x:c r="I2996" s="34" t="str">
        <x:v>PASS</x:v>
      </x:c>
      <x:c r="J2996" s="34" t="str">
        <x:v>PASS</x:v>
      </x:c>
      <x:c r="K2996" s="34" t="str">
        <x:v>PASS</x:v>
      </x:c>
      <x:c r="L2996" s="34" t="str">
        <x:v>PASS</x:v>
      </x:c>
      <x:c r="M2996" s="34" t="str">
        <x:v>numeric coverage for applicable metric</x:v>
      </x:c>
      <x:c r="N2996" s="34" t="str">
        <x:v>Feedback-Directed Random Test Generation/Result_Round2/JacksonDatabind_41/result.json</x:v>
      </x:c>
      <x:c r="O2996" s="38" t="n">
        <x:f>IF(AND(G2996="RECORDED",ISNUMBER(H2996)),H2996,"")</x:f>
        <x:v>47.49</x:v>
      </x:c>
      <x:c r="P2996" s="34" t="str">
        <x:v>INCONCLUSIVE</x:v>
      </x:c>
      <x:c r="Q2996" s="34" t="str">
        <x:v>Feedback-Directed Random Test Generation/Result_Round2/JacksonDatabind_41/result.json</x:v>
      </x:c>
    </x:row>
    <x:row r="2997">
      <x:c r="A2997" s="34" t="str">
        <x:v>randoop</x:v>
      </x:c>
      <x:c r="B2997" s="34" t="str">
        <x:v>JacksonDatabind</x:v>
      </x:c>
      <x:c r="C2997" s="34" t="str">
        <x:v>Round2</x:v>
      </x:c>
      <x:c r="D2997" s="34" t="str">
        <x:v>JacksonDatabind_42</x:v>
      </x:c>
      <x:c r="E2997" s="34" t="str">
        <x:v>Line</x:v>
      </x:c>
      <x:c r="F2997" s="34" t="n">
        <x:v>110</x:v>
      </x:c>
      <x:c r="G2997" s="34" t="str">
        <x:v>RECORDED</x:v>
      </x:c>
      <x:c r="H2997" s="38" t="n">
        <x:f>IF(ISNUMBER('Data'!H1289),'Data'!H1289*100,"")</x:f>
        <x:v>0.91</x:v>
      </x:c>
      <x:c r="I2997" s="34" t="str">
        <x:v>PASS</x:v>
      </x:c>
      <x:c r="J2997" s="34" t="str">
        <x:v>PASS</x:v>
      </x:c>
      <x:c r="K2997" s="34" t="str">
        <x:v>PASS</x:v>
      </x:c>
      <x:c r="L2997" s="34" t="str">
        <x:v>PASS</x:v>
      </x:c>
      <x:c r="M2997" s="34" t="str">
        <x:v>numeric coverage for applicable metric</x:v>
      </x:c>
      <x:c r="N2997" s="34" t="str">
        <x:v>Feedback-Directed Random Test Generation/Result_Round2/JacksonDatabind_42/result.json</x:v>
      </x:c>
      <x:c r="O2997" s="38" t="n">
        <x:f>IF(AND(G2997="RECORDED",ISNUMBER(H2997)),H2997,"")</x:f>
        <x:v>0.91</x:v>
      </x:c>
      <x:c r="P2997" s="34" t="str">
        <x:v>NOT_REVEALING</x:v>
      </x:c>
      <x:c r="Q2997" s="34" t="str">
        <x:v>Feedback-Directed Random Test Generation/Result_Round2/JacksonDatabind_42/result.json</x:v>
      </x:c>
    </x:row>
    <x:row r="2998">
      <x:c r="A2998" s="34" t="str">
        <x:v>randoop</x:v>
      </x:c>
      <x:c r="B2998" s="34" t="str">
        <x:v>JacksonDatabind</x:v>
      </x:c>
      <x:c r="C2998" s="34" t="str">
        <x:v>Round2</x:v>
      </x:c>
      <x:c r="D2998" s="34" t="str">
        <x:v>JacksonDatabind_43</x:v>
      </x:c>
      <x:c r="E2998" s="34" t="str">
        <x:v>Line</x:v>
      </x:c>
      <x:c r="F2998" s="34" t="n">
        <x:v>32</x:v>
      </x:c>
      <x:c r="G2998" s="34" t="str">
        <x:v>RECORDED</x:v>
      </x:c>
      <x:c r="H2998" s="38" t="n">
        <x:f>IF(ISNUMBER('Data'!H1290),'Data'!H1290*100,"")</x:f>
        <x:v>6.25</x:v>
      </x:c>
      <x:c r="I2998" s="34" t="str">
        <x:v>PASS</x:v>
      </x:c>
      <x:c r="J2998" s="34" t="str">
        <x:v>PASS</x:v>
      </x:c>
      <x:c r="K2998" s="34" t="str">
        <x:v>PASS</x:v>
      </x:c>
      <x:c r="L2998" s="34" t="str">
        <x:v>PASS</x:v>
      </x:c>
      <x:c r="M2998" s="34" t="str">
        <x:v>numeric coverage for applicable metric</x:v>
      </x:c>
      <x:c r="N2998" s="34" t="str">
        <x:v>Feedback-Directed Random Test Generation/Result_Round2/JacksonDatabind_43/result.json</x:v>
      </x:c>
      <x:c r="O2998" s="38" t="n">
        <x:f>IF(AND(G2998="RECORDED",ISNUMBER(H2998)),H2998,"")</x:f>
        <x:v>6.25</x:v>
      </x:c>
      <x:c r="P2998" s="34" t="str">
        <x:v>NOT_REVEALING</x:v>
      </x:c>
      <x:c r="Q2998" s="34" t="str">
        <x:v>Feedback-Directed Random Test Generation/Result_Round2/JacksonDatabind_43/result.json</x:v>
      </x:c>
    </x:row>
    <x:row r="2999">
      <x:c r="A2999" s="34" t="str">
        <x:v>randoop</x:v>
      </x:c>
      <x:c r="B2999" s="34" t="str">
        <x:v>JacksonDatabind</x:v>
      </x:c>
      <x:c r="C2999" s="34" t="str">
        <x:v>Round2</x:v>
      </x:c>
      <x:c r="D2999" s="34" t="str">
        <x:v>JacksonDatabind_44</x:v>
      </x:c>
      <x:c r="E2999" s="34" t="str">
        <x:v>Line</x:v>
      </x:c>
      <x:c r="F2999" s="34" t="n">
        <x:v>75</x:v>
      </x:c>
      <x:c r="G2999" s="34" t="str">
        <x:v>RECORDED</x:v>
      </x:c>
      <x:c r="H2999" s="38" t="n">
        <x:f>IF(ISNUMBER('Data'!H1291),'Data'!H1291*100,"")</x:f>
        <x:v>1.33</x:v>
      </x:c>
      <x:c r="I2999" s="34" t="str">
        <x:v>PASS</x:v>
      </x:c>
      <x:c r="J2999" s="34" t="str">
        <x:v>PASS</x:v>
      </x:c>
      <x:c r="K2999" s="34" t="str">
        <x:v>PASS</x:v>
      </x:c>
      <x:c r="L2999" s="34" t="str">
        <x:v>PASS</x:v>
      </x:c>
      <x:c r="M2999" s="34" t="str">
        <x:v>numeric coverage for applicable metric</x:v>
      </x:c>
      <x:c r="N2999" s="34" t="str">
        <x:v>Feedback-Directed Random Test Generation/Result_Round2/JacksonDatabind_44/result.json</x:v>
      </x:c>
      <x:c r="O2999" s="38" t="n">
        <x:f>IF(AND(G2999="RECORDED",ISNUMBER(H2999)),H2999,"")</x:f>
        <x:v>1.33</x:v>
      </x:c>
      <x:c r="P2999" s="34" t="str">
        <x:v>NOT_REVEALING</x:v>
      </x:c>
      <x:c r="Q2999" s="34" t="str">
        <x:v>Feedback-Directed Random Test Generation/Result_Round2/JacksonDatabind_44/result.json</x:v>
      </x:c>
    </x:row>
    <x:row r="3000">
      <x:c r="A3000" s="34" t="str">
        <x:v>randoop</x:v>
      </x:c>
      <x:c r="B3000" s="34" t="str">
        <x:v>JacksonDatabind</x:v>
      </x:c>
      <x:c r="C3000" s="34" t="str">
        <x:v>Round2</x:v>
      </x:c>
      <x:c r="D3000" s="34" t="str">
        <x:v>JacksonDatabind_45</x:v>
      </x:c>
      <x:c r="E3000" s="34" t="str">
        <x:v>Line</x:v>
      </x:c>
      <x:c r="F3000" s="34" t="n">
        <x:v>40</x:v>
      </x:c>
      <x:c r="G3000" s="34" t="str">
        <x:v>RECORDED</x:v>
      </x:c>
      <x:c r="H3000" s="38" t="n">
        <x:f>IF(ISNUMBER('Data'!H1292),'Data'!H1292*100,"")</x:f>
        <x:v>0</x:v>
      </x:c>
      <x:c r="I3000" s="34" t="str">
        <x:v>PASS</x:v>
      </x:c>
      <x:c r="J3000" s="34" t="str">
        <x:v>PASS</x:v>
      </x:c>
      <x:c r="K3000" s="34" t="str">
        <x:v>PASS</x:v>
      </x:c>
      <x:c r="L3000" s="34" t="str">
        <x:v>PASS</x:v>
      </x:c>
      <x:c r="M3000" s="34" t="str">
        <x:v>numeric coverage for applicable metric</x:v>
      </x:c>
      <x:c r="N3000" s="34" t="str">
        <x:v>Feedback-Directed Random Test Generation/Result_Round2/JacksonDatabind_45/result.json</x:v>
      </x:c>
      <x:c r="O3000" s="38" t="n">
        <x:f>IF(AND(G3000="RECORDED",ISNUMBER(H3000)),H3000,"")</x:f>
        <x:v>0</x:v>
      </x:c>
      <x:c r="P3000" s="34" t="str">
        <x:v>NOT_REVEALING</x:v>
      </x:c>
      <x:c r="Q3000" s="34" t="str">
        <x:v>Feedback-Directed Random Test Generation/Result_Round2/JacksonDatabind_45/result.json</x:v>
      </x:c>
    </x:row>
    <x:row r="3001">
      <x:c r="A3001" s="34" t="str">
        <x:v>randoop</x:v>
      </x:c>
      <x:c r="B3001" s="34" t="str">
        <x:v>JacksonDatabind</x:v>
      </x:c>
      <x:c r="C3001" s="34" t="str">
        <x:v>Round2</x:v>
      </x:c>
      <x:c r="D3001" s="34" t="str">
        <x:v>JacksonDatabind_46</x:v>
      </x:c>
      <x:c r="E3001" s="34" t="str">
        <x:v>Line</x:v>
      </x:c>
      <x:c r="F3001" s="34" t="n">
        <x:v>52</x:v>
      </x:c>
      <x:c r="G3001" s="34" t="str">
        <x:v>RECORDED</x:v>
      </x:c>
      <x:c r="H3001" s="38" t="n">
        <x:f>IF(ISNUMBER('Data'!H1293),'Data'!H1293*100,"")</x:f>
        <x:v>0</x:v>
      </x:c>
      <x:c r="I3001" s="34" t="str">
        <x:v>PASS</x:v>
      </x:c>
      <x:c r="J3001" s="34" t="str">
        <x:v>PASS</x:v>
      </x:c>
      <x:c r="K3001" s="34" t="str">
        <x:v>PASS</x:v>
      </x:c>
      <x:c r="L3001" s="34" t="str">
        <x:v>PASS</x:v>
      </x:c>
      <x:c r="M3001" s="34" t="str">
        <x:v>numeric coverage for applicable metric</x:v>
      </x:c>
      <x:c r="N3001" s="34" t="str">
        <x:v>Feedback-Directed Random Test Generation/Result_Round2/JacksonDatabind_46/result.json</x:v>
      </x:c>
      <x:c r="O3001" s="38" t="n">
        <x:f>IF(AND(G3001="RECORDED",ISNUMBER(H3001)),H3001,"")</x:f>
        <x:v>0</x:v>
      </x:c>
      <x:c r="P3001" s="34" t="str">
        <x:v>NOT_REVEALING</x:v>
      </x:c>
      <x:c r="Q3001" s="34" t="str">
        <x:v>Feedback-Directed Random Test Generation/Result_Round2/JacksonDatabind_46/result.json</x:v>
      </x:c>
    </x:row>
    <x:row r="3002">
      <x:c r="A3002" s="34" t="str">
        <x:v>randoop</x:v>
      </x:c>
      <x:c r="B3002" s="34" t="str">
        <x:v>JacksonDatabind</x:v>
      </x:c>
      <x:c r="C3002" s="34" t="str">
        <x:v>Round2</x:v>
      </x:c>
      <x:c r="D3002" s="34" t="str">
        <x:v>JacksonDatabind_47</x:v>
      </x:c>
      <x:c r="E3002" s="34" t="str">
        <x:v>Line</x:v>
      </x:c>
      <x:c r="F3002" s="34" t="n">
        <x:v>0</x:v>
      </x:c>
      <x:c r="G3002" s="34" t="str">
        <x:v>A</x:v>
      </x:c>
      <x:c r="H3002" s="38" t="str">
        <x:f>IF(ISNUMBER('Data'!H1294),'Data'!H1294*100,"")</x:f>
      </x:c>
      <x:c r="I3002" s="34"/>
      <x:c r="J3002" s="34"/>
      <x:c r="K3002" s="34"/>
      <x:c r="L3002" s="34" t="str">
        <x:v>NOT_RUN</x:v>
      </x:c>
      <x:c r="M3002" s="34" t="str">
        <x:v>Latest same-round generation failed; older files/results are excluded</x:v>
      </x:c>
      <x:c r="N3002" s="34" t="str">
        <x:v>Feedback-Directed Random Test Generation/report_Round2.csv</x:v>
      </x:c>
      <x:c r="O3002" s="38" t="str">
        <x:f>IF(AND(G3002="RECORDED",ISNUMBER(H3002)),H3002,"")</x:f>
      </x:c>
      <x:c r="P3002" s="34" t="str">
        <x:v>FAIL</x:v>
      </x:c>
      <x:c r="Q3002" s="34"/>
    </x:row>
    <x:row r="3003">
      <x:c r="A3003" s="34" t="str">
        <x:v>randoop</x:v>
      </x:c>
      <x:c r="B3003" s="34" t="str">
        <x:v>JacksonDatabind</x:v>
      </x:c>
      <x:c r="C3003" s="34" t="str">
        <x:v>Round2</x:v>
      </x:c>
      <x:c r="D3003" s="34" t="str">
        <x:v>JacksonDatabind_48</x:v>
      </x:c>
      <x:c r="E3003" s="34" t="str">
        <x:v>Line</x:v>
      </x:c>
      <x:c r="F3003" s="34" t="n">
        <x:v>569</x:v>
      </x:c>
      <x:c r="G3003" s="34" t="str">
        <x:v>RECORDED</x:v>
      </x:c>
      <x:c r="H3003" s="38" t="n">
        <x:f>IF(ISNUMBER('Data'!H1295),'Data'!H1295*100,"")</x:f>
        <x:v>55.010000000000005</x:v>
      </x:c>
      <x:c r="I3003" s="34" t="str">
        <x:v>PASS</x:v>
      </x:c>
      <x:c r="J3003" s="34" t="str">
        <x:v>PASS</x:v>
      </x:c>
      <x:c r="K3003" s="34" t="str">
        <x:v>PASS</x:v>
      </x:c>
      <x:c r="L3003" s="34" t="str">
        <x:v>PASS</x:v>
      </x:c>
      <x:c r="M3003" s="34" t="str">
        <x:v>numeric coverage for applicable metric</x:v>
      </x:c>
      <x:c r="N3003" s="34" t="str">
        <x:v>Feedback-Directed Random Test Generation/Result_Round2/JacksonDatabind_48/result.json</x:v>
      </x:c>
      <x:c r="O3003" s="38" t="n">
        <x:f>IF(AND(G3003="RECORDED",ISNUMBER(H3003)),H3003,"")</x:f>
        <x:v>55.010000000000005</x:v>
      </x:c>
      <x:c r="P3003" s="34" t="str">
        <x:v>NOT_REVEALING</x:v>
      </x:c>
      <x:c r="Q3003" s="34" t="str">
        <x:v>Feedback-Directed Random Test Generation/Result_Round2/JacksonDatabind_48/result.json</x:v>
      </x:c>
    </x:row>
    <x:row r="3004">
      <x:c r="A3004" s="34" t="str">
        <x:v>randoop</x:v>
      </x:c>
      <x:c r="B3004" s="34" t="str">
        <x:v>JacksonDatabind</x:v>
      </x:c>
      <x:c r="C3004" s="34" t="str">
        <x:v>Round2</x:v>
      </x:c>
      <x:c r="D3004" s="34" t="str">
        <x:v>JacksonDatabind_49</x:v>
      </x:c>
      <x:c r="E3004" s="34" t="str">
        <x:v>Line</x:v>
      </x:c>
      <x:c r="F3004" s="34" t="n">
        <x:v>21</x:v>
      </x:c>
      <x:c r="G3004" s="34" t="str">
        <x:v>RECORDED</x:v>
      </x:c>
      <x:c r="H3004" s="38" t="n">
        <x:f>IF(ISNUMBER('Data'!H1296),'Data'!H1296*100,"")</x:f>
        <x:v>0</x:v>
      </x:c>
      <x:c r="I3004" s="34" t="str">
        <x:v>PASS</x:v>
      </x:c>
      <x:c r="J3004" s="34" t="str">
        <x:v>PASS</x:v>
      </x:c>
      <x:c r="K3004" s="34" t="str">
        <x:v>PASS</x:v>
      </x:c>
      <x:c r="L3004" s="34" t="str">
        <x:v>PASS</x:v>
      </x:c>
      <x:c r="M3004" s="34" t="str">
        <x:v>numeric coverage for applicable metric</x:v>
      </x:c>
      <x:c r="N3004" s="34" t="str">
        <x:v>Feedback-Directed Random Test Generation/Result_Round2/JacksonDatabind_49/result.json</x:v>
      </x:c>
      <x:c r="O3004" s="38" t="n">
        <x:f>IF(AND(G3004="RECORDED",ISNUMBER(H3004)),H3004,"")</x:f>
        <x:v>0</x:v>
      </x:c>
      <x:c r="P3004" s="34" t="str">
        <x:v>NOT_REVEALING</x:v>
      </x:c>
      <x:c r="Q3004" s="34" t="str">
        <x:v>Feedback-Directed Random Test Generation/Result_Round2/JacksonDatabind_49/result.json</x:v>
      </x:c>
    </x:row>
    <x:row r="3005">
      <x:c r="A3005" s="34" t="str">
        <x:v>randoop</x:v>
      </x:c>
      <x:c r="B3005" s="34" t="str">
        <x:v>JacksonDatabind</x:v>
      </x:c>
      <x:c r="C3005" s="34" t="str">
        <x:v>Round2</x:v>
      </x:c>
      <x:c r="D3005" s="34" t="str">
        <x:v>JacksonDatabind_50</x:v>
      </x:c>
      <x:c r="E3005" s="34" t="str">
        <x:v>Line</x:v>
      </x:c>
      <x:c r="F3005" s="34" t="n">
        <x:v>411</x:v>
      </x:c>
      <x:c r="G3005" s="34" t="str">
        <x:v>RECORDED</x:v>
      </x:c>
      <x:c r="H3005" s="38" t="n">
        <x:f>IF(ISNUMBER('Data'!H1297),'Data'!H1297*100,"")</x:f>
        <x:v>1.7000000000000002</x:v>
      </x:c>
      <x:c r="I3005" s="34" t="str">
        <x:v>PASS</x:v>
      </x:c>
      <x:c r="J3005" s="34" t="str">
        <x:v>PASS</x:v>
      </x:c>
      <x:c r="K3005" s="34" t="str">
        <x:v>PASS</x:v>
      </x:c>
      <x:c r="L3005" s="34" t="str">
        <x:v>PASS</x:v>
      </x:c>
      <x:c r="M3005" s="34" t="str">
        <x:v>numeric coverage for applicable metric</x:v>
      </x:c>
      <x:c r="N3005" s="34" t="str">
        <x:v>Feedback-Directed Random Test Generation/Result_Round2/JacksonDatabind_50/result.json</x:v>
      </x:c>
      <x:c r="O3005" s="38" t="n">
        <x:f>IF(AND(G3005="RECORDED",ISNUMBER(H3005)),H3005,"")</x:f>
        <x:v>1.7000000000000002</x:v>
      </x:c>
      <x:c r="P3005" s="34" t="str">
        <x:v>NOT_REVEALING</x:v>
      </x:c>
      <x:c r="Q3005" s="34" t="str">
        <x:v>Feedback-Directed Random Test Generation/Result_Round2/JacksonDatabind_50/result.json</x:v>
      </x:c>
    </x:row>
    <x:row r="3006">
      <x:c r="A3006" s="34" t="str">
        <x:v>randoop</x:v>
      </x:c>
      <x:c r="B3006" s="34" t="str">
        <x:v>JacksonDatabind</x:v>
      </x:c>
      <x:c r="C3006" s="34" t="str">
        <x:v>Round2</x:v>
      </x:c>
      <x:c r="D3006" s="34" t="str">
        <x:v>JacksonDatabind_51</x:v>
      </x:c>
      <x:c r="E3006" s="34" t="str">
        <x:v>Line</x:v>
      </x:c>
      <x:c r="F3006" s="34" t="n">
        <x:v>74</x:v>
      </x:c>
      <x:c r="G3006" s="34" t="str">
        <x:v>RECORDED</x:v>
      </x:c>
      <x:c r="H3006" s="38" t="n">
        <x:f>IF(ISNUMBER('Data'!H1298),'Data'!H1298*100,"")</x:f>
        <x:v>0</x:v>
      </x:c>
      <x:c r="I3006" s="34" t="str">
        <x:v>PASS</x:v>
      </x:c>
      <x:c r="J3006" s="34" t="str">
        <x:v>PASS</x:v>
      </x:c>
      <x:c r="K3006" s="34" t="str">
        <x:v>PASS</x:v>
      </x:c>
      <x:c r="L3006" s="34" t="str">
        <x:v>PASS</x:v>
      </x:c>
      <x:c r="M3006" s="34" t="str">
        <x:v>numeric coverage for applicable metric</x:v>
      </x:c>
      <x:c r="N3006" s="34" t="str">
        <x:v>Feedback-Directed Random Test Generation/Result_Round2/JacksonDatabind_51/result.json</x:v>
      </x:c>
      <x:c r="O3006" s="38" t="n">
        <x:f>IF(AND(G3006="RECORDED",ISNUMBER(H3006)),H3006,"")</x:f>
        <x:v>0</x:v>
      </x:c>
      <x:c r="P3006" s="34" t="str">
        <x:v>NOT_REVEALING</x:v>
      </x:c>
      <x:c r="Q3006" s="34" t="str">
        <x:v>Feedback-Directed Random Test Generation/Result_Round2/JacksonDatabind_51/result.json</x:v>
      </x:c>
    </x:row>
    <x:row r="3007">
      <x:c r="A3007" s="34" t="str">
        <x:v>randoop</x:v>
      </x:c>
      <x:c r="B3007" s="34" t="str">
        <x:v>JacksonDatabind</x:v>
      </x:c>
      <x:c r="C3007" s="34" t="str">
        <x:v>Round2</x:v>
      </x:c>
      <x:c r="D3007" s="34" t="str">
        <x:v>JacksonDatabind_52</x:v>
      </x:c>
      <x:c r="E3007" s="34" t="str">
        <x:v>Line</x:v>
      </x:c>
      <x:c r="F3007" s="34" t="n">
        <x:v>738</x:v>
      </x:c>
      <x:c r="G3007" s="34" t="str">
        <x:v>RECORDED</x:v>
      </x:c>
      <x:c r="H3007" s="38" t="n">
        <x:f>IF(ISNUMBER('Data'!H1299),'Data'!H1299*100,"")</x:f>
        <x:v>5.01</x:v>
      </x:c>
      <x:c r="I3007" s="34" t="str">
        <x:v>PASS</x:v>
      </x:c>
      <x:c r="J3007" s="34" t="str">
        <x:v>PASS</x:v>
      </x:c>
      <x:c r="K3007" s="34" t="str">
        <x:v>PASS</x:v>
      </x:c>
      <x:c r="L3007" s="34" t="str">
        <x:v>PASS</x:v>
      </x:c>
      <x:c r="M3007" s="34" t="str">
        <x:v>numeric coverage for applicable metric</x:v>
      </x:c>
      <x:c r="N3007" s="34" t="str">
        <x:v>Feedback-Directed Random Test Generation/Result_Round2/JacksonDatabind_52/result.json</x:v>
      </x:c>
      <x:c r="O3007" s="38" t="n">
        <x:f>IF(AND(G3007="RECORDED",ISNUMBER(H3007)),H3007,"")</x:f>
        <x:v>5.01</x:v>
      </x:c>
      <x:c r="P3007" s="34" t="str">
        <x:v>NOT_REVEALING</x:v>
      </x:c>
      <x:c r="Q3007" s="34" t="str">
        <x:v>Feedback-Directed Random Test Generation/Result_Round2/JacksonDatabind_52/result.json</x:v>
      </x:c>
    </x:row>
    <x:row r="3008">
      <x:c r="A3008" s="34" t="str">
        <x:v>randoop</x:v>
      </x:c>
      <x:c r="B3008" s="34" t="str">
        <x:v>JacksonDatabind</x:v>
      </x:c>
      <x:c r="C3008" s="34" t="str">
        <x:v>Round2</x:v>
      </x:c>
      <x:c r="D3008" s="34" t="str">
        <x:v>JacksonDatabind_53</x:v>
      </x:c>
      <x:c r="E3008" s="34" t="str">
        <x:v>Line</x:v>
      </x:c>
      <x:c r="F3008" s="34" t="n">
        <x:v>505</x:v>
      </x:c>
      <x:c r="G3008" s="34" t="str">
        <x:v>RECORDED</x:v>
      </x:c>
      <x:c r="H3008" s="38" t="n">
        <x:f>IF(ISNUMBER('Data'!H1300),'Data'!H1300*100,"")</x:f>
        <x:v>40.99</x:v>
      </x:c>
      <x:c r="I3008" s="34" t="str">
        <x:v>PASS</x:v>
      </x:c>
      <x:c r="J3008" s="34" t="str">
        <x:v>PASS</x:v>
      </x:c>
      <x:c r="K3008" s="34" t="str">
        <x:v>PASS</x:v>
      </x:c>
      <x:c r="L3008" s="34" t="str">
        <x:v>PASS</x:v>
      </x:c>
      <x:c r="M3008" s="34" t="str">
        <x:v>numeric coverage for applicable metric</x:v>
      </x:c>
      <x:c r="N3008" s="34" t="str">
        <x:v>Feedback-Directed Random Test Generation/Result_Round2/JacksonDatabind_53/result.json</x:v>
      </x:c>
      <x:c r="O3008" s="38" t="n">
        <x:f>IF(AND(G3008="RECORDED",ISNUMBER(H3008)),H3008,"")</x:f>
        <x:v>40.99</x:v>
      </x:c>
      <x:c r="P3008" s="34" t="str">
        <x:v>NOT_AVAILABLE</x:v>
      </x:c>
      <x:c r="Q3008" s="34" t="str">
        <x:v>Feedback-Directed Random Test Generation/Result_Round2/JacksonDatabind_53/result.json</x:v>
      </x:c>
    </x:row>
    <x:row r="3009">
      <x:c r="A3009" s="34" t="str">
        <x:v>randoop</x:v>
      </x:c>
      <x:c r="B3009" s="34" t="str">
        <x:v>JacksonDatabind</x:v>
      </x:c>
      <x:c r="C3009" s="34" t="str">
        <x:v>Round2</x:v>
      </x:c>
      <x:c r="D3009" s="34" t="str">
        <x:v>JacksonDatabind_54</x:v>
      </x:c>
      <x:c r="E3009" s="34" t="str">
        <x:v>Line</x:v>
      </x:c>
      <x:c r="F3009" s="34" t="n">
        <x:v>97</x:v>
      </x:c>
      <x:c r="G3009" s="34" t="str">
        <x:v>RECORDED</x:v>
      </x:c>
      <x:c r="H3009" s="38" t="n">
        <x:f>IF(ISNUMBER('Data'!H1301),'Data'!H1301*100,"")</x:f>
        <x:v>6.19</x:v>
      </x:c>
      <x:c r="I3009" s="34" t="str">
        <x:v>PASS</x:v>
      </x:c>
      <x:c r="J3009" s="34" t="str">
        <x:v>PASS</x:v>
      </x:c>
      <x:c r="K3009" s="34" t="str">
        <x:v>PASS</x:v>
      </x:c>
      <x:c r="L3009" s="34" t="str">
        <x:v>PASS</x:v>
      </x:c>
      <x:c r="M3009" s="34" t="str">
        <x:v>numeric coverage for applicable metric</x:v>
      </x:c>
      <x:c r="N3009" s="34" t="str">
        <x:v>Feedback-Directed Random Test Generation/Result_Round2/JacksonDatabind_54/result.json</x:v>
      </x:c>
      <x:c r="O3009" s="38" t="n">
        <x:f>IF(AND(G3009="RECORDED",ISNUMBER(H3009)),H3009,"")</x:f>
        <x:v>6.19</x:v>
      </x:c>
      <x:c r="P3009" s="34" t="str">
        <x:v>NOT_REVEALING</x:v>
      </x:c>
      <x:c r="Q3009" s="34" t="str">
        <x:v>Feedback-Directed Random Test Generation/Result_Round2/JacksonDatabind_54/result.json</x:v>
      </x:c>
    </x:row>
    <x:row r="3010">
      <x:c r="A3010" s="34" t="str">
        <x:v>randoop</x:v>
      </x:c>
      <x:c r="B3010" s="34" t="str">
        <x:v>JacksonDatabind</x:v>
      </x:c>
      <x:c r="C3010" s="34" t="str">
        <x:v>Round2</x:v>
      </x:c>
      <x:c r="D3010" s="34" t="str">
        <x:v>JacksonDatabind_55</x:v>
      </x:c>
      <x:c r="E3010" s="34" t="str">
        <x:v>Line</x:v>
      </x:c>
      <x:c r="F3010" s="34" t="n">
        <x:v>61</x:v>
      </x:c>
      <x:c r="G3010" s="34" t="str">
        <x:v>RECORDED</x:v>
      </x:c>
      <x:c r="H3010" s="38" t="n">
        <x:f>IF(ISNUMBER('Data'!H1302),'Data'!H1302*100,"")</x:f>
        <x:v>27.87</x:v>
      </x:c>
      <x:c r="I3010" s="34" t="str">
        <x:v>PASS</x:v>
      </x:c>
      <x:c r="J3010" s="34" t="str">
        <x:v>PASS</x:v>
      </x:c>
      <x:c r="K3010" s="34" t="str">
        <x:v>PASS</x:v>
      </x:c>
      <x:c r="L3010" s="34" t="str">
        <x:v>PASS</x:v>
      </x:c>
      <x:c r="M3010" s="34" t="str">
        <x:v>numeric coverage for applicable metric</x:v>
      </x:c>
      <x:c r="N3010" s="34" t="str">
        <x:v>Feedback-Directed Random Test Generation/Result_Round2/JacksonDatabind_55/result.json</x:v>
      </x:c>
      <x:c r="O3010" s="38" t="n">
        <x:f>IF(AND(G3010="RECORDED",ISNUMBER(H3010)),H3010,"")</x:f>
        <x:v>27.87</x:v>
      </x:c>
      <x:c r="P3010" s="34" t="str">
        <x:v>NOT_REVEALING</x:v>
      </x:c>
      <x:c r="Q3010" s="34" t="str">
        <x:v>Feedback-Directed Random Test Generation/Result_Round2/JacksonDatabind_55/result.json</x:v>
      </x:c>
    </x:row>
    <x:row r="3011">
      <x:c r="A3011" s="34" t="str">
        <x:v>randoop</x:v>
      </x:c>
      <x:c r="B3011" s="34" t="str">
        <x:v>JacksonDatabind</x:v>
      </x:c>
      <x:c r="C3011" s="34" t="str">
        <x:v>Round2</x:v>
      </x:c>
      <x:c r="D3011" s="34" t="str">
        <x:v>JacksonDatabind_56</x:v>
      </x:c>
      <x:c r="E3011" s="34" t="str">
        <x:v>Line</x:v>
      </x:c>
      <x:c r="F3011" s="34" t="n">
        <x:v>112</x:v>
      </x:c>
      <x:c r="G3011" s="34" t="str">
        <x:v>RECORDED</x:v>
      </x:c>
      <x:c r="H3011" s="38" t="n">
        <x:f>IF(ISNUMBER('Data'!H1303),'Data'!H1303*100,"")</x:f>
        <x:v>0.89</x:v>
      </x:c>
      <x:c r="I3011" s="34" t="str">
        <x:v>PASS</x:v>
      </x:c>
      <x:c r="J3011" s="34" t="str">
        <x:v>PASS</x:v>
      </x:c>
      <x:c r="K3011" s="34" t="str">
        <x:v>PASS</x:v>
      </x:c>
      <x:c r="L3011" s="34" t="str">
        <x:v>PASS</x:v>
      </x:c>
      <x:c r="M3011" s="34" t="str">
        <x:v>numeric coverage for applicable metric</x:v>
      </x:c>
      <x:c r="N3011" s="34" t="str">
        <x:v>Feedback-Directed Random Test Generation/Result_Round2/JacksonDatabind_56/result.json</x:v>
      </x:c>
      <x:c r="O3011" s="38" t="n">
        <x:f>IF(AND(G3011="RECORDED",ISNUMBER(H3011)),H3011,"")</x:f>
        <x:v>0.89</x:v>
      </x:c>
      <x:c r="P3011" s="34" t="str">
        <x:v>NOT_REVEALING</x:v>
      </x:c>
      <x:c r="Q3011" s="34" t="str">
        <x:v>Feedback-Directed Random Test Generation/Result_Round2/JacksonDatabind_56/result.json</x:v>
      </x:c>
    </x:row>
    <x:row r="3012">
      <x:c r="A3012" s="34" t="str">
        <x:v>randoop</x:v>
      </x:c>
      <x:c r="B3012" s="34" t="str">
        <x:v>JacksonDatabind</x:v>
      </x:c>
      <x:c r="C3012" s="34" t="str">
        <x:v>Round2</x:v>
      </x:c>
      <x:c r="D3012" s="34" t="str">
        <x:v>JacksonDatabind_57</x:v>
      </x:c>
      <x:c r="E3012" s="34" t="str">
        <x:v>Line</x:v>
      </x:c>
      <x:c r="F3012" s="34" t="n">
        <x:v>408</x:v>
      </x:c>
      <x:c r="G3012" s="34" t="str">
        <x:v>RECORDED</x:v>
      </x:c>
      <x:c r="H3012" s="38" t="n">
        <x:f>IF(ISNUMBER('Data'!H1304),'Data'!H1304*100,"")</x:f>
        <x:v>3.6799999999999997</x:v>
      </x:c>
      <x:c r="I3012" s="34" t="str">
        <x:v>PASS</x:v>
      </x:c>
      <x:c r="J3012" s="34" t="str">
        <x:v>PASS</x:v>
      </x:c>
      <x:c r="K3012" s="34" t="str">
        <x:v>PASS</x:v>
      </x:c>
      <x:c r="L3012" s="34" t="str">
        <x:v>PASS</x:v>
      </x:c>
      <x:c r="M3012" s="34" t="str">
        <x:v>numeric coverage for applicable metric</x:v>
      </x:c>
      <x:c r="N3012" s="34" t="str">
        <x:v>Feedback-Directed Random Test Generation/Result_Round2/JacksonDatabind_57/result.json</x:v>
      </x:c>
      <x:c r="O3012" s="38" t="n">
        <x:f>IF(AND(G3012="RECORDED",ISNUMBER(H3012)),H3012,"")</x:f>
        <x:v>3.6799999999999997</x:v>
      </x:c>
      <x:c r="P3012" s="34" t="str">
        <x:v>NOT_REVEALING</x:v>
      </x:c>
      <x:c r="Q3012" s="34" t="str">
        <x:v>Feedback-Directed Random Test Generation/Result_Round2/JacksonDatabind_57/result.json</x:v>
      </x:c>
    </x:row>
    <x:row r="3013">
      <x:c r="A3013" s="34" t="str">
        <x:v>randoop</x:v>
      </x:c>
      <x:c r="B3013" s="34" t="str">
        <x:v>JacksonDatabind</x:v>
      </x:c>
      <x:c r="C3013" s="34" t="str">
        <x:v>Round2</x:v>
      </x:c>
      <x:c r="D3013" s="34" t="str">
        <x:v>JacksonDatabind_58</x:v>
      </x:c>
      <x:c r="E3013" s="34" t="str">
        <x:v>Line</x:v>
      </x:c>
      <x:c r="F3013" s="34" t="n">
        <x:v>321</x:v>
      </x:c>
      <x:c r="G3013" s="34" t="str">
        <x:v>RECORDED</x:v>
      </x:c>
      <x:c r="H3013" s="38" t="n">
        <x:f>IF(ISNUMBER('Data'!H1305),'Data'!H1305*100,"")</x:f>
        <x:v>9.35</x:v>
      </x:c>
      <x:c r="I3013" s="34" t="str">
        <x:v>PASS</x:v>
      </x:c>
      <x:c r="J3013" s="34" t="str">
        <x:v>PASS</x:v>
      </x:c>
      <x:c r="K3013" s="34" t="str">
        <x:v>PASS</x:v>
      </x:c>
      <x:c r="L3013" s="34" t="str">
        <x:v>PASS</x:v>
      </x:c>
      <x:c r="M3013" s="34" t="str">
        <x:v>numeric coverage for applicable metric</x:v>
      </x:c>
      <x:c r="N3013" s="34" t="str">
        <x:v>Feedback-Directed Random Test Generation/Result_Round2/JacksonDatabind_58/result.json</x:v>
      </x:c>
      <x:c r="O3013" s="38" t="n">
        <x:f>IF(AND(G3013="RECORDED",ISNUMBER(H3013)),H3013,"")</x:f>
        <x:v>9.35</x:v>
      </x:c>
      <x:c r="P3013" s="34" t="str">
        <x:v>NOT_REVEALING</x:v>
      </x:c>
      <x:c r="Q3013" s="34" t="str">
        <x:v>Feedback-Directed Random Test Generation/Result_Round2/JacksonDatabind_58/result.json</x:v>
      </x:c>
    </x:row>
    <x:row r="3014">
      <x:c r="A3014" s="34" t="str">
        <x:v>randoop</x:v>
      </x:c>
      <x:c r="B3014" s="34" t="str">
        <x:v>JacksonDatabind</x:v>
      </x:c>
      <x:c r="C3014" s="34" t="str">
        <x:v>Round2</x:v>
      </x:c>
      <x:c r="D3014" s="34" t="str">
        <x:v>JacksonDatabind_59</x:v>
      </x:c>
      <x:c r="E3014" s="34" t="str">
        <x:v>Line</x:v>
      </x:c>
      <x:c r="F3014" s="34" t="n">
        <x:v>568</x:v>
      </x:c>
      <x:c r="G3014" s="34" t="str">
        <x:v>RECORDED</x:v>
      </x:c>
      <x:c r="H3014" s="38" t="n">
        <x:f>IF(ISNUMBER('Data'!H1306),'Data'!H1306*100,"")</x:f>
        <x:v>59.68</x:v>
      </x:c>
      <x:c r="I3014" s="34" t="str">
        <x:v>PASS</x:v>
      </x:c>
      <x:c r="J3014" s="34" t="str">
        <x:v>PASS</x:v>
      </x:c>
      <x:c r="K3014" s="34" t="str">
        <x:v>PASS</x:v>
      </x:c>
      <x:c r="L3014" s="34" t="str">
        <x:v>FAIL</x:v>
      </x:c>
      <x:c r="M3014" s="34" t="str">
        <x:v>numeric coverage for applicable metric</x:v>
      </x:c>
      <x:c r="N3014" s="34" t="str">
        <x:v>Feedback-Directed Random Test Generation/Result_Round2/JacksonDatabind_59/result.json</x:v>
      </x:c>
      <x:c r="O3014" s="38" t="n">
        <x:f>IF(AND(G3014="RECORDED",ISNUMBER(H3014)),H3014,"")</x:f>
        <x:v>59.68</x:v>
      </x:c>
      <x:c r="P3014" s="34" t="str">
        <x:v>INCONCLUSIVE</x:v>
      </x:c>
      <x:c r="Q3014" s="34" t="str">
        <x:v>Feedback-Directed Random Test Generation/Result_Round2/JacksonDatabind_59/result.json</x:v>
      </x:c>
    </x:row>
    <x:row r="3015">
      <x:c r="A3015" s="34" t="str">
        <x:v>randoop</x:v>
      </x:c>
      <x:c r="B3015" s="34" t="str">
        <x:v>JacksonDatabind</x:v>
      </x:c>
      <x:c r="C3015" s="34" t="str">
        <x:v>Round2</x:v>
      </x:c>
      <x:c r="D3015" s="34" t="str">
        <x:v>JacksonDatabind_60</x:v>
      </x:c>
      <x:c r="E3015" s="34" t="str">
        <x:v>Line</x:v>
      </x:c>
      <x:c r="F3015" s="34" t="n">
        <x:v>110</x:v>
      </x:c>
      <x:c r="G3015" s="34" t="str">
        <x:v>RECORDED</x:v>
      </x:c>
      <x:c r="H3015" s="38" t="n">
        <x:f>IF(ISNUMBER('Data'!H1307),'Data'!H1307*100,"")</x:f>
        <x:v>0</x:v>
      </x:c>
      <x:c r="I3015" s="34" t="str">
        <x:v>PASS</x:v>
      </x:c>
      <x:c r="J3015" s="34" t="str">
        <x:v>PASS</x:v>
      </x:c>
      <x:c r="K3015" s="34" t="str">
        <x:v>PASS</x:v>
      </x:c>
      <x:c r="L3015" s="34" t="str">
        <x:v>PASS</x:v>
      </x:c>
      <x:c r="M3015" s="34" t="str">
        <x:v>numeric coverage for applicable metric</x:v>
      </x:c>
      <x:c r="N3015" s="34" t="str">
        <x:v>Feedback-Directed Random Test Generation/Result_Round2/JacksonDatabind_60/result.json</x:v>
      </x:c>
      <x:c r="O3015" s="38" t="n">
        <x:f>IF(AND(G3015="RECORDED",ISNUMBER(H3015)),H3015,"")</x:f>
        <x:v>0</x:v>
      </x:c>
      <x:c r="P3015" s="34" t="str">
        <x:v>NOT_REVEALING</x:v>
      </x:c>
      <x:c r="Q3015" s="34" t="str">
        <x:v>Feedback-Directed Random Test Generation/Result_Round2/JacksonDatabind_60/result.json</x:v>
      </x:c>
    </x:row>
    <x:row r="3016">
      <x:c r="A3016" s="34" t="str">
        <x:v>randoop</x:v>
      </x:c>
      <x:c r="B3016" s="34" t="str">
        <x:v>JacksonDatabind</x:v>
      </x:c>
      <x:c r="C3016" s="34" t="str">
        <x:v>Round2</x:v>
      </x:c>
      <x:c r="D3016" s="34" t="str">
        <x:v>JacksonDatabind_61</x:v>
      </x:c>
      <x:c r="E3016" s="34" t="str">
        <x:v>Line</x:v>
      </x:c>
      <x:c r="F3016" s="34" t="n">
        <x:v>737</x:v>
      </x:c>
      <x:c r="G3016" s="34" t="str">
        <x:v>RECORDED</x:v>
      </x:c>
      <x:c r="H3016" s="38" t="n">
        <x:f>IF(ISNUMBER('Data'!H1308),'Data'!H1308*100,"")</x:f>
        <x:v>58.34</x:v>
      </x:c>
      <x:c r="I3016" s="34" t="str">
        <x:v>PASS</x:v>
      </x:c>
      <x:c r="J3016" s="34" t="str">
        <x:v>PASS</x:v>
      </x:c>
      <x:c r="K3016" s="34" t="str">
        <x:v>PASS</x:v>
      </x:c>
      <x:c r="L3016" s="34" t="str">
        <x:v>PASS</x:v>
      </x:c>
      <x:c r="M3016" s="34" t="str">
        <x:v>numeric coverage for applicable metric</x:v>
      </x:c>
      <x:c r="N3016" s="34" t="str">
        <x:v>Feedback-Directed Random Test Generation/Result_Round2/JacksonDatabind_61/result.json</x:v>
      </x:c>
      <x:c r="O3016" s="38" t="n">
        <x:f>IF(AND(G3016="RECORDED",ISNUMBER(H3016)),H3016,"")</x:f>
        <x:v>58.34</x:v>
      </x:c>
      <x:c r="P3016" s="34" t="str">
        <x:v>NOT_REVEALING</x:v>
      </x:c>
      <x:c r="Q3016" s="34" t="str">
        <x:v>Feedback-Directed Random Test Generation/Result_Round2/JacksonDatabind_61/result.json</x:v>
      </x:c>
    </x:row>
    <x:row r="3017">
      <x:c r="A3017" s="34" t="str">
        <x:v>randoop</x:v>
      </x:c>
      <x:c r="B3017" s="34" t="str">
        <x:v>JacksonDatabind</x:v>
      </x:c>
      <x:c r="C3017" s="34" t="str">
        <x:v>Round2</x:v>
      </x:c>
      <x:c r="D3017" s="34" t="str">
        <x:v>JacksonDatabind_62</x:v>
      </x:c>
      <x:c r="E3017" s="34" t="str">
        <x:v>Line</x:v>
      </x:c>
      <x:c r="F3017" s="34" t="n">
        <x:v>131</x:v>
      </x:c>
      <x:c r="G3017" s="34" t="str">
        <x:v>RECORDED</x:v>
      </x:c>
      <x:c r="H3017" s="38" t="n">
        <x:f>IF(ISNUMBER('Data'!H1309),'Data'!H1309*100,"")</x:f>
        <x:v>30.53</x:v>
      </x:c>
      <x:c r="I3017" s="34" t="str">
        <x:v>PASS</x:v>
      </x:c>
      <x:c r="J3017" s="34" t="str">
        <x:v>PASS</x:v>
      </x:c>
      <x:c r="K3017" s="34" t="str">
        <x:v>PASS</x:v>
      </x:c>
      <x:c r="L3017" s="34" t="str">
        <x:v>PASS</x:v>
      </x:c>
      <x:c r="M3017" s="34" t="str">
        <x:v>numeric coverage for applicable metric</x:v>
      </x:c>
      <x:c r="N3017" s="34" t="str">
        <x:v>Feedback-Directed Random Test Generation/Result_Round2/JacksonDatabind_62/result.json</x:v>
      </x:c>
      <x:c r="O3017" s="38" t="n">
        <x:f>IF(AND(G3017="RECORDED",ISNUMBER(H3017)),H3017,"")</x:f>
        <x:v>30.53</x:v>
      </x:c>
      <x:c r="P3017" s="34" t="str">
        <x:v>NOT_REVEALING</x:v>
      </x:c>
      <x:c r="Q3017" s="34" t="str">
        <x:v>Feedback-Directed Random Test Generation/Result_Round2/JacksonDatabind_62/result.json</x:v>
      </x:c>
    </x:row>
    <x:row r="3018">
      <x:c r="A3018" s="34" t="str">
        <x:v>randoop</x:v>
      </x:c>
      <x:c r="B3018" s="34" t="str">
        <x:v>JacksonDatabind</x:v>
      </x:c>
      <x:c r="C3018" s="34" t="str">
        <x:v>Round2</x:v>
      </x:c>
      <x:c r="D3018" s="34" t="str">
        <x:v>JacksonDatabind_63</x:v>
      </x:c>
      <x:c r="E3018" s="34" t="str">
        <x:v>Line</x:v>
      </x:c>
      <x:c r="F3018" s="34" t="n">
        <x:v>123</x:v>
      </x:c>
      <x:c r="G3018" s="34" t="str">
        <x:v>RECORDED</x:v>
      </x:c>
      <x:c r="H3018" s="38" t="n">
        <x:f>IF(ISNUMBER('Data'!H1310),'Data'!H1310*100,"")</x:f>
        <x:v>90.24</x:v>
      </x:c>
      <x:c r="I3018" s="34" t="str">
        <x:v>PASS</x:v>
      </x:c>
      <x:c r="J3018" s="34" t="str">
        <x:v>PASS</x:v>
      </x:c>
      <x:c r="K3018" s="34" t="str">
        <x:v>PASS</x:v>
      </x:c>
      <x:c r="L3018" s="34" t="str">
        <x:v>PASS</x:v>
      </x:c>
      <x:c r="M3018" s="34" t="str">
        <x:v>numeric coverage for applicable metric</x:v>
      </x:c>
      <x:c r="N3018" s="34" t="str">
        <x:v>Feedback-Directed Random Test Generation/Result_Round2/JacksonDatabind_63/result.json</x:v>
      </x:c>
      <x:c r="O3018" s="38" t="n">
        <x:f>IF(AND(G3018="RECORDED",ISNUMBER(H3018)),H3018,"")</x:f>
        <x:v>90.24</x:v>
      </x:c>
      <x:c r="P3018" s="34" t="str">
        <x:v>INCONCLUSIVE</x:v>
      </x:c>
      <x:c r="Q3018" s="34" t="str">
        <x:v>Feedback-Directed Random Test Generation/Result_Round2/JacksonDatabind_63/result.json</x:v>
      </x:c>
    </x:row>
    <x:row r="3019">
      <x:c r="A3019" s="34" t="str">
        <x:v>randoop</x:v>
      </x:c>
      <x:c r="B3019" s="34" t="str">
        <x:v>JacksonDatabind</x:v>
      </x:c>
      <x:c r="C3019" s="34" t="str">
        <x:v>Round2</x:v>
      </x:c>
      <x:c r="D3019" s="34" t="str">
        <x:v>JacksonDatabind_64</x:v>
      </x:c>
      <x:c r="E3019" s="34" t="str">
        <x:v>Line</x:v>
      </x:c>
      <x:c r="F3019" s="34" t="n">
        <x:v>107</x:v>
      </x:c>
      <x:c r="G3019" s="34" t="str">
        <x:v>RECORDED</x:v>
      </x:c>
      <x:c r="H3019" s="38" t="n">
        <x:f>IF(ISNUMBER('Data'!H1311),'Data'!H1311*100,"")</x:f>
        <x:v>5.61</x:v>
      </x:c>
      <x:c r="I3019" s="34" t="str">
        <x:v>PASS</x:v>
      </x:c>
      <x:c r="J3019" s="34" t="str">
        <x:v>PASS</x:v>
      </x:c>
      <x:c r="K3019" s="34" t="str">
        <x:v>PASS</x:v>
      </x:c>
      <x:c r="L3019" s="34" t="str">
        <x:v>PASS</x:v>
      </x:c>
      <x:c r="M3019" s="34" t="str">
        <x:v>numeric coverage for applicable metric</x:v>
      </x:c>
      <x:c r="N3019" s="34" t="str">
        <x:v>Feedback-Directed Random Test Generation/Result_Round2/JacksonDatabind_64/result.json</x:v>
      </x:c>
      <x:c r="O3019" s="38" t="n">
        <x:f>IF(AND(G3019="RECORDED",ISNUMBER(H3019)),H3019,"")</x:f>
        <x:v>5.61</x:v>
      </x:c>
      <x:c r="P3019" s="34" t="str">
        <x:v>NOT_REVEALING</x:v>
      </x:c>
      <x:c r="Q3019" s="34" t="str">
        <x:v>Feedback-Directed Random Test Generation/Result_Round2/JacksonDatabind_64/result.json</x:v>
      </x:c>
    </x:row>
    <x:row r="3020">
      <x:c r="A3020" s="34" t="str">
        <x:v>randoop</x:v>
      </x:c>
      <x:c r="B3020" s="34" t="str">
        <x:v>JacksonDatabind</x:v>
      </x:c>
      <x:c r="C3020" s="34" t="str">
        <x:v>Round2</x:v>
      </x:c>
      <x:c r="D3020" s="34" t="str">
        <x:v>JacksonDatabind_66</x:v>
      </x:c>
      <x:c r="E3020" s="34" t="str">
        <x:v>Line</x:v>
      </x:c>
      <x:c r="F3020" s="34" t="n">
        <x:v>156</x:v>
      </x:c>
      <x:c r="G3020" s="34" t="str">
        <x:v>RECORDED</x:v>
      </x:c>
      <x:c r="H3020" s="38" t="n">
        <x:f>IF(ISNUMBER('Data'!H1312),'Data'!H1312*100,"")</x:f>
        <x:v>1.28</x:v>
      </x:c>
      <x:c r="I3020" s="34" t="str">
        <x:v>PASS</x:v>
      </x:c>
      <x:c r="J3020" s="34" t="str">
        <x:v>PASS</x:v>
      </x:c>
      <x:c r="K3020" s="34" t="str">
        <x:v>PASS</x:v>
      </x:c>
      <x:c r="L3020" s="34" t="str">
        <x:v>PASS</x:v>
      </x:c>
      <x:c r="M3020" s="34" t="str">
        <x:v>numeric coverage for applicable metric</x:v>
      </x:c>
      <x:c r="N3020" s="34" t="str">
        <x:v>Feedback-Directed Random Test Generation/Result_Round2/JacksonDatabind_66/result.json</x:v>
      </x:c>
      <x:c r="O3020" s="38" t="n">
        <x:f>IF(AND(G3020="RECORDED",ISNUMBER(H3020)),H3020,"")</x:f>
        <x:v>1.28</x:v>
      </x:c>
      <x:c r="P3020" s="34" t="str">
        <x:v>NOT_REVEALING</x:v>
      </x:c>
      <x:c r="Q3020" s="34" t="str">
        <x:v>Feedback-Directed Random Test Generation/Result_Round2/JacksonDatabind_66/result.json</x:v>
      </x:c>
    </x:row>
    <x:row r="3021">
      <x:c r="A3021" s="34" t="str">
        <x:v>randoop</x:v>
      </x:c>
      <x:c r="B3021" s="34" t="str">
        <x:v>JacksonDatabind</x:v>
      </x:c>
      <x:c r="C3021" s="34" t="str">
        <x:v>Round2</x:v>
      </x:c>
      <x:c r="D3021" s="34" t="str">
        <x:v>JacksonDatabind_67</x:v>
      </x:c>
      <x:c r="E3021" s="34" t="str">
        <x:v>Line</x:v>
      </x:c>
      <x:c r="F3021" s="34" t="n">
        <x:v>793</x:v>
      </x:c>
      <x:c r="G3021" s="34" t="str">
        <x:v>RECORDED</x:v>
      </x:c>
      <x:c r="H3021" s="38" t="n">
        <x:f>IF(ISNUMBER('Data'!H1313),'Data'!H1313*100,"")</x:f>
        <x:v>2.65</x:v>
      </x:c>
      <x:c r="I3021" s="34" t="str">
        <x:v>PASS</x:v>
      </x:c>
      <x:c r="J3021" s="34" t="str">
        <x:v>PASS</x:v>
      </x:c>
      <x:c r="K3021" s="34" t="str">
        <x:v>PASS</x:v>
      </x:c>
      <x:c r="L3021" s="34" t="str">
        <x:v>PASS</x:v>
      </x:c>
      <x:c r="M3021" s="34" t="str">
        <x:v>numeric coverage for applicable metric</x:v>
      </x:c>
      <x:c r="N3021" s="34" t="str">
        <x:v>Feedback-Directed Random Test Generation/Result_Round2/JacksonDatabind_67/result.json</x:v>
      </x:c>
      <x:c r="O3021" s="38" t="n">
        <x:f>IF(AND(G3021="RECORDED",ISNUMBER(H3021)),H3021,"")</x:f>
        <x:v>2.65</x:v>
      </x:c>
      <x:c r="P3021" s="34" t="str">
        <x:v>NOT_REVEALING</x:v>
      </x:c>
      <x:c r="Q3021" s="34" t="str">
        <x:v>Feedback-Directed Random Test Generation/Result_Round2/JacksonDatabind_67/result.json</x:v>
      </x:c>
    </x:row>
    <x:row r="3022">
      <x:c r="A3022" s="34" t="str">
        <x:v>randoop</x:v>
      </x:c>
      <x:c r="B3022" s="34" t="str">
        <x:v>JacksonDatabind</x:v>
      </x:c>
      <x:c r="C3022" s="34" t="str">
        <x:v>Round2</x:v>
      </x:c>
      <x:c r="D3022" s="34" t="str">
        <x:v>JacksonDatabind_68</x:v>
      </x:c>
      <x:c r="E3022" s="34" t="str">
        <x:v>Line</x:v>
      </x:c>
      <x:c r="F3022" s="34" t="n">
        <x:v>592</x:v>
      </x:c>
      <x:c r="G3022" s="34" t="str">
        <x:v>RECORDED</x:v>
      </x:c>
      <x:c r="H3022" s="38" t="n">
        <x:f>IF(ISNUMBER('Data'!H1314),'Data'!H1314*100,"")</x:f>
        <x:v>0.17</x:v>
      </x:c>
      <x:c r="I3022" s="34" t="str">
        <x:v>PASS</x:v>
      </x:c>
      <x:c r="J3022" s="34" t="str">
        <x:v>PASS</x:v>
      </x:c>
      <x:c r="K3022" s="34" t="str">
        <x:v>PASS</x:v>
      </x:c>
      <x:c r="L3022" s="34" t="str">
        <x:v>PASS</x:v>
      </x:c>
      <x:c r="M3022" s="34" t="str">
        <x:v>numeric coverage for applicable metric</x:v>
      </x:c>
      <x:c r="N3022" s="34" t="str">
        <x:v>Feedback-Directed Random Test Generation/Result_Round2/JacksonDatabind_68/result.json</x:v>
      </x:c>
      <x:c r="O3022" s="38" t="n">
        <x:f>IF(AND(G3022="RECORDED",ISNUMBER(H3022)),H3022,"")</x:f>
        <x:v>0.17</x:v>
      </x:c>
      <x:c r="P3022" s="34" t="str">
        <x:v>NOT_REVEALING</x:v>
      </x:c>
      <x:c r="Q3022" s="34" t="str">
        <x:v>Feedback-Directed Random Test Generation/Result_Round2/JacksonDatabind_68/result.json</x:v>
      </x:c>
    </x:row>
    <x:row r="3023">
      <x:c r="A3023" s="34" t="str">
        <x:v>randoop</x:v>
      </x:c>
      <x:c r="B3023" s="34" t="str">
        <x:v>JacksonDatabind</x:v>
      </x:c>
      <x:c r="C3023" s="34" t="str">
        <x:v>Round2</x:v>
      </x:c>
      <x:c r="D3023" s="34" t="str">
        <x:v>JacksonDatabind_69</x:v>
      </x:c>
      <x:c r="E3023" s="34" t="str">
        <x:v>Line</x:v>
      </x:c>
      <x:c r="F3023" s="34" t="n">
        <x:v>127</x:v>
      </x:c>
      <x:c r="G3023" s="34" t="str">
        <x:v>RECORDED</x:v>
      </x:c>
      <x:c r="H3023" s="38" t="n">
        <x:f>IF(ISNUMBER('Data'!H1315),'Data'!H1315*100,"")</x:f>
        <x:v>11.02</x:v>
      </x:c>
      <x:c r="I3023" s="34" t="str">
        <x:v>PASS</x:v>
      </x:c>
      <x:c r="J3023" s="34" t="str">
        <x:v>PASS</x:v>
      </x:c>
      <x:c r="K3023" s="34" t="str">
        <x:v>PASS</x:v>
      </x:c>
      <x:c r="L3023" s="34" t="str">
        <x:v>PASS</x:v>
      </x:c>
      <x:c r="M3023" s="34" t="str">
        <x:v>numeric coverage for applicable metric</x:v>
      </x:c>
      <x:c r="N3023" s="34" t="str">
        <x:v>Feedback-Directed Random Test Generation/Result_Round2/JacksonDatabind_69/result.json</x:v>
      </x:c>
      <x:c r="O3023" s="38" t="n">
        <x:f>IF(AND(G3023="RECORDED",ISNUMBER(H3023)),H3023,"")</x:f>
        <x:v>11.02</x:v>
      </x:c>
      <x:c r="P3023" s="34" t="str">
        <x:v>NOT_REVEALING</x:v>
      </x:c>
      <x:c r="Q3023" s="34" t="str">
        <x:v>Feedback-Directed Random Test Generation/Result_Round2/JacksonDatabind_69/result.json</x:v>
      </x:c>
    </x:row>
    <x:row r="3024">
      <x:c r="A3024" s="34" t="str">
        <x:v>randoop</x:v>
      </x:c>
      <x:c r="B3024" s="34" t="str">
        <x:v>JacksonDatabind</x:v>
      </x:c>
      <x:c r="C3024" s="34" t="str">
        <x:v>Round2</x:v>
      </x:c>
      <x:c r="D3024" s="34" t="str">
        <x:v>JacksonDatabind_70</x:v>
      </x:c>
      <x:c r="E3024" s="34" t="str">
        <x:v>Line</x:v>
      </x:c>
      <x:c r="F3024" s="34" t="n">
        <x:v>226</x:v>
      </x:c>
      <x:c r="G3024" s="34" t="str">
        <x:v>RECORDED</x:v>
      </x:c>
      <x:c r="H3024" s="38" t="n">
        <x:f>IF(ISNUMBER('Data'!H1316),'Data'!H1316*100,"")</x:f>
        <x:v>36.73</x:v>
      </x:c>
      <x:c r="I3024" s="34" t="str">
        <x:v>PASS</x:v>
      </x:c>
      <x:c r="J3024" s="34" t="str">
        <x:v>PASS</x:v>
      </x:c>
      <x:c r="K3024" s="34" t="str">
        <x:v>PASS</x:v>
      </x:c>
      <x:c r="L3024" s="34" t="str">
        <x:v>PASS</x:v>
      </x:c>
      <x:c r="M3024" s="34" t="str">
        <x:v>numeric coverage for applicable metric</x:v>
      </x:c>
      <x:c r="N3024" s="34" t="str">
        <x:v>Feedback-Directed Random Test Generation/Result_Round2/JacksonDatabind_70/result.json</x:v>
      </x:c>
      <x:c r="O3024" s="38" t="n">
        <x:f>IF(AND(G3024="RECORDED",ISNUMBER(H3024)),H3024,"")</x:f>
        <x:v>36.73</x:v>
      </x:c>
      <x:c r="P3024" s="34" t="str">
        <x:v>NOT_REVEALING</x:v>
      </x:c>
      <x:c r="Q3024" s="34" t="str">
        <x:v>Feedback-Directed Random Test Generation/Result_Round2/JacksonDatabind_70/result.json</x:v>
      </x:c>
    </x:row>
    <x:row r="3025">
      <x:c r="A3025" s="34" t="str">
        <x:v>randoop</x:v>
      </x:c>
      <x:c r="B3025" s="34" t="str">
        <x:v>JacksonDatabind</x:v>
      </x:c>
      <x:c r="C3025" s="34" t="str">
        <x:v>Round2</x:v>
      </x:c>
      <x:c r="D3025" s="34" t="str">
        <x:v>JacksonDatabind_71</x:v>
      </x:c>
      <x:c r="E3025" s="34" t="str">
        <x:v>Line</x:v>
      </x:c>
      <x:c r="F3025" s="34" t="n">
        <x:v>149</x:v>
      </x:c>
      <x:c r="G3025" s="34" t="str">
        <x:v>RECORDED</x:v>
      </x:c>
      <x:c r="H3025" s="38" t="n">
        <x:f>IF(ISNUMBER('Data'!H1317),'Data'!H1317*100,"")</x:f>
        <x:v>1.34</x:v>
      </x:c>
      <x:c r="I3025" s="34" t="str">
        <x:v>PASS</x:v>
      </x:c>
      <x:c r="J3025" s="34" t="str">
        <x:v>PASS</x:v>
      </x:c>
      <x:c r="K3025" s="34" t="str">
        <x:v>PASS</x:v>
      </x:c>
      <x:c r="L3025" s="34" t="str">
        <x:v>PASS</x:v>
      </x:c>
      <x:c r="M3025" s="34" t="str">
        <x:v>numeric coverage for applicable metric</x:v>
      </x:c>
      <x:c r="N3025" s="34" t="str">
        <x:v>Feedback-Directed Random Test Generation/Result_Round2/JacksonDatabind_71/result.json</x:v>
      </x:c>
      <x:c r="O3025" s="38" t="n">
        <x:f>IF(AND(G3025="RECORDED",ISNUMBER(H3025)),H3025,"")</x:f>
        <x:v>1.34</x:v>
      </x:c>
      <x:c r="P3025" s="34" t="str">
        <x:v>NOT_REVEALING</x:v>
      </x:c>
      <x:c r="Q3025" s="34" t="str">
        <x:v>Feedback-Directed Random Test Generation/Result_Round2/JacksonDatabind_71/result.json</x:v>
      </x:c>
    </x:row>
    <x:row r="3026">
      <x:c r="A3026" s="34" t="str">
        <x:v>randoop</x:v>
      </x:c>
      <x:c r="B3026" s="34" t="str">
        <x:v>JacksonDatabind</x:v>
      </x:c>
      <x:c r="C3026" s="34" t="str">
        <x:v>Round2</x:v>
      </x:c>
      <x:c r="D3026" s="34" t="str">
        <x:v>JacksonDatabind_72</x:v>
      </x:c>
      <x:c r="E3026" s="34" t="str">
        <x:v>Line</x:v>
      </x:c>
      <x:c r="F3026" s="34" t="n">
        <x:v>47</x:v>
      </x:c>
      <x:c r="G3026" s="34" t="str">
        <x:v>RECORDED</x:v>
      </x:c>
      <x:c r="H3026" s="38" t="n">
        <x:f>IF(ISNUMBER('Data'!H1318),'Data'!H1318*100,"")</x:f>
        <x:v>4.26</x:v>
      </x:c>
      <x:c r="I3026" s="34" t="str">
        <x:v>PASS</x:v>
      </x:c>
      <x:c r="J3026" s="34" t="str">
        <x:v>PASS</x:v>
      </x:c>
      <x:c r="K3026" s="34" t="str">
        <x:v>PASS</x:v>
      </x:c>
      <x:c r="L3026" s="34" t="str">
        <x:v>PASS</x:v>
      </x:c>
      <x:c r="M3026" s="34" t="str">
        <x:v>numeric coverage for applicable metric</x:v>
      </x:c>
      <x:c r="N3026" s="34" t="str">
        <x:v>Feedback-Directed Random Test Generation/Result_Round2/JacksonDatabind_72/result.json</x:v>
      </x:c>
      <x:c r="O3026" s="38" t="n">
        <x:f>IF(AND(G3026="RECORDED",ISNUMBER(H3026)),H3026,"")</x:f>
        <x:v>4.26</x:v>
      </x:c>
      <x:c r="P3026" s="34" t="str">
        <x:v>NOT_REVEALING</x:v>
      </x:c>
      <x:c r="Q3026" s="34" t="str">
        <x:v>Feedback-Directed Random Test Generation/Result_Round2/JacksonDatabind_72/result.json</x:v>
      </x:c>
    </x:row>
    <x:row r="3027">
      <x:c r="A3027" s="34" t="str">
        <x:v>randoop</x:v>
      </x:c>
      <x:c r="B3027" s="34" t="str">
        <x:v>JacksonDatabind</x:v>
      </x:c>
      <x:c r="C3027" s="34" t="str">
        <x:v>Round2</x:v>
      </x:c>
      <x:c r="D3027" s="34" t="str">
        <x:v>JacksonDatabind_73</x:v>
      </x:c>
      <x:c r="E3027" s="34" t="str">
        <x:v>Line</x:v>
      </x:c>
      <x:c r="F3027" s="34" t="n">
        <x:v>928</x:v>
      </x:c>
      <x:c r="G3027" s="34" t="str">
        <x:v>RECORDED</x:v>
      </x:c>
      <x:c r="H3027" s="38" t="n">
        <x:f>IF(ISNUMBER('Data'!H1319),'Data'!H1319*100,"")</x:f>
        <x:v>4.85</x:v>
      </x:c>
      <x:c r="I3027" s="34" t="str">
        <x:v>PASS</x:v>
      </x:c>
      <x:c r="J3027" s="34" t="str">
        <x:v>PASS</x:v>
      </x:c>
      <x:c r="K3027" s="34" t="str">
        <x:v>PASS</x:v>
      </x:c>
      <x:c r="L3027" s="34" t="str">
        <x:v>PASS</x:v>
      </x:c>
      <x:c r="M3027" s="34" t="str">
        <x:v>numeric coverage for applicable metric</x:v>
      </x:c>
      <x:c r="N3027" s="34" t="str">
        <x:v>Feedback-Directed Random Test Generation/Result_Round2/JacksonDatabind_73/result.json</x:v>
      </x:c>
      <x:c r="O3027" s="38" t="n">
        <x:f>IF(AND(G3027="RECORDED",ISNUMBER(H3027)),H3027,"")</x:f>
        <x:v>4.85</x:v>
      </x:c>
      <x:c r="P3027" s="34" t="str">
        <x:v>NOT_REVEALING</x:v>
      </x:c>
      <x:c r="Q3027" s="34" t="str">
        <x:v>Feedback-Directed Random Test Generation/Result_Round2/JacksonDatabind_73/result.json</x:v>
      </x:c>
    </x:row>
    <x:row r="3028">
      <x:c r="A3028" s="34" t="str">
        <x:v>randoop</x:v>
      </x:c>
      <x:c r="B3028" s="34" t="str">
        <x:v>JacksonDatabind</x:v>
      </x:c>
      <x:c r="C3028" s="34" t="str">
        <x:v>Round2</x:v>
      </x:c>
      <x:c r="D3028" s="34" t="str">
        <x:v>JacksonDatabind_74</x:v>
      </x:c>
      <x:c r="E3028" s="34" t="str">
        <x:v>Line</x:v>
      </x:c>
      <x:c r="F3028" s="34" t="n">
        <x:v>60</x:v>
      </x:c>
      <x:c r="G3028" s="34" t="str">
        <x:v>RECORDED</x:v>
      </x:c>
      <x:c r="H3028" s="38" t="n">
        <x:f>IF(ISNUMBER('Data'!H1320),'Data'!H1320*100,"")</x:f>
        <x:v>23.33</x:v>
      </x:c>
      <x:c r="I3028" s="34" t="str">
        <x:v>PASS</x:v>
      </x:c>
      <x:c r="J3028" s="34" t="str">
        <x:v>PASS</x:v>
      </x:c>
      <x:c r="K3028" s="34" t="str">
        <x:v>PASS</x:v>
      </x:c>
      <x:c r="L3028" s="34" t="str">
        <x:v>PASS</x:v>
      </x:c>
      <x:c r="M3028" s="34" t="str">
        <x:v>numeric coverage for applicable metric</x:v>
      </x:c>
      <x:c r="N3028" s="34" t="str">
        <x:v>Feedback-Directed Random Test Generation/Result_Round2/JacksonDatabind_74/result.json</x:v>
      </x:c>
      <x:c r="O3028" s="38" t="n">
        <x:f>IF(AND(G3028="RECORDED",ISNUMBER(H3028)),H3028,"")</x:f>
        <x:v>23.33</x:v>
      </x:c>
      <x:c r="P3028" s="34" t="str">
        <x:v>NOT_REVEALING</x:v>
      </x:c>
      <x:c r="Q3028" s="34" t="str">
        <x:v>Feedback-Directed Random Test Generation/Result_Round2/JacksonDatabind_74/result.json</x:v>
      </x:c>
    </x:row>
    <x:row r="3029">
      <x:c r="A3029" s="34" t="str">
        <x:v>randoop</x:v>
      </x:c>
      <x:c r="B3029" s="34" t="str">
        <x:v>JacksonDatabind</x:v>
      </x:c>
      <x:c r="C3029" s="34" t="str">
        <x:v>Round2</x:v>
      </x:c>
      <x:c r="D3029" s="34" t="str">
        <x:v>JacksonDatabind_75</x:v>
      </x:c>
      <x:c r="E3029" s="34" t="str">
        <x:v>Line</x:v>
      </x:c>
      <x:c r="F3029" s="34" t="n">
        <x:v>69</x:v>
      </x:c>
      <x:c r="G3029" s="34" t="str">
        <x:v>RECORDED</x:v>
      </x:c>
      <x:c r="H3029" s="38" t="n">
        <x:f>IF(ISNUMBER('Data'!H1321),'Data'!H1321*100,"")</x:f>
        <x:v>2.9</x:v>
      </x:c>
      <x:c r="I3029" s="34" t="str">
        <x:v>PASS</x:v>
      </x:c>
      <x:c r="J3029" s="34" t="str">
        <x:v>PASS</x:v>
      </x:c>
      <x:c r="K3029" s="34" t="str">
        <x:v>PASS</x:v>
      </x:c>
      <x:c r="L3029" s="34" t="str">
        <x:v>PASS</x:v>
      </x:c>
      <x:c r="M3029" s="34" t="str">
        <x:v>numeric coverage for applicable metric</x:v>
      </x:c>
      <x:c r="N3029" s="34" t="str">
        <x:v>Feedback-Directed Random Test Generation/Result_Round2/JacksonDatabind_75/result.json</x:v>
      </x:c>
      <x:c r="O3029" s="38" t="n">
        <x:f>IF(AND(G3029="RECORDED",ISNUMBER(H3029)),H3029,"")</x:f>
        <x:v>2.9</x:v>
      </x:c>
      <x:c r="P3029" s="34" t="str">
        <x:v>NOT_REVEALING</x:v>
      </x:c>
      <x:c r="Q3029" s="34" t="str">
        <x:v>Feedback-Directed Random Test Generation/Result_Round2/JacksonDatabind_75/result.json</x:v>
      </x:c>
    </x:row>
    <x:row r="3030">
      <x:c r="A3030" s="34" t="str">
        <x:v>randoop</x:v>
      </x:c>
      <x:c r="B3030" s="34" t="str">
        <x:v>JacksonDatabind</x:v>
      </x:c>
      <x:c r="C3030" s="34" t="str">
        <x:v>Round2</x:v>
      </x:c>
      <x:c r="D3030" s="34" t="str">
        <x:v>JacksonDatabind_76</x:v>
      </x:c>
      <x:c r="E3030" s="34" t="str">
        <x:v>Line</x:v>
      </x:c>
      <x:c r="F3030" s="34" t="n">
        <x:v>320</x:v>
      </x:c>
      <x:c r="G3030" s="34" t="str">
        <x:v>RECORDED</x:v>
      </x:c>
      <x:c r="H3030" s="38" t="n">
        <x:f>IF(ISNUMBER('Data'!H1322),'Data'!H1322*100,"")</x:f>
        <x:v>2.19</x:v>
      </x:c>
      <x:c r="I3030" s="34" t="str">
        <x:v>PASS</x:v>
      </x:c>
      <x:c r="J3030" s="34" t="str">
        <x:v>PASS</x:v>
      </x:c>
      <x:c r="K3030" s="34" t="str">
        <x:v>PASS</x:v>
      </x:c>
      <x:c r="L3030" s="34" t="str">
        <x:v>PASS</x:v>
      </x:c>
      <x:c r="M3030" s="34" t="str">
        <x:v>numeric coverage for applicable metric</x:v>
      </x:c>
      <x:c r="N3030" s="34" t="str">
        <x:v>Feedback-Directed Random Test Generation/Result_Round2/JacksonDatabind_76/result.json</x:v>
      </x:c>
      <x:c r="O3030" s="38" t="n">
        <x:f>IF(AND(G3030="RECORDED",ISNUMBER(H3030)),H3030,"")</x:f>
        <x:v>2.19</x:v>
      </x:c>
      <x:c r="P3030" s="34" t="str">
        <x:v>NOT_REVEALING</x:v>
      </x:c>
      <x:c r="Q3030" s="34" t="str">
        <x:v>Feedback-Directed Random Test Generation/Result_Round2/JacksonDatabind_76/result.json</x:v>
      </x:c>
    </x:row>
    <x:row r="3031">
      <x:c r="A3031" s="34" t="str">
        <x:v>randoop</x:v>
      </x:c>
      <x:c r="B3031" s="34" t="str">
        <x:v>JacksonDatabind</x:v>
      </x:c>
      <x:c r="C3031" s="34" t="str">
        <x:v>Round2</x:v>
      </x:c>
      <x:c r="D3031" s="34" t="str">
        <x:v>JacksonDatabind_77</x:v>
      </x:c>
      <x:c r="E3031" s="34" t="str">
        <x:v>Line</x:v>
      </x:c>
      <x:c r="F3031" s="34" t="n">
        <x:v>324</x:v>
      </x:c>
      <x:c r="G3031" s="34" t="str">
        <x:v>RECORDED</x:v>
      </x:c>
      <x:c r="H3031" s="38" t="n">
        <x:f>IF(ISNUMBER('Data'!H1323),'Data'!H1323*100,"")</x:f>
        <x:v>9.26</x:v>
      </x:c>
      <x:c r="I3031" s="34" t="str">
        <x:v>PASS</x:v>
      </x:c>
      <x:c r="J3031" s="34" t="str">
        <x:v>PASS</x:v>
      </x:c>
      <x:c r="K3031" s="34" t="str">
        <x:v>PASS</x:v>
      </x:c>
      <x:c r="L3031" s="34" t="str">
        <x:v>PASS</x:v>
      </x:c>
      <x:c r="M3031" s="34" t="str">
        <x:v>numeric coverage for applicable metric</x:v>
      </x:c>
      <x:c r="N3031" s="34" t="str">
        <x:v>Feedback-Directed Random Test Generation/Result_Round2/JacksonDatabind_77/result.json</x:v>
      </x:c>
      <x:c r="O3031" s="38" t="n">
        <x:f>IF(AND(G3031="RECORDED",ISNUMBER(H3031)),H3031,"")</x:f>
        <x:v>9.26</x:v>
      </x:c>
      <x:c r="P3031" s="34" t="str">
        <x:v>NOT_REVEALING</x:v>
      </x:c>
      <x:c r="Q3031" s="34" t="str">
        <x:v>Feedback-Directed Random Test Generation/Result_Round2/JacksonDatabind_77/result.json</x:v>
      </x:c>
    </x:row>
    <x:row r="3032">
      <x:c r="A3032" s="34" t="str">
        <x:v>randoop</x:v>
      </x:c>
      <x:c r="B3032" s="34" t="str">
        <x:v>JacksonDatabind</x:v>
      </x:c>
      <x:c r="C3032" s="34" t="str">
        <x:v>Round2</x:v>
      </x:c>
      <x:c r="D3032" s="34" t="str">
        <x:v>JacksonDatabind_78</x:v>
      </x:c>
      <x:c r="E3032" s="34" t="str">
        <x:v>Line</x:v>
      </x:c>
      <x:c r="F3032" s="34" t="n">
        <x:v>338</x:v>
      </x:c>
      <x:c r="G3032" s="34" t="str">
        <x:v>RECORDED</x:v>
      </x:c>
      <x:c r="H3032" s="38" t="n">
        <x:f>IF(ISNUMBER('Data'!H1324),'Data'!H1324*100,"")</x:f>
        <x:v>9.47</x:v>
      </x:c>
      <x:c r="I3032" s="34" t="str">
        <x:v>PASS</x:v>
      </x:c>
      <x:c r="J3032" s="34" t="str">
        <x:v>PASS</x:v>
      </x:c>
      <x:c r="K3032" s="34" t="str">
        <x:v>PASS</x:v>
      </x:c>
      <x:c r="L3032" s="34" t="str">
        <x:v>PASS</x:v>
      </x:c>
      <x:c r="M3032" s="34" t="str">
        <x:v>numeric coverage for applicable metric</x:v>
      </x:c>
      <x:c r="N3032" s="34" t="str">
        <x:v>Feedback-Directed Random Test Generation/Result_Round2/JacksonDatabind_78/result.json</x:v>
      </x:c>
      <x:c r="O3032" s="38" t="n">
        <x:f>IF(AND(G3032="RECORDED",ISNUMBER(H3032)),H3032,"")</x:f>
        <x:v>9.47</x:v>
      </x:c>
      <x:c r="P3032" s="34" t="str">
        <x:v>NOT_REVEALING</x:v>
      </x:c>
      <x:c r="Q3032" s="34" t="str">
        <x:v>Feedback-Directed Random Test Generation/Result_Round2/JacksonDatabind_78/result.json</x:v>
      </x:c>
    </x:row>
    <x:row r="3033">
      <x:c r="A3033" s="34" t="str">
        <x:v>randoop</x:v>
      </x:c>
      <x:c r="B3033" s="34" t="str">
        <x:v>JacksonDatabind</x:v>
      </x:c>
      <x:c r="C3033" s="34" t="str">
        <x:v>Round2</x:v>
      </x:c>
      <x:c r="D3033" s="34" t="str">
        <x:v>JacksonDatabind_79</x:v>
      </x:c>
      <x:c r="E3033" s="34" t="str">
        <x:v>Line</x:v>
      </x:c>
      <x:c r="F3033" s="34" t="n">
        <x:v>829</x:v>
      </x:c>
      <x:c r="G3033" s="34" t="str">
        <x:v>RECORDED</x:v>
      </x:c>
      <x:c r="H3033" s="38" t="n">
        <x:f>IF(ISNUMBER('Data'!H1325),'Data'!H1325*100,"")</x:f>
        <x:v>10.98</x:v>
      </x:c>
      <x:c r="I3033" s="34" t="str">
        <x:v>PASS</x:v>
      </x:c>
      <x:c r="J3033" s="34" t="str">
        <x:v>PASS</x:v>
      </x:c>
      <x:c r="K3033" s="34" t="str">
        <x:v>PASS</x:v>
      </x:c>
      <x:c r="L3033" s="34" t="str">
        <x:v>PASS</x:v>
      </x:c>
      <x:c r="M3033" s="34" t="str">
        <x:v>numeric coverage for applicable metric</x:v>
      </x:c>
      <x:c r="N3033" s="34" t="str">
        <x:v>Feedback-Directed Random Test Generation/Result_Round2/JacksonDatabind_79/result.json</x:v>
      </x:c>
      <x:c r="O3033" s="38" t="n">
        <x:f>IF(AND(G3033="RECORDED",ISNUMBER(H3033)),H3033,"")</x:f>
        <x:v>10.98</x:v>
      </x:c>
      <x:c r="P3033" s="34" t="str">
        <x:v>NOT_REVEALING</x:v>
      </x:c>
      <x:c r="Q3033" s="34" t="str">
        <x:v>Feedback-Directed Random Test Generation/Result_Round2/JacksonDatabind_79/result.json</x:v>
      </x:c>
    </x:row>
    <x:row r="3034">
      <x:c r="A3034" s="34" t="str">
        <x:v>randoop</x:v>
      </x:c>
      <x:c r="B3034" s="34" t="str">
        <x:v>JacksonDatabind</x:v>
      </x:c>
      <x:c r="C3034" s="34" t="str">
        <x:v>Round2</x:v>
      </x:c>
      <x:c r="D3034" s="34" t="str">
        <x:v>JacksonDatabind_80</x:v>
      </x:c>
      <x:c r="E3034" s="34" t="str">
        <x:v>Line</x:v>
      </x:c>
      <x:c r="F3034" s="34" t="n">
        <x:v>124</x:v>
      </x:c>
      <x:c r="G3034" s="34" t="str">
        <x:v>RECORDED</x:v>
      </x:c>
      <x:c r="H3034" s="38" t="n">
        <x:f>IF(ISNUMBER('Data'!H1326),'Data'!H1326*100,"")</x:f>
        <x:v>8.87</x:v>
      </x:c>
      <x:c r="I3034" s="34" t="str">
        <x:v>PASS</x:v>
      </x:c>
      <x:c r="J3034" s="34" t="str">
        <x:v>PASS</x:v>
      </x:c>
      <x:c r="K3034" s="34" t="str">
        <x:v>PASS</x:v>
      </x:c>
      <x:c r="L3034" s="34" t="str">
        <x:v>PASS</x:v>
      </x:c>
      <x:c r="M3034" s="34" t="str">
        <x:v>numeric coverage for applicable metric</x:v>
      </x:c>
      <x:c r="N3034" s="34" t="str">
        <x:v>Feedback-Directed Random Test Generation/Result_Round2/JacksonDatabind_80/result.json</x:v>
      </x:c>
      <x:c r="O3034" s="38" t="n">
        <x:f>IF(AND(G3034="RECORDED",ISNUMBER(H3034)),H3034,"")</x:f>
        <x:v>8.87</x:v>
      </x:c>
      <x:c r="P3034" s="34" t="str">
        <x:v>NOT_REVEALING</x:v>
      </x:c>
      <x:c r="Q3034" s="34" t="str">
        <x:v>Feedback-Directed Random Test Generation/Result_Round2/JacksonDatabind_80/result.json</x:v>
      </x:c>
    </x:row>
    <x:row r="3035">
      <x:c r="A3035" s="34" t="str">
        <x:v>randoop</x:v>
      </x:c>
      <x:c r="B3035" s="34" t="str">
        <x:v>JacksonDatabind</x:v>
      </x:c>
      <x:c r="C3035" s="34" t="str">
        <x:v>Round2</x:v>
      </x:c>
      <x:c r="D3035" s="34" t="str">
        <x:v>JacksonDatabind_81</x:v>
      </x:c>
      <x:c r="E3035" s="34" t="str">
        <x:v>Line</x:v>
      </x:c>
      <x:c r="F3035" s="34" t="n">
        <x:v>532</x:v>
      </x:c>
      <x:c r="G3035" s="34" t="str">
        <x:v>RECORDED</x:v>
      </x:c>
      <x:c r="H3035" s="38" t="n">
        <x:f>IF(ISNUMBER('Data'!H1327),'Data'!H1327*100,"")</x:f>
        <x:v>16.73</x:v>
      </x:c>
      <x:c r="I3035" s="34" t="str">
        <x:v>PASS</x:v>
      </x:c>
      <x:c r="J3035" s="34" t="str">
        <x:v>PASS</x:v>
      </x:c>
      <x:c r="K3035" s="34" t="str">
        <x:v>PASS</x:v>
      </x:c>
      <x:c r="L3035" s="34" t="str">
        <x:v>PASS</x:v>
      </x:c>
      <x:c r="M3035" s="34" t="str">
        <x:v>numeric coverage for applicable metric</x:v>
      </x:c>
      <x:c r="N3035" s="34" t="str">
        <x:v>Feedback-Directed Random Test Generation/Result_Round2/JacksonDatabind_81/result.json</x:v>
      </x:c>
      <x:c r="O3035" s="38" t="n">
        <x:f>IF(AND(G3035="RECORDED",ISNUMBER(H3035)),H3035,"")</x:f>
        <x:v>16.73</x:v>
      </x:c>
      <x:c r="P3035" s="34" t="str">
        <x:v>NOT_REVEALING</x:v>
      </x:c>
      <x:c r="Q3035" s="34" t="str">
        <x:v>Feedback-Directed Random Test Generation/Result_Round2/JacksonDatabind_81/result.json</x:v>
      </x:c>
    </x:row>
    <x:row r="3036">
      <x:c r="A3036" s="34" t="str">
        <x:v>randoop</x:v>
      </x:c>
      <x:c r="B3036" s="34" t="str">
        <x:v>JacksonDatabind</x:v>
      </x:c>
      <x:c r="C3036" s="34" t="str">
        <x:v>Round2</x:v>
      </x:c>
      <x:c r="D3036" s="34" t="str">
        <x:v>JacksonDatabind_82</x:v>
      </x:c>
      <x:c r="E3036" s="34" t="str">
        <x:v>Line</x:v>
      </x:c>
      <x:c r="F3036" s="34" t="n">
        <x:v>355</x:v>
      </x:c>
      <x:c r="G3036" s="34" t="str">
        <x:v>RECORDED</x:v>
      </x:c>
      <x:c r="H3036" s="38" t="n">
        <x:f>IF(ISNUMBER('Data'!H1328),'Data'!H1328*100,"")</x:f>
        <x:v>12.68</x:v>
      </x:c>
      <x:c r="I3036" s="34" t="str">
        <x:v>PASS</x:v>
      </x:c>
      <x:c r="J3036" s="34" t="str">
        <x:v>PASS</x:v>
      </x:c>
      <x:c r="K3036" s="34" t="str">
        <x:v>PASS</x:v>
      </x:c>
      <x:c r="L3036" s="34" t="str">
        <x:v>PASS</x:v>
      </x:c>
      <x:c r="M3036" s="34" t="str">
        <x:v>numeric coverage for applicable metric</x:v>
      </x:c>
      <x:c r="N3036" s="34" t="str">
        <x:v>Feedback-Directed Random Test Generation/Result_Round2/JacksonDatabind_82/result.json</x:v>
      </x:c>
      <x:c r="O3036" s="38" t="n">
        <x:f>IF(AND(G3036="RECORDED",ISNUMBER(H3036)),H3036,"")</x:f>
        <x:v>12.68</x:v>
      </x:c>
      <x:c r="P3036" s="34" t="str">
        <x:v>NOT_REVEALING</x:v>
      </x:c>
      <x:c r="Q3036" s="34" t="str">
        <x:v>Feedback-Directed Random Test Generation/Result_Round2/JacksonDatabind_82/result.json</x:v>
      </x:c>
    </x:row>
    <x:row r="3037">
      <x:c r="A3037" s="34" t="str">
        <x:v>randoop</x:v>
      </x:c>
      <x:c r="B3037" s="34" t="str">
        <x:v>JacksonDatabind</x:v>
      </x:c>
      <x:c r="C3037" s="34" t="str">
        <x:v>Round2</x:v>
      </x:c>
      <x:c r="D3037" s="34" t="str">
        <x:v>JacksonDatabind_83</x:v>
      </x:c>
      <x:c r="E3037" s="34" t="str">
        <x:v>Line</x:v>
      </x:c>
      <x:c r="F3037" s="34" t="n">
        <x:v>122</x:v>
      </x:c>
      <x:c r="G3037" s="34" t="str">
        <x:v>RECORDED</x:v>
      </x:c>
      <x:c r="H3037" s="38" t="n">
        <x:f>IF(ISNUMBER('Data'!H1329),'Data'!H1329*100,"")</x:f>
        <x:v>0.8199999999999998</x:v>
      </x:c>
      <x:c r="I3037" s="34" t="str">
        <x:v>PASS</x:v>
      </x:c>
      <x:c r="J3037" s="34" t="str">
        <x:v>PASS</x:v>
      </x:c>
      <x:c r="K3037" s="34" t="str">
        <x:v>PASS</x:v>
      </x:c>
      <x:c r="L3037" s="34" t="str">
        <x:v>PASS</x:v>
      </x:c>
      <x:c r="M3037" s="34" t="str">
        <x:v>numeric coverage for applicable metric</x:v>
      </x:c>
      <x:c r="N3037" s="34" t="str">
        <x:v>Feedback-Directed Random Test Generation/Result_Round2/JacksonDatabind_83/result.json</x:v>
      </x:c>
      <x:c r="O3037" s="38" t="n">
        <x:f>IF(AND(G3037="RECORDED",ISNUMBER(H3037)),H3037,"")</x:f>
        <x:v>0.8199999999999998</x:v>
      </x:c>
      <x:c r="P3037" s="34" t="str">
        <x:v>NOT_REVEALING</x:v>
      </x:c>
      <x:c r="Q3037" s="34" t="str">
        <x:v>Feedback-Directed Random Test Generation/Result_Round2/JacksonDatabind_83/result.json</x:v>
      </x:c>
    </x:row>
    <x:row r="3038">
      <x:c r="A3038" s="34" t="str">
        <x:v>randoop</x:v>
      </x:c>
      <x:c r="B3038" s="34" t="str">
        <x:v>JacksonDatabind</x:v>
      </x:c>
      <x:c r="C3038" s="34" t="str">
        <x:v>Round2</x:v>
      </x:c>
      <x:c r="D3038" s="34" t="str">
        <x:v>JacksonDatabind_84</x:v>
      </x:c>
      <x:c r="E3038" s="34" t="str">
        <x:v>Line</x:v>
      </x:c>
      <x:c r="F3038" s="34" t="n">
        <x:v>30</x:v>
      </x:c>
      <x:c r="G3038" s="34" t="str">
        <x:v>RECORDED</x:v>
      </x:c>
      <x:c r="H3038" s="38" t="n">
        <x:f>IF(ISNUMBER('Data'!H1330),'Data'!H1330*100,"")</x:f>
        <x:v>0</x:v>
      </x:c>
      <x:c r="I3038" s="34" t="str">
        <x:v>PASS</x:v>
      </x:c>
      <x:c r="J3038" s="34" t="str">
        <x:v>PASS</x:v>
      </x:c>
      <x:c r="K3038" s="34" t="str">
        <x:v>PASS</x:v>
      </x:c>
      <x:c r="L3038" s="34" t="str">
        <x:v>PASS</x:v>
      </x:c>
      <x:c r="M3038" s="34" t="str">
        <x:v>numeric coverage for applicable metric</x:v>
      </x:c>
      <x:c r="N3038" s="34" t="str">
        <x:v>Feedback-Directed Random Test Generation/Result_Round2/JacksonDatabind_84/result.json</x:v>
      </x:c>
      <x:c r="O3038" s="38" t="n">
        <x:f>IF(AND(G3038="RECORDED",ISNUMBER(H3038)),H3038,"")</x:f>
        <x:v>0</x:v>
      </x:c>
      <x:c r="P3038" s="34" t="str">
        <x:v>NOT_REVEALING</x:v>
      </x:c>
      <x:c r="Q3038" s="34" t="str">
        <x:v>Feedback-Directed Random Test Generation/Result_Round2/JacksonDatabind_84/result.json</x:v>
      </x:c>
    </x:row>
    <x:row r="3039">
      <x:c r="A3039" s="34" t="str">
        <x:v>randoop</x:v>
      </x:c>
      <x:c r="B3039" s="34" t="str">
        <x:v>JacksonDatabind</x:v>
      </x:c>
      <x:c r="C3039" s="34" t="str">
        <x:v>Round2</x:v>
      </x:c>
      <x:c r="D3039" s="34" t="str">
        <x:v>JacksonDatabind_85</x:v>
      </x:c>
      <x:c r="E3039" s="34" t="str">
        <x:v>Line</x:v>
      </x:c>
      <x:c r="F3039" s="34" t="n">
        <x:v>43</x:v>
      </x:c>
      <x:c r="G3039" s="34" t="str">
        <x:v>RECORDED</x:v>
      </x:c>
      <x:c r="H3039" s="38" t="n">
        <x:f>IF(ISNUMBER('Data'!H1331),'Data'!H1331*100,"")</x:f>
        <x:v>0</x:v>
      </x:c>
      <x:c r="I3039" s="34" t="str">
        <x:v>PASS</x:v>
      </x:c>
      <x:c r="J3039" s="34" t="str">
        <x:v>PASS</x:v>
      </x:c>
      <x:c r="K3039" s="34" t="str">
        <x:v>PASS</x:v>
      </x:c>
      <x:c r="L3039" s="34" t="str">
        <x:v>PASS</x:v>
      </x:c>
      <x:c r="M3039" s="34" t="str">
        <x:v>numeric coverage for applicable metric</x:v>
      </x:c>
      <x:c r="N3039" s="34" t="str">
        <x:v>Feedback-Directed Random Test Generation/Result_Round2/JacksonDatabind_85/result.json</x:v>
      </x:c>
      <x:c r="O3039" s="38" t="n">
        <x:f>IF(AND(G3039="RECORDED",ISNUMBER(H3039)),H3039,"")</x:f>
        <x:v>0</x:v>
      </x:c>
      <x:c r="P3039" s="34" t="str">
        <x:v>NOT_REVEALING</x:v>
      </x:c>
      <x:c r="Q3039" s="34" t="str">
        <x:v>Feedback-Directed Random Test Generation/Result_Round2/JacksonDatabind_85/result.json</x:v>
      </x:c>
    </x:row>
    <x:row r="3040">
      <x:c r="A3040" s="34" t="str">
        <x:v>randoop</x:v>
      </x:c>
      <x:c r="B3040" s="34" t="str">
        <x:v>JacksonDatabind</x:v>
      </x:c>
      <x:c r="C3040" s="34" t="str">
        <x:v>Round2</x:v>
      </x:c>
      <x:c r="D3040" s="34" t="str">
        <x:v>JacksonDatabind_86</x:v>
      </x:c>
      <x:c r="E3040" s="34" t="str">
        <x:v>Line</x:v>
      </x:c>
      <x:c r="F3040" s="34" t="n">
        <x:v>30</x:v>
      </x:c>
      <x:c r="G3040" s="34" t="str">
        <x:v>RECORDED</x:v>
      </x:c>
      <x:c r="H3040" s="38" t="n">
        <x:f>IF(ISNUMBER('Data'!H1332),'Data'!H1332*100,"")</x:f>
        <x:v>0</x:v>
      </x:c>
      <x:c r="I3040" s="34" t="str">
        <x:v>PASS</x:v>
      </x:c>
      <x:c r="J3040" s="34" t="str">
        <x:v>PASS</x:v>
      </x:c>
      <x:c r="K3040" s="34" t="str">
        <x:v>PASS</x:v>
      </x:c>
      <x:c r="L3040" s="34" t="str">
        <x:v>PASS</x:v>
      </x:c>
      <x:c r="M3040" s="34" t="str">
        <x:v>numeric coverage for applicable metric</x:v>
      </x:c>
      <x:c r="N3040" s="34" t="str">
        <x:v>Feedback-Directed Random Test Generation/Result_Round2/JacksonDatabind_86/result.json</x:v>
      </x:c>
      <x:c r="O3040" s="38" t="n">
        <x:f>IF(AND(G3040="RECORDED",ISNUMBER(H3040)),H3040,"")</x:f>
        <x:v>0</x:v>
      </x:c>
      <x:c r="P3040" s="34" t="str">
        <x:v>NOT_REVEALING</x:v>
      </x:c>
      <x:c r="Q3040" s="34" t="str">
        <x:v>Feedback-Directed Random Test Generation/Result_Round2/JacksonDatabind_86/result.json</x:v>
      </x:c>
    </x:row>
    <x:row r="3041">
      <x:c r="A3041" s="34" t="str">
        <x:v>randoop</x:v>
      </x:c>
      <x:c r="B3041" s="34" t="str">
        <x:v>JacksonDatabind</x:v>
      </x:c>
      <x:c r="C3041" s="34" t="str">
        <x:v>Round2</x:v>
      </x:c>
      <x:c r="D3041" s="34" t="str">
        <x:v>JacksonDatabind_87</x:v>
      </x:c>
      <x:c r="E3041" s="34" t="str">
        <x:v>Line</x:v>
      </x:c>
      <x:c r="F3041" s="34" t="n">
        <x:v>0</x:v>
      </x:c>
      <x:c r="G3041" s="34" t="str">
        <x:v>A</x:v>
      </x:c>
      <x:c r="H3041" s="38" t="str">
        <x:f>IF(ISNUMBER('Data'!H1333),'Data'!H1333*100,"")</x:f>
      </x:c>
      <x:c r="I3041" s="34"/>
      <x:c r="J3041" s="34"/>
      <x:c r="K3041" s="34"/>
      <x:c r="L3041" s="34" t="str">
        <x:v>NOT_RUN</x:v>
      </x:c>
      <x:c r="M3041" s="34" t="str">
        <x:v>Latest same-round generation failed; older files/results are excluded</x:v>
      </x:c>
      <x:c r="N3041" s="34" t="str">
        <x:v>Feedback-Directed Random Test Generation/report_Round2.csv</x:v>
      </x:c>
      <x:c r="O3041" s="38" t="str">
        <x:f>IF(AND(G3041="RECORDED",ISNUMBER(H3041)),H3041,"")</x:f>
      </x:c>
      <x:c r="P3041" s="34" t="str">
        <x:v>FAIL</x:v>
      </x:c>
      <x:c r="Q3041" s="34"/>
    </x:row>
    <x:row r="3042">
      <x:c r="A3042" s="34" t="str">
        <x:v>randoop</x:v>
      </x:c>
      <x:c r="B3042" s="34" t="str">
        <x:v>JacksonDatabind</x:v>
      </x:c>
      <x:c r="C3042" s="34" t="str">
        <x:v>Round2</x:v>
      </x:c>
      <x:c r="D3042" s="34" t="str">
        <x:v>JacksonDatabind_88</x:v>
      </x:c>
      <x:c r="E3042" s="34" t="str">
        <x:v>Line</x:v>
      </x:c>
      <x:c r="F3042" s="34" t="n">
        <x:v>48</x:v>
      </x:c>
      <x:c r="G3042" s="34" t="str">
        <x:v>RECORDED</x:v>
      </x:c>
      <x:c r="H3042" s="38" t="n">
        <x:f>IF(ISNUMBER('Data'!H1334),'Data'!H1334*100,"")</x:f>
        <x:v>31.25</x:v>
      </x:c>
      <x:c r="I3042" s="34" t="str">
        <x:v>PASS</x:v>
      </x:c>
      <x:c r="J3042" s="34" t="str">
        <x:v>PASS</x:v>
      </x:c>
      <x:c r="K3042" s="34" t="str">
        <x:v>PASS</x:v>
      </x:c>
      <x:c r="L3042" s="34" t="str">
        <x:v>PASS</x:v>
      </x:c>
      <x:c r="M3042" s="34" t="str">
        <x:v>numeric coverage for applicable metric</x:v>
      </x:c>
      <x:c r="N3042" s="34" t="str">
        <x:v>Feedback-Directed Random Test Generation/Result_Round2/JacksonDatabind_88/result.json</x:v>
      </x:c>
      <x:c r="O3042" s="38" t="n">
        <x:f>IF(AND(G3042="RECORDED",ISNUMBER(H3042)),H3042,"")</x:f>
        <x:v>31.25</x:v>
      </x:c>
      <x:c r="P3042" s="34" t="str">
        <x:v>NOT_REVEALING</x:v>
      </x:c>
      <x:c r="Q3042" s="34" t="str">
        <x:v>Feedback-Directed Random Test Generation/Result_Round2/JacksonDatabind_88/result.json</x:v>
      </x:c>
    </x:row>
    <x:row r="3043">
      <x:c r="A3043" s="34" t="str">
        <x:v>randoop</x:v>
      </x:c>
      <x:c r="B3043" s="34" t="str">
        <x:v>JacksonDatabind</x:v>
      </x:c>
      <x:c r="C3043" s="34" t="str">
        <x:v>Round2</x:v>
      </x:c>
      <x:c r="D3043" s="34" t="str">
        <x:v>JacksonDatabind_90</x:v>
      </x:c>
      <x:c r="E3043" s="34" t="str">
        <x:v>Line</x:v>
      </x:c>
      <x:c r="F3043" s="34" t="n">
        <x:v>219</x:v>
      </x:c>
      <x:c r="G3043" s="34" t="str">
        <x:v>RECORDED</x:v>
      </x:c>
      <x:c r="H3043" s="38" t="n">
        <x:f>IF(ISNUMBER('Data'!H1335),'Data'!H1335*100,"")</x:f>
        <x:v>40.18</x:v>
      </x:c>
      <x:c r="I3043" s="34" t="str">
        <x:v>PASS</x:v>
      </x:c>
      <x:c r="J3043" s="34" t="str">
        <x:v>PASS</x:v>
      </x:c>
      <x:c r="K3043" s="34" t="str">
        <x:v>PASS</x:v>
      </x:c>
      <x:c r="L3043" s="34" t="str">
        <x:v>PASS</x:v>
      </x:c>
      <x:c r="M3043" s="34" t="str">
        <x:v>numeric coverage for applicable metric</x:v>
      </x:c>
      <x:c r="N3043" s="34" t="str">
        <x:v>Feedback-Directed Random Test Generation/Result_Round2/JacksonDatabind_90/result.json</x:v>
      </x:c>
      <x:c r="O3043" s="38" t="n">
        <x:f>IF(AND(G3043="RECORDED",ISNUMBER(H3043)),H3043,"")</x:f>
        <x:v>40.18</x:v>
      </x:c>
      <x:c r="P3043" s="34" t="str">
        <x:v>NOT_REVEALING</x:v>
      </x:c>
      <x:c r="Q3043" s="34" t="str">
        <x:v>Feedback-Directed Random Test Generation/Result_Round2/JacksonDatabind_90/result.json</x:v>
      </x:c>
    </x:row>
    <x:row r="3044">
      <x:c r="A3044" s="34" t="str">
        <x:v>randoop</x:v>
      </x:c>
      <x:c r="B3044" s="34" t="str">
        <x:v>JacksonDatabind</x:v>
      </x:c>
      <x:c r="C3044" s="34" t="str">
        <x:v>Round2</x:v>
      </x:c>
      <x:c r="D3044" s="34" t="str">
        <x:v>JacksonDatabind_91</x:v>
      </x:c>
      <x:c r="E3044" s="34" t="str">
        <x:v>Line</x:v>
      </x:c>
      <x:c r="F3044" s="34" t="n">
        <x:v>164</x:v>
      </x:c>
      <x:c r="G3044" s="34" t="str">
        <x:v>RECORDED</x:v>
      </x:c>
      <x:c r="H3044" s="38" t="n">
        <x:f>IF(ISNUMBER('Data'!H1336),'Data'!H1336*100,"")</x:f>
        <x:v>14.63</x:v>
      </x:c>
      <x:c r="I3044" s="34" t="str">
        <x:v>PASS</x:v>
      </x:c>
      <x:c r="J3044" s="34" t="str">
        <x:v>PASS</x:v>
      </x:c>
      <x:c r="K3044" s="34" t="str">
        <x:v>PASS</x:v>
      </x:c>
      <x:c r="L3044" s="34" t="str">
        <x:v>PASS</x:v>
      </x:c>
      <x:c r="M3044" s="34" t="str">
        <x:v>numeric coverage for applicable metric</x:v>
      </x:c>
      <x:c r="N3044" s="34" t="str">
        <x:v>Feedback-Directed Random Test Generation/Result_Round2/JacksonDatabind_91/result.json</x:v>
      </x:c>
      <x:c r="O3044" s="38" t="n">
        <x:f>IF(AND(G3044="RECORDED",ISNUMBER(H3044)),H3044,"")</x:f>
        <x:v>14.63</x:v>
      </x:c>
      <x:c r="P3044" s="34" t="str">
        <x:v>NOT_REVEALING</x:v>
      </x:c>
      <x:c r="Q3044" s="34" t="str">
        <x:v>Feedback-Directed Random Test Generation/Result_Round2/JacksonDatabind_91/result.json</x:v>
      </x:c>
    </x:row>
    <x:row r="3045">
      <x:c r="A3045" s="34" t="str">
        <x:v>randoop</x:v>
      </x:c>
      <x:c r="B3045" s="34" t="str">
        <x:v>JacksonDatabind</x:v>
      </x:c>
      <x:c r="C3045" s="34" t="str">
        <x:v>Round2</x:v>
      </x:c>
      <x:c r="D3045" s="34" t="str">
        <x:v>JacksonDatabind_92</x:v>
      </x:c>
      <x:c r="E3045" s="34" t="str">
        <x:v>Line</x:v>
      </x:c>
      <x:c r="F3045" s="34" t="n">
        <x:v>343</x:v>
      </x:c>
      <x:c r="G3045" s="34" t="str">
        <x:v>RECORDED</x:v>
      </x:c>
      <x:c r="H3045" s="38" t="n">
        <x:f>IF(ISNUMBER('Data'!H1337),'Data'!H1337*100,"")</x:f>
        <x:v>12.83</x:v>
      </x:c>
      <x:c r="I3045" s="34" t="str">
        <x:v>PASS</x:v>
      </x:c>
      <x:c r="J3045" s="34" t="str">
        <x:v>PASS</x:v>
      </x:c>
      <x:c r="K3045" s="34" t="str">
        <x:v>PASS</x:v>
      </x:c>
      <x:c r="L3045" s="34" t="str">
        <x:v>PASS</x:v>
      </x:c>
      <x:c r="M3045" s="34" t="str">
        <x:v>numeric coverage for applicable metric</x:v>
      </x:c>
      <x:c r="N3045" s="34" t="str">
        <x:v>Feedback-Directed Random Test Generation/Result_Round2/JacksonDatabind_92/result.json</x:v>
      </x:c>
      <x:c r="O3045" s="38" t="n">
        <x:f>IF(AND(G3045="RECORDED",ISNUMBER(H3045)),H3045,"")</x:f>
        <x:v>12.83</x:v>
      </x:c>
      <x:c r="P3045" s="34" t="str">
        <x:v>NOT_REVEALING</x:v>
      </x:c>
      <x:c r="Q3045" s="34" t="str">
        <x:v>Feedback-Directed Random Test Generation/Result_Round2/JacksonDatabind_92/result.json</x:v>
      </x:c>
    </x:row>
    <x:row r="3046">
      <x:c r="A3046" s="34" t="str">
        <x:v>randoop</x:v>
      </x:c>
      <x:c r="B3046" s="34" t="str">
        <x:v>JacksonDatabind</x:v>
      </x:c>
      <x:c r="C3046" s="34" t="str">
        <x:v>Round2</x:v>
      </x:c>
      <x:c r="D3046" s="34" t="str">
        <x:v>JacksonDatabind_93</x:v>
      </x:c>
      <x:c r="E3046" s="34" t="str">
        <x:v>Line</x:v>
      </x:c>
      <x:c r="F3046" s="34" t="n">
        <x:v>36</x:v>
      </x:c>
      <x:c r="G3046" s="34" t="str">
        <x:v>RECORDED</x:v>
      </x:c>
      <x:c r="H3046" s="38" t="n">
        <x:f>IF(ISNUMBER('Data'!H1338),'Data'!H1338*100,"")</x:f>
        <x:v>66.67</x:v>
      </x:c>
      <x:c r="I3046" s="34" t="str">
        <x:v>PASS</x:v>
      </x:c>
      <x:c r="J3046" s="34" t="str">
        <x:v>PASS</x:v>
      </x:c>
      <x:c r="K3046" s="34" t="str">
        <x:v>PASS</x:v>
      </x:c>
      <x:c r="L3046" s="34" t="str">
        <x:v>PASS</x:v>
      </x:c>
      <x:c r="M3046" s="34" t="str">
        <x:v>numeric coverage for applicable metric</x:v>
      </x:c>
      <x:c r="N3046" s="34" t="str">
        <x:v>Feedback-Directed Random Test Generation/Result_Round2/JacksonDatabind_93/result.json</x:v>
      </x:c>
      <x:c r="O3046" s="38" t="n">
        <x:f>IF(AND(G3046="RECORDED",ISNUMBER(H3046)),H3046,"")</x:f>
        <x:v>66.67</x:v>
      </x:c>
      <x:c r="P3046" s="34" t="str">
        <x:v>NOT_REVEALING</x:v>
      </x:c>
      <x:c r="Q3046" s="34" t="str">
        <x:v>Feedback-Directed Random Test Generation/Result_Round2/JacksonDatabind_93/result.json</x:v>
      </x:c>
    </x:row>
    <x:row r="3047">
      <x:c r="A3047" s="34" t="str">
        <x:v>randoop</x:v>
      </x:c>
      <x:c r="B3047" s="34" t="str">
        <x:v>JacksonDatabind</x:v>
      </x:c>
      <x:c r="C3047" s="34" t="str">
        <x:v>Round2</x:v>
      </x:c>
      <x:c r="D3047" s="34" t="str">
        <x:v>JacksonDatabind_94</x:v>
      </x:c>
      <x:c r="E3047" s="34" t="str">
        <x:v>Line</x:v>
      </x:c>
      <x:c r="F3047" s="34" t="n">
        <x:v>35</x:v>
      </x:c>
      <x:c r="G3047" s="34" t="str">
        <x:v>RECORDED</x:v>
      </x:c>
      <x:c r="H3047" s="38" t="n">
        <x:f>IF(ISNUMBER('Data'!H1339),'Data'!H1339*100,"")</x:f>
        <x:v>62.86000000000001</x:v>
      </x:c>
      <x:c r="I3047" s="34" t="str">
        <x:v>PASS</x:v>
      </x:c>
      <x:c r="J3047" s="34" t="str">
        <x:v>PASS</x:v>
      </x:c>
      <x:c r="K3047" s="34" t="str">
        <x:v>PASS</x:v>
      </x:c>
      <x:c r="L3047" s="34" t="str">
        <x:v>PASS</x:v>
      </x:c>
      <x:c r="M3047" s="34" t="str">
        <x:v>numeric coverage for applicable metric</x:v>
      </x:c>
      <x:c r="N3047" s="34" t="str">
        <x:v>Feedback-Directed Random Test Generation/Result_Round2/JacksonDatabind_94/result.json</x:v>
      </x:c>
      <x:c r="O3047" s="38" t="n">
        <x:f>IF(AND(G3047="RECORDED",ISNUMBER(H3047)),H3047,"")</x:f>
        <x:v>62.86000000000001</x:v>
      </x:c>
      <x:c r="P3047" s="34" t="str">
        <x:v>NOT_REVEALING</x:v>
      </x:c>
      <x:c r="Q3047" s="34" t="str">
        <x:v>Feedback-Directed Random Test Generation/Result_Round2/JacksonDatabind_94/result.json</x:v>
      </x:c>
    </x:row>
    <x:row r="3048">
      <x:c r="A3048" s="34" t="str">
        <x:v>randoop</x:v>
      </x:c>
      <x:c r="B3048" s="34" t="str">
        <x:v>JacksonDatabind</x:v>
      </x:c>
      <x:c r="C3048" s="34" t="str">
        <x:v>Round2</x:v>
      </x:c>
      <x:c r="D3048" s="34" t="str">
        <x:v>JacksonDatabind_95</x:v>
      </x:c>
      <x:c r="E3048" s="34" t="str">
        <x:v>Line</x:v>
      </x:c>
      <x:c r="F3048" s="34" t="n">
        <x:v>459</x:v>
      </x:c>
      <x:c r="G3048" s="34" t="str">
        <x:v>RECORDED</x:v>
      </x:c>
      <x:c r="H3048" s="38" t="n">
        <x:f>IF(ISNUMBER('Data'!H1340),'Data'!H1340*100,"")</x:f>
        <x:v>46.41</x:v>
      </x:c>
      <x:c r="I3048" s="34" t="str">
        <x:v>PASS</x:v>
      </x:c>
      <x:c r="J3048" s="34" t="str">
        <x:v>PASS</x:v>
      </x:c>
      <x:c r="K3048" s="34" t="str">
        <x:v>PASS</x:v>
      </x:c>
      <x:c r="L3048" s="34" t="str">
        <x:v>PASS</x:v>
      </x:c>
      <x:c r="M3048" s="34" t="str">
        <x:v>numeric coverage for applicable metric</x:v>
      </x:c>
      <x:c r="N3048" s="34" t="str">
        <x:v>Feedback-Directed Random Test Generation/Result_Round2/JacksonDatabind_95/result.json</x:v>
      </x:c>
      <x:c r="O3048" s="38" t="n">
        <x:f>IF(AND(G3048="RECORDED",ISNUMBER(H3048)),H3048,"")</x:f>
        <x:v>46.41</x:v>
      </x:c>
      <x:c r="P3048" s="34" t="str">
        <x:v>NOT_REVEALING</x:v>
      </x:c>
      <x:c r="Q3048" s="34" t="str">
        <x:v>Feedback-Directed Random Test Generation/Result_Round2/JacksonDatabind_95/result.json</x:v>
      </x:c>
    </x:row>
    <x:row r="3049">
      <x:c r="A3049" s="34" t="str">
        <x:v>randoop</x:v>
      </x:c>
      <x:c r="B3049" s="34" t="str">
        <x:v>JacksonDatabind</x:v>
      </x:c>
      <x:c r="C3049" s="34" t="str">
        <x:v>Round2</x:v>
      </x:c>
      <x:c r="D3049" s="34" t="str">
        <x:v>JacksonDatabind_96</x:v>
      </x:c>
      <x:c r="E3049" s="34" t="str">
        <x:v>Line</x:v>
      </x:c>
      <x:c r="F3049" s="34" t="n">
        <x:v>889</x:v>
      </x:c>
      <x:c r="G3049" s="34" t="str">
        <x:v>RECORDED</x:v>
      </x:c>
      <x:c r="H3049" s="38" t="n">
        <x:f>IF(ISNUMBER('Data'!H1341),'Data'!H1341*100,"")</x:f>
        <x:v>2.36</x:v>
      </x:c>
      <x:c r="I3049" s="34" t="str">
        <x:v>PASS</x:v>
      </x:c>
      <x:c r="J3049" s="34" t="str">
        <x:v>PASS</x:v>
      </x:c>
      <x:c r="K3049" s="34" t="str">
        <x:v>PASS</x:v>
      </x:c>
      <x:c r="L3049" s="34" t="str">
        <x:v>PASS</x:v>
      </x:c>
      <x:c r="M3049" s="34" t="str">
        <x:v>numeric coverage for applicable metric</x:v>
      </x:c>
      <x:c r="N3049" s="34" t="str">
        <x:v>Feedback-Directed Random Test Generation/Result_Round2/JacksonDatabind_96/result.json</x:v>
      </x:c>
      <x:c r="O3049" s="38" t="n">
        <x:f>IF(AND(G3049="RECORDED",ISNUMBER(H3049)),H3049,"")</x:f>
        <x:v>2.36</x:v>
      </x:c>
      <x:c r="P3049" s="34" t="str">
        <x:v>NOT_REVEALING</x:v>
      </x:c>
      <x:c r="Q3049" s="34" t="str">
        <x:v>Feedback-Directed Random Test Generation/Result_Round2/JacksonDatabind_96/result.json</x:v>
      </x:c>
    </x:row>
    <x:row r="3050">
      <x:c r="A3050" s="34" t="str">
        <x:v>randoop</x:v>
      </x:c>
      <x:c r="B3050" s="34" t="str">
        <x:v>JacksonDatabind</x:v>
      </x:c>
      <x:c r="C3050" s="34" t="str">
        <x:v>Round2</x:v>
      </x:c>
      <x:c r="D3050" s="34" t="str">
        <x:v>JacksonDatabind_97</x:v>
      </x:c>
      <x:c r="E3050" s="34" t="str">
        <x:v>Line</x:v>
      </x:c>
      <x:c r="F3050" s="34" t="n">
        <x:v>41</x:v>
      </x:c>
      <x:c r="G3050" s="34" t="str">
        <x:v>RECORDED</x:v>
      </x:c>
      <x:c r="H3050" s="38" t="n">
        <x:f>IF(ISNUMBER('Data'!H1342),'Data'!H1342*100,"")</x:f>
        <x:v>80.49</x:v>
      </x:c>
      <x:c r="I3050" s="34" t="str">
        <x:v>PASS</x:v>
      </x:c>
      <x:c r="J3050" s="34" t="str">
        <x:v>PASS</x:v>
      </x:c>
      <x:c r="K3050" s="34" t="str">
        <x:v>PASS</x:v>
      </x:c>
      <x:c r="L3050" s="34" t="str">
        <x:v>PASS</x:v>
      </x:c>
      <x:c r="M3050" s="34" t="str">
        <x:v>numeric coverage for applicable metric</x:v>
      </x:c>
      <x:c r="N3050" s="34" t="str">
        <x:v>Feedback-Directed Random Test Generation/Result_Round2/JacksonDatabind_97/result.json</x:v>
      </x:c>
      <x:c r="O3050" s="38" t="n">
        <x:f>IF(AND(G3050="RECORDED",ISNUMBER(H3050)),H3050,"")</x:f>
        <x:v>80.49</x:v>
      </x:c>
      <x:c r="P3050" s="34" t="str">
        <x:v>NOT_REVEALING</x:v>
      </x:c>
      <x:c r="Q3050" s="34" t="str">
        <x:v>Feedback-Directed Random Test Generation/Result_Round2/JacksonDatabind_97/result.json</x:v>
      </x:c>
    </x:row>
    <x:row r="3051">
      <x:c r="A3051" s="34" t="str">
        <x:v>randoop</x:v>
      </x:c>
      <x:c r="B3051" s="34" t="str">
        <x:v>JacksonDatabind</x:v>
      </x:c>
      <x:c r="C3051" s="34" t="str">
        <x:v>Round2</x:v>
      </x:c>
      <x:c r="D3051" s="34" t="str">
        <x:v>JacksonDatabind_98</x:v>
      </x:c>
      <x:c r="E3051" s="34" t="str">
        <x:v>Line</x:v>
      </x:c>
      <x:c r="F3051" s="34" t="n">
        <x:v>207</x:v>
      </x:c>
      <x:c r="G3051" s="34" t="str">
        <x:v>RECORDED</x:v>
      </x:c>
      <x:c r="H3051" s="38" t="n">
        <x:f>IF(ISNUMBER('Data'!H1343),'Data'!H1343*100,"")</x:f>
        <x:v>22.22</x:v>
      </x:c>
      <x:c r="I3051" s="34" t="str">
        <x:v>PASS</x:v>
      </x:c>
      <x:c r="J3051" s="34" t="str">
        <x:v>PASS</x:v>
      </x:c>
      <x:c r="K3051" s="34" t="str">
        <x:v>PASS</x:v>
      </x:c>
      <x:c r="L3051" s="34" t="str">
        <x:v>PASS</x:v>
      </x:c>
      <x:c r="M3051" s="34" t="str">
        <x:v>numeric coverage for applicable metric</x:v>
      </x:c>
      <x:c r="N3051" s="34" t="str">
        <x:v>Feedback-Directed Random Test Generation/Result_Round2/JacksonDatabind_98/result.json</x:v>
      </x:c>
      <x:c r="O3051" s="38" t="n">
        <x:f>IF(AND(G3051="RECORDED",ISNUMBER(H3051)),H3051,"")</x:f>
        <x:v>22.22</x:v>
      </x:c>
      <x:c r="P3051" s="34" t="str">
        <x:v>NOT_REVEALING</x:v>
      </x:c>
      <x:c r="Q3051" s="34" t="str">
        <x:v>Feedback-Directed Random Test Generation/Result_Round2/JacksonDatabind_98/result.json</x:v>
      </x:c>
    </x:row>
    <x:row r="3052">
      <x:c r="A3052" s="34" t="str">
        <x:v>randoop</x:v>
      </x:c>
      <x:c r="B3052" s="34" t="str">
        <x:v>JacksonDatabind</x:v>
      </x:c>
      <x:c r="C3052" s="34" t="str">
        <x:v>Round2</x:v>
      </x:c>
      <x:c r="D3052" s="34" t="str">
        <x:v>JacksonDatabind_99</x:v>
      </x:c>
      <x:c r="E3052" s="34" t="str">
        <x:v>Line</x:v>
      </x:c>
      <x:c r="F3052" s="34" t="n">
        <x:v>70</x:v>
      </x:c>
      <x:c r="G3052" s="34" t="str">
        <x:v>RECORDED</x:v>
      </x:c>
      <x:c r="H3052" s="38" t="n">
        <x:f>IF(ISNUMBER('Data'!H1344),'Data'!H1344*100,"")</x:f>
        <x:v>1.43</x:v>
      </x:c>
      <x:c r="I3052" s="34" t="str">
        <x:v>PASS</x:v>
      </x:c>
      <x:c r="J3052" s="34" t="str">
        <x:v>PASS</x:v>
      </x:c>
      <x:c r="K3052" s="34" t="str">
        <x:v>PASS</x:v>
      </x:c>
      <x:c r="L3052" s="34" t="str">
        <x:v>PASS</x:v>
      </x:c>
      <x:c r="M3052" s="34" t="str">
        <x:v>numeric coverage for applicable metric</x:v>
      </x:c>
      <x:c r="N3052" s="34" t="str">
        <x:v>Feedback-Directed Random Test Generation/Result_Round2/JacksonDatabind_99/result.json</x:v>
      </x:c>
      <x:c r="O3052" s="38" t="n">
        <x:f>IF(AND(G3052="RECORDED",ISNUMBER(H3052)),H3052,"")</x:f>
        <x:v>1.43</x:v>
      </x:c>
      <x:c r="P3052" s="34" t="str">
        <x:v>NOT_REVEALING</x:v>
      </x:c>
      <x:c r="Q3052" s="34" t="str">
        <x:v>Feedback-Directed Random Test Generation/Result_Round2/JacksonDatabind_99/result.json</x:v>
      </x:c>
    </x:row>
    <x:row r="3053">
      <x:c r="A3053" s="34" t="str">
        <x:v>randoop</x:v>
      </x:c>
      <x:c r="B3053" s="34" t="str">
        <x:v>JacksonDatabind</x:v>
      </x:c>
      <x:c r="C3053" s="34" t="str">
        <x:v>Round2</x:v>
      </x:c>
      <x:c r="D3053" s="34" t="str">
        <x:v>JacksonDatabind_100</x:v>
      </x:c>
      <x:c r="E3053" s="34" t="str">
        <x:v>Line</x:v>
      </x:c>
      <x:c r="F3053" s="34" t="n">
        <x:v>123</x:v>
      </x:c>
      <x:c r="G3053" s="34" t="str">
        <x:v>RECORDED</x:v>
      </x:c>
      <x:c r="H3053" s="38" t="n">
        <x:f>IF(ISNUMBER('Data'!H1345),'Data'!H1345*100,"")</x:f>
        <x:v>3.25</x:v>
      </x:c>
      <x:c r="I3053" s="34" t="str">
        <x:v>PASS</x:v>
      </x:c>
      <x:c r="J3053" s="34" t="str">
        <x:v>PASS</x:v>
      </x:c>
      <x:c r="K3053" s="34" t="str">
        <x:v>PASS</x:v>
      </x:c>
      <x:c r="L3053" s="34" t="str">
        <x:v>PASS</x:v>
      </x:c>
      <x:c r="M3053" s="34" t="str">
        <x:v>numeric coverage for applicable metric</x:v>
      </x:c>
      <x:c r="N3053" s="34" t="str">
        <x:v>Feedback-Directed Random Test Generation/Result_Round2/JacksonDatabind_100/result.json</x:v>
      </x:c>
      <x:c r="O3053" s="38" t="n">
        <x:f>IF(AND(G3053="RECORDED",ISNUMBER(H3053)),H3053,"")</x:f>
        <x:v>3.25</x:v>
      </x:c>
      <x:c r="P3053" s="34" t="str">
        <x:v>NOT_REVEALING</x:v>
      </x:c>
      <x:c r="Q3053" s="34" t="str">
        <x:v>Feedback-Directed Random Test Generation/Result_Round2/JacksonDatabind_100/result.json</x:v>
      </x:c>
    </x:row>
    <x:row r="3054">
      <x:c r="A3054" s="34" t="str">
        <x:v>randoop</x:v>
      </x:c>
      <x:c r="B3054" s="34" t="str">
        <x:v>JacksonDatabind</x:v>
      </x:c>
      <x:c r="C3054" s="34" t="str">
        <x:v>Round2</x:v>
      </x:c>
      <x:c r="D3054" s="34" t="str">
        <x:v>JacksonDatabind_101</x:v>
      </x:c>
      <x:c r="E3054" s="34" t="str">
        <x:v>Line</x:v>
      </x:c>
      <x:c r="F3054" s="34" t="n">
        <x:v>463</x:v>
      </x:c>
      <x:c r="G3054" s="34" t="str">
        <x:v>RECORDED</x:v>
      </x:c>
      <x:c r="H3054" s="38" t="n">
        <x:f>IF(ISNUMBER('Data'!H1346),'Data'!H1346*100,"")</x:f>
        <x:v>1.73</x:v>
      </x:c>
      <x:c r="I3054" s="34" t="str">
        <x:v>PASS</x:v>
      </x:c>
      <x:c r="J3054" s="34" t="str">
        <x:v>PASS</x:v>
      </x:c>
      <x:c r="K3054" s="34" t="str">
        <x:v>PASS</x:v>
      </x:c>
      <x:c r="L3054" s="34" t="str">
        <x:v>PASS</x:v>
      </x:c>
      <x:c r="M3054" s="34" t="str">
        <x:v>numeric coverage for applicable metric</x:v>
      </x:c>
      <x:c r="N3054" s="34" t="str">
        <x:v>Feedback-Directed Random Test Generation/Result_Round2/JacksonDatabind_101/result.json</x:v>
      </x:c>
      <x:c r="O3054" s="38" t="n">
        <x:f>IF(AND(G3054="RECORDED",ISNUMBER(H3054)),H3054,"")</x:f>
        <x:v>1.73</x:v>
      </x:c>
      <x:c r="P3054" s="34" t="str">
        <x:v>NOT_REVEALING</x:v>
      </x:c>
      <x:c r="Q3054" s="34" t="str">
        <x:v>Feedback-Directed Random Test Generation/Result_Round2/JacksonDatabind_101/result.json</x:v>
      </x:c>
    </x:row>
    <x:row r="3055">
      <x:c r="A3055" s="34" t="str">
        <x:v>randoop</x:v>
      </x:c>
      <x:c r="B3055" s="34" t="str">
        <x:v>JacksonDatabind</x:v>
      </x:c>
      <x:c r="C3055" s="34" t="str">
        <x:v>Round2</x:v>
      </x:c>
      <x:c r="D3055" s="34" t="str">
        <x:v>JacksonDatabind_102</x:v>
      </x:c>
      <x:c r="E3055" s="34" t="str">
        <x:v>Line</x:v>
      </x:c>
      <x:c r="F3055" s="34" t="n">
        <x:v>71</x:v>
      </x:c>
      <x:c r="G3055" s="34" t="str">
        <x:v>RECORDED</x:v>
      </x:c>
      <x:c r="H3055" s="38" t="n">
        <x:f>IF(ISNUMBER('Data'!H1347),'Data'!H1347*100,"")</x:f>
        <x:v>0</x:v>
      </x:c>
      <x:c r="I3055" s="34" t="str">
        <x:v>PASS</x:v>
      </x:c>
      <x:c r="J3055" s="34" t="str">
        <x:v>PASS</x:v>
      </x:c>
      <x:c r="K3055" s="34" t="str">
        <x:v>PASS</x:v>
      </x:c>
      <x:c r="L3055" s="34" t="str">
        <x:v>PASS</x:v>
      </x:c>
      <x:c r="M3055" s="34" t="str">
        <x:v>numeric coverage for applicable metric</x:v>
      </x:c>
      <x:c r="N3055" s="34" t="str">
        <x:v>Feedback-Directed Random Test Generation/Result_Round2/JacksonDatabind_102/result.json</x:v>
      </x:c>
      <x:c r="O3055" s="38" t="n">
        <x:f>IF(AND(G3055="RECORDED",ISNUMBER(H3055)),H3055,"")</x:f>
        <x:v>0</x:v>
      </x:c>
      <x:c r="P3055" s="34" t="str">
        <x:v>NOT_REVEALING</x:v>
      </x:c>
      <x:c r="Q3055" s="34" t="str">
        <x:v>Feedback-Directed Random Test Generation/Result_Round2/JacksonDatabind_102/result.json</x:v>
      </x:c>
    </x:row>
    <x:row r="3056">
      <x:c r="A3056" s="34" t="str">
        <x:v>randoop</x:v>
      </x:c>
      <x:c r="B3056" s="34" t="str">
        <x:v>JacksonDatabind</x:v>
      </x:c>
      <x:c r="C3056" s="34" t="str">
        <x:v>Round2</x:v>
      </x:c>
      <x:c r="D3056" s="34" t="str">
        <x:v>JacksonDatabind_103</x:v>
      </x:c>
      <x:c r="E3056" s="34" t="str">
        <x:v>Line</x:v>
      </x:c>
      <x:c r="F3056" s="34" t="n">
        <x:v>4256</x:v>
      </x:c>
      <x:c r="G3056" s="34" t="str">
        <x:v>RECORDED</x:v>
      </x:c>
      <x:c r="H3056" s="38" t="n">
        <x:f>IF(ISNUMBER('Data'!H1348),'Data'!H1348*100,"")</x:f>
        <x:v>15.160000000000002</x:v>
      </x:c>
      <x:c r="I3056" s="34" t="str">
        <x:v>PASS</x:v>
      </x:c>
      <x:c r="J3056" s="34" t="str">
        <x:v>PASS</x:v>
      </x:c>
      <x:c r="K3056" s="34" t="str">
        <x:v>PASS</x:v>
      </x:c>
      <x:c r="L3056" s="34" t="str">
        <x:v>FAIL</x:v>
      </x:c>
      <x:c r="M3056" s="34" t="str">
        <x:v>numeric coverage for applicable metric</x:v>
      </x:c>
      <x:c r="N3056" s="34" t="str">
        <x:v>Feedback-Directed Random Test Generation/Result_Round2/JacksonDatabind_103/result.json</x:v>
      </x:c>
      <x:c r="O3056" s="38" t="n">
        <x:f>IF(AND(G3056="RECORDED",ISNUMBER(H3056)),H3056,"")</x:f>
        <x:v>15.160000000000002</x:v>
      </x:c>
      <x:c r="P3056" s="34" t="str">
        <x:v>INCONCLUSIVE</x:v>
      </x:c>
      <x:c r="Q3056" s="34" t="str">
        <x:v>Feedback-Directed Random Test Generation/Result_Round2/JacksonDatabind_103/result.json</x:v>
      </x:c>
    </x:row>
    <x:row r="3057">
      <x:c r="A3057" s="34" t="str">
        <x:v>randoop</x:v>
      </x:c>
      <x:c r="B3057" s="34" t="str">
        <x:v>JacksonDatabind</x:v>
      </x:c>
      <x:c r="C3057" s="34" t="str">
        <x:v>Round2</x:v>
      </x:c>
      <x:c r="D3057" s="34" t="str">
        <x:v>JacksonDatabind_104</x:v>
      </x:c>
      <x:c r="E3057" s="34" t="str">
        <x:v>Line</x:v>
      </x:c>
      <x:c r="F3057" s="34" t="n">
        <x:v>272</x:v>
      </x:c>
      <x:c r="G3057" s="34" t="str">
        <x:v>RECORDED</x:v>
      </x:c>
      <x:c r="H3057" s="38" t="n">
        <x:f>IF(ISNUMBER('Data'!H1349),'Data'!H1349*100,"")</x:f>
        <x:v>84.93</x:v>
      </x:c>
      <x:c r="I3057" s="34" t="str">
        <x:v>PASS</x:v>
      </x:c>
      <x:c r="J3057" s="34" t="str">
        <x:v>PASS</x:v>
      </x:c>
      <x:c r="K3057" s="34" t="str">
        <x:v>PASS</x:v>
      </x:c>
      <x:c r="L3057" s="34" t="str">
        <x:v>FAIL</x:v>
      </x:c>
      <x:c r="M3057" s="34" t="str">
        <x:v>numeric coverage for applicable metric</x:v>
      </x:c>
      <x:c r="N3057" s="34" t="str">
        <x:v>Feedback-Directed Random Test Generation/Result_Round2/JacksonDatabind_104/result.json</x:v>
      </x:c>
      <x:c r="O3057" s="38" t="n">
        <x:f>IF(AND(G3057="RECORDED",ISNUMBER(H3057)),H3057,"")</x:f>
        <x:v>84.93</x:v>
      </x:c>
      <x:c r="P3057" s="34" t="str">
        <x:v>INCONCLUSIVE</x:v>
      </x:c>
      <x:c r="Q3057" s="34" t="str">
        <x:v>Feedback-Directed Random Test Generation/Result_Round2/JacksonDatabind_104/result.json</x:v>
      </x:c>
    </x:row>
    <x:row r="3058">
      <x:c r="A3058" s="34" t="str">
        <x:v>randoop</x:v>
      </x:c>
      <x:c r="B3058" s="34" t="str">
        <x:v>JacksonDatabind</x:v>
      </x:c>
      <x:c r="C3058" s="34" t="str">
        <x:v>Round2</x:v>
      </x:c>
      <x:c r="D3058" s="34" t="str">
        <x:v>JacksonDatabind_105</x:v>
      </x:c>
      <x:c r="E3058" s="34" t="str">
        <x:v>Line</x:v>
      </x:c>
      <x:c r="F3058" s="34" t="n">
        <x:v>19</x:v>
      </x:c>
      <x:c r="G3058" s="34" t="str">
        <x:v>RECORDED</x:v>
      </x:c>
      <x:c r="H3058" s="38" t="n">
        <x:f>IF(ISNUMBER('Data'!H1350),'Data'!H1350*100,"")</x:f>
        <x:v>31.58</x:v>
      </x:c>
      <x:c r="I3058" s="34" t="str">
        <x:v>PASS</x:v>
      </x:c>
      <x:c r="J3058" s="34" t="str">
        <x:v>PASS</x:v>
      </x:c>
      <x:c r="K3058" s="34" t="str">
        <x:v>PASS</x:v>
      </x:c>
      <x:c r="L3058" s="34" t="str">
        <x:v>PASS</x:v>
      </x:c>
      <x:c r="M3058" s="34" t="str">
        <x:v>numeric coverage for applicable metric</x:v>
      </x:c>
      <x:c r="N3058" s="34" t="str">
        <x:v>Feedback-Directed Random Test Generation/Result_Round2/JacksonDatabind_105/result.json</x:v>
      </x:c>
      <x:c r="O3058" s="38" t="n">
        <x:f>IF(AND(G3058="RECORDED",ISNUMBER(H3058)),H3058,"")</x:f>
        <x:v>31.58</x:v>
      </x:c>
      <x:c r="P3058" s="34" t="str">
        <x:v>NOT_REVEALING</x:v>
      </x:c>
      <x:c r="Q3058" s="34" t="str">
        <x:v>Feedback-Directed Random Test Generation/Result_Round2/JacksonDatabind_105/result.json</x:v>
      </x:c>
    </x:row>
    <x:row r="3059">
      <x:c r="A3059" s="34" t="str">
        <x:v>randoop</x:v>
      </x:c>
      <x:c r="B3059" s="34" t="str">
        <x:v>JacksonDatabind</x:v>
      </x:c>
      <x:c r="C3059" s="34" t="str">
        <x:v>Round2</x:v>
      </x:c>
      <x:c r="D3059" s="34" t="str">
        <x:v>JacksonDatabind_106</x:v>
      </x:c>
      <x:c r="E3059" s="34" t="str">
        <x:v>Line</x:v>
      </x:c>
      <x:c r="F3059" s="34" t="n">
        <x:v>121</x:v>
      </x:c>
      <x:c r="G3059" s="34" t="str">
        <x:v>RECORDED</x:v>
      </x:c>
      <x:c r="H3059" s="38" t="n">
        <x:f>IF(ISNUMBER('Data'!H1351),'Data'!H1351*100,"")</x:f>
        <x:v>3.3099999999999996</x:v>
      </x:c>
      <x:c r="I3059" s="34" t="str">
        <x:v>PASS</x:v>
      </x:c>
      <x:c r="J3059" s="34" t="str">
        <x:v>PASS</x:v>
      </x:c>
      <x:c r="K3059" s="34" t="str">
        <x:v>PASS</x:v>
      </x:c>
      <x:c r="L3059" s="34" t="str">
        <x:v>PASS</x:v>
      </x:c>
      <x:c r="M3059" s="34" t="str">
        <x:v>numeric coverage for applicable metric</x:v>
      </x:c>
      <x:c r="N3059" s="34" t="str">
        <x:v>Feedback-Directed Random Test Generation/Result_Round2/JacksonDatabind_106/result.json</x:v>
      </x:c>
      <x:c r="O3059" s="38" t="n">
        <x:f>IF(AND(G3059="RECORDED",ISNUMBER(H3059)),H3059,"")</x:f>
        <x:v>3.3099999999999996</x:v>
      </x:c>
      <x:c r="P3059" s="34" t="str">
        <x:v>NOT_REVEALING</x:v>
      </x:c>
      <x:c r="Q3059" s="34" t="str">
        <x:v>Feedback-Directed Random Test Generation/Result_Round2/JacksonDatabind_106/result.json</x:v>
      </x:c>
    </x:row>
    <x:row r="3060">
      <x:c r="A3060" s="34" t="str">
        <x:v>randoop</x:v>
      </x:c>
      <x:c r="B3060" s="34" t="str">
        <x:v>JacksonDatabind</x:v>
      </x:c>
      <x:c r="C3060" s="34" t="str">
        <x:v>Round2</x:v>
      </x:c>
      <x:c r="D3060" s="34" t="str">
        <x:v>JacksonDatabind_107</x:v>
      </x:c>
      <x:c r="E3060" s="34" t="str">
        <x:v>Line</x:v>
      </x:c>
      <x:c r="F3060" s="34" t="n">
        <x:v>77</x:v>
      </x:c>
      <x:c r="G3060" s="34" t="str">
        <x:v>RECORDED</x:v>
      </x:c>
      <x:c r="H3060" s="38" t="n">
        <x:f>IF(ISNUMBER('Data'!H1352),'Data'!H1352*100,"")</x:f>
        <x:v>0</x:v>
      </x:c>
      <x:c r="I3060" s="34" t="str">
        <x:v>PASS</x:v>
      </x:c>
      <x:c r="J3060" s="34" t="str">
        <x:v>PASS</x:v>
      </x:c>
      <x:c r="K3060" s="34" t="str">
        <x:v>PASS</x:v>
      </x:c>
      <x:c r="L3060" s="34" t="str">
        <x:v>PASS</x:v>
      </x:c>
      <x:c r="M3060" s="34" t="str">
        <x:v>numeric coverage for applicable metric</x:v>
      </x:c>
      <x:c r="N3060" s="34" t="str">
        <x:v>Feedback-Directed Random Test Generation/Result_Round2/JacksonDatabind_107/result.json</x:v>
      </x:c>
      <x:c r="O3060" s="38" t="n">
        <x:f>IF(AND(G3060="RECORDED",ISNUMBER(H3060)),H3060,"")</x:f>
        <x:v>0</x:v>
      </x:c>
      <x:c r="P3060" s="34" t="str">
        <x:v>NOT_REVEALING</x:v>
      </x:c>
      <x:c r="Q3060" s="34" t="str">
        <x:v>Feedback-Directed Random Test Generation/Result_Round2/JacksonDatabind_107/result.json</x:v>
      </x:c>
    </x:row>
    <x:row r="3061">
      <x:c r="A3061" s="34" t="str">
        <x:v>randoop</x:v>
      </x:c>
      <x:c r="B3061" s="34" t="str">
        <x:v>JacksonDatabind</x:v>
      </x:c>
      <x:c r="C3061" s="34" t="str">
        <x:v>Round2</x:v>
      </x:c>
      <x:c r="D3061" s="34" t="str">
        <x:v>JacksonDatabind_108</x:v>
      </x:c>
      <x:c r="E3061" s="34" t="str">
        <x:v>Line</x:v>
      </x:c>
      <x:c r="F3061" s="34" t="n">
        <x:v>433</x:v>
      </x:c>
      <x:c r="G3061" s="34" t="str">
        <x:v>RECORDED</x:v>
      </x:c>
      <x:c r="H3061" s="38" t="n">
        <x:f>IF(ISNUMBER('Data'!H1353),'Data'!H1353*100,"")</x:f>
        <x:v>3.46</x:v>
      </x:c>
      <x:c r="I3061" s="34" t="str">
        <x:v>PASS</x:v>
      </x:c>
      <x:c r="J3061" s="34" t="str">
        <x:v>PASS</x:v>
      </x:c>
      <x:c r="K3061" s="34" t="str">
        <x:v>PASS</x:v>
      </x:c>
      <x:c r="L3061" s="34" t="str">
        <x:v>PASS</x:v>
      </x:c>
      <x:c r="M3061" s="34" t="str">
        <x:v>numeric coverage for applicable metric</x:v>
      </x:c>
      <x:c r="N3061" s="34" t="str">
        <x:v>Feedback-Directed Random Test Generation/Result_Round2/JacksonDatabind_108/result.json</x:v>
      </x:c>
      <x:c r="O3061" s="38" t="n">
        <x:f>IF(AND(G3061="RECORDED",ISNUMBER(H3061)),H3061,"")</x:f>
        <x:v>3.46</x:v>
      </x:c>
      <x:c r="P3061" s="34" t="str">
        <x:v>NOT_REVEALING</x:v>
      </x:c>
      <x:c r="Q3061" s="34" t="str">
        <x:v>Feedback-Directed Random Test Generation/Result_Round2/JacksonDatabind_108/result.json</x:v>
      </x:c>
    </x:row>
    <x:row r="3062">
      <x:c r="A3062" s="34" t="str">
        <x:v>randoop</x:v>
      </x:c>
      <x:c r="B3062" s="34" t="str">
        <x:v>JacksonDatabind</x:v>
      </x:c>
      <x:c r="C3062" s="34" t="str">
        <x:v>Round2</x:v>
      </x:c>
      <x:c r="D3062" s="34" t="str">
        <x:v>JacksonDatabind_109</x:v>
      </x:c>
      <x:c r="E3062" s="34" t="str">
        <x:v>Line</x:v>
      </x:c>
      <x:c r="F3062" s="34" t="n">
        <x:v>93</x:v>
      </x:c>
      <x:c r="G3062" s="34" t="str">
        <x:v>RECORDED</x:v>
      </x:c>
      <x:c r="H3062" s="38" t="n">
        <x:f>IF(ISNUMBER('Data'!H1354),'Data'!H1354*100,"")</x:f>
        <x:v>46.24</x:v>
      </x:c>
      <x:c r="I3062" s="34" t="str">
        <x:v>PASS</x:v>
      </x:c>
      <x:c r="J3062" s="34" t="str">
        <x:v>PASS</x:v>
      </x:c>
      <x:c r="K3062" s="34" t="str">
        <x:v>PASS</x:v>
      </x:c>
      <x:c r="L3062" s="34" t="str">
        <x:v>PASS</x:v>
      </x:c>
      <x:c r="M3062" s="34" t="str">
        <x:v>numeric coverage for applicable metric</x:v>
      </x:c>
      <x:c r="N3062" s="34" t="str">
        <x:v>Feedback-Directed Random Test Generation/Result_Round2/JacksonDatabind_109/result.json</x:v>
      </x:c>
      <x:c r="O3062" s="38" t="n">
        <x:f>IF(AND(G3062="RECORDED",ISNUMBER(H3062)),H3062,"")</x:f>
        <x:v>46.24</x:v>
      </x:c>
      <x:c r="P3062" s="34" t="str">
        <x:v>NOT_REVEALING</x:v>
      </x:c>
      <x:c r="Q3062" s="34" t="str">
        <x:v>Feedback-Directed Random Test Generation/Result_Round2/JacksonDatabind_109/result.json</x:v>
      </x:c>
    </x:row>
    <x:row r="3063">
      <x:c r="A3063" s="34" t="str">
        <x:v>randoop</x:v>
      </x:c>
      <x:c r="B3063" s="34" t="str">
        <x:v>JacksonDatabind</x:v>
      </x:c>
      <x:c r="C3063" s="34" t="str">
        <x:v>Round2</x:v>
      </x:c>
      <x:c r="D3063" s="34" t="str">
        <x:v>JacksonDatabind_110</x:v>
      </x:c>
      <x:c r="E3063" s="34" t="str">
        <x:v>Line</x:v>
      </x:c>
      <x:c r="F3063" s="34" t="n">
        <x:v>58</x:v>
      </x:c>
      <x:c r="G3063" s="34" t="str">
        <x:v>RECORDED</x:v>
      </x:c>
      <x:c r="H3063" s="38" t="n">
        <x:f>IF(ISNUMBER('Data'!H1355),'Data'!H1355*100,"")</x:f>
        <x:v>22.41</x:v>
      </x:c>
      <x:c r="I3063" s="34" t="str">
        <x:v>PASS</x:v>
      </x:c>
      <x:c r="J3063" s="34" t="str">
        <x:v>PASS</x:v>
      </x:c>
      <x:c r="K3063" s="34" t="str">
        <x:v>PASS</x:v>
      </x:c>
      <x:c r="L3063" s="34" t="str">
        <x:v>PASS</x:v>
      </x:c>
      <x:c r="M3063" s="34" t="str">
        <x:v>numeric coverage for applicable metric</x:v>
      </x:c>
      <x:c r="N3063" s="34" t="str">
        <x:v>Feedback-Directed Random Test Generation/Result_Round2/JacksonDatabind_110/result.json</x:v>
      </x:c>
      <x:c r="O3063" s="38" t="n">
        <x:f>IF(AND(G3063="RECORDED",ISNUMBER(H3063)),H3063,"")</x:f>
        <x:v>22.41</x:v>
      </x:c>
      <x:c r="P3063" s="34" t="str">
        <x:v>NOT_REVEALING</x:v>
      </x:c>
      <x:c r="Q3063" s="34" t="str">
        <x:v>Feedback-Directed Random Test Generation/Result_Round2/JacksonDatabind_110/result.json</x:v>
      </x:c>
    </x:row>
    <x:row r="3064">
      <x:c r="A3064" s="34" t="str">
        <x:v>randoop</x:v>
      </x:c>
      <x:c r="B3064" s="34" t="str">
        <x:v>JacksonDatabind</x:v>
      </x:c>
      <x:c r="C3064" s="34" t="str">
        <x:v>Round2</x:v>
      </x:c>
      <x:c r="D3064" s="34" t="str">
        <x:v>JacksonDatabind_111</x:v>
      </x:c>
      <x:c r="E3064" s="34" t="str">
        <x:v>Line</x:v>
      </x:c>
      <x:c r="F3064" s="34" t="n">
        <x:v>345</x:v>
      </x:c>
      <x:c r="G3064" s="34" t="str">
        <x:v>RECORDED</x:v>
      </x:c>
      <x:c r="H3064" s="38" t="n">
        <x:f>IF(ISNUMBER('Data'!H1356),'Data'!H1356*100,"")</x:f>
        <x:v>24.35</x:v>
      </x:c>
      <x:c r="I3064" s="34" t="str">
        <x:v>PASS</x:v>
      </x:c>
      <x:c r="J3064" s="34" t="str">
        <x:v>PASS</x:v>
      </x:c>
      <x:c r="K3064" s="34" t="str">
        <x:v>PASS</x:v>
      </x:c>
      <x:c r="L3064" s="34" t="str">
        <x:v>PASS</x:v>
      </x:c>
      <x:c r="M3064" s="34" t="str">
        <x:v>numeric coverage for applicable metric</x:v>
      </x:c>
      <x:c r="N3064" s="34" t="str">
        <x:v>Feedback-Directed Random Test Generation/Result_Round2/JacksonDatabind_111/result.json</x:v>
      </x:c>
      <x:c r="O3064" s="38" t="n">
        <x:f>IF(AND(G3064="RECORDED",ISNUMBER(H3064)),H3064,"")</x:f>
        <x:v>24.35</x:v>
      </x:c>
      <x:c r="P3064" s="34" t="str">
        <x:v>NOT_REVEALING</x:v>
      </x:c>
      <x:c r="Q3064" s="34" t="str">
        <x:v>Feedback-Directed Random Test Generation/Result_Round2/JacksonDatabind_111/result.json</x:v>
      </x:c>
    </x:row>
    <x:row r="3065">
      <x:c r="A3065" s="34" t="str">
        <x:v>randoop</x:v>
      </x:c>
      <x:c r="B3065" s="34" t="str">
        <x:v>JacksonDatabind</x:v>
      </x:c>
      <x:c r="C3065" s="34" t="str">
        <x:v>Round2</x:v>
      </x:c>
      <x:c r="D3065" s="34" t="str">
        <x:v>JacksonDatabind_112</x:v>
      </x:c>
      <x:c r="E3065" s="34" t="str">
        <x:v>Line</x:v>
      </x:c>
      <x:c r="F3065" s="34" t="n">
        <x:v>88</x:v>
      </x:c>
      <x:c r="G3065" s="34" t="str">
        <x:v>RECORDED</x:v>
      </x:c>
      <x:c r="H3065" s="38" t="n">
        <x:f>IF(ISNUMBER('Data'!H1357),'Data'!H1357*100,"")</x:f>
        <x:v>0</x:v>
      </x:c>
      <x:c r="I3065" s="34" t="str">
        <x:v>PASS</x:v>
      </x:c>
      <x:c r="J3065" s="34" t="str">
        <x:v>PASS</x:v>
      </x:c>
      <x:c r="K3065" s="34" t="str">
        <x:v>PASS</x:v>
      </x:c>
      <x:c r="L3065" s="34" t="str">
        <x:v>PASS</x:v>
      </x:c>
      <x:c r="M3065" s="34" t="str">
        <x:v>numeric coverage for applicable metric</x:v>
      </x:c>
      <x:c r="N3065" s="34" t="str">
        <x:v>Feedback-Directed Random Test Generation/Result_Round2/JacksonDatabind_112/result.json</x:v>
      </x:c>
      <x:c r="O3065" s="38" t="n">
        <x:f>IF(AND(G3065="RECORDED",ISNUMBER(H3065)),H3065,"")</x:f>
        <x:v>0</x:v>
      </x:c>
      <x:c r="P3065" s="34" t="str">
        <x:v>NOT_REVEALING</x:v>
      </x:c>
      <x:c r="Q3065" s="34" t="str">
        <x:v>Feedback-Directed Random Test Generation/Result_Round2/JacksonDatabind_112/result.json</x:v>
      </x:c>
    </x:row>
    <x:row r="3066">
      <x:c r="A3066" s="34" t="str">
        <x:v>randoop</x:v>
      </x:c>
      <x:c r="B3066" s="34" t="str">
        <x:v>JacksonXml</x:v>
      </x:c>
      <x:c r="C3066" s="34" t="str">
        <x:v>Round2</x:v>
      </x:c>
      <x:c r="D3066" s="34" t="str">
        <x:v>JacksonXml_1</x:v>
      </x:c>
      <x:c r="E3066" s="34" t="str">
        <x:v>Line</x:v>
      </x:c>
      <x:c r="F3066" s="34" t="n">
        <x:v>294</x:v>
      </x:c>
      <x:c r="G3066" s="34" t="str">
        <x:v>RECORDED</x:v>
      </x:c>
      <x:c r="H3066" s="38" t="n">
        <x:f>IF(ISNUMBER('Data'!H1358),'Data'!H1358*100,"")</x:f>
        <x:v>4.42</x:v>
      </x:c>
      <x:c r="I3066" s="34" t="str">
        <x:v>PASS</x:v>
      </x:c>
      <x:c r="J3066" s="34" t="str">
        <x:v>PASS</x:v>
      </x:c>
      <x:c r="K3066" s="34" t="str">
        <x:v>PASS</x:v>
      </x:c>
      <x:c r="L3066" s="34" t="str">
        <x:v>PASS</x:v>
      </x:c>
      <x:c r="M3066" s="34" t="str">
        <x:v>numeric coverage for applicable metric</x:v>
      </x:c>
      <x:c r="N3066" s="34" t="str">
        <x:v>Feedback-Directed Random Test Generation/Result_Round2/JacksonXml_1/result.json</x:v>
      </x:c>
      <x:c r="O3066" s="38" t="n">
        <x:f>IF(AND(G3066="RECORDED",ISNUMBER(H3066)),H3066,"")</x:f>
        <x:v>4.42</x:v>
      </x:c>
      <x:c r="P3066" s="34" t="str">
        <x:v>NOT_REVEALING</x:v>
      </x:c>
      <x:c r="Q3066" s="34" t="str">
        <x:v>Feedback-Directed Random Test Generation/Result_Round2/JacksonXml_1/result.json</x:v>
      </x:c>
    </x:row>
    <x:row r="3067">
      <x:c r="A3067" s="34" t="str">
        <x:v>randoop</x:v>
      </x:c>
      <x:c r="B3067" s="34" t="str">
        <x:v>JacksonXml</x:v>
      </x:c>
      <x:c r="C3067" s="34" t="str">
        <x:v>Round2</x:v>
      </x:c>
      <x:c r="D3067" s="34" t="str">
        <x:v>JacksonXml_2</x:v>
      </x:c>
      <x:c r="E3067" s="34" t="str">
        <x:v>Line</x:v>
      </x:c>
      <x:c r="F3067" s="34" t="n">
        <x:v>170</x:v>
      </x:c>
      <x:c r="G3067" s="34" t="str">
        <x:v>RECORDED</x:v>
      </x:c>
      <x:c r="H3067" s="38" t="n">
        <x:f>IF(ISNUMBER('Data'!H1359),'Data'!H1359*100,"")</x:f>
        <x:v>2.35</x:v>
      </x:c>
      <x:c r="I3067" s="34" t="str">
        <x:v>PASS</x:v>
      </x:c>
      <x:c r="J3067" s="34" t="str">
        <x:v>PASS</x:v>
      </x:c>
      <x:c r="K3067" s="34" t="str">
        <x:v>PASS</x:v>
      </x:c>
      <x:c r="L3067" s="34" t="str">
        <x:v>PASS</x:v>
      </x:c>
      <x:c r="M3067" s="34" t="str">
        <x:v>numeric coverage for applicable metric</x:v>
      </x:c>
      <x:c r="N3067" s="34" t="str">
        <x:v>Feedback-Directed Random Test Generation/Result_Round2/JacksonXml_2/result.json</x:v>
      </x:c>
      <x:c r="O3067" s="38" t="n">
        <x:f>IF(AND(G3067="RECORDED",ISNUMBER(H3067)),H3067,"")</x:f>
        <x:v>2.35</x:v>
      </x:c>
      <x:c r="P3067" s="34" t="str">
        <x:v>NOT_REVEALING</x:v>
      </x:c>
      <x:c r="Q3067" s="34" t="str">
        <x:v>Feedback-Directed Random Test Generation/Result_Round2/JacksonXml_2/result.json</x:v>
      </x:c>
    </x:row>
    <x:row r="3068">
      <x:c r="A3068" s="34" t="str">
        <x:v>randoop</x:v>
      </x:c>
      <x:c r="B3068" s="34" t="str">
        <x:v>JacksonXml</x:v>
      </x:c>
      <x:c r="C3068" s="34" t="str">
        <x:v>Round2</x:v>
      </x:c>
      <x:c r="D3068" s="34" t="str">
        <x:v>JacksonXml_3</x:v>
      </x:c>
      <x:c r="E3068" s="34" t="str">
        <x:v>Line</x:v>
      </x:c>
      <x:c r="F3068" s="34" t="n">
        <x:v>295</x:v>
      </x:c>
      <x:c r="G3068" s="34" t="str">
        <x:v>RECORDED</x:v>
      </x:c>
      <x:c r="H3068" s="38" t="n">
        <x:f>IF(ISNUMBER('Data'!H1360),'Data'!H1360*100,"")</x:f>
        <x:v>4.41</x:v>
      </x:c>
      <x:c r="I3068" s="34" t="str">
        <x:v>PASS</x:v>
      </x:c>
      <x:c r="J3068" s="34" t="str">
        <x:v>PASS</x:v>
      </x:c>
      <x:c r="K3068" s="34" t="str">
        <x:v>PASS</x:v>
      </x:c>
      <x:c r="L3068" s="34" t="str">
        <x:v>PASS</x:v>
      </x:c>
      <x:c r="M3068" s="34" t="str">
        <x:v>numeric coverage for applicable metric</x:v>
      </x:c>
      <x:c r="N3068" s="34" t="str">
        <x:v>Feedback-Directed Random Test Generation/Result_Round2/JacksonXml_3/result.json</x:v>
      </x:c>
      <x:c r="O3068" s="38" t="n">
        <x:f>IF(AND(G3068="RECORDED",ISNUMBER(H3068)),H3068,"")</x:f>
        <x:v>4.41</x:v>
      </x:c>
      <x:c r="P3068" s="34" t="str">
        <x:v>NOT_REVEALING</x:v>
      </x:c>
      <x:c r="Q3068" s="34" t="str">
        <x:v>Feedback-Directed Random Test Generation/Result_Round2/JacksonXml_3/result.json</x:v>
      </x:c>
    </x:row>
    <x:row r="3069">
      <x:c r="A3069" s="34" t="str">
        <x:v>randoop</x:v>
      </x:c>
      <x:c r="B3069" s="34" t="str">
        <x:v>JacksonXml</x:v>
      </x:c>
      <x:c r="C3069" s="34" t="str">
        <x:v>Round2</x:v>
      </x:c>
      <x:c r="D3069" s="34" t="str">
        <x:v>JacksonXml_4</x:v>
      </x:c>
      <x:c r="E3069" s="34" t="str">
        <x:v>Line</x:v>
      </x:c>
      <x:c r="F3069" s="34" t="n">
        <x:v>119</x:v>
      </x:c>
      <x:c r="G3069" s="34" t="str">
        <x:v>RECORDED</x:v>
      </x:c>
      <x:c r="H3069" s="38" t="n">
        <x:f>IF(ISNUMBER('Data'!H1361),'Data'!H1361*100,"")</x:f>
        <x:v>21.01</x:v>
      </x:c>
      <x:c r="I3069" s="34" t="str">
        <x:v>PASS</x:v>
      </x:c>
      <x:c r="J3069" s="34" t="str">
        <x:v>PASS</x:v>
      </x:c>
      <x:c r="K3069" s="34" t="str">
        <x:v>PASS</x:v>
      </x:c>
      <x:c r="L3069" s="34" t="str">
        <x:v>PASS</x:v>
      </x:c>
      <x:c r="M3069" s="34" t="str">
        <x:v>numeric coverage for applicable metric</x:v>
      </x:c>
      <x:c r="N3069" s="34" t="str">
        <x:v>Feedback-Directed Random Test Generation/Result_Round2/JacksonXml_4/result.json</x:v>
      </x:c>
      <x:c r="O3069" s="38" t="n">
        <x:f>IF(AND(G3069="RECORDED",ISNUMBER(H3069)),H3069,"")</x:f>
        <x:v>21.01</x:v>
      </x:c>
      <x:c r="P3069" s="34" t="str">
        <x:v>INCONCLUSIVE</x:v>
      </x:c>
      <x:c r="Q3069" s="34" t="str">
        <x:v>Feedback-Directed Random Test Generation/Result_Round2/JacksonXml_4/result.json</x:v>
      </x:c>
    </x:row>
    <x:row r="3070">
      <x:c r="A3070" s="34" t="str">
        <x:v>randoop</x:v>
      </x:c>
      <x:c r="B3070" s="34" t="str">
        <x:v>JacksonXml</x:v>
      </x:c>
      <x:c r="C3070" s="34" t="str">
        <x:v>Round2</x:v>
      </x:c>
      <x:c r="D3070" s="34" t="str">
        <x:v>JacksonXml_5</x:v>
      </x:c>
      <x:c r="E3070" s="34" t="str">
        <x:v>Line</x:v>
      </x:c>
      <x:c r="F3070" s="34" t="n">
        <x:v>96</x:v>
      </x:c>
      <x:c r="G3070" s="34" t="str">
        <x:v>RECORDED</x:v>
      </x:c>
      <x:c r="H3070" s="38" t="n">
        <x:f>IF(ISNUMBER('Data'!H1362),'Data'!H1362*100,"")</x:f>
        <x:v>29.17</x:v>
      </x:c>
      <x:c r="I3070" s="34" t="str">
        <x:v>PASS</x:v>
      </x:c>
      <x:c r="J3070" s="34" t="str">
        <x:v>PASS</x:v>
      </x:c>
      <x:c r="K3070" s="34" t="str">
        <x:v>PASS</x:v>
      </x:c>
      <x:c r="L3070" s="34" t="str">
        <x:v>PASS</x:v>
      </x:c>
      <x:c r="M3070" s="34" t="str">
        <x:v>numeric coverage for applicable metric</x:v>
      </x:c>
      <x:c r="N3070" s="34" t="str">
        <x:v>Feedback-Directed Random Test Generation/Result_Round2/JacksonXml_5/result.json</x:v>
      </x:c>
      <x:c r="O3070" s="38" t="n">
        <x:f>IF(AND(G3070="RECORDED",ISNUMBER(H3070)),H3070,"")</x:f>
        <x:v>29.17</x:v>
      </x:c>
      <x:c r="P3070" s="34" t="str">
        <x:v>INCONCLUSIVE</x:v>
      </x:c>
      <x:c r="Q3070" s="34" t="str">
        <x:v>Feedback-Directed Random Test Generation/Result_Round2/JacksonXml_5/result.json</x:v>
      </x:c>
    </x:row>
    <x:row r="3071">
      <x:c r="A3071" s="34" t="str">
        <x:v>randoop</x:v>
      </x:c>
      <x:c r="B3071" s="34" t="str">
        <x:v>JacksonXml</x:v>
      </x:c>
      <x:c r="C3071" s="34" t="str">
        <x:v>Round2</x:v>
      </x:c>
      <x:c r="D3071" s="34" t="str">
        <x:v>JacksonXml_6</x:v>
      </x:c>
      <x:c r="E3071" s="34" t="str">
        <x:v>Line</x:v>
      </x:c>
      <x:c r="F3071" s="34" t="n">
        <x:v>485</x:v>
      </x:c>
      <x:c r="G3071" s="34" t="str">
        <x:v>RECORDED</x:v>
      </x:c>
      <x:c r="H3071" s="38" t="n">
        <x:f>IF(ISNUMBER('Data'!H1363),'Data'!H1363*100,"")</x:f>
        <x:v>4.95</x:v>
      </x:c>
      <x:c r="I3071" s="34" t="str">
        <x:v>PASS</x:v>
      </x:c>
      <x:c r="J3071" s="34" t="str">
        <x:v>PASS</x:v>
      </x:c>
      <x:c r="K3071" s="34" t="str">
        <x:v>PASS</x:v>
      </x:c>
      <x:c r="L3071" s="34" t="str">
        <x:v>PASS</x:v>
      </x:c>
      <x:c r="M3071" s="34" t="str">
        <x:v>numeric coverage for applicable metric</x:v>
      </x:c>
      <x:c r="N3071" s="34" t="str">
        <x:v>Feedback-Directed Random Test Generation/Result_Round2/JacksonXml_6/result.json</x:v>
      </x:c>
      <x:c r="O3071" s="38" t="n">
        <x:f>IF(AND(G3071="RECORDED",ISNUMBER(H3071)),H3071,"")</x:f>
        <x:v>4.95</x:v>
      </x:c>
      <x:c r="P3071" s="34" t="str">
        <x:v>NOT_REVEALING</x:v>
      </x:c>
      <x:c r="Q3071" s="34" t="str">
        <x:v>Feedback-Directed Random Test Generation/Result_Round2/JacksonXml_6/result.json</x:v>
      </x:c>
    </x:row>
    <x:row r="3072">
      <x:c r="A3072" s="34" t="str">
        <x:v>randoop</x:v>
      </x:c>
      <x:c r="B3072" s="34" t="str">
        <x:v>Jsoup</x:v>
      </x:c>
      <x:c r="C3072" s="34" t="str">
        <x:v>Round2</x:v>
      </x:c>
      <x:c r="D3072" s="34" t="str">
        <x:v>Jsoup_1</x:v>
      </x:c>
      <x:c r="E3072" s="34" t="str">
        <x:v>Line</x:v>
      </x:c>
      <x:c r="F3072" s="34" t="n">
        <x:v>46</x:v>
      </x:c>
      <x:c r="G3072" s="34" t="str">
        <x:v>RECORDED</x:v>
      </x:c>
      <x:c r="H3072" s="38" t="n">
        <x:f>IF(ISNUMBER('Data'!H1364),'Data'!H1364*100,"")</x:f>
        <x:v>100</x:v>
      </x:c>
      <x:c r="I3072" s="34" t="str">
        <x:v>PASS</x:v>
      </x:c>
      <x:c r="J3072" s="34" t="str">
        <x:v>PASS</x:v>
      </x:c>
      <x:c r="K3072" s="34" t="str">
        <x:v>PASS</x:v>
      </x:c>
      <x:c r="L3072" s="34" t="str">
        <x:v>FAIL</x:v>
      </x:c>
      <x:c r="M3072" s="34" t="str">
        <x:v>numeric coverage for applicable metric</x:v>
      </x:c>
      <x:c r="N3072" s="34" t="str">
        <x:v>Feedback-Directed Random Test Generation/Result_Round2/Jsoup_1/result.json</x:v>
      </x:c>
      <x:c r="O3072" s="38" t="n">
        <x:f>IF(AND(G3072="RECORDED",ISNUMBER(H3072)),H3072,"")</x:f>
        <x:v>100</x:v>
      </x:c>
      <x:c r="P3072" s="34" t="str">
        <x:v>INCONCLUSIVE</x:v>
      </x:c>
      <x:c r="Q3072" s="34" t="str">
        <x:v>Feedback-Directed Random Test Generation/Result_Round2/Jsoup_1/result.json</x:v>
      </x:c>
    </x:row>
    <x:row r="3073">
      <x:c r="A3073" s="34" t="str">
        <x:v>randoop</x:v>
      </x:c>
      <x:c r="B3073" s="34" t="str">
        <x:v>Jsoup</x:v>
      </x:c>
      <x:c r="C3073" s="34" t="str">
        <x:v>Round2</x:v>
      </x:c>
      <x:c r="D3073" s="34" t="str">
        <x:v>Jsoup_2</x:v>
      </x:c>
      <x:c r="E3073" s="34" t="str">
        <x:v>Line</x:v>
      </x:c>
      <x:c r="F3073" s="34" t="n">
        <x:v>162</x:v>
      </x:c>
      <x:c r="G3073" s="34" t="str">
        <x:v>RECORDED</x:v>
      </x:c>
      <x:c r="H3073" s="38" t="n">
        <x:f>IF(ISNUMBER('Data'!H1365),'Data'!H1365*100,"")</x:f>
        <x:v>20.99</x:v>
      </x:c>
      <x:c r="I3073" s="34" t="str">
        <x:v>PASS</x:v>
      </x:c>
      <x:c r="J3073" s="34" t="str">
        <x:v>PASS</x:v>
      </x:c>
      <x:c r="K3073" s="34" t="str">
        <x:v>PASS</x:v>
      </x:c>
      <x:c r="L3073" s="34" t="str">
        <x:v>PASS</x:v>
      </x:c>
      <x:c r="M3073" s="34" t="str">
        <x:v>numeric coverage for applicable metric</x:v>
      </x:c>
      <x:c r="N3073" s="34" t="str">
        <x:v>Feedback-Directed Random Test Generation/Result_Round2/Jsoup_2/result.json</x:v>
      </x:c>
      <x:c r="O3073" s="38" t="n">
        <x:f>IF(AND(G3073="RECORDED",ISNUMBER(H3073)),H3073,"")</x:f>
        <x:v>20.99</x:v>
      </x:c>
      <x:c r="P3073" s="34" t="str">
        <x:v>NOT_REVEALING</x:v>
      </x:c>
      <x:c r="Q3073" s="34" t="str">
        <x:v>Feedback-Directed Random Test Generation/Result_Round2/Jsoup_2/result.json</x:v>
      </x:c>
    </x:row>
    <x:row r="3074">
      <x:c r="A3074" s="34" t="str">
        <x:v>randoop</x:v>
      </x:c>
      <x:c r="B3074" s="34" t="str">
        <x:v>Jsoup</x:v>
      </x:c>
      <x:c r="C3074" s="34" t="str">
        <x:v>Round2</x:v>
      </x:c>
      <x:c r="D3074" s="34" t="str">
        <x:v>Jsoup_3</x:v>
      </x:c>
      <x:c r="E3074" s="34" t="str">
        <x:v>Line</x:v>
      </x:c>
      <x:c r="F3074" s="34" t="n">
        <x:v>593</x:v>
      </x:c>
      <x:c r="G3074" s="34" t="str">
        <x:v>RECORDED</x:v>
      </x:c>
      <x:c r="H3074" s="38" t="n">
        <x:f>IF(ISNUMBER('Data'!H1366),'Data'!H1366*100,"")</x:f>
        <x:v>89.04</x:v>
      </x:c>
      <x:c r="I3074" s="34" t="str">
        <x:v>PASS</x:v>
      </x:c>
      <x:c r="J3074" s="34" t="str">
        <x:v>PASS</x:v>
      </x:c>
      <x:c r="K3074" s="34" t="str">
        <x:v>PASS</x:v>
      </x:c>
      <x:c r="L3074" s="34" t="str">
        <x:v>FAIL</x:v>
      </x:c>
      <x:c r="M3074" s="34" t="str">
        <x:v>numeric coverage for applicable metric</x:v>
      </x:c>
      <x:c r="N3074" s="34" t="str">
        <x:v>Feedback-Directed Random Test Generation/Result_Round2/Jsoup_3/result.json</x:v>
      </x:c>
      <x:c r="O3074" s="38" t="n">
        <x:f>IF(AND(G3074="RECORDED",ISNUMBER(H3074)),H3074,"")</x:f>
        <x:v>89.04</x:v>
      </x:c>
      <x:c r="P3074" s="34" t="str">
        <x:v>INCONCLUSIVE</x:v>
      </x:c>
      <x:c r="Q3074" s="34" t="str">
        <x:v>Feedback-Directed Random Test Generation/Result_Round2/Jsoup_3/result.json</x:v>
      </x:c>
    </x:row>
    <x:row r="3075">
      <x:c r="A3075" s="34" t="str">
        <x:v>randoop</x:v>
      </x:c>
      <x:c r="B3075" s="34" t="str">
        <x:v>Jsoup</x:v>
      </x:c>
      <x:c r="C3075" s="34" t="str">
        <x:v>Round2</x:v>
      </x:c>
      <x:c r="D3075" s="34" t="str">
        <x:v>Jsoup_4</x:v>
      </x:c>
      <x:c r="E3075" s="34" t="str">
        <x:v>Line</x:v>
      </x:c>
      <x:c r="F3075" s="34" t="n">
        <x:v>0</x:v>
      </x:c>
      <x:c r="G3075" s="34" t="str">
        <x:v>A</x:v>
      </x:c>
      <x:c r="H3075" s="38" t="str">
        <x:f>IF(ISNUMBER('Data'!H1367),'Data'!H1367*100,"")</x:f>
      </x:c>
      <x:c r="I3075" s="34" t="str">
        <x:v>FAIL</x:v>
      </x:c>
      <x:c r="J3075" s="34" t="str">
        <x:v>PASS</x:v>
      </x:c>
      <x:c r="K3075" s="34" t="str">
        <x:v>PASS</x:v>
      </x:c>
      <x:c r="L3075" s="34" t="str">
        <x:v>PASS</x:v>
      </x:c>
      <x:c r="M3075" s="34" t="str">
        <x:v>coverage unavailable or execution/compile failed</x:v>
      </x:c>
      <x:c r="N3075" s="34" t="str">
        <x:v>Feedback-Directed Random Test Generation/Result_Round2/Jsoup_4/result.json</x:v>
      </x:c>
      <x:c r="O3075" s="38" t="str">
        <x:f>IF(AND(G3075="RECORDED",ISNUMBER(H3075)),H3075,"")</x:f>
      </x:c>
      <x:c r="P3075" s="34" t="str">
        <x:v>NOT_AVAILABLE</x:v>
      </x:c>
      <x:c r="Q3075" s="34" t="str">
        <x:v>Feedback-Directed Random Test Generation/Result_Round2/Jsoup_4/result.json</x:v>
      </x:c>
    </x:row>
    <x:row r="3076">
      <x:c r="A3076" s="34" t="str">
        <x:v>randoop</x:v>
      </x:c>
      <x:c r="B3076" s="34" t="str">
        <x:v>Jsoup</x:v>
      </x:c>
      <x:c r="C3076" s="34" t="str">
        <x:v>Round2</x:v>
      </x:c>
      <x:c r="D3076" s="34" t="str">
        <x:v>Jsoup_5</x:v>
      </x:c>
      <x:c r="E3076" s="34" t="str">
        <x:v>Line</x:v>
      </x:c>
      <x:c r="F3076" s="34" t="n">
        <x:v>172</x:v>
      </x:c>
      <x:c r="G3076" s="34" t="str">
        <x:v>RECORDED</x:v>
      </x:c>
      <x:c r="H3076" s="38" t="n">
        <x:f>IF(ISNUMBER('Data'!H1368),'Data'!H1368*100,"")</x:f>
        <x:v>22.67</x:v>
      </x:c>
      <x:c r="I3076" s="34" t="str">
        <x:v>PASS</x:v>
      </x:c>
      <x:c r="J3076" s="34" t="str">
        <x:v>PASS</x:v>
      </x:c>
      <x:c r="K3076" s="34" t="str">
        <x:v>PASS</x:v>
      </x:c>
      <x:c r="L3076" s="34" t="str">
        <x:v>PASS</x:v>
      </x:c>
      <x:c r="M3076" s="34" t="str">
        <x:v>numeric coverage for applicable metric</x:v>
      </x:c>
      <x:c r="N3076" s="34" t="str">
        <x:v>Feedback-Directed Random Test Generation/Result_Round2/Jsoup_5/result.json</x:v>
      </x:c>
      <x:c r="O3076" s="38" t="n">
        <x:f>IF(AND(G3076="RECORDED",ISNUMBER(H3076)),H3076,"")</x:f>
        <x:v>22.67</x:v>
      </x:c>
      <x:c r="P3076" s="34" t="str">
        <x:v>NOT_REVEALING</x:v>
      </x:c>
      <x:c r="Q3076" s="34" t="str">
        <x:v>Feedback-Directed Random Test Generation/Result_Round2/Jsoup_5/result.json</x:v>
      </x:c>
    </x:row>
    <x:row r="3077">
      <x:c r="A3077" s="34" t="str">
        <x:v>randoop</x:v>
      </x:c>
      <x:c r="B3077" s="34" t="str">
        <x:v>Jsoup</x:v>
      </x:c>
      <x:c r="C3077" s="34" t="str">
        <x:v>Round2</x:v>
      </x:c>
      <x:c r="D3077" s="34" t="str">
        <x:v>Jsoup_6</x:v>
      </x:c>
      <x:c r="E3077" s="34" t="str">
        <x:v>Line</x:v>
      </x:c>
      <x:c r="F3077" s="34" t="n">
        <x:v>0</x:v>
      </x:c>
      <x:c r="G3077" s="34" t="str">
        <x:v>A</x:v>
      </x:c>
      <x:c r="H3077" s="38" t="str">
        <x:f>IF(ISNUMBER('Data'!H1369),'Data'!H1369*100,"")</x:f>
      </x:c>
      <x:c r="I3077" s="34" t="str">
        <x:v>FAIL</x:v>
      </x:c>
      <x:c r="J3077" s="34" t="str">
        <x:v>PASS</x:v>
      </x:c>
      <x:c r="K3077" s="34" t="str">
        <x:v>PASS</x:v>
      </x:c>
      <x:c r="L3077" s="34" t="str">
        <x:v>PASS</x:v>
      </x:c>
      <x:c r="M3077" s="34" t="str">
        <x:v>coverage unavailable or execution/compile failed</x:v>
      </x:c>
      <x:c r="N3077" s="34" t="str">
        <x:v>Feedback-Directed Random Test Generation/Result_Round2/Jsoup_6/result.json</x:v>
      </x:c>
      <x:c r="O3077" s="38" t="str">
        <x:f>IF(AND(G3077="RECORDED",ISNUMBER(H3077)),H3077,"")</x:f>
      </x:c>
      <x:c r="P3077" s="34" t="str">
        <x:v>NOT_AVAILABLE</x:v>
      </x:c>
      <x:c r="Q3077" s="34" t="str">
        <x:v>Feedback-Directed Random Test Generation/Result_Round2/Jsoup_6/result.json</x:v>
      </x:c>
    </x:row>
    <x:row r="3078">
      <x:c r="A3078" s="34" t="str">
        <x:v>randoop</x:v>
      </x:c>
      <x:c r="B3078" s="34" t="str">
        <x:v>Jsoup</x:v>
      </x:c>
      <x:c r="C3078" s="34" t="str">
        <x:v>Round2</x:v>
      </x:c>
      <x:c r="D3078" s="34" t="str">
        <x:v>Jsoup_7</x:v>
      </x:c>
      <x:c r="E3078" s="34" t="str">
        <x:v>Line</x:v>
      </x:c>
      <x:c r="F3078" s="34" t="n">
        <x:v>80</x:v>
      </x:c>
      <x:c r="G3078" s="34" t="str">
        <x:v>RECORDED</x:v>
      </x:c>
      <x:c r="H3078" s="38" t="n">
        <x:f>IF(ISNUMBER('Data'!H1370),'Data'!H1370*100,"")</x:f>
        <x:v>98.75</x:v>
      </x:c>
      <x:c r="I3078" s="34" t="str">
        <x:v>PASS</x:v>
      </x:c>
      <x:c r="J3078" s="34" t="str">
        <x:v>PASS</x:v>
      </x:c>
      <x:c r="K3078" s="34" t="str">
        <x:v>PASS</x:v>
      </x:c>
      <x:c r="L3078" s="34" t="str">
        <x:v>FAIL</x:v>
      </x:c>
      <x:c r="M3078" s="34" t="str">
        <x:v>numeric coverage for applicable metric</x:v>
      </x:c>
      <x:c r="N3078" s="34" t="str">
        <x:v>Feedback-Directed Random Test Generation/Result_Round2/Jsoup_7/result.json</x:v>
      </x:c>
      <x:c r="O3078" s="38" t="n">
        <x:f>IF(AND(G3078="RECORDED",ISNUMBER(H3078)),H3078,"")</x:f>
        <x:v>98.75</x:v>
      </x:c>
      <x:c r="P3078" s="34" t="str">
        <x:v>INCONCLUSIVE</x:v>
      </x:c>
      <x:c r="Q3078" s="34" t="str">
        <x:v>Feedback-Directed Random Test Generation/Result_Round2/Jsoup_7/result.json</x:v>
      </x:c>
    </x:row>
    <x:row r="3079">
      <x:c r="A3079" s="34" t="str">
        <x:v>randoop</x:v>
      </x:c>
      <x:c r="B3079" s="34" t="str">
        <x:v>Jsoup</x:v>
      </x:c>
      <x:c r="C3079" s="34" t="str">
        <x:v>Round2</x:v>
      </x:c>
      <x:c r="D3079" s="34" t="str">
        <x:v>Jsoup_8</x:v>
      </x:c>
      <x:c r="E3079" s="34" t="str">
        <x:v>Line</x:v>
      </x:c>
      <x:c r="F3079" s="34" t="n">
        <x:v>139</x:v>
      </x:c>
      <x:c r="G3079" s="34" t="str">
        <x:v>RECORDED</x:v>
      </x:c>
      <x:c r="H3079" s="38" t="n">
        <x:f>IF(ISNUMBER('Data'!H1371),'Data'!H1371*100,"")</x:f>
        <x:v>0</x:v>
      </x:c>
      <x:c r="I3079" s="34" t="str">
        <x:v>PASS</x:v>
      </x:c>
      <x:c r="J3079" s="34" t="str">
        <x:v>PASS</x:v>
      </x:c>
      <x:c r="K3079" s="34" t="str">
        <x:v>PASS</x:v>
      </x:c>
      <x:c r="L3079" s="34" t="str">
        <x:v>PASS</x:v>
      </x:c>
      <x:c r="M3079" s="34" t="str">
        <x:v>numeric coverage for applicable metric</x:v>
      </x:c>
      <x:c r="N3079" s="34" t="str">
        <x:v>Feedback-Directed Random Test Generation/Result_Round2/Jsoup_8/result.json</x:v>
      </x:c>
      <x:c r="O3079" s="38" t="n">
        <x:f>IF(AND(G3079="RECORDED",ISNUMBER(H3079)),H3079,"")</x:f>
        <x:v>0</x:v>
      </x:c>
      <x:c r="P3079" s="34" t="str">
        <x:v>NOT_REVEALING</x:v>
      </x:c>
      <x:c r="Q3079" s="34" t="str">
        <x:v>Feedback-Directed Random Test Generation/Result_Round2/Jsoup_8/result.json</x:v>
      </x:c>
    </x:row>
    <x:row r="3080">
      <x:c r="A3080" s="34" t="str">
        <x:v>randoop</x:v>
      </x:c>
      <x:c r="B3080" s="34" t="str">
        <x:v>Jsoup</x:v>
      </x:c>
      <x:c r="C3080" s="34" t="str">
        <x:v>Round2</x:v>
      </x:c>
      <x:c r="D3080" s="34" t="str">
        <x:v>Jsoup_9</x:v>
      </x:c>
      <x:c r="E3080" s="34" t="str">
        <x:v>Line</x:v>
      </x:c>
      <x:c r="F3080" s="34" t="n">
        <x:v>0</x:v>
      </x:c>
      <x:c r="G3080" s="34" t="str">
        <x:v>A</x:v>
      </x:c>
      <x:c r="H3080" s="38" t="str">
        <x:f>IF(ISNUMBER('Data'!H1372),'Data'!H1372*100,"")</x:f>
      </x:c>
      <x:c r="I3080" s="34" t="str">
        <x:v>FAIL</x:v>
      </x:c>
      <x:c r="J3080" s="34" t="str">
        <x:v>PASS</x:v>
      </x:c>
      <x:c r="K3080" s="34" t="str">
        <x:v>PASS</x:v>
      </x:c>
      <x:c r="L3080" s="34" t="str">
        <x:v>PASS</x:v>
      </x:c>
      <x:c r="M3080" s="34" t="str">
        <x:v>coverage unavailable or execution/compile failed</x:v>
      </x:c>
      <x:c r="N3080" s="34" t="str">
        <x:v>Feedback-Directed Random Test Generation/Result_Round2/Jsoup_9/result.json</x:v>
      </x:c>
      <x:c r="O3080" s="38" t="str">
        <x:f>IF(AND(G3080="RECORDED",ISNUMBER(H3080)),H3080,"")</x:f>
      </x:c>
      <x:c r="P3080" s="34" t="str">
        <x:v>NOT_AVAILABLE</x:v>
      </x:c>
      <x:c r="Q3080" s="34" t="str">
        <x:v>Feedback-Directed Random Test Generation/Result_Round2/Jsoup_9/result.json</x:v>
      </x:c>
    </x:row>
    <x:row r="3081">
      <x:c r="A3081" s="34" t="str">
        <x:v>randoop</x:v>
      </x:c>
      <x:c r="B3081" s="34" t="str">
        <x:v>Jsoup</x:v>
      </x:c>
      <x:c r="C3081" s="34" t="str">
        <x:v>Round2</x:v>
      </x:c>
      <x:c r="D3081" s="34" t="str">
        <x:v>Jsoup_10</x:v>
      </x:c>
      <x:c r="E3081" s="34" t="str">
        <x:v>Line</x:v>
      </x:c>
      <x:c r="F3081" s="34" t="n">
        <x:v>154</x:v>
      </x:c>
      <x:c r="G3081" s="34" t="str">
        <x:v>RECORDED</x:v>
      </x:c>
      <x:c r="H3081" s="38" t="n">
        <x:f>IF(ISNUMBER('Data'!H1373),'Data'!H1373*100,"")</x:f>
        <x:v>0</x:v>
      </x:c>
      <x:c r="I3081" s="34" t="str">
        <x:v>PASS</x:v>
      </x:c>
      <x:c r="J3081" s="34" t="str">
        <x:v>PASS</x:v>
      </x:c>
      <x:c r="K3081" s="34" t="str">
        <x:v>PASS</x:v>
      </x:c>
      <x:c r="L3081" s="34" t="str">
        <x:v>PASS</x:v>
      </x:c>
      <x:c r="M3081" s="34" t="str">
        <x:v>numeric coverage for applicable metric</x:v>
      </x:c>
      <x:c r="N3081" s="34" t="str">
        <x:v>Feedback-Directed Random Test Generation/Result_Round2/Jsoup_10/result.json</x:v>
      </x:c>
      <x:c r="O3081" s="38" t="n">
        <x:f>IF(AND(G3081="RECORDED",ISNUMBER(H3081)),H3081,"")</x:f>
        <x:v>0</x:v>
      </x:c>
      <x:c r="P3081" s="34" t="str">
        <x:v>NOT_REVEALING</x:v>
      </x:c>
      <x:c r="Q3081" s="34" t="str">
        <x:v>Feedback-Directed Random Test Generation/Result_Round2/Jsoup_10/result.json</x:v>
      </x:c>
    </x:row>
    <x:row r="3082">
      <x:c r="A3082" s="34" t="str">
        <x:v>randoop</x:v>
      </x:c>
      <x:c r="B3082" s="34" t="str">
        <x:v>Jsoup</x:v>
      </x:c>
      <x:c r="C3082" s="34" t="str">
        <x:v>Round2</x:v>
      </x:c>
      <x:c r="D3082" s="34" t="str">
        <x:v>Jsoup_11</x:v>
      </x:c>
      <x:c r="E3082" s="34" t="str">
        <x:v>Line</x:v>
      </x:c>
      <x:c r="F3082" s="34" t="n">
        <x:v>198</x:v>
      </x:c>
      <x:c r="G3082" s="34" t="str">
        <x:v>RECORDED</x:v>
      </x:c>
      <x:c r="H3082" s="38" t="n">
        <x:f>IF(ISNUMBER('Data'!H1374),'Data'!H1374*100,"")</x:f>
        <x:v>5.56</x:v>
      </x:c>
      <x:c r="I3082" s="34" t="str">
        <x:v>PASS</x:v>
      </x:c>
      <x:c r="J3082" s="34" t="str">
        <x:v>PASS</x:v>
      </x:c>
      <x:c r="K3082" s="34" t="str">
        <x:v>PASS</x:v>
      </x:c>
      <x:c r="L3082" s="34" t="str">
        <x:v>PASS</x:v>
      </x:c>
      <x:c r="M3082" s="34" t="str">
        <x:v>numeric coverage for applicable metric</x:v>
      </x:c>
      <x:c r="N3082" s="34" t="str">
        <x:v>Feedback-Directed Random Test Generation/Result_Round2/Jsoup_11/result.json</x:v>
      </x:c>
      <x:c r="O3082" s="38" t="n">
        <x:f>IF(AND(G3082="RECORDED",ISNUMBER(H3082)),H3082,"")</x:f>
        <x:v>5.56</x:v>
      </x:c>
      <x:c r="P3082" s="34" t="str">
        <x:v>NOT_REVEALING</x:v>
      </x:c>
      <x:c r="Q3082" s="34" t="str">
        <x:v>Feedback-Directed Random Test Generation/Result_Round2/Jsoup_11/result.json</x:v>
      </x:c>
    </x:row>
    <x:row r="3083">
      <x:c r="A3083" s="34" t="str">
        <x:v>randoop</x:v>
      </x:c>
      <x:c r="B3083" s="34" t="str">
        <x:v>Jsoup</x:v>
      </x:c>
      <x:c r="C3083" s="34" t="str">
        <x:v>Round2</x:v>
      </x:c>
      <x:c r="D3083" s="34" t="str">
        <x:v>Jsoup_12</x:v>
      </x:c>
      <x:c r="E3083" s="34" t="str">
        <x:v>Line</x:v>
      </x:c>
      <x:c r="F3083" s="34" t="n">
        <x:v>218</x:v>
      </x:c>
      <x:c r="G3083" s="34" t="str">
        <x:v>RECORDED</x:v>
      </x:c>
      <x:c r="H3083" s="38" t="n">
        <x:f>IF(ISNUMBER('Data'!H1375),'Data'!H1375*100,"")</x:f>
        <x:v>7.8</x:v>
      </x:c>
      <x:c r="I3083" s="34" t="str">
        <x:v>PASS</x:v>
      </x:c>
      <x:c r="J3083" s="34" t="str">
        <x:v>PASS</x:v>
      </x:c>
      <x:c r="K3083" s="34" t="str">
        <x:v>PASS</x:v>
      </x:c>
      <x:c r="L3083" s="34" t="str">
        <x:v>PASS</x:v>
      </x:c>
      <x:c r="M3083" s="34" t="str">
        <x:v>numeric coverage for applicable metric</x:v>
      </x:c>
      <x:c r="N3083" s="34" t="str">
        <x:v>Feedback-Directed Random Test Generation/Result_Round2/Jsoup_12/result.json</x:v>
      </x:c>
      <x:c r="O3083" s="38" t="n">
        <x:f>IF(AND(G3083="RECORDED",ISNUMBER(H3083)),H3083,"")</x:f>
        <x:v>7.8</x:v>
      </x:c>
      <x:c r="P3083" s="34" t="str">
        <x:v>NOT_REVEALING</x:v>
      </x:c>
      <x:c r="Q3083" s="34" t="str">
        <x:v>Feedback-Directed Random Test Generation/Result_Round2/Jsoup_12/result.json</x:v>
      </x:c>
    </x:row>
    <x:row r="3084">
      <x:c r="A3084" s="34" t="str">
        <x:v>randoop</x:v>
      </x:c>
      <x:c r="B3084" s="34" t="str">
        <x:v>Jsoup</x:v>
      </x:c>
      <x:c r="C3084" s="34" t="str">
        <x:v>Round2</x:v>
      </x:c>
      <x:c r="D3084" s="34" t="str">
        <x:v>Jsoup_13</x:v>
      </x:c>
      <x:c r="E3084" s="34" t="str">
        <x:v>Line</x:v>
      </x:c>
      <x:c r="F3084" s="34" t="n">
        <x:v>194</x:v>
      </x:c>
      <x:c r="G3084" s="34" t="str">
        <x:v>RECORDED</x:v>
      </x:c>
      <x:c r="H3084" s="38" t="n">
        <x:f>IF(ISNUMBER('Data'!H1376),'Data'!H1376*100,"")</x:f>
        <x:v>0</x:v>
      </x:c>
      <x:c r="I3084" s="34" t="str">
        <x:v>PASS</x:v>
      </x:c>
      <x:c r="J3084" s="34" t="str">
        <x:v>PASS</x:v>
      </x:c>
      <x:c r="K3084" s="34" t="str">
        <x:v>PASS</x:v>
      </x:c>
      <x:c r="L3084" s="34" t="str">
        <x:v>PASS</x:v>
      </x:c>
      <x:c r="M3084" s="34" t="str">
        <x:v>numeric coverage for applicable metric</x:v>
      </x:c>
      <x:c r="N3084" s="34" t="str">
        <x:v>Feedback-Directed Random Test Generation/Result_Round2/Jsoup_13/result.json</x:v>
      </x:c>
      <x:c r="O3084" s="38" t="n">
        <x:f>IF(AND(G3084="RECORDED",ISNUMBER(H3084)),H3084,"")</x:f>
        <x:v>0</x:v>
      </x:c>
      <x:c r="P3084" s="34" t="str">
        <x:v>NOT_REVEALING</x:v>
      </x:c>
      <x:c r="Q3084" s="34" t="str">
        <x:v>Feedback-Directed Random Test Generation/Result_Round2/Jsoup_13/result.json</x:v>
      </x:c>
    </x:row>
    <x:row r="3085">
      <x:c r="A3085" s="34" t="str">
        <x:v>randoop</x:v>
      </x:c>
      <x:c r="B3085" s="34" t="str">
        <x:v>Jsoup</x:v>
      </x:c>
      <x:c r="C3085" s="34" t="str">
        <x:v>Round2</x:v>
      </x:c>
      <x:c r="D3085" s="34" t="str">
        <x:v>Jsoup_14</x:v>
      </x:c>
      <x:c r="E3085" s="34" t="str">
        <x:v>Line</x:v>
      </x:c>
      <x:c r="F3085" s="34" t="n">
        <x:v>1313</x:v>
      </x:c>
      <x:c r="G3085" s="34" t="str">
        <x:v>RECORDED</x:v>
      </x:c>
      <x:c r="H3085" s="38" t="n">
        <x:f>IF(ISNUMBER('Data'!H1377),'Data'!H1377*100,"")</x:f>
        <x:v>19.42</x:v>
      </x:c>
      <x:c r="I3085" s="34" t="str">
        <x:v>PASS</x:v>
      </x:c>
      <x:c r="J3085" s="34" t="str">
        <x:v>PASS</x:v>
      </x:c>
      <x:c r="K3085" s="34" t="str">
        <x:v>PASS</x:v>
      </x:c>
      <x:c r="L3085" s="34" t="str">
        <x:v>PASS</x:v>
      </x:c>
      <x:c r="M3085" s="34" t="str">
        <x:v>numeric coverage for applicable metric</x:v>
      </x:c>
      <x:c r="N3085" s="34" t="str">
        <x:v>Feedback-Directed Random Test Generation/Result_Round2/Jsoup_14/result.json</x:v>
      </x:c>
      <x:c r="O3085" s="38" t="n">
        <x:f>IF(AND(G3085="RECORDED",ISNUMBER(H3085)),H3085,"")</x:f>
        <x:v>19.42</x:v>
      </x:c>
      <x:c r="P3085" s="34" t="str">
        <x:v>NOT_REVEALING</x:v>
      </x:c>
      <x:c r="Q3085" s="34" t="str">
        <x:v>Feedback-Directed Random Test Generation/Result_Round2/Jsoup_14/result.json</x:v>
      </x:c>
    </x:row>
    <x:row r="3086">
      <x:c r="A3086" s="34" t="str">
        <x:v>randoop</x:v>
      </x:c>
      <x:c r="B3086" s="34" t="str">
        <x:v>Jsoup</x:v>
      </x:c>
      <x:c r="C3086" s="34" t="str">
        <x:v>Round2</x:v>
      </x:c>
      <x:c r="D3086" s="34" t="str">
        <x:v>Jsoup_15</x:v>
      </x:c>
      <x:c r="E3086" s="34" t="str">
        <x:v>Line</x:v>
      </x:c>
      <x:c r="F3086" s="34" t="n">
        <x:v>1079</x:v>
      </x:c>
      <x:c r="G3086" s="34" t="str">
        <x:v>RECORDED</x:v>
      </x:c>
      <x:c r="H3086" s="38" t="n">
        <x:f>IF(ISNUMBER('Data'!H1378),'Data'!H1378*100,"")</x:f>
        <x:v>6.77</x:v>
      </x:c>
      <x:c r="I3086" s="34" t="str">
        <x:v>PASS</x:v>
      </x:c>
      <x:c r="J3086" s="34" t="str">
        <x:v>PASS</x:v>
      </x:c>
      <x:c r="K3086" s="34" t="str">
        <x:v>PASS</x:v>
      </x:c>
      <x:c r="L3086" s="34" t="str">
        <x:v>PASS</x:v>
      </x:c>
      <x:c r="M3086" s="34" t="str">
        <x:v>numeric coverage for applicable metric</x:v>
      </x:c>
      <x:c r="N3086" s="34" t="str">
        <x:v>Feedback-Directed Random Test Generation/Result_Round2/Jsoup_15/result.json</x:v>
      </x:c>
      <x:c r="O3086" s="38" t="n">
        <x:f>IF(AND(G3086="RECORDED",ISNUMBER(H3086)),H3086,"")</x:f>
        <x:v>6.77</x:v>
      </x:c>
      <x:c r="P3086" s="34" t="str">
        <x:v>NOT_REVEALING</x:v>
      </x:c>
      <x:c r="Q3086" s="34" t="str">
        <x:v>Feedback-Directed Random Test Generation/Result_Round2/Jsoup_15/result.json</x:v>
      </x:c>
    </x:row>
    <x:row r="3087">
      <x:c r="A3087" s="34" t="str">
        <x:v>randoop</x:v>
      </x:c>
      <x:c r="B3087" s="34" t="str">
        <x:v>Jsoup</x:v>
      </x:c>
      <x:c r="C3087" s="34" t="str">
        <x:v>Round2</x:v>
      </x:c>
      <x:c r="D3087" s="34" t="str">
        <x:v>Jsoup_16</x:v>
      </x:c>
      <x:c r="E3087" s="34" t="str">
        <x:v>Line</x:v>
      </x:c>
      <x:c r="F3087" s="34" t="n">
        <x:v>14</x:v>
      </x:c>
      <x:c r="G3087" s="34" t="str">
        <x:v>RECORDED</x:v>
      </x:c>
      <x:c r="H3087" s="38" t="n">
        <x:f>IF(ISNUMBER('Data'!H1379),'Data'!H1379*100,"")</x:f>
        <x:v>100</x:v>
      </x:c>
      <x:c r="I3087" s="34" t="str">
        <x:v>PASS</x:v>
      </x:c>
      <x:c r="J3087" s="34" t="str">
        <x:v>PASS</x:v>
      </x:c>
      <x:c r="K3087" s="34" t="str">
        <x:v>PASS</x:v>
      </x:c>
      <x:c r="L3087" s="34" t="str">
        <x:v>FAIL</x:v>
      </x:c>
      <x:c r="M3087" s="34" t="str">
        <x:v>numeric coverage for applicable metric</x:v>
      </x:c>
      <x:c r="N3087" s="34" t="str">
        <x:v>Feedback-Directed Random Test Generation/Result_Round2/Jsoup_16/result.json</x:v>
      </x:c>
      <x:c r="O3087" s="38" t="n">
        <x:f>IF(AND(G3087="RECORDED",ISNUMBER(H3087)),H3087,"")</x:f>
        <x:v>100</x:v>
      </x:c>
      <x:c r="P3087" s="34" t="str">
        <x:v>INCONCLUSIVE</x:v>
      </x:c>
      <x:c r="Q3087" s="34" t="str">
        <x:v>Feedback-Directed Random Test Generation/Result_Round2/Jsoup_16/result.json</x:v>
      </x:c>
    </x:row>
    <x:row r="3088">
      <x:c r="A3088" s="34" t="str">
        <x:v>randoop</x:v>
      </x:c>
      <x:c r="B3088" s="34" t="str">
        <x:v>Jsoup</x:v>
      </x:c>
      <x:c r="C3088" s="34" t="str">
        <x:v>Round2</x:v>
      </x:c>
      <x:c r="D3088" s="34" t="str">
        <x:v>Jsoup_17</x:v>
      </x:c>
      <x:c r="E3088" s="34" t="str">
        <x:v>Line</x:v>
      </x:c>
      <x:c r="F3088" s="34" t="n">
        <x:v>1079</x:v>
      </x:c>
      <x:c r="G3088" s="34" t="str">
        <x:v>RECORDED</x:v>
      </x:c>
      <x:c r="H3088" s="38" t="n">
        <x:f>IF(ISNUMBER('Data'!H1380),'Data'!H1380*100,"")</x:f>
        <x:v>6.77</x:v>
      </x:c>
      <x:c r="I3088" s="34" t="str">
        <x:v>PASS</x:v>
      </x:c>
      <x:c r="J3088" s="34" t="str">
        <x:v>PASS</x:v>
      </x:c>
      <x:c r="K3088" s="34" t="str">
        <x:v>PASS</x:v>
      </x:c>
      <x:c r="L3088" s="34" t="str">
        <x:v>PASS</x:v>
      </x:c>
      <x:c r="M3088" s="34" t="str">
        <x:v>numeric coverage for applicable metric</x:v>
      </x:c>
      <x:c r="N3088" s="34" t="str">
        <x:v>Feedback-Directed Random Test Generation/Result_Round2/Jsoup_17/result.json</x:v>
      </x:c>
      <x:c r="O3088" s="38" t="n">
        <x:f>IF(AND(G3088="RECORDED",ISNUMBER(H3088)),H3088,"")</x:f>
        <x:v>6.77</x:v>
      </x:c>
      <x:c r="P3088" s="34" t="str">
        <x:v>NOT_REVEALING</x:v>
      </x:c>
      <x:c r="Q3088" s="34" t="str">
        <x:v>Feedback-Directed Random Test Generation/Result_Round2/Jsoup_17/result.json</x:v>
      </x:c>
    </x:row>
    <x:row r="3089">
      <x:c r="A3089" s="34" t="str">
        <x:v>randoop</x:v>
      </x:c>
      <x:c r="B3089" s="34" t="str">
        <x:v>Jsoup</x:v>
      </x:c>
      <x:c r="C3089" s="34" t="str">
        <x:v>Round2</x:v>
      </x:c>
      <x:c r="D3089" s="34" t="str">
        <x:v>Jsoup_18</x:v>
      </x:c>
      <x:c r="E3089" s="34" t="str">
        <x:v>Line</x:v>
      </x:c>
      <x:c r="F3089" s="34" t="n">
        <x:v>97</x:v>
      </x:c>
      <x:c r="G3089" s="34" t="str">
        <x:v>RECORDED</x:v>
      </x:c>
      <x:c r="H3089" s="38" t="n">
        <x:f>IF(ISNUMBER('Data'!H1381),'Data'!H1381*100,"")</x:f>
        <x:v>81.44</x:v>
      </x:c>
      <x:c r="I3089" s="34" t="str">
        <x:v>PASS</x:v>
      </x:c>
      <x:c r="J3089" s="34" t="str">
        <x:v>PASS</x:v>
      </x:c>
      <x:c r="K3089" s="34" t="str">
        <x:v>PASS</x:v>
      </x:c>
      <x:c r="L3089" s="34" t="str">
        <x:v>PASS</x:v>
      </x:c>
      <x:c r="M3089" s="34" t="str">
        <x:v>numeric coverage for applicable metric</x:v>
      </x:c>
      <x:c r="N3089" s="34" t="str">
        <x:v>Feedback-Directed Random Test Generation/Result_Round2/Jsoup_18/result.json</x:v>
      </x:c>
      <x:c r="O3089" s="38" t="n">
        <x:f>IF(AND(G3089="RECORDED",ISNUMBER(H3089)),H3089,"")</x:f>
        <x:v>81.44</x:v>
      </x:c>
      <x:c r="P3089" s="34" t="str">
        <x:v>INCONCLUSIVE</x:v>
      </x:c>
      <x:c r="Q3089" s="34" t="str">
        <x:v>Feedback-Directed Random Test Generation/Result_Round2/Jsoup_18/result.json</x:v>
      </x:c>
    </x:row>
    <x:row r="3090">
      <x:c r="A3090" s="34" t="str">
        <x:v>randoop</x:v>
      </x:c>
      <x:c r="B3090" s="34" t="str">
        <x:v>Jsoup</x:v>
      </x:c>
      <x:c r="C3090" s="34" t="str">
        <x:v>Round2</x:v>
      </x:c>
      <x:c r="D3090" s="34" t="str">
        <x:v>Jsoup_19</x:v>
      </x:c>
      <x:c r="E3090" s="34" t="str">
        <x:v>Line</x:v>
      </x:c>
      <x:c r="F3090" s="34" t="n">
        <x:v>147</x:v>
      </x:c>
      <x:c r="G3090" s="34" t="str">
        <x:v>RECORDED</x:v>
      </x:c>
      <x:c r="H3090" s="38" t="n">
        <x:f>IF(ISNUMBER('Data'!H1382),'Data'!H1382*100,"")</x:f>
        <x:v>87.76</x:v>
      </x:c>
      <x:c r="I3090" s="34" t="str">
        <x:v>PASS</x:v>
      </x:c>
      <x:c r="J3090" s="34" t="str">
        <x:v>PASS</x:v>
      </x:c>
      <x:c r="K3090" s="34" t="str">
        <x:v>PASS</x:v>
      </x:c>
      <x:c r="L3090" s="34" t="str">
        <x:v>PASS</x:v>
      </x:c>
      <x:c r="M3090" s="34" t="str">
        <x:v>numeric coverage for applicable metric</x:v>
      </x:c>
      <x:c r="N3090" s="34" t="str">
        <x:v>Feedback-Directed Random Test Generation/Result_Round2/Jsoup_19/result.json</x:v>
      </x:c>
      <x:c r="O3090" s="38" t="n">
        <x:f>IF(AND(G3090="RECORDED",ISNUMBER(H3090)),H3090,"")</x:f>
        <x:v>87.76</x:v>
      </x:c>
      <x:c r="P3090" s="34" t="str">
        <x:v>NOT_REVEALING</x:v>
      </x:c>
      <x:c r="Q3090" s="34" t="str">
        <x:v>Feedback-Directed Random Test Generation/Result_Round2/Jsoup_19/result.json</x:v>
      </x:c>
    </x:row>
    <x:row r="3091">
      <x:c r="A3091" s="34" t="str">
        <x:v>randoop</x:v>
      </x:c>
      <x:c r="B3091" s="34" t="str">
        <x:v>Jsoup</x:v>
      </x:c>
      <x:c r="C3091" s="34" t="str">
        <x:v>Round2</x:v>
      </x:c>
      <x:c r="D3091" s="34" t="str">
        <x:v>Jsoup_20</x:v>
      </x:c>
      <x:c r="E3091" s="34" t="str">
        <x:v>Line</x:v>
      </x:c>
      <x:c r="F3091" s="34" t="n">
        <x:v>44</x:v>
      </x:c>
      <x:c r="G3091" s="34" t="str">
        <x:v>RECORDED</x:v>
      </x:c>
      <x:c r="H3091" s="38" t="n">
        <x:f>IF(ISNUMBER('Data'!H1383),'Data'!H1383*100,"")</x:f>
        <x:v>40.91</x:v>
      </x:c>
      <x:c r="I3091" s="34" t="str">
        <x:v>PASS</x:v>
      </x:c>
      <x:c r="J3091" s="34" t="str">
        <x:v>PASS</x:v>
      </x:c>
      <x:c r="K3091" s="34" t="str">
        <x:v>PASS</x:v>
      </x:c>
      <x:c r="L3091" s="34" t="str">
        <x:v>PASS</x:v>
      </x:c>
      <x:c r="M3091" s="34" t="str">
        <x:v>numeric coverage for applicable metric</x:v>
      </x:c>
      <x:c r="N3091" s="34" t="str">
        <x:v>Feedback-Directed Random Test Generation/Result_Round2/Jsoup_20/result.json</x:v>
      </x:c>
      <x:c r="O3091" s="38" t="n">
        <x:f>IF(AND(G3091="RECORDED",ISNUMBER(H3091)),H3091,"")</x:f>
        <x:v>40.91</x:v>
      </x:c>
      <x:c r="P3091" s="34" t="str">
        <x:v>NOT_REVEALING</x:v>
      </x:c>
      <x:c r="Q3091" s="34" t="str">
        <x:v>Feedback-Directed Random Test Generation/Result_Round2/Jsoup_20/result.json</x:v>
      </x:c>
    </x:row>
    <x:row r="3092">
      <x:c r="A3092" s="34" t="str">
        <x:v>randoop</x:v>
      </x:c>
      <x:c r="B3092" s="34" t="str">
        <x:v>Jsoup</x:v>
      </x:c>
      <x:c r="C3092" s="34" t="str">
        <x:v>Round2</x:v>
      </x:c>
      <x:c r="D3092" s="34" t="str">
        <x:v>Jsoup_21</x:v>
      </x:c>
      <x:c r="E3092" s="34" t="str">
        <x:v>Line</x:v>
      </x:c>
      <x:c r="F3092" s="34" t="n">
        <x:v>189</x:v>
      </x:c>
      <x:c r="G3092" s="34" t="str">
        <x:v>RECORDED</x:v>
      </x:c>
      <x:c r="H3092" s="38" t="n">
        <x:f>IF(ISNUMBER('Data'!H1384),'Data'!H1384*100,"")</x:f>
        <x:v>34.92</x:v>
      </x:c>
      <x:c r="I3092" s="34" t="str">
        <x:v>PASS</x:v>
      </x:c>
      <x:c r="J3092" s="34" t="str">
        <x:v>PASS</x:v>
      </x:c>
      <x:c r="K3092" s="34" t="str">
        <x:v>PASS</x:v>
      </x:c>
      <x:c r="L3092" s="34" t="str">
        <x:v>PASS</x:v>
      </x:c>
      <x:c r="M3092" s="34" t="str">
        <x:v>numeric coverage for applicable metric</x:v>
      </x:c>
      <x:c r="N3092" s="34" t="str">
        <x:v>Feedback-Directed Random Test Generation/Result_Round2/Jsoup_21/result.json</x:v>
      </x:c>
      <x:c r="O3092" s="38" t="n">
        <x:f>IF(AND(G3092="RECORDED",ISNUMBER(H3092)),H3092,"")</x:f>
        <x:v>34.92</x:v>
      </x:c>
      <x:c r="P3092" s="34" t="str">
        <x:v>NOT_REVEALING</x:v>
      </x:c>
      <x:c r="Q3092" s="34" t="str">
        <x:v>Feedback-Directed Random Test Generation/Result_Round2/Jsoup_21/result.json</x:v>
      </x:c>
    </x:row>
    <x:row r="3093">
      <x:c r="A3093" s="34" t="str">
        <x:v>randoop</x:v>
      </x:c>
      <x:c r="B3093" s="34" t="str">
        <x:v>Jsoup</x:v>
      </x:c>
      <x:c r="C3093" s="34" t="str">
        <x:v>Round2</x:v>
      </x:c>
      <x:c r="D3093" s="34" t="str">
        <x:v>Jsoup_22</x:v>
      </x:c>
      <x:c r="E3093" s="34" t="str">
        <x:v>Line</x:v>
      </x:c>
      <x:c r="F3093" s="34" t="n">
        <x:v>667</x:v>
      </x:c>
      <x:c r="G3093" s="34" t="str">
        <x:v>RECORDED</x:v>
      </x:c>
      <x:c r="H3093" s="38" t="n">
        <x:f>IF(ISNUMBER('Data'!H1385),'Data'!H1385*100,"")</x:f>
        <x:v>21.29</x:v>
      </x:c>
      <x:c r="I3093" s="34" t="str">
        <x:v>PASS</x:v>
      </x:c>
      <x:c r="J3093" s="34" t="str">
        <x:v>PASS</x:v>
      </x:c>
      <x:c r="K3093" s="34" t="str">
        <x:v>PASS</x:v>
      </x:c>
      <x:c r="L3093" s="34" t="str">
        <x:v>PASS</x:v>
      </x:c>
      <x:c r="M3093" s="34" t="str">
        <x:v>numeric coverage for applicable metric</x:v>
      </x:c>
      <x:c r="N3093" s="34" t="str">
        <x:v>Feedback-Directed Random Test Generation/Result_Round2/Jsoup_22/result.json</x:v>
      </x:c>
      <x:c r="O3093" s="38" t="n">
        <x:f>IF(AND(G3093="RECORDED",ISNUMBER(H3093)),H3093,"")</x:f>
        <x:v>21.29</x:v>
      </x:c>
      <x:c r="P3093" s="34" t="str">
        <x:v>NOT_REVEALING</x:v>
      </x:c>
      <x:c r="Q3093" s="34" t="str">
        <x:v>Feedback-Directed Random Test Generation/Result_Round2/Jsoup_22/result.json</x:v>
      </x:c>
    </x:row>
    <x:row r="3094">
      <x:c r="A3094" s="34" t="str">
        <x:v>randoop</x:v>
      </x:c>
      <x:c r="B3094" s="34" t="str">
        <x:v>Jsoup</x:v>
      </x:c>
      <x:c r="C3094" s="34" t="str">
        <x:v>Round2</x:v>
      </x:c>
      <x:c r="D3094" s="34" t="str">
        <x:v>Jsoup_23</x:v>
      </x:c>
      <x:c r="E3094" s="34" t="str">
        <x:v>Line</x:v>
      </x:c>
      <x:c r="F3094" s="34" t="n">
        <x:v>217</x:v>
      </x:c>
      <x:c r="G3094" s="34" t="str">
        <x:v>RECORDED</x:v>
      </x:c>
      <x:c r="H3094" s="38" t="n">
        <x:f>IF(ISNUMBER('Data'!H1386),'Data'!H1386*100,"")</x:f>
        <x:v>70.05</x:v>
      </x:c>
      <x:c r="I3094" s="34" t="str">
        <x:v>PASS</x:v>
      </x:c>
      <x:c r="J3094" s="34" t="str">
        <x:v>PASS</x:v>
      </x:c>
      <x:c r="K3094" s="34" t="str">
        <x:v>PASS</x:v>
      </x:c>
      <x:c r="L3094" s="34" t="str">
        <x:v>PASS</x:v>
      </x:c>
      <x:c r="M3094" s="34" t="str">
        <x:v>numeric coverage for applicable metric</x:v>
      </x:c>
      <x:c r="N3094" s="34" t="str">
        <x:v>Feedback-Directed Random Test Generation/Result_Round2/Jsoup_23/result.json</x:v>
      </x:c>
      <x:c r="O3094" s="38" t="n">
        <x:f>IF(AND(G3094="RECORDED",ISNUMBER(H3094)),H3094,"")</x:f>
        <x:v>70.05</x:v>
      </x:c>
      <x:c r="P3094" s="34" t="str">
        <x:v>NOT_REVEALING</x:v>
      </x:c>
      <x:c r="Q3094" s="34" t="str">
        <x:v>Feedback-Directed Random Test Generation/Result_Round2/Jsoup_23/result.json</x:v>
      </x:c>
    </x:row>
    <x:row r="3095">
      <x:c r="A3095" s="34" t="str">
        <x:v>randoop</x:v>
      </x:c>
      <x:c r="B3095" s="34" t="str">
        <x:v>Jsoup</x:v>
      </x:c>
      <x:c r="C3095" s="34" t="str">
        <x:v>Round2</x:v>
      </x:c>
      <x:c r="D3095" s="34" t="str">
        <x:v>Jsoup_24</x:v>
      </x:c>
      <x:c r="E3095" s="34" t="str">
        <x:v>Line</x:v>
      </x:c>
      <x:c r="F3095" s="34" t="n">
        <x:v>1195</x:v>
      </x:c>
      <x:c r="G3095" s="34" t="str">
        <x:v>RECORDED</x:v>
      </x:c>
      <x:c r="H3095" s="38" t="n">
        <x:f>IF(ISNUMBER('Data'!H1387),'Data'!H1387*100,"")</x:f>
        <x:v>16.99</x:v>
      </x:c>
      <x:c r="I3095" s="34" t="str">
        <x:v>PASS</x:v>
      </x:c>
      <x:c r="J3095" s="34" t="str">
        <x:v>PASS</x:v>
      </x:c>
      <x:c r="K3095" s="34" t="str">
        <x:v>PASS</x:v>
      </x:c>
      <x:c r="L3095" s="34" t="str">
        <x:v>PASS</x:v>
      </x:c>
      <x:c r="M3095" s="34" t="str">
        <x:v>numeric coverage for applicable metric</x:v>
      </x:c>
      <x:c r="N3095" s="34" t="str">
        <x:v>Feedback-Directed Random Test Generation/Result_Round2/Jsoup_24/result.json</x:v>
      </x:c>
      <x:c r="O3095" s="38" t="n">
        <x:f>IF(AND(G3095="RECORDED",ISNUMBER(H3095)),H3095,"")</x:f>
        <x:v>16.99</x:v>
      </x:c>
      <x:c r="P3095" s="34" t="str">
        <x:v>NOT_REVEALING</x:v>
      </x:c>
      <x:c r="Q3095" s="34" t="str">
        <x:v>Feedback-Directed Random Test Generation/Result_Round2/Jsoup_24/result.json</x:v>
      </x:c>
    </x:row>
    <x:row r="3096">
      <x:c r="A3096" s="34" t="str">
        <x:v>randoop</x:v>
      </x:c>
      <x:c r="B3096" s="34" t="str">
        <x:v>Jsoup</x:v>
      </x:c>
      <x:c r="C3096" s="34" t="str">
        <x:v>Round2</x:v>
      </x:c>
      <x:c r="D3096" s="34" t="str">
        <x:v>Jsoup_25</x:v>
      </x:c>
      <x:c r="E3096" s="34" t="str">
        <x:v>Line</x:v>
      </x:c>
      <x:c r="F3096" s="34" t="n">
        <x:v>90</x:v>
      </x:c>
      <x:c r="G3096" s="34" t="str">
        <x:v>RECORDED</x:v>
      </x:c>
      <x:c r="H3096" s="38" t="n">
        <x:f>IF(ISNUMBER('Data'!H1388),'Data'!H1388*100,"")</x:f>
        <x:v>88.89</x:v>
      </x:c>
      <x:c r="I3096" s="34" t="str">
        <x:v>PASS</x:v>
      </x:c>
      <x:c r="J3096" s="34" t="str">
        <x:v>PASS</x:v>
      </x:c>
      <x:c r="K3096" s="34" t="str">
        <x:v>PASS</x:v>
      </x:c>
      <x:c r="L3096" s="34" t="str">
        <x:v>PASS</x:v>
      </x:c>
      <x:c r="M3096" s="34" t="str">
        <x:v>numeric coverage for applicable metric</x:v>
      </x:c>
      <x:c r="N3096" s="34" t="str">
        <x:v>Feedback-Directed Random Test Generation/Result_Round2/Jsoup_25/result.json</x:v>
      </x:c>
      <x:c r="O3096" s="38" t="n">
        <x:f>IF(AND(G3096="RECORDED",ISNUMBER(H3096)),H3096,"")</x:f>
        <x:v>88.89</x:v>
      </x:c>
      <x:c r="P3096" s="34" t="str">
        <x:v>NOT_REVEALING</x:v>
      </x:c>
      <x:c r="Q3096" s="34" t="str">
        <x:v>Feedback-Directed Random Test Generation/Result_Round2/Jsoup_25/result.json</x:v>
      </x:c>
    </x:row>
    <x:row r="3097">
      <x:c r="A3097" s="34" t="str">
        <x:v>randoop</x:v>
      </x:c>
      <x:c r="B3097" s="34" t="str">
        <x:v>Jsoup</x:v>
      </x:c>
      <x:c r="C3097" s="34" t="str">
        <x:v>Round2</x:v>
      </x:c>
      <x:c r="D3097" s="34" t="str">
        <x:v>Jsoup_26</x:v>
      </x:c>
      <x:c r="E3097" s="34" t="str">
        <x:v>Line</x:v>
      </x:c>
      <x:c r="F3097" s="34" t="n">
        <x:v>49</x:v>
      </x:c>
      <x:c r="G3097" s="34" t="str">
        <x:v>RECORDED</x:v>
      </x:c>
      <x:c r="H3097" s="38" t="n">
        <x:f>IF(ISNUMBER('Data'!H1389),'Data'!H1389*100,"")</x:f>
        <x:v>4.08</x:v>
      </x:c>
      <x:c r="I3097" s="34" t="str">
        <x:v>PASS</x:v>
      </x:c>
      <x:c r="J3097" s="34" t="str">
        <x:v>PASS</x:v>
      </x:c>
      <x:c r="K3097" s="34" t="str">
        <x:v>PASS</x:v>
      </x:c>
      <x:c r="L3097" s="34" t="str">
        <x:v>PASS</x:v>
      </x:c>
      <x:c r="M3097" s="34" t="str">
        <x:v>numeric coverage for applicable metric</x:v>
      </x:c>
      <x:c r="N3097" s="34" t="str">
        <x:v>Feedback-Directed Random Test Generation/Result_Round2/Jsoup_26/result.json</x:v>
      </x:c>
      <x:c r="O3097" s="38" t="n">
        <x:f>IF(AND(G3097="RECORDED",ISNUMBER(H3097)),H3097,"")</x:f>
        <x:v>4.08</x:v>
      </x:c>
      <x:c r="P3097" s="34" t="str">
        <x:v>NOT_REVEALING</x:v>
      </x:c>
      <x:c r="Q3097" s="34" t="str">
        <x:v>Feedback-Directed Random Test Generation/Result_Round2/Jsoup_26/result.json</x:v>
      </x:c>
    </x:row>
    <x:row r="3098">
      <x:c r="A3098" s="34" t="str">
        <x:v>randoop</x:v>
      </x:c>
      <x:c r="B3098" s="34" t="str">
        <x:v>Jsoup</x:v>
      </x:c>
      <x:c r="C3098" s="34" t="str">
        <x:v>Round2</x:v>
      </x:c>
      <x:c r="D3098" s="34" t="str">
        <x:v>Jsoup_27</x:v>
      </x:c>
      <x:c r="E3098" s="34" t="str">
        <x:v>Line</x:v>
      </x:c>
      <x:c r="F3098" s="34" t="n">
        <x:v>48</x:v>
      </x:c>
      <x:c r="G3098" s="34" t="str">
        <x:v>RECORDED</x:v>
      </x:c>
      <x:c r="H3098" s="38" t="n">
        <x:f>IF(ISNUMBER('Data'!H1390),'Data'!H1390*100,"")</x:f>
        <x:v>37.5</x:v>
      </x:c>
      <x:c r="I3098" s="34" t="str">
        <x:v>PASS</x:v>
      </x:c>
      <x:c r="J3098" s="34" t="str">
        <x:v>PASS</x:v>
      </x:c>
      <x:c r="K3098" s="34" t="str">
        <x:v>PASS</x:v>
      </x:c>
      <x:c r="L3098" s="34" t="str">
        <x:v>PASS</x:v>
      </x:c>
      <x:c r="M3098" s="34" t="str">
        <x:v>numeric coverage for applicable metric</x:v>
      </x:c>
      <x:c r="N3098" s="34" t="str">
        <x:v>Feedback-Directed Random Test Generation/Result_Round2/Jsoup_27/result.json</x:v>
      </x:c>
      <x:c r="O3098" s="38" t="n">
        <x:f>IF(AND(G3098="RECORDED",ISNUMBER(H3098)),H3098,"")</x:f>
        <x:v>37.5</x:v>
      </x:c>
      <x:c r="P3098" s="34" t="str">
        <x:v>NOT_REVEALING</x:v>
      </x:c>
      <x:c r="Q3098" s="34" t="str">
        <x:v>Feedback-Directed Random Test Generation/Result_Round2/Jsoup_27/result.json</x:v>
      </x:c>
    </x:row>
    <x:row r="3099">
      <x:c r="A3099" s="34" t="str">
        <x:v>randoop</x:v>
      </x:c>
      <x:c r="B3099" s="34" t="str">
        <x:v>Jsoup</x:v>
      </x:c>
      <x:c r="C3099" s="34" t="str">
        <x:v>Round2</x:v>
      </x:c>
      <x:c r="D3099" s="34" t="str">
        <x:v>Jsoup_28</x:v>
      </x:c>
      <x:c r="E3099" s="34" t="str">
        <x:v>Line</x:v>
      </x:c>
      <x:c r="F3099" s="34" t="n">
        <x:v>237</x:v>
      </x:c>
      <x:c r="G3099" s="34" t="str">
        <x:v>RECORDED</x:v>
      </x:c>
      <x:c r="H3099" s="38" t="n">
        <x:f>IF(ISNUMBER('Data'!H1391),'Data'!H1391*100,"")</x:f>
        <x:v>58.650000000000006</x:v>
      </x:c>
      <x:c r="I3099" s="34" t="str">
        <x:v>PASS</x:v>
      </x:c>
      <x:c r="J3099" s="34" t="str">
        <x:v>PASS</x:v>
      </x:c>
      <x:c r="K3099" s="34" t="str">
        <x:v>PASS</x:v>
      </x:c>
      <x:c r="L3099" s="34" t="str">
        <x:v>PASS</x:v>
      </x:c>
      <x:c r="M3099" s="34" t="str">
        <x:v>numeric coverage for applicable metric</x:v>
      </x:c>
      <x:c r="N3099" s="34" t="str">
        <x:v>Feedback-Directed Random Test Generation/Result_Round2/Jsoup_28/result.json</x:v>
      </x:c>
      <x:c r="O3099" s="38" t="n">
        <x:f>IF(AND(G3099="RECORDED",ISNUMBER(H3099)),H3099,"")</x:f>
        <x:v>58.650000000000006</x:v>
      </x:c>
      <x:c r="P3099" s="34" t="str">
        <x:v>NOT_REVEALING</x:v>
      </x:c>
      <x:c r="Q3099" s="34" t="str">
        <x:v>Feedback-Directed Random Test Generation/Result_Round2/Jsoup_28/result.json</x:v>
      </x:c>
    </x:row>
    <x:row r="3100">
      <x:c r="A3100" s="34" t="str">
        <x:v>randoop</x:v>
      </x:c>
      <x:c r="B3100" s="34" t="str">
        <x:v>Jsoup</x:v>
      </x:c>
      <x:c r="C3100" s="34" t="str">
        <x:v>Round2</x:v>
      </x:c>
      <x:c r="D3100" s="34" t="str">
        <x:v>Jsoup_29</x:v>
      </x:c>
      <x:c r="E3100" s="34" t="str">
        <x:v>Line</x:v>
      </x:c>
      <x:c r="F3100" s="34" t="n">
        <x:v>117</x:v>
      </x:c>
      <x:c r="G3100" s="34" t="str">
        <x:v>RECORDED</x:v>
      </x:c>
      <x:c r="H3100" s="38" t="n">
        <x:f>IF(ISNUMBER('Data'!H1392),'Data'!H1392*100,"")</x:f>
        <x:v>88.03</x:v>
      </x:c>
      <x:c r="I3100" s="34" t="str">
        <x:v>PASS</x:v>
      </x:c>
      <x:c r="J3100" s="34" t="str">
        <x:v>PASS</x:v>
      </x:c>
      <x:c r="K3100" s="34" t="str">
        <x:v>PASS</x:v>
      </x:c>
      <x:c r="L3100" s="34" t="str">
        <x:v>FAIL</x:v>
      </x:c>
      <x:c r="M3100" s="34" t="str">
        <x:v>numeric coverage for applicable metric</x:v>
      </x:c>
      <x:c r="N3100" s="34" t="str">
        <x:v>Feedback-Directed Random Test Generation/Result_Round2/Jsoup_29/result.json</x:v>
      </x:c>
      <x:c r="O3100" s="38" t="n">
        <x:f>IF(AND(G3100="RECORDED",ISNUMBER(H3100)),H3100,"")</x:f>
        <x:v>88.03</x:v>
      </x:c>
      <x:c r="P3100" s="34" t="str">
        <x:v>INCONCLUSIVE</x:v>
      </x:c>
      <x:c r="Q3100" s="34" t="str">
        <x:v>Feedback-Directed Random Test Generation/Result_Round2/Jsoup_29/result.json</x:v>
      </x:c>
    </x:row>
    <x:row r="3101">
      <x:c r="A3101" s="34" t="str">
        <x:v>randoop</x:v>
      </x:c>
      <x:c r="B3101" s="34" t="str">
        <x:v>Jsoup</x:v>
      </x:c>
      <x:c r="C3101" s="34" t="str">
        <x:v>Round2</x:v>
      </x:c>
      <x:c r="D3101" s="34" t="str">
        <x:v>Jsoup_30</x:v>
      </x:c>
      <x:c r="E3101" s="34" t="str">
        <x:v>Line</x:v>
      </x:c>
      <x:c r="F3101" s="34" t="n">
        <x:v>50</x:v>
      </x:c>
      <x:c r="G3101" s="34" t="str">
        <x:v>RECORDED</x:v>
      </x:c>
      <x:c r="H3101" s="38" t="n">
        <x:f>IF(ISNUMBER('Data'!H1393),'Data'!H1393*100,"")</x:f>
        <x:v>4</x:v>
      </x:c>
      <x:c r="I3101" s="34" t="str">
        <x:v>PASS</x:v>
      </x:c>
      <x:c r="J3101" s="34" t="str">
        <x:v>PASS</x:v>
      </x:c>
      <x:c r="K3101" s="34" t="str">
        <x:v>PASS</x:v>
      </x:c>
      <x:c r="L3101" s="34" t="str">
        <x:v>PASS</x:v>
      </x:c>
      <x:c r="M3101" s="34" t="str">
        <x:v>numeric coverage for applicable metric</x:v>
      </x:c>
      <x:c r="N3101" s="34" t="str">
        <x:v>Feedback-Directed Random Test Generation/Result_Round2/Jsoup_30/result.json</x:v>
      </x:c>
      <x:c r="O3101" s="38" t="n">
        <x:f>IF(AND(G3101="RECORDED",ISNUMBER(H3101)),H3101,"")</x:f>
        <x:v>4</x:v>
      </x:c>
      <x:c r="P3101" s="34" t="str">
        <x:v>NOT_REVEALING</x:v>
      </x:c>
      <x:c r="Q3101" s="34" t="str">
        <x:v>Feedback-Directed Random Test Generation/Result_Round2/Jsoup_30/result.json</x:v>
      </x:c>
    </x:row>
    <x:row r="3102">
      <x:c r="A3102" s="34" t="str">
        <x:v>randoop</x:v>
      </x:c>
      <x:c r="B3102" s="34" t="str">
        <x:v>Jsoup</x:v>
      </x:c>
      <x:c r="C3102" s="34" t="str">
        <x:v>Round2</x:v>
      </x:c>
      <x:c r="D3102" s="34" t="str">
        <x:v>Jsoup_31</x:v>
      </x:c>
      <x:c r="E3102" s="34" t="str">
        <x:v>Line</x:v>
      </x:c>
      <x:c r="F3102" s="34" t="n">
        <x:v>1357</x:v>
      </x:c>
      <x:c r="G3102" s="34" t="str">
        <x:v>RECORDED</x:v>
      </x:c>
      <x:c r="H3102" s="38" t="n">
        <x:f>IF(ISNUMBER('Data'!H1394),'Data'!H1394*100,"")</x:f>
        <x:v>26.229999999999997</x:v>
      </x:c>
      <x:c r="I3102" s="34" t="str">
        <x:v>PASS</x:v>
      </x:c>
      <x:c r="J3102" s="34" t="str">
        <x:v>PASS</x:v>
      </x:c>
      <x:c r="K3102" s="34" t="str">
        <x:v>PASS</x:v>
      </x:c>
      <x:c r="L3102" s="34" t="str">
        <x:v>FAIL</x:v>
      </x:c>
      <x:c r="M3102" s="34" t="str">
        <x:v>numeric coverage for applicable metric</x:v>
      </x:c>
      <x:c r="N3102" s="34" t="str">
        <x:v>Feedback-Directed Random Test Generation/Result_Round2/Jsoup_31/result.json</x:v>
      </x:c>
      <x:c r="O3102" s="38" t="n">
        <x:f>IF(AND(G3102="RECORDED",ISNUMBER(H3102)),H3102,"")</x:f>
        <x:v>26.229999999999997</x:v>
      </x:c>
      <x:c r="P3102" s="34" t="str">
        <x:v>INCONCLUSIVE</x:v>
      </x:c>
      <x:c r="Q3102" s="34" t="str">
        <x:v>Feedback-Directed Random Test Generation/Result_Round2/Jsoup_31/result.json</x:v>
      </x:c>
    </x:row>
    <x:row r="3103">
      <x:c r="A3103" s="34" t="str">
        <x:v>randoop</x:v>
      </x:c>
      <x:c r="B3103" s="34" t="str">
        <x:v>Jsoup</x:v>
      </x:c>
      <x:c r="C3103" s="34" t="str">
        <x:v>Round2</x:v>
      </x:c>
      <x:c r="D3103" s="34" t="str">
        <x:v>Jsoup_32</x:v>
      </x:c>
      <x:c r="E3103" s="34" t="str">
        <x:v>Line</x:v>
      </x:c>
      <x:c r="F3103" s="34" t="n">
        <x:v>303</x:v>
      </x:c>
      <x:c r="G3103" s="34" t="str">
        <x:v>RECORDED</x:v>
      </x:c>
      <x:c r="H3103" s="38" t="n">
        <x:f>IF(ISNUMBER('Data'!H1395),'Data'!H1395*100,"")</x:f>
        <x:v>0.9899999999999999</x:v>
      </x:c>
      <x:c r="I3103" s="34" t="str">
        <x:v>PASS</x:v>
      </x:c>
      <x:c r="J3103" s="34" t="str">
        <x:v>PASS</x:v>
      </x:c>
      <x:c r="K3103" s="34" t="str">
        <x:v>PASS</x:v>
      </x:c>
      <x:c r="L3103" s="34" t="str">
        <x:v>PASS</x:v>
      </x:c>
      <x:c r="M3103" s="34" t="str">
        <x:v>numeric coverage for applicable metric</x:v>
      </x:c>
      <x:c r="N3103" s="34" t="str">
        <x:v>Feedback-Directed Random Test Generation/Result_Round2/Jsoup_32/result.json</x:v>
      </x:c>
      <x:c r="O3103" s="38" t="n">
        <x:f>IF(AND(G3103="RECORDED",ISNUMBER(H3103)),H3103,"")</x:f>
        <x:v>0.9899999999999999</x:v>
      </x:c>
      <x:c r="P3103" s="34" t="str">
        <x:v>NOT_REVEALING</x:v>
      </x:c>
      <x:c r="Q3103" s="34" t="str">
        <x:v>Feedback-Directed Random Test Generation/Result_Round2/Jsoup_32/result.json</x:v>
      </x:c>
    </x:row>
    <x:row r="3104">
      <x:c r="A3104" s="34" t="str">
        <x:v>randoop</x:v>
      </x:c>
      <x:c r="B3104" s="34" t="str">
        <x:v>Jsoup</x:v>
      </x:c>
      <x:c r="C3104" s="34" t="str">
        <x:v>Round2</x:v>
      </x:c>
      <x:c r="D3104" s="34" t="str">
        <x:v>Jsoup_33</x:v>
      </x:c>
      <x:c r="E3104" s="34" t="str">
        <x:v>Line</x:v>
      </x:c>
      <x:c r="F3104" s="34" t="n">
        <x:v>393</x:v>
      </x:c>
      <x:c r="G3104" s="34" t="str">
        <x:v>RECORDED</x:v>
      </x:c>
      <x:c r="H3104" s="38" t="n">
        <x:f>IF(ISNUMBER('Data'!H1396),'Data'!H1396*100,"")</x:f>
        <x:v>76.08</x:v>
      </x:c>
      <x:c r="I3104" s="34" t="str">
        <x:v>PASS</x:v>
      </x:c>
      <x:c r="J3104" s="34" t="str">
        <x:v>PASS</x:v>
      </x:c>
      <x:c r="K3104" s="34" t="str">
        <x:v>PASS</x:v>
      </x:c>
      <x:c r="L3104" s="34" t="str">
        <x:v>FAIL</x:v>
      </x:c>
      <x:c r="M3104" s="34" t="str">
        <x:v>numeric coverage for applicable metric</x:v>
      </x:c>
      <x:c r="N3104" s="34" t="str">
        <x:v>Feedback-Directed Random Test Generation/Result_Round2/Jsoup_33/result.json</x:v>
      </x:c>
      <x:c r="O3104" s="38" t="n">
        <x:f>IF(AND(G3104="RECORDED",ISNUMBER(H3104)),H3104,"")</x:f>
        <x:v>76.08</x:v>
      </x:c>
      <x:c r="P3104" s="34" t="str">
        <x:v>INCONCLUSIVE</x:v>
      </x:c>
      <x:c r="Q3104" s="34" t="str">
        <x:v>Feedback-Directed Random Test Generation/Result_Round2/Jsoup_33/result.json</x:v>
      </x:c>
    </x:row>
    <x:row r="3105">
      <x:c r="A3105" s="34" t="str">
        <x:v>randoop</x:v>
      </x:c>
      <x:c r="B3105" s="34" t="str">
        <x:v>Jsoup</x:v>
      </x:c>
      <x:c r="C3105" s="34" t="str">
        <x:v>Round2</x:v>
      </x:c>
      <x:c r="D3105" s="34" t="str">
        <x:v>Jsoup_34</x:v>
      </x:c>
      <x:c r="E3105" s="34" t="str">
        <x:v>Line</x:v>
      </x:c>
      <x:c r="F3105" s="34" t="n">
        <x:v>136</x:v>
      </x:c>
      <x:c r="G3105" s="34" t="str">
        <x:v>RECORDED</x:v>
      </x:c>
      <x:c r="H3105" s="38" t="n">
        <x:f>IF(ISNUMBER('Data'!H1397),'Data'!H1397*100,"")</x:f>
        <x:v>94.12</x:v>
      </x:c>
      <x:c r="I3105" s="34" t="str">
        <x:v>PASS</x:v>
      </x:c>
      <x:c r="J3105" s="34" t="str">
        <x:v>PASS</x:v>
      </x:c>
      <x:c r="K3105" s="34" t="str">
        <x:v>PASS</x:v>
      </x:c>
      <x:c r="L3105" s="34" t="str">
        <x:v>PASS</x:v>
      </x:c>
      <x:c r="M3105" s="34" t="str">
        <x:v>numeric coverage for applicable metric</x:v>
      </x:c>
      <x:c r="N3105" s="34" t="str">
        <x:v>Feedback-Directed Random Test Generation/Result_Round2/Jsoup_34/result.json</x:v>
      </x:c>
      <x:c r="O3105" s="38" t="n">
        <x:f>IF(AND(G3105="RECORDED",ISNUMBER(H3105)),H3105,"")</x:f>
        <x:v>94.12</x:v>
      </x:c>
      <x:c r="P3105" s="34" t="str">
        <x:v>NOT_REVEALING</x:v>
      </x:c>
      <x:c r="Q3105" s="34" t="str">
        <x:v>Feedback-Directed Random Test Generation/Result_Round2/Jsoup_34/result.json</x:v>
      </x:c>
    </x:row>
    <x:row r="3106">
      <x:c r="A3106" s="34" t="str">
        <x:v>randoop</x:v>
      </x:c>
      <x:c r="B3106" s="34" t="str">
        <x:v>Jsoup</x:v>
      </x:c>
      <x:c r="C3106" s="34" t="str">
        <x:v>Round2</x:v>
      </x:c>
      <x:c r="D3106" s="34" t="str">
        <x:v>Jsoup_35</x:v>
      </x:c>
      <x:c r="E3106" s="34" t="str">
        <x:v>Line</x:v>
      </x:c>
      <x:c r="F3106" s="34" t="n">
        <x:v>1078</x:v>
      </x:c>
      <x:c r="G3106" s="34" t="str">
        <x:v>RECORDED</x:v>
      </x:c>
      <x:c r="H3106" s="38" t="n">
        <x:f>IF(ISNUMBER('Data'!H1398),'Data'!H1398*100,"")</x:f>
        <x:v>6.77</x:v>
      </x:c>
      <x:c r="I3106" s="34" t="str">
        <x:v>PASS</x:v>
      </x:c>
      <x:c r="J3106" s="34" t="str">
        <x:v>PASS</x:v>
      </x:c>
      <x:c r="K3106" s="34" t="str">
        <x:v>PASS</x:v>
      </x:c>
      <x:c r="L3106" s="34" t="str">
        <x:v>PASS</x:v>
      </x:c>
      <x:c r="M3106" s="34" t="str">
        <x:v>numeric coverage for applicable metric</x:v>
      </x:c>
      <x:c r="N3106" s="34" t="str">
        <x:v>Feedback-Directed Random Test Generation/Result_Round2/Jsoup_35/result.json</x:v>
      </x:c>
      <x:c r="O3106" s="38" t="n">
        <x:f>IF(AND(G3106="RECORDED",ISNUMBER(H3106)),H3106,"")</x:f>
        <x:v>6.77</x:v>
      </x:c>
      <x:c r="P3106" s="34" t="str">
        <x:v>NOT_REVEALING</x:v>
      </x:c>
      <x:c r="Q3106" s="34" t="str">
        <x:v>Feedback-Directed Random Test Generation/Result_Round2/Jsoup_35/result.json</x:v>
      </x:c>
    </x:row>
    <x:row r="3107">
      <x:c r="A3107" s="34" t="str">
        <x:v>randoop</x:v>
      </x:c>
      <x:c r="B3107" s="34" t="str">
        <x:v>Jsoup</x:v>
      </x:c>
      <x:c r="C3107" s="34" t="str">
        <x:v>Round2</x:v>
      </x:c>
      <x:c r="D3107" s="34" t="str">
        <x:v>Jsoup_36</x:v>
      </x:c>
      <x:c r="E3107" s="34" t="str">
        <x:v>Line</x:v>
      </x:c>
      <x:c r="F3107" s="34" t="n">
        <x:v>60</x:v>
      </x:c>
      <x:c r="G3107" s="34" t="str">
        <x:v>RECORDED</x:v>
      </x:c>
      <x:c r="H3107" s="38" t="n">
        <x:f>IF(ISNUMBER('Data'!H1399),'Data'!H1399*100,"")</x:f>
        <x:v>36.67</x:v>
      </x:c>
      <x:c r="I3107" s="34" t="str">
        <x:v>PASS</x:v>
      </x:c>
      <x:c r="J3107" s="34" t="str">
        <x:v>PASS</x:v>
      </x:c>
      <x:c r="K3107" s="34" t="str">
        <x:v>PASS</x:v>
      </x:c>
      <x:c r="L3107" s="34" t="str">
        <x:v>PASS</x:v>
      </x:c>
      <x:c r="M3107" s="34" t="str">
        <x:v>numeric coverage for applicable metric</x:v>
      </x:c>
      <x:c r="N3107" s="34" t="str">
        <x:v>Feedback-Directed Random Test Generation/Result_Round2/Jsoup_36/result.json</x:v>
      </x:c>
      <x:c r="O3107" s="38" t="n">
        <x:f>IF(AND(G3107="RECORDED",ISNUMBER(H3107)),H3107,"")</x:f>
        <x:v>36.67</x:v>
      </x:c>
      <x:c r="P3107" s="34" t="str">
        <x:v>NOT_REVEALING</x:v>
      </x:c>
      <x:c r="Q3107" s="34" t="str">
        <x:v>Feedback-Directed Random Test Generation/Result_Round2/Jsoup_36/result.json</x:v>
      </x:c>
    </x:row>
    <x:row r="3108">
      <x:c r="A3108" s="34" t="str">
        <x:v>randoop</x:v>
      </x:c>
      <x:c r="B3108" s="34" t="str">
        <x:v>Jsoup</x:v>
      </x:c>
      <x:c r="C3108" s="34" t="str">
        <x:v>Round2</x:v>
      </x:c>
      <x:c r="D3108" s="34" t="str">
        <x:v>Jsoup_37</x:v>
      </x:c>
      <x:c r="E3108" s="34" t="str">
        <x:v>Line</x:v>
      </x:c>
      <x:c r="F3108" s="34" t="n">
        <x:v>307</x:v>
      </x:c>
      <x:c r="G3108" s="34" t="str">
        <x:v>RECORDED</x:v>
      </x:c>
      <x:c r="H3108" s="38" t="n">
        <x:f>IF(ISNUMBER('Data'!H1400),'Data'!H1400*100,"")</x:f>
        <x:v>1.63</x:v>
      </x:c>
      <x:c r="I3108" s="34" t="str">
        <x:v>PASS</x:v>
      </x:c>
      <x:c r="J3108" s="34" t="str">
        <x:v>PASS</x:v>
      </x:c>
      <x:c r="K3108" s="34" t="str">
        <x:v>PASS</x:v>
      </x:c>
      <x:c r="L3108" s="34" t="str">
        <x:v>PASS</x:v>
      </x:c>
      <x:c r="M3108" s="34" t="str">
        <x:v>numeric coverage for applicable metric</x:v>
      </x:c>
      <x:c r="N3108" s="34" t="str">
        <x:v>Feedback-Directed Random Test Generation/Result_Round2/Jsoup_37/result.json</x:v>
      </x:c>
      <x:c r="O3108" s="38" t="n">
        <x:f>IF(AND(G3108="RECORDED",ISNUMBER(H3108)),H3108,"")</x:f>
        <x:v>1.63</x:v>
      </x:c>
      <x:c r="P3108" s="34" t="str">
        <x:v>NOT_REVEALING</x:v>
      </x:c>
      <x:c r="Q3108" s="34" t="str">
        <x:v>Feedback-Directed Random Test Generation/Result_Round2/Jsoup_37/result.json</x:v>
      </x:c>
    </x:row>
    <x:row r="3109">
      <x:c r="A3109" s="34" t="str">
        <x:v>randoop</x:v>
      </x:c>
      <x:c r="B3109" s="34" t="str">
        <x:v>Jsoup</x:v>
      </x:c>
      <x:c r="C3109" s="34" t="str">
        <x:v>Round2</x:v>
      </x:c>
      <x:c r="D3109" s="34" t="str">
        <x:v>Jsoup_38</x:v>
      </x:c>
      <x:c r="E3109" s="34" t="str">
        <x:v>Line</x:v>
      </x:c>
      <x:c r="F3109" s="34" t="n">
        <x:v>1097</x:v>
      </x:c>
      <x:c r="G3109" s="34" t="str">
        <x:v>RECORDED</x:v>
      </x:c>
      <x:c r="H3109" s="38" t="n">
        <x:f>IF(ISNUMBER('Data'!H1401),'Data'!H1401*100,"")</x:f>
        <x:v>6.65</x:v>
      </x:c>
      <x:c r="I3109" s="34" t="str">
        <x:v>PASS</x:v>
      </x:c>
      <x:c r="J3109" s="34" t="str">
        <x:v>PASS</x:v>
      </x:c>
      <x:c r="K3109" s="34" t="str">
        <x:v>PASS</x:v>
      </x:c>
      <x:c r="L3109" s="34" t="str">
        <x:v>PASS</x:v>
      </x:c>
      <x:c r="M3109" s="34" t="str">
        <x:v>numeric coverage for applicable metric</x:v>
      </x:c>
      <x:c r="N3109" s="34" t="str">
        <x:v>Feedback-Directed Random Test Generation/Result_Round2/Jsoup_38/result.json</x:v>
      </x:c>
      <x:c r="O3109" s="38" t="n">
        <x:f>IF(AND(G3109="RECORDED",ISNUMBER(H3109)),H3109,"")</x:f>
        <x:v>6.65</x:v>
      </x:c>
      <x:c r="P3109" s="34" t="str">
        <x:v>NOT_REVEALING</x:v>
      </x:c>
      <x:c r="Q3109" s="34" t="str">
        <x:v>Feedback-Directed Random Test Generation/Result_Round2/Jsoup_38/result.json</x:v>
      </x:c>
    </x:row>
    <x:row r="3110">
      <x:c r="A3110" s="34" t="str">
        <x:v>randoop</x:v>
      </x:c>
      <x:c r="B3110" s="34" t="str">
        <x:v>Jsoup</x:v>
      </x:c>
      <x:c r="C3110" s="34" t="str">
        <x:v>Round2</x:v>
      </x:c>
      <x:c r="D3110" s="34" t="str">
        <x:v>Jsoup_39</x:v>
      </x:c>
      <x:c r="E3110" s="34" t="str">
        <x:v>Line</x:v>
      </x:c>
      <x:c r="F3110" s="34" t="n">
        <x:v>75</x:v>
      </x:c>
      <x:c r="G3110" s="34" t="str">
        <x:v>RECORDED</x:v>
      </x:c>
      <x:c r="H3110" s="38" t="n">
        <x:f>IF(ISNUMBER('Data'!H1402),'Data'!H1402*100,"")</x:f>
        <x:v>29.330000000000002</x:v>
      </x:c>
      <x:c r="I3110" s="34" t="str">
        <x:v>PASS</x:v>
      </x:c>
      <x:c r="J3110" s="34" t="str">
        <x:v>PASS</x:v>
      </x:c>
      <x:c r="K3110" s="34" t="str">
        <x:v>PASS</x:v>
      </x:c>
      <x:c r="L3110" s="34" t="str">
        <x:v>PASS</x:v>
      </x:c>
      <x:c r="M3110" s="34" t="str">
        <x:v>numeric coverage for applicable metric</x:v>
      </x:c>
      <x:c r="N3110" s="34" t="str">
        <x:v>Feedback-Directed Random Test Generation/Result_Round2/Jsoup_39/result.json</x:v>
      </x:c>
      <x:c r="O3110" s="38" t="n">
        <x:f>IF(AND(G3110="RECORDED",ISNUMBER(H3110)),H3110,"")</x:f>
        <x:v>29.330000000000002</x:v>
      </x:c>
      <x:c r="P3110" s="34" t="str">
        <x:v>NOT_REVEALING</x:v>
      </x:c>
      <x:c r="Q3110" s="34" t="str">
        <x:v>Feedback-Directed Random Test Generation/Result_Round2/Jsoup_39/result.json</x:v>
      </x:c>
    </x:row>
    <x:row r="3111">
      <x:c r="A3111" s="34" t="str">
        <x:v>randoop</x:v>
      </x:c>
      <x:c r="B3111" s="34" t="str">
        <x:v>Jsoup</x:v>
      </x:c>
      <x:c r="C3111" s="34" t="str">
        <x:v>Round2</x:v>
      </x:c>
      <x:c r="D3111" s="34" t="str">
        <x:v>Jsoup_40</x:v>
      </x:c>
      <x:c r="E3111" s="34" t="str">
        <x:v>Line</x:v>
      </x:c>
      <x:c r="F3111" s="34" t="n">
        <x:v>17</x:v>
      </x:c>
      <x:c r="G3111" s="34" t="str">
        <x:v>RECORDED</x:v>
      </x:c>
      <x:c r="H3111" s="38" t="n">
        <x:f>IF(ISNUMBER('Data'!H1403),'Data'!H1403*100,"")</x:f>
        <x:v>100</x:v>
      </x:c>
      <x:c r="I3111" s="34" t="str">
        <x:v>PASS</x:v>
      </x:c>
      <x:c r="J3111" s="34" t="str">
        <x:v>PASS</x:v>
      </x:c>
      <x:c r="K3111" s="34" t="str">
        <x:v>PASS</x:v>
      </x:c>
      <x:c r="L3111" s="34" t="str">
        <x:v>FAIL</x:v>
      </x:c>
      <x:c r="M3111" s="34" t="str">
        <x:v>numeric coverage for applicable metric</x:v>
      </x:c>
      <x:c r="N3111" s="34" t="str">
        <x:v>Feedback-Directed Random Test Generation/Result_Round2/Jsoup_40/result.json</x:v>
      </x:c>
      <x:c r="O3111" s="38" t="n">
        <x:f>IF(AND(G3111="RECORDED",ISNUMBER(H3111)),H3111,"")</x:f>
        <x:v>100</x:v>
      </x:c>
      <x:c r="P3111" s="34" t="str">
        <x:v>INCONCLUSIVE</x:v>
      </x:c>
      <x:c r="Q3111" s="34" t="str">
        <x:v>Feedback-Directed Random Test Generation/Result_Round2/Jsoup_40/result.json</x:v>
      </x:c>
    </x:row>
    <x:row r="3112">
      <x:c r="A3112" s="34" t="str">
        <x:v>randoop</x:v>
      </x:c>
      <x:c r="B3112" s="34" t="str">
        <x:v>Jsoup</x:v>
      </x:c>
      <x:c r="C3112" s="34" t="str">
        <x:v>Round2</x:v>
      </x:c>
      <x:c r="D3112" s="34" t="str">
        <x:v>Jsoup_41</x:v>
      </x:c>
      <x:c r="E3112" s="34" t="str">
        <x:v>Line</x:v>
      </x:c>
      <x:c r="F3112" s="34" t="n">
        <x:v>326</x:v>
      </x:c>
      <x:c r="G3112" s="34" t="str">
        <x:v>RECORDED</x:v>
      </x:c>
      <x:c r="H3112" s="38" t="n">
        <x:f>IF(ISNUMBER('Data'!H1404),'Data'!H1404*100,"")</x:f>
        <x:v>1.53</x:v>
      </x:c>
      <x:c r="I3112" s="34" t="str">
        <x:v>PASS</x:v>
      </x:c>
      <x:c r="J3112" s="34" t="str">
        <x:v>PASS</x:v>
      </x:c>
      <x:c r="K3112" s="34" t="str">
        <x:v>PASS</x:v>
      </x:c>
      <x:c r="L3112" s="34" t="str">
        <x:v>PASS</x:v>
      </x:c>
      <x:c r="M3112" s="34" t="str">
        <x:v>numeric coverage for applicable metric</x:v>
      </x:c>
      <x:c r="N3112" s="34" t="str">
        <x:v>Feedback-Directed Random Test Generation/Result_Round2/Jsoup_41/result.json</x:v>
      </x:c>
      <x:c r="O3112" s="38" t="n">
        <x:f>IF(AND(G3112="RECORDED",ISNUMBER(H3112)),H3112,"")</x:f>
        <x:v>1.53</x:v>
      </x:c>
      <x:c r="P3112" s="34" t="str">
        <x:v>NOT_REVEALING</x:v>
      </x:c>
      <x:c r="Q3112" s="34" t="str">
        <x:v>Feedback-Directed Random Test Generation/Result_Round2/Jsoup_41/result.json</x:v>
      </x:c>
    </x:row>
    <x:row r="3113">
      <x:c r="A3113" s="34" t="str">
        <x:v>randoop</x:v>
      </x:c>
      <x:c r="B3113" s="34" t="str">
        <x:v>Jsoup</x:v>
      </x:c>
      <x:c r="C3113" s="34" t="str">
        <x:v>Round2</x:v>
      </x:c>
      <x:c r="D3113" s="34" t="str">
        <x:v>Jsoup_42</x:v>
      </x:c>
      <x:c r="E3113" s="34" t="str">
        <x:v>Line</x:v>
      </x:c>
      <x:c r="F3113" s="34" t="n">
        <x:v>40</x:v>
      </x:c>
      <x:c r="G3113" s="34" t="str">
        <x:v>RECORDED</x:v>
      </x:c>
      <x:c r="H3113" s="38" t="n">
        <x:f>IF(ISNUMBER('Data'!H1405),'Data'!H1405*100,"")</x:f>
        <x:v>2.5</x:v>
      </x:c>
      <x:c r="I3113" s="34" t="str">
        <x:v>PASS</x:v>
      </x:c>
      <x:c r="J3113" s="34" t="str">
        <x:v>PASS</x:v>
      </x:c>
      <x:c r="K3113" s="34" t="str">
        <x:v>PASS</x:v>
      </x:c>
      <x:c r="L3113" s="34" t="str">
        <x:v>PASS</x:v>
      </x:c>
      <x:c r="M3113" s="34" t="str">
        <x:v>numeric coverage for applicable metric</x:v>
      </x:c>
      <x:c r="N3113" s="34" t="str">
        <x:v>Feedback-Directed Random Test Generation/Result_Round2/Jsoup_42/result.json</x:v>
      </x:c>
      <x:c r="O3113" s="38" t="n">
        <x:f>IF(AND(G3113="RECORDED",ISNUMBER(H3113)),H3113,"")</x:f>
        <x:v>2.5</x:v>
      </x:c>
      <x:c r="P3113" s="34" t="str">
        <x:v>NOT_REVEALING</x:v>
      </x:c>
      <x:c r="Q3113" s="34" t="str">
        <x:v>Feedback-Directed Random Test Generation/Result_Round2/Jsoup_42/result.json</x:v>
      </x:c>
    </x:row>
    <x:row r="3114">
      <x:c r="A3114" s="34" t="str">
        <x:v>randoop</x:v>
      </x:c>
      <x:c r="B3114" s="34" t="str">
        <x:v>Jsoup</x:v>
      </x:c>
      <x:c r="C3114" s="34" t="str">
        <x:v>Round2</x:v>
      </x:c>
      <x:c r="D3114" s="34" t="str">
        <x:v>Jsoup_43</x:v>
      </x:c>
      <x:c r="E3114" s="34" t="str">
        <x:v>Line</x:v>
      </x:c>
      <x:c r="F3114" s="34" t="n">
        <x:v>328</x:v>
      </x:c>
      <x:c r="G3114" s="34" t="str">
        <x:v>RECORDED</x:v>
      </x:c>
      <x:c r="H3114" s="38" t="n">
        <x:f>IF(ISNUMBER('Data'!H1406),'Data'!H1406*100,"")</x:f>
        <x:v>1.83</x:v>
      </x:c>
      <x:c r="I3114" s="34" t="str">
        <x:v>PASS</x:v>
      </x:c>
      <x:c r="J3114" s="34" t="str">
        <x:v>PASS</x:v>
      </x:c>
      <x:c r="K3114" s="34" t="str">
        <x:v>PASS</x:v>
      </x:c>
      <x:c r="L3114" s="34" t="str">
        <x:v>PASS</x:v>
      </x:c>
      <x:c r="M3114" s="34" t="str">
        <x:v>numeric coverage for applicable metric</x:v>
      </x:c>
      <x:c r="N3114" s="34" t="str">
        <x:v>Feedback-Directed Random Test Generation/Result_Round2/Jsoup_43/result.json</x:v>
      </x:c>
      <x:c r="O3114" s="38" t="n">
        <x:f>IF(AND(G3114="RECORDED",ISNUMBER(H3114)),H3114,"")</x:f>
        <x:v>1.83</x:v>
      </x:c>
      <x:c r="P3114" s="34" t="str">
        <x:v>NOT_REVEALING</x:v>
      </x:c>
      <x:c r="Q3114" s="34" t="str">
        <x:v>Feedback-Directed Random Test Generation/Result_Round2/Jsoup_43/result.json</x:v>
      </x:c>
    </x:row>
    <x:row r="3115">
      <x:c r="A3115" s="34" t="str">
        <x:v>randoop</x:v>
      </x:c>
      <x:c r="B3115" s="34" t="str">
        <x:v>Jsoup</x:v>
      </x:c>
      <x:c r="C3115" s="34" t="str">
        <x:v>Round2</x:v>
      </x:c>
      <x:c r="D3115" s="34" t="str">
        <x:v>Jsoup_44</x:v>
      </x:c>
      <x:c r="E3115" s="34" t="str">
        <x:v>Line</x:v>
      </x:c>
      <x:c r="F3115" s="34" t="n">
        <x:v>30</x:v>
      </x:c>
      <x:c r="G3115" s="34" t="str">
        <x:v>RECORDED</x:v>
      </x:c>
      <x:c r="H3115" s="38" t="n">
        <x:f>IF(ISNUMBER('Data'!H1407),'Data'!H1407*100,"")</x:f>
        <x:v>0</x:v>
      </x:c>
      <x:c r="I3115" s="34" t="str">
        <x:v>PASS</x:v>
      </x:c>
      <x:c r="J3115" s="34" t="str">
        <x:v>PASS</x:v>
      </x:c>
      <x:c r="K3115" s="34" t="str">
        <x:v>PASS</x:v>
      </x:c>
      <x:c r="L3115" s="34" t="str">
        <x:v>PASS</x:v>
      </x:c>
      <x:c r="M3115" s="34" t="str">
        <x:v>numeric coverage for applicable metric</x:v>
      </x:c>
      <x:c r="N3115" s="34" t="str">
        <x:v>Feedback-Directed Random Test Generation/Result_Round2/Jsoup_44/result.json</x:v>
      </x:c>
      <x:c r="O3115" s="38" t="n">
        <x:f>IF(AND(G3115="RECORDED",ISNUMBER(H3115)),H3115,"")</x:f>
        <x:v>0</x:v>
      </x:c>
      <x:c r="P3115" s="34" t="str">
        <x:v>NOT_REVEALING</x:v>
      </x:c>
      <x:c r="Q3115" s="34" t="str">
        <x:v>Feedback-Directed Random Test Generation/Result_Round2/Jsoup_44/result.json</x:v>
      </x:c>
    </x:row>
    <x:row r="3116">
      <x:c r="A3116" s="34" t="str">
        <x:v>randoop</x:v>
      </x:c>
      <x:c r="B3116" s="34" t="str">
        <x:v>Jsoup</x:v>
      </x:c>
      <x:c r="C3116" s="34" t="str">
        <x:v>Round2</x:v>
      </x:c>
      <x:c r="D3116" s="34" t="str">
        <x:v>Jsoup_45</x:v>
      </x:c>
      <x:c r="E3116" s="34" t="str">
        <x:v>Line</x:v>
      </x:c>
      <x:c r="F3116" s="34" t="n">
        <x:v>376</x:v>
      </x:c>
      <x:c r="G3116" s="34" t="str">
        <x:v>RECORDED</x:v>
      </x:c>
      <x:c r="H3116" s="38" t="n">
        <x:f>IF(ISNUMBER('Data'!H1408),'Data'!H1408*100,"")</x:f>
        <x:v>79.52</x:v>
      </x:c>
      <x:c r="I3116" s="34" t="str">
        <x:v>PASS</x:v>
      </x:c>
      <x:c r="J3116" s="34" t="str">
        <x:v>PASS</x:v>
      </x:c>
      <x:c r="K3116" s="34" t="str">
        <x:v>PASS</x:v>
      </x:c>
      <x:c r="L3116" s="34" t="str">
        <x:v>FAIL</x:v>
      </x:c>
      <x:c r="M3116" s="34" t="str">
        <x:v>numeric coverage for applicable metric</x:v>
      </x:c>
      <x:c r="N3116" s="34" t="str">
        <x:v>Feedback-Directed Random Test Generation/Result_Round2/Jsoup_45/result.json</x:v>
      </x:c>
      <x:c r="O3116" s="38" t="n">
        <x:f>IF(AND(G3116="RECORDED",ISNUMBER(H3116)),H3116,"")</x:f>
        <x:v>79.52</x:v>
      </x:c>
      <x:c r="P3116" s="34" t="str">
        <x:v>INCONCLUSIVE</x:v>
      </x:c>
      <x:c r="Q3116" s="34" t="str">
        <x:v>Feedback-Directed Random Test Generation/Result_Round2/Jsoup_45/result.json</x:v>
      </x:c>
    </x:row>
    <x:row r="3117">
      <x:c r="A3117" s="34" t="str">
        <x:v>randoop</x:v>
      </x:c>
      <x:c r="B3117" s="34" t="str">
        <x:v>Jsoup</x:v>
      </x:c>
      <x:c r="C3117" s="34" t="str">
        <x:v>Round2</x:v>
      </x:c>
      <x:c r="D3117" s="34" t="str">
        <x:v>Jsoup_46</x:v>
      </x:c>
      <x:c r="E3117" s="34" t="str">
        <x:v>Line</x:v>
      </x:c>
      <x:c r="F3117" s="34" t="n">
        <x:v>118</x:v>
      </x:c>
      <x:c r="G3117" s="34" t="str">
        <x:v>RECORDED</x:v>
      </x:c>
      <x:c r="H3117" s="38" t="n">
        <x:f>IF(ISNUMBER('Data'!H1409),'Data'!H1409*100,"")</x:f>
        <x:v>48.31</x:v>
      </x:c>
      <x:c r="I3117" s="34" t="str">
        <x:v>PASS</x:v>
      </x:c>
      <x:c r="J3117" s="34" t="str">
        <x:v>PASS</x:v>
      </x:c>
      <x:c r="K3117" s="34" t="str">
        <x:v>PASS</x:v>
      </x:c>
      <x:c r="L3117" s="34" t="str">
        <x:v>PASS</x:v>
      </x:c>
      <x:c r="M3117" s="34" t="str">
        <x:v>numeric coverage for applicable metric</x:v>
      </x:c>
      <x:c r="N3117" s="34" t="str">
        <x:v>Feedback-Directed Random Test Generation/Result_Round2/Jsoup_46/result.json</x:v>
      </x:c>
      <x:c r="O3117" s="38" t="n">
        <x:f>IF(AND(G3117="RECORDED",ISNUMBER(H3117)),H3117,"")</x:f>
        <x:v>48.31</x:v>
      </x:c>
      <x:c r="P3117" s="34" t="str">
        <x:v>NOT_REVEALING</x:v>
      </x:c>
      <x:c r="Q3117" s="34" t="str">
        <x:v>Feedback-Directed Random Test Generation/Result_Round2/Jsoup_46/result.json</x:v>
      </x:c>
    </x:row>
    <x:row r="3118">
      <x:c r="A3118" s="34" t="str">
        <x:v>randoop</x:v>
      </x:c>
      <x:c r="B3118" s="34" t="str">
        <x:v>Jsoup</x:v>
      </x:c>
      <x:c r="C3118" s="34" t="str">
        <x:v>Round2</x:v>
      </x:c>
      <x:c r="D3118" s="34" t="str">
        <x:v>Jsoup_47</x:v>
      </x:c>
      <x:c r="E3118" s="34" t="str">
        <x:v>Line</x:v>
      </x:c>
      <x:c r="F3118" s="34" t="n">
        <x:v>118</x:v>
      </x:c>
      <x:c r="G3118" s="34" t="str">
        <x:v>RECORDED</x:v>
      </x:c>
      <x:c r="H3118" s="38" t="n">
        <x:f>IF(ISNUMBER('Data'!H1410),'Data'!H1410*100,"")</x:f>
        <x:v>48.31</x:v>
      </x:c>
      <x:c r="I3118" s="34" t="str">
        <x:v>PASS</x:v>
      </x:c>
      <x:c r="J3118" s="34" t="str">
        <x:v>PASS</x:v>
      </x:c>
      <x:c r="K3118" s="34" t="str">
        <x:v>PASS</x:v>
      </x:c>
      <x:c r="L3118" s="34" t="str">
        <x:v>PASS</x:v>
      </x:c>
      <x:c r="M3118" s="34" t="str">
        <x:v>numeric coverage for applicable metric</x:v>
      </x:c>
      <x:c r="N3118" s="34" t="str">
        <x:v>Feedback-Directed Random Test Generation/Result_Round2/Jsoup_47/result.json</x:v>
      </x:c>
      <x:c r="O3118" s="38" t="n">
        <x:f>IF(AND(G3118="RECORDED",ISNUMBER(H3118)),H3118,"")</x:f>
        <x:v>48.31</x:v>
      </x:c>
      <x:c r="P3118" s="34" t="str">
        <x:v>NOT_REVEALING</x:v>
      </x:c>
      <x:c r="Q3118" s="34" t="str">
        <x:v>Feedback-Directed Random Test Generation/Result_Round2/Jsoup_47/result.json</x:v>
      </x:c>
    </x:row>
    <x:row r="3119">
      <x:c r="A3119" s="34" t="str">
        <x:v>randoop</x:v>
      </x:c>
      <x:c r="B3119" s="34" t="str">
        <x:v>Jsoup</x:v>
      </x:c>
      <x:c r="C3119" s="34" t="str">
        <x:v>Round2</x:v>
      </x:c>
      <x:c r="D3119" s="34" t="str">
        <x:v>Jsoup_48</x:v>
      </x:c>
      <x:c r="E3119" s="34" t="str">
        <x:v>Line</x:v>
      </x:c>
      <x:c r="F3119" s="34" t="n">
        <x:v>469</x:v>
      </x:c>
      <x:c r="G3119" s="34" t="str">
        <x:v>RECORDED</x:v>
      </x:c>
      <x:c r="H3119" s="38" t="n">
        <x:f>IF(ISNUMBER('Data'!H1411),'Data'!H1411*100,"")</x:f>
        <x:v>25.16</x:v>
      </x:c>
      <x:c r="I3119" s="34" t="str">
        <x:v>PASS</x:v>
      </x:c>
      <x:c r="J3119" s="34" t="str">
        <x:v>PASS</x:v>
      </x:c>
      <x:c r="K3119" s="34" t="str">
        <x:v>PASS</x:v>
      </x:c>
      <x:c r="L3119" s="34" t="str">
        <x:v>PASS</x:v>
      </x:c>
      <x:c r="M3119" s="34" t="str">
        <x:v>numeric coverage for applicable metric</x:v>
      </x:c>
      <x:c r="N3119" s="34" t="str">
        <x:v>Feedback-Directed Random Test Generation/Result_Round2/Jsoup_48/result.json</x:v>
      </x:c>
      <x:c r="O3119" s="38" t="n">
        <x:f>IF(AND(G3119="RECORDED",ISNUMBER(H3119)),H3119,"")</x:f>
        <x:v>25.16</x:v>
      </x:c>
      <x:c r="P3119" s="34" t="str">
        <x:v>NOT_REVEALING</x:v>
      </x:c>
      <x:c r="Q3119" s="34" t="str">
        <x:v>Feedback-Directed Random Test Generation/Result_Round2/Jsoup_48/result.json</x:v>
      </x:c>
    </x:row>
    <x:row r="3120">
      <x:c r="A3120" s="34" t="str">
        <x:v>randoop</x:v>
      </x:c>
      <x:c r="B3120" s="34" t="str">
        <x:v>Jsoup</x:v>
      </x:c>
      <x:c r="C3120" s="34" t="str">
        <x:v>Round2</x:v>
      </x:c>
      <x:c r="D3120" s="34" t="str">
        <x:v>Jsoup_49</x:v>
      </x:c>
      <x:c r="E3120" s="34" t="str">
        <x:v>Line</x:v>
      </x:c>
      <x:c r="F3120" s="34" t="n">
        <x:v>231</x:v>
      </x:c>
      <x:c r="G3120" s="34" t="str">
        <x:v>RECORDED</x:v>
      </x:c>
      <x:c r="H3120" s="38" t="n">
        <x:f>IF(ISNUMBER('Data'!H1412),'Data'!H1412*100,"")</x:f>
        <x:v>0</x:v>
      </x:c>
      <x:c r="I3120" s="34" t="str">
        <x:v>PASS</x:v>
      </x:c>
      <x:c r="J3120" s="34" t="str">
        <x:v>PASS</x:v>
      </x:c>
      <x:c r="K3120" s="34" t="str">
        <x:v>PASS</x:v>
      </x:c>
      <x:c r="L3120" s="34" t="str">
        <x:v>PASS</x:v>
      </x:c>
      <x:c r="M3120" s="34" t="str">
        <x:v>numeric coverage for applicable metric</x:v>
      </x:c>
      <x:c r="N3120" s="34" t="str">
        <x:v>Feedback-Directed Random Test Generation/Result_Round2/Jsoup_49/result.json</x:v>
      </x:c>
      <x:c r="O3120" s="38" t="n">
        <x:f>IF(AND(G3120="RECORDED",ISNUMBER(H3120)),H3120,"")</x:f>
        <x:v>0</x:v>
      </x:c>
      <x:c r="P3120" s="34" t="str">
        <x:v>NOT_REVEALING</x:v>
      </x:c>
      <x:c r="Q3120" s="34" t="str">
        <x:v>Feedback-Directed Random Test Generation/Result_Round2/Jsoup_49/result.json</x:v>
      </x:c>
    </x:row>
    <x:row r="3121">
      <x:c r="A3121" s="34" t="str">
        <x:v>randoop</x:v>
      </x:c>
      <x:c r="B3121" s="34" t="str">
        <x:v>Jsoup</x:v>
      </x:c>
      <x:c r="C3121" s="34" t="str">
        <x:v>Round2</x:v>
      </x:c>
      <x:c r="D3121" s="34" t="str">
        <x:v>Jsoup_50</x:v>
      </x:c>
      <x:c r="E3121" s="34" t="str">
        <x:v>Line</x:v>
      </x:c>
      <x:c r="F3121" s="34" t="n">
        <x:v>90</x:v>
      </x:c>
      <x:c r="G3121" s="34" t="str">
        <x:v>RECORDED</x:v>
      </x:c>
      <x:c r="H3121" s="38" t="n">
        <x:f>IF(ISNUMBER('Data'!H1413),'Data'!H1413*100,"")</x:f>
        <x:v>40</x:v>
      </x:c>
      <x:c r="I3121" s="34" t="str">
        <x:v>PASS</x:v>
      </x:c>
      <x:c r="J3121" s="34" t="str">
        <x:v>PASS</x:v>
      </x:c>
      <x:c r="K3121" s="34" t="str">
        <x:v>PASS</x:v>
      </x:c>
      <x:c r="L3121" s="34" t="str">
        <x:v>PASS</x:v>
      </x:c>
      <x:c r="M3121" s="34" t="str">
        <x:v>numeric coverage for applicable metric</x:v>
      </x:c>
      <x:c r="N3121" s="34" t="str">
        <x:v>Feedback-Directed Random Test Generation/Result_Round2/Jsoup_50/result.json</x:v>
      </x:c>
      <x:c r="O3121" s="38" t="n">
        <x:f>IF(AND(G3121="RECORDED",ISNUMBER(H3121)),H3121,"")</x:f>
        <x:v>40</x:v>
      </x:c>
      <x:c r="P3121" s="34" t="str">
        <x:v>INCONCLUSIVE</x:v>
      </x:c>
      <x:c r="Q3121" s="34" t="str">
        <x:v>Feedback-Directed Random Test Generation/Result_Round2/Jsoup_50/result.json</x:v>
      </x:c>
    </x:row>
    <x:row r="3122">
      <x:c r="A3122" s="34" t="str">
        <x:v>randoop</x:v>
      </x:c>
      <x:c r="B3122" s="34" t="str">
        <x:v>Jsoup</x:v>
      </x:c>
      <x:c r="C3122" s="34" t="str">
        <x:v>Round2</x:v>
      </x:c>
      <x:c r="D3122" s="34" t="str">
        <x:v>Jsoup_51</x:v>
      </x:c>
      <x:c r="E3122" s="34" t="str">
        <x:v>Line</x:v>
      </x:c>
      <x:c r="F3122" s="34" t="n">
        <x:v>195</x:v>
      </x:c>
      <x:c r="G3122" s="34" t="str">
        <x:v>RECORDED</x:v>
      </x:c>
      <x:c r="H3122" s="38" t="n">
        <x:f>IF(ISNUMBER('Data'!H1414),'Data'!H1414*100,"")</x:f>
        <x:v>93.33</x:v>
      </x:c>
      <x:c r="I3122" s="34" t="str">
        <x:v>PASS</x:v>
      </x:c>
      <x:c r="J3122" s="34" t="str">
        <x:v>PASS</x:v>
      </x:c>
      <x:c r="K3122" s="34" t="str">
        <x:v>PASS</x:v>
      </x:c>
      <x:c r="L3122" s="34" t="str">
        <x:v>PASS</x:v>
      </x:c>
      <x:c r="M3122" s="34" t="str">
        <x:v>numeric coverage for applicable metric</x:v>
      </x:c>
      <x:c r="N3122" s="34" t="str">
        <x:v>Feedback-Directed Random Test Generation/Result_Round2/Jsoup_51/result.json</x:v>
      </x:c>
      <x:c r="O3122" s="38" t="n">
        <x:f>IF(AND(G3122="RECORDED",ISNUMBER(H3122)),H3122,"")</x:f>
        <x:v>93.33</x:v>
      </x:c>
      <x:c r="P3122" s="34" t="str">
        <x:v>NOT_REVEALING</x:v>
      </x:c>
      <x:c r="Q3122" s="34" t="str">
        <x:v>Feedback-Directed Random Test Generation/Result_Round2/Jsoup_51/result.json</x:v>
      </x:c>
    </x:row>
    <x:row r="3123">
      <x:c r="A3123" s="34" t="str">
        <x:v>randoop</x:v>
      </x:c>
      <x:c r="B3123" s="34" t="str">
        <x:v>Jsoup</x:v>
      </x:c>
      <x:c r="C3123" s="34" t="str">
        <x:v>Round2</x:v>
      </x:c>
      <x:c r="D3123" s="34" t="str">
        <x:v>Jsoup_52</x:v>
      </x:c>
      <x:c r="E3123" s="34" t="str">
        <x:v>Line</x:v>
      </x:c>
      <x:c r="F3123" s="34" t="n">
        <x:v>195</x:v>
      </x:c>
      <x:c r="G3123" s="34" t="str">
        <x:v>RECORDED</x:v>
      </x:c>
      <x:c r="H3123" s="38" t="n">
        <x:f>IF(ISNUMBER('Data'!H1415),'Data'!H1415*100,"")</x:f>
        <x:v>21.03</x:v>
      </x:c>
      <x:c r="I3123" s="34" t="str">
        <x:v>PASS</x:v>
      </x:c>
      <x:c r="J3123" s="34" t="str">
        <x:v>PASS</x:v>
      </x:c>
      <x:c r="K3123" s="34" t="str">
        <x:v>PASS</x:v>
      </x:c>
      <x:c r="L3123" s="34" t="str">
        <x:v>FAIL</x:v>
      </x:c>
      <x:c r="M3123" s="34" t="str">
        <x:v>numeric coverage for applicable metric</x:v>
      </x:c>
      <x:c r="N3123" s="34" t="str">
        <x:v>Feedback-Directed Random Test Generation/Result_Round2/Jsoup_52/result.json</x:v>
      </x:c>
      <x:c r="O3123" s="38" t="n">
        <x:f>IF(AND(G3123="RECORDED",ISNUMBER(H3123)),H3123,"")</x:f>
        <x:v>21.03</x:v>
      </x:c>
      <x:c r="P3123" s="34" t="str">
        <x:v>INCONCLUSIVE</x:v>
      </x:c>
      <x:c r="Q3123" s="34" t="str">
        <x:v>Feedback-Directed Random Test Generation/Result_Round2/Jsoup_52/result.json</x:v>
      </x:c>
    </x:row>
    <x:row r="3124">
      <x:c r="A3124" s="34" t="str">
        <x:v>randoop</x:v>
      </x:c>
      <x:c r="B3124" s="34" t="str">
        <x:v>Jsoup</x:v>
      </x:c>
      <x:c r="C3124" s="34" t="str">
        <x:v>Round2</x:v>
      </x:c>
      <x:c r="D3124" s="34" t="str">
        <x:v>Jsoup_53</x:v>
      </x:c>
      <x:c r="E3124" s="34" t="str">
        <x:v>Line</x:v>
      </x:c>
      <x:c r="F3124" s="34" t="n">
        <x:v>130</x:v>
      </x:c>
      <x:c r="G3124" s="34" t="str">
        <x:v>RECORDED</x:v>
      </x:c>
      <x:c r="H3124" s="38" t="n">
        <x:f>IF(ISNUMBER('Data'!H1416),'Data'!H1416*100,"")</x:f>
        <x:v>97.69</x:v>
      </x:c>
      <x:c r="I3124" s="34" t="str">
        <x:v>PASS</x:v>
      </x:c>
      <x:c r="J3124" s="34" t="str">
        <x:v>PASS</x:v>
      </x:c>
      <x:c r="K3124" s="34" t="str">
        <x:v>PASS</x:v>
      </x:c>
      <x:c r="L3124" s="34" t="str">
        <x:v>PASS</x:v>
      </x:c>
      <x:c r="M3124" s="34" t="str">
        <x:v>numeric coverage for applicable metric</x:v>
      </x:c>
      <x:c r="N3124" s="34" t="str">
        <x:v>Feedback-Directed Random Test Generation/Result_Round2/Jsoup_53/result.json</x:v>
      </x:c>
      <x:c r="O3124" s="38" t="n">
        <x:f>IF(AND(G3124="RECORDED",ISNUMBER(H3124)),H3124,"")</x:f>
        <x:v>97.69</x:v>
      </x:c>
      <x:c r="P3124" s="34" t="str">
        <x:v>NOT_REVEALING</x:v>
      </x:c>
      <x:c r="Q3124" s="34" t="str">
        <x:v>Feedback-Directed Random Test Generation/Result_Round2/Jsoup_53/result.json</x:v>
      </x:c>
    </x:row>
    <x:row r="3125">
      <x:c r="A3125" s="34" t="str">
        <x:v>randoop</x:v>
      </x:c>
      <x:c r="B3125" s="34" t="str">
        <x:v>Jsoup</x:v>
      </x:c>
      <x:c r="C3125" s="34" t="str">
        <x:v>Round2</x:v>
      </x:c>
      <x:c r="D3125" s="34" t="str">
        <x:v>Jsoup_54</x:v>
      </x:c>
      <x:c r="E3125" s="34" t="str">
        <x:v>Line</x:v>
      </x:c>
      <x:c r="F3125" s="34" t="n">
        <x:v>71</x:v>
      </x:c>
      <x:c r="G3125" s="34" t="str">
        <x:v>RECORDED</x:v>
      </x:c>
      <x:c r="H3125" s="38" t="n">
        <x:f>IF(ISNUMBER('Data'!H1417),'Data'!H1417*100,"")</x:f>
        <x:v>26.76</x:v>
      </x:c>
      <x:c r="I3125" s="34" t="str">
        <x:v>PASS</x:v>
      </x:c>
      <x:c r="J3125" s="34" t="str">
        <x:v>PASS</x:v>
      </x:c>
      <x:c r="K3125" s="34" t="str">
        <x:v>PASS</x:v>
      </x:c>
      <x:c r="L3125" s="34" t="str">
        <x:v>PASS</x:v>
      </x:c>
      <x:c r="M3125" s="34" t="str">
        <x:v>numeric coverage for applicable metric</x:v>
      </x:c>
      <x:c r="N3125" s="34" t="str">
        <x:v>Feedback-Directed Random Test Generation/Result_Round2/Jsoup_54/result.json</x:v>
      </x:c>
      <x:c r="O3125" s="38" t="n">
        <x:f>IF(AND(G3125="RECORDED",ISNUMBER(H3125)),H3125,"")</x:f>
        <x:v>26.76</x:v>
      </x:c>
      <x:c r="P3125" s="34" t="str">
        <x:v>NOT_REVEALING</x:v>
      </x:c>
      <x:c r="Q3125" s="34" t="str">
        <x:v>Feedback-Directed Random Test Generation/Result_Round2/Jsoup_54/result.json</x:v>
      </x:c>
    </x:row>
    <x:row r="3126">
      <x:c r="A3126" s="34" t="str">
        <x:v>randoop</x:v>
      </x:c>
      <x:c r="B3126" s="34" t="str">
        <x:v>Jsoup</x:v>
      </x:c>
      <x:c r="C3126" s="34" t="str">
        <x:v>Round2</x:v>
      </x:c>
      <x:c r="D3126" s="34" t="str">
        <x:v>Jsoup_55</x:v>
      </x:c>
      <x:c r="E3126" s="34" t="str">
        <x:v>Line</x:v>
      </x:c>
      <x:c r="F3126" s="34" t="n">
        <x:v>1148</x:v>
      </x:c>
      <x:c r="G3126" s="34" t="str">
        <x:v>RECORDED</x:v>
      </x:c>
      <x:c r="H3126" s="38" t="n">
        <x:f>IF(ISNUMBER('Data'!H1418),'Data'!H1418*100,"")</x:f>
        <x:v>18.9</x:v>
      </x:c>
      <x:c r="I3126" s="34" t="str">
        <x:v>PASS</x:v>
      </x:c>
      <x:c r="J3126" s="34" t="str">
        <x:v>PASS</x:v>
      </x:c>
      <x:c r="K3126" s="34" t="str">
        <x:v>PASS</x:v>
      </x:c>
      <x:c r="L3126" s="34" t="str">
        <x:v>PASS</x:v>
      </x:c>
      <x:c r="M3126" s="34" t="str">
        <x:v>numeric coverage for applicable metric</x:v>
      </x:c>
      <x:c r="N3126" s="34" t="str">
        <x:v>Feedback-Directed Random Test Generation/Result_Round2/Jsoup_55/result.json</x:v>
      </x:c>
      <x:c r="O3126" s="38" t="n">
        <x:f>IF(AND(G3126="RECORDED",ISNUMBER(H3126)),H3126,"")</x:f>
        <x:v>18.9</x:v>
      </x:c>
      <x:c r="P3126" s="34" t="str">
        <x:v>NOT_REVEALING</x:v>
      </x:c>
      <x:c r="Q3126" s="34" t="str">
        <x:v>Feedback-Directed Random Test Generation/Result_Round2/Jsoup_55/result.json</x:v>
      </x:c>
    </x:row>
    <x:row r="3127">
      <x:c r="A3127" s="34" t="str">
        <x:v>randoop</x:v>
      </x:c>
      <x:c r="B3127" s="34" t="str">
        <x:v>Jsoup</x:v>
      </x:c>
      <x:c r="C3127" s="34" t="str">
        <x:v>Round2</x:v>
      </x:c>
      <x:c r="D3127" s="34" t="str">
        <x:v>Jsoup_56</x:v>
      </x:c>
      <x:c r="E3127" s="34" t="str">
        <x:v>Line</x:v>
      </x:c>
      <x:c r="F3127" s="34" t="n">
        <x:v>2495</x:v>
      </x:c>
      <x:c r="G3127" s="34" t="str">
        <x:v>RECORDED</x:v>
      </x:c>
      <x:c r="H3127" s="38" t="n">
        <x:f>IF(ISNUMBER('Data'!H1419),'Data'!H1419*100,"")</x:f>
        <x:v>35.31</x:v>
      </x:c>
      <x:c r="I3127" s="34" t="str">
        <x:v>PASS</x:v>
      </x:c>
      <x:c r="J3127" s="34" t="str">
        <x:v>PASS</x:v>
      </x:c>
      <x:c r="K3127" s="34" t="str">
        <x:v>PASS</x:v>
      </x:c>
      <x:c r="L3127" s="34" t="str">
        <x:v>FAIL</x:v>
      </x:c>
      <x:c r="M3127" s="34" t="str">
        <x:v>numeric coverage for applicable metric</x:v>
      </x:c>
      <x:c r="N3127" s="34" t="str">
        <x:v>Feedback-Directed Random Test Generation/Result_Round2/Jsoup_56/result.json</x:v>
      </x:c>
      <x:c r="O3127" s="38" t="n">
        <x:f>IF(AND(G3127="RECORDED",ISNUMBER(H3127)),H3127,"")</x:f>
        <x:v>35.31</x:v>
      </x:c>
      <x:c r="P3127" s="34" t="str">
        <x:v>INCONCLUSIVE</x:v>
      </x:c>
      <x:c r="Q3127" s="34" t="str">
        <x:v>Feedback-Directed Random Test Generation/Result_Round2/Jsoup_56/result.json</x:v>
      </x:c>
    </x:row>
    <x:row r="3128">
      <x:c r="A3128" s="34" t="str">
        <x:v>randoop</x:v>
      </x:c>
      <x:c r="B3128" s="34" t="str">
        <x:v>Jsoup</x:v>
      </x:c>
      <x:c r="C3128" s="34" t="str">
        <x:v>Round2</x:v>
      </x:c>
      <x:c r="D3128" s="34" t="str">
        <x:v>Jsoup_57</x:v>
      </x:c>
      <x:c r="E3128" s="34" t="str">
        <x:v>Line</x:v>
      </x:c>
      <x:c r="F3128" s="34" t="n">
        <x:v>127</x:v>
      </x:c>
      <x:c r="G3128" s="34" t="str">
        <x:v>RECORDED</x:v>
      </x:c>
      <x:c r="H3128" s="38" t="n">
        <x:f>IF(ISNUMBER('Data'!H1420),'Data'!H1420*100,"")</x:f>
        <x:v>77.95</x:v>
      </x:c>
      <x:c r="I3128" s="34" t="str">
        <x:v>PASS</x:v>
      </x:c>
      <x:c r="J3128" s="34" t="str">
        <x:v>PASS</x:v>
      </x:c>
      <x:c r="K3128" s="34" t="str">
        <x:v>PASS</x:v>
      </x:c>
      <x:c r="L3128" s="34" t="str">
        <x:v>PASS</x:v>
      </x:c>
      <x:c r="M3128" s="34" t="str">
        <x:v>numeric coverage for applicable metric</x:v>
      </x:c>
      <x:c r="N3128" s="34" t="str">
        <x:v>Feedback-Directed Random Test Generation/Result_Round2/Jsoup_57/result.json</x:v>
      </x:c>
      <x:c r="O3128" s="38" t="n">
        <x:f>IF(AND(G3128="RECORDED",ISNUMBER(H3128)),H3128,"")</x:f>
        <x:v>77.95</x:v>
      </x:c>
      <x:c r="P3128" s="34" t="str">
        <x:v>NOT_REVEALING</x:v>
      </x:c>
      <x:c r="Q3128" s="34" t="str">
        <x:v>Feedback-Directed Random Test Generation/Result_Round2/Jsoup_57/result.json</x:v>
      </x:c>
    </x:row>
    <x:row r="3129">
      <x:c r="A3129" s="34" t="str">
        <x:v>randoop</x:v>
      </x:c>
      <x:c r="B3129" s="34" t="str">
        <x:v>Jsoup</x:v>
      </x:c>
      <x:c r="C3129" s="34" t="str">
        <x:v>Round2</x:v>
      </x:c>
      <x:c r="D3129" s="34" t="str">
        <x:v>Jsoup_58</x:v>
      </x:c>
      <x:c r="E3129" s="34" t="str">
        <x:v>Line</x:v>
      </x:c>
      <x:c r="F3129" s="34" t="n">
        <x:v>127</x:v>
      </x:c>
      <x:c r="G3129" s="34" t="str">
        <x:v>RECORDED</x:v>
      </x:c>
      <x:c r="H3129" s="38" t="n">
        <x:f>IF(ISNUMBER('Data'!H1421),'Data'!H1421*100,"")</x:f>
        <x:v>40.94</x:v>
      </x:c>
      <x:c r="I3129" s="34" t="str">
        <x:v>PASS</x:v>
      </x:c>
      <x:c r="J3129" s="34" t="str">
        <x:v>PASS</x:v>
      </x:c>
      <x:c r="K3129" s="34" t="str">
        <x:v>PASS</x:v>
      </x:c>
      <x:c r="L3129" s="34" t="str">
        <x:v>PASS</x:v>
      </x:c>
      <x:c r="M3129" s="34" t="str">
        <x:v>numeric coverage for applicable metric</x:v>
      </x:c>
      <x:c r="N3129" s="34" t="str">
        <x:v>Feedback-Directed Random Test Generation/Result_Round2/Jsoup_58/result.json</x:v>
      </x:c>
      <x:c r="O3129" s="38" t="n">
        <x:f>IF(AND(G3129="RECORDED",ISNUMBER(H3129)),H3129,"")</x:f>
        <x:v>40.94</x:v>
      </x:c>
      <x:c r="P3129" s="34" t="str">
        <x:v>NOT_REVEALING</x:v>
      </x:c>
      <x:c r="Q3129" s="34" t="str">
        <x:v>Feedback-Directed Random Test Generation/Result_Round2/Jsoup_58/result.json</x:v>
      </x:c>
    </x:row>
    <x:row r="3130">
      <x:c r="A3130" s="34" t="str">
        <x:v>randoop</x:v>
      </x:c>
      <x:c r="B3130" s="34" t="str">
        <x:v>Jsoup</x:v>
      </x:c>
      <x:c r="C3130" s="34" t="str">
        <x:v>Round2</x:v>
      </x:c>
      <x:c r="D3130" s="34" t="str">
        <x:v>Jsoup_59</x:v>
      </x:c>
      <x:c r="E3130" s="34" t="str">
        <x:v>Line</x:v>
      </x:c>
      <x:c r="F3130" s="34" t="n">
        <x:v>160</x:v>
      </x:c>
      <x:c r="G3130" s="34" t="str">
        <x:v>RECORDED</x:v>
      </x:c>
      <x:c r="H3130" s="38" t="n">
        <x:f>IF(ISNUMBER('Data'!H1422),'Data'!H1422*100,"")</x:f>
        <x:v>98.12</x:v>
      </x:c>
      <x:c r="I3130" s="34" t="str">
        <x:v>PASS</x:v>
      </x:c>
      <x:c r="J3130" s="34" t="str">
        <x:v>PASS</x:v>
      </x:c>
      <x:c r="K3130" s="34" t="str">
        <x:v>PASS</x:v>
      </x:c>
      <x:c r="L3130" s="34" t="str">
        <x:v>PASS</x:v>
      </x:c>
      <x:c r="M3130" s="34" t="str">
        <x:v>numeric coverage for applicable metric</x:v>
      </x:c>
      <x:c r="N3130" s="34" t="str">
        <x:v>Feedback-Directed Random Test Generation/Result_Round2/Jsoup_59/result.json</x:v>
      </x:c>
      <x:c r="O3130" s="38" t="n">
        <x:f>IF(AND(G3130="RECORDED",ISNUMBER(H3130)),H3130,"")</x:f>
        <x:v>98.12</x:v>
      </x:c>
      <x:c r="P3130" s="34" t="str">
        <x:v>INCONCLUSIVE</x:v>
      </x:c>
      <x:c r="Q3130" s="34" t="str">
        <x:v>Feedback-Directed Random Test Generation/Result_Round2/Jsoup_59/result.json</x:v>
      </x:c>
    </x:row>
    <x:row r="3131">
      <x:c r="A3131" s="34" t="str">
        <x:v>randoop</x:v>
      </x:c>
      <x:c r="B3131" s="34" t="str">
        <x:v>Jsoup</x:v>
      </x:c>
      <x:c r="C3131" s="34" t="str">
        <x:v>Round2</x:v>
      </x:c>
      <x:c r="D3131" s="34" t="str">
        <x:v>Jsoup_60</x:v>
      </x:c>
      <x:c r="E3131" s="34" t="str">
        <x:v>Line</x:v>
      </x:c>
      <x:c r="F3131" s="34" t="n">
        <x:v>365</x:v>
      </x:c>
      <x:c r="G3131" s="34" t="str">
        <x:v>RECORDED</x:v>
      </x:c>
      <x:c r="H3131" s="38" t="n">
        <x:f>IF(ISNUMBER('Data'!H1423),'Data'!H1423*100,"")</x:f>
        <x:v>56.44</x:v>
      </x:c>
      <x:c r="I3131" s="34" t="str">
        <x:v>PASS</x:v>
      </x:c>
      <x:c r="J3131" s="34" t="str">
        <x:v>PASS</x:v>
      </x:c>
      <x:c r="K3131" s="34" t="str">
        <x:v>PASS</x:v>
      </x:c>
      <x:c r="L3131" s="34" t="str">
        <x:v>PASS</x:v>
      </x:c>
      <x:c r="M3131" s="34" t="str">
        <x:v>numeric coverage for applicable metric</x:v>
      </x:c>
      <x:c r="N3131" s="34" t="str">
        <x:v>Feedback-Directed Random Test Generation/Result_Round2/Jsoup_60/result.json</x:v>
      </x:c>
      <x:c r="O3131" s="38" t="n">
        <x:f>IF(AND(G3131="RECORDED",ISNUMBER(H3131)),H3131,"")</x:f>
        <x:v>56.44</x:v>
      </x:c>
      <x:c r="P3131" s="34" t="str">
        <x:v>INCONCLUSIVE</x:v>
      </x:c>
      <x:c r="Q3131" s="34" t="str">
        <x:v>Feedback-Directed Random Test Generation/Result_Round2/Jsoup_60/result.json</x:v>
      </x:c>
    </x:row>
    <x:row r="3132">
      <x:c r="A3132" s="34" t="str">
        <x:v>randoop</x:v>
      </x:c>
      <x:c r="B3132" s="34" t="str">
        <x:v>Jsoup</x:v>
      </x:c>
      <x:c r="C3132" s="34" t="str">
        <x:v>Round2</x:v>
      </x:c>
      <x:c r="D3132" s="34" t="str">
        <x:v>Jsoup_61</x:v>
      </x:c>
      <x:c r="E3132" s="34" t="str">
        <x:v>Line</x:v>
      </x:c>
      <x:c r="F3132" s="34" t="n">
        <x:v>352</x:v>
      </x:c>
      <x:c r="G3132" s="34" t="str">
        <x:v>RECORDED</x:v>
      </x:c>
      <x:c r="H3132" s="38" t="n">
        <x:f>IF(ISNUMBER('Data'!H1424),'Data'!H1424*100,"")</x:f>
        <x:v>90.91</x:v>
      </x:c>
      <x:c r="I3132" s="34" t="str">
        <x:v>PASS</x:v>
      </x:c>
      <x:c r="J3132" s="34" t="str">
        <x:v>PASS</x:v>
      </x:c>
      <x:c r="K3132" s="34" t="str">
        <x:v>PASS</x:v>
      </x:c>
      <x:c r="L3132" s="34" t="str">
        <x:v>FAIL</x:v>
      </x:c>
      <x:c r="M3132" s="34" t="str">
        <x:v>numeric coverage for applicable metric</x:v>
      </x:c>
      <x:c r="N3132" s="34" t="str">
        <x:v>Feedback-Directed Random Test Generation/Result_Round2/Jsoup_61/result.json</x:v>
      </x:c>
      <x:c r="O3132" s="38" t="n">
        <x:f>IF(AND(G3132="RECORDED",ISNUMBER(H3132)),H3132,"")</x:f>
        <x:v>90.91</x:v>
      </x:c>
      <x:c r="P3132" s="34" t="str">
        <x:v>INCONCLUSIVE</x:v>
      </x:c>
      <x:c r="Q3132" s="34" t="str">
        <x:v>Feedback-Directed Random Test Generation/Result_Round2/Jsoup_61/result.json</x:v>
      </x:c>
    </x:row>
    <x:row r="3133">
      <x:c r="A3133" s="34" t="str">
        <x:v>randoop</x:v>
      </x:c>
      <x:c r="B3133" s="34" t="str">
        <x:v>Jsoup</x:v>
      </x:c>
      <x:c r="C3133" s="34" t="str">
        <x:v>Round2</x:v>
      </x:c>
      <x:c r="D3133" s="34" t="str">
        <x:v>Jsoup_62</x:v>
      </x:c>
      <x:c r="E3133" s="34" t="str">
        <x:v>Line</x:v>
      </x:c>
      <x:c r="F3133" s="34" t="n">
        <x:v>1103</x:v>
      </x:c>
      <x:c r="G3133" s="34" t="str">
        <x:v>RECORDED</x:v>
      </x:c>
      <x:c r="H3133" s="38" t="n">
        <x:f>IF(ISNUMBER('Data'!H1425),'Data'!H1425*100,"")</x:f>
        <x:v>6.619999999999999</x:v>
      </x:c>
      <x:c r="I3133" s="34" t="str">
        <x:v>PASS</x:v>
      </x:c>
      <x:c r="J3133" s="34" t="str">
        <x:v>PASS</x:v>
      </x:c>
      <x:c r="K3133" s="34" t="str">
        <x:v>PASS</x:v>
      </x:c>
      <x:c r="L3133" s="34" t="str">
        <x:v>PASS</x:v>
      </x:c>
      <x:c r="M3133" s="34" t="str">
        <x:v>numeric coverage for applicable metric</x:v>
      </x:c>
      <x:c r="N3133" s="34" t="str">
        <x:v>Feedback-Directed Random Test Generation/Result_Round2/Jsoup_62/result.json</x:v>
      </x:c>
      <x:c r="O3133" s="38" t="n">
        <x:f>IF(AND(G3133="RECORDED",ISNUMBER(H3133)),H3133,"")</x:f>
        <x:v>6.619999999999999</x:v>
      </x:c>
      <x:c r="P3133" s="34" t="str">
        <x:v>NOT_REVEALING</x:v>
      </x:c>
      <x:c r="Q3133" s="34" t="str">
        <x:v>Feedback-Directed Random Test Generation/Result_Round2/Jsoup_62/result.json</x:v>
      </x:c>
    </x:row>
    <x:row r="3134">
      <x:c r="A3134" s="34" t="str">
        <x:v>randoop</x:v>
      </x:c>
      <x:c r="B3134" s="34" t="str">
        <x:v>Jsoup</x:v>
      </x:c>
      <x:c r="C3134" s="34" t="str">
        <x:v>Round2</x:v>
      </x:c>
      <x:c r="D3134" s="34" t="str">
        <x:v>Jsoup_63</x:v>
      </x:c>
      <x:c r="E3134" s="34" t="str">
        <x:v>Line</x:v>
      </x:c>
      <x:c r="F3134" s="34" t="n">
        <x:v>543</x:v>
      </x:c>
      <x:c r="G3134" s="34" t="str">
        <x:v>RECORDED</x:v>
      </x:c>
      <x:c r="H3134" s="38" t="n">
        <x:f>IF(ISNUMBER('Data'!H1426),'Data'!H1426*100,"")</x:f>
        <x:v>66.3</x:v>
      </x:c>
      <x:c r="I3134" s="34" t="str">
        <x:v>PASS</x:v>
      </x:c>
      <x:c r="J3134" s="34" t="str">
        <x:v>PASS</x:v>
      </x:c>
      <x:c r="K3134" s="34" t="str">
        <x:v>PASS</x:v>
      </x:c>
      <x:c r="L3134" s="34" t="str">
        <x:v>FAIL</x:v>
      </x:c>
      <x:c r="M3134" s="34" t="str">
        <x:v>numeric coverage for applicable metric</x:v>
      </x:c>
      <x:c r="N3134" s="34" t="str">
        <x:v>Feedback-Directed Random Test Generation/Result_Round2/Jsoup_63/result.json</x:v>
      </x:c>
      <x:c r="O3134" s="38" t="n">
        <x:f>IF(AND(G3134="RECORDED",ISNUMBER(H3134)),H3134,"")</x:f>
        <x:v>66.3</x:v>
      </x:c>
      <x:c r="P3134" s="34" t="str">
        <x:v>NOT_AVAILABLE</x:v>
      </x:c>
      <x:c r="Q3134" s="34" t="str">
        <x:v>Feedback-Directed Random Test Generation/Result_Round2/Jsoup_63/result.json</x:v>
      </x:c>
    </x:row>
    <x:row r="3135">
      <x:c r="A3135" s="34" t="str">
        <x:v>randoop</x:v>
      </x:c>
      <x:c r="B3135" s="34" t="str">
        <x:v>Jsoup</x:v>
      </x:c>
      <x:c r="C3135" s="34" t="str">
        <x:v>Round2</x:v>
      </x:c>
      <x:c r="D3135" s="34" t="str">
        <x:v>Jsoup_64</x:v>
      </x:c>
      <x:c r="E3135" s="34" t="str">
        <x:v>Line</x:v>
      </x:c>
      <x:c r="F3135" s="34" t="n">
        <x:v>1100</x:v>
      </x:c>
      <x:c r="G3135" s="34" t="str">
        <x:v>RECORDED</x:v>
      </x:c>
      <x:c r="H3135" s="38" t="n">
        <x:f>IF(ISNUMBER('Data'!H1427),'Data'!H1427*100,"")</x:f>
        <x:v>6.64</x:v>
      </x:c>
      <x:c r="I3135" s="34" t="str">
        <x:v>PASS</x:v>
      </x:c>
      <x:c r="J3135" s="34" t="str">
        <x:v>PASS</x:v>
      </x:c>
      <x:c r="K3135" s="34" t="str">
        <x:v>PASS</x:v>
      </x:c>
      <x:c r="L3135" s="34" t="str">
        <x:v>PASS</x:v>
      </x:c>
      <x:c r="M3135" s="34" t="str">
        <x:v>numeric coverage for applicable metric</x:v>
      </x:c>
      <x:c r="N3135" s="34" t="str">
        <x:v>Feedback-Directed Random Test Generation/Result_Round2/Jsoup_64/result.json</x:v>
      </x:c>
      <x:c r="O3135" s="38" t="n">
        <x:f>IF(AND(G3135="RECORDED",ISNUMBER(H3135)),H3135,"")</x:f>
        <x:v>6.64</x:v>
      </x:c>
      <x:c r="P3135" s="34" t="str">
        <x:v>NOT_REVEALING</x:v>
      </x:c>
      <x:c r="Q3135" s="34" t="str">
        <x:v>Feedback-Directed Random Test Generation/Result_Round2/Jsoup_64/result.json</x:v>
      </x:c>
    </x:row>
    <x:row r="3136">
      <x:c r="A3136" s="34" t="str">
        <x:v>randoop</x:v>
      </x:c>
      <x:c r="B3136" s="34" t="str">
        <x:v>Jsoup</x:v>
      </x:c>
      <x:c r="C3136" s="34" t="str">
        <x:v>Round2</x:v>
      </x:c>
      <x:c r="D3136" s="34" t="str">
        <x:v>Jsoup_65</x:v>
      </x:c>
      <x:c r="E3136" s="34" t="str">
        <x:v>Line</x:v>
      </x:c>
      <x:c r="F3136" s="34" t="n">
        <x:v>1481</x:v>
      </x:c>
      <x:c r="G3136" s="34" t="str">
        <x:v>RECORDED</x:v>
      </x:c>
      <x:c r="H3136" s="38" t="n">
        <x:f>IF(ISNUMBER('Data'!H1428),'Data'!H1428*100,"")</x:f>
        <x:v>33.56</x:v>
      </x:c>
      <x:c r="I3136" s="34" t="str">
        <x:v>PASS</x:v>
      </x:c>
      <x:c r="J3136" s="34" t="str">
        <x:v>PASS</x:v>
      </x:c>
      <x:c r="K3136" s="34" t="str">
        <x:v>PASS</x:v>
      </x:c>
      <x:c r="L3136" s="34" t="str">
        <x:v>FAIL</x:v>
      </x:c>
      <x:c r="M3136" s="34" t="str">
        <x:v>numeric coverage for applicable metric</x:v>
      </x:c>
      <x:c r="N3136" s="34" t="str">
        <x:v>Feedback-Directed Random Test Generation/Result_Round2/Jsoup_65/result.json</x:v>
      </x:c>
      <x:c r="O3136" s="38" t="n">
        <x:f>IF(AND(G3136="RECORDED",ISNUMBER(H3136)),H3136,"")</x:f>
        <x:v>33.56</x:v>
      </x:c>
      <x:c r="P3136" s="34" t="str">
        <x:v>INCONCLUSIVE</x:v>
      </x:c>
      <x:c r="Q3136" s="34" t="str">
        <x:v>Feedback-Directed Random Test Generation/Result_Round2/Jsoup_65/result.json</x:v>
      </x:c>
    </x:row>
    <x:row r="3137">
      <x:c r="A3137" s="34" t="str">
        <x:v>randoop</x:v>
      </x:c>
      <x:c r="B3137" s="34" t="str">
        <x:v>Jsoup</x:v>
      </x:c>
      <x:c r="C3137" s="34" t="str">
        <x:v>Round2</x:v>
      </x:c>
      <x:c r="D3137" s="34" t="str">
        <x:v>Jsoup_66</x:v>
      </x:c>
      <x:c r="E3137" s="34" t="str">
        <x:v>Line</x:v>
      </x:c>
      <x:c r="F3137" s="34" t="n">
        <x:v>390</x:v>
      </x:c>
      <x:c r="G3137" s="34" t="str">
        <x:v>RECORDED</x:v>
      </x:c>
      <x:c r="H3137" s="38" t="n">
        <x:f>IF(ISNUMBER('Data'!H1429),'Data'!H1429*100,"")</x:f>
        <x:v>92.05</x:v>
      </x:c>
      <x:c r="I3137" s="34" t="str">
        <x:v>PASS</x:v>
      </x:c>
      <x:c r="J3137" s="34" t="str">
        <x:v>PASS</x:v>
      </x:c>
      <x:c r="K3137" s="34" t="str">
        <x:v>PASS</x:v>
      </x:c>
      <x:c r="L3137" s="34" t="str">
        <x:v>FAIL</x:v>
      </x:c>
      <x:c r="M3137" s="34" t="str">
        <x:v>numeric coverage for applicable metric</x:v>
      </x:c>
      <x:c r="N3137" s="34" t="str">
        <x:v>Feedback-Directed Random Test Generation/Result_Round2/Jsoup_66/result.json</x:v>
      </x:c>
      <x:c r="O3137" s="38" t="n">
        <x:f>IF(AND(G3137="RECORDED",ISNUMBER(H3137)),H3137,"")</x:f>
        <x:v>92.05</x:v>
      </x:c>
      <x:c r="P3137" s="34" t="str">
        <x:v>INCONCLUSIVE</x:v>
      </x:c>
      <x:c r="Q3137" s="34" t="str">
        <x:v>Feedback-Directed Random Test Generation/Result_Round2/Jsoup_66/result.json</x:v>
      </x:c>
    </x:row>
    <x:row r="3138">
      <x:c r="A3138" s="34" t="str">
        <x:v>randoop</x:v>
      </x:c>
      <x:c r="B3138" s="34" t="str">
        <x:v>Jsoup</x:v>
      </x:c>
      <x:c r="C3138" s="34" t="str">
        <x:v>Round2</x:v>
      </x:c>
      <x:c r="D3138" s="34" t="str">
        <x:v>Jsoup_67</x:v>
      </x:c>
      <x:c r="E3138" s="34" t="str">
        <x:v>Line</x:v>
      </x:c>
      <x:c r="F3138" s="34" t="n">
        <x:v>381</x:v>
      </x:c>
      <x:c r="G3138" s="34" t="str">
        <x:v>RECORDED</x:v>
      </x:c>
      <x:c r="H3138" s="38" t="n">
        <x:f>IF(ISNUMBER('Data'!H1430),'Data'!H1430*100,"")</x:f>
        <x:v>76.12</x:v>
      </x:c>
      <x:c r="I3138" s="34" t="str">
        <x:v>PASS</x:v>
      </x:c>
      <x:c r="J3138" s="34" t="str">
        <x:v>PASS</x:v>
      </x:c>
      <x:c r="K3138" s="34" t="str">
        <x:v>PASS</x:v>
      </x:c>
      <x:c r="L3138" s="34" t="str">
        <x:v>FAIL</x:v>
      </x:c>
      <x:c r="M3138" s="34" t="str">
        <x:v>numeric coverage for applicable metric</x:v>
      </x:c>
      <x:c r="N3138" s="34" t="str">
        <x:v>Feedback-Directed Random Test Generation/Result_Round2/Jsoup_67/result.json</x:v>
      </x:c>
      <x:c r="O3138" s="38" t="n">
        <x:f>IF(AND(G3138="RECORDED",ISNUMBER(H3138)),H3138,"")</x:f>
        <x:v>76.12</x:v>
      </x:c>
      <x:c r="P3138" s="34" t="str">
        <x:v>INCONCLUSIVE</x:v>
      </x:c>
      <x:c r="Q3138" s="34" t="str">
        <x:v>Feedback-Directed Random Test Generation/Result_Round2/Jsoup_67/result.json</x:v>
      </x:c>
    </x:row>
    <x:row r="3139">
      <x:c r="A3139" s="34" t="str">
        <x:v>randoop</x:v>
      </x:c>
      <x:c r="B3139" s="34" t="str">
        <x:v>Jsoup</x:v>
      </x:c>
      <x:c r="C3139" s="34" t="str">
        <x:v>Round2</x:v>
      </x:c>
      <x:c r="D3139" s="34" t="str">
        <x:v>Jsoup_68</x:v>
      </x:c>
      <x:c r="E3139" s="34" t="str">
        <x:v>Line</x:v>
      </x:c>
      <x:c r="F3139" s="34" t="n">
        <x:v>382</x:v>
      </x:c>
      <x:c r="G3139" s="34" t="str">
        <x:v>RECORDED</x:v>
      </x:c>
      <x:c r="H3139" s="38" t="n">
        <x:f>IF(ISNUMBER('Data'!H1431),'Data'!H1431*100,"")</x:f>
        <x:v>75.65</x:v>
      </x:c>
      <x:c r="I3139" s="34" t="str">
        <x:v>PASS</x:v>
      </x:c>
      <x:c r="J3139" s="34" t="str">
        <x:v>PASS</x:v>
      </x:c>
      <x:c r="K3139" s="34" t="str">
        <x:v>PASS</x:v>
      </x:c>
      <x:c r="L3139" s="34" t="str">
        <x:v>FAIL</x:v>
      </x:c>
      <x:c r="M3139" s="34" t="str">
        <x:v>numeric coverage for applicable metric</x:v>
      </x:c>
      <x:c r="N3139" s="34" t="str">
        <x:v>Feedback-Directed Random Test Generation/Result_Round2/Jsoup_68/result.json</x:v>
      </x:c>
      <x:c r="O3139" s="38" t="n">
        <x:f>IF(AND(G3139="RECORDED",ISNUMBER(H3139)),H3139,"")</x:f>
        <x:v>75.65</x:v>
      </x:c>
      <x:c r="P3139" s="34" t="str">
        <x:v>INCONCLUSIVE</x:v>
      </x:c>
      <x:c r="Q3139" s="34" t="str">
        <x:v>Feedback-Directed Random Test Generation/Result_Round2/Jsoup_68/result.json</x:v>
      </x:c>
    </x:row>
    <x:row r="3140">
      <x:c r="A3140" s="34" t="str">
        <x:v>randoop</x:v>
      </x:c>
      <x:c r="B3140" s="34" t="str">
        <x:v>Jsoup</x:v>
      </x:c>
      <x:c r="C3140" s="34" t="str">
        <x:v>Round2</x:v>
      </x:c>
      <x:c r="D3140" s="34" t="str">
        <x:v>Jsoup_69</x:v>
      </x:c>
      <x:c r="E3140" s="34" t="str">
        <x:v>Line</x:v>
      </x:c>
      <x:c r="F3140" s="34" t="n">
        <x:v>39</x:v>
      </x:c>
      <x:c r="G3140" s="34" t="str">
        <x:v>RECORDED</x:v>
      </x:c>
      <x:c r="H3140" s="38" t="n">
        <x:f>IF(ISNUMBER('Data'!H1432),'Data'!H1432*100,"")</x:f>
        <x:v>2.56</x:v>
      </x:c>
      <x:c r="I3140" s="34" t="str">
        <x:v>PASS</x:v>
      </x:c>
      <x:c r="J3140" s="34" t="str">
        <x:v>PASS</x:v>
      </x:c>
      <x:c r="K3140" s="34" t="str">
        <x:v>PASS</x:v>
      </x:c>
      <x:c r="L3140" s="34" t="str">
        <x:v>PASS</x:v>
      </x:c>
      <x:c r="M3140" s="34" t="str">
        <x:v>numeric coverage for applicable metric</x:v>
      </x:c>
      <x:c r="N3140" s="34" t="str">
        <x:v>Feedback-Directed Random Test Generation/Result_Round2/Jsoup_69/result.json</x:v>
      </x:c>
      <x:c r="O3140" s="38" t="n">
        <x:f>IF(AND(G3140="RECORDED",ISNUMBER(H3140)),H3140,"")</x:f>
        <x:v>2.56</x:v>
      </x:c>
      <x:c r="P3140" s="34" t="str">
        <x:v>NOT_REVEALING</x:v>
      </x:c>
      <x:c r="Q3140" s="34" t="str">
        <x:v>Feedback-Directed Random Test Generation/Result_Round2/Jsoup_69/result.json</x:v>
      </x:c>
    </x:row>
    <x:row r="3141">
      <x:c r="A3141" s="34" t="str">
        <x:v>randoop</x:v>
      </x:c>
      <x:c r="B3141" s="34" t="str">
        <x:v>Jsoup</x:v>
      </x:c>
      <x:c r="C3141" s="34" t="str">
        <x:v>Round2</x:v>
      </x:c>
      <x:c r="D3141" s="34" t="str">
        <x:v>Jsoup_70</x:v>
      </x:c>
      <x:c r="E3141" s="34" t="str">
        <x:v>Line</x:v>
      </x:c>
      <x:c r="F3141" s="34" t="n">
        <x:v>394</x:v>
      </x:c>
      <x:c r="G3141" s="34" t="str">
        <x:v>RECORDED</x:v>
      </x:c>
      <x:c r="H3141" s="38" t="n">
        <x:f>IF(ISNUMBER('Data'!H1433),'Data'!H1433*100,"")</x:f>
        <x:v>90.61</x:v>
      </x:c>
      <x:c r="I3141" s="34" t="str">
        <x:v>PASS</x:v>
      </x:c>
      <x:c r="J3141" s="34" t="str">
        <x:v>PASS</x:v>
      </x:c>
      <x:c r="K3141" s="34" t="str">
        <x:v>PASS</x:v>
      </x:c>
      <x:c r="L3141" s="34" t="str">
        <x:v>FAIL</x:v>
      </x:c>
      <x:c r="M3141" s="34" t="str">
        <x:v>numeric coverage for applicable metric</x:v>
      </x:c>
      <x:c r="N3141" s="34" t="str">
        <x:v>Feedback-Directed Random Test Generation/Result_Round2/Jsoup_70/result.json</x:v>
      </x:c>
      <x:c r="O3141" s="38" t="n">
        <x:f>IF(AND(G3141="RECORDED",ISNUMBER(H3141)),H3141,"")</x:f>
        <x:v>90.61</x:v>
      </x:c>
      <x:c r="P3141" s="34" t="str">
        <x:v>INCONCLUSIVE</x:v>
      </x:c>
      <x:c r="Q3141" s="34" t="str">
        <x:v>Feedback-Directed Random Test Generation/Result_Round2/Jsoup_70/result.json</x:v>
      </x:c>
    </x:row>
    <x:row r="3142">
      <x:c r="A3142" s="34" t="str">
        <x:v>randoop</x:v>
      </x:c>
      <x:c r="B3142" s="34" t="str">
        <x:v>Jsoup</x:v>
      </x:c>
      <x:c r="C3142" s="34" t="str">
        <x:v>Round2</x:v>
      </x:c>
      <x:c r="D3142" s="34" t="str">
        <x:v>Jsoup_71</x:v>
      </x:c>
      <x:c r="E3142" s="34" t="str">
        <x:v>Line</x:v>
      </x:c>
      <x:c r="F3142" s="34" t="n">
        <x:v>430</x:v>
      </x:c>
      <x:c r="G3142" s="34" t="str">
        <x:v>RECORDED</x:v>
      </x:c>
      <x:c r="H3142" s="38" t="n">
        <x:f>IF(ISNUMBER('Data'!H1434),'Data'!H1434*100,"")</x:f>
        <x:v>73.49</x:v>
      </x:c>
      <x:c r="I3142" s="34" t="str">
        <x:v>PASS</x:v>
      </x:c>
      <x:c r="J3142" s="34" t="str">
        <x:v>PASS</x:v>
      </x:c>
      <x:c r="K3142" s="34" t="str">
        <x:v>PASS</x:v>
      </x:c>
      <x:c r="L3142" s="34" t="str">
        <x:v>PASS</x:v>
      </x:c>
      <x:c r="M3142" s="34" t="str">
        <x:v>numeric coverage for applicable metric</x:v>
      </x:c>
      <x:c r="N3142" s="34" t="str">
        <x:v>Feedback-Directed Random Test Generation/Result_Round2/Jsoup_71/result.json</x:v>
      </x:c>
      <x:c r="O3142" s="38" t="n">
        <x:f>IF(AND(G3142="RECORDED",ISNUMBER(H3142)),H3142,"")</x:f>
        <x:v>73.49</x:v>
      </x:c>
      <x:c r="P3142" s="34" t="str">
        <x:v>NOT_REVEALING</x:v>
      </x:c>
      <x:c r="Q3142" s="34" t="str">
        <x:v>Feedback-Directed Random Test Generation/Result_Round2/Jsoup_71/result.json</x:v>
      </x:c>
    </x:row>
    <x:row r="3143">
      <x:c r="A3143" s="34" t="str">
        <x:v>randoop</x:v>
      </x:c>
      <x:c r="B3143" s="34" t="str">
        <x:v>Jsoup</x:v>
      </x:c>
      <x:c r="C3143" s="34" t="str">
        <x:v>Round2</x:v>
      </x:c>
      <x:c r="D3143" s="34" t="str">
        <x:v>Jsoup_72</x:v>
      </x:c>
      <x:c r="E3143" s="34" t="str">
        <x:v>Line</x:v>
      </x:c>
      <x:c r="F3143" s="34" t="n">
        <x:v>228</x:v>
      </x:c>
      <x:c r="G3143" s="34" t="str">
        <x:v>RECORDED</x:v>
      </x:c>
      <x:c r="H3143" s="38" t="n">
        <x:f>IF(ISNUMBER('Data'!H1435),'Data'!H1435*100,"")</x:f>
        <x:v>92.98</x:v>
      </x:c>
      <x:c r="I3143" s="34" t="str">
        <x:v>PASS</x:v>
      </x:c>
      <x:c r="J3143" s="34" t="str">
        <x:v>PASS</x:v>
      </x:c>
      <x:c r="K3143" s="34" t="str">
        <x:v>PASS</x:v>
      </x:c>
      <x:c r="L3143" s="34" t="str">
        <x:v>PASS</x:v>
      </x:c>
      <x:c r="M3143" s="34" t="str">
        <x:v>numeric coverage for applicable metric</x:v>
      </x:c>
      <x:c r="N3143" s="34" t="str">
        <x:v>Feedback-Directed Random Test Generation/Result_Round2/Jsoup_72/result.json</x:v>
      </x:c>
      <x:c r="O3143" s="38" t="n">
        <x:f>IF(AND(G3143="RECORDED",ISNUMBER(H3143)),H3143,"")</x:f>
        <x:v>92.98</x:v>
      </x:c>
      <x:c r="P3143" s="34" t="str">
        <x:v>INCONCLUSIVE</x:v>
      </x:c>
      <x:c r="Q3143" s="34" t="str">
        <x:v>Feedback-Directed Random Test Generation/Result_Round2/Jsoup_72/result.json</x:v>
      </x:c>
    </x:row>
    <x:row r="3144">
      <x:c r="A3144" s="34" t="str">
        <x:v>randoop</x:v>
      </x:c>
      <x:c r="B3144" s="34" t="str">
        <x:v>Jsoup</x:v>
      </x:c>
      <x:c r="C3144" s="34" t="str">
        <x:v>Round2</x:v>
      </x:c>
      <x:c r="D3144" s="34" t="str">
        <x:v>Jsoup_73</x:v>
      </x:c>
      <x:c r="E3144" s="34" t="str">
        <x:v>Line</x:v>
      </x:c>
      <x:c r="F3144" s="34" t="n">
        <x:v>71</x:v>
      </x:c>
      <x:c r="G3144" s="34" t="str">
        <x:v>RECORDED</x:v>
      </x:c>
      <x:c r="H3144" s="38" t="n">
        <x:f>IF(ISNUMBER('Data'!H1436),'Data'!H1436*100,"")</x:f>
        <x:v>26.76</x:v>
      </x:c>
      <x:c r="I3144" s="34" t="str">
        <x:v>PASS</x:v>
      </x:c>
      <x:c r="J3144" s="34" t="str">
        <x:v>PASS</x:v>
      </x:c>
      <x:c r="K3144" s="34" t="str">
        <x:v>PASS</x:v>
      </x:c>
      <x:c r="L3144" s="34" t="str">
        <x:v>PASS</x:v>
      </x:c>
      <x:c r="M3144" s="34" t="str">
        <x:v>numeric coverage for applicable metric</x:v>
      </x:c>
      <x:c r="N3144" s="34" t="str">
        <x:v>Feedback-Directed Random Test Generation/Result_Round2/Jsoup_73/result.json</x:v>
      </x:c>
      <x:c r="O3144" s="38" t="n">
        <x:f>IF(AND(G3144="RECORDED",ISNUMBER(H3144)),H3144,"")</x:f>
        <x:v>26.76</x:v>
      </x:c>
      <x:c r="P3144" s="34" t="str">
        <x:v>INCONCLUSIVE</x:v>
      </x:c>
      <x:c r="Q3144" s="34" t="str">
        <x:v>Feedback-Directed Random Test Generation/Result_Round2/Jsoup_73/result.json</x:v>
      </x:c>
    </x:row>
    <x:row r="3145">
      <x:c r="A3145" s="34" t="str">
        <x:v>randoop</x:v>
      </x:c>
      <x:c r="B3145" s="34" t="str">
        <x:v>Jsoup</x:v>
      </x:c>
      <x:c r="C3145" s="34" t="str">
        <x:v>Round2</x:v>
      </x:c>
      <x:c r="D3145" s="34" t="str">
        <x:v>Jsoup_74</x:v>
      </x:c>
      <x:c r="E3145" s="34" t="str">
        <x:v>Line</x:v>
      </x:c>
      <x:c r="F3145" s="34" t="n">
        <x:v>83</x:v>
      </x:c>
      <x:c r="G3145" s="34" t="str">
        <x:v>RECORDED</x:v>
      </x:c>
      <x:c r="H3145" s="38" t="n">
        <x:f>IF(ISNUMBER('Data'!H1437),'Data'!H1437*100,"")</x:f>
        <x:v>89.16</x:v>
      </x:c>
      <x:c r="I3145" s="34" t="str">
        <x:v>PASS</x:v>
      </x:c>
      <x:c r="J3145" s="34" t="str">
        <x:v>PASS</x:v>
      </x:c>
      <x:c r="K3145" s="34" t="str">
        <x:v>PASS</x:v>
      </x:c>
      <x:c r="L3145" s="34" t="str">
        <x:v>PASS</x:v>
      </x:c>
      <x:c r="M3145" s="34" t="str">
        <x:v>numeric coverage for applicable metric</x:v>
      </x:c>
      <x:c r="N3145" s="34" t="str">
        <x:v>Feedback-Directed Random Test Generation/Result_Round2/Jsoup_74/result.json</x:v>
      </x:c>
      <x:c r="O3145" s="38" t="n">
        <x:f>IF(AND(G3145="RECORDED",ISNUMBER(H3145)),H3145,"")</x:f>
        <x:v>89.16</x:v>
      </x:c>
      <x:c r="P3145" s="34" t="str">
        <x:v>NOT_REVEALING</x:v>
      </x:c>
      <x:c r="Q3145" s="34" t="str">
        <x:v>Feedback-Directed Random Test Generation/Result_Round2/Jsoup_74/result.json</x:v>
      </x:c>
    </x:row>
    <x:row r="3146">
      <x:c r="A3146" s="34" t="str">
        <x:v>randoop</x:v>
      </x:c>
      <x:c r="B3146" s="34" t="str">
        <x:v>Jsoup</x:v>
      </x:c>
      <x:c r="C3146" s="34" t="str">
        <x:v>Round2</x:v>
      </x:c>
      <x:c r="D3146" s="34" t="str">
        <x:v>Jsoup_75</x:v>
      </x:c>
      <x:c r="E3146" s="34" t="str">
        <x:v>Line</x:v>
      </x:c>
      <x:c r="F3146" s="34" t="n">
        <x:v>168</x:v>
      </x:c>
      <x:c r="G3146" s="34" t="str">
        <x:v>RECORDED</x:v>
      </x:c>
      <x:c r="H3146" s="38" t="n">
        <x:f>IF(ISNUMBER('Data'!H1438),'Data'!H1438*100,"")</x:f>
        <x:v>80.36</x:v>
      </x:c>
      <x:c r="I3146" s="34" t="str">
        <x:v>PASS</x:v>
      </x:c>
      <x:c r="J3146" s="34" t="str">
        <x:v>PASS</x:v>
      </x:c>
      <x:c r="K3146" s="34" t="str">
        <x:v>PASS</x:v>
      </x:c>
      <x:c r="L3146" s="34" t="str">
        <x:v>PASS</x:v>
      </x:c>
      <x:c r="M3146" s="34" t="str">
        <x:v>numeric coverage for applicable metric</x:v>
      </x:c>
      <x:c r="N3146" s="34" t="str">
        <x:v>Feedback-Directed Random Test Generation/Result_Round2/Jsoup_75/result.json</x:v>
      </x:c>
      <x:c r="O3146" s="38" t="n">
        <x:f>IF(AND(G3146="RECORDED",ISNUMBER(H3146)),H3146,"")</x:f>
        <x:v>80.36</x:v>
      </x:c>
      <x:c r="P3146" s="34" t="str">
        <x:v>INCONCLUSIVE</x:v>
      </x:c>
      <x:c r="Q3146" s="34" t="str">
        <x:v>Feedback-Directed Random Test Generation/Result_Round2/Jsoup_75/result.json</x:v>
      </x:c>
    </x:row>
    <x:row r="3147">
      <x:c r="A3147" s="34" t="str">
        <x:v>randoop</x:v>
      </x:c>
      <x:c r="B3147" s="34" t="str">
        <x:v>Jsoup</x:v>
      </x:c>
      <x:c r="C3147" s="34" t="str">
        <x:v>Round2</x:v>
      </x:c>
      <x:c r="D3147" s="34" t="str">
        <x:v>Jsoup_76</x:v>
      </x:c>
      <x:c r="E3147" s="34" t="str">
        <x:v>Line</x:v>
      </x:c>
      <x:c r="F3147" s="34" t="n">
        <x:v>1105</x:v>
      </x:c>
      <x:c r="G3147" s="34" t="str">
        <x:v>RECORDED</x:v>
      </x:c>
      <x:c r="H3147" s="38" t="n">
        <x:f>IF(ISNUMBER('Data'!H1439),'Data'!H1439*100,"")</x:f>
        <x:v>6.61</x:v>
      </x:c>
      <x:c r="I3147" s="34" t="str">
        <x:v>PASS</x:v>
      </x:c>
      <x:c r="J3147" s="34" t="str">
        <x:v>PASS</x:v>
      </x:c>
      <x:c r="K3147" s="34" t="str">
        <x:v>PASS</x:v>
      </x:c>
      <x:c r="L3147" s="34" t="str">
        <x:v>PASS</x:v>
      </x:c>
      <x:c r="M3147" s="34" t="str">
        <x:v>numeric coverage for applicable metric</x:v>
      </x:c>
      <x:c r="N3147" s="34" t="str">
        <x:v>Feedback-Directed Random Test Generation/Result_Round2/Jsoup_76/result.json</x:v>
      </x:c>
      <x:c r="O3147" s="38" t="n">
        <x:f>IF(AND(G3147="RECORDED",ISNUMBER(H3147)),H3147,"")</x:f>
        <x:v>6.61</x:v>
      </x:c>
      <x:c r="P3147" s="34" t="str">
        <x:v>NOT_REVEALING</x:v>
      </x:c>
      <x:c r="Q3147" s="34" t="str">
        <x:v>Feedback-Directed Random Test Generation/Result_Round2/Jsoup_76/result.json</x:v>
      </x:c>
    </x:row>
    <x:row r="3148">
      <x:c r="A3148" s="34" t="str">
        <x:v>randoop</x:v>
      </x:c>
      <x:c r="B3148" s="34" t="str">
        <x:v>Jsoup</x:v>
      </x:c>
      <x:c r="C3148" s="34" t="str">
        <x:v>Round2</x:v>
      </x:c>
      <x:c r="D3148" s="34" t="str">
        <x:v>Jsoup_77</x:v>
      </x:c>
      <x:c r="E3148" s="34" t="str">
        <x:v>Line</x:v>
      </x:c>
      <x:c r="F3148" s="34" t="n">
        <x:v>69</x:v>
      </x:c>
      <x:c r="G3148" s="34" t="str">
        <x:v>RECORDED</x:v>
      </x:c>
      <x:c r="H3148" s="38" t="n">
        <x:f>IF(ISNUMBER('Data'!H1440),'Data'!H1440*100,"")</x:f>
        <x:v>46.38</x:v>
      </x:c>
      <x:c r="I3148" s="34" t="str">
        <x:v>PASS</x:v>
      </x:c>
      <x:c r="J3148" s="34" t="str">
        <x:v>PASS</x:v>
      </x:c>
      <x:c r="K3148" s="34" t="str">
        <x:v>PASS</x:v>
      </x:c>
      <x:c r="L3148" s="34" t="str">
        <x:v>PASS</x:v>
      </x:c>
      <x:c r="M3148" s="34" t="str">
        <x:v>numeric coverage for applicable metric</x:v>
      </x:c>
      <x:c r="N3148" s="34" t="str">
        <x:v>Feedback-Directed Random Test Generation/Result_Round2/Jsoup_77/result.json</x:v>
      </x:c>
      <x:c r="O3148" s="38" t="n">
        <x:f>IF(AND(G3148="RECORDED",ISNUMBER(H3148)),H3148,"")</x:f>
        <x:v>46.38</x:v>
      </x:c>
      <x:c r="P3148" s="34" t="str">
        <x:v>NOT_REVEALING</x:v>
      </x:c>
      <x:c r="Q3148" s="34" t="str">
        <x:v>Feedback-Directed Random Test Generation/Result_Round2/Jsoup_77/result.json</x:v>
      </x:c>
    </x:row>
    <x:row r="3149">
      <x:c r="A3149" s="34" t="str">
        <x:v>randoop</x:v>
      </x:c>
      <x:c r="B3149" s="34" t="str">
        <x:v>Jsoup</x:v>
      </x:c>
      <x:c r="C3149" s="34" t="str">
        <x:v>Round2</x:v>
      </x:c>
      <x:c r="D3149" s="34" t="str">
        <x:v>Jsoup_78</x:v>
      </x:c>
      <x:c r="E3149" s="34" t="str">
        <x:v>Line</x:v>
      </x:c>
      <x:c r="F3149" s="34" t="n">
        <x:v>109</x:v>
      </x:c>
      <x:c r="G3149" s="34" t="str">
        <x:v>RECORDED</x:v>
      </x:c>
      <x:c r="H3149" s="38" t="n">
        <x:f>IF(ISNUMBER('Data'!H1441),'Data'!H1441*100,"")</x:f>
        <x:v>25.69</x:v>
      </x:c>
      <x:c r="I3149" s="34" t="str">
        <x:v>PASS</x:v>
      </x:c>
      <x:c r="J3149" s="34" t="str">
        <x:v>PASS</x:v>
      </x:c>
      <x:c r="K3149" s="34" t="str">
        <x:v>PASS</x:v>
      </x:c>
      <x:c r="L3149" s="34" t="str">
        <x:v>PASS</x:v>
      </x:c>
      <x:c r="M3149" s="34" t="str">
        <x:v>numeric coverage for applicable metric</x:v>
      </x:c>
      <x:c r="N3149" s="34" t="str">
        <x:v>Feedback-Directed Random Test Generation/Result_Round2/Jsoup_78/result.json</x:v>
      </x:c>
      <x:c r="O3149" s="38" t="n">
        <x:f>IF(AND(G3149="RECORDED",ISNUMBER(H3149)),H3149,"")</x:f>
        <x:v>25.69</x:v>
      </x:c>
      <x:c r="P3149" s="34" t="str">
        <x:v>NOT_REVEALING</x:v>
      </x:c>
      <x:c r="Q3149" s="34" t="str">
        <x:v>Feedback-Directed Random Test Generation/Result_Round2/Jsoup_78/result.json</x:v>
      </x:c>
    </x:row>
    <x:row r="3150">
      <x:c r="A3150" s="34" t="str">
        <x:v>randoop</x:v>
      </x:c>
      <x:c r="B3150" s="34" t="str">
        <x:v>Jsoup</x:v>
      </x:c>
      <x:c r="C3150" s="34" t="str">
        <x:v>Round2</x:v>
      </x:c>
      <x:c r="D3150" s="34" t="str">
        <x:v>Jsoup_79</x:v>
      </x:c>
      <x:c r="E3150" s="34" t="str">
        <x:v>Line</x:v>
      </x:c>
      <x:c r="F3150" s="34" t="n">
        <x:v>33</x:v>
      </x:c>
      <x:c r="G3150" s="34" t="str">
        <x:v>RECORDED</x:v>
      </x:c>
      <x:c r="H3150" s="38" t="n">
        <x:f>IF(ISNUMBER('Data'!H1442),'Data'!H1442*100,"")</x:f>
        <x:v>0</x:v>
      </x:c>
      <x:c r="I3150" s="34" t="str">
        <x:v>PASS</x:v>
      </x:c>
      <x:c r="J3150" s="34" t="str">
        <x:v>PASS</x:v>
      </x:c>
      <x:c r="K3150" s="34" t="str">
        <x:v>PASS</x:v>
      </x:c>
      <x:c r="L3150" s="34" t="str">
        <x:v>PASS</x:v>
      </x:c>
      <x:c r="M3150" s="34" t="str">
        <x:v>numeric coverage for applicable metric</x:v>
      </x:c>
      <x:c r="N3150" s="34" t="str">
        <x:v>Feedback-Directed Random Test Generation/Result_Round2/Jsoup_79/result.json</x:v>
      </x:c>
      <x:c r="O3150" s="38" t="n">
        <x:f>IF(AND(G3150="RECORDED",ISNUMBER(H3150)),H3150,"")</x:f>
        <x:v>0</x:v>
      </x:c>
      <x:c r="P3150" s="34" t="str">
        <x:v>NOT_REVEALING</x:v>
      </x:c>
      <x:c r="Q3150" s="34" t="str">
        <x:v>Feedback-Directed Random Test Generation/Result_Round2/Jsoup_79/result.json</x:v>
      </x:c>
    </x:row>
    <x:row r="3151">
      <x:c r="A3151" s="34" t="str">
        <x:v>randoop</x:v>
      </x:c>
      <x:c r="B3151" s="34" t="str">
        <x:v>Jsoup</x:v>
      </x:c>
      <x:c r="C3151" s="34" t="str">
        <x:v>Round2</x:v>
      </x:c>
      <x:c r="D3151" s="34" t="str">
        <x:v>Jsoup_80</x:v>
      </x:c>
      <x:c r="E3151" s="34" t="str">
        <x:v>Line</x:v>
      </x:c>
      <x:c r="F3151" s="34" t="n">
        <x:v>69</x:v>
      </x:c>
      <x:c r="G3151" s="34" t="str">
        <x:v>RECORDED</x:v>
      </x:c>
      <x:c r="H3151" s="38" t="n">
        <x:f>IF(ISNUMBER('Data'!H1443),'Data'!H1443*100,"")</x:f>
        <x:v>46.38</x:v>
      </x:c>
      <x:c r="I3151" s="34" t="str">
        <x:v>PASS</x:v>
      </x:c>
      <x:c r="J3151" s="34" t="str">
        <x:v>PASS</x:v>
      </x:c>
      <x:c r="K3151" s="34" t="str">
        <x:v>PASS</x:v>
      </x:c>
      <x:c r="L3151" s="34" t="str">
        <x:v>PASS</x:v>
      </x:c>
      <x:c r="M3151" s="34" t="str">
        <x:v>numeric coverage for applicable metric</x:v>
      </x:c>
      <x:c r="N3151" s="34" t="str">
        <x:v>Feedback-Directed Random Test Generation/Result_Round2/Jsoup_80/result.json</x:v>
      </x:c>
      <x:c r="O3151" s="38" t="n">
        <x:f>IF(AND(G3151="RECORDED",ISNUMBER(H3151)),H3151,"")</x:f>
        <x:v>46.38</x:v>
      </x:c>
      <x:c r="P3151" s="34" t="str">
        <x:v>NOT_REVEALING</x:v>
      </x:c>
      <x:c r="Q3151" s="34" t="str">
        <x:v>Feedback-Directed Random Test Generation/Result_Round2/Jsoup_80/result.json</x:v>
      </x:c>
    </x:row>
    <x:row r="3152">
      <x:c r="A3152" s="34" t="str">
        <x:v>randoop</x:v>
      </x:c>
      <x:c r="B3152" s="34" t="str">
        <x:v>Jsoup</x:v>
      </x:c>
      <x:c r="C3152" s="34" t="str">
        <x:v>Round2</x:v>
      </x:c>
      <x:c r="D3152" s="34" t="str">
        <x:v>Jsoup_81</x:v>
      </x:c>
      <x:c r="E3152" s="34" t="str">
        <x:v>Line</x:v>
      </x:c>
      <x:c r="F3152" s="34" t="n">
        <x:v>117</x:v>
      </x:c>
      <x:c r="G3152" s="34" t="str">
        <x:v>RECORDED</x:v>
      </x:c>
      <x:c r="H3152" s="38" t="n">
        <x:f>IF(ISNUMBER('Data'!H1444),'Data'!H1444*100,"")</x:f>
        <x:v>23.93</x:v>
      </x:c>
      <x:c r="I3152" s="34" t="str">
        <x:v>PASS</x:v>
      </x:c>
      <x:c r="J3152" s="34" t="str">
        <x:v>PASS</x:v>
      </x:c>
      <x:c r="K3152" s="34" t="str">
        <x:v>PASS</x:v>
      </x:c>
      <x:c r="L3152" s="34" t="str">
        <x:v>PASS</x:v>
      </x:c>
      <x:c r="M3152" s="34" t="str">
        <x:v>numeric coverage for applicable metric</x:v>
      </x:c>
      <x:c r="N3152" s="34" t="str">
        <x:v>Feedback-Directed Random Test Generation/Result_Round2/Jsoup_81/result.json</x:v>
      </x:c>
      <x:c r="O3152" s="38" t="n">
        <x:f>IF(AND(G3152="RECORDED",ISNUMBER(H3152)),H3152,"")</x:f>
        <x:v>23.93</x:v>
      </x:c>
      <x:c r="P3152" s="34" t="str">
        <x:v>NOT_REVEALING</x:v>
      </x:c>
      <x:c r="Q3152" s="34" t="str">
        <x:v>Feedback-Directed Random Test Generation/Result_Round2/Jsoup_81/result.json</x:v>
      </x:c>
    </x:row>
    <x:row r="3153">
      <x:c r="A3153" s="34" t="str">
        <x:v>randoop</x:v>
      </x:c>
      <x:c r="B3153" s="34" t="str">
        <x:v>Jsoup</x:v>
      </x:c>
      <x:c r="C3153" s="34" t="str">
        <x:v>Round2</x:v>
      </x:c>
      <x:c r="D3153" s="34" t="str">
        <x:v>Jsoup_82</x:v>
      </x:c>
      <x:c r="E3153" s="34" t="str">
        <x:v>Line</x:v>
      </x:c>
      <x:c r="F3153" s="34" t="n">
        <x:v>113</x:v>
      </x:c>
      <x:c r="G3153" s="34" t="str">
        <x:v>RECORDED</x:v>
      </x:c>
      <x:c r="H3153" s="38" t="n">
        <x:f>IF(ISNUMBER('Data'!H1445),'Data'!H1445*100,"")</x:f>
        <x:v>20.35</x:v>
      </x:c>
      <x:c r="I3153" s="34" t="str">
        <x:v>PASS</x:v>
      </x:c>
      <x:c r="J3153" s="34" t="str">
        <x:v>PASS</x:v>
      </x:c>
      <x:c r="K3153" s="34" t="str">
        <x:v>PASS</x:v>
      </x:c>
      <x:c r="L3153" s="34" t="str">
        <x:v>PASS</x:v>
      </x:c>
      <x:c r="M3153" s="34" t="str">
        <x:v>numeric coverage for applicable metric</x:v>
      </x:c>
      <x:c r="N3153" s="34" t="str">
        <x:v>Feedback-Directed Random Test Generation/Result_Round2/Jsoup_82/result.json</x:v>
      </x:c>
      <x:c r="O3153" s="38" t="n">
        <x:f>IF(AND(G3153="RECORDED",ISNUMBER(H3153)),H3153,"")</x:f>
        <x:v>20.35</x:v>
      </x:c>
      <x:c r="P3153" s="34" t="str">
        <x:v>NOT_REVEALING</x:v>
      </x:c>
      <x:c r="Q3153" s="34" t="str">
        <x:v>Feedback-Directed Random Test Generation/Result_Round2/Jsoup_82/result.json</x:v>
      </x:c>
    </x:row>
    <x:row r="3154">
      <x:c r="A3154" s="34" t="str">
        <x:v>randoop</x:v>
      </x:c>
      <x:c r="B3154" s="34" t="str">
        <x:v>Jsoup</x:v>
      </x:c>
      <x:c r="C3154" s="34" t="str">
        <x:v>Round2</x:v>
      </x:c>
      <x:c r="D3154" s="34" t="str">
        <x:v>Jsoup_83</x:v>
      </x:c>
      <x:c r="E3154" s="34" t="str">
        <x:v>Line</x:v>
      </x:c>
      <x:c r="F3154" s="34" t="n">
        <x:v>1393</x:v>
      </x:c>
      <x:c r="G3154" s="34" t="str">
        <x:v>RECORDED</x:v>
      </x:c>
      <x:c r="H3154" s="38" t="n">
        <x:f>IF(ISNUMBER('Data'!H1446),'Data'!H1446*100,"")</x:f>
        <x:v>40.85</x:v>
      </x:c>
      <x:c r="I3154" s="34" t="str">
        <x:v>PASS</x:v>
      </x:c>
      <x:c r="J3154" s="34" t="str">
        <x:v>PASS</x:v>
      </x:c>
      <x:c r="K3154" s="34" t="str">
        <x:v>PASS</x:v>
      </x:c>
      <x:c r="L3154" s="34" t="str">
        <x:v>PASS</x:v>
      </x:c>
      <x:c r="M3154" s="34" t="str">
        <x:v>numeric coverage for applicable metric</x:v>
      </x:c>
      <x:c r="N3154" s="34" t="str">
        <x:v>Feedback-Directed Random Test Generation/Result_Round2/Jsoup_83/result.json</x:v>
      </x:c>
      <x:c r="O3154" s="38" t="n">
        <x:f>IF(AND(G3154="RECORDED",ISNUMBER(H3154)),H3154,"")</x:f>
        <x:v>40.85</x:v>
      </x:c>
      <x:c r="P3154" s="34" t="str">
        <x:v>NOT_REVEALING</x:v>
      </x:c>
      <x:c r="Q3154" s="34" t="str">
        <x:v>Feedback-Directed Random Test Generation/Result_Round2/Jsoup_83/result.json</x:v>
      </x:c>
    </x:row>
    <x:row r="3155">
      <x:c r="A3155" s="34" t="str">
        <x:v>randoop</x:v>
      </x:c>
      <x:c r="B3155" s="34" t="str">
        <x:v>Jsoup</x:v>
      </x:c>
      <x:c r="C3155" s="34" t="str">
        <x:v>Round2</x:v>
      </x:c>
      <x:c r="D3155" s="34" t="str">
        <x:v>Jsoup_84</x:v>
      </x:c>
      <x:c r="E3155" s="34" t="str">
        <x:v>Line</x:v>
      </x:c>
      <x:c r="F3155" s="34" t="n">
        <x:v>76</x:v>
      </x:c>
      <x:c r="G3155" s="34" t="str">
        <x:v>RECORDED</x:v>
      </x:c>
      <x:c r="H3155" s="38" t="n">
        <x:f>IF(ISNUMBER('Data'!H1447),'Data'!H1447*100,"")</x:f>
        <x:v>28.95</x:v>
      </x:c>
      <x:c r="I3155" s="34" t="str">
        <x:v>PASS</x:v>
      </x:c>
      <x:c r="J3155" s="34" t="str">
        <x:v>PASS</x:v>
      </x:c>
      <x:c r="K3155" s="34" t="str">
        <x:v>PASS</x:v>
      </x:c>
      <x:c r="L3155" s="34" t="str">
        <x:v>PASS</x:v>
      </x:c>
      <x:c r="M3155" s="34" t="str">
        <x:v>numeric coverage for applicable metric</x:v>
      </x:c>
      <x:c r="N3155" s="34" t="str">
        <x:v>Feedback-Directed Random Test Generation/Result_Round2/Jsoup_84/result.json</x:v>
      </x:c>
      <x:c r="O3155" s="38" t="n">
        <x:f>IF(AND(G3155="RECORDED",ISNUMBER(H3155)),H3155,"")</x:f>
        <x:v>28.95</x:v>
      </x:c>
      <x:c r="P3155" s="34" t="str">
        <x:v>NOT_REVEALING</x:v>
      </x:c>
      <x:c r="Q3155" s="34" t="str">
        <x:v>Feedback-Directed Random Test Generation/Result_Round2/Jsoup_84/result.json</x:v>
      </x:c>
    </x:row>
    <x:row r="3156">
      <x:c r="A3156" s="34" t="str">
        <x:v>randoop</x:v>
      </x:c>
      <x:c r="B3156" s="34" t="str">
        <x:v>Jsoup</x:v>
      </x:c>
      <x:c r="C3156" s="34" t="str">
        <x:v>Round2</x:v>
      </x:c>
      <x:c r="D3156" s="34" t="str">
        <x:v>Jsoup_85</x:v>
      </x:c>
      <x:c r="E3156" s="34" t="str">
        <x:v>Line</x:v>
      </x:c>
      <x:c r="F3156" s="34" t="n">
        <x:v>65</x:v>
      </x:c>
      <x:c r="G3156" s="34" t="str">
        <x:v>RECORDED</x:v>
      </x:c>
      <x:c r="H3156" s="38" t="n">
        <x:f>IF(ISNUMBER('Data'!H1448),'Data'!H1448*100,"")</x:f>
        <x:v>73.85</x:v>
      </x:c>
      <x:c r="I3156" s="34" t="str">
        <x:v>PASS</x:v>
      </x:c>
      <x:c r="J3156" s="34" t="str">
        <x:v>PASS</x:v>
      </x:c>
      <x:c r="K3156" s="34" t="str">
        <x:v>PASS</x:v>
      </x:c>
      <x:c r="L3156" s="34" t="str">
        <x:v>FAIL</x:v>
      </x:c>
      <x:c r="M3156" s="34" t="str">
        <x:v>numeric coverage for applicable metric</x:v>
      </x:c>
      <x:c r="N3156" s="34" t="str">
        <x:v>Feedback-Directed Random Test Generation/Result_Round2/Jsoup_85/result.json</x:v>
      </x:c>
      <x:c r="O3156" s="38" t="n">
        <x:f>IF(AND(G3156="RECORDED",ISNUMBER(H3156)),H3156,"")</x:f>
        <x:v>73.85</x:v>
      </x:c>
      <x:c r="P3156" s="34" t="str">
        <x:v>INCONCLUSIVE</x:v>
      </x:c>
      <x:c r="Q3156" s="34" t="str">
        <x:v>Feedback-Directed Random Test Generation/Result_Round2/Jsoup_85/result.json</x:v>
      </x:c>
    </x:row>
    <x:row r="3157">
      <x:c r="A3157" s="34" t="str">
        <x:v>randoop</x:v>
      </x:c>
      <x:c r="B3157" s="34" t="str">
        <x:v>Jsoup</x:v>
      </x:c>
      <x:c r="C3157" s="34" t="str">
        <x:v>Round2</x:v>
      </x:c>
      <x:c r="D3157" s="34" t="str">
        <x:v>Jsoup_86</x:v>
      </x:c>
      <x:c r="E3157" s="34" t="str">
        <x:v>Line</x:v>
      </x:c>
      <x:c r="F3157" s="34" t="n">
        <x:v>27</x:v>
      </x:c>
      <x:c r="G3157" s="34" t="str">
        <x:v>RECORDED</x:v>
      </x:c>
      <x:c r="H3157" s="38" t="n">
        <x:f>IF(ISNUMBER('Data'!H1449),'Data'!H1449*100,"")</x:f>
        <x:v>100</x:v>
      </x:c>
      <x:c r="I3157" s="34" t="str">
        <x:v>PASS</x:v>
      </x:c>
      <x:c r="J3157" s="34" t="str">
        <x:v>PASS</x:v>
      </x:c>
      <x:c r="K3157" s="34" t="str">
        <x:v>PASS</x:v>
      </x:c>
      <x:c r="L3157" s="34" t="str">
        <x:v>FAIL</x:v>
      </x:c>
      <x:c r="M3157" s="34" t="str">
        <x:v>numeric coverage for applicable metric</x:v>
      </x:c>
      <x:c r="N3157" s="34" t="str">
        <x:v>Feedback-Directed Random Test Generation/Result_Round2/Jsoup_86/result.json</x:v>
      </x:c>
      <x:c r="O3157" s="38" t="n">
        <x:f>IF(AND(G3157="RECORDED",ISNUMBER(H3157)),H3157,"")</x:f>
        <x:v>100</x:v>
      </x:c>
      <x:c r="P3157" s="34" t="str">
        <x:v>INCONCLUSIVE</x:v>
      </x:c>
      <x:c r="Q3157" s="34" t="str">
        <x:v>Feedback-Directed Random Test Generation/Result_Round2/Jsoup_86/result.json</x:v>
      </x:c>
    </x:row>
    <x:row r="3158">
      <x:c r="A3158" s="34" t="str">
        <x:v>randoop</x:v>
      </x:c>
      <x:c r="B3158" s="34" t="str">
        <x:v>Jsoup</x:v>
      </x:c>
      <x:c r="C3158" s="34" t="str">
        <x:v>Round2</x:v>
      </x:c>
      <x:c r="D3158" s="34" t="str">
        <x:v>Jsoup_87</x:v>
      </x:c>
      <x:c r="E3158" s="34" t="str">
        <x:v>Line</x:v>
      </x:c>
      <x:c r="F3158" s="34" t="n">
        <x:v>2006</x:v>
      </x:c>
      <x:c r="G3158" s="34" t="str">
        <x:v>RECORDED</x:v>
      </x:c>
      <x:c r="H3158" s="38" t="n">
        <x:f>IF(ISNUMBER('Data'!H1450),'Data'!H1450*100,"")</x:f>
        <x:v>44.42</x:v>
      </x:c>
      <x:c r="I3158" s="34" t="str">
        <x:v>PASS</x:v>
      </x:c>
      <x:c r="J3158" s="34" t="str">
        <x:v>PASS</x:v>
      </x:c>
      <x:c r="K3158" s="34" t="str">
        <x:v>PASS</x:v>
      </x:c>
      <x:c r="L3158" s="34" t="str">
        <x:v>FAIL</x:v>
      </x:c>
      <x:c r="M3158" s="34" t="str">
        <x:v>numeric coverage for applicable metric</x:v>
      </x:c>
      <x:c r="N3158" s="34" t="str">
        <x:v>Feedback-Directed Random Test Generation/Result_Round2/Jsoup_87/result.json</x:v>
      </x:c>
      <x:c r="O3158" s="38" t="n">
        <x:f>IF(AND(G3158="RECORDED",ISNUMBER(H3158)),H3158,"")</x:f>
        <x:v>44.42</x:v>
      </x:c>
      <x:c r="P3158" s="34" t="str">
        <x:v>INCONCLUSIVE</x:v>
      </x:c>
      <x:c r="Q3158" s="34" t="str">
        <x:v>Feedback-Directed Random Test Generation/Result_Round2/Jsoup_87/result.json</x:v>
      </x:c>
    </x:row>
    <x:row r="3159">
      <x:c r="A3159" s="34" t="str">
        <x:v>randoop</x:v>
      </x:c>
      <x:c r="B3159" s="34" t="str">
        <x:v>Jsoup</x:v>
      </x:c>
      <x:c r="C3159" s="34" t="str">
        <x:v>Round2</x:v>
      </x:c>
      <x:c r="D3159" s="34" t="str">
        <x:v>Jsoup_88</x:v>
      </x:c>
      <x:c r="E3159" s="34" t="str">
        <x:v>Line</x:v>
      </x:c>
      <x:c r="F3159" s="34" t="n">
        <x:v>66</x:v>
      </x:c>
      <x:c r="G3159" s="34" t="str">
        <x:v>RECORDED</x:v>
      </x:c>
      <x:c r="H3159" s="38" t="n">
        <x:f>IF(ISNUMBER('Data'!H1451),'Data'!H1451*100,"")</x:f>
        <x:v>74.24</x:v>
      </x:c>
      <x:c r="I3159" s="34" t="str">
        <x:v>PASS</x:v>
      </x:c>
      <x:c r="J3159" s="34" t="str">
        <x:v>PASS</x:v>
      </x:c>
      <x:c r="K3159" s="34" t="str">
        <x:v>PASS</x:v>
      </x:c>
      <x:c r="L3159" s="34" t="str">
        <x:v>FAIL</x:v>
      </x:c>
      <x:c r="M3159" s="34" t="str">
        <x:v>numeric coverage for applicable metric</x:v>
      </x:c>
      <x:c r="N3159" s="34" t="str">
        <x:v>Feedback-Directed Random Test Generation/Result_Round2/Jsoup_88/result.json</x:v>
      </x:c>
      <x:c r="O3159" s="38" t="n">
        <x:f>IF(AND(G3159="RECORDED",ISNUMBER(H3159)),H3159,"")</x:f>
        <x:v>74.24</x:v>
      </x:c>
      <x:c r="P3159" s="34" t="str">
        <x:v>INCONCLUSIVE</x:v>
      </x:c>
      <x:c r="Q3159" s="34" t="str">
        <x:v>Feedback-Directed Random Test Generation/Result_Round2/Jsoup_88/result.json</x:v>
      </x:c>
    </x:row>
    <x:row r="3160">
      <x:c r="A3160" s="34" t="str">
        <x:v>randoop</x:v>
      </x:c>
      <x:c r="B3160" s="34" t="str">
        <x:v>Jsoup</x:v>
      </x:c>
      <x:c r="C3160" s="34" t="str">
        <x:v>Round2</x:v>
      </x:c>
      <x:c r="D3160" s="34" t="str">
        <x:v>Jsoup_89</x:v>
      </x:c>
      <x:c r="E3160" s="34" t="str">
        <x:v>Line</x:v>
      </x:c>
      <x:c r="F3160" s="34" t="n">
        <x:v>66</x:v>
      </x:c>
      <x:c r="G3160" s="34" t="str">
        <x:v>RECORDED</x:v>
      </x:c>
      <x:c r="H3160" s="38" t="n">
        <x:f>IF(ISNUMBER('Data'!H1452),'Data'!H1452*100,"")</x:f>
        <x:v>74.24</x:v>
      </x:c>
      <x:c r="I3160" s="34" t="str">
        <x:v>PASS</x:v>
      </x:c>
      <x:c r="J3160" s="34" t="str">
        <x:v>PASS</x:v>
      </x:c>
      <x:c r="K3160" s="34" t="str">
        <x:v>PASS</x:v>
      </x:c>
      <x:c r="L3160" s="34" t="str">
        <x:v>FAIL</x:v>
      </x:c>
      <x:c r="M3160" s="34" t="str">
        <x:v>numeric coverage for applicable metric</x:v>
      </x:c>
      <x:c r="N3160" s="34" t="str">
        <x:v>Feedback-Directed Random Test Generation/Result_Round2/Jsoup_89/result.json</x:v>
      </x:c>
      <x:c r="O3160" s="38" t="n">
        <x:f>IF(AND(G3160="RECORDED",ISNUMBER(H3160)),H3160,"")</x:f>
        <x:v>74.24</x:v>
      </x:c>
      <x:c r="P3160" s="34" t="str">
        <x:v>INCONCLUSIVE</x:v>
      </x:c>
      <x:c r="Q3160" s="34" t="str">
        <x:v>Feedback-Directed Random Test Generation/Result_Round2/Jsoup_89/result.json</x:v>
      </x:c>
    </x:row>
    <x:row r="3161">
      <x:c r="A3161" s="34" t="str">
        <x:v>randoop</x:v>
      </x:c>
      <x:c r="B3161" s="34" t="str">
        <x:v>Jsoup</x:v>
      </x:c>
      <x:c r="C3161" s="34" t="str">
        <x:v>Round2</x:v>
      </x:c>
      <x:c r="D3161" s="34" t="str">
        <x:v>Jsoup_90</x:v>
      </x:c>
      <x:c r="E3161" s="34" t="str">
        <x:v>Line</x:v>
      </x:c>
      <x:c r="F3161" s="34" t="n">
        <x:v>596</x:v>
      </x:c>
      <x:c r="G3161" s="34" t="str">
        <x:v>RECORDED</x:v>
      </x:c>
      <x:c r="H3161" s="38" t="n">
        <x:f>IF(ISNUMBER('Data'!H1453),'Data'!H1453*100,"")</x:f>
        <x:v>50.5</x:v>
      </x:c>
      <x:c r="I3161" s="34" t="str">
        <x:v>PASS</x:v>
      </x:c>
      <x:c r="J3161" s="34" t="str">
        <x:v>PASS</x:v>
      </x:c>
      <x:c r="K3161" s="34" t="str">
        <x:v>PASS</x:v>
      </x:c>
      <x:c r="L3161" s="34" t="str">
        <x:v>PASS</x:v>
      </x:c>
      <x:c r="M3161" s="34" t="str">
        <x:v>numeric coverage for applicable metric</x:v>
      </x:c>
      <x:c r="N3161" s="34" t="str">
        <x:v>Feedback-Directed Random Test Generation/Result_Round2/Jsoup_90/result.json</x:v>
      </x:c>
      <x:c r="O3161" s="38" t="n">
        <x:f>IF(AND(G3161="RECORDED",ISNUMBER(H3161)),H3161,"")</x:f>
        <x:v>50.5</x:v>
      </x:c>
      <x:c r="P3161" s="34" t="str">
        <x:v>NOT_REVEALING</x:v>
      </x:c>
      <x:c r="Q3161" s="34" t="str">
        <x:v>Feedback-Directed Random Test Generation/Result_Round2/Jsoup_90/result.json</x:v>
      </x:c>
    </x:row>
    <x:row r="3162">
      <x:c r="A3162" s="34" t="str">
        <x:v>randoop</x:v>
      </x:c>
      <x:c r="B3162" s="34" t="str">
        <x:v>Jsoup</x:v>
      </x:c>
      <x:c r="C3162" s="34" t="str">
        <x:v>Round2</x:v>
      </x:c>
      <x:c r="D3162" s="34" t="str">
        <x:v>Jsoup_91</x:v>
      </x:c>
      <x:c r="E3162" s="34" t="str">
        <x:v>Line</x:v>
      </x:c>
      <x:c r="F3162" s="34" t="n">
        <x:v>249</x:v>
      </x:c>
      <x:c r="G3162" s="34" t="str">
        <x:v>RECORDED</x:v>
      </x:c>
      <x:c r="H3162" s="38" t="n">
        <x:f>IF(ISNUMBER('Data'!H1454),'Data'!H1454*100,"")</x:f>
        <x:v>32.53</x:v>
      </x:c>
      <x:c r="I3162" s="34" t="str">
        <x:v>PASS</x:v>
      </x:c>
      <x:c r="J3162" s="34" t="str">
        <x:v>PASS</x:v>
      </x:c>
      <x:c r="K3162" s="34" t="str">
        <x:v>PASS</x:v>
      </x:c>
      <x:c r="L3162" s="34" t="str">
        <x:v>PASS</x:v>
      </x:c>
      <x:c r="M3162" s="34" t="str">
        <x:v>numeric coverage for applicable metric</x:v>
      </x:c>
      <x:c r="N3162" s="34" t="str">
        <x:v>Feedback-Directed Random Test Generation/Result_Round2/Jsoup_91/result.json</x:v>
      </x:c>
      <x:c r="O3162" s="38" t="n">
        <x:f>IF(AND(G3162="RECORDED",ISNUMBER(H3162)),H3162,"")</x:f>
        <x:v>32.53</x:v>
      </x:c>
      <x:c r="P3162" s="34" t="str">
        <x:v>NOT_REVEALING</x:v>
      </x:c>
      <x:c r="Q3162" s="34" t="str">
        <x:v>Feedback-Directed Random Test Generation/Result_Round2/Jsoup_91/result.json</x:v>
      </x:c>
    </x:row>
    <x:row r="3163">
      <x:c r="A3163" s="34" t="str">
        <x:v>randoop</x:v>
      </x:c>
      <x:c r="B3163" s="34" t="str">
        <x:v>Jsoup</x:v>
      </x:c>
      <x:c r="C3163" s="34" t="str">
        <x:v>Round2</x:v>
      </x:c>
      <x:c r="D3163" s="34" t="str">
        <x:v>Jsoup_92</x:v>
      </x:c>
      <x:c r="E3163" s="34" t="str">
        <x:v>Line</x:v>
      </x:c>
      <x:c r="F3163" s="34" t="n">
        <x:v>799</x:v>
      </x:c>
      <x:c r="G3163" s="34" t="str">
        <x:v>RECORDED</x:v>
      </x:c>
      <x:c r="H3163" s="38" t="n">
        <x:f>IF(ISNUMBER('Data'!H1455),'Data'!H1455*100,"")</x:f>
        <x:v>58.95</x:v>
      </x:c>
      <x:c r="I3163" s="34" t="str">
        <x:v>PASS</x:v>
      </x:c>
      <x:c r="J3163" s="34" t="str">
        <x:v>PASS</x:v>
      </x:c>
      <x:c r="K3163" s="34" t="str">
        <x:v>PASS</x:v>
      </x:c>
      <x:c r="L3163" s="34" t="str">
        <x:v>FAIL</x:v>
      </x:c>
      <x:c r="M3163" s="34" t="str">
        <x:v>numeric coverage for applicable metric</x:v>
      </x:c>
      <x:c r="N3163" s="34" t="str">
        <x:v>Feedback-Directed Random Test Generation/Result_Round2/Jsoup_92/result.json</x:v>
      </x:c>
      <x:c r="O3163" s="38" t="n">
        <x:f>IF(AND(G3163="RECORDED",ISNUMBER(H3163)),H3163,"")</x:f>
        <x:v>58.95</x:v>
      </x:c>
      <x:c r="P3163" s="34" t="str">
        <x:v>INCONCLUSIVE</x:v>
      </x:c>
      <x:c r="Q3163" s="34" t="str">
        <x:v>Feedback-Directed Random Test Generation/Result_Round2/Jsoup_92/result.json</x:v>
      </x:c>
    </x:row>
    <x:row r="3164">
      <x:c r="A3164" s="34" t="str">
        <x:v>randoop</x:v>
      </x:c>
      <x:c r="B3164" s="34" t="str">
        <x:v>Jsoup</x:v>
      </x:c>
      <x:c r="C3164" s="34" t="str">
        <x:v>Round2</x:v>
      </x:c>
      <x:c r="D3164" s="34" t="str">
        <x:v>Jsoup_93</x:v>
      </x:c>
      <x:c r="E3164" s="34" t="str">
        <x:v>Line</x:v>
      </x:c>
      <x:c r="F3164" s="34" t="n">
        <x:v>42</x:v>
      </x:c>
      <x:c r="G3164" s="34" t="str">
        <x:v>RECORDED</x:v>
      </x:c>
      <x:c r="H3164" s="38" t="n">
        <x:f>IF(ISNUMBER('Data'!H1456),'Data'!H1456*100,"")</x:f>
        <x:v>2.38</x:v>
      </x:c>
      <x:c r="I3164" s="34" t="str">
        <x:v>PASS</x:v>
      </x:c>
      <x:c r="J3164" s="34" t="str">
        <x:v>PASS</x:v>
      </x:c>
      <x:c r="K3164" s="34" t="str">
        <x:v>PASS</x:v>
      </x:c>
      <x:c r="L3164" s="34" t="str">
        <x:v>PASS</x:v>
      </x:c>
      <x:c r="M3164" s="34" t="str">
        <x:v>numeric coverage for applicable metric</x:v>
      </x:c>
      <x:c r="N3164" s="34" t="str">
        <x:v>Feedback-Directed Random Test Generation/Result_Round2/Jsoup_93/result.json</x:v>
      </x:c>
      <x:c r="O3164" s="38" t="n">
        <x:f>IF(AND(G3164="RECORDED",ISNUMBER(H3164)),H3164,"")</x:f>
        <x:v>2.38</x:v>
      </x:c>
      <x:c r="P3164" s="34" t="str">
        <x:v>NOT_REVEALING</x:v>
      </x:c>
      <x:c r="Q3164" s="34" t="str">
        <x:v>Feedback-Directed Random Test Generation/Result_Round2/Jsoup_93/result.json</x:v>
      </x:c>
    </x:row>
    <x:row r="3165">
      <x:c r="A3165" s="34" t="str">
        <x:v>randoop</x:v>
      </x:c>
      <x:c r="B3165" s="34" t="str">
        <x:v>JxPath</x:v>
      </x:c>
      <x:c r="C3165" s="34" t="str">
        <x:v>Round2</x:v>
      </x:c>
      <x:c r="D3165" s="34" t="str">
        <x:v>JxPath_1</x:v>
      </x:c>
      <x:c r="E3165" s="34" t="str">
        <x:v>Line</x:v>
      </x:c>
      <x:c r="F3165" s="34" t="n">
        <x:v>773</x:v>
      </x:c>
      <x:c r="G3165" s="34" t="str">
        <x:v>RECORDED</x:v>
      </x:c>
      <x:c r="H3165" s="38" t="n">
        <x:f>IF(ISNUMBER('Data'!H1457),'Data'!H1457*100,"")</x:f>
        <x:v>26.780000000000005</x:v>
      </x:c>
      <x:c r="I3165" s="34" t="str">
        <x:v>PASS</x:v>
      </x:c>
      <x:c r="J3165" s="34" t="str">
        <x:v>PASS</x:v>
      </x:c>
      <x:c r="K3165" s="34" t="str">
        <x:v>PASS</x:v>
      </x:c>
      <x:c r="L3165" s="34" t="str">
        <x:v>PASS</x:v>
      </x:c>
      <x:c r="M3165" s="34" t="str">
        <x:v>numeric coverage for applicable metric</x:v>
      </x:c>
      <x:c r="N3165" s="34" t="str">
        <x:v>Feedback-Directed Random Test Generation/Result_Round2/JxPath_1/result.json</x:v>
      </x:c>
      <x:c r="O3165" s="38" t="n">
        <x:f>IF(AND(G3165="RECORDED",ISNUMBER(H3165)),H3165,"")</x:f>
        <x:v>26.780000000000005</x:v>
      </x:c>
      <x:c r="P3165" s="34" t="str">
        <x:v>NOT_REVEALING</x:v>
      </x:c>
      <x:c r="Q3165" s="34" t="str">
        <x:v>Feedback-Directed Random Test Generation/Result_Round2/JxPath_1/result.json</x:v>
      </x:c>
    </x:row>
    <x:row r="3166">
      <x:c r="A3166" s="34" t="str">
        <x:v>randoop</x:v>
      </x:c>
      <x:c r="B3166" s="34" t="str">
        <x:v>JxPath</x:v>
      </x:c>
      <x:c r="C3166" s="34" t="str">
        <x:v>Round2</x:v>
      </x:c>
      <x:c r="D3166" s="34" t="str">
        <x:v>JxPath_2</x:v>
      </x:c>
      <x:c r="E3166" s="34" t="str">
        <x:v>Line</x:v>
      </x:c>
      <x:c r="F3166" s="34" t="n">
        <x:v>38</x:v>
      </x:c>
      <x:c r="G3166" s="34" t="str">
        <x:v>RECORDED</x:v>
      </x:c>
      <x:c r="H3166" s="38" t="n">
        <x:f>IF(ISNUMBER('Data'!H1458),'Data'!H1458*100,"")</x:f>
        <x:v>44.74</x:v>
      </x:c>
      <x:c r="I3166" s="34" t="str">
        <x:v>PASS</x:v>
      </x:c>
      <x:c r="J3166" s="34" t="str">
        <x:v>PASS</x:v>
      </x:c>
      <x:c r="K3166" s="34" t="str">
        <x:v>PASS</x:v>
      </x:c>
      <x:c r="L3166" s="34" t="str">
        <x:v>PASS</x:v>
      </x:c>
      <x:c r="M3166" s="34" t="str">
        <x:v>numeric coverage for applicable metric</x:v>
      </x:c>
      <x:c r="N3166" s="34" t="str">
        <x:v>Feedback-Directed Random Test Generation/Result_Round2/JxPath_2/result.json</x:v>
      </x:c>
      <x:c r="O3166" s="38" t="n">
        <x:f>IF(AND(G3166="RECORDED",ISNUMBER(H3166)),H3166,"")</x:f>
        <x:v>44.74</x:v>
      </x:c>
      <x:c r="P3166" s="34" t="str">
        <x:v>NOT_REVEALING</x:v>
      </x:c>
      <x:c r="Q3166" s="34" t="str">
        <x:v>Feedback-Directed Random Test Generation/Result_Round2/JxPath_2/result.json</x:v>
      </x:c>
    </x:row>
    <x:row r="3167">
      <x:c r="A3167" s="34" t="str">
        <x:v>randoop</x:v>
      </x:c>
      <x:c r="B3167" s="34" t="str">
        <x:v>JxPath</x:v>
      </x:c>
      <x:c r="C3167" s="34" t="str">
        <x:v>Round2</x:v>
      </x:c>
      <x:c r="D3167" s="34" t="str">
        <x:v>JxPath_3</x:v>
      </x:c>
      <x:c r="E3167" s="34" t="str">
        <x:v>Line</x:v>
      </x:c>
      <x:c r="F3167" s="34" t="n">
        <x:v>77</x:v>
      </x:c>
      <x:c r="G3167" s="34" t="str">
        <x:v>RECORDED</x:v>
      </x:c>
      <x:c r="H3167" s="38" t="n">
        <x:f>IF(ISNUMBER('Data'!H1459),'Data'!H1459*100,"")</x:f>
        <x:v>84.42</x:v>
      </x:c>
      <x:c r="I3167" s="34" t="str">
        <x:v>PASS</x:v>
      </x:c>
      <x:c r="J3167" s="34" t="str">
        <x:v>PASS</x:v>
      </x:c>
      <x:c r="K3167" s="34" t="str">
        <x:v>PASS</x:v>
      </x:c>
      <x:c r="L3167" s="34" t="str">
        <x:v>FAIL</x:v>
      </x:c>
      <x:c r="M3167" s="34" t="str">
        <x:v>numeric coverage for applicable metric</x:v>
      </x:c>
      <x:c r="N3167" s="34" t="str">
        <x:v>Feedback-Directed Random Test Generation/Result_Round2/JxPath_3/result.json</x:v>
      </x:c>
      <x:c r="O3167" s="38" t="n">
        <x:f>IF(AND(G3167="RECORDED",ISNUMBER(H3167)),H3167,"")</x:f>
        <x:v>84.42</x:v>
      </x:c>
      <x:c r="P3167" s="34" t="str">
        <x:v>INCONCLUSIVE</x:v>
      </x:c>
      <x:c r="Q3167" s="34" t="str">
        <x:v>Feedback-Directed Random Test Generation/Result_Round2/JxPath_3/result.json</x:v>
      </x:c>
    </x:row>
    <x:row r="3168">
      <x:c r="A3168" s="34" t="str">
        <x:v>randoop</x:v>
      </x:c>
      <x:c r="B3168" s="34" t="str">
        <x:v>JxPath</x:v>
      </x:c>
      <x:c r="C3168" s="34" t="str">
        <x:v>Round2</x:v>
      </x:c>
      <x:c r="D3168" s="34" t="str">
        <x:v>JxPath_4</x:v>
      </x:c>
      <x:c r="E3168" s="34" t="str">
        <x:v>Line</x:v>
      </x:c>
      <x:c r="F3168" s="34" t="n">
        <x:v>750</x:v>
      </x:c>
      <x:c r="G3168" s="34" t="str">
        <x:v>RECORDED</x:v>
      </x:c>
      <x:c r="H3168" s="38" t="n">
        <x:f>IF(ISNUMBER('Data'!H1460),'Data'!H1460*100,"")</x:f>
        <x:v>26.8</x:v>
      </x:c>
      <x:c r="I3168" s="34" t="str">
        <x:v>PASS</x:v>
      </x:c>
      <x:c r="J3168" s="34" t="str">
        <x:v>PASS</x:v>
      </x:c>
      <x:c r="K3168" s="34" t="str">
        <x:v>PASS</x:v>
      </x:c>
      <x:c r="L3168" s="34" t="str">
        <x:v>PASS</x:v>
      </x:c>
      <x:c r="M3168" s="34" t="str">
        <x:v>numeric coverage for applicable metric</x:v>
      </x:c>
      <x:c r="N3168" s="34" t="str">
        <x:v>Feedback-Directed Random Test Generation/Result_Round2/JxPath_4/result.json</x:v>
      </x:c>
      <x:c r="O3168" s="38" t="n">
        <x:f>IF(AND(G3168="RECORDED",ISNUMBER(H3168)),H3168,"")</x:f>
        <x:v>26.8</x:v>
      </x:c>
      <x:c r="P3168" s="34" t="str">
        <x:v>NOT_REVEALING</x:v>
      </x:c>
      <x:c r="Q3168" s="34" t="str">
        <x:v>Feedback-Directed Random Test Generation/Result_Round2/JxPath_4/result.json</x:v>
      </x:c>
    </x:row>
    <x:row r="3169">
      <x:c r="A3169" s="34" t="str">
        <x:v>randoop</x:v>
      </x:c>
      <x:c r="B3169" s="34" t="str">
        <x:v>JxPath</x:v>
      </x:c>
      <x:c r="C3169" s="34" t="str">
        <x:v>Round2</x:v>
      </x:c>
      <x:c r="D3169" s="34" t="str">
        <x:v>JxPath_5</x:v>
      </x:c>
      <x:c r="E3169" s="34" t="str">
        <x:v>Line</x:v>
      </x:c>
      <x:c r="F3169" s="34" t="n">
        <x:v>179</x:v>
      </x:c>
      <x:c r="G3169" s="34" t="str">
        <x:v>RECORDED</x:v>
      </x:c>
      <x:c r="H3169" s="38" t="n">
        <x:f>IF(ISNUMBER('Data'!H1461),'Data'!H1461*100,"")</x:f>
        <x:v>73.74</x:v>
      </x:c>
      <x:c r="I3169" s="34" t="str">
        <x:v>PASS</x:v>
      </x:c>
      <x:c r="J3169" s="34" t="str">
        <x:v>PASS</x:v>
      </x:c>
      <x:c r="K3169" s="34" t="str">
        <x:v>PASS</x:v>
      </x:c>
      <x:c r="L3169" s="34" t="str">
        <x:v>PASS</x:v>
      </x:c>
      <x:c r="M3169" s="34" t="str">
        <x:v>numeric coverage for applicable metric</x:v>
      </x:c>
      <x:c r="N3169" s="34" t="str">
        <x:v>Feedback-Directed Random Test Generation/Result_Round2/JxPath_5/result.json</x:v>
      </x:c>
      <x:c r="O3169" s="38" t="n">
        <x:f>IF(AND(G3169="RECORDED",ISNUMBER(H3169)),H3169,"")</x:f>
        <x:v>73.74</x:v>
      </x:c>
      <x:c r="P3169" s="34" t="str">
        <x:v>INCONCLUSIVE</x:v>
      </x:c>
      <x:c r="Q3169" s="34" t="str">
        <x:v>Feedback-Directed Random Test Generation/Result_Round2/JxPath_5/result.json</x:v>
      </x:c>
    </x:row>
    <x:row r="3170">
      <x:c r="A3170" s="34" t="str">
        <x:v>randoop</x:v>
      </x:c>
      <x:c r="B3170" s="34" t="str">
        <x:v>JxPath</x:v>
      </x:c>
      <x:c r="C3170" s="34" t="str">
        <x:v>Round2</x:v>
      </x:c>
      <x:c r="D3170" s="34" t="str">
        <x:v>JxPath_6</x:v>
      </x:c>
      <x:c r="E3170" s="34" t="str">
        <x:v>Line</x:v>
      </x:c>
      <x:c r="F3170" s="34" t="n">
        <x:v>49</x:v>
      </x:c>
      <x:c r="G3170" s="34" t="str">
        <x:v>RECORDED</x:v>
      </x:c>
      <x:c r="H3170" s="38" t="n">
        <x:f>IF(ISNUMBER('Data'!H1462),'Data'!H1462*100,"")</x:f>
        <x:v>0</x:v>
      </x:c>
      <x:c r="I3170" s="34" t="str">
        <x:v>PASS</x:v>
      </x:c>
      <x:c r="J3170" s="34" t="str">
        <x:v>PASS</x:v>
      </x:c>
      <x:c r="K3170" s="34" t="str">
        <x:v>PASS</x:v>
      </x:c>
      <x:c r="L3170" s="34" t="str">
        <x:v>PASS</x:v>
      </x:c>
      <x:c r="M3170" s="34" t="str">
        <x:v>numeric coverage for applicable metric</x:v>
      </x:c>
      <x:c r="N3170" s="34" t="str">
        <x:v>Feedback-Directed Random Test Generation/Result_Round2/JxPath_6/result.json</x:v>
      </x:c>
      <x:c r="O3170" s="38" t="n">
        <x:f>IF(AND(G3170="RECORDED",ISNUMBER(H3170)),H3170,"")</x:f>
        <x:v>0</x:v>
      </x:c>
      <x:c r="P3170" s="34" t="str">
        <x:v>NOT_REVEALING</x:v>
      </x:c>
      <x:c r="Q3170" s="34" t="str">
        <x:v>Feedback-Directed Random Test Generation/Result_Round2/JxPath_6/result.json</x:v>
      </x:c>
    </x:row>
    <x:row r="3171">
      <x:c r="A3171" s="34" t="str">
        <x:v>randoop</x:v>
      </x:c>
      <x:c r="B3171" s="34" t="str">
        <x:v>JxPath</x:v>
      </x:c>
      <x:c r="C3171" s="34" t="str">
        <x:v>Round2</x:v>
      </x:c>
      <x:c r="D3171" s="34" t="str">
        <x:v>JxPath_7</x:v>
      </x:c>
      <x:c r="E3171" s="34" t="str">
        <x:v>Line</x:v>
      </x:c>
      <x:c r="F3171" s="34" t="n">
        <x:v>28</x:v>
      </x:c>
      <x:c r="G3171" s="34" t="str">
        <x:v>RECORDED</x:v>
      </x:c>
      <x:c r="H3171" s="38" t="n">
        <x:f>IF(ISNUMBER('Data'!H1463),'Data'!H1463*100,"")</x:f>
        <x:v>71.43</x:v>
      </x:c>
      <x:c r="I3171" s="34" t="str">
        <x:v>PASS</x:v>
      </x:c>
      <x:c r="J3171" s="34" t="str">
        <x:v>PASS</x:v>
      </x:c>
      <x:c r="K3171" s="34" t="str">
        <x:v>PASS</x:v>
      </x:c>
      <x:c r="L3171" s="34" t="str">
        <x:v>PASS</x:v>
      </x:c>
      <x:c r="M3171" s="34" t="str">
        <x:v>numeric coverage for applicable metric</x:v>
      </x:c>
      <x:c r="N3171" s="34" t="str">
        <x:v>Feedback-Directed Random Test Generation/Result_Round2/JxPath_7/result.json</x:v>
      </x:c>
      <x:c r="O3171" s="38" t="n">
        <x:f>IF(AND(G3171="RECORDED",ISNUMBER(H3171)),H3171,"")</x:f>
        <x:v>71.43</x:v>
      </x:c>
      <x:c r="P3171" s="34" t="str">
        <x:v>NOT_REVEALING</x:v>
      </x:c>
      <x:c r="Q3171" s="34" t="str">
        <x:v>Feedback-Directed Random Test Generation/Result_Round2/JxPath_7/result.json</x:v>
      </x:c>
    </x:row>
    <x:row r="3172">
      <x:c r="A3172" s="34" t="str">
        <x:v>randoop</x:v>
      </x:c>
      <x:c r="B3172" s="34" t="str">
        <x:v>JxPath</x:v>
      </x:c>
      <x:c r="C3172" s="34" t="str">
        <x:v>Round2</x:v>
      </x:c>
      <x:c r="D3172" s="34" t="str">
        <x:v>JxPath_8</x:v>
      </x:c>
      <x:c r="E3172" s="34" t="str">
        <x:v>Line</x:v>
      </x:c>
      <x:c r="F3172" s="34" t="n">
        <x:v>39</x:v>
      </x:c>
      <x:c r="G3172" s="34" t="str">
        <x:v>RECORDED</x:v>
      </x:c>
      <x:c r="H3172" s="38" t="n">
        <x:f>IF(ISNUMBER('Data'!H1464),'Data'!H1464*100,"")</x:f>
        <x:v>0</x:v>
      </x:c>
      <x:c r="I3172" s="34" t="str">
        <x:v>PASS</x:v>
      </x:c>
      <x:c r="J3172" s="34" t="str">
        <x:v>PASS</x:v>
      </x:c>
      <x:c r="K3172" s="34" t="str">
        <x:v>PASS</x:v>
      </x:c>
      <x:c r="L3172" s="34" t="str">
        <x:v>PASS</x:v>
      </x:c>
      <x:c r="M3172" s="34" t="str">
        <x:v>numeric coverage for applicable metric</x:v>
      </x:c>
      <x:c r="N3172" s="34" t="str">
        <x:v>Feedback-Directed Random Test Generation/Result_Round2/JxPath_8/result.json</x:v>
      </x:c>
      <x:c r="O3172" s="38" t="n">
        <x:f>IF(AND(G3172="RECORDED",ISNUMBER(H3172)),H3172,"")</x:f>
        <x:v>0</x:v>
      </x:c>
      <x:c r="P3172" s="34" t="str">
        <x:v>NOT_REVEALING</x:v>
      </x:c>
      <x:c r="Q3172" s="34" t="str">
        <x:v>Feedback-Directed Random Test Generation/Result_Round2/JxPath_8/result.json</x:v>
      </x:c>
    </x:row>
    <x:row r="3173">
      <x:c r="A3173" s="34" t="str">
        <x:v>randoop</x:v>
      </x:c>
      <x:c r="B3173" s="34" t="str">
        <x:v>JxPath</x:v>
      </x:c>
      <x:c r="C3173" s="34" t="str">
        <x:v>Round2</x:v>
      </x:c>
      <x:c r="D3173" s="34" t="str">
        <x:v>JxPath_9</x:v>
      </x:c>
      <x:c r="E3173" s="34" t="str">
        <x:v>Line</x:v>
      </x:c>
      <x:c r="F3173" s="34" t="n">
        <x:v>63</x:v>
      </x:c>
      <x:c r="G3173" s="34" t="str">
        <x:v>RECORDED</x:v>
      </x:c>
      <x:c r="H3173" s="38" t="n">
        <x:f>IF(ISNUMBER('Data'!H1465),'Data'!H1465*100,"")</x:f>
        <x:v>44.44</x:v>
      </x:c>
      <x:c r="I3173" s="34" t="str">
        <x:v>PASS</x:v>
      </x:c>
      <x:c r="J3173" s="34" t="str">
        <x:v>PASS</x:v>
      </x:c>
      <x:c r="K3173" s="34" t="str">
        <x:v>PASS</x:v>
      </x:c>
      <x:c r="L3173" s="34" t="str">
        <x:v>PASS</x:v>
      </x:c>
      <x:c r="M3173" s="34" t="str">
        <x:v>numeric coverage for applicable metric</x:v>
      </x:c>
      <x:c r="N3173" s="34" t="str">
        <x:v>Feedback-Directed Random Test Generation/Result_Round2/JxPath_9/result.json</x:v>
      </x:c>
      <x:c r="O3173" s="38" t="n">
        <x:f>IF(AND(G3173="RECORDED",ISNUMBER(H3173)),H3173,"")</x:f>
        <x:v>44.44</x:v>
      </x:c>
      <x:c r="P3173" s="34" t="str">
        <x:v>INCONCLUSIVE</x:v>
      </x:c>
      <x:c r="Q3173" s="34" t="str">
        <x:v>Feedback-Directed Random Test Generation/Result_Round2/JxPath_9/result.json</x:v>
      </x:c>
    </x:row>
    <x:row r="3174">
      <x:c r="A3174" s="34" t="str">
        <x:v>randoop</x:v>
      </x:c>
      <x:c r="B3174" s="34" t="str">
        <x:v>JxPath</x:v>
      </x:c>
      <x:c r="C3174" s="34" t="str">
        <x:v>Round2</x:v>
      </x:c>
      <x:c r="D3174" s="34" t="str">
        <x:v>JxPath_10</x:v>
      </x:c>
      <x:c r="E3174" s="34" t="str">
        <x:v>Line</x:v>
      </x:c>
      <x:c r="F3174" s="34" t="n">
        <x:v>43</x:v>
      </x:c>
      <x:c r="G3174" s="34" t="str">
        <x:v>RECORDED</x:v>
      </x:c>
      <x:c r="H3174" s="38" t="n">
        <x:f>IF(ISNUMBER('Data'!H1466),'Data'!H1466*100,"")</x:f>
        <x:v>0</x:v>
      </x:c>
      <x:c r="I3174" s="34" t="str">
        <x:v>PASS</x:v>
      </x:c>
      <x:c r="J3174" s="34" t="str">
        <x:v>PASS</x:v>
      </x:c>
      <x:c r="K3174" s="34" t="str">
        <x:v>PASS</x:v>
      </x:c>
      <x:c r="L3174" s="34" t="str">
        <x:v>PASS</x:v>
      </x:c>
      <x:c r="M3174" s="34" t="str">
        <x:v>numeric coverage for applicable metric</x:v>
      </x:c>
      <x:c r="N3174" s="34" t="str">
        <x:v>Feedback-Directed Random Test Generation/Result_Round2/JxPath_10/result.json</x:v>
      </x:c>
      <x:c r="O3174" s="38" t="n">
        <x:f>IF(AND(G3174="RECORDED",ISNUMBER(H3174)),H3174,"")</x:f>
        <x:v>0</x:v>
      </x:c>
      <x:c r="P3174" s="34" t="str">
        <x:v>NOT_REVEALING</x:v>
      </x:c>
      <x:c r="Q3174" s="34" t="str">
        <x:v>Feedback-Directed Random Test Generation/Result_Round2/JxPath_10/result.json</x:v>
      </x:c>
    </x:row>
    <x:row r="3175">
      <x:c r="A3175" s="34" t="str">
        <x:v>randoop</x:v>
      </x:c>
      <x:c r="B3175" s="34" t="str">
        <x:v>JxPath</x:v>
      </x:c>
      <x:c r="C3175" s="34" t="str">
        <x:v>Round2</x:v>
      </x:c>
      <x:c r="D3175" s="34" t="str">
        <x:v>JxPath_11</x:v>
      </x:c>
      <x:c r="E3175" s="34" t="str">
        <x:v>Line</x:v>
      </x:c>
      <x:c r="F3175" s="34" t="n">
        <x:v>110</x:v>
      </x:c>
      <x:c r="G3175" s="34" t="str">
        <x:v>RECORDED</x:v>
      </x:c>
      <x:c r="H3175" s="38" t="n">
        <x:f>IF(ISNUMBER('Data'!H1467),'Data'!H1467*100,"")</x:f>
        <x:v>9.09</x:v>
      </x:c>
      <x:c r="I3175" s="34" t="str">
        <x:v>PASS</x:v>
      </x:c>
      <x:c r="J3175" s="34" t="str">
        <x:v>PASS</x:v>
      </x:c>
      <x:c r="K3175" s="34" t="str">
        <x:v>PASS</x:v>
      </x:c>
      <x:c r="L3175" s="34" t="str">
        <x:v>PASS</x:v>
      </x:c>
      <x:c r="M3175" s="34" t="str">
        <x:v>numeric coverage for applicable metric</x:v>
      </x:c>
      <x:c r="N3175" s="34" t="str">
        <x:v>Feedback-Directed Random Test Generation/Result_Round2/JxPath_11/result.json</x:v>
      </x:c>
      <x:c r="O3175" s="38" t="n">
        <x:f>IF(AND(G3175="RECORDED",ISNUMBER(H3175)),H3175,"")</x:f>
        <x:v>9.09</x:v>
      </x:c>
      <x:c r="P3175" s="34" t="str">
        <x:v>NOT_REVEALING</x:v>
      </x:c>
      <x:c r="Q3175" s="34" t="str">
        <x:v>Feedback-Directed Random Test Generation/Result_Round2/JxPath_11/result.json</x:v>
      </x:c>
    </x:row>
    <x:row r="3176">
      <x:c r="A3176" s="34" t="str">
        <x:v>randoop</x:v>
      </x:c>
      <x:c r="B3176" s="34" t="str">
        <x:v>JxPath</x:v>
      </x:c>
      <x:c r="C3176" s="34" t="str">
        <x:v>Round2</x:v>
      </x:c>
      <x:c r="D3176" s="34" t="str">
        <x:v>JxPath_12</x:v>
      </x:c>
      <x:c r="E3176" s="34" t="str">
        <x:v>Line</x:v>
      </x:c>
      <x:c r="F3176" s="34" t="n">
        <x:v>361</x:v>
      </x:c>
      <x:c r="G3176" s="34" t="str">
        <x:v>RECORDED</x:v>
      </x:c>
      <x:c r="H3176" s="38" t="n">
        <x:f>IF(ISNUMBER('Data'!H1468),'Data'!H1468*100,"")</x:f>
        <x:v>26.32</x:v>
      </x:c>
      <x:c r="I3176" s="34" t="str">
        <x:v>PASS</x:v>
      </x:c>
      <x:c r="J3176" s="34" t="str">
        <x:v>PASS</x:v>
      </x:c>
      <x:c r="K3176" s="34" t="str">
        <x:v>PASS</x:v>
      </x:c>
      <x:c r="L3176" s="34" t="str">
        <x:v>PASS</x:v>
      </x:c>
      <x:c r="M3176" s="34" t="str">
        <x:v>numeric coverage for applicable metric</x:v>
      </x:c>
      <x:c r="N3176" s="34" t="str">
        <x:v>Feedback-Directed Random Test Generation/Result_Round2/JxPath_12/result.json</x:v>
      </x:c>
      <x:c r="O3176" s="38" t="n">
        <x:f>IF(AND(G3176="RECORDED",ISNUMBER(H3176)),H3176,"")</x:f>
        <x:v>26.32</x:v>
      </x:c>
      <x:c r="P3176" s="34" t="str">
        <x:v>NOT_REVEALING</x:v>
      </x:c>
      <x:c r="Q3176" s="34" t="str">
        <x:v>Feedback-Directed Random Test Generation/Result_Round2/JxPath_12/result.json</x:v>
      </x:c>
    </x:row>
    <x:row r="3177">
      <x:c r="A3177" s="34" t="str">
        <x:v>randoop</x:v>
      </x:c>
      <x:c r="B3177" s="34" t="str">
        <x:v>JxPath</x:v>
      </x:c>
      <x:c r="C3177" s="34" t="str">
        <x:v>Round2</x:v>
      </x:c>
      <x:c r="D3177" s="34" t="str">
        <x:v>JxPath_13</x:v>
      </x:c>
      <x:c r="E3177" s="34" t="str">
        <x:v>Line</x:v>
      </x:c>
      <x:c r="F3177" s="34" t="n">
        <x:v>414</x:v>
      </x:c>
      <x:c r="G3177" s="34" t="str">
        <x:v>RECORDED</x:v>
      </x:c>
      <x:c r="H3177" s="38" t="n">
        <x:f>IF(ISNUMBER('Data'!H1469),'Data'!H1469*100,"")</x:f>
        <x:v>33.33</x:v>
      </x:c>
      <x:c r="I3177" s="34" t="str">
        <x:v>PASS</x:v>
      </x:c>
      <x:c r="J3177" s="34" t="str">
        <x:v>PASS</x:v>
      </x:c>
      <x:c r="K3177" s="34" t="str">
        <x:v>PASS</x:v>
      </x:c>
      <x:c r="L3177" s="34" t="str">
        <x:v>FAIL</x:v>
      </x:c>
      <x:c r="M3177" s="34" t="str">
        <x:v>numeric coverage for applicable metric</x:v>
      </x:c>
      <x:c r="N3177" s="34" t="str">
        <x:v>Feedback-Directed Random Test Generation/Result_Round2/JxPath_13/result.json</x:v>
      </x:c>
      <x:c r="O3177" s="38" t="n">
        <x:f>IF(AND(G3177="RECORDED",ISNUMBER(H3177)),H3177,"")</x:f>
        <x:v>33.33</x:v>
      </x:c>
      <x:c r="P3177" s="34" t="str">
        <x:v>INCONCLUSIVE</x:v>
      </x:c>
      <x:c r="Q3177" s="34" t="str">
        <x:v>Feedback-Directed Random Test Generation/Result_Round2/JxPath_13/result.json</x:v>
      </x:c>
    </x:row>
    <x:row r="3178">
      <x:c r="A3178" s="34" t="str">
        <x:v>randoop</x:v>
      </x:c>
      <x:c r="B3178" s="34" t="str">
        <x:v>JxPath</x:v>
      </x:c>
      <x:c r="C3178" s="34" t="str">
        <x:v>Round2</x:v>
      </x:c>
      <x:c r="D3178" s="34" t="str">
        <x:v>JxPath_14</x:v>
      </x:c>
      <x:c r="E3178" s="34" t="str">
        <x:v>Line</x:v>
      </x:c>
      <x:c r="F3178" s="34" t="n">
        <x:v>355</x:v>
      </x:c>
      <x:c r="G3178" s="34" t="str">
        <x:v>RECORDED</x:v>
      </x:c>
      <x:c r="H3178" s="38" t="n">
        <x:f>IF(ISNUMBER('Data'!H1470),'Data'!H1470*100,"")</x:f>
        <x:v>36.06</x:v>
      </x:c>
      <x:c r="I3178" s="34" t="str">
        <x:v>PASS</x:v>
      </x:c>
      <x:c r="J3178" s="34" t="str">
        <x:v>PASS</x:v>
      </x:c>
      <x:c r="K3178" s="34" t="str">
        <x:v>PASS</x:v>
      </x:c>
      <x:c r="L3178" s="34" t="str">
        <x:v>PASS</x:v>
      </x:c>
      <x:c r="M3178" s="34" t="str">
        <x:v>numeric coverage for applicable metric</x:v>
      </x:c>
      <x:c r="N3178" s="34" t="str">
        <x:v>Feedback-Directed Random Test Generation/Result_Round2/JxPath_14/result.json</x:v>
      </x:c>
      <x:c r="O3178" s="38" t="n">
        <x:f>IF(AND(G3178="RECORDED",ISNUMBER(H3178)),H3178,"")</x:f>
        <x:v>36.06</x:v>
      </x:c>
      <x:c r="P3178" s="34" t="str">
        <x:v>NOT_REVEALING</x:v>
      </x:c>
      <x:c r="Q3178" s="34" t="str">
        <x:v>Feedback-Directed Random Test Generation/Result_Round2/JxPath_14/result.json</x:v>
      </x:c>
    </x:row>
    <x:row r="3179">
      <x:c r="A3179" s="34" t="str">
        <x:v>randoop</x:v>
      </x:c>
      <x:c r="B3179" s="34" t="str">
        <x:v>JxPath</x:v>
      </x:c>
      <x:c r="C3179" s="34" t="str">
        <x:v>Round2</x:v>
      </x:c>
      <x:c r="D3179" s="34" t="str">
        <x:v>JxPath_15</x:v>
      </x:c>
      <x:c r="E3179" s="34" t="str">
        <x:v>Line</x:v>
      </x:c>
      <x:c r="F3179" s="34" t="n">
        <x:v>18</x:v>
      </x:c>
      <x:c r="G3179" s="34" t="str">
        <x:v>RECORDED</x:v>
      </x:c>
      <x:c r="H3179" s="38" t="n">
        <x:f>IF(ISNUMBER('Data'!H1471),'Data'!H1471*100,"")</x:f>
        <x:v>72.22</x:v>
      </x:c>
      <x:c r="I3179" s="34" t="str">
        <x:v>PASS</x:v>
      </x:c>
      <x:c r="J3179" s="34" t="str">
        <x:v>PASS</x:v>
      </x:c>
      <x:c r="K3179" s="34" t="str">
        <x:v>PASS</x:v>
      </x:c>
      <x:c r="L3179" s="34" t="str">
        <x:v>PASS</x:v>
      </x:c>
      <x:c r="M3179" s="34" t="str">
        <x:v>numeric coverage for applicable metric</x:v>
      </x:c>
      <x:c r="N3179" s="34" t="str">
        <x:v>Feedback-Directed Random Test Generation/Result_Round2/JxPath_15/result.json</x:v>
      </x:c>
      <x:c r="O3179" s="38" t="n">
        <x:f>IF(AND(G3179="RECORDED",ISNUMBER(H3179)),H3179,"")</x:f>
        <x:v>72.22</x:v>
      </x:c>
      <x:c r="P3179" s="34" t="str">
        <x:v>NOT_REVEALING</x:v>
      </x:c>
      <x:c r="Q3179" s="34" t="str">
        <x:v>Feedback-Directed Random Test Generation/Result_Round2/JxPath_15/result.json</x:v>
      </x:c>
    </x:row>
    <x:row r="3180">
      <x:c r="A3180" s="34" t="str">
        <x:v>randoop</x:v>
      </x:c>
      <x:c r="B3180" s="34" t="str">
        <x:v>JxPath</x:v>
      </x:c>
      <x:c r="C3180" s="34" t="str">
        <x:v>Round2</x:v>
      </x:c>
      <x:c r="D3180" s="34" t="str">
        <x:v>JxPath_16</x:v>
      </x:c>
      <x:c r="E3180" s="34" t="str">
        <x:v>Line</x:v>
      </x:c>
      <x:c r="F3180" s="34" t="n">
        <x:v>767</x:v>
      </x:c>
      <x:c r="G3180" s="34" t="str">
        <x:v>RECORDED</x:v>
      </x:c>
      <x:c r="H3180" s="38" t="n">
        <x:f>IF(ISNUMBER('Data'!H1472),'Data'!H1472*100,"")</x:f>
        <x:v>28.939999999999998</x:v>
      </x:c>
      <x:c r="I3180" s="34" t="str">
        <x:v>PASS</x:v>
      </x:c>
      <x:c r="J3180" s="34" t="str">
        <x:v>PASS</x:v>
      </x:c>
      <x:c r="K3180" s="34" t="str">
        <x:v>PASS</x:v>
      </x:c>
      <x:c r="L3180" s="34" t="str">
        <x:v>PASS</x:v>
      </x:c>
      <x:c r="M3180" s="34" t="str">
        <x:v>numeric coverage for applicable metric</x:v>
      </x:c>
      <x:c r="N3180" s="34" t="str">
        <x:v>Feedback-Directed Random Test Generation/Result_Round2/JxPath_16/result.json</x:v>
      </x:c>
      <x:c r="O3180" s="38" t="n">
        <x:f>IF(AND(G3180="RECORDED",ISNUMBER(H3180)),H3180,"")</x:f>
        <x:v>28.939999999999998</x:v>
      </x:c>
      <x:c r="P3180" s="34" t="str">
        <x:v>NOT_REVEALING</x:v>
      </x:c>
      <x:c r="Q3180" s="34" t="str">
        <x:v>Feedback-Directed Random Test Generation/Result_Round2/JxPath_16/result.json</x:v>
      </x:c>
    </x:row>
    <x:row r="3181">
      <x:c r="A3181" s="34" t="str">
        <x:v>randoop</x:v>
      </x:c>
      <x:c r="B3181" s="34" t="str">
        <x:v>JxPath</x:v>
      </x:c>
      <x:c r="C3181" s="34" t="str">
        <x:v>Round2</x:v>
      </x:c>
      <x:c r="D3181" s="34" t="str">
        <x:v>JxPath_17</x:v>
      </x:c>
      <x:c r="E3181" s="34" t="str">
        <x:v>Line</x:v>
      </x:c>
      <x:c r="F3181" s="34" t="n">
        <x:v>113</x:v>
      </x:c>
      <x:c r="G3181" s="34" t="str">
        <x:v>RECORDED</x:v>
      </x:c>
      <x:c r="H3181" s="38" t="n">
        <x:f>IF(ISNUMBER('Data'!H1473),'Data'!H1473*100,"")</x:f>
        <x:v>8.85</x:v>
      </x:c>
      <x:c r="I3181" s="34" t="str">
        <x:v>PASS</x:v>
      </x:c>
      <x:c r="J3181" s="34" t="str">
        <x:v>PASS</x:v>
      </x:c>
      <x:c r="K3181" s="34" t="str">
        <x:v>PASS</x:v>
      </x:c>
      <x:c r="L3181" s="34" t="str">
        <x:v>PASS</x:v>
      </x:c>
      <x:c r="M3181" s="34" t="str">
        <x:v>numeric coverage for applicable metric</x:v>
      </x:c>
      <x:c r="N3181" s="34" t="str">
        <x:v>Feedback-Directed Random Test Generation/Result_Round2/JxPath_17/result.json</x:v>
      </x:c>
      <x:c r="O3181" s="38" t="n">
        <x:f>IF(AND(G3181="RECORDED",ISNUMBER(H3181)),H3181,"")</x:f>
        <x:v>8.85</x:v>
      </x:c>
      <x:c r="P3181" s="34" t="str">
        <x:v>NOT_REVEALING</x:v>
      </x:c>
      <x:c r="Q3181" s="34" t="str">
        <x:v>Feedback-Directed Random Test Generation/Result_Round2/JxPath_17/result.json</x:v>
      </x:c>
    </x:row>
    <x:row r="3182">
      <x:c r="A3182" s="34" t="str">
        <x:v>randoop</x:v>
      </x:c>
      <x:c r="B3182" s="34" t="str">
        <x:v>JxPath</x:v>
      </x:c>
      <x:c r="C3182" s="34" t="str">
        <x:v>Round2</x:v>
      </x:c>
      <x:c r="D3182" s="34" t="str">
        <x:v>JxPath_18</x:v>
      </x:c>
      <x:c r="E3182" s="34" t="str">
        <x:v>Line</x:v>
      </x:c>
      <x:c r="F3182" s="34" t="n">
        <x:v>29</x:v>
      </x:c>
      <x:c r="G3182" s="34" t="str">
        <x:v>RECORDED</x:v>
      </x:c>
      <x:c r="H3182" s="38" t="n">
        <x:f>IF(ISNUMBER('Data'!H1474),'Data'!H1474*100,"")</x:f>
        <x:v>75.86</x:v>
      </x:c>
      <x:c r="I3182" s="34" t="str">
        <x:v>PASS</x:v>
      </x:c>
      <x:c r="J3182" s="34" t="str">
        <x:v>PASS</x:v>
      </x:c>
      <x:c r="K3182" s="34" t="str">
        <x:v>PASS</x:v>
      </x:c>
      <x:c r="L3182" s="34" t="str">
        <x:v>PASS</x:v>
      </x:c>
      <x:c r="M3182" s="34" t="str">
        <x:v>numeric coverage for applicable metric</x:v>
      </x:c>
      <x:c r="N3182" s="34" t="str">
        <x:v>Feedback-Directed Random Test Generation/Result_Round2/JxPath_18/result.json</x:v>
      </x:c>
      <x:c r="O3182" s="38" t="n">
        <x:f>IF(AND(G3182="RECORDED",ISNUMBER(H3182)),H3182,"")</x:f>
        <x:v>75.86</x:v>
      </x:c>
      <x:c r="P3182" s="34" t="str">
        <x:v>NOT_REVEALING</x:v>
      </x:c>
      <x:c r="Q3182" s="34" t="str">
        <x:v>Feedback-Directed Random Test Generation/Result_Round2/JxPath_18/result.json</x:v>
      </x:c>
    </x:row>
    <x:row r="3183">
      <x:c r="A3183" s="34" t="str">
        <x:v>randoop</x:v>
      </x:c>
      <x:c r="B3183" s="34" t="str">
        <x:v>JxPath</x:v>
      </x:c>
      <x:c r="C3183" s="34" t="str">
        <x:v>Round2</x:v>
      </x:c>
      <x:c r="D3183" s="34" t="str">
        <x:v>JxPath_19</x:v>
      </x:c>
      <x:c r="E3183" s="34" t="str">
        <x:v>Line</x:v>
      </x:c>
      <x:c r="F3183" s="34" t="n">
        <x:v>728</x:v>
      </x:c>
      <x:c r="G3183" s="34" t="str">
        <x:v>RECORDED</x:v>
      </x:c>
      <x:c r="H3183" s="38" t="n">
        <x:f>IF(ISNUMBER('Data'!H1475),'Data'!H1475*100,"")</x:f>
        <x:v>21.43</x:v>
      </x:c>
      <x:c r="I3183" s="34" t="str">
        <x:v>PASS</x:v>
      </x:c>
      <x:c r="J3183" s="34" t="str">
        <x:v>PASS</x:v>
      </x:c>
      <x:c r="K3183" s="34" t="str">
        <x:v>PASS</x:v>
      </x:c>
      <x:c r="L3183" s="34" t="str">
        <x:v>PASS</x:v>
      </x:c>
      <x:c r="M3183" s="34" t="str">
        <x:v>numeric coverage for applicable metric</x:v>
      </x:c>
      <x:c r="N3183" s="34" t="str">
        <x:v>Feedback-Directed Random Test Generation/Result_Round2/JxPath_19/result.json</x:v>
      </x:c>
      <x:c r="O3183" s="38" t="n">
        <x:f>IF(AND(G3183="RECORDED",ISNUMBER(H3183)),H3183,"")</x:f>
        <x:v>21.43</x:v>
      </x:c>
      <x:c r="P3183" s="34" t="str">
        <x:v>NOT_REVEALING</x:v>
      </x:c>
      <x:c r="Q3183" s="34" t="str">
        <x:v>Feedback-Directed Random Test Generation/Result_Round2/JxPath_19/result.json</x:v>
      </x:c>
    </x:row>
    <x:row r="3184">
      <x:c r="A3184" s="34" t="str">
        <x:v>randoop</x:v>
      </x:c>
      <x:c r="B3184" s="34" t="str">
        <x:v>JxPath</x:v>
      </x:c>
      <x:c r="C3184" s="34" t="str">
        <x:v>Round2</x:v>
      </x:c>
      <x:c r="D3184" s="34" t="str">
        <x:v>JxPath_20</x:v>
      </x:c>
      <x:c r="E3184" s="34" t="str">
        <x:v>Line</x:v>
      </x:c>
      <x:c r="F3184" s="34" t="n">
        <x:v>43</x:v>
      </x:c>
      <x:c r="G3184" s="34" t="str">
        <x:v>RECORDED</x:v>
      </x:c>
      <x:c r="H3184" s="38" t="n">
        <x:f>IF(ISNUMBER('Data'!H1476),'Data'!H1476*100,"")</x:f>
        <x:v>0</x:v>
      </x:c>
      <x:c r="I3184" s="34" t="str">
        <x:v>PASS</x:v>
      </x:c>
      <x:c r="J3184" s="34" t="str">
        <x:v>PASS</x:v>
      </x:c>
      <x:c r="K3184" s="34" t="str">
        <x:v>PASS</x:v>
      </x:c>
      <x:c r="L3184" s="34" t="str">
        <x:v>PASS</x:v>
      </x:c>
      <x:c r="M3184" s="34" t="str">
        <x:v>numeric coverage for applicable metric</x:v>
      </x:c>
      <x:c r="N3184" s="34" t="str">
        <x:v>Feedback-Directed Random Test Generation/Result_Round2/JxPath_20/result.json</x:v>
      </x:c>
      <x:c r="O3184" s="38" t="n">
        <x:f>IF(AND(G3184="RECORDED",ISNUMBER(H3184)),H3184,"")</x:f>
        <x:v>0</x:v>
      </x:c>
      <x:c r="P3184" s="34" t="str">
        <x:v>NOT_REVEALING</x:v>
      </x:c>
      <x:c r="Q3184" s="34" t="str">
        <x:v>Feedback-Directed Random Test Generation/Result_Round2/JxPath_20/result.json</x:v>
      </x:c>
    </x:row>
    <x:row r="3185">
      <x:c r="A3185" s="34" t="str">
        <x:v>randoop</x:v>
      </x:c>
      <x:c r="B3185" s="34" t="str">
        <x:v>JxPath</x:v>
      </x:c>
      <x:c r="C3185" s="34" t="str">
        <x:v>Round2</x:v>
      </x:c>
      <x:c r="D3185" s="34" t="str">
        <x:v>JxPath_21</x:v>
      </x:c>
      <x:c r="E3185" s="34" t="str">
        <x:v>Line</x:v>
      </x:c>
      <x:c r="F3185" s="34" t="n">
        <x:v>70</x:v>
      </x:c>
      <x:c r="G3185" s="34" t="str">
        <x:v>RECORDED</x:v>
      </x:c>
      <x:c r="H3185" s="38" t="n">
        <x:f>IF(ISNUMBER('Data'!H1477),'Data'!H1477*100,"")</x:f>
        <x:v>7.139999999999999</x:v>
      </x:c>
      <x:c r="I3185" s="34" t="str">
        <x:v>PASS</x:v>
      </x:c>
      <x:c r="J3185" s="34" t="str">
        <x:v>PASS</x:v>
      </x:c>
      <x:c r="K3185" s="34" t="str">
        <x:v>PASS</x:v>
      </x:c>
      <x:c r="L3185" s="34" t="str">
        <x:v>PASS</x:v>
      </x:c>
      <x:c r="M3185" s="34" t="str">
        <x:v>numeric coverage for applicable metric</x:v>
      </x:c>
      <x:c r="N3185" s="34" t="str">
        <x:v>Feedback-Directed Random Test Generation/Result_Round2/JxPath_21/result.json</x:v>
      </x:c>
      <x:c r="O3185" s="38" t="n">
        <x:f>IF(AND(G3185="RECORDED",ISNUMBER(H3185)),H3185,"")</x:f>
        <x:v>7.139999999999999</x:v>
      </x:c>
      <x:c r="P3185" s="34" t="str">
        <x:v>NOT_REVEALING</x:v>
      </x:c>
      <x:c r="Q3185" s="34" t="str">
        <x:v>Feedback-Directed Random Test Generation/Result_Round2/JxPath_21/result.json</x:v>
      </x:c>
    </x:row>
    <x:row r="3186">
      <x:c r="A3186" s="34" t="str">
        <x:v>randoop</x:v>
      </x:c>
      <x:c r="B3186" s="34" t="str">
        <x:v>JxPath</x:v>
      </x:c>
      <x:c r="C3186" s="34" t="str">
        <x:v>Round2</x:v>
      </x:c>
      <x:c r="D3186" s="34" t="str">
        <x:v>JxPath_22</x:v>
      </x:c>
      <x:c r="E3186" s="34" t="str">
        <x:v>Line</x:v>
      </x:c>
      <x:c r="F3186" s="34" t="n">
        <x:v>354</x:v>
      </x:c>
      <x:c r="G3186" s="34" t="str">
        <x:v>RECORDED</x:v>
      </x:c>
      <x:c r="H3186" s="38" t="n">
        <x:f>IF(ISNUMBER('Data'!H1478),'Data'!H1478*100,"")</x:f>
        <x:v>14.41</x:v>
      </x:c>
      <x:c r="I3186" s="34" t="str">
        <x:v>PASS</x:v>
      </x:c>
      <x:c r="J3186" s="34" t="str">
        <x:v>PASS</x:v>
      </x:c>
      <x:c r="K3186" s="34" t="str">
        <x:v>PASS</x:v>
      </x:c>
      <x:c r="L3186" s="34" t="str">
        <x:v>PASS</x:v>
      </x:c>
      <x:c r="M3186" s="34" t="str">
        <x:v>numeric coverage for applicable metric</x:v>
      </x:c>
      <x:c r="N3186" s="34" t="str">
        <x:v>Feedback-Directed Random Test Generation/Result_Round2/JxPath_22/result.json</x:v>
      </x:c>
      <x:c r="O3186" s="38" t="n">
        <x:f>IF(AND(G3186="RECORDED",ISNUMBER(H3186)),H3186,"")</x:f>
        <x:v>14.41</x:v>
      </x:c>
      <x:c r="P3186" s="34" t="str">
        <x:v>NOT_REVEALING</x:v>
      </x:c>
      <x:c r="Q3186" s="34" t="str">
        <x:v>Feedback-Directed Random Test Generation/Result_Round2/JxPath_22/result.json</x:v>
      </x:c>
    </x:row>
    <x:row r="3187">
      <x:c r="A3187" s="34" t="str">
        <x:v>randoop</x:v>
      </x:c>
      <x:c r="B3187" s="34" t="str">
        <x:v>Lang</x:v>
      </x:c>
      <x:c r="C3187" s="34" t="str">
        <x:v>Round2</x:v>
      </x:c>
      <x:c r="D3187" s="34" t="str">
        <x:v>Lang_1</x:v>
      </x:c>
      <x:c r="E3187" s="34" t="str">
        <x:v>Line</x:v>
      </x:c>
      <x:c r="F3187" s="34" t="n">
        <x:v>375</x:v>
      </x:c>
      <x:c r="G3187" s="34" t="str">
        <x:v>RECORDED</x:v>
      </x:c>
      <x:c r="H3187" s="38" t="n">
        <x:f>IF(ISNUMBER('Data'!H1479),'Data'!H1479*100,"")</x:f>
        <x:v>65.6</x:v>
      </x:c>
      <x:c r="I3187" s="34" t="str">
        <x:v>PASS</x:v>
      </x:c>
      <x:c r="J3187" s="34" t="str">
        <x:v>PASS</x:v>
      </x:c>
      <x:c r="K3187" s="34" t="str">
        <x:v>PASS</x:v>
      </x:c>
      <x:c r="L3187" s="34" t="str">
        <x:v>PASS</x:v>
      </x:c>
      <x:c r="M3187" s="34" t="str">
        <x:v>numeric coverage for applicable metric</x:v>
      </x:c>
      <x:c r="N3187" s="34" t="str">
        <x:v>Feedback-Directed Random Test Generation/Result_Round2/Lang_1/result.json</x:v>
      </x:c>
      <x:c r="O3187" s="38" t="n">
        <x:f>IF(AND(G3187="RECORDED",ISNUMBER(H3187)),H3187,"")</x:f>
        <x:v>65.6</x:v>
      </x:c>
      <x:c r="P3187" s="34" t="str">
        <x:v>NOT_REVEALING</x:v>
      </x:c>
      <x:c r="Q3187" s="34" t="str">
        <x:v>Feedback-Directed Random Test Generation/Result_Round2/Lang_1/result.json</x:v>
      </x:c>
    </x:row>
    <x:row r="3188">
      <x:c r="A3188" s="34" t="str">
        <x:v>randoop</x:v>
      </x:c>
      <x:c r="B3188" s="34" t="str">
        <x:v>Lang</x:v>
      </x:c>
      <x:c r="C3188" s="34" t="str">
        <x:v>Round2</x:v>
      </x:c>
      <x:c r="D3188" s="34" t="str">
        <x:v>Lang_3</x:v>
      </x:c>
      <x:c r="E3188" s="34" t="str">
        <x:v>Line</x:v>
      </x:c>
      <x:c r="F3188" s="34" t="n">
        <x:v>373</x:v>
      </x:c>
      <x:c r="G3188" s="34" t="str">
        <x:v>RECORDED</x:v>
      </x:c>
      <x:c r="H3188" s="38" t="n">
        <x:f>IF(ISNUMBER('Data'!H1480),'Data'!H1480*100,"")</x:f>
        <x:v>65.95</x:v>
      </x:c>
      <x:c r="I3188" s="34" t="str">
        <x:v>PASS</x:v>
      </x:c>
      <x:c r="J3188" s="34" t="str">
        <x:v>PASS</x:v>
      </x:c>
      <x:c r="K3188" s="34" t="str">
        <x:v>PASS</x:v>
      </x:c>
      <x:c r="L3188" s="34" t="str">
        <x:v>PASS</x:v>
      </x:c>
      <x:c r="M3188" s="34" t="str">
        <x:v>numeric coverage for applicable metric</x:v>
      </x:c>
      <x:c r="N3188" s="34" t="str">
        <x:v>Feedback-Directed Random Test Generation/Result_Round2/Lang_3/result.json</x:v>
      </x:c>
      <x:c r="O3188" s="38" t="n">
        <x:f>IF(AND(G3188="RECORDED",ISNUMBER(H3188)),H3188,"")</x:f>
        <x:v>65.95</x:v>
      </x:c>
      <x:c r="P3188" s="34" t="str">
        <x:v>NOT_REVEALING</x:v>
      </x:c>
      <x:c r="Q3188" s="34" t="str">
        <x:v>Feedback-Directed Random Test Generation/Result_Round2/Lang_3/result.json</x:v>
      </x:c>
    </x:row>
    <x:row r="3189">
      <x:c r="A3189" s="34" t="str">
        <x:v>randoop</x:v>
      </x:c>
      <x:c r="B3189" s="34" t="str">
        <x:v>Lang</x:v>
      </x:c>
      <x:c r="C3189" s="34" t="str">
        <x:v>Round2</x:v>
      </x:c>
      <x:c r="D3189" s="34" t="str">
        <x:v>Lang_4</x:v>
      </x:c>
      <x:c r="E3189" s="34" t="str">
        <x:v>Line</x:v>
      </x:c>
      <x:c r="F3189" s="34" t="n">
        <x:v>25</x:v>
      </x:c>
      <x:c r="G3189" s="34" t="str">
        <x:v>RECORDED</x:v>
      </x:c>
      <x:c r="H3189" s="38" t="n">
        <x:f>IF(ISNUMBER('Data'!H1481),'Data'!H1481*100,"")</x:f>
        <x:v>100</x:v>
      </x:c>
      <x:c r="I3189" s="34" t="str">
        <x:v>PASS</x:v>
      </x:c>
      <x:c r="J3189" s="34" t="str">
        <x:v>PASS</x:v>
      </x:c>
      <x:c r="K3189" s="34" t="str">
        <x:v>PASS</x:v>
      </x:c>
      <x:c r="L3189" s="34" t="str">
        <x:v>PASS</x:v>
      </x:c>
      <x:c r="M3189" s="34" t="str">
        <x:v>numeric coverage for applicable metric</x:v>
      </x:c>
      <x:c r="N3189" s="34" t="str">
        <x:v>Feedback-Directed Random Test Generation/Result_Round2/Lang_4/result.json</x:v>
      </x:c>
      <x:c r="O3189" s="38" t="n">
        <x:f>IF(AND(G3189="RECORDED",ISNUMBER(H3189)),H3189,"")</x:f>
        <x:v>100</x:v>
      </x:c>
      <x:c r="P3189" s="34" t="str">
        <x:v>NOT_REVEALING</x:v>
      </x:c>
      <x:c r="Q3189" s="34" t="str">
        <x:v>Feedback-Directed Random Test Generation/Result_Round2/Lang_4/result.json</x:v>
      </x:c>
    </x:row>
    <x:row r="3190">
      <x:c r="A3190" s="34" t="str">
        <x:v>randoop</x:v>
      </x:c>
      <x:c r="B3190" s="34" t="str">
        <x:v>Lang</x:v>
      </x:c>
      <x:c r="C3190" s="34" t="str">
        <x:v>Round2</x:v>
      </x:c>
      <x:c r="D3190" s="34" t="str">
        <x:v>Lang_5</x:v>
      </x:c>
      <x:c r="E3190" s="34" t="str">
        <x:v>Line</x:v>
      </x:c>
      <x:c r="F3190" s="34" t="n">
        <x:v>82</x:v>
      </x:c>
      <x:c r="G3190" s="34" t="str">
        <x:v>RECORDED</x:v>
      </x:c>
      <x:c r="H3190" s="38" t="n">
        <x:f>IF(ISNUMBER('Data'!H1482),'Data'!H1482*100,"")</x:f>
        <x:v>64.63</x:v>
      </x:c>
      <x:c r="I3190" s="34" t="str">
        <x:v>PASS</x:v>
      </x:c>
      <x:c r="J3190" s="34" t="str">
        <x:v>PASS</x:v>
      </x:c>
      <x:c r="K3190" s="34" t="str">
        <x:v>PASS</x:v>
      </x:c>
      <x:c r="L3190" s="34" t="str">
        <x:v>PASS</x:v>
      </x:c>
      <x:c r="M3190" s="34" t="str">
        <x:v>numeric coverage for applicable metric</x:v>
      </x:c>
      <x:c r="N3190" s="34" t="str">
        <x:v>Feedback-Directed Random Test Generation/Result_Round2/Lang_5/result.json</x:v>
      </x:c>
      <x:c r="O3190" s="38" t="n">
        <x:f>IF(AND(G3190="RECORDED",ISNUMBER(H3190)),H3190,"")</x:f>
        <x:v>64.63</x:v>
      </x:c>
      <x:c r="P3190" s="34" t="str">
        <x:v>NOT_REVEALING</x:v>
      </x:c>
      <x:c r="Q3190" s="34" t="str">
        <x:v>Feedback-Directed Random Test Generation/Result_Round2/Lang_5/result.json</x:v>
      </x:c>
    </x:row>
    <x:row r="3191">
      <x:c r="A3191" s="34" t="str">
        <x:v>randoop</x:v>
      </x:c>
      <x:c r="B3191" s="34" t="str">
        <x:v>Lang</x:v>
      </x:c>
      <x:c r="C3191" s="34" t="str">
        <x:v>Round2</x:v>
      </x:c>
      <x:c r="D3191" s="34" t="str">
        <x:v>Lang_6</x:v>
      </x:c>
      <x:c r="E3191" s="34" t="str">
        <x:v>Line</x:v>
      </x:c>
      <x:c r="F3191" s="34" t="n">
        <x:v>30</x:v>
      </x:c>
      <x:c r="G3191" s="34" t="str">
        <x:v>RECORDED</x:v>
      </x:c>
      <x:c r="H3191" s="38" t="n">
        <x:f>IF(ISNUMBER('Data'!H1483),'Data'!H1483*100,"")</x:f>
        <x:v>3.3300000000000005</x:v>
      </x:c>
      <x:c r="I3191" s="34" t="str">
        <x:v>PASS</x:v>
      </x:c>
      <x:c r="J3191" s="34" t="str">
        <x:v>PASS</x:v>
      </x:c>
      <x:c r="K3191" s="34" t="str">
        <x:v>PASS</x:v>
      </x:c>
      <x:c r="L3191" s="34" t="str">
        <x:v>PASS</x:v>
      </x:c>
      <x:c r="M3191" s="34" t="str">
        <x:v>numeric coverage for applicable metric</x:v>
      </x:c>
      <x:c r="N3191" s="34" t="str">
        <x:v>Feedback-Directed Random Test Generation/Result_Round2/Lang_6/result.json</x:v>
      </x:c>
      <x:c r="O3191" s="38" t="n">
        <x:f>IF(AND(G3191="RECORDED",ISNUMBER(H3191)),H3191,"")</x:f>
        <x:v>3.3300000000000005</x:v>
      </x:c>
      <x:c r="P3191" s="34" t="str">
        <x:v>NOT_REVEALING</x:v>
      </x:c>
      <x:c r="Q3191" s="34" t="str">
        <x:v>Feedback-Directed Random Test Generation/Result_Round2/Lang_6/result.json</x:v>
      </x:c>
    </x:row>
    <x:row r="3192">
      <x:c r="A3192" s="34" t="str">
        <x:v>randoop</x:v>
      </x:c>
      <x:c r="B3192" s="34" t="str">
        <x:v>Lang</x:v>
      </x:c>
      <x:c r="C3192" s="34" t="str">
        <x:v>Round2</x:v>
      </x:c>
      <x:c r="D3192" s="34" t="str">
        <x:v>Lang_7</x:v>
      </x:c>
      <x:c r="E3192" s="34" t="str">
        <x:v>Line</x:v>
      </x:c>
      <x:c r="F3192" s="34" t="n">
        <x:v>380</x:v>
      </x:c>
      <x:c r="G3192" s="34" t="str">
        <x:v>RECORDED</x:v>
      </x:c>
      <x:c r="H3192" s="38" t="n">
        <x:f>IF(ISNUMBER('Data'!H1484),'Data'!H1484*100,"")</x:f>
        <x:v>67.89</x:v>
      </x:c>
      <x:c r="I3192" s="34" t="str">
        <x:v>PASS</x:v>
      </x:c>
      <x:c r="J3192" s="34" t="str">
        <x:v>PASS</x:v>
      </x:c>
      <x:c r="K3192" s="34" t="str">
        <x:v>PASS</x:v>
      </x:c>
      <x:c r="L3192" s="34" t="str">
        <x:v>PASS</x:v>
      </x:c>
      <x:c r="M3192" s="34" t="str">
        <x:v>numeric coverage for applicable metric</x:v>
      </x:c>
      <x:c r="N3192" s="34" t="str">
        <x:v>Feedback-Directed Random Test Generation/Result_Round2/Lang_7/result.json</x:v>
      </x:c>
      <x:c r="O3192" s="38" t="n">
        <x:f>IF(AND(G3192="RECORDED",ISNUMBER(H3192)),H3192,"")</x:f>
        <x:v>67.89</x:v>
      </x:c>
      <x:c r="P3192" s="34" t="str">
        <x:v>NOT_REVEALING</x:v>
      </x:c>
      <x:c r="Q3192" s="34" t="str">
        <x:v>Feedback-Directed Random Test Generation/Result_Round2/Lang_7/result.json</x:v>
      </x:c>
    </x:row>
    <x:row r="3193">
      <x:c r="A3193" s="34" t="str">
        <x:v>randoop</x:v>
      </x:c>
      <x:c r="B3193" s="34" t="str">
        <x:v>Lang</x:v>
      </x:c>
      <x:c r="C3193" s="34" t="str">
        <x:v>Round2</x:v>
      </x:c>
      <x:c r="D3193" s="34" t="str">
        <x:v>Lang_8</x:v>
      </x:c>
      <x:c r="E3193" s="34" t="str">
        <x:v>Line</x:v>
      </x:c>
      <x:c r="F3193" s="34" t="n">
        <x:v>337</x:v>
      </x:c>
      <x:c r="G3193" s="34" t="str">
        <x:v>RECORDED</x:v>
      </x:c>
      <x:c r="H3193" s="38" t="n">
        <x:f>IF(ISNUMBER('Data'!H1485),'Data'!H1485*100,"")</x:f>
        <x:v>5.34</x:v>
      </x:c>
      <x:c r="I3193" s="34" t="str">
        <x:v>PASS</x:v>
      </x:c>
      <x:c r="J3193" s="34" t="str">
        <x:v>PASS</x:v>
      </x:c>
      <x:c r="K3193" s="34" t="str">
        <x:v>PASS</x:v>
      </x:c>
      <x:c r="L3193" s="34" t="str">
        <x:v>PASS</x:v>
      </x:c>
      <x:c r="M3193" s="34" t="str">
        <x:v>numeric coverage for applicable metric</x:v>
      </x:c>
      <x:c r="N3193" s="34" t="str">
        <x:v>Feedback-Directed Random Test Generation/Result_Round2/Lang_8/result.json</x:v>
      </x:c>
      <x:c r="O3193" s="38" t="n">
        <x:f>IF(AND(G3193="RECORDED",ISNUMBER(H3193)),H3193,"")</x:f>
        <x:v>5.34</x:v>
      </x:c>
      <x:c r="P3193" s="34" t="str">
        <x:v>NOT_REVEALING</x:v>
      </x:c>
      <x:c r="Q3193" s="34" t="str">
        <x:v>Feedback-Directed Random Test Generation/Result_Round2/Lang_8/result.json</x:v>
      </x:c>
    </x:row>
    <x:row r="3194">
      <x:c r="A3194" s="34" t="str">
        <x:v>randoop</x:v>
      </x:c>
      <x:c r="B3194" s="34" t="str">
        <x:v>Lang</x:v>
      </x:c>
      <x:c r="C3194" s="34" t="str">
        <x:v>Round2</x:v>
      </x:c>
      <x:c r="D3194" s="34" t="str">
        <x:v>Lang_9</x:v>
      </x:c>
      <x:c r="E3194" s="34" t="str">
        <x:v>Line</x:v>
      </x:c>
      <x:c r="F3194" s="34" t="n">
        <x:v>273</x:v>
      </x:c>
      <x:c r="G3194" s="34" t="str">
        <x:v>RECORDED</x:v>
      </x:c>
      <x:c r="H3194" s="38" t="n">
        <x:f>IF(ISNUMBER('Data'!H1486),'Data'!H1486*100,"")</x:f>
        <x:v>14.649999999999999</x:v>
      </x:c>
      <x:c r="I3194" s="34" t="str">
        <x:v>PASS</x:v>
      </x:c>
      <x:c r="J3194" s="34" t="str">
        <x:v>PASS</x:v>
      </x:c>
      <x:c r="K3194" s="34" t="str">
        <x:v>PASS</x:v>
      </x:c>
      <x:c r="L3194" s="34" t="str">
        <x:v>PASS</x:v>
      </x:c>
      <x:c r="M3194" s="34" t="str">
        <x:v>numeric coverage for applicable metric</x:v>
      </x:c>
      <x:c r="N3194" s="34" t="str">
        <x:v>Feedback-Directed Random Test Generation/Result_Round2/Lang_9/result.json</x:v>
      </x:c>
      <x:c r="O3194" s="38" t="n">
        <x:f>IF(AND(G3194="RECORDED",ISNUMBER(H3194)),H3194,"")</x:f>
        <x:v>14.649999999999999</x:v>
      </x:c>
      <x:c r="P3194" s="34" t="str">
        <x:v>NOT_REVEALING</x:v>
      </x:c>
      <x:c r="Q3194" s="34" t="str">
        <x:v>Feedback-Directed Random Test Generation/Result_Round2/Lang_9/result.json</x:v>
      </x:c>
    </x:row>
    <x:row r="3195">
      <x:c r="A3195" s="34" t="str">
        <x:v>randoop</x:v>
      </x:c>
      <x:c r="B3195" s="34" t="str">
        <x:v>Lang</x:v>
      </x:c>
      <x:c r="C3195" s="34" t="str">
        <x:v>Round2</x:v>
      </x:c>
      <x:c r="D3195" s="34" t="str">
        <x:v>Lang_10</x:v>
      </x:c>
      <x:c r="E3195" s="34" t="str">
        <x:v>Line</x:v>
      </x:c>
      <x:c r="F3195" s="34" t="n">
        <x:v>279</x:v>
      </x:c>
      <x:c r="G3195" s="34" t="str">
        <x:v>RECORDED</x:v>
      </x:c>
      <x:c r="H3195" s="38" t="n">
        <x:f>IF(ISNUMBER('Data'!H1487),'Data'!H1487*100,"")</x:f>
        <x:v>14.34</x:v>
      </x:c>
      <x:c r="I3195" s="34" t="str">
        <x:v>PASS</x:v>
      </x:c>
      <x:c r="J3195" s="34" t="str">
        <x:v>PASS</x:v>
      </x:c>
      <x:c r="K3195" s="34" t="str">
        <x:v>PASS</x:v>
      </x:c>
      <x:c r="L3195" s="34" t="str">
        <x:v>PASS</x:v>
      </x:c>
      <x:c r="M3195" s="34" t="str">
        <x:v>numeric coverage for applicable metric</x:v>
      </x:c>
      <x:c r="N3195" s="34" t="str">
        <x:v>Feedback-Directed Random Test Generation/Result_Round2/Lang_10/result.json</x:v>
      </x:c>
      <x:c r="O3195" s="38" t="n">
        <x:f>IF(AND(G3195="RECORDED",ISNUMBER(H3195)),H3195,"")</x:f>
        <x:v>14.34</x:v>
      </x:c>
      <x:c r="P3195" s="34" t="str">
        <x:v>NOT_REVEALING</x:v>
      </x:c>
      <x:c r="Q3195" s="34" t="str">
        <x:v>Feedback-Directed Random Test Generation/Result_Round2/Lang_10/result.json</x:v>
      </x:c>
    </x:row>
    <x:row r="3196">
      <x:c r="A3196" s="34" t="str">
        <x:v>randoop</x:v>
      </x:c>
      <x:c r="B3196" s="34" t="str">
        <x:v>Lang</x:v>
      </x:c>
      <x:c r="C3196" s="34" t="str">
        <x:v>Round2</x:v>
      </x:c>
      <x:c r="D3196" s="34" t="str">
        <x:v>Lang_11</x:v>
      </x:c>
      <x:c r="E3196" s="34" t="str">
        <x:v>Line</x:v>
      </x:c>
      <x:c r="F3196" s="34" t="n">
        <x:v>0</x:v>
      </x:c>
      <x:c r="G3196" s="34" t="str">
        <x:v>A</x:v>
      </x:c>
      <x:c r="H3196" s="38" t="str">
        <x:f>IF(ISNUMBER('Data'!H1488),'Data'!H1488*100,"")</x:f>
      </x:c>
      <x:c r="I3196" s="34"/>
      <x:c r="J3196" s="34"/>
      <x:c r="K3196" s="34"/>
      <x:c r="L3196" s="34" t="str">
        <x:v>NOT_RUN</x:v>
      </x:c>
      <x:c r="M3196" s="34" t="str">
        <x:v>Latest same-round generation failed; older files/results are excluded</x:v>
      </x:c>
      <x:c r="N3196" s="34" t="str">
        <x:v>Feedback-Directed Random Test Generation/report_Round2.csv</x:v>
      </x:c>
      <x:c r="O3196" s="38" t="str">
        <x:f>IF(AND(G3196="RECORDED",ISNUMBER(H3196)),H3196,"")</x:f>
      </x:c>
      <x:c r="P3196" s="34" t="str">
        <x:v>FAIL</x:v>
      </x:c>
      <x:c r="Q3196" s="34"/>
    </x:row>
    <x:row r="3197">
      <x:c r="A3197" s="34" t="str">
        <x:v>randoop</x:v>
      </x:c>
      <x:c r="B3197" s="34" t="str">
        <x:v>Lang</x:v>
      </x:c>
      <x:c r="C3197" s="34" t="str">
        <x:v>Round2</x:v>
      </x:c>
      <x:c r="D3197" s="34" t="str">
        <x:v>Lang_12</x:v>
      </x:c>
      <x:c r="E3197" s="34" t="str">
        <x:v>Line</x:v>
      </x:c>
      <x:c r="F3197" s="34" t="n">
        <x:v>0</x:v>
      </x:c>
      <x:c r="G3197" s="34" t="str">
        <x:v>A</x:v>
      </x:c>
      <x:c r="H3197" s="38" t="str">
        <x:f>IF(ISNUMBER('Data'!H1489),'Data'!H1489*100,"")</x:f>
      </x:c>
      <x:c r="I3197" s="34"/>
      <x:c r="J3197" s="34"/>
      <x:c r="K3197" s="34"/>
      <x:c r="L3197" s="34" t="str">
        <x:v>NOT_RUN</x:v>
      </x:c>
      <x:c r="M3197" s="34" t="str">
        <x:v>Latest same-round generation failed; older files/results are excluded</x:v>
      </x:c>
      <x:c r="N3197" s="34" t="str">
        <x:v>Feedback-Directed Random Test Generation/report_Round2.csv</x:v>
      </x:c>
      <x:c r="O3197" s="38" t="str">
        <x:f>IF(AND(G3197="RECORDED",ISNUMBER(H3197)),H3197,"")</x:f>
      </x:c>
      <x:c r="P3197" s="34" t="str">
        <x:v>FAIL</x:v>
      </x:c>
      <x:c r="Q3197" s="34"/>
    </x:row>
    <x:row r="3198">
      <x:c r="A3198" s="34" t="str">
        <x:v>randoop</x:v>
      </x:c>
      <x:c r="B3198" s="34" t="str">
        <x:v>Lang</x:v>
      </x:c>
      <x:c r="C3198" s="34" t="str">
        <x:v>Round2</x:v>
      </x:c>
      <x:c r="D3198" s="34" t="str">
        <x:v>Lang_13</x:v>
      </x:c>
      <x:c r="E3198" s="34" t="str">
        <x:v>Line</x:v>
      </x:c>
      <x:c r="F3198" s="34" t="n">
        <x:v>64</x:v>
      </x:c>
      <x:c r="G3198" s="34" t="str">
        <x:v>RECORDED</x:v>
      </x:c>
      <x:c r="H3198" s="38" t="n">
        <x:f>IF(ISNUMBER('Data'!H1490),'Data'!H1490*100,"")</x:f>
        <x:v>71.88</x:v>
      </x:c>
      <x:c r="I3198" s="34" t="str">
        <x:v>PASS</x:v>
      </x:c>
      <x:c r="J3198" s="34" t="str">
        <x:v>PASS</x:v>
      </x:c>
      <x:c r="K3198" s="34" t="str">
        <x:v>PASS</x:v>
      </x:c>
      <x:c r="L3198" s="34" t="str">
        <x:v>PASS</x:v>
      </x:c>
      <x:c r="M3198" s="34" t="str">
        <x:v>numeric coverage for applicable metric</x:v>
      </x:c>
      <x:c r="N3198" s="34" t="str">
        <x:v>Feedback-Directed Random Test Generation/Result_Round2/Lang_13/result.json</x:v>
      </x:c>
      <x:c r="O3198" s="38" t="n">
        <x:f>IF(AND(G3198="RECORDED",ISNUMBER(H3198)),H3198,"")</x:f>
        <x:v>71.88</x:v>
      </x:c>
      <x:c r="P3198" s="34" t="str">
        <x:v>NOT_REVEALING</x:v>
      </x:c>
      <x:c r="Q3198" s="34" t="str">
        <x:v>Feedback-Directed Random Test Generation/Result_Round2/Lang_13/result.json</x:v>
      </x:c>
    </x:row>
    <x:row r="3199">
      <x:c r="A3199" s="34" t="str">
        <x:v>randoop</x:v>
      </x:c>
      <x:c r="B3199" s="34" t="str">
        <x:v>Lang</x:v>
      </x:c>
      <x:c r="C3199" s="34" t="str">
        <x:v>Round2</x:v>
      </x:c>
      <x:c r="D3199" s="34" t="str">
        <x:v>Lang_14</x:v>
      </x:c>
      <x:c r="E3199" s="34" t="str">
        <x:v>Line</x:v>
      </x:c>
      <x:c r="F3199" s="34" t="n">
        <x:v>1292</x:v>
      </x:c>
      <x:c r="G3199" s="34" t="str">
        <x:v>RECORDED</x:v>
      </x:c>
      <x:c r="H3199" s="38" t="n">
        <x:f>IF(ISNUMBER('Data'!H1491),'Data'!H1491*100,"")</x:f>
        <x:v>87.23</x:v>
      </x:c>
      <x:c r="I3199" s="34" t="str">
        <x:v>PASS</x:v>
      </x:c>
      <x:c r="J3199" s="34" t="str">
        <x:v>PASS</x:v>
      </x:c>
      <x:c r="K3199" s="34" t="str">
        <x:v>PASS</x:v>
      </x:c>
      <x:c r="L3199" s="34" t="str">
        <x:v>PASS</x:v>
      </x:c>
      <x:c r="M3199" s="34" t="str">
        <x:v>numeric coverage for applicable metric</x:v>
      </x:c>
      <x:c r="N3199" s="34" t="str">
        <x:v>Feedback-Directed Random Test Generation/Result_Round2/Lang_14/result.json</x:v>
      </x:c>
      <x:c r="O3199" s="38" t="n">
        <x:f>IF(AND(G3199="RECORDED",ISNUMBER(H3199)),H3199,"")</x:f>
        <x:v>87.23</x:v>
      </x:c>
      <x:c r="P3199" s="34" t="str">
        <x:v>NOT_REVEALING</x:v>
      </x:c>
      <x:c r="Q3199" s="34" t="str">
        <x:v>Feedback-Directed Random Test Generation/Result_Round2/Lang_14/result.json</x:v>
      </x:c>
    </x:row>
    <x:row r="3200">
      <x:c r="A3200" s="34" t="str">
        <x:v>randoop</x:v>
      </x:c>
      <x:c r="B3200" s="34" t="str">
        <x:v>Lang</x:v>
      </x:c>
      <x:c r="C3200" s="34" t="str">
        <x:v>Round2</x:v>
      </x:c>
      <x:c r="D3200" s="34" t="str">
        <x:v>Lang_15</x:v>
      </x:c>
      <x:c r="E3200" s="34" t="str">
        <x:v>Line</x:v>
      </x:c>
      <x:c r="F3200" s="34" t="n">
        <x:v>299</x:v>
      </x:c>
      <x:c r="G3200" s="34" t="str">
        <x:v>RECORDED</x:v>
      </x:c>
      <x:c r="H3200" s="38" t="n">
        <x:f>IF(ISNUMBER('Data'!H1492),'Data'!H1492*100,"")</x:f>
        <x:v>11.71</x:v>
      </x:c>
      <x:c r="I3200" s="34" t="str">
        <x:v>PASS</x:v>
      </x:c>
      <x:c r="J3200" s="34" t="str">
        <x:v>PASS</x:v>
      </x:c>
      <x:c r="K3200" s="34" t="str">
        <x:v>PASS</x:v>
      </x:c>
      <x:c r="L3200" s="34" t="str">
        <x:v>PASS</x:v>
      </x:c>
      <x:c r="M3200" s="34" t="str">
        <x:v>numeric coverage for applicable metric</x:v>
      </x:c>
      <x:c r="N3200" s="34" t="str">
        <x:v>Feedback-Directed Random Test Generation/Result_Round2/Lang_15/result.json</x:v>
      </x:c>
      <x:c r="O3200" s="38" t="n">
        <x:f>IF(AND(G3200="RECORDED",ISNUMBER(H3200)),H3200,"")</x:f>
        <x:v>11.71</x:v>
      </x:c>
      <x:c r="P3200" s="34" t="str">
        <x:v>NOT_REVEALING</x:v>
      </x:c>
      <x:c r="Q3200" s="34" t="str">
        <x:v>Feedback-Directed Random Test Generation/Result_Round2/Lang_15/result.json</x:v>
      </x:c>
    </x:row>
    <x:row r="3201">
      <x:c r="A3201" s="34" t="str">
        <x:v>randoop</x:v>
      </x:c>
      <x:c r="B3201" s="34" t="str">
        <x:v>Lang</x:v>
      </x:c>
      <x:c r="C3201" s="34" t="str">
        <x:v>Round2</x:v>
      </x:c>
      <x:c r="D3201" s="34" t="str">
        <x:v>Lang_16</x:v>
      </x:c>
      <x:c r="E3201" s="34" t="str">
        <x:v>Line</x:v>
      </x:c>
      <x:c r="F3201" s="34" t="n">
        <x:v>375</x:v>
      </x:c>
      <x:c r="G3201" s="34" t="str">
        <x:v>RECORDED</x:v>
      </x:c>
      <x:c r="H3201" s="38" t="n">
        <x:f>IF(ISNUMBER('Data'!H1493),'Data'!H1493*100,"")</x:f>
        <x:v>68.8</x:v>
      </x:c>
      <x:c r="I3201" s="34" t="str">
        <x:v>PASS</x:v>
      </x:c>
      <x:c r="J3201" s="34" t="str">
        <x:v>PASS</x:v>
      </x:c>
      <x:c r="K3201" s="34" t="str">
        <x:v>PASS</x:v>
      </x:c>
      <x:c r="L3201" s="34" t="str">
        <x:v>PASS</x:v>
      </x:c>
      <x:c r="M3201" s="34" t="str">
        <x:v>numeric coverage for applicable metric</x:v>
      </x:c>
      <x:c r="N3201" s="34" t="str">
        <x:v>Feedback-Directed Random Test Generation/Result_Round2/Lang_16/result.json</x:v>
      </x:c>
      <x:c r="O3201" s="38" t="n">
        <x:f>IF(AND(G3201="RECORDED",ISNUMBER(H3201)),H3201,"")</x:f>
        <x:v>68.8</x:v>
      </x:c>
      <x:c r="P3201" s="34" t="str">
        <x:v>NOT_REVEALING</x:v>
      </x:c>
      <x:c r="Q3201" s="34" t="str">
        <x:v>Feedback-Directed Random Test Generation/Result_Round2/Lang_16/result.json</x:v>
      </x:c>
    </x:row>
    <x:row r="3202">
      <x:c r="A3202" s="34" t="str">
        <x:v>randoop</x:v>
      </x:c>
      <x:c r="B3202" s="34" t="str">
        <x:v>Lang</x:v>
      </x:c>
      <x:c r="C3202" s="34" t="str">
        <x:v>Round2</x:v>
      </x:c>
      <x:c r="D3202" s="34" t="str">
        <x:v>Lang_17</x:v>
      </x:c>
      <x:c r="E3202" s="34" t="str">
        <x:v>Line</x:v>
      </x:c>
      <x:c r="F3202" s="34" t="n">
        <x:v>33</x:v>
      </x:c>
      <x:c r="G3202" s="34" t="str">
        <x:v>RECORDED</x:v>
      </x:c>
      <x:c r="H3202" s="38" t="n">
        <x:f>IF(ISNUMBER('Data'!H1494),'Data'!H1494*100,"")</x:f>
        <x:v>3.03</x:v>
      </x:c>
      <x:c r="I3202" s="34" t="str">
        <x:v>PASS</x:v>
      </x:c>
      <x:c r="J3202" s="34" t="str">
        <x:v>PASS</x:v>
      </x:c>
      <x:c r="K3202" s="34" t="str">
        <x:v>PASS</x:v>
      </x:c>
      <x:c r="L3202" s="34" t="str">
        <x:v>PASS</x:v>
      </x:c>
      <x:c r="M3202" s="34" t="str">
        <x:v>numeric coverage for applicable metric</x:v>
      </x:c>
      <x:c r="N3202" s="34" t="str">
        <x:v>Feedback-Directed Random Test Generation/Result_Round2/Lang_17/result.json</x:v>
      </x:c>
      <x:c r="O3202" s="38" t="n">
        <x:f>IF(AND(G3202="RECORDED",ISNUMBER(H3202)),H3202,"")</x:f>
        <x:v>3.03</x:v>
      </x:c>
      <x:c r="P3202" s="34" t="str">
        <x:v>NOT_REVEALING</x:v>
      </x:c>
      <x:c r="Q3202" s="34" t="str">
        <x:v>Feedback-Directed Random Test Generation/Result_Round2/Lang_17/result.json</x:v>
      </x:c>
    </x:row>
    <x:row r="3203">
      <x:c r="A3203" s="34" t="str">
        <x:v>randoop</x:v>
      </x:c>
      <x:c r="B3203" s="34" t="str">
        <x:v>Lang</x:v>
      </x:c>
      <x:c r="C3203" s="34" t="str">
        <x:v>Round2</x:v>
      </x:c>
      <x:c r="D3203" s="34" t="str">
        <x:v>Lang_19</x:v>
      </x:c>
      <x:c r="E3203" s="34" t="str">
        <x:v>Line</x:v>
      </x:c>
      <x:c r="F3203" s="34" t="n">
        <x:v>27</x:v>
      </x:c>
      <x:c r="G3203" s="34" t="str">
        <x:v>RECORDED</x:v>
      </x:c>
      <x:c r="H3203" s="38" t="n">
        <x:f>IF(ISNUMBER('Data'!H1495),'Data'!H1495*100,"")</x:f>
        <x:v>14.81</x:v>
      </x:c>
      <x:c r="I3203" s="34" t="str">
        <x:v>PASS</x:v>
      </x:c>
      <x:c r="J3203" s="34" t="str">
        <x:v>PASS</x:v>
      </x:c>
      <x:c r="K3203" s="34" t="str">
        <x:v>PASS</x:v>
      </x:c>
      <x:c r="L3203" s="34" t="str">
        <x:v>PASS</x:v>
      </x:c>
      <x:c r="M3203" s="34" t="str">
        <x:v>numeric coverage for applicable metric</x:v>
      </x:c>
      <x:c r="N3203" s="34" t="str">
        <x:v>Feedback-Directed Random Test Generation/Result_Round2/Lang_19/result.json</x:v>
      </x:c>
      <x:c r="O3203" s="38" t="n">
        <x:f>IF(AND(G3203="RECORDED",ISNUMBER(H3203)),H3203,"")</x:f>
        <x:v>14.81</x:v>
      </x:c>
      <x:c r="P3203" s="34" t="str">
        <x:v>NOT_REVEALING</x:v>
      </x:c>
      <x:c r="Q3203" s="34" t="str">
        <x:v>Feedback-Directed Random Test Generation/Result_Round2/Lang_19/result.json</x:v>
      </x:c>
    </x:row>
    <x:row r="3204">
      <x:c r="A3204" s="34" t="str">
        <x:v>randoop</x:v>
      </x:c>
      <x:c r="B3204" s="34" t="str">
        <x:v>Lang</x:v>
      </x:c>
      <x:c r="C3204" s="34" t="str">
        <x:v>Round2</x:v>
      </x:c>
      <x:c r="D3204" s="34" t="str">
        <x:v>Lang_20</x:v>
      </x:c>
      <x:c r="E3204" s="34" t="str">
        <x:v>Line</x:v>
      </x:c>
      <x:c r="F3204" s="34" t="n">
        <x:v>1298</x:v>
      </x:c>
      <x:c r="G3204" s="34" t="str">
        <x:v>RECORDED</x:v>
      </x:c>
      <x:c r="H3204" s="38" t="n">
        <x:f>IF(ISNUMBER('Data'!H1496),'Data'!H1496*100,"")</x:f>
        <x:v>87.75</x:v>
      </x:c>
      <x:c r="I3204" s="34" t="str">
        <x:v>PASS</x:v>
      </x:c>
      <x:c r="J3204" s="34" t="str">
        <x:v>PASS</x:v>
      </x:c>
      <x:c r="K3204" s="34" t="str">
        <x:v>PASS</x:v>
      </x:c>
      <x:c r="L3204" s="34" t="str">
        <x:v>PASS</x:v>
      </x:c>
      <x:c r="M3204" s="34" t="str">
        <x:v>numeric coverage for applicable metric</x:v>
      </x:c>
      <x:c r="N3204" s="34" t="str">
        <x:v>Feedback-Directed Random Test Generation/Result_Round2/Lang_20/result.json</x:v>
      </x:c>
      <x:c r="O3204" s="38" t="n">
        <x:f>IF(AND(G3204="RECORDED",ISNUMBER(H3204)),H3204,"")</x:f>
        <x:v>87.75</x:v>
      </x:c>
      <x:c r="P3204" s="34" t="str">
        <x:v>NOT_REVEALING</x:v>
      </x:c>
      <x:c r="Q3204" s="34" t="str">
        <x:v>Feedback-Directed Random Test Generation/Result_Round2/Lang_20/result.json</x:v>
      </x:c>
    </x:row>
    <x:row r="3205">
      <x:c r="A3205" s="34" t="str">
        <x:v>randoop</x:v>
      </x:c>
      <x:c r="B3205" s="34" t="str">
        <x:v>Lang</x:v>
      </x:c>
      <x:c r="C3205" s="34" t="str">
        <x:v>Round2</x:v>
      </x:c>
      <x:c r="D3205" s="34" t="str">
        <x:v>Lang_21</x:v>
      </x:c>
      <x:c r="E3205" s="34" t="str">
        <x:v>Line</x:v>
      </x:c>
      <x:c r="F3205" s="34" t="n">
        <x:v>319</x:v>
      </x:c>
      <x:c r="G3205" s="34" t="str">
        <x:v>RECORDED</x:v>
      </x:c>
      <x:c r="H3205" s="38" t="n">
        <x:f>IF(ISNUMBER('Data'!H1497),'Data'!H1497*100,"")</x:f>
        <x:v>93.42</x:v>
      </x:c>
      <x:c r="I3205" s="34" t="str">
        <x:v>PASS</x:v>
      </x:c>
      <x:c r="J3205" s="34" t="str">
        <x:v>PASS</x:v>
      </x:c>
      <x:c r="K3205" s="34" t="str">
        <x:v>PASS</x:v>
      </x:c>
      <x:c r="L3205" s="34" t="str">
        <x:v>FAIL</x:v>
      </x:c>
      <x:c r="M3205" s="34" t="str">
        <x:v>numeric coverage for applicable metric</x:v>
      </x:c>
      <x:c r="N3205" s="34" t="str">
        <x:v>Feedback-Directed Random Test Generation/Result_Round2/Lang_21/result.json</x:v>
      </x:c>
      <x:c r="O3205" s="38" t="n">
        <x:f>IF(AND(G3205="RECORDED",ISNUMBER(H3205)),H3205,"")</x:f>
        <x:v>93.42</x:v>
      </x:c>
      <x:c r="P3205" s="34" t="str">
        <x:v>INCONCLUSIVE</x:v>
      </x:c>
      <x:c r="Q3205" s="34" t="str">
        <x:v>Feedback-Directed Random Test Generation/Result_Round2/Lang_21/result.json</x:v>
      </x:c>
    </x:row>
    <x:row r="3206">
      <x:c r="A3206" s="34" t="str">
        <x:v>randoop</x:v>
      </x:c>
      <x:c r="B3206" s="34" t="str">
        <x:v>Lang</x:v>
      </x:c>
      <x:c r="C3206" s="34" t="str">
        <x:v>Round2</x:v>
      </x:c>
      <x:c r="D3206" s="34" t="str">
        <x:v>Lang_22</x:v>
      </x:c>
      <x:c r="E3206" s="34" t="str">
        <x:v>Line</x:v>
      </x:c>
      <x:c r="F3206" s="34" t="n">
        <x:v>278</x:v>
      </x:c>
      <x:c r="G3206" s="34" t="str">
        <x:v>RECORDED</x:v>
      </x:c>
      <x:c r="H3206" s="38" t="n">
        <x:f>IF(ISNUMBER('Data'!H1498),'Data'!H1498*100,"")</x:f>
        <x:v>92.81</x:v>
      </x:c>
      <x:c r="I3206" s="34" t="str">
        <x:v>PASS</x:v>
      </x:c>
      <x:c r="J3206" s="34" t="str">
        <x:v>PASS</x:v>
      </x:c>
      <x:c r="K3206" s="34" t="str">
        <x:v>PASS</x:v>
      </x:c>
      <x:c r="L3206" s="34" t="str">
        <x:v>FAIL</x:v>
      </x:c>
      <x:c r="M3206" s="34" t="str">
        <x:v>numeric coverage for applicable metric</x:v>
      </x:c>
      <x:c r="N3206" s="34" t="str">
        <x:v>Feedback-Directed Random Test Generation/Result_Round2/Lang_22/result.json</x:v>
      </x:c>
      <x:c r="O3206" s="38" t="n">
        <x:f>IF(AND(G3206="RECORDED",ISNUMBER(H3206)),H3206,"")</x:f>
        <x:v>92.81</x:v>
      </x:c>
      <x:c r="P3206" s="34" t="str">
        <x:v>INCONCLUSIVE</x:v>
      </x:c>
      <x:c r="Q3206" s="34" t="str">
        <x:v>Feedback-Directed Random Test Generation/Result_Round2/Lang_22/result.json</x:v>
      </x:c>
    </x:row>
    <x:row r="3207">
      <x:c r="A3207" s="34" t="str">
        <x:v>randoop</x:v>
      </x:c>
      <x:c r="B3207" s="34" t="str">
        <x:v>Lang</x:v>
      </x:c>
      <x:c r="C3207" s="34" t="str">
        <x:v>Round2</x:v>
      </x:c>
      <x:c r="D3207" s="34" t="str">
        <x:v>Lang_23</x:v>
      </x:c>
      <x:c r="E3207" s="34" t="str">
        <x:v>Line</x:v>
      </x:c>
      <x:c r="F3207" s="34" t="n">
        <x:v>167</x:v>
      </x:c>
      <x:c r="G3207" s="34" t="str">
        <x:v>RECORDED</x:v>
      </x:c>
      <x:c r="H3207" s="38" t="n">
        <x:f>IF(ISNUMBER('Data'!H1499),'Data'!H1499*100,"")</x:f>
        <x:v>10.78</x:v>
      </x:c>
      <x:c r="I3207" s="34" t="str">
        <x:v>PASS</x:v>
      </x:c>
      <x:c r="J3207" s="34" t="str">
        <x:v>PASS</x:v>
      </x:c>
      <x:c r="K3207" s="34" t="str">
        <x:v>PASS</x:v>
      </x:c>
      <x:c r="L3207" s="34" t="str">
        <x:v>PASS</x:v>
      </x:c>
      <x:c r="M3207" s="34" t="str">
        <x:v>numeric coverage for applicable metric</x:v>
      </x:c>
      <x:c r="N3207" s="34" t="str">
        <x:v>Feedback-Directed Random Test Generation/Result_Round2/Lang_23/result.json</x:v>
      </x:c>
      <x:c r="O3207" s="38" t="n">
        <x:f>IF(AND(G3207="RECORDED",ISNUMBER(H3207)),H3207,"")</x:f>
        <x:v>10.78</x:v>
      </x:c>
      <x:c r="P3207" s="34" t="str">
        <x:v>NOT_REVEALING</x:v>
      </x:c>
      <x:c r="Q3207" s="34" t="str">
        <x:v>Feedback-Directed Random Test Generation/Result_Round2/Lang_23/result.json</x:v>
      </x:c>
    </x:row>
    <x:row r="3208">
      <x:c r="A3208" s="34" t="str">
        <x:v>randoop</x:v>
      </x:c>
      <x:c r="B3208" s="34" t="str">
        <x:v>Lang</x:v>
      </x:c>
      <x:c r="C3208" s="34" t="str">
        <x:v>Round2</x:v>
      </x:c>
      <x:c r="D3208" s="34" t="str">
        <x:v>Lang_24</x:v>
      </x:c>
      <x:c r="E3208" s="34" t="str">
        <x:v>Line</x:v>
      </x:c>
      <x:c r="F3208" s="34" t="n">
        <x:v>376</x:v>
      </x:c>
      <x:c r="G3208" s="34" t="str">
        <x:v>RECORDED</x:v>
      </x:c>
      <x:c r="H3208" s="38" t="n">
        <x:f>IF(ISNUMBER('Data'!H1500),'Data'!H1500*100,"")</x:f>
        <x:v>68.88</x:v>
      </x:c>
      <x:c r="I3208" s="34" t="str">
        <x:v>PASS</x:v>
      </x:c>
      <x:c r="J3208" s="34" t="str">
        <x:v>PASS</x:v>
      </x:c>
      <x:c r="K3208" s="34" t="str">
        <x:v>PASS</x:v>
      </x:c>
      <x:c r="L3208" s="34" t="str">
        <x:v>PASS</x:v>
      </x:c>
      <x:c r="M3208" s="34" t="str">
        <x:v>numeric coverage for applicable metric</x:v>
      </x:c>
      <x:c r="N3208" s="34" t="str">
        <x:v>Feedback-Directed Random Test Generation/Result_Round2/Lang_24/result.json</x:v>
      </x:c>
      <x:c r="O3208" s="38" t="n">
        <x:f>IF(AND(G3208="RECORDED",ISNUMBER(H3208)),H3208,"")</x:f>
        <x:v>68.88</x:v>
      </x:c>
      <x:c r="P3208" s="34" t="str">
        <x:v>NOT_REVEALING</x:v>
      </x:c>
      <x:c r="Q3208" s="34" t="str">
        <x:v>Feedback-Directed Random Test Generation/Result_Round2/Lang_24/result.json</x:v>
      </x:c>
    </x:row>
    <x:row r="3209">
      <x:c r="A3209" s="34" t="str">
        <x:v>randoop</x:v>
      </x:c>
      <x:c r="B3209" s="34" t="str">
        <x:v>Lang</x:v>
      </x:c>
      <x:c r="C3209" s="34" t="str">
        <x:v>Round2</x:v>
      </x:c>
      <x:c r="D3209" s="34" t="str">
        <x:v>Lang_26</x:v>
      </x:c>
      <x:c r="E3209" s="34" t="str">
        <x:v>Line</x:v>
      </x:c>
      <x:c r="F3209" s="34" t="n">
        <x:v>465</x:v>
      </x:c>
      <x:c r="G3209" s="34" t="str">
        <x:v>RECORDED</x:v>
      </x:c>
      <x:c r="H3209" s="38" t="n">
        <x:f>IF(ISNUMBER('Data'!H1501),'Data'!H1501*100,"")</x:f>
        <x:v>74.41</x:v>
      </x:c>
      <x:c r="I3209" s="34" t="str">
        <x:v>PASS</x:v>
      </x:c>
      <x:c r="J3209" s="34" t="str">
        <x:v>PASS</x:v>
      </x:c>
      <x:c r="K3209" s="34" t="str">
        <x:v>PASS</x:v>
      </x:c>
      <x:c r="L3209" s="34" t="str">
        <x:v>FAIL</x:v>
      </x:c>
      <x:c r="M3209" s="34" t="str">
        <x:v>numeric coverage for applicable metric</x:v>
      </x:c>
      <x:c r="N3209" s="34" t="str">
        <x:v>Feedback-Directed Random Test Generation/Result_Round2/Lang_26/result.json</x:v>
      </x:c>
      <x:c r="O3209" s="38" t="n">
        <x:f>IF(AND(G3209="RECORDED",ISNUMBER(H3209)),H3209,"")</x:f>
        <x:v>74.41</x:v>
      </x:c>
      <x:c r="P3209" s="34" t="str">
        <x:v>INCONCLUSIVE</x:v>
      </x:c>
      <x:c r="Q3209" s="34" t="str">
        <x:v>Feedback-Directed Random Test Generation/Result_Round2/Lang_26/result.json</x:v>
      </x:c>
    </x:row>
    <x:row r="3210">
      <x:c r="A3210" s="34" t="str">
        <x:v>randoop</x:v>
      </x:c>
      <x:c r="B3210" s="34" t="str">
        <x:v>Lang</x:v>
      </x:c>
      <x:c r="C3210" s="34" t="str">
        <x:v>Round2</x:v>
      </x:c>
      <x:c r="D3210" s="34" t="str">
        <x:v>Lang_27</x:v>
      </x:c>
      <x:c r="E3210" s="34" t="str">
        <x:v>Line</x:v>
      </x:c>
      <x:c r="F3210" s="34" t="n">
        <x:v>374</x:v>
      </x:c>
      <x:c r="G3210" s="34" t="str">
        <x:v>RECORDED</x:v>
      </x:c>
      <x:c r="H3210" s="38" t="n">
        <x:f>IF(ISNUMBER('Data'!H1502),'Data'!H1502*100,"")</x:f>
        <x:v>69.25</x:v>
      </x:c>
      <x:c r="I3210" s="34" t="str">
        <x:v>PASS</x:v>
      </x:c>
      <x:c r="J3210" s="34" t="str">
        <x:v>PASS</x:v>
      </x:c>
      <x:c r="K3210" s="34" t="str">
        <x:v>PASS</x:v>
      </x:c>
      <x:c r="L3210" s="34" t="str">
        <x:v>PASS</x:v>
      </x:c>
      <x:c r="M3210" s="34" t="str">
        <x:v>numeric coverage for applicable metric</x:v>
      </x:c>
      <x:c r="N3210" s="34" t="str">
        <x:v>Feedback-Directed Random Test Generation/Result_Round2/Lang_27/result.json</x:v>
      </x:c>
      <x:c r="O3210" s="38" t="n">
        <x:f>IF(AND(G3210="RECORDED",ISNUMBER(H3210)),H3210,"")</x:f>
        <x:v>69.25</x:v>
      </x:c>
      <x:c r="P3210" s="34" t="str">
        <x:v>NOT_REVEALING</x:v>
      </x:c>
      <x:c r="Q3210" s="34" t="str">
        <x:v>Feedback-Directed Random Test Generation/Result_Round2/Lang_27/result.json</x:v>
      </x:c>
    </x:row>
    <x:row r="3211">
      <x:c r="A3211" s="34" t="str">
        <x:v>randoop</x:v>
      </x:c>
      <x:c r="B3211" s="34" t="str">
        <x:v>Lang</x:v>
      </x:c>
      <x:c r="C3211" s="34" t="str">
        <x:v>Round2</x:v>
      </x:c>
      <x:c r="D3211" s="34" t="str">
        <x:v>Lang_28</x:v>
      </x:c>
      <x:c r="E3211" s="34" t="str">
        <x:v>Line</x:v>
      </x:c>
      <x:c r="F3211" s="34" t="n">
        <x:v>20</x:v>
      </x:c>
      <x:c r="G3211" s="34" t="str">
        <x:v>RECORDED</x:v>
      </x:c>
      <x:c r="H3211" s="38" t="n">
        <x:f>IF(ISNUMBER('Data'!H1503),'Data'!H1503*100,"")</x:f>
        <x:v>15</x:v>
      </x:c>
      <x:c r="I3211" s="34" t="str">
        <x:v>PASS</x:v>
      </x:c>
      <x:c r="J3211" s="34" t="str">
        <x:v>PASS</x:v>
      </x:c>
      <x:c r="K3211" s="34" t="str">
        <x:v>PASS</x:v>
      </x:c>
      <x:c r="L3211" s="34" t="str">
        <x:v>PASS</x:v>
      </x:c>
      <x:c r="M3211" s="34" t="str">
        <x:v>numeric coverage for applicable metric</x:v>
      </x:c>
      <x:c r="N3211" s="34" t="str">
        <x:v>Feedback-Directed Random Test Generation/Result_Round2/Lang_28/result.json</x:v>
      </x:c>
      <x:c r="O3211" s="38" t="n">
        <x:f>IF(AND(G3211="RECORDED",ISNUMBER(H3211)),H3211,"")</x:f>
        <x:v>15</x:v>
      </x:c>
      <x:c r="P3211" s="34" t="str">
        <x:v>NOT_REVEALING</x:v>
      </x:c>
      <x:c r="Q3211" s="34" t="str">
        <x:v>Feedback-Directed Random Test Generation/Result_Round2/Lang_28/result.json</x:v>
      </x:c>
    </x:row>
    <x:row r="3212">
      <x:c r="A3212" s="34" t="str">
        <x:v>randoop</x:v>
      </x:c>
      <x:c r="B3212" s="34" t="str">
        <x:v>Lang</x:v>
      </x:c>
      <x:c r="C3212" s="34" t="str">
        <x:v>Round2</x:v>
      </x:c>
      <x:c r="D3212" s="34" t="str">
        <x:v>Lang_29</x:v>
      </x:c>
      <x:c r="E3212" s="34" t="str">
        <x:v>Line</x:v>
      </x:c>
      <x:c r="F3212" s="34" t="n">
        <x:v>141</x:v>
      </x:c>
      <x:c r="G3212" s="34" t="str">
        <x:v>RECORDED</x:v>
      </x:c>
      <x:c r="H3212" s="38" t="n">
        <x:f>IF(ISNUMBER('Data'!H1504),'Data'!H1504*100,"")</x:f>
        <x:v>92.2</x:v>
      </x:c>
      <x:c r="I3212" s="34" t="str">
        <x:v>PASS</x:v>
      </x:c>
      <x:c r="J3212" s="34" t="str">
        <x:v>PASS</x:v>
      </x:c>
      <x:c r="K3212" s="34" t="str">
        <x:v>PASS</x:v>
      </x:c>
      <x:c r="L3212" s="34" t="str">
        <x:v>PASS</x:v>
      </x:c>
      <x:c r="M3212" s="34" t="str">
        <x:v>numeric coverage for applicable metric</x:v>
      </x:c>
      <x:c r="N3212" s="34" t="str">
        <x:v>Feedback-Directed Random Test Generation/Result_Round2/Lang_29/result.json</x:v>
      </x:c>
      <x:c r="O3212" s="38" t="n">
        <x:f>IF(AND(G3212="RECORDED",ISNUMBER(H3212)),H3212,"")</x:f>
        <x:v>92.2</x:v>
      </x:c>
      <x:c r="P3212" s="34" t="str">
        <x:v>NOT_REVEALING</x:v>
      </x:c>
      <x:c r="Q3212" s="34" t="str">
        <x:v>Feedback-Directed Random Test Generation/Result_Round2/Lang_29/result.json</x:v>
      </x:c>
    </x:row>
    <x:row r="3213">
      <x:c r="A3213" s="34" t="str">
        <x:v>randoop</x:v>
      </x:c>
      <x:c r="B3213" s="34" t="str">
        <x:v>Lang</x:v>
      </x:c>
      <x:c r="C3213" s="34" t="str">
        <x:v>Round2</x:v>
      </x:c>
      <x:c r="D3213" s="34" t="str">
        <x:v>Lang_30</x:v>
      </x:c>
      <x:c r="E3213" s="34" t="str">
        <x:v>Line</x:v>
      </x:c>
      <x:c r="F3213" s="34" t="n">
        <x:v>1189</x:v>
      </x:c>
      <x:c r="G3213" s="34" t="str">
        <x:v>RECORDED</x:v>
      </x:c>
      <x:c r="H3213" s="38" t="n">
        <x:f>IF(ISNUMBER('Data'!H1505),'Data'!H1505*100,"")</x:f>
        <x:v>86.54</x:v>
      </x:c>
      <x:c r="I3213" s="34" t="str">
        <x:v>PASS</x:v>
      </x:c>
      <x:c r="J3213" s="34" t="str">
        <x:v>PASS</x:v>
      </x:c>
      <x:c r="K3213" s="34" t="str">
        <x:v>PASS</x:v>
      </x:c>
      <x:c r="L3213" s="34" t="str">
        <x:v>PASS</x:v>
      </x:c>
      <x:c r="M3213" s="34" t="str">
        <x:v>numeric coverage for applicable metric</x:v>
      </x:c>
      <x:c r="N3213" s="34" t="str">
        <x:v>Feedback-Directed Random Test Generation/Result_Round2/Lang_30/result.json</x:v>
      </x:c>
      <x:c r="O3213" s="38" t="n">
        <x:f>IF(AND(G3213="RECORDED",ISNUMBER(H3213)),H3213,"")</x:f>
        <x:v>86.54</x:v>
      </x:c>
      <x:c r="P3213" s="34" t="str">
        <x:v>NOT_AVAILABLE</x:v>
      </x:c>
      <x:c r="Q3213" s="34" t="str">
        <x:v>Feedback-Directed Random Test Generation/Result_Round2/Lang_30/result.json</x:v>
      </x:c>
    </x:row>
    <x:row r="3214">
      <x:c r="A3214" s="34" t="str">
        <x:v>randoop</x:v>
      </x:c>
      <x:c r="B3214" s="34" t="str">
        <x:v>Lang</x:v>
      </x:c>
      <x:c r="C3214" s="34" t="str">
        <x:v>Round2</x:v>
      </x:c>
      <x:c r="D3214" s="34" t="str">
        <x:v>Lang_31</x:v>
      </x:c>
      <x:c r="E3214" s="34" t="str">
        <x:v>Line</x:v>
      </x:c>
      <x:c r="F3214" s="34" t="n">
        <x:v>1178</x:v>
      </x:c>
      <x:c r="G3214" s="34" t="str">
        <x:v>RECORDED</x:v>
      </x:c>
      <x:c r="H3214" s="38" t="n">
        <x:f>IF(ISNUMBER('Data'!H1506),'Data'!H1506*100,"")</x:f>
        <x:v>86.16</x:v>
      </x:c>
      <x:c r="I3214" s="34" t="str">
        <x:v>PASS</x:v>
      </x:c>
      <x:c r="J3214" s="34" t="str">
        <x:v>PASS</x:v>
      </x:c>
      <x:c r="K3214" s="34" t="str">
        <x:v>PASS</x:v>
      </x:c>
      <x:c r="L3214" s="34" t="str">
        <x:v>PASS</x:v>
      </x:c>
      <x:c r="M3214" s="34" t="str">
        <x:v>numeric coverage for applicable metric</x:v>
      </x:c>
      <x:c r="N3214" s="34" t="str">
        <x:v>Feedback-Directed Random Test Generation/Result_Round2/Lang_31/result.json</x:v>
      </x:c>
      <x:c r="O3214" s="38" t="n">
        <x:f>IF(AND(G3214="RECORDED",ISNUMBER(H3214)),H3214,"")</x:f>
        <x:v>86.16</x:v>
      </x:c>
      <x:c r="P3214" s="34" t="str">
        <x:v>NOT_REVEALING</x:v>
      </x:c>
      <x:c r="Q3214" s="34" t="str">
        <x:v>Feedback-Directed Random Test Generation/Result_Round2/Lang_31/result.json</x:v>
      </x:c>
    </x:row>
    <x:row r="3215">
      <x:c r="A3215" s="34" t="str">
        <x:v>randoop</x:v>
      </x:c>
      <x:c r="B3215" s="34" t="str">
        <x:v>Lang</x:v>
      </x:c>
      <x:c r="C3215" s="34" t="str">
        <x:v>Round2</x:v>
      </x:c>
      <x:c r="D3215" s="34" t="str">
        <x:v>Lang_32</x:v>
      </x:c>
      <x:c r="E3215" s="34" t="str">
        <x:v>Line</x:v>
      </x:c>
      <x:c r="F3215" s="34" t="n">
        <x:v>146</x:v>
      </x:c>
      <x:c r="G3215" s="34" t="str">
        <x:v>RECORDED</x:v>
      </x:c>
      <x:c r="H3215" s="38" t="n">
        <x:f>IF(ISNUMBER('Data'!H1507),'Data'!H1507*100,"")</x:f>
        <x:v>93.84</x:v>
      </x:c>
      <x:c r="I3215" s="34" t="str">
        <x:v>PASS</x:v>
      </x:c>
      <x:c r="J3215" s="34" t="str">
        <x:v>PASS</x:v>
      </x:c>
      <x:c r="K3215" s="34" t="str">
        <x:v>PASS</x:v>
      </x:c>
      <x:c r="L3215" s="34" t="str">
        <x:v>FAIL</x:v>
      </x:c>
      <x:c r="M3215" s="34" t="str">
        <x:v>numeric coverage for applicable metric</x:v>
      </x:c>
      <x:c r="N3215" s="34" t="str">
        <x:v>Feedback-Directed Random Test Generation/Result_Round2/Lang_32/result.json</x:v>
      </x:c>
      <x:c r="O3215" s="38" t="n">
        <x:f>IF(AND(G3215="RECORDED",ISNUMBER(H3215)),H3215,"")</x:f>
        <x:v>93.84</x:v>
      </x:c>
      <x:c r="P3215" s="34" t="str">
        <x:v>INCONCLUSIVE</x:v>
      </x:c>
      <x:c r="Q3215" s="34" t="str">
        <x:v>Feedback-Directed Random Test Generation/Result_Round2/Lang_32/result.json</x:v>
      </x:c>
    </x:row>
    <x:row r="3216">
      <x:c r="A3216" s="34" t="str">
        <x:v>randoop</x:v>
      </x:c>
      <x:c r="B3216" s="34" t="str">
        <x:v>Lang</x:v>
      </x:c>
      <x:c r="C3216" s="34" t="str">
        <x:v>Round2</x:v>
      </x:c>
      <x:c r="D3216" s="34" t="str">
        <x:v>Lang_33</x:v>
      </x:c>
      <x:c r="E3216" s="34" t="str">
        <x:v>Line</x:v>
      </x:c>
      <x:c r="F3216" s="34" t="n">
        <x:v>286</x:v>
      </x:c>
      <x:c r="G3216" s="34" t="str">
        <x:v>RECORDED</x:v>
      </x:c>
      <x:c r="H3216" s="38" t="n">
        <x:f>IF(ISNUMBER('Data'!H1508),'Data'!H1508*100,"")</x:f>
        <x:v>54.2</x:v>
      </x:c>
      <x:c r="I3216" s="34" t="str">
        <x:v>PASS</x:v>
      </x:c>
      <x:c r="J3216" s="34" t="str">
        <x:v>PASS</x:v>
      </x:c>
      <x:c r="K3216" s="34" t="str">
        <x:v>PASS</x:v>
      </x:c>
      <x:c r="L3216" s="34" t="str">
        <x:v>PASS</x:v>
      </x:c>
      <x:c r="M3216" s="34" t="str">
        <x:v>numeric coverage for applicable metric</x:v>
      </x:c>
      <x:c r="N3216" s="34" t="str">
        <x:v>Feedback-Directed Random Test Generation/Result_Round2/Lang_33/result.json</x:v>
      </x:c>
      <x:c r="O3216" s="38" t="n">
        <x:f>IF(AND(G3216="RECORDED",ISNUMBER(H3216)),H3216,"")</x:f>
        <x:v>54.2</x:v>
      </x:c>
      <x:c r="P3216" s="34" t="str">
        <x:v>INCONCLUSIVE</x:v>
      </x:c>
      <x:c r="Q3216" s="34" t="str">
        <x:v>Feedback-Directed Random Test Generation/Result_Round2/Lang_33/result.json</x:v>
      </x:c>
    </x:row>
    <x:row r="3217">
      <x:c r="A3217" s="34" t="str">
        <x:v>randoop</x:v>
      </x:c>
      <x:c r="B3217" s="34" t="str">
        <x:v>Lang</x:v>
      </x:c>
      <x:c r="C3217" s="34" t="str">
        <x:v>Round2</x:v>
      </x:c>
      <x:c r="D3217" s="34" t="str">
        <x:v>Lang_34</x:v>
      </x:c>
      <x:c r="E3217" s="34" t="str">
        <x:v>Line</x:v>
      </x:c>
      <x:c r="F3217" s="34" t="n">
        <x:v>515</x:v>
      </x:c>
      <x:c r="G3217" s="34" t="str">
        <x:v>RECORDED</x:v>
      </x:c>
      <x:c r="H3217" s="38" t="n">
        <x:f>IF(ISNUMBER('Data'!H1509),'Data'!H1509*100,"")</x:f>
        <x:v>59.21999999999999</x:v>
      </x:c>
      <x:c r="I3217" s="34" t="str">
        <x:v>PASS</x:v>
      </x:c>
      <x:c r="J3217" s="34" t="str">
        <x:v>PASS</x:v>
      </x:c>
      <x:c r="K3217" s="34" t="str">
        <x:v>PASS</x:v>
      </x:c>
      <x:c r="L3217" s="34" t="str">
        <x:v>FAIL</x:v>
      </x:c>
      <x:c r="M3217" s="34" t="str">
        <x:v>numeric coverage for applicable metric</x:v>
      </x:c>
      <x:c r="N3217" s="34" t="str">
        <x:v>Feedback-Directed Random Test Generation/Result_Round2/Lang_34/result.json</x:v>
      </x:c>
      <x:c r="O3217" s="38" t="n">
        <x:f>IF(AND(G3217="RECORDED",ISNUMBER(H3217)),H3217,"")</x:f>
        <x:v>59.21999999999999</x:v>
      </x:c>
      <x:c r="P3217" s="34" t="str">
        <x:v>INCONCLUSIVE</x:v>
      </x:c>
      <x:c r="Q3217" s="34" t="str">
        <x:v>Feedback-Directed Random Test Generation/Result_Round2/Lang_34/result.json</x:v>
      </x:c>
    </x:row>
    <x:row r="3218">
      <x:c r="A3218" s="34" t="str">
        <x:v>randoop</x:v>
      </x:c>
      <x:c r="B3218" s="34" t="str">
        <x:v>Lang</x:v>
      </x:c>
      <x:c r="C3218" s="34" t="str">
        <x:v>Round2</x:v>
      </x:c>
      <x:c r="D3218" s="34" t="str">
        <x:v>Lang_35</x:v>
      </x:c>
      <x:c r="E3218" s="34" t="str">
        <x:v>Line</x:v>
      </x:c>
      <x:c r="F3218" s="34" t="n">
        <x:v>964</x:v>
      </x:c>
      <x:c r="G3218" s="34" t="str">
        <x:v>RECORDED</x:v>
      </x:c>
      <x:c r="H3218" s="38" t="n">
        <x:f>IF(ISNUMBER('Data'!H1510),'Data'!H1510*100,"")</x:f>
        <x:v>98.34</x:v>
      </x:c>
      <x:c r="I3218" s="34" t="str">
        <x:v>PASS</x:v>
      </x:c>
      <x:c r="J3218" s="34" t="str">
        <x:v>PASS</x:v>
      </x:c>
      <x:c r="K3218" s="34" t="str">
        <x:v>PASS</x:v>
      </x:c>
      <x:c r="L3218" s="34" t="str">
        <x:v>PASS</x:v>
      </x:c>
      <x:c r="M3218" s="34" t="str">
        <x:v>numeric coverage for applicable metric</x:v>
      </x:c>
      <x:c r="N3218" s="34" t="str">
        <x:v>Feedback-Directed Random Test Generation/Result_Round2/Lang_35/result.json</x:v>
      </x:c>
      <x:c r="O3218" s="38" t="n">
        <x:f>IF(AND(G3218="RECORDED",ISNUMBER(H3218)),H3218,"")</x:f>
        <x:v>98.34</x:v>
      </x:c>
      <x:c r="P3218" s="34" t="str">
        <x:v>NOT_REVEALING</x:v>
      </x:c>
      <x:c r="Q3218" s="34" t="str">
        <x:v>Feedback-Directed Random Test Generation/Result_Round2/Lang_35/result.json</x:v>
      </x:c>
    </x:row>
    <x:row r="3219">
      <x:c r="A3219" s="34" t="str">
        <x:v>randoop</x:v>
      </x:c>
      <x:c r="B3219" s="34" t="str">
        <x:v>Lang</x:v>
      </x:c>
      <x:c r="C3219" s="34" t="str">
        <x:v>Round2</x:v>
      </x:c>
      <x:c r="D3219" s="34" t="str">
        <x:v>Lang_36</x:v>
      </x:c>
      <x:c r="E3219" s="34" t="str">
        <x:v>Line</x:v>
      </x:c>
      <x:c r="F3219" s="34" t="n">
        <x:v>370</x:v>
      </x:c>
      <x:c r="G3219" s="34" t="str">
        <x:v>RECORDED</x:v>
      </x:c>
      <x:c r="H3219" s="38" t="n">
        <x:f>IF(ISNUMBER('Data'!H1511),'Data'!H1511*100,"")</x:f>
        <x:v>70</x:v>
      </x:c>
      <x:c r="I3219" s="34" t="str">
        <x:v>PASS</x:v>
      </x:c>
      <x:c r="J3219" s="34" t="str">
        <x:v>PASS</x:v>
      </x:c>
      <x:c r="K3219" s="34" t="str">
        <x:v>PASS</x:v>
      </x:c>
      <x:c r="L3219" s="34" t="str">
        <x:v>PASS</x:v>
      </x:c>
      <x:c r="M3219" s="34" t="str">
        <x:v>numeric coverage for applicable metric</x:v>
      </x:c>
      <x:c r="N3219" s="34" t="str">
        <x:v>Feedback-Directed Random Test Generation/Result_Round2/Lang_36/result.json</x:v>
      </x:c>
      <x:c r="O3219" s="38" t="n">
        <x:f>IF(AND(G3219="RECORDED",ISNUMBER(H3219)),H3219,"")</x:f>
        <x:v>70</x:v>
      </x:c>
      <x:c r="P3219" s="34" t="str">
        <x:v>NOT_REVEALING</x:v>
      </x:c>
      <x:c r="Q3219" s="34" t="str">
        <x:v>Feedback-Directed Random Test Generation/Result_Round2/Lang_36/result.json</x:v>
      </x:c>
    </x:row>
    <x:row r="3220">
      <x:c r="A3220" s="34" t="str">
        <x:v>randoop</x:v>
      </x:c>
      <x:c r="B3220" s="34" t="str">
        <x:v>Lang</x:v>
      </x:c>
      <x:c r="C3220" s="34" t="str">
        <x:v>Round2</x:v>
      </x:c>
      <x:c r="D3220" s="34" t="str">
        <x:v>Lang_37</x:v>
      </x:c>
      <x:c r="E3220" s="34" t="str">
        <x:v>Line</x:v>
      </x:c>
      <x:c r="F3220" s="34" t="n">
        <x:v>951</x:v>
      </x:c>
      <x:c r="G3220" s="34" t="str">
        <x:v>RECORDED</x:v>
      </x:c>
      <x:c r="H3220" s="38" t="n">
        <x:f>IF(ISNUMBER('Data'!H1512),'Data'!H1512*100,"")</x:f>
        <x:v>98.63</x:v>
      </x:c>
      <x:c r="I3220" s="34" t="str">
        <x:v>PASS</x:v>
      </x:c>
      <x:c r="J3220" s="34" t="str">
        <x:v>PASS</x:v>
      </x:c>
      <x:c r="K3220" s="34" t="str">
        <x:v>PASS</x:v>
      </x:c>
      <x:c r="L3220" s="34" t="str">
        <x:v>PASS</x:v>
      </x:c>
      <x:c r="M3220" s="34" t="str">
        <x:v>numeric coverage for applicable metric</x:v>
      </x:c>
      <x:c r="N3220" s="34" t="str">
        <x:v>Feedback-Directed Random Test Generation/Result_Round2/Lang_37/result.json</x:v>
      </x:c>
      <x:c r="O3220" s="38" t="n">
        <x:f>IF(AND(G3220="RECORDED",ISNUMBER(H3220)),H3220,"")</x:f>
        <x:v>98.63</x:v>
      </x:c>
      <x:c r="P3220" s="34" t="str">
        <x:v>INCONCLUSIVE</x:v>
      </x:c>
      <x:c r="Q3220" s="34" t="str">
        <x:v>Feedback-Directed Random Test Generation/Result_Round2/Lang_37/result.json</x:v>
      </x:c>
    </x:row>
    <x:row r="3221">
      <x:c r="A3221" s="34" t="str">
        <x:v>randoop</x:v>
      </x:c>
      <x:c r="B3221" s="34" t="str">
        <x:v>Lang</x:v>
      </x:c>
      <x:c r="C3221" s="34" t="str">
        <x:v>Round2</x:v>
      </x:c>
      <x:c r="D3221" s="34" t="str">
        <x:v>Lang_38</x:v>
      </x:c>
      <x:c r="E3221" s="34" t="str">
        <x:v>Line</x:v>
      </x:c>
      <x:c r="F3221" s="34" t="n">
        <x:v>464</x:v>
      </x:c>
      <x:c r="G3221" s="34" t="str">
        <x:v>RECORDED</x:v>
      </x:c>
      <x:c r="H3221" s="38" t="n">
        <x:f>IF(ISNUMBER('Data'!H1513),'Data'!H1513*100,"")</x:f>
        <x:v>74.57</x:v>
      </x:c>
      <x:c r="I3221" s="34" t="str">
        <x:v>PASS</x:v>
      </x:c>
      <x:c r="J3221" s="34" t="str">
        <x:v>PASS</x:v>
      </x:c>
      <x:c r="K3221" s="34" t="str">
        <x:v>PASS</x:v>
      </x:c>
      <x:c r="L3221" s="34" t="str">
        <x:v>FAIL</x:v>
      </x:c>
      <x:c r="M3221" s="34" t="str">
        <x:v>numeric coverage for applicable metric</x:v>
      </x:c>
      <x:c r="N3221" s="34" t="str">
        <x:v>Feedback-Directed Random Test Generation/Result_Round2/Lang_38/result.json</x:v>
      </x:c>
      <x:c r="O3221" s="38" t="n">
        <x:f>IF(AND(G3221="RECORDED",ISNUMBER(H3221)),H3221,"")</x:f>
        <x:v>74.57</x:v>
      </x:c>
      <x:c r="P3221" s="34" t="str">
        <x:v>INCONCLUSIVE</x:v>
      </x:c>
      <x:c r="Q3221" s="34" t="str">
        <x:v>Feedback-Directed Random Test Generation/Result_Round2/Lang_38/result.json</x:v>
      </x:c>
    </x:row>
    <x:row r="3222">
      <x:c r="A3222" s="34" t="str">
        <x:v>randoop</x:v>
      </x:c>
      <x:c r="B3222" s="34" t="str">
        <x:v>Lang</x:v>
      </x:c>
      <x:c r="C3222" s="34" t="str">
        <x:v>Round2</x:v>
      </x:c>
      <x:c r="D3222" s="34" t="str">
        <x:v>Lang_39</x:v>
      </x:c>
      <x:c r="E3222" s="34" t="str">
        <x:v>Line</x:v>
      </x:c>
      <x:c r="F3222" s="34" t="n">
        <x:v>1126</x:v>
      </x:c>
      <x:c r="G3222" s="34" t="str">
        <x:v>RECORDED</x:v>
      </x:c>
      <x:c r="H3222" s="38" t="n">
        <x:f>IF(ISNUMBER('Data'!H1514),'Data'!H1514*100,"")</x:f>
        <x:v>85.17</x:v>
      </x:c>
      <x:c r="I3222" s="34" t="str">
        <x:v>PASS</x:v>
      </x:c>
      <x:c r="J3222" s="34" t="str">
        <x:v>PASS</x:v>
      </x:c>
      <x:c r="K3222" s="34" t="str">
        <x:v>PASS</x:v>
      </x:c>
      <x:c r="L3222" s="34" t="str">
        <x:v>PASS</x:v>
      </x:c>
      <x:c r="M3222" s="34" t="str">
        <x:v>numeric coverage for applicable metric</x:v>
      </x:c>
      <x:c r="N3222" s="34" t="str">
        <x:v>Feedback-Directed Random Test Generation/Result_Round2/Lang_39/result.json</x:v>
      </x:c>
      <x:c r="O3222" s="38" t="n">
        <x:f>IF(AND(G3222="RECORDED",ISNUMBER(H3222)),H3222,"")</x:f>
        <x:v>85.17</x:v>
      </x:c>
      <x:c r="P3222" s="34" t="str">
        <x:v>NOT_REVEALING</x:v>
      </x:c>
      <x:c r="Q3222" s="34" t="str">
        <x:v>Feedback-Directed Random Test Generation/Result_Round2/Lang_39/result.json</x:v>
      </x:c>
    </x:row>
    <x:row r="3223">
      <x:c r="A3223" s="34" t="str">
        <x:v>randoop</x:v>
      </x:c>
      <x:c r="B3223" s="34" t="str">
        <x:v>Lang</x:v>
      </x:c>
      <x:c r="C3223" s="34" t="str">
        <x:v>Round2</x:v>
      </x:c>
      <x:c r="D3223" s="34" t="str">
        <x:v>Lang_40</x:v>
      </x:c>
      <x:c r="E3223" s="34" t="str">
        <x:v>Line</x:v>
      </x:c>
      <x:c r="F3223" s="34" t="n">
        <x:v>1096</x:v>
      </x:c>
      <x:c r="G3223" s="34" t="str">
        <x:v>RECORDED</x:v>
      </x:c>
      <x:c r="H3223" s="38" t="n">
        <x:f>IF(ISNUMBER('Data'!H1515),'Data'!H1515*100,"")</x:f>
        <x:v>87.59</x:v>
      </x:c>
      <x:c r="I3223" s="34" t="str">
        <x:v>PASS</x:v>
      </x:c>
      <x:c r="J3223" s="34" t="str">
        <x:v>PASS</x:v>
      </x:c>
      <x:c r="K3223" s="34" t="str">
        <x:v>PASS</x:v>
      </x:c>
      <x:c r="L3223" s="34" t="str">
        <x:v>PASS</x:v>
      </x:c>
      <x:c r="M3223" s="34" t="str">
        <x:v>numeric coverage for applicable metric</x:v>
      </x:c>
      <x:c r="N3223" s="34" t="str">
        <x:v>Feedback-Directed Random Test Generation/Result_Round2/Lang_40/result.json</x:v>
      </x:c>
      <x:c r="O3223" s="38" t="n">
        <x:f>IF(AND(G3223="RECORDED",ISNUMBER(H3223)),H3223,"")</x:f>
        <x:v>87.59</x:v>
      </x:c>
      <x:c r="P3223" s="34" t="str">
        <x:v>NOT_REVEALING</x:v>
      </x:c>
      <x:c r="Q3223" s="34" t="str">
        <x:v>Feedback-Directed Random Test Generation/Result_Round2/Lang_40/result.json</x:v>
      </x:c>
    </x:row>
    <x:row r="3224">
      <x:c r="A3224" s="34" t="str">
        <x:v>randoop</x:v>
      </x:c>
      <x:c r="B3224" s="34" t="str">
        <x:v>Lang</x:v>
      </x:c>
      <x:c r="C3224" s="34" t="str">
        <x:v>Round2</x:v>
      </x:c>
      <x:c r="D3224" s="34" t="str">
        <x:v>Lang_41</x:v>
      </x:c>
      <x:c r="E3224" s="34" t="str">
        <x:v>Line</x:v>
      </x:c>
      <x:c r="F3224" s="34" t="n">
        <x:v>273</x:v>
      </x:c>
      <x:c r="G3224" s="34" t="str">
        <x:v>RECORDED</x:v>
      </x:c>
      <x:c r="H3224" s="38" t="n">
        <x:f>IF(ISNUMBER('Data'!H1516),'Data'!H1516*100,"")</x:f>
        <x:v>54.21</x:v>
      </x:c>
      <x:c r="I3224" s="34" t="str">
        <x:v>PASS</x:v>
      </x:c>
      <x:c r="J3224" s="34" t="str">
        <x:v>PASS</x:v>
      </x:c>
      <x:c r="K3224" s="34" t="str">
        <x:v>PASS</x:v>
      </x:c>
      <x:c r="L3224" s="34" t="str">
        <x:v>PASS</x:v>
      </x:c>
      <x:c r="M3224" s="34" t="str">
        <x:v>numeric coverage for applicable metric</x:v>
      </x:c>
      <x:c r="N3224" s="34" t="str">
        <x:v>Feedback-Directed Random Test Generation/Result_Round2/Lang_41/result.json</x:v>
      </x:c>
      <x:c r="O3224" s="38" t="n">
        <x:f>IF(AND(G3224="RECORDED",ISNUMBER(H3224)),H3224,"")</x:f>
        <x:v>54.21</x:v>
      </x:c>
      <x:c r="P3224" s="34" t="str">
        <x:v>INCONCLUSIVE</x:v>
      </x:c>
      <x:c r="Q3224" s="34" t="str">
        <x:v>Feedback-Directed Random Test Generation/Result_Round2/Lang_41/result.json</x:v>
      </x:c>
    </x:row>
    <x:row r="3225">
      <x:c r="A3225" s="34" t="str">
        <x:v>randoop</x:v>
      </x:c>
      <x:c r="B3225" s="34" t="str">
        <x:v>Lang</x:v>
      </x:c>
      <x:c r="C3225" s="34" t="str">
        <x:v>Round2</x:v>
      </x:c>
      <x:c r="D3225" s="34" t="str">
        <x:v>Lang_42</x:v>
      </x:c>
      <x:c r="E3225" s="34" t="str">
        <x:v>Line</x:v>
      </x:c>
      <x:c r="F3225" s="34" t="n">
        <x:v>207</x:v>
      </x:c>
      <x:c r="G3225" s="34" t="str">
        <x:v>RECORDED</x:v>
      </x:c>
      <x:c r="H3225" s="38" t="n">
        <x:f>IF(ISNUMBER('Data'!H1517),'Data'!H1517*100,"")</x:f>
        <x:v>71.5</x:v>
      </x:c>
      <x:c r="I3225" s="34" t="str">
        <x:v>PASS</x:v>
      </x:c>
      <x:c r="J3225" s="34" t="str">
        <x:v>PASS</x:v>
      </x:c>
      <x:c r="K3225" s="34" t="str">
        <x:v>PASS</x:v>
      </x:c>
      <x:c r="L3225" s="34" t="str">
        <x:v>FAIL</x:v>
      </x:c>
      <x:c r="M3225" s="34" t="str">
        <x:v>numeric coverage for applicable metric</x:v>
      </x:c>
      <x:c r="N3225" s="34" t="str">
        <x:v>Feedback-Directed Random Test Generation/Result_Round2/Lang_42/result.json</x:v>
      </x:c>
      <x:c r="O3225" s="38" t="n">
        <x:f>IF(AND(G3225="RECORDED",ISNUMBER(H3225)),H3225,"")</x:f>
        <x:v>71.5</x:v>
      </x:c>
      <x:c r="P3225" s="34" t="str">
        <x:v>INCONCLUSIVE</x:v>
      </x:c>
      <x:c r="Q3225" s="34" t="str">
        <x:v>Feedback-Directed Random Test Generation/Result_Round2/Lang_42/result.json</x:v>
      </x:c>
    </x:row>
    <x:row r="3226">
      <x:c r="A3226" s="34" t="str">
        <x:v>randoop</x:v>
      </x:c>
      <x:c r="B3226" s="34" t="str">
        <x:v>Lang</x:v>
      </x:c>
      <x:c r="C3226" s="34" t="str">
        <x:v>Round2</x:v>
      </x:c>
      <x:c r="D3226" s="34" t="str">
        <x:v>Lang_43</x:v>
      </x:c>
      <x:c r="E3226" s="34" t="str">
        <x:v>Line</x:v>
      </x:c>
      <x:c r="F3226" s="34" t="n">
        <x:v>166</x:v>
      </x:c>
      <x:c r="G3226" s="34" t="str">
        <x:v>RECORDED</x:v>
      </x:c>
      <x:c r="H3226" s="38" t="n">
        <x:f>IF(ISNUMBER('Data'!H1518),'Data'!H1518*100,"")</x:f>
        <x:v>12.05</x:v>
      </x:c>
      <x:c r="I3226" s="34" t="str">
        <x:v>PASS</x:v>
      </x:c>
      <x:c r="J3226" s="34" t="str">
        <x:v>PASS</x:v>
      </x:c>
      <x:c r="K3226" s="34" t="str">
        <x:v>PASS</x:v>
      </x:c>
      <x:c r="L3226" s="34" t="str">
        <x:v>PASS</x:v>
      </x:c>
      <x:c r="M3226" s="34" t="str">
        <x:v>numeric coverage for applicable metric</x:v>
      </x:c>
      <x:c r="N3226" s="34" t="str">
        <x:v>Feedback-Directed Random Test Generation/Result_Round2/Lang_43/result.json</x:v>
      </x:c>
      <x:c r="O3226" s="38" t="n">
        <x:f>IF(AND(G3226="RECORDED",ISNUMBER(H3226)),H3226,"")</x:f>
        <x:v>12.05</x:v>
      </x:c>
      <x:c r="P3226" s="34" t="str">
        <x:v>NOT_REVEALING</x:v>
      </x:c>
      <x:c r="Q3226" s="34" t="str">
        <x:v>Feedback-Directed Random Test Generation/Result_Round2/Lang_43/result.json</x:v>
      </x:c>
    </x:row>
    <x:row r="3227">
      <x:c r="A3227" s="34" t="str">
        <x:v>randoop</x:v>
      </x:c>
      <x:c r="B3227" s="34" t="str">
        <x:v>Lang</x:v>
      </x:c>
      <x:c r="C3227" s="34" t="str">
        <x:v>Round2</x:v>
      </x:c>
      <x:c r="D3227" s="34" t="str">
        <x:v>Lang_44</x:v>
      </x:c>
      <x:c r="E3227" s="34" t="str">
        <x:v>Line</x:v>
      </x:c>
      <x:c r="F3227" s="34" t="n">
        <x:v>190</x:v>
      </x:c>
      <x:c r="G3227" s="34" t="str">
        <x:v>RECORDED</x:v>
      </x:c>
      <x:c r="H3227" s="38" t="n">
        <x:f>IF(ISNUMBER('Data'!H1519),'Data'!H1519*100,"")</x:f>
        <x:v>50</x:v>
      </x:c>
      <x:c r="I3227" s="34" t="str">
        <x:v>PASS</x:v>
      </x:c>
      <x:c r="J3227" s="34" t="str">
        <x:v>PASS</x:v>
      </x:c>
      <x:c r="K3227" s="34" t="str">
        <x:v>PASS</x:v>
      </x:c>
      <x:c r="L3227" s="34" t="str">
        <x:v>PASS</x:v>
      </x:c>
      <x:c r="M3227" s="34" t="str">
        <x:v>numeric coverage for applicable metric</x:v>
      </x:c>
      <x:c r="N3227" s="34" t="str">
        <x:v>Feedback-Directed Random Test Generation/Result_Round2/Lang_44/result.json</x:v>
      </x:c>
      <x:c r="O3227" s="38" t="n">
        <x:f>IF(AND(G3227="RECORDED",ISNUMBER(H3227)),H3227,"")</x:f>
        <x:v>50</x:v>
      </x:c>
      <x:c r="P3227" s="34" t="str">
        <x:v>NOT_REVEALING</x:v>
      </x:c>
      <x:c r="Q3227" s="34" t="str">
        <x:v>Feedback-Directed Random Test Generation/Result_Round2/Lang_44/result.json</x:v>
      </x:c>
    </x:row>
    <x:row r="3228">
      <x:c r="A3228" s="34" t="str">
        <x:v>randoop</x:v>
      </x:c>
      <x:c r="B3228" s="34" t="str">
        <x:v>Lang</x:v>
      </x:c>
      <x:c r="C3228" s="34" t="str">
        <x:v>Round2</x:v>
      </x:c>
      <x:c r="D3228" s="34" t="str">
        <x:v>Lang_45</x:v>
      </x:c>
      <x:c r="E3228" s="34" t="str">
        <x:v>Line</x:v>
      </x:c>
      <x:c r="F3228" s="34" t="n">
        <x:v>138</x:v>
      </x:c>
      <x:c r="G3228" s="34" t="str">
        <x:v>RECORDED</x:v>
      </x:c>
      <x:c r="H3228" s="38" t="n">
        <x:f>IF(ISNUMBER('Data'!H1520),'Data'!H1520*100,"")</x:f>
        <x:v>83.33</x:v>
      </x:c>
      <x:c r="I3228" s="34" t="str">
        <x:v>PASS</x:v>
      </x:c>
      <x:c r="J3228" s="34" t="str">
        <x:v>PASS</x:v>
      </x:c>
      <x:c r="K3228" s="34" t="str">
        <x:v>PASS</x:v>
      </x:c>
      <x:c r="L3228" s="34" t="str">
        <x:v>PASS</x:v>
      </x:c>
      <x:c r="M3228" s="34" t="str">
        <x:v>numeric coverage for applicable metric</x:v>
      </x:c>
      <x:c r="N3228" s="34" t="str">
        <x:v>Feedback-Directed Random Test Generation/Result_Round2/Lang_45/result.json</x:v>
      </x:c>
      <x:c r="O3228" s="38" t="n">
        <x:f>IF(AND(G3228="RECORDED",ISNUMBER(H3228)),H3228,"")</x:f>
        <x:v>83.33</x:v>
      </x:c>
      <x:c r="P3228" s="34" t="str">
        <x:v>INCONCLUSIVE</x:v>
      </x:c>
      <x:c r="Q3228" s="34" t="str">
        <x:v>Feedback-Directed Random Test Generation/Result_Round2/Lang_45/result.json</x:v>
      </x:c>
    </x:row>
    <x:row r="3229">
      <x:c r="A3229" s="34" t="str">
        <x:v>randoop</x:v>
      </x:c>
      <x:c r="B3229" s="34" t="str">
        <x:v>Lang</x:v>
      </x:c>
      <x:c r="C3229" s="34" t="str">
        <x:v>Round2</x:v>
      </x:c>
      <x:c r="D3229" s="34" t="str">
        <x:v>Lang_46</x:v>
      </x:c>
      <x:c r="E3229" s="34" t="str">
        <x:v>Line</x:v>
      </x:c>
      <x:c r="F3229" s="34" t="n">
        <x:v>221</x:v>
      </x:c>
      <x:c r="G3229" s="34" t="str">
        <x:v>RECORDED</x:v>
      </x:c>
      <x:c r="H3229" s="38" t="n">
        <x:f>IF(ISNUMBER('Data'!H1521),'Data'!H1521*100,"")</x:f>
        <x:v>40.72</x:v>
      </x:c>
      <x:c r="I3229" s="34" t="str">
        <x:v>PASS</x:v>
      </x:c>
      <x:c r="J3229" s="34" t="str">
        <x:v>PASS</x:v>
      </x:c>
      <x:c r="K3229" s="34" t="str">
        <x:v>PASS</x:v>
      </x:c>
      <x:c r="L3229" s="34" t="str">
        <x:v>PASS</x:v>
      </x:c>
      <x:c r="M3229" s="34" t="str">
        <x:v>numeric coverage for applicable metric</x:v>
      </x:c>
      <x:c r="N3229" s="34" t="str">
        <x:v>Feedback-Directed Random Test Generation/Result_Round2/Lang_46/result.json</x:v>
      </x:c>
      <x:c r="O3229" s="38" t="n">
        <x:f>IF(AND(G3229="RECORDED",ISNUMBER(H3229)),H3229,"")</x:f>
        <x:v>40.72</x:v>
      </x:c>
      <x:c r="P3229" s="34" t="str">
        <x:v>NOT_REVEALING</x:v>
      </x:c>
      <x:c r="Q3229" s="34" t="str">
        <x:v>Feedback-Directed Random Test Generation/Result_Round2/Lang_46/result.json</x:v>
      </x:c>
    </x:row>
    <x:row r="3230">
      <x:c r="A3230" s="34" t="str">
        <x:v>randoop</x:v>
      </x:c>
      <x:c r="B3230" s="34" t="str">
        <x:v>Lang</x:v>
      </x:c>
      <x:c r="C3230" s="34" t="str">
        <x:v>Round2</x:v>
      </x:c>
      <x:c r="D3230" s="34" t="str">
        <x:v>Lang_47</x:v>
      </x:c>
      <x:c r="E3230" s="34" t="str">
        <x:v>Line</x:v>
      </x:c>
      <x:c r="F3230" s="34" t="n">
        <x:v>696</x:v>
      </x:c>
      <x:c r="G3230" s="34" t="str">
        <x:v>RECORDED</x:v>
      </x:c>
      <x:c r="H3230" s="38" t="n">
        <x:f>IF(ISNUMBER('Data'!H1522),'Data'!H1522*100,"")</x:f>
        <x:v>96.26</x:v>
      </x:c>
      <x:c r="I3230" s="34" t="str">
        <x:v>PASS</x:v>
      </x:c>
      <x:c r="J3230" s="34" t="str">
        <x:v>PASS</x:v>
      </x:c>
      <x:c r="K3230" s="34" t="str">
        <x:v>PASS</x:v>
      </x:c>
      <x:c r="L3230" s="34" t="str">
        <x:v>FAIL</x:v>
      </x:c>
      <x:c r="M3230" s="34" t="str">
        <x:v>numeric coverage for applicable metric</x:v>
      </x:c>
      <x:c r="N3230" s="34" t="str">
        <x:v>Feedback-Directed Random Test Generation/Result_Round2/Lang_47/result.json</x:v>
      </x:c>
      <x:c r="O3230" s="38" t="n">
        <x:f>IF(AND(G3230="RECORDED",ISNUMBER(H3230)),H3230,"")</x:f>
        <x:v>96.26</x:v>
      </x:c>
      <x:c r="P3230" s="34" t="str">
        <x:v>INCONCLUSIVE</x:v>
      </x:c>
      <x:c r="Q3230" s="34" t="str">
        <x:v>Feedback-Directed Random Test Generation/Result_Round2/Lang_47/result.json</x:v>
      </x:c>
    </x:row>
    <x:row r="3231">
      <x:c r="A3231" s="34" t="str">
        <x:v>randoop</x:v>
      </x:c>
      <x:c r="B3231" s="34" t="str">
        <x:v>Lang</x:v>
      </x:c>
      <x:c r="C3231" s="34" t="str">
        <x:v>Round2</x:v>
      </x:c>
      <x:c r="D3231" s="34" t="str">
        <x:v>Lang_49</x:v>
      </x:c>
      <x:c r="E3231" s="34" t="str">
        <x:v>Line</x:v>
      </x:c>
      <x:c r="F3231" s="34" t="n">
        <x:v>276</x:v>
      </x:c>
      <x:c r="G3231" s="34" t="str">
        <x:v>RECORDED</x:v>
      </x:c>
      <x:c r="H3231" s="38" t="n">
        <x:f>IF(ISNUMBER('Data'!H1523),'Data'!H1523*100,"")</x:f>
        <x:v>93.12</x:v>
      </x:c>
      <x:c r="I3231" s="34" t="str">
        <x:v>PASS</x:v>
      </x:c>
      <x:c r="J3231" s="34" t="str">
        <x:v>PASS</x:v>
      </x:c>
      <x:c r="K3231" s="34" t="str">
        <x:v>PASS</x:v>
      </x:c>
      <x:c r="L3231" s="34" t="str">
        <x:v>PASS</x:v>
      </x:c>
      <x:c r="M3231" s="34" t="str">
        <x:v>numeric coverage for applicable metric</x:v>
      </x:c>
      <x:c r="N3231" s="34" t="str">
        <x:v>Feedback-Directed Random Test Generation/Result_Round2/Lang_49/result.json</x:v>
      </x:c>
      <x:c r="O3231" s="38" t="n">
        <x:f>IF(AND(G3231="RECORDED",ISNUMBER(H3231)),H3231,"")</x:f>
        <x:v>93.12</x:v>
      </x:c>
      <x:c r="P3231" s="34" t="str">
        <x:v>NOT_REVEALING</x:v>
      </x:c>
      <x:c r="Q3231" s="34" t="str">
        <x:v>Feedback-Directed Random Test Generation/Result_Round2/Lang_49/result.json</x:v>
      </x:c>
    </x:row>
    <x:row r="3232">
      <x:c r="A3232" s="34" t="str">
        <x:v>randoop</x:v>
      </x:c>
      <x:c r="B3232" s="34" t="str">
        <x:v>Lang</x:v>
      </x:c>
      <x:c r="C3232" s="34" t="str">
        <x:v>Round2</x:v>
      </x:c>
      <x:c r="D3232" s="34" t="str">
        <x:v>Lang_50</x:v>
      </x:c>
      <x:c r="E3232" s="34" t="str">
        <x:v>Line</x:v>
      </x:c>
      <x:c r="F3232" s="34" t="n">
        <x:v>467</x:v>
      </x:c>
      <x:c r="G3232" s="34" t="str">
        <x:v>RECORDED</x:v>
      </x:c>
      <x:c r="H3232" s="38" t="n">
        <x:f>IF(ISNUMBER('Data'!H1524),'Data'!H1524*100,"")</x:f>
        <x:v>74.95</x:v>
      </x:c>
      <x:c r="I3232" s="34" t="str">
        <x:v>PASS</x:v>
      </x:c>
      <x:c r="J3232" s="34" t="str">
        <x:v>PASS</x:v>
      </x:c>
      <x:c r="K3232" s="34" t="str">
        <x:v>PASS</x:v>
      </x:c>
      <x:c r="L3232" s="34" t="str">
        <x:v>FAIL</x:v>
      </x:c>
      <x:c r="M3232" s="34" t="str">
        <x:v>numeric coverage for applicable metric</x:v>
      </x:c>
      <x:c r="N3232" s="34" t="str">
        <x:v>Feedback-Directed Random Test Generation/Result_Round2/Lang_50/result.json</x:v>
      </x:c>
      <x:c r="O3232" s="38" t="n">
        <x:f>IF(AND(G3232="RECORDED",ISNUMBER(H3232)),H3232,"")</x:f>
        <x:v>74.95</x:v>
      </x:c>
      <x:c r="P3232" s="34" t="str">
        <x:v>INCONCLUSIVE</x:v>
      </x:c>
      <x:c r="Q3232" s="34" t="str">
        <x:v>Feedback-Directed Random Test Generation/Result_Round2/Lang_50/result.json</x:v>
      </x:c>
    </x:row>
    <x:row r="3233">
      <x:c r="A3233" s="34" t="str">
        <x:v>randoop</x:v>
      </x:c>
      <x:c r="B3233" s="34" t="str">
        <x:v>Lang</x:v>
      </x:c>
      <x:c r="C3233" s="34" t="str">
        <x:v>Round2</x:v>
      </x:c>
      <x:c r="D3233" s="34" t="str">
        <x:v>Lang_51</x:v>
      </x:c>
      <x:c r="E3233" s="34" t="str">
        <x:v>Line</x:v>
      </x:c>
      <x:c r="F3233" s="34" t="n">
        <x:v>171</x:v>
      </x:c>
      <x:c r="G3233" s="34" t="str">
        <x:v>RECORDED</x:v>
      </x:c>
      <x:c r="H3233" s="38" t="n">
        <x:f>IF(ISNUMBER('Data'!H1525),'Data'!H1525*100,"")</x:f>
        <x:v>74.27</x:v>
      </x:c>
      <x:c r="I3233" s="34" t="str">
        <x:v>PASS</x:v>
      </x:c>
      <x:c r="J3233" s="34" t="str">
        <x:v>PASS</x:v>
      </x:c>
      <x:c r="K3233" s="34" t="str">
        <x:v>PASS</x:v>
      </x:c>
      <x:c r="L3233" s="34" t="str">
        <x:v>PASS</x:v>
      </x:c>
      <x:c r="M3233" s="34" t="str">
        <x:v>numeric coverage for applicable metric</x:v>
      </x:c>
      <x:c r="N3233" s="34" t="str">
        <x:v>Feedback-Directed Random Test Generation/Result_Round2/Lang_51/result.json</x:v>
      </x:c>
      <x:c r="O3233" s="38" t="n">
        <x:f>IF(AND(G3233="RECORDED",ISNUMBER(H3233)),H3233,"")</x:f>
        <x:v>74.27</x:v>
      </x:c>
      <x:c r="P3233" s="34" t="str">
        <x:v>NOT_REVEALING</x:v>
      </x:c>
      <x:c r="Q3233" s="34" t="str">
        <x:v>Feedback-Directed Random Test Generation/Result_Round2/Lang_51/result.json</x:v>
      </x:c>
    </x:row>
    <x:row r="3234">
      <x:c r="A3234" s="34" t="str">
        <x:v>randoop</x:v>
      </x:c>
      <x:c r="B3234" s="34" t="str">
        <x:v>Lang</x:v>
      </x:c>
      <x:c r="C3234" s="34" t="str">
        <x:v>Round2</x:v>
      </x:c>
      <x:c r="D3234" s="34" t="str">
        <x:v>Lang_52</x:v>
      </x:c>
      <x:c r="E3234" s="34" t="str">
        <x:v>Line</x:v>
      </x:c>
      <x:c r="F3234" s="34" t="n">
        <x:v>175</x:v>
      </x:c>
      <x:c r="G3234" s="34" t="str">
        <x:v>RECORDED</x:v>
      </x:c>
      <x:c r="H3234" s="38" t="n">
        <x:f>IF(ISNUMBER('Data'!H1526),'Data'!H1526*100,"")</x:f>
        <x:v>41.14</x:v>
      </x:c>
      <x:c r="I3234" s="34" t="str">
        <x:v>PASS</x:v>
      </x:c>
      <x:c r="J3234" s="34" t="str">
        <x:v>PASS</x:v>
      </x:c>
      <x:c r="K3234" s="34" t="str">
        <x:v>PASS</x:v>
      </x:c>
      <x:c r="L3234" s="34" t="str">
        <x:v>PASS</x:v>
      </x:c>
      <x:c r="M3234" s="34" t="str">
        <x:v>numeric coverage for applicable metric</x:v>
      </x:c>
      <x:c r="N3234" s="34" t="str">
        <x:v>Feedback-Directed Random Test Generation/Result_Round2/Lang_52/result.json</x:v>
      </x:c>
      <x:c r="O3234" s="38" t="n">
        <x:f>IF(AND(G3234="RECORDED",ISNUMBER(H3234)),H3234,"")</x:f>
        <x:v>41.14</x:v>
      </x:c>
      <x:c r="P3234" s="34" t="str">
        <x:v>NOT_REVEALING</x:v>
      </x:c>
      <x:c r="Q3234" s="34" t="str">
        <x:v>Feedback-Directed Random Test Generation/Result_Round2/Lang_52/result.json</x:v>
      </x:c>
    </x:row>
    <x:row r="3235">
      <x:c r="A3235" s="34" t="str">
        <x:v>randoop</x:v>
      </x:c>
      <x:c r="B3235" s="34" t="str">
        <x:v>Lang</x:v>
      </x:c>
      <x:c r="C3235" s="34" t="str">
        <x:v>Round2</x:v>
      </x:c>
      <x:c r="D3235" s="34" t="str">
        <x:v>Lang_53</x:v>
      </x:c>
      <x:c r="E3235" s="34" t="str">
        <x:v>Line</x:v>
      </x:c>
      <x:c r="F3235" s="34" t="n">
        <x:v>217</x:v>
      </x:c>
      <x:c r="G3235" s="34" t="str">
        <x:v>RECORDED</x:v>
      </x:c>
      <x:c r="H3235" s="38" t="n">
        <x:f>IF(ISNUMBER('Data'!H1527),'Data'!H1527*100,"")</x:f>
        <x:v>84.33</x:v>
      </x:c>
      <x:c r="I3235" s="34" t="str">
        <x:v>PASS</x:v>
      </x:c>
      <x:c r="J3235" s="34" t="str">
        <x:v>PASS</x:v>
      </x:c>
      <x:c r="K3235" s="34" t="str">
        <x:v>PASS</x:v>
      </x:c>
      <x:c r="L3235" s="34" t="str">
        <x:v>FAIL</x:v>
      </x:c>
      <x:c r="M3235" s="34" t="str">
        <x:v>numeric coverage for applicable metric</x:v>
      </x:c>
      <x:c r="N3235" s="34" t="str">
        <x:v>Feedback-Directed Random Test Generation/Result_Round2/Lang_53/result.json</x:v>
      </x:c>
      <x:c r="O3235" s="38" t="n">
        <x:f>IF(AND(G3235="RECORDED",ISNUMBER(H3235)),H3235,"")</x:f>
        <x:v>84.33</x:v>
      </x:c>
      <x:c r="P3235" s="34" t="str">
        <x:v>INCONCLUSIVE</x:v>
      </x:c>
      <x:c r="Q3235" s="34" t="str">
        <x:v>Feedback-Directed Random Test Generation/Result_Round2/Lang_53/result.json</x:v>
      </x:c>
    </x:row>
    <x:row r="3236">
      <x:c r="A3236" s="34" t="str">
        <x:v>randoop</x:v>
      </x:c>
      <x:c r="B3236" s="34" t="str">
        <x:v>Lang</x:v>
      </x:c>
      <x:c r="C3236" s="34" t="str">
        <x:v>Round2</x:v>
      </x:c>
      <x:c r="D3236" s="34" t="str">
        <x:v>Lang_54</x:v>
      </x:c>
      <x:c r="E3236" s="34" t="str">
        <x:v>Line</x:v>
      </x:c>
      <x:c r="F3236" s="34" t="n">
        <x:v>79</x:v>
      </x:c>
      <x:c r="G3236" s="34" t="str">
        <x:v>RECORDED</x:v>
      </x:c>
      <x:c r="H3236" s="38" t="n">
        <x:f>IF(ISNUMBER('Data'!H1528),'Data'!H1528*100,"")</x:f>
        <x:v>63.29</x:v>
      </x:c>
      <x:c r="I3236" s="34" t="str">
        <x:v>PASS</x:v>
      </x:c>
      <x:c r="J3236" s="34" t="str">
        <x:v>PASS</x:v>
      </x:c>
      <x:c r="K3236" s="34" t="str">
        <x:v>PASS</x:v>
      </x:c>
      <x:c r="L3236" s="34" t="str">
        <x:v>PASS</x:v>
      </x:c>
      <x:c r="M3236" s="34" t="str">
        <x:v>numeric coverage for applicable metric</x:v>
      </x:c>
      <x:c r="N3236" s="34" t="str">
        <x:v>Feedback-Directed Random Test Generation/Result_Round2/Lang_54/result.json</x:v>
      </x:c>
      <x:c r="O3236" s="38" t="n">
        <x:f>IF(AND(G3236="RECORDED",ISNUMBER(H3236)),H3236,"")</x:f>
        <x:v>63.29</x:v>
      </x:c>
      <x:c r="P3236" s="34" t="str">
        <x:v>NOT_REVEALING</x:v>
      </x:c>
      <x:c r="Q3236" s="34" t="str">
        <x:v>Feedback-Directed Random Test Generation/Result_Round2/Lang_54/result.json</x:v>
      </x:c>
    </x:row>
    <x:row r="3237">
      <x:c r="A3237" s="34" t="str">
        <x:v>randoop</x:v>
      </x:c>
      <x:c r="B3237" s="34" t="str">
        <x:v>Lang</x:v>
      </x:c>
      <x:c r="C3237" s="34" t="str">
        <x:v>Round2</x:v>
      </x:c>
      <x:c r="D3237" s="34" t="str">
        <x:v>Lang_55</x:v>
      </x:c>
      <x:c r="E3237" s="34" t="str">
        <x:v>Line</x:v>
      </x:c>
      <x:c r="F3237" s="34" t="n">
        <x:v>57</x:v>
      </x:c>
      <x:c r="G3237" s="34" t="str">
        <x:v>RECORDED</x:v>
      </x:c>
      <x:c r="H3237" s="38" t="n">
        <x:f>IF(ISNUMBER('Data'!H1529),'Data'!H1529*100,"")</x:f>
        <x:v>98.25</x:v>
      </x:c>
      <x:c r="I3237" s="34" t="str">
        <x:v>PASS</x:v>
      </x:c>
      <x:c r="J3237" s="34" t="str">
        <x:v>PASS</x:v>
      </x:c>
      <x:c r="K3237" s="34" t="str">
        <x:v>PASS</x:v>
      </x:c>
      <x:c r="L3237" s="34" t="str">
        <x:v>FAIL</x:v>
      </x:c>
      <x:c r="M3237" s="34" t="str">
        <x:v>numeric coverage for applicable metric</x:v>
      </x:c>
      <x:c r="N3237" s="34" t="str">
        <x:v>Feedback-Directed Random Test Generation/Result_Round2/Lang_55/result.json</x:v>
      </x:c>
      <x:c r="O3237" s="38" t="n">
        <x:f>IF(AND(G3237="RECORDED",ISNUMBER(H3237)),H3237,"")</x:f>
        <x:v>98.25</x:v>
      </x:c>
      <x:c r="P3237" s="34" t="str">
        <x:v>INCONCLUSIVE</x:v>
      </x:c>
      <x:c r="Q3237" s="34" t="str">
        <x:v>Feedback-Directed Random Test Generation/Result_Round2/Lang_55/result.json</x:v>
      </x:c>
    </x:row>
    <x:row r="3238">
      <x:c r="A3238" s="34" t="str">
        <x:v>randoop</x:v>
      </x:c>
      <x:c r="B3238" s="34" t="str">
        <x:v>Lang</x:v>
      </x:c>
      <x:c r="C3238" s="34" t="str">
        <x:v>Round2</x:v>
      </x:c>
      <x:c r="D3238" s="34" t="str">
        <x:v>Lang_56</x:v>
      </x:c>
      <x:c r="E3238" s="34" t="str">
        <x:v>Line</x:v>
      </x:c>
      <x:c r="F3238" s="34" t="n">
        <x:v>464</x:v>
      </x:c>
      <x:c r="G3238" s="34" t="str">
        <x:v>RECORDED</x:v>
      </x:c>
      <x:c r="H3238" s="38" t="n">
        <x:f>IF(ISNUMBER('Data'!H1530),'Data'!H1530*100,"")</x:f>
        <x:v>75.43</x:v>
      </x:c>
      <x:c r="I3238" s="34" t="str">
        <x:v>PASS</x:v>
      </x:c>
      <x:c r="J3238" s="34" t="str">
        <x:v>PASS</x:v>
      </x:c>
      <x:c r="K3238" s="34" t="str">
        <x:v>PASS</x:v>
      </x:c>
      <x:c r="L3238" s="34" t="str">
        <x:v>FAIL</x:v>
      </x:c>
      <x:c r="M3238" s="34" t="str">
        <x:v>numeric coverage for applicable metric</x:v>
      </x:c>
      <x:c r="N3238" s="34" t="str">
        <x:v>Feedback-Directed Random Test Generation/Result_Round2/Lang_56/result.json</x:v>
      </x:c>
      <x:c r="O3238" s="38" t="n">
        <x:f>IF(AND(G3238="RECORDED",ISNUMBER(H3238)),H3238,"")</x:f>
        <x:v>75.43</x:v>
      </x:c>
      <x:c r="P3238" s="34" t="str">
        <x:v>INCONCLUSIVE</x:v>
      </x:c>
      <x:c r="Q3238" s="34" t="str">
        <x:v>Feedback-Directed Random Test Generation/Result_Round2/Lang_56/result.json</x:v>
      </x:c>
    </x:row>
    <x:row r="3239">
      <x:c r="A3239" s="34" t="str">
        <x:v>randoop</x:v>
      </x:c>
      <x:c r="B3239" s="34" t="str">
        <x:v>Lang</x:v>
      </x:c>
      <x:c r="C3239" s="34" t="str">
        <x:v>Round2</x:v>
      </x:c>
      <x:c r="D3239" s="34" t="str">
        <x:v>Lang_57</x:v>
      </x:c>
      <x:c r="E3239" s="34" t="str">
        <x:v>Line</x:v>
      </x:c>
      <x:c r="F3239" s="34" t="n">
        <x:v>79</x:v>
      </x:c>
      <x:c r="G3239" s="34" t="str">
        <x:v>RECORDED</x:v>
      </x:c>
      <x:c r="H3239" s="38" t="n">
        <x:f>IF(ISNUMBER('Data'!H1531),'Data'!H1531*100,"")</x:f>
        <x:v>63.29</x:v>
      </x:c>
      <x:c r="I3239" s="34" t="str">
        <x:v>PASS</x:v>
      </x:c>
      <x:c r="J3239" s="34" t="str">
        <x:v>PASS</x:v>
      </x:c>
      <x:c r="K3239" s="34" t="str">
        <x:v>PASS</x:v>
      </x:c>
      <x:c r="L3239" s="34" t="str">
        <x:v>FAIL</x:v>
      </x:c>
      <x:c r="M3239" s="34" t="str">
        <x:v>numeric coverage for applicable metric</x:v>
      </x:c>
      <x:c r="N3239" s="34" t="str">
        <x:v>Feedback-Directed Random Test Generation/Result_Round2/Lang_57/result.json</x:v>
      </x:c>
      <x:c r="O3239" s="38" t="n">
        <x:f>IF(AND(G3239="RECORDED",ISNUMBER(H3239)),H3239,"")</x:f>
        <x:v>63.29</x:v>
      </x:c>
      <x:c r="P3239" s="34" t="str">
        <x:v>INCONCLUSIVE</x:v>
      </x:c>
      <x:c r="Q3239" s="34" t="str">
        <x:v>Feedback-Directed Random Test Generation/Result_Round2/Lang_57/result.json</x:v>
      </x:c>
    </x:row>
    <x:row r="3240">
      <x:c r="A3240" s="34" t="str">
        <x:v>randoop</x:v>
      </x:c>
      <x:c r="B3240" s="34" t="str">
        <x:v>Lang</x:v>
      </x:c>
      <x:c r="C3240" s="34" t="str">
        <x:v>Round2</x:v>
      </x:c>
      <x:c r="D3240" s="34" t="str">
        <x:v>Lang_58</x:v>
      </x:c>
      <x:c r="E3240" s="34" t="str">
        <x:v>Line</x:v>
      </x:c>
      <x:c r="F3240" s="34" t="n">
        <x:v>435</x:v>
      </x:c>
      <x:c r="G3240" s="34" t="str">
        <x:v>RECORDED</x:v>
      </x:c>
      <x:c r="H3240" s="38" t="n">
        <x:f>IF(ISNUMBER('Data'!H1532),'Data'!H1532*100,"")</x:f>
        <x:v>73.79</x:v>
      </x:c>
      <x:c r="I3240" s="34" t="str">
        <x:v>PASS</x:v>
      </x:c>
      <x:c r="J3240" s="34" t="str">
        <x:v>PASS</x:v>
      </x:c>
      <x:c r="K3240" s="34" t="str">
        <x:v>PASS</x:v>
      </x:c>
      <x:c r="L3240" s="34" t="str">
        <x:v>PASS</x:v>
      </x:c>
      <x:c r="M3240" s="34" t="str">
        <x:v>numeric coverage for applicable metric</x:v>
      </x:c>
      <x:c r="N3240" s="34" t="str">
        <x:v>Feedback-Directed Random Test Generation/Result_Round2/Lang_58/result.json</x:v>
      </x:c>
      <x:c r="O3240" s="38" t="n">
        <x:f>IF(AND(G3240="RECORDED",ISNUMBER(H3240)),H3240,"")</x:f>
        <x:v>73.79</x:v>
      </x:c>
      <x:c r="P3240" s="34" t="str">
        <x:v>NOT_REVEALING</x:v>
      </x:c>
      <x:c r="Q3240" s="34" t="str">
        <x:v>Feedback-Directed Random Test Generation/Result_Round2/Lang_58/result.json</x:v>
      </x:c>
    </x:row>
    <x:row r="3241">
      <x:c r="A3241" s="34" t="str">
        <x:v>randoop</x:v>
      </x:c>
      <x:c r="B3241" s="34" t="str">
        <x:v>Lang</x:v>
      </x:c>
      <x:c r="C3241" s="34" t="str">
        <x:v>Round2</x:v>
      </x:c>
      <x:c r="D3241" s="34" t="str">
        <x:v>Lang_59</x:v>
      </x:c>
      <x:c r="E3241" s="34" t="str">
        <x:v>Line</x:v>
      </x:c>
      <x:c r="F3241" s="34" t="n">
        <x:v>656</x:v>
      </x:c>
      <x:c r="G3241" s="34" t="str">
        <x:v>RECORDED</x:v>
      </x:c>
      <x:c r="H3241" s="38" t="n">
        <x:f>IF(ISNUMBER('Data'!H1533),'Data'!H1533*100,"")</x:f>
        <x:v>95.27</x:v>
      </x:c>
      <x:c r="I3241" s="34" t="str">
        <x:v>PASS</x:v>
      </x:c>
      <x:c r="J3241" s="34" t="str">
        <x:v>PASS</x:v>
      </x:c>
      <x:c r="K3241" s="34" t="str">
        <x:v>PASS</x:v>
      </x:c>
      <x:c r="L3241" s="34" t="str">
        <x:v>FAIL</x:v>
      </x:c>
      <x:c r="M3241" s="34" t="str">
        <x:v>numeric coverage for applicable metric</x:v>
      </x:c>
      <x:c r="N3241" s="34" t="str">
        <x:v>Feedback-Directed Random Test Generation/Result_Round2/Lang_59/result.json</x:v>
      </x:c>
      <x:c r="O3241" s="38" t="n">
        <x:f>IF(AND(G3241="RECORDED",ISNUMBER(H3241)),H3241,"")</x:f>
        <x:v>95.27</x:v>
      </x:c>
      <x:c r="P3241" s="34" t="str">
        <x:v>INCONCLUSIVE</x:v>
      </x:c>
      <x:c r="Q3241" s="34" t="str">
        <x:v>Feedback-Directed Random Test Generation/Result_Round2/Lang_59/result.json</x:v>
      </x:c>
    </x:row>
    <x:row r="3242">
      <x:c r="A3242" s="34" t="str">
        <x:v>randoop</x:v>
      </x:c>
      <x:c r="B3242" s="34" t="str">
        <x:v>Lang</x:v>
      </x:c>
      <x:c r="C3242" s="34" t="str">
        <x:v>Round2</x:v>
      </x:c>
      <x:c r="D3242" s="34" t="str">
        <x:v>Lang_60</x:v>
      </x:c>
      <x:c r="E3242" s="34" t="str">
        <x:v>Line</x:v>
      </x:c>
      <x:c r="F3242" s="34" t="n">
        <x:v>656</x:v>
      </x:c>
      <x:c r="G3242" s="34" t="str">
        <x:v>RECORDED</x:v>
      </x:c>
      <x:c r="H3242" s="38" t="n">
        <x:f>IF(ISNUMBER('Data'!H1534),'Data'!H1534*100,"")</x:f>
        <x:v>95.27</x:v>
      </x:c>
      <x:c r="I3242" s="34" t="str">
        <x:v>PASS</x:v>
      </x:c>
      <x:c r="J3242" s="34" t="str">
        <x:v>PASS</x:v>
      </x:c>
      <x:c r="K3242" s="34" t="str">
        <x:v>PASS</x:v>
      </x:c>
      <x:c r="L3242" s="34" t="str">
        <x:v>FAIL</x:v>
      </x:c>
      <x:c r="M3242" s="34" t="str">
        <x:v>numeric coverage for applicable metric</x:v>
      </x:c>
      <x:c r="N3242" s="34" t="str">
        <x:v>Feedback-Directed Random Test Generation/Result_Round2/Lang_60/result.json</x:v>
      </x:c>
      <x:c r="O3242" s="38" t="n">
        <x:f>IF(AND(G3242="RECORDED",ISNUMBER(H3242)),H3242,"")</x:f>
        <x:v>95.27</x:v>
      </x:c>
      <x:c r="P3242" s="34" t="str">
        <x:v>INCONCLUSIVE</x:v>
      </x:c>
      <x:c r="Q3242" s="34" t="str">
        <x:v>Feedback-Directed Random Test Generation/Result_Round2/Lang_60/result.json</x:v>
      </x:c>
    </x:row>
    <x:row r="3243">
      <x:c r="A3243" s="34" t="str">
        <x:v>randoop</x:v>
      </x:c>
      <x:c r="B3243" s="34" t="str">
        <x:v>Lang</x:v>
      </x:c>
      <x:c r="C3243" s="34" t="str">
        <x:v>Round2</x:v>
      </x:c>
      <x:c r="D3243" s="34" t="str">
        <x:v>Lang_61</x:v>
      </x:c>
      <x:c r="E3243" s="34" t="str">
        <x:v>Line</x:v>
      </x:c>
      <x:c r="F3243" s="34" t="n">
        <x:v>656</x:v>
      </x:c>
      <x:c r="G3243" s="34" t="str">
        <x:v>RECORDED</x:v>
      </x:c>
      <x:c r="H3243" s="38" t="n">
        <x:f>IF(ISNUMBER('Data'!H1535),'Data'!H1535*100,"")</x:f>
        <x:v>96.8</x:v>
      </x:c>
      <x:c r="I3243" s="34" t="str">
        <x:v>PASS</x:v>
      </x:c>
      <x:c r="J3243" s="34" t="str">
        <x:v>PASS</x:v>
      </x:c>
      <x:c r="K3243" s="34" t="str">
        <x:v>PASS</x:v>
      </x:c>
      <x:c r="L3243" s="34" t="str">
        <x:v>FAIL</x:v>
      </x:c>
      <x:c r="M3243" s="34" t="str">
        <x:v>numeric coverage for applicable metric</x:v>
      </x:c>
      <x:c r="N3243" s="34" t="str">
        <x:v>Feedback-Directed Random Test Generation/Result_Round2/Lang_61/result.json</x:v>
      </x:c>
      <x:c r="O3243" s="38" t="n">
        <x:f>IF(AND(G3243="RECORDED",ISNUMBER(H3243)),H3243,"")</x:f>
        <x:v>96.8</x:v>
      </x:c>
      <x:c r="P3243" s="34" t="str">
        <x:v>INCONCLUSIVE</x:v>
      </x:c>
      <x:c r="Q3243" s="34" t="str">
        <x:v>Feedback-Directed Random Test Generation/Result_Round2/Lang_61/result.json</x:v>
      </x:c>
    </x:row>
    <x:row r="3244">
      <x:c r="A3244" s="34" t="str">
        <x:v>randoop</x:v>
      </x:c>
      <x:c r="B3244" s="34" t="str">
        <x:v>Lang</x:v>
      </x:c>
      <x:c r="C3244" s="34" t="str">
        <x:v>Round2</x:v>
      </x:c>
      <x:c r="D3244" s="34" t="str">
        <x:v>Lang_62</x:v>
      </x:c>
      <x:c r="E3244" s="34" t="str">
        <x:v>Line</x:v>
      </x:c>
      <x:c r="F3244" s="34" t="n">
        <x:v>241</x:v>
      </x:c>
      <x:c r="G3244" s="34" t="str">
        <x:v>RECORDED</x:v>
      </x:c>
      <x:c r="H3244" s="38" t="n">
        <x:f>IF(ISNUMBER('Data'!H1536),'Data'!H1536*100,"")</x:f>
        <x:v>62.66</x:v>
      </x:c>
      <x:c r="I3244" s="34" t="str">
        <x:v>PASS</x:v>
      </x:c>
      <x:c r="J3244" s="34" t="str">
        <x:v>PASS</x:v>
      </x:c>
      <x:c r="K3244" s="34" t="str">
        <x:v>PASS</x:v>
      </x:c>
      <x:c r="L3244" s="34" t="str">
        <x:v>FAIL</x:v>
      </x:c>
      <x:c r="M3244" s="34" t="str">
        <x:v>numeric coverage for applicable metric</x:v>
      </x:c>
      <x:c r="N3244" s="34" t="str">
        <x:v>Feedback-Directed Random Test Generation/Result_Round2/Lang_62/result.json</x:v>
      </x:c>
      <x:c r="O3244" s="38" t="n">
        <x:f>IF(AND(G3244="RECORDED",ISNUMBER(H3244)),H3244,"")</x:f>
        <x:v>62.66</x:v>
      </x:c>
      <x:c r="P3244" s="34" t="str">
        <x:v>INCONCLUSIVE</x:v>
      </x:c>
      <x:c r="Q3244" s="34" t="str">
        <x:v>Feedback-Directed Random Test Generation/Result_Round2/Lang_62/result.json</x:v>
      </x:c>
    </x:row>
    <x:row r="3245">
      <x:c r="A3245" s="34" t="str">
        <x:v>randoop</x:v>
      </x:c>
      <x:c r="B3245" s="34" t="str">
        <x:v>Lang</x:v>
      </x:c>
      <x:c r="C3245" s="34" t="str">
        <x:v>Round2</x:v>
      </x:c>
      <x:c r="D3245" s="34" t="str">
        <x:v>Lang_63</x:v>
      </x:c>
      <x:c r="E3245" s="34" t="str">
        <x:v>Line</x:v>
      </x:c>
      <x:c r="F3245" s="34" t="n">
        <x:v>252</x:v>
      </x:c>
      <x:c r="G3245" s="34" t="str">
        <x:v>RECORDED</x:v>
      </x:c>
      <x:c r="H3245" s="38" t="n">
        <x:f>IF(ISNUMBER('Data'!H1537),'Data'!H1537*100,"")</x:f>
        <x:v>72.62</x:v>
      </x:c>
      <x:c r="I3245" s="34" t="str">
        <x:v>PASS</x:v>
      </x:c>
      <x:c r="J3245" s="34" t="str">
        <x:v>PASS</x:v>
      </x:c>
      <x:c r="K3245" s="34" t="str">
        <x:v>PASS</x:v>
      </x:c>
      <x:c r="L3245" s="34" t="str">
        <x:v>PASS</x:v>
      </x:c>
      <x:c r="M3245" s="34" t="str">
        <x:v>numeric coverage for applicable metric</x:v>
      </x:c>
      <x:c r="N3245" s="34" t="str">
        <x:v>Feedback-Directed Random Test Generation/Result_Round2/Lang_63/result.json</x:v>
      </x:c>
      <x:c r="O3245" s="38" t="n">
        <x:f>IF(AND(G3245="RECORDED",ISNUMBER(H3245)),H3245,"")</x:f>
        <x:v>72.62</x:v>
      </x:c>
      <x:c r="P3245" s="34" t="str">
        <x:v>NOT_AVAILABLE</x:v>
      </x:c>
      <x:c r="Q3245" s="34" t="str">
        <x:v>Feedback-Directed Random Test Generation/Result_Round2/Lang_63/result.json</x:v>
      </x:c>
    </x:row>
    <x:row r="3246">
      <x:c r="A3246" s="34" t="str">
        <x:v>randoop</x:v>
      </x:c>
      <x:c r="B3246" s="34" t="str">
        <x:v>Lang</x:v>
      </x:c>
      <x:c r="C3246" s="34" t="str">
        <x:v>Round2</x:v>
      </x:c>
      <x:c r="D3246" s="34" t="str">
        <x:v>Lang_64</x:v>
      </x:c>
      <x:c r="E3246" s="34" t="str">
        <x:v>Line</x:v>
      </x:c>
      <x:c r="F3246" s="34" t="n">
        <x:v>18</x:v>
      </x:c>
      <x:c r="G3246" s="34" t="str">
        <x:v>RECORDED</x:v>
      </x:c>
      <x:c r="H3246" s="38" t="n">
        <x:f>IF(ISNUMBER('Data'!H1538),'Data'!H1538*100,"")</x:f>
        <x:v>16.67</x:v>
      </x:c>
      <x:c r="I3246" s="34" t="str">
        <x:v>PASS</x:v>
      </x:c>
      <x:c r="J3246" s="34" t="str">
        <x:v>PASS</x:v>
      </x:c>
      <x:c r="K3246" s="34" t="str">
        <x:v>PASS</x:v>
      </x:c>
      <x:c r="L3246" s="34" t="str">
        <x:v>PASS</x:v>
      </x:c>
      <x:c r="M3246" s="34" t="str">
        <x:v>numeric coverage for applicable metric</x:v>
      </x:c>
      <x:c r="N3246" s="34" t="str">
        <x:v>Feedback-Directed Random Test Generation/Result_Round2/Lang_64/result.json</x:v>
      </x:c>
      <x:c r="O3246" s="38" t="n">
        <x:f>IF(AND(G3246="RECORDED",ISNUMBER(H3246)),H3246,"")</x:f>
        <x:v>16.67</x:v>
      </x:c>
      <x:c r="P3246" s="34" t="str">
        <x:v>NOT_REVEALING</x:v>
      </x:c>
      <x:c r="Q3246" s="34" t="str">
        <x:v>Feedback-Directed Random Test Generation/Result_Round2/Lang_64/result.json</x:v>
      </x:c>
    </x:row>
    <x:row r="3247">
      <x:c r="A3247" s="34" t="str">
        <x:v>randoop</x:v>
      </x:c>
      <x:c r="B3247" s="34" t="str">
        <x:v>Lang</x:v>
      </x:c>
      <x:c r="C3247" s="34" t="str">
        <x:v>Round2</x:v>
      </x:c>
      <x:c r="D3247" s="34" t="str">
        <x:v>Lang_65</x:v>
      </x:c>
      <x:c r="E3247" s="34" t="str">
        <x:v>Line</x:v>
      </x:c>
      <x:c r="F3247" s="34" t="n">
        <x:v>195</x:v>
      </x:c>
      <x:c r="G3247" s="34" t="str">
        <x:v>RECORDED</x:v>
      </x:c>
      <x:c r="H3247" s="38" t="n">
        <x:f>IF(ISNUMBER('Data'!H1539),'Data'!H1539*100,"")</x:f>
        <x:v>84.1</x:v>
      </x:c>
      <x:c r="I3247" s="34" t="str">
        <x:v>PASS</x:v>
      </x:c>
      <x:c r="J3247" s="34" t="str">
        <x:v>PASS</x:v>
      </x:c>
      <x:c r="K3247" s="34" t="str">
        <x:v>PASS</x:v>
      </x:c>
      <x:c r="L3247" s="34" t="str">
        <x:v>FAIL</x:v>
      </x:c>
      <x:c r="M3247" s="34" t="str">
        <x:v>numeric coverage for applicable metric</x:v>
      </x:c>
      <x:c r="N3247" s="34" t="str">
        <x:v>Feedback-Directed Random Test Generation/Result_Round2/Lang_65/result.json</x:v>
      </x:c>
      <x:c r="O3247" s="38" t="n">
        <x:f>IF(AND(G3247="RECORDED",ISNUMBER(H3247)),H3247,"")</x:f>
        <x:v>84.1</x:v>
      </x:c>
      <x:c r="P3247" s="34" t="str">
        <x:v>INCONCLUSIVE</x:v>
      </x:c>
      <x:c r="Q3247" s="34" t="str">
        <x:v>Feedback-Directed Random Test Generation/Result_Round2/Lang_65/result.json</x:v>
      </x:c>
    </x:row>
    <x:row r="3248">
      <x:c r="A3248" s="34" t="str">
        <x:v>randoop</x:v>
      </x:c>
      <x:c r="B3248" s="34" t="str">
        <x:v>Math</x:v>
      </x:c>
      <x:c r="C3248" s="34" t="str">
        <x:v>Round2</x:v>
      </x:c>
      <x:c r="D3248" s="34" t="str">
        <x:v>Math_1</x:v>
      </x:c>
      <x:c r="E3248" s="34" t="str">
        <x:v>Line</x:v>
      </x:c>
      <x:c r="F3248" s="34" t="n">
        <x:v>425</x:v>
      </x:c>
      <x:c r="G3248" s="34" t="str">
        <x:v>RECORDED</x:v>
      </x:c>
      <x:c r="H3248" s="38" t="n">
        <x:f>IF(ISNUMBER('Data'!H1540),'Data'!H1540*100,"")</x:f>
        <x:v>89.41</x:v>
      </x:c>
      <x:c r="I3248" s="34" t="str">
        <x:v>PASS</x:v>
      </x:c>
      <x:c r="J3248" s="34" t="str">
        <x:v>PASS</x:v>
      </x:c>
      <x:c r="K3248" s="34" t="str">
        <x:v>PASS</x:v>
      </x:c>
      <x:c r="L3248" s="34" t="str">
        <x:v>PASS</x:v>
      </x:c>
      <x:c r="M3248" s="34" t="str">
        <x:v>numeric coverage for applicable metric</x:v>
      </x:c>
      <x:c r="N3248" s="34" t="str">
        <x:v>Feedback-Directed Random Test Generation/Result_Round2/Math_1/result.json</x:v>
      </x:c>
      <x:c r="O3248" s="38" t="n">
        <x:f>IF(AND(G3248="RECORDED",ISNUMBER(H3248)),H3248,"")</x:f>
        <x:v>89.41</x:v>
      </x:c>
      <x:c r="P3248" s="34" t="str">
        <x:v>INCONCLUSIVE</x:v>
      </x:c>
      <x:c r="Q3248" s="34" t="str">
        <x:v>Feedback-Directed Random Test Generation/Result_Round2/Math_1/result.json</x:v>
      </x:c>
    </x:row>
    <x:row r="3249">
      <x:c r="A3249" s="34" t="str">
        <x:v>randoop</x:v>
      </x:c>
      <x:c r="B3249" s="34" t="str">
        <x:v>Math</x:v>
      </x:c>
      <x:c r="C3249" s="34" t="str">
        <x:v>Round2</x:v>
      </x:c>
      <x:c r="D3249" s="34" t="str">
        <x:v>Math_2</x:v>
      </x:c>
      <x:c r="E3249" s="34" t="str">
        <x:v>Line</x:v>
      </x:c>
      <x:c r="F3249" s="34" t="n">
        <x:v>74</x:v>
      </x:c>
      <x:c r="G3249" s="34" t="str">
        <x:v>RECORDED</x:v>
      </x:c>
      <x:c r="H3249" s="38" t="n">
        <x:f>IF(ISNUMBER('Data'!H1541),'Data'!H1541*100,"")</x:f>
        <x:v>100</x:v>
      </x:c>
      <x:c r="I3249" s="34" t="str">
        <x:v>PASS</x:v>
      </x:c>
      <x:c r="J3249" s="34" t="str">
        <x:v>PASS</x:v>
      </x:c>
      <x:c r="K3249" s="34" t="str">
        <x:v>PASS</x:v>
      </x:c>
      <x:c r="L3249" s="34" t="str">
        <x:v>PASS</x:v>
      </x:c>
      <x:c r="M3249" s="34" t="str">
        <x:v>numeric coverage for applicable metric</x:v>
      </x:c>
      <x:c r="N3249" s="34" t="str">
        <x:v>Feedback-Directed Random Test Generation/Result_Round2/Math_2/result.json</x:v>
      </x:c>
      <x:c r="O3249" s="38" t="n">
        <x:f>IF(AND(G3249="RECORDED",ISNUMBER(H3249)),H3249,"")</x:f>
        <x:v>100</x:v>
      </x:c>
      <x:c r="P3249" s="34" t="str">
        <x:v>INCONCLUSIVE</x:v>
      </x:c>
      <x:c r="Q3249" s="34" t="str">
        <x:v>Feedback-Directed Random Test Generation/Result_Round2/Math_2/result.json</x:v>
      </x:c>
    </x:row>
    <x:row r="3250">
      <x:c r="A3250" s="34" t="str">
        <x:v>randoop</x:v>
      </x:c>
      <x:c r="B3250" s="34" t="str">
        <x:v>Math</x:v>
      </x:c>
      <x:c r="C3250" s="34" t="str">
        <x:v>Round2</x:v>
      </x:c>
      <x:c r="D3250" s="34" t="str">
        <x:v>Math_3</x:v>
      </x:c>
      <x:c r="E3250" s="34" t="str">
        <x:v>Line</x:v>
      </x:c>
      <x:c r="F3250" s="34" t="n">
        <x:v>421</x:v>
      </x:c>
      <x:c r="G3250" s="34" t="str">
        <x:v>RECORDED</x:v>
      </x:c>
      <x:c r="H3250" s="38" t="n">
        <x:f>IF(ISNUMBER('Data'!H1542),'Data'!H1542*100,"")</x:f>
        <x:v>85.04</x:v>
      </x:c>
      <x:c r="I3250" s="34" t="str">
        <x:v>PASS</x:v>
      </x:c>
      <x:c r="J3250" s="34" t="str">
        <x:v>PASS</x:v>
      </x:c>
      <x:c r="K3250" s="34" t="str">
        <x:v>PASS</x:v>
      </x:c>
      <x:c r="L3250" s="34" t="str">
        <x:v>PASS</x:v>
      </x:c>
      <x:c r="M3250" s="34" t="str">
        <x:v>numeric coverage for applicable metric</x:v>
      </x:c>
      <x:c r="N3250" s="34" t="str">
        <x:v>Feedback-Directed Random Test Generation/Result_Round2/Math_3/result.json</x:v>
      </x:c>
      <x:c r="O3250" s="38" t="n">
        <x:f>IF(AND(G3250="RECORDED",ISNUMBER(H3250)),H3250,"")</x:f>
        <x:v>85.04</x:v>
      </x:c>
      <x:c r="P3250" s="34" t="str">
        <x:v>NOT_REVEALING</x:v>
      </x:c>
      <x:c r="Q3250" s="34" t="str">
        <x:v>Feedback-Directed Random Test Generation/Result_Round2/Math_3/result.json</x:v>
      </x:c>
    </x:row>
    <x:row r="3251">
      <x:c r="A3251" s="34" t="str">
        <x:v>randoop</x:v>
      </x:c>
      <x:c r="B3251" s="34" t="str">
        <x:v>Math</x:v>
      </x:c>
      <x:c r="C3251" s="34" t="str">
        <x:v>Round2</x:v>
      </x:c>
      <x:c r="D3251" s="34" t="str">
        <x:v>Math_4</x:v>
      </x:c>
      <x:c r="E3251" s="34" t="str">
        <x:v>Line</x:v>
      </x:c>
      <x:c r="F3251" s="34" t="n">
        <x:v>84</x:v>
      </x:c>
      <x:c r="G3251" s="34" t="str">
        <x:v>RECORDED</x:v>
      </x:c>
      <x:c r="H3251" s="38" t="n">
        <x:f>IF(ISNUMBER('Data'!H1543),'Data'!H1543*100,"")</x:f>
        <x:v>28.57</x:v>
      </x:c>
      <x:c r="I3251" s="34" t="str">
        <x:v>PASS</x:v>
      </x:c>
      <x:c r="J3251" s="34" t="str">
        <x:v>PASS</x:v>
      </x:c>
      <x:c r="K3251" s="34" t="str">
        <x:v>PASS</x:v>
      </x:c>
      <x:c r="L3251" s="34" t="str">
        <x:v>PASS</x:v>
      </x:c>
      <x:c r="M3251" s="34" t="str">
        <x:v>numeric coverage for applicable metric</x:v>
      </x:c>
      <x:c r="N3251" s="34" t="str">
        <x:v>Feedback-Directed Random Test Generation/Result_Round2/Math_4/result.json</x:v>
      </x:c>
      <x:c r="O3251" s="38" t="n">
        <x:f>IF(AND(G3251="RECORDED",ISNUMBER(H3251)),H3251,"")</x:f>
        <x:v>28.57</x:v>
      </x:c>
      <x:c r="P3251" s="34" t="str">
        <x:v>NOT_REVEALING</x:v>
      </x:c>
      <x:c r="Q3251" s="34" t="str">
        <x:v>Feedback-Directed Random Test Generation/Result_Round2/Math_4/result.json</x:v>
      </x:c>
    </x:row>
    <x:row r="3252">
      <x:c r="A3252" s="34" t="str">
        <x:v>randoop</x:v>
      </x:c>
      <x:c r="B3252" s="34" t="str">
        <x:v>Math</x:v>
      </x:c>
      <x:c r="C3252" s="34" t="str">
        <x:v>Round2</x:v>
      </x:c>
      <x:c r="D3252" s="34" t="str">
        <x:v>Math_5</x:v>
      </x:c>
      <x:c r="E3252" s="34" t="str">
        <x:v>Line</x:v>
      </x:c>
      <x:c r="F3252" s="34" t="n">
        <x:v>226</x:v>
      </x:c>
      <x:c r="G3252" s="34" t="str">
        <x:v>RECORDED</x:v>
      </x:c>
      <x:c r="H3252" s="38" t="n">
        <x:f>IF(ISNUMBER('Data'!H1544),'Data'!H1544*100,"")</x:f>
        <x:v>98.67</x:v>
      </x:c>
      <x:c r="I3252" s="34" t="str">
        <x:v>PASS</x:v>
      </x:c>
      <x:c r="J3252" s="34" t="str">
        <x:v>PASS</x:v>
      </x:c>
      <x:c r="K3252" s="34" t="str">
        <x:v>PASS</x:v>
      </x:c>
      <x:c r="L3252" s="34" t="str">
        <x:v>FAIL</x:v>
      </x:c>
      <x:c r="M3252" s="34" t="str">
        <x:v>numeric coverage for applicable metric</x:v>
      </x:c>
      <x:c r="N3252" s="34" t="str">
        <x:v>Feedback-Directed Random Test Generation/Result_Round2/Math_5/result.json</x:v>
      </x:c>
      <x:c r="O3252" s="38" t="n">
        <x:f>IF(AND(G3252="RECORDED",ISNUMBER(H3252)),H3252,"")</x:f>
        <x:v>98.67</x:v>
      </x:c>
      <x:c r="P3252" s="34" t="str">
        <x:v>INCONCLUSIVE</x:v>
      </x:c>
      <x:c r="Q3252" s="34" t="str">
        <x:v>Feedback-Directed Random Test Generation/Result_Round2/Math_5/result.json</x:v>
      </x:c>
    </x:row>
    <x:row r="3253">
      <x:c r="A3253" s="34" t="str">
        <x:v>randoop</x:v>
      </x:c>
      <x:c r="B3253" s="34" t="str">
        <x:v>Math</x:v>
      </x:c>
      <x:c r="C3253" s="34" t="str">
        <x:v>Round2</x:v>
      </x:c>
      <x:c r="D3253" s="34" t="str">
        <x:v>Math_6</x:v>
      </x:c>
      <x:c r="E3253" s="34" t="str">
        <x:v>Line</x:v>
      </x:c>
      <x:c r="F3253" s="34" t="n">
        <x:v>1204</x:v>
      </x:c>
      <x:c r="G3253" s="34" t="str">
        <x:v>RECORDED</x:v>
      </x:c>
      <x:c r="H3253" s="38" t="n">
        <x:f>IF(ISNUMBER('Data'!H1545),'Data'!H1545*100,"")</x:f>
        <x:v>14.95</x:v>
      </x:c>
      <x:c r="I3253" s="34" t="str">
        <x:v>PASS</x:v>
      </x:c>
      <x:c r="J3253" s="34" t="str">
        <x:v>PASS</x:v>
      </x:c>
      <x:c r="K3253" s="34" t="str">
        <x:v>PASS</x:v>
      </x:c>
      <x:c r="L3253" s="34" t="str">
        <x:v>FAIL</x:v>
      </x:c>
      <x:c r="M3253" s="34" t="str">
        <x:v>numeric coverage for applicable metric</x:v>
      </x:c>
      <x:c r="N3253" s="34" t="str">
        <x:v>Feedback-Directed Random Test Generation/Result_Round2/Math_6/result.json</x:v>
      </x:c>
      <x:c r="O3253" s="38" t="n">
        <x:f>IF(AND(G3253="RECORDED",ISNUMBER(H3253)),H3253,"")</x:f>
        <x:v>14.95</x:v>
      </x:c>
      <x:c r="P3253" s="34" t="str">
        <x:v>INCONCLUSIVE</x:v>
      </x:c>
      <x:c r="Q3253" s="34" t="str">
        <x:v>Feedback-Directed Random Test Generation/Result_Round2/Math_6/result.json</x:v>
      </x:c>
    </x:row>
    <x:row r="3254">
      <x:c r="A3254" s="34" t="str">
        <x:v>randoop</x:v>
      </x:c>
      <x:c r="B3254" s="34" t="str">
        <x:v>Math</x:v>
      </x:c>
      <x:c r="C3254" s="34" t="str">
        <x:v>Round2</x:v>
      </x:c>
      <x:c r="D3254" s="34" t="str">
        <x:v>Math_7</x:v>
      </x:c>
      <x:c r="E3254" s="34" t="str">
        <x:v>Line</x:v>
      </x:c>
      <x:c r="F3254" s="34" t="n">
        <x:v>130</x:v>
      </x:c>
      <x:c r="G3254" s="34" t="str">
        <x:v>RECORDED</x:v>
      </x:c>
      <x:c r="H3254" s="38" t="n">
        <x:f>IF(ISNUMBER('Data'!H1546),'Data'!H1546*100,"")</x:f>
        <x:v>0</x:v>
      </x:c>
      <x:c r="I3254" s="34" t="str">
        <x:v>PASS</x:v>
      </x:c>
      <x:c r="J3254" s="34" t="str">
        <x:v>PASS</x:v>
      </x:c>
      <x:c r="K3254" s="34" t="str">
        <x:v>PASS</x:v>
      </x:c>
      <x:c r="L3254" s="34" t="str">
        <x:v>PASS</x:v>
      </x:c>
      <x:c r="M3254" s="34" t="str">
        <x:v>numeric coverage for applicable metric</x:v>
      </x:c>
      <x:c r="N3254" s="34" t="str">
        <x:v>Feedback-Directed Random Test Generation/Result_Round2/Math_7/result.json</x:v>
      </x:c>
      <x:c r="O3254" s="38" t="n">
        <x:f>IF(AND(G3254="RECORDED",ISNUMBER(H3254)),H3254,"")</x:f>
        <x:v>0</x:v>
      </x:c>
      <x:c r="P3254" s="34" t="str">
        <x:v>NOT_REVEALING</x:v>
      </x:c>
      <x:c r="Q3254" s="34" t="str">
        <x:v>Feedback-Directed Random Test Generation/Result_Round2/Math_7/result.json</x:v>
      </x:c>
    </x:row>
    <x:row r="3255">
      <x:c r="A3255" s="34" t="str">
        <x:v>randoop</x:v>
      </x:c>
      <x:c r="B3255" s="34" t="str">
        <x:v>Math</x:v>
      </x:c>
      <x:c r="C3255" s="34" t="str">
        <x:v>Round2</x:v>
      </x:c>
      <x:c r="D3255" s="34" t="str">
        <x:v>Math_8</x:v>
      </x:c>
      <x:c r="E3255" s="34" t="str">
        <x:v>Line</x:v>
      </x:c>
      <x:c r="F3255" s="34" t="n">
        <x:v>40</x:v>
      </x:c>
      <x:c r="G3255" s="34" t="str">
        <x:v>RECORDED</x:v>
      </x:c>
      <x:c r="H3255" s="38" t="n">
        <x:f>IF(ISNUMBER('Data'!H1547),'Data'!H1547*100,"")</x:f>
        <x:v>17.5</x:v>
      </x:c>
      <x:c r="I3255" s="34" t="str">
        <x:v>PASS</x:v>
      </x:c>
      <x:c r="J3255" s="34" t="str">
        <x:v>PASS</x:v>
      </x:c>
      <x:c r="K3255" s="34" t="str">
        <x:v>PASS</x:v>
      </x:c>
      <x:c r="L3255" s="34" t="str">
        <x:v>PASS</x:v>
      </x:c>
      <x:c r="M3255" s="34" t="str">
        <x:v>numeric coverage for applicable metric</x:v>
      </x:c>
      <x:c r="N3255" s="34" t="str">
        <x:v>Feedback-Directed Random Test Generation/Result_Round2/Math_8/result.json</x:v>
      </x:c>
      <x:c r="O3255" s="38" t="n">
        <x:f>IF(AND(G3255="RECORDED",ISNUMBER(H3255)),H3255,"")</x:f>
        <x:v>17.5</x:v>
      </x:c>
      <x:c r="P3255" s="34" t="str">
        <x:v>NOT_REVEALING</x:v>
      </x:c>
      <x:c r="Q3255" s="34" t="str">
        <x:v>Feedback-Directed Random Test Generation/Result_Round2/Math_8/result.json</x:v>
      </x:c>
    </x:row>
    <x:row r="3256">
      <x:c r="A3256" s="34" t="str">
        <x:v>randoop</x:v>
      </x:c>
      <x:c r="B3256" s="34" t="str">
        <x:v>Math</x:v>
      </x:c>
      <x:c r="C3256" s="34" t="str">
        <x:v>Round2</x:v>
      </x:c>
      <x:c r="D3256" s="34" t="str">
        <x:v>Math_9</x:v>
      </x:c>
      <x:c r="E3256" s="34" t="str">
        <x:v>Line</x:v>
      </x:c>
      <x:c r="F3256" s="34" t="n">
        <x:v>46</x:v>
      </x:c>
      <x:c r="G3256" s="34" t="str">
        <x:v>RECORDED</x:v>
      </x:c>
      <x:c r="H3256" s="38" t="n">
        <x:f>IF(ISNUMBER('Data'!H1548),'Data'!H1548*100,"")</x:f>
        <x:v>10.87</x:v>
      </x:c>
      <x:c r="I3256" s="34" t="str">
        <x:v>PASS</x:v>
      </x:c>
      <x:c r="J3256" s="34" t="str">
        <x:v>PASS</x:v>
      </x:c>
      <x:c r="K3256" s="34" t="str">
        <x:v>PASS</x:v>
      </x:c>
      <x:c r="L3256" s="34" t="str">
        <x:v>PASS</x:v>
      </x:c>
      <x:c r="M3256" s="34" t="str">
        <x:v>numeric coverage for applicable metric</x:v>
      </x:c>
      <x:c r="N3256" s="34" t="str">
        <x:v>Feedback-Directed Random Test Generation/Result_Round2/Math_9/result.json</x:v>
      </x:c>
      <x:c r="O3256" s="38" t="n">
        <x:f>IF(AND(G3256="RECORDED",ISNUMBER(H3256)),H3256,"")</x:f>
        <x:v>10.87</x:v>
      </x:c>
      <x:c r="P3256" s="34" t="str">
        <x:v>NOT_REVEALING</x:v>
      </x:c>
      <x:c r="Q3256" s="34" t="str">
        <x:v>Feedback-Directed Random Test Generation/Result_Round2/Math_9/result.json</x:v>
      </x:c>
    </x:row>
    <x:row r="3257">
      <x:c r="A3257" s="34" t="str">
        <x:v>randoop</x:v>
      </x:c>
      <x:c r="B3257" s="34" t="str">
        <x:v>Math</x:v>
      </x:c>
      <x:c r="C3257" s="34" t="str">
        <x:v>Round2</x:v>
      </x:c>
      <x:c r="D3257" s="34" t="str">
        <x:v>Math_10</x:v>
      </x:c>
      <x:c r="E3257" s="34" t="str">
        <x:v>Line</x:v>
      </x:c>
      <x:c r="F3257" s="34" t="n">
        <x:v>553</x:v>
      </x:c>
      <x:c r="G3257" s="34" t="str">
        <x:v>RECORDED</x:v>
      </x:c>
      <x:c r="H3257" s="38" t="n">
        <x:f>IF(ISNUMBER('Data'!H1549),'Data'!H1549*100,"")</x:f>
        <x:v>62.21</x:v>
      </x:c>
      <x:c r="I3257" s="34" t="str">
        <x:v>PASS</x:v>
      </x:c>
      <x:c r="J3257" s="34" t="str">
        <x:v>PASS</x:v>
      </x:c>
      <x:c r="K3257" s="34" t="str">
        <x:v>PASS</x:v>
      </x:c>
      <x:c r="L3257" s="34" t="str">
        <x:v>PASS</x:v>
      </x:c>
      <x:c r="M3257" s="34" t="str">
        <x:v>numeric coverage for applicable metric</x:v>
      </x:c>
      <x:c r="N3257" s="34" t="str">
        <x:v>Feedback-Directed Random Test Generation/Result_Round2/Math_10/result.json</x:v>
      </x:c>
      <x:c r="O3257" s="38" t="n">
        <x:f>IF(AND(G3257="RECORDED",ISNUMBER(H3257)),H3257,"")</x:f>
        <x:v>62.21</x:v>
      </x:c>
      <x:c r="P3257" s="34" t="str">
        <x:v>NOT_REVEALING</x:v>
      </x:c>
      <x:c r="Q3257" s="34" t="str">
        <x:v>Feedback-Directed Random Test Generation/Result_Round2/Math_10/result.json</x:v>
      </x:c>
    </x:row>
    <x:row r="3258">
      <x:c r="A3258" s="34" t="str">
        <x:v>randoop</x:v>
      </x:c>
      <x:c r="B3258" s="34" t="str">
        <x:v>Math</x:v>
      </x:c>
      <x:c r="C3258" s="34" t="str">
        <x:v>Round2</x:v>
      </x:c>
      <x:c r="D3258" s="34" t="str">
        <x:v>Math_11</x:v>
      </x:c>
      <x:c r="E3258" s="34" t="str">
        <x:v>Line</x:v>
      </x:c>
      <x:c r="F3258" s="34" t="n">
        <x:v>59</x:v>
      </x:c>
      <x:c r="G3258" s="34" t="str">
        <x:v>RECORDED</x:v>
      </x:c>
      <x:c r="H3258" s="38" t="n">
        <x:f>IF(ISNUMBER('Data'!H1550),'Data'!H1550*100,"")</x:f>
        <x:v>100</x:v>
      </x:c>
      <x:c r="I3258" s="34" t="str">
        <x:v>PASS</x:v>
      </x:c>
      <x:c r="J3258" s="34" t="str">
        <x:v>PASS</x:v>
      </x:c>
      <x:c r="K3258" s="34" t="str">
        <x:v>PASS</x:v>
      </x:c>
      <x:c r="L3258" s="34" t="str">
        <x:v>PASS</x:v>
      </x:c>
      <x:c r="M3258" s="34" t="str">
        <x:v>numeric coverage for applicable metric</x:v>
      </x:c>
      <x:c r="N3258" s="34" t="str">
        <x:v>Feedback-Directed Random Test Generation/Result_Round2/Math_11/result.json</x:v>
      </x:c>
      <x:c r="O3258" s="38" t="n">
        <x:f>IF(AND(G3258="RECORDED",ISNUMBER(H3258)),H3258,"")</x:f>
        <x:v>100</x:v>
      </x:c>
      <x:c r="P3258" s="34" t="str">
        <x:v>INCONCLUSIVE</x:v>
      </x:c>
      <x:c r="Q3258" s="34" t="str">
        <x:v>Feedback-Directed Random Test Generation/Result_Round2/Math_11/result.json</x:v>
      </x:c>
    </x:row>
    <x:row r="3259">
      <x:c r="A3259" s="34" t="str">
        <x:v>randoop</x:v>
      </x:c>
      <x:c r="B3259" s="34" t="str">
        <x:v>Math</x:v>
      </x:c>
      <x:c r="C3259" s="34" t="str">
        <x:v>Round2</x:v>
      </x:c>
      <x:c r="D3259" s="34" t="str">
        <x:v>Math_12</x:v>
      </x:c>
      <x:c r="E3259" s="34" t="str">
        <x:v>Line</x:v>
      </x:c>
      <x:c r="F3259" s="34" t="n">
        <x:v>48</x:v>
      </x:c>
      <x:c r="G3259" s="34" t="str">
        <x:v>RECORDED</x:v>
      </x:c>
      <x:c r="H3259" s="38" t="n">
        <x:f>IF(ISNUMBER('Data'!H1551),'Data'!H1551*100,"")</x:f>
        <x:v>0</x:v>
      </x:c>
      <x:c r="I3259" s="34" t="str">
        <x:v>PASS</x:v>
      </x:c>
      <x:c r="J3259" s="34" t="str">
        <x:v>PASS</x:v>
      </x:c>
      <x:c r="K3259" s="34" t="str">
        <x:v>PASS</x:v>
      </x:c>
      <x:c r="L3259" s="34" t="str">
        <x:v>PASS</x:v>
      </x:c>
      <x:c r="M3259" s="34" t="str">
        <x:v>numeric coverage for applicable metric</x:v>
      </x:c>
      <x:c r="N3259" s="34" t="str">
        <x:v>Feedback-Directed Random Test Generation/Result_Round2/Math_12/result.json</x:v>
      </x:c>
      <x:c r="O3259" s="38" t="n">
        <x:f>IF(AND(G3259="RECORDED",ISNUMBER(H3259)),H3259,"")</x:f>
        <x:v>0</x:v>
      </x:c>
      <x:c r="P3259" s="34" t="str">
        <x:v>NOT_REVEALING</x:v>
      </x:c>
      <x:c r="Q3259" s="34" t="str">
        <x:v>Feedback-Directed Random Test Generation/Result_Round2/Math_12/result.json</x:v>
      </x:c>
    </x:row>
    <x:row r="3260">
      <x:c r="A3260" s="34" t="str">
        <x:v>randoop</x:v>
      </x:c>
      <x:c r="B3260" s="34" t="str">
        <x:v>Math</x:v>
      </x:c>
      <x:c r="C3260" s="34" t="str">
        <x:v>Round2</x:v>
      </x:c>
      <x:c r="D3260" s="34" t="str">
        <x:v>Math_13</x:v>
      </x:c>
      <x:c r="E3260" s="34" t="str">
        <x:v>Line</x:v>
      </x:c>
      <x:c r="F3260" s="34" t="n">
        <x:v>81</x:v>
      </x:c>
      <x:c r="G3260" s="34" t="str">
        <x:v>RECORDED</x:v>
      </x:c>
      <x:c r="H3260" s="38" t="n">
        <x:f>IF(ISNUMBER('Data'!H1552),'Data'!H1552*100,"")</x:f>
        <x:v>0</x:v>
      </x:c>
      <x:c r="I3260" s="34" t="str">
        <x:v>PASS</x:v>
      </x:c>
      <x:c r="J3260" s="34" t="str">
        <x:v>PASS</x:v>
      </x:c>
      <x:c r="K3260" s="34" t="str">
        <x:v>PASS</x:v>
      </x:c>
      <x:c r="L3260" s="34" t="str">
        <x:v>PASS</x:v>
      </x:c>
      <x:c r="M3260" s="34" t="str">
        <x:v>numeric coverage for applicable metric</x:v>
      </x:c>
      <x:c r="N3260" s="34" t="str">
        <x:v>Feedback-Directed Random Test Generation/Result_Round2/Math_13/result.json</x:v>
      </x:c>
      <x:c r="O3260" s="38" t="n">
        <x:f>IF(AND(G3260="RECORDED",ISNUMBER(H3260)),H3260,"")</x:f>
        <x:v>0</x:v>
      </x:c>
      <x:c r="P3260" s="34" t="str">
        <x:v>NOT_REVEALING</x:v>
      </x:c>
      <x:c r="Q3260" s="34" t="str">
        <x:v>Feedback-Directed Random Test Generation/Result_Round2/Math_13/result.json</x:v>
      </x:c>
    </x:row>
    <x:row r="3261">
      <x:c r="A3261" s="34" t="str">
        <x:v>randoop</x:v>
      </x:c>
      <x:c r="B3261" s="34" t="str">
        <x:v>Math</x:v>
      </x:c>
      <x:c r="C3261" s="34" t="str">
        <x:v>Round2</x:v>
      </x:c>
      <x:c r="D3261" s="34" t="str">
        <x:v>Math_14</x:v>
      </x:c>
      <x:c r="E3261" s="34" t="str">
        <x:v>Line</x:v>
      </x:c>
      <x:c r="F3261" s="34" t="n">
        <x:v>51</x:v>
      </x:c>
      <x:c r="G3261" s="34" t="str">
        <x:v>RECORDED</x:v>
      </x:c>
      <x:c r="H3261" s="38" t="n">
        <x:f>IF(ISNUMBER('Data'!H1553),'Data'!H1553*100,"")</x:f>
        <x:v>21.57</x:v>
      </x:c>
      <x:c r="I3261" s="34" t="str">
        <x:v>PASS</x:v>
      </x:c>
      <x:c r="J3261" s="34" t="str">
        <x:v>PASS</x:v>
      </x:c>
      <x:c r="K3261" s="34" t="str">
        <x:v>PASS</x:v>
      </x:c>
      <x:c r="L3261" s="34" t="str">
        <x:v>PASS</x:v>
      </x:c>
      <x:c r="M3261" s="34" t="str">
        <x:v>numeric coverage for applicable metric</x:v>
      </x:c>
      <x:c r="N3261" s="34" t="str">
        <x:v>Feedback-Directed Random Test Generation/Result_Round2/Math_14/result.json</x:v>
      </x:c>
      <x:c r="O3261" s="38" t="n">
        <x:f>IF(AND(G3261="RECORDED",ISNUMBER(H3261)),H3261,"")</x:f>
        <x:v>21.57</x:v>
      </x:c>
      <x:c r="P3261" s="34" t="str">
        <x:v>INCONCLUSIVE</x:v>
      </x:c>
      <x:c r="Q3261" s="34" t="str">
        <x:v>Feedback-Directed Random Test Generation/Result_Round2/Math_14/result.json</x:v>
      </x:c>
    </x:row>
    <x:row r="3262">
      <x:c r="A3262" s="34" t="str">
        <x:v>randoop</x:v>
      </x:c>
      <x:c r="B3262" s="34" t="str">
        <x:v>Math</x:v>
      </x:c>
      <x:c r="C3262" s="34" t="str">
        <x:v>Round2</x:v>
      </x:c>
      <x:c r="D3262" s="34" t="str">
        <x:v>Math_15</x:v>
      </x:c>
      <x:c r="E3262" s="34" t="str">
        <x:v>Line</x:v>
      </x:c>
      <x:c r="F3262" s="34" t="n">
        <x:v>0</x:v>
      </x:c>
      <x:c r="G3262" s="34" t="str">
        <x:v>A</x:v>
      </x:c>
      <x:c r="H3262" s="38" t="str">
        <x:f>IF(ISNUMBER('Data'!H1554),'Data'!H1554*100,"")</x:f>
      </x:c>
      <x:c r="I3262" s="34"/>
      <x:c r="J3262" s="34"/>
      <x:c r="K3262" s="34"/>
      <x:c r="L3262" s="34" t="str">
        <x:v>NOT_RUN</x:v>
      </x:c>
      <x:c r="M3262" s="34" t="str">
        <x:v>Latest same-round generation failed; older files/results are excluded</x:v>
      </x:c>
      <x:c r="N3262" s="34" t="str">
        <x:v>Feedback-Directed Random Test Generation/report_Round2.csv</x:v>
      </x:c>
      <x:c r="O3262" s="38" t="str">
        <x:f>IF(AND(G3262="RECORDED",ISNUMBER(H3262)),H3262,"")</x:f>
      </x:c>
      <x:c r="P3262" s="34" t="str">
        <x:v>FAIL</x:v>
      </x:c>
      <x:c r="Q3262" s="34"/>
    </x:row>
    <x:row r="3263">
      <x:c r="A3263" s="34" t="str">
        <x:v>randoop</x:v>
      </x:c>
      <x:c r="B3263" s="34" t="str">
        <x:v>Math</x:v>
      </x:c>
      <x:c r="C3263" s="34" t="str">
        <x:v>Round2</x:v>
      </x:c>
      <x:c r="D3263" s="34" t="str">
        <x:v>Math_16</x:v>
      </x:c>
      <x:c r="E3263" s="34" t="str">
        <x:v>Line</x:v>
      </x:c>
      <x:c r="F3263" s="34" t="n">
        <x:v>1484</x:v>
      </x:c>
      <x:c r="G3263" s="34" t="str">
        <x:v>RECORDED</x:v>
      </x:c>
      <x:c r="H3263" s="38" t="n">
        <x:f>IF(ISNUMBER('Data'!H1555),'Data'!H1555*100,"")</x:f>
        <x:v>89.76</x:v>
      </x:c>
      <x:c r="I3263" s="34" t="str">
        <x:v>PASS</x:v>
      </x:c>
      <x:c r="J3263" s="34" t="str">
        <x:v>PASS</x:v>
      </x:c>
      <x:c r="K3263" s="34" t="str">
        <x:v>PASS</x:v>
      </x:c>
      <x:c r="L3263" s="34" t="str">
        <x:v>PASS</x:v>
      </x:c>
      <x:c r="M3263" s="34" t="str">
        <x:v>numeric coverage for applicable metric</x:v>
      </x:c>
      <x:c r="N3263" s="34" t="str">
        <x:v>Feedback-Directed Random Test Generation/Result_Round2/Math_16/result.json</x:v>
      </x:c>
      <x:c r="O3263" s="38" t="n">
        <x:f>IF(AND(G3263="RECORDED",ISNUMBER(H3263)),H3263,"")</x:f>
        <x:v>89.76</x:v>
      </x:c>
      <x:c r="P3263" s="34" t="str">
        <x:v>NOT_REVEALING</x:v>
      </x:c>
      <x:c r="Q3263" s="34" t="str">
        <x:v>Feedback-Directed Random Test Generation/Result_Round2/Math_16/result.json</x:v>
      </x:c>
    </x:row>
    <x:row r="3264">
      <x:c r="A3264" s="34" t="str">
        <x:v>randoop</x:v>
      </x:c>
      <x:c r="B3264" s="34" t="str">
        <x:v>Math</x:v>
      </x:c>
      <x:c r="C3264" s="34" t="str">
        <x:v>Round2</x:v>
      </x:c>
      <x:c r="D3264" s="34" t="str">
        <x:v>Math_17</x:v>
      </x:c>
      <x:c r="E3264" s="34" t="str">
        <x:v>Line</x:v>
      </x:c>
      <x:c r="F3264" s="34" t="n">
        <x:v>1029</x:v>
      </x:c>
      <x:c r="G3264" s="34" t="str">
        <x:v>RECORDED</x:v>
      </x:c>
      <x:c r="H3264" s="38" t="n">
        <x:f>IF(ISNUMBER('Data'!H1556),'Data'!H1556*100,"")</x:f>
        <x:v>1.55</x:v>
      </x:c>
      <x:c r="I3264" s="34" t="str">
        <x:v>PASS</x:v>
      </x:c>
      <x:c r="J3264" s="34" t="str">
        <x:v>PASS</x:v>
      </x:c>
      <x:c r="K3264" s="34" t="str">
        <x:v>PASS</x:v>
      </x:c>
      <x:c r="L3264" s="34" t="str">
        <x:v>PASS</x:v>
      </x:c>
      <x:c r="M3264" s="34" t="str">
        <x:v>numeric coverage for applicable metric</x:v>
      </x:c>
      <x:c r="N3264" s="34" t="str">
        <x:v>Feedback-Directed Random Test Generation/Result_Round2/Math_17/result.json</x:v>
      </x:c>
      <x:c r="O3264" s="38" t="n">
        <x:f>IF(AND(G3264="RECORDED",ISNUMBER(H3264)),H3264,"")</x:f>
        <x:v>1.55</x:v>
      </x:c>
      <x:c r="P3264" s="34" t="str">
        <x:v>NOT_REVEALING</x:v>
      </x:c>
      <x:c r="Q3264" s="34" t="str">
        <x:v>Feedback-Directed Random Test Generation/Result_Round2/Math_17/result.json</x:v>
      </x:c>
    </x:row>
    <x:row r="3265">
      <x:c r="A3265" s="34" t="str">
        <x:v>randoop</x:v>
      </x:c>
      <x:c r="B3265" s="34" t="str">
        <x:v>Math</x:v>
      </x:c>
      <x:c r="C3265" s="34" t="str">
        <x:v>Round2</x:v>
      </x:c>
      <x:c r="D3265" s="34" t="str">
        <x:v>Math_18</x:v>
      </x:c>
      <x:c r="E3265" s="34" t="str">
        <x:v>Line</x:v>
      </x:c>
      <x:c r="F3265" s="34" t="n">
        <x:v>510</x:v>
      </x:c>
      <x:c r="G3265" s="34" t="str">
        <x:v>RECORDED</x:v>
      </x:c>
      <x:c r="H3265" s="38" t="n">
        <x:f>IF(ISNUMBER('Data'!H1557),'Data'!H1557*100,"")</x:f>
        <x:v>6.47</x:v>
      </x:c>
      <x:c r="I3265" s="34" t="str">
        <x:v>PASS</x:v>
      </x:c>
      <x:c r="J3265" s="34" t="str">
        <x:v>PASS</x:v>
      </x:c>
      <x:c r="K3265" s="34" t="str">
        <x:v>PASS</x:v>
      </x:c>
      <x:c r="L3265" s="34" t="str">
        <x:v>FAIL</x:v>
      </x:c>
      <x:c r="M3265" s="34" t="str">
        <x:v>numeric coverage for applicable metric</x:v>
      </x:c>
      <x:c r="N3265" s="34" t="str">
        <x:v>Feedback-Directed Random Test Generation/Result_Round2/Math_18/result.json</x:v>
      </x:c>
      <x:c r="O3265" s="38" t="n">
        <x:f>IF(AND(G3265="RECORDED",ISNUMBER(H3265)),H3265,"")</x:f>
        <x:v>6.47</x:v>
      </x:c>
      <x:c r="P3265" s="34" t="str">
        <x:v>INCONCLUSIVE</x:v>
      </x:c>
      <x:c r="Q3265" s="34" t="str">
        <x:v>Feedback-Directed Random Test Generation/Result_Round2/Math_18/result.json</x:v>
      </x:c>
    </x:row>
    <x:row r="3266">
      <x:c r="A3266" s="34" t="str">
        <x:v>randoop</x:v>
      </x:c>
      <x:c r="B3266" s="34" t="str">
        <x:v>Math</x:v>
      </x:c>
      <x:c r="C3266" s="34" t="str">
        <x:v>Round2</x:v>
      </x:c>
      <x:c r="D3266" s="34" t="str">
        <x:v>Math_19</x:v>
      </x:c>
      <x:c r="E3266" s="34" t="str">
        <x:v>Line</x:v>
      </x:c>
      <x:c r="F3266" s="34" t="n">
        <x:v>501</x:v>
      </x:c>
      <x:c r="G3266" s="34" t="str">
        <x:v>RECORDED</x:v>
      </x:c>
      <x:c r="H3266" s="38" t="n">
        <x:f>IF(ISNUMBER('Data'!H1558),'Data'!H1558*100,"")</x:f>
        <x:v>6.59</x:v>
      </x:c>
      <x:c r="I3266" s="34" t="str">
        <x:v>PASS</x:v>
      </x:c>
      <x:c r="J3266" s="34" t="str">
        <x:v>PASS</x:v>
      </x:c>
      <x:c r="K3266" s="34" t="str">
        <x:v>PASS</x:v>
      </x:c>
      <x:c r="L3266" s="34" t="str">
        <x:v>FAIL</x:v>
      </x:c>
      <x:c r="M3266" s="34" t="str">
        <x:v>numeric coverage for applicable metric</x:v>
      </x:c>
      <x:c r="N3266" s="34" t="str">
        <x:v>Feedback-Directed Random Test Generation/Result_Round2/Math_19/result.json</x:v>
      </x:c>
      <x:c r="O3266" s="38" t="n">
        <x:f>IF(AND(G3266="RECORDED",ISNUMBER(H3266)),H3266,"")</x:f>
        <x:v>6.59</x:v>
      </x:c>
      <x:c r="P3266" s="34" t="str">
        <x:v>INCONCLUSIVE</x:v>
      </x:c>
      <x:c r="Q3266" s="34" t="str">
        <x:v>Feedback-Directed Random Test Generation/Result_Round2/Math_19/result.json</x:v>
      </x:c>
    </x:row>
    <x:row r="3267">
      <x:c r="A3267" s="34" t="str">
        <x:v>randoop</x:v>
      </x:c>
      <x:c r="B3267" s="34" t="str">
        <x:v>Math</x:v>
      </x:c>
      <x:c r="C3267" s="34" t="str">
        <x:v>Round2</x:v>
      </x:c>
      <x:c r="D3267" s="34" t="str">
        <x:v>Math_20</x:v>
      </x:c>
      <x:c r="E3267" s="34" t="str">
        <x:v>Line</x:v>
      </x:c>
      <x:c r="F3267" s="34" t="n">
        <x:v>500</x:v>
      </x:c>
      <x:c r="G3267" s="34" t="str">
        <x:v>RECORDED</x:v>
      </x:c>
      <x:c r="H3267" s="38" t="n">
        <x:f>IF(ISNUMBER('Data'!H1559),'Data'!H1559*100,"")</x:f>
        <x:v>6.6000000000000005</x:v>
      </x:c>
      <x:c r="I3267" s="34" t="str">
        <x:v>PASS</x:v>
      </x:c>
      <x:c r="J3267" s="34" t="str">
        <x:v>PASS</x:v>
      </x:c>
      <x:c r="K3267" s="34" t="str">
        <x:v>PASS</x:v>
      </x:c>
      <x:c r="L3267" s="34" t="str">
        <x:v>FAIL</x:v>
      </x:c>
      <x:c r="M3267" s="34" t="str">
        <x:v>numeric coverage for applicable metric</x:v>
      </x:c>
      <x:c r="N3267" s="34" t="str">
        <x:v>Feedback-Directed Random Test Generation/Result_Round2/Math_20/result.json</x:v>
      </x:c>
      <x:c r="O3267" s="38" t="n">
        <x:f>IF(AND(G3267="RECORDED",ISNUMBER(H3267)),H3267,"")</x:f>
        <x:v>6.6000000000000005</x:v>
      </x:c>
      <x:c r="P3267" s="34" t="str">
        <x:v>INCONCLUSIVE</x:v>
      </x:c>
      <x:c r="Q3267" s="34" t="str">
        <x:v>Feedback-Directed Random Test Generation/Result_Round2/Math_20/result.json</x:v>
      </x:c>
    </x:row>
    <x:row r="3268">
      <x:c r="A3268" s="34" t="str">
        <x:v>randoop</x:v>
      </x:c>
      <x:c r="B3268" s="34" t="str">
        <x:v>Math</x:v>
      </x:c>
      <x:c r="C3268" s="34" t="str">
        <x:v>Round2</x:v>
      </x:c>
      <x:c r="D3268" s="34" t="str">
        <x:v>Math_21</x:v>
      </x:c>
      <x:c r="E3268" s="34" t="str">
        <x:v>Line</x:v>
      </x:c>
      <x:c r="F3268" s="34" t="n">
        <x:v>52</x:v>
      </x:c>
      <x:c r="G3268" s="34" t="str">
        <x:v>RECORDED</x:v>
      </x:c>
      <x:c r="H3268" s="38" t="n">
        <x:f>IF(ISNUMBER('Data'!H1560),'Data'!H1560*100,"")</x:f>
        <x:v>3.85</x:v>
      </x:c>
      <x:c r="I3268" s="34" t="str">
        <x:v>PASS</x:v>
      </x:c>
      <x:c r="J3268" s="34" t="str">
        <x:v>PASS</x:v>
      </x:c>
      <x:c r="K3268" s="34" t="str">
        <x:v>PASS</x:v>
      </x:c>
      <x:c r="L3268" s="34" t="str">
        <x:v>PASS</x:v>
      </x:c>
      <x:c r="M3268" s="34" t="str">
        <x:v>numeric coverage for applicable metric</x:v>
      </x:c>
      <x:c r="N3268" s="34" t="str">
        <x:v>Feedback-Directed Random Test Generation/Result_Round2/Math_21/result.json</x:v>
      </x:c>
      <x:c r="O3268" s="38" t="n">
        <x:f>IF(AND(G3268="RECORDED",ISNUMBER(H3268)),H3268,"")</x:f>
        <x:v>3.85</x:v>
      </x:c>
      <x:c r="P3268" s="34" t="str">
        <x:v>NOT_REVEALING</x:v>
      </x:c>
      <x:c r="Q3268" s="34" t="str">
        <x:v>Feedback-Directed Random Test Generation/Result_Round2/Math_21/result.json</x:v>
      </x:c>
    </x:row>
    <x:row r="3269">
      <x:c r="A3269" s="34" t="str">
        <x:v>randoop</x:v>
      </x:c>
      <x:c r="B3269" s="34" t="str">
        <x:v>Math</x:v>
      </x:c>
      <x:c r="C3269" s="34" t="str">
        <x:v>Round2</x:v>
      </x:c>
      <x:c r="D3269" s="34" t="str">
        <x:v>Math_22</x:v>
      </x:c>
      <x:c r="E3269" s="34" t="str">
        <x:v>Line</x:v>
      </x:c>
      <x:c r="F3269" s="34" t="n">
        <x:v>0</x:v>
      </x:c>
      <x:c r="G3269" s="34" t="str">
        <x:v>A</x:v>
      </x:c>
      <x:c r="H3269" s="38" t="str">
        <x:f>IF(ISNUMBER('Data'!H1561),'Data'!H1561*100,"")</x:f>
      </x:c>
      <x:c r="I3269" s="34"/>
      <x:c r="J3269" s="34"/>
      <x:c r="K3269" s="34"/>
      <x:c r="L3269" s="34" t="str">
        <x:v>NOT_RUN</x:v>
      </x:c>
      <x:c r="M3269" s="34" t="str">
        <x:v>Latest same-round generation failed; older files/results are excluded</x:v>
      </x:c>
      <x:c r="N3269" s="34" t="str">
        <x:v>Feedback-Directed Random Test Generation/report_Round2.csv</x:v>
      </x:c>
      <x:c r="O3269" s="38" t="str">
        <x:f>IF(AND(G3269="RECORDED",ISNUMBER(H3269)),H3269,"")</x:f>
      </x:c>
      <x:c r="P3269" s="34" t="str">
        <x:v>FAIL</x:v>
      </x:c>
      <x:c r="Q3269" s="34"/>
    </x:row>
    <x:row r="3270">
      <x:c r="A3270" s="34" t="str">
        <x:v>randoop</x:v>
      </x:c>
      <x:c r="B3270" s="34" t="str">
        <x:v>Math</x:v>
      </x:c>
      <x:c r="C3270" s="34" t="str">
        <x:v>Round2</x:v>
      </x:c>
      <x:c r="D3270" s="34" t="str">
        <x:v>Math_23</x:v>
      </x:c>
      <x:c r="E3270" s="34" t="str">
        <x:v>Line</x:v>
      </x:c>
      <x:c r="F3270" s="34" t="n">
        <x:v>121</x:v>
      </x:c>
      <x:c r="G3270" s="34" t="str">
        <x:v>RECORDED</x:v>
      </x:c>
      <x:c r="H3270" s="38" t="n">
        <x:f>IF(ISNUMBER('Data'!H1562),'Data'!H1562*100,"")</x:f>
        <x:v>22.31</x:v>
      </x:c>
      <x:c r="I3270" s="34" t="str">
        <x:v>PASS</x:v>
      </x:c>
      <x:c r="J3270" s="34" t="str">
        <x:v>PASS</x:v>
      </x:c>
      <x:c r="K3270" s="34" t="str">
        <x:v>PASS</x:v>
      </x:c>
      <x:c r="L3270" s="34" t="str">
        <x:v>PASS</x:v>
      </x:c>
      <x:c r="M3270" s="34" t="str">
        <x:v>numeric coverage for applicable metric</x:v>
      </x:c>
      <x:c r="N3270" s="34" t="str">
        <x:v>Feedback-Directed Random Test Generation/Result_Round2/Math_23/result.json</x:v>
      </x:c>
      <x:c r="O3270" s="38" t="n">
        <x:f>IF(AND(G3270="RECORDED",ISNUMBER(H3270)),H3270,"")</x:f>
        <x:v>22.31</x:v>
      </x:c>
      <x:c r="P3270" s="34" t="str">
        <x:v>NOT_REVEALING</x:v>
      </x:c>
      <x:c r="Q3270" s="34" t="str">
        <x:v>Feedback-Directed Random Test Generation/Result_Round2/Math_23/result.json</x:v>
      </x:c>
    </x:row>
    <x:row r="3271">
      <x:c r="A3271" s="34" t="str">
        <x:v>randoop</x:v>
      </x:c>
      <x:c r="B3271" s="34" t="str">
        <x:v>Math</x:v>
      </x:c>
      <x:c r="C3271" s="34" t="str">
        <x:v>Round2</x:v>
      </x:c>
      <x:c r="D3271" s="34" t="str">
        <x:v>Math_24</x:v>
      </x:c>
      <x:c r="E3271" s="34" t="str">
        <x:v>Line</x:v>
      </x:c>
      <x:c r="F3271" s="34" t="n">
        <x:v>120</x:v>
      </x:c>
      <x:c r="G3271" s="34" t="str">
        <x:v>RECORDED</x:v>
      </x:c>
      <x:c r="H3271" s="38" t="n">
        <x:f>IF(ISNUMBER('Data'!H1563),'Data'!H1563*100,"")</x:f>
        <x:v>22.5</x:v>
      </x:c>
      <x:c r="I3271" s="34" t="str">
        <x:v>PASS</x:v>
      </x:c>
      <x:c r="J3271" s="34" t="str">
        <x:v>PASS</x:v>
      </x:c>
      <x:c r="K3271" s="34" t="str">
        <x:v>PASS</x:v>
      </x:c>
      <x:c r="L3271" s="34" t="str">
        <x:v>PASS</x:v>
      </x:c>
      <x:c r="M3271" s="34" t="str">
        <x:v>numeric coverage for applicable metric</x:v>
      </x:c>
      <x:c r="N3271" s="34" t="str">
        <x:v>Feedback-Directed Random Test Generation/Result_Round2/Math_24/result.json</x:v>
      </x:c>
      <x:c r="O3271" s="38" t="n">
        <x:f>IF(AND(G3271="RECORDED",ISNUMBER(H3271)),H3271,"")</x:f>
        <x:v>22.5</x:v>
      </x:c>
      <x:c r="P3271" s="34" t="str">
        <x:v>NOT_REVEALING</x:v>
      </x:c>
      <x:c r="Q3271" s="34" t="str">
        <x:v>Feedback-Directed Random Test Generation/Result_Round2/Math_24/result.json</x:v>
      </x:c>
    </x:row>
    <x:row r="3272">
      <x:c r="A3272" s="34" t="str">
        <x:v>randoop</x:v>
      </x:c>
      <x:c r="B3272" s="34" t="str">
        <x:v>Math</x:v>
      </x:c>
      <x:c r="C3272" s="34" t="str">
        <x:v>Round2</x:v>
      </x:c>
      <x:c r="D3272" s="34" t="str">
        <x:v>Math_25</x:v>
      </x:c>
      <x:c r="E3272" s="34" t="str">
        <x:v>Line</x:v>
      </x:c>
      <x:c r="F3272" s="34" t="n">
        <x:v>94</x:v>
      </x:c>
      <x:c r="G3272" s="34" t="str">
        <x:v>RECORDED</x:v>
      </x:c>
      <x:c r="H3272" s="38" t="n">
        <x:f>IF(ISNUMBER('Data'!H1564),'Data'!H1564*100,"")</x:f>
        <x:v>98.94</x:v>
      </x:c>
      <x:c r="I3272" s="34" t="str">
        <x:v>PASS</x:v>
      </x:c>
      <x:c r="J3272" s="34" t="str">
        <x:v>PASS</x:v>
      </x:c>
      <x:c r="K3272" s="34" t="str">
        <x:v>PASS</x:v>
      </x:c>
      <x:c r="L3272" s="34" t="str">
        <x:v>PASS</x:v>
      </x:c>
      <x:c r="M3272" s="34" t="str">
        <x:v>numeric coverage for applicable metric</x:v>
      </x:c>
      <x:c r="N3272" s="34" t="str">
        <x:v>Feedback-Directed Random Test Generation/Result_Round2/Math_25/result.json</x:v>
      </x:c>
      <x:c r="O3272" s="38" t="n">
        <x:f>IF(AND(G3272="RECORDED",ISNUMBER(H3272)),H3272,"")</x:f>
        <x:v>98.94</x:v>
      </x:c>
      <x:c r="P3272" s="34" t="str">
        <x:v>NOT_REVEALING</x:v>
      </x:c>
      <x:c r="Q3272" s="34" t="str">
        <x:v>Feedback-Directed Random Test Generation/Result_Round2/Math_25/result.json</x:v>
      </x:c>
    </x:row>
    <x:row r="3273">
      <x:c r="A3273" s="34" t="str">
        <x:v>randoop</x:v>
      </x:c>
      <x:c r="B3273" s="34" t="str">
        <x:v>Math</x:v>
      </x:c>
      <x:c r="C3273" s="34" t="str">
        <x:v>Round2</x:v>
      </x:c>
      <x:c r="D3273" s="34" t="str">
        <x:v>Math_26</x:v>
      </x:c>
      <x:c r="E3273" s="34" t="str">
        <x:v>Line</x:v>
      </x:c>
      <x:c r="F3273" s="34" t="n">
        <x:v>183</x:v>
      </x:c>
      <x:c r="G3273" s="34" t="str">
        <x:v>RECORDED</x:v>
      </x:c>
      <x:c r="H3273" s="38" t="n">
        <x:f>IF(ISNUMBER('Data'!H1565),'Data'!H1565*100,"")</x:f>
        <x:v>92.9</x:v>
      </x:c>
      <x:c r="I3273" s="34" t="str">
        <x:v>PASS</x:v>
      </x:c>
      <x:c r="J3273" s="34" t="str">
        <x:v>PASS</x:v>
      </x:c>
      <x:c r="K3273" s="34" t="str">
        <x:v>PASS</x:v>
      </x:c>
      <x:c r="L3273" s="34" t="str">
        <x:v>PASS</x:v>
      </x:c>
      <x:c r="M3273" s="34" t="str">
        <x:v>numeric coverage for applicable metric</x:v>
      </x:c>
      <x:c r="N3273" s="34" t="str">
        <x:v>Feedback-Directed Random Test Generation/Result_Round2/Math_26/result.json</x:v>
      </x:c>
      <x:c r="O3273" s="38" t="n">
        <x:f>IF(AND(G3273="RECORDED",ISNUMBER(H3273)),H3273,"")</x:f>
        <x:v>92.9</x:v>
      </x:c>
      <x:c r="P3273" s="34" t="str">
        <x:v>NOT_REVEALING</x:v>
      </x:c>
      <x:c r="Q3273" s="34" t="str">
        <x:v>Feedback-Directed Random Test Generation/Result_Round2/Math_26/result.json</x:v>
      </x:c>
    </x:row>
    <x:row r="3274">
      <x:c r="A3274" s="34" t="str">
        <x:v>randoop</x:v>
      </x:c>
      <x:c r="B3274" s="34" t="str">
        <x:v>Math</x:v>
      </x:c>
      <x:c r="C3274" s="34" t="str">
        <x:v>Round2</x:v>
      </x:c>
      <x:c r="D3274" s="34" t="str">
        <x:v>Math_27</x:v>
      </x:c>
      <x:c r="E3274" s="34" t="str">
        <x:v>Line</x:v>
      </x:c>
      <x:c r="F3274" s="34" t="n">
        <x:v>183</x:v>
      </x:c>
      <x:c r="G3274" s="34" t="str">
        <x:v>RECORDED</x:v>
      </x:c>
      <x:c r="H3274" s="38" t="n">
        <x:f>IF(ISNUMBER('Data'!H1566),'Data'!H1566*100,"")</x:f>
        <x:v>92.35</x:v>
      </x:c>
      <x:c r="I3274" s="34" t="str">
        <x:v>PASS</x:v>
      </x:c>
      <x:c r="J3274" s="34" t="str">
        <x:v>PASS</x:v>
      </x:c>
      <x:c r="K3274" s="34" t="str">
        <x:v>PASS</x:v>
      </x:c>
      <x:c r="L3274" s="34" t="str">
        <x:v>PASS</x:v>
      </x:c>
      <x:c r="M3274" s="34" t="str">
        <x:v>numeric coverage for applicable metric</x:v>
      </x:c>
      <x:c r="N3274" s="34" t="str">
        <x:v>Feedback-Directed Random Test Generation/Result_Round2/Math_27/result.json</x:v>
      </x:c>
      <x:c r="O3274" s="38" t="n">
        <x:f>IF(AND(G3274="RECORDED",ISNUMBER(H3274)),H3274,"")</x:f>
        <x:v>92.35</x:v>
      </x:c>
      <x:c r="P3274" s="34" t="str">
        <x:v>INCONCLUSIVE</x:v>
      </x:c>
      <x:c r="Q3274" s="34" t="str">
        <x:v>Feedback-Directed Random Test Generation/Result_Round2/Math_27/result.json</x:v>
      </x:c>
    </x:row>
    <x:row r="3275">
      <x:c r="A3275" s="34" t="str">
        <x:v>randoop</x:v>
      </x:c>
      <x:c r="B3275" s="34" t="str">
        <x:v>Math</x:v>
      </x:c>
      <x:c r="C3275" s="34" t="str">
        <x:v>Round2</x:v>
      </x:c>
      <x:c r="D3275" s="34" t="str">
        <x:v>Math_28</x:v>
      </x:c>
      <x:c r="E3275" s="34" t="str">
        <x:v>Line</x:v>
      </x:c>
      <x:c r="F3275" s="34" t="n">
        <x:v>79</x:v>
      </x:c>
      <x:c r="G3275" s="34" t="str">
        <x:v>RECORDED</x:v>
      </x:c>
      <x:c r="H3275" s="38" t="n">
        <x:f>IF(ISNUMBER('Data'!H1567),'Data'!H1567*100,"")</x:f>
        <x:v>21.52</x:v>
      </x:c>
      <x:c r="I3275" s="34" t="str">
        <x:v>PASS</x:v>
      </x:c>
      <x:c r="J3275" s="34" t="str">
        <x:v>PASS</x:v>
      </x:c>
      <x:c r="K3275" s="34" t="str">
        <x:v>PASS</x:v>
      </x:c>
      <x:c r="L3275" s="34" t="str">
        <x:v>FAIL</x:v>
      </x:c>
      <x:c r="M3275" s="34" t="str">
        <x:v>numeric coverage for applicable metric</x:v>
      </x:c>
      <x:c r="N3275" s="34" t="str">
        <x:v>Feedback-Directed Random Test Generation/Result_Round2/Math_28/result.json</x:v>
      </x:c>
      <x:c r="O3275" s="38" t="n">
        <x:f>IF(AND(G3275="RECORDED",ISNUMBER(H3275)),H3275,"")</x:f>
        <x:v>21.52</x:v>
      </x:c>
      <x:c r="P3275" s="34" t="str">
        <x:v>INCONCLUSIVE</x:v>
      </x:c>
      <x:c r="Q3275" s="34" t="str">
        <x:v>Feedback-Directed Random Test Generation/Result_Round2/Math_28/result.json</x:v>
      </x:c>
    </x:row>
    <x:row r="3276">
      <x:c r="A3276" s="34" t="str">
        <x:v>randoop</x:v>
      </x:c>
      <x:c r="B3276" s="34" t="str">
        <x:v>Math</x:v>
      </x:c>
      <x:c r="C3276" s="34" t="str">
        <x:v>Round2</x:v>
      </x:c>
      <x:c r="D3276" s="34" t="str">
        <x:v>Math_29</x:v>
      </x:c>
      <x:c r="E3276" s="34" t="str">
        <x:v>Line</x:v>
      </x:c>
      <x:c r="F3276" s="34" t="n">
        <x:v>321</x:v>
      </x:c>
      <x:c r="G3276" s="34" t="str">
        <x:v>RECORDED</x:v>
      </x:c>
      <x:c r="H3276" s="38" t="n">
        <x:f>IF(ISNUMBER('Data'!H1568),'Data'!H1568*100,"")</x:f>
        <x:v>97.82</x:v>
      </x:c>
      <x:c r="I3276" s="34" t="str">
        <x:v>PASS</x:v>
      </x:c>
      <x:c r="J3276" s="34" t="str">
        <x:v>PASS</x:v>
      </x:c>
      <x:c r="K3276" s="34" t="str">
        <x:v>PASS</x:v>
      </x:c>
      <x:c r="L3276" s="34" t="str">
        <x:v>FAIL</x:v>
      </x:c>
      <x:c r="M3276" s="34" t="str">
        <x:v>numeric coverage for applicable metric</x:v>
      </x:c>
      <x:c r="N3276" s="34" t="str">
        <x:v>Feedback-Directed Random Test Generation/Result_Round2/Math_29/result.json</x:v>
      </x:c>
      <x:c r="O3276" s="38" t="n">
        <x:f>IF(AND(G3276="RECORDED",ISNUMBER(H3276)),H3276,"")</x:f>
        <x:v>97.82</x:v>
      </x:c>
      <x:c r="P3276" s="34" t="str">
        <x:v>INCONCLUSIVE</x:v>
      </x:c>
      <x:c r="Q3276" s="34" t="str">
        <x:v>Feedback-Directed Random Test Generation/Result_Round2/Math_29/result.json</x:v>
      </x:c>
    </x:row>
    <x:row r="3277">
      <x:c r="A3277" s="34" t="str">
        <x:v>randoop</x:v>
      </x:c>
      <x:c r="B3277" s="34" t="str">
        <x:v>Math</x:v>
      </x:c>
      <x:c r="C3277" s="34" t="str">
        <x:v>Round2</x:v>
      </x:c>
      <x:c r="D3277" s="34" t="str">
        <x:v>Math_30</x:v>
      </x:c>
      <x:c r="E3277" s="34" t="str">
        <x:v>Line</x:v>
      </x:c>
      <x:c r="F3277" s="34" t="n">
        <x:v>34</x:v>
      </x:c>
      <x:c r="G3277" s="34" t="str">
        <x:v>RECORDED</x:v>
      </x:c>
      <x:c r="H3277" s="38" t="n">
        <x:f>IF(ISNUMBER('Data'!H1569),'Data'!H1569*100,"")</x:f>
        <x:v>100</x:v>
      </x:c>
      <x:c r="I3277" s="34" t="str">
        <x:v>PASS</x:v>
      </x:c>
      <x:c r="J3277" s="34" t="str">
        <x:v>PASS</x:v>
      </x:c>
      <x:c r="K3277" s="34" t="str">
        <x:v>PASS</x:v>
      </x:c>
      <x:c r="L3277" s="34" t="str">
        <x:v>PASS</x:v>
      </x:c>
      <x:c r="M3277" s="34" t="str">
        <x:v>numeric coverage for applicable metric</x:v>
      </x:c>
      <x:c r="N3277" s="34" t="str">
        <x:v>Feedback-Directed Random Test Generation/Result_Round2/Math_30/result.json</x:v>
      </x:c>
      <x:c r="O3277" s="38" t="n">
        <x:f>IF(AND(G3277="RECORDED",ISNUMBER(H3277)),H3277,"")</x:f>
        <x:v>100</x:v>
      </x:c>
      <x:c r="P3277" s="34" t="str">
        <x:v>NOT_REVEALING</x:v>
      </x:c>
      <x:c r="Q3277" s="34" t="str">
        <x:v>Feedback-Directed Random Test Generation/Result_Round2/Math_30/result.json</x:v>
      </x:c>
    </x:row>
    <x:row r="3278">
      <x:c r="A3278" s="34" t="str">
        <x:v>randoop</x:v>
      </x:c>
      <x:c r="B3278" s="34" t="str">
        <x:v>Math</x:v>
      </x:c>
      <x:c r="C3278" s="34" t="str">
        <x:v>Round2</x:v>
      </x:c>
      <x:c r="D3278" s="34" t="str">
        <x:v>Math_31</x:v>
      </x:c>
      <x:c r="E3278" s="34" t="str">
        <x:v>Line</x:v>
      </x:c>
      <x:c r="F3278" s="34" t="n">
        <x:v>59</x:v>
      </x:c>
      <x:c r="G3278" s="34" t="str">
        <x:v>RECORDED</x:v>
      </x:c>
      <x:c r="H3278" s="38" t="n">
        <x:f>IF(ISNUMBER('Data'!H1570),'Data'!H1570*100,"")</x:f>
        <x:v>0</x:v>
      </x:c>
      <x:c r="I3278" s="34" t="str">
        <x:v>PASS</x:v>
      </x:c>
      <x:c r="J3278" s="34" t="str">
        <x:v>PASS</x:v>
      </x:c>
      <x:c r="K3278" s="34" t="str">
        <x:v>PASS</x:v>
      </x:c>
      <x:c r="L3278" s="34" t="str">
        <x:v>PASS</x:v>
      </x:c>
      <x:c r="M3278" s="34" t="str">
        <x:v>numeric coverage for applicable metric</x:v>
      </x:c>
      <x:c r="N3278" s="34" t="str">
        <x:v>Feedback-Directed Random Test Generation/Result_Round2/Math_31/result.json</x:v>
      </x:c>
      <x:c r="O3278" s="38" t="n">
        <x:f>IF(AND(G3278="RECORDED",ISNUMBER(H3278)),H3278,"")</x:f>
        <x:v>0</x:v>
      </x:c>
      <x:c r="P3278" s="34" t="str">
        <x:v>NOT_REVEALING</x:v>
      </x:c>
      <x:c r="Q3278" s="34" t="str">
        <x:v>Feedback-Directed Random Test Generation/Result_Round2/Math_31/result.json</x:v>
      </x:c>
    </x:row>
    <x:row r="3279">
      <x:c r="A3279" s="34" t="str">
        <x:v>randoop</x:v>
      </x:c>
      <x:c r="B3279" s="34" t="str">
        <x:v>Math</x:v>
      </x:c>
      <x:c r="C3279" s="34" t="str">
        <x:v>Round2</x:v>
      </x:c>
      <x:c r="D3279" s="34" t="str">
        <x:v>Math_32</x:v>
      </x:c>
      <x:c r="E3279" s="34" t="str">
        <x:v>Line</x:v>
      </x:c>
      <x:c r="F3279" s="34" t="n">
        <x:v>169</x:v>
      </x:c>
      <x:c r="G3279" s="34" t="str">
        <x:v>RECORDED</x:v>
      </x:c>
      <x:c r="H3279" s="38" t="n">
        <x:f>IF(ISNUMBER('Data'!H1571),'Data'!H1571*100,"")</x:f>
        <x:v>74.56</x:v>
      </x:c>
      <x:c r="I3279" s="34" t="str">
        <x:v>PASS</x:v>
      </x:c>
      <x:c r="J3279" s="34" t="str">
        <x:v>PASS</x:v>
      </x:c>
      <x:c r="K3279" s="34" t="str">
        <x:v>PASS</x:v>
      </x:c>
      <x:c r="L3279" s="34" t="str">
        <x:v>FAIL</x:v>
      </x:c>
      <x:c r="M3279" s="34" t="str">
        <x:v>numeric coverage for applicable metric</x:v>
      </x:c>
      <x:c r="N3279" s="34" t="str">
        <x:v>Feedback-Directed Random Test Generation/Result_Round2/Math_32/result.json</x:v>
      </x:c>
      <x:c r="O3279" s="38" t="n">
        <x:f>IF(AND(G3279="RECORDED",ISNUMBER(H3279)),H3279,"")</x:f>
        <x:v>74.56</x:v>
      </x:c>
      <x:c r="P3279" s="34" t="str">
        <x:v>INCONCLUSIVE</x:v>
      </x:c>
      <x:c r="Q3279" s="34" t="str">
        <x:v>Feedback-Directed Random Test Generation/Result_Round2/Math_32/result.json</x:v>
      </x:c>
    </x:row>
    <x:row r="3280">
      <x:c r="A3280" s="34" t="str">
        <x:v>randoop</x:v>
      </x:c>
      <x:c r="B3280" s="34" t="str">
        <x:v>Math</x:v>
      </x:c>
      <x:c r="C3280" s="34" t="str">
        <x:v>Round2</x:v>
      </x:c>
      <x:c r="D3280" s="34" t="str">
        <x:v>Math_33</x:v>
      </x:c>
      <x:c r="E3280" s="34" t="str">
        <x:v>Line</x:v>
      </x:c>
      <x:c r="F3280" s="34" t="n">
        <x:v>185</x:v>
      </x:c>
      <x:c r="G3280" s="34" t="str">
        <x:v>RECORDED</x:v>
      </x:c>
      <x:c r="H3280" s="38" t="n">
        <x:f>IF(ISNUMBER('Data'!H1572),'Data'!H1572*100,"")</x:f>
        <x:v>7.57</x:v>
      </x:c>
      <x:c r="I3280" s="34" t="str">
        <x:v>PASS</x:v>
      </x:c>
      <x:c r="J3280" s="34" t="str">
        <x:v>PASS</x:v>
      </x:c>
      <x:c r="K3280" s="34" t="str">
        <x:v>PASS</x:v>
      </x:c>
      <x:c r="L3280" s="34" t="str">
        <x:v>PASS</x:v>
      </x:c>
      <x:c r="M3280" s="34" t="str">
        <x:v>numeric coverage for applicable metric</x:v>
      </x:c>
      <x:c r="N3280" s="34" t="str">
        <x:v>Feedback-Directed Random Test Generation/Result_Round2/Math_33/result.json</x:v>
      </x:c>
      <x:c r="O3280" s="38" t="n">
        <x:f>IF(AND(G3280="RECORDED",ISNUMBER(H3280)),H3280,"")</x:f>
        <x:v>7.57</x:v>
      </x:c>
      <x:c r="P3280" s="34" t="str">
        <x:v>NOT_REVEALING</x:v>
      </x:c>
      <x:c r="Q3280" s="34" t="str">
        <x:v>Feedback-Directed Random Test Generation/Result_Round2/Math_33/result.json</x:v>
      </x:c>
    </x:row>
    <x:row r="3281">
      <x:c r="A3281" s="34" t="str">
        <x:v>randoop</x:v>
      </x:c>
      <x:c r="B3281" s="34" t="str">
        <x:v>Math</x:v>
      </x:c>
      <x:c r="C3281" s="34" t="str">
        <x:v>Round2</x:v>
      </x:c>
      <x:c r="D3281" s="34" t="str">
        <x:v>Math_34</x:v>
      </x:c>
      <x:c r="E3281" s="34" t="str">
        <x:v>Line</x:v>
      </x:c>
      <x:c r="F3281" s="34" t="n">
        <x:v>50</x:v>
      </x:c>
      <x:c r="G3281" s="34" t="str">
        <x:v>RECORDED</x:v>
      </x:c>
      <x:c r="H3281" s="38" t="n">
        <x:f>IF(ISNUMBER('Data'!H1573),'Data'!H1573*100,"")</x:f>
        <x:v>0</x:v>
      </x:c>
      <x:c r="I3281" s="34" t="str">
        <x:v>PASS</x:v>
      </x:c>
      <x:c r="J3281" s="34" t="str">
        <x:v>PASS</x:v>
      </x:c>
      <x:c r="K3281" s="34" t="str">
        <x:v>PASS</x:v>
      </x:c>
      <x:c r="L3281" s="34" t="str">
        <x:v>PASS</x:v>
      </x:c>
      <x:c r="M3281" s="34" t="str">
        <x:v>numeric coverage for applicable metric</x:v>
      </x:c>
      <x:c r="N3281" s="34" t="str">
        <x:v>Feedback-Directed Random Test Generation/Result_Round2/Math_34/result.json</x:v>
      </x:c>
      <x:c r="O3281" s="38" t="n">
        <x:f>IF(AND(G3281="RECORDED",ISNUMBER(H3281)),H3281,"")</x:f>
        <x:v>0</x:v>
      </x:c>
      <x:c r="P3281" s="34" t="str">
        <x:v>NOT_REVEALING</x:v>
      </x:c>
      <x:c r="Q3281" s="34" t="str">
        <x:v>Feedback-Directed Random Test Generation/Result_Round2/Math_34/result.json</x:v>
      </x:c>
    </x:row>
    <x:row r="3282">
      <x:c r="A3282" s="34" t="str">
        <x:v>randoop</x:v>
      </x:c>
      <x:c r="B3282" s="34" t="str">
        <x:v>Math</x:v>
      </x:c>
      <x:c r="C3282" s="34" t="str">
        <x:v>Round2</x:v>
      </x:c>
      <x:c r="D3282" s="34" t="str">
        <x:v>Math_35</x:v>
      </x:c>
      <x:c r="E3282" s="34" t="str">
        <x:v>Line</x:v>
      </x:c>
      <x:c r="F3282" s="34" t="n">
        <x:v>19</x:v>
      </x:c>
      <x:c r="G3282" s="34" t="str">
        <x:v>RECORDED</x:v>
      </x:c>
      <x:c r="H3282" s="38" t="n">
        <x:f>IF(ISNUMBER('Data'!H1574),'Data'!H1574*100,"")</x:f>
        <x:v>100</x:v>
      </x:c>
      <x:c r="I3282" s="34" t="str">
        <x:v>PASS</x:v>
      </x:c>
      <x:c r="J3282" s="34" t="str">
        <x:v>PASS</x:v>
      </x:c>
      <x:c r="K3282" s="34" t="str">
        <x:v>PASS</x:v>
      </x:c>
      <x:c r="L3282" s="34" t="str">
        <x:v>PASS</x:v>
      </x:c>
      <x:c r="M3282" s="34" t="str">
        <x:v>numeric coverage for applicable metric</x:v>
      </x:c>
      <x:c r="N3282" s="34" t="str">
        <x:v>Feedback-Directed Random Test Generation/Result_Round2/Math_35/result.json</x:v>
      </x:c>
      <x:c r="O3282" s="38" t="n">
        <x:f>IF(AND(G3282="RECORDED",ISNUMBER(H3282)),H3282,"")</x:f>
        <x:v>100</x:v>
      </x:c>
      <x:c r="P3282" s="34" t="str">
        <x:v>INCONCLUSIVE</x:v>
      </x:c>
      <x:c r="Q3282" s="34" t="str">
        <x:v>Feedback-Directed Random Test Generation/Result_Round2/Math_35/result.json</x:v>
      </x:c>
    </x:row>
    <x:row r="3283">
      <x:c r="A3283" s="34" t="str">
        <x:v>randoop</x:v>
      </x:c>
      <x:c r="B3283" s="34" t="str">
        <x:v>Math</x:v>
      </x:c>
      <x:c r="C3283" s="34" t="str">
        <x:v>Round2</x:v>
      </x:c>
      <x:c r="D3283" s="34" t="str">
        <x:v>Math_36</x:v>
      </x:c>
      <x:c r="E3283" s="34" t="str">
        <x:v>Line</x:v>
      </x:c>
      <x:c r="F3283" s="34" t="n">
        <x:v>230</x:v>
      </x:c>
      <x:c r="G3283" s="34" t="str">
        <x:v>RECORDED</x:v>
      </x:c>
      <x:c r="H3283" s="38" t="n">
        <x:f>IF(ISNUMBER('Data'!H1575),'Data'!H1575*100,"")</x:f>
        <x:v>83.04</x:v>
      </x:c>
      <x:c r="I3283" s="34" t="str">
        <x:v>PASS</x:v>
      </x:c>
      <x:c r="J3283" s="34" t="str">
        <x:v>PASS</x:v>
      </x:c>
      <x:c r="K3283" s="34" t="str">
        <x:v>PASS</x:v>
      </x:c>
      <x:c r="L3283" s="34" t="str">
        <x:v>FAIL</x:v>
      </x:c>
      <x:c r="M3283" s="34" t="str">
        <x:v>numeric coverage for applicable metric</x:v>
      </x:c>
      <x:c r="N3283" s="34" t="str">
        <x:v>Feedback-Directed Random Test Generation/Result_Round2/Math_36/result.json</x:v>
      </x:c>
      <x:c r="O3283" s="38" t="n">
        <x:f>IF(AND(G3283="RECORDED",ISNUMBER(H3283)),H3283,"")</x:f>
        <x:v>83.04</x:v>
      </x:c>
      <x:c r="P3283" s="34" t="str">
        <x:v>INCONCLUSIVE</x:v>
      </x:c>
      <x:c r="Q3283" s="34" t="str">
        <x:v>Feedback-Directed Random Test Generation/Result_Round2/Math_36/result.json</x:v>
      </x:c>
    </x:row>
    <x:row r="3284">
      <x:c r="A3284" s="34" t="str">
        <x:v>randoop</x:v>
      </x:c>
      <x:c r="B3284" s="34" t="str">
        <x:v>Math</x:v>
      </x:c>
      <x:c r="C3284" s="34" t="str">
        <x:v>Round2</x:v>
      </x:c>
      <x:c r="D3284" s="34" t="str">
        <x:v>Math_37</x:v>
      </x:c>
      <x:c r="E3284" s="34" t="str">
        <x:v>Line</x:v>
      </x:c>
      <x:c r="F3284" s="34" t="n">
        <x:v>220</x:v>
      </x:c>
      <x:c r="G3284" s="34" t="str">
        <x:v>RECORDED</x:v>
      </x:c>
      <x:c r="H3284" s="38" t="n">
        <x:f>IF(ISNUMBER('Data'!H1576),'Data'!H1576*100,"")</x:f>
        <x:v>98.18</x:v>
      </x:c>
      <x:c r="I3284" s="34" t="str">
        <x:v>PASS</x:v>
      </x:c>
      <x:c r="J3284" s="34" t="str">
        <x:v>PASS</x:v>
      </x:c>
      <x:c r="K3284" s="34" t="str">
        <x:v>PASS</x:v>
      </x:c>
      <x:c r="L3284" s="34" t="str">
        <x:v>FAIL</x:v>
      </x:c>
      <x:c r="M3284" s="34" t="str">
        <x:v>numeric coverage for applicable metric</x:v>
      </x:c>
      <x:c r="N3284" s="34" t="str">
        <x:v>Feedback-Directed Random Test Generation/Result_Round2/Math_37/result.json</x:v>
      </x:c>
      <x:c r="O3284" s="38" t="n">
        <x:f>IF(AND(G3284="RECORDED",ISNUMBER(H3284)),H3284,"")</x:f>
        <x:v>98.18</x:v>
      </x:c>
      <x:c r="P3284" s="34" t="str">
        <x:v>INCONCLUSIVE</x:v>
      </x:c>
      <x:c r="Q3284" s="34" t="str">
        <x:v>Feedback-Directed Random Test Generation/Result_Round2/Math_37/result.json</x:v>
      </x:c>
    </x:row>
    <x:row r="3285">
      <x:c r="A3285" s="34" t="str">
        <x:v>randoop</x:v>
      </x:c>
      <x:c r="B3285" s="34" t="str">
        <x:v>Math</x:v>
      </x:c>
      <x:c r="C3285" s="34" t="str">
        <x:v>Round2</x:v>
      </x:c>
      <x:c r="D3285" s="34" t="str">
        <x:v>Math_38</x:v>
      </x:c>
      <x:c r="E3285" s="34" t="str">
        <x:v>Line</x:v>
      </x:c>
      <x:c r="F3285" s="34" t="n">
        <x:v>1200</x:v>
      </x:c>
      <x:c r="G3285" s="34" t="str">
        <x:v>RECORDED</x:v>
      </x:c>
      <x:c r="H3285" s="38" t="n">
        <x:f>IF(ISNUMBER('Data'!H1577),'Data'!H1577*100,"")</x:f>
        <x:v>0.67</x:v>
      </x:c>
      <x:c r="I3285" s="34" t="str">
        <x:v>PASS</x:v>
      </x:c>
      <x:c r="J3285" s="34" t="str">
        <x:v>PASS</x:v>
      </x:c>
      <x:c r="K3285" s="34" t="str">
        <x:v>PASS</x:v>
      </x:c>
      <x:c r="L3285" s="34" t="str">
        <x:v>FAIL</x:v>
      </x:c>
      <x:c r="M3285" s="34" t="str">
        <x:v>numeric coverage for applicable metric</x:v>
      </x:c>
      <x:c r="N3285" s="34" t="str">
        <x:v>Feedback-Directed Random Test Generation/Result_Round2/Math_38/result.json</x:v>
      </x:c>
      <x:c r="O3285" s="38" t="n">
        <x:f>IF(AND(G3285="RECORDED",ISNUMBER(H3285)),H3285,"")</x:f>
        <x:v>0.67</x:v>
      </x:c>
      <x:c r="P3285" s="34" t="str">
        <x:v>INCONCLUSIVE</x:v>
      </x:c>
      <x:c r="Q3285" s="34" t="str">
        <x:v>Feedback-Directed Random Test Generation/Result_Round2/Math_38/result.json</x:v>
      </x:c>
    </x:row>
    <x:row r="3286">
      <x:c r="A3286" s="34" t="str">
        <x:v>randoop</x:v>
      </x:c>
      <x:c r="B3286" s="34" t="str">
        <x:v>Math</x:v>
      </x:c>
      <x:c r="C3286" s="34" t="str">
        <x:v>Round2</x:v>
      </x:c>
      <x:c r="D3286" s="34" t="str">
        <x:v>Math_39</x:v>
      </x:c>
      <x:c r="E3286" s="34" t="str">
        <x:v>Line</x:v>
      </x:c>
      <x:c r="F3286" s="34" t="n">
        <x:v>107</x:v>
      </x:c>
      <x:c r="G3286" s="34" t="str">
        <x:v>RECORDED</x:v>
      </x:c>
      <x:c r="H3286" s="38" t="n">
        <x:f>IF(ISNUMBER('Data'!H1578),'Data'!H1578*100,"")</x:f>
        <x:v>0</x:v>
      </x:c>
      <x:c r="I3286" s="34" t="str">
        <x:v>PASS</x:v>
      </x:c>
      <x:c r="J3286" s="34" t="str">
        <x:v>PASS</x:v>
      </x:c>
      <x:c r="K3286" s="34" t="str">
        <x:v>PASS</x:v>
      </x:c>
      <x:c r="L3286" s="34" t="str">
        <x:v>PASS</x:v>
      </x:c>
      <x:c r="M3286" s="34" t="str">
        <x:v>numeric coverage for applicable metric</x:v>
      </x:c>
      <x:c r="N3286" s="34" t="str">
        <x:v>Feedback-Directed Random Test Generation/Result_Round2/Math_39/result.json</x:v>
      </x:c>
      <x:c r="O3286" s="38" t="n">
        <x:f>IF(AND(G3286="RECORDED",ISNUMBER(H3286)),H3286,"")</x:f>
        <x:v>0</x:v>
      </x:c>
      <x:c r="P3286" s="34" t="str">
        <x:v>NOT_REVEALING</x:v>
      </x:c>
      <x:c r="Q3286" s="34" t="str">
        <x:v>Feedback-Directed Random Test Generation/Result_Round2/Math_39/result.json</x:v>
      </x:c>
    </x:row>
    <x:row r="3287">
      <x:c r="A3287" s="34" t="str">
        <x:v>randoop</x:v>
      </x:c>
      <x:c r="B3287" s="34" t="str">
        <x:v>Math</x:v>
      </x:c>
      <x:c r="C3287" s="34" t="str">
        <x:v>Round2</x:v>
      </x:c>
      <x:c r="D3287" s="34" t="str">
        <x:v>Math_40</x:v>
      </x:c>
      <x:c r="E3287" s="34" t="str">
        <x:v>Line</x:v>
      </x:c>
      <x:c r="F3287" s="34" t="n">
        <x:v>126</x:v>
      </x:c>
      <x:c r="G3287" s="34" t="str">
        <x:v>RECORDED</x:v>
      </x:c>
      <x:c r="H3287" s="38" t="n">
        <x:f>IF(ISNUMBER('Data'!H1579),'Data'!H1579*100,"")</x:f>
        <x:v>24.6</x:v>
      </x:c>
      <x:c r="I3287" s="34" t="str">
        <x:v>PASS</x:v>
      </x:c>
      <x:c r="J3287" s="34" t="str">
        <x:v>PASS</x:v>
      </x:c>
      <x:c r="K3287" s="34" t="str">
        <x:v>PASS</x:v>
      </x:c>
      <x:c r="L3287" s="34" t="str">
        <x:v>PASS</x:v>
      </x:c>
      <x:c r="M3287" s="34" t="str">
        <x:v>numeric coverage for applicable metric</x:v>
      </x:c>
      <x:c r="N3287" s="34" t="str">
        <x:v>Feedback-Directed Random Test Generation/Result_Round2/Math_40/result.json</x:v>
      </x:c>
      <x:c r="O3287" s="38" t="n">
        <x:f>IF(AND(G3287="RECORDED",ISNUMBER(H3287)),H3287,"")</x:f>
        <x:v>24.6</x:v>
      </x:c>
      <x:c r="P3287" s="34" t="str">
        <x:v>NOT_REVEALING</x:v>
      </x:c>
      <x:c r="Q3287" s="34" t="str">
        <x:v>Feedback-Directed Random Test Generation/Result_Round2/Math_40/result.json</x:v>
      </x:c>
    </x:row>
    <x:row r="3288">
      <x:c r="A3288" s="34" t="str">
        <x:v>randoop</x:v>
      </x:c>
      <x:c r="B3288" s="34" t="str">
        <x:v>Math</x:v>
      </x:c>
      <x:c r="C3288" s="34" t="str">
        <x:v>Round2</x:v>
      </x:c>
      <x:c r="D3288" s="34" t="str">
        <x:v>Math_41</x:v>
      </x:c>
      <x:c r="E3288" s="34" t="str">
        <x:v>Line</x:v>
      </x:c>
      <x:c r="F3288" s="34" t="n">
        <x:v>112</x:v>
      </x:c>
      <x:c r="G3288" s="34" t="str">
        <x:v>RECORDED</x:v>
      </x:c>
      <x:c r="H3288" s="38" t="n">
        <x:f>IF(ISNUMBER('Data'!H1580),'Data'!H1580*100,"")</x:f>
        <x:v>80.36</x:v>
      </x:c>
      <x:c r="I3288" s="34" t="str">
        <x:v>PASS</x:v>
      </x:c>
      <x:c r="J3288" s="34" t="str">
        <x:v>PASS</x:v>
      </x:c>
      <x:c r="K3288" s="34" t="str">
        <x:v>PASS</x:v>
      </x:c>
      <x:c r="L3288" s="34" t="str">
        <x:v>PASS</x:v>
      </x:c>
      <x:c r="M3288" s="34" t="str">
        <x:v>numeric coverage for applicable metric</x:v>
      </x:c>
      <x:c r="N3288" s="34" t="str">
        <x:v>Feedback-Directed Random Test Generation/Result_Round2/Math_41/result.json</x:v>
      </x:c>
      <x:c r="O3288" s="38" t="n">
        <x:f>IF(AND(G3288="RECORDED",ISNUMBER(H3288)),H3288,"")</x:f>
        <x:v>80.36</x:v>
      </x:c>
      <x:c r="P3288" s="34" t="str">
        <x:v>NOT_REVEALING</x:v>
      </x:c>
      <x:c r="Q3288" s="34" t="str">
        <x:v>Feedback-Directed Random Test Generation/Result_Round2/Math_41/result.json</x:v>
      </x:c>
    </x:row>
    <x:row r="3289">
      <x:c r="A3289" s="34" t="str">
        <x:v>randoop</x:v>
      </x:c>
      <x:c r="B3289" s="34" t="str">
        <x:v>Math</x:v>
      </x:c>
      <x:c r="C3289" s="34" t="str">
        <x:v>Round2</x:v>
      </x:c>
      <x:c r="D3289" s="34" t="str">
        <x:v>Math_42</x:v>
      </x:c>
      <x:c r="E3289" s="34" t="str">
        <x:v>Line</x:v>
      </x:c>
      <x:c r="F3289" s="34" t="n">
        <x:v>183</x:v>
      </x:c>
      <x:c r="G3289" s="34" t="str">
        <x:v>RECORDED</x:v>
      </x:c>
      <x:c r="H3289" s="38" t="n">
        <x:f>IF(ISNUMBER('Data'!H1581),'Data'!H1581*100,"")</x:f>
        <x:v>7.6499999999999995</x:v>
      </x:c>
      <x:c r="I3289" s="34" t="str">
        <x:v>PASS</x:v>
      </x:c>
      <x:c r="J3289" s="34" t="str">
        <x:v>PASS</x:v>
      </x:c>
      <x:c r="K3289" s="34" t="str">
        <x:v>PASS</x:v>
      </x:c>
      <x:c r="L3289" s="34" t="str">
        <x:v>PASS</x:v>
      </x:c>
      <x:c r="M3289" s="34" t="str">
        <x:v>numeric coverage for applicable metric</x:v>
      </x:c>
      <x:c r="N3289" s="34" t="str">
        <x:v>Feedback-Directed Random Test Generation/Result_Round2/Math_42/result.json</x:v>
      </x:c>
      <x:c r="O3289" s="38" t="n">
        <x:f>IF(AND(G3289="RECORDED",ISNUMBER(H3289)),H3289,"")</x:f>
        <x:v>7.6499999999999995</x:v>
      </x:c>
      <x:c r="P3289" s="34" t="str">
        <x:v>NOT_REVEALING</x:v>
      </x:c>
      <x:c r="Q3289" s="34" t="str">
        <x:v>Feedback-Directed Random Test Generation/Result_Round2/Math_42/result.json</x:v>
      </x:c>
    </x:row>
    <x:row r="3290">
      <x:c r="A3290" s="34" t="str">
        <x:v>randoop</x:v>
      </x:c>
      <x:c r="B3290" s="34" t="str">
        <x:v>Math</x:v>
      </x:c>
      <x:c r="C3290" s="34" t="str">
        <x:v>Round2</x:v>
      </x:c>
      <x:c r="D3290" s="34" t="str">
        <x:v>Math_43</x:v>
      </x:c>
      <x:c r="E3290" s="34" t="str">
        <x:v>Line</x:v>
      </x:c>
      <x:c r="F3290" s="34" t="n">
        <x:v>192</x:v>
      </x:c>
      <x:c r="G3290" s="34" t="str">
        <x:v>RECORDED</x:v>
      </x:c>
      <x:c r="H3290" s="38" t="n">
        <x:f>IF(ISNUMBER('Data'!H1582),'Data'!H1582*100,"")</x:f>
        <x:v>94.27</x:v>
      </x:c>
      <x:c r="I3290" s="34" t="str">
        <x:v>PASS</x:v>
      </x:c>
      <x:c r="J3290" s="34" t="str">
        <x:v>PASS</x:v>
      </x:c>
      <x:c r="K3290" s="34" t="str">
        <x:v>PASS</x:v>
      </x:c>
      <x:c r="L3290" s="34" t="str">
        <x:v>FAIL</x:v>
      </x:c>
      <x:c r="M3290" s="34" t="str">
        <x:v>numeric coverage for applicable metric</x:v>
      </x:c>
      <x:c r="N3290" s="34" t="str">
        <x:v>Feedback-Directed Random Test Generation/Result_Round2/Math_43/result.json</x:v>
      </x:c>
      <x:c r="O3290" s="38" t="n">
        <x:f>IF(AND(G3290="RECORDED",ISNUMBER(H3290)),H3290,"")</x:f>
        <x:v>94.27</x:v>
      </x:c>
      <x:c r="P3290" s="34" t="str">
        <x:v>INCONCLUSIVE</x:v>
      </x:c>
      <x:c r="Q3290" s="34" t="str">
        <x:v>Feedback-Directed Random Test Generation/Result_Round2/Math_43/result.json</x:v>
      </x:c>
    </x:row>
    <x:row r="3291">
      <x:c r="A3291" s="34" t="str">
        <x:v>randoop</x:v>
      </x:c>
      <x:c r="B3291" s="34" t="str">
        <x:v>Math</x:v>
      </x:c>
      <x:c r="C3291" s="34" t="str">
        <x:v>Round2</x:v>
      </x:c>
      <x:c r="D3291" s="34" t="str">
        <x:v>Math_44</x:v>
      </x:c>
      <x:c r="E3291" s="34" t="str">
        <x:v>Line</x:v>
      </x:c>
      <x:c r="F3291" s="34" t="n">
        <x:v>117</x:v>
      </x:c>
      <x:c r="G3291" s="34" t="str">
        <x:v>RECORDED</x:v>
      </x:c>
      <x:c r="H3291" s="38" t="n">
        <x:f>IF(ISNUMBER('Data'!H1583),'Data'!H1583*100,"")</x:f>
        <x:v>0</x:v>
      </x:c>
      <x:c r="I3291" s="34" t="str">
        <x:v>PASS</x:v>
      </x:c>
      <x:c r="J3291" s="34" t="str">
        <x:v>PASS</x:v>
      </x:c>
      <x:c r="K3291" s="34" t="str">
        <x:v>PASS</x:v>
      </x:c>
      <x:c r="L3291" s="34" t="str">
        <x:v>PASS</x:v>
      </x:c>
      <x:c r="M3291" s="34" t="str">
        <x:v>numeric coverage for applicable metric</x:v>
      </x:c>
      <x:c r="N3291" s="34" t="str">
        <x:v>Feedback-Directed Random Test Generation/Result_Round2/Math_44/result.json</x:v>
      </x:c>
      <x:c r="O3291" s="38" t="n">
        <x:f>IF(AND(G3291="RECORDED",ISNUMBER(H3291)),H3291,"")</x:f>
        <x:v>0</x:v>
      </x:c>
      <x:c r="P3291" s="34" t="str">
        <x:v>NOT_REVEALING</x:v>
      </x:c>
      <x:c r="Q3291" s="34" t="str">
        <x:v>Feedback-Directed Random Test Generation/Result_Round2/Math_44/result.json</x:v>
      </x:c>
    </x:row>
    <x:row r="3292">
      <x:c r="A3292" s="34" t="str">
        <x:v>randoop</x:v>
      </x:c>
      <x:c r="B3292" s="34" t="str">
        <x:v>Math</x:v>
      </x:c>
      <x:c r="C3292" s="34" t="str">
        <x:v>Round2</x:v>
      </x:c>
      <x:c r="D3292" s="34" t="str">
        <x:v>Math_45</x:v>
      </x:c>
      <x:c r="E3292" s="34" t="str">
        <x:v>Line</x:v>
      </x:c>
      <x:c r="F3292" s="34" t="n">
        <x:v>97</x:v>
      </x:c>
      <x:c r="G3292" s="34" t="str">
        <x:v>RECORDED</x:v>
      </x:c>
      <x:c r="H3292" s="38" t="n">
        <x:f>IF(ISNUMBER('Data'!H1584),'Data'!H1584*100,"")</x:f>
        <x:v>51.55</x:v>
      </x:c>
      <x:c r="I3292" s="34" t="str">
        <x:v>PASS</x:v>
      </x:c>
      <x:c r="J3292" s="34" t="str">
        <x:v>PASS</x:v>
      </x:c>
      <x:c r="K3292" s="34" t="str">
        <x:v>PASS</x:v>
      </x:c>
      <x:c r="L3292" s="34" t="str">
        <x:v>PASS</x:v>
      </x:c>
      <x:c r="M3292" s="34" t="str">
        <x:v>numeric coverage for applicable metric</x:v>
      </x:c>
      <x:c r="N3292" s="34" t="str">
        <x:v>Feedback-Directed Random Test Generation/Result_Round2/Math_45/result.json</x:v>
      </x:c>
      <x:c r="O3292" s="38" t="n">
        <x:f>IF(AND(G3292="RECORDED",ISNUMBER(H3292)),H3292,"")</x:f>
        <x:v>51.55</x:v>
      </x:c>
      <x:c r="P3292" s="34" t="str">
        <x:v>NOT_REVEALING</x:v>
      </x:c>
      <x:c r="Q3292" s="34" t="str">
        <x:v>Feedback-Directed Random Test Generation/Result_Round2/Math_45/result.json</x:v>
      </x:c>
    </x:row>
    <x:row r="3293">
      <x:c r="A3293" s="34" t="str">
        <x:v>randoop</x:v>
      </x:c>
      <x:c r="B3293" s="34" t="str">
        <x:v>Math</x:v>
      </x:c>
      <x:c r="C3293" s="34" t="str">
        <x:v>Round2</x:v>
      </x:c>
      <x:c r="D3293" s="34" t="str">
        <x:v>Math_46</x:v>
      </x:c>
      <x:c r="E3293" s="34" t="str">
        <x:v>Line</x:v>
      </x:c>
      <x:c r="F3293" s="34" t="n">
        <x:v>202</x:v>
      </x:c>
      <x:c r="G3293" s="34" t="str">
        <x:v>RECORDED</x:v>
      </x:c>
      <x:c r="H3293" s="38" t="n">
        <x:f>IF(ISNUMBER('Data'!H1585),'Data'!H1585*100,"")</x:f>
        <x:v>97.52</x:v>
      </x:c>
      <x:c r="I3293" s="34" t="str">
        <x:v>PASS</x:v>
      </x:c>
      <x:c r="J3293" s="34" t="str">
        <x:v>PASS</x:v>
      </x:c>
      <x:c r="K3293" s="34" t="str">
        <x:v>PASS</x:v>
      </x:c>
      <x:c r="L3293" s="34" t="str">
        <x:v>FAIL</x:v>
      </x:c>
      <x:c r="M3293" s="34" t="str">
        <x:v>numeric coverage for applicable metric</x:v>
      </x:c>
      <x:c r="N3293" s="34" t="str">
        <x:v>Feedback-Directed Random Test Generation/Result_Round2/Math_46/result.json</x:v>
      </x:c>
      <x:c r="O3293" s="38" t="n">
        <x:f>IF(AND(G3293="RECORDED",ISNUMBER(H3293)),H3293,"")</x:f>
        <x:v>97.52</x:v>
      </x:c>
      <x:c r="P3293" s="34" t="str">
        <x:v>INCONCLUSIVE</x:v>
      </x:c>
      <x:c r="Q3293" s="34" t="str">
        <x:v>Feedback-Directed Random Test Generation/Result_Round2/Math_46/result.json</x:v>
      </x:c>
    </x:row>
    <x:row r="3294">
      <x:c r="A3294" s="34" t="str">
        <x:v>randoop</x:v>
      </x:c>
      <x:c r="B3294" s="34" t="str">
        <x:v>Math</x:v>
      </x:c>
      <x:c r="C3294" s="34" t="str">
        <x:v>Round2</x:v>
      </x:c>
      <x:c r="D3294" s="34" t="str">
        <x:v>Math_47</x:v>
      </x:c>
      <x:c r="E3294" s="34" t="str">
        <x:v>Line</x:v>
      </x:c>
      <x:c r="F3294" s="34" t="n">
        <x:v>201</x:v>
      </x:c>
      <x:c r="G3294" s="34" t="str">
        <x:v>RECORDED</x:v>
      </x:c>
      <x:c r="H3294" s="38" t="n">
        <x:f>IF(ISNUMBER('Data'!H1586),'Data'!H1586*100,"")</x:f>
        <x:v>98.01</x:v>
      </x:c>
      <x:c r="I3294" s="34" t="str">
        <x:v>PASS</x:v>
      </x:c>
      <x:c r="J3294" s="34" t="str">
        <x:v>PASS</x:v>
      </x:c>
      <x:c r="K3294" s="34" t="str">
        <x:v>PASS</x:v>
      </x:c>
      <x:c r="L3294" s="34" t="str">
        <x:v>FAIL</x:v>
      </x:c>
      <x:c r="M3294" s="34" t="str">
        <x:v>numeric coverage for applicable metric</x:v>
      </x:c>
      <x:c r="N3294" s="34" t="str">
        <x:v>Feedback-Directed Random Test Generation/Result_Round2/Math_47/result.json</x:v>
      </x:c>
      <x:c r="O3294" s="38" t="n">
        <x:f>IF(AND(G3294="RECORDED",ISNUMBER(H3294)),H3294,"")</x:f>
        <x:v>98.01</x:v>
      </x:c>
      <x:c r="P3294" s="34" t="str">
        <x:v>INCONCLUSIVE</x:v>
      </x:c>
      <x:c r="Q3294" s="34" t="str">
        <x:v>Feedback-Directed Random Test Generation/Result_Round2/Math_47/result.json</x:v>
      </x:c>
    </x:row>
    <x:row r="3295">
      <x:c r="A3295" s="34" t="str">
        <x:v>randoop</x:v>
      </x:c>
      <x:c r="B3295" s="34" t="str">
        <x:v>Math</x:v>
      </x:c>
      <x:c r="C3295" s="34" t="str">
        <x:v>Round2</x:v>
      </x:c>
      <x:c r="D3295" s="34" t="str">
        <x:v>Math_48</x:v>
      </x:c>
      <x:c r="E3295" s="34" t="str">
        <x:v>Line</x:v>
      </x:c>
      <x:c r="F3295" s="34" t="n">
        <x:v>73</x:v>
      </x:c>
      <x:c r="G3295" s="34" t="str">
        <x:v>RECORDED</x:v>
      </x:c>
      <x:c r="H3295" s="38" t="n">
        <x:f>IF(ISNUMBER('Data'!H1587),'Data'!H1587*100,"")</x:f>
        <x:v>5.48</x:v>
      </x:c>
      <x:c r="I3295" s="34" t="str">
        <x:v>PASS</x:v>
      </x:c>
      <x:c r="J3295" s="34" t="str">
        <x:v>PASS</x:v>
      </x:c>
      <x:c r="K3295" s="34" t="str">
        <x:v>PASS</x:v>
      </x:c>
      <x:c r="L3295" s="34" t="str">
        <x:v>PASS</x:v>
      </x:c>
      <x:c r="M3295" s="34" t="str">
        <x:v>numeric coverage for applicable metric</x:v>
      </x:c>
      <x:c r="N3295" s="34" t="str">
        <x:v>Feedback-Directed Random Test Generation/Result_Round2/Math_48/result.json</x:v>
      </x:c>
      <x:c r="O3295" s="38" t="n">
        <x:f>IF(AND(G3295="RECORDED",ISNUMBER(H3295)),H3295,"")</x:f>
        <x:v>5.48</x:v>
      </x:c>
      <x:c r="P3295" s="34" t="str">
        <x:v>NOT_REVEALING</x:v>
      </x:c>
      <x:c r="Q3295" s="34" t="str">
        <x:v>Feedback-Directed Random Test Generation/Result_Round2/Math_48/result.json</x:v>
      </x:c>
    </x:row>
    <x:row r="3296">
      <x:c r="A3296" s="34" t="str">
        <x:v>randoop</x:v>
      </x:c>
      <x:c r="B3296" s="34" t="str">
        <x:v>Math</x:v>
      </x:c>
      <x:c r="C3296" s="34" t="str">
        <x:v>Round2</x:v>
      </x:c>
      <x:c r="D3296" s="34" t="str">
        <x:v>Math_49</x:v>
      </x:c>
      <x:c r="E3296" s="34" t="str">
        <x:v>Line</x:v>
      </x:c>
      <x:c r="F3296" s="34" t="n">
        <x:v>378</x:v>
      </x:c>
      <x:c r="G3296" s="34" t="str">
        <x:v>RECORDED</x:v>
      </x:c>
      <x:c r="H3296" s="38" t="n">
        <x:f>IF(ISNUMBER('Data'!H1588),'Data'!H1588*100,"")</x:f>
        <x:v>81.75</x:v>
      </x:c>
      <x:c r="I3296" s="34" t="str">
        <x:v>PASS</x:v>
      </x:c>
      <x:c r="J3296" s="34" t="str">
        <x:v>PASS</x:v>
      </x:c>
      <x:c r="K3296" s="34" t="str">
        <x:v>PASS</x:v>
      </x:c>
      <x:c r="L3296" s="34" t="str">
        <x:v>FAIL</x:v>
      </x:c>
      <x:c r="M3296" s="34" t="str">
        <x:v>numeric coverage for applicable metric</x:v>
      </x:c>
      <x:c r="N3296" s="34" t="str">
        <x:v>Feedback-Directed Random Test Generation/Result_Round2/Math_49/result.json</x:v>
      </x:c>
      <x:c r="O3296" s="38" t="n">
        <x:f>IF(AND(G3296="RECORDED",ISNUMBER(H3296)),H3296,"")</x:f>
        <x:v>81.75</x:v>
      </x:c>
      <x:c r="P3296" s="34" t="str">
        <x:v>INCONCLUSIVE</x:v>
      </x:c>
      <x:c r="Q3296" s="34" t="str">
        <x:v>Feedback-Directed Random Test Generation/Result_Round2/Math_49/result.json</x:v>
      </x:c>
    </x:row>
    <x:row r="3297">
      <x:c r="A3297" s="34" t="str">
        <x:v>randoop</x:v>
      </x:c>
      <x:c r="B3297" s="34" t="str">
        <x:v>Math</x:v>
      </x:c>
      <x:c r="C3297" s="34" t="str">
        <x:v>Round2</x:v>
      </x:c>
      <x:c r="D3297" s="34" t="str">
        <x:v>Math_50</x:v>
      </x:c>
      <x:c r="E3297" s="34" t="str">
        <x:v>Line</x:v>
      </x:c>
      <x:c r="F3297" s="34" t="n">
        <x:v>75</x:v>
      </x:c>
      <x:c r="G3297" s="34" t="str">
        <x:v>RECORDED</x:v>
      </x:c>
      <x:c r="H3297" s="38" t="n">
        <x:f>IF(ISNUMBER('Data'!H1589),'Data'!H1589*100,"")</x:f>
        <x:v>5.33</x:v>
      </x:c>
      <x:c r="I3297" s="34" t="str">
        <x:v>PASS</x:v>
      </x:c>
      <x:c r="J3297" s="34" t="str">
        <x:v>PASS</x:v>
      </x:c>
      <x:c r="K3297" s="34" t="str">
        <x:v>PASS</x:v>
      </x:c>
      <x:c r="L3297" s="34" t="str">
        <x:v>PASS</x:v>
      </x:c>
      <x:c r="M3297" s="34" t="str">
        <x:v>numeric coverage for applicable metric</x:v>
      </x:c>
      <x:c r="N3297" s="34" t="str">
        <x:v>Feedback-Directed Random Test Generation/Result_Round2/Math_50/result.json</x:v>
      </x:c>
      <x:c r="O3297" s="38" t="n">
        <x:f>IF(AND(G3297="RECORDED",ISNUMBER(H3297)),H3297,"")</x:f>
        <x:v>5.33</x:v>
      </x:c>
      <x:c r="P3297" s="34" t="str">
        <x:v>NOT_REVEALING</x:v>
      </x:c>
      <x:c r="Q3297" s="34" t="str">
        <x:v>Feedback-Directed Random Test Generation/Result_Round2/Math_50/result.json</x:v>
      </x:c>
    </x:row>
    <x:row r="3298">
      <x:c r="A3298" s="34" t="str">
        <x:v>randoop</x:v>
      </x:c>
      <x:c r="B3298" s="34" t="str">
        <x:v>Math</x:v>
      </x:c>
      <x:c r="C3298" s="34" t="str">
        <x:v>Round2</x:v>
      </x:c>
      <x:c r="D3298" s="34" t="str">
        <x:v>Math_51</x:v>
      </x:c>
      <x:c r="E3298" s="34" t="str">
        <x:v>Line</x:v>
      </x:c>
      <x:c r="F3298" s="34" t="n">
        <x:v>71</x:v>
      </x:c>
      <x:c r="G3298" s="34" t="str">
        <x:v>RECORDED</x:v>
      </x:c>
      <x:c r="H3298" s="38" t="n">
        <x:f>IF(ISNUMBER('Data'!H1590),'Data'!H1590*100,"")</x:f>
        <x:v>5.63</x:v>
      </x:c>
      <x:c r="I3298" s="34" t="str">
        <x:v>PASS</x:v>
      </x:c>
      <x:c r="J3298" s="34" t="str">
        <x:v>PASS</x:v>
      </x:c>
      <x:c r="K3298" s="34" t="str">
        <x:v>PASS</x:v>
      </x:c>
      <x:c r="L3298" s="34" t="str">
        <x:v>PASS</x:v>
      </x:c>
      <x:c r="M3298" s="34" t="str">
        <x:v>numeric coverage for applicable metric</x:v>
      </x:c>
      <x:c r="N3298" s="34" t="str">
        <x:v>Feedback-Directed Random Test Generation/Result_Round2/Math_51/result.json</x:v>
      </x:c>
      <x:c r="O3298" s="38" t="n">
        <x:f>IF(AND(G3298="RECORDED",ISNUMBER(H3298)),H3298,"")</x:f>
        <x:v>5.63</x:v>
      </x:c>
      <x:c r="P3298" s="34" t="str">
        <x:v>NOT_REVEALING</x:v>
      </x:c>
      <x:c r="Q3298" s="34" t="str">
        <x:v>Feedback-Directed Random Test Generation/Result_Round2/Math_51/result.json</x:v>
      </x:c>
    </x:row>
    <x:row r="3299">
      <x:c r="A3299" s="34" t="str">
        <x:v>randoop</x:v>
      </x:c>
      <x:c r="B3299" s="34" t="str">
        <x:v>Math</x:v>
      </x:c>
      <x:c r="C3299" s="34" t="str">
        <x:v>Round2</x:v>
      </x:c>
      <x:c r="D3299" s="34" t="str">
        <x:v>Math_52</x:v>
      </x:c>
      <x:c r="E3299" s="34" t="str">
        <x:v>Line</x:v>
      </x:c>
      <x:c r="F3299" s="34" t="n">
        <x:v>367</x:v>
      </x:c>
      <x:c r="G3299" s="34" t="str">
        <x:v>RECORDED</x:v>
      </x:c>
      <x:c r="H3299" s="38" t="n">
        <x:f>IF(ISNUMBER('Data'!H1591),'Data'!H1591*100,"")</x:f>
        <x:v>68.12</x:v>
      </x:c>
      <x:c r="I3299" s="34" t="str">
        <x:v>PASS</x:v>
      </x:c>
      <x:c r="J3299" s="34" t="str">
        <x:v>PASS</x:v>
      </x:c>
      <x:c r="K3299" s="34" t="str">
        <x:v>PASS</x:v>
      </x:c>
      <x:c r="L3299" s="34" t="str">
        <x:v>FAIL</x:v>
      </x:c>
      <x:c r="M3299" s="34" t="str">
        <x:v>numeric coverage for applicable metric</x:v>
      </x:c>
      <x:c r="N3299" s="34" t="str">
        <x:v>Feedback-Directed Random Test Generation/Result_Round2/Math_52/result.json</x:v>
      </x:c>
      <x:c r="O3299" s="38" t="n">
        <x:f>IF(AND(G3299="RECORDED",ISNUMBER(H3299)),H3299,"")</x:f>
        <x:v>68.12</x:v>
      </x:c>
      <x:c r="P3299" s="34" t="str">
        <x:v>INCONCLUSIVE</x:v>
      </x:c>
      <x:c r="Q3299" s="34" t="str">
        <x:v>Feedback-Directed Random Test Generation/Result_Round2/Math_52/result.json</x:v>
      </x:c>
    </x:row>
    <x:row r="3300">
      <x:c r="A3300" s="34" t="str">
        <x:v>randoop</x:v>
      </x:c>
      <x:c r="B3300" s="34" t="str">
        <x:v>Math</x:v>
      </x:c>
      <x:c r="C3300" s="34" t="str">
        <x:v>Round2</x:v>
      </x:c>
      <x:c r="D3300" s="34" t="str">
        <x:v>Math_53</x:v>
      </x:c>
      <x:c r="E3300" s="34" t="str">
        <x:v>Line</x:v>
      </x:c>
      <x:c r="F3300" s="34" t="n">
        <x:v>170</x:v>
      </x:c>
      <x:c r="G3300" s="34" t="str">
        <x:v>RECORDED</x:v>
      </x:c>
      <x:c r="H3300" s="38" t="n">
        <x:f>IF(ISNUMBER('Data'!H1592),'Data'!H1592*100,"")</x:f>
        <x:v>98.24</x:v>
      </x:c>
      <x:c r="I3300" s="34" t="str">
        <x:v>PASS</x:v>
      </x:c>
      <x:c r="J3300" s="34" t="str">
        <x:v>PASS</x:v>
      </x:c>
      <x:c r="K3300" s="34" t="str">
        <x:v>PASS</x:v>
      </x:c>
      <x:c r="L3300" s="34" t="str">
        <x:v>FAIL</x:v>
      </x:c>
      <x:c r="M3300" s="34" t="str">
        <x:v>numeric coverage for applicable metric</x:v>
      </x:c>
      <x:c r="N3300" s="34" t="str">
        <x:v>Feedback-Directed Random Test Generation/Result_Round2/Math_53/result.json</x:v>
      </x:c>
      <x:c r="O3300" s="38" t="n">
        <x:f>IF(AND(G3300="RECORDED",ISNUMBER(H3300)),H3300,"")</x:f>
        <x:v>98.24</x:v>
      </x:c>
      <x:c r="P3300" s="34" t="str">
        <x:v>INCONCLUSIVE</x:v>
      </x:c>
      <x:c r="Q3300" s="34" t="str">
        <x:v>Feedback-Directed Random Test Generation/Result_Round2/Math_53/result.json</x:v>
      </x:c>
    </x:row>
    <x:row r="3301">
      <x:c r="A3301" s="34" t="str">
        <x:v>randoop</x:v>
      </x:c>
      <x:c r="B3301" s="34" t="str">
        <x:v>Math</x:v>
      </x:c>
      <x:c r="C3301" s="34" t="str">
        <x:v>Round2</x:v>
      </x:c>
      <x:c r="D3301" s="34" t="str">
        <x:v>Math_54</x:v>
      </x:c>
      <x:c r="E3301" s="34" t="str">
        <x:v>Line</x:v>
      </x:c>
      <x:c r="F3301" s="34" t="n">
        <x:v>996</x:v>
      </x:c>
      <x:c r="G3301" s="34" t="str">
        <x:v>RECORDED</x:v>
      </x:c>
      <x:c r="H3301" s="38" t="n">
        <x:f>IF(ISNUMBER('Data'!H1593),'Data'!H1593*100,"")</x:f>
        <x:v>1.6099999999999999</x:v>
      </x:c>
      <x:c r="I3301" s="34" t="str">
        <x:v>PASS</x:v>
      </x:c>
      <x:c r="J3301" s="34" t="str">
        <x:v>PASS</x:v>
      </x:c>
      <x:c r="K3301" s="34" t="str">
        <x:v>PASS</x:v>
      </x:c>
      <x:c r="L3301" s="34" t="str">
        <x:v>PASS</x:v>
      </x:c>
      <x:c r="M3301" s="34" t="str">
        <x:v>numeric coverage for applicable metric</x:v>
      </x:c>
      <x:c r="N3301" s="34" t="str">
        <x:v>Feedback-Directed Random Test Generation/Result_Round2/Math_54/result.json</x:v>
      </x:c>
      <x:c r="O3301" s="38" t="n">
        <x:f>IF(AND(G3301="RECORDED",ISNUMBER(H3301)),H3301,"")</x:f>
        <x:v>1.6099999999999999</x:v>
      </x:c>
      <x:c r="P3301" s="34" t="str">
        <x:v>NOT_REVEALING</x:v>
      </x:c>
      <x:c r="Q3301" s="34" t="str">
        <x:v>Feedback-Directed Random Test Generation/Result_Round2/Math_54/result.json</x:v>
      </x:c>
    </x:row>
    <x:row r="3302">
      <x:c r="A3302" s="34" t="str">
        <x:v>randoop</x:v>
      </x:c>
      <x:c r="B3302" s="34" t="str">
        <x:v>Math</x:v>
      </x:c>
      <x:c r="C3302" s="34" t="str">
        <x:v>Round2</x:v>
      </x:c>
      <x:c r="D3302" s="34" t="str">
        <x:v>Math_55</x:v>
      </x:c>
      <x:c r="E3302" s="34" t="str">
        <x:v>Line</x:v>
      </x:c>
      <x:c r="F3302" s="34" t="n">
        <x:v>116</x:v>
      </x:c>
      <x:c r="G3302" s="34" t="str">
        <x:v>RECORDED</x:v>
      </x:c>
      <x:c r="H3302" s="38" t="n">
        <x:f>IF(ISNUMBER('Data'!H1594),'Data'!H1594*100,"")</x:f>
        <x:v>97.41</x:v>
      </x:c>
      <x:c r="I3302" s="34" t="str">
        <x:v>PASS</x:v>
      </x:c>
      <x:c r="J3302" s="34" t="str">
        <x:v>PASS</x:v>
      </x:c>
      <x:c r="K3302" s="34" t="str">
        <x:v>PASS</x:v>
      </x:c>
      <x:c r="L3302" s="34" t="str">
        <x:v>FAIL</x:v>
      </x:c>
      <x:c r="M3302" s="34" t="str">
        <x:v>numeric coverage for applicable metric</x:v>
      </x:c>
      <x:c r="N3302" s="34" t="str">
        <x:v>Feedback-Directed Random Test Generation/Result_Round2/Math_55/result.json</x:v>
      </x:c>
      <x:c r="O3302" s="38" t="n">
        <x:f>IF(AND(G3302="RECORDED",ISNUMBER(H3302)),H3302,"")</x:f>
        <x:v>97.41</x:v>
      </x:c>
      <x:c r="P3302" s="34" t="str">
        <x:v>INCONCLUSIVE</x:v>
      </x:c>
      <x:c r="Q3302" s="34" t="str">
        <x:v>Feedback-Directed Random Test Generation/Result_Round2/Math_55/result.json</x:v>
      </x:c>
    </x:row>
    <x:row r="3303">
      <x:c r="A3303" s="34" t="str">
        <x:v>randoop</x:v>
      </x:c>
      <x:c r="B3303" s="34" t="str">
        <x:v>Math</x:v>
      </x:c>
      <x:c r="C3303" s="34" t="str">
        <x:v>Round2</x:v>
      </x:c>
      <x:c r="D3303" s="34" t="str">
        <x:v>Math_56</x:v>
      </x:c>
      <x:c r="E3303" s="34" t="str">
        <x:v>Line</x:v>
      </x:c>
      <x:c r="F3303" s="34" t="n">
        <x:v>75</x:v>
      </x:c>
      <x:c r="G3303" s="34" t="str">
        <x:v>RECORDED</x:v>
      </x:c>
      <x:c r="H3303" s="38" t="n">
        <x:f>IF(ISNUMBER('Data'!H1595),'Data'!H1595*100,"")</x:f>
        <x:v>94.67</x:v>
      </x:c>
      <x:c r="I3303" s="34" t="str">
        <x:v>PASS</x:v>
      </x:c>
      <x:c r="J3303" s="34" t="str">
        <x:v>PASS</x:v>
      </x:c>
      <x:c r="K3303" s="34" t="str">
        <x:v>PASS</x:v>
      </x:c>
      <x:c r="L3303" s="34" t="str">
        <x:v>PASS</x:v>
      </x:c>
      <x:c r="M3303" s="34" t="str">
        <x:v>numeric coverage for applicable metric</x:v>
      </x:c>
      <x:c r="N3303" s="34" t="str">
        <x:v>Feedback-Directed Random Test Generation/Result_Round2/Math_56/result.json</x:v>
      </x:c>
      <x:c r="O3303" s="38" t="n">
        <x:f>IF(AND(G3303="RECORDED",ISNUMBER(H3303)),H3303,"")</x:f>
        <x:v>94.67</x:v>
      </x:c>
      <x:c r="P3303" s="34" t="str">
        <x:v>INCONCLUSIVE</x:v>
      </x:c>
      <x:c r="Q3303" s="34" t="str">
        <x:v>Feedback-Directed Random Test Generation/Result_Round2/Math_56/result.json</x:v>
      </x:c>
    </x:row>
    <x:row r="3304">
      <x:c r="A3304" s="34" t="str">
        <x:v>randoop</x:v>
      </x:c>
      <x:c r="B3304" s="34" t="str">
        <x:v>Math</x:v>
      </x:c>
      <x:c r="C3304" s="34" t="str">
        <x:v>Round2</x:v>
      </x:c>
      <x:c r="D3304" s="34" t="str">
        <x:v>Math_57</x:v>
      </x:c>
      <x:c r="E3304" s="34" t="str">
        <x:v>Line</x:v>
      </x:c>
      <x:c r="F3304" s="34" t="n">
        <x:v>120</x:v>
      </x:c>
      <x:c r="G3304" s="34" t="str">
        <x:v>RECORDED</x:v>
      </x:c>
      <x:c r="H3304" s="38" t="n">
        <x:f>IF(ISNUMBER('Data'!H1596),'Data'!H1596*100,"")</x:f>
        <x:v>4.17</x:v>
      </x:c>
      <x:c r="I3304" s="34" t="str">
        <x:v>PASS</x:v>
      </x:c>
      <x:c r="J3304" s="34" t="str">
        <x:v>PASS</x:v>
      </x:c>
      <x:c r="K3304" s="34" t="str">
        <x:v>PASS</x:v>
      </x:c>
      <x:c r="L3304" s="34" t="str">
        <x:v>PASS</x:v>
      </x:c>
      <x:c r="M3304" s="34" t="str">
        <x:v>numeric coverage for applicable metric</x:v>
      </x:c>
      <x:c r="N3304" s="34" t="str">
        <x:v>Feedback-Directed Random Test Generation/Result_Round2/Math_57/result.json</x:v>
      </x:c>
      <x:c r="O3304" s="38" t="n">
        <x:f>IF(AND(G3304="RECORDED",ISNUMBER(H3304)),H3304,"")</x:f>
        <x:v>4.17</x:v>
      </x:c>
      <x:c r="P3304" s="34" t="str">
        <x:v>NOT_REVEALING</x:v>
      </x:c>
      <x:c r="Q3304" s="34" t="str">
        <x:v>Feedback-Directed Random Test Generation/Result_Round2/Math_57/result.json</x:v>
      </x:c>
    </x:row>
    <x:row r="3305">
      <x:c r="A3305" s="34" t="str">
        <x:v>randoop</x:v>
      </x:c>
      <x:c r="B3305" s="34" t="str">
        <x:v>Math</x:v>
      </x:c>
      <x:c r="C3305" s="34" t="str">
        <x:v>Round2</x:v>
      </x:c>
      <x:c r="D3305" s="34" t="str">
        <x:v>Math_58</x:v>
      </x:c>
      <x:c r="E3305" s="34" t="str">
        <x:v>Line</x:v>
      </x:c>
      <x:c r="F3305" s="34" t="n">
        <x:v>96</x:v>
      </x:c>
      <x:c r="G3305" s="34" t="str">
        <x:v>RECORDED</x:v>
      </x:c>
      <x:c r="H3305" s="38" t="n">
        <x:f>IF(ISNUMBER('Data'!H1597),'Data'!H1597*100,"")</x:f>
        <x:v>87.5</x:v>
      </x:c>
      <x:c r="I3305" s="34" t="str">
        <x:v>PASS</x:v>
      </x:c>
      <x:c r="J3305" s="34" t="str">
        <x:v>PASS</x:v>
      </x:c>
      <x:c r="K3305" s="34" t="str">
        <x:v>PASS</x:v>
      </x:c>
      <x:c r="L3305" s="34" t="str">
        <x:v>PASS</x:v>
      </x:c>
      <x:c r="M3305" s="34" t="str">
        <x:v>numeric coverage for applicable metric</x:v>
      </x:c>
      <x:c r="N3305" s="34" t="str">
        <x:v>Feedback-Directed Random Test Generation/Result_Round2/Math_58/result.json</x:v>
      </x:c>
      <x:c r="O3305" s="38" t="n">
        <x:f>IF(AND(G3305="RECORDED",ISNUMBER(H3305)),H3305,"")</x:f>
        <x:v>87.5</x:v>
      </x:c>
      <x:c r="P3305" s="34" t="str">
        <x:v>NOT_REVEALING</x:v>
      </x:c>
      <x:c r="Q3305" s="34" t="str">
        <x:v>Feedback-Directed Random Test Generation/Result_Round2/Math_58/result.json</x:v>
      </x:c>
    </x:row>
    <x:row r="3306">
      <x:c r="A3306" s="34" t="str">
        <x:v>randoop</x:v>
      </x:c>
      <x:c r="B3306" s="34" t="str">
        <x:v>Math</x:v>
      </x:c>
      <x:c r="C3306" s="34" t="str">
        <x:v>Round2</x:v>
      </x:c>
      <x:c r="D3306" s="34" t="str">
        <x:v>Math_59</x:v>
      </x:c>
      <x:c r="E3306" s="34" t="str">
        <x:v>Line</x:v>
      </x:c>
      <x:c r="F3306" s="34" t="n">
        <x:v>1549</x:v>
      </x:c>
      <x:c r="G3306" s="34" t="str">
        <x:v>RECORDED</x:v>
      </x:c>
      <x:c r="H3306" s="38" t="n">
        <x:f>IF(ISNUMBER('Data'!H1598),'Data'!H1598*100,"")</x:f>
        <x:v>93.67</x:v>
      </x:c>
      <x:c r="I3306" s="34" t="str">
        <x:v>PASS</x:v>
      </x:c>
      <x:c r="J3306" s="34" t="str">
        <x:v>PASS</x:v>
      </x:c>
      <x:c r="K3306" s="34" t="str">
        <x:v>PASS</x:v>
      </x:c>
      <x:c r="L3306" s="34" t="str">
        <x:v>PASS</x:v>
      </x:c>
      <x:c r="M3306" s="34" t="str">
        <x:v>numeric coverage for applicable metric</x:v>
      </x:c>
      <x:c r="N3306" s="34" t="str">
        <x:v>Feedback-Directed Random Test Generation/Result_Round2/Math_59/result.json</x:v>
      </x:c>
      <x:c r="O3306" s="38" t="n">
        <x:f>IF(AND(G3306="RECORDED",ISNUMBER(H3306)),H3306,"")</x:f>
        <x:v>93.67</x:v>
      </x:c>
      <x:c r="P3306" s="34" t="str">
        <x:v>INCONCLUSIVE</x:v>
      </x:c>
      <x:c r="Q3306" s="34" t="str">
        <x:v>Feedback-Directed Random Test Generation/Result_Round2/Math_59/result.json</x:v>
      </x:c>
    </x:row>
    <x:row r="3307">
      <x:c r="A3307" s="34" t="str">
        <x:v>randoop</x:v>
      </x:c>
      <x:c r="B3307" s="34" t="str">
        <x:v>Math</x:v>
      </x:c>
      <x:c r="C3307" s="34" t="str">
        <x:v>Round2</x:v>
      </x:c>
      <x:c r="D3307" s="34" t="str">
        <x:v>Math_60</x:v>
      </x:c>
      <x:c r="E3307" s="34" t="str">
        <x:v>Line</x:v>
      </x:c>
      <x:c r="F3307" s="34" t="n">
        <x:v>0</x:v>
      </x:c>
      <x:c r="G3307" s="34" t="str">
        <x:v>A</x:v>
      </x:c>
      <x:c r="H3307" s="38" t="str">
        <x:f>IF(ISNUMBER('Data'!H1599),'Data'!H1599*100,"")</x:f>
      </x:c>
      <x:c r="I3307" s="34"/>
      <x:c r="J3307" s="34"/>
      <x:c r="K3307" s="34"/>
      <x:c r="L3307" s="34" t="str">
        <x:v>NOT_RUN</x:v>
      </x:c>
      <x:c r="M3307" s="34" t="str">
        <x:v>Latest same-round generation failed; older files/results are excluded</x:v>
      </x:c>
      <x:c r="N3307" s="34" t="str">
        <x:v>Feedback-Directed Random Test Generation/report_Round2.csv</x:v>
      </x:c>
      <x:c r="O3307" s="38" t="str">
        <x:f>IF(AND(G3307="RECORDED",ISNUMBER(H3307)),H3307,"")</x:f>
      </x:c>
      <x:c r="P3307" s="34" t="str">
        <x:v>FAIL</x:v>
      </x:c>
      <x:c r="Q3307" s="34"/>
    </x:row>
    <x:row r="3308">
      <x:c r="A3308" s="34" t="str">
        <x:v>randoop</x:v>
      </x:c>
      <x:c r="B3308" s="34" t="str">
        <x:v>Math</x:v>
      </x:c>
      <x:c r="C3308" s="34" t="str">
        <x:v>Round2</x:v>
      </x:c>
      <x:c r="D3308" s="34" t="str">
        <x:v>Math_61</x:v>
      </x:c>
      <x:c r="E3308" s="34" t="str">
        <x:v>Line</x:v>
      </x:c>
      <x:c r="F3308" s="34" t="n">
        <x:v>34</x:v>
      </x:c>
      <x:c r="G3308" s="34" t="str">
        <x:v>RECORDED</x:v>
      </x:c>
      <x:c r="H3308" s="38" t="n">
        <x:f>IF(ISNUMBER('Data'!H1600),'Data'!H1600*100,"")</x:f>
        <x:v>100</x:v>
      </x:c>
      <x:c r="I3308" s="34" t="str">
        <x:v>PASS</x:v>
      </x:c>
      <x:c r="J3308" s="34" t="str">
        <x:v>PASS</x:v>
      </x:c>
      <x:c r="K3308" s="34" t="str">
        <x:v>PASS</x:v>
      </x:c>
      <x:c r="L3308" s="34" t="str">
        <x:v>FAIL</x:v>
      </x:c>
      <x:c r="M3308" s="34" t="str">
        <x:v>numeric coverage for applicable metric</x:v>
      </x:c>
      <x:c r="N3308" s="34" t="str">
        <x:v>Feedback-Directed Random Test Generation/Result_Round2/Math_61/result.json</x:v>
      </x:c>
      <x:c r="O3308" s="38" t="n">
        <x:f>IF(AND(G3308="RECORDED",ISNUMBER(H3308)),H3308,"")</x:f>
        <x:v>100</x:v>
      </x:c>
      <x:c r="P3308" s="34" t="str">
        <x:v>INCONCLUSIVE</x:v>
      </x:c>
      <x:c r="Q3308" s="34" t="str">
        <x:v>Feedback-Directed Random Test Generation/Result_Round2/Math_61/result.json</x:v>
      </x:c>
    </x:row>
    <x:row r="3309">
      <x:c r="A3309" s="34" t="str">
        <x:v>randoop</x:v>
      </x:c>
      <x:c r="B3309" s="34" t="str">
        <x:v>Math</x:v>
      </x:c>
      <x:c r="C3309" s="34" t="str">
        <x:v>Round2</x:v>
      </x:c>
      <x:c r="D3309" s="34" t="str">
        <x:v>Math_62</x:v>
      </x:c>
      <x:c r="E3309" s="34" t="str">
        <x:v>Line</x:v>
      </x:c>
      <x:c r="F3309" s="34" t="n">
        <x:v>47</x:v>
      </x:c>
      <x:c r="G3309" s="34" t="str">
        <x:v>RECORDED</x:v>
      </x:c>
      <x:c r="H3309" s="38" t="n">
        <x:f>IF(ISNUMBER('Data'!H1601),'Data'!H1601*100,"")</x:f>
        <x:v>0</x:v>
      </x:c>
      <x:c r="I3309" s="34" t="str">
        <x:v>PASS</x:v>
      </x:c>
      <x:c r="J3309" s="34" t="str">
        <x:v>PASS</x:v>
      </x:c>
      <x:c r="K3309" s="34" t="str">
        <x:v>PASS</x:v>
      </x:c>
      <x:c r="L3309" s="34" t="str">
        <x:v>PASS</x:v>
      </x:c>
      <x:c r="M3309" s="34" t="str">
        <x:v>numeric coverage for applicable metric</x:v>
      </x:c>
      <x:c r="N3309" s="34" t="str">
        <x:v>Feedback-Directed Random Test Generation/Result_Round2/Math_62/result.json</x:v>
      </x:c>
      <x:c r="O3309" s="38" t="n">
        <x:f>IF(AND(G3309="RECORDED",ISNUMBER(H3309)),H3309,"")</x:f>
        <x:v>0</x:v>
      </x:c>
      <x:c r="P3309" s="34" t="str">
        <x:v>NOT_REVEALING</x:v>
      </x:c>
      <x:c r="Q3309" s="34" t="str">
        <x:v>Feedback-Directed Random Test Generation/Result_Round2/Math_62/result.json</x:v>
      </x:c>
    </x:row>
    <x:row r="3310">
      <x:c r="A3310" s="34" t="str">
        <x:v>randoop</x:v>
      </x:c>
      <x:c r="B3310" s="34" t="str">
        <x:v>Math</x:v>
      </x:c>
      <x:c r="C3310" s="34" t="str">
        <x:v>Round2</x:v>
      </x:c>
      <x:c r="D3310" s="34" t="str">
        <x:v>Math_63</x:v>
      </x:c>
      <x:c r="E3310" s="34" t="str">
        <x:v>Line</x:v>
      </x:c>
      <x:c r="F3310" s="34" t="n">
        <x:v>0</x:v>
      </x:c>
      <x:c r="G3310" s="34" t="str">
        <x:v>A</x:v>
      </x:c>
      <x:c r="H3310" s="38" t="str">
        <x:f>IF(ISNUMBER('Data'!H1602),'Data'!H1602*100,"")</x:f>
      </x:c>
      <x:c r="I3310" s="34"/>
      <x:c r="J3310" s="34"/>
      <x:c r="K3310" s="34"/>
      <x:c r="L3310" s="34" t="str">
        <x:v>NOT_RUN</x:v>
      </x:c>
      <x:c r="M3310" s="34" t="str">
        <x:v>Latest same-round generation failed; older files/results are excluded</x:v>
      </x:c>
      <x:c r="N3310" s="34" t="str">
        <x:v>Feedback-Directed Random Test Generation/report_Round2.csv</x:v>
      </x:c>
      <x:c r="O3310" s="38" t="str">
        <x:f>IF(AND(G3310="RECORDED",ISNUMBER(H3310)),H3310,"")</x:f>
      </x:c>
      <x:c r="P3310" s="34" t="str">
        <x:v>FAIL</x:v>
      </x:c>
      <x:c r="Q3310" s="34"/>
    </x:row>
    <x:row r="3311">
      <x:c r="A3311" s="34" t="str">
        <x:v>randoop</x:v>
      </x:c>
      <x:c r="B3311" s="34" t="str">
        <x:v>Math</x:v>
      </x:c>
      <x:c r="C3311" s="34" t="str">
        <x:v>Round2</x:v>
      </x:c>
      <x:c r="D3311" s="34" t="str">
        <x:v>Math_64</x:v>
      </x:c>
      <x:c r="E3311" s="34" t="str">
        <x:v>Line</x:v>
      </x:c>
      <x:c r="F3311" s="34" t="n">
        <x:v>342</x:v>
      </x:c>
      <x:c r="G3311" s="34" t="str">
        <x:v>RECORDED</x:v>
      </x:c>
      <x:c r="H3311" s="38" t="n">
        <x:f>IF(ISNUMBER('Data'!H1603),'Data'!H1603*100,"")</x:f>
        <x:v>9.94</x:v>
      </x:c>
      <x:c r="I3311" s="34" t="str">
        <x:v>PASS</x:v>
      </x:c>
      <x:c r="J3311" s="34" t="str">
        <x:v>PASS</x:v>
      </x:c>
      <x:c r="K3311" s="34" t="str">
        <x:v>PASS</x:v>
      </x:c>
      <x:c r="L3311" s="34" t="str">
        <x:v>FAIL</x:v>
      </x:c>
      <x:c r="M3311" s="34" t="str">
        <x:v>numeric coverage for applicable metric</x:v>
      </x:c>
      <x:c r="N3311" s="34" t="str">
        <x:v>Feedback-Directed Random Test Generation/Result_Round2/Math_64/result.json</x:v>
      </x:c>
      <x:c r="O3311" s="38" t="n">
        <x:f>IF(AND(G3311="RECORDED",ISNUMBER(H3311)),H3311,"")</x:f>
        <x:v>9.94</x:v>
      </x:c>
      <x:c r="P3311" s="34" t="str">
        <x:v>INCONCLUSIVE</x:v>
      </x:c>
      <x:c r="Q3311" s="34" t="str">
        <x:v>Feedback-Directed Random Test Generation/Result_Round2/Math_64/result.json</x:v>
      </x:c>
    </x:row>
    <x:row r="3312">
      <x:c r="A3312" s="34" t="str">
        <x:v>randoop</x:v>
      </x:c>
      <x:c r="B3312" s="34" t="str">
        <x:v>Math</x:v>
      </x:c>
      <x:c r="C3312" s="34" t="str">
        <x:v>Round2</x:v>
      </x:c>
      <x:c r="D3312" s="34" t="str">
        <x:v>Math_65</x:v>
      </x:c>
      <x:c r="E3312" s="34" t="str">
        <x:v>Line</x:v>
      </x:c>
      <x:c r="F3312" s="34" t="n">
        <x:v>96</x:v>
      </x:c>
      <x:c r="G3312" s="34" t="str">
        <x:v>RECORDED</x:v>
      </x:c>
      <x:c r="H3312" s="38" t="n">
        <x:f>IF(ISNUMBER('Data'!H1604),'Data'!H1604*100,"")</x:f>
        <x:v>0</x:v>
      </x:c>
      <x:c r="I3312" s="34" t="str">
        <x:v>PASS</x:v>
      </x:c>
      <x:c r="J3312" s="34" t="str">
        <x:v>PASS</x:v>
      </x:c>
      <x:c r="K3312" s="34" t="str">
        <x:v>PASS</x:v>
      </x:c>
      <x:c r="L3312" s="34" t="str">
        <x:v>PASS</x:v>
      </x:c>
      <x:c r="M3312" s="34" t="str">
        <x:v>numeric coverage for applicable metric</x:v>
      </x:c>
      <x:c r="N3312" s="34" t="str">
        <x:v>Feedback-Directed Random Test Generation/Result_Round2/Math_65/result.json</x:v>
      </x:c>
      <x:c r="O3312" s="38" t="n">
        <x:f>IF(AND(G3312="RECORDED",ISNUMBER(H3312)),H3312,"")</x:f>
        <x:v>0</x:v>
      </x:c>
      <x:c r="P3312" s="34" t="str">
        <x:v>NOT_REVEALING</x:v>
      </x:c>
      <x:c r="Q3312" s="34" t="str">
        <x:v>Feedback-Directed Random Test Generation/Result_Round2/Math_65/result.json</x:v>
      </x:c>
    </x:row>
    <x:row r="3313">
      <x:c r="A3313" s="34" t="str">
        <x:v>randoop</x:v>
      </x:c>
      <x:c r="B3313" s="34" t="str">
        <x:v>Math</x:v>
      </x:c>
      <x:c r="C3313" s="34" t="str">
        <x:v>Round2</x:v>
      </x:c>
      <x:c r="D3313" s="34" t="str">
        <x:v>Math_66</x:v>
      </x:c>
      <x:c r="E3313" s="34" t="str">
        <x:v>Line</x:v>
      </x:c>
      <x:c r="F3313" s="34" t="n">
        <x:v>102</x:v>
      </x:c>
      <x:c r="G3313" s="34" t="str">
        <x:v>RECORDED</x:v>
      </x:c>
      <x:c r="H3313" s="38" t="n">
        <x:f>IF(ISNUMBER('Data'!H1605),'Data'!H1605*100,"")</x:f>
        <x:v>26.47</x:v>
      </x:c>
      <x:c r="I3313" s="34" t="str">
        <x:v>PASS</x:v>
      </x:c>
      <x:c r="J3313" s="34" t="str">
        <x:v>PASS</x:v>
      </x:c>
      <x:c r="K3313" s="34" t="str">
        <x:v>PASS</x:v>
      </x:c>
      <x:c r="L3313" s="34" t="str">
        <x:v>PASS</x:v>
      </x:c>
      <x:c r="M3313" s="34" t="str">
        <x:v>numeric coverage for applicable metric</x:v>
      </x:c>
      <x:c r="N3313" s="34" t="str">
        <x:v>Feedback-Directed Random Test Generation/Result_Round2/Math_66/result.json</x:v>
      </x:c>
      <x:c r="O3313" s="38" t="n">
        <x:f>IF(AND(G3313="RECORDED",ISNUMBER(H3313)),H3313,"")</x:f>
        <x:v>26.47</x:v>
      </x:c>
      <x:c r="P3313" s="34" t="str">
        <x:v>INCONCLUSIVE</x:v>
      </x:c>
      <x:c r="Q3313" s="34" t="str">
        <x:v>Feedback-Directed Random Test Generation/Result_Round2/Math_66/result.json</x:v>
      </x:c>
    </x:row>
    <x:row r="3314">
      <x:c r="A3314" s="34" t="str">
        <x:v>randoop</x:v>
      </x:c>
      <x:c r="B3314" s="34" t="str">
        <x:v>Math</x:v>
      </x:c>
      <x:c r="C3314" s="34" t="str">
        <x:v>Round2</x:v>
      </x:c>
      <x:c r="D3314" s="34" t="str">
        <x:v>Math_67</x:v>
      </x:c>
      <x:c r="E3314" s="34" t="str">
        <x:v>Line</x:v>
      </x:c>
      <x:c r="F3314" s="34" t="n">
        <x:v>93</x:v>
      </x:c>
      <x:c r="G3314" s="34" t="str">
        <x:v>RECORDED</x:v>
      </x:c>
      <x:c r="H3314" s="38" t="n">
        <x:f>IF(ISNUMBER('Data'!H1606),'Data'!H1606*100,"")</x:f>
        <x:v>49.46</x:v>
      </x:c>
      <x:c r="I3314" s="34" t="str">
        <x:v>PASS</x:v>
      </x:c>
      <x:c r="J3314" s="34" t="str">
        <x:v>PASS</x:v>
      </x:c>
      <x:c r="K3314" s="34" t="str">
        <x:v>PASS</x:v>
      </x:c>
      <x:c r="L3314" s="34" t="str">
        <x:v>PASS</x:v>
      </x:c>
      <x:c r="M3314" s="34" t="str">
        <x:v>numeric coverage for applicable metric</x:v>
      </x:c>
      <x:c r="N3314" s="34" t="str">
        <x:v>Feedback-Directed Random Test Generation/Result_Round2/Math_67/result.json</x:v>
      </x:c>
      <x:c r="O3314" s="38" t="n">
        <x:f>IF(AND(G3314="RECORDED",ISNUMBER(H3314)),H3314,"")</x:f>
        <x:v>49.46</x:v>
      </x:c>
      <x:c r="P3314" s="34" t="str">
        <x:v>NOT_REVEALING</x:v>
      </x:c>
      <x:c r="Q3314" s="34" t="str">
        <x:v>Feedback-Directed Random Test Generation/Result_Round2/Math_67/result.json</x:v>
      </x:c>
    </x:row>
    <x:row r="3315">
      <x:c r="A3315" s="34" t="str">
        <x:v>randoop</x:v>
      </x:c>
      <x:c r="B3315" s="34" t="str">
        <x:v>Math</x:v>
      </x:c>
      <x:c r="C3315" s="34" t="str">
        <x:v>Round2</x:v>
      </x:c>
      <x:c r="D3315" s="34" t="str">
        <x:v>Math_68</x:v>
      </x:c>
      <x:c r="E3315" s="34" t="str">
        <x:v>Line</x:v>
      </x:c>
      <x:c r="F3315" s="34" t="n">
        <x:v>332</x:v>
      </x:c>
      <x:c r="G3315" s="34" t="str">
        <x:v>RECORDED</x:v>
      </x:c>
      <x:c r="H3315" s="38" t="n">
        <x:f>IF(ISNUMBER('Data'!H1607),'Data'!H1607*100,"")</x:f>
        <x:v>9.04</x:v>
      </x:c>
      <x:c r="I3315" s="34" t="str">
        <x:v>PASS</x:v>
      </x:c>
      <x:c r="J3315" s="34" t="str">
        <x:v>PASS</x:v>
      </x:c>
      <x:c r="K3315" s="34" t="str">
        <x:v>PASS</x:v>
      </x:c>
      <x:c r="L3315" s="34" t="str">
        <x:v>FAIL</x:v>
      </x:c>
      <x:c r="M3315" s="34" t="str">
        <x:v>numeric coverage for applicable metric</x:v>
      </x:c>
      <x:c r="N3315" s="34" t="str">
        <x:v>Feedback-Directed Random Test Generation/Result_Round2/Math_68/result.json</x:v>
      </x:c>
      <x:c r="O3315" s="38" t="n">
        <x:f>IF(AND(G3315="RECORDED",ISNUMBER(H3315)),H3315,"")</x:f>
        <x:v>9.04</x:v>
      </x:c>
      <x:c r="P3315" s="34" t="str">
        <x:v>INCONCLUSIVE</x:v>
      </x:c>
      <x:c r="Q3315" s="34" t="str">
        <x:v>Feedback-Directed Random Test Generation/Result_Round2/Math_68/result.json</x:v>
      </x:c>
    </x:row>
    <x:row r="3316">
      <x:c r="A3316" s="34" t="str">
        <x:v>randoop</x:v>
      </x:c>
      <x:c r="B3316" s="34" t="str">
        <x:v>Math</x:v>
      </x:c>
      <x:c r="C3316" s="34" t="str">
        <x:v>Round2</x:v>
      </x:c>
      <x:c r="D3316" s="34" t="str">
        <x:v>Math_69</x:v>
      </x:c>
      <x:c r="E3316" s="34" t="str">
        <x:v>Line</x:v>
      </x:c>
      <x:c r="F3316" s="34" t="n">
        <x:v>75</x:v>
      </x:c>
      <x:c r="G3316" s="34" t="str">
        <x:v>RECORDED</x:v>
      </x:c>
      <x:c r="H3316" s="38" t="n">
        <x:f>IF(ISNUMBER('Data'!H1608),'Data'!H1608*100,"")</x:f>
        <x:v>93.33</x:v>
      </x:c>
      <x:c r="I3316" s="34" t="str">
        <x:v>PASS</x:v>
      </x:c>
      <x:c r="J3316" s="34" t="str">
        <x:v>PASS</x:v>
      </x:c>
      <x:c r="K3316" s="34" t="str">
        <x:v>PASS</x:v>
      </x:c>
      <x:c r="L3316" s="34" t="str">
        <x:v>FAIL</x:v>
      </x:c>
      <x:c r="M3316" s="34" t="str">
        <x:v>numeric coverage for applicable metric</x:v>
      </x:c>
      <x:c r="N3316" s="34" t="str">
        <x:v>Feedback-Directed Random Test Generation/Result_Round2/Math_69/result.json</x:v>
      </x:c>
      <x:c r="O3316" s="38" t="n">
        <x:f>IF(AND(G3316="RECORDED",ISNUMBER(H3316)),H3316,"")</x:f>
        <x:v>93.33</x:v>
      </x:c>
      <x:c r="P3316" s="34" t="str">
        <x:v>INCONCLUSIVE</x:v>
      </x:c>
      <x:c r="Q3316" s="34" t="str">
        <x:v>Feedback-Directed Random Test Generation/Result_Round2/Math_69/result.json</x:v>
      </x:c>
    </x:row>
    <x:row r="3317">
      <x:c r="A3317" s="34" t="str">
        <x:v>randoop</x:v>
      </x:c>
      <x:c r="B3317" s="34" t="str">
        <x:v>Math</x:v>
      </x:c>
      <x:c r="C3317" s="34" t="str">
        <x:v>Round2</x:v>
      </x:c>
      <x:c r="D3317" s="34" t="str">
        <x:v>Math_70</x:v>
      </x:c>
      <x:c r="E3317" s="34" t="str">
        <x:v>Line</x:v>
      </x:c>
      <x:c r="F3317" s="34" t="n">
        <x:v>23</x:v>
      </x:c>
      <x:c r="G3317" s="34" t="str">
        <x:v>RECORDED</x:v>
      </x:c>
      <x:c r="H3317" s="38" t="n">
        <x:f>IF(ISNUMBER('Data'!H1609),'Data'!H1609*100,"")</x:f>
        <x:v>56.52</x:v>
      </x:c>
      <x:c r="I3317" s="34" t="str">
        <x:v>PASS</x:v>
      </x:c>
      <x:c r="J3317" s="34" t="str">
        <x:v>PASS</x:v>
      </x:c>
      <x:c r="K3317" s="34" t="str">
        <x:v>PASS</x:v>
      </x:c>
      <x:c r="L3317" s="34" t="str">
        <x:v>FAIL</x:v>
      </x:c>
      <x:c r="M3317" s="34" t="str">
        <x:v>numeric coverage for applicable metric</x:v>
      </x:c>
      <x:c r="N3317" s="34" t="str">
        <x:v>Feedback-Directed Random Test Generation/Result_Round2/Math_70/result.json</x:v>
      </x:c>
      <x:c r="O3317" s="38" t="n">
        <x:f>IF(AND(G3317="RECORDED",ISNUMBER(H3317)),H3317,"")</x:f>
        <x:v>56.52</x:v>
      </x:c>
      <x:c r="P3317" s="34" t="str">
        <x:v>INCONCLUSIVE</x:v>
      </x:c>
      <x:c r="Q3317" s="34" t="str">
        <x:v>Feedback-Directed Random Test Generation/Result_Round2/Math_70/result.json</x:v>
      </x:c>
    </x:row>
    <x:row r="3318">
      <x:c r="A3318" s="34" t="str">
        <x:v>randoop</x:v>
      </x:c>
      <x:c r="B3318" s="34" t="str">
        <x:v>Math</x:v>
      </x:c>
      <x:c r="C3318" s="34" t="str">
        <x:v>Round2</x:v>
      </x:c>
      <x:c r="D3318" s="34" t="str">
        <x:v>Math_71</x:v>
      </x:c>
      <x:c r="E3318" s="34" t="str">
        <x:v>Line</x:v>
      </x:c>
      <x:c r="F3318" s="34" t="n">
        <x:v>197</x:v>
      </x:c>
      <x:c r="G3318" s="34" t="str">
        <x:v>RECORDED</x:v>
      </x:c>
      <x:c r="H3318" s="38" t="n">
        <x:f>IF(ISNUMBER('Data'!H1610),'Data'!H1610*100,"")</x:f>
        <x:v>0</x:v>
      </x:c>
      <x:c r="I3318" s="34" t="str">
        <x:v>PASS</x:v>
      </x:c>
      <x:c r="J3318" s="34" t="str">
        <x:v>PASS</x:v>
      </x:c>
      <x:c r="K3318" s="34" t="str">
        <x:v>PASS</x:v>
      </x:c>
      <x:c r="L3318" s="34" t="str">
        <x:v>PASS</x:v>
      </x:c>
      <x:c r="M3318" s="34" t="str">
        <x:v>numeric coverage for applicable metric</x:v>
      </x:c>
      <x:c r="N3318" s="34" t="str">
        <x:v>Feedback-Directed Random Test Generation/Result_Round2/Math_71/result.json</x:v>
      </x:c>
      <x:c r="O3318" s="38" t="n">
        <x:f>IF(AND(G3318="RECORDED",ISNUMBER(H3318)),H3318,"")</x:f>
        <x:v>0</x:v>
      </x:c>
      <x:c r="P3318" s="34" t="str">
        <x:v>NOT_REVEALING</x:v>
      </x:c>
      <x:c r="Q3318" s="34" t="str">
        <x:v>Feedback-Directed Random Test Generation/Result_Round2/Math_71/result.json</x:v>
      </x:c>
    </x:row>
    <x:row r="3319">
      <x:c r="A3319" s="34" t="str">
        <x:v>randoop</x:v>
      </x:c>
      <x:c r="B3319" s="34" t="str">
        <x:v>Math</x:v>
      </x:c>
      <x:c r="C3319" s="34" t="str">
        <x:v>Round2</x:v>
      </x:c>
      <x:c r="D3319" s="34" t="str">
        <x:v>Math_72</x:v>
      </x:c>
      <x:c r="E3319" s="34" t="str">
        <x:v>Line</x:v>
      </x:c>
      <x:c r="F3319" s="34" t="n">
        <x:v>107</x:v>
      </x:c>
      <x:c r="G3319" s="34" t="str">
        <x:v>RECORDED</x:v>
      </x:c>
      <x:c r="H3319" s="38" t="n">
        <x:f>IF(ISNUMBER('Data'!H1611),'Data'!H1611*100,"")</x:f>
        <x:v>11.21</x:v>
      </x:c>
      <x:c r="I3319" s="34" t="str">
        <x:v>PASS</x:v>
      </x:c>
      <x:c r="J3319" s="34" t="str">
        <x:v>PASS</x:v>
      </x:c>
      <x:c r="K3319" s="34" t="str">
        <x:v>PASS</x:v>
      </x:c>
      <x:c r="L3319" s="34" t="str">
        <x:v>FAIL</x:v>
      </x:c>
      <x:c r="M3319" s="34" t="str">
        <x:v>numeric coverage for applicable metric</x:v>
      </x:c>
      <x:c r="N3319" s="34" t="str">
        <x:v>Feedback-Directed Random Test Generation/Result_Round2/Math_72/result.json</x:v>
      </x:c>
      <x:c r="O3319" s="38" t="n">
        <x:f>IF(AND(G3319="RECORDED",ISNUMBER(H3319)),H3319,"")</x:f>
        <x:v>11.21</x:v>
      </x:c>
      <x:c r="P3319" s="34" t="str">
        <x:v>INCONCLUSIVE</x:v>
      </x:c>
      <x:c r="Q3319" s="34" t="str">
        <x:v>Feedback-Directed Random Test Generation/Result_Round2/Math_72/result.json</x:v>
      </x:c>
    </x:row>
    <x:row r="3320">
      <x:c r="A3320" s="34" t="str">
        <x:v>randoop</x:v>
      </x:c>
      <x:c r="B3320" s="34" t="str">
        <x:v>Math</x:v>
      </x:c>
      <x:c r="C3320" s="34" t="str">
        <x:v>Round2</x:v>
      </x:c>
      <x:c r="D3320" s="34" t="str">
        <x:v>Math_73</x:v>
      </x:c>
      <x:c r="E3320" s="34" t="str">
        <x:v>Line</x:v>
      </x:c>
      <x:c r="F3320" s="34" t="n">
        <x:v>104</x:v>
      </x:c>
      <x:c r="G3320" s="34" t="str">
        <x:v>RECORDED</x:v>
      </x:c>
      <x:c r="H3320" s="38" t="n">
        <x:f>IF(ISNUMBER('Data'!H1612),'Data'!H1612*100,"")</x:f>
        <x:v>11.54</x:v>
      </x:c>
      <x:c r="I3320" s="34" t="str">
        <x:v>PASS</x:v>
      </x:c>
      <x:c r="J3320" s="34" t="str">
        <x:v>PASS</x:v>
      </x:c>
      <x:c r="K3320" s="34" t="str">
        <x:v>PASS</x:v>
      </x:c>
      <x:c r="L3320" s="34" t="str">
        <x:v>FAIL</x:v>
      </x:c>
      <x:c r="M3320" s="34" t="str">
        <x:v>numeric coverage for applicable metric</x:v>
      </x:c>
      <x:c r="N3320" s="34" t="str">
        <x:v>Feedback-Directed Random Test Generation/Result_Round2/Math_73/result.json</x:v>
      </x:c>
      <x:c r="O3320" s="38" t="n">
        <x:f>IF(AND(G3320="RECORDED",ISNUMBER(H3320)),H3320,"")</x:f>
        <x:v>11.54</x:v>
      </x:c>
      <x:c r="P3320" s="34" t="str">
        <x:v>INCONCLUSIVE</x:v>
      </x:c>
      <x:c r="Q3320" s="34" t="str">
        <x:v>Feedback-Directed Random Test Generation/Result_Round2/Math_73/result.json</x:v>
      </x:c>
    </x:row>
    <x:row r="3321">
      <x:c r="A3321" s="34" t="str">
        <x:v>randoop</x:v>
      </x:c>
      <x:c r="B3321" s="34" t="str">
        <x:v>Math</x:v>
      </x:c>
      <x:c r="C3321" s="34" t="str">
        <x:v>Round2</x:v>
      </x:c>
      <x:c r="D3321" s="34" t="str">
        <x:v>Math_74</x:v>
      </x:c>
      <x:c r="E3321" s="34" t="str">
        <x:v>Line</x:v>
      </x:c>
      <x:c r="F3321" s="34" t="n">
        <x:v>122</x:v>
      </x:c>
      <x:c r="G3321" s="34" t="str">
        <x:v>RECORDED</x:v>
      </x:c>
      <x:c r="H3321" s="38" t="n">
        <x:f>IF(ISNUMBER('Data'!H1613),'Data'!H1613*100,"")</x:f>
        <x:v>0</x:v>
      </x:c>
      <x:c r="I3321" s="34" t="str">
        <x:v>PASS</x:v>
      </x:c>
      <x:c r="J3321" s="34" t="str">
        <x:v>PASS</x:v>
      </x:c>
      <x:c r="K3321" s="34" t="str">
        <x:v>PASS</x:v>
      </x:c>
      <x:c r="L3321" s="34" t="str">
        <x:v>PASS</x:v>
      </x:c>
      <x:c r="M3321" s="34" t="str">
        <x:v>numeric coverage for applicable metric</x:v>
      </x:c>
      <x:c r="N3321" s="34" t="str">
        <x:v>Feedback-Directed Random Test Generation/Result_Round2/Math_74/result.json</x:v>
      </x:c>
      <x:c r="O3321" s="38" t="n">
        <x:f>IF(AND(G3321="RECORDED",ISNUMBER(H3321)),H3321,"")</x:f>
        <x:v>0</x:v>
      </x:c>
      <x:c r="P3321" s="34" t="str">
        <x:v>NOT_REVEALING</x:v>
      </x:c>
      <x:c r="Q3321" s="34" t="str">
        <x:v>Feedback-Directed Random Test Generation/Result_Round2/Math_74/result.json</x:v>
      </x:c>
    </x:row>
    <x:row r="3322">
      <x:c r="A3322" s="34" t="str">
        <x:v>randoop</x:v>
      </x:c>
      <x:c r="B3322" s="34" t="str">
        <x:v>Math</x:v>
      </x:c>
      <x:c r="C3322" s="34" t="str">
        <x:v>Round2</x:v>
      </x:c>
      <x:c r="D3322" s="34" t="str">
        <x:v>Math_75</x:v>
      </x:c>
      <x:c r="E3322" s="34" t="str">
        <x:v>Line</x:v>
      </x:c>
      <x:c r="F3322" s="34" t="n">
        <x:v>134</x:v>
      </x:c>
      <x:c r="G3322" s="34" t="str">
        <x:v>RECORDED</x:v>
      </x:c>
      <x:c r="H3322" s="38" t="n">
        <x:f>IF(ISNUMBER('Data'!H1614),'Data'!H1614*100,"")</x:f>
        <x:v>91.04</x:v>
      </x:c>
      <x:c r="I3322" s="34" t="str">
        <x:v>PASS</x:v>
      </x:c>
      <x:c r="J3322" s="34" t="str">
        <x:v>PASS</x:v>
      </x:c>
      <x:c r="K3322" s="34" t="str">
        <x:v>PASS</x:v>
      </x:c>
      <x:c r="L3322" s="34" t="str">
        <x:v>PASS</x:v>
      </x:c>
      <x:c r="M3322" s="34" t="str">
        <x:v>numeric coverage for applicable metric</x:v>
      </x:c>
      <x:c r="N3322" s="34" t="str">
        <x:v>Feedback-Directed Random Test Generation/Result_Round2/Math_75/result.json</x:v>
      </x:c>
      <x:c r="O3322" s="38" t="n">
        <x:f>IF(AND(G3322="RECORDED",ISNUMBER(H3322)),H3322,"")</x:f>
        <x:v>91.04</x:v>
      </x:c>
      <x:c r="P3322" s="34" t="str">
        <x:v>INCONCLUSIVE</x:v>
      </x:c>
      <x:c r="Q3322" s="34" t="str">
        <x:v>Feedback-Directed Random Test Generation/Result_Round2/Math_75/result.json</x:v>
      </x:c>
    </x:row>
    <x:row r="3323">
      <x:c r="A3323" s="34" t="str">
        <x:v>randoop</x:v>
      </x:c>
      <x:c r="B3323" s="34" t="str">
        <x:v>Math</x:v>
      </x:c>
      <x:c r="C3323" s="34" t="str">
        <x:v>Round2</x:v>
      </x:c>
      <x:c r="D3323" s="34" t="str">
        <x:v>Math_76</x:v>
      </x:c>
      <x:c r="E3323" s="34" t="str">
        <x:v>Line</x:v>
      </x:c>
      <x:c r="F3323" s="34" t="n">
        <x:v>134</x:v>
      </x:c>
      <x:c r="G3323" s="34" t="str">
        <x:v>RECORDED</x:v>
      </x:c>
      <x:c r="H3323" s="38" t="n">
        <x:f>IF(ISNUMBER('Data'!H1615),'Data'!H1615*100,"")</x:f>
        <x:v>2.24</x:v>
      </x:c>
      <x:c r="I3323" s="34" t="str">
        <x:v>PASS</x:v>
      </x:c>
      <x:c r="J3323" s="34" t="str">
        <x:v>PASS</x:v>
      </x:c>
      <x:c r="K3323" s="34" t="str">
        <x:v>PASS</x:v>
      </x:c>
      <x:c r="L3323" s="34" t="str">
        <x:v>PASS</x:v>
      </x:c>
      <x:c r="M3323" s="34" t="str">
        <x:v>numeric coverage for applicable metric</x:v>
      </x:c>
      <x:c r="N3323" s="34" t="str">
        <x:v>Feedback-Directed Random Test Generation/Result_Round2/Math_76/result.json</x:v>
      </x:c>
      <x:c r="O3323" s="38" t="n">
        <x:f>IF(AND(G3323="RECORDED",ISNUMBER(H3323)),H3323,"")</x:f>
        <x:v>2.24</x:v>
      </x:c>
      <x:c r="P3323" s="34" t="str">
        <x:v>NOT_REVEALING</x:v>
      </x:c>
      <x:c r="Q3323" s="34" t="str">
        <x:v>Feedback-Directed Random Test Generation/Result_Round2/Math_76/result.json</x:v>
      </x:c>
    </x:row>
    <x:row r="3324">
      <x:c r="A3324" s="34" t="str">
        <x:v>randoop</x:v>
      </x:c>
      <x:c r="B3324" s="34" t="str">
        <x:v>Math</x:v>
      </x:c>
      <x:c r="C3324" s="34" t="str">
        <x:v>Round2</x:v>
      </x:c>
      <x:c r="D3324" s="34" t="str">
        <x:v>Math_77</x:v>
      </x:c>
      <x:c r="E3324" s="34" t="str">
        <x:v>Line</x:v>
      </x:c>
      <x:c r="F3324" s="34" t="n">
        <x:v>799</x:v>
      </x:c>
      <x:c r="G3324" s="34" t="str">
        <x:v>RECORDED</x:v>
      </x:c>
      <x:c r="H3324" s="38" t="n">
        <x:f>IF(ISNUMBER('Data'!H1616),'Data'!H1616*100,"")</x:f>
        <x:v>81.85</x:v>
      </x:c>
      <x:c r="I3324" s="34" t="str">
        <x:v>PASS</x:v>
      </x:c>
      <x:c r="J3324" s="34" t="str">
        <x:v>PASS</x:v>
      </x:c>
      <x:c r="K3324" s="34" t="str">
        <x:v>PASS</x:v>
      </x:c>
      <x:c r="L3324" s="34" t="str">
        <x:v>FAIL</x:v>
      </x:c>
      <x:c r="M3324" s="34" t="str">
        <x:v>numeric coverage for applicable metric</x:v>
      </x:c>
      <x:c r="N3324" s="34" t="str">
        <x:v>Feedback-Directed Random Test Generation/Result_Round2/Math_77/result.json</x:v>
      </x:c>
      <x:c r="O3324" s="38" t="n">
        <x:f>IF(AND(G3324="RECORDED",ISNUMBER(H3324)),H3324,"")</x:f>
        <x:v>81.85</x:v>
      </x:c>
      <x:c r="P3324" s="34" t="str">
        <x:v>INCONCLUSIVE</x:v>
      </x:c>
      <x:c r="Q3324" s="34" t="str">
        <x:v>Feedback-Directed Random Test Generation/Result_Round2/Math_77/result.json</x:v>
      </x:c>
    </x:row>
    <x:row r="3325">
      <x:c r="A3325" s="34" t="str">
        <x:v>randoop</x:v>
      </x:c>
      <x:c r="B3325" s="34" t="str">
        <x:v>Math</x:v>
      </x:c>
      <x:c r="C3325" s="34" t="str">
        <x:v>Round2</x:v>
      </x:c>
      <x:c r="D3325" s="34" t="str">
        <x:v>Math_78</x:v>
      </x:c>
      <x:c r="E3325" s="34" t="str">
        <x:v>Line</x:v>
      </x:c>
      <x:c r="F3325" s="34" t="n">
        <x:v>90</x:v>
      </x:c>
      <x:c r="G3325" s="34" t="str">
        <x:v>RECORDED</x:v>
      </x:c>
      <x:c r="H3325" s="38" t="n">
        <x:f>IF(ISNUMBER('Data'!H1617),'Data'!H1617*100,"")</x:f>
        <x:v>30</x:v>
      </x:c>
      <x:c r="I3325" s="34" t="str">
        <x:v>PASS</x:v>
      </x:c>
      <x:c r="J3325" s="34" t="str">
        <x:v>PASS</x:v>
      </x:c>
      <x:c r="K3325" s="34" t="str">
        <x:v>PASS</x:v>
      </x:c>
      <x:c r="L3325" s="34" t="str">
        <x:v>PASS</x:v>
      </x:c>
      <x:c r="M3325" s="34" t="str">
        <x:v>numeric coverage for applicable metric</x:v>
      </x:c>
      <x:c r="N3325" s="34" t="str">
        <x:v>Feedback-Directed Random Test Generation/Result_Round2/Math_78/result.json</x:v>
      </x:c>
      <x:c r="O3325" s="38" t="n">
        <x:f>IF(AND(G3325="RECORDED",ISNUMBER(H3325)),H3325,"")</x:f>
        <x:v>30</x:v>
      </x:c>
      <x:c r="P3325" s="34" t="str">
        <x:v>NOT_REVEALING</x:v>
      </x:c>
      <x:c r="Q3325" s="34" t="str">
        <x:v>Feedback-Directed Random Test Generation/Result_Round2/Math_78/result.json</x:v>
      </x:c>
    </x:row>
    <x:row r="3326">
      <x:c r="A3326" s="34" t="str">
        <x:v>randoop</x:v>
      </x:c>
      <x:c r="B3326" s="34" t="str">
        <x:v>Math</x:v>
      </x:c>
      <x:c r="C3326" s="34" t="str">
        <x:v>Round2</x:v>
      </x:c>
      <x:c r="D3326" s="34" t="str">
        <x:v>Math_79</x:v>
      </x:c>
      <x:c r="E3326" s="34" t="str">
        <x:v>Line</x:v>
      </x:c>
      <x:c r="F3326" s="34" t="n">
        <x:v>420</x:v>
      </x:c>
      <x:c r="G3326" s="34" t="str">
        <x:v>RECORDED</x:v>
      </x:c>
      <x:c r="H3326" s="38" t="n">
        <x:f>IF(ISNUMBER('Data'!H1618),'Data'!H1618*100,"")</x:f>
        <x:v>81.19</x:v>
      </x:c>
      <x:c r="I3326" s="34" t="str">
        <x:v>PASS</x:v>
      </x:c>
      <x:c r="J3326" s="34" t="str">
        <x:v>PASS</x:v>
      </x:c>
      <x:c r="K3326" s="34" t="str">
        <x:v>PASS</x:v>
      </x:c>
      <x:c r="L3326" s="34" t="str">
        <x:v>PASS</x:v>
      </x:c>
      <x:c r="M3326" s="34" t="str">
        <x:v>numeric coverage for applicable metric</x:v>
      </x:c>
      <x:c r="N3326" s="34" t="str">
        <x:v>Feedback-Directed Random Test Generation/Result_Round2/Math_79/result.json</x:v>
      </x:c>
      <x:c r="O3326" s="38" t="n">
        <x:f>IF(AND(G3326="RECORDED",ISNUMBER(H3326)),H3326,"")</x:f>
        <x:v>81.19</x:v>
      </x:c>
      <x:c r="P3326" s="34" t="str">
        <x:v>NOT_REVEALING</x:v>
      </x:c>
      <x:c r="Q3326" s="34" t="str">
        <x:v>Feedback-Directed Random Test Generation/Result_Round2/Math_79/result.json</x:v>
      </x:c>
    </x:row>
    <x:row r="3327">
      <x:c r="A3327" s="34" t="str">
        <x:v>randoop</x:v>
      </x:c>
      <x:c r="B3327" s="34" t="str">
        <x:v>Math</x:v>
      </x:c>
      <x:c r="C3327" s="34" t="str">
        <x:v>Round2</x:v>
      </x:c>
      <x:c r="D3327" s="34" t="str">
        <x:v>Math_80</x:v>
      </x:c>
      <x:c r="E3327" s="34" t="str">
        <x:v>Line</x:v>
      </x:c>
      <x:c r="F3327" s="34" t="n">
        <x:v>855</x:v>
      </x:c>
      <x:c r="G3327" s="34" t="str">
        <x:v>RECORDED</x:v>
      </x:c>
      <x:c r="H3327" s="38" t="n">
        <x:f>IF(ISNUMBER('Data'!H1619),'Data'!H1619*100,"")</x:f>
        <x:v>26.200000000000003</x:v>
      </x:c>
      <x:c r="I3327" s="34" t="str">
        <x:v>PASS</x:v>
      </x:c>
      <x:c r="J3327" s="34" t="str">
        <x:v>PASS</x:v>
      </x:c>
      <x:c r="K3327" s="34" t="str">
        <x:v>PASS</x:v>
      </x:c>
      <x:c r="L3327" s="34" t="str">
        <x:v>PASS</x:v>
      </x:c>
      <x:c r="M3327" s="34" t="str">
        <x:v>numeric coverage for applicable metric</x:v>
      </x:c>
      <x:c r="N3327" s="34" t="str">
        <x:v>Feedback-Directed Random Test Generation/Result_Round2/Math_80/result.json</x:v>
      </x:c>
      <x:c r="O3327" s="38" t="n">
        <x:f>IF(AND(G3327="RECORDED",ISNUMBER(H3327)),H3327,"")</x:f>
        <x:v>26.200000000000003</x:v>
      </x:c>
      <x:c r="P3327" s="34" t="str">
        <x:v>NOT_REVEALING</x:v>
      </x:c>
      <x:c r="Q3327" s="34" t="str">
        <x:v>Feedback-Directed Random Test Generation/Result_Round2/Math_80/result.json</x:v>
      </x:c>
    </x:row>
    <x:row r="3328">
      <x:c r="A3328" s="34" t="str">
        <x:v>randoop</x:v>
      </x:c>
      <x:c r="B3328" s="34" t="str">
        <x:v>Math</x:v>
      </x:c>
      <x:c r="C3328" s="34" t="str">
        <x:v>Round2</x:v>
      </x:c>
      <x:c r="D3328" s="34" t="str">
        <x:v>Math_81</x:v>
      </x:c>
      <x:c r="E3328" s="34" t="str">
        <x:v>Line</x:v>
      </x:c>
      <x:c r="F3328" s="34" t="n">
        <x:v>854</x:v>
      </x:c>
      <x:c r="G3328" s="34" t="str">
        <x:v>RECORDED</x:v>
      </x:c>
      <x:c r="H3328" s="38" t="n">
        <x:f>IF(ISNUMBER('Data'!H1620),'Data'!H1620*100,"")</x:f>
        <x:v>26.11</x:v>
      </x:c>
      <x:c r="I3328" s="34" t="str">
        <x:v>PASS</x:v>
      </x:c>
      <x:c r="J3328" s="34" t="str">
        <x:v>PASS</x:v>
      </x:c>
      <x:c r="K3328" s="34" t="str">
        <x:v>PASS</x:v>
      </x:c>
      <x:c r="L3328" s="34" t="str">
        <x:v>PASS</x:v>
      </x:c>
      <x:c r="M3328" s="34" t="str">
        <x:v>numeric coverage for applicable metric</x:v>
      </x:c>
      <x:c r="N3328" s="34" t="str">
        <x:v>Feedback-Directed Random Test Generation/Result_Round2/Math_81/result.json</x:v>
      </x:c>
      <x:c r="O3328" s="38" t="n">
        <x:f>IF(AND(G3328="RECORDED",ISNUMBER(H3328)),H3328,"")</x:f>
        <x:v>26.11</x:v>
      </x:c>
      <x:c r="P3328" s="34" t="str">
        <x:v>NOT_REVEALING</x:v>
      </x:c>
      <x:c r="Q3328" s="34" t="str">
        <x:v>Feedback-Directed Random Test Generation/Result_Round2/Math_81/result.json</x:v>
      </x:c>
    </x:row>
    <x:row r="3329">
      <x:c r="A3329" s="34" t="str">
        <x:v>randoop</x:v>
      </x:c>
      <x:c r="B3329" s="34" t="str">
        <x:v>Math</x:v>
      </x:c>
      <x:c r="C3329" s="34" t="str">
        <x:v>Round2</x:v>
      </x:c>
      <x:c r="D3329" s="34" t="str">
        <x:v>Math_82</x:v>
      </x:c>
      <x:c r="E3329" s="34" t="str">
        <x:v>Line</x:v>
      </x:c>
      <x:c r="F3329" s="34" t="n">
        <x:v>60</x:v>
      </x:c>
      <x:c r="G3329" s="34" t="str">
        <x:v>RECORDED</x:v>
      </x:c>
      <x:c r="H3329" s="38" t="n">
        <x:f>IF(ISNUMBER('Data'!H1621),'Data'!H1621*100,"")</x:f>
        <x:v>21.67</x:v>
      </x:c>
      <x:c r="I3329" s="34" t="str">
        <x:v>PASS</x:v>
      </x:c>
      <x:c r="J3329" s="34" t="str">
        <x:v>PASS</x:v>
      </x:c>
      <x:c r="K3329" s="34" t="str">
        <x:v>PASS</x:v>
      </x:c>
      <x:c r="L3329" s="34" t="str">
        <x:v>FAIL</x:v>
      </x:c>
      <x:c r="M3329" s="34" t="str">
        <x:v>numeric coverage for applicable metric</x:v>
      </x:c>
      <x:c r="N3329" s="34" t="str">
        <x:v>Feedback-Directed Random Test Generation/Result_Round2/Math_82/result.json</x:v>
      </x:c>
      <x:c r="O3329" s="38" t="n">
        <x:f>IF(AND(G3329="RECORDED",ISNUMBER(H3329)),H3329,"")</x:f>
        <x:v>21.67</x:v>
      </x:c>
      <x:c r="P3329" s="34" t="str">
        <x:v>INCONCLUSIVE</x:v>
      </x:c>
      <x:c r="Q3329" s="34" t="str">
        <x:v>Feedback-Directed Random Test Generation/Result_Round2/Math_82/result.json</x:v>
      </x:c>
    </x:row>
    <x:row r="3330">
      <x:c r="A3330" s="34" t="str">
        <x:v>randoop</x:v>
      </x:c>
      <x:c r="B3330" s="34" t="str">
        <x:v>Math</x:v>
      </x:c>
      <x:c r="C3330" s="34" t="str">
        <x:v>Round2</x:v>
      </x:c>
      <x:c r="D3330" s="34" t="str">
        <x:v>Math_83</x:v>
      </x:c>
      <x:c r="E3330" s="34" t="str">
        <x:v>Line</x:v>
      </x:c>
      <x:c r="F3330" s="34" t="n">
        <x:v>155</x:v>
      </x:c>
      <x:c r="G3330" s="34" t="str">
        <x:v>RECORDED</x:v>
      </x:c>
      <x:c r="H3330" s="38" t="n">
        <x:f>IF(ISNUMBER('Data'!H1622),'Data'!H1622*100,"")</x:f>
        <x:v>3.8699999999999997</x:v>
      </x:c>
      <x:c r="I3330" s="34" t="str">
        <x:v>PASS</x:v>
      </x:c>
      <x:c r="J3330" s="34" t="str">
        <x:v>PASS</x:v>
      </x:c>
      <x:c r="K3330" s="34" t="str">
        <x:v>PASS</x:v>
      </x:c>
      <x:c r="L3330" s="34" t="str">
        <x:v>PASS</x:v>
      </x:c>
      <x:c r="M3330" s="34" t="str">
        <x:v>numeric coverage for applicable metric</x:v>
      </x:c>
      <x:c r="N3330" s="34" t="str">
        <x:v>Feedback-Directed Random Test Generation/Result_Round2/Math_83/result.json</x:v>
      </x:c>
      <x:c r="O3330" s="38" t="n">
        <x:f>IF(AND(G3330="RECORDED",ISNUMBER(H3330)),H3330,"")</x:f>
        <x:v>3.8699999999999997</x:v>
      </x:c>
      <x:c r="P3330" s="34" t="str">
        <x:v>NOT_REVEALING</x:v>
      </x:c>
      <x:c r="Q3330" s="34" t="str">
        <x:v>Feedback-Directed Random Test Generation/Result_Round2/Math_83/result.json</x:v>
      </x:c>
    </x:row>
    <x:row r="3331">
      <x:c r="A3331" s="34" t="str">
        <x:v>randoop</x:v>
      </x:c>
      <x:c r="B3331" s="34" t="str">
        <x:v>Math</x:v>
      </x:c>
      <x:c r="C3331" s="34" t="str">
        <x:v>Round2</x:v>
      </x:c>
      <x:c r="D3331" s="34" t="str">
        <x:v>Math_84</x:v>
      </x:c>
      <x:c r="E3331" s="34" t="str">
        <x:v>Line</x:v>
      </x:c>
      <x:c r="F3331" s="34" t="n">
        <x:v>34</x:v>
      </x:c>
      <x:c r="G3331" s="34" t="str">
        <x:v>RECORDED</x:v>
      </x:c>
      <x:c r="H3331" s="38" t="n">
        <x:f>IF(ISNUMBER('Data'!H1623),'Data'!H1623*100,"")</x:f>
        <x:v>32.35</x:v>
      </x:c>
      <x:c r="I3331" s="34" t="str">
        <x:v>PASS</x:v>
      </x:c>
      <x:c r="J3331" s="34" t="str">
        <x:v>PASS</x:v>
      </x:c>
      <x:c r="K3331" s="34" t="str">
        <x:v>PASS</x:v>
      </x:c>
      <x:c r="L3331" s="34" t="str">
        <x:v>PASS</x:v>
      </x:c>
      <x:c r="M3331" s="34" t="str">
        <x:v>numeric coverage for applicable metric</x:v>
      </x:c>
      <x:c r="N3331" s="34" t="str">
        <x:v>Feedback-Directed Random Test Generation/Result_Round2/Math_84/result.json</x:v>
      </x:c>
      <x:c r="O3331" s="38" t="n">
        <x:f>IF(AND(G3331="RECORDED",ISNUMBER(H3331)),H3331,"")</x:f>
        <x:v>32.35</x:v>
      </x:c>
      <x:c r="P3331" s="34" t="str">
        <x:v>NOT_REVEALING</x:v>
      </x:c>
      <x:c r="Q3331" s="34" t="str">
        <x:v>Feedback-Directed Random Test Generation/Result_Round2/Math_84/result.json</x:v>
      </x:c>
    </x:row>
    <x:row r="3332">
      <x:c r="A3332" s="34" t="str">
        <x:v>randoop</x:v>
      </x:c>
      <x:c r="B3332" s="34" t="str">
        <x:v>Math</x:v>
      </x:c>
      <x:c r="C3332" s="34" t="str">
        <x:v>Round2</x:v>
      </x:c>
      <x:c r="D3332" s="34" t="str">
        <x:v>Math_85</x:v>
      </x:c>
      <x:c r="E3332" s="34" t="str">
        <x:v>Line</x:v>
      </x:c>
      <x:c r="F3332" s="34" t="n">
        <x:v>38</x:v>
      </x:c>
      <x:c r="G3332" s="34" t="str">
        <x:v>RECORDED</x:v>
      </x:c>
      <x:c r="H3332" s="38" t="n">
        <x:f>IF(ISNUMBER('Data'!H1624),'Data'!H1624*100,"")</x:f>
        <x:v>21.05</x:v>
      </x:c>
      <x:c r="I3332" s="34" t="str">
        <x:v>PASS</x:v>
      </x:c>
      <x:c r="J3332" s="34" t="str">
        <x:v>PASS</x:v>
      </x:c>
      <x:c r="K3332" s="34" t="str">
        <x:v>PASS</x:v>
      </x:c>
      <x:c r="L3332" s="34" t="str">
        <x:v>PASS</x:v>
      </x:c>
      <x:c r="M3332" s="34" t="str">
        <x:v>numeric coverage for applicable metric</x:v>
      </x:c>
      <x:c r="N3332" s="34" t="str">
        <x:v>Feedback-Directed Random Test Generation/Result_Round2/Math_85/result.json</x:v>
      </x:c>
      <x:c r="O3332" s="38" t="n">
        <x:f>IF(AND(G3332="RECORDED",ISNUMBER(H3332)),H3332,"")</x:f>
        <x:v>21.05</x:v>
      </x:c>
      <x:c r="P3332" s="34" t="str">
        <x:v>NOT_REVEALING</x:v>
      </x:c>
      <x:c r="Q3332" s="34" t="str">
        <x:v>Feedback-Directed Random Test Generation/Result_Round2/Math_85/result.json</x:v>
      </x:c>
    </x:row>
    <x:row r="3333">
      <x:c r="A3333" s="34" t="str">
        <x:v>randoop</x:v>
      </x:c>
      <x:c r="B3333" s="34" t="str">
        <x:v>Math</x:v>
      </x:c>
      <x:c r="C3333" s="34" t="str">
        <x:v>Round2</x:v>
      </x:c>
      <x:c r="D3333" s="34" t="str">
        <x:v>Math_86</x:v>
      </x:c>
      <x:c r="E3333" s="34" t="str">
        <x:v>Line</x:v>
      </x:c>
      <x:c r="F3333" s="34" t="n">
        <x:v>116</x:v>
      </x:c>
      <x:c r="G3333" s="34" t="str">
        <x:v>RECORDED</x:v>
      </x:c>
      <x:c r="H3333" s="38" t="n">
        <x:f>IF(ISNUMBER('Data'!H1625),'Data'!H1625*100,"")</x:f>
        <x:v>2.59</x:v>
      </x:c>
      <x:c r="I3333" s="34" t="str">
        <x:v>PASS</x:v>
      </x:c>
      <x:c r="J3333" s="34" t="str">
        <x:v>PASS</x:v>
      </x:c>
      <x:c r="K3333" s="34" t="str">
        <x:v>PASS</x:v>
      </x:c>
      <x:c r="L3333" s="34" t="str">
        <x:v>PASS</x:v>
      </x:c>
      <x:c r="M3333" s="34" t="str">
        <x:v>numeric coverage for applicable metric</x:v>
      </x:c>
      <x:c r="N3333" s="34" t="str">
        <x:v>Feedback-Directed Random Test Generation/Result_Round2/Math_86/result.json</x:v>
      </x:c>
      <x:c r="O3333" s="38" t="n">
        <x:f>IF(AND(G3333="RECORDED",ISNUMBER(H3333)),H3333,"")</x:f>
        <x:v>2.59</x:v>
      </x:c>
      <x:c r="P3333" s="34" t="str">
        <x:v>NOT_REVEALING</x:v>
      </x:c>
      <x:c r="Q3333" s="34" t="str">
        <x:v>Feedback-Directed Random Test Generation/Result_Round2/Math_86/result.json</x:v>
      </x:c>
    </x:row>
    <x:row r="3334">
      <x:c r="A3334" s="34" t="str">
        <x:v>randoop</x:v>
      </x:c>
      <x:c r="B3334" s="34" t="str">
        <x:v>Math</x:v>
      </x:c>
      <x:c r="C3334" s="34" t="str">
        <x:v>Round2</x:v>
      </x:c>
      <x:c r="D3334" s="34" t="str">
        <x:v>Math_87</x:v>
      </x:c>
      <x:c r="E3334" s="34" t="str">
        <x:v>Line</x:v>
      </x:c>
      <x:c r="F3334" s="34" t="n">
        <x:v>152</x:v>
      </x:c>
      <x:c r="G3334" s="34" t="str">
        <x:v>RECORDED</x:v>
      </x:c>
      <x:c r="H3334" s="38" t="n">
        <x:f>IF(ISNUMBER('Data'!H1626),'Data'!H1626*100,"")</x:f>
        <x:v>3.95</x:v>
      </x:c>
      <x:c r="I3334" s="34" t="str">
        <x:v>PASS</x:v>
      </x:c>
      <x:c r="J3334" s="34" t="str">
        <x:v>PASS</x:v>
      </x:c>
      <x:c r="K3334" s="34" t="str">
        <x:v>PASS</x:v>
      </x:c>
      <x:c r="L3334" s="34" t="str">
        <x:v>PASS</x:v>
      </x:c>
      <x:c r="M3334" s="34" t="str">
        <x:v>numeric coverage for applicable metric</x:v>
      </x:c>
      <x:c r="N3334" s="34" t="str">
        <x:v>Feedback-Directed Random Test Generation/Result_Round2/Math_87/result.json</x:v>
      </x:c>
      <x:c r="O3334" s="38" t="n">
        <x:f>IF(AND(G3334="RECORDED",ISNUMBER(H3334)),H3334,"")</x:f>
        <x:v>3.95</x:v>
      </x:c>
      <x:c r="P3334" s="34" t="str">
        <x:v>NOT_REVEALING</x:v>
      </x:c>
      <x:c r="Q3334" s="34" t="str">
        <x:v>Feedback-Directed Random Test Generation/Result_Round2/Math_87/result.json</x:v>
      </x:c>
    </x:row>
    <x:row r="3335">
      <x:c r="A3335" s="34" t="str">
        <x:v>randoop</x:v>
      </x:c>
      <x:c r="B3335" s="34" t="str">
        <x:v>Math</x:v>
      </x:c>
      <x:c r="C3335" s="34" t="str">
        <x:v>Round2</x:v>
      </x:c>
      <x:c r="D3335" s="34" t="str">
        <x:v>Math_88</x:v>
      </x:c>
      <x:c r="E3335" s="34" t="str">
        <x:v>Line</x:v>
      </x:c>
      <x:c r="F3335" s="34" t="n">
        <x:v>152</x:v>
      </x:c>
      <x:c r="G3335" s="34" t="str">
        <x:v>RECORDED</x:v>
      </x:c>
      <x:c r="H3335" s="38" t="n">
        <x:f>IF(ISNUMBER('Data'!H1627),'Data'!H1627*100,"")</x:f>
        <x:v>3.95</x:v>
      </x:c>
      <x:c r="I3335" s="34" t="str">
        <x:v>PASS</x:v>
      </x:c>
      <x:c r="J3335" s="34" t="str">
        <x:v>PASS</x:v>
      </x:c>
      <x:c r="K3335" s="34" t="str">
        <x:v>PASS</x:v>
      </x:c>
      <x:c r="L3335" s="34" t="str">
        <x:v>PASS</x:v>
      </x:c>
      <x:c r="M3335" s="34" t="str">
        <x:v>numeric coverage for applicable metric</x:v>
      </x:c>
      <x:c r="N3335" s="34" t="str">
        <x:v>Feedback-Directed Random Test Generation/Result_Round2/Math_88/result.json</x:v>
      </x:c>
      <x:c r="O3335" s="38" t="n">
        <x:f>IF(AND(G3335="RECORDED",ISNUMBER(H3335)),H3335,"")</x:f>
        <x:v>3.95</x:v>
      </x:c>
      <x:c r="P3335" s="34" t="str">
        <x:v>NOT_REVEALING</x:v>
      </x:c>
      <x:c r="Q3335" s="34" t="str">
        <x:v>Feedback-Directed Random Test Generation/Result_Round2/Math_88/result.json</x:v>
      </x:c>
    </x:row>
    <x:row r="3336">
      <x:c r="A3336" s="34" t="str">
        <x:v>randoop</x:v>
      </x:c>
      <x:c r="B3336" s="34" t="str">
        <x:v>Math</x:v>
      </x:c>
      <x:c r="C3336" s="34" t="str">
        <x:v>Round2</x:v>
      </x:c>
      <x:c r="D3336" s="34" t="str">
        <x:v>Math_89</x:v>
      </x:c>
      <x:c r="E3336" s="34" t="str">
        <x:v>Line</x:v>
      </x:c>
      <x:c r="F3336" s="34" t="n">
        <x:v>108</x:v>
      </x:c>
      <x:c r="G3336" s="34" t="str">
        <x:v>RECORDED</x:v>
      </x:c>
      <x:c r="H3336" s="38" t="n">
        <x:f>IF(ISNUMBER('Data'!H1628),'Data'!H1628*100,"")</x:f>
        <x:v>99.07</x:v>
      </x:c>
      <x:c r="I3336" s="34" t="str">
        <x:v>PASS</x:v>
      </x:c>
      <x:c r="J3336" s="34" t="str">
        <x:v>PASS</x:v>
      </x:c>
      <x:c r="K3336" s="34" t="str">
        <x:v>PASS</x:v>
      </x:c>
      <x:c r="L3336" s="34" t="str">
        <x:v>PASS</x:v>
      </x:c>
      <x:c r="M3336" s="34" t="str">
        <x:v>numeric coverage for applicable metric</x:v>
      </x:c>
      <x:c r="N3336" s="34" t="str">
        <x:v>Feedback-Directed Random Test Generation/Result_Round2/Math_89/result.json</x:v>
      </x:c>
      <x:c r="O3336" s="38" t="n">
        <x:f>IF(AND(G3336="RECORDED",ISNUMBER(H3336)),H3336,"")</x:f>
        <x:v>99.07</x:v>
      </x:c>
      <x:c r="P3336" s="34" t="str">
        <x:v>INCONCLUSIVE</x:v>
      </x:c>
      <x:c r="Q3336" s="34" t="str">
        <x:v>Feedback-Directed Random Test Generation/Result_Round2/Math_89/result.json</x:v>
      </x:c>
    </x:row>
    <x:row r="3337">
      <x:c r="A3337" s="34" t="str">
        <x:v>randoop</x:v>
      </x:c>
      <x:c r="B3337" s="34" t="str">
        <x:v>Math</x:v>
      </x:c>
      <x:c r="C3337" s="34" t="str">
        <x:v>Round2</x:v>
      </x:c>
      <x:c r="D3337" s="34" t="str">
        <x:v>Math_90</x:v>
      </x:c>
      <x:c r="E3337" s="34" t="str">
        <x:v>Line</x:v>
      </x:c>
      <x:c r="F3337" s="34" t="n">
        <x:v>106</x:v>
      </x:c>
      <x:c r="G3337" s="34" t="str">
        <x:v>RECORDED</x:v>
      </x:c>
      <x:c r="H3337" s="38" t="n">
        <x:f>IF(ISNUMBER('Data'!H1629),'Data'!H1629*100,"")</x:f>
        <x:v>99.06</x:v>
      </x:c>
      <x:c r="I3337" s="34" t="str">
        <x:v>PASS</x:v>
      </x:c>
      <x:c r="J3337" s="34" t="str">
        <x:v>PASS</x:v>
      </x:c>
      <x:c r="K3337" s="34" t="str">
        <x:v>PASS</x:v>
      </x:c>
      <x:c r="L3337" s="34" t="str">
        <x:v>PASS</x:v>
      </x:c>
      <x:c r="M3337" s="34" t="str">
        <x:v>numeric coverage for applicable metric</x:v>
      </x:c>
      <x:c r="N3337" s="34" t="str">
        <x:v>Feedback-Directed Random Test Generation/Result_Round2/Math_90/result.json</x:v>
      </x:c>
      <x:c r="O3337" s="38" t="n">
        <x:f>IF(AND(G3337="RECORDED",ISNUMBER(H3337)),H3337,"")</x:f>
        <x:v>99.06</x:v>
      </x:c>
      <x:c r="P3337" s="34" t="str">
        <x:v>INCONCLUSIVE</x:v>
      </x:c>
      <x:c r="Q3337" s="34" t="str">
        <x:v>Feedback-Directed Random Test Generation/Result_Round2/Math_90/result.json</x:v>
      </x:c>
    </x:row>
    <x:row r="3338">
      <x:c r="A3338" s="34" t="str">
        <x:v>randoop</x:v>
      </x:c>
      <x:c r="B3338" s="34" t="str">
        <x:v>Math</x:v>
      </x:c>
      <x:c r="C3338" s="34" t="str">
        <x:v>Round2</x:v>
      </x:c>
      <x:c r="D3338" s="34" t="str">
        <x:v>Math_91</x:v>
      </x:c>
      <x:c r="E3338" s="34" t="str">
        <x:v>Line</x:v>
      </x:c>
      <x:c r="F3338" s="34" t="n">
        <x:v>163</x:v>
      </x:c>
      <x:c r="G3338" s="34" t="str">
        <x:v>RECORDED</x:v>
      </x:c>
      <x:c r="H3338" s="38" t="n">
        <x:f>IF(ISNUMBER('Data'!H1630),'Data'!H1630*100,"")</x:f>
        <x:v>92.02</x:v>
      </x:c>
      <x:c r="I3338" s="34" t="str">
        <x:v>PASS</x:v>
      </x:c>
      <x:c r="J3338" s="34" t="str">
        <x:v>PASS</x:v>
      </x:c>
      <x:c r="K3338" s="34" t="str">
        <x:v>PASS</x:v>
      </x:c>
      <x:c r="L3338" s="34" t="str">
        <x:v>PASS</x:v>
      </x:c>
      <x:c r="M3338" s="34" t="str">
        <x:v>numeric coverage for applicable metric</x:v>
      </x:c>
      <x:c r="N3338" s="34" t="str">
        <x:v>Feedback-Directed Random Test Generation/Result_Round2/Math_91/result.json</x:v>
      </x:c>
      <x:c r="O3338" s="38" t="n">
        <x:f>IF(AND(G3338="RECORDED",ISNUMBER(H3338)),H3338,"")</x:f>
        <x:v>92.02</x:v>
      </x:c>
      <x:c r="P3338" s="34" t="str">
        <x:v>NOT_REVEALING</x:v>
      </x:c>
      <x:c r="Q3338" s="34" t="str">
        <x:v>Feedback-Directed Random Test Generation/Result_Round2/Math_91/result.json</x:v>
      </x:c>
    </x:row>
    <x:row r="3339">
      <x:c r="A3339" s="34" t="str">
        <x:v>randoop</x:v>
      </x:c>
      <x:c r="B3339" s="34" t="str">
        <x:v>Math</x:v>
      </x:c>
      <x:c r="C3339" s="34" t="str">
        <x:v>Round2</x:v>
      </x:c>
      <x:c r="D3339" s="34" t="str">
        <x:v>Math_92</x:v>
      </x:c>
      <x:c r="E3339" s="34" t="str">
        <x:v>Line</x:v>
      </x:c>
      <x:c r="F3339" s="34" t="n">
        <x:v>231</x:v>
      </x:c>
      <x:c r="G3339" s="34" t="str">
        <x:v>RECORDED</x:v>
      </x:c>
      <x:c r="H3339" s="38" t="n">
        <x:f>IF(ISNUMBER('Data'!H1631),'Data'!H1631*100,"")</x:f>
        <x:v>66.23</x:v>
      </x:c>
      <x:c r="I3339" s="34" t="str">
        <x:v>PASS</x:v>
      </x:c>
      <x:c r="J3339" s="34" t="str">
        <x:v>PASS</x:v>
      </x:c>
      <x:c r="K3339" s="34" t="str">
        <x:v>PASS</x:v>
      </x:c>
      <x:c r="L3339" s="34" t="str">
        <x:v>PASS</x:v>
      </x:c>
      <x:c r="M3339" s="34" t="str">
        <x:v>numeric coverage for applicable metric</x:v>
      </x:c>
      <x:c r="N3339" s="34" t="str">
        <x:v>Feedback-Directed Random Test Generation/Result_Round2/Math_92/result.json</x:v>
      </x:c>
      <x:c r="O3339" s="38" t="n">
        <x:f>IF(AND(G3339="RECORDED",ISNUMBER(H3339)),H3339,"")</x:f>
        <x:v>66.23</x:v>
      </x:c>
      <x:c r="P3339" s="34" t="str">
        <x:v>NOT_REVEALING</x:v>
      </x:c>
      <x:c r="Q3339" s="34" t="str">
        <x:v>Feedback-Directed Random Test Generation/Result_Round2/Math_92/result.json</x:v>
      </x:c>
    </x:row>
    <x:row r="3340">
      <x:c r="A3340" s="34" t="str">
        <x:v>randoop</x:v>
      </x:c>
      <x:c r="B3340" s="34" t="str">
        <x:v>Math</x:v>
      </x:c>
      <x:c r="C3340" s="34" t="str">
        <x:v>Round2</x:v>
      </x:c>
      <x:c r="D3340" s="34" t="str">
        <x:v>Math_93</x:v>
      </x:c>
      <x:c r="E3340" s="34" t="str">
        <x:v>Line</x:v>
      </x:c>
      <x:c r="F3340" s="34" t="n">
        <x:v>226</x:v>
      </x:c>
      <x:c r="G3340" s="34" t="str">
        <x:v>RECORDED</x:v>
      </x:c>
      <x:c r="H3340" s="38" t="n">
        <x:f>IF(ISNUMBER('Data'!H1632),'Data'!H1632*100,"")</x:f>
        <x:v>65.93</x:v>
      </x:c>
      <x:c r="I3340" s="34" t="str">
        <x:v>PASS</x:v>
      </x:c>
      <x:c r="J3340" s="34" t="str">
        <x:v>PASS</x:v>
      </x:c>
      <x:c r="K3340" s="34" t="str">
        <x:v>PASS</x:v>
      </x:c>
      <x:c r="L3340" s="34" t="str">
        <x:v>PASS</x:v>
      </x:c>
      <x:c r="M3340" s="34" t="str">
        <x:v>numeric coverage for applicable metric</x:v>
      </x:c>
      <x:c r="N3340" s="34" t="str">
        <x:v>Feedback-Directed Random Test Generation/Result_Round2/Math_93/result.json</x:v>
      </x:c>
      <x:c r="O3340" s="38" t="n">
        <x:f>IF(AND(G3340="RECORDED",ISNUMBER(H3340)),H3340,"")</x:f>
        <x:v>65.93</x:v>
      </x:c>
      <x:c r="P3340" s="34" t="str">
        <x:v>NOT_REVEALING</x:v>
      </x:c>
      <x:c r="Q3340" s="34" t="str">
        <x:v>Feedback-Directed Random Test Generation/Result_Round2/Math_93/result.json</x:v>
      </x:c>
    </x:row>
    <x:row r="3341">
      <x:c r="A3341" s="34" t="str">
        <x:v>randoop</x:v>
      </x:c>
      <x:c r="B3341" s="34" t="str">
        <x:v>Math</x:v>
      </x:c>
      <x:c r="C3341" s="34" t="str">
        <x:v>Round2</x:v>
      </x:c>
      <x:c r="D3341" s="34" t="str">
        <x:v>Math_94</x:v>
      </x:c>
      <x:c r="E3341" s="34" t="str">
        <x:v>Line</x:v>
      </x:c>
      <x:c r="F3341" s="34" t="n">
        <x:v>225</x:v>
      </x:c>
      <x:c r="G3341" s="34" t="str">
        <x:v>RECORDED</x:v>
      </x:c>
      <x:c r="H3341" s="38" t="n">
        <x:f>IF(ISNUMBER('Data'!H1633),'Data'!H1633*100,"")</x:f>
        <x:v>65.78</x:v>
      </x:c>
      <x:c r="I3341" s="34" t="str">
        <x:v>PASS</x:v>
      </x:c>
      <x:c r="J3341" s="34" t="str">
        <x:v>PASS</x:v>
      </x:c>
      <x:c r="K3341" s="34" t="str">
        <x:v>PASS</x:v>
      </x:c>
      <x:c r="L3341" s="34" t="str">
        <x:v>PASS</x:v>
      </x:c>
      <x:c r="M3341" s="34" t="str">
        <x:v>numeric coverage for applicable metric</x:v>
      </x:c>
      <x:c r="N3341" s="34" t="str">
        <x:v>Feedback-Directed Random Test Generation/Result_Round2/Math_94/result.json</x:v>
      </x:c>
      <x:c r="O3341" s="38" t="n">
        <x:f>IF(AND(G3341="RECORDED",ISNUMBER(H3341)),H3341,"")</x:f>
        <x:v>65.78</x:v>
      </x:c>
      <x:c r="P3341" s="34" t="str">
        <x:v>NOT_REVEALING</x:v>
      </x:c>
      <x:c r="Q3341" s="34" t="str">
        <x:v>Feedback-Directed Random Test Generation/Result_Round2/Math_94/result.json</x:v>
      </x:c>
    </x:row>
    <x:row r="3342">
      <x:c r="A3342" s="34" t="str">
        <x:v>randoop</x:v>
      </x:c>
      <x:c r="B3342" s="34" t="str">
        <x:v>Math</x:v>
      </x:c>
      <x:c r="C3342" s="34" t="str">
        <x:v>Round2</x:v>
      </x:c>
      <x:c r="D3342" s="34" t="str">
        <x:v>Math_95</x:v>
      </x:c>
      <x:c r="E3342" s="34" t="str">
        <x:v>Line</x:v>
      </x:c>
      <x:c r="F3342" s="34" t="n">
        <x:v>30</x:v>
      </x:c>
      <x:c r="G3342" s="34" t="str">
        <x:v>RECORDED</x:v>
      </x:c>
      <x:c r="H3342" s="38" t="n">
        <x:f>IF(ISNUMBER('Data'!H1634),'Data'!H1634*100,"")</x:f>
        <x:v>100</x:v>
      </x:c>
      <x:c r="I3342" s="34" t="str">
        <x:v>PASS</x:v>
      </x:c>
      <x:c r="J3342" s="34" t="str">
        <x:v>PASS</x:v>
      </x:c>
      <x:c r="K3342" s="34" t="str">
        <x:v>PASS</x:v>
      </x:c>
      <x:c r="L3342" s="34" t="str">
        <x:v>PASS</x:v>
      </x:c>
      <x:c r="M3342" s="34" t="str">
        <x:v>numeric coverage for applicable metric</x:v>
      </x:c>
      <x:c r="N3342" s="34" t="str">
        <x:v>Feedback-Directed Random Test Generation/Result_Round2/Math_95/result.json</x:v>
      </x:c>
      <x:c r="O3342" s="38" t="n">
        <x:f>IF(AND(G3342="RECORDED",ISNUMBER(H3342)),H3342,"")</x:f>
        <x:v>100</x:v>
      </x:c>
      <x:c r="P3342" s="34" t="str">
        <x:v>NOT_AVAILABLE</x:v>
      </x:c>
      <x:c r="Q3342" s="34" t="str">
        <x:v>Feedback-Directed Random Test Generation/Result_Round2/Math_95/result.json</x:v>
      </x:c>
    </x:row>
    <x:row r="3343">
      <x:c r="A3343" s="34" t="str">
        <x:v>randoop</x:v>
      </x:c>
      <x:c r="B3343" s="34" t="str">
        <x:v>Math</x:v>
      </x:c>
      <x:c r="C3343" s="34" t="str">
        <x:v>Round2</x:v>
      </x:c>
      <x:c r="D3343" s="34" t="str">
        <x:v>Math_96</x:v>
      </x:c>
      <x:c r="E3343" s="34" t="str">
        <x:v>Line</x:v>
      </x:c>
      <x:c r="F3343" s="34" t="n">
        <x:v>142</x:v>
      </x:c>
      <x:c r="G3343" s="34" t="str">
        <x:v>RECORDED</x:v>
      </x:c>
      <x:c r="H3343" s="38" t="n">
        <x:f>IF(ISNUMBER('Data'!H1635),'Data'!H1635*100,"")</x:f>
        <x:v>95.07</x:v>
      </x:c>
      <x:c r="I3343" s="34" t="str">
        <x:v>PASS</x:v>
      </x:c>
      <x:c r="J3343" s="34" t="str">
        <x:v>PASS</x:v>
      </x:c>
      <x:c r="K3343" s="34" t="str">
        <x:v>PASS</x:v>
      </x:c>
      <x:c r="L3343" s="34" t="str">
        <x:v>PASS</x:v>
      </x:c>
      <x:c r="M3343" s="34" t="str">
        <x:v>numeric coverage for applicable metric</x:v>
      </x:c>
      <x:c r="N3343" s="34" t="str">
        <x:v>Feedback-Directed Random Test Generation/Result_Round2/Math_96/result.json</x:v>
      </x:c>
      <x:c r="O3343" s="38" t="n">
        <x:f>IF(AND(G3343="RECORDED",ISNUMBER(H3343)),H3343,"")</x:f>
        <x:v>95.07</x:v>
      </x:c>
      <x:c r="P3343" s="34" t="str">
        <x:v>NOT_REVEALING</x:v>
      </x:c>
      <x:c r="Q3343" s="34" t="str">
        <x:v>Feedback-Directed Random Test Generation/Result_Round2/Math_96/result.json</x:v>
      </x:c>
    </x:row>
    <x:row r="3344">
      <x:c r="A3344" s="34" t="str">
        <x:v>randoop</x:v>
      </x:c>
      <x:c r="B3344" s="34" t="str">
        <x:v>Math</x:v>
      </x:c>
      <x:c r="C3344" s="34" t="str">
        <x:v>Round2</x:v>
      </x:c>
      <x:c r="D3344" s="34" t="str">
        <x:v>Math_97</x:v>
      </x:c>
      <x:c r="E3344" s="34" t="str">
        <x:v>Line</x:v>
      </x:c>
      <x:c r="F3344" s="34" t="n">
        <x:v>89</x:v>
      </x:c>
      <x:c r="G3344" s="34" t="str">
        <x:v>RECORDED</x:v>
      </x:c>
      <x:c r="H3344" s="38" t="n">
        <x:f>IF(ISNUMBER('Data'!H1636),'Data'!H1636*100,"")</x:f>
        <x:v>1.12</x:v>
      </x:c>
      <x:c r="I3344" s="34" t="str">
        <x:v>PASS</x:v>
      </x:c>
      <x:c r="J3344" s="34" t="str">
        <x:v>PASS</x:v>
      </x:c>
      <x:c r="K3344" s="34" t="str">
        <x:v>PASS</x:v>
      </x:c>
      <x:c r="L3344" s="34" t="str">
        <x:v>PASS</x:v>
      </x:c>
      <x:c r="M3344" s="34" t="str">
        <x:v>numeric coverage for applicable metric</x:v>
      </x:c>
      <x:c r="N3344" s="34" t="str">
        <x:v>Feedback-Directed Random Test Generation/Result_Round2/Math_97/result.json</x:v>
      </x:c>
      <x:c r="O3344" s="38" t="n">
        <x:f>IF(AND(G3344="RECORDED",ISNUMBER(H3344)),H3344,"")</x:f>
        <x:v>1.12</x:v>
      </x:c>
      <x:c r="P3344" s="34" t="str">
        <x:v>NOT_REVEALING</x:v>
      </x:c>
      <x:c r="Q3344" s="34" t="str">
        <x:v>Feedback-Directed Random Test Generation/Result_Round2/Math_97/result.json</x:v>
      </x:c>
    </x:row>
    <x:row r="3345">
      <x:c r="A3345" s="34" t="str">
        <x:v>randoop</x:v>
      </x:c>
      <x:c r="B3345" s="34" t="str">
        <x:v>Math</x:v>
      </x:c>
      <x:c r="C3345" s="34" t="str">
        <x:v>Round2</x:v>
      </x:c>
      <x:c r="D3345" s="34" t="str">
        <x:v>Math_98</x:v>
      </x:c>
      <x:c r="E3345" s="34" t="str">
        <x:v>Line</x:v>
      </x:c>
      <x:c r="F3345" s="34" t="n">
        <x:v>918</x:v>
      </x:c>
      <x:c r="G3345" s="34" t="str">
        <x:v>RECORDED</x:v>
      </x:c>
      <x:c r="H3345" s="38" t="n">
        <x:f>IF(ISNUMBER('Data'!H1637),'Data'!H1637*100,"")</x:f>
        <x:v>72.98</x:v>
      </x:c>
      <x:c r="I3345" s="34" t="str">
        <x:v>PASS</x:v>
      </x:c>
      <x:c r="J3345" s="34" t="str">
        <x:v>PASS</x:v>
      </x:c>
      <x:c r="K3345" s="34" t="str">
        <x:v>PASS</x:v>
      </x:c>
      <x:c r="L3345" s="34" t="str">
        <x:v>FAIL</x:v>
      </x:c>
      <x:c r="M3345" s="34" t="str">
        <x:v>numeric coverage for applicable metric</x:v>
      </x:c>
      <x:c r="N3345" s="34" t="str">
        <x:v>Feedback-Directed Random Test Generation/Result_Round2/Math_98/result.json</x:v>
      </x:c>
      <x:c r="O3345" s="38" t="n">
        <x:f>IF(AND(G3345="RECORDED",ISNUMBER(H3345)),H3345,"")</x:f>
        <x:v>72.98</x:v>
      </x:c>
      <x:c r="P3345" s="34" t="str">
        <x:v>INCONCLUSIVE</x:v>
      </x:c>
      <x:c r="Q3345" s="34" t="str">
        <x:v>Feedback-Directed Random Test Generation/Result_Round2/Math_98/result.json</x:v>
      </x:c>
    </x:row>
    <x:row r="3346">
      <x:c r="A3346" s="34" t="str">
        <x:v>randoop</x:v>
      </x:c>
      <x:c r="B3346" s="34" t="str">
        <x:v>Math</x:v>
      </x:c>
      <x:c r="C3346" s="34" t="str">
        <x:v>Round2</x:v>
      </x:c>
      <x:c r="D3346" s="34" t="str">
        <x:v>Math_99</x:v>
      </x:c>
      <x:c r="E3346" s="34" t="str">
        <x:v>Line</x:v>
      </x:c>
      <x:c r="F3346" s="34" t="n">
        <x:v>269</x:v>
      </x:c>
      <x:c r="G3346" s="34" t="str">
        <x:v>RECORDED</x:v>
      </x:c>
      <x:c r="H3346" s="38" t="n">
        <x:f>IF(ISNUMBER('Data'!H1638),'Data'!H1638*100,"")</x:f>
        <x:v>76.21</x:v>
      </x:c>
      <x:c r="I3346" s="34" t="str">
        <x:v>PASS</x:v>
      </x:c>
      <x:c r="J3346" s="34" t="str">
        <x:v>PASS</x:v>
      </x:c>
      <x:c r="K3346" s="34" t="str">
        <x:v>PASS</x:v>
      </x:c>
      <x:c r="L3346" s="34" t="str">
        <x:v>PASS</x:v>
      </x:c>
      <x:c r="M3346" s="34" t="str">
        <x:v>numeric coverage for applicable metric</x:v>
      </x:c>
      <x:c r="N3346" s="34" t="str">
        <x:v>Feedback-Directed Random Test Generation/Result_Round2/Math_99/result.json</x:v>
      </x:c>
      <x:c r="O3346" s="38" t="n">
        <x:f>IF(AND(G3346="RECORDED",ISNUMBER(H3346)),H3346,"")</x:f>
        <x:v>76.21</x:v>
      </x:c>
      <x:c r="P3346" s="34" t="str">
        <x:v>NOT_REVEALING</x:v>
      </x:c>
      <x:c r="Q3346" s="34" t="str">
        <x:v>Feedback-Directed Random Test Generation/Result_Round2/Math_99/result.json</x:v>
      </x:c>
    </x:row>
    <x:row r="3347">
      <x:c r="A3347" s="34" t="str">
        <x:v>randoop</x:v>
      </x:c>
      <x:c r="B3347" s="34" t="str">
        <x:v>Math</x:v>
      </x:c>
      <x:c r="C3347" s="34" t="str">
        <x:v>Round2</x:v>
      </x:c>
      <x:c r="D3347" s="34" t="str">
        <x:v>Math_100</x:v>
      </x:c>
      <x:c r="E3347" s="34" t="str">
        <x:v>Line</x:v>
      </x:c>
      <x:c r="F3347" s="34" t="n">
        <x:v>73</x:v>
      </x:c>
      <x:c r="G3347" s="34" t="str">
        <x:v>RECORDED</x:v>
      </x:c>
      <x:c r="H3347" s="38" t="n">
        <x:f>IF(ISNUMBER('Data'!H1639),'Data'!H1639*100,"")</x:f>
        <x:v>0</x:v>
      </x:c>
      <x:c r="I3347" s="34" t="str">
        <x:v>PASS</x:v>
      </x:c>
      <x:c r="J3347" s="34" t="str">
        <x:v>PASS</x:v>
      </x:c>
      <x:c r="K3347" s="34" t="str">
        <x:v>PASS</x:v>
      </x:c>
      <x:c r="L3347" s="34" t="str">
        <x:v>PASS</x:v>
      </x:c>
      <x:c r="M3347" s="34" t="str">
        <x:v>numeric coverage for applicable metric</x:v>
      </x:c>
      <x:c r="N3347" s="34" t="str">
        <x:v>Feedback-Directed Random Test Generation/Result_Round2/Math_100/result.json</x:v>
      </x:c>
      <x:c r="O3347" s="38" t="n">
        <x:f>IF(AND(G3347="RECORDED",ISNUMBER(H3347)),H3347,"")</x:f>
        <x:v>0</x:v>
      </x:c>
      <x:c r="P3347" s="34" t="str">
        <x:v>NOT_REVEALING</x:v>
      </x:c>
      <x:c r="Q3347" s="34" t="str">
        <x:v>Feedback-Directed Random Test Generation/Result_Round2/Math_100/result.json</x:v>
      </x:c>
    </x:row>
    <x:row r="3348">
      <x:c r="A3348" s="34" t="str">
        <x:v>randoop</x:v>
      </x:c>
      <x:c r="B3348" s="34" t="str">
        <x:v>Math</x:v>
      </x:c>
      <x:c r="C3348" s="34" t="str">
        <x:v>Round2</x:v>
      </x:c>
      <x:c r="D3348" s="34" t="str">
        <x:v>Math_101</x:v>
      </x:c>
      <x:c r="E3348" s="34" t="str">
        <x:v>Line</x:v>
      </x:c>
      <x:c r="F3348" s="34" t="n">
        <x:v>143</x:v>
      </x:c>
      <x:c r="G3348" s="34" t="str">
        <x:v>RECORDED</x:v>
      </x:c>
      <x:c r="H3348" s="38" t="n">
        <x:f>IF(ISNUMBER('Data'!H1640),'Data'!H1640*100,"")</x:f>
        <x:v>74.13</x:v>
      </x:c>
      <x:c r="I3348" s="34" t="str">
        <x:v>PASS</x:v>
      </x:c>
      <x:c r="J3348" s="34" t="str">
        <x:v>PASS</x:v>
      </x:c>
      <x:c r="K3348" s="34" t="str">
        <x:v>PASS</x:v>
      </x:c>
      <x:c r="L3348" s="34" t="str">
        <x:v>PASS</x:v>
      </x:c>
      <x:c r="M3348" s="34" t="str">
        <x:v>numeric coverage for applicable metric</x:v>
      </x:c>
      <x:c r="N3348" s="34" t="str">
        <x:v>Feedback-Directed Random Test Generation/Result_Round2/Math_101/result.json</x:v>
      </x:c>
      <x:c r="O3348" s="38" t="n">
        <x:f>IF(AND(G3348="RECORDED",ISNUMBER(H3348)),H3348,"")</x:f>
        <x:v>74.13</x:v>
      </x:c>
      <x:c r="P3348" s="34" t="str">
        <x:v>NOT_REVEALING</x:v>
      </x:c>
      <x:c r="Q3348" s="34" t="str">
        <x:v>Feedback-Directed Random Test Generation/Result_Round2/Math_101/result.json</x:v>
      </x:c>
    </x:row>
    <x:row r="3349">
      <x:c r="A3349" s="34" t="str">
        <x:v>randoop</x:v>
      </x:c>
      <x:c r="B3349" s="34" t="str">
        <x:v>Math</x:v>
      </x:c>
      <x:c r="C3349" s="34" t="str">
        <x:v>Round2</x:v>
      </x:c>
      <x:c r="D3349" s="34" t="str">
        <x:v>Math_102</x:v>
      </x:c>
      <x:c r="E3349" s="34" t="str">
        <x:v>Line</x:v>
      </x:c>
      <x:c r="F3349" s="34" t="n">
        <x:v>111</x:v>
      </x:c>
      <x:c r="G3349" s="34" t="str">
        <x:v>RECORDED</x:v>
      </x:c>
      <x:c r="H3349" s="38" t="n">
        <x:f>IF(ISNUMBER('Data'!H1641),'Data'!H1641*100,"")</x:f>
        <x:v>97.3</x:v>
      </x:c>
      <x:c r="I3349" s="34" t="str">
        <x:v>PASS</x:v>
      </x:c>
      <x:c r="J3349" s="34" t="str">
        <x:v>PASS</x:v>
      </x:c>
      <x:c r="K3349" s="34" t="str">
        <x:v>PASS</x:v>
      </x:c>
      <x:c r="L3349" s="34" t="str">
        <x:v>PASS</x:v>
      </x:c>
      <x:c r="M3349" s="34" t="str">
        <x:v>numeric coverage for applicable metric</x:v>
      </x:c>
      <x:c r="N3349" s="34" t="str">
        <x:v>Feedback-Directed Random Test Generation/Result_Round2/Math_102/result.json</x:v>
      </x:c>
      <x:c r="O3349" s="38" t="n">
        <x:f>IF(AND(G3349="RECORDED",ISNUMBER(H3349)),H3349,"")</x:f>
        <x:v>97.3</x:v>
      </x:c>
      <x:c r="P3349" s="34" t="str">
        <x:v>INCONCLUSIVE</x:v>
      </x:c>
      <x:c r="Q3349" s="34" t="str">
        <x:v>Feedback-Directed Random Test Generation/Result_Round2/Math_102/result.json</x:v>
      </x:c>
    </x:row>
    <x:row r="3350">
      <x:c r="A3350" s="34" t="str">
        <x:v>randoop</x:v>
      </x:c>
      <x:c r="B3350" s="34" t="str">
        <x:v>Math</x:v>
      </x:c>
      <x:c r="C3350" s="34" t="str">
        <x:v>Round2</x:v>
      </x:c>
      <x:c r="D3350" s="34" t="str">
        <x:v>Math_103</x:v>
      </x:c>
      <x:c r="E3350" s="34" t="str">
        <x:v>Line</x:v>
      </x:c>
      <x:c r="F3350" s="34" t="n">
        <x:v>37</x:v>
      </x:c>
      <x:c r="G3350" s="34" t="str">
        <x:v>RECORDED</x:v>
      </x:c>
      <x:c r="H3350" s="38" t="n">
        <x:f>IF(ISNUMBER('Data'!H1642),'Data'!H1642*100,"")</x:f>
        <x:v>100</x:v>
      </x:c>
      <x:c r="I3350" s="34" t="str">
        <x:v>PASS</x:v>
      </x:c>
      <x:c r="J3350" s="34" t="str">
        <x:v>PASS</x:v>
      </x:c>
      <x:c r="K3350" s="34" t="str">
        <x:v>PASS</x:v>
      </x:c>
      <x:c r="L3350" s="34" t="str">
        <x:v>PASS</x:v>
      </x:c>
      <x:c r="M3350" s="34" t="str">
        <x:v>numeric coverage for applicable metric</x:v>
      </x:c>
      <x:c r="N3350" s="34" t="str">
        <x:v>Feedback-Directed Random Test Generation/Result_Round2/Math_103/result.json</x:v>
      </x:c>
      <x:c r="O3350" s="38" t="n">
        <x:f>IF(AND(G3350="RECORDED",ISNUMBER(H3350)),H3350,"")</x:f>
        <x:v>100</x:v>
      </x:c>
      <x:c r="P3350" s="34" t="str">
        <x:v>INCONCLUSIVE</x:v>
      </x:c>
      <x:c r="Q3350" s="34" t="str">
        <x:v>Feedback-Directed Random Test Generation/Result_Round2/Math_103/result.json</x:v>
      </x:c>
    </x:row>
    <x:row r="3351">
      <x:c r="A3351" s="34" t="str">
        <x:v>randoop</x:v>
      </x:c>
      <x:c r="B3351" s="34" t="str">
        <x:v>Math</x:v>
      </x:c>
      <x:c r="C3351" s="34" t="str">
        <x:v>Round2</x:v>
      </x:c>
      <x:c r="D3351" s="34" t="str">
        <x:v>Math_104</x:v>
      </x:c>
      <x:c r="E3351" s="34" t="str">
        <x:v>Line</x:v>
      </x:c>
      <x:c r="F3351" s="34" t="n">
        <x:v>47</x:v>
      </x:c>
      <x:c r="G3351" s="34" t="str">
        <x:v>RECORDED</x:v>
      </x:c>
      <x:c r="H3351" s="38" t="n">
        <x:f>IF(ISNUMBER('Data'!H1643),'Data'!H1643*100,"")</x:f>
        <x:v>95.74</x:v>
      </x:c>
      <x:c r="I3351" s="34" t="str">
        <x:v>PASS</x:v>
      </x:c>
      <x:c r="J3351" s="34" t="str">
        <x:v>PASS</x:v>
      </x:c>
      <x:c r="K3351" s="34" t="str">
        <x:v>PASS</x:v>
      </x:c>
      <x:c r="L3351" s="34" t="str">
        <x:v>PASS</x:v>
      </x:c>
      <x:c r="M3351" s="34" t="str">
        <x:v>numeric coverage for applicable metric</x:v>
      </x:c>
      <x:c r="N3351" s="34" t="str">
        <x:v>Feedback-Directed Random Test Generation/Result_Round2/Math_104/result.json</x:v>
      </x:c>
      <x:c r="O3351" s="38" t="n">
        <x:f>IF(AND(G3351="RECORDED",ISNUMBER(H3351)),H3351,"")</x:f>
        <x:v>95.74</x:v>
      </x:c>
      <x:c r="P3351" s="34" t="str">
        <x:v>INCONCLUSIVE</x:v>
      </x:c>
      <x:c r="Q3351" s="34" t="str">
        <x:v>Feedback-Directed Random Test Generation/Result_Round2/Math_104/result.json</x:v>
      </x:c>
    </x:row>
    <x:row r="3352">
      <x:c r="A3352" s="34" t="str">
        <x:v>randoop</x:v>
      </x:c>
      <x:c r="B3352" s="34" t="str">
        <x:v>Math</x:v>
      </x:c>
      <x:c r="C3352" s="34" t="str">
        <x:v>Round2</x:v>
      </x:c>
      <x:c r="D3352" s="34" t="str">
        <x:v>Math_105</x:v>
      </x:c>
      <x:c r="E3352" s="34" t="str">
        <x:v>Line</x:v>
      </x:c>
      <x:c r="F3352" s="34" t="n">
        <x:v>71</x:v>
      </x:c>
      <x:c r="G3352" s="34" t="str">
        <x:v>RECORDED</x:v>
      </x:c>
      <x:c r="H3352" s="38" t="n">
        <x:f>IF(ISNUMBER('Data'!H1644),'Data'!H1644*100,"")</x:f>
        <x:v>100</x:v>
      </x:c>
      <x:c r="I3352" s="34" t="str">
        <x:v>PASS</x:v>
      </x:c>
      <x:c r="J3352" s="34" t="str">
        <x:v>PASS</x:v>
      </x:c>
      <x:c r="K3352" s="34" t="str">
        <x:v>PASS</x:v>
      </x:c>
      <x:c r="L3352" s="34" t="str">
        <x:v>PASS</x:v>
      </x:c>
      <x:c r="M3352" s="34" t="str">
        <x:v>numeric coverage for applicable metric</x:v>
      </x:c>
      <x:c r="N3352" s="34" t="str">
        <x:v>Feedback-Directed Random Test Generation/Result_Round2/Math_105/result.json</x:v>
      </x:c>
      <x:c r="O3352" s="38" t="n">
        <x:f>IF(AND(G3352="RECORDED",ISNUMBER(H3352)),H3352,"")</x:f>
        <x:v>100</x:v>
      </x:c>
      <x:c r="P3352" s="34" t="str">
        <x:v>INCONCLUSIVE</x:v>
      </x:c>
      <x:c r="Q3352" s="34" t="str">
        <x:v>Feedback-Directed Random Test Generation/Result_Round2/Math_105/result.json</x:v>
      </x:c>
    </x:row>
    <x:row r="3353">
      <x:c r="A3353" s="34" t="str">
        <x:v>randoop</x:v>
      </x:c>
      <x:c r="B3353" s="34" t="str">
        <x:v>Math</x:v>
      </x:c>
      <x:c r="C3353" s="34" t="str">
        <x:v>Round2</x:v>
      </x:c>
      <x:c r="D3353" s="34" t="str">
        <x:v>Math_106</x:v>
      </x:c>
      <x:c r="E3353" s="34" t="str">
        <x:v>Line</x:v>
      </x:c>
      <x:c r="F3353" s="34" t="n">
        <x:v>57</x:v>
      </x:c>
      <x:c r="G3353" s="34" t="str">
        <x:v>RECORDED</x:v>
      </x:c>
      <x:c r="H3353" s="38" t="n">
        <x:f>IF(ISNUMBER('Data'!H1645),'Data'!H1645*100,"")</x:f>
        <x:v>85.96</x:v>
      </x:c>
      <x:c r="I3353" s="34" t="str">
        <x:v>PASS</x:v>
      </x:c>
      <x:c r="J3353" s="34" t="str">
        <x:v>PASS</x:v>
      </x:c>
      <x:c r="K3353" s="34" t="str">
        <x:v>PASS</x:v>
      </x:c>
      <x:c r="L3353" s="34" t="str">
        <x:v>PASS</x:v>
      </x:c>
      <x:c r="M3353" s="34" t="str">
        <x:v>numeric coverage for applicable metric</x:v>
      </x:c>
      <x:c r="N3353" s="34" t="str">
        <x:v>Feedback-Directed Random Test Generation/Result_Round2/Math_106/result.json</x:v>
      </x:c>
      <x:c r="O3353" s="38" t="n">
        <x:f>IF(AND(G3353="RECORDED",ISNUMBER(H3353)),H3353,"")</x:f>
        <x:v>85.96</x:v>
      </x:c>
      <x:c r="P3353" s="34" t="str">
        <x:v>NOT_REVEALING</x:v>
      </x:c>
      <x:c r="Q3353" s="34" t="str">
        <x:v>Feedback-Directed Random Test Generation/Result_Round2/Math_106/result.json</x:v>
      </x:c>
    </x:row>
    <x:row r="3354">
      <x:c r="A3354" s="34" t="str">
        <x:v>randoop</x:v>
      </x:c>
      <x:c r="B3354" s="34" t="str">
        <x:v>Mockito</x:v>
      </x:c>
      <x:c r="C3354" s="34" t="str">
        <x:v>Round2</x:v>
      </x:c>
      <x:c r="D3354" s="34" t="str">
        <x:v>Mockito_1</x:v>
      </x:c>
      <x:c r="E3354" s="34" t="str">
        <x:v>Line</x:v>
      </x:c>
      <x:c r="F3354" s="34" t="n">
        <x:v>0</x:v>
      </x:c>
      <x:c r="G3354" s="34" t="str">
        <x:v>A</x:v>
      </x:c>
      <x:c r="H3354" s="38" t="str">
        <x:f>IF(ISNUMBER('Data'!H1646),'Data'!H1646*100,"")</x:f>
      </x:c>
      <x:c r="I3354" s="34"/>
      <x:c r="J3354" s="34"/>
      <x:c r="K3354" s="34"/>
      <x:c r="L3354" s="34" t="str">
        <x:v>NOT_RUN</x:v>
      </x:c>
      <x:c r="M3354" s="34" t="str">
        <x:v>Latest same-round generation failed; older files/results are excluded</x:v>
      </x:c>
      <x:c r="N3354" s="34" t="str">
        <x:v>Feedback-Directed Random Test Generation/report_Round2.csv</x:v>
      </x:c>
      <x:c r="O3354" s="38" t="str">
        <x:f>IF(AND(G3354="RECORDED",ISNUMBER(H3354)),H3354,"")</x:f>
      </x:c>
      <x:c r="P3354" s="34" t="str">
        <x:v>FAIL</x:v>
      </x:c>
      <x:c r="Q3354" s="34"/>
    </x:row>
    <x:row r="3355">
      <x:c r="A3355" s="34" t="str">
        <x:v>randoop</x:v>
      </x:c>
      <x:c r="B3355" s="34" t="str">
        <x:v>Mockito</x:v>
      </x:c>
      <x:c r="C3355" s="34" t="str">
        <x:v>Round2</x:v>
      </x:c>
      <x:c r="D3355" s="34" t="str">
        <x:v>Mockito_2</x:v>
      </x:c>
      <x:c r="E3355" s="34" t="str">
        <x:v>Line</x:v>
      </x:c>
      <x:c r="F3355" s="34" t="n">
        <x:v>0</x:v>
      </x:c>
      <x:c r="G3355" s="34" t="str">
        <x:v>A</x:v>
      </x:c>
      <x:c r="H3355" s="38" t="str">
        <x:f>IF(ISNUMBER('Data'!H1647),'Data'!H1647*100,"")</x:f>
      </x:c>
      <x:c r="I3355" s="34"/>
      <x:c r="J3355" s="34" t="str">
        <x:v>FAIL</x:v>
      </x:c>
      <x:c r="K3355" s="34"/>
      <x:c r="L3355" s="34" t="str">
        <x:v>NOT_RUN</x:v>
      </x:c>
      <x:c r="M3355" s="34" t="str">
        <x:v>coverage unavailable or execution/compile failed</x:v>
      </x:c>
      <x:c r="N3355" s="34" t="str">
        <x:v>Feedback-Directed Random Test Generation/Result_Round2/Mockito_2/result.json</x:v>
      </x:c>
      <x:c r="O3355" s="38" t="str">
        <x:f>IF(AND(G3355="RECORDED",ISNUMBER(H3355)),H3355,"")</x:f>
      </x:c>
      <x:c r="P3355" s="34" t="str">
        <x:v>NOT_AVAILABLE</x:v>
      </x:c>
      <x:c r="Q3355" s="34" t="str">
        <x:v>Feedback-Directed Random Test Generation/Result_Round2/Mockito_2/result.json</x:v>
      </x:c>
    </x:row>
    <x:row r="3356">
      <x:c r="A3356" s="34" t="str">
        <x:v>randoop</x:v>
      </x:c>
      <x:c r="B3356" s="34" t="str">
        <x:v>Mockito</x:v>
      </x:c>
      <x:c r="C3356" s="34" t="str">
        <x:v>Round2</x:v>
      </x:c>
      <x:c r="D3356" s="34" t="str">
        <x:v>Mockito_3</x:v>
      </x:c>
      <x:c r="E3356" s="34" t="str">
        <x:v>Line</x:v>
      </x:c>
      <x:c r="F3356" s="34" t="n">
        <x:v>0</x:v>
      </x:c>
      <x:c r="G3356" s="34" t="str">
        <x:v>A</x:v>
      </x:c>
      <x:c r="H3356" s="38" t="str">
        <x:f>IF(ISNUMBER('Data'!H1648),'Data'!H1648*100,"")</x:f>
      </x:c>
      <x:c r="I3356" s="34"/>
      <x:c r="J3356" s="34"/>
      <x:c r="K3356" s="34"/>
      <x:c r="L3356" s="34" t="str">
        <x:v>NOT_RUN</x:v>
      </x:c>
      <x:c r="M3356" s="34" t="str">
        <x:v>Latest same-round generation failed; older files/results are excluded</x:v>
      </x:c>
      <x:c r="N3356" s="34" t="str">
        <x:v>Feedback-Directed Random Test Generation/report_Round2.csv</x:v>
      </x:c>
      <x:c r="O3356" s="38" t="str">
        <x:f>IF(AND(G3356="RECORDED",ISNUMBER(H3356)),H3356,"")</x:f>
      </x:c>
      <x:c r="P3356" s="34" t="str">
        <x:v>FAIL</x:v>
      </x:c>
      <x:c r="Q3356" s="34"/>
    </x:row>
    <x:row r="3357">
      <x:c r="A3357" s="34" t="str">
        <x:v>randoop</x:v>
      </x:c>
      <x:c r="B3357" s="34" t="str">
        <x:v>Mockito</x:v>
      </x:c>
      <x:c r="C3357" s="34" t="str">
        <x:v>Round2</x:v>
      </x:c>
      <x:c r="D3357" s="34" t="str">
        <x:v>Mockito_4</x:v>
      </x:c>
      <x:c r="E3357" s="34" t="str">
        <x:v>Line</x:v>
      </x:c>
      <x:c r="F3357" s="34" t="n">
        <x:v>0</x:v>
      </x:c>
      <x:c r="G3357" s="34" t="str">
        <x:v>A</x:v>
      </x:c>
      <x:c r="H3357" s="38" t="str">
        <x:f>IF(ISNUMBER('Data'!H1649),'Data'!H1649*100,"")</x:f>
      </x:c>
      <x:c r="I3357" s="34"/>
      <x:c r="J3357" s="34"/>
      <x:c r="K3357" s="34"/>
      <x:c r="L3357" s="34" t="str">
        <x:v>NOT_RUN</x:v>
      </x:c>
      <x:c r="M3357" s="34" t="str">
        <x:v>Latest same-round generation failed; older files/results are excluded</x:v>
      </x:c>
      <x:c r="N3357" s="34" t="str">
        <x:v>Feedback-Directed Random Test Generation/report_Round2.csv</x:v>
      </x:c>
      <x:c r="O3357" s="38" t="str">
        <x:f>IF(AND(G3357="RECORDED",ISNUMBER(H3357)),H3357,"")</x:f>
      </x:c>
      <x:c r="P3357" s="34" t="str">
        <x:v>FAIL</x:v>
      </x:c>
      <x:c r="Q3357" s="34"/>
    </x:row>
    <x:row r="3358">
      <x:c r="A3358" s="34" t="str">
        <x:v>randoop</x:v>
      </x:c>
      <x:c r="B3358" s="34" t="str">
        <x:v>Mockito</x:v>
      </x:c>
      <x:c r="C3358" s="34" t="str">
        <x:v>Round2</x:v>
      </x:c>
      <x:c r="D3358" s="34" t="str">
        <x:v>Mockito_5</x:v>
      </x:c>
      <x:c r="E3358" s="34" t="str">
        <x:v>Line</x:v>
      </x:c>
      <x:c r="F3358" s="34" t="n">
        <x:v>0</x:v>
      </x:c>
      <x:c r="G3358" s="34" t="str">
        <x:v>A</x:v>
      </x:c>
      <x:c r="H3358" s="38" t="str">
        <x:f>IF(ISNUMBER('Data'!H1650),'Data'!H1650*100,"")</x:f>
      </x:c>
      <x:c r="I3358" s="34"/>
      <x:c r="J3358" s="34"/>
      <x:c r="K3358" s="34"/>
      <x:c r="L3358" s="34" t="str">
        <x:v>NOT_RUN</x:v>
      </x:c>
      <x:c r="M3358" s="34" t="str">
        <x:v>Latest same-round generation failed; older files/results are excluded</x:v>
      </x:c>
      <x:c r="N3358" s="34" t="str">
        <x:v>Feedback-Directed Random Test Generation/report_Round2.csv</x:v>
      </x:c>
      <x:c r="O3358" s="38" t="str">
        <x:f>IF(AND(G3358="RECORDED",ISNUMBER(H3358)),H3358,"")</x:f>
      </x:c>
      <x:c r="P3358" s="34" t="str">
        <x:v>FAIL</x:v>
      </x:c>
      <x:c r="Q3358" s="34"/>
    </x:row>
    <x:row r="3359">
      <x:c r="A3359" s="34" t="str">
        <x:v>randoop</x:v>
      </x:c>
      <x:c r="B3359" s="34" t="str">
        <x:v>Mockito</x:v>
      </x:c>
      <x:c r="C3359" s="34" t="str">
        <x:v>Round2</x:v>
      </x:c>
      <x:c r="D3359" s="34" t="str">
        <x:v>Mockito_6</x:v>
      </x:c>
      <x:c r="E3359" s="34" t="str">
        <x:v>Line</x:v>
      </x:c>
      <x:c r="F3359" s="34" t="n">
        <x:v>0</x:v>
      </x:c>
      <x:c r="G3359" s="34" t="str">
        <x:v>A</x:v>
      </x:c>
      <x:c r="H3359" s="38" t="str">
        <x:f>IF(ISNUMBER('Data'!H1651),'Data'!H1651*100,"")</x:f>
      </x:c>
      <x:c r="I3359" s="34"/>
      <x:c r="J3359" s="34"/>
      <x:c r="K3359" s="34"/>
      <x:c r="L3359" s="34" t="str">
        <x:v>NOT_RUN</x:v>
      </x:c>
      <x:c r="M3359" s="34" t="str">
        <x:v>Latest same-round generation failed; older files/results are excluded</x:v>
      </x:c>
      <x:c r="N3359" s="34" t="str">
        <x:v>Feedback-Directed Random Test Generation/report_Round2.csv</x:v>
      </x:c>
      <x:c r="O3359" s="38" t="str">
        <x:f>IF(AND(G3359="RECORDED",ISNUMBER(H3359)),H3359,"")</x:f>
      </x:c>
      <x:c r="P3359" s="34" t="str">
        <x:v>FAIL</x:v>
      </x:c>
      <x:c r="Q3359" s="34"/>
    </x:row>
    <x:row r="3360">
      <x:c r="A3360" s="34" t="str">
        <x:v>randoop</x:v>
      </x:c>
      <x:c r="B3360" s="34" t="str">
        <x:v>Mockito</x:v>
      </x:c>
      <x:c r="C3360" s="34" t="str">
        <x:v>Round2</x:v>
      </x:c>
      <x:c r="D3360" s="34" t="str">
        <x:v>Mockito_7</x:v>
      </x:c>
      <x:c r="E3360" s="34" t="str">
        <x:v>Line</x:v>
      </x:c>
      <x:c r="F3360" s="34" t="n">
        <x:v>0</x:v>
      </x:c>
      <x:c r="G3360" s="34" t="str">
        <x:v>A</x:v>
      </x:c>
      <x:c r="H3360" s="38" t="str">
        <x:f>IF(ISNUMBER('Data'!H1652),'Data'!H1652*100,"")</x:f>
      </x:c>
      <x:c r="I3360" s="34"/>
      <x:c r="J3360" s="34"/>
      <x:c r="K3360" s="34"/>
      <x:c r="L3360" s="34" t="str">
        <x:v>NOT_RUN</x:v>
      </x:c>
      <x:c r="M3360" s="34" t="str">
        <x:v>Latest same-round generation failed; older files/results are excluded</x:v>
      </x:c>
      <x:c r="N3360" s="34" t="str">
        <x:v>Feedback-Directed Random Test Generation/report_Round2.csv</x:v>
      </x:c>
      <x:c r="O3360" s="38" t="str">
        <x:f>IF(AND(G3360="RECORDED",ISNUMBER(H3360)),H3360,"")</x:f>
      </x:c>
      <x:c r="P3360" s="34" t="str">
        <x:v>FAIL</x:v>
      </x:c>
      <x:c r="Q3360" s="34"/>
    </x:row>
    <x:row r="3361">
      <x:c r="A3361" s="34" t="str">
        <x:v>randoop</x:v>
      </x:c>
      <x:c r="B3361" s="34" t="str">
        <x:v>Mockito</x:v>
      </x:c>
      <x:c r="C3361" s="34" t="str">
        <x:v>Round2</x:v>
      </x:c>
      <x:c r="D3361" s="34" t="str">
        <x:v>Mockito_8</x:v>
      </x:c>
      <x:c r="E3361" s="34" t="str">
        <x:v>Line</x:v>
      </x:c>
      <x:c r="F3361" s="34" t="n">
        <x:v>0</x:v>
      </x:c>
      <x:c r="G3361" s="34" t="str">
        <x:v>A</x:v>
      </x:c>
      <x:c r="H3361" s="38" t="str">
        <x:f>IF(ISNUMBER('Data'!H1653),'Data'!H1653*100,"")</x:f>
      </x:c>
      <x:c r="I3361" s="34"/>
      <x:c r="J3361" s="34"/>
      <x:c r="K3361" s="34"/>
      <x:c r="L3361" s="34" t="str">
        <x:v>NOT_RUN</x:v>
      </x:c>
      <x:c r="M3361" s="34" t="str">
        <x:v>Latest same-round generation failed; older files/results are excluded</x:v>
      </x:c>
      <x:c r="N3361" s="34" t="str">
        <x:v>Feedback-Directed Random Test Generation/report_Round2.csv</x:v>
      </x:c>
      <x:c r="O3361" s="38" t="str">
        <x:f>IF(AND(G3361="RECORDED",ISNUMBER(H3361)),H3361,"")</x:f>
      </x:c>
      <x:c r="P3361" s="34" t="str">
        <x:v>FAIL</x:v>
      </x:c>
      <x:c r="Q3361" s="34"/>
    </x:row>
    <x:row r="3362">
      <x:c r="A3362" s="34" t="str">
        <x:v>randoop</x:v>
      </x:c>
      <x:c r="B3362" s="34" t="str">
        <x:v>Mockito</x:v>
      </x:c>
      <x:c r="C3362" s="34" t="str">
        <x:v>Round2</x:v>
      </x:c>
      <x:c r="D3362" s="34" t="str">
        <x:v>Mockito_9</x:v>
      </x:c>
      <x:c r="E3362" s="34" t="str">
        <x:v>Line</x:v>
      </x:c>
      <x:c r="F3362" s="34" t="n">
        <x:v>0</x:v>
      </x:c>
      <x:c r="G3362" s="34" t="str">
        <x:v>A</x:v>
      </x:c>
      <x:c r="H3362" s="38" t="str">
        <x:f>IF(ISNUMBER('Data'!H1654),'Data'!H1654*100,"")</x:f>
      </x:c>
      <x:c r="I3362" s="34"/>
      <x:c r="J3362" s="34"/>
      <x:c r="K3362" s="34"/>
      <x:c r="L3362" s="34" t="str">
        <x:v>NOT_RUN</x:v>
      </x:c>
      <x:c r="M3362" s="34" t="str">
        <x:v>Latest same-round generation failed; older files/results are excluded</x:v>
      </x:c>
      <x:c r="N3362" s="34" t="str">
        <x:v>Feedback-Directed Random Test Generation/report_Round2.csv</x:v>
      </x:c>
      <x:c r="O3362" s="38" t="str">
        <x:f>IF(AND(G3362="RECORDED",ISNUMBER(H3362)),H3362,"")</x:f>
      </x:c>
      <x:c r="P3362" s="34" t="str">
        <x:v>FAIL</x:v>
      </x:c>
      <x:c r="Q3362" s="34"/>
    </x:row>
    <x:row r="3363">
      <x:c r="A3363" s="34" t="str">
        <x:v>randoop</x:v>
      </x:c>
      <x:c r="B3363" s="34" t="str">
        <x:v>Mockito</x:v>
      </x:c>
      <x:c r="C3363" s="34" t="str">
        <x:v>Round2</x:v>
      </x:c>
      <x:c r="D3363" s="34" t="str">
        <x:v>Mockito_10</x:v>
      </x:c>
      <x:c r="E3363" s="34" t="str">
        <x:v>Line</x:v>
      </x:c>
      <x:c r="F3363" s="34" t="n">
        <x:v>42</x:v>
      </x:c>
      <x:c r="G3363" s="34" t="str">
        <x:v>RECORDED</x:v>
      </x:c>
      <x:c r="H3363" s="38" t="n">
        <x:f>IF(ISNUMBER('Data'!H1655),'Data'!H1655*100,"")</x:f>
        <x:v>9.52</x:v>
      </x:c>
      <x:c r="I3363" s="34" t="str">
        <x:v>PASS</x:v>
      </x:c>
      <x:c r="J3363" s="34" t="str">
        <x:v>PASS</x:v>
      </x:c>
      <x:c r="K3363" s="34" t="str">
        <x:v>PASS</x:v>
      </x:c>
      <x:c r="L3363" s="34" t="str">
        <x:v>PASS</x:v>
      </x:c>
      <x:c r="M3363" s="34" t="str">
        <x:v>numeric coverage for applicable metric</x:v>
      </x:c>
      <x:c r="N3363" s="34" t="str">
        <x:v>Feedback-Directed Random Test Generation/Result_Round2/Mockito_10/result.json</x:v>
      </x:c>
      <x:c r="O3363" s="38" t="n">
        <x:f>IF(AND(G3363="RECORDED",ISNUMBER(H3363)),H3363,"")</x:f>
        <x:v>9.52</x:v>
      </x:c>
      <x:c r="P3363" s="34" t="str">
        <x:v>NOT_REVEALING</x:v>
      </x:c>
      <x:c r="Q3363" s="34" t="str">
        <x:v>Feedback-Directed Random Test Generation/Result_Round2/Mockito_10/result.json</x:v>
      </x:c>
    </x:row>
    <x:row r="3364">
      <x:c r="A3364" s="34" t="str">
        <x:v>randoop</x:v>
      </x:c>
      <x:c r="B3364" s="34" t="str">
        <x:v>Mockito</x:v>
      </x:c>
      <x:c r="C3364" s="34" t="str">
        <x:v>Round2</x:v>
      </x:c>
      <x:c r="D3364" s="34" t="str">
        <x:v>Mockito_11</x:v>
      </x:c>
      <x:c r="E3364" s="34" t="str">
        <x:v>Line</x:v>
      </x:c>
      <x:c r="F3364" s="34" t="n">
        <x:v>14</x:v>
      </x:c>
      <x:c r="G3364" s="34" t="str">
        <x:v>RECORDED</x:v>
      </x:c>
      <x:c r="H3364" s="38" t="n">
        <x:f>IF(ISNUMBER('Data'!H1656),'Data'!H1656*100,"")</x:f>
        <x:v>0</x:v>
      </x:c>
      <x:c r="I3364" s="34" t="str">
        <x:v>PASS</x:v>
      </x:c>
      <x:c r="J3364" s="34" t="str">
        <x:v>PASS</x:v>
      </x:c>
      <x:c r="K3364" s="34" t="str">
        <x:v>PASS</x:v>
      </x:c>
      <x:c r="L3364" s="34" t="str">
        <x:v>PASS</x:v>
      </x:c>
      <x:c r="M3364" s="34" t="str">
        <x:v>numeric coverage for applicable metric</x:v>
      </x:c>
      <x:c r="N3364" s="34" t="str">
        <x:v>Feedback-Directed Random Test Generation/Result_Round2/Mockito_11/result.json</x:v>
      </x:c>
      <x:c r="O3364" s="38" t="n">
        <x:f>IF(AND(G3364="RECORDED",ISNUMBER(H3364)),H3364,"")</x:f>
        <x:v>0</x:v>
      </x:c>
      <x:c r="P3364" s="34" t="str">
        <x:v>NOT_REVEALING</x:v>
      </x:c>
      <x:c r="Q3364" s="34" t="str">
        <x:v>Feedback-Directed Random Test Generation/Result_Round2/Mockito_11/result.json</x:v>
      </x:c>
    </x:row>
    <x:row r="3365">
      <x:c r="A3365" s="34" t="str">
        <x:v>randoop</x:v>
      </x:c>
      <x:c r="B3365" s="34" t="str">
        <x:v>Mockito</x:v>
      </x:c>
      <x:c r="C3365" s="34" t="str">
        <x:v>Round2</x:v>
      </x:c>
      <x:c r="D3365" s="34" t="str">
        <x:v>Mockito_12</x:v>
      </x:c>
      <x:c r="E3365" s="34" t="str">
        <x:v>Line</x:v>
      </x:c>
      <x:c r="F3365" s="34" t="n">
        <x:v>6</x:v>
      </x:c>
      <x:c r="G3365" s="34" t="str">
        <x:v>RECORDED</x:v>
      </x:c>
      <x:c r="H3365" s="38" t="n">
        <x:f>IF(ISNUMBER('Data'!H1657),'Data'!H1657*100,"")</x:f>
        <x:v>33.33</x:v>
      </x:c>
      <x:c r="I3365" s="34" t="str">
        <x:v>PASS</x:v>
      </x:c>
      <x:c r="J3365" s="34" t="str">
        <x:v>PASS</x:v>
      </x:c>
      <x:c r="K3365" s="34" t="str">
        <x:v>PASS</x:v>
      </x:c>
      <x:c r="L3365" s="34" t="str">
        <x:v>PASS</x:v>
      </x:c>
      <x:c r="M3365" s="34" t="str">
        <x:v>numeric coverage for applicable metric</x:v>
      </x:c>
      <x:c r="N3365" s="34" t="str">
        <x:v>Feedback-Directed Random Test Generation/Result_Round2/Mockito_12/result.json</x:v>
      </x:c>
      <x:c r="O3365" s="38" t="n">
        <x:f>IF(AND(G3365="RECORDED",ISNUMBER(H3365)),H3365,"")</x:f>
        <x:v>33.33</x:v>
      </x:c>
      <x:c r="P3365" s="34" t="str">
        <x:v>NOT_REVEALING</x:v>
      </x:c>
      <x:c r="Q3365" s="34" t="str">
        <x:v>Feedback-Directed Random Test Generation/Result_Round2/Mockito_12/result.json</x:v>
      </x:c>
    </x:row>
    <x:row r="3366">
      <x:c r="A3366" s="34" t="str">
        <x:v>randoop</x:v>
      </x:c>
      <x:c r="B3366" s="34" t="str">
        <x:v>Mockito</x:v>
      </x:c>
      <x:c r="C3366" s="34" t="str">
        <x:v>Round2</x:v>
      </x:c>
      <x:c r="D3366" s="34" t="str">
        <x:v>Mockito_13</x:v>
      </x:c>
      <x:c r="E3366" s="34" t="str">
        <x:v>Line</x:v>
      </x:c>
      <x:c r="F3366" s="34" t="n">
        <x:v>40</x:v>
      </x:c>
      <x:c r="G3366" s="34" t="str">
        <x:v>RECORDED</x:v>
      </x:c>
      <x:c r="H3366" s="38" t="n">
        <x:f>IF(ISNUMBER('Data'!H1658),'Data'!H1658*100,"")</x:f>
        <x:v>50</x:v>
      </x:c>
      <x:c r="I3366" s="34" t="str">
        <x:v>PASS</x:v>
      </x:c>
      <x:c r="J3366" s="34" t="str">
        <x:v>PASS</x:v>
      </x:c>
      <x:c r="K3366" s="34" t="str">
        <x:v>PASS</x:v>
      </x:c>
      <x:c r="L3366" s="34" t="str">
        <x:v>PASS</x:v>
      </x:c>
      <x:c r="M3366" s="34" t="str">
        <x:v>numeric coverage for applicable metric</x:v>
      </x:c>
      <x:c r="N3366" s="34" t="str">
        <x:v>Feedback-Directed Random Test Generation/Result_Round2/Mockito_13/result.json</x:v>
      </x:c>
      <x:c r="O3366" s="38" t="n">
        <x:f>IF(AND(G3366="RECORDED",ISNUMBER(H3366)),H3366,"")</x:f>
        <x:v>50</x:v>
      </x:c>
      <x:c r="P3366" s="34" t="str">
        <x:v>NOT_REVEALING</x:v>
      </x:c>
      <x:c r="Q3366" s="34" t="str">
        <x:v>Feedback-Directed Random Test Generation/Result_Round2/Mockito_13/result.json</x:v>
      </x:c>
    </x:row>
    <x:row r="3367">
      <x:c r="A3367" s="34" t="str">
        <x:v>randoop</x:v>
      </x:c>
      <x:c r="B3367" s="34" t="str">
        <x:v>Mockito</x:v>
      </x:c>
      <x:c r="C3367" s="34" t="str">
        <x:v>Round2</x:v>
      </x:c>
      <x:c r="D3367" s="34" t="str">
        <x:v>Mockito_14</x:v>
      </x:c>
      <x:c r="E3367" s="34" t="str">
        <x:v>Line</x:v>
      </x:c>
      <x:c r="F3367" s="34" t="n">
        <x:v>0</x:v>
      </x:c>
      <x:c r="G3367" s="34" t="str">
        <x:v>A</x:v>
      </x:c>
      <x:c r="H3367" s="38" t="str">
        <x:f>IF(ISNUMBER('Data'!H1659),'Data'!H1659*100,"")</x:f>
      </x:c>
      <x:c r="I3367" s="34"/>
      <x:c r="J3367" s="34"/>
      <x:c r="K3367" s="34"/>
      <x:c r="L3367" s="34" t="str">
        <x:v>NOT_RUN</x:v>
      </x:c>
      <x:c r="M3367" s="34" t="str">
        <x:v>Latest same-round generation failed; older files/results are excluded</x:v>
      </x:c>
      <x:c r="N3367" s="34" t="str">
        <x:v>Feedback-Directed Random Test Generation/report_Round2.csv</x:v>
      </x:c>
      <x:c r="O3367" s="38" t="str">
        <x:f>IF(AND(G3367="RECORDED",ISNUMBER(H3367)),H3367,"")</x:f>
      </x:c>
      <x:c r="P3367" s="34" t="str">
        <x:v>FAIL</x:v>
      </x:c>
      <x:c r="Q3367" s="34"/>
    </x:row>
    <x:row r="3368">
      <x:c r="A3368" s="34" t="str">
        <x:v>randoop</x:v>
      </x:c>
      <x:c r="B3368" s="34" t="str">
        <x:v>Mockito</x:v>
      </x:c>
      <x:c r="C3368" s="34" t="str">
        <x:v>Round2</x:v>
      </x:c>
      <x:c r="D3368" s="34" t="str">
        <x:v>Mockito_15</x:v>
      </x:c>
      <x:c r="E3368" s="34" t="str">
        <x:v>Line</x:v>
      </x:c>
      <x:c r="F3368" s="34" t="n">
        <x:v>13</x:v>
      </x:c>
      <x:c r="G3368" s="34" t="str">
        <x:v>RECORDED</x:v>
      </x:c>
      <x:c r="H3368" s="38" t="n">
        <x:f>IF(ISNUMBER('Data'!H1660),'Data'!H1660*100,"")</x:f>
        <x:v>30.769999999999996</x:v>
      </x:c>
      <x:c r="I3368" s="34" t="str">
        <x:v>PASS</x:v>
      </x:c>
      <x:c r="J3368" s="34" t="str">
        <x:v>PASS</x:v>
      </x:c>
      <x:c r="K3368" s="34" t="str">
        <x:v>PASS</x:v>
      </x:c>
      <x:c r="L3368" s="34" t="str">
        <x:v>PASS</x:v>
      </x:c>
      <x:c r="M3368" s="34" t="str">
        <x:v>numeric coverage for applicable metric</x:v>
      </x:c>
      <x:c r="N3368" s="34" t="str">
        <x:v>Feedback-Directed Random Test Generation/Result_Round2/Mockito_15/result.json</x:v>
      </x:c>
      <x:c r="O3368" s="38" t="n">
        <x:f>IF(AND(G3368="RECORDED",ISNUMBER(H3368)),H3368,"")</x:f>
        <x:v>30.769999999999996</x:v>
      </x:c>
      <x:c r="P3368" s="34" t="str">
        <x:v>NOT_REVEALING</x:v>
      </x:c>
      <x:c r="Q3368" s="34" t="str">
        <x:v>Feedback-Directed Random Test Generation/Result_Round2/Mockito_15/result.json</x:v>
      </x:c>
    </x:row>
    <x:row r="3369">
      <x:c r="A3369" s="34" t="str">
        <x:v>randoop</x:v>
      </x:c>
      <x:c r="B3369" s="34" t="str">
        <x:v>Mockito</x:v>
      </x:c>
      <x:c r="C3369" s="34" t="str">
        <x:v>Round2</x:v>
      </x:c>
      <x:c r="D3369" s="34" t="str">
        <x:v>Mockito_16</x:v>
      </x:c>
      <x:c r="E3369" s="34" t="str">
        <x:v>Line</x:v>
      </x:c>
      <x:c r="F3369" s="34" t="n">
        <x:v>0</x:v>
      </x:c>
      <x:c r="G3369" s="34" t="str">
        <x:v>A</x:v>
      </x:c>
      <x:c r="H3369" s="38" t="str">
        <x:f>IF(ISNUMBER('Data'!H1661),'Data'!H1661*100,"")</x:f>
      </x:c>
      <x:c r="I3369" s="34"/>
      <x:c r="J3369" s="34"/>
      <x:c r="K3369" s="34"/>
      <x:c r="L3369" s="34" t="str">
        <x:v>NOT_RUN</x:v>
      </x:c>
      <x:c r="M3369" s="34" t="str">
        <x:v>Latest same-round generation failed; older files/results are excluded</x:v>
      </x:c>
      <x:c r="N3369" s="34" t="str">
        <x:v>Feedback-Directed Random Test Generation/report_Round2.csv</x:v>
      </x:c>
      <x:c r="O3369" s="38" t="str">
        <x:f>IF(AND(G3369="RECORDED",ISNUMBER(H3369)),H3369,"")</x:f>
      </x:c>
      <x:c r="P3369" s="34" t="str">
        <x:v>FAIL</x:v>
      </x:c>
      <x:c r="Q3369" s="34"/>
    </x:row>
    <x:row r="3370">
      <x:c r="A3370" s="34" t="str">
        <x:v>randoop</x:v>
      </x:c>
      <x:c r="B3370" s="34" t="str">
        <x:v>Mockito</x:v>
      </x:c>
      <x:c r="C3370" s="34" t="str">
        <x:v>Round2</x:v>
      </x:c>
      <x:c r="D3370" s="34" t="str">
        <x:v>Mockito_17</x:v>
      </x:c>
      <x:c r="E3370" s="34" t="str">
        <x:v>Line</x:v>
      </x:c>
      <x:c r="F3370" s="34" t="n">
        <x:v>61</x:v>
      </x:c>
      <x:c r="G3370" s="34" t="str">
        <x:v>RECORDED</x:v>
      </x:c>
      <x:c r="H3370" s="38" t="n">
        <x:f>IF(ISNUMBER('Data'!H1662),'Data'!H1662*100,"")</x:f>
        <x:v>59.02</x:v>
      </x:c>
      <x:c r="I3370" s="34" t="str">
        <x:v>PASS</x:v>
      </x:c>
      <x:c r="J3370" s="34" t="str">
        <x:v>PASS</x:v>
      </x:c>
      <x:c r="K3370" s="34" t="str">
        <x:v>PASS</x:v>
      </x:c>
      <x:c r="L3370" s="34" t="str">
        <x:v>PASS</x:v>
      </x:c>
      <x:c r="M3370" s="34" t="str">
        <x:v>numeric coverage for applicable metric</x:v>
      </x:c>
      <x:c r="N3370" s="34" t="str">
        <x:v>Feedback-Directed Random Test Generation/Result_Round2/Mockito_17/result.json</x:v>
      </x:c>
      <x:c r="O3370" s="38" t="n">
        <x:f>IF(AND(G3370="RECORDED",ISNUMBER(H3370)),H3370,"")</x:f>
        <x:v>59.02</x:v>
      </x:c>
      <x:c r="P3370" s="34" t="str">
        <x:v>INCONCLUSIVE</x:v>
      </x:c>
      <x:c r="Q3370" s="34" t="str">
        <x:v>Feedback-Directed Random Test Generation/Result_Round2/Mockito_17/result.json</x:v>
      </x:c>
    </x:row>
    <x:row r="3371">
      <x:c r="A3371" s="34" t="str">
        <x:v>randoop</x:v>
      </x:c>
      <x:c r="B3371" s="34" t="str">
        <x:v>Mockito</x:v>
      </x:c>
      <x:c r="C3371" s="34" t="str">
        <x:v>Round2</x:v>
      </x:c>
      <x:c r="D3371" s="34" t="str">
        <x:v>Mockito_18</x:v>
      </x:c>
      <x:c r="E3371" s="34" t="str">
        <x:v>Line</x:v>
      </x:c>
      <x:c r="F3371" s="34" t="n">
        <x:v>0</x:v>
      </x:c>
      <x:c r="G3371" s="34" t="str">
        <x:v>A</x:v>
      </x:c>
      <x:c r="H3371" s="38" t="str">
        <x:f>IF(ISNUMBER('Data'!H1663),'Data'!H1663*100,"")</x:f>
      </x:c>
      <x:c r="I3371" s="34"/>
      <x:c r="J3371" s="34"/>
      <x:c r="K3371" s="34"/>
      <x:c r="L3371" s="34" t="str">
        <x:v>NOT_RUN</x:v>
      </x:c>
      <x:c r="M3371" s="34" t="str">
        <x:v>Latest same-round generation failed; older files/results are excluded</x:v>
      </x:c>
      <x:c r="N3371" s="34" t="str">
        <x:v>Feedback-Directed Random Test Generation/report_Round2.csv</x:v>
      </x:c>
      <x:c r="O3371" s="38" t="str">
        <x:f>IF(AND(G3371="RECORDED",ISNUMBER(H3371)),H3371,"")</x:f>
      </x:c>
      <x:c r="P3371" s="34" t="str">
        <x:v>FAIL</x:v>
      </x:c>
      <x:c r="Q3371" s="34"/>
    </x:row>
    <x:row r="3372">
      <x:c r="A3372" s="34" t="str">
        <x:v>randoop</x:v>
      </x:c>
      <x:c r="B3372" s="34" t="str">
        <x:v>Mockito</x:v>
      </x:c>
      <x:c r="C3372" s="34" t="str">
        <x:v>Round2</x:v>
      </x:c>
      <x:c r="D3372" s="34" t="str">
        <x:v>Mockito_19</x:v>
      </x:c>
      <x:c r="E3372" s="34" t="str">
        <x:v>Line</x:v>
      </x:c>
      <x:c r="F3372" s="34" t="n">
        <x:v>0</x:v>
      </x:c>
      <x:c r="G3372" s="34" t="str">
        <x:v>A</x:v>
      </x:c>
      <x:c r="H3372" s="38" t="str">
        <x:f>IF(ISNUMBER('Data'!H1664),'Data'!H1664*100,"")</x:f>
      </x:c>
      <x:c r="I3372" s="34"/>
      <x:c r="J3372" s="34"/>
      <x:c r="K3372" s="34"/>
      <x:c r="L3372" s="34" t="str">
        <x:v>NOT_RUN</x:v>
      </x:c>
      <x:c r="M3372" s="34" t="str">
        <x:v>Latest same-round generation failed; older files/results are excluded</x:v>
      </x:c>
      <x:c r="N3372" s="34" t="str">
        <x:v>Feedback-Directed Random Test Generation/report_Round2.csv</x:v>
      </x:c>
      <x:c r="O3372" s="38" t="str">
        <x:f>IF(AND(G3372="RECORDED",ISNUMBER(H3372)),H3372,"")</x:f>
      </x:c>
      <x:c r="P3372" s="34" t="str">
        <x:v>FAIL</x:v>
      </x:c>
      <x:c r="Q3372" s="34"/>
    </x:row>
    <x:row r="3373">
      <x:c r="A3373" s="34" t="str">
        <x:v>randoop</x:v>
      </x:c>
      <x:c r="B3373" s="34" t="str">
        <x:v>Mockito</x:v>
      </x:c>
      <x:c r="C3373" s="34" t="str">
        <x:v>Round2</x:v>
      </x:c>
      <x:c r="D3373" s="34" t="str">
        <x:v>Mockito_20</x:v>
      </x:c>
      <x:c r="E3373" s="34" t="str">
        <x:v>Line</x:v>
      </x:c>
      <x:c r="F3373" s="34" t="n">
        <x:v>0</x:v>
      </x:c>
      <x:c r="G3373" s="34" t="str">
        <x:v>A</x:v>
      </x:c>
      <x:c r="H3373" s="38" t="str">
        <x:f>IF(ISNUMBER('Data'!H1665),'Data'!H1665*100,"")</x:f>
      </x:c>
      <x:c r="I3373" s="34"/>
      <x:c r="J3373" s="34"/>
      <x:c r="K3373" s="34"/>
      <x:c r="L3373" s="34" t="str">
        <x:v>NOT_RUN</x:v>
      </x:c>
      <x:c r="M3373" s="34" t="str">
        <x:v>Latest same-round generation failed; older files/results are excluded</x:v>
      </x:c>
      <x:c r="N3373" s="34" t="str">
        <x:v>Feedback-Directed Random Test Generation/report_Round2.csv</x:v>
      </x:c>
      <x:c r="O3373" s="38" t="str">
        <x:f>IF(AND(G3373="RECORDED",ISNUMBER(H3373)),H3373,"")</x:f>
      </x:c>
      <x:c r="P3373" s="34" t="str">
        <x:v>FAIL</x:v>
      </x:c>
      <x:c r="Q3373" s="34"/>
    </x:row>
    <x:row r="3374">
      <x:c r="A3374" s="34" t="str">
        <x:v>randoop</x:v>
      </x:c>
      <x:c r="B3374" s="34" t="str">
        <x:v>Mockito</x:v>
      </x:c>
      <x:c r="C3374" s="34" t="str">
        <x:v>Round2</x:v>
      </x:c>
      <x:c r="D3374" s="34" t="str">
        <x:v>Mockito_21</x:v>
      </x:c>
      <x:c r="E3374" s="34" t="str">
        <x:v>Line</x:v>
      </x:c>
      <x:c r="F3374" s="34" t="n">
        <x:v>16</x:v>
      </x:c>
      <x:c r="G3374" s="34" t="str">
        <x:v>RECORDED</x:v>
      </x:c>
      <x:c r="H3374" s="38" t="n">
        <x:f>IF(ISNUMBER('Data'!H1666),'Data'!H1666*100,"")</x:f>
        <x:v>18.75</x:v>
      </x:c>
      <x:c r="I3374" s="34" t="str">
        <x:v>PASS</x:v>
      </x:c>
      <x:c r="J3374" s="34" t="str">
        <x:v>PASS</x:v>
      </x:c>
      <x:c r="K3374" s="34" t="str">
        <x:v>PASS</x:v>
      </x:c>
      <x:c r="L3374" s="34" t="str">
        <x:v>PASS</x:v>
      </x:c>
      <x:c r="M3374" s="34" t="str">
        <x:v>numeric coverage for applicable metric</x:v>
      </x:c>
      <x:c r="N3374" s="34" t="str">
        <x:v>Feedback-Directed Random Test Generation/Result_Round2/Mockito_21/result.json</x:v>
      </x:c>
      <x:c r="O3374" s="38" t="n">
        <x:f>IF(AND(G3374="RECORDED",ISNUMBER(H3374)),H3374,"")</x:f>
        <x:v>18.75</x:v>
      </x:c>
      <x:c r="P3374" s="34" t="str">
        <x:v>NOT_REVEALING</x:v>
      </x:c>
      <x:c r="Q3374" s="34" t="str">
        <x:v>Feedback-Directed Random Test Generation/Result_Round2/Mockito_21/result.json</x:v>
      </x:c>
    </x:row>
    <x:row r="3375">
      <x:c r="A3375" s="34" t="str">
        <x:v>randoop</x:v>
      </x:c>
      <x:c r="B3375" s="34" t="str">
        <x:v>Mockito</x:v>
      </x:c>
      <x:c r="C3375" s="34" t="str">
        <x:v>Round2</x:v>
      </x:c>
      <x:c r="D3375" s="34" t="str">
        <x:v>Mockito_22</x:v>
      </x:c>
      <x:c r="E3375" s="34" t="str">
        <x:v>Line</x:v>
      </x:c>
      <x:c r="F3375" s="34" t="n">
        <x:v>13</x:v>
      </x:c>
      <x:c r="G3375" s="34" t="str">
        <x:v>RECORDED</x:v>
      </x:c>
      <x:c r="H3375" s="38" t="n">
        <x:f>IF(ISNUMBER('Data'!H1667),'Data'!H1667*100,"")</x:f>
        <x:v>69.23</x:v>
      </x:c>
      <x:c r="I3375" s="34" t="str">
        <x:v>PASS</x:v>
      </x:c>
      <x:c r="J3375" s="34" t="str">
        <x:v>PASS</x:v>
      </x:c>
      <x:c r="K3375" s="34" t="str">
        <x:v>PASS</x:v>
      </x:c>
      <x:c r="L3375" s="34" t="str">
        <x:v>PASS</x:v>
      </x:c>
      <x:c r="M3375" s="34" t="str">
        <x:v>numeric coverage for applicable metric</x:v>
      </x:c>
      <x:c r="N3375" s="34" t="str">
        <x:v>Feedback-Directed Random Test Generation/Result_Round2/Mockito_22/result.json</x:v>
      </x:c>
      <x:c r="O3375" s="38" t="n">
        <x:f>IF(AND(G3375="RECORDED",ISNUMBER(H3375)),H3375,"")</x:f>
        <x:v>69.23</x:v>
      </x:c>
      <x:c r="P3375" s="34" t="str">
        <x:v>NOT_REVEALING</x:v>
      </x:c>
      <x:c r="Q3375" s="34" t="str">
        <x:v>Feedback-Directed Random Test Generation/Result_Round2/Mockito_22/result.json</x:v>
      </x:c>
    </x:row>
    <x:row r="3376">
      <x:c r="A3376" s="34" t="str">
        <x:v>randoop</x:v>
      </x:c>
      <x:c r="B3376" s="34" t="str">
        <x:v>Mockito</x:v>
      </x:c>
      <x:c r="C3376" s="34" t="str">
        <x:v>Round2</x:v>
      </x:c>
      <x:c r="D3376" s="34" t="str">
        <x:v>Mockito_23</x:v>
      </x:c>
      <x:c r="E3376" s="34" t="str">
        <x:v>Line</x:v>
      </x:c>
      <x:c r="F3376" s="34" t="n">
        <x:v>33</x:v>
      </x:c>
      <x:c r="G3376" s="34" t="str">
        <x:v>RECORDED</x:v>
      </x:c>
      <x:c r="H3376" s="38" t="n">
        <x:f>IF(ISNUMBER('Data'!H1668),'Data'!H1668*100,"")</x:f>
        <x:v>18.18</x:v>
      </x:c>
      <x:c r="I3376" s="34" t="str">
        <x:v>PASS</x:v>
      </x:c>
      <x:c r="J3376" s="34" t="str">
        <x:v>PASS</x:v>
      </x:c>
      <x:c r="K3376" s="34" t="str">
        <x:v>PASS</x:v>
      </x:c>
      <x:c r="L3376" s="34" t="str">
        <x:v>PASS</x:v>
      </x:c>
      <x:c r="M3376" s="34" t="str">
        <x:v>numeric coverage for applicable metric</x:v>
      </x:c>
      <x:c r="N3376" s="34" t="str">
        <x:v>Feedback-Directed Random Test Generation/Result_Round2/Mockito_23/result.json</x:v>
      </x:c>
      <x:c r="O3376" s="38" t="n">
        <x:f>IF(AND(G3376="RECORDED",ISNUMBER(H3376)),H3376,"")</x:f>
        <x:v>18.18</x:v>
      </x:c>
      <x:c r="P3376" s="34" t="str">
        <x:v>NOT_REVEALING</x:v>
      </x:c>
      <x:c r="Q3376" s="34" t="str">
        <x:v>Feedback-Directed Random Test Generation/Result_Round2/Mockito_23/result.json</x:v>
      </x:c>
    </x:row>
    <x:row r="3377">
      <x:c r="A3377" s="34" t="str">
        <x:v>randoop</x:v>
      </x:c>
      <x:c r="B3377" s="34" t="str">
        <x:v>Mockito</x:v>
      </x:c>
      <x:c r="C3377" s="34" t="str">
        <x:v>Round2</x:v>
      </x:c>
      <x:c r="D3377" s="34" t="str">
        <x:v>Mockito_24</x:v>
      </x:c>
      <x:c r="E3377" s="34" t="str">
        <x:v>Line</x:v>
      </x:c>
      <x:c r="F3377" s="34" t="n">
        <x:v>44</x:v>
      </x:c>
      <x:c r="G3377" s="34" t="str">
        <x:v>RECORDED</x:v>
      </x:c>
      <x:c r="H3377" s="38" t="n">
        <x:f>IF(ISNUMBER('Data'!H1669),'Data'!H1669*100,"")</x:f>
        <x:v>9.09</x:v>
      </x:c>
      <x:c r="I3377" s="34" t="str">
        <x:v>PASS</x:v>
      </x:c>
      <x:c r="J3377" s="34" t="str">
        <x:v>PASS</x:v>
      </x:c>
      <x:c r="K3377" s="34" t="str">
        <x:v>PASS</x:v>
      </x:c>
      <x:c r="L3377" s="34" t="str">
        <x:v>PASS</x:v>
      </x:c>
      <x:c r="M3377" s="34" t="str">
        <x:v>numeric coverage for applicable metric</x:v>
      </x:c>
      <x:c r="N3377" s="34" t="str">
        <x:v>Feedback-Directed Random Test Generation/Result_Round2/Mockito_24/result.json</x:v>
      </x:c>
      <x:c r="O3377" s="38" t="n">
        <x:f>IF(AND(G3377="RECORDED",ISNUMBER(H3377)),H3377,"")</x:f>
        <x:v>9.09</x:v>
      </x:c>
      <x:c r="P3377" s="34" t="str">
        <x:v>NOT_REVEALING</x:v>
      </x:c>
      <x:c r="Q3377" s="34" t="str">
        <x:v>Feedback-Directed Random Test Generation/Result_Round2/Mockito_24/result.json</x:v>
      </x:c>
    </x:row>
    <x:row r="3378">
      <x:c r="A3378" s="34" t="str">
        <x:v>randoop</x:v>
      </x:c>
      <x:c r="B3378" s="34" t="str">
        <x:v>Mockito</x:v>
      </x:c>
      <x:c r="C3378" s="34" t="str">
        <x:v>Round2</x:v>
      </x:c>
      <x:c r="D3378" s="34" t="str">
        <x:v>Mockito_25</x:v>
      </x:c>
      <x:c r="E3378" s="34" t="str">
        <x:v>Line</x:v>
      </x:c>
      <x:c r="F3378" s="34" t="n">
        <x:v>23</x:v>
      </x:c>
      <x:c r="G3378" s="34" t="str">
        <x:v>RECORDED</x:v>
      </x:c>
      <x:c r="H3378" s="38" t="n">
        <x:f>IF(ISNUMBER('Data'!H1670),'Data'!H1670*100,"")</x:f>
        <x:v>21.74</x:v>
      </x:c>
      <x:c r="I3378" s="34" t="str">
        <x:v>PASS</x:v>
      </x:c>
      <x:c r="J3378" s="34" t="str">
        <x:v>PASS</x:v>
      </x:c>
      <x:c r="K3378" s="34" t="str">
        <x:v>PASS</x:v>
      </x:c>
      <x:c r="L3378" s="34" t="str">
        <x:v>PASS</x:v>
      </x:c>
      <x:c r="M3378" s="34" t="str">
        <x:v>numeric coverage for applicable metric</x:v>
      </x:c>
      <x:c r="N3378" s="34" t="str">
        <x:v>Feedback-Directed Random Test Generation/Result_Round2/Mockito_25/result.json</x:v>
      </x:c>
      <x:c r="O3378" s="38" t="n">
        <x:f>IF(AND(G3378="RECORDED",ISNUMBER(H3378)),H3378,"")</x:f>
        <x:v>21.74</x:v>
      </x:c>
      <x:c r="P3378" s="34" t="str">
        <x:v>NOT_REVEALING</x:v>
      </x:c>
      <x:c r="Q3378" s="34" t="str">
        <x:v>Feedback-Directed Random Test Generation/Result_Round2/Mockito_25/result.json</x:v>
      </x:c>
    </x:row>
    <x:row r="3379">
      <x:c r="A3379" s="34" t="str">
        <x:v>randoop</x:v>
      </x:c>
      <x:c r="B3379" s="34" t="str">
        <x:v>Mockito</x:v>
      </x:c>
      <x:c r="C3379" s="34" t="str">
        <x:v>Round2</x:v>
      </x:c>
      <x:c r="D3379" s="34" t="str">
        <x:v>Mockito_26</x:v>
      </x:c>
      <x:c r="E3379" s="34" t="str">
        <x:v>Line</x:v>
      </x:c>
      <x:c r="F3379" s="34" t="n">
        <x:v>36</x:v>
      </x:c>
      <x:c r="G3379" s="34" t="str">
        <x:v>RECORDED</x:v>
      </x:c>
      <x:c r="H3379" s="38" t="n">
        <x:f>IF(ISNUMBER('Data'!H1671),'Data'!H1671*100,"")</x:f>
        <x:v>83.33</x:v>
      </x:c>
      <x:c r="I3379" s="34" t="str">
        <x:v>PASS</x:v>
      </x:c>
      <x:c r="J3379" s="34" t="str">
        <x:v>PASS</x:v>
      </x:c>
      <x:c r="K3379" s="34" t="str">
        <x:v>PASS</x:v>
      </x:c>
      <x:c r="L3379" s="34" t="str">
        <x:v>PASS</x:v>
      </x:c>
      <x:c r="M3379" s="34" t="str">
        <x:v>numeric coverage for applicable metric</x:v>
      </x:c>
      <x:c r="N3379" s="34" t="str">
        <x:v>Feedback-Directed Random Test Generation/Result_Round2/Mockito_26/result.json</x:v>
      </x:c>
      <x:c r="O3379" s="38" t="n">
        <x:f>IF(AND(G3379="RECORDED",ISNUMBER(H3379)),H3379,"")</x:f>
        <x:v>83.33</x:v>
      </x:c>
      <x:c r="P3379" s="34" t="str">
        <x:v>NOT_REVEALING</x:v>
      </x:c>
      <x:c r="Q3379" s="34" t="str">
        <x:v>Feedback-Directed Random Test Generation/Result_Round2/Mockito_26/result.json</x:v>
      </x:c>
    </x:row>
    <x:row r="3380">
      <x:c r="A3380" s="34" t="str">
        <x:v>randoop</x:v>
      </x:c>
      <x:c r="B3380" s="34" t="str">
        <x:v>Mockito</x:v>
      </x:c>
      <x:c r="C3380" s="34" t="str">
        <x:v>Round2</x:v>
      </x:c>
      <x:c r="D3380" s="34" t="str">
        <x:v>Mockito_27</x:v>
      </x:c>
      <x:c r="E3380" s="34" t="str">
        <x:v>Line</x:v>
      </x:c>
      <x:c r="F3380" s="34" t="n">
        <x:v>42</x:v>
      </x:c>
      <x:c r="G3380" s="34" t="str">
        <x:v>RECORDED</x:v>
      </x:c>
      <x:c r="H3380" s="38" t="n">
        <x:f>IF(ISNUMBER('Data'!H1672),'Data'!H1672*100,"")</x:f>
        <x:v>35.71</x:v>
      </x:c>
      <x:c r="I3380" s="34" t="str">
        <x:v>PASS</x:v>
      </x:c>
      <x:c r="J3380" s="34" t="str">
        <x:v>PASS</x:v>
      </x:c>
      <x:c r="K3380" s="34" t="str">
        <x:v>PASS</x:v>
      </x:c>
      <x:c r="L3380" s="34" t="str">
        <x:v>PASS</x:v>
      </x:c>
      <x:c r="M3380" s="34" t="str">
        <x:v>numeric coverage for applicable metric</x:v>
      </x:c>
      <x:c r="N3380" s="34" t="str">
        <x:v>Feedback-Directed Random Test Generation/Result_Round2/Mockito_27/result.json</x:v>
      </x:c>
      <x:c r="O3380" s="38" t="n">
        <x:f>IF(AND(G3380="RECORDED",ISNUMBER(H3380)),H3380,"")</x:f>
        <x:v>35.71</x:v>
      </x:c>
      <x:c r="P3380" s="34" t="str">
        <x:v>NOT_REVEALING</x:v>
      </x:c>
      <x:c r="Q3380" s="34" t="str">
        <x:v>Feedback-Directed Random Test Generation/Result_Round2/Mockito_27/result.json</x:v>
      </x:c>
    </x:row>
    <x:row r="3381">
      <x:c r="A3381" s="34" t="str">
        <x:v>randoop</x:v>
      </x:c>
      <x:c r="B3381" s="34" t="str">
        <x:v>Mockito</x:v>
      </x:c>
      <x:c r="C3381" s="34" t="str">
        <x:v>Round2</x:v>
      </x:c>
      <x:c r="D3381" s="34" t="str">
        <x:v>Mockito_28</x:v>
      </x:c>
      <x:c r="E3381" s="34" t="str">
        <x:v>Line</x:v>
      </x:c>
      <x:c r="F3381" s="34" t="n">
        <x:v>30</x:v>
      </x:c>
      <x:c r="G3381" s="34" t="str">
        <x:v>RECORDED</x:v>
      </x:c>
      <x:c r="H3381" s="38" t="n">
        <x:f>IF(ISNUMBER('Data'!H1673),'Data'!H1673*100,"")</x:f>
        <x:v>20</x:v>
      </x:c>
      <x:c r="I3381" s="34" t="str">
        <x:v>PASS</x:v>
      </x:c>
      <x:c r="J3381" s="34" t="str">
        <x:v>PASS</x:v>
      </x:c>
      <x:c r="K3381" s="34" t="str">
        <x:v>PASS</x:v>
      </x:c>
      <x:c r="L3381" s="34" t="str">
        <x:v>PASS</x:v>
      </x:c>
      <x:c r="M3381" s="34" t="str">
        <x:v>numeric coverage for applicable metric</x:v>
      </x:c>
      <x:c r="N3381" s="34" t="str">
        <x:v>Feedback-Directed Random Test Generation/Result_Round2/Mockito_28/result.json</x:v>
      </x:c>
      <x:c r="O3381" s="38" t="n">
        <x:f>IF(AND(G3381="RECORDED",ISNUMBER(H3381)),H3381,"")</x:f>
        <x:v>20</x:v>
      </x:c>
      <x:c r="P3381" s="34" t="str">
        <x:v>NOT_REVEALING</x:v>
      </x:c>
      <x:c r="Q3381" s="34" t="str">
        <x:v>Feedback-Directed Random Test Generation/Result_Round2/Mockito_28/result.json</x:v>
      </x:c>
    </x:row>
    <x:row r="3382">
      <x:c r="A3382" s="34" t="str">
        <x:v>randoop</x:v>
      </x:c>
      <x:c r="B3382" s="34" t="str">
        <x:v>Mockito</x:v>
      </x:c>
      <x:c r="C3382" s="34" t="str">
        <x:v>Round2</x:v>
      </x:c>
      <x:c r="D3382" s="34" t="str">
        <x:v>Mockito_29</x:v>
      </x:c>
      <x:c r="E3382" s="34" t="str">
        <x:v>Line</x:v>
      </x:c>
      <x:c r="F3382" s="34" t="n">
        <x:v>15</x:v>
      </x:c>
      <x:c r="G3382" s="34" t="str">
        <x:v>RECORDED</x:v>
      </x:c>
      <x:c r="H3382" s="38" t="n">
        <x:f>IF(ISNUMBER('Data'!H1674),'Data'!H1674*100,"")</x:f>
        <x:v>100</x:v>
      </x:c>
      <x:c r="I3382" s="34" t="str">
        <x:v>PASS</x:v>
      </x:c>
      <x:c r="J3382" s="34" t="str">
        <x:v>PASS</x:v>
      </x:c>
      <x:c r="K3382" s="34" t="str">
        <x:v>PASS</x:v>
      </x:c>
      <x:c r="L3382" s="34" t="str">
        <x:v>PASS</x:v>
      </x:c>
      <x:c r="M3382" s="34" t="str">
        <x:v>numeric coverage for applicable metric</x:v>
      </x:c>
      <x:c r="N3382" s="34" t="str">
        <x:v>Feedback-Directed Random Test Generation/Result_Round2/Mockito_29/result.json</x:v>
      </x:c>
      <x:c r="O3382" s="38" t="n">
        <x:f>IF(AND(G3382="RECORDED",ISNUMBER(H3382)),H3382,"")</x:f>
        <x:v>100</x:v>
      </x:c>
      <x:c r="P3382" s="34" t="str">
        <x:v>INCONCLUSIVE</x:v>
      </x:c>
      <x:c r="Q3382" s="34" t="str">
        <x:v>Feedback-Directed Random Test Generation/Result_Round2/Mockito_29/result.json</x:v>
      </x:c>
    </x:row>
    <x:row r="3383">
      <x:c r="A3383" s="34" t="str">
        <x:v>randoop</x:v>
      </x:c>
      <x:c r="B3383" s="34" t="str">
        <x:v>Mockito</x:v>
      </x:c>
      <x:c r="C3383" s="34" t="str">
        <x:v>Round2</x:v>
      </x:c>
      <x:c r="D3383" s="34" t="str">
        <x:v>Mockito_30</x:v>
      </x:c>
      <x:c r="E3383" s="34" t="str">
        <x:v>Line</x:v>
      </x:c>
      <x:c r="F3383" s="34" t="n">
        <x:v>112</x:v>
      </x:c>
      <x:c r="G3383" s="34" t="str">
        <x:v>RECORDED</x:v>
      </x:c>
      <x:c r="H3383" s="38" t="n">
        <x:f>IF(ISNUMBER('Data'!H1675),'Data'!H1675*100,"")</x:f>
        <x:v>55.36</x:v>
      </x:c>
      <x:c r="I3383" s="34" t="str">
        <x:v>PASS</x:v>
      </x:c>
      <x:c r="J3383" s="34" t="str">
        <x:v>PASS</x:v>
      </x:c>
      <x:c r="K3383" s="34" t="str">
        <x:v>PASS</x:v>
      </x:c>
      <x:c r="L3383" s="34" t="str">
        <x:v>FAIL</x:v>
      </x:c>
      <x:c r="M3383" s="34" t="str">
        <x:v>numeric coverage for applicable metric</x:v>
      </x:c>
      <x:c r="N3383" s="34" t="str">
        <x:v>Feedback-Directed Random Test Generation/Result_Round2/Mockito_30/result.json</x:v>
      </x:c>
      <x:c r="O3383" s="38" t="n">
        <x:f>IF(AND(G3383="RECORDED",ISNUMBER(H3383)),H3383,"")</x:f>
        <x:v>55.36</x:v>
      </x:c>
      <x:c r="P3383" s="34" t="str">
        <x:v>NOT_AVAILABLE</x:v>
      </x:c>
      <x:c r="Q3383" s="34" t="str">
        <x:v>Feedback-Directed Random Test Generation/Result_Round2/Mockito_30/result.json</x:v>
      </x:c>
    </x:row>
    <x:row r="3384">
      <x:c r="A3384" s="34" t="str">
        <x:v>randoop</x:v>
      </x:c>
      <x:c r="B3384" s="34" t="str">
        <x:v>Mockito</x:v>
      </x:c>
      <x:c r="C3384" s="34" t="str">
        <x:v>Round2</x:v>
      </x:c>
      <x:c r="D3384" s="34" t="str">
        <x:v>Mockito_31</x:v>
      </x:c>
      <x:c r="E3384" s="34" t="str">
        <x:v>Line</x:v>
      </x:c>
      <x:c r="F3384" s="34" t="n">
        <x:v>19</x:v>
      </x:c>
      <x:c r="G3384" s="34" t="str">
        <x:v>RECORDED</x:v>
      </x:c>
      <x:c r="H3384" s="38" t="n">
        <x:f>IF(ISNUMBER('Data'!H1676),'Data'!H1676*100,"")</x:f>
        <x:v>15.79</x:v>
      </x:c>
      <x:c r="I3384" s="34" t="str">
        <x:v>PASS</x:v>
      </x:c>
      <x:c r="J3384" s="34" t="str">
        <x:v>PASS</x:v>
      </x:c>
      <x:c r="K3384" s="34" t="str">
        <x:v>PASS</x:v>
      </x:c>
      <x:c r="L3384" s="34" t="str">
        <x:v>PASS</x:v>
      </x:c>
      <x:c r="M3384" s="34" t="str">
        <x:v>numeric coverage for applicable metric</x:v>
      </x:c>
      <x:c r="N3384" s="34" t="str">
        <x:v>Feedback-Directed Random Test Generation/Result_Round2/Mockito_31/result.json</x:v>
      </x:c>
      <x:c r="O3384" s="38" t="n">
        <x:f>IF(AND(G3384="RECORDED",ISNUMBER(H3384)),H3384,"")</x:f>
        <x:v>15.79</x:v>
      </x:c>
      <x:c r="P3384" s="34" t="str">
        <x:v>NOT_REVEALING</x:v>
      </x:c>
      <x:c r="Q3384" s="34" t="str">
        <x:v>Feedback-Directed Random Test Generation/Result_Round2/Mockito_31/result.json</x:v>
      </x:c>
    </x:row>
    <x:row r="3385">
      <x:c r="A3385" s="34" t="str">
        <x:v>randoop</x:v>
      </x:c>
      <x:c r="B3385" s="34" t="str">
        <x:v>Mockito</x:v>
      </x:c>
      <x:c r="C3385" s="34" t="str">
        <x:v>Round2</x:v>
      </x:c>
      <x:c r="D3385" s="34" t="str">
        <x:v>Mockito_32</x:v>
      </x:c>
      <x:c r="E3385" s="34" t="str">
        <x:v>Line</x:v>
      </x:c>
      <x:c r="F3385" s="34" t="n">
        <x:v>23</x:v>
      </x:c>
      <x:c r="G3385" s="34" t="str">
        <x:v>RECORDED</x:v>
      </x:c>
      <x:c r="H3385" s="38" t="n">
        <x:f>IF(ISNUMBER('Data'!H1677),'Data'!H1677*100,"")</x:f>
        <x:v>8.7</x:v>
      </x:c>
      <x:c r="I3385" s="34" t="str">
        <x:v>PASS</x:v>
      </x:c>
      <x:c r="J3385" s="34" t="str">
        <x:v>PASS</x:v>
      </x:c>
      <x:c r="K3385" s="34" t="str">
        <x:v>PASS</x:v>
      </x:c>
      <x:c r="L3385" s="34" t="str">
        <x:v>PASS</x:v>
      </x:c>
      <x:c r="M3385" s="34" t="str">
        <x:v>numeric coverage for applicable metric</x:v>
      </x:c>
      <x:c r="N3385" s="34" t="str">
        <x:v>Feedback-Directed Random Test Generation/Result_Round2/Mockito_32/result.json</x:v>
      </x:c>
      <x:c r="O3385" s="38" t="n">
        <x:f>IF(AND(G3385="RECORDED",ISNUMBER(H3385)),H3385,"")</x:f>
        <x:v>8.7</x:v>
      </x:c>
      <x:c r="P3385" s="34" t="str">
        <x:v>NOT_REVEALING</x:v>
      </x:c>
      <x:c r="Q3385" s="34" t="str">
        <x:v>Feedback-Directed Random Test Generation/Result_Round2/Mockito_32/result.json</x:v>
      </x:c>
    </x:row>
    <x:row r="3386">
      <x:c r="A3386" s="34" t="str">
        <x:v>randoop</x:v>
      </x:c>
      <x:c r="B3386" s="34" t="str">
        <x:v>Mockito</x:v>
      </x:c>
      <x:c r="C3386" s="34" t="str">
        <x:v>Round2</x:v>
      </x:c>
      <x:c r="D3386" s="34" t="str">
        <x:v>Mockito_33</x:v>
      </x:c>
      <x:c r="E3386" s="34" t="str">
        <x:v>Line</x:v>
      </x:c>
      <x:c r="F3386" s="34" t="n">
        <x:v>45</x:v>
      </x:c>
      <x:c r="G3386" s="34" t="str">
        <x:v>RECORDED</x:v>
      </x:c>
      <x:c r="H3386" s="38" t="n">
        <x:f>IF(ISNUMBER('Data'!H1678),'Data'!H1678*100,"")</x:f>
        <x:v>17.78</x:v>
      </x:c>
      <x:c r="I3386" s="34" t="str">
        <x:v>PASS</x:v>
      </x:c>
      <x:c r="J3386" s="34" t="str">
        <x:v>PASS</x:v>
      </x:c>
      <x:c r="K3386" s="34" t="str">
        <x:v>PASS</x:v>
      </x:c>
      <x:c r="L3386" s="34" t="str">
        <x:v>PASS</x:v>
      </x:c>
      <x:c r="M3386" s="34" t="str">
        <x:v>numeric coverage for applicable metric</x:v>
      </x:c>
      <x:c r="N3386" s="34" t="str">
        <x:v>Feedback-Directed Random Test Generation/Result_Round2/Mockito_33/result.json</x:v>
      </x:c>
      <x:c r="O3386" s="38" t="n">
        <x:f>IF(AND(G3386="RECORDED",ISNUMBER(H3386)),H3386,"")</x:f>
        <x:v>17.78</x:v>
      </x:c>
      <x:c r="P3386" s="34" t="str">
        <x:v>NOT_REVEALING</x:v>
      </x:c>
      <x:c r="Q3386" s="34" t="str">
        <x:v>Feedback-Directed Random Test Generation/Result_Round2/Mockito_33/result.json</x:v>
      </x:c>
    </x:row>
    <x:row r="3387">
      <x:c r="A3387" s="34" t="str">
        <x:v>randoop</x:v>
      </x:c>
      <x:c r="B3387" s="34" t="str">
        <x:v>Mockito</x:v>
      </x:c>
      <x:c r="C3387" s="34" t="str">
        <x:v>Round2</x:v>
      </x:c>
      <x:c r="D3387" s="34" t="str">
        <x:v>Mockito_34</x:v>
      </x:c>
      <x:c r="E3387" s="34" t="str">
        <x:v>Line</x:v>
      </x:c>
      <x:c r="F3387" s="34" t="n">
        <x:v>38</x:v>
      </x:c>
      <x:c r="G3387" s="34" t="str">
        <x:v>RECORDED</x:v>
      </x:c>
      <x:c r="H3387" s="38" t="n">
        <x:f>IF(ISNUMBER('Data'!H1679),'Data'!H1679*100,"")</x:f>
        <x:v>13.16</x:v>
      </x:c>
      <x:c r="I3387" s="34" t="str">
        <x:v>PASS</x:v>
      </x:c>
      <x:c r="J3387" s="34" t="str">
        <x:v>PASS</x:v>
      </x:c>
      <x:c r="K3387" s="34" t="str">
        <x:v>PASS</x:v>
      </x:c>
      <x:c r="L3387" s="34" t="str">
        <x:v>PASS</x:v>
      </x:c>
      <x:c r="M3387" s="34" t="str">
        <x:v>numeric coverage for applicable metric</x:v>
      </x:c>
      <x:c r="N3387" s="34" t="str">
        <x:v>Feedback-Directed Random Test Generation/Result_Round2/Mockito_34/result.json</x:v>
      </x:c>
      <x:c r="O3387" s="38" t="n">
        <x:f>IF(AND(G3387="RECORDED",ISNUMBER(H3387)),H3387,"")</x:f>
        <x:v>13.16</x:v>
      </x:c>
      <x:c r="P3387" s="34" t="str">
        <x:v>NOT_REVEALING</x:v>
      </x:c>
      <x:c r="Q3387" s="34" t="str">
        <x:v>Feedback-Directed Random Test Generation/Result_Round2/Mockito_34/result.json</x:v>
      </x:c>
    </x:row>
    <x:row r="3388">
      <x:c r="A3388" s="34" t="str">
        <x:v>randoop</x:v>
      </x:c>
      <x:c r="B3388" s="34" t="str">
        <x:v>Mockito</x:v>
      </x:c>
      <x:c r="C3388" s="34" t="str">
        <x:v>Round2</x:v>
      </x:c>
      <x:c r="D3388" s="34" t="str">
        <x:v>Mockito_35</x:v>
      </x:c>
      <x:c r="E3388" s="34" t="str">
        <x:v>Line</x:v>
      </x:c>
      <x:c r="F3388" s="34" t="n">
        <x:v>51</x:v>
      </x:c>
      <x:c r="G3388" s="34" t="str">
        <x:v>RECORDED</x:v>
      </x:c>
      <x:c r="H3388" s="38" t="n">
        <x:f>IF(ISNUMBER('Data'!H1680),'Data'!H1680*100,"")</x:f>
        <x:v>88.24</x:v>
      </x:c>
      <x:c r="I3388" s="34" t="str">
        <x:v>PASS</x:v>
      </x:c>
      <x:c r="J3388" s="34" t="str">
        <x:v>PASS</x:v>
      </x:c>
      <x:c r="K3388" s="34" t="str">
        <x:v>PASS</x:v>
      </x:c>
      <x:c r="L3388" s="34" t="str">
        <x:v>PASS</x:v>
      </x:c>
      <x:c r="M3388" s="34" t="str">
        <x:v>numeric coverage for applicable metric</x:v>
      </x:c>
      <x:c r="N3388" s="34" t="str">
        <x:v>Feedback-Directed Random Test Generation/Result_Round2/Mockito_35/result.json</x:v>
      </x:c>
      <x:c r="O3388" s="38" t="n">
        <x:f>IF(AND(G3388="RECORDED",ISNUMBER(H3388)),H3388,"")</x:f>
        <x:v>88.24</x:v>
      </x:c>
      <x:c r="P3388" s="34" t="str">
        <x:v>INCONCLUSIVE</x:v>
      </x:c>
      <x:c r="Q3388" s="34" t="str">
        <x:v>Feedback-Directed Random Test Generation/Result_Round2/Mockito_35/result.json</x:v>
      </x:c>
    </x:row>
    <x:row r="3389">
      <x:c r="A3389" s="34" t="str">
        <x:v>randoop</x:v>
      </x:c>
      <x:c r="B3389" s="34" t="str">
        <x:v>Mockito</x:v>
      </x:c>
      <x:c r="C3389" s="34" t="str">
        <x:v>Round2</x:v>
      </x:c>
      <x:c r="D3389" s="34" t="str">
        <x:v>Mockito_36</x:v>
      </x:c>
      <x:c r="E3389" s="34" t="str">
        <x:v>Line</x:v>
      </x:c>
      <x:c r="F3389" s="34" t="n">
        <x:v>70</x:v>
      </x:c>
      <x:c r="G3389" s="34" t="str">
        <x:v>RECORDED</x:v>
      </x:c>
      <x:c r="H3389" s="38" t="n">
        <x:f>IF(ISNUMBER('Data'!H1681),'Data'!H1681*100,"")</x:f>
        <x:v>8.57</x:v>
      </x:c>
      <x:c r="I3389" s="34" t="str">
        <x:v>PASS</x:v>
      </x:c>
      <x:c r="J3389" s="34" t="str">
        <x:v>PASS</x:v>
      </x:c>
      <x:c r="K3389" s="34" t="str">
        <x:v>PASS</x:v>
      </x:c>
      <x:c r="L3389" s="34" t="str">
        <x:v>PASS</x:v>
      </x:c>
      <x:c r="M3389" s="34" t="str">
        <x:v>numeric coverage for applicable metric</x:v>
      </x:c>
      <x:c r="N3389" s="34" t="str">
        <x:v>Feedback-Directed Random Test Generation/Result_Round2/Mockito_36/result.json</x:v>
      </x:c>
      <x:c r="O3389" s="38" t="n">
        <x:f>IF(AND(G3389="RECORDED",ISNUMBER(H3389)),H3389,"")</x:f>
        <x:v>8.57</x:v>
      </x:c>
      <x:c r="P3389" s="34" t="str">
        <x:v>NOT_REVEALING</x:v>
      </x:c>
      <x:c r="Q3389" s="34" t="str">
        <x:v>Feedback-Directed Random Test Generation/Result_Round2/Mockito_36/result.json</x:v>
      </x:c>
    </x:row>
    <x:row r="3390">
      <x:c r="A3390" s="34" t="str">
        <x:v>randoop</x:v>
      </x:c>
      <x:c r="B3390" s="34" t="str">
        <x:v>Mockito</x:v>
      </x:c>
      <x:c r="C3390" s="34" t="str">
        <x:v>Round2</x:v>
      </x:c>
      <x:c r="D3390" s="34" t="str">
        <x:v>Mockito_37</x:v>
      </x:c>
      <x:c r="E3390" s="34" t="str">
        <x:v>Line</x:v>
      </x:c>
      <x:c r="F3390" s="34" t="n">
        <x:v>27</x:v>
      </x:c>
      <x:c r="G3390" s="34" t="str">
        <x:v>RECORDED</x:v>
      </x:c>
      <x:c r="H3390" s="38" t="n">
        <x:f>IF(ISNUMBER('Data'!H1682),'Data'!H1682*100,"")</x:f>
        <x:v>7.41</x:v>
      </x:c>
      <x:c r="I3390" s="34" t="str">
        <x:v>PASS</x:v>
      </x:c>
      <x:c r="J3390" s="34" t="str">
        <x:v>PASS</x:v>
      </x:c>
      <x:c r="K3390" s="34" t="str">
        <x:v>PASS</x:v>
      </x:c>
      <x:c r="L3390" s="34" t="str">
        <x:v>PASS</x:v>
      </x:c>
      <x:c r="M3390" s="34" t="str">
        <x:v>numeric coverage for applicable metric</x:v>
      </x:c>
      <x:c r="N3390" s="34" t="str">
        <x:v>Feedback-Directed Random Test Generation/Result_Round2/Mockito_37/result.json</x:v>
      </x:c>
      <x:c r="O3390" s="38" t="n">
        <x:f>IF(AND(G3390="RECORDED",ISNUMBER(H3390)),H3390,"")</x:f>
        <x:v>7.41</x:v>
      </x:c>
      <x:c r="P3390" s="34" t="str">
        <x:v>NOT_REVEALING</x:v>
      </x:c>
      <x:c r="Q3390" s="34" t="str">
        <x:v>Feedback-Directed Random Test Generation/Result_Round2/Mockito_37/result.json</x:v>
      </x:c>
    </x:row>
    <x:row r="3391">
      <x:c r="A3391" s="34" t="str">
        <x:v>randoop</x:v>
      </x:c>
      <x:c r="B3391" s="34" t="str">
        <x:v>Mockito</x:v>
      </x:c>
      <x:c r="C3391" s="34" t="str">
        <x:v>Round2</x:v>
      </x:c>
      <x:c r="D3391" s="34" t="str">
        <x:v>Mockito_38</x:v>
      </x:c>
      <x:c r="E3391" s="34" t="str">
        <x:v>Line</x:v>
      </x:c>
      <x:c r="F3391" s="34" t="n">
        <x:v>18</x:v>
      </x:c>
      <x:c r="G3391" s="34" t="str">
        <x:v>RECORDED</x:v>
      </x:c>
      <x:c r="H3391" s="38" t="n">
        <x:f>IF(ISNUMBER('Data'!H1683),'Data'!H1683*100,"")</x:f>
        <x:v>38.89</x:v>
      </x:c>
      <x:c r="I3391" s="34" t="str">
        <x:v>PASS</x:v>
      </x:c>
      <x:c r="J3391" s="34" t="str">
        <x:v>PASS</x:v>
      </x:c>
      <x:c r="K3391" s="34" t="str">
        <x:v>PASS</x:v>
      </x:c>
      <x:c r="L3391" s="34" t="str">
        <x:v>PASS</x:v>
      </x:c>
      <x:c r="M3391" s="34" t="str">
        <x:v>numeric coverage for applicable metric</x:v>
      </x:c>
      <x:c r="N3391" s="34" t="str">
        <x:v>Feedback-Directed Random Test Generation/Result_Round2/Mockito_38/result.json</x:v>
      </x:c>
      <x:c r="O3391" s="38" t="n">
        <x:f>IF(AND(G3391="RECORDED",ISNUMBER(H3391)),H3391,"")</x:f>
        <x:v>38.89</x:v>
      </x:c>
      <x:c r="P3391" s="34" t="str">
        <x:v>NOT_REVEALING</x:v>
      </x:c>
      <x:c r="Q3391" s="34" t="str">
        <x:v>Feedback-Directed Random Test Generation/Result_Round2/Mockito_38/result.json</x:v>
      </x:c>
    </x:row>
    <x:row r="3392">
      <x:c r="A3392" s="34" t="str">
        <x:v>randoop</x:v>
      </x:c>
      <x:c r="B3392" s="34" t="str">
        <x:v>Time</x:v>
      </x:c>
      <x:c r="C3392" s="34" t="str">
        <x:v>Round2</x:v>
      </x:c>
      <x:c r="D3392" s="34" t="str">
        <x:v>Time_1</x:v>
      </x:c>
      <x:c r="E3392" s="34" t="str">
        <x:v>Line</x:v>
      </x:c>
      <x:c r="F3392" s="34" t="n">
        <x:v>301</x:v>
      </x:c>
      <x:c r="G3392" s="34" t="str">
        <x:v>RECORDED</x:v>
      </x:c>
      <x:c r="H3392" s="38" t="n">
        <x:f>IF(ISNUMBER('Data'!H1684),'Data'!H1684*100,"")</x:f>
        <x:v>47.84</x:v>
      </x:c>
      <x:c r="I3392" s="34" t="str">
        <x:v>PASS</x:v>
      </x:c>
      <x:c r="J3392" s="34" t="str">
        <x:v>PASS</x:v>
      </x:c>
      <x:c r="K3392" s="34" t="str">
        <x:v>PASS</x:v>
      </x:c>
      <x:c r="L3392" s="34" t="str">
        <x:v>FAIL</x:v>
      </x:c>
      <x:c r="M3392" s="34" t="str">
        <x:v>numeric coverage for applicable metric</x:v>
      </x:c>
      <x:c r="N3392" s="34" t="str">
        <x:v>Feedback-Directed Random Test Generation/Result_Round2/Time_1/result.json</x:v>
      </x:c>
      <x:c r="O3392" s="38" t="n">
        <x:f>IF(AND(G3392="RECORDED",ISNUMBER(H3392)),H3392,"")</x:f>
        <x:v>47.84</x:v>
      </x:c>
      <x:c r="P3392" s="34" t="str">
        <x:v>INCONCLUSIVE</x:v>
      </x:c>
      <x:c r="Q3392" s="34" t="str">
        <x:v>Feedback-Directed Random Test Generation/Result_Round2/Time_1/result.json</x:v>
      </x:c>
    </x:row>
    <x:row r="3393">
      <x:c r="A3393" s="34" t="str">
        <x:v>randoop</x:v>
      </x:c>
      <x:c r="B3393" s="34" t="str">
        <x:v>Time</x:v>
      </x:c>
      <x:c r="C3393" s="34" t="str">
        <x:v>Round2</x:v>
      </x:c>
      <x:c r="D3393" s="34" t="str">
        <x:v>Time_2</x:v>
      </x:c>
      <x:c r="E3393" s="34" t="str">
        <x:v>Line</x:v>
      </x:c>
      <x:c r="F3393" s="34" t="n">
        <x:v>297</x:v>
      </x:c>
      <x:c r="G3393" s="34" t="str">
        <x:v>RECORDED</x:v>
      </x:c>
      <x:c r="H3393" s="38" t="n">
        <x:f>IF(ISNUMBER('Data'!H1685),'Data'!H1685*100,"")</x:f>
        <x:v>48.15</x:v>
      </x:c>
      <x:c r="I3393" s="34" t="str">
        <x:v>PASS</x:v>
      </x:c>
      <x:c r="J3393" s="34" t="str">
        <x:v>PASS</x:v>
      </x:c>
      <x:c r="K3393" s="34" t="str">
        <x:v>PASS</x:v>
      </x:c>
      <x:c r="L3393" s="34" t="str">
        <x:v>FAIL</x:v>
      </x:c>
      <x:c r="M3393" s="34" t="str">
        <x:v>numeric coverage for applicable metric</x:v>
      </x:c>
      <x:c r="N3393" s="34" t="str">
        <x:v>Feedback-Directed Random Test Generation/Result_Round2/Time_2/result.json</x:v>
      </x:c>
      <x:c r="O3393" s="38" t="n">
        <x:f>IF(AND(G3393="RECORDED",ISNUMBER(H3393)),H3393,"")</x:f>
        <x:v>48.15</x:v>
      </x:c>
      <x:c r="P3393" s="34" t="str">
        <x:v>INCONCLUSIVE</x:v>
      </x:c>
      <x:c r="Q3393" s="34" t="str">
        <x:v>Feedback-Directed Random Test Generation/Result_Round2/Time_2/result.json</x:v>
      </x:c>
    </x:row>
    <x:row r="3394">
      <x:c r="A3394" s="34" t="str">
        <x:v>randoop</x:v>
      </x:c>
      <x:c r="B3394" s="34" t="str">
        <x:v>Time</x:v>
      </x:c>
      <x:c r="C3394" s="34" t="str">
        <x:v>Round2</x:v>
      </x:c>
      <x:c r="D3394" s="34" t="str">
        <x:v>Time_3</x:v>
      </x:c>
      <x:c r="E3394" s="34" t="str">
        <x:v>Line</x:v>
      </x:c>
      <x:c r="F3394" s="34" t="n">
        <x:v>238</x:v>
      </x:c>
      <x:c r="G3394" s="34" t="str">
        <x:v>RECORDED</x:v>
      </x:c>
      <x:c r="H3394" s="38" t="n">
        <x:f>IF(ISNUMBER('Data'!H1686),'Data'!H1686*100,"")</x:f>
        <x:v>90.34</x:v>
      </x:c>
      <x:c r="I3394" s="34" t="str">
        <x:v>PASS</x:v>
      </x:c>
      <x:c r="J3394" s="34" t="str">
        <x:v>PASS</x:v>
      </x:c>
      <x:c r="K3394" s="34" t="str">
        <x:v>PASS</x:v>
      </x:c>
      <x:c r="L3394" s="34" t="str">
        <x:v>FAIL</x:v>
      </x:c>
      <x:c r="M3394" s="34" t="str">
        <x:v>numeric coverage for applicable metric</x:v>
      </x:c>
      <x:c r="N3394" s="34" t="str">
        <x:v>Feedback-Directed Random Test Generation/Result_Round2/Time_3/result.json</x:v>
      </x:c>
      <x:c r="O3394" s="38" t="n">
        <x:f>IF(AND(G3394="RECORDED",ISNUMBER(H3394)),H3394,"")</x:f>
        <x:v>90.34</x:v>
      </x:c>
      <x:c r="P3394" s="34" t="str">
        <x:v>INCONCLUSIVE</x:v>
      </x:c>
      <x:c r="Q3394" s="34" t="str">
        <x:v>Feedback-Directed Random Test Generation/Result_Round2/Time_3/result.json</x:v>
      </x:c>
    </x:row>
    <x:row r="3395">
      <x:c r="A3395" s="34" t="str">
        <x:v>randoop</x:v>
      </x:c>
      <x:c r="B3395" s="34" t="str">
        <x:v>Time</x:v>
      </x:c>
      <x:c r="C3395" s="34" t="str">
        <x:v>Round2</x:v>
      </x:c>
      <x:c r="D3395" s="34" t="str">
        <x:v>Time_4</x:v>
      </x:c>
      <x:c r="E3395" s="34" t="str">
        <x:v>Line</x:v>
      </x:c>
      <x:c r="F3395" s="34" t="n">
        <x:v>253</x:v>
      </x:c>
      <x:c r="G3395" s="34" t="str">
        <x:v>RECORDED</x:v>
      </x:c>
      <x:c r="H3395" s="38" t="n">
        <x:f>IF(ISNUMBER('Data'!H1687),'Data'!H1687*100,"")</x:f>
        <x:v>54.94</x:v>
      </x:c>
      <x:c r="I3395" s="34" t="str">
        <x:v>PASS</x:v>
      </x:c>
      <x:c r="J3395" s="34" t="str">
        <x:v>PASS</x:v>
      </x:c>
      <x:c r="K3395" s="34" t="str">
        <x:v>PASS</x:v>
      </x:c>
      <x:c r="L3395" s="34" t="str">
        <x:v>FAIL</x:v>
      </x:c>
      <x:c r="M3395" s="34" t="str">
        <x:v>numeric coverage for applicable metric</x:v>
      </x:c>
      <x:c r="N3395" s="34" t="str">
        <x:v>Feedback-Directed Random Test Generation/Result_Round2/Time_4/result.json</x:v>
      </x:c>
      <x:c r="O3395" s="38" t="n">
        <x:f>IF(AND(G3395="RECORDED",ISNUMBER(H3395)),H3395,"")</x:f>
        <x:v>54.94</x:v>
      </x:c>
      <x:c r="P3395" s="34" t="str">
        <x:v>INCONCLUSIVE</x:v>
      </x:c>
      <x:c r="Q3395" s="34" t="str">
        <x:v>Feedback-Directed Random Test Generation/Result_Round2/Time_4/result.json</x:v>
      </x:c>
    </x:row>
    <x:row r="3396">
      <x:c r="A3396" s="34" t="str">
        <x:v>randoop</x:v>
      </x:c>
      <x:c r="B3396" s="34" t="str">
        <x:v>Time</x:v>
      </x:c>
      <x:c r="C3396" s="34" t="str">
        <x:v>Round2</x:v>
      </x:c>
      <x:c r="D3396" s="34" t="str">
        <x:v>Time_5</x:v>
      </x:c>
      <x:c r="E3396" s="34" t="str">
        <x:v>Line</x:v>
      </x:c>
      <x:c r="F3396" s="34" t="n">
        <x:v>283</x:v>
      </x:c>
      <x:c r="G3396" s="34" t="str">
        <x:v>RECORDED</x:v>
      </x:c>
      <x:c r="H3396" s="38" t="n">
        <x:f>IF(ISNUMBER('Data'!H1688),'Data'!H1688*100,"")</x:f>
        <x:v>94.7</x:v>
      </x:c>
      <x:c r="I3396" s="34" t="str">
        <x:v>PASS</x:v>
      </x:c>
      <x:c r="J3396" s="34" t="str">
        <x:v>PASS</x:v>
      </x:c>
      <x:c r="K3396" s="34" t="str">
        <x:v>PASS</x:v>
      </x:c>
      <x:c r="L3396" s="34" t="str">
        <x:v>FAIL</x:v>
      </x:c>
      <x:c r="M3396" s="34" t="str">
        <x:v>numeric coverage for applicable metric</x:v>
      </x:c>
      <x:c r="N3396" s="34" t="str">
        <x:v>Feedback-Directed Random Test Generation/Result_Round2/Time_5/result.json</x:v>
      </x:c>
      <x:c r="O3396" s="38" t="n">
        <x:f>IF(AND(G3396="RECORDED",ISNUMBER(H3396)),H3396,"")</x:f>
        <x:v>94.7</x:v>
      </x:c>
      <x:c r="P3396" s="34" t="str">
        <x:v>INCONCLUSIVE</x:v>
      </x:c>
      <x:c r="Q3396" s="34" t="str">
        <x:v>Feedback-Directed Random Test Generation/Result_Round2/Time_5/result.json</x:v>
      </x:c>
    </x:row>
    <x:row r="3397">
      <x:c r="A3397" s="34" t="str">
        <x:v>randoop</x:v>
      </x:c>
      <x:c r="B3397" s="34" t="str">
        <x:v>Time</x:v>
      </x:c>
      <x:c r="C3397" s="34" t="str">
        <x:v>Round2</x:v>
      </x:c>
      <x:c r="D3397" s="34" t="str">
        <x:v>Time_6</x:v>
      </x:c>
      <x:c r="E3397" s="34" t="str">
        <x:v>Line</x:v>
      </x:c>
      <x:c r="F3397" s="34" t="n">
        <x:v>361</x:v>
      </x:c>
      <x:c r="G3397" s="34" t="str">
        <x:v>RECORDED</x:v>
      </x:c>
      <x:c r="H3397" s="38" t="n">
        <x:f>IF(ISNUMBER('Data'!H1689),'Data'!H1689*100,"")</x:f>
        <x:v>56.230000000000004</x:v>
      </x:c>
      <x:c r="I3397" s="34" t="str">
        <x:v>PASS</x:v>
      </x:c>
      <x:c r="J3397" s="34" t="str">
        <x:v>PASS</x:v>
      </x:c>
      <x:c r="K3397" s="34" t="str">
        <x:v>PASS</x:v>
      </x:c>
      <x:c r="L3397" s="34" t="str">
        <x:v>FAIL</x:v>
      </x:c>
      <x:c r="M3397" s="34" t="str">
        <x:v>numeric coverage for applicable metric</x:v>
      </x:c>
      <x:c r="N3397" s="34" t="str">
        <x:v>Feedback-Directed Random Test Generation/Result_Round2/Time_6/result.json</x:v>
      </x:c>
      <x:c r="O3397" s="38" t="n">
        <x:f>IF(AND(G3397="RECORDED",ISNUMBER(H3397)),H3397,"")</x:f>
        <x:v>56.230000000000004</x:v>
      </x:c>
      <x:c r="P3397" s="34" t="str">
        <x:v>INCONCLUSIVE</x:v>
      </x:c>
      <x:c r="Q3397" s="34" t="str">
        <x:v>Feedback-Directed Random Test Generation/Result_Round2/Time_6/result.json</x:v>
      </x:c>
    </x:row>
    <x:row r="3398">
      <x:c r="A3398" s="34" t="str">
        <x:v>randoop</x:v>
      </x:c>
      <x:c r="B3398" s="34" t="str">
        <x:v>Time</x:v>
      </x:c>
      <x:c r="C3398" s="34" t="str">
        <x:v>Round2</x:v>
      </x:c>
      <x:c r="D3398" s="34" t="str">
        <x:v>Time_7</x:v>
      </x:c>
      <x:c r="E3398" s="34" t="str">
        <x:v>Line</x:v>
      </x:c>
      <x:c r="F3398" s="34" t="n">
        <x:v>208</x:v>
      </x:c>
      <x:c r="G3398" s="34" t="str">
        <x:v>RECORDED</x:v>
      </x:c>
      <x:c r="H3398" s="38" t="n">
        <x:f>IF(ISNUMBER('Data'!H1690),'Data'!H1690*100,"")</x:f>
        <x:v>37.5</x:v>
      </x:c>
      <x:c r="I3398" s="34" t="str">
        <x:v>PASS</x:v>
      </x:c>
      <x:c r="J3398" s="34" t="str">
        <x:v>PASS</x:v>
      </x:c>
      <x:c r="K3398" s="34" t="str">
        <x:v>PASS</x:v>
      </x:c>
      <x:c r="L3398" s="34" t="str">
        <x:v>PASS</x:v>
      </x:c>
      <x:c r="M3398" s="34" t="str">
        <x:v>numeric coverage for applicable metric</x:v>
      </x:c>
      <x:c r="N3398" s="34" t="str">
        <x:v>Feedback-Directed Random Test Generation/Result_Round2/Time_7/result.json</x:v>
      </x:c>
      <x:c r="O3398" s="38" t="n">
        <x:f>IF(AND(G3398="RECORDED",ISNUMBER(H3398)),H3398,"")</x:f>
        <x:v>37.5</x:v>
      </x:c>
      <x:c r="P3398" s="34" t="str">
        <x:v>NOT_REVEALING</x:v>
      </x:c>
      <x:c r="Q3398" s="34" t="str">
        <x:v>Feedback-Directed Random Test Generation/Result_Round2/Time_7/result.json</x:v>
      </x:c>
    </x:row>
    <x:row r="3399">
      <x:c r="A3399" s="34" t="str">
        <x:v>randoop</x:v>
      </x:c>
      <x:c r="B3399" s="34" t="str">
        <x:v>Time</x:v>
      </x:c>
      <x:c r="C3399" s="34" t="str">
        <x:v>Round2</x:v>
      </x:c>
      <x:c r="D3399" s="34" t="str">
        <x:v>Time_8</x:v>
      </x:c>
      <x:c r="E3399" s="34" t="str">
        <x:v>Line</x:v>
      </x:c>
      <x:c r="F3399" s="34" t="n">
        <x:v>355</x:v>
      </x:c>
      <x:c r="G3399" s="34" t="str">
        <x:v>RECORDED</x:v>
      </x:c>
      <x:c r="H3399" s="38" t="n">
        <x:f>IF(ISNUMBER('Data'!H1691),'Data'!H1691*100,"")</x:f>
        <x:v>78.31</x:v>
      </x:c>
      <x:c r="I3399" s="34" t="str">
        <x:v>PASS</x:v>
      </x:c>
      <x:c r="J3399" s="34" t="str">
        <x:v>PASS</x:v>
      </x:c>
      <x:c r="K3399" s="34" t="str">
        <x:v>PASS</x:v>
      </x:c>
      <x:c r="L3399" s="34" t="str">
        <x:v>FAIL</x:v>
      </x:c>
      <x:c r="M3399" s="34" t="str">
        <x:v>numeric coverage for applicable metric</x:v>
      </x:c>
      <x:c r="N3399" s="34" t="str">
        <x:v>Feedback-Directed Random Test Generation/Result_Round2/Time_8/result.json</x:v>
      </x:c>
      <x:c r="O3399" s="38" t="n">
        <x:f>IF(AND(G3399="RECORDED",ISNUMBER(H3399)),H3399,"")</x:f>
        <x:v>78.31</x:v>
      </x:c>
      <x:c r="P3399" s="34" t="str">
        <x:v>INCONCLUSIVE</x:v>
      </x:c>
      <x:c r="Q3399" s="34" t="str">
        <x:v>Feedback-Directed Random Test Generation/Result_Round2/Time_8/result.json</x:v>
      </x:c>
    </x:row>
    <x:row r="3400">
      <x:c r="A3400" s="34" t="str">
        <x:v>randoop</x:v>
      </x:c>
      <x:c r="B3400" s="34" t="str">
        <x:v>Time</x:v>
      </x:c>
      <x:c r="C3400" s="34" t="str">
        <x:v>Round2</x:v>
      </x:c>
      <x:c r="D3400" s="34" t="str">
        <x:v>Time_9</x:v>
      </x:c>
      <x:c r="E3400" s="34" t="str">
        <x:v>Line</x:v>
      </x:c>
      <x:c r="F3400" s="34" t="n">
        <x:v>351</x:v>
      </x:c>
      <x:c r="G3400" s="34" t="str">
        <x:v>RECORDED</x:v>
      </x:c>
      <x:c r="H3400" s="38" t="n">
        <x:f>IF(ISNUMBER('Data'!H1692),'Data'!H1692*100,"")</x:f>
        <x:v>77.21</x:v>
      </x:c>
      <x:c r="I3400" s="34" t="str">
        <x:v>PASS</x:v>
      </x:c>
      <x:c r="J3400" s="34" t="str">
        <x:v>PASS</x:v>
      </x:c>
      <x:c r="K3400" s="34" t="str">
        <x:v>PASS</x:v>
      </x:c>
      <x:c r="L3400" s="34" t="str">
        <x:v>FAIL</x:v>
      </x:c>
      <x:c r="M3400" s="34" t="str">
        <x:v>numeric coverage for applicable metric</x:v>
      </x:c>
      <x:c r="N3400" s="34" t="str">
        <x:v>Feedback-Directed Random Test Generation/Result_Round2/Time_9/result.json</x:v>
      </x:c>
      <x:c r="O3400" s="38" t="n">
        <x:f>IF(AND(G3400="RECORDED",ISNUMBER(H3400)),H3400,"")</x:f>
        <x:v>77.21</x:v>
      </x:c>
      <x:c r="P3400" s="34" t="str">
        <x:v>INCONCLUSIVE</x:v>
      </x:c>
      <x:c r="Q3400" s="34" t="str">
        <x:v>Feedback-Directed Random Test Generation/Result_Round2/Time_9/result.json</x:v>
      </x:c>
    </x:row>
    <x:row r="3401">
      <x:c r="A3401" s="34" t="str">
        <x:v>randoop</x:v>
      </x:c>
      <x:c r="B3401" s="34" t="str">
        <x:v>Time</x:v>
      </x:c>
      <x:c r="C3401" s="34" t="str">
        <x:v>Round2</x:v>
      </x:c>
      <x:c r="D3401" s="34" t="str">
        <x:v>Time_10</x:v>
      </x:c>
      <x:c r="E3401" s="34" t="str">
        <x:v>Line</x:v>
      </x:c>
      <x:c r="F3401" s="34" t="n">
        <x:v>71</x:v>
      </x:c>
      <x:c r="G3401" s="34" t="str">
        <x:v>RECORDED</x:v>
      </x:c>
      <x:c r="H3401" s="38" t="n">
        <x:f>IF(ISNUMBER('Data'!H1693),'Data'!H1693*100,"")</x:f>
        <x:v>8.45</x:v>
      </x:c>
      <x:c r="I3401" s="34" t="str">
        <x:v>PASS</x:v>
      </x:c>
      <x:c r="J3401" s="34" t="str">
        <x:v>PASS</x:v>
      </x:c>
      <x:c r="K3401" s="34" t="str">
        <x:v>PASS</x:v>
      </x:c>
      <x:c r="L3401" s="34" t="str">
        <x:v>PASS</x:v>
      </x:c>
      <x:c r="M3401" s="34" t="str">
        <x:v>numeric coverage for applicable metric</x:v>
      </x:c>
      <x:c r="N3401" s="34" t="str">
        <x:v>Feedback-Directed Random Test Generation/Result_Round2/Time_10/result.json</x:v>
      </x:c>
      <x:c r="O3401" s="38" t="n">
        <x:f>IF(AND(G3401="RECORDED",ISNUMBER(H3401)),H3401,"")</x:f>
        <x:v>8.45</x:v>
      </x:c>
      <x:c r="P3401" s="34" t="str">
        <x:v>NOT_REVEALING</x:v>
      </x:c>
      <x:c r="Q3401" s="34" t="str">
        <x:v>Feedback-Directed Random Test Generation/Result_Round2/Time_10/result.json</x:v>
      </x:c>
    </x:row>
    <x:row r="3402">
      <x:c r="A3402" s="34" t="str">
        <x:v>randoop</x:v>
      </x:c>
      <x:c r="B3402" s="34" t="str">
        <x:v>Time</x:v>
      </x:c>
      <x:c r="C3402" s="34" t="str">
        <x:v>Round2</x:v>
      </x:c>
      <x:c r="D3402" s="34" t="str">
        <x:v>Time_11</x:v>
      </x:c>
      <x:c r="E3402" s="34" t="str">
        <x:v>Line</x:v>
      </x:c>
      <x:c r="F3402" s="34" t="n">
        <x:v>393</x:v>
      </x:c>
      <x:c r="G3402" s="34" t="str">
        <x:v>RECORDED</x:v>
      </x:c>
      <x:c r="H3402" s="38" t="n">
        <x:f>IF(ISNUMBER('Data'!H1694),'Data'!H1694*100,"")</x:f>
        <x:v>18.32</x:v>
      </x:c>
      <x:c r="I3402" s="34" t="str">
        <x:v>PASS</x:v>
      </x:c>
      <x:c r="J3402" s="34" t="str">
        <x:v>PASS</x:v>
      </x:c>
      <x:c r="K3402" s="34" t="str">
        <x:v>PASS</x:v>
      </x:c>
      <x:c r="L3402" s="34" t="str">
        <x:v>PASS</x:v>
      </x:c>
      <x:c r="M3402" s="34" t="str">
        <x:v>numeric coverage for applicable metric</x:v>
      </x:c>
      <x:c r="N3402" s="34" t="str">
        <x:v>Feedback-Directed Random Test Generation/Result_Round2/Time_11/result.json</x:v>
      </x:c>
      <x:c r="O3402" s="38" t="n">
        <x:f>IF(AND(G3402="RECORDED",ISNUMBER(H3402)),H3402,"")</x:f>
        <x:v>18.32</x:v>
      </x:c>
      <x:c r="P3402" s="34" t="str">
        <x:v>NOT_REVEALING</x:v>
      </x:c>
      <x:c r="Q3402" s="34" t="str">
        <x:v>Feedback-Directed Random Test Generation/Result_Round2/Time_11/result.json</x:v>
      </x:c>
    </x:row>
    <x:row r="3403">
      <x:c r="A3403" s="34" t="str">
        <x:v>randoop</x:v>
      </x:c>
      <x:c r="B3403" s="34" t="str">
        <x:v>Time</x:v>
      </x:c>
      <x:c r="C3403" s="34" t="str">
        <x:v>Round2</x:v>
      </x:c>
      <x:c r="D3403" s="34" t="str">
        <x:v>Time_12</x:v>
      </x:c>
      <x:c r="E3403" s="34" t="str">
        <x:v>Line</x:v>
      </x:c>
      <x:c r="F3403" s="34" t="n">
        <x:v>664</x:v>
      </x:c>
      <x:c r="G3403" s="34" t="str">
        <x:v>RECORDED</x:v>
      </x:c>
      <x:c r="H3403" s="38" t="n">
        <x:f>IF(ISNUMBER('Data'!H1695),'Data'!H1695*100,"")</x:f>
        <x:v>83.58</x:v>
      </x:c>
      <x:c r="I3403" s="34" t="str">
        <x:v>PASS</x:v>
      </x:c>
      <x:c r="J3403" s="34" t="str">
        <x:v>PASS</x:v>
      </x:c>
      <x:c r="K3403" s="34" t="str">
        <x:v>PASS</x:v>
      </x:c>
      <x:c r="L3403" s="34" t="str">
        <x:v>FAIL</x:v>
      </x:c>
      <x:c r="M3403" s="34" t="str">
        <x:v>numeric coverage for applicable metric</x:v>
      </x:c>
      <x:c r="N3403" s="34" t="str">
        <x:v>Feedback-Directed Random Test Generation/Result_Round2/Time_12/result.json</x:v>
      </x:c>
      <x:c r="O3403" s="38" t="n">
        <x:f>IF(AND(G3403="RECORDED",ISNUMBER(H3403)),H3403,"")</x:f>
        <x:v>83.58</x:v>
      </x:c>
      <x:c r="P3403" s="34" t="str">
        <x:v>INCONCLUSIVE</x:v>
      </x:c>
      <x:c r="Q3403" s="34" t="str">
        <x:v>Feedback-Directed Random Test Generation/Result_Round2/Time_12/result.json</x:v>
      </x:c>
    </x:row>
    <x:row r="3404">
      <x:c r="A3404" s="34" t="str">
        <x:v>randoop</x:v>
      </x:c>
      <x:c r="B3404" s="34" t="str">
        <x:v>Time</x:v>
      </x:c>
      <x:c r="C3404" s="34" t="str">
        <x:v>Round2</x:v>
      </x:c>
      <x:c r="D3404" s="34" t="str">
        <x:v>Time_13</x:v>
      </x:c>
      <x:c r="E3404" s="34" t="str">
        <x:v>Line</x:v>
      </x:c>
      <x:c r="F3404" s="34" t="n">
        <x:v>672</x:v>
      </x:c>
      <x:c r="G3404" s="34" t="str">
        <x:v>RECORDED</x:v>
      </x:c>
      <x:c r="H3404" s="38" t="n">
        <x:f>IF(ISNUMBER('Data'!H1696),'Data'!H1696*100,"")</x:f>
        <x:v>57.89</x:v>
      </x:c>
      <x:c r="I3404" s="34" t="str">
        <x:v>PASS</x:v>
      </x:c>
      <x:c r="J3404" s="34" t="str">
        <x:v>PASS</x:v>
      </x:c>
      <x:c r="K3404" s="34" t="str">
        <x:v>PASS</x:v>
      </x:c>
      <x:c r="L3404" s="34" t="str">
        <x:v>PASS</x:v>
      </x:c>
      <x:c r="M3404" s="34" t="str">
        <x:v>numeric coverage for applicable metric</x:v>
      </x:c>
      <x:c r="N3404" s="34" t="str">
        <x:v>Feedback-Directed Random Test Generation/Result_Round2/Time_13/result.json</x:v>
      </x:c>
      <x:c r="O3404" s="38" t="n">
        <x:f>IF(AND(G3404="RECORDED",ISNUMBER(H3404)),H3404,"")</x:f>
        <x:v>57.89</x:v>
      </x:c>
      <x:c r="P3404" s="34" t="str">
        <x:v>NOT_REVEALING</x:v>
      </x:c>
      <x:c r="Q3404" s="34" t="str">
        <x:v>Feedback-Directed Random Test Generation/Result_Round2/Time_13/result.json</x:v>
      </x:c>
    </x:row>
    <x:row r="3405">
      <x:c r="A3405" s="34" t="str">
        <x:v>randoop</x:v>
      </x:c>
      <x:c r="B3405" s="34" t="str">
        <x:v>Time</x:v>
      </x:c>
      <x:c r="C3405" s="34" t="str">
        <x:v>Round2</x:v>
      </x:c>
      <x:c r="D3405" s="34" t="str">
        <x:v>Time_14</x:v>
      </x:c>
      <x:c r="E3405" s="34" t="str">
        <x:v>Line</x:v>
      </x:c>
      <x:c r="F3405" s="34" t="n">
        <x:v>114</x:v>
      </x:c>
      <x:c r="G3405" s="34" t="str">
        <x:v>RECORDED</x:v>
      </x:c>
      <x:c r="H3405" s="38" t="n">
        <x:f>IF(ISNUMBER('Data'!H1697),'Data'!H1697*100,"")</x:f>
        <x:v>0.88</x:v>
      </x:c>
      <x:c r="I3405" s="34" t="str">
        <x:v>PASS</x:v>
      </x:c>
      <x:c r="J3405" s="34" t="str">
        <x:v>PASS</x:v>
      </x:c>
      <x:c r="K3405" s="34" t="str">
        <x:v>PASS</x:v>
      </x:c>
      <x:c r="L3405" s="34" t="str">
        <x:v>PASS</x:v>
      </x:c>
      <x:c r="M3405" s="34" t="str">
        <x:v>numeric coverage for applicable metric</x:v>
      </x:c>
      <x:c r="N3405" s="34" t="str">
        <x:v>Feedback-Directed Random Test Generation/Result_Round2/Time_14/result.json</x:v>
      </x:c>
      <x:c r="O3405" s="38" t="n">
        <x:f>IF(AND(G3405="RECORDED",ISNUMBER(H3405)),H3405,"")</x:f>
        <x:v>0.88</x:v>
      </x:c>
      <x:c r="P3405" s="34" t="str">
        <x:v>NOT_REVEALING</x:v>
      </x:c>
      <x:c r="Q3405" s="34" t="str">
        <x:v>Feedback-Directed Random Test Generation/Result_Round2/Time_14/result.json</x:v>
      </x:c>
    </x:row>
    <x:row r="3406">
      <x:c r="A3406" s="34" t="str">
        <x:v>randoop</x:v>
      </x:c>
      <x:c r="B3406" s="34" t="str">
        <x:v>Time</x:v>
      </x:c>
      <x:c r="C3406" s="34" t="str">
        <x:v>Round2</x:v>
      </x:c>
      <x:c r="D3406" s="34" t="str">
        <x:v>Time_15</x:v>
      </x:c>
      <x:c r="E3406" s="34" t="str">
        <x:v>Line</x:v>
      </x:c>
      <x:c r="F3406" s="34" t="n">
        <x:v>75</x:v>
      </x:c>
      <x:c r="G3406" s="34" t="str">
        <x:v>RECORDED</x:v>
      </x:c>
      <x:c r="H3406" s="38" t="n">
        <x:f>IF(ISNUMBER('Data'!H1698),'Data'!H1698*100,"")</x:f>
        <x:v>90.67</x:v>
      </x:c>
      <x:c r="I3406" s="34" t="str">
        <x:v>PASS</x:v>
      </x:c>
      <x:c r="J3406" s="34" t="str">
        <x:v>PASS</x:v>
      </x:c>
      <x:c r="K3406" s="34" t="str">
        <x:v>PASS</x:v>
      </x:c>
      <x:c r="L3406" s="34" t="str">
        <x:v>PASS</x:v>
      </x:c>
      <x:c r="M3406" s="34" t="str">
        <x:v>numeric coverage for applicable metric</x:v>
      </x:c>
      <x:c r="N3406" s="34" t="str">
        <x:v>Feedback-Directed Random Test Generation/Result_Round2/Time_15/result.json</x:v>
      </x:c>
      <x:c r="O3406" s="38" t="n">
        <x:f>IF(AND(G3406="RECORDED",ISNUMBER(H3406)),H3406,"")</x:f>
        <x:v>90.67</x:v>
      </x:c>
      <x:c r="P3406" s="34" t="str">
        <x:v>NOT_REVEALING</x:v>
      </x:c>
      <x:c r="Q3406" s="34" t="str">
        <x:v>Feedback-Directed Random Test Generation/Result_Round2/Time_15/result.json</x:v>
      </x:c>
    </x:row>
    <x:row r="3407">
      <x:c r="A3407" s="34" t="str">
        <x:v>randoop</x:v>
      </x:c>
      <x:c r="B3407" s="34" t="str">
        <x:v>Time</x:v>
      </x:c>
      <x:c r="C3407" s="34" t="str">
        <x:v>Round2</x:v>
      </x:c>
      <x:c r="D3407" s="34" t="str">
        <x:v>Time_16</x:v>
      </x:c>
      <x:c r="E3407" s="34" t="str">
        <x:v>Line</x:v>
      </x:c>
      <x:c r="F3407" s="34" t="n">
        <x:v>207</x:v>
      </x:c>
      <x:c r="G3407" s="34" t="str">
        <x:v>RECORDED</x:v>
      </x:c>
      <x:c r="H3407" s="38" t="n">
        <x:f>IF(ISNUMBER('Data'!H1699),'Data'!H1699*100,"")</x:f>
        <x:v>37.68</x:v>
      </x:c>
      <x:c r="I3407" s="34" t="str">
        <x:v>PASS</x:v>
      </x:c>
      <x:c r="J3407" s="34" t="str">
        <x:v>PASS</x:v>
      </x:c>
      <x:c r="K3407" s="34" t="str">
        <x:v>PASS</x:v>
      </x:c>
      <x:c r="L3407" s="34" t="str">
        <x:v>PASS</x:v>
      </x:c>
      <x:c r="M3407" s="34" t="str">
        <x:v>numeric coverage for applicable metric</x:v>
      </x:c>
      <x:c r="N3407" s="34" t="str">
        <x:v>Feedback-Directed Random Test Generation/Result_Round2/Time_16/result.json</x:v>
      </x:c>
      <x:c r="O3407" s="38" t="n">
        <x:f>IF(AND(G3407="RECORDED",ISNUMBER(H3407)),H3407,"")</x:f>
        <x:v>37.68</x:v>
      </x:c>
      <x:c r="P3407" s="34" t="str">
        <x:v>NOT_REVEALING</x:v>
      </x:c>
      <x:c r="Q3407" s="34" t="str">
        <x:v>Feedback-Directed Random Test Generation/Result_Round2/Time_16/result.json</x:v>
      </x:c>
    </x:row>
    <x:row r="3408">
      <x:c r="A3408" s="34" t="str">
        <x:v>randoop</x:v>
      </x:c>
      <x:c r="B3408" s="34" t="str">
        <x:v>Time</x:v>
      </x:c>
      <x:c r="C3408" s="34" t="str">
        <x:v>Round2</x:v>
      </x:c>
      <x:c r="D3408" s="34" t="str">
        <x:v>Time_17</x:v>
      </x:c>
      <x:c r="E3408" s="34" t="str">
        <x:v>Line</x:v>
      </x:c>
      <x:c r="F3408" s="34" t="n">
        <x:v>343</x:v>
      </x:c>
      <x:c r="G3408" s="34" t="str">
        <x:v>RECORDED</x:v>
      </x:c>
      <x:c r="H3408" s="38" t="n">
        <x:f>IF(ISNUMBER('Data'!H1700),'Data'!H1700*100,"")</x:f>
        <x:v>79.01</x:v>
      </x:c>
      <x:c r="I3408" s="34" t="str">
        <x:v>PASS</x:v>
      </x:c>
      <x:c r="J3408" s="34" t="str">
        <x:v>PASS</x:v>
      </x:c>
      <x:c r="K3408" s="34" t="str">
        <x:v>PASS</x:v>
      </x:c>
      <x:c r="L3408" s="34" t="str">
        <x:v>FAIL</x:v>
      </x:c>
      <x:c r="M3408" s="34" t="str">
        <x:v>numeric coverage for applicable metric</x:v>
      </x:c>
      <x:c r="N3408" s="34" t="str">
        <x:v>Feedback-Directed Random Test Generation/Result_Round2/Time_17/result.json</x:v>
      </x:c>
      <x:c r="O3408" s="38" t="n">
        <x:f>IF(AND(G3408="RECORDED",ISNUMBER(H3408)),H3408,"")</x:f>
        <x:v>79.01</x:v>
      </x:c>
      <x:c r="P3408" s="34" t="str">
        <x:v>INCONCLUSIVE</x:v>
      </x:c>
      <x:c r="Q3408" s="34" t="str">
        <x:v>Feedback-Directed Random Test Generation/Result_Round2/Time_17/result.json</x:v>
      </x:c>
    </x:row>
    <x:row r="3409">
      <x:c r="A3409" s="34" t="str">
        <x:v>randoop</x:v>
      </x:c>
      <x:c r="B3409" s="34" t="str">
        <x:v>Time</x:v>
      </x:c>
      <x:c r="C3409" s="34" t="str">
        <x:v>Round2</x:v>
      </x:c>
      <x:c r="D3409" s="34" t="str">
        <x:v>Time_18</x:v>
      </x:c>
      <x:c r="E3409" s="34" t="str">
        <x:v>Line</x:v>
      </x:c>
      <x:c r="F3409" s="34" t="n">
        <x:v>344</x:v>
      </x:c>
      <x:c r="G3409" s="34" t="str">
        <x:v>RECORDED</x:v>
      </x:c>
      <x:c r="H3409" s="38" t="n">
        <x:f>IF(ISNUMBER('Data'!H1701),'Data'!H1701*100,"")</x:f>
        <x:v>55.230000000000004</x:v>
      </x:c>
      <x:c r="I3409" s="34" t="str">
        <x:v>PASS</x:v>
      </x:c>
      <x:c r="J3409" s="34" t="str">
        <x:v>PASS</x:v>
      </x:c>
      <x:c r="K3409" s="34" t="str">
        <x:v>PASS</x:v>
      </x:c>
      <x:c r="L3409" s="34" t="str">
        <x:v>FAIL</x:v>
      </x:c>
      <x:c r="M3409" s="34" t="str">
        <x:v>numeric coverage for applicable metric</x:v>
      </x:c>
      <x:c r="N3409" s="34" t="str">
        <x:v>Feedback-Directed Random Test Generation/Result_Round2/Time_18/result.json</x:v>
      </x:c>
      <x:c r="O3409" s="38" t="n">
        <x:f>IF(AND(G3409="RECORDED",ISNUMBER(H3409)),H3409,"")</x:f>
        <x:v>55.230000000000004</x:v>
      </x:c>
      <x:c r="P3409" s="34" t="str">
        <x:v>INCONCLUSIVE</x:v>
      </x:c>
      <x:c r="Q3409" s="34" t="str">
        <x:v>Feedback-Directed Random Test Generation/Result_Round2/Time_18/result.json</x:v>
      </x:c>
    </x:row>
    <x:row r="3410">
      <x:c r="A3410" s="34" t="str">
        <x:v>randoop</x:v>
      </x:c>
      <x:c r="B3410" s="34" t="str">
        <x:v>Time</x:v>
      </x:c>
      <x:c r="C3410" s="34" t="str">
        <x:v>Round2</x:v>
      </x:c>
      <x:c r="D3410" s="34" t="str">
        <x:v>Time_19</x:v>
      </x:c>
      <x:c r="E3410" s="34" t="str">
        <x:v>Line</x:v>
      </x:c>
      <x:c r="F3410" s="34" t="n">
        <x:v>343</x:v>
      </x:c>
      <x:c r="G3410" s="34" t="str">
        <x:v>RECORDED</x:v>
      </x:c>
      <x:c r="H3410" s="38" t="n">
        <x:f>IF(ISNUMBER('Data'!H1702),'Data'!H1702*100,"")</x:f>
        <x:v>79.01</x:v>
      </x:c>
      <x:c r="I3410" s="34" t="str">
        <x:v>PASS</x:v>
      </x:c>
      <x:c r="J3410" s="34" t="str">
        <x:v>PASS</x:v>
      </x:c>
      <x:c r="K3410" s="34" t="str">
        <x:v>PASS</x:v>
      </x:c>
      <x:c r="L3410" s="34" t="str">
        <x:v>FAIL</x:v>
      </x:c>
      <x:c r="M3410" s="34" t="str">
        <x:v>numeric coverage for applicable metric</x:v>
      </x:c>
      <x:c r="N3410" s="34" t="str">
        <x:v>Feedback-Directed Random Test Generation/Result_Round2/Time_19/result.json</x:v>
      </x:c>
      <x:c r="O3410" s="38" t="n">
        <x:f>IF(AND(G3410="RECORDED",ISNUMBER(H3410)),H3410,"")</x:f>
        <x:v>79.01</x:v>
      </x:c>
      <x:c r="P3410" s="34" t="str">
        <x:v>INCONCLUSIVE</x:v>
      </x:c>
      <x:c r="Q3410" s="34" t="str">
        <x:v>Feedback-Directed Random Test Generation/Result_Round2/Time_19/result.json</x:v>
      </x:c>
    </x:row>
    <x:row r="3411">
      <x:c r="A3411" s="34" t="str">
        <x:v>randoop</x:v>
      </x:c>
      <x:c r="B3411" s="34" t="str">
        <x:v>Time</x:v>
      </x:c>
      <x:c r="C3411" s="34" t="str">
        <x:v>Round2</x:v>
      </x:c>
      <x:c r="D3411" s="34" t="str">
        <x:v>Time_20</x:v>
      </x:c>
      <x:c r="E3411" s="34" t="str">
        <x:v>Line</x:v>
      </x:c>
      <x:c r="F3411" s="34" t="n">
        <x:v>1033</x:v>
      </x:c>
      <x:c r="G3411" s="34" t="str">
        <x:v>RECORDED</x:v>
      </x:c>
      <x:c r="H3411" s="38" t="n">
        <x:f>IF(ISNUMBER('Data'!H1703),'Data'!H1703*100,"")</x:f>
        <x:v>46.47</x:v>
      </x:c>
      <x:c r="I3411" s="34" t="str">
        <x:v>PASS</x:v>
      </x:c>
      <x:c r="J3411" s="34" t="str">
        <x:v>PASS</x:v>
      </x:c>
      <x:c r="K3411" s="34" t="str">
        <x:v>PASS</x:v>
      </x:c>
      <x:c r="L3411" s="34" t="str">
        <x:v>PASS</x:v>
      </x:c>
      <x:c r="M3411" s="34" t="str">
        <x:v>numeric coverage for applicable metric</x:v>
      </x:c>
      <x:c r="N3411" s="34" t="str">
        <x:v>Feedback-Directed Random Test Generation/Result_Round2/Time_20/result.json</x:v>
      </x:c>
      <x:c r="O3411" s="38" t="n">
        <x:f>IF(AND(G3411="RECORDED",ISNUMBER(H3411)),H3411,"")</x:f>
        <x:v>46.47</x:v>
      </x:c>
      <x:c r="P3411" s="34" t="str">
        <x:v>NOT_REVEALING</x:v>
      </x:c>
      <x:c r="Q3411" s="34" t="str">
        <x:v>Feedback-Directed Random Test Generation/Result_Round2/Time_20/result.json</x:v>
      </x:c>
    </x:row>
    <x:row r="3412">
      <x:c r="A3412" s="34" t="str">
        <x:v>randoop</x:v>
      </x:c>
      <x:c r="B3412" s="34" t="str">
        <x:v>Time</x:v>
      </x:c>
      <x:c r="C3412" s="34" t="str">
        <x:v>Round2</x:v>
      </x:c>
      <x:c r="D3412" s="34" t="str">
        <x:v>Time_22</x:v>
      </x:c>
      <x:c r="E3412" s="34" t="str">
        <x:v>Line</x:v>
      </x:c>
      <x:c r="F3412" s="34" t="n">
        <x:v>171</x:v>
      </x:c>
      <x:c r="G3412" s="34" t="str">
        <x:v>RECORDED</x:v>
      </x:c>
      <x:c r="H3412" s="38" t="n">
        <x:f>IF(ISNUMBER('Data'!H1704),'Data'!H1704*100,"")</x:f>
        <x:v>0</x:v>
      </x:c>
      <x:c r="I3412" s="34" t="str">
        <x:v>PASS</x:v>
      </x:c>
      <x:c r="J3412" s="34" t="str">
        <x:v>PASS</x:v>
      </x:c>
      <x:c r="K3412" s="34" t="str">
        <x:v>PASS</x:v>
      </x:c>
      <x:c r="L3412" s="34" t="str">
        <x:v>PASS</x:v>
      </x:c>
      <x:c r="M3412" s="34" t="str">
        <x:v>numeric coverage for applicable metric</x:v>
      </x:c>
      <x:c r="N3412" s="34" t="str">
        <x:v>Feedback-Directed Random Test Generation/Result_Round2/Time_22/result.json</x:v>
      </x:c>
      <x:c r="O3412" s="38" t="n">
        <x:f>IF(AND(G3412="RECORDED",ISNUMBER(H3412)),H3412,"")</x:f>
        <x:v>0</x:v>
      </x:c>
      <x:c r="P3412" s="34" t="str">
        <x:v>NOT_REVEALING</x:v>
      </x:c>
      <x:c r="Q3412" s="34" t="str">
        <x:v>Feedback-Directed Random Test Generation/Result_Round2/Time_22/result.json</x:v>
      </x:c>
    </x:row>
    <x:row r="3413">
      <x:c r="A3413" s="34" t="str">
        <x:v>randoop</x:v>
      </x:c>
      <x:c r="B3413" s="34" t="str">
        <x:v>Time</x:v>
      </x:c>
      <x:c r="C3413" s="34" t="str">
        <x:v>Round2</x:v>
      </x:c>
      <x:c r="D3413" s="34" t="str">
        <x:v>Time_23</x:v>
      </x:c>
      <x:c r="E3413" s="34" t="str">
        <x:v>Line</x:v>
      </x:c>
      <x:c r="F3413" s="34" t="n">
        <x:v>342</x:v>
      </x:c>
      <x:c r="G3413" s="34" t="str">
        <x:v>RECORDED</x:v>
      </x:c>
      <x:c r="H3413" s="38" t="n">
        <x:f>IF(ISNUMBER('Data'!H1705),'Data'!H1705*100,"")</x:f>
        <x:v>78.95</x:v>
      </x:c>
      <x:c r="I3413" s="34" t="str">
        <x:v>PASS</x:v>
      </x:c>
      <x:c r="J3413" s="34" t="str">
        <x:v>PASS</x:v>
      </x:c>
      <x:c r="K3413" s="34" t="str">
        <x:v>PASS</x:v>
      </x:c>
      <x:c r="L3413" s="34" t="str">
        <x:v>FAIL</x:v>
      </x:c>
      <x:c r="M3413" s="34" t="str">
        <x:v>numeric coverage for applicable metric</x:v>
      </x:c>
      <x:c r="N3413" s="34" t="str">
        <x:v>Feedback-Directed Random Test Generation/Result_Round2/Time_23/result.json</x:v>
      </x:c>
      <x:c r="O3413" s="38" t="n">
        <x:f>IF(AND(G3413="RECORDED",ISNUMBER(H3413)),H3413,"")</x:f>
        <x:v>78.95</x:v>
      </x:c>
      <x:c r="P3413" s="34" t="str">
        <x:v>INCONCLUSIVE</x:v>
      </x:c>
      <x:c r="Q3413" s="34" t="str">
        <x:v>Feedback-Directed Random Test Generation/Result_Round2/Time_23/result.json</x:v>
      </x:c>
    </x:row>
    <x:row r="3414">
      <x:c r="A3414" s="34" t="str">
        <x:v>randoop</x:v>
      </x:c>
      <x:c r="B3414" s="34" t="str">
        <x:v>Time</x:v>
      </x:c>
      <x:c r="C3414" s="34" t="str">
        <x:v>Round2</x:v>
      </x:c>
      <x:c r="D3414" s="34" t="str">
        <x:v>Time_24</x:v>
      </x:c>
      <x:c r="E3414" s="34" t="str">
        <x:v>Line</x:v>
      </x:c>
      <x:c r="F3414" s="34" t="n">
        <x:v>144</x:v>
      </x:c>
      <x:c r="G3414" s="34" t="str">
        <x:v>RECORDED</x:v>
      </x:c>
      <x:c r="H3414" s="38" t="n">
        <x:f>IF(ISNUMBER('Data'!H1706),'Data'!H1706*100,"")</x:f>
        <x:v>62.5</x:v>
      </x:c>
      <x:c r="I3414" s="34" t="str">
        <x:v>PASS</x:v>
      </x:c>
      <x:c r="J3414" s="34" t="str">
        <x:v>PASS</x:v>
      </x:c>
      <x:c r="K3414" s="34" t="str">
        <x:v>PASS</x:v>
      </x:c>
      <x:c r="L3414" s="34" t="str">
        <x:v>FAIL</x:v>
      </x:c>
      <x:c r="M3414" s="34" t="str">
        <x:v>numeric coverage for applicable metric</x:v>
      </x:c>
      <x:c r="N3414" s="34" t="str">
        <x:v>Feedback-Directed Random Test Generation/Result_Round2/Time_24/result.json</x:v>
      </x:c>
      <x:c r="O3414" s="38" t="n">
        <x:f>IF(AND(G3414="RECORDED",ISNUMBER(H3414)),H3414,"")</x:f>
        <x:v>62.5</x:v>
      </x:c>
      <x:c r="P3414" s="34" t="str">
        <x:v>INCONCLUSIVE</x:v>
      </x:c>
      <x:c r="Q3414" s="34" t="str">
        <x:v>Feedback-Directed Random Test Generation/Result_Round2/Time_24/result.json</x:v>
      </x:c>
    </x:row>
    <x:row r="3415">
      <x:c r="A3415" s="34" t="str">
        <x:v>randoop</x:v>
      </x:c>
      <x:c r="B3415" s="34" t="str">
        <x:v>Time</x:v>
      </x:c>
      <x:c r="C3415" s="34" t="str">
        <x:v>Round2</x:v>
      </x:c>
      <x:c r="D3415" s="34" t="str">
        <x:v>Time_25</x:v>
      </x:c>
      <x:c r="E3415" s="34" t="str">
        <x:v>Line</x:v>
      </x:c>
      <x:c r="F3415" s="34" t="n">
        <x:v>328</x:v>
      </x:c>
      <x:c r="G3415" s="34" t="str">
        <x:v>RECORDED</x:v>
      </x:c>
      <x:c r="H3415" s="38" t="n">
        <x:f>IF(ISNUMBER('Data'!H1707),'Data'!H1707*100,"")</x:f>
        <x:v>73.78</x:v>
      </x:c>
      <x:c r="I3415" s="34" t="str">
        <x:v>PASS</x:v>
      </x:c>
      <x:c r="J3415" s="34" t="str">
        <x:v>PASS</x:v>
      </x:c>
      <x:c r="K3415" s="34" t="str">
        <x:v>PASS</x:v>
      </x:c>
      <x:c r="L3415" s="34" t="str">
        <x:v>PASS</x:v>
      </x:c>
      <x:c r="M3415" s="34" t="str">
        <x:v>numeric coverage for applicable metric</x:v>
      </x:c>
      <x:c r="N3415" s="34" t="str">
        <x:v>Feedback-Directed Random Test Generation/Result_Round2/Time_25/result.json</x:v>
      </x:c>
      <x:c r="O3415" s="38" t="n">
        <x:f>IF(AND(G3415="RECORDED",ISNUMBER(H3415)),H3415,"")</x:f>
        <x:v>73.78</x:v>
      </x:c>
      <x:c r="P3415" s="34" t="str">
        <x:v>NOT_REVEALING</x:v>
      </x:c>
      <x:c r="Q3415" s="34" t="str">
        <x:v>Feedback-Directed Random Test Generation/Result_Round2/Time_25/result.json</x:v>
      </x:c>
    </x:row>
    <x:row r="3416">
      <x:c r="A3416" s="34" t="str">
        <x:v>randoop</x:v>
      </x:c>
      <x:c r="B3416" s="34" t="str">
        <x:v>Time</x:v>
      </x:c>
      <x:c r="C3416" s="34" t="str">
        <x:v>Round2</x:v>
      </x:c>
      <x:c r="D3416" s="34" t="str">
        <x:v>Time_26</x:v>
      </x:c>
      <x:c r="E3416" s="34" t="str">
        <x:v>Line</x:v>
      </x:c>
      <x:c r="F3416" s="34" t="n">
        <x:v>567</x:v>
      </x:c>
      <x:c r="G3416" s="34" t="str">
        <x:v>RECORDED</x:v>
      </x:c>
      <x:c r="H3416" s="38" t="n">
        <x:f>IF(ISNUMBER('Data'!H1708),'Data'!H1708*100,"")</x:f>
        <x:v>46.03</x:v>
      </x:c>
      <x:c r="I3416" s="34" t="str">
        <x:v>PASS</x:v>
      </x:c>
      <x:c r="J3416" s="34" t="str">
        <x:v>PASS</x:v>
      </x:c>
      <x:c r="K3416" s="34" t="str">
        <x:v>PASS</x:v>
      </x:c>
      <x:c r="L3416" s="34" t="str">
        <x:v>FAIL</x:v>
      </x:c>
      <x:c r="M3416" s="34" t="str">
        <x:v>numeric coverage for applicable metric</x:v>
      </x:c>
      <x:c r="N3416" s="34" t="str">
        <x:v>Feedback-Directed Random Test Generation/Result_Round2/Time_26/result.json</x:v>
      </x:c>
      <x:c r="O3416" s="38" t="n">
        <x:f>IF(AND(G3416="RECORDED",ISNUMBER(H3416)),H3416,"")</x:f>
        <x:v>46.03</x:v>
      </x:c>
      <x:c r="P3416" s="34" t="str">
        <x:v>INCONCLUSIVE</x:v>
      </x:c>
      <x:c r="Q3416" s="34" t="str">
        <x:v>Feedback-Directed Random Test Generation/Result_Round2/Time_26/result.json</x:v>
      </x:c>
    </x:row>
    <x:row r="3417">
      <x:c r="A3417" s="34" t="str">
        <x:v>randoop</x:v>
      </x:c>
      <x:c r="B3417" s="34" t="str">
        <x:v>Time</x:v>
      </x:c>
      <x:c r="C3417" s="34" t="str">
        <x:v>Round2</x:v>
      </x:c>
      <x:c r="D3417" s="34" t="str">
        <x:v>Time_27</x:v>
      </x:c>
      <x:c r="E3417" s="34" t="str">
        <x:v>Line</x:v>
      </x:c>
      <x:c r="F3417" s="34" t="n">
        <x:v>670</x:v>
      </x:c>
      <x:c r="G3417" s="34" t="str">
        <x:v>RECORDED</x:v>
      </x:c>
      <x:c r="H3417" s="38" t="n">
        <x:f>IF(ISNUMBER('Data'!H1709),'Data'!H1709*100,"")</x:f>
        <x:v>57.76</x:v>
      </x:c>
      <x:c r="I3417" s="34" t="str">
        <x:v>PASS</x:v>
      </x:c>
      <x:c r="J3417" s="34" t="str">
        <x:v>PASS</x:v>
      </x:c>
      <x:c r="K3417" s="34" t="str">
        <x:v>PASS</x:v>
      </x:c>
      <x:c r="L3417" s="34" t="str">
        <x:v>PASS</x:v>
      </x:c>
      <x:c r="M3417" s="34" t="str">
        <x:v>numeric coverage for applicable metric</x:v>
      </x:c>
      <x:c r="N3417" s="34" t="str">
        <x:v>Feedback-Directed Random Test Generation/Result_Round2/Time_27/result.json</x:v>
      </x:c>
      <x:c r="O3417" s="38" t="n">
        <x:f>IF(AND(G3417="RECORDED",ISNUMBER(H3417)),H3417,"")</x:f>
        <x:v>57.76</x:v>
      </x:c>
      <x:c r="P3417" s="34" t="str">
        <x:v>NOT_REVEALING</x:v>
      </x:c>
      <x:c r="Q3417" s="34" t="str">
        <x:v>Feedback-Directed Random Test Generation/Result_Round2/Time_27/result.json</x:v>
      </x:c>
    </x:row>
    <x:row r="3418">
      <x:c r="A3418" s="34" t="str">
        <x:v>randoop</x:v>
      </x:c>
      <x:c r="B3418" s="34" t="str">
        <x:v>Chart</x:v>
      </x:c>
      <x:c r="C3418" s="34" t="str">
        <x:v>Round1</x:v>
      </x:c>
      <x:c r="D3418" s="34" t="str">
        <x:v>Chart_1</x:v>
      </x:c>
      <x:c r="E3418" s="34" t="str">
        <x:v>Condition</x:v>
      </x:c>
      <x:c r="F3418" s="34" t="n">
        <x:v>242</x:v>
      </x:c>
      <x:c r="G3418" s="34" t="str">
        <x:v>RECORDED</x:v>
      </x:c>
      <x:c r="H3418" s="38" t="n">
        <x:f>IF(ISNUMBER('Data'!I2),'Data'!I2*100,"")</x:f>
        <x:v>0</x:v>
      </x:c>
      <x:c r="I3418" s="34" t="str">
        <x:v>PASS</x:v>
      </x:c>
      <x:c r="J3418" s="34" t="str">
        <x:v>PASS</x:v>
      </x:c>
      <x:c r="K3418" s="34" t="str">
        <x:v>PASS</x:v>
      </x:c>
      <x:c r="L3418" s="34" t="str">
        <x:v>PASS</x:v>
      </x:c>
      <x:c r="M3418" s="34" t="str">
        <x:v>numeric coverage for applicable metric</x:v>
      </x:c>
      <x:c r="N3418" s="34" t="str">
        <x:v>Feedback-Directed Random Test Generation/Result/Chart_1/result.json</x:v>
      </x:c>
      <x:c r="O3418" s="38" t="n">
        <x:f>IF(AND(G3418="RECORDED",ISNUMBER(H3418)),H3418,"")</x:f>
        <x:v>0</x:v>
      </x:c>
      <x:c r="P3418" s="34" t="str">
        <x:v>NOT_REVEALING</x:v>
      </x:c>
      <x:c r="Q3418" s="34" t="str">
        <x:v>Feedback-Directed Random Test Generation/Result/Chart_1/result.json</x:v>
      </x:c>
    </x:row>
    <x:row r="3419">
      <x:c r="A3419" s="34" t="str">
        <x:v>randoop</x:v>
      </x:c>
      <x:c r="B3419" s="34" t="str">
        <x:v>Chart</x:v>
      </x:c>
      <x:c r="C3419" s="34" t="str">
        <x:v>Round1</x:v>
      </x:c>
      <x:c r="D3419" s="34" t="str">
        <x:v>Chart_2</x:v>
      </x:c>
      <x:c r="E3419" s="34" t="str">
        <x:v>Condition</x:v>
      </x:c>
      <x:c r="F3419" s="34" t="n">
        <x:v>544</x:v>
      </x:c>
      <x:c r="G3419" s="34" t="str">
        <x:v>RECORDED</x:v>
      </x:c>
      <x:c r="H3419" s="38" t="n">
        <x:f>IF(ISNUMBER('Data'!I3),'Data'!I3*100,"")</x:f>
        <x:v>33.09</x:v>
      </x:c>
      <x:c r="I3419" s="34" t="str">
        <x:v>PASS</x:v>
      </x:c>
      <x:c r="J3419" s="34" t="str">
        <x:v>PASS</x:v>
      </x:c>
      <x:c r="K3419" s="34" t="str">
        <x:v>PASS</x:v>
      </x:c>
      <x:c r="L3419" s="34" t="str">
        <x:v>FAIL</x:v>
      </x:c>
      <x:c r="M3419" s="34" t="str">
        <x:v>numeric coverage for applicable metric</x:v>
      </x:c>
      <x:c r="N3419" s="34" t="str">
        <x:v>Feedback-Directed Random Test Generation/Result/Chart_2/result.json</x:v>
      </x:c>
      <x:c r="O3419" s="38" t="n">
        <x:f>IF(AND(G3419="RECORDED",ISNUMBER(H3419)),H3419,"")</x:f>
        <x:v>33.09</x:v>
      </x:c>
      <x:c r="P3419" s="34" t="str">
        <x:v>INCONCLUSIVE</x:v>
      </x:c>
      <x:c r="Q3419" s="34" t="str">
        <x:v>Feedback-Directed Random Test Generation/Result/Chart_2/result.json</x:v>
      </x:c>
    </x:row>
    <x:row r="3420">
      <x:c r="A3420" s="34" t="str">
        <x:v>randoop</x:v>
      </x:c>
      <x:c r="B3420" s="34" t="str">
        <x:v>Chart</x:v>
      </x:c>
      <x:c r="C3420" s="34" t="str">
        <x:v>Round1</x:v>
      </x:c>
      <x:c r="D3420" s="34" t="str">
        <x:v>Chart_3</x:v>
      </x:c>
      <x:c r="E3420" s="34" t="str">
        <x:v>Condition</x:v>
      </x:c>
      <x:c r="F3420" s="34" t="n">
        <x:v>186</x:v>
      </x:c>
      <x:c r="G3420" s="34" t="str">
        <x:v>RECORDED</x:v>
      </x:c>
      <x:c r="H3420" s="38" t="n">
        <x:f>IF(ISNUMBER('Data'!I4),'Data'!I4*100,"")</x:f>
        <x:v>18.82</x:v>
      </x:c>
      <x:c r="I3420" s="34" t="str">
        <x:v>PASS</x:v>
      </x:c>
      <x:c r="J3420" s="34" t="str">
        <x:v>PASS</x:v>
      </x:c>
      <x:c r="K3420" s="34" t="str">
        <x:v>PASS</x:v>
      </x:c>
      <x:c r="L3420" s="34" t="str">
        <x:v>PASS</x:v>
      </x:c>
      <x:c r="M3420" s="34" t="str">
        <x:v>numeric coverage for applicable metric</x:v>
      </x:c>
      <x:c r="N3420" s="34" t="str">
        <x:v>Feedback-Directed Random Test Generation/Result/Chart_3/result.json</x:v>
      </x:c>
      <x:c r="O3420" s="38" t="n">
        <x:f>IF(AND(G3420="RECORDED",ISNUMBER(H3420)),H3420,"")</x:f>
        <x:v>18.82</x:v>
      </x:c>
      <x:c r="P3420" s="34" t="str">
        <x:v>NOT_REVEALING</x:v>
      </x:c>
      <x:c r="Q3420" s="34" t="str">
        <x:v>Feedback-Directed Random Test Generation/Result/Chart_3/result.json</x:v>
      </x:c>
    </x:row>
    <x:row r="3421">
      <x:c r="A3421" s="34" t="str">
        <x:v>randoop</x:v>
      </x:c>
      <x:c r="B3421" s="34" t="str">
        <x:v>Chart</x:v>
      </x:c>
      <x:c r="C3421" s="34" t="str">
        <x:v>Round1</x:v>
      </x:c>
      <x:c r="D3421" s="34" t="str">
        <x:v>Chart_4</x:v>
      </x:c>
      <x:c r="E3421" s="34" t="str">
        <x:v>Condition</x:v>
      </x:c>
      <x:c r="F3421" s="34" t="n">
        <x:v>964</x:v>
      </x:c>
      <x:c r="G3421" s="34" t="str">
        <x:v>RECORDED</x:v>
      </x:c>
      <x:c r="H3421" s="38" t="n">
        <x:f>IF(ISNUMBER('Data'!I5),'Data'!I5*100,"")</x:f>
        <x:v>38.07</x:v>
      </x:c>
      <x:c r="I3421" s="34" t="str">
        <x:v>PASS</x:v>
      </x:c>
      <x:c r="J3421" s="34" t="str">
        <x:v>PASS</x:v>
      </x:c>
      <x:c r="K3421" s="34" t="str">
        <x:v>PASS</x:v>
      </x:c>
      <x:c r="L3421" s="34" t="str">
        <x:v>FAIL</x:v>
      </x:c>
      <x:c r="M3421" s="34" t="str">
        <x:v>numeric coverage for applicable metric</x:v>
      </x:c>
      <x:c r="N3421" s="34" t="str">
        <x:v>Feedback-Directed Random Test Generation/Result/Chart_4/result.json</x:v>
      </x:c>
      <x:c r="O3421" s="38" t="n">
        <x:f>IF(AND(G3421="RECORDED",ISNUMBER(H3421)),H3421,"")</x:f>
        <x:v>38.07</x:v>
      </x:c>
      <x:c r="P3421" s="34" t="str">
        <x:v>INCONCLUSIVE</x:v>
      </x:c>
      <x:c r="Q3421" s="34" t="str">
        <x:v>Feedback-Directed Random Test Generation/Result/Chart_4/result.json</x:v>
      </x:c>
    </x:row>
    <x:row r="3422">
      <x:c r="A3422" s="34" t="str">
        <x:v>randoop</x:v>
      </x:c>
      <x:c r="B3422" s="34" t="str">
        <x:v>Chart</x:v>
      </x:c>
      <x:c r="C3422" s="34" t="str">
        <x:v>Round1</x:v>
      </x:c>
      <x:c r="D3422" s="34" t="str">
        <x:v>Chart_5</x:v>
      </x:c>
      <x:c r="E3422" s="34" t="str">
        <x:v>Condition</x:v>
      </x:c>
      <x:c r="F3422" s="34" t="n">
        <x:v>80</x:v>
      </x:c>
      <x:c r="G3422" s="34" t="str">
        <x:v>RECORDED</x:v>
      </x:c>
      <x:c r="H3422" s="38" t="n">
        <x:f>IF(ISNUMBER('Data'!I6),'Data'!I6*100,"")</x:f>
        <x:v>81.25</x:v>
      </x:c>
      <x:c r="I3422" s="34" t="str">
        <x:v>PASS</x:v>
      </x:c>
      <x:c r="J3422" s="34" t="str">
        <x:v>PASS</x:v>
      </x:c>
      <x:c r="K3422" s="34" t="str">
        <x:v>PASS</x:v>
      </x:c>
      <x:c r="L3422" s="34" t="str">
        <x:v>PASS</x:v>
      </x:c>
      <x:c r="M3422" s="34" t="str">
        <x:v>numeric coverage for applicable metric</x:v>
      </x:c>
      <x:c r="N3422" s="34" t="str">
        <x:v>Feedback-Directed Random Test Generation/Result/Chart_5/result.json</x:v>
      </x:c>
      <x:c r="O3422" s="38" t="n">
        <x:f>IF(AND(G3422="RECORDED",ISNUMBER(H3422)),H3422,"")</x:f>
        <x:v>81.25</x:v>
      </x:c>
      <x:c r="P3422" s="34" t="str">
        <x:v>INCONCLUSIVE</x:v>
      </x:c>
      <x:c r="Q3422" s="34" t="str">
        <x:v>Feedback-Directed Random Test Generation/Result/Chart_5/result.json</x:v>
      </x:c>
    </x:row>
    <x:row r="3423">
      <x:c r="A3423" s="34" t="str">
        <x:v>randoop</x:v>
      </x:c>
      <x:c r="B3423" s="34" t="str">
        <x:v>Chart</x:v>
      </x:c>
      <x:c r="C3423" s="34" t="str">
        <x:v>Round1</x:v>
      </x:c>
      <x:c r="D3423" s="34" t="str">
        <x:v>Chart_6</x:v>
      </x:c>
      <x:c r="E3423" s="34" t="str">
        <x:v>Condition</x:v>
      </x:c>
      <x:c r="F3423" s="34" t="n">
        <x:v>12</x:v>
      </x:c>
      <x:c r="G3423" s="34" t="str">
        <x:v>RECORDED</x:v>
      </x:c>
      <x:c r="H3423" s="38" t="n">
        <x:f>IF(ISNUMBER('Data'!I7),'Data'!I7*100,"")</x:f>
        <x:v>25</x:v>
      </x:c>
      <x:c r="I3423" s="34" t="str">
        <x:v>PASS</x:v>
      </x:c>
      <x:c r="J3423" s="34" t="str">
        <x:v>PASS</x:v>
      </x:c>
      <x:c r="K3423" s="34" t="str">
        <x:v>PASS</x:v>
      </x:c>
      <x:c r="L3423" s="34" t="str">
        <x:v>FAIL</x:v>
      </x:c>
      <x:c r="M3423" s="34" t="str">
        <x:v>numeric coverage for applicable metric</x:v>
      </x:c>
      <x:c r="N3423" s="34" t="str">
        <x:v>Feedback-Directed Random Test Generation/Result/Chart_6/result.json</x:v>
      </x:c>
      <x:c r="O3423" s="38" t="n">
        <x:f>IF(AND(G3423="RECORDED",ISNUMBER(H3423)),H3423,"")</x:f>
        <x:v>25</x:v>
      </x:c>
      <x:c r="P3423" s="34" t="str">
        <x:v>INCONCLUSIVE</x:v>
      </x:c>
      <x:c r="Q3423" s="34" t="str">
        <x:v>Feedback-Directed Random Test Generation/Result/Chart_6/result.json</x:v>
      </x:c>
    </x:row>
    <x:row r="3424">
      <x:c r="A3424" s="34" t="str">
        <x:v>randoop</x:v>
      </x:c>
      <x:c r="B3424" s="34" t="str">
        <x:v>Chart</x:v>
      </x:c>
      <x:c r="C3424" s="34" t="str">
        <x:v>Round1</x:v>
      </x:c>
      <x:c r="D3424" s="34" t="str">
        <x:v>Chart_7</x:v>
      </x:c>
      <x:c r="E3424" s="34" t="str">
        <x:v>Condition</x:v>
      </x:c>
      <x:c r="F3424" s="34" t="n">
        <x:v>54</x:v>
      </x:c>
      <x:c r="G3424" s="34" t="str">
        <x:v>RECORDED</x:v>
      </x:c>
      <x:c r="H3424" s="38" t="n">
        <x:f>IF(ISNUMBER('Data'!I8),'Data'!I8*100,"")</x:f>
        <x:v>29.630000000000003</x:v>
      </x:c>
      <x:c r="I3424" s="34" t="str">
        <x:v>PASS</x:v>
      </x:c>
      <x:c r="J3424" s="34" t="str">
        <x:v>PASS</x:v>
      </x:c>
      <x:c r="K3424" s="34" t="str">
        <x:v>PASS</x:v>
      </x:c>
      <x:c r="L3424" s="34" t="str">
        <x:v>PASS</x:v>
      </x:c>
      <x:c r="M3424" s="34" t="str">
        <x:v>numeric coverage for applicable metric</x:v>
      </x:c>
      <x:c r="N3424" s="34" t="str">
        <x:v>Feedback-Directed Random Test Generation/Result/Chart_7/result.json</x:v>
      </x:c>
      <x:c r="O3424" s="38" t="n">
        <x:f>IF(AND(G3424="RECORDED",ISNUMBER(H3424)),H3424,"")</x:f>
        <x:v>29.630000000000003</x:v>
      </x:c>
      <x:c r="P3424" s="34" t="str">
        <x:v>NOT_REVEALING</x:v>
      </x:c>
      <x:c r="Q3424" s="34" t="str">
        <x:v>Feedback-Directed Random Test Generation/Result/Chart_7/result.json</x:v>
      </x:c>
    </x:row>
    <x:row r="3425">
      <x:c r="A3425" s="34" t="str">
        <x:v>randoop</x:v>
      </x:c>
      <x:c r="B3425" s="34" t="str">
        <x:v>Chart</x:v>
      </x:c>
      <x:c r="C3425" s="34" t="str">
        <x:v>Round1</x:v>
      </x:c>
      <x:c r="D3425" s="34" t="str">
        <x:v>Chart_8</x:v>
      </x:c>
      <x:c r="E3425" s="34" t="str">
        <x:v>Condition</x:v>
      </x:c>
      <x:c r="F3425" s="34" t="n">
        <x:v>68</x:v>
      </x:c>
      <x:c r="G3425" s="34" t="str">
        <x:v>RECORDED</x:v>
      </x:c>
      <x:c r="H3425" s="38" t="n">
        <x:f>IF(ISNUMBER('Data'!I9),'Data'!I9*100,"")</x:f>
        <x:v>77.94</x:v>
      </x:c>
      <x:c r="I3425" s="34" t="str">
        <x:v>PASS</x:v>
      </x:c>
      <x:c r="J3425" s="34" t="str">
        <x:v>PASS</x:v>
      </x:c>
      <x:c r="K3425" s="34" t="str">
        <x:v>PASS</x:v>
      </x:c>
      <x:c r="L3425" s="34" t="str">
        <x:v>FAIL</x:v>
      </x:c>
      <x:c r="M3425" s="34" t="str">
        <x:v>numeric coverage for applicable metric</x:v>
      </x:c>
      <x:c r="N3425" s="34" t="str">
        <x:v>Feedback-Directed Random Test Generation/Result/Chart_8/result.json</x:v>
      </x:c>
      <x:c r="O3425" s="38" t="n">
        <x:f>IF(AND(G3425="RECORDED",ISNUMBER(H3425)),H3425,"")</x:f>
        <x:v>77.94</x:v>
      </x:c>
      <x:c r="P3425" s="34" t="str">
        <x:v>INCONCLUSIVE</x:v>
      </x:c>
      <x:c r="Q3425" s="34" t="str">
        <x:v>Feedback-Directed Random Test Generation/Result/Chart_8/result.json</x:v>
      </x:c>
    </x:row>
    <x:row r="3426">
      <x:c r="A3426" s="34" t="str">
        <x:v>randoop</x:v>
      </x:c>
      <x:c r="B3426" s="34" t="str">
        <x:v>Chart</x:v>
      </x:c>
      <x:c r="C3426" s="34" t="str">
        <x:v>Round1</x:v>
      </x:c>
      <x:c r="D3426" s="34" t="str">
        <x:v>Chart_9</x:v>
      </x:c>
      <x:c r="E3426" s="34" t="str">
        <x:v>Condition</x:v>
      </x:c>
      <x:c r="F3426" s="34" t="n">
        <x:v>128</x:v>
      </x:c>
      <x:c r="G3426" s="34" t="str">
        <x:v>RECORDED</x:v>
      </x:c>
      <x:c r="H3426" s="38" t="n">
        <x:f>IF(ISNUMBER('Data'!I10),'Data'!I10*100,"")</x:f>
        <x:v>35.94</x:v>
      </x:c>
      <x:c r="I3426" s="34" t="str">
        <x:v>PASS</x:v>
      </x:c>
      <x:c r="J3426" s="34" t="str">
        <x:v>PASS</x:v>
      </x:c>
      <x:c r="K3426" s="34" t="str">
        <x:v>PASS</x:v>
      </x:c>
      <x:c r="L3426" s="34" t="str">
        <x:v>FAIL</x:v>
      </x:c>
      <x:c r="M3426" s="34" t="str">
        <x:v>numeric coverage for applicable metric</x:v>
      </x:c>
      <x:c r="N3426" s="34" t="str">
        <x:v>Feedback-Directed Random Test Generation/Result/Chart_9/result.json</x:v>
      </x:c>
      <x:c r="O3426" s="38" t="n">
        <x:f>IF(AND(G3426="RECORDED",ISNUMBER(H3426)),H3426,"")</x:f>
        <x:v>35.94</x:v>
      </x:c>
      <x:c r="P3426" s="34" t="str">
        <x:v>INCONCLUSIVE</x:v>
      </x:c>
      <x:c r="Q3426" s="34" t="str">
        <x:v>Feedback-Directed Random Test Generation/Result/Chart_9/result.json</x:v>
      </x:c>
    </x:row>
    <x:row r="3427">
      <x:c r="A3427" s="34" t="str">
        <x:v>randoop</x:v>
      </x:c>
      <x:c r="B3427" s="34" t="str">
        <x:v>Chart</x:v>
      </x:c>
      <x:c r="C3427" s="34" t="str">
        <x:v>Round1</x:v>
      </x:c>
      <x:c r="D3427" s="34" t="str">
        <x:v>Chart_10</x:v>
      </x:c>
      <x:c r="E3427" s="34" t="str">
        <x:v>Condition</x:v>
      </x:c>
      <x:c r="F3427" s="34" t="n">
        <x:v>0</x:v>
      </x:c>
      <x:c r="G3427" s="34" t="str">
        <x:v>B</x:v>
      </x:c>
      <x:c r="H3427" s="38" t="n">
        <x:f>IF(ISNUMBER('Data'!I11),'Data'!I11*100,"")</x:f>
        <x:v>0</x:v>
      </x:c>
      <x:c r="I3427" s="34" t="str">
        <x:v>PASS</x:v>
      </x:c>
      <x:c r="J3427" s="34" t="str">
        <x:v>PASS</x:v>
      </x:c>
      <x:c r="K3427" s="34" t="str">
        <x:v>PASS</x:v>
      </x:c>
      <x:c r="L3427" s="34" t="str">
        <x:v>PASS</x:v>
      </x:c>
      <x:c r="M3427" s="34" t="str">
        <x:v>coverage completed; measurable total = 0</x:v>
      </x:c>
      <x:c r="N3427" s="34" t="str">
        <x:v>Feedback-Directed Random Test Generation/Result/Chart_10/result.json</x:v>
      </x:c>
      <x:c r="O3427" s="38" t="str">
        <x:f>IF(AND(G3427="RECORDED",ISNUMBER(H3427)),H3427,"")</x:f>
      </x:c>
      <x:c r="P3427" s="34" t="str">
        <x:v>INCONCLUSIVE</x:v>
      </x:c>
      <x:c r="Q3427" s="34" t="str">
        <x:v>Feedback-Directed Random Test Generation/Result/Chart_10/result.json</x:v>
      </x:c>
    </x:row>
    <x:row r="3428">
      <x:c r="A3428" s="34" t="str">
        <x:v>randoop</x:v>
      </x:c>
      <x:c r="B3428" s="34" t="str">
        <x:v>Chart</x:v>
      </x:c>
      <x:c r="C3428" s="34" t="str">
        <x:v>Round1</x:v>
      </x:c>
      <x:c r="D3428" s="34" t="str">
        <x:v>Chart_11</x:v>
      </x:c>
      <x:c r="E3428" s="34" t="str">
        <x:v>Condition</x:v>
      </x:c>
      <x:c r="F3428" s="34" t="n">
        <x:v>116</x:v>
      </x:c>
      <x:c r="G3428" s="34" t="str">
        <x:v>RECORDED</x:v>
      </x:c>
      <x:c r="H3428" s="38" t="n">
        <x:f>IF(ISNUMBER('Data'!I12),'Data'!I12*100,"")</x:f>
        <x:v>33.62</x:v>
      </x:c>
      <x:c r="I3428" s="34" t="str">
        <x:v>PASS</x:v>
      </x:c>
      <x:c r="J3428" s="34" t="str">
        <x:v>PASS</x:v>
      </x:c>
      <x:c r="K3428" s="34" t="str">
        <x:v>PASS</x:v>
      </x:c>
      <x:c r="L3428" s="34" t="str">
        <x:v>PASS</x:v>
      </x:c>
      <x:c r="M3428" s="34" t="str">
        <x:v>numeric coverage for applicable metric</x:v>
      </x:c>
      <x:c r="N3428" s="34" t="str">
        <x:v>Feedback-Directed Random Test Generation/Result/Chart_11/result.json</x:v>
      </x:c>
      <x:c r="O3428" s="38" t="n">
        <x:f>IF(AND(G3428="RECORDED",ISNUMBER(H3428)),H3428,"")</x:f>
        <x:v>33.62</x:v>
      </x:c>
      <x:c r="P3428" s="34" t="str">
        <x:v>INCONCLUSIVE</x:v>
      </x:c>
      <x:c r="Q3428" s="34" t="str">
        <x:v>Feedback-Directed Random Test Generation/Result/Chart_11/result.json</x:v>
      </x:c>
    </x:row>
    <x:row r="3429">
      <x:c r="A3429" s="34" t="str">
        <x:v>randoop</x:v>
      </x:c>
      <x:c r="B3429" s="34" t="str">
        <x:v>Chart</x:v>
      </x:c>
      <x:c r="C3429" s="34" t="str">
        <x:v>Round1</x:v>
      </x:c>
      <x:c r="D3429" s="34" t="str">
        <x:v>Chart_12</x:v>
      </x:c>
      <x:c r="E3429" s="34" t="str">
        <x:v>Condition</x:v>
      </x:c>
      <x:c r="F3429" s="34" t="n">
        <x:v>84</x:v>
      </x:c>
      <x:c r="G3429" s="34" t="str">
        <x:v>RECORDED</x:v>
      </x:c>
      <x:c r="H3429" s="38" t="n">
        <x:f>IF(ISNUMBER('Data'!I13),'Data'!I13*100,"")</x:f>
        <x:v>29.76</x:v>
      </x:c>
      <x:c r="I3429" s="34" t="str">
        <x:v>PASS</x:v>
      </x:c>
      <x:c r="J3429" s="34" t="str">
        <x:v>PASS</x:v>
      </x:c>
      <x:c r="K3429" s="34" t="str">
        <x:v>PASS</x:v>
      </x:c>
      <x:c r="L3429" s="34" t="str">
        <x:v>FAIL</x:v>
      </x:c>
      <x:c r="M3429" s="34" t="str">
        <x:v>numeric coverage for applicable metric</x:v>
      </x:c>
      <x:c r="N3429" s="34" t="str">
        <x:v>Feedback-Directed Random Test Generation/Result/Chart_12/result.json</x:v>
      </x:c>
      <x:c r="O3429" s="38" t="n">
        <x:f>IF(AND(G3429="RECORDED",ISNUMBER(H3429)),H3429,"")</x:f>
        <x:v>29.76</x:v>
      </x:c>
      <x:c r="P3429" s="34" t="str">
        <x:v>INCONCLUSIVE</x:v>
      </x:c>
      <x:c r="Q3429" s="34" t="str">
        <x:v>Feedback-Directed Random Test Generation/Result/Chart_12/result.json</x:v>
      </x:c>
    </x:row>
    <x:row r="3430">
      <x:c r="A3430" s="34" t="str">
        <x:v>randoop</x:v>
      </x:c>
      <x:c r="B3430" s="34" t="str">
        <x:v>Chart</x:v>
      </x:c>
      <x:c r="C3430" s="34" t="str">
        <x:v>Round1</x:v>
      </x:c>
      <x:c r="D3430" s="34" t="str">
        <x:v>Chart_13</x:v>
      </x:c>
      <x:c r="E3430" s="34" t="str">
        <x:v>Condition</x:v>
      </x:c>
      <x:c r="F3430" s="34" t="n">
        <x:v>120</x:v>
      </x:c>
      <x:c r="G3430" s="34" t="str">
        <x:v>RECORDED</x:v>
      </x:c>
      <x:c r="H3430" s="38" t="n">
        <x:f>IF(ISNUMBER('Data'!I14),'Data'!I14*100,"")</x:f>
        <x:v>22.5</x:v>
      </x:c>
      <x:c r="I3430" s="34" t="str">
        <x:v>PASS</x:v>
      </x:c>
      <x:c r="J3430" s="34" t="str">
        <x:v>PASS</x:v>
      </x:c>
      <x:c r="K3430" s="34" t="str">
        <x:v>PASS</x:v>
      </x:c>
      <x:c r="L3430" s="34" t="str">
        <x:v>FAIL</x:v>
      </x:c>
      <x:c r="M3430" s="34" t="str">
        <x:v>numeric coverage for applicable metric</x:v>
      </x:c>
      <x:c r="N3430" s="34" t="str">
        <x:v>Feedback-Directed Random Test Generation/Result/Chart_13/result.json</x:v>
      </x:c>
      <x:c r="O3430" s="38" t="n">
        <x:f>IF(AND(G3430="RECORDED",ISNUMBER(H3430)),H3430,"")</x:f>
        <x:v>22.5</x:v>
      </x:c>
      <x:c r="P3430" s="34" t="str">
        <x:v>INCONCLUSIVE</x:v>
      </x:c>
      <x:c r="Q3430" s="34" t="str">
        <x:v>Feedback-Directed Random Test Generation/Result/Chart_13/result.json</x:v>
      </x:c>
    </x:row>
    <x:row r="3431">
      <x:c r="A3431" s="34" t="str">
        <x:v>randoop</x:v>
      </x:c>
      <x:c r="B3431" s="34" t="str">
        <x:v>Chart</x:v>
      </x:c>
      <x:c r="C3431" s="34" t="str">
        <x:v>Round1</x:v>
      </x:c>
      <x:c r="D3431" s="34" t="str">
        <x:v>Chart_14</x:v>
      </x:c>
      <x:c r="E3431" s="34" t="str">
        <x:v>Condition</x:v>
      </x:c>
      <x:c r="F3431" s="34" t="n">
        <x:v>1436</x:v>
      </x:c>
      <x:c r="G3431" s="34" t="str">
        <x:v>RECORDED</x:v>
      </x:c>
      <x:c r="H3431" s="38" t="n">
        <x:f>IF(ISNUMBER('Data'!I15),'Data'!I15*100,"")</x:f>
        <x:v>39.62</x:v>
      </x:c>
      <x:c r="I3431" s="34" t="str">
        <x:v>PASS</x:v>
      </x:c>
      <x:c r="J3431" s="34" t="str">
        <x:v>PASS</x:v>
      </x:c>
      <x:c r="K3431" s="34" t="str">
        <x:v>PASS</x:v>
      </x:c>
      <x:c r="L3431" s="34" t="str">
        <x:v>FAIL</x:v>
      </x:c>
      <x:c r="M3431" s="34" t="str">
        <x:v>numeric coverage for applicable metric</x:v>
      </x:c>
      <x:c r="N3431" s="34" t="str">
        <x:v>Feedback-Directed Random Test Generation/Result/Chart_14/result.json</x:v>
      </x:c>
      <x:c r="O3431" s="38" t="n">
        <x:f>IF(AND(G3431="RECORDED",ISNUMBER(H3431)),H3431,"")</x:f>
        <x:v>39.62</x:v>
      </x:c>
      <x:c r="P3431" s="34" t="str">
        <x:v>INCONCLUSIVE</x:v>
      </x:c>
      <x:c r="Q3431" s="34" t="str">
        <x:v>Feedback-Directed Random Test Generation/Result/Chart_14/result.json</x:v>
      </x:c>
    </x:row>
    <x:row r="3432">
      <x:c r="A3432" s="34" t="str">
        <x:v>randoop</x:v>
      </x:c>
      <x:c r="B3432" s="34" t="str">
        <x:v>Chart</x:v>
      </x:c>
      <x:c r="C3432" s="34" t="str">
        <x:v>Round1</x:v>
      </x:c>
      <x:c r="D3432" s="34" t="str">
        <x:v>Chart_15</x:v>
      </x:c>
      <x:c r="E3432" s="34" t="str">
        <x:v>Condition</x:v>
      </x:c>
      <x:c r="F3432" s="34" t="n">
        <x:v>312</x:v>
      </x:c>
      <x:c r="G3432" s="34" t="str">
        <x:v>RECORDED</x:v>
      </x:c>
      <x:c r="H3432" s="38" t="n">
        <x:f>IF(ISNUMBER('Data'!I16),'Data'!I16*100,"")</x:f>
        <x:v>36.86</x:v>
      </x:c>
      <x:c r="I3432" s="34" t="str">
        <x:v>PASS</x:v>
      </x:c>
      <x:c r="J3432" s="34" t="str">
        <x:v>PASS</x:v>
      </x:c>
      <x:c r="K3432" s="34" t="str">
        <x:v>PASS</x:v>
      </x:c>
      <x:c r="L3432" s="34" t="str">
        <x:v>FAIL</x:v>
      </x:c>
      <x:c r="M3432" s="34" t="str">
        <x:v>numeric coverage for applicable metric</x:v>
      </x:c>
      <x:c r="N3432" s="34" t="str">
        <x:v>Feedback-Directed Random Test Generation/Result/Chart_15/result.json</x:v>
      </x:c>
      <x:c r="O3432" s="38" t="n">
        <x:f>IF(AND(G3432="RECORDED",ISNUMBER(H3432)),H3432,"")</x:f>
        <x:v>36.86</x:v>
      </x:c>
      <x:c r="P3432" s="34" t="str">
        <x:v>INCONCLUSIVE</x:v>
      </x:c>
      <x:c r="Q3432" s="34" t="str">
        <x:v>Feedback-Directed Random Test Generation/Result/Chart_15/result.json</x:v>
      </x:c>
    </x:row>
    <x:row r="3433">
      <x:c r="A3433" s="34" t="str">
        <x:v>randoop</x:v>
      </x:c>
      <x:c r="B3433" s="34" t="str">
        <x:v>Chart</x:v>
      </x:c>
      <x:c r="C3433" s="34" t="str">
        <x:v>Round1</x:v>
      </x:c>
      <x:c r="D3433" s="34" t="str">
        <x:v>Chart_16</x:v>
      </x:c>
      <x:c r="E3433" s="34" t="str">
        <x:v>Condition</x:v>
      </x:c>
      <x:c r="F3433" s="34" t="n">
        <x:v>128</x:v>
      </x:c>
      <x:c r="G3433" s="34" t="str">
        <x:v>RECORDED</x:v>
      </x:c>
      <x:c r="H3433" s="38" t="n">
        <x:f>IF(ISNUMBER('Data'!I17),'Data'!I17*100,"")</x:f>
        <x:v>82.81</x:v>
      </x:c>
      <x:c r="I3433" s="34" t="str">
        <x:v>PASS</x:v>
      </x:c>
      <x:c r="J3433" s="34" t="str">
        <x:v>PASS</x:v>
      </x:c>
      <x:c r="K3433" s="34" t="str">
        <x:v>PASS</x:v>
      </x:c>
      <x:c r="L3433" s="34" t="str">
        <x:v>FAIL</x:v>
      </x:c>
      <x:c r="M3433" s="34" t="str">
        <x:v>numeric coverage for applicable metric</x:v>
      </x:c>
      <x:c r="N3433" s="34" t="str">
        <x:v>Feedback-Directed Random Test Generation/Result/Chart_16/result.json</x:v>
      </x:c>
      <x:c r="O3433" s="38" t="n">
        <x:f>IF(AND(G3433="RECORDED",ISNUMBER(H3433)),H3433,"")</x:f>
        <x:v>82.81</x:v>
      </x:c>
      <x:c r="P3433" s="34" t="str">
        <x:v>INCONCLUSIVE</x:v>
      </x:c>
      <x:c r="Q3433" s="34" t="str">
        <x:v>Feedback-Directed Random Test Generation/Result/Chart_16/result.json</x:v>
      </x:c>
    </x:row>
    <x:row r="3434">
      <x:c r="A3434" s="34" t="str">
        <x:v>randoop</x:v>
      </x:c>
      <x:c r="B3434" s="34" t="str">
        <x:v>Chart</x:v>
      </x:c>
      <x:c r="C3434" s="34" t="str">
        <x:v>Round1</x:v>
      </x:c>
      <x:c r="D3434" s="34" t="str">
        <x:v>Chart_17</x:v>
      </x:c>
      <x:c r="E3434" s="34" t="str">
        <x:v>Condition</x:v>
      </x:c>
      <x:c r="F3434" s="34" t="n">
        <x:v>128</x:v>
      </x:c>
      <x:c r="G3434" s="34" t="str">
        <x:v>RECORDED</x:v>
      </x:c>
      <x:c r="H3434" s="38" t="n">
        <x:f>IF(ISNUMBER('Data'!I18),'Data'!I18*100,"")</x:f>
        <x:v>35.16</x:v>
      </x:c>
      <x:c r="I3434" s="34" t="str">
        <x:v>PASS</x:v>
      </x:c>
      <x:c r="J3434" s="34" t="str">
        <x:v>PASS</x:v>
      </x:c>
      <x:c r="K3434" s="34" t="str">
        <x:v>PASS</x:v>
      </x:c>
      <x:c r="L3434" s="34" t="str">
        <x:v>FAIL</x:v>
      </x:c>
      <x:c r="M3434" s="34" t="str">
        <x:v>numeric coverage for applicable metric</x:v>
      </x:c>
      <x:c r="N3434" s="34" t="str">
        <x:v>Feedback-Directed Random Test Generation/Result/Chart_17/result.json</x:v>
      </x:c>
      <x:c r="O3434" s="38" t="n">
        <x:f>IF(AND(G3434="RECORDED",ISNUMBER(H3434)),H3434,"")</x:f>
        <x:v>35.16</x:v>
      </x:c>
      <x:c r="P3434" s="34" t="str">
        <x:v>INCONCLUSIVE</x:v>
      </x:c>
      <x:c r="Q3434" s="34" t="str">
        <x:v>Feedback-Directed Random Test Generation/Result/Chart_17/result.json</x:v>
      </x:c>
    </x:row>
    <x:row r="3435">
      <x:c r="A3435" s="34" t="str">
        <x:v>randoop</x:v>
      </x:c>
      <x:c r="B3435" s="34" t="str">
        <x:v>Chart</x:v>
      </x:c>
      <x:c r="C3435" s="34" t="str">
        <x:v>Round1</x:v>
      </x:c>
      <x:c r="D3435" s="34" t="str">
        <x:v>Chart_18</x:v>
      </x:c>
      <x:c r="E3435" s="34" t="str">
        <x:v>Condition</x:v>
      </x:c>
      <x:c r="F3435" s="34" t="n">
        <x:v>122</x:v>
      </x:c>
      <x:c r="G3435" s="34" t="str">
        <x:v>RECORDED</x:v>
      </x:c>
      <x:c r="H3435" s="38" t="n">
        <x:f>IF(ISNUMBER('Data'!I19),'Data'!I19*100,"")</x:f>
        <x:v>72.13</x:v>
      </x:c>
      <x:c r="I3435" s="34" t="str">
        <x:v>PASS</x:v>
      </x:c>
      <x:c r="J3435" s="34" t="str">
        <x:v>PASS</x:v>
      </x:c>
      <x:c r="K3435" s="34" t="str">
        <x:v>PASS</x:v>
      </x:c>
      <x:c r="L3435" s="34" t="str">
        <x:v>PASS</x:v>
      </x:c>
      <x:c r="M3435" s="34" t="str">
        <x:v>numeric coverage for applicable metric</x:v>
      </x:c>
      <x:c r="N3435" s="34" t="str">
        <x:v>Feedback-Directed Random Test Generation/Result/Chart_18/result.json</x:v>
      </x:c>
      <x:c r="O3435" s="38" t="n">
        <x:f>IF(AND(G3435="RECORDED",ISNUMBER(H3435)),H3435,"")</x:f>
        <x:v>72.13</x:v>
      </x:c>
      <x:c r="P3435" s="34" t="str">
        <x:v>INCONCLUSIVE</x:v>
      </x:c>
      <x:c r="Q3435" s="34" t="str">
        <x:v>Feedback-Directed Random Test Generation/Result/Chart_18/result.json</x:v>
      </x:c>
    </x:row>
    <x:row r="3436">
      <x:c r="A3436" s="34" t="str">
        <x:v>randoop</x:v>
      </x:c>
      <x:c r="B3436" s="34" t="str">
        <x:v>Chart</x:v>
      </x:c>
      <x:c r="C3436" s="34" t="str">
        <x:v>Round1</x:v>
      </x:c>
      <x:c r="D3436" s="34" t="str">
        <x:v>Chart_19</x:v>
      </x:c>
      <x:c r="E3436" s="34" t="str">
        <x:v>Condition</x:v>
      </x:c>
      <x:c r="F3436" s="34" t="n">
        <x:v>594</x:v>
      </x:c>
      <x:c r="G3436" s="34" t="str">
        <x:v>RECORDED</x:v>
      </x:c>
      <x:c r="H3436" s="38" t="n">
        <x:f>IF(ISNUMBER('Data'!I20),'Data'!I20*100,"")</x:f>
        <x:v>45.45</x:v>
      </x:c>
      <x:c r="I3436" s="34" t="str">
        <x:v>PASS</x:v>
      </x:c>
      <x:c r="J3436" s="34" t="str">
        <x:v>PASS</x:v>
      </x:c>
      <x:c r="K3436" s="34" t="str">
        <x:v>PASS</x:v>
      </x:c>
      <x:c r="L3436" s="34" t="str">
        <x:v>FAIL</x:v>
      </x:c>
      <x:c r="M3436" s="34" t="str">
        <x:v>numeric coverage for applicable metric</x:v>
      </x:c>
      <x:c r="N3436" s="34" t="str">
        <x:v>Feedback-Directed Random Test Generation/Result/Chart_19/result.json</x:v>
      </x:c>
      <x:c r="O3436" s="38" t="n">
        <x:f>IF(AND(G3436="RECORDED",ISNUMBER(H3436)),H3436,"")</x:f>
        <x:v>45.45</x:v>
      </x:c>
      <x:c r="P3436" s="34" t="str">
        <x:v>INCONCLUSIVE</x:v>
      </x:c>
      <x:c r="Q3436" s="34" t="str">
        <x:v>Feedback-Directed Random Test Generation/Result/Chart_19/result.json</x:v>
      </x:c>
    </x:row>
    <x:row r="3437">
      <x:c r="A3437" s="34" t="str">
        <x:v>randoop</x:v>
      </x:c>
      <x:c r="B3437" s="34" t="str">
        <x:v>Chart</x:v>
      </x:c>
      <x:c r="C3437" s="34" t="str">
        <x:v>Round1</x:v>
      </x:c>
      <x:c r="D3437" s="34" t="str">
        <x:v>Chart_20</x:v>
      </x:c>
      <x:c r="E3437" s="34" t="str">
        <x:v>Condition</x:v>
      </x:c>
      <x:c r="F3437" s="34" t="n">
        <x:v>8</x:v>
      </x:c>
      <x:c r="G3437" s="34" t="str">
        <x:v>RECORDED</x:v>
      </x:c>
      <x:c r="H3437" s="38" t="n">
        <x:f>IF(ISNUMBER('Data'!I21),'Data'!I21*100,"")</x:f>
        <x:v>75</x:v>
      </x:c>
      <x:c r="I3437" s="34" t="str">
        <x:v>PASS</x:v>
      </x:c>
      <x:c r="J3437" s="34" t="str">
        <x:v>PASS</x:v>
      </x:c>
      <x:c r="K3437" s="34" t="str">
        <x:v>PASS</x:v>
      </x:c>
      <x:c r="L3437" s="34" t="str">
        <x:v>FAIL</x:v>
      </x:c>
      <x:c r="M3437" s="34" t="str">
        <x:v>numeric coverage for applicable metric</x:v>
      </x:c>
      <x:c r="N3437" s="34" t="str">
        <x:v>Feedback-Directed Random Test Generation/Result/Chart_20/result.json</x:v>
      </x:c>
      <x:c r="O3437" s="38" t="n">
        <x:f>IF(AND(G3437="RECORDED",ISNUMBER(H3437)),H3437,"")</x:f>
        <x:v>75</x:v>
      </x:c>
      <x:c r="P3437" s="34" t="str">
        <x:v>INCONCLUSIVE</x:v>
      </x:c>
      <x:c r="Q3437" s="34" t="str">
        <x:v>Feedback-Directed Random Test Generation/Result/Chart_20/result.json</x:v>
      </x:c>
    </x:row>
    <x:row r="3438">
      <x:c r="A3438" s="34" t="str">
        <x:v>randoop</x:v>
      </x:c>
      <x:c r="B3438" s="34" t="str">
        <x:v>Chart</x:v>
      </x:c>
      <x:c r="C3438" s="34" t="str">
        <x:v>Round1</x:v>
      </x:c>
      <x:c r="D3438" s="34" t="str">
        <x:v>Chart_21</x:v>
      </x:c>
      <x:c r="E3438" s="34" t="str">
        <x:v>Condition</x:v>
      </x:c>
      <x:c r="F3438" s="34" t="n">
        <x:v>60</x:v>
      </x:c>
      <x:c r="G3438" s="34" t="str">
        <x:v>RECORDED</x:v>
      </x:c>
      <x:c r="H3438" s="38" t="n">
        <x:f>IF(ISNUMBER('Data'!I22),'Data'!I22*100,"")</x:f>
        <x:v>15</x:v>
      </x:c>
      <x:c r="I3438" s="34" t="str">
        <x:v>PASS</x:v>
      </x:c>
      <x:c r="J3438" s="34" t="str">
        <x:v>PASS</x:v>
      </x:c>
      <x:c r="K3438" s="34" t="str">
        <x:v>PASS</x:v>
      </x:c>
      <x:c r="L3438" s="34" t="str">
        <x:v>FAIL</x:v>
      </x:c>
      <x:c r="M3438" s="34" t="str">
        <x:v>numeric coverage for applicable metric</x:v>
      </x:c>
      <x:c r="N3438" s="34" t="str">
        <x:v>Feedback-Directed Random Test Generation/Result/Chart_21/result.json</x:v>
      </x:c>
      <x:c r="O3438" s="38" t="n">
        <x:f>IF(AND(G3438="RECORDED",ISNUMBER(H3438)),H3438,"")</x:f>
        <x:v>15</x:v>
      </x:c>
      <x:c r="P3438" s="34" t="str">
        <x:v>INCONCLUSIVE</x:v>
      </x:c>
      <x:c r="Q3438" s="34" t="str">
        <x:v>Feedback-Directed Random Test Generation/Result/Chart_21/result.json</x:v>
      </x:c>
    </x:row>
    <x:row r="3439">
      <x:c r="A3439" s="34" t="str">
        <x:v>randoop</x:v>
      </x:c>
      <x:c r="B3439" s="34" t="str">
        <x:v>Chart</x:v>
      </x:c>
      <x:c r="C3439" s="34" t="str">
        <x:v>Round1</x:v>
      </x:c>
      <x:c r="D3439" s="34" t="str">
        <x:v>Chart_22</x:v>
      </x:c>
      <x:c r="E3439" s="34" t="str">
        <x:v>Condition</x:v>
      </x:c>
      <x:c r="F3439" s="34" t="n">
        <x:v>58</x:v>
      </x:c>
      <x:c r="G3439" s="34" t="str">
        <x:v>RECORDED</x:v>
      </x:c>
      <x:c r="H3439" s="38" t="n">
        <x:f>IF(ISNUMBER('Data'!I23),'Data'!I23*100,"")</x:f>
        <x:v>84.48</x:v>
      </x:c>
      <x:c r="I3439" s="34" t="str">
        <x:v>PASS</x:v>
      </x:c>
      <x:c r="J3439" s="34" t="str">
        <x:v>PASS</x:v>
      </x:c>
      <x:c r="K3439" s="34" t="str">
        <x:v>PASS</x:v>
      </x:c>
      <x:c r="L3439" s="34" t="str">
        <x:v>FAIL</x:v>
      </x:c>
      <x:c r="M3439" s="34" t="str">
        <x:v>numeric coverage for applicable metric</x:v>
      </x:c>
      <x:c r="N3439" s="34" t="str">
        <x:v>Feedback-Directed Random Test Generation/Result/Chart_22/result.json</x:v>
      </x:c>
      <x:c r="O3439" s="38" t="n">
        <x:f>IF(AND(G3439="RECORDED",ISNUMBER(H3439)),H3439,"")</x:f>
        <x:v>84.48</x:v>
      </x:c>
      <x:c r="P3439" s="34" t="str">
        <x:v>INCONCLUSIVE</x:v>
      </x:c>
      <x:c r="Q3439" s="34" t="str">
        <x:v>Feedback-Directed Random Test Generation/Result/Chart_22/result.json</x:v>
      </x:c>
    </x:row>
    <x:row r="3440">
      <x:c r="A3440" s="34" t="str">
        <x:v>randoop</x:v>
      </x:c>
      <x:c r="B3440" s="34" t="str">
        <x:v>Chart</x:v>
      </x:c>
      <x:c r="C3440" s="34" t="str">
        <x:v>Round1</x:v>
      </x:c>
      <x:c r="D3440" s="34" t="str">
        <x:v>Chart_23</x:v>
      </x:c>
      <x:c r="E3440" s="34" t="str">
        <x:v>Condition</x:v>
      </x:c>
      <x:c r="F3440" s="34" t="n">
        <x:v>46</x:v>
      </x:c>
      <x:c r="G3440" s="34" t="str">
        <x:v>RECORDED</x:v>
      </x:c>
      <x:c r="H3440" s="38" t="n">
        <x:f>IF(ISNUMBER('Data'!I24),'Data'!I24*100,"")</x:f>
        <x:v>23.91</x:v>
      </x:c>
      <x:c r="I3440" s="34" t="str">
        <x:v>PASS</x:v>
      </x:c>
      <x:c r="J3440" s="34" t="str">
        <x:v>PASS</x:v>
      </x:c>
      <x:c r="K3440" s="34" t="str">
        <x:v>PASS</x:v>
      </x:c>
      <x:c r="L3440" s="34" t="str">
        <x:v>FAIL</x:v>
      </x:c>
      <x:c r="M3440" s="34" t="str">
        <x:v>numeric coverage for applicable metric</x:v>
      </x:c>
      <x:c r="N3440" s="34" t="str">
        <x:v>Feedback-Directed Random Test Generation/Result/Chart_23/result.json</x:v>
      </x:c>
      <x:c r="O3440" s="38" t="n">
        <x:f>IF(AND(G3440="RECORDED",ISNUMBER(H3440)),H3440,"")</x:f>
        <x:v>23.91</x:v>
      </x:c>
      <x:c r="P3440" s="34" t="str">
        <x:v>INCONCLUSIVE</x:v>
      </x:c>
      <x:c r="Q3440" s="34" t="str">
        <x:v>Feedback-Directed Random Test Generation/Result/Chart_23/result.json</x:v>
      </x:c>
    </x:row>
    <x:row r="3441">
      <x:c r="A3441" s="34" t="str">
        <x:v>randoop</x:v>
      </x:c>
      <x:c r="B3441" s="34" t="str">
        <x:v>Chart</x:v>
      </x:c>
      <x:c r="C3441" s="34" t="str">
        <x:v>Round1</x:v>
      </x:c>
      <x:c r="D3441" s="34" t="str">
        <x:v>Chart_24</x:v>
      </x:c>
      <x:c r="E3441" s="34" t="str">
        <x:v>Condition</x:v>
      </x:c>
      <x:c r="F3441" s="34" t="n">
        <x:v>10</x:v>
      </x:c>
      <x:c r="G3441" s="34" t="str">
        <x:v>RECORDED</x:v>
      </x:c>
      <x:c r="H3441" s="38" t="n">
        <x:f>IF(ISNUMBER('Data'!I25),'Data'!I25*100,"")</x:f>
        <x:v>90</x:v>
      </x:c>
      <x:c r="I3441" s="34" t="str">
        <x:v>PASS</x:v>
      </x:c>
      <x:c r="J3441" s="34" t="str">
        <x:v>PASS</x:v>
      </x:c>
      <x:c r="K3441" s="34" t="str">
        <x:v>PASS</x:v>
      </x:c>
      <x:c r="L3441" s="34" t="str">
        <x:v>FAIL</x:v>
      </x:c>
      <x:c r="M3441" s="34" t="str">
        <x:v>numeric coverage for applicable metric</x:v>
      </x:c>
      <x:c r="N3441" s="34" t="str">
        <x:v>Feedback-Directed Random Test Generation/Result/Chart_24/result.json</x:v>
      </x:c>
      <x:c r="O3441" s="38" t="n">
        <x:f>IF(AND(G3441="RECORDED",ISNUMBER(H3441)),H3441,"")</x:f>
        <x:v>90</x:v>
      </x:c>
      <x:c r="P3441" s="34" t="str">
        <x:v>INCONCLUSIVE</x:v>
      </x:c>
      <x:c r="Q3441" s="34" t="str">
        <x:v>Feedback-Directed Random Test Generation/Result/Chart_24/result.json</x:v>
      </x:c>
    </x:row>
    <x:row r="3442">
      <x:c r="A3442" s="34" t="str">
        <x:v>randoop</x:v>
      </x:c>
      <x:c r="B3442" s="34" t="str">
        <x:v>Chart</x:v>
      </x:c>
      <x:c r="C3442" s="34" t="str">
        <x:v>Round1</x:v>
      </x:c>
      <x:c r="D3442" s="34" t="str">
        <x:v>Chart_25</x:v>
      </x:c>
      <x:c r="E3442" s="34" t="str">
        <x:v>Condition</x:v>
      </x:c>
      <x:c r="F3442" s="34" t="n">
        <x:v>82</x:v>
      </x:c>
      <x:c r="G3442" s="34" t="str">
        <x:v>RECORDED</x:v>
      </x:c>
      <x:c r="H3442" s="38" t="n">
        <x:f>IF(ISNUMBER('Data'!I26),'Data'!I26*100,"")</x:f>
        <x:v>8.54</x:v>
      </x:c>
      <x:c r="I3442" s="34" t="str">
        <x:v>PASS</x:v>
      </x:c>
      <x:c r="J3442" s="34" t="str">
        <x:v>PASS</x:v>
      </x:c>
      <x:c r="K3442" s="34" t="str">
        <x:v>PASS</x:v>
      </x:c>
      <x:c r="L3442" s="34" t="str">
        <x:v>FAIL</x:v>
      </x:c>
      <x:c r="M3442" s="34" t="str">
        <x:v>numeric coverage for applicable metric</x:v>
      </x:c>
      <x:c r="N3442" s="34" t="str">
        <x:v>Feedback-Directed Random Test Generation/Result/Chart_25/result.json</x:v>
      </x:c>
      <x:c r="O3442" s="38" t="n">
        <x:f>IF(AND(G3442="RECORDED",ISNUMBER(H3442)),H3442,"")</x:f>
        <x:v>8.54</x:v>
      </x:c>
      <x:c r="P3442" s="34" t="str">
        <x:v>INCONCLUSIVE</x:v>
      </x:c>
      <x:c r="Q3442" s="34" t="str">
        <x:v>Feedback-Directed Random Test Generation/Result/Chart_25/result.json</x:v>
      </x:c>
    </x:row>
    <x:row r="3443">
      <x:c r="A3443" s="34" t="str">
        <x:v>randoop</x:v>
      </x:c>
      <x:c r="B3443" s="34" t="str">
        <x:v>Chart</x:v>
      </x:c>
      <x:c r="C3443" s="34" t="str">
        <x:v>Round1</x:v>
      </x:c>
      <x:c r="D3443" s="34" t="str">
        <x:v>Chart_26</x:v>
      </x:c>
      <x:c r="E3443" s="34" t="str">
        <x:v>Condition</x:v>
      </x:c>
      <x:c r="F3443" s="34" t="n">
        <x:v>128</x:v>
      </x:c>
      <x:c r="G3443" s="34" t="str">
        <x:v>RECORDED</x:v>
      </x:c>
      <x:c r="H3443" s="38" t="n">
        <x:f>IF(ISNUMBER('Data'!I27),'Data'!I27*100,"")</x:f>
        <x:v>0</x:v>
      </x:c>
      <x:c r="I3443" s="34" t="str">
        <x:v>PASS</x:v>
      </x:c>
      <x:c r="J3443" s="34" t="str">
        <x:v>PASS</x:v>
      </x:c>
      <x:c r="K3443" s="34" t="str">
        <x:v>PASS</x:v>
      </x:c>
      <x:c r="L3443" s="34" t="str">
        <x:v>PASS</x:v>
      </x:c>
      <x:c r="M3443" s="34" t="str">
        <x:v>numeric coverage for applicable metric</x:v>
      </x:c>
      <x:c r="N3443" s="34" t="str">
        <x:v>Feedback-Directed Random Test Generation/Result/Chart_26/result.json</x:v>
      </x:c>
      <x:c r="O3443" s="38" t="n">
        <x:f>IF(AND(G3443="RECORDED",ISNUMBER(H3443)),H3443,"")</x:f>
        <x:v>0</x:v>
      </x:c>
      <x:c r="P3443" s="34" t="str">
        <x:v>NOT_REVEALING</x:v>
      </x:c>
      <x:c r="Q3443" s="34" t="str">
        <x:v>Feedback-Directed Random Test Generation/Result/Chart_26/result.json</x:v>
      </x:c>
    </x:row>
    <x:row r="3444">
      <x:c r="A3444" s="34" t="str">
        <x:v>randoop</x:v>
      </x:c>
      <x:c r="B3444" s="34" t="str">
        <x:v>Cli</x:v>
      </x:c>
      <x:c r="C3444" s="34" t="str">
        <x:v>Round1</x:v>
      </x:c>
      <x:c r="D3444" s="34" t="str">
        <x:v>Cli_1</x:v>
      </x:c>
      <x:c r="E3444" s="34" t="str">
        <x:v>Condition</x:v>
      </x:c>
      <x:c r="F3444" s="34" t="n">
        <x:v>14</x:v>
      </x:c>
      <x:c r="G3444" s="34" t="str">
        <x:v>RECORDED</x:v>
      </x:c>
      <x:c r="H3444" s="38" t="n">
        <x:f>IF(ISNUMBER('Data'!I28),'Data'!I28*100,"")</x:f>
        <x:v>0</x:v>
      </x:c>
      <x:c r="I3444" s="34" t="str">
        <x:v>PASS</x:v>
      </x:c>
      <x:c r="J3444" s="34" t="str">
        <x:v>PASS</x:v>
      </x:c>
      <x:c r="K3444" s="34" t="str">
        <x:v>PASS</x:v>
      </x:c>
      <x:c r="L3444" s="34" t="str">
        <x:v>FAIL</x:v>
      </x:c>
      <x:c r="M3444" s="34" t="str">
        <x:v>numeric coverage for applicable metric</x:v>
      </x:c>
      <x:c r="N3444" s="34" t="str">
        <x:v>Feedback-Directed Random Test Generation/Result/Cli_1/result.json</x:v>
      </x:c>
      <x:c r="O3444" s="38" t="n">
        <x:f>IF(AND(G3444="RECORDED",ISNUMBER(H3444)),H3444,"")</x:f>
        <x:v>0</x:v>
      </x:c>
      <x:c r="P3444" s="34" t="str">
        <x:v>INCONCLUSIVE</x:v>
      </x:c>
      <x:c r="Q3444" s="34" t="str">
        <x:v>Feedback-Directed Random Test Generation/Result/Cli_1/result.json</x:v>
      </x:c>
    </x:row>
    <x:row r="3445">
      <x:c r="A3445" s="34" t="str">
        <x:v>randoop</x:v>
      </x:c>
      <x:c r="B3445" s="34" t="str">
        <x:v>Cli</x:v>
      </x:c>
      <x:c r="C3445" s="34" t="str">
        <x:v>Round1</x:v>
      </x:c>
      <x:c r="D3445" s="34" t="str">
        <x:v>Cli_2</x:v>
      </x:c>
      <x:c r="E3445" s="34" t="str">
        <x:v>Condition</x:v>
      </x:c>
      <x:c r="F3445" s="34" t="n">
        <x:v>42</x:v>
      </x:c>
      <x:c r="G3445" s="34" t="str">
        <x:v>RECORDED</x:v>
      </x:c>
      <x:c r="H3445" s="38" t="n">
        <x:f>IF(ISNUMBER('Data'!I29),'Data'!I29*100,"")</x:f>
        <x:v>0</x:v>
      </x:c>
      <x:c r="I3445" s="34" t="str">
        <x:v>PASS</x:v>
      </x:c>
      <x:c r="J3445" s="34" t="str">
        <x:v>PASS</x:v>
      </x:c>
      <x:c r="K3445" s="34" t="str">
        <x:v>PASS</x:v>
      </x:c>
      <x:c r="L3445" s="34" t="str">
        <x:v>FAIL</x:v>
      </x:c>
      <x:c r="M3445" s="34" t="str">
        <x:v>numeric coverage for applicable metric</x:v>
      </x:c>
      <x:c r="N3445" s="34" t="str">
        <x:v>Feedback-Directed Random Test Generation/Result/Cli_2/result.json</x:v>
      </x:c>
      <x:c r="O3445" s="38" t="n">
        <x:f>IF(AND(G3445="RECORDED",ISNUMBER(H3445)),H3445,"")</x:f>
        <x:v>0</x:v>
      </x:c>
      <x:c r="P3445" s="34" t="str">
        <x:v>INCONCLUSIVE</x:v>
      </x:c>
      <x:c r="Q3445" s="34" t="str">
        <x:v>Feedback-Directed Random Test Generation/Result/Cli_2/result.json</x:v>
      </x:c>
    </x:row>
    <x:row r="3446">
      <x:c r="A3446" s="34" t="str">
        <x:v>randoop</x:v>
      </x:c>
      <x:c r="B3446" s="34" t="str">
        <x:v>Cli</x:v>
      </x:c>
      <x:c r="C3446" s="34" t="str">
        <x:v>Round1</x:v>
      </x:c>
      <x:c r="D3446" s="34" t="str">
        <x:v>Cli_3</x:v>
      </x:c>
      <x:c r="E3446" s="34" t="str">
        <x:v>Condition</x:v>
      </x:c>
      <x:c r="F3446" s="34" t="n">
        <x:v>20</x:v>
      </x:c>
      <x:c r="G3446" s="34" t="str">
        <x:v>RECORDED</x:v>
      </x:c>
      <x:c r="H3446" s="38" t="n">
        <x:f>IF(ISNUMBER('Data'!I30),'Data'!I30*100,"")</x:f>
        <x:v>0</x:v>
      </x:c>
      <x:c r="I3446" s="34" t="str">
        <x:v>PASS</x:v>
      </x:c>
      <x:c r="J3446" s="34" t="str">
        <x:v>PASS</x:v>
      </x:c>
      <x:c r="K3446" s="34" t="str">
        <x:v>PASS</x:v>
      </x:c>
      <x:c r="L3446" s="34" t="str">
        <x:v>FAIL</x:v>
      </x:c>
      <x:c r="M3446" s="34" t="str">
        <x:v>numeric coverage for applicable metric</x:v>
      </x:c>
      <x:c r="N3446" s="34" t="str">
        <x:v>Feedback-Directed Random Test Generation/Result/Cli_3/result.json</x:v>
      </x:c>
      <x:c r="O3446" s="38" t="n">
        <x:f>IF(AND(G3446="RECORDED",ISNUMBER(H3446)),H3446,"")</x:f>
        <x:v>0</x:v>
      </x:c>
      <x:c r="P3446" s="34" t="str">
        <x:v>INCONCLUSIVE</x:v>
      </x:c>
      <x:c r="Q3446" s="34" t="str">
        <x:v>Feedback-Directed Random Test Generation/Result/Cli_3/result.json</x:v>
      </x:c>
    </x:row>
    <x:row r="3447">
      <x:c r="A3447" s="34" t="str">
        <x:v>randoop</x:v>
      </x:c>
      <x:c r="B3447" s="34" t="str">
        <x:v>Cli</x:v>
      </x:c>
      <x:c r="C3447" s="34" t="str">
        <x:v>Round1</x:v>
      </x:c>
      <x:c r="D3447" s="34" t="str">
        <x:v>Cli_4</x:v>
      </x:c>
      <x:c r="E3447" s="34" t="str">
        <x:v>Condition</x:v>
      </x:c>
      <x:c r="F3447" s="34" t="n">
        <x:v>68</x:v>
      </x:c>
      <x:c r="G3447" s="34" t="str">
        <x:v>RECORDED</x:v>
      </x:c>
      <x:c r="H3447" s="38" t="n">
        <x:f>IF(ISNUMBER('Data'!I31),'Data'!I31*100,"")</x:f>
        <x:v>0</x:v>
      </x:c>
      <x:c r="I3447" s="34" t="str">
        <x:v>PASS</x:v>
      </x:c>
      <x:c r="J3447" s="34" t="str">
        <x:v>PASS</x:v>
      </x:c>
      <x:c r="K3447" s="34" t="str">
        <x:v>PASS</x:v>
      </x:c>
      <x:c r="L3447" s="34" t="str">
        <x:v>FAIL</x:v>
      </x:c>
      <x:c r="M3447" s="34" t="str">
        <x:v>numeric coverage for applicable metric</x:v>
      </x:c>
      <x:c r="N3447" s="34" t="str">
        <x:v>Feedback-Directed Random Test Generation/Result/Cli_4/result.json</x:v>
      </x:c>
      <x:c r="O3447" s="38" t="n">
        <x:f>IF(AND(G3447="RECORDED",ISNUMBER(H3447)),H3447,"")</x:f>
        <x:v>0</x:v>
      </x:c>
      <x:c r="P3447" s="34" t="str">
        <x:v>INCONCLUSIVE</x:v>
      </x:c>
      <x:c r="Q3447" s="34" t="str">
        <x:v>Feedback-Directed Random Test Generation/Result/Cli_4/result.json</x:v>
      </x:c>
    </x:row>
    <x:row r="3448">
      <x:c r="A3448" s="34" t="str">
        <x:v>randoop</x:v>
      </x:c>
      <x:c r="B3448" s="34" t="str">
        <x:v>Cli</x:v>
      </x:c>
      <x:c r="C3448" s="34" t="str">
        <x:v>Round1</x:v>
      </x:c>
      <x:c r="D3448" s="34" t="str">
        <x:v>Cli_5</x:v>
      </x:c>
      <x:c r="E3448" s="34" t="str">
        <x:v>Condition</x:v>
      </x:c>
      <x:c r="F3448" s="34" t="n">
        <x:v>8</x:v>
      </x:c>
      <x:c r="G3448" s="34" t="str">
        <x:v>RECORDED</x:v>
      </x:c>
      <x:c r="H3448" s="38" t="n">
        <x:f>IF(ISNUMBER('Data'!I32),'Data'!I32*100,"")</x:f>
        <x:v>0</x:v>
      </x:c>
      <x:c r="I3448" s="34" t="str">
        <x:v>PASS</x:v>
      </x:c>
      <x:c r="J3448" s="34" t="str">
        <x:v>PASS</x:v>
      </x:c>
      <x:c r="K3448" s="34" t="str">
        <x:v>PASS</x:v>
      </x:c>
      <x:c r="L3448" s="34" t="str">
        <x:v>FAIL</x:v>
      </x:c>
      <x:c r="M3448" s="34" t="str">
        <x:v>numeric coverage for applicable metric</x:v>
      </x:c>
      <x:c r="N3448" s="34" t="str">
        <x:v>Feedback-Directed Random Test Generation/Result/Cli_5/result.json</x:v>
      </x:c>
      <x:c r="O3448" s="38" t="n">
        <x:f>IF(AND(G3448="RECORDED",ISNUMBER(H3448)),H3448,"")</x:f>
        <x:v>0</x:v>
      </x:c>
      <x:c r="P3448" s="34" t="str">
        <x:v>INCONCLUSIVE</x:v>
      </x:c>
      <x:c r="Q3448" s="34" t="str">
        <x:v>Feedback-Directed Random Test Generation/Result/Cli_5/result.json</x:v>
      </x:c>
    </x:row>
    <x:row r="3449">
      <x:c r="A3449" s="34" t="str">
        <x:v>randoop</x:v>
      </x:c>
      <x:c r="B3449" s="34" t="str">
        <x:v>Cli</x:v>
      </x:c>
      <x:c r="C3449" s="34" t="str">
        <x:v>Round1</x:v>
      </x:c>
      <x:c r="D3449" s="34" t="str">
        <x:v>Cli_7</x:v>
      </x:c>
      <x:c r="E3449" s="34" t="str">
        <x:v>Condition</x:v>
      </x:c>
      <x:c r="F3449" s="34" t="n">
        <x:v>27</x:v>
      </x:c>
      <x:c r="G3449" s="34" t="str">
        <x:v>RECORDED</x:v>
      </x:c>
      <x:c r="H3449" s="38" t="n">
        <x:f>IF(ISNUMBER('Data'!I33),'Data'!I33*100,"")</x:f>
        <x:v>0</x:v>
      </x:c>
      <x:c r="I3449" s="34" t="str">
        <x:v>PASS</x:v>
      </x:c>
      <x:c r="J3449" s="34" t="str">
        <x:v>PASS</x:v>
      </x:c>
      <x:c r="K3449" s="34" t="str">
        <x:v>PASS</x:v>
      </x:c>
      <x:c r="L3449" s="34" t="str">
        <x:v>FAIL</x:v>
      </x:c>
      <x:c r="M3449" s="34" t="str">
        <x:v>numeric coverage for applicable metric</x:v>
      </x:c>
      <x:c r="N3449" s="34" t="str">
        <x:v>Feedback-Directed Random Test Generation/Result/Cli_7/result.json</x:v>
      </x:c>
      <x:c r="O3449" s="38" t="n">
        <x:f>IF(AND(G3449="RECORDED",ISNUMBER(H3449)),H3449,"")</x:f>
        <x:v>0</x:v>
      </x:c>
      <x:c r="P3449" s="34" t="str">
        <x:v>INCONCLUSIVE</x:v>
      </x:c>
      <x:c r="Q3449" s="34" t="str">
        <x:v>Feedback-Directed Random Test Generation/Result/Cli_7/result.json</x:v>
      </x:c>
    </x:row>
    <x:row r="3450">
      <x:c r="A3450" s="34" t="str">
        <x:v>randoop</x:v>
      </x:c>
      <x:c r="B3450" s="34" t="str">
        <x:v>Cli</x:v>
      </x:c>
      <x:c r="C3450" s="34" t="str">
        <x:v>Round1</x:v>
      </x:c>
      <x:c r="D3450" s="34" t="str">
        <x:v>Cli_8</x:v>
      </x:c>
      <x:c r="E3450" s="34" t="str">
        <x:v>Condition</x:v>
      </x:c>
      <x:c r="F3450" s="34" t="n">
        <x:v>104</x:v>
      </x:c>
      <x:c r="G3450" s="34" t="str">
        <x:v>RECORDED</x:v>
      </x:c>
      <x:c r="H3450" s="38" t="n">
        <x:f>IF(ISNUMBER('Data'!I34),'Data'!I34*100,"")</x:f>
        <x:v>0</x:v>
      </x:c>
      <x:c r="I3450" s="34" t="str">
        <x:v>PASS</x:v>
      </x:c>
      <x:c r="J3450" s="34" t="str">
        <x:v>PASS</x:v>
      </x:c>
      <x:c r="K3450" s="34" t="str">
        <x:v>PASS</x:v>
      </x:c>
      <x:c r="L3450" s="34" t="str">
        <x:v>FAIL</x:v>
      </x:c>
      <x:c r="M3450" s="34" t="str">
        <x:v>numeric coverage for applicable metric</x:v>
      </x:c>
      <x:c r="N3450" s="34" t="str">
        <x:v>Feedback-Directed Random Test Generation/Result/Cli_8/result.json</x:v>
      </x:c>
      <x:c r="O3450" s="38" t="n">
        <x:f>IF(AND(G3450="RECORDED",ISNUMBER(H3450)),H3450,"")</x:f>
        <x:v>0</x:v>
      </x:c>
      <x:c r="P3450" s="34" t="str">
        <x:v>INCONCLUSIVE</x:v>
      </x:c>
      <x:c r="Q3450" s="34" t="str">
        <x:v>Feedback-Directed Random Test Generation/Result/Cli_8/result.json</x:v>
      </x:c>
    </x:row>
    <x:row r="3451">
      <x:c r="A3451" s="34" t="str">
        <x:v>randoop</x:v>
      </x:c>
      <x:c r="B3451" s="34" t="str">
        <x:v>Cli</x:v>
      </x:c>
      <x:c r="C3451" s="34" t="str">
        <x:v>Round1</x:v>
      </x:c>
      <x:c r="D3451" s="34" t="str">
        <x:v>Cli_9</x:v>
      </x:c>
      <x:c r="E3451" s="34" t="str">
        <x:v>Condition</x:v>
      </x:c>
      <x:c r="F3451" s="34" t="n">
        <x:v>70</x:v>
      </x:c>
      <x:c r="G3451" s="34" t="str">
        <x:v>RECORDED</x:v>
      </x:c>
      <x:c r="H3451" s="38" t="n">
        <x:f>IF(ISNUMBER('Data'!I35),'Data'!I35*100,"")</x:f>
        <x:v>0</x:v>
      </x:c>
      <x:c r="I3451" s="34" t="str">
        <x:v>PASS</x:v>
      </x:c>
      <x:c r="J3451" s="34" t="str">
        <x:v>PASS</x:v>
      </x:c>
      <x:c r="K3451" s="34" t="str">
        <x:v>PASS</x:v>
      </x:c>
      <x:c r="L3451" s="34" t="str">
        <x:v>FAIL</x:v>
      </x:c>
      <x:c r="M3451" s="34" t="str">
        <x:v>numeric coverage for applicable metric</x:v>
      </x:c>
      <x:c r="N3451" s="34" t="str">
        <x:v>Feedback-Directed Random Test Generation/Result/Cli_9/result.json</x:v>
      </x:c>
      <x:c r="O3451" s="38" t="n">
        <x:f>IF(AND(G3451="RECORDED",ISNUMBER(H3451)),H3451,"")</x:f>
        <x:v>0</x:v>
      </x:c>
      <x:c r="P3451" s="34" t="str">
        <x:v>INCONCLUSIVE</x:v>
      </x:c>
      <x:c r="Q3451" s="34" t="str">
        <x:v>Feedback-Directed Random Test Generation/Result/Cli_9/result.json</x:v>
      </x:c>
    </x:row>
    <x:row r="3452">
      <x:c r="A3452" s="34" t="str">
        <x:v>randoop</x:v>
      </x:c>
      <x:c r="B3452" s="34" t="str">
        <x:v>Cli</x:v>
      </x:c>
      <x:c r="C3452" s="34" t="str">
        <x:v>Round1</x:v>
      </x:c>
      <x:c r="D3452" s="34" t="str">
        <x:v>Cli_10</x:v>
      </x:c>
      <x:c r="E3452" s="34" t="str">
        <x:v>Condition</x:v>
      </x:c>
      <x:c r="F3452" s="34" t="n">
        <x:v>70</x:v>
      </x:c>
      <x:c r="G3452" s="34" t="str">
        <x:v>RECORDED</x:v>
      </x:c>
      <x:c r="H3452" s="38" t="n">
        <x:f>IF(ISNUMBER('Data'!I36),'Data'!I36*100,"")</x:f>
        <x:v>0</x:v>
      </x:c>
      <x:c r="I3452" s="34" t="str">
        <x:v>PASS</x:v>
      </x:c>
      <x:c r="J3452" s="34" t="str">
        <x:v>PASS</x:v>
      </x:c>
      <x:c r="K3452" s="34" t="str">
        <x:v>PASS</x:v>
      </x:c>
      <x:c r="L3452" s="34" t="str">
        <x:v>FAIL</x:v>
      </x:c>
      <x:c r="M3452" s="34" t="str">
        <x:v>numeric coverage for applicable metric</x:v>
      </x:c>
      <x:c r="N3452" s="34" t="str">
        <x:v>Feedback-Directed Random Test Generation/Result/Cli_10/result.json</x:v>
      </x:c>
      <x:c r="O3452" s="38" t="n">
        <x:f>IF(AND(G3452="RECORDED",ISNUMBER(H3452)),H3452,"")</x:f>
        <x:v>0</x:v>
      </x:c>
      <x:c r="P3452" s="34" t="str">
        <x:v>INCONCLUSIVE</x:v>
      </x:c>
      <x:c r="Q3452" s="34" t="str">
        <x:v>Feedback-Directed Random Test Generation/Result/Cli_10/result.json</x:v>
      </x:c>
    </x:row>
    <x:row r="3453">
      <x:c r="A3453" s="34" t="str">
        <x:v>randoop</x:v>
      </x:c>
      <x:c r="B3453" s="34" t="str">
        <x:v>Cli</x:v>
      </x:c>
      <x:c r="C3453" s="34" t="str">
        <x:v>Round1</x:v>
      </x:c>
      <x:c r="D3453" s="34" t="str">
        <x:v>Cli_11</x:v>
      </x:c>
      <x:c r="E3453" s="34" t="str">
        <x:v>Condition</x:v>
      </x:c>
      <x:c r="F3453" s="34" t="n">
        <x:v>106</x:v>
      </x:c>
      <x:c r="G3453" s="34" t="str">
        <x:v>RECORDED</x:v>
      </x:c>
      <x:c r="H3453" s="38" t="n">
        <x:f>IF(ISNUMBER('Data'!I37),'Data'!I37*100,"")</x:f>
        <x:v>0</x:v>
      </x:c>
      <x:c r="I3453" s="34" t="str">
        <x:v>PASS</x:v>
      </x:c>
      <x:c r="J3453" s="34" t="str">
        <x:v>PASS</x:v>
      </x:c>
      <x:c r="K3453" s="34" t="str">
        <x:v>PASS</x:v>
      </x:c>
      <x:c r="L3453" s="34" t="str">
        <x:v>FAIL</x:v>
      </x:c>
      <x:c r="M3453" s="34" t="str">
        <x:v>numeric coverage for applicable metric</x:v>
      </x:c>
      <x:c r="N3453" s="34" t="str">
        <x:v>Feedback-Directed Random Test Generation/Result/Cli_11/result.json</x:v>
      </x:c>
      <x:c r="O3453" s="38" t="n">
        <x:f>IF(AND(G3453="RECORDED",ISNUMBER(H3453)),H3453,"")</x:f>
        <x:v>0</x:v>
      </x:c>
      <x:c r="P3453" s="34" t="str">
        <x:v>INCONCLUSIVE</x:v>
      </x:c>
      <x:c r="Q3453" s="34" t="str">
        <x:v>Feedback-Directed Random Test Generation/Result/Cli_11/result.json</x:v>
      </x:c>
    </x:row>
    <x:row r="3454">
      <x:c r="A3454" s="34" t="str">
        <x:v>randoop</x:v>
      </x:c>
      <x:c r="B3454" s="34" t="str">
        <x:v>Cli</x:v>
      </x:c>
      <x:c r="C3454" s="34" t="str">
        <x:v>Round1</x:v>
      </x:c>
      <x:c r="D3454" s="34" t="str">
        <x:v>Cli_12</x:v>
      </x:c>
      <x:c r="E3454" s="34" t="str">
        <x:v>Condition</x:v>
      </x:c>
      <x:c r="F3454" s="34" t="n">
        <x:v>16</x:v>
      </x:c>
      <x:c r="G3454" s="34" t="str">
        <x:v>RECORDED</x:v>
      </x:c>
      <x:c r="H3454" s="38" t="n">
        <x:f>IF(ISNUMBER('Data'!I38),'Data'!I38*100,"")</x:f>
        <x:v>0</x:v>
      </x:c>
      <x:c r="I3454" s="34" t="str">
        <x:v>PASS</x:v>
      </x:c>
      <x:c r="J3454" s="34" t="str">
        <x:v>PASS</x:v>
      </x:c>
      <x:c r="K3454" s="34" t="str">
        <x:v>PASS</x:v>
      </x:c>
      <x:c r="L3454" s="34" t="str">
        <x:v>FAIL</x:v>
      </x:c>
      <x:c r="M3454" s="34" t="str">
        <x:v>numeric coverage for applicable metric</x:v>
      </x:c>
      <x:c r="N3454" s="34" t="str">
        <x:v>Feedback-Directed Random Test Generation/Result/Cli_12/result.json</x:v>
      </x:c>
      <x:c r="O3454" s="38" t="n">
        <x:f>IF(AND(G3454="RECORDED",ISNUMBER(H3454)),H3454,"")</x:f>
        <x:v>0</x:v>
      </x:c>
      <x:c r="P3454" s="34" t="str">
        <x:v>INCONCLUSIVE</x:v>
      </x:c>
      <x:c r="Q3454" s="34" t="str">
        <x:v>Feedback-Directed Random Test Generation/Result/Cli_12/result.json</x:v>
      </x:c>
    </x:row>
    <x:row r="3455">
      <x:c r="A3455" s="34" t="str">
        <x:v>randoop</x:v>
      </x:c>
      <x:c r="B3455" s="34" t="str">
        <x:v>Cli</x:v>
      </x:c>
      <x:c r="C3455" s="34" t="str">
        <x:v>Round1</x:v>
      </x:c>
      <x:c r="D3455" s="34" t="str">
        <x:v>Cli_13</x:v>
      </x:c>
      <x:c r="E3455" s="34" t="str">
        <x:v>Condition</x:v>
      </x:c>
      <x:c r="F3455" s="34" t="n">
        <x:v>116</x:v>
      </x:c>
      <x:c r="G3455" s="34" t="str">
        <x:v>RECORDED</x:v>
      </x:c>
      <x:c r="H3455" s="38" t="n">
        <x:f>IF(ISNUMBER('Data'!I39),'Data'!I39*100,"")</x:f>
        <x:v>0</x:v>
      </x:c>
      <x:c r="I3455" s="34" t="str">
        <x:v>PASS</x:v>
      </x:c>
      <x:c r="J3455" s="34" t="str">
        <x:v>PASS</x:v>
      </x:c>
      <x:c r="K3455" s="34" t="str">
        <x:v>PASS</x:v>
      </x:c>
      <x:c r="L3455" s="34" t="str">
        <x:v>FAIL</x:v>
      </x:c>
      <x:c r="M3455" s="34" t="str">
        <x:v>numeric coverage for applicable metric</x:v>
      </x:c>
      <x:c r="N3455" s="34" t="str">
        <x:v>Feedback-Directed Random Test Generation/Result/Cli_13/result.json</x:v>
      </x:c>
      <x:c r="O3455" s="38" t="n">
        <x:f>IF(AND(G3455="RECORDED",ISNUMBER(H3455)),H3455,"")</x:f>
        <x:v>0</x:v>
      </x:c>
      <x:c r="P3455" s="34" t="str">
        <x:v>INCONCLUSIVE</x:v>
      </x:c>
      <x:c r="Q3455" s="34" t="str">
        <x:v>Feedback-Directed Random Test Generation/Result/Cli_13/result.json</x:v>
      </x:c>
    </x:row>
    <x:row r="3456">
      <x:c r="A3456" s="34" t="str">
        <x:v>randoop</x:v>
      </x:c>
      <x:c r="B3456" s="34" t="str">
        <x:v>Cli</x:v>
      </x:c>
      <x:c r="C3456" s="34" t="str">
        <x:v>Round1</x:v>
      </x:c>
      <x:c r="D3456" s="34" t="str">
        <x:v>Cli_14</x:v>
      </x:c>
      <x:c r="E3456" s="34" t="str">
        <x:v>Condition</x:v>
      </x:c>
      <x:c r="F3456" s="34" t="n">
        <x:v>128</x:v>
      </x:c>
      <x:c r="G3456" s="34" t="str">
        <x:v>RECORDED</x:v>
      </x:c>
      <x:c r="H3456" s="38" t="n">
        <x:f>IF(ISNUMBER('Data'!I40),'Data'!I40*100,"")</x:f>
        <x:v>0</x:v>
      </x:c>
      <x:c r="I3456" s="34" t="str">
        <x:v>PASS</x:v>
      </x:c>
      <x:c r="J3456" s="34" t="str">
        <x:v>PASS</x:v>
      </x:c>
      <x:c r="K3456" s="34" t="str">
        <x:v>PASS</x:v>
      </x:c>
      <x:c r="L3456" s="34" t="str">
        <x:v>FAIL</x:v>
      </x:c>
      <x:c r="M3456" s="34" t="str">
        <x:v>numeric coverage for applicable metric</x:v>
      </x:c>
      <x:c r="N3456" s="34" t="str">
        <x:v>Feedback-Directed Random Test Generation/Result/Cli_14/result.json</x:v>
      </x:c>
      <x:c r="O3456" s="38" t="n">
        <x:f>IF(AND(G3456="RECORDED",ISNUMBER(H3456)),H3456,"")</x:f>
        <x:v>0</x:v>
      </x:c>
      <x:c r="P3456" s="34" t="str">
        <x:v>INCONCLUSIVE</x:v>
      </x:c>
      <x:c r="Q3456" s="34" t="str">
        <x:v>Feedback-Directed Random Test Generation/Result/Cli_14/result.json</x:v>
      </x:c>
    </x:row>
    <x:row r="3457">
      <x:c r="A3457" s="34" t="str">
        <x:v>randoop</x:v>
      </x:c>
      <x:c r="B3457" s="34" t="str">
        <x:v>Cli</x:v>
      </x:c>
      <x:c r="C3457" s="34" t="str">
        <x:v>Round1</x:v>
      </x:c>
      <x:c r="D3457" s="34" t="str">
        <x:v>Cli_15</x:v>
      </x:c>
      <x:c r="E3457" s="34" t="str">
        <x:v>Condition</x:v>
      </x:c>
      <x:c r="F3457" s="34" t="n">
        <x:v>46</x:v>
      </x:c>
      <x:c r="G3457" s="34" t="str">
        <x:v>RECORDED</x:v>
      </x:c>
      <x:c r="H3457" s="38" t="n">
        <x:f>IF(ISNUMBER('Data'!I41),'Data'!I41*100,"")</x:f>
        <x:v>0</x:v>
      </x:c>
      <x:c r="I3457" s="34" t="str">
        <x:v>PASS</x:v>
      </x:c>
      <x:c r="J3457" s="34" t="str">
        <x:v>PASS</x:v>
      </x:c>
      <x:c r="K3457" s="34" t="str">
        <x:v>PASS</x:v>
      </x:c>
      <x:c r="L3457" s="34" t="str">
        <x:v>FAIL</x:v>
      </x:c>
      <x:c r="M3457" s="34" t="str">
        <x:v>numeric coverage for applicable metric</x:v>
      </x:c>
      <x:c r="N3457" s="34" t="str">
        <x:v>Feedback-Directed Random Test Generation/Result/Cli_15/result.json</x:v>
      </x:c>
      <x:c r="O3457" s="38" t="n">
        <x:f>IF(AND(G3457="RECORDED",ISNUMBER(H3457)),H3457,"")</x:f>
        <x:v>0</x:v>
      </x:c>
      <x:c r="P3457" s="34" t="str">
        <x:v>INCONCLUSIVE</x:v>
      </x:c>
      <x:c r="Q3457" s="34" t="str">
        <x:v>Feedback-Directed Random Test Generation/Result/Cli_15/result.json</x:v>
      </x:c>
    </x:row>
    <x:row r="3458">
      <x:c r="A3458" s="34" t="str">
        <x:v>randoop</x:v>
      </x:c>
      <x:c r="B3458" s="34" t="str">
        <x:v>Cli</x:v>
      </x:c>
      <x:c r="C3458" s="34" t="str">
        <x:v>Round1</x:v>
      </x:c>
      <x:c r="D3458" s="34" t="str">
        <x:v>Cli_16</x:v>
      </x:c>
      <x:c r="E3458" s="34" t="str">
        <x:v>Condition</x:v>
      </x:c>
      <x:c r="F3458" s="34" t="n">
        <x:v>218</x:v>
      </x:c>
      <x:c r="G3458" s="34" t="str">
        <x:v>RECORDED</x:v>
      </x:c>
      <x:c r="H3458" s="38" t="n">
        <x:f>IF(ISNUMBER('Data'!I42),'Data'!I42*100,"")</x:f>
        <x:v>0</x:v>
      </x:c>
      <x:c r="I3458" s="34" t="str">
        <x:v>PASS</x:v>
      </x:c>
      <x:c r="J3458" s="34" t="str">
        <x:v>PASS</x:v>
      </x:c>
      <x:c r="K3458" s="34" t="str">
        <x:v>PASS</x:v>
      </x:c>
      <x:c r="L3458" s="34" t="str">
        <x:v>FAIL</x:v>
      </x:c>
      <x:c r="M3458" s="34" t="str">
        <x:v>numeric coverage for applicable metric</x:v>
      </x:c>
      <x:c r="N3458" s="34" t="str">
        <x:v>Feedback-Directed Random Test Generation/Result/Cli_16/result.json</x:v>
      </x:c>
      <x:c r="O3458" s="38" t="n">
        <x:f>IF(AND(G3458="RECORDED",ISNUMBER(H3458)),H3458,"")</x:f>
        <x:v>0</x:v>
      </x:c>
      <x:c r="P3458" s="34" t="str">
        <x:v>INCONCLUSIVE</x:v>
      </x:c>
      <x:c r="Q3458" s="34" t="str">
        <x:v>Feedback-Directed Random Test Generation/Result/Cli_16/result.json</x:v>
      </x:c>
    </x:row>
    <x:row r="3459">
      <x:c r="A3459" s="34" t="str">
        <x:v>randoop</x:v>
      </x:c>
      <x:c r="B3459" s="34" t="str">
        <x:v>Cli</x:v>
      </x:c>
      <x:c r="C3459" s="34" t="str">
        <x:v>Round1</x:v>
      </x:c>
      <x:c r="D3459" s="34" t="str">
        <x:v>Cli_17</x:v>
      </x:c>
      <x:c r="E3459" s="34" t="str">
        <x:v>Condition</x:v>
      </x:c>
      <x:c r="F3459" s="34" t="n">
        <x:v>42</x:v>
      </x:c>
      <x:c r="G3459" s="34" t="str">
        <x:v>RECORDED</x:v>
      </x:c>
      <x:c r="H3459" s="38" t="n">
        <x:f>IF(ISNUMBER('Data'!I43),'Data'!I43*100,"")</x:f>
        <x:v>0</x:v>
      </x:c>
      <x:c r="I3459" s="34" t="str">
        <x:v>PASS</x:v>
      </x:c>
      <x:c r="J3459" s="34" t="str">
        <x:v>PASS</x:v>
      </x:c>
      <x:c r="K3459" s="34" t="str">
        <x:v>PASS</x:v>
      </x:c>
      <x:c r="L3459" s="34" t="str">
        <x:v>FAIL</x:v>
      </x:c>
      <x:c r="M3459" s="34" t="str">
        <x:v>numeric coverage for applicable metric</x:v>
      </x:c>
      <x:c r="N3459" s="34" t="str">
        <x:v>Feedback-Directed Random Test Generation/Result/Cli_17/result.json</x:v>
      </x:c>
      <x:c r="O3459" s="38" t="n">
        <x:f>IF(AND(G3459="RECORDED",ISNUMBER(H3459)),H3459,"")</x:f>
        <x:v>0</x:v>
      </x:c>
      <x:c r="P3459" s="34" t="str">
        <x:v>INCONCLUSIVE</x:v>
      </x:c>
      <x:c r="Q3459" s="34" t="str">
        <x:v>Feedback-Directed Random Test Generation/Result/Cli_17/result.json</x:v>
      </x:c>
    </x:row>
    <x:row r="3460">
      <x:c r="A3460" s="34" t="str">
        <x:v>randoop</x:v>
      </x:c>
      <x:c r="B3460" s="34" t="str">
        <x:v>Cli</x:v>
      </x:c>
      <x:c r="C3460" s="34" t="str">
        <x:v>Round1</x:v>
      </x:c>
      <x:c r="D3460" s="34" t="str">
        <x:v>Cli_18</x:v>
      </x:c>
      <x:c r="E3460" s="34" t="str">
        <x:v>Condition</x:v>
      </x:c>
      <x:c r="F3460" s="34" t="n">
        <x:v>42</x:v>
      </x:c>
      <x:c r="G3460" s="34" t="str">
        <x:v>RECORDED</x:v>
      </x:c>
      <x:c r="H3460" s="38" t="n">
        <x:f>IF(ISNUMBER('Data'!I44),'Data'!I44*100,"")</x:f>
        <x:v>0</x:v>
      </x:c>
      <x:c r="I3460" s="34" t="str">
        <x:v>PASS</x:v>
      </x:c>
      <x:c r="J3460" s="34" t="str">
        <x:v>PASS</x:v>
      </x:c>
      <x:c r="K3460" s="34" t="str">
        <x:v>PASS</x:v>
      </x:c>
      <x:c r="L3460" s="34" t="str">
        <x:v>FAIL</x:v>
      </x:c>
      <x:c r="M3460" s="34" t="str">
        <x:v>numeric coverage for applicable metric</x:v>
      </x:c>
      <x:c r="N3460" s="34" t="str">
        <x:v>Feedback-Directed Random Test Generation/Result/Cli_18/result.json</x:v>
      </x:c>
      <x:c r="O3460" s="38" t="n">
        <x:f>IF(AND(G3460="RECORDED",ISNUMBER(H3460)),H3460,"")</x:f>
        <x:v>0</x:v>
      </x:c>
      <x:c r="P3460" s="34" t="str">
        <x:v>INCONCLUSIVE</x:v>
      </x:c>
      <x:c r="Q3460" s="34" t="str">
        <x:v>Feedback-Directed Random Test Generation/Result/Cli_18/result.json</x:v>
      </x:c>
    </x:row>
    <x:row r="3461">
      <x:c r="A3461" s="34" t="str">
        <x:v>randoop</x:v>
      </x:c>
      <x:c r="B3461" s="34" t="str">
        <x:v>Cli</x:v>
      </x:c>
      <x:c r="C3461" s="34" t="str">
        <x:v>Round1</x:v>
      </x:c>
      <x:c r="D3461" s="34" t="str">
        <x:v>Cli_19</x:v>
      </x:c>
      <x:c r="E3461" s="34" t="str">
        <x:v>Condition</x:v>
      </x:c>
      <x:c r="F3461" s="34" t="n">
        <x:v>42</x:v>
      </x:c>
      <x:c r="G3461" s="34" t="str">
        <x:v>RECORDED</x:v>
      </x:c>
      <x:c r="H3461" s="38" t="n">
        <x:f>IF(ISNUMBER('Data'!I45),'Data'!I45*100,"")</x:f>
        <x:v>0</x:v>
      </x:c>
      <x:c r="I3461" s="34" t="str">
        <x:v>PASS</x:v>
      </x:c>
      <x:c r="J3461" s="34" t="str">
        <x:v>PASS</x:v>
      </x:c>
      <x:c r="K3461" s="34" t="str">
        <x:v>PASS</x:v>
      </x:c>
      <x:c r="L3461" s="34" t="str">
        <x:v>FAIL</x:v>
      </x:c>
      <x:c r="M3461" s="34" t="str">
        <x:v>numeric coverage for applicable metric</x:v>
      </x:c>
      <x:c r="N3461" s="34" t="str">
        <x:v>Feedback-Directed Random Test Generation/Result/Cli_19/result.json</x:v>
      </x:c>
      <x:c r="O3461" s="38" t="n">
        <x:f>IF(AND(G3461="RECORDED",ISNUMBER(H3461)),H3461,"")</x:f>
        <x:v>0</x:v>
      </x:c>
      <x:c r="P3461" s="34" t="str">
        <x:v>INCONCLUSIVE</x:v>
      </x:c>
      <x:c r="Q3461" s="34" t="str">
        <x:v>Feedback-Directed Random Test Generation/Result/Cli_19/result.json</x:v>
      </x:c>
    </x:row>
    <x:row r="3462">
      <x:c r="A3462" s="34" t="str">
        <x:v>randoop</x:v>
      </x:c>
      <x:c r="B3462" s="34" t="str">
        <x:v>Cli</x:v>
      </x:c>
      <x:c r="C3462" s="34" t="str">
        <x:v>Round1</x:v>
      </x:c>
      <x:c r="D3462" s="34" t="str">
        <x:v>Cli_20</x:v>
      </x:c>
      <x:c r="E3462" s="34" t="str">
        <x:v>Condition</x:v>
      </x:c>
      <x:c r="F3462" s="34" t="n">
        <x:v>42</x:v>
      </x:c>
      <x:c r="G3462" s="34" t="str">
        <x:v>RECORDED</x:v>
      </x:c>
      <x:c r="H3462" s="38" t="n">
        <x:f>IF(ISNUMBER('Data'!I46),'Data'!I46*100,"")</x:f>
        <x:v>0</x:v>
      </x:c>
      <x:c r="I3462" s="34" t="str">
        <x:v>PASS</x:v>
      </x:c>
      <x:c r="J3462" s="34" t="str">
        <x:v>PASS</x:v>
      </x:c>
      <x:c r="K3462" s="34" t="str">
        <x:v>PASS</x:v>
      </x:c>
      <x:c r="L3462" s="34" t="str">
        <x:v>FAIL</x:v>
      </x:c>
      <x:c r="M3462" s="34" t="str">
        <x:v>numeric coverage for applicable metric</x:v>
      </x:c>
      <x:c r="N3462" s="34" t="str">
        <x:v>Feedback-Directed Random Test Generation/Result/Cli_20/result.json</x:v>
      </x:c>
      <x:c r="O3462" s="38" t="n">
        <x:f>IF(AND(G3462="RECORDED",ISNUMBER(H3462)),H3462,"")</x:f>
        <x:v>0</x:v>
      </x:c>
      <x:c r="P3462" s="34" t="str">
        <x:v>INCONCLUSIVE</x:v>
      </x:c>
      <x:c r="Q3462" s="34" t="str">
        <x:v>Feedback-Directed Random Test Generation/Result/Cli_20/result.json</x:v>
      </x:c>
    </x:row>
    <x:row r="3463">
      <x:c r="A3463" s="34" t="str">
        <x:v>randoop</x:v>
      </x:c>
      <x:c r="B3463" s="34" t="str">
        <x:v>Cli</x:v>
      </x:c>
      <x:c r="C3463" s="34" t="str">
        <x:v>Round1</x:v>
      </x:c>
      <x:c r="D3463" s="34" t="str">
        <x:v>Cli_21</x:v>
      </x:c>
      <x:c r="E3463" s="34" t="str">
        <x:v>Condition</x:v>
      </x:c>
      <x:c r="F3463" s="34" t="n">
        <x:v>188</x:v>
      </x:c>
      <x:c r="G3463" s="34" t="str">
        <x:v>RECORDED</x:v>
      </x:c>
      <x:c r="H3463" s="38" t="n">
        <x:f>IF(ISNUMBER('Data'!I47),'Data'!I47*100,"")</x:f>
        <x:v>0</x:v>
      </x:c>
      <x:c r="I3463" s="34" t="str">
        <x:v>PASS</x:v>
      </x:c>
      <x:c r="J3463" s="34" t="str">
        <x:v>PASS</x:v>
      </x:c>
      <x:c r="K3463" s="34" t="str">
        <x:v>PASS</x:v>
      </x:c>
      <x:c r="L3463" s="34" t="str">
        <x:v>FAIL</x:v>
      </x:c>
      <x:c r="M3463" s="34" t="str">
        <x:v>numeric coverage for applicable metric</x:v>
      </x:c>
      <x:c r="N3463" s="34" t="str">
        <x:v>Feedback-Directed Random Test Generation/Result/Cli_21/result.json</x:v>
      </x:c>
      <x:c r="O3463" s="38" t="n">
        <x:f>IF(AND(G3463="RECORDED",ISNUMBER(H3463)),H3463,"")</x:f>
        <x:v>0</x:v>
      </x:c>
      <x:c r="P3463" s="34" t="str">
        <x:v>INCONCLUSIVE</x:v>
      </x:c>
      <x:c r="Q3463" s="34" t="str">
        <x:v>Feedback-Directed Random Test Generation/Result/Cli_21/result.json</x:v>
      </x:c>
    </x:row>
    <x:row r="3464">
      <x:c r="A3464" s="34" t="str">
        <x:v>randoop</x:v>
      </x:c>
      <x:c r="B3464" s="34" t="str">
        <x:v>Cli</x:v>
      </x:c>
      <x:c r="C3464" s="34" t="str">
        <x:v>Round1</x:v>
      </x:c>
      <x:c r="D3464" s="34" t="str">
        <x:v>Cli_22</x:v>
      </x:c>
      <x:c r="E3464" s="34" t="str">
        <x:v>Condition</x:v>
      </x:c>
      <x:c r="F3464" s="34" t="n">
        <x:v>38</x:v>
      </x:c>
      <x:c r="G3464" s="34" t="str">
        <x:v>RECORDED</x:v>
      </x:c>
      <x:c r="H3464" s="38" t="n">
        <x:f>IF(ISNUMBER('Data'!I48),'Data'!I48*100,"")</x:f>
        <x:v>0</x:v>
      </x:c>
      <x:c r="I3464" s="34" t="str">
        <x:v>PASS</x:v>
      </x:c>
      <x:c r="J3464" s="34" t="str">
        <x:v>PASS</x:v>
      </x:c>
      <x:c r="K3464" s="34" t="str">
        <x:v>PASS</x:v>
      </x:c>
      <x:c r="L3464" s="34" t="str">
        <x:v>FAIL</x:v>
      </x:c>
      <x:c r="M3464" s="34" t="str">
        <x:v>numeric coverage for applicable metric</x:v>
      </x:c>
      <x:c r="N3464" s="34" t="str">
        <x:v>Feedback-Directed Random Test Generation/Result/Cli_22/result.json</x:v>
      </x:c>
      <x:c r="O3464" s="38" t="n">
        <x:f>IF(AND(G3464="RECORDED",ISNUMBER(H3464)),H3464,"")</x:f>
        <x:v>0</x:v>
      </x:c>
      <x:c r="P3464" s="34" t="str">
        <x:v>INCONCLUSIVE</x:v>
      </x:c>
      <x:c r="Q3464" s="34" t="str">
        <x:v>Feedback-Directed Random Test Generation/Result/Cli_22/result.json</x:v>
      </x:c>
    </x:row>
    <x:row r="3465">
      <x:c r="A3465" s="34" t="str">
        <x:v>randoop</x:v>
      </x:c>
      <x:c r="B3465" s="34" t="str">
        <x:v>Cli</x:v>
      </x:c>
      <x:c r="C3465" s="34" t="str">
        <x:v>Round1</x:v>
      </x:c>
      <x:c r="D3465" s="34" t="str">
        <x:v>Cli_23</x:v>
      </x:c>
      <x:c r="E3465" s="34" t="str">
        <x:v>Condition</x:v>
      </x:c>
      <x:c r="F3465" s="34" t="n">
        <x:v>108</x:v>
      </x:c>
      <x:c r="G3465" s="34" t="str">
        <x:v>RECORDED</x:v>
      </x:c>
      <x:c r="H3465" s="38" t="n">
        <x:f>IF(ISNUMBER('Data'!I49),'Data'!I49*100,"")</x:f>
        <x:v>0</x:v>
      </x:c>
      <x:c r="I3465" s="34" t="str">
        <x:v>PASS</x:v>
      </x:c>
      <x:c r="J3465" s="34" t="str">
        <x:v>PASS</x:v>
      </x:c>
      <x:c r="K3465" s="34" t="str">
        <x:v>PASS</x:v>
      </x:c>
      <x:c r="L3465" s="34" t="str">
        <x:v>FAIL</x:v>
      </x:c>
      <x:c r="M3465" s="34" t="str">
        <x:v>numeric coverage for applicable metric</x:v>
      </x:c>
      <x:c r="N3465" s="34" t="str">
        <x:v>Feedback-Directed Random Test Generation/Result/Cli_23/result.json</x:v>
      </x:c>
      <x:c r="O3465" s="38" t="n">
        <x:f>IF(AND(G3465="RECORDED",ISNUMBER(H3465)),H3465,"")</x:f>
        <x:v>0</x:v>
      </x:c>
      <x:c r="P3465" s="34" t="str">
        <x:v>INCONCLUSIVE</x:v>
      </x:c>
      <x:c r="Q3465" s="34" t="str">
        <x:v>Feedback-Directed Random Test Generation/Result/Cli_23/result.json</x:v>
      </x:c>
    </x:row>
    <x:row r="3466">
      <x:c r="A3466" s="34" t="str">
        <x:v>randoop</x:v>
      </x:c>
      <x:c r="B3466" s="34" t="str">
        <x:v>Cli</x:v>
      </x:c>
      <x:c r="C3466" s="34" t="str">
        <x:v>Round1</x:v>
      </x:c>
      <x:c r="D3466" s="34" t="str">
        <x:v>Cli_24</x:v>
      </x:c>
      <x:c r="E3466" s="34" t="str">
        <x:v>Condition</x:v>
      </x:c>
      <x:c r="F3466" s="34" t="n">
        <x:v>112</x:v>
      </x:c>
      <x:c r="G3466" s="34" t="str">
        <x:v>RECORDED</x:v>
      </x:c>
      <x:c r="H3466" s="38" t="n">
        <x:f>IF(ISNUMBER('Data'!I50),'Data'!I50*100,"")</x:f>
        <x:v>0</x:v>
      </x:c>
      <x:c r="I3466" s="34" t="str">
        <x:v>PASS</x:v>
      </x:c>
      <x:c r="J3466" s="34" t="str">
        <x:v>PASS</x:v>
      </x:c>
      <x:c r="K3466" s="34" t="str">
        <x:v>PASS</x:v>
      </x:c>
      <x:c r="L3466" s="34" t="str">
        <x:v>FAIL</x:v>
      </x:c>
      <x:c r="M3466" s="34" t="str">
        <x:v>numeric coverage for applicable metric</x:v>
      </x:c>
      <x:c r="N3466" s="34" t="str">
        <x:v>Feedback-Directed Random Test Generation/Result/Cli_24/result.json</x:v>
      </x:c>
      <x:c r="O3466" s="38" t="n">
        <x:f>IF(AND(G3466="RECORDED",ISNUMBER(H3466)),H3466,"")</x:f>
        <x:v>0</x:v>
      </x:c>
      <x:c r="P3466" s="34" t="str">
        <x:v>INCONCLUSIVE</x:v>
      </x:c>
      <x:c r="Q3466" s="34" t="str">
        <x:v>Feedback-Directed Random Test Generation/Result/Cli_24/result.json</x:v>
      </x:c>
    </x:row>
    <x:row r="3467">
      <x:c r="A3467" s="34" t="str">
        <x:v>randoop</x:v>
      </x:c>
      <x:c r="B3467" s="34" t="str">
        <x:v>Cli</x:v>
      </x:c>
      <x:c r="C3467" s="34" t="str">
        <x:v>Round1</x:v>
      </x:c>
      <x:c r="D3467" s="34" t="str">
        <x:v>Cli_25</x:v>
      </x:c>
      <x:c r="E3467" s="34" t="str">
        <x:v>Condition</x:v>
      </x:c>
      <x:c r="F3467" s="34" t="n">
        <x:v>112</x:v>
      </x:c>
      <x:c r="G3467" s="34" t="str">
        <x:v>RECORDED</x:v>
      </x:c>
      <x:c r="H3467" s="38" t="n">
        <x:f>IF(ISNUMBER('Data'!I51),'Data'!I51*100,"")</x:f>
        <x:v>0</x:v>
      </x:c>
      <x:c r="I3467" s="34" t="str">
        <x:v>PASS</x:v>
      </x:c>
      <x:c r="J3467" s="34" t="str">
        <x:v>PASS</x:v>
      </x:c>
      <x:c r="K3467" s="34" t="str">
        <x:v>PASS</x:v>
      </x:c>
      <x:c r="L3467" s="34" t="str">
        <x:v>FAIL</x:v>
      </x:c>
      <x:c r="M3467" s="34" t="str">
        <x:v>numeric coverage for applicable metric</x:v>
      </x:c>
      <x:c r="N3467" s="34" t="str">
        <x:v>Feedback-Directed Random Test Generation/Result/Cli_25/result.json</x:v>
      </x:c>
      <x:c r="O3467" s="38" t="n">
        <x:f>IF(AND(G3467="RECORDED",ISNUMBER(H3467)),H3467,"")</x:f>
        <x:v>0</x:v>
      </x:c>
      <x:c r="P3467" s="34" t="str">
        <x:v>INCONCLUSIVE</x:v>
      </x:c>
      <x:c r="Q3467" s="34" t="str">
        <x:v>Feedback-Directed Random Test Generation/Result/Cli_25/result.json</x:v>
      </x:c>
    </x:row>
    <x:row r="3468">
      <x:c r="A3468" s="34" t="str">
        <x:v>randoop</x:v>
      </x:c>
      <x:c r="B3468" s="34" t="str">
        <x:v>Cli</x:v>
      </x:c>
      <x:c r="C3468" s="34" t="str">
        <x:v>Round1</x:v>
      </x:c>
      <x:c r="D3468" s="34" t="str">
        <x:v>Cli_26</x:v>
      </x:c>
      <x:c r="E3468" s="34" t="str">
        <x:v>Condition</x:v>
      </x:c>
      <x:c r="F3468" s="34" t="n">
        <x:v>4</x:v>
      </x:c>
      <x:c r="G3468" s="34" t="str">
        <x:v>RECORDED</x:v>
      </x:c>
      <x:c r="H3468" s="38" t="n">
        <x:f>IF(ISNUMBER('Data'!I52),'Data'!I52*100,"")</x:f>
        <x:v>0</x:v>
      </x:c>
      <x:c r="I3468" s="34" t="str">
        <x:v>PASS</x:v>
      </x:c>
      <x:c r="J3468" s="34" t="str">
        <x:v>PASS</x:v>
      </x:c>
      <x:c r="K3468" s="34" t="str">
        <x:v>PASS</x:v>
      </x:c>
      <x:c r="L3468" s="34" t="str">
        <x:v>FAIL</x:v>
      </x:c>
      <x:c r="M3468" s="34" t="str">
        <x:v>numeric coverage for applicable metric</x:v>
      </x:c>
      <x:c r="N3468" s="34" t="str">
        <x:v>Feedback-Directed Random Test Generation/Result/Cli_26/result.json</x:v>
      </x:c>
      <x:c r="O3468" s="38" t="n">
        <x:f>IF(AND(G3468="RECORDED",ISNUMBER(H3468)),H3468,"")</x:f>
        <x:v>0</x:v>
      </x:c>
      <x:c r="P3468" s="34" t="str">
        <x:v>INCONCLUSIVE</x:v>
      </x:c>
      <x:c r="Q3468" s="34" t="str">
        <x:v>Feedback-Directed Random Test Generation/Result/Cli_26/result.json</x:v>
      </x:c>
    </x:row>
    <x:row r="3469">
      <x:c r="A3469" s="34" t="str">
        <x:v>randoop</x:v>
      </x:c>
      <x:c r="B3469" s="34" t="str">
        <x:v>Cli</x:v>
      </x:c>
      <x:c r="C3469" s="34" t="str">
        <x:v>Round1</x:v>
      </x:c>
      <x:c r="D3469" s="34" t="str">
        <x:v>Cli_27</x:v>
      </x:c>
      <x:c r="E3469" s="34" t="str">
        <x:v>Condition</x:v>
      </x:c>
      <x:c r="F3469" s="34" t="n">
        <x:v>12</x:v>
      </x:c>
      <x:c r="G3469" s="34" t="str">
        <x:v>RECORDED</x:v>
      </x:c>
      <x:c r="H3469" s="38" t="n">
        <x:f>IF(ISNUMBER('Data'!I53),'Data'!I53*100,"")</x:f>
        <x:v>0</x:v>
      </x:c>
      <x:c r="I3469" s="34" t="str">
        <x:v>PASS</x:v>
      </x:c>
      <x:c r="J3469" s="34" t="str">
        <x:v>PASS</x:v>
      </x:c>
      <x:c r="K3469" s="34" t="str">
        <x:v>PASS</x:v>
      </x:c>
      <x:c r="L3469" s="34" t="str">
        <x:v>FAIL</x:v>
      </x:c>
      <x:c r="M3469" s="34" t="str">
        <x:v>numeric coverage for applicable metric</x:v>
      </x:c>
      <x:c r="N3469" s="34" t="str">
        <x:v>Feedback-Directed Random Test Generation/Result/Cli_27/result.json</x:v>
      </x:c>
      <x:c r="O3469" s="38" t="n">
        <x:f>IF(AND(G3469="RECORDED",ISNUMBER(H3469)),H3469,"")</x:f>
        <x:v>0</x:v>
      </x:c>
      <x:c r="P3469" s="34" t="str">
        <x:v>INCONCLUSIVE</x:v>
      </x:c>
      <x:c r="Q3469" s="34" t="str">
        <x:v>Feedback-Directed Random Test Generation/Result/Cli_27/result.json</x:v>
      </x:c>
    </x:row>
    <x:row r="3470">
      <x:c r="A3470" s="34" t="str">
        <x:v>randoop</x:v>
      </x:c>
      <x:c r="B3470" s="34" t="str">
        <x:v>Cli</x:v>
      </x:c>
      <x:c r="C3470" s="34" t="str">
        <x:v>Round1</x:v>
      </x:c>
      <x:c r="D3470" s="34" t="str">
        <x:v>Cli_28</x:v>
      </x:c>
      <x:c r="E3470" s="34" t="str">
        <x:v>Condition</x:v>
      </x:c>
      <x:c r="F3470" s="34" t="n">
        <x:v>68</x:v>
      </x:c>
      <x:c r="G3470" s="34" t="str">
        <x:v>RECORDED</x:v>
      </x:c>
      <x:c r="H3470" s="38" t="n">
        <x:f>IF(ISNUMBER('Data'!I54),'Data'!I54*100,"")</x:f>
        <x:v>0</x:v>
      </x:c>
      <x:c r="I3470" s="34" t="str">
        <x:v>PASS</x:v>
      </x:c>
      <x:c r="J3470" s="34" t="str">
        <x:v>PASS</x:v>
      </x:c>
      <x:c r="K3470" s="34" t="str">
        <x:v>PASS</x:v>
      </x:c>
      <x:c r="L3470" s="34" t="str">
        <x:v>FAIL</x:v>
      </x:c>
      <x:c r="M3470" s="34" t="str">
        <x:v>numeric coverage for applicable metric</x:v>
      </x:c>
      <x:c r="N3470" s="34" t="str">
        <x:v>Feedback-Directed Random Test Generation/Result/Cli_28/result.json</x:v>
      </x:c>
      <x:c r="O3470" s="38" t="n">
        <x:f>IF(AND(G3470="RECORDED",ISNUMBER(H3470)),H3470,"")</x:f>
        <x:v>0</x:v>
      </x:c>
      <x:c r="P3470" s="34" t="str">
        <x:v>INCONCLUSIVE</x:v>
      </x:c>
      <x:c r="Q3470" s="34" t="str">
        <x:v>Feedback-Directed Random Test Generation/Result/Cli_28/result.json</x:v>
      </x:c>
    </x:row>
    <x:row r="3471">
      <x:c r="A3471" s="34" t="str">
        <x:v>randoop</x:v>
      </x:c>
      <x:c r="B3471" s="34" t="str">
        <x:v>Cli</x:v>
      </x:c>
      <x:c r="C3471" s="34" t="str">
        <x:v>Round1</x:v>
      </x:c>
      <x:c r="D3471" s="34" t="str">
        <x:v>Cli_29</x:v>
      </x:c>
      <x:c r="E3471" s="34" t="str">
        <x:v>Condition</x:v>
      </x:c>
      <x:c r="F3471" s="34" t="n">
        <x:v>10</x:v>
      </x:c>
      <x:c r="G3471" s="34" t="str">
        <x:v>RECORDED</x:v>
      </x:c>
      <x:c r="H3471" s="38" t="n">
        <x:f>IF(ISNUMBER('Data'!I55),'Data'!I55*100,"")</x:f>
        <x:v>0</x:v>
      </x:c>
      <x:c r="I3471" s="34" t="str">
        <x:v>PASS</x:v>
      </x:c>
      <x:c r="J3471" s="34" t="str">
        <x:v>PASS</x:v>
      </x:c>
      <x:c r="K3471" s="34" t="str">
        <x:v>PASS</x:v>
      </x:c>
      <x:c r="L3471" s="34" t="str">
        <x:v>FAIL</x:v>
      </x:c>
      <x:c r="M3471" s="34" t="str">
        <x:v>numeric coverage for applicable metric</x:v>
      </x:c>
      <x:c r="N3471" s="34" t="str">
        <x:v>Feedback-Directed Random Test Generation/Result/Cli_29/result.json</x:v>
      </x:c>
      <x:c r="O3471" s="38" t="n">
        <x:f>IF(AND(G3471="RECORDED",ISNUMBER(H3471)),H3471,"")</x:f>
        <x:v>0</x:v>
      </x:c>
      <x:c r="P3471" s="34" t="str">
        <x:v>INCONCLUSIVE</x:v>
      </x:c>
      <x:c r="Q3471" s="34" t="str">
        <x:v>Feedback-Directed Random Test Generation/Result/Cli_29/result.json</x:v>
      </x:c>
    </x:row>
    <x:row r="3472">
      <x:c r="A3472" s="34" t="str">
        <x:v>randoop</x:v>
      </x:c>
      <x:c r="B3472" s="34" t="str">
        <x:v>Cli</x:v>
      </x:c>
      <x:c r="C3472" s="34" t="str">
        <x:v>Round1</x:v>
      </x:c>
      <x:c r="D3472" s="34" t="str">
        <x:v>Cli_30</x:v>
      </x:c>
      <x:c r="E3472" s="34" t="str">
        <x:v>Condition</x:v>
      </x:c>
      <x:c r="F3472" s="34" t="n">
        <x:v>218</x:v>
      </x:c>
      <x:c r="G3472" s="34" t="str">
        <x:v>RECORDED</x:v>
      </x:c>
      <x:c r="H3472" s="38" t="n">
        <x:f>IF(ISNUMBER('Data'!I56),'Data'!I56*100,"")</x:f>
        <x:v>0</x:v>
      </x:c>
      <x:c r="I3472" s="34" t="str">
        <x:v>PASS</x:v>
      </x:c>
      <x:c r="J3472" s="34" t="str">
        <x:v>PASS</x:v>
      </x:c>
      <x:c r="K3472" s="34" t="str">
        <x:v>PASS</x:v>
      </x:c>
      <x:c r="L3472" s="34" t="str">
        <x:v>FAIL</x:v>
      </x:c>
      <x:c r="M3472" s="34" t="str">
        <x:v>numeric coverage for applicable metric</x:v>
      </x:c>
      <x:c r="N3472" s="34" t="str">
        <x:v>Feedback-Directed Random Test Generation/Result/Cli_30/result.json</x:v>
      </x:c>
      <x:c r="O3472" s="38" t="n">
        <x:f>IF(AND(G3472="RECORDED",ISNUMBER(H3472)),H3472,"")</x:f>
        <x:v>0</x:v>
      </x:c>
      <x:c r="P3472" s="34" t="str">
        <x:v>INCONCLUSIVE</x:v>
      </x:c>
      <x:c r="Q3472" s="34" t="str">
        <x:v>Feedback-Directed Random Test Generation/Result/Cli_30/result.json</x:v>
      </x:c>
    </x:row>
    <x:row r="3473">
      <x:c r="A3473" s="34" t="str">
        <x:v>randoop</x:v>
      </x:c>
      <x:c r="B3473" s="34" t="str">
        <x:v>Cli</x:v>
      </x:c>
      <x:c r="C3473" s="34" t="str">
        <x:v>Round1</x:v>
      </x:c>
      <x:c r="D3473" s="34" t="str">
        <x:v>Cli_31</x:v>
      </x:c>
      <x:c r="E3473" s="34" t="str">
        <x:v>Condition</x:v>
      </x:c>
      <x:c r="F3473" s="34" t="n">
        <x:v>208</x:v>
      </x:c>
      <x:c r="G3473" s="34" t="str">
        <x:v>RECORDED</x:v>
      </x:c>
      <x:c r="H3473" s="38" t="n">
        <x:f>IF(ISNUMBER('Data'!I57),'Data'!I57*100,"")</x:f>
        <x:v>0</x:v>
      </x:c>
      <x:c r="I3473" s="34" t="str">
        <x:v>PASS</x:v>
      </x:c>
      <x:c r="J3473" s="34" t="str">
        <x:v>PASS</x:v>
      </x:c>
      <x:c r="K3473" s="34" t="str">
        <x:v>PASS</x:v>
      </x:c>
      <x:c r="L3473" s="34" t="str">
        <x:v>FAIL</x:v>
      </x:c>
      <x:c r="M3473" s="34" t="str">
        <x:v>numeric coverage for applicable metric</x:v>
      </x:c>
      <x:c r="N3473" s="34" t="str">
        <x:v>Feedback-Directed Random Test Generation/Result/Cli_31/result.json</x:v>
      </x:c>
      <x:c r="O3473" s="38" t="n">
        <x:f>IF(AND(G3473="RECORDED",ISNUMBER(H3473)),H3473,"")</x:f>
        <x:v>0</x:v>
      </x:c>
      <x:c r="P3473" s="34" t="str">
        <x:v>INCONCLUSIVE</x:v>
      </x:c>
      <x:c r="Q3473" s="34" t="str">
        <x:v>Feedback-Directed Random Test Generation/Result/Cli_31/result.json</x:v>
      </x:c>
    </x:row>
    <x:row r="3474">
      <x:c r="A3474" s="34" t="str">
        <x:v>randoop</x:v>
      </x:c>
      <x:c r="B3474" s="34" t="str">
        <x:v>Cli</x:v>
      </x:c>
      <x:c r="C3474" s="34" t="str">
        <x:v>Round1</x:v>
      </x:c>
      <x:c r="D3474" s="34" t="str">
        <x:v>Cli_32</x:v>
      </x:c>
      <x:c r="E3474" s="34" t="str">
        <x:v>Condition</x:v>
      </x:c>
      <x:c r="F3474" s="34" t="n">
        <x:v>122</x:v>
      </x:c>
      <x:c r="G3474" s="34" t="str">
        <x:v>RECORDED</x:v>
      </x:c>
      <x:c r="H3474" s="38" t="n">
        <x:f>IF(ISNUMBER('Data'!I58),'Data'!I58*100,"")</x:f>
        <x:v>0</x:v>
      </x:c>
      <x:c r="I3474" s="34" t="str">
        <x:v>PASS</x:v>
      </x:c>
      <x:c r="J3474" s="34" t="str">
        <x:v>PASS</x:v>
      </x:c>
      <x:c r="K3474" s="34" t="str">
        <x:v>PASS</x:v>
      </x:c>
      <x:c r="L3474" s="34" t="str">
        <x:v>FAIL</x:v>
      </x:c>
      <x:c r="M3474" s="34" t="str">
        <x:v>numeric coverage for applicable metric</x:v>
      </x:c>
      <x:c r="N3474" s="34" t="str">
        <x:v>Feedback-Directed Random Test Generation/Result/Cli_32/result.json</x:v>
      </x:c>
      <x:c r="O3474" s="38" t="n">
        <x:f>IF(AND(G3474="RECORDED",ISNUMBER(H3474)),H3474,"")</x:f>
        <x:v>0</x:v>
      </x:c>
      <x:c r="P3474" s="34" t="str">
        <x:v>INCONCLUSIVE</x:v>
      </x:c>
      <x:c r="Q3474" s="34" t="str">
        <x:v>Feedback-Directed Random Test Generation/Result/Cli_32/result.json</x:v>
      </x:c>
    </x:row>
    <x:row r="3475">
      <x:c r="A3475" s="34" t="str">
        <x:v>randoop</x:v>
      </x:c>
      <x:c r="B3475" s="34" t="str">
        <x:v>Cli</x:v>
      </x:c>
      <x:c r="C3475" s="34" t="str">
        <x:v>Round1</x:v>
      </x:c>
      <x:c r="D3475" s="34" t="str">
        <x:v>Cli_33</x:v>
      </x:c>
      <x:c r="E3475" s="34" t="str">
        <x:v>Condition</x:v>
      </x:c>
      <x:c r="F3475" s="34" t="n">
        <x:v>114</x:v>
      </x:c>
      <x:c r="G3475" s="34" t="str">
        <x:v>RECORDED</x:v>
      </x:c>
      <x:c r="H3475" s="38" t="n">
        <x:f>IF(ISNUMBER('Data'!I59),'Data'!I59*100,"")</x:f>
        <x:v>0</x:v>
      </x:c>
      <x:c r="I3475" s="34" t="str">
        <x:v>PASS</x:v>
      </x:c>
      <x:c r="J3475" s="34" t="str">
        <x:v>PASS</x:v>
      </x:c>
      <x:c r="K3475" s="34" t="str">
        <x:v>PASS</x:v>
      </x:c>
      <x:c r="L3475" s="34" t="str">
        <x:v>FAIL</x:v>
      </x:c>
      <x:c r="M3475" s="34" t="str">
        <x:v>numeric coverage for applicable metric</x:v>
      </x:c>
      <x:c r="N3475" s="34" t="str">
        <x:v>Feedback-Directed Random Test Generation/Result/Cli_33/result.json</x:v>
      </x:c>
      <x:c r="O3475" s="38" t="n">
        <x:f>IF(AND(G3475="RECORDED",ISNUMBER(H3475)),H3475,"")</x:f>
        <x:v>0</x:v>
      </x:c>
      <x:c r="P3475" s="34" t="str">
        <x:v>INCONCLUSIVE</x:v>
      </x:c>
      <x:c r="Q3475" s="34" t="str">
        <x:v>Feedback-Directed Random Test Generation/Result/Cli_33/result.json</x:v>
      </x:c>
    </x:row>
    <x:row r="3476">
      <x:c r="A3476" s="34" t="str">
        <x:v>randoop</x:v>
      </x:c>
      <x:c r="B3476" s="34" t="str">
        <x:v>Cli</x:v>
      </x:c>
      <x:c r="C3476" s="34" t="str">
        <x:v>Round1</x:v>
      </x:c>
      <x:c r="D3476" s="34" t="str">
        <x:v>Cli_34</x:v>
      </x:c>
      <x:c r="E3476" s="34" t="str">
        <x:v>Condition</x:v>
      </x:c>
      <x:c r="F3476" s="34" t="n">
        <x:v>88</x:v>
      </x:c>
      <x:c r="G3476" s="34" t="str">
        <x:v>RECORDED</x:v>
      </x:c>
      <x:c r="H3476" s="38" t="n">
        <x:f>IF(ISNUMBER('Data'!I60),'Data'!I60*100,"")</x:f>
        <x:v>0</x:v>
      </x:c>
      <x:c r="I3476" s="34" t="str">
        <x:v>PASS</x:v>
      </x:c>
      <x:c r="J3476" s="34" t="str">
        <x:v>PASS</x:v>
      </x:c>
      <x:c r="K3476" s="34" t="str">
        <x:v>PASS</x:v>
      </x:c>
      <x:c r="L3476" s="34" t="str">
        <x:v>FAIL</x:v>
      </x:c>
      <x:c r="M3476" s="34" t="str">
        <x:v>numeric coverage for applicable metric</x:v>
      </x:c>
      <x:c r="N3476" s="34" t="str">
        <x:v>Feedback-Directed Random Test Generation/Result/Cli_34/result.json</x:v>
      </x:c>
      <x:c r="O3476" s="38" t="n">
        <x:f>IF(AND(G3476="RECORDED",ISNUMBER(H3476)),H3476,"")</x:f>
        <x:v>0</x:v>
      </x:c>
      <x:c r="P3476" s="34" t="str">
        <x:v>INCONCLUSIVE</x:v>
      </x:c>
      <x:c r="Q3476" s="34" t="str">
        <x:v>Feedback-Directed Random Test Generation/Result/Cli_34/result.json</x:v>
      </x:c>
    </x:row>
    <x:row r="3477">
      <x:c r="A3477" s="34" t="str">
        <x:v>randoop</x:v>
      </x:c>
      <x:c r="B3477" s="34" t="str">
        <x:v>Cli</x:v>
      </x:c>
      <x:c r="C3477" s="34" t="str">
        <x:v>Round1</x:v>
      </x:c>
      <x:c r="D3477" s="34" t="str">
        <x:v>Cli_35</x:v>
      </x:c>
      <x:c r="E3477" s="34" t="str">
        <x:v>Condition</x:v>
      </x:c>
      <x:c r="F3477" s="34" t="n">
        <x:v>20</x:v>
      </x:c>
      <x:c r="G3477" s="34" t="str">
        <x:v>RECORDED</x:v>
      </x:c>
      <x:c r="H3477" s="38" t="n">
        <x:f>IF(ISNUMBER('Data'!I61),'Data'!I61*100,"")</x:f>
        <x:v>65</x:v>
      </x:c>
      <x:c r="I3477" s="34" t="str">
        <x:v>PASS</x:v>
      </x:c>
      <x:c r="J3477" s="34" t="str">
        <x:v>PASS</x:v>
      </x:c>
      <x:c r="K3477" s="34" t="str">
        <x:v>PASS</x:v>
      </x:c>
      <x:c r="L3477" s="34" t="str">
        <x:v>PASS</x:v>
      </x:c>
      <x:c r="M3477" s="34" t="str">
        <x:v>numeric coverage for applicable metric</x:v>
      </x:c>
      <x:c r="N3477" s="34" t="str">
        <x:v>Feedback-Directed Random Test Generation/Result/Cli_35/result.json</x:v>
      </x:c>
      <x:c r="O3477" s="38" t="n">
        <x:f>IF(AND(G3477="RECORDED",ISNUMBER(H3477)),H3477,"")</x:f>
        <x:v>65</x:v>
      </x:c>
      <x:c r="P3477" s="34" t="str">
        <x:v>NOT_REVEALING</x:v>
      </x:c>
      <x:c r="Q3477" s="34" t="str">
        <x:v>Feedback-Directed Random Test Generation/Result/Cli_35/result.json</x:v>
      </x:c>
    </x:row>
    <x:row r="3478">
      <x:c r="A3478" s="34" t="str">
        <x:v>randoop</x:v>
      </x:c>
      <x:c r="B3478" s="34" t="str">
        <x:v>Cli</x:v>
      </x:c>
      <x:c r="C3478" s="34" t="str">
        <x:v>Round1</x:v>
      </x:c>
      <x:c r="D3478" s="34" t="str">
        <x:v>Cli_36</x:v>
      </x:c>
      <x:c r="E3478" s="34" t="str">
        <x:v>Condition</x:v>
      </x:c>
      <x:c r="F3478" s="34" t="n">
        <x:v>36</x:v>
      </x:c>
      <x:c r="G3478" s="34" t="str">
        <x:v>RECORDED</x:v>
      </x:c>
      <x:c r="H3478" s="38" t="n">
        <x:f>IF(ISNUMBER('Data'!I62),'Data'!I62*100,"")</x:f>
        <x:v>80.56</x:v>
      </x:c>
      <x:c r="I3478" s="34" t="str">
        <x:v>PASS</x:v>
      </x:c>
      <x:c r="J3478" s="34" t="str">
        <x:v>PASS</x:v>
      </x:c>
      <x:c r="K3478" s="34" t="str">
        <x:v>PASS</x:v>
      </x:c>
      <x:c r="L3478" s="34" t="str">
        <x:v>PASS</x:v>
      </x:c>
      <x:c r="M3478" s="34" t="str">
        <x:v>numeric coverage for applicable metric</x:v>
      </x:c>
      <x:c r="N3478" s="34" t="str">
        <x:v>Feedback-Directed Random Test Generation/Result/Cli_36/result.json</x:v>
      </x:c>
      <x:c r="O3478" s="38" t="n">
        <x:f>IF(AND(G3478="RECORDED",ISNUMBER(H3478)),H3478,"")</x:f>
        <x:v>80.56</x:v>
      </x:c>
      <x:c r="P3478" s="34" t="str">
        <x:v>NOT_REVEALING</x:v>
      </x:c>
      <x:c r="Q3478" s="34" t="str">
        <x:v>Feedback-Directed Random Test Generation/Result/Cli_36/result.json</x:v>
      </x:c>
    </x:row>
    <x:row r="3479">
      <x:c r="A3479" s="34" t="str">
        <x:v>randoop</x:v>
      </x:c>
      <x:c r="B3479" s="34" t="str">
        <x:v>Cli</x:v>
      </x:c>
      <x:c r="C3479" s="34" t="str">
        <x:v>Round1</x:v>
      </x:c>
      <x:c r="D3479" s="34" t="str">
        <x:v>Cli_37</x:v>
      </x:c>
      <x:c r="E3479" s="34" t="str">
        <x:v>Condition</x:v>
      </x:c>
      <x:c r="F3479" s="34" t="n">
        <x:v>158</x:v>
      </x:c>
      <x:c r="G3479" s="34" t="str">
        <x:v>RECORDED</x:v>
      </x:c>
      <x:c r="H3479" s="38" t="n">
        <x:f>IF(ISNUMBER('Data'!I63),'Data'!I63*100,"")</x:f>
        <x:v>1.27</x:v>
      </x:c>
      <x:c r="I3479" s="34" t="str">
        <x:v>PASS</x:v>
      </x:c>
      <x:c r="J3479" s="34" t="str">
        <x:v>PASS</x:v>
      </x:c>
      <x:c r="K3479" s="34" t="str">
        <x:v>PASS</x:v>
      </x:c>
      <x:c r="L3479" s="34" t="str">
        <x:v>FAIL</x:v>
      </x:c>
      <x:c r="M3479" s="34" t="str">
        <x:v>numeric coverage for applicable metric</x:v>
      </x:c>
      <x:c r="N3479" s="34" t="str">
        <x:v>Feedback-Directed Random Test Generation/Result/Cli_37/result.json</x:v>
      </x:c>
      <x:c r="O3479" s="38" t="n">
        <x:f>IF(AND(G3479="RECORDED",ISNUMBER(H3479)),H3479,"")</x:f>
        <x:v>1.27</x:v>
      </x:c>
      <x:c r="P3479" s="34" t="str">
        <x:v>INCONCLUSIVE</x:v>
      </x:c>
      <x:c r="Q3479" s="34" t="str">
        <x:v>Feedback-Directed Random Test Generation/Result/Cli_37/result.json</x:v>
      </x:c>
    </x:row>
    <x:row r="3480">
      <x:c r="A3480" s="34" t="str">
        <x:v>randoop</x:v>
      </x:c>
      <x:c r="B3480" s="34" t="str">
        <x:v>Cli</x:v>
      </x:c>
      <x:c r="C3480" s="34" t="str">
        <x:v>Round1</x:v>
      </x:c>
      <x:c r="D3480" s="34" t="str">
        <x:v>Cli_38</x:v>
      </x:c>
      <x:c r="E3480" s="34" t="str">
        <x:v>Condition</x:v>
      </x:c>
      <x:c r="F3480" s="34" t="n">
        <x:v>158</x:v>
      </x:c>
      <x:c r="G3480" s="34" t="str">
        <x:v>RECORDED</x:v>
      </x:c>
      <x:c r="H3480" s="38" t="n">
        <x:f>IF(ISNUMBER('Data'!I64),'Data'!I64*100,"")</x:f>
        <x:v>1.27</x:v>
      </x:c>
      <x:c r="I3480" s="34" t="str">
        <x:v>PASS</x:v>
      </x:c>
      <x:c r="J3480" s="34" t="str">
        <x:v>PASS</x:v>
      </x:c>
      <x:c r="K3480" s="34" t="str">
        <x:v>PASS</x:v>
      </x:c>
      <x:c r="L3480" s="34" t="str">
        <x:v>FAIL</x:v>
      </x:c>
      <x:c r="M3480" s="34" t="str">
        <x:v>numeric coverage for applicable metric</x:v>
      </x:c>
      <x:c r="N3480" s="34" t="str">
        <x:v>Feedback-Directed Random Test Generation/Result/Cli_38/result.json</x:v>
      </x:c>
      <x:c r="O3480" s="38" t="n">
        <x:f>IF(AND(G3480="RECORDED",ISNUMBER(H3480)),H3480,"")</x:f>
        <x:v>1.27</x:v>
      </x:c>
      <x:c r="P3480" s="34" t="str">
        <x:v>INCONCLUSIVE</x:v>
      </x:c>
      <x:c r="Q3480" s="34" t="str">
        <x:v>Feedback-Directed Random Test Generation/Result/Cli_38/result.json</x:v>
      </x:c>
    </x:row>
    <x:row r="3481">
      <x:c r="A3481" s="34" t="str">
        <x:v>randoop</x:v>
      </x:c>
      <x:c r="B3481" s="34" t="str">
        <x:v>Cli</x:v>
      </x:c>
      <x:c r="C3481" s="34" t="str">
        <x:v>Round1</x:v>
      </x:c>
      <x:c r="D3481" s="34" t="str">
        <x:v>Cli_39</x:v>
      </x:c>
      <x:c r="E3481" s="34" t="str">
        <x:v>Condition</x:v>
      </x:c>
      <x:c r="F3481" s="34" t="n">
        <x:v>20</x:v>
      </x:c>
      <x:c r="G3481" s="34" t="str">
        <x:v>RECORDED</x:v>
      </x:c>
      <x:c r="H3481" s="38" t="n">
        <x:f>IF(ISNUMBER('Data'!I65),'Data'!I65*100,"")</x:f>
        <x:v>55.00000000000001</x:v>
      </x:c>
      <x:c r="I3481" s="34" t="str">
        <x:v>PASS</x:v>
      </x:c>
      <x:c r="J3481" s="34" t="str">
        <x:v>PASS</x:v>
      </x:c>
      <x:c r="K3481" s="34" t="str">
        <x:v>PASS</x:v>
      </x:c>
      <x:c r="L3481" s="34" t="str">
        <x:v>PASS</x:v>
      </x:c>
      <x:c r="M3481" s="34" t="str">
        <x:v>numeric coverage for applicable metric</x:v>
      </x:c>
      <x:c r="N3481" s="34" t="str">
        <x:v>Feedback-Directed Random Test Generation/Result/Cli_39/result.json</x:v>
      </x:c>
      <x:c r="O3481" s="38" t="n">
        <x:f>IF(AND(G3481="RECORDED",ISNUMBER(H3481)),H3481,"")</x:f>
        <x:v>55.00000000000001</x:v>
      </x:c>
      <x:c r="P3481" s="34" t="str">
        <x:v>NOT_REVEALING</x:v>
      </x:c>
      <x:c r="Q3481" s="34" t="str">
        <x:v>Feedback-Directed Random Test Generation/Result/Cli_39/result.json</x:v>
      </x:c>
    </x:row>
    <x:row r="3482">
      <x:c r="A3482" s="34" t="str">
        <x:v>randoop</x:v>
      </x:c>
      <x:c r="B3482" s="34" t="str">
        <x:v>Cli</x:v>
      </x:c>
      <x:c r="C3482" s="34" t="str">
        <x:v>Round1</x:v>
      </x:c>
      <x:c r="D3482" s="34" t="str">
        <x:v>Cli_40</x:v>
      </x:c>
      <x:c r="E3482" s="34" t="str">
        <x:v>Condition</x:v>
      </x:c>
      <x:c r="F3482" s="34" t="n">
        <x:v>20</x:v>
      </x:c>
      <x:c r="G3482" s="34" t="str">
        <x:v>RECORDED</x:v>
      </x:c>
      <x:c r="H3482" s="38" t="n">
        <x:f>IF(ISNUMBER('Data'!I66),'Data'!I66*100,"")</x:f>
        <x:v>60</x:v>
      </x:c>
      <x:c r="I3482" s="34" t="str">
        <x:v>PASS</x:v>
      </x:c>
      <x:c r="J3482" s="34" t="str">
        <x:v>PASS</x:v>
      </x:c>
      <x:c r="K3482" s="34" t="str">
        <x:v>PASS</x:v>
      </x:c>
      <x:c r="L3482" s="34" t="str">
        <x:v>PASS</x:v>
      </x:c>
      <x:c r="M3482" s="34" t="str">
        <x:v>numeric coverage for applicable metric</x:v>
      </x:c>
      <x:c r="N3482" s="34" t="str">
        <x:v>Feedback-Directed Random Test Generation/Result/Cli_40/result.json</x:v>
      </x:c>
      <x:c r="O3482" s="38" t="n">
        <x:f>IF(AND(G3482="RECORDED",ISNUMBER(H3482)),H3482,"")</x:f>
        <x:v>60</x:v>
      </x:c>
      <x:c r="P3482" s="34" t="str">
        <x:v>INCONCLUSIVE</x:v>
      </x:c>
      <x:c r="Q3482" s="34" t="str">
        <x:v>Feedback-Directed Random Test Generation/Result/Cli_40/result.json</x:v>
      </x:c>
    </x:row>
    <x:row r="3483">
      <x:c r="A3483" s="34" t="str">
        <x:v>randoop</x:v>
      </x:c>
      <x:c r="B3483" s="34" t="str">
        <x:v>Closure</x:v>
      </x:c>
      <x:c r="C3483" s="34" t="str">
        <x:v>Round1</x:v>
      </x:c>
      <x:c r="D3483" s="34" t="str">
        <x:v>Closure_1</x:v>
      </x:c>
      <x:c r="E3483" s="34" t="str">
        <x:v>Condition</x:v>
      </x:c>
      <x:c r="F3483" s="34" t="n">
        <x:v>285</x:v>
      </x:c>
      <x:c r="G3483" s="34" t="str">
        <x:v>RECORDED</x:v>
      </x:c>
      <x:c r="H3483" s="38" t="n">
        <x:f>IF(ISNUMBER('Data'!I67),'Data'!I67*100,"")</x:f>
        <x:v>0</x:v>
      </x:c>
      <x:c r="I3483" s="34" t="str">
        <x:v>PASS</x:v>
      </x:c>
      <x:c r="J3483" s="34" t="str">
        <x:v>PASS</x:v>
      </x:c>
      <x:c r="K3483" s="34" t="str">
        <x:v>PASS</x:v>
      </x:c>
      <x:c r="L3483" s="34" t="str">
        <x:v>PASS</x:v>
      </x:c>
      <x:c r="M3483" s="34" t="str">
        <x:v>numeric coverage for applicable metric</x:v>
      </x:c>
      <x:c r="N3483" s="34" t="str">
        <x:v>Feedback-Directed Random Test Generation/Result/Closure_1/result.json</x:v>
      </x:c>
      <x:c r="O3483" s="38" t="n">
        <x:f>IF(AND(G3483="RECORDED",ISNUMBER(H3483)),H3483,"")</x:f>
        <x:v>0</x:v>
      </x:c>
      <x:c r="P3483" s="34" t="str">
        <x:v>NOT_REVEALING</x:v>
      </x:c>
      <x:c r="Q3483" s="34" t="str">
        <x:v>Feedback-Directed Random Test Generation/Result/Closure_1/result.json</x:v>
      </x:c>
    </x:row>
    <x:row r="3484">
      <x:c r="A3484" s="34" t="str">
        <x:v>randoop</x:v>
      </x:c>
      <x:c r="B3484" s="34" t="str">
        <x:v>Closure</x:v>
      </x:c>
      <x:c r="C3484" s="34" t="str">
        <x:v>Round1</x:v>
      </x:c>
      <x:c r="D3484" s="34" t="str">
        <x:v>Closure_2</x:v>
      </x:c>
      <x:c r="E3484" s="34" t="str">
        <x:v>Condition</x:v>
      </x:c>
      <x:c r="F3484" s="34" t="n">
        <x:v>574</x:v>
      </x:c>
      <x:c r="G3484" s="34" t="str">
        <x:v>RECORDED</x:v>
      </x:c>
      <x:c r="H3484" s="38" t="n">
        <x:f>IF(ISNUMBER('Data'!I68),'Data'!I68*100,"")</x:f>
        <x:v>0</x:v>
      </x:c>
      <x:c r="I3484" s="34" t="str">
        <x:v>PASS</x:v>
      </x:c>
      <x:c r="J3484" s="34" t="str">
        <x:v>PASS</x:v>
      </x:c>
      <x:c r="K3484" s="34" t="str">
        <x:v>PASS</x:v>
      </x:c>
      <x:c r="L3484" s="34" t="str">
        <x:v>PASS</x:v>
      </x:c>
      <x:c r="M3484" s="34" t="str">
        <x:v>numeric coverage for applicable metric</x:v>
      </x:c>
      <x:c r="N3484" s="34" t="str">
        <x:v>Feedback-Directed Random Test Generation/Result/Closure_2/result.json</x:v>
      </x:c>
      <x:c r="O3484" s="38" t="n">
        <x:f>IF(AND(G3484="RECORDED",ISNUMBER(H3484)),H3484,"")</x:f>
        <x:v>0</x:v>
      </x:c>
      <x:c r="P3484" s="34" t="str">
        <x:v>NOT_REVEALING</x:v>
      </x:c>
      <x:c r="Q3484" s="34" t="str">
        <x:v>Feedback-Directed Random Test Generation/Result/Closure_2/result.json</x:v>
      </x:c>
    </x:row>
    <x:row r="3485">
      <x:c r="A3485" s="34" t="str">
        <x:v>randoop</x:v>
      </x:c>
      <x:c r="B3485" s="34" t="str">
        <x:v>Closure</x:v>
      </x:c>
      <x:c r="C3485" s="34" t="str">
        <x:v>Round1</x:v>
      </x:c>
      <x:c r="D3485" s="34" t="str">
        <x:v>Closure_3</x:v>
      </x:c>
      <x:c r="E3485" s="34" t="str">
        <x:v>Condition</x:v>
      </x:c>
      <x:c r="F3485" s="34" t="n">
        <x:v>127</x:v>
      </x:c>
      <x:c r="G3485" s="34" t="str">
        <x:v>RECORDED</x:v>
      </x:c>
      <x:c r="H3485" s="38" t="n">
        <x:f>IF(ISNUMBER('Data'!I69),'Data'!I69*100,"")</x:f>
        <x:v>0</x:v>
      </x:c>
      <x:c r="I3485" s="34" t="str">
        <x:v>PASS</x:v>
      </x:c>
      <x:c r="J3485" s="34" t="str">
        <x:v>PASS</x:v>
      </x:c>
      <x:c r="K3485" s="34" t="str">
        <x:v>PASS</x:v>
      </x:c>
      <x:c r="L3485" s="34" t="str">
        <x:v>PASS</x:v>
      </x:c>
      <x:c r="M3485" s="34" t="str">
        <x:v>numeric coverage for applicable metric</x:v>
      </x:c>
      <x:c r="N3485" s="34" t="str">
        <x:v>Feedback-Directed Random Test Generation/Result/Closure_3/result.json</x:v>
      </x:c>
      <x:c r="O3485" s="38" t="n">
        <x:f>IF(AND(G3485="RECORDED",ISNUMBER(H3485)),H3485,"")</x:f>
        <x:v>0</x:v>
      </x:c>
      <x:c r="P3485" s="34" t="str">
        <x:v>NOT_REVEALING</x:v>
      </x:c>
      <x:c r="Q3485" s="34" t="str">
        <x:v>Feedback-Directed Random Test Generation/Result/Closure_3/result.json</x:v>
      </x:c>
    </x:row>
    <x:row r="3486">
      <x:c r="A3486" s="34" t="str">
        <x:v>randoop</x:v>
      </x:c>
      <x:c r="B3486" s="34" t="str">
        <x:v>Closure</x:v>
      </x:c>
      <x:c r="C3486" s="34" t="str">
        <x:v>Round1</x:v>
      </x:c>
      <x:c r="D3486" s="34" t="str">
        <x:v>Closure_4</x:v>
      </x:c>
      <x:c r="E3486" s="34" t="str">
        <x:v>Condition</x:v>
      </x:c>
      <x:c r="F3486" s="34" t="n">
        <x:v>86</x:v>
      </x:c>
      <x:c r="G3486" s="34" t="str">
        <x:v>RECORDED</x:v>
      </x:c>
      <x:c r="H3486" s="38" t="n">
        <x:f>IF(ISNUMBER('Data'!I70),'Data'!I70*100,"")</x:f>
        <x:v>0</x:v>
      </x:c>
      <x:c r="I3486" s="34" t="str">
        <x:v>PASS</x:v>
      </x:c>
      <x:c r="J3486" s="34" t="str">
        <x:v>PASS</x:v>
      </x:c>
      <x:c r="K3486" s="34" t="str">
        <x:v>PASS</x:v>
      </x:c>
      <x:c r="L3486" s="34" t="str">
        <x:v>PASS</x:v>
      </x:c>
      <x:c r="M3486" s="34" t="str">
        <x:v>numeric coverage for applicable metric</x:v>
      </x:c>
      <x:c r="N3486" s="34" t="str">
        <x:v>Feedback-Directed Random Test Generation/Result/Closure_4/result.json</x:v>
      </x:c>
      <x:c r="O3486" s="38" t="n">
        <x:f>IF(AND(G3486="RECORDED",ISNUMBER(H3486)),H3486,"")</x:f>
        <x:v>0</x:v>
      </x:c>
      <x:c r="P3486" s="34" t="str">
        <x:v>NOT_REVEALING</x:v>
      </x:c>
      <x:c r="Q3486" s="34" t="str">
        <x:v>Feedback-Directed Random Test Generation/Result/Closure_4/result.json</x:v>
      </x:c>
    </x:row>
    <x:row r="3487">
      <x:c r="A3487" s="34" t="str">
        <x:v>randoop</x:v>
      </x:c>
      <x:c r="B3487" s="34" t="str">
        <x:v>Closure</x:v>
      </x:c>
      <x:c r="C3487" s="34" t="str">
        <x:v>Round1</x:v>
      </x:c>
      <x:c r="D3487" s="34" t="str">
        <x:v>Closure_5</x:v>
      </x:c>
      <x:c r="E3487" s="34" t="str">
        <x:v>Condition</x:v>
      </x:c>
      <x:c r="F3487" s="34" t="n">
        <x:v>108</x:v>
      </x:c>
      <x:c r="G3487" s="34" t="str">
        <x:v>RECORDED</x:v>
      </x:c>
      <x:c r="H3487" s="38" t="n">
        <x:f>IF(ISNUMBER('Data'!I71),'Data'!I71*100,"")</x:f>
        <x:v>0</x:v>
      </x:c>
      <x:c r="I3487" s="34" t="str">
        <x:v>PASS</x:v>
      </x:c>
      <x:c r="J3487" s="34" t="str">
        <x:v>PASS</x:v>
      </x:c>
      <x:c r="K3487" s="34" t="str">
        <x:v>PASS</x:v>
      </x:c>
      <x:c r="L3487" s="34" t="str">
        <x:v>PASS</x:v>
      </x:c>
      <x:c r="M3487" s="34" t="str">
        <x:v>numeric coverage for applicable metric</x:v>
      </x:c>
      <x:c r="N3487" s="34" t="str">
        <x:v>Feedback-Directed Random Test Generation/Result/Closure_5/result.json</x:v>
      </x:c>
      <x:c r="O3487" s="38" t="n">
        <x:f>IF(AND(G3487="RECORDED",ISNUMBER(H3487)),H3487,"")</x:f>
        <x:v>0</x:v>
      </x:c>
      <x:c r="P3487" s="34" t="str">
        <x:v>NOT_REVEALING</x:v>
      </x:c>
      <x:c r="Q3487" s="34" t="str">
        <x:v>Feedback-Directed Random Test Generation/Result/Closure_5/result.json</x:v>
      </x:c>
    </x:row>
    <x:row r="3488">
      <x:c r="A3488" s="34" t="str">
        <x:v>randoop</x:v>
      </x:c>
      <x:c r="B3488" s="34" t="str">
        <x:v>Closure</x:v>
      </x:c>
      <x:c r="C3488" s="34" t="str">
        <x:v>Round1</x:v>
      </x:c>
      <x:c r="D3488" s="34" t="str">
        <x:v>Closure_6</x:v>
      </x:c>
      <x:c r="E3488" s="34" t="str">
        <x:v>Condition</x:v>
      </x:c>
      <x:c r="F3488" s="34" t="n">
        <x:v>220</x:v>
      </x:c>
      <x:c r="G3488" s="34" t="str">
        <x:v>RECORDED</x:v>
      </x:c>
      <x:c r="H3488" s="38" t="n">
        <x:f>IF(ISNUMBER('Data'!I72),'Data'!I72*100,"")</x:f>
        <x:v>0</x:v>
      </x:c>
      <x:c r="I3488" s="34" t="str">
        <x:v>PASS</x:v>
      </x:c>
      <x:c r="J3488" s="34" t="str">
        <x:v>PASS</x:v>
      </x:c>
      <x:c r="K3488" s="34" t="str">
        <x:v>PASS</x:v>
      </x:c>
      <x:c r="L3488" s="34" t="str">
        <x:v>PASS</x:v>
      </x:c>
      <x:c r="M3488" s="34" t="str">
        <x:v>numeric coverage for applicable metric</x:v>
      </x:c>
      <x:c r="N3488" s="34" t="str">
        <x:v>Feedback-Directed Random Test Generation/Result/Closure_6/result.json</x:v>
      </x:c>
      <x:c r="O3488" s="38" t="n">
        <x:f>IF(AND(G3488="RECORDED",ISNUMBER(H3488)),H3488,"")</x:f>
        <x:v>0</x:v>
      </x:c>
      <x:c r="P3488" s="34" t="str">
        <x:v>NOT_REVEALING</x:v>
      </x:c>
      <x:c r="Q3488" s="34" t="str">
        <x:v>Feedback-Directed Random Test Generation/Result/Closure_6/result.json</x:v>
      </x:c>
    </x:row>
    <x:row r="3489">
      <x:c r="A3489" s="34" t="str">
        <x:v>randoop</x:v>
      </x:c>
      <x:c r="B3489" s="34" t="str">
        <x:v>Closure</x:v>
      </x:c>
      <x:c r="C3489" s="34" t="str">
        <x:v>Round1</x:v>
      </x:c>
      <x:c r="D3489" s="34" t="str">
        <x:v>Closure_7</x:v>
      </x:c>
      <x:c r="E3489" s="34" t="str">
        <x:v>Condition</x:v>
      </x:c>
      <x:c r="F3489" s="34" t="n">
        <x:v>95</x:v>
      </x:c>
      <x:c r="G3489" s="34" t="str">
        <x:v>RECORDED</x:v>
      </x:c>
      <x:c r="H3489" s="38" t="n">
        <x:f>IF(ISNUMBER('Data'!I73),'Data'!I73*100,"")</x:f>
        <x:v>0</x:v>
      </x:c>
      <x:c r="I3489" s="34" t="str">
        <x:v>PASS</x:v>
      </x:c>
      <x:c r="J3489" s="34" t="str">
        <x:v>PASS</x:v>
      </x:c>
      <x:c r="K3489" s="34" t="str">
        <x:v>PASS</x:v>
      </x:c>
      <x:c r="L3489" s="34" t="str">
        <x:v>PASS</x:v>
      </x:c>
      <x:c r="M3489" s="34" t="str">
        <x:v>numeric coverage for applicable metric</x:v>
      </x:c>
      <x:c r="N3489" s="34" t="str">
        <x:v>Feedback-Directed Random Test Generation/Result/Closure_7/result.json</x:v>
      </x:c>
      <x:c r="O3489" s="38" t="n">
        <x:f>IF(AND(G3489="RECORDED",ISNUMBER(H3489)),H3489,"")</x:f>
        <x:v>0</x:v>
      </x:c>
      <x:c r="P3489" s="34" t="str">
        <x:v>NOT_REVEALING</x:v>
      </x:c>
      <x:c r="Q3489" s="34" t="str">
        <x:v>Feedback-Directed Random Test Generation/Result/Closure_7/result.json</x:v>
      </x:c>
    </x:row>
    <x:row r="3490">
      <x:c r="A3490" s="34" t="str">
        <x:v>randoop</x:v>
      </x:c>
      <x:c r="B3490" s="34" t="str">
        <x:v>Closure</x:v>
      </x:c>
      <x:c r="C3490" s="34" t="str">
        <x:v>Round1</x:v>
      </x:c>
      <x:c r="D3490" s="34" t="str">
        <x:v>Closure_8</x:v>
      </x:c>
      <x:c r="E3490" s="34" t="str">
        <x:v>Condition</x:v>
      </x:c>
      <x:c r="F3490" s="34" t="n">
        <x:v>52</x:v>
      </x:c>
      <x:c r="G3490" s="34" t="str">
        <x:v>RECORDED</x:v>
      </x:c>
      <x:c r="H3490" s="38" t="n">
        <x:f>IF(ISNUMBER('Data'!I74),'Data'!I74*100,"")</x:f>
        <x:v>0</x:v>
      </x:c>
      <x:c r="I3490" s="34" t="str">
        <x:v>PASS</x:v>
      </x:c>
      <x:c r="J3490" s="34" t="str">
        <x:v>PASS</x:v>
      </x:c>
      <x:c r="K3490" s="34" t="str">
        <x:v>PASS</x:v>
      </x:c>
      <x:c r="L3490" s="34" t="str">
        <x:v>PASS</x:v>
      </x:c>
      <x:c r="M3490" s="34" t="str">
        <x:v>numeric coverage for applicable metric</x:v>
      </x:c>
      <x:c r="N3490" s="34" t="str">
        <x:v>Feedback-Directed Random Test Generation/Result/Closure_8/result.json</x:v>
      </x:c>
      <x:c r="O3490" s="38" t="n">
        <x:f>IF(AND(G3490="RECORDED",ISNUMBER(H3490)),H3490,"")</x:f>
        <x:v>0</x:v>
      </x:c>
      <x:c r="P3490" s="34" t="str">
        <x:v>NOT_REVEALING</x:v>
      </x:c>
      <x:c r="Q3490" s="34" t="str">
        <x:v>Feedback-Directed Random Test Generation/Result/Closure_8/result.json</x:v>
      </x:c>
    </x:row>
    <x:row r="3491">
      <x:c r="A3491" s="34" t="str">
        <x:v>randoop</x:v>
      </x:c>
      <x:c r="B3491" s="34" t="str">
        <x:v>Closure</x:v>
      </x:c>
      <x:c r="C3491" s="34" t="str">
        <x:v>Round1</x:v>
      </x:c>
      <x:c r="D3491" s="34" t="str">
        <x:v>Closure_9</x:v>
      </x:c>
      <x:c r="E3491" s="34" t="str">
        <x:v>Condition</x:v>
      </x:c>
      <x:c r="F3491" s="34" t="n">
        <x:v>42</x:v>
      </x:c>
      <x:c r="G3491" s="34" t="str">
        <x:v>RECORDED</x:v>
      </x:c>
      <x:c r="H3491" s="38" t="n">
        <x:f>IF(ISNUMBER('Data'!I75),'Data'!I75*100,"")</x:f>
        <x:v>14.29</x:v>
      </x:c>
      <x:c r="I3491" s="34" t="str">
        <x:v>PASS</x:v>
      </x:c>
      <x:c r="J3491" s="34" t="str">
        <x:v>PASS</x:v>
      </x:c>
      <x:c r="K3491" s="34" t="str">
        <x:v>PASS</x:v>
      </x:c>
      <x:c r="L3491" s="34" t="str">
        <x:v>PASS</x:v>
      </x:c>
      <x:c r="M3491" s="34" t="str">
        <x:v>numeric coverage for applicable metric</x:v>
      </x:c>
      <x:c r="N3491" s="34" t="str">
        <x:v>Feedback-Directed Random Test Generation/Result/Closure_9/result.json</x:v>
      </x:c>
      <x:c r="O3491" s="38" t="n">
        <x:f>IF(AND(G3491="RECORDED",ISNUMBER(H3491)),H3491,"")</x:f>
        <x:v>14.29</x:v>
      </x:c>
      <x:c r="P3491" s="34" t="str">
        <x:v>NOT_REVEALING</x:v>
      </x:c>
      <x:c r="Q3491" s="34" t="str">
        <x:v>Feedback-Directed Random Test Generation/Result/Closure_9/result.json</x:v>
      </x:c>
    </x:row>
    <x:row r="3492">
      <x:c r="A3492" s="34" t="str">
        <x:v>randoop</x:v>
      </x:c>
      <x:c r="B3492" s="34" t="str">
        <x:v>Closure</x:v>
      </x:c>
      <x:c r="C3492" s="34" t="str">
        <x:v>Round1</x:v>
      </x:c>
      <x:c r="D3492" s="34" t="str">
        <x:v>Closure_10</x:v>
      </x:c>
      <x:c r="E3492" s="34" t="str">
        <x:v>Condition</x:v>
      </x:c>
      <x:c r="F3492" s="34" t="n">
        <x:v>1028</x:v>
      </x:c>
      <x:c r="G3492" s="34" t="str">
        <x:v>RECORDED</x:v>
      </x:c>
      <x:c r="H3492" s="38" t="n">
        <x:f>IF(ISNUMBER('Data'!I76),'Data'!I76*100,"")</x:f>
        <x:v>26.170000000000005</x:v>
      </x:c>
      <x:c r="I3492" s="34" t="str">
        <x:v>PASS</x:v>
      </x:c>
      <x:c r="J3492" s="34" t="str">
        <x:v>PASS</x:v>
      </x:c>
      <x:c r="K3492" s="34" t="str">
        <x:v>PASS</x:v>
      </x:c>
      <x:c r="L3492" s="34" t="str">
        <x:v>FAIL</x:v>
      </x:c>
      <x:c r="M3492" s="34" t="str">
        <x:v>numeric coverage for applicable metric</x:v>
      </x:c>
      <x:c r="N3492" s="34" t="str">
        <x:v>Feedback-Directed Random Test Generation/Result/Closure_10/result.json</x:v>
      </x:c>
      <x:c r="O3492" s="38" t="n">
        <x:f>IF(AND(G3492="RECORDED",ISNUMBER(H3492)),H3492,"")</x:f>
        <x:v>26.170000000000005</x:v>
      </x:c>
      <x:c r="P3492" s="34" t="str">
        <x:v>INCONCLUSIVE</x:v>
      </x:c>
      <x:c r="Q3492" s="34" t="str">
        <x:v>Feedback-Directed Random Test Generation/Result/Closure_10/result.json</x:v>
      </x:c>
    </x:row>
    <x:row r="3493">
      <x:c r="A3493" s="34" t="str">
        <x:v>randoop</x:v>
      </x:c>
      <x:c r="B3493" s="34" t="str">
        <x:v>Closure</x:v>
      </x:c>
      <x:c r="C3493" s="34" t="str">
        <x:v>Round1</x:v>
      </x:c>
      <x:c r="D3493" s="34" t="str">
        <x:v>Closure_11</x:v>
      </x:c>
      <x:c r="E3493" s="34" t="str">
        <x:v>Condition</x:v>
      </x:c>
      <x:c r="F3493" s="34" t="n">
        <x:v>549</x:v>
      </x:c>
      <x:c r="G3493" s="34" t="str">
        <x:v>RECORDED</x:v>
      </x:c>
      <x:c r="H3493" s="38" t="n">
        <x:f>IF(ISNUMBER('Data'!I77),'Data'!I77*100,"")</x:f>
        <x:v>0</x:v>
      </x:c>
      <x:c r="I3493" s="34" t="str">
        <x:v>PASS</x:v>
      </x:c>
      <x:c r="J3493" s="34" t="str">
        <x:v>PASS</x:v>
      </x:c>
      <x:c r="K3493" s="34" t="str">
        <x:v>PASS</x:v>
      </x:c>
      <x:c r="L3493" s="34" t="str">
        <x:v>PASS</x:v>
      </x:c>
      <x:c r="M3493" s="34" t="str">
        <x:v>numeric coverage for applicable metric</x:v>
      </x:c>
      <x:c r="N3493" s="34" t="str">
        <x:v>Feedback-Directed Random Test Generation/Result/Closure_11/result.json</x:v>
      </x:c>
      <x:c r="O3493" s="38" t="n">
        <x:f>IF(AND(G3493="RECORDED",ISNUMBER(H3493)),H3493,"")</x:f>
        <x:v>0</x:v>
      </x:c>
      <x:c r="P3493" s="34" t="str">
        <x:v>NOT_REVEALING</x:v>
      </x:c>
      <x:c r="Q3493" s="34" t="str">
        <x:v>Feedback-Directed Random Test Generation/Result/Closure_11/result.json</x:v>
      </x:c>
    </x:row>
    <x:row r="3494">
      <x:c r="A3494" s="34" t="str">
        <x:v>randoop</x:v>
      </x:c>
      <x:c r="B3494" s="34" t="str">
        <x:v>Closure</x:v>
      </x:c>
      <x:c r="C3494" s="34" t="str">
        <x:v>Round1</x:v>
      </x:c>
      <x:c r="D3494" s="34" t="str">
        <x:v>Closure_12</x:v>
      </x:c>
      <x:c r="E3494" s="34" t="str">
        <x:v>Condition</x:v>
      </x:c>
      <x:c r="F3494" s="34" t="n">
        <x:v>48</x:v>
      </x:c>
      <x:c r="G3494" s="34" t="str">
        <x:v>RECORDED</x:v>
      </x:c>
      <x:c r="H3494" s="38" t="n">
        <x:f>IF(ISNUMBER('Data'!I78),'Data'!I78*100,"")</x:f>
        <x:v>6.25</x:v>
      </x:c>
      <x:c r="I3494" s="34" t="str">
        <x:v>PASS</x:v>
      </x:c>
      <x:c r="J3494" s="34" t="str">
        <x:v>PASS</x:v>
      </x:c>
      <x:c r="K3494" s="34" t="str">
        <x:v>PASS</x:v>
      </x:c>
      <x:c r="L3494" s="34" t="str">
        <x:v>PASS</x:v>
      </x:c>
      <x:c r="M3494" s="34" t="str">
        <x:v>numeric coverage for applicable metric</x:v>
      </x:c>
      <x:c r="N3494" s="34" t="str">
        <x:v>Feedback-Directed Random Test Generation/Result/Closure_12/result.json</x:v>
      </x:c>
      <x:c r="O3494" s="38" t="n">
        <x:f>IF(AND(G3494="RECORDED",ISNUMBER(H3494)),H3494,"")</x:f>
        <x:v>6.25</x:v>
      </x:c>
      <x:c r="P3494" s="34" t="str">
        <x:v>NOT_REVEALING</x:v>
      </x:c>
      <x:c r="Q3494" s="34" t="str">
        <x:v>Feedback-Directed Random Test Generation/Result/Closure_12/result.json</x:v>
      </x:c>
    </x:row>
    <x:row r="3495">
      <x:c r="A3495" s="34" t="str">
        <x:v>randoop</x:v>
      </x:c>
      <x:c r="B3495" s="34" t="str">
        <x:v>Closure</x:v>
      </x:c>
      <x:c r="C3495" s="34" t="str">
        <x:v>Round1</x:v>
      </x:c>
      <x:c r="D3495" s="34" t="str">
        <x:v>Closure_13</x:v>
      </x:c>
      <x:c r="E3495" s="34" t="str">
        <x:v>Condition</x:v>
      </x:c>
      <x:c r="F3495" s="34" t="n">
        <x:v>40</x:v>
      </x:c>
      <x:c r="G3495" s="34" t="str">
        <x:v>RECORDED</x:v>
      </x:c>
      <x:c r="H3495" s="38" t="n">
        <x:f>IF(ISNUMBER('Data'!I79),'Data'!I79*100,"")</x:f>
        <x:v>0</x:v>
      </x:c>
      <x:c r="I3495" s="34" t="str">
        <x:v>PASS</x:v>
      </x:c>
      <x:c r="J3495" s="34" t="str">
        <x:v>PASS</x:v>
      </x:c>
      <x:c r="K3495" s="34" t="str">
        <x:v>PASS</x:v>
      </x:c>
      <x:c r="L3495" s="34" t="str">
        <x:v>PASS</x:v>
      </x:c>
      <x:c r="M3495" s="34" t="str">
        <x:v>numeric coverage for applicable metric</x:v>
      </x:c>
      <x:c r="N3495" s="34" t="str">
        <x:v>Feedback-Directed Random Test Generation/Result/Closure_13/result.json</x:v>
      </x:c>
      <x:c r="O3495" s="38" t="n">
        <x:f>IF(AND(G3495="RECORDED",ISNUMBER(H3495)),H3495,"")</x:f>
        <x:v>0</x:v>
      </x:c>
      <x:c r="P3495" s="34" t="str">
        <x:v>NOT_REVEALING</x:v>
      </x:c>
      <x:c r="Q3495" s="34" t="str">
        <x:v>Feedback-Directed Random Test Generation/Result/Closure_13/result.json</x:v>
      </x:c>
    </x:row>
    <x:row r="3496">
      <x:c r="A3496" s="34" t="str">
        <x:v>randoop</x:v>
      </x:c>
      <x:c r="B3496" s="34" t="str">
        <x:v>Closure</x:v>
      </x:c>
      <x:c r="C3496" s="34" t="str">
        <x:v>Round1</x:v>
      </x:c>
      <x:c r="D3496" s="34" t="str">
        <x:v>Closure_14</x:v>
      </x:c>
      <x:c r="E3496" s="34" t="str">
        <x:v>Condition</x:v>
      </x:c>
      <x:c r="F3496" s="34" t="n">
        <x:v>276</x:v>
      </x:c>
      <x:c r="G3496" s="34" t="str">
        <x:v>RECORDED</x:v>
      </x:c>
      <x:c r="H3496" s="38" t="n">
        <x:f>IF(ISNUMBER('Data'!I80),'Data'!I80*100,"")</x:f>
        <x:v>0.36</x:v>
      </x:c>
      <x:c r="I3496" s="34" t="str">
        <x:v>PASS</x:v>
      </x:c>
      <x:c r="J3496" s="34" t="str">
        <x:v>PASS</x:v>
      </x:c>
      <x:c r="K3496" s="34" t="str">
        <x:v>PASS</x:v>
      </x:c>
      <x:c r="L3496" s="34" t="str">
        <x:v>PASS</x:v>
      </x:c>
      <x:c r="M3496" s="34" t="str">
        <x:v>numeric coverage for applicable metric</x:v>
      </x:c>
      <x:c r="N3496" s="34" t="str">
        <x:v>Feedback-Directed Random Test Generation/Result/Closure_14/result.json</x:v>
      </x:c>
      <x:c r="O3496" s="38" t="n">
        <x:f>IF(AND(G3496="RECORDED",ISNUMBER(H3496)),H3496,"")</x:f>
        <x:v>0.36</x:v>
      </x:c>
      <x:c r="P3496" s="34" t="str">
        <x:v>NOT_REVEALING</x:v>
      </x:c>
      <x:c r="Q3496" s="34" t="str">
        <x:v>Feedback-Directed Random Test Generation/Result/Closure_14/result.json</x:v>
      </x:c>
    </x:row>
    <x:row r="3497">
      <x:c r="A3497" s="34" t="str">
        <x:v>randoop</x:v>
      </x:c>
      <x:c r="B3497" s="34" t="str">
        <x:v>Closure</x:v>
      </x:c>
      <x:c r="C3497" s="34" t="str">
        <x:v>Round1</x:v>
      </x:c>
      <x:c r="D3497" s="34" t="str">
        <x:v>Closure_15</x:v>
      </x:c>
      <x:c r="E3497" s="34" t="str">
        <x:v>Condition</x:v>
      </x:c>
      <x:c r="F3497" s="34" t="n">
        <x:v>119</x:v>
      </x:c>
      <x:c r="G3497" s="34" t="str">
        <x:v>RECORDED</x:v>
      </x:c>
      <x:c r="H3497" s="38" t="n">
        <x:f>IF(ISNUMBER('Data'!I81),'Data'!I81*100,"")</x:f>
        <x:v>0</x:v>
      </x:c>
      <x:c r="I3497" s="34" t="str">
        <x:v>PASS</x:v>
      </x:c>
      <x:c r="J3497" s="34" t="str">
        <x:v>PASS</x:v>
      </x:c>
      <x:c r="K3497" s="34" t="str">
        <x:v>PASS</x:v>
      </x:c>
      <x:c r="L3497" s="34" t="str">
        <x:v>PASS</x:v>
      </x:c>
      <x:c r="M3497" s="34" t="str">
        <x:v>numeric coverage for applicable metric</x:v>
      </x:c>
      <x:c r="N3497" s="34" t="str">
        <x:v>Feedback-Directed Random Test Generation/Result/Closure_15/result.json</x:v>
      </x:c>
      <x:c r="O3497" s="38" t="n">
        <x:f>IF(AND(G3497="RECORDED",ISNUMBER(H3497)),H3497,"")</x:f>
        <x:v>0</x:v>
      </x:c>
      <x:c r="P3497" s="34" t="str">
        <x:v>NOT_REVEALING</x:v>
      </x:c>
      <x:c r="Q3497" s="34" t="str">
        <x:v>Feedback-Directed Random Test Generation/Result/Closure_15/result.json</x:v>
      </x:c>
    </x:row>
    <x:row r="3498">
      <x:c r="A3498" s="34" t="str">
        <x:v>randoop</x:v>
      </x:c>
      <x:c r="B3498" s="34" t="str">
        <x:v>Closure</x:v>
      </x:c>
      <x:c r="C3498" s="34" t="str">
        <x:v>Round1</x:v>
      </x:c>
      <x:c r="D3498" s="34" t="str">
        <x:v>Closure_16</x:v>
      </x:c>
      <x:c r="E3498" s="34" t="str">
        <x:v>Condition</x:v>
      </x:c>
      <x:c r="F3498" s="34" t="n">
        <x:v>124</x:v>
      </x:c>
      <x:c r="G3498" s="34" t="str">
        <x:v>RECORDED</x:v>
      </x:c>
      <x:c r="H3498" s="38" t="n">
        <x:f>IF(ISNUMBER('Data'!I82),'Data'!I82*100,"")</x:f>
        <x:v>0</x:v>
      </x:c>
      <x:c r="I3498" s="34" t="str">
        <x:v>PASS</x:v>
      </x:c>
      <x:c r="J3498" s="34" t="str">
        <x:v>PASS</x:v>
      </x:c>
      <x:c r="K3498" s="34" t="str">
        <x:v>PASS</x:v>
      </x:c>
      <x:c r="L3498" s="34" t="str">
        <x:v>PASS</x:v>
      </x:c>
      <x:c r="M3498" s="34" t="str">
        <x:v>numeric coverage for applicable metric</x:v>
      </x:c>
      <x:c r="N3498" s="34" t="str">
        <x:v>Feedback-Directed Random Test Generation/Result/Closure_16/result.json</x:v>
      </x:c>
      <x:c r="O3498" s="38" t="n">
        <x:f>IF(AND(G3498="RECORDED",ISNUMBER(H3498)),H3498,"")</x:f>
        <x:v>0</x:v>
      </x:c>
      <x:c r="P3498" s="34" t="str">
        <x:v>NOT_REVEALING</x:v>
      </x:c>
      <x:c r="Q3498" s="34" t="str">
        <x:v>Feedback-Directed Random Test Generation/Result/Closure_16/result.json</x:v>
      </x:c>
    </x:row>
    <x:row r="3499">
      <x:c r="A3499" s="34" t="str">
        <x:v>randoop</x:v>
      </x:c>
      <x:c r="B3499" s="34" t="str">
        <x:v>Closure</x:v>
      </x:c>
      <x:c r="C3499" s="34" t="str">
        <x:v>Round1</x:v>
      </x:c>
      <x:c r="D3499" s="34" t="str">
        <x:v>Closure_17</x:v>
      </x:c>
      <x:c r="E3499" s="34" t="str">
        <x:v>Condition</x:v>
      </x:c>
      <x:c r="F3499" s="34" t="n">
        <x:v>687</x:v>
      </x:c>
      <x:c r="G3499" s="34" t="str">
        <x:v>RECORDED</x:v>
      </x:c>
      <x:c r="H3499" s="38" t="n">
        <x:f>IF(ISNUMBER('Data'!I83),'Data'!I83*100,"")</x:f>
        <x:v>0</x:v>
      </x:c>
      <x:c r="I3499" s="34" t="str">
        <x:v>PASS</x:v>
      </x:c>
      <x:c r="J3499" s="34" t="str">
        <x:v>PASS</x:v>
      </x:c>
      <x:c r="K3499" s="34" t="str">
        <x:v>PASS</x:v>
      </x:c>
      <x:c r="L3499" s="34" t="str">
        <x:v>PASS</x:v>
      </x:c>
      <x:c r="M3499" s="34" t="str">
        <x:v>numeric coverage for applicable metric</x:v>
      </x:c>
      <x:c r="N3499" s="34" t="str">
        <x:v>Feedback-Directed Random Test Generation/Result/Closure_17/result.json</x:v>
      </x:c>
      <x:c r="O3499" s="38" t="n">
        <x:f>IF(AND(G3499="RECORDED",ISNUMBER(H3499)),H3499,"")</x:f>
        <x:v>0</x:v>
      </x:c>
      <x:c r="P3499" s="34" t="str">
        <x:v>NOT_REVEALING</x:v>
      </x:c>
      <x:c r="Q3499" s="34" t="str">
        <x:v>Feedback-Directed Random Test Generation/Result/Closure_17/result.json</x:v>
      </x:c>
    </x:row>
    <x:row r="3500">
      <x:c r="A3500" s="34" t="str">
        <x:v>randoop</x:v>
      </x:c>
      <x:c r="B3500" s="34" t="str">
        <x:v>Closure</x:v>
      </x:c>
      <x:c r="C3500" s="34" t="str">
        <x:v>Round1</x:v>
      </x:c>
      <x:c r="D3500" s="34" t="str">
        <x:v>Closure_18</x:v>
      </x:c>
      <x:c r="E3500" s="34" t="str">
        <x:v>Condition</x:v>
      </x:c>
      <x:c r="F3500" s="34" t="n">
        <x:v>416</x:v>
      </x:c>
      <x:c r="G3500" s="34" t="str">
        <x:v>RECORDED</x:v>
      </x:c>
      <x:c r="H3500" s="38" t="n">
        <x:f>IF(ISNUMBER('Data'!I84),'Data'!I84*100,"")</x:f>
        <x:v>40.14</x:v>
      </x:c>
      <x:c r="I3500" s="34" t="str">
        <x:v>PASS</x:v>
      </x:c>
      <x:c r="J3500" s="34" t="str">
        <x:v>PASS</x:v>
      </x:c>
      <x:c r="K3500" s="34" t="str">
        <x:v>PASS</x:v>
      </x:c>
      <x:c r="L3500" s="34" t="str">
        <x:v>FAIL</x:v>
      </x:c>
      <x:c r="M3500" s="34" t="str">
        <x:v>numeric coverage for applicable metric</x:v>
      </x:c>
      <x:c r="N3500" s="34" t="str">
        <x:v>Feedback-Directed Random Test Generation/Result/Closure_18/result.json</x:v>
      </x:c>
      <x:c r="O3500" s="38" t="n">
        <x:f>IF(AND(G3500="RECORDED",ISNUMBER(H3500)),H3500,"")</x:f>
        <x:v>40.14</x:v>
      </x:c>
      <x:c r="P3500" s="34" t="str">
        <x:v>INCONCLUSIVE</x:v>
      </x:c>
      <x:c r="Q3500" s="34" t="str">
        <x:v>Feedback-Directed Random Test Generation/Result/Closure_18/result.json</x:v>
      </x:c>
    </x:row>
    <x:row r="3501">
      <x:c r="A3501" s="34" t="str">
        <x:v>randoop</x:v>
      </x:c>
      <x:c r="B3501" s="34" t="str">
        <x:v>Closure</x:v>
      </x:c>
      <x:c r="C3501" s="34" t="str">
        <x:v>Round1</x:v>
      </x:c>
      <x:c r="D3501" s="34" t="str">
        <x:v>Closure_19</x:v>
      </x:c>
      <x:c r="E3501" s="34" t="str">
        <x:v>Condition</x:v>
      </x:c>
      <x:c r="F3501" s="34" t="n">
        <x:v>94</x:v>
      </x:c>
      <x:c r="G3501" s="34" t="str">
        <x:v>RECORDED</x:v>
      </x:c>
      <x:c r="H3501" s="38" t="n">
        <x:f>IF(ISNUMBER('Data'!I85),'Data'!I85*100,"")</x:f>
        <x:v>0</x:v>
      </x:c>
      <x:c r="I3501" s="34" t="str">
        <x:v>PASS</x:v>
      </x:c>
      <x:c r="J3501" s="34" t="str">
        <x:v>PASS</x:v>
      </x:c>
      <x:c r="K3501" s="34" t="str">
        <x:v>PASS</x:v>
      </x:c>
      <x:c r="L3501" s="34" t="str">
        <x:v>PASS</x:v>
      </x:c>
      <x:c r="M3501" s="34" t="str">
        <x:v>numeric coverage for applicable metric</x:v>
      </x:c>
      <x:c r="N3501" s="34" t="str">
        <x:v>Feedback-Directed Random Test Generation/Result/Closure_19/result.json</x:v>
      </x:c>
      <x:c r="O3501" s="38" t="n">
        <x:f>IF(AND(G3501="RECORDED",ISNUMBER(H3501)),H3501,"")</x:f>
        <x:v>0</x:v>
      </x:c>
      <x:c r="P3501" s="34" t="str">
        <x:v>NOT_REVEALING</x:v>
      </x:c>
      <x:c r="Q3501" s="34" t="str">
        <x:v>Feedback-Directed Random Test Generation/Result/Closure_19/result.json</x:v>
      </x:c>
    </x:row>
    <x:row r="3502">
      <x:c r="A3502" s="34" t="str">
        <x:v>randoop</x:v>
      </x:c>
      <x:c r="B3502" s="34" t="str">
        <x:v>Closure</x:v>
      </x:c>
      <x:c r="C3502" s="34" t="str">
        <x:v>Round1</x:v>
      </x:c>
      <x:c r="D3502" s="34" t="str">
        <x:v>Closure_20</x:v>
      </x:c>
      <x:c r="E3502" s="34" t="str">
        <x:v>Condition</x:v>
      </x:c>
      <x:c r="F3502" s="34" t="n">
        <x:v>526</x:v>
      </x:c>
      <x:c r="G3502" s="34" t="str">
        <x:v>RECORDED</x:v>
      </x:c>
      <x:c r="H3502" s="38" t="n">
        <x:f>IF(ISNUMBER('Data'!I86),'Data'!I86*100,"")</x:f>
        <x:v>0.57</x:v>
      </x:c>
      <x:c r="I3502" s="34" t="str">
        <x:v>PASS</x:v>
      </x:c>
      <x:c r="J3502" s="34" t="str">
        <x:v>PASS</x:v>
      </x:c>
      <x:c r="K3502" s="34" t="str">
        <x:v>PASS</x:v>
      </x:c>
      <x:c r="L3502" s="34" t="str">
        <x:v>PASS</x:v>
      </x:c>
      <x:c r="M3502" s="34" t="str">
        <x:v>numeric coverage for applicable metric</x:v>
      </x:c>
      <x:c r="N3502" s="34" t="str">
        <x:v>Feedback-Directed Random Test Generation/Result/Closure_20/result.json</x:v>
      </x:c>
      <x:c r="O3502" s="38" t="n">
        <x:f>IF(AND(G3502="RECORDED",ISNUMBER(H3502)),H3502,"")</x:f>
        <x:v>0.57</x:v>
      </x:c>
      <x:c r="P3502" s="34" t="str">
        <x:v>NOT_REVEALING</x:v>
      </x:c>
      <x:c r="Q3502" s="34" t="str">
        <x:v>Feedback-Directed Random Test Generation/Result/Closure_20/result.json</x:v>
      </x:c>
    </x:row>
    <x:row r="3503">
      <x:c r="A3503" s="34" t="str">
        <x:v>randoop</x:v>
      </x:c>
      <x:c r="B3503" s="34" t="str">
        <x:v>Closure</x:v>
      </x:c>
      <x:c r="C3503" s="34" t="str">
        <x:v>Round1</x:v>
      </x:c>
      <x:c r="D3503" s="34" t="str">
        <x:v>Closure_21</x:v>
      </x:c>
      <x:c r="E3503" s="34" t="str">
        <x:v>Condition</x:v>
      </x:c>
      <x:c r="F3503" s="34" t="n">
        <x:v>60</x:v>
      </x:c>
      <x:c r="G3503" s="34" t="str">
        <x:v>RECORDED</x:v>
      </x:c>
      <x:c r="H3503" s="38" t="n">
        <x:f>IF(ISNUMBER('Data'!I87),'Data'!I87*100,"")</x:f>
        <x:v>0</x:v>
      </x:c>
      <x:c r="I3503" s="34" t="str">
        <x:v>PASS</x:v>
      </x:c>
      <x:c r="J3503" s="34" t="str">
        <x:v>PASS</x:v>
      </x:c>
      <x:c r="K3503" s="34" t="str">
        <x:v>PASS</x:v>
      </x:c>
      <x:c r="L3503" s="34" t="str">
        <x:v>PASS</x:v>
      </x:c>
      <x:c r="M3503" s="34" t="str">
        <x:v>numeric coverage for applicable metric</x:v>
      </x:c>
      <x:c r="N3503" s="34" t="str">
        <x:v>Feedback-Directed Random Test Generation/Result/Closure_21/result.json</x:v>
      </x:c>
      <x:c r="O3503" s="38" t="n">
        <x:f>IF(AND(G3503="RECORDED",ISNUMBER(H3503)),H3503,"")</x:f>
        <x:v>0</x:v>
      </x:c>
      <x:c r="P3503" s="34" t="str">
        <x:v>NOT_REVEALING</x:v>
      </x:c>
      <x:c r="Q3503" s="34" t="str">
        <x:v>Feedback-Directed Random Test Generation/Result/Closure_21/result.json</x:v>
      </x:c>
    </x:row>
    <x:row r="3504">
      <x:c r="A3504" s="34" t="str">
        <x:v>randoop</x:v>
      </x:c>
      <x:c r="B3504" s="34" t="str">
        <x:v>Closure</x:v>
      </x:c>
      <x:c r="C3504" s="34" t="str">
        <x:v>Round1</x:v>
      </x:c>
      <x:c r="D3504" s="34" t="str">
        <x:v>Closure_22</x:v>
      </x:c>
      <x:c r="E3504" s="34" t="str">
        <x:v>Condition</x:v>
      </x:c>
      <x:c r="F3504" s="34" t="n">
        <x:v>72</x:v>
      </x:c>
      <x:c r="G3504" s="34" t="str">
        <x:v>RECORDED</x:v>
      </x:c>
      <x:c r="H3504" s="38" t="n">
        <x:f>IF(ISNUMBER('Data'!I88),'Data'!I88*100,"")</x:f>
        <x:v>0</x:v>
      </x:c>
      <x:c r="I3504" s="34" t="str">
        <x:v>PASS</x:v>
      </x:c>
      <x:c r="J3504" s="34" t="str">
        <x:v>PASS</x:v>
      </x:c>
      <x:c r="K3504" s="34" t="str">
        <x:v>PASS</x:v>
      </x:c>
      <x:c r="L3504" s="34" t="str">
        <x:v>PASS</x:v>
      </x:c>
      <x:c r="M3504" s="34" t="str">
        <x:v>numeric coverage for applicable metric</x:v>
      </x:c>
      <x:c r="N3504" s="34" t="str">
        <x:v>Feedback-Directed Random Test Generation/Result/Closure_22/result.json</x:v>
      </x:c>
      <x:c r="O3504" s="38" t="n">
        <x:f>IF(AND(G3504="RECORDED",ISNUMBER(H3504)),H3504,"")</x:f>
        <x:v>0</x:v>
      </x:c>
      <x:c r="P3504" s="34" t="str">
        <x:v>NOT_REVEALING</x:v>
      </x:c>
      <x:c r="Q3504" s="34" t="str">
        <x:v>Feedback-Directed Random Test Generation/Result/Closure_22/result.json</x:v>
      </x:c>
    </x:row>
    <x:row r="3505">
      <x:c r="A3505" s="34" t="str">
        <x:v>randoop</x:v>
      </x:c>
      <x:c r="B3505" s="34" t="str">
        <x:v>Closure</x:v>
      </x:c>
      <x:c r="C3505" s="34" t="str">
        <x:v>Round1</x:v>
      </x:c>
      <x:c r="D3505" s="34" t="str">
        <x:v>Closure_23</x:v>
      </x:c>
      <x:c r="E3505" s="34" t="str">
        <x:v>Condition</x:v>
      </x:c>
      <x:c r="F3505" s="34" t="n">
        <x:v>543</x:v>
      </x:c>
      <x:c r="G3505" s="34" t="str">
        <x:v>RECORDED</x:v>
      </x:c>
      <x:c r="H3505" s="38" t="n">
        <x:f>IF(ISNUMBER('Data'!I89),'Data'!I89*100,"")</x:f>
        <x:v>0</x:v>
      </x:c>
      <x:c r="I3505" s="34" t="str">
        <x:v>PASS</x:v>
      </x:c>
      <x:c r="J3505" s="34" t="str">
        <x:v>PASS</x:v>
      </x:c>
      <x:c r="K3505" s="34" t="str">
        <x:v>PASS</x:v>
      </x:c>
      <x:c r="L3505" s="34" t="str">
        <x:v>PASS</x:v>
      </x:c>
      <x:c r="M3505" s="34" t="str">
        <x:v>numeric coverage for applicable metric</x:v>
      </x:c>
      <x:c r="N3505" s="34" t="str">
        <x:v>Feedback-Directed Random Test Generation/Result/Closure_23/result.json</x:v>
      </x:c>
      <x:c r="O3505" s="38" t="n">
        <x:f>IF(AND(G3505="RECORDED",ISNUMBER(H3505)),H3505,"")</x:f>
        <x:v>0</x:v>
      </x:c>
      <x:c r="P3505" s="34" t="str">
        <x:v>NOT_REVEALING</x:v>
      </x:c>
      <x:c r="Q3505" s="34" t="str">
        <x:v>Feedback-Directed Random Test Generation/Result/Closure_23/result.json</x:v>
      </x:c>
    </x:row>
    <x:row r="3506">
      <x:c r="A3506" s="34" t="str">
        <x:v>randoop</x:v>
      </x:c>
      <x:c r="B3506" s="34" t="str">
        <x:v>Closure</x:v>
      </x:c>
      <x:c r="C3506" s="34" t="str">
        <x:v>Round1</x:v>
      </x:c>
      <x:c r="D3506" s="34" t="str">
        <x:v>Closure_24</x:v>
      </x:c>
      <x:c r="E3506" s="34" t="str">
        <x:v>Condition</x:v>
      </x:c>
      <x:c r="F3506" s="34" t="n">
        <x:v>104</x:v>
      </x:c>
      <x:c r="G3506" s="34" t="str">
        <x:v>RECORDED</x:v>
      </x:c>
      <x:c r="H3506" s="38" t="n">
        <x:f>IF(ISNUMBER('Data'!I90),'Data'!I90*100,"")</x:f>
        <x:v>0</x:v>
      </x:c>
      <x:c r="I3506" s="34" t="str">
        <x:v>PASS</x:v>
      </x:c>
      <x:c r="J3506" s="34" t="str">
        <x:v>PASS</x:v>
      </x:c>
      <x:c r="K3506" s="34" t="str">
        <x:v>PASS</x:v>
      </x:c>
      <x:c r="L3506" s="34" t="str">
        <x:v>PASS</x:v>
      </x:c>
      <x:c r="M3506" s="34" t="str">
        <x:v>numeric coverage for applicable metric</x:v>
      </x:c>
      <x:c r="N3506" s="34" t="str">
        <x:v>Feedback-Directed Random Test Generation/Result/Closure_24/result.json</x:v>
      </x:c>
      <x:c r="O3506" s="38" t="n">
        <x:f>IF(AND(G3506="RECORDED",ISNUMBER(H3506)),H3506,"")</x:f>
        <x:v>0</x:v>
      </x:c>
      <x:c r="P3506" s="34" t="str">
        <x:v>NOT_REVEALING</x:v>
      </x:c>
      <x:c r="Q3506" s="34" t="str">
        <x:v>Feedback-Directed Random Test Generation/Result/Closure_24/result.json</x:v>
      </x:c>
    </x:row>
    <x:row r="3507">
      <x:c r="A3507" s="34" t="str">
        <x:v>randoop</x:v>
      </x:c>
      <x:c r="B3507" s="34" t="str">
        <x:v>Closure</x:v>
      </x:c>
      <x:c r="C3507" s="34" t="str">
        <x:v>Round1</x:v>
      </x:c>
      <x:c r="D3507" s="34" t="str">
        <x:v>Closure_25</x:v>
      </x:c>
      <x:c r="E3507" s="34" t="str">
        <x:v>Condition</x:v>
      </x:c>
      <x:c r="F3507" s="34" t="n">
        <x:v>404</x:v>
      </x:c>
      <x:c r="G3507" s="34" t="str">
        <x:v>RECORDED</x:v>
      </x:c>
      <x:c r="H3507" s="38" t="n">
        <x:f>IF(ISNUMBER('Data'!I91),'Data'!I91*100,"")</x:f>
        <x:v>0.5</x:v>
      </x:c>
      <x:c r="I3507" s="34" t="str">
        <x:v>PASS</x:v>
      </x:c>
      <x:c r="J3507" s="34" t="str">
        <x:v>PASS</x:v>
      </x:c>
      <x:c r="K3507" s="34" t="str">
        <x:v>PASS</x:v>
      </x:c>
      <x:c r="L3507" s="34" t="str">
        <x:v>PASS</x:v>
      </x:c>
      <x:c r="M3507" s="34" t="str">
        <x:v>numeric coverage for applicable metric</x:v>
      </x:c>
      <x:c r="N3507" s="34" t="str">
        <x:v>Feedback-Directed Random Test Generation/Result/Closure_25/result.json</x:v>
      </x:c>
      <x:c r="O3507" s="38" t="n">
        <x:f>IF(AND(G3507="RECORDED",ISNUMBER(H3507)),H3507,"")</x:f>
        <x:v>0.5</x:v>
      </x:c>
      <x:c r="P3507" s="34" t="str">
        <x:v>NOT_REVEALING</x:v>
      </x:c>
      <x:c r="Q3507" s="34" t="str">
        <x:v>Feedback-Directed Random Test Generation/Result/Closure_25/result.json</x:v>
      </x:c>
    </x:row>
    <x:row r="3508">
      <x:c r="A3508" s="34" t="str">
        <x:v>randoop</x:v>
      </x:c>
      <x:c r="B3508" s="34" t="str">
        <x:v>Closure</x:v>
      </x:c>
      <x:c r="C3508" s="34" t="str">
        <x:v>Round1</x:v>
      </x:c>
      <x:c r="D3508" s="34" t="str">
        <x:v>Closure_26</x:v>
      </x:c>
      <x:c r="E3508" s="34" t="str">
        <x:v>Condition</x:v>
      </x:c>
      <x:c r="F3508" s="34" t="n">
        <x:v>40</x:v>
      </x:c>
      <x:c r="G3508" s="34" t="str">
        <x:v>RECORDED</x:v>
      </x:c>
      <x:c r="H3508" s="38" t="n">
        <x:f>IF(ISNUMBER('Data'!I92),'Data'!I92*100,"")</x:f>
        <x:v>15</x:v>
      </x:c>
      <x:c r="I3508" s="34" t="str">
        <x:v>PASS</x:v>
      </x:c>
      <x:c r="J3508" s="34" t="str">
        <x:v>PASS</x:v>
      </x:c>
      <x:c r="K3508" s="34" t="str">
        <x:v>PASS</x:v>
      </x:c>
      <x:c r="L3508" s="34" t="str">
        <x:v>PASS</x:v>
      </x:c>
      <x:c r="M3508" s="34" t="str">
        <x:v>numeric coverage for applicable metric</x:v>
      </x:c>
      <x:c r="N3508" s="34" t="str">
        <x:v>Feedback-Directed Random Test Generation/Result/Closure_26/result.json</x:v>
      </x:c>
      <x:c r="O3508" s="38" t="n">
        <x:f>IF(AND(G3508="RECORDED",ISNUMBER(H3508)),H3508,"")</x:f>
        <x:v>15</x:v>
      </x:c>
      <x:c r="P3508" s="34" t="str">
        <x:v>NOT_REVEALING</x:v>
      </x:c>
      <x:c r="Q3508" s="34" t="str">
        <x:v>Feedback-Directed Random Test Generation/Result/Closure_26/result.json</x:v>
      </x:c>
    </x:row>
    <x:row r="3509">
      <x:c r="A3509" s="34" t="str">
        <x:v>randoop</x:v>
      </x:c>
      <x:c r="B3509" s="34" t="str">
        <x:v>Closure</x:v>
      </x:c>
      <x:c r="C3509" s="34" t="str">
        <x:v>Round1</x:v>
      </x:c>
      <x:c r="D3509" s="34" t="str">
        <x:v>Closure_27</x:v>
      </x:c>
      <x:c r="E3509" s="34" t="str">
        <x:v>Condition</x:v>
      </x:c>
      <x:c r="F3509" s="34" t="n">
        <x:v>60</x:v>
      </x:c>
      <x:c r="G3509" s="34" t="str">
        <x:v>RECORDED</x:v>
      </x:c>
      <x:c r="H3509" s="38" t="n">
        <x:f>IF(ISNUMBER('Data'!I93),'Data'!I93*100,"")</x:f>
        <x:v>68.33</x:v>
      </x:c>
      <x:c r="I3509" s="34" t="str">
        <x:v>PASS</x:v>
      </x:c>
      <x:c r="J3509" s="34" t="str">
        <x:v>PASS</x:v>
      </x:c>
      <x:c r="K3509" s="34" t="str">
        <x:v>PASS</x:v>
      </x:c>
      <x:c r="L3509" s="34" t="str">
        <x:v>PASS</x:v>
      </x:c>
      <x:c r="M3509" s="34" t="str">
        <x:v>numeric coverage for applicable metric</x:v>
      </x:c>
      <x:c r="N3509" s="34" t="str">
        <x:v>Feedback-Directed Random Test Generation/Result/Closure_27/result.json</x:v>
      </x:c>
      <x:c r="O3509" s="38" t="n">
        <x:f>IF(AND(G3509="RECORDED",ISNUMBER(H3509)),H3509,"")</x:f>
        <x:v>68.33</x:v>
      </x:c>
      <x:c r="P3509" s="34" t="str">
        <x:v>INCONCLUSIVE</x:v>
      </x:c>
      <x:c r="Q3509" s="34" t="str">
        <x:v>Feedback-Directed Random Test Generation/Result/Closure_27/result.json</x:v>
      </x:c>
    </x:row>
    <x:row r="3510">
      <x:c r="A3510" s="34" t="str">
        <x:v>randoop</x:v>
      </x:c>
      <x:c r="B3510" s="34" t="str">
        <x:v>Closure</x:v>
      </x:c>
      <x:c r="C3510" s="34" t="str">
        <x:v>Round1</x:v>
      </x:c>
      <x:c r="D3510" s="34" t="str">
        <x:v>Closure_28</x:v>
      </x:c>
      <x:c r="E3510" s="34" t="str">
        <x:v>Condition</x:v>
      </x:c>
      <x:c r="F3510" s="34" t="n">
        <x:v>2</x:v>
      </x:c>
      <x:c r="G3510" s="34" t="str">
        <x:v>RECORDED</x:v>
      </x:c>
      <x:c r="H3510" s="38" t="n">
        <x:f>IF(ISNUMBER('Data'!I94),'Data'!I94*100,"")</x:f>
        <x:v>0</x:v>
      </x:c>
      <x:c r="I3510" s="34" t="str">
        <x:v>PASS</x:v>
      </x:c>
      <x:c r="J3510" s="34" t="str">
        <x:v>PASS</x:v>
      </x:c>
      <x:c r="K3510" s="34" t="str">
        <x:v>PASS</x:v>
      </x:c>
      <x:c r="L3510" s="34" t="str">
        <x:v>PASS</x:v>
      </x:c>
      <x:c r="M3510" s="34" t="str">
        <x:v>numeric coverage for applicable metric</x:v>
      </x:c>
      <x:c r="N3510" s="34" t="str">
        <x:v>Feedback-Directed Random Test Generation/Result/Closure_28/result.json</x:v>
      </x:c>
      <x:c r="O3510" s="38" t="n">
        <x:f>IF(AND(G3510="RECORDED",ISNUMBER(H3510)),H3510,"")</x:f>
        <x:v>0</x:v>
      </x:c>
      <x:c r="P3510" s="34" t="str">
        <x:v>NOT_REVEALING</x:v>
      </x:c>
      <x:c r="Q3510" s="34" t="str">
        <x:v>Feedback-Directed Random Test Generation/Result/Closure_28/result.json</x:v>
      </x:c>
    </x:row>
    <x:row r="3511">
      <x:c r="A3511" s="34" t="str">
        <x:v>randoop</x:v>
      </x:c>
      <x:c r="B3511" s="34" t="str">
        <x:v>Closure</x:v>
      </x:c>
      <x:c r="C3511" s="34" t="str">
        <x:v>Round1</x:v>
      </x:c>
      <x:c r="D3511" s="34" t="str">
        <x:v>Closure_29</x:v>
      </x:c>
      <x:c r="E3511" s="34" t="str">
        <x:v>Condition</x:v>
      </x:c>
      <x:c r="F3511" s="34" t="n">
        <x:v>104</x:v>
      </x:c>
      <x:c r="G3511" s="34" t="str">
        <x:v>RECORDED</x:v>
      </x:c>
      <x:c r="H3511" s="38" t="n">
        <x:f>IF(ISNUMBER('Data'!I95),'Data'!I95*100,"")</x:f>
        <x:v>0</x:v>
      </x:c>
      <x:c r="I3511" s="34" t="str">
        <x:v>PASS</x:v>
      </x:c>
      <x:c r="J3511" s="34" t="str">
        <x:v>PASS</x:v>
      </x:c>
      <x:c r="K3511" s="34" t="str">
        <x:v>PASS</x:v>
      </x:c>
      <x:c r="L3511" s="34" t="str">
        <x:v>PASS</x:v>
      </x:c>
      <x:c r="M3511" s="34" t="str">
        <x:v>numeric coverage for applicable metric</x:v>
      </x:c>
      <x:c r="N3511" s="34" t="str">
        <x:v>Feedback-Directed Random Test Generation/Result/Closure_29/result.json</x:v>
      </x:c>
      <x:c r="O3511" s="38" t="n">
        <x:f>IF(AND(G3511="RECORDED",ISNUMBER(H3511)),H3511,"")</x:f>
        <x:v>0</x:v>
      </x:c>
      <x:c r="P3511" s="34" t="str">
        <x:v>NOT_REVEALING</x:v>
      </x:c>
      <x:c r="Q3511" s="34" t="str">
        <x:v>Feedback-Directed Random Test Generation/Result/Closure_29/result.json</x:v>
      </x:c>
    </x:row>
    <x:row r="3512">
      <x:c r="A3512" s="34" t="str">
        <x:v>randoop</x:v>
      </x:c>
      <x:c r="B3512" s="34" t="str">
        <x:v>Closure</x:v>
      </x:c>
      <x:c r="C3512" s="34" t="str">
        <x:v>Round1</x:v>
      </x:c>
      <x:c r="D3512" s="34" t="str">
        <x:v>Closure_30</x:v>
      </x:c>
      <x:c r="E3512" s="34" t="str">
        <x:v>Condition</x:v>
      </x:c>
      <x:c r="F3512" s="34" t="n">
        <x:v>222</x:v>
      </x:c>
      <x:c r="G3512" s="34" t="str">
        <x:v>RECORDED</x:v>
      </x:c>
      <x:c r="H3512" s="38" t="n">
        <x:f>IF(ISNUMBER('Data'!I96),'Data'!I96*100,"")</x:f>
        <x:v>1.35</x:v>
      </x:c>
      <x:c r="I3512" s="34" t="str">
        <x:v>PASS</x:v>
      </x:c>
      <x:c r="J3512" s="34" t="str">
        <x:v>PASS</x:v>
      </x:c>
      <x:c r="K3512" s="34" t="str">
        <x:v>PASS</x:v>
      </x:c>
      <x:c r="L3512" s="34" t="str">
        <x:v>FAIL</x:v>
      </x:c>
      <x:c r="M3512" s="34" t="str">
        <x:v>numeric coverage for applicable metric</x:v>
      </x:c>
      <x:c r="N3512" s="34" t="str">
        <x:v>Feedback-Directed Random Test Generation/Result/Closure_30/result.json</x:v>
      </x:c>
      <x:c r="O3512" s="38" t="n">
        <x:f>IF(AND(G3512="RECORDED",ISNUMBER(H3512)),H3512,"")</x:f>
        <x:v>1.35</x:v>
      </x:c>
      <x:c r="P3512" s="34" t="str">
        <x:v>INCONCLUSIVE</x:v>
      </x:c>
      <x:c r="Q3512" s="34" t="str">
        <x:v>Feedback-Directed Random Test Generation/Result/Closure_30/result.json</x:v>
      </x:c>
    </x:row>
    <x:row r="3513">
      <x:c r="A3513" s="34" t="str">
        <x:v>randoop</x:v>
      </x:c>
      <x:c r="B3513" s="34" t="str">
        <x:v>Closure</x:v>
      </x:c>
      <x:c r="C3513" s="34" t="str">
        <x:v>Round1</x:v>
      </x:c>
      <x:c r="D3513" s="34" t="str">
        <x:v>Closure_31</x:v>
      </x:c>
      <x:c r="E3513" s="34" t="str">
        <x:v>Condition</x:v>
      </x:c>
      <x:c r="F3513" s="34" t="n">
        <x:v>400</x:v>
      </x:c>
      <x:c r="G3513" s="34" t="str">
        <x:v>RECORDED</x:v>
      </x:c>
      <x:c r="H3513" s="38" t="n">
        <x:f>IF(ISNUMBER('Data'!I97),'Data'!I97*100,"")</x:f>
        <x:v>31.5</x:v>
      </x:c>
      <x:c r="I3513" s="34" t="str">
        <x:v>PASS</x:v>
      </x:c>
      <x:c r="J3513" s="34" t="str">
        <x:v>PASS</x:v>
      </x:c>
      <x:c r="K3513" s="34" t="str">
        <x:v>PASS</x:v>
      </x:c>
      <x:c r="L3513" s="34" t="str">
        <x:v>FAIL</x:v>
      </x:c>
      <x:c r="M3513" s="34" t="str">
        <x:v>numeric coverage for applicable metric</x:v>
      </x:c>
      <x:c r="N3513" s="34" t="str">
        <x:v>Feedback-Directed Random Test Generation/Result/Closure_31/result.json</x:v>
      </x:c>
      <x:c r="O3513" s="38" t="n">
        <x:f>IF(AND(G3513="RECORDED",ISNUMBER(H3513)),H3513,"")</x:f>
        <x:v>31.5</x:v>
      </x:c>
      <x:c r="P3513" s="34" t="str">
        <x:v>INCONCLUSIVE</x:v>
      </x:c>
      <x:c r="Q3513" s="34" t="str">
        <x:v>Feedback-Directed Random Test Generation/Result/Closure_31/result.json</x:v>
      </x:c>
    </x:row>
    <x:row r="3514">
      <x:c r="A3514" s="34" t="str">
        <x:v>randoop</x:v>
      </x:c>
      <x:c r="B3514" s="34" t="str">
        <x:v>Closure</x:v>
      </x:c>
      <x:c r="C3514" s="34" t="str">
        <x:v>Round1</x:v>
      </x:c>
      <x:c r="D3514" s="34" t="str">
        <x:v>Closure_32</x:v>
      </x:c>
      <x:c r="E3514" s="34" t="str">
        <x:v>Condition</x:v>
      </x:c>
      <x:c r="F3514" s="34" t="n">
        <x:v>611</x:v>
      </x:c>
      <x:c r="G3514" s="34" t="str">
        <x:v>RECORDED</x:v>
      </x:c>
      <x:c r="H3514" s="38" t="n">
        <x:f>IF(ISNUMBER('Data'!I98),'Data'!I98*100,"")</x:f>
        <x:v>5.07</x:v>
      </x:c>
      <x:c r="I3514" s="34" t="str">
        <x:v>PASS</x:v>
      </x:c>
      <x:c r="J3514" s="34" t="str">
        <x:v>PASS</x:v>
      </x:c>
      <x:c r="K3514" s="34" t="str">
        <x:v>PASS</x:v>
      </x:c>
      <x:c r="L3514" s="34" t="str">
        <x:v>PASS</x:v>
      </x:c>
      <x:c r="M3514" s="34" t="str">
        <x:v>numeric coverage for applicable metric</x:v>
      </x:c>
      <x:c r="N3514" s="34" t="str">
        <x:v>Feedback-Directed Random Test Generation/Result/Closure_32/result.json</x:v>
      </x:c>
      <x:c r="O3514" s="38" t="n">
        <x:f>IF(AND(G3514="RECORDED",ISNUMBER(H3514)),H3514,"")</x:f>
        <x:v>5.07</x:v>
      </x:c>
      <x:c r="P3514" s="34" t="str">
        <x:v>NOT_REVEALING</x:v>
      </x:c>
      <x:c r="Q3514" s="34" t="str">
        <x:v>Feedback-Directed Random Test Generation/Result/Closure_32/result.json</x:v>
      </x:c>
    </x:row>
    <x:row r="3515">
      <x:c r="A3515" s="34" t="str">
        <x:v>randoop</x:v>
      </x:c>
      <x:c r="B3515" s="34" t="str">
        <x:v>Closure</x:v>
      </x:c>
      <x:c r="C3515" s="34" t="str">
        <x:v>Round1</x:v>
      </x:c>
      <x:c r="D3515" s="34" t="str">
        <x:v>Closure_33</x:v>
      </x:c>
      <x:c r="E3515" s="34" t="str">
        <x:v>Condition</x:v>
      </x:c>
      <x:c r="F3515" s="34" t="n">
        <x:v>180</x:v>
      </x:c>
      <x:c r="G3515" s="34" t="str">
        <x:v>RECORDED</x:v>
      </x:c>
      <x:c r="H3515" s="38" t="n">
        <x:f>IF(ISNUMBER('Data'!I99),'Data'!I99*100,"")</x:f>
        <x:v>41.11</x:v>
      </x:c>
      <x:c r="I3515" s="34" t="str">
        <x:v>PASS</x:v>
      </x:c>
      <x:c r="J3515" s="34" t="str">
        <x:v>PASS</x:v>
      </x:c>
      <x:c r="K3515" s="34" t="str">
        <x:v>PASS</x:v>
      </x:c>
      <x:c r="L3515" s="34" t="str">
        <x:v>PASS</x:v>
      </x:c>
      <x:c r="M3515" s="34" t="str">
        <x:v>numeric coverage for applicable metric</x:v>
      </x:c>
      <x:c r="N3515" s="34" t="str">
        <x:v>Feedback-Directed Random Test Generation/Result/Closure_33/result.json</x:v>
      </x:c>
      <x:c r="O3515" s="38" t="n">
        <x:f>IF(AND(G3515="RECORDED",ISNUMBER(H3515)),H3515,"")</x:f>
        <x:v>41.11</x:v>
      </x:c>
      <x:c r="P3515" s="34" t="str">
        <x:v>INCONCLUSIVE</x:v>
      </x:c>
      <x:c r="Q3515" s="34" t="str">
        <x:v>Feedback-Directed Random Test Generation/Result/Closure_33/result.json</x:v>
      </x:c>
    </x:row>
    <x:row r="3516">
      <x:c r="A3516" s="34" t="str">
        <x:v>randoop</x:v>
      </x:c>
      <x:c r="B3516" s="34" t="str">
        <x:v>Closure</x:v>
      </x:c>
      <x:c r="C3516" s="34" t="str">
        <x:v>Round1</x:v>
      </x:c>
      <x:c r="D3516" s="34" t="str">
        <x:v>Closure_34</x:v>
      </x:c>
      <x:c r="E3516" s="34" t="str">
        <x:v>Condition</x:v>
      </x:c>
      <x:c r="F3516" s="34" t="n">
        <x:v>575</x:v>
      </x:c>
      <x:c r="G3516" s="34" t="str">
        <x:v>RECORDED</x:v>
      </x:c>
      <x:c r="H3516" s="38" t="n">
        <x:f>IF(ISNUMBER('Data'!I100),'Data'!I100*100,"")</x:f>
        <x:v>4</x:v>
      </x:c>
      <x:c r="I3516" s="34" t="str">
        <x:v>PASS</x:v>
      </x:c>
      <x:c r="J3516" s="34" t="str">
        <x:v>PASS</x:v>
      </x:c>
      <x:c r="K3516" s="34" t="str">
        <x:v>PASS</x:v>
      </x:c>
      <x:c r="L3516" s="34" t="str">
        <x:v>PASS</x:v>
      </x:c>
      <x:c r="M3516" s="34" t="str">
        <x:v>numeric coverage for applicable metric</x:v>
      </x:c>
      <x:c r="N3516" s="34" t="str">
        <x:v>Feedback-Directed Random Test Generation/Result/Closure_34/result.json</x:v>
      </x:c>
      <x:c r="O3516" s="38" t="n">
        <x:f>IF(AND(G3516="RECORDED",ISNUMBER(H3516)),H3516,"")</x:f>
        <x:v>4</x:v>
      </x:c>
      <x:c r="P3516" s="34" t="str">
        <x:v>NOT_REVEALING</x:v>
      </x:c>
      <x:c r="Q3516" s="34" t="str">
        <x:v>Feedback-Directed Random Test Generation/Result/Closure_34/result.json</x:v>
      </x:c>
    </x:row>
    <x:row r="3517">
      <x:c r="A3517" s="34" t="str">
        <x:v>randoop</x:v>
      </x:c>
      <x:c r="B3517" s="34" t="str">
        <x:v>Closure</x:v>
      </x:c>
      <x:c r="C3517" s="34" t="str">
        <x:v>Round1</x:v>
      </x:c>
      <x:c r="D3517" s="34" t="str">
        <x:v>Closure_35</x:v>
      </x:c>
      <x:c r="E3517" s="34" t="str">
        <x:v>Condition</x:v>
      </x:c>
      <x:c r="F3517" s="34" t="n">
        <x:v>422</x:v>
      </x:c>
      <x:c r="G3517" s="34" t="str">
        <x:v>RECORDED</x:v>
      </x:c>
      <x:c r="H3517" s="38" t="n">
        <x:f>IF(ISNUMBER('Data'!I101),'Data'!I101*100,"")</x:f>
        <x:v>0.4699999999999999</x:v>
      </x:c>
      <x:c r="I3517" s="34" t="str">
        <x:v>PASS</x:v>
      </x:c>
      <x:c r="J3517" s="34" t="str">
        <x:v>PASS</x:v>
      </x:c>
      <x:c r="K3517" s="34" t="str">
        <x:v>PASS</x:v>
      </x:c>
      <x:c r="L3517" s="34" t="str">
        <x:v>PASS</x:v>
      </x:c>
      <x:c r="M3517" s="34" t="str">
        <x:v>numeric coverage for applicable metric</x:v>
      </x:c>
      <x:c r="N3517" s="34" t="str">
        <x:v>Feedback-Directed Random Test Generation/Result/Closure_35/result.json</x:v>
      </x:c>
      <x:c r="O3517" s="38" t="n">
        <x:f>IF(AND(G3517="RECORDED",ISNUMBER(H3517)),H3517,"")</x:f>
        <x:v>0.4699999999999999</x:v>
      </x:c>
      <x:c r="P3517" s="34" t="str">
        <x:v>NOT_REVEALING</x:v>
      </x:c>
      <x:c r="Q3517" s="34" t="str">
        <x:v>Feedback-Directed Random Test Generation/Result/Closure_35/result.json</x:v>
      </x:c>
    </x:row>
    <x:row r="3518">
      <x:c r="A3518" s="34" t="str">
        <x:v>randoop</x:v>
      </x:c>
      <x:c r="B3518" s="34" t="str">
        <x:v>Closure</x:v>
      </x:c>
      <x:c r="C3518" s="34" t="str">
        <x:v>Round1</x:v>
      </x:c>
      <x:c r="D3518" s="34" t="str">
        <x:v>Closure_36</x:v>
      </x:c>
      <x:c r="E3518" s="34" t="str">
        <x:v>Condition</x:v>
      </x:c>
      <x:c r="F3518" s="34" t="n">
        <x:v>232</x:v>
      </x:c>
      <x:c r="G3518" s="34" t="str">
        <x:v>RECORDED</x:v>
      </x:c>
      <x:c r="H3518" s="38" t="n">
        <x:f>IF(ISNUMBER('Data'!I102),'Data'!I102*100,"")</x:f>
        <x:v>1.29</x:v>
      </x:c>
      <x:c r="I3518" s="34" t="str">
        <x:v>PASS</x:v>
      </x:c>
      <x:c r="J3518" s="34" t="str">
        <x:v>PASS</x:v>
      </x:c>
      <x:c r="K3518" s="34" t="str">
        <x:v>PASS</x:v>
      </x:c>
      <x:c r="L3518" s="34" t="str">
        <x:v>PASS</x:v>
      </x:c>
      <x:c r="M3518" s="34" t="str">
        <x:v>numeric coverage for applicable metric</x:v>
      </x:c>
      <x:c r="N3518" s="34" t="str">
        <x:v>Feedback-Directed Random Test Generation/Result/Closure_36/result.json</x:v>
      </x:c>
      <x:c r="O3518" s="38" t="n">
        <x:f>IF(AND(G3518="RECORDED",ISNUMBER(H3518)),H3518,"")</x:f>
        <x:v>1.29</x:v>
      </x:c>
      <x:c r="P3518" s="34" t="str">
        <x:v>NOT_REVEALING</x:v>
      </x:c>
      <x:c r="Q3518" s="34" t="str">
        <x:v>Feedback-Directed Random Test Generation/Result/Closure_36/result.json</x:v>
      </x:c>
    </x:row>
    <x:row r="3519">
      <x:c r="A3519" s="34" t="str">
        <x:v>randoop</x:v>
      </x:c>
      <x:c r="B3519" s="34" t="str">
        <x:v>Closure</x:v>
      </x:c>
      <x:c r="C3519" s="34" t="str">
        <x:v>Round1</x:v>
      </x:c>
      <x:c r="D3519" s="34" t="str">
        <x:v>Closure_37</x:v>
      </x:c>
      <x:c r="E3519" s="34" t="str">
        <x:v>Condition</x:v>
      </x:c>
      <x:c r="F3519" s="34" t="n">
        <x:v>385</x:v>
      </x:c>
      <x:c r="G3519" s="34" t="str">
        <x:v>RECORDED</x:v>
      </x:c>
      <x:c r="H3519" s="38" t="n">
        <x:f>IF(ISNUMBER('Data'!I103),'Data'!I103*100,"")</x:f>
        <x:v>3.64</x:v>
      </x:c>
      <x:c r="I3519" s="34" t="str">
        <x:v>PASS</x:v>
      </x:c>
      <x:c r="J3519" s="34" t="str">
        <x:v>PASS</x:v>
      </x:c>
      <x:c r="K3519" s="34" t="str">
        <x:v>PASS</x:v>
      </x:c>
      <x:c r="L3519" s="34" t="str">
        <x:v>PASS</x:v>
      </x:c>
      <x:c r="M3519" s="34" t="str">
        <x:v>numeric coverage for applicable metric</x:v>
      </x:c>
      <x:c r="N3519" s="34" t="str">
        <x:v>Feedback-Directed Random Test Generation/Result/Closure_37/result.json</x:v>
      </x:c>
      <x:c r="O3519" s="38" t="n">
        <x:f>IF(AND(G3519="RECORDED",ISNUMBER(H3519)),H3519,"")</x:f>
        <x:v>3.64</x:v>
      </x:c>
      <x:c r="P3519" s="34" t="str">
        <x:v>NOT_REVEALING</x:v>
      </x:c>
      <x:c r="Q3519" s="34" t="str">
        <x:v>Feedback-Directed Random Test Generation/Result/Closure_37/result.json</x:v>
      </x:c>
    </x:row>
    <x:row r="3520">
      <x:c r="A3520" s="34" t="str">
        <x:v>randoop</x:v>
      </x:c>
      <x:c r="B3520" s="34" t="str">
        <x:v>Closure</x:v>
      </x:c>
      <x:c r="C3520" s="34" t="str">
        <x:v>Round1</x:v>
      </x:c>
      <x:c r="D3520" s="34" t="str">
        <x:v>Closure_38</x:v>
      </x:c>
      <x:c r="E3520" s="34" t="str">
        <x:v>Condition</x:v>
      </x:c>
      <x:c r="F3520" s="34" t="n">
        <x:v>64</x:v>
      </x:c>
      <x:c r="G3520" s="34" t="str">
        <x:v>RECORDED</x:v>
      </x:c>
      <x:c r="H3520" s="38" t="n">
        <x:f>IF(ISNUMBER('Data'!I104),'Data'!I104*100,"")</x:f>
        <x:v>10.94</x:v>
      </x:c>
      <x:c r="I3520" s="34" t="str">
        <x:v>PASS</x:v>
      </x:c>
      <x:c r="J3520" s="34" t="str">
        <x:v>PASS</x:v>
      </x:c>
      <x:c r="K3520" s="34" t="str">
        <x:v>PASS</x:v>
      </x:c>
      <x:c r="L3520" s="34" t="str">
        <x:v>PASS</x:v>
      </x:c>
      <x:c r="M3520" s="34" t="str">
        <x:v>numeric coverage for applicable metric</x:v>
      </x:c>
      <x:c r="N3520" s="34" t="str">
        <x:v>Feedback-Directed Random Test Generation/Result/Closure_38/result.json</x:v>
      </x:c>
      <x:c r="O3520" s="38" t="n">
        <x:f>IF(AND(G3520="RECORDED",ISNUMBER(H3520)),H3520,"")</x:f>
        <x:v>10.94</x:v>
      </x:c>
      <x:c r="P3520" s="34" t="str">
        <x:v>NOT_REVEALING</x:v>
      </x:c>
      <x:c r="Q3520" s="34" t="str">
        <x:v>Feedback-Directed Random Test Generation/Result/Closure_38/result.json</x:v>
      </x:c>
    </x:row>
    <x:row r="3521">
      <x:c r="A3521" s="34" t="str">
        <x:v>randoop</x:v>
      </x:c>
      <x:c r="B3521" s="34" t="str">
        <x:v>Closure</x:v>
      </x:c>
      <x:c r="C3521" s="34" t="str">
        <x:v>Round1</x:v>
      </x:c>
      <x:c r="D3521" s="34" t="str">
        <x:v>Closure_39</x:v>
      </x:c>
      <x:c r="E3521" s="34" t="str">
        <x:v>Condition</x:v>
      </x:c>
      <x:c r="F3521" s="34" t="n">
        <x:v>168</x:v>
      </x:c>
      <x:c r="G3521" s="34" t="str">
        <x:v>RECORDED</x:v>
      </x:c>
      <x:c r="H3521" s="38" t="n">
        <x:f>IF(ISNUMBER('Data'!I105),'Data'!I105*100,"")</x:f>
        <x:v>42.86</x:v>
      </x:c>
      <x:c r="I3521" s="34" t="str">
        <x:v>PASS</x:v>
      </x:c>
      <x:c r="J3521" s="34" t="str">
        <x:v>PASS</x:v>
      </x:c>
      <x:c r="K3521" s="34" t="str">
        <x:v>PASS</x:v>
      </x:c>
      <x:c r="L3521" s="34" t="str">
        <x:v>PASS</x:v>
      </x:c>
      <x:c r="M3521" s="34" t="str">
        <x:v>numeric coverage for applicable metric</x:v>
      </x:c>
      <x:c r="N3521" s="34" t="str">
        <x:v>Feedback-Directed Random Test Generation/Result/Closure_39/result.json</x:v>
      </x:c>
      <x:c r="O3521" s="38" t="n">
        <x:f>IF(AND(G3521="RECORDED",ISNUMBER(H3521)),H3521,"")</x:f>
        <x:v>42.86</x:v>
      </x:c>
      <x:c r="P3521" s="34" t="str">
        <x:v>NOT_REVEALING</x:v>
      </x:c>
      <x:c r="Q3521" s="34" t="str">
        <x:v>Feedback-Directed Random Test Generation/Result/Closure_39/result.json</x:v>
      </x:c>
    </x:row>
    <x:row r="3522">
      <x:c r="A3522" s="34" t="str">
        <x:v>randoop</x:v>
      </x:c>
      <x:c r="B3522" s="34" t="str">
        <x:v>Closure</x:v>
      </x:c>
      <x:c r="C3522" s="34" t="str">
        <x:v>Round1</x:v>
      </x:c>
      <x:c r="D3522" s="34" t="str">
        <x:v>Closure_40</x:v>
      </x:c>
      <x:c r="E3522" s="34" t="str">
        <x:v>Condition</x:v>
      </x:c>
      <x:c r="F3522" s="34" t="n">
        <x:v>436</x:v>
      </x:c>
      <x:c r="G3522" s="34" t="str">
        <x:v>RECORDED</x:v>
      </x:c>
      <x:c r="H3522" s="38" t="n">
        <x:f>IF(ISNUMBER('Data'!I106),'Data'!I106*100,"")</x:f>
        <x:v>0.69</x:v>
      </x:c>
      <x:c r="I3522" s="34" t="str">
        <x:v>PASS</x:v>
      </x:c>
      <x:c r="J3522" s="34" t="str">
        <x:v>PASS</x:v>
      </x:c>
      <x:c r="K3522" s="34" t="str">
        <x:v>PASS</x:v>
      </x:c>
      <x:c r="L3522" s="34" t="str">
        <x:v>PASS</x:v>
      </x:c>
      <x:c r="M3522" s="34" t="str">
        <x:v>numeric coverage for applicable metric</x:v>
      </x:c>
      <x:c r="N3522" s="34" t="str">
        <x:v>Feedback-Directed Random Test Generation/Result/Closure_40/result.json</x:v>
      </x:c>
      <x:c r="O3522" s="38" t="n">
        <x:f>IF(AND(G3522="RECORDED",ISNUMBER(H3522)),H3522,"")</x:f>
        <x:v>0.69</x:v>
      </x:c>
      <x:c r="P3522" s="34" t="str">
        <x:v>NOT_REVEALING</x:v>
      </x:c>
      <x:c r="Q3522" s="34" t="str">
        <x:v>Feedback-Directed Random Test Generation/Result/Closure_40/result.json</x:v>
      </x:c>
    </x:row>
    <x:row r="3523">
      <x:c r="A3523" s="34" t="str">
        <x:v>randoop</x:v>
      </x:c>
      <x:c r="B3523" s="34" t="str">
        <x:v>Closure</x:v>
      </x:c>
      <x:c r="C3523" s="34" t="str">
        <x:v>Round1</x:v>
      </x:c>
      <x:c r="D3523" s="34" t="str">
        <x:v>Closure_41</x:v>
      </x:c>
      <x:c r="E3523" s="34" t="str">
        <x:v>Condition</x:v>
      </x:c>
      <x:c r="F3523" s="34" t="n">
        <x:v>240</x:v>
      </x:c>
      <x:c r="G3523" s="34" t="str">
        <x:v>RECORDED</x:v>
      </x:c>
      <x:c r="H3523" s="38" t="n">
        <x:f>IF(ISNUMBER('Data'!I107),'Data'!I107*100,"")</x:f>
        <x:v>1.67</x:v>
      </x:c>
      <x:c r="I3523" s="34" t="str">
        <x:v>PASS</x:v>
      </x:c>
      <x:c r="J3523" s="34" t="str">
        <x:v>PASS</x:v>
      </x:c>
      <x:c r="K3523" s="34" t="str">
        <x:v>PASS</x:v>
      </x:c>
      <x:c r="L3523" s="34" t="str">
        <x:v>PASS</x:v>
      </x:c>
      <x:c r="M3523" s="34" t="str">
        <x:v>numeric coverage for applicable metric</x:v>
      </x:c>
      <x:c r="N3523" s="34" t="str">
        <x:v>Feedback-Directed Random Test Generation/Result/Closure_41/result.json</x:v>
      </x:c>
      <x:c r="O3523" s="38" t="n">
        <x:f>IF(AND(G3523="RECORDED",ISNUMBER(H3523)),H3523,"")</x:f>
        <x:v>1.67</x:v>
      </x:c>
      <x:c r="P3523" s="34" t="str">
        <x:v>NOT_REVEALING</x:v>
      </x:c>
      <x:c r="Q3523" s="34" t="str">
        <x:v>Feedback-Directed Random Test Generation/Result/Closure_41/result.json</x:v>
      </x:c>
    </x:row>
    <x:row r="3524">
      <x:c r="A3524" s="34" t="str">
        <x:v>randoop</x:v>
      </x:c>
      <x:c r="B3524" s="34" t="str">
        <x:v>Closure</x:v>
      </x:c>
      <x:c r="C3524" s="34" t="str">
        <x:v>Round1</x:v>
      </x:c>
      <x:c r="D3524" s="34" t="str">
        <x:v>Closure_42</x:v>
      </x:c>
      <x:c r="E3524" s="34" t="str">
        <x:v>Condition</x:v>
      </x:c>
      <x:c r="F3524" s="34" t="n">
        <x:v>279</x:v>
      </x:c>
      <x:c r="G3524" s="34" t="str">
        <x:v>RECORDED</x:v>
      </x:c>
      <x:c r="H3524" s="38" t="n">
        <x:f>IF(ISNUMBER('Data'!I108),'Data'!I108*100,"")</x:f>
        <x:v>0.36</x:v>
      </x:c>
      <x:c r="I3524" s="34" t="str">
        <x:v>PASS</x:v>
      </x:c>
      <x:c r="J3524" s="34" t="str">
        <x:v>PASS</x:v>
      </x:c>
      <x:c r="K3524" s="34" t="str">
        <x:v>PASS</x:v>
      </x:c>
      <x:c r="L3524" s="34" t="str">
        <x:v>PASS</x:v>
      </x:c>
      <x:c r="M3524" s="34" t="str">
        <x:v>numeric coverage for applicable metric</x:v>
      </x:c>
      <x:c r="N3524" s="34" t="str">
        <x:v>Feedback-Directed Random Test Generation/Result/Closure_42/result.json</x:v>
      </x:c>
      <x:c r="O3524" s="38" t="n">
        <x:f>IF(AND(G3524="RECORDED",ISNUMBER(H3524)),H3524,"")</x:f>
        <x:v>0.36</x:v>
      </x:c>
      <x:c r="P3524" s="34" t="str">
        <x:v>NOT_REVEALING</x:v>
      </x:c>
      <x:c r="Q3524" s="34" t="str">
        <x:v>Feedback-Directed Random Test Generation/Result/Closure_42/result.json</x:v>
      </x:c>
    </x:row>
    <x:row r="3525">
      <x:c r="A3525" s="34" t="str">
        <x:v>randoop</x:v>
      </x:c>
      <x:c r="B3525" s="34" t="str">
        <x:v>Closure</x:v>
      </x:c>
      <x:c r="C3525" s="34" t="str">
        <x:v>Round1</x:v>
      </x:c>
      <x:c r="D3525" s="34" t="str">
        <x:v>Closure_43</x:v>
      </x:c>
      <x:c r="E3525" s="34" t="str">
        <x:v>Condition</x:v>
      </x:c>
      <x:c r="F3525" s="34" t="n">
        <x:v>647</x:v>
      </x:c>
      <x:c r="G3525" s="34" t="str">
        <x:v>RECORDED</x:v>
      </x:c>
      <x:c r="H3525" s="38" t="n">
        <x:f>IF(ISNUMBER('Data'!I109),'Data'!I109*100,"")</x:f>
        <x:v>0</x:v>
      </x:c>
      <x:c r="I3525" s="34" t="str">
        <x:v>PASS</x:v>
      </x:c>
      <x:c r="J3525" s="34" t="str">
        <x:v>PASS</x:v>
      </x:c>
      <x:c r="K3525" s="34" t="str">
        <x:v>PASS</x:v>
      </x:c>
      <x:c r="L3525" s="34" t="str">
        <x:v>PASS</x:v>
      </x:c>
      <x:c r="M3525" s="34" t="str">
        <x:v>numeric coverage for applicable metric</x:v>
      </x:c>
      <x:c r="N3525" s="34" t="str">
        <x:v>Feedback-Directed Random Test Generation/Result/Closure_43/result.json</x:v>
      </x:c>
      <x:c r="O3525" s="38" t="n">
        <x:f>IF(AND(G3525="RECORDED",ISNUMBER(H3525)),H3525,"")</x:f>
        <x:v>0</x:v>
      </x:c>
      <x:c r="P3525" s="34" t="str">
        <x:v>NOT_REVEALING</x:v>
      </x:c>
      <x:c r="Q3525" s="34" t="str">
        <x:v>Feedback-Directed Random Test Generation/Result/Closure_43/result.json</x:v>
      </x:c>
    </x:row>
    <x:row r="3526">
      <x:c r="A3526" s="34" t="str">
        <x:v>randoop</x:v>
      </x:c>
      <x:c r="B3526" s="34" t="str">
        <x:v>Closure</x:v>
      </x:c>
      <x:c r="C3526" s="34" t="str">
        <x:v>Round1</x:v>
      </x:c>
      <x:c r="D3526" s="34" t="str">
        <x:v>Closure_44</x:v>
      </x:c>
      <x:c r="E3526" s="34" t="str">
        <x:v>Condition</x:v>
      </x:c>
      <x:c r="F3526" s="34" t="n">
        <x:v>60</x:v>
      </x:c>
      <x:c r="G3526" s="34" t="str">
        <x:v>RECORDED</x:v>
      </x:c>
      <x:c r="H3526" s="38" t="n">
        <x:f>IF(ISNUMBER('Data'!I110),'Data'!I110*100,"")</x:f>
        <x:v>11.67</x:v>
      </x:c>
      <x:c r="I3526" s="34" t="str">
        <x:v>PASS</x:v>
      </x:c>
      <x:c r="J3526" s="34" t="str">
        <x:v>PASS</x:v>
      </x:c>
      <x:c r="K3526" s="34" t="str">
        <x:v>PASS</x:v>
      </x:c>
      <x:c r="L3526" s="34" t="str">
        <x:v>PASS</x:v>
      </x:c>
      <x:c r="M3526" s="34" t="str">
        <x:v>numeric coverage for applicable metric</x:v>
      </x:c>
      <x:c r="N3526" s="34" t="str">
        <x:v>Feedback-Directed Random Test Generation/Result/Closure_44/result.json</x:v>
      </x:c>
      <x:c r="O3526" s="38" t="n">
        <x:f>IF(AND(G3526="RECORDED",ISNUMBER(H3526)),H3526,"")</x:f>
        <x:v>11.67</x:v>
      </x:c>
      <x:c r="P3526" s="34" t="str">
        <x:v>NOT_REVEALING</x:v>
      </x:c>
      <x:c r="Q3526" s="34" t="str">
        <x:v>Feedback-Directed Random Test Generation/Result/Closure_44/result.json</x:v>
      </x:c>
    </x:row>
    <x:row r="3527">
      <x:c r="A3527" s="34" t="str">
        <x:v>randoop</x:v>
      </x:c>
      <x:c r="B3527" s="34" t="str">
        <x:v>Closure</x:v>
      </x:c>
      <x:c r="C3527" s="34" t="str">
        <x:v>Round1</x:v>
      </x:c>
      <x:c r="D3527" s="34" t="str">
        <x:v>Closure_45</x:v>
      </x:c>
      <x:c r="E3527" s="34" t="str">
        <x:v>Condition</x:v>
      </x:c>
      <x:c r="F3527" s="34" t="n">
        <x:v>281</x:v>
      </x:c>
      <x:c r="G3527" s="34" t="str">
        <x:v>RECORDED</x:v>
      </x:c>
      <x:c r="H3527" s="38" t="n">
        <x:f>IF(ISNUMBER('Data'!I111),'Data'!I111*100,"")</x:f>
        <x:v>0</x:v>
      </x:c>
      <x:c r="I3527" s="34" t="str">
        <x:v>PASS</x:v>
      </x:c>
      <x:c r="J3527" s="34" t="str">
        <x:v>PASS</x:v>
      </x:c>
      <x:c r="K3527" s="34" t="str">
        <x:v>PASS</x:v>
      </x:c>
      <x:c r="L3527" s="34" t="str">
        <x:v>PASS</x:v>
      </x:c>
      <x:c r="M3527" s="34" t="str">
        <x:v>numeric coverage for applicable metric</x:v>
      </x:c>
      <x:c r="N3527" s="34" t="str">
        <x:v>Feedback-Directed Random Test Generation/Result/Closure_45/result.json</x:v>
      </x:c>
      <x:c r="O3527" s="38" t="n">
        <x:f>IF(AND(G3527="RECORDED",ISNUMBER(H3527)),H3527,"")</x:f>
        <x:v>0</x:v>
      </x:c>
      <x:c r="P3527" s="34" t="str">
        <x:v>NOT_REVEALING</x:v>
      </x:c>
      <x:c r="Q3527" s="34" t="str">
        <x:v>Feedback-Directed Random Test Generation/Result/Closure_45/result.json</x:v>
      </x:c>
    </x:row>
    <x:row r="3528">
      <x:c r="A3528" s="34" t="str">
        <x:v>randoop</x:v>
      </x:c>
      <x:c r="B3528" s="34" t="str">
        <x:v>Closure</x:v>
      </x:c>
      <x:c r="C3528" s="34" t="str">
        <x:v>Round1</x:v>
      </x:c>
      <x:c r="D3528" s="34" t="str">
        <x:v>Closure_46</x:v>
      </x:c>
      <x:c r="E3528" s="34" t="str">
        <x:v>Condition</x:v>
      </x:c>
      <x:c r="F3528" s="34" t="n">
        <x:v>80</x:v>
      </x:c>
      <x:c r="G3528" s="34" t="str">
        <x:v>RECORDED</x:v>
      </x:c>
      <x:c r="H3528" s="38" t="n">
        <x:f>IF(ISNUMBER('Data'!I112),'Data'!I112*100,"")</x:f>
        <x:v>0</x:v>
      </x:c>
      <x:c r="I3528" s="34" t="str">
        <x:v>PASS</x:v>
      </x:c>
      <x:c r="J3528" s="34" t="str">
        <x:v>PASS</x:v>
      </x:c>
      <x:c r="K3528" s="34" t="str">
        <x:v>PASS</x:v>
      </x:c>
      <x:c r="L3528" s="34" t="str">
        <x:v>PASS</x:v>
      </x:c>
      <x:c r="M3528" s="34" t="str">
        <x:v>numeric coverage for applicable metric</x:v>
      </x:c>
      <x:c r="N3528" s="34" t="str">
        <x:v>Feedback-Directed Random Test Generation/Result/Closure_46/result.json</x:v>
      </x:c>
      <x:c r="O3528" s="38" t="n">
        <x:f>IF(AND(G3528="RECORDED",ISNUMBER(H3528)),H3528,"")</x:f>
        <x:v>0</x:v>
      </x:c>
      <x:c r="P3528" s="34" t="str">
        <x:v>NOT_REVEALING</x:v>
      </x:c>
      <x:c r="Q3528" s="34" t="str">
        <x:v>Feedback-Directed Random Test Generation/Result/Closure_46/result.json</x:v>
      </x:c>
    </x:row>
    <x:row r="3529">
      <x:c r="A3529" s="34" t="str">
        <x:v>randoop</x:v>
      </x:c>
      <x:c r="B3529" s="34" t="str">
        <x:v>Closure</x:v>
      </x:c>
      <x:c r="C3529" s="34" t="str">
        <x:v>Round1</x:v>
      </x:c>
      <x:c r="D3529" s="34" t="str">
        <x:v>Closure_47</x:v>
      </x:c>
      <x:c r="E3529" s="34" t="str">
        <x:v>Condition</x:v>
      </x:c>
      <x:c r="F3529" s="34" t="n">
        <x:v>162</x:v>
      </x:c>
      <x:c r="G3529" s="34" t="str">
        <x:v>RECORDED</x:v>
      </x:c>
      <x:c r="H3529" s="38" t="n">
        <x:f>IF(ISNUMBER('Data'!I113),'Data'!I113*100,"")</x:f>
        <x:v>1.8500000000000003</x:v>
      </x:c>
      <x:c r="I3529" s="34" t="str">
        <x:v>PASS</x:v>
      </x:c>
      <x:c r="J3529" s="34" t="str">
        <x:v>PASS</x:v>
      </x:c>
      <x:c r="K3529" s="34" t="str">
        <x:v>PASS</x:v>
      </x:c>
      <x:c r="L3529" s="34" t="str">
        <x:v>FAIL</x:v>
      </x:c>
      <x:c r="M3529" s="34" t="str">
        <x:v>numeric coverage for applicable metric</x:v>
      </x:c>
      <x:c r="N3529" s="34" t="str">
        <x:v>Feedback-Directed Random Test Generation/Result/Closure_47/result.json</x:v>
      </x:c>
      <x:c r="O3529" s="38" t="n">
        <x:f>IF(AND(G3529="RECORDED",ISNUMBER(H3529)),H3529,"")</x:f>
        <x:v>1.8500000000000003</x:v>
      </x:c>
      <x:c r="P3529" s="34" t="str">
        <x:v>INCONCLUSIVE</x:v>
      </x:c>
      <x:c r="Q3529" s="34" t="str">
        <x:v>Feedback-Directed Random Test Generation/Result/Closure_47/result.json</x:v>
      </x:c>
    </x:row>
    <x:row r="3530">
      <x:c r="A3530" s="34" t="str">
        <x:v>randoop</x:v>
      </x:c>
      <x:c r="B3530" s="34" t="str">
        <x:v>Closure</x:v>
      </x:c>
      <x:c r="C3530" s="34" t="str">
        <x:v>Round1</x:v>
      </x:c>
      <x:c r="D3530" s="34" t="str">
        <x:v>Closure_48</x:v>
      </x:c>
      <x:c r="E3530" s="34" t="str">
        <x:v>Condition</x:v>
      </x:c>
      <x:c r="F3530" s="34" t="n">
        <x:v>641</x:v>
      </x:c>
      <x:c r="G3530" s="34" t="str">
        <x:v>RECORDED</x:v>
      </x:c>
      <x:c r="H3530" s="38" t="n">
        <x:f>IF(ISNUMBER('Data'!I114),'Data'!I114*100,"")</x:f>
        <x:v>0</x:v>
      </x:c>
      <x:c r="I3530" s="34" t="str">
        <x:v>PASS</x:v>
      </x:c>
      <x:c r="J3530" s="34" t="str">
        <x:v>PASS</x:v>
      </x:c>
      <x:c r="K3530" s="34" t="str">
        <x:v>PASS</x:v>
      </x:c>
      <x:c r="L3530" s="34" t="str">
        <x:v>PASS</x:v>
      </x:c>
      <x:c r="M3530" s="34" t="str">
        <x:v>numeric coverage for applicable metric</x:v>
      </x:c>
      <x:c r="N3530" s="34" t="str">
        <x:v>Feedback-Directed Random Test Generation/Result/Closure_48/result.json</x:v>
      </x:c>
      <x:c r="O3530" s="38" t="n">
        <x:f>IF(AND(G3530="RECORDED",ISNUMBER(H3530)),H3530,"")</x:f>
        <x:v>0</x:v>
      </x:c>
      <x:c r="P3530" s="34" t="str">
        <x:v>NOT_REVEALING</x:v>
      </x:c>
      <x:c r="Q3530" s="34" t="str">
        <x:v>Feedback-Directed Random Test Generation/Result/Closure_48/result.json</x:v>
      </x:c>
    </x:row>
    <x:row r="3531">
      <x:c r="A3531" s="34" t="str">
        <x:v>randoop</x:v>
      </x:c>
      <x:c r="B3531" s="34" t="str">
        <x:v>Closure</x:v>
      </x:c>
      <x:c r="C3531" s="34" t="str">
        <x:v>Round1</x:v>
      </x:c>
      <x:c r="D3531" s="34" t="str">
        <x:v>Closure_49</x:v>
      </x:c>
      <x:c r="E3531" s="34" t="str">
        <x:v>Condition</x:v>
      </x:c>
      <x:c r="F3531" s="34" t="n">
        <x:v>105</x:v>
      </x:c>
      <x:c r="G3531" s="34" t="str">
        <x:v>RECORDED</x:v>
      </x:c>
      <x:c r="H3531" s="38" t="n">
        <x:f>IF(ISNUMBER('Data'!I115),'Data'!I115*100,"")</x:f>
        <x:v>18.1</x:v>
      </x:c>
      <x:c r="I3531" s="34" t="str">
        <x:v>PASS</x:v>
      </x:c>
      <x:c r="J3531" s="34" t="str">
        <x:v>PASS</x:v>
      </x:c>
      <x:c r="K3531" s="34" t="str">
        <x:v>PASS</x:v>
      </x:c>
      <x:c r="L3531" s="34" t="str">
        <x:v>PASS</x:v>
      </x:c>
      <x:c r="M3531" s="34" t="str">
        <x:v>numeric coverage for applicable metric</x:v>
      </x:c>
      <x:c r="N3531" s="34" t="str">
        <x:v>Feedback-Directed Random Test Generation/Result/Closure_49/result.json</x:v>
      </x:c>
      <x:c r="O3531" s="38" t="n">
        <x:f>IF(AND(G3531="RECORDED",ISNUMBER(H3531)),H3531,"")</x:f>
        <x:v>18.1</x:v>
      </x:c>
      <x:c r="P3531" s="34" t="str">
        <x:v>NOT_REVEALING</x:v>
      </x:c>
      <x:c r="Q3531" s="34" t="str">
        <x:v>Feedback-Directed Random Test Generation/Result/Closure_49/result.json</x:v>
      </x:c>
    </x:row>
    <x:row r="3532">
      <x:c r="A3532" s="34" t="str">
        <x:v>randoop</x:v>
      </x:c>
      <x:c r="B3532" s="34" t="str">
        <x:v>Closure</x:v>
      </x:c>
      <x:c r="C3532" s="34" t="str">
        <x:v>Round1</x:v>
      </x:c>
      <x:c r="D3532" s="34" t="str">
        <x:v>Closure_50</x:v>
      </x:c>
      <x:c r="E3532" s="34" t="str">
        <x:v>Condition</x:v>
      </x:c>
      <x:c r="F3532" s="34" t="n">
        <x:v>245</x:v>
      </x:c>
      <x:c r="G3532" s="34" t="str">
        <x:v>RECORDED</x:v>
      </x:c>
      <x:c r="H3532" s="38" t="n">
        <x:f>IF(ISNUMBER('Data'!I116),'Data'!I116*100,"")</x:f>
        <x:v>0</x:v>
      </x:c>
      <x:c r="I3532" s="34" t="str">
        <x:v>PASS</x:v>
      </x:c>
      <x:c r="J3532" s="34" t="str">
        <x:v>PASS</x:v>
      </x:c>
      <x:c r="K3532" s="34" t="str">
        <x:v>PASS</x:v>
      </x:c>
      <x:c r="L3532" s="34" t="str">
        <x:v>PASS</x:v>
      </x:c>
      <x:c r="M3532" s="34" t="str">
        <x:v>numeric coverage for applicable metric</x:v>
      </x:c>
      <x:c r="N3532" s="34" t="str">
        <x:v>Feedback-Directed Random Test Generation/Result/Closure_50/result.json</x:v>
      </x:c>
      <x:c r="O3532" s="38" t="n">
        <x:f>IF(AND(G3532="RECORDED",ISNUMBER(H3532)),H3532,"")</x:f>
        <x:v>0</x:v>
      </x:c>
      <x:c r="P3532" s="34" t="str">
        <x:v>NOT_REVEALING</x:v>
      </x:c>
      <x:c r="Q3532" s="34" t="str">
        <x:v>Feedback-Directed Random Test Generation/Result/Closure_50/result.json</x:v>
      </x:c>
    </x:row>
    <x:row r="3533">
      <x:c r="A3533" s="34" t="str">
        <x:v>randoop</x:v>
      </x:c>
      <x:c r="B3533" s="34" t="str">
        <x:v>Closure</x:v>
      </x:c>
      <x:c r="C3533" s="34" t="str">
        <x:v>Round1</x:v>
      </x:c>
      <x:c r="D3533" s="34" t="str">
        <x:v>Closure_51</x:v>
      </x:c>
      <x:c r="E3533" s="34" t="str">
        <x:v>Condition</x:v>
      </x:c>
      <x:c r="F3533" s="34" t="n">
        <x:v>54</x:v>
      </x:c>
      <x:c r="G3533" s="34" t="str">
        <x:v>RECORDED</x:v>
      </x:c>
      <x:c r="H3533" s="38" t="n">
        <x:f>IF(ISNUMBER('Data'!I117),'Data'!I117*100,"")</x:f>
        <x:v>7.41</x:v>
      </x:c>
      <x:c r="I3533" s="34" t="str">
        <x:v>PASS</x:v>
      </x:c>
      <x:c r="J3533" s="34" t="str">
        <x:v>PASS</x:v>
      </x:c>
      <x:c r="K3533" s="34" t="str">
        <x:v>PASS</x:v>
      </x:c>
      <x:c r="L3533" s="34" t="str">
        <x:v>PASS</x:v>
      </x:c>
      <x:c r="M3533" s="34" t="str">
        <x:v>numeric coverage for applicable metric</x:v>
      </x:c>
      <x:c r="N3533" s="34" t="str">
        <x:v>Feedback-Directed Random Test Generation/Result/Closure_51/result.json</x:v>
      </x:c>
      <x:c r="O3533" s="38" t="n">
        <x:f>IF(AND(G3533="RECORDED",ISNUMBER(H3533)),H3533,"")</x:f>
        <x:v>7.41</x:v>
      </x:c>
      <x:c r="P3533" s="34" t="str">
        <x:v>NOT_REVEALING</x:v>
      </x:c>
      <x:c r="Q3533" s="34" t="str">
        <x:v>Feedback-Directed Random Test Generation/Result/Closure_51/result.json</x:v>
      </x:c>
    </x:row>
    <x:row r="3534">
      <x:c r="A3534" s="34" t="str">
        <x:v>randoop</x:v>
      </x:c>
      <x:c r="B3534" s="34" t="str">
        <x:v>Closure</x:v>
      </x:c>
      <x:c r="C3534" s="34" t="str">
        <x:v>Round1</x:v>
      </x:c>
      <x:c r="D3534" s="34" t="str">
        <x:v>Closure_52</x:v>
      </x:c>
      <x:c r="E3534" s="34" t="str">
        <x:v>Condition</x:v>
      </x:c>
      <x:c r="F3534" s="34" t="n">
        <x:v>451</x:v>
      </x:c>
      <x:c r="G3534" s="34" t="str">
        <x:v>RECORDED</x:v>
      </x:c>
      <x:c r="H3534" s="38" t="n">
        <x:f>IF(ISNUMBER('Data'!I118),'Data'!I118*100,"")</x:f>
        <x:v>7.539999999999999</x:v>
      </x:c>
      <x:c r="I3534" s="34" t="str">
        <x:v>PASS</x:v>
      </x:c>
      <x:c r="J3534" s="34" t="str">
        <x:v>PASS</x:v>
      </x:c>
      <x:c r="K3534" s="34" t="str">
        <x:v>PASS</x:v>
      </x:c>
      <x:c r="L3534" s="34" t="str">
        <x:v>PASS</x:v>
      </x:c>
      <x:c r="M3534" s="34" t="str">
        <x:v>numeric coverage for applicable metric</x:v>
      </x:c>
      <x:c r="N3534" s="34" t="str">
        <x:v>Feedback-Directed Random Test Generation/Result/Closure_52/result.json</x:v>
      </x:c>
      <x:c r="O3534" s="38" t="n">
        <x:f>IF(AND(G3534="RECORDED",ISNUMBER(H3534)),H3534,"")</x:f>
        <x:v>7.539999999999999</x:v>
      </x:c>
      <x:c r="P3534" s="34" t="str">
        <x:v>NOT_REVEALING</x:v>
      </x:c>
      <x:c r="Q3534" s="34" t="str">
        <x:v>Feedback-Directed Random Test Generation/Result/Closure_52/result.json</x:v>
      </x:c>
    </x:row>
    <x:row r="3535">
      <x:c r="A3535" s="34" t="str">
        <x:v>randoop</x:v>
      </x:c>
      <x:c r="B3535" s="34" t="str">
        <x:v>Closure</x:v>
      </x:c>
      <x:c r="C3535" s="34" t="str">
        <x:v>Round1</x:v>
      </x:c>
      <x:c r="D3535" s="34" t="str">
        <x:v>Closure_53</x:v>
      </x:c>
      <x:c r="E3535" s="34" t="str">
        <x:v>Condition</x:v>
      </x:c>
      <x:c r="F3535" s="34" t="n">
        <x:v>112</x:v>
      </x:c>
      <x:c r="G3535" s="34" t="str">
        <x:v>RECORDED</x:v>
      </x:c>
      <x:c r="H3535" s="38" t="n">
        <x:f>IF(ISNUMBER('Data'!I119),'Data'!I119*100,"")</x:f>
        <x:v>0</x:v>
      </x:c>
      <x:c r="I3535" s="34" t="str">
        <x:v>PASS</x:v>
      </x:c>
      <x:c r="J3535" s="34" t="str">
        <x:v>PASS</x:v>
      </x:c>
      <x:c r="K3535" s="34" t="str">
        <x:v>PASS</x:v>
      </x:c>
      <x:c r="L3535" s="34" t="str">
        <x:v>PASS</x:v>
      </x:c>
      <x:c r="M3535" s="34" t="str">
        <x:v>numeric coverage for applicable metric</x:v>
      </x:c>
      <x:c r="N3535" s="34" t="str">
        <x:v>Feedback-Directed Random Test Generation/Result/Closure_53/result.json</x:v>
      </x:c>
      <x:c r="O3535" s="38" t="n">
        <x:f>IF(AND(G3535="RECORDED",ISNUMBER(H3535)),H3535,"")</x:f>
        <x:v>0</x:v>
      </x:c>
      <x:c r="P3535" s="34" t="str">
        <x:v>NOT_REVEALING</x:v>
      </x:c>
      <x:c r="Q3535" s="34" t="str">
        <x:v>Feedback-Directed Random Test Generation/Result/Closure_53/result.json</x:v>
      </x:c>
    </x:row>
    <x:row r="3536">
      <x:c r="A3536" s="34" t="str">
        <x:v>randoop</x:v>
      </x:c>
      <x:c r="B3536" s="34" t="str">
        <x:v>Closure</x:v>
      </x:c>
      <x:c r="C3536" s="34" t="str">
        <x:v>Round1</x:v>
      </x:c>
      <x:c r="D3536" s="34" t="str">
        <x:v>Closure_54</x:v>
      </x:c>
      <x:c r="E3536" s="34" t="str">
        <x:v>Condition</x:v>
      </x:c>
      <x:c r="F3536" s="34" t="n">
        <x:v>910</x:v>
      </x:c>
      <x:c r="G3536" s="34" t="str">
        <x:v>RECORDED</x:v>
      </x:c>
      <x:c r="H3536" s="38" t="n">
        <x:f>IF(ISNUMBER('Data'!I120),'Data'!I120*100,"")</x:f>
        <x:v>0</x:v>
      </x:c>
      <x:c r="I3536" s="34" t="str">
        <x:v>PASS</x:v>
      </x:c>
      <x:c r="J3536" s="34" t="str">
        <x:v>PASS</x:v>
      </x:c>
      <x:c r="K3536" s="34" t="str">
        <x:v>PASS</x:v>
      </x:c>
      <x:c r="L3536" s="34" t="str">
        <x:v>PASS</x:v>
      </x:c>
      <x:c r="M3536" s="34" t="str">
        <x:v>numeric coverage for applicable metric</x:v>
      </x:c>
      <x:c r="N3536" s="34" t="str">
        <x:v>Feedback-Directed Random Test Generation/Result/Closure_54/result.json</x:v>
      </x:c>
      <x:c r="O3536" s="38" t="n">
        <x:f>IF(AND(G3536="RECORDED",ISNUMBER(H3536)),H3536,"")</x:f>
        <x:v>0</x:v>
      </x:c>
      <x:c r="P3536" s="34" t="str">
        <x:v>NOT_REVEALING</x:v>
      </x:c>
      <x:c r="Q3536" s="34" t="str">
        <x:v>Feedback-Directed Random Test Generation/Result/Closure_54/result.json</x:v>
      </x:c>
    </x:row>
    <x:row r="3537">
      <x:c r="A3537" s="34" t="str">
        <x:v>randoop</x:v>
      </x:c>
      <x:c r="B3537" s="34" t="str">
        <x:v>Closure</x:v>
      </x:c>
      <x:c r="C3537" s="34" t="str">
        <x:v>Round1</x:v>
      </x:c>
      <x:c r="D3537" s="34" t="str">
        <x:v>Closure_55</x:v>
      </x:c>
      <x:c r="E3537" s="34" t="str">
        <x:v>Condition</x:v>
      </x:c>
      <x:c r="F3537" s="34" t="n">
        <x:v>78</x:v>
      </x:c>
      <x:c r="G3537" s="34" t="str">
        <x:v>RECORDED</x:v>
      </x:c>
      <x:c r="H3537" s="38" t="n">
        <x:f>IF(ISNUMBER('Data'!I121),'Data'!I121*100,"")</x:f>
        <x:v>0</x:v>
      </x:c>
      <x:c r="I3537" s="34" t="str">
        <x:v>PASS</x:v>
      </x:c>
      <x:c r="J3537" s="34" t="str">
        <x:v>PASS</x:v>
      </x:c>
      <x:c r="K3537" s="34" t="str">
        <x:v>PASS</x:v>
      </x:c>
      <x:c r="L3537" s="34" t="str">
        <x:v>PASS</x:v>
      </x:c>
      <x:c r="M3537" s="34" t="str">
        <x:v>numeric coverage for applicable metric</x:v>
      </x:c>
      <x:c r="N3537" s="34" t="str">
        <x:v>Feedback-Directed Random Test Generation/Result/Closure_55/result.json</x:v>
      </x:c>
      <x:c r="O3537" s="38" t="n">
        <x:f>IF(AND(G3537="RECORDED",ISNUMBER(H3537)),H3537,"")</x:f>
        <x:v>0</x:v>
      </x:c>
      <x:c r="P3537" s="34" t="str">
        <x:v>NOT_REVEALING</x:v>
      </x:c>
      <x:c r="Q3537" s="34" t="str">
        <x:v>Feedback-Directed Random Test Generation/Result/Closure_55/result.json</x:v>
      </x:c>
    </x:row>
    <x:row r="3538">
      <x:c r="A3538" s="34" t="str">
        <x:v>randoop</x:v>
      </x:c>
      <x:c r="B3538" s="34" t="str">
        <x:v>Closure</x:v>
      </x:c>
      <x:c r="C3538" s="34" t="str">
        <x:v>Round1</x:v>
      </x:c>
      <x:c r="D3538" s="34" t="str">
        <x:v>Closure_56</x:v>
      </x:c>
      <x:c r="E3538" s="34" t="str">
        <x:v>Condition</x:v>
      </x:c>
      <x:c r="F3538" s="34" t="n">
        <x:v>48</x:v>
      </x:c>
      <x:c r="G3538" s="34" t="str">
        <x:v>RECORDED</x:v>
      </x:c>
      <x:c r="H3538" s="38" t="n">
        <x:f>IF(ISNUMBER('Data'!I122),'Data'!I122*100,"")</x:f>
        <x:v>72.92</x:v>
      </x:c>
      <x:c r="I3538" s="34" t="str">
        <x:v>PASS</x:v>
      </x:c>
      <x:c r="J3538" s="34" t="str">
        <x:v>PASS</x:v>
      </x:c>
      <x:c r="K3538" s="34" t="str">
        <x:v>PASS</x:v>
      </x:c>
      <x:c r="L3538" s="34" t="str">
        <x:v>FAIL</x:v>
      </x:c>
      <x:c r="M3538" s="34" t="str">
        <x:v>numeric coverage for applicable metric</x:v>
      </x:c>
      <x:c r="N3538" s="34" t="str">
        <x:v>Feedback-Directed Random Test Generation/Result/Closure_56/result.json</x:v>
      </x:c>
      <x:c r="O3538" s="38" t="n">
        <x:f>IF(AND(G3538="RECORDED",ISNUMBER(H3538)),H3538,"")</x:f>
        <x:v>72.92</x:v>
      </x:c>
      <x:c r="P3538" s="34" t="str">
        <x:v>INCONCLUSIVE</x:v>
      </x:c>
      <x:c r="Q3538" s="34" t="str">
        <x:v>Feedback-Directed Random Test Generation/Result/Closure_56/result.json</x:v>
      </x:c>
    </x:row>
    <x:row r="3539">
      <x:c r="A3539" s="34" t="str">
        <x:v>randoop</x:v>
      </x:c>
      <x:c r="B3539" s="34" t="str">
        <x:v>Closure</x:v>
      </x:c>
      <x:c r="C3539" s="34" t="str">
        <x:v>Round1</x:v>
      </x:c>
      <x:c r="D3539" s="34" t="str">
        <x:v>Closure_57</x:v>
      </x:c>
      <x:c r="E3539" s="34" t="str">
        <x:v>Condition</x:v>
      </x:c>
      <x:c r="F3539" s="34" t="n">
        <x:v>100</x:v>
      </x:c>
      <x:c r="G3539" s="34" t="str">
        <x:v>RECORDED</x:v>
      </x:c>
      <x:c r="H3539" s="38" t="n">
        <x:f>IF(ISNUMBER('Data'!I123),'Data'!I123*100,"")</x:f>
        <x:v>1</x:v>
      </x:c>
      <x:c r="I3539" s="34" t="str">
        <x:v>PASS</x:v>
      </x:c>
      <x:c r="J3539" s="34" t="str">
        <x:v>PASS</x:v>
      </x:c>
      <x:c r="K3539" s="34" t="str">
        <x:v>PASS</x:v>
      </x:c>
      <x:c r="L3539" s="34" t="str">
        <x:v>PASS</x:v>
      </x:c>
      <x:c r="M3539" s="34" t="str">
        <x:v>numeric coverage for applicable metric</x:v>
      </x:c>
      <x:c r="N3539" s="34" t="str">
        <x:v>Feedback-Directed Random Test Generation/Result/Closure_57/result.json</x:v>
      </x:c>
      <x:c r="O3539" s="38" t="n">
        <x:f>IF(AND(G3539="RECORDED",ISNUMBER(H3539)),H3539,"")</x:f>
        <x:v>1</x:v>
      </x:c>
      <x:c r="P3539" s="34" t="str">
        <x:v>NOT_REVEALING</x:v>
      </x:c>
      <x:c r="Q3539" s="34" t="str">
        <x:v>Feedback-Directed Random Test Generation/Result/Closure_57/result.json</x:v>
      </x:c>
    </x:row>
    <x:row r="3540">
      <x:c r="A3540" s="34" t="str">
        <x:v>randoop</x:v>
      </x:c>
      <x:c r="B3540" s="34" t="str">
        <x:v>Closure</x:v>
      </x:c>
      <x:c r="C3540" s="34" t="str">
        <x:v>Round1</x:v>
      </x:c>
      <x:c r="D3540" s="34" t="str">
        <x:v>Closure_58</x:v>
      </x:c>
      <x:c r="E3540" s="34" t="str">
        <x:v>Condition</x:v>
      </x:c>
      <x:c r="F3540" s="34" t="n">
        <x:v>52</x:v>
      </x:c>
      <x:c r="G3540" s="34" t="str">
        <x:v>RECORDED</x:v>
      </x:c>
      <x:c r="H3540" s="38" t="n">
        <x:f>IF(ISNUMBER('Data'!I124),'Data'!I124*100,"")</x:f>
        <x:v>0</x:v>
      </x:c>
      <x:c r="I3540" s="34" t="str">
        <x:v>PASS</x:v>
      </x:c>
      <x:c r="J3540" s="34" t="str">
        <x:v>PASS</x:v>
      </x:c>
      <x:c r="K3540" s="34" t="str">
        <x:v>PASS</x:v>
      </x:c>
      <x:c r="L3540" s="34" t="str">
        <x:v>PASS</x:v>
      </x:c>
      <x:c r="M3540" s="34" t="str">
        <x:v>numeric coverage for applicable metric</x:v>
      </x:c>
      <x:c r="N3540" s="34" t="str">
        <x:v>Feedback-Directed Random Test Generation/Result/Closure_58/result.json</x:v>
      </x:c>
      <x:c r="O3540" s="38" t="n">
        <x:f>IF(AND(G3540="RECORDED",ISNUMBER(H3540)),H3540,"")</x:f>
        <x:v>0</x:v>
      </x:c>
      <x:c r="P3540" s="34" t="str">
        <x:v>NOT_REVEALING</x:v>
      </x:c>
      <x:c r="Q3540" s="34" t="str">
        <x:v>Feedback-Directed Random Test Generation/Result/Closure_58/result.json</x:v>
      </x:c>
    </x:row>
    <x:row r="3541">
      <x:c r="A3541" s="34" t="str">
        <x:v>randoop</x:v>
      </x:c>
      <x:c r="B3541" s="34" t="str">
        <x:v>Closure</x:v>
      </x:c>
      <x:c r="C3541" s="34" t="str">
        <x:v>Round1</x:v>
      </x:c>
      <x:c r="D3541" s="34" t="str">
        <x:v>Closure_59</x:v>
      </x:c>
      <x:c r="E3541" s="34" t="str">
        <x:v>Condition</x:v>
      </x:c>
      <x:c r="F3541" s="34" t="n">
        <x:v>330</x:v>
      </x:c>
      <x:c r="G3541" s="34" t="str">
        <x:v>RECORDED</x:v>
      </x:c>
      <x:c r="H3541" s="38" t="n">
        <x:f>IF(ISNUMBER('Data'!I125),'Data'!I125*100,"")</x:f>
        <x:v>33.94</x:v>
      </x:c>
      <x:c r="I3541" s="34" t="str">
        <x:v>PASS</x:v>
      </x:c>
      <x:c r="J3541" s="34" t="str">
        <x:v>PASS</x:v>
      </x:c>
      <x:c r="K3541" s="34" t="str">
        <x:v>PASS</x:v>
      </x:c>
      <x:c r="L3541" s="34" t="str">
        <x:v>FAIL</x:v>
      </x:c>
      <x:c r="M3541" s="34" t="str">
        <x:v>numeric coverage for applicable metric</x:v>
      </x:c>
      <x:c r="N3541" s="34" t="str">
        <x:v>Feedback-Directed Random Test Generation/Result/Closure_59/result.json</x:v>
      </x:c>
      <x:c r="O3541" s="38" t="n">
        <x:f>IF(AND(G3541="RECORDED",ISNUMBER(H3541)),H3541,"")</x:f>
        <x:v>33.94</x:v>
      </x:c>
      <x:c r="P3541" s="34" t="str">
        <x:v>INCONCLUSIVE</x:v>
      </x:c>
      <x:c r="Q3541" s="34" t="str">
        <x:v>Feedback-Directed Random Test Generation/Result/Closure_59/result.json</x:v>
      </x:c>
    </x:row>
    <x:row r="3542">
      <x:c r="A3542" s="34" t="str">
        <x:v>randoop</x:v>
      </x:c>
      <x:c r="B3542" s="34" t="str">
        <x:v>Closure</x:v>
      </x:c>
      <x:c r="C3542" s="34" t="str">
        <x:v>Round1</x:v>
      </x:c>
      <x:c r="D3542" s="34" t="str">
        <x:v>Closure_60</x:v>
      </x:c>
      <x:c r="E3542" s="34" t="str">
        <x:v>Condition</x:v>
      </x:c>
      <x:c r="F3542" s="34" t="n">
        <x:v>925</x:v>
      </x:c>
      <x:c r="G3542" s="34" t="str">
        <x:v>RECORDED</x:v>
      </x:c>
      <x:c r="H3542" s="38" t="n">
        <x:f>IF(ISNUMBER('Data'!I126),'Data'!I126*100,"")</x:f>
        <x:v>30.269999999999996</x:v>
      </x:c>
      <x:c r="I3542" s="34" t="str">
        <x:v>PASS</x:v>
      </x:c>
      <x:c r="J3542" s="34" t="str">
        <x:v>PASS</x:v>
      </x:c>
      <x:c r="K3542" s="34" t="str">
        <x:v>PASS</x:v>
      </x:c>
      <x:c r="L3542" s="34" t="str">
        <x:v>PASS</x:v>
      </x:c>
      <x:c r="M3542" s="34" t="str">
        <x:v>numeric coverage for applicable metric</x:v>
      </x:c>
      <x:c r="N3542" s="34" t="str">
        <x:v>Feedback-Directed Random Test Generation/Result/Closure_60/result.json</x:v>
      </x:c>
      <x:c r="O3542" s="38" t="n">
        <x:f>IF(AND(G3542="RECORDED",ISNUMBER(H3542)),H3542,"")</x:f>
        <x:v>30.269999999999996</x:v>
      </x:c>
      <x:c r="P3542" s="34" t="str">
        <x:v>NOT_REVEALING</x:v>
      </x:c>
      <x:c r="Q3542" s="34" t="str">
        <x:v>Feedback-Directed Random Test Generation/Result/Closure_60/result.json</x:v>
      </x:c>
    </x:row>
    <x:row r="3543">
      <x:c r="A3543" s="34" t="str">
        <x:v>randoop</x:v>
      </x:c>
      <x:c r="B3543" s="34" t="str">
        <x:v>Closure</x:v>
      </x:c>
      <x:c r="C3543" s="34" t="str">
        <x:v>Round1</x:v>
      </x:c>
      <x:c r="D3543" s="34" t="str">
        <x:v>Closure_61</x:v>
      </x:c>
      <x:c r="E3543" s="34" t="str">
        <x:v>Condition</x:v>
      </x:c>
      <x:c r="F3543" s="34" t="n">
        <x:v>920</x:v>
      </x:c>
      <x:c r="G3543" s="34" t="str">
        <x:v>RECORDED</x:v>
      </x:c>
      <x:c r="H3543" s="38" t="n">
        <x:f>IF(ISNUMBER('Data'!I127),'Data'!I127*100,"")</x:f>
        <x:v>30.54</x:v>
      </x:c>
      <x:c r="I3543" s="34" t="str">
        <x:v>PASS</x:v>
      </x:c>
      <x:c r="J3543" s="34" t="str">
        <x:v>PASS</x:v>
      </x:c>
      <x:c r="K3543" s="34" t="str">
        <x:v>PASS</x:v>
      </x:c>
      <x:c r="L3543" s="34" t="str">
        <x:v>PASS</x:v>
      </x:c>
      <x:c r="M3543" s="34" t="str">
        <x:v>numeric coverage for applicable metric</x:v>
      </x:c>
      <x:c r="N3543" s="34" t="str">
        <x:v>Feedback-Directed Random Test Generation/Result/Closure_61/result.json</x:v>
      </x:c>
      <x:c r="O3543" s="38" t="n">
        <x:f>IF(AND(G3543="RECORDED",ISNUMBER(H3543)),H3543,"")</x:f>
        <x:v>30.54</x:v>
      </x:c>
      <x:c r="P3543" s="34" t="str">
        <x:v>NOT_REVEALING</x:v>
      </x:c>
      <x:c r="Q3543" s="34" t="str">
        <x:v>Feedback-Directed Random Test Generation/Result/Closure_61/result.json</x:v>
      </x:c>
    </x:row>
    <x:row r="3544">
      <x:c r="A3544" s="34" t="str">
        <x:v>randoop</x:v>
      </x:c>
      <x:c r="B3544" s="34" t="str">
        <x:v>Closure</x:v>
      </x:c>
      <x:c r="C3544" s="34" t="str">
        <x:v>Round1</x:v>
      </x:c>
      <x:c r="D3544" s="34" t="str">
        <x:v>Closure_62</x:v>
      </x:c>
      <x:c r="E3544" s="34" t="str">
        <x:v>Condition</x:v>
      </x:c>
      <x:c r="F3544" s="34" t="n">
        <x:v>32</x:v>
      </x:c>
      <x:c r="G3544" s="34" t="str">
        <x:v>RECORDED</x:v>
      </x:c>
      <x:c r="H3544" s="38" t="n">
        <x:f>IF(ISNUMBER('Data'!I128),'Data'!I128*100,"")</x:f>
        <x:v>6.25</x:v>
      </x:c>
      <x:c r="I3544" s="34" t="str">
        <x:v>PASS</x:v>
      </x:c>
      <x:c r="J3544" s="34" t="str">
        <x:v>PASS</x:v>
      </x:c>
      <x:c r="K3544" s="34" t="str">
        <x:v>PASS</x:v>
      </x:c>
      <x:c r="L3544" s="34" t="str">
        <x:v>PASS</x:v>
      </x:c>
      <x:c r="M3544" s="34" t="str">
        <x:v>numeric coverage for applicable metric</x:v>
      </x:c>
      <x:c r="N3544" s="34" t="str">
        <x:v>Feedback-Directed Random Test Generation/Result/Closure_62/result.json</x:v>
      </x:c>
      <x:c r="O3544" s="38" t="n">
        <x:f>IF(AND(G3544="RECORDED",ISNUMBER(H3544)),H3544,"")</x:f>
        <x:v>6.25</x:v>
      </x:c>
      <x:c r="P3544" s="34" t="str">
        <x:v>NOT_REVEALING</x:v>
      </x:c>
      <x:c r="Q3544" s="34" t="str">
        <x:v>Feedback-Directed Random Test Generation/Result/Closure_62/result.json</x:v>
      </x:c>
    </x:row>
    <x:row r="3545">
      <x:c r="A3545" s="34" t="str">
        <x:v>randoop</x:v>
      </x:c>
      <x:c r="B3545" s="34" t="str">
        <x:v>Closure</x:v>
      </x:c>
      <x:c r="C3545" s="34" t="str">
        <x:v>Round1</x:v>
      </x:c>
      <x:c r="D3545" s="34" t="str">
        <x:v>Closure_64</x:v>
      </x:c>
      <x:c r="E3545" s="34" t="str">
        <x:v>Condition</x:v>
      </x:c>
      <x:c r="F3545" s="34" t="n">
        <x:v>320</x:v>
      </x:c>
      <x:c r="G3545" s="34" t="str">
        <x:v>RECORDED</x:v>
      </x:c>
      <x:c r="H3545" s="38" t="n">
        <x:f>IF(ISNUMBER('Data'!I129),'Data'!I129*100,"")</x:f>
        <x:v>36.25</x:v>
      </x:c>
      <x:c r="I3545" s="34" t="str">
        <x:v>PASS</x:v>
      </x:c>
      <x:c r="J3545" s="34" t="str">
        <x:v>PASS</x:v>
      </x:c>
      <x:c r="K3545" s="34" t="str">
        <x:v>PASS</x:v>
      </x:c>
      <x:c r="L3545" s="34" t="str">
        <x:v>FAIL</x:v>
      </x:c>
      <x:c r="M3545" s="34" t="str">
        <x:v>numeric coverage for applicable metric</x:v>
      </x:c>
      <x:c r="N3545" s="34" t="str">
        <x:v>Feedback-Directed Random Test Generation/Result/Closure_64/result.json</x:v>
      </x:c>
      <x:c r="O3545" s="38" t="n">
        <x:f>IF(AND(G3545="RECORDED",ISNUMBER(H3545)),H3545,"")</x:f>
        <x:v>36.25</x:v>
      </x:c>
      <x:c r="P3545" s="34" t="str">
        <x:v>INCONCLUSIVE</x:v>
      </x:c>
      <x:c r="Q3545" s="34" t="str">
        <x:v>Feedback-Directed Random Test Generation/Result/Closure_64/result.json</x:v>
      </x:c>
    </x:row>
    <x:row r="3546">
      <x:c r="A3546" s="34" t="str">
        <x:v>randoop</x:v>
      </x:c>
      <x:c r="B3546" s="34" t="str">
        <x:v>Closure</x:v>
      </x:c>
      <x:c r="C3546" s="34" t="str">
        <x:v>Round1</x:v>
      </x:c>
      <x:c r="D3546" s="34" t="str">
        <x:v>Closure_65</x:v>
      </x:c>
      <x:c r="E3546" s="34" t="str">
        <x:v>Condition</x:v>
      </x:c>
      <x:c r="F3546" s="34" t="n">
        <x:v>451</x:v>
      </x:c>
      <x:c r="G3546" s="34" t="str">
        <x:v>RECORDED</x:v>
      </x:c>
      <x:c r="H3546" s="38" t="n">
        <x:f>IF(ISNUMBER('Data'!I130),'Data'!I130*100,"")</x:f>
        <x:v>7.539999999999999</x:v>
      </x:c>
      <x:c r="I3546" s="34" t="str">
        <x:v>PASS</x:v>
      </x:c>
      <x:c r="J3546" s="34" t="str">
        <x:v>PASS</x:v>
      </x:c>
      <x:c r="K3546" s="34" t="str">
        <x:v>PASS</x:v>
      </x:c>
      <x:c r="L3546" s="34" t="str">
        <x:v>PASS</x:v>
      </x:c>
      <x:c r="M3546" s="34" t="str">
        <x:v>numeric coverage for applicable metric</x:v>
      </x:c>
      <x:c r="N3546" s="34" t="str">
        <x:v>Feedback-Directed Random Test Generation/Result/Closure_65/result.json</x:v>
      </x:c>
      <x:c r="O3546" s="38" t="n">
        <x:f>IF(AND(G3546="RECORDED",ISNUMBER(H3546)),H3546,"")</x:f>
        <x:v>7.539999999999999</x:v>
      </x:c>
      <x:c r="P3546" s="34" t="str">
        <x:v>NOT_REVEALING</x:v>
      </x:c>
      <x:c r="Q3546" s="34" t="str">
        <x:v>Feedback-Directed Random Test Generation/Result/Closure_65/result.json</x:v>
      </x:c>
    </x:row>
    <x:row r="3547">
      <x:c r="A3547" s="34" t="str">
        <x:v>randoop</x:v>
      </x:c>
      <x:c r="B3547" s="34" t="str">
        <x:v>Closure</x:v>
      </x:c>
      <x:c r="C3547" s="34" t="str">
        <x:v>Round1</x:v>
      </x:c>
      <x:c r="D3547" s="34" t="str">
        <x:v>Closure_66</x:v>
      </x:c>
      <x:c r="E3547" s="34" t="str">
        <x:v>Condition</x:v>
      </x:c>
      <x:c r="F3547" s="34" t="n">
        <x:v>509</x:v>
      </x:c>
      <x:c r="G3547" s="34" t="str">
        <x:v>RECORDED</x:v>
      </x:c>
      <x:c r="H3547" s="38" t="n">
        <x:f>IF(ISNUMBER('Data'!I131),'Data'!I131*100,"")</x:f>
        <x:v>0</x:v>
      </x:c>
      <x:c r="I3547" s="34" t="str">
        <x:v>PASS</x:v>
      </x:c>
      <x:c r="J3547" s="34" t="str">
        <x:v>PASS</x:v>
      </x:c>
      <x:c r="K3547" s="34" t="str">
        <x:v>PASS</x:v>
      </x:c>
      <x:c r="L3547" s="34" t="str">
        <x:v>PASS</x:v>
      </x:c>
      <x:c r="M3547" s="34" t="str">
        <x:v>numeric coverage for applicable metric</x:v>
      </x:c>
      <x:c r="N3547" s="34" t="str">
        <x:v>Feedback-Directed Random Test Generation/Result/Closure_66/result.json</x:v>
      </x:c>
      <x:c r="O3547" s="38" t="n">
        <x:f>IF(AND(G3547="RECORDED",ISNUMBER(H3547)),H3547,"")</x:f>
        <x:v>0</x:v>
      </x:c>
      <x:c r="P3547" s="34" t="str">
        <x:v>NOT_REVEALING</x:v>
      </x:c>
      <x:c r="Q3547" s="34" t="str">
        <x:v>Feedback-Directed Random Test Generation/Result/Closure_66/result.json</x:v>
      </x:c>
    </x:row>
    <x:row r="3548">
      <x:c r="A3548" s="34" t="str">
        <x:v>randoop</x:v>
      </x:c>
      <x:c r="B3548" s="34" t="str">
        <x:v>Closure</x:v>
      </x:c>
      <x:c r="C3548" s="34" t="str">
        <x:v>Round1</x:v>
      </x:c>
      <x:c r="D3548" s="34" t="str">
        <x:v>Closure_67</x:v>
      </x:c>
      <x:c r="E3548" s="34" t="str">
        <x:v>Condition</x:v>
      </x:c>
      <x:c r="F3548" s="34" t="n">
        <x:v>145</x:v>
      </x:c>
      <x:c r="G3548" s="34" t="str">
        <x:v>RECORDED</x:v>
      </x:c>
      <x:c r="H3548" s="38" t="n">
        <x:f>IF(ISNUMBER('Data'!I132),'Data'!I132*100,"")</x:f>
        <x:v>7.59</x:v>
      </x:c>
      <x:c r="I3548" s="34" t="str">
        <x:v>PASS</x:v>
      </x:c>
      <x:c r="J3548" s="34" t="str">
        <x:v>PASS</x:v>
      </x:c>
      <x:c r="K3548" s="34" t="str">
        <x:v>PASS</x:v>
      </x:c>
      <x:c r="L3548" s="34" t="str">
        <x:v>PASS</x:v>
      </x:c>
      <x:c r="M3548" s="34" t="str">
        <x:v>numeric coverage for applicable metric</x:v>
      </x:c>
      <x:c r="N3548" s="34" t="str">
        <x:v>Feedback-Directed Random Test Generation/Result/Closure_67/result.json</x:v>
      </x:c>
      <x:c r="O3548" s="38" t="n">
        <x:f>IF(AND(G3548="RECORDED",ISNUMBER(H3548)),H3548,"")</x:f>
        <x:v>7.59</x:v>
      </x:c>
      <x:c r="P3548" s="34" t="str">
        <x:v>NOT_REVEALING</x:v>
      </x:c>
      <x:c r="Q3548" s="34" t="str">
        <x:v>Feedback-Directed Random Test Generation/Result/Closure_67/result.json</x:v>
      </x:c>
    </x:row>
    <x:row r="3549">
      <x:c r="A3549" s="34" t="str">
        <x:v>randoop</x:v>
      </x:c>
      <x:c r="B3549" s="34" t="str">
        <x:v>Closure</x:v>
      </x:c>
      <x:c r="C3549" s="34" t="str">
        <x:v>Round1</x:v>
      </x:c>
      <x:c r="D3549" s="34" t="str">
        <x:v>Closure_68</x:v>
      </x:c>
      <x:c r="E3549" s="34" t="str">
        <x:v>Condition</x:v>
      </x:c>
      <x:c r="F3549" s="34" t="n">
        <x:v>589</x:v>
      </x:c>
      <x:c r="G3549" s="34" t="str">
        <x:v>RECORDED</x:v>
      </x:c>
      <x:c r="H3549" s="38" t="n">
        <x:f>IF(ISNUMBER('Data'!I133),'Data'!I133*100,"")</x:f>
        <x:v>4.58</x:v>
      </x:c>
      <x:c r="I3549" s="34" t="str">
        <x:v>PASS</x:v>
      </x:c>
      <x:c r="J3549" s="34" t="str">
        <x:v>PASS</x:v>
      </x:c>
      <x:c r="K3549" s="34" t="str">
        <x:v>PASS</x:v>
      </x:c>
      <x:c r="L3549" s="34" t="str">
        <x:v>PASS</x:v>
      </x:c>
      <x:c r="M3549" s="34" t="str">
        <x:v>numeric coverage for applicable metric</x:v>
      </x:c>
      <x:c r="N3549" s="34" t="str">
        <x:v>Feedback-Directed Random Test Generation/Result/Closure_68/result.json</x:v>
      </x:c>
      <x:c r="O3549" s="38" t="n">
        <x:f>IF(AND(G3549="RECORDED",ISNUMBER(H3549)),H3549,"")</x:f>
        <x:v>4.58</x:v>
      </x:c>
      <x:c r="P3549" s="34" t="str">
        <x:v>NOT_REVEALING</x:v>
      </x:c>
      <x:c r="Q3549" s="34" t="str">
        <x:v>Feedback-Directed Random Test Generation/Result/Closure_68/result.json</x:v>
      </x:c>
    </x:row>
    <x:row r="3550">
      <x:c r="A3550" s="34" t="str">
        <x:v>randoop</x:v>
      </x:c>
      <x:c r="B3550" s="34" t="str">
        <x:v>Closure</x:v>
      </x:c>
      <x:c r="C3550" s="34" t="str">
        <x:v>Round1</x:v>
      </x:c>
      <x:c r="D3550" s="34" t="str">
        <x:v>Closure_69</x:v>
      </x:c>
      <x:c r="E3550" s="34" t="str">
        <x:v>Condition</x:v>
      </x:c>
      <x:c r="F3550" s="34" t="n">
        <x:v>499</x:v>
      </x:c>
      <x:c r="G3550" s="34" t="str">
        <x:v>RECORDED</x:v>
      </x:c>
      <x:c r="H3550" s="38" t="n">
        <x:f>IF(ISNUMBER('Data'!I134),'Data'!I134*100,"")</x:f>
        <x:v>0</x:v>
      </x:c>
      <x:c r="I3550" s="34" t="str">
        <x:v>PASS</x:v>
      </x:c>
      <x:c r="J3550" s="34" t="str">
        <x:v>PASS</x:v>
      </x:c>
      <x:c r="K3550" s="34" t="str">
        <x:v>PASS</x:v>
      </x:c>
      <x:c r="L3550" s="34" t="str">
        <x:v>PASS</x:v>
      </x:c>
      <x:c r="M3550" s="34" t="str">
        <x:v>numeric coverage for applicable metric</x:v>
      </x:c>
      <x:c r="N3550" s="34" t="str">
        <x:v>Feedback-Directed Random Test Generation/Result/Closure_69/result.json</x:v>
      </x:c>
      <x:c r="O3550" s="38" t="n">
        <x:f>IF(AND(G3550="RECORDED",ISNUMBER(H3550)),H3550,"")</x:f>
        <x:v>0</x:v>
      </x:c>
      <x:c r="P3550" s="34" t="str">
        <x:v>NOT_REVEALING</x:v>
      </x:c>
      <x:c r="Q3550" s="34" t="str">
        <x:v>Feedback-Directed Random Test Generation/Result/Closure_69/result.json</x:v>
      </x:c>
    </x:row>
    <x:row r="3551">
      <x:c r="A3551" s="34" t="str">
        <x:v>randoop</x:v>
      </x:c>
      <x:c r="B3551" s="34" t="str">
        <x:v>Closure</x:v>
      </x:c>
      <x:c r="C3551" s="34" t="str">
        <x:v>Round1</x:v>
      </x:c>
      <x:c r="D3551" s="34" t="str">
        <x:v>Closure_70</x:v>
      </x:c>
      <x:c r="E3551" s="34" t="str">
        <x:v>Condition</x:v>
      </x:c>
      <x:c r="F3551" s="34" t="n">
        <x:v>621</x:v>
      </x:c>
      <x:c r="G3551" s="34" t="str">
        <x:v>RECORDED</x:v>
      </x:c>
      <x:c r="H3551" s="38" t="n">
        <x:f>IF(ISNUMBER('Data'!I135),'Data'!I135*100,"")</x:f>
        <x:v>0</x:v>
      </x:c>
      <x:c r="I3551" s="34" t="str">
        <x:v>PASS</x:v>
      </x:c>
      <x:c r="J3551" s="34" t="str">
        <x:v>PASS</x:v>
      </x:c>
      <x:c r="K3551" s="34" t="str">
        <x:v>PASS</x:v>
      </x:c>
      <x:c r="L3551" s="34" t="str">
        <x:v>PASS</x:v>
      </x:c>
      <x:c r="M3551" s="34" t="str">
        <x:v>numeric coverage for applicable metric</x:v>
      </x:c>
      <x:c r="N3551" s="34" t="str">
        <x:v>Feedback-Directed Random Test Generation/Result/Closure_70/result.json</x:v>
      </x:c>
      <x:c r="O3551" s="38" t="n">
        <x:f>IF(AND(G3551="RECORDED",ISNUMBER(H3551)),H3551,"")</x:f>
        <x:v>0</x:v>
      </x:c>
      <x:c r="P3551" s="34" t="str">
        <x:v>NOT_REVEALING</x:v>
      </x:c>
      <x:c r="Q3551" s="34" t="str">
        <x:v>Feedback-Directed Random Test Generation/Result/Closure_70/result.json</x:v>
      </x:c>
    </x:row>
    <x:row r="3552">
      <x:c r="A3552" s="34" t="str">
        <x:v>randoop</x:v>
      </x:c>
      <x:c r="B3552" s="34" t="str">
        <x:v>Closure</x:v>
      </x:c>
      <x:c r="C3552" s="34" t="str">
        <x:v>Round1</x:v>
      </x:c>
      <x:c r="D3552" s="34" t="str">
        <x:v>Closure_71</x:v>
      </x:c>
      <x:c r="E3552" s="34" t="str">
        <x:v>Condition</x:v>
      </x:c>
      <x:c r="F3552" s="34" t="n">
        <x:v>222</x:v>
      </x:c>
      <x:c r="G3552" s="34" t="str">
        <x:v>RECORDED</x:v>
      </x:c>
      <x:c r="H3552" s="38" t="n">
        <x:f>IF(ISNUMBER('Data'!I136),'Data'!I136*100,"")</x:f>
        <x:v>0</x:v>
      </x:c>
      <x:c r="I3552" s="34" t="str">
        <x:v>PASS</x:v>
      </x:c>
      <x:c r="J3552" s="34" t="str">
        <x:v>PASS</x:v>
      </x:c>
      <x:c r="K3552" s="34" t="str">
        <x:v>PASS</x:v>
      </x:c>
      <x:c r="L3552" s="34" t="str">
        <x:v>PASS</x:v>
      </x:c>
      <x:c r="M3552" s="34" t="str">
        <x:v>numeric coverage for applicable metric</x:v>
      </x:c>
      <x:c r="N3552" s="34" t="str">
        <x:v>Feedback-Directed Random Test Generation/Result/Closure_71/result.json</x:v>
      </x:c>
      <x:c r="O3552" s="38" t="n">
        <x:f>IF(AND(G3552="RECORDED",ISNUMBER(H3552)),H3552,"")</x:f>
        <x:v>0</x:v>
      </x:c>
      <x:c r="P3552" s="34" t="str">
        <x:v>NOT_REVEALING</x:v>
      </x:c>
      <x:c r="Q3552" s="34" t="str">
        <x:v>Feedback-Directed Random Test Generation/Result/Closure_71/result.json</x:v>
      </x:c>
    </x:row>
    <x:row r="3553">
      <x:c r="A3553" s="34" t="str">
        <x:v>randoop</x:v>
      </x:c>
      <x:c r="B3553" s="34" t="str">
        <x:v>Closure</x:v>
      </x:c>
      <x:c r="C3553" s="34" t="str">
        <x:v>Round1</x:v>
      </x:c>
      <x:c r="D3553" s="34" t="str">
        <x:v>Closure_72</x:v>
      </x:c>
      <x:c r="E3553" s="34" t="str">
        <x:v>Condition</x:v>
      </x:c>
      <x:c r="F3553" s="34" t="n">
        <x:v>101</x:v>
      </x:c>
      <x:c r="G3553" s="34" t="str">
        <x:v>RECORDED</x:v>
      </x:c>
      <x:c r="H3553" s="38" t="n">
        <x:f>IF(ISNUMBER('Data'!I137),'Data'!I137*100,"")</x:f>
        <x:v>0</x:v>
      </x:c>
      <x:c r="I3553" s="34" t="str">
        <x:v>PASS</x:v>
      </x:c>
      <x:c r="J3553" s="34" t="str">
        <x:v>PASS</x:v>
      </x:c>
      <x:c r="K3553" s="34" t="str">
        <x:v>PASS</x:v>
      </x:c>
      <x:c r="L3553" s="34" t="str">
        <x:v>PASS</x:v>
      </x:c>
      <x:c r="M3553" s="34" t="str">
        <x:v>numeric coverage for applicable metric</x:v>
      </x:c>
      <x:c r="N3553" s="34" t="str">
        <x:v>Feedback-Directed Random Test Generation/Result/Closure_72/result.json</x:v>
      </x:c>
      <x:c r="O3553" s="38" t="n">
        <x:f>IF(AND(G3553="RECORDED",ISNUMBER(H3553)),H3553,"")</x:f>
        <x:v>0</x:v>
      </x:c>
      <x:c r="P3553" s="34" t="str">
        <x:v>NOT_REVEALING</x:v>
      </x:c>
      <x:c r="Q3553" s="34" t="str">
        <x:v>Feedback-Directed Random Test Generation/Result/Closure_72/result.json</x:v>
      </x:c>
    </x:row>
    <x:row r="3554">
      <x:c r="A3554" s="34" t="str">
        <x:v>randoop</x:v>
      </x:c>
      <x:c r="B3554" s="34" t="str">
        <x:v>Closure</x:v>
      </x:c>
      <x:c r="C3554" s="34" t="str">
        <x:v>Round1</x:v>
      </x:c>
      <x:c r="D3554" s="34" t="str">
        <x:v>Closure_73</x:v>
      </x:c>
      <x:c r="E3554" s="34" t="str">
        <x:v>Condition</x:v>
      </x:c>
      <x:c r="F3554" s="34" t="n">
        <x:v>449</x:v>
      </x:c>
      <x:c r="G3554" s="34" t="str">
        <x:v>RECORDED</x:v>
      </x:c>
      <x:c r="H3554" s="38" t="n">
        <x:f>IF(ISNUMBER('Data'!I138),'Data'!I138*100,"")</x:f>
        <x:v>6.9</x:v>
      </x:c>
      <x:c r="I3554" s="34" t="str">
        <x:v>PASS</x:v>
      </x:c>
      <x:c r="J3554" s="34" t="str">
        <x:v>PASS</x:v>
      </x:c>
      <x:c r="K3554" s="34" t="str">
        <x:v>PASS</x:v>
      </x:c>
      <x:c r="L3554" s="34" t="str">
        <x:v>PASS</x:v>
      </x:c>
      <x:c r="M3554" s="34" t="str">
        <x:v>numeric coverage for applicable metric</x:v>
      </x:c>
      <x:c r="N3554" s="34" t="str">
        <x:v>Feedback-Directed Random Test Generation/Result/Closure_73/result.json</x:v>
      </x:c>
      <x:c r="O3554" s="38" t="n">
        <x:f>IF(AND(G3554="RECORDED",ISNUMBER(H3554)),H3554,"")</x:f>
        <x:v>6.9</x:v>
      </x:c>
      <x:c r="P3554" s="34" t="str">
        <x:v>NOT_REVEALING</x:v>
      </x:c>
      <x:c r="Q3554" s="34" t="str">
        <x:v>Feedback-Directed Random Test Generation/Result/Closure_73/result.json</x:v>
      </x:c>
    </x:row>
    <x:row r="3555">
      <x:c r="A3555" s="34" t="str">
        <x:v>randoop</x:v>
      </x:c>
      <x:c r="B3555" s="34" t="str">
        <x:v>Closure</x:v>
      </x:c>
      <x:c r="C3555" s="34" t="str">
        <x:v>Round1</x:v>
      </x:c>
      <x:c r="D3555" s="34" t="str">
        <x:v>Closure_74</x:v>
      </x:c>
      <x:c r="E3555" s="34" t="str">
        <x:v>Condition</x:v>
      </x:c>
      <x:c r="F3555" s="34" t="n">
        <x:v>619</x:v>
      </x:c>
      <x:c r="G3555" s="34" t="str">
        <x:v>RECORDED</x:v>
      </x:c>
      <x:c r="H3555" s="38" t="n">
        <x:f>IF(ISNUMBER('Data'!I139),'Data'!I139*100,"")</x:f>
        <x:v>0</x:v>
      </x:c>
      <x:c r="I3555" s="34" t="str">
        <x:v>PASS</x:v>
      </x:c>
      <x:c r="J3555" s="34" t="str">
        <x:v>PASS</x:v>
      </x:c>
      <x:c r="K3555" s="34" t="str">
        <x:v>PASS</x:v>
      </x:c>
      <x:c r="L3555" s="34" t="str">
        <x:v>PASS</x:v>
      </x:c>
      <x:c r="M3555" s="34" t="str">
        <x:v>numeric coverage for applicable metric</x:v>
      </x:c>
      <x:c r="N3555" s="34" t="str">
        <x:v>Feedback-Directed Random Test Generation/Result/Closure_74/result.json</x:v>
      </x:c>
      <x:c r="O3555" s="38" t="n">
        <x:f>IF(AND(G3555="RECORDED",ISNUMBER(H3555)),H3555,"")</x:f>
        <x:v>0</x:v>
      </x:c>
      <x:c r="P3555" s="34" t="str">
        <x:v>NOT_REVEALING</x:v>
      </x:c>
      <x:c r="Q3555" s="34" t="str">
        <x:v>Feedback-Directed Random Test Generation/Result/Closure_74/result.json</x:v>
      </x:c>
    </x:row>
    <x:row r="3556">
      <x:c r="A3556" s="34" t="str">
        <x:v>randoop</x:v>
      </x:c>
      <x:c r="B3556" s="34" t="str">
        <x:v>Closure</x:v>
      </x:c>
      <x:c r="C3556" s="34" t="str">
        <x:v>Round1</x:v>
      </x:c>
      <x:c r="D3556" s="34" t="str">
        <x:v>Closure_75</x:v>
      </x:c>
      <x:c r="E3556" s="34" t="str">
        <x:v>Condition</x:v>
      </x:c>
      <x:c r="F3556" s="34" t="n">
        <x:v>891</x:v>
      </x:c>
      <x:c r="G3556" s="34" t="str">
        <x:v>RECORDED</x:v>
      </x:c>
      <x:c r="H3556" s="38" t="n">
        <x:f>IF(ISNUMBER('Data'!I140),'Data'!I140*100,"")</x:f>
        <x:v>32.55</x:v>
      </x:c>
      <x:c r="I3556" s="34" t="str">
        <x:v>PASS</x:v>
      </x:c>
      <x:c r="J3556" s="34" t="str">
        <x:v>PASS</x:v>
      </x:c>
      <x:c r="K3556" s="34" t="str">
        <x:v>PASS</x:v>
      </x:c>
      <x:c r="L3556" s="34" t="str">
        <x:v>PASS</x:v>
      </x:c>
      <x:c r="M3556" s="34" t="str">
        <x:v>numeric coverage for applicable metric</x:v>
      </x:c>
      <x:c r="N3556" s="34" t="str">
        <x:v>Feedback-Directed Random Test Generation/Result/Closure_75/result.json</x:v>
      </x:c>
      <x:c r="O3556" s="38" t="n">
        <x:f>IF(AND(G3556="RECORDED",ISNUMBER(H3556)),H3556,"")</x:f>
        <x:v>32.55</x:v>
      </x:c>
      <x:c r="P3556" s="34" t="str">
        <x:v>NOT_REVEALING</x:v>
      </x:c>
      <x:c r="Q3556" s="34" t="str">
        <x:v>Feedback-Directed Random Test Generation/Result/Closure_75/result.json</x:v>
      </x:c>
    </x:row>
    <x:row r="3557">
      <x:c r="A3557" s="34" t="str">
        <x:v>randoop</x:v>
      </x:c>
      <x:c r="B3557" s="34" t="str">
        <x:v>Closure</x:v>
      </x:c>
      <x:c r="C3557" s="34" t="str">
        <x:v>Round1</x:v>
      </x:c>
      <x:c r="D3557" s="34" t="str">
        <x:v>Closure_76</x:v>
      </x:c>
      <x:c r="E3557" s="34" t="str">
        <x:v>Condition</x:v>
      </x:c>
      <x:c r="F3557" s="34" t="n">
        <x:v>115</x:v>
      </x:c>
      <x:c r="G3557" s="34" t="str">
        <x:v>RECORDED</x:v>
      </x:c>
      <x:c r="H3557" s="38" t="n">
        <x:f>IF(ISNUMBER('Data'!I141),'Data'!I141*100,"")</x:f>
        <x:v>0</x:v>
      </x:c>
      <x:c r="I3557" s="34" t="str">
        <x:v>PASS</x:v>
      </x:c>
      <x:c r="J3557" s="34" t="str">
        <x:v>PASS</x:v>
      </x:c>
      <x:c r="K3557" s="34" t="str">
        <x:v>PASS</x:v>
      </x:c>
      <x:c r="L3557" s="34" t="str">
        <x:v>PASS</x:v>
      </x:c>
      <x:c r="M3557" s="34" t="str">
        <x:v>numeric coverage for applicable metric</x:v>
      </x:c>
      <x:c r="N3557" s="34" t="str">
        <x:v>Feedback-Directed Random Test Generation/Result/Closure_76/result.json</x:v>
      </x:c>
      <x:c r="O3557" s="38" t="n">
        <x:f>IF(AND(G3557="RECORDED",ISNUMBER(H3557)),H3557,"")</x:f>
        <x:v>0</x:v>
      </x:c>
      <x:c r="P3557" s="34" t="str">
        <x:v>NOT_REVEALING</x:v>
      </x:c>
      <x:c r="Q3557" s="34" t="str">
        <x:v>Feedback-Directed Random Test Generation/Result/Closure_76/result.json</x:v>
      </x:c>
    </x:row>
    <x:row r="3558">
      <x:c r="A3558" s="34" t="str">
        <x:v>randoop</x:v>
      </x:c>
      <x:c r="B3558" s="34" t="str">
        <x:v>Closure</x:v>
      </x:c>
      <x:c r="C3558" s="34" t="str">
        <x:v>Round1</x:v>
      </x:c>
      <x:c r="D3558" s="34" t="str">
        <x:v>Closure_77</x:v>
      </x:c>
      <x:c r="E3558" s="34" t="str">
        <x:v>Condition</x:v>
      </x:c>
      <x:c r="F3558" s="34" t="n">
        <x:v>434</x:v>
      </x:c>
      <x:c r="G3558" s="34" t="str">
        <x:v>RECORDED</x:v>
      </x:c>
      <x:c r="H3558" s="38" t="n">
        <x:f>IF(ISNUMBER('Data'!I142),'Data'!I142*100,"")</x:f>
        <x:v>5.07</x:v>
      </x:c>
      <x:c r="I3558" s="34" t="str">
        <x:v>PASS</x:v>
      </x:c>
      <x:c r="J3558" s="34" t="str">
        <x:v>PASS</x:v>
      </x:c>
      <x:c r="K3558" s="34" t="str">
        <x:v>PASS</x:v>
      </x:c>
      <x:c r="L3558" s="34" t="str">
        <x:v>PASS</x:v>
      </x:c>
      <x:c r="M3558" s="34" t="str">
        <x:v>numeric coverage for applicable metric</x:v>
      </x:c>
      <x:c r="N3558" s="34" t="str">
        <x:v>Feedback-Directed Random Test Generation/Result/Closure_77/result.json</x:v>
      </x:c>
      <x:c r="O3558" s="38" t="n">
        <x:f>IF(AND(G3558="RECORDED",ISNUMBER(H3558)),H3558,"")</x:f>
        <x:v>5.07</x:v>
      </x:c>
      <x:c r="P3558" s="34" t="str">
        <x:v>NOT_REVEALING</x:v>
      </x:c>
      <x:c r="Q3558" s="34" t="str">
        <x:v>Feedback-Directed Random Test Generation/Result/Closure_77/result.json</x:v>
      </x:c>
    </x:row>
    <x:row r="3559">
      <x:c r="A3559" s="34" t="str">
        <x:v>randoop</x:v>
      </x:c>
      <x:c r="B3559" s="34" t="str">
        <x:v>Closure</x:v>
      </x:c>
      <x:c r="C3559" s="34" t="str">
        <x:v>Round1</x:v>
      </x:c>
      <x:c r="D3559" s="34" t="str">
        <x:v>Closure_78</x:v>
      </x:c>
      <x:c r="E3559" s="34" t="str">
        <x:v>Condition</x:v>
      </x:c>
      <x:c r="F3559" s="34" t="n">
        <x:v>580</x:v>
      </x:c>
      <x:c r="G3559" s="34" t="str">
        <x:v>RECORDED</x:v>
      </x:c>
      <x:c r="H3559" s="38" t="n">
        <x:f>IF(ISNUMBER('Data'!I143),'Data'!I143*100,"")</x:f>
        <x:v>0</x:v>
      </x:c>
      <x:c r="I3559" s="34" t="str">
        <x:v>PASS</x:v>
      </x:c>
      <x:c r="J3559" s="34" t="str">
        <x:v>PASS</x:v>
      </x:c>
      <x:c r="K3559" s="34" t="str">
        <x:v>PASS</x:v>
      </x:c>
      <x:c r="L3559" s="34" t="str">
        <x:v>PASS</x:v>
      </x:c>
      <x:c r="M3559" s="34" t="str">
        <x:v>numeric coverage for applicable metric</x:v>
      </x:c>
      <x:c r="N3559" s="34" t="str">
        <x:v>Feedback-Directed Random Test Generation/Result/Closure_78/result.json</x:v>
      </x:c>
      <x:c r="O3559" s="38" t="n">
        <x:f>IF(AND(G3559="RECORDED",ISNUMBER(H3559)),H3559,"")</x:f>
        <x:v>0</x:v>
      </x:c>
      <x:c r="P3559" s="34" t="str">
        <x:v>NOT_REVEALING</x:v>
      </x:c>
      <x:c r="Q3559" s="34" t="str">
        <x:v>Feedback-Directed Random Test Generation/Result/Closure_78/result.json</x:v>
      </x:c>
    </x:row>
    <x:row r="3560">
      <x:c r="A3560" s="34" t="str">
        <x:v>randoop</x:v>
      </x:c>
      <x:c r="B3560" s="34" t="str">
        <x:v>Closure</x:v>
      </x:c>
      <x:c r="C3560" s="34" t="str">
        <x:v>Round1</x:v>
      </x:c>
      <x:c r="D3560" s="34" t="str">
        <x:v>Closure_79</x:v>
      </x:c>
      <x:c r="E3560" s="34" t="str">
        <x:v>Condition</x:v>
      </x:c>
      <x:c r="F3560" s="34" t="n">
        <x:v>238</x:v>
      </x:c>
      <x:c r="G3560" s="34" t="str">
        <x:v>RECORDED</x:v>
      </x:c>
      <x:c r="H3560" s="38" t="n">
        <x:f>IF(ISNUMBER('Data'!I144),'Data'!I144*100,"")</x:f>
        <x:v>0</x:v>
      </x:c>
      <x:c r="I3560" s="34" t="str">
        <x:v>PASS</x:v>
      </x:c>
      <x:c r="J3560" s="34" t="str">
        <x:v>PASS</x:v>
      </x:c>
      <x:c r="K3560" s="34" t="str">
        <x:v>PASS</x:v>
      </x:c>
      <x:c r="L3560" s="34" t="str">
        <x:v>PASS</x:v>
      </x:c>
      <x:c r="M3560" s="34" t="str">
        <x:v>numeric coverage for applicable metric</x:v>
      </x:c>
      <x:c r="N3560" s="34" t="str">
        <x:v>Feedback-Directed Random Test Generation/Result/Closure_79/result.json</x:v>
      </x:c>
      <x:c r="O3560" s="38" t="n">
        <x:f>IF(AND(G3560="RECORDED",ISNUMBER(H3560)),H3560,"")</x:f>
        <x:v>0</x:v>
      </x:c>
      <x:c r="P3560" s="34" t="str">
        <x:v>NOT_REVEALING</x:v>
      </x:c>
      <x:c r="Q3560" s="34" t="str">
        <x:v>Feedback-Directed Random Test Generation/Result/Closure_79/result.json</x:v>
      </x:c>
    </x:row>
    <x:row r="3561">
      <x:c r="A3561" s="34" t="str">
        <x:v>randoop</x:v>
      </x:c>
      <x:c r="B3561" s="34" t="str">
        <x:v>Closure</x:v>
      </x:c>
      <x:c r="C3561" s="34" t="str">
        <x:v>Round1</x:v>
      </x:c>
      <x:c r="D3561" s="34" t="str">
        <x:v>Closure_80</x:v>
      </x:c>
      <x:c r="E3561" s="34" t="str">
        <x:v>Condition</x:v>
      </x:c>
      <x:c r="F3561" s="34" t="n">
        <x:v>887</x:v>
      </x:c>
      <x:c r="G3561" s="34" t="str">
        <x:v>RECORDED</x:v>
      </x:c>
      <x:c r="H3561" s="38" t="n">
        <x:f>IF(ISNUMBER('Data'!I145),'Data'!I145*100,"")</x:f>
        <x:v>30.099999999999998</x:v>
      </x:c>
      <x:c r="I3561" s="34" t="str">
        <x:v>PASS</x:v>
      </x:c>
      <x:c r="J3561" s="34" t="str">
        <x:v>PASS</x:v>
      </x:c>
      <x:c r="K3561" s="34" t="str">
        <x:v>PASS</x:v>
      </x:c>
      <x:c r="L3561" s="34" t="str">
        <x:v>PASS</x:v>
      </x:c>
      <x:c r="M3561" s="34" t="str">
        <x:v>numeric coverage for applicable metric</x:v>
      </x:c>
      <x:c r="N3561" s="34" t="str">
        <x:v>Feedback-Directed Random Test Generation/Result/Closure_80/result.json</x:v>
      </x:c>
      <x:c r="O3561" s="38" t="n">
        <x:f>IF(AND(G3561="RECORDED",ISNUMBER(H3561)),H3561,"")</x:f>
        <x:v>30.099999999999998</x:v>
      </x:c>
      <x:c r="P3561" s="34" t="str">
        <x:v>NOT_REVEALING</x:v>
      </x:c>
      <x:c r="Q3561" s="34" t="str">
        <x:v>Feedback-Directed Random Test Generation/Result/Closure_80/result.json</x:v>
      </x:c>
    </x:row>
    <x:row r="3562">
      <x:c r="A3562" s="34" t="str">
        <x:v>randoop</x:v>
      </x:c>
      <x:c r="B3562" s="34" t="str">
        <x:v>Closure</x:v>
      </x:c>
      <x:c r="C3562" s="34" t="str">
        <x:v>Round1</x:v>
      </x:c>
      <x:c r="D3562" s="34" t="str">
        <x:v>Closure_81</x:v>
      </x:c>
      <x:c r="E3562" s="34" t="str">
        <x:v>Condition</x:v>
      </x:c>
      <x:c r="F3562" s="34" t="n">
        <x:v>319</x:v>
      </x:c>
      <x:c r="G3562" s="34" t="str">
        <x:v>RECORDED</x:v>
      </x:c>
      <x:c r="H3562" s="38" t="n">
        <x:f>IF(ISNUMBER('Data'!I146),'Data'!I146*100,"")</x:f>
        <x:v>0</x:v>
      </x:c>
      <x:c r="I3562" s="34" t="str">
        <x:v>PASS</x:v>
      </x:c>
      <x:c r="J3562" s="34" t="str">
        <x:v>PASS</x:v>
      </x:c>
      <x:c r="K3562" s="34" t="str">
        <x:v>PASS</x:v>
      </x:c>
      <x:c r="L3562" s="34" t="str">
        <x:v>PASS</x:v>
      </x:c>
      <x:c r="M3562" s="34" t="str">
        <x:v>numeric coverage for applicable metric</x:v>
      </x:c>
      <x:c r="N3562" s="34" t="str">
        <x:v>Feedback-Directed Random Test Generation/Result/Closure_81/result.json</x:v>
      </x:c>
      <x:c r="O3562" s="38" t="n">
        <x:f>IF(AND(G3562="RECORDED",ISNUMBER(H3562)),H3562,"")</x:f>
        <x:v>0</x:v>
      </x:c>
      <x:c r="P3562" s="34" t="str">
        <x:v>NOT_REVEALING</x:v>
      </x:c>
      <x:c r="Q3562" s="34" t="str">
        <x:v>Feedback-Directed Random Test Generation/Result/Closure_81/result.json</x:v>
      </x:c>
    </x:row>
    <x:row r="3563">
      <x:c r="A3563" s="34" t="str">
        <x:v>randoop</x:v>
      </x:c>
      <x:c r="B3563" s="34" t="str">
        <x:v>Closure</x:v>
      </x:c>
      <x:c r="C3563" s="34" t="str">
        <x:v>Round1</x:v>
      </x:c>
      <x:c r="D3563" s="34" t="str">
        <x:v>Closure_82</x:v>
      </x:c>
      <x:c r="E3563" s="34" t="str">
        <x:v>Condition</x:v>
      </x:c>
      <x:c r="F3563" s="34" t="n">
        <x:v>156</x:v>
      </x:c>
      <x:c r="G3563" s="34" t="str">
        <x:v>RECORDED</x:v>
      </x:c>
      <x:c r="H3563" s="38" t="n">
        <x:f>IF(ISNUMBER('Data'!I147),'Data'!I147*100,"")</x:f>
        <x:v>1.92</x:v>
      </x:c>
      <x:c r="I3563" s="34" t="str">
        <x:v>PASS</x:v>
      </x:c>
      <x:c r="J3563" s="34" t="str">
        <x:v>PASS</x:v>
      </x:c>
      <x:c r="K3563" s="34" t="str">
        <x:v>PASS</x:v>
      </x:c>
      <x:c r="L3563" s="34" t="str">
        <x:v>PASS</x:v>
      </x:c>
      <x:c r="M3563" s="34" t="str">
        <x:v>numeric coverage for applicable metric</x:v>
      </x:c>
      <x:c r="N3563" s="34" t="str">
        <x:v>Feedback-Directed Random Test Generation/Result/Closure_82/result.json</x:v>
      </x:c>
      <x:c r="O3563" s="38" t="n">
        <x:f>IF(AND(G3563="RECORDED",ISNUMBER(H3563)),H3563,"")</x:f>
        <x:v>1.92</x:v>
      </x:c>
      <x:c r="P3563" s="34" t="str">
        <x:v>NOT_REVEALING</x:v>
      </x:c>
      <x:c r="Q3563" s="34" t="str">
        <x:v>Feedback-Directed Random Test Generation/Result/Closure_82/result.json</x:v>
      </x:c>
    </x:row>
    <x:row r="3564">
      <x:c r="A3564" s="34" t="str">
        <x:v>randoop</x:v>
      </x:c>
      <x:c r="B3564" s="34" t="str">
        <x:v>Closure</x:v>
      </x:c>
      <x:c r="C3564" s="34" t="str">
        <x:v>Round1</x:v>
      </x:c>
      <x:c r="D3564" s="34" t="str">
        <x:v>Closure_83</x:v>
      </x:c>
      <x:c r="E3564" s="34" t="str">
        <x:v>Condition</x:v>
      </x:c>
      <x:c r="F3564" s="34" t="n">
        <x:v>36</x:v>
      </x:c>
      <x:c r="G3564" s="34" t="str">
        <x:v>RECORDED</x:v>
      </x:c>
      <x:c r="H3564" s="38" t="n">
        <x:f>IF(ISNUMBER('Data'!I148),'Data'!I148*100,"")</x:f>
        <x:v>19.44</x:v>
      </x:c>
      <x:c r="I3564" s="34" t="str">
        <x:v>PASS</x:v>
      </x:c>
      <x:c r="J3564" s="34" t="str">
        <x:v>PASS</x:v>
      </x:c>
      <x:c r="K3564" s="34" t="str">
        <x:v>PASS</x:v>
      </x:c>
      <x:c r="L3564" s="34" t="str">
        <x:v>FAIL</x:v>
      </x:c>
      <x:c r="M3564" s="34" t="str">
        <x:v>numeric coverage for applicable metric</x:v>
      </x:c>
      <x:c r="N3564" s="34" t="str">
        <x:v>Feedback-Directed Random Test Generation/Result/Closure_83/result.json</x:v>
      </x:c>
      <x:c r="O3564" s="38" t="n">
        <x:f>IF(AND(G3564="RECORDED",ISNUMBER(H3564)),H3564,"")</x:f>
        <x:v>19.44</x:v>
      </x:c>
      <x:c r="P3564" s="34" t="str">
        <x:v>INCONCLUSIVE</x:v>
      </x:c>
      <x:c r="Q3564" s="34" t="str">
        <x:v>Feedback-Directed Random Test Generation/Result/Closure_83/result.json</x:v>
      </x:c>
    </x:row>
    <x:row r="3565">
      <x:c r="A3565" s="34" t="str">
        <x:v>randoop</x:v>
      </x:c>
      <x:c r="B3565" s="34" t="str">
        <x:v>Closure</x:v>
      </x:c>
      <x:c r="C3565" s="34" t="str">
        <x:v>Round1</x:v>
      </x:c>
      <x:c r="D3565" s="34" t="str">
        <x:v>Closure_84</x:v>
      </x:c>
      <x:c r="E3565" s="34" t="str">
        <x:v>Condition</x:v>
      </x:c>
      <x:c r="F3565" s="34" t="n">
        <x:v>293</x:v>
      </x:c>
      <x:c r="G3565" s="34" t="str">
        <x:v>RECORDED</x:v>
      </x:c>
      <x:c r="H3565" s="38" t="n">
        <x:f>IF(ISNUMBER('Data'!I149),'Data'!I149*100,"")</x:f>
        <x:v>0</x:v>
      </x:c>
      <x:c r="I3565" s="34" t="str">
        <x:v>PASS</x:v>
      </x:c>
      <x:c r="J3565" s="34" t="str">
        <x:v>PASS</x:v>
      </x:c>
      <x:c r="K3565" s="34" t="str">
        <x:v>PASS</x:v>
      </x:c>
      <x:c r="L3565" s="34" t="str">
        <x:v>PASS</x:v>
      </x:c>
      <x:c r="M3565" s="34" t="str">
        <x:v>numeric coverage for applicable metric</x:v>
      </x:c>
      <x:c r="N3565" s="34" t="str">
        <x:v>Feedback-Directed Random Test Generation/Result/Closure_84/result.json</x:v>
      </x:c>
      <x:c r="O3565" s="38" t="n">
        <x:f>IF(AND(G3565="RECORDED",ISNUMBER(H3565)),H3565,"")</x:f>
        <x:v>0</x:v>
      </x:c>
      <x:c r="P3565" s="34" t="str">
        <x:v>NOT_REVEALING</x:v>
      </x:c>
      <x:c r="Q3565" s="34" t="str">
        <x:v>Feedback-Directed Random Test Generation/Result/Closure_84/result.json</x:v>
      </x:c>
    </x:row>
    <x:row r="3566">
      <x:c r="A3566" s="34" t="str">
        <x:v>randoop</x:v>
      </x:c>
      <x:c r="B3566" s="34" t="str">
        <x:v>Closure</x:v>
      </x:c>
      <x:c r="C3566" s="34" t="str">
        <x:v>Round1</x:v>
      </x:c>
      <x:c r="D3566" s="34" t="str">
        <x:v>Closure_85</x:v>
      </x:c>
      <x:c r="E3566" s="34" t="str">
        <x:v>Condition</x:v>
      </x:c>
      <x:c r="F3566" s="34" t="n">
        <x:v>56</x:v>
      </x:c>
      <x:c r="G3566" s="34" t="str">
        <x:v>RECORDED</x:v>
      </x:c>
      <x:c r="H3566" s="38" t="n">
        <x:f>IF(ISNUMBER('Data'!I150),'Data'!I150*100,"")</x:f>
        <x:v>1.79</x:v>
      </x:c>
      <x:c r="I3566" s="34" t="str">
        <x:v>PASS</x:v>
      </x:c>
      <x:c r="J3566" s="34" t="str">
        <x:v>PASS</x:v>
      </x:c>
      <x:c r="K3566" s="34" t="str">
        <x:v>PASS</x:v>
      </x:c>
      <x:c r="L3566" s="34" t="str">
        <x:v>PASS</x:v>
      </x:c>
      <x:c r="M3566" s="34" t="str">
        <x:v>numeric coverage for applicable metric</x:v>
      </x:c>
      <x:c r="N3566" s="34" t="str">
        <x:v>Feedback-Directed Random Test Generation/Result/Closure_85/result.json</x:v>
      </x:c>
      <x:c r="O3566" s="38" t="n">
        <x:f>IF(AND(G3566="RECORDED",ISNUMBER(H3566)),H3566,"")</x:f>
        <x:v>1.79</x:v>
      </x:c>
      <x:c r="P3566" s="34" t="str">
        <x:v>NOT_REVEALING</x:v>
      </x:c>
      <x:c r="Q3566" s="34" t="str">
        <x:v>Feedback-Directed Random Test Generation/Result/Closure_85/result.json</x:v>
      </x:c>
    </x:row>
    <x:row r="3567">
      <x:c r="A3567" s="34" t="str">
        <x:v>randoop</x:v>
      </x:c>
      <x:c r="B3567" s="34" t="str">
        <x:v>Closure</x:v>
      </x:c>
      <x:c r="C3567" s="34" t="str">
        <x:v>Round1</x:v>
      </x:c>
      <x:c r="D3567" s="34" t="str">
        <x:v>Closure_86</x:v>
      </x:c>
      <x:c r="E3567" s="34" t="str">
        <x:v>Condition</x:v>
      </x:c>
      <x:c r="F3567" s="34" t="n">
        <x:v>722</x:v>
      </x:c>
      <x:c r="G3567" s="34" t="str">
        <x:v>RECORDED</x:v>
      </x:c>
      <x:c r="H3567" s="38" t="n">
        <x:f>IF(ISNUMBER('Data'!I151),'Data'!I151*100,"")</x:f>
        <x:v>28.12</x:v>
      </x:c>
      <x:c r="I3567" s="34" t="str">
        <x:v>PASS</x:v>
      </x:c>
      <x:c r="J3567" s="34" t="str">
        <x:v>PASS</x:v>
      </x:c>
      <x:c r="K3567" s="34" t="str">
        <x:v>PASS</x:v>
      </x:c>
      <x:c r="L3567" s="34" t="str">
        <x:v>PASS</x:v>
      </x:c>
      <x:c r="M3567" s="34" t="str">
        <x:v>numeric coverage for applicable metric</x:v>
      </x:c>
      <x:c r="N3567" s="34" t="str">
        <x:v>Feedback-Directed Random Test Generation/Result/Closure_86/result.json</x:v>
      </x:c>
      <x:c r="O3567" s="38" t="n">
        <x:f>IF(AND(G3567="RECORDED",ISNUMBER(H3567)),H3567,"")</x:f>
        <x:v>28.12</x:v>
      </x:c>
      <x:c r="P3567" s="34" t="str">
        <x:v>NOT_REVEALING</x:v>
      </x:c>
      <x:c r="Q3567" s="34" t="str">
        <x:v>Feedback-Directed Random Test Generation/Result/Closure_86/result.json</x:v>
      </x:c>
    </x:row>
    <x:row r="3568">
      <x:c r="A3568" s="34" t="str">
        <x:v>randoop</x:v>
      </x:c>
      <x:c r="B3568" s="34" t="str">
        <x:v>Closure</x:v>
      </x:c>
      <x:c r="C3568" s="34" t="str">
        <x:v>Round1</x:v>
      </x:c>
      <x:c r="D3568" s="34" t="str">
        <x:v>Closure_87</x:v>
      </x:c>
      <x:c r="E3568" s="34" t="str">
        <x:v>Condition</x:v>
      </x:c>
      <x:c r="F3568" s="34" t="n">
        <x:v>309</x:v>
      </x:c>
      <x:c r="G3568" s="34" t="str">
        <x:v>RECORDED</x:v>
      </x:c>
      <x:c r="H3568" s="38" t="n">
        <x:f>IF(ISNUMBER('Data'!I152),'Data'!I152*100,"")</x:f>
        <x:v>0.32</x:v>
      </x:c>
      <x:c r="I3568" s="34" t="str">
        <x:v>PASS</x:v>
      </x:c>
      <x:c r="J3568" s="34" t="str">
        <x:v>PASS</x:v>
      </x:c>
      <x:c r="K3568" s="34" t="str">
        <x:v>PASS</x:v>
      </x:c>
      <x:c r="L3568" s="34" t="str">
        <x:v>PASS</x:v>
      </x:c>
      <x:c r="M3568" s="34" t="str">
        <x:v>numeric coverage for applicable metric</x:v>
      </x:c>
      <x:c r="N3568" s="34" t="str">
        <x:v>Feedback-Directed Random Test Generation/Result/Closure_87/result.json</x:v>
      </x:c>
      <x:c r="O3568" s="38" t="n">
        <x:f>IF(AND(G3568="RECORDED",ISNUMBER(H3568)),H3568,"")</x:f>
        <x:v>0.32</x:v>
      </x:c>
      <x:c r="P3568" s="34" t="str">
        <x:v>NOT_REVEALING</x:v>
      </x:c>
      <x:c r="Q3568" s="34" t="str">
        <x:v>Feedback-Directed Random Test Generation/Result/Closure_87/result.json</x:v>
      </x:c>
    </x:row>
    <x:row r="3569">
      <x:c r="A3569" s="34" t="str">
        <x:v>randoop</x:v>
      </x:c>
      <x:c r="B3569" s="34" t="str">
        <x:v>Closure</x:v>
      </x:c>
      <x:c r="C3569" s="34" t="str">
        <x:v>Round1</x:v>
      </x:c>
      <x:c r="D3569" s="34" t="str">
        <x:v>Closure_88</x:v>
      </x:c>
      <x:c r="E3569" s="34" t="str">
        <x:v>Condition</x:v>
      </x:c>
      <x:c r="F3569" s="34" t="n">
        <x:v>100</x:v>
      </x:c>
      <x:c r="G3569" s="34" t="str">
        <x:v>RECORDED</x:v>
      </x:c>
      <x:c r="H3569" s="38" t="n">
        <x:f>IF(ISNUMBER('Data'!I153),'Data'!I153*100,"")</x:f>
        <x:v>0</x:v>
      </x:c>
      <x:c r="I3569" s="34" t="str">
        <x:v>PASS</x:v>
      </x:c>
      <x:c r="J3569" s="34" t="str">
        <x:v>PASS</x:v>
      </x:c>
      <x:c r="K3569" s="34" t="str">
        <x:v>PASS</x:v>
      </x:c>
      <x:c r="L3569" s="34" t="str">
        <x:v>PASS</x:v>
      </x:c>
      <x:c r="M3569" s="34" t="str">
        <x:v>numeric coverage for applicable metric</x:v>
      </x:c>
      <x:c r="N3569" s="34" t="str">
        <x:v>Feedback-Directed Random Test Generation/Result/Closure_88/result.json</x:v>
      </x:c>
      <x:c r="O3569" s="38" t="n">
        <x:f>IF(AND(G3569="RECORDED",ISNUMBER(H3569)),H3569,"")</x:f>
        <x:v>0</x:v>
      </x:c>
      <x:c r="P3569" s="34" t="str">
        <x:v>NOT_REVEALING</x:v>
      </x:c>
      <x:c r="Q3569" s="34" t="str">
        <x:v>Feedback-Directed Random Test Generation/Result/Closure_88/result.json</x:v>
      </x:c>
    </x:row>
    <x:row r="3570">
      <x:c r="A3570" s="34" t="str">
        <x:v>randoop</x:v>
      </x:c>
      <x:c r="B3570" s="34" t="str">
        <x:v>Closure</x:v>
      </x:c>
      <x:c r="C3570" s="34" t="str">
        <x:v>Round1</x:v>
      </x:c>
      <x:c r="D3570" s="34" t="str">
        <x:v>Closure_89</x:v>
      </x:c>
      <x:c r="E3570" s="34" t="str">
        <x:v>Condition</x:v>
      </x:c>
      <x:c r="F3570" s="34" t="n">
        <x:v>521</x:v>
      </x:c>
      <x:c r="G3570" s="34" t="str">
        <x:v>RECORDED</x:v>
      </x:c>
      <x:c r="H3570" s="38" t="n">
        <x:f>IF(ISNUMBER('Data'!I154),'Data'!I154*100,"")</x:f>
        <x:v>12.28</x:v>
      </x:c>
      <x:c r="I3570" s="34" t="str">
        <x:v>PASS</x:v>
      </x:c>
      <x:c r="J3570" s="34" t="str">
        <x:v>PASS</x:v>
      </x:c>
      <x:c r="K3570" s="34" t="str">
        <x:v>PASS</x:v>
      </x:c>
      <x:c r="L3570" s="34" t="str">
        <x:v>PASS</x:v>
      </x:c>
      <x:c r="M3570" s="34" t="str">
        <x:v>numeric coverage for applicable metric</x:v>
      </x:c>
      <x:c r="N3570" s="34" t="str">
        <x:v>Feedback-Directed Random Test Generation/Result/Closure_89/result.json</x:v>
      </x:c>
      <x:c r="O3570" s="38" t="n">
        <x:f>IF(AND(G3570="RECORDED",ISNUMBER(H3570)),H3570,"")</x:f>
        <x:v>12.28</x:v>
      </x:c>
      <x:c r="P3570" s="34" t="str">
        <x:v>NOT_REVEALING</x:v>
      </x:c>
      <x:c r="Q3570" s="34" t="str">
        <x:v>Feedback-Directed Random Test Generation/Result/Closure_89/result.json</x:v>
      </x:c>
    </x:row>
    <x:row r="3571">
      <x:c r="A3571" s="34" t="str">
        <x:v>randoop</x:v>
      </x:c>
      <x:c r="B3571" s="34" t="str">
        <x:v>Closure</x:v>
      </x:c>
      <x:c r="C3571" s="34" t="str">
        <x:v>Round1</x:v>
      </x:c>
      <x:c r="D3571" s="34" t="str">
        <x:v>Closure_90</x:v>
      </x:c>
      <x:c r="E3571" s="34" t="str">
        <x:v>Condition</x:v>
      </x:c>
      <x:c r="F3571" s="34" t="n">
        <x:v>522</x:v>
      </x:c>
      <x:c r="G3571" s="34" t="str">
        <x:v>RECORDED</x:v>
      </x:c>
      <x:c r="H3571" s="38" t="n">
        <x:f>IF(ISNUMBER('Data'!I155),'Data'!I155*100,"")</x:f>
        <x:v>0</x:v>
      </x:c>
      <x:c r="I3571" s="34" t="str">
        <x:v>PASS</x:v>
      </x:c>
      <x:c r="J3571" s="34" t="str">
        <x:v>PASS</x:v>
      </x:c>
      <x:c r="K3571" s="34" t="str">
        <x:v>PASS</x:v>
      </x:c>
      <x:c r="L3571" s="34" t="str">
        <x:v>PASS</x:v>
      </x:c>
      <x:c r="M3571" s="34" t="str">
        <x:v>numeric coverage for applicable metric</x:v>
      </x:c>
      <x:c r="N3571" s="34" t="str">
        <x:v>Feedback-Directed Random Test Generation/Result/Closure_90/result.json</x:v>
      </x:c>
      <x:c r="O3571" s="38" t="n">
        <x:f>IF(AND(G3571="RECORDED",ISNUMBER(H3571)),H3571,"")</x:f>
        <x:v>0</x:v>
      </x:c>
      <x:c r="P3571" s="34" t="str">
        <x:v>NOT_REVEALING</x:v>
      </x:c>
      <x:c r="Q3571" s="34" t="str">
        <x:v>Feedback-Directed Random Test Generation/Result/Closure_90/result.json</x:v>
      </x:c>
    </x:row>
    <x:row r="3572">
      <x:c r="A3572" s="34" t="str">
        <x:v>randoop</x:v>
      </x:c>
      <x:c r="B3572" s="34" t="str">
        <x:v>Closure</x:v>
      </x:c>
      <x:c r="C3572" s="34" t="str">
        <x:v>Round1</x:v>
      </x:c>
      <x:c r="D3572" s="34" t="str">
        <x:v>Closure_91</x:v>
      </x:c>
      <x:c r="E3572" s="34" t="str">
        <x:v>Condition</x:v>
      </x:c>
      <x:c r="F3572" s="34" t="n">
        <x:v>66</x:v>
      </x:c>
      <x:c r="G3572" s="34" t="str">
        <x:v>RECORDED</x:v>
      </x:c>
      <x:c r="H3572" s="38" t="n">
        <x:f>IF(ISNUMBER('Data'!I156),'Data'!I156*100,"")</x:f>
        <x:v>0</x:v>
      </x:c>
      <x:c r="I3572" s="34" t="str">
        <x:v>PASS</x:v>
      </x:c>
      <x:c r="J3572" s="34" t="str">
        <x:v>PASS</x:v>
      </x:c>
      <x:c r="K3572" s="34" t="str">
        <x:v>PASS</x:v>
      </x:c>
      <x:c r="L3572" s="34" t="str">
        <x:v>PASS</x:v>
      </x:c>
      <x:c r="M3572" s="34" t="str">
        <x:v>numeric coverage for applicable metric</x:v>
      </x:c>
      <x:c r="N3572" s="34" t="str">
        <x:v>Feedback-Directed Random Test Generation/Result/Closure_91/result.json</x:v>
      </x:c>
      <x:c r="O3572" s="38" t="n">
        <x:f>IF(AND(G3572="RECORDED",ISNUMBER(H3572)),H3572,"")</x:f>
        <x:v>0</x:v>
      </x:c>
      <x:c r="P3572" s="34" t="str">
        <x:v>NOT_REVEALING</x:v>
      </x:c>
      <x:c r="Q3572" s="34" t="str">
        <x:v>Feedback-Directed Random Test Generation/Result/Closure_91/result.json</x:v>
      </x:c>
    </x:row>
    <x:row r="3573">
      <x:c r="A3573" s="34" t="str">
        <x:v>randoop</x:v>
      </x:c>
      <x:c r="B3573" s="34" t="str">
        <x:v>Closure</x:v>
      </x:c>
      <x:c r="C3573" s="34" t="str">
        <x:v>Round1</x:v>
      </x:c>
      <x:c r="D3573" s="34" t="str">
        <x:v>Closure_92</x:v>
      </x:c>
      <x:c r="E3573" s="34" t="str">
        <x:v>Condition</x:v>
      </x:c>
      <x:c r="F3573" s="34" t="n">
        <x:v>258</x:v>
      </x:c>
      <x:c r="G3573" s="34" t="str">
        <x:v>RECORDED</x:v>
      </x:c>
      <x:c r="H3573" s="38" t="n">
        <x:f>IF(ISNUMBER('Data'!I157),'Data'!I157*100,"")</x:f>
        <x:v>0</x:v>
      </x:c>
      <x:c r="I3573" s="34" t="str">
        <x:v>PASS</x:v>
      </x:c>
      <x:c r="J3573" s="34" t="str">
        <x:v>PASS</x:v>
      </x:c>
      <x:c r="K3573" s="34" t="str">
        <x:v>PASS</x:v>
      </x:c>
      <x:c r="L3573" s="34" t="str">
        <x:v>PASS</x:v>
      </x:c>
      <x:c r="M3573" s="34" t="str">
        <x:v>numeric coverage for applicable metric</x:v>
      </x:c>
      <x:c r="N3573" s="34" t="str">
        <x:v>Feedback-Directed Random Test Generation/Result/Closure_92/result.json</x:v>
      </x:c>
      <x:c r="O3573" s="38" t="n">
        <x:f>IF(AND(G3573="RECORDED",ISNUMBER(H3573)),H3573,"")</x:f>
        <x:v>0</x:v>
      </x:c>
      <x:c r="P3573" s="34" t="str">
        <x:v>NOT_REVEALING</x:v>
      </x:c>
      <x:c r="Q3573" s="34" t="str">
        <x:v>Feedback-Directed Random Test Generation/Result/Closure_92/result.json</x:v>
      </x:c>
    </x:row>
    <x:row r="3574">
      <x:c r="A3574" s="34" t="str">
        <x:v>randoop</x:v>
      </x:c>
      <x:c r="B3574" s="34" t="str">
        <x:v>Closure</x:v>
      </x:c>
      <x:c r="C3574" s="34" t="str">
        <x:v>Round1</x:v>
      </x:c>
      <x:c r="D3574" s="34" t="str">
        <x:v>Closure_94</x:v>
      </x:c>
      <x:c r="E3574" s="34" t="str">
        <x:v>Condition</x:v>
      </x:c>
      <x:c r="F3574" s="34" t="n">
        <x:v>657</x:v>
      </x:c>
      <x:c r="G3574" s="34" t="str">
        <x:v>RECORDED</x:v>
      </x:c>
      <x:c r="H3574" s="38" t="n">
        <x:f>IF(ISNUMBER('Data'!I158),'Data'!I158*100,"")</x:f>
        <x:v>36.23</x:v>
      </x:c>
      <x:c r="I3574" s="34" t="str">
        <x:v>PASS</x:v>
      </x:c>
      <x:c r="J3574" s="34" t="str">
        <x:v>PASS</x:v>
      </x:c>
      <x:c r="K3574" s="34" t="str">
        <x:v>PASS</x:v>
      </x:c>
      <x:c r="L3574" s="34" t="str">
        <x:v>FAIL</x:v>
      </x:c>
      <x:c r="M3574" s="34" t="str">
        <x:v>numeric coverage for applicable metric</x:v>
      </x:c>
      <x:c r="N3574" s="34" t="str">
        <x:v>Feedback-Directed Random Test Generation/Result/Closure_94/result.json</x:v>
      </x:c>
      <x:c r="O3574" s="38" t="n">
        <x:f>IF(AND(G3574="RECORDED",ISNUMBER(H3574)),H3574,"")</x:f>
        <x:v>36.23</x:v>
      </x:c>
      <x:c r="P3574" s="34" t="str">
        <x:v>INCONCLUSIVE</x:v>
      </x:c>
      <x:c r="Q3574" s="34" t="str">
        <x:v>Feedback-Directed Random Test Generation/Result/Closure_94/result.json</x:v>
      </x:c>
    </x:row>
    <x:row r="3575">
      <x:c r="A3575" s="34" t="str">
        <x:v>randoop</x:v>
      </x:c>
      <x:c r="B3575" s="34" t="str">
        <x:v>Closure</x:v>
      </x:c>
      <x:c r="C3575" s="34" t="str">
        <x:v>Round1</x:v>
      </x:c>
      <x:c r="D3575" s="34" t="str">
        <x:v>Closure_95</x:v>
      </x:c>
      <x:c r="E3575" s="34" t="str">
        <x:v>Condition</x:v>
      </x:c>
      <x:c r="F3575" s="34" t="n">
        <x:v>487</x:v>
      </x:c>
      <x:c r="G3575" s="34" t="str">
        <x:v>RECORDED</x:v>
      </x:c>
      <x:c r="H3575" s="38" t="n">
        <x:f>IF(ISNUMBER('Data'!I159),'Data'!I159*100,"")</x:f>
        <x:v>0</x:v>
      </x:c>
      <x:c r="I3575" s="34" t="str">
        <x:v>PASS</x:v>
      </x:c>
      <x:c r="J3575" s="34" t="str">
        <x:v>PASS</x:v>
      </x:c>
      <x:c r="K3575" s="34" t="str">
        <x:v>PASS</x:v>
      </x:c>
      <x:c r="L3575" s="34" t="str">
        <x:v>PASS</x:v>
      </x:c>
      <x:c r="M3575" s="34" t="str">
        <x:v>numeric coverage for applicable metric</x:v>
      </x:c>
      <x:c r="N3575" s="34" t="str">
        <x:v>Feedback-Directed Random Test Generation/Result/Closure_95/result.json</x:v>
      </x:c>
      <x:c r="O3575" s="38" t="n">
        <x:f>IF(AND(G3575="RECORDED",ISNUMBER(H3575)),H3575,"")</x:f>
        <x:v>0</x:v>
      </x:c>
      <x:c r="P3575" s="34" t="str">
        <x:v>NOT_REVEALING</x:v>
      </x:c>
      <x:c r="Q3575" s="34" t="str">
        <x:v>Feedback-Directed Random Test Generation/Result/Closure_95/result.json</x:v>
      </x:c>
    </x:row>
    <x:row r="3576">
      <x:c r="A3576" s="34" t="str">
        <x:v>randoop</x:v>
      </x:c>
      <x:c r="B3576" s="34" t="str">
        <x:v>Closure</x:v>
      </x:c>
      <x:c r="C3576" s="34" t="str">
        <x:v>Round1</x:v>
      </x:c>
      <x:c r="D3576" s="34" t="str">
        <x:v>Closure_96</x:v>
      </x:c>
      <x:c r="E3576" s="34" t="str">
        <x:v>Condition</x:v>
      </x:c>
      <x:c r="F3576" s="34" t="n">
        <x:v>428</x:v>
      </x:c>
      <x:c r="G3576" s="34" t="str">
        <x:v>RECORDED</x:v>
      </x:c>
      <x:c r="H3576" s="38" t="n">
        <x:f>IF(ISNUMBER('Data'!I160),'Data'!I160*100,"")</x:f>
        <x:v>0</x:v>
      </x:c>
      <x:c r="I3576" s="34" t="str">
        <x:v>PASS</x:v>
      </x:c>
      <x:c r="J3576" s="34" t="str">
        <x:v>PASS</x:v>
      </x:c>
      <x:c r="K3576" s="34" t="str">
        <x:v>PASS</x:v>
      </x:c>
      <x:c r="L3576" s="34" t="str">
        <x:v>PASS</x:v>
      </x:c>
      <x:c r="M3576" s="34" t="str">
        <x:v>numeric coverage for applicable metric</x:v>
      </x:c>
      <x:c r="N3576" s="34" t="str">
        <x:v>Feedback-Directed Random Test Generation/Result/Closure_96/result.json</x:v>
      </x:c>
      <x:c r="O3576" s="38" t="n">
        <x:f>IF(AND(G3576="RECORDED",ISNUMBER(H3576)),H3576,"")</x:f>
        <x:v>0</x:v>
      </x:c>
      <x:c r="P3576" s="34" t="str">
        <x:v>NOT_REVEALING</x:v>
      </x:c>
      <x:c r="Q3576" s="34" t="str">
        <x:v>Feedback-Directed Random Test Generation/Result/Closure_96/result.json</x:v>
      </x:c>
    </x:row>
    <x:row r="3577">
      <x:c r="A3577" s="34" t="str">
        <x:v>randoop</x:v>
      </x:c>
      <x:c r="B3577" s="34" t="str">
        <x:v>Closure</x:v>
      </x:c>
      <x:c r="C3577" s="34" t="str">
        <x:v>Round1</x:v>
      </x:c>
      <x:c r="D3577" s="34" t="str">
        <x:v>Closure_97</x:v>
      </x:c>
      <x:c r="E3577" s="34" t="str">
        <x:v>Condition</x:v>
      </x:c>
      <x:c r="F3577" s="34" t="n">
        <x:v>437</x:v>
      </x:c>
      <x:c r="G3577" s="34" t="str">
        <x:v>RECORDED</x:v>
      </x:c>
      <x:c r="H3577" s="38" t="n">
        <x:f>IF(ISNUMBER('Data'!I161),'Data'!I161*100,"")</x:f>
        <x:v>0</x:v>
      </x:c>
      <x:c r="I3577" s="34" t="str">
        <x:v>PASS</x:v>
      </x:c>
      <x:c r="J3577" s="34" t="str">
        <x:v>PASS</x:v>
      </x:c>
      <x:c r="K3577" s="34" t="str">
        <x:v>PASS</x:v>
      </x:c>
      <x:c r="L3577" s="34" t="str">
        <x:v>PASS</x:v>
      </x:c>
      <x:c r="M3577" s="34" t="str">
        <x:v>numeric coverage for applicable metric</x:v>
      </x:c>
      <x:c r="N3577" s="34" t="str">
        <x:v>Feedback-Directed Random Test Generation/Result/Closure_97/result.json</x:v>
      </x:c>
      <x:c r="O3577" s="38" t="n">
        <x:f>IF(AND(G3577="RECORDED",ISNUMBER(H3577)),H3577,"")</x:f>
        <x:v>0</x:v>
      </x:c>
      <x:c r="P3577" s="34" t="str">
        <x:v>NOT_REVEALING</x:v>
      </x:c>
      <x:c r="Q3577" s="34" t="str">
        <x:v>Feedback-Directed Random Test Generation/Result/Closure_97/result.json</x:v>
      </x:c>
    </x:row>
    <x:row r="3578">
      <x:c r="A3578" s="34" t="str">
        <x:v>randoop</x:v>
      </x:c>
      <x:c r="B3578" s="34" t="str">
        <x:v>Closure</x:v>
      </x:c>
      <x:c r="C3578" s="34" t="str">
        <x:v>Round1</x:v>
      </x:c>
      <x:c r="D3578" s="34" t="str">
        <x:v>Closure_98</x:v>
      </x:c>
      <x:c r="E3578" s="34" t="str">
        <x:v>Condition</x:v>
      </x:c>
      <x:c r="F3578" s="34" t="n">
        <x:v>127</x:v>
      </x:c>
      <x:c r="G3578" s="34" t="str">
        <x:v>RECORDED</x:v>
      </x:c>
      <x:c r="H3578" s="38" t="n">
        <x:f>IF(ISNUMBER('Data'!I162),'Data'!I162*100,"")</x:f>
        <x:v>11.81</x:v>
      </x:c>
      <x:c r="I3578" s="34" t="str">
        <x:v>PASS</x:v>
      </x:c>
      <x:c r="J3578" s="34" t="str">
        <x:v>PASS</x:v>
      </x:c>
      <x:c r="K3578" s="34" t="str">
        <x:v>PASS</x:v>
      </x:c>
      <x:c r="L3578" s="34" t="str">
        <x:v>PASS</x:v>
      </x:c>
      <x:c r="M3578" s="34" t="str">
        <x:v>numeric coverage for applicable metric</x:v>
      </x:c>
      <x:c r="N3578" s="34" t="str">
        <x:v>Feedback-Directed Random Test Generation/Result/Closure_98/result.json</x:v>
      </x:c>
      <x:c r="O3578" s="38" t="n">
        <x:f>IF(AND(G3578="RECORDED",ISNUMBER(H3578)),H3578,"")</x:f>
        <x:v>11.81</x:v>
      </x:c>
      <x:c r="P3578" s="34" t="str">
        <x:v>NOT_REVEALING</x:v>
      </x:c>
      <x:c r="Q3578" s="34" t="str">
        <x:v>Feedback-Directed Random Test Generation/Result/Closure_98/result.json</x:v>
      </x:c>
    </x:row>
    <x:row r="3579">
      <x:c r="A3579" s="34" t="str">
        <x:v>randoop</x:v>
      </x:c>
      <x:c r="B3579" s="34" t="str">
        <x:v>Closure</x:v>
      </x:c>
      <x:c r="C3579" s="34" t="str">
        <x:v>Round1</x:v>
      </x:c>
      <x:c r="D3579" s="34" t="str">
        <x:v>Closure_99</x:v>
      </x:c>
      <x:c r="E3579" s="34" t="str">
        <x:v>Condition</x:v>
      </x:c>
      <x:c r="F3579" s="34" t="n">
        <x:v>58</x:v>
      </x:c>
      <x:c r="G3579" s="34" t="str">
        <x:v>RECORDED</x:v>
      </x:c>
      <x:c r="H3579" s="38" t="n">
        <x:f>IF(ISNUMBER('Data'!I163),'Data'!I163*100,"")</x:f>
        <x:v>0</x:v>
      </x:c>
      <x:c r="I3579" s="34" t="str">
        <x:v>PASS</x:v>
      </x:c>
      <x:c r="J3579" s="34" t="str">
        <x:v>PASS</x:v>
      </x:c>
      <x:c r="K3579" s="34" t="str">
        <x:v>PASS</x:v>
      </x:c>
      <x:c r="L3579" s="34" t="str">
        <x:v>PASS</x:v>
      </x:c>
      <x:c r="M3579" s="34" t="str">
        <x:v>numeric coverage for applicable metric</x:v>
      </x:c>
      <x:c r="N3579" s="34" t="str">
        <x:v>Feedback-Directed Random Test Generation/Result/Closure_99/result.json</x:v>
      </x:c>
      <x:c r="O3579" s="38" t="n">
        <x:f>IF(AND(G3579="RECORDED",ISNUMBER(H3579)),H3579,"")</x:f>
        <x:v>0</x:v>
      </x:c>
      <x:c r="P3579" s="34" t="str">
        <x:v>NOT_REVEALING</x:v>
      </x:c>
      <x:c r="Q3579" s="34" t="str">
        <x:v>Feedback-Directed Random Test Generation/Result/Closure_99/result.json</x:v>
      </x:c>
    </x:row>
    <x:row r="3580">
      <x:c r="A3580" s="34" t="str">
        <x:v>randoop</x:v>
      </x:c>
      <x:c r="B3580" s="34" t="str">
        <x:v>Closure</x:v>
      </x:c>
      <x:c r="C3580" s="34" t="str">
        <x:v>Round1</x:v>
      </x:c>
      <x:c r="D3580" s="34" t="str">
        <x:v>Closure_100</x:v>
      </x:c>
      <x:c r="E3580" s="34" t="str">
        <x:v>Condition</x:v>
      </x:c>
      <x:c r="F3580" s="34" t="n">
        <x:v>44</x:v>
      </x:c>
      <x:c r="G3580" s="34" t="str">
        <x:v>RECORDED</x:v>
      </x:c>
      <x:c r="H3580" s="38" t="n">
        <x:f>IF(ISNUMBER('Data'!I164),'Data'!I164*100,"")</x:f>
        <x:v>0</x:v>
      </x:c>
      <x:c r="I3580" s="34" t="str">
        <x:v>PASS</x:v>
      </x:c>
      <x:c r="J3580" s="34" t="str">
        <x:v>PASS</x:v>
      </x:c>
      <x:c r="K3580" s="34" t="str">
        <x:v>PASS</x:v>
      </x:c>
      <x:c r="L3580" s="34" t="str">
        <x:v>PASS</x:v>
      </x:c>
      <x:c r="M3580" s="34" t="str">
        <x:v>numeric coverage for applicable metric</x:v>
      </x:c>
      <x:c r="N3580" s="34" t="str">
        <x:v>Feedback-Directed Random Test Generation/Result/Closure_100/result.json</x:v>
      </x:c>
      <x:c r="O3580" s="38" t="n">
        <x:f>IF(AND(G3580="RECORDED",ISNUMBER(H3580)),H3580,"")</x:f>
        <x:v>0</x:v>
      </x:c>
      <x:c r="P3580" s="34" t="str">
        <x:v>NOT_REVEALING</x:v>
      </x:c>
      <x:c r="Q3580" s="34" t="str">
        <x:v>Feedback-Directed Random Test Generation/Result/Closure_100/result.json</x:v>
      </x:c>
    </x:row>
    <x:row r="3581">
      <x:c r="A3581" s="34" t="str">
        <x:v>randoop</x:v>
      </x:c>
      <x:c r="B3581" s="34" t="str">
        <x:v>Closure</x:v>
      </x:c>
      <x:c r="C3581" s="34" t="str">
        <x:v>Round1</x:v>
      </x:c>
      <x:c r="D3581" s="34" t="str">
        <x:v>Closure_101</x:v>
      </x:c>
      <x:c r="E3581" s="34" t="str">
        <x:v>Condition</x:v>
      </x:c>
      <x:c r="F3581" s="34" t="n">
        <x:v>24</x:v>
      </x:c>
      <x:c r="G3581" s="34" t="str">
        <x:v>RECORDED</x:v>
      </x:c>
      <x:c r="H3581" s="38" t="n">
        <x:f>IF(ISNUMBER('Data'!I165),'Data'!I165*100,"")</x:f>
        <x:v>12.5</x:v>
      </x:c>
      <x:c r="I3581" s="34" t="str">
        <x:v>PASS</x:v>
      </x:c>
      <x:c r="J3581" s="34" t="str">
        <x:v>PASS</x:v>
      </x:c>
      <x:c r="K3581" s="34" t="str">
        <x:v>PASS</x:v>
      </x:c>
      <x:c r="L3581" s="34" t="str">
        <x:v>PASS</x:v>
      </x:c>
      <x:c r="M3581" s="34" t="str">
        <x:v>numeric coverage for applicable metric</x:v>
      </x:c>
      <x:c r="N3581" s="34" t="str">
        <x:v>Feedback-Directed Random Test Generation/Result/Closure_101/result.json</x:v>
      </x:c>
      <x:c r="O3581" s="38" t="n">
        <x:f>IF(AND(G3581="RECORDED",ISNUMBER(H3581)),H3581,"")</x:f>
        <x:v>12.5</x:v>
      </x:c>
      <x:c r="P3581" s="34" t="str">
        <x:v>NOT_REVEALING</x:v>
      </x:c>
      <x:c r="Q3581" s="34" t="str">
        <x:v>Feedback-Directed Random Test Generation/Result/Closure_101/result.json</x:v>
      </x:c>
    </x:row>
    <x:row r="3582">
      <x:c r="A3582" s="34" t="str">
        <x:v>randoop</x:v>
      </x:c>
      <x:c r="B3582" s="34" t="str">
        <x:v>Closure</x:v>
      </x:c>
      <x:c r="C3582" s="34" t="str">
        <x:v>Round1</x:v>
      </x:c>
      <x:c r="D3582" s="34" t="str">
        <x:v>Closure_102</x:v>
      </x:c>
      <x:c r="E3582" s="34" t="str">
        <x:v>Condition</x:v>
      </x:c>
      <x:c r="F3582" s="34" t="n">
        <x:v>109</x:v>
      </x:c>
      <x:c r="G3582" s="34" t="str">
        <x:v>RECORDED</x:v>
      </x:c>
      <x:c r="H3582" s="38" t="n">
        <x:f>IF(ISNUMBER('Data'!I166),'Data'!I166*100,"")</x:f>
        <x:v>0</x:v>
      </x:c>
      <x:c r="I3582" s="34" t="str">
        <x:v>PASS</x:v>
      </x:c>
      <x:c r="J3582" s="34" t="str">
        <x:v>PASS</x:v>
      </x:c>
      <x:c r="K3582" s="34" t="str">
        <x:v>PASS</x:v>
      </x:c>
      <x:c r="L3582" s="34" t="str">
        <x:v>PASS</x:v>
      </x:c>
      <x:c r="M3582" s="34" t="str">
        <x:v>numeric coverage for applicable metric</x:v>
      </x:c>
      <x:c r="N3582" s="34" t="str">
        <x:v>Feedback-Directed Random Test Generation/Result/Closure_102/result.json</x:v>
      </x:c>
      <x:c r="O3582" s="38" t="n">
        <x:f>IF(AND(G3582="RECORDED",ISNUMBER(H3582)),H3582,"")</x:f>
        <x:v>0</x:v>
      </x:c>
      <x:c r="P3582" s="34" t="str">
        <x:v>NOT_REVEALING</x:v>
      </x:c>
      <x:c r="Q3582" s="34" t="str">
        <x:v>Feedback-Directed Random Test Generation/Result/Closure_102/result.json</x:v>
      </x:c>
    </x:row>
    <x:row r="3583">
      <x:c r="A3583" s="34" t="str">
        <x:v>randoop</x:v>
      </x:c>
      <x:c r="B3583" s="34" t="str">
        <x:v>Closure</x:v>
      </x:c>
      <x:c r="C3583" s="34" t="str">
        <x:v>Round1</x:v>
      </x:c>
      <x:c r="D3583" s="34" t="str">
        <x:v>Closure_103</x:v>
      </x:c>
      <x:c r="E3583" s="34" t="str">
        <x:v>Condition</x:v>
      </x:c>
      <x:c r="F3583" s="34" t="n">
        <x:v>516</x:v>
      </x:c>
      <x:c r="G3583" s="34" t="str">
        <x:v>RECORDED</x:v>
      </x:c>
      <x:c r="H3583" s="38" t="n">
        <x:f>IF(ISNUMBER('Data'!I167),'Data'!I167*100,"")</x:f>
        <x:v>0</x:v>
      </x:c>
      <x:c r="I3583" s="34" t="str">
        <x:v>PASS</x:v>
      </x:c>
      <x:c r="J3583" s="34" t="str">
        <x:v>PASS</x:v>
      </x:c>
      <x:c r="K3583" s="34" t="str">
        <x:v>PASS</x:v>
      </x:c>
      <x:c r="L3583" s="34" t="str">
        <x:v>PASS</x:v>
      </x:c>
      <x:c r="M3583" s="34" t="str">
        <x:v>numeric coverage for applicable metric</x:v>
      </x:c>
      <x:c r="N3583" s="34" t="str">
        <x:v>Feedback-Directed Random Test Generation/Result/Closure_103/result.json</x:v>
      </x:c>
      <x:c r="O3583" s="38" t="n">
        <x:f>IF(AND(G3583="RECORDED",ISNUMBER(H3583)),H3583,"")</x:f>
        <x:v>0</x:v>
      </x:c>
      <x:c r="P3583" s="34" t="str">
        <x:v>NOT_REVEALING</x:v>
      </x:c>
      <x:c r="Q3583" s="34" t="str">
        <x:v>Feedback-Directed Random Test Generation/Result/Closure_103/result.json</x:v>
      </x:c>
    </x:row>
    <x:row r="3584">
      <x:c r="A3584" s="34" t="str">
        <x:v>randoop</x:v>
      </x:c>
      <x:c r="B3584" s="34" t="str">
        <x:v>Closure</x:v>
      </x:c>
      <x:c r="C3584" s="34" t="str">
        <x:v>Round1</x:v>
      </x:c>
      <x:c r="D3584" s="34" t="str">
        <x:v>Closure_104</x:v>
      </x:c>
      <x:c r="E3584" s="34" t="str">
        <x:v>Condition</x:v>
      </x:c>
      <x:c r="F3584" s="34" t="n">
        <x:v>124</x:v>
      </x:c>
      <x:c r="G3584" s="34" t="str">
        <x:v>RECORDED</x:v>
      </x:c>
      <x:c r="H3584" s="38" t="n">
        <x:f>IF(ISNUMBER('Data'!I168),'Data'!I168*100,"")</x:f>
        <x:v>52.42</x:v>
      </x:c>
      <x:c r="I3584" s="34" t="str">
        <x:v>PASS</x:v>
      </x:c>
      <x:c r="J3584" s="34" t="str">
        <x:v>PASS</x:v>
      </x:c>
      <x:c r="K3584" s="34" t="str">
        <x:v>PASS</x:v>
      </x:c>
      <x:c r="L3584" s="34" t="str">
        <x:v>PASS</x:v>
      </x:c>
      <x:c r="M3584" s="34" t="str">
        <x:v>numeric coverage for applicable metric</x:v>
      </x:c>
      <x:c r="N3584" s="34" t="str">
        <x:v>Feedback-Directed Random Test Generation/Result/Closure_104/result.json</x:v>
      </x:c>
      <x:c r="O3584" s="38" t="n">
        <x:f>IF(AND(G3584="RECORDED",ISNUMBER(H3584)),H3584,"")</x:f>
        <x:v>52.42</x:v>
      </x:c>
      <x:c r="P3584" s="34" t="str">
        <x:v>NOT_REVEALING</x:v>
      </x:c>
      <x:c r="Q3584" s="34" t="str">
        <x:v>Feedback-Directed Random Test Generation/Result/Closure_104/result.json</x:v>
      </x:c>
    </x:row>
    <x:row r="3585">
      <x:c r="A3585" s="34" t="str">
        <x:v>randoop</x:v>
      </x:c>
      <x:c r="B3585" s="34" t="str">
        <x:v>Closure</x:v>
      </x:c>
      <x:c r="C3585" s="34" t="str">
        <x:v>Round1</x:v>
      </x:c>
      <x:c r="D3585" s="34" t="str">
        <x:v>Closure_105</x:v>
      </x:c>
      <x:c r="E3585" s="34" t="str">
        <x:v>Condition</x:v>
      </x:c>
      <x:c r="F3585" s="34" t="n">
        <x:v>739</x:v>
      </x:c>
      <x:c r="G3585" s="34" t="str">
        <x:v>RECORDED</x:v>
      </x:c>
      <x:c r="H3585" s="38" t="n">
        <x:f>IF(ISNUMBER('Data'!I169),'Data'!I169*100,"")</x:f>
        <x:v>0</x:v>
      </x:c>
      <x:c r="I3585" s="34" t="str">
        <x:v>PASS</x:v>
      </x:c>
      <x:c r="J3585" s="34" t="str">
        <x:v>PASS</x:v>
      </x:c>
      <x:c r="K3585" s="34" t="str">
        <x:v>PASS</x:v>
      </x:c>
      <x:c r="L3585" s="34" t="str">
        <x:v>PASS</x:v>
      </x:c>
      <x:c r="M3585" s="34" t="str">
        <x:v>numeric coverage for applicable metric</x:v>
      </x:c>
      <x:c r="N3585" s="34" t="str">
        <x:v>Feedback-Directed Random Test Generation/Result/Closure_105/result.json</x:v>
      </x:c>
      <x:c r="O3585" s="38" t="n">
        <x:f>IF(AND(G3585="RECORDED",ISNUMBER(H3585)),H3585,"")</x:f>
        <x:v>0</x:v>
      </x:c>
      <x:c r="P3585" s="34" t="str">
        <x:v>NOT_REVEALING</x:v>
      </x:c>
      <x:c r="Q3585" s="34" t="str">
        <x:v>Feedback-Directed Random Test Generation/Result/Closure_105/result.json</x:v>
      </x:c>
    </x:row>
    <x:row r="3586">
      <x:c r="A3586" s="34" t="str">
        <x:v>randoop</x:v>
      </x:c>
      <x:c r="B3586" s="34" t="str">
        <x:v>Closure</x:v>
      </x:c>
      <x:c r="C3586" s="34" t="str">
        <x:v>Round1</x:v>
      </x:c>
      <x:c r="D3586" s="34" t="str">
        <x:v>Closure_106</x:v>
      </x:c>
      <x:c r="E3586" s="34" t="str">
        <x:v>Condition</x:v>
      </x:c>
      <x:c r="F3586" s="34" t="n">
        <x:v>435</x:v>
      </x:c>
      <x:c r="G3586" s="34" t="str">
        <x:v>RECORDED</x:v>
      </x:c>
      <x:c r="H3586" s="38" t="n">
        <x:f>IF(ISNUMBER('Data'!I170),'Data'!I170*100,"")</x:f>
        <x:v>31.259999999999998</x:v>
      </x:c>
      <x:c r="I3586" s="34" t="str">
        <x:v>PASS</x:v>
      </x:c>
      <x:c r="J3586" s="34" t="str">
        <x:v>PASS</x:v>
      </x:c>
      <x:c r="K3586" s="34" t="str">
        <x:v>PASS</x:v>
      </x:c>
      <x:c r="L3586" s="34" t="str">
        <x:v>PASS</x:v>
      </x:c>
      <x:c r="M3586" s="34" t="str">
        <x:v>numeric coverage for applicable metric</x:v>
      </x:c>
      <x:c r="N3586" s="34" t="str">
        <x:v>Feedback-Directed Random Test Generation/Result/Closure_106/result.json</x:v>
      </x:c>
      <x:c r="O3586" s="38" t="n">
        <x:f>IF(AND(G3586="RECORDED",ISNUMBER(H3586)),H3586,"")</x:f>
        <x:v>31.259999999999998</x:v>
      </x:c>
      <x:c r="P3586" s="34" t="str">
        <x:v>NOT_REVEALING</x:v>
      </x:c>
      <x:c r="Q3586" s="34" t="str">
        <x:v>Feedback-Directed Random Test Generation/Result/Closure_106/result.json</x:v>
      </x:c>
    </x:row>
    <x:row r="3587">
      <x:c r="A3587" s="34" t="str">
        <x:v>randoop</x:v>
      </x:c>
      <x:c r="B3587" s="34" t="str">
        <x:v>Closure</x:v>
      </x:c>
      <x:c r="C3587" s="34" t="str">
        <x:v>Round1</x:v>
      </x:c>
      <x:c r="D3587" s="34" t="str">
        <x:v>Closure_107</x:v>
      </x:c>
      <x:c r="E3587" s="34" t="str">
        <x:v>Condition</x:v>
      </x:c>
      <x:c r="F3587" s="34" t="n">
        <x:v>70</x:v>
      </x:c>
      <x:c r="G3587" s="34" t="str">
        <x:v>RECORDED</x:v>
      </x:c>
      <x:c r="H3587" s="38" t="n">
        <x:f>IF(ISNUMBER('Data'!I171),'Data'!I171*100,"")</x:f>
        <x:v>17.14</x:v>
      </x:c>
      <x:c r="I3587" s="34" t="str">
        <x:v>PASS</x:v>
      </x:c>
      <x:c r="J3587" s="34" t="str">
        <x:v>PASS</x:v>
      </x:c>
      <x:c r="K3587" s="34" t="str">
        <x:v>PASS</x:v>
      </x:c>
      <x:c r="L3587" s="34" t="str">
        <x:v>FAIL</x:v>
      </x:c>
      <x:c r="M3587" s="34" t="str">
        <x:v>numeric coverage for applicable metric</x:v>
      </x:c>
      <x:c r="N3587" s="34" t="str">
        <x:v>Feedback-Directed Random Test Generation/Result/Closure_107/result.json</x:v>
      </x:c>
      <x:c r="O3587" s="38" t="n">
        <x:f>IF(AND(G3587="RECORDED",ISNUMBER(H3587)),H3587,"")</x:f>
        <x:v>17.14</x:v>
      </x:c>
      <x:c r="P3587" s="34" t="str">
        <x:v>INCONCLUSIVE</x:v>
      </x:c>
      <x:c r="Q3587" s="34" t="str">
        <x:v>Feedback-Directed Random Test Generation/Result/Closure_107/result.json</x:v>
      </x:c>
    </x:row>
    <x:row r="3588">
      <x:c r="A3588" s="34" t="str">
        <x:v>randoop</x:v>
      </x:c>
      <x:c r="B3588" s="34" t="str">
        <x:v>Closure</x:v>
      </x:c>
      <x:c r="C3588" s="34" t="str">
        <x:v>Round1</x:v>
      </x:c>
      <x:c r="D3588" s="34" t="str">
        <x:v>Closure_108</x:v>
      </x:c>
      <x:c r="E3588" s="34" t="str">
        <x:v>Condition</x:v>
      </x:c>
      <x:c r="F3588" s="34" t="n">
        <x:v>150</x:v>
      </x:c>
      <x:c r="G3588" s="34" t="str">
        <x:v>RECORDED</x:v>
      </x:c>
      <x:c r="H3588" s="38" t="n">
        <x:f>IF(ISNUMBER('Data'!I172),'Data'!I172*100,"")</x:f>
        <x:v>0</x:v>
      </x:c>
      <x:c r="I3588" s="34" t="str">
        <x:v>PASS</x:v>
      </x:c>
      <x:c r="J3588" s="34" t="str">
        <x:v>PASS</x:v>
      </x:c>
      <x:c r="K3588" s="34" t="str">
        <x:v>PASS</x:v>
      </x:c>
      <x:c r="L3588" s="34" t="str">
        <x:v>PASS</x:v>
      </x:c>
      <x:c r="M3588" s="34" t="str">
        <x:v>numeric coverage for applicable metric</x:v>
      </x:c>
      <x:c r="N3588" s="34" t="str">
        <x:v>Feedback-Directed Random Test Generation/Result/Closure_108/result.json</x:v>
      </x:c>
      <x:c r="O3588" s="38" t="n">
        <x:f>IF(AND(G3588="RECORDED",ISNUMBER(H3588)),H3588,"")</x:f>
        <x:v>0</x:v>
      </x:c>
      <x:c r="P3588" s="34" t="str">
        <x:v>NOT_REVEALING</x:v>
      </x:c>
      <x:c r="Q3588" s="34" t="str">
        <x:v>Feedback-Directed Random Test Generation/Result/Closure_108/result.json</x:v>
      </x:c>
    </x:row>
    <x:row r="3589">
      <x:c r="A3589" s="34" t="str">
        <x:v>randoop</x:v>
      </x:c>
      <x:c r="B3589" s="34" t="str">
        <x:v>Closure</x:v>
      </x:c>
      <x:c r="C3589" s="34" t="str">
        <x:v>Round1</x:v>
      </x:c>
      <x:c r="D3589" s="34" t="str">
        <x:v>Closure_109</x:v>
      </x:c>
      <x:c r="E3589" s="34" t="str">
        <x:v>Condition</x:v>
      </x:c>
      <x:c r="F3589" s="34" t="n">
        <x:v>707</x:v>
      </x:c>
      <x:c r="G3589" s="34" t="str">
        <x:v>RECORDED</x:v>
      </x:c>
      <x:c r="H3589" s="38" t="n">
        <x:f>IF(ISNUMBER('Data'!I173),'Data'!I173*100,"")</x:f>
        <x:v>4.38</x:v>
      </x:c>
      <x:c r="I3589" s="34" t="str">
        <x:v>PASS</x:v>
      </x:c>
      <x:c r="J3589" s="34" t="str">
        <x:v>PASS</x:v>
      </x:c>
      <x:c r="K3589" s="34" t="str">
        <x:v>PASS</x:v>
      </x:c>
      <x:c r="L3589" s="34" t="str">
        <x:v>PASS</x:v>
      </x:c>
      <x:c r="M3589" s="34" t="str">
        <x:v>numeric coverage for applicable metric</x:v>
      </x:c>
      <x:c r="N3589" s="34" t="str">
        <x:v>Feedback-Directed Random Test Generation/Result/Closure_109/result.json</x:v>
      </x:c>
      <x:c r="O3589" s="38" t="n">
        <x:f>IF(AND(G3589="RECORDED",ISNUMBER(H3589)),H3589,"")</x:f>
        <x:v>4.38</x:v>
      </x:c>
      <x:c r="P3589" s="34" t="str">
        <x:v>NOT_REVEALING</x:v>
      </x:c>
      <x:c r="Q3589" s="34" t="str">
        <x:v>Feedback-Directed Random Test Generation/Result/Closure_109/result.json</x:v>
      </x:c>
    </x:row>
    <x:row r="3590">
      <x:c r="A3590" s="34" t="str">
        <x:v>randoop</x:v>
      </x:c>
      <x:c r="B3590" s="34" t="str">
        <x:v>Closure</x:v>
      </x:c>
      <x:c r="C3590" s="34" t="str">
        <x:v>Round1</x:v>
      </x:c>
      <x:c r="D3590" s="34" t="str">
        <x:v>Closure_110</x:v>
      </x:c>
      <x:c r="E3590" s="34" t="str">
        <x:v>Condition</x:v>
      </x:c>
      <x:c r="F3590" s="34" t="n">
        <x:v>697</x:v>
      </x:c>
      <x:c r="G3590" s="34" t="str">
        <x:v>RECORDED</x:v>
      </x:c>
      <x:c r="H3590" s="38" t="n">
        <x:f>IF(ISNUMBER('Data'!I174),'Data'!I174*100,"")</x:f>
        <x:v>46.34</x:v>
      </x:c>
      <x:c r="I3590" s="34" t="str">
        <x:v>PASS</x:v>
      </x:c>
      <x:c r="J3590" s="34" t="str">
        <x:v>PASS</x:v>
      </x:c>
      <x:c r="K3590" s="34" t="str">
        <x:v>PASS</x:v>
      </x:c>
      <x:c r="L3590" s="34" t="str">
        <x:v>FAIL</x:v>
      </x:c>
      <x:c r="M3590" s="34" t="str">
        <x:v>numeric coverage for applicable metric</x:v>
      </x:c>
      <x:c r="N3590" s="34" t="str">
        <x:v>Feedback-Directed Random Test Generation/Result/Closure_110/result.json</x:v>
      </x:c>
      <x:c r="O3590" s="38" t="n">
        <x:f>IF(AND(G3590="RECORDED",ISNUMBER(H3590)),H3590,"")</x:f>
        <x:v>46.34</x:v>
      </x:c>
      <x:c r="P3590" s="34" t="str">
        <x:v>INCONCLUSIVE</x:v>
      </x:c>
      <x:c r="Q3590" s="34" t="str">
        <x:v>Feedback-Directed Random Test Generation/Result/Closure_110/result.json</x:v>
      </x:c>
    </x:row>
    <x:row r="3591">
      <x:c r="A3591" s="34" t="str">
        <x:v>randoop</x:v>
      </x:c>
      <x:c r="B3591" s="34" t="str">
        <x:v>Closure</x:v>
      </x:c>
      <x:c r="C3591" s="34" t="str">
        <x:v>Round1</x:v>
      </x:c>
      <x:c r="D3591" s="34" t="str">
        <x:v>Closure_111</x:v>
      </x:c>
      <x:c r="E3591" s="34" t="str">
        <x:v>Condition</x:v>
      </x:c>
      <x:c r="F3591" s="34" t="n">
        <x:v>46</x:v>
      </x:c>
      <x:c r="G3591" s="34" t="str">
        <x:v>RECORDED</x:v>
      </x:c>
      <x:c r="H3591" s="38" t="n">
        <x:f>IF(ISNUMBER('Data'!I175),'Data'!I175*100,"")</x:f>
        <x:v>0</x:v>
      </x:c>
      <x:c r="I3591" s="34" t="str">
        <x:v>PASS</x:v>
      </x:c>
      <x:c r="J3591" s="34" t="str">
        <x:v>PASS</x:v>
      </x:c>
      <x:c r="K3591" s="34" t="str">
        <x:v>PASS</x:v>
      </x:c>
      <x:c r="L3591" s="34" t="str">
        <x:v>PASS</x:v>
      </x:c>
      <x:c r="M3591" s="34" t="str">
        <x:v>numeric coverage for applicable metric</x:v>
      </x:c>
      <x:c r="N3591" s="34" t="str">
        <x:v>Feedback-Directed Random Test Generation/Result/Closure_111/result.json</x:v>
      </x:c>
      <x:c r="O3591" s="38" t="n">
        <x:f>IF(AND(G3591="RECORDED",ISNUMBER(H3591)),H3591,"")</x:f>
        <x:v>0</x:v>
      </x:c>
      <x:c r="P3591" s="34" t="str">
        <x:v>NOT_REVEALING</x:v>
      </x:c>
      <x:c r="Q3591" s="34" t="str">
        <x:v>Feedback-Directed Random Test Generation/Result/Closure_111/result.json</x:v>
      </x:c>
    </x:row>
    <x:row r="3592">
      <x:c r="A3592" s="34" t="str">
        <x:v>randoop</x:v>
      </x:c>
      <x:c r="B3592" s="34" t="str">
        <x:v>Closure</x:v>
      </x:c>
      <x:c r="C3592" s="34" t="str">
        <x:v>Round1</x:v>
      </x:c>
      <x:c r="D3592" s="34" t="str">
        <x:v>Closure_112</x:v>
      </x:c>
      <x:c r="E3592" s="34" t="str">
        <x:v>Condition</x:v>
      </x:c>
      <x:c r="F3592" s="34" t="n">
        <x:v>465</x:v>
      </x:c>
      <x:c r="G3592" s="34" t="str">
        <x:v>RECORDED</x:v>
      </x:c>
      <x:c r="H3592" s="38" t="n">
        <x:f>IF(ISNUMBER('Data'!I176),'Data'!I176*100,"")</x:f>
        <x:v>0.43</x:v>
      </x:c>
      <x:c r="I3592" s="34" t="str">
        <x:v>PASS</x:v>
      </x:c>
      <x:c r="J3592" s="34" t="str">
        <x:v>PASS</x:v>
      </x:c>
      <x:c r="K3592" s="34" t="str">
        <x:v>PASS</x:v>
      </x:c>
      <x:c r="L3592" s="34" t="str">
        <x:v>PASS</x:v>
      </x:c>
      <x:c r="M3592" s="34" t="str">
        <x:v>numeric coverage for applicable metric</x:v>
      </x:c>
      <x:c r="N3592" s="34" t="str">
        <x:v>Feedback-Directed Random Test Generation/Result/Closure_112/result.json</x:v>
      </x:c>
      <x:c r="O3592" s="38" t="n">
        <x:f>IF(AND(G3592="RECORDED",ISNUMBER(H3592)),H3592,"")</x:f>
        <x:v>0.43</x:v>
      </x:c>
      <x:c r="P3592" s="34" t="str">
        <x:v>NOT_REVEALING</x:v>
      </x:c>
      <x:c r="Q3592" s="34" t="str">
        <x:v>Feedback-Directed Random Test Generation/Result/Closure_112/result.json</x:v>
      </x:c>
    </x:row>
    <x:row r="3593">
      <x:c r="A3593" s="34" t="str">
        <x:v>randoop</x:v>
      </x:c>
      <x:c r="B3593" s="34" t="str">
        <x:v>Closure</x:v>
      </x:c>
      <x:c r="C3593" s="34" t="str">
        <x:v>Round1</x:v>
      </x:c>
      <x:c r="D3593" s="34" t="str">
        <x:v>Closure_113</x:v>
      </x:c>
      <x:c r="E3593" s="34" t="str">
        <x:v>Condition</x:v>
      </x:c>
      <x:c r="F3593" s="34" t="n">
        <x:v>324</x:v>
      </x:c>
      <x:c r="G3593" s="34" t="str">
        <x:v>RECORDED</x:v>
      </x:c>
      <x:c r="H3593" s="38" t="n">
        <x:f>IF(ISNUMBER('Data'!I177),'Data'!I177*100,"")</x:f>
        <x:v>0</x:v>
      </x:c>
      <x:c r="I3593" s="34" t="str">
        <x:v>PASS</x:v>
      </x:c>
      <x:c r="J3593" s="34" t="str">
        <x:v>PASS</x:v>
      </x:c>
      <x:c r="K3593" s="34" t="str">
        <x:v>PASS</x:v>
      </x:c>
      <x:c r="L3593" s="34" t="str">
        <x:v>PASS</x:v>
      </x:c>
      <x:c r="M3593" s="34" t="str">
        <x:v>numeric coverage for applicable metric</x:v>
      </x:c>
      <x:c r="N3593" s="34" t="str">
        <x:v>Feedback-Directed Random Test Generation/Result/Closure_113/result.json</x:v>
      </x:c>
      <x:c r="O3593" s="38" t="n">
        <x:f>IF(AND(G3593="RECORDED",ISNUMBER(H3593)),H3593,"")</x:f>
        <x:v>0</x:v>
      </x:c>
      <x:c r="P3593" s="34" t="str">
        <x:v>NOT_REVEALING</x:v>
      </x:c>
      <x:c r="Q3593" s="34" t="str">
        <x:v>Feedback-Directed Random Test Generation/Result/Closure_113/result.json</x:v>
      </x:c>
    </x:row>
    <x:row r="3594">
      <x:c r="A3594" s="34" t="str">
        <x:v>randoop</x:v>
      </x:c>
      <x:c r="B3594" s="34" t="str">
        <x:v>Closure</x:v>
      </x:c>
      <x:c r="C3594" s="34" t="str">
        <x:v>Round1</x:v>
      </x:c>
      <x:c r="D3594" s="34" t="str">
        <x:v>Closure_114</x:v>
      </x:c>
      <x:c r="E3594" s="34" t="str">
        <x:v>Condition</x:v>
      </x:c>
      <x:c r="F3594" s="34" t="n">
        <x:v>465</x:v>
      </x:c>
      <x:c r="G3594" s="34" t="str">
        <x:v>RECORDED</x:v>
      </x:c>
      <x:c r="H3594" s="38" t="n">
        <x:f>IF(ISNUMBER('Data'!I178),'Data'!I178*100,"")</x:f>
        <x:v>0.65</x:v>
      </x:c>
      <x:c r="I3594" s="34" t="str">
        <x:v>PASS</x:v>
      </x:c>
      <x:c r="J3594" s="34" t="str">
        <x:v>PASS</x:v>
      </x:c>
      <x:c r="K3594" s="34" t="str">
        <x:v>PASS</x:v>
      </x:c>
      <x:c r="L3594" s="34" t="str">
        <x:v>PASS</x:v>
      </x:c>
      <x:c r="M3594" s="34" t="str">
        <x:v>numeric coverage for applicable metric</x:v>
      </x:c>
      <x:c r="N3594" s="34" t="str">
        <x:v>Feedback-Directed Random Test Generation/Result/Closure_114/result.json</x:v>
      </x:c>
      <x:c r="O3594" s="38" t="n">
        <x:f>IF(AND(G3594="RECORDED",ISNUMBER(H3594)),H3594,"")</x:f>
        <x:v>0.65</x:v>
      </x:c>
      <x:c r="P3594" s="34" t="str">
        <x:v>NOT_REVEALING</x:v>
      </x:c>
      <x:c r="Q3594" s="34" t="str">
        <x:v>Feedback-Directed Random Test Generation/Result/Closure_114/result.json</x:v>
      </x:c>
    </x:row>
    <x:row r="3595">
      <x:c r="A3595" s="34" t="str">
        <x:v>randoop</x:v>
      </x:c>
      <x:c r="B3595" s="34" t="str">
        <x:v>Closure</x:v>
      </x:c>
      <x:c r="C3595" s="34" t="str">
        <x:v>Round1</x:v>
      </x:c>
      <x:c r="D3595" s="34" t="str">
        <x:v>Closure_115</x:v>
      </x:c>
      <x:c r="E3595" s="34" t="str">
        <x:v>Condition</x:v>
      </x:c>
      <x:c r="F3595" s="34" t="n">
        <x:v>226</x:v>
      </x:c>
      <x:c r="G3595" s="34" t="str">
        <x:v>RECORDED</x:v>
      </x:c>
      <x:c r="H3595" s="38" t="n">
        <x:f>IF(ISNUMBER('Data'!I179),'Data'!I179*100,"")</x:f>
        <x:v>0</x:v>
      </x:c>
      <x:c r="I3595" s="34" t="str">
        <x:v>PASS</x:v>
      </x:c>
      <x:c r="J3595" s="34" t="str">
        <x:v>PASS</x:v>
      </x:c>
      <x:c r="K3595" s="34" t="str">
        <x:v>PASS</x:v>
      </x:c>
      <x:c r="L3595" s="34" t="str">
        <x:v>PASS</x:v>
      </x:c>
      <x:c r="M3595" s="34" t="str">
        <x:v>numeric coverage for applicable metric</x:v>
      </x:c>
      <x:c r="N3595" s="34" t="str">
        <x:v>Feedback-Directed Random Test Generation/Result/Closure_115/result.json</x:v>
      </x:c>
      <x:c r="O3595" s="38" t="n">
        <x:f>IF(AND(G3595="RECORDED",ISNUMBER(H3595)),H3595,"")</x:f>
        <x:v>0</x:v>
      </x:c>
      <x:c r="P3595" s="34" t="str">
        <x:v>NOT_REVEALING</x:v>
      </x:c>
      <x:c r="Q3595" s="34" t="str">
        <x:v>Feedback-Directed Random Test Generation/Result/Closure_115/result.json</x:v>
      </x:c>
    </x:row>
    <x:row r="3596">
      <x:c r="A3596" s="34" t="str">
        <x:v>randoop</x:v>
      </x:c>
      <x:c r="B3596" s="34" t="str">
        <x:v>Closure</x:v>
      </x:c>
      <x:c r="C3596" s="34" t="str">
        <x:v>Round1</x:v>
      </x:c>
      <x:c r="D3596" s="34" t="str">
        <x:v>Closure_116</x:v>
      </x:c>
      <x:c r="E3596" s="34" t="str">
        <x:v>Condition</x:v>
      </x:c>
      <x:c r="F3596" s="34" t="n">
        <x:v>218</x:v>
      </x:c>
      <x:c r="G3596" s="34" t="str">
        <x:v>RECORDED</x:v>
      </x:c>
      <x:c r="H3596" s="38" t="n">
        <x:f>IF(ISNUMBER('Data'!I180),'Data'!I180*100,"")</x:f>
        <x:v>0</x:v>
      </x:c>
      <x:c r="I3596" s="34" t="str">
        <x:v>PASS</x:v>
      </x:c>
      <x:c r="J3596" s="34" t="str">
        <x:v>PASS</x:v>
      </x:c>
      <x:c r="K3596" s="34" t="str">
        <x:v>PASS</x:v>
      </x:c>
      <x:c r="L3596" s="34" t="str">
        <x:v>PASS</x:v>
      </x:c>
      <x:c r="M3596" s="34" t="str">
        <x:v>numeric coverage for applicable metric</x:v>
      </x:c>
      <x:c r="N3596" s="34" t="str">
        <x:v>Feedback-Directed Random Test Generation/Result/Closure_116/result.json</x:v>
      </x:c>
      <x:c r="O3596" s="38" t="n">
        <x:f>IF(AND(G3596="RECORDED",ISNUMBER(H3596)),H3596,"")</x:f>
        <x:v>0</x:v>
      </x:c>
      <x:c r="P3596" s="34" t="str">
        <x:v>NOT_REVEALING</x:v>
      </x:c>
      <x:c r="Q3596" s="34" t="str">
        <x:v>Feedback-Directed Random Test Generation/Result/Closure_116/result.json</x:v>
      </x:c>
    </x:row>
    <x:row r="3597">
      <x:c r="A3597" s="34" t="str">
        <x:v>randoop</x:v>
      </x:c>
      <x:c r="B3597" s="34" t="str">
        <x:v>Closure</x:v>
      </x:c>
      <x:c r="C3597" s="34" t="str">
        <x:v>Round1</x:v>
      </x:c>
      <x:c r="D3597" s="34" t="str">
        <x:v>Closure_117</x:v>
      </x:c>
      <x:c r="E3597" s="34" t="str">
        <x:v>Condition</x:v>
      </x:c>
      <x:c r="F3597" s="34" t="n">
        <x:v>208</x:v>
      </x:c>
      <x:c r="G3597" s="34" t="str">
        <x:v>RECORDED</x:v>
      </x:c>
      <x:c r="H3597" s="38" t="n">
        <x:f>IF(ISNUMBER('Data'!I181),'Data'!I181*100,"")</x:f>
        <x:v>0</x:v>
      </x:c>
      <x:c r="I3597" s="34" t="str">
        <x:v>PASS</x:v>
      </x:c>
      <x:c r="J3597" s="34" t="str">
        <x:v>PASS</x:v>
      </x:c>
      <x:c r="K3597" s="34" t="str">
        <x:v>PASS</x:v>
      </x:c>
      <x:c r="L3597" s="34" t="str">
        <x:v>PASS</x:v>
      </x:c>
      <x:c r="M3597" s="34" t="str">
        <x:v>numeric coverage for applicable metric</x:v>
      </x:c>
      <x:c r="N3597" s="34" t="str">
        <x:v>Feedback-Directed Random Test Generation/Result/Closure_117/result.json</x:v>
      </x:c>
      <x:c r="O3597" s="38" t="n">
        <x:f>IF(AND(G3597="RECORDED",ISNUMBER(H3597)),H3597,"")</x:f>
        <x:v>0</x:v>
      </x:c>
      <x:c r="P3597" s="34" t="str">
        <x:v>NOT_REVEALING</x:v>
      </x:c>
      <x:c r="Q3597" s="34" t="str">
        <x:v>Feedback-Directed Random Test Generation/Result/Closure_117/result.json</x:v>
      </x:c>
    </x:row>
    <x:row r="3598">
      <x:c r="A3598" s="34" t="str">
        <x:v>randoop</x:v>
      </x:c>
      <x:c r="B3598" s="34" t="str">
        <x:v>Closure</x:v>
      </x:c>
      <x:c r="C3598" s="34" t="str">
        <x:v>Round1</x:v>
      </x:c>
      <x:c r="D3598" s="34" t="str">
        <x:v>Closure_118</x:v>
      </x:c>
      <x:c r="E3598" s="34" t="str">
        <x:v>Condition</x:v>
      </x:c>
      <x:c r="F3598" s="34" t="n">
        <x:v>326</x:v>
      </x:c>
      <x:c r="G3598" s="34" t="str">
        <x:v>RECORDED</x:v>
      </x:c>
      <x:c r="H3598" s="38" t="n">
        <x:f>IF(ISNUMBER('Data'!I182),'Data'!I182*100,"")</x:f>
        <x:v>0</x:v>
      </x:c>
      <x:c r="I3598" s="34" t="str">
        <x:v>PASS</x:v>
      </x:c>
      <x:c r="J3598" s="34" t="str">
        <x:v>PASS</x:v>
      </x:c>
      <x:c r="K3598" s="34" t="str">
        <x:v>PASS</x:v>
      </x:c>
      <x:c r="L3598" s="34" t="str">
        <x:v>PASS</x:v>
      </x:c>
      <x:c r="M3598" s="34" t="str">
        <x:v>numeric coverage for applicable metric</x:v>
      </x:c>
      <x:c r="N3598" s="34" t="str">
        <x:v>Feedback-Directed Random Test Generation/Result/Closure_118/result.json</x:v>
      </x:c>
      <x:c r="O3598" s="38" t="n">
        <x:f>IF(AND(G3598="RECORDED",ISNUMBER(H3598)),H3598,"")</x:f>
        <x:v>0</x:v>
      </x:c>
      <x:c r="P3598" s="34" t="str">
        <x:v>NOT_REVEALING</x:v>
      </x:c>
      <x:c r="Q3598" s="34" t="str">
        <x:v>Feedback-Directed Random Test Generation/Result/Closure_118/result.json</x:v>
      </x:c>
    </x:row>
    <x:row r="3599">
      <x:c r="A3599" s="34" t="str">
        <x:v>randoop</x:v>
      </x:c>
      <x:c r="B3599" s="34" t="str">
        <x:v>Closure</x:v>
      </x:c>
      <x:c r="C3599" s="34" t="str">
        <x:v>Round1</x:v>
      </x:c>
      <x:c r="D3599" s="34" t="str">
        <x:v>Closure_119</x:v>
      </x:c>
      <x:c r="E3599" s="34" t="str">
        <x:v>Condition</x:v>
      </x:c>
      <x:c r="F3599" s="34" t="n">
        <x:v>346</x:v>
      </x:c>
      <x:c r="G3599" s="34" t="str">
        <x:v>RECORDED</x:v>
      </x:c>
      <x:c r="H3599" s="38" t="n">
        <x:f>IF(ISNUMBER('Data'!I183),'Data'!I183*100,"")</x:f>
        <x:v>16.76</x:v>
      </x:c>
      <x:c r="I3599" s="34" t="str">
        <x:v>PASS</x:v>
      </x:c>
      <x:c r="J3599" s="34" t="str">
        <x:v>PASS</x:v>
      </x:c>
      <x:c r="K3599" s="34" t="str">
        <x:v>PASS</x:v>
      </x:c>
      <x:c r="L3599" s="34" t="str">
        <x:v>PASS</x:v>
      </x:c>
      <x:c r="M3599" s="34" t="str">
        <x:v>numeric coverage for applicable metric</x:v>
      </x:c>
      <x:c r="N3599" s="34" t="str">
        <x:v>Feedback-Directed Random Test Generation/Result/Closure_119/result.json</x:v>
      </x:c>
      <x:c r="O3599" s="38" t="n">
        <x:f>IF(AND(G3599="RECORDED",ISNUMBER(H3599)),H3599,"")</x:f>
        <x:v>16.76</x:v>
      </x:c>
      <x:c r="P3599" s="34" t="str">
        <x:v>NOT_REVEALING</x:v>
      </x:c>
      <x:c r="Q3599" s="34" t="str">
        <x:v>Feedback-Directed Random Test Generation/Result/Closure_119/result.json</x:v>
      </x:c>
    </x:row>
    <x:row r="3600">
      <x:c r="A3600" s="34" t="str">
        <x:v>randoop</x:v>
      </x:c>
      <x:c r="B3600" s="34" t="str">
        <x:v>Closure</x:v>
      </x:c>
      <x:c r="C3600" s="34" t="str">
        <x:v>Round1</x:v>
      </x:c>
      <x:c r="D3600" s="34" t="str">
        <x:v>Closure_120</x:v>
      </x:c>
      <x:c r="E3600" s="34" t="str">
        <x:v>Condition</x:v>
      </x:c>
      <x:c r="F3600" s="34" t="n">
        <x:v>149</x:v>
      </x:c>
      <x:c r="G3600" s="34" t="str">
        <x:v>RECORDED</x:v>
      </x:c>
      <x:c r="H3600" s="38" t="n">
        <x:f>IF(ISNUMBER('Data'!I184),'Data'!I184*100,"")</x:f>
        <x:v>10.07</x:v>
      </x:c>
      <x:c r="I3600" s="34" t="str">
        <x:v>PASS</x:v>
      </x:c>
      <x:c r="J3600" s="34" t="str">
        <x:v>PASS</x:v>
      </x:c>
      <x:c r="K3600" s="34" t="str">
        <x:v>PASS</x:v>
      </x:c>
      <x:c r="L3600" s="34" t="str">
        <x:v>PASS</x:v>
      </x:c>
      <x:c r="M3600" s="34" t="str">
        <x:v>numeric coverage for applicable metric</x:v>
      </x:c>
      <x:c r="N3600" s="34" t="str">
        <x:v>Feedback-Directed Random Test Generation/Result/Closure_120/result.json</x:v>
      </x:c>
      <x:c r="O3600" s="38" t="n">
        <x:f>IF(AND(G3600="RECORDED",ISNUMBER(H3600)),H3600,"")</x:f>
        <x:v>10.07</x:v>
      </x:c>
      <x:c r="P3600" s="34" t="str">
        <x:v>NOT_REVEALING</x:v>
      </x:c>
      <x:c r="Q3600" s="34" t="str">
        <x:v>Feedback-Directed Random Test Generation/Result/Closure_120/result.json</x:v>
      </x:c>
    </x:row>
    <x:row r="3601">
      <x:c r="A3601" s="34" t="str">
        <x:v>randoop</x:v>
      </x:c>
      <x:c r="B3601" s="34" t="str">
        <x:v>Closure</x:v>
      </x:c>
      <x:c r="C3601" s="34" t="str">
        <x:v>Round1</x:v>
      </x:c>
      <x:c r="D3601" s="34" t="str">
        <x:v>Closure_121</x:v>
      </x:c>
      <x:c r="E3601" s="34" t="str">
        <x:v>Condition</x:v>
      </x:c>
      <x:c r="F3601" s="34" t="n">
        <x:v>236</x:v>
      </x:c>
      <x:c r="G3601" s="34" t="str">
        <x:v>RECORDED</x:v>
      </x:c>
      <x:c r="H3601" s="38" t="n">
        <x:f>IF(ISNUMBER('Data'!I185),'Data'!I185*100,"")</x:f>
        <x:v>1.27</x:v>
      </x:c>
      <x:c r="I3601" s="34" t="str">
        <x:v>PASS</x:v>
      </x:c>
      <x:c r="J3601" s="34" t="str">
        <x:v>PASS</x:v>
      </x:c>
      <x:c r="K3601" s="34" t="str">
        <x:v>PASS</x:v>
      </x:c>
      <x:c r="L3601" s="34" t="str">
        <x:v>PASS</x:v>
      </x:c>
      <x:c r="M3601" s="34" t="str">
        <x:v>numeric coverage for applicable metric</x:v>
      </x:c>
      <x:c r="N3601" s="34" t="str">
        <x:v>Feedback-Directed Random Test Generation/Result/Closure_121/result.json</x:v>
      </x:c>
      <x:c r="O3601" s="38" t="n">
        <x:f>IF(AND(G3601="RECORDED",ISNUMBER(H3601)),H3601,"")</x:f>
        <x:v>1.27</x:v>
      </x:c>
      <x:c r="P3601" s="34" t="str">
        <x:v>NOT_REVEALING</x:v>
      </x:c>
      <x:c r="Q3601" s="34" t="str">
        <x:v>Feedback-Directed Random Test Generation/Result/Closure_121/result.json</x:v>
      </x:c>
    </x:row>
    <x:row r="3602">
      <x:c r="A3602" s="34" t="str">
        <x:v>randoop</x:v>
      </x:c>
      <x:c r="B3602" s="34" t="str">
        <x:v>Closure</x:v>
      </x:c>
      <x:c r="C3602" s="34" t="str">
        <x:v>Round1</x:v>
      </x:c>
      <x:c r="D3602" s="34" t="str">
        <x:v>Closure_122</x:v>
      </x:c>
      <x:c r="E3602" s="34" t="str">
        <x:v>Condition</x:v>
      </x:c>
      <x:c r="F3602" s="34" t="n">
        <x:v>358</x:v>
      </x:c>
      <x:c r="G3602" s="34" t="str">
        <x:v>RECORDED</x:v>
      </x:c>
      <x:c r="H3602" s="38" t="n">
        <x:f>IF(ISNUMBER('Data'!I186),'Data'!I186*100,"")</x:f>
        <x:v>0.28</x:v>
      </x:c>
      <x:c r="I3602" s="34" t="str">
        <x:v>PASS</x:v>
      </x:c>
      <x:c r="J3602" s="34" t="str">
        <x:v>PASS</x:v>
      </x:c>
      <x:c r="K3602" s="34" t="str">
        <x:v>PASS</x:v>
      </x:c>
      <x:c r="L3602" s="34" t="str">
        <x:v>PASS</x:v>
      </x:c>
      <x:c r="M3602" s="34" t="str">
        <x:v>numeric coverage for applicable metric</x:v>
      </x:c>
      <x:c r="N3602" s="34" t="str">
        <x:v>Feedback-Directed Random Test Generation/Result/Closure_122/result.json</x:v>
      </x:c>
      <x:c r="O3602" s="38" t="n">
        <x:f>IF(AND(G3602="RECORDED",ISNUMBER(H3602)),H3602,"")</x:f>
        <x:v>0.28</x:v>
      </x:c>
      <x:c r="P3602" s="34" t="str">
        <x:v>NOT_REVEALING</x:v>
      </x:c>
      <x:c r="Q3602" s="34" t="str">
        <x:v>Feedback-Directed Random Test Generation/Result/Closure_122/result.json</x:v>
      </x:c>
    </x:row>
    <x:row r="3603">
      <x:c r="A3603" s="34" t="str">
        <x:v>randoop</x:v>
      </x:c>
      <x:c r="B3603" s="34" t="str">
        <x:v>Closure</x:v>
      </x:c>
      <x:c r="C3603" s="34" t="str">
        <x:v>Round1</x:v>
      </x:c>
      <x:c r="D3603" s="34" t="str">
        <x:v>Closure_123</x:v>
      </x:c>
      <x:c r="E3603" s="34" t="str">
        <x:v>Condition</x:v>
      </x:c>
      <x:c r="F3603" s="34" t="n">
        <x:v>485</x:v>
      </x:c>
      <x:c r="G3603" s="34" t="str">
        <x:v>RECORDED</x:v>
      </x:c>
      <x:c r="H3603" s="38" t="n">
        <x:f>IF(ISNUMBER('Data'!I187),'Data'!I187*100,"")</x:f>
        <x:v>4.12</x:v>
      </x:c>
      <x:c r="I3603" s="34" t="str">
        <x:v>PASS</x:v>
      </x:c>
      <x:c r="J3603" s="34" t="str">
        <x:v>PASS</x:v>
      </x:c>
      <x:c r="K3603" s="34" t="str">
        <x:v>PASS</x:v>
      </x:c>
      <x:c r="L3603" s="34" t="str">
        <x:v>PASS</x:v>
      </x:c>
      <x:c r="M3603" s="34" t="str">
        <x:v>numeric coverage for applicable metric</x:v>
      </x:c>
      <x:c r="N3603" s="34" t="str">
        <x:v>Feedback-Directed Random Test Generation/Result/Closure_123/result.json</x:v>
      </x:c>
      <x:c r="O3603" s="38" t="n">
        <x:f>IF(AND(G3603="RECORDED",ISNUMBER(H3603)),H3603,"")</x:f>
        <x:v>4.12</x:v>
      </x:c>
      <x:c r="P3603" s="34" t="str">
        <x:v>NOT_REVEALING</x:v>
      </x:c>
      <x:c r="Q3603" s="34" t="str">
        <x:v>Feedback-Directed Random Test Generation/Result/Closure_123/result.json</x:v>
      </x:c>
    </x:row>
    <x:row r="3604">
      <x:c r="A3604" s="34" t="str">
        <x:v>randoop</x:v>
      </x:c>
      <x:c r="B3604" s="34" t="str">
        <x:v>Closure</x:v>
      </x:c>
      <x:c r="C3604" s="34" t="str">
        <x:v>Round1</x:v>
      </x:c>
      <x:c r="D3604" s="34" t="str">
        <x:v>Closure_124</x:v>
      </x:c>
      <x:c r="E3604" s="34" t="str">
        <x:v>Condition</x:v>
      </x:c>
      <x:c r="F3604" s="34" t="n">
        <x:v>66</x:v>
      </x:c>
      <x:c r="G3604" s="34" t="str">
        <x:v>RECORDED</x:v>
      </x:c>
      <x:c r="H3604" s="38" t="n">
        <x:f>IF(ISNUMBER('Data'!I188),'Data'!I188*100,"")</x:f>
        <x:v>0</x:v>
      </x:c>
      <x:c r="I3604" s="34" t="str">
        <x:v>PASS</x:v>
      </x:c>
      <x:c r="J3604" s="34" t="str">
        <x:v>PASS</x:v>
      </x:c>
      <x:c r="K3604" s="34" t="str">
        <x:v>PASS</x:v>
      </x:c>
      <x:c r="L3604" s="34" t="str">
        <x:v>PASS</x:v>
      </x:c>
      <x:c r="M3604" s="34" t="str">
        <x:v>numeric coverage for applicable metric</x:v>
      </x:c>
      <x:c r="N3604" s="34" t="str">
        <x:v>Feedback-Directed Random Test Generation/Result/Closure_124/result.json</x:v>
      </x:c>
      <x:c r="O3604" s="38" t="n">
        <x:f>IF(AND(G3604="RECORDED",ISNUMBER(H3604)),H3604,"")</x:f>
        <x:v>0</x:v>
      </x:c>
      <x:c r="P3604" s="34" t="str">
        <x:v>NOT_REVEALING</x:v>
      </x:c>
      <x:c r="Q3604" s="34" t="str">
        <x:v>Feedback-Directed Random Test Generation/Result/Closure_124/result.json</x:v>
      </x:c>
    </x:row>
    <x:row r="3605">
      <x:c r="A3605" s="34" t="str">
        <x:v>randoop</x:v>
      </x:c>
      <x:c r="B3605" s="34" t="str">
        <x:v>Closure</x:v>
      </x:c>
      <x:c r="C3605" s="34" t="str">
        <x:v>Round1</x:v>
      </x:c>
      <x:c r="D3605" s="34" t="str">
        <x:v>Closure_125</x:v>
      </x:c>
      <x:c r="E3605" s="34" t="str">
        <x:v>Condition</x:v>
      </x:c>
      <x:c r="F3605" s="34" t="n">
        <x:v>627</x:v>
      </x:c>
      <x:c r="G3605" s="34" t="str">
        <x:v>RECORDED</x:v>
      </x:c>
      <x:c r="H3605" s="38" t="n">
        <x:f>IF(ISNUMBER('Data'!I189),'Data'!I189*100,"")</x:f>
        <x:v>0</x:v>
      </x:c>
      <x:c r="I3605" s="34" t="str">
        <x:v>PASS</x:v>
      </x:c>
      <x:c r="J3605" s="34" t="str">
        <x:v>PASS</x:v>
      </x:c>
      <x:c r="K3605" s="34" t="str">
        <x:v>PASS</x:v>
      </x:c>
      <x:c r="L3605" s="34" t="str">
        <x:v>PASS</x:v>
      </x:c>
      <x:c r="M3605" s="34" t="str">
        <x:v>numeric coverage for applicable metric</x:v>
      </x:c>
      <x:c r="N3605" s="34" t="str">
        <x:v>Feedback-Directed Random Test Generation/Result/Closure_125/result.json</x:v>
      </x:c>
      <x:c r="O3605" s="38" t="n">
        <x:f>IF(AND(G3605="RECORDED",ISNUMBER(H3605)),H3605,"")</x:f>
        <x:v>0</x:v>
      </x:c>
      <x:c r="P3605" s="34" t="str">
        <x:v>NOT_REVEALING</x:v>
      </x:c>
      <x:c r="Q3605" s="34" t="str">
        <x:v>Feedback-Directed Random Test Generation/Result/Closure_125/result.json</x:v>
      </x:c>
    </x:row>
    <x:row r="3606">
      <x:c r="A3606" s="34" t="str">
        <x:v>randoop</x:v>
      </x:c>
      <x:c r="B3606" s="34" t="str">
        <x:v>Closure</x:v>
      </x:c>
      <x:c r="C3606" s="34" t="str">
        <x:v>Round1</x:v>
      </x:c>
      <x:c r="D3606" s="34" t="str">
        <x:v>Closure_126</x:v>
      </x:c>
      <x:c r="E3606" s="34" t="str">
        <x:v>Condition</x:v>
      </x:c>
      <x:c r="F3606" s="34" t="n">
        <x:v>69</x:v>
      </x:c>
      <x:c r="G3606" s="34" t="str">
        <x:v>RECORDED</x:v>
      </x:c>
      <x:c r="H3606" s="38" t="n">
        <x:f>IF(ISNUMBER('Data'!I190),'Data'!I190*100,"")</x:f>
        <x:v>0</x:v>
      </x:c>
      <x:c r="I3606" s="34" t="str">
        <x:v>PASS</x:v>
      </x:c>
      <x:c r="J3606" s="34" t="str">
        <x:v>PASS</x:v>
      </x:c>
      <x:c r="K3606" s="34" t="str">
        <x:v>PASS</x:v>
      </x:c>
      <x:c r="L3606" s="34" t="str">
        <x:v>PASS</x:v>
      </x:c>
      <x:c r="M3606" s="34" t="str">
        <x:v>numeric coverage for applicable metric</x:v>
      </x:c>
      <x:c r="N3606" s="34" t="str">
        <x:v>Feedback-Directed Random Test Generation/Result/Closure_126/result.json</x:v>
      </x:c>
      <x:c r="O3606" s="38" t="n">
        <x:f>IF(AND(G3606="RECORDED",ISNUMBER(H3606)),H3606,"")</x:f>
        <x:v>0</x:v>
      </x:c>
      <x:c r="P3606" s="34" t="str">
        <x:v>NOT_REVEALING</x:v>
      </x:c>
      <x:c r="Q3606" s="34" t="str">
        <x:v>Feedback-Directed Random Test Generation/Result/Closure_126/result.json</x:v>
      </x:c>
    </x:row>
    <x:row r="3607">
      <x:c r="A3607" s="34" t="str">
        <x:v>randoop</x:v>
      </x:c>
      <x:c r="B3607" s="34" t="str">
        <x:v>Closure</x:v>
      </x:c>
      <x:c r="C3607" s="34" t="str">
        <x:v>Round1</x:v>
      </x:c>
      <x:c r="D3607" s="34" t="str">
        <x:v>Closure_127</x:v>
      </x:c>
      <x:c r="E3607" s="34" t="str">
        <x:v>Condition</x:v>
      </x:c>
      <x:c r="F3607" s="34" t="n">
        <x:v>65</x:v>
      </x:c>
      <x:c r="G3607" s="34" t="str">
        <x:v>RECORDED</x:v>
      </x:c>
      <x:c r="H3607" s="38" t="n">
        <x:f>IF(ISNUMBER('Data'!I191),'Data'!I191*100,"")</x:f>
        <x:v>0</x:v>
      </x:c>
      <x:c r="I3607" s="34" t="str">
        <x:v>PASS</x:v>
      </x:c>
      <x:c r="J3607" s="34" t="str">
        <x:v>PASS</x:v>
      </x:c>
      <x:c r="K3607" s="34" t="str">
        <x:v>PASS</x:v>
      </x:c>
      <x:c r="L3607" s="34" t="str">
        <x:v>PASS</x:v>
      </x:c>
      <x:c r="M3607" s="34" t="str">
        <x:v>numeric coverage for applicable metric</x:v>
      </x:c>
      <x:c r="N3607" s="34" t="str">
        <x:v>Feedback-Directed Random Test Generation/Result/Closure_127/result.json</x:v>
      </x:c>
      <x:c r="O3607" s="38" t="n">
        <x:f>IF(AND(G3607="RECORDED",ISNUMBER(H3607)),H3607,"")</x:f>
        <x:v>0</x:v>
      </x:c>
      <x:c r="P3607" s="34" t="str">
        <x:v>NOT_REVEALING</x:v>
      </x:c>
      <x:c r="Q3607" s="34" t="str">
        <x:v>Feedback-Directed Random Test Generation/Result/Closure_127/result.json</x:v>
      </x:c>
    </x:row>
    <x:row r="3608">
      <x:c r="A3608" s="34" t="str">
        <x:v>randoop</x:v>
      </x:c>
      <x:c r="B3608" s="34" t="str">
        <x:v>Closure</x:v>
      </x:c>
      <x:c r="C3608" s="34" t="str">
        <x:v>Round1</x:v>
      </x:c>
      <x:c r="D3608" s="34" t="str">
        <x:v>Closure_128</x:v>
      </x:c>
      <x:c r="E3608" s="34" t="str">
        <x:v>Condition</x:v>
      </x:c>
      <x:c r="F3608" s="34" t="n">
        <x:v>477</x:v>
      </x:c>
      <x:c r="G3608" s="34" t="str">
        <x:v>RECORDED</x:v>
      </x:c>
      <x:c r="H3608" s="38" t="n">
        <x:f>IF(ISNUMBER('Data'!I192),'Data'!I192*100,"")</x:f>
        <x:v>4.19</x:v>
      </x:c>
      <x:c r="I3608" s="34" t="str">
        <x:v>PASS</x:v>
      </x:c>
      <x:c r="J3608" s="34" t="str">
        <x:v>PASS</x:v>
      </x:c>
      <x:c r="K3608" s="34" t="str">
        <x:v>PASS</x:v>
      </x:c>
      <x:c r="L3608" s="34" t="str">
        <x:v>PASS</x:v>
      </x:c>
      <x:c r="M3608" s="34" t="str">
        <x:v>numeric coverage for applicable metric</x:v>
      </x:c>
      <x:c r="N3608" s="34" t="str">
        <x:v>Feedback-Directed Random Test Generation/Result/Closure_128/result.json</x:v>
      </x:c>
      <x:c r="O3608" s="38" t="n">
        <x:f>IF(AND(G3608="RECORDED",ISNUMBER(H3608)),H3608,"")</x:f>
        <x:v>4.19</x:v>
      </x:c>
      <x:c r="P3608" s="34" t="str">
        <x:v>NOT_REVEALING</x:v>
      </x:c>
      <x:c r="Q3608" s="34" t="str">
        <x:v>Feedback-Directed Random Test Generation/Result/Closure_128/result.json</x:v>
      </x:c>
    </x:row>
    <x:row r="3609">
      <x:c r="A3609" s="34" t="str">
        <x:v>randoop</x:v>
      </x:c>
      <x:c r="B3609" s="34" t="str">
        <x:v>Closure</x:v>
      </x:c>
      <x:c r="C3609" s="34" t="str">
        <x:v>Round1</x:v>
      </x:c>
      <x:c r="D3609" s="34" t="str">
        <x:v>Closure_129</x:v>
      </x:c>
      <x:c r="E3609" s="34" t="str">
        <x:v>Condition</x:v>
      </x:c>
      <x:c r="F3609" s="34" t="n">
        <x:v>51</x:v>
      </x:c>
      <x:c r="G3609" s="34" t="str">
        <x:v>RECORDED</x:v>
      </x:c>
      <x:c r="H3609" s="38" t="n">
        <x:f>IF(ISNUMBER('Data'!I193),'Data'!I193*100,"")</x:f>
        <x:v>7.84</x:v>
      </x:c>
      <x:c r="I3609" s="34" t="str">
        <x:v>PASS</x:v>
      </x:c>
      <x:c r="J3609" s="34" t="str">
        <x:v>PASS</x:v>
      </x:c>
      <x:c r="K3609" s="34" t="str">
        <x:v>PASS</x:v>
      </x:c>
      <x:c r="L3609" s="34" t="str">
        <x:v>PASS</x:v>
      </x:c>
      <x:c r="M3609" s="34" t="str">
        <x:v>numeric coverage for applicable metric</x:v>
      </x:c>
      <x:c r="N3609" s="34" t="str">
        <x:v>Feedback-Directed Random Test Generation/Result/Closure_129/result.json</x:v>
      </x:c>
      <x:c r="O3609" s="38" t="n">
        <x:f>IF(AND(G3609="RECORDED",ISNUMBER(H3609)),H3609,"")</x:f>
        <x:v>7.84</x:v>
      </x:c>
      <x:c r="P3609" s="34" t="str">
        <x:v>NOT_REVEALING</x:v>
      </x:c>
      <x:c r="Q3609" s="34" t="str">
        <x:v>Feedback-Directed Random Test Generation/Result/Closure_129/result.json</x:v>
      </x:c>
    </x:row>
    <x:row r="3610">
      <x:c r="A3610" s="34" t="str">
        <x:v>randoop</x:v>
      </x:c>
      <x:c r="B3610" s="34" t="str">
        <x:v>Closure</x:v>
      </x:c>
      <x:c r="C3610" s="34" t="str">
        <x:v>Round1</x:v>
      </x:c>
      <x:c r="D3610" s="34" t="str">
        <x:v>Closure_130</x:v>
      </x:c>
      <x:c r="E3610" s="34" t="str">
        <x:v>Condition</x:v>
      </x:c>
      <x:c r="F3610" s="34" t="n">
        <x:v>264</x:v>
      </x:c>
      <x:c r="G3610" s="34" t="str">
        <x:v>RECORDED</x:v>
      </x:c>
      <x:c r="H3610" s="38" t="n">
        <x:f>IF(ISNUMBER('Data'!I194),'Data'!I194*100,"")</x:f>
        <x:v>1.52</x:v>
      </x:c>
      <x:c r="I3610" s="34" t="str">
        <x:v>PASS</x:v>
      </x:c>
      <x:c r="J3610" s="34" t="str">
        <x:v>PASS</x:v>
      </x:c>
      <x:c r="K3610" s="34" t="str">
        <x:v>PASS</x:v>
      </x:c>
      <x:c r="L3610" s="34" t="str">
        <x:v>PASS</x:v>
      </x:c>
      <x:c r="M3610" s="34" t="str">
        <x:v>numeric coverage for applicable metric</x:v>
      </x:c>
      <x:c r="N3610" s="34" t="str">
        <x:v>Feedback-Directed Random Test Generation/Result/Closure_130/result.json</x:v>
      </x:c>
      <x:c r="O3610" s="38" t="n">
        <x:f>IF(AND(G3610="RECORDED",ISNUMBER(H3610)),H3610,"")</x:f>
        <x:v>1.52</x:v>
      </x:c>
      <x:c r="P3610" s="34" t="str">
        <x:v>NOT_REVEALING</x:v>
      </x:c>
      <x:c r="Q3610" s="34" t="str">
        <x:v>Feedback-Directed Random Test Generation/Result/Closure_130/result.json</x:v>
      </x:c>
    </x:row>
    <x:row r="3611">
      <x:c r="A3611" s="34" t="str">
        <x:v>randoop</x:v>
      </x:c>
      <x:c r="B3611" s="34" t="str">
        <x:v>Closure</x:v>
      </x:c>
      <x:c r="C3611" s="34" t="str">
        <x:v>Round1</x:v>
      </x:c>
      <x:c r="D3611" s="34" t="str">
        <x:v>Closure_131</x:v>
      </x:c>
      <x:c r="E3611" s="34" t="str">
        <x:v>Condition</x:v>
      </x:c>
      <x:c r="F3611" s="34" t="n">
        <x:v>165</x:v>
      </x:c>
      <x:c r="G3611" s="34" t="str">
        <x:v>RECORDED</x:v>
      </x:c>
      <x:c r="H3611" s="38" t="n">
        <x:f>IF(ISNUMBER('Data'!I195),'Data'!I195*100,"")</x:f>
        <x:v>6.06</x:v>
      </x:c>
      <x:c r="I3611" s="34" t="str">
        <x:v>PASS</x:v>
      </x:c>
      <x:c r="J3611" s="34" t="str">
        <x:v>PASS</x:v>
      </x:c>
      <x:c r="K3611" s="34" t="str">
        <x:v>PASS</x:v>
      </x:c>
      <x:c r="L3611" s="34" t="str">
        <x:v>PASS</x:v>
      </x:c>
      <x:c r="M3611" s="34" t="str">
        <x:v>numeric coverage for applicable metric</x:v>
      </x:c>
      <x:c r="N3611" s="34" t="str">
        <x:v>Feedback-Directed Random Test Generation/Result/Closure_131/result.json</x:v>
      </x:c>
      <x:c r="O3611" s="38" t="n">
        <x:f>IF(AND(G3611="RECORDED",ISNUMBER(H3611)),H3611,"")</x:f>
        <x:v>6.06</x:v>
      </x:c>
      <x:c r="P3611" s="34" t="str">
        <x:v>NOT_REVEALING</x:v>
      </x:c>
      <x:c r="Q3611" s="34" t="str">
        <x:v>Feedback-Directed Random Test Generation/Result/Closure_131/result.json</x:v>
      </x:c>
    </x:row>
    <x:row r="3612">
      <x:c r="A3612" s="34" t="str">
        <x:v>randoop</x:v>
      </x:c>
      <x:c r="B3612" s="34" t="str">
        <x:v>Closure</x:v>
      </x:c>
      <x:c r="C3612" s="34" t="str">
        <x:v>Round1</x:v>
      </x:c>
      <x:c r="D3612" s="34" t="str">
        <x:v>Closure_132</x:v>
      </x:c>
      <x:c r="E3612" s="34" t="str">
        <x:v>Condition</x:v>
      </x:c>
      <x:c r="F3612" s="34" t="n">
        <x:v>530</x:v>
      </x:c>
      <x:c r="G3612" s="34" t="str">
        <x:v>RECORDED</x:v>
      </x:c>
      <x:c r="H3612" s="38" t="n">
        <x:f>IF(ISNUMBER('Data'!I196),'Data'!I196*100,"")</x:f>
        <x:v>0.57</x:v>
      </x:c>
      <x:c r="I3612" s="34" t="str">
        <x:v>PASS</x:v>
      </x:c>
      <x:c r="J3612" s="34" t="str">
        <x:v>PASS</x:v>
      </x:c>
      <x:c r="K3612" s="34" t="str">
        <x:v>PASS</x:v>
      </x:c>
      <x:c r="L3612" s="34" t="str">
        <x:v>PASS</x:v>
      </x:c>
      <x:c r="M3612" s="34" t="str">
        <x:v>numeric coverage for applicable metric</x:v>
      </x:c>
      <x:c r="N3612" s="34" t="str">
        <x:v>Feedback-Directed Random Test Generation/Result/Closure_132/result.json</x:v>
      </x:c>
      <x:c r="O3612" s="38" t="n">
        <x:f>IF(AND(G3612="RECORDED",ISNUMBER(H3612)),H3612,"")</x:f>
        <x:v>0.57</x:v>
      </x:c>
      <x:c r="P3612" s="34" t="str">
        <x:v>NOT_REVEALING</x:v>
      </x:c>
      <x:c r="Q3612" s="34" t="str">
        <x:v>Feedback-Directed Random Test Generation/Result/Closure_132/result.json</x:v>
      </x:c>
    </x:row>
    <x:row r="3613">
      <x:c r="A3613" s="34" t="str">
        <x:v>randoop</x:v>
      </x:c>
      <x:c r="B3613" s="34" t="str">
        <x:v>Closure</x:v>
      </x:c>
      <x:c r="C3613" s="34" t="str">
        <x:v>Round1</x:v>
      </x:c>
      <x:c r="D3613" s="34" t="str">
        <x:v>Closure_133</x:v>
      </x:c>
      <x:c r="E3613" s="34" t="str">
        <x:v>Condition</x:v>
      </x:c>
      <x:c r="F3613" s="34" t="n">
        <x:v>655</x:v>
      </x:c>
      <x:c r="G3613" s="34" t="str">
        <x:v>RECORDED</x:v>
      </x:c>
      <x:c r="H3613" s="38" t="n">
        <x:f>IF(ISNUMBER('Data'!I197),'Data'!I197*100,"")</x:f>
        <x:v>4.73</x:v>
      </x:c>
      <x:c r="I3613" s="34" t="str">
        <x:v>PASS</x:v>
      </x:c>
      <x:c r="J3613" s="34" t="str">
        <x:v>PASS</x:v>
      </x:c>
      <x:c r="K3613" s="34" t="str">
        <x:v>PASS</x:v>
      </x:c>
      <x:c r="L3613" s="34" t="str">
        <x:v>PASS</x:v>
      </x:c>
      <x:c r="M3613" s="34" t="str">
        <x:v>numeric coverage for applicable metric</x:v>
      </x:c>
      <x:c r="N3613" s="34" t="str">
        <x:v>Feedback-Directed Random Test Generation/Result/Closure_133/result.json</x:v>
      </x:c>
      <x:c r="O3613" s="38" t="n">
        <x:f>IF(AND(G3613="RECORDED",ISNUMBER(H3613)),H3613,"")</x:f>
        <x:v>4.73</x:v>
      </x:c>
      <x:c r="P3613" s="34" t="str">
        <x:v>NOT_REVEALING</x:v>
      </x:c>
      <x:c r="Q3613" s="34" t="str">
        <x:v>Feedback-Directed Random Test Generation/Result/Closure_133/result.json</x:v>
      </x:c>
    </x:row>
    <x:row r="3614">
      <x:c r="A3614" s="34" t="str">
        <x:v>randoop</x:v>
      </x:c>
      <x:c r="B3614" s="34" t="str">
        <x:v>Closure</x:v>
      </x:c>
      <x:c r="C3614" s="34" t="str">
        <x:v>Round1</x:v>
      </x:c>
      <x:c r="D3614" s="34" t="str">
        <x:v>Closure_134</x:v>
      </x:c>
      <x:c r="E3614" s="34" t="str">
        <x:v>Condition</x:v>
      </x:c>
      <x:c r="F3614" s="34" t="n">
        <x:v>569</x:v>
      </x:c>
      <x:c r="G3614" s="34" t="str">
        <x:v>RECORDED</x:v>
      </x:c>
      <x:c r="H3614" s="38" t="n">
        <x:f>IF(ISNUMBER('Data'!I198),'Data'!I198*100,"")</x:f>
        <x:v>0</x:v>
      </x:c>
      <x:c r="I3614" s="34" t="str">
        <x:v>PASS</x:v>
      </x:c>
      <x:c r="J3614" s="34" t="str">
        <x:v>PASS</x:v>
      </x:c>
      <x:c r="K3614" s="34" t="str">
        <x:v>PASS</x:v>
      </x:c>
      <x:c r="L3614" s="34" t="str">
        <x:v>PASS</x:v>
      </x:c>
      <x:c r="M3614" s="34" t="str">
        <x:v>numeric coverage for applicable metric</x:v>
      </x:c>
      <x:c r="N3614" s="34" t="str">
        <x:v>Feedback-Directed Random Test Generation/Result/Closure_134/result.json</x:v>
      </x:c>
      <x:c r="O3614" s="38" t="n">
        <x:f>IF(AND(G3614="RECORDED",ISNUMBER(H3614)),H3614,"")</x:f>
        <x:v>0</x:v>
      </x:c>
      <x:c r="P3614" s="34" t="str">
        <x:v>NOT_REVEALING</x:v>
      </x:c>
      <x:c r="Q3614" s="34" t="str">
        <x:v>Feedback-Directed Random Test Generation/Result/Closure_134/result.json</x:v>
      </x:c>
    </x:row>
    <x:row r="3615">
      <x:c r="A3615" s="34" t="str">
        <x:v>randoop</x:v>
      </x:c>
      <x:c r="B3615" s="34" t="str">
        <x:v>Closure</x:v>
      </x:c>
      <x:c r="C3615" s="34" t="str">
        <x:v>Round1</x:v>
      </x:c>
      <x:c r="D3615" s="34" t="str">
        <x:v>Closure_135</x:v>
      </x:c>
      <x:c r="E3615" s="34" t="str">
        <x:v>Condition</x:v>
      </x:c>
      <x:c r="F3615" s="34" t="n">
        <x:v>318</x:v>
      </x:c>
      <x:c r="G3615" s="34" t="str">
        <x:v>RECORDED</x:v>
      </x:c>
      <x:c r="H3615" s="38" t="n">
        <x:f>IF(ISNUMBER('Data'!I199),'Data'!I199*100,"")</x:f>
        <x:v>0</x:v>
      </x:c>
      <x:c r="I3615" s="34" t="str">
        <x:v>PASS</x:v>
      </x:c>
      <x:c r="J3615" s="34" t="str">
        <x:v>PASS</x:v>
      </x:c>
      <x:c r="K3615" s="34" t="str">
        <x:v>PASS</x:v>
      </x:c>
      <x:c r="L3615" s="34" t="str">
        <x:v>PASS</x:v>
      </x:c>
      <x:c r="M3615" s="34" t="str">
        <x:v>numeric coverage for applicable metric</x:v>
      </x:c>
      <x:c r="N3615" s="34" t="str">
        <x:v>Feedback-Directed Random Test Generation/Result/Closure_135/result.json</x:v>
      </x:c>
      <x:c r="O3615" s="38" t="n">
        <x:f>IF(AND(G3615="RECORDED",ISNUMBER(H3615)),H3615,"")</x:f>
        <x:v>0</x:v>
      </x:c>
      <x:c r="P3615" s="34" t="str">
        <x:v>NOT_REVEALING</x:v>
      </x:c>
      <x:c r="Q3615" s="34" t="str">
        <x:v>Feedback-Directed Random Test Generation/Result/Closure_135/result.json</x:v>
      </x:c>
    </x:row>
    <x:row r="3616">
      <x:c r="A3616" s="34" t="str">
        <x:v>randoop</x:v>
      </x:c>
      <x:c r="B3616" s="34" t="str">
        <x:v>Closure</x:v>
      </x:c>
      <x:c r="C3616" s="34" t="str">
        <x:v>Round1</x:v>
      </x:c>
      <x:c r="D3616" s="34" t="str">
        <x:v>Closure_136</x:v>
      </x:c>
      <x:c r="E3616" s="34" t="str">
        <x:v>Condition</x:v>
      </x:c>
      <x:c r="F3616" s="34" t="n">
        <x:v>148</x:v>
      </x:c>
      <x:c r="G3616" s="34" t="str">
        <x:v>RECORDED</x:v>
      </x:c>
      <x:c r="H3616" s="38" t="n">
        <x:f>IF(ISNUMBER('Data'!I200),'Data'!I200*100,"")</x:f>
        <x:v>4.73</x:v>
      </x:c>
      <x:c r="I3616" s="34" t="str">
        <x:v>PASS</x:v>
      </x:c>
      <x:c r="J3616" s="34" t="str">
        <x:v>PASS</x:v>
      </x:c>
      <x:c r="K3616" s="34" t="str">
        <x:v>PASS</x:v>
      </x:c>
      <x:c r="L3616" s="34" t="str">
        <x:v>PASS</x:v>
      </x:c>
      <x:c r="M3616" s="34" t="str">
        <x:v>numeric coverage for applicable metric</x:v>
      </x:c>
      <x:c r="N3616" s="34" t="str">
        <x:v>Feedback-Directed Random Test Generation/Result/Closure_136/result.json</x:v>
      </x:c>
      <x:c r="O3616" s="38" t="n">
        <x:f>IF(AND(G3616="RECORDED",ISNUMBER(H3616)),H3616,"")</x:f>
        <x:v>4.73</x:v>
      </x:c>
      <x:c r="P3616" s="34" t="str">
        <x:v>NOT_REVEALING</x:v>
      </x:c>
      <x:c r="Q3616" s="34" t="str">
        <x:v>Feedback-Directed Random Test Generation/Result/Closure_136/result.json</x:v>
      </x:c>
    </x:row>
    <x:row r="3617">
      <x:c r="A3617" s="34" t="str">
        <x:v>randoop</x:v>
      </x:c>
      <x:c r="B3617" s="34" t="str">
        <x:v>Closure</x:v>
      </x:c>
      <x:c r="C3617" s="34" t="str">
        <x:v>Round1</x:v>
      </x:c>
      <x:c r="D3617" s="34" t="str">
        <x:v>Closure_137</x:v>
      </x:c>
      <x:c r="E3617" s="34" t="str">
        <x:v>Condition</x:v>
      </x:c>
      <x:c r="F3617" s="34" t="n">
        <x:v>712</x:v>
      </x:c>
      <x:c r="G3617" s="34" t="str">
        <x:v>RECORDED</x:v>
      </x:c>
      <x:c r="H3617" s="38" t="n">
        <x:f>IF(ISNUMBER('Data'!I201),'Data'!I201*100,"")</x:f>
        <x:v>27.810000000000002</x:v>
      </x:c>
      <x:c r="I3617" s="34" t="str">
        <x:v>PASS</x:v>
      </x:c>
      <x:c r="J3617" s="34" t="str">
        <x:v>PASS</x:v>
      </x:c>
      <x:c r="K3617" s="34" t="str">
        <x:v>PASS</x:v>
      </x:c>
      <x:c r="L3617" s="34" t="str">
        <x:v>FAIL</x:v>
      </x:c>
      <x:c r="M3617" s="34" t="str">
        <x:v>numeric coverage for applicable metric</x:v>
      </x:c>
      <x:c r="N3617" s="34" t="str">
        <x:v>Feedback-Directed Random Test Generation/Result/Closure_137/result.json</x:v>
      </x:c>
      <x:c r="O3617" s="38" t="n">
        <x:f>IF(AND(G3617="RECORDED",ISNUMBER(H3617)),H3617,"")</x:f>
        <x:v>27.810000000000002</x:v>
      </x:c>
      <x:c r="P3617" s="34" t="str">
        <x:v>INCONCLUSIVE</x:v>
      </x:c>
      <x:c r="Q3617" s="34" t="str">
        <x:v>Feedback-Directed Random Test Generation/Result/Closure_137/result.json</x:v>
      </x:c>
    </x:row>
    <x:row r="3618">
      <x:c r="A3618" s="34" t="str">
        <x:v>randoop</x:v>
      </x:c>
      <x:c r="B3618" s="34" t="str">
        <x:v>Closure</x:v>
      </x:c>
      <x:c r="C3618" s="34" t="str">
        <x:v>Round1</x:v>
      </x:c>
      <x:c r="D3618" s="34" t="str">
        <x:v>Closure_138</x:v>
      </x:c>
      <x:c r="E3618" s="34" t="str">
        <x:v>Condition</x:v>
      </x:c>
      <x:c r="F3618" s="34" t="n">
        <x:v>373</x:v>
      </x:c>
      <x:c r="G3618" s="34" t="str">
        <x:v>RECORDED</x:v>
      </x:c>
      <x:c r="H3618" s="38" t="n">
        <x:f>IF(ISNUMBER('Data'!I202),'Data'!I202*100,"")</x:f>
        <x:v>0</x:v>
      </x:c>
      <x:c r="I3618" s="34" t="str">
        <x:v>PASS</x:v>
      </x:c>
      <x:c r="J3618" s="34" t="str">
        <x:v>PASS</x:v>
      </x:c>
      <x:c r="K3618" s="34" t="str">
        <x:v>PASS</x:v>
      </x:c>
      <x:c r="L3618" s="34" t="str">
        <x:v>PASS</x:v>
      </x:c>
      <x:c r="M3618" s="34" t="str">
        <x:v>numeric coverage for applicable metric</x:v>
      </x:c>
      <x:c r="N3618" s="34" t="str">
        <x:v>Feedback-Directed Random Test Generation/Result/Closure_138/result.json</x:v>
      </x:c>
      <x:c r="O3618" s="38" t="n">
        <x:f>IF(AND(G3618="RECORDED",ISNUMBER(H3618)),H3618,"")</x:f>
        <x:v>0</x:v>
      </x:c>
      <x:c r="P3618" s="34" t="str">
        <x:v>NOT_REVEALING</x:v>
      </x:c>
      <x:c r="Q3618" s="34" t="str">
        <x:v>Feedback-Directed Random Test Generation/Result/Closure_138/result.json</x:v>
      </x:c>
    </x:row>
    <x:row r="3619">
      <x:c r="A3619" s="34" t="str">
        <x:v>randoop</x:v>
      </x:c>
      <x:c r="B3619" s="34" t="str">
        <x:v>Closure</x:v>
      </x:c>
      <x:c r="C3619" s="34" t="str">
        <x:v>Round1</x:v>
      </x:c>
      <x:c r="D3619" s="34" t="str">
        <x:v>Closure_139</x:v>
      </x:c>
      <x:c r="E3619" s="34" t="str">
        <x:v>Condition</x:v>
      </x:c>
      <x:c r="F3619" s="34" t="n">
        <x:v>111</x:v>
      </x:c>
      <x:c r="G3619" s="34" t="str">
        <x:v>RECORDED</x:v>
      </x:c>
      <x:c r="H3619" s="38" t="n">
        <x:f>IF(ISNUMBER('Data'!I203),'Data'!I203*100,"")</x:f>
        <x:v>0</x:v>
      </x:c>
      <x:c r="I3619" s="34" t="str">
        <x:v>PASS</x:v>
      </x:c>
      <x:c r="J3619" s="34" t="str">
        <x:v>PASS</x:v>
      </x:c>
      <x:c r="K3619" s="34" t="str">
        <x:v>PASS</x:v>
      </x:c>
      <x:c r="L3619" s="34" t="str">
        <x:v>PASS</x:v>
      </x:c>
      <x:c r="M3619" s="34" t="str">
        <x:v>numeric coverage for applicable metric</x:v>
      </x:c>
      <x:c r="N3619" s="34" t="str">
        <x:v>Feedback-Directed Random Test Generation/Result/Closure_139/result.json</x:v>
      </x:c>
      <x:c r="O3619" s="38" t="n">
        <x:f>IF(AND(G3619="RECORDED",ISNUMBER(H3619)),H3619,"")</x:f>
        <x:v>0</x:v>
      </x:c>
      <x:c r="P3619" s="34" t="str">
        <x:v>NOT_REVEALING</x:v>
      </x:c>
      <x:c r="Q3619" s="34" t="str">
        <x:v>Feedback-Directed Random Test Generation/Result/Closure_139/result.json</x:v>
      </x:c>
    </x:row>
    <x:row r="3620">
      <x:c r="A3620" s="34" t="str">
        <x:v>randoop</x:v>
      </x:c>
      <x:c r="B3620" s="34" t="str">
        <x:v>Closure</x:v>
      </x:c>
      <x:c r="C3620" s="34" t="str">
        <x:v>Round1</x:v>
      </x:c>
      <x:c r="D3620" s="34" t="str">
        <x:v>Closure_140</x:v>
      </x:c>
      <x:c r="E3620" s="34" t="str">
        <x:v>Condition</x:v>
      </x:c>
      <x:c r="F3620" s="34" t="n">
        <x:v>244</x:v>
      </x:c>
      <x:c r="G3620" s="34" t="str">
        <x:v>RECORDED</x:v>
      </x:c>
      <x:c r="H3620" s="38" t="n">
        <x:f>IF(ISNUMBER('Data'!I204),'Data'!I204*100,"")</x:f>
        <x:v>34.84</x:v>
      </x:c>
      <x:c r="I3620" s="34" t="str">
        <x:v>PASS</x:v>
      </x:c>
      <x:c r="J3620" s="34" t="str">
        <x:v>PASS</x:v>
      </x:c>
      <x:c r="K3620" s="34" t="str">
        <x:v>PASS</x:v>
      </x:c>
      <x:c r="L3620" s="34" t="str">
        <x:v>FAIL</x:v>
      </x:c>
      <x:c r="M3620" s="34" t="str">
        <x:v>numeric coverage for applicable metric</x:v>
      </x:c>
      <x:c r="N3620" s="34" t="str">
        <x:v>Feedback-Directed Random Test Generation/Result/Closure_140/result.json</x:v>
      </x:c>
      <x:c r="O3620" s="38" t="n">
        <x:f>IF(AND(G3620="RECORDED",ISNUMBER(H3620)),H3620,"")</x:f>
        <x:v>34.84</x:v>
      </x:c>
      <x:c r="P3620" s="34" t="str">
        <x:v>INCONCLUSIVE</x:v>
      </x:c>
      <x:c r="Q3620" s="34" t="str">
        <x:v>Feedback-Directed Random Test Generation/Result/Closure_140/result.json</x:v>
      </x:c>
    </x:row>
    <x:row r="3621">
      <x:c r="A3621" s="34" t="str">
        <x:v>randoop</x:v>
      </x:c>
      <x:c r="B3621" s="34" t="str">
        <x:v>Closure</x:v>
      </x:c>
      <x:c r="C3621" s="34" t="str">
        <x:v>Round1</x:v>
      </x:c>
      <x:c r="D3621" s="34" t="str">
        <x:v>Closure_141</x:v>
      </x:c>
      <x:c r="E3621" s="34" t="str">
        <x:v>Condition</x:v>
      </x:c>
      <x:c r="F3621" s="34" t="n">
        <x:v>705</x:v>
      </x:c>
      <x:c r="G3621" s="34" t="str">
        <x:v>RECORDED</x:v>
      </x:c>
      <x:c r="H3621" s="38" t="n">
        <x:f>IF(ISNUMBER('Data'!I205),'Data'!I205*100,"")</x:f>
        <x:v>30.349999999999998</x:v>
      </x:c>
      <x:c r="I3621" s="34" t="str">
        <x:v>PASS</x:v>
      </x:c>
      <x:c r="J3621" s="34" t="str">
        <x:v>PASS</x:v>
      </x:c>
      <x:c r="K3621" s="34" t="str">
        <x:v>PASS</x:v>
      </x:c>
      <x:c r="L3621" s="34" t="str">
        <x:v>FAIL</x:v>
      </x:c>
      <x:c r="M3621" s="34" t="str">
        <x:v>numeric coverage for applicable metric</x:v>
      </x:c>
      <x:c r="N3621" s="34" t="str">
        <x:v>Feedback-Directed Random Test Generation/Result/Closure_141/result.json</x:v>
      </x:c>
      <x:c r="O3621" s="38" t="n">
        <x:f>IF(AND(G3621="RECORDED",ISNUMBER(H3621)),H3621,"")</x:f>
        <x:v>30.349999999999998</x:v>
      </x:c>
      <x:c r="P3621" s="34" t="str">
        <x:v>INCONCLUSIVE</x:v>
      </x:c>
      <x:c r="Q3621" s="34" t="str">
        <x:v>Feedback-Directed Random Test Generation/Result/Closure_141/result.json</x:v>
      </x:c>
    </x:row>
    <x:row r="3622">
      <x:c r="A3622" s="34" t="str">
        <x:v>randoop</x:v>
      </x:c>
      <x:c r="B3622" s="34" t="str">
        <x:v>Closure</x:v>
      </x:c>
      <x:c r="C3622" s="34" t="str">
        <x:v>Round1</x:v>
      </x:c>
      <x:c r="D3622" s="34" t="str">
        <x:v>Closure_142</x:v>
      </x:c>
      <x:c r="E3622" s="34" t="str">
        <x:v>Condition</x:v>
      </x:c>
      <x:c r="F3622" s="34" t="n">
        <x:v>633</x:v>
      </x:c>
      <x:c r="G3622" s="34" t="str">
        <x:v>RECORDED</x:v>
      </x:c>
      <x:c r="H3622" s="38" t="n">
        <x:f>IF(ISNUMBER('Data'!I206),'Data'!I206*100,"")</x:f>
        <x:v>4.11</x:v>
      </x:c>
      <x:c r="I3622" s="34" t="str">
        <x:v>PASS</x:v>
      </x:c>
      <x:c r="J3622" s="34" t="str">
        <x:v>PASS</x:v>
      </x:c>
      <x:c r="K3622" s="34" t="str">
        <x:v>PASS</x:v>
      </x:c>
      <x:c r="L3622" s="34" t="str">
        <x:v>PASS</x:v>
      </x:c>
      <x:c r="M3622" s="34" t="str">
        <x:v>numeric coverage for applicable metric</x:v>
      </x:c>
      <x:c r="N3622" s="34" t="str">
        <x:v>Feedback-Directed Random Test Generation/Result/Closure_142/result.json</x:v>
      </x:c>
      <x:c r="O3622" s="38" t="n">
        <x:f>IF(AND(G3622="RECORDED",ISNUMBER(H3622)),H3622,"")</x:f>
        <x:v>4.11</x:v>
      </x:c>
      <x:c r="P3622" s="34" t="str">
        <x:v>NOT_REVEALING</x:v>
      </x:c>
      <x:c r="Q3622" s="34" t="str">
        <x:v>Feedback-Directed Random Test Generation/Result/Closure_142/result.json</x:v>
      </x:c>
    </x:row>
    <x:row r="3623">
      <x:c r="A3623" s="34" t="str">
        <x:v>randoop</x:v>
      </x:c>
      <x:c r="B3623" s="34" t="str">
        <x:v>Closure</x:v>
      </x:c>
      <x:c r="C3623" s="34" t="str">
        <x:v>Round1</x:v>
      </x:c>
      <x:c r="D3623" s="34" t="str">
        <x:v>Closure_143</x:v>
      </x:c>
      <x:c r="E3623" s="34" t="str">
        <x:v>Condition</x:v>
      </x:c>
      <x:c r="F3623" s="34" t="n">
        <x:v>206</x:v>
      </x:c>
      <x:c r="G3623" s="34" t="str">
        <x:v>RECORDED</x:v>
      </x:c>
      <x:c r="H3623" s="38" t="n">
        <x:f>IF(ISNUMBER('Data'!I207),'Data'!I207*100,"")</x:f>
        <x:v>12.619999999999997</x:v>
      </x:c>
      <x:c r="I3623" s="34" t="str">
        <x:v>PASS</x:v>
      </x:c>
      <x:c r="J3623" s="34" t="str">
        <x:v>PASS</x:v>
      </x:c>
      <x:c r="K3623" s="34" t="str">
        <x:v>PASS</x:v>
      </x:c>
      <x:c r="L3623" s="34" t="str">
        <x:v>PASS</x:v>
      </x:c>
      <x:c r="M3623" s="34" t="str">
        <x:v>numeric coverage for applicable metric</x:v>
      </x:c>
      <x:c r="N3623" s="34" t="str">
        <x:v>Feedback-Directed Random Test Generation/Result/Closure_143/result.json</x:v>
      </x:c>
      <x:c r="O3623" s="38" t="n">
        <x:f>IF(AND(G3623="RECORDED",ISNUMBER(H3623)),H3623,"")</x:f>
        <x:v>12.619999999999997</x:v>
      </x:c>
      <x:c r="P3623" s="34" t="str">
        <x:v>NOT_REVEALING</x:v>
      </x:c>
      <x:c r="Q3623" s="34" t="str">
        <x:v>Feedback-Directed Random Test Generation/Result/Closure_143/result.json</x:v>
      </x:c>
    </x:row>
    <x:row r="3624">
      <x:c r="A3624" s="34" t="str">
        <x:v>randoop</x:v>
      </x:c>
      <x:c r="B3624" s="34" t="str">
        <x:v>Closure</x:v>
      </x:c>
      <x:c r="C3624" s="34" t="str">
        <x:v>Round1</x:v>
      </x:c>
      <x:c r="D3624" s="34" t="str">
        <x:v>Closure_144</x:v>
      </x:c>
      <x:c r="E3624" s="34" t="str">
        <x:v>Condition</x:v>
      </x:c>
      <x:c r="F3624" s="34" t="n">
        <x:v>900</x:v>
      </x:c>
      <x:c r="G3624" s="34" t="str">
        <x:v>RECORDED</x:v>
      </x:c>
      <x:c r="H3624" s="38" t="n">
        <x:f>IF(ISNUMBER('Data'!I208),'Data'!I208*100,"")</x:f>
        <x:v>0</x:v>
      </x:c>
      <x:c r="I3624" s="34" t="str">
        <x:v>PASS</x:v>
      </x:c>
      <x:c r="J3624" s="34" t="str">
        <x:v>PASS</x:v>
      </x:c>
      <x:c r="K3624" s="34" t="str">
        <x:v>PASS</x:v>
      </x:c>
      <x:c r="L3624" s="34" t="str">
        <x:v>PASS</x:v>
      </x:c>
      <x:c r="M3624" s="34" t="str">
        <x:v>numeric coverage for applicable metric</x:v>
      </x:c>
      <x:c r="N3624" s="34" t="str">
        <x:v>Feedback-Directed Random Test Generation/Result/Closure_144/result.json</x:v>
      </x:c>
      <x:c r="O3624" s="38" t="n">
        <x:f>IF(AND(G3624="RECORDED",ISNUMBER(H3624)),H3624,"")</x:f>
        <x:v>0</x:v>
      </x:c>
      <x:c r="P3624" s="34" t="str">
        <x:v>NOT_REVEALING</x:v>
      </x:c>
      <x:c r="Q3624" s="34" t="str">
        <x:v>Feedback-Directed Random Test Generation/Result/Closure_144/result.json</x:v>
      </x:c>
    </x:row>
    <x:row r="3625">
      <x:c r="A3625" s="34" t="str">
        <x:v>randoop</x:v>
      </x:c>
      <x:c r="B3625" s="34" t="str">
        <x:v>Closure</x:v>
      </x:c>
      <x:c r="C3625" s="34" t="str">
        <x:v>Round1</x:v>
      </x:c>
      <x:c r="D3625" s="34" t="str">
        <x:v>Closure_145</x:v>
      </x:c>
      <x:c r="E3625" s="34" t="str">
        <x:v>Condition</x:v>
      </x:c>
      <x:c r="F3625" s="34" t="n">
        <x:v>376</x:v>
      </x:c>
      <x:c r="G3625" s="34" t="str">
        <x:v>RECORDED</x:v>
      </x:c>
      <x:c r="H3625" s="38" t="n">
        <x:f>IF(ISNUMBER('Data'!I209),'Data'!I209*100,"")</x:f>
        <x:v>5.59</x:v>
      </x:c>
      <x:c r="I3625" s="34" t="str">
        <x:v>PASS</x:v>
      </x:c>
      <x:c r="J3625" s="34" t="str">
        <x:v>PASS</x:v>
      </x:c>
      <x:c r="K3625" s="34" t="str">
        <x:v>PASS</x:v>
      </x:c>
      <x:c r="L3625" s="34" t="str">
        <x:v>PASS</x:v>
      </x:c>
      <x:c r="M3625" s="34" t="str">
        <x:v>numeric coverage for applicable metric</x:v>
      </x:c>
      <x:c r="N3625" s="34" t="str">
        <x:v>Feedback-Directed Random Test Generation/Result/Closure_145/result.json</x:v>
      </x:c>
      <x:c r="O3625" s="38" t="n">
        <x:f>IF(AND(G3625="RECORDED",ISNUMBER(H3625)),H3625,"")</x:f>
        <x:v>5.59</x:v>
      </x:c>
      <x:c r="P3625" s="34" t="str">
        <x:v>NOT_REVEALING</x:v>
      </x:c>
      <x:c r="Q3625" s="34" t="str">
        <x:v>Feedback-Directed Random Test Generation/Result/Closure_145/result.json</x:v>
      </x:c>
    </x:row>
    <x:row r="3626">
      <x:c r="A3626" s="34" t="str">
        <x:v>randoop</x:v>
      </x:c>
      <x:c r="B3626" s="34" t="str">
        <x:v>Closure</x:v>
      </x:c>
      <x:c r="C3626" s="34" t="str">
        <x:v>Round1</x:v>
      </x:c>
      <x:c r="D3626" s="34" t="str">
        <x:v>Closure_146</x:v>
      </x:c>
      <x:c r="E3626" s="34" t="str">
        <x:v>Condition</x:v>
      </x:c>
      <x:c r="F3626" s="34" t="n">
        <x:v>122</x:v>
      </x:c>
      <x:c r="G3626" s="34" t="str">
        <x:v>RECORDED</x:v>
      </x:c>
      <x:c r="H3626" s="38" t="n">
        <x:f>IF(ISNUMBER('Data'!I210),'Data'!I210*100,"")</x:f>
        <x:v>2.46</x:v>
      </x:c>
      <x:c r="I3626" s="34" t="str">
        <x:v>PASS</x:v>
      </x:c>
      <x:c r="J3626" s="34" t="str">
        <x:v>PASS</x:v>
      </x:c>
      <x:c r="K3626" s="34" t="str">
        <x:v>PASS</x:v>
      </x:c>
      <x:c r="L3626" s="34" t="str">
        <x:v>PASS</x:v>
      </x:c>
      <x:c r="M3626" s="34" t="str">
        <x:v>numeric coverage for applicable metric</x:v>
      </x:c>
      <x:c r="N3626" s="34" t="str">
        <x:v>Feedback-Directed Random Test Generation/Result/Closure_146/result.json</x:v>
      </x:c>
      <x:c r="O3626" s="38" t="n">
        <x:f>IF(AND(G3626="RECORDED",ISNUMBER(H3626)),H3626,"")</x:f>
        <x:v>2.46</x:v>
      </x:c>
      <x:c r="P3626" s="34" t="str">
        <x:v>NOT_REVEALING</x:v>
      </x:c>
      <x:c r="Q3626" s="34" t="str">
        <x:v>Feedback-Directed Random Test Generation/Result/Closure_146/result.json</x:v>
      </x:c>
    </x:row>
    <x:row r="3627">
      <x:c r="A3627" s="34" t="str">
        <x:v>randoop</x:v>
      </x:c>
      <x:c r="B3627" s="34" t="str">
        <x:v>Closure</x:v>
      </x:c>
      <x:c r="C3627" s="34" t="str">
        <x:v>Round1</x:v>
      </x:c>
      <x:c r="D3627" s="34" t="str">
        <x:v>Closure_147</x:v>
      </x:c>
      <x:c r="E3627" s="34" t="str">
        <x:v>Condition</x:v>
      </x:c>
      <x:c r="F3627" s="34" t="n">
        <x:v>140</x:v>
      </x:c>
      <x:c r="G3627" s="34" t="str">
        <x:v>RECORDED</x:v>
      </x:c>
      <x:c r="H3627" s="38" t="n">
        <x:f>IF(ISNUMBER('Data'!I211),'Data'!I211*100,"")</x:f>
        <x:v>0.71</x:v>
      </x:c>
      <x:c r="I3627" s="34" t="str">
        <x:v>PASS</x:v>
      </x:c>
      <x:c r="J3627" s="34" t="str">
        <x:v>PASS</x:v>
      </x:c>
      <x:c r="K3627" s="34" t="str">
        <x:v>PASS</x:v>
      </x:c>
      <x:c r="L3627" s="34" t="str">
        <x:v>PASS</x:v>
      </x:c>
      <x:c r="M3627" s="34" t="str">
        <x:v>numeric coverage for applicable metric</x:v>
      </x:c>
      <x:c r="N3627" s="34" t="str">
        <x:v>Feedback-Directed Random Test Generation/Result/Closure_147/result.json</x:v>
      </x:c>
      <x:c r="O3627" s="38" t="n">
        <x:f>IF(AND(G3627="RECORDED",ISNUMBER(H3627)),H3627,"")</x:f>
        <x:v>0.71</x:v>
      </x:c>
      <x:c r="P3627" s="34" t="str">
        <x:v>NOT_REVEALING</x:v>
      </x:c>
      <x:c r="Q3627" s="34" t="str">
        <x:v>Feedback-Directed Random Test Generation/Result/Closure_147/result.json</x:v>
      </x:c>
    </x:row>
    <x:row r="3628">
      <x:c r="A3628" s="34" t="str">
        <x:v>randoop</x:v>
      </x:c>
      <x:c r="B3628" s="34" t="str">
        <x:v>Closure</x:v>
      </x:c>
      <x:c r="C3628" s="34" t="str">
        <x:v>Round1</x:v>
      </x:c>
      <x:c r="D3628" s="34" t="str">
        <x:v>Closure_148</x:v>
      </x:c>
      <x:c r="E3628" s="34" t="str">
        <x:v>Condition</x:v>
      </x:c>
      <x:c r="F3628" s="34" t="n">
        <x:v>506</x:v>
      </x:c>
      <x:c r="G3628" s="34" t="str">
        <x:v>RECORDED</x:v>
      </x:c>
      <x:c r="H3628" s="38" t="n">
        <x:f>IF(ISNUMBER('Data'!I212),'Data'!I212*100,"")</x:f>
        <x:v>0.79</x:v>
      </x:c>
      <x:c r="I3628" s="34" t="str">
        <x:v>PASS</x:v>
      </x:c>
      <x:c r="J3628" s="34" t="str">
        <x:v>PASS</x:v>
      </x:c>
      <x:c r="K3628" s="34" t="str">
        <x:v>PASS</x:v>
      </x:c>
      <x:c r="L3628" s="34" t="str">
        <x:v>PASS</x:v>
      </x:c>
      <x:c r="M3628" s="34" t="str">
        <x:v>numeric coverage for applicable metric</x:v>
      </x:c>
      <x:c r="N3628" s="34" t="str">
        <x:v>Feedback-Directed Random Test Generation/Result/Closure_148/result.json</x:v>
      </x:c>
      <x:c r="O3628" s="38" t="n">
        <x:f>IF(AND(G3628="RECORDED",ISNUMBER(H3628)),H3628,"")</x:f>
        <x:v>0.79</x:v>
      </x:c>
      <x:c r="P3628" s="34" t="str">
        <x:v>NOT_AVAILABLE</x:v>
      </x:c>
      <x:c r="Q3628" s="34" t="str">
        <x:v>Feedback-Directed Random Test Generation/Result/Closure_148/result.json</x:v>
      </x:c>
    </x:row>
    <x:row r="3629">
      <x:c r="A3629" s="34" t="str">
        <x:v>randoop</x:v>
      </x:c>
      <x:c r="B3629" s="34" t="str">
        <x:v>Closure</x:v>
      </x:c>
      <x:c r="C3629" s="34" t="str">
        <x:v>Round1</x:v>
      </x:c>
      <x:c r="D3629" s="34" t="str">
        <x:v>Closure_149</x:v>
      </x:c>
      <x:c r="E3629" s="34" t="str">
        <x:v>Condition</x:v>
      </x:c>
      <x:c r="F3629" s="34" t="n">
        <x:v>567</x:v>
      </x:c>
      <x:c r="G3629" s="34" t="str">
        <x:v>RECORDED</x:v>
      </x:c>
      <x:c r="H3629" s="38" t="n">
        <x:f>IF(ISNUMBER('Data'!I213),'Data'!I213*100,"")</x:f>
        <x:v>0.71</x:v>
      </x:c>
      <x:c r="I3629" s="34" t="str">
        <x:v>PASS</x:v>
      </x:c>
      <x:c r="J3629" s="34" t="str">
        <x:v>PASS</x:v>
      </x:c>
      <x:c r="K3629" s="34" t="str">
        <x:v>PASS</x:v>
      </x:c>
      <x:c r="L3629" s="34" t="str">
        <x:v>FAIL</x:v>
      </x:c>
      <x:c r="M3629" s="34" t="str">
        <x:v>numeric coverage for applicable metric</x:v>
      </x:c>
      <x:c r="N3629" s="34" t="str">
        <x:v>Feedback-Directed Random Test Generation/Result/Closure_149/result.json</x:v>
      </x:c>
      <x:c r="O3629" s="38" t="n">
        <x:f>IF(AND(G3629="RECORDED",ISNUMBER(H3629)),H3629,"")</x:f>
        <x:v>0.71</x:v>
      </x:c>
      <x:c r="P3629" s="34" t="str">
        <x:v>INCONCLUSIVE</x:v>
      </x:c>
      <x:c r="Q3629" s="34" t="str">
        <x:v>Feedback-Directed Random Test Generation/Result/Closure_149/result.json</x:v>
      </x:c>
    </x:row>
    <x:row r="3630">
      <x:c r="A3630" s="34" t="str">
        <x:v>randoop</x:v>
      </x:c>
      <x:c r="B3630" s="34" t="str">
        <x:v>Closure</x:v>
      </x:c>
      <x:c r="C3630" s="34" t="str">
        <x:v>Round1</x:v>
      </x:c>
      <x:c r="D3630" s="34" t="str">
        <x:v>Closure_150</x:v>
      </x:c>
      <x:c r="E3630" s="34" t="str">
        <x:v>Condition</x:v>
      </x:c>
      <x:c r="F3630" s="34" t="n">
        <x:v>492</x:v>
      </x:c>
      <x:c r="G3630" s="34" t="str">
        <x:v>RECORDED</x:v>
      </x:c>
      <x:c r="H3630" s="38" t="n">
        <x:f>IF(ISNUMBER('Data'!I214),'Data'!I214*100,"")</x:f>
        <x:v>0</x:v>
      </x:c>
      <x:c r="I3630" s="34" t="str">
        <x:v>PASS</x:v>
      </x:c>
      <x:c r="J3630" s="34" t="str">
        <x:v>PASS</x:v>
      </x:c>
      <x:c r="K3630" s="34" t="str">
        <x:v>PASS</x:v>
      </x:c>
      <x:c r="L3630" s="34" t="str">
        <x:v>PASS</x:v>
      </x:c>
      <x:c r="M3630" s="34" t="str">
        <x:v>numeric coverage for applicable metric</x:v>
      </x:c>
      <x:c r="N3630" s="34" t="str">
        <x:v>Feedback-Directed Random Test Generation/Result/Closure_150/result.json</x:v>
      </x:c>
      <x:c r="O3630" s="38" t="n">
        <x:f>IF(AND(G3630="RECORDED",ISNUMBER(H3630)),H3630,"")</x:f>
        <x:v>0</x:v>
      </x:c>
      <x:c r="P3630" s="34" t="str">
        <x:v>NOT_REVEALING</x:v>
      </x:c>
      <x:c r="Q3630" s="34" t="str">
        <x:v>Feedback-Directed Random Test Generation/Result/Closure_150/result.json</x:v>
      </x:c>
    </x:row>
    <x:row r="3631">
      <x:c r="A3631" s="34" t="str">
        <x:v>randoop</x:v>
      </x:c>
      <x:c r="B3631" s="34" t="str">
        <x:v>Closure</x:v>
      </x:c>
      <x:c r="C3631" s="34" t="str">
        <x:v>Round1</x:v>
      </x:c>
      <x:c r="D3631" s="34" t="str">
        <x:v>Closure_151</x:v>
      </x:c>
      <x:c r="E3631" s="34" t="str">
        <x:v>Condition</x:v>
      </x:c>
      <x:c r="F3631" s="34" t="n">
        <x:v>34</x:v>
      </x:c>
      <x:c r="G3631" s="34" t="str">
        <x:v>RECORDED</x:v>
      </x:c>
      <x:c r="H3631" s="38" t="n">
        <x:f>IF(ISNUMBER('Data'!I215),'Data'!I215*100,"")</x:f>
        <x:v>17.65</x:v>
      </x:c>
      <x:c r="I3631" s="34" t="str">
        <x:v>PASS</x:v>
      </x:c>
      <x:c r="J3631" s="34" t="str">
        <x:v>PASS</x:v>
      </x:c>
      <x:c r="K3631" s="34" t="str">
        <x:v>PASS</x:v>
      </x:c>
      <x:c r="L3631" s="34" t="str">
        <x:v>FAIL</x:v>
      </x:c>
      <x:c r="M3631" s="34" t="str">
        <x:v>numeric coverage for applicable metric</x:v>
      </x:c>
      <x:c r="N3631" s="34" t="str">
        <x:v>Feedback-Directed Random Test Generation/Result/Closure_151/result.json</x:v>
      </x:c>
      <x:c r="O3631" s="38" t="n">
        <x:f>IF(AND(G3631="RECORDED",ISNUMBER(H3631)),H3631,"")</x:f>
        <x:v>17.65</x:v>
      </x:c>
      <x:c r="P3631" s="34" t="str">
        <x:v>INCONCLUSIVE</x:v>
      </x:c>
      <x:c r="Q3631" s="34" t="str">
        <x:v>Feedback-Directed Random Test Generation/Result/Closure_151/result.json</x:v>
      </x:c>
    </x:row>
    <x:row r="3632">
      <x:c r="A3632" s="34" t="str">
        <x:v>randoop</x:v>
      </x:c>
      <x:c r="B3632" s="34" t="str">
        <x:v>Closure</x:v>
      </x:c>
      <x:c r="C3632" s="34" t="str">
        <x:v>Round1</x:v>
      </x:c>
      <x:c r="D3632" s="34" t="str">
        <x:v>Closure_152</x:v>
      </x:c>
      <x:c r="E3632" s="34" t="str">
        <x:v>Condition</x:v>
      </x:c>
      <x:c r="F3632" s="34" t="n">
        <x:v>282</x:v>
      </x:c>
      <x:c r="G3632" s="34" t="str">
        <x:v>RECORDED</x:v>
      </x:c>
      <x:c r="H3632" s="38" t="n">
        <x:f>IF(ISNUMBER('Data'!I216),'Data'!I216*100,"")</x:f>
        <x:v>0</x:v>
      </x:c>
      <x:c r="I3632" s="34" t="str">
        <x:v>PASS</x:v>
      </x:c>
      <x:c r="J3632" s="34" t="str">
        <x:v>PASS</x:v>
      </x:c>
      <x:c r="K3632" s="34" t="str">
        <x:v>PASS</x:v>
      </x:c>
      <x:c r="L3632" s="34" t="str">
        <x:v>PASS</x:v>
      </x:c>
      <x:c r="M3632" s="34" t="str">
        <x:v>numeric coverage for applicable metric</x:v>
      </x:c>
      <x:c r="N3632" s="34" t="str">
        <x:v>Feedback-Directed Random Test Generation/Result/Closure_152/result.json</x:v>
      </x:c>
      <x:c r="O3632" s="38" t="n">
        <x:f>IF(AND(G3632="RECORDED",ISNUMBER(H3632)),H3632,"")</x:f>
        <x:v>0</x:v>
      </x:c>
      <x:c r="P3632" s="34" t="str">
        <x:v>NOT_REVEALING</x:v>
      </x:c>
      <x:c r="Q3632" s="34" t="str">
        <x:v>Feedback-Directed Random Test Generation/Result/Closure_152/result.json</x:v>
      </x:c>
    </x:row>
    <x:row r="3633">
      <x:c r="A3633" s="34" t="str">
        <x:v>randoop</x:v>
      </x:c>
      <x:c r="B3633" s="34" t="str">
        <x:v>Closure</x:v>
      </x:c>
      <x:c r="C3633" s="34" t="str">
        <x:v>Round1</x:v>
      </x:c>
      <x:c r="D3633" s="34" t="str">
        <x:v>Closure_153</x:v>
      </x:c>
      <x:c r="E3633" s="34" t="str">
        <x:v>Condition</x:v>
      </x:c>
      <x:c r="F3633" s="34" t="n">
        <x:v>220</x:v>
      </x:c>
      <x:c r="G3633" s="34" t="str">
        <x:v>RECORDED</x:v>
      </x:c>
      <x:c r="H3633" s="38" t="n">
        <x:f>IF(ISNUMBER('Data'!I217),'Data'!I217*100,"")</x:f>
        <x:v>0.45000000000000007</x:v>
      </x:c>
      <x:c r="I3633" s="34" t="str">
        <x:v>PASS</x:v>
      </x:c>
      <x:c r="J3633" s="34" t="str">
        <x:v>PASS</x:v>
      </x:c>
      <x:c r="K3633" s="34" t="str">
        <x:v>PASS</x:v>
      </x:c>
      <x:c r="L3633" s="34" t="str">
        <x:v>PASS</x:v>
      </x:c>
      <x:c r="M3633" s="34" t="str">
        <x:v>numeric coverage for applicable metric</x:v>
      </x:c>
      <x:c r="N3633" s="34" t="str">
        <x:v>Feedback-Directed Random Test Generation/Result/Closure_153/result.json</x:v>
      </x:c>
      <x:c r="O3633" s="38" t="n">
        <x:f>IF(AND(G3633="RECORDED",ISNUMBER(H3633)),H3633,"")</x:f>
        <x:v>0.45000000000000007</x:v>
      </x:c>
      <x:c r="P3633" s="34" t="str">
        <x:v>NOT_REVEALING</x:v>
      </x:c>
      <x:c r="Q3633" s="34" t="str">
        <x:v>Feedback-Directed Random Test Generation/Result/Closure_153/result.json</x:v>
      </x:c>
    </x:row>
    <x:row r="3634">
      <x:c r="A3634" s="34" t="str">
        <x:v>randoop</x:v>
      </x:c>
      <x:c r="B3634" s="34" t="str">
        <x:v>Closure</x:v>
      </x:c>
      <x:c r="C3634" s="34" t="str">
        <x:v>Round1</x:v>
      </x:c>
      <x:c r="D3634" s="34" t="str">
        <x:v>Closure_154</x:v>
      </x:c>
      <x:c r="E3634" s="34" t="str">
        <x:v>Condition</x:v>
      </x:c>
      <x:c r="F3634" s="34" t="n">
        <x:v>663</x:v>
      </x:c>
      <x:c r="G3634" s="34" t="str">
        <x:v>RECORDED</x:v>
      </x:c>
      <x:c r="H3634" s="38" t="n">
        <x:f>IF(ISNUMBER('Data'!I218),'Data'!I218*100,"")</x:f>
        <x:v>0</x:v>
      </x:c>
      <x:c r="I3634" s="34" t="str">
        <x:v>PASS</x:v>
      </x:c>
      <x:c r="J3634" s="34" t="str">
        <x:v>PASS</x:v>
      </x:c>
      <x:c r="K3634" s="34" t="str">
        <x:v>PASS</x:v>
      </x:c>
      <x:c r="L3634" s="34" t="str">
        <x:v>PASS</x:v>
      </x:c>
      <x:c r="M3634" s="34" t="str">
        <x:v>numeric coverage for applicable metric</x:v>
      </x:c>
      <x:c r="N3634" s="34" t="str">
        <x:v>Feedback-Directed Random Test Generation/Result/Closure_154/result.json</x:v>
      </x:c>
      <x:c r="O3634" s="38" t="n">
        <x:f>IF(AND(G3634="RECORDED",ISNUMBER(H3634)),H3634,"")</x:f>
        <x:v>0</x:v>
      </x:c>
      <x:c r="P3634" s="34" t="str">
        <x:v>NOT_AVAILABLE</x:v>
      </x:c>
      <x:c r="Q3634" s="34" t="str">
        <x:v>Feedback-Directed Random Test Generation/Result/Closure_154/result.json</x:v>
      </x:c>
    </x:row>
    <x:row r="3635">
      <x:c r="A3635" s="34" t="str">
        <x:v>randoop</x:v>
      </x:c>
      <x:c r="B3635" s="34" t="str">
        <x:v>Closure</x:v>
      </x:c>
      <x:c r="C3635" s="34" t="str">
        <x:v>Round1</x:v>
      </x:c>
      <x:c r="D3635" s="34" t="str">
        <x:v>Closure_155</x:v>
      </x:c>
      <x:c r="E3635" s="34" t="str">
        <x:v>Condition</x:v>
      </x:c>
      <x:c r="F3635" s="34" t="n">
        <x:v>419</x:v>
      </x:c>
      <x:c r="G3635" s="34" t="str">
        <x:v>RECORDED</x:v>
      </x:c>
      <x:c r="H3635" s="38" t="n">
        <x:f>IF(ISNUMBER('Data'!I219),'Data'!I219*100,"")</x:f>
        <x:v>6.92</x:v>
      </x:c>
      <x:c r="I3635" s="34" t="str">
        <x:v>PASS</x:v>
      </x:c>
      <x:c r="J3635" s="34" t="str">
        <x:v>PASS</x:v>
      </x:c>
      <x:c r="K3635" s="34" t="str">
        <x:v>PASS</x:v>
      </x:c>
      <x:c r="L3635" s="34" t="str">
        <x:v>FAIL</x:v>
      </x:c>
      <x:c r="M3635" s="34" t="str">
        <x:v>numeric coverage for applicable metric</x:v>
      </x:c>
      <x:c r="N3635" s="34" t="str">
        <x:v>Feedback-Directed Random Test Generation/Result/Closure_155/result.json</x:v>
      </x:c>
      <x:c r="O3635" s="38" t="n">
        <x:f>IF(AND(G3635="RECORDED",ISNUMBER(H3635)),H3635,"")</x:f>
        <x:v>6.92</x:v>
      </x:c>
      <x:c r="P3635" s="34" t="str">
        <x:v>INCONCLUSIVE</x:v>
      </x:c>
      <x:c r="Q3635" s="34" t="str">
        <x:v>Feedback-Directed Random Test Generation/Result/Closure_155/result.json</x:v>
      </x:c>
    </x:row>
    <x:row r="3636">
      <x:c r="A3636" s="34" t="str">
        <x:v>randoop</x:v>
      </x:c>
      <x:c r="B3636" s="34" t="str">
        <x:v>Closure</x:v>
      </x:c>
      <x:c r="C3636" s="34" t="str">
        <x:v>Round1</x:v>
      </x:c>
      <x:c r="D3636" s="34" t="str">
        <x:v>Closure_156</x:v>
      </x:c>
      <x:c r="E3636" s="34" t="str">
        <x:v>Condition</x:v>
      </x:c>
      <x:c r="F3636" s="34" t="n">
        <x:v>240</x:v>
      </x:c>
      <x:c r="G3636" s="34" t="str">
        <x:v>RECORDED</x:v>
      </x:c>
      <x:c r="H3636" s="38" t="n">
        <x:f>IF(ISNUMBER('Data'!I220),'Data'!I220*100,"")</x:f>
        <x:v>1.67</x:v>
      </x:c>
      <x:c r="I3636" s="34" t="str">
        <x:v>PASS</x:v>
      </x:c>
      <x:c r="J3636" s="34" t="str">
        <x:v>PASS</x:v>
      </x:c>
      <x:c r="K3636" s="34" t="str">
        <x:v>PASS</x:v>
      </x:c>
      <x:c r="L3636" s="34" t="str">
        <x:v>PASS</x:v>
      </x:c>
      <x:c r="M3636" s="34" t="str">
        <x:v>numeric coverage for applicable metric</x:v>
      </x:c>
      <x:c r="N3636" s="34" t="str">
        <x:v>Feedback-Directed Random Test Generation/Result/Closure_156/result.json</x:v>
      </x:c>
      <x:c r="O3636" s="38" t="n">
        <x:f>IF(AND(G3636="RECORDED",ISNUMBER(H3636)),H3636,"")</x:f>
        <x:v>1.67</x:v>
      </x:c>
      <x:c r="P3636" s="34" t="str">
        <x:v>NOT_REVEALING</x:v>
      </x:c>
      <x:c r="Q3636" s="34" t="str">
        <x:v>Feedback-Directed Random Test Generation/Result/Closure_156/result.json</x:v>
      </x:c>
    </x:row>
    <x:row r="3637">
      <x:c r="A3637" s="34" t="str">
        <x:v>randoop</x:v>
      </x:c>
      <x:c r="B3637" s="34" t="str">
        <x:v>Closure</x:v>
      </x:c>
      <x:c r="C3637" s="34" t="str">
        <x:v>Round1</x:v>
      </x:c>
      <x:c r="D3637" s="34" t="str">
        <x:v>Closure_157</x:v>
      </x:c>
      <x:c r="E3637" s="34" t="str">
        <x:v>Condition</x:v>
      </x:c>
      <x:c r="F3637" s="34" t="n">
        <x:v>862</x:v>
      </x:c>
      <x:c r="G3637" s="34" t="str">
        <x:v>RECORDED</x:v>
      </x:c>
      <x:c r="H3637" s="38" t="n">
        <x:f>IF(ISNUMBER('Data'!I221),'Data'!I221*100,"")</x:f>
        <x:v>2.67</x:v>
      </x:c>
      <x:c r="I3637" s="34" t="str">
        <x:v>PASS</x:v>
      </x:c>
      <x:c r="J3637" s="34" t="str">
        <x:v>PASS</x:v>
      </x:c>
      <x:c r="K3637" s="34" t="str">
        <x:v>PASS</x:v>
      </x:c>
      <x:c r="L3637" s="34" t="str">
        <x:v>PASS</x:v>
      </x:c>
      <x:c r="M3637" s="34" t="str">
        <x:v>numeric coverage for applicable metric</x:v>
      </x:c>
      <x:c r="N3637" s="34" t="str">
        <x:v>Feedback-Directed Random Test Generation/Result/Closure_157/result.json</x:v>
      </x:c>
      <x:c r="O3637" s="38" t="n">
        <x:f>IF(AND(G3637="RECORDED",ISNUMBER(H3637)),H3637,"")</x:f>
        <x:v>2.67</x:v>
      </x:c>
      <x:c r="P3637" s="34" t="str">
        <x:v>NOT_REVEALING</x:v>
      </x:c>
      <x:c r="Q3637" s="34" t="str">
        <x:v>Feedback-Directed Random Test Generation/Result/Closure_157/result.json</x:v>
      </x:c>
    </x:row>
    <x:row r="3638">
      <x:c r="A3638" s="34" t="str">
        <x:v>randoop</x:v>
      </x:c>
      <x:c r="B3638" s="34" t="str">
        <x:v>Closure</x:v>
      </x:c>
      <x:c r="C3638" s="34" t="str">
        <x:v>Round1</x:v>
      </x:c>
      <x:c r="D3638" s="34" t="str">
        <x:v>Closure_158</x:v>
      </x:c>
      <x:c r="E3638" s="34" t="str">
        <x:v>Condition</x:v>
      </x:c>
      <x:c r="F3638" s="34" t="n">
        <x:v>329</x:v>
      </x:c>
      <x:c r="G3638" s="34" t="str">
        <x:v>RECORDED</x:v>
      </x:c>
      <x:c r="H3638" s="38" t="n">
        <x:f>IF(ISNUMBER('Data'!I222),'Data'!I222*100,"")</x:f>
        <x:v>0.3</x:v>
      </x:c>
      <x:c r="I3638" s="34" t="str">
        <x:v>PASS</x:v>
      </x:c>
      <x:c r="J3638" s="34" t="str">
        <x:v>PASS</x:v>
      </x:c>
      <x:c r="K3638" s="34" t="str">
        <x:v>PASS</x:v>
      </x:c>
      <x:c r="L3638" s="34" t="str">
        <x:v>PASS</x:v>
      </x:c>
      <x:c r="M3638" s="34" t="str">
        <x:v>numeric coverage for applicable metric</x:v>
      </x:c>
      <x:c r="N3638" s="34" t="str">
        <x:v>Feedback-Directed Random Test Generation/Result/Closure_158/result.json</x:v>
      </x:c>
      <x:c r="O3638" s="38" t="n">
        <x:f>IF(AND(G3638="RECORDED",ISNUMBER(H3638)),H3638,"")</x:f>
        <x:v>0.3</x:v>
      </x:c>
      <x:c r="P3638" s="34" t="str">
        <x:v>NOT_REVEALING</x:v>
      </x:c>
      <x:c r="Q3638" s="34" t="str">
        <x:v>Feedback-Directed Random Test Generation/Result/Closure_158/result.json</x:v>
      </x:c>
    </x:row>
    <x:row r="3639">
      <x:c r="A3639" s="34" t="str">
        <x:v>randoop</x:v>
      </x:c>
      <x:c r="B3639" s="34" t="str">
        <x:v>Closure</x:v>
      </x:c>
      <x:c r="C3639" s="34" t="str">
        <x:v>Round1</x:v>
      </x:c>
      <x:c r="D3639" s="34" t="str">
        <x:v>Closure_159</x:v>
      </x:c>
      <x:c r="E3639" s="34" t="str">
        <x:v>Condition</x:v>
      </x:c>
      <x:c r="F3639" s="34" t="n">
        <x:v>265</x:v>
      </x:c>
      <x:c r="G3639" s="34" t="str">
        <x:v>RECORDED</x:v>
      </x:c>
      <x:c r="H3639" s="38" t="n">
        <x:f>IF(ISNUMBER('Data'!I223),'Data'!I223*100,"")</x:f>
        <x:v>0.38</x:v>
      </x:c>
      <x:c r="I3639" s="34" t="str">
        <x:v>PASS</x:v>
      </x:c>
      <x:c r="J3639" s="34" t="str">
        <x:v>PASS</x:v>
      </x:c>
      <x:c r="K3639" s="34" t="str">
        <x:v>PASS</x:v>
      </x:c>
      <x:c r="L3639" s="34" t="str">
        <x:v>PASS</x:v>
      </x:c>
      <x:c r="M3639" s="34" t="str">
        <x:v>numeric coverage for applicable metric</x:v>
      </x:c>
      <x:c r="N3639" s="34" t="str">
        <x:v>Feedback-Directed Random Test Generation/Result/Closure_159/result.json</x:v>
      </x:c>
      <x:c r="O3639" s="38" t="n">
        <x:f>IF(AND(G3639="RECORDED",ISNUMBER(H3639)),H3639,"")</x:f>
        <x:v>0.38</x:v>
      </x:c>
      <x:c r="P3639" s="34" t="str">
        <x:v>NOT_REVEALING</x:v>
      </x:c>
      <x:c r="Q3639" s="34" t="str">
        <x:v>Feedback-Directed Random Test Generation/Result/Closure_159/result.json</x:v>
      </x:c>
    </x:row>
    <x:row r="3640">
      <x:c r="A3640" s="34" t="str">
        <x:v>randoop</x:v>
      </x:c>
      <x:c r="B3640" s="34" t="str">
        <x:v>Closure</x:v>
      </x:c>
      <x:c r="C3640" s="34" t="str">
        <x:v>Round1</x:v>
      </x:c>
      <x:c r="D3640" s="34" t="str">
        <x:v>Closure_160</x:v>
      </x:c>
      <x:c r="E3640" s="34" t="str">
        <x:v>Condition</x:v>
      </x:c>
      <x:c r="F3640" s="34" t="n">
        <x:v>322</x:v>
      </x:c>
      <x:c r="G3640" s="34" t="str">
        <x:v>RECORDED</x:v>
      </x:c>
      <x:c r="H3640" s="38" t="n">
        <x:f>IF(ISNUMBER('Data'!I224),'Data'!I224*100,"")</x:f>
        <x:v>36.96</x:v>
      </x:c>
      <x:c r="I3640" s="34" t="str">
        <x:v>PASS</x:v>
      </x:c>
      <x:c r="J3640" s="34" t="str">
        <x:v>PASS</x:v>
      </x:c>
      <x:c r="K3640" s="34" t="str">
        <x:v>PASS</x:v>
      </x:c>
      <x:c r="L3640" s="34" t="str">
        <x:v>FAIL</x:v>
      </x:c>
      <x:c r="M3640" s="34" t="str">
        <x:v>numeric coverage for applicable metric</x:v>
      </x:c>
      <x:c r="N3640" s="34" t="str">
        <x:v>Feedback-Directed Random Test Generation/Result/Closure_160/result.json</x:v>
      </x:c>
      <x:c r="O3640" s="38" t="n">
        <x:f>IF(AND(G3640="RECORDED",ISNUMBER(H3640)),H3640,"")</x:f>
        <x:v>36.96</x:v>
      </x:c>
      <x:c r="P3640" s="34" t="str">
        <x:v>INCONCLUSIVE</x:v>
      </x:c>
      <x:c r="Q3640" s="34" t="str">
        <x:v>Feedback-Directed Random Test Generation/Result/Closure_160/result.json</x:v>
      </x:c>
    </x:row>
    <x:row r="3641">
      <x:c r="A3641" s="34" t="str">
        <x:v>randoop</x:v>
      </x:c>
      <x:c r="B3641" s="34" t="str">
        <x:v>Closure</x:v>
      </x:c>
      <x:c r="C3641" s="34" t="str">
        <x:v>Round1</x:v>
      </x:c>
      <x:c r="D3641" s="34" t="str">
        <x:v>Closure_161</x:v>
      </x:c>
      <x:c r="E3641" s="34" t="str">
        <x:v>Condition</x:v>
      </x:c>
      <x:c r="F3641" s="34" t="n">
        <x:v>498</x:v>
      </x:c>
      <x:c r="G3641" s="34" t="str">
        <x:v>RECORDED</x:v>
      </x:c>
      <x:c r="H3641" s="38" t="n">
        <x:f>IF(ISNUMBER('Data'!I225),'Data'!I225*100,"")</x:f>
        <x:v>0</x:v>
      </x:c>
      <x:c r="I3641" s="34" t="str">
        <x:v>PASS</x:v>
      </x:c>
      <x:c r="J3641" s="34" t="str">
        <x:v>PASS</x:v>
      </x:c>
      <x:c r="K3641" s="34" t="str">
        <x:v>PASS</x:v>
      </x:c>
      <x:c r="L3641" s="34" t="str">
        <x:v>PASS</x:v>
      </x:c>
      <x:c r="M3641" s="34" t="str">
        <x:v>numeric coverage for applicable metric</x:v>
      </x:c>
      <x:c r="N3641" s="34" t="str">
        <x:v>Feedback-Directed Random Test Generation/Result/Closure_161/result.json</x:v>
      </x:c>
      <x:c r="O3641" s="38" t="n">
        <x:f>IF(AND(G3641="RECORDED",ISNUMBER(H3641)),H3641,"")</x:f>
        <x:v>0</x:v>
      </x:c>
      <x:c r="P3641" s="34" t="str">
        <x:v>NOT_REVEALING</x:v>
      </x:c>
      <x:c r="Q3641" s="34" t="str">
        <x:v>Feedback-Directed Random Test Generation/Result/Closure_161/result.json</x:v>
      </x:c>
    </x:row>
    <x:row r="3642">
      <x:c r="A3642" s="34" t="str">
        <x:v>randoop</x:v>
      </x:c>
      <x:c r="B3642" s="34" t="str">
        <x:v>Closure</x:v>
      </x:c>
      <x:c r="C3642" s="34" t="str">
        <x:v>Round1</x:v>
      </x:c>
      <x:c r="D3642" s="34" t="str">
        <x:v>Closure_162</x:v>
      </x:c>
      <x:c r="E3642" s="34" t="str">
        <x:v>Condition</x:v>
      </x:c>
      <x:c r="F3642" s="34" t="n">
        <x:v>180</x:v>
      </x:c>
      <x:c r="G3642" s="34" t="str">
        <x:v>RECORDED</x:v>
      </x:c>
      <x:c r="H3642" s="38" t="n">
        <x:f>IF(ISNUMBER('Data'!I226),'Data'!I226*100,"")</x:f>
        <x:v>16.11</x:v>
      </x:c>
      <x:c r="I3642" s="34" t="str">
        <x:v>PASS</x:v>
      </x:c>
      <x:c r="J3642" s="34" t="str">
        <x:v>PASS</x:v>
      </x:c>
      <x:c r="K3642" s="34" t="str">
        <x:v>PASS</x:v>
      </x:c>
      <x:c r="L3642" s="34" t="str">
        <x:v>FAIL</x:v>
      </x:c>
      <x:c r="M3642" s="34" t="str">
        <x:v>numeric coverage for applicable metric</x:v>
      </x:c>
      <x:c r="N3642" s="34" t="str">
        <x:v>Feedback-Directed Random Test Generation/Result/Closure_162/result.json</x:v>
      </x:c>
      <x:c r="O3642" s="38" t="n">
        <x:f>IF(AND(G3642="RECORDED",ISNUMBER(H3642)),H3642,"")</x:f>
        <x:v>16.11</x:v>
      </x:c>
      <x:c r="P3642" s="34" t="str">
        <x:v>INCONCLUSIVE</x:v>
      </x:c>
      <x:c r="Q3642" s="34" t="str">
        <x:v>Feedback-Directed Random Test Generation/Result/Closure_162/result.json</x:v>
      </x:c>
    </x:row>
    <x:row r="3643">
      <x:c r="A3643" s="34" t="str">
        <x:v>randoop</x:v>
      </x:c>
      <x:c r="B3643" s="34" t="str">
        <x:v>Closure</x:v>
      </x:c>
      <x:c r="C3643" s="34" t="str">
        <x:v>Round1</x:v>
      </x:c>
      <x:c r="D3643" s="34" t="str">
        <x:v>Closure_163</x:v>
      </x:c>
      <x:c r="E3643" s="34" t="str">
        <x:v>Condition</x:v>
      </x:c>
      <x:c r="F3643" s="34" t="n">
        <x:v>173</x:v>
      </x:c>
      <x:c r="G3643" s="34" t="str">
        <x:v>RECORDED</x:v>
      </x:c>
      <x:c r="H3643" s="38" t="n">
        <x:f>IF(ISNUMBER('Data'!I227),'Data'!I227*100,"")</x:f>
        <x:v>7.51</x:v>
      </x:c>
      <x:c r="I3643" s="34" t="str">
        <x:v>PASS</x:v>
      </x:c>
      <x:c r="J3643" s="34" t="str">
        <x:v>PASS</x:v>
      </x:c>
      <x:c r="K3643" s="34" t="str">
        <x:v>PASS</x:v>
      </x:c>
      <x:c r="L3643" s="34" t="str">
        <x:v>PASS</x:v>
      </x:c>
      <x:c r="M3643" s="34" t="str">
        <x:v>numeric coverage for applicable metric</x:v>
      </x:c>
      <x:c r="N3643" s="34" t="str">
        <x:v>Feedback-Directed Random Test Generation/Result/Closure_163/result.json</x:v>
      </x:c>
      <x:c r="O3643" s="38" t="n">
        <x:f>IF(AND(G3643="RECORDED",ISNUMBER(H3643)),H3643,"")</x:f>
        <x:v>7.51</x:v>
      </x:c>
      <x:c r="P3643" s="34" t="str">
        <x:v>NOT_AVAILABLE</x:v>
      </x:c>
      <x:c r="Q3643" s="34" t="str">
        <x:v>Feedback-Directed Random Test Generation/Result/Closure_163/result.json</x:v>
      </x:c>
    </x:row>
    <x:row r="3644">
      <x:c r="A3644" s="34" t="str">
        <x:v>randoop</x:v>
      </x:c>
      <x:c r="B3644" s="34" t="str">
        <x:v>Closure</x:v>
      </x:c>
      <x:c r="C3644" s="34" t="str">
        <x:v>Round1</x:v>
      </x:c>
      <x:c r="D3644" s="34" t="str">
        <x:v>Closure_164</x:v>
      </x:c>
      <x:c r="E3644" s="34" t="str">
        <x:v>Condition</x:v>
      </x:c>
      <x:c r="F3644" s="34" t="n">
        <x:v>70</x:v>
      </x:c>
      <x:c r="G3644" s="34" t="str">
        <x:v>RECORDED</x:v>
      </x:c>
      <x:c r="H3644" s="38" t="n">
        <x:f>IF(ISNUMBER('Data'!I228),'Data'!I228*100,"")</x:f>
        <x:v>1.43</x:v>
      </x:c>
      <x:c r="I3644" s="34" t="str">
        <x:v>PASS</x:v>
      </x:c>
      <x:c r="J3644" s="34" t="str">
        <x:v>PASS</x:v>
      </x:c>
      <x:c r="K3644" s="34" t="str">
        <x:v>PASS</x:v>
      </x:c>
      <x:c r="L3644" s="34" t="str">
        <x:v>PASS</x:v>
      </x:c>
      <x:c r="M3644" s="34" t="str">
        <x:v>numeric coverage for applicable metric</x:v>
      </x:c>
      <x:c r="N3644" s="34" t="str">
        <x:v>Feedback-Directed Random Test Generation/Result/Closure_164/result.json</x:v>
      </x:c>
      <x:c r="O3644" s="38" t="n">
        <x:f>IF(AND(G3644="RECORDED",ISNUMBER(H3644)),H3644,"")</x:f>
        <x:v>1.43</x:v>
      </x:c>
      <x:c r="P3644" s="34" t="str">
        <x:v>NOT_REVEALING</x:v>
      </x:c>
      <x:c r="Q3644" s="34" t="str">
        <x:v>Feedback-Directed Random Test Generation/Result/Closure_164/result.json</x:v>
      </x:c>
    </x:row>
    <x:row r="3645">
      <x:c r="A3645" s="34" t="str">
        <x:v>randoop</x:v>
      </x:c>
      <x:c r="B3645" s="34" t="str">
        <x:v>Closure</x:v>
      </x:c>
      <x:c r="C3645" s="34" t="str">
        <x:v>Round1</x:v>
      </x:c>
      <x:c r="D3645" s="34" t="str">
        <x:v>Closure_165</x:v>
      </x:c>
      <x:c r="E3645" s="34" t="str">
        <x:v>Condition</x:v>
      </x:c>
      <x:c r="F3645" s="34" t="n">
        <x:v>287</x:v>
      </x:c>
      <x:c r="G3645" s="34" t="str">
        <x:v>RECORDED</x:v>
      </x:c>
      <x:c r="H3645" s="38" t="n">
        <x:f>IF(ISNUMBER('Data'!I229),'Data'!I229*100,"")</x:f>
        <x:v>39.72</x:v>
      </x:c>
      <x:c r="I3645" s="34" t="str">
        <x:v>PASS</x:v>
      </x:c>
      <x:c r="J3645" s="34" t="str">
        <x:v>PASS</x:v>
      </x:c>
      <x:c r="K3645" s="34" t="str">
        <x:v>PASS</x:v>
      </x:c>
      <x:c r="L3645" s="34" t="str">
        <x:v>PASS</x:v>
      </x:c>
      <x:c r="M3645" s="34" t="str">
        <x:v>numeric coverage for applicable metric</x:v>
      </x:c>
      <x:c r="N3645" s="34" t="str">
        <x:v>Feedback-Directed Random Test Generation/Result/Closure_165/result.json</x:v>
      </x:c>
      <x:c r="O3645" s="38" t="n">
        <x:f>IF(AND(G3645="RECORDED",ISNUMBER(H3645)),H3645,"")</x:f>
        <x:v>39.72</x:v>
      </x:c>
      <x:c r="P3645" s="34" t="str">
        <x:v>NOT_REVEALING</x:v>
      </x:c>
      <x:c r="Q3645" s="34" t="str">
        <x:v>Feedback-Directed Random Test Generation/Result/Closure_165/result.json</x:v>
      </x:c>
    </x:row>
    <x:row r="3646">
      <x:c r="A3646" s="34" t="str">
        <x:v>randoop</x:v>
      </x:c>
      <x:c r="B3646" s="34" t="str">
        <x:v>Closure</x:v>
      </x:c>
      <x:c r="C3646" s="34" t="str">
        <x:v>Round1</x:v>
      </x:c>
      <x:c r="D3646" s="34" t="str">
        <x:v>Closure_166</x:v>
      </x:c>
      <x:c r="E3646" s="34" t="str">
        <x:v>Condition</x:v>
      </x:c>
      <x:c r="F3646" s="34" t="n">
        <x:v>182</x:v>
      </x:c>
      <x:c r="G3646" s="34" t="str">
        <x:v>RECORDED</x:v>
      </x:c>
      <x:c r="H3646" s="38" t="n">
        <x:f>IF(ISNUMBER('Data'!I230),'Data'!I230*100,"")</x:f>
        <x:v>44.51</x:v>
      </x:c>
      <x:c r="I3646" s="34" t="str">
        <x:v>PASS</x:v>
      </x:c>
      <x:c r="J3646" s="34" t="str">
        <x:v>PASS</x:v>
      </x:c>
      <x:c r="K3646" s="34" t="str">
        <x:v>PASS</x:v>
      </x:c>
      <x:c r="L3646" s="34" t="str">
        <x:v>PASS</x:v>
      </x:c>
      <x:c r="M3646" s="34" t="str">
        <x:v>numeric coverage for applicable metric</x:v>
      </x:c>
      <x:c r="N3646" s="34" t="str">
        <x:v>Feedback-Directed Random Test Generation/Result/Closure_166/result.json</x:v>
      </x:c>
      <x:c r="O3646" s="38" t="n">
        <x:f>IF(AND(G3646="RECORDED",ISNUMBER(H3646)),H3646,"")</x:f>
        <x:v>44.51</x:v>
      </x:c>
      <x:c r="P3646" s="34" t="str">
        <x:v>NOT_REVEALING</x:v>
      </x:c>
      <x:c r="Q3646" s="34" t="str">
        <x:v>Feedback-Directed Random Test Generation/Result/Closure_166/result.json</x:v>
      </x:c>
    </x:row>
    <x:row r="3647">
      <x:c r="A3647" s="34" t="str">
        <x:v>randoop</x:v>
      </x:c>
      <x:c r="B3647" s="34" t="str">
        <x:v>Closure</x:v>
      </x:c>
      <x:c r="C3647" s="34" t="str">
        <x:v>Round1</x:v>
      </x:c>
      <x:c r="D3647" s="34" t="str">
        <x:v>Closure_167</x:v>
      </x:c>
      <x:c r="E3647" s="34" t="str">
        <x:v>Condition</x:v>
      </x:c>
      <x:c r="F3647" s="34" t="n">
        <x:v>376</x:v>
      </x:c>
      <x:c r="G3647" s="34" t="str">
        <x:v>RECORDED</x:v>
      </x:c>
      <x:c r="H3647" s="38" t="n">
        <x:f>IF(ISNUMBER('Data'!I231),'Data'!I231*100,"")</x:f>
        <x:v>0.8</x:v>
      </x:c>
      <x:c r="I3647" s="34" t="str">
        <x:v>PASS</x:v>
      </x:c>
      <x:c r="J3647" s="34" t="str">
        <x:v>PASS</x:v>
      </x:c>
      <x:c r="K3647" s="34" t="str">
        <x:v>PASS</x:v>
      </x:c>
      <x:c r="L3647" s="34" t="str">
        <x:v>PASS</x:v>
      </x:c>
      <x:c r="M3647" s="34" t="str">
        <x:v>numeric coverage for applicable metric</x:v>
      </x:c>
      <x:c r="N3647" s="34" t="str">
        <x:v>Feedback-Directed Random Test Generation/Result/Closure_167/result.json</x:v>
      </x:c>
      <x:c r="O3647" s="38" t="n">
        <x:f>IF(AND(G3647="RECORDED",ISNUMBER(H3647)),H3647,"")</x:f>
        <x:v>0.8</x:v>
      </x:c>
      <x:c r="P3647" s="34" t="str">
        <x:v>NOT_REVEALING</x:v>
      </x:c>
      <x:c r="Q3647" s="34" t="str">
        <x:v>Feedback-Directed Random Test Generation/Result/Closure_167/result.json</x:v>
      </x:c>
    </x:row>
    <x:row r="3648">
      <x:c r="A3648" s="34" t="str">
        <x:v>randoop</x:v>
      </x:c>
      <x:c r="B3648" s="34" t="str">
        <x:v>Closure</x:v>
      </x:c>
      <x:c r="C3648" s="34" t="str">
        <x:v>Round1</x:v>
      </x:c>
      <x:c r="D3648" s="34" t="str">
        <x:v>Closure_168</x:v>
      </x:c>
      <x:c r="E3648" s="34" t="str">
        <x:v>Condition</x:v>
      </x:c>
      <x:c r="F3648" s="34" t="n">
        <x:v>703</x:v>
      </x:c>
      <x:c r="G3648" s="34" t="str">
        <x:v>RECORDED</x:v>
      </x:c>
      <x:c r="H3648" s="38" t="n">
        <x:f>IF(ISNUMBER('Data'!I232),'Data'!I232*100,"")</x:f>
        <x:v>0</x:v>
      </x:c>
      <x:c r="I3648" s="34" t="str">
        <x:v>PASS</x:v>
      </x:c>
      <x:c r="J3648" s="34" t="str">
        <x:v>PASS</x:v>
      </x:c>
      <x:c r="K3648" s="34" t="str">
        <x:v>PASS</x:v>
      </x:c>
      <x:c r="L3648" s="34" t="str">
        <x:v>PASS</x:v>
      </x:c>
      <x:c r="M3648" s="34" t="str">
        <x:v>numeric coverage for applicable metric</x:v>
      </x:c>
      <x:c r="N3648" s="34" t="str">
        <x:v>Feedback-Directed Random Test Generation/Result/Closure_168/result.json</x:v>
      </x:c>
      <x:c r="O3648" s="38" t="n">
        <x:f>IF(AND(G3648="RECORDED",ISNUMBER(H3648)),H3648,"")</x:f>
        <x:v>0</x:v>
      </x:c>
      <x:c r="P3648" s="34" t="str">
        <x:v>NOT_REVEALING</x:v>
      </x:c>
      <x:c r="Q3648" s="34" t="str">
        <x:v>Feedback-Directed Random Test Generation/Result/Closure_168/result.json</x:v>
      </x:c>
    </x:row>
    <x:row r="3649">
      <x:c r="A3649" s="34" t="str">
        <x:v>randoop</x:v>
      </x:c>
      <x:c r="B3649" s="34" t="str">
        <x:v>Closure</x:v>
      </x:c>
      <x:c r="C3649" s="34" t="str">
        <x:v>Round1</x:v>
      </x:c>
      <x:c r="D3649" s="34" t="str">
        <x:v>Closure_169</x:v>
      </x:c>
      <x:c r="E3649" s="34" t="str">
        <x:v>Condition</x:v>
      </x:c>
      <x:c r="F3649" s="34" t="n">
        <x:v>1006</x:v>
      </x:c>
      <x:c r="G3649" s="34" t="str">
        <x:v>RECORDED</x:v>
      </x:c>
      <x:c r="H3649" s="38" t="n">
        <x:f>IF(ISNUMBER('Data'!I233),'Data'!I233*100,"")</x:f>
        <x:v>8.55</x:v>
      </x:c>
      <x:c r="I3649" s="34" t="str">
        <x:v>PASS</x:v>
      </x:c>
      <x:c r="J3649" s="34" t="str">
        <x:v>PASS</x:v>
      </x:c>
      <x:c r="K3649" s="34" t="str">
        <x:v>PASS</x:v>
      </x:c>
      <x:c r="L3649" s="34" t="str">
        <x:v>PASS</x:v>
      </x:c>
      <x:c r="M3649" s="34" t="str">
        <x:v>numeric coverage for applicable metric</x:v>
      </x:c>
      <x:c r="N3649" s="34" t="str">
        <x:v>Feedback-Directed Random Test Generation/Result/Closure_169/result.json</x:v>
      </x:c>
      <x:c r="O3649" s="38" t="n">
        <x:f>IF(AND(G3649="RECORDED",ISNUMBER(H3649)),H3649,"")</x:f>
        <x:v>8.55</x:v>
      </x:c>
      <x:c r="P3649" s="34" t="str">
        <x:v>NOT_REVEALING</x:v>
      </x:c>
      <x:c r="Q3649" s="34" t="str">
        <x:v>Feedback-Directed Random Test Generation/Result/Closure_169/result.json</x:v>
      </x:c>
    </x:row>
    <x:row r="3650">
      <x:c r="A3650" s="34" t="str">
        <x:v>randoop</x:v>
      </x:c>
      <x:c r="B3650" s="34" t="str">
        <x:v>Closure</x:v>
      </x:c>
      <x:c r="C3650" s="34" t="str">
        <x:v>Round1</x:v>
      </x:c>
      <x:c r="D3650" s="34" t="str">
        <x:v>Closure_170</x:v>
      </x:c>
      <x:c r="E3650" s="34" t="str">
        <x:v>Condition</x:v>
      </x:c>
      <x:c r="F3650" s="34" t="n">
        <x:v>132</x:v>
      </x:c>
      <x:c r="G3650" s="34" t="str">
        <x:v>RECORDED</x:v>
      </x:c>
      <x:c r="H3650" s="38" t="n">
        <x:f>IF(ISNUMBER('Data'!I234),'Data'!I234*100,"")</x:f>
        <x:v>0</x:v>
      </x:c>
      <x:c r="I3650" s="34" t="str">
        <x:v>PASS</x:v>
      </x:c>
      <x:c r="J3650" s="34" t="str">
        <x:v>PASS</x:v>
      </x:c>
      <x:c r="K3650" s="34" t="str">
        <x:v>PASS</x:v>
      </x:c>
      <x:c r="L3650" s="34" t="str">
        <x:v>PASS</x:v>
      </x:c>
      <x:c r="M3650" s="34" t="str">
        <x:v>numeric coverage for applicable metric</x:v>
      </x:c>
      <x:c r="N3650" s="34" t="str">
        <x:v>Feedback-Directed Random Test Generation/Result/Closure_170/result.json</x:v>
      </x:c>
      <x:c r="O3650" s="38" t="n">
        <x:f>IF(AND(G3650="RECORDED",ISNUMBER(H3650)),H3650,"")</x:f>
        <x:v>0</x:v>
      </x:c>
      <x:c r="P3650" s="34" t="str">
        <x:v>NOT_REVEALING</x:v>
      </x:c>
      <x:c r="Q3650" s="34" t="str">
        <x:v>Feedback-Directed Random Test Generation/Result/Closure_170/result.json</x:v>
      </x:c>
    </x:row>
    <x:row r="3651">
      <x:c r="A3651" s="34" t="str">
        <x:v>randoop</x:v>
      </x:c>
      <x:c r="B3651" s="34" t="str">
        <x:v>Closure</x:v>
      </x:c>
      <x:c r="C3651" s="34" t="str">
        <x:v>Round1</x:v>
      </x:c>
      <x:c r="D3651" s="34" t="str">
        <x:v>Closure_171</x:v>
      </x:c>
      <x:c r="E3651" s="34" t="str">
        <x:v>Condition</x:v>
      </x:c>
      <x:c r="F3651" s="34" t="n">
        <x:v>1217</x:v>
      </x:c>
      <x:c r="G3651" s="34" t="str">
        <x:v>RECORDED</x:v>
      </x:c>
      <x:c r="H3651" s="38" t="n">
        <x:f>IF(ISNUMBER('Data'!I235),'Data'!I235*100,"")</x:f>
        <x:v>0.16</x:v>
      </x:c>
      <x:c r="I3651" s="34" t="str">
        <x:v>PASS</x:v>
      </x:c>
      <x:c r="J3651" s="34" t="str">
        <x:v>PASS</x:v>
      </x:c>
      <x:c r="K3651" s="34" t="str">
        <x:v>PASS</x:v>
      </x:c>
      <x:c r="L3651" s="34" t="str">
        <x:v>PASS</x:v>
      </x:c>
      <x:c r="M3651" s="34" t="str">
        <x:v>numeric coverage for applicable metric</x:v>
      </x:c>
      <x:c r="N3651" s="34" t="str">
        <x:v>Feedback-Directed Random Test Generation/Result/Closure_171/result.json</x:v>
      </x:c>
      <x:c r="O3651" s="38" t="n">
        <x:f>IF(AND(G3651="RECORDED",ISNUMBER(H3651)),H3651,"")</x:f>
        <x:v>0.16</x:v>
      </x:c>
      <x:c r="P3651" s="34" t="str">
        <x:v>NOT_REVEALING</x:v>
      </x:c>
      <x:c r="Q3651" s="34" t="str">
        <x:v>Feedback-Directed Random Test Generation/Result/Closure_171/result.json</x:v>
      </x:c>
    </x:row>
    <x:row r="3652">
      <x:c r="A3652" s="34" t="str">
        <x:v>randoop</x:v>
      </x:c>
      <x:c r="B3652" s="34" t="str">
        <x:v>Closure</x:v>
      </x:c>
      <x:c r="C3652" s="34" t="str">
        <x:v>Round1</x:v>
      </x:c>
      <x:c r="D3652" s="34" t="str">
        <x:v>Closure_172</x:v>
      </x:c>
      <x:c r="E3652" s="34" t="str">
        <x:v>Condition</x:v>
      </x:c>
      <x:c r="F3652" s="34" t="n">
        <x:v>762</x:v>
      </x:c>
      <x:c r="G3652" s="34" t="str">
        <x:v>RECORDED</x:v>
      </x:c>
      <x:c r="H3652" s="38" t="n">
        <x:f>IF(ISNUMBER('Data'!I236),'Data'!I236*100,"")</x:f>
        <x:v>0</x:v>
      </x:c>
      <x:c r="I3652" s="34" t="str">
        <x:v>PASS</x:v>
      </x:c>
      <x:c r="J3652" s="34" t="str">
        <x:v>PASS</x:v>
      </x:c>
      <x:c r="K3652" s="34" t="str">
        <x:v>PASS</x:v>
      </x:c>
      <x:c r="L3652" s="34" t="str">
        <x:v>PASS</x:v>
      </x:c>
      <x:c r="M3652" s="34" t="str">
        <x:v>numeric coverage for applicable metric</x:v>
      </x:c>
      <x:c r="N3652" s="34" t="str">
        <x:v>Feedback-Directed Random Test Generation/Result/Closure_172/result.json</x:v>
      </x:c>
      <x:c r="O3652" s="38" t="n">
        <x:f>IF(AND(G3652="RECORDED",ISNUMBER(H3652)),H3652,"")</x:f>
        <x:v>0</x:v>
      </x:c>
      <x:c r="P3652" s="34" t="str">
        <x:v>NOT_REVEALING</x:v>
      </x:c>
      <x:c r="Q3652" s="34" t="str">
        <x:v>Feedback-Directed Random Test Generation/Result/Closure_172/result.json</x:v>
      </x:c>
    </x:row>
    <x:row r="3653">
      <x:c r="A3653" s="34" t="str">
        <x:v>randoop</x:v>
      </x:c>
      <x:c r="B3653" s="34" t="str">
        <x:v>Closure</x:v>
      </x:c>
      <x:c r="C3653" s="34" t="str">
        <x:v>Round1</x:v>
      </x:c>
      <x:c r="D3653" s="34" t="str">
        <x:v>Closure_173</x:v>
      </x:c>
      <x:c r="E3653" s="34" t="str">
        <x:v>Condition</x:v>
      </x:c>
      <x:c r="F3653" s="34" t="n">
        <x:v>685</x:v>
      </x:c>
      <x:c r="G3653" s="34" t="str">
        <x:v>RECORDED</x:v>
      </x:c>
      <x:c r="H3653" s="38" t="n">
        <x:f>IF(ISNUMBER('Data'!I237),'Data'!I237*100,"")</x:f>
        <x:v>3.07</x:v>
      </x:c>
      <x:c r="I3653" s="34" t="str">
        <x:v>PASS</x:v>
      </x:c>
      <x:c r="J3653" s="34" t="str">
        <x:v>PASS</x:v>
      </x:c>
      <x:c r="K3653" s="34" t="str">
        <x:v>PASS</x:v>
      </x:c>
      <x:c r="L3653" s="34" t="str">
        <x:v>PASS</x:v>
      </x:c>
      <x:c r="M3653" s="34" t="str">
        <x:v>numeric coverage for applicable metric</x:v>
      </x:c>
      <x:c r="N3653" s="34" t="str">
        <x:v>Feedback-Directed Random Test Generation/Result/Closure_173/result.json</x:v>
      </x:c>
      <x:c r="O3653" s="38" t="n">
        <x:f>IF(AND(G3653="RECORDED",ISNUMBER(H3653)),H3653,"")</x:f>
        <x:v>3.07</x:v>
      </x:c>
      <x:c r="P3653" s="34" t="str">
        <x:v>NOT_REVEALING</x:v>
      </x:c>
      <x:c r="Q3653" s="34" t="str">
        <x:v>Feedback-Directed Random Test Generation/Result/Closure_173/result.json</x:v>
      </x:c>
    </x:row>
    <x:row r="3654">
      <x:c r="A3654" s="34" t="str">
        <x:v>randoop</x:v>
      </x:c>
      <x:c r="B3654" s="34" t="str">
        <x:v>Closure</x:v>
      </x:c>
      <x:c r="C3654" s="34" t="str">
        <x:v>Round1</x:v>
      </x:c>
      <x:c r="D3654" s="34" t="str">
        <x:v>Closure_174</x:v>
      </x:c>
      <x:c r="E3654" s="34" t="str">
        <x:v>Condition</x:v>
      </x:c>
      <x:c r="F3654" s="34" t="n">
        <x:v>1244</x:v>
      </x:c>
      <x:c r="G3654" s="34" t="str">
        <x:v>RECORDED</x:v>
      </x:c>
      <x:c r="H3654" s="38" t="n">
        <x:f>IF(ISNUMBER('Data'!I238),'Data'!I238*100,"")</x:f>
        <x:v>23.71</x:v>
      </x:c>
      <x:c r="I3654" s="34" t="str">
        <x:v>PASS</x:v>
      </x:c>
      <x:c r="J3654" s="34" t="str">
        <x:v>PASS</x:v>
      </x:c>
      <x:c r="K3654" s="34" t="str">
        <x:v>PASS</x:v>
      </x:c>
      <x:c r="L3654" s="34" t="str">
        <x:v>FAIL</x:v>
      </x:c>
      <x:c r="M3654" s="34" t="str">
        <x:v>numeric coverage for applicable metric</x:v>
      </x:c>
      <x:c r="N3654" s="34" t="str">
        <x:v>Feedback-Directed Random Test Generation/Result/Closure_174/result.json</x:v>
      </x:c>
      <x:c r="O3654" s="38" t="n">
        <x:f>IF(AND(G3654="RECORDED",ISNUMBER(H3654)),H3654,"")</x:f>
        <x:v>23.71</x:v>
      </x:c>
      <x:c r="P3654" s="34" t="str">
        <x:v>INCONCLUSIVE</x:v>
      </x:c>
      <x:c r="Q3654" s="34" t="str">
        <x:v>Feedback-Directed Random Test Generation/Result/Closure_174/result.json</x:v>
      </x:c>
    </x:row>
    <x:row r="3655">
      <x:c r="A3655" s="34" t="str">
        <x:v>randoop</x:v>
      </x:c>
      <x:c r="B3655" s="34" t="str">
        <x:v>Closure</x:v>
      </x:c>
      <x:c r="C3655" s="34" t="str">
        <x:v>Round1</x:v>
      </x:c>
      <x:c r="D3655" s="34" t="str">
        <x:v>Closure_175</x:v>
      </x:c>
      <x:c r="E3655" s="34" t="str">
        <x:v>Condition</x:v>
      </x:c>
      <x:c r="F3655" s="34" t="n">
        <x:v>218</x:v>
      </x:c>
      <x:c r="G3655" s="34" t="str">
        <x:v>RECORDED</x:v>
      </x:c>
      <x:c r="H3655" s="38" t="n">
        <x:f>IF(ISNUMBER('Data'!I239),'Data'!I239*100,"")</x:f>
        <x:v>0</x:v>
      </x:c>
      <x:c r="I3655" s="34" t="str">
        <x:v>PASS</x:v>
      </x:c>
      <x:c r="J3655" s="34" t="str">
        <x:v>PASS</x:v>
      </x:c>
      <x:c r="K3655" s="34" t="str">
        <x:v>PASS</x:v>
      </x:c>
      <x:c r="L3655" s="34" t="str">
        <x:v>PASS</x:v>
      </x:c>
      <x:c r="M3655" s="34" t="str">
        <x:v>numeric coverage for applicable metric</x:v>
      </x:c>
      <x:c r="N3655" s="34" t="str">
        <x:v>Feedback-Directed Random Test Generation/Result/Closure_175/result.json</x:v>
      </x:c>
      <x:c r="O3655" s="38" t="n">
        <x:f>IF(AND(G3655="RECORDED",ISNUMBER(H3655)),H3655,"")</x:f>
        <x:v>0</x:v>
      </x:c>
      <x:c r="P3655" s="34" t="str">
        <x:v>NOT_REVEALING</x:v>
      </x:c>
      <x:c r="Q3655" s="34" t="str">
        <x:v>Feedback-Directed Random Test Generation/Result/Closure_175/result.json</x:v>
      </x:c>
    </x:row>
    <x:row r="3656">
      <x:c r="A3656" s="34" t="str">
        <x:v>randoop</x:v>
      </x:c>
      <x:c r="B3656" s="34" t="str">
        <x:v>Closure</x:v>
      </x:c>
      <x:c r="C3656" s="34" t="str">
        <x:v>Round1</x:v>
      </x:c>
      <x:c r="D3656" s="34" t="str">
        <x:v>Closure_176</x:v>
      </x:c>
      <x:c r="E3656" s="34" t="str">
        <x:v>Condition</x:v>
      </x:c>
      <x:c r="F3656" s="34" t="n">
        <x:v>485</x:v>
      </x:c>
      <x:c r="G3656" s="34" t="str">
        <x:v>RECORDED</x:v>
      </x:c>
      <x:c r="H3656" s="38" t="n">
        <x:f>IF(ISNUMBER('Data'!I240),'Data'!I240*100,"")</x:f>
        <x:v>0.21</x:v>
      </x:c>
      <x:c r="I3656" s="34" t="str">
        <x:v>PASS</x:v>
      </x:c>
      <x:c r="J3656" s="34" t="str">
        <x:v>PASS</x:v>
      </x:c>
      <x:c r="K3656" s="34" t="str">
        <x:v>PASS</x:v>
      </x:c>
      <x:c r="L3656" s="34" t="str">
        <x:v>PASS</x:v>
      </x:c>
      <x:c r="M3656" s="34" t="str">
        <x:v>numeric coverage for applicable metric</x:v>
      </x:c>
      <x:c r="N3656" s="34" t="str">
        <x:v>Feedback-Directed Random Test Generation/Result/Closure_176/result.json</x:v>
      </x:c>
      <x:c r="O3656" s="38" t="n">
        <x:f>IF(AND(G3656="RECORDED",ISNUMBER(H3656)),H3656,"")</x:f>
        <x:v>0.21</x:v>
      </x:c>
      <x:c r="P3656" s="34" t="str">
        <x:v>NOT_REVEALING</x:v>
      </x:c>
      <x:c r="Q3656" s="34" t="str">
        <x:v>Feedback-Directed Random Test Generation/Result/Closure_176/result.json</x:v>
      </x:c>
    </x:row>
    <x:row r="3657">
      <x:c r="A3657" s="34" t="str">
        <x:v>randoop</x:v>
      </x:c>
      <x:c r="B3657" s="34" t="str">
        <x:v>Codec</x:v>
      </x:c>
      <x:c r="C3657" s="34" t="str">
        <x:v>Round1</x:v>
      </x:c>
      <x:c r="D3657" s="34" t="str">
        <x:v>Codec_1</x:v>
      </x:c>
      <x:c r="E3657" s="34" t="str">
        <x:v>Condition</x:v>
      </x:c>
      <x:c r="F3657" s="34" t="n">
        <x:v>184</x:v>
      </x:c>
      <x:c r="G3657" s="34" t="str">
        <x:v>RECORDED</x:v>
      </x:c>
      <x:c r="H3657" s="38" t="n">
        <x:f>IF(ISNUMBER('Data'!I241),'Data'!I241*100,"")</x:f>
        <x:v>26.63</x:v>
      </x:c>
      <x:c r="I3657" s="34" t="str">
        <x:v>PASS</x:v>
      </x:c>
      <x:c r="J3657" s="34" t="str">
        <x:v>PASS</x:v>
      </x:c>
      <x:c r="K3657" s="34" t="str">
        <x:v>PASS</x:v>
      </x:c>
      <x:c r="L3657" s="34" t="str">
        <x:v>FAIL</x:v>
      </x:c>
      <x:c r="M3657" s="34" t="str">
        <x:v>numeric coverage for applicable metric</x:v>
      </x:c>
      <x:c r="N3657" s="34" t="str">
        <x:v>Feedback-Directed Random Test Generation/Result/Codec_1/result.json</x:v>
      </x:c>
      <x:c r="O3657" s="38" t="n">
        <x:f>IF(AND(G3657="RECORDED",ISNUMBER(H3657)),H3657,"")</x:f>
        <x:v>26.63</x:v>
      </x:c>
      <x:c r="P3657" s="34" t="str">
        <x:v>INCONCLUSIVE</x:v>
      </x:c>
      <x:c r="Q3657" s="34" t="str">
        <x:v>Feedback-Directed Random Test Generation/Result/Codec_1/result.json</x:v>
      </x:c>
    </x:row>
    <x:row r="3658">
      <x:c r="A3658" s="34" t="str">
        <x:v>randoop</x:v>
      </x:c>
      <x:c r="B3658" s="34" t="str">
        <x:v>Codec</x:v>
      </x:c>
      <x:c r="C3658" s="34" t="str">
        <x:v>Round1</x:v>
      </x:c>
      <x:c r="D3658" s="34" t="str">
        <x:v>Codec_2</x:v>
      </x:c>
      <x:c r="E3658" s="34" t="str">
        <x:v>Condition</x:v>
      </x:c>
      <x:c r="F3658" s="34" t="n">
        <x:v>146</x:v>
      </x:c>
      <x:c r="G3658" s="34" t="str">
        <x:v>RECORDED</x:v>
      </x:c>
      <x:c r="H3658" s="38" t="n">
        <x:f>IF(ISNUMBER('Data'!I242),'Data'!I242*100,"")</x:f>
        <x:v>89.73</x:v>
      </x:c>
      <x:c r="I3658" s="34" t="str">
        <x:v>PASS</x:v>
      </x:c>
      <x:c r="J3658" s="34" t="str">
        <x:v>PASS</x:v>
      </x:c>
      <x:c r="K3658" s="34" t="str">
        <x:v>PASS</x:v>
      </x:c>
      <x:c r="L3658" s="34" t="str">
        <x:v>PASS</x:v>
      </x:c>
      <x:c r="M3658" s="34" t="str">
        <x:v>numeric coverage for applicable metric</x:v>
      </x:c>
      <x:c r="N3658" s="34" t="str">
        <x:v>Feedback-Directed Random Test Generation/Result/Codec_2/result.json</x:v>
      </x:c>
      <x:c r="O3658" s="38" t="n">
        <x:f>IF(AND(G3658="RECORDED",ISNUMBER(H3658)),H3658,"")</x:f>
        <x:v>89.73</x:v>
      </x:c>
      <x:c r="P3658" s="34" t="str">
        <x:v>NOT_REVEALING</x:v>
      </x:c>
      <x:c r="Q3658" s="34" t="str">
        <x:v>Feedback-Directed Random Test Generation/Result/Codec_2/result.json</x:v>
      </x:c>
    </x:row>
    <x:row r="3659">
      <x:c r="A3659" s="34" t="str">
        <x:v>randoop</x:v>
      </x:c>
      <x:c r="B3659" s="34" t="str">
        <x:v>Codec</x:v>
      </x:c>
      <x:c r="C3659" s="34" t="str">
        <x:v>Round1</x:v>
      </x:c>
      <x:c r="D3659" s="34" t="str">
        <x:v>Codec_3</x:v>
      </x:c>
      <x:c r="E3659" s="34" t="str">
        <x:v>Condition</x:v>
      </x:c>
      <x:c r="F3659" s="34" t="n">
        <x:v>450</x:v>
      </x:c>
      <x:c r="G3659" s="34" t="str">
        <x:v>RECORDED</x:v>
      </x:c>
      <x:c r="H3659" s="38" t="n">
        <x:f>IF(ISNUMBER('Data'!I243),'Data'!I243*100,"")</x:f>
        <x:v>10.67</x:v>
      </x:c>
      <x:c r="I3659" s="34" t="str">
        <x:v>PASS</x:v>
      </x:c>
      <x:c r="J3659" s="34" t="str">
        <x:v>PASS</x:v>
      </x:c>
      <x:c r="K3659" s="34" t="str">
        <x:v>PASS</x:v>
      </x:c>
      <x:c r="L3659" s="34" t="str">
        <x:v>FAIL</x:v>
      </x:c>
      <x:c r="M3659" s="34" t="str">
        <x:v>numeric coverage for applicable metric</x:v>
      </x:c>
      <x:c r="N3659" s="34" t="str">
        <x:v>Feedback-Directed Random Test Generation/Result/Codec_3/result.json</x:v>
      </x:c>
      <x:c r="O3659" s="38" t="n">
        <x:f>IF(AND(G3659="RECORDED",ISNUMBER(H3659)),H3659,"")</x:f>
        <x:v>10.67</x:v>
      </x:c>
      <x:c r="P3659" s="34" t="str">
        <x:v>INCONCLUSIVE</x:v>
      </x:c>
      <x:c r="Q3659" s="34" t="str">
        <x:v>Feedback-Directed Random Test Generation/Result/Codec_3/result.json</x:v>
      </x:c>
    </x:row>
    <x:row r="3660">
      <x:c r="A3660" s="34" t="str">
        <x:v>randoop</x:v>
      </x:c>
      <x:c r="B3660" s="34" t="str">
        <x:v>Codec</x:v>
      </x:c>
      <x:c r="C3660" s="34" t="str">
        <x:v>Round1</x:v>
      </x:c>
      <x:c r="D3660" s="34" t="str">
        <x:v>Codec_4</x:v>
      </x:c>
      <x:c r="E3660" s="34" t="str">
        <x:v>Condition</x:v>
      </x:c>
      <x:c r="F3660" s="34" t="n">
        <x:v>158</x:v>
      </x:c>
      <x:c r="G3660" s="34" t="str">
        <x:v>RECORDED</x:v>
      </x:c>
      <x:c r="H3660" s="38" t="n">
        <x:f>IF(ISNUMBER('Data'!I244),'Data'!I244*100,"")</x:f>
        <x:v>87.34</x:v>
      </x:c>
      <x:c r="I3660" s="34" t="str">
        <x:v>PASS</x:v>
      </x:c>
      <x:c r="J3660" s="34" t="str">
        <x:v>PASS</x:v>
      </x:c>
      <x:c r="K3660" s="34" t="str">
        <x:v>PASS</x:v>
      </x:c>
      <x:c r="L3660" s="34" t="str">
        <x:v>PASS</x:v>
      </x:c>
      <x:c r="M3660" s="34" t="str">
        <x:v>numeric coverage for applicable metric</x:v>
      </x:c>
      <x:c r="N3660" s="34" t="str">
        <x:v>Feedback-Directed Random Test Generation/Result/Codec_4/result.json</x:v>
      </x:c>
      <x:c r="O3660" s="38" t="n">
        <x:f>IF(AND(G3660="RECORDED",ISNUMBER(H3660)),H3660,"")</x:f>
        <x:v>87.34</x:v>
      </x:c>
      <x:c r="P3660" s="34" t="str">
        <x:v>INCONCLUSIVE</x:v>
      </x:c>
      <x:c r="Q3660" s="34" t="str">
        <x:v>Feedback-Directed Random Test Generation/Result/Codec_4/result.json</x:v>
      </x:c>
    </x:row>
    <x:row r="3661">
      <x:c r="A3661" s="34" t="str">
        <x:v>randoop</x:v>
      </x:c>
      <x:c r="B3661" s="34" t="str">
        <x:v>Codec</x:v>
      </x:c>
      <x:c r="C3661" s="34" t="str">
        <x:v>Round1</x:v>
      </x:c>
      <x:c r="D3661" s="34" t="str">
        <x:v>Codec_5</x:v>
      </x:c>
      <x:c r="E3661" s="34" t="str">
        <x:v>Condition</x:v>
      </x:c>
      <x:c r="F3661" s="34" t="n">
        <x:v>158</x:v>
      </x:c>
      <x:c r="G3661" s="34" t="str">
        <x:v>RECORDED</x:v>
      </x:c>
      <x:c r="H3661" s="38" t="n">
        <x:f>IF(ISNUMBER('Data'!I245),'Data'!I245*100,"")</x:f>
        <x:v>82.28</x:v>
      </x:c>
      <x:c r="I3661" s="34" t="str">
        <x:v>PASS</x:v>
      </x:c>
      <x:c r="J3661" s="34" t="str">
        <x:v>PASS</x:v>
      </x:c>
      <x:c r="K3661" s="34" t="str">
        <x:v>PASS</x:v>
      </x:c>
      <x:c r="L3661" s="34" t="str">
        <x:v>PASS</x:v>
      </x:c>
      <x:c r="M3661" s="34" t="str">
        <x:v>numeric coverage for applicable metric</x:v>
      </x:c>
      <x:c r="N3661" s="34" t="str">
        <x:v>Feedback-Directed Random Test Generation/Result/Codec_5/result.json</x:v>
      </x:c>
      <x:c r="O3661" s="38" t="n">
        <x:f>IF(AND(G3661="RECORDED",ISNUMBER(H3661)),H3661,"")</x:f>
        <x:v>82.28</x:v>
      </x:c>
      <x:c r="P3661" s="34" t="str">
        <x:v>NOT_REVEALING</x:v>
      </x:c>
      <x:c r="Q3661" s="34" t="str">
        <x:v>Feedback-Directed Random Test Generation/Result/Codec_5/result.json</x:v>
      </x:c>
    </x:row>
    <x:row r="3662">
      <x:c r="A3662" s="34" t="str">
        <x:v>randoop</x:v>
      </x:c>
      <x:c r="B3662" s="34" t="str">
        <x:v>Codec</x:v>
      </x:c>
      <x:c r="C3662" s="34" t="str">
        <x:v>Round1</x:v>
      </x:c>
      <x:c r="D3662" s="34" t="str">
        <x:v>Codec_6</x:v>
      </x:c>
      <x:c r="E3662" s="34" t="str">
        <x:v>Condition</x:v>
      </x:c>
      <x:c r="F3662" s="34" t="n">
        <x:v>28</x:v>
      </x:c>
      <x:c r="G3662" s="34" t="str">
        <x:v>RECORDED</x:v>
      </x:c>
      <x:c r="H3662" s="38" t="n">
        <x:f>IF(ISNUMBER('Data'!I246),'Data'!I246*100,"")</x:f>
        <x:v>46.43</x:v>
      </x:c>
      <x:c r="I3662" s="34" t="str">
        <x:v>PASS</x:v>
      </x:c>
      <x:c r="J3662" s="34" t="str">
        <x:v>PASS</x:v>
      </x:c>
      <x:c r="K3662" s="34" t="str">
        <x:v>PASS</x:v>
      </x:c>
      <x:c r="L3662" s="34" t="str">
        <x:v>PASS</x:v>
      </x:c>
      <x:c r="M3662" s="34" t="str">
        <x:v>numeric coverage for applicable metric</x:v>
      </x:c>
      <x:c r="N3662" s="34" t="str">
        <x:v>Feedback-Directed Random Test Generation/Result/Codec_6/result.json</x:v>
      </x:c>
      <x:c r="O3662" s="38" t="n">
        <x:f>IF(AND(G3662="RECORDED",ISNUMBER(H3662)),H3662,"")</x:f>
        <x:v>46.43</x:v>
      </x:c>
      <x:c r="P3662" s="34" t="str">
        <x:v>NOT_REVEALING</x:v>
      </x:c>
      <x:c r="Q3662" s="34" t="str">
        <x:v>Feedback-Directed Random Test Generation/Result/Codec_6/result.json</x:v>
      </x:c>
    </x:row>
    <x:row r="3663">
      <x:c r="A3663" s="34" t="str">
        <x:v>randoop</x:v>
      </x:c>
      <x:c r="B3663" s="34" t="str">
        <x:v>Codec</x:v>
      </x:c>
      <x:c r="C3663" s="34" t="str">
        <x:v>Round1</x:v>
      </x:c>
      <x:c r="D3663" s="34" t="str">
        <x:v>Codec_7</x:v>
      </x:c>
      <x:c r="E3663" s="34" t="str">
        <x:v>Condition</x:v>
      </x:c>
      <x:c r="F3663" s="34" t="n">
        <x:v>162</x:v>
      </x:c>
      <x:c r="G3663" s="34" t="str">
        <x:v>RECORDED</x:v>
      </x:c>
      <x:c r="H3663" s="38" t="n">
        <x:f>IF(ISNUMBER('Data'!I247),'Data'!I247*100,"")</x:f>
        <x:v>81.48</x:v>
      </x:c>
      <x:c r="I3663" s="34" t="str">
        <x:v>PASS</x:v>
      </x:c>
      <x:c r="J3663" s="34" t="str">
        <x:v>PASS</x:v>
      </x:c>
      <x:c r="K3663" s="34" t="str">
        <x:v>PASS</x:v>
      </x:c>
      <x:c r="L3663" s="34" t="str">
        <x:v>PASS</x:v>
      </x:c>
      <x:c r="M3663" s="34" t="str">
        <x:v>numeric coverage for applicable metric</x:v>
      </x:c>
      <x:c r="N3663" s="34" t="str">
        <x:v>Feedback-Directed Random Test Generation/Result/Codec_7/result.json</x:v>
      </x:c>
      <x:c r="O3663" s="38" t="n">
        <x:f>IF(AND(G3663="RECORDED",ISNUMBER(H3663)),H3663,"")</x:f>
        <x:v>81.48</x:v>
      </x:c>
      <x:c r="P3663" s="34" t="str">
        <x:v>INCONCLUSIVE</x:v>
      </x:c>
      <x:c r="Q3663" s="34" t="str">
        <x:v>Feedback-Directed Random Test Generation/Result/Codec_7/result.json</x:v>
      </x:c>
    </x:row>
    <x:row r="3664">
      <x:c r="A3664" s="34" t="str">
        <x:v>randoop</x:v>
      </x:c>
      <x:c r="B3664" s="34" t="str">
        <x:v>Codec</x:v>
      </x:c>
      <x:c r="C3664" s="34" t="str">
        <x:v>Round1</x:v>
      </x:c>
      <x:c r="D3664" s="34" t="str">
        <x:v>Codec_8</x:v>
      </x:c>
      <x:c r="E3664" s="34" t="str">
        <x:v>Condition</x:v>
      </x:c>
      <x:c r="F3664" s="34" t="n">
        <x:v>186</x:v>
      </x:c>
      <x:c r="G3664" s="34" t="str">
        <x:v>RECORDED</x:v>
      </x:c>
      <x:c r="H3664" s="38" t="n">
        <x:f>IF(ISNUMBER('Data'!I248),'Data'!I248*100,"")</x:f>
        <x:v>71.51</x:v>
      </x:c>
      <x:c r="I3664" s="34" t="str">
        <x:v>PASS</x:v>
      </x:c>
      <x:c r="J3664" s="34" t="str">
        <x:v>PASS</x:v>
      </x:c>
      <x:c r="K3664" s="34" t="str">
        <x:v>PASS</x:v>
      </x:c>
      <x:c r="L3664" s="34" t="str">
        <x:v>PASS</x:v>
      </x:c>
      <x:c r="M3664" s="34" t="str">
        <x:v>numeric coverage for applicable metric</x:v>
      </x:c>
      <x:c r="N3664" s="34" t="str">
        <x:v>Feedback-Directed Random Test Generation/Result/Codec_8/result.json</x:v>
      </x:c>
      <x:c r="O3664" s="38" t="n">
        <x:f>IF(AND(G3664="RECORDED",ISNUMBER(H3664)),H3664,"")</x:f>
        <x:v>71.51</x:v>
      </x:c>
      <x:c r="P3664" s="34" t="str">
        <x:v>NOT_AVAILABLE</x:v>
      </x:c>
      <x:c r="Q3664" s="34" t="str">
        <x:v>Feedback-Directed Random Test Generation/Result/Codec_8/result.json</x:v>
      </x:c>
    </x:row>
    <x:row r="3665">
      <x:c r="A3665" s="34" t="str">
        <x:v>randoop</x:v>
      </x:c>
      <x:c r="B3665" s="34" t="str">
        <x:v>Codec</x:v>
      </x:c>
      <x:c r="C3665" s="34" t="str">
        <x:v>Round1</x:v>
      </x:c>
      <x:c r="D3665" s="34" t="str">
        <x:v>Codec_9</x:v>
      </x:c>
      <x:c r="E3665" s="34" t="str">
        <x:v>Condition</x:v>
      </x:c>
      <x:c r="F3665" s="34" t="n">
        <x:v>152</x:v>
      </x:c>
      <x:c r="G3665" s="34" t="str">
        <x:v>RECORDED</x:v>
      </x:c>
      <x:c r="H3665" s="38" t="n">
        <x:f>IF(ISNUMBER('Data'!I249),'Data'!I249*100,"")</x:f>
        <x:v>82.24</x:v>
      </x:c>
      <x:c r="I3665" s="34" t="str">
        <x:v>PASS</x:v>
      </x:c>
      <x:c r="J3665" s="34" t="str">
        <x:v>PASS</x:v>
      </x:c>
      <x:c r="K3665" s="34" t="str">
        <x:v>PASS</x:v>
      </x:c>
      <x:c r="L3665" s="34" t="str">
        <x:v>PASS</x:v>
      </x:c>
      <x:c r="M3665" s="34" t="str">
        <x:v>numeric coverage for applicable metric</x:v>
      </x:c>
      <x:c r="N3665" s="34" t="str">
        <x:v>Feedback-Directed Random Test Generation/Result/Codec_9/result.json</x:v>
      </x:c>
      <x:c r="O3665" s="38" t="n">
        <x:f>IF(AND(G3665="RECORDED",ISNUMBER(H3665)),H3665,"")</x:f>
        <x:v>82.24</x:v>
      </x:c>
      <x:c r="P3665" s="34" t="str">
        <x:v>NOT_REVEALING</x:v>
      </x:c>
      <x:c r="Q3665" s="34" t="str">
        <x:v>Feedback-Directed Random Test Generation/Result/Codec_9/result.json</x:v>
      </x:c>
    </x:row>
    <x:row r="3666">
      <x:c r="A3666" s="34" t="str">
        <x:v>randoop</x:v>
      </x:c>
      <x:c r="B3666" s="34" t="str">
        <x:v>Codec</x:v>
      </x:c>
      <x:c r="C3666" s="34" t="str">
        <x:v>Round1</x:v>
      </x:c>
      <x:c r="D3666" s="34" t="str">
        <x:v>Codec_10</x:v>
      </x:c>
      <x:c r="E3666" s="34" t="str">
        <x:v>Condition</x:v>
      </x:c>
      <x:c r="F3666" s="34" t="n">
        <x:v>6</x:v>
      </x:c>
      <x:c r="G3666" s="34" t="str">
        <x:v>RECORDED</x:v>
      </x:c>
      <x:c r="H3666" s="38" t="n">
        <x:f>IF(ISNUMBER('Data'!I250),'Data'!I250*100,"")</x:f>
        <x:v>83.33</x:v>
      </x:c>
      <x:c r="I3666" s="34" t="str">
        <x:v>PASS</x:v>
      </x:c>
      <x:c r="J3666" s="34" t="str">
        <x:v>PASS</x:v>
      </x:c>
      <x:c r="K3666" s="34" t="str">
        <x:v>PASS</x:v>
      </x:c>
      <x:c r="L3666" s="34" t="str">
        <x:v>PASS</x:v>
      </x:c>
      <x:c r="M3666" s="34" t="str">
        <x:v>numeric coverage for applicable metric</x:v>
      </x:c>
      <x:c r="N3666" s="34" t="str">
        <x:v>Feedback-Directed Random Test Generation/Result/Codec_10/result.json</x:v>
      </x:c>
      <x:c r="O3666" s="38" t="n">
        <x:f>IF(AND(G3666="RECORDED",ISNUMBER(H3666)),H3666,"")</x:f>
        <x:v>83.33</x:v>
      </x:c>
      <x:c r="P3666" s="34" t="str">
        <x:v>NOT_REVEALING</x:v>
      </x:c>
      <x:c r="Q3666" s="34" t="str">
        <x:v>Feedback-Directed Random Test Generation/Result/Codec_10/result.json</x:v>
      </x:c>
    </x:row>
    <x:row r="3667">
      <x:c r="A3667" s="34" t="str">
        <x:v>randoop</x:v>
      </x:c>
      <x:c r="B3667" s="34" t="str">
        <x:v>Codec</x:v>
      </x:c>
      <x:c r="C3667" s="34" t="str">
        <x:v>Round1</x:v>
      </x:c>
      <x:c r="D3667" s="34" t="str">
        <x:v>Codec_11</x:v>
      </x:c>
      <x:c r="E3667" s="34" t="str">
        <x:v>Condition</x:v>
      </x:c>
      <x:c r="F3667" s="34" t="n">
        <x:v>36</x:v>
      </x:c>
      <x:c r="G3667" s="34" t="str">
        <x:v>RECORDED</x:v>
      </x:c>
      <x:c r="H3667" s="38" t="n">
        <x:f>IF(ISNUMBER('Data'!I251),'Data'!I251*100,"")</x:f>
        <x:v>75</x:v>
      </x:c>
      <x:c r="I3667" s="34" t="str">
        <x:v>PASS</x:v>
      </x:c>
      <x:c r="J3667" s="34" t="str">
        <x:v>PASS</x:v>
      </x:c>
      <x:c r="K3667" s="34" t="str">
        <x:v>PASS</x:v>
      </x:c>
      <x:c r="L3667" s="34" t="str">
        <x:v>PASS</x:v>
      </x:c>
      <x:c r="M3667" s="34" t="str">
        <x:v>numeric coverage for applicable metric</x:v>
      </x:c>
      <x:c r="N3667" s="34" t="str">
        <x:v>Feedback-Directed Random Test Generation/Result/Codec_11/result.json</x:v>
      </x:c>
      <x:c r="O3667" s="38" t="n">
        <x:f>IF(AND(G3667="RECORDED",ISNUMBER(H3667)),H3667,"")</x:f>
        <x:v>75</x:v>
      </x:c>
      <x:c r="P3667" s="34" t="str">
        <x:v>INCONCLUSIVE</x:v>
      </x:c>
      <x:c r="Q3667" s="34" t="str">
        <x:v>Feedback-Directed Random Test Generation/Result/Codec_11/result.json</x:v>
      </x:c>
    </x:row>
    <x:row r="3668">
      <x:c r="A3668" s="34" t="str">
        <x:v>randoop</x:v>
      </x:c>
      <x:c r="B3668" s="34" t="str">
        <x:v>Codec</x:v>
      </x:c>
      <x:c r="C3668" s="34" t="str">
        <x:v>Round1</x:v>
      </x:c>
      <x:c r="D3668" s="34" t="str">
        <x:v>Codec_12</x:v>
      </x:c>
      <x:c r="E3668" s="34" t="str">
        <x:v>Condition</x:v>
      </x:c>
      <x:c r="F3668" s="34" t="n">
        <x:v>26</x:v>
      </x:c>
      <x:c r="G3668" s="34" t="str">
        <x:v>RECORDED</x:v>
      </x:c>
      <x:c r="H3668" s="38" t="n">
        <x:f>IF(ISNUMBER('Data'!I252),'Data'!I252*100,"")</x:f>
        <x:v>50</x:v>
      </x:c>
      <x:c r="I3668" s="34" t="str">
        <x:v>PASS</x:v>
      </x:c>
      <x:c r="J3668" s="34" t="str">
        <x:v>PASS</x:v>
      </x:c>
      <x:c r="K3668" s="34" t="str">
        <x:v>PASS</x:v>
      </x:c>
      <x:c r="L3668" s="34" t="str">
        <x:v>PASS</x:v>
      </x:c>
      <x:c r="M3668" s="34" t="str">
        <x:v>numeric coverage for applicable metric</x:v>
      </x:c>
      <x:c r="N3668" s="34" t="str">
        <x:v>Feedback-Directed Random Test Generation/Result/Codec_12/result.json</x:v>
      </x:c>
      <x:c r="O3668" s="38" t="n">
        <x:f>IF(AND(G3668="RECORDED",ISNUMBER(H3668)),H3668,"")</x:f>
        <x:v>50</x:v>
      </x:c>
      <x:c r="P3668" s="34" t="str">
        <x:v>INCONCLUSIVE</x:v>
      </x:c>
      <x:c r="Q3668" s="34" t="str">
        <x:v>Feedback-Directed Random Test Generation/Result/Codec_12/result.json</x:v>
      </x:c>
    </x:row>
    <x:row r="3669">
      <x:c r="A3669" s="34" t="str">
        <x:v>randoop</x:v>
      </x:c>
      <x:c r="B3669" s="34" t="str">
        <x:v>Codec</x:v>
      </x:c>
      <x:c r="C3669" s="34" t="str">
        <x:v>Round1</x:v>
      </x:c>
      <x:c r="D3669" s="34" t="str">
        <x:v>Codec_13</x:v>
      </x:c>
      <x:c r="E3669" s="34" t="str">
        <x:v>Condition</x:v>
      </x:c>
      <x:c r="F3669" s="34" t="n">
        <x:v>458</x:v>
      </x:c>
      <x:c r="G3669" s="34" t="str">
        <x:v>RECORDED</x:v>
      </x:c>
      <x:c r="H3669" s="38" t="n">
        <x:f>IF(ISNUMBER('Data'!I253),'Data'!I253*100,"")</x:f>
        <x:v>10.26</x:v>
      </x:c>
      <x:c r="I3669" s="34" t="str">
        <x:v>PASS</x:v>
      </x:c>
      <x:c r="J3669" s="34" t="str">
        <x:v>PASS</x:v>
      </x:c>
      <x:c r="K3669" s="34" t="str">
        <x:v>PASS</x:v>
      </x:c>
      <x:c r="L3669" s="34" t="str">
        <x:v>FAIL</x:v>
      </x:c>
      <x:c r="M3669" s="34" t="str">
        <x:v>numeric coverage for applicable metric</x:v>
      </x:c>
      <x:c r="N3669" s="34" t="str">
        <x:v>Feedback-Directed Random Test Generation/Result/Codec_13/result.json</x:v>
      </x:c>
      <x:c r="O3669" s="38" t="n">
        <x:f>IF(AND(G3669="RECORDED",ISNUMBER(H3669)),H3669,"")</x:f>
        <x:v>10.26</x:v>
      </x:c>
      <x:c r="P3669" s="34" t="str">
        <x:v>REVEALING</x:v>
      </x:c>
      <x:c r="Q3669" s="34" t="str">
        <x:v>Feedback-Directed Random Test Generation/Result/Codec_13/result.json</x:v>
      </x:c>
    </x:row>
    <x:row r="3670">
      <x:c r="A3670" s="34" t="str">
        <x:v>randoop</x:v>
      </x:c>
      <x:c r="B3670" s="34" t="str">
        <x:v>Codec</x:v>
      </x:c>
      <x:c r="C3670" s="34" t="str">
        <x:v>Round1</x:v>
      </x:c>
      <x:c r="D3670" s="34" t="str">
        <x:v>Codec_14</x:v>
      </x:c>
      <x:c r="E3670" s="34" t="str">
        <x:v>Condition</x:v>
      </x:c>
      <x:c r="F3670" s="34" t="n">
        <x:v>0</x:v>
      </x:c>
      <x:c r="G3670" s="34" t="str">
        <x:v>A</x:v>
      </x:c>
      <x:c r="H3670" s="38" t="str">
        <x:f>IF(ISNUMBER('Data'!I254),'Data'!I254*100,"")</x:f>
      </x:c>
      <x:c r="I3670" s="34"/>
      <x:c r="J3670" s="34"/>
      <x:c r="K3670" s="34"/>
      <x:c r="L3670" s="34" t="str">
        <x:v>NOT_RUN</x:v>
      </x:c>
      <x:c r="M3670" s="34" t="str">
        <x:v>Latest same-round generation failed; older files/results are excluded</x:v>
      </x:c>
      <x:c r="N3670" s="34" t="str">
        <x:v>Feedback-Directed Random Test Generation/report.csv</x:v>
      </x:c>
      <x:c r="O3670" s="38" t="str">
        <x:f>IF(AND(G3670="RECORDED",ISNUMBER(H3670)),H3670,"")</x:f>
      </x:c>
      <x:c r="P3670" s="34" t="str">
        <x:v>FAIL</x:v>
      </x:c>
      <x:c r="Q3670" s="34"/>
    </x:row>
    <x:row r="3671">
      <x:c r="A3671" s="34" t="str">
        <x:v>randoop</x:v>
      </x:c>
      <x:c r="B3671" s="34" t="str">
        <x:v>Codec</x:v>
      </x:c>
      <x:c r="C3671" s="34" t="str">
        <x:v>Round1</x:v>
      </x:c>
      <x:c r="D3671" s="34" t="str">
        <x:v>Codec_15</x:v>
      </x:c>
      <x:c r="E3671" s="34" t="str">
        <x:v>Condition</x:v>
      </x:c>
      <x:c r="F3671" s="34" t="n">
        <x:v>34</x:v>
      </x:c>
      <x:c r="G3671" s="34" t="str">
        <x:v>RECORDED</x:v>
      </x:c>
      <x:c r="H3671" s="38" t="n">
        <x:f>IF(ISNUMBER('Data'!I255),'Data'!I255*100,"")</x:f>
        <x:v>41.18</x:v>
      </x:c>
      <x:c r="I3671" s="34" t="str">
        <x:v>PASS</x:v>
      </x:c>
      <x:c r="J3671" s="34" t="str">
        <x:v>PASS</x:v>
      </x:c>
      <x:c r="K3671" s="34" t="str">
        <x:v>PASS</x:v>
      </x:c>
      <x:c r="L3671" s="34" t="str">
        <x:v>PASS</x:v>
      </x:c>
      <x:c r="M3671" s="34" t="str">
        <x:v>numeric coverage for applicable metric</x:v>
      </x:c>
      <x:c r="N3671" s="34" t="str">
        <x:v>Feedback-Directed Random Test Generation/Result/Codec_15/result.json</x:v>
      </x:c>
      <x:c r="O3671" s="38" t="n">
        <x:f>IF(AND(G3671="RECORDED",ISNUMBER(H3671)),H3671,"")</x:f>
        <x:v>41.18</x:v>
      </x:c>
      <x:c r="P3671" s="34" t="str">
        <x:v>NOT_REVEALING</x:v>
      </x:c>
      <x:c r="Q3671" s="34" t="str">
        <x:v>Feedback-Directed Random Test Generation/Result/Codec_15/result.json</x:v>
      </x:c>
    </x:row>
    <x:row r="3672">
      <x:c r="A3672" s="34" t="str">
        <x:v>randoop</x:v>
      </x:c>
      <x:c r="B3672" s="34" t="str">
        <x:v>Codec</x:v>
      </x:c>
      <x:c r="C3672" s="34" t="str">
        <x:v>Round1</x:v>
      </x:c>
      <x:c r="D3672" s="34" t="str">
        <x:v>Codec_16</x:v>
      </x:c>
      <x:c r="E3672" s="34" t="str">
        <x:v>Condition</x:v>
      </x:c>
      <x:c r="F3672" s="34" t="n">
        <x:v>75</x:v>
      </x:c>
      <x:c r="G3672" s="34" t="str">
        <x:v>RECORDED</x:v>
      </x:c>
      <x:c r="H3672" s="38" t="n">
        <x:f>IF(ISNUMBER('Data'!I256),'Data'!I256*100,"")</x:f>
        <x:v>77.33</x:v>
      </x:c>
      <x:c r="I3672" s="34" t="str">
        <x:v>PASS</x:v>
      </x:c>
      <x:c r="J3672" s="34" t="str">
        <x:v>PASS</x:v>
      </x:c>
      <x:c r="K3672" s="34" t="str">
        <x:v>PASS</x:v>
      </x:c>
      <x:c r="L3672" s="34" t="str">
        <x:v>PASS</x:v>
      </x:c>
      <x:c r="M3672" s="34" t="str">
        <x:v>numeric coverage for applicable metric</x:v>
      </x:c>
      <x:c r="N3672" s="34" t="str">
        <x:v>Feedback-Directed Random Test Generation/Result/Codec_16/result.json</x:v>
      </x:c>
      <x:c r="O3672" s="38" t="n">
        <x:f>IF(AND(G3672="RECORDED",ISNUMBER(H3672)),H3672,"")</x:f>
        <x:v>77.33</x:v>
      </x:c>
      <x:c r="P3672" s="34" t="str">
        <x:v>NOT_REVEALING</x:v>
      </x:c>
      <x:c r="Q3672" s="34" t="str">
        <x:v>Feedback-Directed Random Test Generation/Result/Codec_16/result.json</x:v>
      </x:c>
    </x:row>
    <x:row r="3673">
      <x:c r="A3673" s="34" t="str">
        <x:v>randoop</x:v>
      </x:c>
      <x:c r="B3673" s="34" t="str">
        <x:v>Codec</x:v>
      </x:c>
      <x:c r="C3673" s="34" t="str">
        <x:v>Round1</x:v>
      </x:c>
      <x:c r="D3673" s="34" t="str">
        <x:v>Codec_17</x:v>
      </x:c>
      <x:c r="E3673" s="34" t="str">
        <x:v>Condition</x:v>
      </x:c>
      <x:c r="F3673" s="34" t="n">
        <x:v>20</x:v>
      </x:c>
      <x:c r="G3673" s="34" t="str">
        <x:v>RECORDED</x:v>
      </x:c>
      <x:c r="H3673" s="38" t="n">
        <x:f>IF(ISNUMBER('Data'!I257),'Data'!I257*100,"")</x:f>
        <x:v>65</x:v>
      </x:c>
      <x:c r="I3673" s="34" t="str">
        <x:v>PASS</x:v>
      </x:c>
      <x:c r="J3673" s="34" t="str">
        <x:v>PASS</x:v>
      </x:c>
      <x:c r="K3673" s="34" t="str">
        <x:v>PASS</x:v>
      </x:c>
      <x:c r="L3673" s="34" t="str">
        <x:v>PASS</x:v>
      </x:c>
      <x:c r="M3673" s="34" t="str">
        <x:v>numeric coverage for applicable metric</x:v>
      </x:c>
      <x:c r="N3673" s="34" t="str">
        <x:v>Feedback-Directed Random Test Generation/Result/Codec_17/result.json</x:v>
      </x:c>
      <x:c r="O3673" s="38" t="n">
        <x:f>IF(AND(G3673="RECORDED",ISNUMBER(H3673)),H3673,"")</x:f>
        <x:v>65</x:v>
      </x:c>
      <x:c r="P3673" s="34" t="str">
        <x:v>INCONCLUSIVE</x:v>
      </x:c>
      <x:c r="Q3673" s="34" t="str">
        <x:v>Feedback-Directed Random Test Generation/Result/Codec_17/result.json</x:v>
      </x:c>
    </x:row>
    <x:row r="3674">
      <x:c r="A3674" s="34" t="str">
        <x:v>randoop</x:v>
      </x:c>
      <x:c r="B3674" s="34" t="str">
        <x:v>Codec</x:v>
      </x:c>
      <x:c r="C3674" s="34" t="str">
        <x:v>Round1</x:v>
      </x:c>
      <x:c r="D3674" s="34" t="str">
        <x:v>Codec_18</x:v>
      </x:c>
      <x:c r="E3674" s="34" t="str">
        <x:v>Condition</x:v>
      </x:c>
      <x:c r="F3674" s="34" t="n">
        <x:v>20</x:v>
      </x:c>
      <x:c r="G3674" s="34" t="str">
        <x:v>RECORDED</x:v>
      </x:c>
      <x:c r="H3674" s="38" t="n">
        <x:f>IF(ISNUMBER('Data'!I258),'Data'!I258*100,"")</x:f>
        <x:v>65</x:v>
      </x:c>
      <x:c r="I3674" s="34" t="str">
        <x:v>PASS</x:v>
      </x:c>
      <x:c r="J3674" s="34" t="str">
        <x:v>PASS</x:v>
      </x:c>
      <x:c r="K3674" s="34" t="str">
        <x:v>PASS</x:v>
      </x:c>
      <x:c r="L3674" s="34" t="str">
        <x:v>PASS</x:v>
      </x:c>
      <x:c r="M3674" s="34" t="str">
        <x:v>numeric coverage for applicable metric</x:v>
      </x:c>
      <x:c r="N3674" s="34" t="str">
        <x:v>Feedback-Directed Random Test Generation/Result/Codec_18/result.json</x:v>
      </x:c>
      <x:c r="O3674" s="38" t="n">
        <x:f>IF(AND(G3674="RECORDED",ISNUMBER(H3674)),H3674,"")</x:f>
        <x:v>65</x:v>
      </x:c>
      <x:c r="P3674" s="34" t="str">
        <x:v>NOT_REVEALING</x:v>
      </x:c>
      <x:c r="Q3674" s="34" t="str">
        <x:v>Feedback-Directed Random Test Generation/Result/Codec_18/result.json</x:v>
      </x:c>
    </x:row>
    <x:row r="3675">
      <x:c r="A3675" s="34" t="str">
        <x:v>randoop</x:v>
      </x:c>
      <x:c r="B3675" s="34" t="str">
        <x:v>Collections</x:v>
      </x:c>
      <x:c r="C3675" s="34" t="str">
        <x:v>Round1</x:v>
      </x:c>
      <x:c r="D3675" s="34" t="str">
        <x:v>Collections_1</x:v>
      </x:c>
      <x:c r="E3675" s="34" t="str">
        <x:v>Condition</x:v>
      </x:c>
      <x:c r="F3675" s="34" t="n">
        <x:v>376</x:v>
      </x:c>
      <x:c r="G3675" s="34" t="str">
        <x:v>RECORDED</x:v>
      </x:c>
      <x:c r="H3675" s="38" t="n">
        <x:f>IF(ISNUMBER('Data'!I259),'Data'!I259*100,"")</x:f>
        <x:v>5.85</x:v>
      </x:c>
      <x:c r="I3675" s="34" t="str">
        <x:v>PASS</x:v>
      </x:c>
      <x:c r="J3675" s="34" t="str">
        <x:v>PASS</x:v>
      </x:c>
      <x:c r="K3675" s="34" t="str">
        <x:v>PASS</x:v>
      </x:c>
      <x:c r="L3675" s="34" t="str">
        <x:v>FAIL</x:v>
      </x:c>
      <x:c r="M3675" s="34" t="str">
        <x:v>numeric coverage for applicable metric</x:v>
      </x:c>
      <x:c r="N3675" s="34" t="str">
        <x:v>Feedback-Directed Random Test Generation/Result/Collections_1/result.json</x:v>
      </x:c>
      <x:c r="O3675" s="38" t="n">
        <x:f>IF(AND(G3675="RECORDED",ISNUMBER(H3675)),H3675,"")</x:f>
        <x:v>5.85</x:v>
      </x:c>
      <x:c r="P3675" s="34" t="str">
        <x:v>INCONCLUSIVE</x:v>
      </x:c>
      <x:c r="Q3675" s="34" t="str">
        <x:v>Feedback-Directed Random Test Generation/Result/Collections_1/result.json</x:v>
      </x:c>
    </x:row>
    <x:row r="3676">
      <x:c r="A3676" s="34" t="str">
        <x:v>randoop</x:v>
      </x:c>
      <x:c r="B3676" s="34" t="str">
        <x:v>Collections</x:v>
      </x:c>
      <x:c r="C3676" s="34" t="str">
        <x:v>Round1</x:v>
      </x:c>
      <x:c r="D3676" s="34" t="str">
        <x:v>Collections_2</x:v>
      </x:c>
      <x:c r="E3676" s="34" t="str">
        <x:v>Condition</x:v>
      </x:c>
      <x:c r="F3676" s="34" t="n">
        <x:v>268</x:v>
      </x:c>
      <x:c r="G3676" s="34" t="str">
        <x:v>RECORDED</x:v>
      </x:c>
      <x:c r="H3676" s="38" t="n">
        <x:f>IF(ISNUMBER('Data'!I260),'Data'!I260*100,"")</x:f>
        <x:v>38.43</x:v>
      </x:c>
      <x:c r="I3676" s="34" t="str">
        <x:v>PASS</x:v>
      </x:c>
      <x:c r="J3676" s="34" t="str">
        <x:v>PASS</x:v>
      </x:c>
      <x:c r="K3676" s="34" t="str">
        <x:v>PASS</x:v>
      </x:c>
      <x:c r="L3676" s="34" t="str">
        <x:v>PASS</x:v>
      </x:c>
      <x:c r="M3676" s="34" t="str">
        <x:v>numeric coverage for applicable metric</x:v>
      </x:c>
      <x:c r="N3676" s="34" t="str">
        <x:v>Feedback-Directed Random Test Generation/Result/Collections_2/result.json</x:v>
      </x:c>
      <x:c r="O3676" s="38" t="n">
        <x:f>IF(AND(G3676="RECORDED",ISNUMBER(H3676)),H3676,"")</x:f>
        <x:v>38.43</x:v>
      </x:c>
      <x:c r="P3676" s="34" t="str">
        <x:v>INCONCLUSIVE</x:v>
      </x:c>
      <x:c r="Q3676" s="34" t="str">
        <x:v>Feedback-Directed Random Test Generation/Result/Collections_2/result.json</x:v>
      </x:c>
    </x:row>
    <x:row r="3677">
      <x:c r="A3677" s="34" t="str">
        <x:v>randoop</x:v>
      </x:c>
      <x:c r="B3677" s="34" t="str">
        <x:v>Collections</x:v>
      </x:c>
      <x:c r="C3677" s="34" t="str">
        <x:v>Round1</x:v>
      </x:c>
      <x:c r="D3677" s="34" t="str">
        <x:v>Collections_3</x:v>
      </x:c>
      <x:c r="E3677" s="34" t="str">
        <x:v>Condition</x:v>
      </x:c>
      <x:c r="F3677" s="34" t="n">
        <x:v>244</x:v>
      </x:c>
      <x:c r="G3677" s="34" t="str">
        <x:v>RECORDED</x:v>
      </x:c>
      <x:c r="H3677" s="38" t="n">
        <x:f>IF(ISNUMBER('Data'!I261),'Data'!I261*100,"")</x:f>
        <x:v>25.41</x:v>
      </x:c>
      <x:c r="I3677" s="34" t="str">
        <x:v>PASS</x:v>
      </x:c>
      <x:c r="J3677" s="34" t="str">
        <x:v>PASS</x:v>
      </x:c>
      <x:c r="K3677" s="34" t="str">
        <x:v>PASS</x:v>
      </x:c>
      <x:c r="L3677" s="34" t="str">
        <x:v>FAIL</x:v>
      </x:c>
      <x:c r="M3677" s="34" t="str">
        <x:v>numeric coverage for applicable metric</x:v>
      </x:c>
      <x:c r="N3677" s="34" t="str">
        <x:v>Feedback-Directed Random Test Generation/Result/Collections_3/result.json</x:v>
      </x:c>
      <x:c r="O3677" s="38" t="n">
        <x:f>IF(AND(G3677="RECORDED",ISNUMBER(H3677)),H3677,"")</x:f>
        <x:v>25.41</x:v>
      </x:c>
      <x:c r="P3677" s="34" t="str">
        <x:v>INCONCLUSIVE</x:v>
      </x:c>
      <x:c r="Q3677" s="34" t="str">
        <x:v>Feedback-Directed Random Test Generation/Result/Collections_3/result.json</x:v>
      </x:c>
    </x:row>
    <x:row r="3678">
      <x:c r="A3678" s="34" t="str">
        <x:v>randoop</x:v>
      </x:c>
      <x:c r="B3678" s="34" t="str">
        <x:v>Collections</x:v>
      </x:c>
      <x:c r="C3678" s="34" t="str">
        <x:v>Round1</x:v>
      </x:c>
      <x:c r="D3678" s="34" t="str">
        <x:v>Collections_4</x:v>
      </x:c>
      <x:c r="E3678" s="34" t="str">
        <x:v>Condition</x:v>
      </x:c>
      <x:c r="F3678" s="34" t="n">
        <x:v>48</x:v>
      </x:c>
      <x:c r="G3678" s="34" t="str">
        <x:v>RECORDED</x:v>
      </x:c>
      <x:c r="H3678" s="38" t="n">
        <x:f>IF(ISNUMBER('Data'!I262),'Data'!I262*100,"")</x:f>
        <x:v>22.92</x:v>
      </x:c>
      <x:c r="I3678" s="34" t="str">
        <x:v>PASS</x:v>
      </x:c>
      <x:c r="J3678" s="34" t="str">
        <x:v>PASS</x:v>
      </x:c>
      <x:c r="K3678" s="34" t="str">
        <x:v>PASS</x:v>
      </x:c>
      <x:c r="L3678" s="34" t="str">
        <x:v>PASS</x:v>
      </x:c>
      <x:c r="M3678" s="34" t="str">
        <x:v>numeric coverage for applicable metric</x:v>
      </x:c>
      <x:c r="N3678" s="34" t="str">
        <x:v>Feedback-Directed Random Test Generation/Result/Collections_4/result.json</x:v>
      </x:c>
      <x:c r="O3678" s="38" t="n">
        <x:f>IF(AND(G3678="RECORDED",ISNUMBER(H3678)),H3678,"")</x:f>
        <x:v>22.92</x:v>
      </x:c>
      <x:c r="P3678" s="34" t="str">
        <x:v>NOT_REVEALING</x:v>
      </x:c>
      <x:c r="Q3678" s="34" t="str">
        <x:v>Feedback-Directed Random Test Generation/Result/Collections_4/result.json</x:v>
      </x:c>
    </x:row>
    <x:row r="3679">
      <x:c r="A3679" s="34" t="str">
        <x:v>randoop</x:v>
      </x:c>
      <x:c r="B3679" s="34" t="str">
        <x:v>Collections</x:v>
      </x:c>
      <x:c r="C3679" s="34" t="str">
        <x:v>Round1</x:v>
      </x:c>
      <x:c r="D3679" s="34" t="str">
        <x:v>Collections_5</x:v>
      </x:c>
      <x:c r="E3679" s="34" t="str">
        <x:v>Condition</x:v>
      </x:c>
      <x:c r="F3679" s="34" t="n">
        <x:v>20</x:v>
      </x:c>
      <x:c r="G3679" s="34" t="str">
        <x:v>RECORDED</x:v>
      </x:c>
      <x:c r="H3679" s="38" t="n">
        <x:f>IF(ISNUMBER('Data'!I263),'Data'!I263*100,"")</x:f>
        <x:v>5</x:v>
      </x:c>
      <x:c r="I3679" s="34" t="str">
        <x:v>PASS</x:v>
      </x:c>
      <x:c r="J3679" s="34" t="str">
        <x:v>PASS</x:v>
      </x:c>
      <x:c r="K3679" s="34" t="str">
        <x:v>PASS</x:v>
      </x:c>
      <x:c r="L3679" s="34" t="str">
        <x:v>PASS</x:v>
      </x:c>
      <x:c r="M3679" s="34" t="str">
        <x:v>numeric coverage for applicable metric</x:v>
      </x:c>
      <x:c r="N3679" s="34" t="str">
        <x:v>Feedback-Directed Random Test Generation/Result/Collections_5/result.json</x:v>
      </x:c>
      <x:c r="O3679" s="38" t="n">
        <x:f>IF(AND(G3679="RECORDED",ISNUMBER(H3679)),H3679,"")</x:f>
        <x:v>5</x:v>
      </x:c>
      <x:c r="P3679" s="34" t="str">
        <x:v>NOT_REVEALING</x:v>
      </x:c>
      <x:c r="Q3679" s="34" t="str">
        <x:v>Feedback-Directed Random Test Generation/Result/Collections_5/result.json</x:v>
      </x:c>
    </x:row>
    <x:row r="3680">
      <x:c r="A3680" s="34" t="str">
        <x:v>randoop</x:v>
      </x:c>
      <x:c r="B3680" s="34" t="str">
        <x:v>Collections</x:v>
      </x:c>
      <x:c r="C3680" s="34" t="str">
        <x:v>Round1</x:v>
      </x:c>
      <x:c r="D3680" s="34" t="str">
        <x:v>Collections_6</x:v>
      </x:c>
      <x:c r="E3680" s="34" t="str">
        <x:v>Condition</x:v>
      </x:c>
      <x:c r="F3680" s="34" t="n">
        <x:v>376</x:v>
      </x:c>
      <x:c r="G3680" s="34" t="str">
        <x:v>RECORDED</x:v>
      </x:c>
      <x:c r="H3680" s="38" t="n">
        <x:f>IF(ISNUMBER('Data'!I264),'Data'!I264*100,"")</x:f>
        <x:v>5.32</x:v>
      </x:c>
      <x:c r="I3680" s="34" t="str">
        <x:v>PASS</x:v>
      </x:c>
      <x:c r="J3680" s="34" t="str">
        <x:v>PASS</x:v>
      </x:c>
      <x:c r="K3680" s="34" t="str">
        <x:v>PASS</x:v>
      </x:c>
      <x:c r="L3680" s="34" t="str">
        <x:v>FAIL</x:v>
      </x:c>
      <x:c r="M3680" s="34" t="str">
        <x:v>numeric coverage for applicable metric</x:v>
      </x:c>
      <x:c r="N3680" s="34" t="str">
        <x:v>Feedback-Directed Random Test Generation/Result/Collections_6/result.json</x:v>
      </x:c>
      <x:c r="O3680" s="38" t="n">
        <x:f>IF(AND(G3680="RECORDED",ISNUMBER(H3680)),H3680,"")</x:f>
        <x:v>5.32</x:v>
      </x:c>
      <x:c r="P3680" s="34" t="str">
        <x:v>INCONCLUSIVE</x:v>
      </x:c>
      <x:c r="Q3680" s="34" t="str">
        <x:v>Feedback-Directed Random Test Generation/Result/Collections_6/result.json</x:v>
      </x:c>
    </x:row>
    <x:row r="3681">
      <x:c r="A3681" s="34" t="str">
        <x:v>randoop</x:v>
      </x:c>
      <x:c r="B3681" s="34" t="str">
        <x:v>Collections</x:v>
      </x:c>
      <x:c r="C3681" s="34" t="str">
        <x:v>Round1</x:v>
      </x:c>
      <x:c r="D3681" s="34" t="str">
        <x:v>Collections_7</x:v>
      </x:c>
      <x:c r="E3681" s="34" t="str">
        <x:v>Condition</x:v>
      </x:c>
      <x:c r="F3681" s="34" t="n">
        <x:v>280</x:v>
      </x:c>
      <x:c r="G3681" s="34" t="str">
        <x:v>RECORDED</x:v>
      </x:c>
      <x:c r="H3681" s="38" t="n">
        <x:f>IF(ISNUMBER('Data'!I265),'Data'!I265*100,"")</x:f>
        <x:v>38.57</x:v>
      </x:c>
      <x:c r="I3681" s="34" t="str">
        <x:v>PASS</x:v>
      </x:c>
      <x:c r="J3681" s="34" t="str">
        <x:v>PASS</x:v>
      </x:c>
      <x:c r="K3681" s="34" t="str">
        <x:v>PASS</x:v>
      </x:c>
      <x:c r="L3681" s="34" t="str">
        <x:v>PASS</x:v>
      </x:c>
      <x:c r="M3681" s="34" t="str">
        <x:v>numeric coverage for applicable metric</x:v>
      </x:c>
      <x:c r="N3681" s="34" t="str">
        <x:v>Feedback-Directed Random Test Generation/Result/Collections_7/result.json</x:v>
      </x:c>
      <x:c r="O3681" s="38" t="n">
        <x:f>IF(AND(G3681="RECORDED",ISNUMBER(H3681)),H3681,"")</x:f>
        <x:v>38.57</x:v>
      </x:c>
      <x:c r="P3681" s="34" t="str">
        <x:v>NOT_REVEALING</x:v>
      </x:c>
      <x:c r="Q3681" s="34" t="str">
        <x:v>Feedback-Directed Random Test Generation/Result/Collections_7/result.json</x:v>
      </x:c>
    </x:row>
    <x:row r="3682">
      <x:c r="A3682" s="34" t="str">
        <x:v>randoop</x:v>
      </x:c>
      <x:c r="B3682" s="34" t="str">
        <x:v>Collections</x:v>
      </x:c>
      <x:c r="C3682" s="34" t="str">
        <x:v>Round1</x:v>
      </x:c>
      <x:c r="D3682" s="34" t="str">
        <x:v>Collections_8</x:v>
      </x:c>
      <x:c r="E3682" s="34" t="str">
        <x:v>Condition</x:v>
      </x:c>
      <x:c r="F3682" s="34" t="n">
        <x:v>36</x:v>
      </x:c>
      <x:c r="G3682" s="34" t="str">
        <x:v>RECORDED</x:v>
      </x:c>
      <x:c r="H3682" s="38" t="n">
        <x:f>IF(ISNUMBER('Data'!I266),'Data'!I266*100,"")</x:f>
        <x:v>63.89</x:v>
      </x:c>
      <x:c r="I3682" s="34" t="str">
        <x:v>PASS</x:v>
      </x:c>
      <x:c r="J3682" s="34" t="str">
        <x:v>PASS</x:v>
      </x:c>
      <x:c r="K3682" s="34" t="str">
        <x:v>PASS</x:v>
      </x:c>
      <x:c r="L3682" s="34" t="str">
        <x:v>PASS</x:v>
      </x:c>
      <x:c r="M3682" s="34" t="str">
        <x:v>numeric coverage for applicable metric</x:v>
      </x:c>
      <x:c r="N3682" s="34" t="str">
        <x:v>Feedback-Directed Random Test Generation/Result/Collections_8/result.json</x:v>
      </x:c>
      <x:c r="O3682" s="38" t="n">
        <x:f>IF(AND(G3682="RECORDED",ISNUMBER(H3682)),H3682,"")</x:f>
        <x:v>63.89</x:v>
      </x:c>
      <x:c r="P3682" s="34" t="str">
        <x:v>NOT_REVEALING</x:v>
      </x:c>
      <x:c r="Q3682" s="34" t="str">
        <x:v>Feedback-Directed Random Test Generation/Result/Collections_8/result.json</x:v>
      </x:c>
    </x:row>
    <x:row r="3683">
      <x:c r="A3683" s="34" t="str">
        <x:v>randoop</x:v>
      </x:c>
      <x:c r="B3683" s="34" t="str">
        <x:v>Collections</x:v>
      </x:c>
      <x:c r="C3683" s="34" t="str">
        <x:v>Round1</x:v>
      </x:c>
      <x:c r="D3683" s="34" t="str">
        <x:v>Collections_9</x:v>
      </x:c>
      <x:c r="E3683" s="34" t="str">
        <x:v>Condition</x:v>
      </x:c>
      <x:c r="F3683" s="34" t="n">
        <x:v>280</x:v>
      </x:c>
      <x:c r="G3683" s="34" t="str">
        <x:v>RECORDED</x:v>
      </x:c>
      <x:c r="H3683" s="38" t="n">
        <x:f>IF(ISNUMBER('Data'!I267),'Data'!I267*100,"")</x:f>
        <x:v>47.14</x:v>
      </x:c>
      <x:c r="I3683" s="34" t="str">
        <x:v>PASS</x:v>
      </x:c>
      <x:c r="J3683" s="34" t="str">
        <x:v>PASS</x:v>
      </x:c>
      <x:c r="K3683" s="34" t="str">
        <x:v>PASS</x:v>
      </x:c>
      <x:c r="L3683" s="34" t="str">
        <x:v>PASS</x:v>
      </x:c>
      <x:c r="M3683" s="34" t="str">
        <x:v>numeric coverage for applicable metric</x:v>
      </x:c>
      <x:c r="N3683" s="34" t="str">
        <x:v>Feedback-Directed Random Test Generation/Result/Collections_9/result.json</x:v>
      </x:c>
      <x:c r="O3683" s="38" t="n">
        <x:f>IF(AND(G3683="RECORDED",ISNUMBER(H3683)),H3683,"")</x:f>
        <x:v>47.14</x:v>
      </x:c>
      <x:c r="P3683" s="34" t="str">
        <x:v>NOT_REVEALING</x:v>
      </x:c>
      <x:c r="Q3683" s="34" t="str">
        <x:v>Feedback-Directed Random Test Generation/Result/Collections_9/result.json</x:v>
      </x:c>
    </x:row>
    <x:row r="3684">
      <x:c r="A3684" s="34" t="str">
        <x:v>randoop</x:v>
      </x:c>
      <x:c r="B3684" s="34" t="str">
        <x:v>Collections</x:v>
      </x:c>
      <x:c r="C3684" s="34" t="str">
        <x:v>Round1</x:v>
      </x:c>
      <x:c r="D3684" s="34" t="str">
        <x:v>Collections_10</x:v>
      </x:c>
      <x:c r="E3684" s="34" t="str">
        <x:v>Condition</x:v>
      </x:c>
      <x:c r="F3684" s="34" t="n">
        <x:v>48</x:v>
      </x:c>
      <x:c r="G3684" s="34" t="str">
        <x:v>RECORDED</x:v>
      </x:c>
      <x:c r="H3684" s="38" t="n">
        <x:f>IF(ISNUMBER('Data'!I268),'Data'!I268*100,"")</x:f>
        <x:v>22.92</x:v>
      </x:c>
      <x:c r="I3684" s="34" t="str">
        <x:v>PASS</x:v>
      </x:c>
      <x:c r="J3684" s="34" t="str">
        <x:v>PASS</x:v>
      </x:c>
      <x:c r="K3684" s="34" t="str">
        <x:v>PASS</x:v>
      </x:c>
      <x:c r="L3684" s="34" t="str">
        <x:v>PASS</x:v>
      </x:c>
      <x:c r="M3684" s="34" t="str">
        <x:v>numeric coverage for applicable metric</x:v>
      </x:c>
      <x:c r="N3684" s="34" t="str">
        <x:v>Feedback-Directed Random Test Generation/Result/Collections_10/result.json</x:v>
      </x:c>
      <x:c r="O3684" s="38" t="n">
        <x:f>IF(AND(G3684="RECORDED",ISNUMBER(H3684)),H3684,"")</x:f>
        <x:v>22.92</x:v>
      </x:c>
      <x:c r="P3684" s="34" t="str">
        <x:v>NOT_REVEALING</x:v>
      </x:c>
      <x:c r="Q3684" s="34" t="str">
        <x:v>Feedback-Directed Random Test Generation/Result/Collections_10/result.json</x:v>
      </x:c>
    </x:row>
    <x:row r="3685">
      <x:c r="A3685" s="34" t="str">
        <x:v>randoop</x:v>
      </x:c>
      <x:c r="B3685" s="34" t="str">
        <x:v>Collections</x:v>
      </x:c>
      <x:c r="C3685" s="34" t="str">
        <x:v>Round1</x:v>
      </x:c>
      <x:c r="D3685" s="34" t="str">
        <x:v>Collections_11</x:v>
      </x:c>
      <x:c r="E3685" s="34" t="str">
        <x:v>Condition</x:v>
      </x:c>
      <x:c r="F3685" s="34" t="n">
        <x:v>12</x:v>
      </x:c>
      <x:c r="G3685" s="34" t="str">
        <x:v>RECORDED</x:v>
      </x:c>
      <x:c r="H3685" s="38" t="n">
        <x:f>IF(ISNUMBER('Data'!I269),'Data'!I269*100,"")</x:f>
        <x:v>91.67</x:v>
      </x:c>
      <x:c r="I3685" s="34" t="str">
        <x:v>PASS</x:v>
      </x:c>
      <x:c r="J3685" s="34" t="str">
        <x:v>PASS</x:v>
      </x:c>
      <x:c r="K3685" s="34" t="str">
        <x:v>PASS</x:v>
      </x:c>
      <x:c r="L3685" s="34" t="str">
        <x:v>PASS</x:v>
      </x:c>
      <x:c r="M3685" s="34" t="str">
        <x:v>numeric coverage for applicable metric</x:v>
      </x:c>
      <x:c r="N3685" s="34" t="str">
        <x:v>Feedback-Directed Random Test Generation/Result/Collections_11/result.json</x:v>
      </x:c>
      <x:c r="O3685" s="38" t="n">
        <x:f>IF(AND(G3685="RECORDED",ISNUMBER(H3685)),H3685,"")</x:f>
        <x:v>91.67</x:v>
      </x:c>
      <x:c r="P3685" s="34" t="str">
        <x:v>NOT_REVEALING</x:v>
      </x:c>
      <x:c r="Q3685" s="34" t="str">
        <x:v>Feedback-Directed Random Test Generation/Result/Collections_11/result.json</x:v>
      </x:c>
    </x:row>
    <x:row r="3686">
      <x:c r="A3686" s="34" t="str">
        <x:v>randoop</x:v>
      </x:c>
      <x:c r="B3686" s="34" t="str">
        <x:v>Collections</x:v>
      </x:c>
      <x:c r="C3686" s="34" t="str">
        <x:v>Round1</x:v>
      </x:c>
      <x:c r="D3686" s="34" t="str">
        <x:v>Collections_12</x:v>
      </x:c>
      <x:c r="E3686" s="34" t="str">
        <x:v>Condition</x:v>
      </x:c>
      <x:c r="F3686" s="34" t="n">
        <x:v>278</x:v>
      </x:c>
      <x:c r="G3686" s="34" t="str">
        <x:v>RECORDED</x:v>
      </x:c>
      <x:c r="H3686" s="38" t="n">
        <x:f>IF(ISNUMBER('Data'!I270),'Data'!I270*100,"")</x:f>
        <x:v>47.48</x:v>
      </x:c>
      <x:c r="I3686" s="34" t="str">
        <x:v>PASS</x:v>
      </x:c>
      <x:c r="J3686" s="34" t="str">
        <x:v>PASS</x:v>
      </x:c>
      <x:c r="K3686" s="34" t="str">
        <x:v>PASS</x:v>
      </x:c>
      <x:c r="L3686" s="34" t="str">
        <x:v>PASS</x:v>
      </x:c>
      <x:c r="M3686" s="34" t="str">
        <x:v>numeric coverage for applicable metric</x:v>
      </x:c>
      <x:c r="N3686" s="34" t="str">
        <x:v>Feedback-Directed Random Test Generation/Result/Collections_12/result.json</x:v>
      </x:c>
      <x:c r="O3686" s="38" t="n">
        <x:f>IF(AND(G3686="RECORDED",ISNUMBER(H3686)),H3686,"")</x:f>
        <x:v>47.48</x:v>
      </x:c>
      <x:c r="P3686" s="34" t="str">
        <x:v>NOT_REVEALING</x:v>
      </x:c>
      <x:c r="Q3686" s="34" t="str">
        <x:v>Feedback-Directed Random Test Generation/Result/Collections_12/result.json</x:v>
      </x:c>
    </x:row>
    <x:row r="3687">
      <x:c r="A3687" s="34" t="str">
        <x:v>randoop</x:v>
      </x:c>
      <x:c r="B3687" s="34" t="str">
        <x:v>Collections</x:v>
      </x:c>
      <x:c r="C3687" s="34" t="str">
        <x:v>Round1</x:v>
      </x:c>
      <x:c r="D3687" s="34" t="str">
        <x:v>Collections_13</x:v>
      </x:c>
      <x:c r="E3687" s="34" t="str">
        <x:v>Condition</x:v>
      </x:c>
      <x:c r="F3687" s="34" t="n">
        <x:v>278</x:v>
      </x:c>
      <x:c r="G3687" s="34" t="str">
        <x:v>RECORDED</x:v>
      </x:c>
      <x:c r="H3687" s="38" t="n">
        <x:f>IF(ISNUMBER('Data'!I271),'Data'!I271*100,"")</x:f>
        <x:v>47.48</x:v>
      </x:c>
      <x:c r="I3687" s="34" t="str">
        <x:v>PASS</x:v>
      </x:c>
      <x:c r="J3687" s="34" t="str">
        <x:v>PASS</x:v>
      </x:c>
      <x:c r="K3687" s="34" t="str">
        <x:v>PASS</x:v>
      </x:c>
      <x:c r="L3687" s="34" t="str">
        <x:v>PASS</x:v>
      </x:c>
      <x:c r="M3687" s="34" t="str">
        <x:v>numeric coverage for applicable metric</x:v>
      </x:c>
      <x:c r="N3687" s="34" t="str">
        <x:v>Feedback-Directed Random Test Generation/Result/Collections_13/result.json</x:v>
      </x:c>
      <x:c r="O3687" s="38" t="n">
        <x:f>IF(AND(G3687="RECORDED",ISNUMBER(H3687)),H3687,"")</x:f>
        <x:v>47.48</x:v>
      </x:c>
      <x:c r="P3687" s="34" t="str">
        <x:v>NOT_REVEALING</x:v>
      </x:c>
      <x:c r="Q3687" s="34" t="str">
        <x:v>Feedback-Directed Random Test Generation/Result/Collections_13/result.json</x:v>
      </x:c>
    </x:row>
    <x:row r="3688">
      <x:c r="A3688" s="34" t="str">
        <x:v>randoop</x:v>
      </x:c>
      <x:c r="B3688" s="34" t="str">
        <x:v>Collections</x:v>
      </x:c>
      <x:c r="C3688" s="34" t="str">
        <x:v>Round1</x:v>
      </x:c>
      <x:c r="D3688" s="34" t="str">
        <x:v>Collections_14</x:v>
      </x:c>
      <x:c r="E3688" s="34" t="str">
        <x:v>Condition</x:v>
      </x:c>
      <x:c r="F3688" s="34" t="n">
        <x:v>2</x:v>
      </x:c>
      <x:c r="G3688" s="34" t="str">
        <x:v>RECORDED</x:v>
      </x:c>
      <x:c r="H3688" s="38" t="n">
        <x:f>IF(ISNUMBER('Data'!I272),'Data'!I272*100,"")</x:f>
        <x:v>50</x:v>
      </x:c>
      <x:c r="I3688" s="34" t="str">
        <x:v>PASS</x:v>
      </x:c>
      <x:c r="J3688" s="34" t="str">
        <x:v>PASS</x:v>
      </x:c>
      <x:c r="K3688" s="34" t="str">
        <x:v>PASS</x:v>
      </x:c>
      <x:c r="L3688" s="34" t="str">
        <x:v>PASS</x:v>
      </x:c>
      <x:c r="M3688" s="34" t="str">
        <x:v>numeric coverage for applicable metric</x:v>
      </x:c>
      <x:c r="N3688" s="34" t="str">
        <x:v>Feedback-Directed Random Test Generation/Result/Collections_14/result.json</x:v>
      </x:c>
      <x:c r="O3688" s="38" t="n">
        <x:f>IF(AND(G3688="RECORDED",ISNUMBER(H3688)),H3688,"")</x:f>
        <x:v>50</x:v>
      </x:c>
      <x:c r="P3688" s="34" t="str">
        <x:v>NOT_REVEALING</x:v>
      </x:c>
      <x:c r="Q3688" s="34" t="str">
        <x:v>Feedback-Directed Random Test Generation/Result/Collections_14/result.json</x:v>
      </x:c>
    </x:row>
    <x:row r="3689">
      <x:c r="A3689" s="34" t="str">
        <x:v>randoop</x:v>
      </x:c>
      <x:c r="B3689" s="34" t="str">
        <x:v>Collections</x:v>
      </x:c>
      <x:c r="C3689" s="34" t="str">
        <x:v>Round1</x:v>
      </x:c>
      <x:c r="D3689" s="34" t="str">
        <x:v>Collections_15</x:v>
      </x:c>
      <x:c r="E3689" s="34" t="str">
        <x:v>Condition</x:v>
      </x:c>
      <x:c r="F3689" s="34" t="n">
        <x:v>22</x:v>
      </x:c>
      <x:c r="G3689" s="34" t="str">
        <x:v>RECORDED</x:v>
      </x:c>
      <x:c r="H3689" s="38" t="n">
        <x:f>IF(ISNUMBER('Data'!I273),'Data'!I273*100,"")</x:f>
        <x:v>4.55</x:v>
      </x:c>
      <x:c r="I3689" s="34" t="str">
        <x:v>PASS</x:v>
      </x:c>
      <x:c r="J3689" s="34" t="str">
        <x:v>PASS</x:v>
      </x:c>
      <x:c r="K3689" s="34" t="str">
        <x:v>PASS</x:v>
      </x:c>
      <x:c r="L3689" s="34" t="str">
        <x:v>PASS</x:v>
      </x:c>
      <x:c r="M3689" s="34" t="str">
        <x:v>numeric coverage for applicable metric</x:v>
      </x:c>
      <x:c r="N3689" s="34" t="str">
        <x:v>Feedback-Directed Random Test Generation/Result/Collections_15/result.json</x:v>
      </x:c>
      <x:c r="O3689" s="38" t="n">
        <x:f>IF(AND(G3689="RECORDED",ISNUMBER(H3689)),H3689,"")</x:f>
        <x:v>4.55</x:v>
      </x:c>
      <x:c r="P3689" s="34" t="str">
        <x:v>NOT_REVEALING</x:v>
      </x:c>
      <x:c r="Q3689" s="34" t="str">
        <x:v>Feedback-Directed Random Test Generation/Result/Collections_15/result.json</x:v>
      </x:c>
    </x:row>
    <x:row r="3690">
      <x:c r="A3690" s="34" t="str">
        <x:v>randoop</x:v>
      </x:c>
      <x:c r="B3690" s="34" t="str">
        <x:v>Collections</x:v>
      </x:c>
      <x:c r="C3690" s="34" t="str">
        <x:v>Round1</x:v>
      </x:c>
      <x:c r="D3690" s="34" t="str">
        <x:v>Collections_16</x:v>
      </x:c>
      <x:c r="E3690" s="34" t="str">
        <x:v>Condition</x:v>
      </x:c>
      <x:c r="F3690" s="34" t="n">
        <x:v>22</x:v>
      </x:c>
      <x:c r="G3690" s="34" t="str">
        <x:v>RECORDED</x:v>
      </x:c>
      <x:c r="H3690" s="38" t="n">
        <x:f>IF(ISNUMBER('Data'!I274),'Data'!I274*100,"")</x:f>
        <x:v>4.55</x:v>
      </x:c>
      <x:c r="I3690" s="34" t="str">
        <x:v>PASS</x:v>
      </x:c>
      <x:c r="J3690" s="34" t="str">
        <x:v>PASS</x:v>
      </x:c>
      <x:c r="K3690" s="34" t="str">
        <x:v>PASS</x:v>
      </x:c>
      <x:c r="L3690" s="34" t="str">
        <x:v>PASS</x:v>
      </x:c>
      <x:c r="M3690" s="34" t="str">
        <x:v>numeric coverage for applicable metric</x:v>
      </x:c>
      <x:c r="N3690" s="34" t="str">
        <x:v>Feedback-Directed Random Test Generation/Result/Collections_16/result.json</x:v>
      </x:c>
      <x:c r="O3690" s="38" t="n">
        <x:f>IF(AND(G3690="RECORDED",ISNUMBER(H3690)),H3690,"")</x:f>
        <x:v>4.55</x:v>
      </x:c>
      <x:c r="P3690" s="34" t="str">
        <x:v>NOT_REVEALING</x:v>
      </x:c>
      <x:c r="Q3690" s="34" t="str">
        <x:v>Feedback-Directed Random Test Generation/Result/Collections_16/result.json</x:v>
      </x:c>
    </x:row>
    <x:row r="3691">
      <x:c r="A3691" s="34" t="str">
        <x:v>randoop</x:v>
      </x:c>
      <x:c r="B3691" s="34" t="str">
        <x:v>Collections</x:v>
      </x:c>
      <x:c r="C3691" s="34" t="str">
        <x:v>Round1</x:v>
      </x:c>
      <x:c r="D3691" s="34" t="str">
        <x:v>Collections_17</x:v>
      </x:c>
      <x:c r="E3691" s="34" t="str">
        <x:v>Condition</x:v>
      </x:c>
      <x:c r="F3691" s="34" t="n">
        <x:v>4</x:v>
      </x:c>
      <x:c r="G3691" s="34" t="str">
        <x:v>RECORDED</x:v>
      </x:c>
      <x:c r="H3691" s="38" t="n">
        <x:f>IF(ISNUMBER('Data'!I275),'Data'!I275*100,"")</x:f>
        <x:v>25</x:v>
      </x:c>
      <x:c r="I3691" s="34" t="str">
        <x:v>PASS</x:v>
      </x:c>
      <x:c r="J3691" s="34" t="str">
        <x:v>PASS</x:v>
      </x:c>
      <x:c r="K3691" s="34" t="str">
        <x:v>PASS</x:v>
      </x:c>
      <x:c r="L3691" s="34" t="str">
        <x:v>PASS</x:v>
      </x:c>
      <x:c r="M3691" s="34" t="str">
        <x:v>numeric coverage for applicable metric</x:v>
      </x:c>
      <x:c r="N3691" s="34" t="str">
        <x:v>Feedback-Directed Random Test Generation/Result/Collections_17/result.json</x:v>
      </x:c>
      <x:c r="O3691" s="38" t="n">
        <x:f>IF(AND(G3691="RECORDED",ISNUMBER(H3691)),H3691,"")</x:f>
        <x:v>25</x:v>
      </x:c>
      <x:c r="P3691" s="34" t="str">
        <x:v>INCONCLUSIVE</x:v>
      </x:c>
      <x:c r="Q3691" s="34" t="str">
        <x:v>Feedback-Directed Random Test Generation/Result/Collections_17/result.json</x:v>
      </x:c>
    </x:row>
    <x:row r="3692">
      <x:c r="A3692" s="34" t="str">
        <x:v>randoop</x:v>
      </x:c>
      <x:c r="B3692" s="34" t="str">
        <x:v>Collections</x:v>
      </x:c>
      <x:c r="C3692" s="34" t="str">
        <x:v>Round1</x:v>
      </x:c>
      <x:c r="D3692" s="34" t="str">
        <x:v>Collections_18</x:v>
      </x:c>
      <x:c r="E3692" s="34" t="str">
        <x:v>Condition</x:v>
      </x:c>
      <x:c r="F3692" s="34" t="n">
        <x:v>36</x:v>
      </x:c>
      <x:c r="G3692" s="34" t="str">
        <x:v>RECORDED</x:v>
      </x:c>
      <x:c r="H3692" s="38" t="n">
        <x:f>IF(ISNUMBER('Data'!I276),'Data'!I276*100,"")</x:f>
        <x:v>61.11</x:v>
      </x:c>
      <x:c r="I3692" s="34" t="str">
        <x:v>PASS</x:v>
      </x:c>
      <x:c r="J3692" s="34" t="str">
        <x:v>PASS</x:v>
      </x:c>
      <x:c r="K3692" s="34" t="str">
        <x:v>PASS</x:v>
      </x:c>
      <x:c r="L3692" s="34" t="str">
        <x:v>FAIL</x:v>
      </x:c>
      <x:c r="M3692" s="34" t="str">
        <x:v>numeric coverage for applicable metric</x:v>
      </x:c>
      <x:c r="N3692" s="34" t="str">
        <x:v>Feedback-Directed Random Test Generation/Result/Collections_18/result.json</x:v>
      </x:c>
      <x:c r="O3692" s="38" t="n">
        <x:f>IF(AND(G3692="RECORDED",ISNUMBER(H3692)),H3692,"")</x:f>
        <x:v>61.11</x:v>
      </x:c>
      <x:c r="P3692" s="34" t="str">
        <x:v>INCONCLUSIVE</x:v>
      </x:c>
      <x:c r="Q3692" s="34" t="str">
        <x:v>Feedback-Directed Random Test Generation/Result/Collections_18/result.json</x:v>
      </x:c>
    </x:row>
    <x:row r="3693">
      <x:c r="A3693" s="34" t="str">
        <x:v>randoop</x:v>
      </x:c>
      <x:c r="B3693" s="34" t="str">
        <x:v>Collections</x:v>
      </x:c>
      <x:c r="C3693" s="34" t="str">
        <x:v>Round1</x:v>
      </x:c>
      <x:c r="D3693" s="34" t="str">
        <x:v>Collections_19</x:v>
      </x:c>
      <x:c r="E3693" s="34" t="str">
        <x:v>Condition</x:v>
      </x:c>
      <x:c r="F3693" s="34" t="n">
        <x:v>38</x:v>
      </x:c>
      <x:c r="G3693" s="34" t="str">
        <x:v>RECORDED</x:v>
      </x:c>
      <x:c r="H3693" s="38" t="n">
        <x:f>IF(ISNUMBER('Data'!I277),'Data'!I277*100,"")</x:f>
        <x:v>44.74</x:v>
      </x:c>
      <x:c r="I3693" s="34" t="str">
        <x:v>PASS</x:v>
      </x:c>
      <x:c r="J3693" s="34" t="str">
        <x:v>PASS</x:v>
      </x:c>
      <x:c r="K3693" s="34" t="str">
        <x:v>PASS</x:v>
      </x:c>
      <x:c r="L3693" s="34" t="str">
        <x:v>PASS</x:v>
      </x:c>
      <x:c r="M3693" s="34" t="str">
        <x:v>numeric coverage for applicable metric</x:v>
      </x:c>
      <x:c r="N3693" s="34" t="str">
        <x:v>Feedback-Directed Random Test Generation/Result/Collections_19/result.json</x:v>
      </x:c>
      <x:c r="O3693" s="38" t="n">
        <x:f>IF(AND(G3693="RECORDED",ISNUMBER(H3693)),H3693,"")</x:f>
        <x:v>44.74</x:v>
      </x:c>
      <x:c r="P3693" s="34" t="str">
        <x:v>NOT_REVEALING</x:v>
      </x:c>
      <x:c r="Q3693" s="34" t="str">
        <x:v>Feedback-Directed Random Test Generation/Result/Collections_19/result.json</x:v>
      </x:c>
    </x:row>
    <x:row r="3694">
      <x:c r="A3694" s="34" t="str">
        <x:v>randoop</x:v>
      </x:c>
      <x:c r="B3694" s="34" t="str">
        <x:v>Collections</x:v>
      </x:c>
      <x:c r="C3694" s="34" t="str">
        <x:v>Round1</x:v>
      </x:c>
      <x:c r="D3694" s="34" t="str">
        <x:v>Collections_20</x:v>
      </x:c>
      <x:c r="E3694" s="34" t="str">
        <x:v>Condition</x:v>
      </x:c>
      <x:c r="F3694" s="34" t="n">
        <x:v>154</x:v>
      </x:c>
      <x:c r="G3694" s="34" t="str">
        <x:v>RECORDED</x:v>
      </x:c>
      <x:c r="H3694" s="38" t="n">
        <x:f>IF(ISNUMBER('Data'!I278),'Data'!I278*100,"")</x:f>
        <x:v>35.06</x:v>
      </x:c>
      <x:c r="I3694" s="34" t="str">
        <x:v>PASS</x:v>
      </x:c>
      <x:c r="J3694" s="34" t="str">
        <x:v>PASS</x:v>
      </x:c>
      <x:c r="K3694" s="34" t="str">
        <x:v>PASS</x:v>
      </x:c>
      <x:c r="L3694" s="34" t="str">
        <x:v>PASS</x:v>
      </x:c>
      <x:c r="M3694" s="34" t="str">
        <x:v>numeric coverage for applicable metric</x:v>
      </x:c>
      <x:c r="N3694" s="34" t="str">
        <x:v>Feedback-Directed Random Test Generation/Result/Collections_20/result.json</x:v>
      </x:c>
      <x:c r="O3694" s="38" t="n">
        <x:f>IF(AND(G3694="RECORDED",ISNUMBER(H3694)),H3694,"")</x:f>
        <x:v>35.06</x:v>
      </x:c>
      <x:c r="P3694" s="34" t="str">
        <x:v>NOT_REVEALING</x:v>
      </x:c>
      <x:c r="Q3694" s="34" t="str">
        <x:v>Feedback-Directed Random Test Generation/Result/Collections_20/result.json</x:v>
      </x:c>
    </x:row>
    <x:row r="3695">
      <x:c r="A3695" s="34" t="str">
        <x:v>randoop</x:v>
      </x:c>
      <x:c r="B3695" s="34" t="str">
        <x:v>Collections</x:v>
      </x:c>
      <x:c r="C3695" s="34" t="str">
        <x:v>Round1</x:v>
      </x:c>
      <x:c r="D3695" s="34" t="str">
        <x:v>Collections_21</x:v>
      </x:c>
      <x:c r="E3695" s="34" t="str">
        <x:v>Condition</x:v>
      </x:c>
      <x:c r="F3695" s="34" t="n">
        <x:v>38</x:v>
      </x:c>
      <x:c r="G3695" s="34" t="str">
        <x:v>RECORDED</x:v>
      </x:c>
      <x:c r="H3695" s="38" t="n">
        <x:f>IF(ISNUMBER('Data'!I279),'Data'!I279*100,"")</x:f>
        <x:v>44.74</x:v>
      </x:c>
      <x:c r="I3695" s="34" t="str">
        <x:v>PASS</x:v>
      </x:c>
      <x:c r="J3695" s="34" t="str">
        <x:v>PASS</x:v>
      </x:c>
      <x:c r="K3695" s="34" t="str">
        <x:v>PASS</x:v>
      </x:c>
      <x:c r="L3695" s="34" t="str">
        <x:v>PASS</x:v>
      </x:c>
      <x:c r="M3695" s="34" t="str">
        <x:v>numeric coverage for applicable metric</x:v>
      </x:c>
      <x:c r="N3695" s="34" t="str">
        <x:v>Feedback-Directed Random Test Generation/Result/Collections_21/result.json</x:v>
      </x:c>
      <x:c r="O3695" s="38" t="n">
        <x:f>IF(AND(G3695="RECORDED",ISNUMBER(H3695)),H3695,"")</x:f>
        <x:v>44.74</x:v>
      </x:c>
      <x:c r="P3695" s="34" t="str">
        <x:v>NOT_REVEALING</x:v>
      </x:c>
      <x:c r="Q3695" s="34" t="str">
        <x:v>Feedback-Directed Random Test Generation/Result/Collections_21/result.json</x:v>
      </x:c>
    </x:row>
    <x:row r="3696">
      <x:c r="A3696" s="34" t="str">
        <x:v>randoop</x:v>
      </x:c>
      <x:c r="B3696" s="34" t="str">
        <x:v>Collections</x:v>
      </x:c>
      <x:c r="C3696" s="34" t="str">
        <x:v>Round1</x:v>
      </x:c>
      <x:c r="D3696" s="34" t="str">
        <x:v>Collections_22</x:v>
      </x:c>
      <x:c r="E3696" s="34" t="str">
        <x:v>Condition</x:v>
      </x:c>
      <x:c r="F3696" s="34" t="n">
        <x:v>52</x:v>
      </x:c>
      <x:c r="G3696" s="34" t="str">
        <x:v>RECORDED</x:v>
      </x:c>
      <x:c r="H3696" s="38" t="n">
        <x:f>IF(ISNUMBER('Data'!I280),'Data'!I280*100,"")</x:f>
        <x:v>5.77</x:v>
      </x:c>
      <x:c r="I3696" s="34" t="str">
        <x:v>PASS</x:v>
      </x:c>
      <x:c r="J3696" s="34" t="str">
        <x:v>PASS</x:v>
      </x:c>
      <x:c r="K3696" s="34" t="str">
        <x:v>PASS</x:v>
      </x:c>
      <x:c r="L3696" s="34" t="str">
        <x:v>FAIL</x:v>
      </x:c>
      <x:c r="M3696" s="34" t="str">
        <x:v>numeric coverage for applicable metric</x:v>
      </x:c>
      <x:c r="N3696" s="34" t="str">
        <x:v>Feedback-Directed Random Test Generation/Result/Collections_22/result.json</x:v>
      </x:c>
      <x:c r="O3696" s="38" t="n">
        <x:f>IF(AND(G3696="RECORDED",ISNUMBER(H3696)),H3696,"")</x:f>
        <x:v>5.77</x:v>
      </x:c>
      <x:c r="P3696" s="34" t="str">
        <x:v>INCONCLUSIVE</x:v>
      </x:c>
      <x:c r="Q3696" s="34" t="str">
        <x:v>Feedback-Directed Random Test Generation/Result/Collections_22/result.json</x:v>
      </x:c>
    </x:row>
    <x:row r="3697">
      <x:c r="A3697" s="34" t="str">
        <x:v>randoop</x:v>
      </x:c>
      <x:c r="B3697" s="34" t="str">
        <x:v>Collections</x:v>
      </x:c>
      <x:c r="C3697" s="34" t="str">
        <x:v>Round1</x:v>
      </x:c>
      <x:c r="D3697" s="34" t="str">
        <x:v>Collections_23</x:v>
      </x:c>
      <x:c r="E3697" s="34" t="str">
        <x:v>Condition</x:v>
      </x:c>
      <x:c r="F3697" s="34" t="n">
        <x:v>2</x:v>
      </x:c>
      <x:c r="G3697" s="34" t="str">
        <x:v>RECORDED</x:v>
      </x:c>
      <x:c r="H3697" s="38" t="n">
        <x:f>IF(ISNUMBER('Data'!I281),'Data'!I281*100,"")</x:f>
        <x:v>0</x:v>
      </x:c>
      <x:c r="I3697" s="34" t="str">
        <x:v>PASS</x:v>
      </x:c>
      <x:c r="J3697" s="34" t="str">
        <x:v>PASS</x:v>
      </x:c>
      <x:c r="K3697" s="34" t="str">
        <x:v>PASS</x:v>
      </x:c>
      <x:c r="L3697" s="34" t="str">
        <x:v>PASS</x:v>
      </x:c>
      <x:c r="M3697" s="34" t="str">
        <x:v>numeric coverage for applicable metric</x:v>
      </x:c>
      <x:c r="N3697" s="34" t="str">
        <x:v>Feedback-Directed Random Test Generation/Result/Collections_23/result.json</x:v>
      </x:c>
      <x:c r="O3697" s="38" t="n">
        <x:f>IF(AND(G3697="RECORDED",ISNUMBER(H3697)),H3697,"")</x:f>
        <x:v>0</x:v>
      </x:c>
      <x:c r="P3697" s="34" t="str">
        <x:v>NOT_REVEALING</x:v>
      </x:c>
      <x:c r="Q3697" s="34" t="str">
        <x:v>Feedback-Directed Random Test Generation/Result/Collections_23/result.json</x:v>
      </x:c>
    </x:row>
    <x:row r="3698">
      <x:c r="A3698" s="34" t="str">
        <x:v>randoop</x:v>
      </x:c>
      <x:c r="B3698" s="34" t="str">
        <x:v>Collections</x:v>
      </x:c>
      <x:c r="C3698" s="34" t="str">
        <x:v>Round1</x:v>
      </x:c>
      <x:c r="D3698" s="34" t="str">
        <x:v>Collections_24</x:v>
      </x:c>
      <x:c r="E3698" s="34" t="str">
        <x:v>Condition</x:v>
      </x:c>
      <x:c r="F3698" s="34" t="n">
        <x:v>12</x:v>
      </x:c>
      <x:c r="G3698" s="34" t="str">
        <x:v>RECORDED</x:v>
      </x:c>
      <x:c r="H3698" s="38" t="n">
        <x:f>IF(ISNUMBER('Data'!I282),'Data'!I282*100,"")</x:f>
        <x:v>0</x:v>
      </x:c>
      <x:c r="I3698" s="34" t="str">
        <x:v>PASS</x:v>
      </x:c>
      <x:c r="J3698" s="34" t="str">
        <x:v>PASS</x:v>
      </x:c>
      <x:c r="K3698" s="34" t="str">
        <x:v>PASS</x:v>
      </x:c>
      <x:c r="L3698" s="34" t="str">
        <x:v>PASS</x:v>
      </x:c>
      <x:c r="M3698" s="34" t="str">
        <x:v>numeric coverage for applicable metric</x:v>
      </x:c>
      <x:c r="N3698" s="34" t="str">
        <x:v>Feedback-Directed Random Test Generation/Result/Collections_24/result.json</x:v>
      </x:c>
      <x:c r="O3698" s="38" t="n">
        <x:f>IF(AND(G3698="RECORDED",ISNUMBER(H3698)),H3698,"")</x:f>
        <x:v>0</x:v>
      </x:c>
      <x:c r="P3698" s="34" t="str">
        <x:v>NOT_REVEALING</x:v>
      </x:c>
      <x:c r="Q3698" s="34" t="str">
        <x:v>Feedback-Directed Random Test Generation/Result/Collections_24/result.json</x:v>
      </x:c>
    </x:row>
    <x:row r="3699">
      <x:c r="A3699" s="34" t="str">
        <x:v>randoop</x:v>
      </x:c>
      <x:c r="B3699" s="34" t="str">
        <x:v>Collections</x:v>
      </x:c>
      <x:c r="C3699" s="34" t="str">
        <x:v>Round1</x:v>
      </x:c>
      <x:c r="D3699" s="34" t="str">
        <x:v>Collections_25</x:v>
      </x:c>
      <x:c r="E3699" s="34" t="str">
        <x:v>Condition</x:v>
      </x:c>
      <x:c r="F3699" s="34" t="n">
        <x:v>126</x:v>
      </x:c>
      <x:c r="G3699" s="34" t="str">
        <x:v>RECORDED</x:v>
      </x:c>
      <x:c r="H3699" s="38" t="n">
        <x:f>IF(ISNUMBER('Data'!I283),'Data'!I283*100,"")</x:f>
        <x:v>9.52</x:v>
      </x:c>
      <x:c r="I3699" s="34" t="str">
        <x:v>PASS</x:v>
      </x:c>
      <x:c r="J3699" s="34" t="str">
        <x:v>PASS</x:v>
      </x:c>
      <x:c r="K3699" s="34" t="str">
        <x:v>PASS</x:v>
      </x:c>
      <x:c r="L3699" s="34" t="str">
        <x:v>PASS</x:v>
      </x:c>
      <x:c r="M3699" s="34" t="str">
        <x:v>numeric coverage for applicable metric</x:v>
      </x:c>
      <x:c r="N3699" s="34" t="str">
        <x:v>Feedback-Directed Random Test Generation/Result/Collections_25/result.json</x:v>
      </x:c>
      <x:c r="O3699" s="38" t="n">
        <x:f>IF(AND(G3699="RECORDED",ISNUMBER(H3699)),H3699,"")</x:f>
        <x:v>9.52</x:v>
      </x:c>
      <x:c r="P3699" s="34" t="str">
        <x:v>NOT_REVEALING</x:v>
      </x:c>
      <x:c r="Q3699" s="34" t="str">
        <x:v>Feedback-Directed Random Test Generation/Result/Collections_25/result.json</x:v>
      </x:c>
    </x:row>
    <x:row r="3700">
      <x:c r="A3700" s="34" t="str">
        <x:v>randoop</x:v>
      </x:c>
      <x:c r="B3700" s="34" t="str">
        <x:v>Collections</x:v>
      </x:c>
      <x:c r="C3700" s="34" t="str">
        <x:v>Round1</x:v>
      </x:c>
      <x:c r="D3700" s="34" t="str">
        <x:v>Collections_26</x:v>
      </x:c>
      <x:c r="E3700" s="34" t="str">
        <x:v>Condition</x:v>
      </x:c>
      <x:c r="F3700" s="34" t="n">
        <x:v>12</x:v>
      </x:c>
      <x:c r="G3700" s="34" t="str">
        <x:v>RECORDED</x:v>
      </x:c>
      <x:c r="H3700" s="38" t="n">
        <x:f>IF(ISNUMBER('Data'!I284),'Data'!I284*100,"")</x:f>
        <x:v>91.67</x:v>
      </x:c>
      <x:c r="I3700" s="34" t="str">
        <x:v>PASS</x:v>
      </x:c>
      <x:c r="J3700" s="34" t="str">
        <x:v>PASS</x:v>
      </x:c>
      <x:c r="K3700" s="34" t="str">
        <x:v>PASS</x:v>
      </x:c>
      <x:c r="L3700" s="34" t="str">
        <x:v>PASS</x:v>
      </x:c>
      <x:c r="M3700" s="34" t="str">
        <x:v>numeric coverage for applicable metric</x:v>
      </x:c>
      <x:c r="N3700" s="34" t="str">
        <x:v>Feedback-Directed Random Test Generation/Result/Collections_26/result.json</x:v>
      </x:c>
      <x:c r="O3700" s="38" t="n">
        <x:f>IF(AND(G3700="RECORDED",ISNUMBER(H3700)),H3700,"")</x:f>
        <x:v>91.67</x:v>
      </x:c>
      <x:c r="P3700" s="34" t="str">
        <x:v>NOT_REVEALING</x:v>
      </x:c>
      <x:c r="Q3700" s="34" t="str">
        <x:v>Feedback-Directed Random Test Generation/Result/Collections_26/result.json</x:v>
      </x:c>
    </x:row>
    <x:row r="3701">
      <x:c r="A3701" s="34" t="str">
        <x:v>randoop</x:v>
      </x:c>
      <x:c r="B3701" s="34" t="str">
        <x:v>Collections</x:v>
      </x:c>
      <x:c r="C3701" s="34" t="str">
        <x:v>Round1</x:v>
      </x:c>
      <x:c r="D3701" s="34" t="str">
        <x:v>Collections_27</x:v>
      </x:c>
      <x:c r="E3701" s="34" t="str">
        <x:v>Condition</x:v>
      </x:c>
      <x:c r="F3701" s="34" t="n">
        <x:v>50</x:v>
      </x:c>
      <x:c r="G3701" s="34" t="str">
        <x:v>RECORDED</x:v>
      </x:c>
      <x:c r="H3701" s="38" t="n">
        <x:f>IF(ISNUMBER('Data'!I285),'Data'!I285*100,"")</x:f>
        <x:v>30</x:v>
      </x:c>
      <x:c r="I3701" s="34" t="str">
        <x:v>PASS</x:v>
      </x:c>
      <x:c r="J3701" s="34" t="str">
        <x:v>PASS</x:v>
      </x:c>
      <x:c r="K3701" s="34" t="str">
        <x:v>PASS</x:v>
      </x:c>
      <x:c r="L3701" s="34" t="str">
        <x:v>PASS</x:v>
      </x:c>
      <x:c r="M3701" s="34" t="str">
        <x:v>numeric coverage for applicable metric</x:v>
      </x:c>
      <x:c r="N3701" s="34" t="str">
        <x:v>Feedback-Directed Random Test Generation/Result/Collections_27/result.json</x:v>
      </x:c>
      <x:c r="O3701" s="38" t="n">
        <x:f>IF(AND(G3701="RECORDED",ISNUMBER(H3701)),H3701,"")</x:f>
        <x:v>30</x:v>
      </x:c>
      <x:c r="P3701" s="34" t="str">
        <x:v>NOT_REVEALING</x:v>
      </x:c>
      <x:c r="Q3701" s="34" t="str">
        <x:v>Feedback-Directed Random Test Generation/Result/Collections_27/result.json</x:v>
      </x:c>
    </x:row>
    <x:row r="3702">
      <x:c r="A3702" s="34" t="str">
        <x:v>randoop</x:v>
      </x:c>
      <x:c r="B3702" s="34" t="str">
        <x:v>Collections</x:v>
      </x:c>
      <x:c r="C3702" s="34" t="str">
        <x:v>Round1</x:v>
      </x:c>
      <x:c r="D3702" s="34" t="str">
        <x:v>Collections_28</x:v>
      </x:c>
      <x:c r="E3702" s="34" t="str">
        <x:v>Condition</x:v>
      </x:c>
      <x:c r="F3702" s="34" t="n">
        <x:v>542</x:v>
      </x:c>
      <x:c r="G3702" s="34" t="str">
        <x:v>RECORDED</x:v>
      </x:c>
      <x:c r="H3702" s="38" t="n">
        <x:f>IF(ISNUMBER('Data'!I286),'Data'!I286*100,"")</x:f>
        <x:v>2.58</x:v>
      </x:c>
      <x:c r="I3702" s="34" t="str">
        <x:v>PASS</x:v>
      </x:c>
      <x:c r="J3702" s="34" t="str">
        <x:v>PASS</x:v>
      </x:c>
      <x:c r="K3702" s="34" t="str">
        <x:v>PASS</x:v>
      </x:c>
      <x:c r="L3702" s="34" t="str">
        <x:v>PASS</x:v>
      </x:c>
      <x:c r="M3702" s="34" t="str">
        <x:v>numeric coverage for applicable metric</x:v>
      </x:c>
      <x:c r="N3702" s="34" t="str">
        <x:v>Feedback-Directed Random Test Generation/Result/Collections_28/result.json</x:v>
      </x:c>
      <x:c r="O3702" s="38" t="n">
        <x:f>IF(AND(G3702="RECORDED",ISNUMBER(H3702)),H3702,"")</x:f>
        <x:v>2.58</x:v>
      </x:c>
      <x:c r="P3702" s="34" t="str">
        <x:v>NOT_REVEALING</x:v>
      </x:c>
      <x:c r="Q3702" s="34" t="str">
        <x:v>Feedback-Directed Random Test Generation/Result/Collections_28/result.json</x:v>
      </x:c>
    </x:row>
    <x:row r="3703">
      <x:c r="A3703" s="34" t="str">
        <x:v>randoop</x:v>
      </x:c>
      <x:c r="B3703" s="34" t="str">
        <x:v>Compress</x:v>
      </x:c>
      <x:c r="C3703" s="34" t="str">
        <x:v>Round1</x:v>
      </x:c>
      <x:c r="D3703" s="34" t="str">
        <x:v>Compress_1</x:v>
      </x:c>
      <x:c r="E3703" s="34" t="str">
        <x:v>Condition</x:v>
      </x:c>
      <x:c r="F3703" s="34" t="n">
        <x:v>59</x:v>
      </x:c>
      <x:c r="G3703" s="34" t="str">
        <x:v>RECORDED</x:v>
      </x:c>
      <x:c r="H3703" s="38" t="n">
        <x:f>IF(ISNUMBER('Data'!I287),'Data'!I287*100,"")</x:f>
        <x:v>28.809999999999995</x:v>
      </x:c>
      <x:c r="I3703" s="34" t="str">
        <x:v>PASS</x:v>
      </x:c>
      <x:c r="J3703" s="34" t="str">
        <x:v>PASS</x:v>
      </x:c>
      <x:c r="K3703" s="34" t="str">
        <x:v>PASS</x:v>
      </x:c>
      <x:c r="L3703" s="34" t="str">
        <x:v>PASS</x:v>
      </x:c>
      <x:c r="M3703" s="34" t="str">
        <x:v>numeric coverage for applicable metric</x:v>
      </x:c>
      <x:c r="N3703" s="34" t="str">
        <x:v>Feedback-Directed Random Test Generation/Result/Compress_1/result.json</x:v>
      </x:c>
      <x:c r="O3703" s="38" t="n">
        <x:f>IF(AND(G3703="RECORDED",ISNUMBER(H3703)),H3703,"")</x:f>
        <x:v>28.809999999999995</x:v>
      </x:c>
      <x:c r="P3703" s="34" t="str">
        <x:v>INCONCLUSIVE</x:v>
      </x:c>
      <x:c r="Q3703" s="34" t="str">
        <x:v>Feedback-Directed Random Test Generation/Result/Compress_1/result.json</x:v>
      </x:c>
    </x:row>
    <x:row r="3704">
      <x:c r="A3704" s="34" t="str">
        <x:v>randoop</x:v>
      </x:c>
      <x:c r="B3704" s="34" t="str">
        <x:v>Compress</x:v>
      </x:c>
      <x:c r="C3704" s="34" t="str">
        <x:v>Round1</x:v>
      </x:c>
      <x:c r="D3704" s="34" t="str">
        <x:v>Compress_2</x:v>
      </x:c>
      <x:c r="E3704" s="34" t="str">
        <x:v>Condition</x:v>
      </x:c>
      <x:c r="F3704" s="34" t="n">
        <x:v>42</x:v>
      </x:c>
      <x:c r="G3704" s="34" t="str">
        <x:v>RECORDED</x:v>
      </x:c>
      <x:c r="H3704" s="38" t="n">
        <x:f>IF(ISNUMBER('Data'!I288),'Data'!I288*100,"")</x:f>
        <x:v>11.9</x:v>
      </x:c>
      <x:c r="I3704" s="34" t="str">
        <x:v>PASS</x:v>
      </x:c>
      <x:c r="J3704" s="34" t="str">
        <x:v>PASS</x:v>
      </x:c>
      <x:c r="K3704" s="34" t="str">
        <x:v>PASS</x:v>
      </x:c>
      <x:c r="L3704" s="34" t="str">
        <x:v>PASS</x:v>
      </x:c>
      <x:c r="M3704" s="34" t="str">
        <x:v>numeric coverage for applicable metric</x:v>
      </x:c>
      <x:c r="N3704" s="34" t="str">
        <x:v>Feedback-Directed Random Test Generation/Result/Compress_2/result.json</x:v>
      </x:c>
      <x:c r="O3704" s="38" t="n">
        <x:f>IF(AND(G3704="RECORDED",ISNUMBER(H3704)),H3704,"")</x:f>
        <x:v>11.9</x:v>
      </x:c>
      <x:c r="P3704" s="34" t="str">
        <x:v>NOT_REVEALING</x:v>
      </x:c>
      <x:c r="Q3704" s="34" t="str">
        <x:v>Feedback-Directed Random Test Generation/Result/Compress_2/result.json</x:v>
      </x:c>
    </x:row>
    <x:row r="3705">
      <x:c r="A3705" s="34" t="str">
        <x:v>randoop</x:v>
      </x:c>
      <x:c r="B3705" s="34" t="str">
        <x:v>Compress</x:v>
      </x:c>
      <x:c r="C3705" s="34" t="str">
        <x:v>Round1</x:v>
      </x:c>
      <x:c r="D3705" s="34" t="str">
        <x:v>Compress_3</x:v>
      </x:c>
      <x:c r="E3705" s="34" t="str">
        <x:v>Condition</x:v>
      </x:c>
      <x:c r="F3705" s="34" t="n">
        <x:v>28</x:v>
      </x:c>
      <x:c r="G3705" s="34" t="str">
        <x:v>RECORDED</x:v>
      </x:c>
      <x:c r="H3705" s="38" t="n">
        <x:f>IF(ISNUMBER('Data'!I289),'Data'!I289*100,"")</x:f>
        <x:v>32.14</x:v>
      </x:c>
      <x:c r="I3705" s="34" t="str">
        <x:v>PASS</x:v>
      </x:c>
      <x:c r="J3705" s="34" t="str">
        <x:v>PASS</x:v>
      </x:c>
      <x:c r="K3705" s="34" t="str">
        <x:v>PASS</x:v>
      </x:c>
      <x:c r="L3705" s="34" t="str">
        <x:v>PASS</x:v>
      </x:c>
      <x:c r="M3705" s="34" t="str">
        <x:v>numeric coverage for applicable metric</x:v>
      </x:c>
      <x:c r="N3705" s="34" t="str">
        <x:v>Feedback-Directed Random Test Generation/Result/Compress_3/result.json</x:v>
      </x:c>
      <x:c r="O3705" s="38" t="n">
        <x:f>IF(AND(G3705="RECORDED",ISNUMBER(H3705)),H3705,"")</x:f>
        <x:v>32.14</x:v>
      </x:c>
      <x:c r="P3705" s="34" t="str">
        <x:v>NOT_REVEALING</x:v>
      </x:c>
      <x:c r="Q3705" s="34" t="str">
        <x:v>Feedback-Directed Random Test Generation/Result/Compress_3/result.json</x:v>
      </x:c>
    </x:row>
    <x:row r="3706">
      <x:c r="A3706" s="34" t="str">
        <x:v>randoop</x:v>
      </x:c>
      <x:c r="B3706" s="34" t="str">
        <x:v>Compress</x:v>
      </x:c>
      <x:c r="C3706" s="34" t="str">
        <x:v>Round1</x:v>
      </x:c>
      <x:c r="D3706" s="34" t="str">
        <x:v>Compress_4</x:v>
      </x:c>
      <x:c r="E3706" s="34" t="str">
        <x:v>Condition</x:v>
      </x:c>
      <x:c r="F3706" s="34" t="n">
        <x:v>253</x:v>
      </x:c>
      <x:c r="G3706" s="34" t="str">
        <x:v>RECORDED</x:v>
      </x:c>
      <x:c r="H3706" s="38" t="n">
        <x:f>IF(ISNUMBER('Data'!I290),'Data'!I290*100,"")</x:f>
        <x:v>5.93</x:v>
      </x:c>
      <x:c r="I3706" s="34" t="str">
        <x:v>PASS</x:v>
      </x:c>
      <x:c r="J3706" s="34" t="str">
        <x:v>PASS</x:v>
      </x:c>
      <x:c r="K3706" s="34" t="str">
        <x:v>PASS</x:v>
      </x:c>
      <x:c r="L3706" s="34" t="str">
        <x:v>PASS</x:v>
      </x:c>
      <x:c r="M3706" s="34" t="str">
        <x:v>numeric coverage for applicable metric</x:v>
      </x:c>
      <x:c r="N3706" s="34" t="str">
        <x:v>Feedback-Directed Random Test Generation/Result/Compress_4/result.json</x:v>
      </x:c>
      <x:c r="O3706" s="38" t="n">
        <x:f>IF(AND(G3706="RECORDED",ISNUMBER(H3706)),H3706,"")</x:f>
        <x:v>5.93</x:v>
      </x:c>
      <x:c r="P3706" s="34" t="str">
        <x:v>INCONCLUSIVE</x:v>
      </x:c>
      <x:c r="Q3706" s="34" t="str">
        <x:v>Feedback-Directed Random Test Generation/Result/Compress_4/result.json</x:v>
      </x:c>
    </x:row>
    <x:row r="3707">
      <x:c r="A3707" s="34" t="str">
        <x:v>randoop</x:v>
      </x:c>
      <x:c r="B3707" s="34" t="str">
        <x:v>Compress</x:v>
      </x:c>
      <x:c r="C3707" s="34" t="str">
        <x:v>Round1</x:v>
      </x:c>
      <x:c r="D3707" s="34" t="str">
        <x:v>Compress_5</x:v>
      </x:c>
      <x:c r="E3707" s="34" t="str">
        <x:v>Condition</x:v>
      </x:c>
      <x:c r="F3707" s="34" t="n">
        <x:v>94</x:v>
      </x:c>
      <x:c r="G3707" s="34" t="str">
        <x:v>RECORDED</x:v>
      </x:c>
      <x:c r="H3707" s="38" t="n">
        <x:f>IF(ISNUMBER('Data'!I291),'Data'!I291*100,"")</x:f>
        <x:v>24.47</x:v>
      </x:c>
      <x:c r="I3707" s="34" t="str">
        <x:v>PASS</x:v>
      </x:c>
      <x:c r="J3707" s="34" t="str">
        <x:v>PASS</x:v>
      </x:c>
      <x:c r="K3707" s="34" t="str">
        <x:v>PASS</x:v>
      </x:c>
      <x:c r="L3707" s="34" t="str">
        <x:v>PASS</x:v>
      </x:c>
      <x:c r="M3707" s="34" t="str">
        <x:v>numeric coverage for applicable metric</x:v>
      </x:c>
      <x:c r="N3707" s="34" t="str">
        <x:v>Feedback-Directed Random Test Generation/Result/Compress_5/result.json</x:v>
      </x:c>
      <x:c r="O3707" s="38" t="n">
        <x:f>IF(AND(G3707="RECORDED",ISNUMBER(H3707)),H3707,"")</x:f>
        <x:v>24.47</x:v>
      </x:c>
      <x:c r="P3707" s="34" t="str">
        <x:v>NOT_REVEALING</x:v>
      </x:c>
      <x:c r="Q3707" s="34" t="str">
        <x:v>Feedback-Directed Random Test Generation/Result/Compress_5/result.json</x:v>
      </x:c>
    </x:row>
    <x:row r="3708">
      <x:c r="A3708" s="34" t="str">
        <x:v>randoop</x:v>
      </x:c>
      <x:c r="B3708" s="34" t="str">
        <x:v>Compress</x:v>
      </x:c>
      <x:c r="C3708" s="34" t="str">
        <x:v>Round1</x:v>
      </x:c>
      <x:c r="D3708" s="34" t="str">
        <x:v>Compress_6</x:v>
      </x:c>
      <x:c r="E3708" s="34" t="str">
        <x:v>Condition</x:v>
      </x:c>
      <x:c r="F3708" s="34" t="n">
        <x:v>60</x:v>
      </x:c>
      <x:c r="G3708" s="34" t="str">
        <x:v>RECORDED</x:v>
      </x:c>
      <x:c r="H3708" s="38" t="n">
        <x:f>IF(ISNUMBER('Data'!I292),'Data'!I292*100,"")</x:f>
        <x:v>28.33</x:v>
      </x:c>
      <x:c r="I3708" s="34" t="str">
        <x:v>PASS</x:v>
      </x:c>
      <x:c r="J3708" s="34" t="str">
        <x:v>PASS</x:v>
      </x:c>
      <x:c r="K3708" s="34" t="str">
        <x:v>PASS</x:v>
      </x:c>
      <x:c r="L3708" s="34" t="str">
        <x:v>FAIL</x:v>
      </x:c>
      <x:c r="M3708" s="34" t="str">
        <x:v>numeric coverage for applicable metric</x:v>
      </x:c>
      <x:c r="N3708" s="34" t="str">
        <x:v>Feedback-Directed Random Test Generation/Result/Compress_6/result.json</x:v>
      </x:c>
      <x:c r="O3708" s="38" t="n">
        <x:f>IF(AND(G3708="RECORDED",ISNUMBER(H3708)),H3708,"")</x:f>
        <x:v>28.33</x:v>
      </x:c>
      <x:c r="P3708" s="34" t="str">
        <x:v>INCONCLUSIVE</x:v>
      </x:c>
      <x:c r="Q3708" s="34" t="str">
        <x:v>Feedback-Directed Random Test Generation/Result/Compress_6/result.json</x:v>
      </x:c>
    </x:row>
    <x:row r="3709">
      <x:c r="A3709" s="34" t="str">
        <x:v>randoop</x:v>
      </x:c>
      <x:c r="B3709" s="34" t="str">
        <x:v>Compress</x:v>
      </x:c>
      <x:c r="C3709" s="34" t="str">
        <x:v>Round1</x:v>
      </x:c>
      <x:c r="D3709" s="34" t="str">
        <x:v>Compress_7</x:v>
      </x:c>
      <x:c r="E3709" s="34" t="str">
        <x:v>Condition</x:v>
      </x:c>
      <x:c r="F3709" s="34" t="n">
        <x:v>38</x:v>
      </x:c>
      <x:c r="G3709" s="34" t="str">
        <x:v>RECORDED</x:v>
      </x:c>
      <x:c r="H3709" s="38" t="n">
        <x:f>IF(ISNUMBER('Data'!I293),'Data'!I293*100,"")</x:f>
        <x:v>76.32</x:v>
      </x:c>
      <x:c r="I3709" s="34" t="str">
        <x:v>PASS</x:v>
      </x:c>
      <x:c r="J3709" s="34" t="str">
        <x:v>PASS</x:v>
      </x:c>
      <x:c r="K3709" s="34" t="str">
        <x:v>PASS</x:v>
      </x:c>
      <x:c r="L3709" s="34" t="str">
        <x:v>PASS</x:v>
      </x:c>
      <x:c r="M3709" s="34" t="str">
        <x:v>numeric coverage for applicable metric</x:v>
      </x:c>
      <x:c r="N3709" s="34" t="str">
        <x:v>Feedback-Directed Random Test Generation/Result/Compress_7/result.json</x:v>
      </x:c>
      <x:c r="O3709" s="38" t="n">
        <x:f>IF(AND(G3709="RECORDED",ISNUMBER(H3709)),H3709,"")</x:f>
        <x:v>76.32</x:v>
      </x:c>
      <x:c r="P3709" s="34" t="str">
        <x:v>INCONCLUSIVE</x:v>
      </x:c>
      <x:c r="Q3709" s="34" t="str">
        <x:v>Feedback-Directed Random Test Generation/Result/Compress_7/result.json</x:v>
      </x:c>
    </x:row>
    <x:row r="3710">
      <x:c r="A3710" s="34" t="str">
        <x:v>randoop</x:v>
      </x:c>
      <x:c r="B3710" s="34" t="str">
        <x:v>Compress</x:v>
      </x:c>
      <x:c r="C3710" s="34" t="str">
        <x:v>Round1</x:v>
      </x:c>
      <x:c r="D3710" s="34" t="str">
        <x:v>Compress_8</x:v>
      </x:c>
      <x:c r="E3710" s="34" t="str">
        <x:v>Condition</x:v>
      </x:c>
      <x:c r="F3710" s="34" t="n">
        <x:v>38</x:v>
      </x:c>
      <x:c r="G3710" s="34" t="str">
        <x:v>RECORDED</x:v>
      </x:c>
      <x:c r="H3710" s="38" t="n">
        <x:f>IF(ISNUMBER('Data'!I294),'Data'!I294*100,"")</x:f>
        <x:v>76.32</x:v>
      </x:c>
      <x:c r="I3710" s="34" t="str">
        <x:v>PASS</x:v>
      </x:c>
      <x:c r="J3710" s="34" t="str">
        <x:v>PASS</x:v>
      </x:c>
      <x:c r="K3710" s="34" t="str">
        <x:v>PASS</x:v>
      </x:c>
      <x:c r="L3710" s="34" t="str">
        <x:v>PASS</x:v>
      </x:c>
      <x:c r="M3710" s="34" t="str">
        <x:v>numeric coverage for applicable metric</x:v>
      </x:c>
      <x:c r="N3710" s="34" t="str">
        <x:v>Feedback-Directed Random Test Generation/Result/Compress_8/result.json</x:v>
      </x:c>
      <x:c r="O3710" s="38" t="n">
        <x:f>IF(AND(G3710="RECORDED",ISNUMBER(H3710)),H3710,"")</x:f>
        <x:v>76.32</x:v>
      </x:c>
      <x:c r="P3710" s="34" t="str">
        <x:v>INCONCLUSIVE</x:v>
      </x:c>
      <x:c r="Q3710" s="34" t="str">
        <x:v>Feedback-Directed Random Test Generation/Result/Compress_8/result.json</x:v>
      </x:c>
    </x:row>
    <x:row r="3711">
      <x:c r="A3711" s="34" t="str">
        <x:v>randoop</x:v>
      </x:c>
      <x:c r="B3711" s="34" t="str">
        <x:v>Compress</x:v>
      </x:c>
      <x:c r="C3711" s="34" t="str">
        <x:v>Round1</x:v>
      </x:c>
      <x:c r="D3711" s="34" t="str">
        <x:v>Compress_9</x:v>
      </x:c>
      <x:c r="E3711" s="34" t="str">
        <x:v>Condition</x:v>
      </x:c>
      <x:c r="F3711" s="34" t="n">
        <x:v>42</x:v>
      </x:c>
      <x:c r="G3711" s="34" t="str">
        <x:v>RECORDED</x:v>
      </x:c>
      <x:c r="H3711" s="38" t="n">
        <x:f>IF(ISNUMBER('Data'!I295),'Data'!I295*100,"")</x:f>
        <x:v>30.95</x:v>
      </x:c>
      <x:c r="I3711" s="34" t="str">
        <x:v>PASS</x:v>
      </x:c>
      <x:c r="J3711" s="34" t="str">
        <x:v>PASS</x:v>
      </x:c>
      <x:c r="K3711" s="34" t="str">
        <x:v>PASS</x:v>
      </x:c>
      <x:c r="L3711" s="34" t="str">
        <x:v>PASS</x:v>
      </x:c>
      <x:c r="M3711" s="34" t="str">
        <x:v>numeric coverage for applicable metric</x:v>
      </x:c>
      <x:c r="N3711" s="34" t="str">
        <x:v>Feedback-Directed Random Test Generation/Result/Compress_9/result.json</x:v>
      </x:c>
      <x:c r="O3711" s="38" t="n">
        <x:f>IF(AND(G3711="RECORDED",ISNUMBER(H3711)),H3711,"")</x:f>
        <x:v>30.95</x:v>
      </x:c>
      <x:c r="P3711" s="34" t="str">
        <x:v>NOT_REVEALING</x:v>
      </x:c>
      <x:c r="Q3711" s="34" t="str">
        <x:v>Feedback-Directed Random Test Generation/Result/Compress_9/result.json</x:v>
      </x:c>
    </x:row>
    <x:row r="3712">
      <x:c r="A3712" s="34" t="str">
        <x:v>randoop</x:v>
      </x:c>
      <x:c r="B3712" s="34" t="str">
        <x:v>Compress</x:v>
      </x:c>
      <x:c r="C3712" s="34" t="str">
        <x:v>Round1</x:v>
      </x:c>
      <x:c r="D3712" s="34" t="str">
        <x:v>Compress_10</x:v>
      </x:c>
      <x:c r="E3712" s="34" t="str">
        <x:v>Condition</x:v>
      </x:c>
      <x:c r="F3712" s="34" t="n">
        <x:v>113</x:v>
      </x:c>
      <x:c r="G3712" s="34" t="str">
        <x:v>RECORDED</x:v>
      </x:c>
      <x:c r="H3712" s="38" t="n">
        <x:f>IF(ISNUMBER('Data'!I296),'Data'!I296*100,"")</x:f>
        <x:v>0.88</x:v>
      </x:c>
      <x:c r="I3712" s="34" t="str">
        <x:v>PASS</x:v>
      </x:c>
      <x:c r="J3712" s="34" t="str">
        <x:v>PASS</x:v>
      </x:c>
      <x:c r="K3712" s="34" t="str">
        <x:v>PASS</x:v>
      </x:c>
      <x:c r="L3712" s="34" t="str">
        <x:v>PASS</x:v>
      </x:c>
      <x:c r="M3712" s="34" t="str">
        <x:v>numeric coverage for applicable metric</x:v>
      </x:c>
      <x:c r="N3712" s="34" t="str">
        <x:v>Feedback-Directed Random Test Generation/Result/Compress_10/result.json</x:v>
      </x:c>
      <x:c r="O3712" s="38" t="n">
        <x:f>IF(AND(G3712="RECORDED",ISNUMBER(H3712)),H3712,"")</x:f>
        <x:v>0.88</x:v>
      </x:c>
      <x:c r="P3712" s="34" t="str">
        <x:v>NOT_REVEALING</x:v>
      </x:c>
      <x:c r="Q3712" s="34" t="str">
        <x:v>Feedback-Directed Random Test Generation/Result/Compress_10/result.json</x:v>
      </x:c>
    </x:row>
    <x:row r="3713">
      <x:c r="A3713" s="34" t="str">
        <x:v>randoop</x:v>
      </x:c>
      <x:c r="B3713" s="34" t="str">
        <x:v>Compress</x:v>
      </x:c>
      <x:c r="C3713" s="34" t="str">
        <x:v>Round1</x:v>
      </x:c>
      <x:c r="D3713" s="34" t="str">
        <x:v>Compress_11</x:v>
      </x:c>
      <x:c r="E3713" s="34" t="str">
        <x:v>Condition</x:v>
      </x:c>
      <x:c r="F3713" s="34" t="n">
        <x:v>46</x:v>
      </x:c>
      <x:c r="G3713" s="34" t="str">
        <x:v>RECORDED</x:v>
      </x:c>
      <x:c r="H3713" s="38" t="n">
        <x:f>IF(ISNUMBER('Data'!I297),'Data'!I297*100,"")</x:f>
        <x:v>10.87</x:v>
      </x:c>
      <x:c r="I3713" s="34" t="str">
        <x:v>PASS</x:v>
      </x:c>
      <x:c r="J3713" s="34" t="str">
        <x:v>PASS</x:v>
      </x:c>
      <x:c r="K3713" s="34" t="str">
        <x:v>PASS</x:v>
      </x:c>
      <x:c r="L3713" s="34" t="str">
        <x:v>PASS</x:v>
      </x:c>
      <x:c r="M3713" s="34" t="str">
        <x:v>numeric coverage for applicable metric</x:v>
      </x:c>
      <x:c r="N3713" s="34" t="str">
        <x:v>Feedback-Directed Random Test Generation/Result/Compress_11/result.json</x:v>
      </x:c>
      <x:c r="O3713" s="38" t="n">
        <x:f>IF(AND(G3713="RECORDED",ISNUMBER(H3713)),H3713,"")</x:f>
        <x:v>10.87</x:v>
      </x:c>
      <x:c r="P3713" s="34" t="str">
        <x:v>NOT_REVEALING</x:v>
      </x:c>
      <x:c r="Q3713" s="34" t="str">
        <x:v>Feedback-Directed Random Test Generation/Result/Compress_11/result.json</x:v>
      </x:c>
    </x:row>
    <x:row r="3714">
      <x:c r="A3714" s="34" t="str">
        <x:v>randoop</x:v>
      </x:c>
      <x:c r="B3714" s="34" t="str">
        <x:v>Compress</x:v>
      </x:c>
      <x:c r="C3714" s="34" t="str">
        <x:v>Round1</x:v>
      </x:c>
      <x:c r="D3714" s="34" t="str">
        <x:v>Compress_12</x:v>
      </x:c>
      <x:c r="E3714" s="34" t="str">
        <x:v>Condition</x:v>
      </x:c>
      <x:c r="F3714" s="34" t="n">
        <x:v>110</x:v>
      </x:c>
      <x:c r="G3714" s="34" t="str">
        <x:v>RECORDED</x:v>
      </x:c>
      <x:c r="H3714" s="38" t="n">
        <x:f>IF(ISNUMBER('Data'!I298),'Data'!I298*100,"")</x:f>
        <x:v>12.73</x:v>
      </x:c>
      <x:c r="I3714" s="34" t="str">
        <x:v>PASS</x:v>
      </x:c>
      <x:c r="J3714" s="34" t="str">
        <x:v>PASS</x:v>
      </x:c>
      <x:c r="K3714" s="34" t="str">
        <x:v>PASS</x:v>
      </x:c>
      <x:c r="L3714" s="34" t="str">
        <x:v>PASS</x:v>
      </x:c>
      <x:c r="M3714" s="34" t="str">
        <x:v>numeric coverage for applicable metric</x:v>
      </x:c>
      <x:c r="N3714" s="34" t="str">
        <x:v>Feedback-Directed Random Test Generation/Result/Compress_12/result.json</x:v>
      </x:c>
      <x:c r="O3714" s="38" t="n">
        <x:f>IF(AND(G3714="RECORDED",ISNUMBER(H3714)),H3714,"")</x:f>
        <x:v>12.73</x:v>
      </x:c>
      <x:c r="P3714" s="34" t="str">
        <x:v>NOT_REVEALING</x:v>
      </x:c>
      <x:c r="Q3714" s="34" t="str">
        <x:v>Feedback-Directed Random Test Generation/Result/Compress_12/result.json</x:v>
      </x:c>
    </x:row>
    <x:row r="3715">
      <x:c r="A3715" s="34" t="str">
        <x:v>randoop</x:v>
      </x:c>
      <x:c r="B3715" s="34" t="str">
        <x:v>Compress</x:v>
      </x:c>
      <x:c r="C3715" s="34" t="str">
        <x:v>Round1</x:v>
      </x:c>
      <x:c r="D3715" s="34" t="str">
        <x:v>Compress_13</x:v>
      </x:c>
      <x:c r="E3715" s="34" t="str">
        <x:v>Condition</x:v>
      </x:c>
      <x:c r="F3715" s="34" t="n">
        <x:v>104</x:v>
      </x:c>
      <x:c r="G3715" s="34" t="str">
        <x:v>RECORDED</x:v>
      </x:c>
      <x:c r="H3715" s="38" t="n">
        <x:f>IF(ISNUMBER('Data'!I299),'Data'!I299*100,"")</x:f>
        <x:v>20.19</x:v>
      </x:c>
      <x:c r="I3715" s="34" t="str">
        <x:v>PASS</x:v>
      </x:c>
      <x:c r="J3715" s="34" t="str">
        <x:v>PASS</x:v>
      </x:c>
      <x:c r="K3715" s="34" t="str">
        <x:v>PASS</x:v>
      </x:c>
      <x:c r="L3715" s="34" t="str">
        <x:v>PASS</x:v>
      </x:c>
      <x:c r="M3715" s="34" t="str">
        <x:v>numeric coverage for applicable metric</x:v>
      </x:c>
      <x:c r="N3715" s="34" t="str">
        <x:v>Feedback-Directed Random Test Generation/Result/Compress_13/result.json</x:v>
      </x:c>
      <x:c r="O3715" s="38" t="n">
        <x:f>IF(AND(G3715="RECORDED",ISNUMBER(H3715)),H3715,"")</x:f>
        <x:v>20.19</x:v>
      </x:c>
      <x:c r="P3715" s="34" t="str">
        <x:v>NOT_REVEALING</x:v>
      </x:c>
      <x:c r="Q3715" s="34" t="str">
        <x:v>Feedback-Directed Random Test Generation/Result/Compress_13/result.json</x:v>
      </x:c>
    </x:row>
    <x:row r="3716">
      <x:c r="A3716" s="34" t="str">
        <x:v>randoop</x:v>
      </x:c>
      <x:c r="B3716" s="34" t="str">
        <x:v>Compress</x:v>
      </x:c>
      <x:c r="C3716" s="34" t="str">
        <x:v>Round1</x:v>
      </x:c>
      <x:c r="D3716" s="34" t="str">
        <x:v>Compress_14</x:v>
      </x:c>
      <x:c r="E3716" s="34" t="str">
        <x:v>Condition</x:v>
      </x:c>
      <x:c r="F3716" s="34" t="n">
        <x:v>66</x:v>
      </x:c>
      <x:c r="G3716" s="34" t="str">
        <x:v>RECORDED</x:v>
      </x:c>
      <x:c r="H3716" s="38" t="n">
        <x:f>IF(ISNUMBER('Data'!I300),'Data'!I300*100,"")</x:f>
        <x:v>43.94</x:v>
      </x:c>
      <x:c r="I3716" s="34" t="str">
        <x:v>PASS</x:v>
      </x:c>
      <x:c r="J3716" s="34" t="str">
        <x:v>PASS</x:v>
      </x:c>
      <x:c r="K3716" s="34" t="str">
        <x:v>PASS</x:v>
      </x:c>
      <x:c r="L3716" s="34" t="str">
        <x:v>PASS</x:v>
      </x:c>
      <x:c r="M3716" s="34" t="str">
        <x:v>numeric coverage for applicable metric</x:v>
      </x:c>
      <x:c r="N3716" s="34" t="str">
        <x:v>Feedback-Directed Random Test Generation/Result/Compress_14/result.json</x:v>
      </x:c>
      <x:c r="O3716" s="38" t="n">
        <x:f>IF(AND(G3716="RECORDED",ISNUMBER(H3716)),H3716,"")</x:f>
        <x:v>43.94</x:v>
      </x:c>
      <x:c r="P3716" s="34" t="str">
        <x:v>NOT_REVEALING</x:v>
      </x:c>
      <x:c r="Q3716" s="34" t="str">
        <x:v>Feedback-Directed Random Test Generation/Result/Compress_14/result.json</x:v>
      </x:c>
    </x:row>
    <x:row r="3717">
      <x:c r="A3717" s="34" t="str">
        <x:v>randoop</x:v>
      </x:c>
      <x:c r="B3717" s="34" t="str">
        <x:v>Compress</x:v>
      </x:c>
      <x:c r="C3717" s="34" t="str">
        <x:v>Round1</x:v>
      </x:c>
      <x:c r="D3717" s="34" t="str">
        <x:v>Compress_15</x:v>
      </x:c>
      <x:c r="E3717" s="34" t="str">
        <x:v>Condition</x:v>
      </x:c>
      <x:c r="F3717" s="34" t="n">
        <x:v>110</x:v>
      </x:c>
      <x:c r="G3717" s="34" t="str">
        <x:v>RECORDED</x:v>
      </x:c>
      <x:c r="H3717" s="38" t="n">
        <x:f>IF(ISNUMBER('Data'!I301),'Data'!I301*100,"")</x:f>
        <x:v>21.82</x:v>
      </x:c>
      <x:c r="I3717" s="34" t="str">
        <x:v>PASS</x:v>
      </x:c>
      <x:c r="J3717" s="34" t="str">
        <x:v>PASS</x:v>
      </x:c>
      <x:c r="K3717" s="34" t="str">
        <x:v>PASS</x:v>
      </x:c>
      <x:c r="L3717" s="34" t="str">
        <x:v>PASS</x:v>
      </x:c>
      <x:c r="M3717" s="34" t="str">
        <x:v>numeric coverage for applicable metric</x:v>
      </x:c>
      <x:c r="N3717" s="34" t="str">
        <x:v>Feedback-Directed Random Test Generation/Result/Compress_15/result.json</x:v>
      </x:c>
      <x:c r="O3717" s="38" t="n">
        <x:f>IF(AND(G3717="RECORDED",ISNUMBER(H3717)),H3717,"")</x:f>
        <x:v>21.82</x:v>
      </x:c>
      <x:c r="P3717" s="34" t="str">
        <x:v>NOT_REVEALING</x:v>
      </x:c>
      <x:c r="Q3717" s="34" t="str">
        <x:v>Feedback-Directed Random Test Generation/Result/Compress_15/result.json</x:v>
      </x:c>
    </x:row>
    <x:row r="3718">
      <x:c r="A3718" s="34" t="str">
        <x:v>randoop</x:v>
      </x:c>
      <x:c r="B3718" s="34" t="str">
        <x:v>Compress</x:v>
      </x:c>
      <x:c r="C3718" s="34" t="str">
        <x:v>Round1</x:v>
      </x:c>
      <x:c r="D3718" s="34" t="str">
        <x:v>Compress_16</x:v>
      </x:c>
      <x:c r="E3718" s="34" t="str">
        <x:v>Condition</x:v>
      </x:c>
      <x:c r="F3718" s="34" t="n">
        <x:v>48</x:v>
      </x:c>
      <x:c r="G3718" s="34" t="str">
        <x:v>RECORDED</x:v>
      </x:c>
      <x:c r="H3718" s="38" t="n">
        <x:f>IF(ISNUMBER('Data'!I302),'Data'!I302*100,"")</x:f>
        <x:v>10.42</x:v>
      </x:c>
      <x:c r="I3718" s="34" t="str">
        <x:v>PASS</x:v>
      </x:c>
      <x:c r="J3718" s="34" t="str">
        <x:v>PASS</x:v>
      </x:c>
      <x:c r="K3718" s="34" t="str">
        <x:v>PASS</x:v>
      </x:c>
      <x:c r="L3718" s="34" t="str">
        <x:v>PASS</x:v>
      </x:c>
      <x:c r="M3718" s="34" t="str">
        <x:v>numeric coverage for applicable metric</x:v>
      </x:c>
      <x:c r="N3718" s="34" t="str">
        <x:v>Feedback-Directed Random Test Generation/Result/Compress_16/result.json</x:v>
      </x:c>
      <x:c r="O3718" s="38" t="n">
        <x:f>IF(AND(G3718="RECORDED",ISNUMBER(H3718)),H3718,"")</x:f>
        <x:v>10.42</x:v>
      </x:c>
      <x:c r="P3718" s="34" t="str">
        <x:v>NOT_REVEALING</x:v>
      </x:c>
      <x:c r="Q3718" s="34" t="str">
        <x:v>Feedback-Directed Random Test Generation/Result/Compress_16/result.json</x:v>
      </x:c>
    </x:row>
    <x:row r="3719">
      <x:c r="A3719" s="34" t="str">
        <x:v>randoop</x:v>
      </x:c>
      <x:c r="B3719" s="34" t="str">
        <x:v>Compress</x:v>
      </x:c>
      <x:c r="C3719" s="34" t="str">
        <x:v>Round1</x:v>
      </x:c>
      <x:c r="D3719" s="34" t="str">
        <x:v>Compress_17</x:v>
      </x:c>
      <x:c r="E3719" s="34" t="str">
        <x:v>Condition</x:v>
      </x:c>
      <x:c r="F3719" s="34" t="n">
        <x:v>116</x:v>
      </x:c>
      <x:c r="G3719" s="34" t="str">
        <x:v>RECORDED</x:v>
      </x:c>
      <x:c r="H3719" s="38" t="n">
        <x:f>IF(ISNUMBER('Data'!I303),'Data'!I303*100,"")</x:f>
        <x:v>31.900000000000002</x:v>
      </x:c>
      <x:c r="I3719" s="34" t="str">
        <x:v>PASS</x:v>
      </x:c>
      <x:c r="J3719" s="34" t="str">
        <x:v>PASS</x:v>
      </x:c>
      <x:c r="K3719" s="34" t="str">
        <x:v>PASS</x:v>
      </x:c>
      <x:c r="L3719" s="34" t="str">
        <x:v>PASS</x:v>
      </x:c>
      <x:c r="M3719" s="34" t="str">
        <x:v>numeric coverage for applicable metric</x:v>
      </x:c>
      <x:c r="N3719" s="34" t="str">
        <x:v>Feedback-Directed Random Test Generation/Result/Compress_17/result.json</x:v>
      </x:c>
      <x:c r="O3719" s="38" t="n">
        <x:f>IF(AND(G3719="RECORDED",ISNUMBER(H3719)),H3719,"")</x:f>
        <x:v>31.900000000000002</x:v>
      </x:c>
      <x:c r="P3719" s="34" t="str">
        <x:v>NOT_REVEALING</x:v>
      </x:c>
      <x:c r="Q3719" s="34" t="str">
        <x:v>Feedback-Directed Random Test Generation/Result/Compress_17/result.json</x:v>
      </x:c>
    </x:row>
    <x:row r="3720">
      <x:c r="A3720" s="34" t="str">
        <x:v>randoop</x:v>
      </x:c>
      <x:c r="B3720" s="34" t="str">
        <x:v>Compress</x:v>
      </x:c>
      <x:c r="C3720" s="34" t="str">
        <x:v>Round1</x:v>
      </x:c>
      <x:c r="D3720" s="34" t="str">
        <x:v>Compress_18</x:v>
      </x:c>
      <x:c r="E3720" s="34" t="str">
        <x:v>Condition</x:v>
      </x:c>
      <x:c r="F3720" s="34" t="n">
        <x:v>84</x:v>
      </x:c>
      <x:c r="G3720" s="34" t="str">
        <x:v>RECORDED</x:v>
      </x:c>
      <x:c r="H3720" s="38" t="n">
        <x:f>IF(ISNUMBER('Data'!I304),'Data'!I304*100,"")</x:f>
        <x:v>20.24</x:v>
      </x:c>
      <x:c r="I3720" s="34" t="str">
        <x:v>PASS</x:v>
      </x:c>
      <x:c r="J3720" s="34" t="str">
        <x:v>PASS</x:v>
      </x:c>
      <x:c r="K3720" s="34" t="str">
        <x:v>PASS</x:v>
      </x:c>
      <x:c r="L3720" s="34" t="str">
        <x:v>PASS</x:v>
      </x:c>
      <x:c r="M3720" s="34" t="str">
        <x:v>numeric coverage for applicable metric</x:v>
      </x:c>
      <x:c r="N3720" s="34" t="str">
        <x:v>Feedback-Directed Random Test Generation/Result/Compress_18/result.json</x:v>
      </x:c>
      <x:c r="O3720" s="38" t="n">
        <x:f>IF(AND(G3720="RECORDED",ISNUMBER(H3720)),H3720,"")</x:f>
        <x:v>20.24</x:v>
      </x:c>
      <x:c r="P3720" s="34" t="str">
        <x:v>NOT_REVEALING</x:v>
      </x:c>
      <x:c r="Q3720" s="34" t="str">
        <x:v>Feedback-Directed Random Test Generation/Result/Compress_18/result.json</x:v>
      </x:c>
    </x:row>
    <x:row r="3721">
      <x:c r="A3721" s="34" t="str">
        <x:v>randoop</x:v>
      </x:c>
      <x:c r="B3721" s="34" t="str">
        <x:v>Compress</x:v>
      </x:c>
      <x:c r="C3721" s="34" t="str">
        <x:v>Round1</x:v>
      </x:c>
      <x:c r="D3721" s="34" t="str">
        <x:v>Compress_19</x:v>
      </x:c>
      <x:c r="E3721" s="34" t="str">
        <x:v>Condition</x:v>
      </x:c>
      <x:c r="F3721" s="34" t="n">
        <x:v>60</x:v>
      </x:c>
      <x:c r="G3721" s="34" t="str">
        <x:v>RECORDED</x:v>
      </x:c>
      <x:c r="H3721" s="38" t="n">
        <x:f>IF(ISNUMBER('Data'!I305),'Data'!I305*100,"")</x:f>
        <x:v>25</x:v>
      </x:c>
      <x:c r="I3721" s="34" t="str">
        <x:v>PASS</x:v>
      </x:c>
      <x:c r="J3721" s="34" t="str">
        <x:v>PASS</x:v>
      </x:c>
      <x:c r="K3721" s="34" t="str">
        <x:v>PASS</x:v>
      </x:c>
      <x:c r="L3721" s="34" t="str">
        <x:v>PASS</x:v>
      </x:c>
      <x:c r="M3721" s="34" t="str">
        <x:v>numeric coverage for applicable metric</x:v>
      </x:c>
      <x:c r="N3721" s="34" t="str">
        <x:v>Feedback-Directed Random Test Generation/Result/Compress_19/result.json</x:v>
      </x:c>
      <x:c r="O3721" s="38" t="n">
        <x:f>IF(AND(G3721="RECORDED",ISNUMBER(H3721)),H3721,"")</x:f>
        <x:v>25</x:v>
      </x:c>
      <x:c r="P3721" s="34" t="str">
        <x:v>NOT_REVEALING</x:v>
      </x:c>
      <x:c r="Q3721" s="34" t="str">
        <x:v>Feedback-Directed Random Test Generation/Result/Compress_19/result.json</x:v>
      </x:c>
    </x:row>
    <x:row r="3722">
      <x:c r="A3722" s="34" t="str">
        <x:v>randoop</x:v>
      </x:c>
      <x:c r="B3722" s="34" t="str">
        <x:v>Compress</x:v>
      </x:c>
      <x:c r="C3722" s="34" t="str">
        <x:v>Round1</x:v>
      </x:c>
      <x:c r="D3722" s="34" t="str">
        <x:v>Compress_20</x:v>
      </x:c>
      <x:c r="E3722" s="34" t="str">
        <x:v>Condition</x:v>
      </x:c>
      <x:c r="F3722" s="34" t="n">
        <x:v>114</x:v>
      </x:c>
      <x:c r="G3722" s="34" t="str">
        <x:v>RECORDED</x:v>
      </x:c>
      <x:c r="H3722" s="38" t="n">
        <x:f>IF(ISNUMBER('Data'!I306),'Data'!I306*100,"")</x:f>
        <x:v>20.18</x:v>
      </x:c>
      <x:c r="I3722" s="34" t="str">
        <x:v>PASS</x:v>
      </x:c>
      <x:c r="J3722" s="34" t="str">
        <x:v>PASS</x:v>
      </x:c>
      <x:c r="K3722" s="34" t="str">
        <x:v>PASS</x:v>
      </x:c>
      <x:c r="L3722" s="34" t="str">
        <x:v>PASS</x:v>
      </x:c>
      <x:c r="M3722" s="34" t="str">
        <x:v>numeric coverage for applicable metric</x:v>
      </x:c>
      <x:c r="N3722" s="34" t="str">
        <x:v>Feedback-Directed Random Test Generation/Result/Compress_20/result.json</x:v>
      </x:c>
      <x:c r="O3722" s="38" t="n">
        <x:f>IF(AND(G3722="RECORDED",ISNUMBER(H3722)),H3722,"")</x:f>
        <x:v>20.18</x:v>
      </x:c>
      <x:c r="P3722" s="34" t="str">
        <x:v>NOT_REVEALING</x:v>
      </x:c>
      <x:c r="Q3722" s="34" t="str">
        <x:v>Feedback-Directed Random Test Generation/Result/Compress_20/result.json</x:v>
      </x:c>
    </x:row>
    <x:row r="3723">
      <x:c r="A3723" s="34" t="str">
        <x:v>randoop</x:v>
      </x:c>
      <x:c r="B3723" s="34" t="str">
        <x:v>Compress</x:v>
      </x:c>
      <x:c r="C3723" s="34" t="str">
        <x:v>Round1</x:v>
      </x:c>
      <x:c r="D3723" s="34" t="str">
        <x:v>Compress_21</x:v>
      </x:c>
      <x:c r="E3723" s="34" t="str">
        <x:v>Condition</x:v>
      </x:c>
      <x:c r="F3723" s="34" t="n">
        <x:v>136</x:v>
      </x:c>
      <x:c r="G3723" s="34" t="str">
        <x:v>RECORDED</x:v>
      </x:c>
      <x:c r="H3723" s="38" t="n">
        <x:f>IF(ISNUMBER('Data'!I307),'Data'!I307*100,"")</x:f>
        <x:v>0</x:v>
      </x:c>
      <x:c r="I3723" s="34" t="str">
        <x:v>PASS</x:v>
      </x:c>
      <x:c r="J3723" s="34" t="str">
        <x:v>PASS</x:v>
      </x:c>
      <x:c r="K3723" s="34" t="str">
        <x:v>PASS</x:v>
      </x:c>
      <x:c r="L3723" s="34" t="str">
        <x:v>PASS</x:v>
      </x:c>
      <x:c r="M3723" s="34" t="str">
        <x:v>numeric coverage for applicable metric</x:v>
      </x:c>
      <x:c r="N3723" s="34" t="str">
        <x:v>Feedback-Directed Random Test Generation/Result/Compress_21/result.json</x:v>
      </x:c>
      <x:c r="O3723" s="38" t="n">
        <x:f>IF(AND(G3723="RECORDED",ISNUMBER(H3723)),H3723,"")</x:f>
        <x:v>0</x:v>
      </x:c>
      <x:c r="P3723" s="34" t="str">
        <x:v>NOT_REVEALING</x:v>
      </x:c>
      <x:c r="Q3723" s="34" t="str">
        <x:v>Feedback-Directed Random Test Generation/Result/Compress_21/result.json</x:v>
      </x:c>
    </x:row>
    <x:row r="3724">
      <x:c r="A3724" s="34" t="str">
        <x:v>randoop</x:v>
      </x:c>
      <x:c r="B3724" s="34" t="str">
        <x:v>Compress</x:v>
      </x:c>
      <x:c r="C3724" s="34" t="str">
        <x:v>Round1</x:v>
      </x:c>
      <x:c r="D3724" s="34" t="str">
        <x:v>Compress_22</x:v>
      </x:c>
      <x:c r="E3724" s="34" t="str">
        <x:v>Condition</x:v>
      </x:c>
      <x:c r="F3724" s="34" t="n">
        <x:v>265</x:v>
      </x:c>
      <x:c r="G3724" s="34" t="str">
        <x:v>RECORDED</x:v>
      </x:c>
      <x:c r="H3724" s="38" t="n">
        <x:f>IF(ISNUMBER('Data'!I308),'Data'!I308*100,"")</x:f>
        <x:v>1.51</x:v>
      </x:c>
      <x:c r="I3724" s="34" t="str">
        <x:v>PASS</x:v>
      </x:c>
      <x:c r="J3724" s="34" t="str">
        <x:v>PASS</x:v>
      </x:c>
      <x:c r="K3724" s="34" t="str">
        <x:v>PASS</x:v>
      </x:c>
      <x:c r="L3724" s="34" t="str">
        <x:v>PASS</x:v>
      </x:c>
      <x:c r="M3724" s="34" t="str">
        <x:v>numeric coverage for applicable metric</x:v>
      </x:c>
      <x:c r="N3724" s="34" t="str">
        <x:v>Feedback-Directed Random Test Generation/Result/Compress_22/result.json</x:v>
      </x:c>
      <x:c r="O3724" s="38" t="n">
        <x:f>IF(AND(G3724="RECORDED",ISNUMBER(H3724)),H3724,"")</x:f>
        <x:v>1.51</x:v>
      </x:c>
      <x:c r="P3724" s="34" t="str">
        <x:v>NOT_REVEALING</x:v>
      </x:c>
      <x:c r="Q3724" s="34" t="str">
        <x:v>Feedback-Directed Random Test Generation/Result/Compress_22/result.json</x:v>
      </x:c>
    </x:row>
    <x:row r="3725">
      <x:c r="A3725" s="34" t="str">
        <x:v>randoop</x:v>
      </x:c>
      <x:c r="B3725" s="34" t="str">
        <x:v>Compress</x:v>
      </x:c>
      <x:c r="C3725" s="34" t="str">
        <x:v>Round1</x:v>
      </x:c>
      <x:c r="D3725" s="34" t="str">
        <x:v>Compress_23</x:v>
      </x:c>
      <x:c r="E3725" s="34" t="str">
        <x:v>Condition</x:v>
      </x:c>
      <x:c r="F3725" s="34" t="n">
        <x:v>34</x:v>
      </x:c>
      <x:c r="G3725" s="34" t="str">
        <x:v>RECORDED</x:v>
      </x:c>
      <x:c r="H3725" s="38" t="n">
        <x:f>IF(ISNUMBER('Data'!I309),'Data'!I309*100,"")</x:f>
        <x:v>17.65</x:v>
      </x:c>
      <x:c r="I3725" s="34" t="str">
        <x:v>PASS</x:v>
      </x:c>
      <x:c r="J3725" s="34" t="str">
        <x:v>PASS</x:v>
      </x:c>
      <x:c r="K3725" s="34" t="str">
        <x:v>PASS</x:v>
      </x:c>
      <x:c r="L3725" s="34" t="str">
        <x:v>FAIL</x:v>
      </x:c>
      <x:c r="M3725" s="34" t="str">
        <x:v>numeric coverage for applicable metric</x:v>
      </x:c>
      <x:c r="N3725" s="34" t="str">
        <x:v>Feedback-Directed Random Test Generation/Result/Compress_23/result.json</x:v>
      </x:c>
      <x:c r="O3725" s="38" t="n">
        <x:f>IF(AND(G3725="RECORDED",ISNUMBER(H3725)),H3725,"")</x:f>
        <x:v>17.65</x:v>
      </x:c>
      <x:c r="P3725" s="34" t="str">
        <x:v>INCONCLUSIVE</x:v>
      </x:c>
      <x:c r="Q3725" s="34" t="str">
        <x:v>Feedback-Directed Random Test Generation/Result/Compress_23/result.json</x:v>
      </x:c>
    </x:row>
    <x:row r="3726">
      <x:c r="A3726" s="34" t="str">
        <x:v>randoop</x:v>
      </x:c>
      <x:c r="B3726" s="34" t="str">
        <x:v>Compress</x:v>
      </x:c>
      <x:c r="C3726" s="34" t="str">
        <x:v>Round1</x:v>
      </x:c>
      <x:c r="D3726" s="34" t="str">
        <x:v>Compress_24</x:v>
      </x:c>
      <x:c r="E3726" s="34" t="str">
        <x:v>Condition</x:v>
      </x:c>
      <x:c r="F3726" s="34" t="n">
        <x:v>118</x:v>
      </x:c>
      <x:c r="G3726" s="34" t="str">
        <x:v>RECORDED</x:v>
      </x:c>
      <x:c r="H3726" s="38" t="n">
        <x:f>IF(ISNUMBER('Data'!I310),'Data'!I310*100,"")</x:f>
        <x:v>31.36</x:v>
      </x:c>
      <x:c r="I3726" s="34" t="str">
        <x:v>PASS</x:v>
      </x:c>
      <x:c r="J3726" s="34" t="str">
        <x:v>PASS</x:v>
      </x:c>
      <x:c r="K3726" s="34" t="str">
        <x:v>PASS</x:v>
      </x:c>
      <x:c r="L3726" s="34" t="str">
        <x:v>PASS</x:v>
      </x:c>
      <x:c r="M3726" s="34" t="str">
        <x:v>numeric coverage for applicable metric</x:v>
      </x:c>
      <x:c r="N3726" s="34" t="str">
        <x:v>Feedback-Directed Random Test Generation/Result/Compress_24/result.json</x:v>
      </x:c>
      <x:c r="O3726" s="38" t="n">
        <x:f>IF(AND(G3726="RECORDED",ISNUMBER(H3726)),H3726,"")</x:f>
        <x:v>31.36</x:v>
      </x:c>
      <x:c r="P3726" s="34" t="str">
        <x:v>NOT_REVEALING</x:v>
      </x:c>
      <x:c r="Q3726" s="34" t="str">
        <x:v>Feedback-Directed Random Test Generation/Result/Compress_24/result.json</x:v>
      </x:c>
    </x:row>
    <x:row r="3727">
      <x:c r="A3727" s="34" t="str">
        <x:v>randoop</x:v>
      </x:c>
      <x:c r="B3727" s="34" t="str">
        <x:v>Compress</x:v>
      </x:c>
      <x:c r="C3727" s="34" t="str">
        <x:v>Round1</x:v>
      </x:c>
      <x:c r="D3727" s="34" t="str">
        <x:v>Compress_25</x:v>
      </x:c>
      <x:c r="E3727" s="34" t="str">
        <x:v>Condition</x:v>
      </x:c>
      <x:c r="F3727" s="34" t="n">
        <x:v>252</x:v>
      </x:c>
      <x:c r="G3727" s="34" t="str">
        <x:v>RECORDED</x:v>
      </x:c>
      <x:c r="H3727" s="38" t="n">
        <x:f>IF(ISNUMBER('Data'!I311),'Data'!I311*100,"")</x:f>
        <x:v>3.5699999999999994</x:v>
      </x:c>
      <x:c r="I3727" s="34" t="str">
        <x:v>PASS</x:v>
      </x:c>
      <x:c r="J3727" s="34" t="str">
        <x:v>PASS</x:v>
      </x:c>
      <x:c r="K3727" s="34" t="str">
        <x:v>PASS</x:v>
      </x:c>
      <x:c r="L3727" s="34" t="str">
        <x:v>PASS</x:v>
      </x:c>
      <x:c r="M3727" s="34" t="str">
        <x:v>numeric coverage for applicable metric</x:v>
      </x:c>
      <x:c r="N3727" s="34" t="str">
        <x:v>Feedback-Directed Random Test Generation/Result/Compress_25/result.json</x:v>
      </x:c>
      <x:c r="O3727" s="38" t="n">
        <x:f>IF(AND(G3727="RECORDED",ISNUMBER(H3727)),H3727,"")</x:f>
        <x:v>3.5699999999999994</x:v>
      </x:c>
      <x:c r="P3727" s="34" t="str">
        <x:v>NOT_REVEALING</x:v>
      </x:c>
      <x:c r="Q3727" s="34" t="str">
        <x:v>Feedback-Directed Random Test Generation/Result/Compress_25/result.json</x:v>
      </x:c>
    </x:row>
    <x:row r="3728">
      <x:c r="A3728" s="34" t="str">
        <x:v>randoop</x:v>
      </x:c>
      <x:c r="B3728" s="34" t="str">
        <x:v>Compress</x:v>
      </x:c>
      <x:c r="C3728" s="34" t="str">
        <x:v>Round1</x:v>
      </x:c>
      <x:c r="D3728" s="34" t="str">
        <x:v>Compress_26</x:v>
      </x:c>
      <x:c r="E3728" s="34" t="str">
        <x:v>Condition</x:v>
      </x:c>
      <x:c r="F3728" s="34" t="n">
        <x:v>18</x:v>
      </x:c>
      <x:c r="G3728" s="34" t="str">
        <x:v>RECORDED</x:v>
      </x:c>
      <x:c r="H3728" s="38" t="n">
        <x:f>IF(ISNUMBER('Data'!I312),'Data'!I312*100,"")</x:f>
        <x:v>61.11</x:v>
      </x:c>
      <x:c r="I3728" s="34" t="str">
        <x:v>PASS</x:v>
      </x:c>
      <x:c r="J3728" s="34" t="str">
        <x:v>PASS</x:v>
      </x:c>
      <x:c r="K3728" s="34" t="str">
        <x:v>PASS</x:v>
      </x:c>
      <x:c r="L3728" s="34" t="str">
        <x:v>PASS</x:v>
      </x:c>
      <x:c r="M3728" s="34" t="str">
        <x:v>numeric coverage for applicable metric</x:v>
      </x:c>
      <x:c r="N3728" s="34" t="str">
        <x:v>Feedback-Directed Random Test Generation/Result/Compress_26/result.json</x:v>
      </x:c>
      <x:c r="O3728" s="38" t="n">
        <x:f>IF(AND(G3728="RECORDED",ISNUMBER(H3728)),H3728,"")</x:f>
        <x:v>61.11</x:v>
      </x:c>
      <x:c r="P3728" s="34" t="str">
        <x:v>NOT_REVEALING</x:v>
      </x:c>
      <x:c r="Q3728" s="34" t="str">
        <x:v>Feedback-Directed Random Test Generation/Result/Compress_26/result.json</x:v>
      </x:c>
    </x:row>
    <x:row r="3729">
      <x:c r="A3729" s="34" t="str">
        <x:v>randoop</x:v>
      </x:c>
      <x:c r="B3729" s="34" t="str">
        <x:v>Compress</x:v>
      </x:c>
      <x:c r="C3729" s="34" t="str">
        <x:v>Round1</x:v>
      </x:c>
      <x:c r="D3729" s="34" t="str">
        <x:v>Compress_27</x:v>
      </x:c>
      <x:c r="E3729" s="34" t="str">
        <x:v>Condition</x:v>
      </x:c>
      <x:c r="F3729" s="34" t="n">
        <x:v>116</x:v>
      </x:c>
      <x:c r="G3729" s="34" t="str">
        <x:v>RECORDED</x:v>
      </x:c>
      <x:c r="H3729" s="38" t="n">
        <x:f>IF(ISNUMBER('Data'!I313),'Data'!I313*100,"")</x:f>
        <x:v>31.900000000000002</x:v>
      </x:c>
      <x:c r="I3729" s="34" t="str">
        <x:v>PASS</x:v>
      </x:c>
      <x:c r="J3729" s="34" t="str">
        <x:v>PASS</x:v>
      </x:c>
      <x:c r="K3729" s="34" t="str">
        <x:v>PASS</x:v>
      </x:c>
      <x:c r="L3729" s="34" t="str">
        <x:v>PASS</x:v>
      </x:c>
      <x:c r="M3729" s="34" t="str">
        <x:v>numeric coverage for applicable metric</x:v>
      </x:c>
      <x:c r="N3729" s="34" t="str">
        <x:v>Feedback-Directed Random Test Generation/Result/Compress_27/result.json</x:v>
      </x:c>
      <x:c r="O3729" s="38" t="n">
        <x:f>IF(AND(G3729="RECORDED",ISNUMBER(H3729)),H3729,"")</x:f>
        <x:v>31.900000000000002</x:v>
      </x:c>
      <x:c r="P3729" s="34" t="str">
        <x:v>NOT_REVEALING</x:v>
      </x:c>
      <x:c r="Q3729" s="34" t="str">
        <x:v>Feedback-Directed Random Test Generation/Result/Compress_27/result.json</x:v>
      </x:c>
    </x:row>
    <x:row r="3730">
      <x:c r="A3730" s="34" t="str">
        <x:v>randoop</x:v>
      </x:c>
      <x:c r="B3730" s="34" t="str">
        <x:v>Compress</x:v>
      </x:c>
      <x:c r="C3730" s="34" t="str">
        <x:v>Round1</x:v>
      </x:c>
      <x:c r="D3730" s="34" t="str">
        <x:v>Compress_28</x:v>
      </x:c>
      <x:c r="E3730" s="34" t="str">
        <x:v>Condition</x:v>
      </x:c>
      <x:c r="F3730" s="34" t="n">
        <x:v>122</x:v>
      </x:c>
      <x:c r="G3730" s="34" t="str">
        <x:v>RECORDED</x:v>
      </x:c>
      <x:c r="H3730" s="38" t="n">
        <x:f>IF(ISNUMBER('Data'!I314),'Data'!I314*100,"")</x:f>
        <x:v>16.39</x:v>
      </x:c>
      <x:c r="I3730" s="34" t="str">
        <x:v>PASS</x:v>
      </x:c>
      <x:c r="J3730" s="34" t="str">
        <x:v>PASS</x:v>
      </x:c>
      <x:c r="K3730" s="34" t="str">
        <x:v>PASS</x:v>
      </x:c>
      <x:c r="L3730" s="34" t="str">
        <x:v>PASS</x:v>
      </x:c>
      <x:c r="M3730" s="34" t="str">
        <x:v>numeric coverage for applicable metric</x:v>
      </x:c>
      <x:c r="N3730" s="34" t="str">
        <x:v>Feedback-Directed Random Test Generation/Result/Compress_28/result.json</x:v>
      </x:c>
      <x:c r="O3730" s="38" t="n">
        <x:f>IF(AND(G3730="RECORDED",ISNUMBER(H3730)),H3730,"")</x:f>
        <x:v>16.39</x:v>
      </x:c>
      <x:c r="P3730" s="34" t="str">
        <x:v>NOT_REVEALING</x:v>
      </x:c>
      <x:c r="Q3730" s="34" t="str">
        <x:v>Feedback-Directed Random Test Generation/Result/Compress_28/result.json</x:v>
      </x:c>
    </x:row>
    <x:row r="3731">
      <x:c r="A3731" s="34" t="str">
        <x:v>randoop</x:v>
      </x:c>
      <x:c r="B3731" s="34" t="str">
        <x:v>Compress</x:v>
      </x:c>
      <x:c r="C3731" s="34" t="str">
        <x:v>Round1</x:v>
      </x:c>
      <x:c r="D3731" s="34" t="str">
        <x:v>Compress_29</x:v>
      </x:c>
      <x:c r="E3731" s="34" t="str">
        <x:v>Condition</x:v>
      </x:c>
      <x:c r="F3731" s="34" t="n">
        <x:v>885</x:v>
      </x:c>
      <x:c r="G3731" s="34" t="str">
        <x:v>RECORDED</x:v>
      </x:c>
      <x:c r="H3731" s="38" t="n">
        <x:f>IF(ISNUMBER('Data'!I315),'Data'!I315*100,"")</x:f>
        <x:v>2.94</x:v>
      </x:c>
      <x:c r="I3731" s="34" t="str">
        <x:v>PASS</x:v>
      </x:c>
      <x:c r="J3731" s="34" t="str">
        <x:v>PASS</x:v>
      </x:c>
      <x:c r="K3731" s="34" t="str">
        <x:v>PASS</x:v>
      </x:c>
      <x:c r="L3731" s="34" t="str">
        <x:v>PASS</x:v>
      </x:c>
      <x:c r="M3731" s="34" t="str">
        <x:v>numeric coverage for applicable metric</x:v>
      </x:c>
      <x:c r="N3731" s="34" t="str">
        <x:v>Feedback-Directed Random Test Generation/Result/Compress_29/result.json</x:v>
      </x:c>
      <x:c r="O3731" s="38" t="n">
        <x:f>IF(AND(G3731="RECORDED",ISNUMBER(H3731)),H3731,"")</x:f>
        <x:v>2.94</x:v>
      </x:c>
      <x:c r="P3731" s="34" t="str">
        <x:v>NOT_REVEALING</x:v>
      </x:c>
      <x:c r="Q3731" s="34" t="str">
        <x:v>Feedback-Directed Random Test Generation/Result/Compress_29/result.json</x:v>
      </x:c>
    </x:row>
    <x:row r="3732">
      <x:c r="A3732" s="34" t="str">
        <x:v>randoop</x:v>
      </x:c>
      <x:c r="B3732" s="34" t="str">
        <x:v>Compress</x:v>
      </x:c>
      <x:c r="C3732" s="34" t="str">
        <x:v>Round1</x:v>
      </x:c>
      <x:c r="D3732" s="34" t="str">
        <x:v>Compress_30</x:v>
      </x:c>
      <x:c r="E3732" s="34" t="str">
        <x:v>Condition</x:v>
      </x:c>
      <x:c r="F3732" s="34" t="n">
        <x:v>265</x:v>
      </x:c>
      <x:c r="G3732" s="34" t="str">
        <x:v>RECORDED</x:v>
      </x:c>
      <x:c r="H3732" s="38" t="n">
        <x:f>IF(ISNUMBER('Data'!I316),'Data'!I316*100,"")</x:f>
        <x:v>1.51</x:v>
      </x:c>
      <x:c r="I3732" s="34" t="str">
        <x:v>PASS</x:v>
      </x:c>
      <x:c r="J3732" s="34" t="str">
        <x:v>PASS</x:v>
      </x:c>
      <x:c r="K3732" s="34" t="str">
        <x:v>PASS</x:v>
      </x:c>
      <x:c r="L3732" s="34" t="str">
        <x:v>PASS</x:v>
      </x:c>
      <x:c r="M3732" s="34" t="str">
        <x:v>numeric coverage for applicable metric</x:v>
      </x:c>
      <x:c r="N3732" s="34" t="str">
        <x:v>Feedback-Directed Random Test Generation/Result/Compress_30/result.json</x:v>
      </x:c>
      <x:c r="O3732" s="38" t="n">
        <x:f>IF(AND(G3732="RECORDED",ISNUMBER(H3732)),H3732,"")</x:f>
        <x:v>1.51</x:v>
      </x:c>
      <x:c r="P3732" s="34" t="str">
        <x:v>NOT_REVEALING</x:v>
      </x:c>
      <x:c r="Q3732" s="34" t="str">
        <x:v>Feedback-Directed Random Test Generation/Result/Compress_30/result.json</x:v>
      </x:c>
    </x:row>
    <x:row r="3733">
      <x:c r="A3733" s="34" t="str">
        <x:v>randoop</x:v>
      </x:c>
      <x:c r="B3733" s="34" t="str">
        <x:v>Compress</x:v>
      </x:c>
      <x:c r="C3733" s="34" t="str">
        <x:v>Round1</x:v>
      </x:c>
      <x:c r="D3733" s="34" t="str">
        <x:v>Compress_31</x:v>
      </x:c>
      <x:c r="E3733" s="34" t="str">
        <x:v>Condition</x:v>
      </x:c>
      <x:c r="F3733" s="34" t="n">
        <x:v>116</x:v>
      </x:c>
      <x:c r="G3733" s="34" t="str">
        <x:v>RECORDED</x:v>
      </x:c>
      <x:c r="H3733" s="38" t="n">
        <x:f>IF(ISNUMBER('Data'!I317),'Data'!I317*100,"")</x:f>
        <x:v>31.900000000000002</x:v>
      </x:c>
      <x:c r="I3733" s="34" t="str">
        <x:v>PASS</x:v>
      </x:c>
      <x:c r="J3733" s="34" t="str">
        <x:v>PASS</x:v>
      </x:c>
      <x:c r="K3733" s="34" t="str">
        <x:v>PASS</x:v>
      </x:c>
      <x:c r="L3733" s="34" t="str">
        <x:v>PASS</x:v>
      </x:c>
      <x:c r="M3733" s="34" t="str">
        <x:v>numeric coverage for applicable metric</x:v>
      </x:c>
      <x:c r="N3733" s="34" t="str">
        <x:v>Feedback-Directed Random Test Generation/Result/Compress_31/result.json</x:v>
      </x:c>
      <x:c r="O3733" s="38" t="n">
        <x:f>IF(AND(G3733="RECORDED",ISNUMBER(H3733)),H3733,"")</x:f>
        <x:v>31.900000000000002</x:v>
      </x:c>
      <x:c r="P3733" s="34" t="str">
        <x:v>NOT_REVEALING</x:v>
      </x:c>
      <x:c r="Q3733" s="34" t="str">
        <x:v>Feedback-Directed Random Test Generation/Result/Compress_31/result.json</x:v>
      </x:c>
    </x:row>
    <x:row r="3734">
      <x:c r="A3734" s="34" t="str">
        <x:v>randoop</x:v>
      </x:c>
      <x:c r="B3734" s="34" t="str">
        <x:v>Compress</x:v>
      </x:c>
      <x:c r="C3734" s="34" t="str">
        <x:v>Round1</x:v>
      </x:c>
      <x:c r="D3734" s="34" t="str">
        <x:v>Compress_32</x:v>
      </x:c>
      <x:c r="E3734" s="34" t="str">
        <x:v>Condition</x:v>
      </x:c>
      <x:c r="F3734" s="34" t="n">
        <x:v>126</x:v>
      </x:c>
      <x:c r="G3734" s="34" t="str">
        <x:v>RECORDED</x:v>
      </x:c>
      <x:c r="H3734" s="38" t="n">
        <x:f>IF(ISNUMBER('Data'!I318),'Data'!I318*100,"")</x:f>
        <x:v>14.29</x:v>
      </x:c>
      <x:c r="I3734" s="34" t="str">
        <x:v>PASS</x:v>
      </x:c>
      <x:c r="J3734" s="34" t="str">
        <x:v>PASS</x:v>
      </x:c>
      <x:c r="K3734" s="34" t="str">
        <x:v>PASS</x:v>
      </x:c>
      <x:c r="L3734" s="34" t="str">
        <x:v>PASS</x:v>
      </x:c>
      <x:c r="M3734" s="34" t="str">
        <x:v>numeric coverage for applicable metric</x:v>
      </x:c>
      <x:c r="N3734" s="34" t="str">
        <x:v>Feedback-Directed Random Test Generation/Result/Compress_32/result.json</x:v>
      </x:c>
      <x:c r="O3734" s="38" t="n">
        <x:f>IF(AND(G3734="RECORDED",ISNUMBER(H3734)),H3734,"")</x:f>
        <x:v>14.29</x:v>
      </x:c>
      <x:c r="P3734" s="34" t="str">
        <x:v>NOT_REVEALING</x:v>
      </x:c>
      <x:c r="Q3734" s="34" t="str">
        <x:v>Feedback-Directed Random Test Generation/Result/Compress_32/result.json</x:v>
      </x:c>
    </x:row>
    <x:row r="3735">
      <x:c r="A3735" s="34" t="str">
        <x:v>randoop</x:v>
      </x:c>
      <x:c r="B3735" s="34" t="str">
        <x:v>Compress</x:v>
      </x:c>
      <x:c r="C3735" s="34" t="str">
        <x:v>Round1</x:v>
      </x:c>
      <x:c r="D3735" s="34" t="str">
        <x:v>Compress_33</x:v>
      </x:c>
      <x:c r="E3735" s="34" t="str">
        <x:v>Condition</x:v>
      </x:c>
      <x:c r="F3735" s="34" t="n">
        <x:v>64</x:v>
      </x:c>
      <x:c r="G3735" s="34" t="str">
        <x:v>RECORDED</x:v>
      </x:c>
      <x:c r="H3735" s="38" t="n">
        <x:f>IF(ISNUMBER('Data'!I319),'Data'!I319*100,"")</x:f>
        <x:v>10.94</x:v>
      </x:c>
      <x:c r="I3735" s="34" t="str">
        <x:v>PASS</x:v>
      </x:c>
      <x:c r="J3735" s="34" t="str">
        <x:v>PASS</x:v>
      </x:c>
      <x:c r="K3735" s="34" t="str">
        <x:v>PASS</x:v>
      </x:c>
      <x:c r="L3735" s="34" t="str">
        <x:v>PASS</x:v>
      </x:c>
      <x:c r="M3735" s="34" t="str">
        <x:v>numeric coverage for applicable metric</x:v>
      </x:c>
      <x:c r="N3735" s="34" t="str">
        <x:v>Feedback-Directed Random Test Generation/Result/Compress_33/result.json</x:v>
      </x:c>
      <x:c r="O3735" s="38" t="n">
        <x:f>IF(AND(G3735="RECORDED",ISNUMBER(H3735)),H3735,"")</x:f>
        <x:v>10.94</x:v>
      </x:c>
      <x:c r="P3735" s="34" t="str">
        <x:v>NOT_REVEALING</x:v>
      </x:c>
      <x:c r="Q3735" s="34" t="str">
        <x:v>Feedback-Directed Random Test Generation/Result/Compress_33/result.json</x:v>
      </x:c>
    </x:row>
    <x:row r="3736">
      <x:c r="A3736" s="34" t="str">
        <x:v>randoop</x:v>
      </x:c>
      <x:c r="B3736" s="34" t="str">
        <x:v>Compress</x:v>
      </x:c>
      <x:c r="C3736" s="34" t="str">
        <x:v>Round1</x:v>
      </x:c>
      <x:c r="D3736" s="34" t="str">
        <x:v>Compress_34</x:v>
      </x:c>
      <x:c r="E3736" s="34" t="str">
        <x:v>Condition</x:v>
      </x:c>
      <x:c r="F3736" s="34" t="n">
        <x:v>14</x:v>
      </x:c>
      <x:c r="G3736" s="34" t="str">
        <x:v>RECORDED</x:v>
      </x:c>
      <x:c r="H3736" s="38" t="n">
        <x:f>IF(ISNUMBER('Data'!I320),'Data'!I320*100,"")</x:f>
        <x:v>57.14</x:v>
      </x:c>
      <x:c r="I3736" s="34" t="str">
        <x:v>PASS</x:v>
      </x:c>
      <x:c r="J3736" s="34" t="str">
        <x:v>PASS</x:v>
      </x:c>
      <x:c r="K3736" s="34" t="str">
        <x:v>PASS</x:v>
      </x:c>
      <x:c r="L3736" s="34" t="str">
        <x:v>PASS</x:v>
      </x:c>
      <x:c r="M3736" s="34" t="str">
        <x:v>numeric coverage for applicable metric</x:v>
      </x:c>
      <x:c r="N3736" s="34" t="str">
        <x:v>Feedback-Directed Random Test Generation/Result/Compress_34/result.json</x:v>
      </x:c>
      <x:c r="O3736" s="38" t="n">
        <x:f>IF(AND(G3736="RECORDED",ISNUMBER(H3736)),H3736,"")</x:f>
        <x:v>57.14</x:v>
      </x:c>
      <x:c r="P3736" s="34" t="str">
        <x:v>NOT_REVEALING</x:v>
      </x:c>
      <x:c r="Q3736" s="34" t="str">
        <x:v>Feedback-Directed Random Test Generation/Result/Compress_34/result.json</x:v>
      </x:c>
    </x:row>
    <x:row r="3737">
      <x:c r="A3737" s="34" t="str">
        <x:v>randoop</x:v>
      </x:c>
      <x:c r="B3737" s="34" t="str">
        <x:v>Compress</x:v>
      </x:c>
      <x:c r="C3737" s="34" t="str">
        <x:v>Round1</x:v>
      </x:c>
      <x:c r="D3737" s="34" t="str">
        <x:v>Compress_35</x:v>
      </x:c>
      <x:c r="E3737" s="34" t="str">
        <x:v>Condition</x:v>
      </x:c>
      <x:c r="F3737" s="34" t="n">
        <x:v>112</x:v>
      </x:c>
      <x:c r="G3737" s="34" t="str">
        <x:v>RECORDED</x:v>
      </x:c>
      <x:c r="H3737" s="38" t="n">
        <x:f>IF(ISNUMBER('Data'!I321),'Data'!I321*100,"")</x:f>
        <x:v>32.14</x:v>
      </x:c>
      <x:c r="I3737" s="34" t="str">
        <x:v>PASS</x:v>
      </x:c>
      <x:c r="J3737" s="34" t="str">
        <x:v>PASS</x:v>
      </x:c>
      <x:c r="K3737" s="34" t="str">
        <x:v>PASS</x:v>
      </x:c>
      <x:c r="L3737" s="34" t="str">
        <x:v>PASS</x:v>
      </x:c>
      <x:c r="M3737" s="34" t="str">
        <x:v>numeric coverage for applicable metric</x:v>
      </x:c>
      <x:c r="N3737" s="34" t="str">
        <x:v>Feedback-Directed Random Test Generation/Result/Compress_35/result.json</x:v>
      </x:c>
      <x:c r="O3737" s="38" t="n">
        <x:f>IF(AND(G3737="RECORDED",ISNUMBER(H3737)),H3737,"")</x:f>
        <x:v>32.14</x:v>
      </x:c>
      <x:c r="P3737" s="34" t="str">
        <x:v>INCONCLUSIVE</x:v>
      </x:c>
      <x:c r="Q3737" s="34" t="str">
        <x:v>Feedback-Directed Random Test Generation/Result/Compress_35/result.json</x:v>
      </x:c>
    </x:row>
    <x:row r="3738">
      <x:c r="A3738" s="34" t="str">
        <x:v>randoop</x:v>
      </x:c>
      <x:c r="B3738" s="34" t="str">
        <x:v>Compress</x:v>
      </x:c>
      <x:c r="C3738" s="34" t="str">
        <x:v>Round1</x:v>
      </x:c>
      <x:c r="D3738" s="34" t="str">
        <x:v>Compress_36</x:v>
      </x:c>
      <x:c r="E3738" s="34" t="str">
        <x:v>Condition</x:v>
      </x:c>
      <x:c r="F3738" s="34" t="n">
        <x:v>303</x:v>
      </x:c>
      <x:c r="G3738" s="34" t="str">
        <x:v>RECORDED</x:v>
      </x:c>
      <x:c r="H3738" s="38" t="n">
        <x:f>IF(ISNUMBER('Data'!I322),'Data'!I322*100,"")</x:f>
        <x:v>1.9799999999999998</x:v>
      </x:c>
      <x:c r="I3738" s="34" t="str">
        <x:v>PASS</x:v>
      </x:c>
      <x:c r="J3738" s="34" t="str">
        <x:v>PASS</x:v>
      </x:c>
      <x:c r="K3738" s="34" t="str">
        <x:v>PASS</x:v>
      </x:c>
      <x:c r="L3738" s="34" t="str">
        <x:v>PASS</x:v>
      </x:c>
      <x:c r="M3738" s="34" t="str">
        <x:v>numeric coverage for applicable metric</x:v>
      </x:c>
      <x:c r="N3738" s="34" t="str">
        <x:v>Feedback-Directed Random Test Generation/Result/Compress_36/result.json</x:v>
      </x:c>
      <x:c r="O3738" s="38" t="n">
        <x:f>IF(AND(G3738="RECORDED",ISNUMBER(H3738)),H3738,"")</x:f>
        <x:v>1.9799999999999998</x:v>
      </x:c>
      <x:c r="P3738" s="34" t="str">
        <x:v>NOT_REVEALING</x:v>
      </x:c>
      <x:c r="Q3738" s="34" t="str">
        <x:v>Feedback-Directed Random Test Generation/Result/Compress_36/result.json</x:v>
      </x:c>
    </x:row>
    <x:row r="3739">
      <x:c r="A3739" s="34" t="str">
        <x:v>randoop</x:v>
      </x:c>
      <x:c r="B3739" s="34" t="str">
        <x:v>Compress</x:v>
      </x:c>
      <x:c r="C3739" s="34" t="str">
        <x:v>Round1</x:v>
      </x:c>
      <x:c r="D3739" s="34" t="str">
        <x:v>Compress_37</x:v>
      </x:c>
      <x:c r="E3739" s="34" t="str">
        <x:v>Condition</x:v>
      </x:c>
      <x:c r="F3739" s="34" t="n">
        <x:v>152</x:v>
      </x:c>
      <x:c r="G3739" s="34" t="str">
        <x:v>RECORDED</x:v>
      </x:c>
      <x:c r="H3739" s="38" t="n">
        <x:f>IF(ISNUMBER('Data'!I323),'Data'!I323*100,"")</x:f>
        <x:v>13.819999999999999</x:v>
      </x:c>
      <x:c r="I3739" s="34" t="str">
        <x:v>PASS</x:v>
      </x:c>
      <x:c r="J3739" s="34" t="str">
        <x:v>PASS</x:v>
      </x:c>
      <x:c r="K3739" s="34" t="str">
        <x:v>PASS</x:v>
      </x:c>
      <x:c r="L3739" s="34" t="str">
        <x:v>PASS</x:v>
      </x:c>
      <x:c r="M3739" s="34" t="str">
        <x:v>numeric coverage for applicable metric</x:v>
      </x:c>
      <x:c r="N3739" s="34" t="str">
        <x:v>Feedback-Directed Random Test Generation/Result/Compress_37/result.json</x:v>
      </x:c>
      <x:c r="O3739" s="38" t="n">
        <x:f>IF(AND(G3739="RECORDED",ISNUMBER(H3739)),H3739,"")</x:f>
        <x:v>13.819999999999999</x:v>
      </x:c>
      <x:c r="P3739" s="34" t="str">
        <x:v>NOT_REVEALING</x:v>
      </x:c>
      <x:c r="Q3739" s="34" t="str">
        <x:v>Feedback-Directed Random Test Generation/Result/Compress_37/result.json</x:v>
      </x:c>
    </x:row>
    <x:row r="3740">
      <x:c r="A3740" s="34" t="str">
        <x:v>randoop</x:v>
      </x:c>
      <x:c r="B3740" s="34" t="str">
        <x:v>Compress</x:v>
      </x:c>
      <x:c r="C3740" s="34" t="str">
        <x:v>Round1</x:v>
      </x:c>
      <x:c r="D3740" s="34" t="str">
        <x:v>Compress_38</x:v>
      </x:c>
      <x:c r="E3740" s="34" t="str">
        <x:v>Condition</x:v>
      </x:c>
      <x:c r="F3740" s="34" t="n">
        <x:v>143</x:v>
      </x:c>
      <x:c r="G3740" s="34" t="str">
        <x:v>RECORDED</x:v>
      </x:c>
      <x:c r="H3740" s="38" t="n">
        <x:f>IF(ISNUMBER('Data'!I324),'Data'!I324*100,"")</x:f>
        <x:v>18.18</x:v>
      </x:c>
      <x:c r="I3740" s="34" t="str">
        <x:v>PASS</x:v>
      </x:c>
      <x:c r="J3740" s="34" t="str">
        <x:v>PASS</x:v>
      </x:c>
      <x:c r="K3740" s="34" t="str">
        <x:v>PASS</x:v>
      </x:c>
      <x:c r="L3740" s="34" t="str">
        <x:v>PASS</x:v>
      </x:c>
      <x:c r="M3740" s="34" t="str">
        <x:v>numeric coverage for applicable metric</x:v>
      </x:c>
      <x:c r="N3740" s="34" t="str">
        <x:v>Feedback-Directed Random Test Generation/Result/Compress_38/result.json</x:v>
      </x:c>
      <x:c r="O3740" s="38" t="n">
        <x:f>IF(AND(G3740="RECORDED",ISNUMBER(H3740)),H3740,"")</x:f>
        <x:v>18.18</x:v>
      </x:c>
      <x:c r="P3740" s="34" t="str">
        <x:v>NOT_REVEALING</x:v>
      </x:c>
      <x:c r="Q3740" s="34" t="str">
        <x:v>Feedback-Directed Random Test Generation/Result/Compress_38/result.json</x:v>
      </x:c>
    </x:row>
    <x:row r="3741">
      <x:c r="A3741" s="34" t="str">
        <x:v>randoop</x:v>
      </x:c>
      <x:c r="B3741" s="34" t="str">
        <x:v>Compress</x:v>
      </x:c>
      <x:c r="C3741" s="34" t="str">
        <x:v>Round1</x:v>
      </x:c>
      <x:c r="D3741" s="34" t="str">
        <x:v>Compress_39</x:v>
      </x:c>
      <x:c r="E3741" s="34" t="str">
        <x:v>Condition</x:v>
      </x:c>
      <x:c r="F3741" s="34" t="n">
        <x:v>36</x:v>
      </x:c>
      <x:c r="G3741" s="34" t="str">
        <x:v>RECORDED</x:v>
      </x:c>
      <x:c r="H3741" s="38" t="n">
        <x:f>IF(ISNUMBER('Data'!I325),'Data'!I325*100,"")</x:f>
        <x:v>72.22</x:v>
      </x:c>
      <x:c r="I3741" s="34" t="str">
        <x:v>PASS</x:v>
      </x:c>
      <x:c r="J3741" s="34" t="str">
        <x:v>PASS</x:v>
      </x:c>
      <x:c r="K3741" s="34" t="str">
        <x:v>PASS</x:v>
      </x:c>
      <x:c r="L3741" s="34" t="str">
        <x:v>FAIL</x:v>
      </x:c>
      <x:c r="M3741" s="34" t="str">
        <x:v>numeric coverage for applicable metric</x:v>
      </x:c>
      <x:c r="N3741" s="34" t="str">
        <x:v>Feedback-Directed Random Test Generation/Result/Compress_39/result.json</x:v>
      </x:c>
      <x:c r="O3741" s="38" t="n">
        <x:f>IF(AND(G3741="RECORDED",ISNUMBER(H3741)),H3741,"")</x:f>
        <x:v>72.22</x:v>
      </x:c>
      <x:c r="P3741" s="34" t="str">
        <x:v>INCONCLUSIVE</x:v>
      </x:c>
      <x:c r="Q3741" s="34" t="str">
        <x:v>Feedback-Directed Random Test Generation/Result/Compress_39/result.json</x:v>
      </x:c>
    </x:row>
    <x:row r="3742">
      <x:c r="A3742" s="34" t="str">
        <x:v>randoop</x:v>
      </x:c>
      <x:c r="B3742" s="34" t="str">
        <x:v>Compress</x:v>
      </x:c>
      <x:c r="C3742" s="34" t="str">
        <x:v>Round1</x:v>
      </x:c>
      <x:c r="D3742" s="34" t="str">
        <x:v>Compress_40</x:v>
      </x:c>
      <x:c r="E3742" s="34" t="str">
        <x:v>Condition</x:v>
      </x:c>
      <x:c r="F3742" s="34" t="n">
        <x:v>12</x:v>
      </x:c>
      <x:c r="G3742" s="34" t="str">
        <x:v>RECORDED</x:v>
      </x:c>
      <x:c r="H3742" s="38" t="n">
        <x:f>IF(ISNUMBER('Data'!I326),'Data'!I326*100,"")</x:f>
        <x:v>58.32999999999999</x:v>
      </x:c>
      <x:c r="I3742" s="34" t="str">
        <x:v>PASS</x:v>
      </x:c>
      <x:c r="J3742" s="34" t="str">
        <x:v>PASS</x:v>
      </x:c>
      <x:c r="K3742" s="34" t="str">
        <x:v>PASS</x:v>
      </x:c>
      <x:c r="L3742" s="34" t="str">
        <x:v>PASS</x:v>
      </x:c>
      <x:c r="M3742" s="34" t="str">
        <x:v>numeric coverage for applicable metric</x:v>
      </x:c>
      <x:c r="N3742" s="34" t="str">
        <x:v>Feedback-Directed Random Test Generation/Result/Compress_40/result.json</x:v>
      </x:c>
      <x:c r="O3742" s="38" t="n">
        <x:f>IF(AND(G3742="RECORDED",ISNUMBER(H3742)),H3742,"")</x:f>
        <x:v>58.32999999999999</x:v>
      </x:c>
      <x:c r="P3742" s="34" t="str">
        <x:v>NOT_REVEALING</x:v>
      </x:c>
      <x:c r="Q3742" s="34" t="str">
        <x:v>Feedback-Directed Random Test Generation/Result/Compress_40/result.json</x:v>
      </x:c>
    </x:row>
    <x:row r="3743">
      <x:c r="A3743" s="34" t="str">
        <x:v>randoop</x:v>
      </x:c>
      <x:c r="B3743" s="34" t="str">
        <x:v>Compress</x:v>
      </x:c>
      <x:c r="C3743" s="34" t="str">
        <x:v>Round1</x:v>
      </x:c>
      <x:c r="D3743" s="34" t="str">
        <x:v>Compress_41</x:v>
      </x:c>
      <x:c r="E3743" s="34" t="str">
        <x:v>Condition</x:v>
      </x:c>
      <x:c r="F3743" s="34" t="n">
        <x:v>260</x:v>
      </x:c>
      <x:c r="G3743" s="34" t="str">
        <x:v>RECORDED</x:v>
      </x:c>
      <x:c r="H3743" s="38" t="n">
        <x:f>IF(ISNUMBER('Data'!I327),'Data'!I327*100,"")</x:f>
        <x:v>6.92</x:v>
      </x:c>
      <x:c r="I3743" s="34" t="str">
        <x:v>PASS</x:v>
      </x:c>
      <x:c r="J3743" s="34" t="str">
        <x:v>PASS</x:v>
      </x:c>
      <x:c r="K3743" s="34" t="str">
        <x:v>PASS</x:v>
      </x:c>
      <x:c r="L3743" s="34" t="str">
        <x:v>PASS</x:v>
      </x:c>
      <x:c r="M3743" s="34" t="str">
        <x:v>numeric coverage for applicable metric</x:v>
      </x:c>
      <x:c r="N3743" s="34" t="str">
        <x:v>Feedback-Directed Random Test Generation/Result/Compress_41/result.json</x:v>
      </x:c>
      <x:c r="O3743" s="38" t="n">
        <x:f>IF(AND(G3743="RECORDED",ISNUMBER(H3743)),H3743,"")</x:f>
        <x:v>6.92</x:v>
      </x:c>
      <x:c r="P3743" s="34" t="str">
        <x:v>NOT_REVEALING</x:v>
      </x:c>
      <x:c r="Q3743" s="34" t="str">
        <x:v>Feedback-Directed Random Test Generation/Result/Compress_41/result.json</x:v>
      </x:c>
    </x:row>
    <x:row r="3744">
      <x:c r="A3744" s="34" t="str">
        <x:v>randoop</x:v>
      </x:c>
      <x:c r="B3744" s="34" t="str">
        <x:v>Compress</x:v>
      </x:c>
      <x:c r="C3744" s="34" t="str">
        <x:v>Round1</x:v>
      </x:c>
      <x:c r="D3744" s="34" t="str">
        <x:v>Compress_42</x:v>
      </x:c>
      <x:c r="E3744" s="34" t="str">
        <x:v>Condition</x:v>
      </x:c>
      <x:c r="F3744" s="34" t="n">
        <x:v>132</x:v>
      </x:c>
      <x:c r="G3744" s="34" t="str">
        <x:v>RECORDED</x:v>
      </x:c>
      <x:c r="H3744" s="38" t="n">
        <x:f>IF(ISNUMBER('Data'!I328),'Data'!I328*100,"")</x:f>
        <x:v>9.85</x:v>
      </x:c>
      <x:c r="I3744" s="34" t="str">
        <x:v>PASS</x:v>
      </x:c>
      <x:c r="J3744" s="34" t="str">
        <x:v>PASS</x:v>
      </x:c>
      <x:c r="K3744" s="34" t="str">
        <x:v>PASS</x:v>
      </x:c>
      <x:c r="L3744" s="34" t="str">
        <x:v>PASS</x:v>
      </x:c>
      <x:c r="M3744" s="34" t="str">
        <x:v>numeric coverage for applicable metric</x:v>
      </x:c>
      <x:c r="N3744" s="34" t="str">
        <x:v>Feedback-Directed Random Test Generation/Result/Compress_42/result.json</x:v>
      </x:c>
      <x:c r="O3744" s="38" t="n">
        <x:f>IF(AND(G3744="RECORDED",ISNUMBER(H3744)),H3744,"")</x:f>
        <x:v>9.85</x:v>
      </x:c>
      <x:c r="P3744" s="34" t="str">
        <x:v>NOT_REVEALING</x:v>
      </x:c>
      <x:c r="Q3744" s="34" t="str">
        <x:v>Feedback-Directed Random Test Generation/Result/Compress_42/result.json</x:v>
      </x:c>
    </x:row>
    <x:row r="3745">
      <x:c r="A3745" s="34" t="str">
        <x:v>randoop</x:v>
      </x:c>
      <x:c r="B3745" s="34" t="str">
        <x:v>Compress</x:v>
      </x:c>
      <x:c r="C3745" s="34" t="str">
        <x:v>Round1</x:v>
      </x:c>
      <x:c r="D3745" s="34" t="str">
        <x:v>Compress_43</x:v>
      </x:c>
      <x:c r="E3745" s="34" t="str">
        <x:v>Condition</x:v>
      </x:c>
      <x:c r="F3745" s="34" t="n">
        <x:v>300</x:v>
      </x:c>
      <x:c r="G3745" s="34" t="str">
        <x:v>RECORDED</x:v>
      </x:c>
      <x:c r="H3745" s="38" t="n">
        <x:f>IF(ISNUMBER('Data'!I329),'Data'!I329*100,"")</x:f>
        <x:v>2.67</x:v>
      </x:c>
      <x:c r="I3745" s="34" t="str">
        <x:v>PASS</x:v>
      </x:c>
      <x:c r="J3745" s="34" t="str">
        <x:v>PASS</x:v>
      </x:c>
      <x:c r="K3745" s="34" t="str">
        <x:v>PASS</x:v>
      </x:c>
      <x:c r="L3745" s="34" t="str">
        <x:v>PASS</x:v>
      </x:c>
      <x:c r="M3745" s="34" t="str">
        <x:v>numeric coverage for applicable metric</x:v>
      </x:c>
      <x:c r="N3745" s="34" t="str">
        <x:v>Feedback-Directed Random Test Generation/Result/Compress_43/result.json</x:v>
      </x:c>
      <x:c r="O3745" s="38" t="n">
        <x:f>IF(AND(G3745="RECORDED",ISNUMBER(H3745)),H3745,"")</x:f>
        <x:v>2.67</x:v>
      </x:c>
      <x:c r="P3745" s="34" t="str">
        <x:v>NOT_REVEALING</x:v>
      </x:c>
      <x:c r="Q3745" s="34" t="str">
        <x:v>Feedback-Directed Random Test Generation/Result/Compress_43/result.json</x:v>
      </x:c>
    </x:row>
    <x:row r="3746">
      <x:c r="A3746" s="34" t="str">
        <x:v>randoop</x:v>
      </x:c>
      <x:c r="B3746" s="34" t="str">
        <x:v>Compress</x:v>
      </x:c>
      <x:c r="C3746" s="34" t="str">
        <x:v>Round1</x:v>
      </x:c>
      <x:c r="D3746" s="34" t="str">
        <x:v>Compress_44</x:v>
      </x:c>
      <x:c r="E3746" s="34" t="str">
        <x:v>Condition</x:v>
      </x:c>
      <x:c r="F3746" s="34" t="n">
        <x:v>6</x:v>
      </x:c>
      <x:c r="G3746" s="34" t="str">
        <x:v>RECORDED</x:v>
      </x:c>
      <x:c r="H3746" s="38" t="n">
        <x:f>IF(ISNUMBER('Data'!I330),'Data'!I330*100,"")</x:f>
        <x:v>0</x:v>
      </x:c>
      <x:c r="I3746" s="34" t="str">
        <x:v>PASS</x:v>
      </x:c>
      <x:c r="J3746" s="34" t="str">
        <x:v>PASS</x:v>
      </x:c>
      <x:c r="K3746" s="34" t="str">
        <x:v>PASS</x:v>
      </x:c>
      <x:c r="L3746" s="34" t="str">
        <x:v>PASS</x:v>
      </x:c>
      <x:c r="M3746" s="34" t="str">
        <x:v>numeric coverage for applicable metric</x:v>
      </x:c>
      <x:c r="N3746" s="34" t="str">
        <x:v>Feedback-Directed Random Test Generation/Result/Compress_44/result.json</x:v>
      </x:c>
      <x:c r="O3746" s="38" t="n">
        <x:f>IF(AND(G3746="RECORDED",ISNUMBER(H3746)),H3746,"")</x:f>
        <x:v>0</x:v>
      </x:c>
      <x:c r="P3746" s="34" t="str">
        <x:v>INCONCLUSIVE</x:v>
      </x:c>
      <x:c r="Q3746" s="34" t="str">
        <x:v>Feedback-Directed Random Test Generation/Result/Compress_44/result.json</x:v>
      </x:c>
    </x:row>
    <x:row r="3747">
      <x:c r="A3747" s="34" t="str">
        <x:v>randoop</x:v>
      </x:c>
      <x:c r="B3747" s="34" t="str">
        <x:v>Compress</x:v>
      </x:c>
      <x:c r="C3747" s="34" t="str">
        <x:v>Round1</x:v>
      </x:c>
      <x:c r="D3747" s="34" t="str">
        <x:v>Compress_45</x:v>
      </x:c>
      <x:c r="E3747" s="34" t="str">
        <x:v>Condition</x:v>
      </x:c>
      <x:c r="F3747" s="34" t="n">
        <x:v>108</x:v>
      </x:c>
      <x:c r="G3747" s="34" t="str">
        <x:v>RECORDED</x:v>
      </x:c>
      <x:c r="H3747" s="38" t="n">
        <x:f>IF(ISNUMBER('Data'!I331),'Data'!I331*100,"")</x:f>
        <x:v>28.7</x:v>
      </x:c>
      <x:c r="I3747" s="34" t="str">
        <x:v>PASS</x:v>
      </x:c>
      <x:c r="J3747" s="34" t="str">
        <x:v>PASS</x:v>
      </x:c>
      <x:c r="K3747" s="34" t="str">
        <x:v>PASS</x:v>
      </x:c>
      <x:c r="L3747" s="34" t="str">
        <x:v>PASS</x:v>
      </x:c>
      <x:c r="M3747" s="34" t="str">
        <x:v>numeric coverage for applicable metric</x:v>
      </x:c>
      <x:c r="N3747" s="34" t="str">
        <x:v>Feedback-Directed Random Test Generation/Result/Compress_45/result.json</x:v>
      </x:c>
      <x:c r="O3747" s="38" t="n">
        <x:f>IF(AND(G3747="RECORDED",ISNUMBER(H3747)),H3747,"")</x:f>
        <x:v>28.7</x:v>
      </x:c>
      <x:c r="P3747" s="34" t="str">
        <x:v>INCONCLUSIVE</x:v>
      </x:c>
      <x:c r="Q3747" s="34" t="str">
        <x:v>Feedback-Directed Random Test Generation/Result/Compress_45/result.json</x:v>
      </x:c>
    </x:row>
    <x:row r="3748">
      <x:c r="A3748" s="34" t="str">
        <x:v>randoop</x:v>
      </x:c>
      <x:c r="B3748" s="34" t="str">
        <x:v>Compress</x:v>
      </x:c>
      <x:c r="C3748" s="34" t="str">
        <x:v>Round1</x:v>
      </x:c>
      <x:c r="D3748" s="34" t="str">
        <x:v>Compress_46</x:v>
      </x:c>
      <x:c r="E3748" s="34" t="str">
        <x:v>Condition</x:v>
      </x:c>
      <x:c r="F3748" s="34" t="n">
        <x:v>96</x:v>
      </x:c>
      <x:c r="G3748" s="34" t="str">
        <x:v>RECORDED</x:v>
      </x:c>
      <x:c r="H3748" s="38" t="n">
        <x:f>IF(ISNUMBER('Data'!I332),'Data'!I332*100,"")</x:f>
        <x:v>18.75</x:v>
      </x:c>
      <x:c r="I3748" s="34" t="str">
        <x:v>PASS</x:v>
      </x:c>
      <x:c r="J3748" s="34" t="str">
        <x:v>PASS</x:v>
      </x:c>
      <x:c r="K3748" s="34" t="str">
        <x:v>PASS</x:v>
      </x:c>
      <x:c r="L3748" s="34" t="str">
        <x:v>PASS</x:v>
      </x:c>
      <x:c r="M3748" s="34" t="str">
        <x:v>numeric coverage for applicable metric</x:v>
      </x:c>
      <x:c r="N3748" s="34" t="str">
        <x:v>Feedback-Directed Random Test Generation/Result/Compress_46/result.json</x:v>
      </x:c>
      <x:c r="O3748" s="38" t="n">
        <x:f>IF(AND(G3748="RECORDED",ISNUMBER(H3748)),H3748,"")</x:f>
        <x:v>18.75</x:v>
      </x:c>
      <x:c r="P3748" s="34" t="str">
        <x:v>NOT_REVEALING</x:v>
      </x:c>
      <x:c r="Q3748" s="34" t="str">
        <x:v>Feedback-Directed Random Test Generation/Result/Compress_46/result.json</x:v>
      </x:c>
    </x:row>
    <x:row r="3749">
      <x:c r="A3749" s="34" t="str">
        <x:v>randoop</x:v>
      </x:c>
      <x:c r="B3749" s="34" t="str">
        <x:v>Compress</x:v>
      </x:c>
      <x:c r="C3749" s="34" t="str">
        <x:v>Round1</x:v>
      </x:c>
      <x:c r="D3749" s="34" t="str">
        <x:v>Compress_47</x:v>
      </x:c>
      <x:c r="E3749" s="34" t="str">
        <x:v>Condition</x:v>
      </x:c>
      <x:c r="F3749" s="34" t="n">
        <x:v>273</x:v>
      </x:c>
      <x:c r="G3749" s="34" t="str">
        <x:v>RECORDED</x:v>
      </x:c>
      <x:c r="H3749" s="38" t="n">
        <x:f>IF(ISNUMBER('Data'!I333),'Data'!I333*100,"")</x:f>
        <x:v>6.59</x:v>
      </x:c>
      <x:c r="I3749" s="34" t="str">
        <x:v>PASS</x:v>
      </x:c>
      <x:c r="J3749" s="34" t="str">
        <x:v>PASS</x:v>
      </x:c>
      <x:c r="K3749" s="34" t="str">
        <x:v>PASS</x:v>
      </x:c>
      <x:c r="L3749" s="34" t="str">
        <x:v>PASS</x:v>
      </x:c>
      <x:c r="M3749" s="34" t="str">
        <x:v>numeric coverage for applicable metric</x:v>
      </x:c>
      <x:c r="N3749" s="34" t="str">
        <x:v>Feedback-Directed Random Test Generation/Result/Compress_47/result.json</x:v>
      </x:c>
      <x:c r="O3749" s="38" t="n">
        <x:f>IF(AND(G3749="RECORDED",ISNUMBER(H3749)),H3749,"")</x:f>
        <x:v>6.59</x:v>
      </x:c>
      <x:c r="P3749" s="34" t="str">
        <x:v>NOT_REVEALING</x:v>
      </x:c>
      <x:c r="Q3749" s="34" t="str">
        <x:v>Feedback-Directed Random Test Generation/Result/Compress_47/result.json</x:v>
      </x:c>
    </x:row>
    <x:row r="3750">
      <x:c r="A3750" s="34" t="str">
        <x:v>randoop</x:v>
      </x:c>
      <x:c r="B3750" s="34" t="str">
        <x:v>Csv</x:v>
      </x:c>
      <x:c r="C3750" s="34" t="str">
        <x:v>Round1</x:v>
      </x:c>
      <x:c r="D3750" s="34" t="str">
        <x:v>Csv_1</x:v>
      </x:c>
      <x:c r="E3750" s="34" t="str">
        <x:v>Condition</x:v>
      </x:c>
      <x:c r="F3750" s="34" t="n">
        <x:v>22</x:v>
      </x:c>
      <x:c r="G3750" s="34" t="str">
        <x:v>RECORDED</x:v>
      </x:c>
      <x:c r="H3750" s="38" t="n">
        <x:f>IF(ISNUMBER('Data'!I334),'Data'!I334*100,"")</x:f>
        <x:v>0</x:v>
      </x:c>
      <x:c r="I3750" s="34" t="str">
        <x:v>PASS</x:v>
      </x:c>
      <x:c r="J3750" s="34" t="str">
        <x:v>PASS</x:v>
      </x:c>
      <x:c r="K3750" s="34" t="str">
        <x:v>PASS</x:v>
      </x:c>
      <x:c r="L3750" s="34" t="str">
        <x:v>PASS</x:v>
      </x:c>
      <x:c r="M3750" s="34" t="str">
        <x:v>numeric coverage for applicable metric</x:v>
      </x:c>
      <x:c r="N3750" s="34" t="str">
        <x:v>Feedback-Directed Random Test Generation/Result/Csv_1/result.json</x:v>
      </x:c>
      <x:c r="O3750" s="38" t="n">
        <x:f>IF(AND(G3750="RECORDED",ISNUMBER(H3750)),H3750,"")</x:f>
        <x:v>0</x:v>
      </x:c>
      <x:c r="P3750" s="34" t="str">
        <x:v>NOT_REVEALING</x:v>
      </x:c>
      <x:c r="Q3750" s="34" t="str">
        <x:v>Feedback-Directed Random Test Generation/Result/Csv_1/result.json</x:v>
      </x:c>
    </x:row>
    <x:row r="3751">
      <x:c r="A3751" s="34" t="str">
        <x:v>randoop</x:v>
      </x:c>
      <x:c r="B3751" s="34" t="str">
        <x:v>Csv</x:v>
      </x:c>
      <x:c r="C3751" s="34" t="str">
        <x:v>Round1</x:v>
      </x:c>
      <x:c r="D3751" s="34" t="str">
        <x:v>Csv_2</x:v>
      </x:c>
      <x:c r="E3751" s="34" t="str">
        <x:v>Condition</x:v>
      </x:c>
      <x:c r="F3751" s="34" t="n">
        <x:v>16</x:v>
      </x:c>
      <x:c r="G3751" s="34" t="str">
        <x:v>RECORDED</x:v>
      </x:c>
      <x:c r="H3751" s="38" t="n">
        <x:f>IF(ISNUMBER('Data'!I335),'Data'!I335*100,"")</x:f>
        <x:v>31.25</x:v>
      </x:c>
      <x:c r="I3751" s="34" t="str">
        <x:v>PASS</x:v>
      </x:c>
      <x:c r="J3751" s="34" t="str">
        <x:v>PASS</x:v>
      </x:c>
      <x:c r="K3751" s="34" t="str">
        <x:v>PASS</x:v>
      </x:c>
      <x:c r="L3751" s="34" t="str">
        <x:v>PASS</x:v>
      </x:c>
      <x:c r="M3751" s="34" t="str">
        <x:v>numeric coverage for applicable metric</x:v>
      </x:c>
      <x:c r="N3751" s="34" t="str">
        <x:v>Feedback-Directed Random Test Generation/Result/Csv_2/result.json</x:v>
      </x:c>
      <x:c r="O3751" s="38" t="n">
        <x:f>IF(AND(G3751="RECORDED",ISNUMBER(H3751)),H3751,"")</x:f>
        <x:v>31.25</x:v>
      </x:c>
      <x:c r="P3751" s="34" t="str">
        <x:v>NOT_REVEALING</x:v>
      </x:c>
      <x:c r="Q3751" s="34" t="str">
        <x:v>Feedback-Directed Random Test Generation/Result/Csv_2/result.json</x:v>
      </x:c>
    </x:row>
    <x:row r="3752">
      <x:c r="A3752" s="34" t="str">
        <x:v>randoop</x:v>
      </x:c>
      <x:c r="B3752" s="34" t="str">
        <x:v>Csv</x:v>
      </x:c>
      <x:c r="C3752" s="34" t="str">
        <x:v>Round1</x:v>
      </x:c>
      <x:c r="D3752" s="34" t="str">
        <x:v>Csv_3</x:v>
      </x:c>
      <x:c r="E3752" s="34" t="str">
        <x:v>Condition</x:v>
      </x:c>
      <x:c r="F3752" s="34" t="n">
        <x:v>44</x:v>
      </x:c>
      <x:c r="G3752" s="34" t="str">
        <x:v>RECORDED</x:v>
      </x:c>
      <x:c r="H3752" s="38" t="n">
        <x:f>IF(ISNUMBER('Data'!I336),'Data'!I336*100,"")</x:f>
        <x:v>0</x:v>
      </x:c>
      <x:c r="I3752" s="34" t="str">
        <x:v>PASS</x:v>
      </x:c>
      <x:c r="J3752" s="34" t="str">
        <x:v>PASS</x:v>
      </x:c>
      <x:c r="K3752" s="34" t="str">
        <x:v>PASS</x:v>
      </x:c>
      <x:c r="L3752" s="34" t="str">
        <x:v>PASS</x:v>
      </x:c>
      <x:c r="M3752" s="34" t="str">
        <x:v>numeric coverage for applicable metric</x:v>
      </x:c>
      <x:c r="N3752" s="34" t="str">
        <x:v>Feedback-Directed Random Test Generation/Result/Csv_3/result.json</x:v>
      </x:c>
      <x:c r="O3752" s="38" t="n">
        <x:f>IF(AND(G3752="RECORDED",ISNUMBER(H3752)),H3752,"")</x:f>
        <x:v>0</x:v>
      </x:c>
      <x:c r="P3752" s="34" t="str">
        <x:v>NOT_REVEALING</x:v>
      </x:c>
      <x:c r="Q3752" s="34" t="str">
        <x:v>Feedback-Directed Random Test Generation/Result/Csv_3/result.json</x:v>
      </x:c>
    </x:row>
    <x:row r="3753">
      <x:c r="A3753" s="34" t="str">
        <x:v>randoop</x:v>
      </x:c>
      <x:c r="B3753" s="34" t="str">
        <x:v>Csv</x:v>
      </x:c>
      <x:c r="C3753" s="34" t="str">
        <x:v>Round1</x:v>
      </x:c>
      <x:c r="D3753" s="34" t="str">
        <x:v>Csv_4</x:v>
      </x:c>
      <x:c r="E3753" s="34" t="str">
        <x:v>Condition</x:v>
      </x:c>
      <x:c r="F3753" s="34" t="n">
        <x:v>50</x:v>
      </x:c>
      <x:c r="G3753" s="34" t="str">
        <x:v>RECORDED</x:v>
      </x:c>
      <x:c r="H3753" s="38" t="n">
        <x:f>IF(ISNUMBER('Data'!I337),'Data'!I337*100,"")</x:f>
        <x:v>0</x:v>
      </x:c>
      <x:c r="I3753" s="34" t="str">
        <x:v>PASS</x:v>
      </x:c>
      <x:c r="J3753" s="34" t="str">
        <x:v>PASS</x:v>
      </x:c>
      <x:c r="K3753" s="34" t="str">
        <x:v>PASS</x:v>
      </x:c>
      <x:c r="L3753" s="34" t="str">
        <x:v>PASS</x:v>
      </x:c>
      <x:c r="M3753" s="34" t="str">
        <x:v>numeric coverage for applicable metric</x:v>
      </x:c>
      <x:c r="N3753" s="34" t="str">
        <x:v>Feedback-Directed Random Test Generation/Result/Csv_4/result.json</x:v>
      </x:c>
      <x:c r="O3753" s="38" t="n">
        <x:f>IF(AND(G3753="RECORDED",ISNUMBER(H3753)),H3753,"")</x:f>
        <x:v>0</x:v>
      </x:c>
      <x:c r="P3753" s="34" t="str">
        <x:v>NOT_REVEALING</x:v>
      </x:c>
      <x:c r="Q3753" s="34" t="str">
        <x:v>Feedback-Directed Random Test Generation/Result/Csv_4/result.json</x:v>
      </x:c>
    </x:row>
    <x:row r="3754">
      <x:c r="A3754" s="34" t="str">
        <x:v>randoop</x:v>
      </x:c>
      <x:c r="B3754" s="34" t="str">
        <x:v>Csv</x:v>
      </x:c>
      <x:c r="C3754" s="34" t="str">
        <x:v>Round1</x:v>
      </x:c>
      <x:c r="D3754" s="34" t="str">
        <x:v>Csv_5</x:v>
      </x:c>
      <x:c r="E3754" s="34" t="str">
        <x:v>Condition</x:v>
      </x:c>
      <x:c r="F3754" s="34" t="n">
        <x:v>115</x:v>
      </x:c>
      <x:c r="G3754" s="34" t="str">
        <x:v>RECORDED</x:v>
      </x:c>
      <x:c r="H3754" s="38" t="n">
        <x:f>IF(ISNUMBER('Data'!I338),'Data'!I338*100,"")</x:f>
        <x:v>0</x:v>
      </x:c>
      <x:c r="I3754" s="34" t="str">
        <x:v>PASS</x:v>
      </x:c>
      <x:c r="J3754" s="34" t="str">
        <x:v>PASS</x:v>
      </x:c>
      <x:c r="K3754" s="34" t="str">
        <x:v>PASS</x:v>
      </x:c>
      <x:c r="L3754" s="34" t="str">
        <x:v>PASS</x:v>
      </x:c>
      <x:c r="M3754" s="34" t="str">
        <x:v>numeric coverage for applicable metric</x:v>
      </x:c>
      <x:c r="N3754" s="34" t="str">
        <x:v>Feedback-Directed Random Test Generation/Result/Csv_5/result.json</x:v>
      </x:c>
      <x:c r="O3754" s="38" t="n">
        <x:f>IF(AND(G3754="RECORDED",ISNUMBER(H3754)),H3754,"")</x:f>
        <x:v>0</x:v>
      </x:c>
      <x:c r="P3754" s="34" t="str">
        <x:v>NOT_REVEALING</x:v>
      </x:c>
      <x:c r="Q3754" s="34" t="str">
        <x:v>Feedback-Directed Random Test Generation/Result/Csv_5/result.json</x:v>
      </x:c>
    </x:row>
    <x:row r="3755">
      <x:c r="A3755" s="34" t="str">
        <x:v>randoop</x:v>
      </x:c>
      <x:c r="B3755" s="34" t="str">
        <x:v>Csv</x:v>
      </x:c>
      <x:c r="C3755" s="34" t="str">
        <x:v>Round1</x:v>
      </x:c>
      <x:c r="D3755" s="34" t="str">
        <x:v>Csv_6</x:v>
      </x:c>
      <x:c r="E3755" s="34" t="str">
        <x:v>Condition</x:v>
      </x:c>
      <x:c r="F3755" s="34" t="n">
        <x:v>18</x:v>
      </x:c>
      <x:c r="G3755" s="34" t="str">
        <x:v>RECORDED</x:v>
      </x:c>
      <x:c r="H3755" s="38" t="n">
        <x:f>IF(ISNUMBER('Data'!I339),'Data'!I339*100,"")</x:f>
        <x:v>33.33</x:v>
      </x:c>
      <x:c r="I3755" s="34" t="str">
        <x:v>PASS</x:v>
      </x:c>
      <x:c r="J3755" s="34" t="str">
        <x:v>PASS</x:v>
      </x:c>
      <x:c r="K3755" s="34" t="str">
        <x:v>PASS</x:v>
      </x:c>
      <x:c r="L3755" s="34" t="str">
        <x:v>PASS</x:v>
      </x:c>
      <x:c r="M3755" s="34" t="str">
        <x:v>numeric coverage for applicable metric</x:v>
      </x:c>
      <x:c r="N3755" s="34" t="str">
        <x:v>Feedback-Directed Random Test Generation/Result/Csv_6/result.json</x:v>
      </x:c>
      <x:c r="O3755" s="38" t="n">
        <x:f>IF(AND(G3755="RECORDED",ISNUMBER(H3755)),H3755,"")</x:f>
        <x:v>33.33</x:v>
      </x:c>
      <x:c r="P3755" s="34" t="str">
        <x:v>NOT_REVEALING</x:v>
      </x:c>
      <x:c r="Q3755" s="34" t="str">
        <x:v>Feedback-Directed Random Test Generation/Result/Csv_6/result.json</x:v>
      </x:c>
    </x:row>
    <x:row r="3756">
      <x:c r="A3756" s="34" t="str">
        <x:v>randoop</x:v>
      </x:c>
      <x:c r="B3756" s="34" t="str">
        <x:v>Csv</x:v>
      </x:c>
      <x:c r="C3756" s="34" t="str">
        <x:v>Round1</x:v>
      </x:c>
      <x:c r="D3756" s="34" t="str">
        <x:v>Csv_7</x:v>
      </x:c>
      <x:c r="E3756" s="34" t="str">
        <x:v>Condition</x:v>
      </x:c>
      <x:c r="F3756" s="34" t="n">
        <x:v>50</x:v>
      </x:c>
      <x:c r="G3756" s="34" t="str">
        <x:v>RECORDED</x:v>
      </x:c>
      <x:c r="H3756" s="38" t="n">
        <x:f>IF(ISNUMBER('Data'!I340),'Data'!I340*100,"")</x:f>
        <x:v>0</x:v>
      </x:c>
      <x:c r="I3756" s="34" t="str">
        <x:v>PASS</x:v>
      </x:c>
      <x:c r="J3756" s="34" t="str">
        <x:v>PASS</x:v>
      </x:c>
      <x:c r="K3756" s="34" t="str">
        <x:v>PASS</x:v>
      </x:c>
      <x:c r="L3756" s="34" t="str">
        <x:v>PASS</x:v>
      </x:c>
      <x:c r="M3756" s="34" t="str">
        <x:v>numeric coverage for applicable metric</x:v>
      </x:c>
      <x:c r="N3756" s="34" t="str">
        <x:v>Feedback-Directed Random Test Generation/Result/Csv_7/result.json</x:v>
      </x:c>
      <x:c r="O3756" s="38" t="n">
        <x:f>IF(AND(G3756="RECORDED",ISNUMBER(H3756)),H3756,"")</x:f>
        <x:v>0</x:v>
      </x:c>
      <x:c r="P3756" s="34" t="str">
        <x:v>NOT_REVEALING</x:v>
      </x:c>
      <x:c r="Q3756" s="34" t="str">
        <x:v>Feedback-Directed Random Test Generation/Result/Csv_7/result.json</x:v>
      </x:c>
    </x:row>
    <x:row r="3757">
      <x:c r="A3757" s="34" t="str">
        <x:v>randoop</x:v>
      </x:c>
      <x:c r="B3757" s="34" t="str">
        <x:v>Csv</x:v>
      </x:c>
      <x:c r="C3757" s="34" t="str">
        <x:v>Round1</x:v>
      </x:c>
      <x:c r="D3757" s="34" t="str">
        <x:v>Csv_8</x:v>
      </x:c>
      <x:c r="E3757" s="34" t="str">
        <x:v>Condition</x:v>
      </x:c>
      <x:c r="F3757" s="34" t="n">
        <x:v>140</x:v>
      </x:c>
      <x:c r="G3757" s="34" t="str">
        <x:v>RECORDED</x:v>
      </x:c>
      <x:c r="H3757" s="38" t="n">
        <x:f>IF(ISNUMBER('Data'!I341),'Data'!I341*100,"")</x:f>
        <x:v>39.29</x:v>
      </x:c>
      <x:c r="I3757" s="34" t="str">
        <x:v>PASS</x:v>
      </x:c>
      <x:c r="J3757" s="34" t="str">
        <x:v>PASS</x:v>
      </x:c>
      <x:c r="K3757" s="34" t="str">
        <x:v>PASS</x:v>
      </x:c>
      <x:c r="L3757" s="34" t="str">
        <x:v>PASS</x:v>
      </x:c>
      <x:c r="M3757" s="34" t="str">
        <x:v>numeric coverage for applicable metric</x:v>
      </x:c>
      <x:c r="N3757" s="34" t="str">
        <x:v>Feedback-Directed Random Test Generation/Result/Csv_8/result.json</x:v>
      </x:c>
      <x:c r="O3757" s="38" t="n">
        <x:f>IF(AND(G3757="RECORDED",ISNUMBER(H3757)),H3757,"")</x:f>
        <x:v>39.29</x:v>
      </x:c>
      <x:c r="P3757" s="34" t="str">
        <x:v>INCONCLUSIVE</x:v>
      </x:c>
      <x:c r="Q3757" s="34" t="str">
        <x:v>Feedback-Directed Random Test Generation/Result/Csv_8/result.json</x:v>
      </x:c>
    </x:row>
    <x:row r="3758">
      <x:c r="A3758" s="34" t="str">
        <x:v>randoop</x:v>
      </x:c>
      <x:c r="B3758" s="34" t="str">
        <x:v>Csv</x:v>
      </x:c>
      <x:c r="C3758" s="34" t="str">
        <x:v>Round1</x:v>
      </x:c>
      <x:c r="D3758" s="34" t="str">
        <x:v>Csv_9</x:v>
      </x:c>
      <x:c r="E3758" s="34" t="str">
        <x:v>Condition</x:v>
      </x:c>
      <x:c r="F3758" s="34" t="n">
        <x:v>22</x:v>
      </x:c>
      <x:c r="G3758" s="34" t="str">
        <x:v>RECORDED</x:v>
      </x:c>
      <x:c r="H3758" s="38" t="n">
        <x:f>IF(ISNUMBER('Data'!I342),'Data'!I342*100,"")</x:f>
        <x:v>27.27</x:v>
      </x:c>
      <x:c r="I3758" s="34" t="str">
        <x:v>PASS</x:v>
      </x:c>
      <x:c r="J3758" s="34" t="str">
        <x:v>PASS</x:v>
      </x:c>
      <x:c r="K3758" s="34" t="str">
        <x:v>PASS</x:v>
      </x:c>
      <x:c r="L3758" s="34" t="str">
        <x:v>PASS</x:v>
      </x:c>
      <x:c r="M3758" s="34" t="str">
        <x:v>numeric coverage for applicable metric</x:v>
      </x:c>
      <x:c r="N3758" s="34" t="str">
        <x:v>Feedback-Directed Random Test Generation/Result/Csv_9/result.json</x:v>
      </x:c>
      <x:c r="O3758" s="38" t="n">
        <x:f>IF(AND(G3758="RECORDED",ISNUMBER(H3758)),H3758,"")</x:f>
        <x:v>27.27</x:v>
      </x:c>
      <x:c r="P3758" s="34" t="str">
        <x:v>INCONCLUSIVE</x:v>
      </x:c>
      <x:c r="Q3758" s="34" t="str">
        <x:v>Feedback-Directed Random Test Generation/Result/Csv_9/result.json</x:v>
      </x:c>
    </x:row>
    <x:row r="3759">
      <x:c r="A3759" s="34" t="str">
        <x:v>randoop</x:v>
      </x:c>
      <x:c r="B3759" s="34" t="str">
        <x:v>Csv</x:v>
      </x:c>
      <x:c r="C3759" s="34" t="str">
        <x:v>Round1</x:v>
      </x:c>
      <x:c r="D3759" s="34" t="str">
        <x:v>Csv_10</x:v>
      </x:c>
      <x:c r="E3759" s="34" t="str">
        <x:v>Condition</x:v>
      </x:c>
      <x:c r="F3759" s="34" t="n">
        <x:v>117</x:v>
      </x:c>
      <x:c r="G3759" s="34" t="str">
        <x:v>RECORDED</x:v>
      </x:c>
      <x:c r="H3759" s="38" t="n">
        <x:f>IF(ISNUMBER('Data'!I343),'Data'!I343*100,"")</x:f>
        <x:v>0</x:v>
      </x:c>
      <x:c r="I3759" s="34" t="str">
        <x:v>PASS</x:v>
      </x:c>
      <x:c r="J3759" s="34" t="str">
        <x:v>PASS</x:v>
      </x:c>
      <x:c r="K3759" s="34" t="str">
        <x:v>PASS</x:v>
      </x:c>
      <x:c r="L3759" s="34" t="str">
        <x:v>PASS</x:v>
      </x:c>
      <x:c r="M3759" s="34" t="str">
        <x:v>numeric coverage for applicable metric</x:v>
      </x:c>
      <x:c r="N3759" s="34" t="str">
        <x:v>Feedback-Directed Random Test Generation/Result/Csv_10/result.json</x:v>
      </x:c>
      <x:c r="O3759" s="38" t="n">
        <x:f>IF(AND(G3759="RECORDED",ISNUMBER(H3759)),H3759,"")</x:f>
        <x:v>0</x:v>
      </x:c>
      <x:c r="P3759" s="34" t="str">
        <x:v>NOT_REVEALING</x:v>
      </x:c>
      <x:c r="Q3759" s="34" t="str">
        <x:v>Feedback-Directed Random Test Generation/Result/Csv_10/result.json</x:v>
      </x:c>
    </x:row>
    <x:row r="3760">
      <x:c r="A3760" s="34" t="str">
        <x:v>randoop</x:v>
      </x:c>
      <x:c r="B3760" s="34" t="str">
        <x:v>Csv</x:v>
      </x:c>
      <x:c r="C3760" s="34" t="str">
        <x:v>Round1</x:v>
      </x:c>
      <x:c r="D3760" s="34" t="str">
        <x:v>Csv_11</x:v>
      </x:c>
      <x:c r="E3760" s="34" t="str">
        <x:v>Condition</x:v>
      </x:c>
      <x:c r="F3760" s="34" t="n">
        <x:v>58</x:v>
      </x:c>
      <x:c r="G3760" s="34" t="str">
        <x:v>RECORDED</x:v>
      </x:c>
      <x:c r="H3760" s="38" t="n">
        <x:f>IF(ISNUMBER('Data'!I344),'Data'!I344*100,"")</x:f>
        <x:v>0</x:v>
      </x:c>
      <x:c r="I3760" s="34" t="str">
        <x:v>PASS</x:v>
      </x:c>
      <x:c r="J3760" s="34" t="str">
        <x:v>PASS</x:v>
      </x:c>
      <x:c r="K3760" s="34" t="str">
        <x:v>PASS</x:v>
      </x:c>
      <x:c r="L3760" s="34" t="str">
        <x:v>PASS</x:v>
      </x:c>
      <x:c r="M3760" s="34" t="str">
        <x:v>numeric coverage for applicable metric</x:v>
      </x:c>
      <x:c r="N3760" s="34" t="str">
        <x:v>Feedback-Directed Random Test Generation/Result/Csv_11/result.json</x:v>
      </x:c>
      <x:c r="O3760" s="38" t="n">
        <x:f>IF(AND(G3760="RECORDED",ISNUMBER(H3760)),H3760,"")</x:f>
        <x:v>0</x:v>
      </x:c>
      <x:c r="P3760" s="34" t="str">
        <x:v>NOT_REVEALING</x:v>
      </x:c>
      <x:c r="Q3760" s="34" t="str">
        <x:v>Feedback-Directed Random Test Generation/Result/Csv_11/result.json</x:v>
      </x:c>
    </x:row>
    <x:row r="3761">
      <x:c r="A3761" s="34" t="str">
        <x:v>randoop</x:v>
      </x:c>
      <x:c r="B3761" s="34" t="str">
        <x:v>Csv</x:v>
      </x:c>
      <x:c r="C3761" s="34" t="str">
        <x:v>Round1</x:v>
      </x:c>
      <x:c r="D3761" s="34" t="str">
        <x:v>Csv_12</x:v>
      </x:c>
      <x:c r="E3761" s="34" t="str">
        <x:v>Condition</x:v>
      </x:c>
      <x:c r="F3761" s="34" t="n">
        <x:v>140</x:v>
      </x:c>
      <x:c r="G3761" s="34" t="str">
        <x:v>RECORDED</x:v>
      </x:c>
      <x:c r="H3761" s="38" t="n">
        <x:f>IF(ISNUMBER('Data'!I345),'Data'!I345*100,"")</x:f>
        <x:v>45.71</x:v>
      </x:c>
      <x:c r="I3761" s="34" t="str">
        <x:v>PASS</x:v>
      </x:c>
      <x:c r="J3761" s="34" t="str">
        <x:v>PASS</x:v>
      </x:c>
      <x:c r="K3761" s="34" t="str">
        <x:v>PASS</x:v>
      </x:c>
      <x:c r="L3761" s="34" t="str">
        <x:v>PASS</x:v>
      </x:c>
      <x:c r="M3761" s="34" t="str">
        <x:v>numeric coverage for applicable metric</x:v>
      </x:c>
      <x:c r="N3761" s="34" t="str">
        <x:v>Feedback-Directed Random Test Generation/Result/Csv_12/result.json</x:v>
      </x:c>
      <x:c r="O3761" s="38" t="n">
        <x:f>IF(AND(G3761="RECORDED",ISNUMBER(H3761)),H3761,"")</x:f>
        <x:v>45.71</x:v>
      </x:c>
      <x:c r="P3761" s="34" t="str">
        <x:v>NOT_REVEALING</x:v>
      </x:c>
      <x:c r="Q3761" s="34" t="str">
        <x:v>Feedback-Directed Random Test Generation/Result/Csv_12/result.json</x:v>
      </x:c>
    </x:row>
    <x:row r="3762">
      <x:c r="A3762" s="34" t="str">
        <x:v>randoop</x:v>
      </x:c>
      <x:c r="B3762" s="34" t="str">
        <x:v>Csv</x:v>
      </x:c>
      <x:c r="C3762" s="34" t="str">
        <x:v>Round1</x:v>
      </x:c>
      <x:c r="D3762" s="34" t="str">
        <x:v>Csv_13</x:v>
      </x:c>
      <x:c r="E3762" s="34" t="str">
        <x:v>Condition</x:v>
      </x:c>
      <x:c r="F3762" s="34" t="n">
        <x:v>289</x:v>
      </x:c>
      <x:c r="G3762" s="34" t="str">
        <x:v>RECORDED</x:v>
      </x:c>
      <x:c r="H3762" s="38" t="n">
        <x:f>IF(ISNUMBER('Data'!I346),'Data'!I346*100,"")</x:f>
        <x:v>47.06</x:v>
      </x:c>
      <x:c r="I3762" s="34" t="str">
        <x:v>PASS</x:v>
      </x:c>
      <x:c r="J3762" s="34" t="str">
        <x:v>PASS</x:v>
      </x:c>
      <x:c r="K3762" s="34" t="str">
        <x:v>PASS</x:v>
      </x:c>
      <x:c r="L3762" s="34" t="str">
        <x:v>FAIL</x:v>
      </x:c>
      <x:c r="M3762" s="34" t="str">
        <x:v>numeric coverage for applicable metric</x:v>
      </x:c>
      <x:c r="N3762" s="34" t="str">
        <x:v>Feedback-Directed Random Test Generation/Result/Csv_13/result.json</x:v>
      </x:c>
      <x:c r="O3762" s="38" t="n">
        <x:f>IF(AND(G3762="RECORDED",ISNUMBER(H3762)),H3762,"")</x:f>
        <x:v>47.06</x:v>
      </x:c>
      <x:c r="P3762" s="34" t="str">
        <x:v>INCONCLUSIVE</x:v>
      </x:c>
      <x:c r="Q3762" s="34" t="str">
        <x:v>Feedback-Directed Random Test Generation/Result/Csv_13/result.json</x:v>
      </x:c>
    </x:row>
    <x:row r="3763">
      <x:c r="A3763" s="34" t="str">
        <x:v>randoop</x:v>
      </x:c>
      <x:c r="B3763" s="34" t="str">
        <x:v>Csv</x:v>
      </x:c>
      <x:c r="C3763" s="34" t="str">
        <x:v>Round1</x:v>
      </x:c>
      <x:c r="D3763" s="34" t="str">
        <x:v>Csv_14</x:v>
      </x:c>
      <x:c r="E3763" s="34" t="str">
        <x:v>Condition</x:v>
      </x:c>
      <x:c r="F3763" s="34" t="n">
        <x:v>272</x:v>
      </x:c>
      <x:c r="G3763" s="34" t="str">
        <x:v>RECORDED</x:v>
      </x:c>
      <x:c r="H3763" s="38" t="n">
        <x:f>IF(ISNUMBER('Data'!I347),'Data'!I347*100,"")</x:f>
        <x:v>46.32</x:v>
      </x:c>
      <x:c r="I3763" s="34" t="str">
        <x:v>PASS</x:v>
      </x:c>
      <x:c r="J3763" s="34" t="str">
        <x:v>PASS</x:v>
      </x:c>
      <x:c r="K3763" s="34" t="str">
        <x:v>PASS</x:v>
      </x:c>
      <x:c r="L3763" s="34" t="str">
        <x:v>FAIL</x:v>
      </x:c>
      <x:c r="M3763" s="34" t="str">
        <x:v>numeric coverage for applicable metric</x:v>
      </x:c>
      <x:c r="N3763" s="34" t="str">
        <x:v>Feedback-Directed Random Test Generation/Result/Csv_14/result.json</x:v>
      </x:c>
      <x:c r="O3763" s="38" t="n">
        <x:f>IF(AND(G3763="RECORDED",ISNUMBER(H3763)),H3763,"")</x:f>
        <x:v>46.32</x:v>
      </x:c>
      <x:c r="P3763" s="34" t="str">
        <x:v>INCONCLUSIVE</x:v>
      </x:c>
      <x:c r="Q3763" s="34" t="str">
        <x:v>Feedback-Directed Random Test Generation/Result/Csv_14/result.json</x:v>
      </x:c>
    </x:row>
    <x:row r="3764">
      <x:c r="A3764" s="34" t="str">
        <x:v>randoop</x:v>
      </x:c>
      <x:c r="B3764" s="34" t="str">
        <x:v>Csv</x:v>
      </x:c>
      <x:c r="C3764" s="34" t="str">
        <x:v>Round1</x:v>
      </x:c>
      <x:c r="D3764" s="34" t="str">
        <x:v>Csv_15</x:v>
      </x:c>
      <x:c r="E3764" s="34" t="str">
        <x:v>Condition</x:v>
      </x:c>
      <x:c r="F3764" s="34" t="n">
        <x:v>275</x:v>
      </x:c>
      <x:c r="G3764" s="34" t="str">
        <x:v>RECORDED</x:v>
      </x:c>
      <x:c r="H3764" s="38" t="n">
        <x:f>IF(ISNUMBER('Data'!I348),'Data'!I348*100,"")</x:f>
        <x:v>43.64</x:v>
      </x:c>
      <x:c r="I3764" s="34" t="str">
        <x:v>PASS</x:v>
      </x:c>
      <x:c r="J3764" s="34" t="str">
        <x:v>PASS</x:v>
      </x:c>
      <x:c r="K3764" s="34" t="str">
        <x:v>PASS</x:v>
      </x:c>
      <x:c r="L3764" s="34" t="str">
        <x:v>FAIL</x:v>
      </x:c>
      <x:c r="M3764" s="34" t="str">
        <x:v>numeric coverage for applicable metric</x:v>
      </x:c>
      <x:c r="N3764" s="34" t="str">
        <x:v>Feedback-Directed Random Test Generation/Result/Csv_15/result.json</x:v>
      </x:c>
      <x:c r="O3764" s="38" t="n">
        <x:f>IF(AND(G3764="RECORDED",ISNUMBER(H3764)),H3764,"")</x:f>
        <x:v>43.64</x:v>
      </x:c>
      <x:c r="P3764" s="34" t="str">
        <x:v>INCONCLUSIVE</x:v>
      </x:c>
      <x:c r="Q3764" s="34" t="str">
        <x:v>Feedback-Directed Random Test Generation/Result/Csv_15/result.json</x:v>
      </x:c>
    </x:row>
    <x:row r="3765">
      <x:c r="A3765" s="34" t="str">
        <x:v>randoop</x:v>
      </x:c>
      <x:c r="B3765" s="34" t="str">
        <x:v>Csv</x:v>
      </x:c>
      <x:c r="C3765" s="34" t="str">
        <x:v>Round1</x:v>
      </x:c>
      <x:c r="D3765" s="34" t="str">
        <x:v>Csv_16</x:v>
      </x:c>
      <x:c r="E3765" s="34" t="str">
        <x:v>Condition</x:v>
      </x:c>
      <x:c r="F3765" s="34" t="n">
        <x:v>68</x:v>
      </x:c>
      <x:c r="G3765" s="34" t="str">
        <x:v>RECORDED</x:v>
      </x:c>
      <x:c r="H3765" s="38" t="n">
        <x:f>IF(ISNUMBER('Data'!I349),'Data'!I349*100,"")</x:f>
        <x:v>0</x:v>
      </x:c>
      <x:c r="I3765" s="34" t="str">
        <x:v>PASS</x:v>
      </x:c>
      <x:c r="J3765" s="34" t="str">
        <x:v>PASS</x:v>
      </x:c>
      <x:c r="K3765" s="34" t="str">
        <x:v>PASS</x:v>
      </x:c>
      <x:c r="L3765" s="34" t="str">
        <x:v>PASS</x:v>
      </x:c>
      <x:c r="M3765" s="34" t="str">
        <x:v>numeric coverage for applicable metric</x:v>
      </x:c>
      <x:c r="N3765" s="34" t="str">
        <x:v>Feedback-Directed Random Test Generation/Result/Csv_16/result.json</x:v>
      </x:c>
      <x:c r="O3765" s="38" t="n">
        <x:f>IF(AND(G3765="RECORDED",ISNUMBER(H3765)),H3765,"")</x:f>
        <x:v>0</x:v>
      </x:c>
      <x:c r="P3765" s="34" t="str">
        <x:v>NOT_REVEALING</x:v>
      </x:c>
      <x:c r="Q3765" s="34" t="str">
        <x:v>Feedback-Directed Random Test Generation/Result/Csv_16/result.json</x:v>
      </x:c>
    </x:row>
    <x:row r="3766">
      <x:c r="A3766" s="34" t="str">
        <x:v>randoop</x:v>
      </x:c>
      <x:c r="B3766" s="34" t="str">
        <x:v>Gson</x:v>
      </x:c>
      <x:c r="C3766" s="34" t="str">
        <x:v>Round1</x:v>
      </x:c>
      <x:c r="D3766" s="34" t="str">
        <x:v>Gson_1</x:v>
      </x:c>
      <x:c r="E3766" s="34" t="str">
        <x:v>Condition</x:v>
      </x:c>
      <x:c r="F3766" s="34" t="n">
        <x:v>22</x:v>
      </x:c>
      <x:c r="G3766" s="34" t="str">
        <x:v>RECORDED</x:v>
      </x:c>
      <x:c r="H3766" s="38" t="n">
        <x:f>IF(ISNUMBER('Data'!I350),'Data'!I350*100,"")</x:f>
        <x:v>0</x:v>
      </x:c>
      <x:c r="I3766" s="34" t="str">
        <x:v>PASS</x:v>
      </x:c>
      <x:c r="J3766" s="34" t="str">
        <x:v>PASS</x:v>
      </x:c>
      <x:c r="K3766" s="34" t="str">
        <x:v>PASS</x:v>
      </x:c>
      <x:c r="L3766" s="34" t="str">
        <x:v>PASS</x:v>
      </x:c>
      <x:c r="M3766" s="34" t="str">
        <x:v>numeric coverage for applicable metric</x:v>
      </x:c>
      <x:c r="N3766" s="34" t="str">
        <x:v>Feedback-Directed Random Test Generation/Result/Gson_1/result.json</x:v>
      </x:c>
      <x:c r="O3766" s="38" t="n">
        <x:f>IF(AND(G3766="RECORDED",ISNUMBER(H3766)),H3766,"")</x:f>
        <x:v>0</x:v>
      </x:c>
      <x:c r="P3766" s="34" t="str">
        <x:v>NOT_REVEALING</x:v>
      </x:c>
      <x:c r="Q3766" s="34" t="str">
        <x:v>Feedback-Directed Random Test Generation/Result/Gson_1/result.json</x:v>
      </x:c>
    </x:row>
    <x:row r="3767">
      <x:c r="A3767" s="34" t="str">
        <x:v>randoop</x:v>
      </x:c>
      <x:c r="B3767" s="34" t="str">
        <x:v>Gson</x:v>
      </x:c>
      <x:c r="C3767" s="34" t="str">
        <x:v>Round1</x:v>
      </x:c>
      <x:c r="D3767" s="34" t="str">
        <x:v>Gson_2</x:v>
      </x:c>
      <x:c r="E3767" s="34" t="str">
        <x:v>Condition</x:v>
      </x:c>
      <x:c r="F3767" s="34" t="n">
        <x:v>188</x:v>
      </x:c>
      <x:c r="G3767" s="34" t="str">
        <x:v>RECORDED</x:v>
      </x:c>
      <x:c r="H3767" s="38" t="n">
        <x:f>IF(ISNUMBER('Data'!I351),'Data'!I351*100,"")</x:f>
        <x:v>0</x:v>
      </x:c>
      <x:c r="I3767" s="34" t="str">
        <x:v>PASS</x:v>
      </x:c>
      <x:c r="J3767" s="34" t="str">
        <x:v>PASS</x:v>
      </x:c>
      <x:c r="K3767" s="34" t="str">
        <x:v>PASS</x:v>
      </x:c>
      <x:c r="L3767" s="34" t="str">
        <x:v>PASS</x:v>
      </x:c>
      <x:c r="M3767" s="34" t="str">
        <x:v>numeric coverage for applicable metric</x:v>
      </x:c>
      <x:c r="N3767" s="34" t="str">
        <x:v>Feedback-Directed Random Test Generation/Result/Gson_2/result.json</x:v>
      </x:c>
      <x:c r="O3767" s="38" t="n">
        <x:f>IF(AND(G3767="RECORDED",ISNUMBER(H3767)),H3767,"")</x:f>
        <x:v>0</x:v>
      </x:c>
      <x:c r="P3767" s="34" t="str">
        <x:v>NOT_REVEALING</x:v>
      </x:c>
      <x:c r="Q3767" s="34" t="str">
        <x:v>Feedback-Directed Random Test Generation/Result/Gson_2/result.json</x:v>
      </x:c>
    </x:row>
    <x:row r="3768">
      <x:c r="A3768" s="34" t="str">
        <x:v>randoop</x:v>
      </x:c>
      <x:c r="B3768" s="34" t="str">
        <x:v>Gson</x:v>
      </x:c>
      <x:c r="C3768" s="34" t="str">
        <x:v>Round1</x:v>
      </x:c>
      <x:c r="D3768" s="34" t="str">
        <x:v>Gson_3</x:v>
      </x:c>
      <x:c r="E3768" s="34" t="str">
        <x:v>Condition</x:v>
      </x:c>
      <x:c r="F3768" s="34" t="n">
        <x:v>32</x:v>
      </x:c>
      <x:c r="G3768" s="34" t="str">
        <x:v>RECORDED</x:v>
      </x:c>
      <x:c r="H3768" s="38" t="n">
        <x:f>IF(ISNUMBER('Data'!I352),'Data'!I352*100,"")</x:f>
        <x:v>0</x:v>
      </x:c>
      <x:c r="I3768" s="34" t="str">
        <x:v>PASS</x:v>
      </x:c>
      <x:c r="J3768" s="34" t="str">
        <x:v>PASS</x:v>
      </x:c>
      <x:c r="K3768" s="34" t="str">
        <x:v>PASS</x:v>
      </x:c>
      <x:c r="L3768" s="34" t="str">
        <x:v>PASS</x:v>
      </x:c>
      <x:c r="M3768" s="34" t="str">
        <x:v>numeric coverage for applicable metric</x:v>
      </x:c>
      <x:c r="N3768" s="34" t="str">
        <x:v>Feedback-Directed Random Test Generation/Result/Gson_3/result.json</x:v>
      </x:c>
      <x:c r="O3768" s="38" t="n">
        <x:f>IF(AND(G3768="RECORDED",ISNUMBER(H3768)),H3768,"")</x:f>
        <x:v>0</x:v>
      </x:c>
      <x:c r="P3768" s="34" t="str">
        <x:v>NOT_REVEALING</x:v>
      </x:c>
      <x:c r="Q3768" s="34" t="str">
        <x:v>Feedback-Directed Random Test Generation/Result/Gson_3/result.json</x:v>
      </x:c>
    </x:row>
    <x:row r="3769">
      <x:c r="A3769" s="34" t="str">
        <x:v>randoop</x:v>
      </x:c>
      <x:c r="B3769" s="34" t="str">
        <x:v>Gson</x:v>
      </x:c>
      <x:c r="C3769" s="34" t="str">
        <x:v>Round1</x:v>
      </x:c>
      <x:c r="D3769" s="34" t="str">
        <x:v>Gson_4</x:v>
      </x:c>
      <x:c r="E3769" s="34" t="str">
        <x:v>Condition</x:v>
      </x:c>
      <x:c r="F3769" s="34" t="n">
        <x:v>565</x:v>
      </x:c>
      <x:c r="G3769" s="34" t="str">
        <x:v>RECORDED</x:v>
      </x:c>
      <x:c r="H3769" s="38" t="n">
        <x:f>IF(ISNUMBER('Data'!I353),'Data'!I353*100,"")</x:f>
        <x:v>0.53</x:v>
      </x:c>
      <x:c r="I3769" s="34" t="str">
        <x:v>PASS</x:v>
      </x:c>
      <x:c r="J3769" s="34" t="str">
        <x:v>PASS</x:v>
      </x:c>
      <x:c r="K3769" s="34" t="str">
        <x:v>PASS</x:v>
      </x:c>
      <x:c r="L3769" s="34" t="str">
        <x:v>PASS</x:v>
      </x:c>
      <x:c r="M3769" s="34" t="str">
        <x:v>numeric coverage for applicable metric</x:v>
      </x:c>
      <x:c r="N3769" s="34" t="str">
        <x:v>Feedback-Directed Random Test Generation/Result/Gson_4/result.json</x:v>
      </x:c>
      <x:c r="O3769" s="38" t="n">
        <x:f>IF(AND(G3769="RECORDED",ISNUMBER(H3769)),H3769,"")</x:f>
        <x:v>0.53</x:v>
      </x:c>
      <x:c r="P3769" s="34" t="str">
        <x:v>NOT_REVEALING</x:v>
      </x:c>
      <x:c r="Q3769" s="34" t="str">
        <x:v>Feedback-Directed Random Test Generation/Result/Gson_4/result.json</x:v>
      </x:c>
    </x:row>
    <x:row r="3770">
      <x:c r="A3770" s="34" t="str">
        <x:v>randoop</x:v>
      </x:c>
      <x:c r="B3770" s="34" t="str">
        <x:v>Gson</x:v>
      </x:c>
      <x:c r="C3770" s="34" t="str">
        <x:v>Round1</x:v>
      </x:c>
      <x:c r="D3770" s="34" t="str">
        <x:v>Gson_5</x:v>
      </x:c>
      <x:c r="E3770" s="34" t="str">
        <x:v>Condition</x:v>
      </x:c>
      <x:c r="F3770" s="34" t="n">
        <x:v>89</x:v>
      </x:c>
      <x:c r="G3770" s="34" t="str">
        <x:v>RECORDED</x:v>
      </x:c>
      <x:c r="H3770" s="38" t="n">
        <x:f>IF(ISNUMBER('Data'!I354),'Data'!I354*100,"")</x:f>
        <x:v>0</x:v>
      </x:c>
      <x:c r="I3770" s="34" t="str">
        <x:v>PASS</x:v>
      </x:c>
      <x:c r="J3770" s="34" t="str">
        <x:v>PASS</x:v>
      </x:c>
      <x:c r="K3770" s="34" t="str">
        <x:v>PASS</x:v>
      </x:c>
      <x:c r="L3770" s="34" t="str">
        <x:v>PASS</x:v>
      </x:c>
      <x:c r="M3770" s="34" t="str">
        <x:v>numeric coverage for applicable metric</x:v>
      </x:c>
      <x:c r="N3770" s="34" t="str">
        <x:v>Feedback-Directed Random Test Generation/Result/Gson_5/result.json</x:v>
      </x:c>
      <x:c r="O3770" s="38" t="n">
        <x:f>IF(AND(G3770="RECORDED",ISNUMBER(H3770)),H3770,"")</x:f>
        <x:v>0</x:v>
      </x:c>
      <x:c r="P3770" s="34" t="str">
        <x:v>NOT_REVEALING</x:v>
      </x:c>
      <x:c r="Q3770" s="34" t="str">
        <x:v>Feedback-Directed Random Test Generation/Result/Gson_5/result.json</x:v>
      </x:c>
    </x:row>
    <x:row r="3771">
      <x:c r="A3771" s="34" t="str">
        <x:v>randoop</x:v>
      </x:c>
      <x:c r="B3771" s="34" t="str">
        <x:v>Gson</x:v>
      </x:c>
      <x:c r="C3771" s="34" t="str">
        <x:v>Round1</x:v>
      </x:c>
      <x:c r="D3771" s="34" t="str">
        <x:v>Gson_6</x:v>
      </x:c>
      <x:c r="E3771" s="34" t="str">
        <x:v>Condition</x:v>
      </x:c>
      <x:c r="F3771" s="34" t="n">
        <x:v>6</x:v>
      </x:c>
      <x:c r="G3771" s="34" t="str">
        <x:v>RECORDED</x:v>
      </x:c>
      <x:c r="H3771" s="38" t="n">
        <x:f>IF(ISNUMBER('Data'!I355),'Data'!I355*100,"")</x:f>
        <x:v>0</x:v>
      </x:c>
      <x:c r="I3771" s="34" t="str">
        <x:v>PASS</x:v>
      </x:c>
      <x:c r="J3771" s="34" t="str">
        <x:v>PASS</x:v>
      </x:c>
      <x:c r="K3771" s="34" t="str">
        <x:v>PASS</x:v>
      </x:c>
      <x:c r="L3771" s="34" t="str">
        <x:v>PASS</x:v>
      </x:c>
      <x:c r="M3771" s="34" t="str">
        <x:v>numeric coverage for applicable metric</x:v>
      </x:c>
      <x:c r="N3771" s="34" t="str">
        <x:v>Feedback-Directed Random Test Generation/Result/Gson_6/result.json</x:v>
      </x:c>
      <x:c r="O3771" s="38" t="n">
        <x:f>IF(AND(G3771="RECORDED",ISNUMBER(H3771)),H3771,"")</x:f>
        <x:v>0</x:v>
      </x:c>
      <x:c r="P3771" s="34" t="str">
        <x:v>NOT_REVEALING</x:v>
      </x:c>
      <x:c r="Q3771" s="34" t="str">
        <x:v>Feedback-Directed Random Test Generation/Result/Gson_6/result.json</x:v>
      </x:c>
    </x:row>
    <x:row r="3772">
      <x:c r="A3772" s="34" t="str">
        <x:v>randoop</x:v>
      </x:c>
      <x:c r="B3772" s="34" t="str">
        <x:v>Gson</x:v>
      </x:c>
      <x:c r="C3772" s="34" t="str">
        <x:v>Round1</x:v>
      </x:c>
      <x:c r="D3772" s="34" t="str">
        <x:v>Gson_7</x:v>
      </x:c>
      <x:c r="E3772" s="34" t="str">
        <x:v>Condition</x:v>
      </x:c>
      <x:c r="F3772" s="34" t="n">
        <x:v>469</x:v>
      </x:c>
      <x:c r="G3772" s="34" t="str">
        <x:v>RECORDED</x:v>
      </x:c>
      <x:c r="H3772" s="38" t="n">
        <x:f>IF(ISNUMBER('Data'!I356),'Data'!I356*100,"")</x:f>
        <x:v>0.21</x:v>
      </x:c>
      <x:c r="I3772" s="34" t="str">
        <x:v>PASS</x:v>
      </x:c>
      <x:c r="J3772" s="34" t="str">
        <x:v>PASS</x:v>
      </x:c>
      <x:c r="K3772" s="34" t="str">
        <x:v>PASS</x:v>
      </x:c>
      <x:c r="L3772" s="34" t="str">
        <x:v>PASS</x:v>
      </x:c>
      <x:c r="M3772" s="34" t="str">
        <x:v>numeric coverage for applicable metric</x:v>
      </x:c>
      <x:c r="N3772" s="34" t="str">
        <x:v>Feedback-Directed Random Test Generation/Result/Gson_7/result.json</x:v>
      </x:c>
      <x:c r="O3772" s="38" t="n">
        <x:f>IF(AND(G3772="RECORDED",ISNUMBER(H3772)),H3772,"")</x:f>
        <x:v>0.21</x:v>
      </x:c>
      <x:c r="P3772" s="34" t="str">
        <x:v>NOT_REVEALING</x:v>
      </x:c>
      <x:c r="Q3772" s="34" t="str">
        <x:v>Feedback-Directed Random Test Generation/Result/Gson_7/result.json</x:v>
      </x:c>
    </x:row>
    <x:row r="3773">
      <x:c r="A3773" s="34" t="str">
        <x:v>randoop</x:v>
      </x:c>
      <x:c r="B3773" s="34" t="str">
        <x:v>Gson</x:v>
      </x:c>
      <x:c r="C3773" s="34" t="str">
        <x:v>Round1</x:v>
      </x:c>
      <x:c r="D3773" s="34" t="str">
        <x:v>Gson_8</x:v>
      </x:c>
      <x:c r="E3773" s="34" t="str">
        <x:v>Condition</x:v>
      </x:c>
      <x:c r="F3773" s="34" t="n">
        <x:v>0</x:v>
      </x:c>
      <x:c r="G3773" s="34" t="str">
        <x:v>B</x:v>
      </x:c>
      <x:c r="H3773" s="38" t="n">
        <x:f>IF(ISNUMBER('Data'!I357),'Data'!I357*100,"")</x:f>
        <x:v>0</x:v>
      </x:c>
      <x:c r="I3773" s="34" t="str">
        <x:v>PASS</x:v>
      </x:c>
      <x:c r="J3773" s="34" t="str">
        <x:v>PASS</x:v>
      </x:c>
      <x:c r="K3773" s="34" t="str">
        <x:v>PASS</x:v>
      </x:c>
      <x:c r="L3773" s="34" t="str">
        <x:v>PASS</x:v>
      </x:c>
      <x:c r="M3773" s="34" t="str">
        <x:v>coverage completed; measurable total = 0</x:v>
      </x:c>
      <x:c r="N3773" s="34" t="str">
        <x:v>Feedback-Directed Random Test Generation/Result/Gson_8/result.json</x:v>
      </x:c>
      <x:c r="O3773" s="38" t="str">
        <x:f>IF(AND(G3773="RECORDED",ISNUMBER(H3773)),H3773,"")</x:f>
      </x:c>
      <x:c r="P3773" s="34" t="str">
        <x:v>NOT_REVEALING</x:v>
      </x:c>
      <x:c r="Q3773" s="34" t="str">
        <x:v>Feedback-Directed Random Test Generation/Result/Gson_8/result.json</x:v>
      </x:c>
    </x:row>
    <x:row r="3774">
      <x:c r="A3774" s="34" t="str">
        <x:v>randoop</x:v>
      </x:c>
      <x:c r="B3774" s="34" t="str">
        <x:v>Gson</x:v>
      </x:c>
      <x:c r="C3774" s="34" t="str">
        <x:v>Round1</x:v>
      </x:c>
      <x:c r="D3774" s="34" t="str">
        <x:v>Gson_9</x:v>
      </x:c>
      <x:c r="E3774" s="34" t="str">
        <x:v>Condition</x:v>
      </x:c>
      <x:c r="F3774" s="34" t="n">
        <x:v>334</x:v>
      </x:c>
      <x:c r="G3774" s="34" t="str">
        <x:v>RECORDED</x:v>
      </x:c>
      <x:c r="H3774" s="38" t="n">
        <x:f>IF(ISNUMBER('Data'!I358),'Data'!I358*100,"")</x:f>
        <x:v>0</x:v>
      </x:c>
      <x:c r="I3774" s="34" t="str">
        <x:v>PASS</x:v>
      </x:c>
      <x:c r="J3774" s="34" t="str">
        <x:v>PASS</x:v>
      </x:c>
      <x:c r="K3774" s="34" t="str">
        <x:v>PASS</x:v>
      </x:c>
      <x:c r="L3774" s="34" t="str">
        <x:v>PASS</x:v>
      </x:c>
      <x:c r="M3774" s="34" t="str">
        <x:v>numeric coverage for applicable metric</x:v>
      </x:c>
      <x:c r="N3774" s="34" t="str">
        <x:v>Feedback-Directed Random Test Generation/Result/Gson_9/result.json</x:v>
      </x:c>
      <x:c r="O3774" s="38" t="n">
        <x:f>IF(AND(G3774="RECORDED",ISNUMBER(H3774)),H3774,"")</x:f>
        <x:v>0</x:v>
      </x:c>
      <x:c r="P3774" s="34" t="str">
        <x:v>NOT_REVEALING</x:v>
      </x:c>
      <x:c r="Q3774" s="34" t="str">
        <x:v>Feedback-Directed Random Test Generation/Result/Gson_9/result.json</x:v>
      </x:c>
    </x:row>
    <x:row r="3775">
      <x:c r="A3775" s="34" t="str">
        <x:v>randoop</x:v>
      </x:c>
      <x:c r="B3775" s="34" t="str">
        <x:v>Gson</x:v>
      </x:c>
      <x:c r="C3775" s="34" t="str">
        <x:v>Round1</x:v>
      </x:c>
      <x:c r="D3775" s="34" t="str">
        <x:v>Gson_10</x:v>
      </x:c>
      <x:c r="E3775" s="34" t="str">
        <x:v>Condition</x:v>
      </x:c>
      <x:c r="F3775" s="34" t="n">
        <x:v>58</x:v>
      </x:c>
      <x:c r="G3775" s="34" t="str">
        <x:v>RECORDED</x:v>
      </x:c>
      <x:c r="H3775" s="38" t="n">
        <x:f>IF(ISNUMBER('Data'!I359),'Data'!I359*100,"")</x:f>
        <x:v>1.72</x:v>
      </x:c>
      <x:c r="I3775" s="34" t="str">
        <x:v>PASS</x:v>
      </x:c>
      <x:c r="J3775" s="34" t="str">
        <x:v>PASS</x:v>
      </x:c>
      <x:c r="K3775" s="34" t="str">
        <x:v>PASS</x:v>
      </x:c>
      <x:c r="L3775" s="34" t="str">
        <x:v>FAIL</x:v>
      </x:c>
      <x:c r="M3775" s="34" t="str">
        <x:v>numeric coverage for applicable metric</x:v>
      </x:c>
      <x:c r="N3775" s="34" t="str">
        <x:v>Feedback-Directed Random Test Generation/Result/Gson_10/result.json</x:v>
      </x:c>
      <x:c r="O3775" s="38" t="n">
        <x:f>IF(AND(G3775="RECORDED",ISNUMBER(H3775)),H3775,"")</x:f>
        <x:v>1.72</x:v>
      </x:c>
      <x:c r="P3775" s="34" t="str">
        <x:v>INCONCLUSIVE</x:v>
      </x:c>
      <x:c r="Q3775" s="34" t="str">
        <x:v>Feedback-Directed Random Test Generation/Result/Gson_10/result.json</x:v>
      </x:c>
    </x:row>
    <x:row r="3776">
      <x:c r="A3776" s="34" t="str">
        <x:v>randoop</x:v>
      </x:c>
      <x:c r="B3776" s="34" t="str">
        <x:v>Gson</x:v>
      </x:c>
      <x:c r="C3776" s="34" t="str">
        <x:v>Round1</x:v>
      </x:c>
      <x:c r="D3776" s="34" t="str">
        <x:v>Gson_11</x:v>
      </x:c>
      <x:c r="E3776" s="34" t="str">
        <x:v>Condition</x:v>
      </x:c>
      <x:c r="F3776" s="34" t="n">
        <x:v>196</x:v>
      </x:c>
      <x:c r="G3776" s="34" t="str">
        <x:v>RECORDED</x:v>
      </x:c>
      <x:c r="H3776" s="38" t="n">
        <x:f>IF(ISNUMBER('Data'!I360),'Data'!I360*100,"")</x:f>
        <x:v>0</x:v>
      </x:c>
      <x:c r="I3776" s="34" t="str">
        <x:v>PASS</x:v>
      </x:c>
      <x:c r="J3776" s="34" t="str">
        <x:v>PASS</x:v>
      </x:c>
      <x:c r="K3776" s="34" t="str">
        <x:v>PASS</x:v>
      </x:c>
      <x:c r="L3776" s="34" t="str">
        <x:v>PASS</x:v>
      </x:c>
      <x:c r="M3776" s="34" t="str">
        <x:v>numeric coverage for applicable metric</x:v>
      </x:c>
      <x:c r="N3776" s="34" t="str">
        <x:v>Feedback-Directed Random Test Generation/Result/Gson_11/result.json</x:v>
      </x:c>
      <x:c r="O3776" s="38" t="n">
        <x:f>IF(AND(G3776="RECORDED",ISNUMBER(H3776)),H3776,"")</x:f>
        <x:v>0</x:v>
      </x:c>
      <x:c r="P3776" s="34" t="str">
        <x:v>NOT_REVEALING</x:v>
      </x:c>
      <x:c r="Q3776" s="34" t="str">
        <x:v>Feedback-Directed Random Test Generation/Result/Gson_11/result.json</x:v>
      </x:c>
    </x:row>
    <x:row r="3777">
      <x:c r="A3777" s="34" t="str">
        <x:v>randoop</x:v>
      </x:c>
      <x:c r="B3777" s="34" t="str">
        <x:v>Gson</x:v>
      </x:c>
      <x:c r="C3777" s="34" t="str">
        <x:v>Round1</x:v>
      </x:c>
      <x:c r="D3777" s="34" t="str">
        <x:v>Gson_12</x:v>
      </x:c>
      <x:c r="E3777" s="34" t="str">
        <x:v>Condition</x:v>
      </x:c>
      <x:c r="F3777" s="34" t="n">
        <x:v>86</x:v>
      </x:c>
      <x:c r="G3777" s="34" t="str">
        <x:v>RECORDED</x:v>
      </x:c>
      <x:c r="H3777" s="38" t="n">
        <x:f>IF(ISNUMBER('Data'!I361),'Data'!I361*100,"")</x:f>
        <x:v>15.120000000000001</x:v>
      </x:c>
      <x:c r="I3777" s="34" t="str">
        <x:v>PASS</x:v>
      </x:c>
      <x:c r="J3777" s="34" t="str">
        <x:v>PASS</x:v>
      </x:c>
      <x:c r="K3777" s="34" t="str">
        <x:v>PASS</x:v>
      </x:c>
      <x:c r="L3777" s="34" t="str">
        <x:v>FAIL</x:v>
      </x:c>
      <x:c r="M3777" s="34" t="str">
        <x:v>numeric coverage for applicable metric</x:v>
      </x:c>
      <x:c r="N3777" s="34" t="str">
        <x:v>Feedback-Directed Random Test Generation/Result/Gson_12/result.json</x:v>
      </x:c>
      <x:c r="O3777" s="38" t="n">
        <x:f>IF(AND(G3777="RECORDED",ISNUMBER(H3777)),H3777,"")</x:f>
        <x:v>15.120000000000001</x:v>
      </x:c>
      <x:c r="P3777" s="34" t="str">
        <x:v>INCONCLUSIVE</x:v>
      </x:c>
      <x:c r="Q3777" s="34" t="str">
        <x:v>Feedback-Directed Random Test Generation/Result/Gson_12/result.json</x:v>
      </x:c>
    </x:row>
    <x:row r="3778">
      <x:c r="A3778" s="34" t="str">
        <x:v>randoop</x:v>
      </x:c>
      <x:c r="B3778" s="34" t="str">
        <x:v>Gson</x:v>
      </x:c>
      <x:c r="C3778" s="34" t="str">
        <x:v>Round1</x:v>
      </x:c>
      <x:c r="D3778" s="34" t="str">
        <x:v>Gson_13</x:v>
      </x:c>
      <x:c r="E3778" s="34" t="str">
        <x:v>Condition</x:v>
      </x:c>
      <x:c r="F3778" s="34" t="n">
        <x:v>484</x:v>
      </x:c>
      <x:c r="G3778" s="34" t="str">
        <x:v>RECORDED</x:v>
      </x:c>
      <x:c r="H3778" s="38" t="n">
        <x:f>IF(ISNUMBER('Data'!I362),'Data'!I362*100,"")</x:f>
        <x:v>0.21</x:v>
      </x:c>
      <x:c r="I3778" s="34" t="str">
        <x:v>PASS</x:v>
      </x:c>
      <x:c r="J3778" s="34" t="str">
        <x:v>PASS</x:v>
      </x:c>
      <x:c r="K3778" s="34" t="str">
        <x:v>PASS</x:v>
      </x:c>
      <x:c r="L3778" s="34" t="str">
        <x:v>PASS</x:v>
      </x:c>
      <x:c r="M3778" s="34" t="str">
        <x:v>numeric coverage for applicable metric</x:v>
      </x:c>
      <x:c r="N3778" s="34" t="str">
        <x:v>Feedback-Directed Random Test Generation/Result/Gson_13/result.json</x:v>
      </x:c>
      <x:c r="O3778" s="38" t="n">
        <x:f>IF(AND(G3778="RECORDED",ISNUMBER(H3778)),H3778,"")</x:f>
        <x:v>0.21</x:v>
      </x:c>
      <x:c r="P3778" s="34" t="str">
        <x:v>NOT_REVEALING</x:v>
      </x:c>
      <x:c r="Q3778" s="34" t="str">
        <x:v>Feedback-Directed Random Test Generation/Result/Gson_13/result.json</x:v>
      </x:c>
    </x:row>
    <x:row r="3779">
      <x:c r="A3779" s="34" t="str">
        <x:v>randoop</x:v>
      </x:c>
      <x:c r="B3779" s="34" t="str">
        <x:v>Gson</x:v>
      </x:c>
      <x:c r="C3779" s="34" t="str">
        <x:v>Round1</x:v>
      </x:c>
      <x:c r="D3779" s="34" t="str">
        <x:v>Gson_14</x:v>
      </x:c>
      <x:c r="E3779" s="34" t="str">
        <x:v>Condition</x:v>
      </x:c>
      <x:c r="F3779" s="34" t="n">
        <x:v>190</x:v>
      </x:c>
      <x:c r="G3779" s="34" t="str">
        <x:v>RECORDED</x:v>
      </x:c>
      <x:c r="H3779" s="38" t="n">
        <x:f>IF(ISNUMBER('Data'!I363),'Data'!I363*100,"")</x:f>
        <x:v>0</x:v>
      </x:c>
      <x:c r="I3779" s="34" t="str">
        <x:v>PASS</x:v>
      </x:c>
      <x:c r="J3779" s="34" t="str">
        <x:v>PASS</x:v>
      </x:c>
      <x:c r="K3779" s="34" t="str">
        <x:v>PASS</x:v>
      </x:c>
      <x:c r="L3779" s="34" t="str">
        <x:v>PASS</x:v>
      </x:c>
      <x:c r="M3779" s="34" t="str">
        <x:v>numeric coverage for applicable metric</x:v>
      </x:c>
      <x:c r="N3779" s="34" t="str">
        <x:v>Feedback-Directed Random Test Generation/Result/Gson_14/result.json</x:v>
      </x:c>
      <x:c r="O3779" s="38" t="n">
        <x:f>IF(AND(G3779="RECORDED",ISNUMBER(H3779)),H3779,"")</x:f>
        <x:v>0</x:v>
      </x:c>
      <x:c r="P3779" s="34" t="str">
        <x:v>NOT_REVEALING</x:v>
      </x:c>
      <x:c r="Q3779" s="34" t="str">
        <x:v>Feedback-Directed Random Test Generation/Result/Gson_14/result.json</x:v>
      </x:c>
    </x:row>
    <x:row r="3780">
      <x:c r="A3780" s="34" t="str">
        <x:v>randoop</x:v>
      </x:c>
      <x:c r="B3780" s="34" t="str">
        <x:v>Gson</x:v>
      </x:c>
      <x:c r="C3780" s="34" t="str">
        <x:v>Round1</x:v>
      </x:c>
      <x:c r="D3780" s="34" t="str">
        <x:v>Gson_15</x:v>
      </x:c>
      <x:c r="E3780" s="34" t="str">
        <x:v>Condition</x:v>
      </x:c>
      <x:c r="F3780" s="34" t="n">
        <x:v>92</x:v>
      </x:c>
      <x:c r="G3780" s="34" t="str">
        <x:v>RECORDED</x:v>
      </x:c>
      <x:c r="H3780" s="38" t="n">
        <x:f>IF(ISNUMBER('Data'!I364),'Data'!I364*100,"")</x:f>
        <x:v>2.17</x:v>
      </x:c>
      <x:c r="I3780" s="34" t="str">
        <x:v>PASS</x:v>
      </x:c>
      <x:c r="J3780" s="34" t="str">
        <x:v>PASS</x:v>
      </x:c>
      <x:c r="K3780" s="34" t="str">
        <x:v>PASS</x:v>
      </x:c>
      <x:c r="L3780" s="34" t="str">
        <x:v>PASS</x:v>
      </x:c>
      <x:c r="M3780" s="34" t="str">
        <x:v>numeric coverage for applicable metric</x:v>
      </x:c>
      <x:c r="N3780" s="34" t="str">
        <x:v>Feedback-Directed Random Test Generation/Result/Gson_15/result.json</x:v>
      </x:c>
      <x:c r="O3780" s="38" t="n">
        <x:f>IF(AND(G3780="RECORDED",ISNUMBER(H3780)),H3780,"")</x:f>
        <x:v>2.17</x:v>
      </x:c>
      <x:c r="P3780" s="34" t="str">
        <x:v>NOT_REVEALING</x:v>
      </x:c>
      <x:c r="Q3780" s="34" t="str">
        <x:v>Feedback-Directed Random Test Generation/Result/Gson_15/result.json</x:v>
      </x:c>
    </x:row>
    <x:row r="3781">
      <x:c r="A3781" s="34" t="str">
        <x:v>randoop</x:v>
      </x:c>
      <x:c r="B3781" s="34" t="str">
        <x:v>Gson</x:v>
      </x:c>
      <x:c r="C3781" s="34" t="str">
        <x:v>Round1</x:v>
      </x:c>
      <x:c r="D3781" s="34" t="str">
        <x:v>Gson_16</x:v>
      </x:c>
      <x:c r="E3781" s="34" t="str">
        <x:v>Condition</x:v>
      </x:c>
      <x:c r="F3781" s="34" t="n">
        <x:v>194</x:v>
      </x:c>
      <x:c r="G3781" s="34" t="str">
        <x:v>RECORDED</x:v>
      </x:c>
      <x:c r="H3781" s="38" t="n">
        <x:f>IF(ISNUMBER('Data'!I365),'Data'!I365*100,"")</x:f>
        <x:v>0</x:v>
      </x:c>
      <x:c r="I3781" s="34" t="str">
        <x:v>PASS</x:v>
      </x:c>
      <x:c r="J3781" s="34" t="str">
        <x:v>PASS</x:v>
      </x:c>
      <x:c r="K3781" s="34" t="str">
        <x:v>PASS</x:v>
      </x:c>
      <x:c r="L3781" s="34" t="str">
        <x:v>PASS</x:v>
      </x:c>
      <x:c r="M3781" s="34" t="str">
        <x:v>numeric coverage for applicable metric</x:v>
      </x:c>
      <x:c r="N3781" s="34" t="str">
        <x:v>Feedback-Directed Random Test Generation/Result/Gson_16/result.json</x:v>
      </x:c>
      <x:c r="O3781" s="38" t="n">
        <x:f>IF(AND(G3781="RECORDED",ISNUMBER(H3781)),H3781,"")</x:f>
        <x:v>0</x:v>
      </x:c>
      <x:c r="P3781" s="34" t="str">
        <x:v>NOT_REVEALING</x:v>
      </x:c>
      <x:c r="Q3781" s="34" t="str">
        <x:v>Feedback-Directed Random Test Generation/Result/Gson_16/result.json</x:v>
      </x:c>
    </x:row>
    <x:row r="3782">
      <x:c r="A3782" s="34" t="str">
        <x:v>randoop</x:v>
      </x:c>
      <x:c r="B3782" s="34" t="str">
        <x:v>Gson</x:v>
      </x:c>
      <x:c r="C3782" s="34" t="str">
        <x:v>Round1</x:v>
      </x:c>
      <x:c r="D3782" s="34" t="str">
        <x:v>Gson_17</x:v>
      </x:c>
      <x:c r="E3782" s="34" t="str">
        <x:v>Condition</x:v>
      </x:c>
      <x:c r="F3782" s="34" t="n">
        <x:v>16</x:v>
      </x:c>
      <x:c r="G3782" s="34" t="str">
        <x:v>RECORDED</x:v>
      </x:c>
      <x:c r="H3782" s="38" t="n">
        <x:f>IF(ISNUMBER('Data'!I366),'Data'!I366*100,"")</x:f>
        <x:v>18.75</x:v>
      </x:c>
      <x:c r="I3782" s="34" t="str">
        <x:v>PASS</x:v>
      </x:c>
      <x:c r="J3782" s="34" t="str">
        <x:v>PASS</x:v>
      </x:c>
      <x:c r="K3782" s="34" t="str">
        <x:v>PASS</x:v>
      </x:c>
      <x:c r="L3782" s="34" t="str">
        <x:v>PASS</x:v>
      </x:c>
      <x:c r="M3782" s="34" t="str">
        <x:v>numeric coverage for applicable metric</x:v>
      </x:c>
      <x:c r="N3782" s="34" t="str">
        <x:v>Feedback-Directed Random Test Generation/Result/Gson_17/result.json</x:v>
      </x:c>
      <x:c r="O3782" s="38" t="n">
        <x:f>IF(AND(G3782="RECORDED",ISNUMBER(H3782)),H3782,"")</x:f>
        <x:v>18.75</x:v>
      </x:c>
      <x:c r="P3782" s="34" t="str">
        <x:v>INCONCLUSIVE</x:v>
      </x:c>
      <x:c r="Q3782" s="34" t="str">
        <x:v>Feedback-Directed Random Test Generation/Result/Gson_17/result.json</x:v>
      </x:c>
    </x:row>
    <x:row r="3783">
      <x:c r="A3783" s="34" t="str">
        <x:v>randoop</x:v>
      </x:c>
      <x:c r="B3783" s="34" t="str">
        <x:v>Gson</x:v>
      </x:c>
      <x:c r="C3783" s="34" t="str">
        <x:v>Round1</x:v>
      </x:c>
      <x:c r="D3783" s="34" t="str">
        <x:v>Gson_18</x:v>
      </x:c>
      <x:c r="E3783" s="34" t="str">
        <x:v>Condition</x:v>
      </x:c>
      <x:c r="F3783" s="34" t="n">
        <x:v>196</x:v>
      </x:c>
      <x:c r="G3783" s="34" t="str">
        <x:v>RECORDED</x:v>
      </x:c>
      <x:c r="H3783" s="38" t="n">
        <x:f>IF(ISNUMBER('Data'!I367),'Data'!I367*100,"")</x:f>
        <x:v>0</x:v>
      </x:c>
      <x:c r="I3783" s="34" t="str">
        <x:v>PASS</x:v>
      </x:c>
      <x:c r="J3783" s="34" t="str">
        <x:v>PASS</x:v>
      </x:c>
      <x:c r="K3783" s="34" t="str">
        <x:v>PASS</x:v>
      </x:c>
      <x:c r="L3783" s="34" t="str">
        <x:v>PASS</x:v>
      </x:c>
      <x:c r="M3783" s="34" t="str">
        <x:v>numeric coverage for applicable metric</x:v>
      </x:c>
      <x:c r="N3783" s="34" t="str">
        <x:v>Feedback-Directed Random Test Generation/Result/Gson_18/result.json</x:v>
      </x:c>
      <x:c r="O3783" s="38" t="n">
        <x:f>IF(AND(G3783="RECORDED",ISNUMBER(H3783)),H3783,"")</x:f>
        <x:v>0</x:v>
      </x:c>
      <x:c r="P3783" s="34" t="str">
        <x:v>NOT_REVEALING</x:v>
      </x:c>
      <x:c r="Q3783" s="34" t="str">
        <x:v>Feedback-Directed Random Test Generation/Result/Gson_18/result.json</x:v>
      </x:c>
    </x:row>
    <x:row r="3784">
      <x:c r="A3784" s="34" t="str">
        <x:v>randoop</x:v>
      </x:c>
      <x:c r="B3784" s="34" t="str">
        <x:v>JacksonCore</x:v>
      </x:c>
      <x:c r="C3784" s="34" t="str">
        <x:v>Round1</x:v>
      </x:c>
      <x:c r="D3784" s="34" t="str">
        <x:v>JacksonCore_1</x:v>
      </x:c>
      <x:c r="E3784" s="34" t="str">
        <x:v>Condition</x:v>
      </x:c>
      <x:c r="F3784" s="34" t="n">
        <x:v>238</x:v>
      </x:c>
      <x:c r="G3784" s="34" t="str">
        <x:v>RECORDED</x:v>
      </x:c>
      <x:c r="H3784" s="38" t="n">
        <x:f>IF(ISNUMBER('Data'!I368),'Data'!I368*100,"")</x:f>
        <x:v>31.509999999999998</x:v>
      </x:c>
      <x:c r="I3784" s="34" t="str">
        <x:v>PASS</x:v>
      </x:c>
      <x:c r="J3784" s="34" t="str">
        <x:v>PASS</x:v>
      </x:c>
      <x:c r="K3784" s="34" t="str">
        <x:v>PASS</x:v>
      </x:c>
      <x:c r="L3784" s="34" t="str">
        <x:v>PASS</x:v>
      </x:c>
      <x:c r="M3784" s="34" t="str">
        <x:v>numeric coverage for applicable metric</x:v>
      </x:c>
      <x:c r="N3784" s="34" t="str">
        <x:v>Feedback-Directed Random Test Generation/Result/JacksonCore_1/result.json</x:v>
      </x:c>
      <x:c r="O3784" s="38" t="n">
        <x:f>IF(AND(G3784="RECORDED",ISNUMBER(H3784)),H3784,"")</x:f>
        <x:v>31.509999999999998</x:v>
      </x:c>
      <x:c r="P3784" s="34" t="str">
        <x:v>INCONCLUSIVE</x:v>
      </x:c>
      <x:c r="Q3784" s="34" t="str">
        <x:v>Feedback-Directed Random Test Generation/Result/JacksonCore_1/result.json</x:v>
      </x:c>
    </x:row>
    <x:row r="3785">
      <x:c r="A3785" s="34" t="str">
        <x:v>randoop</x:v>
      </x:c>
      <x:c r="B3785" s="34" t="str">
        <x:v>JacksonCore</x:v>
      </x:c>
      <x:c r="C3785" s="34" t="str">
        <x:v>Round1</x:v>
      </x:c>
      <x:c r="D3785" s="34" t="str">
        <x:v>JacksonCore_2</x:v>
      </x:c>
      <x:c r="E3785" s="34" t="str">
        <x:v>Condition</x:v>
      </x:c>
      <x:c r="F3785" s="34" t="n">
        <x:v>1698</x:v>
      </x:c>
      <x:c r="G3785" s="34" t="str">
        <x:v>RECORDED</x:v>
      </x:c>
      <x:c r="H3785" s="38" t="n">
        <x:f>IF(ISNUMBER('Data'!I369),'Data'!I369*100,"")</x:f>
        <x:v>0.06</x:v>
      </x:c>
      <x:c r="I3785" s="34" t="str">
        <x:v>PASS</x:v>
      </x:c>
      <x:c r="J3785" s="34" t="str">
        <x:v>PASS</x:v>
      </x:c>
      <x:c r="K3785" s="34" t="str">
        <x:v>PASS</x:v>
      </x:c>
      <x:c r="L3785" s="34" t="str">
        <x:v>PASS</x:v>
      </x:c>
      <x:c r="M3785" s="34" t="str">
        <x:v>numeric coverage for applicable metric</x:v>
      </x:c>
      <x:c r="N3785" s="34" t="str">
        <x:v>Feedback-Directed Random Test Generation/Result/JacksonCore_2/result.json</x:v>
      </x:c>
      <x:c r="O3785" s="38" t="n">
        <x:f>IF(AND(G3785="RECORDED",ISNUMBER(H3785)),H3785,"")</x:f>
        <x:v>0.06</x:v>
      </x:c>
      <x:c r="P3785" s="34" t="str">
        <x:v>NOT_REVEALING</x:v>
      </x:c>
      <x:c r="Q3785" s="34" t="str">
        <x:v>Feedback-Directed Random Test Generation/Result/JacksonCore_2/result.json</x:v>
      </x:c>
    </x:row>
    <x:row r="3786">
      <x:c r="A3786" s="34" t="str">
        <x:v>randoop</x:v>
      </x:c>
      <x:c r="B3786" s="34" t="str">
        <x:v>JacksonCore</x:v>
      </x:c>
      <x:c r="C3786" s="34" t="str">
        <x:v>Round1</x:v>
      </x:c>
      <x:c r="D3786" s="34" t="str">
        <x:v>JacksonCore_3</x:v>
      </x:c>
      <x:c r="E3786" s="34" t="str">
        <x:v>Condition</x:v>
      </x:c>
      <x:c r="F3786" s="34" t="n">
        <x:v>1016</x:v>
      </x:c>
      <x:c r="G3786" s="34" t="str">
        <x:v>RECORDED</x:v>
      </x:c>
      <x:c r="H3786" s="38" t="n">
        <x:f>IF(ISNUMBER('Data'!I370),'Data'!I370*100,"")</x:f>
        <x:v>0.2</x:v>
      </x:c>
      <x:c r="I3786" s="34" t="str">
        <x:v>PASS</x:v>
      </x:c>
      <x:c r="J3786" s="34" t="str">
        <x:v>PASS</x:v>
      </x:c>
      <x:c r="K3786" s="34" t="str">
        <x:v>PASS</x:v>
      </x:c>
      <x:c r="L3786" s="34" t="str">
        <x:v>PASS</x:v>
      </x:c>
      <x:c r="M3786" s="34" t="str">
        <x:v>numeric coverage for applicable metric</x:v>
      </x:c>
      <x:c r="N3786" s="34" t="str">
        <x:v>Feedback-Directed Random Test Generation/Result/JacksonCore_3/result.json</x:v>
      </x:c>
      <x:c r="O3786" s="38" t="n">
        <x:f>IF(AND(G3786="RECORDED",ISNUMBER(H3786)),H3786,"")</x:f>
        <x:v>0.2</x:v>
      </x:c>
      <x:c r="P3786" s="34" t="str">
        <x:v>NOT_REVEALING</x:v>
      </x:c>
      <x:c r="Q3786" s="34" t="str">
        <x:v>Feedback-Directed Random Test Generation/Result/JacksonCore_3/result.json</x:v>
      </x:c>
    </x:row>
    <x:row r="3787">
      <x:c r="A3787" s="34" t="str">
        <x:v>randoop</x:v>
      </x:c>
      <x:c r="B3787" s="34" t="str">
        <x:v>JacksonCore</x:v>
      </x:c>
      <x:c r="C3787" s="34" t="str">
        <x:v>Round1</x:v>
      </x:c>
      <x:c r="D3787" s="34" t="str">
        <x:v>JacksonCore_4</x:v>
      </x:c>
      <x:c r="E3787" s="34" t="str">
        <x:v>Condition</x:v>
      </x:c>
      <x:c r="F3787" s="34" t="n">
        <x:v>134</x:v>
      </x:c>
      <x:c r="G3787" s="34" t="str">
        <x:v>RECORDED</x:v>
      </x:c>
      <x:c r="H3787" s="38" t="n">
        <x:f>IF(ISNUMBER('Data'!I371),'Data'!I371*100,"")</x:f>
        <x:v>40.3</x:v>
      </x:c>
      <x:c r="I3787" s="34" t="str">
        <x:v>PASS</x:v>
      </x:c>
      <x:c r="J3787" s="34" t="str">
        <x:v>PASS</x:v>
      </x:c>
      <x:c r="K3787" s="34" t="str">
        <x:v>PASS</x:v>
      </x:c>
      <x:c r="L3787" s="34" t="str">
        <x:v>PASS</x:v>
      </x:c>
      <x:c r="M3787" s="34" t="str">
        <x:v>numeric coverage for applicable metric</x:v>
      </x:c>
      <x:c r="N3787" s="34" t="str">
        <x:v>Feedback-Directed Random Test Generation/Result/JacksonCore_4/result.json</x:v>
      </x:c>
      <x:c r="O3787" s="38" t="n">
        <x:f>IF(AND(G3787="RECORDED",ISNUMBER(H3787)),H3787,"")</x:f>
        <x:v>40.3</x:v>
      </x:c>
      <x:c r="P3787" s="34" t="str">
        <x:v>NOT_REVEALING</x:v>
      </x:c>
      <x:c r="Q3787" s="34" t="str">
        <x:v>Feedback-Directed Random Test Generation/Result/JacksonCore_4/result.json</x:v>
      </x:c>
    </x:row>
    <x:row r="3788">
      <x:c r="A3788" s="34" t="str">
        <x:v>randoop</x:v>
      </x:c>
      <x:c r="B3788" s="34" t="str">
        <x:v>JacksonCore</x:v>
      </x:c>
      <x:c r="C3788" s="34" t="str">
        <x:v>Round1</x:v>
      </x:c>
      <x:c r="D3788" s="34" t="str">
        <x:v>JacksonCore_5</x:v>
      </x:c>
      <x:c r="E3788" s="34" t="str">
        <x:v>Condition</x:v>
      </x:c>
      <x:c r="F3788" s="34" t="n">
        <x:v>62</x:v>
      </x:c>
      <x:c r="G3788" s="34" t="str">
        <x:v>RECORDED</x:v>
      </x:c>
      <x:c r="H3788" s="38" t="n">
        <x:f>IF(ISNUMBER('Data'!I372),'Data'!I372*100,"")</x:f>
        <x:v>46.77</x:v>
      </x:c>
      <x:c r="I3788" s="34" t="str">
        <x:v>PASS</x:v>
      </x:c>
      <x:c r="J3788" s="34" t="str">
        <x:v>PASS</x:v>
      </x:c>
      <x:c r="K3788" s="34" t="str">
        <x:v>PASS</x:v>
      </x:c>
      <x:c r="L3788" s="34" t="str">
        <x:v>PASS</x:v>
      </x:c>
      <x:c r="M3788" s="34" t="str">
        <x:v>numeric coverage for applicable metric</x:v>
      </x:c>
      <x:c r="N3788" s="34" t="str">
        <x:v>Feedback-Directed Random Test Generation/Result/JacksonCore_5/result.json</x:v>
      </x:c>
      <x:c r="O3788" s="38" t="n">
        <x:f>IF(AND(G3788="RECORDED",ISNUMBER(H3788)),H3788,"")</x:f>
        <x:v>46.77</x:v>
      </x:c>
      <x:c r="P3788" s="34" t="str">
        <x:v>NOT_REVEALING</x:v>
      </x:c>
      <x:c r="Q3788" s="34" t="str">
        <x:v>Feedback-Directed Random Test Generation/Result/JacksonCore_5/result.json</x:v>
      </x:c>
    </x:row>
    <x:row r="3789">
      <x:c r="A3789" s="34" t="str">
        <x:v>randoop</x:v>
      </x:c>
      <x:c r="B3789" s="34" t="str">
        <x:v>JacksonCore</x:v>
      </x:c>
      <x:c r="C3789" s="34" t="str">
        <x:v>Round1</x:v>
      </x:c>
      <x:c r="D3789" s="34" t="str">
        <x:v>JacksonCore_6</x:v>
      </x:c>
      <x:c r="E3789" s="34" t="str">
        <x:v>Condition</x:v>
      </x:c>
      <x:c r="F3789" s="34" t="n">
        <x:v>62</x:v>
      </x:c>
      <x:c r="G3789" s="34" t="str">
        <x:v>RECORDED</x:v>
      </x:c>
      <x:c r="H3789" s="38" t="n">
        <x:f>IF(ISNUMBER('Data'!I373),'Data'!I373*100,"")</x:f>
        <x:v>46.77</x:v>
      </x:c>
      <x:c r="I3789" s="34" t="str">
        <x:v>PASS</x:v>
      </x:c>
      <x:c r="J3789" s="34" t="str">
        <x:v>PASS</x:v>
      </x:c>
      <x:c r="K3789" s="34" t="str">
        <x:v>PASS</x:v>
      </x:c>
      <x:c r="L3789" s="34" t="str">
        <x:v>PASS</x:v>
      </x:c>
      <x:c r="M3789" s="34" t="str">
        <x:v>numeric coverage for applicable metric</x:v>
      </x:c>
      <x:c r="N3789" s="34" t="str">
        <x:v>Feedback-Directed Random Test Generation/Result/JacksonCore_6/result.json</x:v>
      </x:c>
      <x:c r="O3789" s="38" t="n">
        <x:f>IF(AND(G3789="RECORDED",ISNUMBER(H3789)),H3789,"")</x:f>
        <x:v>46.77</x:v>
      </x:c>
      <x:c r="P3789" s="34" t="str">
        <x:v>NOT_REVEALING</x:v>
      </x:c>
      <x:c r="Q3789" s="34" t="str">
        <x:v>Feedback-Directed Random Test Generation/Result/JacksonCore_6/result.json</x:v>
      </x:c>
    </x:row>
    <x:row r="3790">
      <x:c r="A3790" s="34" t="str">
        <x:v>randoop</x:v>
      </x:c>
      <x:c r="B3790" s="34" t="str">
        <x:v>JacksonCore</x:v>
      </x:c>
      <x:c r="C3790" s="34" t="str">
        <x:v>Round1</x:v>
      </x:c>
      <x:c r="D3790" s="34" t="str">
        <x:v>JacksonCore_7</x:v>
      </x:c>
      <x:c r="E3790" s="34" t="str">
        <x:v>Condition</x:v>
      </x:c>
      <x:c r="F3790" s="34" t="n">
        <x:v>32</x:v>
      </x:c>
      <x:c r="G3790" s="34" t="str">
        <x:v>RECORDED</x:v>
      </x:c>
      <x:c r="H3790" s="38" t="n">
        <x:f>IF(ISNUMBER('Data'!I374),'Data'!I374*100,"")</x:f>
        <x:v>3.12</x:v>
      </x:c>
      <x:c r="I3790" s="34" t="str">
        <x:v>PASS</x:v>
      </x:c>
      <x:c r="J3790" s="34" t="str">
        <x:v>PASS</x:v>
      </x:c>
      <x:c r="K3790" s="34" t="str">
        <x:v>PASS</x:v>
      </x:c>
      <x:c r="L3790" s="34" t="str">
        <x:v>PASS</x:v>
      </x:c>
      <x:c r="M3790" s="34" t="str">
        <x:v>numeric coverage for applicable metric</x:v>
      </x:c>
      <x:c r="N3790" s="34" t="str">
        <x:v>Feedback-Directed Random Test Generation/Result/JacksonCore_7/result.json</x:v>
      </x:c>
      <x:c r="O3790" s="38" t="n">
        <x:f>IF(AND(G3790="RECORDED",ISNUMBER(H3790)),H3790,"")</x:f>
        <x:v>3.12</x:v>
      </x:c>
      <x:c r="P3790" s="34" t="str">
        <x:v>NOT_REVEALING</x:v>
      </x:c>
      <x:c r="Q3790" s="34" t="str">
        <x:v>Feedback-Directed Random Test Generation/Result/JacksonCore_7/result.json</x:v>
      </x:c>
    </x:row>
    <x:row r="3791">
      <x:c r="A3791" s="34" t="str">
        <x:v>randoop</x:v>
      </x:c>
      <x:c r="B3791" s="34" t="str">
        <x:v>JacksonCore</x:v>
      </x:c>
      <x:c r="C3791" s="34" t="str">
        <x:v>Round1</x:v>
      </x:c>
      <x:c r="D3791" s="34" t="str">
        <x:v>JacksonCore_8</x:v>
      </x:c>
      <x:c r="E3791" s="34" t="str">
        <x:v>Condition</x:v>
      </x:c>
      <x:c r="F3791" s="34" t="n">
        <x:v>138</x:v>
      </x:c>
      <x:c r="G3791" s="34" t="str">
        <x:v>RECORDED</x:v>
      </x:c>
      <x:c r="H3791" s="38" t="n">
        <x:f>IF(ISNUMBER('Data'!I375),'Data'!I375*100,"")</x:f>
        <x:v>34.06</x:v>
      </x:c>
      <x:c r="I3791" s="34" t="str">
        <x:v>PASS</x:v>
      </x:c>
      <x:c r="J3791" s="34" t="str">
        <x:v>PASS</x:v>
      </x:c>
      <x:c r="K3791" s="34" t="str">
        <x:v>PASS</x:v>
      </x:c>
      <x:c r="L3791" s="34" t="str">
        <x:v>FAIL</x:v>
      </x:c>
      <x:c r="M3791" s="34" t="str">
        <x:v>numeric coverage for applicable metric</x:v>
      </x:c>
      <x:c r="N3791" s="34" t="str">
        <x:v>Feedback-Directed Random Test Generation/Result/JacksonCore_8/result.json</x:v>
      </x:c>
      <x:c r="O3791" s="38" t="n">
        <x:f>IF(AND(G3791="RECORDED",ISNUMBER(H3791)),H3791,"")</x:f>
        <x:v>34.06</x:v>
      </x:c>
      <x:c r="P3791" s="34" t="str">
        <x:v>INCONCLUSIVE</x:v>
      </x:c>
      <x:c r="Q3791" s="34" t="str">
        <x:v>Feedback-Directed Random Test Generation/Result/JacksonCore_8/result.json</x:v>
      </x:c>
    </x:row>
    <x:row r="3792">
      <x:c r="A3792" s="34" t="str">
        <x:v>randoop</x:v>
      </x:c>
      <x:c r="B3792" s="34" t="str">
        <x:v>JacksonCore</x:v>
      </x:c>
      <x:c r="C3792" s="34" t="str">
        <x:v>Round1</x:v>
      </x:c>
      <x:c r="D3792" s="34" t="str">
        <x:v>JacksonCore_9</x:v>
      </x:c>
      <x:c r="E3792" s="34" t="str">
        <x:v>Condition</x:v>
      </x:c>
      <x:c r="F3792" s="34" t="n">
        <x:v>2257</x:v>
      </x:c>
      <x:c r="G3792" s="34" t="str">
        <x:v>RECORDED</x:v>
      </x:c>
      <x:c r="H3792" s="38" t="n">
        <x:f>IF(ISNUMBER('Data'!I376),'Data'!I376*100,"")</x:f>
        <x:v>0.04</x:v>
      </x:c>
      <x:c r="I3792" s="34" t="str">
        <x:v>PASS</x:v>
      </x:c>
      <x:c r="J3792" s="34" t="str">
        <x:v>PASS</x:v>
      </x:c>
      <x:c r="K3792" s="34" t="str">
        <x:v>PASS</x:v>
      </x:c>
      <x:c r="L3792" s="34" t="str">
        <x:v>PASS</x:v>
      </x:c>
      <x:c r="M3792" s="34" t="str">
        <x:v>numeric coverage for applicable metric</x:v>
      </x:c>
      <x:c r="N3792" s="34" t="str">
        <x:v>Feedback-Directed Random Test Generation/Result/JacksonCore_9/result.json</x:v>
      </x:c>
      <x:c r="O3792" s="38" t="n">
        <x:f>IF(AND(G3792="RECORDED",ISNUMBER(H3792)),H3792,"")</x:f>
        <x:v>0.04</x:v>
      </x:c>
      <x:c r="P3792" s="34" t="str">
        <x:v>NOT_REVEALING</x:v>
      </x:c>
      <x:c r="Q3792" s="34" t="str">
        <x:v>Feedback-Directed Random Test Generation/Result/JacksonCore_9/result.json</x:v>
      </x:c>
    </x:row>
    <x:row r="3793">
      <x:c r="A3793" s="34" t="str">
        <x:v>randoop</x:v>
      </x:c>
      <x:c r="B3793" s="34" t="str">
        <x:v>JacksonCore</x:v>
      </x:c>
      <x:c r="C3793" s="34" t="str">
        <x:v>Round1</x:v>
      </x:c>
      <x:c r="D3793" s="34" t="str">
        <x:v>JacksonCore_10</x:v>
      </x:c>
      <x:c r="E3793" s="34" t="str">
        <x:v>Condition</x:v>
      </x:c>
      <x:c r="F3793" s="34" t="n">
        <x:v>266</x:v>
      </x:c>
      <x:c r="G3793" s="34" t="str">
        <x:v>RECORDED</x:v>
      </x:c>
      <x:c r="H3793" s="38" t="n">
        <x:f>IF(ISNUMBER('Data'!I377),'Data'!I377*100,"")</x:f>
        <x:v>12.03</x:v>
      </x:c>
      <x:c r="I3793" s="34" t="str">
        <x:v>PASS</x:v>
      </x:c>
      <x:c r="J3793" s="34" t="str">
        <x:v>PASS</x:v>
      </x:c>
      <x:c r="K3793" s="34" t="str">
        <x:v>PASS</x:v>
      </x:c>
      <x:c r="L3793" s="34" t="str">
        <x:v>FAIL</x:v>
      </x:c>
      <x:c r="M3793" s="34" t="str">
        <x:v>numeric coverage for applicable metric</x:v>
      </x:c>
      <x:c r="N3793" s="34" t="str">
        <x:v>Feedback-Directed Random Test Generation/Result/JacksonCore_10/result.json</x:v>
      </x:c>
      <x:c r="O3793" s="38" t="n">
        <x:f>IF(AND(G3793="RECORDED",ISNUMBER(H3793)),H3793,"")</x:f>
        <x:v>12.03</x:v>
      </x:c>
      <x:c r="P3793" s="34" t="str">
        <x:v>INCONCLUSIVE</x:v>
      </x:c>
      <x:c r="Q3793" s="34" t="str">
        <x:v>Feedback-Directed Random Test Generation/Result/JacksonCore_10/result.json</x:v>
      </x:c>
    </x:row>
    <x:row r="3794">
      <x:c r="A3794" s="34" t="str">
        <x:v>randoop</x:v>
      </x:c>
      <x:c r="B3794" s="34" t="str">
        <x:v>JacksonCore</x:v>
      </x:c>
      <x:c r="C3794" s="34" t="str">
        <x:v>Round1</x:v>
      </x:c>
      <x:c r="D3794" s="34" t="str">
        <x:v>JacksonCore_11</x:v>
      </x:c>
      <x:c r="E3794" s="34" t="str">
        <x:v>Condition</x:v>
      </x:c>
      <x:c r="F3794" s="34" t="n">
        <x:v>268</x:v>
      </x:c>
      <x:c r="G3794" s="34" t="str">
        <x:v>RECORDED</x:v>
      </x:c>
      <x:c r="H3794" s="38" t="n">
        <x:f>IF(ISNUMBER('Data'!I378),'Data'!I378*100,"")</x:f>
        <x:v>11.94</x:v>
      </x:c>
      <x:c r="I3794" s="34" t="str">
        <x:v>PASS</x:v>
      </x:c>
      <x:c r="J3794" s="34" t="str">
        <x:v>PASS</x:v>
      </x:c>
      <x:c r="K3794" s="34" t="str">
        <x:v>PASS</x:v>
      </x:c>
      <x:c r="L3794" s="34" t="str">
        <x:v>FAIL</x:v>
      </x:c>
      <x:c r="M3794" s="34" t="str">
        <x:v>numeric coverage for applicable metric</x:v>
      </x:c>
      <x:c r="N3794" s="34" t="str">
        <x:v>Feedback-Directed Random Test Generation/Result/JacksonCore_11/result.json</x:v>
      </x:c>
      <x:c r="O3794" s="38" t="n">
        <x:f>IF(AND(G3794="RECORDED",ISNUMBER(H3794)),H3794,"")</x:f>
        <x:v>11.94</x:v>
      </x:c>
      <x:c r="P3794" s="34" t="str">
        <x:v>INCONCLUSIVE</x:v>
      </x:c>
      <x:c r="Q3794" s="34" t="str">
        <x:v>Feedback-Directed Random Test Generation/Result/JacksonCore_11/result.json</x:v>
      </x:c>
    </x:row>
    <x:row r="3795">
      <x:c r="A3795" s="34" t="str">
        <x:v>randoop</x:v>
      </x:c>
      <x:c r="B3795" s="34" t="str">
        <x:v>JacksonCore</x:v>
      </x:c>
      <x:c r="C3795" s="34" t="str">
        <x:v>Round1</x:v>
      </x:c>
      <x:c r="D3795" s="34" t="str">
        <x:v>JacksonCore_12</x:v>
      </x:c>
      <x:c r="E3795" s="34" t="str">
        <x:v>Condition</x:v>
      </x:c>
      <x:c r="F3795" s="34" t="n">
        <x:v>2258</x:v>
      </x:c>
      <x:c r="G3795" s="34" t="str">
        <x:v>RECORDED</x:v>
      </x:c>
      <x:c r="H3795" s="38" t="n">
        <x:f>IF(ISNUMBER('Data'!I379),'Data'!I379*100,"")</x:f>
        <x:v>0.09</x:v>
      </x:c>
      <x:c r="I3795" s="34" t="str">
        <x:v>PASS</x:v>
      </x:c>
      <x:c r="J3795" s="34" t="str">
        <x:v>PASS</x:v>
      </x:c>
      <x:c r="K3795" s="34" t="str">
        <x:v>PASS</x:v>
      </x:c>
      <x:c r="L3795" s="34" t="str">
        <x:v>PASS</x:v>
      </x:c>
      <x:c r="M3795" s="34" t="str">
        <x:v>numeric coverage for applicable metric</x:v>
      </x:c>
      <x:c r="N3795" s="34" t="str">
        <x:v>Feedback-Directed Random Test Generation/Result/JacksonCore_12/result.json</x:v>
      </x:c>
      <x:c r="O3795" s="38" t="n">
        <x:f>IF(AND(G3795="RECORDED",ISNUMBER(H3795)),H3795,"")</x:f>
        <x:v>0.09</x:v>
      </x:c>
      <x:c r="P3795" s="34" t="str">
        <x:v>NOT_REVEALING</x:v>
      </x:c>
      <x:c r="Q3795" s="34" t="str">
        <x:v>Feedback-Directed Random Test Generation/Result/JacksonCore_12/result.json</x:v>
      </x:c>
    </x:row>
    <x:row r="3796">
      <x:c r="A3796" s="34" t="str">
        <x:v>randoop</x:v>
      </x:c>
      <x:c r="B3796" s="34" t="str">
        <x:v>JacksonCore</x:v>
      </x:c>
      <x:c r="C3796" s="34" t="str">
        <x:v>Round1</x:v>
      </x:c>
      <x:c r="D3796" s="34" t="str">
        <x:v>JacksonCore_13</x:v>
      </x:c>
      <x:c r="E3796" s="34" t="str">
        <x:v>Condition</x:v>
      </x:c>
      <x:c r="F3796" s="34" t="n">
        <x:v>12</x:v>
      </x:c>
      <x:c r="G3796" s="34" t="str">
        <x:v>RECORDED</x:v>
      </x:c>
      <x:c r="H3796" s="38" t="n">
        <x:f>IF(ISNUMBER('Data'!I380),'Data'!I380*100,"")</x:f>
        <x:v>0</x:v>
      </x:c>
      <x:c r="I3796" s="34" t="str">
        <x:v>PASS</x:v>
      </x:c>
      <x:c r="J3796" s="34" t="str">
        <x:v>PASS</x:v>
      </x:c>
      <x:c r="K3796" s="34" t="str">
        <x:v>PASS</x:v>
      </x:c>
      <x:c r="L3796" s="34" t="str">
        <x:v>PASS</x:v>
      </x:c>
      <x:c r="M3796" s="34" t="str">
        <x:v>numeric coverage for applicable metric</x:v>
      </x:c>
      <x:c r="N3796" s="34" t="str">
        <x:v>Feedback-Directed Random Test Generation/Result/JacksonCore_13/result.json</x:v>
      </x:c>
      <x:c r="O3796" s="38" t="n">
        <x:f>IF(AND(G3796="RECORDED",ISNUMBER(H3796)),H3796,"")</x:f>
        <x:v>0</x:v>
      </x:c>
      <x:c r="P3796" s="34" t="str">
        <x:v>NOT_REVEALING</x:v>
      </x:c>
      <x:c r="Q3796" s="34" t="str">
        <x:v>Feedback-Directed Random Test Generation/Result/JacksonCore_13/result.json</x:v>
      </x:c>
    </x:row>
    <x:row r="3797">
      <x:c r="A3797" s="34" t="str">
        <x:v>randoop</x:v>
      </x:c>
      <x:c r="B3797" s="34" t="str">
        <x:v>JacksonCore</x:v>
      </x:c>
      <x:c r="C3797" s="34" t="str">
        <x:v>Round1</x:v>
      </x:c>
      <x:c r="D3797" s="34" t="str">
        <x:v>JacksonCore_14</x:v>
      </x:c>
      <x:c r="E3797" s="34" t="str">
        <x:v>Condition</x:v>
      </x:c>
      <x:c r="F3797" s="34" t="n">
        <x:v>22</x:v>
      </x:c>
      <x:c r="G3797" s="34" t="str">
        <x:v>RECORDED</x:v>
      </x:c>
      <x:c r="H3797" s="38" t="n">
        <x:f>IF(ISNUMBER('Data'!I381),'Data'!I381*100,"")</x:f>
        <x:v>54.55</x:v>
      </x:c>
      <x:c r="I3797" s="34" t="str">
        <x:v>PASS</x:v>
      </x:c>
      <x:c r="J3797" s="34" t="str">
        <x:v>PASS</x:v>
      </x:c>
      <x:c r="K3797" s="34" t="str">
        <x:v>PASS</x:v>
      </x:c>
      <x:c r="L3797" s="34" t="str">
        <x:v>PASS</x:v>
      </x:c>
      <x:c r="M3797" s="34" t="str">
        <x:v>numeric coverage for applicable metric</x:v>
      </x:c>
      <x:c r="N3797" s="34" t="str">
        <x:v>Feedback-Directed Random Test Generation/Result/JacksonCore_14/result.json</x:v>
      </x:c>
      <x:c r="O3797" s="38" t="n">
        <x:f>IF(AND(G3797="RECORDED",ISNUMBER(H3797)),H3797,"")</x:f>
        <x:v>54.55</x:v>
      </x:c>
      <x:c r="P3797" s="34" t="str">
        <x:v>NOT_REVEALING</x:v>
      </x:c>
      <x:c r="Q3797" s="34" t="str">
        <x:v>Feedback-Directed Random Test Generation/Result/JacksonCore_14/result.json</x:v>
      </x:c>
    </x:row>
    <x:row r="3798">
      <x:c r="A3798" s="34" t="str">
        <x:v>randoop</x:v>
      </x:c>
      <x:c r="B3798" s="34" t="str">
        <x:v>JacksonCore</x:v>
      </x:c>
      <x:c r="C3798" s="34" t="str">
        <x:v>Round1</x:v>
      </x:c>
      <x:c r="D3798" s="34" t="str">
        <x:v>JacksonCore_15</x:v>
      </x:c>
      <x:c r="E3798" s="34" t="str">
        <x:v>Condition</x:v>
      </x:c>
      <x:c r="F3798" s="34" t="n">
        <x:v>251</x:v>
      </x:c>
      <x:c r="G3798" s="34" t="str">
        <x:v>RECORDED</x:v>
      </x:c>
      <x:c r="H3798" s="38" t="n">
        <x:f>IF(ISNUMBER('Data'!I382),'Data'!I382*100,"")</x:f>
        <x:v>1.2</x:v>
      </x:c>
      <x:c r="I3798" s="34" t="str">
        <x:v>PASS</x:v>
      </x:c>
      <x:c r="J3798" s="34" t="str">
        <x:v>PASS</x:v>
      </x:c>
      <x:c r="K3798" s="34" t="str">
        <x:v>PASS</x:v>
      </x:c>
      <x:c r="L3798" s="34" t="str">
        <x:v>PASS</x:v>
      </x:c>
      <x:c r="M3798" s="34" t="str">
        <x:v>numeric coverage for applicable metric</x:v>
      </x:c>
      <x:c r="N3798" s="34" t="str">
        <x:v>Feedback-Directed Random Test Generation/Result/JacksonCore_15/result.json</x:v>
      </x:c>
      <x:c r="O3798" s="38" t="n">
        <x:f>IF(AND(G3798="RECORDED",ISNUMBER(H3798)),H3798,"")</x:f>
        <x:v>1.2</x:v>
      </x:c>
      <x:c r="P3798" s="34" t="str">
        <x:v>NOT_REVEALING</x:v>
      </x:c>
      <x:c r="Q3798" s="34" t="str">
        <x:v>Feedback-Directed Random Test Generation/Result/JacksonCore_15/result.json</x:v>
      </x:c>
    </x:row>
    <x:row r="3799">
      <x:c r="A3799" s="34" t="str">
        <x:v>randoop</x:v>
      </x:c>
      <x:c r="B3799" s="34" t="str">
        <x:v>JacksonCore</x:v>
      </x:c>
      <x:c r="C3799" s="34" t="str">
        <x:v>Round1</x:v>
      </x:c>
      <x:c r="D3799" s="34" t="str">
        <x:v>JacksonCore_16</x:v>
      </x:c>
      <x:c r="E3799" s="34" t="str">
        <x:v>Condition</x:v>
      </x:c>
      <x:c r="F3799" s="34" t="n">
        <x:v>22</x:v>
      </x:c>
      <x:c r="G3799" s="34" t="str">
        <x:v>RECORDED</x:v>
      </x:c>
      <x:c r="H3799" s="38" t="n">
        <x:f>IF(ISNUMBER('Data'!I383),'Data'!I383*100,"")</x:f>
        <x:v>13.639999999999999</x:v>
      </x:c>
      <x:c r="I3799" s="34" t="str">
        <x:v>PASS</x:v>
      </x:c>
      <x:c r="J3799" s="34" t="str">
        <x:v>PASS</x:v>
      </x:c>
      <x:c r="K3799" s="34" t="str">
        <x:v>PASS</x:v>
      </x:c>
      <x:c r="L3799" s="34" t="str">
        <x:v>PASS</x:v>
      </x:c>
      <x:c r="M3799" s="34" t="str">
        <x:v>numeric coverage for applicable metric</x:v>
      </x:c>
      <x:c r="N3799" s="34" t="str">
        <x:v>Feedback-Directed Random Test Generation/Result/JacksonCore_16/result.json</x:v>
      </x:c>
      <x:c r="O3799" s="38" t="n">
        <x:f>IF(AND(G3799="RECORDED",ISNUMBER(H3799)),H3799,"")</x:f>
        <x:v>13.639999999999999</x:v>
      </x:c>
      <x:c r="P3799" s="34" t="str">
        <x:v>INCONCLUSIVE</x:v>
      </x:c>
      <x:c r="Q3799" s="34" t="str">
        <x:v>Feedback-Directed Random Test Generation/Result/JacksonCore_16/result.json</x:v>
      </x:c>
    </x:row>
    <x:row r="3800">
      <x:c r="A3800" s="34" t="str">
        <x:v>randoop</x:v>
      </x:c>
      <x:c r="B3800" s="34" t="str">
        <x:v>JacksonCore</x:v>
      </x:c>
      <x:c r="C3800" s="34" t="str">
        <x:v>Round1</x:v>
      </x:c>
      <x:c r="D3800" s="34" t="str">
        <x:v>JacksonCore_17</x:v>
      </x:c>
      <x:c r="E3800" s="34" t="str">
        <x:v>Condition</x:v>
      </x:c>
      <x:c r="F3800" s="34" t="n">
        <x:v>523</x:v>
      </x:c>
      <x:c r="G3800" s="34" t="str">
        <x:v>RECORDED</x:v>
      </x:c>
      <x:c r="H3800" s="38" t="n">
        <x:f>IF(ISNUMBER('Data'!I384),'Data'!I384*100,"")</x:f>
        <x:v>0</x:v>
      </x:c>
      <x:c r="I3800" s="34" t="str">
        <x:v>PASS</x:v>
      </x:c>
      <x:c r="J3800" s="34" t="str">
        <x:v>PASS</x:v>
      </x:c>
      <x:c r="K3800" s="34" t="str">
        <x:v>PASS</x:v>
      </x:c>
      <x:c r="L3800" s="34" t="str">
        <x:v>PASS</x:v>
      </x:c>
      <x:c r="M3800" s="34" t="str">
        <x:v>numeric coverage for applicable metric</x:v>
      </x:c>
      <x:c r="N3800" s="34" t="str">
        <x:v>Feedback-Directed Random Test Generation/Result/JacksonCore_17/result.json</x:v>
      </x:c>
      <x:c r="O3800" s="38" t="n">
        <x:f>IF(AND(G3800="RECORDED",ISNUMBER(H3800)),H3800,"")</x:f>
        <x:v>0</x:v>
      </x:c>
      <x:c r="P3800" s="34" t="str">
        <x:v>NOT_REVEALING</x:v>
      </x:c>
      <x:c r="Q3800" s="34" t="str">
        <x:v>Feedback-Directed Random Test Generation/Result/JacksonCore_17/result.json</x:v>
      </x:c>
    </x:row>
    <x:row r="3801">
      <x:c r="A3801" s="34" t="str">
        <x:v>randoop</x:v>
      </x:c>
      <x:c r="B3801" s="34" t="str">
        <x:v>JacksonCore</x:v>
      </x:c>
      <x:c r="C3801" s="34" t="str">
        <x:v>Round1</x:v>
      </x:c>
      <x:c r="D3801" s="34" t="str">
        <x:v>JacksonCore_18</x:v>
      </x:c>
      <x:c r="E3801" s="34" t="str">
        <x:v>Condition</x:v>
      </x:c>
      <x:c r="F3801" s="34" t="n">
        <x:v>1084</x:v>
      </x:c>
      <x:c r="G3801" s="34" t="str">
        <x:v>RECORDED</x:v>
      </x:c>
      <x:c r="H3801" s="38" t="n">
        <x:f>IF(ISNUMBER('Data'!I385),'Data'!I385*100,"")</x:f>
        <x:v>0.18</x:v>
      </x:c>
      <x:c r="I3801" s="34" t="str">
        <x:v>PASS</x:v>
      </x:c>
      <x:c r="J3801" s="34" t="str">
        <x:v>PASS</x:v>
      </x:c>
      <x:c r="K3801" s="34" t="str">
        <x:v>PASS</x:v>
      </x:c>
      <x:c r="L3801" s="34" t="str">
        <x:v>PASS</x:v>
      </x:c>
      <x:c r="M3801" s="34" t="str">
        <x:v>numeric coverage for applicable metric</x:v>
      </x:c>
      <x:c r="N3801" s="34" t="str">
        <x:v>Feedback-Directed Random Test Generation/Result/JacksonCore_18/result.json</x:v>
      </x:c>
      <x:c r="O3801" s="38" t="n">
        <x:f>IF(AND(G3801="RECORDED",ISNUMBER(H3801)),H3801,"")</x:f>
        <x:v>0.18</x:v>
      </x:c>
      <x:c r="P3801" s="34" t="str">
        <x:v>NOT_REVEALING</x:v>
      </x:c>
      <x:c r="Q3801" s="34" t="str">
        <x:v>Feedback-Directed Random Test Generation/Result/JacksonCore_18/result.json</x:v>
      </x:c>
    </x:row>
    <x:row r="3802">
      <x:c r="A3802" s="34" t="str">
        <x:v>randoop</x:v>
      </x:c>
      <x:c r="B3802" s="34" t="str">
        <x:v>JacksonCore</x:v>
      </x:c>
      <x:c r="C3802" s="34" t="str">
        <x:v>Round1</x:v>
      </x:c>
      <x:c r="D3802" s="34" t="str">
        <x:v>JacksonCore_19</x:v>
      </x:c>
      <x:c r="E3802" s="34" t="str">
        <x:v>Condition</x:v>
      </x:c>
      <x:c r="F3802" s="34" t="n">
        <x:v>2254</x:v>
      </x:c>
      <x:c r="G3802" s="34" t="str">
        <x:v>RECORDED</x:v>
      </x:c>
      <x:c r="H3802" s="38" t="n">
        <x:f>IF(ISNUMBER('Data'!I386),'Data'!I386*100,"")</x:f>
        <x:v>0.09</x:v>
      </x:c>
      <x:c r="I3802" s="34" t="str">
        <x:v>PASS</x:v>
      </x:c>
      <x:c r="J3802" s="34" t="str">
        <x:v>PASS</x:v>
      </x:c>
      <x:c r="K3802" s="34" t="str">
        <x:v>PASS</x:v>
      </x:c>
      <x:c r="L3802" s="34" t="str">
        <x:v>PASS</x:v>
      </x:c>
      <x:c r="M3802" s="34" t="str">
        <x:v>numeric coverage for applicable metric</x:v>
      </x:c>
      <x:c r="N3802" s="34" t="str">
        <x:v>Feedback-Directed Random Test Generation/Result/JacksonCore_19/result.json</x:v>
      </x:c>
      <x:c r="O3802" s="38" t="n">
        <x:f>IF(AND(G3802="RECORDED",ISNUMBER(H3802)),H3802,"")</x:f>
        <x:v>0.09</x:v>
      </x:c>
      <x:c r="P3802" s="34" t="str">
        <x:v>NOT_REVEALING</x:v>
      </x:c>
      <x:c r="Q3802" s="34" t="str">
        <x:v>Feedback-Directed Random Test Generation/Result/JacksonCore_19/result.json</x:v>
      </x:c>
    </x:row>
    <x:row r="3803">
      <x:c r="A3803" s="34" t="str">
        <x:v>randoop</x:v>
      </x:c>
      <x:c r="B3803" s="34" t="str">
        <x:v>JacksonCore</x:v>
      </x:c>
      <x:c r="C3803" s="34" t="str">
        <x:v>Round1</x:v>
      </x:c>
      <x:c r="D3803" s="34" t="str">
        <x:v>JacksonCore_20</x:v>
      </x:c>
      <x:c r="E3803" s="34" t="str">
        <x:v>Condition</x:v>
      </x:c>
      <x:c r="F3803" s="34" t="n">
        <x:v>97</x:v>
      </x:c>
      <x:c r="G3803" s="34" t="str">
        <x:v>RECORDED</x:v>
      </x:c>
      <x:c r="H3803" s="38" t="n">
        <x:f>IF(ISNUMBER('Data'!I387),'Data'!I387*100,"")</x:f>
        <x:v>6.19</x:v>
      </x:c>
      <x:c r="I3803" s="34" t="str">
        <x:v>PASS</x:v>
      </x:c>
      <x:c r="J3803" s="34" t="str">
        <x:v>PASS</x:v>
      </x:c>
      <x:c r="K3803" s="34" t="str">
        <x:v>PASS</x:v>
      </x:c>
      <x:c r="L3803" s="34" t="str">
        <x:v>PASS</x:v>
      </x:c>
      <x:c r="M3803" s="34" t="str">
        <x:v>numeric coverage for applicable metric</x:v>
      </x:c>
      <x:c r="N3803" s="34" t="str">
        <x:v>Feedback-Directed Random Test Generation/Result/JacksonCore_20/result.json</x:v>
      </x:c>
      <x:c r="O3803" s="38" t="n">
        <x:f>IF(AND(G3803="RECORDED",ISNUMBER(H3803)),H3803,"")</x:f>
        <x:v>6.19</x:v>
      </x:c>
      <x:c r="P3803" s="34" t="str">
        <x:v>NOT_REVEALING</x:v>
      </x:c>
      <x:c r="Q3803" s="34" t="str">
        <x:v>Feedback-Directed Random Test Generation/Result/JacksonCore_20/result.json</x:v>
      </x:c>
    </x:row>
    <x:row r="3804">
      <x:c r="A3804" s="34" t="str">
        <x:v>randoop</x:v>
      </x:c>
      <x:c r="B3804" s="34" t="str">
        <x:v>JacksonCore</x:v>
      </x:c>
      <x:c r="C3804" s="34" t="str">
        <x:v>Round1</x:v>
      </x:c>
      <x:c r="D3804" s="34" t="str">
        <x:v>JacksonCore_21</x:v>
      </x:c>
      <x:c r="E3804" s="34" t="str">
        <x:v>Condition</x:v>
      </x:c>
      <x:c r="F3804" s="34" t="n">
        <x:v>269</x:v>
      </x:c>
      <x:c r="G3804" s="34" t="str">
        <x:v>RECORDED</x:v>
      </x:c>
      <x:c r="H3804" s="38" t="n">
        <x:f>IF(ISNUMBER('Data'!I388),'Data'!I388*100,"")</x:f>
        <x:v>2.6</x:v>
      </x:c>
      <x:c r="I3804" s="34" t="str">
        <x:v>PASS</x:v>
      </x:c>
      <x:c r="J3804" s="34" t="str">
        <x:v>PASS</x:v>
      </x:c>
      <x:c r="K3804" s="34" t="str">
        <x:v>PASS</x:v>
      </x:c>
      <x:c r="L3804" s="34" t="str">
        <x:v>PASS</x:v>
      </x:c>
      <x:c r="M3804" s="34" t="str">
        <x:v>numeric coverage for applicable metric</x:v>
      </x:c>
      <x:c r="N3804" s="34" t="str">
        <x:v>Feedback-Directed Random Test Generation/Result/JacksonCore_21/result.json</x:v>
      </x:c>
      <x:c r="O3804" s="38" t="n">
        <x:f>IF(AND(G3804="RECORDED",ISNUMBER(H3804)),H3804,"")</x:f>
        <x:v>2.6</x:v>
      </x:c>
      <x:c r="P3804" s="34" t="str">
        <x:v>NOT_REVEALING</x:v>
      </x:c>
      <x:c r="Q3804" s="34" t="str">
        <x:v>Feedback-Directed Random Test Generation/Result/JacksonCore_21/result.json</x:v>
      </x:c>
    </x:row>
    <x:row r="3805">
      <x:c r="A3805" s="34" t="str">
        <x:v>randoop</x:v>
      </x:c>
      <x:c r="B3805" s="34" t="str">
        <x:v>JacksonCore</x:v>
      </x:c>
      <x:c r="C3805" s="34" t="str">
        <x:v>Round1</x:v>
      </x:c>
      <x:c r="D3805" s="34" t="str">
        <x:v>JacksonCore_22</x:v>
      </x:c>
      <x:c r="E3805" s="34" t="str">
        <x:v>Condition</x:v>
      </x:c>
      <x:c r="F3805" s="34" t="n">
        <x:v>267</x:v>
      </x:c>
      <x:c r="G3805" s="34" t="str">
        <x:v>RECORDED</x:v>
      </x:c>
      <x:c r="H3805" s="38" t="n">
        <x:f>IF(ISNUMBER('Data'!I389),'Data'!I389*100,"")</x:f>
        <x:v>2.62</x:v>
      </x:c>
      <x:c r="I3805" s="34" t="str">
        <x:v>PASS</x:v>
      </x:c>
      <x:c r="J3805" s="34" t="str">
        <x:v>PASS</x:v>
      </x:c>
      <x:c r="K3805" s="34" t="str">
        <x:v>PASS</x:v>
      </x:c>
      <x:c r="L3805" s="34" t="str">
        <x:v>PASS</x:v>
      </x:c>
      <x:c r="M3805" s="34" t="str">
        <x:v>numeric coverage for applicable metric</x:v>
      </x:c>
      <x:c r="N3805" s="34" t="str">
        <x:v>Feedback-Directed Random Test Generation/Result/JacksonCore_22/result.json</x:v>
      </x:c>
      <x:c r="O3805" s="38" t="n">
        <x:f>IF(AND(G3805="RECORDED",ISNUMBER(H3805)),H3805,"")</x:f>
        <x:v>2.62</x:v>
      </x:c>
      <x:c r="P3805" s="34" t="str">
        <x:v>NOT_REVEALING</x:v>
      </x:c>
      <x:c r="Q3805" s="34" t="str">
        <x:v>Feedback-Directed Random Test Generation/Result/JacksonCore_22/result.json</x:v>
      </x:c>
    </x:row>
    <x:row r="3806">
      <x:c r="A3806" s="34" t="str">
        <x:v>randoop</x:v>
      </x:c>
      <x:c r="B3806" s="34" t="str">
        <x:v>JacksonCore</x:v>
      </x:c>
      <x:c r="C3806" s="34" t="str">
        <x:v>Round1</x:v>
      </x:c>
      <x:c r="D3806" s="34" t="str">
        <x:v>JacksonCore_23</x:v>
      </x:c>
      <x:c r="E3806" s="34" t="str">
        <x:v>Condition</x:v>
      </x:c>
      <x:c r="F3806" s="34" t="n">
        <x:v>40</x:v>
      </x:c>
      <x:c r="G3806" s="34" t="str">
        <x:v>RECORDED</x:v>
      </x:c>
      <x:c r="H3806" s="38" t="n">
        <x:f>IF(ISNUMBER('Data'!I390),'Data'!I390*100,"")</x:f>
        <x:v>50</x:v>
      </x:c>
      <x:c r="I3806" s="34" t="str">
        <x:v>PASS</x:v>
      </x:c>
      <x:c r="J3806" s="34" t="str">
        <x:v>PASS</x:v>
      </x:c>
      <x:c r="K3806" s="34" t="str">
        <x:v>PASS</x:v>
      </x:c>
      <x:c r="L3806" s="34" t="str">
        <x:v>PASS</x:v>
      </x:c>
      <x:c r="M3806" s="34" t="str">
        <x:v>numeric coverage for applicable metric</x:v>
      </x:c>
      <x:c r="N3806" s="34" t="str">
        <x:v>Feedback-Directed Random Test Generation/Result/JacksonCore_23/result.json</x:v>
      </x:c>
      <x:c r="O3806" s="38" t="n">
        <x:f>IF(AND(G3806="RECORDED",ISNUMBER(H3806)),H3806,"")</x:f>
        <x:v>50</x:v>
      </x:c>
      <x:c r="P3806" s="34" t="str">
        <x:v>NOT_REVEALING</x:v>
      </x:c>
      <x:c r="Q3806" s="34" t="str">
        <x:v>Feedback-Directed Random Test Generation/Result/JacksonCore_23/result.json</x:v>
      </x:c>
    </x:row>
    <x:row r="3807">
      <x:c r="A3807" s="34" t="str">
        <x:v>randoop</x:v>
      </x:c>
      <x:c r="B3807" s="34" t="str">
        <x:v>JacksonCore</x:v>
      </x:c>
      <x:c r="C3807" s="34" t="str">
        <x:v>Round1</x:v>
      </x:c>
      <x:c r="D3807" s="34" t="str">
        <x:v>JacksonCore_24</x:v>
      </x:c>
      <x:c r="E3807" s="34" t="str">
        <x:v>Condition</x:v>
      </x:c>
      <x:c r="F3807" s="34" t="n">
        <x:v>411</x:v>
      </x:c>
      <x:c r="G3807" s="34" t="str">
        <x:v>RECORDED</x:v>
      </x:c>
      <x:c r="H3807" s="38" t="n">
        <x:f>IF(ISNUMBER('Data'!I391),'Data'!I391*100,"")</x:f>
        <x:v>1.7000000000000002</x:v>
      </x:c>
      <x:c r="I3807" s="34" t="str">
        <x:v>PASS</x:v>
      </x:c>
      <x:c r="J3807" s="34" t="str">
        <x:v>PASS</x:v>
      </x:c>
      <x:c r="K3807" s="34" t="str">
        <x:v>PASS</x:v>
      </x:c>
      <x:c r="L3807" s="34" t="str">
        <x:v>PASS</x:v>
      </x:c>
      <x:c r="M3807" s="34" t="str">
        <x:v>numeric coverage for applicable metric</x:v>
      </x:c>
      <x:c r="N3807" s="34" t="str">
        <x:v>Feedback-Directed Random Test Generation/Result/JacksonCore_24/result.json</x:v>
      </x:c>
      <x:c r="O3807" s="38" t="n">
        <x:f>IF(AND(G3807="RECORDED",ISNUMBER(H3807)),H3807,"")</x:f>
        <x:v>1.7000000000000002</x:v>
      </x:c>
      <x:c r="P3807" s="34" t="str">
        <x:v>NOT_REVEALING</x:v>
      </x:c>
      <x:c r="Q3807" s="34" t="str">
        <x:v>Feedback-Directed Random Test Generation/Result/JacksonCore_24/result.json</x:v>
      </x:c>
    </x:row>
    <x:row r="3808">
      <x:c r="A3808" s="34" t="str">
        <x:v>randoop</x:v>
      </x:c>
      <x:c r="B3808" s="34" t="str">
        <x:v>JacksonCore</x:v>
      </x:c>
      <x:c r="C3808" s="34" t="str">
        <x:v>Round1</x:v>
      </x:c>
      <x:c r="D3808" s="34" t="str">
        <x:v>JacksonCore_25</x:v>
      </x:c>
      <x:c r="E3808" s="34" t="str">
        <x:v>Condition</x:v>
      </x:c>
      <x:c r="F3808" s="34" t="n">
        <x:v>1084</x:v>
      </x:c>
      <x:c r="G3808" s="34" t="str">
        <x:v>RECORDED</x:v>
      </x:c>
      <x:c r="H3808" s="38" t="n">
        <x:f>IF(ISNUMBER('Data'!I392),'Data'!I392*100,"")</x:f>
        <x:v>0</x:v>
      </x:c>
      <x:c r="I3808" s="34" t="str">
        <x:v>PASS</x:v>
      </x:c>
      <x:c r="J3808" s="34" t="str">
        <x:v>PASS</x:v>
      </x:c>
      <x:c r="K3808" s="34" t="str">
        <x:v>PASS</x:v>
      </x:c>
      <x:c r="L3808" s="34" t="str">
        <x:v>PASS</x:v>
      </x:c>
      <x:c r="M3808" s="34" t="str">
        <x:v>numeric coverage for applicable metric</x:v>
      </x:c>
      <x:c r="N3808" s="34" t="str">
        <x:v>Feedback-Directed Random Test Generation/Result/JacksonCore_25/result.json</x:v>
      </x:c>
      <x:c r="O3808" s="38" t="n">
        <x:f>IF(AND(G3808="RECORDED",ISNUMBER(H3808)),H3808,"")</x:f>
        <x:v>0</x:v>
      </x:c>
      <x:c r="P3808" s="34" t="str">
        <x:v>NOT_REVEALING</x:v>
      </x:c>
      <x:c r="Q3808" s="34" t="str">
        <x:v>Feedback-Directed Random Test Generation/Result/JacksonCore_25/result.json</x:v>
      </x:c>
    </x:row>
    <x:row r="3809">
      <x:c r="A3809" s="34" t="str">
        <x:v>randoop</x:v>
      </x:c>
      <x:c r="B3809" s="34" t="str">
        <x:v>JacksonCore</x:v>
      </x:c>
      <x:c r="C3809" s="34" t="str">
        <x:v>Round1</x:v>
      </x:c>
      <x:c r="D3809" s="34" t="str">
        <x:v>JacksonCore_26</x:v>
      </x:c>
      <x:c r="E3809" s="34" t="str">
        <x:v>Condition</x:v>
      </x:c>
      <x:c r="F3809" s="34" t="n">
        <x:v>951</x:v>
      </x:c>
      <x:c r="G3809" s="34" t="str">
        <x:v>RECORDED</x:v>
      </x:c>
      <x:c r="H3809" s="38" t="n">
        <x:f>IF(ISNUMBER('Data'!I393),'Data'!I393*100,"")</x:f>
        <x:v>0</x:v>
      </x:c>
      <x:c r="I3809" s="34" t="str">
        <x:v>PASS</x:v>
      </x:c>
      <x:c r="J3809" s="34" t="str">
        <x:v>PASS</x:v>
      </x:c>
      <x:c r="K3809" s="34" t="str">
        <x:v>PASS</x:v>
      </x:c>
      <x:c r="L3809" s="34" t="str">
        <x:v>PASS</x:v>
      </x:c>
      <x:c r="M3809" s="34" t="str">
        <x:v>numeric coverage for applicable metric</x:v>
      </x:c>
      <x:c r="N3809" s="34" t="str">
        <x:v>Feedback-Directed Random Test Generation/Result/JacksonCore_26/result.json</x:v>
      </x:c>
      <x:c r="O3809" s="38" t="n">
        <x:f>IF(AND(G3809="RECORDED",ISNUMBER(H3809)),H3809,"")</x:f>
        <x:v>0</x:v>
      </x:c>
      <x:c r="P3809" s="34" t="str">
        <x:v>NOT_REVEALING</x:v>
      </x:c>
      <x:c r="Q3809" s="34" t="str">
        <x:v>Feedback-Directed Random Test Generation/Result/JacksonCore_26/result.json</x:v>
      </x:c>
    </x:row>
    <x:row r="3810">
      <x:c r="A3810" s="34" t="str">
        <x:v>randoop</x:v>
      </x:c>
      <x:c r="B3810" s="34" t="str">
        <x:v>JacksonDatabind</x:v>
      </x:c>
      <x:c r="C3810" s="34" t="str">
        <x:v>Round1</x:v>
      </x:c>
      <x:c r="D3810" s="34" t="str">
        <x:v>JacksonDatabind_1</x:v>
      </x:c>
      <x:c r="E3810" s="34" t="str">
        <x:v>Condition</x:v>
      </x:c>
      <x:c r="F3810" s="34" t="n">
        <x:v>104</x:v>
      </x:c>
      <x:c r="G3810" s="34" t="str">
        <x:v>RECORDED</x:v>
      </x:c>
      <x:c r="H3810" s="38" t="n">
        <x:f>IF(ISNUMBER('Data'!I394),'Data'!I394*100,"")</x:f>
        <x:v>0</x:v>
      </x:c>
      <x:c r="I3810" s="34" t="str">
        <x:v>PASS</x:v>
      </x:c>
      <x:c r="J3810" s="34" t="str">
        <x:v>PASS</x:v>
      </x:c>
      <x:c r="K3810" s="34" t="str">
        <x:v>PASS</x:v>
      </x:c>
      <x:c r="L3810" s="34" t="str">
        <x:v>PASS</x:v>
      </x:c>
      <x:c r="M3810" s="34" t="str">
        <x:v>numeric coverage for applicable metric</x:v>
      </x:c>
      <x:c r="N3810" s="34" t="str">
        <x:v>Feedback-Directed Random Test Generation/Result/JacksonDatabind_1/result.json</x:v>
      </x:c>
      <x:c r="O3810" s="38" t="n">
        <x:f>IF(AND(G3810="RECORDED",ISNUMBER(H3810)),H3810,"")</x:f>
        <x:v>0</x:v>
      </x:c>
      <x:c r="P3810" s="34" t="str">
        <x:v>NOT_REVEALING</x:v>
      </x:c>
      <x:c r="Q3810" s="34" t="str">
        <x:v>Feedback-Directed Random Test Generation/Result/JacksonDatabind_1/result.json</x:v>
      </x:c>
    </x:row>
    <x:row r="3811">
      <x:c r="A3811" s="34" t="str">
        <x:v>randoop</x:v>
      </x:c>
      <x:c r="B3811" s="34" t="str">
        <x:v>JacksonDatabind</x:v>
      </x:c>
      <x:c r="C3811" s="34" t="str">
        <x:v>Round1</x:v>
      </x:c>
      <x:c r="D3811" s="34" t="str">
        <x:v>JacksonDatabind_2</x:v>
      </x:c>
      <x:c r="E3811" s="34" t="str">
        <x:v>Condition</x:v>
      </x:c>
      <x:c r="F3811" s="34" t="n">
        <x:v>298</x:v>
      </x:c>
      <x:c r="G3811" s="34" t="str">
        <x:v>RECORDED</x:v>
      </x:c>
      <x:c r="H3811" s="38" t="n">
        <x:f>IF(ISNUMBER('Data'!I395),'Data'!I395*100,"")</x:f>
        <x:v>66.78</x:v>
      </x:c>
      <x:c r="I3811" s="34" t="str">
        <x:v>PASS</x:v>
      </x:c>
      <x:c r="J3811" s="34" t="str">
        <x:v>PASS</x:v>
      </x:c>
      <x:c r="K3811" s="34" t="str">
        <x:v>PASS</x:v>
      </x:c>
      <x:c r="L3811" s="34" t="str">
        <x:v>PASS</x:v>
      </x:c>
      <x:c r="M3811" s="34" t="str">
        <x:v>numeric coverage for applicable metric</x:v>
      </x:c>
      <x:c r="N3811" s="34" t="str">
        <x:v>Feedback-Directed Random Test Generation/Result/JacksonDatabind_2/result.json</x:v>
      </x:c>
      <x:c r="O3811" s="38" t="n">
        <x:f>IF(AND(G3811="RECORDED",ISNUMBER(H3811)),H3811,"")</x:f>
        <x:v>66.78</x:v>
      </x:c>
      <x:c r="P3811" s="34" t="str">
        <x:v>INCONCLUSIVE</x:v>
      </x:c>
      <x:c r="Q3811" s="34" t="str">
        <x:v>Feedback-Directed Random Test Generation/Result/JacksonDatabind_2/result.json</x:v>
      </x:c>
    </x:row>
    <x:row r="3812">
      <x:c r="A3812" s="34" t="str">
        <x:v>randoop</x:v>
      </x:c>
      <x:c r="B3812" s="34" t="str">
        <x:v>JacksonDatabind</x:v>
      </x:c>
      <x:c r="C3812" s="34" t="str">
        <x:v>Round1</x:v>
      </x:c>
      <x:c r="D3812" s="34" t="str">
        <x:v>JacksonDatabind_3</x:v>
      </x:c>
      <x:c r="E3812" s="34" t="str">
        <x:v>Condition</x:v>
      </x:c>
      <x:c r="F3812" s="34" t="n">
        <x:v>36</x:v>
      </x:c>
      <x:c r="G3812" s="34" t="str">
        <x:v>RECORDED</x:v>
      </x:c>
      <x:c r="H3812" s="38" t="n">
        <x:f>IF(ISNUMBER('Data'!I396),'Data'!I396*100,"")</x:f>
        <x:v>0</x:v>
      </x:c>
      <x:c r="I3812" s="34" t="str">
        <x:v>PASS</x:v>
      </x:c>
      <x:c r="J3812" s="34" t="str">
        <x:v>PASS</x:v>
      </x:c>
      <x:c r="K3812" s="34" t="str">
        <x:v>PASS</x:v>
      </x:c>
      <x:c r="L3812" s="34" t="str">
        <x:v>PASS</x:v>
      </x:c>
      <x:c r="M3812" s="34" t="str">
        <x:v>numeric coverage for applicable metric</x:v>
      </x:c>
      <x:c r="N3812" s="34" t="str">
        <x:v>Feedback-Directed Random Test Generation/Result/JacksonDatabind_3/result.json</x:v>
      </x:c>
      <x:c r="O3812" s="38" t="n">
        <x:f>IF(AND(G3812="RECORDED",ISNUMBER(H3812)),H3812,"")</x:f>
        <x:v>0</x:v>
      </x:c>
      <x:c r="P3812" s="34" t="str">
        <x:v>NOT_REVEALING</x:v>
      </x:c>
      <x:c r="Q3812" s="34" t="str">
        <x:v>Feedback-Directed Random Test Generation/Result/JacksonDatabind_3/result.json</x:v>
      </x:c>
    </x:row>
    <x:row r="3813">
      <x:c r="A3813" s="34" t="str">
        <x:v>randoop</x:v>
      </x:c>
      <x:c r="B3813" s="34" t="str">
        <x:v>JacksonDatabind</x:v>
      </x:c>
      <x:c r="C3813" s="34" t="str">
        <x:v>Round1</x:v>
      </x:c>
      <x:c r="D3813" s="34" t="str">
        <x:v>JacksonDatabind_4</x:v>
      </x:c>
      <x:c r="E3813" s="34" t="str">
        <x:v>Condition</x:v>
      </x:c>
      <x:c r="F3813" s="34" t="n">
        <x:v>36</x:v>
      </x:c>
      <x:c r="G3813" s="34" t="str">
        <x:v>RECORDED</x:v>
      </x:c>
      <x:c r="H3813" s="38" t="n">
        <x:f>IF(ISNUMBER('Data'!I397),'Data'!I397*100,"")</x:f>
        <x:v>0</x:v>
      </x:c>
      <x:c r="I3813" s="34" t="str">
        <x:v>PASS</x:v>
      </x:c>
      <x:c r="J3813" s="34" t="str">
        <x:v>PASS</x:v>
      </x:c>
      <x:c r="K3813" s="34" t="str">
        <x:v>PASS</x:v>
      </x:c>
      <x:c r="L3813" s="34" t="str">
        <x:v>PASS</x:v>
      </x:c>
      <x:c r="M3813" s="34" t="str">
        <x:v>numeric coverage for applicable metric</x:v>
      </x:c>
      <x:c r="N3813" s="34" t="str">
        <x:v>Feedback-Directed Random Test Generation/Result/JacksonDatabind_4/result.json</x:v>
      </x:c>
      <x:c r="O3813" s="38" t="n">
        <x:f>IF(AND(G3813="RECORDED",ISNUMBER(H3813)),H3813,"")</x:f>
        <x:v>0</x:v>
      </x:c>
      <x:c r="P3813" s="34" t="str">
        <x:v>NOT_REVEALING</x:v>
      </x:c>
      <x:c r="Q3813" s="34" t="str">
        <x:v>Feedback-Directed Random Test Generation/Result/JacksonDatabind_4/result.json</x:v>
      </x:c>
    </x:row>
    <x:row r="3814">
      <x:c r="A3814" s="34" t="str">
        <x:v>randoop</x:v>
      </x:c>
      <x:c r="B3814" s="34" t="str">
        <x:v>JacksonDatabind</x:v>
      </x:c>
      <x:c r="C3814" s="34" t="str">
        <x:v>Round1</x:v>
      </x:c>
      <x:c r="D3814" s="34" t="str">
        <x:v>JacksonDatabind_5</x:v>
      </x:c>
      <x:c r="E3814" s="34" t="str">
        <x:v>Condition</x:v>
      </x:c>
      <x:c r="F3814" s="34" t="n">
        <x:v>272</x:v>
      </x:c>
      <x:c r="G3814" s="34" t="str">
        <x:v>RECORDED</x:v>
      </x:c>
      <x:c r="H3814" s="38" t="n">
        <x:f>IF(ISNUMBER('Data'!I398),'Data'!I398*100,"")</x:f>
        <x:v>0</x:v>
      </x:c>
      <x:c r="I3814" s="34" t="str">
        <x:v>PASS</x:v>
      </x:c>
      <x:c r="J3814" s="34" t="str">
        <x:v>PASS</x:v>
      </x:c>
      <x:c r="K3814" s="34" t="str">
        <x:v>PASS</x:v>
      </x:c>
      <x:c r="L3814" s="34" t="str">
        <x:v>PASS</x:v>
      </x:c>
      <x:c r="M3814" s="34" t="str">
        <x:v>numeric coverage for applicable metric</x:v>
      </x:c>
      <x:c r="N3814" s="34" t="str">
        <x:v>Feedback-Directed Random Test Generation/Result/JacksonDatabind_5/result.json</x:v>
      </x:c>
      <x:c r="O3814" s="38" t="n">
        <x:f>IF(AND(G3814="RECORDED",ISNUMBER(H3814)),H3814,"")</x:f>
        <x:v>0</x:v>
      </x:c>
      <x:c r="P3814" s="34" t="str">
        <x:v>NOT_REVEALING</x:v>
      </x:c>
      <x:c r="Q3814" s="34" t="str">
        <x:v>Feedback-Directed Random Test Generation/Result/JacksonDatabind_5/result.json</x:v>
      </x:c>
    </x:row>
    <x:row r="3815">
      <x:c r="A3815" s="34" t="str">
        <x:v>randoop</x:v>
      </x:c>
      <x:c r="B3815" s="34" t="str">
        <x:v>JacksonDatabind</x:v>
      </x:c>
      <x:c r="C3815" s="34" t="str">
        <x:v>Round1</x:v>
      </x:c>
      <x:c r="D3815" s="34" t="str">
        <x:v>JacksonDatabind_6</x:v>
      </x:c>
      <x:c r="E3815" s="34" t="str">
        <x:v>Condition</x:v>
      </x:c>
      <x:c r="F3815" s="34" t="n">
        <x:v>94</x:v>
      </x:c>
      <x:c r="G3815" s="34" t="str">
        <x:v>RECORDED</x:v>
      </x:c>
      <x:c r="H3815" s="38" t="n">
        <x:f>IF(ISNUMBER('Data'!I399),'Data'!I399*100,"")</x:f>
        <x:v>78.72</x:v>
      </x:c>
      <x:c r="I3815" s="34" t="str">
        <x:v>PASS</x:v>
      </x:c>
      <x:c r="J3815" s="34" t="str">
        <x:v>PASS</x:v>
      </x:c>
      <x:c r="K3815" s="34" t="str">
        <x:v>PASS</x:v>
      </x:c>
      <x:c r="L3815" s="34" t="str">
        <x:v>FAIL</x:v>
      </x:c>
      <x:c r="M3815" s="34" t="str">
        <x:v>numeric coverage for applicable metric</x:v>
      </x:c>
      <x:c r="N3815" s="34" t="str">
        <x:v>Feedback-Directed Random Test Generation/Result/JacksonDatabind_6/result.json</x:v>
      </x:c>
      <x:c r="O3815" s="38" t="n">
        <x:f>IF(AND(G3815="RECORDED",ISNUMBER(H3815)),H3815,"")</x:f>
        <x:v>78.72</x:v>
      </x:c>
      <x:c r="P3815" s="34" t="str">
        <x:v>INCONCLUSIVE</x:v>
      </x:c>
      <x:c r="Q3815" s="34" t="str">
        <x:v>Feedback-Directed Random Test Generation/Result/JacksonDatabind_6/result.json</x:v>
      </x:c>
    </x:row>
    <x:row r="3816">
      <x:c r="A3816" s="34" t="str">
        <x:v>randoop</x:v>
      </x:c>
      <x:c r="B3816" s="34" t="str">
        <x:v>JacksonDatabind</x:v>
      </x:c>
      <x:c r="C3816" s="34" t="str">
        <x:v>Round1</x:v>
      </x:c>
      <x:c r="D3816" s="34" t="str">
        <x:v>JacksonDatabind_7</x:v>
      </x:c>
      <x:c r="E3816" s="34" t="str">
        <x:v>Condition</x:v>
      </x:c>
      <x:c r="F3816" s="34" t="n">
        <x:v>308</x:v>
      </x:c>
      <x:c r="G3816" s="34" t="str">
        <x:v>RECORDED</x:v>
      </x:c>
      <x:c r="H3816" s="38" t="n">
        <x:f>IF(ISNUMBER('Data'!I400),'Data'!I400*100,"")</x:f>
        <x:v>66.56</x:v>
      </x:c>
      <x:c r="I3816" s="34" t="str">
        <x:v>PASS</x:v>
      </x:c>
      <x:c r="J3816" s="34" t="str">
        <x:v>PASS</x:v>
      </x:c>
      <x:c r="K3816" s="34" t="str">
        <x:v>PASS</x:v>
      </x:c>
      <x:c r="L3816" s="34" t="str">
        <x:v>PASS</x:v>
      </x:c>
      <x:c r="M3816" s="34" t="str">
        <x:v>numeric coverage for applicable metric</x:v>
      </x:c>
      <x:c r="N3816" s="34" t="str">
        <x:v>Feedback-Directed Random Test Generation/Result/JacksonDatabind_7/result.json</x:v>
      </x:c>
      <x:c r="O3816" s="38" t="n">
        <x:f>IF(AND(G3816="RECORDED",ISNUMBER(H3816)),H3816,"")</x:f>
        <x:v>66.56</x:v>
      </x:c>
      <x:c r="P3816" s="34" t="str">
        <x:v>NOT_REVEALING</x:v>
      </x:c>
      <x:c r="Q3816" s="34" t="str">
        <x:v>Feedback-Directed Random Test Generation/Result/JacksonDatabind_7/result.json</x:v>
      </x:c>
    </x:row>
    <x:row r="3817">
      <x:c r="A3817" s="34" t="str">
        <x:v>randoop</x:v>
      </x:c>
      <x:c r="B3817" s="34" t="str">
        <x:v>JacksonDatabind</x:v>
      </x:c>
      <x:c r="C3817" s="34" t="str">
        <x:v>Round1</x:v>
      </x:c>
      <x:c r="D3817" s="34" t="str">
        <x:v>JacksonDatabind_8</x:v>
      </x:c>
      <x:c r="E3817" s="34" t="str">
        <x:v>Condition</x:v>
      </x:c>
      <x:c r="F3817" s="34" t="n">
        <x:v>64</x:v>
      </x:c>
      <x:c r="G3817" s="34" t="str">
        <x:v>RECORDED</x:v>
      </x:c>
      <x:c r="H3817" s="38" t="n">
        <x:f>IF(ISNUMBER('Data'!I401),'Data'!I401*100,"")</x:f>
        <x:v>26.56</x:v>
      </x:c>
      <x:c r="I3817" s="34" t="str">
        <x:v>PASS</x:v>
      </x:c>
      <x:c r="J3817" s="34" t="str">
        <x:v>PASS</x:v>
      </x:c>
      <x:c r="K3817" s="34" t="str">
        <x:v>PASS</x:v>
      </x:c>
      <x:c r="L3817" s="34" t="str">
        <x:v>PASS</x:v>
      </x:c>
      <x:c r="M3817" s="34" t="str">
        <x:v>numeric coverage for applicable metric</x:v>
      </x:c>
      <x:c r="N3817" s="34" t="str">
        <x:v>Feedback-Directed Random Test Generation/Result/JacksonDatabind_8/result.json</x:v>
      </x:c>
      <x:c r="O3817" s="38" t="n">
        <x:f>IF(AND(G3817="RECORDED",ISNUMBER(H3817)),H3817,"")</x:f>
        <x:v>26.56</x:v>
      </x:c>
      <x:c r="P3817" s="34" t="str">
        <x:v>NOT_REVEALING</x:v>
      </x:c>
      <x:c r="Q3817" s="34" t="str">
        <x:v>Feedback-Directed Random Test Generation/Result/JacksonDatabind_8/result.json</x:v>
      </x:c>
    </x:row>
    <x:row r="3818">
      <x:c r="A3818" s="34" t="str">
        <x:v>randoop</x:v>
      </x:c>
      <x:c r="B3818" s="34" t="str">
        <x:v>JacksonDatabind</x:v>
      </x:c>
      <x:c r="C3818" s="34" t="str">
        <x:v>Round1</x:v>
      </x:c>
      <x:c r="D3818" s="34" t="str">
        <x:v>JacksonDatabind_9</x:v>
      </x:c>
      <x:c r="E3818" s="34" t="str">
        <x:v>Condition</x:v>
      </x:c>
      <x:c r="F3818" s="34" t="n">
        <x:v>2</x:v>
      </x:c>
      <x:c r="G3818" s="34" t="str">
        <x:v>RECORDED</x:v>
      </x:c>
      <x:c r="H3818" s="38" t="n">
        <x:f>IF(ISNUMBER('Data'!I402),'Data'!I402*100,"")</x:f>
        <x:v>0</x:v>
      </x:c>
      <x:c r="I3818" s="34" t="str">
        <x:v>PASS</x:v>
      </x:c>
      <x:c r="J3818" s="34" t="str">
        <x:v>PASS</x:v>
      </x:c>
      <x:c r="K3818" s="34" t="str">
        <x:v>PASS</x:v>
      </x:c>
      <x:c r="L3818" s="34" t="str">
        <x:v>PASS</x:v>
      </x:c>
      <x:c r="M3818" s="34" t="str">
        <x:v>numeric coverage for applicable metric</x:v>
      </x:c>
      <x:c r="N3818" s="34" t="str">
        <x:v>Feedback-Directed Random Test Generation/Result/JacksonDatabind_9/result.json</x:v>
      </x:c>
      <x:c r="O3818" s="38" t="n">
        <x:f>IF(AND(G3818="RECORDED",ISNUMBER(H3818)),H3818,"")</x:f>
        <x:v>0</x:v>
      </x:c>
      <x:c r="P3818" s="34" t="str">
        <x:v>NOT_REVEALING</x:v>
      </x:c>
      <x:c r="Q3818" s="34" t="str">
        <x:v>Feedback-Directed Random Test Generation/Result/JacksonDatabind_9/result.json</x:v>
      </x:c>
    </x:row>
    <x:row r="3819">
      <x:c r="A3819" s="34" t="str">
        <x:v>randoop</x:v>
      </x:c>
      <x:c r="B3819" s="34" t="str">
        <x:v>JacksonDatabind</x:v>
      </x:c>
      <x:c r="C3819" s="34" t="str">
        <x:v>Round1</x:v>
      </x:c>
      <x:c r="D3819" s="34" t="str">
        <x:v>JacksonDatabind_10</x:v>
      </x:c>
      <x:c r="E3819" s="34" t="str">
        <x:v>Condition</x:v>
      </x:c>
      <x:c r="F3819" s="34" t="n">
        <x:v>164</x:v>
      </x:c>
      <x:c r="G3819" s="34" t="str">
        <x:v>RECORDED</x:v>
      </x:c>
      <x:c r="H3819" s="38" t="n">
        <x:f>IF(ISNUMBER('Data'!I403),'Data'!I403*100,"")</x:f>
        <x:v>2.44</x:v>
      </x:c>
      <x:c r="I3819" s="34" t="str">
        <x:v>PASS</x:v>
      </x:c>
      <x:c r="J3819" s="34" t="str">
        <x:v>PASS</x:v>
      </x:c>
      <x:c r="K3819" s="34" t="str">
        <x:v>PASS</x:v>
      </x:c>
      <x:c r="L3819" s="34" t="str">
        <x:v>PASS</x:v>
      </x:c>
      <x:c r="M3819" s="34" t="str">
        <x:v>numeric coverage for applicable metric</x:v>
      </x:c>
      <x:c r="N3819" s="34" t="str">
        <x:v>Feedback-Directed Random Test Generation/Result/JacksonDatabind_10/result.json</x:v>
      </x:c>
      <x:c r="O3819" s="38" t="n">
        <x:f>IF(AND(G3819="RECORDED",ISNUMBER(H3819)),H3819,"")</x:f>
        <x:v>2.44</x:v>
      </x:c>
      <x:c r="P3819" s="34" t="str">
        <x:v>INCONCLUSIVE</x:v>
      </x:c>
      <x:c r="Q3819" s="34" t="str">
        <x:v>Feedback-Directed Random Test Generation/Result/JacksonDatabind_10/result.json</x:v>
      </x:c>
    </x:row>
    <x:row r="3820">
      <x:c r="A3820" s="34" t="str">
        <x:v>randoop</x:v>
      </x:c>
      <x:c r="B3820" s="34" t="str">
        <x:v>JacksonDatabind</x:v>
      </x:c>
      <x:c r="C3820" s="34" t="str">
        <x:v>Round1</x:v>
      </x:c>
      <x:c r="D3820" s="34" t="str">
        <x:v>JacksonDatabind_11</x:v>
      </x:c>
      <x:c r="E3820" s="34" t="str">
        <x:v>Condition</x:v>
      </x:c>
      <x:c r="F3820" s="34" t="n">
        <x:v>198</x:v>
      </x:c>
      <x:c r="G3820" s="34" t="str">
        <x:v>RECORDED</x:v>
      </x:c>
      <x:c r="H3820" s="38" t="n">
        <x:f>IF(ISNUMBER('Data'!I404),'Data'!I404*100,"")</x:f>
        <x:v>10.1</x:v>
      </x:c>
      <x:c r="I3820" s="34" t="str">
        <x:v>PASS</x:v>
      </x:c>
      <x:c r="J3820" s="34" t="str">
        <x:v>PASS</x:v>
      </x:c>
      <x:c r="K3820" s="34" t="str">
        <x:v>PASS</x:v>
      </x:c>
      <x:c r="L3820" s="34" t="str">
        <x:v>PASS</x:v>
      </x:c>
      <x:c r="M3820" s="34" t="str">
        <x:v>numeric coverage for applicable metric</x:v>
      </x:c>
      <x:c r="N3820" s="34" t="str">
        <x:v>Feedback-Directed Random Test Generation/Result/JacksonDatabind_11/result.json</x:v>
      </x:c>
      <x:c r="O3820" s="38" t="n">
        <x:f>IF(AND(G3820="RECORDED",ISNUMBER(H3820)),H3820,"")</x:f>
        <x:v>10.1</x:v>
      </x:c>
      <x:c r="P3820" s="34" t="str">
        <x:v>NOT_REVEALING</x:v>
      </x:c>
      <x:c r="Q3820" s="34" t="str">
        <x:v>Feedback-Directed Random Test Generation/Result/JacksonDatabind_11/result.json</x:v>
      </x:c>
    </x:row>
    <x:row r="3821">
      <x:c r="A3821" s="34" t="str">
        <x:v>randoop</x:v>
      </x:c>
      <x:c r="B3821" s="34" t="str">
        <x:v>JacksonDatabind</x:v>
      </x:c>
      <x:c r="C3821" s="34" t="str">
        <x:v>Round1</x:v>
      </x:c>
      <x:c r="D3821" s="34" t="str">
        <x:v>JacksonDatabind_12</x:v>
      </x:c>
      <x:c r="E3821" s="34" t="str">
        <x:v>Condition</x:v>
      </x:c>
      <x:c r="F3821" s="34" t="n">
        <x:v>142</x:v>
      </x:c>
      <x:c r="G3821" s="34" t="str">
        <x:v>RECORDED</x:v>
      </x:c>
      <x:c r="H3821" s="38" t="n">
        <x:f>IF(ISNUMBER('Data'!I405),'Data'!I405*100,"")</x:f>
        <x:v>0</x:v>
      </x:c>
      <x:c r="I3821" s="34" t="str">
        <x:v>PASS</x:v>
      </x:c>
      <x:c r="J3821" s="34" t="str">
        <x:v>PASS</x:v>
      </x:c>
      <x:c r="K3821" s="34" t="str">
        <x:v>PASS</x:v>
      </x:c>
      <x:c r="L3821" s="34" t="str">
        <x:v>PASS</x:v>
      </x:c>
      <x:c r="M3821" s="34" t="str">
        <x:v>numeric coverage for applicable metric</x:v>
      </x:c>
      <x:c r="N3821" s="34" t="str">
        <x:v>Feedback-Directed Random Test Generation/Result/JacksonDatabind_12/result.json</x:v>
      </x:c>
      <x:c r="O3821" s="38" t="n">
        <x:f>IF(AND(G3821="RECORDED",ISNUMBER(H3821)),H3821,"")</x:f>
        <x:v>0</x:v>
      </x:c>
      <x:c r="P3821" s="34" t="str">
        <x:v>NOT_REVEALING</x:v>
      </x:c>
      <x:c r="Q3821" s="34" t="str">
        <x:v>Feedback-Directed Random Test Generation/Result/JacksonDatabind_12/result.json</x:v>
      </x:c>
    </x:row>
    <x:row r="3822">
      <x:c r="A3822" s="34" t="str">
        <x:v>randoop</x:v>
      </x:c>
      <x:c r="B3822" s="34" t="str">
        <x:v>JacksonDatabind</x:v>
      </x:c>
      <x:c r="C3822" s="34" t="str">
        <x:v>Round1</x:v>
      </x:c>
      <x:c r="D3822" s="34" t="str">
        <x:v>JacksonDatabind_13</x:v>
      </x:c>
      <x:c r="E3822" s="34" t="str">
        <x:v>Condition</x:v>
      </x:c>
      <x:c r="F3822" s="34" t="n">
        <x:v>68</x:v>
      </x:c>
      <x:c r="G3822" s="34" t="str">
        <x:v>RECORDED</x:v>
      </x:c>
      <x:c r="H3822" s="38" t="n">
        <x:f>IF(ISNUMBER('Data'!I406),'Data'!I406*100,"")</x:f>
        <x:v>0</x:v>
      </x:c>
      <x:c r="I3822" s="34" t="str">
        <x:v>PASS</x:v>
      </x:c>
      <x:c r="J3822" s="34" t="str">
        <x:v>PASS</x:v>
      </x:c>
      <x:c r="K3822" s="34" t="str">
        <x:v>PASS</x:v>
      </x:c>
      <x:c r="L3822" s="34" t="str">
        <x:v>PASS</x:v>
      </x:c>
      <x:c r="M3822" s="34" t="str">
        <x:v>numeric coverage for applicable metric</x:v>
      </x:c>
      <x:c r="N3822" s="34" t="str">
        <x:v>Feedback-Directed Random Test Generation/Result/JacksonDatabind_13/result.json</x:v>
      </x:c>
      <x:c r="O3822" s="38" t="n">
        <x:f>IF(AND(G3822="RECORDED",ISNUMBER(H3822)),H3822,"")</x:f>
        <x:v>0</x:v>
      </x:c>
      <x:c r="P3822" s="34" t="str">
        <x:v>NOT_REVEALING</x:v>
      </x:c>
      <x:c r="Q3822" s="34" t="str">
        <x:v>Feedback-Directed Random Test Generation/Result/JacksonDatabind_13/result.json</x:v>
      </x:c>
    </x:row>
    <x:row r="3823">
      <x:c r="A3823" s="34" t="str">
        <x:v>randoop</x:v>
      </x:c>
      <x:c r="B3823" s="34" t="str">
        <x:v>JacksonDatabind</x:v>
      </x:c>
      <x:c r="C3823" s="34" t="str">
        <x:v>Round1</x:v>
      </x:c>
      <x:c r="D3823" s="34" t="str">
        <x:v>JacksonDatabind_14</x:v>
      </x:c>
      <x:c r="E3823" s="34" t="str">
        <x:v>Condition</x:v>
      </x:c>
      <x:c r="F3823" s="34" t="n">
        <x:v>150</x:v>
      </x:c>
      <x:c r="G3823" s="34" t="str">
        <x:v>RECORDED</x:v>
      </x:c>
      <x:c r="H3823" s="38" t="n">
        <x:f>IF(ISNUMBER('Data'!I407),'Data'!I407*100,"")</x:f>
        <x:v>0</x:v>
      </x:c>
      <x:c r="I3823" s="34" t="str">
        <x:v>PASS</x:v>
      </x:c>
      <x:c r="J3823" s="34" t="str">
        <x:v>PASS</x:v>
      </x:c>
      <x:c r="K3823" s="34" t="str">
        <x:v>PASS</x:v>
      </x:c>
      <x:c r="L3823" s="34" t="str">
        <x:v>PASS</x:v>
      </x:c>
      <x:c r="M3823" s="34" t="str">
        <x:v>numeric coverage for applicable metric</x:v>
      </x:c>
      <x:c r="N3823" s="34" t="str">
        <x:v>Feedback-Directed Random Test Generation/Result/JacksonDatabind_14/result.json</x:v>
      </x:c>
      <x:c r="O3823" s="38" t="n">
        <x:f>IF(AND(G3823="RECORDED",ISNUMBER(H3823)),H3823,"")</x:f>
        <x:v>0</x:v>
      </x:c>
      <x:c r="P3823" s="34" t="str">
        <x:v>NOT_REVEALING</x:v>
      </x:c>
      <x:c r="Q3823" s="34" t="str">
        <x:v>Feedback-Directed Random Test Generation/Result/JacksonDatabind_14/result.json</x:v>
      </x:c>
    </x:row>
    <x:row r="3824">
      <x:c r="A3824" s="34" t="str">
        <x:v>randoop</x:v>
      </x:c>
      <x:c r="B3824" s="34" t="str">
        <x:v>JacksonDatabind</x:v>
      </x:c>
      <x:c r="C3824" s="34" t="str">
        <x:v>Round1</x:v>
      </x:c>
      <x:c r="D3824" s="34" t="str">
        <x:v>JacksonDatabind_15</x:v>
      </x:c>
      <x:c r="E3824" s="34" t="str">
        <x:v>Condition</x:v>
      </x:c>
      <x:c r="F3824" s="34" t="n">
        <x:v>468</x:v>
      </x:c>
      <x:c r="G3824" s="34" t="str">
        <x:v>RECORDED</x:v>
      </x:c>
      <x:c r="H3824" s="38" t="n">
        <x:f>IF(ISNUMBER('Data'!I408),'Data'!I408*100,"")</x:f>
        <x:v>3.63</x:v>
      </x:c>
      <x:c r="I3824" s="34" t="str">
        <x:v>PASS</x:v>
      </x:c>
      <x:c r="J3824" s="34" t="str">
        <x:v>PASS</x:v>
      </x:c>
      <x:c r="K3824" s="34" t="str">
        <x:v>PASS</x:v>
      </x:c>
      <x:c r="L3824" s="34" t="str">
        <x:v>PASS</x:v>
      </x:c>
      <x:c r="M3824" s="34" t="str">
        <x:v>numeric coverage for applicable metric</x:v>
      </x:c>
      <x:c r="N3824" s="34" t="str">
        <x:v>Feedback-Directed Random Test Generation/Result/JacksonDatabind_15/result.json</x:v>
      </x:c>
      <x:c r="O3824" s="38" t="n">
        <x:f>IF(AND(G3824="RECORDED",ISNUMBER(H3824)),H3824,"")</x:f>
        <x:v>3.63</x:v>
      </x:c>
      <x:c r="P3824" s="34" t="str">
        <x:v>NOT_REVEALING</x:v>
      </x:c>
      <x:c r="Q3824" s="34" t="str">
        <x:v>Feedback-Directed Random Test Generation/Result/JacksonDatabind_15/result.json</x:v>
      </x:c>
    </x:row>
    <x:row r="3825">
      <x:c r="A3825" s="34" t="str">
        <x:v>randoop</x:v>
      </x:c>
      <x:c r="B3825" s="34" t="str">
        <x:v>JacksonDatabind</x:v>
      </x:c>
      <x:c r="C3825" s="34" t="str">
        <x:v>Round1</x:v>
      </x:c>
      <x:c r="D3825" s="34" t="str">
        <x:v>JacksonDatabind_16</x:v>
      </x:c>
      <x:c r="E3825" s="34" t="str">
        <x:v>Condition</x:v>
      </x:c>
      <x:c r="F3825" s="34" t="n">
        <x:v>36</x:v>
      </x:c>
      <x:c r="G3825" s="34" t="str">
        <x:v>RECORDED</x:v>
      </x:c>
      <x:c r="H3825" s="38" t="n">
        <x:f>IF(ISNUMBER('Data'!I409),'Data'!I409*100,"")</x:f>
        <x:v>22.22</x:v>
      </x:c>
      <x:c r="I3825" s="34" t="str">
        <x:v>PASS</x:v>
      </x:c>
      <x:c r="J3825" s="34" t="str">
        <x:v>PASS</x:v>
      </x:c>
      <x:c r="K3825" s="34" t="str">
        <x:v>PASS</x:v>
      </x:c>
      <x:c r="L3825" s="34" t="str">
        <x:v>PASS</x:v>
      </x:c>
      <x:c r="M3825" s="34" t="str">
        <x:v>numeric coverage for applicable metric</x:v>
      </x:c>
      <x:c r="N3825" s="34" t="str">
        <x:v>Feedback-Directed Random Test Generation/Result/JacksonDatabind_16/result.json</x:v>
      </x:c>
      <x:c r="O3825" s="38" t="n">
        <x:f>IF(AND(G3825="RECORDED",ISNUMBER(H3825)),H3825,"")</x:f>
        <x:v>22.22</x:v>
      </x:c>
      <x:c r="P3825" s="34" t="str">
        <x:v>NOT_REVEALING</x:v>
      </x:c>
      <x:c r="Q3825" s="34" t="str">
        <x:v>Feedback-Directed Random Test Generation/Result/JacksonDatabind_16/result.json</x:v>
      </x:c>
    </x:row>
    <x:row r="3826">
      <x:c r="A3826" s="34" t="str">
        <x:v>randoop</x:v>
      </x:c>
      <x:c r="B3826" s="34" t="str">
        <x:v>JacksonDatabind</x:v>
      </x:c>
      <x:c r="C3826" s="34" t="str">
        <x:v>Round1</x:v>
      </x:c>
      <x:c r="D3826" s="34" t="str">
        <x:v>JacksonDatabind_17</x:v>
      </x:c>
      <x:c r="E3826" s="34" t="str">
        <x:v>Condition</x:v>
      </x:c>
      <x:c r="F3826" s="34" t="n">
        <x:v>192</x:v>
      </x:c>
      <x:c r="G3826" s="34" t="str">
        <x:v>RECORDED</x:v>
      </x:c>
      <x:c r="H3826" s="38" t="n">
        <x:f>IF(ISNUMBER('Data'!I410),'Data'!I410*100,"")</x:f>
        <x:v>43.23</x:v>
      </x:c>
      <x:c r="I3826" s="34" t="str">
        <x:v>PASS</x:v>
      </x:c>
      <x:c r="J3826" s="34" t="str">
        <x:v>PASS</x:v>
      </x:c>
      <x:c r="K3826" s="34" t="str">
        <x:v>PASS</x:v>
      </x:c>
      <x:c r="L3826" s="34" t="str">
        <x:v>PASS</x:v>
      </x:c>
      <x:c r="M3826" s="34" t="str">
        <x:v>numeric coverage for applicable metric</x:v>
      </x:c>
      <x:c r="N3826" s="34" t="str">
        <x:v>Feedback-Directed Random Test Generation/Result/JacksonDatabind_17/result.json</x:v>
      </x:c>
      <x:c r="O3826" s="38" t="n">
        <x:f>IF(AND(G3826="RECORDED",ISNUMBER(H3826)),H3826,"")</x:f>
        <x:v>43.23</x:v>
      </x:c>
      <x:c r="P3826" s="34" t="str">
        <x:v>INCONCLUSIVE</x:v>
      </x:c>
      <x:c r="Q3826" s="34" t="str">
        <x:v>Feedback-Directed Random Test Generation/Result/JacksonDatabind_17/result.json</x:v>
      </x:c>
    </x:row>
    <x:row r="3827">
      <x:c r="A3827" s="34" t="str">
        <x:v>randoop</x:v>
      </x:c>
      <x:c r="B3827" s="34" t="str">
        <x:v>JacksonDatabind</x:v>
      </x:c>
      <x:c r="C3827" s="34" t="str">
        <x:v>Round1</x:v>
      </x:c>
      <x:c r="D3827" s="34" t="str">
        <x:v>JacksonDatabind_18</x:v>
      </x:c>
      <x:c r="E3827" s="34" t="str">
        <x:v>Condition</x:v>
      </x:c>
      <x:c r="F3827" s="34" t="n">
        <x:v>34</x:v>
      </x:c>
      <x:c r="G3827" s="34" t="str">
        <x:v>RECORDED</x:v>
      </x:c>
      <x:c r="H3827" s="38" t="n">
        <x:f>IF(ISNUMBER('Data'!I411),'Data'!I411*100,"")</x:f>
        <x:v>5.88</x:v>
      </x:c>
      <x:c r="I3827" s="34" t="str">
        <x:v>PASS</x:v>
      </x:c>
      <x:c r="J3827" s="34" t="str">
        <x:v>PASS</x:v>
      </x:c>
      <x:c r="K3827" s="34" t="str">
        <x:v>PASS</x:v>
      </x:c>
      <x:c r="L3827" s="34" t="str">
        <x:v>PASS</x:v>
      </x:c>
      <x:c r="M3827" s="34" t="str">
        <x:v>numeric coverage for applicable metric</x:v>
      </x:c>
      <x:c r="N3827" s="34" t="str">
        <x:v>Feedback-Directed Random Test Generation/Result/JacksonDatabind_18/result.json</x:v>
      </x:c>
      <x:c r="O3827" s="38" t="n">
        <x:f>IF(AND(G3827="RECORDED",ISNUMBER(H3827)),H3827,"")</x:f>
        <x:v>5.88</x:v>
      </x:c>
      <x:c r="P3827" s="34" t="str">
        <x:v>NOT_REVEALING</x:v>
      </x:c>
      <x:c r="Q3827" s="34" t="str">
        <x:v>Feedback-Directed Random Test Generation/Result/JacksonDatabind_18/result.json</x:v>
      </x:c>
    </x:row>
    <x:row r="3828">
      <x:c r="A3828" s="34" t="str">
        <x:v>randoop</x:v>
      </x:c>
      <x:c r="B3828" s="34" t="str">
        <x:v>JacksonDatabind</x:v>
      </x:c>
      <x:c r="C3828" s="34" t="str">
        <x:v>Round1</x:v>
      </x:c>
      <x:c r="D3828" s="34" t="str">
        <x:v>JacksonDatabind_19</x:v>
      </x:c>
      <x:c r="E3828" s="34" t="str">
        <x:v>Condition</x:v>
      </x:c>
      <x:c r="F3828" s="34" t="n">
        <x:v>230</x:v>
      </x:c>
      <x:c r="G3828" s="34" t="str">
        <x:v>RECORDED</x:v>
      </x:c>
      <x:c r="H3828" s="38" t="n">
        <x:f>IF(ISNUMBER('Data'!I412),'Data'!I412*100,"")</x:f>
        <x:v>15.65</x:v>
      </x:c>
      <x:c r="I3828" s="34" t="str">
        <x:v>PASS</x:v>
      </x:c>
      <x:c r="J3828" s="34" t="str">
        <x:v>PASS</x:v>
      </x:c>
      <x:c r="K3828" s="34" t="str">
        <x:v>PASS</x:v>
      </x:c>
      <x:c r="L3828" s="34" t="str">
        <x:v>PASS</x:v>
      </x:c>
      <x:c r="M3828" s="34" t="str">
        <x:v>numeric coverage for applicable metric</x:v>
      </x:c>
      <x:c r="N3828" s="34" t="str">
        <x:v>Feedback-Directed Random Test Generation/Result/JacksonDatabind_19/result.json</x:v>
      </x:c>
      <x:c r="O3828" s="38" t="n">
        <x:f>IF(AND(G3828="RECORDED",ISNUMBER(H3828)),H3828,"")</x:f>
        <x:v>15.65</x:v>
      </x:c>
      <x:c r="P3828" s="34" t="str">
        <x:v>NOT_REVEALING</x:v>
      </x:c>
      <x:c r="Q3828" s="34" t="str">
        <x:v>Feedback-Directed Random Test Generation/Result/JacksonDatabind_19/result.json</x:v>
      </x:c>
    </x:row>
    <x:row r="3829">
      <x:c r="A3829" s="34" t="str">
        <x:v>randoop</x:v>
      </x:c>
      <x:c r="B3829" s="34" t="str">
        <x:v>JacksonDatabind</x:v>
      </x:c>
      <x:c r="C3829" s="34" t="str">
        <x:v>Round1</x:v>
      </x:c>
      <x:c r="D3829" s="34" t="str">
        <x:v>JacksonDatabind_20</x:v>
      </x:c>
      <x:c r="E3829" s="34" t="str">
        <x:v>Condition</x:v>
      </x:c>
      <x:c r="F3829" s="34" t="n">
        <x:v>84</x:v>
      </x:c>
      <x:c r="G3829" s="34" t="str">
        <x:v>RECORDED</x:v>
      </x:c>
      <x:c r="H3829" s="38" t="n">
        <x:f>IF(ISNUMBER('Data'!I413),'Data'!I413*100,"")</x:f>
        <x:v>77.38</x:v>
      </x:c>
      <x:c r="I3829" s="34" t="str">
        <x:v>PASS</x:v>
      </x:c>
      <x:c r="J3829" s="34" t="str">
        <x:v>PASS</x:v>
      </x:c>
      <x:c r="K3829" s="34" t="str">
        <x:v>PASS</x:v>
      </x:c>
      <x:c r="L3829" s="34" t="str">
        <x:v>PASS</x:v>
      </x:c>
      <x:c r="M3829" s="34" t="str">
        <x:v>numeric coverage for applicable metric</x:v>
      </x:c>
      <x:c r="N3829" s="34" t="str">
        <x:v>Feedback-Directed Random Test Generation/Result/JacksonDatabind_20/result.json</x:v>
      </x:c>
      <x:c r="O3829" s="38" t="n">
        <x:f>IF(AND(G3829="RECORDED",ISNUMBER(H3829)),H3829,"")</x:f>
        <x:v>77.38</x:v>
      </x:c>
      <x:c r="P3829" s="34" t="str">
        <x:v>NOT_REVEALING</x:v>
      </x:c>
      <x:c r="Q3829" s="34" t="str">
        <x:v>Feedback-Directed Random Test Generation/Result/JacksonDatabind_20/result.json</x:v>
      </x:c>
    </x:row>
    <x:row r="3830">
      <x:c r="A3830" s="34" t="str">
        <x:v>randoop</x:v>
      </x:c>
      <x:c r="B3830" s="34" t="str">
        <x:v>JacksonDatabind</x:v>
      </x:c>
      <x:c r="C3830" s="34" t="str">
        <x:v>Round1</x:v>
      </x:c>
      <x:c r="D3830" s="34" t="str">
        <x:v>JacksonDatabind_21</x:v>
      </x:c>
      <x:c r="E3830" s="34" t="str">
        <x:v>Condition</x:v>
      </x:c>
      <x:c r="F3830" s="34" t="n">
        <x:v>249</x:v>
      </x:c>
      <x:c r="G3830" s="34" t="str">
        <x:v>RECORDED</x:v>
      </x:c>
      <x:c r="H3830" s="38" t="n">
        <x:f>IF(ISNUMBER('Data'!I414),'Data'!I414*100,"")</x:f>
        <x:v>2.01</x:v>
      </x:c>
      <x:c r="I3830" s="34" t="str">
        <x:v>PASS</x:v>
      </x:c>
      <x:c r="J3830" s="34" t="str">
        <x:v>PASS</x:v>
      </x:c>
      <x:c r="K3830" s="34" t="str">
        <x:v>PASS</x:v>
      </x:c>
      <x:c r="L3830" s="34" t="str">
        <x:v>PASS</x:v>
      </x:c>
      <x:c r="M3830" s="34" t="str">
        <x:v>numeric coverage for applicable metric</x:v>
      </x:c>
      <x:c r="N3830" s="34" t="str">
        <x:v>Feedback-Directed Random Test Generation/Result/JacksonDatabind_21/result.json</x:v>
      </x:c>
      <x:c r="O3830" s="38" t="n">
        <x:f>IF(AND(G3830="RECORDED",ISNUMBER(H3830)),H3830,"")</x:f>
        <x:v>2.01</x:v>
      </x:c>
      <x:c r="P3830" s="34" t="str">
        <x:v>NOT_REVEALING</x:v>
      </x:c>
      <x:c r="Q3830" s="34" t="str">
        <x:v>Feedback-Directed Random Test Generation/Result/JacksonDatabind_21/result.json</x:v>
      </x:c>
    </x:row>
    <x:row r="3831">
      <x:c r="A3831" s="34" t="str">
        <x:v>randoop</x:v>
      </x:c>
      <x:c r="B3831" s="34" t="str">
        <x:v>JacksonDatabind</x:v>
      </x:c>
      <x:c r="C3831" s="34" t="str">
        <x:v>Round1</x:v>
      </x:c>
      <x:c r="D3831" s="34" t="str">
        <x:v>JacksonDatabind_22</x:v>
      </x:c>
      <x:c r="E3831" s="34" t="str">
        <x:v>Condition</x:v>
      </x:c>
      <x:c r="F3831" s="34" t="n">
        <x:v>409</x:v>
      </x:c>
      <x:c r="G3831" s="34" t="str">
        <x:v>RECORDED</x:v>
      </x:c>
      <x:c r="H3831" s="38" t="n">
        <x:f>IF(ISNUMBER('Data'!I415),'Data'!I415*100,"")</x:f>
        <x:v>3.42</x:v>
      </x:c>
      <x:c r="I3831" s="34" t="str">
        <x:v>PASS</x:v>
      </x:c>
      <x:c r="J3831" s="34" t="str">
        <x:v>PASS</x:v>
      </x:c>
      <x:c r="K3831" s="34" t="str">
        <x:v>PASS</x:v>
      </x:c>
      <x:c r="L3831" s="34" t="str">
        <x:v>PASS</x:v>
      </x:c>
      <x:c r="M3831" s="34" t="str">
        <x:v>numeric coverage for applicable metric</x:v>
      </x:c>
      <x:c r="N3831" s="34" t="str">
        <x:v>Feedback-Directed Random Test Generation/Result/JacksonDatabind_22/result.json</x:v>
      </x:c>
      <x:c r="O3831" s="38" t="n">
        <x:f>IF(AND(G3831="RECORDED",ISNUMBER(H3831)),H3831,"")</x:f>
        <x:v>3.42</x:v>
      </x:c>
      <x:c r="P3831" s="34" t="str">
        <x:v>NOT_AVAILABLE</x:v>
      </x:c>
      <x:c r="Q3831" s="34" t="str">
        <x:v>Feedback-Directed Random Test Generation/Result/JacksonDatabind_22/result.json</x:v>
      </x:c>
    </x:row>
    <x:row r="3832">
      <x:c r="A3832" s="34" t="str">
        <x:v>randoop</x:v>
      </x:c>
      <x:c r="B3832" s="34" t="str">
        <x:v>JacksonDatabind</x:v>
      </x:c>
      <x:c r="C3832" s="34" t="str">
        <x:v>Round1</x:v>
      </x:c>
      <x:c r="D3832" s="34" t="str">
        <x:v>JacksonDatabind_23</x:v>
      </x:c>
      <x:c r="E3832" s="34" t="str">
        <x:v>Condition</x:v>
      </x:c>
      <x:c r="F3832" s="34" t="n">
        <x:v>20</x:v>
      </x:c>
      <x:c r="G3832" s="34" t="str">
        <x:v>RECORDED</x:v>
      </x:c>
      <x:c r="H3832" s="38" t="n">
        <x:f>IF(ISNUMBER('Data'!I416),'Data'!I416*100,"")</x:f>
        <x:v>40</x:v>
      </x:c>
      <x:c r="I3832" s="34" t="str">
        <x:v>PASS</x:v>
      </x:c>
      <x:c r="J3832" s="34" t="str">
        <x:v>PASS</x:v>
      </x:c>
      <x:c r="K3832" s="34" t="str">
        <x:v>PASS</x:v>
      </x:c>
      <x:c r="L3832" s="34" t="str">
        <x:v>PASS</x:v>
      </x:c>
      <x:c r="M3832" s="34" t="str">
        <x:v>numeric coverage for applicable metric</x:v>
      </x:c>
      <x:c r="N3832" s="34" t="str">
        <x:v>Feedback-Directed Random Test Generation/Result/JacksonDatabind_23/result.json</x:v>
      </x:c>
      <x:c r="O3832" s="38" t="n">
        <x:f>IF(AND(G3832="RECORDED",ISNUMBER(H3832)),H3832,"")</x:f>
        <x:v>40</x:v>
      </x:c>
      <x:c r="P3832" s="34" t="str">
        <x:v>INCONCLUSIVE</x:v>
      </x:c>
      <x:c r="Q3832" s="34" t="str">
        <x:v>Feedback-Directed Random Test Generation/Result/JacksonDatabind_23/result.json</x:v>
      </x:c>
    </x:row>
    <x:row r="3833">
      <x:c r="A3833" s="34" t="str">
        <x:v>randoop</x:v>
      </x:c>
      <x:c r="B3833" s="34" t="str">
        <x:v>JacksonDatabind</x:v>
      </x:c>
      <x:c r="C3833" s="34" t="str">
        <x:v>Round1</x:v>
      </x:c>
      <x:c r="D3833" s="34" t="str">
        <x:v>JacksonDatabind_24</x:v>
      </x:c>
      <x:c r="E3833" s="34" t="str">
        <x:v>Condition</x:v>
      </x:c>
      <x:c r="F3833" s="34" t="n">
        <x:v>26</x:v>
      </x:c>
      <x:c r="G3833" s="34" t="str">
        <x:v>RECORDED</x:v>
      </x:c>
      <x:c r="H3833" s="38" t="n">
        <x:f>IF(ISNUMBER('Data'!I417),'Data'!I417*100,"")</x:f>
        <x:v>0</x:v>
      </x:c>
      <x:c r="I3833" s="34" t="str">
        <x:v>PASS</x:v>
      </x:c>
      <x:c r="J3833" s="34" t="str">
        <x:v>PASS</x:v>
      </x:c>
      <x:c r="K3833" s="34" t="str">
        <x:v>PASS</x:v>
      </x:c>
      <x:c r="L3833" s="34" t="str">
        <x:v>PASS</x:v>
      </x:c>
      <x:c r="M3833" s="34" t="str">
        <x:v>numeric coverage for applicable metric</x:v>
      </x:c>
      <x:c r="N3833" s="34" t="str">
        <x:v>Feedback-Directed Random Test Generation/Result/JacksonDatabind_24/result.json</x:v>
      </x:c>
      <x:c r="O3833" s="38" t="n">
        <x:f>IF(AND(G3833="RECORDED",ISNUMBER(H3833)),H3833,"")</x:f>
        <x:v>0</x:v>
      </x:c>
      <x:c r="P3833" s="34" t="str">
        <x:v>NOT_REVEALING</x:v>
      </x:c>
      <x:c r="Q3833" s="34" t="str">
        <x:v>Feedback-Directed Random Test Generation/Result/JacksonDatabind_24/result.json</x:v>
      </x:c>
    </x:row>
    <x:row r="3834">
      <x:c r="A3834" s="34" t="str">
        <x:v>randoop</x:v>
      </x:c>
      <x:c r="B3834" s="34" t="str">
        <x:v>JacksonDatabind</x:v>
      </x:c>
      <x:c r="C3834" s="34" t="str">
        <x:v>Round1</x:v>
      </x:c>
      <x:c r="D3834" s="34" t="str">
        <x:v>JacksonDatabind_25</x:v>
      </x:c>
      <x:c r="E3834" s="34" t="str">
        <x:v>Condition</x:v>
      </x:c>
      <x:c r="F3834" s="34" t="n">
        <x:v>770</x:v>
      </x:c>
      <x:c r="G3834" s="34" t="str">
        <x:v>RECORDED</x:v>
      </x:c>
      <x:c r="H3834" s="38" t="n">
        <x:f>IF(ISNUMBER('Data'!I418),'Data'!I418*100,"")</x:f>
        <x:v>0.13</x:v>
      </x:c>
      <x:c r="I3834" s="34" t="str">
        <x:v>PASS</x:v>
      </x:c>
      <x:c r="J3834" s="34" t="str">
        <x:v>PASS</x:v>
      </x:c>
      <x:c r="K3834" s="34" t="str">
        <x:v>PASS</x:v>
      </x:c>
      <x:c r="L3834" s="34" t="str">
        <x:v>PASS</x:v>
      </x:c>
      <x:c r="M3834" s="34" t="str">
        <x:v>numeric coverage for applicable metric</x:v>
      </x:c>
      <x:c r="N3834" s="34" t="str">
        <x:v>Feedback-Directed Random Test Generation/Result/JacksonDatabind_25/result.json</x:v>
      </x:c>
      <x:c r="O3834" s="38" t="n">
        <x:f>IF(AND(G3834="RECORDED",ISNUMBER(H3834)),H3834,"")</x:f>
        <x:v>0.13</x:v>
      </x:c>
      <x:c r="P3834" s="34" t="str">
        <x:v>NOT_REVEALING</x:v>
      </x:c>
      <x:c r="Q3834" s="34" t="str">
        <x:v>Feedback-Directed Random Test Generation/Result/JacksonDatabind_25/result.json</x:v>
      </x:c>
    </x:row>
    <x:row r="3835">
      <x:c r="A3835" s="34" t="str">
        <x:v>randoop</x:v>
      </x:c>
      <x:c r="B3835" s="34" t="str">
        <x:v>JacksonDatabind</x:v>
      </x:c>
      <x:c r="C3835" s="34" t="str">
        <x:v>Round1</x:v>
      </x:c>
      <x:c r="D3835" s="34" t="str">
        <x:v>JacksonDatabind_26</x:v>
      </x:c>
      <x:c r="E3835" s="34" t="str">
        <x:v>Condition</x:v>
      </x:c>
      <x:c r="F3835" s="34" t="n">
        <x:v>148</x:v>
      </x:c>
      <x:c r="G3835" s="34" t="str">
        <x:v>RECORDED</x:v>
      </x:c>
      <x:c r="H3835" s="38" t="n">
        <x:f>IF(ISNUMBER('Data'!I419),'Data'!I419*100,"")</x:f>
        <x:v>23.65</x:v>
      </x:c>
      <x:c r="I3835" s="34" t="str">
        <x:v>PASS</x:v>
      </x:c>
      <x:c r="J3835" s="34" t="str">
        <x:v>PASS</x:v>
      </x:c>
      <x:c r="K3835" s="34" t="str">
        <x:v>PASS</x:v>
      </x:c>
      <x:c r="L3835" s="34" t="str">
        <x:v>FAIL</x:v>
      </x:c>
      <x:c r="M3835" s="34" t="str">
        <x:v>numeric coverage for applicable metric</x:v>
      </x:c>
      <x:c r="N3835" s="34" t="str">
        <x:v>Feedback-Directed Random Test Generation/Result/JacksonDatabind_26/result.json</x:v>
      </x:c>
      <x:c r="O3835" s="38" t="n">
        <x:f>IF(AND(G3835="RECORDED",ISNUMBER(H3835)),H3835,"")</x:f>
        <x:v>23.65</x:v>
      </x:c>
      <x:c r="P3835" s="34" t="str">
        <x:v>INCONCLUSIVE</x:v>
      </x:c>
      <x:c r="Q3835" s="34" t="str">
        <x:v>Feedback-Directed Random Test Generation/Result/JacksonDatabind_26/result.json</x:v>
      </x:c>
    </x:row>
    <x:row r="3836">
      <x:c r="A3836" s="34" t="str">
        <x:v>randoop</x:v>
      </x:c>
      <x:c r="B3836" s="34" t="str">
        <x:v>JacksonDatabind</x:v>
      </x:c>
      <x:c r="C3836" s="34" t="str">
        <x:v>Round1</x:v>
      </x:c>
      <x:c r="D3836" s="34" t="str">
        <x:v>JacksonDatabind_27</x:v>
      </x:c>
      <x:c r="E3836" s="34" t="str">
        <x:v>Condition</x:v>
      </x:c>
      <x:c r="F3836" s="34" t="n">
        <x:v>222</x:v>
      </x:c>
      <x:c r="G3836" s="34" t="str">
        <x:v>RECORDED</x:v>
      </x:c>
      <x:c r="H3836" s="38" t="n">
        <x:f>IF(ISNUMBER('Data'!I420),'Data'!I420*100,"")</x:f>
        <x:v>0</x:v>
      </x:c>
      <x:c r="I3836" s="34" t="str">
        <x:v>PASS</x:v>
      </x:c>
      <x:c r="J3836" s="34" t="str">
        <x:v>PASS</x:v>
      </x:c>
      <x:c r="K3836" s="34" t="str">
        <x:v>PASS</x:v>
      </x:c>
      <x:c r="L3836" s="34" t="str">
        <x:v>PASS</x:v>
      </x:c>
      <x:c r="M3836" s="34" t="str">
        <x:v>numeric coverage for applicable metric</x:v>
      </x:c>
      <x:c r="N3836" s="34" t="str">
        <x:v>Feedback-Directed Random Test Generation/Result/JacksonDatabind_27/result.json</x:v>
      </x:c>
      <x:c r="O3836" s="38" t="n">
        <x:f>IF(AND(G3836="RECORDED",ISNUMBER(H3836)),H3836,"")</x:f>
        <x:v>0</x:v>
      </x:c>
      <x:c r="P3836" s="34" t="str">
        <x:v>NOT_REVEALING</x:v>
      </x:c>
      <x:c r="Q3836" s="34" t="str">
        <x:v>Feedback-Directed Random Test Generation/Result/JacksonDatabind_27/result.json</x:v>
      </x:c>
    </x:row>
    <x:row r="3837">
      <x:c r="A3837" s="34" t="str">
        <x:v>randoop</x:v>
      </x:c>
      <x:c r="B3837" s="34" t="str">
        <x:v>JacksonDatabind</x:v>
      </x:c>
      <x:c r="C3837" s="34" t="str">
        <x:v>Round1</x:v>
      </x:c>
      <x:c r="D3837" s="34" t="str">
        <x:v>JacksonDatabind_28</x:v>
      </x:c>
      <x:c r="E3837" s="34" t="str">
        <x:v>Condition</x:v>
      </x:c>
      <x:c r="F3837" s="34" t="n">
        <x:v>13</x:v>
      </x:c>
      <x:c r="G3837" s="34" t="str">
        <x:v>RECORDED</x:v>
      </x:c>
      <x:c r="H3837" s="38" t="n">
        <x:f>IF(ISNUMBER('Data'!I421),'Data'!I421*100,"")</x:f>
        <x:v>0</x:v>
      </x:c>
      <x:c r="I3837" s="34" t="str">
        <x:v>PASS</x:v>
      </x:c>
      <x:c r="J3837" s="34" t="str">
        <x:v>PASS</x:v>
      </x:c>
      <x:c r="K3837" s="34" t="str">
        <x:v>PASS</x:v>
      </x:c>
      <x:c r="L3837" s="34" t="str">
        <x:v>PASS</x:v>
      </x:c>
      <x:c r="M3837" s="34" t="str">
        <x:v>numeric coverage for applicable metric</x:v>
      </x:c>
      <x:c r="N3837" s="34" t="str">
        <x:v>Feedback-Directed Random Test Generation/Result/JacksonDatabind_28/result.json</x:v>
      </x:c>
      <x:c r="O3837" s="38" t="n">
        <x:f>IF(AND(G3837="RECORDED",ISNUMBER(H3837)),H3837,"")</x:f>
        <x:v>0</x:v>
      </x:c>
      <x:c r="P3837" s="34" t="str">
        <x:v>NOT_REVEALING</x:v>
      </x:c>
      <x:c r="Q3837" s="34" t="str">
        <x:v>Feedback-Directed Random Test Generation/Result/JacksonDatabind_28/result.json</x:v>
      </x:c>
    </x:row>
    <x:row r="3838">
      <x:c r="A3838" s="34" t="str">
        <x:v>randoop</x:v>
      </x:c>
      <x:c r="B3838" s="34" t="str">
        <x:v>JacksonDatabind</x:v>
      </x:c>
      <x:c r="C3838" s="34" t="str">
        <x:v>Round1</x:v>
      </x:c>
      <x:c r="D3838" s="34" t="str">
        <x:v>JacksonDatabind_29</x:v>
      </x:c>
      <x:c r="E3838" s="34" t="str">
        <x:v>Condition</x:v>
      </x:c>
      <x:c r="F3838" s="34" t="n">
        <x:v>62</x:v>
      </x:c>
      <x:c r="G3838" s="34" t="str">
        <x:v>RECORDED</x:v>
      </x:c>
      <x:c r="H3838" s="38" t="n">
        <x:f>IF(ISNUMBER('Data'!I422),'Data'!I422*100,"")</x:f>
        <x:v>8.06</x:v>
      </x:c>
      <x:c r="I3838" s="34" t="str">
        <x:v>PASS</x:v>
      </x:c>
      <x:c r="J3838" s="34" t="str">
        <x:v>PASS</x:v>
      </x:c>
      <x:c r="K3838" s="34" t="str">
        <x:v>PASS</x:v>
      </x:c>
      <x:c r="L3838" s="34" t="str">
        <x:v>PASS</x:v>
      </x:c>
      <x:c r="M3838" s="34" t="str">
        <x:v>numeric coverage for applicable metric</x:v>
      </x:c>
      <x:c r="N3838" s="34" t="str">
        <x:v>Feedback-Directed Random Test Generation/Result/JacksonDatabind_29/result.json</x:v>
      </x:c>
      <x:c r="O3838" s="38" t="n">
        <x:f>IF(AND(G3838="RECORDED",ISNUMBER(H3838)),H3838,"")</x:f>
        <x:v>8.06</x:v>
      </x:c>
      <x:c r="P3838" s="34" t="str">
        <x:v>NOT_REVEALING</x:v>
      </x:c>
      <x:c r="Q3838" s="34" t="str">
        <x:v>Feedback-Directed Random Test Generation/Result/JacksonDatabind_29/result.json</x:v>
      </x:c>
    </x:row>
    <x:row r="3839">
      <x:c r="A3839" s="34" t="str">
        <x:v>randoop</x:v>
      </x:c>
      <x:c r="B3839" s="34" t="str">
        <x:v>JacksonDatabind</x:v>
      </x:c>
      <x:c r="C3839" s="34" t="str">
        <x:v>Round1</x:v>
      </x:c>
      <x:c r="D3839" s="34" t="str">
        <x:v>JacksonDatabind_30</x:v>
      </x:c>
      <x:c r="E3839" s="34" t="str">
        <x:v>Condition</x:v>
      </x:c>
      <x:c r="F3839" s="34" t="n">
        <x:v>0</x:v>
      </x:c>
      <x:c r="G3839" s="34" t="str">
        <x:v>A</x:v>
      </x:c>
      <x:c r="H3839" s="38" t="str">
        <x:f>IF(ISNUMBER('Data'!I423),'Data'!I423*100,"")</x:f>
      </x:c>
      <x:c r="I3839" s="34"/>
      <x:c r="J3839" s="34"/>
      <x:c r="K3839" s="34"/>
      <x:c r="L3839" s="34" t="str">
        <x:v>NOT_RUN</x:v>
      </x:c>
      <x:c r="M3839" s="34" t="str">
        <x:v>Latest same-round generation failed; older files/results are excluded</x:v>
      </x:c>
      <x:c r="N3839" s="34" t="str">
        <x:v>Feedback-Directed Random Test Generation/report.csv</x:v>
      </x:c>
      <x:c r="O3839" s="38" t="str">
        <x:f>IF(AND(G3839="RECORDED",ISNUMBER(H3839)),H3839,"")</x:f>
      </x:c>
      <x:c r="P3839" s="34" t="str">
        <x:v>FAIL</x:v>
      </x:c>
      <x:c r="Q3839" s="34"/>
    </x:row>
    <x:row r="3840">
      <x:c r="A3840" s="34" t="str">
        <x:v>randoop</x:v>
      </x:c>
      <x:c r="B3840" s="34" t="str">
        <x:v>JacksonDatabind</x:v>
      </x:c>
      <x:c r="C3840" s="34" t="str">
        <x:v>Round1</x:v>
      </x:c>
      <x:c r="D3840" s="34" t="str">
        <x:v>JacksonDatabind_31</x:v>
      </x:c>
      <x:c r="E3840" s="34" t="str">
        <x:v>Condition</x:v>
      </x:c>
      <x:c r="F3840" s="34" t="n">
        <x:v>342</x:v>
      </x:c>
      <x:c r="G3840" s="34" t="str">
        <x:v>RECORDED</x:v>
      </x:c>
      <x:c r="H3840" s="38" t="n">
        <x:f>IF(ISNUMBER('Data'!I424),'Data'!I424*100,"")</x:f>
        <x:v>62.86999999999999</x:v>
      </x:c>
      <x:c r="I3840" s="34" t="str">
        <x:v>PASS</x:v>
      </x:c>
      <x:c r="J3840" s="34" t="str">
        <x:v>PASS</x:v>
      </x:c>
      <x:c r="K3840" s="34" t="str">
        <x:v>PASS</x:v>
      </x:c>
      <x:c r="L3840" s="34" t="str">
        <x:v>PASS</x:v>
      </x:c>
      <x:c r="M3840" s="34" t="str">
        <x:v>numeric coverage for applicable metric</x:v>
      </x:c>
      <x:c r="N3840" s="34" t="str">
        <x:v>Feedback-Directed Random Test Generation/Result/JacksonDatabind_31/result.json</x:v>
      </x:c>
      <x:c r="O3840" s="38" t="n">
        <x:f>IF(AND(G3840="RECORDED",ISNUMBER(H3840)),H3840,"")</x:f>
        <x:v>62.86999999999999</x:v>
      </x:c>
      <x:c r="P3840" s="34" t="str">
        <x:v>NOT_REVEALING</x:v>
      </x:c>
      <x:c r="Q3840" s="34" t="str">
        <x:v>Feedback-Directed Random Test Generation/Result/JacksonDatabind_31/result.json</x:v>
      </x:c>
    </x:row>
    <x:row r="3841">
      <x:c r="A3841" s="34" t="str">
        <x:v>randoop</x:v>
      </x:c>
      <x:c r="B3841" s="34" t="str">
        <x:v>JacksonDatabind</x:v>
      </x:c>
      <x:c r="C3841" s="34" t="str">
        <x:v>Round1</x:v>
      </x:c>
      <x:c r="D3841" s="34" t="str">
        <x:v>JacksonDatabind_32</x:v>
      </x:c>
      <x:c r="E3841" s="34" t="str">
        <x:v>Condition</x:v>
      </x:c>
      <x:c r="F3841" s="34" t="n">
        <x:v>145</x:v>
      </x:c>
      <x:c r="G3841" s="34" t="str">
        <x:v>RECORDED</x:v>
      </x:c>
      <x:c r="H3841" s="38" t="n">
        <x:f>IF(ISNUMBER('Data'!I425),'Data'!I425*100,"")</x:f>
        <x:v>7.59</x:v>
      </x:c>
      <x:c r="I3841" s="34" t="str">
        <x:v>PASS</x:v>
      </x:c>
      <x:c r="J3841" s="34" t="str">
        <x:v>PASS</x:v>
      </x:c>
      <x:c r="K3841" s="34" t="str">
        <x:v>PASS</x:v>
      </x:c>
      <x:c r="L3841" s="34" t="str">
        <x:v>FAIL</x:v>
      </x:c>
      <x:c r="M3841" s="34" t="str">
        <x:v>numeric coverage for applicable metric</x:v>
      </x:c>
      <x:c r="N3841" s="34" t="str">
        <x:v>Feedback-Directed Random Test Generation/Result/JacksonDatabind_32/result.json</x:v>
      </x:c>
      <x:c r="O3841" s="38" t="n">
        <x:f>IF(AND(G3841="RECORDED",ISNUMBER(H3841)),H3841,"")</x:f>
        <x:v>7.59</x:v>
      </x:c>
      <x:c r="P3841" s="34" t="str">
        <x:v>INCONCLUSIVE</x:v>
      </x:c>
      <x:c r="Q3841" s="34" t="str">
        <x:v>Feedback-Directed Random Test Generation/Result/JacksonDatabind_32/result.json</x:v>
      </x:c>
    </x:row>
    <x:row r="3842">
      <x:c r="A3842" s="34" t="str">
        <x:v>randoop</x:v>
      </x:c>
      <x:c r="B3842" s="34" t="str">
        <x:v>JacksonDatabind</x:v>
      </x:c>
      <x:c r="C3842" s="34" t="str">
        <x:v>Round1</x:v>
      </x:c>
      <x:c r="D3842" s="34" t="str">
        <x:v>JacksonDatabind_33</x:v>
      </x:c>
      <x:c r="E3842" s="34" t="str">
        <x:v>Condition</x:v>
      </x:c>
      <x:c r="F3842" s="34" t="n">
        <x:v>276</x:v>
      </x:c>
      <x:c r="G3842" s="34" t="str">
        <x:v>RECORDED</x:v>
      </x:c>
      <x:c r="H3842" s="38" t="n">
        <x:f>IF(ISNUMBER('Data'!I426),'Data'!I426*100,"")</x:f>
        <x:v>1.81</x:v>
      </x:c>
      <x:c r="I3842" s="34" t="str">
        <x:v>PASS</x:v>
      </x:c>
      <x:c r="J3842" s="34" t="str">
        <x:v>PASS</x:v>
      </x:c>
      <x:c r="K3842" s="34" t="str">
        <x:v>PASS</x:v>
      </x:c>
      <x:c r="L3842" s="34" t="str">
        <x:v>PASS</x:v>
      </x:c>
      <x:c r="M3842" s="34" t="str">
        <x:v>numeric coverage for applicable metric</x:v>
      </x:c>
      <x:c r="N3842" s="34" t="str">
        <x:v>Feedback-Directed Random Test Generation/Result/JacksonDatabind_33/result.json</x:v>
      </x:c>
      <x:c r="O3842" s="38" t="n">
        <x:f>IF(AND(G3842="RECORDED",ISNUMBER(H3842)),H3842,"")</x:f>
        <x:v>1.81</x:v>
      </x:c>
      <x:c r="P3842" s="34" t="str">
        <x:v>NOT_REVEALING</x:v>
      </x:c>
      <x:c r="Q3842" s="34" t="str">
        <x:v>Feedback-Directed Random Test Generation/Result/JacksonDatabind_33/result.json</x:v>
      </x:c>
    </x:row>
    <x:row r="3843">
      <x:c r="A3843" s="34" t="str">
        <x:v>randoop</x:v>
      </x:c>
      <x:c r="B3843" s="34" t="str">
        <x:v>JacksonDatabind</x:v>
      </x:c>
      <x:c r="C3843" s="34" t="str">
        <x:v>Round1</x:v>
      </x:c>
      <x:c r="D3843" s="34" t="str">
        <x:v>JacksonDatabind_34</x:v>
      </x:c>
      <x:c r="E3843" s="34" t="str">
        <x:v>Condition</x:v>
      </x:c>
      <x:c r="F3843" s="34" t="n">
        <x:v>24</x:v>
      </x:c>
      <x:c r="G3843" s="34" t="str">
        <x:v>RECORDED</x:v>
      </x:c>
      <x:c r="H3843" s="38" t="n">
        <x:f>IF(ISNUMBER('Data'!I427),'Data'!I427*100,"")</x:f>
        <x:v>75</x:v>
      </x:c>
      <x:c r="I3843" s="34" t="str">
        <x:v>PASS</x:v>
      </x:c>
      <x:c r="J3843" s="34" t="str">
        <x:v>PASS</x:v>
      </x:c>
      <x:c r="K3843" s="34" t="str">
        <x:v>PASS</x:v>
      </x:c>
      <x:c r="L3843" s="34" t="str">
        <x:v>PASS</x:v>
      </x:c>
      <x:c r="M3843" s="34" t="str">
        <x:v>numeric coverage for applicable metric</x:v>
      </x:c>
      <x:c r="N3843" s="34" t="str">
        <x:v>Feedback-Directed Random Test Generation/Result/JacksonDatabind_34/result.json</x:v>
      </x:c>
      <x:c r="O3843" s="38" t="n">
        <x:f>IF(AND(G3843="RECORDED",ISNUMBER(H3843)),H3843,"")</x:f>
        <x:v>75</x:v>
      </x:c>
      <x:c r="P3843" s="34" t="str">
        <x:v>NOT_REVEALING</x:v>
      </x:c>
      <x:c r="Q3843" s="34" t="str">
        <x:v>Feedback-Directed Random Test Generation/Result/JacksonDatabind_34/result.json</x:v>
      </x:c>
    </x:row>
    <x:row r="3844">
      <x:c r="A3844" s="34" t="str">
        <x:v>randoop</x:v>
      </x:c>
      <x:c r="B3844" s="34" t="str">
        <x:v>JacksonDatabind</x:v>
      </x:c>
      <x:c r="C3844" s="34" t="str">
        <x:v>Round1</x:v>
      </x:c>
      <x:c r="D3844" s="34" t="str">
        <x:v>JacksonDatabind_35</x:v>
      </x:c>
      <x:c r="E3844" s="34" t="str">
        <x:v>Condition</x:v>
      </x:c>
      <x:c r="F3844" s="34" t="n">
        <x:v>16</x:v>
      </x:c>
      <x:c r="G3844" s="34" t="str">
        <x:v>RECORDED</x:v>
      </x:c>
      <x:c r="H3844" s="38" t="n">
        <x:f>IF(ISNUMBER('Data'!I428),'Data'!I428*100,"")</x:f>
        <x:v>0</x:v>
      </x:c>
      <x:c r="I3844" s="34" t="str">
        <x:v>PASS</x:v>
      </x:c>
      <x:c r="J3844" s="34" t="str">
        <x:v>PASS</x:v>
      </x:c>
      <x:c r="K3844" s="34" t="str">
        <x:v>PASS</x:v>
      </x:c>
      <x:c r="L3844" s="34" t="str">
        <x:v>PASS</x:v>
      </x:c>
      <x:c r="M3844" s="34" t="str">
        <x:v>numeric coverage for applicable metric</x:v>
      </x:c>
      <x:c r="N3844" s="34" t="str">
        <x:v>Feedback-Directed Random Test Generation/Result/JacksonDatabind_35/result.json</x:v>
      </x:c>
      <x:c r="O3844" s="38" t="n">
        <x:f>IF(AND(G3844="RECORDED",ISNUMBER(H3844)),H3844,"")</x:f>
        <x:v>0</x:v>
      </x:c>
      <x:c r="P3844" s="34" t="str">
        <x:v>NOT_REVEALING</x:v>
      </x:c>
      <x:c r="Q3844" s="34" t="str">
        <x:v>Feedback-Directed Random Test Generation/Result/JacksonDatabind_35/result.json</x:v>
      </x:c>
    </x:row>
    <x:row r="3845">
      <x:c r="A3845" s="34" t="str">
        <x:v>randoop</x:v>
      </x:c>
      <x:c r="B3845" s="34" t="str">
        <x:v>JacksonDatabind</x:v>
      </x:c>
      <x:c r="C3845" s="34" t="str">
        <x:v>Round1</x:v>
      </x:c>
      <x:c r="D3845" s="34" t="str">
        <x:v>JacksonDatabind_36</x:v>
      </x:c>
      <x:c r="E3845" s="34" t="str">
        <x:v>Condition</x:v>
      </x:c>
      <x:c r="F3845" s="34" t="n">
        <x:v>130</x:v>
      </x:c>
      <x:c r="G3845" s="34" t="str">
        <x:v>RECORDED</x:v>
      </x:c>
      <x:c r="H3845" s="38" t="n">
        <x:f>IF(ISNUMBER('Data'!I429),'Data'!I429*100,"")</x:f>
        <x:v>68.46</x:v>
      </x:c>
      <x:c r="I3845" s="34" t="str">
        <x:v>PASS</x:v>
      </x:c>
      <x:c r="J3845" s="34" t="str">
        <x:v>PASS</x:v>
      </x:c>
      <x:c r="K3845" s="34" t="str">
        <x:v>PASS</x:v>
      </x:c>
      <x:c r="L3845" s="34" t="str">
        <x:v>FAIL</x:v>
      </x:c>
      <x:c r="M3845" s="34" t="str">
        <x:v>numeric coverage for applicable metric</x:v>
      </x:c>
      <x:c r="N3845" s="34" t="str">
        <x:v>Feedback-Directed Random Test Generation/Result/JacksonDatabind_36/result.json</x:v>
      </x:c>
      <x:c r="O3845" s="38" t="n">
        <x:f>IF(AND(G3845="RECORDED",ISNUMBER(H3845)),H3845,"")</x:f>
        <x:v>68.46</x:v>
      </x:c>
      <x:c r="P3845" s="34" t="str">
        <x:v>INCONCLUSIVE</x:v>
      </x:c>
      <x:c r="Q3845" s="34" t="str">
        <x:v>Feedback-Directed Random Test Generation/Result/JacksonDatabind_36/result.json</x:v>
      </x:c>
    </x:row>
    <x:row r="3846">
      <x:c r="A3846" s="34" t="str">
        <x:v>randoop</x:v>
      </x:c>
      <x:c r="B3846" s="34" t="str">
        <x:v>JacksonDatabind</x:v>
      </x:c>
      <x:c r="C3846" s="34" t="str">
        <x:v>Round1</x:v>
      </x:c>
      <x:c r="D3846" s="34" t="str">
        <x:v>JacksonDatabind_37</x:v>
      </x:c>
      <x:c r="E3846" s="34" t="str">
        <x:v>Condition</x:v>
      </x:c>
      <x:c r="F3846" s="34" t="n">
        <x:v>32</x:v>
      </x:c>
      <x:c r="G3846" s="34" t="str">
        <x:v>RECORDED</x:v>
      </x:c>
      <x:c r="H3846" s="38" t="n">
        <x:f>IF(ISNUMBER('Data'!I430),'Data'!I430*100,"")</x:f>
        <x:v>0</x:v>
      </x:c>
      <x:c r="I3846" s="34" t="str">
        <x:v>PASS</x:v>
      </x:c>
      <x:c r="J3846" s="34" t="str">
        <x:v>PASS</x:v>
      </x:c>
      <x:c r="K3846" s="34" t="str">
        <x:v>PASS</x:v>
      </x:c>
      <x:c r="L3846" s="34" t="str">
        <x:v>PASS</x:v>
      </x:c>
      <x:c r="M3846" s="34" t="str">
        <x:v>numeric coverage for applicable metric</x:v>
      </x:c>
      <x:c r="N3846" s="34" t="str">
        <x:v>Feedback-Directed Random Test Generation/Result/JacksonDatabind_37/result.json</x:v>
      </x:c>
      <x:c r="O3846" s="38" t="n">
        <x:f>IF(AND(G3846="RECORDED",ISNUMBER(H3846)),H3846,"")</x:f>
        <x:v>0</x:v>
      </x:c>
      <x:c r="P3846" s="34" t="str">
        <x:v>NOT_REVEALING</x:v>
      </x:c>
      <x:c r="Q3846" s="34" t="str">
        <x:v>Feedback-Directed Random Test Generation/Result/JacksonDatabind_37/result.json</x:v>
      </x:c>
    </x:row>
    <x:row r="3847">
      <x:c r="A3847" s="34" t="str">
        <x:v>randoop</x:v>
      </x:c>
      <x:c r="B3847" s="34" t="str">
        <x:v>JacksonDatabind</x:v>
      </x:c>
      <x:c r="C3847" s="34" t="str">
        <x:v>Round1</x:v>
      </x:c>
      <x:c r="D3847" s="34" t="str">
        <x:v>JacksonDatabind_38</x:v>
      </x:c>
      <x:c r="E3847" s="34" t="str">
        <x:v>Condition</x:v>
      </x:c>
      <x:c r="F3847" s="34" t="n">
        <x:v>42</x:v>
      </x:c>
      <x:c r="G3847" s="34" t="str">
        <x:v>RECORDED</x:v>
      </x:c>
      <x:c r="H3847" s="38" t="n">
        <x:f>IF(ISNUMBER('Data'!I431),'Data'!I431*100,"")</x:f>
        <x:v>0</x:v>
      </x:c>
      <x:c r="I3847" s="34" t="str">
        <x:v>PASS</x:v>
      </x:c>
      <x:c r="J3847" s="34" t="str">
        <x:v>PASS</x:v>
      </x:c>
      <x:c r="K3847" s="34" t="str">
        <x:v>PASS</x:v>
      </x:c>
      <x:c r="L3847" s="34" t="str">
        <x:v>PASS</x:v>
      </x:c>
      <x:c r="M3847" s="34" t="str">
        <x:v>numeric coverage for applicable metric</x:v>
      </x:c>
      <x:c r="N3847" s="34" t="str">
        <x:v>Feedback-Directed Random Test Generation/Result/JacksonDatabind_38/result.json</x:v>
      </x:c>
      <x:c r="O3847" s="38" t="n">
        <x:f>IF(AND(G3847="RECORDED",ISNUMBER(H3847)),H3847,"")</x:f>
        <x:v>0</x:v>
      </x:c>
      <x:c r="P3847" s="34" t="str">
        <x:v>NOT_REVEALING</x:v>
      </x:c>
      <x:c r="Q3847" s="34" t="str">
        <x:v>Feedback-Directed Random Test Generation/Result/JacksonDatabind_38/result.json</x:v>
      </x:c>
    </x:row>
    <x:row r="3848">
      <x:c r="A3848" s="34" t="str">
        <x:v>randoop</x:v>
      </x:c>
      <x:c r="B3848" s="34" t="str">
        <x:v>JacksonDatabind</x:v>
      </x:c>
      <x:c r="C3848" s="34" t="str">
        <x:v>Round1</x:v>
      </x:c>
      <x:c r="D3848" s="34" t="str">
        <x:v>JacksonDatabind_39</x:v>
      </x:c>
      <x:c r="E3848" s="34" t="str">
        <x:v>Condition</x:v>
      </x:c>
      <x:c r="F3848" s="34" t="n">
        <x:v>2</x:v>
      </x:c>
      <x:c r="G3848" s="34" t="str">
        <x:v>RECORDED</x:v>
      </x:c>
      <x:c r="H3848" s="38" t="n">
        <x:f>IF(ISNUMBER('Data'!I432),'Data'!I432*100,"")</x:f>
        <x:v>0</x:v>
      </x:c>
      <x:c r="I3848" s="34" t="str">
        <x:v>PASS</x:v>
      </x:c>
      <x:c r="J3848" s="34" t="str">
        <x:v>PASS</x:v>
      </x:c>
      <x:c r="K3848" s="34" t="str">
        <x:v>PASS</x:v>
      </x:c>
      <x:c r="L3848" s="34" t="str">
        <x:v>PASS</x:v>
      </x:c>
      <x:c r="M3848" s="34" t="str">
        <x:v>numeric coverage for applicable metric</x:v>
      </x:c>
      <x:c r="N3848" s="34" t="str">
        <x:v>Feedback-Directed Random Test Generation/Result/JacksonDatabind_39/result.json</x:v>
      </x:c>
      <x:c r="O3848" s="38" t="n">
        <x:f>IF(AND(G3848="RECORDED",ISNUMBER(H3848)),H3848,"")</x:f>
        <x:v>0</x:v>
      </x:c>
      <x:c r="P3848" s="34" t="str">
        <x:v>NOT_REVEALING</x:v>
      </x:c>
      <x:c r="Q3848" s="34" t="str">
        <x:v>Feedback-Directed Random Test Generation/Result/JacksonDatabind_39/result.json</x:v>
      </x:c>
    </x:row>
    <x:row r="3849">
      <x:c r="A3849" s="34" t="str">
        <x:v>randoop</x:v>
      </x:c>
      <x:c r="B3849" s="34" t="str">
        <x:v>JacksonDatabind</x:v>
      </x:c>
      <x:c r="C3849" s="34" t="str">
        <x:v>Round1</x:v>
      </x:c>
      <x:c r="D3849" s="34" t="str">
        <x:v>JacksonDatabind_40</x:v>
      </x:c>
      <x:c r="E3849" s="34" t="str">
        <x:v>Condition</x:v>
      </x:c>
      <x:c r="F3849" s="34" t="n">
        <x:v>130</x:v>
      </x:c>
      <x:c r="G3849" s="34" t="str">
        <x:v>RECORDED</x:v>
      </x:c>
      <x:c r="H3849" s="38" t="n">
        <x:f>IF(ISNUMBER('Data'!I433),'Data'!I433*100,"")</x:f>
        <x:v>1.54</x:v>
      </x:c>
      <x:c r="I3849" s="34" t="str">
        <x:v>PASS</x:v>
      </x:c>
      <x:c r="J3849" s="34" t="str">
        <x:v>PASS</x:v>
      </x:c>
      <x:c r="K3849" s="34" t="str">
        <x:v>PASS</x:v>
      </x:c>
      <x:c r="L3849" s="34" t="str">
        <x:v>PASS</x:v>
      </x:c>
      <x:c r="M3849" s="34" t="str">
        <x:v>numeric coverage for applicable metric</x:v>
      </x:c>
      <x:c r="N3849" s="34" t="str">
        <x:v>Feedback-Directed Random Test Generation/Result/JacksonDatabind_40/result.json</x:v>
      </x:c>
      <x:c r="O3849" s="38" t="n">
        <x:f>IF(AND(G3849="RECORDED",ISNUMBER(H3849)),H3849,"")</x:f>
        <x:v>1.54</x:v>
      </x:c>
      <x:c r="P3849" s="34" t="str">
        <x:v>INCONCLUSIVE</x:v>
      </x:c>
      <x:c r="Q3849" s="34" t="str">
        <x:v>Feedback-Directed Random Test Generation/Result/JacksonDatabind_40/result.json</x:v>
      </x:c>
    </x:row>
    <x:row r="3850">
      <x:c r="A3850" s="34" t="str">
        <x:v>randoop</x:v>
      </x:c>
      <x:c r="B3850" s="34" t="str">
        <x:v>JacksonDatabind</x:v>
      </x:c>
      <x:c r="C3850" s="34" t="str">
        <x:v>Round1</x:v>
      </x:c>
      <x:c r="D3850" s="34" t="str">
        <x:v>JacksonDatabind_41</x:v>
      </x:c>
      <x:c r="E3850" s="34" t="str">
        <x:v>Condition</x:v>
      </x:c>
      <x:c r="F3850" s="34" t="n">
        <x:v>213</x:v>
      </x:c>
      <x:c r="G3850" s="34" t="str">
        <x:v>RECORDED</x:v>
      </x:c>
      <x:c r="H3850" s="38" t="n">
        <x:f>IF(ISNUMBER('Data'!I434),'Data'!I434*100,"")</x:f>
        <x:v>12.21</x:v>
      </x:c>
      <x:c r="I3850" s="34" t="str">
        <x:v>PASS</x:v>
      </x:c>
      <x:c r="J3850" s="34" t="str">
        <x:v>PASS</x:v>
      </x:c>
      <x:c r="K3850" s="34" t="str">
        <x:v>PASS</x:v>
      </x:c>
      <x:c r="L3850" s="34" t="str">
        <x:v>PASS</x:v>
      </x:c>
      <x:c r="M3850" s="34" t="str">
        <x:v>numeric coverage for applicable metric</x:v>
      </x:c>
      <x:c r="N3850" s="34" t="str">
        <x:v>Feedback-Directed Random Test Generation/Result/JacksonDatabind_41/result.json</x:v>
      </x:c>
      <x:c r="O3850" s="38" t="n">
        <x:f>IF(AND(G3850="RECORDED",ISNUMBER(H3850)),H3850,"")</x:f>
        <x:v>12.21</x:v>
      </x:c>
      <x:c r="P3850" s="34" t="str">
        <x:v>NOT_REVEALING</x:v>
      </x:c>
      <x:c r="Q3850" s="34" t="str">
        <x:v>Feedback-Directed Random Test Generation/Result/JacksonDatabind_41/result.json</x:v>
      </x:c>
    </x:row>
    <x:row r="3851">
      <x:c r="A3851" s="34" t="str">
        <x:v>randoop</x:v>
      </x:c>
      <x:c r="B3851" s="34" t="str">
        <x:v>JacksonDatabind</x:v>
      </x:c>
      <x:c r="C3851" s="34" t="str">
        <x:v>Round1</x:v>
      </x:c>
      <x:c r="D3851" s="34" t="str">
        <x:v>JacksonDatabind_42</x:v>
      </x:c>
      <x:c r="E3851" s="34" t="str">
        <x:v>Condition</x:v>
      </x:c>
      <x:c r="F3851" s="34" t="n">
        <x:v>79</x:v>
      </x:c>
      <x:c r="G3851" s="34" t="str">
        <x:v>RECORDED</x:v>
      </x:c>
      <x:c r="H3851" s="38" t="n">
        <x:f>IF(ISNUMBER('Data'!I435),'Data'!I435*100,"")</x:f>
        <x:v>0</x:v>
      </x:c>
      <x:c r="I3851" s="34" t="str">
        <x:v>PASS</x:v>
      </x:c>
      <x:c r="J3851" s="34" t="str">
        <x:v>PASS</x:v>
      </x:c>
      <x:c r="K3851" s="34" t="str">
        <x:v>PASS</x:v>
      </x:c>
      <x:c r="L3851" s="34" t="str">
        <x:v>PASS</x:v>
      </x:c>
      <x:c r="M3851" s="34" t="str">
        <x:v>numeric coverage for applicable metric</x:v>
      </x:c>
      <x:c r="N3851" s="34" t="str">
        <x:v>Feedback-Directed Random Test Generation/Result/JacksonDatabind_42/result.json</x:v>
      </x:c>
      <x:c r="O3851" s="38" t="n">
        <x:f>IF(AND(G3851="RECORDED",ISNUMBER(H3851)),H3851,"")</x:f>
        <x:v>0</x:v>
      </x:c>
      <x:c r="P3851" s="34" t="str">
        <x:v>NOT_REVEALING</x:v>
      </x:c>
      <x:c r="Q3851" s="34" t="str">
        <x:v>Feedback-Directed Random Test Generation/Result/JacksonDatabind_42/result.json</x:v>
      </x:c>
    </x:row>
    <x:row r="3852">
      <x:c r="A3852" s="34" t="str">
        <x:v>randoop</x:v>
      </x:c>
      <x:c r="B3852" s="34" t="str">
        <x:v>JacksonDatabind</x:v>
      </x:c>
      <x:c r="C3852" s="34" t="str">
        <x:v>Round1</x:v>
      </x:c>
      <x:c r="D3852" s="34" t="str">
        <x:v>JacksonDatabind_43</x:v>
      </x:c>
      <x:c r="E3852" s="34" t="str">
        <x:v>Condition</x:v>
      </x:c>
      <x:c r="F3852" s="34" t="n">
        <x:v>6</x:v>
      </x:c>
      <x:c r="G3852" s="34" t="str">
        <x:v>RECORDED</x:v>
      </x:c>
      <x:c r="H3852" s="38" t="n">
        <x:f>IF(ISNUMBER('Data'!I436),'Data'!I436*100,"")</x:f>
        <x:v>0</x:v>
      </x:c>
      <x:c r="I3852" s="34" t="str">
        <x:v>PASS</x:v>
      </x:c>
      <x:c r="J3852" s="34" t="str">
        <x:v>PASS</x:v>
      </x:c>
      <x:c r="K3852" s="34" t="str">
        <x:v>PASS</x:v>
      </x:c>
      <x:c r="L3852" s="34" t="str">
        <x:v>PASS</x:v>
      </x:c>
      <x:c r="M3852" s="34" t="str">
        <x:v>numeric coverage for applicable metric</x:v>
      </x:c>
      <x:c r="N3852" s="34" t="str">
        <x:v>Feedback-Directed Random Test Generation/Result/JacksonDatabind_43/result.json</x:v>
      </x:c>
      <x:c r="O3852" s="38" t="n">
        <x:f>IF(AND(G3852="RECORDED",ISNUMBER(H3852)),H3852,"")</x:f>
        <x:v>0</x:v>
      </x:c>
      <x:c r="P3852" s="34" t="str">
        <x:v>NOT_REVEALING</x:v>
      </x:c>
      <x:c r="Q3852" s="34" t="str">
        <x:v>Feedback-Directed Random Test Generation/Result/JacksonDatabind_43/result.json</x:v>
      </x:c>
    </x:row>
    <x:row r="3853">
      <x:c r="A3853" s="34" t="str">
        <x:v>randoop</x:v>
      </x:c>
      <x:c r="B3853" s="34" t="str">
        <x:v>JacksonDatabind</x:v>
      </x:c>
      <x:c r="C3853" s="34" t="str">
        <x:v>Round1</x:v>
      </x:c>
      <x:c r="D3853" s="34" t="str">
        <x:v>JacksonDatabind_44</x:v>
      </x:c>
      <x:c r="E3853" s="34" t="str">
        <x:v>Condition</x:v>
      </x:c>
      <x:c r="F3853" s="34" t="n">
        <x:v>36</x:v>
      </x:c>
      <x:c r="G3853" s="34" t="str">
        <x:v>RECORDED</x:v>
      </x:c>
      <x:c r="H3853" s="38" t="n">
        <x:f>IF(ISNUMBER('Data'!I437),'Data'!I437*100,"")</x:f>
        <x:v>0</x:v>
      </x:c>
      <x:c r="I3853" s="34" t="str">
        <x:v>PASS</x:v>
      </x:c>
      <x:c r="J3853" s="34" t="str">
        <x:v>PASS</x:v>
      </x:c>
      <x:c r="K3853" s="34" t="str">
        <x:v>PASS</x:v>
      </x:c>
      <x:c r="L3853" s="34" t="str">
        <x:v>PASS</x:v>
      </x:c>
      <x:c r="M3853" s="34" t="str">
        <x:v>numeric coverage for applicable metric</x:v>
      </x:c>
      <x:c r="N3853" s="34" t="str">
        <x:v>Feedback-Directed Random Test Generation/Result/JacksonDatabind_44/result.json</x:v>
      </x:c>
      <x:c r="O3853" s="38" t="n">
        <x:f>IF(AND(G3853="RECORDED",ISNUMBER(H3853)),H3853,"")</x:f>
        <x:v>0</x:v>
      </x:c>
      <x:c r="P3853" s="34" t="str">
        <x:v>NOT_REVEALING</x:v>
      </x:c>
      <x:c r="Q3853" s="34" t="str">
        <x:v>Feedback-Directed Random Test Generation/Result/JacksonDatabind_44/result.json</x:v>
      </x:c>
    </x:row>
    <x:row r="3854">
      <x:c r="A3854" s="34" t="str">
        <x:v>randoop</x:v>
      </x:c>
      <x:c r="B3854" s="34" t="str">
        <x:v>JacksonDatabind</x:v>
      </x:c>
      <x:c r="C3854" s="34" t="str">
        <x:v>Round1</x:v>
      </x:c>
      <x:c r="D3854" s="34" t="str">
        <x:v>JacksonDatabind_45</x:v>
      </x:c>
      <x:c r="E3854" s="34" t="str">
        <x:v>Condition</x:v>
      </x:c>
      <x:c r="F3854" s="34" t="n">
        <x:v>32</x:v>
      </x:c>
      <x:c r="G3854" s="34" t="str">
        <x:v>RECORDED</x:v>
      </x:c>
      <x:c r="H3854" s="38" t="n">
        <x:f>IF(ISNUMBER('Data'!I438),'Data'!I438*100,"")</x:f>
        <x:v>0</x:v>
      </x:c>
      <x:c r="I3854" s="34" t="str">
        <x:v>PASS</x:v>
      </x:c>
      <x:c r="J3854" s="34" t="str">
        <x:v>PASS</x:v>
      </x:c>
      <x:c r="K3854" s="34" t="str">
        <x:v>PASS</x:v>
      </x:c>
      <x:c r="L3854" s="34" t="str">
        <x:v>PASS</x:v>
      </x:c>
      <x:c r="M3854" s="34" t="str">
        <x:v>numeric coverage for applicable metric</x:v>
      </x:c>
      <x:c r="N3854" s="34" t="str">
        <x:v>Feedback-Directed Random Test Generation/Result/JacksonDatabind_45/result.json</x:v>
      </x:c>
      <x:c r="O3854" s="38" t="n">
        <x:f>IF(AND(G3854="RECORDED",ISNUMBER(H3854)),H3854,"")</x:f>
        <x:v>0</x:v>
      </x:c>
      <x:c r="P3854" s="34" t="str">
        <x:v>NOT_REVEALING</x:v>
      </x:c>
      <x:c r="Q3854" s="34" t="str">
        <x:v>Feedback-Directed Random Test Generation/Result/JacksonDatabind_45/result.json</x:v>
      </x:c>
    </x:row>
    <x:row r="3855">
      <x:c r="A3855" s="34" t="str">
        <x:v>randoop</x:v>
      </x:c>
      <x:c r="B3855" s="34" t="str">
        <x:v>JacksonDatabind</x:v>
      </x:c>
      <x:c r="C3855" s="34" t="str">
        <x:v>Round1</x:v>
      </x:c>
      <x:c r="D3855" s="34" t="str">
        <x:v>JacksonDatabind_46</x:v>
      </x:c>
      <x:c r="E3855" s="34" t="str">
        <x:v>Condition</x:v>
      </x:c>
      <x:c r="F3855" s="34" t="n">
        <x:v>22</x:v>
      </x:c>
      <x:c r="G3855" s="34" t="str">
        <x:v>RECORDED</x:v>
      </x:c>
      <x:c r="H3855" s="38" t="n">
        <x:f>IF(ISNUMBER('Data'!I439),'Data'!I439*100,"")</x:f>
        <x:v>0</x:v>
      </x:c>
      <x:c r="I3855" s="34" t="str">
        <x:v>PASS</x:v>
      </x:c>
      <x:c r="J3855" s="34" t="str">
        <x:v>PASS</x:v>
      </x:c>
      <x:c r="K3855" s="34" t="str">
        <x:v>PASS</x:v>
      </x:c>
      <x:c r="L3855" s="34" t="str">
        <x:v>PASS</x:v>
      </x:c>
      <x:c r="M3855" s="34" t="str">
        <x:v>numeric coverage for applicable metric</x:v>
      </x:c>
      <x:c r="N3855" s="34" t="str">
        <x:v>Feedback-Directed Random Test Generation/Result/JacksonDatabind_46/result.json</x:v>
      </x:c>
      <x:c r="O3855" s="38" t="n">
        <x:f>IF(AND(G3855="RECORDED",ISNUMBER(H3855)),H3855,"")</x:f>
        <x:v>0</x:v>
      </x:c>
      <x:c r="P3855" s="34" t="str">
        <x:v>NOT_REVEALING</x:v>
      </x:c>
      <x:c r="Q3855" s="34" t="str">
        <x:v>Feedback-Directed Random Test Generation/Result/JacksonDatabind_46/result.json</x:v>
      </x:c>
    </x:row>
    <x:row r="3856">
      <x:c r="A3856" s="34" t="str">
        <x:v>randoop</x:v>
      </x:c>
      <x:c r="B3856" s="34" t="str">
        <x:v>JacksonDatabind</x:v>
      </x:c>
      <x:c r="C3856" s="34" t="str">
        <x:v>Round1</x:v>
      </x:c>
      <x:c r="D3856" s="34" t="str">
        <x:v>JacksonDatabind_47</x:v>
      </x:c>
      <x:c r="E3856" s="34" t="str">
        <x:v>Condition</x:v>
      </x:c>
      <x:c r="F3856" s="34" t="n">
        <x:v>0</x:v>
      </x:c>
      <x:c r="G3856" s="34" t="str">
        <x:v>A</x:v>
      </x:c>
      <x:c r="H3856" s="38" t="str">
        <x:f>IF(ISNUMBER('Data'!I440),'Data'!I440*100,"")</x:f>
      </x:c>
      <x:c r="I3856" s="34"/>
      <x:c r="J3856" s="34"/>
      <x:c r="K3856" s="34"/>
      <x:c r="L3856" s="34" t="str">
        <x:v>NOT_RUN</x:v>
      </x:c>
      <x:c r="M3856" s="34" t="str">
        <x:v>Latest same-round generation failed; older files/results are excluded</x:v>
      </x:c>
      <x:c r="N3856" s="34" t="str">
        <x:v>Feedback-Directed Random Test Generation/report.csv</x:v>
      </x:c>
      <x:c r="O3856" s="38" t="str">
        <x:f>IF(AND(G3856="RECORDED",ISNUMBER(H3856)),H3856,"")</x:f>
      </x:c>
      <x:c r="P3856" s="34" t="str">
        <x:v>FAIL</x:v>
      </x:c>
      <x:c r="Q3856" s="34"/>
    </x:row>
    <x:row r="3857">
      <x:c r="A3857" s="34" t="str">
        <x:v>randoop</x:v>
      </x:c>
      <x:c r="B3857" s="34" t="str">
        <x:v>JacksonDatabind</x:v>
      </x:c>
      <x:c r="C3857" s="34" t="str">
        <x:v>Round1</x:v>
      </x:c>
      <x:c r="D3857" s="34" t="str">
        <x:v>JacksonDatabind_48</x:v>
      </x:c>
      <x:c r="E3857" s="34" t="str">
        <x:v>Condition</x:v>
      </x:c>
      <x:c r="F3857" s="34" t="n">
        <x:v>254</x:v>
      </x:c>
      <x:c r="G3857" s="34" t="str">
        <x:v>RECORDED</x:v>
      </x:c>
      <x:c r="H3857" s="38" t="n">
        <x:f>IF(ISNUMBER('Data'!I441),'Data'!I441*100,"")</x:f>
        <x:v>41.34</x:v>
      </x:c>
      <x:c r="I3857" s="34" t="str">
        <x:v>PASS</x:v>
      </x:c>
      <x:c r="J3857" s="34" t="str">
        <x:v>PASS</x:v>
      </x:c>
      <x:c r="K3857" s="34" t="str">
        <x:v>PASS</x:v>
      </x:c>
      <x:c r="L3857" s="34" t="str">
        <x:v>PASS</x:v>
      </x:c>
      <x:c r="M3857" s="34" t="str">
        <x:v>numeric coverage for applicable metric</x:v>
      </x:c>
      <x:c r="N3857" s="34" t="str">
        <x:v>Feedback-Directed Random Test Generation/Result/JacksonDatabind_48/result.json</x:v>
      </x:c>
      <x:c r="O3857" s="38" t="n">
        <x:f>IF(AND(G3857="RECORDED",ISNUMBER(H3857)),H3857,"")</x:f>
        <x:v>41.34</x:v>
      </x:c>
      <x:c r="P3857" s="34" t="str">
        <x:v>NOT_REVEALING</x:v>
      </x:c>
      <x:c r="Q3857" s="34" t="str">
        <x:v>Feedback-Directed Random Test Generation/Result/JacksonDatabind_48/result.json</x:v>
      </x:c>
    </x:row>
    <x:row r="3858">
      <x:c r="A3858" s="34" t="str">
        <x:v>randoop</x:v>
      </x:c>
      <x:c r="B3858" s="34" t="str">
        <x:v>JacksonDatabind</x:v>
      </x:c>
      <x:c r="C3858" s="34" t="str">
        <x:v>Round1</x:v>
      </x:c>
      <x:c r="D3858" s="34" t="str">
        <x:v>JacksonDatabind_49</x:v>
      </x:c>
      <x:c r="E3858" s="34" t="str">
        <x:v>Condition</x:v>
      </x:c>
      <x:c r="F3858" s="34" t="n">
        <x:v>12</x:v>
      </x:c>
      <x:c r="G3858" s="34" t="str">
        <x:v>RECORDED</x:v>
      </x:c>
      <x:c r="H3858" s="38" t="n">
        <x:f>IF(ISNUMBER('Data'!I442),'Data'!I442*100,"")</x:f>
        <x:v>0</x:v>
      </x:c>
      <x:c r="I3858" s="34" t="str">
        <x:v>PASS</x:v>
      </x:c>
      <x:c r="J3858" s="34" t="str">
        <x:v>PASS</x:v>
      </x:c>
      <x:c r="K3858" s="34" t="str">
        <x:v>PASS</x:v>
      </x:c>
      <x:c r="L3858" s="34" t="str">
        <x:v>PASS</x:v>
      </x:c>
      <x:c r="M3858" s="34" t="str">
        <x:v>numeric coverage for applicable metric</x:v>
      </x:c>
      <x:c r="N3858" s="34" t="str">
        <x:v>Feedback-Directed Random Test Generation/Result/JacksonDatabind_49/result.json</x:v>
      </x:c>
      <x:c r="O3858" s="38" t="n">
        <x:f>IF(AND(G3858="RECORDED",ISNUMBER(H3858)),H3858,"")</x:f>
        <x:v>0</x:v>
      </x:c>
      <x:c r="P3858" s="34" t="str">
        <x:v>NOT_REVEALING</x:v>
      </x:c>
      <x:c r="Q3858" s="34" t="str">
        <x:v>Feedback-Directed Random Test Generation/Result/JacksonDatabind_49/result.json</x:v>
      </x:c>
    </x:row>
    <x:row r="3859">
      <x:c r="A3859" s="34" t="str">
        <x:v>randoop</x:v>
      </x:c>
      <x:c r="B3859" s="34" t="str">
        <x:v>JacksonDatabind</x:v>
      </x:c>
      <x:c r="C3859" s="34" t="str">
        <x:v>Round1</x:v>
      </x:c>
      <x:c r="D3859" s="34" t="str">
        <x:v>JacksonDatabind_50</x:v>
      </x:c>
      <x:c r="E3859" s="34" t="str">
        <x:v>Condition</x:v>
      </x:c>
      <x:c r="F3859" s="34" t="n">
        <x:v>231</x:v>
      </x:c>
      <x:c r="G3859" s="34" t="str">
        <x:v>RECORDED</x:v>
      </x:c>
      <x:c r="H3859" s="38" t="n">
        <x:f>IF(ISNUMBER('Data'!I443),'Data'!I443*100,"")</x:f>
        <x:v>0</x:v>
      </x:c>
      <x:c r="I3859" s="34" t="str">
        <x:v>PASS</x:v>
      </x:c>
      <x:c r="J3859" s="34" t="str">
        <x:v>PASS</x:v>
      </x:c>
      <x:c r="K3859" s="34" t="str">
        <x:v>PASS</x:v>
      </x:c>
      <x:c r="L3859" s="34" t="str">
        <x:v>PASS</x:v>
      </x:c>
      <x:c r="M3859" s="34" t="str">
        <x:v>numeric coverage for applicable metric</x:v>
      </x:c>
      <x:c r="N3859" s="34" t="str">
        <x:v>Feedback-Directed Random Test Generation/Result/JacksonDatabind_50/result.json</x:v>
      </x:c>
      <x:c r="O3859" s="38" t="n">
        <x:f>IF(AND(G3859="RECORDED",ISNUMBER(H3859)),H3859,"")</x:f>
        <x:v>0</x:v>
      </x:c>
      <x:c r="P3859" s="34" t="str">
        <x:v>NOT_REVEALING</x:v>
      </x:c>
      <x:c r="Q3859" s="34" t="str">
        <x:v>Feedback-Directed Random Test Generation/Result/JacksonDatabind_50/result.json</x:v>
      </x:c>
    </x:row>
    <x:row r="3860">
      <x:c r="A3860" s="34" t="str">
        <x:v>randoop</x:v>
      </x:c>
      <x:c r="B3860" s="34" t="str">
        <x:v>JacksonDatabind</x:v>
      </x:c>
      <x:c r="C3860" s="34" t="str">
        <x:v>Round1</x:v>
      </x:c>
      <x:c r="D3860" s="34" t="str">
        <x:v>JacksonDatabind_51</x:v>
      </x:c>
      <x:c r="E3860" s="34" t="str">
        <x:v>Condition</x:v>
      </x:c>
      <x:c r="F3860" s="34" t="n">
        <x:v>34</x:v>
      </x:c>
      <x:c r="G3860" s="34" t="str">
        <x:v>RECORDED</x:v>
      </x:c>
      <x:c r="H3860" s="38" t="n">
        <x:f>IF(ISNUMBER('Data'!I444),'Data'!I444*100,"")</x:f>
        <x:v>0</x:v>
      </x:c>
      <x:c r="I3860" s="34" t="str">
        <x:v>PASS</x:v>
      </x:c>
      <x:c r="J3860" s="34" t="str">
        <x:v>PASS</x:v>
      </x:c>
      <x:c r="K3860" s="34" t="str">
        <x:v>PASS</x:v>
      </x:c>
      <x:c r="L3860" s="34" t="str">
        <x:v>PASS</x:v>
      </x:c>
      <x:c r="M3860" s="34" t="str">
        <x:v>numeric coverage for applicable metric</x:v>
      </x:c>
      <x:c r="N3860" s="34" t="str">
        <x:v>Feedback-Directed Random Test Generation/Result/JacksonDatabind_51/result.json</x:v>
      </x:c>
      <x:c r="O3860" s="38" t="n">
        <x:f>IF(AND(G3860="RECORDED",ISNUMBER(H3860)),H3860,"")</x:f>
        <x:v>0</x:v>
      </x:c>
      <x:c r="P3860" s="34" t="str">
        <x:v>NOT_REVEALING</x:v>
      </x:c>
      <x:c r="Q3860" s="34" t="str">
        <x:v>Feedback-Directed Random Test Generation/Result/JacksonDatabind_51/result.json</x:v>
      </x:c>
    </x:row>
    <x:row r="3861">
      <x:c r="A3861" s="34" t="str">
        <x:v>randoop</x:v>
      </x:c>
      <x:c r="B3861" s="34" t="str">
        <x:v>JacksonDatabind</x:v>
      </x:c>
      <x:c r="C3861" s="34" t="str">
        <x:v>Round1</x:v>
      </x:c>
      <x:c r="D3861" s="34" t="str">
        <x:v>JacksonDatabind_52</x:v>
      </x:c>
      <x:c r="E3861" s="34" t="str">
        <x:v>Condition</x:v>
      </x:c>
      <x:c r="F3861" s="34" t="n">
        <x:v>435</x:v>
      </x:c>
      <x:c r="G3861" s="34" t="str">
        <x:v>RECORDED</x:v>
      </x:c>
      <x:c r="H3861" s="38" t="n">
        <x:f>IF(ISNUMBER('Data'!I445),'Data'!I445*100,"")</x:f>
        <x:v>0.9199999999999999</x:v>
      </x:c>
      <x:c r="I3861" s="34" t="str">
        <x:v>PASS</x:v>
      </x:c>
      <x:c r="J3861" s="34" t="str">
        <x:v>PASS</x:v>
      </x:c>
      <x:c r="K3861" s="34" t="str">
        <x:v>PASS</x:v>
      </x:c>
      <x:c r="L3861" s="34" t="str">
        <x:v>PASS</x:v>
      </x:c>
      <x:c r="M3861" s="34" t="str">
        <x:v>numeric coverage for applicable metric</x:v>
      </x:c>
      <x:c r="N3861" s="34" t="str">
        <x:v>Feedback-Directed Random Test Generation/Result/JacksonDatabind_52/result.json</x:v>
      </x:c>
      <x:c r="O3861" s="38" t="n">
        <x:f>IF(AND(G3861="RECORDED",ISNUMBER(H3861)),H3861,"")</x:f>
        <x:v>0.9199999999999999</x:v>
      </x:c>
      <x:c r="P3861" s="34" t="str">
        <x:v>NOT_REVEALING</x:v>
      </x:c>
      <x:c r="Q3861" s="34" t="str">
        <x:v>Feedback-Directed Random Test Generation/Result/JacksonDatabind_52/result.json</x:v>
      </x:c>
    </x:row>
    <x:row r="3862">
      <x:c r="A3862" s="34" t="str">
        <x:v>randoop</x:v>
      </x:c>
      <x:c r="B3862" s="34" t="str">
        <x:v>JacksonDatabind</x:v>
      </x:c>
      <x:c r="C3862" s="34" t="str">
        <x:v>Round1</x:v>
      </x:c>
      <x:c r="D3862" s="34" t="str">
        <x:v>JacksonDatabind_53</x:v>
      </x:c>
      <x:c r="E3862" s="34" t="str">
        <x:v>Condition</x:v>
      </x:c>
      <x:c r="F3862" s="34" t="n">
        <x:v>346</x:v>
      </x:c>
      <x:c r="G3862" s="34" t="str">
        <x:v>RECORDED</x:v>
      </x:c>
      <x:c r="H3862" s="38" t="n">
        <x:f>IF(ISNUMBER('Data'!I446),'Data'!I446*100,"")</x:f>
        <x:v>27.169999999999998</x:v>
      </x:c>
      <x:c r="I3862" s="34" t="str">
        <x:v>PASS</x:v>
      </x:c>
      <x:c r="J3862" s="34" t="str">
        <x:v>PASS</x:v>
      </x:c>
      <x:c r="K3862" s="34" t="str">
        <x:v>PASS</x:v>
      </x:c>
      <x:c r="L3862" s="34" t="str">
        <x:v>PASS</x:v>
      </x:c>
      <x:c r="M3862" s="34" t="str">
        <x:v>numeric coverage for applicable metric</x:v>
      </x:c>
      <x:c r="N3862" s="34" t="str">
        <x:v>Feedback-Directed Random Test Generation/Result/JacksonDatabind_53/result.json</x:v>
      </x:c>
      <x:c r="O3862" s="38" t="n">
        <x:f>IF(AND(G3862="RECORDED",ISNUMBER(H3862)),H3862,"")</x:f>
        <x:v>27.169999999999998</x:v>
      </x:c>
      <x:c r="P3862" s="34" t="str">
        <x:v>NOT_AVAILABLE</x:v>
      </x:c>
      <x:c r="Q3862" s="34" t="str">
        <x:v>Feedback-Directed Random Test Generation/Result/JacksonDatabind_53/result.json</x:v>
      </x:c>
    </x:row>
    <x:row r="3863">
      <x:c r="A3863" s="34" t="str">
        <x:v>randoop</x:v>
      </x:c>
      <x:c r="B3863" s="34" t="str">
        <x:v>JacksonDatabind</x:v>
      </x:c>
      <x:c r="C3863" s="34" t="str">
        <x:v>Round1</x:v>
      </x:c>
      <x:c r="D3863" s="34" t="str">
        <x:v>JacksonDatabind_54</x:v>
      </x:c>
      <x:c r="E3863" s="34" t="str">
        <x:v>Condition</x:v>
      </x:c>
      <x:c r="F3863" s="34" t="n">
        <x:v>67</x:v>
      </x:c>
      <x:c r="G3863" s="34" t="str">
        <x:v>RECORDED</x:v>
      </x:c>
      <x:c r="H3863" s="38" t="n">
        <x:f>IF(ISNUMBER('Data'!I447),'Data'!I447*100,"")</x:f>
        <x:v>0</x:v>
      </x:c>
      <x:c r="I3863" s="34" t="str">
        <x:v>PASS</x:v>
      </x:c>
      <x:c r="J3863" s="34" t="str">
        <x:v>PASS</x:v>
      </x:c>
      <x:c r="K3863" s="34" t="str">
        <x:v>PASS</x:v>
      </x:c>
      <x:c r="L3863" s="34" t="str">
        <x:v>PASS</x:v>
      </x:c>
      <x:c r="M3863" s="34" t="str">
        <x:v>numeric coverage for applicable metric</x:v>
      </x:c>
      <x:c r="N3863" s="34" t="str">
        <x:v>Feedback-Directed Random Test Generation/Result/JacksonDatabind_54/result.json</x:v>
      </x:c>
      <x:c r="O3863" s="38" t="n">
        <x:f>IF(AND(G3863="RECORDED",ISNUMBER(H3863)),H3863,"")</x:f>
        <x:v>0</x:v>
      </x:c>
      <x:c r="P3863" s="34" t="str">
        <x:v>NOT_REVEALING</x:v>
      </x:c>
      <x:c r="Q3863" s="34" t="str">
        <x:v>Feedback-Directed Random Test Generation/Result/JacksonDatabind_54/result.json</x:v>
      </x:c>
    </x:row>
    <x:row r="3864">
      <x:c r="A3864" s="34" t="str">
        <x:v>randoop</x:v>
      </x:c>
      <x:c r="B3864" s="34" t="str">
        <x:v>JacksonDatabind</x:v>
      </x:c>
      <x:c r="C3864" s="34" t="str">
        <x:v>Round1</x:v>
      </x:c>
      <x:c r="D3864" s="34" t="str">
        <x:v>JacksonDatabind_55</x:v>
      </x:c>
      <x:c r="E3864" s="34" t="str">
        <x:v>Condition</x:v>
      </x:c>
      <x:c r="F3864" s="34" t="n">
        <x:v>37</x:v>
      </x:c>
      <x:c r="G3864" s="34" t="str">
        <x:v>RECORDED</x:v>
      </x:c>
      <x:c r="H3864" s="38" t="n">
        <x:f>IF(ISNUMBER('Data'!I448),'Data'!I448*100,"")</x:f>
        <x:v>2.7</x:v>
      </x:c>
      <x:c r="I3864" s="34" t="str">
        <x:v>PASS</x:v>
      </x:c>
      <x:c r="J3864" s="34" t="str">
        <x:v>PASS</x:v>
      </x:c>
      <x:c r="K3864" s="34" t="str">
        <x:v>PASS</x:v>
      </x:c>
      <x:c r="L3864" s="34" t="str">
        <x:v>PASS</x:v>
      </x:c>
      <x:c r="M3864" s="34" t="str">
        <x:v>numeric coverage for applicable metric</x:v>
      </x:c>
      <x:c r="N3864" s="34" t="str">
        <x:v>Feedback-Directed Random Test Generation/Result/JacksonDatabind_55/result.json</x:v>
      </x:c>
      <x:c r="O3864" s="38" t="n">
        <x:f>IF(AND(G3864="RECORDED",ISNUMBER(H3864)),H3864,"")</x:f>
        <x:v>2.7</x:v>
      </x:c>
      <x:c r="P3864" s="34" t="str">
        <x:v>NOT_REVEALING</x:v>
      </x:c>
      <x:c r="Q3864" s="34" t="str">
        <x:v>Feedback-Directed Random Test Generation/Result/JacksonDatabind_55/result.json</x:v>
      </x:c>
    </x:row>
    <x:row r="3865">
      <x:c r="A3865" s="34" t="str">
        <x:v>randoop</x:v>
      </x:c>
      <x:c r="B3865" s="34" t="str">
        <x:v>JacksonDatabind</x:v>
      </x:c>
      <x:c r="C3865" s="34" t="str">
        <x:v>Round1</x:v>
      </x:c>
      <x:c r="D3865" s="34" t="str">
        <x:v>JacksonDatabind_56</x:v>
      </x:c>
      <x:c r="E3865" s="34" t="str">
        <x:v>Condition</x:v>
      </x:c>
      <x:c r="F3865" s="34" t="n">
        <x:v>81</x:v>
      </x:c>
      <x:c r="G3865" s="34" t="str">
        <x:v>RECORDED</x:v>
      </x:c>
      <x:c r="H3865" s="38" t="n">
        <x:f>IF(ISNUMBER('Data'!I449),'Data'!I449*100,"")</x:f>
        <x:v>0</x:v>
      </x:c>
      <x:c r="I3865" s="34" t="str">
        <x:v>PASS</x:v>
      </x:c>
      <x:c r="J3865" s="34" t="str">
        <x:v>PASS</x:v>
      </x:c>
      <x:c r="K3865" s="34" t="str">
        <x:v>PASS</x:v>
      </x:c>
      <x:c r="L3865" s="34" t="str">
        <x:v>PASS</x:v>
      </x:c>
      <x:c r="M3865" s="34" t="str">
        <x:v>numeric coverage for applicable metric</x:v>
      </x:c>
      <x:c r="N3865" s="34" t="str">
        <x:v>Feedback-Directed Random Test Generation/Result/JacksonDatabind_56/result.json</x:v>
      </x:c>
      <x:c r="O3865" s="38" t="n">
        <x:f>IF(AND(G3865="RECORDED",ISNUMBER(H3865)),H3865,"")</x:f>
        <x:v>0</x:v>
      </x:c>
      <x:c r="P3865" s="34" t="str">
        <x:v>NOT_REVEALING</x:v>
      </x:c>
      <x:c r="Q3865" s="34" t="str">
        <x:v>Feedback-Directed Random Test Generation/Result/JacksonDatabind_56/result.json</x:v>
      </x:c>
    </x:row>
    <x:row r="3866">
      <x:c r="A3866" s="34" t="str">
        <x:v>randoop</x:v>
      </x:c>
      <x:c r="B3866" s="34" t="str">
        <x:v>JacksonDatabind</x:v>
      </x:c>
      <x:c r="C3866" s="34" t="str">
        <x:v>Round1</x:v>
      </x:c>
      <x:c r="D3866" s="34" t="str">
        <x:v>JacksonDatabind_57</x:v>
      </x:c>
      <x:c r="E3866" s="34" t="str">
        <x:v>Condition</x:v>
      </x:c>
      <x:c r="F3866" s="34" t="n">
        <x:v>156</x:v>
      </x:c>
      <x:c r="G3866" s="34" t="str">
        <x:v>RECORDED</x:v>
      </x:c>
      <x:c r="H3866" s="38" t="n">
        <x:f>IF(ISNUMBER('Data'!I450),'Data'!I450*100,"")</x:f>
        <x:v>0</x:v>
      </x:c>
      <x:c r="I3866" s="34" t="str">
        <x:v>PASS</x:v>
      </x:c>
      <x:c r="J3866" s="34" t="str">
        <x:v>PASS</x:v>
      </x:c>
      <x:c r="K3866" s="34" t="str">
        <x:v>PASS</x:v>
      </x:c>
      <x:c r="L3866" s="34" t="str">
        <x:v>PASS</x:v>
      </x:c>
      <x:c r="M3866" s="34" t="str">
        <x:v>numeric coverage for applicable metric</x:v>
      </x:c>
      <x:c r="N3866" s="34" t="str">
        <x:v>Feedback-Directed Random Test Generation/Result/JacksonDatabind_57/result.json</x:v>
      </x:c>
      <x:c r="O3866" s="38" t="n">
        <x:f>IF(AND(G3866="RECORDED",ISNUMBER(H3866)),H3866,"")</x:f>
        <x:v>0</x:v>
      </x:c>
      <x:c r="P3866" s="34" t="str">
        <x:v>NOT_REVEALING</x:v>
      </x:c>
      <x:c r="Q3866" s="34" t="str">
        <x:v>Feedback-Directed Random Test Generation/Result/JacksonDatabind_57/result.json</x:v>
      </x:c>
    </x:row>
    <x:row r="3867">
      <x:c r="A3867" s="34" t="str">
        <x:v>randoop</x:v>
      </x:c>
      <x:c r="B3867" s="34" t="str">
        <x:v>JacksonDatabind</x:v>
      </x:c>
      <x:c r="C3867" s="34" t="str">
        <x:v>Round1</x:v>
      </x:c>
      <x:c r="D3867" s="34" t="str">
        <x:v>JacksonDatabind_58</x:v>
      </x:c>
      <x:c r="E3867" s="34" t="str">
        <x:v>Condition</x:v>
      </x:c>
      <x:c r="F3867" s="34" t="n">
        <x:v>196</x:v>
      </x:c>
      <x:c r="G3867" s="34" t="str">
        <x:v>RECORDED</x:v>
      </x:c>
      <x:c r="H3867" s="38" t="n">
        <x:f>IF(ISNUMBER('Data'!I451),'Data'!I451*100,"")</x:f>
        <x:v>2.55</x:v>
      </x:c>
      <x:c r="I3867" s="34" t="str">
        <x:v>PASS</x:v>
      </x:c>
      <x:c r="J3867" s="34" t="str">
        <x:v>PASS</x:v>
      </x:c>
      <x:c r="K3867" s="34" t="str">
        <x:v>PASS</x:v>
      </x:c>
      <x:c r="L3867" s="34" t="str">
        <x:v>PASS</x:v>
      </x:c>
      <x:c r="M3867" s="34" t="str">
        <x:v>numeric coverage for applicable metric</x:v>
      </x:c>
      <x:c r="N3867" s="34" t="str">
        <x:v>Feedback-Directed Random Test Generation/Result/JacksonDatabind_58/result.json</x:v>
      </x:c>
      <x:c r="O3867" s="38" t="n">
        <x:f>IF(AND(G3867="RECORDED",ISNUMBER(H3867)),H3867,"")</x:f>
        <x:v>2.55</x:v>
      </x:c>
      <x:c r="P3867" s="34" t="str">
        <x:v>NOT_REVEALING</x:v>
      </x:c>
      <x:c r="Q3867" s="34" t="str">
        <x:v>Feedback-Directed Random Test Generation/Result/JacksonDatabind_58/result.json</x:v>
      </x:c>
    </x:row>
    <x:row r="3868">
      <x:c r="A3868" s="34" t="str">
        <x:v>randoop</x:v>
      </x:c>
      <x:c r="B3868" s="34" t="str">
        <x:v>JacksonDatabind</x:v>
      </x:c>
      <x:c r="C3868" s="34" t="str">
        <x:v>Round1</x:v>
      </x:c>
      <x:c r="D3868" s="34" t="str">
        <x:v>JacksonDatabind_59</x:v>
      </x:c>
      <x:c r="E3868" s="34" t="str">
        <x:v>Condition</x:v>
      </x:c>
      <x:c r="F3868" s="34" t="n">
        <x:v>313</x:v>
      </x:c>
      <x:c r="G3868" s="34" t="str">
        <x:v>RECORDED</x:v>
      </x:c>
      <x:c r="H3868" s="38" t="n">
        <x:f>IF(ISNUMBER('Data'!I452),'Data'!I452*100,"")</x:f>
        <x:v>12.78</x:v>
      </x:c>
      <x:c r="I3868" s="34" t="str">
        <x:v>PASS</x:v>
      </x:c>
      <x:c r="J3868" s="34" t="str">
        <x:v>PASS</x:v>
      </x:c>
      <x:c r="K3868" s="34" t="str">
        <x:v>PASS</x:v>
      </x:c>
      <x:c r="L3868" s="34" t="str">
        <x:v>PASS</x:v>
      </x:c>
      <x:c r="M3868" s="34" t="str">
        <x:v>numeric coverage for applicable metric</x:v>
      </x:c>
      <x:c r="N3868" s="34" t="str">
        <x:v>Feedback-Directed Random Test Generation/Result/JacksonDatabind_59/result.json</x:v>
      </x:c>
      <x:c r="O3868" s="38" t="n">
        <x:f>IF(AND(G3868="RECORDED",ISNUMBER(H3868)),H3868,"")</x:f>
        <x:v>12.78</x:v>
      </x:c>
      <x:c r="P3868" s="34" t="str">
        <x:v>NOT_REVEALING</x:v>
      </x:c>
      <x:c r="Q3868" s="34" t="str">
        <x:v>Feedback-Directed Random Test Generation/Result/JacksonDatabind_59/result.json</x:v>
      </x:c>
    </x:row>
    <x:row r="3869">
      <x:c r="A3869" s="34" t="str">
        <x:v>randoop</x:v>
      </x:c>
      <x:c r="B3869" s="34" t="str">
        <x:v>JacksonDatabind</x:v>
      </x:c>
      <x:c r="C3869" s="34" t="str">
        <x:v>Round1</x:v>
      </x:c>
      <x:c r="D3869" s="34" t="str">
        <x:v>JacksonDatabind_60</x:v>
      </x:c>
      <x:c r="E3869" s="34" t="str">
        <x:v>Condition</x:v>
      </x:c>
      <x:c r="F3869" s="34" t="n">
        <x:v>74</x:v>
      </x:c>
      <x:c r="G3869" s="34" t="str">
        <x:v>RECORDED</x:v>
      </x:c>
      <x:c r="H3869" s="38" t="n">
        <x:f>IF(ISNUMBER('Data'!I453),'Data'!I453*100,"")</x:f>
        <x:v>0</x:v>
      </x:c>
      <x:c r="I3869" s="34" t="str">
        <x:v>PASS</x:v>
      </x:c>
      <x:c r="J3869" s="34" t="str">
        <x:v>PASS</x:v>
      </x:c>
      <x:c r="K3869" s="34" t="str">
        <x:v>PASS</x:v>
      </x:c>
      <x:c r="L3869" s="34" t="str">
        <x:v>PASS</x:v>
      </x:c>
      <x:c r="M3869" s="34" t="str">
        <x:v>numeric coverage for applicable metric</x:v>
      </x:c>
      <x:c r="N3869" s="34" t="str">
        <x:v>Feedback-Directed Random Test Generation/Result/JacksonDatabind_60/result.json</x:v>
      </x:c>
      <x:c r="O3869" s="38" t="n">
        <x:f>IF(AND(G3869="RECORDED",ISNUMBER(H3869)),H3869,"")</x:f>
        <x:v>0</x:v>
      </x:c>
      <x:c r="P3869" s="34" t="str">
        <x:v>NOT_REVEALING</x:v>
      </x:c>
      <x:c r="Q3869" s="34" t="str">
        <x:v>Feedback-Directed Random Test Generation/Result/JacksonDatabind_60/result.json</x:v>
      </x:c>
    </x:row>
    <x:row r="3870">
      <x:c r="A3870" s="34" t="str">
        <x:v>randoop</x:v>
      </x:c>
      <x:c r="B3870" s="34" t="str">
        <x:v>JacksonDatabind</x:v>
      </x:c>
      <x:c r="C3870" s="34" t="str">
        <x:v>Round1</x:v>
      </x:c>
      <x:c r="D3870" s="34" t="str">
        <x:v>JacksonDatabind_61</x:v>
      </x:c>
      <x:c r="E3870" s="34" t="str">
        <x:v>Condition</x:v>
      </x:c>
      <x:c r="F3870" s="34" t="n">
        <x:v>242</x:v>
      </x:c>
      <x:c r="G3870" s="34" t="str">
        <x:v>RECORDED</x:v>
      </x:c>
      <x:c r="H3870" s="38" t="n">
        <x:f>IF(ISNUMBER('Data'!I454),'Data'!I454*100,"")</x:f>
        <x:v>21.07</x:v>
      </x:c>
      <x:c r="I3870" s="34" t="str">
        <x:v>PASS</x:v>
      </x:c>
      <x:c r="J3870" s="34" t="str">
        <x:v>PASS</x:v>
      </x:c>
      <x:c r="K3870" s="34" t="str">
        <x:v>PASS</x:v>
      </x:c>
      <x:c r="L3870" s="34" t="str">
        <x:v>FAIL</x:v>
      </x:c>
      <x:c r="M3870" s="34" t="str">
        <x:v>numeric coverage for applicable metric</x:v>
      </x:c>
      <x:c r="N3870" s="34" t="str">
        <x:v>Feedback-Directed Random Test Generation/Result/JacksonDatabind_61/result.json</x:v>
      </x:c>
      <x:c r="O3870" s="38" t="n">
        <x:f>IF(AND(G3870="RECORDED",ISNUMBER(H3870)),H3870,"")</x:f>
        <x:v>21.07</x:v>
      </x:c>
      <x:c r="P3870" s="34" t="str">
        <x:v>INCONCLUSIVE</x:v>
      </x:c>
      <x:c r="Q3870" s="34" t="str">
        <x:v>Feedback-Directed Random Test Generation/Result/JacksonDatabind_61/result.json</x:v>
      </x:c>
    </x:row>
    <x:row r="3871">
      <x:c r="A3871" s="34" t="str">
        <x:v>randoop</x:v>
      </x:c>
      <x:c r="B3871" s="34" t="str">
        <x:v>JacksonDatabind</x:v>
      </x:c>
      <x:c r="C3871" s="34" t="str">
        <x:v>Round1</x:v>
      </x:c>
      <x:c r="D3871" s="34" t="str">
        <x:v>JacksonDatabind_62</x:v>
      </x:c>
      <x:c r="E3871" s="34" t="str">
        <x:v>Condition</x:v>
      </x:c>
      <x:c r="F3871" s="34" t="n">
        <x:v>70</x:v>
      </x:c>
      <x:c r="G3871" s="34" t="str">
        <x:v>RECORDED</x:v>
      </x:c>
      <x:c r="H3871" s="38" t="n">
        <x:f>IF(ISNUMBER('Data'!I455),'Data'!I455*100,"")</x:f>
        <x:v>21.43</x:v>
      </x:c>
      <x:c r="I3871" s="34" t="str">
        <x:v>PASS</x:v>
      </x:c>
      <x:c r="J3871" s="34" t="str">
        <x:v>PASS</x:v>
      </x:c>
      <x:c r="K3871" s="34" t="str">
        <x:v>PASS</x:v>
      </x:c>
      <x:c r="L3871" s="34" t="str">
        <x:v>PASS</x:v>
      </x:c>
      <x:c r="M3871" s="34" t="str">
        <x:v>numeric coverage for applicable metric</x:v>
      </x:c>
      <x:c r="N3871" s="34" t="str">
        <x:v>Feedback-Directed Random Test Generation/Result/JacksonDatabind_62/result.json</x:v>
      </x:c>
      <x:c r="O3871" s="38" t="n">
        <x:f>IF(AND(G3871="RECORDED",ISNUMBER(H3871)),H3871,"")</x:f>
        <x:v>21.43</x:v>
      </x:c>
      <x:c r="P3871" s="34" t="str">
        <x:v>NOT_REVEALING</x:v>
      </x:c>
      <x:c r="Q3871" s="34" t="str">
        <x:v>Feedback-Directed Random Test Generation/Result/JacksonDatabind_62/result.json</x:v>
      </x:c>
    </x:row>
    <x:row r="3872">
      <x:c r="A3872" s="34" t="str">
        <x:v>randoop</x:v>
      </x:c>
      <x:c r="B3872" s="34" t="str">
        <x:v>JacksonDatabind</x:v>
      </x:c>
      <x:c r="C3872" s="34" t="str">
        <x:v>Round1</x:v>
      </x:c>
      <x:c r="D3872" s="34" t="str">
        <x:v>JacksonDatabind_63</x:v>
      </x:c>
      <x:c r="E3872" s="34" t="str">
        <x:v>Condition</x:v>
      </x:c>
      <x:c r="F3872" s="34" t="n">
        <x:v>44</x:v>
      </x:c>
      <x:c r="G3872" s="34" t="str">
        <x:v>RECORDED</x:v>
      </x:c>
      <x:c r="H3872" s="38" t="n">
        <x:f>IF(ISNUMBER('Data'!I456),'Data'!I456*100,"")</x:f>
        <x:v>70.45</x:v>
      </x:c>
      <x:c r="I3872" s="34" t="str">
        <x:v>PASS</x:v>
      </x:c>
      <x:c r="J3872" s="34" t="str">
        <x:v>PASS</x:v>
      </x:c>
      <x:c r="K3872" s="34" t="str">
        <x:v>PASS</x:v>
      </x:c>
      <x:c r="L3872" s="34" t="str">
        <x:v>PASS</x:v>
      </x:c>
      <x:c r="M3872" s="34" t="str">
        <x:v>numeric coverage for applicable metric</x:v>
      </x:c>
      <x:c r="N3872" s="34" t="str">
        <x:v>Feedback-Directed Random Test Generation/Result/JacksonDatabind_63/result.json</x:v>
      </x:c>
      <x:c r="O3872" s="38" t="n">
        <x:f>IF(AND(G3872="RECORDED",ISNUMBER(H3872)),H3872,"")</x:f>
        <x:v>70.45</x:v>
      </x:c>
      <x:c r="P3872" s="34" t="str">
        <x:v>INCONCLUSIVE</x:v>
      </x:c>
      <x:c r="Q3872" s="34" t="str">
        <x:v>Feedback-Directed Random Test Generation/Result/JacksonDatabind_63/result.json</x:v>
      </x:c>
    </x:row>
    <x:row r="3873">
      <x:c r="A3873" s="34" t="str">
        <x:v>randoop</x:v>
      </x:c>
      <x:c r="B3873" s="34" t="str">
        <x:v>JacksonDatabind</x:v>
      </x:c>
      <x:c r="C3873" s="34" t="str">
        <x:v>Round1</x:v>
      </x:c>
      <x:c r="D3873" s="34" t="str">
        <x:v>JacksonDatabind_64</x:v>
      </x:c>
      <x:c r="E3873" s="34" t="str">
        <x:v>Condition</x:v>
      </x:c>
      <x:c r="F3873" s="34" t="n">
        <x:v>71</x:v>
      </x:c>
      <x:c r="G3873" s="34" t="str">
        <x:v>RECORDED</x:v>
      </x:c>
      <x:c r="H3873" s="38" t="n">
        <x:f>IF(ISNUMBER('Data'!I457),'Data'!I457*100,"")</x:f>
        <x:v>0</x:v>
      </x:c>
      <x:c r="I3873" s="34" t="str">
        <x:v>PASS</x:v>
      </x:c>
      <x:c r="J3873" s="34" t="str">
        <x:v>PASS</x:v>
      </x:c>
      <x:c r="K3873" s="34" t="str">
        <x:v>PASS</x:v>
      </x:c>
      <x:c r="L3873" s="34" t="str">
        <x:v>PASS</x:v>
      </x:c>
      <x:c r="M3873" s="34" t="str">
        <x:v>numeric coverage for applicable metric</x:v>
      </x:c>
      <x:c r="N3873" s="34" t="str">
        <x:v>Feedback-Directed Random Test Generation/Result/JacksonDatabind_64/result.json</x:v>
      </x:c>
      <x:c r="O3873" s="38" t="n">
        <x:f>IF(AND(G3873="RECORDED",ISNUMBER(H3873)),H3873,"")</x:f>
        <x:v>0</x:v>
      </x:c>
      <x:c r="P3873" s="34" t="str">
        <x:v>NOT_REVEALING</x:v>
      </x:c>
      <x:c r="Q3873" s="34" t="str">
        <x:v>Feedback-Directed Random Test Generation/Result/JacksonDatabind_64/result.json</x:v>
      </x:c>
    </x:row>
    <x:row r="3874">
      <x:c r="A3874" s="34" t="str">
        <x:v>randoop</x:v>
      </x:c>
      <x:c r="B3874" s="34" t="str">
        <x:v>JacksonDatabind</x:v>
      </x:c>
      <x:c r="C3874" s="34" t="str">
        <x:v>Round1</x:v>
      </x:c>
      <x:c r="D3874" s="34" t="str">
        <x:v>JacksonDatabind_66</x:v>
      </x:c>
      <x:c r="E3874" s="34" t="str">
        <x:v>Condition</x:v>
      </x:c>
      <x:c r="F3874" s="34" t="n">
        <x:v>95</x:v>
      </x:c>
      <x:c r="G3874" s="34" t="str">
        <x:v>RECORDED</x:v>
      </x:c>
      <x:c r="H3874" s="38" t="n">
        <x:f>IF(ISNUMBER('Data'!I458),'Data'!I458*100,"")</x:f>
        <x:v>0</x:v>
      </x:c>
      <x:c r="I3874" s="34" t="str">
        <x:v>PASS</x:v>
      </x:c>
      <x:c r="J3874" s="34" t="str">
        <x:v>PASS</x:v>
      </x:c>
      <x:c r="K3874" s="34" t="str">
        <x:v>PASS</x:v>
      </x:c>
      <x:c r="L3874" s="34" t="str">
        <x:v>PASS</x:v>
      </x:c>
      <x:c r="M3874" s="34" t="str">
        <x:v>numeric coverage for applicable metric</x:v>
      </x:c>
      <x:c r="N3874" s="34" t="str">
        <x:v>Feedback-Directed Random Test Generation/Result/JacksonDatabind_66/result.json</x:v>
      </x:c>
      <x:c r="O3874" s="38" t="n">
        <x:f>IF(AND(G3874="RECORDED",ISNUMBER(H3874)),H3874,"")</x:f>
        <x:v>0</x:v>
      </x:c>
      <x:c r="P3874" s="34" t="str">
        <x:v>NOT_REVEALING</x:v>
      </x:c>
      <x:c r="Q3874" s="34" t="str">
        <x:v>Feedback-Directed Random Test Generation/Result/JacksonDatabind_66/result.json</x:v>
      </x:c>
    </x:row>
    <x:row r="3875">
      <x:c r="A3875" s="34" t="str">
        <x:v>randoop</x:v>
      </x:c>
      <x:c r="B3875" s="34" t="str">
        <x:v>JacksonDatabind</x:v>
      </x:c>
      <x:c r="C3875" s="34" t="str">
        <x:v>Round1</x:v>
      </x:c>
      <x:c r="D3875" s="34" t="str">
        <x:v>JacksonDatabind_67</x:v>
      </x:c>
      <x:c r="E3875" s="34" t="str">
        <x:v>Condition</x:v>
      </x:c>
      <x:c r="F3875" s="34" t="n">
        <x:v>612</x:v>
      </x:c>
      <x:c r="G3875" s="34" t="str">
        <x:v>RECORDED</x:v>
      </x:c>
      <x:c r="H3875" s="38" t="n">
        <x:f>IF(ISNUMBER('Data'!I459),'Data'!I459*100,"")</x:f>
        <x:v>0</x:v>
      </x:c>
      <x:c r="I3875" s="34" t="str">
        <x:v>PASS</x:v>
      </x:c>
      <x:c r="J3875" s="34" t="str">
        <x:v>PASS</x:v>
      </x:c>
      <x:c r="K3875" s="34" t="str">
        <x:v>PASS</x:v>
      </x:c>
      <x:c r="L3875" s="34" t="str">
        <x:v>PASS</x:v>
      </x:c>
      <x:c r="M3875" s="34" t="str">
        <x:v>numeric coverage for applicable metric</x:v>
      </x:c>
      <x:c r="N3875" s="34" t="str">
        <x:v>Feedback-Directed Random Test Generation/Result/JacksonDatabind_67/result.json</x:v>
      </x:c>
      <x:c r="O3875" s="38" t="n">
        <x:f>IF(AND(G3875="RECORDED",ISNUMBER(H3875)),H3875,"")</x:f>
        <x:v>0</x:v>
      </x:c>
      <x:c r="P3875" s="34" t="str">
        <x:v>NOT_REVEALING</x:v>
      </x:c>
      <x:c r="Q3875" s="34" t="str">
        <x:v>Feedback-Directed Random Test Generation/Result/JacksonDatabind_67/result.json</x:v>
      </x:c>
    </x:row>
    <x:row r="3876">
      <x:c r="A3876" s="34" t="str">
        <x:v>randoop</x:v>
      </x:c>
      <x:c r="B3876" s="34" t="str">
        <x:v>JacksonDatabind</x:v>
      </x:c>
      <x:c r="C3876" s="34" t="str">
        <x:v>Round1</x:v>
      </x:c>
      <x:c r="D3876" s="34" t="str">
        <x:v>JacksonDatabind_68</x:v>
      </x:c>
      <x:c r="E3876" s="34" t="str">
        <x:v>Condition</x:v>
      </x:c>
      <x:c r="F3876" s="34" t="n">
        <x:v>369</x:v>
      </x:c>
      <x:c r="G3876" s="34" t="str">
        <x:v>RECORDED</x:v>
      </x:c>
      <x:c r="H3876" s="38" t="n">
        <x:f>IF(ISNUMBER('Data'!I460),'Data'!I460*100,"")</x:f>
        <x:v>0</x:v>
      </x:c>
      <x:c r="I3876" s="34" t="str">
        <x:v>PASS</x:v>
      </x:c>
      <x:c r="J3876" s="34" t="str">
        <x:v>PASS</x:v>
      </x:c>
      <x:c r="K3876" s="34" t="str">
        <x:v>PASS</x:v>
      </x:c>
      <x:c r="L3876" s="34" t="str">
        <x:v>PASS</x:v>
      </x:c>
      <x:c r="M3876" s="34" t="str">
        <x:v>numeric coverage for applicable metric</x:v>
      </x:c>
      <x:c r="N3876" s="34" t="str">
        <x:v>Feedback-Directed Random Test Generation/Result/JacksonDatabind_68/result.json</x:v>
      </x:c>
      <x:c r="O3876" s="38" t="n">
        <x:f>IF(AND(G3876="RECORDED",ISNUMBER(H3876)),H3876,"")</x:f>
        <x:v>0</x:v>
      </x:c>
      <x:c r="P3876" s="34" t="str">
        <x:v>NOT_REVEALING</x:v>
      </x:c>
      <x:c r="Q3876" s="34" t="str">
        <x:v>Feedback-Directed Random Test Generation/Result/JacksonDatabind_68/result.json</x:v>
      </x:c>
    </x:row>
    <x:row r="3877">
      <x:c r="A3877" s="34" t="str">
        <x:v>randoop</x:v>
      </x:c>
      <x:c r="B3877" s="34" t="str">
        <x:v>JacksonDatabind</x:v>
      </x:c>
      <x:c r="C3877" s="34" t="str">
        <x:v>Round1</x:v>
      </x:c>
      <x:c r="D3877" s="34" t="str">
        <x:v>JacksonDatabind_69</x:v>
      </x:c>
      <x:c r="E3877" s="34" t="str">
        <x:v>Condition</x:v>
      </x:c>
      <x:c r="F3877" s="34" t="n">
        <x:v>74</x:v>
      </x:c>
      <x:c r="G3877" s="34" t="str">
        <x:v>RECORDED</x:v>
      </x:c>
      <x:c r="H3877" s="38" t="n">
        <x:f>IF(ISNUMBER('Data'!I461),'Data'!I461*100,"")</x:f>
        <x:v>6.76</x:v>
      </x:c>
      <x:c r="I3877" s="34" t="str">
        <x:v>PASS</x:v>
      </x:c>
      <x:c r="J3877" s="34" t="str">
        <x:v>PASS</x:v>
      </x:c>
      <x:c r="K3877" s="34" t="str">
        <x:v>PASS</x:v>
      </x:c>
      <x:c r="L3877" s="34" t="str">
        <x:v>PASS</x:v>
      </x:c>
      <x:c r="M3877" s="34" t="str">
        <x:v>numeric coverage for applicable metric</x:v>
      </x:c>
      <x:c r="N3877" s="34" t="str">
        <x:v>Feedback-Directed Random Test Generation/Result/JacksonDatabind_69/result.json</x:v>
      </x:c>
      <x:c r="O3877" s="38" t="n">
        <x:f>IF(AND(G3877="RECORDED",ISNUMBER(H3877)),H3877,"")</x:f>
        <x:v>6.76</x:v>
      </x:c>
      <x:c r="P3877" s="34" t="str">
        <x:v>NOT_REVEALING</x:v>
      </x:c>
      <x:c r="Q3877" s="34" t="str">
        <x:v>Feedback-Directed Random Test Generation/Result/JacksonDatabind_69/result.json</x:v>
      </x:c>
    </x:row>
    <x:row r="3878">
      <x:c r="A3878" s="34" t="str">
        <x:v>randoop</x:v>
      </x:c>
      <x:c r="B3878" s="34" t="str">
        <x:v>JacksonDatabind</x:v>
      </x:c>
      <x:c r="C3878" s="34" t="str">
        <x:v>Round1</x:v>
      </x:c>
      <x:c r="D3878" s="34" t="str">
        <x:v>JacksonDatabind_70</x:v>
      </x:c>
      <x:c r="E3878" s="34" t="str">
        <x:v>Condition</x:v>
      </x:c>
      <x:c r="F3878" s="34" t="n">
        <x:v>138</x:v>
      </x:c>
      <x:c r="G3878" s="34" t="str">
        <x:v>RECORDED</x:v>
      </x:c>
      <x:c r="H3878" s="38" t="n">
        <x:f>IF(ISNUMBER('Data'!I462),'Data'!I462*100,"")</x:f>
        <x:v>23.19</x:v>
      </x:c>
      <x:c r="I3878" s="34" t="str">
        <x:v>PASS</x:v>
      </x:c>
      <x:c r="J3878" s="34" t="str">
        <x:v>PASS</x:v>
      </x:c>
      <x:c r="K3878" s="34" t="str">
        <x:v>PASS</x:v>
      </x:c>
      <x:c r="L3878" s="34" t="str">
        <x:v>PASS</x:v>
      </x:c>
      <x:c r="M3878" s="34" t="str">
        <x:v>numeric coverage for applicable metric</x:v>
      </x:c>
      <x:c r="N3878" s="34" t="str">
        <x:v>Feedback-Directed Random Test Generation/Result/JacksonDatabind_70/result.json</x:v>
      </x:c>
      <x:c r="O3878" s="38" t="n">
        <x:f>IF(AND(G3878="RECORDED",ISNUMBER(H3878)),H3878,"")</x:f>
        <x:v>23.19</x:v>
      </x:c>
      <x:c r="P3878" s="34" t="str">
        <x:v>NOT_REVEALING</x:v>
      </x:c>
      <x:c r="Q3878" s="34" t="str">
        <x:v>Feedback-Directed Random Test Generation/Result/JacksonDatabind_70/result.json</x:v>
      </x:c>
    </x:row>
    <x:row r="3879">
      <x:c r="A3879" s="34" t="str">
        <x:v>randoop</x:v>
      </x:c>
      <x:c r="B3879" s="34" t="str">
        <x:v>JacksonDatabind</x:v>
      </x:c>
      <x:c r="C3879" s="34" t="str">
        <x:v>Round1</x:v>
      </x:c>
      <x:c r="D3879" s="34" t="str">
        <x:v>JacksonDatabind_71</x:v>
      </x:c>
      <x:c r="E3879" s="34" t="str">
        <x:v>Condition</x:v>
      </x:c>
      <x:c r="F3879" s="34" t="n">
        <x:v>95</x:v>
      </x:c>
      <x:c r="G3879" s="34" t="str">
        <x:v>RECORDED</x:v>
      </x:c>
      <x:c r="H3879" s="38" t="n">
        <x:f>IF(ISNUMBER('Data'!I463),'Data'!I463*100,"")</x:f>
        <x:v>0</x:v>
      </x:c>
      <x:c r="I3879" s="34" t="str">
        <x:v>PASS</x:v>
      </x:c>
      <x:c r="J3879" s="34" t="str">
        <x:v>PASS</x:v>
      </x:c>
      <x:c r="K3879" s="34" t="str">
        <x:v>PASS</x:v>
      </x:c>
      <x:c r="L3879" s="34" t="str">
        <x:v>PASS</x:v>
      </x:c>
      <x:c r="M3879" s="34" t="str">
        <x:v>numeric coverage for applicable metric</x:v>
      </x:c>
      <x:c r="N3879" s="34" t="str">
        <x:v>Feedback-Directed Random Test Generation/Result/JacksonDatabind_71/result.json</x:v>
      </x:c>
      <x:c r="O3879" s="38" t="n">
        <x:f>IF(AND(G3879="RECORDED",ISNUMBER(H3879)),H3879,"")</x:f>
        <x:v>0</x:v>
      </x:c>
      <x:c r="P3879" s="34" t="str">
        <x:v>NOT_REVEALING</x:v>
      </x:c>
      <x:c r="Q3879" s="34" t="str">
        <x:v>Feedback-Directed Random Test Generation/Result/JacksonDatabind_71/result.json</x:v>
      </x:c>
    </x:row>
    <x:row r="3880">
      <x:c r="A3880" s="34" t="str">
        <x:v>randoop</x:v>
      </x:c>
      <x:c r="B3880" s="34" t="str">
        <x:v>JacksonDatabind</x:v>
      </x:c>
      <x:c r="C3880" s="34" t="str">
        <x:v>Round1</x:v>
      </x:c>
      <x:c r="D3880" s="34" t="str">
        <x:v>JacksonDatabind_72</x:v>
      </x:c>
      <x:c r="E3880" s="34" t="str">
        <x:v>Condition</x:v>
      </x:c>
      <x:c r="F3880" s="34" t="n">
        <x:v>10</x:v>
      </x:c>
      <x:c r="G3880" s="34" t="str">
        <x:v>RECORDED</x:v>
      </x:c>
      <x:c r="H3880" s="38" t="n">
        <x:f>IF(ISNUMBER('Data'!I464),'Data'!I464*100,"")</x:f>
        <x:v>0</x:v>
      </x:c>
      <x:c r="I3880" s="34" t="str">
        <x:v>PASS</x:v>
      </x:c>
      <x:c r="J3880" s="34" t="str">
        <x:v>PASS</x:v>
      </x:c>
      <x:c r="K3880" s="34" t="str">
        <x:v>PASS</x:v>
      </x:c>
      <x:c r="L3880" s="34" t="str">
        <x:v>PASS</x:v>
      </x:c>
      <x:c r="M3880" s="34" t="str">
        <x:v>numeric coverage for applicable metric</x:v>
      </x:c>
      <x:c r="N3880" s="34" t="str">
        <x:v>Feedback-Directed Random Test Generation/Result/JacksonDatabind_72/result.json</x:v>
      </x:c>
      <x:c r="O3880" s="38" t="n">
        <x:f>IF(AND(G3880="RECORDED",ISNUMBER(H3880)),H3880,"")</x:f>
        <x:v>0</x:v>
      </x:c>
      <x:c r="P3880" s="34" t="str">
        <x:v>NOT_REVEALING</x:v>
      </x:c>
      <x:c r="Q3880" s="34" t="str">
        <x:v>Feedback-Directed Random Test Generation/Result/JacksonDatabind_72/result.json</x:v>
      </x:c>
    </x:row>
    <x:row r="3881">
      <x:c r="A3881" s="34" t="str">
        <x:v>randoop</x:v>
      </x:c>
      <x:c r="B3881" s="34" t="str">
        <x:v>JacksonDatabind</x:v>
      </x:c>
      <x:c r="C3881" s="34" t="str">
        <x:v>Round1</x:v>
      </x:c>
      <x:c r="D3881" s="34" t="str">
        <x:v>JacksonDatabind_73</x:v>
      </x:c>
      <x:c r="E3881" s="34" t="str">
        <x:v>Condition</x:v>
      </x:c>
      <x:c r="F3881" s="34" t="n">
        <x:v>716</x:v>
      </x:c>
      <x:c r="G3881" s="34" t="str">
        <x:v>RECORDED</x:v>
      </x:c>
      <x:c r="H3881" s="38" t="n">
        <x:f>IF(ISNUMBER('Data'!I465),'Data'!I465*100,"")</x:f>
        <x:v>4.75</x:v>
      </x:c>
      <x:c r="I3881" s="34" t="str">
        <x:v>PASS</x:v>
      </x:c>
      <x:c r="J3881" s="34" t="str">
        <x:v>PASS</x:v>
      </x:c>
      <x:c r="K3881" s="34" t="str">
        <x:v>PASS</x:v>
      </x:c>
      <x:c r="L3881" s="34" t="str">
        <x:v>PASS</x:v>
      </x:c>
      <x:c r="M3881" s="34" t="str">
        <x:v>numeric coverage for applicable metric</x:v>
      </x:c>
      <x:c r="N3881" s="34" t="str">
        <x:v>Feedback-Directed Random Test Generation/Result/JacksonDatabind_73/result.json</x:v>
      </x:c>
      <x:c r="O3881" s="38" t="n">
        <x:f>IF(AND(G3881="RECORDED",ISNUMBER(H3881)),H3881,"")</x:f>
        <x:v>4.75</x:v>
      </x:c>
      <x:c r="P3881" s="34" t="str">
        <x:v>NOT_REVEALING</x:v>
      </x:c>
      <x:c r="Q3881" s="34" t="str">
        <x:v>Feedback-Directed Random Test Generation/Result/JacksonDatabind_73/result.json</x:v>
      </x:c>
    </x:row>
    <x:row r="3882">
      <x:c r="A3882" s="34" t="str">
        <x:v>randoop</x:v>
      </x:c>
      <x:c r="B3882" s="34" t="str">
        <x:v>JacksonDatabind</x:v>
      </x:c>
      <x:c r="C3882" s="34" t="str">
        <x:v>Round1</x:v>
      </x:c>
      <x:c r="D3882" s="34" t="str">
        <x:v>JacksonDatabind_74</x:v>
      </x:c>
      <x:c r="E3882" s="34" t="str">
        <x:v>Condition</x:v>
      </x:c>
      <x:c r="F3882" s="34" t="n">
        <x:v>32</x:v>
      </x:c>
      <x:c r="G3882" s="34" t="str">
        <x:v>RECORDED</x:v>
      </x:c>
      <x:c r="H3882" s="38" t="n">
        <x:f>IF(ISNUMBER('Data'!I466),'Data'!I466*100,"")</x:f>
        <x:v>3.12</x:v>
      </x:c>
      <x:c r="I3882" s="34" t="str">
        <x:v>PASS</x:v>
      </x:c>
      <x:c r="J3882" s="34" t="str">
        <x:v>PASS</x:v>
      </x:c>
      <x:c r="K3882" s="34" t="str">
        <x:v>PASS</x:v>
      </x:c>
      <x:c r="L3882" s="34" t="str">
        <x:v>PASS</x:v>
      </x:c>
      <x:c r="M3882" s="34" t="str">
        <x:v>numeric coverage for applicable metric</x:v>
      </x:c>
      <x:c r="N3882" s="34" t="str">
        <x:v>Feedback-Directed Random Test Generation/Result/JacksonDatabind_74/result.json</x:v>
      </x:c>
      <x:c r="O3882" s="38" t="n">
        <x:f>IF(AND(G3882="RECORDED",ISNUMBER(H3882)),H3882,"")</x:f>
        <x:v>3.12</x:v>
      </x:c>
      <x:c r="P3882" s="34" t="str">
        <x:v>NOT_REVEALING</x:v>
      </x:c>
      <x:c r="Q3882" s="34" t="str">
        <x:v>Feedback-Directed Random Test Generation/Result/JacksonDatabind_74/result.json</x:v>
      </x:c>
    </x:row>
    <x:row r="3883">
      <x:c r="A3883" s="34" t="str">
        <x:v>randoop</x:v>
      </x:c>
      <x:c r="B3883" s="34" t="str">
        <x:v>JacksonDatabind</x:v>
      </x:c>
      <x:c r="C3883" s="34" t="str">
        <x:v>Round1</x:v>
      </x:c>
      <x:c r="D3883" s="34" t="str">
        <x:v>JacksonDatabind_75</x:v>
      </x:c>
      <x:c r="E3883" s="34" t="str">
        <x:v>Condition</x:v>
      </x:c>
      <x:c r="F3883" s="34" t="n">
        <x:v>50</x:v>
      </x:c>
      <x:c r="G3883" s="34" t="str">
        <x:v>RECORDED</x:v>
      </x:c>
      <x:c r="H3883" s="38" t="n">
        <x:f>IF(ISNUMBER('Data'!I467),'Data'!I467*100,"")</x:f>
        <x:v>0</x:v>
      </x:c>
      <x:c r="I3883" s="34" t="str">
        <x:v>PASS</x:v>
      </x:c>
      <x:c r="J3883" s="34" t="str">
        <x:v>PASS</x:v>
      </x:c>
      <x:c r="K3883" s="34" t="str">
        <x:v>PASS</x:v>
      </x:c>
      <x:c r="L3883" s="34" t="str">
        <x:v>PASS</x:v>
      </x:c>
      <x:c r="M3883" s="34" t="str">
        <x:v>numeric coverage for applicable metric</x:v>
      </x:c>
      <x:c r="N3883" s="34" t="str">
        <x:v>Feedback-Directed Random Test Generation/Result/JacksonDatabind_75/result.json</x:v>
      </x:c>
      <x:c r="O3883" s="38" t="n">
        <x:f>IF(AND(G3883="RECORDED",ISNUMBER(H3883)),H3883,"")</x:f>
        <x:v>0</x:v>
      </x:c>
      <x:c r="P3883" s="34" t="str">
        <x:v>NOT_REVEALING</x:v>
      </x:c>
      <x:c r="Q3883" s="34" t="str">
        <x:v>Feedback-Directed Random Test Generation/Result/JacksonDatabind_75/result.json</x:v>
      </x:c>
    </x:row>
    <x:row r="3884">
      <x:c r="A3884" s="34" t="str">
        <x:v>randoop</x:v>
      </x:c>
      <x:c r="B3884" s="34" t="str">
        <x:v>JacksonDatabind</x:v>
      </x:c>
      <x:c r="C3884" s="34" t="str">
        <x:v>Round1</x:v>
      </x:c>
      <x:c r="D3884" s="34" t="str">
        <x:v>JacksonDatabind_76</x:v>
      </x:c>
      <x:c r="E3884" s="34" t="str">
        <x:v>Condition</x:v>
      </x:c>
      <x:c r="F3884" s="34" t="n">
        <x:v>168</x:v>
      </x:c>
      <x:c r="G3884" s="34" t="str">
        <x:v>RECORDED</x:v>
      </x:c>
      <x:c r="H3884" s="38" t="n">
        <x:f>IF(ISNUMBER('Data'!I468),'Data'!I468*100,"")</x:f>
        <x:v>0</x:v>
      </x:c>
      <x:c r="I3884" s="34" t="str">
        <x:v>PASS</x:v>
      </x:c>
      <x:c r="J3884" s="34" t="str">
        <x:v>PASS</x:v>
      </x:c>
      <x:c r="K3884" s="34" t="str">
        <x:v>PASS</x:v>
      </x:c>
      <x:c r="L3884" s="34" t="str">
        <x:v>PASS</x:v>
      </x:c>
      <x:c r="M3884" s="34" t="str">
        <x:v>numeric coverage for applicable metric</x:v>
      </x:c>
      <x:c r="N3884" s="34" t="str">
        <x:v>Feedback-Directed Random Test Generation/Result/JacksonDatabind_76/result.json</x:v>
      </x:c>
      <x:c r="O3884" s="38" t="n">
        <x:f>IF(AND(G3884="RECORDED",ISNUMBER(H3884)),H3884,"")</x:f>
        <x:v>0</x:v>
      </x:c>
      <x:c r="P3884" s="34" t="str">
        <x:v>NOT_REVEALING</x:v>
      </x:c>
      <x:c r="Q3884" s="34" t="str">
        <x:v>Feedback-Directed Random Test Generation/Result/JacksonDatabind_76/result.json</x:v>
      </x:c>
    </x:row>
    <x:row r="3885">
      <x:c r="A3885" s="34" t="str">
        <x:v>randoop</x:v>
      </x:c>
      <x:c r="B3885" s="34" t="str">
        <x:v>JacksonDatabind</x:v>
      </x:c>
      <x:c r="C3885" s="34" t="str">
        <x:v>Round1</x:v>
      </x:c>
      <x:c r="D3885" s="34" t="str">
        <x:v>JacksonDatabind_77</x:v>
      </x:c>
      <x:c r="E3885" s="34" t="str">
        <x:v>Condition</x:v>
      </x:c>
      <x:c r="F3885" s="34" t="n">
        <x:v>202</x:v>
      </x:c>
      <x:c r="G3885" s="34" t="str">
        <x:v>RECORDED</x:v>
      </x:c>
      <x:c r="H3885" s="38" t="n">
        <x:f>IF(ISNUMBER('Data'!I469),'Data'!I469*100,"")</x:f>
        <x:v>2.48</x:v>
      </x:c>
      <x:c r="I3885" s="34" t="str">
        <x:v>PASS</x:v>
      </x:c>
      <x:c r="J3885" s="34" t="str">
        <x:v>PASS</x:v>
      </x:c>
      <x:c r="K3885" s="34" t="str">
        <x:v>PASS</x:v>
      </x:c>
      <x:c r="L3885" s="34" t="str">
        <x:v>PASS</x:v>
      </x:c>
      <x:c r="M3885" s="34" t="str">
        <x:v>numeric coverage for applicable metric</x:v>
      </x:c>
      <x:c r="N3885" s="34" t="str">
        <x:v>Feedback-Directed Random Test Generation/Result/JacksonDatabind_77/result.json</x:v>
      </x:c>
      <x:c r="O3885" s="38" t="n">
        <x:f>IF(AND(G3885="RECORDED",ISNUMBER(H3885)),H3885,"")</x:f>
        <x:v>2.48</x:v>
      </x:c>
      <x:c r="P3885" s="34" t="str">
        <x:v>NOT_REVEALING</x:v>
      </x:c>
      <x:c r="Q3885" s="34" t="str">
        <x:v>Feedback-Directed Random Test Generation/Result/JacksonDatabind_77/result.json</x:v>
      </x:c>
    </x:row>
    <x:row r="3886">
      <x:c r="A3886" s="34" t="str">
        <x:v>randoop</x:v>
      </x:c>
      <x:c r="B3886" s="34" t="str">
        <x:v>JacksonDatabind</x:v>
      </x:c>
      <x:c r="C3886" s="34" t="str">
        <x:v>Round1</x:v>
      </x:c>
      <x:c r="D3886" s="34" t="str">
        <x:v>JacksonDatabind_78</x:v>
      </x:c>
      <x:c r="E3886" s="34" t="str">
        <x:v>Condition</x:v>
      </x:c>
      <x:c r="F3886" s="34" t="n">
        <x:v>210</x:v>
      </x:c>
      <x:c r="G3886" s="34" t="str">
        <x:v>RECORDED</x:v>
      </x:c>
      <x:c r="H3886" s="38" t="n">
        <x:f>IF(ISNUMBER('Data'!I470),'Data'!I470*100,"")</x:f>
        <x:v>3.3300000000000005</x:v>
      </x:c>
      <x:c r="I3886" s="34" t="str">
        <x:v>PASS</x:v>
      </x:c>
      <x:c r="J3886" s="34" t="str">
        <x:v>PASS</x:v>
      </x:c>
      <x:c r="K3886" s="34" t="str">
        <x:v>PASS</x:v>
      </x:c>
      <x:c r="L3886" s="34" t="str">
        <x:v>PASS</x:v>
      </x:c>
      <x:c r="M3886" s="34" t="str">
        <x:v>numeric coverage for applicable metric</x:v>
      </x:c>
      <x:c r="N3886" s="34" t="str">
        <x:v>Feedback-Directed Random Test Generation/Result/JacksonDatabind_78/result.json</x:v>
      </x:c>
      <x:c r="O3886" s="38" t="n">
        <x:f>IF(AND(G3886="RECORDED",ISNUMBER(H3886)),H3886,"")</x:f>
        <x:v>3.3300000000000005</x:v>
      </x:c>
      <x:c r="P3886" s="34" t="str">
        <x:v>NOT_REVEALING</x:v>
      </x:c>
      <x:c r="Q3886" s="34" t="str">
        <x:v>Feedback-Directed Random Test Generation/Result/JacksonDatabind_78/result.json</x:v>
      </x:c>
    </x:row>
    <x:row r="3887">
      <x:c r="A3887" s="34" t="str">
        <x:v>randoop</x:v>
      </x:c>
      <x:c r="B3887" s="34" t="str">
        <x:v>JacksonDatabind</x:v>
      </x:c>
      <x:c r="C3887" s="34" t="str">
        <x:v>Round1</x:v>
      </x:c>
      <x:c r="D3887" s="34" t="str">
        <x:v>JacksonDatabind_79</x:v>
      </x:c>
      <x:c r="E3887" s="34" t="str">
        <x:v>Condition</x:v>
      </x:c>
      <x:c r="F3887" s="34" t="n">
        <x:v>558</x:v>
      </x:c>
      <x:c r="G3887" s="34" t="str">
        <x:v>RECORDED</x:v>
      </x:c>
      <x:c r="H3887" s="38" t="n">
        <x:f>IF(ISNUMBER('Data'!I471),'Data'!I471*100,"")</x:f>
        <x:v>1.43</x:v>
      </x:c>
      <x:c r="I3887" s="34" t="str">
        <x:v>PASS</x:v>
      </x:c>
      <x:c r="J3887" s="34" t="str">
        <x:v>PASS</x:v>
      </x:c>
      <x:c r="K3887" s="34" t="str">
        <x:v>PASS</x:v>
      </x:c>
      <x:c r="L3887" s="34" t="str">
        <x:v>PASS</x:v>
      </x:c>
      <x:c r="M3887" s="34" t="str">
        <x:v>numeric coverage for applicable metric</x:v>
      </x:c>
      <x:c r="N3887" s="34" t="str">
        <x:v>Feedback-Directed Random Test Generation/Result/JacksonDatabind_79/result.json</x:v>
      </x:c>
      <x:c r="O3887" s="38" t="n">
        <x:f>IF(AND(G3887="RECORDED",ISNUMBER(H3887)),H3887,"")</x:f>
        <x:v>1.43</x:v>
      </x:c>
      <x:c r="P3887" s="34" t="str">
        <x:v>NOT_REVEALING</x:v>
      </x:c>
      <x:c r="Q3887" s="34" t="str">
        <x:v>Feedback-Directed Random Test Generation/Result/JacksonDatabind_79/result.json</x:v>
      </x:c>
    </x:row>
    <x:row r="3888">
      <x:c r="A3888" s="34" t="str">
        <x:v>randoop</x:v>
      </x:c>
      <x:c r="B3888" s="34" t="str">
        <x:v>JacksonDatabind</x:v>
      </x:c>
      <x:c r="C3888" s="34" t="str">
        <x:v>Round1</x:v>
      </x:c>
      <x:c r="D3888" s="34" t="str">
        <x:v>JacksonDatabind_80</x:v>
      </x:c>
      <x:c r="E3888" s="34" t="str">
        <x:v>Condition</x:v>
      </x:c>
      <x:c r="F3888" s="34" t="n">
        <x:v>78</x:v>
      </x:c>
      <x:c r="G3888" s="34" t="str">
        <x:v>RECORDED</x:v>
      </x:c>
      <x:c r="H3888" s="38" t="n">
        <x:f>IF(ISNUMBER('Data'!I472),'Data'!I472*100,"")</x:f>
        <x:v>7.690000000000001</x:v>
      </x:c>
      <x:c r="I3888" s="34" t="str">
        <x:v>PASS</x:v>
      </x:c>
      <x:c r="J3888" s="34" t="str">
        <x:v>PASS</x:v>
      </x:c>
      <x:c r="K3888" s="34" t="str">
        <x:v>PASS</x:v>
      </x:c>
      <x:c r="L3888" s="34" t="str">
        <x:v>PASS</x:v>
      </x:c>
      <x:c r="M3888" s="34" t="str">
        <x:v>numeric coverage for applicable metric</x:v>
      </x:c>
      <x:c r="N3888" s="34" t="str">
        <x:v>Feedback-Directed Random Test Generation/Result/JacksonDatabind_80/result.json</x:v>
      </x:c>
      <x:c r="O3888" s="38" t="n">
        <x:f>IF(AND(G3888="RECORDED",ISNUMBER(H3888)),H3888,"")</x:f>
        <x:v>7.690000000000001</x:v>
      </x:c>
      <x:c r="P3888" s="34" t="str">
        <x:v>NOT_REVEALING</x:v>
      </x:c>
      <x:c r="Q3888" s="34" t="str">
        <x:v>Feedback-Directed Random Test Generation/Result/JacksonDatabind_80/result.json</x:v>
      </x:c>
    </x:row>
    <x:row r="3889">
      <x:c r="A3889" s="34" t="str">
        <x:v>randoop</x:v>
      </x:c>
      <x:c r="B3889" s="34" t="str">
        <x:v>JacksonDatabind</x:v>
      </x:c>
      <x:c r="C3889" s="34" t="str">
        <x:v>Round1</x:v>
      </x:c>
      <x:c r="D3889" s="34" t="str">
        <x:v>JacksonDatabind_81</x:v>
      </x:c>
      <x:c r="E3889" s="34" t="str">
        <x:v>Condition</x:v>
      </x:c>
      <x:c r="F3889" s="34" t="n">
        <x:v>365</x:v>
      </x:c>
      <x:c r="G3889" s="34" t="str">
        <x:v>RECORDED</x:v>
      </x:c>
      <x:c r="H3889" s="38" t="n">
        <x:f>IF(ISNUMBER('Data'!I473),'Data'!I473*100,"")</x:f>
        <x:v>2.19</x:v>
      </x:c>
      <x:c r="I3889" s="34" t="str">
        <x:v>PASS</x:v>
      </x:c>
      <x:c r="J3889" s="34" t="str">
        <x:v>PASS</x:v>
      </x:c>
      <x:c r="K3889" s="34" t="str">
        <x:v>PASS</x:v>
      </x:c>
      <x:c r="L3889" s="34" t="str">
        <x:v>PASS</x:v>
      </x:c>
      <x:c r="M3889" s="34" t="str">
        <x:v>numeric coverage for applicable metric</x:v>
      </x:c>
      <x:c r="N3889" s="34" t="str">
        <x:v>Feedback-Directed Random Test Generation/Result/JacksonDatabind_81/result.json</x:v>
      </x:c>
      <x:c r="O3889" s="38" t="n">
        <x:f>IF(AND(G3889="RECORDED",ISNUMBER(H3889)),H3889,"")</x:f>
        <x:v>2.19</x:v>
      </x:c>
      <x:c r="P3889" s="34" t="str">
        <x:v>NOT_REVEALING</x:v>
      </x:c>
      <x:c r="Q3889" s="34" t="str">
        <x:v>Feedback-Directed Random Test Generation/Result/JacksonDatabind_81/result.json</x:v>
      </x:c>
    </x:row>
    <x:row r="3890">
      <x:c r="A3890" s="34" t="str">
        <x:v>randoop</x:v>
      </x:c>
      <x:c r="B3890" s="34" t="str">
        <x:v>JacksonDatabind</x:v>
      </x:c>
      <x:c r="C3890" s="34" t="str">
        <x:v>Round1</x:v>
      </x:c>
      <x:c r="D3890" s="34" t="str">
        <x:v>JacksonDatabind_82</x:v>
      </x:c>
      <x:c r="E3890" s="34" t="str">
        <x:v>Condition</x:v>
      </x:c>
      <x:c r="F3890" s="34" t="n">
        <x:v>212</x:v>
      </x:c>
      <x:c r="G3890" s="34" t="str">
        <x:v>RECORDED</x:v>
      </x:c>
      <x:c r="H3890" s="38" t="n">
        <x:f>IF(ISNUMBER('Data'!I474),'Data'!I474*100,"")</x:f>
        <x:v>3.3000000000000003</x:v>
      </x:c>
      <x:c r="I3890" s="34" t="str">
        <x:v>PASS</x:v>
      </x:c>
      <x:c r="J3890" s="34" t="str">
        <x:v>PASS</x:v>
      </x:c>
      <x:c r="K3890" s="34" t="str">
        <x:v>PASS</x:v>
      </x:c>
      <x:c r="L3890" s="34" t="str">
        <x:v>PASS</x:v>
      </x:c>
      <x:c r="M3890" s="34" t="str">
        <x:v>numeric coverage for applicable metric</x:v>
      </x:c>
      <x:c r="N3890" s="34" t="str">
        <x:v>Feedback-Directed Random Test Generation/Result/JacksonDatabind_82/result.json</x:v>
      </x:c>
      <x:c r="O3890" s="38" t="n">
        <x:f>IF(AND(G3890="RECORDED",ISNUMBER(H3890)),H3890,"")</x:f>
        <x:v>3.3000000000000003</x:v>
      </x:c>
      <x:c r="P3890" s="34" t="str">
        <x:v>NOT_REVEALING</x:v>
      </x:c>
      <x:c r="Q3890" s="34" t="str">
        <x:v>Feedback-Directed Random Test Generation/Result/JacksonDatabind_82/result.json</x:v>
      </x:c>
    </x:row>
    <x:row r="3891">
      <x:c r="A3891" s="34" t="str">
        <x:v>randoop</x:v>
      </x:c>
      <x:c r="B3891" s="34" t="str">
        <x:v>JacksonDatabind</x:v>
      </x:c>
      <x:c r="C3891" s="34" t="str">
        <x:v>Round1</x:v>
      </x:c>
      <x:c r="D3891" s="34" t="str">
        <x:v>JacksonDatabind_83</x:v>
      </x:c>
      <x:c r="E3891" s="34" t="str">
        <x:v>Condition</x:v>
      </x:c>
      <x:c r="F3891" s="34" t="n">
        <x:v>88</x:v>
      </x:c>
      <x:c r="G3891" s="34" t="str">
        <x:v>RECORDED</x:v>
      </x:c>
      <x:c r="H3891" s="38" t="n">
        <x:f>IF(ISNUMBER('Data'!I475),'Data'!I475*100,"")</x:f>
        <x:v>0</x:v>
      </x:c>
      <x:c r="I3891" s="34" t="str">
        <x:v>PASS</x:v>
      </x:c>
      <x:c r="J3891" s="34" t="str">
        <x:v>PASS</x:v>
      </x:c>
      <x:c r="K3891" s="34" t="str">
        <x:v>PASS</x:v>
      </x:c>
      <x:c r="L3891" s="34" t="str">
        <x:v>PASS</x:v>
      </x:c>
      <x:c r="M3891" s="34" t="str">
        <x:v>numeric coverage for applicable metric</x:v>
      </x:c>
      <x:c r="N3891" s="34" t="str">
        <x:v>Feedback-Directed Random Test Generation/Result/JacksonDatabind_83/result.json</x:v>
      </x:c>
      <x:c r="O3891" s="38" t="n">
        <x:f>IF(AND(G3891="RECORDED",ISNUMBER(H3891)),H3891,"")</x:f>
        <x:v>0</x:v>
      </x:c>
      <x:c r="P3891" s="34" t="str">
        <x:v>NOT_REVEALING</x:v>
      </x:c>
      <x:c r="Q3891" s="34" t="str">
        <x:v>Feedback-Directed Random Test Generation/Result/JacksonDatabind_83/result.json</x:v>
      </x:c>
    </x:row>
    <x:row r="3892">
      <x:c r="A3892" s="34" t="str">
        <x:v>randoop</x:v>
      </x:c>
      <x:c r="B3892" s="34" t="str">
        <x:v>JacksonDatabind</x:v>
      </x:c>
      <x:c r="C3892" s="34" t="str">
        <x:v>Round1</x:v>
      </x:c>
      <x:c r="D3892" s="34" t="str">
        <x:v>JacksonDatabind_84</x:v>
      </x:c>
      <x:c r="E3892" s="34" t="str">
        <x:v>Condition</x:v>
      </x:c>
      <x:c r="F3892" s="34" t="n">
        <x:v>14</x:v>
      </x:c>
      <x:c r="G3892" s="34" t="str">
        <x:v>RECORDED</x:v>
      </x:c>
      <x:c r="H3892" s="38" t="n">
        <x:f>IF(ISNUMBER('Data'!I476),'Data'!I476*100,"")</x:f>
        <x:v>0</x:v>
      </x:c>
      <x:c r="I3892" s="34" t="str">
        <x:v>PASS</x:v>
      </x:c>
      <x:c r="J3892" s="34" t="str">
        <x:v>PASS</x:v>
      </x:c>
      <x:c r="K3892" s="34" t="str">
        <x:v>PASS</x:v>
      </x:c>
      <x:c r="L3892" s="34" t="str">
        <x:v>PASS</x:v>
      </x:c>
      <x:c r="M3892" s="34" t="str">
        <x:v>numeric coverage for applicable metric</x:v>
      </x:c>
      <x:c r="N3892" s="34" t="str">
        <x:v>Feedback-Directed Random Test Generation/Result/JacksonDatabind_84/result.json</x:v>
      </x:c>
      <x:c r="O3892" s="38" t="n">
        <x:f>IF(AND(G3892="RECORDED",ISNUMBER(H3892)),H3892,"")</x:f>
        <x:v>0</x:v>
      </x:c>
      <x:c r="P3892" s="34" t="str">
        <x:v>NOT_REVEALING</x:v>
      </x:c>
      <x:c r="Q3892" s="34" t="str">
        <x:v>Feedback-Directed Random Test Generation/Result/JacksonDatabind_84/result.json</x:v>
      </x:c>
    </x:row>
    <x:row r="3893">
      <x:c r="A3893" s="34" t="str">
        <x:v>randoop</x:v>
      </x:c>
      <x:c r="B3893" s="34" t="str">
        <x:v>JacksonDatabind</x:v>
      </x:c>
      <x:c r="C3893" s="34" t="str">
        <x:v>Round1</x:v>
      </x:c>
      <x:c r="D3893" s="34" t="str">
        <x:v>JacksonDatabind_85</x:v>
      </x:c>
      <x:c r="E3893" s="34" t="str">
        <x:v>Condition</x:v>
      </x:c>
      <x:c r="F3893" s="34" t="n">
        <x:v>38</x:v>
      </x:c>
      <x:c r="G3893" s="34" t="str">
        <x:v>RECORDED</x:v>
      </x:c>
      <x:c r="H3893" s="38" t="n">
        <x:f>IF(ISNUMBER('Data'!I477),'Data'!I477*100,"")</x:f>
        <x:v>0</x:v>
      </x:c>
      <x:c r="I3893" s="34" t="str">
        <x:v>PASS</x:v>
      </x:c>
      <x:c r="J3893" s="34" t="str">
        <x:v>PASS</x:v>
      </x:c>
      <x:c r="K3893" s="34" t="str">
        <x:v>PASS</x:v>
      </x:c>
      <x:c r="L3893" s="34" t="str">
        <x:v>PASS</x:v>
      </x:c>
      <x:c r="M3893" s="34" t="str">
        <x:v>numeric coverage for applicable metric</x:v>
      </x:c>
      <x:c r="N3893" s="34" t="str">
        <x:v>Feedback-Directed Random Test Generation/Result/JacksonDatabind_85/result.json</x:v>
      </x:c>
      <x:c r="O3893" s="38" t="n">
        <x:f>IF(AND(G3893="RECORDED",ISNUMBER(H3893)),H3893,"")</x:f>
        <x:v>0</x:v>
      </x:c>
      <x:c r="P3893" s="34" t="str">
        <x:v>NOT_REVEALING</x:v>
      </x:c>
      <x:c r="Q3893" s="34" t="str">
        <x:v>Feedback-Directed Random Test Generation/Result/JacksonDatabind_85/result.json</x:v>
      </x:c>
    </x:row>
    <x:row r="3894">
      <x:c r="A3894" s="34" t="str">
        <x:v>randoop</x:v>
      </x:c>
      <x:c r="B3894" s="34" t="str">
        <x:v>JacksonDatabind</x:v>
      </x:c>
      <x:c r="C3894" s="34" t="str">
        <x:v>Round1</x:v>
      </x:c>
      <x:c r="D3894" s="34" t="str">
        <x:v>JacksonDatabind_86</x:v>
      </x:c>
      <x:c r="E3894" s="34" t="str">
        <x:v>Condition</x:v>
      </x:c>
      <x:c r="F3894" s="34" t="n">
        <x:v>14</x:v>
      </x:c>
      <x:c r="G3894" s="34" t="str">
        <x:v>RECORDED</x:v>
      </x:c>
      <x:c r="H3894" s="38" t="n">
        <x:f>IF(ISNUMBER('Data'!I478),'Data'!I478*100,"")</x:f>
        <x:v>0</x:v>
      </x:c>
      <x:c r="I3894" s="34" t="str">
        <x:v>PASS</x:v>
      </x:c>
      <x:c r="J3894" s="34" t="str">
        <x:v>PASS</x:v>
      </x:c>
      <x:c r="K3894" s="34" t="str">
        <x:v>PASS</x:v>
      </x:c>
      <x:c r="L3894" s="34" t="str">
        <x:v>PASS</x:v>
      </x:c>
      <x:c r="M3894" s="34" t="str">
        <x:v>numeric coverage for applicable metric</x:v>
      </x:c>
      <x:c r="N3894" s="34" t="str">
        <x:v>Feedback-Directed Random Test Generation/Result/JacksonDatabind_86/result.json</x:v>
      </x:c>
      <x:c r="O3894" s="38" t="n">
        <x:f>IF(AND(G3894="RECORDED",ISNUMBER(H3894)),H3894,"")</x:f>
        <x:v>0</x:v>
      </x:c>
      <x:c r="P3894" s="34" t="str">
        <x:v>NOT_REVEALING</x:v>
      </x:c>
      <x:c r="Q3894" s="34" t="str">
        <x:v>Feedback-Directed Random Test Generation/Result/JacksonDatabind_86/result.json</x:v>
      </x:c>
    </x:row>
    <x:row r="3895">
      <x:c r="A3895" s="34" t="str">
        <x:v>randoop</x:v>
      </x:c>
      <x:c r="B3895" s="34" t="str">
        <x:v>JacksonDatabind</x:v>
      </x:c>
      <x:c r="C3895" s="34" t="str">
        <x:v>Round1</x:v>
      </x:c>
      <x:c r="D3895" s="34" t="str">
        <x:v>JacksonDatabind_87</x:v>
      </x:c>
      <x:c r="E3895" s="34" t="str">
        <x:v>Condition</x:v>
      </x:c>
      <x:c r="F3895" s="34" t="n">
        <x:v>136</x:v>
      </x:c>
      <x:c r="G3895" s="34" t="str">
        <x:v>RECORDED</x:v>
      </x:c>
      <x:c r="H3895" s="38" t="n">
        <x:f>IF(ISNUMBER('Data'!I479),'Data'!I479*100,"")</x:f>
        <x:v>58.82000000000001</x:v>
      </x:c>
      <x:c r="I3895" s="34" t="str">
        <x:v>PASS</x:v>
      </x:c>
      <x:c r="J3895" s="34" t="str">
        <x:v>PASS</x:v>
      </x:c>
      <x:c r="K3895" s="34" t="str">
        <x:v>PASS</x:v>
      </x:c>
      <x:c r="L3895" s="34" t="str">
        <x:v>PASS</x:v>
      </x:c>
      <x:c r="M3895" s="34" t="str">
        <x:v>numeric coverage for applicable metric</x:v>
      </x:c>
      <x:c r="N3895" s="34" t="str">
        <x:v>Feedback-Directed Random Test Generation/Result/JacksonDatabind_87/result.json</x:v>
      </x:c>
      <x:c r="O3895" s="38" t="n">
        <x:f>IF(AND(G3895="RECORDED",ISNUMBER(H3895)),H3895,"")</x:f>
        <x:v>58.82000000000001</x:v>
      </x:c>
      <x:c r="P3895" s="34" t="str">
        <x:v>INCONCLUSIVE</x:v>
      </x:c>
      <x:c r="Q3895" s="34" t="str">
        <x:v>Feedback-Directed Random Test Generation/Result/JacksonDatabind_87/result.json</x:v>
      </x:c>
    </x:row>
    <x:row r="3896">
      <x:c r="A3896" s="34" t="str">
        <x:v>randoop</x:v>
      </x:c>
      <x:c r="B3896" s="34" t="str">
        <x:v>JacksonDatabind</x:v>
      </x:c>
      <x:c r="C3896" s="34" t="str">
        <x:v>Round1</x:v>
      </x:c>
      <x:c r="D3896" s="34" t="str">
        <x:v>JacksonDatabind_88</x:v>
      </x:c>
      <x:c r="E3896" s="34" t="str">
        <x:v>Condition</x:v>
      </x:c>
      <x:c r="F3896" s="34" t="n">
        <x:v>26</x:v>
      </x:c>
      <x:c r="G3896" s="34" t="str">
        <x:v>RECORDED</x:v>
      </x:c>
      <x:c r="H3896" s="38" t="n">
        <x:f>IF(ISNUMBER('Data'!I480),'Data'!I480*100,"")</x:f>
        <x:v>26.919999999999998</x:v>
      </x:c>
      <x:c r="I3896" s="34" t="str">
        <x:v>PASS</x:v>
      </x:c>
      <x:c r="J3896" s="34" t="str">
        <x:v>PASS</x:v>
      </x:c>
      <x:c r="K3896" s="34" t="str">
        <x:v>PASS</x:v>
      </x:c>
      <x:c r="L3896" s="34" t="str">
        <x:v>PASS</x:v>
      </x:c>
      <x:c r="M3896" s="34" t="str">
        <x:v>numeric coverage for applicable metric</x:v>
      </x:c>
      <x:c r="N3896" s="34" t="str">
        <x:v>Feedback-Directed Random Test Generation/Result/JacksonDatabind_88/result.json</x:v>
      </x:c>
      <x:c r="O3896" s="38" t="n">
        <x:f>IF(AND(G3896="RECORDED",ISNUMBER(H3896)),H3896,"")</x:f>
        <x:v>26.919999999999998</x:v>
      </x:c>
      <x:c r="P3896" s="34" t="str">
        <x:v>NOT_REVEALING</x:v>
      </x:c>
      <x:c r="Q3896" s="34" t="str">
        <x:v>Feedback-Directed Random Test Generation/Result/JacksonDatabind_88/result.json</x:v>
      </x:c>
    </x:row>
    <x:row r="3897">
      <x:c r="A3897" s="34" t="str">
        <x:v>randoop</x:v>
      </x:c>
      <x:c r="B3897" s="34" t="str">
        <x:v>JacksonDatabind</x:v>
      </x:c>
      <x:c r="C3897" s="34" t="str">
        <x:v>Round1</x:v>
      </x:c>
      <x:c r="D3897" s="34" t="str">
        <x:v>JacksonDatabind_90</x:v>
      </x:c>
      <x:c r="E3897" s="34" t="str">
        <x:v>Condition</x:v>
      </x:c>
      <x:c r="F3897" s="34" t="n">
        <x:v>104</x:v>
      </x:c>
      <x:c r="G3897" s="34" t="str">
        <x:v>RECORDED</x:v>
      </x:c>
      <x:c r="H3897" s="38" t="n">
        <x:f>IF(ISNUMBER('Data'!I481),'Data'!I481*100,"")</x:f>
        <x:v>33.65</x:v>
      </x:c>
      <x:c r="I3897" s="34" t="str">
        <x:v>PASS</x:v>
      </x:c>
      <x:c r="J3897" s="34" t="str">
        <x:v>PASS</x:v>
      </x:c>
      <x:c r="K3897" s="34" t="str">
        <x:v>PASS</x:v>
      </x:c>
      <x:c r="L3897" s="34" t="str">
        <x:v>PASS</x:v>
      </x:c>
      <x:c r="M3897" s="34" t="str">
        <x:v>numeric coverage for applicable metric</x:v>
      </x:c>
      <x:c r="N3897" s="34" t="str">
        <x:v>Feedback-Directed Random Test Generation/Result/JacksonDatabind_90/result.json</x:v>
      </x:c>
      <x:c r="O3897" s="38" t="n">
        <x:f>IF(AND(G3897="RECORDED",ISNUMBER(H3897)),H3897,"")</x:f>
        <x:v>33.65</x:v>
      </x:c>
      <x:c r="P3897" s="34" t="str">
        <x:v>NOT_REVEALING</x:v>
      </x:c>
      <x:c r="Q3897" s="34" t="str">
        <x:v>Feedback-Directed Random Test Generation/Result/JacksonDatabind_90/result.json</x:v>
      </x:c>
    </x:row>
    <x:row r="3898">
      <x:c r="A3898" s="34" t="str">
        <x:v>randoop</x:v>
      </x:c>
      <x:c r="B3898" s="34" t="str">
        <x:v>JacksonDatabind</x:v>
      </x:c>
      <x:c r="C3898" s="34" t="str">
        <x:v>Round1</x:v>
      </x:c>
      <x:c r="D3898" s="34" t="str">
        <x:v>JacksonDatabind_91</x:v>
      </x:c>
      <x:c r="E3898" s="34" t="str">
        <x:v>Condition</x:v>
      </x:c>
      <x:c r="F3898" s="34" t="n">
        <x:v>122</x:v>
      </x:c>
      <x:c r="G3898" s="34" t="str">
        <x:v>RECORDED</x:v>
      </x:c>
      <x:c r="H3898" s="38" t="n">
        <x:f>IF(ISNUMBER('Data'!I482),'Data'!I482*100,"")</x:f>
        <x:v>0.8199999999999998</x:v>
      </x:c>
      <x:c r="I3898" s="34" t="str">
        <x:v>PASS</x:v>
      </x:c>
      <x:c r="J3898" s="34" t="str">
        <x:v>PASS</x:v>
      </x:c>
      <x:c r="K3898" s="34" t="str">
        <x:v>PASS</x:v>
      </x:c>
      <x:c r="L3898" s="34" t="str">
        <x:v>PASS</x:v>
      </x:c>
      <x:c r="M3898" s="34" t="str">
        <x:v>numeric coverage for applicable metric</x:v>
      </x:c>
      <x:c r="N3898" s="34" t="str">
        <x:v>Feedback-Directed Random Test Generation/Result/JacksonDatabind_91/result.json</x:v>
      </x:c>
      <x:c r="O3898" s="38" t="n">
        <x:f>IF(AND(G3898="RECORDED",ISNUMBER(H3898)),H3898,"")</x:f>
        <x:v>0.8199999999999998</x:v>
      </x:c>
      <x:c r="P3898" s="34" t="str">
        <x:v>NOT_REVEALING</x:v>
      </x:c>
      <x:c r="Q3898" s="34" t="str">
        <x:v>Feedback-Directed Random Test Generation/Result/JacksonDatabind_91/result.json</x:v>
      </x:c>
    </x:row>
    <x:row r="3899">
      <x:c r="A3899" s="34" t="str">
        <x:v>randoop</x:v>
      </x:c>
      <x:c r="B3899" s="34" t="str">
        <x:v>JacksonDatabind</x:v>
      </x:c>
      <x:c r="C3899" s="34" t="str">
        <x:v>Round1</x:v>
      </x:c>
      <x:c r="D3899" s="34" t="str">
        <x:v>JacksonDatabind_92</x:v>
      </x:c>
      <x:c r="E3899" s="34" t="str">
        <x:v>Condition</x:v>
      </x:c>
      <x:c r="F3899" s="34" t="n">
        <x:v>204</x:v>
      </x:c>
      <x:c r="G3899" s="34" t="str">
        <x:v>RECORDED</x:v>
      </x:c>
      <x:c r="H3899" s="38" t="n">
        <x:f>IF(ISNUMBER('Data'!I483),'Data'!I483*100,"")</x:f>
        <x:v>2.45</x:v>
      </x:c>
      <x:c r="I3899" s="34" t="str">
        <x:v>PASS</x:v>
      </x:c>
      <x:c r="J3899" s="34" t="str">
        <x:v>PASS</x:v>
      </x:c>
      <x:c r="K3899" s="34" t="str">
        <x:v>PASS</x:v>
      </x:c>
      <x:c r="L3899" s="34" t="str">
        <x:v>PASS</x:v>
      </x:c>
      <x:c r="M3899" s="34" t="str">
        <x:v>numeric coverage for applicable metric</x:v>
      </x:c>
      <x:c r="N3899" s="34" t="str">
        <x:v>Feedback-Directed Random Test Generation/Result/JacksonDatabind_92/result.json</x:v>
      </x:c>
      <x:c r="O3899" s="38" t="n">
        <x:f>IF(AND(G3899="RECORDED",ISNUMBER(H3899)),H3899,"")</x:f>
        <x:v>2.45</x:v>
      </x:c>
      <x:c r="P3899" s="34" t="str">
        <x:v>NOT_REVEALING</x:v>
      </x:c>
      <x:c r="Q3899" s="34" t="str">
        <x:v>Feedback-Directed Random Test Generation/Result/JacksonDatabind_92/result.json</x:v>
      </x:c>
    </x:row>
    <x:row r="3900">
      <x:c r="A3900" s="34" t="str">
        <x:v>randoop</x:v>
      </x:c>
      <x:c r="B3900" s="34" t="str">
        <x:v>JacksonDatabind</x:v>
      </x:c>
      <x:c r="C3900" s="34" t="str">
        <x:v>Round1</x:v>
      </x:c>
      <x:c r="D3900" s="34" t="str">
        <x:v>JacksonDatabind_93</x:v>
      </x:c>
      <x:c r="E3900" s="34" t="str">
        <x:v>Condition</x:v>
      </x:c>
      <x:c r="F3900" s="34" t="n">
        <x:v>10</x:v>
      </x:c>
      <x:c r="G3900" s="34" t="str">
        <x:v>RECORDED</x:v>
      </x:c>
      <x:c r="H3900" s="38" t="n">
        <x:f>IF(ISNUMBER('Data'!I484),'Data'!I484*100,"")</x:f>
        <x:v>0</x:v>
      </x:c>
      <x:c r="I3900" s="34" t="str">
        <x:v>PASS</x:v>
      </x:c>
      <x:c r="J3900" s="34" t="str">
        <x:v>PASS</x:v>
      </x:c>
      <x:c r="K3900" s="34" t="str">
        <x:v>PASS</x:v>
      </x:c>
      <x:c r="L3900" s="34" t="str">
        <x:v>PASS</x:v>
      </x:c>
      <x:c r="M3900" s="34" t="str">
        <x:v>numeric coverage for applicable metric</x:v>
      </x:c>
      <x:c r="N3900" s="34" t="str">
        <x:v>Feedback-Directed Random Test Generation/Result/JacksonDatabind_93/result.json</x:v>
      </x:c>
      <x:c r="O3900" s="38" t="n">
        <x:f>IF(AND(G3900="RECORDED",ISNUMBER(H3900)),H3900,"")</x:f>
        <x:v>0</x:v>
      </x:c>
      <x:c r="P3900" s="34" t="str">
        <x:v>NOT_REVEALING</x:v>
      </x:c>
      <x:c r="Q3900" s="34" t="str">
        <x:v>Feedback-Directed Random Test Generation/Result/JacksonDatabind_93/result.json</x:v>
      </x:c>
    </x:row>
    <x:row r="3901">
      <x:c r="A3901" s="34" t="str">
        <x:v>randoop</x:v>
      </x:c>
      <x:c r="B3901" s="34" t="str">
        <x:v>JacksonDatabind</x:v>
      </x:c>
      <x:c r="C3901" s="34" t="str">
        <x:v>Round1</x:v>
      </x:c>
      <x:c r="D3901" s="34" t="str">
        <x:v>JacksonDatabind_94</x:v>
      </x:c>
      <x:c r="E3901" s="34" t="str">
        <x:v>Condition</x:v>
      </x:c>
      <x:c r="F3901" s="34" t="n">
        <x:v>14</x:v>
      </x:c>
      <x:c r="G3901" s="34" t="str">
        <x:v>RECORDED</x:v>
      </x:c>
      <x:c r="H3901" s="38" t="n">
        <x:f>IF(ISNUMBER('Data'!I485),'Data'!I485*100,"")</x:f>
        <x:v>0</x:v>
      </x:c>
      <x:c r="I3901" s="34" t="str">
        <x:v>PASS</x:v>
      </x:c>
      <x:c r="J3901" s="34" t="str">
        <x:v>PASS</x:v>
      </x:c>
      <x:c r="K3901" s="34" t="str">
        <x:v>PASS</x:v>
      </x:c>
      <x:c r="L3901" s="34" t="str">
        <x:v>FAIL</x:v>
      </x:c>
      <x:c r="M3901" s="34" t="str">
        <x:v>numeric coverage for applicable metric</x:v>
      </x:c>
      <x:c r="N3901" s="34" t="str">
        <x:v>Feedback-Directed Random Test Generation/Result/JacksonDatabind_94/result.json</x:v>
      </x:c>
      <x:c r="O3901" s="38" t="n">
        <x:f>IF(AND(G3901="RECORDED",ISNUMBER(H3901)),H3901,"")</x:f>
        <x:v>0</x:v>
      </x:c>
      <x:c r="P3901" s="34" t="str">
        <x:v>INCONCLUSIVE</x:v>
      </x:c>
      <x:c r="Q3901" s="34" t="str">
        <x:v>Feedback-Directed Random Test Generation/Result/JacksonDatabind_94/result.json</x:v>
      </x:c>
    </x:row>
    <x:row r="3902">
      <x:c r="A3902" s="34" t="str">
        <x:v>randoop</x:v>
      </x:c>
      <x:c r="B3902" s="34" t="str">
        <x:v>JacksonDatabind</x:v>
      </x:c>
      <x:c r="C3902" s="34" t="str">
        <x:v>Round1</x:v>
      </x:c>
      <x:c r="D3902" s="34" t="str">
        <x:v>JacksonDatabind_95</x:v>
      </x:c>
      <x:c r="E3902" s="34" t="str">
        <x:v>Condition</x:v>
      </x:c>
      <x:c r="F3902" s="34" t="n">
        <x:v>271</x:v>
      </x:c>
      <x:c r="G3902" s="34" t="str">
        <x:v>RECORDED</x:v>
      </x:c>
      <x:c r="H3902" s="38" t="n">
        <x:f>IF(ISNUMBER('Data'!I486),'Data'!I486*100,"")</x:f>
        <x:v>36.53</x:v>
      </x:c>
      <x:c r="I3902" s="34" t="str">
        <x:v>PASS</x:v>
      </x:c>
      <x:c r="J3902" s="34" t="str">
        <x:v>PASS</x:v>
      </x:c>
      <x:c r="K3902" s="34" t="str">
        <x:v>PASS</x:v>
      </x:c>
      <x:c r="L3902" s="34" t="str">
        <x:v>PASS</x:v>
      </x:c>
      <x:c r="M3902" s="34" t="str">
        <x:v>numeric coverage for applicable metric</x:v>
      </x:c>
      <x:c r="N3902" s="34" t="str">
        <x:v>Feedback-Directed Random Test Generation/Result/JacksonDatabind_95/result.json</x:v>
      </x:c>
      <x:c r="O3902" s="38" t="n">
        <x:f>IF(AND(G3902="RECORDED",ISNUMBER(H3902)),H3902,"")</x:f>
        <x:v>36.53</x:v>
      </x:c>
      <x:c r="P3902" s="34" t="str">
        <x:v>NOT_REVEALING</x:v>
      </x:c>
      <x:c r="Q3902" s="34" t="str">
        <x:v>Feedback-Directed Random Test Generation/Result/JacksonDatabind_95/result.json</x:v>
      </x:c>
    </x:row>
    <x:row r="3903">
      <x:c r="A3903" s="34" t="str">
        <x:v>randoop</x:v>
      </x:c>
      <x:c r="B3903" s="34" t="str">
        <x:v>JacksonDatabind</x:v>
      </x:c>
      <x:c r="C3903" s="34" t="str">
        <x:v>Round1</x:v>
      </x:c>
      <x:c r="D3903" s="34" t="str">
        <x:v>JacksonDatabind_96</x:v>
      </x:c>
      <x:c r="E3903" s="34" t="str">
        <x:v>Condition</x:v>
      </x:c>
      <x:c r="F3903" s="34" t="n">
        <x:v>614</x:v>
      </x:c>
      <x:c r="G3903" s="34" t="str">
        <x:v>RECORDED</x:v>
      </x:c>
      <x:c r="H3903" s="38" t="n">
        <x:f>IF(ISNUMBER('Data'!I487),'Data'!I487*100,"")</x:f>
        <x:v>0</x:v>
      </x:c>
      <x:c r="I3903" s="34" t="str">
        <x:v>PASS</x:v>
      </x:c>
      <x:c r="J3903" s="34" t="str">
        <x:v>PASS</x:v>
      </x:c>
      <x:c r="K3903" s="34" t="str">
        <x:v>PASS</x:v>
      </x:c>
      <x:c r="L3903" s="34" t="str">
        <x:v>PASS</x:v>
      </x:c>
      <x:c r="M3903" s="34" t="str">
        <x:v>numeric coverage for applicable metric</x:v>
      </x:c>
      <x:c r="N3903" s="34" t="str">
        <x:v>Feedback-Directed Random Test Generation/Result/JacksonDatabind_96/result.json</x:v>
      </x:c>
      <x:c r="O3903" s="38" t="n">
        <x:f>IF(AND(G3903="RECORDED",ISNUMBER(H3903)),H3903,"")</x:f>
        <x:v>0</x:v>
      </x:c>
      <x:c r="P3903" s="34" t="str">
        <x:v>NOT_REVEALING</x:v>
      </x:c>
      <x:c r="Q3903" s="34" t="str">
        <x:v>Feedback-Directed Random Test Generation/Result/JacksonDatabind_96/result.json</x:v>
      </x:c>
    </x:row>
    <x:row r="3904">
      <x:c r="A3904" s="34" t="str">
        <x:v>randoop</x:v>
      </x:c>
      <x:c r="B3904" s="34" t="str">
        <x:v>JacksonDatabind</x:v>
      </x:c>
      <x:c r="C3904" s="34" t="str">
        <x:v>Round1</x:v>
      </x:c>
      <x:c r="D3904" s="34" t="str">
        <x:v>JacksonDatabind_97</x:v>
      </x:c>
      <x:c r="E3904" s="34" t="str">
        <x:v>Condition</x:v>
      </x:c>
      <x:c r="F3904" s="34" t="n">
        <x:v>34</x:v>
      </x:c>
      <x:c r="G3904" s="34" t="str">
        <x:v>RECORDED</x:v>
      </x:c>
      <x:c r="H3904" s="38" t="n">
        <x:f>IF(ISNUMBER('Data'!I488),'Data'!I488*100,"")</x:f>
        <x:v>67.65</x:v>
      </x:c>
      <x:c r="I3904" s="34" t="str">
        <x:v>PASS</x:v>
      </x:c>
      <x:c r="J3904" s="34" t="str">
        <x:v>PASS</x:v>
      </x:c>
      <x:c r="K3904" s="34" t="str">
        <x:v>PASS</x:v>
      </x:c>
      <x:c r="L3904" s="34" t="str">
        <x:v>PASS</x:v>
      </x:c>
      <x:c r="M3904" s="34" t="str">
        <x:v>numeric coverage for applicable metric</x:v>
      </x:c>
      <x:c r="N3904" s="34" t="str">
        <x:v>Feedback-Directed Random Test Generation/Result/JacksonDatabind_97/result.json</x:v>
      </x:c>
      <x:c r="O3904" s="38" t="n">
        <x:f>IF(AND(G3904="RECORDED",ISNUMBER(H3904)),H3904,"")</x:f>
        <x:v>67.65</x:v>
      </x:c>
      <x:c r="P3904" s="34" t="str">
        <x:v>NOT_REVEALING</x:v>
      </x:c>
      <x:c r="Q3904" s="34" t="str">
        <x:v>Feedback-Directed Random Test Generation/Result/JacksonDatabind_97/result.json</x:v>
      </x:c>
    </x:row>
    <x:row r="3905">
      <x:c r="A3905" s="34" t="str">
        <x:v>randoop</x:v>
      </x:c>
      <x:c r="B3905" s="34" t="str">
        <x:v>JacksonDatabind</x:v>
      </x:c>
      <x:c r="C3905" s="34" t="str">
        <x:v>Round1</x:v>
      </x:c>
      <x:c r="D3905" s="34" t="str">
        <x:v>JacksonDatabind_98</x:v>
      </x:c>
      <x:c r="E3905" s="34" t="str">
        <x:v>Condition</x:v>
      </x:c>
      <x:c r="F3905" s="34" t="n">
        <x:v>92</x:v>
      </x:c>
      <x:c r="G3905" s="34" t="str">
        <x:v>RECORDED</x:v>
      </x:c>
      <x:c r="H3905" s="38" t="n">
        <x:f>IF(ISNUMBER('Data'!I489),'Data'!I489*100,"")</x:f>
        <x:v>5.43</x:v>
      </x:c>
      <x:c r="I3905" s="34" t="str">
        <x:v>PASS</x:v>
      </x:c>
      <x:c r="J3905" s="34" t="str">
        <x:v>PASS</x:v>
      </x:c>
      <x:c r="K3905" s="34" t="str">
        <x:v>PASS</x:v>
      </x:c>
      <x:c r="L3905" s="34" t="str">
        <x:v>PASS</x:v>
      </x:c>
      <x:c r="M3905" s="34" t="str">
        <x:v>numeric coverage for applicable metric</x:v>
      </x:c>
      <x:c r="N3905" s="34" t="str">
        <x:v>Feedback-Directed Random Test Generation/Result/JacksonDatabind_98/result.json</x:v>
      </x:c>
      <x:c r="O3905" s="38" t="n">
        <x:f>IF(AND(G3905="RECORDED",ISNUMBER(H3905)),H3905,"")</x:f>
        <x:v>5.43</x:v>
      </x:c>
      <x:c r="P3905" s="34" t="str">
        <x:v>NOT_REVEALING</x:v>
      </x:c>
      <x:c r="Q3905" s="34" t="str">
        <x:v>Feedback-Directed Random Test Generation/Result/JacksonDatabind_98/result.json</x:v>
      </x:c>
    </x:row>
    <x:row r="3906">
      <x:c r="A3906" s="34" t="str">
        <x:v>randoop</x:v>
      </x:c>
      <x:c r="B3906" s="34" t="str">
        <x:v>JacksonDatabind</x:v>
      </x:c>
      <x:c r="C3906" s="34" t="str">
        <x:v>Round1</x:v>
      </x:c>
      <x:c r="D3906" s="34" t="str">
        <x:v>JacksonDatabind_99</x:v>
      </x:c>
      <x:c r="E3906" s="34" t="str">
        <x:v>Condition</x:v>
      </x:c>
      <x:c r="F3906" s="34" t="n">
        <x:v>28</x:v>
      </x:c>
      <x:c r="G3906" s="34" t="str">
        <x:v>RECORDED</x:v>
      </x:c>
      <x:c r="H3906" s="38" t="n">
        <x:f>IF(ISNUMBER('Data'!I490),'Data'!I490*100,"")</x:f>
        <x:v>3.5699999999999994</x:v>
      </x:c>
      <x:c r="I3906" s="34" t="str">
        <x:v>PASS</x:v>
      </x:c>
      <x:c r="J3906" s="34" t="str">
        <x:v>PASS</x:v>
      </x:c>
      <x:c r="K3906" s="34" t="str">
        <x:v>PASS</x:v>
      </x:c>
      <x:c r="L3906" s="34" t="str">
        <x:v>PASS</x:v>
      </x:c>
      <x:c r="M3906" s="34" t="str">
        <x:v>numeric coverage for applicable metric</x:v>
      </x:c>
      <x:c r="N3906" s="34" t="str">
        <x:v>Feedback-Directed Random Test Generation/Result/JacksonDatabind_99/result.json</x:v>
      </x:c>
      <x:c r="O3906" s="38" t="n">
        <x:f>IF(AND(G3906="RECORDED",ISNUMBER(H3906)),H3906,"")</x:f>
        <x:v>3.5699999999999994</x:v>
      </x:c>
      <x:c r="P3906" s="34" t="str">
        <x:v>NOT_REVEALING</x:v>
      </x:c>
      <x:c r="Q3906" s="34" t="str">
        <x:v>Feedback-Directed Random Test Generation/Result/JacksonDatabind_99/result.json</x:v>
      </x:c>
    </x:row>
    <x:row r="3907">
      <x:c r="A3907" s="34" t="str">
        <x:v>randoop</x:v>
      </x:c>
      <x:c r="B3907" s="34" t="str">
        <x:v>JacksonDatabind</x:v>
      </x:c>
      <x:c r="C3907" s="34" t="str">
        <x:v>Round1</x:v>
      </x:c>
      <x:c r="D3907" s="34" t="str">
        <x:v>JacksonDatabind_100</x:v>
      </x:c>
      <x:c r="E3907" s="34" t="str">
        <x:v>Condition</x:v>
      </x:c>
      <x:c r="F3907" s="34" t="n">
        <x:v>81</x:v>
      </x:c>
      <x:c r="G3907" s="34" t="str">
        <x:v>RECORDED</x:v>
      </x:c>
      <x:c r="H3907" s="38" t="n">
        <x:f>IF(ISNUMBER('Data'!I491),'Data'!I491*100,"")</x:f>
        <x:v>0</x:v>
      </x:c>
      <x:c r="I3907" s="34" t="str">
        <x:v>PASS</x:v>
      </x:c>
      <x:c r="J3907" s="34" t="str">
        <x:v>PASS</x:v>
      </x:c>
      <x:c r="K3907" s="34" t="str">
        <x:v>PASS</x:v>
      </x:c>
      <x:c r="L3907" s="34" t="str">
        <x:v>PASS</x:v>
      </x:c>
      <x:c r="M3907" s="34" t="str">
        <x:v>numeric coverage for applicable metric</x:v>
      </x:c>
      <x:c r="N3907" s="34" t="str">
        <x:v>Feedback-Directed Random Test Generation/Result/JacksonDatabind_100/result.json</x:v>
      </x:c>
      <x:c r="O3907" s="38" t="n">
        <x:f>IF(AND(G3907="RECORDED",ISNUMBER(H3907)),H3907,"")</x:f>
        <x:v>0</x:v>
      </x:c>
      <x:c r="P3907" s="34" t="str">
        <x:v>NOT_REVEALING</x:v>
      </x:c>
      <x:c r="Q3907" s="34" t="str">
        <x:v>Feedback-Directed Random Test Generation/Result/JacksonDatabind_100/result.json</x:v>
      </x:c>
    </x:row>
    <x:row r="3908">
      <x:c r="A3908" s="34" t="str">
        <x:v>randoop</x:v>
      </x:c>
      <x:c r="B3908" s="34" t="str">
        <x:v>JacksonDatabind</x:v>
      </x:c>
      <x:c r="C3908" s="34" t="str">
        <x:v>Round1</x:v>
      </x:c>
      <x:c r="D3908" s="34" t="str">
        <x:v>JacksonDatabind_101</x:v>
      </x:c>
      <x:c r="E3908" s="34" t="str">
        <x:v>Condition</x:v>
      </x:c>
      <x:c r="F3908" s="34" t="n">
        <x:v>249</x:v>
      </x:c>
      <x:c r="G3908" s="34" t="str">
        <x:v>RECORDED</x:v>
      </x:c>
      <x:c r="H3908" s="38" t="n">
        <x:f>IF(ISNUMBER('Data'!I492),'Data'!I492*100,"")</x:f>
        <x:v>0</x:v>
      </x:c>
      <x:c r="I3908" s="34" t="str">
        <x:v>PASS</x:v>
      </x:c>
      <x:c r="J3908" s="34" t="str">
        <x:v>PASS</x:v>
      </x:c>
      <x:c r="K3908" s="34" t="str">
        <x:v>PASS</x:v>
      </x:c>
      <x:c r="L3908" s="34" t="str">
        <x:v>PASS</x:v>
      </x:c>
      <x:c r="M3908" s="34" t="str">
        <x:v>numeric coverage for applicable metric</x:v>
      </x:c>
      <x:c r="N3908" s="34" t="str">
        <x:v>Feedback-Directed Random Test Generation/Result/JacksonDatabind_101/result.json</x:v>
      </x:c>
      <x:c r="O3908" s="38" t="n">
        <x:f>IF(AND(G3908="RECORDED",ISNUMBER(H3908)),H3908,"")</x:f>
        <x:v>0</x:v>
      </x:c>
      <x:c r="P3908" s="34" t="str">
        <x:v>NOT_REVEALING</x:v>
      </x:c>
      <x:c r="Q3908" s="34" t="str">
        <x:v>Feedback-Directed Random Test Generation/Result/JacksonDatabind_101/result.json</x:v>
      </x:c>
    </x:row>
    <x:row r="3909">
      <x:c r="A3909" s="34" t="str">
        <x:v>randoop</x:v>
      </x:c>
      <x:c r="B3909" s="34" t="str">
        <x:v>JacksonDatabind</x:v>
      </x:c>
      <x:c r="C3909" s="34" t="str">
        <x:v>Round1</x:v>
      </x:c>
      <x:c r="D3909" s="34" t="str">
        <x:v>JacksonDatabind_102</x:v>
      </x:c>
      <x:c r="E3909" s="34" t="str">
        <x:v>Condition</x:v>
      </x:c>
      <x:c r="F3909" s="34" t="n">
        <x:v>52</x:v>
      </x:c>
      <x:c r="G3909" s="34" t="str">
        <x:v>RECORDED</x:v>
      </x:c>
      <x:c r="H3909" s="38" t="n">
        <x:f>IF(ISNUMBER('Data'!I493),'Data'!I493*100,"")</x:f>
        <x:v>0</x:v>
      </x:c>
      <x:c r="I3909" s="34" t="str">
        <x:v>PASS</x:v>
      </x:c>
      <x:c r="J3909" s="34" t="str">
        <x:v>PASS</x:v>
      </x:c>
      <x:c r="K3909" s="34" t="str">
        <x:v>PASS</x:v>
      </x:c>
      <x:c r="L3909" s="34" t="str">
        <x:v>PASS</x:v>
      </x:c>
      <x:c r="M3909" s="34" t="str">
        <x:v>numeric coverage for applicable metric</x:v>
      </x:c>
      <x:c r="N3909" s="34" t="str">
        <x:v>Feedback-Directed Random Test Generation/Result/JacksonDatabind_102/result.json</x:v>
      </x:c>
      <x:c r="O3909" s="38" t="n">
        <x:f>IF(AND(G3909="RECORDED",ISNUMBER(H3909)),H3909,"")</x:f>
        <x:v>0</x:v>
      </x:c>
      <x:c r="P3909" s="34" t="str">
        <x:v>NOT_REVEALING</x:v>
      </x:c>
      <x:c r="Q3909" s="34" t="str">
        <x:v>Feedback-Directed Random Test Generation/Result/JacksonDatabind_102/result.json</x:v>
      </x:c>
    </x:row>
    <x:row r="3910">
      <x:c r="A3910" s="34" t="str">
        <x:v>randoop</x:v>
      </x:c>
      <x:c r="B3910" s="34" t="str">
        <x:v>JacksonDatabind</x:v>
      </x:c>
      <x:c r="C3910" s="34" t="str">
        <x:v>Round1</x:v>
      </x:c>
      <x:c r="D3910" s="34" t="str">
        <x:v>JacksonDatabind_103</x:v>
      </x:c>
      <x:c r="E3910" s="34" t="str">
        <x:v>Condition</x:v>
      </x:c>
      <x:c r="F3910" s="34" t="n">
        <x:v>2535</x:v>
      </x:c>
      <x:c r="G3910" s="34" t="str">
        <x:v>RECORDED</x:v>
      </x:c>
      <x:c r="H3910" s="38" t="n">
        <x:f>IF(ISNUMBER('Data'!I494),'Data'!I494*100,"")</x:f>
        <x:v>7.22</x:v>
      </x:c>
      <x:c r="I3910" s="34" t="str">
        <x:v>PASS</x:v>
      </x:c>
      <x:c r="J3910" s="34" t="str">
        <x:v>PASS</x:v>
      </x:c>
      <x:c r="K3910" s="34" t="str">
        <x:v>PASS</x:v>
      </x:c>
      <x:c r="L3910" s="34" t="str">
        <x:v>FAIL</x:v>
      </x:c>
      <x:c r="M3910" s="34" t="str">
        <x:v>numeric coverage for applicable metric</x:v>
      </x:c>
      <x:c r="N3910" s="34" t="str">
        <x:v>Feedback-Directed Random Test Generation/Result/JacksonDatabind_103/result.json</x:v>
      </x:c>
      <x:c r="O3910" s="38" t="n">
        <x:f>IF(AND(G3910="RECORDED",ISNUMBER(H3910)),H3910,"")</x:f>
        <x:v>7.22</x:v>
      </x:c>
      <x:c r="P3910" s="34" t="str">
        <x:v>INCONCLUSIVE</x:v>
      </x:c>
      <x:c r="Q3910" s="34" t="str">
        <x:v>Feedback-Directed Random Test Generation/Result/JacksonDatabind_103/result.json</x:v>
      </x:c>
    </x:row>
    <x:row r="3911">
      <x:c r="A3911" s="34" t="str">
        <x:v>randoop</x:v>
      </x:c>
      <x:c r="B3911" s="34" t="str">
        <x:v>JacksonDatabind</x:v>
      </x:c>
      <x:c r="C3911" s="34" t="str">
        <x:v>Round1</x:v>
      </x:c>
      <x:c r="D3911" s="34" t="str">
        <x:v>JacksonDatabind_104</x:v>
      </x:c>
      <x:c r="E3911" s="34" t="str">
        <x:v>Condition</x:v>
      </x:c>
      <x:c r="F3911" s="34" t="n">
        <x:v>123</x:v>
      </x:c>
      <x:c r="G3911" s="34" t="str">
        <x:v>RECORDED</x:v>
      </x:c>
      <x:c r="H3911" s="38" t="n">
        <x:f>IF(ISNUMBER('Data'!I495),'Data'!I495*100,"")</x:f>
        <x:v>72.36</x:v>
      </x:c>
      <x:c r="I3911" s="34" t="str">
        <x:v>PASS</x:v>
      </x:c>
      <x:c r="J3911" s="34" t="str">
        <x:v>PASS</x:v>
      </x:c>
      <x:c r="K3911" s="34" t="str">
        <x:v>PASS</x:v>
      </x:c>
      <x:c r="L3911" s="34" t="str">
        <x:v>FAIL</x:v>
      </x:c>
      <x:c r="M3911" s="34" t="str">
        <x:v>numeric coverage for applicable metric</x:v>
      </x:c>
      <x:c r="N3911" s="34" t="str">
        <x:v>Feedback-Directed Random Test Generation/Result/JacksonDatabind_104/result.json</x:v>
      </x:c>
      <x:c r="O3911" s="38" t="n">
        <x:f>IF(AND(G3911="RECORDED",ISNUMBER(H3911)),H3911,"")</x:f>
        <x:v>72.36</x:v>
      </x:c>
      <x:c r="P3911" s="34" t="str">
        <x:v>INCONCLUSIVE</x:v>
      </x:c>
      <x:c r="Q3911" s="34" t="str">
        <x:v>Feedback-Directed Random Test Generation/Result/JacksonDatabind_104/result.json</x:v>
      </x:c>
    </x:row>
    <x:row r="3912">
      <x:c r="A3912" s="34" t="str">
        <x:v>randoop</x:v>
      </x:c>
      <x:c r="B3912" s="34" t="str">
        <x:v>JacksonDatabind</x:v>
      </x:c>
      <x:c r="C3912" s="34" t="str">
        <x:v>Round1</x:v>
      </x:c>
      <x:c r="D3912" s="34" t="str">
        <x:v>JacksonDatabind_105</x:v>
      </x:c>
      <x:c r="E3912" s="34" t="str">
        <x:v>Condition</x:v>
      </x:c>
      <x:c r="F3912" s="34" t="n">
        <x:v>12</x:v>
      </x:c>
      <x:c r="G3912" s="34" t="str">
        <x:v>RECORDED</x:v>
      </x:c>
      <x:c r="H3912" s="38" t="n">
        <x:f>IF(ISNUMBER('Data'!I496),'Data'!I496*100,"")</x:f>
        <x:v>0</x:v>
      </x:c>
      <x:c r="I3912" s="34" t="str">
        <x:v>PASS</x:v>
      </x:c>
      <x:c r="J3912" s="34" t="str">
        <x:v>PASS</x:v>
      </x:c>
      <x:c r="K3912" s="34" t="str">
        <x:v>PASS</x:v>
      </x:c>
      <x:c r="L3912" s="34" t="str">
        <x:v>PASS</x:v>
      </x:c>
      <x:c r="M3912" s="34" t="str">
        <x:v>numeric coverage for applicable metric</x:v>
      </x:c>
      <x:c r="N3912" s="34" t="str">
        <x:v>Feedback-Directed Random Test Generation/Result/JacksonDatabind_105/result.json</x:v>
      </x:c>
      <x:c r="O3912" s="38" t="n">
        <x:f>IF(AND(G3912="RECORDED",ISNUMBER(H3912)),H3912,"")</x:f>
        <x:v>0</x:v>
      </x:c>
      <x:c r="P3912" s="34" t="str">
        <x:v>NOT_REVEALING</x:v>
      </x:c>
      <x:c r="Q3912" s="34" t="str">
        <x:v>Feedback-Directed Random Test Generation/Result/JacksonDatabind_105/result.json</x:v>
      </x:c>
    </x:row>
    <x:row r="3913">
      <x:c r="A3913" s="34" t="str">
        <x:v>randoop</x:v>
      </x:c>
      <x:c r="B3913" s="34" t="str">
        <x:v>JacksonDatabind</x:v>
      </x:c>
      <x:c r="C3913" s="34" t="str">
        <x:v>Round1</x:v>
      </x:c>
      <x:c r="D3913" s="34" t="str">
        <x:v>JacksonDatabind_106</x:v>
      </x:c>
      <x:c r="E3913" s="34" t="str">
        <x:v>Condition</x:v>
      </x:c>
      <x:c r="F3913" s="34" t="n">
        <x:v>77</x:v>
      </x:c>
      <x:c r="G3913" s="34" t="str">
        <x:v>RECORDED</x:v>
      </x:c>
      <x:c r="H3913" s="38" t="n">
        <x:f>IF(ISNUMBER('Data'!I497),'Data'!I497*100,"")</x:f>
        <x:v>0</x:v>
      </x:c>
      <x:c r="I3913" s="34" t="str">
        <x:v>PASS</x:v>
      </x:c>
      <x:c r="J3913" s="34" t="str">
        <x:v>PASS</x:v>
      </x:c>
      <x:c r="K3913" s="34" t="str">
        <x:v>PASS</x:v>
      </x:c>
      <x:c r="L3913" s="34" t="str">
        <x:v>PASS</x:v>
      </x:c>
      <x:c r="M3913" s="34" t="str">
        <x:v>numeric coverage for applicable metric</x:v>
      </x:c>
      <x:c r="N3913" s="34" t="str">
        <x:v>Feedback-Directed Random Test Generation/Result/JacksonDatabind_106/result.json</x:v>
      </x:c>
      <x:c r="O3913" s="38" t="n">
        <x:f>IF(AND(G3913="RECORDED",ISNUMBER(H3913)),H3913,"")</x:f>
        <x:v>0</x:v>
      </x:c>
      <x:c r="P3913" s="34" t="str">
        <x:v>NOT_REVEALING</x:v>
      </x:c>
      <x:c r="Q3913" s="34" t="str">
        <x:v>Feedback-Directed Random Test Generation/Result/JacksonDatabind_106/result.json</x:v>
      </x:c>
    </x:row>
    <x:row r="3914">
      <x:c r="A3914" s="34" t="str">
        <x:v>randoop</x:v>
      </x:c>
      <x:c r="B3914" s="34" t="str">
        <x:v>JacksonDatabind</x:v>
      </x:c>
      <x:c r="C3914" s="34" t="str">
        <x:v>Round1</x:v>
      </x:c>
      <x:c r="D3914" s="34" t="str">
        <x:v>JacksonDatabind_107</x:v>
      </x:c>
      <x:c r="E3914" s="34" t="str">
        <x:v>Condition</x:v>
      </x:c>
      <x:c r="F3914" s="34" t="n">
        <x:v>32</x:v>
      </x:c>
      <x:c r="G3914" s="34" t="str">
        <x:v>RECORDED</x:v>
      </x:c>
      <x:c r="H3914" s="38" t="n">
        <x:f>IF(ISNUMBER('Data'!I498),'Data'!I498*100,"")</x:f>
        <x:v>0</x:v>
      </x:c>
      <x:c r="I3914" s="34" t="str">
        <x:v>PASS</x:v>
      </x:c>
      <x:c r="J3914" s="34" t="str">
        <x:v>PASS</x:v>
      </x:c>
      <x:c r="K3914" s="34" t="str">
        <x:v>PASS</x:v>
      </x:c>
      <x:c r="L3914" s="34" t="str">
        <x:v>PASS</x:v>
      </x:c>
      <x:c r="M3914" s="34" t="str">
        <x:v>numeric coverage for applicable metric</x:v>
      </x:c>
      <x:c r="N3914" s="34" t="str">
        <x:v>Feedback-Directed Random Test Generation/Result/JacksonDatabind_107/result.json</x:v>
      </x:c>
      <x:c r="O3914" s="38" t="n">
        <x:f>IF(AND(G3914="RECORDED",ISNUMBER(H3914)),H3914,"")</x:f>
        <x:v>0</x:v>
      </x:c>
      <x:c r="P3914" s="34" t="str">
        <x:v>NOT_REVEALING</x:v>
      </x:c>
      <x:c r="Q3914" s="34" t="str">
        <x:v>Feedback-Directed Random Test Generation/Result/JacksonDatabind_107/result.json</x:v>
      </x:c>
    </x:row>
    <x:row r="3915">
      <x:c r="A3915" s="34" t="str">
        <x:v>randoop</x:v>
      </x:c>
      <x:c r="B3915" s="34" t="str">
        <x:v>JacksonDatabind</x:v>
      </x:c>
      <x:c r="C3915" s="34" t="str">
        <x:v>Round1</x:v>
      </x:c>
      <x:c r="D3915" s="34" t="str">
        <x:v>JacksonDatabind_108</x:v>
      </x:c>
      <x:c r="E3915" s="34" t="str">
        <x:v>Condition</x:v>
      </x:c>
      <x:c r="F3915" s="34" t="n">
        <x:v>182</x:v>
      </x:c>
      <x:c r="G3915" s="34" t="str">
        <x:v>RECORDED</x:v>
      </x:c>
      <x:c r="H3915" s="38" t="n">
        <x:f>IF(ISNUMBER('Data'!I499),'Data'!I499*100,"")</x:f>
        <x:v>0</x:v>
      </x:c>
      <x:c r="I3915" s="34" t="str">
        <x:v>PASS</x:v>
      </x:c>
      <x:c r="J3915" s="34" t="str">
        <x:v>PASS</x:v>
      </x:c>
      <x:c r="K3915" s="34" t="str">
        <x:v>PASS</x:v>
      </x:c>
      <x:c r="L3915" s="34" t="str">
        <x:v>PASS</x:v>
      </x:c>
      <x:c r="M3915" s="34" t="str">
        <x:v>numeric coverage for applicable metric</x:v>
      </x:c>
      <x:c r="N3915" s="34" t="str">
        <x:v>Feedback-Directed Random Test Generation/Result/JacksonDatabind_108/result.json</x:v>
      </x:c>
      <x:c r="O3915" s="38" t="n">
        <x:f>IF(AND(G3915="RECORDED",ISNUMBER(H3915)),H3915,"")</x:f>
        <x:v>0</x:v>
      </x:c>
      <x:c r="P3915" s="34" t="str">
        <x:v>NOT_REVEALING</x:v>
      </x:c>
      <x:c r="Q3915" s="34" t="str">
        <x:v>Feedback-Directed Random Test Generation/Result/JacksonDatabind_108/result.json</x:v>
      </x:c>
    </x:row>
    <x:row r="3916">
      <x:c r="A3916" s="34" t="str">
        <x:v>randoop</x:v>
      </x:c>
      <x:c r="B3916" s="34" t="str">
        <x:v>JacksonDatabind</x:v>
      </x:c>
      <x:c r="C3916" s="34" t="str">
        <x:v>Round1</x:v>
      </x:c>
      <x:c r="D3916" s="34" t="str">
        <x:v>JacksonDatabind_109</x:v>
      </x:c>
      <x:c r="E3916" s="34" t="str">
        <x:v>Condition</x:v>
      </x:c>
      <x:c r="F3916" s="34" t="n">
        <x:v>40</x:v>
      </x:c>
      <x:c r="G3916" s="34" t="str">
        <x:v>RECORDED</x:v>
      </x:c>
      <x:c r="H3916" s="38" t="n">
        <x:f>IF(ISNUMBER('Data'!I500),'Data'!I500*100,"")</x:f>
        <x:v>62.5</x:v>
      </x:c>
      <x:c r="I3916" s="34" t="str">
        <x:v>PASS</x:v>
      </x:c>
      <x:c r="J3916" s="34" t="str">
        <x:v>PASS</x:v>
      </x:c>
      <x:c r="K3916" s="34" t="str">
        <x:v>PASS</x:v>
      </x:c>
      <x:c r="L3916" s="34" t="str">
        <x:v>PASS</x:v>
      </x:c>
      <x:c r="M3916" s="34" t="str">
        <x:v>numeric coverage for applicable metric</x:v>
      </x:c>
      <x:c r="N3916" s="34" t="str">
        <x:v>Feedback-Directed Random Test Generation/Result/JacksonDatabind_109/result.json</x:v>
      </x:c>
      <x:c r="O3916" s="38" t="n">
        <x:f>IF(AND(G3916="RECORDED",ISNUMBER(H3916)),H3916,"")</x:f>
        <x:v>62.5</x:v>
      </x:c>
      <x:c r="P3916" s="34" t="str">
        <x:v>NOT_REVEALING</x:v>
      </x:c>
      <x:c r="Q3916" s="34" t="str">
        <x:v>Feedback-Directed Random Test Generation/Result/JacksonDatabind_109/result.json</x:v>
      </x:c>
    </x:row>
    <x:row r="3917">
      <x:c r="A3917" s="34" t="str">
        <x:v>randoop</x:v>
      </x:c>
      <x:c r="B3917" s="34" t="str">
        <x:v>JacksonDatabind</x:v>
      </x:c>
      <x:c r="C3917" s="34" t="str">
        <x:v>Round1</x:v>
      </x:c>
      <x:c r="D3917" s="34" t="str">
        <x:v>JacksonDatabind_110</x:v>
      </x:c>
      <x:c r="E3917" s="34" t="str">
        <x:v>Condition</x:v>
      </x:c>
      <x:c r="F3917" s="34" t="n">
        <x:v>25</x:v>
      </x:c>
      <x:c r="G3917" s="34" t="str">
        <x:v>RECORDED</x:v>
      </x:c>
      <x:c r="H3917" s="38" t="n">
        <x:f>IF(ISNUMBER('Data'!I501),'Data'!I501*100,"")</x:f>
        <x:v>0</x:v>
      </x:c>
      <x:c r="I3917" s="34" t="str">
        <x:v>PASS</x:v>
      </x:c>
      <x:c r="J3917" s="34" t="str">
        <x:v>PASS</x:v>
      </x:c>
      <x:c r="K3917" s="34" t="str">
        <x:v>PASS</x:v>
      </x:c>
      <x:c r="L3917" s="34" t="str">
        <x:v>PASS</x:v>
      </x:c>
      <x:c r="M3917" s="34" t="str">
        <x:v>numeric coverage for applicable metric</x:v>
      </x:c>
      <x:c r="N3917" s="34" t="str">
        <x:v>Feedback-Directed Random Test Generation/Result/JacksonDatabind_110/result.json</x:v>
      </x:c>
      <x:c r="O3917" s="38" t="n">
        <x:f>IF(AND(G3917="RECORDED",ISNUMBER(H3917)),H3917,"")</x:f>
        <x:v>0</x:v>
      </x:c>
      <x:c r="P3917" s="34" t="str">
        <x:v>NOT_REVEALING</x:v>
      </x:c>
      <x:c r="Q3917" s="34" t="str">
        <x:v>Feedback-Directed Random Test Generation/Result/JacksonDatabind_110/result.json</x:v>
      </x:c>
    </x:row>
    <x:row r="3918">
      <x:c r="A3918" s="34" t="str">
        <x:v>randoop</x:v>
      </x:c>
      <x:c r="B3918" s="34" t="str">
        <x:v>JacksonDatabind</x:v>
      </x:c>
      <x:c r="C3918" s="34" t="str">
        <x:v>Round1</x:v>
      </x:c>
      <x:c r="D3918" s="34" t="str">
        <x:v>JacksonDatabind_111</x:v>
      </x:c>
      <x:c r="E3918" s="34" t="str">
        <x:v>Condition</x:v>
      </x:c>
      <x:c r="F3918" s="34" t="n">
        <x:v>94</x:v>
      </x:c>
      <x:c r="G3918" s="34" t="str">
        <x:v>RECORDED</x:v>
      </x:c>
      <x:c r="H3918" s="38" t="n">
        <x:f>IF(ISNUMBER('Data'!I502),'Data'!I502*100,"")</x:f>
        <x:v>7.449999999999999</x:v>
      </x:c>
      <x:c r="I3918" s="34" t="str">
        <x:v>PASS</x:v>
      </x:c>
      <x:c r="J3918" s="34" t="str">
        <x:v>PASS</x:v>
      </x:c>
      <x:c r="K3918" s="34" t="str">
        <x:v>PASS</x:v>
      </x:c>
      <x:c r="L3918" s="34" t="str">
        <x:v>PASS</x:v>
      </x:c>
      <x:c r="M3918" s="34" t="str">
        <x:v>numeric coverage for applicable metric</x:v>
      </x:c>
      <x:c r="N3918" s="34" t="str">
        <x:v>Feedback-Directed Random Test Generation/Result/JacksonDatabind_111/result.json</x:v>
      </x:c>
      <x:c r="O3918" s="38" t="n">
        <x:f>IF(AND(G3918="RECORDED",ISNUMBER(H3918)),H3918,"")</x:f>
        <x:v>7.449999999999999</x:v>
      </x:c>
      <x:c r="P3918" s="34" t="str">
        <x:v>NOT_REVEALING</x:v>
      </x:c>
      <x:c r="Q3918" s="34" t="str">
        <x:v>Feedback-Directed Random Test Generation/Result/JacksonDatabind_111/result.json</x:v>
      </x:c>
    </x:row>
    <x:row r="3919">
      <x:c r="A3919" s="34" t="str">
        <x:v>randoop</x:v>
      </x:c>
      <x:c r="B3919" s="34" t="str">
        <x:v>JacksonDatabind</x:v>
      </x:c>
      <x:c r="C3919" s="34" t="str">
        <x:v>Round1</x:v>
      </x:c>
      <x:c r="D3919" s="34" t="str">
        <x:v>JacksonDatabind_112</x:v>
      </x:c>
      <x:c r="E3919" s="34" t="str">
        <x:v>Condition</x:v>
      </x:c>
      <x:c r="F3919" s="34" t="n">
        <x:v>58</x:v>
      </x:c>
      <x:c r="G3919" s="34" t="str">
        <x:v>RECORDED</x:v>
      </x:c>
      <x:c r="H3919" s="38" t="n">
        <x:f>IF(ISNUMBER('Data'!I503),'Data'!I503*100,"")</x:f>
        <x:v>0</x:v>
      </x:c>
      <x:c r="I3919" s="34" t="str">
        <x:v>PASS</x:v>
      </x:c>
      <x:c r="J3919" s="34" t="str">
        <x:v>PASS</x:v>
      </x:c>
      <x:c r="K3919" s="34" t="str">
        <x:v>PASS</x:v>
      </x:c>
      <x:c r="L3919" s="34" t="str">
        <x:v>PASS</x:v>
      </x:c>
      <x:c r="M3919" s="34" t="str">
        <x:v>numeric coverage for applicable metric</x:v>
      </x:c>
      <x:c r="N3919" s="34" t="str">
        <x:v>Feedback-Directed Random Test Generation/Result/JacksonDatabind_112/result.json</x:v>
      </x:c>
      <x:c r="O3919" s="38" t="n">
        <x:f>IF(AND(G3919="RECORDED",ISNUMBER(H3919)),H3919,"")</x:f>
        <x:v>0</x:v>
      </x:c>
      <x:c r="P3919" s="34" t="str">
        <x:v>NOT_REVEALING</x:v>
      </x:c>
      <x:c r="Q3919" s="34" t="str">
        <x:v>Feedback-Directed Random Test Generation/Result/JacksonDatabind_112/result.json</x:v>
      </x:c>
    </x:row>
    <x:row r="3920">
      <x:c r="A3920" s="34" t="str">
        <x:v>randoop</x:v>
      </x:c>
      <x:c r="B3920" s="34" t="str">
        <x:v>JacksonXml</x:v>
      </x:c>
      <x:c r="C3920" s="34" t="str">
        <x:v>Round1</x:v>
      </x:c>
      <x:c r="D3920" s="34" t="str">
        <x:v>JacksonXml_1</x:v>
      </x:c>
      <x:c r="E3920" s="34" t="str">
        <x:v>Condition</x:v>
      </x:c>
      <x:c r="F3920" s="34" t="n">
        <x:v>147</x:v>
      </x:c>
      <x:c r="G3920" s="34" t="str">
        <x:v>RECORDED</x:v>
      </x:c>
      <x:c r="H3920" s="38" t="n">
        <x:f>IF(ISNUMBER('Data'!I504),'Data'!I504*100,"")</x:f>
        <x:v>0.68</x:v>
      </x:c>
      <x:c r="I3920" s="34" t="str">
        <x:v>PASS</x:v>
      </x:c>
      <x:c r="J3920" s="34" t="str">
        <x:v>PASS</x:v>
      </x:c>
      <x:c r="K3920" s="34" t="str">
        <x:v>PASS</x:v>
      </x:c>
      <x:c r="L3920" s="34" t="str">
        <x:v>PASS</x:v>
      </x:c>
      <x:c r="M3920" s="34" t="str">
        <x:v>numeric coverage for applicable metric</x:v>
      </x:c>
      <x:c r="N3920" s="34" t="str">
        <x:v>Feedback-Directed Random Test Generation/Result/JacksonXml_1/result.json</x:v>
      </x:c>
      <x:c r="O3920" s="38" t="n">
        <x:f>IF(AND(G3920="RECORDED",ISNUMBER(H3920)),H3920,"")</x:f>
        <x:v>0.68</x:v>
      </x:c>
      <x:c r="P3920" s="34" t="str">
        <x:v>NOT_REVEALING</x:v>
      </x:c>
      <x:c r="Q3920" s="34" t="str">
        <x:v>Feedback-Directed Random Test Generation/Result/JacksonXml_1/result.json</x:v>
      </x:c>
    </x:row>
    <x:row r="3921">
      <x:c r="A3921" s="34" t="str">
        <x:v>randoop</x:v>
      </x:c>
      <x:c r="B3921" s="34" t="str">
        <x:v>JacksonXml</x:v>
      </x:c>
      <x:c r="C3921" s="34" t="str">
        <x:v>Round1</x:v>
      </x:c>
      <x:c r="D3921" s="34" t="str">
        <x:v>JacksonXml_2</x:v>
      </x:c>
      <x:c r="E3921" s="34" t="str">
        <x:v>Condition</x:v>
      </x:c>
      <x:c r="F3921" s="34" t="n">
        <x:v>74</x:v>
      </x:c>
      <x:c r="G3921" s="34" t="str">
        <x:v>RECORDED</x:v>
      </x:c>
      <x:c r="H3921" s="38" t="n">
        <x:f>IF(ISNUMBER('Data'!I505),'Data'!I505*100,"")</x:f>
        <x:v>0</x:v>
      </x:c>
      <x:c r="I3921" s="34" t="str">
        <x:v>PASS</x:v>
      </x:c>
      <x:c r="J3921" s="34" t="str">
        <x:v>PASS</x:v>
      </x:c>
      <x:c r="K3921" s="34" t="str">
        <x:v>PASS</x:v>
      </x:c>
      <x:c r="L3921" s="34" t="str">
        <x:v>PASS</x:v>
      </x:c>
      <x:c r="M3921" s="34" t="str">
        <x:v>numeric coverage for applicable metric</x:v>
      </x:c>
      <x:c r="N3921" s="34" t="str">
        <x:v>Feedback-Directed Random Test Generation/Result/JacksonXml_2/result.json</x:v>
      </x:c>
      <x:c r="O3921" s="38" t="n">
        <x:f>IF(AND(G3921="RECORDED",ISNUMBER(H3921)),H3921,"")</x:f>
        <x:v>0</x:v>
      </x:c>
      <x:c r="P3921" s="34" t="str">
        <x:v>NOT_REVEALING</x:v>
      </x:c>
      <x:c r="Q3921" s="34" t="str">
        <x:v>Feedback-Directed Random Test Generation/Result/JacksonXml_2/result.json</x:v>
      </x:c>
    </x:row>
    <x:row r="3922">
      <x:c r="A3922" s="34" t="str">
        <x:v>randoop</x:v>
      </x:c>
      <x:c r="B3922" s="34" t="str">
        <x:v>JacksonXml</x:v>
      </x:c>
      <x:c r="C3922" s="34" t="str">
        <x:v>Round1</x:v>
      </x:c>
      <x:c r="D3922" s="34" t="str">
        <x:v>JacksonXml_3</x:v>
      </x:c>
      <x:c r="E3922" s="34" t="str">
        <x:v>Condition</x:v>
      </x:c>
      <x:c r="F3922" s="34" t="n">
        <x:v>151</x:v>
      </x:c>
      <x:c r="G3922" s="34" t="str">
        <x:v>RECORDED</x:v>
      </x:c>
      <x:c r="H3922" s="38" t="n">
        <x:f>IF(ISNUMBER('Data'!I506),'Data'!I506*100,"")</x:f>
        <x:v>0.66</x:v>
      </x:c>
      <x:c r="I3922" s="34" t="str">
        <x:v>PASS</x:v>
      </x:c>
      <x:c r="J3922" s="34" t="str">
        <x:v>PASS</x:v>
      </x:c>
      <x:c r="K3922" s="34" t="str">
        <x:v>PASS</x:v>
      </x:c>
      <x:c r="L3922" s="34" t="str">
        <x:v>PASS</x:v>
      </x:c>
      <x:c r="M3922" s="34" t="str">
        <x:v>numeric coverage for applicable metric</x:v>
      </x:c>
      <x:c r="N3922" s="34" t="str">
        <x:v>Feedback-Directed Random Test Generation/Result/JacksonXml_3/result.json</x:v>
      </x:c>
      <x:c r="O3922" s="38" t="n">
        <x:f>IF(AND(G3922="RECORDED",ISNUMBER(H3922)),H3922,"")</x:f>
        <x:v>0.66</x:v>
      </x:c>
      <x:c r="P3922" s="34" t="str">
        <x:v>NOT_REVEALING</x:v>
      </x:c>
      <x:c r="Q3922" s="34" t="str">
        <x:v>Feedback-Directed Random Test Generation/Result/JacksonXml_3/result.json</x:v>
      </x:c>
    </x:row>
    <x:row r="3923">
      <x:c r="A3923" s="34" t="str">
        <x:v>randoop</x:v>
      </x:c>
      <x:c r="B3923" s="34" t="str">
        <x:v>JacksonXml</x:v>
      </x:c>
      <x:c r="C3923" s="34" t="str">
        <x:v>Round1</x:v>
      </x:c>
      <x:c r="D3923" s="34" t="str">
        <x:v>JacksonXml_4</x:v>
      </x:c>
      <x:c r="E3923" s="34" t="str">
        <x:v>Condition</x:v>
      </x:c>
      <x:c r="F3923" s="34" t="n">
        <x:v>58</x:v>
      </x:c>
      <x:c r="G3923" s="34" t="str">
        <x:v>RECORDED</x:v>
      </x:c>
      <x:c r="H3923" s="38" t="n">
        <x:f>IF(ISNUMBER('Data'!I507),'Data'!I507*100,"")</x:f>
        <x:v>15.52</x:v>
      </x:c>
      <x:c r="I3923" s="34" t="str">
        <x:v>PASS</x:v>
      </x:c>
      <x:c r="J3923" s="34" t="str">
        <x:v>PASS</x:v>
      </x:c>
      <x:c r="K3923" s="34" t="str">
        <x:v>PASS</x:v>
      </x:c>
      <x:c r="L3923" s="34" t="str">
        <x:v>PASS</x:v>
      </x:c>
      <x:c r="M3923" s="34" t="str">
        <x:v>numeric coverage for applicable metric</x:v>
      </x:c>
      <x:c r="N3923" s="34" t="str">
        <x:v>Feedback-Directed Random Test Generation/Result/JacksonXml_4/result.json</x:v>
      </x:c>
      <x:c r="O3923" s="38" t="n">
        <x:f>IF(AND(G3923="RECORDED",ISNUMBER(H3923)),H3923,"")</x:f>
        <x:v>15.52</x:v>
      </x:c>
      <x:c r="P3923" s="34" t="str">
        <x:v>INCONCLUSIVE</x:v>
      </x:c>
      <x:c r="Q3923" s="34" t="str">
        <x:v>Feedback-Directed Random Test Generation/Result/JacksonXml_4/result.json</x:v>
      </x:c>
    </x:row>
    <x:row r="3924">
      <x:c r="A3924" s="34" t="str">
        <x:v>randoop</x:v>
      </x:c>
      <x:c r="B3924" s="34" t="str">
        <x:v>JacksonXml</x:v>
      </x:c>
      <x:c r="C3924" s="34" t="str">
        <x:v>Round1</x:v>
      </x:c>
      <x:c r="D3924" s="34" t="str">
        <x:v>JacksonXml_5</x:v>
      </x:c>
      <x:c r="E3924" s="34" t="str">
        <x:v>Condition</x:v>
      </x:c>
      <x:c r="F3924" s="34" t="n">
        <x:v>48</x:v>
      </x:c>
      <x:c r="G3924" s="34" t="str">
        <x:v>RECORDED</x:v>
      </x:c>
      <x:c r="H3924" s="38" t="n">
        <x:f>IF(ISNUMBER('Data'!I508),'Data'!I508*100,"")</x:f>
        <x:v>16.67</x:v>
      </x:c>
      <x:c r="I3924" s="34" t="str">
        <x:v>PASS</x:v>
      </x:c>
      <x:c r="J3924" s="34" t="str">
        <x:v>PASS</x:v>
      </x:c>
      <x:c r="K3924" s="34" t="str">
        <x:v>PASS</x:v>
      </x:c>
      <x:c r="L3924" s="34" t="str">
        <x:v>PASS</x:v>
      </x:c>
      <x:c r="M3924" s="34" t="str">
        <x:v>numeric coverage for applicable metric</x:v>
      </x:c>
      <x:c r="N3924" s="34" t="str">
        <x:v>Feedback-Directed Random Test Generation/Result/JacksonXml_5/result.json</x:v>
      </x:c>
      <x:c r="O3924" s="38" t="n">
        <x:f>IF(AND(G3924="RECORDED",ISNUMBER(H3924)),H3924,"")</x:f>
        <x:v>16.67</x:v>
      </x:c>
      <x:c r="P3924" s="34" t="str">
        <x:v>INCONCLUSIVE</x:v>
      </x:c>
      <x:c r="Q3924" s="34" t="str">
        <x:v>Feedback-Directed Random Test Generation/Result/JacksonXml_5/result.json</x:v>
      </x:c>
    </x:row>
    <x:row r="3925">
      <x:c r="A3925" s="34" t="str">
        <x:v>randoop</x:v>
      </x:c>
      <x:c r="B3925" s="34" t="str">
        <x:v>JacksonXml</x:v>
      </x:c>
      <x:c r="C3925" s="34" t="str">
        <x:v>Round1</x:v>
      </x:c>
      <x:c r="D3925" s="34" t="str">
        <x:v>JacksonXml_6</x:v>
      </x:c>
      <x:c r="E3925" s="34" t="str">
        <x:v>Condition</x:v>
      </x:c>
      <x:c r="F3925" s="34" t="n">
        <x:v>222</x:v>
      </x:c>
      <x:c r="G3925" s="34" t="str">
        <x:v>RECORDED</x:v>
      </x:c>
      <x:c r="H3925" s="38" t="n">
        <x:f>IF(ISNUMBER('Data'!I509),'Data'!I509*100,"")</x:f>
        <x:v>2.25</x:v>
      </x:c>
      <x:c r="I3925" s="34" t="str">
        <x:v>PASS</x:v>
      </x:c>
      <x:c r="J3925" s="34" t="str">
        <x:v>PASS</x:v>
      </x:c>
      <x:c r="K3925" s="34" t="str">
        <x:v>PASS</x:v>
      </x:c>
      <x:c r="L3925" s="34" t="str">
        <x:v>PASS</x:v>
      </x:c>
      <x:c r="M3925" s="34" t="str">
        <x:v>numeric coverage for applicable metric</x:v>
      </x:c>
      <x:c r="N3925" s="34" t="str">
        <x:v>Feedback-Directed Random Test Generation/Result/JacksonXml_6/result.json</x:v>
      </x:c>
      <x:c r="O3925" s="38" t="n">
        <x:f>IF(AND(G3925="RECORDED",ISNUMBER(H3925)),H3925,"")</x:f>
        <x:v>2.25</x:v>
      </x:c>
      <x:c r="P3925" s="34" t="str">
        <x:v>NOT_REVEALING</x:v>
      </x:c>
      <x:c r="Q3925" s="34" t="str">
        <x:v>Feedback-Directed Random Test Generation/Result/JacksonXml_6/result.json</x:v>
      </x:c>
    </x:row>
    <x:row r="3926">
      <x:c r="A3926" s="34" t="str">
        <x:v>randoop</x:v>
      </x:c>
      <x:c r="B3926" s="34" t="str">
        <x:v>Jsoup</x:v>
      </x:c>
      <x:c r="C3926" s="34" t="str">
        <x:v>Round1</x:v>
      </x:c>
      <x:c r="D3926" s="34" t="str">
        <x:v>Jsoup_1</x:v>
      </x:c>
      <x:c r="E3926" s="34" t="str">
        <x:v>Condition</x:v>
      </x:c>
      <x:c r="F3926" s="34" t="n">
        <x:v>18</x:v>
      </x:c>
      <x:c r="G3926" s="34" t="str">
        <x:v>RECORDED</x:v>
      </x:c>
      <x:c r="H3926" s="38" t="n">
        <x:f>IF(ISNUMBER('Data'!I510),'Data'!I510*100,"")</x:f>
        <x:v>100</x:v>
      </x:c>
      <x:c r="I3926" s="34" t="str">
        <x:v>PASS</x:v>
      </x:c>
      <x:c r="J3926" s="34" t="str">
        <x:v>PASS</x:v>
      </x:c>
      <x:c r="K3926" s="34" t="str">
        <x:v>PASS</x:v>
      </x:c>
      <x:c r="L3926" s="34" t="str">
        <x:v>FAIL</x:v>
      </x:c>
      <x:c r="M3926" s="34" t="str">
        <x:v>numeric coverage for applicable metric</x:v>
      </x:c>
      <x:c r="N3926" s="34" t="str">
        <x:v>Feedback-Directed Random Test Generation/Result/Jsoup_1/result.json</x:v>
      </x:c>
      <x:c r="O3926" s="38" t="n">
        <x:f>IF(AND(G3926="RECORDED",ISNUMBER(H3926)),H3926,"")</x:f>
        <x:v>100</x:v>
      </x:c>
      <x:c r="P3926" s="34" t="str">
        <x:v>INCONCLUSIVE</x:v>
      </x:c>
      <x:c r="Q3926" s="34" t="str">
        <x:v>Feedback-Directed Random Test Generation/Result/Jsoup_1/result.json</x:v>
      </x:c>
    </x:row>
    <x:row r="3927">
      <x:c r="A3927" s="34" t="str">
        <x:v>randoop</x:v>
      </x:c>
      <x:c r="B3927" s="34" t="str">
        <x:v>Jsoup</x:v>
      </x:c>
      <x:c r="C3927" s="34" t="str">
        <x:v>Round1</x:v>
      </x:c>
      <x:c r="D3927" s="34" t="str">
        <x:v>Jsoup_2</x:v>
      </x:c>
      <x:c r="E3927" s="34" t="str">
        <x:v>Condition</x:v>
      </x:c>
      <x:c r="F3927" s="34" t="n">
        <x:v>86</x:v>
      </x:c>
      <x:c r="G3927" s="34" t="str">
        <x:v>RECORDED</x:v>
      </x:c>
      <x:c r="H3927" s="38" t="n">
        <x:f>IF(ISNUMBER('Data'!I511),'Data'!I511*100,"")</x:f>
        <x:v>11.63</x:v>
      </x:c>
      <x:c r="I3927" s="34" t="str">
        <x:v>PASS</x:v>
      </x:c>
      <x:c r="J3927" s="34" t="str">
        <x:v>PASS</x:v>
      </x:c>
      <x:c r="K3927" s="34" t="str">
        <x:v>PASS</x:v>
      </x:c>
      <x:c r="L3927" s="34" t="str">
        <x:v>PASS</x:v>
      </x:c>
      <x:c r="M3927" s="34" t="str">
        <x:v>numeric coverage for applicable metric</x:v>
      </x:c>
      <x:c r="N3927" s="34" t="str">
        <x:v>Feedback-Directed Random Test Generation/Result/Jsoup_2/result.json</x:v>
      </x:c>
      <x:c r="O3927" s="38" t="n">
        <x:f>IF(AND(G3927="RECORDED",ISNUMBER(H3927)),H3927,"")</x:f>
        <x:v>11.63</x:v>
      </x:c>
      <x:c r="P3927" s="34" t="str">
        <x:v>NOT_REVEALING</x:v>
      </x:c>
      <x:c r="Q3927" s="34" t="str">
        <x:v>Feedback-Directed Random Test Generation/Result/Jsoup_2/result.json</x:v>
      </x:c>
    </x:row>
    <x:row r="3928">
      <x:c r="A3928" s="34" t="str">
        <x:v>randoop</x:v>
      </x:c>
      <x:c r="B3928" s="34" t="str">
        <x:v>Jsoup</x:v>
      </x:c>
      <x:c r="C3928" s="34" t="str">
        <x:v>Round1</x:v>
      </x:c>
      <x:c r="D3928" s="34" t="str">
        <x:v>Jsoup_3</x:v>
      </x:c>
      <x:c r="E3928" s="34" t="str">
        <x:v>Condition</x:v>
      </x:c>
      <x:c r="F3928" s="34" t="n">
        <x:v>294</x:v>
      </x:c>
      <x:c r="G3928" s="34" t="str">
        <x:v>RECORDED</x:v>
      </x:c>
      <x:c r="H3928" s="38" t="n">
        <x:f>IF(ISNUMBER('Data'!I512),'Data'!I512*100,"")</x:f>
        <x:v>65.99</x:v>
      </x:c>
      <x:c r="I3928" s="34" t="str">
        <x:v>PASS</x:v>
      </x:c>
      <x:c r="J3928" s="34" t="str">
        <x:v>PASS</x:v>
      </x:c>
      <x:c r="K3928" s="34" t="str">
        <x:v>PASS</x:v>
      </x:c>
      <x:c r="L3928" s="34" t="str">
        <x:v>FAIL</x:v>
      </x:c>
      <x:c r="M3928" s="34" t="str">
        <x:v>numeric coverage for applicable metric</x:v>
      </x:c>
      <x:c r="N3928" s="34" t="str">
        <x:v>Feedback-Directed Random Test Generation/Result/Jsoup_3/result.json</x:v>
      </x:c>
      <x:c r="O3928" s="38" t="n">
        <x:f>IF(AND(G3928="RECORDED",ISNUMBER(H3928)),H3928,"")</x:f>
        <x:v>65.99</x:v>
      </x:c>
      <x:c r="P3928" s="34" t="str">
        <x:v>INCONCLUSIVE</x:v>
      </x:c>
      <x:c r="Q3928" s="34" t="str">
        <x:v>Feedback-Directed Random Test Generation/Result/Jsoup_3/result.json</x:v>
      </x:c>
    </x:row>
    <x:row r="3929">
      <x:c r="A3929" s="34" t="str">
        <x:v>randoop</x:v>
      </x:c>
      <x:c r="B3929" s="34" t="str">
        <x:v>Jsoup</x:v>
      </x:c>
      <x:c r="C3929" s="34" t="str">
        <x:v>Round1</x:v>
      </x:c>
      <x:c r="D3929" s="34" t="str">
        <x:v>Jsoup_4</x:v>
      </x:c>
      <x:c r="E3929" s="34" t="str">
        <x:v>Condition</x:v>
      </x:c>
      <x:c r="F3929" s="34" t="n">
        <x:v>0</x:v>
      </x:c>
      <x:c r="G3929" s="34" t="str">
        <x:v>A</x:v>
      </x:c>
      <x:c r="H3929" s="38" t="str">
        <x:f>IF(ISNUMBER('Data'!I513),'Data'!I513*100,"")</x:f>
      </x:c>
      <x:c r="I3929" s="34" t="str">
        <x:v>FAIL</x:v>
      </x:c>
      <x:c r="J3929" s="34" t="str">
        <x:v>PASS</x:v>
      </x:c>
      <x:c r="K3929" s="34" t="str">
        <x:v>PASS</x:v>
      </x:c>
      <x:c r="L3929" s="34" t="str">
        <x:v>PASS</x:v>
      </x:c>
      <x:c r="M3929" s="34" t="str">
        <x:v>coverage unavailable or execution/compile failed</x:v>
      </x:c>
      <x:c r="N3929" s="34" t="str">
        <x:v>Feedback-Directed Random Test Generation/Result/Jsoup_4/result.json</x:v>
      </x:c>
      <x:c r="O3929" s="38" t="str">
        <x:f>IF(AND(G3929="RECORDED",ISNUMBER(H3929)),H3929,"")</x:f>
      </x:c>
      <x:c r="P3929" s="34" t="str">
        <x:v>NOT_AVAILABLE</x:v>
      </x:c>
      <x:c r="Q3929" s="34" t="str">
        <x:v>Feedback-Directed Random Test Generation/Result/Jsoup_4/result.json</x:v>
      </x:c>
    </x:row>
    <x:row r="3930">
      <x:c r="A3930" s="34" t="str">
        <x:v>randoop</x:v>
      </x:c>
      <x:c r="B3930" s="34" t="str">
        <x:v>Jsoup</x:v>
      </x:c>
      <x:c r="C3930" s="34" t="str">
        <x:v>Round1</x:v>
      </x:c>
      <x:c r="D3930" s="34" t="str">
        <x:v>Jsoup_5</x:v>
      </x:c>
      <x:c r="E3930" s="34" t="str">
        <x:v>Condition</x:v>
      </x:c>
      <x:c r="F3930" s="34" t="n">
        <x:v>92</x:v>
      </x:c>
      <x:c r="G3930" s="34" t="str">
        <x:v>RECORDED</x:v>
      </x:c>
      <x:c r="H3930" s="38" t="n">
        <x:f>IF(ISNUMBER('Data'!I514),'Data'!I514*100,"")</x:f>
        <x:v>11.96</x:v>
      </x:c>
      <x:c r="I3930" s="34" t="str">
        <x:v>PASS</x:v>
      </x:c>
      <x:c r="J3930" s="34" t="str">
        <x:v>PASS</x:v>
      </x:c>
      <x:c r="K3930" s="34" t="str">
        <x:v>PASS</x:v>
      </x:c>
      <x:c r="L3930" s="34" t="str">
        <x:v>PASS</x:v>
      </x:c>
      <x:c r="M3930" s="34" t="str">
        <x:v>numeric coverage for applicable metric</x:v>
      </x:c>
      <x:c r="N3930" s="34" t="str">
        <x:v>Feedback-Directed Random Test Generation/Result/Jsoup_5/result.json</x:v>
      </x:c>
      <x:c r="O3930" s="38" t="n">
        <x:f>IF(AND(G3930="RECORDED",ISNUMBER(H3930)),H3930,"")</x:f>
        <x:v>11.96</x:v>
      </x:c>
      <x:c r="P3930" s="34" t="str">
        <x:v>NOT_REVEALING</x:v>
      </x:c>
      <x:c r="Q3930" s="34" t="str">
        <x:v>Feedback-Directed Random Test Generation/Result/Jsoup_5/result.json</x:v>
      </x:c>
    </x:row>
    <x:row r="3931">
      <x:c r="A3931" s="34" t="str">
        <x:v>randoop</x:v>
      </x:c>
      <x:c r="B3931" s="34" t="str">
        <x:v>Jsoup</x:v>
      </x:c>
      <x:c r="C3931" s="34" t="str">
        <x:v>Round1</x:v>
      </x:c>
      <x:c r="D3931" s="34" t="str">
        <x:v>Jsoup_6</x:v>
      </x:c>
      <x:c r="E3931" s="34" t="str">
        <x:v>Condition</x:v>
      </x:c>
      <x:c r="F3931" s="34" t="n">
        <x:v>0</x:v>
      </x:c>
      <x:c r="G3931" s="34" t="str">
        <x:v>A</x:v>
      </x:c>
      <x:c r="H3931" s="38" t="str">
        <x:f>IF(ISNUMBER('Data'!I515),'Data'!I515*100,"")</x:f>
      </x:c>
      <x:c r="I3931" s="34" t="str">
        <x:v>FAIL</x:v>
      </x:c>
      <x:c r="J3931" s="34" t="str">
        <x:v>PASS</x:v>
      </x:c>
      <x:c r="K3931" s="34" t="str">
        <x:v>PASS</x:v>
      </x:c>
      <x:c r="L3931" s="34" t="str">
        <x:v>PASS</x:v>
      </x:c>
      <x:c r="M3931" s="34" t="str">
        <x:v>coverage unavailable or execution/compile failed</x:v>
      </x:c>
      <x:c r="N3931" s="34" t="str">
        <x:v>Feedback-Directed Random Test Generation/Result/Jsoup_6/result.json</x:v>
      </x:c>
      <x:c r="O3931" s="38" t="str">
        <x:f>IF(AND(G3931="RECORDED",ISNUMBER(H3931)),H3931,"")</x:f>
      </x:c>
      <x:c r="P3931" s="34" t="str">
        <x:v>NOT_AVAILABLE</x:v>
      </x:c>
      <x:c r="Q3931" s="34" t="str">
        <x:v>Feedback-Directed Random Test Generation/Result/Jsoup_6/result.json</x:v>
      </x:c>
    </x:row>
    <x:row r="3932">
      <x:c r="A3932" s="34" t="str">
        <x:v>randoop</x:v>
      </x:c>
      <x:c r="B3932" s="34" t="str">
        <x:v>Jsoup</x:v>
      </x:c>
      <x:c r="C3932" s="34" t="str">
        <x:v>Round1</x:v>
      </x:c>
      <x:c r="D3932" s="34" t="str">
        <x:v>Jsoup_7</x:v>
      </x:c>
      <x:c r="E3932" s="34" t="str">
        <x:v>Condition</x:v>
      </x:c>
      <x:c r="F3932" s="34" t="n">
        <x:v>26</x:v>
      </x:c>
      <x:c r="G3932" s="34" t="str">
        <x:v>RECORDED</x:v>
      </x:c>
      <x:c r="H3932" s="38" t="n">
        <x:f>IF(ISNUMBER('Data'!I516),'Data'!I516*100,"")</x:f>
        <x:v>100</x:v>
      </x:c>
      <x:c r="I3932" s="34" t="str">
        <x:v>PASS</x:v>
      </x:c>
      <x:c r="J3932" s="34" t="str">
        <x:v>PASS</x:v>
      </x:c>
      <x:c r="K3932" s="34" t="str">
        <x:v>PASS</x:v>
      </x:c>
      <x:c r="L3932" s="34" t="str">
        <x:v>FAIL</x:v>
      </x:c>
      <x:c r="M3932" s="34" t="str">
        <x:v>numeric coverage for applicable metric</x:v>
      </x:c>
      <x:c r="N3932" s="34" t="str">
        <x:v>Feedback-Directed Random Test Generation/Result/Jsoup_7/result.json</x:v>
      </x:c>
      <x:c r="O3932" s="38" t="n">
        <x:f>IF(AND(G3932="RECORDED",ISNUMBER(H3932)),H3932,"")</x:f>
        <x:v>100</x:v>
      </x:c>
      <x:c r="P3932" s="34" t="str">
        <x:v>INCONCLUSIVE</x:v>
      </x:c>
      <x:c r="Q3932" s="34" t="str">
        <x:v>Feedback-Directed Random Test Generation/Result/Jsoup_7/result.json</x:v>
      </x:c>
    </x:row>
    <x:row r="3933">
      <x:c r="A3933" s="34" t="str">
        <x:v>randoop</x:v>
      </x:c>
      <x:c r="B3933" s="34" t="str">
        <x:v>Jsoup</x:v>
      </x:c>
      <x:c r="C3933" s="34" t="str">
        <x:v>Round1</x:v>
      </x:c>
      <x:c r="D3933" s="34" t="str">
        <x:v>Jsoup_8</x:v>
      </x:c>
      <x:c r="E3933" s="34" t="str">
        <x:v>Condition</x:v>
      </x:c>
      <x:c r="F3933" s="34" t="n">
        <x:v>40</x:v>
      </x:c>
      <x:c r="G3933" s="34" t="str">
        <x:v>RECORDED</x:v>
      </x:c>
      <x:c r="H3933" s="38" t="n">
        <x:f>IF(ISNUMBER('Data'!I517),'Data'!I517*100,"")</x:f>
        <x:v>0</x:v>
      </x:c>
      <x:c r="I3933" s="34" t="str">
        <x:v>PASS</x:v>
      </x:c>
      <x:c r="J3933" s="34" t="str">
        <x:v>PASS</x:v>
      </x:c>
      <x:c r="K3933" s="34" t="str">
        <x:v>PASS</x:v>
      </x:c>
      <x:c r="L3933" s="34" t="str">
        <x:v>PASS</x:v>
      </x:c>
      <x:c r="M3933" s="34" t="str">
        <x:v>numeric coverage for applicable metric</x:v>
      </x:c>
      <x:c r="N3933" s="34" t="str">
        <x:v>Feedback-Directed Random Test Generation/Result/Jsoup_8/result.json</x:v>
      </x:c>
      <x:c r="O3933" s="38" t="n">
        <x:f>IF(AND(G3933="RECORDED",ISNUMBER(H3933)),H3933,"")</x:f>
        <x:v>0</x:v>
      </x:c>
      <x:c r="P3933" s="34" t="str">
        <x:v>NOT_REVEALING</x:v>
      </x:c>
      <x:c r="Q3933" s="34" t="str">
        <x:v>Feedback-Directed Random Test Generation/Result/Jsoup_8/result.json</x:v>
      </x:c>
    </x:row>
    <x:row r="3934">
      <x:c r="A3934" s="34" t="str">
        <x:v>randoop</x:v>
      </x:c>
      <x:c r="B3934" s="34" t="str">
        <x:v>Jsoup</x:v>
      </x:c>
      <x:c r="C3934" s="34" t="str">
        <x:v>Round1</x:v>
      </x:c>
      <x:c r="D3934" s="34" t="str">
        <x:v>Jsoup_9</x:v>
      </x:c>
      <x:c r="E3934" s="34" t="str">
        <x:v>Condition</x:v>
      </x:c>
      <x:c r="F3934" s="34" t="n">
        <x:v>0</x:v>
      </x:c>
      <x:c r="G3934" s="34" t="str">
        <x:v>A</x:v>
      </x:c>
      <x:c r="H3934" s="38" t="str">
        <x:f>IF(ISNUMBER('Data'!I518),'Data'!I518*100,"")</x:f>
      </x:c>
      <x:c r="I3934" s="34" t="str">
        <x:v>FAIL</x:v>
      </x:c>
      <x:c r="J3934" s="34" t="str">
        <x:v>PASS</x:v>
      </x:c>
      <x:c r="K3934" s="34" t="str">
        <x:v>PASS</x:v>
      </x:c>
      <x:c r="L3934" s="34" t="str">
        <x:v>PASS</x:v>
      </x:c>
      <x:c r="M3934" s="34" t="str">
        <x:v>coverage unavailable or execution/compile failed</x:v>
      </x:c>
      <x:c r="N3934" s="34" t="str">
        <x:v>Feedback-Directed Random Test Generation/Result/Jsoup_9/result.json</x:v>
      </x:c>
      <x:c r="O3934" s="38" t="str">
        <x:f>IF(AND(G3934="RECORDED",ISNUMBER(H3934)),H3934,"")</x:f>
      </x:c>
      <x:c r="P3934" s="34" t="str">
        <x:v>NOT_AVAILABLE</x:v>
      </x:c>
      <x:c r="Q3934" s="34" t="str">
        <x:v>Feedback-Directed Random Test Generation/Result/Jsoup_9/result.json</x:v>
      </x:c>
    </x:row>
    <x:row r="3935">
      <x:c r="A3935" s="34" t="str">
        <x:v>randoop</x:v>
      </x:c>
      <x:c r="B3935" s="34" t="str">
        <x:v>Jsoup</x:v>
      </x:c>
      <x:c r="C3935" s="34" t="str">
        <x:v>Round1</x:v>
      </x:c>
      <x:c r="D3935" s="34" t="str">
        <x:v>Jsoup_10</x:v>
      </x:c>
      <x:c r="E3935" s="34" t="str">
        <x:v>Condition</x:v>
      </x:c>
      <x:c r="F3935" s="34" t="n">
        <x:v>48</x:v>
      </x:c>
      <x:c r="G3935" s="34" t="str">
        <x:v>RECORDED</x:v>
      </x:c>
      <x:c r="H3935" s="38" t="n">
        <x:f>IF(ISNUMBER('Data'!I519),'Data'!I519*100,"")</x:f>
        <x:v>0</x:v>
      </x:c>
      <x:c r="I3935" s="34" t="str">
        <x:v>PASS</x:v>
      </x:c>
      <x:c r="J3935" s="34" t="str">
        <x:v>PASS</x:v>
      </x:c>
      <x:c r="K3935" s="34" t="str">
        <x:v>PASS</x:v>
      </x:c>
      <x:c r="L3935" s="34" t="str">
        <x:v>PASS</x:v>
      </x:c>
      <x:c r="M3935" s="34" t="str">
        <x:v>numeric coverage for applicable metric</x:v>
      </x:c>
      <x:c r="N3935" s="34" t="str">
        <x:v>Feedback-Directed Random Test Generation/Result/Jsoup_10/result.json</x:v>
      </x:c>
      <x:c r="O3935" s="38" t="n">
        <x:f>IF(AND(G3935="RECORDED",ISNUMBER(H3935)),H3935,"")</x:f>
        <x:v>0</x:v>
      </x:c>
      <x:c r="P3935" s="34" t="str">
        <x:v>NOT_REVEALING</x:v>
      </x:c>
      <x:c r="Q3935" s="34" t="str">
        <x:v>Feedback-Directed Random Test Generation/Result/Jsoup_10/result.json</x:v>
      </x:c>
    </x:row>
    <x:row r="3936">
      <x:c r="A3936" s="34" t="str">
        <x:v>randoop</x:v>
      </x:c>
      <x:c r="B3936" s="34" t="str">
        <x:v>Jsoup</x:v>
      </x:c>
      <x:c r="C3936" s="34" t="str">
        <x:v>Round1</x:v>
      </x:c>
      <x:c r="D3936" s="34" t="str">
        <x:v>Jsoup_11</x:v>
      </x:c>
      <x:c r="E3936" s="34" t="str">
        <x:v>Condition</x:v>
      </x:c>
      <x:c r="F3936" s="34" t="n">
        <x:v>120</x:v>
      </x:c>
      <x:c r="G3936" s="34" t="str">
        <x:v>RECORDED</x:v>
      </x:c>
      <x:c r="H3936" s="38" t="n">
        <x:f>IF(ISNUMBER('Data'!I520),'Data'!I520*100,"")</x:f>
        <x:v>0</x:v>
      </x:c>
      <x:c r="I3936" s="34" t="str">
        <x:v>PASS</x:v>
      </x:c>
      <x:c r="J3936" s="34" t="str">
        <x:v>PASS</x:v>
      </x:c>
      <x:c r="K3936" s="34" t="str">
        <x:v>PASS</x:v>
      </x:c>
      <x:c r="L3936" s="34" t="str">
        <x:v>PASS</x:v>
      </x:c>
      <x:c r="M3936" s="34" t="str">
        <x:v>numeric coverage for applicable metric</x:v>
      </x:c>
      <x:c r="N3936" s="34" t="str">
        <x:v>Feedback-Directed Random Test Generation/Result/Jsoup_11/result.json</x:v>
      </x:c>
      <x:c r="O3936" s="38" t="n">
        <x:f>IF(AND(G3936="RECORDED",ISNUMBER(H3936)),H3936,"")</x:f>
        <x:v>0</x:v>
      </x:c>
      <x:c r="P3936" s="34" t="str">
        <x:v>NOT_REVEALING</x:v>
      </x:c>
      <x:c r="Q3936" s="34" t="str">
        <x:v>Feedback-Directed Random Test Generation/Result/Jsoup_11/result.json</x:v>
      </x:c>
    </x:row>
    <x:row r="3937">
      <x:c r="A3937" s="34" t="str">
        <x:v>randoop</x:v>
      </x:c>
      <x:c r="B3937" s="34" t="str">
        <x:v>Jsoup</x:v>
      </x:c>
      <x:c r="C3937" s="34" t="str">
        <x:v>Round1</x:v>
      </x:c>
      <x:c r="D3937" s="34" t="str">
        <x:v>Jsoup_12</x:v>
      </x:c>
      <x:c r="E3937" s="34" t="str">
        <x:v>Condition</x:v>
      </x:c>
      <x:c r="F3937" s="34" t="n">
        <x:v>132</x:v>
      </x:c>
      <x:c r="G3937" s="34" t="str">
        <x:v>RECORDED</x:v>
      </x:c>
      <x:c r="H3937" s="38" t="n">
        <x:f>IF(ISNUMBER('Data'!I521),'Data'!I521*100,"")</x:f>
        <x:v>1.52</x:v>
      </x:c>
      <x:c r="I3937" s="34" t="str">
        <x:v>PASS</x:v>
      </x:c>
      <x:c r="J3937" s="34" t="str">
        <x:v>PASS</x:v>
      </x:c>
      <x:c r="K3937" s="34" t="str">
        <x:v>PASS</x:v>
      </x:c>
      <x:c r="L3937" s="34" t="str">
        <x:v>PASS</x:v>
      </x:c>
      <x:c r="M3937" s="34" t="str">
        <x:v>numeric coverage for applicable metric</x:v>
      </x:c>
      <x:c r="N3937" s="34" t="str">
        <x:v>Feedback-Directed Random Test Generation/Result/Jsoup_12/result.json</x:v>
      </x:c>
      <x:c r="O3937" s="38" t="n">
        <x:f>IF(AND(G3937="RECORDED",ISNUMBER(H3937)),H3937,"")</x:f>
        <x:v>1.52</x:v>
      </x:c>
      <x:c r="P3937" s="34" t="str">
        <x:v>NOT_REVEALING</x:v>
      </x:c>
      <x:c r="Q3937" s="34" t="str">
        <x:v>Feedback-Directed Random Test Generation/Result/Jsoup_12/result.json</x:v>
      </x:c>
    </x:row>
    <x:row r="3938">
      <x:c r="A3938" s="34" t="str">
        <x:v>randoop</x:v>
      </x:c>
      <x:c r="B3938" s="34" t="str">
        <x:v>Jsoup</x:v>
      </x:c>
      <x:c r="C3938" s="34" t="str">
        <x:v>Round1</x:v>
      </x:c>
      <x:c r="D3938" s="34" t="str">
        <x:v>Jsoup_13</x:v>
      </x:c>
      <x:c r="E3938" s="34" t="str">
        <x:v>Condition</x:v>
      </x:c>
      <x:c r="F3938" s="34" t="n">
        <x:v>64</x:v>
      </x:c>
      <x:c r="G3938" s="34" t="str">
        <x:v>RECORDED</x:v>
      </x:c>
      <x:c r="H3938" s="38" t="n">
        <x:f>IF(ISNUMBER('Data'!I522),'Data'!I522*100,"")</x:f>
        <x:v>0</x:v>
      </x:c>
      <x:c r="I3938" s="34" t="str">
        <x:v>PASS</x:v>
      </x:c>
      <x:c r="J3938" s="34" t="str">
        <x:v>PASS</x:v>
      </x:c>
      <x:c r="K3938" s="34" t="str">
        <x:v>PASS</x:v>
      </x:c>
      <x:c r="L3938" s="34" t="str">
        <x:v>PASS</x:v>
      </x:c>
      <x:c r="M3938" s="34" t="str">
        <x:v>numeric coverage for applicable metric</x:v>
      </x:c>
      <x:c r="N3938" s="34" t="str">
        <x:v>Feedback-Directed Random Test Generation/Result/Jsoup_13/result.json</x:v>
      </x:c>
      <x:c r="O3938" s="38" t="n">
        <x:f>IF(AND(G3938="RECORDED",ISNUMBER(H3938)),H3938,"")</x:f>
        <x:v>0</x:v>
      </x:c>
      <x:c r="P3938" s="34" t="str">
        <x:v>NOT_REVEALING</x:v>
      </x:c>
      <x:c r="Q3938" s="34" t="str">
        <x:v>Feedback-Directed Random Test Generation/Result/Jsoup_13/result.json</x:v>
      </x:c>
    </x:row>
    <x:row r="3939">
      <x:c r="A3939" s="34" t="str">
        <x:v>randoop</x:v>
      </x:c>
      <x:c r="B3939" s="34" t="str">
        <x:v>Jsoup</x:v>
      </x:c>
      <x:c r="C3939" s="34" t="str">
        <x:v>Round1</x:v>
      </x:c>
      <x:c r="D3939" s="34" t="str">
        <x:v>Jsoup_14</x:v>
      </x:c>
      <x:c r="E3939" s="34" t="str">
        <x:v>Condition</x:v>
      </x:c>
      <x:c r="F3939" s="34" t="n">
        <x:v>430</x:v>
      </x:c>
      <x:c r="G3939" s="34" t="str">
        <x:v>RECORDED</x:v>
      </x:c>
      <x:c r="H3939" s="38" t="n">
        <x:f>IF(ISNUMBER('Data'!I523),'Data'!I523*100,"")</x:f>
        <x:v>3.95</x:v>
      </x:c>
      <x:c r="I3939" s="34" t="str">
        <x:v>PASS</x:v>
      </x:c>
      <x:c r="J3939" s="34" t="str">
        <x:v>PASS</x:v>
      </x:c>
      <x:c r="K3939" s="34" t="str">
        <x:v>PASS</x:v>
      </x:c>
      <x:c r="L3939" s="34" t="str">
        <x:v>PASS</x:v>
      </x:c>
      <x:c r="M3939" s="34" t="str">
        <x:v>numeric coverage for applicable metric</x:v>
      </x:c>
      <x:c r="N3939" s="34" t="str">
        <x:v>Feedback-Directed Random Test Generation/Result/Jsoup_14/result.json</x:v>
      </x:c>
      <x:c r="O3939" s="38" t="n">
        <x:f>IF(AND(G3939="RECORDED",ISNUMBER(H3939)),H3939,"")</x:f>
        <x:v>3.95</x:v>
      </x:c>
      <x:c r="P3939" s="34" t="str">
        <x:v>NOT_REVEALING</x:v>
      </x:c>
      <x:c r="Q3939" s="34" t="str">
        <x:v>Feedback-Directed Random Test Generation/Result/Jsoup_14/result.json</x:v>
      </x:c>
    </x:row>
    <x:row r="3940">
      <x:c r="A3940" s="34" t="str">
        <x:v>randoop</x:v>
      </x:c>
      <x:c r="B3940" s="34" t="str">
        <x:v>Jsoup</x:v>
      </x:c>
      <x:c r="C3940" s="34" t="str">
        <x:v>Round1</x:v>
      </x:c>
      <x:c r="D3940" s="34" t="str">
        <x:v>Jsoup_15</x:v>
      </x:c>
      <x:c r="E3940" s="34" t="str">
        <x:v>Condition</x:v>
      </x:c>
      <x:c r="F3940" s="34" t="n">
        <x:v>747</x:v>
      </x:c>
      <x:c r="G3940" s="34" t="str">
        <x:v>RECORDED</x:v>
      </x:c>
      <x:c r="H3940" s="38" t="n">
        <x:f>IF(ISNUMBER('Data'!I524),'Data'!I524*100,"")</x:f>
        <x:v>0</x:v>
      </x:c>
      <x:c r="I3940" s="34" t="str">
        <x:v>PASS</x:v>
      </x:c>
      <x:c r="J3940" s="34" t="str">
        <x:v>PASS</x:v>
      </x:c>
      <x:c r="K3940" s="34" t="str">
        <x:v>PASS</x:v>
      </x:c>
      <x:c r="L3940" s="34" t="str">
        <x:v>PASS</x:v>
      </x:c>
      <x:c r="M3940" s="34" t="str">
        <x:v>numeric coverage for applicable metric</x:v>
      </x:c>
      <x:c r="N3940" s="34" t="str">
        <x:v>Feedback-Directed Random Test Generation/Result/Jsoup_15/result.json</x:v>
      </x:c>
      <x:c r="O3940" s="38" t="n">
        <x:f>IF(AND(G3940="RECORDED",ISNUMBER(H3940)),H3940,"")</x:f>
        <x:v>0</x:v>
      </x:c>
      <x:c r="P3940" s="34" t="str">
        <x:v>NOT_REVEALING</x:v>
      </x:c>
      <x:c r="Q3940" s="34" t="str">
        <x:v>Feedback-Directed Random Test Generation/Result/Jsoup_15/result.json</x:v>
      </x:c>
    </x:row>
    <x:row r="3941">
      <x:c r="A3941" s="34" t="str">
        <x:v>randoop</x:v>
      </x:c>
      <x:c r="B3941" s="34" t="str">
        <x:v>Jsoup</x:v>
      </x:c>
      <x:c r="C3941" s="34" t="str">
        <x:v>Round1</x:v>
      </x:c>
      <x:c r="D3941" s="34" t="str">
        <x:v>Jsoup_16</x:v>
      </x:c>
      <x:c r="E3941" s="34" t="str">
        <x:v>Condition</x:v>
      </x:c>
      <x:c r="F3941" s="34" t="n">
        <x:v>4</x:v>
      </x:c>
      <x:c r="G3941" s="34" t="str">
        <x:v>RECORDED</x:v>
      </x:c>
      <x:c r="H3941" s="38" t="n">
        <x:f>IF(ISNUMBER('Data'!I525),'Data'!I525*100,"")</x:f>
        <x:v>50</x:v>
      </x:c>
      <x:c r="I3941" s="34" t="str">
        <x:v>PASS</x:v>
      </x:c>
      <x:c r="J3941" s="34" t="str">
        <x:v>PASS</x:v>
      </x:c>
      <x:c r="K3941" s="34" t="str">
        <x:v>PASS</x:v>
      </x:c>
      <x:c r="L3941" s="34" t="str">
        <x:v>PASS</x:v>
      </x:c>
      <x:c r="M3941" s="34" t="str">
        <x:v>numeric coverage for applicable metric</x:v>
      </x:c>
      <x:c r="N3941" s="34" t="str">
        <x:v>Feedback-Directed Random Test Generation/Result/Jsoup_16/result.json</x:v>
      </x:c>
      <x:c r="O3941" s="38" t="n">
        <x:f>IF(AND(G3941="RECORDED",ISNUMBER(H3941)),H3941,"")</x:f>
        <x:v>50</x:v>
      </x:c>
      <x:c r="P3941" s="34" t="str">
        <x:v>INCONCLUSIVE</x:v>
      </x:c>
      <x:c r="Q3941" s="34" t="str">
        <x:v>Feedback-Directed Random Test Generation/Result/Jsoup_16/result.json</x:v>
      </x:c>
    </x:row>
    <x:row r="3942">
      <x:c r="A3942" s="34" t="str">
        <x:v>randoop</x:v>
      </x:c>
      <x:c r="B3942" s="34" t="str">
        <x:v>Jsoup</x:v>
      </x:c>
      <x:c r="C3942" s="34" t="str">
        <x:v>Round1</x:v>
      </x:c>
      <x:c r="D3942" s="34" t="str">
        <x:v>Jsoup_17</x:v>
      </x:c>
      <x:c r="E3942" s="34" t="str">
        <x:v>Condition</x:v>
      </x:c>
      <x:c r="F3942" s="34" t="n">
        <x:v>747</x:v>
      </x:c>
      <x:c r="G3942" s="34" t="str">
        <x:v>RECORDED</x:v>
      </x:c>
      <x:c r="H3942" s="38" t="n">
        <x:f>IF(ISNUMBER('Data'!I526),'Data'!I526*100,"")</x:f>
        <x:v>0</x:v>
      </x:c>
      <x:c r="I3942" s="34" t="str">
        <x:v>PASS</x:v>
      </x:c>
      <x:c r="J3942" s="34" t="str">
        <x:v>PASS</x:v>
      </x:c>
      <x:c r="K3942" s="34" t="str">
        <x:v>PASS</x:v>
      </x:c>
      <x:c r="L3942" s="34" t="str">
        <x:v>PASS</x:v>
      </x:c>
      <x:c r="M3942" s="34" t="str">
        <x:v>numeric coverage for applicable metric</x:v>
      </x:c>
      <x:c r="N3942" s="34" t="str">
        <x:v>Feedback-Directed Random Test Generation/Result/Jsoup_17/result.json</x:v>
      </x:c>
      <x:c r="O3942" s="38" t="n">
        <x:f>IF(AND(G3942="RECORDED",ISNUMBER(H3942)),H3942,"")</x:f>
        <x:v>0</x:v>
      </x:c>
      <x:c r="P3942" s="34" t="str">
        <x:v>NOT_REVEALING</x:v>
      </x:c>
      <x:c r="Q3942" s="34" t="str">
        <x:v>Feedback-Directed Random Test Generation/Result/Jsoup_17/result.json</x:v>
      </x:c>
    </x:row>
    <x:row r="3943">
      <x:c r="A3943" s="34" t="str">
        <x:v>randoop</x:v>
      </x:c>
      <x:c r="B3943" s="34" t="str">
        <x:v>Jsoup</x:v>
      </x:c>
      <x:c r="C3943" s="34" t="str">
        <x:v>Round1</x:v>
      </x:c>
      <x:c r="D3943" s="34" t="str">
        <x:v>Jsoup_18</x:v>
      </x:c>
      <x:c r="E3943" s="34" t="str">
        <x:v>Condition</x:v>
      </x:c>
      <x:c r="F3943" s="34" t="n">
        <x:v>82</x:v>
      </x:c>
      <x:c r="G3943" s="34" t="str">
        <x:v>RECORDED</x:v>
      </x:c>
      <x:c r="H3943" s="38" t="n">
        <x:f>IF(ISNUMBER('Data'!I527),'Data'!I527*100,"")</x:f>
        <x:v>86.59</x:v>
      </x:c>
      <x:c r="I3943" s="34" t="str">
        <x:v>PASS</x:v>
      </x:c>
      <x:c r="J3943" s="34" t="str">
        <x:v>PASS</x:v>
      </x:c>
      <x:c r="K3943" s="34" t="str">
        <x:v>PASS</x:v>
      </x:c>
      <x:c r="L3943" s="34" t="str">
        <x:v>PASS</x:v>
      </x:c>
      <x:c r="M3943" s="34" t="str">
        <x:v>numeric coverage for applicable metric</x:v>
      </x:c>
      <x:c r="N3943" s="34" t="str">
        <x:v>Feedback-Directed Random Test Generation/Result/Jsoup_18/result.json</x:v>
      </x:c>
      <x:c r="O3943" s="38" t="n">
        <x:f>IF(AND(G3943="RECORDED",ISNUMBER(H3943)),H3943,"")</x:f>
        <x:v>86.59</x:v>
      </x:c>
      <x:c r="P3943" s="34" t="str">
        <x:v>INCONCLUSIVE</x:v>
      </x:c>
      <x:c r="Q3943" s="34" t="str">
        <x:v>Feedback-Directed Random Test Generation/Result/Jsoup_18/result.json</x:v>
      </x:c>
    </x:row>
    <x:row r="3944">
      <x:c r="A3944" s="34" t="str">
        <x:v>randoop</x:v>
      </x:c>
      <x:c r="B3944" s="34" t="str">
        <x:v>Jsoup</x:v>
      </x:c>
      <x:c r="C3944" s="34" t="str">
        <x:v>Round1</x:v>
      </x:c>
      <x:c r="D3944" s="34" t="str">
        <x:v>Jsoup_19</x:v>
      </x:c>
      <x:c r="E3944" s="34" t="str">
        <x:v>Condition</x:v>
      </x:c>
      <x:c r="F3944" s="34" t="n">
        <x:v>52</x:v>
      </x:c>
      <x:c r="G3944" s="34" t="str">
        <x:v>RECORDED</x:v>
      </x:c>
      <x:c r="H3944" s="38" t="n">
        <x:f>IF(ISNUMBER('Data'!I528),'Data'!I528*100,"")</x:f>
        <x:v>51.92</x:v>
      </x:c>
      <x:c r="I3944" s="34" t="str">
        <x:v>PASS</x:v>
      </x:c>
      <x:c r="J3944" s="34" t="str">
        <x:v>PASS</x:v>
      </x:c>
      <x:c r="K3944" s="34" t="str">
        <x:v>PASS</x:v>
      </x:c>
      <x:c r="L3944" s="34" t="str">
        <x:v>PASS</x:v>
      </x:c>
      <x:c r="M3944" s="34" t="str">
        <x:v>numeric coverage for applicable metric</x:v>
      </x:c>
      <x:c r="N3944" s="34" t="str">
        <x:v>Feedback-Directed Random Test Generation/Result/Jsoup_19/result.json</x:v>
      </x:c>
      <x:c r="O3944" s="38" t="n">
        <x:f>IF(AND(G3944="RECORDED",ISNUMBER(H3944)),H3944,"")</x:f>
        <x:v>51.92</x:v>
      </x:c>
      <x:c r="P3944" s="34" t="str">
        <x:v>NOT_REVEALING</x:v>
      </x:c>
      <x:c r="Q3944" s="34" t="str">
        <x:v>Feedback-Directed Random Test Generation/Result/Jsoup_19/result.json</x:v>
      </x:c>
    </x:row>
    <x:row r="3945">
      <x:c r="A3945" s="34" t="str">
        <x:v>randoop</x:v>
      </x:c>
      <x:c r="B3945" s="34" t="str">
        <x:v>Jsoup</x:v>
      </x:c>
      <x:c r="C3945" s="34" t="str">
        <x:v>Round1</x:v>
      </x:c>
      <x:c r="D3945" s="34" t="str">
        <x:v>Jsoup_20</x:v>
      </x:c>
      <x:c r="E3945" s="34" t="str">
        <x:v>Condition</x:v>
      </x:c>
      <x:c r="F3945" s="34" t="n">
        <x:v>22</x:v>
      </x:c>
      <x:c r="G3945" s="34" t="str">
        <x:v>RECORDED</x:v>
      </x:c>
      <x:c r="H3945" s="38" t="n">
        <x:f>IF(ISNUMBER('Data'!I529),'Data'!I529*100,"")</x:f>
        <x:v>13.639999999999999</x:v>
      </x:c>
      <x:c r="I3945" s="34" t="str">
        <x:v>PASS</x:v>
      </x:c>
      <x:c r="J3945" s="34" t="str">
        <x:v>PASS</x:v>
      </x:c>
      <x:c r="K3945" s="34" t="str">
        <x:v>PASS</x:v>
      </x:c>
      <x:c r="L3945" s="34" t="str">
        <x:v>PASS</x:v>
      </x:c>
      <x:c r="M3945" s="34" t="str">
        <x:v>numeric coverage for applicable metric</x:v>
      </x:c>
      <x:c r="N3945" s="34" t="str">
        <x:v>Feedback-Directed Random Test Generation/Result/Jsoup_20/result.json</x:v>
      </x:c>
      <x:c r="O3945" s="38" t="n">
        <x:f>IF(AND(G3945="RECORDED",ISNUMBER(H3945)),H3945,"")</x:f>
        <x:v>13.639999999999999</x:v>
      </x:c>
      <x:c r="P3945" s="34" t="str">
        <x:v>NOT_REVEALING</x:v>
      </x:c>
      <x:c r="Q3945" s="34" t="str">
        <x:v>Feedback-Directed Random Test Generation/Result/Jsoup_20/result.json</x:v>
      </x:c>
    </x:row>
    <x:row r="3946">
      <x:c r="A3946" s="34" t="str">
        <x:v>randoop</x:v>
      </x:c>
      <x:c r="B3946" s="34" t="str">
        <x:v>Jsoup</x:v>
      </x:c>
      <x:c r="C3946" s="34" t="str">
        <x:v>Round1</x:v>
      </x:c>
      <x:c r="D3946" s="34" t="str">
        <x:v>Jsoup_21</x:v>
      </x:c>
      <x:c r="E3946" s="34" t="str">
        <x:v>Condition</x:v>
      </x:c>
      <x:c r="F3946" s="34" t="n">
        <x:v>96</x:v>
      </x:c>
      <x:c r="G3946" s="34" t="str">
        <x:v>RECORDED</x:v>
      </x:c>
      <x:c r="H3946" s="38" t="n">
        <x:f>IF(ISNUMBER('Data'!I530),'Data'!I530*100,"")</x:f>
        <x:v>32.29</x:v>
      </x:c>
      <x:c r="I3946" s="34" t="str">
        <x:v>PASS</x:v>
      </x:c>
      <x:c r="J3946" s="34" t="str">
        <x:v>PASS</x:v>
      </x:c>
      <x:c r="K3946" s="34" t="str">
        <x:v>PASS</x:v>
      </x:c>
      <x:c r="L3946" s="34" t="str">
        <x:v>PASS</x:v>
      </x:c>
      <x:c r="M3946" s="34" t="str">
        <x:v>numeric coverage for applicable metric</x:v>
      </x:c>
      <x:c r="N3946" s="34" t="str">
        <x:v>Feedback-Directed Random Test Generation/Result/Jsoup_21/result.json</x:v>
      </x:c>
      <x:c r="O3946" s="38" t="n">
        <x:f>IF(AND(G3946="RECORDED",ISNUMBER(H3946)),H3946,"")</x:f>
        <x:v>32.29</x:v>
      </x:c>
      <x:c r="P3946" s="34" t="str">
        <x:v>NOT_REVEALING</x:v>
      </x:c>
      <x:c r="Q3946" s="34" t="str">
        <x:v>Feedback-Directed Random Test Generation/Result/Jsoup_21/result.json</x:v>
      </x:c>
    </x:row>
    <x:row r="3947">
      <x:c r="A3947" s="34" t="str">
        <x:v>randoop</x:v>
      </x:c>
      <x:c r="B3947" s="34" t="str">
        <x:v>Jsoup</x:v>
      </x:c>
      <x:c r="C3947" s="34" t="str">
        <x:v>Round1</x:v>
      </x:c>
      <x:c r="D3947" s="34" t="str">
        <x:v>Jsoup_22</x:v>
      </x:c>
      <x:c r="E3947" s="34" t="str">
        <x:v>Condition</x:v>
      </x:c>
      <x:c r="F3947" s="34" t="n">
        <x:v>272</x:v>
      </x:c>
      <x:c r="G3947" s="34" t="str">
        <x:v>RECORDED</x:v>
      </x:c>
      <x:c r="H3947" s="38" t="n">
        <x:f>IF(ISNUMBER('Data'!I531),'Data'!I531*100,"")</x:f>
        <x:v>22.43</x:v>
      </x:c>
      <x:c r="I3947" s="34" t="str">
        <x:v>PASS</x:v>
      </x:c>
      <x:c r="J3947" s="34" t="str">
        <x:v>PASS</x:v>
      </x:c>
      <x:c r="K3947" s="34" t="str">
        <x:v>PASS</x:v>
      </x:c>
      <x:c r="L3947" s="34" t="str">
        <x:v>PASS</x:v>
      </x:c>
      <x:c r="M3947" s="34" t="str">
        <x:v>numeric coverage for applicable metric</x:v>
      </x:c>
      <x:c r="N3947" s="34" t="str">
        <x:v>Feedback-Directed Random Test Generation/Result/Jsoup_22/result.json</x:v>
      </x:c>
      <x:c r="O3947" s="38" t="n">
        <x:f>IF(AND(G3947="RECORDED",ISNUMBER(H3947)),H3947,"")</x:f>
        <x:v>22.43</x:v>
      </x:c>
      <x:c r="P3947" s="34" t="str">
        <x:v>NOT_REVEALING</x:v>
      </x:c>
      <x:c r="Q3947" s="34" t="str">
        <x:v>Feedback-Directed Random Test Generation/Result/Jsoup_22/result.json</x:v>
      </x:c>
    </x:row>
    <x:row r="3948">
      <x:c r="A3948" s="34" t="str">
        <x:v>randoop</x:v>
      </x:c>
      <x:c r="B3948" s="34" t="str">
        <x:v>Jsoup</x:v>
      </x:c>
      <x:c r="C3948" s="34" t="str">
        <x:v>Round1</x:v>
      </x:c>
      <x:c r="D3948" s="34" t="str">
        <x:v>Jsoup_23</x:v>
      </x:c>
      <x:c r="E3948" s="34" t="str">
        <x:v>Condition</x:v>
      </x:c>
      <x:c r="F3948" s="34" t="n">
        <x:v>152</x:v>
      </x:c>
      <x:c r="G3948" s="34" t="str">
        <x:v>RECORDED</x:v>
      </x:c>
      <x:c r="H3948" s="38" t="n">
        <x:f>IF(ISNUMBER('Data'!I532),'Data'!I532*100,"")</x:f>
        <x:v>45.39</x:v>
      </x:c>
      <x:c r="I3948" s="34" t="str">
        <x:v>PASS</x:v>
      </x:c>
      <x:c r="J3948" s="34" t="str">
        <x:v>PASS</x:v>
      </x:c>
      <x:c r="K3948" s="34" t="str">
        <x:v>PASS</x:v>
      </x:c>
      <x:c r="L3948" s="34" t="str">
        <x:v>PASS</x:v>
      </x:c>
      <x:c r="M3948" s="34" t="str">
        <x:v>numeric coverage for applicable metric</x:v>
      </x:c>
      <x:c r="N3948" s="34" t="str">
        <x:v>Feedback-Directed Random Test Generation/Result/Jsoup_23/result.json</x:v>
      </x:c>
      <x:c r="O3948" s="38" t="n">
        <x:f>IF(AND(G3948="RECORDED",ISNUMBER(H3948)),H3948,"")</x:f>
        <x:v>45.39</x:v>
      </x:c>
      <x:c r="P3948" s="34" t="str">
        <x:v>NOT_REVEALING</x:v>
      </x:c>
      <x:c r="Q3948" s="34" t="str">
        <x:v>Feedback-Directed Random Test Generation/Result/Jsoup_23/result.json</x:v>
      </x:c>
    </x:row>
    <x:row r="3949">
      <x:c r="A3949" s="34" t="str">
        <x:v>randoop</x:v>
      </x:c>
      <x:c r="B3949" s="34" t="str">
        <x:v>Jsoup</x:v>
      </x:c>
      <x:c r="C3949" s="34" t="str">
        <x:v>Round1</x:v>
      </x:c>
      <x:c r="D3949" s="34" t="str">
        <x:v>Jsoup_24</x:v>
      </x:c>
      <x:c r="E3949" s="34" t="str">
        <x:v>Condition</x:v>
      </x:c>
      <x:c r="F3949" s="34" t="n">
        <x:v>354</x:v>
      </x:c>
      <x:c r="G3949" s="34" t="str">
        <x:v>RECORDED</x:v>
      </x:c>
      <x:c r="H3949" s="38" t="n">
        <x:f>IF(ISNUMBER('Data'!I533),'Data'!I533*100,"")</x:f>
        <x:v>0</x:v>
      </x:c>
      <x:c r="I3949" s="34" t="str">
        <x:v>PASS</x:v>
      </x:c>
      <x:c r="J3949" s="34" t="str">
        <x:v>PASS</x:v>
      </x:c>
      <x:c r="K3949" s="34" t="str">
        <x:v>PASS</x:v>
      </x:c>
      <x:c r="L3949" s="34" t="str">
        <x:v>PASS</x:v>
      </x:c>
      <x:c r="M3949" s="34" t="str">
        <x:v>numeric coverage for applicable metric</x:v>
      </x:c>
      <x:c r="N3949" s="34" t="str">
        <x:v>Feedback-Directed Random Test Generation/Result/Jsoup_24/result.json</x:v>
      </x:c>
      <x:c r="O3949" s="38" t="n">
        <x:f>IF(AND(G3949="RECORDED",ISNUMBER(H3949)),H3949,"")</x:f>
        <x:v>0</x:v>
      </x:c>
      <x:c r="P3949" s="34" t="str">
        <x:v>NOT_REVEALING</x:v>
      </x:c>
      <x:c r="Q3949" s="34" t="str">
        <x:v>Feedback-Directed Random Test Generation/Result/Jsoup_24/result.json</x:v>
      </x:c>
    </x:row>
    <x:row r="3950">
      <x:c r="A3950" s="34" t="str">
        <x:v>randoop</x:v>
      </x:c>
      <x:c r="B3950" s="34" t="str">
        <x:v>Jsoup</x:v>
      </x:c>
      <x:c r="C3950" s="34" t="str">
        <x:v>Round1</x:v>
      </x:c>
      <x:c r="D3950" s="34" t="str">
        <x:v>Jsoup_25</x:v>
      </x:c>
      <x:c r="E3950" s="34" t="str">
        <x:v>Condition</x:v>
      </x:c>
      <x:c r="F3950" s="34" t="n">
        <x:v>46</x:v>
      </x:c>
      <x:c r="G3950" s="34" t="str">
        <x:v>RECORDED</x:v>
      </x:c>
      <x:c r="H3950" s="38" t="n">
        <x:f>IF(ISNUMBER('Data'!I534),'Data'!I534*100,"")</x:f>
        <x:v>39.13</x:v>
      </x:c>
      <x:c r="I3950" s="34" t="str">
        <x:v>PASS</x:v>
      </x:c>
      <x:c r="J3950" s="34" t="str">
        <x:v>PASS</x:v>
      </x:c>
      <x:c r="K3950" s="34" t="str">
        <x:v>PASS</x:v>
      </x:c>
      <x:c r="L3950" s="34" t="str">
        <x:v>PASS</x:v>
      </x:c>
      <x:c r="M3950" s="34" t="str">
        <x:v>numeric coverage for applicable metric</x:v>
      </x:c>
      <x:c r="N3950" s="34" t="str">
        <x:v>Feedback-Directed Random Test Generation/Result/Jsoup_25/result.json</x:v>
      </x:c>
      <x:c r="O3950" s="38" t="n">
        <x:f>IF(AND(G3950="RECORDED",ISNUMBER(H3950)),H3950,"")</x:f>
        <x:v>39.13</x:v>
      </x:c>
      <x:c r="P3950" s="34" t="str">
        <x:v>NOT_REVEALING</x:v>
      </x:c>
      <x:c r="Q3950" s="34" t="str">
        <x:v>Feedback-Directed Random Test Generation/Result/Jsoup_25/result.json</x:v>
      </x:c>
    </x:row>
    <x:row r="3951">
      <x:c r="A3951" s="34" t="str">
        <x:v>randoop</x:v>
      </x:c>
      <x:c r="B3951" s="34" t="str">
        <x:v>Jsoup</x:v>
      </x:c>
      <x:c r="C3951" s="34" t="str">
        <x:v>Round1</x:v>
      </x:c>
      <x:c r="D3951" s="34" t="str">
        <x:v>Jsoup_26</x:v>
      </x:c>
      <x:c r="E3951" s="34" t="str">
        <x:v>Condition</x:v>
      </x:c>
      <x:c r="F3951" s="34" t="n">
        <x:v>14</x:v>
      </x:c>
      <x:c r="G3951" s="34" t="str">
        <x:v>RECORDED</x:v>
      </x:c>
      <x:c r="H3951" s="38" t="n">
        <x:f>IF(ISNUMBER('Data'!I535),'Data'!I535*100,"")</x:f>
        <x:v>0</x:v>
      </x:c>
      <x:c r="I3951" s="34" t="str">
        <x:v>PASS</x:v>
      </x:c>
      <x:c r="J3951" s="34" t="str">
        <x:v>PASS</x:v>
      </x:c>
      <x:c r="K3951" s="34" t="str">
        <x:v>PASS</x:v>
      </x:c>
      <x:c r="L3951" s="34" t="str">
        <x:v>PASS</x:v>
      </x:c>
      <x:c r="M3951" s="34" t="str">
        <x:v>numeric coverage for applicable metric</x:v>
      </x:c>
      <x:c r="N3951" s="34" t="str">
        <x:v>Feedback-Directed Random Test Generation/Result/Jsoup_26/result.json</x:v>
      </x:c>
      <x:c r="O3951" s="38" t="n">
        <x:f>IF(AND(G3951="RECORDED",ISNUMBER(H3951)),H3951,"")</x:f>
        <x:v>0</x:v>
      </x:c>
      <x:c r="P3951" s="34" t="str">
        <x:v>NOT_REVEALING</x:v>
      </x:c>
      <x:c r="Q3951" s="34" t="str">
        <x:v>Feedback-Directed Random Test Generation/Result/Jsoup_26/result.json</x:v>
      </x:c>
    </x:row>
    <x:row r="3952">
      <x:c r="A3952" s="34" t="str">
        <x:v>randoop</x:v>
      </x:c>
      <x:c r="B3952" s="34" t="str">
        <x:v>Jsoup</x:v>
      </x:c>
      <x:c r="C3952" s="34" t="str">
        <x:v>Round1</x:v>
      </x:c>
      <x:c r="D3952" s="34" t="str">
        <x:v>Jsoup_27</x:v>
      </x:c>
      <x:c r="E3952" s="34" t="str">
        <x:v>Condition</x:v>
      </x:c>
      <x:c r="F3952" s="34" t="n">
        <x:v>24</x:v>
      </x:c>
      <x:c r="G3952" s="34" t="str">
        <x:v>RECORDED</x:v>
      </x:c>
      <x:c r="H3952" s="38" t="n">
        <x:f>IF(ISNUMBER('Data'!I536),'Data'!I536*100,"")</x:f>
        <x:v>12.5</x:v>
      </x:c>
      <x:c r="I3952" s="34" t="str">
        <x:v>PASS</x:v>
      </x:c>
      <x:c r="J3952" s="34" t="str">
        <x:v>PASS</x:v>
      </x:c>
      <x:c r="K3952" s="34" t="str">
        <x:v>PASS</x:v>
      </x:c>
      <x:c r="L3952" s="34" t="str">
        <x:v>PASS</x:v>
      </x:c>
      <x:c r="M3952" s="34" t="str">
        <x:v>numeric coverage for applicable metric</x:v>
      </x:c>
      <x:c r="N3952" s="34" t="str">
        <x:v>Feedback-Directed Random Test Generation/Result/Jsoup_27/result.json</x:v>
      </x:c>
      <x:c r="O3952" s="38" t="n">
        <x:f>IF(AND(G3952="RECORDED",ISNUMBER(H3952)),H3952,"")</x:f>
        <x:v>12.5</x:v>
      </x:c>
      <x:c r="P3952" s="34" t="str">
        <x:v>NOT_REVEALING</x:v>
      </x:c>
      <x:c r="Q3952" s="34" t="str">
        <x:v>Feedback-Directed Random Test Generation/Result/Jsoup_27/result.json</x:v>
      </x:c>
    </x:row>
    <x:row r="3953">
      <x:c r="A3953" s="34" t="str">
        <x:v>randoop</x:v>
      </x:c>
      <x:c r="B3953" s="34" t="str">
        <x:v>Jsoup</x:v>
      </x:c>
      <x:c r="C3953" s="34" t="str">
        <x:v>Round1</x:v>
      </x:c>
      <x:c r="D3953" s="34" t="str">
        <x:v>Jsoup_28</x:v>
      </x:c>
      <x:c r="E3953" s="34" t="str">
        <x:v>Condition</x:v>
      </x:c>
      <x:c r="F3953" s="34" t="n">
        <x:v>108</x:v>
      </x:c>
      <x:c r="G3953" s="34" t="str">
        <x:v>RECORDED</x:v>
      </x:c>
      <x:c r="H3953" s="38" t="n">
        <x:f>IF(ISNUMBER('Data'!I537),'Data'!I537*100,"")</x:f>
        <x:v>26.85</x:v>
      </x:c>
      <x:c r="I3953" s="34" t="str">
        <x:v>PASS</x:v>
      </x:c>
      <x:c r="J3953" s="34" t="str">
        <x:v>PASS</x:v>
      </x:c>
      <x:c r="K3953" s="34" t="str">
        <x:v>PASS</x:v>
      </x:c>
      <x:c r="L3953" s="34" t="str">
        <x:v>PASS</x:v>
      </x:c>
      <x:c r="M3953" s="34" t="str">
        <x:v>numeric coverage for applicable metric</x:v>
      </x:c>
      <x:c r="N3953" s="34" t="str">
        <x:v>Feedback-Directed Random Test Generation/Result/Jsoup_28/result.json</x:v>
      </x:c>
      <x:c r="O3953" s="38" t="n">
        <x:f>IF(AND(G3953="RECORDED",ISNUMBER(H3953)),H3953,"")</x:f>
        <x:v>26.85</x:v>
      </x:c>
      <x:c r="P3953" s="34" t="str">
        <x:v>NOT_REVEALING</x:v>
      </x:c>
      <x:c r="Q3953" s="34" t="str">
        <x:v>Feedback-Directed Random Test Generation/Result/Jsoup_28/result.json</x:v>
      </x:c>
    </x:row>
    <x:row r="3954">
      <x:c r="A3954" s="34" t="str">
        <x:v>randoop</x:v>
      </x:c>
      <x:c r="B3954" s="34" t="str">
        <x:v>Jsoup</x:v>
      </x:c>
      <x:c r="C3954" s="34" t="str">
        <x:v>Round1</x:v>
      </x:c>
      <x:c r="D3954" s="34" t="str">
        <x:v>Jsoup_29</x:v>
      </x:c>
      <x:c r="E3954" s="34" t="str">
        <x:v>Condition</x:v>
      </x:c>
      <x:c r="F3954" s="34" t="n">
        <x:v>36</x:v>
      </x:c>
      <x:c r="G3954" s="34" t="str">
        <x:v>RECORDED</x:v>
      </x:c>
      <x:c r="H3954" s="38" t="n">
        <x:f>IF(ISNUMBER('Data'!I538),'Data'!I538*100,"")</x:f>
        <x:v>80.56</x:v>
      </x:c>
      <x:c r="I3954" s="34" t="str">
        <x:v>PASS</x:v>
      </x:c>
      <x:c r="J3954" s="34" t="str">
        <x:v>PASS</x:v>
      </x:c>
      <x:c r="K3954" s="34" t="str">
        <x:v>PASS</x:v>
      </x:c>
      <x:c r="L3954" s="34" t="str">
        <x:v>FAIL</x:v>
      </x:c>
      <x:c r="M3954" s="34" t="str">
        <x:v>numeric coverage for applicable metric</x:v>
      </x:c>
      <x:c r="N3954" s="34" t="str">
        <x:v>Feedback-Directed Random Test Generation/Result/Jsoup_29/result.json</x:v>
      </x:c>
      <x:c r="O3954" s="38" t="n">
        <x:f>IF(AND(G3954="RECORDED",ISNUMBER(H3954)),H3954,"")</x:f>
        <x:v>80.56</x:v>
      </x:c>
      <x:c r="P3954" s="34" t="str">
        <x:v>INCONCLUSIVE</x:v>
      </x:c>
      <x:c r="Q3954" s="34" t="str">
        <x:v>Feedback-Directed Random Test Generation/Result/Jsoup_29/result.json</x:v>
      </x:c>
    </x:row>
    <x:row r="3955">
      <x:c r="A3955" s="34" t="str">
        <x:v>randoop</x:v>
      </x:c>
      <x:c r="B3955" s="34" t="str">
        <x:v>Jsoup</x:v>
      </x:c>
      <x:c r="C3955" s="34" t="str">
        <x:v>Round1</x:v>
      </x:c>
      <x:c r="D3955" s="34" t="str">
        <x:v>Jsoup_30</x:v>
      </x:c>
      <x:c r="E3955" s="34" t="str">
        <x:v>Condition</x:v>
      </x:c>
      <x:c r="F3955" s="34" t="n">
        <x:v>16</x:v>
      </x:c>
      <x:c r="G3955" s="34" t="str">
        <x:v>RECORDED</x:v>
      </x:c>
      <x:c r="H3955" s="38" t="n">
        <x:f>IF(ISNUMBER('Data'!I539),'Data'!I539*100,"")</x:f>
        <x:v>0</x:v>
      </x:c>
      <x:c r="I3955" s="34" t="str">
        <x:v>PASS</x:v>
      </x:c>
      <x:c r="J3955" s="34" t="str">
        <x:v>PASS</x:v>
      </x:c>
      <x:c r="K3955" s="34" t="str">
        <x:v>PASS</x:v>
      </x:c>
      <x:c r="L3955" s="34" t="str">
        <x:v>PASS</x:v>
      </x:c>
      <x:c r="M3955" s="34" t="str">
        <x:v>numeric coverage for applicable metric</x:v>
      </x:c>
      <x:c r="N3955" s="34" t="str">
        <x:v>Feedback-Directed Random Test Generation/Result/Jsoup_30/result.json</x:v>
      </x:c>
      <x:c r="O3955" s="38" t="n">
        <x:f>IF(AND(G3955="RECORDED",ISNUMBER(H3955)),H3955,"")</x:f>
        <x:v>0</x:v>
      </x:c>
      <x:c r="P3955" s="34" t="str">
        <x:v>NOT_REVEALING</x:v>
      </x:c>
      <x:c r="Q3955" s="34" t="str">
        <x:v>Feedback-Directed Random Test Generation/Result/Jsoup_30/result.json</x:v>
      </x:c>
    </x:row>
    <x:row r="3956">
      <x:c r="A3956" s="34" t="str">
        <x:v>randoop</x:v>
      </x:c>
      <x:c r="B3956" s="34" t="str">
        <x:v>Jsoup</x:v>
      </x:c>
      <x:c r="C3956" s="34" t="str">
        <x:v>Round1</x:v>
      </x:c>
      <x:c r="D3956" s="34" t="str">
        <x:v>Jsoup_31</x:v>
      </x:c>
      <x:c r="E3956" s="34" t="str">
        <x:v>Condition</x:v>
      </x:c>
      <x:c r="F3956" s="34" t="n">
        <x:v>409</x:v>
      </x:c>
      <x:c r="G3956" s="34" t="str">
        <x:v>RECORDED</x:v>
      </x:c>
      <x:c r="H3956" s="38" t="n">
        <x:f>IF(ISNUMBER('Data'!I540),'Data'!I540*100,"")</x:f>
        <x:v>11</x:v>
      </x:c>
      <x:c r="I3956" s="34" t="str">
        <x:v>PASS</x:v>
      </x:c>
      <x:c r="J3956" s="34" t="str">
        <x:v>PASS</x:v>
      </x:c>
      <x:c r="K3956" s="34" t="str">
        <x:v>PASS</x:v>
      </x:c>
      <x:c r="L3956" s="34" t="str">
        <x:v>FAIL</x:v>
      </x:c>
      <x:c r="M3956" s="34" t="str">
        <x:v>numeric coverage for applicable metric</x:v>
      </x:c>
      <x:c r="N3956" s="34" t="str">
        <x:v>Feedback-Directed Random Test Generation/Result/Jsoup_31/result.json</x:v>
      </x:c>
      <x:c r="O3956" s="38" t="n">
        <x:f>IF(AND(G3956="RECORDED",ISNUMBER(H3956)),H3956,"")</x:f>
        <x:v>11</x:v>
      </x:c>
      <x:c r="P3956" s="34" t="str">
        <x:v>INCONCLUSIVE</x:v>
      </x:c>
      <x:c r="Q3956" s="34" t="str">
        <x:v>Feedback-Directed Random Test Generation/Result/Jsoup_31/result.json</x:v>
      </x:c>
    </x:row>
    <x:row r="3957">
      <x:c r="A3957" s="34" t="str">
        <x:v>randoop</x:v>
      </x:c>
      <x:c r="B3957" s="34" t="str">
        <x:v>Jsoup</x:v>
      </x:c>
      <x:c r="C3957" s="34" t="str">
        <x:v>Round1</x:v>
      </x:c>
      <x:c r="D3957" s="34" t="str">
        <x:v>Jsoup_32</x:v>
      </x:c>
      <x:c r="E3957" s="34" t="str">
        <x:v>Condition</x:v>
      </x:c>
      <x:c r="F3957" s="34" t="n">
        <x:v>140</x:v>
      </x:c>
      <x:c r="G3957" s="34" t="str">
        <x:v>RECORDED</x:v>
      </x:c>
      <x:c r="H3957" s="38" t="n">
        <x:f>IF(ISNUMBER('Data'!I541),'Data'!I541*100,"")</x:f>
        <x:v>0</x:v>
      </x:c>
      <x:c r="I3957" s="34" t="str">
        <x:v>PASS</x:v>
      </x:c>
      <x:c r="J3957" s="34" t="str">
        <x:v>PASS</x:v>
      </x:c>
      <x:c r="K3957" s="34" t="str">
        <x:v>PASS</x:v>
      </x:c>
      <x:c r="L3957" s="34" t="str">
        <x:v>PASS</x:v>
      </x:c>
      <x:c r="M3957" s="34" t="str">
        <x:v>numeric coverage for applicable metric</x:v>
      </x:c>
      <x:c r="N3957" s="34" t="str">
        <x:v>Feedback-Directed Random Test Generation/Result/Jsoup_32/result.json</x:v>
      </x:c>
      <x:c r="O3957" s="38" t="n">
        <x:f>IF(AND(G3957="RECORDED",ISNUMBER(H3957)),H3957,"")</x:f>
        <x:v>0</x:v>
      </x:c>
      <x:c r="P3957" s="34" t="str">
        <x:v>NOT_REVEALING</x:v>
      </x:c>
      <x:c r="Q3957" s="34" t="str">
        <x:v>Feedback-Directed Random Test Generation/Result/Jsoup_32/result.json</x:v>
      </x:c>
    </x:row>
    <x:row r="3958">
      <x:c r="A3958" s="34" t="str">
        <x:v>randoop</x:v>
      </x:c>
      <x:c r="B3958" s="34" t="str">
        <x:v>Jsoup</x:v>
      </x:c>
      <x:c r="C3958" s="34" t="str">
        <x:v>Round1</x:v>
      </x:c>
      <x:c r="D3958" s="34" t="str">
        <x:v>Jsoup_33</x:v>
      </x:c>
      <x:c r="E3958" s="34" t="str">
        <x:v>Condition</x:v>
      </x:c>
      <x:c r="F3958" s="34" t="n">
        <x:v>202</x:v>
      </x:c>
      <x:c r="G3958" s="34" t="str">
        <x:v>RECORDED</x:v>
      </x:c>
      <x:c r="H3958" s="38" t="n">
        <x:f>IF(ISNUMBER('Data'!I542),'Data'!I542*100,"")</x:f>
        <x:v>63.85999999999999</x:v>
      </x:c>
      <x:c r="I3958" s="34" t="str">
        <x:v>PASS</x:v>
      </x:c>
      <x:c r="J3958" s="34" t="str">
        <x:v>PASS</x:v>
      </x:c>
      <x:c r="K3958" s="34" t="str">
        <x:v>PASS</x:v>
      </x:c>
      <x:c r="L3958" s="34" t="str">
        <x:v>FAIL</x:v>
      </x:c>
      <x:c r="M3958" s="34" t="str">
        <x:v>numeric coverage for applicable metric</x:v>
      </x:c>
      <x:c r="N3958" s="34" t="str">
        <x:v>Feedback-Directed Random Test Generation/Result/Jsoup_33/result.json</x:v>
      </x:c>
      <x:c r="O3958" s="38" t="n">
        <x:f>IF(AND(G3958="RECORDED",ISNUMBER(H3958)),H3958,"")</x:f>
        <x:v>63.85999999999999</x:v>
      </x:c>
      <x:c r="P3958" s="34" t="str">
        <x:v>INCONCLUSIVE</x:v>
      </x:c>
      <x:c r="Q3958" s="34" t="str">
        <x:v>Feedback-Directed Random Test Generation/Result/Jsoup_33/result.json</x:v>
      </x:c>
    </x:row>
    <x:row r="3959">
      <x:c r="A3959" s="34" t="str">
        <x:v>randoop</x:v>
      </x:c>
      <x:c r="B3959" s="34" t="str">
        <x:v>Jsoup</x:v>
      </x:c>
      <x:c r="C3959" s="34" t="str">
        <x:v>Round1</x:v>
      </x:c>
      <x:c r="D3959" s="34" t="str">
        <x:v>Jsoup_34</x:v>
      </x:c>
      <x:c r="E3959" s="34" t="str">
        <x:v>Condition</x:v>
      </x:c>
      <x:c r="F3959" s="34" t="n">
        <x:v>130</x:v>
      </x:c>
      <x:c r="G3959" s="34" t="str">
        <x:v>RECORDED</x:v>
      </x:c>
      <x:c r="H3959" s="38" t="n">
        <x:f>IF(ISNUMBER('Data'!I543),'Data'!I543*100,"")</x:f>
        <x:v>85.38</x:v>
      </x:c>
      <x:c r="I3959" s="34" t="str">
        <x:v>PASS</x:v>
      </x:c>
      <x:c r="J3959" s="34" t="str">
        <x:v>PASS</x:v>
      </x:c>
      <x:c r="K3959" s="34" t="str">
        <x:v>PASS</x:v>
      </x:c>
      <x:c r="L3959" s="34" t="str">
        <x:v>PASS</x:v>
      </x:c>
      <x:c r="M3959" s="34" t="str">
        <x:v>numeric coverage for applicable metric</x:v>
      </x:c>
      <x:c r="N3959" s="34" t="str">
        <x:v>Feedback-Directed Random Test Generation/Result/Jsoup_34/result.json</x:v>
      </x:c>
      <x:c r="O3959" s="38" t="n">
        <x:f>IF(AND(G3959="RECORDED",ISNUMBER(H3959)),H3959,"")</x:f>
        <x:v>85.38</x:v>
      </x:c>
      <x:c r="P3959" s="34" t="str">
        <x:v>INCONCLUSIVE</x:v>
      </x:c>
      <x:c r="Q3959" s="34" t="str">
        <x:v>Feedback-Directed Random Test Generation/Result/Jsoup_34/result.json</x:v>
      </x:c>
    </x:row>
    <x:row r="3960">
      <x:c r="A3960" s="34" t="str">
        <x:v>randoop</x:v>
      </x:c>
      <x:c r="B3960" s="34" t="str">
        <x:v>Jsoup</x:v>
      </x:c>
      <x:c r="C3960" s="34" t="str">
        <x:v>Round1</x:v>
      </x:c>
      <x:c r="D3960" s="34" t="str">
        <x:v>Jsoup_35</x:v>
      </x:c>
      <x:c r="E3960" s="34" t="str">
        <x:v>Condition</x:v>
      </x:c>
      <x:c r="F3960" s="34" t="n">
        <x:v>749</x:v>
      </x:c>
      <x:c r="G3960" s="34" t="str">
        <x:v>RECORDED</x:v>
      </x:c>
      <x:c r="H3960" s="38" t="n">
        <x:f>IF(ISNUMBER('Data'!I544),'Data'!I544*100,"")</x:f>
        <x:v>0</x:v>
      </x:c>
      <x:c r="I3960" s="34" t="str">
        <x:v>PASS</x:v>
      </x:c>
      <x:c r="J3960" s="34" t="str">
        <x:v>PASS</x:v>
      </x:c>
      <x:c r="K3960" s="34" t="str">
        <x:v>PASS</x:v>
      </x:c>
      <x:c r="L3960" s="34" t="str">
        <x:v>PASS</x:v>
      </x:c>
      <x:c r="M3960" s="34" t="str">
        <x:v>numeric coverage for applicable metric</x:v>
      </x:c>
      <x:c r="N3960" s="34" t="str">
        <x:v>Feedback-Directed Random Test Generation/Result/Jsoup_35/result.json</x:v>
      </x:c>
      <x:c r="O3960" s="38" t="n">
        <x:f>IF(AND(G3960="RECORDED",ISNUMBER(H3960)),H3960,"")</x:f>
        <x:v>0</x:v>
      </x:c>
      <x:c r="P3960" s="34" t="str">
        <x:v>NOT_REVEALING</x:v>
      </x:c>
      <x:c r="Q3960" s="34" t="str">
        <x:v>Feedback-Directed Random Test Generation/Result/Jsoup_35/result.json</x:v>
      </x:c>
    </x:row>
    <x:row r="3961">
      <x:c r="A3961" s="34" t="str">
        <x:v>randoop</x:v>
      </x:c>
      <x:c r="B3961" s="34" t="str">
        <x:v>Jsoup</x:v>
      </x:c>
      <x:c r="C3961" s="34" t="str">
        <x:v>Round1</x:v>
      </x:c>
      <x:c r="D3961" s="34" t="str">
        <x:v>Jsoup_36</x:v>
      </x:c>
      <x:c r="E3961" s="34" t="str">
        <x:v>Condition</x:v>
      </x:c>
      <x:c r="F3961" s="34" t="n">
        <x:v>38</x:v>
      </x:c>
      <x:c r="G3961" s="34" t="str">
        <x:v>RECORDED</x:v>
      </x:c>
      <x:c r="H3961" s="38" t="n">
        <x:f>IF(ISNUMBER('Data'!I545),'Data'!I545*100,"")</x:f>
        <x:v>18.42</x:v>
      </x:c>
      <x:c r="I3961" s="34" t="str">
        <x:v>PASS</x:v>
      </x:c>
      <x:c r="J3961" s="34" t="str">
        <x:v>PASS</x:v>
      </x:c>
      <x:c r="K3961" s="34" t="str">
        <x:v>PASS</x:v>
      </x:c>
      <x:c r="L3961" s="34" t="str">
        <x:v>PASS</x:v>
      </x:c>
      <x:c r="M3961" s="34" t="str">
        <x:v>numeric coverage for applicable metric</x:v>
      </x:c>
      <x:c r="N3961" s="34" t="str">
        <x:v>Feedback-Directed Random Test Generation/Result/Jsoup_36/result.json</x:v>
      </x:c>
      <x:c r="O3961" s="38" t="n">
        <x:f>IF(AND(G3961="RECORDED",ISNUMBER(H3961)),H3961,"")</x:f>
        <x:v>18.42</x:v>
      </x:c>
      <x:c r="P3961" s="34" t="str">
        <x:v>NOT_REVEALING</x:v>
      </x:c>
      <x:c r="Q3961" s="34" t="str">
        <x:v>Feedback-Directed Random Test Generation/Result/Jsoup_36/result.json</x:v>
      </x:c>
    </x:row>
    <x:row r="3962">
      <x:c r="A3962" s="34" t="str">
        <x:v>randoop</x:v>
      </x:c>
      <x:c r="B3962" s="34" t="str">
        <x:v>Jsoup</x:v>
      </x:c>
      <x:c r="C3962" s="34" t="str">
        <x:v>Round1</x:v>
      </x:c>
      <x:c r="D3962" s="34" t="str">
        <x:v>Jsoup_37</x:v>
      </x:c>
      <x:c r="E3962" s="34" t="str">
        <x:v>Condition</x:v>
      </x:c>
      <x:c r="F3962" s="34" t="n">
        <x:v>152</x:v>
      </x:c>
      <x:c r="G3962" s="34" t="str">
        <x:v>RECORDED</x:v>
      </x:c>
      <x:c r="H3962" s="38" t="n">
        <x:f>IF(ISNUMBER('Data'!I546),'Data'!I546*100,"")</x:f>
        <x:v>0.66</x:v>
      </x:c>
      <x:c r="I3962" s="34" t="str">
        <x:v>PASS</x:v>
      </x:c>
      <x:c r="J3962" s="34" t="str">
        <x:v>PASS</x:v>
      </x:c>
      <x:c r="K3962" s="34" t="str">
        <x:v>PASS</x:v>
      </x:c>
      <x:c r="L3962" s="34" t="str">
        <x:v>PASS</x:v>
      </x:c>
      <x:c r="M3962" s="34" t="str">
        <x:v>numeric coverage for applicable metric</x:v>
      </x:c>
      <x:c r="N3962" s="34" t="str">
        <x:v>Feedback-Directed Random Test Generation/Result/Jsoup_37/result.json</x:v>
      </x:c>
      <x:c r="O3962" s="38" t="n">
        <x:f>IF(AND(G3962="RECORDED",ISNUMBER(H3962)),H3962,"")</x:f>
        <x:v>0.66</x:v>
      </x:c>
      <x:c r="P3962" s="34" t="str">
        <x:v>NOT_REVEALING</x:v>
      </x:c>
      <x:c r="Q3962" s="34" t="str">
        <x:v>Feedback-Directed Random Test Generation/Result/Jsoup_37/result.json</x:v>
      </x:c>
    </x:row>
    <x:row r="3963">
      <x:c r="A3963" s="34" t="str">
        <x:v>randoop</x:v>
      </x:c>
      <x:c r="B3963" s="34" t="str">
        <x:v>Jsoup</x:v>
      </x:c>
      <x:c r="C3963" s="34" t="str">
        <x:v>Round1</x:v>
      </x:c>
      <x:c r="D3963" s="34" t="str">
        <x:v>Jsoup_38</x:v>
      </x:c>
      <x:c r="E3963" s="34" t="str">
        <x:v>Condition</x:v>
      </x:c>
      <x:c r="F3963" s="34" t="n">
        <x:v>749</x:v>
      </x:c>
      <x:c r="G3963" s="34" t="str">
        <x:v>RECORDED</x:v>
      </x:c>
      <x:c r="H3963" s="38" t="n">
        <x:f>IF(ISNUMBER('Data'!I547),'Data'!I547*100,"")</x:f>
        <x:v>0</x:v>
      </x:c>
      <x:c r="I3963" s="34" t="str">
        <x:v>PASS</x:v>
      </x:c>
      <x:c r="J3963" s="34" t="str">
        <x:v>PASS</x:v>
      </x:c>
      <x:c r="K3963" s="34" t="str">
        <x:v>PASS</x:v>
      </x:c>
      <x:c r="L3963" s="34" t="str">
        <x:v>PASS</x:v>
      </x:c>
      <x:c r="M3963" s="34" t="str">
        <x:v>numeric coverage for applicable metric</x:v>
      </x:c>
      <x:c r="N3963" s="34" t="str">
        <x:v>Feedback-Directed Random Test Generation/Result/Jsoup_38/result.json</x:v>
      </x:c>
      <x:c r="O3963" s="38" t="n">
        <x:f>IF(AND(G3963="RECORDED",ISNUMBER(H3963)),H3963,"")</x:f>
        <x:v>0</x:v>
      </x:c>
      <x:c r="P3963" s="34" t="str">
        <x:v>NOT_REVEALING</x:v>
      </x:c>
      <x:c r="Q3963" s="34" t="str">
        <x:v>Feedback-Directed Random Test Generation/Result/Jsoup_38/result.json</x:v>
      </x:c>
    </x:row>
    <x:row r="3964">
      <x:c r="A3964" s="34" t="str">
        <x:v>randoop</x:v>
      </x:c>
      <x:c r="B3964" s="34" t="str">
        <x:v>Jsoup</x:v>
      </x:c>
      <x:c r="C3964" s="34" t="str">
        <x:v>Round1</x:v>
      </x:c>
      <x:c r="D3964" s="34" t="str">
        <x:v>Jsoup_39</x:v>
      </x:c>
      <x:c r="E3964" s="34" t="str">
        <x:v>Condition</x:v>
      </x:c>
      <x:c r="F3964" s="34" t="n">
        <x:v>46</x:v>
      </x:c>
      <x:c r="G3964" s="34" t="str">
        <x:v>RECORDED</x:v>
      </x:c>
      <x:c r="H3964" s="38" t="n">
        <x:f>IF(ISNUMBER('Data'!I548),'Data'!I548*100,"")</x:f>
        <x:v>15.22</x:v>
      </x:c>
      <x:c r="I3964" s="34" t="str">
        <x:v>PASS</x:v>
      </x:c>
      <x:c r="J3964" s="34" t="str">
        <x:v>PASS</x:v>
      </x:c>
      <x:c r="K3964" s="34" t="str">
        <x:v>PASS</x:v>
      </x:c>
      <x:c r="L3964" s="34" t="str">
        <x:v>PASS</x:v>
      </x:c>
      <x:c r="M3964" s="34" t="str">
        <x:v>numeric coverage for applicable metric</x:v>
      </x:c>
      <x:c r="N3964" s="34" t="str">
        <x:v>Feedback-Directed Random Test Generation/Result/Jsoup_39/result.json</x:v>
      </x:c>
      <x:c r="O3964" s="38" t="n">
        <x:f>IF(AND(G3964="RECORDED",ISNUMBER(H3964)),H3964,"")</x:f>
        <x:v>15.22</x:v>
      </x:c>
      <x:c r="P3964" s="34" t="str">
        <x:v>NOT_REVEALING</x:v>
      </x:c>
      <x:c r="Q3964" s="34" t="str">
        <x:v>Feedback-Directed Random Test Generation/Result/Jsoup_39/result.json</x:v>
      </x:c>
    </x:row>
    <x:row r="3965">
      <x:c r="A3965" s="34" t="str">
        <x:v>randoop</x:v>
      </x:c>
      <x:c r="B3965" s="34" t="str">
        <x:v>Jsoup</x:v>
      </x:c>
      <x:c r="C3965" s="34" t="str">
        <x:v>Round1</x:v>
      </x:c>
      <x:c r="D3965" s="34" t="str">
        <x:v>Jsoup_40</x:v>
      </x:c>
      <x:c r="E3965" s="34" t="str">
        <x:v>Condition</x:v>
      </x:c>
      <x:c r="F3965" s="34" t="n">
        <x:v>6</x:v>
      </x:c>
      <x:c r="G3965" s="34" t="str">
        <x:v>RECORDED</x:v>
      </x:c>
      <x:c r="H3965" s="38" t="n">
        <x:f>IF(ISNUMBER('Data'!I549),'Data'!I549*100,"")</x:f>
        <x:v>50</x:v>
      </x:c>
      <x:c r="I3965" s="34" t="str">
        <x:v>PASS</x:v>
      </x:c>
      <x:c r="J3965" s="34" t="str">
        <x:v>PASS</x:v>
      </x:c>
      <x:c r="K3965" s="34" t="str">
        <x:v>PASS</x:v>
      </x:c>
      <x:c r="L3965" s="34" t="str">
        <x:v>PASS</x:v>
      </x:c>
      <x:c r="M3965" s="34" t="str">
        <x:v>numeric coverage for applicable metric</x:v>
      </x:c>
      <x:c r="N3965" s="34" t="str">
        <x:v>Feedback-Directed Random Test Generation/Result/Jsoup_40/result.json</x:v>
      </x:c>
      <x:c r="O3965" s="38" t="n">
        <x:f>IF(AND(G3965="RECORDED",ISNUMBER(H3965)),H3965,"")</x:f>
        <x:v>50</x:v>
      </x:c>
      <x:c r="P3965" s="34" t="str">
        <x:v>INCONCLUSIVE</x:v>
      </x:c>
      <x:c r="Q3965" s="34" t="str">
        <x:v>Feedback-Directed Random Test Generation/Result/Jsoup_40/result.json</x:v>
      </x:c>
    </x:row>
    <x:row r="3966">
      <x:c r="A3966" s="34" t="str">
        <x:v>randoop</x:v>
      </x:c>
      <x:c r="B3966" s="34" t="str">
        <x:v>Jsoup</x:v>
      </x:c>
      <x:c r="C3966" s="34" t="str">
        <x:v>Round1</x:v>
      </x:c>
      <x:c r="D3966" s="34" t="str">
        <x:v>Jsoup_41</x:v>
      </x:c>
      <x:c r="E3966" s="34" t="str">
        <x:v>Condition</x:v>
      </x:c>
      <x:c r="F3966" s="34" t="n">
        <x:v>174</x:v>
      </x:c>
      <x:c r="G3966" s="34" t="str">
        <x:v>RECORDED</x:v>
      </x:c>
      <x:c r="H3966" s="38" t="n">
        <x:f>IF(ISNUMBER('Data'!I550),'Data'!I550*100,"")</x:f>
        <x:v>0.57</x:v>
      </x:c>
      <x:c r="I3966" s="34" t="str">
        <x:v>PASS</x:v>
      </x:c>
      <x:c r="J3966" s="34" t="str">
        <x:v>PASS</x:v>
      </x:c>
      <x:c r="K3966" s="34" t="str">
        <x:v>PASS</x:v>
      </x:c>
      <x:c r="L3966" s="34" t="str">
        <x:v>PASS</x:v>
      </x:c>
      <x:c r="M3966" s="34" t="str">
        <x:v>numeric coverage for applicable metric</x:v>
      </x:c>
      <x:c r="N3966" s="34" t="str">
        <x:v>Feedback-Directed Random Test Generation/Result/Jsoup_41/result.json</x:v>
      </x:c>
      <x:c r="O3966" s="38" t="n">
        <x:f>IF(AND(G3966="RECORDED",ISNUMBER(H3966)),H3966,"")</x:f>
        <x:v>0.57</x:v>
      </x:c>
      <x:c r="P3966" s="34" t="str">
        <x:v>NOT_REVEALING</x:v>
      </x:c>
      <x:c r="Q3966" s="34" t="str">
        <x:v>Feedback-Directed Random Test Generation/Result/Jsoup_41/result.json</x:v>
      </x:c>
    </x:row>
    <x:row r="3967">
      <x:c r="A3967" s="34" t="str">
        <x:v>randoop</x:v>
      </x:c>
      <x:c r="B3967" s="34" t="str">
        <x:v>Jsoup</x:v>
      </x:c>
      <x:c r="C3967" s="34" t="str">
        <x:v>Round1</x:v>
      </x:c>
      <x:c r="D3967" s="34" t="str">
        <x:v>Jsoup_42</x:v>
      </x:c>
      <x:c r="E3967" s="34" t="str">
        <x:v>Condition</x:v>
      </x:c>
      <x:c r="F3967" s="34" t="n">
        <x:v>24</x:v>
      </x:c>
      <x:c r="G3967" s="34" t="str">
        <x:v>RECORDED</x:v>
      </x:c>
      <x:c r="H3967" s="38" t="n">
        <x:f>IF(ISNUMBER('Data'!I551),'Data'!I551*100,"")</x:f>
        <x:v>0</x:v>
      </x:c>
      <x:c r="I3967" s="34" t="str">
        <x:v>PASS</x:v>
      </x:c>
      <x:c r="J3967" s="34" t="str">
        <x:v>PASS</x:v>
      </x:c>
      <x:c r="K3967" s="34" t="str">
        <x:v>PASS</x:v>
      </x:c>
      <x:c r="L3967" s="34" t="str">
        <x:v>PASS</x:v>
      </x:c>
      <x:c r="M3967" s="34" t="str">
        <x:v>numeric coverage for applicable metric</x:v>
      </x:c>
      <x:c r="N3967" s="34" t="str">
        <x:v>Feedback-Directed Random Test Generation/Result/Jsoup_42/result.json</x:v>
      </x:c>
      <x:c r="O3967" s="38" t="n">
        <x:f>IF(AND(G3967="RECORDED",ISNUMBER(H3967)),H3967,"")</x:f>
        <x:v>0</x:v>
      </x:c>
      <x:c r="P3967" s="34" t="str">
        <x:v>NOT_REVEALING</x:v>
      </x:c>
      <x:c r="Q3967" s="34" t="str">
        <x:v>Feedback-Directed Random Test Generation/Result/Jsoup_42/result.json</x:v>
      </x:c>
    </x:row>
    <x:row r="3968">
      <x:c r="A3968" s="34" t="str">
        <x:v>randoop</x:v>
      </x:c>
      <x:c r="B3968" s="34" t="str">
        <x:v>Jsoup</x:v>
      </x:c>
      <x:c r="C3968" s="34" t="str">
        <x:v>Round1</x:v>
      </x:c>
      <x:c r="D3968" s="34" t="str">
        <x:v>Jsoup_43</x:v>
      </x:c>
      <x:c r="E3968" s="34" t="str">
        <x:v>Condition</x:v>
      </x:c>
      <x:c r="F3968" s="34" t="n">
        <x:v>174</x:v>
      </x:c>
      <x:c r="G3968" s="34" t="str">
        <x:v>RECORDED</x:v>
      </x:c>
      <x:c r="H3968" s="38" t="n">
        <x:f>IF(ISNUMBER('Data'!I552),'Data'!I552*100,"")</x:f>
        <x:v>0.57</x:v>
      </x:c>
      <x:c r="I3968" s="34" t="str">
        <x:v>PASS</x:v>
      </x:c>
      <x:c r="J3968" s="34" t="str">
        <x:v>PASS</x:v>
      </x:c>
      <x:c r="K3968" s="34" t="str">
        <x:v>PASS</x:v>
      </x:c>
      <x:c r="L3968" s="34" t="str">
        <x:v>PASS</x:v>
      </x:c>
      <x:c r="M3968" s="34" t="str">
        <x:v>numeric coverage for applicable metric</x:v>
      </x:c>
      <x:c r="N3968" s="34" t="str">
        <x:v>Feedback-Directed Random Test Generation/Result/Jsoup_43/result.json</x:v>
      </x:c>
      <x:c r="O3968" s="38" t="n">
        <x:f>IF(AND(G3968="RECORDED",ISNUMBER(H3968)),H3968,"")</x:f>
        <x:v>0.57</x:v>
      </x:c>
      <x:c r="P3968" s="34" t="str">
        <x:v>NOT_REVEALING</x:v>
      </x:c>
      <x:c r="Q3968" s="34" t="str">
        <x:v>Feedback-Directed Random Test Generation/Result/Jsoup_43/result.json</x:v>
      </x:c>
    </x:row>
    <x:row r="3969">
      <x:c r="A3969" s="34" t="str">
        <x:v>randoop</x:v>
      </x:c>
      <x:c r="B3969" s="34" t="str">
        <x:v>Jsoup</x:v>
      </x:c>
      <x:c r="C3969" s="34" t="str">
        <x:v>Round1</x:v>
      </x:c>
      <x:c r="D3969" s="34" t="str">
        <x:v>Jsoup_44</x:v>
      </x:c>
      <x:c r="E3969" s="34" t="str">
        <x:v>Condition</x:v>
      </x:c>
      <x:c r="F3969" s="34" t="n">
        <x:v>4</x:v>
      </x:c>
      <x:c r="G3969" s="34" t="str">
        <x:v>RECORDED</x:v>
      </x:c>
      <x:c r="H3969" s="38" t="n">
        <x:f>IF(ISNUMBER('Data'!I553),'Data'!I553*100,"")</x:f>
        <x:v>0</x:v>
      </x:c>
      <x:c r="I3969" s="34" t="str">
        <x:v>PASS</x:v>
      </x:c>
      <x:c r="J3969" s="34" t="str">
        <x:v>PASS</x:v>
      </x:c>
      <x:c r="K3969" s="34" t="str">
        <x:v>PASS</x:v>
      </x:c>
      <x:c r="L3969" s="34" t="str">
        <x:v>PASS</x:v>
      </x:c>
      <x:c r="M3969" s="34" t="str">
        <x:v>numeric coverage for applicable metric</x:v>
      </x:c>
      <x:c r="N3969" s="34" t="str">
        <x:v>Feedback-Directed Random Test Generation/Result/Jsoup_44/result.json</x:v>
      </x:c>
      <x:c r="O3969" s="38" t="n">
        <x:f>IF(AND(G3969="RECORDED",ISNUMBER(H3969)),H3969,"")</x:f>
        <x:v>0</x:v>
      </x:c>
      <x:c r="P3969" s="34" t="str">
        <x:v>NOT_REVEALING</x:v>
      </x:c>
      <x:c r="Q3969" s="34" t="str">
        <x:v>Feedback-Directed Random Test Generation/Result/Jsoup_44/result.json</x:v>
      </x:c>
    </x:row>
    <x:row r="3970">
      <x:c r="A3970" s="34" t="str">
        <x:v>randoop</x:v>
      </x:c>
      <x:c r="B3970" s="34" t="str">
        <x:v>Jsoup</x:v>
      </x:c>
      <x:c r="C3970" s="34" t="str">
        <x:v>Round1</x:v>
      </x:c>
      <x:c r="D3970" s="34" t="str">
        <x:v>Jsoup_45</x:v>
      </x:c>
      <x:c r="E3970" s="34" t="str">
        <x:v>Condition</x:v>
      </x:c>
      <x:c r="F3970" s="34" t="n">
        <x:v>202</x:v>
      </x:c>
      <x:c r="G3970" s="34" t="str">
        <x:v>RECORDED</x:v>
      </x:c>
      <x:c r="H3970" s="38" t="n">
        <x:f>IF(ISNUMBER('Data'!I554),'Data'!I554*100,"")</x:f>
        <x:v>66.34</x:v>
      </x:c>
      <x:c r="I3970" s="34" t="str">
        <x:v>PASS</x:v>
      </x:c>
      <x:c r="J3970" s="34" t="str">
        <x:v>PASS</x:v>
      </x:c>
      <x:c r="K3970" s="34" t="str">
        <x:v>PASS</x:v>
      </x:c>
      <x:c r="L3970" s="34" t="str">
        <x:v>FAIL</x:v>
      </x:c>
      <x:c r="M3970" s="34" t="str">
        <x:v>numeric coverage for applicable metric</x:v>
      </x:c>
      <x:c r="N3970" s="34" t="str">
        <x:v>Feedback-Directed Random Test Generation/Result/Jsoup_45/result.json</x:v>
      </x:c>
      <x:c r="O3970" s="38" t="n">
        <x:f>IF(AND(G3970="RECORDED",ISNUMBER(H3970)),H3970,"")</x:f>
        <x:v>66.34</x:v>
      </x:c>
      <x:c r="P3970" s="34" t="str">
        <x:v>INCONCLUSIVE</x:v>
      </x:c>
      <x:c r="Q3970" s="34" t="str">
        <x:v>Feedback-Directed Random Test Generation/Result/Jsoup_45/result.json</x:v>
      </x:c>
    </x:row>
    <x:row r="3971">
      <x:c r="A3971" s="34" t="str">
        <x:v>randoop</x:v>
      </x:c>
      <x:c r="B3971" s="34" t="str">
        <x:v>Jsoup</x:v>
      </x:c>
      <x:c r="C3971" s="34" t="str">
        <x:v>Round1</x:v>
      </x:c>
      <x:c r="D3971" s="34" t="str">
        <x:v>Jsoup_46</x:v>
      </x:c>
      <x:c r="E3971" s="34" t="str">
        <x:v>Condition</x:v>
      </x:c>
      <x:c r="F3971" s="34" t="n">
        <x:v>51</x:v>
      </x:c>
      <x:c r="G3971" s="34" t="str">
        <x:v>RECORDED</x:v>
      </x:c>
      <x:c r="H3971" s="38" t="n">
        <x:f>IF(ISNUMBER('Data'!I555),'Data'!I555*100,"")</x:f>
        <x:v>15.689999999999998</x:v>
      </x:c>
      <x:c r="I3971" s="34" t="str">
        <x:v>PASS</x:v>
      </x:c>
      <x:c r="J3971" s="34" t="str">
        <x:v>PASS</x:v>
      </x:c>
      <x:c r="K3971" s="34" t="str">
        <x:v>PASS</x:v>
      </x:c>
      <x:c r="L3971" s="34" t="str">
        <x:v>PASS</x:v>
      </x:c>
      <x:c r="M3971" s="34" t="str">
        <x:v>numeric coverage for applicable metric</x:v>
      </x:c>
      <x:c r="N3971" s="34" t="str">
        <x:v>Feedback-Directed Random Test Generation/Result/Jsoup_46/result.json</x:v>
      </x:c>
      <x:c r="O3971" s="38" t="n">
        <x:f>IF(AND(G3971="RECORDED",ISNUMBER(H3971)),H3971,"")</x:f>
        <x:v>15.689999999999998</x:v>
      </x:c>
      <x:c r="P3971" s="34" t="str">
        <x:v>NOT_REVEALING</x:v>
      </x:c>
      <x:c r="Q3971" s="34" t="str">
        <x:v>Feedback-Directed Random Test Generation/Result/Jsoup_46/result.json</x:v>
      </x:c>
    </x:row>
    <x:row r="3972">
      <x:c r="A3972" s="34" t="str">
        <x:v>randoop</x:v>
      </x:c>
      <x:c r="B3972" s="34" t="str">
        <x:v>Jsoup</x:v>
      </x:c>
      <x:c r="C3972" s="34" t="str">
        <x:v>Round1</x:v>
      </x:c>
      <x:c r="D3972" s="34" t="str">
        <x:v>Jsoup_47</x:v>
      </x:c>
      <x:c r="E3972" s="34" t="str">
        <x:v>Condition</x:v>
      </x:c>
      <x:c r="F3972" s="34" t="n">
        <x:v>51</x:v>
      </x:c>
      <x:c r="G3972" s="34" t="str">
        <x:v>RECORDED</x:v>
      </x:c>
      <x:c r="H3972" s="38" t="n">
        <x:f>IF(ISNUMBER('Data'!I556),'Data'!I556*100,"")</x:f>
        <x:v>15.689999999999998</x:v>
      </x:c>
      <x:c r="I3972" s="34" t="str">
        <x:v>PASS</x:v>
      </x:c>
      <x:c r="J3972" s="34" t="str">
        <x:v>PASS</x:v>
      </x:c>
      <x:c r="K3972" s="34" t="str">
        <x:v>PASS</x:v>
      </x:c>
      <x:c r="L3972" s="34" t="str">
        <x:v>PASS</x:v>
      </x:c>
      <x:c r="M3972" s="34" t="str">
        <x:v>numeric coverage for applicable metric</x:v>
      </x:c>
      <x:c r="N3972" s="34" t="str">
        <x:v>Feedback-Directed Random Test Generation/Result/Jsoup_47/result.json</x:v>
      </x:c>
      <x:c r="O3972" s="38" t="n">
        <x:f>IF(AND(G3972="RECORDED",ISNUMBER(H3972)),H3972,"")</x:f>
        <x:v>15.689999999999998</x:v>
      </x:c>
      <x:c r="P3972" s="34" t="str">
        <x:v>NOT_REVEALING</x:v>
      </x:c>
      <x:c r="Q3972" s="34" t="str">
        <x:v>Feedback-Directed Random Test Generation/Result/Jsoup_47/result.json</x:v>
      </x:c>
    </x:row>
    <x:row r="3973">
      <x:c r="A3973" s="34" t="str">
        <x:v>randoop</x:v>
      </x:c>
      <x:c r="B3973" s="34" t="str">
        <x:v>Jsoup</x:v>
      </x:c>
      <x:c r="C3973" s="34" t="str">
        <x:v>Round1</x:v>
      </x:c>
      <x:c r="D3973" s="34" t="str">
        <x:v>Jsoup_48</x:v>
      </x:c>
      <x:c r="E3973" s="34" t="str">
        <x:v>Condition</x:v>
      </x:c>
      <x:c r="F3973" s="34" t="n">
        <x:v>170</x:v>
      </x:c>
      <x:c r="G3973" s="34" t="str">
        <x:v>RECORDED</x:v>
      </x:c>
      <x:c r="H3973" s="38" t="n">
        <x:f>IF(ISNUMBER('Data'!I557),'Data'!I557*100,"")</x:f>
        <x:v>11.18</x:v>
      </x:c>
      <x:c r="I3973" s="34" t="str">
        <x:v>PASS</x:v>
      </x:c>
      <x:c r="J3973" s="34" t="str">
        <x:v>PASS</x:v>
      </x:c>
      <x:c r="K3973" s="34" t="str">
        <x:v>PASS</x:v>
      </x:c>
      <x:c r="L3973" s="34" t="str">
        <x:v>PASS</x:v>
      </x:c>
      <x:c r="M3973" s="34" t="str">
        <x:v>numeric coverage for applicable metric</x:v>
      </x:c>
      <x:c r="N3973" s="34" t="str">
        <x:v>Feedback-Directed Random Test Generation/Result/Jsoup_48/result.json</x:v>
      </x:c>
      <x:c r="O3973" s="38" t="n">
        <x:f>IF(AND(G3973="RECORDED",ISNUMBER(H3973)),H3973,"")</x:f>
        <x:v>11.18</x:v>
      </x:c>
      <x:c r="P3973" s="34" t="str">
        <x:v>NOT_REVEALING</x:v>
      </x:c>
      <x:c r="Q3973" s="34" t="str">
        <x:v>Feedback-Directed Random Test Generation/Result/Jsoup_48/result.json</x:v>
      </x:c>
    </x:row>
    <x:row r="3974">
      <x:c r="A3974" s="34" t="str">
        <x:v>randoop</x:v>
      </x:c>
      <x:c r="B3974" s="34" t="str">
        <x:v>Jsoup</x:v>
      </x:c>
      <x:c r="C3974" s="34" t="str">
        <x:v>Round1</x:v>
      </x:c>
      <x:c r="D3974" s="34" t="str">
        <x:v>Jsoup_49</x:v>
      </x:c>
      <x:c r="E3974" s="34" t="str">
        <x:v>Condition</x:v>
      </x:c>
      <x:c r="F3974" s="34" t="n">
        <x:v>102</x:v>
      </x:c>
      <x:c r="G3974" s="34" t="str">
        <x:v>RECORDED</x:v>
      </x:c>
      <x:c r="H3974" s="38" t="n">
        <x:f>IF(ISNUMBER('Data'!I558),'Data'!I558*100,"")</x:f>
        <x:v>0</x:v>
      </x:c>
      <x:c r="I3974" s="34" t="str">
        <x:v>PASS</x:v>
      </x:c>
      <x:c r="J3974" s="34" t="str">
        <x:v>PASS</x:v>
      </x:c>
      <x:c r="K3974" s="34" t="str">
        <x:v>PASS</x:v>
      </x:c>
      <x:c r="L3974" s="34" t="str">
        <x:v>PASS</x:v>
      </x:c>
      <x:c r="M3974" s="34" t="str">
        <x:v>numeric coverage for applicable metric</x:v>
      </x:c>
      <x:c r="N3974" s="34" t="str">
        <x:v>Feedback-Directed Random Test Generation/Result/Jsoup_49/result.json</x:v>
      </x:c>
      <x:c r="O3974" s="38" t="n">
        <x:f>IF(AND(G3974="RECORDED",ISNUMBER(H3974)),H3974,"")</x:f>
        <x:v>0</x:v>
      </x:c>
      <x:c r="P3974" s="34" t="str">
        <x:v>NOT_REVEALING</x:v>
      </x:c>
      <x:c r="Q3974" s="34" t="str">
        <x:v>Feedback-Directed Random Test Generation/Result/Jsoup_49/result.json</x:v>
      </x:c>
    </x:row>
    <x:row r="3975">
      <x:c r="A3975" s="34" t="str">
        <x:v>randoop</x:v>
      </x:c>
      <x:c r="B3975" s="34" t="str">
        <x:v>Jsoup</x:v>
      </x:c>
      <x:c r="C3975" s="34" t="str">
        <x:v>Round1</x:v>
      </x:c>
      <x:c r="D3975" s="34" t="str">
        <x:v>Jsoup_50</x:v>
      </x:c>
      <x:c r="E3975" s="34" t="str">
        <x:v>Condition</x:v>
      </x:c>
      <x:c r="F3975" s="34" t="n">
        <x:v>50</x:v>
      </x:c>
      <x:c r="G3975" s="34" t="str">
        <x:v>RECORDED</x:v>
      </x:c>
      <x:c r="H3975" s="38" t="n">
        <x:f>IF(ISNUMBER('Data'!I559),'Data'!I559*100,"")</x:f>
        <x:v>22</x:v>
      </x:c>
      <x:c r="I3975" s="34" t="str">
        <x:v>PASS</x:v>
      </x:c>
      <x:c r="J3975" s="34" t="str">
        <x:v>PASS</x:v>
      </x:c>
      <x:c r="K3975" s="34" t="str">
        <x:v>PASS</x:v>
      </x:c>
      <x:c r="L3975" s="34" t="str">
        <x:v>PASS</x:v>
      </x:c>
      <x:c r="M3975" s="34" t="str">
        <x:v>numeric coverage for applicable metric</x:v>
      </x:c>
      <x:c r="N3975" s="34" t="str">
        <x:v>Feedback-Directed Random Test Generation/Result/Jsoup_50/result.json</x:v>
      </x:c>
      <x:c r="O3975" s="38" t="n">
        <x:f>IF(AND(G3975="RECORDED",ISNUMBER(H3975)),H3975,"")</x:f>
        <x:v>22</x:v>
      </x:c>
      <x:c r="P3975" s="34" t="str">
        <x:v>INCONCLUSIVE</x:v>
      </x:c>
      <x:c r="Q3975" s="34" t="str">
        <x:v>Feedback-Directed Random Test Generation/Result/Jsoup_50/result.json</x:v>
      </x:c>
    </x:row>
    <x:row r="3976">
      <x:c r="A3976" s="34" t="str">
        <x:v>randoop</x:v>
      </x:c>
      <x:c r="B3976" s="34" t="str">
        <x:v>Jsoup</x:v>
      </x:c>
      <x:c r="C3976" s="34" t="str">
        <x:v>Round1</x:v>
      </x:c>
      <x:c r="D3976" s="34" t="str">
        <x:v>Jsoup_51</x:v>
      </x:c>
      <x:c r="E3976" s="34" t="str">
        <x:v>Condition</x:v>
      </x:c>
      <x:c r="F3976" s="34" t="n">
        <x:v>186</x:v>
      </x:c>
      <x:c r="G3976" s="34" t="str">
        <x:v>RECORDED</x:v>
      </x:c>
      <x:c r="H3976" s="38" t="n">
        <x:f>IF(ISNUMBER('Data'!I560),'Data'!I560*100,"")</x:f>
        <x:v>82.26</x:v>
      </x:c>
      <x:c r="I3976" s="34" t="str">
        <x:v>PASS</x:v>
      </x:c>
      <x:c r="J3976" s="34" t="str">
        <x:v>PASS</x:v>
      </x:c>
      <x:c r="K3976" s="34" t="str">
        <x:v>PASS</x:v>
      </x:c>
      <x:c r="L3976" s="34" t="str">
        <x:v>PASS</x:v>
      </x:c>
      <x:c r="M3976" s="34" t="str">
        <x:v>numeric coverage for applicable metric</x:v>
      </x:c>
      <x:c r="N3976" s="34" t="str">
        <x:v>Feedback-Directed Random Test Generation/Result/Jsoup_51/result.json</x:v>
      </x:c>
      <x:c r="O3976" s="38" t="n">
        <x:f>IF(AND(G3976="RECORDED",ISNUMBER(H3976)),H3976,"")</x:f>
        <x:v>82.26</x:v>
      </x:c>
      <x:c r="P3976" s="34" t="str">
        <x:v>NOT_REVEALING</x:v>
      </x:c>
      <x:c r="Q3976" s="34" t="str">
        <x:v>Feedback-Directed Random Test Generation/Result/Jsoup_51/result.json</x:v>
      </x:c>
    </x:row>
    <x:row r="3977">
      <x:c r="A3977" s="34" t="str">
        <x:v>randoop</x:v>
      </x:c>
      <x:c r="B3977" s="34" t="str">
        <x:v>Jsoup</x:v>
      </x:c>
      <x:c r="C3977" s="34" t="str">
        <x:v>Round1</x:v>
      </x:c>
      <x:c r="D3977" s="34" t="str">
        <x:v>Jsoup_52</x:v>
      </x:c>
      <x:c r="E3977" s="34" t="str">
        <x:v>Condition</x:v>
      </x:c>
      <x:c r="F3977" s="34" t="n">
        <x:v>123</x:v>
      </x:c>
      <x:c r="G3977" s="34" t="str">
        <x:v>RECORDED</x:v>
      </x:c>
      <x:c r="H3977" s="38" t="n">
        <x:f>IF(ISNUMBER('Data'!I561),'Data'!I561*100,"")</x:f>
        <x:v>4.88</x:v>
      </x:c>
      <x:c r="I3977" s="34" t="str">
        <x:v>PASS</x:v>
      </x:c>
      <x:c r="J3977" s="34" t="str">
        <x:v>PASS</x:v>
      </x:c>
      <x:c r="K3977" s="34" t="str">
        <x:v>PASS</x:v>
      </x:c>
      <x:c r="L3977" s="34" t="str">
        <x:v>FAIL</x:v>
      </x:c>
      <x:c r="M3977" s="34" t="str">
        <x:v>numeric coverage for applicable metric</x:v>
      </x:c>
      <x:c r="N3977" s="34" t="str">
        <x:v>Feedback-Directed Random Test Generation/Result/Jsoup_52/result.json</x:v>
      </x:c>
      <x:c r="O3977" s="38" t="n">
        <x:f>IF(AND(G3977="RECORDED",ISNUMBER(H3977)),H3977,"")</x:f>
        <x:v>4.88</x:v>
      </x:c>
      <x:c r="P3977" s="34" t="str">
        <x:v>INCONCLUSIVE</x:v>
      </x:c>
      <x:c r="Q3977" s="34" t="str">
        <x:v>Feedback-Directed Random Test Generation/Result/Jsoup_52/result.json</x:v>
      </x:c>
    </x:row>
    <x:row r="3978">
      <x:c r="A3978" s="34" t="str">
        <x:v>randoop</x:v>
      </x:c>
      <x:c r="B3978" s="34" t="str">
        <x:v>Jsoup</x:v>
      </x:c>
      <x:c r="C3978" s="34" t="str">
        <x:v>Round1</x:v>
      </x:c>
      <x:c r="D3978" s="34" t="str">
        <x:v>Jsoup_53</x:v>
      </x:c>
      <x:c r="E3978" s="34" t="str">
        <x:v>Condition</x:v>
      </x:c>
      <x:c r="F3978" s="34" t="n">
        <x:v>108</x:v>
      </x:c>
      <x:c r="G3978" s="34" t="str">
        <x:v>RECORDED</x:v>
      </x:c>
      <x:c r="H3978" s="38" t="n">
        <x:f>IF(ISNUMBER('Data'!I562),'Data'!I562*100,"")</x:f>
        <x:v>85.19</x:v>
      </x:c>
      <x:c r="I3978" s="34" t="str">
        <x:v>PASS</x:v>
      </x:c>
      <x:c r="J3978" s="34" t="str">
        <x:v>PASS</x:v>
      </x:c>
      <x:c r="K3978" s="34" t="str">
        <x:v>PASS</x:v>
      </x:c>
      <x:c r="L3978" s="34" t="str">
        <x:v>PASS</x:v>
      </x:c>
      <x:c r="M3978" s="34" t="str">
        <x:v>numeric coverage for applicable metric</x:v>
      </x:c>
      <x:c r="N3978" s="34" t="str">
        <x:v>Feedback-Directed Random Test Generation/Result/Jsoup_53/result.json</x:v>
      </x:c>
      <x:c r="O3978" s="38" t="n">
        <x:f>IF(AND(G3978="RECORDED",ISNUMBER(H3978)),H3978,"")</x:f>
        <x:v>85.19</x:v>
      </x:c>
      <x:c r="P3978" s="34" t="str">
        <x:v>NOT_REVEALING</x:v>
      </x:c>
      <x:c r="Q3978" s="34" t="str">
        <x:v>Feedback-Directed Random Test Generation/Result/Jsoup_53/result.json</x:v>
      </x:c>
    </x:row>
    <x:row r="3979">
      <x:c r="A3979" s="34" t="str">
        <x:v>randoop</x:v>
      </x:c>
      <x:c r="B3979" s="34" t="str">
        <x:v>Jsoup</x:v>
      </x:c>
      <x:c r="C3979" s="34" t="str">
        <x:v>Round1</x:v>
      </x:c>
      <x:c r="D3979" s="34" t="str">
        <x:v>Jsoup_54</x:v>
      </x:c>
      <x:c r="E3979" s="34" t="str">
        <x:v>Condition</x:v>
      </x:c>
      <x:c r="F3979" s="34" t="n">
        <x:v>26</x:v>
      </x:c>
      <x:c r="G3979" s="34" t="str">
        <x:v>RECORDED</x:v>
      </x:c>
      <x:c r="H3979" s="38" t="n">
        <x:f>IF(ISNUMBER('Data'!I563),'Data'!I563*100,"")</x:f>
        <x:v>19.23</x:v>
      </x:c>
      <x:c r="I3979" s="34" t="str">
        <x:v>PASS</x:v>
      </x:c>
      <x:c r="J3979" s="34" t="str">
        <x:v>PASS</x:v>
      </x:c>
      <x:c r="K3979" s="34" t="str">
        <x:v>PASS</x:v>
      </x:c>
      <x:c r="L3979" s="34" t="str">
        <x:v>PASS</x:v>
      </x:c>
      <x:c r="M3979" s="34" t="str">
        <x:v>numeric coverage for applicable metric</x:v>
      </x:c>
      <x:c r="N3979" s="34" t="str">
        <x:v>Feedback-Directed Random Test Generation/Result/Jsoup_54/result.json</x:v>
      </x:c>
      <x:c r="O3979" s="38" t="n">
        <x:f>IF(AND(G3979="RECORDED",ISNUMBER(H3979)),H3979,"")</x:f>
        <x:v>19.23</x:v>
      </x:c>
      <x:c r="P3979" s="34" t="str">
        <x:v>NOT_REVEALING</x:v>
      </x:c>
      <x:c r="Q3979" s="34" t="str">
        <x:v>Feedback-Directed Random Test Generation/Result/Jsoup_54/result.json</x:v>
      </x:c>
    </x:row>
    <x:row r="3980">
      <x:c r="A3980" s="34" t="str">
        <x:v>randoop</x:v>
      </x:c>
      <x:c r="B3980" s="34" t="str">
        <x:v>Jsoup</x:v>
      </x:c>
      <x:c r="C3980" s="34" t="str">
        <x:v>Round1</x:v>
      </x:c>
      <x:c r="D3980" s="34" t="str">
        <x:v>Jsoup_55</x:v>
      </x:c>
      <x:c r="E3980" s="34" t="str">
        <x:v>Condition</x:v>
      </x:c>
      <x:c r="F3980" s="34" t="n">
        <x:v>325</x:v>
      </x:c>
      <x:c r="G3980" s="34" t="str">
        <x:v>RECORDED</x:v>
      </x:c>
      <x:c r="H3980" s="38" t="n">
        <x:f>IF(ISNUMBER('Data'!I564),'Data'!I564*100,"")</x:f>
        <x:v>0</x:v>
      </x:c>
      <x:c r="I3980" s="34" t="str">
        <x:v>PASS</x:v>
      </x:c>
      <x:c r="J3980" s="34" t="str">
        <x:v>PASS</x:v>
      </x:c>
      <x:c r="K3980" s="34" t="str">
        <x:v>PASS</x:v>
      </x:c>
      <x:c r="L3980" s="34" t="str">
        <x:v>PASS</x:v>
      </x:c>
      <x:c r="M3980" s="34" t="str">
        <x:v>numeric coverage for applicable metric</x:v>
      </x:c>
      <x:c r="N3980" s="34" t="str">
        <x:v>Feedback-Directed Random Test Generation/Result/Jsoup_55/result.json</x:v>
      </x:c>
      <x:c r="O3980" s="38" t="n">
        <x:f>IF(AND(G3980="RECORDED",ISNUMBER(H3980)),H3980,"")</x:f>
        <x:v>0</x:v>
      </x:c>
      <x:c r="P3980" s="34" t="str">
        <x:v>NOT_REVEALING</x:v>
      </x:c>
      <x:c r="Q3980" s="34" t="str">
        <x:v>Feedback-Directed Random Test Generation/Result/Jsoup_55/result.json</x:v>
      </x:c>
    </x:row>
    <x:row r="3981">
      <x:c r="A3981" s="34" t="str">
        <x:v>randoop</x:v>
      </x:c>
      <x:c r="B3981" s="34" t="str">
        <x:v>Jsoup</x:v>
      </x:c>
      <x:c r="C3981" s="34" t="str">
        <x:v>Round1</x:v>
      </x:c>
      <x:c r="D3981" s="34" t="str">
        <x:v>Jsoup_56</x:v>
      </x:c>
      <x:c r="E3981" s="34" t="str">
        <x:v>Condition</x:v>
      </x:c>
      <x:c r="F3981" s="34" t="n">
        <x:v>1169</x:v>
      </x:c>
      <x:c r="G3981" s="34" t="str">
        <x:v>RECORDED</x:v>
      </x:c>
      <x:c r="H3981" s="38" t="n">
        <x:f>IF(ISNUMBER('Data'!I565),'Data'!I565*100,"")</x:f>
        <x:v>24.98</x:v>
      </x:c>
      <x:c r="I3981" s="34" t="str">
        <x:v>PASS</x:v>
      </x:c>
      <x:c r="J3981" s="34" t="str">
        <x:v>PASS</x:v>
      </x:c>
      <x:c r="K3981" s="34" t="str">
        <x:v>PASS</x:v>
      </x:c>
      <x:c r="L3981" s="34" t="str">
        <x:v>FAIL</x:v>
      </x:c>
      <x:c r="M3981" s="34" t="str">
        <x:v>numeric coverage for applicable metric</x:v>
      </x:c>
      <x:c r="N3981" s="34" t="str">
        <x:v>Feedback-Directed Random Test Generation/Result/Jsoup_56/result.json</x:v>
      </x:c>
      <x:c r="O3981" s="38" t="n">
        <x:f>IF(AND(G3981="RECORDED",ISNUMBER(H3981)),H3981,"")</x:f>
        <x:v>24.98</x:v>
      </x:c>
      <x:c r="P3981" s="34" t="str">
        <x:v>INCONCLUSIVE</x:v>
      </x:c>
      <x:c r="Q3981" s="34" t="str">
        <x:v>Feedback-Directed Random Test Generation/Result/Jsoup_56/result.json</x:v>
      </x:c>
    </x:row>
    <x:row r="3982">
      <x:c r="A3982" s="34" t="str">
        <x:v>randoop</x:v>
      </x:c>
      <x:c r="B3982" s="34" t="str">
        <x:v>Jsoup</x:v>
      </x:c>
      <x:c r="C3982" s="34" t="str">
        <x:v>Round1</x:v>
      </x:c>
      <x:c r="D3982" s="34" t="str">
        <x:v>Jsoup_57</x:v>
      </x:c>
      <x:c r="E3982" s="34" t="str">
        <x:v>Condition</x:v>
      </x:c>
      <x:c r="F3982" s="34" t="n">
        <x:v>76</x:v>
      </x:c>
      <x:c r="G3982" s="34" t="str">
        <x:v>RECORDED</x:v>
      </x:c>
      <x:c r="H3982" s="38" t="n">
        <x:f>IF(ISNUMBER('Data'!I566),'Data'!I566*100,"")</x:f>
        <x:v>84.21</x:v>
      </x:c>
      <x:c r="I3982" s="34" t="str">
        <x:v>PASS</x:v>
      </x:c>
      <x:c r="J3982" s="34" t="str">
        <x:v>PASS</x:v>
      </x:c>
      <x:c r="K3982" s="34" t="str">
        <x:v>PASS</x:v>
      </x:c>
      <x:c r="L3982" s="34" t="str">
        <x:v>PASS</x:v>
      </x:c>
      <x:c r="M3982" s="34" t="str">
        <x:v>numeric coverage for applicable metric</x:v>
      </x:c>
      <x:c r="N3982" s="34" t="str">
        <x:v>Feedback-Directed Random Test Generation/Result/Jsoup_57/result.json</x:v>
      </x:c>
      <x:c r="O3982" s="38" t="n">
        <x:f>IF(AND(G3982="RECORDED",ISNUMBER(H3982)),H3982,"")</x:f>
        <x:v>84.21</x:v>
      </x:c>
      <x:c r="P3982" s="34" t="str">
        <x:v>NOT_REVEALING</x:v>
      </x:c>
      <x:c r="Q3982" s="34" t="str">
        <x:v>Feedback-Directed Random Test Generation/Result/Jsoup_57/result.json</x:v>
      </x:c>
    </x:row>
    <x:row r="3983">
      <x:c r="A3983" s="34" t="str">
        <x:v>randoop</x:v>
      </x:c>
      <x:c r="B3983" s="34" t="str">
        <x:v>Jsoup</x:v>
      </x:c>
      <x:c r="C3983" s="34" t="str">
        <x:v>Round1</x:v>
      </x:c>
      <x:c r="D3983" s="34" t="str">
        <x:v>Jsoup_58</x:v>
      </x:c>
      <x:c r="E3983" s="34" t="str">
        <x:v>Condition</x:v>
      </x:c>
      <x:c r="F3983" s="34" t="n">
        <x:v>32</x:v>
      </x:c>
      <x:c r="G3983" s="34" t="str">
        <x:v>RECORDED</x:v>
      </x:c>
      <x:c r="H3983" s="38" t="n">
        <x:f>IF(ISNUMBER('Data'!I567),'Data'!I567*100,"")</x:f>
        <x:v>21.88</x:v>
      </x:c>
      <x:c r="I3983" s="34" t="str">
        <x:v>PASS</x:v>
      </x:c>
      <x:c r="J3983" s="34" t="str">
        <x:v>PASS</x:v>
      </x:c>
      <x:c r="K3983" s="34" t="str">
        <x:v>PASS</x:v>
      </x:c>
      <x:c r="L3983" s="34" t="str">
        <x:v>PASS</x:v>
      </x:c>
      <x:c r="M3983" s="34" t="str">
        <x:v>numeric coverage for applicable metric</x:v>
      </x:c>
      <x:c r="N3983" s="34" t="str">
        <x:v>Feedback-Directed Random Test Generation/Result/Jsoup_58/result.json</x:v>
      </x:c>
      <x:c r="O3983" s="38" t="n">
        <x:f>IF(AND(G3983="RECORDED",ISNUMBER(H3983)),H3983,"")</x:f>
        <x:v>21.88</x:v>
      </x:c>
      <x:c r="P3983" s="34" t="str">
        <x:v>NOT_REVEALING</x:v>
      </x:c>
      <x:c r="Q3983" s="34" t="str">
        <x:v>Feedback-Directed Random Test Generation/Result/Jsoup_58/result.json</x:v>
      </x:c>
    </x:row>
    <x:row r="3984">
      <x:c r="A3984" s="34" t="str">
        <x:v>randoop</x:v>
      </x:c>
      <x:c r="B3984" s="34" t="str">
        <x:v>Jsoup</x:v>
      </x:c>
      <x:c r="C3984" s="34" t="str">
        <x:v>Round1</x:v>
      </x:c>
      <x:c r="D3984" s="34" t="str">
        <x:v>Jsoup_59</x:v>
      </x:c>
      <x:c r="E3984" s="34" t="str">
        <x:v>Condition</x:v>
      </x:c>
      <x:c r="F3984" s="34" t="n">
        <x:v>44</x:v>
      </x:c>
      <x:c r="G3984" s="34" t="str">
        <x:v>RECORDED</x:v>
      </x:c>
      <x:c r="H3984" s="38" t="n">
        <x:f>IF(ISNUMBER('Data'!I568),'Data'!I568*100,"")</x:f>
        <x:v>97.73</x:v>
      </x:c>
      <x:c r="I3984" s="34" t="str">
        <x:v>PASS</x:v>
      </x:c>
      <x:c r="J3984" s="34" t="str">
        <x:v>PASS</x:v>
      </x:c>
      <x:c r="K3984" s="34" t="str">
        <x:v>PASS</x:v>
      </x:c>
      <x:c r="L3984" s="34" t="str">
        <x:v>PASS</x:v>
      </x:c>
      <x:c r="M3984" s="34" t="str">
        <x:v>numeric coverage for applicable metric</x:v>
      </x:c>
      <x:c r="N3984" s="34" t="str">
        <x:v>Feedback-Directed Random Test Generation/Result/Jsoup_59/result.json</x:v>
      </x:c>
      <x:c r="O3984" s="38" t="n">
        <x:f>IF(AND(G3984="RECORDED",ISNUMBER(H3984)),H3984,"")</x:f>
        <x:v>97.73</x:v>
      </x:c>
      <x:c r="P3984" s="34" t="str">
        <x:v>NOT_REVEALING</x:v>
      </x:c>
      <x:c r="Q3984" s="34" t="str">
        <x:v>Feedback-Directed Random Test Generation/Result/Jsoup_59/result.json</x:v>
      </x:c>
    </x:row>
    <x:row r="3985">
      <x:c r="A3985" s="34" t="str">
        <x:v>randoop</x:v>
      </x:c>
      <x:c r="B3985" s="34" t="str">
        <x:v>Jsoup</x:v>
      </x:c>
      <x:c r="C3985" s="34" t="str">
        <x:v>Round1</x:v>
      </x:c>
      <x:c r="D3985" s="34" t="str">
        <x:v>Jsoup_60</x:v>
      </x:c>
      <x:c r="E3985" s="34" t="str">
        <x:v>Condition</x:v>
      </x:c>
      <x:c r="F3985" s="34" t="n">
        <x:v>258</x:v>
      </x:c>
      <x:c r="G3985" s="34" t="str">
        <x:v>RECORDED</x:v>
      </x:c>
      <x:c r="H3985" s="38" t="n">
        <x:f>IF(ISNUMBER('Data'!I569),'Data'!I569*100,"")</x:f>
        <x:v>51.55</x:v>
      </x:c>
      <x:c r="I3985" s="34" t="str">
        <x:v>PASS</x:v>
      </x:c>
      <x:c r="J3985" s="34" t="str">
        <x:v>PASS</x:v>
      </x:c>
      <x:c r="K3985" s="34" t="str">
        <x:v>PASS</x:v>
      </x:c>
      <x:c r="L3985" s="34" t="str">
        <x:v>PASS</x:v>
      </x:c>
      <x:c r="M3985" s="34" t="str">
        <x:v>numeric coverage for applicable metric</x:v>
      </x:c>
      <x:c r="N3985" s="34" t="str">
        <x:v>Feedback-Directed Random Test Generation/Result/Jsoup_60/result.json</x:v>
      </x:c>
      <x:c r="O3985" s="38" t="n">
        <x:f>IF(AND(G3985="RECORDED",ISNUMBER(H3985)),H3985,"")</x:f>
        <x:v>51.55</x:v>
      </x:c>
      <x:c r="P3985" s="34" t="str">
        <x:v>INCONCLUSIVE</x:v>
      </x:c>
      <x:c r="Q3985" s="34" t="str">
        <x:v>Feedback-Directed Random Test Generation/Result/Jsoup_60/result.json</x:v>
      </x:c>
    </x:row>
    <x:row r="3986">
      <x:c r="A3986" s="34" t="str">
        <x:v>randoop</x:v>
      </x:c>
      <x:c r="B3986" s="34" t="str">
        <x:v>Jsoup</x:v>
      </x:c>
      <x:c r="C3986" s="34" t="str">
        <x:v>Round1</x:v>
      </x:c>
      <x:c r="D3986" s="34" t="str">
        <x:v>Jsoup_61</x:v>
      </x:c>
      <x:c r="E3986" s="34" t="str">
        <x:v>Condition</x:v>
      </x:c>
      <x:c r="F3986" s="34" t="n">
        <x:v>184</x:v>
      </x:c>
      <x:c r="G3986" s="34" t="str">
        <x:v>RECORDED</x:v>
      </x:c>
      <x:c r="H3986" s="38" t="n">
        <x:f>IF(ISNUMBER('Data'!I570),'Data'!I570*100,"")</x:f>
        <x:v>67.39</x:v>
      </x:c>
      <x:c r="I3986" s="34" t="str">
        <x:v>PASS</x:v>
      </x:c>
      <x:c r="J3986" s="34" t="str">
        <x:v>PASS</x:v>
      </x:c>
      <x:c r="K3986" s="34" t="str">
        <x:v>PASS</x:v>
      </x:c>
      <x:c r="L3986" s="34" t="str">
        <x:v>FAIL</x:v>
      </x:c>
      <x:c r="M3986" s="34" t="str">
        <x:v>numeric coverage for applicable metric</x:v>
      </x:c>
      <x:c r="N3986" s="34" t="str">
        <x:v>Feedback-Directed Random Test Generation/Result/Jsoup_61/result.json</x:v>
      </x:c>
      <x:c r="O3986" s="38" t="n">
        <x:f>IF(AND(G3986="RECORDED",ISNUMBER(H3986)),H3986,"")</x:f>
        <x:v>67.39</x:v>
      </x:c>
      <x:c r="P3986" s="34" t="str">
        <x:v>INCONCLUSIVE</x:v>
      </x:c>
      <x:c r="Q3986" s="34" t="str">
        <x:v>Feedback-Directed Random Test Generation/Result/Jsoup_61/result.json</x:v>
      </x:c>
    </x:row>
    <x:row r="3987">
      <x:c r="A3987" s="34" t="str">
        <x:v>randoop</x:v>
      </x:c>
      <x:c r="B3987" s="34" t="str">
        <x:v>Jsoup</x:v>
      </x:c>
      <x:c r="C3987" s="34" t="str">
        <x:v>Round1</x:v>
      </x:c>
      <x:c r="D3987" s="34" t="str">
        <x:v>Jsoup_62</x:v>
      </x:c>
      <x:c r="E3987" s="34" t="str">
        <x:v>Condition</x:v>
      </x:c>
      <x:c r="F3987" s="34" t="n">
        <x:v>757</x:v>
      </x:c>
      <x:c r="G3987" s="34" t="str">
        <x:v>RECORDED</x:v>
      </x:c>
      <x:c r="H3987" s="38" t="n">
        <x:f>IF(ISNUMBER('Data'!I571),'Data'!I571*100,"")</x:f>
        <x:v>0</x:v>
      </x:c>
      <x:c r="I3987" s="34" t="str">
        <x:v>PASS</x:v>
      </x:c>
      <x:c r="J3987" s="34" t="str">
        <x:v>PASS</x:v>
      </x:c>
      <x:c r="K3987" s="34" t="str">
        <x:v>PASS</x:v>
      </x:c>
      <x:c r="L3987" s="34" t="str">
        <x:v>PASS</x:v>
      </x:c>
      <x:c r="M3987" s="34" t="str">
        <x:v>numeric coverage for applicable metric</x:v>
      </x:c>
      <x:c r="N3987" s="34" t="str">
        <x:v>Feedback-Directed Random Test Generation/Result/Jsoup_62/result.json</x:v>
      </x:c>
      <x:c r="O3987" s="38" t="n">
        <x:f>IF(AND(G3987="RECORDED",ISNUMBER(H3987)),H3987,"")</x:f>
        <x:v>0</x:v>
      </x:c>
      <x:c r="P3987" s="34" t="str">
        <x:v>NOT_REVEALING</x:v>
      </x:c>
      <x:c r="Q3987" s="34" t="str">
        <x:v>Feedback-Directed Random Test Generation/Result/Jsoup_62/result.json</x:v>
      </x:c>
    </x:row>
    <x:row r="3988">
      <x:c r="A3988" s="34" t="str">
        <x:v>randoop</x:v>
      </x:c>
      <x:c r="B3988" s="34" t="str">
        <x:v>Jsoup</x:v>
      </x:c>
      <x:c r="C3988" s="34" t="str">
        <x:v>Round1</x:v>
      </x:c>
      <x:c r="D3988" s="34" t="str">
        <x:v>Jsoup_63</x:v>
      </x:c>
      <x:c r="E3988" s="34" t="str">
        <x:v>Condition</x:v>
      </x:c>
      <x:c r="F3988" s="34" t="n">
        <x:v>296</x:v>
      </x:c>
      <x:c r="G3988" s="34" t="str">
        <x:v>RECORDED</x:v>
      </x:c>
      <x:c r="H3988" s="38" t="n">
        <x:f>IF(ISNUMBER('Data'!I572),'Data'!I572*100,"")</x:f>
        <x:v>41.89</x:v>
      </x:c>
      <x:c r="I3988" s="34" t="str">
        <x:v>PASS</x:v>
      </x:c>
      <x:c r="J3988" s="34" t="str">
        <x:v>PASS</x:v>
      </x:c>
      <x:c r="K3988" s="34" t="str">
        <x:v>PASS</x:v>
      </x:c>
      <x:c r="L3988" s="34" t="str">
        <x:v>FAIL</x:v>
      </x:c>
      <x:c r="M3988" s="34" t="str">
        <x:v>numeric coverage for applicable metric</x:v>
      </x:c>
      <x:c r="N3988" s="34" t="str">
        <x:v>Feedback-Directed Random Test Generation/Result/Jsoup_63/result.json</x:v>
      </x:c>
      <x:c r="O3988" s="38" t="n">
        <x:f>IF(AND(G3988="RECORDED",ISNUMBER(H3988)),H3988,"")</x:f>
        <x:v>41.89</x:v>
      </x:c>
      <x:c r="P3988" s="34" t="str">
        <x:v>NOT_AVAILABLE</x:v>
      </x:c>
      <x:c r="Q3988" s="34" t="str">
        <x:v>Feedback-Directed Random Test Generation/Result/Jsoup_63/result.json</x:v>
      </x:c>
    </x:row>
    <x:row r="3989">
      <x:c r="A3989" s="34" t="str">
        <x:v>randoop</x:v>
      </x:c>
      <x:c r="B3989" s="34" t="str">
        <x:v>Jsoup</x:v>
      </x:c>
      <x:c r="C3989" s="34" t="str">
        <x:v>Round1</x:v>
      </x:c>
      <x:c r="D3989" s="34" t="str">
        <x:v>Jsoup_64</x:v>
      </x:c>
      <x:c r="E3989" s="34" t="str">
        <x:v>Condition</x:v>
      </x:c>
      <x:c r="F3989" s="34" t="n">
        <x:v>783</x:v>
      </x:c>
      <x:c r="G3989" s="34" t="str">
        <x:v>RECORDED</x:v>
      </x:c>
      <x:c r="H3989" s="38" t="n">
        <x:f>IF(ISNUMBER('Data'!I573),'Data'!I573*100,"")</x:f>
        <x:v>0</x:v>
      </x:c>
      <x:c r="I3989" s="34" t="str">
        <x:v>PASS</x:v>
      </x:c>
      <x:c r="J3989" s="34" t="str">
        <x:v>PASS</x:v>
      </x:c>
      <x:c r="K3989" s="34" t="str">
        <x:v>PASS</x:v>
      </x:c>
      <x:c r="L3989" s="34" t="str">
        <x:v>PASS</x:v>
      </x:c>
      <x:c r="M3989" s="34" t="str">
        <x:v>numeric coverage for applicable metric</x:v>
      </x:c>
      <x:c r="N3989" s="34" t="str">
        <x:v>Feedback-Directed Random Test Generation/Result/Jsoup_64/result.json</x:v>
      </x:c>
      <x:c r="O3989" s="38" t="n">
        <x:f>IF(AND(G3989="RECORDED",ISNUMBER(H3989)),H3989,"")</x:f>
        <x:v>0</x:v>
      </x:c>
      <x:c r="P3989" s="34" t="str">
        <x:v>NOT_REVEALING</x:v>
      </x:c>
      <x:c r="Q3989" s="34" t="str">
        <x:v>Feedback-Directed Random Test Generation/Result/Jsoup_64/result.json</x:v>
      </x:c>
    </x:row>
    <x:row r="3990">
      <x:c r="A3990" s="34" t="str">
        <x:v>randoop</x:v>
      </x:c>
      <x:c r="B3990" s="34" t="str">
        <x:v>Jsoup</x:v>
      </x:c>
      <x:c r="C3990" s="34" t="str">
        <x:v>Round1</x:v>
      </x:c>
      <x:c r="D3990" s="34" t="str">
        <x:v>Jsoup_65</x:v>
      </x:c>
      <x:c r="E3990" s="34" t="str">
        <x:v>Condition</x:v>
      </x:c>
      <x:c r="F3990" s="34" t="n">
        <x:v>983</x:v>
      </x:c>
      <x:c r="G3990" s="34" t="str">
        <x:v>RECORDED</x:v>
      </x:c>
      <x:c r="H3990" s="38" t="n">
        <x:f>IF(ISNUMBER('Data'!I574),'Data'!I574*100,"")</x:f>
        <x:v>21.26</x:v>
      </x:c>
      <x:c r="I3990" s="34" t="str">
        <x:v>PASS</x:v>
      </x:c>
      <x:c r="J3990" s="34" t="str">
        <x:v>PASS</x:v>
      </x:c>
      <x:c r="K3990" s="34" t="str">
        <x:v>PASS</x:v>
      </x:c>
      <x:c r="L3990" s="34" t="str">
        <x:v>FAIL</x:v>
      </x:c>
      <x:c r="M3990" s="34" t="str">
        <x:v>numeric coverage for applicable metric</x:v>
      </x:c>
      <x:c r="N3990" s="34" t="str">
        <x:v>Feedback-Directed Random Test Generation/Result/Jsoup_65/result.json</x:v>
      </x:c>
      <x:c r="O3990" s="38" t="n">
        <x:f>IF(AND(G3990="RECORDED",ISNUMBER(H3990)),H3990,"")</x:f>
        <x:v>21.26</x:v>
      </x:c>
      <x:c r="P3990" s="34" t="str">
        <x:v>INCONCLUSIVE</x:v>
      </x:c>
      <x:c r="Q3990" s="34" t="str">
        <x:v>Feedback-Directed Random Test Generation/Result/Jsoup_65/result.json</x:v>
      </x:c>
    </x:row>
    <x:row r="3991">
      <x:c r="A3991" s="34" t="str">
        <x:v>randoop</x:v>
      </x:c>
      <x:c r="B3991" s="34" t="str">
        <x:v>Jsoup</x:v>
      </x:c>
      <x:c r="C3991" s="34" t="str">
        <x:v>Round1</x:v>
      </x:c>
      <x:c r="D3991" s="34" t="str">
        <x:v>Jsoup_66</x:v>
      </x:c>
      <x:c r="E3991" s="34" t="str">
        <x:v>Condition</x:v>
      </x:c>
      <x:c r="F3991" s="34" t="n">
        <x:v>204</x:v>
      </x:c>
      <x:c r="G3991" s="34" t="str">
        <x:v>RECORDED</x:v>
      </x:c>
      <x:c r="H3991" s="38" t="n">
        <x:f>IF(ISNUMBER('Data'!I575),'Data'!I575*100,"")</x:f>
        <x:v>70.59</x:v>
      </x:c>
      <x:c r="I3991" s="34" t="str">
        <x:v>PASS</x:v>
      </x:c>
      <x:c r="J3991" s="34" t="str">
        <x:v>PASS</x:v>
      </x:c>
      <x:c r="K3991" s="34" t="str">
        <x:v>PASS</x:v>
      </x:c>
      <x:c r="L3991" s="34" t="str">
        <x:v>FAIL</x:v>
      </x:c>
      <x:c r="M3991" s="34" t="str">
        <x:v>numeric coverage for applicable metric</x:v>
      </x:c>
      <x:c r="N3991" s="34" t="str">
        <x:v>Feedback-Directed Random Test Generation/Result/Jsoup_66/result.json</x:v>
      </x:c>
      <x:c r="O3991" s="38" t="n">
        <x:f>IF(AND(G3991="RECORDED",ISNUMBER(H3991)),H3991,"")</x:f>
        <x:v>70.59</x:v>
      </x:c>
      <x:c r="P3991" s="34" t="str">
        <x:v>INCONCLUSIVE</x:v>
      </x:c>
      <x:c r="Q3991" s="34" t="str">
        <x:v>Feedback-Directed Random Test Generation/Result/Jsoup_66/result.json</x:v>
      </x:c>
    </x:row>
    <x:row r="3992">
      <x:c r="A3992" s="34" t="str">
        <x:v>randoop</x:v>
      </x:c>
      <x:c r="B3992" s="34" t="str">
        <x:v>Jsoup</x:v>
      </x:c>
      <x:c r="C3992" s="34" t="str">
        <x:v>Round1</x:v>
      </x:c>
      <x:c r="D3992" s="34" t="str">
        <x:v>Jsoup_67</x:v>
      </x:c>
      <x:c r="E3992" s="34" t="str">
        <x:v>Condition</x:v>
      </x:c>
      <x:c r="F3992" s="34" t="n">
        <x:v>200</x:v>
      </x:c>
      <x:c r="G3992" s="34" t="str">
        <x:v>RECORDED</x:v>
      </x:c>
      <x:c r="H3992" s="38" t="n">
        <x:f>IF(ISNUMBER('Data'!I576),'Data'!I576*100,"")</x:f>
        <x:v>54.50000000000001</x:v>
      </x:c>
      <x:c r="I3992" s="34" t="str">
        <x:v>PASS</x:v>
      </x:c>
      <x:c r="J3992" s="34" t="str">
        <x:v>PASS</x:v>
      </x:c>
      <x:c r="K3992" s="34" t="str">
        <x:v>PASS</x:v>
      </x:c>
      <x:c r="L3992" s="34" t="str">
        <x:v>FAIL</x:v>
      </x:c>
      <x:c r="M3992" s="34" t="str">
        <x:v>numeric coverage for applicable metric</x:v>
      </x:c>
      <x:c r="N3992" s="34" t="str">
        <x:v>Feedback-Directed Random Test Generation/Result/Jsoup_67/result.json</x:v>
      </x:c>
      <x:c r="O3992" s="38" t="n">
        <x:f>IF(AND(G3992="RECORDED",ISNUMBER(H3992)),H3992,"")</x:f>
        <x:v>54.50000000000001</x:v>
      </x:c>
      <x:c r="P3992" s="34" t="str">
        <x:v>INCONCLUSIVE</x:v>
      </x:c>
      <x:c r="Q3992" s="34" t="str">
        <x:v>Feedback-Directed Random Test Generation/Result/Jsoup_67/result.json</x:v>
      </x:c>
    </x:row>
    <x:row r="3993">
      <x:c r="A3993" s="34" t="str">
        <x:v>randoop</x:v>
      </x:c>
      <x:c r="B3993" s="34" t="str">
        <x:v>Jsoup</x:v>
      </x:c>
      <x:c r="C3993" s="34" t="str">
        <x:v>Round1</x:v>
      </x:c>
      <x:c r="D3993" s="34" t="str">
        <x:v>Jsoup_68</x:v>
      </x:c>
      <x:c r="E3993" s="34" t="str">
        <x:v>Condition</x:v>
      </x:c>
      <x:c r="F3993" s="34" t="n">
        <x:v>204</x:v>
      </x:c>
      <x:c r="G3993" s="34" t="str">
        <x:v>RECORDED</x:v>
      </x:c>
      <x:c r="H3993" s="38" t="n">
        <x:f>IF(ISNUMBER('Data'!I577),'Data'!I577*100,"")</x:f>
        <x:v>57.84</x:v>
      </x:c>
      <x:c r="I3993" s="34" t="str">
        <x:v>PASS</x:v>
      </x:c>
      <x:c r="J3993" s="34" t="str">
        <x:v>PASS</x:v>
      </x:c>
      <x:c r="K3993" s="34" t="str">
        <x:v>PASS</x:v>
      </x:c>
      <x:c r="L3993" s="34" t="str">
        <x:v>FAIL</x:v>
      </x:c>
      <x:c r="M3993" s="34" t="str">
        <x:v>numeric coverage for applicable metric</x:v>
      </x:c>
      <x:c r="N3993" s="34" t="str">
        <x:v>Feedback-Directed Random Test Generation/Result/Jsoup_68/result.json</x:v>
      </x:c>
      <x:c r="O3993" s="38" t="n">
        <x:f>IF(AND(G3993="RECORDED",ISNUMBER(H3993)),H3993,"")</x:f>
        <x:v>57.84</x:v>
      </x:c>
      <x:c r="P3993" s="34" t="str">
        <x:v>INCONCLUSIVE</x:v>
      </x:c>
      <x:c r="Q3993" s="34" t="str">
        <x:v>Feedback-Directed Random Test Generation/Result/Jsoup_68/result.json</x:v>
      </x:c>
    </x:row>
    <x:row r="3994">
      <x:c r="A3994" s="34" t="str">
        <x:v>randoop</x:v>
      </x:c>
      <x:c r="B3994" s="34" t="str">
        <x:v>Jsoup</x:v>
      </x:c>
      <x:c r="C3994" s="34" t="str">
        <x:v>Round1</x:v>
      </x:c>
      <x:c r="D3994" s="34" t="str">
        <x:v>Jsoup_69</x:v>
      </x:c>
      <x:c r="E3994" s="34" t="str">
        <x:v>Condition</x:v>
      </x:c>
      <x:c r="F3994" s="34" t="n">
        <x:v>28</x:v>
      </x:c>
      <x:c r="G3994" s="34" t="str">
        <x:v>RECORDED</x:v>
      </x:c>
      <x:c r="H3994" s="38" t="n">
        <x:f>IF(ISNUMBER('Data'!I578),'Data'!I578*100,"")</x:f>
        <x:v>0</x:v>
      </x:c>
      <x:c r="I3994" s="34" t="str">
        <x:v>PASS</x:v>
      </x:c>
      <x:c r="J3994" s="34" t="str">
        <x:v>PASS</x:v>
      </x:c>
      <x:c r="K3994" s="34" t="str">
        <x:v>PASS</x:v>
      </x:c>
      <x:c r="L3994" s="34" t="str">
        <x:v>PASS</x:v>
      </x:c>
      <x:c r="M3994" s="34" t="str">
        <x:v>numeric coverage for applicable metric</x:v>
      </x:c>
      <x:c r="N3994" s="34" t="str">
        <x:v>Feedback-Directed Random Test Generation/Result/Jsoup_69/result.json</x:v>
      </x:c>
      <x:c r="O3994" s="38" t="n">
        <x:f>IF(AND(G3994="RECORDED",ISNUMBER(H3994)),H3994,"")</x:f>
        <x:v>0</x:v>
      </x:c>
      <x:c r="P3994" s="34" t="str">
        <x:v>NOT_REVEALING</x:v>
      </x:c>
      <x:c r="Q3994" s="34" t="str">
        <x:v>Feedback-Directed Random Test Generation/Result/Jsoup_69/result.json</x:v>
      </x:c>
    </x:row>
    <x:row r="3995">
      <x:c r="A3995" s="34" t="str">
        <x:v>randoop</x:v>
      </x:c>
      <x:c r="B3995" s="34" t="str">
        <x:v>Jsoup</x:v>
      </x:c>
      <x:c r="C3995" s="34" t="str">
        <x:v>Round1</x:v>
      </x:c>
      <x:c r="D3995" s="34" t="str">
        <x:v>Jsoup_70</x:v>
      </x:c>
      <x:c r="E3995" s="34" t="str">
        <x:v>Condition</x:v>
      </x:c>
      <x:c r="F3995" s="34" t="n">
        <x:v>206</x:v>
      </x:c>
      <x:c r="G3995" s="34" t="str">
        <x:v>RECORDED</x:v>
      </x:c>
      <x:c r="H3995" s="38" t="n">
        <x:f>IF(ISNUMBER('Data'!I579),'Data'!I579*100,"")</x:f>
        <x:v>69.9</x:v>
      </x:c>
      <x:c r="I3995" s="34" t="str">
        <x:v>PASS</x:v>
      </x:c>
      <x:c r="J3995" s="34" t="str">
        <x:v>PASS</x:v>
      </x:c>
      <x:c r="K3995" s="34" t="str">
        <x:v>PASS</x:v>
      </x:c>
      <x:c r="L3995" s="34" t="str">
        <x:v>FAIL</x:v>
      </x:c>
      <x:c r="M3995" s="34" t="str">
        <x:v>numeric coverage for applicable metric</x:v>
      </x:c>
      <x:c r="N3995" s="34" t="str">
        <x:v>Feedback-Directed Random Test Generation/Result/Jsoup_70/result.json</x:v>
      </x:c>
      <x:c r="O3995" s="38" t="n">
        <x:f>IF(AND(G3995="RECORDED",ISNUMBER(H3995)),H3995,"")</x:f>
        <x:v>69.9</x:v>
      </x:c>
      <x:c r="P3995" s="34" t="str">
        <x:v>INCONCLUSIVE</x:v>
      </x:c>
      <x:c r="Q3995" s="34" t="str">
        <x:v>Feedback-Directed Random Test Generation/Result/Jsoup_70/result.json</x:v>
      </x:c>
    </x:row>
    <x:row r="3996">
      <x:c r="A3996" s="34" t="str">
        <x:v>randoop</x:v>
      </x:c>
      <x:c r="B3996" s="34" t="str">
        <x:v>Jsoup</x:v>
      </x:c>
      <x:c r="C3996" s="34" t="str">
        <x:v>Round1</x:v>
      </x:c>
      <x:c r="D3996" s="34" t="str">
        <x:v>Jsoup_71</x:v>
      </x:c>
      <x:c r="E3996" s="34" t="str">
        <x:v>Condition</x:v>
      </x:c>
      <x:c r="F3996" s="34" t="n">
        <x:v>248</x:v>
      </x:c>
      <x:c r="G3996" s="34" t="str">
        <x:v>RECORDED</x:v>
      </x:c>
      <x:c r="H3996" s="38" t="n">
        <x:f>IF(ISNUMBER('Data'!I580),'Data'!I580*100,"")</x:f>
        <x:v>37.5</x:v>
      </x:c>
      <x:c r="I3996" s="34" t="str">
        <x:v>PASS</x:v>
      </x:c>
      <x:c r="J3996" s="34" t="str">
        <x:v>PASS</x:v>
      </x:c>
      <x:c r="K3996" s="34" t="str">
        <x:v>PASS</x:v>
      </x:c>
      <x:c r="L3996" s="34" t="str">
        <x:v>PASS</x:v>
      </x:c>
      <x:c r="M3996" s="34" t="str">
        <x:v>numeric coverage for applicable metric</x:v>
      </x:c>
      <x:c r="N3996" s="34" t="str">
        <x:v>Feedback-Directed Random Test Generation/Result/Jsoup_71/result.json</x:v>
      </x:c>
      <x:c r="O3996" s="38" t="n">
        <x:f>IF(AND(G3996="RECORDED",ISNUMBER(H3996)),H3996,"")</x:f>
        <x:v>37.5</x:v>
      </x:c>
      <x:c r="P3996" s="34" t="str">
        <x:v>NOT_REVEALING</x:v>
      </x:c>
      <x:c r="Q3996" s="34" t="str">
        <x:v>Feedback-Directed Random Test Generation/Result/Jsoup_71/result.json</x:v>
      </x:c>
    </x:row>
    <x:row r="3997">
      <x:c r="A3997" s="34" t="str">
        <x:v>randoop</x:v>
      </x:c>
      <x:c r="B3997" s="34" t="str">
        <x:v>Jsoup</x:v>
      </x:c>
      <x:c r="C3997" s="34" t="str">
        <x:v>Round1</x:v>
      </x:c>
      <x:c r="D3997" s="34" t="str">
        <x:v>Jsoup_72</x:v>
      </x:c>
      <x:c r="E3997" s="34" t="str">
        <x:v>Condition</x:v>
      </x:c>
      <x:c r="F3997" s="34" t="n">
        <x:v>198</x:v>
      </x:c>
      <x:c r="G3997" s="34" t="str">
        <x:v>RECORDED</x:v>
      </x:c>
      <x:c r="H3997" s="38" t="n">
        <x:f>IF(ISNUMBER('Data'!I581),'Data'!I581*100,"")</x:f>
        <x:v>82.32</x:v>
      </x:c>
      <x:c r="I3997" s="34" t="str">
        <x:v>PASS</x:v>
      </x:c>
      <x:c r="J3997" s="34" t="str">
        <x:v>PASS</x:v>
      </x:c>
      <x:c r="K3997" s="34" t="str">
        <x:v>PASS</x:v>
      </x:c>
      <x:c r="L3997" s="34" t="str">
        <x:v>PASS</x:v>
      </x:c>
      <x:c r="M3997" s="34" t="str">
        <x:v>numeric coverage for applicable metric</x:v>
      </x:c>
      <x:c r="N3997" s="34" t="str">
        <x:v>Feedback-Directed Random Test Generation/Result/Jsoup_72/result.json</x:v>
      </x:c>
      <x:c r="O3997" s="38" t="n">
        <x:f>IF(AND(G3997="RECORDED",ISNUMBER(H3997)),H3997,"")</x:f>
        <x:v>82.32</x:v>
      </x:c>
      <x:c r="P3997" s="34" t="str">
        <x:v>INCONCLUSIVE</x:v>
      </x:c>
      <x:c r="Q3997" s="34" t="str">
        <x:v>Feedback-Directed Random Test Generation/Result/Jsoup_72/result.json</x:v>
      </x:c>
    </x:row>
    <x:row r="3998">
      <x:c r="A3998" s="34" t="str">
        <x:v>randoop</x:v>
      </x:c>
      <x:c r="B3998" s="34" t="str">
        <x:v>Jsoup</x:v>
      </x:c>
      <x:c r="C3998" s="34" t="str">
        <x:v>Round1</x:v>
      </x:c>
      <x:c r="D3998" s="34" t="str">
        <x:v>Jsoup_73</x:v>
      </x:c>
      <x:c r="E3998" s="34" t="str">
        <x:v>Condition</x:v>
      </x:c>
      <x:c r="F3998" s="34" t="n">
        <x:v>28</x:v>
      </x:c>
      <x:c r="G3998" s="34" t="str">
        <x:v>RECORDED</x:v>
      </x:c>
      <x:c r="H3998" s="38" t="n">
        <x:f>IF(ISNUMBER('Data'!I582),'Data'!I582*100,"")</x:f>
        <x:v>17.86</x:v>
      </x:c>
      <x:c r="I3998" s="34" t="str">
        <x:v>PASS</x:v>
      </x:c>
      <x:c r="J3998" s="34" t="str">
        <x:v>PASS</x:v>
      </x:c>
      <x:c r="K3998" s="34" t="str">
        <x:v>PASS</x:v>
      </x:c>
      <x:c r="L3998" s="34" t="str">
        <x:v>PASS</x:v>
      </x:c>
      <x:c r="M3998" s="34" t="str">
        <x:v>numeric coverage for applicable metric</x:v>
      </x:c>
      <x:c r="N3998" s="34" t="str">
        <x:v>Feedback-Directed Random Test Generation/Result/Jsoup_73/result.json</x:v>
      </x:c>
      <x:c r="O3998" s="38" t="n">
        <x:f>IF(AND(G3998="RECORDED",ISNUMBER(H3998)),H3998,"")</x:f>
        <x:v>17.86</x:v>
      </x:c>
      <x:c r="P3998" s="34" t="str">
        <x:v>INCONCLUSIVE</x:v>
      </x:c>
      <x:c r="Q3998" s="34" t="str">
        <x:v>Feedback-Directed Random Test Generation/Result/Jsoup_73/result.json</x:v>
      </x:c>
    </x:row>
    <x:row r="3999">
      <x:c r="A3999" s="34" t="str">
        <x:v>randoop</x:v>
      </x:c>
      <x:c r="B3999" s="34" t="str">
        <x:v>Jsoup</x:v>
      </x:c>
      <x:c r="C3999" s="34" t="str">
        <x:v>Round1</x:v>
      </x:c>
      <x:c r="D3999" s="34" t="str">
        <x:v>Jsoup_74</x:v>
      </x:c>
      <x:c r="E3999" s="34" t="str">
        <x:v>Condition</x:v>
      </x:c>
      <x:c r="F3999" s="34" t="n">
        <x:v>74</x:v>
      </x:c>
      <x:c r="G3999" s="34" t="str">
        <x:v>RECORDED</x:v>
      </x:c>
      <x:c r="H3999" s="38" t="n">
        <x:f>IF(ISNUMBER('Data'!I583),'Data'!I583*100,"")</x:f>
        <x:v>77.03</x:v>
      </x:c>
      <x:c r="I3999" s="34" t="str">
        <x:v>PASS</x:v>
      </x:c>
      <x:c r="J3999" s="34" t="str">
        <x:v>PASS</x:v>
      </x:c>
      <x:c r="K3999" s="34" t="str">
        <x:v>PASS</x:v>
      </x:c>
      <x:c r="L3999" s="34" t="str">
        <x:v>PASS</x:v>
      </x:c>
      <x:c r="M3999" s="34" t="str">
        <x:v>numeric coverage for applicable metric</x:v>
      </x:c>
      <x:c r="N3999" s="34" t="str">
        <x:v>Feedback-Directed Random Test Generation/Result/Jsoup_74/result.json</x:v>
      </x:c>
      <x:c r="O3999" s="38" t="n">
        <x:f>IF(AND(G3999="RECORDED",ISNUMBER(H3999)),H3999,"")</x:f>
        <x:v>77.03</x:v>
      </x:c>
      <x:c r="P3999" s="34" t="str">
        <x:v>NOT_REVEALING</x:v>
      </x:c>
      <x:c r="Q3999" s="34" t="str">
        <x:v>Feedback-Directed Random Test Generation/Result/Jsoup_74/result.json</x:v>
      </x:c>
    </x:row>
    <x:row r="4000">
      <x:c r="A4000" s="34" t="str">
        <x:v>randoop</x:v>
      </x:c>
      <x:c r="B4000" s="34" t="str">
        <x:v>Jsoup</x:v>
      </x:c>
      <x:c r="C4000" s="34" t="str">
        <x:v>Round1</x:v>
      </x:c>
      <x:c r="D4000" s="34" t="str">
        <x:v>Jsoup_75</x:v>
      </x:c>
      <x:c r="E4000" s="34" t="str">
        <x:v>Condition</x:v>
      </x:c>
      <x:c r="F4000" s="34" t="n">
        <x:v>84</x:v>
      </x:c>
      <x:c r="G4000" s="34" t="str">
        <x:v>RECORDED</x:v>
      </x:c>
      <x:c r="H4000" s="38" t="n">
        <x:f>IF(ISNUMBER('Data'!I584),'Data'!I584*100,"")</x:f>
        <x:v>82.14</x:v>
      </x:c>
      <x:c r="I4000" s="34" t="str">
        <x:v>PASS</x:v>
      </x:c>
      <x:c r="J4000" s="34" t="str">
        <x:v>PASS</x:v>
      </x:c>
      <x:c r="K4000" s="34" t="str">
        <x:v>PASS</x:v>
      </x:c>
      <x:c r="L4000" s="34" t="str">
        <x:v>PASS</x:v>
      </x:c>
      <x:c r="M4000" s="34" t="str">
        <x:v>numeric coverage for applicable metric</x:v>
      </x:c>
      <x:c r="N4000" s="34" t="str">
        <x:v>Feedback-Directed Random Test Generation/Result/Jsoup_75/result.json</x:v>
      </x:c>
      <x:c r="O4000" s="38" t="n">
        <x:f>IF(AND(G4000="RECORDED",ISNUMBER(H4000)),H4000,"")</x:f>
        <x:v>82.14</x:v>
      </x:c>
      <x:c r="P4000" s="34" t="str">
        <x:v>INCONCLUSIVE</x:v>
      </x:c>
      <x:c r="Q4000" s="34" t="str">
        <x:v>Feedback-Directed Random Test Generation/Result/Jsoup_75/result.json</x:v>
      </x:c>
    </x:row>
    <x:row r="4001">
      <x:c r="A4001" s="34" t="str">
        <x:v>randoop</x:v>
      </x:c>
      <x:c r="B4001" s="34" t="str">
        <x:v>Jsoup</x:v>
      </x:c>
      <x:c r="C4001" s="34" t="str">
        <x:v>Round1</x:v>
      </x:c>
      <x:c r="D4001" s="34" t="str">
        <x:v>Jsoup_76</x:v>
      </x:c>
      <x:c r="E4001" s="34" t="str">
        <x:v>Condition</x:v>
      </x:c>
      <x:c r="F4001" s="34" t="n">
        <x:v>787</x:v>
      </x:c>
      <x:c r="G4001" s="34" t="str">
        <x:v>RECORDED</x:v>
      </x:c>
      <x:c r="H4001" s="38" t="n">
        <x:f>IF(ISNUMBER('Data'!I585),'Data'!I585*100,"")</x:f>
        <x:v>0</x:v>
      </x:c>
      <x:c r="I4001" s="34" t="str">
        <x:v>PASS</x:v>
      </x:c>
      <x:c r="J4001" s="34" t="str">
        <x:v>PASS</x:v>
      </x:c>
      <x:c r="K4001" s="34" t="str">
        <x:v>PASS</x:v>
      </x:c>
      <x:c r="L4001" s="34" t="str">
        <x:v>PASS</x:v>
      </x:c>
      <x:c r="M4001" s="34" t="str">
        <x:v>numeric coverage for applicable metric</x:v>
      </x:c>
      <x:c r="N4001" s="34" t="str">
        <x:v>Feedback-Directed Random Test Generation/Result/Jsoup_76/result.json</x:v>
      </x:c>
      <x:c r="O4001" s="38" t="n">
        <x:f>IF(AND(G4001="RECORDED",ISNUMBER(H4001)),H4001,"")</x:f>
        <x:v>0</x:v>
      </x:c>
      <x:c r="P4001" s="34" t="str">
        <x:v>NOT_REVEALING</x:v>
      </x:c>
      <x:c r="Q4001" s="34" t="str">
        <x:v>Feedback-Directed Random Test Generation/Result/Jsoup_76/result.json</x:v>
      </x:c>
    </x:row>
    <x:row r="4002">
      <x:c r="A4002" s="34" t="str">
        <x:v>randoop</x:v>
      </x:c>
      <x:c r="B4002" s="34" t="str">
        <x:v>Jsoup</x:v>
      </x:c>
      <x:c r="C4002" s="34" t="str">
        <x:v>Round1</x:v>
      </x:c>
      <x:c r="D4002" s="34" t="str">
        <x:v>Jsoup_77</x:v>
      </x:c>
      <x:c r="E4002" s="34" t="str">
        <x:v>Condition</x:v>
      </x:c>
      <x:c r="F4002" s="34" t="n">
        <x:v>31</x:v>
      </x:c>
      <x:c r="G4002" s="34" t="str">
        <x:v>RECORDED</x:v>
      </x:c>
      <x:c r="H4002" s="38" t="n">
        <x:f>IF(ISNUMBER('Data'!I586),'Data'!I586*100,"")</x:f>
        <x:v>16.13</x:v>
      </x:c>
      <x:c r="I4002" s="34" t="str">
        <x:v>PASS</x:v>
      </x:c>
      <x:c r="J4002" s="34" t="str">
        <x:v>PASS</x:v>
      </x:c>
      <x:c r="K4002" s="34" t="str">
        <x:v>PASS</x:v>
      </x:c>
      <x:c r="L4002" s="34" t="str">
        <x:v>PASS</x:v>
      </x:c>
      <x:c r="M4002" s="34" t="str">
        <x:v>numeric coverage for applicable metric</x:v>
      </x:c>
      <x:c r="N4002" s="34" t="str">
        <x:v>Feedback-Directed Random Test Generation/Result/Jsoup_77/result.json</x:v>
      </x:c>
      <x:c r="O4002" s="38" t="n">
        <x:f>IF(AND(G4002="RECORDED",ISNUMBER(H4002)),H4002,"")</x:f>
        <x:v>16.13</x:v>
      </x:c>
      <x:c r="P4002" s="34" t="str">
        <x:v>NOT_REVEALING</x:v>
      </x:c>
      <x:c r="Q4002" s="34" t="str">
        <x:v>Feedback-Directed Random Test Generation/Result/Jsoup_77/result.json</x:v>
      </x:c>
    </x:row>
    <x:row r="4003">
      <x:c r="A4003" s="34" t="str">
        <x:v>randoop</x:v>
      </x:c>
      <x:c r="B4003" s="34" t="str">
        <x:v>Jsoup</x:v>
      </x:c>
      <x:c r="C4003" s="34" t="str">
        <x:v>Round1</x:v>
      </x:c>
      <x:c r="D4003" s="34" t="str">
        <x:v>Jsoup_78</x:v>
      </x:c>
      <x:c r="E4003" s="34" t="str">
        <x:v>Condition</x:v>
      </x:c>
      <x:c r="F4003" s="34" t="n">
        <x:v>88</x:v>
      </x:c>
      <x:c r="G4003" s="34" t="str">
        <x:v>RECORDED</x:v>
      </x:c>
      <x:c r="H4003" s="38" t="n">
        <x:f>IF(ISNUMBER('Data'!I587),'Data'!I587*100,"")</x:f>
        <x:v>7.95</x:v>
      </x:c>
      <x:c r="I4003" s="34" t="str">
        <x:v>PASS</x:v>
      </x:c>
      <x:c r="J4003" s="34" t="str">
        <x:v>PASS</x:v>
      </x:c>
      <x:c r="K4003" s="34" t="str">
        <x:v>PASS</x:v>
      </x:c>
      <x:c r="L4003" s="34" t="str">
        <x:v>PASS</x:v>
      </x:c>
      <x:c r="M4003" s="34" t="str">
        <x:v>numeric coverage for applicable metric</x:v>
      </x:c>
      <x:c r="N4003" s="34" t="str">
        <x:v>Feedback-Directed Random Test Generation/Result/Jsoup_78/result.json</x:v>
      </x:c>
      <x:c r="O4003" s="38" t="n">
        <x:f>IF(AND(G4003="RECORDED",ISNUMBER(H4003)),H4003,"")</x:f>
        <x:v>7.95</x:v>
      </x:c>
      <x:c r="P4003" s="34" t="str">
        <x:v>NOT_REVEALING</x:v>
      </x:c>
      <x:c r="Q4003" s="34" t="str">
        <x:v>Feedback-Directed Random Test Generation/Result/Jsoup_78/result.json</x:v>
      </x:c>
    </x:row>
    <x:row r="4004">
      <x:c r="A4004" s="34" t="str">
        <x:v>randoop</x:v>
      </x:c>
      <x:c r="B4004" s="34" t="str">
        <x:v>Jsoup</x:v>
      </x:c>
      <x:c r="C4004" s="34" t="str">
        <x:v>Round1</x:v>
      </x:c>
      <x:c r="D4004" s="34" t="str">
        <x:v>Jsoup_79</x:v>
      </x:c>
      <x:c r="E4004" s="34" t="str">
        <x:v>Condition</x:v>
      </x:c>
      <x:c r="F4004" s="34" t="n">
        <x:v>14</x:v>
      </x:c>
      <x:c r="G4004" s="34" t="str">
        <x:v>RECORDED</x:v>
      </x:c>
      <x:c r="H4004" s="38" t="n">
        <x:f>IF(ISNUMBER('Data'!I588),'Data'!I588*100,"")</x:f>
        <x:v>0</x:v>
      </x:c>
      <x:c r="I4004" s="34" t="str">
        <x:v>PASS</x:v>
      </x:c>
      <x:c r="J4004" s="34" t="str">
        <x:v>PASS</x:v>
      </x:c>
      <x:c r="K4004" s="34" t="str">
        <x:v>PASS</x:v>
      </x:c>
      <x:c r="L4004" s="34" t="str">
        <x:v>PASS</x:v>
      </x:c>
      <x:c r="M4004" s="34" t="str">
        <x:v>numeric coverage for applicable metric</x:v>
      </x:c>
      <x:c r="N4004" s="34" t="str">
        <x:v>Feedback-Directed Random Test Generation/Result/Jsoup_79/result.json</x:v>
      </x:c>
      <x:c r="O4004" s="38" t="n">
        <x:f>IF(AND(G4004="RECORDED",ISNUMBER(H4004)),H4004,"")</x:f>
        <x:v>0</x:v>
      </x:c>
      <x:c r="P4004" s="34" t="str">
        <x:v>NOT_REVEALING</x:v>
      </x:c>
      <x:c r="Q4004" s="34" t="str">
        <x:v>Feedback-Directed Random Test Generation/Result/Jsoup_79/result.json</x:v>
      </x:c>
    </x:row>
    <x:row r="4005">
      <x:c r="A4005" s="34" t="str">
        <x:v>randoop</x:v>
      </x:c>
      <x:c r="B4005" s="34" t="str">
        <x:v>Jsoup</x:v>
      </x:c>
      <x:c r="C4005" s="34" t="str">
        <x:v>Round1</x:v>
      </x:c>
      <x:c r="D4005" s="34" t="str">
        <x:v>Jsoup_80</x:v>
      </x:c>
      <x:c r="E4005" s="34" t="str">
        <x:v>Condition</x:v>
      </x:c>
      <x:c r="F4005" s="34" t="n">
        <x:v>31</x:v>
      </x:c>
      <x:c r="G4005" s="34" t="str">
        <x:v>RECORDED</x:v>
      </x:c>
      <x:c r="H4005" s="38" t="n">
        <x:f>IF(ISNUMBER('Data'!I589),'Data'!I589*100,"")</x:f>
        <x:v>16.13</x:v>
      </x:c>
      <x:c r="I4005" s="34" t="str">
        <x:v>PASS</x:v>
      </x:c>
      <x:c r="J4005" s="34" t="str">
        <x:v>PASS</x:v>
      </x:c>
      <x:c r="K4005" s="34" t="str">
        <x:v>PASS</x:v>
      </x:c>
      <x:c r="L4005" s="34" t="str">
        <x:v>PASS</x:v>
      </x:c>
      <x:c r="M4005" s="34" t="str">
        <x:v>numeric coverage for applicable metric</x:v>
      </x:c>
      <x:c r="N4005" s="34" t="str">
        <x:v>Feedback-Directed Random Test Generation/Result/Jsoup_80/result.json</x:v>
      </x:c>
      <x:c r="O4005" s="38" t="n">
        <x:f>IF(AND(G4005="RECORDED",ISNUMBER(H4005)),H4005,"")</x:f>
        <x:v>16.13</x:v>
      </x:c>
      <x:c r="P4005" s="34" t="str">
        <x:v>NOT_REVEALING</x:v>
      </x:c>
      <x:c r="Q4005" s="34" t="str">
        <x:v>Feedback-Directed Random Test Generation/Result/Jsoup_80/result.json</x:v>
      </x:c>
    </x:row>
    <x:row r="4006">
      <x:c r="A4006" s="34" t="str">
        <x:v>randoop</x:v>
      </x:c>
      <x:c r="B4006" s="34" t="str">
        <x:v>Jsoup</x:v>
      </x:c>
      <x:c r="C4006" s="34" t="str">
        <x:v>Round1</x:v>
      </x:c>
      <x:c r="D4006" s="34" t="str">
        <x:v>Jsoup_81</x:v>
      </x:c>
      <x:c r="E4006" s="34" t="str">
        <x:v>Condition</x:v>
      </x:c>
      <x:c r="F4006" s="34" t="n">
        <x:v>94</x:v>
      </x:c>
      <x:c r="G4006" s="34" t="str">
        <x:v>RECORDED</x:v>
      </x:c>
      <x:c r="H4006" s="38" t="n">
        <x:f>IF(ISNUMBER('Data'!I590),'Data'!I590*100,"")</x:f>
        <x:v>7.449999999999999</x:v>
      </x:c>
      <x:c r="I4006" s="34" t="str">
        <x:v>PASS</x:v>
      </x:c>
      <x:c r="J4006" s="34" t="str">
        <x:v>PASS</x:v>
      </x:c>
      <x:c r="K4006" s="34" t="str">
        <x:v>PASS</x:v>
      </x:c>
      <x:c r="L4006" s="34" t="str">
        <x:v>PASS</x:v>
      </x:c>
      <x:c r="M4006" s="34" t="str">
        <x:v>numeric coverage for applicable metric</x:v>
      </x:c>
      <x:c r="N4006" s="34" t="str">
        <x:v>Feedback-Directed Random Test Generation/Result/Jsoup_81/result.json</x:v>
      </x:c>
      <x:c r="O4006" s="38" t="n">
        <x:f>IF(AND(G4006="RECORDED",ISNUMBER(H4006)),H4006,"")</x:f>
        <x:v>7.449999999999999</x:v>
      </x:c>
      <x:c r="P4006" s="34" t="str">
        <x:v>NOT_REVEALING</x:v>
      </x:c>
      <x:c r="Q4006" s="34" t="str">
        <x:v>Feedback-Directed Random Test Generation/Result/Jsoup_81/result.json</x:v>
      </x:c>
    </x:row>
    <x:row r="4007">
      <x:c r="A4007" s="34" t="str">
        <x:v>randoop</x:v>
      </x:c>
      <x:c r="B4007" s="34" t="str">
        <x:v>Jsoup</x:v>
      </x:c>
      <x:c r="C4007" s="34" t="str">
        <x:v>Round1</x:v>
      </x:c>
      <x:c r="D4007" s="34" t="str">
        <x:v>Jsoup_82</x:v>
      </x:c>
      <x:c r="E4007" s="34" t="str">
        <x:v>Condition</x:v>
      </x:c>
      <x:c r="F4007" s="34" t="n">
        <x:v>96</x:v>
      </x:c>
      <x:c r="G4007" s="34" t="str">
        <x:v>RECORDED</x:v>
      </x:c>
      <x:c r="H4007" s="38" t="n">
        <x:f>IF(ISNUMBER('Data'!I591),'Data'!I591*100,"")</x:f>
        <x:v>7.290000000000001</x:v>
      </x:c>
      <x:c r="I4007" s="34" t="str">
        <x:v>PASS</x:v>
      </x:c>
      <x:c r="J4007" s="34" t="str">
        <x:v>PASS</x:v>
      </x:c>
      <x:c r="K4007" s="34" t="str">
        <x:v>PASS</x:v>
      </x:c>
      <x:c r="L4007" s="34" t="str">
        <x:v>PASS</x:v>
      </x:c>
      <x:c r="M4007" s="34" t="str">
        <x:v>numeric coverage for applicable metric</x:v>
      </x:c>
      <x:c r="N4007" s="34" t="str">
        <x:v>Feedback-Directed Random Test Generation/Result/Jsoup_82/result.json</x:v>
      </x:c>
      <x:c r="O4007" s="38" t="n">
        <x:f>IF(AND(G4007="RECORDED",ISNUMBER(H4007)),H4007,"")</x:f>
        <x:v>7.290000000000001</x:v>
      </x:c>
      <x:c r="P4007" s="34" t="str">
        <x:v>NOT_REVEALING</x:v>
      </x:c>
      <x:c r="Q4007" s="34" t="str">
        <x:v>Feedback-Directed Random Test Generation/Result/Jsoup_82/result.json</x:v>
      </x:c>
    </x:row>
    <x:row r="4008">
      <x:c r="A4008" s="34" t="str">
        <x:v>randoop</x:v>
      </x:c>
      <x:c r="B4008" s="34" t="str">
        <x:v>Jsoup</x:v>
      </x:c>
      <x:c r="C4008" s="34" t="str">
        <x:v>Round1</x:v>
      </x:c>
      <x:c r="D4008" s="34" t="str">
        <x:v>Jsoup_83</x:v>
      </x:c>
      <x:c r="E4008" s="34" t="str">
        <x:v>Condition</x:v>
      </x:c>
      <x:c r="F4008" s="34" t="n">
        <x:v>533</x:v>
      </x:c>
      <x:c r="G4008" s="34" t="str">
        <x:v>RECORDED</x:v>
      </x:c>
      <x:c r="H4008" s="38" t="n">
        <x:f>IF(ISNUMBER('Data'!I592),'Data'!I592*100,"")</x:f>
        <x:v>41.65</x:v>
      </x:c>
      <x:c r="I4008" s="34" t="str">
        <x:v>PASS</x:v>
      </x:c>
      <x:c r="J4008" s="34" t="str">
        <x:v>PASS</x:v>
      </x:c>
      <x:c r="K4008" s="34" t="str">
        <x:v>PASS</x:v>
      </x:c>
      <x:c r="L4008" s="34" t="str">
        <x:v>PASS</x:v>
      </x:c>
      <x:c r="M4008" s="34" t="str">
        <x:v>numeric coverage for applicable metric</x:v>
      </x:c>
      <x:c r="N4008" s="34" t="str">
        <x:v>Feedback-Directed Random Test Generation/Result/Jsoup_83/result.json</x:v>
      </x:c>
      <x:c r="O4008" s="38" t="n">
        <x:f>IF(AND(G4008="RECORDED",ISNUMBER(H4008)),H4008,"")</x:f>
        <x:v>41.65</x:v>
      </x:c>
      <x:c r="P4008" s="34" t="str">
        <x:v>NOT_REVEALING</x:v>
      </x:c>
      <x:c r="Q4008" s="34" t="str">
        <x:v>Feedback-Directed Random Test Generation/Result/Jsoup_83/result.json</x:v>
      </x:c>
    </x:row>
    <x:row r="4009">
      <x:c r="A4009" s="34" t="str">
        <x:v>randoop</x:v>
      </x:c>
      <x:c r="B4009" s="34" t="str">
        <x:v>Jsoup</x:v>
      </x:c>
      <x:c r="C4009" s="34" t="str">
        <x:v>Round1</x:v>
      </x:c>
      <x:c r="D4009" s="34" t="str">
        <x:v>Jsoup_84</x:v>
      </x:c>
      <x:c r="E4009" s="34" t="str">
        <x:v>Condition</x:v>
      </x:c>
      <x:c r="F4009" s="34" t="n">
        <x:v>28</x:v>
      </x:c>
      <x:c r="G4009" s="34" t="str">
        <x:v>RECORDED</x:v>
      </x:c>
      <x:c r="H4009" s="38" t="n">
        <x:f>IF(ISNUMBER('Data'!I593),'Data'!I593*100,"")</x:f>
        <x:v>17.86</x:v>
      </x:c>
      <x:c r="I4009" s="34" t="str">
        <x:v>PASS</x:v>
      </x:c>
      <x:c r="J4009" s="34" t="str">
        <x:v>PASS</x:v>
      </x:c>
      <x:c r="K4009" s="34" t="str">
        <x:v>PASS</x:v>
      </x:c>
      <x:c r="L4009" s="34" t="str">
        <x:v>PASS</x:v>
      </x:c>
      <x:c r="M4009" s="34" t="str">
        <x:v>numeric coverage for applicable metric</x:v>
      </x:c>
      <x:c r="N4009" s="34" t="str">
        <x:v>Feedback-Directed Random Test Generation/Result/Jsoup_84/result.json</x:v>
      </x:c>
      <x:c r="O4009" s="38" t="n">
        <x:f>IF(AND(G4009="RECORDED",ISNUMBER(H4009)),H4009,"")</x:f>
        <x:v>17.86</x:v>
      </x:c>
      <x:c r="P4009" s="34" t="str">
        <x:v>NOT_REVEALING</x:v>
      </x:c>
      <x:c r="Q4009" s="34" t="str">
        <x:v>Feedback-Directed Random Test Generation/Result/Jsoup_84/result.json</x:v>
      </x:c>
    </x:row>
    <x:row r="4010">
      <x:c r="A4010" s="34" t="str">
        <x:v>randoop</x:v>
      </x:c>
      <x:c r="B4010" s="34" t="str">
        <x:v>Jsoup</x:v>
      </x:c>
      <x:c r="C4010" s="34" t="str">
        <x:v>Round1</x:v>
      </x:c>
      <x:c r="D4010" s="34" t="str">
        <x:v>Jsoup_85</x:v>
      </x:c>
      <x:c r="E4010" s="34" t="str">
        <x:v>Condition</x:v>
      </x:c>
      <x:c r="F4010" s="34" t="n">
        <x:v>50</x:v>
      </x:c>
      <x:c r="G4010" s="34" t="str">
        <x:v>RECORDED</x:v>
      </x:c>
      <x:c r="H4010" s="38" t="n">
        <x:f>IF(ISNUMBER('Data'!I594),'Data'!I594*100,"")</x:f>
        <x:v>44</x:v>
      </x:c>
      <x:c r="I4010" s="34" t="str">
        <x:v>PASS</x:v>
      </x:c>
      <x:c r="J4010" s="34" t="str">
        <x:v>PASS</x:v>
      </x:c>
      <x:c r="K4010" s="34" t="str">
        <x:v>PASS</x:v>
      </x:c>
      <x:c r="L4010" s="34" t="str">
        <x:v>FAIL</x:v>
      </x:c>
      <x:c r="M4010" s="34" t="str">
        <x:v>numeric coverage for applicable metric</x:v>
      </x:c>
      <x:c r="N4010" s="34" t="str">
        <x:v>Feedback-Directed Random Test Generation/Result/Jsoup_85/result.json</x:v>
      </x:c>
      <x:c r="O4010" s="38" t="n">
        <x:f>IF(AND(G4010="RECORDED",ISNUMBER(H4010)),H4010,"")</x:f>
        <x:v>44</x:v>
      </x:c>
      <x:c r="P4010" s="34" t="str">
        <x:v>INCONCLUSIVE</x:v>
      </x:c>
      <x:c r="Q4010" s="34" t="str">
        <x:v>Feedback-Directed Random Test Generation/Result/Jsoup_85/result.json</x:v>
      </x:c>
    </x:row>
    <x:row r="4011">
      <x:c r="A4011" s="34" t="str">
        <x:v>randoop</x:v>
      </x:c>
      <x:c r="B4011" s="34" t="str">
        <x:v>Jsoup</x:v>
      </x:c>
      <x:c r="C4011" s="34" t="str">
        <x:v>Round1</x:v>
      </x:c>
      <x:c r="D4011" s="34" t="str">
        <x:v>Jsoup_86</x:v>
      </x:c>
      <x:c r="E4011" s="34" t="str">
        <x:v>Condition</x:v>
      </x:c>
      <x:c r="F4011" s="34" t="n">
        <x:v>10</x:v>
      </x:c>
      <x:c r="G4011" s="34" t="str">
        <x:v>RECORDED</x:v>
      </x:c>
      <x:c r="H4011" s="38" t="n">
        <x:f>IF(ISNUMBER('Data'!I595),'Data'!I595*100,"")</x:f>
        <x:v>60</x:v>
      </x:c>
      <x:c r="I4011" s="34" t="str">
        <x:v>PASS</x:v>
      </x:c>
      <x:c r="J4011" s="34" t="str">
        <x:v>PASS</x:v>
      </x:c>
      <x:c r="K4011" s="34" t="str">
        <x:v>PASS</x:v>
      </x:c>
      <x:c r="L4011" s="34" t="str">
        <x:v>FAIL</x:v>
      </x:c>
      <x:c r="M4011" s="34" t="str">
        <x:v>numeric coverage for applicable metric</x:v>
      </x:c>
      <x:c r="N4011" s="34" t="str">
        <x:v>Feedback-Directed Random Test Generation/Result/Jsoup_86/result.json</x:v>
      </x:c>
      <x:c r="O4011" s="38" t="n">
        <x:f>IF(AND(G4011="RECORDED",ISNUMBER(H4011)),H4011,"")</x:f>
        <x:v>60</x:v>
      </x:c>
      <x:c r="P4011" s="34" t="str">
        <x:v>INCONCLUSIVE</x:v>
      </x:c>
      <x:c r="Q4011" s="34" t="str">
        <x:v>Feedback-Directed Random Test Generation/Result/Jsoup_86/result.json</x:v>
      </x:c>
    </x:row>
    <x:row r="4012">
      <x:c r="A4012" s="34" t="str">
        <x:v>randoop</x:v>
      </x:c>
      <x:c r="B4012" s="34" t="str">
        <x:v>Jsoup</x:v>
      </x:c>
      <x:c r="C4012" s="34" t="str">
        <x:v>Round1</x:v>
      </x:c>
      <x:c r="D4012" s="34" t="str">
        <x:v>Jsoup_87</x:v>
      </x:c>
      <x:c r="E4012" s="34" t="str">
        <x:v>Condition</x:v>
      </x:c>
      <x:c r="F4012" s="34" t="n">
        <x:v>1259</x:v>
      </x:c>
      <x:c r="G4012" s="34" t="str">
        <x:v>RECORDED</x:v>
      </x:c>
      <x:c r="H4012" s="38" t="n">
        <x:f>IF(ISNUMBER('Data'!I596),'Data'!I596*100,"")</x:f>
        <x:v>26.13</x:v>
      </x:c>
      <x:c r="I4012" s="34" t="str">
        <x:v>PASS</x:v>
      </x:c>
      <x:c r="J4012" s="34" t="str">
        <x:v>PASS</x:v>
      </x:c>
      <x:c r="K4012" s="34" t="str">
        <x:v>PASS</x:v>
      </x:c>
      <x:c r="L4012" s="34" t="str">
        <x:v>FAIL</x:v>
      </x:c>
      <x:c r="M4012" s="34" t="str">
        <x:v>numeric coverage for applicable metric</x:v>
      </x:c>
      <x:c r="N4012" s="34" t="str">
        <x:v>Feedback-Directed Random Test Generation/Result/Jsoup_87/result.json</x:v>
      </x:c>
      <x:c r="O4012" s="38" t="n">
        <x:f>IF(AND(G4012="RECORDED",ISNUMBER(H4012)),H4012,"")</x:f>
        <x:v>26.13</x:v>
      </x:c>
      <x:c r="P4012" s="34" t="str">
        <x:v>INCONCLUSIVE</x:v>
      </x:c>
      <x:c r="Q4012" s="34" t="str">
        <x:v>Feedback-Directed Random Test Generation/Result/Jsoup_87/result.json</x:v>
      </x:c>
    </x:row>
    <x:row r="4013">
      <x:c r="A4013" s="34" t="str">
        <x:v>randoop</x:v>
      </x:c>
      <x:c r="B4013" s="34" t="str">
        <x:v>Jsoup</x:v>
      </x:c>
      <x:c r="C4013" s="34" t="str">
        <x:v>Round1</x:v>
      </x:c>
      <x:c r="D4013" s="34" t="str">
        <x:v>Jsoup_88</x:v>
      </x:c>
      <x:c r="E4013" s="34" t="str">
        <x:v>Condition</x:v>
      </x:c>
      <x:c r="F4013" s="34" t="n">
        <x:v>50</x:v>
      </x:c>
      <x:c r="G4013" s="34" t="str">
        <x:v>RECORDED</x:v>
      </x:c>
      <x:c r="H4013" s="38" t="n">
        <x:f>IF(ISNUMBER('Data'!I597),'Data'!I597*100,"")</x:f>
        <x:v>44</x:v>
      </x:c>
      <x:c r="I4013" s="34" t="str">
        <x:v>PASS</x:v>
      </x:c>
      <x:c r="J4013" s="34" t="str">
        <x:v>PASS</x:v>
      </x:c>
      <x:c r="K4013" s="34" t="str">
        <x:v>PASS</x:v>
      </x:c>
      <x:c r="L4013" s="34" t="str">
        <x:v>FAIL</x:v>
      </x:c>
      <x:c r="M4013" s="34" t="str">
        <x:v>numeric coverage for applicable metric</x:v>
      </x:c>
      <x:c r="N4013" s="34" t="str">
        <x:v>Feedback-Directed Random Test Generation/Result/Jsoup_88/result.json</x:v>
      </x:c>
      <x:c r="O4013" s="38" t="n">
        <x:f>IF(AND(G4013="RECORDED",ISNUMBER(H4013)),H4013,"")</x:f>
        <x:v>44</x:v>
      </x:c>
      <x:c r="P4013" s="34" t="str">
        <x:v>INCONCLUSIVE</x:v>
      </x:c>
      <x:c r="Q4013" s="34" t="str">
        <x:v>Feedback-Directed Random Test Generation/Result/Jsoup_88/result.json</x:v>
      </x:c>
    </x:row>
    <x:row r="4014">
      <x:c r="A4014" s="34" t="str">
        <x:v>randoop</x:v>
      </x:c>
      <x:c r="B4014" s="34" t="str">
        <x:v>Jsoup</x:v>
      </x:c>
      <x:c r="C4014" s="34" t="str">
        <x:v>Round1</x:v>
      </x:c>
      <x:c r="D4014" s="34" t="str">
        <x:v>Jsoup_89</x:v>
      </x:c>
      <x:c r="E4014" s="34" t="str">
        <x:v>Condition</x:v>
      </x:c>
      <x:c r="F4014" s="34" t="n">
        <x:v>50</x:v>
      </x:c>
      <x:c r="G4014" s="34" t="str">
        <x:v>RECORDED</x:v>
      </x:c>
      <x:c r="H4014" s="38" t="n">
        <x:f>IF(ISNUMBER('Data'!I598),'Data'!I598*100,"")</x:f>
        <x:v>44</x:v>
      </x:c>
      <x:c r="I4014" s="34" t="str">
        <x:v>PASS</x:v>
      </x:c>
      <x:c r="J4014" s="34" t="str">
        <x:v>PASS</x:v>
      </x:c>
      <x:c r="K4014" s="34" t="str">
        <x:v>PASS</x:v>
      </x:c>
      <x:c r="L4014" s="34" t="str">
        <x:v>FAIL</x:v>
      </x:c>
      <x:c r="M4014" s="34" t="str">
        <x:v>numeric coverage for applicable metric</x:v>
      </x:c>
      <x:c r="N4014" s="34" t="str">
        <x:v>Feedback-Directed Random Test Generation/Result/Jsoup_89/result.json</x:v>
      </x:c>
      <x:c r="O4014" s="38" t="n">
        <x:f>IF(AND(G4014="RECORDED",ISNUMBER(H4014)),H4014,"")</x:f>
        <x:v>44</x:v>
      </x:c>
      <x:c r="P4014" s="34" t="str">
        <x:v>INCONCLUSIVE</x:v>
      </x:c>
      <x:c r="Q4014" s="34" t="str">
        <x:v>Feedback-Directed Random Test Generation/Result/Jsoup_89/result.json</x:v>
      </x:c>
    </x:row>
    <x:row r="4015">
      <x:c r="A4015" s="34" t="str">
        <x:v>randoop</x:v>
      </x:c>
      <x:c r="B4015" s="34" t="str">
        <x:v>Jsoup</x:v>
      </x:c>
      <x:c r="C4015" s="34" t="str">
        <x:v>Round1</x:v>
      </x:c>
      <x:c r="D4015" s="34" t="str">
        <x:v>Jsoup_90</x:v>
      </x:c>
      <x:c r="E4015" s="34" t="str">
        <x:v>Condition</x:v>
      </x:c>
      <x:c r="F4015" s="34" t="n">
        <x:v>234</x:v>
      </x:c>
      <x:c r="G4015" s="34" t="str">
        <x:v>RECORDED</x:v>
      </x:c>
      <x:c r="H4015" s="38" t="n">
        <x:f>IF(ISNUMBER('Data'!I599),'Data'!I599*100,"")</x:f>
        <x:v>24.36</x:v>
      </x:c>
      <x:c r="I4015" s="34" t="str">
        <x:v>PASS</x:v>
      </x:c>
      <x:c r="J4015" s="34" t="str">
        <x:v>PASS</x:v>
      </x:c>
      <x:c r="K4015" s="34" t="str">
        <x:v>PASS</x:v>
      </x:c>
      <x:c r="L4015" s="34" t="str">
        <x:v>PASS</x:v>
      </x:c>
      <x:c r="M4015" s="34" t="str">
        <x:v>numeric coverage for applicable metric</x:v>
      </x:c>
      <x:c r="N4015" s="34" t="str">
        <x:v>Feedback-Directed Random Test Generation/Result/Jsoup_90/result.json</x:v>
      </x:c>
      <x:c r="O4015" s="38" t="n">
        <x:f>IF(AND(G4015="RECORDED",ISNUMBER(H4015)),H4015,"")</x:f>
        <x:v>24.36</x:v>
      </x:c>
      <x:c r="P4015" s="34" t="str">
        <x:v>NOT_REVEALING</x:v>
      </x:c>
      <x:c r="Q4015" s="34" t="str">
        <x:v>Feedback-Directed Random Test Generation/Result/Jsoup_90/result.json</x:v>
      </x:c>
    </x:row>
    <x:row r="4016">
      <x:c r="A4016" s="34" t="str">
        <x:v>randoop</x:v>
      </x:c>
      <x:c r="B4016" s="34" t="str">
        <x:v>Jsoup</x:v>
      </x:c>
      <x:c r="C4016" s="34" t="str">
        <x:v>Round1</x:v>
      </x:c>
      <x:c r="D4016" s="34" t="str">
        <x:v>Jsoup_91</x:v>
      </x:c>
      <x:c r="E4016" s="34" t="str">
        <x:v>Condition</x:v>
      </x:c>
      <x:c r="F4016" s="34" t="n">
        <x:v>190</x:v>
      </x:c>
      <x:c r="G4016" s="34" t="str">
        <x:v>RECORDED</x:v>
      </x:c>
      <x:c r="H4016" s="38" t="n">
        <x:f>IF(ISNUMBER('Data'!I600),'Data'!I600*100,"")</x:f>
        <x:v>16.84</x:v>
      </x:c>
      <x:c r="I4016" s="34" t="str">
        <x:v>PASS</x:v>
      </x:c>
      <x:c r="J4016" s="34" t="str">
        <x:v>PASS</x:v>
      </x:c>
      <x:c r="K4016" s="34" t="str">
        <x:v>PASS</x:v>
      </x:c>
      <x:c r="L4016" s="34" t="str">
        <x:v>PASS</x:v>
      </x:c>
      <x:c r="M4016" s="34" t="str">
        <x:v>numeric coverage for applicable metric</x:v>
      </x:c>
      <x:c r="N4016" s="34" t="str">
        <x:v>Feedback-Directed Random Test Generation/Result/Jsoup_91/result.json</x:v>
      </x:c>
      <x:c r="O4016" s="38" t="n">
        <x:f>IF(AND(G4016="RECORDED",ISNUMBER(H4016)),H4016,"")</x:f>
        <x:v>16.84</x:v>
      </x:c>
      <x:c r="P4016" s="34" t="str">
        <x:v>NOT_REVEALING</x:v>
      </x:c>
      <x:c r="Q4016" s="34" t="str">
        <x:v>Feedback-Directed Random Test Generation/Result/Jsoup_91/result.json</x:v>
      </x:c>
    </x:row>
    <x:row r="4017">
      <x:c r="A4017" s="34" t="str">
        <x:v>randoop</x:v>
      </x:c>
      <x:c r="B4017" s="34" t="str">
        <x:v>Jsoup</x:v>
      </x:c>
      <x:c r="C4017" s="34" t="str">
        <x:v>Round1</x:v>
      </x:c>
      <x:c r="D4017" s="34" t="str">
        <x:v>Jsoup_92</x:v>
      </x:c>
      <x:c r="E4017" s="34" t="str">
        <x:v>Condition</x:v>
      </x:c>
      <x:c r="F4017" s="34" t="n">
        <x:v>363</x:v>
      </x:c>
      <x:c r="G4017" s="34" t="str">
        <x:v>RECORDED</x:v>
      </x:c>
      <x:c r="H4017" s="38" t="n">
        <x:f>IF(ISNUMBER('Data'!I601),'Data'!I601*100,"")</x:f>
        <x:v>35.81</x:v>
      </x:c>
      <x:c r="I4017" s="34" t="str">
        <x:v>PASS</x:v>
      </x:c>
      <x:c r="J4017" s="34" t="str">
        <x:v>PASS</x:v>
      </x:c>
      <x:c r="K4017" s="34" t="str">
        <x:v>PASS</x:v>
      </x:c>
      <x:c r="L4017" s="34" t="str">
        <x:v>FAIL</x:v>
      </x:c>
      <x:c r="M4017" s="34" t="str">
        <x:v>numeric coverage for applicable metric</x:v>
      </x:c>
      <x:c r="N4017" s="34" t="str">
        <x:v>Feedback-Directed Random Test Generation/Result/Jsoup_92/result.json</x:v>
      </x:c>
      <x:c r="O4017" s="38" t="n">
        <x:f>IF(AND(G4017="RECORDED",ISNUMBER(H4017)),H4017,"")</x:f>
        <x:v>35.81</x:v>
      </x:c>
      <x:c r="P4017" s="34" t="str">
        <x:v>INCONCLUSIVE</x:v>
      </x:c>
      <x:c r="Q4017" s="34" t="str">
        <x:v>Feedback-Directed Random Test Generation/Result/Jsoup_92/result.json</x:v>
      </x:c>
    </x:row>
    <x:row r="4018">
      <x:c r="A4018" s="34" t="str">
        <x:v>randoop</x:v>
      </x:c>
      <x:c r="B4018" s="34" t="str">
        <x:v>Jsoup</x:v>
      </x:c>
      <x:c r="C4018" s="34" t="str">
        <x:v>Round1</x:v>
      </x:c>
      <x:c r="D4018" s="34" t="str">
        <x:v>Jsoup_93</x:v>
      </x:c>
      <x:c r="E4018" s="34" t="str">
        <x:v>Condition</x:v>
      </x:c>
      <x:c r="F4018" s="34" t="n">
        <x:v>28</x:v>
      </x:c>
      <x:c r="G4018" s="34" t="str">
        <x:v>RECORDED</x:v>
      </x:c>
      <x:c r="H4018" s="38" t="n">
        <x:f>IF(ISNUMBER('Data'!I602),'Data'!I602*100,"")</x:f>
        <x:v>0</x:v>
      </x:c>
      <x:c r="I4018" s="34" t="str">
        <x:v>PASS</x:v>
      </x:c>
      <x:c r="J4018" s="34" t="str">
        <x:v>PASS</x:v>
      </x:c>
      <x:c r="K4018" s="34" t="str">
        <x:v>PASS</x:v>
      </x:c>
      <x:c r="L4018" s="34" t="str">
        <x:v>PASS</x:v>
      </x:c>
      <x:c r="M4018" s="34" t="str">
        <x:v>numeric coverage for applicable metric</x:v>
      </x:c>
      <x:c r="N4018" s="34" t="str">
        <x:v>Feedback-Directed Random Test Generation/Result/Jsoup_93/result.json</x:v>
      </x:c>
      <x:c r="O4018" s="38" t="n">
        <x:f>IF(AND(G4018="RECORDED",ISNUMBER(H4018)),H4018,"")</x:f>
        <x:v>0</x:v>
      </x:c>
      <x:c r="P4018" s="34" t="str">
        <x:v>NOT_REVEALING</x:v>
      </x:c>
      <x:c r="Q4018" s="34" t="str">
        <x:v>Feedback-Directed Random Test Generation/Result/Jsoup_93/result.json</x:v>
      </x:c>
    </x:row>
    <x:row r="4019">
      <x:c r="A4019" s="34" t="str">
        <x:v>randoop</x:v>
      </x:c>
      <x:c r="B4019" s="34" t="str">
        <x:v>JxPath</x:v>
      </x:c>
      <x:c r="C4019" s="34" t="str">
        <x:v>Round1</x:v>
      </x:c>
      <x:c r="D4019" s="34" t="str">
        <x:v>JxPath_1</x:v>
      </x:c>
      <x:c r="E4019" s="34" t="str">
        <x:v>Condition</x:v>
      </x:c>
      <x:c r="F4019" s="34" t="n">
        <x:v>556</x:v>
      </x:c>
      <x:c r="G4019" s="34" t="str">
        <x:v>RECORDED</x:v>
      </x:c>
      <x:c r="H4019" s="38" t="n">
        <x:f>IF(ISNUMBER('Data'!I603),'Data'!I603*100,"")</x:f>
        <x:v>5.76</x:v>
      </x:c>
      <x:c r="I4019" s="34" t="str">
        <x:v>PASS</x:v>
      </x:c>
      <x:c r="J4019" s="34" t="str">
        <x:v>PASS</x:v>
      </x:c>
      <x:c r="K4019" s="34" t="str">
        <x:v>PASS</x:v>
      </x:c>
      <x:c r="L4019" s="34" t="str">
        <x:v>PASS</x:v>
      </x:c>
      <x:c r="M4019" s="34" t="str">
        <x:v>numeric coverage for applicable metric</x:v>
      </x:c>
      <x:c r="N4019" s="34" t="str">
        <x:v>Feedback-Directed Random Test Generation/Result/JxPath_1/result.json</x:v>
      </x:c>
      <x:c r="O4019" s="38" t="n">
        <x:f>IF(AND(G4019="RECORDED",ISNUMBER(H4019)),H4019,"")</x:f>
        <x:v>5.76</x:v>
      </x:c>
      <x:c r="P4019" s="34" t="str">
        <x:v>NOT_REVEALING</x:v>
      </x:c>
      <x:c r="Q4019" s="34" t="str">
        <x:v>Feedback-Directed Random Test Generation/Result/JxPath_1/result.json</x:v>
      </x:c>
    </x:row>
    <x:row r="4020">
      <x:c r="A4020" s="34" t="str">
        <x:v>randoop</x:v>
      </x:c>
      <x:c r="B4020" s="34" t="str">
        <x:v>JxPath</x:v>
      </x:c>
      <x:c r="C4020" s="34" t="str">
        <x:v>Round1</x:v>
      </x:c>
      <x:c r="D4020" s="34" t="str">
        <x:v>JxPath_2</x:v>
      </x:c>
      <x:c r="E4020" s="34" t="str">
        <x:v>Condition</x:v>
      </x:c>
      <x:c r="F4020" s="34" t="n">
        <x:v>12</x:v>
      </x:c>
      <x:c r="G4020" s="34" t="str">
        <x:v>RECORDED</x:v>
      </x:c>
      <x:c r="H4020" s="38" t="n">
        <x:f>IF(ISNUMBER('Data'!I604),'Data'!I604*100,"")</x:f>
        <x:v>0</x:v>
      </x:c>
      <x:c r="I4020" s="34" t="str">
        <x:v>PASS</x:v>
      </x:c>
      <x:c r="J4020" s="34" t="str">
        <x:v>PASS</x:v>
      </x:c>
      <x:c r="K4020" s="34" t="str">
        <x:v>PASS</x:v>
      </x:c>
      <x:c r="L4020" s="34" t="str">
        <x:v>PASS</x:v>
      </x:c>
      <x:c r="M4020" s="34" t="str">
        <x:v>numeric coverage for applicable metric</x:v>
      </x:c>
      <x:c r="N4020" s="34" t="str">
        <x:v>Feedback-Directed Random Test Generation/Result/JxPath_2/result.json</x:v>
      </x:c>
      <x:c r="O4020" s="38" t="n">
        <x:f>IF(AND(G4020="RECORDED",ISNUMBER(H4020)),H4020,"")</x:f>
        <x:v>0</x:v>
      </x:c>
      <x:c r="P4020" s="34" t="str">
        <x:v>NOT_REVEALING</x:v>
      </x:c>
      <x:c r="Q4020" s="34" t="str">
        <x:v>Feedback-Directed Random Test Generation/Result/JxPath_2/result.json</x:v>
      </x:c>
    </x:row>
    <x:row r="4021">
      <x:c r="A4021" s="34" t="str">
        <x:v>randoop</x:v>
      </x:c>
      <x:c r="B4021" s="34" t="str">
        <x:v>JxPath</x:v>
      </x:c>
      <x:c r="C4021" s="34" t="str">
        <x:v>Round1</x:v>
      </x:c>
      <x:c r="D4021" s="34" t="str">
        <x:v>JxPath_3</x:v>
      </x:c>
      <x:c r="E4021" s="34" t="str">
        <x:v>Condition</x:v>
      </x:c>
      <x:c r="F4021" s="34" t="n">
        <x:v>26</x:v>
      </x:c>
      <x:c r="G4021" s="34" t="str">
        <x:v>RECORDED</x:v>
      </x:c>
      <x:c r="H4021" s="38" t="n">
        <x:f>IF(ISNUMBER('Data'!I605),'Data'!I605*100,"")</x:f>
        <x:v>26.919999999999998</x:v>
      </x:c>
      <x:c r="I4021" s="34" t="str">
        <x:v>PASS</x:v>
      </x:c>
      <x:c r="J4021" s="34" t="str">
        <x:v>PASS</x:v>
      </x:c>
      <x:c r="K4021" s="34" t="str">
        <x:v>PASS</x:v>
      </x:c>
      <x:c r="L4021" s="34" t="str">
        <x:v>PASS</x:v>
      </x:c>
      <x:c r="M4021" s="34" t="str">
        <x:v>numeric coverage for applicable metric</x:v>
      </x:c>
      <x:c r="N4021" s="34" t="str">
        <x:v>Feedback-Directed Random Test Generation/Result/JxPath_3/result.json</x:v>
      </x:c>
      <x:c r="O4021" s="38" t="n">
        <x:f>IF(AND(G4021="RECORDED",ISNUMBER(H4021)),H4021,"")</x:f>
        <x:v>26.919999999999998</x:v>
      </x:c>
      <x:c r="P4021" s="34" t="str">
        <x:v>NOT_REVEALING</x:v>
      </x:c>
      <x:c r="Q4021" s="34" t="str">
        <x:v>Feedback-Directed Random Test Generation/Result/JxPath_3/result.json</x:v>
      </x:c>
    </x:row>
    <x:row r="4022">
      <x:c r="A4022" s="34" t="str">
        <x:v>randoop</x:v>
      </x:c>
      <x:c r="B4022" s="34" t="str">
        <x:v>JxPath</x:v>
      </x:c>
      <x:c r="C4022" s="34" t="str">
        <x:v>Round1</x:v>
      </x:c>
      <x:c r="D4022" s="34" t="str">
        <x:v>JxPath_4</x:v>
      </x:c>
      <x:c r="E4022" s="34" t="str">
        <x:v>Condition</x:v>
      </x:c>
      <x:c r="F4022" s="34" t="n">
        <x:v>546</x:v>
      </x:c>
      <x:c r="G4022" s="34" t="str">
        <x:v>RECORDED</x:v>
      </x:c>
      <x:c r="H4022" s="38" t="n">
        <x:f>IF(ISNUMBER('Data'!I606),'Data'!I606*100,"")</x:f>
        <x:v>5.86</x:v>
      </x:c>
      <x:c r="I4022" s="34" t="str">
        <x:v>PASS</x:v>
      </x:c>
      <x:c r="J4022" s="34" t="str">
        <x:v>PASS</x:v>
      </x:c>
      <x:c r="K4022" s="34" t="str">
        <x:v>PASS</x:v>
      </x:c>
      <x:c r="L4022" s="34" t="str">
        <x:v>PASS</x:v>
      </x:c>
      <x:c r="M4022" s="34" t="str">
        <x:v>numeric coverage for applicable metric</x:v>
      </x:c>
      <x:c r="N4022" s="34" t="str">
        <x:v>Feedback-Directed Random Test Generation/Result/JxPath_4/result.json</x:v>
      </x:c>
      <x:c r="O4022" s="38" t="n">
        <x:f>IF(AND(G4022="RECORDED",ISNUMBER(H4022)),H4022,"")</x:f>
        <x:v>5.86</x:v>
      </x:c>
      <x:c r="P4022" s="34" t="str">
        <x:v>NOT_REVEALING</x:v>
      </x:c>
      <x:c r="Q4022" s="34" t="str">
        <x:v>Feedback-Directed Random Test Generation/Result/JxPath_4/result.json</x:v>
      </x:c>
    </x:row>
    <x:row r="4023">
      <x:c r="A4023" s="34" t="str">
        <x:v>randoop</x:v>
      </x:c>
      <x:c r="B4023" s="34" t="str">
        <x:v>JxPath</x:v>
      </x:c>
      <x:c r="C4023" s="34" t="str">
        <x:v>Round1</x:v>
      </x:c>
      <x:c r="D4023" s="34" t="str">
        <x:v>JxPath_5</x:v>
      </x:c>
      <x:c r="E4023" s="34" t="str">
        <x:v>Condition</x:v>
      </x:c>
      <x:c r="F4023" s="34" t="n">
        <x:v>130</x:v>
      </x:c>
      <x:c r="G4023" s="34" t="str">
        <x:v>RECORDED</x:v>
      </x:c>
      <x:c r="H4023" s="38" t="n">
        <x:f>IF(ISNUMBER('Data'!I607),'Data'!I607*100,"")</x:f>
        <x:v>20</x:v>
      </x:c>
      <x:c r="I4023" s="34" t="str">
        <x:v>PASS</x:v>
      </x:c>
      <x:c r="J4023" s="34" t="str">
        <x:v>PASS</x:v>
      </x:c>
      <x:c r="K4023" s="34" t="str">
        <x:v>PASS</x:v>
      </x:c>
      <x:c r="L4023" s="34" t="str">
        <x:v>PASS</x:v>
      </x:c>
      <x:c r="M4023" s="34" t="str">
        <x:v>numeric coverage for applicable metric</x:v>
      </x:c>
      <x:c r="N4023" s="34" t="str">
        <x:v>Feedback-Directed Random Test Generation/Result/JxPath_5/result.json</x:v>
      </x:c>
      <x:c r="O4023" s="38" t="n">
        <x:f>IF(AND(G4023="RECORDED",ISNUMBER(H4023)),H4023,"")</x:f>
        <x:v>20</x:v>
      </x:c>
      <x:c r="P4023" s="34" t="str">
        <x:v>NOT_REVEALING</x:v>
      </x:c>
      <x:c r="Q4023" s="34" t="str">
        <x:v>Feedback-Directed Random Test Generation/Result/JxPath_5/result.json</x:v>
      </x:c>
    </x:row>
    <x:row r="4024">
      <x:c r="A4024" s="34" t="str">
        <x:v>randoop</x:v>
      </x:c>
      <x:c r="B4024" s="34" t="str">
        <x:v>JxPath</x:v>
      </x:c>
      <x:c r="C4024" s="34" t="str">
        <x:v>Round1</x:v>
      </x:c>
      <x:c r="D4024" s="34" t="str">
        <x:v>JxPath_6</x:v>
      </x:c>
      <x:c r="E4024" s="34" t="str">
        <x:v>Condition</x:v>
      </x:c>
      <x:c r="F4024" s="34" t="n">
        <x:v>66</x:v>
      </x:c>
      <x:c r="G4024" s="34" t="str">
        <x:v>RECORDED</x:v>
      </x:c>
      <x:c r="H4024" s="38" t="n">
        <x:f>IF(ISNUMBER('Data'!I608),'Data'!I608*100,"")</x:f>
        <x:v>0</x:v>
      </x:c>
      <x:c r="I4024" s="34" t="str">
        <x:v>PASS</x:v>
      </x:c>
      <x:c r="J4024" s="34" t="str">
        <x:v>PASS</x:v>
      </x:c>
      <x:c r="K4024" s="34" t="str">
        <x:v>PASS</x:v>
      </x:c>
      <x:c r="L4024" s="34" t="str">
        <x:v>PASS</x:v>
      </x:c>
      <x:c r="M4024" s="34" t="str">
        <x:v>numeric coverage for applicable metric</x:v>
      </x:c>
      <x:c r="N4024" s="34" t="str">
        <x:v>Feedback-Directed Random Test Generation/Result/JxPath_6/result.json</x:v>
      </x:c>
      <x:c r="O4024" s="38" t="n">
        <x:f>IF(AND(G4024="RECORDED",ISNUMBER(H4024)),H4024,"")</x:f>
        <x:v>0</x:v>
      </x:c>
      <x:c r="P4024" s="34" t="str">
        <x:v>NOT_REVEALING</x:v>
      </x:c>
      <x:c r="Q4024" s="34" t="str">
        <x:v>Feedback-Directed Random Test Generation/Result/JxPath_6/result.json</x:v>
      </x:c>
    </x:row>
    <x:row r="4025">
      <x:c r="A4025" s="34" t="str">
        <x:v>randoop</x:v>
      </x:c>
      <x:c r="B4025" s="34" t="str">
        <x:v>JxPath</x:v>
      </x:c>
      <x:c r="C4025" s="34" t="str">
        <x:v>Round1</x:v>
      </x:c>
      <x:c r="D4025" s="34" t="str">
        <x:v>JxPath_7</x:v>
      </x:c>
      <x:c r="E4025" s="34" t="str">
        <x:v>Condition</x:v>
      </x:c>
      <x:c r="F4025" s="34" t="n">
        <x:v>8</x:v>
      </x:c>
      <x:c r="G4025" s="34" t="str">
        <x:v>RECORDED</x:v>
      </x:c>
      <x:c r="H4025" s="38" t="n">
        <x:f>IF(ISNUMBER('Data'!I609),'Data'!I609*100,"")</x:f>
        <x:v>0</x:v>
      </x:c>
      <x:c r="I4025" s="34" t="str">
        <x:v>PASS</x:v>
      </x:c>
      <x:c r="J4025" s="34" t="str">
        <x:v>PASS</x:v>
      </x:c>
      <x:c r="K4025" s="34" t="str">
        <x:v>PASS</x:v>
      </x:c>
      <x:c r="L4025" s="34" t="str">
        <x:v>PASS</x:v>
      </x:c>
      <x:c r="M4025" s="34" t="str">
        <x:v>numeric coverage for applicable metric</x:v>
      </x:c>
      <x:c r="N4025" s="34" t="str">
        <x:v>Feedback-Directed Random Test Generation/Result/JxPath_7/result.json</x:v>
      </x:c>
      <x:c r="O4025" s="38" t="n">
        <x:f>IF(AND(G4025="RECORDED",ISNUMBER(H4025)),H4025,"")</x:f>
        <x:v>0</x:v>
      </x:c>
      <x:c r="P4025" s="34" t="str">
        <x:v>NOT_REVEALING</x:v>
      </x:c>
      <x:c r="Q4025" s="34" t="str">
        <x:v>Feedback-Directed Random Test Generation/Result/JxPath_7/result.json</x:v>
      </x:c>
    </x:row>
    <x:row r="4026">
      <x:c r="A4026" s="34" t="str">
        <x:v>randoop</x:v>
      </x:c>
      <x:c r="B4026" s="34" t="str">
        <x:v>JxPath</x:v>
      </x:c>
      <x:c r="C4026" s="34" t="str">
        <x:v>Round1</x:v>
      </x:c>
      <x:c r="D4026" s="34" t="str">
        <x:v>JxPath_8</x:v>
      </x:c>
      <x:c r="E4026" s="34" t="str">
        <x:v>Condition</x:v>
      </x:c>
      <x:c r="F4026" s="34" t="n">
        <x:v>32</x:v>
      </x:c>
      <x:c r="G4026" s="34" t="str">
        <x:v>RECORDED</x:v>
      </x:c>
      <x:c r="H4026" s="38" t="n">
        <x:f>IF(ISNUMBER('Data'!I610),'Data'!I610*100,"")</x:f>
        <x:v>0</x:v>
      </x:c>
      <x:c r="I4026" s="34" t="str">
        <x:v>PASS</x:v>
      </x:c>
      <x:c r="J4026" s="34" t="str">
        <x:v>PASS</x:v>
      </x:c>
      <x:c r="K4026" s="34" t="str">
        <x:v>PASS</x:v>
      </x:c>
      <x:c r="L4026" s="34" t="str">
        <x:v>PASS</x:v>
      </x:c>
      <x:c r="M4026" s="34" t="str">
        <x:v>numeric coverage for applicable metric</x:v>
      </x:c>
      <x:c r="N4026" s="34" t="str">
        <x:v>Feedback-Directed Random Test Generation/Result/JxPath_8/result.json</x:v>
      </x:c>
      <x:c r="O4026" s="38" t="n">
        <x:f>IF(AND(G4026="RECORDED",ISNUMBER(H4026)),H4026,"")</x:f>
        <x:v>0</x:v>
      </x:c>
      <x:c r="P4026" s="34" t="str">
        <x:v>NOT_REVEALING</x:v>
      </x:c>
      <x:c r="Q4026" s="34" t="str">
        <x:v>Feedback-Directed Random Test Generation/Result/JxPath_8/result.json</x:v>
      </x:c>
    </x:row>
    <x:row r="4027">
      <x:c r="A4027" s="34" t="str">
        <x:v>randoop</x:v>
      </x:c>
      <x:c r="B4027" s="34" t="str">
        <x:v>JxPath</x:v>
      </x:c>
      <x:c r="C4027" s="34" t="str">
        <x:v>Round1</x:v>
      </x:c>
      <x:c r="D4027" s="34" t="str">
        <x:v>JxPath_9</x:v>
      </x:c>
      <x:c r="E4027" s="34" t="str">
        <x:v>Condition</x:v>
      </x:c>
      <x:c r="F4027" s="34" t="n">
        <x:v>66</x:v>
      </x:c>
      <x:c r="G4027" s="34" t="str">
        <x:v>RECORDED</x:v>
      </x:c>
      <x:c r="H4027" s="38" t="n">
        <x:f>IF(ISNUMBER('Data'!I611),'Data'!I611*100,"")</x:f>
        <x:v>0</x:v>
      </x:c>
      <x:c r="I4027" s="34" t="str">
        <x:v>PASS</x:v>
      </x:c>
      <x:c r="J4027" s="34" t="str">
        <x:v>PASS</x:v>
      </x:c>
      <x:c r="K4027" s="34" t="str">
        <x:v>PASS</x:v>
      </x:c>
      <x:c r="L4027" s="34" t="str">
        <x:v>PASS</x:v>
      </x:c>
      <x:c r="M4027" s="34" t="str">
        <x:v>numeric coverage for applicable metric</x:v>
      </x:c>
      <x:c r="N4027" s="34" t="str">
        <x:v>Feedback-Directed Random Test Generation/Result/JxPath_9/result.json</x:v>
      </x:c>
      <x:c r="O4027" s="38" t="n">
        <x:f>IF(AND(G4027="RECORDED",ISNUMBER(H4027)),H4027,"")</x:f>
        <x:v>0</x:v>
      </x:c>
      <x:c r="P4027" s="34" t="str">
        <x:v>NOT_REVEALING</x:v>
      </x:c>
      <x:c r="Q4027" s="34" t="str">
        <x:v>Feedback-Directed Random Test Generation/Result/JxPath_9/result.json</x:v>
      </x:c>
    </x:row>
    <x:row r="4028">
      <x:c r="A4028" s="34" t="str">
        <x:v>randoop</x:v>
      </x:c>
      <x:c r="B4028" s="34" t="str">
        <x:v>JxPath</x:v>
      </x:c>
      <x:c r="C4028" s="34" t="str">
        <x:v>Round1</x:v>
      </x:c>
      <x:c r="D4028" s="34" t="str">
        <x:v>JxPath_10</x:v>
      </x:c>
      <x:c r="E4028" s="34" t="str">
        <x:v>Condition</x:v>
      </x:c>
      <x:c r="F4028" s="34" t="n">
        <x:v>36</x:v>
      </x:c>
      <x:c r="G4028" s="34" t="str">
        <x:v>RECORDED</x:v>
      </x:c>
      <x:c r="H4028" s="38" t="n">
        <x:f>IF(ISNUMBER('Data'!I612),'Data'!I612*100,"")</x:f>
        <x:v>0</x:v>
      </x:c>
      <x:c r="I4028" s="34" t="str">
        <x:v>PASS</x:v>
      </x:c>
      <x:c r="J4028" s="34" t="str">
        <x:v>PASS</x:v>
      </x:c>
      <x:c r="K4028" s="34" t="str">
        <x:v>PASS</x:v>
      </x:c>
      <x:c r="L4028" s="34" t="str">
        <x:v>PASS</x:v>
      </x:c>
      <x:c r="M4028" s="34" t="str">
        <x:v>numeric coverage for applicable metric</x:v>
      </x:c>
      <x:c r="N4028" s="34" t="str">
        <x:v>Feedback-Directed Random Test Generation/Result/JxPath_10/result.json</x:v>
      </x:c>
      <x:c r="O4028" s="38" t="n">
        <x:f>IF(AND(G4028="RECORDED",ISNUMBER(H4028)),H4028,"")</x:f>
        <x:v>0</x:v>
      </x:c>
      <x:c r="P4028" s="34" t="str">
        <x:v>NOT_REVEALING</x:v>
      </x:c>
      <x:c r="Q4028" s="34" t="str">
        <x:v>Feedback-Directed Random Test Generation/Result/JxPath_10/result.json</x:v>
      </x:c>
    </x:row>
    <x:row r="4029">
      <x:c r="A4029" s="34" t="str">
        <x:v>randoop</x:v>
      </x:c>
      <x:c r="B4029" s="34" t="str">
        <x:v>JxPath</x:v>
      </x:c>
      <x:c r="C4029" s="34" t="str">
        <x:v>Round1</x:v>
      </x:c>
      <x:c r="D4029" s="34" t="str">
        <x:v>JxPath_11</x:v>
      </x:c>
      <x:c r="E4029" s="34" t="str">
        <x:v>Condition</x:v>
      </x:c>
      <x:c r="F4029" s="34" t="n">
        <x:v>84</x:v>
      </x:c>
      <x:c r="G4029" s="34" t="str">
        <x:v>RECORDED</x:v>
      </x:c>
      <x:c r="H4029" s="38" t="n">
        <x:f>IF(ISNUMBER('Data'!I613),'Data'!I613*100,"")</x:f>
        <x:v>0</x:v>
      </x:c>
      <x:c r="I4029" s="34" t="str">
        <x:v>PASS</x:v>
      </x:c>
      <x:c r="J4029" s="34" t="str">
        <x:v>PASS</x:v>
      </x:c>
      <x:c r="K4029" s="34" t="str">
        <x:v>PASS</x:v>
      </x:c>
      <x:c r="L4029" s="34" t="str">
        <x:v>PASS</x:v>
      </x:c>
      <x:c r="M4029" s="34" t="str">
        <x:v>numeric coverage for applicable metric</x:v>
      </x:c>
      <x:c r="N4029" s="34" t="str">
        <x:v>Feedback-Directed Random Test Generation/Result/JxPath_11/result.json</x:v>
      </x:c>
      <x:c r="O4029" s="38" t="n">
        <x:f>IF(AND(G4029="RECORDED",ISNUMBER(H4029)),H4029,"")</x:f>
        <x:v>0</x:v>
      </x:c>
      <x:c r="P4029" s="34" t="str">
        <x:v>NOT_REVEALING</x:v>
      </x:c>
      <x:c r="Q4029" s="34" t="str">
        <x:v>Feedback-Directed Random Test Generation/Result/JxPath_11/result.json</x:v>
      </x:c>
    </x:row>
    <x:row r="4030">
      <x:c r="A4030" s="34" t="str">
        <x:v>randoop</x:v>
      </x:c>
      <x:c r="B4030" s="34" t="str">
        <x:v>JxPath</x:v>
      </x:c>
      <x:c r="C4030" s="34" t="str">
        <x:v>Round1</x:v>
      </x:c>
      <x:c r="D4030" s="34" t="str">
        <x:v>JxPath_12</x:v>
      </x:c>
      <x:c r="E4030" s="34" t="str">
        <x:v>Condition</x:v>
      </x:c>
      <x:c r="F4030" s="34" t="n">
        <x:v>267</x:v>
      </x:c>
      <x:c r="G4030" s="34" t="str">
        <x:v>RECORDED</x:v>
      </x:c>
      <x:c r="H4030" s="38" t="n">
        <x:f>IF(ISNUMBER('Data'!I614),'Data'!I614*100,"")</x:f>
        <x:v>7.490000000000001</x:v>
      </x:c>
      <x:c r="I4030" s="34" t="str">
        <x:v>PASS</x:v>
      </x:c>
      <x:c r="J4030" s="34" t="str">
        <x:v>PASS</x:v>
      </x:c>
      <x:c r="K4030" s="34" t="str">
        <x:v>PASS</x:v>
      </x:c>
      <x:c r="L4030" s="34" t="str">
        <x:v>PASS</x:v>
      </x:c>
      <x:c r="M4030" s="34" t="str">
        <x:v>numeric coverage for applicable metric</x:v>
      </x:c>
      <x:c r="N4030" s="34" t="str">
        <x:v>Feedback-Directed Random Test Generation/Result/JxPath_12/result.json</x:v>
      </x:c>
      <x:c r="O4030" s="38" t="n">
        <x:f>IF(AND(G4030="RECORDED",ISNUMBER(H4030)),H4030,"")</x:f>
        <x:v>7.490000000000001</x:v>
      </x:c>
      <x:c r="P4030" s="34" t="str">
        <x:v>NOT_REVEALING</x:v>
      </x:c>
      <x:c r="Q4030" s="34" t="str">
        <x:v>Feedback-Directed Random Test Generation/Result/JxPath_12/result.json</x:v>
      </x:c>
    </x:row>
    <x:row r="4031">
      <x:c r="A4031" s="34" t="str">
        <x:v>randoop</x:v>
      </x:c>
      <x:c r="B4031" s="34" t="str">
        <x:v>JxPath</x:v>
      </x:c>
      <x:c r="C4031" s="34" t="str">
        <x:v>Round1</x:v>
      </x:c>
      <x:c r="D4031" s="34" t="str">
        <x:v>JxPath_13</x:v>
      </x:c>
      <x:c r="E4031" s="34" t="str">
        <x:v>Condition</x:v>
      </x:c>
      <x:c r="F4031" s="34" t="n">
        <x:v>303</x:v>
      </x:c>
      <x:c r="G4031" s="34" t="str">
        <x:v>RECORDED</x:v>
      </x:c>
      <x:c r="H4031" s="38" t="n">
        <x:f>IF(ISNUMBER('Data'!I615),'Data'!I615*100,"")</x:f>
        <x:v>4.95</x:v>
      </x:c>
      <x:c r="I4031" s="34" t="str">
        <x:v>PASS</x:v>
      </x:c>
      <x:c r="J4031" s="34" t="str">
        <x:v>PASS</x:v>
      </x:c>
      <x:c r="K4031" s="34" t="str">
        <x:v>PASS</x:v>
      </x:c>
      <x:c r="L4031" s="34" t="str">
        <x:v>PASS</x:v>
      </x:c>
      <x:c r="M4031" s="34" t="str">
        <x:v>numeric coverage for applicable metric</x:v>
      </x:c>
      <x:c r="N4031" s="34" t="str">
        <x:v>Feedback-Directed Random Test Generation/Result/JxPath_13/result.json</x:v>
      </x:c>
      <x:c r="O4031" s="38" t="n">
        <x:f>IF(AND(G4031="RECORDED",ISNUMBER(H4031)),H4031,"")</x:f>
        <x:v>4.95</x:v>
      </x:c>
      <x:c r="P4031" s="34" t="str">
        <x:v>NOT_REVEALING</x:v>
      </x:c>
      <x:c r="Q4031" s="34" t="str">
        <x:v>Feedback-Directed Random Test Generation/Result/JxPath_13/result.json</x:v>
      </x:c>
    </x:row>
    <x:row r="4032">
      <x:c r="A4032" s="34" t="str">
        <x:v>randoop</x:v>
      </x:c>
      <x:c r="B4032" s="34" t="str">
        <x:v>JxPath</x:v>
      </x:c>
      <x:c r="C4032" s="34" t="str">
        <x:v>Round1</x:v>
      </x:c>
      <x:c r="D4032" s="34" t="str">
        <x:v>JxPath_14</x:v>
      </x:c>
      <x:c r="E4032" s="34" t="str">
        <x:v>Condition</x:v>
      </x:c>
      <x:c r="F4032" s="34" t="n">
        <x:v>212</x:v>
      </x:c>
      <x:c r="G4032" s="34" t="str">
        <x:v>RECORDED</x:v>
      </x:c>
      <x:c r="H4032" s="38" t="n">
        <x:f>IF(ISNUMBER('Data'!I616),'Data'!I616*100,"")</x:f>
        <x:v>8.02</x:v>
      </x:c>
      <x:c r="I4032" s="34" t="str">
        <x:v>PASS</x:v>
      </x:c>
      <x:c r="J4032" s="34" t="str">
        <x:v>PASS</x:v>
      </x:c>
      <x:c r="K4032" s="34" t="str">
        <x:v>PASS</x:v>
      </x:c>
      <x:c r="L4032" s="34" t="str">
        <x:v>PASS</x:v>
      </x:c>
      <x:c r="M4032" s="34" t="str">
        <x:v>numeric coverage for applicable metric</x:v>
      </x:c>
      <x:c r="N4032" s="34" t="str">
        <x:v>Feedback-Directed Random Test Generation/Result/JxPath_14/result.json</x:v>
      </x:c>
      <x:c r="O4032" s="38" t="n">
        <x:f>IF(AND(G4032="RECORDED",ISNUMBER(H4032)),H4032,"")</x:f>
        <x:v>8.02</x:v>
      </x:c>
      <x:c r="P4032" s="34" t="str">
        <x:v>NOT_REVEALING</x:v>
      </x:c>
      <x:c r="Q4032" s="34" t="str">
        <x:v>Feedback-Directed Random Test Generation/Result/JxPath_14/result.json</x:v>
      </x:c>
    </x:row>
    <x:row r="4033">
      <x:c r="A4033" s="34" t="str">
        <x:v>randoop</x:v>
      </x:c>
      <x:c r="B4033" s="34" t="str">
        <x:v>JxPath</x:v>
      </x:c>
      <x:c r="C4033" s="34" t="str">
        <x:v>Round1</x:v>
      </x:c>
      <x:c r="D4033" s="34" t="str">
        <x:v>JxPath_15</x:v>
      </x:c>
      <x:c r="E4033" s="34" t="str">
        <x:v>Condition</x:v>
      </x:c>
      <x:c r="F4033" s="34" t="n">
        <x:v>12</x:v>
      </x:c>
      <x:c r="G4033" s="34" t="str">
        <x:v>RECORDED</x:v>
      </x:c>
      <x:c r="H4033" s="38" t="n">
        <x:f>IF(ISNUMBER('Data'!I617),'Data'!I617*100,"")</x:f>
        <x:v>25</x:v>
      </x:c>
      <x:c r="I4033" s="34" t="str">
        <x:v>PASS</x:v>
      </x:c>
      <x:c r="J4033" s="34" t="str">
        <x:v>PASS</x:v>
      </x:c>
      <x:c r="K4033" s="34" t="str">
        <x:v>PASS</x:v>
      </x:c>
      <x:c r="L4033" s="34" t="str">
        <x:v>PASS</x:v>
      </x:c>
      <x:c r="M4033" s="34" t="str">
        <x:v>numeric coverage for applicable metric</x:v>
      </x:c>
      <x:c r="N4033" s="34" t="str">
        <x:v>Feedback-Directed Random Test Generation/Result/JxPath_15/result.json</x:v>
      </x:c>
      <x:c r="O4033" s="38" t="n">
        <x:f>IF(AND(G4033="RECORDED",ISNUMBER(H4033)),H4033,"")</x:f>
        <x:v>25</x:v>
      </x:c>
      <x:c r="P4033" s="34" t="str">
        <x:v>NOT_REVEALING</x:v>
      </x:c>
      <x:c r="Q4033" s="34" t="str">
        <x:v>Feedback-Directed Random Test Generation/Result/JxPath_15/result.json</x:v>
      </x:c>
    </x:row>
    <x:row r="4034">
      <x:c r="A4034" s="34" t="str">
        <x:v>randoop</x:v>
      </x:c>
      <x:c r="B4034" s="34" t="str">
        <x:v>JxPath</x:v>
      </x:c>
      <x:c r="C4034" s="34" t="str">
        <x:v>Round1</x:v>
      </x:c>
      <x:c r="D4034" s="34" t="str">
        <x:v>JxPath_16</x:v>
      </x:c>
      <x:c r="E4034" s="34" t="str">
        <x:v>Condition</x:v>
      </x:c>
      <x:c r="F4034" s="34" t="n">
        <x:v>592</x:v>
      </x:c>
      <x:c r="G4034" s="34" t="str">
        <x:v>RECORDED</x:v>
      </x:c>
      <x:c r="H4034" s="38" t="n">
        <x:f>IF(ISNUMBER('Data'!I618),'Data'!I618*100,"")</x:f>
        <x:v>4.05</x:v>
      </x:c>
      <x:c r="I4034" s="34" t="str">
        <x:v>PASS</x:v>
      </x:c>
      <x:c r="J4034" s="34" t="str">
        <x:v>PASS</x:v>
      </x:c>
      <x:c r="K4034" s="34" t="str">
        <x:v>PASS</x:v>
      </x:c>
      <x:c r="L4034" s="34" t="str">
        <x:v>PASS</x:v>
      </x:c>
      <x:c r="M4034" s="34" t="str">
        <x:v>numeric coverage for applicable metric</x:v>
      </x:c>
      <x:c r="N4034" s="34" t="str">
        <x:v>Feedback-Directed Random Test Generation/Result/JxPath_16/result.json</x:v>
      </x:c>
      <x:c r="O4034" s="38" t="n">
        <x:f>IF(AND(G4034="RECORDED",ISNUMBER(H4034)),H4034,"")</x:f>
        <x:v>4.05</x:v>
      </x:c>
      <x:c r="P4034" s="34" t="str">
        <x:v>NOT_REVEALING</x:v>
      </x:c>
      <x:c r="Q4034" s="34" t="str">
        <x:v>Feedback-Directed Random Test Generation/Result/JxPath_16/result.json</x:v>
      </x:c>
    </x:row>
    <x:row r="4035">
      <x:c r="A4035" s="34" t="str">
        <x:v>randoop</x:v>
      </x:c>
      <x:c r="B4035" s="34" t="str">
        <x:v>JxPath</x:v>
      </x:c>
      <x:c r="C4035" s="34" t="str">
        <x:v>Round1</x:v>
      </x:c>
      <x:c r="D4035" s="34" t="str">
        <x:v>JxPath_17</x:v>
      </x:c>
      <x:c r="E4035" s="34" t="str">
        <x:v>Condition</x:v>
      </x:c>
      <x:c r="F4035" s="34" t="n">
        <x:v>86</x:v>
      </x:c>
      <x:c r="G4035" s="34" t="str">
        <x:v>RECORDED</x:v>
      </x:c>
      <x:c r="H4035" s="38" t="n">
        <x:f>IF(ISNUMBER('Data'!I619),'Data'!I619*100,"")</x:f>
        <x:v>0</x:v>
      </x:c>
      <x:c r="I4035" s="34" t="str">
        <x:v>PASS</x:v>
      </x:c>
      <x:c r="J4035" s="34" t="str">
        <x:v>PASS</x:v>
      </x:c>
      <x:c r="K4035" s="34" t="str">
        <x:v>PASS</x:v>
      </x:c>
      <x:c r="L4035" s="34" t="str">
        <x:v>PASS</x:v>
      </x:c>
      <x:c r="M4035" s="34" t="str">
        <x:v>numeric coverage for applicable metric</x:v>
      </x:c>
      <x:c r="N4035" s="34" t="str">
        <x:v>Feedback-Directed Random Test Generation/Result/JxPath_17/result.json</x:v>
      </x:c>
      <x:c r="O4035" s="38" t="n">
        <x:f>IF(AND(G4035="RECORDED",ISNUMBER(H4035)),H4035,"")</x:f>
        <x:v>0</x:v>
      </x:c>
      <x:c r="P4035" s="34" t="str">
        <x:v>NOT_REVEALING</x:v>
      </x:c>
      <x:c r="Q4035" s="34" t="str">
        <x:v>Feedback-Directed Random Test Generation/Result/JxPath_17/result.json</x:v>
      </x:c>
    </x:row>
    <x:row r="4036">
      <x:c r="A4036" s="34" t="str">
        <x:v>randoop</x:v>
      </x:c>
      <x:c r="B4036" s="34" t="str">
        <x:v>JxPath</x:v>
      </x:c>
      <x:c r="C4036" s="34" t="str">
        <x:v>Round1</x:v>
      </x:c>
      <x:c r="D4036" s="34" t="str">
        <x:v>JxPath_18</x:v>
      </x:c>
      <x:c r="E4036" s="34" t="str">
        <x:v>Condition</x:v>
      </x:c>
      <x:c r="F4036" s="34" t="n">
        <x:v>14</x:v>
      </x:c>
      <x:c r="G4036" s="34" t="str">
        <x:v>RECORDED</x:v>
      </x:c>
      <x:c r="H4036" s="38" t="n">
        <x:f>IF(ISNUMBER('Data'!I620),'Data'!I620*100,"")</x:f>
        <x:v>28.57</x:v>
      </x:c>
      <x:c r="I4036" s="34" t="str">
        <x:v>PASS</x:v>
      </x:c>
      <x:c r="J4036" s="34" t="str">
        <x:v>PASS</x:v>
      </x:c>
      <x:c r="K4036" s="34" t="str">
        <x:v>PASS</x:v>
      </x:c>
      <x:c r="L4036" s="34" t="str">
        <x:v>PASS</x:v>
      </x:c>
      <x:c r="M4036" s="34" t="str">
        <x:v>numeric coverage for applicable metric</x:v>
      </x:c>
      <x:c r="N4036" s="34" t="str">
        <x:v>Feedback-Directed Random Test Generation/Result/JxPath_18/result.json</x:v>
      </x:c>
      <x:c r="O4036" s="38" t="n">
        <x:f>IF(AND(G4036="RECORDED",ISNUMBER(H4036)),H4036,"")</x:f>
        <x:v>28.57</x:v>
      </x:c>
      <x:c r="P4036" s="34" t="str">
        <x:v>NOT_REVEALING</x:v>
      </x:c>
      <x:c r="Q4036" s="34" t="str">
        <x:v>Feedback-Directed Random Test Generation/Result/JxPath_18/result.json</x:v>
      </x:c>
    </x:row>
    <x:row r="4037">
      <x:c r="A4037" s="34" t="str">
        <x:v>randoop</x:v>
      </x:c>
      <x:c r="B4037" s="34" t="str">
        <x:v>JxPath</x:v>
      </x:c>
      <x:c r="C4037" s="34" t="str">
        <x:v>Round1</x:v>
      </x:c>
      <x:c r="D4037" s="34" t="str">
        <x:v>JxPath_19</x:v>
      </x:c>
      <x:c r="E4037" s="34" t="str">
        <x:v>Condition</x:v>
      </x:c>
      <x:c r="F4037" s="34" t="n">
        <x:v>561</x:v>
      </x:c>
      <x:c r="G4037" s="34" t="str">
        <x:v>RECORDED</x:v>
      </x:c>
      <x:c r="H4037" s="38" t="n">
        <x:f>IF(ISNUMBER('Data'!I621),'Data'!I621*100,"")</x:f>
        <x:v>4.28</x:v>
      </x:c>
      <x:c r="I4037" s="34" t="str">
        <x:v>PASS</x:v>
      </x:c>
      <x:c r="J4037" s="34" t="str">
        <x:v>PASS</x:v>
      </x:c>
      <x:c r="K4037" s="34" t="str">
        <x:v>PASS</x:v>
      </x:c>
      <x:c r="L4037" s="34" t="str">
        <x:v>PASS</x:v>
      </x:c>
      <x:c r="M4037" s="34" t="str">
        <x:v>numeric coverage for applicable metric</x:v>
      </x:c>
      <x:c r="N4037" s="34" t="str">
        <x:v>Feedback-Directed Random Test Generation/Result/JxPath_19/result.json</x:v>
      </x:c>
      <x:c r="O4037" s="38" t="n">
        <x:f>IF(AND(G4037="RECORDED",ISNUMBER(H4037)),H4037,"")</x:f>
        <x:v>4.28</x:v>
      </x:c>
      <x:c r="P4037" s="34" t="str">
        <x:v>NOT_REVEALING</x:v>
      </x:c>
      <x:c r="Q4037" s="34" t="str">
        <x:v>Feedback-Directed Random Test Generation/Result/JxPath_19/result.json</x:v>
      </x:c>
    </x:row>
    <x:row r="4038">
      <x:c r="A4038" s="34" t="str">
        <x:v>randoop</x:v>
      </x:c>
      <x:c r="B4038" s="34" t="str">
        <x:v>JxPath</x:v>
      </x:c>
      <x:c r="C4038" s="34" t="str">
        <x:v>Round1</x:v>
      </x:c>
      <x:c r="D4038" s="34" t="str">
        <x:v>JxPath_20</x:v>
      </x:c>
      <x:c r="E4038" s="34" t="str">
        <x:v>Condition</x:v>
      </x:c>
      <x:c r="F4038" s="34" t="n">
        <x:v>36</x:v>
      </x:c>
      <x:c r="G4038" s="34" t="str">
        <x:v>RECORDED</x:v>
      </x:c>
      <x:c r="H4038" s="38" t="n">
        <x:f>IF(ISNUMBER('Data'!I622),'Data'!I622*100,"")</x:f>
        <x:v>0</x:v>
      </x:c>
      <x:c r="I4038" s="34" t="str">
        <x:v>PASS</x:v>
      </x:c>
      <x:c r="J4038" s="34" t="str">
        <x:v>PASS</x:v>
      </x:c>
      <x:c r="K4038" s="34" t="str">
        <x:v>PASS</x:v>
      </x:c>
      <x:c r="L4038" s="34" t="str">
        <x:v>PASS</x:v>
      </x:c>
      <x:c r="M4038" s="34" t="str">
        <x:v>numeric coverage for applicable metric</x:v>
      </x:c>
      <x:c r="N4038" s="34" t="str">
        <x:v>Feedback-Directed Random Test Generation/Result/JxPath_20/result.json</x:v>
      </x:c>
      <x:c r="O4038" s="38" t="n">
        <x:f>IF(AND(G4038="RECORDED",ISNUMBER(H4038)),H4038,"")</x:f>
        <x:v>0</x:v>
      </x:c>
      <x:c r="P4038" s="34" t="str">
        <x:v>NOT_REVEALING</x:v>
      </x:c>
      <x:c r="Q4038" s="34" t="str">
        <x:v>Feedback-Directed Random Test Generation/Result/JxPath_20/result.json</x:v>
      </x:c>
    </x:row>
    <x:row r="4039">
      <x:c r="A4039" s="34" t="str">
        <x:v>randoop</x:v>
      </x:c>
      <x:c r="B4039" s="34" t="str">
        <x:v>JxPath</x:v>
      </x:c>
      <x:c r="C4039" s="34" t="str">
        <x:v>Round1</x:v>
      </x:c>
      <x:c r="D4039" s="34" t="str">
        <x:v>JxPath_21</x:v>
      </x:c>
      <x:c r="E4039" s="34" t="str">
        <x:v>Condition</x:v>
      </x:c>
      <x:c r="F4039" s="34" t="n">
        <x:v>52</x:v>
      </x:c>
      <x:c r="G4039" s="34" t="str">
        <x:v>RECORDED</x:v>
      </x:c>
      <x:c r="H4039" s="38" t="n">
        <x:f>IF(ISNUMBER('Data'!I623),'Data'!I623*100,"")</x:f>
        <x:v>0</x:v>
      </x:c>
      <x:c r="I4039" s="34" t="str">
        <x:v>PASS</x:v>
      </x:c>
      <x:c r="J4039" s="34" t="str">
        <x:v>PASS</x:v>
      </x:c>
      <x:c r="K4039" s="34" t="str">
        <x:v>PASS</x:v>
      </x:c>
      <x:c r="L4039" s="34" t="str">
        <x:v>PASS</x:v>
      </x:c>
      <x:c r="M4039" s="34" t="str">
        <x:v>numeric coverage for applicable metric</x:v>
      </x:c>
      <x:c r="N4039" s="34" t="str">
        <x:v>Feedback-Directed Random Test Generation/Result/JxPath_21/result.json</x:v>
      </x:c>
      <x:c r="O4039" s="38" t="n">
        <x:f>IF(AND(G4039="RECORDED",ISNUMBER(H4039)),H4039,"")</x:f>
        <x:v>0</x:v>
      </x:c>
      <x:c r="P4039" s="34" t="str">
        <x:v>NOT_REVEALING</x:v>
      </x:c>
      <x:c r="Q4039" s="34" t="str">
        <x:v>Feedback-Directed Random Test Generation/Result/JxPath_21/result.json</x:v>
      </x:c>
    </x:row>
    <x:row r="4040">
      <x:c r="A4040" s="34" t="str">
        <x:v>randoop</x:v>
      </x:c>
      <x:c r="B4040" s="34" t="str">
        <x:v>JxPath</x:v>
      </x:c>
      <x:c r="C4040" s="34" t="str">
        <x:v>Round1</x:v>
      </x:c>
      <x:c r="D4040" s="34" t="str">
        <x:v>JxPath_22</x:v>
      </x:c>
      <x:c r="E4040" s="34" t="str">
        <x:v>Condition</x:v>
      </x:c>
      <x:c r="F4040" s="34" t="n">
        <x:v>274</x:v>
      </x:c>
      <x:c r="G4040" s="34" t="str">
        <x:v>RECORDED</x:v>
      </x:c>
      <x:c r="H4040" s="38" t="n">
        <x:f>IF(ISNUMBER('Data'!I624),'Data'!I624*100,"")</x:f>
        <x:v>2.92</x:v>
      </x:c>
      <x:c r="I4040" s="34" t="str">
        <x:v>PASS</x:v>
      </x:c>
      <x:c r="J4040" s="34" t="str">
        <x:v>PASS</x:v>
      </x:c>
      <x:c r="K4040" s="34" t="str">
        <x:v>PASS</x:v>
      </x:c>
      <x:c r="L4040" s="34" t="str">
        <x:v>PASS</x:v>
      </x:c>
      <x:c r="M4040" s="34" t="str">
        <x:v>numeric coverage for applicable metric</x:v>
      </x:c>
      <x:c r="N4040" s="34" t="str">
        <x:v>Feedback-Directed Random Test Generation/Result/JxPath_22/result.json</x:v>
      </x:c>
      <x:c r="O4040" s="38" t="n">
        <x:f>IF(AND(G4040="RECORDED",ISNUMBER(H4040)),H4040,"")</x:f>
        <x:v>2.92</x:v>
      </x:c>
      <x:c r="P4040" s="34" t="str">
        <x:v>NOT_REVEALING</x:v>
      </x:c>
      <x:c r="Q4040" s="34" t="str">
        <x:v>Feedback-Directed Random Test Generation/Result/JxPath_22/result.json</x:v>
      </x:c>
    </x:row>
    <x:row r="4041">
      <x:c r="A4041" s="34" t="str">
        <x:v>randoop</x:v>
      </x:c>
      <x:c r="B4041" s="34" t="str">
        <x:v>Lang</x:v>
      </x:c>
      <x:c r="C4041" s="34" t="str">
        <x:v>Round1</x:v>
      </x:c>
      <x:c r="D4041" s="34" t="str">
        <x:v>Lang_1</x:v>
      </x:c>
      <x:c r="E4041" s="34" t="str">
        <x:v>Condition</x:v>
      </x:c>
      <x:c r="F4041" s="34" t="n">
        <x:v>338</x:v>
      </x:c>
      <x:c r="G4041" s="34" t="str">
        <x:v>RECORDED</x:v>
      </x:c>
      <x:c r="H4041" s="38" t="n">
        <x:f>IF(ISNUMBER('Data'!I625),'Data'!I625*100,"")</x:f>
        <x:v>42.01</x:v>
      </x:c>
      <x:c r="I4041" s="34" t="str">
        <x:v>PASS</x:v>
      </x:c>
      <x:c r="J4041" s="34" t="str">
        <x:v>PASS</x:v>
      </x:c>
      <x:c r="K4041" s="34" t="str">
        <x:v>PASS</x:v>
      </x:c>
      <x:c r="L4041" s="34" t="str">
        <x:v>PASS</x:v>
      </x:c>
      <x:c r="M4041" s="34" t="str">
        <x:v>numeric coverage for applicable metric</x:v>
      </x:c>
      <x:c r="N4041" s="34" t="str">
        <x:v>Feedback-Directed Random Test Generation/Result/Lang_1/result.json</x:v>
      </x:c>
      <x:c r="O4041" s="38" t="n">
        <x:f>IF(AND(G4041="RECORDED",ISNUMBER(H4041)),H4041,"")</x:f>
        <x:v>42.01</x:v>
      </x:c>
      <x:c r="P4041" s="34" t="str">
        <x:v>NOT_REVEALING</x:v>
      </x:c>
      <x:c r="Q4041" s="34" t="str">
        <x:v>Feedback-Directed Random Test Generation/Result/Lang_1/result.json</x:v>
      </x:c>
    </x:row>
    <x:row r="4042">
      <x:c r="A4042" s="34" t="str">
        <x:v>randoop</x:v>
      </x:c>
      <x:c r="B4042" s="34" t="str">
        <x:v>Lang</x:v>
      </x:c>
      <x:c r="C4042" s="34" t="str">
        <x:v>Round1</x:v>
      </x:c>
      <x:c r="D4042" s="34" t="str">
        <x:v>Lang_3</x:v>
      </x:c>
      <x:c r="E4042" s="34" t="str">
        <x:v>Condition</x:v>
      </x:c>
      <x:c r="F4042" s="34" t="n">
        <x:v>334</x:v>
      </x:c>
      <x:c r="G4042" s="34" t="str">
        <x:v>RECORDED</x:v>
      </x:c>
      <x:c r="H4042" s="38" t="n">
        <x:f>IF(ISNUMBER('Data'!I626),'Data'!I626*100,"")</x:f>
        <x:v>42.51</x:v>
      </x:c>
      <x:c r="I4042" s="34" t="str">
        <x:v>PASS</x:v>
      </x:c>
      <x:c r="J4042" s="34" t="str">
        <x:v>PASS</x:v>
      </x:c>
      <x:c r="K4042" s="34" t="str">
        <x:v>PASS</x:v>
      </x:c>
      <x:c r="L4042" s="34" t="str">
        <x:v>PASS</x:v>
      </x:c>
      <x:c r="M4042" s="34" t="str">
        <x:v>numeric coverage for applicable metric</x:v>
      </x:c>
      <x:c r="N4042" s="34" t="str">
        <x:v>Feedback-Directed Random Test Generation/Result/Lang_3/result.json</x:v>
      </x:c>
      <x:c r="O4042" s="38" t="n">
        <x:f>IF(AND(G4042="RECORDED",ISNUMBER(H4042)),H4042,"")</x:f>
        <x:v>42.51</x:v>
      </x:c>
      <x:c r="P4042" s="34" t="str">
        <x:v>NOT_REVEALING</x:v>
      </x:c>
      <x:c r="Q4042" s="34" t="str">
        <x:v>Feedback-Directed Random Test Generation/Result/Lang_3/result.json</x:v>
      </x:c>
    </x:row>
    <x:row r="4043">
      <x:c r="A4043" s="34" t="str">
        <x:v>randoop</x:v>
      </x:c>
      <x:c r="B4043" s="34" t="str">
        <x:v>Lang</x:v>
      </x:c>
      <x:c r="C4043" s="34" t="str">
        <x:v>Round1</x:v>
      </x:c>
      <x:c r="D4043" s="34" t="str">
        <x:v>Lang_4</x:v>
      </x:c>
      <x:c r="E4043" s="34" t="str">
        <x:v>Condition</x:v>
      </x:c>
      <x:c r="F4043" s="34" t="n">
        <x:v>14</x:v>
      </x:c>
      <x:c r="G4043" s="34" t="str">
        <x:v>RECORDED</x:v>
      </x:c>
      <x:c r="H4043" s="38" t="n">
        <x:f>IF(ISNUMBER('Data'!I627),'Data'!I627*100,"")</x:f>
        <x:v>100</x:v>
      </x:c>
      <x:c r="I4043" s="34" t="str">
        <x:v>PASS</x:v>
      </x:c>
      <x:c r="J4043" s="34" t="str">
        <x:v>PASS</x:v>
      </x:c>
      <x:c r="K4043" s="34" t="str">
        <x:v>PASS</x:v>
      </x:c>
      <x:c r="L4043" s="34" t="str">
        <x:v>PASS</x:v>
      </x:c>
      <x:c r="M4043" s="34" t="str">
        <x:v>numeric coverage for applicable metric</x:v>
      </x:c>
      <x:c r="N4043" s="34" t="str">
        <x:v>Feedback-Directed Random Test Generation/Result/Lang_4/result.json</x:v>
      </x:c>
      <x:c r="O4043" s="38" t="n">
        <x:f>IF(AND(G4043="RECORDED",ISNUMBER(H4043)),H4043,"")</x:f>
        <x:v>100</x:v>
      </x:c>
      <x:c r="P4043" s="34" t="str">
        <x:v>NOT_REVEALING</x:v>
      </x:c>
      <x:c r="Q4043" s="34" t="str">
        <x:v>Feedback-Directed Random Test Generation/Result/Lang_4/result.json</x:v>
      </x:c>
    </x:row>
    <x:row r="4044">
      <x:c r="A4044" s="34" t="str">
        <x:v>randoop</x:v>
      </x:c>
      <x:c r="B4044" s="34" t="str">
        <x:v>Lang</x:v>
      </x:c>
      <x:c r="C4044" s="34" t="str">
        <x:v>Round1</x:v>
      </x:c>
      <x:c r="D4044" s="34" t="str">
        <x:v>Lang_5</x:v>
      </x:c>
      <x:c r="E4044" s="34" t="str">
        <x:v>Condition</x:v>
      </x:c>
      <x:c r="F4044" s="34" t="n">
        <x:v>56</x:v>
      </x:c>
      <x:c r="G4044" s="34" t="str">
        <x:v>RECORDED</x:v>
      </x:c>
      <x:c r="H4044" s="38" t="n">
        <x:f>IF(ISNUMBER('Data'!I628),'Data'!I628*100,"")</x:f>
        <x:v>42.86</x:v>
      </x:c>
      <x:c r="I4044" s="34" t="str">
        <x:v>PASS</x:v>
      </x:c>
      <x:c r="J4044" s="34" t="str">
        <x:v>PASS</x:v>
      </x:c>
      <x:c r="K4044" s="34" t="str">
        <x:v>PASS</x:v>
      </x:c>
      <x:c r="L4044" s="34" t="str">
        <x:v>PASS</x:v>
      </x:c>
      <x:c r="M4044" s="34" t="str">
        <x:v>numeric coverage for applicable metric</x:v>
      </x:c>
      <x:c r="N4044" s="34" t="str">
        <x:v>Feedback-Directed Random Test Generation/Result/Lang_5/result.json</x:v>
      </x:c>
      <x:c r="O4044" s="38" t="n">
        <x:f>IF(AND(G4044="RECORDED",ISNUMBER(H4044)),H4044,"")</x:f>
        <x:v>42.86</x:v>
      </x:c>
      <x:c r="P4044" s="34" t="str">
        <x:v>NOT_REVEALING</x:v>
      </x:c>
      <x:c r="Q4044" s="34" t="str">
        <x:v>Feedback-Directed Random Test Generation/Result/Lang_5/result.json</x:v>
      </x:c>
    </x:row>
    <x:row r="4045">
      <x:c r="A4045" s="34" t="str">
        <x:v>randoop</x:v>
      </x:c>
      <x:c r="B4045" s="34" t="str">
        <x:v>Lang</x:v>
      </x:c>
      <x:c r="C4045" s="34" t="str">
        <x:v>Round1</x:v>
      </x:c>
      <x:c r="D4045" s="34" t="str">
        <x:v>Lang_6</x:v>
      </x:c>
      <x:c r="E4045" s="34" t="str">
        <x:v>Condition</x:v>
      </x:c>
      <x:c r="F4045" s="34" t="n">
        <x:v>12</x:v>
      </x:c>
      <x:c r="G4045" s="34" t="str">
        <x:v>RECORDED</x:v>
      </x:c>
      <x:c r="H4045" s="38" t="n">
        <x:f>IF(ISNUMBER('Data'!I629),'Data'!I629*100,"")</x:f>
        <x:v>0</x:v>
      </x:c>
      <x:c r="I4045" s="34" t="str">
        <x:v>PASS</x:v>
      </x:c>
      <x:c r="J4045" s="34" t="str">
        <x:v>PASS</x:v>
      </x:c>
      <x:c r="K4045" s="34" t="str">
        <x:v>PASS</x:v>
      </x:c>
      <x:c r="L4045" s="34" t="str">
        <x:v>PASS</x:v>
      </x:c>
      <x:c r="M4045" s="34" t="str">
        <x:v>numeric coverage for applicable metric</x:v>
      </x:c>
      <x:c r="N4045" s="34" t="str">
        <x:v>Feedback-Directed Random Test Generation/Result/Lang_6/result.json</x:v>
      </x:c>
      <x:c r="O4045" s="38" t="n">
        <x:f>IF(AND(G4045="RECORDED",ISNUMBER(H4045)),H4045,"")</x:f>
        <x:v>0</x:v>
      </x:c>
      <x:c r="P4045" s="34" t="str">
        <x:v>NOT_REVEALING</x:v>
      </x:c>
      <x:c r="Q4045" s="34" t="str">
        <x:v>Feedback-Directed Random Test Generation/Result/Lang_6/result.json</x:v>
      </x:c>
    </x:row>
    <x:row r="4046">
      <x:c r="A4046" s="34" t="str">
        <x:v>randoop</x:v>
      </x:c>
      <x:c r="B4046" s="34" t="str">
        <x:v>Lang</x:v>
      </x:c>
      <x:c r="C4046" s="34" t="str">
        <x:v>Round1</x:v>
      </x:c>
      <x:c r="D4046" s="34" t="str">
        <x:v>Lang_7</x:v>
      </x:c>
      <x:c r="E4046" s="34" t="str">
        <x:v>Condition</x:v>
      </x:c>
      <x:c r="F4046" s="34" t="n">
        <x:v>366</x:v>
      </x:c>
      <x:c r="G4046" s="34" t="str">
        <x:v>RECORDED</x:v>
      </x:c>
      <x:c r="H4046" s="38" t="n">
        <x:f>IF(ISNUMBER('Data'!I630),'Data'!I630*100,"")</x:f>
        <x:v>48.36</x:v>
      </x:c>
      <x:c r="I4046" s="34" t="str">
        <x:v>PASS</x:v>
      </x:c>
      <x:c r="J4046" s="34" t="str">
        <x:v>PASS</x:v>
      </x:c>
      <x:c r="K4046" s="34" t="str">
        <x:v>PASS</x:v>
      </x:c>
      <x:c r="L4046" s="34" t="str">
        <x:v>PASS</x:v>
      </x:c>
      <x:c r="M4046" s="34" t="str">
        <x:v>numeric coverage for applicable metric</x:v>
      </x:c>
      <x:c r="N4046" s="34" t="str">
        <x:v>Feedback-Directed Random Test Generation/Result/Lang_7/result.json</x:v>
      </x:c>
      <x:c r="O4046" s="38" t="n">
        <x:f>IF(AND(G4046="RECORDED",ISNUMBER(H4046)),H4046,"")</x:f>
        <x:v>48.36</x:v>
      </x:c>
      <x:c r="P4046" s="34" t="str">
        <x:v>NOT_REVEALING</x:v>
      </x:c>
      <x:c r="Q4046" s="34" t="str">
        <x:v>Feedback-Directed Random Test Generation/Result/Lang_7/result.json</x:v>
      </x:c>
    </x:row>
    <x:row r="4047">
      <x:c r="A4047" s="34" t="str">
        <x:v>randoop</x:v>
      </x:c>
      <x:c r="B4047" s="34" t="str">
        <x:v>Lang</x:v>
      </x:c>
      <x:c r="C4047" s="34" t="str">
        <x:v>Round1</x:v>
      </x:c>
      <x:c r="D4047" s="34" t="str">
        <x:v>Lang_8</x:v>
      </x:c>
      <x:c r="E4047" s="34" t="str">
        <x:v>Condition</x:v>
      </x:c>
      <x:c r="F4047" s="34" t="n">
        <x:v>150</x:v>
      </x:c>
      <x:c r="G4047" s="34" t="str">
        <x:v>RECORDED</x:v>
      </x:c>
      <x:c r="H4047" s="38" t="n">
        <x:f>IF(ISNUMBER('Data'!I631),'Data'!I631*100,"")</x:f>
        <x:v>1.33</x:v>
      </x:c>
      <x:c r="I4047" s="34" t="str">
        <x:v>PASS</x:v>
      </x:c>
      <x:c r="J4047" s="34" t="str">
        <x:v>PASS</x:v>
      </x:c>
      <x:c r="K4047" s="34" t="str">
        <x:v>PASS</x:v>
      </x:c>
      <x:c r="L4047" s="34" t="str">
        <x:v>PASS</x:v>
      </x:c>
      <x:c r="M4047" s="34" t="str">
        <x:v>numeric coverage for applicable metric</x:v>
      </x:c>
      <x:c r="N4047" s="34" t="str">
        <x:v>Feedback-Directed Random Test Generation/Result/Lang_8/result.json</x:v>
      </x:c>
      <x:c r="O4047" s="38" t="n">
        <x:f>IF(AND(G4047="RECORDED",ISNUMBER(H4047)),H4047,"")</x:f>
        <x:v>1.33</x:v>
      </x:c>
      <x:c r="P4047" s="34" t="str">
        <x:v>NOT_REVEALING</x:v>
      </x:c>
      <x:c r="Q4047" s="34" t="str">
        <x:v>Feedback-Directed Random Test Generation/Result/Lang_8/result.json</x:v>
      </x:c>
    </x:row>
    <x:row r="4048">
      <x:c r="A4048" s="34" t="str">
        <x:v>randoop</x:v>
      </x:c>
      <x:c r="B4048" s="34" t="str">
        <x:v>Lang</x:v>
      </x:c>
      <x:c r="C4048" s="34" t="str">
        <x:v>Round1</x:v>
      </x:c>
      <x:c r="D4048" s="34" t="str">
        <x:v>Lang_9</x:v>
      </x:c>
      <x:c r="E4048" s="34" t="str">
        <x:v>Condition</x:v>
      </x:c>
      <x:c r="F4048" s="34" t="n">
        <x:v>123</x:v>
      </x:c>
      <x:c r="G4048" s="34" t="str">
        <x:v>RECORDED</x:v>
      </x:c>
      <x:c r="H4048" s="38" t="n">
        <x:f>IF(ISNUMBER('Data'!I632),'Data'!I632*100,"")</x:f>
        <x:v>0</x:v>
      </x:c>
      <x:c r="I4048" s="34" t="str">
        <x:v>PASS</x:v>
      </x:c>
      <x:c r="J4048" s="34" t="str">
        <x:v>PASS</x:v>
      </x:c>
      <x:c r="K4048" s="34" t="str">
        <x:v>PASS</x:v>
      </x:c>
      <x:c r="L4048" s="34" t="str">
        <x:v>PASS</x:v>
      </x:c>
      <x:c r="M4048" s="34" t="str">
        <x:v>numeric coverage for applicable metric</x:v>
      </x:c>
      <x:c r="N4048" s="34" t="str">
        <x:v>Feedback-Directed Random Test Generation/Result/Lang_9/result.json</x:v>
      </x:c>
      <x:c r="O4048" s="38" t="n">
        <x:f>IF(AND(G4048="RECORDED",ISNUMBER(H4048)),H4048,"")</x:f>
        <x:v>0</x:v>
      </x:c>
      <x:c r="P4048" s="34" t="str">
        <x:v>NOT_REVEALING</x:v>
      </x:c>
      <x:c r="Q4048" s="34" t="str">
        <x:v>Feedback-Directed Random Test Generation/Result/Lang_9/result.json</x:v>
      </x:c>
    </x:row>
    <x:row r="4049">
      <x:c r="A4049" s="34" t="str">
        <x:v>randoop</x:v>
      </x:c>
      <x:c r="B4049" s="34" t="str">
        <x:v>Lang</x:v>
      </x:c>
      <x:c r="C4049" s="34" t="str">
        <x:v>Round1</x:v>
      </x:c>
      <x:c r="D4049" s="34" t="str">
        <x:v>Lang_10</x:v>
      </x:c>
      <x:c r="E4049" s="34" t="str">
        <x:v>Condition</x:v>
      </x:c>
      <x:c r="F4049" s="34" t="n">
        <x:v>127</x:v>
      </x:c>
      <x:c r="G4049" s="34" t="str">
        <x:v>RECORDED</x:v>
      </x:c>
      <x:c r="H4049" s="38" t="n">
        <x:f>IF(ISNUMBER('Data'!I633),'Data'!I633*100,"")</x:f>
        <x:v>0</x:v>
      </x:c>
      <x:c r="I4049" s="34" t="str">
        <x:v>PASS</x:v>
      </x:c>
      <x:c r="J4049" s="34" t="str">
        <x:v>PASS</x:v>
      </x:c>
      <x:c r="K4049" s="34" t="str">
        <x:v>PASS</x:v>
      </x:c>
      <x:c r="L4049" s="34" t="str">
        <x:v>PASS</x:v>
      </x:c>
      <x:c r="M4049" s="34" t="str">
        <x:v>numeric coverage for applicable metric</x:v>
      </x:c>
      <x:c r="N4049" s="34" t="str">
        <x:v>Feedback-Directed Random Test Generation/Result/Lang_10/result.json</x:v>
      </x:c>
      <x:c r="O4049" s="38" t="n">
        <x:f>IF(AND(G4049="RECORDED",ISNUMBER(H4049)),H4049,"")</x:f>
        <x:v>0</x:v>
      </x:c>
      <x:c r="P4049" s="34" t="str">
        <x:v>NOT_REVEALING</x:v>
      </x:c>
      <x:c r="Q4049" s="34" t="str">
        <x:v>Feedback-Directed Random Test Generation/Result/Lang_10/result.json</x:v>
      </x:c>
    </x:row>
    <x:row r="4050">
      <x:c r="A4050" s="34" t="str">
        <x:v>randoop</x:v>
      </x:c>
      <x:c r="B4050" s="34" t="str">
        <x:v>Lang</x:v>
      </x:c>
      <x:c r="C4050" s="34" t="str">
        <x:v>Round1</x:v>
      </x:c>
      <x:c r="D4050" s="34" t="str">
        <x:v>Lang_11</x:v>
      </x:c>
      <x:c r="E4050" s="34" t="str">
        <x:v>Condition</x:v>
      </x:c>
      <x:c r="F4050" s="34" t="n">
        <x:v>0</x:v>
      </x:c>
      <x:c r="G4050" s="34" t="str">
        <x:v>A</x:v>
      </x:c>
      <x:c r="H4050" s="38" t="str">
        <x:f>IF(ISNUMBER('Data'!I634),'Data'!I634*100,"")</x:f>
      </x:c>
      <x:c r="I4050" s="34"/>
      <x:c r="J4050" s="34"/>
      <x:c r="K4050" s="34"/>
      <x:c r="L4050" s="34" t="str">
        <x:v>NOT_RUN</x:v>
      </x:c>
      <x:c r="M4050" s="34" t="str">
        <x:v>Latest same-round generation failed; older files/results are excluded</x:v>
      </x:c>
      <x:c r="N4050" s="34" t="str">
        <x:v>Feedback-Directed Random Test Generation/report.csv</x:v>
      </x:c>
      <x:c r="O4050" s="38" t="str">
        <x:f>IF(AND(G4050="RECORDED",ISNUMBER(H4050)),H4050,"")</x:f>
      </x:c>
      <x:c r="P4050" s="34" t="str">
        <x:v>FAIL</x:v>
      </x:c>
      <x:c r="Q4050" s="34"/>
    </x:row>
    <x:row r="4051">
      <x:c r="A4051" s="34" t="str">
        <x:v>randoop</x:v>
      </x:c>
      <x:c r="B4051" s="34" t="str">
        <x:v>Lang</x:v>
      </x:c>
      <x:c r="C4051" s="34" t="str">
        <x:v>Round1</x:v>
      </x:c>
      <x:c r="D4051" s="34" t="str">
        <x:v>Lang_12</x:v>
      </x:c>
      <x:c r="E4051" s="34" t="str">
        <x:v>Condition</x:v>
      </x:c>
      <x:c r="F4051" s="34" t="n">
        <x:v>0</x:v>
      </x:c>
      <x:c r="G4051" s="34" t="str">
        <x:v>A</x:v>
      </x:c>
      <x:c r="H4051" s="38" t="str">
        <x:f>IF(ISNUMBER('Data'!I635),'Data'!I635*100,"")</x:f>
      </x:c>
      <x:c r="I4051" s="34"/>
      <x:c r="J4051" s="34"/>
      <x:c r="K4051" s="34"/>
      <x:c r="L4051" s="34" t="str">
        <x:v>NOT_RUN</x:v>
      </x:c>
      <x:c r="M4051" s="34" t="str">
        <x:v>Latest same-round generation failed; older files/results are excluded</x:v>
      </x:c>
      <x:c r="N4051" s="34" t="str">
        <x:v>Feedback-Directed Random Test Generation/report.csv</x:v>
      </x:c>
      <x:c r="O4051" s="38" t="str">
        <x:f>IF(AND(G4051="RECORDED",ISNUMBER(H4051)),H4051,"")</x:f>
      </x:c>
      <x:c r="P4051" s="34" t="str">
        <x:v>FAIL</x:v>
      </x:c>
      <x:c r="Q4051" s="34"/>
    </x:row>
    <x:row r="4052">
      <x:c r="A4052" s="34" t="str">
        <x:v>randoop</x:v>
      </x:c>
      <x:c r="B4052" s="34" t="str">
        <x:v>Lang</x:v>
      </x:c>
      <x:c r="C4052" s="34" t="str">
        <x:v>Round1</x:v>
      </x:c>
      <x:c r="D4052" s="34" t="str">
        <x:v>Lang_13</x:v>
      </x:c>
      <x:c r="E4052" s="34" t="str">
        <x:v>Condition</x:v>
      </x:c>
      <x:c r="F4052" s="34" t="n">
        <x:v>14</x:v>
      </x:c>
      <x:c r="G4052" s="34" t="str">
        <x:v>RECORDED</x:v>
      </x:c>
      <x:c r="H4052" s="38" t="n">
        <x:f>IF(ISNUMBER('Data'!I636),'Data'!I636*100,"")</x:f>
        <x:v>85.71</x:v>
      </x:c>
      <x:c r="I4052" s="34" t="str">
        <x:v>PASS</x:v>
      </x:c>
      <x:c r="J4052" s="34" t="str">
        <x:v>PASS</x:v>
      </x:c>
      <x:c r="K4052" s="34" t="str">
        <x:v>PASS</x:v>
      </x:c>
      <x:c r="L4052" s="34" t="str">
        <x:v>PASS</x:v>
      </x:c>
      <x:c r="M4052" s="34" t="str">
        <x:v>numeric coverage for applicable metric</x:v>
      </x:c>
      <x:c r="N4052" s="34" t="str">
        <x:v>Feedback-Directed Random Test Generation/Result/Lang_13/result.json</x:v>
      </x:c>
      <x:c r="O4052" s="38" t="n">
        <x:f>IF(AND(G4052="RECORDED",ISNUMBER(H4052)),H4052,"")</x:f>
        <x:v>85.71</x:v>
      </x:c>
      <x:c r="P4052" s="34" t="str">
        <x:v>NOT_REVEALING</x:v>
      </x:c>
      <x:c r="Q4052" s="34" t="str">
        <x:v>Feedback-Directed Random Test Generation/Result/Lang_13/result.json</x:v>
      </x:c>
    </x:row>
    <x:row r="4053">
      <x:c r="A4053" s="34" t="str">
        <x:v>randoop</x:v>
      </x:c>
      <x:c r="B4053" s="34" t="str">
        <x:v>Lang</x:v>
      </x:c>
      <x:c r="C4053" s="34" t="str">
        <x:v>Round1</x:v>
      </x:c>
      <x:c r="D4053" s="34" t="str">
        <x:v>Lang_14</x:v>
      </x:c>
      <x:c r="E4053" s="34" t="str">
        <x:v>Condition</x:v>
      </x:c>
      <x:c r="F4053" s="34" t="n">
        <x:v>1141</x:v>
      </x:c>
      <x:c r="G4053" s="34" t="str">
        <x:v>RECORDED</x:v>
      </x:c>
      <x:c r="H4053" s="38" t="n">
        <x:f>IF(ISNUMBER('Data'!I637),'Data'!I637*100,"")</x:f>
        <x:v>83.52</x:v>
      </x:c>
      <x:c r="I4053" s="34" t="str">
        <x:v>PASS</x:v>
      </x:c>
      <x:c r="J4053" s="34" t="str">
        <x:v>PASS</x:v>
      </x:c>
      <x:c r="K4053" s="34" t="str">
        <x:v>PASS</x:v>
      </x:c>
      <x:c r="L4053" s="34" t="str">
        <x:v>PASS</x:v>
      </x:c>
      <x:c r="M4053" s="34" t="str">
        <x:v>numeric coverage for applicable metric</x:v>
      </x:c>
      <x:c r="N4053" s="34" t="str">
        <x:v>Feedback-Directed Random Test Generation/Result/Lang_14/result.json</x:v>
      </x:c>
      <x:c r="O4053" s="38" t="n">
        <x:f>IF(AND(G4053="RECORDED",ISNUMBER(H4053)),H4053,"")</x:f>
        <x:v>83.52</x:v>
      </x:c>
      <x:c r="P4053" s="34" t="str">
        <x:v>NOT_REVEALING</x:v>
      </x:c>
      <x:c r="Q4053" s="34" t="str">
        <x:v>Feedback-Directed Random Test Generation/Result/Lang_14/result.json</x:v>
      </x:c>
    </x:row>
    <x:row r="4054">
      <x:c r="A4054" s="34" t="str">
        <x:v>randoop</x:v>
      </x:c>
      <x:c r="B4054" s="34" t="str">
        <x:v>Lang</x:v>
      </x:c>
      <x:c r="C4054" s="34" t="str">
        <x:v>Round1</x:v>
      </x:c>
      <x:c r="D4054" s="34" t="str">
        <x:v>Lang_15</x:v>
      </x:c>
      <x:c r="E4054" s="34" t="str">
        <x:v>Condition</x:v>
      </x:c>
      <x:c r="F4054" s="34" t="n">
        <x:v>284</x:v>
      </x:c>
      <x:c r="G4054" s="34" t="str">
        <x:v>RECORDED</x:v>
      </x:c>
      <x:c r="H4054" s="38" t="n">
        <x:f>IF(ISNUMBER('Data'!I638),'Data'!I638*100,"")</x:f>
        <x:v>15.14</x:v>
      </x:c>
      <x:c r="I4054" s="34" t="str">
        <x:v>PASS</x:v>
      </x:c>
      <x:c r="J4054" s="34" t="str">
        <x:v>PASS</x:v>
      </x:c>
      <x:c r="K4054" s="34" t="str">
        <x:v>PASS</x:v>
      </x:c>
      <x:c r="L4054" s="34" t="str">
        <x:v>PASS</x:v>
      </x:c>
      <x:c r="M4054" s="34" t="str">
        <x:v>numeric coverage for applicable metric</x:v>
      </x:c>
      <x:c r="N4054" s="34" t="str">
        <x:v>Feedback-Directed Random Test Generation/Result/Lang_15/result.json</x:v>
      </x:c>
      <x:c r="O4054" s="38" t="n">
        <x:f>IF(AND(G4054="RECORDED",ISNUMBER(H4054)),H4054,"")</x:f>
        <x:v>15.14</x:v>
      </x:c>
      <x:c r="P4054" s="34" t="str">
        <x:v>NOT_REVEALING</x:v>
      </x:c>
      <x:c r="Q4054" s="34" t="str">
        <x:v>Feedback-Directed Random Test Generation/Result/Lang_15/result.json</x:v>
      </x:c>
    </x:row>
    <x:row r="4055">
      <x:c r="A4055" s="34" t="str">
        <x:v>randoop</x:v>
      </x:c>
      <x:c r="B4055" s="34" t="str">
        <x:v>Lang</x:v>
      </x:c>
      <x:c r="C4055" s="34" t="str">
        <x:v>Round1</x:v>
      </x:c>
      <x:c r="D4055" s="34" t="str">
        <x:v>Lang_16</x:v>
      </x:c>
      <x:c r="E4055" s="34" t="str">
        <x:v>Condition</x:v>
      </x:c>
      <x:c r="F4055" s="34" t="n">
        <x:v>358</x:v>
      </x:c>
      <x:c r="G4055" s="34" t="str">
        <x:v>RECORDED</x:v>
      </x:c>
      <x:c r="H4055" s="38" t="n">
        <x:f>IF(ISNUMBER('Data'!I639),'Data'!I639*100,"")</x:f>
        <x:v>48.88</x:v>
      </x:c>
      <x:c r="I4055" s="34" t="str">
        <x:v>PASS</x:v>
      </x:c>
      <x:c r="J4055" s="34" t="str">
        <x:v>PASS</x:v>
      </x:c>
      <x:c r="K4055" s="34" t="str">
        <x:v>PASS</x:v>
      </x:c>
      <x:c r="L4055" s="34" t="str">
        <x:v>PASS</x:v>
      </x:c>
      <x:c r="M4055" s="34" t="str">
        <x:v>numeric coverage for applicable metric</x:v>
      </x:c>
      <x:c r="N4055" s="34" t="str">
        <x:v>Feedback-Directed Random Test Generation/Result/Lang_16/result.json</x:v>
      </x:c>
      <x:c r="O4055" s="38" t="n">
        <x:f>IF(AND(G4055="RECORDED",ISNUMBER(H4055)),H4055,"")</x:f>
        <x:v>48.88</x:v>
      </x:c>
      <x:c r="P4055" s="34" t="str">
        <x:v>NOT_REVEALING</x:v>
      </x:c>
      <x:c r="Q4055" s="34" t="str">
        <x:v>Feedback-Directed Random Test Generation/Result/Lang_16/result.json</x:v>
      </x:c>
    </x:row>
    <x:row r="4056">
      <x:c r="A4056" s="34" t="str">
        <x:v>randoop</x:v>
      </x:c>
      <x:c r="B4056" s="34" t="str">
        <x:v>Lang</x:v>
      </x:c>
      <x:c r="C4056" s="34" t="str">
        <x:v>Round1</x:v>
      </x:c>
      <x:c r="D4056" s="34" t="str">
        <x:v>Lang_17</x:v>
      </x:c>
      <x:c r="E4056" s="34" t="str">
        <x:v>Condition</x:v>
      </x:c>
      <x:c r="F4056" s="34" t="n">
        <x:v>14</x:v>
      </x:c>
      <x:c r="G4056" s="34" t="str">
        <x:v>RECORDED</x:v>
      </x:c>
      <x:c r="H4056" s="38" t="n">
        <x:f>IF(ISNUMBER('Data'!I640),'Data'!I640*100,"")</x:f>
        <x:v>0</x:v>
      </x:c>
      <x:c r="I4056" s="34" t="str">
        <x:v>PASS</x:v>
      </x:c>
      <x:c r="J4056" s="34" t="str">
        <x:v>PASS</x:v>
      </x:c>
      <x:c r="K4056" s="34" t="str">
        <x:v>PASS</x:v>
      </x:c>
      <x:c r="L4056" s="34" t="str">
        <x:v>PASS</x:v>
      </x:c>
      <x:c r="M4056" s="34" t="str">
        <x:v>numeric coverage for applicable metric</x:v>
      </x:c>
      <x:c r="N4056" s="34" t="str">
        <x:v>Feedback-Directed Random Test Generation/Result/Lang_17/result.json</x:v>
      </x:c>
      <x:c r="O4056" s="38" t="n">
        <x:f>IF(AND(G4056="RECORDED",ISNUMBER(H4056)),H4056,"")</x:f>
        <x:v>0</x:v>
      </x:c>
      <x:c r="P4056" s="34" t="str">
        <x:v>NOT_REVEALING</x:v>
      </x:c>
      <x:c r="Q4056" s="34" t="str">
        <x:v>Feedback-Directed Random Test Generation/Result/Lang_17/result.json</x:v>
      </x:c>
    </x:row>
    <x:row r="4057">
      <x:c r="A4057" s="34" t="str">
        <x:v>randoop</x:v>
      </x:c>
      <x:c r="B4057" s="34" t="str">
        <x:v>Lang</x:v>
      </x:c>
      <x:c r="C4057" s="34" t="str">
        <x:v>Round1</x:v>
      </x:c>
      <x:c r="D4057" s="34" t="str">
        <x:v>Lang_19</x:v>
      </x:c>
      <x:c r="E4057" s="34" t="str">
        <x:v>Condition</x:v>
      </x:c>
      <x:c r="F4057" s="34" t="n">
        <x:v>18</x:v>
      </x:c>
      <x:c r="G4057" s="34" t="str">
        <x:v>RECORDED</x:v>
      </x:c>
      <x:c r="H4057" s="38" t="n">
        <x:f>IF(ISNUMBER('Data'!I641),'Data'!I641*100,"")</x:f>
        <x:v>5.56</x:v>
      </x:c>
      <x:c r="I4057" s="34" t="str">
        <x:v>PASS</x:v>
      </x:c>
      <x:c r="J4057" s="34" t="str">
        <x:v>PASS</x:v>
      </x:c>
      <x:c r="K4057" s="34" t="str">
        <x:v>PASS</x:v>
      </x:c>
      <x:c r="L4057" s="34" t="str">
        <x:v>PASS</x:v>
      </x:c>
      <x:c r="M4057" s="34" t="str">
        <x:v>numeric coverage for applicable metric</x:v>
      </x:c>
      <x:c r="N4057" s="34" t="str">
        <x:v>Feedback-Directed Random Test Generation/Result/Lang_19/result.json</x:v>
      </x:c>
      <x:c r="O4057" s="38" t="n">
        <x:f>IF(AND(G4057="RECORDED",ISNUMBER(H4057)),H4057,"")</x:f>
        <x:v>5.56</x:v>
      </x:c>
      <x:c r="P4057" s="34" t="str">
        <x:v>NOT_REVEALING</x:v>
      </x:c>
      <x:c r="Q4057" s="34" t="str">
        <x:v>Feedback-Directed Random Test Generation/Result/Lang_19/result.json</x:v>
      </x:c>
    </x:row>
    <x:row r="4058">
      <x:c r="A4058" s="34" t="str">
        <x:v>randoop</x:v>
      </x:c>
      <x:c r="B4058" s="34" t="str">
        <x:v>Lang</x:v>
      </x:c>
      <x:c r="C4058" s="34" t="str">
        <x:v>Round1</x:v>
      </x:c>
      <x:c r="D4058" s="34" t="str">
        <x:v>Lang_20</x:v>
      </x:c>
      <x:c r="E4058" s="34" t="str">
        <x:v>Condition</x:v>
      </x:c>
      <x:c r="F4058" s="34" t="n">
        <x:v>1149</x:v>
      </x:c>
      <x:c r="G4058" s="34" t="str">
        <x:v>RECORDED</x:v>
      </x:c>
      <x:c r="H4058" s="38" t="n">
        <x:f>IF(ISNUMBER('Data'!I642),'Data'!I642*100,"")</x:f>
        <x:v>82.68</x:v>
      </x:c>
      <x:c r="I4058" s="34" t="str">
        <x:v>PASS</x:v>
      </x:c>
      <x:c r="J4058" s="34" t="str">
        <x:v>PASS</x:v>
      </x:c>
      <x:c r="K4058" s="34" t="str">
        <x:v>PASS</x:v>
      </x:c>
      <x:c r="L4058" s="34" t="str">
        <x:v>PASS</x:v>
      </x:c>
      <x:c r="M4058" s="34" t="str">
        <x:v>numeric coverage for applicable metric</x:v>
      </x:c>
      <x:c r="N4058" s="34" t="str">
        <x:v>Feedback-Directed Random Test Generation/Result/Lang_20/result.json</x:v>
      </x:c>
      <x:c r="O4058" s="38" t="n">
        <x:f>IF(AND(G4058="RECORDED",ISNUMBER(H4058)),H4058,"")</x:f>
        <x:v>82.68</x:v>
      </x:c>
      <x:c r="P4058" s="34" t="str">
        <x:v>NOT_REVEALING</x:v>
      </x:c>
      <x:c r="Q4058" s="34" t="str">
        <x:v>Feedback-Directed Random Test Generation/Result/Lang_20/result.json</x:v>
      </x:c>
    </x:row>
    <x:row r="4059">
      <x:c r="A4059" s="34" t="str">
        <x:v>randoop</x:v>
      </x:c>
      <x:c r="B4059" s="34" t="str">
        <x:v>Lang</x:v>
      </x:c>
      <x:c r="C4059" s="34" t="str">
        <x:v>Round1</x:v>
      </x:c>
      <x:c r="D4059" s="34" t="str">
        <x:v>Lang_21</x:v>
      </x:c>
      <x:c r="E4059" s="34" t="str">
        <x:v>Condition</x:v>
      </x:c>
      <x:c r="F4059" s="34" t="n">
        <x:v>218</x:v>
      </x:c>
      <x:c r="G4059" s="34" t="str">
        <x:v>RECORDED</x:v>
      </x:c>
      <x:c r="H4059" s="38" t="n">
        <x:f>IF(ISNUMBER('Data'!I643),'Data'!I643*100,"")</x:f>
        <x:v>86.24</x:v>
      </x:c>
      <x:c r="I4059" s="34" t="str">
        <x:v>PASS</x:v>
      </x:c>
      <x:c r="J4059" s="34" t="str">
        <x:v>PASS</x:v>
      </x:c>
      <x:c r="K4059" s="34" t="str">
        <x:v>PASS</x:v>
      </x:c>
      <x:c r="L4059" s="34" t="str">
        <x:v>FAIL</x:v>
      </x:c>
      <x:c r="M4059" s="34" t="str">
        <x:v>numeric coverage for applicable metric</x:v>
      </x:c>
      <x:c r="N4059" s="34" t="str">
        <x:v>Feedback-Directed Random Test Generation/Result/Lang_21/result.json</x:v>
      </x:c>
      <x:c r="O4059" s="38" t="n">
        <x:f>IF(AND(G4059="RECORDED",ISNUMBER(H4059)),H4059,"")</x:f>
        <x:v>86.24</x:v>
      </x:c>
      <x:c r="P4059" s="34" t="str">
        <x:v>INCONCLUSIVE</x:v>
      </x:c>
      <x:c r="Q4059" s="34" t="str">
        <x:v>Feedback-Directed Random Test Generation/Result/Lang_21/result.json</x:v>
      </x:c>
    </x:row>
    <x:row r="4060">
      <x:c r="A4060" s="34" t="str">
        <x:v>randoop</x:v>
      </x:c>
      <x:c r="B4060" s="34" t="str">
        <x:v>Lang</x:v>
      </x:c>
      <x:c r="C4060" s="34" t="str">
        <x:v>Round1</x:v>
      </x:c>
      <x:c r="D4060" s="34" t="str">
        <x:v>Lang_22</x:v>
      </x:c>
      <x:c r="E4060" s="34" t="str">
        <x:v>Condition</x:v>
      </x:c>
      <x:c r="F4060" s="34" t="n">
        <x:v>188</x:v>
      </x:c>
      <x:c r="G4060" s="34" t="str">
        <x:v>RECORDED</x:v>
      </x:c>
      <x:c r="H4060" s="38" t="n">
        <x:f>IF(ISNUMBER('Data'!I644),'Data'!I644*100,"")</x:f>
        <x:v>84.04</x:v>
      </x:c>
      <x:c r="I4060" s="34" t="str">
        <x:v>PASS</x:v>
      </x:c>
      <x:c r="J4060" s="34" t="str">
        <x:v>PASS</x:v>
      </x:c>
      <x:c r="K4060" s="34" t="str">
        <x:v>PASS</x:v>
      </x:c>
      <x:c r="L4060" s="34" t="str">
        <x:v>FAIL</x:v>
      </x:c>
      <x:c r="M4060" s="34" t="str">
        <x:v>numeric coverage for applicable metric</x:v>
      </x:c>
      <x:c r="N4060" s="34" t="str">
        <x:v>Feedback-Directed Random Test Generation/Result/Lang_22/result.json</x:v>
      </x:c>
      <x:c r="O4060" s="38" t="n">
        <x:f>IF(AND(G4060="RECORDED",ISNUMBER(H4060)),H4060,"")</x:f>
        <x:v>84.04</x:v>
      </x:c>
      <x:c r="P4060" s="34" t="str">
        <x:v>INCONCLUSIVE</x:v>
      </x:c>
      <x:c r="Q4060" s="34" t="str">
        <x:v>Feedback-Directed Random Test Generation/Result/Lang_22/result.json</x:v>
      </x:c>
    </x:row>
    <x:row r="4061">
      <x:c r="A4061" s="34" t="str">
        <x:v>randoop</x:v>
      </x:c>
      <x:c r="B4061" s="34" t="str">
        <x:v>Lang</x:v>
      </x:c>
      <x:c r="C4061" s="34" t="str">
        <x:v>Round1</x:v>
      </x:c>
      <x:c r="D4061" s="34" t="str">
        <x:v>Lang_23</x:v>
      </x:c>
      <x:c r="E4061" s="34" t="str">
        <x:v>Condition</x:v>
      </x:c>
      <x:c r="F4061" s="34" t="n">
        <x:v>99</x:v>
      </x:c>
      <x:c r="G4061" s="34" t="str">
        <x:v>RECORDED</x:v>
      </x:c>
      <x:c r="H4061" s="38" t="n">
        <x:f>IF(ISNUMBER('Data'!I645),'Data'!I645*100,"")</x:f>
        <x:v>1.01</x:v>
      </x:c>
      <x:c r="I4061" s="34" t="str">
        <x:v>PASS</x:v>
      </x:c>
      <x:c r="J4061" s="34" t="str">
        <x:v>PASS</x:v>
      </x:c>
      <x:c r="K4061" s="34" t="str">
        <x:v>PASS</x:v>
      </x:c>
      <x:c r="L4061" s="34" t="str">
        <x:v>PASS</x:v>
      </x:c>
      <x:c r="M4061" s="34" t="str">
        <x:v>numeric coverage for applicable metric</x:v>
      </x:c>
      <x:c r="N4061" s="34" t="str">
        <x:v>Feedback-Directed Random Test Generation/Result/Lang_23/result.json</x:v>
      </x:c>
      <x:c r="O4061" s="38" t="n">
        <x:f>IF(AND(G4061="RECORDED",ISNUMBER(H4061)),H4061,"")</x:f>
        <x:v>1.01</x:v>
      </x:c>
      <x:c r="P4061" s="34" t="str">
        <x:v>NOT_REVEALING</x:v>
      </x:c>
      <x:c r="Q4061" s="34" t="str">
        <x:v>Feedback-Directed Random Test Generation/Result/Lang_23/result.json</x:v>
      </x:c>
    </x:row>
    <x:row r="4062">
      <x:c r="A4062" s="34" t="str">
        <x:v>randoop</x:v>
      </x:c>
      <x:c r="B4062" s="34" t="str">
        <x:v>Lang</x:v>
      </x:c>
      <x:c r="C4062" s="34" t="str">
        <x:v>Round1</x:v>
      </x:c>
      <x:c r="D4062" s="34" t="str">
        <x:v>Lang_24</x:v>
      </x:c>
      <x:c r="E4062" s="34" t="str">
        <x:v>Condition</x:v>
      </x:c>
      <x:c r="F4062" s="34" t="n">
        <x:v>356</x:v>
      </x:c>
      <x:c r="G4062" s="34" t="str">
        <x:v>RECORDED</x:v>
      </x:c>
      <x:c r="H4062" s="38" t="n">
        <x:f>IF(ISNUMBER('Data'!I646),'Data'!I646*100,"")</x:f>
        <x:v>49.16</x:v>
      </x:c>
      <x:c r="I4062" s="34" t="str">
        <x:v>PASS</x:v>
      </x:c>
      <x:c r="J4062" s="34" t="str">
        <x:v>PASS</x:v>
      </x:c>
      <x:c r="K4062" s="34" t="str">
        <x:v>PASS</x:v>
      </x:c>
      <x:c r="L4062" s="34" t="str">
        <x:v>PASS</x:v>
      </x:c>
      <x:c r="M4062" s="34" t="str">
        <x:v>numeric coverage for applicable metric</x:v>
      </x:c>
      <x:c r="N4062" s="34" t="str">
        <x:v>Feedback-Directed Random Test Generation/Result/Lang_24/result.json</x:v>
      </x:c>
      <x:c r="O4062" s="38" t="n">
        <x:f>IF(AND(G4062="RECORDED",ISNUMBER(H4062)),H4062,"")</x:f>
        <x:v>49.16</x:v>
      </x:c>
      <x:c r="P4062" s="34" t="str">
        <x:v>NOT_REVEALING</x:v>
      </x:c>
      <x:c r="Q4062" s="34" t="str">
        <x:v>Feedback-Directed Random Test Generation/Result/Lang_24/result.json</x:v>
      </x:c>
    </x:row>
    <x:row r="4063">
      <x:c r="A4063" s="34" t="str">
        <x:v>randoop</x:v>
      </x:c>
      <x:c r="B4063" s="34" t="str">
        <x:v>Lang</x:v>
      </x:c>
      <x:c r="C4063" s="34" t="str">
        <x:v>Round1</x:v>
      </x:c>
      <x:c r="D4063" s="34" t="str">
        <x:v>Lang_26</x:v>
      </x:c>
      <x:c r="E4063" s="34" t="str">
        <x:v>Condition</x:v>
      </x:c>
      <x:c r="F4063" s="34" t="n">
        <x:v>228</x:v>
      </x:c>
      <x:c r="G4063" s="34" t="str">
        <x:v>RECORDED</x:v>
      </x:c>
      <x:c r="H4063" s="38" t="n">
        <x:f>IF(ISNUMBER('Data'!I647),'Data'!I647*100,"")</x:f>
        <x:v>70.61</x:v>
      </x:c>
      <x:c r="I4063" s="34" t="str">
        <x:v>PASS</x:v>
      </x:c>
      <x:c r="J4063" s="34" t="str">
        <x:v>PASS</x:v>
      </x:c>
      <x:c r="K4063" s="34" t="str">
        <x:v>PASS</x:v>
      </x:c>
      <x:c r="L4063" s="34" t="str">
        <x:v>FAIL</x:v>
      </x:c>
      <x:c r="M4063" s="34" t="str">
        <x:v>numeric coverage for applicable metric</x:v>
      </x:c>
      <x:c r="N4063" s="34" t="str">
        <x:v>Feedback-Directed Random Test Generation/Result/Lang_26/result.json</x:v>
      </x:c>
      <x:c r="O4063" s="38" t="n">
        <x:f>IF(AND(G4063="RECORDED",ISNUMBER(H4063)),H4063,"")</x:f>
        <x:v>70.61</x:v>
      </x:c>
      <x:c r="P4063" s="34" t="str">
        <x:v>INCONCLUSIVE</x:v>
      </x:c>
      <x:c r="Q4063" s="34" t="str">
        <x:v>Feedback-Directed Random Test Generation/Result/Lang_26/result.json</x:v>
      </x:c>
    </x:row>
    <x:row r="4064">
      <x:c r="A4064" s="34" t="str">
        <x:v>randoop</x:v>
      </x:c>
      <x:c r="B4064" s="34" t="str">
        <x:v>Lang</x:v>
      </x:c>
      <x:c r="C4064" s="34" t="str">
        <x:v>Round1</x:v>
      </x:c>
      <x:c r="D4064" s="34" t="str">
        <x:v>Lang_27</x:v>
      </x:c>
      <x:c r="E4064" s="34" t="str">
        <x:v>Condition</x:v>
      </x:c>
      <x:c r="F4064" s="34" t="n">
        <x:v>352</x:v>
      </x:c>
      <x:c r="G4064" s="34" t="str">
        <x:v>RECORDED</x:v>
      </x:c>
      <x:c r="H4064" s="38" t="n">
        <x:f>IF(ISNUMBER('Data'!I648),'Data'!I648*100,"")</x:f>
        <x:v>49.72</x:v>
      </x:c>
      <x:c r="I4064" s="34" t="str">
        <x:v>PASS</x:v>
      </x:c>
      <x:c r="J4064" s="34" t="str">
        <x:v>PASS</x:v>
      </x:c>
      <x:c r="K4064" s="34" t="str">
        <x:v>PASS</x:v>
      </x:c>
      <x:c r="L4064" s="34" t="str">
        <x:v>PASS</x:v>
      </x:c>
      <x:c r="M4064" s="34" t="str">
        <x:v>numeric coverage for applicable metric</x:v>
      </x:c>
      <x:c r="N4064" s="34" t="str">
        <x:v>Feedback-Directed Random Test Generation/Result/Lang_27/result.json</x:v>
      </x:c>
      <x:c r="O4064" s="38" t="n">
        <x:f>IF(AND(G4064="RECORDED",ISNUMBER(H4064)),H4064,"")</x:f>
        <x:v>49.72</x:v>
      </x:c>
      <x:c r="P4064" s="34" t="str">
        <x:v>NOT_REVEALING</x:v>
      </x:c>
      <x:c r="Q4064" s="34" t="str">
        <x:v>Feedback-Directed Random Test Generation/Result/Lang_27/result.json</x:v>
      </x:c>
    </x:row>
    <x:row r="4065">
      <x:c r="A4065" s="34" t="str">
        <x:v>randoop</x:v>
      </x:c>
      <x:c r="B4065" s="34" t="str">
        <x:v>Lang</x:v>
      </x:c>
      <x:c r="C4065" s="34" t="str">
        <x:v>Round1</x:v>
      </x:c>
      <x:c r="D4065" s="34" t="str">
        <x:v>Lang_28</x:v>
      </x:c>
      <x:c r="E4065" s="34" t="str">
        <x:v>Condition</x:v>
      </x:c>
      <x:c r="F4065" s="34" t="n">
        <x:v>14</x:v>
      </x:c>
      <x:c r="G4065" s="34" t="str">
        <x:v>RECORDED</x:v>
      </x:c>
      <x:c r="H4065" s="38" t="n">
        <x:f>IF(ISNUMBER('Data'!I649),'Data'!I649*100,"")</x:f>
        <x:v>7.139999999999999</x:v>
      </x:c>
      <x:c r="I4065" s="34" t="str">
        <x:v>PASS</x:v>
      </x:c>
      <x:c r="J4065" s="34" t="str">
        <x:v>PASS</x:v>
      </x:c>
      <x:c r="K4065" s="34" t="str">
        <x:v>PASS</x:v>
      </x:c>
      <x:c r="L4065" s="34" t="str">
        <x:v>PASS</x:v>
      </x:c>
      <x:c r="M4065" s="34" t="str">
        <x:v>numeric coverage for applicable metric</x:v>
      </x:c>
      <x:c r="N4065" s="34" t="str">
        <x:v>Feedback-Directed Random Test Generation/Result/Lang_28/result.json</x:v>
      </x:c>
      <x:c r="O4065" s="38" t="n">
        <x:f>IF(AND(G4065="RECORDED",ISNUMBER(H4065)),H4065,"")</x:f>
        <x:v>7.139999999999999</x:v>
      </x:c>
      <x:c r="P4065" s="34" t="str">
        <x:v>NOT_REVEALING</x:v>
      </x:c>
      <x:c r="Q4065" s="34" t="str">
        <x:v>Feedback-Directed Random Test Generation/Result/Lang_28/result.json</x:v>
      </x:c>
    </x:row>
    <x:row r="4066">
      <x:c r="A4066" s="34" t="str">
        <x:v>randoop</x:v>
      </x:c>
      <x:c r="B4066" s="34" t="str">
        <x:v>Lang</x:v>
      </x:c>
      <x:c r="C4066" s="34" t="str">
        <x:v>Round1</x:v>
      </x:c>
      <x:c r="D4066" s="34" t="str">
        <x:v>Lang_29</x:v>
      </x:c>
      <x:c r="E4066" s="34" t="str">
        <x:v>Condition</x:v>
      </x:c>
      <x:c r="F4066" s="34" t="n">
        <x:v>50</x:v>
      </x:c>
      <x:c r="G4066" s="34" t="str">
        <x:v>RECORDED</x:v>
      </x:c>
      <x:c r="H4066" s="38" t="n">
        <x:f>IF(ISNUMBER('Data'!I650),'Data'!I650*100,"")</x:f>
        <x:v>74</x:v>
      </x:c>
      <x:c r="I4066" s="34" t="str">
        <x:v>PASS</x:v>
      </x:c>
      <x:c r="J4066" s="34" t="str">
        <x:v>PASS</x:v>
      </x:c>
      <x:c r="K4066" s="34" t="str">
        <x:v>PASS</x:v>
      </x:c>
      <x:c r="L4066" s="34" t="str">
        <x:v>PASS</x:v>
      </x:c>
      <x:c r="M4066" s="34" t="str">
        <x:v>numeric coverage for applicable metric</x:v>
      </x:c>
      <x:c r="N4066" s="34" t="str">
        <x:v>Feedback-Directed Random Test Generation/Result/Lang_29/result.json</x:v>
      </x:c>
      <x:c r="O4066" s="38" t="n">
        <x:f>IF(AND(G4066="RECORDED",ISNUMBER(H4066)),H4066,"")</x:f>
        <x:v>74</x:v>
      </x:c>
      <x:c r="P4066" s="34" t="str">
        <x:v>NOT_REVEALING</x:v>
      </x:c>
      <x:c r="Q4066" s="34" t="str">
        <x:v>Feedback-Directed Random Test Generation/Result/Lang_29/result.json</x:v>
      </x:c>
    </x:row>
    <x:row r="4067">
      <x:c r="A4067" s="34" t="str">
        <x:v>randoop</x:v>
      </x:c>
      <x:c r="B4067" s="34" t="str">
        <x:v>Lang</x:v>
      </x:c>
      <x:c r="C4067" s="34" t="str">
        <x:v>Round1</x:v>
      </x:c>
      <x:c r="D4067" s="34" t="str">
        <x:v>Lang_30</x:v>
      </x:c>
      <x:c r="E4067" s="34" t="str">
        <x:v>Condition</x:v>
      </x:c>
      <x:c r="F4067" s="34" t="n">
        <x:v>1055</x:v>
      </x:c>
      <x:c r="G4067" s="34" t="str">
        <x:v>RECORDED</x:v>
      </x:c>
      <x:c r="H4067" s="38" t="n">
        <x:f>IF(ISNUMBER('Data'!I651),'Data'!I651*100,"")</x:f>
        <x:v>81.8</x:v>
      </x:c>
      <x:c r="I4067" s="34" t="str">
        <x:v>PASS</x:v>
      </x:c>
      <x:c r="J4067" s="34" t="str">
        <x:v>PASS</x:v>
      </x:c>
      <x:c r="K4067" s="34" t="str">
        <x:v>PASS</x:v>
      </x:c>
      <x:c r="L4067" s="34" t="str">
        <x:v>PASS</x:v>
      </x:c>
      <x:c r="M4067" s="34" t="str">
        <x:v>numeric coverage for applicable metric</x:v>
      </x:c>
      <x:c r="N4067" s="34" t="str">
        <x:v>Feedback-Directed Random Test Generation/Result/Lang_30/result.json</x:v>
      </x:c>
      <x:c r="O4067" s="38" t="n">
        <x:f>IF(AND(G4067="RECORDED",ISNUMBER(H4067)),H4067,"")</x:f>
        <x:v>81.8</x:v>
      </x:c>
      <x:c r="P4067" s="34" t="str">
        <x:v>NOT_AVAILABLE</x:v>
      </x:c>
      <x:c r="Q4067" s="34" t="str">
        <x:v>Feedback-Directed Random Test Generation/Result/Lang_30/result.json</x:v>
      </x:c>
    </x:row>
    <x:row r="4068">
      <x:c r="A4068" s="34" t="str">
        <x:v>randoop</x:v>
      </x:c>
      <x:c r="B4068" s="34" t="str">
        <x:v>Lang</x:v>
      </x:c>
      <x:c r="C4068" s="34" t="str">
        <x:v>Round1</x:v>
      </x:c>
      <x:c r="D4068" s="34" t="str">
        <x:v>Lang_31</x:v>
      </x:c>
      <x:c r="E4068" s="34" t="str">
        <x:v>Condition</x:v>
      </x:c>
      <x:c r="F4068" s="34" t="n">
        <x:v>1045</x:v>
      </x:c>
      <x:c r="G4068" s="34" t="str">
        <x:v>RECORDED</x:v>
      </x:c>
      <x:c r="H4068" s="38" t="n">
        <x:f>IF(ISNUMBER('Data'!I652),'Data'!I652*100,"")</x:f>
        <x:v>81.63</x:v>
      </x:c>
      <x:c r="I4068" s="34" t="str">
        <x:v>PASS</x:v>
      </x:c>
      <x:c r="J4068" s="34" t="str">
        <x:v>PASS</x:v>
      </x:c>
      <x:c r="K4068" s="34" t="str">
        <x:v>PASS</x:v>
      </x:c>
      <x:c r="L4068" s="34" t="str">
        <x:v>PASS</x:v>
      </x:c>
      <x:c r="M4068" s="34" t="str">
        <x:v>numeric coverage for applicable metric</x:v>
      </x:c>
      <x:c r="N4068" s="34" t="str">
        <x:v>Feedback-Directed Random Test Generation/Result/Lang_31/result.json</x:v>
      </x:c>
      <x:c r="O4068" s="38" t="n">
        <x:f>IF(AND(G4068="RECORDED",ISNUMBER(H4068)),H4068,"")</x:f>
        <x:v>81.63</x:v>
      </x:c>
      <x:c r="P4068" s="34" t="str">
        <x:v>NOT_REVEALING</x:v>
      </x:c>
      <x:c r="Q4068" s="34" t="str">
        <x:v>Feedback-Directed Random Test Generation/Result/Lang_31/result.json</x:v>
      </x:c>
    </x:row>
    <x:row r="4069">
      <x:c r="A4069" s="34" t="str">
        <x:v>randoop</x:v>
      </x:c>
      <x:c r="B4069" s="34" t="str">
        <x:v>Lang</x:v>
      </x:c>
      <x:c r="C4069" s="34" t="str">
        <x:v>Round1</x:v>
      </x:c>
      <x:c r="D4069" s="34" t="str">
        <x:v>Lang_32</x:v>
      </x:c>
      <x:c r="E4069" s="34" t="str">
        <x:v>Condition</x:v>
      </x:c>
      <x:c r="F4069" s="34" t="n">
        <x:v>86</x:v>
      </x:c>
      <x:c r="G4069" s="34" t="str">
        <x:v>RECORDED</x:v>
      </x:c>
      <x:c r="H4069" s="38" t="n">
        <x:f>IF(ISNUMBER('Data'!I653),'Data'!I653*100,"")</x:f>
        <x:v>94.19</x:v>
      </x:c>
      <x:c r="I4069" s="34" t="str">
        <x:v>PASS</x:v>
      </x:c>
      <x:c r="J4069" s="34" t="str">
        <x:v>PASS</x:v>
      </x:c>
      <x:c r="K4069" s="34" t="str">
        <x:v>PASS</x:v>
      </x:c>
      <x:c r="L4069" s="34" t="str">
        <x:v>FAIL</x:v>
      </x:c>
      <x:c r="M4069" s="34" t="str">
        <x:v>numeric coverage for applicable metric</x:v>
      </x:c>
      <x:c r="N4069" s="34" t="str">
        <x:v>Feedback-Directed Random Test Generation/Result/Lang_32/result.json</x:v>
      </x:c>
      <x:c r="O4069" s="38" t="n">
        <x:f>IF(AND(G4069="RECORDED",ISNUMBER(H4069)),H4069,"")</x:f>
        <x:v>94.19</x:v>
      </x:c>
      <x:c r="P4069" s="34" t="str">
        <x:v>INCONCLUSIVE</x:v>
      </x:c>
      <x:c r="Q4069" s="34" t="str">
        <x:v>Feedback-Directed Random Test Generation/Result/Lang_32/result.json</x:v>
      </x:c>
    </x:row>
    <x:row r="4070">
      <x:c r="A4070" s="34" t="str">
        <x:v>randoop</x:v>
      </x:c>
      <x:c r="B4070" s="34" t="str">
        <x:v>Lang</x:v>
      </x:c>
      <x:c r="C4070" s="34" t="str">
        <x:v>Round1</x:v>
      </x:c>
      <x:c r="D4070" s="34" t="str">
        <x:v>Lang_33</x:v>
      </x:c>
      <x:c r="E4070" s="34" t="str">
        <x:v>Condition</x:v>
      </x:c>
      <x:c r="F4070" s="34" t="n">
        <x:v>216</x:v>
      </x:c>
      <x:c r="G4070" s="34" t="str">
        <x:v>RECORDED</x:v>
      </x:c>
      <x:c r="H4070" s="38" t="n">
        <x:f>IF(ISNUMBER('Data'!I654),'Data'!I654*100,"")</x:f>
        <x:v>45.37</x:v>
      </x:c>
      <x:c r="I4070" s="34" t="str">
        <x:v>PASS</x:v>
      </x:c>
      <x:c r="J4070" s="34" t="str">
        <x:v>PASS</x:v>
      </x:c>
      <x:c r="K4070" s="34" t="str">
        <x:v>PASS</x:v>
      </x:c>
      <x:c r="L4070" s="34" t="str">
        <x:v>PASS</x:v>
      </x:c>
      <x:c r="M4070" s="34" t="str">
        <x:v>numeric coverage for applicable metric</x:v>
      </x:c>
      <x:c r="N4070" s="34" t="str">
        <x:v>Feedback-Directed Random Test Generation/Result/Lang_33/result.json</x:v>
      </x:c>
      <x:c r="O4070" s="38" t="n">
        <x:f>IF(AND(G4070="RECORDED",ISNUMBER(H4070)),H4070,"")</x:f>
        <x:v>45.37</x:v>
      </x:c>
      <x:c r="P4070" s="34" t="str">
        <x:v>INCONCLUSIVE</x:v>
      </x:c>
      <x:c r="Q4070" s="34" t="str">
        <x:v>Feedback-Directed Random Test Generation/Result/Lang_33/result.json</x:v>
      </x:c>
    </x:row>
    <x:row r="4071">
      <x:c r="A4071" s="34" t="str">
        <x:v>randoop</x:v>
      </x:c>
      <x:c r="B4071" s="34" t="str">
        <x:v>Lang</x:v>
      </x:c>
      <x:c r="C4071" s="34" t="str">
        <x:v>Round1</x:v>
      </x:c>
      <x:c r="D4071" s="34" t="str">
        <x:v>Lang_34</x:v>
      </x:c>
      <x:c r="E4071" s="34" t="str">
        <x:v>Condition</x:v>
      </x:c>
      <x:c r="F4071" s="34" t="n">
        <x:v>216</x:v>
      </x:c>
      <x:c r="G4071" s="34" t="str">
        <x:v>RECORDED</x:v>
      </x:c>
      <x:c r="H4071" s="38" t="n">
        <x:f>IF(ISNUMBER('Data'!I655),'Data'!I655*100,"")</x:f>
        <x:v>49.07</x:v>
      </x:c>
      <x:c r="I4071" s="34" t="str">
        <x:v>PASS</x:v>
      </x:c>
      <x:c r="J4071" s="34" t="str">
        <x:v>PASS</x:v>
      </x:c>
      <x:c r="K4071" s="34" t="str">
        <x:v>PASS</x:v>
      </x:c>
      <x:c r="L4071" s="34" t="str">
        <x:v>FAIL</x:v>
      </x:c>
      <x:c r="M4071" s="34" t="str">
        <x:v>numeric coverage for applicable metric</x:v>
      </x:c>
      <x:c r="N4071" s="34" t="str">
        <x:v>Feedback-Directed Random Test Generation/Result/Lang_34/result.json</x:v>
      </x:c>
      <x:c r="O4071" s="38" t="n">
        <x:f>IF(AND(G4071="RECORDED",ISNUMBER(H4071)),H4071,"")</x:f>
        <x:v>49.07</x:v>
      </x:c>
      <x:c r="P4071" s="34" t="str">
        <x:v>INCONCLUSIVE</x:v>
      </x:c>
      <x:c r="Q4071" s="34" t="str">
        <x:v>Feedback-Directed Random Test Generation/Result/Lang_34/result.json</x:v>
      </x:c>
    </x:row>
    <x:row r="4072">
      <x:c r="A4072" s="34" t="str">
        <x:v>randoop</x:v>
      </x:c>
      <x:c r="B4072" s="34" t="str">
        <x:v>Lang</x:v>
      </x:c>
      <x:c r="C4072" s="34" t="str">
        <x:v>Round1</x:v>
      </x:c>
      <x:c r="D4072" s="34" t="str">
        <x:v>Lang_35</x:v>
      </x:c>
      <x:c r="E4072" s="34" t="str">
        <x:v>Condition</x:v>
      </x:c>
      <x:c r="F4072" s="34" t="n">
        <x:v>806</x:v>
      </x:c>
      <x:c r="G4072" s="34" t="str">
        <x:v>RECORDED</x:v>
      </x:c>
      <x:c r="H4072" s="38" t="n">
        <x:f>IF(ISNUMBER('Data'!I656),'Data'!I656*100,"")</x:f>
        <x:v>92.68</x:v>
      </x:c>
      <x:c r="I4072" s="34" t="str">
        <x:v>PASS</x:v>
      </x:c>
      <x:c r="J4072" s="34" t="str">
        <x:v>PASS</x:v>
      </x:c>
      <x:c r="K4072" s="34" t="str">
        <x:v>PASS</x:v>
      </x:c>
      <x:c r="L4072" s="34" t="str">
        <x:v>PASS</x:v>
      </x:c>
      <x:c r="M4072" s="34" t="str">
        <x:v>numeric coverage for applicable metric</x:v>
      </x:c>
      <x:c r="N4072" s="34" t="str">
        <x:v>Feedback-Directed Random Test Generation/Result/Lang_35/result.json</x:v>
      </x:c>
      <x:c r="O4072" s="38" t="n">
        <x:f>IF(AND(G4072="RECORDED",ISNUMBER(H4072)),H4072,"")</x:f>
        <x:v>92.68</x:v>
      </x:c>
      <x:c r="P4072" s="34" t="str">
        <x:v>NOT_REVEALING</x:v>
      </x:c>
      <x:c r="Q4072" s="34" t="str">
        <x:v>Feedback-Directed Random Test Generation/Result/Lang_35/result.json</x:v>
      </x:c>
    </x:row>
    <x:row r="4073">
      <x:c r="A4073" s="34" t="str">
        <x:v>randoop</x:v>
      </x:c>
      <x:c r="B4073" s="34" t="str">
        <x:v>Lang</x:v>
      </x:c>
      <x:c r="C4073" s="34" t="str">
        <x:v>Round1</x:v>
      </x:c>
      <x:c r="D4073" s="34" t="str">
        <x:v>Lang_36</x:v>
      </x:c>
      <x:c r="E4073" s="34" t="str">
        <x:v>Condition</x:v>
      </x:c>
      <x:c r="F4073" s="34" t="n">
        <x:v>344</x:v>
      </x:c>
      <x:c r="G4073" s="34" t="str">
        <x:v>RECORDED</x:v>
      </x:c>
      <x:c r="H4073" s="38" t="n">
        <x:f>IF(ISNUMBER('Data'!I657),'Data'!I657*100,"")</x:f>
        <x:v>50.580000000000005</x:v>
      </x:c>
      <x:c r="I4073" s="34" t="str">
        <x:v>PASS</x:v>
      </x:c>
      <x:c r="J4073" s="34" t="str">
        <x:v>PASS</x:v>
      </x:c>
      <x:c r="K4073" s="34" t="str">
        <x:v>PASS</x:v>
      </x:c>
      <x:c r="L4073" s="34" t="str">
        <x:v>PASS</x:v>
      </x:c>
      <x:c r="M4073" s="34" t="str">
        <x:v>numeric coverage for applicable metric</x:v>
      </x:c>
      <x:c r="N4073" s="34" t="str">
        <x:v>Feedback-Directed Random Test Generation/Result/Lang_36/result.json</x:v>
      </x:c>
      <x:c r="O4073" s="38" t="n">
        <x:f>IF(AND(G4073="RECORDED",ISNUMBER(H4073)),H4073,"")</x:f>
        <x:v>50.580000000000005</x:v>
      </x:c>
      <x:c r="P4073" s="34" t="str">
        <x:v>NOT_REVEALING</x:v>
      </x:c>
      <x:c r="Q4073" s="34" t="str">
        <x:v>Feedback-Directed Random Test Generation/Result/Lang_36/result.json</x:v>
      </x:c>
    </x:row>
    <x:row r="4074">
      <x:c r="A4074" s="34" t="str">
        <x:v>randoop</x:v>
      </x:c>
      <x:c r="B4074" s="34" t="str">
        <x:v>Lang</x:v>
      </x:c>
      <x:c r="C4074" s="34" t="str">
        <x:v>Round1</x:v>
      </x:c>
      <x:c r="D4074" s="34" t="str">
        <x:v>Lang_37</x:v>
      </x:c>
      <x:c r="E4074" s="34" t="str">
        <x:v>Condition</x:v>
      </x:c>
      <x:c r="F4074" s="34" t="n">
        <x:v>804</x:v>
      </x:c>
      <x:c r="G4074" s="34" t="str">
        <x:v>RECORDED</x:v>
      </x:c>
      <x:c r="H4074" s="38" t="n">
        <x:f>IF(ISNUMBER('Data'!I658),'Data'!I658*100,"")</x:f>
        <x:v>94.03</x:v>
      </x:c>
      <x:c r="I4074" s="34" t="str">
        <x:v>PASS</x:v>
      </x:c>
      <x:c r="J4074" s="34" t="str">
        <x:v>PASS</x:v>
      </x:c>
      <x:c r="K4074" s="34" t="str">
        <x:v>PASS</x:v>
      </x:c>
      <x:c r="L4074" s="34" t="str">
        <x:v>PASS</x:v>
      </x:c>
      <x:c r="M4074" s="34" t="str">
        <x:v>numeric coverage for applicable metric</x:v>
      </x:c>
      <x:c r="N4074" s="34" t="str">
        <x:v>Feedback-Directed Random Test Generation/Result/Lang_37/result.json</x:v>
      </x:c>
      <x:c r="O4074" s="38" t="n">
        <x:f>IF(AND(G4074="RECORDED",ISNUMBER(H4074)),H4074,"")</x:f>
        <x:v>94.03</x:v>
      </x:c>
      <x:c r="P4074" s="34" t="str">
        <x:v>INCONCLUSIVE</x:v>
      </x:c>
      <x:c r="Q4074" s="34" t="str">
        <x:v>Feedback-Directed Random Test Generation/Result/Lang_37/result.json</x:v>
      </x:c>
    </x:row>
    <x:row r="4075">
      <x:c r="A4075" s="34" t="str">
        <x:v>randoop</x:v>
      </x:c>
      <x:c r="B4075" s="34" t="str">
        <x:v>Lang</x:v>
      </x:c>
      <x:c r="C4075" s="34" t="str">
        <x:v>Round1</x:v>
      </x:c>
      <x:c r="D4075" s="34" t="str">
        <x:v>Lang_38</x:v>
      </x:c>
      <x:c r="E4075" s="34" t="str">
        <x:v>Condition</x:v>
      </x:c>
      <x:c r="F4075" s="34" t="n">
        <x:v>228</x:v>
      </x:c>
      <x:c r="G4075" s="34" t="str">
        <x:v>RECORDED</x:v>
      </x:c>
      <x:c r="H4075" s="38" t="n">
        <x:f>IF(ISNUMBER('Data'!I659),'Data'!I659*100,"")</x:f>
        <x:v>70.61</x:v>
      </x:c>
      <x:c r="I4075" s="34" t="str">
        <x:v>PASS</x:v>
      </x:c>
      <x:c r="J4075" s="34" t="str">
        <x:v>PASS</x:v>
      </x:c>
      <x:c r="K4075" s="34" t="str">
        <x:v>PASS</x:v>
      </x:c>
      <x:c r="L4075" s="34" t="str">
        <x:v>FAIL</x:v>
      </x:c>
      <x:c r="M4075" s="34" t="str">
        <x:v>numeric coverage for applicable metric</x:v>
      </x:c>
      <x:c r="N4075" s="34" t="str">
        <x:v>Feedback-Directed Random Test Generation/Result/Lang_38/result.json</x:v>
      </x:c>
      <x:c r="O4075" s="38" t="n">
        <x:f>IF(AND(G4075="RECORDED",ISNUMBER(H4075)),H4075,"")</x:f>
        <x:v>70.61</x:v>
      </x:c>
      <x:c r="P4075" s="34" t="str">
        <x:v>INCONCLUSIVE</x:v>
      </x:c>
      <x:c r="Q4075" s="34" t="str">
        <x:v>Feedback-Directed Random Test Generation/Result/Lang_38/result.json</x:v>
      </x:c>
    </x:row>
    <x:row r="4076">
      <x:c r="A4076" s="34" t="str">
        <x:v>randoop</x:v>
      </x:c>
      <x:c r="B4076" s="34" t="str">
        <x:v>Lang</x:v>
      </x:c>
      <x:c r="C4076" s="34" t="str">
        <x:v>Round1</x:v>
      </x:c>
      <x:c r="D4076" s="34" t="str">
        <x:v>Lang_39</x:v>
      </x:c>
      <x:c r="E4076" s="34" t="str">
        <x:v>Condition</x:v>
      </x:c>
      <x:c r="F4076" s="34" t="n">
        <x:v>1005</x:v>
      </x:c>
      <x:c r="G4076" s="34" t="str">
        <x:v>RECORDED</x:v>
      </x:c>
      <x:c r="H4076" s="38" t="n">
        <x:f>IF(ISNUMBER('Data'!I660),'Data'!I660*100,"")</x:f>
        <x:v>79.5</x:v>
      </x:c>
      <x:c r="I4076" s="34" t="str">
        <x:v>PASS</x:v>
      </x:c>
      <x:c r="J4076" s="34" t="str">
        <x:v>PASS</x:v>
      </x:c>
      <x:c r="K4076" s="34" t="str">
        <x:v>PASS</x:v>
      </x:c>
      <x:c r="L4076" s="34" t="str">
        <x:v>PASS</x:v>
      </x:c>
      <x:c r="M4076" s="34" t="str">
        <x:v>numeric coverage for applicable metric</x:v>
      </x:c>
      <x:c r="N4076" s="34" t="str">
        <x:v>Feedback-Directed Random Test Generation/Result/Lang_39/result.json</x:v>
      </x:c>
      <x:c r="O4076" s="38" t="n">
        <x:f>IF(AND(G4076="RECORDED",ISNUMBER(H4076)),H4076,"")</x:f>
        <x:v>79.5</x:v>
      </x:c>
      <x:c r="P4076" s="34" t="str">
        <x:v>NOT_REVEALING</x:v>
      </x:c>
      <x:c r="Q4076" s="34" t="str">
        <x:v>Feedback-Directed Random Test Generation/Result/Lang_39/result.json</x:v>
      </x:c>
    </x:row>
    <x:row r="4077">
      <x:c r="A4077" s="34" t="str">
        <x:v>randoop</x:v>
      </x:c>
      <x:c r="B4077" s="34" t="str">
        <x:v>Lang</x:v>
      </x:c>
      <x:c r="C4077" s="34" t="str">
        <x:v>Round1</x:v>
      </x:c>
      <x:c r="D4077" s="34" t="str">
        <x:v>Lang_40</x:v>
      </x:c>
      <x:c r="E4077" s="34" t="str">
        <x:v>Condition</x:v>
      </x:c>
      <x:c r="F4077" s="34" t="n">
        <x:v>997</x:v>
      </x:c>
      <x:c r="G4077" s="34" t="str">
        <x:v>RECORDED</x:v>
      </x:c>
      <x:c r="H4077" s="38" t="n">
        <x:f>IF(ISNUMBER('Data'!I661),'Data'!I661*100,"")</x:f>
        <x:v>79.74</x:v>
      </x:c>
      <x:c r="I4077" s="34" t="str">
        <x:v>PASS</x:v>
      </x:c>
      <x:c r="J4077" s="34" t="str">
        <x:v>PASS</x:v>
      </x:c>
      <x:c r="K4077" s="34" t="str">
        <x:v>PASS</x:v>
      </x:c>
      <x:c r="L4077" s="34" t="str">
        <x:v>PASS</x:v>
      </x:c>
      <x:c r="M4077" s="34" t="str">
        <x:v>numeric coverage for applicable metric</x:v>
      </x:c>
      <x:c r="N4077" s="34" t="str">
        <x:v>Feedback-Directed Random Test Generation/Result/Lang_40/result.json</x:v>
      </x:c>
      <x:c r="O4077" s="38" t="n">
        <x:f>IF(AND(G4077="RECORDED",ISNUMBER(H4077)),H4077,"")</x:f>
        <x:v>79.74</x:v>
      </x:c>
      <x:c r="P4077" s="34" t="str">
        <x:v>NOT_REVEALING</x:v>
      </x:c>
      <x:c r="Q4077" s="34" t="str">
        <x:v>Feedback-Directed Random Test Generation/Result/Lang_40/result.json</x:v>
      </x:c>
    </x:row>
    <x:row r="4078">
      <x:c r="A4078" s="34" t="str">
        <x:v>randoop</x:v>
      </x:c>
      <x:c r="B4078" s="34" t="str">
        <x:v>Lang</x:v>
      </x:c>
      <x:c r="C4078" s="34" t="str">
        <x:v>Round1</x:v>
      </x:c>
      <x:c r="D4078" s="34" t="str">
        <x:v>Lang_41</x:v>
      </x:c>
      <x:c r="E4078" s="34" t="str">
        <x:v>Condition</x:v>
      </x:c>
      <x:c r="F4078" s="34" t="n">
        <x:v>198</x:v>
      </x:c>
      <x:c r="G4078" s="34" t="str">
        <x:v>RECORDED</x:v>
      </x:c>
      <x:c r="H4078" s="38" t="n">
        <x:f>IF(ISNUMBER('Data'!I662),'Data'!I662*100,"")</x:f>
        <x:v>37.37</x:v>
      </x:c>
      <x:c r="I4078" s="34" t="str">
        <x:v>PASS</x:v>
      </x:c>
      <x:c r="J4078" s="34" t="str">
        <x:v>PASS</x:v>
      </x:c>
      <x:c r="K4078" s="34" t="str">
        <x:v>PASS</x:v>
      </x:c>
      <x:c r="L4078" s="34" t="str">
        <x:v>PASS</x:v>
      </x:c>
      <x:c r="M4078" s="34" t="str">
        <x:v>numeric coverage for applicable metric</x:v>
      </x:c>
      <x:c r="N4078" s="34" t="str">
        <x:v>Feedback-Directed Random Test Generation/Result/Lang_41/result.json</x:v>
      </x:c>
      <x:c r="O4078" s="38" t="n">
        <x:f>IF(AND(G4078="RECORDED",ISNUMBER(H4078)),H4078,"")</x:f>
        <x:v>37.37</x:v>
      </x:c>
      <x:c r="P4078" s="34" t="str">
        <x:v>INCONCLUSIVE</x:v>
      </x:c>
      <x:c r="Q4078" s="34" t="str">
        <x:v>Feedback-Directed Random Test Generation/Result/Lang_41/result.json</x:v>
      </x:c>
    </x:row>
    <x:row r="4079">
      <x:c r="A4079" s="34" t="str">
        <x:v>randoop</x:v>
      </x:c>
      <x:c r="B4079" s="34" t="str">
        <x:v>Lang</x:v>
      </x:c>
      <x:c r="C4079" s="34" t="str">
        <x:v>Round1</x:v>
      </x:c>
      <x:c r="D4079" s="34" t="str">
        <x:v>Lang_42</x:v>
      </x:c>
      <x:c r="E4079" s="34" t="str">
        <x:v>Condition</x:v>
      </x:c>
      <x:c r="F4079" s="34" t="n">
        <x:v>64</x:v>
      </x:c>
      <x:c r="G4079" s="34" t="str">
        <x:v>RECORDED</x:v>
      </x:c>
      <x:c r="H4079" s="38" t="n">
        <x:f>IF(ISNUMBER('Data'!I663),'Data'!I663*100,"")</x:f>
        <x:v>57.81</x:v>
      </x:c>
      <x:c r="I4079" s="34" t="str">
        <x:v>PASS</x:v>
      </x:c>
      <x:c r="J4079" s="34" t="str">
        <x:v>PASS</x:v>
      </x:c>
      <x:c r="K4079" s="34" t="str">
        <x:v>PASS</x:v>
      </x:c>
      <x:c r="L4079" s="34" t="str">
        <x:v>FAIL</x:v>
      </x:c>
      <x:c r="M4079" s="34" t="str">
        <x:v>numeric coverage for applicable metric</x:v>
      </x:c>
      <x:c r="N4079" s="34" t="str">
        <x:v>Feedback-Directed Random Test Generation/Result/Lang_42/result.json</x:v>
      </x:c>
      <x:c r="O4079" s="38" t="n">
        <x:f>IF(AND(G4079="RECORDED",ISNUMBER(H4079)),H4079,"")</x:f>
        <x:v>57.81</x:v>
      </x:c>
      <x:c r="P4079" s="34" t="str">
        <x:v>INCONCLUSIVE</x:v>
      </x:c>
      <x:c r="Q4079" s="34" t="str">
        <x:v>Feedback-Directed Random Test Generation/Result/Lang_42/result.json</x:v>
      </x:c>
    </x:row>
    <x:row r="4080">
      <x:c r="A4080" s="34" t="str">
        <x:v>randoop</x:v>
      </x:c>
      <x:c r="B4080" s="34" t="str">
        <x:v>Lang</x:v>
      </x:c>
      <x:c r="C4080" s="34" t="str">
        <x:v>Round1</x:v>
      </x:c>
      <x:c r="D4080" s="34" t="str">
        <x:v>Lang_43</x:v>
      </x:c>
      <x:c r="E4080" s="34" t="str">
        <x:v>Condition</x:v>
      </x:c>
      <x:c r="F4080" s="34" t="n">
        <x:v>99</x:v>
      </x:c>
      <x:c r="G4080" s="34" t="str">
        <x:v>RECORDED</x:v>
      </x:c>
      <x:c r="H4080" s="38" t="n">
        <x:f>IF(ISNUMBER('Data'!I664),'Data'!I664*100,"")</x:f>
        <x:v>1.01</x:v>
      </x:c>
      <x:c r="I4080" s="34" t="str">
        <x:v>PASS</x:v>
      </x:c>
      <x:c r="J4080" s="34" t="str">
        <x:v>PASS</x:v>
      </x:c>
      <x:c r="K4080" s="34" t="str">
        <x:v>PASS</x:v>
      </x:c>
      <x:c r="L4080" s="34" t="str">
        <x:v>PASS</x:v>
      </x:c>
      <x:c r="M4080" s="34" t="str">
        <x:v>numeric coverage for applicable metric</x:v>
      </x:c>
      <x:c r="N4080" s="34" t="str">
        <x:v>Feedback-Directed Random Test Generation/Result/Lang_43/result.json</x:v>
      </x:c>
      <x:c r="O4080" s="38" t="n">
        <x:f>IF(AND(G4080="RECORDED",ISNUMBER(H4080)),H4080,"")</x:f>
        <x:v>1.01</x:v>
      </x:c>
      <x:c r="P4080" s="34" t="str">
        <x:v>NOT_REVEALING</x:v>
      </x:c>
      <x:c r="Q4080" s="34" t="str">
        <x:v>Feedback-Directed Random Test Generation/Result/Lang_43/result.json</x:v>
      </x:c>
    </x:row>
    <x:row r="4081">
      <x:c r="A4081" s="34" t="str">
        <x:v>randoop</x:v>
      </x:c>
      <x:c r="B4081" s="34" t="str">
        <x:v>Lang</x:v>
      </x:c>
      <x:c r="C4081" s="34" t="str">
        <x:v>Round1</x:v>
      </x:c>
      <x:c r="D4081" s="34" t="str">
        <x:v>Lang_44</x:v>
      </x:c>
      <x:c r="E4081" s="34" t="str">
        <x:v>Condition</x:v>
      </x:c>
      <x:c r="F4081" s="34" t="n">
        <x:v>216</x:v>
      </x:c>
      <x:c r="G4081" s="34" t="str">
        <x:v>RECORDED</x:v>
      </x:c>
      <x:c r="H4081" s="38" t="n">
        <x:f>IF(ISNUMBER('Data'!I665),'Data'!I665*100,"")</x:f>
        <x:v>27.310000000000002</x:v>
      </x:c>
      <x:c r="I4081" s="34" t="str">
        <x:v>PASS</x:v>
      </x:c>
      <x:c r="J4081" s="34" t="str">
        <x:v>PASS</x:v>
      </x:c>
      <x:c r="K4081" s="34" t="str">
        <x:v>PASS</x:v>
      </x:c>
      <x:c r="L4081" s="34" t="str">
        <x:v>PASS</x:v>
      </x:c>
      <x:c r="M4081" s="34" t="str">
        <x:v>numeric coverage for applicable metric</x:v>
      </x:c>
      <x:c r="N4081" s="34" t="str">
        <x:v>Feedback-Directed Random Test Generation/Result/Lang_44/result.json</x:v>
      </x:c>
      <x:c r="O4081" s="38" t="n">
        <x:f>IF(AND(G4081="RECORDED",ISNUMBER(H4081)),H4081,"")</x:f>
        <x:v>27.310000000000002</x:v>
      </x:c>
      <x:c r="P4081" s="34" t="str">
        <x:v>NOT_REVEALING</x:v>
      </x:c>
      <x:c r="Q4081" s="34" t="str">
        <x:v>Feedback-Directed Random Test Generation/Result/Lang_44/result.json</x:v>
      </x:c>
    </x:row>
    <x:row r="4082">
      <x:c r="A4082" s="34" t="str">
        <x:v>randoop</x:v>
      </x:c>
      <x:c r="B4082" s="34" t="str">
        <x:v>Lang</x:v>
      </x:c>
      <x:c r="C4082" s="34" t="str">
        <x:v>Round1</x:v>
      </x:c>
      <x:c r="D4082" s="34" t="str">
        <x:v>Lang_45</x:v>
      </x:c>
      <x:c r="E4082" s="34" t="str">
        <x:v>Condition</x:v>
      </x:c>
      <x:c r="F4082" s="34" t="n">
        <x:v>102</x:v>
      </x:c>
      <x:c r="G4082" s="34" t="str">
        <x:v>RECORDED</x:v>
      </x:c>
      <x:c r="H4082" s="38" t="n">
        <x:f>IF(ISNUMBER('Data'!I666),'Data'!I666*100,"")</x:f>
        <x:v>82.35</x:v>
      </x:c>
      <x:c r="I4082" s="34" t="str">
        <x:v>PASS</x:v>
      </x:c>
      <x:c r="J4082" s="34" t="str">
        <x:v>PASS</x:v>
      </x:c>
      <x:c r="K4082" s="34" t="str">
        <x:v>PASS</x:v>
      </x:c>
      <x:c r="L4082" s="34" t="str">
        <x:v>PASS</x:v>
      </x:c>
      <x:c r="M4082" s="34" t="str">
        <x:v>numeric coverage for applicable metric</x:v>
      </x:c>
      <x:c r="N4082" s="34" t="str">
        <x:v>Feedback-Directed Random Test Generation/Result/Lang_45/result.json</x:v>
      </x:c>
      <x:c r="O4082" s="38" t="n">
        <x:f>IF(AND(G4082="RECORDED",ISNUMBER(H4082)),H4082,"")</x:f>
        <x:v>82.35</x:v>
      </x:c>
      <x:c r="P4082" s="34" t="str">
        <x:v>INCONCLUSIVE</x:v>
      </x:c>
      <x:c r="Q4082" s="34" t="str">
        <x:v>Feedback-Directed Random Test Generation/Result/Lang_45/result.json</x:v>
      </x:c>
    </x:row>
    <x:row r="4083">
      <x:c r="A4083" s="34" t="str">
        <x:v>randoop</x:v>
      </x:c>
      <x:c r="B4083" s="34" t="str">
        <x:v>Lang</x:v>
      </x:c>
      <x:c r="C4083" s="34" t="str">
        <x:v>Round1</x:v>
      </x:c>
      <x:c r="D4083" s="34" t="str">
        <x:v>Lang_46</x:v>
      </x:c>
      <x:c r="E4083" s="34" t="str">
        <x:v>Condition</x:v>
      </x:c>
      <x:c r="F4083" s="34" t="n">
        <x:v>107</x:v>
      </x:c>
      <x:c r="G4083" s="34" t="str">
        <x:v>RECORDED</x:v>
      </x:c>
      <x:c r="H4083" s="38" t="n">
        <x:f>IF(ISNUMBER('Data'!I667),'Data'!I667*100,"")</x:f>
        <x:v>39.25</x:v>
      </x:c>
      <x:c r="I4083" s="34" t="str">
        <x:v>PASS</x:v>
      </x:c>
      <x:c r="J4083" s="34" t="str">
        <x:v>PASS</x:v>
      </x:c>
      <x:c r="K4083" s="34" t="str">
        <x:v>PASS</x:v>
      </x:c>
      <x:c r="L4083" s="34" t="str">
        <x:v>PASS</x:v>
      </x:c>
      <x:c r="M4083" s="34" t="str">
        <x:v>numeric coverage for applicable metric</x:v>
      </x:c>
      <x:c r="N4083" s="34" t="str">
        <x:v>Feedback-Directed Random Test Generation/Result/Lang_46/result.json</x:v>
      </x:c>
      <x:c r="O4083" s="38" t="n">
        <x:f>IF(AND(G4083="RECORDED",ISNUMBER(H4083)),H4083,"")</x:f>
        <x:v>39.25</x:v>
      </x:c>
      <x:c r="P4083" s="34" t="str">
        <x:v>NOT_REVEALING</x:v>
      </x:c>
      <x:c r="Q4083" s="34" t="str">
        <x:v>Feedback-Directed Random Test Generation/Result/Lang_46/result.json</x:v>
      </x:c>
    </x:row>
    <x:row r="4084">
      <x:c r="A4084" s="34" t="str">
        <x:v>randoop</x:v>
      </x:c>
      <x:c r="B4084" s="34" t="str">
        <x:v>Lang</x:v>
      </x:c>
      <x:c r="C4084" s="34" t="str">
        <x:v>Round1</x:v>
      </x:c>
      <x:c r="D4084" s="34" t="str">
        <x:v>Lang_47</x:v>
      </x:c>
      <x:c r="E4084" s="34" t="str">
        <x:v>Condition</x:v>
      </x:c>
      <x:c r="F4084" s="34" t="n">
        <x:v>492</x:v>
      </x:c>
      <x:c r="G4084" s="34" t="str">
        <x:v>RECORDED</x:v>
      </x:c>
      <x:c r="H4084" s="38" t="n">
        <x:f>IF(ISNUMBER('Data'!I668),'Data'!I668*100,"")</x:f>
        <x:v>90.85</x:v>
      </x:c>
      <x:c r="I4084" s="34" t="str">
        <x:v>PASS</x:v>
      </x:c>
      <x:c r="J4084" s="34" t="str">
        <x:v>PASS</x:v>
      </x:c>
      <x:c r="K4084" s="34" t="str">
        <x:v>PASS</x:v>
      </x:c>
      <x:c r="L4084" s="34" t="str">
        <x:v>FAIL</x:v>
      </x:c>
      <x:c r="M4084" s="34" t="str">
        <x:v>numeric coverage for applicable metric</x:v>
      </x:c>
      <x:c r="N4084" s="34" t="str">
        <x:v>Feedback-Directed Random Test Generation/Result/Lang_47/result.json</x:v>
      </x:c>
      <x:c r="O4084" s="38" t="n">
        <x:f>IF(AND(G4084="RECORDED",ISNUMBER(H4084)),H4084,"")</x:f>
        <x:v>90.85</x:v>
      </x:c>
      <x:c r="P4084" s="34" t="str">
        <x:v>INCONCLUSIVE</x:v>
      </x:c>
      <x:c r="Q4084" s="34" t="str">
        <x:v>Feedback-Directed Random Test Generation/Result/Lang_47/result.json</x:v>
      </x:c>
    </x:row>
    <x:row r="4085">
      <x:c r="A4085" s="34" t="str">
        <x:v>randoop</x:v>
      </x:c>
      <x:c r="B4085" s="34" t="str">
        <x:v>Lang</x:v>
      </x:c>
      <x:c r="C4085" s="34" t="str">
        <x:v>Round1</x:v>
      </x:c>
      <x:c r="D4085" s="34" t="str">
        <x:v>Lang_49</x:v>
      </x:c>
      <x:c r="E4085" s="34" t="str">
        <x:v>Condition</x:v>
      </x:c>
      <x:c r="F4085" s="34" t="n">
        <x:v>184</x:v>
      </x:c>
      <x:c r="G4085" s="34" t="str">
        <x:v>RECORDED</x:v>
      </x:c>
      <x:c r="H4085" s="38" t="n">
        <x:f>IF(ISNUMBER('Data'!I669),'Data'!I669*100,"")</x:f>
        <x:v>82.61</x:v>
      </x:c>
      <x:c r="I4085" s="34" t="str">
        <x:v>PASS</x:v>
      </x:c>
      <x:c r="J4085" s="34" t="str">
        <x:v>PASS</x:v>
      </x:c>
      <x:c r="K4085" s="34" t="str">
        <x:v>PASS</x:v>
      </x:c>
      <x:c r="L4085" s="34" t="str">
        <x:v>PASS</x:v>
      </x:c>
      <x:c r="M4085" s="34" t="str">
        <x:v>numeric coverage for applicable metric</x:v>
      </x:c>
      <x:c r="N4085" s="34" t="str">
        <x:v>Feedback-Directed Random Test Generation/Result/Lang_49/result.json</x:v>
      </x:c>
      <x:c r="O4085" s="38" t="n">
        <x:f>IF(AND(G4085="RECORDED",ISNUMBER(H4085)),H4085,"")</x:f>
        <x:v>82.61</x:v>
      </x:c>
      <x:c r="P4085" s="34" t="str">
        <x:v>NOT_REVEALING</x:v>
      </x:c>
      <x:c r="Q4085" s="34" t="str">
        <x:v>Feedback-Directed Random Test Generation/Result/Lang_49/result.json</x:v>
      </x:c>
    </x:row>
    <x:row r="4086">
      <x:c r="A4086" s="34" t="str">
        <x:v>randoop</x:v>
      </x:c>
      <x:c r="B4086" s="34" t="str">
        <x:v>Lang</x:v>
      </x:c>
      <x:c r="C4086" s="34" t="str">
        <x:v>Round1</x:v>
      </x:c>
      <x:c r="D4086" s="34" t="str">
        <x:v>Lang_50</x:v>
      </x:c>
      <x:c r="E4086" s="34" t="str">
        <x:v>Condition</x:v>
      </x:c>
      <x:c r="F4086" s="34" t="n">
        <x:v>232</x:v>
      </x:c>
      <x:c r="G4086" s="34" t="str">
        <x:v>RECORDED</x:v>
      </x:c>
      <x:c r="H4086" s="38" t="n">
        <x:f>IF(ISNUMBER('Data'!I670),'Data'!I670*100,"")</x:f>
        <x:v>72.41</x:v>
      </x:c>
      <x:c r="I4086" s="34" t="str">
        <x:v>PASS</x:v>
      </x:c>
      <x:c r="J4086" s="34" t="str">
        <x:v>PASS</x:v>
      </x:c>
      <x:c r="K4086" s="34" t="str">
        <x:v>PASS</x:v>
      </x:c>
      <x:c r="L4086" s="34" t="str">
        <x:v>FAIL</x:v>
      </x:c>
      <x:c r="M4086" s="34" t="str">
        <x:v>numeric coverage for applicable metric</x:v>
      </x:c>
      <x:c r="N4086" s="34" t="str">
        <x:v>Feedback-Directed Random Test Generation/Result/Lang_50/result.json</x:v>
      </x:c>
      <x:c r="O4086" s="38" t="n">
        <x:f>IF(AND(G4086="RECORDED",ISNUMBER(H4086)),H4086,"")</x:f>
        <x:v>72.41</x:v>
      </x:c>
      <x:c r="P4086" s="34" t="str">
        <x:v>INCONCLUSIVE</x:v>
      </x:c>
      <x:c r="Q4086" s="34" t="str">
        <x:v>Feedback-Directed Random Test Generation/Result/Lang_50/result.json</x:v>
      </x:c>
    </x:row>
    <x:row r="4087">
      <x:c r="A4087" s="34" t="str">
        <x:v>randoop</x:v>
      </x:c>
      <x:c r="B4087" s="34" t="str">
        <x:v>Lang</x:v>
      </x:c>
      <x:c r="C4087" s="34" t="str">
        <x:v>Round1</x:v>
      </x:c>
      <x:c r="D4087" s="34" t="str">
        <x:v>Lang_51</x:v>
      </x:c>
      <x:c r="E4087" s="34" t="str">
        <x:v>Condition</x:v>
      </x:c>
      <x:c r="F4087" s="34" t="n">
        <x:v>212</x:v>
      </x:c>
      <x:c r="G4087" s="34" t="str">
        <x:v>RECORDED</x:v>
      </x:c>
      <x:c r="H4087" s="38" t="n">
        <x:f>IF(ISNUMBER('Data'!I671),'Data'!I671*100,"")</x:f>
        <x:v>61.79</x:v>
      </x:c>
      <x:c r="I4087" s="34" t="str">
        <x:v>PASS</x:v>
      </x:c>
      <x:c r="J4087" s="34" t="str">
        <x:v>PASS</x:v>
      </x:c>
      <x:c r="K4087" s="34" t="str">
        <x:v>PASS</x:v>
      </x:c>
      <x:c r="L4087" s="34" t="str">
        <x:v>PASS</x:v>
      </x:c>
      <x:c r="M4087" s="34" t="str">
        <x:v>numeric coverage for applicable metric</x:v>
      </x:c>
      <x:c r="N4087" s="34" t="str">
        <x:v>Feedback-Directed Random Test Generation/Result/Lang_51/result.json</x:v>
      </x:c>
      <x:c r="O4087" s="38" t="n">
        <x:f>IF(AND(G4087="RECORDED",ISNUMBER(H4087)),H4087,"")</x:f>
        <x:v>61.79</x:v>
      </x:c>
      <x:c r="P4087" s="34" t="str">
        <x:v>NOT_REVEALING</x:v>
      </x:c>
      <x:c r="Q4087" s="34" t="str">
        <x:v>Feedback-Directed Random Test Generation/Result/Lang_51/result.json</x:v>
      </x:c>
    </x:row>
    <x:row r="4088">
      <x:c r="A4088" s="34" t="str">
        <x:v>randoop</x:v>
      </x:c>
      <x:c r="B4088" s="34" t="str">
        <x:v>Lang</x:v>
      </x:c>
      <x:c r="C4088" s="34" t="str">
        <x:v>Round1</x:v>
      </x:c>
      <x:c r="D4088" s="34" t="str">
        <x:v>Lang_52</x:v>
      </x:c>
      <x:c r="E4088" s="34" t="str">
        <x:v>Condition</x:v>
      </x:c>
      <x:c r="F4088" s="34" t="n">
        <x:v>84</x:v>
      </x:c>
      <x:c r="G4088" s="34" t="str">
        <x:v>RECORDED</x:v>
      </x:c>
      <x:c r="H4088" s="38" t="n">
        <x:f>IF(ISNUMBER('Data'!I672),'Data'!I672*100,"")</x:f>
        <x:v>40.48</x:v>
      </x:c>
      <x:c r="I4088" s="34" t="str">
        <x:v>PASS</x:v>
      </x:c>
      <x:c r="J4088" s="34" t="str">
        <x:v>PASS</x:v>
      </x:c>
      <x:c r="K4088" s="34" t="str">
        <x:v>PASS</x:v>
      </x:c>
      <x:c r="L4088" s="34" t="str">
        <x:v>PASS</x:v>
      </x:c>
      <x:c r="M4088" s="34" t="str">
        <x:v>numeric coverage for applicable metric</x:v>
      </x:c>
      <x:c r="N4088" s="34" t="str">
        <x:v>Feedback-Directed Random Test Generation/Result/Lang_52/result.json</x:v>
      </x:c>
      <x:c r="O4088" s="38" t="n">
        <x:f>IF(AND(G4088="RECORDED",ISNUMBER(H4088)),H4088,"")</x:f>
        <x:v>40.48</x:v>
      </x:c>
      <x:c r="P4088" s="34" t="str">
        <x:v>NOT_REVEALING</x:v>
      </x:c>
      <x:c r="Q4088" s="34" t="str">
        <x:v>Feedback-Directed Random Test Generation/Result/Lang_52/result.json</x:v>
      </x:c>
    </x:row>
    <x:row r="4089">
      <x:c r="A4089" s="34" t="str">
        <x:v>randoop</x:v>
      </x:c>
      <x:c r="B4089" s="34" t="str">
        <x:v>Lang</x:v>
      </x:c>
      <x:c r="C4089" s="34" t="str">
        <x:v>Round1</x:v>
      </x:c>
      <x:c r="D4089" s="34" t="str">
        <x:v>Lang_53</x:v>
      </x:c>
      <x:c r="E4089" s="34" t="str">
        <x:v>Condition</x:v>
      </x:c>
      <x:c r="F4089" s="34" t="n">
        <x:v>175</x:v>
      </x:c>
      <x:c r="G4089" s="34" t="str">
        <x:v>RECORDED</x:v>
      </x:c>
      <x:c r="H4089" s="38" t="n">
        <x:f>IF(ISNUMBER('Data'!I673),'Data'!I673*100,"")</x:f>
        <x:v>71.43</x:v>
      </x:c>
      <x:c r="I4089" s="34" t="str">
        <x:v>PASS</x:v>
      </x:c>
      <x:c r="J4089" s="34" t="str">
        <x:v>PASS</x:v>
      </x:c>
      <x:c r="K4089" s="34" t="str">
        <x:v>PASS</x:v>
      </x:c>
      <x:c r="L4089" s="34" t="str">
        <x:v>FAIL</x:v>
      </x:c>
      <x:c r="M4089" s="34" t="str">
        <x:v>numeric coverage for applicable metric</x:v>
      </x:c>
      <x:c r="N4089" s="34" t="str">
        <x:v>Feedback-Directed Random Test Generation/Result/Lang_53/result.json</x:v>
      </x:c>
      <x:c r="O4089" s="38" t="n">
        <x:f>IF(AND(G4089="RECORDED",ISNUMBER(H4089)),H4089,"")</x:f>
        <x:v>71.43</x:v>
      </x:c>
      <x:c r="P4089" s="34" t="str">
        <x:v>INCONCLUSIVE</x:v>
      </x:c>
      <x:c r="Q4089" s="34" t="str">
        <x:v>Feedback-Directed Random Test Generation/Result/Lang_53/result.json</x:v>
      </x:c>
    </x:row>
    <x:row r="4090">
      <x:c r="A4090" s="34" t="str">
        <x:v>randoop</x:v>
      </x:c>
      <x:c r="B4090" s="34" t="str">
        <x:v>Lang</x:v>
      </x:c>
      <x:c r="C4090" s="34" t="str">
        <x:v>Round1</x:v>
      </x:c>
      <x:c r="D4090" s="34" t="str">
        <x:v>Lang_54</x:v>
      </x:c>
      <x:c r="E4090" s="34" t="str">
        <x:v>Condition</x:v>
      </x:c>
      <x:c r="F4090" s="34" t="n">
        <x:v>64</x:v>
      </x:c>
      <x:c r="G4090" s="34" t="str">
        <x:v>RECORDED</x:v>
      </x:c>
      <x:c r="H4090" s="38" t="n">
        <x:f>IF(ISNUMBER('Data'!I674),'Data'!I674*100,"")</x:f>
        <x:v>35.94</x:v>
      </x:c>
      <x:c r="I4090" s="34" t="str">
        <x:v>PASS</x:v>
      </x:c>
      <x:c r="J4090" s="34" t="str">
        <x:v>PASS</x:v>
      </x:c>
      <x:c r="K4090" s="34" t="str">
        <x:v>PASS</x:v>
      </x:c>
      <x:c r="L4090" s="34" t="str">
        <x:v>PASS</x:v>
      </x:c>
      <x:c r="M4090" s="34" t="str">
        <x:v>numeric coverage for applicable metric</x:v>
      </x:c>
      <x:c r="N4090" s="34" t="str">
        <x:v>Feedback-Directed Random Test Generation/Result/Lang_54/result.json</x:v>
      </x:c>
      <x:c r="O4090" s="38" t="n">
        <x:f>IF(AND(G4090="RECORDED",ISNUMBER(H4090)),H4090,"")</x:f>
        <x:v>35.94</x:v>
      </x:c>
      <x:c r="P4090" s="34" t="str">
        <x:v>NOT_REVEALING</x:v>
      </x:c>
      <x:c r="Q4090" s="34" t="str">
        <x:v>Feedback-Directed Random Test Generation/Result/Lang_54/result.json</x:v>
      </x:c>
    </x:row>
    <x:row r="4091">
      <x:c r="A4091" s="34" t="str">
        <x:v>randoop</x:v>
      </x:c>
      <x:c r="B4091" s="34" t="str">
        <x:v>Lang</x:v>
      </x:c>
      <x:c r="C4091" s="34" t="str">
        <x:v>Round1</x:v>
      </x:c>
      <x:c r="D4091" s="34" t="str">
        <x:v>Lang_55</x:v>
      </x:c>
      <x:c r="E4091" s="34" t="str">
        <x:v>Condition</x:v>
      </x:c>
      <x:c r="F4091" s="34" t="n">
        <x:v>26</x:v>
      </x:c>
      <x:c r="G4091" s="34" t="str">
        <x:v>RECORDED</x:v>
      </x:c>
      <x:c r="H4091" s="38" t="n">
        <x:f>IF(ISNUMBER('Data'!I675),'Data'!I675*100,"")</x:f>
        <x:v>96.15</x:v>
      </x:c>
      <x:c r="I4091" s="34" t="str">
        <x:v>PASS</x:v>
      </x:c>
      <x:c r="J4091" s="34" t="str">
        <x:v>PASS</x:v>
      </x:c>
      <x:c r="K4091" s="34" t="str">
        <x:v>PASS</x:v>
      </x:c>
      <x:c r="L4091" s="34" t="str">
        <x:v>FAIL</x:v>
      </x:c>
      <x:c r="M4091" s="34" t="str">
        <x:v>numeric coverage for applicable metric</x:v>
      </x:c>
      <x:c r="N4091" s="34" t="str">
        <x:v>Feedback-Directed Random Test Generation/Result/Lang_55/result.json</x:v>
      </x:c>
      <x:c r="O4091" s="38" t="n">
        <x:f>IF(AND(G4091="RECORDED",ISNUMBER(H4091)),H4091,"")</x:f>
        <x:v>96.15</x:v>
      </x:c>
      <x:c r="P4091" s="34" t="str">
        <x:v>INCONCLUSIVE</x:v>
      </x:c>
      <x:c r="Q4091" s="34" t="str">
        <x:v>Feedback-Directed Random Test Generation/Result/Lang_55/result.json</x:v>
      </x:c>
    </x:row>
    <x:row r="4092">
      <x:c r="A4092" s="34" t="str">
        <x:v>randoop</x:v>
      </x:c>
      <x:c r="B4092" s="34" t="str">
        <x:v>Lang</x:v>
      </x:c>
      <x:c r="C4092" s="34" t="str">
        <x:v>Round1</x:v>
      </x:c>
      <x:c r="D4092" s="34" t="str">
        <x:v>Lang_56</x:v>
      </x:c>
      <x:c r="E4092" s="34" t="str">
        <x:v>Condition</x:v>
      </x:c>
      <x:c r="F4092" s="34" t="n">
        <x:v>232</x:v>
      </x:c>
      <x:c r="G4092" s="34" t="str">
        <x:v>RECORDED</x:v>
      </x:c>
      <x:c r="H4092" s="38" t="n">
        <x:f>IF(ISNUMBER('Data'!I676),'Data'!I676*100,"")</x:f>
        <x:v>72.41</x:v>
      </x:c>
      <x:c r="I4092" s="34" t="str">
        <x:v>PASS</x:v>
      </x:c>
      <x:c r="J4092" s="34" t="str">
        <x:v>PASS</x:v>
      </x:c>
      <x:c r="K4092" s="34" t="str">
        <x:v>PASS</x:v>
      </x:c>
      <x:c r="L4092" s="34" t="str">
        <x:v>FAIL</x:v>
      </x:c>
      <x:c r="M4092" s="34" t="str">
        <x:v>numeric coverage for applicable metric</x:v>
      </x:c>
      <x:c r="N4092" s="34" t="str">
        <x:v>Feedback-Directed Random Test Generation/Result/Lang_56/result.json</x:v>
      </x:c>
      <x:c r="O4092" s="38" t="n">
        <x:f>IF(AND(G4092="RECORDED",ISNUMBER(H4092)),H4092,"")</x:f>
        <x:v>72.41</x:v>
      </x:c>
      <x:c r="P4092" s="34" t="str">
        <x:v>INCONCLUSIVE</x:v>
      </x:c>
      <x:c r="Q4092" s="34" t="str">
        <x:v>Feedback-Directed Random Test Generation/Result/Lang_56/result.json</x:v>
      </x:c>
    </x:row>
    <x:row r="4093">
      <x:c r="A4093" s="34" t="str">
        <x:v>randoop</x:v>
      </x:c>
      <x:c r="B4093" s="34" t="str">
        <x:v>Lang</x:v>
      </x:c>
      <x:c r="C4093" s="34" t="str">
        <x:v>Round1</x:v>
      </x:c>
      <x:c r="D4093" s="34" t="str">
        <x:v>Lang_57</x:v>
      </x:c>
      <x:c r="E4093" s="34" t="str">
        <x:v>Condition</x:v>
      </x:c>
      <x:c r="F4093" s="34" t="n">
        <x:v>64</x:v>
      </x:c>
      <x:c r="G4093" s="34" t="str">
        <x:v>RECORDED</x:v>
      </x:c>
      <x:c r="H4093" s="38" t="n">
        <x:f>IF(ISNUMBER('Data'!I677),'Data'!I677*100,"")</x:f>
        <x:v>35.94</x:v>
      </x:c>
      <x:c r="I4093" s="34" t="str">
        <x:v>PASS</x:v>
      </x:c>
      <x:c r="J4093" s="34" t="str">
        <x:v>PASS</x:v>
      </x:c>
      <x:c r="K4093" s="34" t="str">
        <x:v>PASS</x:v>
      </x:c>
      <x:c r="L4093" s="34" t="str">
        <x:v>PASS</x:v>
      </x:c>
      <x:c r="M4093" s="34" t="str">
        <x:v>numeric coverage for applicable metric</x:v>
      </x:c>
      <x:c r="N4093" s="34" t="str">
        <x:v>Feedback-Directed Random Test Generation/Result/Lang_57/result.json</x:v>
      </x:c>
      <x:c r="O4093" s="38" t="n">
        <x:f>IF(AND(G4093="RECORDED",ISNUMBER(H4093)),H4093,"")</x:f>
        <x:v>35.94</x:v>
      </x:c>
      <x:c r="P4093" s="34" t="str">
        <x:v>NOT_REVEALING</x:v>
      </x:c>
      <x:c r="Q4093" s="34" t="str">
        <x:v>Feedback-Directed Random Test Generation/Result/Lang_57/result.json</x:v>
      </x:c>
    </x:row>
    <x:row r="4094">
      <x:c r="A4094" s="34" t="str">
        <x:v>randoop</x:v>
      </x:c>
      <x:c r="B4094" s="34" t="str">
        <x:v>Lang</x:v>
      </x:c>
      <x:c r="C4094" s="34" t="str">
        <x:v>Round1</x:v>
      </x:c>
      <x:c r="D4094" s="34" t="str">
        <x:v>Lang_58</x:v>
      </x:c>
      <x:c r="E4094" s="34" t="str">
        <x:v>Condition</x:v>
      </x:c>
      <x:c r="F4094" s="34" t="n">
        <x:v>420</x:v>
      </x:c>
      <x:c r="G4094" s="34" t="str">
        <x:v>RECORDED</x:v>
      </x:c>
      <x:c r="H4094" s="38" t="n">
        <x:f>IF(ISNUMBER('Data'!I678),'Data'!I678*100,"")</x:f>
        <x:v>57.379999999999995</x:v>
      </x:c>
      <x:c r="I4094" s="34" t="str">
        <x:v>PASS</x:v>
      </x:c>
      <x:c r="J4094" s="34" t="str">
        <x:v>PASS</x:v>
      </x:c>
      <x:c r="K4094" s="34" t="str">
        <x:v>PASS</x:v>
      </x:c>
      <x:c r="L4094" s="34" t="str">
        <x:v>PASS</x:v>
      </x:c>
      <x:c r="M4094" s="34" t="str">
        <x:v>numeric coverage for applicable metric</x:v>
      </x:c>
      <x:c r="N4094" s="34" t="str">
        <x:v>Feedback-Directed Random Test Generation/Result/Lang_58/result.json</x:v>
      </x:c>
      <x:c r="O4094" s="38" t="n">
        <x:f>IF(AND(G4094="RECORDED",ISNUMBER(H4094)),H4094,"")</x:f>
        <x:v>57.379999999999995</x:v>
      </x:c>
      <x:c r="P4094" s="34" t="str">
        <x:v>NOT_REVEALING</x:v>
      </x:c>
      <x:c r="Q4094" s="34" t="str">
        <x:v>Feedback-Directed Random Test Generation/Result/Lang_58/result.json</x:v>
      </x:c>
    </x:row>
    <x:row r="4095">
      <x:c r="A4095" s="34" t="str">
        <x:v>randoop</x:v>
      </x:c>
      <x:c r="B4095" s="34" t="str">
        <x:v>Lang</x:v>
      </x:c>
      <x:c r="C4095" s="34" t="str">
        <x:v>Round1</x:v>
      </x:c>
      <x:c r="D4095" s="34" t="str">
        <x:v>Lang_59</x:v>
      </x:c>
      <x:c r="E4095" s="34" t="str">
        <x:v>Condition</x:v>
      </x:c>
      <x:c r="F4095" s="34" t="n">
        <x:v>464</x:v>
      </x:c>
      <x:c r="G4095" s="34" t="str">
        <x:v>RECORDED</x:v>
      </x:c>
      <x:c r="H4095" s="38" t="n">
        <x:f>IF(ISNUMBER('Data'!I679),'Data'!I679*100,"")</x:f>
        <x:v>91.59</x:v>
      </x:c>
      <x:c r="I4095" s="34" t="str">
        <x:v>PASS</x:v>
      </x:c>
      <x:c r="J4095" s="34" t="str">
        <x:v>PASS</x:v>
      </x:c>
      <x:c r="K4095" s="34" t="str">
        <x:v>PASS</x:v>
      </x:c>
      <x:c r="L4095" s="34" t="str">
        <x:v>FAIL</x:v>
      </x:c>
      <x:c r="M4095" s="34" t="str">
        <x:v>numeric coverage for applicable metric</x:v>
      </x:c>
      <x:c r="N4095" s="34" t="str">
        <x:v>Feedback-Directed Random Test Generation/Result/Lang_59/result.json</x:v>
      </x:c>
      <x:c r="O4095" s="38" t="n">
        <x:f>IF(AND(G4095="RECORDED",ISNUMBER(H4095)),H4095,"")</x:f>
        <x:v>91.59</x:v>
      </x:c>
      <x:c r="P4095" s="34" t="str">
        <x:v>INCONCLUSIVE</x:v>
      </x:c>
      <x:c r="Q4095" s="34" t="str">
        <x:v>Feedback-Directed Random Test Generation/Result/Lang_59/result.json</x:v>
      </x:c>
    </x:row>
    <x:row r="4096">
      <x:c r="A4096" s="34" t="str">
        <x:v>randoop</x:v>
      </x:c>
      <x:c r="B4096" s="34" t="str">
        <x:v>Lang</x:v>
      </x:c>
      <x:c r="C4096" s="34" t="str">
        <x:v>Round1</x:v>
      </x:c>
      <x:c r="D4096" s="34" t="str">
        <x:v>Lang_60</x:v>
      </x:c>
      <x:c r="E4096" s="34" t="str">
        <x:v>Condition</x:v>
      </x:c>
      <x:c r="F4096" s="34" t="n">
        <x:v>464</x:v>
      </x:c>
      <x:c r="G4096" s="34" t="str">
        <x:v>RECORDED</x:v>
      </x:c>
      <x:c r="H4096" s="38" t="n">
        <x:f>IF(ISNUMBER('Data'!I680),'Data'!I680*100,"")</x:f>
        <x:v>89.87</x:v>
      </x:c>
      <x:c r="I4096" s="34" t="str">
        <x:v>PASS</x:v>
      </x:c>
      <x:c r="J4096" s="34" t="str">
        <x:v>PASS</x:v>
      </x:c>
      <x:c r="K4096" s="34" t="str">
        <x:v>PASS</x:v>
      </x:c>
      <x:c r="L4096" s="34" t="str">
        <x:v>FAIL</x:v>
      </x:c>
      <x:c r="M4096" s="34" t="str">
        <x:v>numeric coverage for applicable metric</x:v>
      </x:c>
      <x:c r="N4096" s="34" t="str">
        <x:v>Feedback-Directed Random Test Generation/Result/Lang_60/result.json</x:v>
      </x:c>
      <x:c r="O4096" s="38" t="n">
        <x:f>IF(AND(G4096="RECORDED",ISNUMBER(H4096)),H4096,"")</x:f>
        <x:v>89.87</x:v>
      </x:c>
      <x:c r="P4096" s="34" t="str">
        <x:v>INCONCLUSIVE</x:v>
      </x:c>
      <x:c r="Q4096" s="34" t="str">
        <x:v>Feedback-Directed Random Test Generation/Result/Lang_60/result.json</x:v>
      </x:c>
    </x:row>
    <x:row r="4097">
      <x:c r="A4097" s="34" t="str">
        <x:v>randoop</x:v>
      </x:c>
      <x:c r="B4097" s="34" t="str">
        <x:v>Lang</x:v>
      </x:c>
      <x:c r="C4097" s="34" t="str">
        <x:v>Round1</x:v>
      </x:c>
      <x:c r="D4097" s="34" t="str">
        <x:v>Lang_61</x:v>
      </x:c>
      <x:c r="E4097" s="34" t="str">
        <x:v>Condition</x:v>
      </x:c>
      <x:c r="F4097" s="34" t="n">
        <x:v>464</x:v>
      </x:c>
      <x:c r="G4097" s="34" t="str">
        <x:v>RECORDED</x:v>
      </x:c>
      <x:c r="H4097" s="38" t="n">
        <x:f>IF(ISNUMBER('Data'!I681),'Data'!I681*100,"")</x:f>
        <x:v>90.3</x:v>
      </x:c>
      <x:c r="I4097" s="34" t="str">
        <x:v>PASS</x:v>
      </x:c>
      <x:c r="J4097" s="34" t="str">
        <x:v>PASS</x:v>
      </x:c>
      <x:c r="K4097" s="34" t="str">
        <x:v>PASS</x:v>
      </x:c>
      <x:c r="L4097" s="34" t="str">
        <x:v>FAIL</x:v>
      </x:c>
      <x:c r="M4097" s="34" t="str">
        <x:v>numeric coverage for applicable metric</x:v>
      </x:c>
      <x:c r="N4097" s="34" t="str">
        <x:v>Feedback-Directed Random Test Generation/Result/Lang_61/result.json</x:v>
      </x:c>
      <x:c r="O4097" s="38" t="n">
        <x:f>IF(AND(G4097="RECORDED",ISNUMBER(H4097)),H4097,"")</x:f>
        <x:v>90.3</x:v>
      </x:c>
      <x:c r="P4097" s="34" t="str">
        <x:v>INCONCLUSIVE</x:v>
      </x:c>
      <x:c r="Q4097" s="34" t="str">
        <x:v>Feedback-Directed Random Test Generation/Result/Lang_61/result.json</x:v>
      </x:c>
    </x:row>
    <x:row r="4098">
      <x:c r="A4098" s="34" t="str">
        <x:v>randoop</x:v>
      </x:c>
      <x:c r="B4098" s="34" t="str">
        <x:v>Lang</x:v>
      </x:c>
      <x:c r="C4098" s="34" t="str">
        <x:v>Round1</x:v>
      </x:c>
      <x:c r="D4098" s="34" t="str">
        <x:v>Lang_62</x:v>
      </x:c>
      <x:c r="E4098" s="34" t="str">
        <x:v>Condition</x:v>
      </x:c>
      <x:c r="F4098" s="34" t="n">
        <x:v>90</x:v>
      </x:c>
      <x:c r="G4098" s="34" t="str">
        <x:v>RECORDED</x:v>
      </x:c>
      <x:c r="H4098" s="38" t="n">
        <x:f>IF(ISNUMBER('Data'!I682),'Data'!I682*100,"")</x:f>
        <x:v>45.56</x:v>
      </x:c>
      <x:c r="I4098" s="34" t="str">
        <x:v>PASS</x:v>
      </x:c>
      <x:c r="J4098" s="34" t="str">
        <x:v>PASS</x:v>
      </x:c>
      <x:c r="K4098" s="34" t="str">
        <x:v>PASS</x:v>
      </x:c>
      <x:c r="L4098" s="34" t="str">
        <x:v>FAIL</x:v>
      </x:c>
      <x:c r="M4098" s="34" t="str">
        <x:v>numeric coverage for applicable metric</x:v>
      </x:c>
      <x:c r="N4098" s="34" t="str">
        <x:v>Feedback-Directed Random Test Generation/Result/Lang_62/result.json</x:v>
      </x:c>
      <x:c r="O4098" s="38" t="n">
        <x:f>IF(AND(G4098="RECORDED",ISNUMBER(H4098)),H4098,"")</x:f>
        <x:v>45.56</x:v>
      </x:c>
      <x:c r="P4098" s="34" t="str">
        <x:v>INCONCLUSIVE</x:v>
      </x:c>
      <x:c r="Q4098" s="34" t="str">
        <x:v>Feedback-Directed Random Test Generation/Result/Lang_62/result.json</x:v>
      </x:c>
    </x:row>
    <x:row r="4099">
      <x:c r="A4099" s="34" t="str">
        <x:v>randoop</x:v>
      </x:c>
      <x:c r="B4099" s="34" t="str">
        <x:v>Lang</x:v>
      </x:c>
      <x:c r="C4099" s="34" t="str">
        <x:v>Round1</x:v>
      </x:c>
      <x:c r="D4099" s="34" t="str">
        <x:v>Lang_63</x:v>
      </x:c>
      <x:c r="E4099" s="34" t="str">
        <x:v>Condition</x:v>
      </x:c>
      <x:c r="F4099" s="34" t="n">
        <x:v>135</x:v>
      </x:c>
      <x:c r="G4099" s="34" t="str">
        <x:v>RECORDED</x:v>
      </x:c>
      <x:c r="H4099" s="38" t="n">
        <x:f>IF(ISNUMBER('Data'!I683),'Data'!I683*100,"")</x:f>
        <x:v>71.85</x:v>
      </x:c>
      <x:c r="I4099" s="34" t="str">
        <x:v>PASS</x:v>
      </x:c>
      <x:c r="J4099" s="34" t="str">
        <x:v>PASS</x:v>
      </x:c>
      <x:c r="K4099" s="34" t="str">
        <x:v>PASS</x:v>
      </x:c>
      <x:c r="L4099" s="34" t="str">
        <x:v>PASS</x:v>
      </x:c>
      <x:c r="M4099" s="34" t="str">
        <x:v>numeric coverage for applicable metric</x:v>
      </x:c>
      <x:c r="N4099" s="34" t="str">
        <x:v>Feedback-Directed Random Test Generation/Result/Lang_63/result.json</x:v>
      </x:c>
      <x:c r="O4099" s="38" t="n">
        <x:f>IF(AND(G4099="RECORDED",ISNUMBER(H4099)),H4099,"")</x:f>
        <x:v>71.85</x:v>
      </x:c>
      <x:c r="P4099" s="34" t="str">
        <x:v>NOT_AVAILABLE</x:v>
      </x:c>
      <x:c r="Q4099" s="34" t="str">
        <x:v>Feedback-Directed Random Test Generation/Result/Lang_63/result.json</x:v>
      </x:c>
    </x:row>
    <x:row r="4100">
      <x:c r="A4100" s="34" t="str">
        <x:v>randoop</x:v>
      </x:c>
      <x:c r="B4100" s="34" t="str">
        <x:v>Lang</x:v>
      </x:c>
      <x:c r="C4100" s="34" t="str">
        <x:v>Round1</x:v>
      </x:c>
      <x:c r="D4100" s="34" t="str">
        <x:v>Lang_64</x:v>
      </x:c>
      <x:c r="E4100" s="34" t="str">
        <x:v>Condition</x:v>
      </x:c>
      <x:c r="F4100" s="34" t="n">
        <x:v>8</x:v>
      </x:c>
      <x:c r="G4100" s="34" t="str">
        <x:v>RECORDED</x:v>
      </x:c>
      <x:c r="H4100" s="38" t="n">
        <x:f>IF(ISNUMBER('Data'!I684),'Data'!I684*100,"")</x:f>
        <x:v>25</x:v>
      </x:c>
      <x:c r="I4100" s="34" t="str">
        <x:v>PASS</x:v>
      </x:c>
      <x:c r="J4100" s="34" t="str">
        <x:v>PASS</x:v>
      </x:c>
      <x:c r="K4100" s="34" t="str">
        <x:v>PASS</x:v>
      </x:c>
      <x:c r="L4100" s="34" t="str">
        <x:v>PASS</x:v>
      </x:c>
      <x:c r="M4100" s="34" t="str">
        <x:v>numeric coverage for applicable metric</x:v>
      </x:c>
      <x:c r="N4100" s="34" t="str">
        <x:v>Feedback-Directed Random Test Generation/Result/Lang_64/result.json</x:v>
      </x:c>
      <x:c r="O4100" s="38" t="n">
        <x:f>IF(AND(G4100="RECORDED",ISNUMBER(H4100)),H4100,"")</x:f>
        <x:v>25</x:v>
      </x:c>
      <x:c r="P4100" s="34" t="str">
        <x:v>NOT_REVEALING</x:v>
      </x:c>
      <x:c r="Q4100" s="34" t="str">
        <x:v>Feedback-Directed Random Test Generation/Result/Lang_64/result.json</x:v>
      </x:c>
    </x:row>
    <x:row r="4101">
      <x:c r="A4101" s="34" t="str">
        <x:v>randoop</x:v>
      </x:c>
      <x:c r="B4101" s="34" t="str">
        <x:v>Lang</x:v>
      </x:c>
      <x:c r="C4101" s="34" t="str">
        <x:v>Round1</x:v>
      </x:c>
      <x:c r="D4101" s="34" t="str">
        <x:v>Lang_65</x:v>
      </x:c>
      <x:c r="E4101" s="34" t="str">
        <x:v>Condition</x:v>
      </x:c>
      <x:c r="F4101" s="34" t="n">
        <x:v>149</x:v>
      </x:c>
      <x:c r="G4101" s="34" t="str">
        <x:v>RECORDED</x:v>
      </x:c>
      <x:c r="H4101" s="38" t="n">
        <x:f>IF(ISNUMBER('Data'!I685),'Data'!I685*100,"")</x:f>
        <x:v>69.8</x:v>
      </x:c>
      <x:c r="I4101" s="34" t="str">
        <x:v>PASS</x:v>
      </x:c>
      <x:c r="J4101" s="34" t="str">
        <x:v>PASS</x:v>
      </x:c>
      <x:c r="K4101" s="34" t="str">
        <x:v>PASS</x:v>
      </x:c>
      <x:c r="L4101" s="34" t="str">
        <x:v>FAIL</x:v>
      </x:c>
      <x:c r="M4101" s="34" t="str">
        <x:v>numeric coverage for applicable metric</x:v>
      </x:c>
      <x:c r="N4101" s="34" t="str">
        <x:v>Feedback-Directed Random Test Generation/Result/Lang_65/result.json</x:v>
      </x:c>
      <x:c r="O4101" s="38" t="n">
        <x:f>IF(AND(G4101="RECORDED",ISNUMBER(H4101)),H4101,"")</x:f>
        <x:v>69.8</x:v>
      </x:c>
      <x:c r="P4101" s="34" t="str">
        <x:v>INCONCLUSIVE</x:v>
      </x:c>
      <x:c r="Q4101" s="34" t="str">
        <x:v>Feedback-Directed Random Test Generation/Result/Lang_65/result.json</x:v>
      </x:c>
    </x:row>
    <x:row r="4102">
      <x:c r="A4102" s="34" t="str">
        <x:v>randoop</x:v>
      </x:c>
      <x:c r="B4102" s="34" t="str">
        <x:v>Math</x:v>
      </x:c>
      <x:c r="C4102" s="34" t="str">
        <x:v>Round1</x:v>
      </x:c>
      <x:c r="D4102" s="34" t="str">
        <x:v>Math_1</x:v>
      </x:c>
      <x:c r="E4102" s="34" t="str">
        <x:v>Condition</x:v>
      </x:c>
      <x:c r="F4102" s="34" t="n">
        <x:v>192</x:v>
      </x:c>
      <x:c r="G4102" s="34" t="str">
        <x:v>RECORDED</x:v>
      </x:c>
      <x:c r="H4102" s="38" t="n">
        <x:f>IF(ISNUMBER('Data'!I686),'Data'!I686*100,"")</x:f>
        <x:v>88.02</x:v>
      </x:c>
      <x:c r="I4102" s="34" t="str">
        <x:v>PASS</x:v>
      </x:c>
      <x:c r="J4102" s="34" t="str">
        <x:v>PASS</x:v>
      </x:c>
      <x:c r="K4102" s="34" t="str">
        <x:v>PASS</x:v>
      </x:c>
      <x:c r="L4102" s="34" t="str">
        <x:v>FAIL</x:v>
      </x:c>
      <x:c r="M4102" s="34" t="str">
        <x:v>numeric coverage for applicable metric</x:v>
      </x:c>
      <x:c r="N4102" s="34" t="str">
        <x:v>Feedback-Directed Random Test Generation/Result/Math_1/result.json</x:v>
      </x:c>
      <x:c r="O4102" s="38" t="n">
        <x:f>IF(AND(G4102="RECORDED",ISNUMBER(H4102)),H4102,"")</x:f>
        <x:v>88.02</x:v>
      </x:c>
      <x:c r="P4102" s="34" t="str">
        <x:v>INCONCLUSIVE</x:v>
      </x:c>
      <x:c r="Q4102" s="34" t="str">
        <x:v>Feedback-Directed Random Test Generation/Result/Math_1/result.json</x:v>
      </x:c>
    </x:row>
    <x:row r="4103">
      <x:c r="A4103" s="34" t="str">
        <x:v>randoop</x:v>
      </x:c>
      <x:c r="B4103" s="34" t="str">
        <x:v>Math</x:v>
      </x:c>
      <x:c r="C4103" s="34" t="str">
        <x:v>Round1</x:v>
      </x:c>
      <x:c r="D4103" s="34" t="str">
        <x:v>Math_2</x:v>
      </x:c>
      <x:c r="E4103" s="34" t="str">
        <x:v>Condition</x:v>
      </x:c>
      <x:c r="F4103" s="34" t="n">
        <x:v>26</x:v>
      </x:c>
      <x:c r="G4103" s="34" t="str">
        <x:v>RECORDED</x:v>
      </x:c>
      <x:c r="H4103" s="38" t="n">
        <x:f>IF(ISNUMBER('Data'!I687),'Data'!I687*100,"")</x:f>
        <x:v>100</x:v>
      </x:c>
      <x:c r="I4103" s="34" t="str">
        <x:v>PASS</x:v>
      </x:c>
      <x:c r="J4103" s="34" t="str">
        <x:v>PASS</x:v>
      </x:c>
      <x:c r="K4103" s="34" t="str">
        <x:v>PASS</x:v>
      </x:c>
      <x:c r="L4103" s="34" t="str">
        <x:v>FAIL</x:v>
      </x:c>
      <x:c r="M4103" s="34" t="str">
        <x:v>numeric coverage for applicable metric</x:v>
      </x:c>
      <x:c r="N4103" s="34" t="str">
        <x:v>Feedback-Directed Random Test Generation/Result/Math_2/result.json</x:v>
      </x:c>
      <x:c r="O4103" s="38" t="n">
        <x:f>IF(AND(G4103="RECORDED",ISNUMBER(H4103)),H4103,"")</x:f>
        <x:v>100</x:v>
      </x:c>
      <x:c r="P4103" s="34" t="str">
        <x:v>INCONCLUSIVE</x:v>
      </x:c>
      <x:c r="Q4103" s="34" t="str">
        <x:v>Feedback-Directed Random Test Generation/Result/Math_2/result.json</x:v>
      </x:c>
    </x:row>
    <x:row r="4104">
      <x:c r="A4104" s="34" t="str">
        <x:v>randoop</x:v>
      </x:c>
      <x:c r="B4104" s="34" t="str">
        <x:v>Math</x:v>
      </x:c>
      <x:c r="C4104" s="34" t="str">
        <x:v>Round1</x:v>
      </x:c>
      <x:c r="D4104" s="34" t="str">
        <x:v>Math_3</x:v>
      </x:c>
      <x:c r="E4104" s="34" t="str">
        <x:v>Condition</x:v>
      </x:c>
      <x:c r="F4104" s="34" t="n">
        <x:v>234</x:v>
      </x:c>
      <x:c r="G4104" s="34" t="str">
        <x:v>RECORDED</x:v>
      </x:c>
      <x:c r="H4104" s="38" t="n">
        <x:f>IF(ISNUMBER('Data'!I688),'Data'!I688*100,"")</x:f>
        <x:v>89.74</x:v>
      </x:c>
      <x:c r="I4104" s="34" t="str">
        <x:v>PASS</x:v>
      </x:c>
      <x:c r="J4104" s="34" t="str">
        <x:v>PASS</x:v>
      </x:c>
      <x:c r="K4104" s="34" t="str">
        <x:v>PASS</x:v>
      </x:c>
      <x:c r="L4104" s="34" t="str">
        <x:v>PASS</x:v>
      </x:c>
      <x:c r="M4104" s="34" t="str">
        <x:v>numeric coverage for applicable metric</x:v>
      </x:c>
      <x:c r="N4104" s="34" t="str">
        <x:v>Feedback-Directed Random Test Generation/Result/Math_3/result.json</x:v>
      </x:c>
      <x:c r="O4104" s="38" t="n">
        <x:f>IF(AND(G4104="RECORDED",ISNUMBER(H4104)),H4104,"")</x:f>
        <x:v>89.74</x:v>
      </x:c>
      <x:c r="P4104" s="34" t="str">
        <x:v>INCONCLUSIVE</x:v>
      </x:c>
      <x:c r="Q4104" s="34" t="str">
        <x:v>Feedback-Directed Random Test Generation/Result/Math_3/result.json</x:v>
      </x:c>
    </x:row>
    <x:row r="4105">
      <x:c r="A4105" s="34" t="str">
        <x:v>randoop</x:v>
      </x:c>
      <x:c r="B4105" s="34" t="str">
        <x:v>Math</x:v>
      </x:c>
      <x:c r="C4105" s="34" t="str">
        <x:v>Round1</x:v>
      </x:c>
      <x:c r="D4105" s="34" t="str">
        <x:v>Math_4</x:v>
      </x:c>
      <x:c r="E4105" s="34" t="str">
        <x:v>Condition</x:v>
      </x:c>
      <x:c r="F4105" s="34" t="n">
        <x:v>44</x:v>
      </x:c>
      <x:c r="G4105" s="34" t="str">
        <x:v>RECORDED</x:v>
      </x:c>
      <x:c r="H4105" s="38" t="n">
        <x:f>IF(ISNUMBER('Data'!I689),'Data'!I689*100,"")</x:f>
        <x:v>0</x:v>
      </x:c>
      <x:c r="I4105" s="34" t="str">
        <x:v>PASS</x:v>
      </x:c>
      <x:c r="J4105" s="34" t="str">
        <x:v>PASS</x:v>
      </x:c>
      <x:c r="K4105" s="34" t="str">
        <x:v>PASS</x:v>
      </x:c>
      <x:c r="L4105" s="34" t="str">
        <x:v>PASS</x:v>
      </x:c>
      <x:c r="M4105" s="34" t="str">
        <x:v>numeric coverage for applicable metric</x:v>
      </x:c>
      <x:c r="N4105" s="34" t="str">
        <x:v>Feedback-Directed Random Test Generation/Result/Math_4/result.json</x:v>
      </x:c>
      <x:c r="O4105" s="38" t="n">
        <x:f>IF(AND(G4105="RECORDED",ISNUMBER(H4105)),H4105,"")</x:f>
        <x:v>0</x:v>
      </x:c>
      <x:c r="P4105" s="34" t="str">
        <x:v>NOT_REVEALING</x:v>
      </x:c>
      <x:c r="Q4105" s="34" t="str">
        <x:v>Feedback-Directed Random Test Generation/Result/Math_4/result.json</x:v>
      </x:c>
    </x:row>
    <x:row r="4106">
      <x:c r="A4106" s="34" t="str">
        <x:v>randoop</x:v>
      </x:c>
      <x:c r="B4106" s="34" t="str">
        <x:v>Math</x:v>
      </x:c>
      <x:c r="C4106" s="34" t="str">
        <x:v>Round1</x:v>
      </x:c>
      <x:c r="D4106" s="34" t="str">
        <x:v>Math_5</x:v>
      </x:c>
      <x:c r="E4106" s="34" t="str">
        <x:v>Condition</x:v>
      </x:c>
      <x:c r="F4106" s="34" t="n">
        <x:v>170</x:v>
      </x:c>
      <x:c r="G4106" s="34" t="str">
        <x:v>RECORDED</x:v>
      </x:c>
      <x:c r="H4106" s="38" t="n">
        <x:f>IF(ISNUMBER('Data'!I690),'Data'!I690*100,"")</x:f>
        <x:v>94.12</x:v>
      </x:c>
      <x:c r="I4106" s="34" t="str">
        <x:v>PASS</x:v>
      </x:c>
      <x:c r="J4106" s="34" t="str">
        <x:v>PASS</x:v>
      </x:c>
      <x:c r="K4106" s="34" t="str">
        <x:v>PASS</x:v>
      </x:c>
      <x:c r="L4106" s="34" t="str">
        <x:v>FAIL</x:v>
      </x:c>
      <x:c r="M4106" s="34" t="str">
        <x:v>numeric coverage for applicable metric</x:v>
      </x:c>
      <x:c r="N4106" s="34" t="str">
        <x:v>Feedback-Directed Random Test Generation/Result/Math_5/result.json</x:v>
      </x:c>
      <x:c r="O4106" s="38" t="n">
        <x:f>IF(AND(G4106="RECORDED",ISNUMBER(H4106)),H4106,"")</x:f>
        <x:v>94.12</x:v>
      </x:c>
      <x:c r="P4106" s="34" t="str">
        <x:v>INCONCLUSIVE</x:v>
      </x:c>
      <x:c r="Q4106" s="34" t="str">
        <x:v>Feedback-Directed Random Test Generation/Result/Math_5/result.json</x:v>
      </x:c>
    </x:row>
    <x:row r="4107">
      <x:c r="A4107" s="34" t="str">
        <x:v>randoop</x:v>
      </x:c>
      <x:c r="B4107" s="34" t="str">
        <x:v>Math</x:v>
      </x:c>
      <x:c r="C4107" s="34" t="str">
        <x:v>Round1</x:v>
      </x:c>
      <x:c r="D4107" s="34" t="str">
        <x:v>Math_6</x:v>
      </x:c>
      <x:c r="E4107" s="34" t="str">
        <x:v>Condition</x:v>
      </x:c>
      <x:c r="F4107" s="34" t="n">
        <x:v>587</x:v>
      </x:c>
      <x:c r="G4107" s="34" t="str">
        <x:v>RECORDED</x:v>
      </x:c>
      <x:c r="H4107" s="38" t="n">
        <x:f>IF(ISNUMBER('Data'!I691),'Data'!I691*100,"")</x:f>
        <x:v>6.3</x:v>
      </x:c>
      <x:c r="I4107" s="34" t="str">
        <x:v>PASS</x:v>
      </x:c>
      <x:c r="J4107" s="34" t="str">
        <x:v>PASS</x:v>
      </x:c>
      <x:c r="K4107" s="34" t="str">
        <x:v>PASS</x:v>
      </x:c>
      <x:c r="L4107" s="34" t="str">
        <x:v>FAIL</x:v>
      </x:c>
      <x:c r="M4107" s="34" t="str">
        <x:v>numeric coverage for applicable metric</x:v>
      </x:c>
      <x:c r="N4107" s="34" t="str">
        <x:v>Feedback-Directed Random Test Generation/Result/Math_6/result.json</x:v>
      </x:c>
      <x:c r="O4107" s="38" t="n">
        <x:f>IF(AND(G4107="RECORDED",ISNUMBER(H4107)),H4107,"")</x:f>
        <x:v>6.3</x:v>
      </x:c>
      <x:c r="P4107" s="34" t="str">
        <x:v>INCONCLUSIVE</x:v>
      </x:c>
      <x:c r="Q4107" s="34" t="str">
        <x:v>Feedback-Directed Random Test Generation/Result/Math_6/result.json</x:v>
      </x:c>
    </x:row>
    <x:row r="4108">
      <x:c r="A4108" s="34" t="str">
        <x:v>randoop</x:v>
      </x:c>
      <x:c r="B4108" s="34" t="str">
        <x:v>Math</x:v>
      </x:c>
      <x:c r="C4108" s="34" t="str">
        <x:v>Round1</x:v>
      </x:c>
      <x:c r="D4108" s="34" t="str">
        <x:v>Math_7</x:v>
      </x:c>
      <x:c r="E4108" s="34" t="str">
        <x:v>Condition</x:v>
      </x:c>
      <x:c r="F4108" s="34" t="n">
        <x:v>50</x:v>
      </x:c>
      <x:c r="G4108" s="34" t="str">
        <x:v>RECORDED</x:v>
      </x:c>
      <x:c r="H4108" s="38" t="n">
        <x:f>IF(ISNUMBER('Data'!I692),'Data'!I692*100,"")</x:f>
        <x:v>0</x:v>
      </x:c>
      <x:c r="I4108" s="34" t="str">
        <x:v>PASS</x:v>
      </x:c>
      <x:c r="J4108" s="34" t="str">
        <x:v>PASS</x:v>
      </x:c>
      <x:c r="K4108" s="34" t="str">
        <x:v>PASS</x:v>
      </x:c>
      <x:c r="L4108" s="34" t="str">
        <x:v>PASS</x:v>
      </x:c>
      <x:c r="M4108" s="34" t="str">
        <x:v>numeric coverage for applicable metric</x:v>
      </x:c>
      <x:c r="N4108" s="34" t="str">
        <x:v>Feedback-Directed Random Test Generation/Result/Math_7/result.json</x:v>
      </x:c>
      <x:c r="O4108" s="38" t="n">
        <x:f>IF(AND(G4108="RECORDED",ISNUMBER(H4108)),H4108,"")</x:f>
        <x:v>0</x:v>
      </x:c>
      <x:c r="P4108" s="34" t="str">
        <x:v>NOT_REVEALING</x:v>
      </x:c>
      <x:c r="Q4108" s="34" t="str">
        <x:v>Feedback-Directed Random Test Generation/Result/Math_7/result.json</x:v>
      </x:c>
    </x:row>
    <x:row r="4109">
      <x:c r="A4109" s="34" t="str">
        <x:v>randoop</x:v>
      </x:c>
      <x:c r="B4109" s="34" t="str">
        <x:v>Math</x:v>
      </x:c>
      <x:c r="C4109" s="34" t="str">
        <x:v>Round1</x:v>
      </x:c>
      <x:c r="D4109" s="34" t="str">
        <x:v>Math_8</x:v>
      </x:c>
      <x:c r="E4109" s="34" t="str">
        <x:v>Condition</x:v>
      </x:c>
      <x:c r="F4109" s="34" t="n">
        <x:v>24</x:v>
      </x:c>
      <x:c r="G4109" s="34" t="str">
        <x:v>RECORDED</x:v>
      </x:c>
      <x:c r="H4109" s="38" t="n">
        <x:f>IF(ISNUMBER('Data'!I693),'Data'!I693*100,"")</x:f>
        <x:v>4.17</x:v>
      </x:c>
      <x:c r="I4109" s="34" t="str">
        <x:v>PASS</x:v>
      </x:c>
      <x:c r="J4109" s="34" t="str">
        <x:v>PASS</x:v>
      </x:c>
      <x:c r="K4109" s="34" t="str">
        <x:v>PASS</x:v>
      </x:c>
      <x:c r="L4109" s="34" t="str">
        <x:v>PASS</x:v>
      </x:c>
      <x:c r="M4109" s="34" t="str">
        <x:v>numeric coverage for applicable metric</x:v>
      </x:c>
      <x:c r="N4109" s="34" t="str">
        <x:v>Feedback-Directed Random Test Generation/Result/Math_8/result.json</x:v>
      </x:c>
      <x:c r="O4109" s="38" t="n">
        <x:f>IF(AND(G4109="RECORDED",ISNUMBER(H4109)),H4109,"")</x:f>
        <x:v>4.17</x:v>
      </x:c>
      <x:c r="P4109" s="34" t="str">
        <x:v>NOT_REVEALING</x:v>
      </x:c>
      <x:c r="Q4109" s="34" t="str">
        <x:v>Feedback-Directed Random Test Generation/Result/Math_8/result.json</x:v>
      </x:c>
    </x:row>
    <x:row r="4110">
      <x:c r="A4110" s="34" t="str">
        <x:v>randoop</x:v>
      </x:c>
      <x:c r="B4110" s="34" t="str">
        <x:v>Math</x:v>
      </x:c>
      <x:c r="C4110" s="34" t="str">
        <x:v>Round1</x:v>
      </x:c>
      <x:c r="D4110" s="34" t="str">
        <x:v>Math_9</x:v>
      </x:c>
      <x:c r="E4110" s="34" t="str">
        <x:v>Condition</x:v>
      </x:c>
      <x:c r="F4110" s="34" t="n">
        <x:v>16</x:v>
      </x:c>
      <x:c r="G4110" s="34" t="str">
        <x:v>RECORDED</x:v>
      </x:c>
      <x:c r="H4110" s="38" t="n">
        <x:f>IF(ISNUMBER('Data'!I694),'Data'!I694*100,"")</x:f>
        <x:v>0</x:v>
      </x:c>
      <x:c r="I4110" s="34" t="str">
        <x:v>PASS</x:v>
      </x:c>
      <x:c r="J4110" s="34" t="str">
        <x:v>PASS</x:v>
      </x:c>
      <x:c r="K4110" s="34" t="str">
        <x:v>PASS</x:v>
      </x:c>
      <x:c r="L4110" s="34" t="str">
        <x:v>PASS</x:v>
      </x:c>
      <x:c r="M4110" s="34" t="str">
        <x:v>numeric coverage for applicable metric</x:v>
      </x:c>
      <x:c r="N4110" s="34" t="str">
        <x:v>Feedback-Directed Random Test Generation/Result/Math_9/result.json</x:v>
      </x:c>
      <x:c r="O4110" s="38" t="n">
        <x:f>IF(AND(G4110="RECORDED",ISNUMBER(H4110)),H4110,"")</x:f>
        <x:v>0</x:v>
      </x:c>
      <x:c r="P4110" s="34" t="str">
        <x:v>NOT_REVEALING</x:v>
      </x:c>
      <x:c r="Q4110" s="34" t="str">
        <x:v>Feedback-Directed Random Test Generation/Result/Math_9/result.json</x:v>
      </x:c>
    </x:row>
    <x:row r="4111">
      <x:c r="A4111" s="34" t="str">
        <x:v>randoop</x:v>
      </x:c>
      <x:c r="B4111" s="34" t="str">
        <x:v>Math</x:v>
      </x:c>
      <x:c r="C4111" s="34" t="str">
        <x:v>Round1</x:v>
      </x:c>
      <x:c r="D4111" s="34" t="str">
        <x:v>Math_10</x:v>
      </x:c>
      <x:c r="E4111" s="34" t="str">
        <x:v>Condition</x:v>
      </x:c>
      <x:c r="F4111" s="34" t="n">
        <x:v>286</x:v>
      </x:c>
      <x:c r="G4111" s="34" t="str">
        <x:v>RECORDED</x:v>
      </x:c>
      <x:c r="H4111" s="38" t="n">
        <x:f>IF(ISNUMBER('Data'!I695),'Data'!I695*100,"")</x:f>
        <x:v>23.78</x:v>
      </x:c>
      <x:c r="I4111" s="34" t="str">
        <x:v>PASS</x:v>
      </x:c>
      <x:c r="J4111" s="34" t="str">
        <x:v>PASS</x:v>
      </x:c>
      <x:c r="K4111" s="34" t="str">
        <x:v>PASS</x:v>
      </x:c>
      <x:c r="L4111" s="34" t="str">
        <x:v>PASS</x:v>
      </x:c>
      <x:c r="M4111" s="34" t="str">
        <x:v>numeric coverage for applicable metric</x:v>
      </x:c>
      <x:c r="N4111" s="34" t="str">
        <x:v>Feedback-Directed Random Test Generation/Result/Math_10/result.json</x:v>
      </x:c>
      <x:c r="O4111" s="38" t="n">
        <x:f>IF(AND(G4111="RECORDED",ISNUMBER(H4111)),H4111,"")</x:f>
        <x:v>23.78</x:v>
      </x:c>
      <x:c r="P4111" s="34" t="str">
        <x:v>NOT_REVEALING</x:v>
      </x:c>
      <x:c r="Q4111" s="34" t="str">
        <x:v>Feedback-Directed Random Test Generation/Result/Math_10/result.json</x:v>
      </x:c>
    </x:row>
    <x:row r="4112">
      <x:c r="A4112" s="34" t="str">
        <x:v>randoop</x:v>
      </x:c>
      <x:c r="B4112" s="34" t="str">
        <x:v>Math</x:v>
      </x:c>
      <x:c r="C4112" s="34" t="str">
        <x:v>Round1</x:v>
      </x:c>
      <x:c r="D4112" s="34" t="str">
        <x:v>Math_11</x:v>
      </x:c>
      <x:c r="E4112" s="34" t="str">
        <x:v>Condition</x:v>
      </x:c>
      <x:c r="F4112" s="34" t="n">
        <x:v>28</x:v>
      </x:c>
      <x:c r="G4112" s="34" t="str">
        <x:v>RECORDED</x:v>
      </x:c>
      <x:c r="H4112" s="38" t="n">
        <x:f>IF(ISNUMBER('Data'!I696),'Data'!I696*100,"")</x:f>
        <x:v>100</x:v>
      </x:c>
      <x:c r="I4112" s="34" t="str">
        <x:v>PASS</x:v>
      </x:c>
      <x:c r="J4112" s="34" t="str">
        <x:v>PASS</x:v>
      </x:c>
      <x:c r="K4112" s="34" t="str">
        <x:v>PASS</x:v>
      </x:c>
      <x:c r="L4112" s="34" t="str">
        <x:v>PASS</x:v>
      </x:c>
      <x:c r="M4112" s="34" t="str">
        <x:v>numeric coverage for applicable metric</x:v>
      </x:c>
      <x:c r="N4112" s="34" t="str">
        <x:v>Feedback-Directed Random Test Generation/Result/Math_11/result.json</x:v>
      </x:c>
      <x:c r="O4112" s="38" t="n">
        <x:f>IF(AND(G4112="RECORDED",ISNUMBER(H4112)),H4112,"")</x:f>
        <x:v>100</x:v>
      </x:c>
      <x:c r="P4112" s="34" t="str">
        <x:v>INCONCLUSIVE</x:v>
      </x:c>
      <x:c r="Q4112" s="34" t="str">
        <x:v>Feedback-Directed Random Test Generation/Result/Math_11/result.json</x:v>
      </x:c>
    </x:row>
    <x:row r="4113">
      <x:c r="A4113" s="34" t="str">
        <x:v>randoop</x:v>
      </x:c>
      <x:c r="B4113" s="34" t="str">
        <x:v>Math</x:v>
      </x:c>
      <x:c r="C4113" s="34" t="str">
        <x:v>Round1</x:v>
      </x:c>
      <x:c r="D4113" s="34" t="str">
        <x:v>Math_12</x:v>
      </x:c>
      <x:c r="E4113" s="34" t="str">
        <x:v>Condition</x:v>
      </x:c>
      <x:c r="F4113" s="34" t="n">
        <x:v>14</x:v>
      </x:c>
      <x:c r="G4113" s="34" t="str">
        <x:v>RECORDED</x:v>
      </x:c>
      <x:c r="H4113" s="38" t="n">
        <x:f>IF(ISNUMBER('Data'!I697),'Data'!I697*100,"")</x:f>
        <x:v>0</x:v>
      </x:c>
      <x:c r="I4113" s="34" t="str">
        <x:v>PASS</x:v>
      </x:c>
      <x:c r="J4113" s="34" t="str">
        <x:v>PASS</x:v>
      </x:c>
      <x:c r="K4113" s="34" t="str">
        <x:v>PASS</x:v>
      </x:c>
      <x:c r="L4113" s="34" t="str">
        <x:v>PASS</x:v>
      </x:c>
      <x:c r="M4113" s="34" t="str">
        <x:v>numeric coverage for applicable metric</x:v>
      </x:c>
      <x:c r="N4113" s="34" t="str">
        <x:v>Feedback-Directed Random Test Generation/Result/Math_12/result.json</x:v>
      </x:c>
      <x:c r="O4113" s="38" t="n">
        <x:f>IF(AND(G4113="RECORDED",ISNUMBER(H4113)),H4113,"")</x:f>
        <x:v>0</x:v>
      </x:c>
      <x:c r="P4113" s="34" t="str">
        <x:v>NOT_REVEALING</x:v>
      </x:c>
      <x:c r="Q4113" s="34" t="str">
        <x:v>Feedback-Directed Random Test Generation/Result/Math_12/result.json</x:v>
      </x:c>
    </x:row>
    <x:row r="4114">
      <x:c r="A4114" s="34" t="str">
        <x:v>randoop</x:v>
      </x:c>
      <x:c r="B4114" s="34" t="str">
        <x:v>Math</x:v>
      </x:c>
      <x:c r="C4114" s="34" t="str">
        <x:v>Round1</x:v>
      </x:c>
      <x:c r="D4114" s="34" t="str">
        <x:v>Math_13</x:v>
      </x:c>
      <x:c r="E4114" s="34" t="str">
        <x:v>Condition</x:v>
      </x:c>
      <x:c r="F4114" s="34" t="n">
        <x:v>18</x:v>
      </x:c>
      <x:c r="G4114" s="34" t="str">
        <x:v>RECORDED</x:v>
      </x:c>
      <x:c r="H4114" s="38" t="n">
        <x:f>IF(ISNUMBER('Data'!I698),'Data'!I698*100,"")</x:f>
        <x:v>0</x:v>
      </x:c>
      <x:c r="I4114" s="34" t="str">
        <x:v>PASS</x:v>
      </x:c>
      <x:c r="J4114" s="34" t="str">
        <x:v>PASS</x:v>
      </x:c>
      <x:c r="K4114" s="34" t="str">
        <x:v>PASS</x:v>
      </x:c>
      <x:c r="L4114" s="34" t="str">
        <x:v>PASS</x:v>
      </x:c>
      <x:c r="M4114" s="34" t="str">
        <x:v>numeric coverage for applicable metric</x:v>
      </x:c>
      <x:c r="N4114" s="34" t="str">
        <x:v>Feedback-Directed Random Test Generation/Result/Math_13/result.json</x:v>
      </x:c>
      <x:c r="O4114" s="38" t="n">
        <x:f>IF(AND(G4114="RECORDED",ISNUMBER(H4114)),H4114,"")</x:f>
        <x:v>0</x:v>
      </x:c>
      <x:c r="P4114" s="34" t="str">
        <x:v>NOT_REVEALING</x:v>
      </x:c>
      <x:c r="Q4114" s="34" t="str">
        <x:v>Feedback-Directed Random Test Generation/Result/Math_13/result.json</x:v>
      </x:c>
    </x:row>
    <x:row r="4115">
      <x:c r="A4115" s="34" t="str">
        <x:v>randoop</x:v>
      </x:c>
      <x:c r="B4115" s="34" t="str">
        <x:v>Math</x:v>
      </x:c>
      <x:c r="C4115" s="34" t="str">
        <x:v>Round1</x:v>
      </x:c>
      <x:c r="D4115" s="34" t="str">
        <x:v>Math_14</x:v>
      </x:c>
      <x:c r="E4115" s="34" t="str">
        <x:v>Condition</x:v>
      </x:c>
      <x:c r="F4115" s="34" t="n">
        <x:v>14</x:v>
      </x:c>
      <x:c r="G4115" s="34" t="str">
        <x:v>RECORDED</x:v>
      </x:c>
      <x:c r="H4115" s="38" t="n">
        <x:f>IF(ISNUMBER('Data'!I699),'Data'!I699*100,"")</x:f>
        <x:v>21.43</x:v>
      </x:c>
      <x:c r="I4115" s="34" t="str">
        <x:v>PASS</x:v>
      </x:c>
      <x:c r="J4115" s="34" t="str">
        <x:v>PASS</x:v>
      </x:c>
      <x:c r="K4115" s="34" t="str">
        <x:v>PASS</x:v>
      </x:c>
      <x:c r="L4115" s="34" t="str">
        <x:v>PASS</x:v>
      </x:c>
      <x:c r="M4115" s="34" t="str">
        <x:v>numeric coverage for applicable metric</x:v>
      </x:c>
      <x:c r="N4115" s="34" t="str">
        <x:v>Feedback-Directed Random Test Generation/Result/Math_14/result.json</x:v>
      </x:c>
      <x:c r="O4115" s="38" t="n">
        <x:f>IF(AND(G4115="RECORDED",ISNUMBER(H4115)),H4115,"")</x:f>
        <x:v>21.43</x:v>
      </x:c>
      <x:c r="P4115" s="34" t="str">
        <x:v>INCONCLUSIVE</x:v>
      </x:c>
      <x:c r="Q4115" s="34" t="str">
        <x:v>Feedback-Directed Random Test Generation/Result/Math_14/result.json</x:v>
      </x:c>
    </x:row>
    <x:row r="4116">
      <x:c r="A4116" s="34" t="str">
        <x:v>randoop</x:v>
      </x:c>
      <x:c r="B4116" s="34" t="str">
        <x:v>Math</x:v>
      </x:c>
      <x:c r="C4116" s="34" t="str">
        <x:v>Round1</x:v>
      </x:c>
      <x:c r="D4116" s="34" t="str">
        <x:v>Math_15</x:v>
      </x:c>
      <x:c r="E4116" s="34" t="str">
        <x:v>Condition</x:v>
      </x:c>
      <x:c r="F4116" s="34" t="n">
        <x:v>798</x:v>
      </x:c>
      <x:c r="G4116" s="34" t="str">
        <x:v>RECORDED</x:v>
      </x:c>
      <x:c r="H4116" s="38" t="n">
        <x:f>IF(ISNUMBER('Data'!I700),'Data'!I700*100,"")</x:f>
        <x:v>78.45</x:v>
      </x:c>
      <x:c r="I4116" s="34" t="str">
        <x:v>PASS</x:v>
      </x:c>
      <x:c r="J4116" s="34" t="str">
        <x:v>PASS</x:v>
      </x:c>
      <x:c r="K4116" s="34" t="str">
        <x:v>PASS</x:v>
      </x:c>
      <x:c r="L4116" s="34" t="str">
        <x:v>PASS</x:v>
      </x:c>
      <x:c r="M4116" s="34" t="str">
        <x:v>numeric coverage for applicable metric</x:v>
      </x:c>
      <x:c r="N4116" s="34" t="str">
        <x:v>Feedback-Directed Random Test Generation/Result/Math_15/result.json</x:v>
      </x:c>
      <x:c r="O4116" s="38" t="n">
        <x:f>IF(AND(G4116="RECORDED",ISNUMBER(H4116)),H4116,"")</x:f>
        <x:v>78.45</x:v>
      </x:c>
      <x:c r="P4116" s="34" t="str">
        <x:v>NOT_REVEALING</x:v>
      </x:c>
      <x:c r="Q4116" s="34" t="str">
        <x:v>Feedback-Directed Random Test Generation/Result/Math_15/result.json</x:v>
      </x:c>
    </x:row>
    <x:row r="4117">
      <x:c r="A4117" s="34" t="str">
        <x:v>randoop</x:v>
      </x:c>
      <x:c r="B4117" s="34" t="str">
        <x:v>Math</x:v>
      </x:c>
      <x:c r="C4117" s="34" t="str">
        <x:v>Round1</x:v>
      </x:c>
      <x:c r="D4117" s="34" t="str">
        <x:v>Math_16</x:v>
      </x:c>
      <x:c r="E4117" s="34" t="str">
        <x:v>Condition</x:v>
      </x:c>
      <x:c r="F4117" s="34" t="n">
        <x:v>790</x:v>
      </x:c>
      <x:c r="G4117" s="34" t="str">
        <x:v>RECORDED</x:v>
      </x:c>
      <x:c r="H4117" s="38" t="n">
        <x:f>IF(ISNUMBER('Data'!I701),'Data'!I701*100,"")</x:f>
        <x:v>15.7</x:v>
      </x:c>
      <x:c r="I4117" s="34" t="str">
        <x:v>PASS</x:v>
      </x:c>
      <x:c r="J4117" s="34" t="str">
        <x:v>PASS</x:v>
      </x:c>
      <x:c r="K4117" s="34" t="str">
        <x:v>PASS</x:v>
      </x:c>
      <x:c r="L4117" s="34" t="str">
        <x:v>PASS</x:v>
      </x:c>
      <x:c r="M4117" s="34" t="str">
        <x:v>numeric coverage for applicable metric</x:v>
      </x:c>
      <x:c r="N4117" s="34" t="str">
        <x:v>Feedback-Directed Random Test Generation/Result/Math_16/result.json</x:v>
      </x:c>
      <x:c r="O4117" s="38" t="n">
        <x:f>IF(AND(G4117="RECORDED",ISNUMBER(H4117)),H4117,"")</x:f>
        <x:v>15.7</x:v>
      </x:c>
      <x:c r="P4117" s="34" t="str">
        <x:v>NOT_REVEALING</x:v>
      </x:c>
      <x:c r="Q4117" s="34" t="str">
        <x:v>Feedback-Directed Random Test Generation/Result/Math_16/result.json</x:v>
      </x:c>
    </x:row>
    <x:row r="4118">
      <x:c r="A4118" s="34" t="str">
        <x:v>randoop</x:v>
      </x:c>
      <x:c r="B4118" s="34" t="str">
        <x:v>Math</x:v>
      </x:c>
      <x:c r="C4118" s="34" t="str">
        <x:v>Round1</x:v>
      </x:c>
      <x:c r="D4118" s="34" t="str">
        <x:v>Math_17</x:v>
      </x:c>
      <x:c r="E4118" s="34" t="str">
        <x:v>Condition</x:v>
      </x:c>
      <x:c r="F4118" s="34" t="n">
        <x:v>738</x:v>
      </x:c>
      <x:c r="G4118" s="34" t="str">
        <x:v>RECORDED</x:v>
      </x:c>
      <x:c r="H4118" s="38" t="n">
        <x:f>IF(ISNUMBER('Data'!I702),'Data'!I702*100,"")</x:f>
        <x:v>0</x:v>
      </x:c>
      <x:c r="I4118" s="34" t="str">
        <x:v>PASS</x:v>
      </x:c>
      <x:c r="J4118" s="34" t="str">
        <x:v>PASS</x:v>
      </x:c>
      <x:c r="K4118" s="34" t="str">
        <x:v>PASS</x:v>
      </x:c>
      <x:c r="L4118" s="34" t="str">
        <x:v>PASS</x:v>
      </x:c>
      <x:c r="M4118" s="34" t="str">
        <x:v>numeric coverage for applicable metric</x:v>
      </x:c>
      <x:c r="N4118" s="34" t="str">
        <x:v>Feedback-Directed Random Test Generation/Result/Math_17/result.json</x:v>
      </x:c>
      <x:c r="O4118" s="38" t="n">
        <x:f>IF(AND(G4118="RECORDED",ISNUMBER(H4118)),H4118,"")</x:f>
        <x:v>0</x:v>
      </x:c>
      <x:c r="P4118" s="34" t="str">
        <x:v>NOT_REVEALING</x:v>
      </x:c>
      <x:c r="Q4118" s="34" t="str">
        <x:v>Feedback-Directed Random Test Generation/Result/Math_17/result.json</x:v>
      </x:c>
    </x:row>
    <x:row r="4119">
      <x:c r="A4119" s="34" t="str">
        <x:v>randoop</x:v>
      </x:c>
      <x:c r="B4119" s="34" t="str">
        <x:v>Math</x:v>
      </x:c>
      <x:c r="C4119" s="34" t="str">
        <x:v>Round1</x:v>
      </x:c>
      <x:c r="D4119" s="34" t="str">
        <x:v>Math_18</x:v>
      </x:c>
      <x:c r="E4119" s="34" t="str">
        <x:v>Condition</x:v>
      </x:c>
      <x:c r="F4119" s="34" t="n">
        <x:v>276</x:v>
      </x:c>
      <x:c r="G4119" s="34" t="str">
        <x:v>RECORDED</x:v>
      </x:c>
      <x:c r="H4119" s="38" t="n">
        <x:f>IF(ISNUMBER('Data'!I703),'Data'!I703*100,"")</x:f>
        <x:v>0.72</x:v>
      </x:c>
      <x:c r="I4119" s="34" t="str">
        <x:v>PASS</x:v>
      </x:c>
      <x:c r="J4119" s="34" t="str">
        <x:v>PASS</x:v>
      </x:c>
      <x:c r="K4119" s="34" t="str">
        <x:v>PASS</x:v>
      </x:c>
      <x:c r="L4119" s="34" t="str">
        <x:v>FAIL</x:v>
      </x:c>
      <x:c r="M4119" s="34" t="str">
        <x:v>numeric coverage for applicable metric</x:v>
      </x:c>
      <x:c r="N4119" s="34" t="str">
        <x:v>Feedback-Directed Random Test Generation/Result/Math_18/result.json</x:v>
      </x:c>
      <x:c r="O4119" s="38" t="n">
        <x:f>IF(AND(G4119="RECORDED",ISNUMBER(H4119)),H4119,"")</x:f>
        <x:v>0.72</x:v>
      </x:c>
      <x:c r="P4119" s="34" t="str">
        <x:v>INCONCLUSIVE</x:v>
      </x:c>
      <x:c r="Q4119" s="34" t="str">
        <x:v>Feedback-Directed Random Test Generation/Result/Math_18/result.json</x:v>
      </x:c>
    </x:row>
    <x:row r="4120">
      <x:c r="A4120" s="34" t="str">
        <x:v>randoop</x:v>
      </x:c>
      <x:c r="B4120" s="34" t="str">
        <x:v>Math</x:v>
      </x:c>
      <x:c r="C4120" s="34" t="str">
        <x:v>Round1</x:v>
      </x:c>
      <x:c r="D4120" s="34" t="str">
        <x:v>Math_19</x:v>
      </x:c>
      <x:c r="E4120" s="34" t="str">
        <x:v>Condition</x:v>
      </x:c>
      <x:c r="F4120" s="34" t="n">
        <x:v>272</x:v>
      </x:c>
      <x:c r="G4120" s="34" t="str">
        <x:v>RECORDED</x:v>
      </x:c>
      <x:c r="H4120" s="38" t="n">
        <x:f>IF(ISNUMBER('Data'!I704),'Data'!I704*100,"")</x:f>
        <x:v>0.74</x:v>
      </x:c>
      <x:c r="I4120" s="34" t="str">
        <x:v>PASS</x:v>
      </x:c>
      <x:c r="J4120" s="34" t="str">
        <x:v>PASS</x:v>
      </x:c>
      <x:c r="K4120" s="34" t="str">
        <x:v>PASS</x:v>
      </x:c>
      <x:c r="L4120" s="34" t="str">
        <x:v>FAIL</x:v>
      </x:c>
      <x:c r="M4120" s="34" t="str">
        <x:v>numeric coverage for applicable metric</x:v>
      </x:c>
      <x:c r="N4120" s="34" t="str">
        <x:v>Feedback-Directed Random Test Generation/Result/Math_19/result.json</x:v>
      </x:c>
      <x:c r="O4120" s="38" t="n">
        <x:f>IF(AND(G4120="RECORDED",ISNUMBER(H4120)),H4120,"")</x:f>
        <x:v>0.74</x:v>
      </x:c>
      <x:c r="P4120" s="34" t="str">
        <x:v>INCONCLUSIVE</x:v>
      </x:c>
      <x:c r="Q4120" s="34" t="str">
        <x:v>Feedback-Directed Random Test Generation/Result/Math_19/result.json</x:v>
      </x:c>
    </x:row>
    <x:row r="4121">
      <x:c r="A4121" s="34" t="str">
        <x:v>randoop</x:v>
      </x:c>
      <x:c r="B4121" s="34" t="str">
        <x:v>Math</x:v>
      </x:c>
      <x:c r="C4121" s="34" t="str">
        <x:v>Round1</x:v>
      </x:c>
      <x:c r="D4121" s="34" t="str">
        <x:v>Math_20</x:v>
      </x:c>
      <x:c r="E4121" s="34" t="str">
        <x:v>Condition</x:v>
      </x:c>
      <x:c r="F4121" s="34" t="n">
        <x:v>268</x:v>
      </x:c>
      <x:c r="G4121" s="34" t="str">
        <x:v>RECORDED</x:v>
      </x:c>
      <x:c r="H4121" s="38" t="n">
        <x:f>IF(ISNUMBER('Data'!I705),'Data'!I705*100,"")</x:f>
        <x:v>0.75</x:v>
      </x:c>
      <x:c r="I4121" s="34" t="str">
        <x:v>PASS</x:v>
      </x:c>
      <x:c r="J4121" s="34" t="str">
        <x:v>PASS</x:v>
      </x:c>
      <x:c r="K4121" s="34" t="str">
        <x:v>PASS</x:v>
      </x:c>
      <x:c r="L4121" s="34" t="str">
        <x:v>FAIL</x:v>
      </x:c>
      <x:c r="M4121" s="34" t="str">
        <x:v>numeric coverage for applicable metric</x:v>
      </x:c>
      <x:c r="N4121" s="34" t="str">
        <x:v>Feedback-Directed Random Test Generation/Result/Math_20/result.json</x:v>
      </x:c>
      <x:c r="O4121" s="38" t="n">
        <x:f>IF(AND(G4121="RECORDED",ISNUMBER(H4121)),H4121,"")</x:f>
        <x:v>0.75</x:v>
      </x:c>
      <x:c r="P4121" s="34" t="str">
        <x:v>INCONCLUSIVE</x:v>
      </x:c>
      <x:c r="Q4121" s="34" t="str">
        <x:v>Feedback-Directed Random Test Generation/Result/Math_20/result.json</x:v>
      </x:c>
    </x:row>
    <x:row r="4122">
      <x:c r="A4122" s="34" t="str">
        <x:v>randoop</x:v>
      </x:c>
      <x:c r="B4122" s="34" t="str">
        <x:v>Math</x:v>
      </x:c>
      <x:c r="C4122" s="34" t="str">
        <x:v>Round1</x:v>
      </x:c>
      <x:c r="D4122" s="34" t="str">
        <x:v>Math_21</x:v>
      </x:c>
      <x:c r="E4122" s="34" t="str">
        <x:v>Condition</x:v>
      </x:c>
      <x:c r="F4122" s="34" t="n">
        <x:v>28</x:v>
      </x:c>
      <x:c r="G4122" s="34" t="str">
        <x:v>RECORDED</x:v>
      </x:c>
      <x:c r="H4122" s="38" t="n">
        <x:f>IF(ISNUMBER('Data'!I706),'Data'!I706*100,"")</x:f>
        <x:v>0</x:v>
      </x:c>
      <x:c r="I4122" s="34" t="str">
        <x:v>PASS</x:v>
      </x:c>
      <x:c r="J4122" s="34" t="str">
        <x:v>PASS</x:v>
      </x:c>
      <x:c r="K4122" s="34" t="str">
        <x:v>PASS</x:v>
      </x:c>
      <x:c r="L4122" s="34" t="str">
        <x:v>PASS</x:v>
      </x:c>
      <x:c r="M4122" s="34" t="str">
        <x:v>numeric coverage for applicable metric</x:v>
      </x:c>
      <x:c r="N4122" s="34" t="str">
        <x:v>Feedback-Directed Random Test Generation/Result/Math_21/result.json</x:v>
      </x:c>
      <x:c r="O4122" s="38" t="n">
        <x:f>IF(AND(G4122="RECORDED",ISNUMBER(H4122)),H4122,"")</x:f>
        <x:v>0</x:v>
      </x:c>
      <x:c r="P4122" s="34" t="str">
        <x:v>NOT_REVEALING</x:v>
      </x:c>
      <x:c r="Q4122" s="34" t="str">
        <x:v>Feedback-Directed Random Test Generation/Result/Math_21/result.json</x:v>
      </x:c>
    </x:row>
    <x:row r="4123">
      <x:c r="A4123" s="34" t="str">
        <x:v>randoop</x:v>
      </x:c>
      <x:c r="B4123" s="34" t="str">
        <x:v>Math</x:v>
      </x:c>
      <x:c r="C4123" s="34" t="str">
        <x:v>Round1</x:v>
      </x:c>
      <x:c r="D4123" s="34" t="str">
        <x:v>Math_22</x:v>
      </x:c>
      <x:c r="E4123" s="34" t="str">
        <x:v>Condition</x:v>
      </x:c>
      <x:c r="F4123" s="34" t="n">
        <x:v>22</x:v>
      </x:c>
      <x:c r="G4123" s="34" t="str">
        <x:v>RECORDED</x:v>
      </x:c>
      <x:c r="H4123" s="38" t="n">
        <x:f>IF(ISNUMBER('Data'!I707),'Data'!I707*100,"")</x:f>
        <x:v>100</x:v>
      </x:c>
      <x:c r="I4123" s="34" t="str">
        <x:v>PASS</x:v>
      </x:c>
      <x:c r="J4123" s="34" t="str">
        <x:v>PASS</x:v>
      </x:c>
      <x:c r="K4123" s="34" t="str">
        <x:v>PASS</x:v>
      </x:c>
      <x:c r="L4123" s="34" t="str">
        <x:v>FAIL</x:v>
      </x:c>
      <x:c r="M4123" s="34" t="str">
        <x:v>numeric coverage for applicable metric</x:v>
      </x:c>
      <x:c r="N4123" s="34" t="str">
        <x:v>Feedback-Directed Random Test Generation/Result/Math_22/result.json</x:v>
      </x:c>
      <x:c r="O4123" s="38" t="n">
        <x:f>IF(AND(G4123="RECORDED",ISNUMBER(H4123)),H4123,"")</x:f>
        <x:v>100</x:v>
      </x:c>
      <x:c r="P4123" s="34" t="str">
        <x:v>INCONCLUSIVE</x:v>
      </x:c>
      <x:c r="Q4123" s="34" t="str">
        <x:v>Feedback-Directed Random Test Generation/Result/Math_22/result.json</x:v>
      </x:c>
    </x:row>
    <x:row r="4124">
      <x:c r="A4124" s="34" t="str">
        <x:v>randoop</x:v>
      </x:c>
      <x:c r="B4124" s="34" t="str">
        <x:v>Math</x:v>
      </x:c>
      <x:c r="C4124" s="34" t="str">
        <x:v>Round1</x:v>
      </x:c>
      <x:c r="D4124" s="34" t="str">
        <x:v>Math_23</x:v>
      </x:c>
      <x:c r="E4124" s="34" t="str">
        <x:v>Condition</x:v>
      </x:c>
      <x:c r="F4124" s="34" t="n">
        <x:v>74</x:v>
      </x:c>
      <x:c r="G4124" s="34" t="str">
        <x:v>RECORDED</x:v>
      </x:c>
      <x:c r="H4124" s="38" t="n">
        <x:f>IF(ISNUMBER('Data'!I708),'Data'!I708*100,"")</x:f>
        <x:v>8.11</x:v>
      </x:c>
      <x:c r="I4124" s="34" t="str">
        <x:v>PASS</x:v>
      </x:c>
      <x:c r="J4124" s="34" t="str">
        <x:v>PASS</x:v>
      </x:c>
      <x:c r="K4124" s="34" t="str">
        <x:v>PASS</x:v>
      </x:c>
      <x:c r="L4124" s="34" t="str">
        <x:v>PASS</x:v>
      </x:c>
      <x:c r="M4124" s="34" t="str">
        <x:v>numeric coverage for applicable metric</x:v>
      </x:c>
      <x:c r="N4124" s="34" t="str">
        <x:v>Feedback-Directed Random Test Generation/Result/Math_23/result.json</x:v>
      </x:c>
      <x:c r="O4124" s="38" t="n">
        <x:f>IF(AND(G4124="RECORDED",ISNUMBER(H4124)),H4124,"")</x:f>
        <x:v>8.11</x:v>
      </x:c>
      <x:c r="P4124" s="34" t="str">
        <x:v>NOT_REVEALING</x:v>
      </x:c>
      <x:c r="Q4124" s="34" t="str">
        <x:v>Feedback-Directed Random Test Generation/Result/Math_23/result.json</x:v>
      </x:c>
    </x:row>
    <x:row r="4125">
      <x:c r="A4125" s="34" t="str">
        <x:v>randoop</x:v>
      </x:c>
      <x:c r="B4125" s="34" t="str">
        <x:v>Math</x:v>
      </x:c>
      <x:c r="C4125" s="34" t="str">
        <x:v>Round1</x:v>
      </x:c>
      <x:c r="D4125" s="34" t="str">
        <x:v>Math_24</x:v>
      </x:c>
      <x:c r="E4125" s="34" t="str">
        <x:v>Condition</x:v>
      </x:c>
      <x:c r="F4125" s="34" t="n">
        <x:v>74</x:v>
      </x:c>
      <x:c r="G4125" s="34" t="str">
        <x:v>RECORDED</x:v>
      </x:c>
      <x:c r="H4125" s="38" t="n">
        <x:f>IF(ISNUMBER('Data'!I709),'Data'!I709*100,"")</x:f>
        <x:v>8.11</x:v>
      </x:c>
      <x:c r="I4125" s="34" t="str">
        <x:v>PASS</x:v>
      </x:c>
      <x:c r="J4125" s="34" t="str">
        <x:v>PASS</x:v>
      </x:c>
      <x:c r="K4125" s="34" t="str">
        <x:v>PASS</x:v>
      </x:c>
      <x:c r="L4125" s="34" t="str">
        <x:v>PASS</x:v>
      </x:c>
      <x:c r="M4125" s="34" t="str">
        <x:v>numeric coverage for applicable metric</x:v>
      </x:c>
      <x:c r="N4125" s="34" t="str">
        <x:v>Feedback-Directed Random Test Generation/Result/Math_24/result.json</x:v>
      </x:c>
      <x:c r="O4125" s="38" t="n">
        <x:f>IF(AND(G4125="RECORDED",ISNUMBER(H4125)),H4125,"")</x:f>
        <x:v>8.11</x:v>
      </x:c>
      <x:c r="P4125" s="34" t="str">
        <x:v>NOT_REVEALING</x:v>
      </x:c>
      <x:c r="Q4125" s="34" t="str">
        <x:v>Feedback-Directed Random Test Generation/Result/Math_24/result.json</x:v>
      </x:c>
    </x:row>
    <x:row r="4126">
      <x:c r="A4126" s="34" t="str">
        <x:v>randoop</x:v>
      </x:c>
      <x:c r="B4126" s="34" t="str">
        <x:v>Math</x:v>
      </x:c>
      <x:c r="C4126" s="34" t="str">
        <x:v>Round1</x:v>
      </x:c>
      <x:c r="D4126" s="34" t="str">
        <x:v>Math_25</x:v>
      </x:c>
      <x:c r="E4126" s="34" t="str">
        <x:v>Condition</x:v>
      </x:c>
      <x:c r="F4126" s="34" t="n">
        <x:v>28</x:v>
      </x:c>
      <x:c r="G4126" s="34" t="str">
        <x:v>RECORDED</x:v>
      </x:c>
      <x:c r="H4126" s="38" t="n">
        <x:f>IF(ISNUMBER('Data'!I710),'Data'!I710*100,"")</x:f>
        <x:v>96.43</x:v>
      </x:c>
      <x:c r="I4126" s="34" t="str">
        <x:v>PASS</x:v>
      </x:c>
      <x:c r="J4126" s="34" t="str">
        <x:v>PASS</x:v>
      </x:c>
      <x:c r="K4126" s="34" t="str">
        <x:v>PASS</x:v>
      </x:c>
      <x:c r="L4126" s="34" t="str">
        <x:v>PASS</x:v>
      </x:c>
      <x:c r="M4126" s="34" t="str">
        <x:v>numeric coverage for applicable metric</x:v>
      </x:c>
      <x:c r="N4126" s="34" t="str">
        <x:v>Feedback-Directed Random Test Generation/Result/Math_25/result.json</x:v>
      </x:c>
      <x:c r="O4126" s="38" t="n">
        <x:f>IF(AND(G4126="RECORDED",ISNUMBER(H4126)),H4126,"")</x:f>
        <x:v>96.43</x:v>
      </x:c>
      <x:c r="P4126" s="34" t="str">
        <x:v>NOT_REVEALING</x:v>
      </x:c>
      <x:c r="Q4126" s="34" t="str">
        <x:v>Feedback-Directed Random Test Generation/Result/Math_25/result.json</x:v>
      </x:c>
    </x:row>
    <x:row r="4127">
      <x:c r="A4127" s="34" t="str">
        <x:v>randoop</x:v>
      </x:c>
      <x:c r="B4127" s="34" t="str">
        <x:v>Math</x:v>
      </x:c>
      <x:c r="C4127" s="34" t="str">
        <x:v>Round1</x:v>
      </x:c>
      <x:c r="D4127" s="34" t="str">
        <x:v>Math_26</x:v>
      </x:c>
      <x:c r="E4127" s="34" t="str">
        <x:v>Condition</x:v>
      </x:c>
      <x:c r="F4127" s="34" t="n">
        <x:v>94</x:v>
      </x:c>
      <x:c r="G4127" s="34" t="str">
        <x:v>RECORDED</x:v>
      </x:c>
      <x:c r="H4127" s="38" t="n">
        <x:f>IF(ISNUMBER('Data'!I711),'Data'!I711*100,"")</x:f>
        <x:v>87.23</x:v>
      </x:c>
      <x:c r="I4127" s="34" t="str">
        <x:v>PASS</x:v>
      </x:c>
      <x:c r="J4127" s="34" t="str">
        <x:v>PASS</x:v>
      </x:c>
      <x:c r="K4127" s="34" t="str">
        <x:v>PASS</x:v>
      </x:c>
      <x:c r="L4127" s="34" t="str">
        <x:v>PASS</x:v>
      </x:c>
      <x:c r="M4127" s="34" t="str">
        <x:v>numeric coverage for applicable metric</x:v>
      </x:c>
      <x:c r="N4127" s="34" t="str">
        <x:v>Feedback-Directed Random Test Generation/Result/Math_26/result.json</x:v>
      </x:c>
      <x:c r="O4127" s="38" t="n">
        <x:f>IF(AND(G4127="RECORDED",ISNUMBER(H4127)),H4127,"")</x:f>
        <x:v>87.23</x:v>
      </x:c>
      <x:c r="P4127" s="34" t="str">
        <x:v>NOT_REVEALING</x:v>
      </x:c>
      <x:c r="Q4127" s="34" t="str">
        <x:v>Feedback-Directed Random Test Generation/Result/Math_26/result.json</x:v>
      </x:c>
    </x:row>
    <x:row r="4128">
      <x:c r="A4128" s="34" t="str">
        <x:v>randoop</x:v>
      </x:c>
      <x:c r="B4128" s="34" t="str">
        <x:v>Math</x:v>
      </x:c>
      <x:c r="C4128" s="34" t="str">
        <x:v>Round1</x:v>
      </x:c>
      <x:c r="D4128" s="34" t="str">
        <x:v>Math_27</x:v>
      </x:c>
      <x:c r="E4128" s="34" t="str">
        <x:v>Condition</x:v>
      </x:c>
      <x:c r="F4128" s="34" t="n">
        <x:v>94</x:v>
      </x:c>
      <x:c r="G4128" s="34" t="str">
        <x:v>RECORDED</x:v>
      </x:c>
      <x:c r="H4128" s="38" t="n">
        <x:f>IF(ISNUMBER('Data'!I712),'Data'!I712*100,"")</x:f>
        <x:v>87.23</x:v>
      </x:c>
      <x:c r="I4128" s="34" t="str">
        <x:v>PASS</x:v>
      </x:c>
      <x:c r="J4128" s="34" t="str">
        <x:v>PASS</x:v>
      </x:c>
      <x:c r="K4128" s="34" t="str">
        <x:v>PASS</x:v>
      </x:c>
      <x:c r="L4128" s="34" t="str">
        <x:v>PASS</x:v>
      </x:c>
      <x:c r="M4128" s="34" t="str">
        <x:v>numeric coverage for applicable metric</x:v>
      </x:c>
      <x:c r="N4128" s="34" t="str">
        <x:v>Feedback-Directed Random Test Generation/Result/Math_27/result.json</x:v>
      </x:c>
      <x:c r="O4128" s="38" t="n">
        <x:f>IF(AND(G4128="RECORDED",ISNUMBER(H4128)),H4128,"")</x:f>
        <x:v>87.23</x:v>
      </x:c>
      <x:c r="P4128" s="34" t="str">
        <x:v>INCONCLUSIVE</x:v>
      </x:c>
      <x:c r="Q4128" s="34" t="str">
        <x:v>Feedback-Directed Random Test Generation/Result/Math_27/result.json</x:v>
      </x:c>
    </x:row>
    <x:row r="4129">
      <x:c r="A4129" s="34" t="str">
        <x:v>randoop</x:v>
      </x:c>
      <x:c r="B4129" s="34" t="str">
        <x:v>Math</x:v>
      </x:c>
      <x:c r="C4129" s="34" t="str">
        <x:v>Round1</x:v>
      </x:c>
      <x:c r="D4129" s="34" t="str">
        <x:v>Math_28</x:v>
      </x:c>
      <x:c r="E4129" s="34" t="str">
        <x:v>Condition</x:v>
      </x:c>
      <x:c r="F4129" s="34" t="n">
        <x:v>48</x:v>
      </x:c>
      <x:c r="G4129" s="34" t="str">
        <x:v>RECORDED</x:v>
      </x:c>
      <x:c r="H4129" s="38" t="n">
        <x:f>IF(ISNUMBER('Data'!I713),'Data'!I713*100,"")</x:f>
        <x:v>0</x:v>
      </x:c>
      <x:c r="I4129" s="34" t="str">
        <x:v>PASS</x:v>
      </x:c>
      <x:c r="J4129" s="34" t="str">
        <x:v>PASS</x:v>
      </x:c>
      <x:c r="K4129" s="34" t="str">
        <x:v>PASS</x:v>
      </x:c>
      <x:c r="L4129" s="34" t="str">
        <x:v>FAIL</x:v>
      </x:c>
      <x:c r="M4129" s="34" t="str">
        <x:v>numeric coverage for applicable metric</x:v>
      </x:c>
      <x:c r="N4129" s="34" t="str">
        <x:v>Feedback-Directed Random Test Generation/Result/Math_28/result.json</x:v>
      </x:c>
      <x:c r="O4129" s="38" t="n">
        <x:f>IF(AND(G4129="RECORDED",ISNUMBER(H4129)),H4129,"")</x:f>
        <x:v>0</x:v>
      </x:c>
      <x:c r="P4129" s="34" t="str">
        <x:v>INCONCLUSIVE</x:v>
      </x:c>
      <x:c r="Q4129" s="34" t="str">
        <x:v>Feedback-Directed Random Test Generation/Result/Math_28/result.json</x:v>
      </x:c>
    </x:row>
    <x:row r="4130">
      <x:c r="A4130" s="34" t="str">
        <x:v>randoop</x:v>
      </x:c>
      <x:c r="B4130" s="34" t="str">
        <x:v>Math</x:v>
      </x:c>
      <x:c r="C4130" s="34" t="str">
        <x:v>Round1</x:v>
      </x:c>
      <x:c r="D4130" s="34" t="str">
        <x:v>Math_29</x:v>
      </x:c>
      <x:c r="E4130" s="34" t="str">
        <x:v>Condition</x:v>
      </x:c>
      <x:c r="F4130" s="34" t="n">
        <x:v>134</x:v>
      </x:c>
      <x:c r="G4130" s="34" t="str">
        <x:v>RECORDED</x:v>
      </x:c>
      <x:c r="H4130" s="38" t="n">
        <x:f>IF(ISNUMBER('Data'!I714),'Data'!I714*100,"")</x:f>
        <x:v>91.04</x:v>
      </x:c>
      <x:c r="I4130" s="34" t="str">
        <x:v>PASS</x:v>
      </x:c>
      <x:c r="J4130" s="34" t="str">
        <x:v>PASS</x:v>
      </x:c>
      <x:c r="K4130" s="34" t="str">
        <x:v>PASS</x:v>
      </x:c>
      <x:c r="L4130" s="34" t="str">
        <x:v>FAIL</x:v>
      </x:c>
      <x:c r="M4130" s="34" t="str">
        <x:v>numeric coverage for applicable metric</x:v>
      </x:c>
      <x:c r="N4130" s="34" t="str">
        <x:v>Feedback-Directed Random Test Generation/Result/Math_29/result.json</x:v>
      </x:c>
      <x:c r="O4130" s="38" t="n">
        <x:f>IF(AND(G4130="RECORDED",ISNUMBER(H4130)),H4130,"")</x:f>
        <x:v>91.04</x:v>
      </x:c>
      <x:c r="P4130" s="34" t="str">
        <x:v>INCONCLUSIVE</x:v>
      </x:c>
      <x:c r="Q4130" s="34" t="str">
        <x:v>Feedback-Directed Random Test Generation/Result/Math_29/result.json</x:v>
      </x:c>
    </x:row>
    <x:row r="4131">
      <x:c r="A4131" s="34" t="str">
        <x:v>randoop</x:v>
      </x:c>
      <x:c r="B4131" s="34" t="str">
        <x:v>Math</x:v>
      </x:c>
      <x:c r="C4131" s="34" t="str">
        <x:v>Round1</x:v>
      </x:c>
      <x:c r="D4131" s="34" t="str">
        <x:v>Math_30</x:v>
      </x:c>
      <x:c r="E4131" s="34" t="str">
        <x:v>Condition</x:v>
      </x:c>
      <x:c r="F4131" s="34" t="n">
        <x:v>10</x:v>
      </x:c>
      <x:c r="G4131" s="34" t="str">
        <x:v>RECORDED</x:v>
      </x:c>
      <x:c r="H4131" s="38" t="n">
        <x:f>IF(ISNUMBER('Data'!I715),'Data'!I715*100,"")</x:f>
        <x:v>100</x:v>
      </x:c>
      <x:c r="I4131" s="34" t="str">
        <x:v>PASS</x:v>
      </x:c>
      <x:c r="J4131" s="34" t="str">
        <x:v>PASS</x:v>
      </x:c>
      <x:c r="K4131" s="34" t="str">
        <x:v>PASS</x:v>
      </x:c>
      <x:c r="L4131" s="34" t="str">
        <x:v>PASS</x:v>
      </x:c>
      <x:c r="M4131" s="34" t="str">
        <x:v>numeric coverage for applicable metric</x:v>
      </x:c>
      <x:c r="N4131" s="34" t="str">
        <x:v>Feedback-Directed Random Test Generation/Result/Math_30/result.json</x:v>
      </x:c>
      <x:c r="O4131" s="38" t="n">
        <x:f>IF(AND(G4131="RECORDED",ISNUMBER(H4131)),H4131,"")</x:f>
        <x:v>100</x:v>
      </x:c>
      <x:c r="P4131" s="34" t="str">
        <x:v>NOT_REVEALING</x:v>
      </x:c>
      <x:c r="Q4131" s="34" t="str">
        <x:v>Feedback-Directed Random Test Generation/Result/Math_30/result.json</x:v>
      </x:c>
    </x:row>
    <x:row r="4132">
      <x:c r="A4132" s="34" t="str">
        <x:v>randoop</x:v>
      </x:c>
      <x:c r="B4132" s="34" t="str">
        <x:v>Math</x:v>
      </x:c>
      <x:c r="C4132" s="34" t="str">
        <x:v>Round1</x:v>
      </x:c>
      <x:c r="D4132" s="34" t="str">
        <x:v>Math_31</x:v>
      </x:c>
      <x:c r="E4132" s="34" t="str">
        <x:v>Condition</x:v>
      </x:c>
      <x:c r="F4132" s="34" t="n">
        <x:v>30</x:v>
      </x:c>
      <x:c r="G4132" s="34" t="str">
        <x:v>RECORDED</x:v>
      </x:c>
      <x:c r="H4132" s="38" t="n">
        <x:f>IF(ISNUMBER('Data'!I716),'Data'!I716*100,"")</x:f>
        <x:v>0</x:v>
      </x:c>
      <x:c r="I4132" s="34" t="str">
        <x:v>PASS</x:v>
      </x:c>
      <x:c r="J4132" s="34" t="str">
        <x:v>PASS</x:v>
      </x:c>
      <x:c r="K4132" s="34" t="str">
        <x:v>PASS</x:v>
      </x:c>
      <x:c r="L4132" s="34" t="str">
        <x:v>PASS</x:v>
      </x:c>
      <x:c r="M4132" s="34" t="str">
        <x:v>numeric coverage for applicable metric</x:v>
      </x:c>
      <x:c r="N4132" s="34" t="str">
        <x:v>Feedback-Directed Random Test Generation/Result/Math_31/result.json</x:v>
      </x:c>
      <x:c r="O4132" s="38" t="n">
        <x:f>IF(AND(G4132="RECORDED",ISNUMBER(H4132)),H4132,"")</x:f>
        <x:v>0</x:v>
      </x:c>
      <x:c r="P4132" s="34" t="str">
        <x:v>NOT_REVEALING</x:v>
      </x:c>
      <x:c r="Q4132" s="34" t="str">
        <x:v>Feedback-Directed Random Test Generation/Result/Math_31/result.json</x:v>
      </x:c>
    </x:row>
    <x:row r="4133">
      <x:c r="A4133" s="34" t="str">
        <x:v>randoop</x:v>
      </x:c>
      <x:c r="B4133" s="34" t="str">
        <x:v>Math</x:v>
      </x:c>
      <x:c r="C4133" s="34" t="str">
        <x:v>Round1</x:v>
      </x:c>
      <x:c r="D4133" s="34" t="str">
        <x:v>Math_32</x:v>
      </x:c>
      <x:c r="E4133" s="34" t="str">
        <x:v>Condition</x:v>
      </x:c>
      <x:c r="F4133" s="34" t="n">
        <x:v>80</x:v>
      </x:c>
      <x:c r="G4133" s="34" t="str">
        <x:v>RECORDED</x:v>
      </x:c>
      <x:c r="H4133" s="38" t="n">
        <x:f>IF(ISNUMBER('Data'!I717),'Data'!I717*100,"")</x:f>
        <x:v>53.75</x:v>
      </x:c>
      <x:c r="I4133" s="34" t="str">
        <x:v>PASS</x:v>
      </x:c>
      <x:c r="J4133" s="34" t="str">
        <x:v>PASS</x:v>
      </x:c>
      <x:c r="K4133" s="34" t="str">
        <x:v>PASS</x:v>
      </x:c>
      <x:c r="L4133" s="34" t="str">
        <x:v>FAIL</x:v>
      </x:c>
      <x:c r="M4133" s="34" t="str">
        <x:v>numeric coverage for applicable metric</x:v>
      </x:c>
      <x:c r="N4133" s="34" t="str">
        <x:v>Feedback-Directed Random Test Generation/Result/Math_32/result.json</x:v>
      </x:c>
      <x:c r="O4133" s="38" t="n">
        <x:f>IF(AND(G4133="RECORDED",ISNUMBER(H4133)),H4133,"")</x:f>
        <x:v>53.75</x:v>
      </x:c>
      <x:c r="P4133" s="34" t="str">
        <x:v>INCONCLUSIVE</x:v>
      </x:c>
      <x:c r="Q4133" s="34" t="str">
        <x:v>Feedback-Directed Random Test Generation/Result/Math_32/result.json</x:v>
      </x:c>
    </x:row>
    <x:row r="4134">
      <x:c r="A4134" s="34" t="str">
        <x:v>randoop</x:v>
      </x:c>
      <x:c r="B4134" s="34" t="str">
        <x:v>Math</x:v>
      </x:c>
      <x:c r="C4134" s="34" t="str">
        <x:v>Round1</x:v>
      </x:c>
      <x:c r="D4134" s="34" t="str">
        <x:v>Math_33</x:v>
      </x:c>
      <x:c r="E4134" s="34" t="str">
        <x:v>Condition</x:v>
      </x:c>
      <x:c r="F4134" s="34" t="n">
        <x:v>124</x:v>
      </x:c>
      <x:c r="G4134" s="34" t="str">
        <x:v>RECORDED</x:v>
      </x:c>
      <x:c r="H4134" s="38" t="n">
        <x:f>IF(ISNUMBER('Data'!I718),'Data'!I718*100,"")</x:f>
        <x:v>0.8100000000000002</x:v>
      </x:c>
      <x:c r="I4134" s="34" t="str">
        <x:v>PASS</x:v>
      </x:c>
      <x:c r="J4134" s="34" t="str">
        <x:v>PASS</x:v>
      </x:c>
      <x:c r="K4134" s="34" t="str">
        <x:v>PASS</x:v>
      </x:c>
      <x:c r="L4134" s="34" t="str">
        <x:v>PASS</x:v>
      </x:c>
      <x:c r="M4134" s="34" t="str">
        <x:v>numeric coverage for applicable metric</x:v>
      </x:c>
      <x:c r="N4134" s="34" t="str">
        <x:v>Feedback-Directed Random Test Generation/Result/Math_33/result.json</x:v>
      </x:c>
      <x:c r="O4134" s="38" t="n">
        <x:f>IF(AND(G4134="RECORDED",ISNUMBER(H4134)),H4134,"")</x:f>
        <x:v>0.8100000000000002</x:v>
      </x:c>
      <x:c r="P4134" s="34" t="str">
        <x:v>NOT_REVEALING</x:v>
      </x:c>
      <x:c r="Q4134" s="34" t="str">
        <x:v>Feedback-Directed Random Test Generation/Result/Math_33/result.json</x:v>
      </x:c>
    </x:row>
    <x:row r="4135">
      <x:c r="A4135" s="34" t="str">
        <x:v>randoop</x:v>
      </x:c>
      <x:c r="B4135" s="34" t="str">
        <x:v>Math</x:v>
      </x:c>
      <x:c r="C4135" s="34" t="str">
        <x:v>Round1</x:v>
      </x:c>
      <x:c r="D4135" s="34" t="str">
        <x:v>Math_34</x:v>
      </x:c>
      <x:c r="E4135" s="34" t="str">
        <x:v>Condition</x:v>
      </x:c>
      <x:c r="F4135" s="34" t="n">
        <x:v>22</x:v>
      </x:c>
      <x:c r="G4135" s="34" t="str">
        <x:v>RECORDED</x:v>
      </x:c>
      <x:c r="H4135" s="38" t="n">
        <x:f>IF(ISNUMBER('Data'!I719),'Data'!I719*100,"")</x:f>
        <x:v>0</x:v>
      </x:c>
      <x:c r="I4135" s="34" t="str">
        <x:v>PASS</x:v>
      </x:c>
      <x:c r="J4135" s="34" t="str">
        <x:v>PASS</x:v>
      </x:c>
      <x:c r="K4135" s="34" t="str">
        <x:v>PASS</x:v>
      </x:c>
      <x:c r="L4135" s="34" t="str">
        <x:v>PASS</x:v>
      </x:c>
      <x:c r="M4135" s="34" t="str">
        <x:v>numeric coverage for applicable metric</x:v>
      </x:c>
      <x:c r="N4135" s="34" t="str">
        <x:v>Feedback-Directed Random Test Generation/Result/Math_34/result.json</x:v>
      </x:c>
      <x:c r="O4135" s="38" t="n">
        <x:f>IF(AND(G4135="RECORDED",ISNUMBER(H4135)),H4135,"")</x:f>
        <x:v>0</x:v>
      </x:c>
      <x:c r="P4135" s="34" t="str">
        <x:v>NOT_REVEALING</x:v>
      </x:c>
      <x:c r="Q4135" s="34" t="str">
        <x:v>Feedback-Directed Random Test Generation/Result/Math_34/result.json</x:v>
      </x:c>
    </x:row>
    <x:row r="4136">
      <x:c r="A4136" s="34" t="str">
        <x:v>randoop</x:v>
      </x:c>
      <x:c r="B4136" s="34" t="str">
        <x:v>Math</x:v>
      </x:c>
      <x:c r="C4136" s="34" t="str">
        <x:v>Round1</x:v>
      </x:c>
      <x:c r="D4136" s="34" t="str">
        <x:v>Math_35</x:v>
      </x:c>
      <x:c r="E4136" s="34" t="str">
        <x:v>Condition</x:v>
      </x:c>
      <x:c r="F4136" s="34" t="n">
        <x:v>6</x:v>
      </x:c>
      <x:c r="G4136" s="34" t="str">
        <x:v>RECORDED</x:v>
      </x:c>
      <x:c r="H4136" s="38" t="n">
        <x:f>IF(ISNUMBER('Data'!I720),'Data'!I720*100,"")</x:f>
        <x:v>100</x:v>
      </x:c>
      <x:c r="I4136" s="34" t="str">
        <x:v>PASS</x:v>
      </x:c>
      <x:c r="J4136" s="34" t="str">
        <x:v>PASS</x:v>
      </x:c>
      <x:c r="K4136" s="34" t="str">
        <x:v>PASS</x:v>
      </x:c>
      <x:c r="L4136" s="34" t="str">
        <x:v>PASS</x:v>
      </x:c>
      <x:c r="M4136" s="34" t="str">
        <x:v>numeric coverage for applicable metric</x:v>
      </x:c>
      <x:c r="N4136" s="34" t="str">
        <x:v>Feedback-Directed Random Test Generation/Result/Math_35/result.json</x:v>
      </x:c>
      <x:c r="O4136" s="38" t="n">
        <x:f>IF(AND(G4136="RECORDED",ISNUMBER(H4136)),H4136,"")</x:f>
        <x:v>100</x:v>
      </x:c>
      <x:c r="P4136" s="34" t="str">
        <x:v>INCONCLUSIVE</x:v>
      </x:c>
      <x:c r="Q4136" s="34" t="str">
        <x:v>Feedback-Directed Random Test Generation/Result/Math_35/result.json</x:v>
      </x:c>
    </x:row>
    <x:row r="4137">
      <x:c r="A4137" s="34" t="str">
        <x:v>randoop</x:v>
      </x:c>
      <x:c r="B4137" s="34" t="str">
        <x:v>Math</x:v>
      </x:c>
      <x:c r="C4137" s="34" t="str">
        <x:v>Round1</x:v>
      </x:c>
      <x:c r="D4137" s="34" t="str">
        <x:v>Math_36</x:v>
      </x:c>
      <x:c r="E4137" s="34" t="str">
        <x:v>Condition</x:v>
      </x:c>
      <x:c r="F4137" s="34" t="n">
        <x:v>92</x:v>
      </x:c>
      <x:c r="G4137" s="34" t="str">
        <x:v>RECORDED</x:v>
      </x:c>
      <x:c r="H4137" s="38" t="n">
        <x:f>IF(ISNUMBER('Data'!I721),'Data'!I721*100,"")</x:f>
        <x:v>47.83</x:v>
      </x:c>
      <x:c r="I4137" s="34" t="str">
        <x:v>PASS</x:v>
      </x:c>
      <x:c r="J4137" s="34" t="str">
        <x:v>PASS</x:v>
      </x:c>
      <x:c r="K4137" s="34" t="str">
        <x:v>PASS</x:v>
      </x:c>
      <x:c r="L4137" s="34" t="str">
        <x:v>PASS</x:v>
      </x:c>
      <x:c r="M4137" s="34" t="str">
        <x:v>numeric coverage for applicable metric</x:v>
      </x:c>
      <x:c r="N4137" s="34" t="str">
        <x:v>Feedback-Directed Random Test Generation/Result/Math_36/result.json</x:v>
      </x:c>
      <x:c r="O4137" s="38" t="n">
        <x:f>IF(AND(G4137="RECORDED",ISNUMBER(H4137)),H4137,"")</x:f>
        <x:v>47.83</x:v>
      </x:c>
      <x:c r="P4137" s="34" t="str">
        <x:v>NOT_REVEALING</x:v>
      </x:c>
      <x:c r="Q4137" s="34" t="str">
        <x:v>Feedback-Directed Random Test Generation/Result/Math_36/result.json</x:v>
      </x:c>
    </x:row>
    <x:row r="4138">
      <x:c r="A4138" s="34" t="str">
        <x:v>randoop</x:v>
      </x:c>
      <x:c r="B4138" s="34" t="str">
        <x:v>Math</x:v>
      </x:c>
      <x:c r="C4138" s="34" t="str">
        <x:v>Round1</x:v>
      </x:c>
      <x:c r="D4138" s="34" t="str">
        <x:v>Math_37</x:v>
      </x:c>
      <x:c r="E4138" s="34" t="str">
        <x:v>Condition</x:v>
      </x:c>
      <x:c r="F4138" s="34" t="n">
        <x:v>158</x:v>
      </x:c>
      <x:c r="G4138" s="34" t="str">
        <x:v>RECORDED</x:v>
      </x:c>
      <x:c r="H4138" s="38" t="n">
        <x:f>IF(ISNUMBER('Data'!I722),'Data'!I722*100,"")</x:f>
        <x:v>94.3</x:v>
      </x:c>
      <x:c r="I4138" s="34" t="str">
        <x:v>PASS</x:v>
      </x:c>
      <x:c r="J4138" s="34" t="str">
        <x:v>PASS</x:v>
      </x:c>
      <x:c r="K4138" s="34" t="str">
        <x:v>PASS</x:v>
      </x:c>
      <x:c r="L4138" s="34" t="str">
        <x:v>FAIL</x:v>
      </x:c>
      <x:c r="M4138" s="34" t="str">
        <x:v>numeric coverage for applicable metric</x:v>
      </x:c>
      <x:c r="N4138" s="34" t="str">
        <x:v>Feedback-Directed Random Test Generation/Result/Math_37/result.json</x:v>
      </x:c>
      <x:c r="O4138" s="38" t="n">
        <x:f>IF(AND(G4138="RECORDED",ISNUMBER(H4138)),H4138,"")</x:f>
        <x:v>94.3</x:v>
      </x:c>
      <x:c r="P4138" s="34" t="str">
        <x:v>INCONCLUSIVE</x:v>
      </x:c>
      <x:c r="Q4138" s="34" t="str">
        <x:v>Feedback-Directed Random Test Generation/Result/Math_37/result.json</x:v>
      </x:c>
    </x:row>
    <x:row r="4139">
      <x:c r="A4139" s="34" t="str">
        <x:v>randoop</x:v>
      </x:c>
      <x:c r="B4139" s="34" t="str">
        <x:v>Math</x:v>
      </x:c>
      <x:c r="C4139" s="34" t="str">
        <x:v>Round1</x:v>
      </x:c>
      <x:c r="D4139" s="34" t="str">
        <x:v>Math_38</x:v>
      </x:c>
      <x:c r="E4139" s="34" t="str">
        <x:v>Condition</x:v>
      </x:c>
      <x:c r="F4139" s="34" t="n">
        <x:v>624</x:v>
      </x:c>
      <x:c r="G4139" s="34" t="str">
        <x:v>RECORDED</x:v>
      </x:c>
      <x:c r="H4139" s="38" t="n">
        <x:f>IF(ISNUMBER('Data'!I723),'Data'!I723*100,"")</x:f>
        <x:v>0</x:v>
      </x:c>
      <x:c r="I4139" s="34" t="str">
        <x:v>PASS</x:v>
      </x:c>
      <x:c r="J4139" s="34" t="str">
        <x:v>PASS</x:v>
      </x:c>
      <x:c r="K4139" s="34" t="str">
        <x:v>PASS</x:v>
      </x:c>
      <x:c r="L4139" s="34" t="str">
        <x:v>FAIL</x:v>
      </x:c>
      <x:c r="M4139" s="34" t="str">
        <x:v>numeric coverage for applicable metric</x:v>
      </x:c>
      <x:c r="N4139" s="34" t="str">
        <x:v>Feedback-Directed Random Test Generation/Result/Math_38/result.json</x:v>
      </x:c>
      <x:c r="O4139" s="38" t="n">
        <x:f>IF(AND(G4139="RECORDED",ISNUMBER(H4139)),H4139,"")</x:f>
        <x:v>0</x:v>
      </x:c>
      <x:c r="P4139" s="34" t="str">
        <x:v>INCONCLUSIVE</x:v>
      </x:c>
      <x:c r="Q4139" s="34" t="str">
        <x:v>Feedback-Directed Random Test Generation/Result/Math_38/result.json</x:v>
      </x:c>
    </x:row>
    <x:row r="4140">
      <x:c r="A4140" s="34" t="str">
        <x:v>randoop</x:v>
      </x:c>
      <x:c r="B4140" s="34" t="str">
        <x:v>Math</x:v>
      </x:c>
      <x:c r="C4140" s="34" t="str">
        <x:v>Round1</x:v>
      </x:c>
      <x:c r="D4140" s="34" t="str">
        <x:v>Math_39</x:v>
      </x:c>
      <x:c r="E4140" s="34" t="str">
        <x:v>Condition</x:v>
      </x:c>
      <x:c r="F4140" s="34" t="n">
        <x:v>48</x:v>
      </x:c>
      <x:c r="G4140" s="34" t="str">
        <x:v>RECORDED</x:v>
      </x:c>
      <x:c r="H4140" s="38" t="n">
        <x:f>IF(ISNUMBER('Data'!I724),'Data'!I724*100,"")</x:f>
        <x:v>0</x:v>
      </x:c>
      <x:c r="I4140" s="34" t="str">
        <x:v>PASS</x:v>
      </x:c>
      <x:c r="J4140" s="34" t="str">
        <x:v>PASS</x:v>
      </x:c>
      <x:c r="K4140" s="34" t="str">
        <x:v>PASS</x:v>
      </x:c>
      <x:c r="L4140" s="34" t="str">
        <x:v>PASS</x:v>
      </x:c>
      <x:c r="M4140" s="34" t="str">
        <x:v>numeric coverage for applicable metric</x:v>
      </x:c>
      <x:c r="N4140" s="34" t="str">
        <x:v>Feedback-Directed Random Test Generation/Result/Math_39/result.json</x:v>
      </x:c>
      <x:c r="O4140" s="38" t="n">
        <x:f>IF(AND(G4140="RECORDED",ISNUMBER(H4140)),H4140,"")</x:f>
        <x:v>0</x:v>
      </x:c>
      <x:c r="P4140" s="34" t="str">
        <x:v>NOT_REVEALING</x:v>
      </x:c>
      <x:c r="Q4140" s="34" t="str">
        <x:v>Feedback-Directed Random Test Generation/Result/Math_39/result.json</x:v>
      </x:c>
    </x:row>
    <x:row r="4141">
      <x:c r="A4141" s="34" t="str">
        <x:v>randoop</x:v>
      </x:c>
      <x:c r="B4141" s="34" t="str">
        <x:v>Math</x:v>
      </x:c>
      <x:c r="C4141" s="34" t="str">
        <x:v>Round1</x:v>
      </x:c>
      <x:c r="D4141" s="34" t="str">
        <x:v>Math_40</x:v>
      </x:c>
      <x:c r="E4141" s="34" t="str">
        <x:v>Condition</x:v>
      </x:c>
      <x:c r="F4141" s="34" t="n">
        <x:v>66</x:v>
      </x:c>
      <x:c r="G4141" s="34" t="str">
        <x:v>RECORDED</x:v>
      </x:c>
      <x:c r="H4141" s="38" t="n">
        <x:f>IF(ISNUMBER('Data'!I725),'Data'!I725*100,"")</x:f>
        <x:v>9.09</x:v>
      </x:c>
      <x:c r="I4141" s="34" t="str">
        <x:v>PASS</x:v>
      </x:c>
      <x:c r="J4141" s="34" t="str">
        <x:v>PASS</x:v>
      </x:c>
      <x:c r="K4141" s="34" t="str">
        <x:v>PASS</x:v>
      </x:c>
      <x:c r="L4141" s="34" t="str">
        <x:v>PASS</x:v>
      </x:c>
      <x:c r="M4141" s="34" t="str">
        <x:v>numeric coverage for applicable metric</x:v>
      </x:c>
      <x:c r="N4141" s="34" t="str">
        <x:v>Feedback-Directed Random Test Generation/Result/Math_40/result.json</x:v>
      </x:c>
      <x:c r="O4141" s="38" t="n">
        <x:f>IF(AND(G4141="RECORDED",ISNUMBER(H4141)),H4141,"")</x:f>
        <x:v>9.09</x:v>
      </x:c>
      <x:c r="P4141" s="34" t="str">
        <x:v>NOT_REVEALING</x:v>
      </x:c>
      <x:c r="Q4141" s="34" t="str">
        <x:v>Feedback-Directed Random Test Generation/Result/Math_40/result.json</x:v>
      </x:c>
    </x:row>
    <x:row r="4142">
      <x:c r="A4142" s="34" t="str">
        <x:v>randoop</x:v>
      </x:c>
      <x:c r="B4142" s="34" t="str">
        <x:v>Math</x:v>
      </x:c>
      <x:c r="C4142" s="34" t="str">
        <x:v>Round1</x:v>
      </x:c>
      <x:c r="D4142" s="34" t="str">
        <x:v>Math_41</x:v>
      </x:c>
      <x:c r="E4142" s="34" t="str">
        <x:v>Condition</x:v>
      </x:c>
      <x:c r="F4142" s="34" t="n">
        <x:v>46</x:v>
      </x:c>
      <x:c r="G4142" s="34" t="str">
        <x:v>RECORDED</x:v>
      </x:c>
      <x:c r="H4142" s="38" t="n">
        <x:f>IF(ISNUMBER('Data'!I726),'Data'!I726*100,"")</x:f>
        <x:v>60.870000000000005</x:v>
      </x:c>
      <x:c r="I4142" s="34" t="str">
        <x:v>PASS</x:v>
      </x:c>
      <x:c r="J4142" s="34" t="str">
        <x:v>PASS</x:v>
      </x:c>
      <x:c r="K4142" s="34" t="str">
        <x:v>PASS</x:v>
      </x:c>
      <x:c r="L4142" s="34" t="str">
        <x:v>PASS</x:v>
      </x:c>
      <x:c r="M4142" s="34" t="str">
        <x:v>numeric coverage for applicable metric</x:v>
      </x:c>
      <x:c r="N4142" s="34" t="str">
        <x:v>Feedback-Directed Random Test Generation/Result/Math_41/result.json</x:v>
      </x:c>
      <x:c r="O4142" s="38" t="n">
        <x:f>IF(AND(G4142="RECORDED",ISNUMBER(H4142)),H4142,"")</x:f>
        <x:v>60.870000000000005</x:v>
      </x:c>
      <x:c r="P4142" s="34" t="str">
        <x:v>NOT_REVEALING</x:v>
      </x:c>
      <x:c r="Q4142" s="34" t="str">
        <x:v>Feedback-Directed Random Test Generation/Result/Math_41/result.json</x:v>
      </x:c>
    </x:row>
    <x:row r="4143">
      <x:c r="A4143" s="34" t="str">
        <x:v>randoop</x:v>
      </x:c>
      <x:c r="B4143" s="34" t="str">
        <x:v>Math</x:v>
      </x:c>
      <x:c r="C4143" s="34" t="str">
        <x:v>Round1</x:v>
      </x:c>
      <x:c r="D4143" s="34" t="str">
        <x:v>Math_42</x:v>
      </x:c>
      <x:c r="E4143" s="34" t="str">
        <x:v>Condition</x:v>
      </x:c>
      <x:c r="F4143" s="34" t="n">
        <x:v>120</x:v>
      </x:c>
      <x:c r="G4143" s="34" t="str">
        <x:v>RECORDED</x:v>
      </x:c>
      <x:c r="H4143" s="38" t="n">
        <x:f>IF(ISNUMBER('Data'!I727),'Data'!I727*100,"")</x:f>
        <x:v>0.83</x:v>
      </x:c>
      <x:c r="I4143" s="34" t="str">
        <x:v>PASS</x:v>
      </x:c>
      <x:c r="J4143" s="34" t="str">
        <x:v>PASS</x:v>
      </x:c>
      <x:c r="K4143" s="34" t="str">
        <x:v>PASS</x:v>
      </x:c>
      <x:c r="L4143" s="34" t="str">
        <x:v>PASS</x:v>
      </x:c>
      <x:c r="M4143" s="34" t="str">
        <x:v>numeric coverage for applicable metric</x:v>
      </x:c>
      <x:c r="N4143" s="34" t="str">
        <x:v>Feedback-Directed Random Test Generation/Result/Math_42/result.json</x:v>
      </x:c>
      <x:c r="O4143" s="38" t="n">
        <x:f>IF(AND(G4143="RECORDED",ISNUMBER(H4143)),H4143,"")</x:f>
        <x:v>0.83</x:v>
      </x:c>
      <x:c r="P4143" s="34" t="str">
        <x:v>NOT_REVEALING</x:v>
      </x:c>
      <x:c r="Q4143" s="34" t="str">
        <x:v>Feedback-Directed Random Test Generation/Result/Math_42/result.json</x:v>
      </x:c>
    </x:row>
    <x:row r="4144">
      <x:c r="A4144" s="34" t="str">
        <x:v>randoop</x:v>
      </x:c>
      <x:c r="B4144" s="34" t="str">
        <x:v>Math</x:v>
      </x:c>
      <x:c r="C4144" s="34" t="str">
        <x:v>Round1</x:v>
      </x:c>
      <x:c r="D4144" s="34" t="str">
        <x:v>Math_43</x:v>
      </x:c>
      <x:c r="E4144" s="34" t="str">
        <x:v>Condition</x:v>
      </x:c>
      <x:c r="F4144" s="34" t="n">
        <x:v>58</x:v>
      </x:c>
      <x:c r="G4144" s="34" t="str">
        <x:v>RECORDED</x:v>
      </x:c>
      <x:c r="H4144" s="38" t="n">
        <x:f>IF(ISNUMBER('Data'!I728),'Data'!I728*100,"")</x:f>
        <x:v>96.55</x:v>
      </x:c>
      <x:c r="I4144" s="34" t="str">
        <x:v>PASS</x:v>
      </x:c>
      <x:c r="J4144" s="34" t="str">
        <x:v>PASS</x:v>
      </x:c>
      <x:c r="K4144" s="34" t="str">
        <x:v>PASS</x:v>
      </x:c>
      <x:c r="L4144" s="34" t="str">
        <x:v>FAIL</x:v>
      </x:c>
      <x:c r="M4144" s="34" t="str">
        <x:v>numeric coverage for applicable metric</x:v>
      </x:c>
      <x:c r="N4144" s="34" t="str">
        <x:v>Feedback-Directed Random Test Generation/Result/Math_43/result.json</x:v>
      </x:c>
      <x:c r="O4144" s="38" t="n">
        <x:f>IF(AND(G4144="RECORDED",ISNUMBER(H4144)),H4144,"")</x:f>
        <x:v>96.55</x:v>
      </x:c>
      <x:c r="P4144" s="34" t="str">
        <x:v>INCONCLUSIVE</x:v>
      </x:c>
      <x:c r="Q4144" s="34" t="str">
        <x:v>Feedback-Directed Random Test Generation/Result/Math_43/result.json</x:v>
      </x:c>
    </x:row>
    <x:row r="4145">
      <x:c r="A4145" s="34" t="str">
        <x:v>randoop</x:v>
      </x:c>
      <x:c r="B4145" s="34" t="str">
        <x:v>Math</x:v>
      </x:c>
      <x:c r="C4145" s="34" t="str">
        <x:v>Round1</x:v>
      </x:c>
      <x:c r="D4145" s="34" t="str">
        <x:v>Math_44</x:v>
      </x:c>
      <x:c r="E4145" s="34" t="str">
        <x:v>Condition</x:v>
      </x:c>
      <x:c r="F4145" s="34" t="n">
        <x:v>42</x:v>
      </x:c>
      <x:c r="G4145" s="34" t="str">
        <x:v>RECORDED</x:v>
      </x:c>
      <x:c r="H4145" s="38" t="n">
        <x:f>IF(ISNUMBER('Data'!I729),'Data'!I729*100,"")</x:f>
        <x:v>0</x:v>
      </x:c>
      <x:c r="I4145" s="34" t="str">
        <x:v>PASS</x:v>
      </x:c>
      <x:c r="J4145" s="34" t="str">
        <x:v>PASS</x:v>
      </x:c>
      <x:c r="K4145" s="34" t="str">
        <x:v>PASS</x:v>
      </x:c>
      <x:c r="L4145" s="34" t="str">
        <x:v>PASS</x:v>
      </x:c>
      <x:c r="M4145" s="34" t="str">
        <x:v>numeric coverage for applicable metric</x:v>
      </x:c>
      <x:c r="N4145" s="34" t="str">
        <x:v>Feedback-Directed Random Test Generation/Result/Math_44/result.json</x:v>
      </x:c>
      <x:c r="O4145" s="38" t="n">
        <x:f>IF(AND(G4145="RECORDED",ISNUMBER(H4145)),H4145,"")</x:f>
        <x:v>0</x:v>
      </x:c>
      <x:c r="P4145" s="34" t="str">
        <x:v>NOT_REVEALING</x:v>
      </x:c>
      <x:c r="Q4145" s="34" t="str">
        <x:v>Feedback-Directed Random Test Generation/Result/Math_44/result.json</x:v>
      </x:c>
    </x:row>
    <x:row r="4146">
      <x:c r="A4146" s="34" t="str">
        <x:v>randoop</x:v>
      </x:c>
      <x:c r="B4146" s="34" t="str">
        <x:v>Math</x:v>
      </x:c>
      <x:c r="C4146" s="34" t="str">
        <x:v>Round1</x:v>
      </x:c>
      <x:c r="D4146" s="34" t="str">
        <x:v>Math_45</x:v>
      </x:c>
      <x:c r="E4146" s="34" t="str">
        <x:v>Condition</x:v>
      </x:c>
      <x:c r="F4146" s="34" t="n">
        <x:v>22</x:v>
      </x:c>
      <x:c r="G4146" s="34" t="str">
        <x:v>RECORDED</x:v>
      </x:c>
      <x:c r="H4146" s="38" t="n">
        <x:f>IF(ISNUMBER('Data'!I730),'Data'!I730*100,"")</x:f>
        <x:v>68.18</x:v>
      </x:c>
      <x:c r="I4146" s="34" t="str">
        <x:v>PASS</x:v>
      </x:c>
      <x:c r="J4146" s="34" t="str">
        <x:v>PASS</x:v>
      </x:c>
      <x:c r="K4146" s="34" t="str">
        <x:v>PASS</x:v>
      </x:c>
      <x:c r="L4146" s="34" t="str">
        <x:v>PASS</x:v>
      </x:c>
      <x:c r="M4146" s="34" t="str">
        <x:v>numeric coverage for applicable metric</x:v>
      </x:c>
      <x:c r="N4146" s="34" t="str">
        <x:v>Feedback-Directed Random Test Generation/Result/Math_45/result.json</x:v>
      </x:c>
      <x:c r="O4146" s="38" t="n">
        <x:f>IF(AND(G4146="RECORDED",ISNUMBER(H4146)),H4146,"")</x:f>
        <x:v>68.18</x:v>
      </x:c>
      <x:c r="P4146" s="34" t="str">
        <x:v>NOT_REVEALING</x:v>
      </x:c>
      <x:c r="Q4146" s="34" t="str">
        <x:v>Feedback-Directed Random Test Generation/Result/Math_45/result.json</x:v>
      </x:c>
    </x:row>
    <x:row r="4147">
      <x:c r="A4147" s="34" t="str">
        <x:v>randoop</x:v>
      </x:c>
      <x:c r="B4147" s="34" t="str">
        <x:v>Math</x:v>
      </x:c>
      <x:c r="C4147" s="34" t="str">
        <x:v>Round1</x:v>
      </x:c>
      <x:c r="D4147" s="34" t="str">
        <x:v>Math_46</x:v>
      </x:c>
      <x:c r="E4147" s="34" t="str">
        <x:v>Condition</x:v>
      </x:c>
      <x:c r="F4147" s="34" t="n">
        <x:v>148</x:v>
      </x:c>
      <x:c r="G4147" s="34" t="str">
        <x:v>RECORDED</x:v>
      </x:c>
      <x:c r="H4147" s="38" t="n">
        <x:f>IF(ISNUMBER('Data'!I731),'Data'!I731*100,"")</x:f>
        <x:v>95.27</x:v>
      </x:c>
      <x:c r="I4147" s="34" t="str">
        <x:v>PASS</x:v>
      </x:c>
      <x:c r="J4147" s="34" t="str">
        <x:v>PASS</x:v>
      </x:c>
      <x:c r="K4147" s="34" t="str">
        <x:v>PASS</x:v>
      </x:c>
      <x:c r="L4147" s="34" t="str">
        <x:v>FAIL</x:v>
      </x:c>
      <x:c r="M4147" s="34" t="str">
        <x:v>numeric coverage for applicable metric</x:v>
      </x:c>
      <x:c r="N4147" s="34" t="str">
        <x:v>Feedback-Directed Random Test Generation/Result/Math_46/result.json</x:v>
      </x:c>
      <x:c r="O4147" s="38" t="n">
        <x:f>IF(AND(G4147="RECORDED",ISNUMBER(H4147)),H4147,"")</x:f>
        <x:v>95.27</x:v>
      </x:c>
      <x:c r="P4147" s="34" t="str">
        <x:v>INCONCLUSIVE</x:v>
      </x:c>
      <x:c r="Q4147" s="34" t="str">
        <x:v>Feedback-Directed Random Test Generation/Result/Math_46/result.json</x:v>
      </x:c>
    </x:row>
    <x:row r="4148">
      <x:c r="A4148" s="34" t="str">
        <x:v>randoop</x:v>
      </x:c>
      <x:c r="B4148" s="34" t="str">
        <x:v>Math</x:v>
      </x:c>
      <x:c r="C4148" s="34" t="str">
        <x:v>Round1</x:v>
      </x:c>
      <x:c r="D4148" s="34" t="str">
        <x:v>Math_47</x:v>
      </x:c>
      <x:c r="E4148" s="34" t="str">
        <x:v>Condition</x:v>
      </x:c>
      <x:c r="F4148" s="34" t="n">
        <x:v>142</x:v>
      </x:c>
      <x:c r="G4148" s="34" t="str">
        <x:v>RECORDED</x:v>
      </x:c>
      <x:c r="H4148" s="38" t="n">
        <x:f>IF(ISNUMBER('Data'!I732),'Data'!I732*100,"")</x:f>
        <x:v>93.66</x:v>
      </x:c>
      <x:c r="I4148" s="34" t="str">
        <x:v>PASS</x:v>
      </x:c>
      <x:c r="J4148" s="34" t="str">
        <x:v>PASS</x:v>
      </x:c>
      <x:c r="K4148" s="34" t="str">
        <x:v>PASS</x:v>
      </x:c>
      <x:c r="L4148" s="34" t="str">
        <x:v>FAIL</x:v>
      </x:c>
      <x:c r="M4148" s="34" t="str">
        <x:v>numeric coverage for applicable metric</x:v>
      </x:c>
      <x:c r="N4148" s="34" t="str">
        <x:v>Feedback-Directed Random Test Generation/Result/Math_47/result.json</x:v>
      </x:c>
      <x:c r="O4148" s="38" t="n">
        <x:f>IF(AND(G4148="RECORDED",ISNUMBER(H4148)),H4148,"")</x:f>
        <x:v>93.66</x:v>
      </x:c>
      <x:c r="P4148" s="34" t="str">
        <x:v>INCONCLUSIVE</x:v>
      </x:c>
      <x:c r="Q4148" s="34" t="str">
        <x:v>Feedback-Directed Random Test Generation/Result/Math_47/result.json</x:v>
      </x:c>
    </x:row>
    <x:row r="4149">
      <x:c r="A4149" s="34" t="str">
        <x:v>randoop</x:v>
      </x:c>
      <x:c r="B4149" s="34" t="str">
        <x:v>Math</x:v>
      </x:c>
      <x:c r="C4149" s="34" t="str">
        <x:v>Round1</x:v>
      </x:c>
      <x:c r="D4149" s="34" t="str">
        <x:v>Math_48</x:v>
      </x:c>
      <x:c r="E4149" s="34" t="str">
        <x:v>Condition</x:v>
      </x:c>
      <x:c r="F4149" s="34" t="n">
        <x:v>46</x:v>
      </x:c>
      <x:c r="G4149" s="34" t="str">
        <x:v>RECORDED</x:v>
      </x:c>
      <x:c r="H4149" s="38" t="n">
        <x:f>IF(ISNUMBER('Data'!I733),'Data'!I733*100,"")</x:f>
        <x:v>0</x:v>
      </x:c>
      <x:c r="I4149" s="34" t="str">
        <x:v>PASS</x:v>
      </x:c>
      <x:c r="J4149" s="34" t="str">
        <x:v>PASS</x:v>
      </x:c>
      <x:c r="K4149" s="34" t="str">
        <x:v>PASS</x:v>
      </x:c>
      <x:c r="L4149" s="34" t="str">
        <x:v>PASS</x:v>
      </x:c>
      <x:c r="M4149" s="34" t="str">
        <x:v>numeric coverage for applicable metric</x:v>
      </x:c>
      <x:c r="N4149" s="34" t="str">
        <x:v>Feedback-Directed Random Test Generation/Result/Math_48/result.json</x:v>
      </x:c>
      <x:c r="O4149" s="38" t="n">
        <x:f>IF(AND(G4149="RECORDED",ISNUMBER(H4149)),H4149,"")</x:f>
        <x:v>0</x:v>
      </x:c>
      <x:c r="P4149" s="34" t="str">
        <x:v>NOT_REVEALING</x:v>
      </x:c>
      <x:c r="Q4149" s="34" t="str">
        <x:v>Feedback-Directed Random Test Generation/Result/Math_48/result.json</x:v>
      </x:c>
    </x:row>
    <x:row r="4150">
      <x:c r="A4150" s="34" t="str">
        <x:v>randoop</x:v>
      </x:c>
      <x:c r="B4150" s="34" t="str">
        <x:v>Math</x:v>
      </x:c>
      <x:c r="C4150" s="34" t="str">
        <x:v>Round1</x:v>
      </x:c>
      <x:c r="D4150" s="34" t="str">
        <x:v>Math_49</x:v>
      </x:c>
      <x:c r="E4150" s="34" t="str">
        <x:v>Condition</x:v>
      </x:c>
      <x:c r="F4150" s="34" t="n">
        <x:v>152</x:v>
      </x:c>
      <x:c r="G4150" s="34" t="str">
        <x:v>RECORDED</x:v>
      </x:c>
      <x:c r="H4150" s="38" t="n">
        <x:f>IF(ISNUMBER('Data'!I734),'Data'!I734*100,"")</x:f>
        <x:v>57.89</x:v>
      </x:c>
      <x:c r="I4150" s="34" t="str">
        <x:v>PASS</x:v>
      </x:c>
      <x:c r="J4150" s="34" t="str">
        <x:v>PASS</x:v>
      </x:c>
      <x:c r="K4150" s="34" t="str">
        <x:v>PASS</x:v>
      </x:c>
      <x:c r="L4150" s="34" t="str">
        <x:v>FAIL</x:v>
      </x:c>
      <x:c r="M4150" s="34" t="str">
        <x:v>numeric coverage for applicable metric</x:v>
      </x:c>
      <x:c r="N4150" s="34" t="str">
        <x:v>Feedback-Directed Random Test Generation/Result/Math_49/result.json</x:v>
      </x:c>
      <x:c r="O4150" s="38" t="n">
        <x:f>IF(AND(G4150="RECORDED",ISNUMBER(H4150)),H4150,"")</x:f>
        <x:v>57.89</x:v>
      </x:c>
      <x:c r="P4150" s="34" t="str">
        <x:v>INCONCLUSIVE</x:v>
      </x:c>
      <x:c r="Q4150" s="34" t="str">
        <x:v>Feedback-Directed Random Test Generation/Result/Math_49/result.json</x:v>
      </x:c>
    </x:row>
    <x:row r="4151">
      <x:c r="A4151" s="34" t="str">
        <x:v>randoop</x:v>
      </x:c>
      <x:c r="B4151" s="34" t="str">
        <x:v>Math</x:v>
      </x:c>
      <x:c r="C4151" s="34" t="str">
        <x:v>Round1</x:v>
      </x:c>
      <x:c r="D4151" s="34" t="str">
        <x:v>Math_50</x:v>
      </x:c>
      <x:c r="E4151" s="34" t="str">
        <x:v>Condition</x:v>
      </x:c>
      <x:c r="F4151" s="34" t="n">
        <x:v>48</x:v>
      </x:c>
      <x:c r="G4151" s="34" t="str">
        <x:v>RECORDED</x:v>
      </x:c>
      <x:c r="H4151" s="38" t="n">
        <x:f>IF(ISNUMBER('Data'!I735),'Data'!I735*100,"")</x:f>
        <x:v>0</x:v>
      </x:c>
      <x:c r="I4151" s="34" t="str">
        <x:v>PASS</x:v>
      </x:c>
      <x:c r="J4151" s="34" t="str">
        <x:v>PASS</x:v>
      </x:c>
      <x:c r="K4151" s="34" t="str">
        <x:v>PASS</x:v>
      </x:c>
      <x:c r="L4151" s="34" t="str">
        <x:v>PASS</x:v>
      </x:c>
      <x:c r="M4151" s="34" t="str">
        <x:v>numeric coverage for applicable metric</x:v>
      </x:c>
      <x:c r="N4151" s="34" t="str">
        <x:v>Feedback-Directed Random Test Generation/Result/Math_50/result.json</x:v>
      </x:c>
      <x:c r="O4151" s="38" t="n">
        <x:f>IF(AND(G4151="RECORDED",ISNUMBER(H4151)),H4151,"")</x:f>
        <x:v>0</x:v>
      </x:c>
      <x:c r="P4151" s="34" t="str">
        <x:v>NOT_REVEALING</x:v>
      </x:c>
      <x:c r="Q4151" s="34" t="str">
        <x:v>Feedback-Directed Random Test Generation/Result/Math_50/result.json</x:v>
      </x:c>
    </x:row>
    <x:row r="4152">
      <x:c r="A4152" s="34" t="str">
        <x:v>randoop</x:v>
      </x:c>
      <x:c r="B4152" s="34" t="str">
        <x:v>Math</x:v>
      </x:c>
      <x:c r="C4152" s="34" t="str">
        <x:v>Round1</x:v>
      </x:c>
      <x:c r="D4152" s="34" t="str">
        <x:v>Math_51</x:v>
      </x:c>
      <x:c r="E4152" s="34" t="str">
        <x:v>Condition</x:v>
      </x:c>
      <x:c r="F4152" s="34" t="n">
        <x:v>45</x:v>
      </x:c>
      <x:c r="G4152" s="34" t="str">
        <x:v>RECORDED</x:v>
      </x:c>
      <x:c r="H4152" s="38" t="n">
        <x:f>IF(ISNUMBER('Data'!I736),'Data'!I736*100,"")</x:f>
        <x:v>0</x:v>
      </x:c>
      <x:c r="I4152" s="34" t="str">
        <x:v>PASS</x:v>
      </x:c>
      <x:c r="J4152" s="34" t="str">
        <x:v>PASS</x:v>
      </x:c>
      <x:c r="K4152" s="34" t="str">
        <x:v>PASS</x:v>
      </x:c>
      <x:c r="L4152" s="34" t="str">
        <x:v>PASS</x:v>
      </x:c>
      <x:c r="M4152" s="34" t="str">
        <x:v>numeric coverage for applicable metric</x:v>
      </x:c>
      <x:c r="N4152" s="34" t="str">
        <x:v>Feedback-Directed Random Test Generation/Result/Math_51/result.json</x:v>
      </x:c>
      <x:c r="O4152" s="38" t="n">
        <x:f>IF(AND(G4152="RECORDED",ISNUMBER(H4152)),H4152,"")</x:f>
        <x:v>0</x:v>
      </x:c>
      <x:c r="P4152" s="34" t="str">
        <x:v>NOT_REVEALING</x:v>
      </x:c>
      <x:c r="Q4152" s="34" t="str">
        <x:v>Feedback-Directed Random Test Generation/Result/Math_51/result.json</x:v>
      </x:c>
    </x:row>
    <x:row r="4153">
      <x:c r="A4153" s="34" t="str">
        <x:v>randoop</x:v>
      </x:c>
      <x:c r="B4153" s="34" t="str">
        <x:v>Math</x:v>
      </x:c>
      <x:c r="C4153" s="34" t="str">
        <x:v>Round1</x:v>
      </x:c>
      <x:c r="D4153" s="34" t="str">
        <x:v>Math_52</x:v>
      </x:c>
      <x:c r="E4153" s="34" t="str">
        <x:v>Condition</x:v>
      </x:c>
      <x:c r="F4153" s="34" t="n">
        <x:v>122</x:v>
      </x:c>
      <x:c r="G4153" s="34" t="str">
        <x:v>RECORDED</x:v>
      </x:c>
      <x:c r="H4153" s="38" t="n">
        <x:f>IF(ISNUMBER('Data'!I737),'Data'!I737*100,"")</x:f>
        <x:v>42.62</x:v>
      </x:c>
      <x:c r="I4153" s="34" t="str">
        <x:v>PASS</x:v>
      </x:c>
      <x:c r="J4153" s="34" t="str">
        <x:v>PASS</x:v>
      </x:c>
      <x:c r="K4153" s="34" t="str">
        <x:v>PASS</x:v>
      </x:c>
      <x:c r="L4153" s="34" t="str">
        <x:v>FAIL</x:v>
      </x:c>
      <x:c r="M4153" s="34" t="str">
        <x:v>numeric coverage for applicable metric</x:v>
      </x:c>
      <x:c r="N4153" s="34" t="str">
        <x:v>Feedback-Directed Random Test Generation/Result/Math_52/result.json</x:v>
      </x:c>
      <x:c r="O4153" s="38" t="n">
        <x:f>IF(AND(G4153="RECORDED",ISNUMBER(H4153)),H4153,"")</x:f>
        <x:v>42.62</x:v>
      </x:c>
      <x:c r="P4153" s="34" t="str">
        <x:v>INCONCLUSIVE</x:v>
      </x:c>
      <x:c r="Q4153" s="34" t="str">
        <x:v>Feedback-Directed Random Test Generation/Result/Math_52/result.json</x:v>
      </x:c>
    </x:row>
    <x:row r="4154">
      <x:c r="A4154" s="34" t="str">
        <x:v>randoop</x:v>
      </x:c>
      <x:c r="B4154" s="34" t="str">
        <x:v>Math</x:v>
      </x:c>
      <x:c r="C4154" s="34" t="str">
        <x:v>Round1</x:v>
      </x:c>
      <x:c r="D4154" s="34" t="str">
        <x:v>Math_53</x:v>
      </x:c>
      <x:c r="E4154" s="34" t="str">
        <x:v>Condition</x:v>
      </x:c>
      <x:c r="F4154" s="34" t="n">
        <x:v>114</x:v>
      </x:c>
      <x:c r="G4154" s="34" t="str">
        <x:v>RECORDED</x:v>
      </x:c>
      <x:c r="H4154" s="38" t="n">
        <x:f>IF(ISNUMBER('Data'!I738),'Data'!I738*100,"")</x:f>
        <x:v>94.74</x:v>
      </x:c>
      <x:c r="I4154" s="34" t="str">
        <x:v>PASS</x:v>
      </x:c>
      <x:c r="J4154" s="34" t="str">
        <x:v>PASS</x:v>
      </x:c>
      <x:c r="K4154" s="34" t="str">
        <x:v>PASS</x:v>
      </x:c>
      <x:c r="L4154" s="34" t="str">
        <x:v>FAIL</x:v>
      </x:c>
      <x:c r="M4154" s="34" t="str">
        <x:v>numeric coverage for applicable metric</x:v>
      </x:c>
      <x:c r="N4154" s="34" t="str">
        <x:v>Feedback-Directed Random Test Generation/Result/Math_53/result.json</x:v>
      </x:c>
      <x:c r="O4154" s="38" t="n">
        <x:f>IF(AND(G4154="RECORDED",ISNUMBER(H4154)),H4154,"")</x:f>
        <x:v>94.74</x:v>
      </x:c>
      <x:c r="P4154" s="34" t="str">
        <x:v>INCONCLUSIVE</x:v>
      </x:c>
      <x:c r="Q4154" s="34" t="str">
        <x:v>Feedback-Directed Random Test Generation/Result/Math_53/result.json</x:v>
      </x:c>
    </x:row>
    <x:row r="4155">
      <x:c r="A4155" s="34" t="str">
        <x:v>randoop</x:v>
      </x:c>
      <x:c r="B4155" s="34" t="str">
        <x:v>Math</x:v>
      </x:c>
      <x:c r="C4155" s="34" t="str">
        <x:v>Round1</x:v>
      </x:c>
      <x:c r="D4155" s="34" t="str">
        <x:v>Math_54</x:v>
      </x:c>
      <x:c r="E4155" s="34" t="str">
        <x:v>Condition</x:v>
      </x:c>
      <x:c r="F4155" s="34" t="n">
        <x:v>694</x:v>
      </x:c>
      <x:c r="G4155" s="34" t="str">
        <x:v>RECORDED</x:v>
      </x:c>
      <x:c r="H4155" s="38" t="n">
        <x:f>IF(ISNUMBER('Data'!I739),'Data'!I739*100,"")</x:f>
        <x:v>0</x:v>
      </x:c>
      <x:c r="I4155" s="34" t="str">
        <x:v>PASS</x:v>
      </x:c>
      <x:c r="J4155" s="34" t="str">
        <x:v>PASS</x:v>
      </x:c>
      <x:c r="K4155" s="34" t="str">
        <x:v>PASS</x:v>
      </x:c>
      <x:c r="L4155" s="34" t="str">
        <x:v>PASS</x:v>
      </x:c>
      <x:c r="M4155" s="34" t="str">
        <x:v>numeric coverage for applicable metric</x:v>
      </x:c>
      <x:c r="N4155" s="34" t="str">
        <x:v>Feedback-Directed Random Test Generation/Result/Math_54/result.json</x:v>
      </x:c>
      <x:c r="O4155" s="38" t="n">
        <x:f>IF(AND(G4155="RECORDED",ISNUMBER(H4155)),H4155,"")</x:f>
        <x:v>0</x:v>
      </x:c>
      <x:c r="P4155" s="34" t="str">
        <x:v>NOT_REVEALING</x:v>
      </x:c>
      <x:c r="Q4155" s="34" t="str">
        <x:v>Feedback-Directed Random Test Generation/Result/Math_54/result.json</x:v>
      </x:c>
    </x:row>
    <x:row r="4156">
      <x:c r="A4156" s="34" t="str">
        <x:v>randoop</x:v>
      </x:c>
      <x:c r="B4156" s="34" t="str">
        <x:v>Math</x:v>
      </x:c>
      <x:c r="C4156" s="34" t="str">
        <x:v>Round1</x:v>
      </x:c>
      <x:c r="D4156" s="34" t="str">
        <x:v>Math_55</x:v>
      </x:c>
      <x:c r="E4156" s="34" t="str">
        <x:v>Condition</x:v>
      </x:c>
      <x:c r="F4156" s="34" t="n">
        <x:v>48</x:v>
      </x:c>
      <x:c r="G4156" s="34" t="str">
        <x:v>RECORDED</x:v>
      </x:c>
      <x:c r="H4156" s="38" t="n">
        <x:f>IF(ISNUMBER('Data'!I740),'Data'!I740*100,"")</x:f>
        <x:v>87.5</x:v>
      </x:c>
      <x:c r="I4156" s="34" t="str">
        <x:v>PASS</x:v>
      </x:c>
      <x:c r="J4156" s="34" t="str">
        <x:v>PASS</x:v>
      </x:c>
      <x:c r="K4156" s="34" t="str">
        <x:v>PASS</x:v>
      </x:c>
      <x:c r="L4156" s="34" t="str">
        <x:v>FAIL</x:v>
      </x:c>
      <x:c r="M4156" s="34" t="str">
        <x:v>numeric coverage for applicable metric</x:v>
      </x:c>
      <x:c r="N4156" s="34" t="str">
        <x:v>Feedback-Directed Random Test Generation/Result/Math_55/result.json</x:v>
      </x:c>
      <x:c r="O4156" s="38" t="n">
        <x:f>IF(AND(G4156="RECORDED",ISNUMBER(H4156)),H4156,"")</x:f>
        <x:v>87.5</x:v>
      </x:c>
      <x:c r="P4156" s="34" t="str">
        <x:v>INCONCLUSIVE</x:v>
      </x:c>
      <x:c r="Q4156" s="34" t="str">
        <x:v>Feedback-Directed Random Test Generation/Result/Math_55/result.json</x:v>
      </x:c>
    </x:row>
    <x:row r="4157">
      <x:c r="A4157" s="34" t="str">
        <x:v>randoop</x:v>
      </x:c>
      <x:c r="B4157" s="34" t="str">
        <x:v>Math</x:v>
      </x:c>
      <x:c r="C4157" s="34" t="str">
        <x:v>Round1</x:v>
      </x:c>
      <x:c r="D4157" s="34" t="str">
        <x:v>Math_56</x:v>
      </x:c>
      <x:c r="E4157" s="34" t="str">
        <x:v>Condition</x:v>
      </x:c>
      <x:c r="F4157" s="34" t="n">
        <x:v>34</x:v>
      </x:c>
      <x:c r="G4157" s="34" t="str">
        <x:v>RECORDED</x:v>
      </x:c>
      <x:c r="H4157" s="38" t="n">
        <x:f>IF(ISNUMBER('Data'!I741),'Data'!I741*100,"")</x:f>
        <x:v>91.18</x:v>
      </x:c>
      <x:c r="I4157" s="34" t="str">
        <x:v>PASS</x:v>
      </x:c>
      <x:c r="J4157" s="34" t="str">
        <x:v>PASS</x:v>
      </x:c>
      <x:c r="K4157" s="34" t="str">
        <x:v>PASS</x:v>
      </x:c>
      <x:c r="L4157" s="34" t="str">
        <x:v>PASS</x:v>
      </x:c>
      <x:c r="M4157" s="34" t="str">
        <x:v>numeric coverage for applicable metric</x:v>
      </x:c>
      <x:c r="N4157" s="34" t="str">
        <x:v>Feedback-Directed Random Test Generation/Result/Math_56/result.json</x:v>
      </x:c>
      <x:c r="O4157" s="38" t="n">
        <x:f>IF(AND(G4157="RECORDED",ISNUMBER(H4157)),H4157,"")</x:f>
        <x:v>91.18</x:v>
      </x:c>
      <x:c r="P4157" s="34" t="str">
        <x:v>INCONCLUSIVE</x:v>
      </x:c>
      <x:c r="Q4157" s="34" t="str">
        <x:v>Feedback-Directed Random Test Generation/Result/Math_56/result.json</x:v>
      </x:c>
    </x:row>
    <x:row r="4158">
      <x:c r="A4158" s="34" t="str">
        <x:v>randoop</x:v>
      </x:c>
      <x:c r="B4158" s="34" t="str">
        <x:v>Math</x:v>
      </x:c>
      <x:c r="C4158" s="34" t="str">
        <x:v>Round1</x:v>
      </x:c>
      <x:c r="D4158" s="34" t="str">
        <x:v>Math_57</x:v>
      </x:c>
      <x:c r="E4158" s="34" t="str">
        <x:v>Condition</x:v>
      </x:c>
      <x:c r="F4158" s="34" t="n">
        <x:v>54</x:v>
      </x:c>
      <x:c r="G4158" s="34" t="str">
        <x:v>RECORDED</x:v>
      </x:c>
      <x:c r="H4158" s="38" t="n">
        <x:f>IF(ISNUMBER('Data'!I742),'Data'!I742*100,"")</x:f>
        <x:v>0</x:v>
      </x:c>
      <x:c r="I4158" s="34" t="str">
        <x:v>PASS</x:v>
      </x:c>
      <x:c r="J4158" s="34" t="str">
        <x:v>PASS</x:v>
      </x:c>
      <x:c r="K4158" s="34" t="str">
        <x:v>PASS</x:v>
      </x:c>
      <x:c r="L4158" s="34" t="str">
        <x:v>PASS</x:v>
      </x:c>
      <x:c r="M4158" s="34" t="str">
        <x:v>numeric coverage for applicable metric</x:v>
      </x:c>
      <x:c r="N4158" s="34" t="str">
        <x:v>Feedback-Directed Random Test Generation/Result/Math_57/result.json</x:v>
      </x:c>
      <x:c r="O4158" s="38" t="n">
        <x:f>IF(AND(G4158="RECORDED",ISNUMBER(H4158)),H4158,"")</x:f>
        <x:v>0</x:v>
      </x:c>
      <x:c r="P4158" s="34" t="str">
        <x:v>NOT_REVEALING</x:v>
      </x:c>
      <x:c r="Q4158" s="34" t="str">
        <x:v>Feedback-Directed Random Test Generation/Result/Math_57/result.json</x:v>
      </x:c>
    </x:row>
    <x:row r="4159">
      <x:c r="A4159" s="34" t="str">
        <x:v>randoop</x:v>
      </x:c>
      <x:c r="B4159" s="34" t="str">
        <x:v>Math</x:v>
      </x:c>
      <x:c r="C4159" s="34" t="str">
        <x:v>Round1</x:v>
      </x:c>
      <x:c r="D4159" s="34" t="str">
        <x:v>Math_58</x:v>
      </x:c>
      <x:c r="E4159" s="34" t="str">
        <x:v>Condition</x:v>
      </x:c>
      <x:c r="F4159" s="34" t="n">
        <x:v>58</x:v>
      </x:c>
      <x:c r="G4159" s="34" t="str">
        <x:v>RECORDED</x:v>
      </x:c>
      <x:c r="H4159" s="38" t="n">
        <x:f>IF(ISNUMBER('Data'!I743),'Data'!I743*100,"")</x:f>
        <x:v>94.83</x:v>
      </x:c>
      <x:c r="I4159" s="34" t="str">
        <x:v>PASS</x:v>
      </x:c>
      <x:c r="J4159" s="34" t="str">
        <x:v>PASS</x:v>
      </x:c>
      <x:c r="K4159" s="34" t="str">
        <x:v>PASS</x:v>
      </x:c>
      <x:c r="L4159" s="34" t="str">
        <x:v>PASS</x:v>
      </x:c>
      <x:c r="M4159" s="34" t="str">
        <x:v>numeric coverage for applicable metric</x:v>
      </x:c>
      <x:c r="N4159" s="34" t="str">
        <x:v>Feedback-Directed Random Test Generation/Result/Math_58/result.json</x:v>
      </x:c>
      <x:c r="O4159" s="38" t="n">
        <x:f>IF(AND(G4159="RECORDED",ISNUMBER(H4159)),H4159,"")</x:f>
        <x:v>94.83</x:v>
      </x:c>
      <x:c r="P4159" s="34" t="str">
        <x:v>NOT_REVEALING</x:v>
      </x:c>
      <x:c r="Q4159" s="34" t="str">
        <x:v>Feedback-Directed Random Test Generation/Result/Math_58/result.json</x:v>
      </x:c>
    </x:row>
    <x:row r="4160">
      <x:c r="A4160" s="34" t="str">
        <x:v>randoop</x:v>
      </x:c>
      <x:c r="B4160" s="34" t="str">
        <x:v>Math</x:v>
      </x:c>
      <x:c r="C4160" s="34" t="str">
        <x:v>Round1</x:v>
      </x:c>
      <x:c r="D4160" s="34" t="str">
        <x:v>Math_59</x:v>
      </x:c>
      <x:c r="E4160" s="34" t="str">
        <x:v>Condition</x:v>
      </x:c>
      <x:c r="F4160" s="34" t="n">
        <x:v>652</x:v>
      </x:c>
      <x:c r="G4160" s="34" t="str">
        <x:v>RECORDED</x:v>
      </x:c>
      <x:c r="H4160" s="38" t="n">
        <x:f>IF(ISNUMBER('Data'!I744),'Data'!I744*100,"")</x:f>
        <x:v>78.37</x:v>
      </x:c>
      <x:c r="I4160" s="34" t="str">
        <x:v>PASS</x:v>
      </x:c>
      <x:c r="J4160" s="34" t="str">
        <x:v>PASS</x:v>
      </x:c>
      <x:c r="K4160" s="34" t="str">
        <x:v>PASS</x:v>
      </x:c>
      <x:c r="L4160" s="34" t="str">
        <x:v>PASS</x:v>
      </x:c>
      <x:c r="M4160" s="34" t="str">
        <x:v>numeric coverage for applicable metric</x:v>
      </x:c>
      <x:c r="N4160" s="34" t="str">
        <x:v>Feedback-Directed Random Test Generation/Result/Math_59/result.json</x:v>
      </x:c>
      <x:c r="O4160" s="38" t="n">
        <x:f>IF(AND(G4160="RECORDED",ISNUMBER(H4160)),H4160,"")</x:f>
        <x:v>78.37</x:v>
      </x:c>
      <x:c r="P4160" s="34" t="str">
        <x:v>INCONCLUSIVE</x:v>
      </x:c>
      <x:c r="Q4160" s="34" t="str">
        <x:v>Feedback-Directed Random Test Generation/Result/Math_59/result.json</x:v>
      </x:c>
    </x:row>
    <x:row r="4161">
      <x:c r="A4161" s="34" t="str">
        <x:v>randoop</x:v>
      </x:c>
      <x:c r="B4161" s="34" t="str">
        <x:v>Math</x:v>
      </x:c>
      <x:c r="C4161" s="34" t="str">
        <x:v>Round1</x:v>
      </x:c>
      <x:c r="D4161" s="34" t="str">
        <x:v>Math_60</x:v>
      </x:c>
      <x:c r="E4161" s="34" t="str">
        <x:v>Condition</x:v>
      </x:c>
      <x:c r="F4161" s="34" t="n">
        <x:v>18</x:v>
      </x:c>
      <x:c r="G4161" s="34" t="str">
        <x:v>RECORDED</x:v>
      </x:c>
      <x:c r="H4161" s="38" t="n">
        <x:f>IF(ISNUMBER('Data'!I745),'Data'!I745*100,"")</x:f>
        <x:v>61.11</x:v>
      </x:c>
      <x:c r="I4161" s="34" t="str">
        <x:v>PASS</x:v>
      </x:c>
      <x:c r="J4161" s="34" t="str">
        <x:v>PASS</x:v>
      </x:c>
      <x:c r="K4161" s="34" t="str">
        <x:v>PASS</x:v>
      </x:c>
      <x:c r="L4161" s="34" t="str">
        <x:v>PASS</x:v>
      </x:c>
      <x:c r="M4161" s="34" t="str">
        <x:v>numeric coverage for applicable metric</x:v>
      </x:c>
      <x:c r="N4161" s="34" t="str">
        <x:v>Feedback-Directed Random Test Generation/Result/Math_60/result.json</x:v>
      </x:c>
      <x:c r="O4161" s="38" t="n">
        <x:f>IF(AND(G4161="RECORDED",ISNUMBER(H4161)),H4161,"")</x:f>
        <x:v>61.11</x:v>
      </x:c>
      <x:c r="P4161" s="34" t="str">
        <x:v>NOT_REVEALING</x:v>
      </x:c>
      <x:c r="Q4161" s="34" t="str">
        <x:v>Feedback-Directed Random Test Generation/Result/Math_60/result.json</x:v>
      </x:c>
    </x:row>
    <x:row r="4162">
      <x:c r="A4162" s="34" t="str">
        <x:v>randoop</x:v>
      </x:c>
      <x:c r="B4162" s="34" t="str">
        <x:v>Math</x:v>
      </x:c>
      <x:c r="C4162" s="34" t="str">
        <x:v>Round1</x:v>
      </x:c>
      <x:c r="D4162" s="34" t="str">
        <x:v>Math_61</x:v>
      </x:c>
      <x:c r="E4162" s="34" t="str">
        <x:v>Condition</x:v>
      </x:c>
      <x:c r="F4162" s="34" t="n">
        <x:v>12</x:v>
      </x:c>
      <x:c r="G4162" s="34" t="str">
        <x:v>RECORDED</x:v>
      </x:c>
      <x:c r="H4162" s="38" t="n">
        <x:f>IF(ISNUMBER('Data'!I746),'Data'!I746*100,"")</x:f>
        <x:v>75</x:v>
      </x:c>
      <x:c r="I4162" s="34" t="str">
        <x:v>PASS</x:v>
      </x:c>
      <x:c r="J4162" s="34" t="str">
        <x:v>PASS</x:v>
      </x:c>
      <x:c r="K4162" s="34" t="str">
        <x:v>PASS</x:v>
      </x:c>
      <x:c r="L4162" s="34" t="str">
        <x:v>PASS</x:v>
      </x:c>
      <x:c r="M4162" s="34" t="str">
        <x:v>numeric coverage for applicable metric</x:v>
      </x:c>
      <x:c r="N4162" s="34" t="str">
        <x:v>Feedback-Directed Random Test Generation/Result/Math_61/result.json</x:v>
      </x:c>
      <x:c r="O4162" s="38" t="n">
        <x:f>IF(AND(G4162="RECORDED",ISNUMBER(H4162)),H4162,"")</x:f>
        <x:v>75</x:v>
      </x:c>
      <x:c r="P4162" s="34" t="str">
        <x:v>INCONCLUSIVE</x:v>
      </x:c>
      <x:c r="Q4162" s="34" t="str">
        <x:v>Feedback-Directed Random Test Generation/Result/Math_61/result.json</x:v>
      </x:c>
    </x:row>
    <x:row r="4163">
      <x:c r="A4163" s="34" t="str">
        <x:v>randoop</x:v>
      </x:c>
      <x:c r="B4163" s="34" t="str">
        <x:v>Math</x:v>
      </x:c>
      <x:c r="C4163" s="34" t="str">
        <x:v>Round1</x:v>
      </x:c>
      <x:c r="D4163" s="34" t="str">
        <x:v>Math_62</x:v>
      </x:c>
      <x:c r="E4163" s="34" t="str">
        <x:v>Condition</x:v>
      </x:c>
      <x:c r="F4163" s="34" t="n">
        <x:v>18</x:v>
      </x:c>
      <x:c r="G4163" s="34" t="str">
        <x:v>RECORDED</x:v>
      </x:c>
      <x:c r="H4163" s="38" t="n">
        <x:f>IF(ISNUMBER('Data'!I747),'Data'!I747*100,"")</x:f>
        <x:v>0</x:v>
      </x:c>
      <x:c r="I4163" s="34" t="str">
        <x:v>PASS</x:v>
      </x:c>
      <x:c r="J4163" s="34" t="str">
        <x:v>PASS</x:v>
      </x:c>
      <x:c r="K4163" s="34" t="str">
        <x:v>PASS</x:v>
      </x:c>
      <x:c r="L4163" s="34" t="str">
        <x:v>PASS</x:v>
      </x:c>
      <x:c r="M4163" s="34" t="str">
        <x:v>numeric coverage for applicable metric</x:v>
      </x:c>
      <x:c r="N4163" s="34" t="str">
        <x:v>Feedback-Directed Random Test Generation/Result/Math_62/result.json</x:v>
      </x:c>
      <x:c r="O4163" s="38" t="n">
        <x:f>IF(AND(G4163="RECORDED",ISNUMBER(H4163)),H4163,"")</x:f>
        <x:v>0</x:v>
      </x:c>
      <x:c r="P4163" s="34" t="str">
        <x:v>NOT_REVEALING</x:v>
      </x:c>
      <x:c r="Q4163" s="34" t="str">
        <x:v>Feedback-Directed Random Test Generation/Result/Math_62/result.json</x:v>
      </x:c>
    </x:row>
    <x:row r="4164">
      <x:c r="A4164" s="34" t="str">
        <x:v>randoop</x:v>
      </x:c>
      <x:c r="B4164" s="34" t="str">
        <x:v>Math</x:v>
      </x:c>
      <x:c r="C4164" s="34" t="str">
        <x:v>Round1</x:v>
      </x:c>
      <x:c r="D4164" s="34" t="str">
        <x:v>Math_63</x:v>
      </x:c>
      <x:c r="E4164" s="34" t="str">
        <x:v>Condition</x:v>
      </x:c>
      <x:c r="F4164" s="34" t="n">
        <x:v>441</x:v>
      </x:c>
      <x:c r="G4164" s="34" t="str">
        <x:v>RECORDED</x:v>
      </x:c>
      <x:c r="H4164" s="38" t="n">
        <x:f>IF(ISNUMBER('Data'!I748),'Data'!I748*100,"")</x:f>
        <x:v>74.83</x:v>
      </x:c>
      <x:c r="I4164" s="34" t="str">
        <x:v>PASS</x:v>
      </x:c>
      <x:c r="J4164" s="34" t="str">
        <x:v>PASS</x:v>
      </x:c>
      <x:c r="K4164" s="34" t="str">
        <x:v>PASS</x:v>
      </x:c>
      <x:c r="L4164" s="34" t="str">
        <x:v>PASS</x:v>
      </x:c>
      <x:c r="M4164" s="34" t="str">
        <x:v>numeric coverage for applicable metric</x:v>
      </x:c>
      <x:c r="N4164" s="34" t="str">
        <x:v>Feedback-Directed Random Test Generation/Result/Math_63/result.json</x:v>
      </x:c>
      <x:c r="O4164" s="38" t="n">
        <x:f>IF(AND(G4164="RECORDED",ISNUMBER(H4164)),H4164,"")</x:f>
        <x:v>74.83</x:v>
      </x:c>
      <x:c r="P4164" s="34" t="str">
        <x:v>NOT_REVEALING</x:v>
      </x:c>
      <x:c r="Q4164" s="34" t="str">
        <x:v>Feedback-Directed Random Test Generation/Result/Math_63/result.json</x:v>
      </x:c>
    </x:row>
    <x:row r="4165">
      <x:c r="A4165" s="34" t="str">
        <x:v>randoop</x:v>
      </x:c>
      <x:c r="B4165" s="34" t="str">
        <x:v>Math</x:v>
      </x:c>
      <x:c r="C4165" s="34" t="str">
        <x:v>Round1</x:v>
      </x:c>
      <x:c r="D4165" s="34" t="str">
        <x:v>Math_64</x:v>
      </x:c>
      <x:c r="E4165" s="34" t="str">
        <x:v>Condition</x:v>
      </x:c>
      <x:c r="F4165" s="34" t="n">
        <x:v>200</x:v>
      </x:c>
      <x:c r="G4165" s="34" t="str">
        <x:v>RECORDED</x:v>
      </x:c>
      <x:c r="H4165" s="38" t="n">
        <x:f>IF(ISNUMBER('Data'!I749),'Data'!I749*100,"")</x:f>
        <x:v>0</x:v>
      </x:c>
      <x:c r="I4165" s="34" t="str">
        <x:v>PASS</x:v>
      </x:c>
      <x:c r="J4165" s="34" t="str">
        <x:v>PASS</x:v>
      </x:c>
      <x:c r="K4165" s="34" t="str">
        <x:v>PASS</x:v>
      </x:c>
      <x:c r="L4165" s="34" t="str">
        <x:v>FAIL</x:v>
      </x:c>
      <x:c r="M4165" s="34" t="str">
        <x:v>numeric coverage for applicable metric</x:v>
      </x:c>
      <x:c r="N4165" s="34" t="str">
        <x:v>Feedback-Directed Random Test Generation/Result/Math_64/result.json</x:v>
      </x:c>
      <x:c r="O4165" s="38" t="n">
        <x:f>IF(AND(G4165="RECORDED",ISNUMBER(H4165)),H4165,"")</x:f>
        <x:v>0</x:v>
      </x:c>
      <x:c r="P4165" s="34" t="str">
        <x:v>INCONCLUSIVE</x:v>
      </x:c>
      <x:c r="Q4165" s="34" t="str">
        <x:v>Feedback-Directed Random Test Generation/Result/Math_64/result.json</x:v>
      </x:c>
    </x:row>
    <x:row r="4166">
      <x:c r="A4166" s="34" t="str">
        <x:v>randoop</x:v>
      </x:c>
      <x:c r="B4166" s="34" t="str">
        <x:v>Math</x:v>
      </x:c>
      <x:c r="C4166" s="34" t="str">
        <x:v>Round1</x:v>
      </x:c>
      <x:c r="D4166" s="34" t="str">
        <x:v>Math_65</x:v>
      </x:c>
      <x:c r="E4166" s="34" t="str">
        <x:v>Condition</x:v>
      </x:c>
      <x:c r="F4166" s="34" t="n">
        <x:v>30</x:v>
      </x:c>
      <x:c r="G4166" s="34" t="str">
        <x:v>RECORDED</x:v>
      </x:c>
      <x:c r="H4166" s="38" t="n">
        <x:f>IF(ISNUMBER('Data'!I750),'Data'!I750*100,"")</x:f>
        <x:v>0</x:v>
      </x:c>
      <x:c r="I4166" s="34" t="str">
        <x:v>PASS</x:v>
      </x:c>
      <x:c r="J4166" s="34" t="str">
        <x:v>PASS</x:v>
      </x:c>
      <x:c r="K4166" s="34" t="str">
        <x:v>PASS</x:v>
      </x:c>
      <x:c r="L4166" s="34" t="str">
        <x:v>PASS</x:v>
      </x:c>
      <x:c r="M4166" s="34" t="str">
        <x:v>numeric coverage for applicable metric</x:v>
      </x:c>
      <x:c r="N4166" s="34" t="str">
        <x:v>Feedback-Directed Random Test Generation/Result/Math_65/result.json</x:v>
      </x:c>
      <x:c r="O4166" s="38" t="n">
        <x:f>IF(AND(G4166="RECORDED",ISNUMBER(H4166)),H4166,"")</x:f>
        <x:v>0</x:v>
      </x:c>
      <x:c r="P4166" s="34" t="str">
        <x:v>NOT_REVEALING</x:v>
      </x:c>
      <x:c r="Q4166" s="34" t="str">
        <x:v>Feedback-Directed Random Test Generation/Result/Math_65/result.json</x:v>
      </x:c>
    </x:row>
    <x:row r="4167">
      <x:c r="A4167" s="34" t="str">
        <x:v>randoop</x:v>
      </x:c>
      <x:c r="B4167" s="34" t="str">
        <x:v>Math</x:v>
      </x:c>
      <x:c r="C4167" s="34" t="str">
        <x:v>Round1</x:v>
      </x:c>
      <x:c r="D4167" s="34" t="str">
        <x:v>Math_66</x:v>
      </x:c>
      <x:c r="E4167" s="34" t="str">
        <x:v>Condition</x:v>
      </x:c>
      <x:c r="F4167" s="34" t="n">
        <x:v>58</x:v>
      </x:c>
      <x:c r="G4167" s="34" t="str">
        <x:v>RECORDED</x:v>
      </x:c>
      <x:c r="H4167" s="38" t="n">
        <x:f>IF(ISNUMBER('Data'!I751),'Data'!I751*100,"")</x:f>
        <x:v>12.07</x:v>
      </x:c>
      <x:c r="I4167" s="34" t="str">
        <x:v>PASS</x:v>
      </x:c>
      <x:c r="J4167" s="34" t="str">
        <x:v>PASS</x:v>
      </x:c>
      <x:c r="K4167" s="34" t="str">
        <x:v>PASS</x:v>
      </x:c>
      <x:c r="L4167" s="34" t="str">
        <x:v>PASS</x:v>
      </x:c>
      <x:c r="M4167" s="34" t="str">
        <x:v>numeric coverage for applicable metric</x:v>
      </x:c>
      <x:c r="N4167" s="34" t="str">
        <x:v>Feedback-Directed Random Test Generation/Result/Math_66/result.json</x:v>
      </x:c>
      <x:c r="O4167" s="38" t="n">
        <x:f>IF(AND(G4167="RECORDED",ISNUMBER(H4167)),H4167,"")</x:f>
        <x:v>12.07</x:v>
      </x:c>
      <x:c r="P4167" s="34" t="str">
        <x:v>INCONCLUSIVE</x:v>
      </x:c>
      <x:c r="Q4167" s="34" t="str">
        <x:v>Feedback-Directed Random Test Generation/Result/Math_66/result.json</x:v>
      </x:c>
    </x:row>
    <x:row r="4168">
      <x:c r="A4168" s="34" t="str">
        <x:v>randoop</x:v>
      </x:c>
      <x:c r="B4168" s="34" t="str">
        <x:v>Math</x:v>
      </x:c>
      <x:c r="C4168" s="34" t="str">
        <x:v>Round1</x:v>
      </x:c>
      <x:c r="D4168" s="34" t="str">
        <x:v>Math_67</x:v>
      </x:c>
      <x:c r="E4168" s="34" t="str">
        <x:v>Condition</x:v>
      </x:c>
      <x:c r="F4168" s="34" t="n">
        <x:v>34</x:v>
      </x:c>
      <x:c r="G4168" s="34" t="str">
        <x:v>RECORDED</x:v>
      </x:c>
      <x:c r="H4168" s="38" t="n">
        <x:f>IF(ISNUMBER('Data'!I752),'Data'!I752*100,"")</x:f>
        <x:v>20.59</x:v>
      </x:c>
      <x:c r="I4168" s="34" t="str">
        <x:v>PASS</x:v>
      </x:c>
      <x:c r="J4168" s="34" t="str">
        <x:v>PASS</x:v>
      </x:c>
      <x:c r="K4168" s="34" t="str">
        <x:v>PASS</x:v>
      </x:c>
      <x:c r="L4168" s="34" t="str">
        <x:v>PASS</x:v>
      </x:c>
      <x:c r="M4168" s="34" t="str">
        <x:v>numeric coverage for applicable metric</x:v>
      </x:c>
      <x:c r="N4168" s="34" t="str">
        <x:v>Feedback-Directed Random Test Generation/Result/Math_67/result.json</x:v>
      </x:c>
      <x:c r="O4168" s="38" t="n">
        <x:f>IF(AND(G4168="RECORDED",ISNUMBER(H4168)),H4168,"")</x:f>
        <x:v>20.59</x:v>
      </x:c>
      <x:c r="P4168" s="34" t="str">
        <x:v>NOT_REVEALING</x:v>
      </x:c>
      <x:c r="Q4168" s="34" t="str">
        <x:v>Feedback-Directed Random Test Generation/Result/Math_67/result.json</x:v>
      </x:c>
    </x:row>
    <x:row r="4169">
      <x:c r="A4169" s="34" t="str">
        <x:v>randoop</x:v>
      </x:c>
      <x:c r="B4169" s="34" t="str">
        <x:v>Math</x:v>
      </x:c>
      <x:c r="C4169" s="34" t="str">
        <x:v>Round1</x:v>
      </x:c>
      <x:c r="D4169" s="34" t="str">
        <x:v>Math_68</x:v>
      </x:c>
      <x:c r="E4169" s="34" t="str">
        <x:v>Condition</x:v>
      </x:c>
      <x:c r="F4169" s="34" t="n">
        <x:v>196</x:v>
      </x:c>
      <x:c r="G4169" s="34" t="str">
        <x:v>RECORDED</x:v>
      </x:c>
      <x:c r="H4169" s="38" t="n">
        <x:f>IF(ISNUMBER('Data'!I753),'Data'!I753*100,"")</x:f>
        <x:v>0</x:v>
      </x:c>
      <x:c r="I4169" s="34" t="str">
        <x:v>PASS</x:v>
      </x:c>
      <x:c r="J4169" s="34" t="str">
        <x:v>PASS</x:v>
      </x:c>
      <x:c r="K4169" s="34" t="str">
        <x:v>PASS</x:v>
      </x:c>
      <x:c r="L4169" s="34" t="str">
        <x:v>FAIL</x:v>
      </x:c>
      <x:c r="M4169" s="34" t="str">
        <x:v>numeric coverage for applicable metric</x:v>
      </x:c>
      <x:c r="N4169" s="34" t="str">
        <x:v>Feedback-Directed Random Test Generation/Result/Math_68/result.json</x:v>
      </x:c>
      <x:c r="O4169" s="38" t="n">
        <x:f>IF(AND(G4169="RECORDED",ISNUMBER(H4169)),H4169,"")</x:f>
        <x:v>0</x:v>
      </x:c>
      <x:c r="P4169" s="34" t="str">
        <x:v>INCONCLUSIVE</x:v>
      </x:c>
      <x:c r="Q4169" s="34" t="str">
        <x:v>Feedback-Directed Random Test Generation/Result/Math_68/result.json</x:v>
      </x:c>
    </x:row>
    <x:row r="4170">
      <x:c r="A4170" s="34" t="str">
        <x:v>randoop</x:v>
      </x:c>
      <x:c r="B4170" s="34" t="str">
        <x:v>Math</x:v>
      </x:c>
      <x:c r="C4170" s="34" t="str">
        <x:v>Round1</x:v>
      </x:c>
      <x:c r="D4170" s="34" t="str">
        <x:v>Math_69</x:v>
      </x:c>
      <x:c r="E4170" s="34" t="str">
        <x:v>Condition</x:v>
      </x:c>
      <x:c r="F4170" s="34" t="n">
        <x:v>30</x:v>
      </x:c>
      <x:c r="G4170" s="34" t="str">
        <x:v>RECORDED</x:v>
      </x:c>
      <x:c r="H4170" s="38" t="n">
        <x:f>IF(ISNUMBER('Data'!I754),'Data'!I754*100,"")</x:f>
        <x:v>90</x:v>
      </x:c>
      <x:c r="I4170" s="34" t="str">
        <x:v>PASS</x:v>
      </x:c>
      <x:c r="J4170" s="34" t="str">
        <x:v>PASS</x:v>
      </x:c>
      <x:c r="K4170" s="34" t="str">
        <x:v>PASS</x:v>
      </x:c>
      <x:c r="L4170" s="34" t="str">
        <x:v>FAIL</x:v>
      </x:c>
      <x:c r="M4170" s="34" t="str">
        <x:v>numeric coverage for applicable metric</x:v>
      </x:c>
      <x:c r="N4170" s="34" t="str">
        <x:v>Feedback-Directed Random Test Generation/Result/Math_69/result.json</x:v>
      </x:c>
      <x:c r="O4170" s="38" t="n">
        <x:f>IF(AND(G4170="RECORDED",ISNUMBER(H4170)),H4170,"")</x:f>
        <x:v>90</x:v>
      </x:c>
      <x:c r="P4170" s="34" t="str">
        <x:v>INCONCLUSIVE</x:v>
      </x:c>
      <x:c r="Q4170" s="34" t="str">
        <x:v>Feedback-Directed Random Test Generation/Result/Math_69/result.json</x:v>
      </x:c>
    </x:row>
    <x:row r="4171">
      <x:c r="A4171" s="34" t="str">
        <x:v>randoop</x:v>
      </x:c>
      <x:c r="B4171" s="34" t="str">
        <x:v>Math</x:v>
      </x:c>
      <x:c r="C4171" s="34" t="str">
        <x:v>Round1</x:v>
      </x:c>
      <x:c r="D4171" s="34" t="str">
        <x:v>Math_70</x:v>
      </x:c>
      <x:c r="E4171" s="34" t="str">
        <x:v>Condition</x:v>
      </x:c>
      <x:c r="F4171" s="34" t="n">
        <x:v>6</x:v>
      </x:c>
      <x:c r="G4171" s="34" t="str">
        <x:v>RECORDED</x:v>
      </x:c>
      <x:c r="H4171" s="38" t="n">
        <x:f>IF(ISNUMBER('Data'!I755),'Data'!I755*100,"")</x:f>
        <x:v>33.33</x:v>
      </x:c>
      <x:c r="I4171" s="34" t="str">
        <x:v>PASS</x:v>
      </x:c>
      <x:c r="J4171" s="34" t="str">
        <x:v>PASS</x:v>
      </x:c>
      <x:c r="K4171" s="34" t="str">
        <x:v>PASS</x:v>
      </x:c>
      <x:c r="L4171" s="34" t="str">
        <x:v>FAIL</x:v>
      </x:c>
      <x:c r="M4171" s="34" t="str">
        <x:v>numeric coverage for applicable metric</x:v>
      </x:c>
      <x:c r="N4171" s="34" t="str">
        <x:v>Feedback-Directed Random Test Generation/Result/Math_70/result.json</x:v>
      </x:c>
      <x:c r="O4171" s="38" t="n">
        <x:f>IF(AND(G4171="RECORDED",ISNUMBER(H4171)),H4171,"")</x:f>
        <x:v>33.33</x:v>
      </x:c>
      <x:c r="P4171" s="34" t="str">
        <x:v>INCONCLUSIVE</x:v>
      </x:c>
      <x:c r="Q4171" s="34" t="str">
        <x:v>Feedback-Directed Random Test Generation/Result/Math_70/result.json</x:v>
      </x:c>
    </x:row>
    <x:row r="4172">
      <x:c r="A4172" s="34" t="str">
        <x:v>randoop</x:v>
      </x:c>
      <x:c r="B4172" s="34" t="str">
        <x:v>Math</x:v>
      </x:c>
      <x:c r="C4172" s="34" t="str">
        <x:v>Round1</x:v>
      </x:c>
      <x:c r="D4172" s="34" t="str">
        <x:v>Math_71</x:v>
      </x:c>
      <x:c r="E4172" s="34" t="str">
        <x:v>Condition</x:v>
      </x:c>
      <x:c r="F4172" s="34" t="n">
        <x:v>98</x:v>
      </x:c>
      <x:c r="G4172" s="34" t="str">
        <x:v>RECORDED</x:v>
      </x:c>
      <x:c r="H4172" s="38" t="n">
        <x:f>IF(ISNUMBER('Data'!I756),'Data'!I756*100,"")</x:f>
        <x:v>0</x:v>
      </x:c>
      <x:c r="I4172" s="34" t="str">
        <x:v>PASS</x:v>
      </x:c>
      <x:c r="J4172" s="34" t="str">
        <x:v>PASS</x:v>
      </x:c>
      <x:c r="K4172" s="34" t="str">
        <x:v>PASS</x:v>
      </x:c>
      <x:c r="L4172" s="34" t="str">
        <x:v>PASS</x:v>
      </x:c>
      <x:c r="M4172" s="34" t="str">
        <x:v>numeric coverage for applicable metric</x:v>
      </x:c>
      <x:c r="N4172" s="34" t="str">
        <x:v>Feedback-Directed Random Test Generation/Result/Math_71/result.json</x:v>
      </x:c>
      <x:c r="O4172" s="38" t="n">
        <x:f>IF(AND(G4172="RECORDED",ISNUMBER(H4172)),H4172,"")</x:f>
        <x:v>0</x:v>
      </x:c>
      <x:c r="P4172" s="34" t="str">
        <x:v>NOT_REVEALING</x:v>
      </x:c>
      <x:c r="Q4172" s="34" t="str">
        <x:v>Feedback-Directed Random Test Generation/Result/Math_71/result.json</x:v>
      </x:c>
    </x:row>
    <x:row r="4173">
      <x:c r="A4173" s="34" t="str">
        <x:v>randoop</x:v>
      </x:c>
      <x:c r="B4173" s="34" t="str">
        <x:v>Math</x:v>
      </x:c>
      <x:c r="C4173" s="34" t="str">
        <x:v>Round1</x:v>
      </x:c>
      <x:c r="D4173" s="34" t="str">
        <x:v>Math_72</x:v>
      </x:c>
      <x:c r="E4173" s="34" t="str">
        <x:v>Condition</x:v>
      </x:c>
      <x:c r="F4173" s="34" t="n">
        <x:v>54</x:v>
      </x:c>
      <x:c r="G4173" s="34" t="str">
        <x:v>RECORDED</x:v>
      </x:c>
      <x:c r="H4173" s="38" t="n">
        <x:f>IF(ISNUMBER('Data'!I757),'Data'!I757*100,"")</x:f>
        <x:v>0</x:v>
      </x:c>
      <x:c r="I4173" s="34" t="str">
        <x:v>PASS</x:v>
      </x:c>
      <x:c r="J4173" s="34" t="str">
        <x:v>PASS</x:v>
      </x:c>
      <x:c r="K4173" s="34" t="str">
        <x:v>PASS</x:v>
      </x:c>
      <x:c r="L4173" s="34" t="str">
        <x:v>FAIL</x:v>
      </x:c>
      <x:c r="M4173" s="34" t="str">
        <x:v>numeric coverage for applicable metric</x:v>
      </x:c>
      <x:c r="N4173" s="34" t="str">
        <x:v>Feedback-Directed Random Test Generation/Result/Math_72/result.json</x:v>
      </x:c>
      <x:c r="O4173" s="38" t="n">
        <x:f>IF(AND(G4173="RECORDED",ISNUMBER(H4173)),H4173,"")</x:f>
        <x:v>0</x:v>
      </x:c>
      <x:c r="P4173" s="34" t="str">
        <x:v>INCONCLUSIVE</x:v>
      </x:c>
      <x:c r="Q4173" s="34" t="str">
        <x:v>Feedback-Directed Random Test Generation/Result/Math_72/result.json</x:v>
      </x:c>
    </x:row>
    <x:row r="4174">
      <x:c r="A4174" s="34" t="str">
        <x:v>randoop</x:v>
      </x:c>
      <x:c r="B4174" s="34" t="str">
        <x:v>Math</x:v>
      </x:c>
      <x:c r="C4174" s="34" t="str">
        <x:v>Round1</x:v>
      </x:c>
      <x:c r="D4174" s="34" t="str">
        <x:v>Math_73</x:v>
      </x:c>
      <x:c r="E4174" s="34" t="str">
        <x:v>Condition</x:v>
      </x:c>
      <x:c r="F4174" s="34" t="n">
        <x:v>52</x:v>
      </x:c>
      <x:c r="G4174" s="34" t="str">
        <x:v>RECORDED</x:v>
      </x:c>
      <x:c r="H4174" s="38" t="n">
        <x:f>IF(ISNUMBER('Data'!I758),'Data'!I758*100,"")</x:f>
        <x:v>0</x:v>
      </x:c>
      <x:c r="I4174" s="34" t="str">
        <x:v>PASS</x:v>
      </x:c>
      <x:c r="J4174" s="34" t="str">
        <x:v>PASS</x:v>
      </x:c>
      <x:c r="K4174" s="34" t="str">
        <x:v>PASS</x:v>
      </x:c>
      <x:c r="L4174" s="34" t="str">
        <x:v>FAIL</x:v>
      </x:c>
      <x:c r="M4174" s="34" t="str">
        <x:v>numeric coverage for applicable metric</x:v>
      </x:c>
      <x:c r="N4174" s="34" t="str">
        <x:v>Feedback-Directed Random Test Generation/Result/Math_73/result.json</x:v>
      </x:c>
      <x:c r="O4174" s="38" t="n">
        <x:f>IF(AND(G4174="RECORDED",ISNUMBER(H4174)),H4174,"")</x:f>
        <x:v>0</x:v>
      </x:c>
      <x:c r="P4174" s="34" t="str">
        <x:v>INCONCLUSIVE</x:v>
      </x:c>
      <x:c r="Q4174" s="34" t="str">
        <x:v>Feedback-Directed Random Test Generation/Result/Math_73/result.json</x:v>
      </x:c>
    </x:row>
    <x:row r="4175">
      <x:c r="A4175" s="34" t="str">
        <x:v>randoop</x:v>
      </x:c>
      <x:c r="B4175" s="34" t="str">
        <x:v>Math</x:v>
      </x:c>
      <x:c r="C4175" s="34" t="str">
        <x:v>Round1</x:v>
      </x:c>
      <x:c r="D4175" s="34" t="str">
        <x:v>Math_74</x:v>
      </x:c>
      <x:c r="E4175" s="34" t="str">
        <x:v>Condition</x:v>
      </x:c>
      <x:c r="F4175" s="34" t="n">
        <x:v>54</x:v>
      </x:c>
      <x:c r="G4175" s="34" t="str">
        <x:v>RECORDED</x:v>
      </x:c>
      <x:c r="H4175" s="38" t="n">
        <x:f>IF(ISNUMBER('Data'!I759),'Data'!I759*100,"")</x:f>
        <x:v>0</x:v>
      </x:c>
      <x:c r="I4175" s="34" t="str">
        <x:v>PASS</x:v>
      </x:c>
      <x:c r="J4175" s="34" t="str">
        <x:v>PASS</x:v>
      </x:c>
      <x:c r="K4175" s="34" t="str">
        <x:v>PASS</x:v>
      </x:c>
      <x:c r="L4175" s="34" t="str">
        <x:v>PASS</x:v>
      </x:c>
      <x:c r="M4175" s="34" t="str">
        <x:v>numeric coverage for applicable metric</x:v>
      </x:c>
      <x:c r="N4175" s="34" t="str">
        <x:v>Feedback-Directed Random Test Generation/Result/Math_74/result.json</x:v>
      </x:c>
      <x:c r="O4175" s="38" t="n">
        <x:f>IF(AND(G4175="RECORDED",ISNUMBER(H4175)),H4175,"")</x:f>
        <x:v>0</x:v>
      </x:c>
      <x:c r="P4175" s="34" t="str">
        <x:v>NOT_REVEALING</x:v>
      </x:c>
      <x:c r="Q4175" s="34" t="str">
        <x:v>Feedback-Directed Random Test Generation/Result/Math_74/result.json</x:v>
      </x:c>
    </x:row>
    <x:row r="4176">
      <x:c r="A4176" s="34" t="str">
        <x:v>randoop</x:v>
      </x:c>
      <x:c r="B4176" s="34" t="str">
        <x:v>Math</x:v>
      </x:c>
      <x:c r="C4176" s="34" t="str">
        <x:v>Round1</x:v>
      </x:c>
      <x:c r="D4176" s="34" t="str">
        <x:v>Math_75</x:v>
      </x:c>
      <x:c r="E4176" s="34" t="str">
        <x:v>Condition</x:v>
      </x:c>
      <x:c r="F4176" s="34" t="n">
        <x:v>48</x:v>
      </x:c>
      <x:c r="G4176" s="34" t="str">
        <x:v>RECORDED</x:v>
      </x:c>
      <x:c r="H4176" s="38" t="n">
        <x:f>IF(ISNUMBER('Data'!I760),'Data'!I760*100,"")</x:f>
        <x:v>83.33</x:v>
      </x:c>
      <x:c r="I4176" s="34" t="str">
        <x:v>PASS</x:v>
      </x:c>
      <x:c r="J4176" s="34" t="str">
        <x:v>PASS</x:v>
      </x:c>
      <x:c r="K4176" s="34" t="str">
        <x:v>PASS</x:v>
      </x:c>
      <x:c r="L4176" s="34" t="str">
        <x:v>PASS</x:v>
      </x:c>
      <x:c r="M4176" s="34" t="str">
        <x:v>numeric coverage for applicable metric</x:v>
      </x:c>
      <x:c r="N4176" s="34" t="str">
        <x:v>Feedback-Directed Random Test Generation/Result/Math_75/result.json</x:v>
      </x:c>
      <x:c r="O4176" s="38" t="n">
        <x:f>IF(AND(G4176="RECORDED",ISNUMBER(H4176)),H4176,"")</x:f>
        <x:v>83.33</x:v>
      </x:c>
      <x:c r="P4176" s="34" t="str">
        <x:v>INCONCLUSIVE</x:v>
      </x:c>
      <x:c r="Q4176" s="34" t="str">
        <x:v>Feedback-Directed Random Test Generation/Result/Math_75/result.json</x:v>
      </x:c>
    </x:row>
    <x:row r="4177">
      <x:c r="A4177" s="34" t="str">
        <x:v>randoop</x:v>
      </x:c>
      <x:c r="B4177" s="34" t="str">
        <x:v>Math</x:v>
      </x:c>
      <x:c r="C4177" s="34" t="str">
        <x:v>Round1</x:v>
      </x:c>
      <x:c r="D4177" s="34" t="str">
        <x:v>Math_76</x:v>
      </x:c>
      <x:c r="E4177" s="34" t="str">
        <x:v>Condition</x:v>
      </x:c>
      <x:c r="F4177" s="34" t="n">
        <x:v>54</x:v>
      </x:c>
      <x:c r="G4177" s="34" t="str">
        <x:v>RECORDED</x:v>
      </x:c>
      <x:c r="H4177" s="38" t="n">
        <x:f>IF(ISNUMBER('Data'!I761),'Data'!I761*100,"")</x:f>
        <x:v>0</x:v>
      </x:c>
      <x:c r="I4177" s="34" t="str">
        <x:v>PASS</x:v>
      </x:c>
      <x:c r="J4177" s="34" t="str">
        <x:v>PASS</x:v>
      </x:c>
      <x:c r="K4177" s="34" t="str">
        <x:v>PASS</x:v>
      </x:c>
      <x:c r="L4177" s="34" t="str">
        <x:v>PASS</x:v>
      </x:c>
      <x:c r="M4177" s="34" t="str">
        <x:v>numeric coverage for applicable metric</x:v>
      </x:c>
      <x:c r="N4177" s="34" t="str">
        <x:v>Feedback-Directed Random Test Generation/Result/Math_76/result.json</x:v>
      </x:c>
      <x:c r="O4177" s="38" t="n">
        <x:f>IF(AND(G4177="RECORDED",ISNUMBER(H4177)),H4177,"")</x:f>
        <x:v>0</x:v>
      </x:c>
      <x:c r="P4177" s="34" t="str">
        <x:v>NOT_REVEALING</x:v>
      </x:c>
      <x:c r="Q4177" s="34" t="str">
        <x:v>Feedback-Directed Random Test Generation/Result/Math_76/result.json</x:v>
      </x:c>
    </x:row>
    <x:row r="4178">
      <x:c r="A4178" s="34" t="str">
        <x:v>randoop</x:v>
      </x:c>
      <x:c r="B4178" s="34" t="str">
        <x:v>Math</x:v>
      </x:c>
      <x:c r="C4178" s="34" t="str">
        <x:v>Round1</x:v>
      </x:c>
      <x:c r="D4178" s="34" t="str">
        <x:v>Math_77</x:v>
      </x:c>
      <x:c r="E4178" s="34" t="str">
        <x:v>Condition</x:v>
      </x:c>
      <x:c r="F4178" s="34" t="n">
        <x:v>338</x:v>
      </x:c>
      <x:c r="G4178" s="34" t="str">
        <x:v>RECORDED</x:v>
      </x:c>
      <x:c r="H4178" s="38" t="n">
        <x:f>IF(ISNUMBER('Data'!I762),'Data'!I762*100,"")</x:f>
        <x:v>78.4</x:v>
      </x:c>
      <x:c r="I4178" s="34" t="str">
        <x:v>PASS</x:v>
      </x:c>
      <x:c r="J4178" s="34" t="str">
        <x:v>PASS</x:v>
      </x:c>
      <x:c r="K4178" s="34" t="str">
        <x:v>PASS</x:v>
      </x:c>
      <x:c r="L4178" s="34" t="str">
        <x:v>FAIL</x:v>
      </x:c>
      <x:c r="M4178" s="34" t="str">
        <x:v>numeric coverage for applicable metric</x:v>
      </x:c>
      <x:c r="N4178" s="34" t="str">
        <x:v>Feedback-Directed Random Test Generation/Result/Math_77/result.json</x:v>
      </x:c>
      <x:c r="O4178" s="38" t="n">
        <x:f>IF(AND(G4178="RECORDED",ISNUMBER(H4178)),H4178,"")</x:f>
        <x:v>78.4</x:v>
      </x:c>
      <x:c r="P4178" s="34" t="str">
        <x:v>INCONCLUSIVE</x:v>
      </x:c>
      <x:c r="Q4178" s="34" t="str">
        <x:v>Feedback-Directed Random Test Generation/Result/Math_77/result.json</x:v>
      </x:c>
    </x:row>
    <x:row r="4179">
      <x:c r="A4179" s="34" t="str">
        <x:v>randoop</x:v>
      </x:c>
      <x:c r="B4179" s="34" t="str">
        <x:v>Math</x:v>
      </x:c>
      <x:c r="C4179" s="34" t="str">
        <x:v>Round1</x:v>
      </x:c>
      <x:c r="D4179" s="34" t="str">
        <x:v>Math_78</x:v>
      </x:c>
      <x:c r="E4179" s="34" t="str">
        <x:v>Condition</x:v>
      </x:c>
      <x:c r="F4179" s="34" t="n">
        <x:v>50</x:v>
      </x:c>
      <x:c r="G4179" s="34" t="str">
        <x:v>RECORDED</x:v>
      </x:c>
      <x:c r="H4179" s="38" t="n">
        <x:f>IF(ISNUMBER('Data'!I763),'Data'!I763*100,"")</x:f>
        <x:v>4</x:v>
      </x:c>
      <x:c r="I4179" s="34" t="str">
        <x:v>PASS</x:v>
      </x:c>
      <x:c r="J4179" s="34" t="str">
        <x:v>PASS</x:v>
      </x:c>
      <x:c r="K4179" s="34" t="str">
        <x:v>PASS</x:v>
      </x:c>
      <x:c r="L4179" s="34" t="str">
        <x:v>PASS</x:v>
      </x:c>
      <x:c r="M4179" s="34" t="str">
        <x:v>numeric coverage for applicable metric</x:v>
      </x:c>
      <x:c r="N4179" s="34" t="str">
        <x:v>Feedback-Directed Random Test Generation/Result/Math_78/result.json</x:v>
      </x:c>
      <x:c r="O4179" s="38" t="n">
        <x:f>IF(AND(G4179="RECORDED",ISNUMBER(H4179)),H4179,"")</x:f>
        <x:v>4</x:v>
      </x:c>
      <x:c r="P4179" s="34" t="str">
        <x:v>NOT_REVEALING</x:v>
      </x:c>
      <x:c r="Q4179" s="34" t="str">
        <x:v>Feedback-Directed Random Test Generation/Result/Math_78/result.json</x:v>
      </x:c>
    </x:row>
    <x:row r="4180">
      <x:c r="A4180" s="34" t="str">
        <x:v>randoop</x:v>
      </x:c>
      <x:c r="B4180" s="34" t="str">
        <x:v>Math</x:v>
      </x:c>
      <x:c r="C4180" s="34" t="str">
        <x:v>Round1</x:v>
      </x:c>
      <x:c r="D4180" s="34" t="str">
        <x:v>Math_79</x:v>
      </x:c>
      <x:c r="E4180" s="34" t="str">
        <x:v>Condition</x:v>
      </x:c>
      <x:c r="F4180" s="34" t="n">
        <x:v>345</x:v>
      </x:c>
      <x:c r="G4180" s="34" t="str">
        <x:v>RECORDED</x:v>
      </x:c>
      <x:c r="H4180" s="38" t="n">
        <x:f>IF(ISNUMBER('Data'!I764),'Data'!I764*100,"")</x:f>
        <x:v>26.090000000000003</x:v>
      </x:c>
      <x:c r="I4180" s="34" t="str">
        <x:v>PASS</x:v>
      </x:c>
      <x:c r="J4180" s="34" t="str">
        <x:v>PASS</x:v>
      </x:c>
      <x:c r="K4180" s="34" t="str">
        <x:v>PASS</x:v>
      </x:c>
      <x:c r="L4180" s="34" t="str">
        <x:v>PASS</x:v>
      </x:c>
      <x:c r="M4180" s="34" t="str">
        <x:v>numeric coverage for applicable metric</x:v>
      </x:c>
      <x:c r="N4180" s="34" t="str">
        <x:v>Feedback-Directed Random Test Generation/Result/Math_79/result.json</x:v>
      </x:c>
      <x:c r="O4180" s="38" t="n">
        <x:f>IF(AND(G4180="RECORDED",ISNUMBER(H4180)),H4180,"")</x:f>
        <x:v>26.090000000000003</x:v>
      </x:c>
      <x:c r="P4180" s="34" t="str">
        <x:v>NOT_REVEALING</x:v>
      </x:c>
      <x:c r="Q4180" s="34" t="str">
        <x:v>Feedback-Directed Random Test Generation/Result/Math_79/result.json</x:v>
      </x:c>
    </x:row>
    <x:row r="4181">
      <x:c r="A4181" s="34" t="str">
        <x:v>randoop</x:v>
      </x:c>
      <x:c r="B4181" s="34" t="str">
        <x:v>Math</x:v>
      </x:c>
      <x:c r="C4181" s="34" t="str">
        <x:v>Round1</x:v>
      </x:c>
      <x:c r="D4181" s="34" t="str">
        <x:v>Math_80</x:v>
      </x:c>
      <x:c r="E4181" s="34" t="str">
        <x:v>Condition</x:v>
      </x:c>
      <x:c r="F4181" s="34" t="n">
        <x:v>414</x:v>
      </x:c>
      <x:c r="G4181" s="34" t="str">
        <x:v>RECORDED</x:v>
      </x:c>
      <x:c r="H4181" s="38" t="n">
        <x:f>IF(ISNUMBER('Data'!I765),'Data'!I765*100,"")</x:f>
        <x:v>12.560000000000002</x:v>
      </x:c>
      <x:c r="I4181" s="34" t="str">
        <x:v>PASS</x:v>
      </x:c>
      <x:c r="J4181" s="34" t="str">
        <x:v>PASS</x:v>
      </x:c>
      <x:c r="K4181" s="34" t="str">
        <x:v>PASS</x:v>
      </x:c>
      <x:c r="L4181" s="34" t="str">
        <x:v>PASS</x:v>
      </x:c>
      <x:c r="M4181" s="34" t="str">
        <x:v>numeric coverage for applicable metric</x:v>
      </x:c>
      <x:c r="N4181" s="34" t="str">
        <x:v>Feedback-Directed Random Test Generation/Result/Math_80/result.json</x:v>
      </x:c>
      <x:c r="O4181" s="38" t="n">
        <x:f>IF(AND(G4181="RECORDED",ISNUMBER(H4181)),H4181,"")</x:f>
        <x:v>12.560000000000002</x:v>
      </x:c>
      <x:c r="P4181" s="34" t="str">
        <x:v>NOT_REVEALING</x:v>
      </x:c>
      <x:c r="Q4181" s="34" t="str">
        <x:v>Feedback-Directed Random Test Generation/Result/Math_80/result.json</x:v>
      </x:c>
    </x:row>
    <x:row r="4182">
      <x:c r="A4182" s="34" t="str">
        <x:v>randoop</x:v>
      </x:c>
      <x:c r="B4182" s="34" t="str">
        <x:v>Math</x:v>
      </x:c>
      <x:c r="C4182" s="34" t="str">
        <x:v>Round1</x:v>
      </x:c>
      <x:c r="D4182" s="34" t="str">
        <x:v>Math_81</x:v>
      </x:c>
      <x:c r="E4182" s="34" t="str">
        <x:v>Condition</x:v>
      </x:c>
      <x:c r="F4182" s="34" t="n">
        <x:v>414</x:v>
      </x:c>
      <x:c r="G4182" s="34" t="str">
        <x:v>RECORDED</x:v>
      </x:c>
      <x:c r="H4182" s="38" t="n">
        <x:f>IF(ISNUMBER('Data'!I766),'Data'!I766*100,"")</x:f>
        <x:v>12.560000000000002</x:v>
      </x:c>
      <x:c r="I4182" s="34" t="str">
        <x:v>PASS</x:v>
      </x:c>
      <x:c r="J4182" s="34" t="str">
        <x:v>PASS</x:v>
      </x:c>
      <x:c r="K4182" s="34" t="str">
        <x:v>PASS</x:v>
      </x:c>
      <x:c r="L4182" s="34" t="str">
        <x:v>PASS</x:v>
      </x:c>
      <x:c r="M4182" s="34" t="str">
        <x:v>numeric coverage for applicable metric</x:v>
      </x:c>
      <x:c r="N4182" s="34" t="str">
        <x:v>Feedback-Directed Random Test Generation/Result/Math_81/result.json</x:v>
      </x:c>
      <x:c r="O4182" s="38" t="n">
        <x:f>IF(AND(G4182="RECORDED",ISNUMBER(H4182)),H4182,"")</x:f>
        <x:v>12.560000000000002</x:v>
      </x:c>
      <x:c r="P4182" s="34" t="str">
        <x:v>NOT_REVEALING</x:v>
      </x:c>
      <x:c r="Q4182" s="34" t="str">
        <x:v>Feedback-Directed Random Test Generation/Result/Math_81/result.json</x:v>
      </x:c>
    </x:row>
    <x:row r="4183">
      <x:c r="A4183" s="34" t="str">
        <x:v>randoop</x:v>
      </x:c>
      <x:c r="B4183" s="34" t="str">
        <x:v>Math</x:v>
      </x:c>
      <x:c r="C4183" s="34" t="str">
        <x:v>Round1</x:v>
      </x:c>
      <x:c r="D4183" s="34" t="str">
        <x:v>Math_82</x:v>
      </x:c>
      <x:c r="E4183" s="34" t="str">
        <x:v>Condition</x:v>
      </x:c>
      <x:c r="F4183" s="34" t="n">
        <x:v>36</x:v>
      </x:c>
      <x:c r="G4183" s="34" t="str">
        <x:v>RECORDED</x:v>
      </x:c>
      <x:c r="H4183" s="38" t="n">
        <x:f>IF(ISNUMBER('Data'!I767),'Data'!I767*100,"")</x:f>
        <x:v>0</x:v>
      </x:c>
      <x:c r="I4183" s="34" t="str">
        <x:v>PASS</x:v>
      </x:c>
      <x:c r="J4183" s="34" t="str">
        <x:v>PASS</x:v>
      </x:c>
      <x:c r="K4183" s="34" t="str">
        <x:v>PASS</x:v>
      </x:c>
      <x:c r="L4183" s="34" t="str">
        <x:v>FAIL</x:v>
      </x:c>
      <x:c r="M4183" s="34" t="str">
        <x:v>numeric coverage for applicable metric</x:v>
      </x:c>
      <x:c r="N4183" s="34" t="str">
        <x:v>Feedback-Directed Random Test Generation/Result/Math_82/result.json</x:v>
      </x:c>
      <x:c r="O4183" s="38" t="n">
        <x:f>IF(AND(G4183="RECORDED",ISNUMBER(H4183)),H4183,"")</x:f>
        <x:v>0</x:v>
      </x:c>
      <x:c r="P4183" s="34" t="str">
        <x:v>INCONCLUSIVE</x:v>
      </x:c>
      <x:c r="Q4183" s="34" t="str">
        <x:v>Feedback-Directed Random Test Generation/Result/Math_82/result.json</x:v>
      </x:c>
    </x:row>
    <x:row r="4184">
      <x:c r="A4184" s="34" t="str">
        <x:v>randoop</x:v>
      </x:c>
      <x:c r="B4184" s="34" t="str">
        <x:v>Math</x:v>
      </x:c>
      <x:c r="C4184" s="34" t="str">
        <x:v>Round1</x:v>
      </x:c>
      <x:c r="D4184" s="34" t="str">
        <x:v>Math_83</x:v>
      </x:c>
      <x:c r="E4184" s="34" t="str">
        <x:v>Condition</x:v>
      </x:c>
      <x:c r="F4184" s="34" t="n">
        <x:v>92</x:v>
      </x:c>
      <x:c r="G4184" s="34" t="str">
        <x:v>RECORDED</x:v>
      </x:c>
      <x:c r="H4184" s="38" t="n">
        <x:f>IF(ISNUMBER('Data'!I768),'Data'!I768*100,"")</x:f>
        <x:v>0</x:v>
      </x:c>
      <x:c r="I4184" s="34" t="str">
        <x:v>PASS</x:v>
      </x:c>
      <x:c r="J4184" s="34" t="str">
        <x:v>PASS</x:v>
      </x:c>
      <x:c r="K4184" s="34" t="str">
        <x:v>PASS</x:v>
      </x:c>
      <x:c r="L4184" s="34" t="str">
        <x:v>PASS</x:v>
      </x:c>
      <x:c r="M4184" s="34" t="str">
        <x:v>numeric coverage for applicable metric</x:v>
      </x:c>
      <x:c r="N4184" s="34" t="str">
        <x:v>Feedback-Directed Random Test Generation/Result/Math_83/result.json</x:v>
      </x:c>
      <x:c r="O4184" s="38" t="n">
        <x:f>IF(AND(G4184="RECORDED",ISNUMBER(H4184)),H4184,"")</x:f>
        <x:v>0</x:v>
      </x:c>
      <x:c r="P4184" s="34" t="str">
        <x:v>NOT_REVEALING</x:v>
      </x:c>
      <x:c r="Q4184" s="34" t="str">
        <x:v>Feedback-Directed Random Test Generation/Result/Math_83/result.json</x:v>
      </x:c>
    </x:row>
    <x:row r="4185">
      <x:c r="A4185" s="34" t="str">
        <x:v>randoop</x:v>
      </x:c>
      <x:c r="B4185" s="34" t="str">
        <x:v>Math</x:v>
      </x:c>
      <x:c r="C4185" s="34" t="str">
        <x:v>Round1</x:v>
      </x:c>
      <x:c r="D4185" s="34" t="str">
        <x:v>Math_84</x:v>
      </x:c>
      <x:c r="E4185" s="34" t="str">
        <x:v>Condition</x:v>
      </x:c>
      <x:c r="F4185" s="34" t="n">
        <x:v>10</x:v>
      </x:c>
      <x:c r="G4185" s="34" t="str">
        <x:v>RECORDED</x:v>
      </x:c>
      <x:c r="H4185" s="38" t="n">
        <x:f>IF(ISNUMBER('Data'!I769),'Data'!I769*100,"")</x:f>
        <x:v>0</x:v>
      </x:c>
      <x:c r="I4185" s="34" t="str">
        <x:v>PASS</x:v>
      </x:c>
      <x:c r="J4185" s="34" t="str">
        <x:v>PASS</x:v>
      </x:c>
      <x:c r="K4185" s="34" t="str">
        <x:v>PASS</x:v>
      </x:c>
      <x:c r="L4185" s="34" t="str">
        <x:v>PASS</x:v>
      </x:c>
      <x:c r="M4185" s="34" t="str">
        <x:v>numeric coverage for applicable metric</x:v>
      </x:c>
      <x:c r="N4185" s="34" t="str">
        <x:v>Feedback-Directed Random Test Generation/Result/Math_84/result.json</x:v>
      </x:c>
      <x:c r="O4185" s="38" t="n">
        <x:f>IF(AND(G4185="RECORDED",ISNUMBER(H4185)),H4185,"")</x:f>
        <x:v>0</x:v>
      </x:c>
      <x:c r="P4185" s="34" t="str">
        <x:v>NOT_REVEALING</x:v>
      </x:c>
      <x:c r="Q4185" s="34" t="str">
        <x:v>Feedback-Directed Random Test Generation/Result/Math_84/result.json</x:v>
      </x:c>
    </x:row>
    <x:row r="4186">
      <x:c r="A4186" s="34" t="str">
        <x:v>randoop</x:v>
      </x:c>
      <x:c r="B4186" s="34" t="str">
        <x:v>Math</x:v>
      </x:c>
      <x:c r="C4186" s="34" t="str">
        <x:v>Round1</x:v>
      </x:c>
      <x:c r="D4186" s="34" t="str">
        <x:v>Math_85</x:v>
      </x:c>
      <x:c r="E4186" s="34" t="str">
        <x:v>Condition</x:v>
      </x:c>
      <x:c r="F4186" s="34" t="n">
        <x:v>22</x:v>
      </x:c>
      <x:c r="G4186" s="34" t="str">
        <x:v>RECORDED</x:v>
      </x:c>
      <x:c r="H4186" s="38" t="n">
        <x:f>IF(ISNUMBER('Data'!I770),'Data'!I770*100,"")</x:f>
        <x:v>9.09</x:v>
      </x:c>
      <x:c r="I4186" s="34" t="str">
        <x:v>PASS</x:v>
      </x:c>
      <x:c r="J4186" s="34" t="str">
        <x:v>PASS</x:v>
      </x:c>
      <x:c r="K4186" s="34" t="str">
        <x:v>PASS</x:v>
      </x:c>
      <x:c r="L4186" s="34" t="str">
        <x:v>PASS</x:v>
      </x:c>
      <x:c r="M4186" s="34" t="str">
        <x:v>numeric coverage for applicable metric</x:v>
      </x:c>
      <x:c r="N4186" s="34" t="str">
        <x:v>Feedback-Directed Random Test Generation/Result/Math_85/result.json</x:v>
      </x:c>
      <x:c r="O4186" s="38" t="n">
        <x:f>IF(AND(G4186="RECORDED",ISNUMBER(H4186)),H4186,"")</x:f>
        <x:v>9.09</x:v>
      </x:c>
      <x:c r="P4186" s="34" t="str">
        <x:v>NOT_REVEALING</x:v>
      </x:c>
      <x:c r="Q4186" s="34" t="str">
        <x:v>Feedback-Directed Random Test Generation/Result/Math_85/result.json</x:v>
      </x:c>
    </x:row>
    <x:row r="4187">
      <x:c r="A4187" s="34" t="str">
        <x:v>randoop</x:v>
      </x:c>
      <x:c r="B4187" s="34" t="str">
        <x:v>Math</x:v>
      </x:c>
      <x:c r="C4187" s="34" t="str">
        <x:v>Round1</x:v>
      </x:c>
      <x:c r="D4187" s="34" t="str">
        <x:v>Math_86</x:v>
      </x:c>
      <x:c r="E4187" s="34" t="str">
        <x:v>Condition</x:v>
      </x:c>
      <x:c r="F4187" s="34" t="n">
        <x:v>60</x:v>
      </x:c>
      <x:c r="G4187" s="34" t="str">
        <x:v>RECORDED</x:v>
      </x:c>
      <x:c r="H4187" s="38" t="n">
        <x:f>IF(ISNUMBER('Data'!I771),'Data'!I771*100,"")</x:f>
        <x:v>0</x:v>
      </x:c>
      <x:c r="I4187" s="34" t="str">
        <x:v>PASS</x:v>
      </x:c>
      <x:c r="J4187" s="34" t="str">
        <x:v>PASS</x:v>
      </x:c>
      <x:c r="K4187" s="34" t="str">
        <x:v>PASS</x:v>
      </x:c>
      <x:c r="L4187" s="34" t="str">
        <x:v>PASS</x:v>
      </x:c>
      <x:c r="M4187" s="34" t="str">
        <x:v>numeric coverage for applicable metric</x:v>
      </x:c>
      <x:c r="N4187" s="34" t="str">
        <x:v>Feedback-Directed Random Test Generation/Result/Math_86/result.json</x:v>
      </x:c>
      <x:c r="O4187" s="38" t="n">
        <x:f>IF(AND(G4187="RECORDED",ISNUMBER(H4187)),H4187,"")</x:f>
        <x:v>0</x:v>
      </x:c>
      <x:c r="P4187" s="34" t="str">
        <x:v>NOT_REVEALING</x:v>
      </x:c>
      <x:c r="Q4187" s="34" t="str">
        <x:v>Feedback-Directed Random Test Generation/Result/Math_86/result.json</x:v>
      </x:c>
    </x:row>
    <x:row r="4188">
      <x:c r="A4188" s="34" t="str">
        <x:v>randoop</x:v>
      </x:c>
      <x:c r="B4188" s="34" t="str">
        <x:v>Math</x:v>
      </x:c>
      <x:c r="C4188" s="34" t="str">
        <x:v>Round1</x:v>
      </x:c>
      <x:c r="D4188" s="34" t="str">
        <x:v>Math_87</x:v>
      </x:c>
      <x:c r="E4188" s="34" t="str">
        <x:v>Condition</x:v>
      </x:c>
      <x:c r="F4188" s="34" t="n">
        <x:v>90</x:v>
      </x:c>
      <x:c r="G4188" s="34" t="str">
        <x:v>RECORDED</x:v>
      </x:c>
      <x:c r="H4188" s="38" t="n">
        <x:f>IF(ISNUMBER('Data'!I772),'Data'!I772*100,"")</x:f>
        <x:v>0</x:v>
      </x:c>
      <x:c r="I4188" s="34" t="str">
        <x:v>PASS</x:v>
      </x:c>
      <x:c r="J4188" s="34" t="str">
        <x:v>PASS</x:v>
      </x:c>
      <x:c r="K4188" s="34" t="str">
        <x:v>PASS</x:v>
      </x:c>
      <x:c r="L4188" s="34" t="str">
        <x:v>PASS</x:v>
      </x:c>
      <x:c r="M4188" s="34" t="str">
        <x:v>numeric coverage for applicable metric</x:v>
      </x:c>
      <x:c r="N4188" s="34" t="str">
        <x:v>Feedback-Directed Random Test Generation/Result/Math_87/result.json</x:v>
      </x:c>
      <x:c r="O4188" s="38" t="n">
        <x:f>IF(AND(G4188="RECORDED",ISNUMBER(H4188)),H4188,"")</x:f>
        <x:v>0</x:v>
      </x:c>
      <x:c r="P4188" s="34" t="str">
        <x:v>NOT_REVEALING</x:v>
      </x:c>
      <x:c r="Q4188" s="34" t="str">
        <x:v>Feedback-Directed Random Test Generation/Result/Math_87/result.json</x:v>
      </x:c>
    </x:row>
    <x:row r="4189">
      <x:c r="A4189" s="34" t="str">
        <x:v>randoop</x:v>
      </x:c>
      <x:c r="B4189" s="34" t="str">
        <x:v>Math</x:v>
      </x:c>
      <x:c r="C4189" s="34" t="str">
        <x:v>Round1</x:v>
      </x:c>
      <x:c r="D4189" s="34" t="str">
        <x:v>Math_88</x:v>
      </x:c>
      <x:c r="E4189" s="34" t="str">
        <x:v>Condition</x:v>
      </x:c>
      <x:c r="F4189" s="34" t="n">
        <x:v>94</x:v>
      </x:c>
      <x:c r="G4189" s="34" t="str">
        <x:v>RECORDED</x:v>
      </x:c>
      <x:c r="H4189" s="38" t="n">
        <x:f>IF(ISNUMBER('Data'!I773),'Data'!I773*100,"")</x:f>
        <x:v>0</x:v>
      </x:c>
      <x:c r="I4189" s="34" t="str">
        <x:v>PASS</x:v>
      </x:c>
      <x:c r="J4189" s="34" t="str">
        <x:v>PASS</x:v>
      </x:c>
      <x:c r="K4189" s="34" t="str">
        <x:v>PASS</x:v>
      </x:c>
      <x:c r="L4189" s="34" t="str">
        <x:v>PASS</x:v>
      </x:c>
      <x:c r="M4189" s="34" t="str">
        <x:v>numeric coverage for applicable metric</x:v>
      </x:c>
      <x:c r="N4189" s="34" t="str">
        <x:v>Feedback-Directed Random Test Generation/Result/Math_88/result.json</x:v>
      </x:c>
      <x:c r="O4189" s="38" t="n">
        <x:f>IF(AND(G4189="RECORDED",ISNUMBER(H4189)),H4189,"")</x:f>
        <x:v>0</x:v>
      </x:c>
      <x:c r="P4189" s="34" t="str">
        <x:v>NOT_REVEALING</x:v>
      </x:c>
      <x:c r="Q4189" s="34" t="str">
        <x:v>Feedback-Directed Random Test Generation/Result/Math_88/result.json</x:v>
      </x:c>
    </x:row>
    <x:row r="4190">
      <x:c r="A4190" s="34" t="str">
        <x:v>randoop</x:v>
      </x:c>
      <x:c r="B4190" s="34" t="str">
        <x:v>Math</x:v>
      </x:c>
      <x:c r="C4190" s="34" t="str">
        <x:v>Round1</x:v>
      </x:c>
      <x:c r="D4190" s="34" t="str">
        <x:v>Math_89</x:v>
      </x:c>
      <x:c r="E4190" s="34" t="str">
        <x:v>Condition</x:v>
      </x:c>
      <x:c r="F4190" s="34" t="n">
        <x:v>32</x:v>
      </x:c>
      <x:c r="G4190" s="34" t="str">
        <x:v>RECORDED</x:v>
      </x:c>
      <x:c r="H4190" s="38" t="n">
        <x:f>IF(ISNUMBER('Data'!I774),'Data'!I774*100,"")</x:f>
        <x:v>93.75</x:v>
      </x:c>
      <x:c r="I4190" s="34" t="str">
        <x:v>PASS</x:v>
      </x:c>
      <x:c r="J4190" s="34" t="str">
        <x:v>PASS</x:v>
      </x:c>
      <x:c r="K4190" s="34" t="str">
        <x:v>PASS</x:v>
      </x:c>
      <x:c r="L4190" s="34" t="str">
        <x:v>PASS</x:v>
      </x:c>
      <x:c r="M4190" s="34" t="str">
        <x:v>numeric coverage for applicable metric</x:v>
      </x:c>
      <x:c r="N4190" s="34" t="str">
        <x:v>Feedback-Directed Random Test Generation/Result/Math_89/result.json</x:v>
      </x:c>
      <x:c r="O4190" s="38" t="n">
        <x:f>IF(AND(G4190="RECORDED",ISNUMBER(H4190)),H4190,"")</x:f>
        <x:v>93.75</x:v>
      </x:c>
      <x:c r="P4190" s="34" t="str">
        <x:v>INCONCLUSIVE</x:v>
      </x:c>
      <x:c r="Q4190" s="34" t="str">
        <x:v>Feedback-Directed Random Test Generation/Result/Math_89/result.json</x:v>
      </x:c>
    </x:row>
    <x:row r="4191">
      <x:c r="A4191" s="34" t="str">
        <x:v>randoop</x:v>
      </x:c>
      <x:c r="B4191" s="34" t="str">
        <x:v>Math</x:v>
      </x:c>
      <x:c r="C4191" s="34" t="str">
        <x:v>Round1</x:v>
      </x:c>
      <x:c r="D4191" s="34" t="str">
        <x:v>Math_90</x:v>
      </x:c>
      <x:c r="E4191" s="34" t="str">
        <x:v>Condition</x:v>
      </x:c>
      <x:c r="F4191" s="34" t="n">
        <x:v>32</x:v>
      </x:c>
      <x:c r="G4191" s="34" t="str">
        <x:v>RECORDED</x:v>
      </x:c>
      <x:c r="H4191" s="38" t="n">
        <x:f>IF(ISNUMBER('Data'!I775),'Data'!I775*100,"")</x:f>
        <x:v>93.75</x:v>
      </x:c>
      <x:c r="I4191" s="34" t="str">
        <x:v>PASS</x:v>
      </x:c>
      <x:c r="J4191" s="34" t="str">
        <x:v>PASS</x:v>
      </x:c>
      <x:c r="K4191" s="34" t="str">
        <x:v>PASS</x:v>
      </x:c>
      <x:c r="L4191" s="34" t="str">
        <x:v>PASS</x:v>
      </x:c>
      <x:c r="M4191" s="34" t="str">
        <x:v>numeric coverage for applicable metric</x:v>
      </x:c>
      <x:c r="N4191" s="34" t="str">
        <x:v>Feedback-Directed Random Test Generation/Result/Math_90/result.json</x:v>
      </x:c>
      <x:c r="O4191" s="38" t="n">
        <x:f>IF(AND(G4191="RECORDED",ISNUMBER(H4191)),H4191,"")</x:f>
        <x:v>93.75</x:v>
      </x:c>
      <x:c r="P4191" s="34" t="str">
        <x:v>INCONCLUSIVE</x:v>
      </x:c>
      <x:c r="Q4191" s="34" t="str">
        <x:v>Feedback-Directed Random Test Generation/Result/Math_90/result.json</x:v>
      </x:c>
    </x:row>
    <x:row r="4192">
      <x:c r="A4192" s="34" t="str">
        <x:v>randoop</x:v>
      </x:c>
      <x:c r="B4192" s="34" t="str">
        <x:v>Math</x:v>
      </x:c>
      <x:c r="C4192" s="34" t="str">
        <x:v>Round1</x:v>
      </x:c>
      <x:c r="D4192" s="34" t="str">
        <x:v>Math_91</x:v>
      </x:c>
      <x:c r="E4192" s="34" t="str">
        <x:v>Condition</x:v>
      </x:c>
      <x:c r="F4192" s="34" t="n">
        <x:v>90</x:v>
      </x:c>
      <x:c r="G4192" s="34" t="str">
        <x:v>RECORDED</x:v>
      </x:c>
      <x:c r="H4192" s="38" t="n">
        <x:f>IF(ISNUMBER('Data'!I776),'Data'!I776*100,"")</x:f>
        <x:v>85.56</x:v>
      </x:c>
      <x:c r="I4192" s="34" t="str">
        <x:v>PASS</x:v>
      </x:c>
      <x:c r="J4192" s="34" t="str">
        <x:v>PASS</x:v>
      </x:c>
      <x:c r="K4192" s="34" t="str">
        <x:v>PASS</x:v>
      </x:c>
      <x:c r="L4192" s="34" t="str">
        <x:v>PASS</x:v>
      </x:c>
      <x:c r="M4192" s="34" t="str">
        <x:v>numeric coverage for applicable metric</x:v>
      </x:c>
      <x:c r="N4192" s="34" t="str">
        <x:v>Feedback-Directed Random Test Generation/Result/Math_91/result.json</x:v>
      </x:c>
      <x:c r="O4192" s="38" t="n">
        <x:f>IF(AND(G4192="RECORDED",ISNUMBER(H4192)),H4192,"")</x:f>
        <x:v>85.56</x:v>
      </x:c>
      <x:c r="P4192" s="34" t="str">
        <x:v>NOT_REVEALING</x:v>
      </x:c>
      <x:c r="Q4192" s="34" t="str">
        <x:v>Feedback-Directed Random Test Generation/Result/Math_91/result.json</x:v>
      </x:c>
    </x:row>
    <x:row r="4193">
      <x:c r="A4193" s="34" t="str">
        <x:v>randoop</x:v>
      </x:c>
      <x:c r="B4193" s="34" t="str">
        <x:v>Math</x:v>
      </x:c>
      <x:c r="C4193" s="34" t="str">
        <x:v>Round1</x:v>
      </x:c>
      <x:c r="D4193" s="34" t="str">
        <x:v>Math_92</x:v>
      </x:c>
      <x:c r="E4193" s="34" t="str">
        <x:v>Condition</x:v>
      </x:c>
      <x:c r="F4193" s="34" t="n">
        <x:v>223</x:v>
      </x:c>
      <x:c r="G4193" s="34" t="str">
        <x:v>RECORDED</x:v>
      </x:c>
      <x:c r="H4193" s="38" t="n">
        <x:f>IF(ISNUMBER('Data'!I777),'Data'!I777*100,"")</x:f>
        <x:v>51.57000000000001</x:v>
      </x:c>
      <x:c r="I4193" s="34" t="str">
        <x:v>PASS</x:v>
      </x:c>
      <x:c r="J4193" s="34" t="str">
        <x:v>PASS</x:v>
      </x:c>
      <x:c r="K4193" s="34" t="str">
        <x:v>PASS</x:v>
      </x:c>
      <x:c r="L4193" s="34" t="str">
        <x:v>PASS</x:v>
      </x:c>
      <x:c r="M4193" s="34" t="str">
        <x:v>numeric coverage for applicable metric</x:v>
      </x:c>
      <x:c r="N4193" s="34" t="str">
        <x:v>Feedback-Directed Random Test Generation/Result/Math_92/result.json</x:v>
      </x:c>
      <x:c r="O4193" s="38" t="n">
        <x:f>IF(AND(G4193="RECORDED",ISNUMBER(H4193)),H4193,"")</x:f>
        <x:v>51.57000000000001</x:v>
      </x:c>
      <x:c r="P4193" s="34" t="str">
        <x:v>INCONCLUSIVE</x:v>
      </x:c>
      <x:c r="Q4193" s="34" t="str">
        <x:v>Feedback-Directed Random Test Generation/Result/Math_92/result.json</x:v>
      </x:c>
    </x:row>
    <x:row r="4194">
      <x:c r="A4194" s="34" t="str">
        <x:v>randoop</x:v>
      </x:c>
      <x:c r="B4194" s="34" t="str">
        <x:v>Math</x:v>
      </x:c>
      <x:c r="C4194" s="34" t="str">
        <x:v>Round1</x:v>
      </x:c>
      <x:c r="D4194" s="34" t="str">
        <x:v>Math_93</x:v>
      </x:c>
      <x:c r="E4194" s="34" t="str">
        <x:v>Condition</x:v>
      </x:c>
      <x:c r="F4194" s="34" t="n">
        <x:v>217</x:v>
      </x:c>
      <x:c r="G4194" s="34" t="str">
        <x:v>RECORDED</x:v>
      </x:c>
      <x:c r="H4194" s="38" t="n">
        <x:f>IF(ISNUMBER('Data'!I778),'Data'!I778*100,"")</x:f>
        <x:v>50.690000000000005</x:v>
      </x:c>
      <x:c r="I4194" s="34" t="str">
        <x:v>PASS</x:v>
      </x:c>
      <x:c r="J4194" s="34" t="str">
        <x:v>PASS</x:v>
      </x:c>
      <x:c r="K4194" s="34" t="str">
        <x:v>PASS</x:v>
      </x:c>
      <x:c r="L4194" s="34" t="str">
        <x:v>PASS</x:v>
      </x:c>
      <x:c r="M4194" s="34" t="str">
        <x:v>numeric coverage for applicable metric</x:v>
      </x:c>
      <x:c r="N4194" s="34" t="str">
        <x:v>Feedback-Directed Random Test Generation/Result/Math_93/result.json</x:v>
      </x:c>
      <x:c r="O4194" s="38" t="n">
        <x:f>IF(AND(G4194="RECORDED",ISNUMBER(H4194)),H4194,"")</x:f>
        <x:v>50.690000000000005</x:v>
      </x:c>
      <x:c r="P4194" s="34" t="str">
        <x:v>NOT_REVEALING</x:v>
      </x:c>
      <x:c r="Q4194" s="34" t="str">
        <x:v>Feedback-Directed Random Test Generation/Result/Math_93/result.json</x:v>
      </x:c>
    </x:row>
    <x:row r="4195">
      <x:c r="A4195" s="34" t="str">
        <x:v>randoop</x:v>
      </x:c>
      <x:c r="B4195" s="34" t="str">
        <x:v>Math</x:v>
      </x:c>
      <x:c r="C4195" s="34" t="str">
        <x:v>Round1</x:v>
      </x:c>
      <x:c r="D4195" s="34" t="str">
        <x:v>Math_94</x:v>
      </x:c>
      <x:c r="E4195" s="34" t="str">
        <x:v>Condition</x:v>
      </x:c>
      <x:c r="F4195" s="34" t="n">
        <x:v>215</x:v>
      </x:c>
      <x:c r="G4195" s="34" t="str">
        <x:v>RECORDED</x:v>
      </x:c>
      <x:c r="H4195" s="38" t="n">
        <x:f>IF(ISNUMBER('Data'!I779),'Data'!I779*100,"")</x:f>
        <x:v>50.7</x:v>
      </x:c>
      <x:c r="I4195" s="34" t="str">
        <x:v>PASS</x:v>
      </x:c>
      <x:c r="J4195" s="34" t="str">
        <x:v>PASS</x:v>
      </x:c>
      <x:c r="K4195" s="34" t="str">
        <x:v>PASS</x:v>
      </x:c>
      <x:c r="L4195" s="34" t="str">
        <x:v>PASS</x:v>
      </x:c>
      <x:c r="M4195" s="34" t="str">
        <x:v>numeric coverage for applicable metric</x:v>
      </x:c>
      <x:c r="N4195" s="34" t="str">
        <x:v>Feedback-Directed Random Test Generation/Result/Math_94/result.json</x:v>
      </x:c>
      <x:c r="O4195" s="38" t="n">
        <x:f>IF(AND(G4195="RECORDED",ISNUMBER(H4195)),H4195,"")</x:f>
        <x:v>50.7</x:v>
      </x:c>
      <x:c r="P4195" s="34" t="str">
        <x:v>NOT_REVEALING</x:v>
      </x:c>
      <x:c r="Q4195" s="34" t="str">
        <x:v>Feedback-Directed Random Test Generation/Result/Math_94/result.json</x:v>
      </x:c>
    </x:row>
    <x:row r="4196">
      <x:c r="A4196" s="34" t="str">
        <x:v>randoop</x:v>
      </x:c>
      <x:c r="B4196" s="34" t="str">
        <x:v>Math</x:v>
      </x:c>
      <x:c r="C4196" s="34" t="str">
        <x:v>Round1</x:v>
      </x:c>
      <x:c r="D4196" s="34" t="str">
        <x:v>Math_95</x:v>
      </x:c>
      <x:c r="E4196" s="34" t="str">
        <x:v>Condition</x:v>
      </x:c>
      <x:c r="F4196" s="34" t="n">
        <x:v>10</x:v>
      </x:c>
      <x:c r="G4196" s="34" t="str">
        <x:v>RECORDED</x:v>
      </x:c>
      <x:c r="H4196" s="38" t="n">
        <x:f>IF(ISNUMBER('Data'!I780),'Data'!I780*100,"")</x:f>
        <x:v>100</x:v>
      </x:c>
      <x:c r="I4196" s="34" t="str">
        <x:v>PASS</x:v>
      </x:c>
      <x:c r="J4196" s="34" t="str">
        <x:v>PASS</x:v>
      </x:c>
      <x:c r="K4196" s="34" t="str">
        <x:v>PASS</x:v>
      </x:c>
      <x:c r="L4196" s="34" t="str">
        <x:v>PASS</x:v>
      </x:c>
      <x:c r="M4196" s="34" t="str">
        <x:v>numeric coverage for applicable metric</x:v>
      </x:c>
      <x:c r="N4196" s="34" t="str">
        <x:v>Feedback-Directed Random Test Generation/Result/Math_95/result.json</x:v>
      </x:c>
      <x:c r="O4196" s="38" t="n">
        <x:f>IF(AND(G4196="RECORDED",ISNUMBER(H4196)),H4196,"")</x:f>
        <x:v>100</x:v>
      </x:c>
      <x:c r="P4196" s="34" t="str">
        <x:v>NOT_AVAILABLE</x:v>
      </x:c>
      <x:c r="Q4196" s="34" t="str">
        <x:v>Feedback-Directed Random Test Generation/Result/Math_95/result.json</x:v>
      </x:c>
    </x:row>
    <x:row r="4197">
      <x:c r="A4197" s="34" t="str">
        <x:v>randoop</x:v>
      </x:c>
      <x:c r="B4197" s="34" t="str">
        <x:v>Math</x:v>
      </x:c>
      <x:c r="C4197" s="34" t="str">
        <x:v>Round1</x:v>
      </x:c>
      <x:c r="D4197" s="34" t="str">
        <x:v>Math_96</x:v>
      </x:c>
      <x:c r="E4197" s="34" t="str">
        <x:v>Condition</x:v>
      </x:c>
      <x:c r="F4197" s="34" t="n">
        <x:v>102</x:v>
      </x:c>
      <x:c r="G4197" s="34" t="str">
        <x:v>RECORDED</x:v>
      </x:c>
      <x:c r="H4197" s="38" t="n">
        <x:f>IF(ISNUMBER('Data'!I781),'Data'!I781*100,"")</x:f>
        <x:v>89.22</x:v>
      </x:c>
      <x:c r="I4197" s="34" t="str">
        <x:v>PASS</x:v>
      </x:c>
      <x:c r="J4197" s="34" t="str">
        <x:v>PASS</x:v>
      </x:c>
      <x:c r="K4197" s="34" t="str">
        <x:v>PASS</x:v>
      </x:c>
      <x:c r="L4197" s="34" t="str">
        <x:v>PASS</x:v>
      </x:c>
      <x:c r="M4197" s="34" t="str">
        <x:v>numeric coverage for applicable metric</x:v>
      </x:c>
      <x:c r="N4197" s="34" t="str">
        <x:v>Feedback-Directed Random Test Generation/Result/Math_96/result.json</x:v>
      </x:c>
      <x:c r="O4197" s="38" t="n">
        <x:f>IF(AND(G4197="RECORDED",ISNUMBER(H4197)),H4197,"")</x:f>
        <x:v>89.22</x:v>
      </x:c>
      <x:c r="P4197" s="34" t="str">
        <x:v>NOT_REVEALING</x:v>
      </x:c>
      <x:c r="Q4197" s="34" t="str">
        <x:v>Feedback-Directed Random Test Generation/Result/Math_96/result.json</x:v>
      </x:c>
    </x:row>
    <x:row r="4198">
      <x:c r="A4198" s="34" t="str">
        <x:v>randoop</x:v>
      </x:c>
      <x:c r="B4198" s="34" t="str">
        <x:v>Math</x:v>
      </x:c>
      <x:c r="C4198" s="34" t="str">
        <x:v>Round1</x:v>
      </x:c>
      <x:c r="D4198" s="34" t="str">
        <x:v>Math_97</x:v>
      </x:c>
      <x:c r="E4198" s="34" t="str">
        <x:v>Condition</x:v>
      </x:c>
      <x:c r="F4198" s="34" t="n">
        <x:v>46</x:v>
      </x:c>
      <x:c r="G4198" s="34" t="str">
        <x:v>RECORDED</x:v>
      </x:c>
      <x:c r="H4198" s="38" t="n">
        <x:f>IF(ISNUMBER('Data'!I782),'Data'!I782*100,"")</x:f>
        <x:v>0</x:v>
      </x:c>
      <x:c r="I4198" s="34" t="str">
        <x:v>PASS</x:v>
      </x:c>
      <x:c r="J4198" s="34" t="str">
        <x:v>PASS</x:v>
      </x:c>
      <x:c r="K4198" s="34" t="str">
        <x:v>PASS</x:v>
      </x:c>
      <x:c r="L4198" s="34" t="str">
        <x:v>PASS</x:v>
      </x:c>
      <x:c r="M4198" s="34" t="str">
        <x:v>numeric coverage for applicable metric</x:v>
      </x:c>
      <x:c r="N4198" s="34" t="str">
        <x:v>Feedback-Directed Random Test Generation/Result/Math_97/result.json</x:v>
      </x:c>
      <x:c r="O4198" s="38" t="n">
        <x:f>IF(AND(G4198="RECORDED",ISNUMBER(H4198)),H4198,"")</x:f>
        <x:v>0</x:v>
      </x:c>
      <x:c r="P4198" s="34" t="str">
        <x:v>NOT_REVEALING</x:v>
      </x:c>
      <x:c r="Q4198" s="34" t="str">
        <x:v>Feedback-Directed Random Test Generation/Result/Math_97/result.json</x:v>
      </x:c>
    </x:row>
    <x:row r="4199">
      <x:c r="A4199" s="34" t="str">
        <x:v>randoop</x:v>
      </x:c>
      <x:c r="B4199" s="34" t="str">
        <x:v>Math</x:v>
      </x:c>
      <x:c r="C4199" s="34" t="str">
        <x:v>Round1</x:v>
      </x:c>
      <x:c r="D4199" s="34" t="str">
        <x:v>Math_98</x:v>
      </x:c>
      <x:c r="E4199" s="34" t="str">
        <x:v>Condition</x:v>
      </x:c>
      <x:c r="F4199" s="34" t="n">
        <x:v>554</x:v>
      </x:c>
      <x:c r="G4199" s="34" t="str">
        <x:v>RECORDED</x:v>
      </x:c>
      <x:c r="H4199" s="38" t="n">
        <x:f>IF(ISNUMBER('Data'!I783),'Data'!I783*100,"")</x:f>
        <x:v>76.71</x:v>
      </x:c>
      <x:c r="I4199" s="34" t="str">
        <x:v>PASS</x:v>
      </x:c>
      <x:c r="J4199" s="34" t="str">
        <x:v>PASS</x:v>
      </x:c>
      <x:c r="K4199" s="34" t="str">
        <x:v>PASS</x:v>
      </x:c>
      <x:c r="L4199" s="34" t="str">
        <x:v>FAIL</x:v>
      </x:c>
      <x:c r="M4199" s="34" t="str">
        <x:v>numeric coverage for applicable metric</x:v>
      </x:c>
      <x:c r="N4199" s="34" t="str">
        <x:v>Feedback-Directed Random Test Generation/Result/Math_98/result.json</x:v>
      </x:c>
      <x:c r="O4199" s="38" t="n">
        <x:f>IF(AND(G4199="RECORDED",ISNUMBER(H4199)),H4199,"")</x:f>
        <x:v>76.71</x:v>
      </x:c>
      <x:c r="P4199" s="34" t="str">
        <x:v>INCONCLUSIVE</x:v>
      </x:c>
      <x:c r="Q4199" s="34" t="str">
        <x:v>Feedback-Directed Random Test Generation/Result/Math_98/result.json</x:v>
      </x:c>
    </x:row>
    <x:row r="4200">
      <x:c r="A4200" s="34" t="str">
        <x:v>randoop</x:v>
      </x:c>
      <x:c r="B4200" s="34" t="str">
        <x:v>Math</x:v>
      </x:c>
      <x:c r="C4200" s="34" t="str">
        <x:v>Round1</x:v>
      </x:c>
      <x:c r="D4200" s="34" t="str">
        <x:v>Math_99</x:v>
      </x:c>
      <x:c r="E4200" s="34" t="str">
        <x:v>Condition</x:v>
      </x:c>
      <x:c r="F4200" s="34" t="n">
        <x:v>271</x:v>
      </x:c>
      <x:c r="G4200" s="34" t="str">
        <x:v>RECORDED</x:v>
      </x:c>
      <x:c r="H4200" s="38" t="n">
        <x:f>IF(ISNUMBER('Data'!I784),'Data'!I784*100,"")</x:f>
        <x:v>75.65</x:v>
      </x:c>
      <x:c r="I4200" s="34" t="str">
        <x:v>PASS</x:v>
      </x:c>
      <x:c r="J4200" s="34" t="str">
        <x:v>PASS</x:v>
      </x:c>
      <x:c r="K4200" s="34" t="str">
        <x:v>PASS</x:v>
      </x:c>
      <x:c r="L4200" s="34" t="str">
        <x:v>PASS</x:v>
      </x:c>
      <x:c r="M4200" s="34" t="str">
        <x:v>numeric coverage for applicable metric</x:v>
      </x:c>
      <x:c r="N4200" s="34" t="str">
        <x:v>Feedback-Directed Random Test Generation/Result/Math_99/result.json</x:v>
      </x:c>
      <x:c r="O4200" s="38" t="n">
        <x:f>IF(AND(G4200="RECORDED",ISNUMBER(H4200)),H4200,"")</x:f>
        <x:v>75.65</x:v>
      </x:c>
      <x:c r="P4200" s="34" t="str">
        <x:v>NOT_REVEALING</x:v>
      </x:c>
      <x:c r="Q4200" s="34" t="str">
        <x:v>Feedback-Directed Random Test Generation/Result/Math_99/result.json</x:v>
      </x:c>
    </x:row>
    <x:row r="4201">
      <x:c r="A4201" s="34" t="str">
        <x:v>randoop</x:v>
      </x:c>
      <x:c r="B4201" s="34" t="str">
        <x:v>Math</x:v>
      </x:c>
      <x:c r="C4201" s="34" t="str">
        <x:v>Round1</x:v>
      </x:c>
      <x:c r="D4201" s="34" t="str">
        <x:v>Math_100</x:v>
      </x:c>
      <x:c r="E4201" s="34" t="str">
        <x:v>Condition</x:v>
      </x:c>
      <x:c r="F4201" s="34" t="n">
        <x:v>22</x:v>
      </x:c>
      <x:c r="G4201" s="34" t="str">
        <x:v>RECORDED</x:v>
      </x:c>
      <x:c r="H4201" s="38" t="n">
        <x:f>IF(ISNUMBER('Data'!I785),'Data'!I785*100,"")</x:f>
        <x:v>0</x:v>
      </x:c>
      <x:c r="I4201" s="34" t="str">
        <x:v>PASS</x:v>
      </x:c>
      <x:c r="J4201" s="34" t="str">
        <x:v>PASS</x:v>
      </x:c>
      <x:c r="K4201" s="34" t="str">
        <x:v>PASS</x:v>
      </x:c>
      <x:c r="L4201" s="34" t="str">
        <x:v>PASS</x:v>
      </x:c>
      <x:c r="M4201" s="34" t="str">
        <x:v>numeric coverage for applicable metric</x:v>
      </x:c>
      <x:c r="N4201" s="34" t="str">
        <x:v>Feedback-Directed Random Test Generation/Result/Math_100/result.json</x:v>
      </x:c>
      <x:c r="O4201" s="38" t="n">
        <x:f>IF(AND(G4201="RECORDED",ISNUMBER(H4201)),H4201,"")</x:f>
        <x:v>0</x:v>
      </x:c>
      <x:c r="P4201" s="34" t="str">
        <x:v>NOT_REVEALING</x:v>
      </x:c>
      <x:c r="Q4201" s="34" t="str">
        <x:v>Feedback-Directed Random Test Generation/Result/Math_100/result.json</x:v>
      </x:c>
    </x:row>
    <x:row r="4202">
      <x:c r="A4202" s="34" t="str">
        <x:v>randoop</x:v>
      </x:c>
      <x:c r="B4202" s="34" t="str">
        <x:v>Math</x:v>
      </x:c>
      <x:c r="C4202" s="34" t="str">
        <x:v>Round1</x:v>
      </x:c>
      <x:c r="D4202" s="34" t="str">
        <x:v>Math_101</x:v>
      </x:c>
      <x:c r="E4202" s="34" t="str">
        <x:v>Condition</x:v>
      </x:c>
      <x:c r="F4202" s="34" t="n">
        <x:v>52</x:v>
      </x:c>
      <x:c r="G4202" s="34" t="str">
        <x:v>RECORDED</x:v>
      </x:c>
      <x:c r="H4202" s="38" t="n">
        <x:f>IF(ISNUMBER('Data'!I786),'Data'!I786*100,"")</x:f>
        <x:v>61.53999999999999</x:v>
      </x:c>
      <x:c r="I4202" s="34" t="str">
        <x:v>PASS</x:v>
      </x:c>
      <x:c r="J4202" s="34" t="str">
        <x:v>PASS</x:v>
      </x:c>
      <x:c r="K4202" s="34" t="str">
        <x:v>PASS</x:v>
      </x:c>
      <x:c r="L4202" s="34" t="str">
        <x:v>PASS</x:v>
      </x:c>
      <x:c r="M4202" s="34" t="str">
        <x:v>numeric coverage for applicable metric</x:v>
      </x:c>
      <x:c r="N4202" s="34" t="str">
        <x:v>Feedback-Directed Random Test Generation/Result/Math_101/result.json</x:v>
      </x:c>
      <x:c r="O4202" s="38" t="n">
        <x:f>IF(AND(G4202="RECORDED",ISNUMBER(H4202)),H4202,"")</x:f>
        <x:v>61.53999999999999</x:v>
      </x:c>
      <x:c r="P4202" s="34" t="str">
        <x:v>NOT_REVEALING</x:v>
      </x:c>
      <x:c r="Q4202" s="34" t="str">
        <x:v>Feedback-Directed Random Test Generation/Result/Math_101/result.json</x:v>
      </x:c>
    </x:row>
    <x:row r="4203">
      <x:c r="A4203" s="34" t="str">
        <x:v>randoop</x:v>
      </x:c>
      <x:c r="B4203" s="34" t="str">
        <x:v>Math</x:v>
      </x:c>
      <x:c r="C4203" s="34" t="str">
        <x:v>Round1</x:v>
      </x:c>
      <x:c r="D4203" s="34" t="str">
        <x:v>Math_102</x:v>
      </x:c>
      <x:c r="E4203" s="34" t="str">
        <x:v>Condition</x:v>
      </x:c>
      <x:c r="F4203" s="34" t="n">
        <x:v>86</x:v>
      </x:c>
      <x:c r="G4203" s="34" t="str">
        <x:v>RECORDED</x:v>
      </x:c>
      <x:c r="H4203" s="38" t="n">
        <x:f>IF(ISNUMBER('Data'!I787),'Data'!I787*100,"")</x:f>
        <x:v>88.37</x:v>
      </x:c>
      <x:c r="I4203" s="34" t="str">
        <x:v>PASS</x:v>
      </x:c>
      <x:c r="J4203" s="34" t="str">
        <x:v>PASS</x:v>
      </x:c>
      <x:c r="K4203" s="34" t="str">
        <x:v>PASS</x:v>
      </x:c>
      <x:c r="L4203" s="34" t="str">
        <x:v>PASS</x:v>
      </x:c>
      <x:c r="M4203" s="34" t="str">
        <x:v>numeric coverage for applicable metric</x:v>
      </x:c>
      <x:c r="N4203" s="34" t="str">
        <x:v>Feedback-Directed Random Test Generation/Result/Math_102/result.json</x:v>
      </x:c>
      <x:c r="O4203" s="38" t="n">
        <x:f>IF(AND(G4203="RECORDED",ISNUMBER(H4203)),H4203,"")</x:f>
        <x:v>88.37</x:v>
      </x:c>
      <x:c r="P4203" s="34" t="str">
        <x:v>INCONCLUSIVE</x:v>
      </x:c>
      <x:c r="Q4203" s="34" t="str">
        <x:v>Feedback-Directed Random Test Generation/Result/Math_102/result.json</x:v>
      </x:c>
    </x:row>
    <x:row r="4204">
      <x:c r="A4204" s="34" t="str">
        <x:v>randoop</x:v>
      </x:c>
      <x:c r="B4204" s="34" t="str">
        <x:v>Math</x:v>
      </x:c>
      <x:c r="C4204" s="34" t="str">
        <x:v>Round1</x:v>
      </x:c>
      <x:c r="D4204" s="34" t="str">
        <x:v>Math_103</x:v>
      </x:c>
      <x:c r="E4204" s="34" t="str">
        <x:v>Condition</x:v>
      </x:c>
      <x:c r="F4204" s="34" t="n">
        <x:v>14</x:v>
      </x:c>
      <x:c r="G4204" s="34" t="str">
        <x:v>RECORDED</x:v>
      </x:c>
      <x:c r="H4204" s="38" t="n">
        <x:f>IF(ISNUMBER('Data'!I788),'Data'!I788*100,"")</x:f>
        <x:v>100</x:v>
      </x:c>
      <x:c r="I4204" s="34" t="str">
        <x:v>PASS</x:v>
      </x:c>
      <x:c r="J4204" s="34" t="str">
        <x:v>PASS</x:v>
      </x:c>
      <x:c r="K4204" s="34" t="str">
        <x:v>PASS</x:v>
      </x:c>
      <x:c r="L4204" s="34" t="str">
        <x:v>PASS</x:v>
      </x:c>
      <x:c r="M4204" s="34" t="str">
        <x:v>numeric coverage for applicable metric</x:v>
      </x:c>
      <x:c r="N4204" s="34" t="str">
        <x:v>Feedback-Directed Random Test Generation/Result/Math_103/result.json</x:v>
      </x:c>
      <x:c r="O4204" s="38" t="n">
        <x:f>IF(AND(G4204="RECORDED",ISNUMBER(H4204)),H4204,"")</x:f>
        <x:v>100</x:v>
      </x:c>
      <x:c r="P4204" s="34" t="str">
        <x:v>INCONCLUSIVE</x:v>
      </x:c>
      <x:c r="Q4204" s="34" t="str">
        <x:v>Feedback-Directed Random Test Generation/Result/Math_103/result.json</x:v>
      </x:c>
    </x:row>
    <x:row r="4205">
      <x:c r="A4205" s="34" t="str">
        <x:v>randoop</x:v>
      </x:c>
      <x:c r="B4205" s="34" t="str">
        <x:v>Math</x:v>
      </x:c>
      <x:c r="C4205" s="34" t="str">
        <x:v>Round1</x:v>
      </x:c>
      <x:c r="D4205" s="34" t="str">
        <x:v>Math_104</x:v>
      </x:c>
      <x:c r="E4205" s="34" t="str">
        <x:v>Condition</x:v>
      </x:c>
      <x:c r="F4205" s="34" t="n">
        <x:v>40</x:v>
      </x:c>
      <x:c r="G4205" s="34" t="str">
        <x:v>RECORDED</x:v>
      </x:c>
      <x:c r="H4205" s="38" t="n">
        <x:f>IF(ISNUMBER('Data'!I789),'Data'!I789*100,"")</x:f>
        <x:v>100</x:v>
      </x:c>
      <x:c r="I4205" s="34" t="str">
        <x:v>PASS</x:v>
      </x:c>
      <x:c r="J4205" s="34" t="str">
        <x:v>PASS</x:v>
      </x:c>
      <x:c r="K4205" s="34" t="str">
        <x:v>PASS</x:v>
      </x:c>
      <x:c r="L4205" s="34" t="str">
        <x:v>PASS</x:v>
      </x:c>
      <x:c r="M4205" s="34" t="str">
        <x:v>numeric coverage for applicable metric</x:v>
      </x:c>
      <x:c r="N4205" s="34" t="str">
        <x:v>Feedback-Directed Random Test Generation/Result/Math_104/result.json</x:v>
      </x:c>
      <x:c r="O4205" s="38" t="n">
        <x:f>IF(AND(G4205="RECORDED",ISNUMBER(H4205)),H4205,"")</x:f>
        <x:v>100</x:v>
      </x:c>
      <x:c r="P4205" s="34" t="str">
        <x:v>INCONCLUSIVE</x:v>
      </x:c>
      <x:c r="Q4205" s="34" t="str">
        <x:v>Feedback-Directed Random Test Generation/Result/Math_104/result.json</x:v>
      </x:c>
    </x:row>
    <x:row r="4206">
      <x:c r="A4206" s="34" t="str">
        <x:v>randoop</x:v>
      </x:c>
      <x:c r="B4206" s="34" t="str">
        <x:v>Math</x:v>
      </x:c>
      <x:c r="C4206" s="34" t="str">
        <x:v>Round1</x:v>
      </x:c>
      <x:c r="D4206" s="34" t="str">
        <x:v>Math_105</x:v>
      </x:c>
      <x:c r="E4206" s="34" t="str">
        <x:v>Condition</x:v>
      </x:c>
      <x:c r="F4206" s="34" t="n">
        <x:v>18</x:v>
      </x:c>
      <x:c r="G4206" s="34" t="str">
        <x:v>RECORDED</x:v>
      </x:c>
      <x:c r="H4206" s="38" t="n">
        <x:f>IF(ISNUMBER('Data'!I790),'Data'!I790*100,"")</x:f>
        <x:v>88.89</x:v>
      </x:c>
      <x:c r="I4206" s="34" t="str">
        <x:v>PASS</x:v>
      </x:c>
      <x:c r="J4206" s="34" t="str">
        <x:v>PASS</x:v>
      </x:c>
      <x:c r="K4206" s="34" t="str">
        <x:v>PASS</x:v>
      </x:c>
      <x:c r="L4206" s="34" t="str">
        <x:v>PASS</x:v>
      </x:c>
      <x:c r="M4206" s="34" t="str">
        <x:v>numeric coverage for applicable metric</x:v>
      </x:c>
      <x:c r="N4206" s="34" t="str">
        <x:v>Feedback-Directed Random Test Generation/Result/Math_105/result.json</x:v>
      </x:c>
      <x:c r="O4206" s="38" t="n">
        <x:f>IF(AND(G4206="RECORDED",ISNUMBER(H4206)),H4206,"")</x:f>
        <x:v>88.89</x:v>
      </x:c>
      <x:c r="P4206" s="34" t="str">
        <x:v>NOT_REVEALING</x:v>
      </x:c>
      <x:c r="Q4206" s="34" t="str">
        <x:v>Feedback-Directed Random Test Generation/Result/Math_105/result.json</x:v>
      </x:c>
    </x:row>
    <x:row r="4207">
      <x:c r="A4207" s="34" t="str">
        <x:v>randoop</x:v>
      </x:c>
      <x:c r="B4207" s="34" t="str">
        <x:v>Math</x:v>
      </x:c>
      <x:c r="C4207" s="34" t="str">
        <x:v>Round1</x:v>
      </x:c>
      <x:c r="D4207" s="34" t="str">
        <x:v>Math_106</x:v>
      </x:c>
      <x:c r="E4207" s="34" t="str">
        <x:v>Condition</x:v>
      </x:c>
      <x:c r="F4207" s="34" t="n">
        <x:v>15</x:v>
      </x:c>
      <x:c r="G4207" s="34" t="str">
        <x:v>RECORDED</x:v>
      </x:c>
      <x:c r="H4207" s="38" t="n">
        <x:f>IF(ISNUMBER('Data'!I791),'Data'!I791*100,"")</x:f>
        <x:v>73.33</x:v>
      </x:c>
      <x:c r="I4207" s="34" t="str">
        <x:v>PASS</x:v>
      </x:c>
      <x:c r="J4207" s="34" t="str">
        <x:v>PASS</x:v>
      </x:c>
      <x:c r="K4207" s="34" t="str">
        <x:v>PASS</x:v>
      </x:c>
      <x:c r="L4207" s="34" t="str">
        <x:v>PASS</x:v>
      </x:c>
      <x:c r="M4207" s="34" t="str">
        <x:v>numeric coverage for applicable metric</x:v>
      </x:c>
      <x:c r="N4207" s="34" t="str">
        <x:v>Feedback-Directed Random Test Generation/Result/Math_106/result.json</x:v>
      </x:c>
      <x:c r="O4207" s="38" t="n">
        <x:f>IF(AND(G4207="RECORDED",ISNUMBER(H4207)),H4207,"")</x:f>
        <x:v>73.33</x:v>
      </x:c>
      <x:c r="P4207" s="34" t="str">
        <x:v>NOT_REVEALING</x:v>
      </x:c>
      <x:c r="Q4207" s="34" t="str">
        <x:v>Feedback-Directed Random Test Generation/Result/Math_106/result.json</x:v>
      </x:c>
    </x:row>
    <x:row r="4208">
      <x:c r="A4208" s="34" t="str">
        <x:v>randoop</x:v>
      </x:c>
      <x:c r="B4208" s="34" t="str">
        <x:v>Mockito</x:v>
      </x:c>
      <x:c r="C4208" s="34" t="str">
        <x:v>Round1</x:v>
      </x:c>
      <x:c r="D4208" s="34" t="str">
        <x:v>Mockito_1</x:v>
      </x:c>
      <x:c r="E4208" s="34" t="str">
        <x:v>Condition</x:v>
      </x:c>
      <x:c r="F4208" s="34" t="n">
        <x:v>0</x:v>
      </x:c>
      <x:c r="G4208" s="34" t="str">
        <x:v>A</x:v>
      </x:c>
      <x:c r="H4208" s="38" t="str">
        <x:f>IF(ISNUMBER('Data'!I792),'Data'!I792*100,"")</x:f>
      </x:c>
      <x:c r="I4208" s="34"/>
      <x:c r="J4208" s="34" t="str">
        <x:v>FAIL</x:v>
      </x:c>
      <x:c r="K4208" s="34"/>
      <x:c r="L4208" s="34" t="str">
        <x:v>NOT_RUN</x:v>
      </x:c>
      <x:c r="M4208" s="34" t="str">
        <x:v>coverage unavailable or execution/compile failed</x:v>
      </x:c>
      <x:c r="N4208" s="34" t="str">
        <x:v>Feedback-Directed Random Test Generation/Result/Mockito_1/result.json</x:v>
      </x:c>
      <x:c r="O4208" s="38" t="str">
        <x:f>IF(AND(G4208="RECORDED",ISNUMBER(H4208)),H4208,"")</x:f>
      </x:c>
      <x:c r="P4208" s="34" t="str">
        <x:v>NOT_AVAILABLE</x:v>
      </x:c>
      <x:c r="Q4208" s="34" t="str">
        <x:v>Feedback-Directed Random Test Generation/Result/Mockito_1/result.json</x:v>
      </x:c>
    </x:row>
    <x:row r="4209">
      <x:c r="A4209" s="34" t="str">
        <x:v>randoop</x:v>
      </x:c>
      <x:c r="B4209" s="34" t="str">
        <x:v>Mockito</x:v>
      </x:c>
      <x:c r="C4209" s="34" t="str">
        <x:v>Round1</x:v>
      </x:c>
      <x:c r="D4209" s="34" t="str">
        <x:v>Mockito_2</x:v>
      </x:c>
      <x:c r="E4209" s="34" t="str">
        <x:v>Condition</x:v>
      </x:c>
      <x:c r="F4209" s="34" t="n">
        <x:v>0</x:v>
      </x:c>
      <x:c r="G4209" s="34" t="str">
        <x:v>A</x:v>
      </x:c>
      <x:c r="H4209" s="38" t="str">
        <x:f>IF(ISNUMBER('Data'!I793),'Data'!I793*100,"")</x:f>
      </x:c>
      <x:c r="I4209" s="34"/>
      <x:c r="J4209" s="34" t="str">
        <x:v>FAIL</x:v>
      </x:c>
      <x:c r="K4209" s="34"/>
      <x:c r="L4209" s="34" t="str">
        <x:v>NOT_RUN</x:v>
      </x:c>
      <x:c r="M4209" s="34" t="str">
        <x:v>coverage unavailable or execution/compile failed</x:v>
      </x:c>
      <x:c r="N4209" s="34" t="str">
        <x:v>Feedback-Directed Random Test Generation/Result/Mockito_2/result.json</x:v>
      </x:c>
      <x:c r="O4209" s="38" t="str">
        <x:f>IF(AND(G4209="RECORDED",ISNUMBER(H4209)),H4209,"")</x:f>
      </x:c>
      <x:c r="P4209" s="34" t="str">
        <x:v>NOT_AVAILABLE</x:v>
      </x:c>
      <x:c r="Q4209" s="34" t="str">
        <x:v>Feedback-Directed Random Test Generation/Result/Mockito_2/result.json</x:v>
      </x:c>
    </x:row>
    <x:row r="4210">
      <x:c r="A4210" s="34" t="str">
        <x:v>randoop</x:v>
      </x:c>
      <x:c r="B4210" s="34" t="str">
        <x:v>Mockito</x:v>
      </x:c>
      <x:c r="C4210" s="34" t="str">
        <x:v>Round1</x:v>
      </x:c>
      <x:c r="D4210" s="34" t="str">
        <x:v>Mockito_3</x:v>
      </x:c>
      <x:c r="E4210" s="34" t="str">
        <x:v>Condition</x:v>
      </x:c>
      <x:c r="F4210" s="34" t="n">
        <x:v>0</x:v>
      </x:c>
      <x:c r="G4210" s="34" t="str">
        <x:v>A</x:v>
      </x:c>
      <x:c r="H4210" s="38" t="str">
        <x:f>IF(ISNUMBER('Data'!I794),'Data'!I794*100,"")</x:f>
      </x:c>
      <x:c r="I4210" s="34"/>
      <x:c r="J4210" s="34" t="str">
        <x:v>FAIL</x:v>
      </x:c>
      <x:c r="K4210" s="34"/>
      <x:c r="L4210" s="34" t="str">
        <x:v>NOT_RUN</x:v>
      </x:c>
      <x:c r="M4210" s="34" t="str">
        <x:v>coverage unavailable or execution/compile failed</x:v>
      </x:c>
      <x:c r="N4210" s="34" t="str">
        <x:v>Feedback-Directed Random Test Generation/Result/Mockito_3/result.json</x:v>
      </x:c>
      <x:c r="O4210" s="38" t="str">
        <x:f>IF(AND(G4210="RECORDED",ISNUMBER(H4210)),H4210,"")</x:f>
      </x:c>
      <x:c r="P4210" s="34" t="str">
        <x:v>NOT_AVAILABLE</x:v>
      </x:c>
      <x:c r="Q4210" s="34" t="str">
        <x:v>Feedback-Directed Random Test Generation/Result/Mockito_3/result.json</x:v>
      </x:c>
    </x:row>
    <x:row r="4211">
      <x:c r="A4211" s="34" t="str">
        <x:v>randoop</x:v>
      </x:c>
      <x:c r="B4211" s="34" t="str">
        <x:v>Mockito</x:v>
      </x:c>
      <x:c r="C4211" s="34" t="str">
        <x:v>Round1</x:v>
      </x:c>
      <x:c r="D4211" s="34" t="str">
        <x:v>Mockito_4</x:v>
      </x:c>
      <x:c r="E4211" s="34" t="str">
        <x:v>Condition</x:v>
      </x:c>
      <x:c r="F4211" s="34" t="n">
        <x:v>0</x:v>
      </x:c>
      <x:c r="G4211" s="34" t="str">
        <x:v>A</x:v>
      </x:c>
      <x:c r="H4211" s="38" t="str">
        <x:f>IF(ISNUMBER('Data'!I795),'Data'!I795*100,"")</x:f>
      </x:c>
      <x:c r="I4211" s="34"/>
      <x:c r="J4211" s="34" t="str">
        <x:v>FAIL</x:v>
      </x:c>
      <x:c r="K4211" s="34"/>
      <x:c r="L4211" s="34" t="str">
        <x:v>NOT_RUN</x:v>
      </x:c>
      <x:c r="M4211" s="34" t="str">
        <x:v>coverage unavailable or execution/compile failed</x:v>
      </x:c>
      <x:c r="N4211" s="34" t="str">
        <x:v>Feedback-Directed Random Test Generation/Result/Mockito_4/result.json</x:v>
      </x:c>
      <x:c r="O4211" s="38" t="str">
        <x:f>IF(AND(G4211="RECORDED",ISNUMBER(H4211)),H4211,"")</x:f>
      </x:c>
      <x:c r="P4211" s="34" t="str">
        <x:v>NOT_AVAILABLE</x:v>
      </x:c>
      <x:c r="Q4211" s="34" t="str">
        <x:v>Feedback-Directed Random Test Generation/Result/Mockito_4/result.json</x:v>
      </x:c>
    </x:row>
    <x:row r="4212">
      <x:c r="A4212" s="34" t="str">
        <x:v>randoop</x:v>
      </x:c>
      <x:c r="B4212" s="34" t="str">
        <x:v>Mockito</x:v>
      </x:c>
      <x:c r="C4212" s="34" t="str">
        <x:v>Round1</x:v>
      </x:c>
      <x:c r="D4212" s="34" t="str">
        <x:v>Mockito_5</x:v>
      </x:c>
      <x:c r="E4212" s="34" t="str">
        <x:v>Condition</x:v>
      </x:c>
      <x:c r="F4212" s="34" t="n">
        <x:v>0</x:v>
      </x:c>
      <x:c r="G4212" s="34" t="str">
        <x:v>A</x:v>
      </x:c>
      <x:c r="H4212" s="38" t="str">
        <x:f>IF(ISNUMBER('Data'!I796),'Data'!I796*100,"")</x:f>
      </x:c>
      <x:c r="I4212" s="34"/>
      <x:c r="J4212" s="34" t="str">
        <x:v>FAIL</x:v>
      </x:c>
      <x:c r="K4212" s="34"/>
      <x:c r="L4212" s="34" t="str">
        <x:v>NOT_RUN</x:v>
      </x:c>
      <x:c r="M4212" s="34" t="str">
        <x:v>coverage unavailable or execution/compile failed</x:v>
      </x:c>
      <x:c r="N4212" s="34" t="str">
        <x:v>Feedback-Directed Random Test Generation/Result/Mockito_5/result.json</x:v>
      </x:c>
      <x:c r="O4212" s="38" t="str">
        <x:f>IF(AND(G4212="RECORDED",ISNUMBER(H4212)),H4212,"")</x:f>
      </x:c>
      <x:c r="P4212" s="34" t="str">
        <x:v>NOT_AVAILABLE</x:v>
      </x:c>
      <x:c r="Q4212" s="34" t="str">
        <x:v>Feedback-Directed Random Test Generation/Result/Mockito_5/result.json</x:v>
      </x:c>
    </x:row>
    <x:row r="4213">
      <x:c r="A4213" s="34" t="str">
        <x:v>randoop</x:v>
      </x:c>
      <x:c r="B4213" s="34" t="str">
        <x:v>Mockito</x:v>
      </x:c>
      <x:c r="C4213" s="34" t="str">
        <x:v>Round1</x:v>
      </x:c>
      <x:c r="D4213" s="34" t="str">
        <x:v>Mockito_6</x:v>
      </x:c>
      <x:c r="E4213" s="34" t="str">
        <x:v>Condition</x:v>
      </x:c>
      <x:c r="F4213" s="34" t="n">
        <x:v>0</x:v>
      </x:c>
      <x:c r="G4213" s="34" t="str">
        <x:v>A</x:v>
      </x:c>
      <x:c r="H4213" s="38" t="str">
        <x:f>IF(ISNUMBER('Data'!I797),'Data'!I797*100,"")</x:f>
      </x:c>
      <x:c r="I4213" s="34"/>
      <x:c r="J4213" s="34" t="str">
        <x:v>FAIL</x:v>
      </x:c>
      <x:c r="K4213" s="34"/>
      <x:c r="L4213" s="34" t="str">
        <x:v>NOT_RUN</x:v>
      </x:c>
      <x:c r="M4213" s="34" t="str">
        <x:v>coverage unavailable or execution/compile failed</x:v>
      </x:c>
      <x:c r="N4213" s="34" t="str">
        <x:v>Feedback-Directed Random Test Generation/Result/Mockito_6/result.json</x:v>
      </x:c>
      <x:c r="O4213" s="38" t="str">
        <x:f>IF(AND(G4213="RECORDED",ISNUMBER(H4213)),H4213,"")</x:f>
      </x:c>
      <x:c r="P4213" s="34" t="str">
        <x:v>NOT_AVAILABLE</x:v>
      </x:c>
      <x:c r="Q4213" s="34" t="str">
        <x:v>Feedback-Directed Random Test Generation/Result/Mockito_6/result.json</x:v>
      </x:c>
    </x:row>
    <x:row r="4214">
      <x:c r="A4214" s="34" t="str">
        <x:v>randoop</x:v>
      </x:c>
      <x:c r="B4214" s="34" t="str">
        <x:v>Mockito</x:v>
      </x:c>
      <x:c r="C4214" s="34" t="str">
        <x:v>Round1</x:v>
      </x:c>
      <x:c r="D4214" s="34" t="str">
        <x:v>Mockito_7</x:v>
      </x:c>
      <x:c r="E4214" s="34" t="str">
        <x:v>Condition</x:v>
      </x:c>
      <x:c r="F4214" s="34" t="n">
        <x:v>0</x:v>
      </x:c>
      <x:c r="G4214" s="34" t="str">
        <x:v>A</x:v>
      </x:c>
      <x:c r="H4214" s="38" t="str">
        <x:f>IF(ISNUMBER('Data'!I798),'Data'!I798*100,"")</x:f>
      </x:c>
      <x:c r="I4214" s="34"/>
      <x:c r="J4214" s="34" t="str">
        <x:v>FAIL</x:v>
      </x:c>
      <x:c r="K4214" s="34"/>
      <x:c r="L4214" s="34" t="str">
        <x:v>NOT_RUN</x:v>
      </x:c>
      <x:c r="M4214" s="34" t="str">
        <x:v>coverage unavailable or execution/compile failed</x:v>
      </x:c>
      <x:c r="N4214" s="34" t="str">
        <x:v>Feedback-Directed Random Test Generation/Result/Mockito_7/result.json</x:v>
      </x:c>
      <x:c r="O4214" s="38" t="str">
        <x:f>IF(AND(G4214="RECORDED",ISNUMBER(H4214)),H4214,"")</x:f>
      </x:c>
      <x:c r="P4214" s="34" t="str">
        <x:v>NOT_AVAILABLE</x:v>
      </x:c>
      <x:c r="Q4214" s="34" t="str">
        <x:v>Feedback-Directed Random Test Generation/Result/Mockito_7/result.json</x:v>
      </x:c>
    </x:row>
    <x:row r="4215">
      <x:c r="A4215" s="34" t="str">
        <x:v>randoop</x:v>
      </x:c>
      <x:c r="B4215" s="34" t="str">
        <x:v>Mockito</x:v>
      </x:c>
      <x:c r="C4215" s="34" t="str">
        <x:v>Round1</x:v>
      </x:c>
      <x:c r="D4215" s="34" t="str">
        <x:v>Mockito_8</x:v>
      </x:c>
      <x:c r="E4215" s="34" t="str">
        <x:v>Condition</x:v>
      </x:c>
      <x:c r="F4215" s="34" t="n">
        <x:v>0</x:v>
      </x:c>
      <x:c r="G4215" s="34" t="str">
        <x:v>A</x:v>
      </x:c>
      <x:c r="H4215" s="38" t="str">
        <x:f>IF(ISNUMBER('Data'!I799),'Data'!I799*100,"")</x:f>
      </x:c>
      <x:c r="I4215" s="34"/>
      <x:c r="J4215" s="34" t="str">
        <x:v>FAIL</x:v>
      </x:c>
      <x:c r="K4215" s="34"/>
      <x:c r="L4215" s="34" t="str">
        <x:v>NOT_RUN</x:v>
      </x:c>
      <x:c r="M4215" s="34" t="str">
        <x:v>coverage unavailable or execution/compile failed</x:v>
      </x:c>
      <x:c r="N4215" s="34" t="str">
        <x:v>Feedback-Directed Random Test Generation/Result/Mockito_8/result.json</x:v>
      </x:c>
      <x:c r="O4215" s="38" t="str">
        <x:f>IF(AND(G4215="RECORDED",ISNUMBER(H4215)),H4215,"")</x:f>
      </x:c>
      <x:c r="P4215" s="34" t="str">
        <x:v>NOT_AVAILABLE</x:v>
      </x:c>
      <x:c r="Q4215" s="34" t="str">
        <x:v>Feedback-Directed Random Test Generation/Result/Mockito_8/result.json</x:v>
      </x:c>
    </x:row>
    <x:row r="4216">
      <x:c r="A4216" s="34" t="str">
        <x:v>randoop</x:v>
      </x:c>
      <x:c r="B4216" s="34" t="str">
        <x:v>Mockito</x:v>
      </x:c>
      <x:c r="C4216" s="34" t="str">
        <x:v>Round1</x:v>
      </x:c>
      <x:c r="D4216" s="34" t="str">
        <x:v>Mockito_9</x:v>
      </x:c>
      <x:c r="E4216" s="34" t="str">
        <x:v>Condition</x:v>
      </x:c>
      <x:c r="F4216" s="34" t="n">
        <x:v>0</x:v>
      </x:c>
      <x:c r="G4216" s="34" t="str">
        <x:v>A</x:v>
      </x:c>
      <x:c r="H4216" s="38" t="str">
        <x:f>IF(ISNUMBER('Data'!I800),'Data'!I800*100,"")</x:f>
      </x:c>
      <x:c r="I4216" s="34"/>
      <x:c r="J4216" s="34" t="str">
        <x:v>FAIL</x:v>
      </x:c>
      <x:c r="K4216" s="34"/>
      <x:c r="L4216" s="34" t="str">
        <x:v>NOT_RUN</x:v>
      </x:c>
      <x:c r="M4216" s="34" t="str">
        <x:v>coverage unavailable or execution/compile failed</x:v>
      </x:c>
      <x:c r="N4216" s="34" t="str">
        <x:v>Feedback-Directed Random Test Generation/Result/Mockito_9/result.json</x:v>
      </x:c>
      <x:c r="O4216" s="38" t="str">
        <x:f>IF(AND(G4216="RECORDED",ISNUMBER(H4216)),H4216,"")</x:f>
      </x:c>
      <x:c r="P4216" s="34" t="str">
        <x:v>NOT_AVAILABLE</x:v>
      </x:c>
      <x:c r="Q4216" s="34" t="str">
        <x:v>Feedback-Directed Random Test Generation/Result/Mockito_9/result.json</x:v>
      </x:c>
    </x:row>
    <x:row r="4217">
      <x:c r="A4217" s="34" t="str">
        <x:v>randoop</x:v>
      </x:c>
      <x:c r="B4217" s="34" t="str">
        <x:v>Mockito</x:v>
      </x:c>
      <x:c r="C4217" s="34" t="str">
        <x:v>Round1</x:v>
      </x:c>
      <x:c r="D4217" s="34" t="str">
        <x:v>Mockito_10</x:v>
      </x:c>
      <x:c r="E4217" s="34" t="str">
        <x:v>Condition</x:v>
      </x:c>
      <x:c r="F4217" s="34" t="n">
        <x:v>8</x:v>
      </x:c>
      <x:c r="G4217" s="34" t="str">
        <x:v>RECORDED</x:v>
      </x:c>
      <x:c r="H4217" s="38" t="n">
        <x:f>IF(ISNUMBER('Data'!I801),'Data'!I801*100,"")</x:f>
        <x:v>0</x:v>
      </x:c>
      <x:c r="I4217" s="34" t="str">
        <x:v>PASS</x:v>
      </x:c>
      <x:c r="J4217" s="34" t="str">
        <x:v>PASS</x:v>
      </x:c>
      <x:c r="K4217" s="34" t="str">
        <x:v>PASS</x:v>
      </x:c>
      <x:c r="L4217" s="34" t="str">
        <x:v>PASS</x:v>
      </x:c>
      <x:c r="M4217" s="34" t="str">
        <x:v>numeric coverage for applicable metric</x:v>
      </x:c>
      <x:c r="N4217" s="34" t="str">
        <x:v>Feedback-Directed Random Test Generation/Result/Mockito_10/result.json</x:v>
      </x:c>
      <x:c r="O4217" s="38" t="n">
        <x:f>IF(AND(G4217="RECORDED",ISNUMBER(H4217)),H4217,"")</x:f>
        <x:v>0</x:v>
      </x:c>
      <x:c r="P4217" s="34" t="str">
        <x:v>NOT_REVEALING</x:v>
      </x:c>
      <x:c r="Q4217" s="34" t="str">
        <x:v>Feedback-Directed Random Test Generation/Result/Mockito_10/result.json</x:v>
      </x:c>
    </x:row>
    <x:row r="4218">
      <x:c r="A4218" s="34" t="str">
        <x:v>randoop</x:v>
      </x:c>
      <x:c r="B4218" s="34" t="str">
        <x:v>Mockito</x:v>
      </x:c>
      <x:c r="C4218" s="34" t="str">
        <x:v>Round1</x:v>
      </x:c>
      <x:c r="D4218" s="34" t="str">
        <x:v>Mockito_11</x:v>
      </x:c>
      <x:c r="E4218" s="34" t="str">
        <x:v>Condition</x:v>
      </x:c>
      <x:c r="F4218" s="34" t="n">
        <x:v>6</x:v>
      </x:c>
      <x:c r="G4218" s="34" t="str">
        <x:v>RECORDED</x:v>
      </x:c>
      <x:c r="H4218" s="38" t="n">
        <x:f>IF(ISNUMBER('Data'!I802),'Data'!I802*100,"")</x:f>
        <x:v>0</x:v>
      </x:c>
      <x:c r="I4218" s="34" t="str">
        <x:v>PASS</x:v>
      </x:c>
      <x:c r="J4218" s="34" t="str">
        <x:v>PASS</x:v>
      </x:c>
      <x:c r="K4218" s="34" t="str">
        <x:v>PASS</x:v>
      </x:c>
      <x:c r="L4218" s="34" t="str">
        <x:v>PASS</x:v>
      </x:c>
      <x:c r="M4218" s="34" t="str">
        <x:v>numeric coverage for applicable metric</x:v>
      </x:c>
      <x:c r="N4218" s="34" t="str">
        <x:v>Feedback-Directed Random Test Generation/Result/Mockito_11/result.json</x:v>
      </x:c>
      <x:c r="O4218" s="38" t="n">
        <x:f>IF(AND(G4218="RECORDED",ISNUMBER(H4218)),H4218,"")</x:f>
        <x:v>0</x:v>
      </x:c>
      <x:c r="P4218" s="34" t="str">
        <x:v>NOT_REVEALING</x:v>
      </x:c>
      <x:c r="Q4218" s="34" t="str">
        <x:v>Feedback-Directed Random Test Generation/Result/Mockito_11/result.json</x:v>
      </x:c>
    </x:row>
    <x:row r="4219">
      <x:c r="A4219" s="34" t="str">
        <x:v>randoop</x:v>
      </x:c>
      <x:c r="B4219" s="34" t="str">
        <x:v>Mockito</x:v>
      </x:c>
      <x:c r="C4219" s="34" t="str">
        <x:v>Round1</x:v>
      </x:c>
      <x:c r="D4219" s="34" t="str">
        <x:v>Mockito_12</x:v>
      </x:c>
      <x:c r="E4219" s="34" t="str">
        <x:v>Condition</x:v>
      </x:c>
      <x:c r="F4219" s="34" t="n">
        <x:v>4</x:v>
      </x:c>
      <x:c r="G4219" s="34" t="str">
        <x:v>RECORDED</x:v>
      </x:c>
      <x:c r="H4219" s="38" t="n">
        <x:f>IF(ISNUMBER('Data'!I803),'Data'!I803*100,"")</x:f>
        <x:v>0</x:v>
      </x:c>
      <x:c r="I4219" s="34" t="str">
        <x:v>PASS</x:v>
      </x:c>
      <x:c r="J4219" s="34" t="str">
        <x:v>PASS</x:v>
      </x:c>
      <x:c r="K4219" s="34" t="str">
        <x:v>PASS</x:v>
      </x:c>
      <x:c r="L4219" s="34" t="str">
        <x:v>PASS</x:v>
      </x:c>
      <x:c r="M4219" s="34" t="str">
        <x:v>numeric coverage for applicable metric</x:v>
      </x:c>
      <x:c r="N4219" s="34" t="str">
        <x:v>Feedback-Directed Random Test Generation/Result/Mockito_12/result.json</x:v>
      </x:c>
      <x:c r="O4219" s="38" t="n">
        <x:f>IF(AND(G4219="RECORDED",ISNUMBER(H4219)),H4219,"")</x:f>
        <x:v>0</x:v>
      </x:c>
      <x:c r="P4219" s="34" t="str">
        <x:v>NOT_REVEALING</x:v>
      </x:c>
      <x:c r="Q4219" s="34" t="str">
        <x:v>Feedback-Directed Random Test Generation/Result/Mockito_12/result.json</x:v>
      </x:c>
    </x:row>
    <x:row r="4220">
      <x:c r="A4220" s="34" t="str">
        <x:v>randoop</x:v>
      </x:c>
      <x:c r="B4220" s="34" t="str">
        <x:v>Mockito</x:v>
      </x:c>
      <x:c r="C4220" s="34" t="str">
        <x:v>Round1</x:v>
      </x:c>
      <x:c r="D4220" s="34" t="str">
        <x:v>Mockito_13</x:v>
      </x:c>
      <x:c r="E4220" s="34" t="str">
        <x:v>Condition</x:v>
      </x:c>
      <x:c r="F4220" s="34" t="n">
        <x:v>10</x:v>
      </x:c>
      <x:c r="G4220" s="34" t="str">
        <x:v>RECORDED</x:v>
      </x:c>
      <x:c r="H4220" s="38" t="n">
        <x:f>IF(ISNUMBER('Data'!I804),'Data'!I804*100,"")</x:f>
        <x:v>10</x:v>
      </x:c>
      <x:c r="I4220" s="34" t="str">
        <x:v>PASS</x:v>
      </x:c>
      <x:c r="J4220" s="34" t="str">
        <x:v>PASS</x:v>
      </x:c>
      <x:c r="K4220" s="34" t="str">
        <x:v>PASS</x:v>
      </x:c>
      <x:c r="L4220" s="34" t="str">
        <x:v>PASS</x:v>
      </x:c>
      <x:c r="M4220" s="34" t="str">
        <x:v>numeric coverage for applicable metric</x:v>
      </x:c>
      <x:c r="N4220" s="34" t="str">
        <x:v>Feedback-Directed Random Test Generation/Result/Mockito_13/result.json</x:v>
      </x:c>
      <x:c r="O4220" s="38" t="n">
        <x:f>IF(AND(G4220="RECORDED",ISNUMBER(H4220)),H4220,"")</x:f>
        <x:v>10</x:v>
      </x:c>
      <x:c r="P4220" s="34" t="str">
        <x:v>NOT_REVEALING</x:v>
      </x:c>
      <x:c r="Q4220" s="34" t="str">
        <x:v>Feedback-Directed Random Test Generation/Result/Mockito_13/result.json</x:v>
      </x:c>
    </x:row>
    <x:row r="4221">
      <x:c r="A4221" s="34" t="str">
        <x:v>randoop</x:v>
      </x:c>
      <x:c r="B4221" s="34" t="str">
        <x:v>Mockito</x:v>
      </x:c>
      <x:c r="C4221" s="34" t="str">
        <x:v>Round1</x:v>
      </x:c>
      <x:c r="D4221" s="34" t="str">
        <x:v>Mockito_14</x:v>
      </x:c>
      <x:c r="E4221" s="34" t="str">
        <x:v>Condition</x:v>
      </x:c>
      <x:c r="F4221" s="34" t="n">
        <x:v>32</x:v>
      </x:c>
      <x:c r="G4221" s="34" t="str">
        <x:v>A</x:v>
      </x:c>
      <x:c r="H4221" s="38" t="n">
        <x:f>IF(ISNUMBER('Data'!I805),'Data'!I805*100,"")</x:f>
        <x:v>50</x:v>
      </x:c>
      <x:c r="I4221" s="34" t="str">
        <x:v>PASS</x:v>
      </x:c>
      <x:c r="J4221" s="34" t="str">
        <x:v>PASS</x:v>
      </x:c>
      <x:c r="K4221" s="34" t="str">
        <x:v>PASS</x:v>
      </x:c>
      <x:c r="L4221" s="34" t="str">
        <x:v>FAIL</x:v>
      </x:c>
      <x:c r="M4221" s="34" t="str">
        <x:v>Latest same-round generation failed; older files/results are excluded</x:v>
      </x:c>
      <x:c r="N4221" s="34" t="str">
        <x:v>Feedback-Directed Random Test Generation/Result/Mockito_14/result.json</x:v>
      </x:c>
      <x:c r="O4221" s="38" t="str">
        <x:f>IF(AND(G4221="RECORDED",ISNUMBER(H4221)),H4221,"")</x:f>
      </x:c>
      <x:c r="P4221" s="34" t="str">
        <x:v>FAIL</x:v>
      </x:c>
      <x:c r="Q4221" s="34" t="str">
        <x:v>Feedback-Directed Random Test Generation/Result/Mockito_14/result.json</x:v>
      </x:c>
    </x:row>
    <x:row r="4222">
      <x:c r="A4222" s="34" t="str">
        <x:v>randoop</x:v>
      </x:c>
      <x:c r="B4222" s="34" t="str">
        <x:v>Mockito</x:v>
      </x:c>
      <x:c r="C4222" s="34" t="str">
        <x:v>Round1</x:v>
      </x:c>
      <x:c r="D4222" s="34" t="str">
        <x:v>Mockito_15</x:v>
      </x:c>
      <x:c r="E4222" s="34" t="str">
        <x:v>Condition</x:v>
      </x:c>
      <x:c r="F4222" s="34" t="n">
        <x:v>2</x:v>
      </x:c>
      <x:c r="G4222" s="34" t="str">
        <x:v>RECORDED</x:v>
      </x:c>
      <x:c r="H4222" s="38" t="n">
        <x:f>IF(ISNUMBER('Data'!I806),'Data'!I806*100,"")</x:f>
        <x:v>50</x:v>
      </x:c>
      <x:c r="I4222" s="34" t="str">
        <x:v>PASS</x:v>
      </x:c>
      <x:c r="J4222" s="34" t="str">
        <x:v>PASS</x:v>
      </x:c>
      <x:c r="K4222" s="34" t="str">
        <x:v>PASS</x:v>
      </x:c>
      <x:c r="L4222" s="34" t="str">
        <x:v>PASS</x:v>
      </x:c>
      <x:c r="M4222" s="34" t="str">
        <x:v>numeric coverage for applicable metric</x:v>
      </x:c>
      <x:c r="N4222" s="34" t="str">
        <x:v>Feedback-Directed Random Test Generation/Result/Mockito_15/result.json</x:v>
      </x:c>
      <x:c r="O4222" s="38" t="n">
        <x:f>IF(AND(G4222="RECORDED",ISNUMBER(H4222)),H4222,"")</x:f>
        <x:v>50</x:v>
      </x:c>
      <x:c r="P4222" s="34" t="str">
        <x:v>NOT_REVEALING</x:v>
      </x:c>
      <x:c r="Q4222" s="34" t="str">
        <x:v>Feedback-Directed Random Test Generation/Result/Mockito_15/result.json</x:v>
      </x:c>
    </x:row>
    <x:row r="4223">
      <x:c r="A4223" s="34" t="str">
        <x:v>randoop</x:v>
      </x:c>
      <x:c r="B4223" s="34" t="str">
        <x:v>Mockito</x:v>
      </x:c>
      <x:c r="C4223" s="34" t="str">
        <x:v>Round1</x:v>
      </x:c>
      <x:c r="D4223" s="34" t="str">
        <x:v>Mockito_16</x:v>
      </x:c>
      <x:c r="E4223" s="34" t="str">
        <x:v>Condition</x:v>
      </x:c>
      <x:c r="F4223" s="34" t="n">
        <x:v>26</x:v>
      </x:c>
      <x:c r="G4223" s="34" t="str">
        <x:v>A</x:v>
      </x:c>
      <x:c r="H4223" s="38" t="n">
        <x:f>IF(ISNUMBER('Data'!I807),'Data'!I807*100,"")</x:f>
        <x:v>61.53999999999999</x:v>
      </x:c>
      <x:c r="I4223" s="34" t="str">
        <x:v>PASS</x:v>
      </x:c>
      <x:c r="J4223" s="34" t="str">
        <x:v>PASS</x:v>
      </x:c>
      <x:c r="K4223" s="34" t="str">
        <x:v>PASS</x:v>
      </x:c>
      <x:c r="L4223" s="34" t="str">
        <x:v>FAIL</x:v>
      </x:c>
      <x:c r="M4223" s="34" t="str">
        <x:v>Latest same-round generation failed; older files/results are excluded</x:v>
      </x:c>
      <x:c r="N4223" s="34" t="str">
        <x:v>Feedback-Directed Random Test Generation/Result/Mockito_16/result.json</x:v>
      </x:c>
      <x:c r="O4223" s="38" t="str">
        <x:f>IF(AND(G4223="RECORDED",ISNUMBER(H4223)),H4223,"")</x:f>
      </x:c>
      <x:c r="P4223" s="34" t="str">
        <x:v>FAIL</x:v>
      </x:c>
      <x:c r="Q4223" s="34" t="str">
        <x:v>Feedback-Directed Random Test Generation/Result/Mockito_16/result.json</x:v>
      </x:c>
    </x:row>
    <x:row r="4224">
      <x:c r="A4224" s="34" t="str">
        <x:v>randoop</x:v>
      </x:c>
      <x:c r="B4224" s="34" t="str">
        <x:v>Mockito</x:v>
      </x:c>
      <x:c r="C4224" s="34" t="str">
        <x:v>Round1</x:v>
      </x:c>
      <x:c r="D4224" s="34" t="str">
        <x:v>Mockito_17</x:v>
      </x:c>
      <x:c r="E4224" s="34" t="str">
        <x:v>Condition</x:v>
      </x:c>
      <x:c r="F4224" s="34" t="n">
        <x:v>32</x:v>
      </x:c>
      <x:c r="G4224" s="34" t="str">
        <x:v>RECORDED</x:v>
      </x:c>
      <x:c r="H4224" s="38" t="n">
        <x:f>IF(ISNUMBER('Data'!I808),'Data'!I808*100,"")</x:f>
        <x:v>46.88</x:v>
      </x:c>
      <x:c r="I4224" s="34" t="str">
        <x:v>PASS</x:v>
      </x:c>
      <x:c r="J4224" s="34" t="str">
        <x:v>PASS</x:v>
      </x:c>
      <x:c r="K4224" s="34" t="str">
        <x:v>PASS</x:v>
      </x:c>
      <x:c r="L4224" s="34" t="str">
        <x:v>PASS</x:v>
      </x:c>
      <x:c r="M4224" s="34" t="str">
        <x:v>numeric coverage for applicable metric</x:v>
      </x:c>
      <x:c r="N4224" s="34" t="str">
        <x:v>Feedback-Directed Random Test Generation/Result/Mockito_17/result.json</x:v>
      </x:c>
      <x:c r="O4224" s="38" t="n">
        <x:f>IF(AND(G4224="RECORDED",ISNUMBER(H4224)),H4224,"")</x:f>
        <x:v>46.88</x:v>
      </x:c>
      <x:c r="P4224" s="34" t="str">
        <x:v>INCONCLUSIVE</x:v>
      </x:c>
      <x:c r="Q4224" s="34" t="str">
        <x:v>Feedback-Directed Random Test Generation/Result/Mockito_17/result.json</x:v>
      </x:c>
    </x:row>
    <x:row r="4225">
      <x:c r="A4225" s="34" t="str">
        <x:v>randoop</x:v>
      </x:c>
      <x:c r="B4225" s="34" t="str">
        <x:v>Mockito</x:v>
      </x:c>
      <x:c r="C4225" s="34" t="str">
        <x:v>Round1</x:v>
      </x:c>
      <x:c r="D4225" s="34" t="str">
        <x:v>Mockito_18</x:v>
      </x:c>
      <x:c r="E4225" s="34" t="str">
        <x:v>Condition</x:v>
      </x:c>
      <x:c r="F4225" s="34" t="n">
        <x:v>0</x:v>
      </x:c>
      <x:c r="G4225" s="34" t="str">
        <x:v>A</x:v>
      </x:c>
      <x:c r="H4225" s="38" t="str">
        <x:f>IF(ISNUMBER('Data'!I809),'Data'!I809*100,"")</x:f>
      </x:c>
      <x:c r="I4225" s="34"/>
      <x:c r="J4225" s="34" t="str">
        <x:v>FAIL</x:v>
      </x:c>
      <x:c r="K4225" s="34"/>
      <x:c r="L4225" s="34" t="str">
        <x:v>NOT_RUN</x:v>
      </x:c>
      <x:c r="M4225" s="34" t="str">
        <x:v>coverage unavailable or execution/compile failed</x:v>
      </x:c>
      <x:c r="N4225" s="34" t="str">
        <x:v>Feedback-Directed Random Test Generation/Result/Mockito_18/result.json</x:v>
      </x:c>
      <x:c r="O4225" s="38" t="str">
        <x:f>IF(AND(G4225="RECORDED",ISNUMBER(H4225)),H4225,"")</x:f>
      </x:c>
      <x:c r="P4225" s="34" t="str">
        <x:v>NOT_AVAILABLE</x:v>
      </x:c>
      <x:c r="Q4225" s="34" t="str">
        <x:v>Feedback-Directed Random Test Generation/Result/Mockito_18/result.json</x:v>
      </x:c>
    </x:row>
    <x:row r="4226">
      <x:c r="A4226" s="34" t="str">
        <x:v>randoop</x:v>
      </x:c>
      <x:c r="B4226" s="34" t="str">
        <x:v>Mockito</x:v>
      </x:c>
      <x:c r="C4226" s="34" t="str">
        <x:v>Round1</x:v>
      </x:c>
      <x:c r="D4226" s="34" t="str">
        <x:v>Mockito_19</x:v>
      </x:c>
      <x:c r="E4226" s="34" t="str">
        <x:v>Condition</x:v>
      </x:c>
      <x:c r="F4226" s="34" t="n">
        <x:v>0</x:v>
      </x:c>
      <x:c r="G4226" s="34" t="str">
        <x:v>A</x:v>
      </x:c>
      <x:c r="H4226" s="38" t="str">
        <x:f>IF(ISNUMBER('Data'!I810),'Data'!I810*100,"")</x:f>
      </x:c>
      <x:c r="I4226" s="34"/>
      <x:c r="J4226" s="34" t="str">
        <x:v>FAIL</x:v>
      </x:c>
      <x:c r="K4226" s="34"/>
      <x:c r="L4226" s="34" t="str">
        <x:v>NOT_RUN</x:v>
      </x:c>
      <x:c r="M4226" s="34" t="str">
        <x:v>coverage unavailable or execution/compile failed</x:v>
      </x:c>
      <x:c r="N4226" s="34" t="str">
        <x:v>Feedback-Directed Random Test Generation/Result/Mockito_19/result.json</x:v>
      </x:c>
      <x:c r="O4226" s="38" t="str">
        <x:f>IF(AND(G4226="RECORDED",ISNUMBER(H4226)),H4226,"")</x:f>
      </x:c>
      <x:c r="P4226" s="34" t="str">
        <x:v>NOT_AVAILABLE</x:v>
      </x:c>
      <x:c r="Q4226" s="34" t="str">
        <x:v>Feedback-Directed Random Test Generation/Result/Mockito_19/result.json</x:v>
      </x:c>
    </x:row>
    <x:row r="4227">
      <x:c r="A4227" s="34" t="str">
        <x:v>randoop</x:v>
      </x:c>
      <x:c r="B4227" s="34" t="str">
        <x:v>Mockito</x:v>
      </x:c>
      <x:c r="C4227" s="34" t="str">
        <x:v>Round1</x:v>
      </x:c>
      <x:c r="D4227" s="34" t="str">
        <x:v>Mockito_20</x:v>
      </x:c>
      <x:c r="E4227" s="34" t="str">
        <x:v>Condition</x:v>
      </x:c>
      <x:c r="F4227" s="34" t="n">
        <x:v>0</x:v>
      </x:c>
      <x:c r="G4227" s="34" t="str">
        <x:v>A</x:v>
      </x:c>
      <x:c r="H4227" s="38" t="str">
        <x:f>IF(ISNUMBER('Data'!I811),'Data'!I811*100,"")</x:f>
      </x:c>
      <x:c r="I4227" s="34"/>
      <x:c r="J4227" s="34" t="str">
        <x:v>FAIL</x:v>
      </x:c>
      <x:c r="K4227" s="34"/>
      <x:c r="L4227" s="34" t="str">
        <x:v>NOT_RUN</x:v>
      </x:c>
      <x:c r="M4227" s="34" t="str">
        <x:v>coverage unavailable or execution/compile failed</x:v>
      </x:c>
      <x:c r="N4227" s="34" t="str">
        <x:v>Feedback-Directed Random Test Generation/Result/Mockito_20/result.json</x:v>
      </x:c>
      <x:c r="O4227" s="38" t="str">
        <x:f>IF(AND(G4227="RECORDED",ISNUMBER(H4227)),H4227,"")</x:f>
      </x:c>
      <x:c r="P4227" s="34" t="str">
        <x:v>NOT_AVAILABLE</x:v>
      </x:c>
      <x:c r="Q4227" s="34" t="str">
        <x:v>Feedback-Directed Random Test Generation/Result/Mockito_20/result.json</x:v>
      </x:c>
    </x:row>
    <x:row r="4228">
      <x:c r="A4228" s="34" t="str">
        <x:v>randoop</x:v>
      </x:c>
      <x:c r="B4228" s="34" t="str">
        <x:v>Mockito</x:v>
      </x:c>
      <x:c r="C4228" s="34" t="str">
        <x:v>Round1</x:v>
      </x:c>
      <x:c r="D4228" s="34" t="str">
        <x:v>Mockito_21</x:v>
      </x:c>
      <x:c r="E4228" s="34" t="str">
        <x:v>Condition</x:v>
      </x:c>
      <x:c r="F4228" s="34" t="n">
        <x:v>2</x:v>
      </x:c>
      <x:c r="G4228" s="34" t="str">
        <x:v>RECORDED</x:v>
      </x:c>
      <x:c r="H4228" s="38" t="n">
        <x:f>IF(ISNUMBER('Data'!I812),'Data'!I812*100,"")</x:f>
        <x:v>0</x:v>
      </x:c>
      <x:c r="I4228" s="34" t="str">
        <x:v>PASS</x:v>
      </x:c>
      <x:c r="J4228" s="34" t="str">
        <x:v>PASS</x:v>
      </x:c>
      <x:c r="K4228" s="34" t="str">
        <x:v>PASS</x:v>
      </x:c>
      <x:c r="L4228" s="34" t="str">
        <x:v>PASS</x:v>
      </x:c>
      <x:c r="M4228" s="34" t="str">
        <x:v>numeric coverage for applicable metric</x:v>
      </x:c>
      <x:c r="N4228" s="34" t="str">
        <x:v>Feedback-Directed Random Test Generation/Result/Mockito_21/result.json</x:v>
      </x:c>
      <x:c r="O4228" s="38" t="n">
        <x:f>IF(AND(G4228="RECORDED",ISNUMBER(H4228)),H4228,"")</x:f>
        <x:v>0</x:v>
      </x:c>
      <x:c r="P4228" s="34" t="str">
        <x:v>NOT_REVEALING</x:v>
      </x:c>
      <x:c r="Q4228" s="34" t="str">
        <x:v>Feedback-Directed Random Test Generation/Result/Mockito_21/result.json</x:v>
      </x:c>
    </x:row>
    <x:row r="4229">
      <x:c r="A4229" s="34" t="str">
        <x:v>randoop</x:v>
      </x:c>
      <x:c r="B4229" s="34" t="str">
        <x:v>Mockito</x:v>
      </x:c>
      <x:c r="C4229" s="34" t="str">
        <x:v>Round1</x:v>
      </x:c>
      <x:c r="D4229" s="34" t="str">
        <x:v>Mockito_22</x:v>
      </x:c>
      <x:c r="E4229" s="34" t="str">
        <x:v>Condition</x:v>
      </x:c>
      <x:c r="F4229" s="34" t="n">
        <x:v>24</x:v>
      </x:c>
      <x:c r="G4229" s="34" t="str">
        <x:v>RECORDED</x:v>
      </x:c>
      <x:c r="H4229" s="38" t="n">
        <x:f>IF(ISNUMBER('Data'!I813),'Data'!I813*100,"")</x:f>
        <x:v>33.33</x:v>
      </x:c>
      <x:c r="I4229" s="34" t="str">
        <x:v>PASS</x:v>
      </x:c>
      <x:c r="J4229" s="34" t="str">
        <x:v>PASS</x:v>
      </x:c>
      <x:c r="K4229" s="34" t="str">
        <x:v>PASS</x:v>
      </x:c>
      <x:c r="L4229" s="34" t="str">
        <x:v>PASS</x:v>
      </x:c>
      <x:c r="M4229" s="34" t="str">
        <x:v>numeric coverage for applicable metric</x:v>
      </x:c>
      <x:c r="N4229" s="34" t="str">
        <x:v>Feedback-Directed Random Test Generation/Result/Mockito_22/result.json</x:v>
      </x:c>
      <x:c r="O4229" s="38" t="n">
        <x:f>IF(AND(G4229="RECORDED",ISNUMBER(H4229)),H4229,"")</x:f>
        <x:v>33.33</x:v>
      </x:c>
      <x:c r="P4229" s="34" t="str">
        <x:v>NOT_REVEALING</x:v>
      </x:c>
      <x:c r="Q4229" s="34" t="str">
        <x:v>Feedback-Directed Random Test Generation/Result/Mockito_22/result.json</x:v>
      </x:c>
    </x:row>
    <x:row r="4230">
      <x:c r="A4230" s="34" t="str">
        <x:v>randoop</x:v>
      </x:c>
      <x:c r="B4230" s="34" t="str">
        <x:v>Mockito</x:v>
      </x:c>
      <x:c r="C4230" s="34" t="str">
        <x:v>Round1</x:v>
      </x:c>
      <x:c r="D4230" s="34" t="str">
        <x:v>Mockito_23</x:v>
      </x:c>
      <x:c r="E4230" s="34" t="str">
        <x:v>Condition</x:v>
      </x:c>
      <x:c r="F4230" s="34" t="n">
        <x:v>8</x:v>
      </x:c>
      <x:c r="G4230" s="34" t="str">
        <x:v>RECORDED</x:v>
      </x:c>
      <x:c r="H4230" s="38" t="n">
        <x:f>IF(ISNUMBER('Data'!I814),'Data'!I814*100,"")</x:f>
        <x:v>0</x:v>
      </x:c>
      <x:c r="I4230" s="34" t="str">
        <x:v>PASS</x:v>
      </x:c>
      <x:c r="J4230" s="34" t="str">
        <x:v>PASS</x:v>
      </x:c>
      <x:c r="K4230" s="34" t="str">
        <x:v>PASS</x:v>
      </x:c>
      <x:c r="L4230" s="34" t="str">
        <x:v>PASS</x:v>
      </x:c>
      <x:c r="M4230" s="34" t="str">
        <x:v>numeric coverage for applicable metric</x:v>
      </x:c>
      <x:c r="N4230" s="34" t="str">
        <x:v>Feedback-Directed Random Test Generation/Result/Mockito_23/result.json</x:v>
      </x:c>
      <x:c r="O4230" s="38" t="n">
        <x:f>IF(AND(G4230="RECORDED",ISNUMBER(H4230)),H4230,"")</x:f>
        <x:v>0</x:v>
      </x:c>
      <x:c r="P4230" s="34" t="str">
        <x:v>NOT_REVEALING</x:v>
      </x:c>
      <x:c r="Q4230" s="34" t="str">
        <x:v>Feedback-Directed Random Test Generation/Result/Mockito_23/result.json</x:v>
      </x:c>
    </x:row>
    <x:row r="4231">
      <x:c r="A4231" s="34" t="str">
        <x:v>randoop</x:v>
      </x:c>
      <x:c r="B4231" s="34" t="str">
        <x:v>Mockito</x:v>
      </x:c>
      <x:c r="C4231" s="34" t="str">
        <x:v>Round1</x:v>
      </x:c>
      <x:c r="D4231" s="34" t="str">
        <x:v>Mockito_24</x:v>
      </x:c>
      <x:c r="E4231" s="34" t="str">
        <x:v>Condition</x:v>
      </x:c>
      <x:c r="F4231" s="34" t="n">
        <x:v>36</x:v>
      </x:c>
      <x:c r="G4231" s="34" t="str">
        <x:v>RECORDED</x:v>
      </x:c>
      <x:c r="H4231" s="38" t="n">
        <x:f>IF(ISNUMBER('Data'!I815),'Data'!I815*100,"")</x:f>
        <x:v>0</x:v>
      </x:c>
      <x:c r="I4231" s="34" t="str">
        <x:v>PASS</x:v>
      </x:c>
      <x:c r="J4231" s="34" t="str">
        <x:v>PASS</x:v>
      </x:c>
      <x:c r="K4231" s="34" t="str">
        <x:v>PASS</x:v>
      </x:c>
      <x:c r="L4231" s="34" t="str">
        <x:v>PASS</x:v>
      </x:c>
      <x:c r="M4231" s="34" t="str">
        <x:v>numeric coverage for applicable metric</x:v>
      </x:c>
      <x:c r="N4231" s="34" t="str">
        <x:v>Feedback-Directed Random Test Generation/Result/Mockito_24/result.json</x:v>
      </x:c>
      <x:c r="O4231" s="38" t="n">
        <x:f>IF(AND(G4231="RECORDED",ISNUMBER(H4231)),H4231,"")</x:f>
        <x:v>0</x:v>
      </x:c>
      <x:c r="P4231" s="34" t="str">
        <x:v>NOT_REVEALING</x:v>
      </x:c>
      <x:c r="Q4231" s="34" t="str">
        <x:v>Feedback-Directed Random Test Generation/Result/Mockito_24/result.json</x:v>
      </x:c>
    </x:row>
    <x:row r="4232">
      <x:c r="A4232" s="34" t="str">
        <x:v>randoop</x:v>
      </x:c>
      <x:c r="B4232" s="34" t="str">
        <x:v>Mockito</x:v>
      </x:c>
      <x:c r="C4232" s="34" t="str">
        <x:v>Round1</x:v>
      </x:c>
      <x:c r="D4232" s="34" t="str">
        <x:v>Mockito_25</x:v>
      </x:c>
      <x:c r="E4232" s="34" t="str">
        <x:v>Condition</x:v>
      </x:c>
      <x:c r="F4232" s="34" t="n">
        <x:v>6</x:v>
      </x:c>
      <x:c r="G4232" s="34" t="str">
        <x:v>RECORDED</x:v>
      </x:c>
      <x:c r="H4232" s="38" t="n">
        <x:f>IF(ISNUMBER('Data'!I816),'Data'!I816*100,"")</x:f>
        <x:v>0</x:v>
      </x:c>
      <x:c r="I4232" s="34" t="str">
        <x:v>PASS</x:v>
      </x:c>
      <x:c r="J4232" s="34" t="str">
        <x:v>PASS</x:v>
      </x:c>
      <x:c r="K4232" s="34" t="str">
        <x:v>PASS</x:v>
      </x:c>
      <x:c r="L4232" s="34" t="str">
        <x:v>PASS</x:v>
      </x:c>
      <x:c r="M4232" s="34" t="str">
        <x:v>numeric coverage for applicable metric</x:v>
      </x:c>
      <x:c r="N4232" s="34" t="str">
        <x:v>Feedback-Directed Random Test Generation/Result/Mockito_25/result.json</x:v>
      </x:c>
      <x:c r="O4232" s="38" t="n">
        <x:f>IF(AND(G4232="RECORDED",ISNUMBER(H4232)),H4232,"")</x:f>
        <x:v>0</x:v>
      </x:c>
      <x:c r="P4232" s="34" t="str">
        <x:v>NOT_REVEALING</x:v>
      </x:c>
      <x:c r="Q4232" s="34" t="str">
        <x:v>Feedback-Directed Random Test Generation/Result/Mockito_25/result.json</x:v>
      </x:c>
    </x:row>
    <x:row r="4233">
      <x:c r="A4233" s="34" t="str">
        <x:v>randoop</x:v>
      </x:c>
      <x:c r="B4233" s="34" t="str">
        <x:v>Mockito</x:v>
      </x:c>
      <x:c r="C4233" s="34" t="str">
        <x:v>Round1</x:v>
      </x:c>
      <x:c r="D4233" s="34" t="str">
        <x:v>Mockito_26</x:v>
      </x:c>
      <x:c r="E4233" s="34" t="str">
        <x:v>Condition</x:v>
      </x:c>
      <x:c r="F4233" s="34" t="n">
        <x:v>2</x:v>
      </x:c>
      <x:c r="G4233" s="34" t="str">
        <x:v>RECORDED</x:v>
      </x:c>
      <x:c r="H4233" s="38" t="n">
        <x:f>IF(ISNUMBER('Data'!I817),'Data'!I817*100,"")</x:f>
        <x:v>0</x:v>
      </x:c>
      <x:c r="I4233" s="34" t="str">
        <x:v>PASS</x:v>
      </x:c>
      <x:c r="J4233" s="34" t="str">
        <x:v>PASS</x:v>
      </x:c>
      <x:c r="K4233" s="34" t="str">
        <x:v>PASS</x:v>
      </x:c>
      <x:c r="L4233" s="34" t="str">
        <x:v>PASS</x:v>
      </x:c>
      <x:c r="M4233" s="34" t="str">
        <x:v>numeric coverage for applicable metric</x:v>
      </x:c>
      <x:c r="N4233" s="34" t="str">
        <x:v>Feedback-Directed Random Test Generation/Result/Mockito_26/result.json</x:v>
      </x:c>
      <x:c r="O4233" s="38" t="n">
        <x:f>IF(AND(G4233="RECORDED",ISNUMBER(H4233)),H4233,"")</x:f>
        <x:v>0</x:v>
      </x:c>
      <x:c r="P4233" s="34" t="str">
        <x:v>NOT_REVEALING</x:v>
      </x:c>
      <x:c r="Q4233" s="34" t="str">
        <x:v>Feedback-Directed Random Test Generation/Result/Mockito_26/result.json</x:v>
      </x:c>
    </x:row>
    <x:row r="4234">
      <x:c r="A4234" s="34" t="str">
        <x:v>randoop</x:v>
      </x:c>
      <x:c r="B4234" s="34" t="str">
        <x:v>Mockito</x:v>
      </x:c>
      <x:c r="C4234" s="34" t="str">
        <x:v>Round1</x:v>
      </x:c>
      <x:c r="D4234" s="34" t="str">
        <x:v>Mockito_27</x:v>
      </x:c>
      <x:c r="E4234" s="34" t="str">
        <x:v>Condition</x:v>
      </x:c>
      <x:c r="F4234" s="34" t="n">
        <x:v>22</x:v>
      </x:c>
      <x:c r="G4234" s="34" t="str">
        <x:v>RECORDED</x:v>
      </x:c>
      <x:c r="H4234" s="38" t="n">
        <x:f>IF(ISNUMBER('Data'!I818),'Data'!I818*100,"")</x:f>
        <x:v>31.819999999999997</x:v>
      </x:c>
      <x:c r="I4234" s="34" t="str">
        <x:v>PASS</x:v>
      </x:c>
      <x:c r="J4234" s="34" t="str">
        <x:v>PASS</x:v>
      </x:c>
      <x:c r="K4234" s="34" t="str">
        <x:v>PASS</x:v>
      </x:c>
      <x:c r="L4234" s="34" t="str">
        <x:v>PASS</x:v>
      </x:c>
      <x:c r="M4234" s="34" t="str">
        <x:v>numeric coverage for applicable metric</x:v>
      </x:c>
      <x:c r="N4234" s="34" t="str">
        <x:v>Feedback-Directed Random Test Generation/Result/Mockito_27/result.json</x:v>
      </x:c>
      <x:c r="O4234" s="38" t="n">
        <x:f>IF(AND(G4234="RECORDED",ISNUMBER(H4234)),H4234,"")</x:f>
        <x:v>31.819999999999997</x:v>
      </x:c>
      <x:c r="P4234" s="34" t="str">
        <x:v>NOT_REVEALING</x:v>
      </x:c>
      <x:c r="Q4234" s="34" t="str">
        <x:v>Feedback-Directed Random Test Generation/Result/Mockito_27/result.json</x:v>
      </x:c>
    </x:row>
    <x:row r="4235">
      <x:c r="A4235" s="34" t="str">
        <x:v>randoop</x:v>
      </x:c>
      <x:c r="B4235" s="34" t="str">
        <x:v>Mockito</x:v>
      </x:c>
      <x:c r="C4235" s="34" t="str">
        <x:v>Round1</x:v>
      </x:c>
      <x:c r="D4235" s="34" t="str">
        <x:v>Mockito_28</x:v>
      </x:c>
      <x:c r="E4235" s="34" t="str">
        <x:v>Condition</x:v>
      </x:c>
      <x:c r="F4235" s="34" t="n">
        <x:v>10</x:v>
      </x:c>
      <x:c r="G4235" s="34" t="str">
        <x:v>RECORDED</x:v>
      </x:c>
      <x:c r="H4235" s="38" t="n">
        <x:f>IF(ISNUMBER('Data'!I819),'Data'!I819*100,"")</x:f>
        <x:v>10</x:v>
      </x:c>
      <x:c r="I4235" s="34" t="str">
        <x:v>PASS</x:v>
      </x:c>
      <x:c r="J4235" s="34" t="str">
        <x:v>PASS</x:v>
      </x:c>
      <x:c r="K4235" s="34" t="str">
        <x:v>PASS</x:v>
      </x:c>
      <x:c r="L4235" s="34" t="str">
        <x:v>PASS</x:v>
      </x:c>
      <x:c r="M4235" s="34" t="str">
        <x:v>numeric coverage for applicable metric</x:v>
      </x:c>
      <x:c r="N4235" s="34" t="str">
        <x:v>Feedback-Directed Random Test Generation/Result/Mockito_28/result.json</x:v>
      </x:c>
      <x:c r="O4235" s="38" t="n">
        <x:f>IF(AND(G4235="RECORDED",ISNUMBER(H4235)),H4235,"")</x:f>
        <x:v>10</x:v>
      </x:c>
      <x:c r="P4235" s="34" t="str">
        <x:v>NOT_REVEALING</x:v>
      </x:c>
      <x:c r="Q4235" s="34" t="str">
        <x:v>Feedback-Directed Random Test Generation/Result/Mockito_28/result.json</x:v>
      </x:c>
    </x:row>
    <x:row r="4236">
      <x:c r="A4236" s="34" t="str">
        <x:v>randoop</x:v>
      </x:c>
      <x:c r="B4236" s="34" t="str">
        <x:v>Mockito</x:v>
      </x:c>
      <x:c r="C4236" s="34" t="str">
        <x:v>Round1</x:v>
      </x:c>
      <x:c r="D4236" s="34" t="str">
        <x:v>Mockito_29</x:v>
      </x:c>
      <x:c r="E4236" s="34" t="str">
        <x:v>Condition</x:v>
      </x:c>
      <x:c r="F4236" s="34" t="n">
        <x:v>6</x:v>
      </x:c>
      <x:c r="G4236" s="34" t="str">
        <x:v>RECORDED</x:v>
      </x:c>
      <x:c r="H4236" s="38" t="n">
        <x:f>IF(ISNUMBER('Data'!I820),'Data'!I820*100,"")</x:f>
        <x:v>83.33</x:v>
      </x:c>
      <x:c r="I4236" s="34" t="str">
        <x:v>PASS</x:v>
      </x:c>
      <x:c r="J4236" s="34" t="str">
        <x:v>PASS</x:v>
      </x:c>
      <x:c r="K4236" s="34" t="str">
        <x:v>PASS</x:v>
      </x:c>
      <x:c r="L4236" s="34" t="str">
        <x:v>PASS</x:v>
      </x:c>
      <x:c r="M4236" s="34" t="str">
        <x:v>numeric coverage for applicable metric</x:v>
      </x:c>
      <x:c r="N4236" s="34" t="str">
        <x:v>Feedback-Directed Random Test Generation/Result/Mockito_29/result.json</x:v>
      </x:c>
      <x:c r="O4236" s="38" t="n">
        <x:f>IF(AND(G4236="RECORDED",ISNUMBER(H4236)),H4236,"")</x:f>
        <x:v>83.33</x:v>
      </x:c>
      <x:c r="P4236" s="34" t="str">
        <x:v>NOT_REVEALING</x:v>
      </x:c>
      <x:c r="Q4236" s="34" t="str">
        <x:v>Feedback-Directed Random Test Generation/Result/Mockito_29/result.json</x:v>
      </x:c>
    </x:row>
    <x:row r="4237">
      <x:c r="A4237" s="34" t="str">
        <x:v>randoop</x:v>
      </x:c>
      <x:c r="B4237" s="34" t="str">
        <x:v>Mockito</x:v>
      </x:c>
      <x:c r="C4237" s="34" t="str">
        <x:v>Round1</x:v>
      </x:c>
      <x:c r="D4237" s="34" t="str">
        <x:v>Mockito_30</x:v>
      </x:c>
      <x:c r="E4237" s="34" t="str">
        <x:v>Condition</x:v>
      </x:c>
      <x:c r="F4237" s="34" t="n">
        <x:v>14</x:v>
      </x:c>
      <x:c r="G4237" s="34" t="str">
        <x:v>RECORDED</x:v>
      </x:c>
      <x:c r="H4237" s="38" t="n">
        <x:f>IF(ISNUMBER('Data'!I821),'Data'!I821*100,"")</x:f>
        <x:v>7.139999999999999</x:v>
      </x:c>
      <x:c r="I4237" s="34" t="str">
        <x:v>PASS</x:v>
      </x:c>
      <x:c r="J4237" s="34" t="str">
        <x:v>PASS</x:v>
      </x:c>
      <x:c r="K4237" s="34" t="str">
        <x:v>PASS</x:v>
      </x:c>
      <x:c r="L4237" s="34" t="str">
        <x:v>FAIL</x:v>
      </x:c>
      <x:c r="M4237" s="34" t="str">
        <x:v>numeric coverage for applicable metric</x:v>
      </x:c>
      <x:c r="N4237" s="34" t="str">
        <x:v>Feedback-Directed Random Test Generation/Result/Mockito_30/result.json</x:v>
      </x:c>
      <x:c r="O4237" s="38" t="n">
        <x:f>IF(AND(G4237="RECORDED",ISNUMBER(H4237)),H4237,"")</x:f>
        <x:v>7.139999999999999</x:v>
      </x:c>
      <x:c r="P4237" s="34" t="str">
        <x:v>NOT_AVAILABLE</x:v>
      </x:c>
      <x:c r="Q4237" s="34" t="str">
        <x:v>Feedback-Directed Random Test Generation/Result/Mockito_30/result.json</x:v>
      </x:c>
    </x:row>
    <x:row r="4238">
      <x:c r="A4238" s="34" t="str">
        <x:v>randoop</x:v>
      </x:c>
      <x:c r="B4238" s="34" t="str">
        <x:v>Mockito</x:v>
      </x:c>
      <x:c r="C4238" s="34" t="str">
        <x:v>Round1</x:v>
      </x:c>
      <x:c r="D4238" s="34" t="str">
        <x:v>Mockito_31</x:v>
      </x:c>
      <x:c r="E4238" s="34" t="str">
        <x:v>Condition</x:v>
      </x:c>
      <x:c r="F4238" s="34" t="n">
        <x:v>6</x:v>
      </x:c>
      <x:c r="G4238" s="34" t="str">
        <x:v>RECORDED</x:v>
      </x:c>
      <x:c r="H4238" s="38" t="n">
        <x:f>IF(ISNUMBER('Data'!I822),'Data'!I822*100,"")</x:f>
        <x:v>0</x:v>
      </x:c>
      <x:c r="I4238" s="34" t="str">
        <x:v>PASS</x:v>
      </x:c>
      <x:c r="J4238" s="34" t="str">
        <x:v>PASS</x:v>
      </x:c>
      <x:c r="K4238" s="34" t="str">
        <x:v>PASS</x:v>
      </x:c>
      <x:c r="L4238" s="34" t="str">
        <x:v>PASS</x:v>
      </x:c>
      <x:c r="M4238" s="34" t="str">
        <x:v>numeric coverage for applicable metric</x:v>
      </x:c>
      <x:c r="N4238" s="34" t="str">
        <x:v>Feedback-Directed Random Test Generation/Result/Mockito_31/result.json</x:v>
      </x:c>
      <x:c r="O4238" s="38" t="n">
        <x:f>IF(AND(G4238="RECORDED",ISNUMBER(H4238)),H4238,"")</x:f>
        <x:v>0</x:v>
      </x:c>
      <x:c r="P4238" s="34" t="str">
        <x:v>NOT_REVEALING</x:v>
      </x:c>
      <x:c r="Q4238" s="34" t="str">
        <x:v>Feedback-Directed Random Test Generation/Result/Mockito_31/result.json</x:v>
      </x:c>
    </x:row>
    <x:row r="4239">
      <x:c r="A4239" s="34" t="str">
        <x:v>randoop</x:v>
      </x:c>
      <x:c r="B4239" s="34" t="str">
        <x:v>Mockito</x:v>
      </x:c>
      <x:c r="C4239" s="34" t="str">
        <x:v>Round1</x:v>
      </x:c>
      <x:c r="D4239" s="34" t="str">
        <x:v>Mockito_32</x:v>
      </x:c>
      <x:c r="E4239" s="34" t="str">
        <x:v>Condition</x:v>
      </x:c>
      <x:c r="F4239" s="34" t="n">
        <x:v>12</x:v>
      </x:c>
      <x:c r="G4239" s="34" t="str">
        <x:v>RECORDED</x:v>
      </x:c>
      <x:c r="H4239" s="38" t="n">
        <x:f>IF(ISNUMBER('Data'!I823),'Data'!I823*100,"")</x:f>
        <x:v>0</x:v>
      </x:c>
      <x:c r="I4239" s="34" t="str">
        <x:v>PASS</x:v>
      </x:c>
      <x:c r="J4239" s="34" t="str">
        <x:v>PASS</x:v>
      </x:c>
      <x:c r="K4239" s="34" t="str">
        <x:v>PASS</x:v>
      </x:c>
      <x:c r="L4239" s="34" t="str">
        <x:v>PASS</x:v>
      </x:c>
      <x:c r="M4239" s="34" t="str">
        <x:v>numeric coverage for applicable metric</x:v>
      </x:c>
      <x:c r="N4239" s="34" t="str">
        <x:v>Feedback-Directed Random Test Generation/Result/Mockito_32/result.json</x:v>
      </x:c>
      <x:c r="O4239" s="38" t="n">
        <x:f>IF(AND(G4239="RECORDED",ISNUMBER(H4239)),H4239,"")</x:f>
        <x:v>0</x:v>
      </x:c>
      <x:c r="P4239" s="34" t="str">
        <x:v>NOT_REVEALING</x:v>
      </x:c>
      <x:c r="Q4239" s="34" t="str">
        <x:v>Feedback-Directed Random Test Generation/Result/Mockito_32/result.json</x:v>
      </x:c>
    </x:row>
    <x:row r="4240">
      <x:c r="A4240" s="34" t="str">
        <x:v>randoop</x:v>
      </x:c>
      <x:c r="B4240" s="34" t="str">
        <x:v>Mockito</x:v>
      </x:c>
      <x:c r="C4240" s="34" t="str">
        <x:v>Round1</x:v>
      </x:c>
      <x:c r="D4240" s="34" t="str">
        <x:v>Mockito_33</x:v>
      </x:c>
      <x:c r="E4240" s="34" t="str">
        <x:v>Condition</x:v>
      </x:c>
      <x:c r="F4240" s="34" t="n">
        <x:v>32</x:v>
      </x:c>
      <x:c r="G4240" s="34" t="str">
        <x:v>RECORDED</x:v>
      </x:c>
      <x:c r="H4240" s="38" t="n">
        <x:f>IF(ISNUMBER('Data'!I824),'Data'!I824*100,"")</x:f>
        <x:v>6.25</x:v>
      </x:c>
      <x:c r="I4240" s="34" t="str">
        <x:v>PASS</x:v>
      </x:c>
      <x:c r="J4240" s="34" t="str">
        <x:v>PASS</x:v>
      </x:c>
      <x:c r="K4240" s="34" t="str">
        <x:v>PASS</x:v>
      </x:c>
      <x:c r="L4240" s="34" t="str">
        <x:v>PASS</x:v>
      </x:c>
      <x:c r="M4240" s="34" t="str">
        <x:v>numeric coverage for applicable metric</x:v>
      </x:c>
      <x:c r="N4240" s="34" t="str">
        <x:v>Feedback-Directed Random Test Generation/Result/Mockito_33/result.json</x:v>
      </x:c>
      <x:c r="O4240" s="38" t="n">
        <x:f>IF(AND(G4240="RECORDED",ISNUMBER(H4240)),H4240,"")</x:f>
        <x:v>6.25</x:v>
      </x:c>
      <x:c r="P4240" s="34" t="str">
        <x:v>NOT_REVEALING</x:v>
      </x:c>
      <x:c r="Q4240" s="34" t="str">
        <x:v>Feedback-Directed Random Test Generation/Result/Mockito_33/result.json</x:v>
      </x:c>
    </x:row>
    <x:row r="4241">
      <x:c r="A4241" s="34" t="str">
        <x:v>randoop</x:v>
      </x:c>
      <x:c r="B4241" s="34" t="str">
        <x:v>Mockito</x:v>
      </x:c>
      <x:c r="C4241" s="34" t="str">
        <x:v>Round1</x:v>
      </x:c>
      <x:c r="D4241" s="34" t="str">
        <x:v>Mockito_34</x:v>
      </x:c>
      <x:c r="E4241" s="34" t="str">
        <x:v>Condition</x:v>
      </x:c>
      <x:c r="F4241" s="34" t="n">
        <x:v>28</x:v>
      </x:c>
      <x:c r="G4241" s="34" t="str">
        <x:v>RECORDED</x:v>
      </x:c>
      <x:c r="H4241" s="38" t="n">
        <x:f>IF(ISNUMBER('Data'!I825),'Data'!I825*100,"")</x:f>
        <x:v>3.5699999999999994</x:v>
      </x:c>
      <x:c r="I4241" s="34" t="str">
        <x:v>PASS</x:v>
      </x:c>
      <x:c r="J4241" s="34" t="str">
        <x:v>PASS</x:v>
      </x:c>
      <x:c r="K4241" s="34" t="str">
        <x:v>PASS</x:v>
      </x:c>
      <x:c r="L4241" s="34" t="str">
        <x:v>PASS</x:v>
      </x:c>
      <x:c r="M4241" s="34" t="str">
        <x:v>numeric coverage for applicable metric</x:v>
      </x:c>
      <x:c r="N4241" s="34" t="str">
        <x:v>Feedback-Directed Random Test Generation/Result/Mockito_34/result.json</x:v>
      </x:c>
      <x:c r="O4241" s="38" t="n">
        <x:f>IF(AND(G4241="RECORDED",ISNUMBER(H4241)),H4241,"")</x:f>
        <x:v>3.5699999999999994</x:v>
      </x:c>
      <x:c r="P4241" s="34" t="str">
        <x:v>NOT_REVEALING</x:v>
      </x:c>
      <x:c r="Q4241" s="34" t="str">
        <x:v>Feedback-Directed Random Test Generation/Result/Mockito_34/result.json</x:v>
      </x:c>
    </x:row>
    <x:row r="4242">
      <x:c r="A4242" s="34" t="str">
        <x:v>randoop</x:v>
      </x:c>
      <x:c r="B4242" s="34" t="str">
        <x:v>Mockito</x:v>
      </x:c>
      <x:c r="C4242" s="34" t="str">
        <x:v>Round1</x:v>
      </x:c>
      <x:c r="D4242" s="34" t="str">
        <x:v>Mockito_35</x:v>
      </x:c>
      <x:c r="E4242" s="34" t="str">
        <x:v>Condition</x:v>
      </x:c>
      <x:c r="F4242" s="34" t="n">
        <x:v>0</x:v>
      </x:c>
      <x:c r="G4242" s="34" t="str">
        <x:v>B</x:v>
      </x:c>
      <x:c r="H4242" s="38" t="n">
        <x:f>IF(ISNUMBER('Data'!I826),'Data'!I826*100,"")</x:f>
        <x:v>0</x:v>
      </x:c>
      <x:c r="I4242" s="34" t="str">
        <x:v>PASS</x:v>
      </x:c>
      <x:c r="J4242" s="34" t="str">
        <x:v>PASS</x:v>
      </x:c>
      <x:c r="K4242" s="34" t="str">
        <x:v>PASS</x:v>
      </x:c>
      <x:c r="L4242" s="34" t="str">
        <x:v>PASS</x:v>
      </x:c>
      <x:c r="M4242" s="34" t="str">
        <x:v>coverage completed; measurable total = 0</x:v>
      </x:c>
      <x:c r="N4242" s="34" t="str">
        <x:v>Feedback-Directed Random Test Generation/Result/Mockito_35/result.json</x:v>
      </x:c>
      <x:c r="O4242" s="38" t="str">
        <x:f>IF(AND(G4242="RECORDED",ISNUMBER(H4242)),H4242,"")</x:f>
      </x:c>
      <x:c r="P4242" s="34" t="str">
        <x:v>INCONCLUSIVE</x:v>
      </x:c>
      <x:c r="Q4242" s="34" t="str">
        <x:v>Feedback-Directed Random Test Generation/Result/Mockito_35/result.json</x:v>
      </x:c>
    </x:row>
    <x:row r="4243">
      <x:c r="A4243" s="34" t="str">
        <x:v>randoop</x:v>
      </x:c>
      <x:c r="B4243" s="34" t="str">
        <x:v>Mockito</x:v>
      </x:c>
      <x:c r="C4243" s="34" t="str">
        <x:v>Round1</x:v>
      </x:c>
      <x:c r="D4243" s="34" t="str">
        <x:v>Mockito_36</x:v>
      </x:c>
      <x:c r="E4243" s="34" t="str">
        <x:v>Condition</x:v>
      </x:c>
      <x:c r="F4243" s="34" t="n">
        <x:v>42</x:v>
      </x:c>
      <x:c r="G4243" s="34" t="str">
        <x:v>RECORDED</x:v>
      </x:c>
      <x:c r="H4243" s="38" t="n">
        <x:f>IF(ISNUMBER('Data'!I827),'Data'!I827*100,"")</x:f>
        <x:v>0</x:v>
      </x:c>
      <x:c r="I4243" s="34" t="str">
        <x:v>PASS</x:v>
      </x:c>
      <x:c r="J4243" s="34" t="str">
        <x:v>PASS</x:v>
      </x:c>
      <x:c r="K4243" s="34" t="str">
        <x:v>PASS</x:v>
      </x:c>
      <x:c r="L4243" s="34" t="str">
        <x:v>PASS</x:v>
      </x:c>
      <x:c r="M4243" s="34" t="str">
        <x:v>numeric coverage for applicable metric</x:v>
      </x:c>
      <x:c r="N4243" s="34" t="str">
        <x:v>Feedback-Directed Random Test Generation/Result/Mockito_36/result.json</x:v>
      </x:c>
      <x:c r="O4243" s="38" t="n">
        <x:f>IF(AND(G4243="RECORDED",ISNUMBER(H4243)),H4243,"")</x:f>
        <x:v>0</x:v>
      </x:c>
      <x:c r="P4243" s="34" t="str">
        <x:v>NOT_REVEALING</x:v>
      </x:c>
      <x:c r="Q4243" s="34" t="str">
        <x:v>Feedback-Directed Random Test Generation/Result/Mockito_36/result.json</x:v>
      </x:c>
    </x:row>
    <x:row r="4244">
      <x:c r="A4244" s="34" t="str">
        <x:v>randoop</x:v>
      </x:c>
      <x:c r="B4244" s="34" t="str">
        <x:v>Mockito</x:v>
      </x:c>
      <x:c r="C4244" s="34" t="str">
        <x:v>Round1</x:v>
      </x:c>
      <x:c r="D4244" s="34" t="str">
        <x:v>Mockito_37</x:v>
      </x:c>
      <x:c r="E4244" s="34" t="str">
        <x:v>Condition</x:v>
      </x:c>
      <x:c r="F4244" s="34" t="n">
        <x:v>26</x:v>
      </x:c>
      <x:c r="G4244" s="34" t="str">
        <x:v>RECORDED</x:v>
      </x:c>
      <x:c r="H4244" s="38" t="n">
        <x:f>IF(ISNUMBER('Data'!I828),'Data'!I828*100,"")</x:f>
        <x:v>0</x:v>
      </x:c>
      <x:c r="I4244" s="34" t="str">
        <x:v>PASS</x:v>
      </x:c>
      <x:c r="J4244" s="34" t="str">
        <x:v>PASS</x:v>
      </x:c>
      <x:c r="K4244" s="34" t="str">
        <x:v>PASS</x:v>
      </x:c>
      <x:c r="L4244" s="34" t="str">
        <x:v>PASS</x:v>
      </x:c>
      <x:c r="M4244" s="34" t="str">
        <x:v>numeric coverage for applicable metric</x:v>
      </x:c>
      <x:c r="N4244" s="34" t="str">
        <x:v>Feedback-Directed Random Test Generation/Result/Mockito_37/result.json</x:v>
      </x:c>
      <x:c r="O4244" s="38" t="n">
        <x:f>IF(AND(G4244="RECORDED",ISNUMBER(H4244)),H4244,"")</x:f>
        <x:v>0</x:v>
      </x:c>
      <x:c r="P4244" s="34" t="str">
        <x:v>NOT_REVEALING</x:v>
      </x:c>
      <x:c r="Q4244" s="34" t="str">
        <x:v>Feedback-Directed Random Test Generation/Result/Mockito_37/result.json</x:v>
      </x:c>
    </x:row>
    <x:row r="4245">
      <x:c r="A4245" s="34" t="str">
        <x:v>randoop</x:v>
      </x:c>
      <x:c r="B4245" s="34" t="str">
        <x:v>Mockito</x:v>
      </x:c>
      <x:c r="C4245" s="34" t="str">
        <x:v>Round1</x:v>
      </x:c>
      <x:c r="D4245" s="34" t="str">
        <x:v>Mockito_38</x:v>
      </x:c>
      <x:c r="E4245" s="34" t="str">
        <x:v>Condition</x:v>
      </x:c>
      <x:c r="F4245" s="34" t="n">
        <x:v>12</x:v>
      </x:c>
      <x:c r="G4245" s="34" t="str">
        <x:v>RECORDED</x:v>
      </x:c>
      <x:c r="H4245" s="38" t="n">
        <x:f>IF(ISNUMBER('Data'!I829),'Data'!I829*100,"")</x:f>
        <x:v>25</x:v>
      </x:c>
      <x:c r="I4245" s="34" t="str">
        <x:v>PASS</x:v>
      </x:c>
      <x:c r="J4245" s="34" t="str">
        <x:v>PASS</x:v>
      </x:c>
      <x:c r="K4245" s="34" t="str">
        <x:v>PASS</x:v>
      </x:c>
      <x:c r="L4245" s="34" t="str">
        <x:v>PASS</x:v>
      </x:c>
      <x:c r="M4245" s="34" t="str">
        <x:v>numeric coverage for applicable metric</x:v>
      </x:c>
      <x:c r="N4245" s="34" t="str">
        <x:v>Feedback-Directed Random Test Generation/Result/Mockito_38/result.json</x:v>
      </x:c>
      <x:c r="O4245" s="38" t="n">
        <x:f>IF(AND(G4245="RECORDED",ISNUMBER(H4245)),H4245,"")</x:f>
        <x:v>25</x:v>
      </x:c>
      <x:c r="P4245" s="34" t="str">
        <x:v>NOT_REVEALING</x:v>
      </x:c>
      <x:c r="Q4245" s="34" t="str">
        <x:v>Feedback-Directed Random Test Generation/Result/Mockito_38/result.json</x:v>
      </x:c>
    </x:row>
    <x:row r="4246">
      <x:c r="A4246" s="34" t="str">
        <x:v>randoop</x:v>
      </x:c>
      <x:c r="B4246" s="34" t="str">
        <x:v>Time</x:v>
      </x:c>
      <x:c r="C4246" s="34" t="str">
        <x:v>Round1</x:v>
      </x:c>
      <x:c r="D4246" s="34" t="str">
        <x:v>Time_1</x:v>
      </x:c>
      <x:c r="E4246" s="34" t="str">
        <x:v>Condition</x:v>
      </x:c>
      <x:c r="F4246" s="34" t="n">
        <x:v>118</x:v>
      </x:c>
      <x:c r="G4246" s="34" t="str">
        <x:v>RECORDED</x:v>
      </x:c>
      <x:c r="H4246" s="38" t="n">
        <x:f>IF(ISNUMBER('Data'!I830),'Data'!I830*100,"")</x:f>
        <x:v>18.64</x:v>
      </x:c>
      <x:c r="I4246" s="34" t="str">
        <x:v>PASS</x:v>
      </x:c>
      <x:c r="J4246" s="34" t="str">
        <x:v>PASS</x:v>
      </x:c>
      <x:c r="K4246" s="34" t="str">
        <x:v>PASS</x:v>
      </x:c>
      <x:c r="L4246" s="34" t="str">
        <x:v>PASS</x:v>
      </x:c>
      <x:c r="M4246" s="34" t="str">
        <x:v>numeric coverage for applicable metric</x:v>
      </x:c>
      <x:c r="N4246" s="34" t="str">
        <x:v>Feedback-Directed Random Test Generation/Result/Time_1/result.json</x:v>
      </x:c>
      <x:c r="O4246" s="38" t="n">
        <x:f>IF(AND(G4246="RECORDED",ISNUMBER(H4246)),H4246,"")</x:f>
        <x:v>18.64</x:v>
      </x:c>
      <x:c r="P4246" s="34" t="str">
        <x:v>NOT_REVEALING</x:v>
      </x:c>
      <x:c r="Q4246" s="34" t="str">
        <x:v>Feedback-Directed Random Test Generation/Result/Time_1/result.json</x:v>
      </x:c>
    </x:row>
    <x:row r="4247">
      <x:c r="A4247" s="34" t="str">
        <x:v>randoop</x:v>
      </x:c>
      <x:c r="B4247" s="34" t="str">
        <x:v>Time</x:v>
      </x:c>
      <x:c r="C4247" s="34" t="str">
        <x:v>Round1</x:v>
      </x:c>
      <x:c r="D4247" s="34" t="str">
        <x:v>Time_2</x:v>
      </x:c>
      <x:c r="E4247" s="34" t="str">
        <x:v>Condition</x:v>
      </x:c>
      <x:c r="F4247" s="34" t="n">
        <x:v>118</x:v>
      </x:c>
      <x:c r="G4247" s="34" t="str">
        <x:v>RECORDED</x:v>
      </x:c>
      <x:c r="H4247" s="38" t="n">
        <x:f>IF(ISNUMBER('Data'!I831),'Data'!I831*100,"")</x:f>
        <x:v>18.64</x:v>
      </x:c>
      <x:c r="I4247" s="34" t="str">
        <x:v>PASS</x:v>
      </x:c>
      <x:c r="J4247" s="34" t="str">
        <x:v>PASS</x:v>
      </x:c>
      <x:c r="K4247" s="34" t="str">
        <x:v>PASS</x:v>
      </x:c>
      <x:c r="L4247" s="34" t="str">
        <x:v>PASS</x:v>
      </x:c>
      <x:c r="M4247" s="34" t="str">
        <x:v>numeric coverage for applicable metric</x:v>
      </x:c>
      <x:c r="N4247" s="34" t="str">
        <x:v>Feedback-Directed Random Test Generation/Result/Time_2/result.json</x:v>
      </x:c>
      <x:c r="O4247" s="38" t="n">
        <x:f>IF(AND(G4247="RECORDED",ISNUMBER(H4247)),H4247,"")</x:f>
        <x:v>18.64</x:v>
      </x:c>
      <x:c r="P4247" s="34" t="str">
        <x:v>NOT_REVEALING</x:v>
      </x:c>
      <x:c r="Q4247" s="34" t="str">
        <x:v>Feedback-Directed Random Test Generation/Result/Time_2/result.json</x:v>
      </x:c>
    </x:row>
    <x:row r="4248">
      <x:c r="A4248" s="34" t="str">
        <x:v>randoop</x:v>
      </x:c>
      <x:c r="B4248" s="34" t="str">
        <x:v>Time</x:v>
      </x:c>
      <x:c r="C4248" s="34" t="str">
        <x:v>Round1</x:v>
      </x:c>
      <x:c r="D4248" s="34" t="str">
        <x:v>Time_3</x:v>
      </x:c>
      <x:c r="E4248" s="34" t="str">
        <x:v>Condition</x:v>
      </x:c>
      <x:c r="F4248" s="34" t="n">
        <x:v>43</x:v>
      </x:c>
      <x:c r="G4248" s="34" t="str">
        <x:v>RECORDED</x:v>
      </x:c>
      <x:c r="H4248" s="38" t="n">
        <x:f>IF(ISNUMBER('Data'!I832),'Data'!I832*100,"")</x:f>
        <x:v>13.95</x:v>
      </x:c>
      <x:c r="I4248" s="34" t="str">
        <x:v>PASS</x:v>
      </x:c>
      <x:c r="J4248" s="34" t="str">
        <x:v>PASS</x:v>
      </x:c>
      <x:c r="K4248" s="34" t="str">
        <x:v>PASS</x:v>
      </x:c>
      <x:c r="L4248" s="34" t="str">
        <x:v>FAIL</x:v>
      </x:c>
      <x:c r="M4248" s="34" t="str">
        <x:v>numeric coverage for applicable metric</x:v>
      </x:c>
      <x:c r="N4248" s="34" t="str">
        <x:v>Feedback-Directed Random Test Generation/Result/Time_3/result.json</x:v>
      </x:c>
      <x:c r="O4248" s="38" t="n">
        <x:f>IF(AND(G4248="RECORDED",ISNUMBER(H4248)),H4248,"")</x:f>
        <x:v>13.95</x:v>
      </x:c>
      <x:c r="P4248" s="34" t="str">
        <x:v>INCONCLUSIVE</x:v>
      </x:c>
      <x:c r="Q4248" s="34" t="str">
        <x:v>Feedback-Directed Random Test Generation/Result/Time_3/result.json</x:v>
      </x:c>
    </x:row>
    <x:row r="4249">
      <x:c r="A4249" s="34" t="str">
        <x:v>randoop</x:v>
      </x:c>
      <x:c r="B4249" s="34" t="str">
        <x:v>Time</x:v>
      </x:c>
      <x:c r="C4249" s="34" t="str">
        <x:v>Round1</x:v>
      </x:c>
      <x:c r="D4249" s="34" t="str">
        <x:v>Time_4</x:v>
      </x:c>
      <x:c r="E4249" s="34" t="str">
        <x:v>Condition</x:v>
      </x:c>
      <x:c r="F4249" s="34" t="n">
        <x:v>106</x:v>
      </x:c>
      <x:c r="G4249" s="34" t="str">
        <x:v>RECORDED</x:v>
      </x:c>
      <x:c r="H4249" s="38" t="n">
        <x:f>IF(ISNUMBER('Data'!I833),'Data'!I833*100,"")</x:f>
        <x:v>18.87</x:v>
      </x:c>
      <x:c r="I4249" s="34" t="str">
        <x:v>PASS</x:v>
      </x:c>
      <x:c r="J4249" s="34" t="str">
        <x:v>PASS</x:v>
      </x:c>
      <x:c r="K4249" s="34" t="str">
        <x:v>PASS</x:v>
      </x:c>
      <x:c r="L4249" s="34" t="str">
        <x:v>PASS</x:v>
      </x:c>
      <x:c r="M4249" s="34" t="str">
        <x:v>numeric coverage for applicable metric</x:v>
      </x:c>
      <x:c r="N4249" s="34" t="str">
        <x:v>Feedback-Directed Random Test Generation/Result/Time_4/result.json</x:v>
      </x:c>
      <x:c r="O4249" s="38" t="n">
        <x:f>IF(AND(G4249="RECORDED",ISNUMBER(H4249)),H4249,"")</x:f>
        <x:v>18.87</x:v>
      </x:c>
      <x:c r="P4249" s="34" t="str">
        <x:v>NOT_REVEALING</x:v>
      </x:c>
      <x:c r="Q4249" s="34" t="str">
        <x:v>Feedback-Directed Random Test Generation/Result/Time_4/result.json</x:v>
      </x:c>
    </x:row>
    <x:row r="4250">
      <x:c r="A4250" s="34" t="str">
        <x:v>randoop</x:v>
      </x:c>
      <x:c r="B4250" s="34" t="str">
        <x:v>Time</x:v>
      </x:c>
      <x:c r="C4250" s="34" t="str">
        <x:v>Round1</x:v>
      </x:c>
      <x:c r="D4250" s="34" t="str">
        <x:v>Time_5</x:v>
      </x:c>
      <x:c r="E4250" s="34" t="str">
        <x:v>Condition</x:v>
      </x:c>
      <x:c r="F4250" s="34" t="n">
        <x:v>62</x:v>
      </x:c>
      <x:c r="G4250" s="34" t="str">
        <x:v>RECORDED</x:v>
      </x:c>
      <x:c r="H4250" s="38" t="n">
        <x:f>IF(ISNUMBER('Data'!I834),'Data'!I834*100,"")</x:f>
        <x:v>35.48</x:v>
      </x:c>
      <x:c r="I4250" s="34" t="str">
        <x:v>PASS</x:v>
      </x:c>
      <x:c r="J4250" s="34" t="str">
        <x:v>PASS</x:v>
      </x:c>
      <x:c r="K4250" s="34" t="str">
        <x:v>PASS</x:v>
      </x:c>
      <x:c r="L4250" s="34" t="str">
        <x:v>PASS</x:v>
      </x:c>
      <x:c r="M4250" s="34" t="str">
        <x:v>numeric coverage for applicable metric</x:v>
      </x:c>
      <x:c r="N4250" s="34" t="str">
        <x:v>Feedback-Directed Random Test Generation/Result/Time_5/result.json</x:v>
      </x:c>
      <x:c r="O4250" s="38" t="n">
        <x:f>IF(AND(G4250="RECORDED",ISNUMBER(H4250)),H4250,"")</x:f>
        <x:v>35.48</x:v>
      </x:c>
      <x:c r="P4250" s="34" t="str">
        <x:v>NOT_REVEALING</x:v>
      </x:c>
      <x:c r="Q4250" s="34" t="str">
        <x:v>Feedback-Directed Random Test Generation/Result/Time_5/result.json</x:v>
      </x:c>
    </x:row>
    <x:row r="4251">
      <x:c r="A4251" s="34" t="str">
        <x:v>randoop</x:v>
      </x:c>
      <x:c r="B4251" s="34" t="str">
        <x:v>Time</x:v>
      </x:c>
      <x:c r="C4251" s="34" t="str">
        <x:v>Round1</x:v>
      </x:c>
      <x:c r="D4251" s="34" t="str">
        <x:v>Time_6</x:v>
      </x:c>
      <x:c r="E4251" s="34" t="str">
        <x:v>Condition</x:v>
      </x:c>
      <x:c r="F4251" s="34" t="n">
        <x:v>168</x:v>
      </x:c>
      <x:c r="G4251" s="34" t="str">
        <x:v>RECORDED</x:v>
      </x:c>
      <x:c r="H4251" s="38" t="n">
        <x:f>IF(ISNUMBER('Data'!I835),'Data'!I835*100,"")</x:f>
        <x:v>19.05</x:v>
      </x:c>
      <x:c r="I4251" s="34" t="str">
        <x:v>PASS</x:v>
      </x:c>
      <x:c r="J4251" s="34" t="str">
        <x:v>PASS</x:v>
      </x:c>
      <x:c r="K4251" s="34" t="str">
        <x:v>PASS</x:v>
      </x:c>
      <x:c r="L4251" s="34" t="str">
        <x:v>PASS</x:v>
      </x:c>
      <x:c r="M4251" s="34" t="str">
        <x:v>numeric coverage for applicable metric</x:v>
      </x:c>
      <x:c r="N4251" s="34" t="str">
        <x:v>Feedback-Directed Random Test Generation/Result/Time_6/result.json</x:v>
      </x:c>
      <x:c r="O4251" s="38" t="n">
        <x:f>IF(AND(G4251="RECORDED",ISNUMBER(H4251)),H4251,"")</x:f>
        <x:v>19.05</x:v>
      </x:c>
      <x:c r="P4251" s="34" t="str">
        <x:v>NOT_REVEALING</x:v>
      </x:c>
      <x:c r="Q4251" s="34" t="str">
        <x:v>Feedback-Directed Random Test Generation/Result/Time_6/result.json</x:v>
      </x:c>
    </x:row>
    <x:row r="4252">
      <x:c r="A4252" s="34" t="str">
        <x:v>randoop</x:v>
      </x:c>
      <x:c r="B4252" s="34" t="str">
        <x:v>Time</x:v>
      </x:c>
      <x:c r="C4252" s="34" t="str">
        <x:v>Round1</x:v>
      </x:c>
      <x:c r="D4252" s="34" t="str">
        <x:v>Time_7</x:v>
      </x:c>
      <x:c r="E4252" s="34" t="str">
        <x:v>Condition</x:v>
      </x:c>
      <x:c r="F4252" s="34" t="n">
        <x:v>88</x:v>
      </x:c>
      <x:c r="G4252" s="34" t="str">
        <x:v>RECORDED</x:v>
      </x:c>
      <x:c r="H4252" s="38" t="n">
        <x:f>IF(ISNUMBER('Data'!I836),'Data'!I836*100,"")</x:f>
        <x:v>12.5</x:v>
      </x:c>
      <x:c r="I4252" s="34" t="str">
        <x:v>PASS</x:v>
      </x:c>
      <x:c r="J4252" s="34" t="str">
        <x:v>PASS</x:v>
      </x:c>
      <x:c r="K4252" s="34" t="str">
        <x:v>PASS</x:v>
      </x:c>
      <x:c r="L4252" s="34" t="str">
        <x:v>PASS</x:v>
      </x:c>
      <x:c r="M4252" s="34" t="str">
        <x:v>numeric coverage for applicable metric</x:v>
      </x:c>
      <x:c r="N4252" s="34" t="str">
        <x:v>Feedback-Directed Random Test Generation/Result/Time_7/result.json</x:v>
      </x:c>
      <x:c r="O4252" s="38" t="n">
        <x:f>IF(AND(G4252="RECORDED",ISNUMBER(H4252)),H4252,"")</x:f>
        <x:v>12.5</x:v>
      </x:c>
      <x:c r="P4252" s="34" t="str">
        <x:v>NOT_REVEALING</x:v>
      </x:c>
      <x:c r="Q4252" s="34" t="str">
        <x:v>Feedback-Directed Random Test Generation/Result/Time_7/result.json</x:v>
      </x:c>
    </x:row>
    <x:row r="4253">
      <x:c r="A4253" s="34" t="str">
        <x:v>randoop</x:v>
      </x:c>
      <x:c r="B4253" s="34" t="str">
        <x:v>Time</x:v>
      </x:c>
      <x:c r="C4253" s="34" t="str">
        <x:v>Round1</x:v>
      </x:c>
      <x:c r="D4253" s="34" t="str">
        <x:v>Time_8</x:v>
      </x:c>
      <x:c r="E4253" s="34" t="str">
        <x:v>Condition</x:v>
      </x:c>
      <x:c r="F4253" s="34" t="n">
        <x:v>178</x:v>
      </x:c>
      <x:c r="G4253" s="34" t="str">
        <x:v>RECORDED</x:v>
      </x:c>
      <x:c r="H4253" s="38" t="n">
        <x:f>IF(ISNUMBER('Data'!I837),'Data'!I837*100,"")</x:f>
        <x:v>46.63</x:v>
      </x:c>
      <x:c r="I4253" s="34" t="str">
        <x:v>PASS</x:v>
      </x:c>
      <x:c r="J4253" s="34" t="str">
        <x:v>PASS</x:v>
      </x:c>
      <x:c r="K4253" s="34" t="str">
        <x:v>PASS</x:v>
      </x:c>
      <x:c r="L4253" s="34" t="str">
        <x:v>FAIL</x:v>
      </x:c>
      <x:c r="M4253" s="34" t="str">
        <x:v>numeric coverage for applicable metric</x:v>
      </x:c>
      <x:c r="N4253" s="34" t="str">
        <x:v>Feedback-Directed Random Test Generation/Result/Time_8/result.json</x:v>
      </x:c>
      <x:c r="O4253" s="38" t="n">
        <x:f>IF(AND(G4253="RECORDED",ISNUMBER(H4253)),H4253,"")</x:f>
        <x:v>46.63</x:v>
      </x:c>
      <x:c r="P4253" s="34" t="str">
        <x:v>INCONCLUSIVE</x:v>
      </x:c>
      <x:c r="Q4253" s="34" t="str">
        <x:v>Feedback-Directed Random Test Generation/Result/Time_8/result.json</x:v>
      </x:c>
    </x:row>
    <x:row r="4254">
      <x:c r="A4254" s="34" t="str">
        <x:v>randoop</x:v>
      </x:c>
      <x:c r="B4254" s="34" t="str">
        <x:v>Time</x:v>
      </x:c>
      <x:c r="C4254" s="34" t="str">
        <x:v>Round1</x:v>
      </x:c>
      <x:c r="D4254" s="34" t="str">
        <x:v>Time_9</x:v>
      </x:c>
      <x:c r="E4254" s="34" t="str">
        <x:v>Condition</x:v>
      </x:c>
      <x:c r="F4254" s="34" t="n">
        <x:v>170</x:v>
      </x:c>
      <x:c r="G4254" s="34" t="str">
        <x:v>RECORDED</x:v>
      </x:c>
      <x:c r="H4254" s="38" t="n">
        <x:f>IF(ISNUMBER('Data'!I838),'Data'!I838*100,"")</x:f>
        <x:v>37.06</x:v>
      </x:c>
      <x:c r="I4254" s="34" t="str">
        <x:v>PASS</x:v>
      </x:c>
      <x:c r="J4254" s="34" t="str">
        <x:v>PASS</x:v>
      </x:c>
      <x:c r="K4254" s="34" t="str">
        <x:v>PASS</x:v>
      </x:c>
      <x:c r="L4254" s="34" t="str">
        <x:v>PASS</x:v>
      </x:c>
      <x:c r="M4254" s="34" t="str">
        <x:v>numeric coverage for applicable metric</x:v>
      </x:c>
      <x:c r="N4254" s="34" t="str">
        <x:v>Feedback-Directed Random Test Generation/Result/Time_9/result.json</x:v>
      </x:c>
      <x:c r="O4254" s="38" t="n">
        <x:f>IF(AND(G4254="RECORDED",ISNUMBER(H4254)),H4254,"")</x:f>
        <x:v>37.06</x:v>
      </x:c>
      <x:c r="P4254" s="34" t="str">
        <x:v>INCONCLUSIVE</x:v>
      </x:c>
      <x:c r="Q4254" s="34" t="str">
        <x:v>Feedback-Directed Random Test Generation/Result/Time_9/result.json</x:v>
      </x:c>
    </x:row>
    <x:row r="4255">
      <x:c r="A4255" s="34" t="str">
        <x:v>randoop</x:v>
      </x:c>
      <x:c r="B4255" s="34" t="str">
        <x:v>Time</x:v>
      </x:c>
      <x:c r="C4255" s="34" t="str">
        <x:v>Round1</x:v>
      </x:c>
      <x:c r="D4255" s="34" t="str">
        <x:v>Time_10</x:v>
      </x:c>
      <x:c r="E4255" s="34" t="str">
        <x:v>Condition</x:v>
      </x:c>
      <x:c r="F4255" s="34" t="n">
        <x:v>46</x:v>
      </x:c>
      <x:c r="G4255" s="34" t="str">
        <x:v>RECORDED</x:v>
      </x:c>
      <x:c r="H4255" s="38" t="n">
        <x:f>IF(ISNUMBER('Data'!I839),'Data'!I839*100,"")</x:f>
        <x:v>6.52</x:v>
      </x:c>
      <x:c r="I4255" s="34" t="str">
        <x:v>PASS</x:v>
      </x:c>
      <x:c r="J4255" s="34" t="str">
        <x:v>PASS</x:v>
      </x:c>
      <x:c r="K4255" s="34" t="str">
        <x:v>PASS</x:v>
      </x:c>
      <x:c r="L4255" s="34" t="str">
        <x:v>PASS</x:v>
      </x:c>
      <x:c r="M4255" s="34" t="str">
        <x:v>numeric coverage for applicable metric</x:v>
      </x:c>
      <x:c r="N4255" s="34" t="str">
        <x:v>Feedback-Directed Random Test Generation/Result/Time_10/result.json</x:v>
      </x:c>
      <x:c r="O4255" s="38" t="n">
        <x:f>IF(AND(G4255="RECORDED",ISNUMBER(H4255)),H4255,"")</x:f>
        <x:v>6.52</x:v>
      </x:c>
      <x:c r="P4255" s="34" t="str">
        <x:v>NOT_REVEALING</x:v>
      </x:c>
      <x:c r="Q4255" s="34" t="str">
        <x:v>Feedback-Directed Random Test Generation/Result/Time_10/result.json</x:v>
      </x:c>
    </x:row>
    <x:row r="4256">
      <x:c r="A4256" s="34" t="str">
        <x:v>randoop</x:v>
      </x:c>
      <x:c r="B4256" s="34" t="str">
        <x:v>Time</x:v>
      </x:c>
      <x:c r="C4256" s="34" t="str">
        <x:v>Round1</x:v>
      </x:c>
      <x:c r="D4256" s="34" t="str">
        <x:v>Time_11</x:v>
      </x:c>
      <x:c r="E4256" s="34" t="str">
        <x:v>Condition</x:v>
      </x:c>
      <x:c r="F4256" s="34" t="n">
        <x:v>193</x:v>
      </x:c>
      <x:c r="G4256" s="34" t="str">
        <x:v>RECORDED</x:v>
      </x:c>
      <x:c r="H4256" s="38" t="n">
        <x:f>IF(ISNUMBER('Data'!I840),'Data'!I840*100,"")</x:f>
        <x:v>11.4</x:v>
      </x:c>
      <x:c r="I4256" s="34" t="str">
        <x:v>PASS</x:v>
      </x:c>
      <x:c r="J4256" s="34" t="str">
        <x:v>PASS</x:v>
      </x:c>
      <x:c r="K4256" s="34" t="str">
        <x:v>PASS</x:v>
      </x:c>
      <x:c r="L4256" s="34" t="str">
        <x:v>PASS</x:v>
      </x:c>
      <x:c r="M4256" s="34" t="str">
        <x:v>numeric coverage for applicable metric</x:v>
      </x:c>
      <x:c r="N4256" s="34" t="str">
        <x:v>Feedback-Directed Random Test Generation/Result/Time_11/result.json</x:v>
      </x:c>
      <x:c r="O4256" s="38" t="n">
        <x:f>IF(AND(G4256="RECORDED",ISNUMBER(H4256)),H4256,"")</x:f>
        <x:v>11.4</x:v>
      </x:c>
      <x:c r="P4256" s="34" t="str">
        <x:v>NOT_REVEALING</x:v>
      </x:c>
      <x:c r="Q4256" s="34" t="str">
        <x:v>Feedback-Directed Random Test Generation/Result/Time_11/result.json</x:v>
      </x:c>
    </x:row>
    <x:row r="4257">
      <x:c r="A4257" s="34" t="str">
        <x:v>randoop</x:v>
      </x:c>
      <x:c r="B4257" s="34" t="str">
        <x:v>Time</x:v>
      </x:c>
      <x:c r="C4257" s="34" t="str">
        <x:v>Round1</x:v>
      </x:c>
      <x:c r="D4257" s="34" t="str">
        <x:v>Time_12</x:v>
      </x:c>
      <x:c r="E4257" s="34" t="str">
        <x:v>Condition</x:v>
      </x:c>
      <x:c r="F4257" s="34" t="n">
        <x:v>236</x:v>
      </x:c>
      <x:c r="G4257" s="34" t="str">
        <x:v>RECORDED</x:v>
      </x:c>
      <x:c r="H4257" s="38" t="n">
        <x:f>IF(ISNUMBER('Data'!I841),'Data'!I841*100,"")</x:f>
        <x:v>16.53</x:v>
      </x:c>
      <x:c r="I4257" s="34" t="str">
        <x:v>PASS</x:v>
      </x:c>
      <x:c r="J4257" s="34" t="str">
        <x:v>PASS</x:v>
      </x:c>
      <x:c r="K4257" s="34" t="str">
        <x:v>PASS</x:v>
      </x:c>
      <x:c r="L4257" s="34" t="str">
        <x:v>FAIL</x:v>
      </x:c>
      <x:c r="M4257" s="34" t="str">
        <x:v>numeric coverage for applicable metric</x:v>
      </x:c>
      <x:c r="N4257" s="34" t="str">
        <x:v>Feedback-Directed Random Test Generation/Result/Time_12/result.json</x:v>
      </x:c>
      <x:c r="O4257" s="38" t="n">
        <x:f>IF(AND(G4257="RECORDED",ISNUMBER(H4257)),H4257,"")</x:f>
        <x:v>16.53</x:v>
      </x:c>
      <x:c r="P4257" s="34" t="str">
        <x:v>INCONCLUSIVE</x:v>
      </x:c>
      <x:c r="Q4257" s="34" t="str">
        <x:v>Feedback-Directed Random Test Generation/Result/Time_12/result.json</x:v>
      </x:c>
    </x:row>
    <x:row r="4258">
      <x:c r="A4258" s="34" t="str">
        <x:v>randoop</x:v>
      </x:c>
      <x:c r="B4258" s="34" t="str">
        <x:v>Time</x:v>
      </x:c>
      <x:c r="C4258" s="34" t="str">
        <x:v>Round1</x:v>
      </x:c>
      <x:c r="D4258" s="34" t="str">
        <x:v>Time_13</x:v>
      </x:c>
      <x:c r="E4258" s="34" t="str">
        <x:v>Condition</x:v>
      </x:c>
      <x:c r="F4258" s="34" t="n">
        <x:v>452</x:v>
      </x:c>
      <x:c r="G4258" s="34" t="str">
        <x:v>RECORDED</x:v>
      </x:c>
      <x:c r="H4258" s="38" t="n">
        <x:f>IF(ISNUMBER('Data'!I842),'Data'!I842*100,"")</x:f>
        <x:v>16.59</x:v>
      </x:c>
      <x:c r="I4258" s="34" t="str">
        <x:v>PASS</x:v>
      </x:c>
      <x:c r="J4258" s="34" t="str">
        <x:v>PASS</x:v>
      </x:c>
      <x:c r="K4258" s="34" t="str">
        <x:v>PASS</x:v>
      </x:c>
      <x:c r="L4258" s="34" t="str">
        <x:v>PASS</x:v>
      </x:c>
      <x:c r="M4258" s="34" t="str">
        <x:v>numeric coverage for applicable metric</x:v>
      </x:c>
      <x:c r="N4258" s="34" t="str">
        <x:v>Feedback-Directed Random Test Generation/Result/Time_13/result.json</x:v>
      </x:c>
      <x:c r="O4258" s="38" t="n">
        <x:f>IF(AND(G4258="RECORDED",ISNUMBER(H4258)),H4258,"")</x:f>
        <x:v>16.59</x:v>
      </x:c>
      <x:c r="P4258" s="34" t="str">
        <x:v>NOT_REVEALING</x:v>
      </x:c>
      <x:c r="Q4258" s="34" t="str">
        <x:v>Feedback-Directed Random Test Generation/Result/Time_13/result.json</x:v>
      </x:c>
    </x:row>
    <x:row r="4259">
      <x:c r="A4259" s="34" t="str">
        <x:v>randoop</x:v>
      </x:c>
      <x:c r="B4259" s="34" t="str">
        <x:v>Time</x:v>
      </x:c>
      <x:c r="C4259" s="34" t="str">
        <x:v>Round1</x:v>
      </x:c>
      <x:c r="D4259" s="34" t="str">
        <x:v>Time_14</x:v>
      </x:c>
      <x:c r="E4259" s="34" t="str">
        <x:v>Condition</x:v>
      </x:c>
      <x:c r="F4259" s="34" t="n">
        <x:v>46</x:v>
      </x:c>
      <x:c r="G4259" s="34" t="str">
        <x:v>RECORDED</x:v>
      </x:c>
      <x:c r="H4259" s="38" t="n">
        <x:f>IF(ISNUMBER('Data'!I843),'Data'!I843*100,"")</x:f>
        <x:v>0</x:v>
      </x:c>
      <x:c r="I4259" s="34" t="str">
        <x:v>PASS</x:v>
      </x:c>
      <x:c r="J4259" s="34" t="str">
        <x:v>PASS</x:v>
      </x:c>
      <x:c r="K4259" s="34" t="str">
        <x:v>PASS</x:v>
      </x:c>
      <x:c r="L4259" s="34" t="str">
        <x:v>PASS</x:v>
      </x:c>
      <x:c r="M4259" s="34" t="str">
        <x:v>numeric coverage for applicable metric</x:v>
      </x:c>
      <x:c r="N4259" s="34" t="str">
        <x:v>Feedback-Directed Random Test Generation/Result/Time_14/result.json</x:v>
      </x:c>
      <x:c r="O4259" s="38" t="n">
        <x:f>IF(AND(G4259="RECORDED",ISNUMBER(H4259)),H4259,"")</x:f>
        <x:v>0</x:v>
      </x:c>
      <x:c r="P4259" s="34" t="str">
        <x:v>NOT_REVEALING</x:v>
      </x:c>
      <x:c r="Q4259" s="34" t="str">
        <x:v>Feedback-Directed Random Test Generation/Result/Time_14/result.json</x:v>
      </x:c>
    </x:row>
    <x:row r="4260">
      <x:c r="A4260" s="34" t="str">
        <x:v>randoop</x:v>
      </x:c>
      <x:c r="B4260" s="34" t="str">
        <x:v>Time</x:v>
      </x:c>
      <x:c r="C4260" s="34" t="str">
        <x:v>Round1</x:v>
      </x:c>
      <x:c r="D4260" s="34" t="str">
        <x:v>Time_15</x:v>
      </x:c>
      <x:c r="E4260" s="34" t="str">
        <x:v>Condition</x:v>
      </x:c>
      <x:c r="F4260" s="34" t="n">
        <x:v>70</x:v>
      </x:c>
      <x:c r="G4260" s="34" t="str">
        <x:v>RECORDED</x:v>
      </x:c>
      <x:c r="H4260" s="38" t="n">
        <x:f>IF(ISNUMBER('Data'!I844),'Data'!I844*100,"")</x:f>
        <x:v>61.42999999999999</x:v>
      </x:c>
      <x:c r="I4260" s="34" t="str">
        <x:v>PASS</x:v>
      </x:c>
      <x:c r="J4260" s="34" t="str">
        <x:v>PASS</x:v>
      </x:c>
      <x:c r="K4260" s="34" t="str">
        <x:v>PASS</x:v>
      </x:c>
      <x:c r="L4260" s="34" t="str">
        <x:v>PASS</x:v>
      </x:c>
      <x:c r="M4260" s="34" t="str">
        <x:v>numeric coverage for applicable metric</x:v>
      </x:c>
      <x:c r="N4260" s="34" t="str">
        <x:v>Feedback-Directed Random Test Generation/Result/Time_15/result.json</x:v>
      </x:c>
      <x:c r="O4260" s="38" t="n">
        <x:f>IF(AND(G4260="RECORDED",ISNUMBER(H4260)),H4260,"")</x:f>
        <x:v>61.42999999999999</x:v>
      </x:c>
      <x:c r="P4260" s="34" t="str">
        <x:v>NOT_REVEALING</x:v>
      </x:c>
      <x:c r="Q4260" s="34" t="str">
        <x:v>Feedback-Directed Random Test Generation/Result/Time_15/result.json</x:v>
      </x:c>
    </x:row>
    <x:row r="4261">
      <x:c r="A4261" s="34" t="str">
        <x:v>randoop</x:v>
      </x:c>
      <x:c r="B4261" s="34" t="str">
        <x:v>Time</x:v>
      </x:c>
      <x:c r="C4261" s="34" t="str">
        <x:v>Round1</x:v>
      </x:c>
      <x:c r="D4261" s="34" t="str">
        <x:v>Time_16</x:v>
      </x:c>
      <x:c r="E4261" s="34" t="str">
        <x:v>Condition</x:v>
      </x:c>
      <x:c r="F4261" s="34" t="n">
        <x:v>88</x:v>
      </x:c>
      <x:c r="G4261" s="34" t="str">
        <x:v>RECORDED</x:v>
      </x:c>
      <x:c r="H4261" s="38" t="n">
        <x:f>IF(ISNUMBER('Data'!I845),'Data'!I845*100,"")</x:f>
        <x:v>12.5</x:v>
      </x:c>
      <x:c r="I4261" s="34" t="str">
        <x:v>PASS</x:v>
      </x:c>
      <x:c r="J4261" s="34" t="str">
        <x:v>PASS</x:v>
      </x:c>
      <x:c r="K4261" s="34" t="str">
        <x:v>PASS</x:v>
      </x:c>
      <x:c r="L4261" s="34" t="str">
        <x:v>PASS</x:v>
      </x:c>
      <x:c r="M4261" s="34" t="str">
        <x:v>numeric coverage for applicable metric</x:v>
      </x:c>
      <x:c r="N4261" s="34" t="str">
        <x:v>Feedback-Directed Random Test Generation/Result/Time_16/result.json</x:v>
      </x:c>
      <x:c r="O4261" s="38" t="n">
        <x:f>IF(AND(G4261="RECORDED",ISNUMBER(H4261)),H4261,"")</x:f>
        <x:v>12.5</x:v>
      </x:c>
      <x:c r="P4261" s="34" t="str">
        <x:v>NOT_REVEALING</x:v>
      </x:c>
      <x:c r="Q4261" s="34" t="str">
        <x:v>Feedback-Directed Random Test Generation/Result/Time_16/result.json</x:v>
      </x:c>
    </x:row>
    <x:row r="4262">
      <x:c r="A4262" s="34" t="str">
        <x:v>randoop</x:v>
      </x:c>
      <x:c r="B4262" s="34" t="str">
        <x:v>Time</x:v>
      </x:c>
      <x:c r="C4262" s="34" t="str">
        <x:v>Round1</x:v>
      </x:c>
      <x:c r="D4262" s="34" t="str">
        <x:v>Time_17</x:v>
      </x:c>
      <x:c r="E4262" s="34" t="str">
        <x:v>Condition</x:v>
      </x:c>
      <x:c r="F4262" s="34" t="n">
        <x:v>162</x:v>
      </x:c>
      <x:c r="G4262" s="34" t="str">
        <x:v>RECORDED</x:v>
      </x:c>
      <x:c r="H4262" s="38" t="n">
        <x:f>IF(ISNUMBER('Data'!I846),'Data'!I846*100,"")</x:f>
        <x:v>37.04</x:v>
      </x:c>
      <x:c r="I4262" s="34" t="str">
        <x:v>PASS</x:v>
      </x:c>
      <x:c r="J4262" s="34" t="str">
        <x:v>PASS</x:v>
      </x:c>
      <x:c r="K4262" s="34" t="str">
        <x:v>PASS</x:v>
      </x:c>
      <x:c r="L4262" s="34" t="str">
        <x:v>PASS</x:v>
      </x:c>
      <x:c r="M4262" s="34" t="str">
        <x:v>numeric coverage for applicable metric</x:v>
      </x:c>
      <x:c r="N4262" s="34" t="str">
        <x:v>Feedback-Directed Random Test Generation/Result/Time_17/result.json</x:v>
      </x:c>
      <x:c r="O4262" s="38" t="n">
        <x:f>IF(AND(G4262="RECORDED",ISNUMBER(H4262)),H4262,"")</x:f>
        <x:v>37.04</x:v>
      </x:c>
      <x:c r="P4262" s="34" t="str">
        <x:v>NOT_REVEALING</x:v>
      </x:c>
      <x:c r="Q4262" s="34" t="str">
        <x:v>Feedback-Directed Random Test Generation/Result/Time_17/result.json</x:v>
      </x:c>
    </x:row>
    <x:row r="4263">
      <x:c r="A4263" s="34" t="str">
        <x:v>randoop</x:v>
      </x:c>
      <x:c r="B4263" s="34" t="str">
        <x:v>Time</x:v>
      </x:c>
      <x:c r="C4263" s="34" t="str">
        <x:v>Round1</x:v>
      </x:c>
      <x:c r="D4263" s="34" t="str">
        <x:v>Time_18</x:v>
      </x:c>
      <x:c r="E4263" s="34" t="str">
        <x:v>Condition</x:v>
      </x:c>
      <x:c r="F4263" s="34" t="n">
        <x:v>152</x:v>
      </x:c>
      <x:c r="G4263" s="34" t="str">
        <x:v>RECORDED</x:v>
      </x:c>
      <x:c r="H4263" s="38" t="n">
        <x:f>IF(ISNUMBER('Data'!I847),'Data'!I847*100,"")</x:f>
        <x:v>19.74</x:v>
      </x:c>
      <x:c r="I4263" s="34" t="str">
        <x:v>PASS</x:v>
      </x:c>
      <x:c r="J4263" s="34" t="str">
        <x:v>PASS</x:v>
      </x:c>
      <x:c r="K4263" s="34" t="str">
        <x:v>PASS</x:v>
      </x:c>
      <x:c r="L4263" s="34" t="str">
        <x:v>PASS</x:v>
      </x:c>
      <x:c r="M4263" s="34" t="str">
        <x:v>numeric coverage for applicable metric</x:v>
      </x:c>
      <x:c r="N4263" s="34" t="str">
        <x:v>Feedback-Directed Random Test Generation/Result/Time_18/result.json</x:v>
      </x:c>
      <x:c r="O4263" s="38" t="n">
        <x:f>IF(AND(G4263="RECORDED",ISNUMBER(H4263)),H4263,"")</x:f>
        <x:v>19.74</x:v>
      </x:c>
      <x:c r="P4263" s="34" t="str">
        <x:v>NOT_REVEALING</x:v>
      </x:c>
      <x:c r="Q4263" s="34" t="str">
        <x:v>Feedback-Directed Random Test Generation/Result/Time_18/result.json</x:v>
      </x:c>
    </x:row>
    <x:row r="4264">
      <x:c r="A4264" s="34" t="str">
        <x:v>randoop</x:v>
      </x:c>
      <x:c r="B4264" s="34" t="str">
        <x:v>Time</x:v>
      </x:c>
      <x:c r="C4264" s="34" t="str">
        <x:v>Round1</x:v>
      </x:c>
      <x:c r="D4264" s="34" t="str">
        <x:v>Time_19</x:v>
      </x:c>
      <x:c r="E4264" s="34" t="str">
        <x:v>Condition</x:v>
      </x:c>
      <x:c r="F4264" s="34" t="n">
        <x:v>162</x:v>
      </x:c>
      <x:c r="G4264" s="34" t="str">
        <x:v>RECORDED</x:v>
      </x:c>
      <x:c r="H4264" s="38" t="n">
        <x:f>IF(ISNUMBER('Data'!I848),'Data'!I848*100,"")</x:f>
        <x:v>40.12</x:v>
      </x:c>
      <x:c r="I4264" s="34" t="str">
        <x:v>PASS</x:v>
      </x:c>
      <x:c r="J4264" s="34" t="str">
        <x:v>PASS</x:v>
      </x:c>
      <x:c r="K4264" s="34" t="str">
        <x:v>PASS</x:v>
      </x:c>
      <x:c r="L4264" s="34" t="str">
        <x:v>PASS</x:v>
      </x:c>
      <x:c r="M4264" s="34" t="str">
        <x:v>numeric coverage for applicable metric</x:v>
      </x:c>
      <x:c r="N4264" s="34" t="str">
        <x:v>Feedback-Directed Random Test Generation/Result/Time_19/result.json</x:v>
      </x:c>
      <x:c r="O4264" s="38" t="n">
        <x:f>IF(AND(G4264="RECORDED",ISNUMBER(H4264)),H4264,"")</x:f>
        <x:v>40.12</x:v>
      </x:c>
      <x:c r="P4264" s="34" t="str">
        <x:v>NOT_REVEALING</x:v>
      </x:c>
      <x:c r="Q4264" s="34" t="str">
        <x:v>Feedback-Directed Random Test Generation/Result/Time_19/result.json</x:v>
      </x:c>
    </x:row>
    <x:row r="4265">
      <x:c r="A4265" s="34" t="str">
        <x:v>randoop</x:v>
      </x:c>
      <x:c r="B4265" s="34" t="str">
        <x:v>Time</x:v>
      </x:c>
      <x:c r="C4265" s="34" t="str">
        <x:v>Round1</x:v>
      </x:c>
      <x:c r="D4265" s="34" t="str">
        <x:v>Time_20</x:v>
      </x:c>
      <x:c r="E4265" s="34" t="str">
        <x:v>Condition</x:v>
      </x:c>
      <x:c r="F4265" s="34" t="n">
        <x:v>589</x:v>
      </x:c>
      <x:c r="G4265" s="34" t="str">
        <x:v>RECORDED</x:v>
      </x:c>
      <x:c r="H4265" s="38" t="n">
        <x:f>IF(ISNUMBER('Data'!I849),'Data'!I849*100,"")</x:f>
        <x:v>6.280000000000001</x:v>
      </x:c>
      <x:c r="I4265" s="34" t="str">
        <x:v>PASS</x:v>
      </x:c>
      <x:c r="J4265" s="34" t="str">
        <x:v>PASS</x:v>
      </x:c>
      <x:c r="K4265" s="34" t="str">
        <x:v>PASS</x:v>
      </x:c>
      <x:c r="L4265" s="34" t="str">
        <x:v>PASS</x:v>
      </x:c>
      <x:c r="M4265" s="34" t="str">
        <x:v>numeric coverage for applicable metric</x:v>
      </x:c>
      <x:c r="N4265" s="34" t="str">
        <x:v>Feedback-Directed Random Test Generation/Result/Time_20/result.json</x:v>
      </x:c>
      <x:c r="O4265" s="38" t="n">
        <x:f>IF(AND(G4265="RECORDED",ISNUMBER(H4265)),H4265,"")</x:f>
        <x:v>6.280000000000001</x:v>
      </x:c>
      <x:c r="P4265" s="34" t="str">
        <x:v>NOT_REVEALING</x:v>
      </x:c>
      <x:c r="Q4265" s="34" t="str">
        <x:v>Feedback-Directed Random Test Generation/Result/Time_20/result.json</x:v>
      </x:c>
    </x:row>
    <x:row r="4266">
      <x:c r="A4266" s="34" t="str">
        <x:v>randoop</x:v>
      </x:c>
      <x:c r="B4266" s="34" t="str">
        <x:v>Time</x:v>
      </x:c>
      <x:c r="C4266" s="34" t="str">
        <x:v>Round1</x:v>
      </x:c>
      <x:c r="D4266" s="34" t="str">
        <x:v>Time_22</x:v>
      </x:c>
      <x:c r="E4266" s="34" t="str">
        <x:v>Condition</x:v>
      </x:c>
      <x:c r="F4266" s="34" t="n">
        <x:v>58</x:v>
      </x:c>
      <x:c r="G4266" s="34" t="str">
        <x:v>RECORDED</x:v>
      </x:c>
      <x:c r="H4266" s="38" t="n">
        <x:f>IF(ISNUMBER('Data'!I850),'Data'!I850*100,"")</x:f>
        <x:v>0</x:v>
      </x:c>
      <x:c r="I4266" s="34" t="str">
        <x:v>PASS</x:v>
      </x:c>
      <x:c r="J4266" s="34" t="str">
        <x:v>PASS</x:v>
      </x:c>
      <x:c r="K4266" s="34" t="str">
        <x:v>PASS</x:v>
      </x:c>
      <x:c r="L4266" s="34" t="str">
        <x:v>PASS</x:v>
      </x:c>
      <x:c r="M4266" s="34" t="str">
        <x:v>numeric coverage for applicable metric</x:v>
      </x:c>
      <x:c r="N4266" s="34" t="str">
        <x:v>Feedback-Directed Random Test Generation/Result/Time_22/result.json</x:v>
      </x:c>
      <x:c r="O4266" s="38" t="n">
        <x:f>IF(AND(G4266="RECORDED",ISNUMBER(H4266)),H4266,"")</x:f>
        <x:v>0</x:v>
      </x:c>
      <x:c r="P4266" s="34" t="str">
        <x:v>NOT_REVEALING</x:v>
      </x:c>
      <x:c r="Q4266" s="34" t="str">
        <x:v>Feedback-Directed Random Test Generation/Result/Time_22/result.json</x:v>
      </x:c>
    </x:row>
    <x:row r="4267">
      <x:c r="A4267" s="34" t="str">
        <x:v>randoop</x:v>
      </x:c>
      <x:c r="B4267" s="34" t="str">
        <x:v>Time</x:v>
      </x:c>
      <x:c r="C4267" s="34" t="str">
        <x:v>Round1</x:v>
      </x:c>
      <x:c r="D4267" s="34" t="str">
        <x:v>Time_23</x:v>
      </x:c>
      <x:c r="E4267" s="34" t="str">
        <x:v>Condition</x:v>
      </x:c>
      <x:c r="F4267" s="34" t="n">
        <x:v>162</x:v>
      </x:c>
      <x:c r="G4267" s="34" t="str">
        <x:v>RECORDED</x:v>
      </x:c>
      <x:c r="H4267" s="38" t="n">
        <x:f>IF(ISNUMBER('Data'!I851),'Data'!I851*100,"")</x:f>
        <x:v>38.89</x:v>
      </x:c>
      <x:c r="I4267" s="34" t="str">
        <x:v>PASS</x:v>
      </x:c>
      <x:c r="J4267" s="34" t="str">
        <x:v>PASS</x:v>
      </x:c>
      <x:c r="K4267" s="34" t="str">
        <x:v>PASS</x:v>
      </x:c>
      <x:c r="L4267" s="34" t="str">
        <x:v>PASS</x:v>
      </x:c>
      <x:c r="M4267" s="34" t="str">
        <x:v>numeric coverage for applicable metric</x:v>
      </x:c>
      <x:c r="N4267" s="34" t="str">
        <x:v>Feedback-Directed Random Test Generation/Result/Time_23/result.json</x:v>
      </x:c>
      <x:c r="O4267" s="38" t="n">
        <x:f>IF(AND(G4267="RECORDED",ISNUMBER(H4267)),H4267,"")</x:f>
        <x:v>38.89</x:v>
      </x:c>
      <x:c r="P4267" s="34" t="str">
        <x:v>NOT_REVEALING</x:v>
      </x:c>
      <x:c r="Q4267" s="34" t="str">
        <x:v>Feedback-Directed Random Test Generation/Result/Time_23/result.json</x:v>
      </x:c>
    </x:row>
    <x:row r="4268">
      <x:c r="A4268" s="34" t="str">
        <x:v>randoop</x:v>
      </x:c>
      <x:c r="B4268" s="34" t="str">
        <x:v>Time</x:v>
      </x:c>
      <x:c r="C4268" s="34" t="str">
        <x:v>Round1</x:v>
      </x:c>
      <x:c r="D4268" s="34" t="str">
        <x:v>Time_24</x:v>
      </x:c>
      <x:c r="E4268" s="34" t="str">
        <x:v>Condition</x:v>
      </x:c>
      <x:c r="F4268" s="34" t="n">
        <x:v>64</x:v>
      </x:c>
      <x:c r="G4268" s="34" t="str">
        <x:v>RECORDED</x:v>
      </x:c>
      <x:c r="H4268" s="38" t="n">
        <x:f>IF(ISNUMBER('Data'!I852),'Data'!I852*100,"")</x:f>
        <x:v>29.69</x:v>
      </x:c>
      <x:c r="I4268" s="34" t="str">
        <x:v>PASS</x:v>
      </x:c>
      <x:c r="J4268" s="34" t="str">
        <x:v>PASS</x:v>
      </x:c>
      <x:c r="K4268" s="34" t="str">
        <x:v>PASS</x:v>
      </x:c>
      <x:c r="L4268" s="34" t="str">
        <x:v>FAIL</x:v>
      </x:c>
      <x:c r="M4268" s="34" t="str">
        <x:v>numeric coverage for applicable metric</x:v>
      </x:c>
      <x:c r="N4268" s="34" t="str">
        <x:v>Feedback-Directed Random Test Generation/Result/Time_24/result.json</x:v>
      </x:c>
      <x:c r="O4268" s="38" t="n">
        <x:f>IF(AND(G4268="RECORDED",ISNUMBER(H4268)),H4268,"")</x:f>
        <x:v>29.69</x:v>
      </x:c>
      <x:c r="P4268" s="34" t="str">
        <x:v>INCONCLUSIVE</x:v>
      </x:c>
      <x:c r="Q4268" s="34" t="str">
        <x:v>Feedback-Directed Random Test Generation/Result/Time_24/result.json</x:v>
      </x:c>
    </x:row>
    <x:row r="4269">
      <x:c r="A4269" s="34" t="str">
        <x:v>randoop</x:v>
      </x:c>
      <x:c r="B4269" s="34" t="str">
        <x:v>Time</x:v>
      </x:c>
      <x:c r="C4269" s="34" t="str">
        <x:v>Round1</x:v>
      </x:c>
      <x:c r="D4269" s="34" t="str">
        <x:v>Time_25</x:v>
      </x:c>
      <x:c r="E4269" s="34" t="str">
        <x:v>Condition</x:v>
      </x:c>
      <x:c r="F4269" s="34" t="n">
        <x:v>152</x:v>
      </x:c>
      <x:c r="G4269" s="34" t="str">
        <x:v>RECORDED</x:v>
      </x:c>
      <x:c r="H4269" s="38" t="n">
        <x:f>IF(ISNUMBER('Data'!I853),'Data'!I853*100,"")</x:f>
        <x:v>49.34</x:v>
      </x:c>
      <x:c r="I4269" s="34" t="str">
        <x:v>PASS</x:v>
      </x:c>
      <x:c r="J4269" s="34" t="str">
        <x:v>PASS</x:v>
      </x:c>
      <x:c r="K4269" s="34" t="str">
        <x:v>PASS</x:v>
      </x:c>
      <x:c r="L4269" s="34" t="str">
        <x:v>FAIL</x:v>
      </x:c>
      <x:c r="M4269" s="34" t="str">
        <x:v>numeric coverage for applicable metric</x:v>
      </x:c>
      <x:c r="N4269" s="34" t="str">
        <x:v>Feedback-Directed Random Test Generation/Result/Time_25/result.json</x:v>
      </x:c>
      <x:c r="O4269" s="38" t="n">
        <x:f>IF(AND(G4269="RECORDED",ISNUMBER(H4269)),H4269,"")</x:f>
        <x:v>49.34</x:v>
      </x:c>
      <x:c r="P4269" s="34" t="str">
        <x:v>INCONCLUSIVE</x:v>
      </x:c>
      <x:c r="Q4269" s="34" t="str">
        <x:v>Feedback-Directed Random Test Generation/Result/Time_25/result.json</x:v>
      </x:c>
    </x:row>
    <x:row r="4270">
      <x:c r="A4270" s="34" t="str">
        <x:v>randoop</x:v>
      </x:c>
      <x:c r="B4270" s="34" t="str">
        <x:v>Time</x:v>
      </x:c>
      <x:c r="C4270" s="34" t="str">
        <x:v>Round1</x:v>
      </x:c>
      <x:c r="D4270" s="34" t="str">
        <x:v>Time_26</x:v>
      </x:c>
      <x:c r="E4270" s="34" t="str">
        <x:v>Condition</x:v>
      </x:c>
      <x:c r="F4270" s="34" t="n">
        <x:v>240</x:v>
      </x:c>
      <x:c r="G4270" s="34" t="str">
        <x:v>RECORDED</x:v>
      </x:c>
      <x:c r="H4270" s="38" t="n">
        <x:f>IF(ISNUMBER('Data'!I854),'Data'!I854*100,"")</x:f>
        <x:v>36.25</x:v>
      </x:c>
      <x:c r="I4270" s="34" t="str">
        <x:v>PASS</x:v>
      </x:c>
      <x:c r="J4270" s="34" t="str">
        <x:v>PASS</x:v>
      </x:c>
      <x:c r="K4270" s="34" t="str">
        <x:v>PASS</x:v>
      </x:c>
      <x:c r="L4270" s="34" t="str">
        <x:v>FAIL</x:v>
      </x:c>
      <x:c r="M4270" s="34" t="str">
        <x:v>numeric coverage for applicable metric</x:v>
      </x:c>
      <x:c r="N4270" s="34" t="str">
        <x:v>Feedback-Directed Random Test Generation/Result/Time_26/result.json</x:v>
      </x:c>
      <x:c r="O4270" s="38" t="n">
        <x:f>IF(AND(G4270="RECORDED",ISNUMBER(H4270)),H4270,"")</x:f>
        <x:v>36.25</x:v>
      </x:c>
      <x:c r="P4270" s="34" t="str">
        <x:v>INCONCLUSIVE</x:v>
      </x:c>
      <x:c r="Q4270" s="34" t="str">
        <x:v>Feedback-Directed Random Test Generation/Result/Time_26/result.json</x:v>
      </x:c>
    </x:row>
    <x:row r="4271">
      <x:c r="A4271" s="34" t="str">
        <x:v>randoop</x:v>
      </x:c>
      <x:c r="B4271" s="34" t="str">
        <x:v>Time</x:v>
      </x:c>
      <x:c r="C4271" s="34" t="str">
        <x:v>Round1</x:v>
      </x:c>
      <x:c r="D4271" s="34" t="str">
        <x:v>Time_27</x:v>
      </x:c>
      <x:c r="E4271" s="34" t="str">
        <x:v>Condition</x:v>
      </x:c>
      <x:c r="F4271" s="34" t="n">
        <x:v>446</x:v>
      </x:c>
      <x:c r="G4271" s="34" t="str">
        <x:v>RECORDED</x:v>
      </x:c>
      <x:c r="H4271" s="38" t="n">
        <x:f>IF(ISNUMBER('Data'!I855),'Data'!I855*100,"")</x:f>
        <x:v>16.59</x:v>
      </x:c>
      <x:c r="I4271" s="34" t="str">
        <x:v>PASS</x:v>
      </x:c>
      <x:c r="J4271" s="34" t="str">
        <x:v>PASS</x:v>
      </x:c>
      <x:c r="K4271" s="34" t="str">
        <x:v>PASS</x:v>
      </x:c>
      <x:c r="L4271" s="34" t="str">
        <x:v>PASS</x:v>
      </x:c>
      <x:c r="M4271" s="34" t="str">
        <x:v>numeric coverage for applicable metric</x:v>
      </x:c>
      <x:c r="N4271" s="34" t="str">
        <x:v>Feedback-Directed Random Test Generation/Result/Time_27/result.json</x:v>
      </x:c>
      <x:c r="O4271" s="38" t="n">
        <x:f>IF(AND(G4271="RECORDED",ISNUMBER(H4271)),H4271,"")</x:f>
        <x:v>16.59</x:v>
      </x:c>
      <x:c r="P4271" s="34" t="str">
        <x:v>NOT_REVEALING</x:v>
      </x:c>
      <x:c r="Q4271" s="34" t="str">
        <x:v>Feedback-Directed Random Test Generation/Result/Time_27/result.json</x:v>
      </x:c>
    </x:row>
    <x:row r="4272">
      <x:c r="A4272" s="34" t="str">
        <x:v>randoop</x:v>
      </x:c>
      <x:c r="B4272" s="34" t="str">
        <x:v>Chart</x:v>
      </x:c>
      <x:c r="C4272" s="34" t="str">
        <x:v>Round2</x:v>
      </x:c>
      <x:c r="D4272" s="34" t="str">
        <x:v>Chart_1</x:v>
      </x:c>
      <x:c r="E4272" s="34" t="str">
        <x:v>Condition</x:v>
      </x:c>
      <x:c r="F4272" s="34" t="n">
        <x:v>242</x:v>
      </x:c>
      <x:c r="G4272" s="34" t="str">
        <x:v>RECORDED</x:v>
      </x:c>
      <x:c r="H4272" s="38" t="n">
        <x:f>IF(ISNUMBER('Data'!I856),'Data'!I856*100,"")</x:f>
        <x:v>0</x:v>
      </x:c>
      <x:c r="I4272" s="34" t="str">
        <x:v>PASS</x:v>
      </x:c>
      <x:c r="J4272" s="34" t="str">
        <x:v>PASS</x:v>
      </x:c>
      <x:c r="K4272" s="34" t="str">
        <x:v>PASS</x:v>
      </x:c>
      <x:c r="L4272" s="34" t="str">
        <x:v>PASS</x:v>
      </x:c>
      <x:c r="M4272" s="34" t="str">
        <x:v>numeric coverage for applicable metric</x:v>
      </x:c>
      <x:c r="N4272" s="34" t="str">
        <x:v>Feedback-Directed Random Test Generation/Result_Round2/Chart_1/result.json</x:v>
      </x:c>
      <x:c r="O4272" s="38" t="n">
        <x:f>IF(AND(G4272="RECORDED",ISNUMBER(H4272)),H4272,"")</x:f>
        <x:v>0</x:v>
      </x:c>
      <x:c r="P4272" s="34" t="str">
        <x:v>NOT_REVEALING</x:v>
      </x:c>
      <x:c r="Q4272" s="34" t="str">
        <x:v>Feedback-Directed Random Test Generation/Result_Round2/Chart_1/result.json</x:v>
      </x:c>
    </x:row>
    <x:row r="4273">
      <x:c r="A4273" s="34" t="str">
        <x:v>randoop</x:v>
      </x:c>
      <x:c r="B4273" s="34" t="str">
        <x:v>Chart</x:v>
      </x:c>
      <x:c r="C4273" s="34" t="str">
        <x:v>Round2</x:v>
      </x:c>
      <x:c r="D4273" s="34" t="str">
        <x:v>Chart_2</x:v>
      </x:c>
      <x:c r="E4273" s="34" t="str">
        <x:v>Condition</x:v>
      </x:c>
      <x:c r="F4273" s="34" t="n">
        <x:v>544</x:v>
      </x:c>
      <x:c r="G4273" s="34" t="str">
        <x:v>RECORDED</x:v>
      </x:c>
      <x:c r="H4273" s="38" t="n">
        <x:f>IF(ISNUMBER('Data'!I857),'Data'!I857*100,"")</x:f>
        <x:v>32.9</x:v>
      </x:c>
      <x:c r="I4273" s="34" t="str">
        <x:v>PASS</x:v>
      </x:c>
      <x:c r="J4273" s="34" t="str">
        <x:v>PASS</x:v>
      </x:c>
      <x:c r="K4273" s="34" t="str">
        <x:v>PASS</x:v>
      </x:c>
      <x:c r="L4273" s="34" t="str">
        <x:v>FAIL</x:v>
      </x:c>
      <x:c r="M4273" s="34" t="str">
        <x:v>numeric coverage for applicable metric</x:v>
      </x:c>
      <x:c r="N4273" s="34" t="str">
        <x:v>Feedback-Directed Random Test Generation/Result_Round2/Chart_2/result.json</x:v>
      </x:c>
      <x:c r="O4273" s="38" t="n">
        <x:f>IF(AND(G4273="RECORDED",ISNUMBER(H4273)),H4273,"")</x:f>
        <x:v>32.9</x:v>
      </x:c>
      <x:c r="P4273" s="34" t="str">
        <x:v>INCONCLUSIVE</x:v>
      </x:c>
      <x:c r="Q4273" s="34" t="str">
        <x:v>Feedback-Directed Random Test Generation/Result_Round2/Chart_2/result.json</x:v>
      </x:c>
    </x:row>
    <x:row r="4274">
      <x:c r="A4274" s="34" t="str">
        <x:v>randoop</x:v>
      </x:c>
      <x:c r="B4274" s="34" t="str">
        <x:v>Chart</x:v>
      </x:c>
      <x:c r="C4274" s="34" t="str">
        <x:v>Round2</x:v>
      </x:c>
      <x:c r="D4274" s="34" t="str">
        <x:v>Chart_3</x:v>
      </x:c>
      <x:c r="E4274" s="34" t="str">
        <x:v>Condition</x:v>
      </x:c>
      <x:c r="F4274" s="34" t="n">
        <x:v>186</x:v>
      </x:c>
      <x:c r="G4274" s="34" t="str">
        <x:v>RECORDED</x:v>
      </x:c>
      <x:c r="H4274" s="38" t="n">
        <x:f>IF(ISNUMBER('Data'!I858),'Data'!I858*100,"")</x:f>
        <x:v>19.35</x:v>
      </x:c>
      <x:c r="I4274" s="34" t="str">
        <x:v>PASS</x:v>
      </x:c>
      <x:c r="J4274" s="34" t="str">
        <x:v>PASS</x:v>
      </x:c>
      <x:c r="K4274" s="34" t="str">
        <x:v>PASS</x:v>
      </x:c>
      <x:c r="L4274" s="34" t="str">
        <x:v>PASS</x:v>
      </x:c>
      <x:c r="M4274" s="34" t="str">
        <x:v>numeric coverage for applicable metric</x:v>
      </x:c>
      <x:c r="N4274" s="34" t="str">
        <x:v>Feedback-Directed Random Test Generation/Result_Round2/Chart_3/result.json</x:v>
      </x:c>
      <x:c r="O4274" s="38" t="n">
        <x:f>IF(AND(G4274="RECORDED",ISNUMBER(H4274)),H4274,"")</x:f>
        <x:v>19.35</x:v>
      </x:c>
      <x:c r="P4274" s="34" t="str">
        <x:v>NOT_REVEALING</x:v>
      </x:c>
      <x:c r="Q4274" s="34" t="str">
        <x:v>Feedback-Directed Random Test Generation/Result_Round2/Chart_3/result.json</x:v>
      </x:c>
    </x:row>
    <x:row r="4275">
      <x:c r="A4275" s="34" t="str">
        <x:v>randoop</x:v>
      </x:c>
      <x:c r="B4275" s="34" t="str">
        <x:v>Chart</x:v>
      </x:c>
      <x:c r="C4275" s="34" t="str">
        <x:v>Round2</x:v>
      </x:c>
      <x:c r="D4275" s="34" t="str">
        <x:v>Chart_4</x:v>
      </x:c>
      <x:c r="E4275" s="34" t="str">
        <x:v>Condition</x:v>
      </x:c>
      <x:c r="F4275" s="34" t="n">
        <x:v>964</x:v>
      </x:c>
      <x:c r="G4275" s="34" t="str">
        <x:v>RECORDED</x:v>
      </x:c>
      <x:c r="H4275" s="38" t="n">
        <x:f>IF(ISNUMBER('Data'!I859),'Data'!I859*100,"")</x:f>
        <x:v>37.66</x:v>
      </x:c>
      <x:c r="I4275" s="34" t="str">
        <x:v>PASS</x:v>
      </x:c>
      <x:c r="J4275" s="34" t="str">
        <x:v>PASS</x:v>
      </x:c>
      <x:c r="K4275" s="34" t="str">
        <x:v>PASS</x:v>
      </x:c>
      <x:c r="L4275" s="34" t="str">
        <x:v>FAIL</x:v>
      </x:c>
      <x:c r="M4275" s="34" t="str">
        <x:v>numeric coverage for applicable metric</x:v>
      </x:c>
      <x:c r="N4275" s="34" t="str">
        <x:v>Feedback-Directed Random Test Generation/Result_Round2/Chart_4/result.json</x:v>
      </x:c>
      <x:c r="O4275" s="38" t="n">
        <x:f>IF(AND(G4275="RECORDED",ISNUMBER(H4275)),H4275,"")</x:f>
        <x:v>37.66</x:v>
      </x:c>
      <x:c r="P4275" s="34" t="str">
        <x:v>INCONCLUSIVE</x:v>
      </x:c>
      <x:c r="Q4275" s="34" t="str">
        <x:v>Feedback-Directed Random Test Generation/Result_Round2/Chart_4/result.json</x:v>
      </x:c>
    </x:row>
    <x:row r="4276">
      <x:c r="A4276" s="34" t="str">
        <x:v>randoop</x:v>
      </x:c>
      <x:c r="B4276" s="34" t="str">
        <x:v>Chart</x:v>
      </x:c>
      <x:c r="C4276" s="34" t="str">
        <x:v>Round2</x:v>
      </x:c>
      <x:c r="D4276" s="34" t="str">
        <x:v>Chart_5</x:v>
      </x:c>
      <x:c r="E4276" s="34" t="str">
        <x:v>Condition</x:v>
      </x:c>
      <x:c r="F4276" s="34" t="n">
        <x:v>80</x:v>
      </x:c>
      <x:c r="G4276" s="34" t="str">
        <x:v>RECORDED</x:v>
      </x:c>
      <x:c r="H4276" s="38" t="n">
        <x:f>IF(ISNUMBER('Data'!I860),'Data'!I860*100,"")</x:f>
        <x:v>80</x:v>
      </x:c>
      <x:c r="I4276" s="34" t="str">
        <x:v>PASS</x:v>
      </x:c>
      <x:c r="J4276" s="34" t="str">
        <x:v>PASS</x:v>
      </x:c>
      <x:c r="K4276" s="34" t="str">
        <x:v>PASS</x:v>
      </x:c>
      <x:c r="L4276" s="34" t="str">
        <x:v>PASS</x:v>
      </x:c>
      <x:c r="M4276" s="34" t="str">
        <x:v>numeric coverage for applicable metric</x:v>
      </x:c>
      <x:c r="N4276" s="34" t="str">
        <x:v>Feedback-Directed Random Test Generation/Result_Round2/Chart_5/result.json</x:v>
      </x:c>
      <x:c r="O4276" s="38" t="n">
        <x:f>IF(AND(G4276="RECORDED",ISNUMBER(H4276)),H4276,"")</x:f>
        <x:v>80</x:v>
      </x:c>
      <x:c r="P4276" s="34" t="str">
        <x:v>INCONCLUSIVE</x:v>
      </x:c>
      <x:c r="Q4276" s="34" t="str">
        <x:v>Feedback-Directed Random Test Generation/Result_Round2/Chart_5/result.json</x:v>
      </x:c>
    </x:row>
    <x:row r="4277">
      <x:c r="A4277" s="34" t="str">
        <x:v>randoop</x:v>
      </x:c>
      <x:c r="B4277" s="34" t="str">
        <x:v>Chart</x:v>
      </x:c>
      <x:c r="C4277" s="34" t="str">
        <x:v>Round2</x:v>
      </x:c>
      <x:c r="D4277" s="34" t="str">
        <x:v>Chart_6</x:v>
      </x:c>
      <x:c r="E4277" s="34" t="str">
        <x:v>Condition</x:v>
      </x:c>
      <x:c r="F4277" s="34" t="n">
        <x:v>12</x:v>
      </x:c>
      <x:c r="G4277" s="34" t="str">
        <x:v>RECORDED</x:v>
      </x:c>
      <x:c r="H4277" s="38" t="n">
        <x:f>IF(ISNUMBER('Data'!I861),'Data'!I861*100,"")</x:f>
        <x:v>25</x:v>
      </x:c>
      <x:c r="I4277" s="34" t="str">
        <x:v>PASS</x:v>
      </x:c>
      <x:c r="J4277" s="34" t="str">
        <x:v>PASS</x:v>
      </x:c>
      <x:c r="K4277" s="34" t="str">
        <x:v>PASS</x:v>
      </x:c>
      <x:c r="L4277" s="34" t="str">
        <x:v>FAIL</x:v>
      </x:c>
      <x:c r="M4277" s="34" t="str">
        <x:v>numeric coverage for applicable metric</x:v>
      </x:c>
      <x:c r="N4277" s="34" t="str">
        <x:v>Feedback-Directed Random Test Generation/Result_Round2/Chart_6/result.json</x:v>
      </x:c>
      <x:c r="O4277" s="38" t="n">
        <x:f>IF(AND(G4277="RECORDED",ISNUMBER(H4277)),H4277,"")</x:f>
        <x:v>25</x:v>
      </x:c>
      <x:c r="P4277" s="34" t="str">
        <x:v>INCONCLUSIVE</x:v>
      </x:c>
      <x:c r="Q4277" s="34" t="str">
        <x:v>Feedback-Directed Random Test Generation/Result_Round2/Chart_6/result.json</x:v>
      </x:c>
    </x:row>
    <x:row r="4278">
      <x:c r="A4278" s="34" t="str">
        <x:v>randoop</x:v>
      </x:c>
      <x:c r="B4278" s="34" t="str">
        <x:v>Chart</x:v>
      </x:c>
      <x:c r="C4278" s="34" t="str">
        <x:v>Round2</x:v>
      </x:c>
      <x:c r="D4278" s="34" t="str">
        <x:v>Chart_7</x:v>
      </x:c>
      <x:c r="E4278" s="34" t="str">
        <x:v>Condition</x:v>
      </x:c>
      <x:c r="F4278" s="34" t="n">
        <x:v>54</x:v>
      </x:c>
      <x:c r="G4278" s="34" t="str">
        <x:v>RECORDED</x:v>
      </x:c>
      <x:c r="H4278" s="38" t="n">
        <x:f>IF(ISNUMBER('Data'!I862),'Data'!I862*100,"")</x:f>
        <x:v>29.630000000000003</x:v>
      </x:c>
      <x:c r="I4278" s="34" t="str">
        <x:v>PASS</x:v>
      </x:c>
      <x:c r="J4278" s="34" t="str">
        <x:v>PASS</x:v>
      </x:c>
      <x:c r="K4278" s="34" t="str">
        <x:v>PASS</x:v>
      </x:c>
      <x:c r="L4278" s="34" t="str">
        <x:v>PASS</x:v>
      </x:c>
      <x:c r="M4278" s="34" t="str">
        <x:v>numeric coverage for applicable metric</x:v>
      </x:c>
      <x:c r="N4278" s="34" t="str">
        <x:v>Feedback-Directed Random Test Generation/Result_Round2/Chart_7/result.json</x:v>
      </x:c>
      <x:c r="O4278" s="38" t="n">
        <x:f>IF(AND(G4278="RECORDED",ISNUMBER(H4278)),H4278,"")</x:f>
        <x:v>29.630000000000003</x:v>
      </x:c>
      <x:c r="P4278" s="34" t="str">
        <x:v>NOT_REVEALING</x:v>
      </x:c>
      <x:c r="Q4278" s="34" t="str">
        <x:v>Feedback-Directed Random Test Generation/Result_Round2/Chart_7/result.json</x:v>
      </x:c>
    </x:row>
    <x:row r="4279">
      <x:c r="A4279" s="34" t="str">
        <x:v>randoop</x:v>
      </x:c>
      <x:c r="B4279" s="34" t="str">
        <x:v>Chart</x:v>
      </x:c>
      <x:c r="C4279" s="34" t="str">
        <x:v>Round2</x:v>
      </x:c>
      <x:c r="D4279" s="34" t="str">
        <x:v>Chart_8</x:v>
      </x:c>
      <x:c r="E4279" s="34" t="str">
        <x:v>Condition</x:v>
      </x:c>
      <x:c r="F4279" s="34" t="n">
        <x:v>68</x:v>
      </x:c>
      <x:c r="G4279" s="34" t="str">
        <x:v>RECORDED</x:v>
      </x:c>
      <x:c r="H4279" s="38" t="n">
        <x:f>IF(ISNUMBER('Data'!I863),'Data'!I863*100,"")</x:f>
        <x:v>75</x:v>
      </x:c>
      <x:c r="I4279" s="34" t="str">
        <x:v>PASS</x:v>
      </x:c>
      <x:c r="J4279" s="34" t="str">
        <x:v>PASS</x:v>
      </x:c>
      <x:c r="K4279" s="34" t="str">
        <x:v>PASS</x:v>
      </x:c>
      <x:c r="L4279" s="34" t="str">
        <x:v>FAIL</x:v>
      </x:c>
      <x:c r="M4279" s="34" t="str">
        <x:v>numeric coverage for applicable metric</x:v>
      </x:c>
      <x:c r="N4279" s="34" t="str">
        <x:v>Feedback-Directed Random Test Generation/Result_Round2/Chart_8/result.json</x:v>
      </x:c>
      <x:c r="O4279" s="38" t="n">
        <x:f>IF(AND(G4279="RECORDED",ISNUMBER(H4279)),H4279,"")</x:f>
        <x:v>75</x:v>
      </x:c>
      <x:c r="P4279" s="34" t="str">
        <x:v>INCONCLUSIVE</x:v>
      </x:c>
      <x:c r="Q4279" s="34" t="str">
        <x:v>Feedback-Directed Random Test Generation/Result_Round2/Chart_8/result.json</x:v>
      </x:c>
    </x:row>
    <x:row r="4280">
      <x:c r="A4280" s="34" t="str">
        <x:v>randoop</x:v>
      </x:c>
      <x:c r="B4280" s="34" t="str">
        <x:v>Chart</x:v>
      </x:c>
      <x:c r="C4280" s="34" t="str">
        <x:v>Round2</x:v>
      </x:c>
      <x:c r="D4280" s="34" t="str">
        <x:v>Chart_9</x:v>
      </x:c>
      <x:c r="E4280" s="34" t="str">
        <x:v>Condition</x:v>
      </x:c>
      <x:c r="F4280" s="34" t="n">
        <x:v>128</x:v>
      </x:c>
      <x:c r="G4280" s="34" t="str">
        <x:v>RECORDED</x:v>
      </x:c>
      <x:c r="H4280" s="38" t="n">
        <x:f>IF(ISNUMBER('Data'!I864),'Data'!I864*100,"")</x:f>
        <x:v>35.94</x:v>
      </x:c>
      <x:c r="I4280" s="34" t="str">
        <x:v>PASS</x:v>
      </x:c>
      <x:c r="J4280" s="34" t="str">
        <x:v>PASS</x:v>
      </x:c>
      <x:c r="K4280" s="34" t="str">
        <x:v>PASS</x:v>
      </x:c>
      <x:c r="L4280" s="34" t="str">
        <x:v>FAIL</x:v>
      </x:c>
      <x:c r="M4280" s="34" t="str">
        <x:v>numeric coverage for applicable metric</x:v>
      </x:c>
      <x:c r="N4280" s="34" t="str">
        <x:v>Feedback-Directed Random Test Generation/Result_Round2/Chart_9/result.json</x:v>
      </x:c>
      <x:c r="O4280" s="38" t="n">
        <x:f>IF(AND(G4280="RECORDED",ISNUMBER(H4280)),H4280,"")</x:f>
        <x:v>35.94</x:v>
      </x:c>
      <x:c r="P4280" s="34" t="str">
        <x:v>INCONCLUSIVE</x:v>
      </x:c>
      <x:c r="Q4280" s="34" t="str">
        <x:v>Feedback-Directed Random Test Generation/Result_Round2/Chart_9/result.json</x:v>
      </x:c>
    </x:row>
    <x:row r="4281">
      <x:c r="A4281" s="34" t="str">
        <x:v>randoop</x:v>
      </x:c>
      <x:c r="B4281" s="34" t="str">
        <x:v>Chart</x:v>
      </x:c>
      <x:c r="C4281" s="34" t="str">
        <x:v>Round2</x:v>
      </x:c>
      <x:c r="D4281" s="34" t="str">
        <x:v>Chart_10</x:v>
      </x:c>
      <x:c r="E4281" s="34" t="str">
        <x:v>Condition</x:v>
      </x:c>
      <x:c r="F4281" s="34" t="n">
        <x:v>0</x:v>
      </x:c>
      <x:c r="G4281" s="34" t="str">
        <x:v>B</x:v>
      </x:c>
      <x:c r="H4281" s="38" t="n">
        <x:f>IF(ISNUMBER('Data'!I865),'Data'!I865*100,"")</x:f>
        <x:v>0</x:v>
      </x:c>
      <x:c r="I4281" s="34" t="str">
        <x:v>PASS</x:v>
      </x:c>
      <x:c r="J4281" s="34" t="str">
        <x:v>PASS</x:v>
      </x:c>
      <x:c r="K4281" s="34" t="str">
        <x:v>PASS</x:v>
      </x:c>
      <x:c r="L4281" s="34" t="str">
        <x:v>PASS</x:v>
      </x:c>
      <x:c r="M4281" s="34" t="str">
        <x:v>coverage completed; measurable total = 0</x:v>
      </x:c>
      <x:c r="N4281" s="34" t="str">
        <x:v>Feedback-Directed Random Test Generation/Result_Round2/Chart_10/result.json</x:v>
      </x:c>
      <x:c r="O4281" s="38" t="str">
        <x:f>IF(AND(G4281="RECORDED",ISNUMBER(H4281)),H4281,"")</x:f>
      </x:c>
      <x:c r="P4281" s="34" t="str">
        <x:v>INCONCLUSIVE</x:v>
      </x:c>
      <x:c r="Q4281" s="34" t="str">
        <x:v>Feedback-Directed Random Test Generation/Result_Round2/Chart_10/result.json</x:v>
      </x:c>
    </x:row>
    <x:row r="4282">
      <x:c r="A4282" s="34" t="str">
        <x:v>randoop</x:v>
      </x:c>
      <x:c r="B4282" s="34" t="str">
        <x:v>Chart</x:v>
      </x:c>
      <x:c r="C4282" s="34" t="str">
        <x:v>Round2</x:v>
      </x:c>
      <x:c r="D4282" s="34" t="str">
        <x:v>Chart_11</x:v>
      </x:c>
      <x:c r="E4282" s="34" t="str">
        <x:v>Condition</x:v>
      </x:c>
      <x:c r="F4282" s="34" t="n">
        <x:v>116</x:v>
      </x:c>
      <x:c r="G4282" s="34" t="str">
        <x:v>RECORDED</x:v>
      </x:c>
      <x:c r="H4282" s="38" t="n">
        <x:f>IF(ISNUMBER('Data'!I866),'Data'!I866*100,"")</x:f>
        <x:v>33.62</x:v>
      </x:c>
      <x:c r="I4282" s="34" t="str">
        <x:v>PASS</x:v>
      </x:c>
      <x:c r="J4282" s="34" t="str">
        <x:v>PASS</x:v>
      </x:c>
      <x:c r="K4282" s="34" t="str">
        <x:v>PASS</x:v>
      </x:c>
      <x:c r="L4282" s="34" t="str">
        <x:v>PASS</x:v>
      </x:c>
      <x:c r="M4282" s="34" t="str">
        <x:v>numeric coverage for applicable metric</x:v>
      </x:c>
      <x:c r="N4282" s="34" t="str">
        <x:v>Feedback-Directed Random Test Generation/Result_Round2/Chart_11/result.json</x:v>
      </x:c>
      <x:c r="O4282" s="38" t="n">
        <x:f>IF(AND(G4282="RECORDED",ISNUMBER(H4282)),H4282,"")</x:f>
        <x:v>33.62</x:v>
      </x:c>
      <x:c r="P4282" s="34" t="str">
        <x:v>INCONCLUSIVE</x:v>
      </x:c>
      <x:c r="Q4282" s="34" t="str">
        <x:v>Feedback-Directed Random Test Generation/Result_Round2/Chart_11/result.json</x:v>
      </x:c>
    </x:row>
    <x:row r="4283">
      <x:c r="A4283" s="34" t="str">
        <x:v>randoop</x:v>
      </x:c>
      <x:c r="B4283" s="34" t="str">
        <x:v>Chart</x:v>
      </x:c>
      <x:c r="C4283" s="34" t="str">
        <x:v>Round2</x:v>
      </x:c>
      <x:c r="D4283" s="34" t="str">
        <x:v>Chart_12</x:v>
      </x:c>
      <x:c r="E4283" s="34" t="str">
        <x:v>Condition</x:v>
      </x:c>
      <x:c r="F4283" s="34" t="n">
        <x:v>84</x:v>
      </x:c>
      <x:c r="G4283" s="34" t="str">
        <x:v>RECORDED</x:v>
      </x:c>
      <x:c r="H4283" s="38" t="n">
        <x:f>IF(ISNUMBER('Data'!I867),'Data'!I867*100,"")</x:f>
        <x:v>28.57</x:v>
      </x:c>
      <x:c r="I4283" s="34" t="str">
        <x:v>PASS</x:v>
      </x:c>
      <x:c r="J4283" s="34" t="str">
        <x:v>PASS</x:v>
      </x:c>
      <x:c r="K4283" s="34" t="str">
        <x:v>PASS</x:v>
      </x:c>
      <x:c r="L4283" s="34" t="str">
        <x:v>FAIL</x:v>
      </x:c>
      <x:c r="M4283" s="34" t="str">
        <x:v>numeric coverage for applicable metric</x:v>
      </x:c>
      <x:c r="N4283" s="34" t="str">
        <x:v>Feedback-Directed Random Test Generation/Result_Round2/Chart_12/result.json</x:v>
      </x:c>
      <x:c r="O4283" s="38" t="n">
        <x:f>IF(AND(G4283="RECORDED",ISNUMBER(H4283)),H4283,"")</x:f>
        <x:v>28.57</x:v>
      </x:c>
      <x:c r="P4283" s="34" t="str">
        <x:v>INCONCLUSIVE</x:v>
      </x:c>
      <x:c r="Q4283" s="34" t="str">
        <x:v>Feedback-Directed Random Test Generation/Result_Round2/Chart_12/result.json</x:v>
      </x:c>
    </x:row>
    <x:row r="4284">
      <x:c r="A4284" s="34" t="str">
        <x:v>randoop</x:v>
      </x:c>
      <x:c r="B4284" s="34" t="str">
        <x:v>Chart</x:v>
      </x:c>
      <x:c r="C4284" s="34" t="str">
        <x:v>Round2</x:v>
      </x:c>
      <x:c r="D4284" s="34" t="str">
        <x:v>Chart_13</x:v>
      </x:c>
      <x:c r="E4284" s="34" t="str">
        <x:v>Condition</x:v>
      </x:c>
      <x:c r="F4284" s="34" t="n">
        <x:v>120</x:v>
      </x:c>
      <x:c r="G4284" s="34" t="str">
        <x:v>RECORDED</x:v>
      </x:c>
      <x:c r="H4284" s="38" t="n">
        <x:f>IF(ISNUMBER('Data'!I868),'Data'!I868*100,"")</x:f>
        <x:v>22.5</x:v>
      </x:c>
      <x:c r="I4284" s="34" t="str">
        <x:v>PASS</x:v>
      </x:c>
      <x:c r="J4284" s="34" t="str">
        <x:v>PASS</x:v>
      </x:c>
      <x:c r="K4284" s="34" t="str">
        <x:v>PASS</x:v>
      </x:c>
      <x:c r="L4284" s="34" t="str">
        <x:v>FAIL</x:v>
      </x:c>
      <x:c r="M4284" s="34" t="str">
        <x:v>numeric coverage for applicable metric</x:v>
      </x:c>
      <x:c r="N4284" s="34" t="str">
        <x:v>Feedback-Directed Random Test Generation/Result_Round2/Chart_13/result.json</x:v>
      </x:c>
      <x:c r="O4284" s="38" t="n">
        <x:f>IF(AND(G4284="RECORDED",ISNUMBER(H4284)),H4284,"")</x:f>
        <x:v>22.5</x:v>
      </x:c>
      <x:c r="P4284" s="34" t="str">
        <x:v>INCONCLUSIVE</x:v>
      </x:c>
      <x:c r="Q4284" s="34" t="str">
        <x:v>Feedback-Directed Random Test Generation/Result_Round2/Chart_13/result.json</x:v>
      </x:c>
    </x:row>
    <x:row r="4285">
      <x:c r="A4285" s="34" t="str">
        <x:v>randoop</x:v>
      </x:c>
      <x:c r="B4285" s="34" t="str">
        <x:v>Chart</x:v>
      </x:c>
      <x:c r="C4285" s="34" t="str">
        <x:v>Round2</x:v>
      </x:c>
      <x:c r="D4285" s="34" t="str">
        <x:v>Chart_14</x:v>
      </x:c>
      <x:c r="E4285" s="34" t="str">
        <x:v>Condition</x:v>
      </x:c>
      <x:c r="F4285" s="34" t="n">
        <x:v>1436</x:v>
      </x:c>
      <x:c r="G4285" s="34" t="str">
        <x:v>RECORDED</x:v>
      </x:c>
      <x:c r="H4285" s="38" t="n">
        <x:f>IF(ISNUMBER('Data'!I869),'Data'!I869*100,"")</x:f>
        <x:v>39.9</x:v>
      </x:c>
      <x:c r="I4285" s="34" t="str">
        <x:v>PASS</x:v>
      </x:c>
      <x:c r="J4285" s="34" t="str">
        <x:v>PASS</x:v>
      </x:c>
      <x:c r="K4285" s="34" t="str">
        <x:v>PASS</x:v>
      </x:c>
      <x:c r="L4285" s="34" t="str">
        <x:v>FAIL</x:v>
      </x:c>
      <x:c r="M4285" s="34" t="str">
        <x:v>numeric coverage for applicable metric</x:v>
      </x:c>
      <x:c r="N4285" s="34" t="str">
        <x:v>Feedback-Directed Random Test Generation/Result_Round2/Chart_14/result.json</x:v>
      </x:c>
      <x:c r="O4285" s="38" t="n">
        <x:f>IF(AND(G4285="RECORDED",ISNUMBER(H4285)),H4285,"")</x:f>
        <x:v>39.9</x:v>
      </x:c>
      <x:c r="P4285" s="34" t="str">
        <x:v>INCONCLUSIVE</x:v>
      </x:c>
      <x:c r="Q4285" s="34" t="str">
        <x:v>Feedback-Directed Random Test Generation/Result_Round2/Chart_14/result.json</x:v>
      </x:c>
    </x:row>
    <x:row r="4286">
      <x:c r="A4286" s="34" t="str">
        <x:v>randoop</x:v>
      </x:c>
      <x:c r="B4286" s="34" t="str">
        <x:v>Chart</x:v>
      </x:c>
      <x:c r="C4286" s="34" t="str">
        <x:v>Round2</x:v>
      </x:c>
      <x:c r="D4286" s="34" t="str">
        <x:v>Chart_15</x:v>
      </x:c>
      <x:c r="E4286" s="34" t="str">
        <x:v>Condition</x:v>
      </x:c>
      <x:c r="F4286" s="34" t="n">
        <x:v>312</x:v>
      </x:c>
      <x:c r="G4286" s="34" t="str">
        <x:v>RECORDED</x:v>
      </x:c>
      <x:c r="H4286" s="38" t="n">
        <x:f>IF(ISNUMBER('Data'!I870),'Data'!I870*100,"")</x:f>
        <x:v>36.54</x:v>
      </x:c>
      <x:c r="I4286" s="34" t="str">
        <x:v>PASS</x:v>
      </x:c>
      <x:c r="J4286" s="34" t="str">
        <x:v>PASS</x:v>
      </x:c>
      <x:c r="K4286" s="34" t="str">
        <x:v>PASS</x:v>
      </x:c>
      <x:c r="L4286" s="34" t="str">
        <x:v>FAIL</x:v>
      </x:c>
      <x:c r="M4286" s="34" t="str">
        <x:v>numeric coverage for applicable metric</x:v>
      </x:c>
      <x:c r="N4286" s="34" t="str">
        <x:v>Feedback-Directed Random Test Generation/Result_Round2/Chart_15/result.json</x:v>
      </x:c>
      <x:c r="O4286" s="38" t="n">
        <x:f>IF(AND(G4286="RECORDED",ISNUMBER(H4286)),H4286,"")</x:f>
        <x:v>36.54</x:v>
      </x:c>
      <x:c r="P4286" s="34" t="str">
        <x:v>INCONCLUSIVE</x:v>
      </x:c>
      <x:c r="Q4286" s="34" t="str">
        <x:v>Feedback-Directed Random Test Generation/Result_Round2/Chart_15/result.json</x:v>
      </x:c>
    </x:row>
    <x:row r="4287">
      <x:c r="A4287" s="34" t="str">
        <x:v>randoop</x:v>
      </x:c>
      <x:c r="B4287" s="34" t="str">
        <x:v>Chart</x:v>
      </x:c>
      <x:c r="C4287" s="34" t="str">
        <x:v>Round2</x:v>
      </x:c>
      <x:c r="D4287" s="34" t="str">
        <x:v>Chart_16</x:v>
      </x:c>
      <x:c r="E4287" s="34" t="str">
        <x:v>Condition</x:v>
      </x:c>
      <x:c r="F4287" s="34" t="n">
        <x:v>128</x:v>
      </x:c>
      <x:c r="G4287" s="34" t="str">
        <x:v>RECORDED</x:v>
      </x:c>
      <x:c r="H4287" s="38" t="n">
        <x:f>IF(ISNUMBER('Data'!I871),'Data'!I871*100,"")</x:f>
        <x:v>82.81</x:v>
      </x:c>
      <x:c r="I4287" s="34" t="str">
        <x:v>PASS</x:v>
      </x:c>
      <x:c r="J4287" s="34" t="str">
        <x:v>PASS</x:v>
      </x:c>
      <x:c r="K4287" s="34" t="str">
        <x:v>PASS</x:v>
      </x:c>
      <x:c r="L4287" s="34" t="str">
        <x:v>FAIL</x:v>
      </x:c>
      <x:c r="M4287" s="34" t="str">
        <x:v>numeric coverage for applicable metric</x:v>
      </x:c>
      <x:c r="N4287" s="34" t="str">
        <x:v>Feedback-Directed Random Test Generation/Result_Round2/Chart_16/result.json</x:v>
      </x:c>
      <x:c r="O4287" s="38" t="n">
        <x:f>IF(AND(G4287="RECORDED",ISNUMBER(H4287)),H4287,"")</x:f>
        <x:v>82.81</x:v>
      </x:c>
      <x:c r="P4287" s="34" t="str">
        <x:v>INCONCLUSIVE</x:v>
      </x:c>
      <x:c r="Q4287" s="34" t="str">
        <x:v>Feedback-Directed Random Test Generation/Result_Round2/Chart_16/result.json</x:v>
      </x:c>
    </x:row>
    <x:row r="4288">
      <x:c r="A4288" s="34" t="str">
        <x:v>randoop</x:v>
      </x:c>
      <x:c r="B4288" s="34" t="str">
        <x:v>Chart</x:v>
      </x:c>
      <x:c r="C4288" s="34" t="str">
        <x:v>Round2</x:v>
      </x:c>
      <x:c r="D4288" s="34" t="str">
        <x:v>Chart_17</x:v>
      </x:c>
      <x:c r="E4288" s="34" t="str">
        <x:v>Condition</x:v>
      </x:c>
      <x:c r="F4288" s="34" t="n">
        <x:v>128</x:v>
      </x:c>
      <x:c r="G4288" s="34" t="str">
        <x:v>RECORDED</x:v>
      </x:c>
      <x:c r="H4288" s="38" t="n">
        <x:f>IF(ISNUMBER('Data'!I872),'Data'!I872*100,"")</x:f>
        <x:v>35.94</x:v>
      </x:c>
      <x:c r="I4288" s="34" t="str">
        <x:v>PASS</x:v>
      </x:c>
      <x:c r="J4288" s="34" t="str">
        <x:v>PASS</x:v>
      </x:c>
      <x:c r="K4288" s="34" t="str">
        <x:v>PASS</x:v>
      </x:c>
      <x:c r="L4288" s="34" t="str">
        <x:v>FAIL</x:v>
      </x:c>
      <x:c r="M4288" s="34" t="str">
        <x:v>numeric coverage for applicable metric</x:v>
      </x:c>
      <x:c r="N4288" s="34" t="str">
        <x:v>Feedback-Directed Random Test Generation/Result_Round2/Chart_17/result.json</x:v>
      </x:c>
      <x:c r="O4288" s="38" t="n">
        <x:f>IF(AND(G4288="RECORDED",ISNUMBER(H4288)),H4288,"")</x:f>
        <x:v>35.94</x:v>
      </x:c>
      <x:c r="P4288" s="34" t="str">
        <x:v>INCONCLUSIVE</x:v>
      </x:c>
      <x:c r="Q4288" s="34" t="str">
        <x:v>Feedback-Directed Random Test Generation/Result_Round2/Chart_17/result.json</x:v>
      </x:c>
    </x:row>
    <x:row r="4289">
      <x:c r="A4289" s="34" t="str">
        <x:v>randoop</x:v>
      </x:c>
      <x:c r="B4289" s="34" t="str">
        <x:v>Chart</x:v>
      </x:c>
      <x:c r="C4289" s="34" t="str">
        <x:v>Round2</x:v>
      </x:c>
      <x:c r="D4289" s="34" t="str">
        <x:v>Chart_18</x:v>
      </x:c>
      <x:c r="E4289" s="34" t="str">
        <x:v>Condition</x:v>
      </x:c>
      <x:c r="F4289" s="34" t="n">
        <x:v>122</x:v>
      </x:c>
      <x:c r="G4289" s="34" t="str">
        <x:v>RECORDED</x:v>
      </x:c>
      <x:c r="H4289" s="38" t="n">
        <x:f>IF(ISNUMBER('Data'!I873),'Data'!I873*100,"")</x:f>
        <x:v>74.59</x:v>
      </x:c>
      <x:c r="I4289" s="34" t="str">
        <x:v>PASS</x:v>
      </x:c>
      <x:c r="J4289" s="34" t="str">
        <x:v>PASS</x:v>
      </x:c>
      <x:c r="K4289" s="34" t="str">
        <x:v>PASS</x:v>
      </x:c>
      <x:c r="L4289" s="34" t="str">
        <x:v>PASS</x:v>
      </x:c>
      <x:c r="M4289" s="34" t="str">
        <x:v>numeric coverage for applicable metric</x:v>
      </x:c>
      <x:c r="N4289" s="34" t="str">
        <x:v>Feedback-Directed Random Test Generation/Result_Round2/Chart_18/result.json</x:v>
      </x:c>
      <x:c r="O4289" s="38" t="n">
        <x:f>IF(AND(G4289="RECORDED",ISNUMBER(H4289)),H4289,"")</x:f>
        <x:v>74.59</x:v>
      </x:c>
      <x:c r="P4289" s="34" t="str">
        <x:v>INCONCLUSIVE</x:v>
      </x:c>
      <x:c r="Q4289" s="34" t="str">
        <x:v>Feedback-Directed Random Test Generation/Result_Round2/Chart_18/result.json</x:v>
      </x:c>
    </x:row>
    <x:row r="4290">
      <x:c r="A4290" s="34" t="str">
        <x:v>randoop</x:v>
      </x:c>
      <x:c r="B4290" s="34" t="str">
        <x:v>Chart</x:v>
      </x:c>
      <x:c r="C4290" s="34" t="str">
        <x:v>Round2</x:v>
      </x:c>
      <x:c r="D4290" s="34" t="str">
        <x:v>Chart_19</x:v>
      </x:c>
      <x:c r="E4290" s="34" t="str">
        <x:v>Condition</x:v>
      </x:c>
      <x:c r="F4290" s="34" t="n">
        <x:v>0</x:v>
      </x:c>
      <x:c r="G4290" s="34" t="str">
        <x:v>A</x:v>
      </x:c>
      <x:c r="H4290" s="38" t="str">
        <x:f>IF(ISNUMBER('Data'!I874),'Data'!I874*100,"")</x:f>
      </x:c>
      <x:c r="I4290" s="34"/>
      <x:c r="J4290" s="34"/>
      <x:c r="K4290" s="34"/>
      <x:c r="L4290" s="34" t="str">
        <x:v>NOT_RUN</x:v>
      </x:c>
      <x:c r="M4290" s="34" t="str">
        <x:v>Latest same-round generation failed; older files/results are excluded</x:v>
      </x:c>
      <x:c r="N4290" s="34" t="str">
        <x:v>Feedback-Directed Random Test Generation/report_Round2.csv</x:v>
      </x:c>
      <x:c r="O4290" s="38" t="str">
        <x:f>IF(AND(G4290="RECORDED",ISNUMBER(H4290)),H4290,"")</x:f>
      </x:c>
      <x:c r="P4290" s="34" t="str">
        <x:v>FAIL</x:v>
      </x:c>
      <x:c r="Q4290" s="34"/>
    </x:row>
    <x:row r="4291">
      <x:c r="A4291" s="34" t="str">
        <x:v>randoop</x:v>
      </x:c>
      <x:c r="B4291" s="34" t="str">
        <x:v>Chart</x:v>
      </x:c>
      <x:c r="C4291" s="34" t="str">
        <x:v>Round2</x:v>
      </x:c>
      <x:c r="D4291" s="34" t="str">
        <x:v>Chart_20</x:v>
      </x:c>
      <x:c r="E4291" s="34" t="str">
        <x:v>Condition</x:v>
      </x:c>
      <x:c r="F4291" s="34" t="n">
        <x:v>8</x:v>
      </x:c>
      <x:c r="G4291" s="34" t="str">
        <x:v>RECORDED</x:v>
      </x:c>
      <x:c r="H4291" s="38" t="n">
        <x:f>IF(ISNUMBER('Data'!I875),'Data'!I875*100,"")</x:f>
        <x:v>75</x:v>
      </x:c>
      <x:c r="I4291" s="34" t="str">
        <x:v>PASS</x:v>
      </x:c>
      <x:c r="J4291" s="34" t="str">
        <x:v>PASS</x:v>
      </x:c>
      <x:c r="K4291" s="34" t="str">
        <x:v>PASS</x:v>
      </x:c>
      <x:c r="L4291" s="34" t="str">
        <x:v>FAIL</x:v>
      </x:c>
      <x:c r="M4291" s="34" t="str">
        <x:v>numeric coverage for applicable metric</x:v>
      </x:c>
      <x:c r="N4291" s="34" t="str">
        <x:v>Feedback-Directed Random Test Generation/Result_Round2/Chart_20/result.json</x:v>
      </x:c>
      <x:c r="O4291" s="38" t="n">
        <x:f>IF(AND(G4291="RECORDED",ISNUMBER(H4291)),H4291,"")</x:f>
        <x:v>75</x:v>
      </x:c>
      <x:c r="P4291" s="34" t="str">
        <x:v>INCONCLUSIVE</x:v>
      </x:c>
      <x:c r="Q4291" s="34" t="str">
        <x:v>Feedback-Directed Random Test Generation/Result_Round2/Chart_20/result.json</x:v>
      </x:c>
    </x:row>
    <x:row r="4292">
      <x:c r="A4292" s="34" t="str">
        <x:v>randoop</x:v>
      </x:c>
      <x:c r="B4292" s="34" t="str">
        <x:v>Chart</x:v>
      </x:c>
      <x:c r="C4292" s="34" t="str">
        <x:v>Round2</x:v>
      </x:c>
      <x:c r="D4292" s="34" t="str">
        <x:v>Chart_21</x:v>
      </x:c>
      <x:c r="E4292" s="34" t="str">
        <x:v>Condition</x:v>
      </x:c>
      <x:c r="F4292" s="34" t="n">
        <x:v>60</x:v>
      </x:c>
      <x:c r="G4292" s="34" t="str">
        <x:v>RECORDED</x:v>
      </x:c>
      <x:c r="H4292" s="38" t="n">
        <x:f>IF(ISNUMBER('Data'!I876),'Data'!I876*100,"")</x:f>
        <x:v>15</x:v>
      </x:c>
      <x:c r="I4292" s="34" t="str">
        <x:v>PASS</x:v>
      </x:c>
      <x:c r="J4292" s="34" t="str">
        <x:v>PASS</x:v>
      </x:c>
      <x:c r="K4292" s="34" t="str">
        <x:v>PASS</x:v>
      </x:c>
      <x:c r="L4292" s="34" t="str">
        <x:v>FAIL</x:v>
      </x:c>
      <x:c r="M4292" s="34" t="str">
        <x:v>numeric coverage for applicable metric</x:v>
      </x:c>
      <x:c r="N4292" s="34" t="str">
        <x:v>Feedback-Directed Random Test Generation/Result_Round2/Chart_21/result.json</x:v>
      </x:c>
      <x:c r="O4292" s="38" t="n">
        <x:f>IF(AND(G4292="RECORDED",ISNUMBER(H4292)),H4292,"")</x:f>
        <x:v>15</x:v>
      </x:c>
      <x:c r="P4292" s="34" t="str">
        <x:v>INCONCLUSIVE</x:v>
      </x:c>
      <x:c r="Q4292" s="34" t="str">
        <x:v>Feedback-Directed Random Test Generation/Result_Round2/Chart_21/result.json</x:v>
      </x:c>
    </x:row>
    <x:row r="4293">
      <x:c r="A4293" s="34" t="str">
        <x:v>randoop</x:v>
      </x:c>
      <x:c r="B4293" s="34" t="str">
        <x:v>Chart</x:v>
      </x:c>
      <x:c r="C4293" s="34" t="str">
        <x:v>Round2</x:v>
      </x:c>
      <x:c r="D4293" s="34" t="str">
        <x:v>Chart_22</x:v>
      </x:c>
      <x:c r="E4293" s="34" t="str">
        <x:v>Condition</x:v>
      </x:c>
      <x:c r="F4293" s="34" t="n">
        <x:v>58</x:v>
      </x:c>
      <x:c r="G4293" s="34" t="str">
        <x:v>RECORDED</x:v>
      </x:c>
      <x:c r="H4293" s="38" t="n">
        <x:f>IF(ISNUMBER('Data'!I877),'Data'!I877*100,"")</x:f>
        <x:v>84.48</x:v>
      </x:c>
      <x:c r="I4293" s="34" t="str">
        <x:v>PASS</x:v>
      </x:c>
      <x:c r="J4293" s="34" t="str">
        <x:v>PASS</x:v>
      </x:c>
      <x:c r="K4293" s="34" t="str">
        <x:v>PASS</x:v>
      </x:c>
      <x:c r="L4293" s="34" t="str">
        <x:v>FAIL</x:v>
      </x:c>
      <x:c r="M4293" s="34" t="str">
        <x:v>numeric coverage for applicable metric</x:v>
      </x:c>
      <x:c r="N4293" s="34" t="str">
        <x:v>Feedback-Directed Random Test Generation/Result_Round2/Chart_22/result.json</x:v>
      </x:c>
      <x:c r="O4293" s="38" t="n">
        <x:f>IF(AND(G4293="RECORDED",ISNUMBER(H4293)),H4293,"")</x:f>
        <x:v>84.48</x:v>
      </x:c>
      <x:c r="P4293" s="34" t="str">
        <x:v>INCONCLUSIVE</x:v>
      </x:c>
      <x:c r="Q4293" s="34" t="str">
        <x:v>Feedback-Directed Random Test Generation/Result_Round2/Chart_22/result.json</x:v>
      </x:c>
    </x:row>
    <x:row r="4294">
      <x:c r="A4294" s="34" t="str">
        <x:v>randoop</x:v>
      </x:c>
      <x:c r="B4294" s="34" t="str">
        <x:v>Chart</x:v>
      </x:c>
      <x:c r="C4294" s="34" t="str">
        <x:v>Round2</x:v>
      </x:c>
      <x:c r="D4294" s="34" t="str">
        <x:v>Chart_23</x:v>
      </x:c>
      <x:c r="E4294" s="34" t="str">
        <x:v>Condition</x:v>
      </x:c>
      <x:c r="F4294" s="34" t="n">
        <x:v>46</x:v>
      </x:c>
      <x:c r="G4294" s="34" t="str">
        <x:v>RECORDED</x:v>
      </x:c>
      <x:c r="H4294" s="38" t="n">
        <x:f>IF(ISNUMBER('Data'!I878),'Data'!I878*100,"")</x:f>
        <x:v>21.74</x:v>
      </x:c>
      <x:c r="I4294" s="34" t="str">
        <x:v>PASS</x:v>
      </x:c>
      <x:c r="J4294" s="34" t="str">
        <x:v>PASS</x:v>
      </x:c>
      <x:c r="K4294" s="34" t="str">
        <x:v>PASS</x:v>
      </x:c>
      <x:c r="L4294" s="34" t="str">
        <x:v>FAIL</x:v>
      </x:c>
      <x:c r="M4294" s="34" t="str">
        <x:v>numeric coverage for applicable metric</x:v>
      </x:c>
      <x:c r="N4294" s="34" t="str">
        <x:v>Feedback-Directed Random Test Generation/Result_Round2/Chart_23/result.json</x:v>
      </x:c>
      <x:c r="O4294" s="38" t="n">
        <x:f>IF(AND(G4294="RECORDED",ISNUMBER(H4294)),H4294,"")</x:f>
        <x:v>21.74</x:v>
      </x:c>
      <x:c r="P4294" s="34" t="str">
        <x:v>INCONCLUSIVE</x:v>
      </x:c>
      <x:c r="Q4294" s="34" t="str">
        <x:v>Feedback-Directed Random Test Generation/Result_Round2/Chart_23/result.json</x:v>
      </x:c>
    </x:row>
    <x:row r="4295">
      <x:c r="A4295" s="34" t="str">
        <x:v>randoop</x:v>
      </x:c>
      <x:c r="B4295" s="34" t="str">
        <x:v>Chart</x:v>
      </x:c>
      <x:c r="C4295" s="34" t="str">
        <x:v>Round2</x:v>
      </x:c>
      <x:c r="D4295" s="34" t="str">
        <x:v>Chart_24</x:v>
      </x:c>
      <x:c r="E4295" s="34" t="str">
        <x:v>Condition</x:v>
      </x:c>
      <x:c r="F4295" s="34" t="n">
        <x:v>10</x:v>
      </x:c>
      <x:c r="G4295" s="34" t="str">
        <x:v>RECORDED</x:v>
      </x:c>
      <x:c r="H4295" s="38" t="n">
        <x:f>IF(ISNUMBER('Data'!I879),'Data'!I879*100,"")</x:f>
        <x:v>90</x:v>
      </x:c>
      <x:c r="I4295" s="34" t="str">
        <x:v>PASS</x:v>
      </x:c>
      <x:c r="J4295" s="34" t="str">
        <x:v>PASS</x:v>
      </x:c>
      <x:c r="K4295" s="34" t="str">
        <x:v>PASS</x:v>
      </x:c>
      <x:c r="L4295" s="34" t="str">
        <x:v>FAIL</x:v>
      </x:c>
      <x:c r="M4295" s="34" t="str">
        <x:v>numeric coverage for applicable metric</x:v>
      </x:c>
      <x:c r="N4295" s="34" t="str">
        <x:v>Feedback-Directed Random Test Generation/Result_Round2/Chart_24/result.json</x:v>
      </x:c>
      <x:c r="O4295" s="38" t="n">
        <x:f>IF(AND(G4295="RECORDED",ISNUMBER(H4295)),H4295,"")</x:f>
        <x:v>90</x:v>
      </x:c>
      <x:c r="P4295" s="34" t="str">
        <x:v>INCONCLUSIVE</x:v>
      </x:c>
      <x:c r="Q4295" s="34" t="str">
        <x:v>Feedback-Directed Random Test Generation/Result_Round2/Chart_24/result.json</x:v>
      </x:c>
    </x:row>
    <x:row r="4296">
      <x:c r="A4296" s="34" t="str">
        <x:v>randoop</x:v>
      </x:c>
      <x:c r="B4296" s="34" t="str">
        <x:v>Chart</x:v>
      </x:c>
      <x:c r="C4296" s="34" t="str">
        <x:v>Round2</x:v>
      </x:c>
      <x:c r="D4296" s="34" t="str">
        <x:v>Chart_25</x:v>
      </x:c>
      <x:c r="E4296" s="34" t="str">
        <x:v>Condition</x:v>
      </x:c>
      <x:c r="F4296" s="34" t="n">
        <x:v>82</x:v>
      </x:c>
      <x:c r="G4296" s="34" t="str">
        <x:v>RECORDED</x:v>
      </x:c>
      <x:c r="H4296" s="38" t="n">
        <x:f>IF(ISNUMBER('Data'!I880),'Data'!I880*100,"")</x:f>
        <x:v>8.54</x:v>
      </x:c>
      <x:c r="I4296" s="34" t="str">
        <x:v>PASS</x:v>
      </x:c>
      <x:c r="J4296" s="34" t="str">
        <x:v>PASS</x:v>
      </x:c>
      <x:c r="K4296" s="34" t="str">
        <x:v>PASS</x:v>
      </x:c>
      <x:c r="L4296" s="34" t="str">
        <x:v>FAIL</x:v>
      </x:c>
      <x:c r="M4296" s="34" t="str">
        <x:v>numeric coverage for applicable metric</x:v>
      </x:c>
      <x:c r="N4296" s="34" t="str">
        <x:v>Feedback-Directed Random Test Generation/Result_Round2/Chart_25/result.json</x:v>
      </x:c>
      <x:c r="O4296" s="38" t="n">
        <x:f>IF(AND(G4296="RECORDED",ISNUMBER(H4296)),H4296,"")</x:f>
        <x:v>8.54</x:v>
      </x:c>
      <x:c r="P4296" s="34" t="str">
        <x:v>INCONCLUSIVE</x:v>
      </x:c>
      <x:c r="Q4296" s="34" t="str">
        <x:v>Feedback-Directed Random Test Generation/Result_Round2/Chart_25/result.json</x:v>
      </x:c>
    </x:row>
    <x:row r="4297">
      <x:c r="A4297" s="34" t="str">
        <x:v>randoop</x:v>
      </x:c>
      <x:c r="B4297" s="34" t="str">
        <x:v>Chart</x:v>
      </x:c>
      <x:c r="C4297" s="34" t="str">
        <x:v>Round2</x:v>
      </x:c>
      <x:c r="D4297" s="34" t="str">
        <x:v>Chart_26</x:v>
      </x:c>
      <x:c r="E4297" s="34" t="str">
        <x:v>Condition</x:v>
      </x:c>
      <x:c r="F4297" s="34" t="n">
        <x:v>128</x:v>
      </x:c>
      <x:c r="G4297" s="34" t="str">
        <x:v>RECORDED</x:v>
      </x:c>
      <x:c r="H4297" s="38" t="n">
        <x:f>IF(ISNUMBER('Data'!I881),'Data'!I881*100,"")</x:f>
        <x:v>0</x:v>
      </x:c>
      <x:c r="I4297" s="34" t="str">
        <x:v>PASS</x:v>
      </x:c>
      <x:c r="J4297" s="34" t="str">
        <x:v>PASS</x:v>
      </x:c>
      <x:c r="K4297" s="34" t="str">
        <x:v>PASS</x:v>
      </x:c>
      <x:c r="L4297" s="34" t="str">
        <x:v>PASS</x:v>
      </x:c>
      <x:c r="M4297" s="34" t="str">
        <x:v>numeric coverage for applicable metric</x:v>
      </x:c>
      <x:c r="N4297" s="34" t="str">
        <x:v>Feedback-Directed Random Test Generation/Result_Round2/Chart_26/result.json</x:v>
      </x:c>
      <x:c r="O4297" s="38" t="n">
        <x:f>IF(AND(G4297="RECORDED",ISNUMBER(H4297)),H4297,"")</x:f>
        <x:v>0</x:v>
      </x:c>
      <x:c r="P4297" s="34" t="str">
        <x:v>NOT_REVEALING</x:v>
      </x:c>
      <x:c r="Q4297" s="34" t="str">
        <x:v>Feedback-Directed Random Test Generation/Result_Round2/Chart_26/result.json</x:v>
      </x:c>
    </x:row>
    <x:row r="4298">
      <x:c r="A4298" s="34" t="str">
        <x:v>randoop</x:v>
      </x:c>
      <x:c r="B4298" s="34" t="str">
        <x:v>Cli</x:v>
      </x:c>
      <x:c r="C4298" s="34" t="str">
        <x:v>Round2</x:v>
      </x:c>
      <x:c r="D4298" s="34" t="str">
        <x:v>Cli_1</x:v>
      </x:c>
      <x:c r="E4298" s="34" t="str">
        <x:v>Condition</x:v>
      </x:c>
      <x:c r="F4298" s="34" t="n">
        <x:v>14</x:v>
      </x:c>
      <x:c r="G4298" s="34" t="str">
        <x:v>RECORDED</x:v>
      </x:c>
      <x:c r="H4298" s="38" t="n">
        <x:f>IF(ISNUMBER('Data'!I882),'Data'!I882*100,"")</x:f>
        <x:v>0</x:v>
      </x:c>
      <x:c r="I4298" s="34" t="str">
        <x:v>PASS</x:v>
      </x:c>
      <x:c r="J4298" s="34" t="str">
        <x:v>PASS</x:v>
      </x:c>
      <x:c r="K4298" s="34" t="str">
        <x:v>PASS</x:v>
      </x:c>
      <x:c r="L4298" s="34" t="str">
        <x:v>FAIL</x:v>
      </x:c>
      <x:c r="M4298" s="34" t="str">
        <x:v>numeric coverage for applicable metric</x:v>
      </x:c>
      <x:c r="N4298" s="34" t="str">
        <x:v>Feedback-Directed Random Test Generation/Result_Round2/Cli_1/result.json</x:v>
      </x:c>
      <x:c r="O4298" s="38" t="n">
        <x:f>IF(AND(G4298="RECORDED",ISNUMBER(H4298)),H4298,"")</x:f>
        <x:v>0</x:v>
      </x:c>
      <x:c r="P4298" s="34" t="str">
        <x:v>INCONCLUSIVE</x:v>
      </x:c>
      <x:c r="Q4298" s="34" t="str">
        <x:v>Feedback-Directed Random Test Generation/Result_Round2/Cli_1/result.json</x:v>
      </x:c>
    </x:row>
    <x:row r="4299">
      <x:c r="A4299" s="34" t="str">
        <x:v>randoop</x:v>
      </x:c>
      <x:c r="B4299" s="34" t="str">
        <x:v>Cli</x:v>
      </x:c>
      <x:c r="C4299" s="34" t="str">
        <x:v>Round2</x:v>
      </x:c>
      <x:c r="D4299" s="34" t="str">
        <x:v>Cli_2</x:v>
      </x:c>
      <x:c r="E4299" s="34" t="str">
        <x:v>Condition</x:v>
      </x:c>
      <x:c r="F4299" s="34" t="n">
        <x:v>42</x:v>
      </x:c>
      <x:c r="G4299" s="34" t="str">
        <x:v>RECORDED</x:v>
      </x:c>
      <x:c r="H4299" s="38" t="n">
        <x:f>IF(ISNUMBER('Data'!I883),'Data'!I883*100,"")</x:f>
        <x:v>0</x:v>
      </x:c>
      <x:c r="I4299" s="34" t="str">
        <x:v>PASS</x:v>
      </x:c>
      <x:c r="J4299" s="34" t="str">
        <x:v>PASS</x:v>
      </x:c>
      <x:c r="K4299" s="34" t="str">
        <x:v>PASS</x:v>
      </x:c>
      <x:c r="L4299" s="34" t="str">
        <x:v>FAIL</x:v>
      </x:c>
      <x:c r="M4299" s="34" t="str">
        <x:v>numeric coverage for applicable metric</x:v>
      </x:c>
      <x:c r="N4299" s="34" t="str">
        <x:v>Feedback-Directed Random Test Generation/Result_Round2/Cli_2/result.json</x:v>
      </x:c>
      <x:c r="O4299" s="38" t="n">
        <x:f>IF(AND(G4299="RECORDED",ISNUMBER(H4299)),H4299,"")</x:f>
        <x:v>0</x:v>
      </x:c>
      <x:c r="P4299" s="34" t="str">
        <x:v>INCONCLUSIVE</x:v>
      </x:c>
      <x:c r="Q4299" s="34" t="str">
        <x:v>Feedback-Directed Random Test Generation/Result_Round2/Cli_2/result.json</x:v>
      </x:c>
    </x:row>
    <x:row r="4300">
      <x:c r="A4300" s="34" t="str">
        <x:v>randoop</x:v>
      </x:c>
      <x:c r="B4300" s="34" t="str">
        <x:v>Cli</x:v>
      </x:c>
      <x:c r="C4300" s="34" t="str">
        <x:v>Round2</x:v>
      </x:c>
      <x:c r="D4300" s="34" t="str">
        <x:v>Cli_3</x:v>
      </x:c>
      <x:c r="E4300" s="34" t="str">
        <x:v>Condition</x:v>
      </x:c>
      <x:c r="F4300" s="34" t="n">
        <x:v>20</x:v>
      </x:c>
      <x:c r="G4300" s="34" t="str">
        <x:v>RECORDED</x:v>
      </x:c>
      <x:c r="H4300" s="38" t="n">
        <x:f>IF(ISNUMBER('Data'!I884),'Data'!I884*100,"")</x:f>
        <x:v>0</x:v>
      </x:c>
      <x:c r="I4300" s="34" t="str">
        <x:v>PASS</x:v>
      </x:c>
      <x:c r="J4300" s="34" t="str">
        <x:v>PASS</x:v>
      </x:c>
      <x:c r="K4300" s="34" t="str">
        <x:v>PASS</x:v>
      </x:c>
      <x:c r="L4300" s="34" t="str">
        <x:v>FAIL</x:v>
      </x:c>
      <x:c r="M4300" s="34" t="str">
        <x:v>numeric coverage for applicable metric</x:v>
      </x:c>
      <x:c r="N4300" s="34" t="str">
        <x:v>Feedback-Directed Random Test Generation/Result_Round2/Cli_3/result.json</x:v>
      </x:c>
      <x:c r="O4300" s="38" t="n">
        <x:f>IF(AND(G4300="RECORDED",ISNUMBER(H4300)),H4300,"")</x:f>
        <x:v>0</x:v>
      </x:c>
      <x:c r="P4300" s="34" t="str">
        <x:v>INCONCLUSIVE</x:v>
      </x:c>
      <x:c r="Q4300" s="34" t="str">
        <x:v>Feedback-Directed Random Test Generation/Result_Round2/Cli_3/result.json</x:v>
      </x:c>
    </x:row>
    <x:row r="4301">
      <x:c r="A4301" s="34" t="str">
        <x:v>randoop</x:v>
      </x:c>
      <x:c r="B4301" s="34" t="str">
        <x:v>Cli</x:v>
      </x:c>
      <x:c r="C4301" s="34" t="str">
        <x:v>Round2</x:v>
      </x:c>
      <x:c r="D4301" s="34" t="str">
        <x:v>Cli_4</x:v>
      </x:c>
      <x:c r="E4301" s="34" t="str">
        <x:v>Condition</x:v>
      </x:c>
      <x:c r="F4301" s="34" t="n">
        <x:v>68</x:v>
      </x:c>
      <x:c r="G4301" s="34" t="str">
        <x:v>RECORDED</x:v>
      </x:c>
      <x:c r="H4301" s="38" t="n">
        <x:f>IF(ISNUMBER('Data'!I885),'Data'!I885*100,"")</x:f>
        <x:v>0</x:v>
      </x:c>
      <x:c r="I4301" s="34" t="str">
        <x:v>PASS</x:v>
      </x:c>
      <x:c r="J4301" s="34" t="str">
        <x:v>PASS</x:v>
      </x:c>
      <x:c r="K4301" s="34" t="str">
        <x:v>PASS</x:v>
      </x:c>
      <x:c r="L4301" s="34" t="str">
        <x:v>FAIL</x:v>
      </x:c>
      <x:c r="M4301" s="34" t="str">
        <x:v>numeric coverage for applicable metric</x:v>
      </x:c>
      <x:c r="N4301" s="34" t="str">
        <x:v>Feedback-Directed Random Test Generation/Result_Round2/Cli_4/result.json</x:v>
      </x:c>
      <x:c r="O4301" s="38" t="n">
        <x:f>IF(AND(G4301="RECORDED",ISNUMBER(H4301)),H4301,"")</x:f>
        <x:v>0</x:v>
      </x:c>
      <x:c r="P4301" s="34" t="str">
        <x:v>INCONCLUSIVE</x:v>
      </x:c>
      <x:c r="Q4301" s="34" t="str">
        <x:v>Feedback-Directed Random Test Generation/Result_Round2/Cli_4/result.json</x:v>
      </x:c>
    </x:row>
    <x:row r="4302">
      <x:c r="A4302" s="34" t="str">
        <x:v>randoop</x:v>
      </x:c>
      <x:c r="B4302" s="34" t="str">
        <x:v>Cli</x:v>
      </x:c>
      <x:c r="C4302" s="34" t="str">
        <x:v>Round2</x:v>
      </x:c>
      <x:c r="D4302" s="34" t="str">
        <x:v>Cli_5</x:v>
      </x:c>
      <x:c r="E4302" s="34" t="str">
        <x:v>Condition</x:v>
      </x:c>
      <x:c r="F4302" s="34" t="n">
        <x:v>8</x:v>
      </x:c>
      <x:c r="G4302" s="34" t="str">
        <x:v>RECORDED</x:v>
      </x:c>
      <x:c r="H4302" s="38" t="n">
        <x:f>IF(ISNUMBER('Data'!I886),'Data'!I886*100,"")</x:f>
        <x:v>0</x:v>
      </x:c>
      <x:c r="I4302" s="34" t="str">
        <x:v>PASS</x:v>
      </x:c>
      <x:c r="J4302" s="34" t="str">
        <x:v>PASS</x:v>
      </x:c>
      <x:c r="K4302" s="34" t="str">
        <x:v>PASS</x:v>
      </x:c>
      <x:c r="L4302" s="34" t="str">
        <x:v>FAIL</x:v>
      </x:c>
      <x:c r="M4302" s="34" t="str">
        <x:v>numeric coverage for applicable metric</x:v>
      </x:c>
      <x:c r="N4302" s="34" t="str">
        <x:v>Feedback-Directed Random Test Generation/Result_Round2/Cli_5/result.json</x:v>
      </x:c>
      <x:c r="O4302" s="38" t="n">
        <x:f>IF(AND(G4302="RECORDED",ISNUMBER(H4302)),H4302,"")</x:f>
        <x:v>0</x:v>
      </x:c>
      <x:c r="P4302" s="34" t="str">
        <x:v>INCONCLUSIVE</x:v>
      </x:c>
      <x:c r="Q4302" s="34" t="str">
        <x:v>Feedback-Directed Random Test Generation/Result_Round2/Cli_5/result.json</x:v>
      </x:c>
    </x:row>
    <x:row r="4303">
      <x:c r="A4303" s="34" t="str">
        <x:v>randoop</x:v>
      </x:c>
      <x:c r="B4303" s="34" t="str">
        <x:v>Cli</x:v>
      </x:c>
      <x:c r="C4303" s="34" t="str">
        <x:v>Round2</x:v>
      </x:c>
      <x:c r="D4303" s="34" t="str">
        <x:v>Cli_7</x:v>
      </x:c>
      <x:c r="E4303" s="34" t="str">
        <x:v>Condition</x:v>
      </x:c>
      <x:c r="F4303" s="34" t="n">
        <x:v>27</x:v>
      </x:c>
      <x:c r="G4303" s="34" t="str">
        <x:v>RECORDED</x:v>
      </x:c>
      <x:c r="H4303" s="38" t="n">
        <x:f>IF(ISNUMBER('Data'!I887),'Data'!I887*100,"")</x:f>
        <x:v>0</x:v>
      </x:c>
      <x:c r="I4303" s="34" t="str">
        <x:v>PASS</x:v>
      </x:c>
      <x:c r="J4303" s="34" t="str">
        <x:v>PASS</x:v>
      </x:c>
      <x:c r="K4303" s="34" t="str">
        <x:v>PASS</x:v>
      </x:c>
      <x:c r="L4303" s="34" t="str">
        <x:v>FAIL</x:v>
      </x:c>
      <x:c r="M4303" s="34" t="str">
        <x:v>numeric coverage for applicable metric</x:v>
      </x:c>
      <x:c r="N4303" s="34" t="str">
        <x:v>Feedback-Directed Random Test Generation/Result_Round2/Cli_7/result.json</x:v>
      </x:c>
      <x:c r="O4303" s="38" t="n">
        <x:f>IF(AND(G4303="RECORDED",ISNUMBER(H4303)),H4303,"")</x:f>
        <x:v>0</x:v>
      </x:c>
      <x:c r="P4303" s="34" t="str">
        <x:v>INCONCLUSIVE</x:v>
      </x:c>
      <x:c r="Q4303" s="34" t="str">
        <x:v>Feedback-Directed Random Test Generation/Result_Round2/Cli_7/result.json</x:v>
      </x:c>
    </x:row>
    <x:row r="4304">
      <x:c r="A4304" s="34" t="str">
        <x:v>randoop</x:v>
      </x:c>
      <x:c r="B4304" s="34" t="str">
        <x:v>Cli</x:v>
      </x:c>
      <x:c r="C4304" s="34" t="str">
        <x:v>Round2</x:v>
      </x:c>
      <x:c r="D4304" s="34" t="str">
        <x:v>Cli_8</x:v>
      </x:c>
      <x:c r="E4304" s="34" t="str">
        <x:v>Condition</x:v>
      </x:c>
      <x:c r="F4304" s="34" t="n">
        <x:v>104</x:v>
      </x:c>
      <x:c r="G4304" s="34" t="str">
        <x:v>RECORDED</x:v>
      </x:c>
      <x:c r="H4304" s="38" t="n">
        <x:f>IF(ISNUMBER('Data'!I888),'Data'!I888*100,"")</x:f>
        <x:v>0</x:v>
      </x:c>
      <x:c r="I4304" s="34" t="str">
        <x:v>PASS</x:v>
      </x:c>
      <x:c r="J4304" s="34" t="str">
        <x:v>PASS</x:v>
      </x:c>
      <x:c r="K4304" s="34" t="str">
        <x:v>PASS</x:v>
      </x:c>
      <x:c r="L4304" s="34" t="str">
        <x:v>FAIL</x:v>
      </x:c>
      <x:c r="M4304" s="34" t="str">
        <x:v>numeric coverage for applicable metric</x:v>
      </x:c>
      <x:c r="N4304" s="34" t="str">
        <x:v>Feedback-Directed Random Test Generation/Result_Round2/Cli_8/result.json</x:v>
      </x:c>
      <x:c r="O4304" s="38" t="n">
        <x:f>IF(AND(G4304="RECORDED",ISNUMBER(H4304)),H4304,"")</x:f>
        <x:v>0</x:v>
      </x:c>
      <x:c r="P4304" s="34" t="str">
        <x:v>INCONCLUSIVE</x:v>
      </x:c>
      <x:c r="Q4304" s="34" t="str">
        <x:v>Feedback-Directed Random Test Generation/Result_Round2/Cli_8/result.json</x:v>
      </x:c>
    </x:row>
    <x:row r="4305">
      <x:c r="A4305" s="34" t="str">
        <x:v>randoop</x:v>
      </x:c>
      <x:c r="B4305" s="34" t="str">
        <x:v>Cli</x:v>
      </x:c>
      <x:c r="C4305" s="34" t="str">
        <x:v>Round2</x:v>
      </x:c>
      <x:c r="D4305" s="34" t="str">
        <x:v>Cli_9</x:v>
      </x:c>
      <x:c r="E4305" s="34" t="str">
        <x:v>Condition</x:v>
      </x:c>
      <x:c r="F4305" s="34" t="n">
        <x:v>70</x:v>
      </x:c>
      <x:c r="G4305" s="34" t="str">
        <x:v>RECORDED</x:v>
      </x:c>
      <x:c r="H4305" s="38" t="n">
        <x:f>IF(ISNUMBER('Data'!I889),'Data'!I889*100,"")</x:f>
        <x:v>0</x:v>
      </x:c>
      <x:c r="I4305" s="34" t="str">
        <x:v>PASS</x:v>
      </x:c>
      <x:c r="J4305" s="34" t="str">
        <x:v>PASS</x:v>
      </x:c>
      <x:c r="K4305" s="34" t="str">
        <x:v>PASS</x:v>
      </x:c>
      <x:c r="L4305" s="34" t="str">
        <x:v>FAIL</x:v>
      </x:c>
      <x:c r="M4305" s="34" t="str">
        <x:v>numeric coverage for applicable metric</x:v>
      </x:c>
      <x:c r="N4305" s="34" t="str">
        <x:v>Feedback-Directed Random Test Generation/Result_Round2/Cli_9/result.json</x:v>
      </x:c>
      <x:c r="O4305" s="38" t="n">
        <x:f>IF(AND(G4305="RECORDED",ISNUMBER(H4305)),H4305,"")</x:f>
        <x:v>0</x:v>
      </x:c>
      <x:c r="P4305" s="34" t="str">
        <x:v>INCONCLUSIVE</x:v>
      </x:c>
      <x:c r="Q4305" s="34" t="str">
        <x:v>Feedback-Directed Random Test Generation/Result_Round2/Cli_9/result.json</x:v>
      </x:c>
    </x:row>
    <x:row r="4306">
      <x:c r="A4306" s="34" t="str">
        <x:v>randoop</x:v>
      </x:c>
      <x:c r="B4306" s="34" t="str">
        <x:v>Cli</x:v>
      </x:c>
      <x:c r="C4306" s="34" t="str">
        <x:v>Round2</x:v>
      </x:c>
      <x:c r="D4306" s="34" t="str">
        <x:v>Cli_10</x:v>
      </x:c>
      <x:c r="E4306" s="34" t="str">
        <x:v>Condition</x:v>
      </x:c>
      <x:c r="F4306" s="34" t="n">
        <x:v>70</x:v>
      </x:c>
      <x:c r="G4306" s="34" t="str">
        <x:v>RECORDED</x:v>
      </x:c>
      <x:c r="H4306" s="38" t="n">
        <x:f>IF(ISNUMBER('Data'!I890),'Data'!I890*100,"")</x:f>
        <x:v>0</x:v>
      </x:c>
      <x:c r="I4306" s="34" t="str">
        <x:v>PASS</x:v>
      </x:c>
      <x:c r="J4306" s="34" t="str">
        <x:v>PASS</x:v>
      </x:c>
      <x:c r="K4306" s="34" t="str">
        <x:v>PASS</x:v>
      </x:c>
      <x:c r="L4306" s="34" t="str">
        <x:v>FAIL</x:v>
      </x:c>
      <x:c r="M4306" s="34" t="str">
        <x:v>numeric coverage for applicable metric</x:v>
      </x:c>
      <x:c r="N4306" s="34" t="str">
        <x:v>Feedback-Directed Random Test Generation/Result_Round2/Cli_10/result.json</x:v>
      </x:c>
      <x:c r="O4306" s="38" t="n">
        <x:f>IF(AND(G4306="RECORDED",ISNUMBER(H4306)),H4306,"")</x:f>
        <x:v>0</x:v>
      </x:c>
      <x:c r="P4306" s="34" t="str">
        <x:v>INCONCLUSIVE</x:v>
      </x:c>
      <x:c r="Q4306" s="34" t="str">
        <x:v>Feedback-Directed Random Test Generation/Result_Round2/Cli_10/result.json</x:v>
      </x:c>
    </x:row>
    <x:row r="4307">
      <x:c r="A4307" s="34" t="str">
        <x:v>randoop</x:v>
      </x:c>
      <x:c r="B4307" s="34" t="str">
        <x:v>Cli</x:v>
      </x:c>
      <x:c r="C4307" s="34" t="str">
        <x:v>Round2</x:v>
      </x:c>
      <x:c r="D4307" s="34" t="str">
        <x:v>Cli_11</x:v>
      </x:c>
      <x:c r="E4307" s="34" t="str">
        <x:v>Condition</x:v>
      </x:c>
      <x:c r="F4307" s="34" t="n">
        <x:v>106</x:v>
      </x:c>
      <x:c r="G4307" s="34" t="str">
        <x:v>RECORDED</x:v>
      </x:c>
      <x:c r="H4307" s="38" t="n">
        <x:f>IF(ISNUMBER('Data'!I891),'Data'!I891*100,"")</x:f>
        <x:v>0</x:v>
      </x:c>
      <x:c r="I4307" s="34" t="str">
        <x:v>PASS</x:v>
      </x:c>
      <x:c r="J4307" s="34" t="str">
        <x:v>PASS</x:v>
      </x:c>
      <x:c r="K4307" s="34" t="str">
        <x:v>PASS</x:v>
      </x:c>
      <x:c r="L4307" s="34" t="str">
        <x:v>FAIL</x:v>
      </x:c>
      <x:c r="M4307" s="34" t="str">
        <x:v>numeric coverage for applicable metric</x:v>
      </x:c>
      <x:c r="N4307" s="34" t="str">
        <x:v>Feedback-Directed Random Test Generation/Result_Round2/Cli_11/result.json</x:v>
      </x:c>
      <x:c r="O4307" s="38" t="n">
        <x:f>IF(AND(G4307="RECORDED",ISNUMBER(H4307)),H4307,"")</x:f>
        <x:v>0</x:v>
      </x:c>
      <x:c r="P4307" s="34" t="str">
        <x:v>INCONCLUSIVE</x:v>
      </x:c>
      <x:c r="Q4307" s="34" t="str">
        <x:v>Feedback-Directed Random Test Generation/Result_Round2/Cli_11/result.json</x:v>
      </x:c>
    </x:row>
    <x:row r="4308">
      <x:c r="A4308" s="34" t="str">
        <x:v>randoop</x:v>
      </x:c>
      <x:c r="B4308" s="34" t="str">
        <x:v>Cli</x:v>
      </x:c>
      <x:c r="C4308" s="34" t="str">
        <x:v>Round2</x:v>
      </x:c>
      <x:c r="D4308" s="34" t="str">
        <x:v>Cli_12</x:v>
      </x:c>
      <x:c r="E4308" s="34" t="str">
        <x:v>Condition</x:v>
      </x:c>
      <x:c r="F4308" s="34" t="n">
        <x:v>16</x:v>
      </x:c>
      <x:c r="G4308" s="34" t="str">
        <x:v>RECORDED</x:v>
      </x:c>
      <x:c r="H4308" s="38" t="n">
        <x:f>IF(ISNUMBER('Data'!I892),'Data'!I892*100,"")</x:f>
        <x:v>0</x:v>
      </x:c>
      <x:c r="I4308" s="34" t="str">
        <x:v>PASS</x:v>
      </x:c>
      <x:c r="J4308" s="34" t="str">
        <x:v>PASS</x:v>
      </x:c>
      <x:c r="K4308" s="34" t="str">
        <x:v>PASS</x:v>
      </x:c>
      <x:c r="L4308" s="34" t="str">
        <x:v>FAIL</x:v>
      </x:c>
      <x:c r="M4308" s="34" t="str">
        <x:v>numeric coverage for applicable metric</x:v>
      </x:c>
      <x:c r="N4308" s="34" t="str">
        <x:v>Feedback-Directed Random Test Generation/Result_Round2/Cli_12/result.json</x:v>
      </x:c>
      <x:c r="O4308" s="38" t="n">
        <x:f>IF(AND(G4308="RECORDED",ISNUMBER(H4308)),H4308,"")</x:f>
        <x:v>0</x:v>
      </x:c>
      <x:c r="P4308" s="34" t="str">
        <x:v>INCONCLUSIVE</x:v>
      </x:c>
      <x:c r="Q4308" s="34" t="str">
        <x:v>Feedback-Directed Random Test Generation/Result_Round2/Cli_12/result.json</x:v>
      </x:c>
    </x:row>
    <x:row r="4309">
      <x:c r="A4309" s="34" t="str">
        <x:v>randoop</x:v>
      </x:c>
      <x:c r="B4309" s="34" t="str">
        <x:v>Cli</x:v>
      </x:c>
      <x:c r="C4309" s="34" t="str">
        <x:v>Round2</x:v>
      </x:c>
      <x:c r="D4309" s="34" t="str">
        <x:v>Cli_13</x:v>
      </x:c>
      <x:c r="E4309" s="34" t="str">
        <x:v>Condition</x:v>
      </x:c>
      <x:c r="F4309" s="34" t="n">
        <x:v>116</x:v>
      </x:c>
      <x:c r="G4309" s="34" t="str">
        <x:v>RECORDED</x:v>
      </x:c>
      <x:c r="H4309" s="38" t="n">
        <x:f>IF(ISNUMBER('Data'!I893),'Data'!I893*100,"")</x:f>
        <x:v>0</x:v>
      </x:c>
      <x:c r="I4309" s="34" t="str">
        <x:v>PASS</x:v>
      </x:c>
      <x:c r="J4309" s="34" t="str">
        <x:v>PASS</x:v>
      </x:c>
      <x:c r="K4309" s="34" t="str">
        <x:v>PASS</x:v>
      </x:c>
      <x:c r="L4309" s="34" t="str">
        <x:v>FAIL</x:v>
      </x:c>
      <x:c r="M4309" s="34" t="str">
        <x:v>numeric coverage for applicable metric</x:v>
      </x:c>
      <x:c r="N4309" s="34" t="str">
        <x:v>Feedback-Directed Random Test Generation/Result_Round2/Cli_13/result.json</x:v>
      </x:c>
      <x:c r="O4309" s="38" t="n">
        <x:f>IF(AND(G4309="RECORDED",ISNUMBER(H4309)),H4309,"")</x:f>
        <x:v>0</x:v>
      </x:c>
      <x:c r="P4309" s="34" t="str">
        <x:v>INCONCLUSIVE</x:v>
      </x:c>
      <x:c r="Q4309" s="34" t="str">
        <x:v>Feedback-Directed Random Test Generation/Result_Round2/Cli_13/result.json</x:v>
      </x:c>
    </x:row>
    <x:row r="4310">
      <x:c r="A4310" s="34" t="str">
        <x:v>randoop</x:v>
      </x:c>
      <x:c r="B4310" s="34" t="str">
        <x:v>Cli</x:v>
      </x:c>
      <x:c r="C4310" s="34" t="str">
        <x:v>Round2</x:v>
      </x:c>
      <x:c r="D4310" s="34" t="str">
        <x:v>Cli_14</x:v>
      </x:c>
      <x:c r="E4310" s="34" t="str">
        <x:v>Condition</x:v>
      </x:c>
      <x:c r="F4310" s="34" t="n">
        <x:v>128</x:v>
      </x:c>
      <x:c r="G4310" s="34" t="str">
        <x:v>RECORDED</x:v>
      </x:c>
      <x:c r="H4310" s="38" t="n">
        <x:f>IF(ISNUMBER('Data'!I894),'Data'!I894*100,"")</x:f>
        <x:v>0</x:v>
      </x:c>
      <x:c r="I4310" s="34" t="str">
        <x:v>PASS</x:v>
      </x:c>
      <x:c r="J4310" s="34" t="str">
        <x:v>PASS</x:v>
      </x:c>
      <x:c r="K4310" s="34" t="str">
        <x:v>PASS</x:v>
      </x:c>
      <x:c r="L4310" s="34" t="str">
        <x:v>FAIL</x:v>
      </x:c>
      <x:c r="M4310" s="34" t="str">
        <x:v>numeric coverage for applicable metric</x:v>
      </x:c>
      <x:c r="N4310" s="34" t="str">
        <x:v>Feedback-Directed Random Test Generation/Result_Round2/Cli_14/result.json</x:v>
      </x:c>
      <x:c r="O4310" s="38" t="n">
        <x:f>IF(AND(G4310="RECORDED",ISNUMBER(H4310)),H4310,"")</x:f>
        <x:v>0</x:v>
      </x:c>
      <x:c r="P4310" s="34" t="str">
        <x:v>INCONCLUSIVE</x:v>
      </x:c>
      <x:c r="Q4310" s="34" t="str">
        <x:v>Feedback-Directed Random Test Generation/Result_Round2/Cli_14/result.json</x:v>
      </x:c>
    </x:row>
    <x:row r="4311">
      <x:c r="A4311" s="34" t="str">
        <x:v>randoop</x:v>
      </x:c>
      <x:c r="B4311" s="34" t="str">
        <x:v>Cli</x:v>
      </x:c>
      <x:c r="C4311" s="34" t="str">
        <x:v>Round2</x:v>
      </x:c>
      <x:c r="D4311" s="34" t="str">
        <x:v>Cli_15</x:v>
      </x:c>
      <x:c r="E4311" s="34" t="str">
        <x:v>Condition</x:v>
      </x:c>
      <x:c r="F4311" s="34" t="n">
        <x:v>46</x:v>
      </x:c>
      <x:c r="G4311" s="34" t="str">
        <x:v>RECORDED</x:v>
      </x:c>
      <x:c r="H4311" s="38" t="n">
        <x:f>IF(ISNUMBER('Data'!I895),'Data'!I895*100,"")</x:f>
        <x:v>0</x:v>
      </x:c>
      <x:c r="I4311" s="34" t="str">
        <x:v>PASS</x:v>
      </x:c>
      <x:c r="J4311" s="34" t="str">
        <x:v>PASS</x:v>
      </x:c>
      <x:c r="K4311" s="34" t="str">
        <x:v>PASS</x:v>
      </x:c>
      <x:c r="L4311" s="34" t="str">
        <x:v>FAIL</x:v>
      </x:c>
      <x:c r="M4311" s="34" t="str">
        <x:v>numeric coverage for applicable metric</x:v>
      </x:c>
      <x:c r="N4311" s="34" t="str">
        <x:v>Feedback-Directed Random Test Generation/Result_Round2/Cli_15/result.json</x:v>
      </x:c>
      <x:c r="O4311" s="38" t="n">
        <x:f>IF(AND(G4311="RECORDED",ISNUMBER(H4311)),H4311,"")</x:f>
        <x:v>0</x:v>
      </x:c>
      <x:c r="P4311" s="34" t="str">
        <x:v>INCONCLUSIVE</x:v>
      </x:c>
      <x:c r="Q4311" s="34" t="str">
        <x:v>Feedback-Directed Random Test Generation/Result_Round2/Cli_15/result.json</x:v>
      </x:c>
    </x:row>
    <x:row r="4312">
      <x:c r="A4312" s="34" t="str">
        <x:v>randoop</x:v>
      </x:c>
      <x:c r="B4312" s="34" t="str">
        <x:v>Cli</x:v>
      </x:c>
      <x:c r="C4312" s="34" t="str">
        <x:v>Round2</x:v>
      </x:c>
      <x:c r="D4312" s="34" t="str">
        <x:v>Cli_16</x:v>
      </x:c>
      <x:c r="E4312" s="34" t="str">
        <x:v>Condition</x:v>
      </x:c>
      <x:c r="F4312" s="34" t="n">
        <x:v>218</x:v>
      </x:c>
      <x:c r="G4312" s="34" t="str">
        <x:v>RECORDED</x:v>
      </x:c>
      <x:c r="H4312" s="38" t="n">
        <x:f>IF(ISNUMBER('Data'!I896),'Data'!I896*100,"")</x:f>
        <x:v>0</x:v>
      </x:c>
      <x:c r="I4312" s="34" t="str">
        <x:v>PASS</x:v>
      </x:c>
      <x:c r="J4312" s="34" t="str">
        <x:v>PASS</x:v>
      </x:c>
      <x:c r="K4312" s="34" t="str">
        <x:v>PASS</x:v>
      </x:c>
      <x:c r="L4312" s="34" t="str">
        <x:v>FAIL</x:v>
      </x:c>
      <x:c r="M4312" s="34" t="str">
        <x:v>numeric coverage for applicable metric</x:v>
      </x:c>
      <x:c r="N4312" s="34" t="str">
        <x:v>Feedback-Directed Random Test Generation/Result_Round2/Cli_16/result.json</x:v>
      </x:c>
      <x:c r="O4312" s="38" t="n">
        <x:f>IF(AND(G4312="RECORDED",ISNUMBER(H4312)),H4312,"")</x:f>
        <x:v>0</x:v>
      </x:c>
      <x:c r="P4312" s="34" t="str">
        <x:v>INCONCLUSIVE</x:v>
      </x:c>
      <x:c r="Q4312" s="34" t="str">
        <x:v>Feedback-Directed Random Test Generation/Result_Round2/Cli_16/result.json</x:v>
      </x:c>
    </x:row>
    <x:row r="4313">
      <x:c r="A4313" s="34" t="str">
        <x:v>randoop</x:v>
      </x:c>
      <x:c r="B4313" s="34" t="str">
        <x:v>Cli</x:v>
      </x:c>
      <x:c r="C4313" s="34" t="str">
        <x:v>Round2</x:v>
      </x:c>
      <x:c r="D4313" s="34" t="str">
        <x:v>Cli_17</x:v>
      </x:c>
      <x:c r="E4313" s="34" t="str">
        <x:v>Condition</x:v>
      </x:c>
      <x:c r="F4313" s="34" t="n">
        <x:v>42</x:v>
      </x:c>
      <x:c r="G4313" s="34" t="str">
        <x:v>RECORDED</x:v>
      </x:c>
      <x:c r="H4313" s="38" t="n">
        <x:f>IF(ISNUMBER('Data'!I897),'Data'!I897*100,"")</x:f>
        <x:v>0</x:v>
      </x:c>
      <x:c r="I4313" s="34" t="str">
        <x:v>PASS</x:v>
      </x:c>
      <x:c r="J4313" s="34" t="str">
        <x:v>PASS</x:v>
      </x:c>
      <x:c r="K4313" s="34" t="str">
        <x:v>PASS</x:v>
      </x:c>
      <x:c r="L4313" s="34" t="str">
        <x:v>FAIL</x:v>
      </x:c>
      <x:c r="M4313" s="34" t="str">
        <x:v>numeric coverage for applicable metric</x:v>
      </x:c>
      <x:c r="N4313" s="34" t="str">
        <x:v>Feedback-Directed Random Test Generation/Result_Round2/Cli_17/result.json</x:v>
      </x:c>
      <x:c r="O4313" s="38" t="n">
        <x:f>IF(AND(G4313="RECORDED",ISNUMBER(H4313)),H4313,"")</x:f>
        <x:v>0</x:v>
      </x:c>
      <x:c r="P4313" s="34" t="str">
        <x:v>INCONCLUSIVE</x:v>
      </x:c>
      <x:c r="Q4313" s="34" t="str">
        <x:v>Feedback-Directed Random Test Generation/Result_Round2/Cli_17/result.json</x:v>
      </x:c>
    </x:row>
    <x:row r="4314">
      <x:c r="A4314" s="34" t="str">
        <x:v>randoop</x:v>
      </x:c>
      <x:c r="B4314" s="34" t="str">
        <x:v>Cli</x:v>
      </x:c>
      <x:c r="C4314" s="34" t="str">
        <x:v>Round2</x:v>
      </x:c>
      <x:c r="D4314" s="34" t="str">
        <x:v>Cli_18</x:v>
      </x:c>
      <x:c r="E4314" s="34" t="str">
        <x:v>Condition</x:v>
      </x:c>
      <x:c r="F4314" s="34" t="n">
        <x:v>42</x:v>
      </x:c>
      <x:c r="G4314" s="34" t="str">
        <x:v>RECORDED</x:v>
      </x:c>
      <x:c r="H4314" s="38" t="n">
        <x:f>IF(ISNUMBER('Data'!I898),'Data'!I898*100,"")</x:f>
        <x:v>0</x:v>
      </x:c>
      <x:c r="I4314" s="34" t="str">
        <x:v>PASS</x:v>
      </x:c>
      <x:c r="J4314" s="34" t="str">
        <x:v>PASS</x:v>
      </x:c>
      <x:c r="K4314" s="34" t="str">
        <x:v>PASS</x:v>
      </x:c>
      <x:c r="L4314" s="34" t="str">
        <x:v>FAIL</x:v>
      </x:c>
      <x:c r="M4314" s="34" t="str">
        <x:v>numeric coverage for applicable metric</x:v>
      </x:c>
      <x:c r="N4314" s="34" t="str">
        <x:v>Feedback-Directed Random Test Generation/Result_Round2/Cli_18/result.json</x:v>
      </x:c>
      <x:c r="O4314" s="38" t="n">
        <x:f>IF(AND(G4314="RECORDED",ISNUMBER(H4314)),H4314,"")</x:f>
        <x:v>0</x:v>
      </x:c>
      <x:c r="P4314" s="34" t="str">
        <x:v>INCONCLUSIVE</x:v>
      </x:c>
      <x:c r="Q4314" s="34" t="str">
        <x:v>Feedback-Directed Random Test Generation/Result_Round2/Cli_18/result.json</x:v>
      </x:c>
    </x:row>
    <x:row r="4315">
      <x:c r="A4315" s="34" t="str">
        <x:v>randoop</x:v>
      </x:c>
      <x:c r="B4315" s="34" t="str">
        <x:v>Cli</x:v>
      </x:c>
      <x:c r="C4315" s="34" t="str">
        <x:v>Round2</x:v>
      </x:c>
      <x:c r="D4315" s="34" t="str">
        <x:v>Cli_19</x:v>
      </x:c>
      <x:c r="E4315" s="34" t="str">
        <x:v>Condition</x:v>
      </x:c>
      <x:c r="F4315" s="34" t="n">
        <x:v>42</x:v>
      </x:c>
      <x:c r="G4315" s="34" t="str">
        <x:v>RECORDED</x:v>
      </x:c>
      <x:c r="H4315" s="38" t="n">
        <x:f>IF(ISNUMBER('Data'!I899),'Data'!I899*100,"")</x:f>
        <x:v>0</x:v>
      </x:c>
      <x:c r="I4315" s="34" t="str">
        <x:v>PASS</x:v>
      </x:c>
      <x:c r="J4315" s="34" t="str">
        <x:v>PASS</x:v>
      </x:c>
      <x:c r="K4315" s="34" t="str">
        <x:v>PASS</x:v>
      </x:c>
      <x:c r="L4315" s="34" t="str">
        <x:v>FAIL</x:v>
      </x:c>
      <x:c r="M4315" s="34" t="str">
        <x:v>numeric coverage for applicable metric</x:v>
      </x:c>
      <x:c r="N4315" s="34" t="str">
        <x:v>Feedback-Directed Random Test Generation/Result_Round2/Cli_19/result.json</x:v>
      </x:c>
      <x:c r="O4315" s="38" t="n">
        <x:f>IF(AND(G4315="RECORDED",ISNUMBER(H4315)),H4315,"")</x:f>
        <x:v>0</x:v>
      </x:c>
      <x:c r="P4315" s="34" t="str">
        <x:v>INCONCLUSIVE</x:v>
      </x:c>
      <x:c r="Q4315" s="34" t="str">
        <x:v>Feedback-Directed Random Test Generation/Result_Round2/Cli_19/result.json</x:v>
      </x:c>
    </x:row>
    <x:row r="4316">
      <x:c r="A4316" s="34" t="str">
        <x:v>randoop</x:v>
      </x:c>
      <x:c r="B4316" s="34" t="str">
        <x:v>Cli</x:v>
      </x:c>
      <x:c r="C4316" s="34" t="str">
        <x:v>Round2</x:v>
      </x:c>
      <x:c r="D4316" s="34" t="str">
        <x:v>Cli_20</x:v>
      </x:c>
      <x:c r="E4316" s="34" t="str">
        <x:v>Condition</x:v>
      </x:c>
      <x:c r="F4316" s="34" t="n">
        <x:v>42</x:v>
      </x:c>
      <x:c r="G4316" s="34" t="str">
        <x:v>RECORDED</x:v>
      </x:c>
      <x:c r="H4316" s="38" t="n">
        <x:f>IF(ISNUMBER('Data'!I900),'Data'!I900*100,"")</x:f>
        <x:v>0</x:v>
      </x:c>
      <x:c r="I4316" s="34" t="str">
        <x:v>PASS</x:v>
      </x:c>
      <x:c r="J4316" s="34" t="str">
        <x:v>PASS</x:v>
      </x:c>
      <x:c r="K4316" s="34" t="str">
        <x:v>PASS</x:v>
      </x:c>
      <x:c r="L4316" s="34" t="str">
        <x:v>FAIL</x:v>
      </x:c>
      <x:c r="M4316" s="34" t="str">
        <x:v>numeric coverage for applicable metric</x:v>
      </x:c>
      <x:c r="N4316" s="34" t="str">
        <x:v>Feedback-Directed Random Test Generation/Result_Round2/Cli_20/result.json</x:v>
      </x:c>
      <x:c r="O4316" s="38" t="n">
        <x:f>IF(AND(G4316="RECORDED",ISNUMBER(H4316)),H4316,"")</x:f>
        <x:v>0</x:v>
      </x:c>
      <x:c r="P4316" s="34" t="str">
        <x:v>INCONCLUSIVE</x:v>
      </x:c>
      <x:c r="Q4316" s="34" t="str">
        <x:v>Feedback-Directed Random Test Generation/Result_Round2/Cli_20/result.json</x:v>
      </x:c>
    </x:row>
    <x:row r="4317">
      <x:c r="A4317" s="34" t="str">
        <x:v>randoop</x:v>
      </x:c>
      <x:c r="B4317" s="34" t="str">
        <x:v>Cli</x:v>
      </x:c>
      <x:c r="C4317" s="34" t="str">
        <x:v>Round2</x:v>
      </x:c>
      <x:c r="D4317" s="34" t="str">
        <x:v>Cli_21</x:v>
      </x:c>
      <x:c r="E4317" s="34" t="str">
        <x:v>Condition</x:v>
      </x:c>
      <x:c r="F4317" s="34" t="n">
        <x:v>188</x:v>
      </x:c>
      <x:c r="G4317" s="34" t="str">
        <x:v>RECORDED</x:v>
      </x:c>
      <x:c r="H4317" s="38" t="n">
        <x:f>IF(ISNUMBER('Data'!I901),'Data'!I901*100,"")</x:f>
        <x:v>0</x:v>
      </x:c>
      <x:c r="I4317" s="34" t="str">
        <x:v>PASS</x:v>
      </x:c>
      <x:c r="J4317" s="34" t="str">
        <x:v>PASS</x:v>
      </x:c>
      <x:c r="K4317" s="34" t="str">
        <x:v>PASS</x:v>
      </x:c>
      <x:c r="L4317" s="34" t="str">
        <x:v>FAIL</x:v>
      </x:c>
      <x:c r="M4317" s="34" t="str">
        <x:v>numeric coverage for applicable metric</x:v>
      </x:c>
      <x:c r="N4317" s="34" t="str">
        <x:v>Feedback-Directed Random Test Generation/Result_Round2/Cli_21/result.json</x:v>
      </x:c>
      <x:c r="O4317" s="38" t="n">
        <x:f>IF(AND(G4317="RECORDED",ISNUMBER(H4317)),H4317,"")</x:f>
        <x:v>0</x:v>
      </x:c>
      <x:c r="P4317" s="34" t="str">
        <x:v>INCONCLUSIVE</x:v>
      </x:c>
      <x:c r="Q4317" s="34" t="str">
        <x:v>Feedback-Directed Random Test Generation/Result_Round2/Cli_21/result.json</x:v>
      </x:c>
    </x:row>
    <x:row r="4318">
      <x:c r="A4318" s="34" t="str">
        <x:v>randoop</x:v>
      </x:c>
      <x:c r="B4318" s="34" t="str">
        <x:v>Cli</x:v>
      </x:c>
      <x:c r="C4318" s="34" t="str">
        <x:v>Round2</x:v>
      </x:c>
      <x:c r="D4318" s="34" t="str">
        <x:v>Cli_22</x:v>
      </x:c>
      <x:c r="E4318" s="34" t="str">
        <x:v>Condition</x:v>
      </x:c>
      <x:c r="F4318" s="34" t="n">
        <x:v>38</x:v>
      </x:c>
      <x:c r="G4318" s="34" t="str">
        <x:v>RECORDED</x:v>
      </x:c>
      <x:c r="H4318" s="38" t="n">
        <x:f>IF(ISNUMBER('Data'!I902),'Data'!I902*100,"")</x:f>
        <x:v>0</x:v>
      </x:c>
      <x:c r="I4318" s="34" t="str">
        <x:v>PASS</x:v>
      </x:c>
      <x:c r="J4318" s="34" t="str">
        <x:v>PASS</x:v>
      </x:c>
      <x:c r="K4318" s="34" t="str">
        <x:v>PASS</x:v>
      </x:c>
      <x:c r="L4318" s="34" t="str">
        <x:v>FAIL</x:v>
      </x:c>
      <x:c r="M4318" s="34" t="str">
        <x:v>numeric coverage for applicable metric</x:v>
      </x:c>
      <x:c r="N4318" s="34" t="str">
        <x:v>Feedback-Directed Random Test Generation/Result_Round2/Cli_22/result.json</x:v>
      </x:c>
      <x:c r="O4318" s="38" t="n">
        <x:f>IF(AND(G4318="RECORDED",ISNUMBER(H4318)),H4318,"")</x:f>
        <x:v>0</x:v>
      </x:c>
      <x:c r="P4318" s="34" t="str">
        <x:v>INCONCLUSIVE</x:v>
      </x:c>
      <x:c r="Q4318" s="34" t="str">
        <x:v>Feedback-Directed Random Test Generation/Result_Round2/Cli_22/result.json</x:v>
      </x:c>
    </x:row>
    <x:row r="4319">
      <x:c r="A4319" s="34" t="str">
        <x:v>randoop</x:v>
      </x:c>
      <x:c r="B4319" s="34" t="str">
        <x:v>Cli</x:v>
      </x:c>
      <x:c r="C4319" s="34" t="str">
        <x:v>Round2</x:v>
      </x:c>
      <x:c r="D4319" s="34" t="str">
        <x:v>Cli_23</x:v>
      </x:c>
      <x:c r="E4319" s="34" t="str">
        <x:v>Condition</x:v>
      </x:c>
      <x:c r="F4319" s="34" t="n">
        <x:v>108</x:v>
      </x:c>
      <x:c r="G4319" s="34" t="str">
        <x:v>RECORDED</x:v>
      </x:c>
      <x:c r="H4319" s="38" t="n">
        <x:f>IF(ISNUMBER('Data'!I903),'Data'!I903*100,"")</x:f>
        <x:v>0</x:v>
      </x:c>
      <x:c r="I4319" s="34" t="str">
        <x:v>PASS</x:v>
      </x:c>
      <x:c r="J4319" s="34" t="str">
        <x:v>PASS</x:v>
      </x:c>
      <x:c r="K4319" s="34" t="str">
        <x:v>PASS</x:v>
      </x:c>
      <x:c r="L4319" s="34" t="str">
        <x:v>FAIL</x:v>
      </x:c>
      <x:c r="M4319" s="34" t="str">
        <x:v>numeric coverage for applicable metric</x:v>
      </x:c>
      <x:c r="N4319" s="34" t="str">
        <x:v>Feedback-Directed Random Test Generation/Result_Round2/Cli_23/result.json</x:v>
      </x:c>
      <x:c r="O4319" s="38" t="n">
        <x:f>IF(AND(G4319="RECORDED",ISNUMBER(H4319)),H4319,"")</x:f>
        <x:v>0</x:v>
      </x:c>
      <x:c r="P4319" s="34" t="str">
        <x:v>INCONCLUSIVE</x:v>
      </x:c>
      <x:c r="Q4319" s="34" t="str">
        <x:v>Feedback-Directed Random Test Generation/Result_Round2/Cli_23/result.json</x:v>
      </x:c>
    </x:row>
    <x:row r="4320">
      <x:c r="A4320" s="34" t="str">
        <x:v>randoop</x:v>
      </x:c>
      <x:c r="B4320" s="34" t="str">
        <x:v>Cli</x:v>
      </x:c>
      <x:c r="C4320" s="34" t="str">
        <x:v>Round2</x:v>
      </x:c>
      <x:c r="D4320" s="34" t="str">
        <x:v>Cli_24</x:v>
      </x:c>
      <x:c r="E4320" s="34" t="str">
        <x:v>Condition</x:v>
      </x:c>
      <x:c r="F4320" s="34" t="n">
        <x:v>112</x:v>
      </x:c>
      <x:c r="G4320" s="34" t="str">
        <x:v>RECORDED</x:v>
      </x:c>
      <x:c r="H4320" s="38" t="n">
        <x:f>IF(ISNUMBER('Data'!I904),'Data'!I904*100,"")</x:f>
        <x:v>0</x:v>
      </x:c>
      <x:c r="I4320" s="34" t="str">
        <x:v>PASS</x:v>
      </x:c>
      <x:c r="J4320" s="34" t="str">
        <x:v>PASS</x:v>
      </x:c>
      <x:c r="K4320" s="34" t="str">
        <x:v>PASS</x:v>
      </x:c>
      <x:c r="L4320" s="34" t="str">
        <x:v>FAIL</x:v>
      </x:c>
      <x:c r="M4320" s="34" t="str">
        <x:v>numeric coverage for applicable metric</x:v>
      </x:c>
      <x:c r="N4320" s="34" t="str">
        <x:v>Feedback-Directed Random Test Generation/Result_Round2/Cli_24/result.json</x:v>
      </x:c>
      <x:c r="O4320" s="38" t="n">
        <x:f>IF(AND(G4320="RECORDED",ISNUMBER(H4320)),H4320,"")</x:f>
        <x:v>0</x:v>
      </x:c>
      <x:c r="P4320" s="34" t="str">
        <x:v>INCONCLUSIVE</x:v>
      </x:c>
      <x:c r="Q4320" s="34" t="str">
        <x:v>Feedback-Directed Random Test Generation/Result_Round2/Cli_24/result.json</x:v>
      </x:c>
    </x:row>
    <x:row r="4321">
      <x:c r="A4321" s="34" t="str">
        <x:v>randoop</x:v>
      </x:c>
      <x:c r="B4321" s="34" t="str">
        <x:v>Cli</x:v>
      </x:c>
      <x:c r="C4321" s="34" t="str">
        <x:v>Round2</x:v>
      </x:c>
      <x:c r="D4321" s="34" t="str">
        <x:v>Cli_25</x:v>
      </x:c>
      <x:c r="E4321" s="34" t="str">
        <x:v>Condition</x:v>
      </x:c>
      <x:c r="F4321" s="34" t="n">
        <x:v>112</x:v>
      </x:c>
      <x:c r="G4321" s="34" t="str">
        <x:v>RECORDED</x:v>
      </x:c>
      <x:c r="H4321" s="38" t="n">
        <x:f>IF(ISNUMBER('Data'!I905),'Data'!I905*100,"")</x:f>
        <x:v>0</x:v>
      </x:c>
      <x:c r="I4321" s="34" t="str">
        <x:v>PASS</x:v>
      </x:c>
      <x:c r="J4321" s="34" t="str">
        <x:v>PASS</x:v>
      </x:c>
      <x:c r="K4321" s="34" t="str">
        <x:v>PASS</x:v>
      </x:c>
      <x:c r="L4321" s="34" t="str">
        <x:v>FAIL</x:v>
      </x:c>
      <x:c r="M4321" s="34" t="str">
        <x:v>numeric coverage for applicable metric</x:v>
      </x:c>
      <x:c r="N4321" s="34" t="str">
        <x:v>Feedback-Directed Random Test Generation/Result_Round2/Cli_25/result.json</x:v>
      </x:c>
      <x:c r="O4321" s="38" t="n">
        <x:f>IF(AND(G4321="RECORDED",ISNUMBER(H4321)),H4321,"")</x:f>
        <x:v>0</x:v>
      </x:c>
      <x:c r="P4321" s="34" t="str">
        <x:v>INCONCLUSIVE</x:v>
      </x:c>
      <x:c r="Q4321" s="34" t="str">
        <x:v>Feedback-Directed Random Test Generation/Result_Round2/Cli_25/result.json</x:v>
      </x:c>
    </x:row>
    <x:row r="4322">
      <x:c r="A4322" s="34" t="str">
        <x:v>randoop</x:v>
      </x:c>
      <x:c r="B4322" s="34" t="str">
        <x:v>Cli</x:v>
      </x:c>
      <x:c r="C4322" s="34" t="str">
        <x:v>Round2</x:v>
      </x:c>
      <x:c r="D4322" s="34" t="str">
        <x:v>Cli_26</x:v>
      </x:c>
      <x:c r="E4322" s="34" t="str">
        <x:v>Condition</x:v>
      </x:c>
      <x:c r="F4322" s="34" t="n">
        <x:v>4</x:v>
      </x:c>
      <x:c r="G4322" s="34" t="str">
        <x:v>RECORDED</x:v>
      </x:c>
      <x:c r="H4322" s="38" t="n">
        <x:f>IF(ISNUMBER('Data'!I906),'Data'!I906*100,"")</x:f>
        <x:v>0</x:v>
      </x:c>
      <x:c r="I4322" s="34" t="str">
        <x:v>PASS</x:v>
      </x:c>
      <x:c r="J4322" s="34" t="str">
        <x:v>PASS</x:v>
      </x:c>
      <x:c r="K4322" s="34" t="str">
        <x:v>PASS</x:v>
      </x:c>
      <x:c r="L4322" s="34" t="str">
        <x:v>FAIL</x:v>
      </x:c>
      <x:c r="M4322" s="34" t="str">
        <x:v>numeric coverage for applicable metric</x:v>
      </x:c>
      <x:c r="N4322" s="34" t="str">
        <x:v>Feedback-Directed Random Test Generation/Result_Round2/Cli_26/result.json</x:v>
      </x:c>
      <x:c r="O4322" s="38" t="n">
        <x:f>IF(AND(G4322="RECORDED",ISNUMBER(H4322)),H4322,"")</x:f>
        <x:v>0</x:v>
      </x:c>
      <x:c r="P4322" s="34" t="str">
        <x:v>INCONCLUSIVE</x:v>
      </x:c>
      <x:c r="Q4322" s="34" t="str">
        <x:v>Feedback-Directed Random Test Generation/Result_Round2/Cli_26/result.json</x:v>
      </x:c>
    </x:row>
    <x:row r="4323">
      <x:c r="A4323" s="34" t="str">
        <x:v>randoop</x:v>
      </x:c>
      <x:c r="B4323" s="34" t="str">
        <x:v>Cli</x:v>
      </x:c>
      <x:c r="C4323" s="34" t="str">
        <x:v>Round2</x:v>
      </x:c>
      <x:c r="D4323" s="34" t="str">
        <x:v>Cli_27</x:v>
      </x:c>
      <x:c r="E4323" s="34" t="str">
        <x:v>Condition</x:v>
      </x:c>
      <x:c r="F4323" s="34" t="n">
        <x:v>12</x:v>
      </x:c>
      <x:c r="G4323" s="34" t="str">
        <x:v>RECORDED</x:v>
      </x:c>
      <x:c r="H4323" s="38" t="n">
        <x:f>IF(ISNUMBER('Data'!I907),'Data'!I907*100,"")</x:f>
        <x:v>0</x:v>
      </x:c>
      <x:c r="I4323" s="34" t="str">
        <x:v>PASS</x:v>
      </x:c>
      <x:c r="J4323" s="34" t="str">
        <x:v>PASS</x:v>
      </x:c>
      <x:c r="K4323" s="34" t="str">
        <x:v>PASS</x:v>
      </x:c>
      <x:c r="L4323" s="34" t="str">
        <x:v>FAIL</x:v>
      </x:c>
      <x:c r="M4323" s="34" t="str">
        <x:v>numeric coverage for applicable metric</x:v>
      </x:c>
      <x:c r="N4323" s="34" t="str">
        <x:v>Feedback-Directed Random Test Generation/Result_Round2/Cli_27/result.json</x:v>
      </x:c>
      <x:c r="O4323" s="38" t="n">
        <x:f>IF(AND(G4323="RECORDED",ISNUMBER(H4323)),H4323,"")</x:f>
        <x:v>0</x:v>
      </x:c>
      <x:c r="P4323" s="34" t="str">
        <x:v>INCONCLUSIVE</x:v>
      </x:c>
      <x:c r="Q4323" s="34" t="str">
        <x:v>Feedback-Directed Random Test Generation/Result_Round2/Cli_27/result.json</x:v>
      </x:c>
    </x:row>
    <x:row r="4324">
      <x:c r="A4324" s="34" t="str">
        <x:v>randoop</x:v>
      </x:c>
      <x:c r="B4324" s="34" t="str">
        <x:v>Cli</x:v>
      </x:c>
      <x:c r="C4324" s="34" t="str">
        <x:v>Round2</x:v>
      </x:c>
      <x:c r="D4324" s="34" t="str">
        <x:v>Cli_28</x:v>
      </x:c>
      <x:c r="E4324" s="34" t="str">
        <x:v>Condition</x:v>
      </x:c>
      <x:c r="F4324" s="34" t="n">
        <x:v>68</x:v>
      </x:c>
      <x:c r="G4324" s="34" t="str">
        <x:v>RECORDED</x:v>
      </x:c>
      <x:c r="H4324" s="38" t="n">
        <x:f>IF(ISNUMBER('Data'!I908),'Data'!I908*100,"")</x:f>
        <x:v>0</x:v>
      </x:c>
      <x:c r="I4324" s="34" t="str">
        <x:v>PASS</x:v>
      </x:c>
      <x:c r="J4324" s="34" t="str">
        <x:v>PASS</x:v>
      </x:c>
      <x:c r="K4324" s="34" t="str">
        <x:v>PASS</x:v>
      </x:c>
      <x:c r="L4324" s="34" t="str">
        <x:v>FAIL</x:v>
      </x:c>
      <x:c r="M4324" s="34" t="str">
        <x:v>numeric coverage for applicable metric</x:v>
      </x:c>
      <x:c r="N4324" s="34" t="str">
        <x:v>Feedback-Directed Random Test Generation/Result_Round2/Cli_28/result.json</x:v>
      </x:c>
      <x:c r="O4324" s="38" t="n">
        <x:f>IF(AND(G4324="RECORDED",ISNUMBER(H4324)),H4324,"")</x:f>
        <x:v>0</x:v>
      </x:c>
      <x:c r="P4324" s="34" t="str">
        <x:v>INCONCLUSIVE</x:v>
      </x:c>
      <x:c r="Q4324" s="34" t="str">
        <x:v>Feedback-Directed Random Test Generation/Result_Round2/Cli_28/result.json</x:v>
      </x:c>
    </x:row>
    <x:row r="4325">
      <x:c r="A4325" s="34" t="str">
        <x:v>randoop</x:v>
      </x:c>
      <x:c r="B4325" s="34" t="str">
        <x:v>Cli</x:v>
      </x:c>
      <x:c r="C4325" s="34" t="str">
        <x:v>Round2</x:v>
      </x:c>
      <x:c r="D4325" s="34" t="str">
        <x:v>Cli_29</x:v>
      </x:c>
      <x:c r="E4325" s="34" t="str">
        <x:v>Condition</x:v>
      </x:c>
      <x:c r="F4325" s="34" t="n">
        <x:v>10</x:v>
      </x:c>
      <x:c r="G4325" s="34" t="str">
        <x:v>RECORDED</x:v>
      </x:c>
      <x:c r="H4325" s="38" t="n">
        <x:f>IF(ISNUMBER('Data'!I909),'Data'!I909*100,"")</x:f>
        <x:v>0</x:v>
      </x:c>
      <x:c r="I4325" s="34" t="str">
        <x:v>PASS</x:v>
      </x:c>
      <x:c r="J4325" s="34" t="str">
        <x:v>PASS</x:v>
      </x:c>
      <x:c r="K4325" s="34" t="str">
        <x:v>PASS</x:v>
      </x:c>
      <x:c r="L4325" s="34" t="str">
        <x:v>FAIL</x:v>
      </x:c>
      <x:c r="M4325" s="34" t="str">
        <x:v>numeric coverage for applicable metric</x:v>
      </x:c>
      <x:c r="N4325" s="34" t="str">
        <x:v>Feedback-Directed Random Test Generation/Result_Round2/Cli_29/result.json</x:v>
      </x:c>
      <x:c r="O4325" s="38" t="n">
        <x:f>IF(AND(G4325="RECORDED",ISNUMBER(H4325)),H4325,"")</x:f>
        <x:v>0</x:v>
      </x:c>
      <x:c r="P4325" s="34" t="str">
        <x:v>INCONCLUSIVE</x:v>
      </x:c>
      <x:c r="Q4325" s="34" t="str">
        <x:v>Feedback-Directed Random Test Generation/Result_Round2/Cli_29/result.json</x:v>
      </x:c>
    </x:row>
    <x:row r="4326">
      <x:c r="A4326" s="34" t="str">
        <x:v>randoop</x:v>
      </x:c>
      <x:c r="B4326" s="34" t="str">
        <x:v>Cli</x:v>
      </x:c>
      <x:c r="C4326" s="34" t="str">
        <x:v>Round2</x:v>
      </x:c>
      <x:c r="D4326" s="34" t="str">
        <x:v>Cli_30</x:v>
      </x:c>
      <x:c r="E4326" s="34" t="str">
        <x:v>Condition</x:v>
      </x:c>
      <x:c r="F4326" s="34" t="n">
        <x:v>218</x:v>
      </x:c>
      <x:c r="G4326" s="34" t="str">
        <x:v>RECORDED</x:v>
      </x:c>
      <x:c r="H4326" s="38" t="n">
        <x:f>IF(ISNUMBER('Data'!I910),'Data'!I910*100,"")</x:f>
        <x:v>0</x:v>
      </x:c>
      <x:c r="I4326" s="34" t="str">
        <x:v>PASS</x:v>
      </x:c>
      <x:c r="J4326" s="34" t="str">
        <x:v>PASS</x:v>
      </x:c>
      <x:c r="K4326" s="34" t="str">
        <x:v>PASS</x:v>
      </x:c>
      <x:c r="L4326" s="34" t="str">
        <x:v>FAIL</x:v>
      </x:c>
      <x:c r="M4326" s="34" t="str">
        <x:v>numeric coverage for applicable metric</x:v>
      </x:c>
      <x:c r="N4326" s="34" t="str">
        <x:v>Feedback-Directed Random Test Generation/Result_Round2/Cli_30/result.json</x:v>
      </x:c>
      <x:c r="O4326" s="38" t="n">
        <x:f>IF(AND(G4326="RECORDED",ISNUMBER(H4326)),H4326,"")</x:f>
        <x:v>0</x:v>
      </x:c>
      <x:c r="P4326" s="34" t="str">
        <x:v>INCONCLUSIVE</x:v>
      </x:c>
      <x:c r="Q4326" s="34" t="str">
        <x:v>Feedback-Directed Random Test Generation/Result_Round2/Cli_30/result.json</x:v>
      </x:c>
    </x:row>
    <x:row r="4327">
      <x:c r="A4327" s="34" t="str">
        <x:v>randoop</x:v>
      </x:c>
      <x:c r="B4327" s="34" t="str">
        <x:v>Cli</x:v>
      </x:c>
      <x:c r="C4327" s="34" t="str">
        <x:v>Round2</x:v>
      </x:c>
      <x:c r="D4327" s="34" t="str">
        <x:v>Cli_31</x:v>
      </x:c>
      <x:c r="E4327" s="34" t="str">
        <x:v>Condition</x:v>
      </x:c>
      <x:c r="F4327" s="34" t="n">
        <x:v>208</x:v>
      </x:c>
      <x:c r="G4327" s="34" t="str">
        <x:v>RECORDED</x:v>
      </x:c>
      <x:c r="H4327" s="38" t="n">
        <x:f>IF(ISNUMBER('Data'!I911),'Data'!I911*100,"")</x:f>
        <x:v>0</x:v>
      </x:c>
      <x:c r="I4327" s="34" t="str">
        <x:v>PASS</x:v>
      </x:c>
      <x:c r="J4327" s="34" t="str">
        <x:v>PASS</x:v>
      </x:c>
      <x:c r="K4327" s="34" t="str">
        <x:v>PASS</x:v>
      </x:c>
      <x:c r="L4327" s="34" t="str">
        <x:v>FAIL</x:v>
      </x:c>
      <x:c r="M4327" s="34" t="str">
        <x:v>numeric coverage for applicable metric</x:v>
      </x:c>
      <x:c r="N4327" s="34" t="str">
        <x:v>Feedback-Directed Random Test Generation/Result_Round2/Cli_31/result.json</x:v>
      </x:c>
      <x:c r="O4327" s="38" t="n">
        <x:f>IF(AND(G4327="RECORDED",ISNUMBER(H4327)),H4327,"")</x:f>
        <x:v>0</x:v>
      </x:c>
      <x:c r="P4327" s="34" t="str">
        <x:v>INCONCLUSIVE</x:v>
      </x:c>
      <x:c r="Q4327" s="34" t="str">
        <x:v>Feedback-Directed Random Test Generation/Result_Round2/Cli_31/result.json</x:v>
      </x:c>
    </x:row>
    <x:row r="4328">
      <x:c r="A4328" s="34" t="str">
        <x:v>randoop</x:v>
      </x:c>
      <x:c r="B4328" s="34" t="str">
        <x:v>Cli</x:v>
      </x:c>
      <x:c r="C4328" s="34" t="str">
        <x:v>Round2</x:v>
      </x:c>
      <x:c r="D4328" s="34" t="str">
        <x:v>Cli_32</x:v>
      </x:c>
      <x:c r="E4328" s="34" t="str">
        <x:v>Condition</x:v>
      </x:c>
      <x:c r="F4328" s="34" t="n">
        <x:v>122</x:v>
      </x:c>
      <x:c r="G4328" s="34" t="str">
        <x:v>RECORDED</x:v>
      </x:c>
      <x:c r="H4328" s="38" t="n">
        <x:f>IF(ISNUMBER('Data'!I912),'Data'!I912*100,"")</x:f>
        <x:v>0</x:v>
      </x:c>
      <x:c r="I4328" s="34" t="str">
        <x:v>PASS</x:v>
      </x:c>
      <x:c r="J4328" s="34" t="str">
        <x:v>PASS</x:v>
      </x:c>
      <x:c r="K4328" s="34" t="str">
        <x:v>PASS</x:v>
      </x:c>
      <x:c r="L4328" s="34" t="str">
        <x:v>FAIL</x:v>
      </x:c>
      <x:c r="M4328" s="34" t="str">
        <x:v>numeric coverage for applicable metric</x:v>
      </x:c>
      <x:c r="N4328" s="34" t="str">
        <x:v>Feedback-Directed Random Test Generation/Result_Round2/Cli_32/result.json</x:v>
      </x:c>
      <x:c r="O4328" s="38" t="n">
        <x:f>IF(AND(G4328="RECORDED",ISNUMBER(H4328)),H4328,"")</x:f>
        <x:v>0</x:v>
      </x:c>
      <x:c r="P4328" s="34" t="str">
        <x:v>INCONCLUSIVE</x:v>
      </x:c>
      <x:c r="Q4328" s="34" t="str">
        <x:v>Feedback-Directed Random Test Generation/Result_Round2/Cli_32/result.json</x:v>
      </x:c>
    </x:row>
    <x:row r="4329">
      <x:c r="A4329" s="34" t="str">
        <x:v>randoop</x:v>
      </x:c>
      <x:c r="B4329" s="34" t="str">
        <x:v>Cli</x:v>
      </x:c>
      <x:c r="C4329" s="34" t="str">
        <x:v>Round2</x:v>
      </x:c>
      <x:c r="D4329" s="34" t="str">
        <x:v>Cli_33</x:v>
      </x:c>
      <x:c r="E4329" s="34" t="str">
        <x:v>Condition</x:v>
      </x:c>
      <x:c r="F4329" s="34" t="n">
        <x:v>114</x:v>
      </x:c>
      <x:c r="G4329" s="34" t="str">
        <x:v>RECORDED</x:v>
      </x:c>
      <x:c r="H4329" s="38" t="n">
        <x:f>IF(ISNUMBER('Data'!I913),'Data'!I913*100,"")</x:f>
        <x:v>0</x:v>
      </x:c>
      <x:c r="I4329" s="34" t="str">
        <x:v>PASS</x:v>
      </x:c>
      <x:c r="J4329" s="34" t="str">
        <x:v>PASS</x:v>
      </x:c>
      <x:c r="K4329" s="34" t="str">
        <x:v>PASS</x:v>
      </x:c>
      <x:c r="L4329" s="34" t="str">
        <x:v>FAIL</x:v>
      </x:c>
      <x:c r="M4329" s="34" t="str">
        <x:v>numeric coverage for applicable metric</x:v>
      </x:c>
      <x:c r="N4329" s="34" t="str">
        <x:v>Feedback-Directed Random Test Generation/Result_Round2/Cli_33/result.json</x:v>
      </x:c>
      <x:c r="O4329" s="38" t="n">
        <x:f>IF(AND(G4329="RECORDED",ISNUMBER(H4329)),H4329,"")</x:f>
        <x:v>0</x:v>
      </x:c>
      <x:c r="P4329" s="34" t="str">
        <x:v>INCONCLUSIVE</x:v>
      </x:c>
      <x:c r="Q4329" s="34" t="str">
        <x:v>Feedback-Directed Random Test Generation/Result_Round2/Cli_33/result.json</x:v>
      </x:c>
    </x:row>
    <x:row r="4330">
      <x:c r="A4330" s="34" t="str">
        <x:v>randoop</x:v>
      </x:c>
      <x:c r="B4330" s="34" t="str">
        <x:v>Cli</x:v>
      </x:c>
      <x:c r="C4330" s="34" t="str">
        <x:v>Round2</x:v>
      </x:c>
      <x:c r="D4330" s="34" t="str">
        <x:v>Cli_34</x:v>
      </x:c>
      <x:c r="E4330" s="34" t="str">
        <x:v>Condition</x:v>
      </x:c>
      <x:c r="F4330" s="34" t="n">
        <x:v>0</x:v>
      </x:c>
      <x:c r="G4330" s="34" t="str">
        <x:v>A</x:v>
      </x:c>
      <x:c r="H4330" s="38" t="str">
        <x:f>IF(ISNUMBER('Data'!I914),'Data'!I914*100,"")</x:f>
      </x:c>
      <x:c r="I4330" s="34"/>
      <x:c r="J4330" s="34"/>
      <x:c r="K4330" s="34"/>
      <x:c r="L4330" s="34" t="str">
        <x:v>NOT_RUN</x:v>
      </x:c>
      <x:c r="M4330" s="34" t="str">
        <x:v>Latest same-round generation failed; older files/results are excluded</x:v>
      </x:c>
      <x:c r="N4330" s="34" t="str">
        <x:v>Feedback-Directed Random Test Generation/report_Round2.csv</x:v>
      </x:c>
      <x:c r="O4330" s="38" t="str">
        <x:f>IF(AND(G4330="RECORDED",ISNUMBER(H4330)),H4330,"")</x:f>
      </x:c>
      <x:c r="P4330" s="34" t="str">
        <x:v>FAIL</x:v>
      </x:c>
      <x:c r="Q4330" s="34"/>
    </x:row>
    <x:row r="4331">
      <x:c r="A4331" s="34" t="str">
        <x:v>randoop</x:v>
      </x:c>
      <x:c r="B4331" s="34" t="str">
        <x:v>Cli</x:v>
      </x:c>
      <x:c r="C4331" s="34" t="str">
        <x:v>Round2</x:v>
      </x:c>
      <x:c r="D4331" s="34" t="str">
        <x:v>Cli_35</x:v>
      </x:c>
      <x:c r="E4331" s="34" t="str">
        <x:v>Condition</x:v>
      </x:c>
      <x:c r="F4331" s="34" t="n">
        <x:v>20</x:v>
      </x:c>
      <x:c r="G4331" s="34" t="str">
        <x:v>RECORDED</x:v>
      </x:c>
      <x:c r="H4331" s="38" t="n">
        <x:f>IF(ISNUMBER('Data'!I915),'Data'!I915*100,"")</x:f>
        <x:v>60</x:v>
      </x:c>
      <x:c r="I4331" s="34" t="str">
        <x:v>PASS</x:v>
      </x:c>
      <x:c r="J4331" s="34" t="str">
        <x:v>PASS</x:v>
      </x:c>
      <x:c r="K4331" s="34" t="str">
        <x:v>PASS</x:v>
      </x:c>
      <x:c r="L4331" s="34" t="str">
        <x:v>PASS</x:v>
      </x:c>
      <x:c r="M4331" s="34" t="str">
        <x:v>numeric coverage for applicable metric</x:v>
      </x:c>
      <x:c r="N4331" s="34" t="str">
        <x:v>Feedback-Directed Random Test Generation/Result_Round2/Cli_35/result.json</x:v>
      </x:c>
      <x:c r="O4331" s="38" t="n">
        <x:f>IF(AND(G4331="RECORDED",ISNUMBER(H4331)),H4331,"")</x:f>
        <x:v>60</x:v>
      </x:c>
      <x:c r="P4331" s="34" t="str">
        <x:v>NOT_REVEALING</x:v>
      </x:c>
      <x:c r="Q4331" s="34" t="str">
        <x:v>Feedback-Directed Random Test Generation/Result_Round2/Cli_35/result.json</x:v>
      </x:c>
    </x:row>
    <x:row r="4332">
      <x:c r="A4332" s="34" t="str">
        <x:v>randoop</x:v>
      </x:c>
      <x:c r="B4332" s="34" t="str">
        <x:v>Cli</x:v>
      </x:c>
      <x:c r="C4332" s="34" t="str">
        <x:v>Round2</x:v>
      </x:c>
      <x:c r="D4332" s="34" t="str">
        <x:v>Cli_36</x:v>
      </x:c>
      <x:c r="E4332" s="34" t="str">
        <x:v>Condition</x:v>
      </x:c>
      <x:c r="F4332" s="34" t="n">
        <x:v>36</x:v>
      </x:c>
      <x:c r="G4332" s="34" t="str">
        <x:v>RECORDED</x:v>
      </x:c>
      <x:c r="H4332" s="38" t="n">
        <x:f>IF(ISNUMBER('Data'!I916),'Data'!I916*100,"")</x:f>
        <x:v>75</x:v>
      </x:c>
      <x:c r="I4332" s="34" t="str">
        <x:v>PASS</x:v>
      </x:c>
      <x:c r="J4332" s="34" t="str">
        <x:v>PASS</x:v>
      </x:c>
      <x:c r="K4332" s="34" t="str">
        <x:v>PASS</x:v>
      </x:c>
      <x:c r="L4332" s="34" t="str">
        <x:v>PASS</x:v>
      </x:c>
      <x:c r="M4332" s="34" t="str">
        <x:v>numeric coverage for applicable metric</x:v>
      </x:c>
      <x:c r="N4332" s="34" t="str">
        <x:v>Feedback-Directed Random Test Generation/Result_Round2/Cli_36/result.json</x:v>
      </x:c>
      <x:c r="O4332" s="38" t="n">
        <x:f>IF(AND(G4332="RECORDED",ISNUMBER(H4332)),H4332,"")</x:f>
        <x:v>75</x:v>
      </x:c>
      <x:c r="P4332" s="34" t="str">
        <x:v>NOT_REVEALING</x:v>
      </x:c>
      <x:c r="Q4332" s="34" t="str">
        <x:v>Feedback-Directed Random Test Generation/Result_Round2/Cli_36/result.json</x:v>
      </x:c>
    </x:row>
    <x:row r="4333">
      <x:c r="A4333" s="34" t="str">
        <x:v>randoop</x:v>
      </x:c>
      <x:c r="B4333" s="34" t="str">
        <x:v>Cli</x:v>
      </x:c>
      <x:c r="C4333" s="34" t="str">
        <x:v>Round2</x:v>
      </x:c>
      <x:c r="D4333" s="34" t="str">
        <x:v>Cli_37</x:v>
      </x:c>
      <x:c r="E4333" s="34" t="str">
        <x:v>Condition</x:v>
      </x:c>
      <x:c r="F4333" s="34" t="n">
        <x:v>158</x:v>
      </x:c>
      <x:c r="G4333" s="34" t="str">
        <x:v>RECORDED</x:v>
      </x:c>
      <x:c r="H4333" s="38" t="n">
        <x:f>IF(ISNUMBER('Data'!I917),'Data'!I917*100,"")</x:f>
        <x:v>1.27</x:v>
      </x:c>
      <x:c r="I4333" s="34" t="str">
        <x:v>PASS</x:v>
      </x:c>
      <x:c r="J4333" s="34" t="str">
        <x:v>PASS</x:v>
      </x:c>
      <x:c r="K4333" s="34" t="str">
        <x:v>PASS</x:v>
      </x:c>
      <x:c r="L4333" s="34" t="str">
        <x:v>FAIL</x:v>
      </x:c>
      <x:c r="M4333" s="34" t="str">
        <x:v>numeric coverage for applicable metric</x:v>
      </x:c>
      <x:c r="N4333" s="34" t="str">
        <x:v>Feedback-Directed Random Test Generation/Result_Round2/Cli_37/result.json</x:v>
      </x:c>
      <x:c r="O4333" s="38" t="n">
        <x:f>IF(AND(G4333="RECORDED",ISNUMBER(H4333)),H4333,"")</x:f>
        <x:v>1.27</x:v>
      </x:c>
      <x:c r="P4333" s="34" t="str">
        <x:v>INCONCLUSIVE</x:v>
      </x:c>
      <x:c r="Q4333" s="34" t="str">
        <x:v>Feedback-Directed Random Test Generation/Result_Round2/Cli_37/result.json</x:v>
      </x:c>
    </x:row>
    <x:row r="4334">
      <x:c r="A4334" s="34" t="str">
        <x:v>randoop</x:v>
      </x:c>
      <x:c r="B4334" s="34" t="str">
        <x:v>Cli</x:v>
      </x:c>
      <x:c r="C4334" s="34" t="str">
        <x:v>Round2</x:v>
      </x:c>
      <x:c r="D4334" s="34" t="str">
        <x:v>Cli_38</x:v>
      </x:c>
      <x:c r="E4334" s="34" t="str">
        <x:v>Condition</x:v>
      </x:c>
      <x:c r="F4334" s="34" t="n">
        <x:v>158</x:v>
      </x:c>
      <x:c r="G4334" s="34" t="str">
        <x:v>RECORDED</x:v>
      </x:c>
      <x:c r="H4334" s="38" t="n">
        <x:f>IF(ISNUMBER('Data'!I918),'Data'!I918*100,"")</x:f>
        <x:v>1.27</x:v>
      </x:c>
      <x:c r="I4334" s="34" t="str">
        <x:v>PASS</x:v>
      </x:c>
      <x:c r="J4334" s="34" t="str">
        <x:v>PASS</x:v>
      </x:c>
      <x:c r="K4334" s="34" t="str">
        <x:v>PASS</x:v>
      </x:c>
      <x:c r="L4334" s="34" t="str">
        <x:v>FAIL</x:v>
      </x:c>
      <x:c r="M4334" s="34" t="str">
        <x:v>numeric coverage for applicable metric</x:v>
      </x:c>
      <x:c r="N4334" s="34" t="str">
        <x:v>Feedback-Directed Random Test Generation/Result_Round2/Cli_38/result.json</x:v>
      </x:c>
      <x:c r="O4334" s="38" t="n">
        <x:f>IF(AND(G4334="RECORDED",ISNUMBER(H4334)),H4334,"")</x:f>
        <x:v>1.27</x:v>
      </x:c>
      <x:c r="P4334" s="34" t="str">
        <x:v>INCONCLUSIVE</x:v>
      </x:c>
      <x:c r="Q4334" s="34" t="str">
        <x:v>Feedback-Directed Random Test Generation/Result_Round2/Cli_38/result.json</x:v>
      </x:c>
    </x:row>
    <x:row r="4335">
      <x:c r="A4335" s="34" t="str">
        <x:v>randoop</x:v>
      </x:c>
      <x:c r="B4335" s="34" t="str">
        <x:v>Cli</x:v>
      </x:c>
      <x:c r="C4335" s="34" t="str">
        <x:v>Round2</x:v>
      </x:c>
      <x:c r="D4335" s="34" t="str">
        <x:v>Cli_39</x:v>
      </x:c>
      <x:c r="E4335" s="34" t="str">
        <x:v>Condition</x:v>
      </x:c>
      <x:c r="F4335" s="34" t="n">
        <x:v>20</x:v>
      </x:c>
      <x:c r="G4335" s="34" t="str">
        <x:v>RECORDED</x:v>
      </x:c>
      <x:c r="H4335" s="38" t="n">
        <x:f>IF(ISNUMBER('Data'!I919),'Data'!I919*100,"")</x:f>
        <x:v>55.00000000000001</x:v>
      </x:c>
      <x:c r="I4335" s="34" t="str">
        <x:v>PASS</x:v>
      </x:c>
      <x:c r="J4335" s="34" t="str">
        <x:v>PASS</x:v>
      </x:c>
      <x:c r="K4335" s="34" t="str">
        <x:v>PASS</x:v>
      </x:c>
      <x:c r="L4335" s="34" t="str">
        <x:v>PASS</x:v>
      </x:c>
      <x:c r="M4335" s="34" t="str">
        <x:v>numeric coverage for applicable metric</x:v>
      </x:c>
      <x:c r="N4335" s="34" t="str">
        <x:v>Feedback-Directed Random Test Generation/Result_Round2/Cli_39/result.json</x:v>
      </x:c>
      <x:c r="O4335" s="38" t="n">
        <x:f>IF(AND(G4335="RECORDED",ISNUMBER(H4335)),H4335,"")</x:f>
        <x:v>55.00000000000001</x:v>
      </x:c>
      <x:c r="P4335" s="34" t="str">
        <x:v>NOT_REVEALING</x:v>
      </x:c>
      <x:c r="Q4335" s="34" t="str">
        <x:v>Feedback-Directed Random Test Generation/Result_Round2/Cli_39/result.json</x:v>
      </x:c>
    </x:row>
    <x:row r="4336">
      <x:c r="A4336" s="34" t="str">
        <x:v>randoop</x:v>
      </x:c>
      <x:c r="B4336" s="34" t="str">
        <x:v>Cli</x:v>
      </x:c>
      <x:c r="C4336" s="34" t="str">
        <x:v>Round2</x:v>
      </x:c>
      <x:c r="D4336" s="34" t="str">
        <x:v>Cli_40</x:v>
      </x:c>
      <x:c r="E4336" s="34" t="str">
        <x:v>Condition</x:v>
      </x:c>
      <x:c r="F4336" s="34" t="n">
        <x:v>20</x:v>
      </x:c>
      <x:c r="G4336" s="34" t="str">
        <x:v>RECORDED</x:v>
      </x:c>
      <x:c r="H4336" s="38" t="n">
        <x:f>IF(ISNUMBER('Data'!I920),'Data'!I920*100,"")</x:f>
        <x:v>60</x:v>
      </x:c>
      <x:c r="I4336" s="34" t="str">
        <x:v>PASS</x:v>
      </x:c>
      <x:c r="J4336" s="34" t="str">
        <x:v>PASS</x:v>
      </x:c>
      <x:c r="K4336" s="34" t="str">
        <x:v>PASS</x:v>
      </x:c>
      <x:c r="L4336" s="34" t="str">
        <x:v>PASS</x:v>
      </x:c>
      <x:c r="M4336" s="34" t="str">
        <x:v>numeric coverage for applicable metric</x:v>
      </x:c>
      <x:c r="N4336" s="34" t="str">
        <x:v>Feedback-Directed Random Test Generation/Result_Round2/Cli_40/result.json</x:v>
      </x:c>
      <x:c r="O4336" s="38" t="n">
        <x:f>IF(AND(G4336="RECORDED",ISNUMBER(H4336)),H4336,"")</x:f>
        <x:v>60</x:v>
      </x:c>
      <x:c r="P4336" s="34" t="str">
        <x:v>INCONCLUSIVE</x:v>
      </x:c>
      <x:c r="Q4336" s="34" t="str">
        <x:v>Feedback-Directed Random Test Generation/Result_Round2/Cli_40/result.json</x:v>
      </x:c>
    </x:row>
    <x:row r="4337">
      <x:c r="A4337" s="34" t="str">
        <x:v>randoop</x:v>
      </x:c>
      <x:c r="B4337" s="34" t="str">
        <x:v>Closure</x:v>
      </x:c>
      <x:c r="C4337" s="34" t="str">
        <x:v>Round2</x:v>
      </x:c>
      <x:c r="D4337" s="34" t="str">
        <x:v>Closure_1</x:v>
      </x:c>
      <x:c r="E4337" s="34" t="str">
        <x:v>Condition</x:v>
      </x:c>
      <x:c r="F4337" s="34" t="n">
        <x:v>285</x:v>
      </x:c>
      <x:c r="G4337" s="34" t="str">
        <x:v>RECORDED</x:v>
      </x:c>
      <x:c r="H4337" s="38" t="n">
        <x:f>IF(ISNUMBER('Data'!I921),'Data'!I921*100,"")</x:f>
        <x:v>0</x:v>
      </x:c>
      <x:c r="I4337" s="34" t="str">
        <x:v>PASS</x:v>
      </x:c>
      <x:c r="J4337" s="34" t="str">
        <x:v>PASS</x:v>
      </x:c>
      <x:c r="K4337" s="34" t="str">
        <x:v>PASS</x:v>
      </x:c>
      <x:c r="L4337" s="34" t="str">
        <x:v>PASS</x:v>
      </x:c>
      <x:c r="M4337" s="34" t="str">
        <x:v>numeric coverage for applicable metric</x:v>
      </x:c>
      <x:c r="N4337" s="34" t="str">
        <x:v>Feedback-Directed Random Test Generation/Result_Round2/Closure_1/result.json</x:v>
      </x:c>
      <x:c r="O4337" s="38" t="n">
        <x:f>IF(AND(G4337="RECORDED",ISNUMBER(H4337)),H4337,"")</x:f>
        <x:v>0</x:v>
      </x:c>
      <x:c r="P4337" s="34" t="str">
        <x:v>NOT_REVEALING</x:v>
      </x:c>
      <x:c r="Q4337" s="34" t="str">
        <x:v>Feedback-Directed Random Test Generation/Result_Round2/Closure_1/result.json</x:v>
      </x:c>
    </x:row>
    <x:row r="4338">
      <x:c r="A4338" s="34" t="str">
        <x:v>randoop</x:v>
      </x:c>
      <x:c r="B4338" s="34" t="str">
        <x:v>Closure</x:v>
      </x:c>
      <x:c r="C4338" s="34" t="str">
        <x:v>Round2</x:v>
      </x:c>
      <x:c r="D4338" s="34" t="str">
        <x:v>Closure_2</x:v>
      </x:c>
      <x:c r="E4338" s="34" t="str">
        <x:v>Condition</x:v>
      </x:c>
      <x:c r="F4338" s="34" t="n">
        <x:v>574</x:v>
      </x:c>
      <x:c r="G4338" s="34" t="str">
        <x:v>RECORDED</x:v>
      </x:c>
      <x:c r="H4338" s="38" t="n">
        <x:f>IF(ISNUMBER('Data'!I922),'Data'!I922*100,"")</x:f>
        <x:v>0</x:v>
      </x:c>
      <x:c r="I4338" s="34" t="str">
        <x:v>PASS</x:v>
      </x:c>
      <x:c r="J4338" s="34" t="str">
        <x:v>PASS</x:v>
      </x:c>
      <x:c r="K4338" s="34" t="str">
        <x:v>PASS</x:v>
      </x:c>
      <x:c r="L4338" s="34" t="str">
        <x:v>PASS</x:v>
      </x:c>
      <x:c r="M4338" s="34" t="str">
        <x:v>numeric coverage for applicable metric</x:v>
      </x:c>
      <x:c r="N4338" s="34" t="str">
        <x:v>Feedback-Directed Random Test Generation/Result_Round2/Closure_2/result.json</x:v>
      </x:c>
      <x:c r="O4338" s="38" t="n">
        <x:f>IF(AND(G4338="RECORDED",ISNUMBER(H4338)),H4338,"")</x:f>
        <x:v>0</x:v>
      </x:c>
      <x:c r="P4338" s="34" t="str">
        <x:v>NOT_REVEALING</x:v>
      </x:c>
      <x:c r="Q4338" s="34" t="str">
        <x:v>Feedback-Directed Random Test Generation/Result_Round2/Closure_2/result.json</x:v>
      </x:c>
    </x:row>
    <x:row r="4339">
      <x:c r="A4339" s="34" t="str">
        <x:v>randoop</x:v>
      </x:c>
      <x:c r="B4339" s="34" t="str">
        <x:v>Closure</x:v>
      </x:c>
      <x:c r="C4339" s="34" t="str">
        <x:v>Round2</x:v>
      </x:c>
      <x:c r="D4339" s="34" t="str">
        <x:v>Closure_3</x:v>
      </x:c>
      <x:c r="E4339" s="34" t="str">
        <x:v>Condition</x:v>
      </x:c>
      <x:c r="F4339" s="34" t="n">
        <x:v>127</x:v>
      </x:c>
      <x:c r="G4339" s="34" t="str">
        <x:v>RECORDED</x:v>
      </x:c>
      <x:c r="H4339" s="38" t="n">
        <x:f>IF(ISNUMBER('Data'!I923),'Data'!I923*100,"")</x:f>
        <x:v>0</x:v>
      </x:c>
      <x:c r="I4339" s="34" t="str">
        <x:v>PASS</x:v>
      </x:c>
      <x:c r="J4339" s="34" t="str">
        <x:v>PASS</x:v>
      </x:c>
      <x:c r="K4339" s="34" t="str">
        <x:v>PASS</x:v>
      </x:c>
      <x:c r="L4339" s="34" t="str">
        <x:v>PASS</x:v>
      </x:c>
      <x:c r="M4339" s="34" t="str">
        <x:v>numeric coverage for applicable metric</x:v>
      </x:c>
      <x:c r="N4339" s="34" t="str">
        <x:v>Feedback-Directed Random Test Generation/Result_Round2/Closure_3/result.json</x:v>
      </x:c>
      <x:c r="O4339" s="38" t="n">
        <x:f>IF(AND(G4339="RECORDED",ISNUMBER(H4339)),H4339,"")</x:f>
        <x:v>0</x:v>
      </x:c>
      <x:c r="P4339" s="34" t="str">
        <x:v>NOT_REVEALING</x:v>
      </x:c>
      <x:c r="Q4339" s="34" t="str">
        <x:v>Feedback-Directed Random Test Generation/Result_Round2/Closure_3/result.json</x:v>
      </x:c>
    </x:row>
    <x:row r="4340">
      <x:c r="A4340" s="34" t="str">
        <x:v>randoop</x:v>
      </x:c>
      <x:c r="B4340" s="34" t="str">
        <x:v>Closure</x:v>
      </x:c>
      <x:c r="C4340" s="34" t="str">
        <x:v>Round2</x:v>
      </x:c>
      <x:c r="D4340" s="34" t="str">
        <x:v>Closure_4</x:v>
      </x:c>
      <x:c r="E4340" s="34" t="str">
        <x:v>Condition</x:v>
      </x:c>
      <x:c r="F4340" s="34" t="n">
        <x:v>86</x:v>
      </x:c>
      <x:c r="G4340" s="34" t="str">
        <x:v>RECORDED</x:v>
      </x:c>
      <x:c r="H4340" s="38" t="n">
        <x:f>IF(ISNUMBER('Data'!I924),'Data'!I924*100,"")</x:f>
        <x:v>0</x:v>
      </x:c>
      <x:c r="I4340" s="34" t="str">
        <x:v>PASS</x:v>
      </x:c>
      <x:c r="J4340" s="34" t="str">
        <x:v>PASS</x:v>
      </x:c>
      <x:c r="K4340" s="34" t="str">
        <x:v>PASS</x:v>
      </x:c>
      <x:c r="L4340" s="34" t="str">
        <x:v>PASS</x:v>
      </x:c>
      <x:c r="M4340" s="34" t="str">
        <x:v>numeric coverage for applicable metric</x:v>
      </x:c>
      <x:c r="N4340" s="34" t="str">
        <x:v>Feedback-Directed Random Test Generation/Result_Round2/Closure_4/result.json</x:v>
      </x:c>
      <x:c r="O4340" s="38" t="n">
        <x:f>IF(AND(G4340="RECORDED",ISNUMBER(H4340)),H4340,"")</x:f>
        <x:v>0</x:v>
      </x:c>
      <x:c r="P4340" s="34" t="str">
        <x:v>NOT_REVEALING</x:v>
      </x:c>
      <x:c r="Q4340" s="34" t="str">
        <x:v>Feedback-Directed Random Test Generation/Result_Round2/Closure_4/result.json</x:v>
      </x:c>
    </x:row>
    <x:row r="4341">
      <x:c r="A4341" s="34" t="str">
        <x:v>randoop</x:v>
      </x:c>
      <x:c r="B4341" s="34" t="str">
        <x:v>Closure</x:v>
      </x:c>
      <x:c r="C4341" s="34" t="str">
        <x:v>Round2</x:v>
      </x:c>
      <x:c r="D4341" s="34" t="str">
        <x:v>Closure_5</x:v>
      </x:c>
      <x:c r="E4341" s="34" t="str">
        <x:v>Condition</x:v>
      </x:c>
      <x:c r="F4341" s="34" t="n">
        <x:v>108</x:v>
      </x:c>
      <x:c r="G4341" s="34" t="str">
        <x:v>RECORDED</x:v>
      </x:c>
      <x:c r="H4341" s="38" t="n">
        <x:f>IF(ISNUMBER('Data'!I925),'Data'!I925*100,"")</x:f>
        <x:v>0</x:v>
      </x:c>
      <x:c r="I4341" s="34" t="str">
        <x:v>PASS</x:v>
      </x:c>
      <x:c r="J4341" s="34" t="str">
        <x:v>PASS</x:v>
      </x:c>
      <x:c r="K4341" s="34" t="str">
        <x:v>PASS</x:v>
      </x:c>
      <x:c r="L4341" s="34" t="str">
        <x:v>PASS</x:v>
      </x:c>
      <x:c r="M4341" s="34" t="str">
        <x:v>numeric coverage for applicable metric</x:v>
      </x:c>
      <x:c r="N4341" s="34" t="str">
        <x:v>Feedback-Directed Random Test Generation/Result_Round2/Closure_5/result.json</x:v>
      </x:c>
      <x:c r="O4341" s="38" t="n">
        <x:f>IF(AND(G4341="RECORDED",ISNUMBER(H4341)),H4341,"")</x:f>
        <x:v>0</x:v>
      </x:c>
      <x:c r="P4341" s="34" t="str">
        <x:v>NOT_REVEALING</x:v>
      </x:c>
      <x:c r="Q4341" s="34" t="str">
        <x:v>Feedback-Directed Random Test Generation/Result_Round2/Closure_5/result.json</x:v>
      </x:c>
    </x:row>
    <x:row r="4342">
      <x:c r="A4342" s="34" t="str">
        <x:v>randoop</x:v>
      </x:c>
      <x:c r="B4342" s="34" t="str">
        <x:v>Closure</x:v>
      </x:c>
      <x:c r="C4342" s="34" t="str">
        <x:v>Round2</x:v>
      </x:c>
      <x:c r="D4342" s="34" t="str">
        <x:v>Closure_6</x:v>
      </x:c>
      <x:c r="E4342" s="34" t="str">
        <x:v>Condition</x:v>
      </x:c>
      <x:c r="F4342" s="34" t="n">
        <x:v>220</x:v>
      </x:c>
      <x:c r="G4342" s="34" t="str">
        <x:v>RECORDED</x:v>
      </x:c>
      <x:c r="H4342" s="38" t="n">
        <x:f>IF(ISNUMBER('Data'!I926),'Data'!I926*100,"")</x:f>
        <x:v>0</x:v>
      </x:c>
      <x:c r="I4342" s="34" t="str">
        <x:v>PASS</x:v>
      </x:c>
      <x:c r="J4342" s="34" t="str">
        <x:v>PASS</x:v>
      </x:c>
      <x:c r="K4342" s="34" t="str">
        <x:v>PASS</x:v>
      </x:c>
      <x:c r="L4342" s="34" t="str">
        <x:v>PASS</x:v>
      </x:c>
      <x:c r="M4342" s="34" t="str">
        <x:v>numeric coverage for applicable metric</x:v>
      </x:c>
      <x:c r="N4342" s="34" t="str">
        <x:v>Feedback-Directed Random Test Generation/Result_Round2/Closure_6/result.json</x:v>
      </x:c>
      <x:c r="O4342" s="38" t="n">
        <x:f>IF(AND(G4342="RECORDED",ISNUMBER(H4342)),H4342,"")</x:f>
        <x:v>0</x:v>
      </x:c>
      <x:c r="P4342" s="34" t="str">
        <x:v>NOT_REVEALING</x:v>
      </x:c>
      <x:c r="Q4342" s="34" t="str">
        <x:v>Feedback-Directed Random Test Generation/Result_Round2/Closure_6/result.json</x:v>
      </x:c>
    </x:row>
    <x:row r="4343">
      <x:c r="A4343" s="34" t="str">
        <x:v>randoop</x:v>
      </x:c>
      <x:c r="B4343" s="34" t="str">
        <x:v>Closure</x:v>
      </x:c>
      <x:c r="C4343" s="34" t="str">
        <x:v>Round2</x:v>
      </x:c>
      <x:c r="D4343" s="34" t="str">
        <x:v>Closure_7</x:v>
      </x:c>
      <x:c r="E4343" s="34" t="str">
        <x:v>Condition</x:v>
      </x:c>
      <x:c r="F4343" s="34" t="n">
        <x:v>95</x:v>
      </x:c>
      <x:c r="G4343" s="34" t="str">
        <x:v>RECORDED</x:v>
      </x:c>
      <x:c r="H4343" s="38" t="n">
        <x:f>IF(ISNUMBER('Data'!I927),'Data'!I927*100,"")</x:f>
        <x:v>0</x:v>
      </x:c>
      <x:c r="I4343" s="34" t="str">
        <x:v>PASS</x:v>
      </x:c>
      <x:c r="J4343" s="34" t="str">
        <x:v>PASS</x:v>
      </x:c>
      <x:c r="K4343" s="34" t="str">
        <x:v>PASS</x:v>
      </x:c>
      <x:c r="L4343" s="34" t="str">
        <x:v>PASS</x:v>
      </x:c>
      <x:c r="M4343" s="34" t="str">
        <x:v>numeric coverage for applicable metric</x:v>
      </x:c>
      <x:c r="N4343" s="34" t="str">
        <x:v>Feedback-Directed Random Test Generation/Result_Round2/Closure_7/result.json</x:v>
      </x:c>
      <x:c r="O4343" s="38" t="n">
        <x:f>IF(AND(G4343="RECORDED",ISNUMBER(H4343)),H4343,"")</x:f>
        <x:v>0</x:v>
      </x:c>
      <x:c r="P4343" s="34" t="str">
        <x:v>NOT_REVEALING</x:v>
      </x:c>
      <x:c r="Q4343" s="34" t="str">
        <x:v>Feedback-Directed Random Test Generation/Result_Round2/Closure_7/result.json</x:v>
      </x:c>
    </x:row>
    <x:row r="4344">
      <x:c r="A4344" s="34" t="str">
        <x:v>randoop</x:v>
      </x:c>
      <x:c r="B4344" s="34" t="str">
        <x:v>Closure</x:v>
      </x:c>
      <x:c r="C4344" s="34" t="str">
        <x:v>Round2</x:v>
      </x:c>
      <x:c r="D4344" s="34" t="str">
        <x:v>Closure_8</x:v>
      </x:c>
      <x:c r="E4344" s="34" t="str">
        <x:v>Condition</x:v>
      </x:c>
      <x:c r="F4344" s="34" t="n">
        <x:v>52</x:v>
      </x:c>
      <x:c r="G4344" s="34" t="str">
        <x:v>RECORDED</x:v>
      </x:c>
      <x:c r="H4344" s="38" t="n">
        <x:f>IF(ISNUMBER('Data'!I928),'Data'!I928*100,"")</x:f>
        <x:v>0</x:v>
      </x:c>
      <x:c r="I4344" s="34" t="str">
        <x:v>PASS</x:v>
      </x:c>
      <x:c r="J4344" s="34" t="str">
        <x:v>PASS</x:v>
      </x:c>
      <x:c r="K4344" s="34" t="str">
        <x:v>PASS</x:v>
      </x:c>
      <x:c r="L4344" s="34" t="str">
        <x:v>PASS</x:v>
      </x:c>
      <x:c r="M4344" s="34" t="str">
        <x:v>numeric coverage for applicable metric</x:v>
      </x:c>
      <x:c r="N4344" s="34" t="str">
        <x:v>Feedback-Directed Random Test Generation/Result_Round2/Closure_8/result.json</x:v>
      </x:c>
      <x:c r="O4344" s="38" t="n">
        <x:f>IF(AND(G4344="RECORDED",ISNUMBER(H4344)),H4344,"")</x:f>
        <x:v>0</x:v>
      </x:c>
      <x:c r="P4344" s="34" t="str">
        <x:v>NOT_REVEALING</x:v>
      </x:c>
      <x:c r="Q4344" s="34" t="str">
        <x:v>Feedback-Directed Random Test Generation/Result_Round2/Closure_8/result.json</x:v>
      </x:c>
    </x:row>
    <x:row r="4345">
      <x:c r="A4345" s="34" t="str">
        <x:v>randoop</x:v>
      </x:c>
      <x:c r="B4345" s="34" t="str">
        <x:v>Closure</x:v>
      </x:c>
      <x:c r="C4345" s="34" t="str">
        <x:v>Round2</x:v>
      </x:c>
      <x:c r="D4345" s="34" t="str">
        <x:v>Closure_9</x:v>
      </x:c>
      <x:c r="E4345" s="34" t="str">
        <x:v>Condition</x:v>
      </x:c>
      <x:c r="F4345" s="34" t="n">
        <x:v>42</x:v>
      </x:c>
      <x:c r="G4345" s="34" t="str">
        <x:v>RECORDED</x:v>
      </x:c>
      <x:c r="H4345" s="38" t="n">
        <x:f>IF(ISNUMBER('Data'!I929),'Data'!I929*100,"")</x:f>
        <x:v>14.29</x:v>
      </x:c>
      <x:c r="I4345" s="34" t="str">
        <x:v>PASS</x:v>
      </x:c>
      <x:c r="J4345" s="34" t="str">
        <x:v>PASS</x:v>
      </x:c>
      <x:c r="K4345" s="34" t="str">
        <x:v>PASS</x:v>
      </x:c>
      <x:c r="L4345" s="34" t="str">
        <x:v>PASS</x:v>
      </x:c>
      <x:c r="M4345" s="34" t="str">
        <x:v>numeric coverage for applicable metric</x:v>
      </x:c>
      <x:c r="N4345" s="34" t="str">
        <x:v>Feedback-Directed Random Test Generation/Result_Round2/Closure_9/result.json</x:v>
      </x:c>
      <x:c r="O4345" s="38" t="n">
        <x:f>IF(AND(G4345="RECORDED",ISNUMBER(H4345)),H4345,"")</x:f>
        <x:v>14.29</x:v>
      </x:c>
      <x:c r="P4345" s="34" t="str">
        <x:v>NOT_REVEALING</x:v>
      </x:c>
      <x:c r="Q4345" s="34" t="str">
        <x:v>Feedback-Directed Random Test Generation/Result_Round2/Closure_9/result.json</x:v>
      </x:c>
    </x:row>
    <x:row r="4346">
      <x:c r="A4346" s="34" t="str">
        <x:v>randoop</x:v>
      </x:c>
      <x:c r="B4346" s="34" t="str">
        <x:v>Closure</x:v>
      </x:c>
      <x:c r="C4346" s="34" t="str">
        <x:v>Round2</x:v>
      </x:c>
      <x:c r="D4346" s="34" t="str">
        <x:v>Closure_10</x:v>
      </x:c>
      <x:c r="E4346" s="34" t="str">
        <x:v>Condition</x:v>
      </x:c>
      <x:c r="F4346" s="34" t="n">
        <x:v>1028</x:v>
      </x:c>
      <x:c r="G4346" s="34" t="str">
        <x:v>RECORDED</x:v>
      </x:c>
      <x:c r="H4346" s="38" t="n">
        <x:f>IF(ISNUMBER('Data'!I930),'Data'!I930*100,"")</x:f>
        <x:v>30.25</x:v>
      </x:c>
      <x:c r="I4346" s="34" t="str">
        <x:v>PASS</x:v>
      </x:c>
      <x:c r="J4346" s="34" t="str">
        <x:v>PASS</x:v>
      </x:c>
      <x:c r="K4346" s="34" t="str">
        <x:v>PASS</x:v>
      </x:c>
      <x:c r="L4346" s="34" t="str">
        <x:v>FAIL</x:v>
      </x:c>
      <x:c r="M4346" s="34" t="str">
        <x:v>numeric coverage for applicable metric</x:v>
      </x:c>
      <x:c r="N4346" s="34" t="str">
        <x:v>Feedback-Directed Random Test Generation/Result_Round2/Closure_10/result.json</x:v>
      </x:c>
      <x:c r="O4346" s="38" t="n">
        <x:f>IF(AND(G4346="RECORDED",ISNUMBER(H4346)),H4346,"")</x:f>
        <x:v>30.25</x:v>
      </x:c>
      <x:c r="P4346" s="34" t="str">
        <x:v>INCONCLUSIVE</x:v>
      </x:c>
      <x:c r="Q4346" s="34" t="str">
        <x:v>Feedback-Directed Random Test Generation/Result_Round2/Closure_10/result.json</x:v>
      </x:c>
    </x:row>
    <x:row r="4347">
      <x:c r="A4347" s="34" t="str">
        <x:v>randoop</x:v>
      </x:c>
      <x:c r="B4347" s="34" t="str">
        <x:v>Closure</x:v>
      </x:c>
      <x:c r="C4347" s="34" t="str">
        <x:v>Round2</x:v>
      </x:c>
      <x:c r="D4347" s="34" t="str">
        <x:v>Closure_11</x:v>
      </x:c>
      <x:c r="E4347" s="34" t="str">
        <x:v>Condition</x:v>
      </x:c>
      <x:c r="F4347" s="34" t="n">
        <x:v>549</x:v>
      </x:c>
      <x:c r="G4347" s="34" t="str">
        <x:v>RECORDED</x:v>
      </x:c>
      <x:c r="H4347" s="38" t="n">
        <x:f>IF(ISNUMBER('Data'!I931),'Data'!I931*100,"")</x:f>
        <x:v>0</x:v>
      </x:c>
      <x:c r="I4347" s="34" t="str">
        <x:v>PASS</x:v>
      </x:c>
      <x:c r="J4347" s="34" t="str">
        <x:v>PASS</x:v>
      </x:c>
      <x:c r="K4347" s="34" t="str">
        <x:v>PASS</x:v>
      </x:c>
      <x:c r="L4347" s="34" t="str">
        <x:v>PASS</x:v>
      </x:c>
      <x:c r="M4347" s="34" t="str">
        <x:v>numeric coverage for applicable metric</x:v>
      </x:c>
      <x:c r="N4347" s="34" t="str">
        <x:v>Feedback-Directed Random Test Generation/Result_Round2/Closure_11/result.json</x:v>
      </x:c>
      <x:c r="O4347" s="38" t="n">
        <x:f>IF(AND(G4347="RECORDED",ISNUMBER(H4347)),H4347,"")</x:f>
        <x:v>0</x:v>
      </x:c>
      <x:c r="P4347" s="34" t="str">
        <x:v>NOT_REVEALING</x:v>
      </x:c>
      <x:c r="Q4347" s="34" t="str">
        <x:v>Feedback-Directed Random Test Generation/Result_Round2/Closure_11/result.json</x:v>
      </x:c>
    </x:row>
    <x:row r="4348">
      <x:c r="A4348" s="34" t="str">
        <x:v>randoop</x:v>
      </x:c>
      <x:c r="B4348" s="34" t="str">
        <x:v>Closure</x:v>
      </x:c>
      <x:c r="C4348" s="34" t="str">
        <x:v>Round2</x:v>
      </x:c>
      <x:c r="D4348" s="34" t="str">
        <x:v>Closure_12</x:v>
      </x:c>
      <x:c r="E4348" s="34" t="str">
        <x:v>Condition</x:v>
      </x:c>
      <x:c r="F4348" s="34" t="n">
        <x:v>48</x:v>
      </x:c>
      <x:c r="G4348" s="34" t="str">
        <x:v>RECORDED</x:v>
      </x:c>
      <x:c r="H4348" s="38" t="n">
        <x:f>IF(ISNUMBER('Data'!I932),'Data'!I932*100,"")</x:f>
        <x:v>6.25</x:v>
      </x:c>
      <x:c r="I4348" s="34" t="str">
        <x:v>PASS</x:v>
      </x:c>
      <x:c r="J4348" s="34" t="str">
        <x:v>PASS</x:v>
      </x:c>
      <x:c r="K4348" s="34" t="str">
        <x:v>PASS</x:v>
      </x:c>
      <x:c r="L4348" s="34" t="str">
        <x:v>PASS</x:v>
      </x:c>
      <x:c r="M4348" s="34" t="str">
        <x:v>numeric coverage for applicable metric</x:v>
      </x:c>
      <x:c r="N4348" s="34" t="str">
        <x:v>Feedback-Directed Random Test Generation/Result_Round2/Closure_12/result.json</x:v>
      </x:c>
      <x:c r="O4348" s="38" t="n">
        <x:f>IF(AND(G4348="RECORDED",ISNUMBER(H4348)),H4348,"")</x:f>
        <x:v>6.25</x:v>
      </x:c>
      <x:c r="P4348" s="34" t="str">
        <x:v>NOT_REVEALING</x:v>
      </x:c>
      <x:c r="Q4348" s="34" t="str">
        <x:v>Feedback-Directed Random Test Generation/Result_Round2/Closure_12/result.json</x:v>
      </x:c>
    </x:row>
    <x:row r="4349">
      <x:c r="A4349" s="34" t="str">
        <x:v>randoop</x:v>
      </x:c>
      <x:c r="B4349" s="34" t="str">
        <x:v>Closure</x:v>
      </x:c>
      <x:c r="C4349" s="34" t="str">
        <x:v>Round2</x:v>
      </x:c>
      <x:c r="D4349" s="34" t="str">
        <x:v>Closure_13</x:v>
      </x:c>
      <x:c r="E4349" s="34" t="str">
        <x:v>Condition</x:v>
      </x:c>
      <x:c r="F4349" s="34" t="n">
        <x:v>40</x:v>
      </x:c>
      <x:c r="G4349" s="34" t="str">
        <x:v>RECORDED</x:v>
      </x:c>
      <x:c r="H4349" s="38" t="n">
        <x:f>IF(ISNUMBER('Data'!I933),'Data'!I933*100,"")</x:f>
        <x:v>0</x:v>
      </x:c>
      <x:c r="I4349" s="34" t="str">
        <x:v>PASS</x:v>
      </x:c>
      <x:c r="J4349" s="34" t="str">
        <x:v>PASS</x:v>
      </x:c>
      <x:c r="K4349" s="34" t="str">
        <x:v>PASS</x:v>
      </x:c>
      <x:c r="L4349" s="34" t="str">
        <x:v>PASS</x:v>
      </x:c>
      <x:c r="M4349" s="34" t="str">
        <x:v>numeric coverage for applicable metric</x:v>
      </x:c>
      <x:c r="N4349" s="34" t="str">
        <x:v>Feedback-Directed Random Test Generation/Result_Round2/Closure_13/result.json</x:v>
      </x:c>
      <x:c r="O4349" s="38" t="n">
        <x:f>IF(AND(G4349="RECORDED",ISNUMBER(H4349)),H4349,"")</x:f>
        <x:v>0</x:v>
      </x:c>
      <x:c r="P4349" s="34" t="str">
        <x:v>NOT_REVEALING</x:v>
      </x:c>
      <x:c r="Q4349" s="34" t="str">
        <x:v>Feedback-Directed Random Test Generation/Result_Round2/Closure_13/result.json</x:v>
      </x:c>
    </x:row>
    <x:row r="4350">
      <x:c r="A4350" s="34" t="str">
        <x:v>randoop</x:v>
      </x:c>
      <x:c r="B4350" s="34" t="str">
        <x:v>Closure</x:v>
      </x:c>
      <x:c r="C4350" s="34" t="str">
        <x:v>Round2</x:v>
      </x:c>
      <x:c r="D4350" s="34" t="str">
        <x:v>Closure_14</x:v>
      </x:c>
      <x:c r="E4350" s="34" t="str">
        <x:v>Condition</x:v>
      </x:c>
      <x:c r="F4350" s="34" t="n">
        <x:v>276</x:v>
      </x:c>
      <x:c r="G4350" s="34" t="str">
        <x:v>RECORDED</x:v>
      </x:c>
      <x:c r="H4350" s="38" t="n">
        <x:f>IF(ISNUMBER('Data'!I934),'Data'!I934*100,"")</x:f>
        <x:v>0.36</x:v>
      </x:c>
      <x:c r="I4350" s="34" t="str">
        <x:v>PASS</x:v>
      </x:c>
      <x:c r="J4350" s="34" t="str">
        <x:v>PASS</x:v>
      </x:c>
      <x:c r="K4350" s="34" t="str">
        <x:v>PASS</x:v>
      </x:c>
      <x:c r="L4350" s="34" t="str">
        <x:v>PASS</x:v>
      </x:c>
      <x:c r="M4350" s="34" t="str">
        <x:v>numeric coverage for applicable metric</x:v>
      </x:c>
      <x:c r="N4350" s="34" t="str">
        <x:v>Feedback-Directed Random Test Generation/Result_Round2/Closure_14/result.json</x:v>
      </x:c>
      <x:c r="O4350" s="38" t="n">
        <x:f>IF(AND(G4350="RECORDED",ISNUMBER(H4350)),H4350,"")</x:f>
        <x:v>0.36</x:v>
      </x:c>
      <x:c r="P4350" s="34" t="str">
        <x:v>NOT_REVEALING</x:v>
      </x:c>
      <x:c r="Q4350" s="34" t="str">
        <x:v>Feedback-Directed Random Test Generation/Result_Round2/Closure_14/result.json</x:v>
      </x:c>
    </x:row>
    <x:row r="4351">
      <x:c r="A4351" s="34" t="str">
        <x:v>randoop</x:v>
      </x:c>
      <x:c r="B4351" s="34" t="str">
        <x:v>Closure</x:v>
      </x:c>
      <x:c r="C4351" s="34" t="str">
        <x:v>Round2</x:v>
      </x:c>
      <x:c r="D4351" s="34" t="str">
        <x:v>Closure_15</x:v>
      </x:c>
      <x:c r="E4351" s="34" t="str">
        <x:v>Condition</x:v>
      </x:c>
      <x:c r="F4351" s="34" t="n">
        <x:v>119</x:v>
      </x:c>
      <x:c r="G4351" s="34" t="str">
        <x:v>RECORDED</x:v>
      </x:c>
      <x:c r="H4351" s="38" t="n">
        <x:f>IF(ISNUMBER('Data'!I935),'Data'!I935*100,"")</x:f>
        <x:v>0</x:v>
      </x:c>
      <x:c r="I4351" s="34" t="str">
        <x:v>PASS</x:v>
      </x:c>
      <x:c r="J4351" s="34" t="str">
        <x:v>PASS</x:v>
      </x:c>
      <x:c r="K4351" s="34" t="str">
        <x:v>PASS</x:v>
      </x:c>
      <x:c r="L4351" s="34" t="str">
        <x:v>PASS</x:v>
      </x:c>
      <x:c r="M4351" s="34" t="str">
        <x:v>numeric coverage for applicable metric</x:v>
      </x:c>
      <x:c r="N4351" s="34" t="str">
        <x:v>Feedback-Directed Random Test Generation/Result_Round2/Closure_15/result.json</x:v>
      </x:c>
      <x:c r="O4351" s="38" t="n">
        <x:f>IF(AND(G4351="RECORDED",ISNUMBER(H4351)),H4351,"")</x:f>
        <x:v>0</x:v>
      </x:c>
      <x:c r="P4351" s="34" t="str">
        <x:v>NOT_REVEALING</x:v>
      </x:c>
      <x:c r="Q4351" s="34" t="str">
        <x:v>Feedback-Directed Random Test Generation/Result_Round2/Closure_15/result.json</x:v>
      </x:c>
    </x:row>
    <x:row r="4352">
      <x:c r="A4352" s="34" t="str">
        <x:v>randoop</x:v>
      </x:c>
      <x:c r="B4352" s="34" t="str">
        <x:v>Closure</x:v>
      </x:c>
      <x:c r="C4352" s="34" t="str">
        <x:v>Round2</x:v>
      </x:c>
      <x:c r="D4352" s="34" t="str">
        <x:v>Closure_16</x:v>
      </x:c>
      <x:c r="E4352" s="34" t="str">
        <x:v>Condition</x:v>
      </x:c>
      <x:c r="F4352" s="34" t="n">
        <x:v>124</x:v>
      </x:c>
      <x:c r="G4352" s="34" t="str">
        <x:v>RECORDED</x:v>
      </x:c>
      <x:c r="H4352" s="38" t="n">
        <x:f>IF(ISNUMBER('Data'!I936),'Data'!I936*100,"")</x:f>
        <x:v>0</x:v>
      </x:c>
      <x:c r="I4352" s="34" t="str">
        <x:v>PASS</x:v>
      </x:c>
      <x:c r="J4352" s="34" t="str">
        <x:v>PASS</x:v>
      </x:c>
      <x:c r="K4352" s="34" t="str">
        <x:v>PASS</x:v>
      </x:c>
      <x:c r="L4352" s="34" t="str">
        <x:v>PASS</x:v>
      </x:c>
      <x:c r="M4352" s="34" t="str">
        <x:v>numeric coverage for applicable metric</x:v>
      </x:c>
      <x:c r="N4352" s="34" t="str">
        <x:v>Feedback-Directed Random Test Generation/Result_Round2/Closure_16/result.json</x:v>
      </x:c>
      <x:c r="O4352" s="38" t="n">
        <x:f>IF(AND(G4352="RECORDED",ISNUMBER(H4352)),H4352,"")</x:f>
        <x:v>0</x:v>
      </x:c>
      <x:c r="P4352" s="34" t="str">
        <x:v>NOT_REVEALING</x:v>
      </x:c>
      <x:c r="Q4352" s="34" t="str">
        <x:v>Feedback-Directed Random Test Generation/Result_Round2/Closure_16/result.json</x:v>
      </x:c>
    </x:row>
    <x:row r="4353">
      <x:c r="A4353" s="34" t="str">
        <x:v>randoop</x:v>
      </x:c>
      <x:c r="B4353" s="34" t="str">
        <x:v>Closure</x:v>
      </x:c>
      <x:c r="C4353" s="34" t="str">
        <x:v>Round2</x:v>
      </x:c>
      <x:c r="D4353" s="34" t="str">
        <x:v>Closure_17</x:v>
      </x:c>
      <x:c r="E4353" s="34" t="str">
        <x:v>Condition</x:v>
      </x:c>
      <x:c r="F4353" s="34" t="n">
        <x:v>687</x:v>
      </x:c>
      <x:c r="G4353" s="34" t="str">
        <x:v>RECORDED</x:v>
      </x:c>
      <x:c r="H4353" s="38" t="n">
        <x:f>IF(ISNUMBER('Data'!I937),'Data'!I937*100,"")</x:f>
        <x:v>0</x:v>
      </x:c>
      <x:c r="I4353" s="34" t="str">
        <x:v>PASS</x:v>
      </x:c>
      <x:c r="J4353" s="34" t="str">
        <x:v>PASS</x:v>
      </x:c>
      <x:c r="K4353" s="34" t="str">
        <x:v>PASS</x:v>
      </x:c>
      <x:c r="L4353" s="34" t="str">
        <x:v>PASS</x:v>
      </x:c>
      <x:c r="M4353" s="34" t="str">
        <x:v>numeric coverage for applicable metric</x:v>
      </x:c>
      <x:c r="N4353" s="34" t="str">
        <x:v>Feedback-Directed Random Test Generation/Result_Round2/Closure_17/result.json</x:v>
      </x:c>
      <x:c r="O4353" s="38" t="n">
        <x:f>IF(AND(G4353="RECORDED",ISNUMBER(H4353)),H4353,"")</x:f>
        <x:v>0</x:v>
      </x:c>
      <x:c r="P4353" s="34" t="str">
        <x:v>NOT_REVEALING</x:v>
      </x:c>
      <x:c r="Q4353" s="34" t="str">
        <x:v>Feedback-Directed Random Test Generation/Result_Round2/Closure_17/result.json</x:v>
      </x:c>
    </x:row>
    <x:row r="4354">
      <x:c r="A4354" s="34" t="str">
        <x:v>randoop</x:v>
      </x:c>
      <x:c r="B4354" s="34" t="str">
        <x:v>Closure</x:v>
      </x:c>
      <x:c r="C4354" s="34" t="str">
        <x:v>Round2</x:v>
      </x:c>
      <x:c r="D4354" s="34" t="str">
        <x:v>Closure_18</x:v>
      </x:c>
      <x:c r="E4354" s="34" t="str">
        <x:v>Condition</x:v>
      </x:c>
      <x:c r="F4354" s="34" t="n">
        <x:v>416</x:v>
      </x:c>
      <x:c r="G4354" s="34" t="str">
        <x:v>RECORDED</x:v>
      </x:c>
      <x:c r="H4354" s="38" t="n">
        <x:f>IF(ISNUMBER('Data'!I938),'Data'!I938*100,"")</x:f>
        <x:v>46.15</x:v>
      </x:c>
      <x:c r="I4354" s="34" t="str">
        <x:v>PASS</x:v>
      </x:c>
      <x:c r="J4354" s="34" t="str">
        <x:v>PASS</x:v>
      </x:c>
      <x:c r="K4354" s="34" t="str">
        <x:v>PASS</x:v>
      </x:c>
      <x:c r="L4354" s="34" t="str">
        <x:v>FAIL</x:v>
      </x:c>
      <x:c r="M4354" s="34" t="str">
        <x:v>numeric coverage for applicable metric</x:v>
      </x:c>
      <x:c r="N4354" s="34" t="str">
        <x:v>Feedback-Directed Random Test Generation/Result_Round2/Closure_18/result.json</x:v>
      </x:c>
      <x:c r="O4354" s="38" t="n">
        <x:f>IF(AND(G4354="RECORDED",ISNUMBER(H4354)),H4354,"")</x:f>
        <x:v>46.15</x:v>
      </x:c>
      <x:c r="P4354" s="34" t="str">
        <x:v>INCONCLUSIVE</x:v>
      </x:c>
      <x:c r="Q4354" s="34" t="str">
        <x:v>Feedback-Directed Random Test Generation/Result_Round2/Closure_18/result.json</x:v>
      </x:c>
    </x:row>
    <x:row r="4355">
      <x:c r="A4355" s="34" t="str">
        <x:v>randoop</x:v>
      </x:c>
      <x:c r="B4355" s="34" t="str">
        <x:v>Closure</x:v>
      </x:c>
      <x:c r="C4355" s="34" t="str">
        <x:v>Round2</x:v>
      </x:c>
      <x:c r="D4355" s="34" t="str">
        <x:v>Closure_19</x:v>
      </x:c>
      <x:c r="E4355" s="34" t="str">
        <x:v>Condition</x:v>
      </x:c>
      <x:c r="F4355" s="34" t="n">
        <x:v>94</x:v>
      </x:c>
      <x:c r="G4355" s="34" t="str">
        <x:v>RECORDED</x:v>
      </x:c>
      <x:c r="H4355" s="38" t="n">
        <x:f>IF(ISNUMBER('Data'!I939),'Data'!I939*100,"")</x:f>
        <x:v>0</x:v>
      </x:c>
      <x:c r="I4355" s="34" t="str">
        <x:v>PASS</x:v>
      </x:c>
      <x:c r="J4355" s="34" t="str">
        <x:v>PASS</x:v>
      </x:c>
      <x:c r="K4355" s="34" t="str">
        <x:v>PASS</x:v>
      </x:c>
      <x:c r="L4355" s="34" t="str">
        <x:v>PASS</x:v>
      </x:c>
      <x:c r="M4355" s="34" t="str">
        <x:v>numeric coverage for applicable metric</x:v>
      </x:c>
      <x:c r="N4355" s="34" t="str">
        <x:v>Feedback-Directed Random Test Generation/Result_Round2/Closure_19/result.json</x:v>
      </x:c>
      <x:c r="O4355" s="38" t="n">
        <x:f>IF(AND(G4355="RECORDED",ISNUMBER(H4355)),H4355,"")</x:f>
        <x:v>0</x:v>
      </x:c>
      <x:c r="P4355" s="34" t="str">
        <x:v>NOT_REVEALING</x:v>
      </x:c>
      <x:c r="Q4355" s="34" t="str">
        <x:v>Feedback-Directed Random Test Generation/Result_Round2/Closure_19/result.json</x:v>
      </x:c>
    </x:row>
    <x:row r="4356">
      <x:c r="A4356" s="34" t="str">
        <x:v>randoop</x:v>
      </x:c>
      <x:c r="B4356" s="34" t="str">
        <x:v>Closure</x:v>
      </x:c>
      <x:c r="C4356" s="34" t="str">
        <x:v>Round2</x:v>
      </x:c>
      <x:c r="D4356" s="34" t="str">
        <x:v>Closure_20</x:v>
      </x:c>
      <x:c r="E4356" s="34" t="str">
        <x:v>Condition</x:v>
      </x:c>
      <x:c r="F4356" s="34" t="n">
        <x:v>526</x:v>
      </x:c>
      <x:c r="G4356" s="34" t="str">
        <x:v>RECORDED</x:v>
      </x:c>
      <x:c r="H4356" s="38" t="n">
        <x:f>IF(ISNUMBER('Data'!I940),'Data'!I940*100,"")</x:f>
        <x:v>0.57</x:v>
      </x:c>
      <x:c r="I4356" s="34" t="str">
        <x:v>PASS</x:v>
      </x:c>
      <x:c r="J4356" s="34" t="str">
        <x:v>PASS</x:v>
      </x:c>
      <x:c r="K4356" s="34" t="str">
        <x:v>PASS</x:v>
      </x:c>
      <x:c r="L4356" s="34" t="str">
        <x:v>PASS</x:v>
      </x:c>
      <x:c r="M4356" s="34" t="str">
        <x:v>numeric coverage for applicable metric</x:v>
      </x:c>
      <x:c r="N4356" s="34" t="str">
        <x:v>Feedback-Directed Random Test Generation/Result_Round2/Closure_20/result.json</x:v>
      </x:c>
      <x:c r="O4356" s="38" t="n">
        <x:f>IF(AND(G4356="RECORDED",ISNUMBER(H4356)),H4356,"")</x:f>
        <x:v>0.57</x:v>
      </x:c>
      <x:c r="P4356" s="34" t="str">
        <x:v>NOT_REVEALING</x:v>
      </x:c>
      <x:c r="Q4356" s="34" t="str">
        <x:v>Feedback-Directed Random Test Generation/Result_Round2/Closure_20/result.json</x:v>
      </x:c>
    </x:row>
    <x:row r="4357">
      <x:c r="A4357" s="34" t="str">
        <x:v>randoop</x:v>
      </x:c>
      <x:c r="B4357" s="34" t="str">
        <x:v>Closure</x:v>
      </x:c>
      <x:c r="C4357" s="34" t="str">
        <x:v>Round2</x:v>
      </x:c>
      <x:c r="D4357" s="34" t="str">
        <x:v>Closure_21</x:v>
      </x:c>
      <x:c r="E4357" s="34" t="str">
        <x:v>Condition</x:v>
      </x:c>
      <x:c r="F4357" s="34" t="n">
        <x:v>60</x:v>
      </x:c>
      <x:c r="G4357" s="34" t="str">
        <x:v>RECORDED</x:v>
      </x:c>
      <x:c r="H4357" s="38" t="n">
        <x:f>IF(ISNUMBER('Data'!I941),'Data'!I941*100,"")</x:f>
        <x:v>0</x:v>
      </x:c>
      <x:c r="I4357" s="34" t="str">
        <x:v>PASS</x:v>
      </x:c>
      <x:c r="J4357" s="34" t="str">
        <x:v>PASS</x:v>
      </x:c>
      <x:c r="K4357" s="34" t="str">
        <x:v>PASS</x:v>
      </x:c>
      <x:c r="L4357" s="34" t="str">
        <x:v>PASS</x:v>
      </x:c>
      <x:c r="M4357" s="34" t="str">
        <x:v>numeric coverage for applicable metric</x:v>
      </x:c>
      <x:c r="N4357" s="34" t="str">
        <x:v>Feedback-Directed Random Test Generation/Result_Round2/Closure_21/result.json</x:v>
      </x:c>
      <x:c r="O4357" s="38" t="n">
        <x:f>IF(AND(G4357="RECORDED",ISNUMBER(H4357)),H4357,"")</x:f>
        <x:v>0</x:v>
      </x:c>
      <x:c r="P4357" s="34" t="str">
        <x:v>NOT_REVEALING</x:v>
      </x:c>
      <x:c r="Q4357" s="34" t="str">
        <x:v>Feedback-Directed Random Test Generation/Result_Round2/Closure_21/result.json</x:v>
      </x:c>
    </x:row>
    <x:row r="4358">
      <x:c r="A4358" s="34" t="str">
        <x:v>randoop</x:v>
      </x:c>
      <x:c r="B4358" s="34" t="str">
        <x:v>Closure</x:v>
      </x:c>
      <x:c r="C4358" s="34" t="str">
        <x:v>Round2</x:v>
      </x:c>
      <x:c r="D4358" s="34" t="str">
        <x:v>Closure_22</x:v>
      </x:c>
      <x:c r="E4358" s="34" t="str">
        <x:v>Condition</x:v>
      </x:c>
      <x:c r="F4358" s="34" t="n">
        <x:v>72</x:v>
      </x:c>
      <x:c r="G4358" s="34" t="str">
        <x:v>RECORDED</x:v>
      </x:c>
      <x:c r="H4358" s="38" t="n">
        <x:f>IF(ISNUMBER('Data'!I942),'Data'!I942*100,"")</x:f>
        <x:v>0</x:v>
      </x:c>
      <x:c r="I4358" s="34" t="str">
        <x:v>PASS</x:v>
      </x:c>
      <x:c r="J4358" s="34" t="str">
        <x:v>PASS</x:v>
      </x:c>
      <x:c r="K4358" s="34" t="str">
        <x:v>PASS</x:v>
      </x:c>
      <x:c r="L4358" s="34" t="str">
        <x:v>PASS</x:v>
      </x:c>
      <x:c r="M4358" s="34" t="str">
        <x:v>numeric coverage for applicable metric</x:v>
      </x:c>
      <x:c r="N4358" s="34" t="str">
        <x:v>Feedback-Directed Random Test Generation/Result_Round2/Closure_22/result.json</x:v>
      </x:c>
      <x:c r="O4358" s="38" t="n">
        <x:f>IF(AND(G4358="RECORDED",ISNUMBER(H4358)),H4358,"")</x:f>
        <x:v>0</x:v>
      </x:c>
      <x:c r="P4358" s="34" t="str">
        <x:v>NOT_REVEALING</x:v>
      </x:c>
      <x:c r="Q4358" s="34" t="str">
        <x:v>Feedback-Directed Random Test Generation/Result_Round2/Closure_22/result.json</x:v>
      </x:c>
    </x:row>
    <x:row r="4359">
      <x:c r="A4359" s="34" t="str">
        <x:v>randoop</x:v>
      </x:c>
      <x:c r="B4359" s="34" t="str">
        <x:v>Closure</x:v>
      </x:c>
      <x:c r="C4359" s="34" t="str">
        <x:v>Round2</x:v>
      </x:c>
      <x:c r="D4359" s="34" t="str">
        <x:v>Closure_23</x:v>
      </x:c>
      <x:c r="E4359" s="34" t="str">
        <x:v>Condition</x:v>
      </x:c>
      <x:c r="F4359" s="34" t="n">
        <x:v>543</x:v>
      </x:c>
      <x:c r="G4359" s="34" t="str">
        <x:v>RECORDED</x:v>
      </x:c>
      <x:c r="H4359" s="38" t="n">
        <x:f>IF(ISNUMBER('Data'!I943),'Data'!I943*100,"")</x:f>
        <x:v>0</x:v>
      </x:c>
      <x:c r="I4359" s="34" t="str">
        <x:v>PASS</x:v>
      </x:c>
      <x:c r="J4359" s="34" t="str">
        <x:v>PASS</x:v>
      </x:c>
      <x:c r="K4359" s="34" t="str">
        <x:v>PASS</x:v>
      </x:c>
      <x:c r="L4359" s="34" t="str">
        <x:v>PASS</x:v>
      </x:c>
      <x:c r="M4359" s="34" t="str">
        <x:v>numeric coverage for applicable metric</x:v>
      </x:c>
      <x:c r="N4359" s="34" t="str">
        <x:v>Feedback-Directed Random Test Generation/Result_Round2/Closure_23/result.json</x:v>
      </x:c>
      <x:c r="O4359" s="38" t="n">
        <x:f>IF(AND(G4359="RECORDED",ISNUMBER(H4359)),H4359,"")</x:f>
        <x:v>0</x:v>
      </x:c>
      <x:c r="P4359" s="34" t="str">
        <x:v>NOT_REVEALING</x:v>
      </x:c>
      <x:c r="Q4359" s="34" t="str">
        <x:v>Feedback-Directed Random Test Generation/Result_Round2/Closure_23/result.json</x:v>
      </x:c>
    </x:row>
    <x:row r="4360">
      <x:c r="A4360" s="34" t="str">
        <x:v>randoop</x:v>
      </x:c>
      <x:c r="B4360" s="34" t="str">
        <x:v>Closure</x:v>
      </x:c>
      <x:c r="C4360" s="34" t="str">
        <x:v>Round2</x:v>
      </x:c>
      <x:c r="D4360" s="34" t="str">
        <x:v>Closure_24</x:v>
      </x:c>
      <x:c r="E4360" s="34" t="str">
        <x:v>Condition</x:v>
      </x:c>
      <x:c r="F4360" s="34" t="n">
        <x:v>104</x:v>
      </x:c>
      <x:c r="G4360" s="34" t="str">
        <x:v>RECORDED</x:v>
      </x:c>
      <x:c r="H4360" s="38" t="n">
        <x:f>IF(ISNUMBER('Data'!I944),'Data'!I944*100,"")</x:f>
        <x:v>0</x:v>
      </x:c>
      <x:c r="I4360" s="34" t="str">
        <x:v>PASS</x:v>
      </x:c>
      <x:c r="J4360" s="34" t="str">
        <x:v>PASS</x:v>
      </x:c>
      <x:c r="K4360" s="34" t="str">
        <x:v>PASS</x:v>
      </x:c>
      <x:c r="L4360" s="34" t="str">
        <x:v>PASS</x:v>
      </x:c>
      <x:c r="M4360" s="34" t="str">
        <x:v>numeric coverage for applicable metric</x:v>
      </x:c>
      <x:c r="N4360" s="34" t="str">
        <x:v>Feedback-Directed Random Test Generation/Result_Round2/Closure_24/result.json</x:v>
      </x:c>
      <x:c r="O4360" s="38" t="n">
        <x:f>IF(AND(G4360="RECORDED",ISNUMBER(H4360)),H4360,"")</x:f>
        <x:v>0</x:v>
      </x:c>
      <x:c r="P4360" s="34" t="str">
        <x:v>NOT_REVEALING</x:v>
      </x:c>
      <x:c r="Q4360" s="34" t="str">
        <x:v>Feedback-Directed Random Test Generation/Result_Round2/Closure_24/result.json</x:v>
      </x:c>
    </x:row>
    <x:row r="4361">
      <x:c r="A4361" s="34" t="str">
        <x:v>randoop</x:v>
      </x:c>
      <x:c r="B4361" s="34" t="str">
        <x:v>Closure</x:v>
      </x:c>
      <x:c r="C4361" s="34" t="str">
        <x:v>Round2</x:v>
      </x:c>
      <x:c r="D4361" s="34" t="str">
        <x:v>Closure_25</x:v>
      </x:c>
      <x:c r="E4361" s="34" t="str">
        <x:v>Condition</x:v>
      </x:c>
      <x:c r="F4361" s="34" t="n">
        <x:v>404</x:v>
      </x:c>
      <x:c r="G4361" s="34" t="str">
        <x:v>RECORDED</x:v>
      </x:c>
      <x:c r="H4361" s="38" t="n">
        <x:f>IF(ISNUMBER('Data'!I945),'Data'!I945*100,"")</x:f>
        <x:v>0.5</x:v>
      </x:c>
      <x:c r="I4361" s="34" t="str">
        <x:v>PASS</x:v>
      </x:c>
      <x:c r="J4361" s="34" t="str">
        <x:v>PASS</x:v>
      </x:c>
      <x:c r="K4361" s="34" t="str">
        <x:v>PASS</x:v>
      </x:c>
      <x:c r="L4361" s="34" t="str">
        <x:v>PASS</x:v>
      </x:c>
      <x:c r="M4361" s="34" t="str">
        <x:v>numeric coverage for applicable metric</x:v>
      </x:c>
      <x:c r="N4361" s="34" t="str">
        <x:v>Feedback-Directed Random Test Generation/Result_Round2/Closure_25/result.json</x:v>
      </x:c>
      <x:c r="O4361" s="38" t="n">
        <x:f>IF(AND(G4361="RECORDED",ISNUMBER(H4361)),H4361,"")</x:f>
        <x:v>0.5</x:v>
      </x:c>
      <x:c r="P4361" s="34" t="str">
        <x:v>NOT_REVEALING</x:v>
      </x:c>
      <x:c r="Q4361" s="34" t="str">
        <x:v>Feedback-Directed Random Test Generation/Result_Round2/Closure_25/result.json</x:v>
      </x:c>
    </x:row>
    <x:row r="4362">
      <x:c r="A4362" s="34" t="str">
        <x:v>randoop</x:v>
      </x:c>
      <x:c r="B4362" s="34" t="str">
        <x:v>Closure</x:v>
      </x:c>
      <x:c r="C4362" s="34" t="str">
        <x:v>Round2</x:v>
      </x:c>
      <x:c r="D4362" s="34" t="str">
        <x:v>Closure_26</x:v>
      </x:c>
      <x:c r="E4362" s="34" t="str">
        <x:v>Condition</x:v>
      </x:c>
      <x:c r="F4362" s="34" t="n">
        <x:v>40</x:v>
      </x:c>
      <x:c r="G4362" s="34" t="str">
        <x:v>RECORDED</x:v>
      </x:c>
      <x:c r="H4362" s="38" t="n">
        <x:f>IF(ISNUMBER('Data'!I946),'Data'!I946*100,"")</x:f>
        <x:v>15</x:v>
      </x:c>
      <x:c r="I4362" s="34" t="str">
        <x:v>PASS</x:v>
      </x:c>
      <x:c r="J4362" s="34" t="str">
        <x:v>PASS</x:v>
      </x:c>
      <x:c r="K4362" s="34" t="str">
        <x:v>PASS</x:v>
      </x:c>
      <x:c r="L4362" s="34" t="str">
        <x:v>PASS</x:v>
      </x:c>
      <x:c r="M4362" s="34" t="str">
        <x:v>numeric coverage for applicable metric</x:v>
      </x:c>
      <x:c r="N4362" s="34" t="str">
        <x:v>Feedback-Directed Random Test Generation/Result_Round2/Closure_26/result.json</x:v>
      </x:c>
      <x:c r="O4362" s="38" t="n">
        <x:f>IF(AND(G4362="RECORDED",ISNUMBER(H4362)),H4362,"")</x:f>
        <x:v>15</x:v>
      </x:c>
      <x:c r="P4362" s="34" t="str">
        <x:v>NOT_REVEALING</x:v>
      </x:c>
      <x:c r="Q4362" s="34" t="str">
        <x:v>Feedback-Directed Random Test Generation/Result_Round2/Closure_26/result.json</x:v>
      </x:c>
    </x:row>
    <x:row r="4363">
      <x:c r="A4363" s="34" t="str">
        <x:v>randoop</x:v>
      </x:c>
      <x:c r="B4363" s="34" t="str">
        <x:v>Closure</x:v>
      </x:c>
      <x:c r="C4363" s="34" t="str">
        <x:v>Round2</x:v>
      </x:c>
      <x:c r="D4363" s="34" t="str">
        <x:v>Closure_27</x:v>
      </x:c>
      <x:c r="E4363" s="34" t="str">
        <x:v>Condition</x:v>
      </x:c>
      <x:c r="F4363" s="34" t="n">
        <x:v>60</x:v>
      </x:c>
      <x:c r="G4363" s="34" t="str">
        <x:v>RECORDED</x:v>
      </x:c>
      <x:c r="H4363" s="38" t="n">
        <x:f>IF(ISNUMBER('Data'!I947),'Data'!I947*100,"")</x:f>
        <x:v>63.33</x:v>
      </x:c>
      <x:c r="I4363" s="34" t="str">
        <x:v>PASS</x:v>
      </x:c>
      <x:c r="J4363" s="34" t="str">
        <x:v>PASS</x:v>
      </x:c>
      <x:c r="K4363" s="34" t="str">
        <x:v>PASS</x:v>
      </x:c>
      <x:c r="L4363" s="34" t="str">
        <x:v>PASS</x:v>
      </x:c>
      <x:c r="M4363" s="34" t="str">
        <x:v>numeric coverage for applicable metric</x:v>
      </x:c>
      <x:c r="N4363" s="34" t="str">
        <x:v>Feedback-Directed Random Test Generation/Result_Round2/Closure_27/result.json</x:v>
      </x:c>
      <x:c r="O4363" s="38" t="n">
        <x:f>IF(AND(G4363="RECORDED",ISNUMBER(H4363)),H4363,"")</x:f>
        <x:v>63.33</x:v>
      </x:c>
      <x:c r="P4363" s="34" t="str">
        <x:v>INCONCLUSIVE</x:v>
      </x:c>
      <x:c r="Q4363" s="34" t="str">
        <x:v>Feedback-Directed Random Test Generation/Result_Round2/Closure_27/result.json</x:v>
      </x:c>
    </x:row>
    <x:row r="4364">
      <x:c r="A4364" s="34" t="str">
        <x:v>randoop</x:v>
      </x:c>
      <x:c r="B4364" s="34" t="str">
        <x:v>Closure</x:v>
      </x:c>
      <x:c r="C4364" s="34" t="str">
        <x:v>Round2</x:v>
      </x:c>
      <x:c r="D4364" s="34" t="str">
        <x:v>Closure_28</x:v>
      </x:c>
      <x:c r="E4364" s="34" t="str">
        <x:v>Condition</x:v>
      </x:c>
      <x:c r="F4364" s="34" t="n">
        <x:v>2</x:v>
      </x:c>
      <x:c r="G4364" s="34" t="str">
        <x:v>RECORDED</x:v>
      </x:c>
      <x:c r="H4364" s="38" t="n">
        <x:f>IF(ISNUMBER('Data'!I948),'Data'!I948*100,"")</x:f>
        <x:v>0</x:v>
      </x:c>
      <x:c r="I4364" s="34" t="str">
        <x:v>PASS</x:v>
      </x:c>
      <x:c r="J4364" s="34" t="str">
        <x:v>PASS</x:v>
      </x:c>
      <x:c r="K4364" s="34" t="str">
        <x:v>PASS</x:v>
      </x:c>
      <x:c r="L4364" s="34" t="str">
        <x:v>PASS</x:v>
      </x:c>
      <x:c r="M4364" s="34" t="str">
        <x:v>numeric coverage for applicable metric</x:v>
      </x:c>
      <x:c r="N4364" s="34" t="str">
        <x:v>Feedback-Directed Random Test Generation/Result_Round2/Closure_28/result.json</x:v>
      </x:c>
      <x:c r="O4364" s="38" t="n">
        <x:f>IF(AND(G4364="RECORDED",ISNUMBER(H4364)),H4364,"")</x:f>
        <x:v>0</x:v>
      </x:c>
      <x:c r="P4364" s="34" t="str">
        <x:v>NOT_REVEALING</x:v>
      </x:c>
      <x:c r="Q4364" s="34" t="str">
        <x:v>Feedback-Directed Random Test Generation/Result_Round2/Closure_28/result.json</x:v>
      </x:c>
    </x:row>
    <x:row r="4365">
      <x:c r="A4365" s="34" t="str">
        <x:v>randoop</x:v>
      </x:c>
      <x:c r="B4365" s="34" t="str">
        <x:v>Closure</x:v>
      </x:c>
      <x:c r="C4365" s="34" t="str">
        <x:v>Round2</x:v>
      </x:c>
      <x:c r="D4365" s="34" t="str">
        <x:v>Closure_29</x:v>
      </x:c>
      <x:c r="E4365" s="34" t="str">
        <x:v>Condition</x:v>
      </x:c>
      <x:c r="F4365" s="34" t="n">
        <x:v>104</x:v>
      </x:c>
      <x:c r="G4365" s="34" t="str">
        <x:v>RECORDED</x:v>
      </x:c>
      <x:c r="H4365" s="38" t="n">
        <x:f>IF(ISNUMBER('Data'!I949),'Data'!I949*100,"")</x:f>
        <x:v>0</x:v>
      </x:c>
      <x:c r="I4365" s="34" t="str">
        <x:v>PASS</x:v>
      </x:c>
      <x:c r="J4365" s="34" t="str">
        <x:v>PASS</x:v>
      </x:c>
      <x:c r="K4365" s="34" t="str">
        <x:v>PASS</x:v>
      </x:c>
      <x:c r="L4365" s="34" t="str">
        <x:v>PASS</x:v>
      </x:c>
      <x:c r="M4365" s="34" t="str">
        <x:v>numeric coverage for applicable metric</x:v>
      </x:c>
      <x:c r="N4365" s="34" t="str">
        <x:v>Feedback-Directed Random Test Generation/Result_Round2/Closure_29/result.json</x:v>
      </x:c>
      <x:c r="O4365" s="38" t="n">
        <x:f>IF(AND(G4365="RECORDED",ISNUMBER(H4365)),H4365,"")</x:f>
        <x:v>0</x:v>
      </x:c>
      <x:c r="P4365" s="34" t="str">
        <x:v>NOT_REVEALING</x:v>
      </x:c>
      <x:c r="Q4365" s="34" t="str">
        <x:v>Feedback-Directed Random Test Generation/Result_Round2/Closure_29/result.json</x:v>
      </x:c>
    </x:row>
    <x:row r="4366">
      <x:c r="A4366" s="34" t="str">
        <x:v>randoop</x:v>
      </x:c>
      <x:c r="B4366" s="34" t="str">
        <x:v>Closure</x:v>
      </x:c>
      <x:c r="C4366" s="34" t="str">
        <x:v>Round2</x:v>
      </x:c>
      <x:c r="D4366" s="34" t="str">
        <x:v>Closure_30</x:v>
      </x:c>
      <x:c r="E4366" s="34" t="str">
        <x:v>Condition</x:v>
      </x:c>
      <x:c r="F4366" s="34" t="n">
        <x:v>222</x:v>
      </x:c>
      <x:c r="G4366" s="34" t="str">
        <x:v>RECORDED</x:v>
      </x:c>
      <x:c r="H4366" s="38" t="n">
        <x:f>IF(ISNUMBER('Data'!I950),'Data'!I950*100,"")</x:f>
        <x:v>1.35</x:v>
      </x:c>
      <x:c r="I4366" s="34" t="str">
        <x:v>PASS</x:v>
      </x:c>
      <x:c r="J4366" s="34" t="str">
        <x:v>PASS</x:v>
      </x:c>
      <x:c r="K4366" s="34" t="str">
        <x:v>PASS</x:v>
      </x:c>
      <x:c r="L4366" s="34" t="str">
        <x:v>FAIL</x:v>
      </x:c>
      <x:c r="M4366" s="34" t="str">
        <x:v>numeric coverage for applicable metric</x:v>
      </x:c>
      <x:c r="N4366" s="34" t="str">
        <x:v>Feedback-Directed Random Test Generation/Result_Round2/Closure_30/result.json</x:v>
      </x:c>
      <x:c r="O4366" s="38" t="n">
        <x:f>IF(AND(G4366="RECORDED",ISNUMBER(H4366)),H4366,"")</x:f>
        <x:v>1.35</x:v>
      </x:c>
      <x:c r="P4366" s="34" t="str">
        <x:v>INCONCLUSIVE</x:v>
      </x:c>
      <x:c r="Q4366" s="34" t="str">
        <x:v>Feedback-Directed Random Test Generation/Result_Round2/Closure_30/result.json</x:v>
      </x:c>
    </x:row>
    <x:row r="4367">
      <x:c r="A4367" s="34" t="str">
        <x:v>randoop</x:v>
      </x:c>
      <x:c r="B4367" s="34" t="str">
        <x:v>Closure</x:v>
      </x:c>
      <x:c r="C4367" s="34" t="str">
        <x:v>Round2</x:v>
      </x:c>
      <x:c r="D4367" s="34" t="str">
        <x:v>Closure_31</x:v>
      </x:c>
      <x:c r="E4367" s="34" t="str">
        <x:v>Condition</x:v>
      </x:c>
      <x:c r="F4367" s="34" t="n">
        <x:v>400</x:v>
      </x:c>
      <x:c r="G4367" s="34" t="str">
        <x:v>RECORDED</x:v>
      </x:c>
      <x:c r="H4367" s="38" t="n">
        <x:f>IF(ISNUMBER('Data'!I951),'Data'!I951*100,"")</x:f>
        <x:v>42</x:v>
      </x:c>
      <x:c r="I4367" s="34" t="str">
        <x:v>PASS</x:v>
      </x:c>
      <x:c r="J4367" s="34" t="str">
        <x:v>PASS</x:v>
      </x:c>
      <x:c r="K4367" s="34" t="str">
        <x:v>PASS</x:v>
      </x:c>
      <x:c r="L4367" s="34" t="str">
        <x:v>FAIL</x:v>
      </x:c>
      <x:c r="M4367" s="34" t="str">
        <x:v>numeric coverage for applicable metric</x:v>
      </x:c>
      <x:c r="N4367" s="34" t="str">
        <x:v>Feedback-Directed Random Test Generation/Result_Round2/Closure_31/result.json</x:v>
      </x:c>
      <x:c r="O4367" s="38" t="n">
        <x:f>IF(AND(G4367="RECORDED",ISNUMBER(H4367)),H4367,"")</x:f>
        <x:v>42</x:v>
      </x:c>
      <x:c r="P4367" s="34" t="str">
        <x:v>INCONCLUSIVE</x:v>
      </x:c>
      <x:c r="Q4367" s="34" t="str">
        <x:v>Feedback-Directed Random Test Generation/Result_Round2/Closure_31/result.json</x:v>
      </x:c>
    </x:row>
    <x:row r="4368">
      <x:c r="A4368" s="34" t="str">
        <x:v>randoop</x:v>
      </x:c>
      <x:c r="B4368" s="34" t="str">
        <x:v>Closure</x:v>
      </x:c>
      <x:c r="C4368" s="34" t="str">
        <x:v>Round2</x:v>
      </x:c>
      <x:c r="D4368" s="34" t="str">
        <x:v>Closure_32</x:v>
      </x:c>
      <x:c r="E4368" s="34" t="str">
        <x:v>Condition</x:v>
      </x:c>
      <x:c r="F4368" s="34" t="n">
        <x:v>611</x:v>
      </x:c>
      <x:c r="G4368" s="34" t="str">
        <x:v>RECORDED</x:v>
      </x:c>
      <x:c r="H4368" s="38" t="n">
        <x:f>IF(ISNUMBER('Data'!I952),'Data'!I952*100,"")</x:f>
        <x:v>5.07</x:v>
      </x:c>
      <x:c r="I4368" s="34" t="str">
        <x:v>PASS</x:v>
      </x:c>
      <x:c r="J4368" s="34" t="str">
        <x:v>PASS</x:v>
      </x:c>
      <x:c r="K4368" s="34" t="str">
        <x:v>PASS</x:v>
      </x:c>
      <x:c r="L4368" s="34" t="str">
        <x:v>PASS</x:v>
      </x:c>
      <x:c r="M4368" s="34" t="str">
        <x:v>numeric coverage for applicable metric</x:v>
      </x:c>
      <x:c r="N4368" s="34" t="str">
        <x:v>Feedback-Directed Random Test Generation/Result_Round2/Closure_32/result.json</x:v>
      </x:c>
      <x:c r="O4368" s="38" t="n">
        <x:f>IF(AND(G4368="RECORDED",ISNUMBER(H4368)),H4368,"")</x:f>
        <x:v>5.07</x:v>
      </x:c>
      <x:c r="P4368" s="34" t="str">
        <x:v>NOT_REVEALING</x:v>
      </x:c>
      <x:c r="Q4368" s="34" t="str">
        <x:v>Feedback-Directed Random Test Generation/Result_Round2/Closure_32/result.json</x:v>
      </x:c>
    </x:row>
    <x:row r="4369">
      <x:c r="A4369" s="34" t="str">
        <x:v>randoop</x:v>
      </x:c>
      <x:c r="B4369" s="34" t="str">
        <x:v>Closure</x:v>
      </x:c>
      <x:c r="C4369" s="34" t="str">
        <x:v>Round2</x:v>
      </x:c>
      <x:c r="D4369" s="34" t="str">
        <x:v>Closure_33</x:v>
      </x:c>
      <x:c r="E4369" s="34" t="str">
        <x:v>Condition</x:v>
      </x:c>
      <x:c r="F4369" s="34" t="n">
        <x:v>180</x:v>
      </x:c>
      <x:c r="G4369" s="34" t="str">
        <x:v>RECORDED</x:v>
      </x:c>
      <x:c r="H4369" s="38" t="n">
        <x:f>IF(ISNUMBER('Data'!I953),'Data'!I953*100,"")</x:f>
        <x:v>41.67</x:v>
      </x:c>
      <x:c r="I4369" s="34" t="str">
        <x:v>PASS</x:v>
      </x:c>
      <x:c r="J4369" s="34" t="str">
        <x:v>PASS</x:v>
      </x:c>
      <x:c r="K4369" s="34" t="str">
        <x:v>PASS</x:v>
      </x:c>
      <x:c r="L4369" s="34" t="str">
        <x:v>PASS</x:v>
      </x:c>
      <x:c r="M4369" s="34" t="str">
        <x:v>numeric coverage for applicable metric</x:v>
      </x:c>
      <x:c r="N4369" s="34" t="str">
        <x:v>Feedback-Directed Random Test Generation/Result_Round2/Closure_33/result.json</x:v>
      </x:c>
      <x:c r="O4369" s="38" t="n">
        <x:f>IF(AND(G4369="RECORDED",ISNUMBER(H4369)),H4369,"")</x:f>
        <x:v>41.67</x:v>
      </x:c>
      <x:c r="P4369" s="34" t="str">
        <x:v>INCONCLUSIVE</x:v>
      </x:c>
      <x:c r="Q4369" s="34" t="str">
        <x:v>Feedback-Directed Random Test Generation/Result_Round2/Closure_33/result.json</x:v>
      </x:c>
    </x:row>
    <x:row r="4370">
      <x:c r="A4370" s="34" t="str">
        <x:v>randoop</x:v>
      </x:c>
      <x:c r="B4370" s="34" t="str">
        <x:v>Closure</x:v>
      </x:c>
      <x:c r="C4370" s="34" t="str">
        <x:v>Round2</x:v>
      </x:c>
      <x:c r="D4370" s="34" t="str">
        <x:v>Closure_34</x:v>
      </x:c>
      <x:c r="E4370" s="34" t="str">
        <x:v>Condition</x:v>
      </x:c>
      <x:c r="F4370" s="34" t="n">
        <x:v>575</x:v>
      </x:c>
      <x:c r="G4370" s="34" t="str">
        <x:v>RECORDED</x:v>
      </x:c>
      <x:c r="H4370" s="38" t="n">
        <x:f>IF(ISNUMBER('Data'!I954),'Data'!I954*100,"")</x:f>
        <x:v>4</x:v>
      </x:c>
      <x:c r="I4370" s="34" t="str">
        <x:v>PASS</x:v>
      </x:c>
      <x:c r="J4370" s="34" t="str">
        <x:v>PASS</x:v>
      </x:c>
      <x:c r="K4370" s="34" t="str">
        <x:v>PASS</x:v>
      </x:c>
      <x:c r="L4370" s="34" t="str">
        <x:v>PASS</x:v>
      </x:c>
      <x:c r="M4370" s="34" t="str">
        <x:v>numeric coverage for applicable metric</x:v>
      </x:c>
      <x:c r="N4370" s="34" t="str">
        <x:v>Feedback-Directed Random Test Generation/Result_Round2/Closure_34/result.json</x:v>
      </x:c>
      <x:c r="O4370" s="38" t="n">
        <x:f>IF(AND(G4370="RECORDED",ISNUMBER(H4370)),H4370,"")</x:f>
        <x:v>4</x:v>
      </x:c>
      <x:c r="P4370" s="34" t="str">
        <x:v>NOT_REVEALING</x:v>
      </x:c>
      <x:c r="Q4370" s="34" t="str">
        <x:v>Feedback-Directed Random Test Generation/Result_Round2/Closure_34/result.json</x:v>
      </x:c>
    </x:row>
    <x:row r="4371">
      <x:c r="A4371" s="34" t="str">
        <x:v>randoop</x:v>
      </x:c>
      <x:c r="B4371" s="34" t="str">
        <x:v>Closure</x:v>
      </x:c>
      <x:c r="C4371" s="34" t="str">
        <x:v>Round2</x:v>
      </x:c>
      <x:c r="D4371" s="34" t="str">
        <x:v>Closure_35</x:v>
      </x:c>
      <x:c r="E4371" s="34" t="str">
        <x:v>Condition</x:v>
      </x:c>
      <x:c r="F4371" s="34" t="n">
        <x:v>422</x:v>
      </x:c>
      <x:c r="G4371" s="34" t="str">
        <x:v>RECORDED</x:v>
      </x:c>
      <x:c r="H4371" s="38" t="n">
        <x:f>IF(ISNUMBER('Data'!I955),'Data'!I955*100,"")</x:f>
        <x:v>0.4699999999999999</x:v>
      </x:c>
      <x:c r="I4371" s="34" t="str">
        <x:v>PASS</x:v>
      </x:c>
      <x:c r="J4371" s="34" t="str">
        <x:v>PASS</x:v>
      </x:c>
      <x:c r="K4371" s="34" t="str">
        <x:v>PASS</x:v>
      </x:c>
      <x:c r="L4371" s="34" t="str">
        <x:v>PASS</x:v>
      </x:c>
      <x:c r="M4371" s="34" t="str">
        <x:v>numeric coverage for applicable metric</x:v>
      </x:c>
      <x:c r="N4371" s="34" t="str">
        <x:v>Feedback-Directed Random Test Generation/Result_Round2/Closure_35/result.json</x:v>
      </x:c>
      <x:c r="O4371" s="38" t="n">
        <x:f>IF(AND(G4371="RECORDED",ISNUMBER(H4371)),H4371,"")</x:f>
        <x:v>0.4699999999999999</x:v>
      </x:c>
      <x:c r="P4371" s="34" t="str">
        <x:v>NOT_REVEALING</x:v>
      </x:c>
      <x:c r="Q4371" s="34" t="str">
        <x:v>Feedback-Directed Random Test Generation/Result_Round2/Closure_35/result.json</x:v>
      </x:c>
    </x:row>
    <x:row r="4372">
      <x:c r="A4372" s="34" t="str">
        <x:v>randoop</x:v>
      </x:c>
      <x:c r="B4372" s="34" t="str">
        <x:v>Closure</x:v>
      </x:c>
      <x:c r="C4372" s="34" t="str">
        <x:v>Round2</x:v>
      </x:c>
      <x:c r="D4372" s="34" t="str">
        <x:v>Closure_36</x:v>
      </x:c>
      <x:c r="E4372" s="34" t="str">
        <x:v>Condition</x:v>
      </x:c>
      <x:c r="F4372" s="34" t="n">
        <x:v>232</x:v>
      </x:c>
      <x:c r="G4372" s="34" t="str">
        <x:v>RECORDED</x:v>
      </x:c>
      <x:c r="H4372" s="38" t="n">
        <x:f>IF(ISNUMBER('Data'!I956),'Data'!I956*100,"")</x:f>
        <x:v>1.29</x:v>
      </x:c>
      <x:c r="I4372" s="34" t="str">
        <x:v>PASS</x:v>
      </x:c>
      <x:c r="J4372" s="34" t="str">
        <x:v>PASS</x:v>
      </x:c>
      <x:c r="K4372" s="34" t="str">
        <x:v>PASS</x:v>
      </x:c>
      <x:c r="L4372" s="34" t="str">
        <x:v>PASS</x:v>
      </x:c>
      <x:c r="M4372" s="34" t="str">
        <x:v>numeric coverage for applicable metric</x:v>
      </x:c>
      <x:c r="N4372" s="34" t="str">
        <x:v>Feedback-Directed Random Test Generation/Result_Round2/Closure_36/result.json</x:v>
      </x:c>
      <x:c r="O4372" s="38" t="n">
        <x:f>IF(AND(G4372="RECORDED",ISNUMBER(H4372)),H4372,"")</x:f>
        <x:v>1.29</x:v>
      </x:c>
      <x:c r="P4372" s="34" t="str">
        <x:v>NOT_REVEALING</x:v>
      </x:c>
      <x:c r="Q4372" s="34" t="str">
        <x:v>Feedback-Directed Random Test Generation/Result_Round2/Closure_36/result.json</x:v>
      </x:c>
    </x:row>
    <x:row r="4373">
      <x:c r="A4373" s="34" t="str">
        <x:v>randoop</x:v>
      </x:c>
      <x:c r="B4373" s="34" t="str">
        <x:v>Closure</x:v>
      </x:c>
      <x:c r="C4373" s="34" t="str">
        <x:v>Round2</x:v>
      </x:c>
      <x:c r="D4373" s="34" t="str">
        <x:v>Closure_37</x:v>
      </x:c>
      <x:c r="E4373" s="34" t="str">
        <x:v>Condition</x:v>
      </x:c>
      <x:c r="F4373" s="34" t="n">
        <x:v>385</x:v>
      </x:c>
      <x:c r="G4373" s="34" t="str">
        <x:v>RECORDED</x:v>
      </x:c>
      <x:c r="H4373" s="38" t="n">
        <x:f>IF(ISNUMBER('Data'!I957),'Data'!I957*100,"")</x:f>
        <x:v>3.64</x:v>
      </x:c>
      <x:c r="I4373" s="34" t="str">
        <x:v>PASS</x:v>
      </x:c>
      <x:c r="J4373" s="34" t="str">
        <x:v>PASS</x:v>
      </x:c>
      <x:c r="K4373" s="34" t="str">
        <x:v>PASS</x:v>
      </x:c>
      <x:c r="L4373" s="34" t="str">
        <x:v>PASS</x:v>
      </x:c>
      <x:c r="M4373" s="34" t="str">
        <x:v>numeric coverage for applicable metric</x:v>
      </x:c>
      <x:c r="N4373" s="34" t="str">
        <x:v>Feedback-Directed Random Test Generation/Result_Round2/Closure_37/result.json</x:v>
      </x:c>
      <x:c r="O4373" s="38" t="n">
        <x:f>IF(AND(G4373="RECORDED",ISNUMBER(H4373)),H4373,"")</x:f>
        <x:v>3.64</x:v>
      </x:c>
      <x:c r="P4373" s="34" t="str">
        <x:v>NOT_REVEALING</x:v>
      </x:c>
      <x:c r="Q4373" s="34" t="str">
        <x:v>Feedback-Directed Random Test Generation/Result_Round2/Closure_37/result.json</x:v>
      </x:c>
    </x:row>
    <x:row r="4374">
      <x:c r="A4374" s="34" t="str">
        <x:v>randoop</x:v>
      </x:c>
      <x:c r="B4374" s="34" t="str">
        <x:v>Closure</x:v>
      </x:c>
      <x:c r="C4374" s="34" t="str">
        <x:v>Round2</x:v>
      </x:c>
      <x:c r="D4374" s="34" t="str">
        <x:v>Closure_38</x:v>
      </x:c>
      <x:c r="E4374" s="34" t="str">
        <x:v>Condition</x:v>
      </x:c>
      <x:c r="F4374" s="34" t="n">
        <x:v>64</x:v>
      </x:c>
      <x:c r="G4374" s="34" t="str">
        <x:v>RECORDED</x:v>
      </x:c>
      <x:c r="H4374" s="38" t="n">
        <x:f>IF(ISNUMBER('Data'!I958),'Data'!I958*100,"")</x:f>
        <x:v>10.94</x:v>
      </x:c>
      <x:c r="I4374" s="34" t="str">
        <x:v>PASS</x:v>
      </x:c>
      <x:c r="J4374" s="34" t="str">
        <x:v>PASS</x:v>
      </x:c>
      <x:c r="K4374" s="34" t="str">
        <x:v>PASS</x:v>
      </x:c>
      <x:c r="L4374" s="34" t="str">
        <x:v>PASS</x:v>
      </x:c>
      <x:c r="M4374" s="34" t="str">
        <x:v>numeric coverage for applicable metric</x:v>
      </x:c>
      <x:c r="N4374" s="34" t="str">
        <x:v>Feedback-Directed Random Test Generation/Result_Round2/Closure_38/result.json</x:v>
      </x:c>
      <x:c r="O4374" s="38" t="n">
        <x:f>IF(AND(G4374="RECORDED",ISNUMBER(H4374)),H4374,"")</x:f>
        <x:v>10.94</x:v>
      </x:c>
      <x:c r="P4374" s="34" t="str">
        <x:v>NOT_REVEALING</x:v>
      </x:c>
      <x:c r="Q4374" s="34" t="str">
        <x:v>Feedback-Directed Random Test Generation/Result_Round2/Closure_38/result.json</x:v>
      </x:c>
    </x:row>
    <x:row r="4375">
      <x:c r="A4375" s="34" t="str">
        <x:v>randoop</x:v>
      </x:c>
      <x:c r="B4375" s="34" t="str">
        <x:v>Closure</x:v>
      </x:c>
      <x:c r="C4375" s="34" t="str">
        <x:v>Round2</x:v>
      </x:c>
      <x:c r="D4375" s="34" t="str">
        <x:v>Closure_39</x:v>
      </x:c>
      <x:c r="E4375" s="34" t="str">
        <x:v>Condition</x:v>
      </x:c>
      <x:c r="F4375" s="34" t="n">
        <x:v>168</x:v>
      </x:c>
      <x:c r="G4375" s="34" t="str">
        <x:v>RECORDED</x:v>
      </x:c>
      <x:c r="H4375" s="38" t="n">
        <x:f>IF(ISNUMBER('Data'!I959),'Data'!I959*100,"")</x:f>
        <x:v>44.05</x:v>
      </x:c>
      <x:c r="I4375" s="34" t="str">
        <x:v>PASS</x:v>
      </x:c>
      <x:c r="J4375" s="34" t="str">
        <x:v>PASS</x:v>
      </x:c>
      <x:c r="K4375" s="34" t="str">
        <x:v>PASS</x:v>
      </x:c>
      <x:c r="L4375" s="34" t="str">
        <x:v>PASS</x:v>
      </x:c>
      <x:c r="M4375" s="34" t="str">
        <x:v>numeric coverage for applicable metric</x:v>
      </x:c>
      <x:c r="N4375" s="34" t="str">
        <x:v>Feedback-Directed Random Test Generation/Result_Round2/Closure_39/result.json</x:v>
      </x:c>
      <x:c r="O4375" s="38" t="n">
        <x:f>IF(AND(G4375="RECORDED",ISNUMBER(H4375)),H4375,"")</x:f>
        <x:v>44.05</x:v>
      </x:c>
      <x:c r="P4375" s="34" t="str">
        <x:v>NOT_REVEALING</x:v>
      </x:c>
      <x:c r="Q4375" s="34" t="str">
        <x:v>Feedback-Directed Random Test Generation/Result_Round2/Closure_39/result.json</x:v>
      </x:c>
    </x:row>
    <x:row r="4376">
      <x:c r="A4376" s="34" t="str">
        <x:v>randoop</x:v>
      </x:c>
      <x:c r="B4376" s="34" t="str">
        <x:v>Closure</x:v>
      </x:c>
      <x:c r="C4376" s="34" t="str">
        <x:v>Round2</x:v>
      </x:c>
      <x:c r="D4376" s="34" t="str">
        <x:v>Closure_40</x:v>
      </x:c>
      <x:c r="E4376" s="34" t="str">
        <x:v>Condition</x:v>
      </x:c>
      <x:c r="F4376" s="34" t="n">
        <x:v>436</x:v>
      </x:c>
      <x:c r="G4376" s="34" t="str">
        <x:v>RECORDED</x:v>
      </x:c>
      <x:c r="H4376" s="38" t="n">
        <x:f>IF(ISNUMBER('Data'!I960),'Data'!I960*100,"")</x:f>
        <x:v>0.69</x:v>
      </x:c>
      <x:c r="I4376" s="34" t="str">
        <x:v>PASS</x:v>
      </x:c>
      <x:c r="J4376" s="34" t="str">
        <x:v>PASS</x:v>
      </x:c>
      <x:c r="K4376" s="34" t="str">
        <x:v>PASS</x:v>
      </x:c>
      <x:c r="L4376" s="34" t="str">
        <x:v>PASS</x:v>
      </x:c>
      <x:c r="M4376" s="34" t="str">
        <x:v>numeric coverage for applicable metric</x:v>
      </x:c>
      <x:c r="N4376" s="34" t="str">
        <x:v>Feedback-Directed Random Test Generation/Result_Round2/Closure_40/result.json</x:v>
      </x:c>
      <x:c r="O4376" s="38" t="n">
        <x:f>IF(AND(G4376="RECORDED",ISNUMBER(H4376)),H4376,"")</x:f>
        <x:v>0.69</x:v>
      </x:c>
      <x:c r="P4376" s="34" t="str">
        <x:v>NOT_REVEALING</x:v>
      </x:c>
      <x:c r="Q4376" s="34" t="str">
        <x:v>Feedback-Directed Random Test Generation/Result_Round2/Closure_40/result.json</x:v>
      </x:c>
    </x:row>
    <x:row r="4377">
      <x:c r="A4377" s="34" t="str">
        <x:v>randoop</x:v>
      </x:c>
      <x:c r="B4377" s="34" t="str">
        <x:v>Closure</x:v>
      </x:c>
      <x:c r="C4377" s="34" t="str">
        <x:v>Round2</x:v>
      </x:c>
      <x:c r="D4377" s="34" t="str">
        <x:v>Closure_41</x:v>
      </x:c>
      <x:c r="E4377" s="34" t="str">
        <x:v>Condition</x:v>
      </x:c>
      <x:c r="F4377" s="34" t="n">
        <x:v>240</x:v>
      </x:c>
      <x:c r="G4377" s="34" t="str">
        <x:v>RECORDED</x:v>
      </x:c>
      <x:c r="H4377" s="38" t="n">
        <x:f>IF(ISNUMBER('Data'!I961),'Data'!I961*100,"")</x:f>
        <x:v>1.67</x:v>
      </x:c>
      <x:c r="I4377" s="34" t="str">
        <x:v>PASS</x:v>
      </x:c>
      <x:c r="J4377" s="34" t="str">
        <x:v>PASS</x:v>
      </x:c>
      <x:c r="K4377" s="34" t="str">
        <x:v>PASS</x:v>
      </x:c>
      <x:c r="L4377" s="34" t="str">
        <x:v>PASS</x:v>
      </x:c>
      <x:c r="M4377" s="34" t="str">
        <x:v>numeric coverage for applicable metric</x:v>
      </x:c>
      <x:c r="N4377" s="34" t="str">
        <x:v>Feedback-Directed Random Test Generation/Result_Round2/Closure_41/result.json</x:v>
      </x:c>
      <x:c r="O4377" s="38" t="n">
        <x:f>IF(AND(G4377="RECORDED",ISNUMBER(H4377)),H4377,"")</x:f>
        <x:v>1.67</x:v>
      </x:c>
      <x:c r="P4377" s="34" t="str">
        <x:v>NOT_REVEALING</x:v>
      </x:c>
      <x:c r="Q4377" s="34" t="str">
        <x:v>Feedback-Directed Random Test Generation/Result_Round2/Closure_41/result.json</x:v>
      </x:c>
    </x:row>
    <x:row r="4378">
      <x:c r="A4378" s="34" t="str">
        <x:v>randoop</x:v>
      </x:c>
      <x:c r="B4378" s="34" t="str">
        <x:v>Closure</x:v>
      </x:c>
      <x:c r="C4378" s="34" t="str">
        <x:v>Round2</x:v>
      </x:c>
      <x:c r="D4378" s="34" t="str">
        <x:v>Closure_42</x:v>
      </x:c>
      <x:c r="E4378" s="34" t="str">
        <x:v>Condition</x:v>
      </x:c>
      <x:c r="F4378" s="34" t="n">
        <x:v>279</x:v>
      </x:c>
      <x:c r="G4378" s="34" t="str">
        <x:v>RECORDED</x:v>
      </x:c>
      <x:c r="H4378" s="38" t="n">
        <x:f>IF(ISNUMBER('Data'!I962),'Data'!I962*100,"")</x:f>
        <x:v>0.36</x:v>
      </x:c>
      <x:c r="I4378" s="34" t="str">
        <x:v>PASS</x:v>
      </x:c>
      <x:c r="J4378" s="34" t="str">
        <x:v>PASS</x:v>
      </x:c>
      <x:c r="K4378" s="34" t="str">
        <x:v>PASS</x:v>
      </x:c>
      <x:c r="L4378" s="34" t="str">
        <x:v>PASS</x:v>
      </x:c>
      <x:c r="M4378" s="34" t="str">
        <x:v>numeric coverage for applicable metric</x:v>
      </x:c>
      <x:c r="N4378" s="34" t="str">
        <x:v>Feedback-Directed Random Test Generation/Result_Round2/Closure_42/result.json</x:v>
      </x:c>
      <x:c r="O4378" s="38" t="n">
        <x:f>IF(AND(G4378="RECORDED",ISNUMBER(H4378)),H4378,"")</x:f>
        <x:v>0.36</x:v>
      </x:c>
      <x:c r="P4378" s="34" t="str">
        <x:v>NOT_REVEALING</x:v>
      </x:c>
      <x:c r="Q4378" s="34" t="str">
        <x:v>Feedback-Directed Random Test Generation/Result_Round2/Closure_42/result.json</x:v>
      </x:c>
    </x:row>
    <x:row r="4379">
      <x:c r="A4379" s="34" t="str">
        <x:v>randoop</x:v>
      </x:c>
      <x:c r="B4379" s="34" t="str">
        <x:v>Closure</x:v>
      </x:c>
      <x:c r="C4379" s="34" t="str">
        <x:v>Round2</x:v>
      </x:c>
      <x:c r="D4379" s="34" t="str">
        <x:v>Closure_43</x:v>
      </x:c>
      <x:c r="E4379" s="34" t="str">
        <x:v>Condition</x:v>
      </x:c>
      <x:c r="F4379" s="34" t="n">
        <x:v>647</x:v>
      </x:c>
      <x:c r="G4379" s="34" t="str">
        <x:v>RECORDED</x:v>
      </x:c>
      <x:c r="H4379" s="38" t="n">
        <x:f>IF(ISNUMBER('Data'!I963),'Data'!I963*100,"")</x:f>
        <x:v>0</x:v>
      </x:c>
      <x:c r="I4379" s="34" t="str">
        <x:v>PASS</x:v>
      </x:c>
      <x:c r="J4379" s="34" t="str">
        <x:v>PASS</x:v>
      </x:c>
      <x:c r="K4379" s="34" t="str">
        <x:v>PASS</x:v>
      </x:c>
      <x:c r="L4379" s="34" t="str">
        <x:v>PASS</x:v>
      </x:c>
      <x:c r="M4379" s="34" t="str">
        <x:v>numeric coverage for applicable metric</x:v>
      </x:c>
      <x:c r="N4379" s="34" t="str">
        <x:v>Feedback-Directed Random Test Generation/Result_Round2/Closure_43/result.json</x:v>
      </x:c>
      <x:c r="O4379" s="38" t="n">
        <x:f>IF(AND(G4379="RECORDED",ISNUMBER(H4379)),H4379,"")</x:f>
        <x:v>0</x:v>
      </x:c>
      <x:c r="P4379" s="34" t="str">
        <x:v>NOT_REVEALING</x:v>
      </x:c>
      <x:c r="Q4379" s="34" t="str">
        <x:v>Feedback-Directed Random Test Generation/Result_Round2/Closure_43/result.json</x:v>
      </x:c>
    </x:row>
    <x:row r="4380">
      <x:c r="A4380" s="34" t="str">
        <x:v>randoop</x:v>
      </x:c>
      <x:c r="B4380" s="34" t="str">
        <x:v>Closure</x:v>
      </x:c>
      <x:c r="C4380" s="34" t="str">
        <x:v>Round2</x:v>
      </x:c>
      <x:c r="D4380" s="34" t="str">
        <x:v>Closure_44</x:v>
      </x:c>
      <x:c r="E4380" s="34" t="str">
        <x:v>Condition</x:v>
      </x:c>
      <x:c r="F4380" s="34" t="n">
        <x:v>60</x:v>
      </x:c>
      <x:c r="G4380" s="34" t="str">
        <x:v>RECORDED</x:v>
      </x:c>
      <x:c r="H4380" s="38" t="n">
        <x:f>IF(ISNUMBER('Data'!I964),'Data'!I964*100,"")</x:f>
        <x:v>11.67</x:v>
      </x:c>
      <x:c r="I4380" s="34" t="str">
        <x:v>PASS</x:v>
      </x:c>
      <x:c r="J4380" s="34" t="str">
        <x:v>PASS</x:v>
      </x:c>
      <x:c r="K4380" s="34" t="str">
        <x:v>PASS</x:v>
      </x:c>
      <x:c r="L4380" s="34" t="str">
        <x:v>PASS</x:v>
      </x:c>
      <x:c r="M4380" s="34" t="str">
        <x:v>numeric coverage for applicable metric</x:v>
      </x:c>
      <x:c r="N4380" s="34" t="str">
        <x:v>Feedback-Directed Random Test Generation/Result_Round2/Closure_44/result.json</x:v>
      </x:c>
      <x:c r="O4380" s="38" t="n">
        <x:f>IF(AND(G4380="RECORDED",ISNUMBER(H4380)),H4380,"")</x:f>
        <x:v>11.67</x:v>
      </x:c>
      <x:c r="P4380" s="34" t="str">
        <x:v>NOT_REVEALING</x:v>
      </x:c>
      <x:c r="Q4380" s="34" t="str">
        <x:v>Feedback-Directed Random Test Generation/Result_Round2/Closure_44/result.json</x:v>
      </x:c>
    </x:row>
    <x:row r="4381">
      <x:c r="A4381" s="34" t="str">
        <x:v>randoop</x:v>
      </x:c>
      <x:c r="B4381" s="34" t="str">
        <x:v>Closure</x:v>
      </x:c>
      <x:c r="C4381" s="34" t="str">
        <x:v>Round2</x:v>
      </x:c>
      <x:c r="D4381" s="34" t="str">
        <x:v>Closure_45</x:v>
      </x:c>
      <x:c r="E4381" s="34" t="str">
        <x:v>Condition</x:v>
      </x:c>
      <x:c r="F4381" s="34" t="n">
        <x:v>281</x:v>
      </x:c>
      <x:c r="G4381" s="34" t="str">
        <x:v>RECORDED</x:v>
      </x:c>
      <x:c r="H4381" s="38" t="n">
        <x:f>IF(ISNUMBER('Data'!I965),'Data'!I965*100,"")</x:f>
        <x:v>0</x:v>
      </x:c>
      <x:c r="I4381" s="34" t="str">
        <x:v>PASS</x:v>
      </x:c>
      <x:c r="J4381" s="34" t="str">
        <x:v>PASS</x:v>
      </x:c>
      <x:c r="K4381" s="34" t="str">
        <x:v>PASS</x:v>
      </x:c>
      <x:c r="L4381" s="34" t="str">
        <x:v>PASS</x:v>
      </x:c>
      <x:c r="M4381" s="34" t="str">
        <x:v>numeric coverage for applicable metric</x:v>
      </x:c>
      <x:c r="N4381" s="34" t="str">
        <x:v>Feedback-Directed Random Test Generation/Result_Round2/Closure_45/result.json</x:v>
      </x:c>
      <x:c r="O4381" s="38" t="n">
        <x:f>IF(AND(G4381="RECORDED",ISNUMBER(H4381)),H4381,"")</x:f>
        <x:v>0</x:v>
      </x:c>
      <x:c r="P4381" s="34" t="str">
        <x:v>NOT_REVEALING</x:v>
      </x:c>
      <x:c r="Q4381" s="34" t="str">
        <x:v>Feedback-Directed Random Test Generation/Result_Round2/Closure_45/result.json</x:v>
      </x:c>
    </x:row>
    <x:row r="4382">
      <x:c r="A4382" s="34" t="str">
        <x:v>randoop</x:v>
      </x:c>
      <x:c r="B4382" s="34" t="str">
        <x:v>Closure</x:v>
      </x:c>
      <x:c r="C4382" s="34" t="str">
        <x:v>Round2</x:v>
      </x:c>
      <x:c r="D4382" s="34" t="str">
        <x:v>Closure_46</x:v>
      </x:c>
      <x:c r="E4382" s="34" t="str">
        <x:v>Condition</x:v>
      </x:c>
      <x:c r="F4382" s="34" t="n">
        <x:v>80</x:v>
      </x:c>
      <x:c r="G4382" s="34" t="str">
        <x:v>RECORDED</x:v>
      </x:c>
      <x:c r="H4382" s="38" t="n">
        <x:f>IF(ISNUMBER('Data'!I966),'Data'!I966*100,"")</x:f>
        <x:v>0</x:v>
      </x:c>
      <x:c r="I4382" s="34" t="str">
        <x:v>PASS</x:v>
      </x:c>
      <x:c r="J4382" s="34" t="str">
        <x:v>PASS</x:v>
      </x:c>
      <x:c r="K4382" s="34" t="str">
        <x:v>PASS</x:v>
      </x:c>
      <x:c r="L4382" s="34" t="str">
        <x:v>PASS</x:v>
      </x:c>
      <x:c r="M4382" s="34" t="str">
        <x:v>numeric coverage for applicable metric</x:v>
      </x:c>
      <x:c r="N4382" s="34" t="str">
        <x:v>Feedback-Directed Random Test Generation/Result_Round2/Closure_46/result.json</x:v>
      </x:c>
      <x:c r="O4382" s="38" t="n">
        <x:f>IF(AND(G4382="RECORDED",ISNUMBER(H4382)),H4382,"")</x:f>
        <x:v>0</x:v>
      </x:c>
      <x:c r="P4382" s="34" t="str">
        <x:v>NOT_REVEALING</x:v>
      </x:c>
      <x:c r="Q4382" s="34" t="str">
        <x:v>Feedback-Directed Random Test Generation/Result_Round2/Closure_46/result.json</x:v>
      </x:c>
    </x:row>
    <x:row r="4383">
      <x:c r="A4383" s="34" t="str">
        <x:v>randoop</x:v>
      </x:c>
      <x:c r="B4383" s="34" t="str">
        <x:v>Closure</x:v>
      </x:c>
      <x:c r="C4383" s="34" t="str">
        <x:v>Round2</x:v>
      </x:c>
      <x:c r="D4383" s="34" t="str">
        <x:v>Closure_47</x:v>
      </x:c>
      <x:c r="E4383" s="34" t="str">
        <x:v>Condition</x:v>
      </x:c>
      <x:c r="F4383" s="34" t="n">
        <x:v>162</x:v>
      </x:c>
      <x:c r="G4383" s="34" t="str">
        <x:v>RECORDED</x:v>
      </x:c>
      <x:c r="H4383" s="38" t="n">
        <x:f>IF(ISNUMBER('Data'!I967),'Data'!I967*100,"")</x:f>
        <x:v>1.8500000000000003</x:v>
      </x:c>
      <x:c r="I4383" s="34" t="str">
        <x:v>PASS</x:v>
      </x:c>
      <x:c r="J4383" s="34" t="str">
        <x:v>PASS</x:v>
      </x:c>
      <x:c r="K4383" s="34" t="str">
        <x:v>PASS</x:v>
      </x:c>
      <x:c r="L4383" s="34" t="str">
        <x:v>FAIL</x:v>
      </x:c>
      <x:c r="M4383" s="34" t="str">
        <x:v>numeric coverage for applicable metric</x:v>
      </x:c>
      <x:c r="N4383" s="34" t="str">
        <x:v>Feedback-Directed Random Test Generation/Result_Round2/Closure_47/result.json</x:v>
      </x:c>
      <x:c r="O4383" s="38" t="n">
        <x:f>IF(AND(G4383="RECORDED",ISNUMBER(H4383)),H4383,"")</x:f>
        <x:v>1.8500000000000003</x:v>
      </x:c>
      <x:c r="P4383" s="34" t="str">
        <x:v>INCONCLUSIVE</x:v>
      </x:c>
      <x:c r="Q4383" s="34" t="str">
        <x:v>Feedback-Directed Random Test Generation/Result_Round2/Closure_47/result.json</x:v>
      </x:c>
    </x:row>
    <x:row r="4384">
      <x:c r="A4384" s="34" t="str">
        <x:v>randoop</x:v>
      </x:c>
      <x:c r="B4384" s="34" t="str">
        <x:v>Closure</x:v>
      </x:c>
      <x:c r="C4384" s="34" t="str">
        <x:v>Round2</x:v>
      </x:c>
      <x:c r="D4384" s="34" t="str">
        <x:v>Closure_48</x:v>
      </x:c>
      <x:c r="E4384" s="34" t="str">
        <x:v>Condition</x:v>
      </x:c>
      <x:c r="F4384" s="34" t="n">
        <x:v>641</x:v>
      </x:c>
      <x:c r="G4384" s="34" t="str">
        <x:v>RECORDED</x:v>
      </x:c>
      <x:c r="H4384" s="38" t="n">
        <x:f>IF(ISNUMBER('Data'!I968),'Data'!I968*100,"")</x:f>
        <x:v>0</x:v>
      </x:c>
      <x:c r="I4384" s="34" t="str">
        <x:v>PASS</x:v>
      </x:c>
      <x:c r="J4384" s="34" t="str">
        <x:v>PASS</x:v>
      </x:c>
      <x:c r="K4384" s="34" t="str">
        <x:v>PASS</x:v>
      </x:c>
      <x:c r="L4384" s="34" t="str">
        <x:v>PASS</x:v>
      </x:c>
      <x:c r="M4384" s="34" t="str">
        <x:v>numeric coverage for applicable metric</x:v>
      </x:c>
      <x:c r="N4384" s="34" t="str">
        <x:v>Feedback-Directed Random Test Generation/Result_Round2/Closure_48/result.json</x:v>
      </x:c>
      <x:c r="O4384" s="38" t="n">
        <x:f>IF(AND(G4384="RECORDED",ISNUMBER(H4384)),H4384,"")</x:f>
        <x:v>0</x:v>
      </x:c>
      <x:c r="P4384" s="34" t="str">
        <x:v>NOT_REVEALING</x:v>
      </x:c>
      <x:c r="Q4384" s="34" t="str">
        <x:v>Feedback-Directed Random Test Generation/Result_Round2/Closure_48/result.json</x:v>
      </x:c>
    </x:row>
    <x:row r="4385">
      <x:c r="A4385" s="34" t="str">
        <x:v>randoop</x:v>
      </x:c>
      <x:c r="B4385" s="34" t="str">
        <x:v>Closure</x:v>
      </x:c>
      <x:c r="C4385" s="34" t="str">
        <x:v>Round2</x:v>
      </x:c>
      <x:c r="D4385" s="34" t="str">
        <x:v>Closure_49</x:v>
      </x:c>
      <x:c r="E4385" s="34" t="str">
        <x:v>Condition</x:v>
      </x:c>
      <x:c r="F4385" s="34" t="n">
        <x:v>105</x:v>
      </x:c>
      <x:c r="G4385" s="34" t="str">
        <x:v>RECORDED</x:v>
      </x:c>
      <x:c r="H4385" s="38" t="n">
        <x:f>IF(ISNUMBER('Data'!I969),'Data'!I969*100,"")</x:f>
        <x:v>18.1</x:v>
      </x:c>
      <x:c r="I4385" s="34" t="str">
        <x:v>PASS</x:v>
      </x:c>
      <x:c r="J4385" s="34" t="str">
        <x:v>PASS</x:v>
      </x:c>
      <x:c r="K4385" s="34" t="str">
        <x:v>PASS</x:v>
      </x:c>
      <x:c r="L4385" s="34" t="str">
        <x:v>PASS</x:v>
      </x:c>
      <x:c r="M4385" s="34" t="str">
        <x:v>numeric coverage for applicable metric</x:v>
      </x:c>
      <x:c r="N4385" s="34" t="str">
        <x:v>Feedback-Directed Random Test Generation/Result_Round2/Closure_49/result.json</x:v>
      </x:c>
      <x:c r="O4385" s="38" t="n">
        <x:f>IF(AND(G4385="RECORDED",ISNUMBER(H4385)),H4385,"")</x:f>
        <x:v>18.1</x:v>
      </x:c>
      <x:c r="P4385" s="34" t="str">
        <x:v>NOT_REVEALING</x:v>
      </x:c>
      <x:c r="Q4385" s="34" t="str">
        <x:v>Feedback-Directed Random Test Generation/Result_Round2/Closure_49/result.json</x:v>
      </x:c>
    </x:row>
    <x:row r="4386">
      <x:c r="A4386" s="34" t="str">
        <x:v>randoop</x:v>
      </x:c>
      <x:c r="B4386" s="34" t="str">
        <x:v>Closure</x:v>
      </x:c>
      <x:c r="C4386" s="34" t="str">
        <x:v>Round2</x:v>
      </x:c>
      <x:c r="D4386" s="34" t="str">
        <x:v>Closure_50</x:v>
      </x:c>
      <x:c r="E4386" s="34" t="str">
        <x:v>Condition</x:v>
      </x:c>
      <x:c r="F4386" s="34" t="n">
        <x:v>245</x:v>
      </x:c>
      <x:c r="G4386" s="34" t="str">
        <x:v>RECORDED</x:v>
      </x:c>
      <x:c r="H4386" s="38" t="n">
        <x:f>IF(ISNUMBER('Data'!I970),'Data'!I970*100,"")</x:f>
        <x:v>0</x:v>
      </x:c>
      <x:c r="I4386" s="34" t="str">
        <x:v>PASS</x:v>
      </x:c>
      <x:c r="J4386" s="34" t="str">
        <x:v>PASS</x:v>
      </x:c>
      <x:c r="K4386" s="34" t="str">
        <x:v>PASS</x:v>
      </x:c>
      <x:c r="L4386" s="34" t="str">
        <x:v>PASS</x:v>
      </x:c>
      <x:c r="M4386" s="34" t="str">
        <x:v>numeric coverage for applicable metric</x:v>
      </x:c>
      <x:c r="N4386" s="34" t="str">
        <x:v>Feedback-Directed Random Test Generation/Result_Round2/Closure_50/result.json</x:v>
      </x:c>
      <x:c r="O4386" s="38" t="n">
        <x:f>IF(AND(G4386="RECORDED",ISNUMBER(H4386)),H4386,"")</x:f>
        <x:v>0</x:v>
      </x:c>
      <x:c r="P4386" s="34" t="str">
        <x:v>NOT_REVEALING</x:v>
      </x:c>
      <x:c r="Q4386" s="34" t="str">
        <x:v>Feedback-Directed Random Test Generation/Result_Round2/Closure_50/result.json</x:v>
      </x:c>
    </x:row>
    <x:row r="4387">
      <x:c r="A4387" s="34" t="str">
        <x:v>randoop</x:v>
      </x:c>
      <x:c r="B4387" s="34" t="str">
        <x:v>Closure</x:v>
      </x:c>
      <x:c r="C4387" s="34" t="str">
        <x:v>Round2</x:v>
      </x:c>
      <x:c r="D4387" s="34" t="str">
        <x:v>Closure_51</x:v>
      </x:c>
      <x:c r="E4387" s="34" t="str">
        <x:v>Condition</x:v>
      </x:c>
      <x:c r="F4387" s="34" t="n">
        <x:v>54</x:v>
      </x:c>
      <x:c r="G4387" s="34" t="str">
        <x:v>RECORDED</x:v>
      </x:c>
      <x:c r="H4387" s="38" t="n">
        <x:f>IF(ISNUMBER('Data'!I971),'Data'!I971*100,"")</x:f>
        <x:v>7.41</x:v>
      </x:c>
      <x:c r="I4387" s="34" t="str">
        <x:v>PASS</x:v>
      </x:c>
      <x:c r="J4387" s="34" t="str">
        <x:v>PASS</x:v>
      </x:c>
      <x:c r="K4387" s="34" t="str">
        <x:v>PASS</x:v>
      </x:c>
      <x:c r="L4387" s="34" t="str">
        <x:v>PASS</x:v>
      </x:c>
      <x:c r="M4387" s="34" t="str">
        <x:v>numeric coverage for applicable metric</x:v>
      </x:c>
      <x:c r="N4387" s="34" t="str">
        <x:v>Feedback-Directed Random Test Generation/Result_Round2/Closure_51/result.json</x:v>
      </x:c>
      <x:c r="O4387" s="38" t="n">
        <x:f>IF(AND(G4387="RECORDED",ISNUMBER(H4387)),H4387,"")</x:f>
        <x:v>7.41</x:v>
      </x:c>
      <x:c r="P4387" s="34" t="str">
        <x:v>NOT_REVEALING</x:v>
      </x:c>
      <x:c r="Q4387" s="34" t="str">
        <x:v>Feedback-Directed Random Test Generation/Result_Round2/Closure_51/result.json</x:v>
      </x:c>
    </x:row>
    <x:row r="4388">
      <x:c r="A4388" s="34" t="str">
        <x:v>randoop</x:v>
      </x:c>
      <x:c r="B4388" s="34" t="str">
        <x:v>Closure</x:v>
      </x:c>
      <x:c r="C4388" s="34" t="str">
        <x:v>Round2</x:v>
      </x:c>
      <x:c r="D4388" s="34" t="str">
        <x:v>Closure_52</x:v>
      </x:c>
      <x:c r="E4388" s="34" t="str">
        <x:v>Condition</x:v>
      </x:c>
      <x:c r="F4388" s="34" t="n">
        <x:v>451</x:v>
      </x:c>
      <x:c r="G4388" s="34" t="str">
        <x:v>RECORDED</x:v>
      </x:c>
      <x:c r="H4388" s="38" t="n">
        <x:f>IF(ISNUMBER('Data'!I972),'Data'!I972*100,"")</x:f>
        <x:v>6.87</x:v>
      </x:c>
      <x:c r="I4388" s="34" t="str">
        <x:v>PASS</x:v>
      </x:c>
      <x:c r="J4388" s="34" t="str">
        <x:v>PASS</x:v>
      </x:c>
      <x:c r="K4388" s="34" t="str">
        <x:v>PASS</x:v>
      </x:c>
      <x:c r="L4388" s="34" t="str">
        <x:v>PASS</x:v>
      </x:c>
      <x:c r="M4388" s="34" t="str">
        <x:v>numeric coverage for applicable metric</x:v>
      </x:c>
      <x:c r="N4388" s="34" t="str">
        <x:v>Feedback-Directed Random Test Generation/Result_Round2/Closure_52/result.json</x:v>
      </x:c>
      <x:c r="O4388" s="38" t="n">
        <x:f>IF(AND(G4388="RECORDED",ISNUMBER(H4388)),H4388,"")</x:f>
        <x:v>6.87</x:v>
      </x:c>
      <x:c r="P4388" s="34" t="str">
        <x:v>NOT_REVEALING</x:v>
      </x:c>
      <x:c r="Q4388" s="34" t="str">
        <x:v>Feedback-Directed Random Test Generation/Result_Round2/Closure_52/result.json</x:v>
      </x:c>
    </x:row>
    <x:row r="4389">
      <x:c r="A4389" s="34" t="str">
        <x:v>randoop</x:v>
      </x:c>
      <x:c r="B4389" s="34" t="str">
        <x:v>Closure</x:v>
      </x:c>
      <x:c r="C4389" s="34" t="str">
        <x:v>Round2</x:v>
      </x:c>
      <x:c r="D4389" s="34" t="str">
        <x:v>Closure_53</x:v>
      </x:c>
      <x:c r="E4389" s="34" t="str">
        <x:v>Condition</x:v>
      </x:c>
      <x:c r="F4389" s="34" t="n">
        <x:v>112</x:v>
      </x:c>
      <x:c r="G4389" s="34" t="str">
        <x:v>RECORDED</x:v>
      </x:c>
      <x:c r="H4389" s="38" t="n">
        <x:f>IF(ISNUMBER('Data'!I973),'Data'!I973*100,"")</x:f>
        <x:v>0</x:v>
      </x:c>
      <x:c r="I4389" s="34" t="str">
        <x:v>PASS</x:v>
      </x:c>
      <x:c r="J4389" s="34" t="str">
        <x:v>PASS</x:v>
      </x:c>
      <x:c r="K4389" s="34" t="str">
        <x:v>PASS</x:v>
      </x:c>
      <x:c r="L4389" s="34" t="str">
        <x:v>PASS</x:v>
      </x:c>
      <x:c r="M4389" s="34" t="str">
        <x:v>numeric coverage for applicable metric</x:v>
      </x:c>
      <x:c r="N4389" s="34" t="str">
        <x:v>Feedback-Directed Random Test Generation/Result_Round2/Closure_53/result.json</x:v>
      </x:c>
      <x:c r="O4389" s="38" t="n">
        <x:f>IF(AND(G4389="RECORDED",ISNUMBER(H4389)),H4389,"")</x:f>
        <x:v>0</x:v>
      </x:c>
      <x:c r="P4389" s="34" t="str">
        <x:v>NOT_REVEALING</x:v>
      </x:c>
      <x:c r="Q4389" s="34" t="str">
        <x:v>Feedback-Directed Random Test Generation/Result_Round2/Closure_53/result.json</x:v>
      </x:c>
    </x:row>
    <x:row r="4390">
      <x:c r="A4390" s="34" t="str">
        <x:v>randoop</x:v>
      </x:c>
      <x:c r="B4390" s="34" t="str">
        <x:v>Closure</x:v>
      </x:c>
      <x:c r="C4390" s="34" t="str">
        <x:v>Round2</x:v>
      </x:c>
      <x:c r="D4390" s="34" t="str">
        <x:v>Closure_54</x:v>
      </x:c>
      <x:c r="E4390" s="34" t="str">
        <x:v>Condition</x:v>
      </x:c>
      <x:c r="F4390" s="34" t="n">
        <x:v>910</x:v>
      </x:c>
      <x:c r="G4390" s="34" t="str">
        <x:v>RECORDED</x:v>
      </x:c>
      <x:c r="H4390" s="38" t="n">
        <x:f>IF(ISNUMBER('Data'!I974),'Data'!I974*100,"")</x:f>
        <x:v>0</x:v>
      </x:c>
      <x:c r="I4390" s="34" t="str">
        <x:v>PASS</x:v>
      </x:c>
      <x:c r="J4390" s="34" t="str">
        <x:v>PASS</x:v>
      </x:c>
      <x:c r="K4390" s="34" t="str">
        <x:v>PASS</x:v>
      </x:c>
      <x:c r="L4390" s="34" t="str">
        <x:v>PASS</x:v>
      </x:c>
      <x:c r="M4390" s="34" t="str">
        <x:v>numeric coverage for applicable metric</x:v>
      </x:c>
      <x:c r="N4390" s="34" t="str">
        <x:v>Feedback-Directed Random Test Generation/Result_Round2/Closure_54/result.json</x:v>
      </x:c>
      <x:c r="O4390" s="38" t="n">
        <x:f>IF(AND(G4390="RECORDED",ISNUMBER(H4390)),H4390,"")</x:f>
        <x:v>0</x:v>
      </x:c>
      <x:c r="P4390" s="34" t="str">
        <x:v>NOT_REVEALING</x:v>
      </x:c>
      <x:c r="Q4390" s="34" t="str">
        <x:v>Feedback-Directed Random Test Generation/Result_Round2/Closure_54/result.json</x:v>
      </x:c>
    </x:row>
    <x:row r="4391">
      <x:c r="A4391" s="34" t="str">
        <x:v>randoop</x:v>
      </x:c>
      <x:c r="B4391" s="34" t="str">
        <x:v>Closure</x:v>
      </x:c>
      <x:c r="C4391" s="34" t="str">
        <x:v>Round2</x:v>
      </x:c>
      <x:c r="D4391" s="34" t="str">
        <x:v>Closure_55</x:v>
      </x:c>
      <x:c r="E4391" s="34" t="str">
        <x:v>Condition</x:v>
      </x:c>
      <x:c r="F4391" s="34" t="n">
        <x:v>78</x:v>
      </x:c>
      <x:c r="G4391" s="34" t="str">
        <x:v>RECORDED</x:v>
      </x:c>
      <x:c r="H4391" s="38" t="n">
        <x:f>IF(ISNUMBER('Data'!I975),'Data'!I975*100,"")</x:f>
        <x:v>0</x:v>
      </x:c>
      <x:c r="I4391" s="34" t="str">
        <x:v>PASS</x:v>
      </x:c>
      <x:c r="J4391" s="34" t="str">
        <x:v>PASS</x:v>
      </x:c>
      <x:c r="K4391" s="34" t="str">
        <x:v>PASS</x:v>
      </x:c>
      <x:c r="L4391" s="34" t="str">
        <x:v>PASS</x:v>
      </x:c>
      <x:c r="M4391" s="34" t="str">
        <x:v>numeric coverage for applicable metric</x:v>
      </x:c>
      <x:c r="N4391" s="34" t="str">
        <x:v>Feedback-Directed Random Test Generation/Result_Round2/Closure_55/result.json</x:v>
      </x:c>
      <x:c r="O4391" s="38" t="n">
        <x:f>IF(AND(G4391="RECORDED",ISNUMBER(H4391)),H4391,"")</x:f>
        <x:v>0</x:v>
      </x:c>
      <x:c r="P4391" s="34" t="str">
        <x:v>NOT_REVEALING</x:v>
      </x:c>
      <x:c r="Q4391" s="34" t="str">
        <x:v>Feedback-Directed Random Test Generation/Result_Round2/Closure_55/result.json</x:v>
      </x:c>
    </x:row>
    <x:row r="4392">
      <x:c r="A4392" s="34" t="str">
        <x:v>randoop</x:v>
      </x:c>
      <x:c r="B4392" s="34" t="str">
        <x:v>Closure</x:v>
      </x:c>
      <x:c r="C4392" s="34" t="str">
        <x:v>Round2</x:v>
      </x:c>
      <x:c r="D4392" s="34" t="str">
        <x:v>Closure_56</x:v>
      </x:c>
      <x:c r="E4392" s="34" t="str">
        <x:v>Condition</x:v>
      </x:c>
      <x:c r="F4392" s="34" t="n">
        <x:v>48</x:v>
      </x:c>
      <x:c r="G4392" s="34" t="str">
        <x:v>RECORDED</x:v>
      </x:c>
      <x:c r="H4392" s="38" t="n">
        <x:f>IF(ISNUMBER('Data'!I976),'Data'!I976*100,"")</x:f>
        <x:v>72.92</x:v>
      </x:c>
      <x:c r="I4392" s="34" t="str">
        <x:v>PASS</x:v>
      </x:c>
      <x:c r="J4392" s="34" t="str">
        <x:v>PASS</x:v>
      </x:c>
      <x:c r="K4392" s="34" t="str">
        <x:v>PASS</x:v>
      </x:c>
      <x:c r="L4392" s="34" t="str">
        <x:v>FAIL</x:v>
      </x:c>
      <x:c r="M4392" s="34" t="str">
        <x:v>numeric coverage for applicable metric</x:v>
      </x:c>
      <x:c r="N4392" s="34" t="str">
        <x:v>Feedback-Directed Random Test Generation/Result_Round2/Closure_56/result.json</x:v>
      </x:c>
      <x:c r="O4392" s="38" t="n">
        <x:f>IF(AND(G4392="RECORDED",ISNUMBER(H4392)),H4392,"")</x:f>
        <x:v>72.92</x:v>
      </x:c>
      <x:c r="P4392" s="34" t="str">
        <x:v>INCONCLUSIVE</x:v>
      </x:c>
      <x:c r="Q4392" s="34" t="str">
        <x:v>Feedback-Directed Random Test Generation/Result_Round2/Closure_56/result.json</x:v>
      </x:c>
    </x:row>
    <x:row r="4393">
      <x:c r="A4393" s="34" t="str">
        <x:v>randoop</x:v>
      </x:c>
      <x:c r="B4393" s="34" t="str">
        <x:v>Closure</x:v>
      </x:c>
      <x:c r="C4393" s="34" t="str">
        <x:v>Round2</x:v>
      </x:c>
      <x:c r="D4393" s="34" t="str">
        <x:v>Closure_57</x:v>
      </x:c>
      <x:c r="E4393" s="34" t="str">
        <x:v>Condition</x:v>
      </x:c>
      <x:c r="F4393" s="34" t="n">
        <x:v>100</x:v>
      </x:c>
      <x:c r="G4393" s="34" t="str">
        <x:v>RECORDED</x:v>
      </x:c>
      <x:c r="H4393" s="38" t="n">
        <x:f>IF(ISNUMBER('Data'!I977),'Data'!I977*100,"")</x:f>
        <x:v>1</x:v>
      </x:c>
      <x:c r="I4393" s="34" t="str">
        <x:v>PASS</x:v>
      </x:c>
      <x:c r="J4393" s="34" t="str">
        <x:v>PASS</x:v>
      </x:c>
      <x:c r="K4393" s="34" t="str">
        <x:v>PASS</x:v>
      </x:c>
      <x:c r="L4393" s="34" t="str">
        <x:v>PASS</x:v>
      </x:c>
      <x:c r="M4393" s="34" t="str">
        <x:v>numeric coverage for applicable metric</x:v>
      </x:c>
      <x:c r="N4393" s="34" t="str">
        <x:v>Feedback-Directed Random Test Generation/Result_Round2/Closure_57/result.json</x:v>
      </x:c>
      <x:c r="O4393" s="38" t="n">
        <x:f>IF(AND(G4393="RECORDED",ISNUMBER(H4393)),H4393,"")</x:f>
        <x:v>1</x:v>
      </x:c>
      <x:c r="P4393" s="34" t="str">
        <x:v>NOT_REVEALING</x:v>
      </x:c>
      <x:c r="Q4393" s="34" t="str">
        <x:v>Feedback-Directed Random Test Generation/Result_Round2/Closure_57/result.json</x:v>
      </x:c>
    </x:row>
    <x:row r="4394">
      <x:c r="A4394" s="34" t="str">
        <x:v>randoop</x:v>
      </x:c>
      <x:c r="B4394" s="34" t="str">
        <x:v>Closure</x:v>
      </x:c>
      <x:c r="C4394" s="34" t="str">
        <x:v>Round2</x:v>
      </x:c>
      <x:c r="D4394" s="34" t="str">
        <x:v>Closure_58</x:v>
      </x:c>
      <x:c r="E4394" s="34" t="str">
        <x:v>Condition</x:v>
      </x:c>
      <x:c r="F4394" s="34" t="n">
        <x:v>52</x:v>
      </x:c>
      <x:c r="G4394" s="34" t="str">
        <x:v>RECORDED</x:v>
      </x:c>
      <x:c r="H4394" s="38" t="n">
        <x:f>IF(ISNUMBER('Data'!I978),'Data'!I978*100,"")</x:f>
        <x:v>0</x:v>
      </x:c>
      <x:c r="I4394" s="34" t="str">
        <x:v>PASS</x:v>
      </x:c>
      <x:c r="J4394" s="34" t="str">
        <x:v>PASS</x:v>
      </x:c>
      <x:c r="K4394" s="34" t="str">
        <x:v>PASS</x:v>
      </x:c>
      <x:c r="L4394" s="34" t="str">
        <x:v>PASS</x:v>
      </x:c>
      <x:c r="M4394" s="34" t="str">
        <x:v>numeric coverage for applicable metric</x:v>
      </x:c>
      <x:c r="N4394" s="34" t="str">
        <x:v>Feedback-Directed Random Test Generation/Result_Round2/Closure_58/result.json</x:v>
      </x:c>
      <x:c r="O4394" s="38" t="n">
        <x:f>IF(AND(G4394="RECORDED",ISNUMBER(H4394)),H4394,"")</x:f>
        <x:v>0</x:v>
      </x:c>
      <x:c r="P4394" s="34" t="str">
        <x:v>NOT_REVEALING</x:v>
      </x:c>
      <x:c r="Q4394" s="34" t="str">
        <x:v>Feedback-Directed Random Test Generation/Result_Round2/Closure_58/result.json</x:v>
      </x:c>
    </x:row>
    <x:row r="4395">
      <x:c r="A4395" s="34" t="str">
        <x:v>randoop</x:v>
      </x:c>
      <x:c r="B4395" s="34" t="str">
        <x:v>Closure</x:v>
      </x:c>
      <x:c r="C4395" s="34" t="str">
        <x:v>Round2</x:v>
      </x:c>
      <x:c r="D4395" s="34" t="str">
        <x:v>Closure_59</x:v>
      </x:c>
      <x:c r="E4395" s="34" t="str">
        <x:v>Condition</x:v>
      </x:c>
      <x:c r="F4395" s="34" t="n">
        <x:v>330</x:v>
      </x:c>
      <x:c r="G4395" s="34" t="str">
        <x:v>RECORDED</x:v>
      </x:c>
      <x:c r="H4395" s="38" t="n">
        <x:f>IF(ISNUMBER('Data'!I979),'Data'!I979*100,"")</x:f>
        <x:v>33.33</x:v>
      </x:c>
      <x:c r="I4395" s="34" t="str">
        <x:v>PASS</x:v>
      </x:c>
      <x:c r="J4395" s="34" t="str">
        <x:v>PASS</x:v>
      </x:c>
      <x:c r="K4395" s="34" t="str">
        <x:v>PASS</x:v>
      </x:c>
      <x:c r="L4395" s="34" t="str">
        <x:v>FAIL</x:v>
      </x:c>
      <x:c r="M4395" s="34" t="str">
        <x:v>numeric coverage for applicable metric</x:v>
      </x:c>
      <x:c r="N4395" s="34" t="str">
        <x:v>Feedback-Directed Random Test Generation/Result_Round2/Closure_59/result.json</x:v>
      </x:c>
      <x:c r="O4395" s="38" t="n">
        <x:f>IF(AND(G4395="RECORDED",ISNUMBER(H4395)),H4395,"")</x:f>
        <x:v>33.33</x:v>
      </x:c>
      <x:c r="P4395" s="34" t="str">
        <x:v>INCONCLUSIVE</x:v>
      </x:c>
      <x:c r="Q4395" s="34" t="str">
        <x:v>Feedback-Directed Random Test Generation/Result_Round2/Closure_59/result.json</x:v>
      </x:c>
    </x:row>
    <x:row r="4396">
      <x:c r="A4396" s="34" t="str">
        <x:v>randoop</x:v>
      </x:c>
      <x:c r="B4396" s="34" t="str">
        <x:v>Closure</x:v>
      </x:c>
      <x:c r="C4396" s="34" t="str">
        <x:v>Round2</x:v>
      </x:c>
      <x:c r="D4396" s="34" t="str">
        <x:v>Closure_60</x:v>
      </x:c>
      <x:c r="E4396" s="34" t="str">
        <x:v>Condition</x:v>
      </x:c>
      <x:c r="F4396" s="34" t="n">
        <x:v>925</x:v>
      </x:c>
      <x:c r="G4396" s="34" t="str">
        <x:v>RECORDED</x:v>
      </x:c>
      <x:c r="H4396" s="38" t="n">
        <x:f>IF(ISNUMBER('Data'!I980),'Data'!I980*100,"")</x:f>
        <x:v>30.159999999999997</x:v>
      </x:c>
      <x:c r="I4396" s="34" t="str">
        <x:v>PASS</x:v>
      </x:c>
      <x:c r="J4396" s="34" t="str">
        <x:v>PASS</x:v>
      </x:c>
      <x:c r="K4396" s="34" t="str">
        <x:v>PASS</x:v>
      </x:c>
      <x:c r="L4396" s="34" t="str">
        <x:v>PASS</x:v>
      </x:c>
      <x:c r="M4396" s="34" t="str">
        <x:v>numeric coverage for applicable metric</x:v>
      </x:c>
      <x:c r="N4396" s="34" t="str">
        <x:v>Feedback-Directed Random Test Generation/Result_Round2/Closure_60/result.json</x:v>
      </x:c>
      <x:c r="O4396" s="38" t="n">
        <x:f>IF(AND(G4396="RECORDED",ISNUMBER(H4396)),H4396,"")</x:f>
        <x:v>30.159999999999997</x:v>
      </x:c>
      <x:c r="P4396" s="34" t="str">
        <x:v>NOT_REVEALING</x:v>
      </x:c>
      <x:c r="Q4396" s="34" t="str">
        <x:v>Feedback-Directed Random Test Generation/Result_Round2/Closure_60/result.json</x:v>
      </x:c>
    </x:row>
    <x:row r="4397">
      <x:c r="A4397" s="34" t="str">
        <x:v>randoop</x:v>
      </x:c>
      <x:c r="B4397" s="34" t="str">
        <x:v>Closure</x:v>
      </x:c>
      <x:c r="C4397" s="34" t="str">
        <x:v>Round2</x:v>
      </x:c>
      <x:c r="D4397" s="34" t="str">
        <x:v>Closure_61</x:v>
      </x:c>
      <x:c r="E4397" s="34" t="str">
        <x:v>Condition</x:v>
      </x:c>
      <x:c r="F4397" s="34" t="n">
        <x:v>920</x:v>
      </x:c>
      <x:c r="G4397" s="34" t="str">
        <x:v>RECORDED</x:v>
      </x:c>
      <x:c r="H4397" s="38" t="n">
        <x:f>IF(ISNUMBER('Data'!I981),'Data'!I981*100,"")</x:f>
        <x:v>30.329999999999995</x:v>
      </x:c>
      <x:c r="I4397" s="34" t="str">
        <x:v>PASS</x:v>
      </x:c>
      <x:c r="J4397" s="34" t="str">
        <x:v>PASS</x:v>
      </x:c>
      <x:c r="K4397" s="34" t="str">
        <x:v>PASS</x:v>
      </x:c>
      <x:c r="L4397" s="34" t="str">
        <x:v>PASS</x:v>
      </x:c>
      <x:c r="M4397" s="34" t="str">
        <x:v>numeric coverage for applicable metric</x:v>
      </x:c>
      <x:c r="N4397" s="34" t="str">
        <x:v>Feedback-Directed Random Test Generation/Result_Round2/Closure_61/result.json</x:v>
      </x:c>
      <x:c r="O4397" s="38" t="n">
        <x:f>IF(AND(G4397="RECORDED",ISNUMBER(H4397)),H4397,"")</x:f>
        <x:v>30.329999999999995</x:v>
      </x:c>
      <x:c r="P4397" s="34" t="str">
        <x:v>NOT_REVEALING</x:v>
      </x:c>
      <x:c r="Q4397" s="34" t="str">
        <x:v>Feedback-Directed Random Test Generation/Result_Round2/Closure_61/result.json</x:v>
      </x:c>
    </x:row>
    <x:row r="4398">
      <x:c r="A4398" s="34" t="str">
        <x:v>randoop</x:v>
      </x:c>
      <x:c r="B4398" s="34" t="str">
        <x:v>Closure</x:v>
      </x:c>
      <x:c r="C4398" s="34" t="str">
        <x:v>Round2</x:v>
      </x:c>
      <x:c r="D4398" s="34" t="str">
        <x:v>Closure_62</x:v>
      </x:c>
      <x:c r="E4398" s="34" t="str">
        <x:v>Condition</x:v>
      </x:c>
      <x:c r="F4398" s="34" t="n">
        <x:v>32</x:v>
      </x:c>
      <x:c r="G4398" s="34" t="str">
        <x:v>RECORDED</x:v>
      </x:c>
      <x:c r="H4398" s="38" t="n">
        <x:f>IF(ISNUMBER('Data'!I982),'Data'!I982*100,"")</x:f>
        <x:v>6.25</x:v>
      </x:c>
      <x:c r="I4398" s="34" t="str">
        <x:v>PASS</x:v>
      </x:c>
      <x:c r="J4398" s="34" t="str">
        <x:v>PASS</x:v>
      </x:c>
      <x:c r="K4398" s="34" t="str">
        <x:v>PASS</x:v>
      </x:c>
      <x:c r="L4398" s="34" t="str">
        <x:v>PASS</x:v>
      </x:c>
      <x:c r="M4398" s="34" t="str">
        <x:v>numeric coverage for applicable metric</x:v>
      </x:c>
      <x:c r="N4398" s="34" t="str">
        <x:v>Feedback-Directed Random Test Generation/Result_Round2/Closure_62/result.json</x:v>
      </x:c>
      <x:c r="O4398" s="38" t="n">
        <x:f>IF(AND(G4398="RECORDED",ISNUMBER(H4398)),H4398,"")</x:f>
        <x:v>6.25</x:v>
      </x:c>
      <x:c r="P4398" s="34" t="str">
        <x:v>NOT_REVEALING</x:v>
      </x:c>
      <x:c r="Q4398" s="34" t="str">
        <x:v>Feedback-Directed Random Test Generation/Result_Round2/Closure_62/result.json</x:v>
      </x:c>
    </x:row>
    <x:row r="4399">
      <x:c r="A4399" s="34" t="str">
        <x:v>randoop</x:v>
      </x:c>
      <x:c r="B4399" s="34" t="str">
        <x:v>Closure</x:v>
      </x:c>
      <x:c r="C4399" s="34" t="str">
        <x:v>Round2</x:v>
      </x:c>
      <x:c r="D4399" s="34" t="str">
        <x:v>Closure_64</x:v>
      </x:c>
      <x:c r="E4399" s="34" t="str">
        <x:v>Condition</x:v>
      </x:c>
      <x:c r="F4399" s="34" t="n">
        <x:v>320</x:v>
      </x:c>
      <x:c r="G4399" s="34" t="str">
        <x:v>RECORDED</x:v>
      </x:c>
      <x:c r="H4399" s="38" t="n">
        <x:f>IF(ISNUMBER('Data'!I983),'Data'!I983*100,"")</x:f>
        <x:v>34.69</x:v>
      </x:c>
      <x:c r="I4399" s="34" t="str">
        <x:v>PASS</x:v>
      </x:c>
      <x:c r="J4399" s="34" t="str">
        <x:v>PASS</x:v>
      </x:c>
      <x:c r="K4399" s="34" t="str">
        <x:v>PASS</x:v>
      </x:c>
      <x:c r="L4399" s="34" t="str">
        <x:v>FAIL</x:v>
      </x:c>
      <x:c r="M4399" s="34" t="str">
        <x:v>numeric coverage for applicable metric</x:v>
      </x:c>
      <x:c r="N4399" s="34" t="str">
        <x:v>Feedback-Directed Random Test Generation/Result_Round2/Closure_64/result.json</x:v>
      </x:c>
      <x:c r="O4399" s="38" t="n">
        <x:f>IF(AND(G4399="RECORDED",ISNUMBER(H4399)),H4399,"")</x:f>
        <x:v>34.69</x:v>
      </x:c>
      <x:c r="P4399" s="34" t="str">
        <x:v>INCONCLUSIVE</x:v>
      </x:c>
      <x:c r="Q4399" s="34" t="str">
        <x:v>Feedback-Directed Random Test Generation/Result_Round2/Closure_64/result.json</x:v>
      </x:c>
    </x:row>
    <x:row r="4400">
      <x:c r="A4400" s="34" t="str">
        <x:v>randoop</x:v>
      </x:c>
      <x:c r="B4400" s="34" t="str">
        <x:v>Closure</x:v>
      </x:c>
      <x:c r="C4400" s="34" t="str">
        <x:v>Round2</x:v>
      </x:c>
      <x:c r="D4400" s="34" t="str">
        <x:v>Closure_65</x:v>
      </x:c>
      <x:c r="E4400" s="34" t="str">
        <x:v>Condition</x:v>
      </x:c>
      <x:c r="F4400" s="34" t="n">
        <x:v>451</x:v>
      </x:c>
      <x:c r="G4400" s="34" t="str">
        <x:v>RECORDED</x:v>
      </x:c>
      <x:c r="H4400" s="38" t="n">
        <x:f>IF(ISNUMBER('Data'!I984),'Data'!I984*100,"")</x:f>
        <x:v>6.87</x:v>
      </x:c>
      <x:c r="I4400" s="34" t="str">
        <x:v>PASS</x:v>
      </x:c>
      <x:c r="J4400" s="34" t="str">
        <x:v>PASS</x:v>
      </x:c>
      <x:c r="K4400" s="34" t="str">
        <x:v>PASS</x:v>
      </x:c>
      <x:c r="L4400" s="34" t="str">
        <x:v>PASS</x:v>
      </x:c>
      <x:c r="M4400" s="34" t="str">
        <x:v>numeric coverage for applicable metric</x:v>
      </x:c>
      <x:c r="N4400" s="34" t="str">
        <x:v>Feedback-Directed Random Test Generation/Result_Round2/Closure_65/result.json</x:v>
      </x:c>
      <x:c r="O4400" s="38" t="n">
        <x:f>IF(AND(G4400="RECORDED",ISNUMBER(H4400)),H4400,"")</x:f>
        <x:v>6.87</x:v>
      </x:c>
      <x:c r="P4400" s="34" t="str">
        <x:v>NOT_REVEALING</x:v>
      </x:c>
      <x:c r="Q4400" s="34" t="str">
        <x:v>Feedback-Directed Random Test Generation/Result_Round2/Closure_65/result.json</x:v>
      </x:c>
    </x:row>
    <x:row r="4401">
      <x:c r="A4401" s="34" t="str">
        <x:v>randoop</x:v>
      </x:c>
      <x:c r="B4401" s="34" t="str">
        <x:v>Closure</x:v>
      </x:c>
      <x:c r="C4401" s="34" t="str">
        <x:v>Round2</x:v>
      </x:c>
      <x:c r="D4401" s="34" t="str">
        <x:v>Closure_66</x:v>
      </x:c>
      <x:c r="E4401" s="34" t="str">
        <x:v>Condition</x:v>
      </x:c>
      <x:c r="F4401" s="34" t="n">
        <x:v>509</x:v>
      </x:c>
      <x:c r="G4401" s="34" t="str">
        <x:v>RECORDED</x:v>
      </x:c>
      <x:c r="H4401" s="38" t="n">
        <x:f>IF(ISNUMBER('Data'!I985),'Data'!I985*100,"")</x:f>
        <x:v>0</x:v>
      </x:c>
      <x:c r="I4401" s="34" t="str">
        <x:v>PASS</x:v>
      </x:c>
      <x:c r="J4401" s="34" t="str">
        <x:v>PASS</x:v>
      </x:c>
      <x:c r="K4401" s="34" t="str">
        <x:v>PASS</x:v>
      </x:c>
      <x:c r="L4401" s="34" t="str">
        <x:v>PASS</x:v>
      </x:c>
      <x:c r="M4401" s="34" t="str">
        <x:v>numeric coverage for applicable metric</x:v>
      </x:c>
      <x:c r="N4401" s="34" t="str">
        <x:v>Feedback-Directed Random Test Generation/Result_Round2/Closure_66/result.json</x:v>
      </x:c>
      <x:c r="O4401" s="38" t="n">
        <x:f>IF(AND(G4401="RECORDED",ISNUMBER(H4401)),H4401,"")</x:f>
        <x:v>0</x:v>
      </x:c>
      <x:c r="P4401" s="34" t="str">
        <x:v>NOT_REVEALING</x:v>
      </x:c>
      <x:c r="Q4401" s="34" t="str">
        <x:v>Feedback-Directed Random Test Generation/Result_Round2/Closure_66/result.json</x:v>
      </x:c>
    </x:row>
    <x:row r="4402">
      <x:c r="A4402" s="34" t="str">
        <x:v>randoop</x:v>
      </x:c>
      <x:c r="B4402" s="34" t="str">
        <x:v>Closure</x:v>
      </x:c>
      <x:c r="C4402" s="34" t="str">
        <x:v>Round2</x:v>
      </x:c>
      <x:c r="D4402" s="34" t="str">
        <x:v>Closure_67</x:v>
      </x:c>
      <x:c r="E4402" s="34" t="str">
        <x:v>Condition</x:v>
      </x:c>
      <x:c r="F4402" s="34" t="n">
        <x:v>145</x:v>
      </x:c>
      <x:c r="G4402" s="34" t="str">
        <x:v>RECORDED</x:v>
      </x:c>
      <x:c r="H4402" s="38" t="n">
        <x:f>IF(ISNUMBER('Data'!I986),'Data'!I986*100,"")</x:f>
        <x:v>7.59</x:v>
      </x:c>
      <x:c r="I4402" s="34" t="str">
        <x:v>PASS</x:v>
      </x:c>
      <x:c r="J4402" s="34" t="str">
        <x:v>PASS</x:v>
      </x:c>
      <x:c r="K4402" s="34" t="str">
        <x:v>PASS</x:v>
      </x:c>
      <x:c r="L4402" s="34" t="str">
        <x:v>PASS</x:v>
      </x:c>
      <x:c r="M4402" s="34" t="str">
        <x:v>numeric coverage for applicable metric</x:v>
      </x:c>
      <x:c r="N4402" s="34" t="str">
        <x:v>Feedback-Directed Random Test Generation/Result_Round2/Closure_67/result.json</x:v>
      </x:c>
      <x:c r="O4402" s="38" t="n">
        <x:f>IF(AND(G4402="RECORDED",ISNUMBER(H4402)),H4402,"")</x:f>
        <x:v>7.59</x:v>
      </x:c>
      <x:c r="P4402" s="34" t="str">
        <x:v>NOT_REVEALING</x:v>
      </x:c>
      <x:c r="Q4402" s="34" t="str">
        <x:v>Feedback-Directed Random Test Generation/Result_Round2/Closure_67/result.json</x:v>
      </x:c>
    </x:row>
    <x:row r="4403">
      <x:c r="A4403" s="34" t="str">
        <x:v>randoop</x:v>
      </x:c>
      <x:c r="B4403" s="34" t="str">
        <x:v>Closure</x:v>
      </x:c>
      <x:c r="C4403" s="34" t="str">
        <x:v>Round2</x:v>
      </x:c>
      <x:c r="D4403" s="34" t="str">
        <x:v>Closure_68</x:v>
      </x:c>
      <x:c r="E4403" s="34" t="str">
        <x:v>Condition</x:v>
      </x:c>
      <x:c r="F4403" s="34" t="n">
        <x:v>589</x:v>
      </x:c>
      <x:c r="G4403" s="34" t="str">
        <x:v>RECORDED</x:v>
      </x:c>
      <x:c r="H4403" s="38" t="n">
        <x:f>IF(ISNUMBER('Data'!I987),'Data'!I987*100,"")</x:f>
        <x:v>4.58</x:v>
      </x:c>
      <x:c r="I4403" s="34" t="str">
        <x:v>PASS</x:v>
      </x:c>
      <x:c r="J4403" s="34" t="str">
        <x:v>PASS</x:v>
      </x:c>
      <x:c r="K4403" s="34" t="str">
        <x:v>PASS</x:v>
      </x:c>
      <x:c r="L4403" s="34" t="str">
        <x:v>PASS</x:v>
      </x:c>
      <x:c r="M4403" s="34" t="str">
        <x:v>numeric coverage for applicable metric</x:v>
      </x:c>
      <x:c r="N4403" s="34" t="str">
        <x:v>Feedback-Directed Random Test Generation/Result_Round2/Closure_68/result.json</x:v>
      </x:c>
      <x:c r="O4403" s="38" t="n">
        <x:f>IF(AND(G4403="RECORDED",ISNUMBER(H4403)),H4403,"")</x:f>
        <x:v>4.58</x:v>
      </x:c>
      <x:c r="P4403" s="34" t="str">
        <x:v>NOT_REVEALING</x:v>
      </x:c>
      <x:c r="Q4403" s="34" t="str">
        <x:v>Feedback-Directed Random Test Generation/Result_Round2/Closure_68/result.json</x:v>
      </x:c>
    </x:row>
    <x:row r="4404">
      <x:c r="A4404" s="34" t="str">
        <x:v>randoop</x:v>
      </x:c>
      <x:c r="B4404" s="34" t="str">
        <x:v>Closure</x:v>
      </x:c>
      <x:c r="C4404" s="34" t="str">
        <x:v>Round2</x:v>
      </x:c>
      <x:c r="D4404" s="34" t="str">
        <x:v>Closure_69</x:v>
      </x:c>
      <x:c r="E4404" s="34" t="str">
        <x:v>Condition</x:v>
      </x:c>
      <x:c r="F4404" s="34" t="n">
        <x:v>499</x:v>
      </x:c>
      <x:c r="G4404" s="34" t="str">
        <x:v>RECORDED</x:v>
      </x:c>
      <x:c r="H4404" s="38" t="n">
        <x:f>IF(ISNUMBER('Data'!I988),'Data'!I988*100,"")</x:f>
        <x:v>0</x:v>
      </x:c>
      <x:c r="I4404" s="34" t="str">
        <x:v>PASS</x:v>
      </x:c>
      <x:c r="J4404" s="34" t="str">
        <x:v>PASS</x:v>
      </x:c>
      <x:c r="K4404" s="34" t="str">
        <x:v>PASS</x:v>
      </x:c>
      <x:c r="L4404" s="34" t="str">
        <x:v>PASS</x:v>
      </x:c>
      <x:c r="M4404" s="34" t="str">
        <x:v>numeric coverage for applicable metric</x:v>
      </x:c>
      <x:c r="N4404" s="34" t="str">
        <x:v>Feedback-Directed Random Test Generation/Result_Round2/Closure_69/result.json</x:v>
      </x:c>
      <x:c r="O4404" s="38" t="n">
        <x:f>IF(AND(G4404="RECORDED",ISNUMBER(H4404)),H4404,"")</x:f>
        <x:v>0</x:v>
      </x:c>
      <x:c r="P4404" s="34" t="str">
        <x:v>NOT_REVEALING</x:v>
      </x:c>
      <x:c r="Q4404" s="34" t="str">
        <x:v>Feedback-Directed Random Test Generation/Result_Round2/Closure_69/result.json</x:v>
      </x:c>
    </x:row>
    <x:row r="4405">
      <x:c r="A4405" s="34" t="str">
        <x:v>randoop</x:v>
      </x:c>
      <x:c r="B4405" s="34" t="str">
        <x:v>Closure</x:v>
      </x:c>
      <x:c r="C4405" s="34" t="str">
        <x:v>Round2</x:v>
      </x:c>
      <x:c r="D4405" s="34" t="str">
        <x:v>Closure_70</x:v>
      </x:c>
      <x:c r="E4405" s="34" t="str">
        <x:v>Condition</x:v>
      </x:c>
      <x:c r="F4405" s="34" t="n">
        <x:v>621</x:v>
      </x:c>
      <x:c r="G4405" s="34" t="str">
        <x:v>RECORDED</x:v>
      </x:c>
      <x:c r="H4405" s="38" t="n">
        <x:f>IF(ISNUMBER('Data'!I989),'Data'!I989*100,"")</x:f>
        <x:v>0</x:v>
      </x:c>
      <x:c r="I4405" s="34" t="str">
        <x:v>PASS</x:v>
      </x:c>
      <x:c r="J4405" s="34" t="str">
        <x:v>PASS</x:v>
      </x:c>
      <x:c r="K4405" s="34" t="str">
        <x:v>PASS</x:v>
      </x:c>
      <x:c r="L4405" s="34" t="str">
        <x:v>PASS</x:v>
      </x:c>
      <x:c r="M4405" s="34" t="str">
        <x:v>numeric coverage for applicable metric</x:v>
      </x:c>
      <x:c r="N4405" s="34" t="str">
        <x:v>Feedback-Directed Random Test Generation/Result_Round2/Closure_70/result.json</x:v>
      </x:c>
      <x:c r="O4405" s="38" t="n">
        <x:f>IF(AND(G4405="RECORDED",ISNUMBER(H4405)),H4405,"")</x:f>
        <x:v>0</x:v>
      </x:c>
      <x:c r="P4405" s="34" t="str">
        <x:v>NOT_REVEALING</x:v>
      </x:c>
      <x:c r="Q4405" s="34" t="str">
        <x:v>Feedback-Directed Random Test Generation/Result_Round2/Closure_70/result.json</x:v>
      </x:c>
    </x:row>
    <x:row r="4406">
      <x:c r="A4406" s="34" t="str">
        <x:v>randoop</x:v>
      </x:c>
      <x:c r="B4406" s="34" t="str">
        <x:v>Closure</x:v>
      </x:c>
      <x:c r="C4406" s="34" t="str">
        <x:v>Round2</x:v>
      </x:c>
      <x:c r="D4406" s="34" t="str">
        <x:v>Closure_71</x:v>
      </x:c>
      <x:c r="E4406" s="34" t="str">
        <x:v>Condition</x:v>
      </x:c>
      <x:c r="F4406" s="34" t="n">
        <x:v>222</x:v>
      </x:c>
      <x:c r="G4406" s="34" t="str">
        <x:v>RECORDED</x:v>
      </x:c>
      <x:c r="H4406" s="38" t="n">
        <x:f>IF(ISNUMBER('Data'!I990),'Data'!I990*100,"")</x:f>
        <x:v>0</x:v>
      </x:c>
      <x:c r="I4406" s="34" t="str">
        <x:v>PASS</x:v>
      </x:c>
      <x:c r="J4406" s="34" t="str">
        <x:v>PASS</x:v>
      </x:c>
      <x:c r="K4406" s="34" t="str">
        <x:v>PASS</x:v>
      </x:c>
      <x:c r="L4406" s="34" t="str">
        <x:v>PASS</x:v>
      </x:c>
      <x:c r="M4406" s="34" t="str">
        <x:v>numeric coverage for applicable metric</x:v>
      </x:c>
      <x:c r="N4406" s="34" t="str">
        <x:v>Feedback-Directed Random Test Generation/Result_Round2/Closure_71/result.json</x:v>
      </x:c>
      <x:c r="O4406" s="38" t="n">
        <x:f>IF(AND(G4406="RECORDED",ISNUMBER(H4406)),H4406,"")</x:f>
        <x:v>0</x:v>
      </x:c>
      <x:c r="P4406" s="34" t="str">
        <x:v>NOT_REVEALING</x:v>
      </x:c>
      <x:c r="Q4406" s="34" t="str">
        <x:v>Feedback-Directed Random Test Generation/Result_Round2/Closure_71/result.json</x:v>
      </x:c>
    </x:row>
    <x:row r="4407">
      <x:c r="A4407" s="34" t="str">
        <x:v>randoop</x:v>
      </x:c>
      <x:c r="B4407" s="34" t="str">
        <x:v>Closure</x:v>
      </x:c>
      <x:c r="C4407" s="34" t="str">
        <x:v>Round2</x:v>
      </x:c>
      <x:c r="D4407" s="34" t="str">
        <x:v>Closure_72</x:v>
      </x:c>
      <x:c r="E4407" s="34" t="str">
        <x:v>Condition</x:v>
      </x:c>
      <x:c r="F4407" s="34" t="n">
        <x:v>101</x:v>
      </x:c>
      <x:c r="G4407" s="34" t="str">
        <x:v>RECORDED</x:v>
      </x:c>
      <x:c r="H4407" s="38" t="n">
        <x:f>IF(ISNUMBER('Data'!I991),'Data'!I991*100,"")</x:f>
        <x:v>0</x:v>
      </x:c>
      <x:c r="I4407" s="34" t="str">
        <x:v>PASS</x:v>
      </x:c>
      <x:c r="J4407" s="34" t="str">
        <x:v>PASS</x:v>
      </x:c>
      <x:c r="K4407" s="34" t="str">
        <x:v>PASS</x:v>
      </x:c>
      <x:c r="L4407" s="34" t="str">
        <x:v>PASS</x:v>
      </x:c>
      <x:c r="M4407" s="34" t="str">
        <x:v>numeric coverage for applicable metric</x:v>
      </x:c>
      <x:c r="N4407" s="34" t="str">
        <x:v>Feedback-Directed Random Test Generation/Result_Round2/Closure_72/result.json</x:v>
      </x:c>
      <x:c r="O4407" s="38" t="n">
        <x:f>IF(AND(G4407="RECORDED",ISNUMBER(H4407)),H4407,"")</x:f>
        <x:v>0</x:v>
      </x:c>
      <x:c r="P4407" s="34" t="str">
        <x:v>NOT_REVEALING</x:v>
      </x:c>
      <x:c r="Q4407" s="34" t="str">
        <x:v>Feedback-Directed Random Test Generation/Result_Round2/Closure_72/result.json</x:v>
      </x:c>
    </x:row>
    <x:row r="4408">
      <x:c r="A4408" s="34" t="str">
        <x:v>randoop</x:v>
      </x:c>
      <x:c r="B4408" s="34" t="str">
        <x:v>Closure</x:v>
      </x:c>
      <x:c r="C4408" s="34" t="str">
        <x:v>Round2</x:v>
      </x:c>
      <x:c r="D4408" s="34" t="str">
        <x:v>Closure_73</x:v>
      </x:c>
      <x:c r="E4408" s="34" t="str">
        <x:v>Condition</x:v>
      </x:c>
      <x:c r="F4408" s="34" t="n">
        <x:v>449</x:v>
      </x:c>
      <x:c r="G4408" s="34" t="str">
        <x:v>RECORDED</x:v>
      </x:c>
      <x:c r="H4408" s="38" t="n">
        <x:f>IF(ISNUMBER('Data'!I992),'Data'!I992*100,"")</x:f>
        <x:v>6.68</x:v>
      </x:c>
      <x:c r="I4408" s="34" t="str">
        <x:v>PASS</x:v>
      </x:c>
      <x:c r="J4408" s="34" t="str">
        <x:v>PASS</x:v>
      </x:c>
      <x:c r="K4408" s="34" t="str">
        <x:v>PASS</x:v>
      </x:c>
      <x:c r="L4408" s="34" t="str">
        <x:v>PASS</x:v>
      </x:c>
      <x:c r="M4408" s="34" t="str">
        <x:v>numeric coverage for applicable metric</x:v>
      </x:c>
      <x:c r="N4408" s="34" t="str">
        <x:v>Feedback-Directed Random Test Generation/Result_Round2/Closure_73/result.json</x:v>
      </x:c>
      <x:c r="O4408" s="38" t="n">
        <x:f>IF(AND(G4408="RECORDED",ISNUMBER(H4408)),H4408,"")</x:f>
        <x:v>6.68</x:v>
      </x:c>
      <x:c r="P4408" s="34" t="str">
        <x:v>NOT_REVEALING</x:v>
      </x:c>
      <x:c r="Q4408" s="34" t="str">
        <x:v>Feedback-Directed Random Test Generation/Result_Round2/Closure_73/result.json</x:v>
      </x:c>
    </x:row>
    <x:row r="4409">
      <x:c r="A4409" s="34" t="str">
        <x:v>randoop</x:v>
      </x:c>
      <x:c r="B4409" s="34" t="str">
        <x:v>Closure</x:v>
      </x:c>
      <x:c r="C4409" s="34" t="str">
        <x:v>Round2</x:v>
      </x:c>
      <x:c r="D4409" s="34" t="str">
        <x:v>Closure_74</x:v>
      </x:c>
      <x:c r="E4409" s="34" t="str">
        <x:v>Condition</x:v>
      </x:c>
      <x:c r="F4409" s="34" t="n">
        <x:v>619</x:v>
      </x:c>
      <x:c r="G4409" s="34" t="str">
        <x:v>RECORDED</x:v>
      </x:c>
      <x:c r="H4409" s="38" t="n">
        <x:f>IF(ISNUMBER('Data'!I993),'Data'!I993*100,"")</x:f>
        <x:v>0</x:v>
      </x:c>
      <x:c r="I4409" s="34" t="str">
        <x:v>PASS</x:v>
      </x:c>
      <x:c r="J4409" s="34" t="str">
        <x:v>PASS</x:v>
      </x:c>
      <x:c r="K4409" s="34" t="str">
        <x:v>PASS</x:v>
      </x:c>
      <x:c r="L4409" s="34" t="str">
        <x:v>PASS</x:v>
      </x:c>
      <x:c r="M4409" s="34" t="str">
        <x:v>numeric coverage for applicable metric</x:v>
      </x:c>
      <x:c r="N4409" s="34" t="str">
        <x:v>Feedback-Directed Random Test Generation/Result_Round2/Closure_74/result.json</x:v>
      </x:c>
      <x:c r="O4409" s="38" t="n">
        <x:f>IF(AND(G4409="RECORDED",ISNUMBER(H4409)),H4409,"")</x:f>
        <x:v>0</x:v>
      </x:c>
      <x:c r="P4409" s="34" t="str">
        <x:v>NOT_REVEALING</x:v>
      </x:c>
      <x:c r="Q4409" s="34" t="str">
        <x:v>Feedback-Directed Random Test Generation/Result_Round2/Closure_74/result.json</x:v>
      </x:c>
    </x:row>
    <x:row r="4410">
      <x:c r="A4410" s="34" t="str">
        <x:v>randoop</x:v>
      </x:c>
      <x:c r="B4410" s="34" t="str">
        <x:v>Closure</x:v>
      </x:c>
      <x:c r="C4410" s="34" t="str">
        <x:v>Round2</x:v>
      </x:c>
      <x:c r="D4410" s="34" t="str">
        <x:v>Closure_75</x:v>
      </x:c>
      <x:c r="E4410" s="34" t="str">
        <x:v>Condition</x:v>
      </x:c>
      <x:c r="F4410" s="34" t="n">
        <x:v>891</x:v>
      </x:c>
      <x:c r="G4410" s="34" t="str">
        <x:v>RECORDED</x:v>
      </x:c>
      <x:c r="H4410" s="38" t="n">
        <x:f>IF(ISNUMBER('Data'!I994),'Data'!I994*100,"")</x:f>
        <x:v>30.64</x:v>
      </x:c>
      <x:c r="I4410" s="34" t="str">
        <x:v>PASS</x:v>
      </x:c>
      <x:c r="J4410" s="34" t="str">
        <x:v>PASS</x:v>
      </x:c>
      <x:c r="K4410" s="34" t="str">
        <x:v>PASS</x:v>
      </x:c>
      <x:c r="L4410" s="34" t="str">
        <x:v>PASS</x:v>
      </x:c>
      <x:c r="M4410" s="34" t="str">
        <x:v>numeric coverage for applicable metric</x:v>
      </x:c>
      <x:c r="N4410" s="34" t="str">
        <x:v>Feedback-Directed Random Test Generation/Result_Round2/Closure_75/result.json</x:v>
      </x:c>
      <x:c r="O4410" s="38" t="n">
        <x:f>IF(AND(G4410="RECORDED",ISNUMBER(H4410)),H4410,"")</x:f>
        <x:v>30.64</x:v>
      </x:c>
      <x:c r="P4410" s="34" t="str">
        <x:v>NOT_REVEALING</x:v>
      </x:c>
      <x:c r="Q4410" s="34" t="str">
        <x:v>Feedback-Directed Random Test Generation/Result_Round2/Closure_75/result.json</x:v>
      </x:c>
    </x:row>
    <x:row r="4411">
      <x:c r="A4411" s="34" t="str">
        <x:v>randoop</x:v>
      </x:c>
      <x:c r="B4411" s="34" t="str">
        <x:v>Closure</x:v>
      </x:c>
      <x:c r="C4411" s="34" t="str">
        <x:v>Round2</x:v>
      </x:c>
      <x:c r="D4411" s="34" t="str">
        <x:v>Closure_76</x:v>
      </x:c>
      <x:c r="E4411" s="34" t="str">
        <x:v>Condition</x:v>
      </x:c>
      <x:c r="F4411" s="34" t="n">
        <x:v>115</x:v>
      </x:c>
      <x:c r="G4411" s="34" t="str">
        <x:v>RECORDED</x:v>
      </x:c>
      <x:c r="H4411" s="38" t="n">
        <x:f>IF(ISNUMBER('Data'!I995),'Data'!I995*100,"")</x:f>
        <x:v>0</x:v>
      </x:c>
      <x:c r="I4411" s="34" t="str">
        <x:v>PASS</x:v>
      </x:c>
      <x:c r="J4411" s="34" t="str">
        <x:v>PASS</x:v>
      </x:c>
      <x:c r="K4411" s="34" t="str">
        <x:v>PASS</x:v>
      </x:c>
      <x:c r="L4411" s="34" t="str">
        <x:v>PASS</x:v>
      </x:c>
      <x:c r="M4411" s="34" t="str">
        <x:v>numeric coverage for applicable metric</x:v>
      </x:c>
      <x:c r="N4411" s="34" t="str">
        <x:v>Feedback-Directed Random Test Generation/Result_Round2/Closure_76/result.json</x:v>
      </x:c>
      <x:c r="O4411" s="38" t="n">
        <x:f>IF(AND(G4411="RECORDED",ISNUMBER(H4411)),H4411,"")</x:f>
        <x:v>0</x:v>
      </x:c>
      <x:c r="P4411" s="34" t="str">
        <x:v>NOT_REVEALING</x:v>
      </x:c>
      <x:c r="Q4411" s="34" t="str">
        <x:v>Feedback-Directed Random Test Generation/Result_Round2/Closure_76/result.json</x:v>
      </x:c>
    </x:row>
    <x:row r="4412">
      <x:c r="A4412" s="34" t="str">
        <x:v>randoop</x:v>
      </x:c>
      <x:c r="B4412" s="34" t="str">
        <x:v>Closure</x:v>
      </x:c>
      <x:c r="C4412" s="34" t="str">
        <x:v>Round2</x:v>
      </x:c>
      <x:c r="D4412" s="34" t="str">
        <x:v>Closure_77</x:v>
      </x:c>
      <x:c r="E4412" s="34" t="str">
        <x:v>Condition</x:v>
      </x:c>
      <x:c r="F4412" s="34" t="n">
        <x:v>434</x:v>
      </x:c>
      <x:c r="G4412" s="34" t="str">
        <x:v>RECORDED</x:v>
      </x:c>
      <x:c r="H4412" s="38" t="n">
        <x:f>IF(ISNUMBER('Data'!I996),'Data'!I996*100,"")</x:f>
        <x:v>5.07</x:v>
      </x:c>
      <x:c r="I4412" s="34" t="str">
        <x:v>PASS</x:v>
      </x:c>
      <x:c r="J4412" s="34" t="str">
        <x:v>PASS</x:v>
      </x:c>
      <x:c r="K4412" s="34" t="str">
        <x:v>PASS</x:v>
      </x:c>
      <x:c r="L4412" s="34" t="str">
        <x:v>PASS</x:v>
      </x:c>
      <x:c r="M4412" s="34" t="str">
        <x:v>numeric coverage for applicable metric</x:v>
      </x:c>
      <x:c r="N4412" s="34" t="str">
        <x:v>Feedback-Directed Random Test Generation/Result_Round2/Closure_77/result.json</x:v>
      </x:c>
      <x:c r="O4412" s="38" t="n">
        <x:f>IF(AND(G4412="RECORDED",ISNUMBER(H4412)),H4412,"")</x:f>
        <x:v>5.07</x:v>
      </x:c>
      <x:c r="P4412" s="34" t="str">
        <x:v>NOT_REVEALING</x:v>
      </x:c>
      <x:c r="Q4412" s="34" t="str">
        <x:v>Feedback-Directed Random Test Generation/Result_Round2/Closure_77/result.json</x:v>
      </x:c>
    </x:row>
    <x:row r="4413">
      <x:c r="A4413" s="34" t="str">
        <x:v>randoop</x:v>
      </x:c>
      <x:c r="B4413" s="34" t="str">
        <x:v>Closure</x:v>
      </x:c>
      <x:c r="C4413" s="34" t="str">
        <x:v>Round2</x:v>
      </x:c>
      <x:c r="D4413" s="34" t="str">
        <x:v>Closure_78</x:v>
      </x:c>
      <x:c r="E4413" s="34" t="str">
        <x:v>Condition</x:v>
      </x:c>
      <x:c r="F4413" s="34" t="n">
        <x:v>580</x:v>
      </x:c>
      <x:c r="G4413" s="34" t="str">
        <x:v>RECORDED</x:v>
      </x:c>
      <x:c r="H4413" s="38" t="n">
        <x:f>IF(ISNUMBER('Data'!I997),'Data'!I997*100,"")</x:f>
        <x:v>0</x:v>
      </x:c>
      <x:c r="I4413" s="34" t="str">
        <x:v>PASS</x:v>
      </x:c>
      <x:c r="J4413" s="34" t="str">
        <x:v>PASS</x:v>
      </x:c>
      <x:c r="K4413" s="34" t="str">
        <x:v>PASS</x:v>
      </x:c>
      <x:c r="L4413" s="34" t="str">
        <x:v>PASS</x:v>
      </x:c>
      <x:c r="M4413" s="34" t="str">
        <x:v>numeric coverage for applicable metric</x:v>
      </x:c>
      <x:c r="N4413" s="34" t="str">
        <x:v>Feedback-Directed Random Test Generation/Result_Round2/Closure_78/result.json</x:v>
      </x:c>
      <x:c r="O4413" s="38" t="n">
        <x:f>IF(AND(G4413="RECORDED",ISNUMBER(H4413)),H4413,"")</x:f>
        <x:v>0</x:v>
      </x:c>
      <x:c r="P4413" s="34" t="str">
        <x:v>NOT_REVEALING</x:v>
      </x:c>
      <x:c r="Q4413" s="34" t="str">
        <x:v>Feedback-Directed Random Test Generation/Result_Round2/Closure_78/result.json</x:v>
      </x:c>
    </x:row>
    <x:row r="4414">
      <x:c r="A4414" s="34" t="str">
        <x:v>randoop</x:v>
      </x:c>
      <x:c r="B4414" s="34" t="str">
        <x:v>Closure</x:v>
      </x:c>
      <x:c r="C4414" s="34" t="str">
        <x:v>Round2</x:v>
      </x:c>
      <x:c r="D4414" s="34" t="str">
        <x:v>Closure_79</x:v>
      </x:c>
      <x:c r="E4414" s="34" t="str">
        <x:v>Condition</x:v>
      </x:c>
      <x:c r="F4414" s="34" t="n">
        <x:v>238</x:v>
      </x:c>
      <x:c r="G4414" s="34" t="str">
        <x:v>RECORDED</x:v>
      </x:c>
      <x:c r="H4414" s="38" t="n">
        <x:f>IF(ISNUMBER('Data'!I998),'Data'!I998*100,"")</x:f>
        <x:v>0</x:v>
      </x:c>
      <x:c r="I4414" s="34" t="str">
        <x:v>PASS</x:v>
      </x:c>
      <x:c r="J4414" s="34" t="str">
        <x:v>PASS</x:v>
      </x:c>
      <x:c r="K4414" s="34" t="str">
        <x:v>PASS</x:v>
      </x:c>
      <x:c r="L4414" s="34" t="str">
        <x:v>PASS</x:v>
      </x:c>
      <x:c r="M4414" s="34" t="str">
        <x:v>numeric coverage for applicable metric</x:v>
      </x:c>
      <x:c r="N4414" s="34" t="str">
        <x:v>Feedback-Directed Random Test Generation/Result_Round2/Closure_79/result.json</x:v>
      </x:c>
      <x:c r="O4414" s="38" t="n">
        <x:f>IF(AND(G4414="RECORDED",ISNUMBER(H4414)),H4414,"")</x:f>
        <x:v>0</x:v>
      </x:c>
      <x:c r="P4414" s="34" t="str">
        <x:v>NOT_REVEALING</x:v>
      </x:c>
      <x:c r="Q4414" s="34" t="str">
        <x:v>Feedback-Directed Random Test Generation/Result_Round2/Closure_79/result.json</x:v>
      </x:c>
    </x:row>
    <x:row r="4415">
      <x:c r="A4415" s="34" t="str">
        <x:v>randoop</x:v>
      </x:c>
      <x:c r="B4415" s="34" t="str">
        <x:v>Closure</x:v>
      </x:c>
      <x:c r="C4415" s="34" t="str">
        <x:v>Round2</x:v>
      </x:c>
      <x:c r="D4415" s="34" t="str">
        <x:v>Closure_80</x:v>
      </x:c>
      <x:c r="E4415" s="34" t="str">
        <x:v>Condition</x:v>
      </x:c>
      <x:c r="F4415" s="34" t="n">
        <x:v>887</x:v>
      </x:c>
      <x:c r="G4415" s="34" t="str">
        <x:v>RECORDED</x:v>
      </x:c>
      <x:c r="H4415" s="38" t="n">
        <x:f>IF(ISNUMBER('Data'!I999),'Data'!I999*100,"")</x:f>
        <x:v>32.02</x:v>
      </x:c>
      <x:c r="I4415" s="34" t="str">
        <x:v>PASS</x:v>
      </x:c>
      <x:c r="J4415" s="34" t="str">
        <x:v>PASS</x:v>
      </x:c>
      <x:c r="K4415" s="34" t="str">
        <x:v>PASS</x:v>
      </x:c>
      <x:c r="L4415" s="34" t="str">
        <x:v>PASS</x:v>
      </x:c>
      <x:c r="M4415" s="34" t="str">
        <x:v>numeric coverage for applicable metric</x:v>
      </x:c>
      <x:c r="N4415" s="34" t="str">
        <x:v>Feedback-Directed Random Test Generation/Result_Round2/Closure_80/result.json</x:v>
      </x:c>
      <x:c r="O4415" s="38" t="n">
        <x:f>IF(AND(G4415="RECORDED",ISNUMBER(H4415)),H4415,"")</x:f>
        <x:v>32.02</x:v>
      </x:c>
      <x:c r="P4415" s="34" t="str">
        <x:v>NOT_REVEALING</x:v>
      </x:c>
      <x:c r="Q4415" s="34" t="str">
        <x:v>Feedback-Directed Random Test Generation/Result_Round2/Closure_80/result.json</x:v>
      </x:c>
    </x:row>
    <x:row r="4416">
      <x:c r="A4416" s="34" t="str">
        <x:v>randoop</x:v>
      </x:c>
      <x:c r="B4416" s="34" t="str">
        <x:v>Closure</x:v>
      </x:c>
      <x:c r="C4416" s="34" t="str">
        <x:v>Round2</x:v>
      </x:c>
      <x:c r="D4416" s="34" t="str">
        <x:v>Closure_81</x:v>
      </x:c>
      <x:c r="E4416" s="34" t="str">
        <x:v>Condition</x:v>
      </x:c>
      <x:c r="F4416" s="34" t="n">
        <x:v>319</x:v>
      </x:c>
      <x:c r="G4416" s="34" t="str">
        <x:v>RECORDED</x:v>
      </x:c>
      <x:c r="H4416" s="38" t="n">
        <x:f>IF(ISNUMBER('Data'!I1000),'Data'!I1000*100,"")</x:f>
        <x:v>0</x:v>
      </x:c>
      <x:c r="I4416" s="34" t="str">
        <x:v>PASS</x:v>
      </x:c>
      <x:c r="J4416" s="34" t="str">
        <x:v>PASS</x:v>
      </x:c>
      <x:c r="K4416" s="34" t="str">
        <x:v>PASS</x:v>
      </x:c>
      <x:c r="L4416" s="34" t="str">
        <x:v>PASS</x:v>
      </x:c>
      <x:c r="M4416" s="34" t="str">
        <x:v>numeric coverage for applicable metric</x:v>
      </x:c>
      <x:c r="N4416" s="34" t="str">
        <x:v>Feedback-Directed Random Test Generation/Result_Round2/Closure_81/result.json</x:v>
      </x:c>
      <x:c r="O4416" s="38" t="n">
        <x:f>IF(AND(G4416="RECORDED",ISNUMBER(H4416)),H4416,"")</x:f>
        <x:v>0</x:v>
      </x:c>
      <x:c r="P4416" s="34" t="str">
        <x:v>NOT_REVEALING</x:v>
      </x:c>
      <x:c r="Q4416" s="34" t="str">
        <x:v>Feedback-Directed Random Test Generation/Result_Round2/Closure_81/result.json</x:v>
      </x:c>
    </x:row>
    <x:row r="4417">
      <x:c r="A4417" s="34" t="str">
        <x:v>randoop</x:v>
      </x:c>
      <x:c r="B4417" s="34" t="str">
        <x:v>Closure</x:v>
      </x:c>
      <x:c r="C4417" s="34" t="str">
        <x:v>Round2</x:v>
      </x:c>
      <x:c r="D4417" s="34" t="str">
        <x:v>Closure_82</x:v>
      </x:c>
      <x:c r="E4417" s="34" t="str">
        <x:v>Condition</x:v>
      </x:c>
      <x:c r="F4417" s="34" t="n">
        <x:v>156</x:v>
      </x:c>
      <x:c r="G4417" s="34" t="str">
        <x:v>RECORDED</x:v>
      </x:c>
      <x:c r="H4417" s="38" t="n">
        <x:f>IF(ISNUMBER('Data'!I1001),'Data'!I1001*100,"")</x:f>
        <x:v>1.92</x:v>
      </x:c>
      <x:c r="I4417" s="34" t="str">
        <x:v>PASS</x:v>
      </x:c>
      <x:c r="J4417" s="34" t="str">
        <x:v>PASS</x:v>
      </x:c>
      <x:c r="K4417" s="34" t="str">
        <x:v>PASS</x:v>
      </x:c>
      <x:c r="L4417" s="34" t="str">
        <x:v>PASS</x:v>
      </x:c>
      <x:c r="M4417" s="34" t="str">
        <x:v>numeric coverage for applicable metric</x:v>
      </x:c>
      <x:c r="N4417" s="34" t="str">
        <x:v>Feedback-Directed Random Test Generation/Result_Round2/Closure_82/result.json</x:v>
      </x:c>
      <x:c r="O4417" s="38" t="n">
        <x:f>IF(AND(G4417="RECORDED",ISNUMBER(H4417)),H4417,"")</x:f>
        <x:v>1.92</x:v>
      </x:c>
      <x:c r="P4417" s="34" t="str">
        <x:v>NOT_REVEALING</x:v>
      </x:c>
      <x:c r="Q4417" s="34" t="str">
        <x:v>Feedback-Directed Random Test Generation/Result_Round2/Closure_82/result.json</x:v>
      </x:c>
    </x:row>
    <x:row r="4418">
      <x:c r="A4418" s="34" t="str">
        <x:v>randoop</x:v>
      </x:c>
      <x:c r="B4418" s="34" t="str">
        <x:v>Closure</x:v>
      </x:c>
      <x:c r="C4418" s="34" t="str">
        <x:v>Round2</x:v>
      </x:c>
      <x:c r="D4418" s="34" t="str">
        <x:v>Closure_83</x:v>
      </x:c>
      <x:c r="E4418" s="34" t="str">
        <x:v>Condition</x:v>
      </x:c>
      <x:c r="F4418" s="34" t="n">
        <x:v>0</x:v>
      </x:c>
      <x:c r="G4418" s="34" t="str">
        <x:v>A</x:v>
      </x:c>
      <x:c r="H4418" s="38" t="str">
        <x:f>IF(ISNUMBER('Data'!I1002),'Data'!I1002*100,"")</x:f>
      </x:c>
      <x:c r="I4418" s="34"/>
      <x:c r="J4418" s="34"/>
      <x:c r="K4418" s="34"/>
      <x:c r="L4418" s="34" t="str">
        <x:v>NOT_RUN</x:v>
      </x:c>
      <x:c r="M4418" s="34" t="str">
        <x:v>Latest same-round generation failed; older files/results are excluded</x:v>
      </x:c>
      <x:c r="N4418" s="34" t="str">
        <x:v>Feedback-Directed Random Test Generation/report_Round2.csv</x:v>
      </x:c>
      <x:c r="O4418" s="38" t="str">
        <x:f>IF(AND(G4418="RECORDED",ISNUMBER(H4418)),H4418,"")</x:f>
      </x:c>
      <x:c r="P4418" s="34" t="str">
        <x:v>FAIL</x:v>
      </x:c>
      <x:c r="Q4418" s="34"/>
    </x:row>
    <x:row r="4419">
      <x:c r="A4419" s="34" t="str">
        <x:v>randoop</x:v>
      </x:c>
      <x:c r="B4419" s="34" t="str">
        <x:v>Closure</x:v>
      </x:c>
      <x:c r="C4419" s="34" t="str">
        <x:v>Round2</x:v>
      </x:c>
      <x:c r="D4419" s="34" t="str">
        <x:v>Closure_84</x:v>
      </x:c>
      <x:c r="E4419" s="34" t="str">
        <x:v>Condition</x:v>
      </x:c>
      <x:c r="F4419" s="34" t="n">
        <x:v>293</x:v>
      </x:c>
      <x:c r="G4419" s="34" t="str">
        <x:v>RECORDED</x:v>
      </x:c>
      <x:c r="H4419" s="38" t="n">
        <x:f>IF(ISNUMBER('Data'!I1003),'Data'!I1003*100,"")</x:f>
        <x:v>0</x:v>
      </x:c>
      <x:c r="I4419" s="34" t="str">
        <x:v>PASS</x:v>
      </x:c>
      <x:c r="J4419" s="34" t="str">
        <x:v>PASS</x:v>
      </x:c>
      <x:c r="K4419" s="34" t="str">
        <x:v>PASS</x:v>
      </x:c>
      <x:c r="L4419" s="34" t="str">
        <x:v>PASS</x:v>
      </x:c>
      <x:c r="M4419" s="34" t="str">
        <x:v>numeric coverage for applicable metric</x:v>
      </x:c>
      <x:c r="N4419" s="34" t="str">
        <x:v>Feedback-Directed Random Test Generation/Result_Round2/Closure_84/result.json</x:v>
      </x:c>
      <x:c r="O4419" s="38" t="n">
        <x:f>IF(AND(G4419="RECORDED",ISNUMBER(H4419)),H4419,"")</x:f>
        <x:v>0</x:v>
      </x:c>
      <x:c r="P4419" s="34" t="str">
        <x:v>NOT_REVEALING</x:v>
      </x:c>
      <x:c r="Q4419" s="34" t="str">
        <x:v>Feedback-Directed Random Test Generation/Result_Round2/Closure_84/result.json</x:v>
      </x:c>
    </x:row>
    <x:row r="4420">
      <x:c r="A4420" s="34" t="str">
        <x:v>randoop</x:v>
      </x:c>
      <x:c r="B4420" s="34" t="str">
        <x:v>Closure</x:v>
      </x:c>
      <x:c r="C4420" s="34" t="str">
        <x:v>Round2</x:v>
      </x:c>
      <x:c r="D4420" s="34" t="str">
        <x:v>Closure_85</x:v>
      </x:c>
      <x:c r="E4420" s="34" t="str">
        <x:v>Condition</x:v>
      </x:c>
      <x:c r="F4420" s="34" t="n">
        <x:v>56</x:v>
      </x:c>
      <x:c r="G4420" s="34" t="str">
        <x:v>RECORDED</x:v>
      </x:c>
      <x:c r="H4420" s="38" t="n">
        <x:f>IF(ISNUMBER('Data'!I1004),'Data'!I1004*100,"")</x:f>
        <x:v>1.79</x:v>
      </x:c>
      <x:c r="I4420" s="34" t="str">
        <x:v>PASS</x:v>
      </x:c>
      <x:c r="J4420" s="34" t="str">
        <x:v>PASS</x:v>
      </x:c>
      <x:c r="K4420" s="34" t="str">
        <x:v>PASS</x:v>
      </x:c>
      <x:c r="L4420" s="34" t="str">
        <x:v>PASS</x:v>
      </x:c>
      <x:c r="M4420" s="34" t="str">
        <x:v>numeric coverage for applicable metric</x:v>
      </x:c>
      <x:c r="N4420" s="34" t="str">
        <x:v>Feedback-Directed Random Test Generation/Result_Round2/Closure_85/result.json</x:v>
      </x:c>
      <x:c r="O4420" s="38" t="n">
        <x:f>IF(AND(G4420="RECORDED",ISNUMBER(H4420)),H4420,"")</x:f>
        <x:v>1.79</x:v>
      </x:c>
      <x:c r="P4420" s="34" t="str">
        <x:v>NOT_REVEALING</x:v>
      </x:c>
      <x:c r="Q4420" s="34" t="str">
        <x:v>Feedback-Directed Random Test Generation/Result_Round2/Closure_85/result.json</x:v>
      </x:c>
    </x:row>
    <x:row r="4421">
      <x:c r="A4421" s="34" t="str">
        <x:v>randoop</x:v>
      </x:c>
      <x:c r="B4421" s="34" t="str">
        <x:v>Closure</x:v>
      </x:c>
      <x:c r="C4421" s="34" t="str">
        <x:v>Round2</x:v>
      </x:c>
      <x:c r="D4421" s="34" t="str">
        <x:v>Closure_86</x:v>
      </x:c>
      <x:c r="E4421" s="34" t="str">
        <x:v>Condition</x:v>
      </x:c>
      <x:c r="F4421" s="34" t="n">
        <x:v>722</x:v>
      </x:c>
      <x:c r="G4421" s="34" t="str">
        <x:v>RECORDED</x:v>
      </x:c>
      <x:c r="H4421" s="38" t="n">
        <x:f>IF(ISNUMBER('Data'!I1005),'Data'!I1005*100,"")</x:f>
        <x:v>33.1</x:v>
      </x:c>
      <x:c r="I4421" s="34" t="str">
        <x:v>PASS</x:v>
      </x:c>
      <x:c r="J4421" s="34" t="str">
        <x:v>PASS</x:v>
      </x:c>
      <x:c r="K4421" s="34" t="str">
        <x:v>PASS</x:v>
      </x:c>
      <x:c r="L4421" s="34" t="str">
        <x:v>PASS</x:v>
      </x:c>
      <x:c r="M4421" s="34" t="str">
        <x:v>numeric coverage for applicable metric</x:v>
      </x:c>
      <x:c r="N4421" s="34" t="str">
        <x:v>Feedback-Directed Random Test Generation/Result_Round2/Closure_86/result.json</x:v>
      </x:c>
      <x:c r="O4421" s="38" t="n">
        <x:f>IF(AND(G4421="RECORDED",ISNUMBER(H4421)),H4421,"")</x:f>
        <x:v>33.1</x:v>
      </x:c>
      <x:c r="P4421" s="34" t="str">
        <x:v>NOT_REVEALING</x:v>
      </x:c>
      <x:c r="Q4421" s="34" t="str">
        <x:v>Feedback-Directed Random Test Generation/Result_Round2/Closure_86/result.json</x:v>
      </x:c>
    </x:row>
    <x:row r="4422">
      <x:c r="A4422" s="34" t="str">
        <x:v>randoop</x:v>
      </x:c>
      <x:c r="B4422" s="34" t="str">
        <x:v>Closure</x:v>
      </x:c>
      <x:c r="C4422" s="34" t="str">
        <x:v>Round2</x:v>
      </x:c>
      <x:c r="D4422" s="34" t="str">
        <x:v>Closure_87</x:v>
      </x:c>
      <x:c r="E4422" s="34" t="str">
        <x:v>Condition</x:v>
      </x:c>
      <x:c r="F4422" s="34" t="n">
        <x:v>309</x:v>
      </x:c>
      <x:c r="G4422" s="34" t="str">
        <x:v>RECORDED</x:v>
      </x:c>
      <x:c r="H4422" s="38" t="n">
        <x:f>IF(ISNUMBER('Data'!I1006),'Data'!I1006*100,"")</x:f>
        <x:v>0.32</x:v>
      </x:c>
      <x:c r="I4422" s="34" t="str">
        <x:v>PASS</x:v>
      </x:c>
      <x:c r="J4422" s="34" t="str">
        <x:v>PASS</x:v>
      </x:c>
      <x:c r="K4422" s="34" t="str">
        <x:v>PASS</x:v>
      </x:c>
      <x:c r="L4422" s="34" t="str">
        <x:v>PASS</x:v>
      </x:c>
      <x:c r="M4422" s="34" t="str">
        <x:v>numeric coverage for applicable metric</x:v>
      </x:c>
      <x:c r="N4422" s="34" t="str">
        <x:v>Feedback-Directed Random Test Generation/Result_Round2/Closure_87/result.json</x:v>
      </x:c>
      <x:c r="O4422" s="38" t="n">
        <x:f>IF(AND(G4422="RECORDED",ISNUMBER(H4422)),H4422,"")</x:f>
        <x:v>0.32</x:v>
      </x:c>
      <x:c r="P4422" s="34" t="str">
        <x:v>NOT_REVEALING</x:v>
      </x:c>
      <x:c r="Q4422" s="34" t="str">
        <x:v>Feedback-Directed Random Test Generation/Result_Round2/Closure_87/result.json</x:v>
      </x:c>
    </x:row>
    <x:row r="4423">
      <x:c r="A4423" s="34" t="str">
        <x:v>randoop</x:v>
      </x:c>
      <x:c r="B4423" s="34" t="str">
        <x:v>Closure</x:v>
      </x:c>
      <x:c r="C4423" s="34" t="str">
        <x:v>Round2</x:v>
      </x:c>
      <x:c r="D4423" s="34" t="str">
        <x:v>Closure_88</x:v>
      </x:c>
      <x:c r="E4423" s="34" t="str">
        <x:v>Condition</x:v>
      </x:c>
      <x:c r="F4423" s="34" t="n">
        <x:v>100</x:v>
      </x:c>
      <x:c r="G4423" s="34" t="str">
        <x:v>RECORDED</x:v>
      </x:c>
      <x:c r="H4423" s="38" t="n">
        <x:f>IF(ISNUMBER('Data'!I1007),'Data'!I1007*100,"")</x:f>
        <x:v>0</x:v>
      </x:c>
      <x:c r="I4423" s="34" t="str">
        <x:v>PASS</x:v>
      </x:c>
      <x:c r="J4423" s="34" t="str">
        <x:v>PASS</x:v>
      </x:c>
      <x:c r="K4423" s="34" t="str">
        <x:v>PASS</x:v>
      </x:c>
      <x:c r="L4423" s="34" t="str">
        <x:v>PASS</x:v>
      </x:c>
      <x:c r="M4423" s="34" t="str">
        <x:v>numeric coverage for applicable metric</x:v>
      </x:c>
      <x:c r="N4423" s="34" t="str">
        <x:v>Feedback-Directed Random Test Generation/Result_Round2/Closure_88/result.json</x:v>
      </x:c>
      <x:c r="O4423" s="38" t="n">
        <x:f>IF(AND(G4423="RECORDED",ISNUMBER(H4423)),H4423,"")</x:f>
        <x:v>0</x:v>
      </x:c>
      <x:c r="P4423" s="34" t="str">
        <x:v>NOT_REVEALING</x:v>
      </x:c>
      <x:c r="Q4423" s="34" t="str">
        <x:v>Feedback-Directed Random Test Generation/Result_Round2/Closure_88/result.json</x:v>
      </x:c>
    </x:row>
    <x:row r="4424">
      <x:c r="A4424" s="34" t="str">
        <x:v>randoop</x:v>
      </x:c>
      <x:c r="B4424" s="34" t="str">
        <x:v>Closure</x:v>
      </x:c>
      <x:c r="C4424" s="34" t="str">
        <x:v>Round2</x:v>
      </x:c>
      <x:c r="D4424" s="34" t="str">
        <x:v>Closure_89</x:v>
      </x:c>
      <x:c r="E4424" s="34" t="str">
        <x:v>Condition</x:v>
      </x:c>
      <x:c r="F4424" s="34" t="n">
        <x:v>521</x:v>
      </x:c>
      <x:c r="G4424" s="34" t="str">
        <x:v>RECORDED</x:v>
      </x:c>
      <x:c r="H4424" s="38" t="n">
        <x:f>IF(ISNUMBER('Data'!I1008),'Data'!I1008*100,"")</x:f>
        <x:v>11.71</x:v>
      </x:c>
      <x:c r="I4424" s="34" t="str">
        <x:v>PASS</x:v>
      </x:c>
      <x:c r="J4424" s="34" t="str">
        <x:v>PASS</x:v>
      </x:c>
      <x:c r="K4424" s="34" t="str">
        <x:v>PASS</x:v>
      </x:c>
      <x:c r="L4424" s="34" t="str">
        <x:v>PASS</x:v>
      </x:c>
      <x:c r="M4424" s="34" t="str">
        <x:v>numeric coverage for applicable metric</x:v>
      </x:c>
      <x:c r="N4424" s="34" t="str">
        <x:v>Feedback-Directed Random Test Generation/Result_Round2/Closure_89/result.json</x:v>
      </x:c>
      <x:c r="O4424" s="38" t="n">
        <x:f>IF(AND(G4424="RECORDED",ISNUMBER(H4424)),H4424,"")</x:f>
        <x:v>11.71</x:v>
      </x:c>
      <x:c r="P4424" s="34" t="str">
        <x:v>NOT_REVEALING</x:v>
      </x:c>
      <x:c r="Q4424" s="34" t="str">
        <x:v>Feedback-Directed Random Test Generation/Result_Round2/Closure_89/result.json</x:v>
      </x:c>
    </x:row>
    <x:row r="4425">
      <x:c r="A4425" s="34" t="str">
        <x:v>randoop</x:v>
      </x:c>
      <x:c r="B4425" s="34" t="str">
        <x:v>Closure</x:v>
      </x:c>
      <x:c r="C4425" s="34" t="str">
        <x:v>Round2</x:v>
      </x:c>
      <x:c r="D4425" s="34" t="str">
        <x:v>Closure_90</x:v>
      </x:c>
      <x:c r="E4425" s="34" t="str">
        <x:v>Condition</x:v>
      </x:c>
      <x:c r="F4425" s="34" t="n">
        <x:v>522</x:v>
      </x:c>
      <x:c r="G4425" s="34" t="str">
        <x:v>RECORDED</x:v>
      </x:c>
      <x:c r="H4425" s="38" t="n">
        <x:f>IF(ISNUMBER('Data'!I1009),'Data'!I1009*100,"")</x:f>
        <x:v>0</x:v>
      </x:c>
      <x:c r="I4425" s="34" t="str">
        <x:v>PASS</x:v>
      </x:c>
      <x:c r="J4425" s="34" t="str">
        <x:v>PASS</x:v>
      </x:c>
      <x:c r="K4425" s="34" t="str">
        <x:v>PASS</x:v>
      </x:c>
      <x:c r="L4425" s="34" t="str">
        <x:v>PASS</x:v>
      </x:c>
      <x:c r="M4425" s="34" t="str">
        <x:v>numeric coverage for applicable metric</x:v>
      </x:c>
      <x:c r="N4425" s="34" t="str">
        <x:v>Feedback-Directed Random Test Generation/Result_Round2/Closure_90/result.json</x:v>
      </x:c>
      <x:c r="O4425" s="38" t="n">
        <x:f>IF(AND(G4425="RECORDED",ISNUMBER(H4425)),H4425,"")</x:f>
        <x:v>0</x:v>
      </x:c>
      <x:c r="P4425" s="34" t="str">
        <x:v>NOT_REVEALING</x:v>
      </x:c>
      <x:c r="Q4425" s="34" t="str">
        <x:v>Feedback-Directed Random Test Generation/Result_Round2/Closure_90/result.json</x:v>
      </x:c>
    </x:row>
    <x:row r="4426">
      <x:c r="A4426" s="34" t="str">
        <x:v>randoop</x:v>
      </x:c>
      <x:c r="B4426" s="34" t="str">
        <x:v>Closure</x:v>
      </x:c>
      <x:c r="C4426" s="34" t="str">
        <x:v>Round2</x:v>
      </x:c>
      <x:c r="D4426" s="34" t="str">
        <x:v>Closure_91</x:v>
      </x:c>
      <x:c r="E4426" s="34" t="str">
        <x:v>Condition</x:v>
      </x:c>
      <x:c r="F4426" s="34" t="n">
        <x:v>66</x:v>
      </x:c>
      <x:c r="G4426" s="34" t="str">
        <x:v>RECORDED</x:v>
      </x:c>
      <x:c r="H4426" s="38" t="n">
        <x:f>IF(ISNUMBER('Data'!I1010),'Data'!I1010*100,"")</x:f>
        <x:v>0</x:v>
      </x:c>
      <x:c r="I4426" s="34" t="str">
        <x:v>PASS</x:v>
      </x:c>
      <x:c r="J4426" s="34" t="str">
        <x:v>PASS</x:v>
      </x:c>
      <x:c r="K4426" s="34" t="str">
        <x:v>PASS</x:v>
      </x:c>
      <x:c r="L4426" s="34" t="str">
        <x:v>PASS</x:v>
      </x:c>
      <x:c r="M4426" s="34" t="str">
        <x:v>numeric coverage for applicable metric</x:v>
      </x:c>
      <x:c r="N4426" s="34" t="str">
        <x:v>Feedback-Directed Random Test Generation/Result_Round2/Closure_91/result.json</x:v>
      </x:c>
      <x:c r="O4426" s="38" t="n">
        <x:f>IF(AND(G4426="RECORDED",ISNUMBER(H4426)),H4426,"")</x:f>
        <x:v>0</x:v>
      </x:c>
      <x:c r="P4426" s="34" t="str">
        <x:v>NOT_REVEALING</x:v>
      </x:c>
      <x:c r="Q4426" s="34" t="str">
        <x:v>Feedback-Directed Random Test Generation/Result_Round2/Closure_91/result.json</x:v>
      </x:c>
    </x:row>
    <x:row r="4427">
      <x:c r="A4427" s="34" t="str">
        <x:v>randoop</x:v>
      </x:c>
      <x:c r="B4427" s="34" t="str">
        <x:v>Closure</x:v>
      </x:c>
      <x:c r="C4427" s="34" t="str">
        <x:v>Round2</x:v>
      </x:c>
      <x:c r="D4427" s="34" t="str">
        <x:v>Closure_92</x:v>
      </x:c>
      <x:c r="E4427" s="34" t="str">
        <x:v>Condition</x:v>
      </x:c>
      <x:c r="F4427" s="34" t="n">
        <x:v>258</x:v>
      </x:c>
      <x:c r="G4427" s="34" t="str">
        <x:v>RECORDED</x:v>
      </x:c>
      <x:c r="H4427" s="38" t="n">
        <x:f>IF(ISNUMBER('Data'!I1011),'Data'!I1011*100,"")</x:f>
        <x:v>0</x:v>
      </x:c>
      <x:c r="I4427" s="34" t="str">
        <x:v>PASS</x:v>
      </x:c>
      <x:c r="J4427" s="34" t="str">
        <x:v>PASS</x:v>
      </x:c>
      <x:c r="K4427" s="34" t="str">
        <x:v>PASS</x:v>
      </x:c>
      <x:c r="L4427" s="34" t="str">
        <x:v>PASS</x:v>
      </x:c>
      <x:c r="M4427" s="34" t="str">
        <x:v>numeric coverage for applicable metric</x:v>
      </x:c>
      <x:c r="N4427" s="34" t="str">
        <x:v>Feedback-Directed Random Test Generation/Result_Round2/Closure_92/result.json</x:v>
      </x:c>
      <x:c r="O4427" s="38" t="n">
        <x:f>IF(AND(G4427="RECORDED",ISNUMBER(H4427)),H4427,"")</x:f>
        <x:v>0</x:v>
      </x:c>
      <x:c r="P4427" s="34" t="str">
        <x:v>NOT_REVEALING</x:v>
      </x:c>
      <x:c r="Q4427" s="34" t="str">
        <x:v>Feedback-Directed Random Test Generation/Result_Round2/Closure_92/result.json</x:v>
      </x:c>
    </x:row>
    <x:row r="4428">
      <x:c r="A4428" s="34" t="str">
        <x:v>randoop</x:v>
      </x:c>
      <x:c r="B4428" s="34" t="str">
        <x:v>Closure</x:v>
      </x:c>
      <x:c r="C4428" s="34" t="str">
        <x:v>Round2</x:v>
      </x:c>
      <x:c r="D4428" s="34" t="str">
        <x:v>Closure_94</x:v>
      </x:c>
      <x:c r="E4428" s="34" t="str">
        <x:v>Condition</x:v>
      </x:c>
      <x:c r="F4428" s="34" t="n">
        <x:v>657</x:v>
      </x:c>
      <x:c r="G4428" s="34" t="str">
        <x:v>RECORDED</x:v>
      </x:c>
      <x:c r="H4428" s="38" t="n">
        <x:f>IF(ISNUMBER('Data'!I1012),'Data'!I1012*100,"")</x:f>
        <x:v>35.46</x:v>
      </x:c>
      <x:c r="I4428" s="34" t="str">
        <x:v>PASS</x:v>
      </x:c>
      <x:c r="J4428" s="34" t="str">
        <x:v>PASS</x:v>
      </x:c>
      <x:c r="K4428" s="34" t="str">
        <x:v>PASS</x:v>
      </x:c>
      <x:c r="L4428" s="34" t="str">
        <x:v>FAIL</x:v>
      </x:c>
      <x:c r="M4428" s="34" t="str">
        <x:v>numeric coverage for applicable metric</x:v>
      </x:c>
      <x:c r="N4428" s="34" t="str">
        <x:v>Feedback-Directed Random Test Generation/Result_Round2/Closure_94/result.json</x:v>
      </x:c>
      <x:c r="O4428" s="38" t="n">
        <x:f>IF(AND(G4428="RECORDED",ISNUMBER(H4428)),H4428,"")</x:f>
        <x:v>35.46</x:v>
      </x:c>
      <x:c r="P4428" s="34" t="str">
        <x:v>INCONCLUSIVE</x:v>
      </x:c>
      <x:c r="Q4428" s="34" t="str">
        <x:v>Feedback-Directed Random Test Generation/Result_Round2/Closure_94/result.json</x:v>
      </x:c>
    </x:row>
    <x:row r="4429">
      <x:c r="A4429" s="34" t="str">
        <x:v>randoop</x:v>
      </x:c>
      <x:c r="B4429" s="34" t="str">
        <x:v>Closure</x:v>
      </x:c>
      <x:c r="C4429" s="34" t="str">
        <x:v>Round2</x:v>
      </x:c>
      <x:c r="D4429" s="34" t="str">
        <x:v>Closure_95</x:v>
      </x:c>
      <x:c r="E4429" s="34" t="str">
        <x:v>Condition</x:v>
      </x:c>
      <x:c r="F4429" s="34" t="n">
        <x:v>487</x:v>
      </x:c>
      <x:c r="G4429" s="34" t="str">
        <x:v>RECORDED</x:v>
      </x:c>
      <x:c r="H4429" s="38" t="n">
        <x:f>IF(ISNUMBER('Data'!I1013),'Data'!I1013*100,"")</x:f>
        <x:v>0</x:v>
      </x:c>
      <x:c r="I4429" s="34" t="str">
        <x:v>PASS</x:v>
      </x:c>
      <x:c r="J4429" s="34" t="str">
        <x:v>PASS</x:v>
      </x:c>
      <x:c r="K4429" s="34" t="str">
        <x:v>PASS</x:v>
      </x:c>
      <x:c r="L4429" s="34" t="str">
        <x:v>PASS</x:v>
      </x:c>
      <x:c r="M4429" s="34" t="str">
        <x:v>numeric coverage for applicable metric</x:v>
      </x:c>
      <x:c r="N4429" s="34" t="str">
        <x:v>Feedback-Directed Random Test Generation/Result_Round2/Closure_95/result.json</x:v>
      </x:c>
      <x:c r="O4429" s="38" t="n">
        <x:f>IF(AND(G4429="RECORDED",ISNUMBER(H4429)),H4429,"")</x:f>
        <x:v>0</x:v>
      </x:c>
      <x:c r="P4429" s="34" t="str">
        <x:v>NOT_REVEALING</x:v>
      </x:c>
      <x:c r="Q4429" s="34" t="str">
        <x:v>Feedback-Directed Random Test Generation/Result_Round2/Closure_95/result.json</x:v>
      </x:c>
    </x:row>
    <x:row r="4430">
      <x:c r="A4430" s="34" t="str">
        <x:v>randoop</x:v>
      </x:c>
      <x:c r="B4430" s="34" t="str">
        <x:v>Closure</x:v>
      </x:c>
      <x:c r="C4430" s="34" t="str">
        <x:v>Round2</x:v>
      </x:c>
      <x:c r="D4430" s="34" t="str">
        <x:v>Closure_96</x:v>
      </x:c>
      <x:c r="E4430" s="34" t="str">
        <x:v>Condition</x:v>
      </x:c>
      <x:c r="F4430" s="34" t="n">
        <x:v>428</x:v>
      </x:c>
      <x:c r="G4430" s="34" t="str">
        <x:v>RECORDED</x:v>
      </x:c>
      <x:c r="H4430" s="38" t="n">
        <x:f>IF(ISNUMBER('Data'!I1014),'Data'!I1014*100,"")</x:f>
        <x:v>0</x:v>
      </x:c>
      <x:c r="I4430" s="34" t="str">
        <x:v>PASS</x:v>
      </x:c>
      <x:c r="J4430" s="34" t="str">
        <x:v>PASS</x:v>
      </x:c>
      <x:c r="K4430" s="34" t="str">
        <x:v>PASS</x:v>
      </x:c>
      <x:c r="L4430" s="34" t="str">
        <x:v>PASS</x:v>
      </x:c>
      <x:c r="M4430" s="34" t="str">
        <x:v>numeric coverage for applicable metric</x:v>
      </x:c>
      <x:c r="N4430" s="34" t="str">
        <x:v>Feedback-Directed Random Test Generation/Result_Round2/Closure_96/result.json</x:v>
      </x:c>
      <x:c r="O4430" s="38" t="n">
        <x:f>IF(AND(G4430="RECORDED",ISNUMBER(H4430)),H4430,"")</x:f>
        <x:v>0</x:v>
      </x:c>
      <x:c r="P4430" s="34" t="str">
        <x:v>NOT_REVEALING</x:v>
      </x:c>
      <x:c r="Q4430" s="34" t="str">
        <x:v>Feedback-Directed Random Test Generation/Result_Round2/Closure_96/result.json</x:v>
      </x:c>
    </x:row>
    <x:row r="4431">
      <x:c r="A4431" s="34" t="str">
        <x:v>randoop</x:v>
      </x:c>
      <x:c r="B4431" s="34" t="str">
        <x:v>Closure</x:v>
      </x:c>
      <x:c r="C4431" s="34" t="str">
        <x:v>Round2</x:v>
      </x:c>
      <x:c r="D4431" s="34" t="str">
        <x:v>Closure_97</x:v>
      </x:c>
      <x:c r="E4431" s="34" t="str">
        <x:v>Condition</x:v>
      </x:c>
      <x:c r="F4431" s="34" t="n">
        <x:v>437</x:v>
      </x:c>
      <x:c r="G4431" s="34" t="str">
        <x:v>RECORDED</x:v>
      </x:c>
      <x:c r="H4431" s="38" t="n">
        <x:f>IF(ISNUMBER('Data'!I1015),'Data'!I1015*100,"")</x:f>
        <x:v>0</x:v>
      </x:c>
      <x:c r="I4431" s="34" t="str">
        <x:v>PASS</x:v>
      </x:c>
      <x:c r="J4431" s="34" t="str">
        <x:v>PASS</x:v>
      </x:c>
      <x:c r="K4431" s="34" t="str">
        <x:v>PASS</x:v>
      </x:c>
      <x:c r="L4431" s="34" t="str">
        <x:v>PASS</x:v>
      </x:c>
      <x:c r="M4431" s="34" t="str">
        <x:v>numeric coverage for applicable metric</x:v>
      </x:c>
      <x:c r="N4431" s="34" t="str">
        <x:v>Feedback-Directed Random Test Generation/Result_Round2/Closure_97/result.json</x:v>
      </x:c>
      <x:c r="O4431" s="38" t="n">
        <x:f>IF(AND(G4431="RECORDED",ISNUMBER(H4431)),H4431,"")</x:f>
        <x:v>0</x:v>
      </x:c>
      <x:c r="P4431" s="34" t="str">
        <x:v>NOT_REVEALING</x:v>
      </x:c>
      <x:c r="Q4431" s="34" t="str">
        <x:v>Feedback-Directed Random Test Generation/Result_Round2/Closure_97/result.json</x:v>
      </x:c>
    </x:row>
    <x:row r="4432">
      <x:c r="A4432" s="34" t="str">
        <x:v>randoop</x:v>
      </x:c>
      <x:c r="B4432" s="34" t="str">
        <x:v>Closure</x:v>
      </x:c>
      <x:c r="C4432" s="34" t="str">
        <x:v>Round2</x:v>
      </x:c>
      <x:c r="D4432" s="34" t="str">
        <x:v>Closure_98</x:v>
      </x:c>
      <x:c r="E4432" s="34" t="str">
        <x:v>Condition</x:v>
      </x:c>
      <x:c r="F4432" s="34" t="n">
        <x:v>127</x:v>
      </x:c>
      <x:c r="G4432" s="34" t="str">
        <x:v>RECORDED</x:v>
      </x:c>
      <x:c r="H4432" s="38" t="n">
        <x:f>IF(ISNUMBER('Data'!I1016),'Data'!I1016*100,"")</x:f>
        <x:v>11.81</x:v>
      </x:c>
      <x:c r="I4432" s="34" t="str">
        <x:v>PASS</x:v>
      </x:c>
      <x:c r="J4432" s="34" t="str">
        <x:v>PASS</x:v>
      </x:c>
      <x:c r="K4432" s="34" t="str">
        <x:v>PASS</x:v>
      </x:c>
      <x:c r="L4432" s="34" t="str">
        <x:v>PASS</x:v>
      </x:c>
      <x:c r="M4432" s="34" t="str">
        <x:v>numeric coverage for applicable metric</x:v>
      </x:c>
      <x:c r="N4432" s="34" t="str">
        <x:v>Feedback-Directed Random Test Generation/Result_Round2/Closure_98/result.json</x:v>
      </x:c>
      <x:c r="O4432" s="38" t="n">
        <x:f>IF(AND(G4432="RECORDED",ISNUMBER(H4432)),H4432,"")</x:f>
        <x:v>11.81</x:v>
      </x:c>
      <x:c r="P4432" s="34" t="str">
        <x:v>NOT_REVEALING</x:v>
      </x:c>
      <x:c r="Q4432" s="34" t="str">
        <x:v>Feedback-Directed Random Test Generation/Result_Round2/Closure_98/result.json</x:v>
      </x:c>
    </x:row>
    <x:row r="4433">
      <x:c r="A4433" s="34" t="str">
        <x:v>randoop</x:v>
      </x:c>
      <x:c r="B4433" s="34" t="str">
        <x:v>Closure</x:v>
      </x:c>
      <x:c r="C4433" s="34" t="str">
        <x:v>Round2</x:v>
      </x:c>
      <x:c r="D4433" s="34" t="str">
        <x:v>Closure_99</x:v>
      </x:c>
      <x:c r="E4433" s="34" t="str">
        <x:v>Condition</x:v>
      </x:c>
      <x:c r="F4433" s="34" t="n">
        <x:v>58</x:v>
      </x:c>
      <x:c r="G4433" s="34" t="str">
        <x:v>RECORDED</x:v>
      </x:c>
      <x:c r="H4433" s="38" t="n">
        <x:f>IF(ISNUMBER('Data'!I1017),'Data'!I1017*100,"")</x:f>
        <x:v>0</x:v>
      </x:c>
      <x:c r="I4433" s="34" t="str">
        <x:v>PASS</x:v>
      </x:c>
      <x:c r="J4433" s="34" t="str">
        <x:v>PASS</x:v>
      </x:c>
      <x:c r="K4433" s="34" t="str">
        <x:v>PASS</x:v>
      </x:c>
      <x:c r="L4433" s="34" t="str">
        <x:v>PASS</x:v>
      </x:c>
      <x:c r="M4433" s="34" t="str">
        <x:v>numeric coverage for applicable metric</x:v>
      </x:c>
      <x:c r="N4433" s="34" t="str">
        <x:v>Feedback-Directed Random Test Generation/Result_Round2/Closure_99/result.json</x:v>
      </x:c>
      <x:c r="O4433" s="38" t="n">
        <x:f>IF(AND(G4433="RECORDED",ISNUMBER(H4433)),H4433,"")</x:f>
        <x:v>0</x:v>
      </x:c>
      <x:c r="P4433" s="34" t="str">
        <x:v>NOT_REVEALING</x:v>
      </x:c>
      <x:c r="Q4433" s="34" t="str">
        <x:v>Feedback-Directed Random Test Generation/Result_Round2/Closure_99/result.json</x:v>
      </x:c>
    </x:row>
    <x:row r="4434">
      <x:c r="A4434" s="34" t="str">
        <x:v>randoop</x:v>
      </x:c>
      <x:c r="B4434" s="34" t="str">
        <x:v>Closure</x:v>
      </x:c>
      <x:c r="C4434" s="34" t="str">
        <x:v>Round2</x:v>
      </x:c>
      <x:c r="D4434" s="34" t="str">
        <x:v>Closure_100</x:v>
      </x:c>
      <x:c r="E4434" s="34" t="str">
        <x:v>Condition</x:v>
      </x:c>
      <x:c r="F4434" s="34" t="n">
        <x:v>44</x:v>
      </x:c>
      <x:c r="G4434" s="34" t="str">
        <x:v>RECORDED</x:v>
      </x:c>
      <x:c r="H4434" s="38" t="n">
        <x:f>IF(ISNUMBER('Data'!I1018),'Data'!I1018*100,"")</x:f>
        <x:v>0</x:v>
      </x:c>
      <x:c r="I4434" s="34" t="str">
        <x:v>PASS</x:v>
      </x:c>
      <x:c r="J4434" s="34" t="str">
        <x:v>PASS</x:v>
      </x:c>
      <x:c r="K4434" s="34" t="str">
        <x:v>PASS</x:v>
      </x:c>
      <x:c r="L4434" s="34" t="str">
        <x:v>PASS</x:v>
      </x:c>
      <x:c r="M4434" s="34" t="str">
        <x:v>numeric coverage for applicable metric</x:v>
      </x:c>
      <x:c r="N4434" s="34" t="str">
        <x:v>Feedback-Directed Random Test Generation/Result_Round2/Closure_100/result.json</x:v>
      </x:c>
      <x:c r="O4434" s="38" t="n">
        <x:f>IF(AND(G4434="RECORDED",ISNUMBER(H4434)),H4434,"")</x:f>
        <x:v>0</x:v>
      </x:c>
      <x:c r="P4434" s="34" t="str">
        <x:v>NOT_REVEALING</x:v>
      </x:c>
      <x:c r="Q4434" s="34" t="str">
        <x:v>Feedback-Directed Random Test Generation/Result_Round2/Closure_100/result.json</x:v>
      </x:c>
    </x:row>
    <x:row r="4435">
      <x:c r="A4435" s="34" t="str">
        <x:v>randoop</x:v>
      </x:c>
      <x:c r="B4435" s="34" t="str">
        <x:v>Closure</x:v>
      </x:c>
      <x:c r="C4435" s="34" t="str">
        <x:v>Round2</x:v>
      </x:c>
      <x:c r="D4435" s="34" t="str">
        <x:v>Closure_101</x:v>
      </x:c>
      <x:c r="E4435" s="34" t="str">
        <x:v>Condition</x:v>
      </x:c>
      <x:c r="F4435" s="34" t="n">
        <x:v>0</x:v>
      </x:c>
      <x:c r="G4435" s="34" t="str">
        <x:v>A</x:v>
      </x:c>
      <x:c r="H4435" s="38" t="str">
        <x:f>IF(ISNUMBER('Data'!I1019),'Data'!I1019*100,"")</x:f>
      </x:c>
      <x:c r="I4435" s="34"/>
      <x:c r="J4435" s="34"/>
      <x:c r="K4435" s="34"/>
      <x:c r="L4435" s="34" t="str">
        <x:v>NOT_RUN</x:v>
      </x:c>
      <x:c r="M4435" s="34" t="str">
        <x:v>Latest same-round generation failed; older files/results are excluded</x:v>
      </x:c>
      <x:c r="N4435" s="34" t="str">
        <x:v>Feedback-Directed Random Test Generation/report_Round2.csv</x:v>
      </x:c>
      <x:c r="O4435" s="38" t="str">
        <x:f>IF(AND(G4435="RECORDED",ISNUMBER(H4435)),H4435,"")</x:f>
      </x:c>
      <x:c r="P4435" s="34" t="str">
        <x:v>FAIL</x:v>
      </x:c>
      <x:c r="Q4435" s="34"/>
    </x:row>
    <x:row r="4436">
      <x:c r="A4436" s="34" t="str">
        <x:v>randoop</x:v>
      </x:c>
      <x:c r="B4436" s="34" t="str">
        <x:v>Closure</x:v>
      </x:c>
      <x:c r="C4436" s="34" t="str">
        <x:v>Round2</x:v>
      </x:c>
      <x:c r="D4436" s="34" t="str">
        <x:v>Closure_102</x:v>
      </x:c>
      <x:c r="E4436" s="34" t="str">
        <x:v>Condition</x:v>
      </x:c>
      <x:c r="F4436" s="34" t="n">
        <x:v>109</x:v>
      </x:c>
      <x:c r="G4436" s="34" t="str">
        <x:v>RECORDED</x:v>
      </x:c>
      <x:c r="H4436" s="38" t="n">
        <x:f>IF(ISNUMBER('Data'!I1020),'Data'!I1020*100,"")</x:f>
        <x:v>0</x:v>
      </x:c>
      <x:c r="I4436" s="34" t="str">
        <x:v>PASS</x:v>
      </x:c>
      <x:c r="J4436" s="34" t="str">
        <x:v>PASS</x:v>
      </x:c>
      <x:c r="K4436" s="34" t="str">
        <x:v>PASS</x:v>
      </x:c>
      <x:c r="L4436" s="34" t="str">
        <x:v>PASS</x:v>
      </x:c>
      <x:c r="M4436" s="34" t="str">
        <x:v>numeric coverage for applicable metric</x:v>
      </x:c>
      <x:c r="N4436" s="34" t="str">
        <x:v>Feedback-Directed Random Test Generation/Result_Round2/Closure_102/result.json</x:v>
      </x:c>
      <x:c r="O4436" s="38" t="n">
        <x:f>IF(AND(G4436="RECORDED",ISNUMBER(H4436)),H4436,"")</x:f>
        <x:v>0</x:v>
      </x:c>
      <x:c r="P4436" s="34" t="str">
        <x:v>NOT_REVEALING</x:v>
      </x:c>
      <x:c r="Q4436" s="34" t="str">
        <x:v>Feedback-Directed Random Test Generation/Result_Round2/Closure_102/result.json</x:v>
      </x:c>
    </x:row>
    <x:row r="4437">
      <x:c r="A4437" s="34" t="str">
        <x:v>randoop</x:v>
      </x:c>
      <x:c r="B4437" s="34" t="str">
        <x:v>Closure</x:v>
      </x:c>
      <x:c r="C4437" s="34" t="str">
        <x:v>Round2</x:v>
      </x:c>
      <x:c r="D4437" s="34" t="str">
        <x:v>Closure_103</x:v>
      </x:c>
      <x:c r="E4437" s="34" t="str">
        <x:v>Condition</x:v>
      </x:c>
      <x:c r="F4437" s="34" t="n">
        <x:v>516</x:v>
      </x:c>
      <x:c r="G4437" s="34" t="str">
        <x:v>RECORDED</x:v>
      </x:c>
      <x:c r="H4437" s="38" t="n">
        <x:f>IF(ISNUMBER('Data'!I1021),'Data'!I1021*100,"")</x:f>
        <x:v>0</x:v>
      </x:c>
      <x:c r="I4437" s="34" t="str">
        <x:v>PASS</x:v>
      </x:c>
      <x:c r="J4437" s="34" t="str">
        <x:v>PASS</x:v>
      </x:c>
      <x:c r="K4437" s="34" t="str">
        <x:v>PASS</x:v>
      </x:c>
      <x:c r="L4437" s="34" t="str">
        <x:v>PASS</x:v>
      </x:c>
      <x:c r="M4437" s="34" t="str">
        <x:v>numeric coverage for applicable metric</x:v>
      </x:c>
      <x:c r="N4437" s="34" t="str">
        <x:v>Feedback-Directed Random Test Generation/Result_Round2/Closure_103/result.json</x:v>
      </x:c>
      <x:c r="O4437" s="38" t="n">
        <x:f>IF(AND(G4437="RECORDED",ISNUMBER(H4437)),H4437,"")</x:f>
        <x:v>0</x:v>
      </x:c>
      <x:c r="P4437" s="34" t="str">
        <x:v>NOT_REVEALING</x:v>
      </x:c>
      <x:c r="Q4437" s="34" t="str">
        <x:v>Feedback-Directed Random Test Generation/Result_Round2/Closure_103/result.json</x:v>
      </x:c>
    </x:row>
    <x:row r="4438">
      <x:c r="A4438" s="34" t="str">
        <x:v>randoop</x:v>
      </x:c>
      <x:c r="B4438" s="34" t="str">
        <x:v>Closure</x:v>
      </x:c>
      <x:c r="C4438" s="34" t="str">
        <x:v>Round2</x:v>
      </x:c>
      <x:c r="D4438" s="34" t="str">
        <x:v>Closure_104</x:v>
      </x:c>
      <x:c r="E4438" s="34" t="str">
        <x:v>Condition</x:v>
      </x:c>
      <x:c r="F4438" s="34" t="n">
        <x:v>124</x:v>
      </x:c>
      <x:c r="G4438" s="34" t="str">
        <x:v>RECORDED</x:v>
      </x:c>
      <x:c r="H4438" s="38" t="n">
        <x:f>IF(ISNUMBER('Data'!I1022),'Data'!I1022*100,"")</x:f>
        <x:v>49.19</x:v>
      </x:c>
      <x:c r="I4438" s="34" t="str">
        <x:v>PASS</x:v>
      </x:c>
      <x:c r="J4438" s="34" t="str">
        <x:v>PASS</x:v>
      </x:c>
      <x:c r="K4438" s="34" t="str">
        <x:v>PASS</x:v>
      </x:c>
      <x:c r="L4438" s="34" t="str">
        <x:v>PASS</x:v>
      </x:c>
      <x:c r="M4438" s="34" t="str">
        <x:v>numeric coverage for applicable metric</x:v>
      </x:c>
      <x:c r="N4438" s="34" t="str">
        <x:v>Feedback-Directed Random Test Generation/Result_Round2/Closure_104/result.json</x:v>
      </x:c>
      <x:c r="O4438" s="38" t="n">
        <x:f>IF(AND(G4438="RECORDED",ISNUMBER(H4438)),H4438,"")</x:f>
        <x:v>49.19</x:v>
      </x:c>
      <x:c r="P4438" s="34" t="str">
        <x:v>NOT_REVEALING</x:v>
      </x:c>
      <x:c r="Q4438" s="34" t="str">
        <x:v>Feedback-Directed Random Test Generation/Result_Round2/Closure_104/result.json</x:v>
      </x:c>
    </x:row>
    <x:row r="4439">
      <x:c r="A4439" s="34" t="str">
        <x:v>randoop</x:v>
      </x:c>
      <x:c r="B4439" s="34" t="str">
        <x:v>Closure</x:v>
      </x:c>
      <x:c r="C4439" s="34" t="str">
        <x:v>Round2</x:v>
      </x:c>
      <x:c r="D4439" s="34" t="str">
        <x:v>Closure_105</x:v>
      </x:c>
      <x:c r="E4439" s="34" t="str">
        <x:v>Condition</x:v>
      </x:c>
      <x:c r="F4439" s="34" t="n">
        <x:v>739</x:v>
      </x:c>
      <x:c r="G4439" s="34" t="str">
        <x:v>RECORDED</x:v>
      </x:c>
      <x:c r="H4439" s="38" t="n">
        <x:f>IF(ISNUMBER('Data'!I1023),'Data'!I1023*100,"")</x:f>
        <x:v>0</x:v>
      </x:c>
      <x:c r="I4439" s="34" t="str">
        <x:v>PASS</x:v>
      </x:c>
      <x:c r="J4439" s="34" t="str">
        <x:v>PASS</x:v>
      </x:c>
      <x:c r="K4439" s="34" t="str">
        <x:v>PASS</x:v>
      </x:c>
      <x:c r="L4439" s="34" t="str">
        <x:v>PASS</x:v>
      </x:c>
      <x:c r="M4439" s="34" t="str">
        <x:v>numeric coverage for applicable metric</x:v>
      </x:c>
      <x:c r="N4439" s="34" t="str">
        <x:v>Feedback-Directed Random Test Generation/Result_Round2/Closure_105/result.json</x:v>
      </x:c>
      <x:c r="O4439" s="38" t="n">
        <x:f>IF(AND(G4439="RECORDED",ISNUMBER(H4439)),H4439,"")</x:f>
        <x:v>0</x:v>
      </x:c>
      <x:c r="P4439" s="34" t="str">
        <x:v>NOT_REVEALING</x:v>
      </x:c>
      <x:c r="Q4439" s="34" t="str">
        <x:v>Feedback-Directed Random Test Generation/Result_Round2/Closure_105/result.json</x:v>
      </x:c>
    </x:row>
    <x:row r="4440">
      <x:c r="A4440" s="34" t="str">
        <x:v>randoop</x:v>
      </x:c>
      <x:c r="B4440" s="34" t="str">
        <x:v>Closure</x:v>
      </x:c>
      <x:c r="C4440" s="34" t="str">
        <x:v>Round2</x:v>
      </x:c>
      <x:c r="D4440" s="34" t="str">
        <x:v>Closure_106</x:v>
      </x:c>
      <x:c r="E4440" s="34" t="str">
        <x:v>Condition</x:v>
      </x:c>
      <x:c r="F4440" s="34" t="n">
        <x:v>435</x:v>
      </x:c>
      <x:c r="G4440" s="34" t="str">
        <x:v>RECORDED</x:v>
      </x:c>
      <x:c r="H4440" s="38" t="n">
        <x:f>IF(ISNUMBER('Data'!I1024),'Data'!I1024*100,"")</x:f>
        <x:v>28.74</x:v>
      </x:c>
      <x:c r="I4440" s="34" t="str">
        <x:v>PASS</x:v>
      </x:c>
      <x:c r="J4440" s="34" t="str">
        <x:v>PASS</x:v>
      </x:c>
      <x:c r="K4440" s="34" t="str">
        <x:v>PASS</x:v>
      </x:c>
      <x:c r="L4440" s="34" t="str">
        <x:v>PASS</x:v>
      </x:c>
      <x:c r="M4440" s="34" t="str">
        <x:v>numeric coverage for applicable metric</x:v>
      </x:c>
      <x:c r="N4440" s="34" t="str">
        <x:v>Feedback-Directed Random Test Generation/Result_Round2/Closure_106/result.json</x:v>
      </x:c>
      <x:c r="O4440" s="38" t="n">
        <x:f>IF(AND(G4440="RECORDED",ISNUMBER(H4440)),H4440,"")</x:f>
        <x:v>28.74</x:v>
      </x:c>
      <x:c r="P4440" s="34" t="str">
        <x:v>INCONCLUSIVE</x:v>
      </x:c>
      <x:c r="Q4440" s="34" t="str">
        <x:v>Feedback-Directed Random Test Generation/Result_Round2/Closure_106/result.json</x:v>
      </x:c>
    </x:row>
    <x:row r="4441">
      <x:c r="A4441" s="34" t="str">
        <x:v>randoop</x:v>
      </x:c>
      <x:c r="B4441" s="34" t="str">
        <x:v>Closure</x:v>
      </x:c>
      <x:c r="C4441" s="34" t="str">
        <x:v>Round2</x:v>
      </x:c>
      <x:c r="D4441" s="34" t="str">
        <x:v>Closure_107</x:v>
      </x:c>
      <x:c r="E4441" s="34" t="str">
        <x:v>Condition</x:v>
      </x:c>
      <x:c r="F4441" s="34" t="n">
        <x:v>0</x:v>
      </x:c>
      <x:c r="G4441" s="34" t="str">
        <x:v>A</x:v>
      </x:c>
      <x:c r="H4441" s="38" t="str">
        <x:f>IF(ISNUMBER('Data'!I1025),'Data'!I1025*100,"")</x:f>
      </x:c>
      <x:c r="I4441" s="34"/>
      <x:c r="J4441" s="34"/>
      <x:c r="K4441" s="34"/>
      <x:c r="L4441" s="34" t="str">
        <x:v>NOT_RUN</x:v>
      </x:c>
      <x:c r="M4441" s="34" t="str">
        <x:v>Latest same-round generation failed; older files/results are excluded</x:v>
      </x:c>
      <x:c r="N4441" s="34" t="str">
        <x:v>Feedback-Directed Random Test Generation/report_Round2.csv</x:v>
      </x:c>
      <x:c r="O4441" s="38" t="str">
        <x:f>IF(AND(G4441="RECORDED",ISNUMBER(H4441)),H4441,"")</x:f>
      </x:c>
      <x:c r="P4441" s="34" t="str">
        <x:v>FAIL</x:v>
      </x:c>
      <x:c r="Q4441" s="34"/>
    </x:row>
    <x:row r="4442">
      <x:c r="A4442" s="34" t="str">
        <x:v>randoop</x:v>
      </x:c>
      <x:c r="B4442" s="34" t="str">
        <x:v>Closure</x:v>
      </x:c>
      <x:c r="C4442" s="34" t="str">
        <x:v>Round2</x:v>
      </x:c>
      <x:c r="D4442" s="34" t="str">
        <x:v>Closure_108</x:v>
      </x:c>
      <x:c r="E4442" s="34" t="str">
        <x:v>Condition</x:v>
      </x:c>
      <x:c r="F4442" s="34" t="n">
        <x:v>150</x:v>
      </x:c>
      <x:c r="G4442" s="34" t="str">
        <x:v>RECORDED</x:v>
      </x:c>
      <x:c r="H4442" s="38" t="n">
        <x:f>IF(ISNUMBER('Data'!I1026),'Data'!I1026*100,"")</x:f>
        <x:v>0</x:v>
      </x:c>
      <x:c r="I4442" s="34" t="str">
        <x:v>PASS</x:v>
      </x:c>
      <x:c r="J4442" s="34" t="str">
        <x:v>PASS</x:v>
      </x:c>
      <x:c r="K4442" s="34" t="str">
        <x:v>PASS</x:v>
      </x:c>
      <x:c r="L4442" s="34" t="str">
        <x:v>PASS</x:v>
      </x:c>
      <x:c r="M4442" s="34" t="str">
        <x:v>numeric coverage for applicable metric</x:v>
      </x:c>
      <x:c r="N4442" s="34" t="str">
        <x:v>Feedback-Directed Random Test Generation/Result_Round2/Closure_108/result.json</x:v>
      </x:c>
      <x:c r="O4442" s="38" t="n">
        <x:f>IF(AND(G4442="RECORDED",ISNUMBER(H4442)),H4442,"")</x:f>
        <x:v>0</x:v>
      </x:c>
      <x:c r="P4442" s="34" t="str">
        <x:v>NOT_REVEALING</x:v>
      </x:c>
      <x:c r="Q4442" s="34" t="str">
        <x:v>Feedback-Directed Random Test Generation/Result_Round2/Closure_108/result.json</x:v>
      </x:c>
    </x:row>
    <x:row r="4443">
      <x:c r="A4443" s="34" t="str">
        <x:v>randoop</x:v>
      </x:c>
      <x:c r="B4443" s="34" t="str">
        <x:v>Closure</x:v>
      </x:c>
      <x:c r="C4443" s="34" t="str">
        <x:v>Round2</x:v>
      </x:c>
      <x:c r="D4443" s="34" t="str">
        <x:v>Closure_109</x:v>
      </x:c>
      <x:c r="E4443" s="34" t="str">
        <x:v>Condition</x:v>
      </x:c>
      <x:c r="F4443" s="34" t="n">
        <x:v>707</x:v>
      </x:c>
      <x:c r="G4443" s="34" t="str">
        <x:v>RECORDED</x:v>
      </x:c>
      <x:c r="H4443" s="38" t="n">
        <x:f>IF(ISNUMBER('Data'!I1027),'Data'!I1027*100,"")</x:f>
        <x:v>4.38</x:v>
      </x:c>
      <x:c r="I4443" s="34" t="str">
        <x:v>PASS</x:v>
      </x:c>
      <x:c r="J4443" s="34" t="str">
        <x:v>PASS</x:v>
      </x:c>
      <x:c r="K4443" s="34" t="str">
        <x:v>PASS</x:v>
      </x:c>
      <x:c r="L4443" s="34" t="str">
        <x:v>PASS</x:v>
      </x:c>
      <x:c r="M4443" s="34" t="str">
        <x:v>numeric coverage for applicable metric</x:v>
      </x:c>
      <x:c r="N4443" s="34" t="str">
        <x:v>Feedback-Directed Random Test Generation/Result_Round2/Closure_109/result.json</x:v>
      </x:c>
      <x:c r="O4443" s="38" t="n">
        <x:f>IF(AND(G4443="RECORDED",ISNUMBER(H4443)),H4443,"")</x:f>
        <x:v>4.38</x:v>
      </x:c>
      <x:c r="P4443" s="34" t="str">
        <x:v>NOT_REVEALING</x:v>
      </x:c>
      <x:c r="Q4443" s="34" t="str">
        <x:v>Feedback-Directed Random Test Generation/Result_Round2/Closure_109/result.json</x:v>
      </x:c>
    </x:row>
    <x:row r="4444">
      <x:c r="A4444" s="34" t="str">
        <x:v>randoop</x:v>
      </x:c>
      <x:c r="B4444" s="34" t="str">
        <x:v>Closure</x:v>
      </x:c>
      <x:c r="C4444" s="34" t="str">
        <x:v>Round2</x:v>
      </x:c>
      <x:c r="D4444" s="34" t="str">
        <x:v>Closure_110</x:v>
      </x:c>
      <x:c r="E4444" s="34" t="str">
        <x:v>Condition</x:v>
      </x:c>
      <x:c r="F4444" s="34" t="n">
        <x:v>697</x:v>
      </x:c>
      <x:c r="G4444" s="34" t="str">
        <x:v>RECORDED</x:v>
      </x:c>
      <x:c r="H4444" s="38" t="n">
        <x:f>IF(ISNUMBER('Data'!I1028),'Data'!I1028*100,"")</x:f>
        <x:v>45.05</x:v>
      </x:c>
      <x:c r="I4444" s="34" t="str">
        <x:v>PASS</x:v>
      </x:c>
      <x:c r="J4444" s="34" t="str">
        <x:v>PASS</x:v>
      </x:c>
      <x:c r="K4444" s="34" t="str">
        <x:v>PASS</x:v>
      </x:c>
      <x:c r="L4444" s="34" t="str">
        <x:v>FAIL</x:v>
      </x:c>
      <x:c r="M4444" s="34" t="str">
        <x:v>numeric coverage for applicable metric</x:v>
      </x:c>
      <x:c r="N4444" s="34" t="str">
        <x:v>Feedback-Directed Random Test Generation/Result_Round2/Closure_110/result.json</x:v>
      </x:c>
      <x:c r="O4444" s="38" t="n">
        <x:f>IF(AND(G4444="RECORDED",ISNUMBER(H4444)),H4444,"")</x:f>
        <x:v>45.05</x:v>
      </x:c>
      <x:c r="P4444" s="34" t="str">
        <x:v>INCONCLUSIVE</x:v>
      </x:c>
      <x:c r="Q4444" s="34" t="str">
        <x:v>Feedback-Directed Random Test Generation/Result_Round2/Closure_110/result.json</x:v>
      </x:c>
    </x:row>
    <x:row r="4445">
      <x:c r="A4445" s="34" t="str">
        <x:v>randoop</x:v>
      </x:c>
      <x:c r="B4445" s="34" t="str">
        <x:v>Closure</x:v>
      </x:c>
      <x:c r="C4445" s="34" t="str">
        <x:v>Round2</x:v>
      </x:c>
      <x:c r="D4445" s="34" t="str">
        <x:v>Closure_111</x:v>
      </x:c>
      <x:c r="E4445" s="34" t="str">
        <x:v>Condition</x:v>
      </x:c>
      <x:c r="F4445" s="34" t="n">
        <x:v>46</x:v>
      </x:c>
      <x:c r="G4445" s="34" t="str">
        <x:v>RECORDED</x:v>
      </x:c>
      <x:c r="H4445" s="38" t="n">
        <x:f>IF(ISNUMBER('Data'!I1029),'Data'!I1029*100,"")</x:f>
        <x:v>0</x:v>
      </x:c>
      <x:c r="I4445" s="34" t="str">
        <x:v>PASS</x:v>
      </x:c>
      <x:c r="J4445" s="34" t="str">
        <x:v>PASS</x:v>
      </x:c>
      <x:c r="K4445" s="34" t="str">
        <x:v>PASS</x:v>
      </x:c>
      <x:c r="L4445" s="34" t="str">
        <x:v>PASS</x:v>
      </x:c>
      <x:c r="M4445" s="34" t="str">
        <x:v>numeric coverage for applicable metric</x:v>
      </x:c>
      <x:c r="N4445" s="34" t="str">
        <x:v>Feedback-Directed Random Test Generation/Result_Round2/Closure_111/result.json</x:v>
      </x:c>
      <x:c r="O4445" s="38" t="n">
        <x:f>IF(AND(G4445="RECORDED",ISNUMBER(H4445)),H4445,"")</x:f>
        <x:v>0</x:v>
      </x:c>
      <x:c r="P4445" s="34" t="str">
        <x:v>NOT_REVEALING</x:v>
      </x:c>
      <x:c r="Q4445" s="34" t="str">
        <x:v>Feedback-Directed Random Test Generation/Result_Round2/Closure_111/result.json</x:v>
      </x:c>
    </x:row>
    <x:row r="4446">
      <x:c r="A4446" s="34" t="str">
        <x:v>randoop</x:v>
      </x:c>
      <x:c r="B4446" s="34" t="str">
        <x:v>Closure</x:v>
      </x:c>
      <x:c r="C4446" s="34" t="str">
        <x:v>Round2</x:v>
      </x:c>
      <x:c r="D4446" s="34" t="str">
        <x:v>Closure_112</x:v>
      </x:c>
      <x:c r="E4446" s="34" t="str">
        <x:v>Condition</x:v>
      </x:c>
      <x:c r="F4446" s="34" t="n">
        <x:v>465</x:v>
      </x:c>
      <x:c r="G4446" s="34" t="str">
        <x:v>RECORDED</x:v>
      </x:c>
      <x:c r="H4446" s="38" t="n">
        <x:f>IF(ISNUMBER('Data'!I1030),'Data'!I1030*100,"")</x:f>
        <x:v>0.43</x:v>
      </x:c>
      <x:c r="I4446" s="34" t="str">
        <x:v>PASS</x:v>
      </x:c>
      <x:c r="J4446" s="34" t="str">
        <x:v>PASS</x:v>
      </x:c>
      <x:c r="K4446" s="34" t="str">
        <x:v>PASS</x:v>
      </x:c>
      <x:c r="L4446" s="34" t="str">
        <x:v>PASS</x:v>
      </x:c>
      <x:c r="M4446" s="34" t="str">
        <x:v>numeric coverage for applicable metric</x:v>
      </x:c>
      <x:c r="N4446" s="34" t="str">
        <x:v>Feedback-Directed Random Test Generation/Result_Round2/Closure_112/result.json</x:v>
      </x:c>
      <x:c r="O4446" s="38" t="n">
        <x:f>IF(AND(G4446="RECORDED",ISNUMBER(H4446)),H4446,"")</x:f>
        <x:v>0.43</x:v>
      </x:c>
      <x:c r="P4446" s="34" t="str">
        <x:v>NOT_REVEALING</x:v>
      </x:c>
      <x:c r="Q4446" s="34" t="str">
        <x:v>Feedback-Directed Random Test Generation/Result_Round2/Closure_112/result.json</x:v>
      </x:c>
    </x:row>
    <x:row r="4447">
      <x:c r="A4447" s="34" t="str">
        <x:v>randoop</x:v>
      </x:c>
      <x:c r="B4447" s="34" t="str">
        <x:v>Closure</x:v>
      </x:c>
      <x:c r="C4447" s="34" t="str">
        <x:v>Round2</x:v>
      </x:c>
      <x:c r="D4447" s="34" t="str">
        <x:v>Closure_113</x:v>
      </x:c>
      <x:c r="E4447" s="34" t="str">
        <x:v>Condition</x:v>
      </x:c>
      <x:c r="F4447" s="34" t="n">
        <x:v>324</x:v>
      </x:c>
      <x:c r="G4447" s="34" t="str">
        <x:v>RECORDED</x:v>
      </x:c>
      <x:c r="H4447" s="38" t="n">
        <x:f>IF(ISNUMBER('Data'!I1031),'Data'!I1031*100,"")</x:f>
        <x:v>0</x:v>
      </x:c>
      <x:c r="I4447" s="34" t="str">
        <x:v>PASS</x:v>
      </x:c>
      <x:c r="J4447" s="34" t="str">
        <x:v>PASS</x:v>
      </x:c>
      <x:c r="K4447" s="34" t="str">
        <x:v>PASS</x:v>
      </x:c>
      <x:c r="L4447" s="34" t="str">
        <x:v>PASS</x:v>
      </x:c>
      <x:c r="M4447" s="34" t="str">
        <x:v>numeric coverage for applicable metric</x:v>
      </x:c>
      <x:c r="N4447" s="34" t="str">
        <x:v>Feedback-Directed Random Test Generation/Result_Round2/Closure_113/result.json</x:v>
      </x:c>
      <x:c r="O4447" s="38" t="n">
        <x:f>IF(AND(G4447="RECORDED",ISNUMBER(H4447)),H4447,"")</x:f>
        <x:v>0</x:v>
      </x:c>
      <x:c r="P4447" s="34" t="str">
        <x:v>NOT_REVEALING</x:v>
      </x:c>
      <x:c r="Q4447" s="34" t="str">
        <x:v>Feedback-Directed Random Test Generation/Result_Round2/Closure_113/result.json</x:v>
      </x:c>
    </x:row>
    <x:row r="4448">
      <x:c r="A4448" s="34" t="str">
        <x:v>randoop</x:v>
      </x:c>
      <x:c r="B4448" s="34" t="str">
        <x:v>Closure</x:v>
      </x:c>
      <x:c r="C4448" s="34" t="str">
        <x:v>Round2</x:v>
      </x:c>
      <x:c r="D4448" s="34" t="str">
        <x:v>Closure_114</x:v>
      </x:c>
      <x:c r="E4448" s="34" t="str">
        <x:v>Condition</x:v>
      </x:c>
      <x:c r="F4448" s="34" t="n">
        <x:v>465</x:v>
      </x:c>
      <x:c r="G4448" s="34" t="str">
        <x:v>RECORDED</x:v>
      </x:c>
      <x:c r="H4448" s="38" t="n">
        <x:f>IF(ISNUMBER('Data'!I1032),'Data'!I1032*100,"")</x:f>
        <x:v>0.65</x:v>
      </x:c>
      <x:c r="I4448" s="34" t="str">
        <x:v>PASS</x:v>
      </x:c>
      <x:c r="J4448" s="34" t="str">
        <x:v>PASS</x:v>
      </x:c>
      <x:c r="K4448" s="34" t="str">
        <x:v>PASS</x:v>
      </x:c>
      <x:c r="L4448" s="34" t="str">
        <x:v>PASS</x:v>
      </x:c>
      <x:c r="M4448" s="34" t="str">
        <x:v>numeric coverage for applicable metric</x:v>
      </x:c>
      <x:c r="N4448" s="34" t="str">
        <x:v>Feedback-Directed Random Test Generation/Result_Round2/Closure_114/result.json</x:v>
      </x:c>
      <x:c r="O4448" s="38" t="n">
        <x:f>IF(AND(G4448="RECORDED",ISNUMBER(H4448)),H4448,"")</x:f>
        <x:v>0.65</x:v>
      </x:c>
      <x:c r="P4448" s="34" t="str">
        <x:v>NOT_REVEALING</x:v>
      </x:c>
      <x:c r="Q4448" s="34" t="str">
        <x:v>Feedback-Directed Random Test Generation/Result_Round2/Closure_114/result.json</x:v>
      </x:c>
    </x:row>
    <x:row r="4449">
      <x:c r="A4449" s="34" t="str">
        <x:v>randoop</x:v>
      </x:c>
      <x:c r="B4449" s="34" t="str">
        <x:v>Closure</x:v>
      </x:c>
      <x:c r="C4449" s="34" t="str">
        <x:v>Round2</x:v>
      </x:c>
      <x:c r="D4449" s="34" t="str">
        <x:v>Closure_115</x:v>
      </x:c>
      <x:c r="E4449" s="34" t="str">
        <x:v>Condition</x:v>
      </x:c>
      <x:c r="F4449" s="34" t="n">
        <x:v>226</x:v>
      </x:c>
      <x:c r="G4449" s="34" t="str">
        <x:v>RECORDED</x:v>
      </x:c>
      <x:c r="H4449" s="38" t="n">
        <x:f>IF(ISNUMBER('Data'!I1033),'Data'!I1033*100,"")</x:f>
        <x:v>0</x:v>
      </x:c>
      <x:c r="I4449" s="34" t="str">
        <x:v>PASS</x:v>
      </x:c>
      <x:c r="J4449" s="34" t="str">
        <x:v>PASS</x:v>
      </x:c>
      <x:c r="K4449" s="34" t="str">
        <x:v>PASS</x:v>
      </x:c>
      <x:c r="L4449" s="34" t="str">
        <x:v>PASS</x:v>
      </x:c>
      <x:c r="M4449" s="34" t="str">
        <x:v>numeric coverage for applicable metric</x:v>
      </x:c>
      <x:c r="N4449" s="34" t="str">
        <x:v>Feedback-Directed Random Test Generation/Result_Round2/Closure_115/result.json</x:v>
      </x:c>
      <x:c r="O4449" s="38" t="n">
        <x:f>IF(AND(G4449="RECORDED",ISNUMBER(H4449)),H4449,"")</x:f>
        <x:v>0</x:v>
      </x:c>
      <x:c r="P4449" s="34" t="str">
        <x:v>NOT_REVEALING</x:v>
      </x:c>
      <x:c r="Q4449" s="34" t="str">
        <x:v>Feedback-Directed Random Test Generation/Result_Round2/Closure_115/result.json</x:v>
      </x:c>
    </x:row>
    <x:row r="4450">
      <x:c r="A4450" s="34" t="str">
        <x:v>randoop</x:v>
      </x:c>
      <x:c r="B4450" s="34" t="str">
        <x:v>Closure</x:v>
      </x:c>
      <x:c r="C4450" s="34" t="str">
        <x:v>Round2</x:v>
      </x:c>
      <x:c r="D4450" s="34" t="str">
        <x:v>Closure_116</x:v>
      </x:c>
      <x:c r="E4450" s="34" t="str">
        <x:v>Condition</x:v>
      </x:c>
      <x:c r="F4450" s="34" t="n">
        <x:v>218</x:v>
      </x:c>
      <x:c r="G4450" s="34" t="str">
        <x:v>RECORDED</x:v>
      </x:c>
      <x:c r="H4450" s="38" t="n">
        <x:f>IF(ISNUMBER('Data'!I1034),'Data'!I1034*100,"")</x:f>
        <x:v>0</x:v>
      </x:c>
      <x:c r="I4450" s="34" t="str">
        <x:v>PASS</x:v>
      </x:c>
      <x:c r="J4450" s="34" t="str">
        <x:v>PASS</x:v>
      </x:c>
      <x:c r="K4450" s="34" t="str">
        <x:v>PASS</x:v>
      </x:c>
      <x:c r="L4450" s="34" t="str">
        <x:v>PASS</x:v>
      </x:c>
      <x:c r="M4450" s="34" t="str">
        <x:v>numeric coverage for applicable metric</x:v>
      </x:c>
      <x:c r="N4450" s="34" t="str">
        <x:v>Feedback-Directed Random Test Generation/Result_Round2/Closure_116/result.json</x:v>
      </x:c>
      <x:c r="O4450" s="38" t="n">
        <x:f>IF(AND(G4450="RECORDED",ISNUMBER(H4450)),H4450,"")</x:f>
        <x:v>0</x:v>
      </x:c>
      <x:c r="P4450" s="34" t="str">
        <x:v>NOT_REVEALING</x:v>
      </x:c>
      <x:c r="Q4450" s="34" t="str">
        <x:v>Feedback-Directed Random Test Generation/Result_Round2/Closure_116/result.json</x:v>
      </x:c>
    </x:row>
    <x:row r="4451">
      <x:c r="A4451" s="34" t="str">
        <x:v>randoop</x:v>
      </x:c>
      <x:c r="B4451" s="34" t="str">
        <x:v>Closure</x:v>
      </x:c>
      <x:c r="C4451" s="34" t="str">
        <x:v>Round2</x:v>
      </x:c>
      <x:c r="D4451" s="34" t="str">
        <x:v>Closure_117</x:v>
      </x:c>
      <x:c r="E4451" s="34" t="str">
        <x:v>Condition</x:v>
      </x:c>
      <x:c r="F4451" s="34" t="n">
        <x:v>208</x:v>
      </x:c>
      <x:c r="G4451" s="34" t="str">
        <x:v>RECORDED</x:v>
      </x:c>
      <x:c r="H4451" s="38" t="n">
        <x:f>IF(ISNUMBER('Data'!I1035),'Data'!I1035*100,"")</x:f>
        <x:v>0</x:v>
      </x:c>
      <x:c r="I4451" s="34" t="str">
        <x:v>PASS</x:v>
      </x:c>
      <x:c r="J4451" s="34" t="str">
        <x:v>PASS</x:v>
      </x:c>
      <x:c r="K4451" s="34" t="str">
        <x:v>PASS</x:v>
      </x:c>
      <x:c r="L4451" s="34" t="str">
        <x:v>PASS</x:v>
      </x:c>
      <x:c r="M4451" s="34" t="str">
        <x:v>numeric coverage for applicable metric</x:v>
      </x:c>
      <x:c r="N4451" s="34" t="str">
        <x:v>Feedback-Directed Random Test Generation/Result_Round2/Closure_117/result.json</x:v>
      </x:c>
      <x:c r="O4451" s="38" t="n">
        <x:f>IF(AND(G4451="RECORDED",ISNUMBER(H4451)),H4451,"")</x:f>
        <x:v>0</x:v>
      </x:c>
      <x:c r="P4451" s="34" t="str">
        <x:v>NOT_REVEALING</x:v>
      </x:c>
      <x:c r="Q4451" s="34" t="str">
        <x:v>Feedback-Directed Random Test Generation/Result_Round2/Closure_117/result.json</x:v>
      </x:c>
    </x:row>
    <x:row r="4452">
      <x:c r="A4452" s="34" t="str">
        <x:v>randoop</x:v>
      </x:c>
      <x:c r="B4452" s="34" t="str">
        <x:v>Closure</x:v>
      </x:c>
      <x:c r="C4452" s="34" t="str">
        <x:v>Round2</x:v>
      </x:c>
      <x:c r="D4452" s="34" t="str">
        <x:v>Closure_118</x:v>
      </x:c>
      <x:c r="E4452" s="34" t="str">
        <x:v>Condition</x:v>
      </x:c>
      <x:c r="F4452" s="34" t="n">
        <x:v>326</x:v>
      </x:c>
      <x:c r="G4452" s="34" t="str">
        <x:v>RECORDED</x:v>
      </x:c>
      <x:c r="H4452" s="38" t="n">
        <x:f>IF(ISNUMBER('Data'!I1036),'Data'!I1036*100,"")</x:f>
        <x:v>0</x:v>
      </x:c>
      <x:c r="I4452" s="34" t="str">
        <x:v>PASS</x:v>
      </x:c>
      <x:c r="J4452" s="34" t="str">
        <x:v>PASS</x:v>
      </x:c>
      <x:c r="K4452" s="34" t="str">
        <x:v>PASS</x:v>
      </x:c>
      <x:c r="L4452" s="34" t="str">
        <x:v>PASS</x:v>
      </x:c>
      <x:c r="M4452" s="34" t="str">
        <x:v>numeric coverage for applicable metric</x:v>
      </x:c>
      <x:c r="N4452" s="34" t="str">
        <x:v>Feedback-Directed Random Test Generation/Result_Round2/Closure_118/result.json</x:v>
      </x:c>
      <x:c r="O4452" s="38" t="n">
        <x:f>IF(AND(G4452="RECORDED",ISNUMBER(H4452)),H4452,"")</x:f>
        <x:v>0</x:v>
      </x:c>
      <x:c r="P4452" s="34" t="str">
        <x:v>NOT_REVEALING</x:v>
      </x:c>
      <x:c r="Q4452" s="34" t="str">
        <x:v>Feedback-Directed Random Test Generation/Result_Round2/Closure_118/result.json</x:v>
      </x:c>
    </x:row>
    <x:row r="4453">
      <x:c r="A4453" s="34" t="str">
        <x:v>randoop</x:v>
      </x:c>
      <x:c r="B4453" s="34" t="str">
        <x:v>Closure</x:v>
      </x:c>
      <x:c r="C4453" s="34" t="str">
        <x:v>Round2</x:v>
      </x:c>
      <x:c r="D4453" s="34" t="str">
        <x:v>Closure_119</x:v>
      </x:c>
      <x:c r="E4453" s="34" t="str">
        <x:v>Condition</x:v>
      </x:c>
      <x:c r="F4453" s="34" t="n">
        <x:v>346</x:v>
      </x:c>
      <x:c r="G4453" s="34" t="str">
        <x:v>RECORDED</x:v>
      </x:c>
      <x:c r="H4453" s="38" t="n">
        <x:f>IF(ISNUMBER('Data'!I1037),'Data'!I1037*100,"")</x:f>
        <x:v>17.92</x:v>
      </x:c>
      <x:c r="I4453" s="34" t="str">
        <x:v>PASS</x:v>
      </x:c>
      <x:c r="J4453" s="34" t="str">
        <x:v>PASS</x:v>
      </x:c>
      <x:c r="K4453" s="34" t="str">
        <x:v>PASS</x:v>
      </x:c>
      <x:c r="L4453" s="34" t="str">
        <x:v>PASS</x:v>
      </x:c>
      <x:c r="M4453" s="34" t="str">
        <x:v>numeric coverage for applicable metric</x:v>
      </x:c>
      <x:c r="N4453" s="34" t="str">
        <x:v>Feedback-Directed Random Test Generation/Result_Round2/Closure_119/result.json</x:v>
      </x:c>
      <x:c r="O4453" s="38" t="n">
        <x:f>IF(AND(G4453="RECORDED",ISNUMBER(H4453)),H4453,"")</x:f>
        <x:v>17.92</x:v>
      </x:c>
      <x:c r="P4453" s="34" t="str">
        <x:v>NOT_REVEALING</x:v>
      </x:c>
      <x:c r="Q4453" s="34" t="str">
        <x:v>Feedback-Directed Random Test Generation/Result_Round2/Closure_119/result.json</x:v>
      </x:c>
    </x:row>
    <x:row r="4454">
      <x:c r="A4454" s="34" t="str">
        <x:v>randoop</x:v>
      </x:c>
      <x:c r="B4454" s="34" t="str">
        <x:v>Closure</x:v>
      </x:c>
      <x:c r="C4454" s="34" t="str">
        <x:v>Round2</x:v>
      </x:c>
      <x:c r="D4454" s="34" t="str">
        <x:v>Closure_120</x:v>
      </x:c>
      <x:c r="E4454" s="34" t="str">
        <x:v>Condition</x:v>
      </x:c>
      <x:c r="F4454" s="34" t="n">
        <x:v>149</x:v>
      </x:c>
      <x:c r="G4454" s="34" t="str">
        <x:v>RECORDED</x:v>
      </x:c>
      <x:c r="H4454" s="38" t="n">
        <x:f>IF(ISNUMBER('Data'!I1038),'Data'!I1038*100,"")</x:f>
        <x:v>10.07</x:v>
      </x:c>
      <x:c r="I4454" s="34" t="str">
        <x:v>PASS</x:v>
      </x:c>
      <x:c r="J4454" s="34" t="str">
        <x:v>PASS</x:v>
      </x:c>
      <x:c r="K4454" s="34" t="str">
        <x:v>PASS</x:v>
      </x:c>
      <x:c r="L4454" s="34" t="str">
        <x:v>PASS</x:v>
      </x:c>
      <x:c r="M4454" s="34" t="str">
        <x:v>numeric coverage for applicable metric</x:v>
      </x:c>
      <x:c r="N4454" s="34" t="str">
        <x:v>Feedback-Directed Random Test Generation/Result_Round2/Closure_120/result.json</x:v>
      </x:c>
      <x:c r="O4454" s="38" t="n">
        <x:f>IF(AND(G4454="RECORDED",ISNUMBER(H4454)),H4454,"")</x:f>
        <x:v>10.07</x:v>
      </x:c>
      <x:c r="P4454" s="34" t="str">
        <x:v>NOT_REVEALING</x:v>
      </x:c>
      <x:c r="Q4454" s="34" t="str">
        <x:v>Feedback-Directed Random Test Generation/Result_Round2/Closure_120/result.json</x:v>
      </x:c>
    </x:row>
    <x:row r="4455">
      <x:c r="A4455" s="34" t="str">
        <x:v>randoop</x:v>
      </x:c>
      <x:c r="B4455" s="34" t="str">
        <x:v>Closure</x:v>
      </x:c>
      <x:c r="C4455" s="34" t="str">
        <x:v>Round2</x:v>
      </x:c>
      <x:c r="D4455" s="34" t="str">
        <x:v>Closure_121</x:v>
      </x:c>
      <x:c r="E4455" s="34" t="str">
        <x:v>Condition</x:v>
      </x:c>
      <x:c r="F4455" s="34" t="n">
        <x:v>236</x:v>
      </x:c>
      <x:c r="G4455" s="34" t="str">
        <x:v>RECORDED</x:v>
      </x:c>
      <x:c r="H4455" s="38" t="n">
        <x:f>IF(ISNUMBER('Data'!I1039),'Data'!I1039*100,"")</x:f>
        <x:v>1.27</x:v>
      </x:c>
      <x:c r="I4455" s="34" t="str">
        <x:v>PASS</x:v>
      </x:c>
      <x:c r="J4455" s="34" t="str">
        <x:v>PASS</x:v>
      </x:c>
      <x:c r="K4455" s="34" t="str">
        <x:v>PASS</x:v>
      </x:c>
      <x:c r="L4455" s="34" t="str">
        <x:v>PASS</x:v>
      </x:c>
      <x:c r="M4455" s="34" t="str">
        <x:v>numeric coverage for applicable metric</x:v>
      </x:c>
      <x:c r="N4455" s="34" t="str">
        <x:v>Feedback-Directed Random Test Generation/Result_Round2/Closure_121/result.json</x:v>
      </x:c>
      <x:c r="O4455" s="38" t="n">
        <x:f>IF(AND(G4455="RECORDED",ISNUMBER(H4455)),H4455,"")</x:f>
        <x:v>1.27</x:v>
      </x:c>
      <x:c r="P4455" s="34" t="str">
        <x:v>NOT_REVEALING</x:v>
      </x:c>
      <x:c r="Q4455" s="34" t="str">
        <x:v>Feedback-Directed Random Test Generation/Result_Round2/Closure_121/result.json</x:v>
      </x:c>
    </x:row>
    <x:row r="4456">
      <x:c r="A4456" s="34" t="str">
        <x:v>randoop</x:v>
      </x:c>
      <x:c r="B4456" s="34" t="str">
        <x:v>Closure</x:v>
      </x:c>
      <x:c r="C4456" s="34" t="str">
        <x:v>Round2</x:v>
      </x:c>
      <x:c r="D4456" s="34" t="str">
        <x:v>Closure_122</x:v>
      </x:c>
      <x:c r="E4456" s="34" t="str">
        <x:v>Condition</x:v>
      </x:c>
      <x:c r="F4456" s="34" t="n">
        <x:v>358</x:v>
      </x:c>
      <x:c r="G4456" s="34" t="str">
        <x:v>RECORDED</x:v>
      </x:c>
      <x:c r="H4456" s="38" t="n">
        <x:f>IF(ISNUMBER('Data'!I1040),'Data'!I1040*100,"")</x:f>
        <x:v>0.28</x:v>
      </x:c>
      <x:c r="I4456" s="34" t="str">
        <x:v>PASS</x:v>
      </x:c>
      <x:c r="J4456" s="34" t="str">
        <x:v>PASS</x:v>
      </x:c>
      <x:c r="K4456" s="34" t="str">
        <x:v>PASS</x:v>
      </x:c>
      <x:c r="L4456" s="34" t="str">
        <x:v>PASS</x:v>
      </x:c>
      <x:c r="M4456" s="34" t="str">
        <x:v>numeric coverage for applicable metric</x:v>
      </x:c>
      <x:c r="N4456" s="34" t="str">
        <x:v>Feedback-Directed Random Test Generation/Result_Round2/Closure_122/result.json</x:v>
      </x:c>
      <x:c r="O4456" s="38" t="n">
        <x:f>IF(AND(G4456="RECORDED",ISNUMBER(H4456)),H4456,"")</x:f>
        <x:v>0.28</x:v>
      </x:c>
      <x:c r="P4456" s="34" t="str">
        <x:v>NOT_REVEALING</x:v>
      </x:c>
      <x:c r="Q4456" s="34" t="str">
        <x:v>Feedback-Directed Random Test Generation/Result_Round2/Closure_122/result.json</x:v>
      </x:c>
    </x:row>
    <x:row r="4457">
      <x:c r="A4457" s="34" t="str">
        <x:v>randoop</x:v>
      </x:c>
      <x:c r="B4457" s="34" t="str">
        <x:v>Closure</x:v>
      </x:c>
      <x:c r="C4457" s="34" t="str">
        <x:v>Round2</x:v>
      </x:c>
      <x:c r="D4457" s="34" t="str">
        <x:v>Closure_123</x:v>
      </x:c>
      <x:c r="E4457" s="34" t="str">
        <x:v>Condition</x:v>
      </x:c>
      <x:c r="F4457" s="34" t="n">
        <x:v>485</x:v>
      </x:c>
      <x:c r="G4457" s="34" t="str">
        <x:v>RECORDED</x:v>
      </x:c>
      <x:c r="H4457" s="38" t="n">
        <x:f>IF(ISNUMBER('Data'!I1041),'Data'!I1041*100,"")</x:f>
        <x:v>4.12</x:v>
      </x:c>
      <x:c r="I4457" s="34" t="str">
        <x:v>PASS</x:v>
      </x:c>
      <x:c r="J4457" s="34" t="str">
        <x:v>PASS</x:v>
      </x:c>
      <x:c r="K4457" s="34" t="str">
        <x:v>PASS</x:v>
      </x:c>
      <x:c r="L4457" s="34" t="str">
        <x:v>PASS</x:v>
      </x:c>
      <x:c r="M4457" s="34" t="str">
        <x:v>numeric coverage for applicable metric</x:v>
      </x:c>
      <x:c r="N4457" s="34" t="str">
        <x:v>Feedback-Directed Random Test Generation/Result_Round2/Closure_123/result.json</x:v>
      </x:c>
      <x:c r="O4457" s="38" t="n">
        <x:f>IF(AND(G4457="RECORDED",ISNUMBER(H4457)),H4457,"")</x:f>
        <x:v>4.12</x:v>
      </x:c>
      <x:c r="P4457" s="34" t="str">
        <x:v>NOT_REVEALING</x:v>
      </x:c>
      <x:c r="Q4457" s="34" t="str">
        <x:v>Feedback-Directed Random Test Generation/Result_Round2/Closure_123/result.json</x:v>
      </x:c>
    </x:row>
    <x:row r="4458">
      <x:c r="A4458" s="34" t="str">
        <x:v>randoop</x:v>
      </x:c>
      <x:c r="B4458" s="34" t="str">
        <x:v>Closure</x:v>
      </x:c>
      <x:c r="C4458" s="34" t="str">
        <x:v>Round2</x:v>
      </x:c>
      <x:c r="D4458" s="34" t="str">
        <x:v>Closure_124</x:v>
      </x:c>
      <x:c r="E4458" s="34" t="str">
        <x:v>Condition</x:v>
      </x:c>
      <x:c r="F4458" s="34" t="n">
        <x:v>66</x:v>
      </x:c>
      <x:c r="G4458" s="34" t="str">
        <x:v>RECORDED</x:v>
      </x:c>
      <x:c r="H4458" s="38" t="n">
        <x:f>IF(ISNUMBER('Data'!I1042),'Data'!I1042*100,"")</x:f>
        <x:v>0</x:v>
      </x:c>
      <x:c r="I4458" s="34" t="str">
        <x:v>PASS</x:v>
      </x:c>
      <x:c r="J4458" s="34" t="str">
        <x:v>PASS</x:v>
      </x:c>
      <x:c r="K4458" s="34" t="str">
        <x:v>PASS</x:v>
      </x:c>
      <x:c r="L4458" s="34" t="str">
        <x:v>PASS</x:v>
      </x:c>
      <x:c r="M4458" s="34" t="str">
        <x:v>numeric coverage for applicable metric</x:v>
      </x:c>
      <x:c r="N4458" s="34" t="str">
        <x:v>Feedback-Directed Random Test Generation/Result_Round2/Closure_124/result.json</x:v>
      </x:c>
      <x:c r="O4458" s="38" t="n">
        <x:f>IF(AND(G4458="RECORDED",ISNUMBER(H4458)),H4458,"")</x:f>
        <x:v>0</x:v>
      </x:c>
      <x:c r="P4458" s="34" t="str">
        <x:v>NOT_REVEALING</x:v>
      </x:c>
      <x:c r="Q4458" s="34" t="str">
        <x:v>Feedback-Directed Random Test Generation/Result_Round2/Closure_124/result.json</x:v>
      </x:c>
    </x:row>
    <x:row r="4459">
      <x:c r="A4459" s="34" t="str">
        <x:v>randoop</x:v>
      </x:c>
      <x:c r="B4459" s="34" t="str">
        <x:v>Closure</x:v>
      </x:c>
      <x:c r="C4459" s="34" t="str">
        <x:v>Round2</x:v>
      </x:c>
      <x:c r="D4459" s="34" t="str">
        <x:v>Closure_125</x:v>
      </x:c>
      <x:c r="E4459" s="34" t="str">
        <x:v>Condition</x:v>
      </x:c>
      <x:c r="F4459" s="34" t="n">
        <x:v>627</x:v>
      </x:c>
      <x:c r="G4459" s="34" t="str">
        <x:v>RECORDED</x:v>
      </x:c>
      <x:c r="H4459" s="38" t="n">
        <x:f>IF(ISNUMBER('Data'!I1043),'Data'!I1043*100,"")</x:f>
        <x:v>0</x:v>
      </x:c>
      <x:c r="I4459" s="34" t="str">
        <x:v>PASS</x:v>
      </x:c>
      <x:c r="J4459" s="34" t="str">
        <x:v>PASS</x:v>
      </x:c>
      <x:c r="K4459" s="34" t="str">
        <x:v>PASS</x:v>
      </x:c>
      <x:c r="L4459" s="34" t="str">
        <x:v>PASS</x:v>
      </x:c>
      <x:c r="M4459" s="34" t="str">
        <x:v>numeric coverage for applicable metric</x:v>
      </x:c>
      <x:c r="N4459" s="34" t="str">
        <x:v>Feedback-Directed Random Test Generation/Result_Round2/Closure_125/result.json</x:v>
      </x:c>
      <x:c r="O4459" s="38" t="n">
        <x:f>IF(AND(G4459="RECORDED",ISNUMBER(H4459)),H4459,"")</x:f>
        <x:v>0</x:v>
      </x:c>
      <x:c r="P4459" s="34" t="str">
        <x:v>NOT_REVEALING</x:v>
      </x:c>
      <x:c r="Q4459" s="34" t="str">
        <x:v>Feedback-Directed Random Test Generation/Result_Round2/Closure_125/result.json</x:v>
      </x:c>
    </x:row>
    <x:row r="4460">
      <x:c r="A4460" s="34" t="str">
        <x:v>randoop</x:v>
      </x:c>
      <x:c r="B4460" s="34" t="str">
        <x:v>Closure</x:v>
      </x:c>
      <x:c r="C4460" s="34" t="str">
        <x:v>Round2</x:v>
      </x:c>
      <x:c r="D4460" s="34" t="str">
        <x:v>Closure_126</x:v>
      </x:c>
      <x:c r="E4460" s="34" t="str">
        <x:v>Condition</x:v>
      </x:c>
      <x:c r="F4460" s="34" t="n">
        <x:v>69</x:v>
      </x:c>
      <x:c r="G4460" s="34" t="str">
        <x:v>RECORDED</x:v>
      </x:c>
      <x:c r="H4460" s="38" t="n">
        <x:f>IF(ISNUMBER('Data'!I1044),'Data'!I1044*100,"")</x:f>
        <x:v>0</x:v>
      </x:c>
      <x:c r="I4460" s="34" t="str">
        <x:v>PASS</x:v>
      </x:c>
      <x:c r="J4460" s="34" t="str">
        <x:v>PASS</x:v>
      </x:c>
      <x:c r="K4460" s="34" t="str">
        <x:v>PASS</x:v>
      </x:c>
      <x:c r="L4460" s="34" t="str">
        <x:v>PASS</x:v>
      </x:c>
      <x:c r="M4460" s="34" t="str">
        <x:v>numeric coverage for applicable metric</x:v>
      </x:c>
      <x:c r="N4460" s="34" t="str">
        <x:v>Feedback-Directed Random Test Generation/Result_Round2/Closure_126/result.json</x:v>
      </x:c>
      <x:c r="O4460" s="38" t="n">
        <x:f>IF(AND(G4460="RECORDED",ISNUMBER(H4460)),H4460,"")</x:f>
        <x:v>0</x:v>
      </x:c>
      <x:c r="P4460" s="34" t="str">
        <x:v>NOT_REVEALING</x:v>
      </x:c>
      <x:c r="Q4460" s="34" t="str">
        <x:v>Feedback-Directed Random Test Generation/Result_Round2/Closure_126/result.json</x:v>
      </x:c>
    </x:row>
    <x:row r="4461">
      <x:c r="A4461" s="34" t="str">
        <x:v>randoop</x:v>
      </x:c>
      <x:c r="B4461" s="34" t="str">
        <x:v>Closure</x:v>
      </x:c>
      <x:c r="C4461" s="34" t="str">
        <x:v>Round2</x:v>
      </x:c>
      <x:c r="D4461" s="34" t="str">
        <x:v>Closure_127</x:v>
      </x:c>
      <x:c r="E4461" s="34" t="str">
        <x:v>Condition</x:v>
      </x:c>
      <x:c r="F4461" s="34" t="n">
        <x:v>65</x:v>
      </x:c>
      <x:c r="G4461" s="34" t="str">
        <x:v>RECORDED</x:v>
      </x:c>
      <x:c r="H4461" s="38" t="n">
        <x:f>IF(ISNUMBER('Data'!I1045),'Data'!I1045*100,"")</x:f>
        <x:v>0</x:v>
      </x:c>
      <x:c r="I4461" s="34" t="str">
        <x:v>PASS</x:v>
      </x:c>
      <x:c r="J4461" s="34" t="str">
        <x:v>PASS</x:v>
      </x:c>
      <x:c r="K4461" s="34" t="str">
        <x:v>PASS</x:v>
      </x:c>
      <x:c r="L4461" s="34" t="str">
        <x:v>PASS</x:v>
      </x:c>
      <x:c r="M4461" s="34" t="str">
        <x:v>numeric coverage for applicable metric</x:v>
      </x:c>
      <x:c r="N4461" s="34" t="str">
        <x:v>Feedback-Directed Random Test Generation/Result_Round2/Closure_127/result.json</x:v>
      </x:c>
      <x:c r="O4461" s="38" t="n">
        <x:f>IF(AND(G4461="RECORDED",ISNUMBER(H4461)),H4461,"")</x:f>
        <x:v>0</x:v>
      </x:c>
      <x:c r="P4461" s="34" t="str">
        <x:v>NOT_REVEALING</x:v>
      </x:c>
      <x:c r="Q4461" s="34" t="str">
        <x:v>Feedback-Directed Random Test Generation/Result_Round2/Closure_127/result.json</x:v>
      </x:c>
    </x:row>
    <x:row r="4462">
      <x:c r="A4462" s="34" t="str">
        <x:v>randoop</x:v>
      </x:c>
      <x:c r="B4462" s="34" t="str">
        <x:v>Closure</x:v>
      </x:c>
      <x:c r="C4462" s="34" t="str">
        <x:v>Round2</x:v>
      </x:c>
      <x:c r="D4462" s="34" t="str">
        <x:v>Closure_128</x:v>
      </x:c>
      <x:c r="E4462" s="34" t="str">
        <x:v>Condition</x:v>
      </x:c>
      <x:c r="F4462" s="34" t="n">
        <x:v>477</x:v>
      </x:c>
      <x:c r="G4462" s="34" t="str">
        <x:v>RECORDED</x:v>
      </x:c>
      <x:c r="H4462" s="38" t="n">
        <x:f>IF(ISNUMBER('Data'!I1046),'Data'!I1046*100,"")</x:f>
        <x:v>4.19</x:v>
      </x:c>
      <x:c r="I4462" s="34" t="str">
        <x:v>PASS</x:v>
      </x:c>
      <x:c r="J4462" s="34" t="str">
        <x:v>PASS</x:v>
      </x:c>
      <x:c r="K4462" s="34" t="str">
        <x:v>PASS</x:v>
      </x:c>
      <x:c r="L4462" s="34" t="str">
        <x:v>PASS</x:v>
      </x:c>
      <x:c r="M4462" s="34" t="str">
        <x:v>numeric coverage for applicable metric</x:v>
      </x:c>
      <x:c r="N4462" s="34" t="str">
        <x:v>Feedback-Directed Random Test Generation/Result_Round2/Closure_128/result.json</x:v>
      </x:c>
      <x:c r="O4462" s="38" t="n">
        <x:f>IF(AND(G4462="RECORDED",ISNUMBER(H4462)),H4462,"")</x:f>
        <x:v>4.19</x:v>
      </x:c>
      <x:c r="P4462" s="34" t="str">
        <x:v>NOT_REVEALING</x:v>
      </x:c>
      <x:c r="Q4462" s="34" t="str">
        <x:v>Feedback-Directed Random Test Generation/Result_Round2/Closure_128/result.json</x:v>
      </x:c>
    </x:row>
    <x:row r="4463">
      <x:c r="A4463" s="34" t="str">
        <x:v>randoop</x:v>
      </x:c>
      <x:c r="B4463" s="34" t="str">
        <x:v>Closure</x:v>
      </x:c>
      <x:c r="C4463" s="34" t="str">
        <x:v>Round2</x:v>
      </x:c>
      <x:c r="D4463" s="34" t="str">
        <x:v>Closure_129</x:v>
      </x:c>
      <x:c r="E4463" s="34" t="str">
        <x:v>Condition</x:v>
      </x:c>
      <x:c r="F4463" s="34" t="n">
        <x:v>51</x:v>
      </x:c>
      <x:c r="G4463" s="34" t="str">
        <x:v>RECORDED</x:v>
      </x:c>
      <x:c r="H4463" s="38" t="n">
        <x:f>IF(ISNUMBER('Data'!I1047),'Data'!I1047*100,"")</x:f>
        <x:v>7.84</x:v>
      </x:c>
      <x:c r="I4463" s="34" t="str">
        <x:v>PASS</x:v>
      </x:c>
      <x:c r="J4463" s="34" t="str">
        <x:v>PASS</x:v>
      </x:c>
      <x:c r="K4463" s="34" t="str">
        <x:v>PASS</x:v>
      </x:c>
      <x:c r="L4463" s="34" t="str">
        <x:v>PASS</x:v>
      </x:c>
      <x:c r="M4463" s="34" t="str">
        <x:v>numeric coverage for applicable metric</x:v>
      </x:c>
      <x:c r="N4463" s="34" t="str">
        <x:v>Feedback-Directed Random Test Generation/Result_Round2/Closure_129/result.json</x:v>
      </x:c>
      <x:c r="O4463" s="38" t="n">
        <x:f>IF(AND(G4463="RECORDED",ISNUMBER(H4463)),H4463,"")</x:f>
        <x:v>7.84</x:v>
      </x:c>
      <x:c r="P4463" s="34" t="str">
        <x:v>NOT_REVEALING</x:v>
      </x:c>
      <x:c r="Q4463" s="34" t="str">
        <x:v>Feedback-Directed Random Test Generation/Result_Round2/Closure_129/result.json</x:v>
      </x:c>
    </x:row>
    <x:row r="4464">
      <x:c r="A4464" s="34" t="str">
        <x:v>randoop</x:v>
      </x:c>
      <x:c r="B4464" s="34" t="str">
        <x:v>Closure</x:v>
      </x:c>
      <x:c r="C4464" s="34" t="str">
        <x:v>Round2</x:v>
      </x:c>
      <x:c r="D4464" s="34" t="str">
        <x:v>Closure_130</x:v>
      </x:c>
      <x:c r="E4464" s="34" t="str">
        <x:v>Condition</x:v>
      </x:c>
      <x:c r="F4464" s="34" t="n">
        <x:v>264</x:v>
      </x:c>
      <x:c r="G4464" s="34" t="str">
        <x:v>RECORDED</x:v>
      </x:c>
      <x:c r="H4464" s="38" t="n">
        <x:f>IF(ISNUMBER('Data'!I1048),'Data'!I1048*100,"")</x:f>
        <x:v>1.52</x:v>
      </x:c>
      <x:c r="I4464" s="34" t="str">
        <x:v>PASS</x:v>
      </x:c>
      <x:c r="J4464" s="34" t="str">
        <x:v>PASS</x:v>
      </x:c>
      <x:c r="K4464" s="34" t="str">
        <x:v>PASS</x:v>
      </x:c>
      <x:c r="L4464" s="34" t="str">
        <x:v>PASS</x:v>
      </x:c>
      <x:c r="M4464" s="34" t="str">
        <x:v>numeric coverage for applicable metric</x:v>
      </x:c>
      <x:c r="N4464" s="34" t="str">
        <x:v>Feedback-Directed Random Test Generation/Result_Round2/Closure_130/result.json</x:v>
      </x:c>
      <x:c r="O4464" s="38" t="n">
        <x:f>IF(AND(G4464="RECORDED",ISNUMBER(H4464)),H4464,"")</x:f>
        <x:v>1.52</x:v>
      </x:c>
      <x:c r="P4464" s="34" t="str">
        <x:v>NOT_REVEALING</x:v>
      </x:c>
      <x:c r="Q4464" s="34" t="str">
        <x:v>Feedback-Directed Random Test Generation/Result_Round2/Closure_130/result.json</x:v>
      </x:c>
    </x:row>
    <x:row r="4465">
      <x:c r="A4465" s="34" t="str">
        <x:v>randoop</x:v>
      </x:c>
      <x:c r="B4465" s="34" t="str">
        <x:v>Closure</x:v>
      </x:c>
      <x:c r="C4465" s="34" t="str">
        <x:v>Round2</x:v>
      </x:c>
      <x:c r="D4465" s="34" t="str">
        <x:v>Closure_131</x:v>
      </x:c>
      <x:c r="E4465" s="34" t="str">
        <x:v>Condition</x:v>
      </x:c>
      <x:c r="F4465" s="34" t="n">
        <x:v>165</x:v>
      </x:c>
      <x:c r="G4465" s="34" t="str">
        <x:v>RECORDED</x:v>
      </x:c>
      <x:c r="H4465" s="38" t="n">
        <x:f>IF(ISNUMBER('Data'!I1049),'Data'!I1049*100,"")</x:f>
        <x:v>6.06</x:v>
      </x:c>
      <x:c r="I4465" s="34" t="str">
        <x:v>PASS</x:v>
      </x:c>
      <x:c r="J4465" s="34" t="str">
        <x:v>PASS</x:v>
      </x:c>
      <x:c r="K4465" s="34" t="str">
        <x:v>PASS</x:v>
      </x:c>
      <x:c r="L4465" s="34" t="str">
        <x:v>PASS</x:v>
      </x:c>
      <x:c r="M4465" s="34" t="str">
        <x:v>numeric coverage for applicable metric</x:v>
      </x:c>
      <x:c r="N4465" s="34" t="str">
        <x:v>Feedback-Directed Random Test Generation/Result_Round2/Closure_131/result.json</x:v>
      </x:c>
      <x:c r="O4465" s="38" t="n">
        <x:f>IF(AND(G4465="RECORDED",ISNUMBER(H4465)),H4465,"")</x:f>
        <x:v>6.06</x:v>
      </x:c>
      <x:c r="P4465" s="34" t="str">
        <x:v>NOT_REVEALING</x:v>
      </x:c>
      <x:c r="Q4465" s="34" t="str">
        <x:v>Feedback-Directed Random Test Generation/Result_Round2/Closure_131/result.json</x:v>
      </x:c>
    </x:row>
    <x:row r="4466">
      <x:c r="A4466" s="34" t="str">
        <x:v>randoop</x:v>
      </x:c>
      <x:c r="B4466" s="34" t="str">
        <x:v>Closure</x:v>
      </x:c>
      <x:c r="C4466" s="34" t="str">
        <x:v>Round2</x:v>
      </x:c>
      <x:c r="D4466" s="34" t="str">
        <x:v>Closure_132</x:v>
      </x:c>
      <x:c r="E4466" s="34" t="str">
        <x:v>Condition</x:v>
      </x:c>
      <x:c r="F4466" s="34" t="n">
        <x:v>530</x:v>
      </x:c>
      <x:c r="G4466" s="34" t="str">
        <x:v>RECORDED</x:v>
      </x:c>
      <x:c r="H4466" s="38" t="n">
        <x:f>IF(ISNUMBER('Data'!I1050),'Data'!I1050*100,"")</x:f>
        <x:v>0.57</x:v>
      </x:c>
      <x:c r="I4466" s="34" t="str">
        <x:v>PASS</x:v>
      </x:c>
      <x:c r="J4466" s="34" t="str">
        <x:v>PASS</x:v>
      </x:c>
      <x:c r="K4466" s="34" t="str">
        <x:v>PASS</x:v>
      </x:c>
      <x:c r="L4466" s="34" t="str">
        <x:v>PASS</x:v>
      </x:c>
      <x:c r="M4466" s="34" t="str">
        <x:v>numeric coverage for applicable metric</x:v>
      </x:c>
      <x:c r="N4466" s="34" t="str">
        <x:v>Feedback-Directed Random Test Generation/Result_Round2/Closure_132/result.json</x:v>
      </x:c>
      <x:c r="O4466" s="38" t="n">
        <x:f>IF(AND(G4466="RECORDED",ISNUMBER(H4466)),H4466,"")</x:f>
        <x:v>0.57</x:v>
      </x:c>
      <x:c r="P4466" s="34" t="str">
        <x:v>NOT_REVEALING</x:v>
      </x:c>
      <x:c r="Q4466" s="34" t="str">
        <x:v>Feedback-Directed Random Test Generation/Result_Round2/Closure_132/result.json</x:v>
      </x:c>
    </x:row>
    <x:row r="4467">
      <x:c r="A4467" s="34" t="str">
        <x:v>randoop</x:v>
      </x:c>
      <x:c r="B4467" s="34" t="str">
        <x:v>Closure</x:v>
      </x:c>
      <x:c r="C4467" s="34" t="str">
        <x:v>Round2</x:v>
      </x:c>
      <x:c r="D4467" s="34" t="str">
        <x:v>Closure_133</x:v>
      </x:c>
      <x:c r="E4467" s="34" t="str">
        <x:v>Condition</x:v>
      </x:c>
      <x:c r="F4467" s="34" t="n">
        <x:v>655</x:v>
      </x:c>
      <x:c r="G4467" s="34" t="str">
        <x:v>RECORDED</x:v>
      </x:c>
      <x:c r="H4467" s="38" t="n">
        <x:f>IF(ISNUMBER('Data'!I1051),'Data'!I1051*100,"")</x:f>
        <x:v>4.73</x:v>
      </x:c>
      <x:c r="I4467" s="34" t="str">
        <x:v>PASS</x:v>
      </x:c>
      <x:c r="J4467" s="34" t="str">
        <x:v>PASS</x:v>
      </x:c>
      <x:c r="K4467" s="34" t="str">
        <x:v>PASS</x:v>
      </x:c>
      <x:c r="L4467" s="34" t="str">
        <x:v>PASS</x:v>
      </x:c>
      <x:c r="M4467" s="34" t="str">
        <x:v>numeric coverage for applicable metric</x:v>
      </x:c>
      <x:c r="N4467" s="34" t="str">
        <x:v>Feedback-Directed Random Test Generation/Result_Round2/Closure_133/result.json</x:v>
      </x:c>
      <x:c r="O4467" s="38" t="n">
        <x:f>IF(AND(G4467="RECORDED",ISNUMBER(H4467)),H4467,"")</x:f>
        <x:v>4.73</x:v>
      </x:c>
      <x:c r="P4467" s="34" t="str">
        <x:v>NOT_REVEALING</x:v>
      </x:c>
      <x:c r="Q4467" s="34" t="str">
        <x:v>Feedback-Directed Random Test Generation/Result_Round2/Closure_133/result.json</x:v>
      </x:c>
    </x:row>
    <x:row r="4468">
      <x:c r="A4468" s="34" t="str">
        <x:v>randoop</x:v>
      </x:c>
      <x:c r="B4468" s="34" t="str">
        <x:v>Closure</x:v>
      </x:c>
      <x:c r="C4468" s="34" t="str">
        <x:v>Round2</x:v>
      </x:c>
      <x:c r="D4468" s="34" t="str">
        <x:v>Closure_134</x:v>
      </x:c>
      <x:c r="E4468" s="34" t="str">
        <x:v>Condition</x:v>
      </x:c>
      <x:c r="F4468" s="34" t="n">
        <x:v>569</x:v>
      </x:c>
      <x:c r="G4468" s="34" t="str">
        <x:v>RECORDED</x:v>
      </x:c>
      <x:c r="H4468" s="38" t="n">
        <x:f>IF(ISNUMBER('Data'!I1052),'Data'!I1052*100,"")</x:f>
        <x:v>0</x:v>
      </x:c>
      <x:c r="I4468" s="34" t="str">
        <x:v>PASS</x:v>
      </x:c>
      <x:c r="J4468" s="34" t="str">
        <x:v>PASS</x:v>
      </x:c>
      <x:c r="K4468" s="34" t="str">
        <x:v>PASS</x:v>
      </x:c>
      <x:c r="L4468" s="34" t="str">
        <x:v>PASS</x:v>
      </x:c>
      <x:c r="M4468" s="34" t="str">
        <x:v>numeric coverage for applicable metric</x:v>
      </x:c>
      <x:c r="N4468" s="34" t="str">
        <x:v>Feedback-Directed Random Test Generation/Result_Round2/Closure_134/result.json</x:v>
      </x:c>
      <x:c r="O4468" s="38" t="n">
        <x:f>IF(AND(G4468="RECORDED",ISNUMBER(H4468)),H4468,"")</x:f>
        <x:v>0</x:v>
      </x:c>
      <x:c r="P4468" s="34" t="str">
        <x:v>NOT_REVEALING</x:v>
      </x:c>
      <x:c r="Q4468" s="34" t="str">
        <x:v>Feedback-Directed Random Test Generation/Result_Round2/Closure_134/result.json</x:v>
      </x:c>
    </x:row>
    <x:row r="4469">
      <x:c r="A4469" s="34" t="str">
        <x:v>randoop</x:v>
      </x:c>
      <x:c r="B4469" s="34" t="str">
        <x:v>Closure</x:v>
      </x:c>
      <x:c r="C4469" s="34" t="str">
        <x:v>Round2</x:v>
      </x:c>
      <x:c r="D4469" s="34" t="str">
        <x:v>Closure_135</x:v>
      </x:c>
      <x:c r="E4469" s="34" t="str">
        <x:v>Condition</x:v>
      </x:c>
      <x:c r="F4469" s="34" t="n">
        <x:v>318</x:v>
      </x:c>
      <x:c r="G4469" s="34" t="str">
        <x:v>RECORDED</x:v>
      </x:c>
      <x:c r="H4469" s="38" t="n">
        <x:f>IF(ISNUMBER('Data'!I1053),'Data'!I1053*100,"")</x:f>
        <x:v>0</x:v>
      </x:c>
      <x:c r="I4469" s="34" t="str">
        <x:v>PASS</x:v>
      </x:c>
      <x:c r="J4469" s="34" t="str">
        <x:v>PASS</x:v>
      </x:c>
      <x:c r="K4469" s="34" t="str">
        <x:v>PASS</x:v>
      </x:c>
      <x:c r="L4469" s="34" t="str">
        <x:v>PASS</x:v>
      </x:c>
      <x:c r="M4469" s="34" t="str">
        <x:v>numeric coverage for applicable metric</x:v>
      </x:c>
      <x:c r="N4469" s="34" t="str">
        <x:v>Feedback-Directed Random Test Generation/Result_Round2/Closure_135/result.json</x:v>
      </x:c>
      <x:c r="O4469" s="38" t="n">
        <x:f>IF(AND(G4469="RECORDED",ISNUMBER(H4469)),H4469,"")</x:f>
        <x:v>0</x:v>
      </x:c>
      <x:c r="P4469" s="34" t="str">
        <x:v>NOT_REVEALING</x:v>
      </x:c>
      <x:c r="Q4469" s="34" t="str">
        <x:v>Feedback-Directed Random Test Generation/Result_Round2/Closure_135/result.json</x:v>
      </x:c>
    </x:row>
    <x:row r="4470">
      <x:c r="A4470" s="34" t="str">
        <x:v>randoop</x:v>
      </x:c>
      <x:c r="B4470" s="34" t="str">
        <x:v>Closure</x:v>
      </x:c>
      <x:c r="C4470" s="34" t="str">
        <x:v>Round2</x:v>
      </x:c>
      <x:c r="D4470" s="34" t="str">
        <x:v>Closure_136</x:v>
      </x:c>
      <x:c r="E4470" s="34" t="str">
        <x:v>Condition</x:v>
      </x:c>
      <x:c r="F4470" s="34" t="n">
        <x:v>148</x:v>
      </x:c>
      <x:c r="G4470" s="34" t="str">
        <x:v>RECORDED</x:v>
      </x:c>
      <x:c r="H4470" s="38" t="n">
        <x:f>IF(ISNUMBER('Data'!I1054),'Data'!I1054*100,"")</x:f>
        <x:v>4.73</x:v>
      </x:c>
      <x:c r="I4470" s="34" t="str">
        <x:v>PASS</x:v>
      </x:c>
      <x:c r="J4470" s="34" t="str">
        <x:v>PASS</x:v>
      </x:c>
      <x:c r="K4470" s="34" t="str">
        <x:v>PASS</x:v>
      </x:c>
      <x:c r="L4470" s="34" t="str">
        <x:v>PASS</x:v>
      </x:c>
      <x:c r="M4470" s="34" t="str">
        <x:v>numeric coverage for applicable metric</x:v>
      </x:c>
      <x:c r="N4470" s="34" t="str">
        <x:v>Feedback-Directed Random Test Generation/Result_Round2/Closure_136/result.json</x:v>
      </x:c>
      <x:c r="O4470" s="38" t="n">
        <x:f>IF(AND(G4470="RECORDED",ISNUMBER(H4470)),H4470,"")</x:f>
        <x:v>4.73</x:v>
      </x:c>
      <x:c r="P4470" s="34" t="str">
        <x:v>NOT_REVEALING</x:v>
      </x:c>
      <x:c r="Q4470" s="34" t="str">
        <x:v>Feedback-Directed Random Test Generation/Result_Round2/Closure_136/result.json</x:v>
      </x:c>
    </x:row>
    <x:row r="4471">
      <x:c r="A4471" s="34" t="str">
        <x:v>randoop</x:v>
      </x:c>
      <x:c r="B4471" s="34" t="str">
        <x:v>Closure</x:v>
      </x:c>
      <x:c r="C4471" s="34" t="str">
        <x:v>Round2</x:v>
      </x:c>
      <x:c r="D4471" s="34" t="str">
        <x:v>Closure_137</x:v>
      </x:c>
      <x:c r="E4471" s="34" t="str">
        <x:v>Condition</x:v>
      </x:c>
      <x:c r="F4471" s="34" t="n">
        <x:v>712</x:v>
      </x:c>
      <x:c r="G4471" s="34" t="str">
        <x:v>RECORDED</x:v>
      </x:c>
      <x:c r="H4471" s="38" t="n">
        <x:f>IF(ISNUMBER('Data'!I1055),'Data'!I1055*100,"")</x:f>
        <x:v>33.29</x:v>
      </x:c>
      <x:c r="I4471" s="34" t="str">
        <x:v>PASS</x:v>
      </x:c>
      <x:c r="J4471" s="34" t="str">
        <x:v>PASS</x:v>
      </x:c>
      <x:c r="K4471" s="34" t="str">
        <x:v>PASS</x:v>
      </x:c>
      <x:c r="L4471" s="34" t="str">
        <x:v>FAIL</x:v>
      </x:c>
      <x:c r="M4471" s="34" t="str">
        <x:v>numeric coverage for applicable metric</x:v>
      </x:c>
      <x:c r="N4471" s="34" t="str">
        <x:v>Feedback-Directed Random Test Generation/Result_Round2/Closure_137/result.json</x:v>
      </x:c>
      <x:c r="O4471" s="38" t="n">
        <x:f>IF(AND(G4471="RECORDED",ISNUMBER(H4471)),H4471,"")</x:f>
        <x:v>33.29</x:v>
      </x:c>
      <x:c r="P4471" s="34" t="str">
        <x:v>INCONCLUSIVE</x:v>
      </x:c>
      <x:c r="Q4471" s="34" t="str">
        <x:v>Feedback-Directed Random Test Generation/Result_Round2/Closure_137/result.json</x:v>
      </x:c>
    </x:row>
    <x:row r="4472">
      <x:c r="A4472" s="34" t="str">
        <x:v>randoop</x:v>
      </x:c>
      <x:c r="B4472" s="34" t="str">
        <x:v>Closure</x:v>
      </x:c>
      <x:c r="C4472" s="34" t="str">
        <x:v>Round2</x:v>
      </x:c>
      <x:c r="D4472" s="34" t="str">
        <x:v>Closure_138</x:v>
      </x:c>
      <x:c r="E4472" s="34" t="str">
        <x:v>Condition</x:v>
      </x:c>
      <x:c r="F4472" s="34" t="n">
        <x:v>373</x:v>
      </x:c>
      <x:c r="G4472" s="34" t="str">
        <x:v>RECORDED</x:v>
      </x:c>
      <x:c r="H4472" s="38" t="n">
        <x:f>IF(ISNUMBER('Data'!I1056),'Data'!I1056*100,"")</x:f>
        <x:v>0</x:v>
      </x:c>
      <x:c r="I4472" s="34" t="str">
        <x:v>PASS</x:v>
      </x:c>
      <x:c r="J4472" s="34" t="str">
        <x:v>PASS</x:v>
      </x:c>
      <x:c r="K4472" s="34" t="str">
        <x:v>PASS</x:v>
      </x:c>
      <x:c r="L4472" s="34" t="str">
        <x:v>PASS</x:v>
      </x:c>
      <x:c r="M4472" s="34" t="str">
        <x:v>numeric coverage for applicable metric</x:v>
      </x:c>
      <x:c r="N4472" s="34" t="str">
        <x:v>Feedback-Directed Random Test Generation/Result_Round2/Closure_138/result.json</x:v>
      </x:c>
      <x:c r="O4472" s="38" t="n">
        <x:f>IF(AND(G4472="RECORDED",ISNUMBER(H4472)),H4472,"")</x:f>
        <x:v>0</x:v>
      </x:c>
      <x:c r="P4472" s="34" t="str">
        <x:v>NOT_REVEALING</x:v>
      </x:c>
      <x:c r="Q4472" s="34" t="str">
        <x:v>Feedback-Directed Random Test Generation/Result_Round2/Closure_138/result.json</x:v>
      </x:c>
    </x:row>
    <x:row r="4473">
      <x:c r="A4473" s="34" t="str">
        <x:v>randoop</x:v>
      </x:c>
      <x:c r="B4473" s="34" t="str">
        <x:v>Closure</x:v>
      </x:c>
      <x:c r="C4473" s="34" t="str">
        <x:v>Round2</x:v>
      </x:c>
      <x:c r="D4473" s="34" t="str">
        <x:v>Closure_139</x:v>
      </x:c>
      <x:c r="E4473" s="34" t="str">
        <x:v>Condition</x:v>
      </x:c>
      <x:c r="F4473" s="34" t="n">
        <x:v>111</x:v>
      </x:c>
      <x:c r="G4473" s="34" t="str">
        <x:v>RECORDED</x:v>
      </x:c>
      <x:c r="H4473" s="38" t="n">
        <x:f>IF(ISNUMBER('Data'!I1057),'Data'!I1057*100,"")</x:f>
        <x:v>0</x:v>
      </x:c>
      <x:c r="I4473" s="34" t="str">
        <x:v>PASS</x:v>
      </x:c>
      <x:c r="J4473" s="34" t="str">
        <x:v>PASS</x:v>
      </x:c>
      <x:c r="K4473" s="34" t="str">
        <x:v>PASS</x:v>
      </x:c>
      <x:c r="L4473" s="34" t="str">
        <x:v>PASS</x:v>
      </x:c>
      <x:c r="M4473" s="34" t="str">
        <x:v>numeric coverage for applicable metric</x:v>
      </x:c>
      <x:c r="N4473" s="34" t="str">
        <x:v>Feedback-Directed Random Test Generation/Result_Round2/Closure_139/result.json</x:v>
      </x:c>
      <x:c r="O4473" s="38" t="n">
        <x:f>IF(AND(G4473="RECORDED",ISNUMBER(H4473)),H4473,"")</x:f>
        <x:v>0</x:v>
      </x:c>
      <x:c r="P4473" s="34" t="str">
        <x:v>NOT_REVEALING</x:v>
      </x:c>
      <x:c r="Q4473" s="34" t="str">
        <x:v>Feedback-Directed Random Test Generation/Result_Round2/Closure_139/result.json</x:v>
      </x:c>
    </x:row>
    <x:row r="4474">
      <x:c r="A4474" s="34" t="str">
        <x:v>randoop</x:v>
      </x:c>
      <x:c r="B4474" s="34" t="str">
        <x:v>Closure</x:v>
      </x:c>
      <x:c r="C4474" s="34" t="str">
        <x:v>Round2</x:v>
      </x:c>
      <x:c r="D4474" s="34" t="str">
        <x:v>Closure_140</x:v>
      </x:c>
      <x:c r="E4474" s="34" t="str">
        <x:v>Condition</x:v>
      </x:c>
      <x:c r="F4474" s="34" t="n">
        <x:v>244</x:v>
      </x:c>
      <x:c r="G4474" s="34" t="str">
        <x:v>RECORDED</x:v>
      </x:c>
      <x:c r="H4474" s="38" t="n">
        <x:f>IF(ISNUMBER('Data'!I1058),'Data'!I1058*100,"")</x:f>
        <x:v>29.100000000000005</x:v>
      </x:c>
      <x:c r="I4474" s="34" t="str">
        <x:v>PASS</x:v>
      </x:c>
      <x:c r="J4474" s="34" t="str">
        <x:v>PASS</x:v>
      </x:c>
      <x:c r="K4474" s="34" t="str">
        <x:v>PASS</x:v>
      </x:c>
      <x:c r="L4474" s="34" t="str">
        <x:v>FAIL</x:v>
      </x:c>
      <x:c r="M4474" s="34" t="str">
        <x:v>numeric coverage for applicable metric</x:v>
      </x:c>
      <x:c r="N4474" s="34" t="str">
        <x:v>Feedback-Directed Random Test Generation/Result_Round2/Closure_140/result.json</x:v>
      </x:c>
      <x:c r="O4474" s="38" t="n">
        <x:f>IF(AND(G4474="RECORDED",ISNUMBER(H4474)),H4474,"")</x:f>
        <x:v>29.100000000000005</x:v>
      </x:c>
      <x:c r="P4474" s="34" t="str">
        <x:v>INCONCLUSIVE</x:v>
      </x:c>
      <x:c r="Q4474" s="34" t="str">
        <x:v>Feedback-Directed Random Test Generation/Result_Round2/Closure_140/result.json</x:v>
      </x:c>
    </x:row>
    <x:row r="4475">
      <x:c r="A4475" s="34" t="str">
        <x:v>randoop</x:v>
      </x:c>
      <x:c r="B4475" s="34" t="str">
        <x:v>Closure</x:v>
      </x:c>
      <x:c r="C4475" s="34" t="str">
        <x:v>Round2</x:v>
      </x:c>
      <x:c r="D4475" s="34" t="str">
        <x:v>Closure_141</x:v>
      </x:c>
      <x:c r="E4475" s="34" t="str">
        <x:v>Condition</x:v>
      </x:c>
      <x:c r="F4475" s="34" t="n">
        <x:v>705</x:v>
      </x:c>
      <x:c r="G4475" s="34" t="str">
        <x:v>RECORDED</x:v>
      </x:c>
      <x:c r="H4475" s="38" t="n">
        <x:f>IF(ISNUMBER('Data'!I1059),'Data'!I1059*100,"")</x:f>
        <x:v>29.65</x:v>
      </x:c>
      <x:c r="I4475" s="34" t="str">
        <x:v>PASS</x:v>
      </x:c>
      <x:c r="J4475" s="34" t="str">
        <x:v>PASS</x:v>
      </x:c>
      <x:c r="K4475" s="34" t="str">
        <x:v>PASS</x:v>
      </x:c>
      <x:c r="L4475" s="34" t="str">
        <x:v>FAIL</x:v>
      </x:c>
      <x:c r="M4475" s="34" t="str">
        <x:v>numeric coverage for applicable metric</x:v>
      </x:c>
      <x:c r="N4475" s="34" t="str">
        <x:v>Feedback-Directed Random Test Generation/Result_Round2/Closure_141/result.json</x:v>
      </x:c>
      <x:c r="O4475" s="38" t="n">
        <x:f>IF(AND(G4475="RECORDED",ISNUMBER(H4475)),H4475,"")</x:f>
        <x:v>29.65</x:v>
      </x:c>
      <x:c r="P4475" s="34" t="str">
        <x:v>INCONCLUSIVE</x:v>
      </x:c>
      <x:c r="Q4475" s="34" t="str">
        <x:v>Feedback-Directed Random Test Generation/Result_Round2/Closure_141/result.json</x:v>
      </x:c>
    </x:row>
    <x:row r="4476">
      <x:c r="A4476" s="34" t="str">
        <x:v>randoop</x:v>
      </x:c>
      <x:c r="B4476" s="34" t="str">
        <x:v>Closure</x:v>
      </x:c>
      <x:c r="C4476" s="34" t="str">
        <x:v>Round2</x:v>
      </x:c>
      <x:c r="D4476" s="34" t="str">
        <x:v>Closure_142</x:v>
      </x:c>
      <x:c r="E4476" s="34" t="str">
        <x:v>Condition</x:v>
      </x:c>
      <x:c r="F4476" s="34" t="n">
        <x:v>633</x:v>
      </x:c>
      <x:c r="G4476" s="34" t="str">
        <x:v>RECORDED</x:v>
      </x:c>
      <x:c r="H4476" s="38" t="n">
        <x:f>IF(ISNUMBER('Data'!I1060),'Data'!I1060*100,"")</x:f>
        <x:v>4.11</x:v>
      </x:c>
      <x:c r="I4476" s="34" t="str">
        <x:v>PASS</x:v>
      </x:c>
      <x:c r="J4476" s="34" t="str">
        <x:v>PASS</x:v>
      </x:c>
      <x:c r="K4476" s="34" t="str">
        <x:v>PASS</x:v>
      </x:c>
      <x:c r="L4476" s="34" t="str">
        <x:v>PASS</x:v>
      </x:c>
      <x:c r="M4476" s="34" t="str">
        <x:v>numeric coverage for applicable metric</x:v>
      </x:c>
      <x:c r="N4476" s="34" t="str">
        <x:v>Feedback-Directed Random Test Generation/Result_Round2/Closure_142/result.json</x:v>
      </x:c>
      <x:c r="O4476" s="38" t="n">
        <x:f>IF(AND(G4476="RECORDED",ISNUMBER(H4476)),H4476,"")</x:f>
        <x:v>4.11</x:v>
      </x:c>
      <x:c r="P4476" s="34" t="str">
        <x:v>NOT_REVEALING</x:v>
      </x:c>
      <x:c r="Q4476" s="34" t="str">
        <x:v>Feedback-Directed Random Test Generation/Result_Round2/Closure_142/result.json</x:v>
      </x:c>
    </x:row>
    <x:row r="4477">
      <x:c r="A4477" s="34" t="str">
        <x:v>randoop</x:v>
      </x:c>
      <x:c r="B4477" s="34" t="str">
        <x:v>Closure</x:v>
      </x:c>
      <x:c r="C4477" s="34" t="str">
        <x:v>Round2</x:v>
      </x:c>
      <x:c r="D4477" s="34" t="str">
        <x:v>Closure_143</x:v>
      </x:c>
      <x:c r="E4477" s="34" t="str">
        <x:v>Condition</x:v>
      </x:c>
      <x:c r="F4477" s="34" t="n">
        <x:v>206</x:v>
      </x:c>
      <x:c r="G4477" s="34" t="str">
        <x:v>RECORDED</x:v>
      </x:c>
      <x:c r="H4477" s="38" t="n">
        <x:f>IF(ISNUMBER('Data'!I1061),'Data'!I1061*100,"")</x:f>
        <x:v>12.619999999999997</x:v>
      </x:c>
      <x:c r="I4477" s="34" t="str">
        <x:v>PASS</x:v>
      </x:c>
      <x:c r="J4477" s="34" t="str">
        <x:v>PASS</x:v>
      </x:c>
      <x:c r="K4477" s="34" t="str">
        <x:v>PASS</x:v>
      </x:c>
      <x:c r="L4477" s="34" t="str">
        <x:v>PASS</x:v>
      </x:c>
      <x:c r="M4477" s="34" t="str">
        <x:v>numeric coverage for applicable metric</x:v>
      </x:c>
      <x:c r="N4477" s="34" t="str">
        <x:v>Feedback-Directed Random Test Generation/Result_Round2/Closure_143/result.json</x:v>
      </x:c>
      <x:c r="O4477" s="38" t="n">
        <x:f>IF(AND(G4477="RECORDED",ISNUMBER(H4477)),H4477,"")</x:f>
        <x:v>12.619999999999997</x:v>
      </x:c>
      <x:c r="P4477" s="34" t="str">
        <x:v>NOT_REVEALING</x:v>
      </x:c>
      <x:c r="Q4477" s="34" t="str">
        <x:v>Feedback-Directed Random Test Generation/Result_Round2/Closure_143/result.json</x:v>
      </x:c>
    </x:row>
    <x:row r="4478">
      <x:c r="A4478" s="34" t="str">
        <x:v>randoop</x:v>
      </x:c>
      <x:c r="B4478" s="34" t="str">
        <x:v>Closure</x:v>
      </x:c>
      <x:c r="C4478" s="34" t="str">
        <x:v>Round2</x:v>
      </x:c>
      <x:c r="D4478" s="34" t="str">
        <x:v>Closure_144</x:v>
      </x:c>
      <x:c r="E4478" s="34" t="str">
        <x:v>Condition</x:v>
      </x:c>
      <x:c r="F4478" s="34" t="n">
        <x:v>900</x:v>
      </x:c>
      <x:c r="G4478" s="34" t="str">
        <x:v>RECORDED</x:v>
      </x:c>
      <x:c r="H4478" s="38" t="n">
        <x:f>IF(ISNUMBER('Data'!I1062),'Data'!I1062*100,"")</x:f>
        <x:v>0</x:v>
      </x:c>
      <x:c r="I4478" s="34" t="str">
        <x:v>PASS</x:v>
      </x:c>
      <x:c r="J4478" s="34" t="str">
        <x:v>PASS</x:v>
      </x:c>
      <x:c r="K4478" s="34" t="str">
        <x:v>PASS</x:v>
      </x:c>
      <x:c r="L4478" s="34" t="str">
        <x:v>PASS</x:v>
      </x:c>
      <x:c r="M4478" s="34" t="str">
        <x:v>numeric coverage for applicable metric</x:v>
      </x:c>
      <x:c r="N4478" s="34" t="str">
        <x:v>Feedback-Directed Random Test Generation/Result_Round2/Closure_144/result.json</x:v>
      </x:c>
      <x:c r="O4478" s="38" t="n">
        <x:f>IF(AND(G4478="RECORDED",ISNUMBER(H4478)),H4478,"")</x:f>
        <x:v>0</x:v>
      </x:c>
      <x:c r="P4478" s="34" t="str">
        <x:v>NOT_REVEALING</x:v>
      </x:c>
      <x:c r="Q4478" s="34" t="str">
        <x:v>Feedback-Directed Random Test Generation/Result_Round2/Closure_144/result.json</x:v>
      </x:c>
    </x:row>
    <x:row r="4479">
      <x:c r="A4479" s="34" t="str">
        <x:v>randoop</x:v>
      </x:c>
      <x:c r="B4479" s="34" t="str">
        <x:v>Closure</x:v>
      </x:c>
      <x:c r="C4479" s="34" t="str">
        <x:v>Round2</x:v>
      </x:c>
      <x:c r="D4479" s="34" t="str">
        <x:v>Closure_145</x:v>
      </x:c>
      <x:c r="E4479" s="34" t="str">
        <x:v>Condition</x:v>
      </x:c>
      <x:c r="F4479" s="34" t="n">
        <x:v>376</x:v>
      </x:c>
      <x:c r="G4479" s="34" t="str">
        <x:v>RECORDED</x:v>
      </x:c>
      <x:c r="H4479" s="38" t="n">
        <x:f>IF(ISNUMBER('Data'!I1063),'Data'!I1063*100,"")</x:f>
        <x:v>5.59</x:v>
      </x:c>
      <x:c r="I4479" s="34" t="str">
        <x:v>PASS</x:v>
      </x:c>
      <x:c r="J4479" s="34" t="str">
        <x:v>PASS</x:v>
      </x:c>
      <x:c r="K4479" s="34" t="str">
        <x:v>PASS</x:v>
      </x:c>
      <x:c r="L4479" s="34" t="str">
        <x:v>PASS</x:v>
      </x:c>
      <x:c r="M4479" s="34" t="str">
        <x:v>numeric coverage for applicable metric</x:v>
      </x:c>
      <x:c r="N4479" s="34" t="str">
        <x:v>Feedback-Directed Random Test Generation/Result_Round2/Closure_145/result.json</x:v>
      </x:c>
      <x:c r="O4479" s="38" t="n">
        <x:f>IF(AND(G4479="RECORDED",ISNUMBER(H4479)),H4479,"")</x:f>
        <x:v>5.59</x:v>
      </x:c>
      <x:c r="P4479" s="34" t="str">
        <x:v>NOT_REVEALING</x:v>
      </x:c>
      <x:c r="Q4479" s="34" t="str">
        <x:v>Feedback-Directed Random Test Generation/Result_Round2/Closure_145/result.json</x:v>
      </x:c>
    </x:row>
    <x:row r="4480">
      <x:c r="A4480" s="34" t="str">
        <x:v>randoop</x:v>
      </x:c>
      <x:c r="B4480" s="34" t="str">
        <x:v>Closure</x:v>
      </x:c>
      <x:c r="C4480" s="34" t="str">
        <x:v>Round2</x:v>
      </x:c>
      <x:c r="D4480" s="34" t="str">
        <x:v>Closure_146</x:v>
      </x:c>
      <x:c r="E4480" s="34" t="str">
        <x:v>Condition</x:v>
      </x:c>
      <x:c r="F4480" s="34" t="n">
        <x:v>122</x:v>
      </x:c>
      <x:c r="G4480" s="34" t="str">
        <x:v>RECORDED</x:v>
      </x:c>
      <x:c r="H4480" s="38" t="n">
        <x:f>IF(ISNUMBER('Data'!I1064),'Data'!I1064*100,"")</x:f>
        <x:v>2.46</x:v>
      </x:c>
      <x:c r="I4480" s="34" t="str">
        <x:v>PASS</x:v>
      </x:c>
      <x:c r="J4480" s="34" t="str">
        <x:v>PASS</x:v>
      </x:c>
      <x:c r="K4480" s="34" t="str">
        <x:v>PASS</x:v>
      </x:c>
      <x:c r="L4480" s="34" t="str">
        <x:v>PASS</x:v>
      </x:c>
      <x:c r="M4480" s="34" t="str">
        <x:v>numeric coverage for applicable metric</x:v>
      </x:c>
      <x:c r="N4480" s="34" t="str">
        <x:v>Feedback-Directed Random Test Generation/Result_Round2/Closure_146/result.json</x:v>
      </x:c>
      <x:c r="O4480" s="38" t="n">
        <x:f>IF(AND(G4480="RECORDED",ISNUMBER(H4480)),H4480,"")</x:f>
        <x:v>2.46</x:v>
      </x:c>
      <x:c r="P4480" s="34" t="str">
        <x:v>NOT_REVEALING</x:v>
      </x:c>
      <x:c r="Q4480" s="34" t="str">
        <x:v>Feedback-Directed Random Test Generation/Result_Round2/Closure_146/result.json</x:v>
      </x:c>
    </x:row>
    <x:row r="4481">
      <x:c r="A4481" s="34" t="str">
        <x:v>randoop</x:v>
      </x:c>
      <x:c r="B4481" s="34" t="str">
        <x:v>Closure</x:v>
      </x:c>
      <x:c r="C4481" s="34" t="str">
        <x:v>Round2</x:v>
      </x:c>
      <x:c r="D4481" s="34" t="str">
        <x:v>Closure_147</x:v>
      </x:c>
      <x:c r="E4481" s="34" t="str">
        <x:v>Condition</x:v>
      </x:c>
      <x:c r="F4481" s="34" t="n">
        <x:v>140</x:v>
      </x:c>
      <x:c r="G4481" s="34" t="str">
        <x:v>RECORDED</x:v>
      </x:c>
      <x:c r="H4481" s="38" t="n">
        <x:f>IF(ISNUMBER('Data'!I1065),'Data'!I1065*100,"")</x:f>
        <x:v>0.71</x:v>
      </x:c>
      <x:c r="I4481" s="34" t="str">
        <x:v>PASS</x:v>
      </x:c>
      <x:c r="J4481" s="34" t="str">
        <x:v>PASS</x:v>
      </x:c>
      <x:c r="K4481" s="34" t="str">
        <x:v>PASS</x:v>
      </x:c>
      <x:c r="L4481" s="34" t="str">
        <x:v>PASS</x:v>
      </x:c>
      <x:c r="M4481" s="34" t="str">
        <x:v>numeric coverage for applicable metric</x:v>
      </x:c>
      <x:c r="N4481" s="34" t="str">
        <x:v>Feedback-Directed Random Test Generation/Result_Round2/Closure_147/result.json</x:v>
      </x:c>
      <x:c r="O4481" s="38" t="n">
        <x:f>IF(AND(G4481="RECORDED",ISNUMBER(H4481)),H4481,"")</x:f>
        <x:v>0.71</x:v>
      </x:c>
      <x:c r="P4481" s="34" t="str">
        <x:v>NOT_REVEALING</x:v>
      </x:c>
      <x:c r="Q4481" s="34" t="str">
        <x:v>Feedback-Directed Random Test Generation/Result_Round2/Closure_147/result.json</x:v>
      </x:c>
    </x:row>
    <x:row r="4482">
      <x:c r="A4482" s="34" t="str">
        <x:v>randoop</x:v>
      </x:c>
      <x:c r="B4482" s="34" t="str">
        <x:v>Closure</x:v>
      </x:c>
      <x:c r="C4482" s="34" t="str">
        <x:v>Round2</x:v>
      </x:c>
      <x:c r="D4482" s="34" t="str">
        <x:v>Closure_148</x:v>
      </x:c>
      <x:c r="E4482" s="34" t="str">
        <x:v>Condition</x:v>
      </x:c>
      <x:c r="F4482" s="34" t="n">
        <x:v>506</x:v>
      </x:c>
      <x:c r="G4482" s="34" t="str">
        <x:v>RECORDED</x:v>
      </x:c>
      <x:c r="H4482" s="38" t="n">
        <x:f>IF(ISNUMBER('Data'!I1066),'Data'!I1066*100,"")</x:f>
        <x:v>0.79</x:v>
      </x:c>
      <x:c r="I4482" s="34" t="str">
        <x:v>PASS</x:v>
      </x:c>
      <x:c r="J4482" s="34" t="str">
        <x:v>PASS</x:v>
      </x:c>
      <x:c r="K4482" s="34" t="str">
        <x:v>PASS</x:v>
      </x:c>
      <x:c r="L4482" s="34" t="str">
        <x:v>PASS</x:v>
      </x:c>
      <x:c r="M4482" s="34" t="str">
        <x:v>numeric coverage for applicable metric</x:v>
      </x:c>
      <x:c r="N4482" s="34" t="str">
        <x:v>Feedback-Directed Random Test Generation/Result_Round2/Closure_148/result.json</x:v>
      </x:c>
      <x:c r="O4482" s="38" t="n">
        <x:f>IF(AND(G4482="RECORDED",ISNUMBER(H4482)),H4482,"")</x:f>
        <x:v>0.79</x:v>
      </x:c>
      <x:c r="P4482" s="34" t="str">
        <x:v>NOT_AVAILABLE</x:v>
      </x:c>
      <x:c r="Q4482" s="34" t="str">
        <x:v>Feedback-Directed Random Test Generation/Result_Round2/Closure_148/result.json</x:v>
      </x:c>
    </x:row>
    <x:row r="4483">
      <x:c r="A4483" s="34" t="str">
        <x:v>randoop</x:v>
      </x:c>
      <x:c r="B4483" s="34" t="str">
        <x:v>Closure</x:v>
      </x:c>
      <x:c r="C4483" s="34" t="str">
        <x:v>Round2</x:v>
      </x:c>
      <x:c r="D4483" s="34" t="str">
        <x:v>Closure_149</x:v>
      </x:c>
      <x:c r="E4483" s="34" t="str">
        <x:v>Condition</x:v>
      </x:c>
      <x:c r="F4483" s="34" t="n">
        <x:v>0</x:v>
      </x:c>
      <x:c r="G4483" s="34" t="str">
        <x:v>A</x:v>
      </x:c>
      <x:c r="H4483" s="38" t="str">
        <x:f>IF(ISNUMBER('Data'!I1067),'Data'!I1067*100,"")</x:f>
      </x:c>
      <x:c r="I4483" s="34"/>
      <x:c r="J4483" s="34"/>
      <x:c r="K4483" s="34"/>
      <x:c r="L4483" s="34" t="str">
        <x:v>NOT_RUN</x:v>
      </x:c>
      <x:c r="M4483" s="34" t="str">
        <x:v>Latest same-round generation failed; older files/results are excluded</x:v>
      </x:c>
      <x:c r="N4483" s="34" t="str">
        <x:v>Feedback-Directed Random Test Generation/report_Round2.csv</x:v>
      </x:c>
      <x:c r="O4483" s="38" t="str">
        <x:f>IF(AND(G4483="RECORDED",ISNUMBER(H4483)),H4483,"")</x:f>
      </x:c>
      <x:c r="P4483" s="34" t="str">
        <x:v>FAIL</x:v>
      </x:c>
      <x:c r="Q4483" s="34"/>
    </x:row>
    <x:row r="4484">
      <x:c r="A4484" s="34" t="str">
        <x:v>randoop</x:v>
      </x:c>
      <x:c r="B4484" s="34" t="str">
        <x:v>Closure</x:v>
      </x:c>
      <x:c r="C4484" s="34" t="str">
        <x:v>Round2</x:v>
      </x:c>
      <x:c r="D4484" s="34" t="str">
        <x:v>Closure_150</x:v>
      </x:c>
      <x:c r="E4484" s="34" t="str">
        <x:v>Condition</x:v>
      </x:c>
      <x:c r="F4484" s="34" t="n">
        <x:v>492</x:v>
      </x:c>
      <x:c r="G4484" s="34" t="str">
        <x:v>RECORDED</x:v>
      </x:c>
      <x:c r="H4484" s="38" t="n">
        <x:f>IF(ISNUMBER('Data'!I1068),'Data'!I1068*100,"")</x:f>
        <x:v>0</x:v>
      </x:c>
      <x:c r="I4484" s="34" t="str">
        <x:v>PASS</x:v>
      </x:c>
      <x:c r="J4484" s="34" t="str">
        <x:v>PASS</x:v>
      </x:c>
      <x:c r="K4484" s="34" t="str">
        <x:v>PASS</x:v>
      </x:c>
      <x:c r="L4484" s="34" t="str">
        <x:v>PASS</x:v>
      </x:c>
      <x:c r="M4484" s="34" t="str">
        <x:v>numeric coverage for applicable metric</x:v>
      </x:c>
      <x:c r="N4484" s="34" t="str">
        <x:v>Feedback-Directed Random Test Generation/Result_Round2/Closure_150/result.json</x:v>
      </x:c>
      <x:c r="O4484" s="38" t="n">
        <x:f>IF(AND(G4484="RECORDED",ISNUMBER(H4484)),H4484,"")</x:f>
        <x:v>0</x:v>
      </x:c>
      <x:c r="P4484" s="34" t="str">
        <x:v>NOT_REVEALING</x:v>
      </x:c>
      <x:c r="Q4484" s="34" t="str">
        <x:v>Feedback-Directed Random Test Generation/Result_Round2/Closure_150/result.json</x:v>
      </x:c>
    </x:row>
    <x:row r="4485">
      <x:c r="A4485" s="34" t="str">
        <x:v>randoop</x:v>
      </x:c>
      <x:c r="B4485" s="34" t="str">
        <x:v>Closure</x:v>
      </x:c>
      <x:c r="C4485" s="34" t="str">
        <x:v>Round2</x:v>
      </x:c>
      <x:c r="D4485" s="34" t="str">
        <x:v>Closure_151</x:v>
      </x:c>
      <x:c r="E4485" s="34" t="str">
        <x:v>Condition</x:v>
      </x:c>
      <x:c r="F4485" s="34" t="n">
        <x:v>0</x:v>
      </x:c>
      <x:c r="G4485" s="34" t="str">
        <x:v>A</x:v>
      </x:c>
      <x:c r="H4485" s="38" t="str">
        <x:f>IF(ISNUMBER('Data'!I1069),'Data'!I1069*100,"")</x:f>
      </x:c>
      <x:c r="I4485" s="34"/>
      <x:c r="J4485" s="34"/>
      <x:c r="K4485" s="34"/>
      <x:c r="L4485" s="34" t="str">
        <x:v>NOT_RUN</x:v>
      </x:c>
      <x:c r="M4485" s="34" t="str">
        <x:v>Latest same-round generation failed; older files/results are excluded</x:v>
      </x:c>
      <x:c r="N4485" s="34" t="str">
        <x:v>Feedback-Directed Random Test Generation/report_Round2.csv</x:v>
      </x:c>
      <x:c r="O4485" s="38" t="str">
        <x:f>IF(AND(G4485="RECORDED",ISNUMBER(H4485)),H4485,"")</x:f>
      </x:c>
      <x:c r="P4485" s="34" t="str">
        <x:v>FAIL</x:v>
      </x:c>
      <x:c r="Q4485" s="34"/>
    </x:row>
    <x:row r="4486">
      <x:c r="A4486" s="34" t="str">
        <x:v>randoop</x:v>
      </x:c>
      <x:c r="B4486" s="34" t="str">
        <x:v>Closure</x:v>
      </x:c>
      <x:c r="C4486" s="34" t="str">
        <x:v>Round2</x:v>
      </x:c>
      <x:c r="D4486" s="34" t="str">
        <x:v>Closure_152</x:v>
      </x:c>
      <x:c r="E4486" s="34" t="str">
        <x:v>Condition</x:v>
      </x:c>
      <x:c r="F4486" s="34" t="n">
        <x:v>282</x:v>
      </x:c>
      <x:c r="G4486" s="34" t="str">
        <x:v>RECORDED</x:v>
      </x:c>
      <x:c r="H4486" s="38" t="n">
        <x:f>IF(ISNUMBER('Data'!I1070),'Data'!I1070*100,"")</x:f>
        <x:v>0</x:v>
      </x:c>
      <x:c r="I4486" s="34" t="str">
        <x:v>PASS</x:v>
      </x:c>
      <x:c r="J4486" s="34" t="str">
        <x:v>PASS</x:v>
      </x:c>
      <x:c r="K4486" s="34" t="str">
        <x:v>PASS</x:v>
      </x:c>
      <x:c r="L4486" s="34" t="str">
        <x:v>PASS</x:v>
      </x:c>
      <x:c r="M4486" s="34" t="str">
        <x:v>numeric coverage for applicable metric</x:v>
      </x:c>
      <x:c r="N4486" s="34" t="str">
        <x:v>Feedback-Directed Random Test Generation/Result_Round2/Closure_152/result.json</x:v>
      </x:c>
      <x:c r="O4486" s="38" t="n">
        <x:f>IF(AND(G4486="RECORDED",ISNUMBER(H4486)),H4486,"")</x:f>
        <x:v>0</x:v>
      </x:c>
      <x:c r="P4486" s="34" t="str">
        <x:v>NOT_REVEALING</x:v>
      </x:c>
      <x:c r="Q4486" s="34" t="str">
        <x:v>Feedback-Directed Random Test Generation/Result_Round2/Closure_152/result.json</x:v>
      </x:c>
    </x:row>
    <x:row r="4487">
      <x:c r="A4487" s="34" t="str">
        <x:v>randoop</x:v>
      </x:c>
      <x:c r="B4487" s="34" t="str">
        <x:v>Closure</x:v>
      </x:c>
      <x:c r="C4487" s="34" t="str">
        <x:v>Round2</x:v>
      </x:c>
      <x:c r="D4487" s="34" t="str">
        <x:v>Closure_153</x:v>
      </x:c>
      <x:c r="E4487" s="34" t="str">
        <x:v>Condition</x:v>
      </x:c>
      <x:c r="F4487" s="34" t="n">
        <x:v>220</x:v>
      </x:c>
      <x:c r="G4487" s="34" t="str">
        <x:v>RECORDED</x:v>
      </x:c>
      <x:c r="H4487" s="38" t="n">
        <x:f>IF(ISNUMBER('Data'!I1071),'Data'!I1071*100,"")</x:f>
        <x:v>0.45000000000000007</x:v>
      </x:c>
      <x:c r="I4487" s="34" t="str">
        <x:v>PASS</x:v>
      </x:c>
      <x:c r="J4487" s="34" t="str">
        <x:v>PASS</x:v>
      </x:c>
      <x:c r="K4487" s="34" t="str">
        <x:v>PASS</x:v>
      </x:c>
      <x:c r="L4487" s="34" t="str">
        <x:v>PASS</x:v>
      </x:c>
      <x:c r="M4487" s="34" t="str">
        <x:v>numeric coverage for applicable metric</x:v>
      </x:c>
      <x:c r="N4487" s="34" t="str">
        <x:v>Feedback-Directed Random Test Generation/Result_Round2/Closure_153/result.json</x:v>
      </x:c>
      <x:c r="O4487" s="38" t="n">
        <x:f>IF(AND(G4487="RECORDED",ISNUMBER(H4487)),H4487,"")</x:f>
        <x:v>0.45000000000000007</x:v>
      </x:c>
      <x:c r="P4487" s="34" t="str">
        <x:v>NOT_REVEALING</x:v>
      </x:c>
      <x:c r="Q4487" s="34" t="str">
        <x:v>Feedback-Directed Random Test Generation/Result_Round2/Closure_153/result.json</x:v>
      </x:c>
    </x:row>
    <x:row r="4488">
      <x:c r="A4488" s="34" t="str">
        <x:v>randoop</x:v>
      </x:c>
      <x:c r="B4488" s="34" t="str">
        <x:v>Closure</x:v>
      </x:c>
      <x:c r="C4488" s="34" t="str">
        <x:v>Round2</x:v>
      </x:c>
      <x:c r="D4488" s="34" t="str">
        <x:v>Closure_154</x:v>
      </x:c>
      <x:c r="E4488" s="34" t="str">
        <x:v>Condition</x:v>
      </x:c>
      <x:c r="F4488" s="34" t="n">
        <x:v>663</x:v>
      </x:c>
      <x:c r="G4488" s="34" t="str">
        <x:v>RECORDED</x:v>
      </x:c>
      <x:c r="H4488" s="38" t="n">
        <x:f>IF(ISNUMBER('Data'!I1072),'Data'!I1072*100,"")</x:f>
        <x:v>0</x:v>
      </x:c>
      <x:c r="I4488" s="34" t="str">
        <x:v>PASS</x:v>
      </x:c>
      <x:c r="J4488" s="34" t="str">
        <x:v>PASS</x:v>
      </x:c>
      <x:c r="K4488" s="34" t="str">
        <x:v>PASS</x:v>
      </x:c>
      <x:c r="L4488" s="34" t="str">
        <x:v>PASS</x:v>
      </x:c>
      <x:c r="M4488" s="34" t="str">
        <x:v>numeric coverage for applicable metric</x:v>
      </x:c>
      <x:c r="N4488" s="34" t="str">
        <x:v>Feedback-Directed Random Test Generation/Result_Round2/Closure_154/result.json</x:v>
      </x:c>
      <x:c r="O4488" s="38" t="n">
        <x:f>IF(AND(G4488="RECORDED",ISNUMBER(H4488)),H4488,"")</x:f>
        <x:v>0</x:v>
      </x:c>
      <x:c r="P4488" s="34" t="str">
        <x:v>NOT_AVAILABLE</x:v>
      </x:c>
      <x:c r="Q4488" s="34" t="str">
        <x:v>Feedback-Directed Random Test Generation/Result_Round2/Closure_154/result.json</x:v>
      </x:c>
    </x:row>
    <x:row r="4489">
      <x:c r="A4489" s="34" t="str">
        <x:v>randoop</x:v>
      </x:c>
      <x:c r="B4489" s="34" t="str">
        <x:v>Closure</x:v>
      </x:c>
      <x:c r="C4489" s="34" t="str">
        <x:v>Round2</x:v>
      </x:c>
      <x:c r="D4489" s="34" t="str">
        <x:v>Closure_155</x:v>
      </x:c>
      <x:c r="E4489" s="34" t="str">
        <x:v>Condition</x:v>
      </x:c>
      <x:c r="F4489" s="34" t="n">
        <x:v>419</x:v>
      </x:c>
      <x:c r="G4489" s="34" t="str">
        <x:v>RECORDED</x:v>
      </x:c>
      <x:c r="H4489" s="38" t="n">
        <x:f>IF(ISNUMBER('Data'!I1073),'Data'!I1073*100,"")</x:f>
        <x:v>7.88</x:v>
      </x:c>
      <x:c r="I4489" s="34" t="str">
        <x:v>PASS</x:v>
      </x:c>
      <x:c r="J4489" s="34" t="str">
        <x:v>PASS</x:v>
      </x:c>
      <x:c r="K4489" s="34" t="str">
        <x:v>PASS</x:v>
      </x:c>
      <x:c r="L4489" s="34" t="str">
        <x:v>FAIL</x:v>
      </x:c>
      <x:c r="M4489" s="34" t="str">
        <x:v>numeric coverage for applicable metric</x:v>
      </x:c>
      <x:c r="N4489" s="34" t="str">
        <x:v>Feedback-Directed Random Test Generation/Result_Round2/Closure_155/result.json</x:v>
      </x:c>
      <x:c r="O4489" s="38" t="n">
        <x:f>IF(AND(G4489="RECORDED",ISNUMBER(H4489)),H4489,"")</x:f>
        <x:v>7.88</x:v>
      </x:c>
      <x:c r="P4489" s="34" t="str">
        <x:v>INCONCLUSIVE</x:v>
      </x:c>
      <x:c r="Q4489" s="34" t="str">
        <x:v>Feedback-Directed Random Test Generation/Result_Round2/Closure_155/result.json</x:v>
      </x:c>
    </x:row>
    <x:row r="4490">
      <x:c r="A4490" s="34" t="str">
        <x:v>randoop</x:v>
      </x:c>
      <x:c r="B4490" s="34" t="str">
        <x:v>Closure</x:v>
      </x:c>
      <x:c r="C4490" s="34" t="str">
        <x:v>Round2</x:v>
      </x:c>
      <x:c r="D4490" s="34" t="str">
        <x:v>Closure_156</x:v>
      </x:c>
      <x:c r="E4490" s="34" t="str">
        <x:v>Condition</x:v>
      </x:c>
      <x:c r="F4490" s="34" t="n">
        <x:v>240</x:v>
      </x:c>
      <x:c r="G4490" s="34" t="str">
        <x:v>RECORDED</x:v>
      </x:c>
      <x:c r="H4490" s="38" t="n">
        <x:f>IF(ISNUMBER('Data'!I1074),'Data'!I1074*100,"")</x:f>
        <x:v>1.67</x:v>
      </x:c>
      <x:c r="I4490" s="34" t="str">
        <x:v>PASS</x:v>
      </x:c>
      <x:c r="J4490" s="34" t="str">
        <x:v>PASS</x:v>
      </x:c>
      <x:c r="K4490" s="34" t="str">
        <x:v>PASS</x:v>
      </x:c>
      <x:c r="L4490" s="34" t="str">
        <x:v>PASS</x:v>
      </x:c>
      <x:c r="M4490" s="34" t="str">
        <x:v>numeric coverage for applicable metric</x:v>
      </x:c>
      <x:c r="N4490" s="34" t="str">
        <x:v>Feedback-Directed Random Test Generation/Result_Round2/Closure_156/result.json</x:v>
      </x:c>
      <x:c r="O4490" s="38" t="n">
        <x:f>IF(AND(G4490="RECORDED",ISNUMBER(H4490)),H4490,"")</x:f>
        <x:v>1.67</x:v>
      </x:c>
      <x:c r="P4490" s="34" t="str">
        <x:v>NOT_REVEALING</x:v>
      </x:c>
      <x:c r="Q4490" s="34" t="str">
        <x:v>Feedback-Directed Random Test Generation/Result_Round2/Closure_156/result.json</x:v>
      </x:c>
    </x:row>
    <x:row r="4491">
      <x:c r="A4491" s="34" t="str">
        <x:v>randoop</x:v>
      </x:c>
      <x:c r="B4491" s="34" t="str">
        <x:v>Closure</x:v>
      </x:c>
      <x:c r="C4491" s="34" t="str">
        <x:v>Round2</x:v>
      </x:c>
      <x:c r="D4491" s="34" t="str">
        <x:v>Closure_157</x:v>
      </x:c>
      <x:c r="E4491" s="34" t="str">
        <x:v>Condition</x:v>
      </x:c>
      <x:c r="F4491" s="34" t="n">
        <x:v>862</x:v>
      </x:c>
      <x:c r="G4491" s="34" t="str">
        <x:v>RECORDED</x:v>
      </x:c>
      <x:c r="H4491" s="38" t="n">
        <x:f>IF(ISNUMBER('Data'!I1075),'Data'!I1075*100,"")</x:f>
        <x:v>2.67</x:v>
      </x:c>
      <x:c r="I4491" s="34" t="str">
        <x:v>PASS</x:v>
      </x:c>
      <x:c r="J4491" s="34" t="str">
        <x:v>PASS</x:v>
      </x:c>
      <x:c r="K4491" s="34" t="str">
        <x:v>PASS</x:v>
      </x:c>
      <x:c r="L4491" s="34" t="str">
        <x:v>PASS</x:v>
      </x:c>
      <x:c r="M4491" s="34" t="str">
        <x:v>numeric coverage for applicable metric</x:v>
      </x:c>
      <x:c r="N4491" s="34" t="str">
        <x:v>Feedback-Directed Random Test Generation/Result_Round2/Closure_157/result.json</x:v>
      </x:c>
      <x:c r="O4491" s="38" t="n">
        <x:f>IF(AND(G4491="RECORDED",ISNUMBER(H4491)),H4491,"")</x:f>
        <x:v>2.67</x:v>
      </x:c>
      <x:c r="P4491" s="34" t="str">
        <x:v>NOT_REVEALING</x:v>
      </x:c>
      <x:c r="Q4491" s="34" t="str">
        <x:v>Feedback-Directed Random Test Generation/Result_Round2/Closure_157/result.json</x:v>
      </x:c>
    </x:row>
    <x:row r="4492">
      <x:c r="A4492" s="34" t="str">
        <x:v>randoop</x:v>
      </x:c>
      <x:c r="B4492" s="34" t="str">
        <x:v>Closure</x:v>
      </x:c>
      <x:c r="C4492" s="34" t="str">
        <x:v>Round2</x:v>
      </x:c>
      <x:c r="D4492" s="34" t="str">
        <x:v>Closure_158</x:v>
      </x:c>
      <x:c r="E4492" s="34" t="str">
        <x:v>Condition</x:v>
      </x:c>
      <x:c r="F4492" s="34" t="n">
        <x:v>0</x:v>
      </x:c>
      <x:c r="G4492" s="34" t="str">
        <x:v>A</x:v>
      </x:c>
      <x:c r="H4492" s="38" t="str">
        <x:f>IF(ISNUMBER('Data'!I1076),'Data'!I1076*100,"")</x:f>
      </x:c>
      <x:c r="I4492" s="34"/>
      <x:c r="J4492" s="34"/>
      <x:c r="K4492" s="34"/>
      <x:c r="L4492" s="34" t="str">
        <x:v>NOT_RUN</x:v>
      </x:c>
      <x:c r="M4492" s="34" t="str">
        <x:v>Latest same-round generation failed; older files/results are excluded</x:v>
      </x:c>
      <x:c r="N4492" s="34" t="str">
        <x:v>Feedback-Directed Random Test Generation/report_Round2.csv</x:v>
      </x:c>
      <x:c r="O4492" s="38" t="str">
        <x:f>IF(AND(G4492="RECORDED",ISNUMBER(H4492)),H4492,"")</x:f>
      </x:c>
      <x:c r="P4492" s="34" t="str">
        <x:v>FAIL</x:v>
      </x:c>
      <x:c r="Q4492" s="34"/>
    </x:row>
    <x:row r="4493">
      <x:c r="A4493" s="34" t="str">
        <x:v>randoop</x:v>
      </x:c>
      <x:c r="B4493" s="34" t="str">
        <x:v>Closure</x:v>
      </x:c>
      <x:c r="C4493" s="34" t="str">
        <x:v>Round2</x:v>
      </x:c>
      <x:c r="D4493" s="34" t="str">
        <x:v>Closure_159</x:v>
      </x:c>
      <x:c r="E4493" s="34" t="str">
        <x:v>Condition</x:v>
      </x:c>
      <x:c r="F4493" s="34" t="n">
        <x:v>265</x:v>
      </x:c>
      <x:c r="G4493" s="34" t="str">
        <x:v>RECORDED</x:v>
      </x:c>
      <x:c r="H4493" s="38" t="n">
        <x:f>IF(ISNUMBER('Data'!I1077),'Data'!I1077*100,"")</x:f>
        <x:v>0.38</x:v>
      </x:c>
      <x:c r="I4493" s="34" t="str">
        <x:v>PASS</x:v>
      </x:c>
      <x:c r="J4493" s="34" t="str">
        <x:v>PASS</x:v>
      </x:c>
      <x:c r="K4493" s="34" t="str">
        <x:v>PASS</x:v>
      </x:c>
      <x:c r="L4493" s="34" t="str">
        <x:v>PASS</x:v>
      </x:c>
      <x:c r="M4493" s="34" t="str">
        <x:v>numeric coverage for applicable metric</x:v>
      </x:c>
      <x:c r="N4493" s="34" t="str">
        <x:v>Feedback-Directed Random Test Generation/Result_Round2/Closure_159/result.json</x:v>
      </x:c>
      <x:c r="O4493" s="38" t="n">
        <x:f>IF(AND(G4493="RECORDED",ISNUMBER(H4493)),H4493,"")</x:f>
        <x:v>0.38</x:v>
      </x:c>
      <x:c r="P4493" s="34" t="str">
        <x:v>NOT_REVEALING</x:v>
      </x:c>
      <x:c r="Q4493" s="34" t="str">
        <x:v>Feedback-Directed Random Test Generation/Result_Round2/Closure_159/result.json</x:v>
      </x:c>
    </x:row>
    <x:row r="4494">
      <x:c r="A4494" s="34" t="str">
        <x:v>randoop</x:v>
      </x:c>
      <x:c r="B4494" s="34" t="str">
        <x:v>Closure</x:v>
      </x:c>
      <x:c r="C4494" s="34" t="str">
        <x:v>Round2</x:v>
      </x:c>
      <x:c r="D4494" s="34" t="str">
        <x:v>Closure_160</x:v>
      </x:c>
      <x:c r="E4494" s="34" t="str">
        <x:v>Condition</x:v>
      </x:c>
      <x:c r="F4494" s="34" t="n">
        <x:v>322</x:v>
      </x:c>
      <x:c r="G4494" s="34" t="str">
        <x:v>RECORDED</x:v>
      </x:c>
      <x:c r="H4494" s="38" t="n">
        <x:f>IF(ISNUMBER('Data'!I1078),'Data'!I1078*100,"")</x:f>
        <x:v>35.4</x:v>
      </x:c>
      <x:c r="I4494" s="34" t="str">
        <x:v>PASS</x:v>
      </x:c>
      <x:c r="J4494" s="34" t="str">
        <x:v>PASS</x:v>
      </x:c>
      <x:c r="K4494" s="34" t="str">
        <x:v>PASS</x:v>
      </x:c>
      <x:c r="L4494" s="34" t="str">
        <x:v>FAIL</x:v>
      </x:c>
      <x:c r="M4494" s="34" t="str">
        <x:v>numeric coverage for applicable metric</x:v>
      </x:c>
      <x:c r="N4494" s="34" t="str">
        <x:v>Feedback-Directed Random Test Generation/Result_Round2/Closure_160/result.json</x:v>
      </x:c>
      <x:c r="O4494" s="38" t="n">
        <x:f>IF(AND(G4494="RECORDED",ISNUMBER(H4494)),H4494,"")</x:f>
        <x:v>35.4</x:v>
      </x:c>
      <x:c r="P4494" s="34" t="str">
        <x:v>INCONCLUSIVE</x:v>
      </x:c>
      <x:c r="Q4494" s="34" t="str">
        <x:v>Feedback-Directed Random Test Generation/Result_Round2/Closure_160/result.json</x:v>
      </x:c>
    </x:row>
    <x:row r="4495">
      <x:c r="A4495" s="34" t="str">
        <x:v>randoop</x:v>
      </x:c>
      <x:c r="B4495" s="34" t="str">
        <x:v>Closure</x:v>
      </x:c>
      <x:c r="C4495" s="34" t="str">
        <x:v>Round2</x:v>
      </x:c>
      <x:c r="D4495" s="34" t="str">
        <x:v>Closure_161</x:v>
      </x:c>
      <x:c r="E4495" s="34" t="str">
        <x:v>Condition</x:v>
      </x:c>
      <x:c r="F4495" s="34" t="n">
        <x:v>498</x:v>
      </x:c>
      <x:c r="G4495" s="34" t="str">
        <x:v>RECORDED</x:v>
      </x:c>
      <x:c r="H4495" s="38" t="n">
        <x:f>IF(ISNUMBER('Data'!I1079),'Data'!I1079*100,"")</x:f>
        <x:v>0</x:v>
      </x:c>
      <x:c r="I4495" s="34" t="str">
        <x:v>PASS</x:v>
      </x:c>
      <x:c r="J4495" s="34" t="str">
        <x:v>PASS</x:v>
      </x:c>
      <x:c r="K4495" s="34" t="str">
        <x:v>PASS</x:v>
      </x:c>
      <x:c r="L4495" s="34" t="str">
        <x:v>PASS</x:v>
      </x:c>
      <x:c r="M4495" s="34" t="str">
        <x:v>numeric coverage for applicable metric</x:v>
      </x:c>
      <x:c r="N4495" s="34" t="str">
        <x:v>Feedback-Directed Random Test Generation/Result_Round2/Closure_161/result.json</x:v>
      </x:c>
      <x:c r="O4495" s="38" t="n">
        <x:f>IF(AND(G4495="RECORDED",ISNUMBER(H4495)),H4495,"")</x:f>
        <x:v>0</x:v>
      </x:c>
      <x:c r="P4495" s="34" t="str">
        <x:v>NOT_REVEALING</x:v>
      </x:c>
      <x:c r="Q4495" s="34" t="str">
        <x:v>Feedback-Directed Random Test Generation/Result_Round2/Closure_161/result.json</x:v>
      </x:c>
    </x:row>
    <x:row r="4496">
      <x:c r="A4496" s="34" t="str">
        <x:v>randoop</x:v>
      </x:c>
      <x:c r="B4496" s="34" t="str">
        <x:v>Closure</x:v>
      </x:c>
      <x:c r="C4496" s="34" t="str">
        <x:v>Round2</x:v>
      </x:c>
      <x:c r="D4496" s="34" t="str">
        <x:v>Closure_162</x:v>
      </x:c>
      <x:c r="E4496" s="34" t="str">
        <x:v>Condition</x:v>
      </x:c>
      <x:c r="F4496" s="34" t="n">
        <x:v>180</x:v>
      </x:c>
      <x:c r="G4496" s="34" t="str">
        <x:v>RECORDED</x:v>
      </x:c>
      <x:c r="H4496" s="38" t="n">
        <x:f>IF(ISNUMBER('Data'!I1080),'Data'!I1080*100,"")</x:f>
        <x:v>16.67</x:v>
      </x:c>
      <x:c r="I4496" s="34" t="str">
        <x:v>PASS</x:v>
      </x:c>
      <x:c r="J4496" s="34" t="str">
        <x:v>PASS</x:v>
      </x:c>
      <x:c r="K4496" s="34" t="str">
        <x:v>PASS</x:v>
      </x:c>
      <x:c r="L4496" s="34" t="str">
        <x:v>FAIL</x:v>
      </x:c>
      <x:c r="M4496" s="34" t="str">
        <x:v>numeric coverage for applicable metric</x:v>
      </x:c>
      <x:c r="N4496" s="34" t="str">
        <x:v>Feedback-Directed Random Test Generation/Result_Round2/Closure_162/result.json</x:v>
      </x:c>
      <x:c r="O4496" s="38" t="n">
        <x:f>IF(AND(G4496="RECORDED",ISNUMBER(H4496)),H4496,"")</x:f>
        <x:v>16.67</x:v>
      </x:c>
      <x:c r="P4496" s="34" t="str">
        <x:v>INCONCLUSIVE</x:v>
      </x:c>
      <x:c r="Q4496" s="34" t="str">
        <x:v>Feedback-Directed Random Test Generation/Result_Round2/Closure_162/result.json</x:v>
      </x:c>
    </x:row>
    <x:row r="4497">
      <x:c r="A4497" s="34" t="str">
        <x:v>randoop</x:v>
      </x:c>
      <x:c r="B4497" s="34" t="str">
        <x:v>Closure</x:v>
      </x:c>
      <x:c r="C4497" s="34" t="str">
        <x:v>Round2</x:v>
      </x:c>
      <x:c r="D4497" s="34" t="str">
        <x:v>Closure_163</x:v>
      </x:c>
      <x:c r="E4497" s="34" t="str">
        <x:v>Condition</x:v>
      </x:c>
      <x:c r="F4497" s="34" t="n">
        <x:v>173</x:v>
      </x:c>
      <x:c r="G4497" s="34" t="str">
        <x:v>RECORDED</x:v>
      </x:c>
      <x:c r="H4497" s="38" t="n">
        <x:f>IF(ISNUMBER('Data'!I1081),'Data'!I1081*100,"")</x:f>
        <x:v>7.51</x:v>
      </x:c>
      <x:c r="I4497" s="34" t="str">
        <x:v>PASS</x:v>
      </x:c>
      <x:c r="J4497" s="34" t="str">
        <x:v>PASS</x:v>
      </x:c>
      <x:c r="K4497" s="34" t="str">
        <x:v>PASS</x:v>
      </x:c>
      <x:c r="L4497" s="34" t="str">
        <x:v>PASS</x:v>
      </x:c>
      <x:c r="M4497" s="34" t="str">
        <x:v>numeric coverage for applicable metric</x:v>
      </x:c>
      <x:c r="N4497" s="34" t="str">
        <x:v>Feedback-Directed Random Test Generation/Result_Round2/Closure_163/result.json</x:v>
      </x:c>
      <x:c r="O4497" s="38" t="n">
        <x:f>IF(AND(G4497="RECORDED",ISNUMBER(H4497)),H4497,"")</x:f>
        <x:v>7.51</x:v>
      </x:c>
      <x:c r="P4497" s="34" t="str">
        <x:v>NOT_AVAILABLE</x:v>
      </x:c>
      <x:c r="Q4497" s="34" t="str">
        <x:v>Feedback-Directed Random Test Generation/Result_Round2/Closure_163/result.json</x:v>
      </x:c>
    </x:row>
    <x:row r="4498">
      <x:c r="A4498" s="34" t="str">
        <x:v>randoop</x:v>
      </x:c>
      <x:c r="B4498" s="34" t="str">
        <x:v>Closure</x:v>
      </x:c>
      <x:c r="C4498" s="34" t="str">
        <x:v>Round2</x:v>
      </x:c>
      <x:c r="D4498" s="34" t="str">
        <x:v>Closure_164</x:v>
      </x:c>
      <x:c r="E4498" s="34" t="str">
        <x:v>Condition</x:v>
      </x:c>
      <x:c r="F4498" s="34" t="n">
        <x:v>70</x:v>
      </x:c>
      <x:c r="G4498" s="34" t="str">
        <x:v>RECORDED</x:v>
      </x:c>
      <x:c r="H4498" s="38" t="n">
        <x:f>IF(ISNUMBER('Data'!I1082),'Data'!I1082*100,"")</x:f>
        <x:v>1.43</x:v>
      </x:c>
      <x:c r="I4498" s="34" t="str">
        <x:v>PASS</x:v>
      </x:c>
      <x:c r="J4498" s="34" t="str">
        <x:v>PASS</x:v>
      </x:c>
      <x:c r="K4498" s="34" t="str">
        <x:v>PASS</x:v>
      </x:c>
      <x:c r="L4498" s="34" t="str">
        <x:v>PASS</x:v>
      </x:c>
      <x:c r="M4498" s="34" t="str">
        <x:v>numeric coverage for applicable metric</x:v>
      </x:c>
      <x:c r="N4498" s="34" t="str">
        <x:v>Feedback-Directed Random Test Generation/Result_Round2/Closure_164/result.json</x:v>
      </x:c>
      <x:c r="O4498" s="38" t="n">
        <x:f>IF(AND(G4498="RECORDED",ISNUMBER(H4498)),H4498,"")</x:f>
        <x:v>1.43</x:v>
      </x:c>
      <x:c r="P4498" s="34" t="str">
        <x:v>NOT_REVEALING</x:v>
      </x:c>
      <x:c r="Q4498" s="34" t="str">
        <x:v>Feedback-Directed Random Test Generation/Result_Round2/Closure_164/result.json</x:v>
      </x:c>
    </x:row>
    <x:row r="4499">
      <x:c r="A4499" s="34" t="str">
        <x:v>randoop</x:v>
      </x:c>
      <x:c r="B4499" s="34" t="str">
        <x:v>Closure</x:v>
      </x:c>
      <x:c r="C4499" s="34" t="str">
        <x:v>Round2</x:v>
      </x:c>
      <x:c r="D4499" s="34" t="str">
        <x:v>Closure_165</x:v>
      </x:c>
      <x:c r="E4499" s="34" t="str">
        <x:v>Condition</x:v>
      </x:c>
      <x:c r="F4499" s="34" t="n">
        <x:v>287</x:v>
      </x:c>
      <x:c r="G4499" s="34" t="str">
        <x:v>RECORDED</x:v>
      </x:c>
      <x:c r="H4499" s="38" t="n">
        <x:f>IF(ISNUMBER('Data'!I1083),'Data'!I1083*100,"")</x:f>
        <x:v>39.72</x:v>
      </x:c>
      <x:c r="I4499" s="34" t="str">
        <x:v>PASS</x:v>
      </x:c>
      <x:c r="J4499" s="34" t="str">
        <x:v>PASS</x:v>
      </x:c>
      <x:c r="K4499" s="34" t="str">
        <x:v>PASS</x:v>
      </x:c>
      <x:c r="L4499" s="34" t="str">
        <x:v>PASS</x:v>
      </x:c>
      <x:c r="M4499" s="34" t="str">
        <x:v>numeric coverage for applicable metric</x:v>
      </x:c>
      <x:c r="N4499" s="34" t="str">
        <x:v>Feedback-Directed Random Test Generation/Result_Round2/Closure_165/result.json</x:v>
      </x:c>
      <x:c r="O4499" s="38" t="n">
        <x:f>IF(AND(G4499="RECORDED",ISNUMBER(H4499)),H4499,"")</x:f>
        <x:v>39.72</x:v>
      </x:c>
      <x:c r="P4499" s="34" t="str">
        <x:v>NOT_REVEALING</x:v>
      </x:c>
      <x:c r="Q4499" s="34" t="str">
        <x:v>Feedback-Directed Random Test Generation/Result_Round2/Closure_165/result.json</x:v>
      </x:c>
    </x:row>
    <x:row r="4500">
      <x:c r="A4500" s="34" t="str">
        <x:v>randoop</x:v>
      </x:c>
      <x:c r="B4500" s="34" t="str">
        <x:v>Closure</x:v>
      </x:c>
      <x:c r="C4500" s="34" t="str">
        <x:v>Round2</x:v>
      </x:c>
      <x:c r="D4500" s="34" t="str">
        <x:v>Closure_166</x:v>
      </x:c>
      <x:c r="E4500" s="34" t="str">
        <x:v>Condition</x:v>
      </x:c>
      <x:c r="F4500" s="34" t="n">
        <x:v>182</x:v>
      </x:c>
      <x:c r="G4500" s="34" t="str">
        <x:v>RECORDED</x:v>
      </x:c>
      <x:c r="H4500" s="38" t="n">
        <x:f>IF(ISNUMBER('Data'!I1084),'Data'!I1084*100,"")</x:f>
        <x:v>42.86</x:v>
      </x:c>
      <x:c r="I4500" s="34" t="str">
        <x:v>PASS</x:v>
      </x:c>
      <x:c r="J4500" s="34" t="str">
        <x:v>PASS</x:v>
      </x:c>
      <x:c r="K4500" s="34" t="str">
        <x:v>PASS</x:v>
      </x:c>
      <x:c r="L4500" s="34" t="str">
        <x:v>PASS</x:v>
      </x:c>
      <x:c r="M4500" s="34" t="str">
        <x:v>numeric coverage for applicable metric</x:v>
      </x:c>
      <x:c r="N4500" s="34" t="str">
        <x:v>Feedback-Directed Random Test Generation/Result_Round2/Closure_166/result.json</x:v>
      </x:c>
      <x:c r="O4500" s="38" t="n">
        <x:f>IF(AND(G4500="RECORDED",ISNUMBER(H4500)),H4500,"")</x:f>
        <x:v>42.86</x:v>
      </x:c>
      <x:c r="P4500" s="34" t="str">
        <x:v>NOT_REVEALING</x:v>
      </x:c>
      <x:c r="Q4500" s="34" t="str">
        <x:v>Feedback-Directed Random Test Generation/Result_Round2/Closure_166/result.json</x:v>
      </x:c>
    </x:row>
    <x:row r="4501">
      <x:c r="A4501" s="34" t="str">
        <x:v>randoop</x:v>
      </x:c>
      <x:c r="B4501" s="34" t="str">
        <x:v>Closure</x:v>
      </x:c>
      <x:c r="C4501" s="34" t="str">
        <x:v>Round2</x:v>
      </x:c>
      <x:c r="D4501" s="34" t="str">
        <x:v>Closure_167</x:v>
      </x:c>
      <x:c r="E4501" s="34" t="str">
        <x:v>Condition</x:v>
      </x:c>
      <x:c r="F4501" s="34" t="n">
        <x:v>376</x:v>
      </x:c>
      <x:c r="G4501" s="34" t="str">
        <x:v>RECORDED</x:v>
      </x:c>
      <x:c r="H4501" s="38" t="n">
        <x:f>IF(ISNUMBER('Data'!I1085),'Data'!I1085*100,"")</x:f>
        <x:v>0.8</x:v>
      </x:c>
      <x:c r="I4501" s="34" t="str">
        <x:v>PASS</x:v>
      </x:c>
      <x:c r="J4501" s="34" t="str">
        <x:v>PASS</x:v>
      </x:c>
      <x:c r="K4501" s="34" t="str">
        <x:v>PASS</x:v>
      </x:c>
      <x:c r="L4501" s="34" t="str">
        <x:v>PASS</x:v>
      </x:c>
      <x:c r="M4501" s="34" t="str">
        <x:v>numeric coverage for applicable metric</x:v>
      </x:c>
      <x:c r="N4501" s="34" t="str">
        <x:v>Feedback-Directed Random Test Generation/Result_Round2/Closure_167/result.json</x:v>
      </x:c>
      <x:c r="O4501" s="38" t="n">
        <x:f>IF(AND(G4501="RECORDED",ISNUMBER(H4501)),H4501,"")</x:f>
        <x:v>0.8</x:v>
      </x:c>
      <x:c r="P4501" s="34" t="str">
        <x:v>NOT_REVEALING</x:v>
      </x:c>
      <x:c r="Q4501" s="34" t="str">
        <x:v>Feedback-Directed Random Test Generation/Result_Round2/Closure_167/result.json</x:v>
      </x:c>
    </x:row>
    <x:row r="4502">
      <x:c r="A4502" s="34" t="str">
        <x:v>randoop</x:v>
      </x:c>
      <x:c r="B4502" s="34" t="str">
        <x:v>Closure</x:v>
      </x:c>
      <x:c r="C4502" s="34" t="str">
        <x:v>Round2</x:v>
      </x:c>
      <x:c r="D4502" s="34" t="str">
        <x:v>Closure_168</x:v>
      </x:c>
      <x:c r="E4502" s="34" t="str">
        <x:v>Condition</x:v>
      </x:c>
      <x:c r="F4502" s="34" t="n">
        <x:v>703</x:v>
      </x:c>
      <x:c r="G4502" s="34" t="str">
        <x:v>RECORDED</x:v>
      </x:c>
      <x:c r="H4502" s="38" t="n">
        <x:f>IF(ISNUMBER('Data'!I1086),'Data'!I1086*100,"")</x:f>
        <x:v>0</x:v>
      </x:c>
      <x:c r="I4502" s="34" t="str">
        <x:v>PASS</x:v>
      </x:c>
      <x:c r="J4502" s="34" t="str">
        <x:v>PASS</x:v>
      </x:c>
      <x:c r="K4502" s="34" t="str">
        <x:v>PASS</x:v>
      </x:c>
      <x:c r="L4502" s="34" t="str">
        <x:v>PASS</x:v>
      </x:c>
      <x:c r="M4502" s="34" t="str">
        <x:v>numeric coverage for applicable metric</x:v>
      </x:c>
      <x:c r="N4502" s="34" t="str">
        <x:v>Feedback-Directed Random Test Generation/Result_Round2/Closure_168/result.json</x:v>
      </x:c>
      <x:c r="O4502" s="38" t="n">
        <x:f>IF(AND(G4502="RECORDED",ISNUMBER(H4502)),H4502,"")</x:f>
        <x:v>0</x:v>
      </x:c>
      <x:c r="P4502" s="34" t="str">
        <x:v>NOT_REVEALING</x:v>
      </x:c>
      <x:c r="Q4502" s="34" t="str">
        <x:v>Feedback-Directed Random Test Generation/Result_Round2/Closure_168/result.json</x:v>
      </x:c>
    </x:row>
    <x:row r="4503">
      <x:c r="A4503" s="34" t="str">
        <x:v>randoop</x:v>
      </x:c>
      <x:c r="B4503" s="34" t="str">
        <x:v>Closure</x:v>
      </x:c>
      <x:c r="C4503" s="34" t="str">
        <x:v>Round2</x:v>
      </x:c>
      <x:c r="D4503" s="34" t="str">
        <x:v>Closure_169</x:v>
      </x:c>
      <x:c r="E4503" s="34" t="str">
        <x:v>Condition</x:v>
      </x:c>
      <x:c r="F4503" s="34" t="n">
        <x:v>1006</x:v>
      </x:c>
      <x:c r="G4503" s="34" t="str">
        <x:v>RECORDED</x:v>
      </x:c>
      <x:c r="H4503" s="38" t="n">
        <x:f>IF(ISNUMBER('Data'!I1087),'Data'!I1087*100,"")</x:f>
        <x:v>3.4799999999999995</x:v>
      </x:c>
      <x:c r="I4503" s="34" t="str">
        <x:v>PASS</x:v>
      </x:c>
      <x:c r="J4503" s="34" t="str">
        <x:v>PASS</x:v>
      </x:c>
      <x:c r="K4503" s="34" t="str">
        <x:v>PASS</x:v>
      </x:c>
      <x:c r="L4503" s="34" t="str">
        <x:v>PASS</x:v>
      </x:c>
      <x:c r="M4503" s="34" t="str">
        <x:v>numeric coverage for applicable metric</x:v>
      </x:c>
      <x:c r="N4503" s="34" t="str">
        <x:v>Feedback-Directed Random Test Generation/Result_Round2/Closure_169/result.json</x:v>
      </x:c>
      <x:c r="O4503" s="38" t="n">
        <x:f>IF(AND(G4503="RECORDED",ISNUMBER(H4503)),H4503,"")</x:f>
        <x:v>3.4799999999999995</x:v>
      </x:c>
      <x:c r="P4503" s="34" t="str">
        <x:v>NOT_REVEALING</x:v>
      </x:c>
      <x:c r="Q4503" s="34" t="str">
        <x:v>Feedback-Directed Random Test Generation/Result_Round2/Closure_169/result.json</x:v>
      </x:c>
    </x:row>
    <x:row r="4504">
      <x:c r="A4504" s="34" t="str">
        <x:v>randoop</x:v>
      </x:c>
      <x:c r="B4504" s="34" t="str">
        <x:v>Closure</x:v>
      </x:c>
      <x:c r="C4504" s="34" t="str">
        <x:v>Round2</x:v>
      </x:c>
      <x:c r="D4504" s="34" t="str">
        <x:v>Closure_170</x:v>
      </x:c>
      <x:c r="E4504" s="34" t="str">
        <x:v>Condition</x:v>
      </x:c>
      <x:c r="F4504" s="34" t="n">
        <x:v>132</x:v>
      </x:c>
      <x:c r="G4504" s="34" t="str">
        <x:v>RECORDED</x:v>
      </x:c>
      <x:c r="H4504" s="38" t="n">
        <x:f>IF(ISNUMBER('Data'!I1088),'Data'!I1088*100,"")</x:f>
        <x:v>0</x:v>
      </x:c>
      <x:c r="I4504" s="34" t="str">
        <x:v>PASS</x:v>
      </x:c>
      <x:c r="J4504" s="34" t="str">
        <x:v>PASS</x:v>
      </x:c>
      <x:c r="K4504" s="34" t="str">
        <x:v>PASS</x:v>
      </x:c>
      <x:c r="L4504" s="34" t="str">
        <x:v>PASS</x:v>
      </x:c>
      <x:c r="M4504" s="34" t="str">
        <x:v>numeric coverage for applicable metric</x:v>
      </x:c>
      <x:c r="N4504" s="34" t="str">
        <x:v>Feedback-Directed Random Test Generation/Result_Round2/Closure_170/result.json</x:v>
      </x:c>
      <x:c r="O4504" s="38" t="n">
        <x:f>IF(AND(G4504="RECORDED",ISNUMBER(H4504)),H4504,"")</x:f>
        <x:v>0</x:v>
      </x:c>
      <x:c r="P4504" s="34" t="str">
        <x:v>NOT_REVEALING</x:v>
      </x:c>
      <x:c r="Q4504" s="34" t="str">
        <x:v>Feedback-Directed Random Test Generation/Result_Round2/Closure_170/result.json</x:v>
      </x:c>
    </x:row>
    <x:row r="4505">
      <x:c r="A4505" s="34" t="str">
        <x:v>randoop</x:v>
      </x:c>
      <x:c r="B4505" s="34" t="str">
        <x:v>Closure</x:v>
      </x:c>
      <x:c r="C4505" s="34" t="str">
        <x:v>Round2</x:v>
      </x:c>
      <x:c r="D4505" s="34" t="str">
        <x:v>Closure_171</x:v>
      </x:c>
      <x:c r="E4505" s="34" t="str">
        <x:v>Condition</x:v>
      </x:c>
      <x:c r="F4505" s="34" t="n">
        <x:v>1217</x:v>
      </x:c>
      <x:c r="G4505" s="34" t="str">
        <x:v>RECORDED</x:v>
      </x:c>
      <x:c r="H4505" s="38" t="n">
        <x:f>IF(ISNUMBER('Data'!I1089),'Data'!I1089*100,"")</x:f>
        <x:v>0.16</x:v>
      </x:c>
      <x:c r="I4505" s="34" t="str">
        <x:v>PASS</x:v>
      </x:c>
      <x:c r="J4505" s="34" t="str">
        <x:v>PASS</x:v>
      </x:c>
      <x:c r="K4505" s="34" t="str">
        <x:v>PASS</x:v>
      </x:c>
      <x:c r="L4505" s="34" t="str">
        <x:v>PASS</x:v>
      </x:c>
      <x:c r="M4505" s="34" t="str">
        <x:v>numeric coverage for applicable metric</x:v>
      </x:c>
      <x:c r="N4505" s="34" t="str">
        <x:v>Feedback-Directed Random Test Generation/Result_Round2/Closure_171/result.json</x:v>
      </x:c>
      <x:c r="O4505" s="38" t="n">
        <x:f>IF(AND(G4505="RECORDED",ISNUMBER(H4505)),H4505,"")</x:f>
        <x:v>0.16</x:v>
      </x:c>
      <x:c r="P4505" s="34" t="str">
        <x:v>NOT_REVEALING</x:v>
      </x:c>
      <x:c r="Q4505" s="34" t="str">
        <x:v>Feedback-Directed Random Test Generation/Result_Round2/Closure_171/result.json</x:v>
      </x:c>
    </x:row>
    <x:row r="4506">
      <x:c r="A4506" s="34" t="str">
        <x:v>randoop</x:v>
      </x:c>
      <x:c r="B4506" s="34" t="str">
        <x:v>Closure</x:v>
      </x:c>
      <x:c r="C4506" s="34" t="str">
        <x:v>Round2</x:v>
      </x:c>
      <x:c r="D4506" s="34" t="str">
        <x:v>Closure_172</x:v>
      </x:c>
      <x:c r="E4506" s="34" t="str">
        <x:v>Condition</x:v>
      </x:c>
      <x:c r="F4506" s="34" t="n">
        <x:v>762</x:v>
      </x:c>
      <x:c r="G4506" s="34" t="str">
        <x:v>RECORDED</x:v>
      </x:c>
      <x:c r="H4506" s="38" t="n">
        <x:f>IF(ISNUMBER('Data'!I1090),'Data'!I1090*100,"")</x:f>
        <x:v>0</x:v>
      </x:c>
      <x:c r="I4506" s="34" t="str">
        <x:v>PASS</x:v>
      </x:c>
      <x:c r="J4506" s="34" t="str">
        <x:v>PASS</x:v>
      </x:c>
      <x:c r="K4506" s="34" t="str">
        <x:v>PASS</x:v>
      </x:c>
      <x:c r="L4506" s="34" t="str">
        <x:v>PASS</x:v>
      </x:c>
      <x:c r="M4506" s="34" t="str">
        <x:v>numeric coverage for applicable metric</x:v>
      </x:c>
      <x:c r="N4506" s="34" t="str">
        <x:v>Feedback-Directed Random Test Generation/Result_Round2/Closure_172/result.json</x:v>
      </x:c>
      <x:c r="O4506" s="38" t="n">
        <x:f>IF(AND(G4506="RECORDED",ISNUMBER(H4506)),H4506,"")</x:f>
        <x:v>0</x:v>
      </x:c>
      <x:c r="P4506" s="34" t="str">
        <x:v>NOT_REVEALING</x:v>
      </x:c>
      <x:c r="Q4506" s="34" t="str">
        <x:v>Feedback-Directed Random Test Generation/Result_Round2/Closure_172/result.json</x:v>
      </x:c>
    </x:row>
    <x:row r="4507">
      <x:c r="A4507" s="34" t="str">
        <x:v>randoop</x:v>
      </x:c>
      <x:c r="B4507" s="34" t="str">
        <x:v>Closure</x:v>
      </x:c>
      <x:c r="C4507" s="34" t="str">
        <x:v>Round2</x:v>
      </x:c>
      <x:c r="D4507" s="34" t="str">
        <x:v>Closure_173</x:v>
      </x:c>
      <x:c r="E4507" s="34" t="str">
        <x:v>Condition</x:v>
      </x:c>
      <x:c r="F4507" s="34" t="n">
        <x:v>685</x:v>
      </x:c>
      <x:c r="G4507" s="34" t="str">
        <x:v>RECORDED</x:v>
      </x:c>
      <x:c r="H4507" s="38" t="n">
        <x:f>IF(ISNUMBER('Data'!I1091),'Data'!I1091*100,"")</x:f>
        <x:v>3.07</x:v>
      </x:c>
      <x:c r="I4507" s="34" t="str">
        <x:v>PASS</x:v>
      </x:c>
      <x:c r="J4507" s="34" t="str">
        <x:v>PASS</x:v>
      </x:c>
      <x:c r="K4507" s="34" t="str">
        <x:v>PASS</x:v>
      </x:c>
      <x:c r="L4507" s="34" t="str">
        <x:v>PASS</x:v>
      </x:c>
      <x:c r="M4507" s="34" t="str">
        <x:v>numeric coverage for applicable metric</x:v>
      </x:c>
      <x:c r="N4507" s="34" t="str">
        <x:v>Feedback-Directed Random Test Generation/Result_Round2/Closure_173/result.json</x:v>
      </x:c>
      <x:c r="O4507" s="38" t="n">
        <x:f>IF(AND(G4507="RECORDED",ISNUMBER(H4507)),H4507,"")</x:f>
        <x:v>3.07</x:v>
      </x:c>
      <x:c r="P4507" s="34" t="str">
        <x:v>NOT_REVEALING</x:v>
      </x:c>
      <x:c r="Q4507" s="34" t="str">
        <x:v>Feedback-Directed Random Test Generation/Result_Round2/Closure_173/result.json</x:v>
      </x:c>
    </x:row>
    <x:row r="4508">
      <x:c r="A4508" s="34" t="str">
        <x:v>randoop</x:v>
      </x:c>
      <x:c r="B4508" s="34" t="str">
        <x:v>Closure</x:v>
      </x:c>
      <x:c r="C4508" s="34" t="str">
        <x:v>Round2</x:v>
      </x:c>
      <x:c r="D4508" s="34" t="str">
        <x:v>Closure_174</x:v>
      </x:c>
      <x:c r="E4508" s="34" t="str">
        <x:v>Condition</x:v>
      </x:c>
      <x:c r="F4508" s="34" t="n">
        <x:v>1244</x:v>
      </x:c>
      <x:c r="G4508" s="34" t="str">
        <x:v>RECORDED</x:v>
      </x:c>
      <x:c r="H4508" s="38" t="n">
        <x:f>IF(ISNUMBER('Data'!I1092),'Data'!I1092*100,"")</x:f>
        <x:v>27.49</x:v>
      </x:c>
      <x:c r="I4508" s="34" t="str">
        <x:v>PASS</x:v>
      </x:c>
      <x:c r="J4508" s="34" t="str">
        <x:v>PASS</x:v>
      </x:c>
      <x:c r="K4508" s="34" t="str">
        <x:v>PASS</x:v>
      </x:c>
      <x:c r="L4508" s="34" t="str">
        <x:v>PASS</x:v>
      </x:c>
      <x:c r="M4508" s="34" t="str">
        <x:v>numeric coverage for applicable metric</x:v>
      </x:c>
      <x:c r="N4508" s="34" t="str">
        <x:v>Feedback-Directed Random Test Generation/Result_Round2/Closure_174/result.json</x:v>
      </x:c>
      <x:c r="O4508" s="38" t="n">
        <x:f>IF(AND(G4508="RECORDED",ISNUMBER(H4508)),H4508,"")</x:f>
        <x:v>27.49</x:v>
      </x:c>
      <x:c r="P4508" s="34" t="str">
        <x:v>NOT_REVEALING</x:v>
      </x:c>
      <x:c r="Q4508" s="34" t="str">
        <x:v>Feedback-Directed Random Test Generation/Result_Round2/Closure_174/result.json</x:v>
      </x:c>
    </x:row>
    <x:row r="4509">
      <x:c r="A4509" s="34" t="str">
        <x:v>randoop</x:v>
      </x:c>
      <x:c r="B4509" s="34" t="str">
        <x:v>Closure</x:v>
      </x:c>
      <x:c r="C4509" s="34" t="str">
        <x:v>Round2</x:v>
      </x:c>
      <x:c r="D4509" s="34" t="str">
        <x:v>Closure_175</x:v>
      </x:c>
      <x:c r="E4509" s="34" t="str">
        <x:v>Condition</x:v>
      </x:c>
      <x:c r="F4509" s="34" t="n">
        <x:v>218</x:v>
      </x:c>
      <x:c r="G4509" s="34" t="str">
        <x:v>RECORDED</x:v>
      </x:c>
      <x:c r="H4509" s="38" t="n">
        <x:f>IF(ISNUMBER('Data'!I1093),'Data'!I1093*100,"")</x:f>
        <x:v>0</x:v>
      </x:c>
      <x:c r="I4509" s="34" t="str">
        <x:v>PASS</x:v>
      </x:c>
      <x:c r="J4509" s="34" t="str">
        <x:v>PASS</x:v>
      </x:c>
      <x:c r="K4509" s="34" t="str">
        <x:v>PASS</x:v>
      </x:c>
      <x:c r="L4509" s="34" t="str">
        <x:v>PASS</x:v>
      </x:c>
      <x:c r="M4509" s="34" t="str">
        <x:v>numeric coverage for applicable metric</x:v>
      </x:c>
      <x:c r="N4509" s="34" t="str">
        <x:v>Feedback-Directed Random Test Generation/Result_Round2/Closure_175/result.json</x:v>
      </x:c>
      <x:c r="O4509" s="38" t="n">
        <x:f>IF(AND(G4509="RECORDED",ISNUMBER(H4509)),H4509,"")</x:f>
        <x:v>0</x:v>
      </x:c>
      <x:c r="P4509" s="34" t="str">
        <x:v>NOT_REVEALING</x:v>
      </x:c>
      <x:c r="Q4509" s="34" t="str">
        <x:v>Feedback-Directed Random Test Generation/Result_Round2/Closure_175/result.json</x:v>
      </x:c>
    </x:row>
    <x:row r="4510">
      <x:c r="A4510" s="34" t="str">
        <x:v>randoop</x:v>
      </x:c>
      <x:c r="B4510" s="34" t="str">
        <x:v>Closure</x:v>
      </x:c>
      <x:c r="C4510" s="34" t="str">
        <x:v>Round2</x:v>
      </x:c>
      <x:c r="D4510" s="34" t="str">
        <x:v>Closure_176</x:v>
      </x:c>
      <x:c r="E4510" s="34" t="str">
        <x:v>Condition</x:v>
      </x:c>
      <x:c r="F4510" s="34" t="n">
        <x:v>485</x:v>
      </x:c>
      <x:c r="G4510" s="34" t="str">
        <x:v>RECORDED</x:v>
      </x:c>
      <x:c r="H4510" s="38" t="n">
        <x:f>IF(ISNUMBER('Data'!I1094),'Data'!I1094*100,"")</x:f>
        <x:v>0.4099999999999999</x:v>
      </x:c>
      <x:c r="I4510" s="34" t="str">
        <x:v>PASS</x:v>
      </x:c>
      <x:c r="J4510" s="34" t="str">
        <x:v>PASS</x:v>
      </x:c>
      <x:c r="K4510" s="34" t="str">
        <x:v>PASS</x:v>
      </x:c>
      <x:c r="L4510" s="34" t="str">
        <x:v>PASS</x:v>
      </x:c>
      <x:c r="M4510" s="34" t="str">
        <x:v>numeric coverage for applicable metric</x:v>
      </x:c>
      <x:c r="N4510" s="34" t="str">
        <x:v>Feedback-Directed Random Test Generation/Result_Round2/Closure_176/result.json</x:v>
      </x:c>
      <x:c r="O4510" s="38" t="n">
        <x:f>IF(AND(G4510="RECORDED",ISNUMBER(H4510)),H4510,"")</x:f>
        <x:v>0.4099999999999999</x:v>
      </x:c>
      <x:c r="P4510" s="34" t="str">
        <x:v>NOT_REVEALING</x:v>
      </x:c>
      <x:c r="Q4510" s="34" t="str">
        <x:v>Feedback-Directed Random Test Generation/Result_Round2/Closure_176/result.json</x:v>
      </x:c>
    </x:row>
    <x:row r="4511">
      <x:c r="A4511" s="34" t="str">
        <x:v>randoop</x:v>
      </x:c>
      <x:c r="B4511" s="34" t="str">
        <x:v>Codec</x:v>
      </x:c>
      <x:c r="C4511" s="34" t="str">
        <x:v>Round2</x:v>
      </x:c>
      <x:c r="D4511" s="34" t="str">
        <x:v>Codec_1</x:v>
      </x:c>
      <x:c r="E4511" s="34" t="str">
        <x:v>Condition</x:v>
      </x:c>
      <x:c r="F4511" s="34" t="n">
        <x:v>184</x:v>
      </x:c>
      <x:c r="G4511" s="34" t="str">
        <x:v>RECORDED</x:v>
      </x:c>
      <x:c r="H4511" s="38" t="n">
        <x:f>IF(ISNUMBER('Data'!I1095),'Data'!I1095*100,"")</x:f>
        <x:v>33.15</x:v>
      </x:c>
      <x:c r="I4511" s="34" t="str">
        <x:v>PASS</x:v>
      </x:c>
      <x:c r="J4511" s="34" t="str">
        <x:v>PASS</x:v>
      </x:c>
      <x:c r="K4511" s="34" t="str">
        <x:v>PASS</x:v>
      </x:c>
      <x:c r="L4511" s="34" t="str">
        <x:v>FAIL</x:v>
      </x:c>
      <x:c r="M4511" s="34" t="str">
        <x:v>numeric coverage for applicable metric</x:v>
      </x:c>
      <x:c r="N4511" s="34" t="str">
        <x:v>Feedback-Directed Random Test Generation/Result_Round2/Codec_1/result.json</x:v>
      </x:c>
      <x:c r="O4511" s="38" t="n">
        <x:f>IF(AND(G4511="RECORDED",ISNUMBER(H4511)),H4511,"")</x:f>
        <x:v>33.15</x:v>
      </x:c>
      <x:c r="P4511" s="34" t="str">
        <x:v>INCONCLUSIVE</x:v>
      </x:c>
      <x:c r="Q4511" s="34" t="str">
        <x:v>Feedback-Directed Random Test Generation/Result_Round2/Codec_1/result.json</x:v>
      </x:c>
    </x:row>
    <x:row r="4512">
      <x:c r="A4512" s="34" t="str">
        <x:v>randoop</x:v>
      </x:c>
      <x:c r="B4512" s="34" t="str">
        <x:v>Codec</x:v>
      </x:c>
      <x:c r="C4512" s="34" t="str">
        <x:v>Round2</x:v>
      </x:c>
      <x:c r="D4512" s="34" t="str">
        <x:v>Codec_2</x:v>
      </x:c>
      <x:c r="E4512" s="34" t="str">
        <x:v>Condition</x:v>
      </x:c>
      <x:c r="F4512" s="34" t="n">
        <x:v>146</x:v>
      </x:c>
      <x:c r="G4512" s="34" t="str">
        <x:v>RECORDED</x:v>
      </x:c>
      <x:c r="H4512" s="38" t="n">
        <x:f>IF(ISNUMBER('Data'!I1096),'Data'!I1096*100,"")</x:f>
        <x:v>91.78</x:v>
      </x:c>
      <x:c r="I4512" s="34" t="str">
        <x:v>PASS</x:v>
      </x:c>
      <x:c r="J4512" s="34" t="str">
        <x:v>PASS</x:v>
      </x:c>
      <x:c r="K4512" s="34" t="str">
        <x:v>PASS</x:v>
      </x:c>
      <x:c r="L4512" s="34" t="str">
        <x:v>PASS</x:v>
      </x:c>
      <x:c r="M4512" s="34" t="str">
        <x:v>numeric coverage for applicable metric</x:v>
      </x:c>
      <x:c r="N4512" s="34" t="str">
        <x:v>Feedback-Directed Random Test Generation/Result_Round2/Codec_2/result.json</x:v>
      </x:c>
      <x:c r="O4512" s="38" t="n">
        <x:f>IF(AND(G4512="RECORDED",ISNUMBER(H4512)),H4512,"")</x:f>
        <x:v>91.78</x:v>
      </x:c>
      <x:c r="P4512" s="34" t="str">
        <x:v>INCONCLUSIVE</x:v>
      </x:c>
      <x:c r="Q4512" s="34" t="str">
        <x:v>Feedback-Directed Random Test Generation/Result_Round2/Codec_2/result.json</x:v>
      </x:c>
    </x:row>
    <x:row r="4513">
      <x:c r="A4513" s="34" t="str">
        <x:v>randoop</x:v>
      </x:c>
      <x:c r="B4513" s="34" t="str">
        <x:v>Codec</x:v>
      </x:c>
      <x:c r="C4513" s="34" t="str">
        <x:v>Round2</x:v>
      </x:c>
      <x:c r="D4513" s="34" t="str">
        <x:v>Codec_3</x:v>
      </x:c>
      <x:c r="E4513" s="34" t="str">
        <x:v>Condition</x:v>
      </x:c>
      <x:c r="F4513" s="34" t="n">
        <x:v>450</x:v>
      </x:c>
      <x:c r="G4513" s="34" t="str">
        <x:v>RECORDED</x:v>
      </x:c>
      <x:c r="H4513" s="38" t="n">
        <x:f>IF(ISNUMBER('Data'!I1097),'Data'!I1097*100,"")</x:f>
        <x:v>12.89</x:v>
      </x:c>
      <x:c r="I4513" s="34" t="str">
        <x:v>PASS</x:v>
      </x:c>
      <x:c r="J4513" s="34" t="str">
        <x:v>PASS</x:v>
      </x:c>
      <x:c r="K4513" s="34" t="str">
        <x:v>PASS</x:v>
      </x:c>
      <x:c r="L4513" s="34" t="str">
        <x:v>FAIL</x:v>
      </x:c>
      <x:c r="M4513" s="34" t="str">
        <x:v>numeric coverage for applicable metric</x:v>
      </x:c>
      <x:c r="N4513" s="34" t="str">
        <x:v>Feedback-Directed Random Test Generation/Result_Round2/Codec_3/result.json</x:v>
      </x:c>
      <x:c r="O4513" s="38" t="n">
        <x:f>IF(AND(G4513="RECORDED",ISNUMBER(H4513)),H4513,"")</x:f>
        <x:v>12.89</x:v>
      </x:c>
      <x:c r="P4513" s="34" t="str">
        <x:v>INCONCLUSIVE</x:v>
      </x:c>
      <x:c r="Q4513" s="34" t="str">
        <x:v>Feedback-Directed Random Test Generation/Result_Round2/Codec_3/result.json</x:v>
      </x:c>
    </x:row>
    <x:row r="4514">
      <x:c r="A4514" s="34" t="str">
        <x:v>randoop</x:v>
      </x:c>
      <x:c r="B4514" s="34" t="str">
        <x:v>Codec</x:v>
      </x:c>
      <x:c r="C4514" s="34" t="str">
        <x:v>Round2</x:v>
      </x:c>
      <x:c r="D4514" s="34" t="str">
        <x:v>Codec_4</x:v>
      </x:c>
      <x:c r="E4514" s="34" t="str">
        <x:v>Condition</x:v>
      </x:c>
      <x:c r="F4514" s="34" t="n">
        <x:v>158</x:v>
      </x:c>
      <x:c r="G4514" s="34" t="str">
        <x:v>RECORDED</x:v>
      </x:c>
      <x:c r="H4514" s="38" t="n">
        <x:f>IF(ISNUMBER('Data'!I1098),'Data'!I1098*100,"")</x:f>
        <x:v>95.57</x:v>
      </x:c>
      <x:c r="I4514" s="34" t="str">
        <x:v>PASS</x:v>
      </x:c>
      <x:c r="J4514" s="34" t="str">
        <x:v>PASS</x:v>
      </x:c>
      <x:c r="K4514" s="34" t="str">
        <x:v>PASS</x:v>
      </x:c>
      <x:c r="L4514" s="34" t="str">
        <x:v>PASS</x:v>
      </x:c>
      <x:c r="M4514" s="34" t="str">
        <x:v>numeric coverage for applicable metric</x:v>
      </x:c>
      <x:c r="N4514" s="34" t="str">
        <x:v>Feedback-Directed Random Test Generation/Result_Round2/Codec_4/result.json</x:v>
      </x:c>
      <x:c r="O4514" s="38" t="n">
        <x:f>IF(AND(G4514="RECORDED",ISNUMBER(H4514)),H4514,"")</x:f>
        <x:v>95.57</x:v>
      </x:c>
      <x:c r="P4514" s="34" t="str">
        <x:v>INCONCLUSIVE</x:v>
      </x:c>
      <x:c r="Q4514" s="34" t="str">
        <x:v>Feedback-Directed Random Test Generation/Result_Round2/Codec_4/result.json</x:v>
      </x:c>
    </x:row>
    <x:row r="4515">
      <x:c r="A4515" s="34" t="str">
        <x:v>randoop</x:v>
      </x:c>
      <x:c r="B4515" s="34" t="str">
        <x:v>Codec</x:v>
      </x:c>
      <x:c r="C4515" s="34" t="str">
        <x:v>Round2</x:v>
      </x:c>
      <x:c r="D4515" s="34" t="str">
        <x:v>Codec_5</x:v>
      </x:c>
      <x:c r="E4515" s="34" t="str">
        <x:v>Condition</x:v>
      </x:c>
      <x:c r="F4515" s="34" t="n">
        <x:v>158</x:v>
      </x:c>
      <x:c r="G4515" s="34" t="str">
        <x:v>RECORDED</x:v>
      </x:c>
      <x:c r="H4515" s="38" t="n">
        <x:f>IF(ISNUMBER('Data'!I1099),'Data'!I1099*100,"")</x:f>
        <x:v>94.94</x:v>
      </x:c>
      <x:c r="I4515" s="34" t="str">
        <x:v>PASS</x:v>
      </x:c>
      <x:c r="J4515" s="34" t="str">
        <x:v>PASS</x:v>
      </x:c>
      <x:c r="K4515" s="34" t="str">
        <x:v>PASS</x:v>
      </x:c>
      <x:c r="L4515" s="34" t="str">
        <x:v>PASS</x:v>
      </x:c>
      <x:c r="M4515" s="34" t="str">
        <x:v>numeric coverage for applicable metric</x:v>
      </x:c>
      <x:c r="N4515" s="34" t="str">
        <x:v>Feedback-Directed Random Test Generation/Result_Round2/Codec_5/result.json</x:v>
      </x:c>
      <x:c r="O4515" s="38" t="n">
        <x:f>IF(AND(G4515="RECORDED",ISNUMBER(H4515)),H4515,"")</x:f>
        <x:v>94.94</x:v>
      </x:c>
      <x:c r="P4515" s="34" t="str">
        <x:v>NOT_REVEALING</x:v>
      </x:c>
      <x:c r="Q4515" s="34" t="str">
        <x:v>Feedback-Directed Random Test Generation/Result_Round2/Codec_5/result.json</x:v>
      </x:c>
    </x:row>
    <x:row r="4516">
      <x:c r="A4516" s="34" t="str">
        <x:v>randoop</x:v>
      </x:c>
      <x:c r="B4516" s="34" t="str">
        <x:v>Codec</x:v>
      </x:c>
      <x:c r="C4516" s="34" t="str">
        <x:v>Round2</x:v>
      </x:c>
      <x:c r="D4516" s="34" t="str">
        <x:v>Codec_6</x:v>
      </x:c>
      <x:c r="E4516" s="34" t="str">
        <x:v>Condition</x:v>
      </x:c>
      <x:c r="F4516" s="34" t="n">
        <x:v>28</x:v>
      </x:c>
      <x:c r="G4516" s="34" t="str">
        <x:v>RECORDED</x:v>
      </x:c>
      <x:c r="H4516" s="38" t="n">
        <x:f>IF(ISNUMBER('Data'!I1100),'Data'!I1100*100,"")</x:f>
        <x:v>75</x:v>
      </x:c>
      <x:c r="I4516" s="34" t="str">
        <x:v>PASS</x:v>
      </x:c>
      <x:c r="J4516" s="34" t="str">
        <x:v>PASS</x:v>
      </x:c>
      <x:c r="K4516" s="34" t="str">
        <x:v>PASS</x:v>
      </x:c>
      <x:c r="L4516" s="34" t="str">
        <x:v>PASS</x:v>
      </x:c>
      <x:c r="M4516" s="34" t="str">
        <x:v>numeric coverage for applicable metric</x:v>
      </x:c>
      <x:c r="N4516" s="34" t="str">
        <x:v>Feedback-Directed Random Test Generation/Result_Round2/Codec_6/result.json</x:v>
      </x:c>
      <x:c r="O4516" s="38" t="n">
        <x:f>IF(AND(G4516="RECORDED",ISNUMBER(H4516)),H4516,"")</x:f>
        <x:v>75</x:v>
      </x:c>
      <x:c r="P4516" s="34" t="str">
        <x:v>INCONCLUSIVE</x:v>
      </x:c>
      <x:c r="Q4516" s="34" t="str">
        <x:v>Feedback-Directed Random Test Generation/Result_Round2/Codec_6/result.json</x:v>
      </x:c>
    </x:row>
    <x:row r="4517">
      <x:c r="A4517" s="34" t="str">
        <x:v>randoop</x:v>
      </x:c>
      <x:c r="B4517" s="34" t="str">
        <x:v>Codec</x:v>
      </x:c>
      <x:c r="C4517" s="34" t="str">
        <x:v>Round2</x:v>
      </x:c>
      <x:c r="D4517" s="34" t="str">
        <x:v>Codec_7</x:v>
      </x:c>
      <x:c r="E4517" s="34" t="str">
        <x:v>Condition</x:v>
      </x:c>
      <x:c r="F4517" s="34" t="n">
        <x:v>162</x:v>
      </x:c>
      <x:c r="G4517" s="34" t="str">
        <x:v>RECORDED</x:v>
      </x:c>
      <x:c r="H4517" s="38" t="n">
        <x:f>IF(ISNUMBER('Data'!I1101),'Data'!I1101*100,"")</x:f>
        <x:v>94.44</x:v>
      </x:c>
      <x:c r="I4517" s="34" t="str">
        <x:v>PASS</x:v>
      </x:c>
      <x:c r="J4517" s="34" t="str">
        <x:v>PASS</x:v>
      </x:c>
      <x:c r="K4517" s="34" t="str">
        <x:v>PASS</x:v>
      </x:c>
      <x:c r="L4517" s="34" t="str">
        <x:v>PASS</x:v>
      </x:c>
      <x:c r="M4517" s="34" t="str">
        <x:v>numeric coverage for applicable metric</x:v>
      </x:c>
      <x:c r="N4517" s="34" t="str">
        <x:v>Feedback-Directed Random Test Generation/Result_Round2/Codec_7/result.json</x:v>
      </x:c>
      <x:c r="O4517" s="38" t="n">
        <x:f>IF(AND(G4517="RECORDED",ISNUMBER(H4517)),H4517,"")</x:f>
        <x:v>94.44</x:v>
      </x:c>
      <x:c r="P4517" s="34" t="str">
        <x:v>INCONCLUSIVE</x:v>
      </x:c>
      <x:c r="Q4517" s="34" t="str">
        <x:v>Feedback-Directed Random Test Generation/Result_Round2/Codec_7/result.json</x:v>
      </x:c>
    </x:row>
    <x:row r="4518">
      <x:c r="A4518" s="34" t="str">
        <x:v>randoop</x:v>
      </x:c>
      <x:c r="B4518" s="34" t="str">
        <x:v>Codec</x:v>
      </x:c>
      <x:c r="C4518" s="34" t="str">
        <x:v>Round2</x:v>
      </x:c>
      <x:c r="D4518" s="34" t="str">
        <x:v>Codec_8</x:v>
      </x:c>
      <x:c r="E4518" s="34" t="str">
        <x:v>Condition</x:v>
      </x:c>
      <x:c r="F4518" s="34" t="n">
        <x:v>186</x:v>
      </x:c>
      <x:c r="G4518" s="34" t="str">
        <x:v>RECORDED</x:v>
      </x:c>
      <x:c r="H4518" s="38" t="n">
        <x:f>IF(ISNUMBER('Data'!I1102),'Data'!I1102*100,"")</x:f>
        <x:v>87.1</x:v>
      </x:c>
      <x:c r="I4518" s="34" t="str">
        <x:v>PASS</x:v>
      </x:c>
      <x:c r="J4518" s="34" t="str">
        <x:v>PASS</x:v>
      </x:c>
      <x:c r="K4518" s="34" t="str">
        <x:v>PASS</x:v>
      </x:c>
      <x:c r="L4518" s="34" t="str">
        <x:v>PASS</x:v>
      </x:c>
      <x:c r="M4518" s="34" t="str">
        <x:v>numeric coverage for applicable metric</x:v>
      </x:c>
      <x:c r="N4518" s="34" t="str">
        <x:v>Feedback-Directed Random Test Generation/Result_Round2/Codec_8/result.json</x:v>
      </x:c>
      <x:c r="O4518" s="38" t="n">
        <x:f>IF(AND(G4518="RECORDED",ISNUMBER(H4518)),H4518,"")</x:f>
        <x:v>87.1</x:v>
      </x:c>
      <x:c r="P4518" s="34" t="str">
        <x:v>NOT_AVAILABLE</x:v>
      </x:c>
      <x:c r="Q4518" s="34" t="str">
        <x:v>Feedback-Directed Random Test Generation/Result_Round2/Codec_8/result.json</x:v>
      </x:c>
    </x:row>
    <x:row r="4519">
      <x:c r="A4519" s="34" t="str">
        <x:v>randoop</x:v>
      </x:c>
      <x:c r="B4519" s="34" t="str">
        <x:v>Codec</x:v>
      </x:c>
      <x:c r="C4519" s="34" t="str">
        <x:v>Round2</x:v>
      </x:c>
      <x:c r="D4519" s="34" t="str">
        <x:v>Codec_9</x:v>
      </x:c>
      <x:c r="E4519" s="34" t="str">
        <x:v>Condition</x:v>
      </x:c>
      <x:c r="F4519" s="34" t="n">
        <x:v>152</x:v>
      </x:c>
      <x:c r="G4519" s="34" t="str">
        <x:v>RECORDED</x:v>
      </x:c>
      <x:c r="H4519" s="38" t="n">
        <x:f>IF(ISNUMBER('Data'!I1103),'Data'!I1103*100,"")</x:f>
        <x:v>88.82</x:v>
      </x:c>
      <x:c r="I4519" s="34" t="str">
        <x:v>PASS</x:v>
      </x:c>
      <x:c r="J4519" s="34" t="str">
        <x:v>PASS</x:v>
      </x:c>
      <x:c r="K4519" s="34" t="str">
        <x:v>PASS</x:v>
      </x:c>
      <x:c r="L4519" s="34" t="str">
        <x:v>PASS</x:v>
      </x:c>
      <x:c r="M4519" s="34" t="str">
        <x:v>numeric coverage for applicable metric</x:v>
      </x:c>
      <x:c r="N4519" s="34" t="str">
        <x:v>Feedback-Directed Random Test Generation/Result_Round2/Codec_9/result.json</x:v>
      </x:c>
      <x:c r="O4519" s="38" t="n">
        <x:f>IF(AND(G4519="RECORDED",ISNUMBER(H4519)),H4519,"")</x:f>
        <x:v>88.82</x:v>
      </x:c>
      <x:c r="P4519" s="34" t="str">
        <x:v>NOT_REVEALING</x:v>
      </x:c>
      <x:c r="Q4519" s="34" t="str">
        <x:v>Feedback-Directed Random Test Generation/Result_Round2/Codec_9/result.json</x:v>
      </x:c>
    </x:row>
    <x:row r="4520">
      <x:c r="A4520" s="34" t="str">
        <x:v>randoop</x:v>
      </x:c>
      <x:c r="B4520" s="34" t="str">
        <x:v>Codec</x:v>
      </x:c>
      <x:c r="C4520" s="34" t="str">
        <x:v>Round2</x:v>
      </x:c>
      <x:c r="D4520" s="34" t="str">
        <x:v>Codec_10</x:v>
      </x:c>
      <x:c r="E4520" s="34" t="str">
        <x:v>Condition</x:v>
      </x:c>
      <x:c r="F4520" s="34" t="n">
        <x:v>6</x:v>
      </x:c>
      <x:c r="G4520" s="34" t="str">
        <x:v>RECORDED</x:v>
      </x:c>
      <x:c r="H4520" s="38" t="n">
        <x:f>IF(ISNUMBER('Data'!I1104),'Data'!I1104*100,"")</x:f>
        <x:v>83.33</x:v>
      </x:c>
      <x:c r="I4520" s="34" t="str">
        <x:v>PASS</x:v>
      </x:c>
      <x:c r="J4520" s="34" t="str">
        <x:v>PASS</x:v>
      </x:c>
      <x:c r="K4520" s="34" t="str">
        <x:v>PASS</x:v>
      </x:c>
      <x:c r="L4520" s="34" t="str">
        <x:v>PASS</x:v>
      </x:c>
      <x:c r="M4520" s="34" t="str">
        <x:v>numeric coverage for applicable metric</x:v>
      </x:c>
      <x:c r="N4520" s="34" t="str">
        <x:v>Feedback-Directed Random Test Generation/Result_Round2/Codec_10/result.json</x:v>
      </x:c>
      <x:c r="O4520" s="38" t="n">
        <x:f>IF(AND(G4520="RECORDED",ISNUMBER(H4520)),H4520,"")</x:f>
        <x:v>83.33</x:v>
      </x:c>
      <x:c r="P4520" s="34" t="str">
        <x:v>NOT_REVEALING</x:v>
      </x:c>
      <x:c r="Q4520" s="34" t="str">
        <x:v>Feedback-Directed Random Test Generation/Result_Round2/Codec_10/result.json</x:v>
      </x:c>
    </x:row>
    <x:row r="4521">
      <x:c r="A4521" s="34" t="str">
        <x:v>randoop</x:v>
      </x:c>
      <x:c r="B4521" s="34" t="str">
        <x:v>Codec</x:v>
      </x:c>
      <x:c r="C4521" s="34" t="str">
        <x:v>Round2</x:v>
      </x:c>
      <x:c r="D4521" s="34" t="str">
        <x:v>Codec_11</x:v>
      </x:c>
      <x:c r="E4521" s="34" t="str">
        <x:v>Condition</x:v>
      </x:c>
      <x:c r="F4521" s="34" t="n">
        <x:v>36</x:v>
      </x:c>
      <x:c r="G4521" s="34" t="str">
        <x:v>RECORDED</x:v>
      </x:c>
      <x:c r="H4521" s="38" t="n">
        <x:f>IF(ISNUMBER('Data'!I1105),'Data'!I1105*100,"")</x:f>
        <x:v>86.11</x:v>
      </x:c>
      <x:c r="I4521" s="34" t="str">
        <x:v>PASS</x:v>
      </x:c>
      <x:c r="J4521" s="34" t="str">
        <x:v>PASS</x:v>
      </x:c>
      <x:c r="K4521" s="34" t="str">
        <x:v>PASS</x:v>
      </x:c>
      <x:c r="L4521" s="34" t="str">
        <x:v>PASS</x:v>
      </x:c>
      <x:c r="M4521" s="34" t="str">
        <x:v>numeric coverage for applicable metric</x:v>
      </x:c>
      <x:c r="N4521" s="34" t="str">
        <x:v>Feedback-Directed Random Test Generation/Result_Round2/Codec_11/result.json</x:v>
      </x:c>
      <x:c r="O4521" s="38" t="n">
        <x:f>IF(AND(G4521="RECORDED",ISNUMBER(H4521)),H4521,"")</x:f>
        <x:v>86.11</x:v>
      </x:c>
      <x:c r="P4521" s="34" t="str">
        <x:v>INCONCLUSIVE</x:v>
      </x:c>
      <x:c r="Q4521" s="34" t="str">
        <x:v>Feedback-Directed Random Test Generation/Result_Round2/Codec_11/result.json</x:v>
      </x:c>
    </x:row>
    <x:row r="4522">
      <x:c r="A4522" s="34" t="str">
        <x:v>randoop</x:v>
      </x:c>
      <x:c r="B4522" s="34" t="str">
        <x:v>Codec</x:v>
      </x:c>
      <x:c r="C4522" s="34" t="str">
        <x:v>Round2</x:v>
      </x:c>
      <x:c r="D4522" s="34" t="str">
        <x:v>Codec_12</x:v>
      </x:c>
      <x:c r="E4522" s="34" t="str">
        <x:v>Condition</x:v>
      </x:c>
      <x:c r="F4522" s="34" t="n">
        <x:v>26</x:v>
      </x:c>
      <x:c r="G4522" s="34" t="str">
        <x:v>RECORDED</x:v>
      </x:c>
      <x:c r="H4522" s="38" t="n">
        <x:f>IF(ISNUMBER('Data'!I1106),'Data'!I1106*100,"")</x:f>
        <x:v>50</x:v>
      </x:c>
      <x:c r="I4522" s="34" t="str">
        <x:v>PASS</x:v>
      </x:c>
      <x:c r="J4522" s="34" t="str">
        <x:v>PASS</x:v>
      </x:c>
      <x:c r="K4522" s="34" t="str">
        <x:v>PASS</x:v>
      </x:c>
      <x:c r="L4522" s="34" t="str">
        <x:v>PASS</x:v>
      </x:c>
      <x:c r="M4522" s="34" t="str">
        <x:v>numeric coverage for applicable metric</x:v>
      </x:c>
      <x:c r="N4522" s="34" t="str">
        <x:v>Feedback-Directed Random Test Generation/Result_Round2/Codec_12/result.json</x:v>
      </x:c>
      <x:c r="O4522" s="38" t="n">
        <x:f>IF(AND(G4522="RECORDED",ISNUMBER(H4522)),H4522,"")</x:f>
        <x:v>50</x:v>
      </x:c>
      <x:c r="P4522" s="34" t="str">
        <x:v>INCONCLUSIVE</x:v>
      </x:c>
      <x:c r="Q4522" s="34" t="str">
        <x:v>Feedback-Directed Random Test Generation/Result_Round2/Codec_12/result.json</x:v>
      </x:c>
    </x:row>
    <x:row r="4523">
      <x:c r="A4523" s="34" t="str">
        <x:v>randoop</x:v>
      </x:c>
      <x:c r="B4523" s="34" t="str">
        <x:v>Codec</x:v>
      </x:c>
      <x:c r="C4523" s="34" t="str">
        <x:v>Round2</x:v>
      </x:c>
      <x:c r="D4523" s="34" t="str">
        <x:v>Codec_13</x:v>
      </x:c>
      <x:c r="E4523" s="34" t="str">
        <x:v>Condition</x:v>
      </x:c>
      <x:c r="F4523" s="34" t="n">
        <x:v>458</x:v>
      </x:c>
      <x:c r="G4523" s="34" t="str">
        <x:v>RECORDED</x:v>
      </x:c>
      <x:c r="H4523" s="38" t="n">
        <x:f>IF(ISNUMBER('Data'!I1107),'Data'!I1107*100,"")</x:f>
        <x:v>15.72</x:v>
      </x:c>
      <x:c r="I4523" s="34" t="str">
        <x:v>PASS</x:v>
      </x:c>
      <x:c r="J4523" s="34" t="str">
        <x:v>PASS</x:v>
      </x:c>
      <x:c r="K4523" s="34" t="str">
        <x:v>PASS</x:v>
      </x:c>
      <x:c r="L4523" s="34" t="str">
        <x:v>FAIL</x:v>
      </x:c>
      <x:c r="M4523" s="34" t="str">
        <x:v>numeric coverage for applicable metric</x:v>
      </x:c>
      <x:c r="N4523" s="34" t="str">
        <x:v>Feedback-Directed Random Test Generation/Result_Round2/Codec_13/result.json</x:v>
      </x:c>
      <x:c r="O4523" s="38" t="n">
        <x:f>IF(AND(G4523="RECORDED",ISNUMBER(H4523)),H4523,"")</x:f>
        <x:v>15.72</x:v>
      </x:c>
      <x:c r="P4523" s="34" t="str">
        <x:v>REVEALING</x:v>
      </x:c>
      <x:c r="Q4523" s="34" t="str">
        <x:v>Feedback-Directed Random Test Generation/Result_Round2/Codec_13/result.json</x:v>
      </x:c>
    </x:row>
    <x:row r="4524">
      <x:c r="A4524" s="34" t="str">
        <x:v>randoop</x:v>
      </x:c>
      <x:c r="B4524" s="34" t="str">
        <x:v>Codec</x:v>
      </x:c>
      <x:c r="C4524" s="34" t="str">
        <x:v>Round2</x:v>
      </x:c>
      <x:c r="D4524" s="34" t="str">
        <x:v>Codec_14</x:v>
      </x:c>
      <x:c r="E4524" s="34" t="str">
        <x:v>Condition</x:v>
      </x:c>
      <x:c r="F4524" s="34" t="n">
        <x:v>0</x:v>
      </x:c>
      <x:c r="G4524" s="34" t="str">
        <x:v>A</x:v>
      </x:c>
      <x:c r="H4524" s="38" t="str">
        <x:f>IF(ISNUMBER('Data'!I1108),'Data'!I1108*100,"")</x:f>
      </x:c>
      <x:c r="I4524" s="34"/>
      <x:c r="J4524" s="34"/>
      <x:c r="K4524" s="34"/>
      <x:c r="L4524" s="34" t="str">
        <x:v>NOT_RUN</x:v>
      </x:c>
      <x:c r="M4524" s="34" t="str">
        <x:v>Latest same-round generation failed; older files/results are excluded</x:v>
      </x:c>
      <x:c r="N4524" s="34" t="str">
        <x:v>Feedback-Directed Random Test Generation/report_Round2.csv</x:v>
      </x:c>
      <x:c r="O4524" s="38" t="str">
        <x:f>IF(AND(G4524="RECORDED",ISNUMBER(H4524)),H4524,"")</x:f>
      </x:c>
      <x:c r="P4524" s="34" t="str">
        <x:v>FAIL</x:v>
      </x:c>
      <x:c r="Q4524" s="34"/>
    </x:row>
    <x:row r="4525">
      <x:c r="A4525" s="34" t="str">
        <x:v>randoop</x:v>
      </x:c>
      <x:c r="B4525" s="34" t="str">
        <x:v>Codec</x:v>
      </x:c>
      <x:c r="C4525" s="34" t="str">
        <x:v>Round2</x:v>
      </x:c>
      <x:c r="D4525" s="34" t="str">
        <x:v>Codec_15</x:v>
      </x:c>
      <x:c r="E4525" s="34" t="str">
        <x:v>Condition</x:v>
      </x:c>
      <x:c r="F4525" s="34" t="n">
        <x:v>34</x:v>
      </x:c>
      <x:c r="G4525" s="34" t="str">
        <x:v>RECORDED</x:v>
      </x:c>
      <x:c r="H4525" s="38" t="n">
        <x:f>IF(ISNUMBER('Data'!I1109),'Data'!I1109*100,"")</x:f>
        <x:v>41.18</x:v>
      </x:c>
      <x:c r="I4525" s="34" t="str">
        <x:v>PASS</x:v>
      </x:c>
      <x:c r="J4525" s="34" t="str">
        <x:v>PASS</x:v>
      </x:c>
      <x:c r="K4525" s="34" t="str">
        <x:v>PASS</x:v>
      </x:c>
      <x:c r="L4525" s="34" t="str">
        <x:v>PASS</x:v>
      </x:c>
      <x:c r="M4525" s="34" t="str">
        <x:v>numeric coverage for applicable metric</x:v>
      </x:c>
      <x:c r="N4525" s="34" t="str">
        <x:v>Feedback-Directed Random Test Generation/Result_Round2/Codec_15/result.json</x:v>
      </x:c>
      <x:c r="O4525" s="38" t="n">
        <x:f>IF(AND(G4525="RECORDED",ISNUMBER(H4525)),H4525,"")</x:f>
        <x:v>41.18</x:v>
      </x:c>
      <x:c r="P4525" s="34" t="str">
        <x:v>NOT_REVEALING</x:v>
      </x:c>
      <x:c r="Q4525" s="34" t="str">
        <x:v>Feedback-Directed Random Test Generation/Result_Round2/Codec_15/result.json</x:v>
      </x:c>
    </x:row>
    <x:row r="4526">
      <x:c r="A4526" s="34" t="str">
        <x:v>randoop</x:v>
      </x:c>
      <x:c r="B4526" s="34" t="str">
        <x:v>Codec</x:v>
      </x:c>
      <x:c r="C4526" s="34" t="str">
        <x:v>Round2</x:v>
      </x:c>
      <x:c r="D4526" s="34" t="str">
        <x:v>Codec_16</x:v>
      </x:c>
      <x:c r="E4526" s="34" t="str">
        <x:v>Condition</x:v>
      </x:c>
      <x:c r="F4526" s="34" t="n">
        <x:v>75</x:v>
      </x:c>
      <x:c r="G4526" s="34" t="str">
        <x:v>RECORDED</x:v>
      </x:c>
      <x:c r="H4526" s="38" t="n">
        <x:f>IF(ISNUMBER('Data'!I1110),'Data'!I1110*100,"")</x:f>
        <x:v>93.33</x:v>
      </x:c>
      <x:c r="I4526" s="34" t="str">
        <x:v>PASS</x:v>
      </x:c>
      <x:c r="J4526" s="34" t="str">
        <x:v>PASS</x:v>
      </x:c>
      <x:c r="K4526" s="34" t="str">
        <x:v>PASS</x:v>
      </x:c>
      <x:c r="L4526" s="34" t="str">
        <x:v>PASS</x:v>
      </x:c>
      <x:c r="M4526" s="34" t="str">
        <x:v>numeric coverage for applicable metric</x:v>
      </x:c>
      <x:c r="N4526" s="34" t="str">
        <x:v>Feedback-Directed Random Test Generation/Result_Round2/Codec_16/result.json</x:v>
      </x:c>
      <x:c r="O4526" s="38" t="n">
        <x:f>IF(AND(G4526="RECORDED",ISNUMBER(H4526)),H4526,"")</x:f>
        <x:v>93.33</x:v>
      </x:c>
      <x:c r="P4526" s="34" t="str">
        <x:v>INCONCLUSIVE</x:v>
      </x:c>
      <x:c r="Q4526" s="34" t="str">
        <x:v>Feedback-Directed Random Test Generation/Result_Round2/Codec_16/result.json</x:v>
      </x:c>
    </x:row>
    <x:row r="4527">
      <x:c r="A4527" s="34" t="str">
        <x:v>randoop</x:v>
      </x:c>
      <x:c r="B4527" s="34" t="str">
        <x:v>Codec</x:v>
      </x:c>
      <x:c r="C4527" s="34" t="str">
        <x:v>Round2</x:v>
      </x:c>
      <x:c r="D4527" s="34" t="str">
        <x:v>Codec_17</x:v>
      </x:c>
      <x:c r="E4527" s="34" t="str">
        <x:v>Condition</x:v>
      </x:c>
      <x:c r="F4527" s="34" t="n">
        <x:v>20</x:v>
      </x:c>
      <x:c r="G4527" s="34" t="str">
        <x:v>RECORDED</x:v>
      </x:c>
      <x:c r="H4527" s="38" t="n">
        <x:f>IF(ISNUMBER('Data'!I1111),'Data'!I1111*100,"")</x:f>
        <x:v>75</x:v>
      </x:c>
      <x:c r="I4527" s="34" t="str">
        <x:v>PASS</x:v>
      </x:c>
      <x:c r="J4527" s="34" t="str">
        <x:v>PASS</x:v>
      </x:c>
      <x:c r="K4527" s="34" t="str">
        <x:v>PASS</x:v>
      </x:c>
      <x:c r="L4527" s="34" t="str">
        <x:v>PASS</x:v>
      </x:c>
      <x:c r="M4527" s="34" t="str">
        <x:v>numeric coverage for applicable metric</x:v>
      </x:c>
      <x:c r="N4527" s="34" t="str">
        <x:v>Feedback-Directed Random Test Generation/Result_Round2/Codec_17/result.json</x:v>
      </x:c>
      <x:c r="O4527" s="38" t="n">
        <x:f>IF(AND(G4527="RECORDED",ISNUMBER(H4527)),H4527,"")</x:f>
        <x:v>75</x:v>
      </x:c>
      <x:c r="P4527" s="34" t="str">
        <x:v>INCONCLUSIVE</x:v>
      </x:c>
      <x:c r="Q4527" s="34" t="str">
        <x:v>Feedback-Directed Random Test Generation/Result_Round2/Codec_17/result.json</x:v>
      </x:c>
    </x:row>
    <x:row r="4528">
      <x:c r="A4528" s="34" t="str">
        <x:v>randoop</x:v>
      </x:c>
      <x:c r="B4528" s="34" t="str">
        <x:v>Codec</x:v>
      </x:c>
      <x:c r="C4528" s="34" t="str">
        <x:v>Round2</x:v>
      </x:c>
      <x:c r="D4528" s="34" t="str">
        <x:v>Codec_18</x:v>
      </x:c>
      <x:c r="E4528" s="34" t="str">
        <x:v>Condition</x:v>
      </x:c>
      <x:c r="F4528" s="34" t="n">
        <x:v>20</x:v>
      </x:c>
      <x:c r="G4528" s="34" t="str">
        <x:v>RECORDED</x:v>
      </x:c>
      <x:c r="H4528" s="38" t="n">
        <x:f>IF(ISNUMBER('Data'!I1112),'Data'!I1112*100,"")</x:f>
        <x:v>75</x:v>
      </x:c>
      <x:c r="I4528" s="34" t="str">
        <x:v>PASS</x:v>
      </x:c>
      <x:c r="J4528" s="34" t="str">
        <x:v>PASS</x:v>
      </x:c>
      <x:c r="K4528" s="34" t="str">
        <x:v>PASS</x:v>
      </x:c>
      <x:c r="L4528" s="34" t="str">
        <x:v>PASS</x:v>
      </x:c>
      <x:c r="M4528" s="34" t="str">
        <x:v>numeric coverage for applicable metric</x:v>
      </x:c>
      <x:c r="N4528" s="34" t="str">
        <x:v>Feedback-Directed Random Test Generation/Result_Round2/Codec_18/result.json</x:v>
      </x:c>
      <x:c r="O4528" s="38" t="n">
        <x:f>IF(AND(G4528="RECORDED",ISNUMBER(H4528)),H4528,"")</x:f>
        <x:v>75</x:v>
      </x:c>
      <x:c r="P4528" s="34" t="str">
        <x:v>NOT_REVEALING</x:v>
      </x:c>
      <x:c r="Q4528" s="34" t="str">
        <x:v>Feedback-Directed Random Test Generation/Result_Round2/Codec_18/result.json</x:v>
      </x:c>
    </x:row>
    <x:row r="4529">
      <x:c r="A4529" s="34" t="str">
        <x:v>randoop</x:v>
      </x:c>
      <x:c r="B4529" s="34" t="str">
        <x:v>Collections</x:v>
      </x:c>
      <x:c r="C4529" s="34" t="str">
        <x:v>Round2</x:v>
      </x:c>
      <x:c r="D4529" s="34" t="str">
        <x:v>Collections_1</x:v>
      </x:c>
      <x:c r="E4529" s="34" t="str">
        <x:v>Condition</x:v>
      </x:c>
      <x:c r="F4529" s="34" t="n">
        <x:v>376</x:v>
      </x:c>
      <x:c r="G4529" s="34" t="str">
        <x:v>RECORDED</x:v>
      </x:c>
      <x:c r="H4529" s="38" t="n">
        <x:f>IF(ISNUMBER('Data'!I1113),'Data'!I1113*100,"")</x:f>
        <x:v>40.96</x:v>
      </x:c>
      <x:c r="I4529" s="34" t="str">
        <x:v>PASS</x:v>
      </x:c>
      <x:c r="J4529" s="34" t="str">
        <x:v>PASS</x:v>
      </x:c>
      <x:c r="K4529" s="34" t="str">
        <x:v>PASS</x:v>
      </x:c>
      <x:c r="L4529" s="34" t="str">
        <x:v>FAIL</x:v>
      </x:c>
      <x:c r="M4529" s="34" t="str">
        <x:v>numeric coverage for applicable metric</x:v>
      </x:c>
      <x:c r="N4529" s="34" t="str">
        <x:v>Feedback-Directed Random Test Generation/Result_Round2/Collections_1/result.json</x:v>
      </x:c>
      <x:c r="O4529" s="38" t="n">
        <x:f>IF(AND(G4529="RECORDED",ISNUMBER(H4529)),H4529,"")</x:f>
        <x:v>40.96</x:v>
      </x:c>
      <x:c r="P4529" s="34" t="str">
        <x:v>INCONCLUSIVE</x:v>
      </x:c>
      <x:c r="Q4529" s="34" t="str">
        <x:v>Feedback-Directed Random Test Generation/Result_Round2/Collections_1/result.json</x:v>
      </x:c>
    </x:row>
    <x:row r="4530">
      <x:c r="A4530" s="34" t="str">
        <x:v>randoop</x:v>
      </x:c>
      <x:c r="B4530" s="34" t="str">
        <x:v>Collections</x:v>
      </x:c>
      <x:c r="C4530" s="34" t="str">
        <x:v>Round2</x:v>
      </x:c>
      <x:c r="D4530" s="34" t="str">
        <x:v>Collections_2</x:v>
      </x:c>
      <x:c r="E4530" s="34" t="str">
        <x:v>Condition</x:v>
      </x:c>
      <x:c r="F4530" s="34" t="n">
        <x:v>268</x:v>
      </x:c>
      <x:c r="G4530" s="34" t="str">
        <x:v>RECORDED</x:v>
      </x:c>
      <x:c r="H4530" s="38" t="n">
        <x:f>IF(ISNUMBER('Data'!I1114),'Data'!I1114*100,"")</x:f>
        <x:v>50.36999999999999</x:v>
      </x:c>
      <x:c r="I4530" s="34" t="str">
        <x:v>PASS</x:v>
      </x:c>
      <x:c r="J4530" s="34" t="str">
        <x:v>PASS</x:v>
      </x:c>
      <x:c r="K4530" s="34" t="str">
        <x:v>PASS</x:v>
      </x:c>
      <x:c r="L4530" s="34" t="str">
        <x:v>PASS</x:v>
      </x:c>
      <x:c r="M4530" s="34" t="str">
        <x:v>numeric coverage for applicable metric</x:v>
      </x:c>
      <x:c r="N4530" s="34" t="str">
        <x:v>Feedback-Directed Random Test Generation/Result_Round2/Collections_2/result.json</x:v>
      </x:c>
      <x:c r="O4530" s="38" t="n">
        <x:f>IF(AND(G4530="RECORDED",ISNUMBER(H4530)),H4530,"")</x:f>
        <x:v>50.36999999999999</x:v>
      </x:c>
      <x:c r="P4530" s="34" t="str">
        <x:v>INCONCLUSIVE</x:v>
      </x:c>
      <x:c r="Q4530" s="34" t="str">
        <x:v>Feedback-Directed Random Test Generation/Result_Round2/Collections_2/result.json</x:v>
      </x:c>
    </x:row>
    <x:row r="4531">
      <x:c r="A4531" s="34" t="str">
        <x:v>randoop</x:v>
      </x:c>
      <x:c r="B4531" s="34" t="str">
        <x:v>Collections</x:v>
      </x:c>
      <x:c r="C4531" s="34" t="str">
        <x:v>Round2</x:v>
      </x:c>
      <x:c r="D4531" s="34" t="str">
        <x:v>Collections_3</x:v>
      </x:c>
      <x:c r="E4531" s="34" t="str">
        <x:v>Condition</x:v>
      </x:c>
      <x:c r="F4531" s="34" t="n">
        <x:v>244</x:v>
      </x:c>
      <x:c r="G4531" s="34" t="str">
        <x:v>RECORDED</x:v>
      </x:c>
      <x:c r="H4531" s="38" t="n">
        <x:f>IF(ISNUMBER('Data'!I1115),'Data'!I1115*100,"")</x:f>
        <x:v>50</x:v>
      </x:c>
      <x:c r="I4531" s="34" t="str">
        <x:v>PASS</x:v>
      </x:c>
      <x:c r="J4531" s="34" t="str">
        <x:v>PASS</x:v>
      </x:c>
      <x:c r="K4531" s="34" t="str">
        <x:v>PASS</x:v>
      </x:c>
      <x:c r="L4531" s="34" t="str">
        <x:v>FAIL</x:v>
      </x:c>
      <x:c r="M4531" s="34" t="str">
        <x:v>numeric coverage for applicable metric</x:v>
      </x:c>
      <x:c r="N4531" s="34" t="str">
        <x:v>Feedback-Directed Random Test Generation/Result_Round2/Collections_3/result.json</x:v>
      </x:c>
      <x:c r="O4531" s="38" t="n">
        <x:f>IF(AND(G4531="RECORDED",ISNUMBER(H4531)),H4531,"")</x:f>
        <x:v>50</x:v>
      </x:c>
      <x:c r="P4531" s="34" t="str">
        <x:v>INCONCLUSIVE</x:v>
      </x:c>
      <x:c r="Q4531" s="34" t="str">
        <x:v>Feedback-Directed Random Test Generation/Result_Round2/Collections_3/result.json</x:v>
      </x:c>
    </x:row>
    <x:row r="4532">
      <x:c r="A4532" s="34" t="str">
        <x:v>randoop</x:v>
      </x:c>
      <x:c r="B4532" s="34" t="str">
        <x:v>Collections</x:v>
      </x:c>
      <x:c r="C4532" s="34" t="str">
        <x:v>Round2</x:v>
      </x:c>
      <x:c r="D4532" s="34" t="str">
        <x:v>Collections_4</x:v>
      </x:c>
      <x:c r="E4532" s="34" t="str">
        <x:v>Condition</x:v>
      </x:c>
      <x:c r="F4532" s="34" t="n">
        <x:v>48</x:v>
      </x:c>
      <x:c r="G4532" s="34" t="str">
        <x:v>RECORDED</x:v>
      </x:c>
      <x:c r="H4532" s="38" t="n">
        <x:f>IF(ISNUMBER('Data'!I1116),'Data'!I1116*100,"")</x:f>
        <x:v>70.83</x:v>
      </x:c>
      <x:c r="I4532" s="34" t="str">
        <x:v>PASS</x:v>
      </x:c>
      <x:c r="J4532" s="34" t="str">
        <x:v>PASS</x:v>
      </x:c>
      <x:c r="K4532" s="34" t="str">
        <x:v>PASS</x:v>
      </x:c>
      <x:c r="L4532" s="34" t="str">
        <x:v>FAIL</x:v>
      </x:c>
      <x:c r="M4532" s="34" t="str">
        <x:v>numeric coverage for applicable metric</x:v>
      </x:c>
      <x:c r="N4532" s="34" t="str">
        <x:v>Feedback-Directed Random Test Generation/Result_Round2/Collections_4/result.json</x:v>
      </x:c>
      <x:c r="O4532" s="38" t="n">
        <x:f>IF(AND(G4532="RECORDED",ISNUMBER(H4532)),H4532,"")</x:f>
        <x:v>70.83</x:v>
      </x:c>
      <x:c r="P4532" s="34" t="str">
        <x:v>INCONCLUSIVE</x:v>
      </x:c>
      <x:c r="Q4532" s="34" t="str">
        <x:v>Feedback-Directed Random Test Generation/Result_Round2/Collections_4/result.json</x:v>
      </x:c>
    </x:row>
    <x:row r="4533">
      <x:c r="A4533" s="34" t="str">
        <x:v>randoop</x:v>
      </x:c>
      <x:c r="B4533" s="34" t="str">
        <x:v>Collections</x:v>
      </x:c>
      <x:c r="C4533" s="34" t="str">
        <x:v>Round2</x:v>
      </x:c>
      <x:c r="D4533" s="34" t="str">
        <x:v>Collections_5</x:v>
      </x:c>
      <x:c r="E4533" s="34" t="str">
        <x:v>Condition</x:v>
      </x:c>
      <x:c r="F4533" s="34" t="n">
        <x:v>20</x:v>
      </x:c>
      <x:c r="G4533" s="34" t="str">
        <x:v>RECORDED</x:v>
      </x:c>
      <x:c r="H4533" s="38" t="n">
        <x:f>IF(ISNUMBER('Data'!I1117),'Data'!I1117*100,"")</x:f>
        <x:v>5</x:v>
      </x:c>
      <x:c r="I4533" s="34" t="str">
        <x:v>PASS</x:v>
      </x:c>
      <x:c r="J4533" s="34" t="str">
        <x:v>PASS</x:v>
      </x:c>
      <x:c r="K4533" s="34" t="str">
        <x:v>PASS</x:v>
      </x:c>
      <x:c r="L4533" s="34" t="str">
        <x:v>PASS</x:v>
      </x:c>
      <x:c r="M4533" s="34" t="str">
        <x:v>numeric coverage for applicable metric</x:v>
      </x:c>
      <x:c r="N4533" s="34" t="str">
        <x:v>Feedback-Directed Random Test Generation/Result_Round2/Collections_5/result.json</x:v>
      </x:c>
      <x:c r="O4533" s="38" t="n">
        <x:f>IF(AND(G4533="RECORDED",ISNUMBER(H4533)),H4533,"")</x:f>
        <x:v>5</x:v>
      </x:c>
      <x:c r="P4533" s="34" t="str">
        <x:v>NOT_REVEALING</x:v>
      </x:c>
      <x:c r="Q4533" s="34" t="str">
        <x:v>Feedback-Directed Random Test Generation/Result_Round2/Collections_5/result.json</x:v>
      </x:c>
    </x:row>
    <x:row r="4534">
      <x:c r="A4534" s="34" t="str">
        <x:v>randoop</x:v>
      </x:c>
      <x:c r="B4534" s="34" t="str">
        <x:v>Collections</x:v>
      </x:c>
      <x:c r="C4534" s="34" t="str">
        <x:v>Round2</x:v>
      </x:c>
      <x:c r="D4534" s="34" t="str">
        <x:v>Collections_6</x:v>
      </x:c>
      <x:c r="E4534" s="34" t="str">
        <x:v>Condition</x:v>
      </x:c>
      <x:c r="F4534" s="34" t="n">
        <x:v>376</x:v>
      </x:c>
      <x:c r="G4534" s="34" t="str">
        <x:v>RECORDED</x:v>
      </x:c>
      <x:c r="H4534" s="38" t="n">
        <x:f>IF(ISNUMBER('Data'!I1118),'Data'!I1118*100,"")</x:f>
        <x:v>41.49</x:v>
      </x:c>
      <x:c r="I4534" s="34" t="str">
        <x:v>PASS</x:v>
      </x:c>
      <x:c r="J4534" s="34" t="str">
        <x:v>PASS</x:v>
      </x:c>
      <x:c r="K4534" s="34" t="str">
        <x:v>PASS</x:v>
      </x:c>
      <x:c r="L4534" s="34" t="str">
        <x:v>FAIL</x:v>
      </x:c>
      <x:c r="M4534" s="34" t="str">
        <x:v>numeric coverage for applicable metric</x:v>
      </x:c>
      <x:c r="N4534" s="34" t="str">
        <x:v>Feedback-Directed Random Test Generation/Result_Round2/Collections_6/result.json</x:v>
      </x:c>
      <x:c r="O4534" s="38" t="n">
        <x:f>IF(AND(G4534="RECORDED",ISNUMBER(H4534)),H4534,"")</x:f>
        <x:v>41.49</x:v>
      </x:c>
      <x:c r="P4534" s="34" t="str">
        <x:v>INCONCLUSIVE</x:v>
      </x:c>
      <x:c r="Q4534" s="34" t="str">
        <x:v>Feedback-Directed Random Test Generation/Result_Round2/Collections_6/result.json</x:v>
      </x:c>
    </x:row>
    <x:row r="4535">
      <x:c r="A4535" s="34" t="str">
        <x:v>randoop</x:v>
      </x:c>
      <x:c r="B4535" s="34" t="str">
        <x:v>Collections</x:v>
      </x:c>
      <x:c r="C4535" s="34" t="str">
        <x:v>Round2</x:v>
      </x:c>
      <x:c r="D4535" s="34" t="str">
        <x:v>Collections_7</x:v>
      </x:c>
      <x:c r="E4535" s="34" t="str">
        <x:v>Condition</x:v>
      </x:c>
      <x:c r="F4535" s="34" t="n">
        <x:v>280</x:v>
      </x:c>
      <x:c r="G4535" s="34" t="str">
        <x:v>RECORDED</x:v>
      </x:c>
      <x:c r="H4535" s="38" t="n">
        <x:f>IF(ISNUMBER('Data'!I1119),'Data'!I1119*100,"")</x:f>
        <x:v>48.93</x:v>
      </x:c>
      <x:c r="I4535" s="34" t="str">
        <x:v>PASS</x:v>
      </x:c>
      <x:c r="J4535" s="34" t="str">
        <x:v>PASS</x:v>
      </x:c>
      <x:c r="K4535" s="34" t="str">
        <x:v>PASS</x:v>
      </x:c>
      <x:c r="L4535" s="34" t="str">
        <x:v>FAIL</x:v>
      </x:c>
      <x:c r="M4535" s="34" t="str">
        <x:v>numeric coverage for applicable metric</x:v>
      </x:c>
      <x:c r="N4535" s="34" t="str">
        <x:v>Feedback-Directed Random Test Generation/Result_Round2/Collections_7/result.json</x:v>
      </x:c>
      <x:c r="O4535" s="38" t="n">
        <x:f>IF(AND(G4535="RECORDED",ISNUMBER(H4535)),H4535,"")</x:f>
        <x:v>48.93</x:v>
      </x:c>
      <x:c r="P4535" s="34" t="str">
        <x:v>INCONCLUSIVE</x:v>
      </x:c>
      <x:c r="Q4535" s="34" t="str">
        <x:v>Feedback-Directed Random Test Generation/Result_Round2/Collections_7/result.json</x:v>
      </x:c>
    </x:row>
    <x:row r="4536">
      <x:c r="A4536" s="34" t="str">
        <x:v>randoop</x:v>
      </x:c>
      <x:c r="B4536" s="34" t="str">
        <x:v>Collections</x:v>
      </x:c>
      <x:c r="C4536" s="34" t="str">
        <x:v>Round2</x:v>
      </x:c>
      <x:c r="D4536" s="34" t="str">
        <x:v>Collections_8</x:v>
      </x:c>
      <x:c r="E4536" s="34" t="str">
        <x:v>Condition</x:v>
      </x:c>
      <x:c r="F4536" s="34" t="n">
        <x:v>36</x:v>
      </x:c>
      <x:c r="G4536" s="34" t="str">
        <x:v>RECORDED</x:v>
      </x:c>
      <x:c r="H4536" s="38" t="n">
        <x:f>IF(ISNUMBER('Data'!I1120),'Data'!I1120*100,"")</x:f>
        <x:v>61.11</x:v>
      </x:c>
      <x:c r="I4536" s="34" t="str">
        <x:v>PASS</x:v>
      </x:c>
      <x:c r="J4536" s="34" t="str">
        <x:v>PASS</x:v>
      </x:c>
      <x:c r="K4536" s="34" t="str">
        <x:v>PASS</x:v>
      </x:c>
      <x:c r="L4536" s="34" t="str">
        <x:v>PASS</x:v>
      </x:c>
      <x:c r="M4536" s="34" t="str">
        <x:v>numeric coverage for applicable metric</x:v>
      </x:c>
      <x:c r="N4536" s="34" t="str">
        <x:v>Feedback-Directed Random Test Generation/Result_Round2/Collections_8/result.json</x:v>
      </x:c>
      <x:c r="O4536" s="38" t="n">
        <x:f>IF(AND(G4536="RECORDED",ISNUMBER(H4536)),H4536,"")</x:f>
        <x:v>61.11</x:v>
      </x:c>
      <x:c r="P4536" s="34" t="str">
        <x:v>NOT_REVEALING</x:v>
      </x:c>
      <x:c r="Q4536" s="34" t="str">
        <x:v>Feedback-Directed Random Test Generation/Result_Round2/Collections_8/result.json</x:v>
      </x:c>
    </x:row>
    <x:row r="4537">
      <x:c r="A4537" s="34" t="str">
        <x:v>randoop</x:v>
      </x:c>
      <x:c r="B4537" s="34" t="str">
        <x:v>Collections</x:v>
      </x:c>
      <x:c r="C4537" s="34" t="str">
        <x:v>Round2</x:v>
      </x:c>
      <x:c r="D4537" s="34" t="str">
        <x:v>Collections_9</x:v>
      </x:c>
      <x:c r="E4537" s="34" t="str">
        <x:v>Condition</x:v>
      </x:c>
      <x:c r="F4537" s="34" t="n">
        <x:v>280</x:v>
      </x:c>
      <x:c r="G4537" s="34" t="str">
        <x:v>RECORDED</x:v>
      </x:c>
      <x:c r="H4537" s="38" t="n">
        <x:f>IF(ISNUMBER('Data'!I1121),'Data'!I1121*100,"")</x:f>
        <x:v>48.57</x:v>
      </x:c>
      <x:c r="I4537" s="34" t="str">
        <x:v>PASS</x:v>
      </x:c>
      <x:c r="J4537" s="34" t="str">
        <x:v>PASS</x:v>
      </x:c>
      <x:c r="K4537" s="34" t="str">
        <x:v>PASS</x:v>
      </x:c>
      <x:c r="L4537" s="34" t="str">
        <x:v>PASS</x:v>
      </x:c>
      <x:c r="M4537" s="34" t="str">
        <x:v>numeric coverage for applicable metric</x:v>
      </x:c>
      <x:c r="N4537" s="34" t="str">
        <x:v>Feedback-Directed Random Test Generation/Result_Round2/Collections_9/result.json</x:v>
      </x:c>
      <x:c r="O4537" s="38" t="n">
        <x:f>IF(AND(G4537="RECORDED",ISNUMBER(H4537)),H4537,"")</x:f>
        <x:v>48.57</x:v>
      </x:c>
      <x:c r="P4537" s="34" t="str">
        <x:v>NOT_REVEALING</x:v>
      </x:c>
      <x:c r="Q4537" s="34" t="str">
        <x:v>Feedback-Directed Random Test Generation/Result_Round2/Collections_9/result.json</x:v>
      </x:c>
    </x:row>
    <x:row r="4538">
      <x:c r="A4538" s="34" t="str">
        <x:v>randoop</x:v>
      </x:c>
      <x:c r="B4538" s="34" t="str">
        <x:v>Collections</x:v>
      </x:c>
      <x:c r="C4538" s="34" t="str">
        <x:v>Round2</x:v>
      </x:c>
      <x:c r="D4538" s="34" t="str">
        <x:v>Collections_10</x:v>
      </x:c>
      <x:c r="E4538" s="34" t="str">
        <x:v>Condition</x:v>
      </x:c>
      <x:c r="F4538" s="34" t="n">
        <x:v>48</x:v>
      </x:c>
      <x:c r="G4538" s="34" t="str">
        <x:v>RECORDED</x:v>
      </x:c>
      <x:c r="H4538" s="38" t="n">
        <x:f>IF(ISNUMBER('Data'!I1122),'Data'!I1122*100,"")</x:f>
        <x:v>70.83</x:v>
      </x:c>
      <x:c r="I4538" s="34" t="str">
        <x:v>PASS</x:v>
      </x:c>
      <x:c r="J4538" s="34" t="str">
        <x:v>PASS</x:v>
      </x:c>
      <x:c r="K4538" s="34" t="str">
        <x:v>PASS</x:v>
      </x:c>
      <x:c r="L4538" s="34" t="str">
        <x:v>PASS</x:v>
      </x:c>
      <x:c r="M4538" s="34" t="str">
        <x:v>numeric coverage for applicable metric</x:v>
      </x:c>
      <x:c r="N4538" s="34" t="str">
        <x:v>Feedback-Directed Random Test Generation/Result_Round2/Collections_10/result.json</x:v>
      </x:c>
      <x:c r="O4538" s="38" t="n">
        <x:f>IF(AND(G4538="RECORDED",ISNUMBER(H4538)),H4538,"")</x:f>
        <x:v>70.83</x:v>
      </x:c>
      <x:c r="P4538" s="34" t="str">
        <x:v>NOT_REVEALING</x:v>
      </x:c>
      <x:c r="Q4538" s="34" t="str">
        <x:v>Feedback-Directed Random Test Generation/Result_Round2/Collections_10/result.json</x:v>
      </x:c>
    </x:row>
    <x:row r="4539">
      <x:c r="A4539" s="34" t="str">
        <x:v>randoop</x:v>
      </x:c>
      <x:c r="B4539" s="34" t="str">
        <x:v>Collections</x:v>
      </x:c>
      <x:c r="C4539" s="34" t="str">
        <x:v>Round2</x:v>
      </x:c>
      <x:c r="D4539" s="34" t="str">
        <x:v>Collections_11</x:v>
      </x:c>
      <x:c r="E4539" s="34" t="str">
        <x:v>Condition</x:v>
      </x:c>
      <x:c r="F4539" s="34" t="n">
        <x:v>12</x:v>
      </x:c>
      <x:c r="G4539" s="34" t="str">
        <x:v>RECORDED</x:v>
      </x:c>
      <x:c r="H4539" s="38" t="n">
        <x:f>IF(ISNUMBER('Data'!I1123),'Data'!I1123*100,"")</x:f>
        <x:v>91.67</x:v>
      </x:c>
      <x:c r="I4539" s="34" t="str">
        <x:v>PASS</x:v>
      </x:c>
      <x:c r="J4539" s="34" t="str">
        <x:v>PASS</x:v>
      </x:c>
      <x:c r="K4539" s="34" t="str">
        <x:v>PASS</x:v>
      </x:c>
      <x:c r="L4539" s="34" t="str">
        <x:v>PASS</x:v>
      </x:c>
      <x:c r="M4539" s="34" t="str">
        <x:v>numeric coverage for applicable metric</x:v>
      </x:c>
      <x:c r="N4539" s="34" t="str">
        <x:v>Feedback-Directed Random Test Generation/Result_Round2/Collections_11/result.json</x:v>
      </x:c>
      <x:c r="O4539" s="38" t="n">
        <x:f>IF(AND(G4539="RECORDED",ISNUMBER(H4539)),H4539,"")</x:f>
        <x:v>91.67</x:v>
      </x:c>
      <x:c r="P4539" s="34" t="str">
        <x:v>NOT_REVEALING</x:v>
      </x:c>
      <x:c r="Q4539" s="34" t="str">
        <x:v>Feedback-Directed Random Test Generation/Result_Round2/Collections_11/result.json</x:v>
      </x:c>
    </x:row>
    <x:row r="4540">
      <x:c r="A4540" s="34" t="str">
        <x:v>randoop</x:v>
      </x:c>
      <x:c r="B4540" s="34" t="str">
        <x:v>Collections</x:v>
      </x:c>
      <x:c r="C4540" s="34" t="str">
        <x:v>Round2</x:v>
      </x:c>
      <x:c r="D4540" s="34" t="str">
        <x:v>Collections_12</x:v>
      </x:c>
      <x:c r="E4540" s="34" t="str">
        <x:v>Condition</x:v>
      </x:c>
      <x:c r="F4540" s="34" t="n">
        <x:v>278</x:v>
      </x:c>
      <x:c r="G4540" s="34" t="str">
        <x:v>RECORDED</x:v>
      </x:c>
      <x:c r="H4540" s="38" t="n">
        <x:f>IF(ISNUMBER('Data'!I1124),'Data'!I1124*100,"")</x:f>
        <x:v>48.56</x:v>
      </x:c>
      <x:c r="I4540" s="34" t="str">
        <x:v>PASS</x:v>
      </x:c>
      <x:c r="J4540" s="34" t="str">
        <x:v>PASS</x:v>
      </x:c>
      <x:c r="K4540" s="34" t="str">
        <x:v>PASS</x:v>
      </x:c>
      <x:c r="L4540" s="34" t="str">
        <x:v>PASS</x:v>
      </x:c>
      <x:c r="M4540" s="34" t="str">
        <x:v>numeric coverage for applicable metric</x:v>
      </x:c>
      <x:c r="N4540" s="34" t="str">
        <x:v>Feedback-Directed Random Test Generation/Result_Round2/Collections_12/result.json</x:v>
      </x:c>
      <x:c r="O4540" s="38" t="n">
        <x:f>IF(AND(G4540="RECORDED",ISNUMBER(H4540)),H4540,"")</x:f>
        <x:v>48.56</x:v>
      </x:c>
      <x:c r="P4540" s="34" t="str">
        <x:v>NOT_REVEALING</x:v>
      </x:c>
      <x:c r="Q4540" s="34" t="str">
        <x:v>Feedback-Directed Random Test Generation/Result_Round2/Collections_12/result.json</x:v>
      </x:c>
    </x:row>
    <x:row r="4541">
      <x:c r="A4541" s="34" t="str">
        <x:v>randoop</x:v>
      </x:c>
      <x:c r="B4541" s="34" t="str">
        <x:v>Collections</x:v>
      </x:c>
      <x:c r="C4541" s="34" t="str">
        <x:v>Round2</x:v>
      </x:c>
      <x:c r="D4541" s="34" t="str">
        <x:v>Collections_13</x:v>
      </x:c>
      <x:c r="E4541" s="34" t="str">
        <x:v>Condition</x:v>
      </x:c>
      <x:c r="F4541" s="34" t="n">
        <x:v>278</x:v>
      </x:c>
      <x:c r="G4541" s="34" t="str">
        <x:v>RECORDED</x:v>
      </x:c>
      <x:c r="H4541" s="38" t="n">
        <x:f>IF(ISNUMBER('Data'!I1125),'Data'!I1125*100,"")</x:f>
        <x:v>48.92</x:v>
      </x:c>
      <x:c r="I4541" s="34" t="str">
        <x:v>PASS</x:v>
      </x:c>
      <x:c r="J4541" s="34" t="str">
        <x:v>PASS</x:v>
      </x:c>
      <x:c r="K4541" s="34" t="str">
        <x:v>PASS</x:v>
      </x:c>
      <x:c r="L4541" s="34" t="str">
        <x:v>PASS</x:v>
      </x:c>
      <x:c r="M4541" s="34" t="str">
        <x:v>numeric coverage for applicable metric</x:v>
      </x:c>
      <x:c r="N4541" s="34" t="str">
        <x:v>Feedback-Directed Random Test Generation/Result_Round2/Collections_13/result.json</x:v>
      </x:c>
      <x:c r="O4541" s="38" t="n">
        <x:f>IF(AND(G4541="RECORDED",ISNUMBER(H4541)),H4541,"")</x:f>
        <x:v>48.92</x:v>
      </x:c>
      <x:c r="P4541" s="34" t="str">
        <x:v>NOT_REVEALING</x:v>
      </x:c>
      <x:c r="Q4541" s="34" t="str">
        <x:v>Feedback-Directed Random Test Generation/Result_Round2/Collections_13/result.json</x:v>
      </x:c>
    </x:row>
    <x:row r="4542">
      <x:c r="A4542" s="34" t="str">
        <x:v>randoop</x:v>
      </x:c>
      <x:c r="B4542" s="34" t="str">
        <x:v>Collections</x:v>
      </x:c>
      <x:c r="C4542" s="34" t="str">
        <x:v>Round2</x:v>
      </x:c>
      <x:c r="D4542" s="34" t="str">
        <x:v>Collections_14</x:v>
      </x:c>
      <x:c r="E4542" s="34" t="str">
        <x:v>Condition</x:v>
      </x:c>
      <x:c r="F4542" s="34" t="n">
        <x:v>2</x:v>
      </x:c>
      <x:c r="G4542" s="34" t="str">
        <x:v>RECORDED</x:v>
      </x:c>
      <x:c r="H4542" s="38" t="n">
        <x:f>IF(ISNUMBER('Data'!I1126),'Data'!I1126*100,"")</x:f>
        <x:v>100</x:v>
      </x:c>
      <x:c r="I4542" s="34" t="str">
        <x:v>PASS</x:v>
      </x:c>
      <x:c r="J4542" s="34" t="str">
        <x:v>PASS</x:v>
      </x:c>
      <x:c r="K4542" s="34" t="str">
        <x:v>PASS</x:v>
      </x:c>
      <x:c r="L4542" s="34" t="str">
        <x:v>PASS</x:v>
      </x:c>
      <x:c r="M4542" s="34" t="str">
        <x:v>numeric coverage for applicable metric</x:v>
      </x:c>
      <x:c r="N4542" s="34" t="str">
        <x:v>Feedback-Directed Random Test Generation/Result_Round2/Collections_14/result.json</x:v>
      </x:c>
      <x:c r="O4542" s="38" t="n">
        <x:f>IF(AND(G4542="RECORDED",ISNUMBER(H4542)),H4542,"")</x:f>
        <x:v>100</x:v>
      </x:c>
      <x:c r="P4542" s="34" t="str">
        <x:v>NOT_REVEALING</x:v>
      </x:c>
      <x:c r="Q4542" s="34" t="str">
        <x:v>Feedback-Directed Random Test Generation/Result_Round2/Collections_14/result.json</x:v>
      </x:c>
    </x:row>
    <x:row r="4543">
      <x:c r="A4543" s="34" t="str">
        <x:v>randoop</x:v>
      </x:c>
      <x:c r="B4543" s="34" t="str">
        <x:v>Collections</x:v>
      </x:c>
      <x:c r="C4543" s="34" t="str">
        <x:v>Round2</x:v>
      </x:c>
      <x:c r="D4543" s="34" t="str">
        <x:v>Collections_15</x:v>
      </x:c>
      <x:c r="E4543" s="34" t="str">
        <x:v>Condition</x:v>
      </x:c>
      <x:c r="F4543" s="34" t="n">
        <x:v>22</x:v>
      </x:c>
      <x:c r="G4543" s="34" t="str">
        <x:v>RECORDED</x:v>
      </x:c>
      <x:c r="H4543" s="38" t="n">
        <x:f>IF(ISNUMBER('Data'!I1127),'Data'!I1127*100,"")</x:f>
        <x:v>4.55</x:v>
      </x:c>
      <x:c r="I4543" s="34" t="str">
        <x:v>PASS</x:v>
      </x:c>
      <x:c r="J4543" s="34" t="str">
        <x:v>PASS</x:v>
      </x:c>
      <x:c r="K4543" s="34" t="str">
        <x:v>PASS</x:v>
      </x:c>
      <x:c r="L4543" s="34" t="str">
        <x:v>PASS</x:v>
      </x:c>
      <x:c r="M4543" s="34" t="str">
        <x:v>numeric coverage for applicable metric</x:v>
      </x:c>
      <x:c r="N4543" s="34" t="str">
        <x:v>Feedback-Directed Random Test Generation/Result_Round2/Collections_15/result.json</x:v>
      </x:c>
      <x:c r="O4543" s="38" t="n">
        <x:f>IF(AND(G4543="RECORDED",ISNUMBER(H4543)),H4543,"")</x:f>
        <x:v>4.55</x:v>
      </x:c>
      <x:c r="P4543" s="34" t="str">
        <x:v>NOT_REVEALING</x:v>
      </x:c>
      <x:c r="Q4543" s="34" t="str">
        <x:v>Feedback-Directed Random Test Generation/Result_Round2/Collections_15/result.json</x:v>
      </x:c>
    </x:row>
    <x:row r="4544">
      <x:c r="A4544" s="34" t="str">
        <x:v>randoop</x:v>
      </x:c>
      <x:c r="B4544" s="34" t="str">
        <x:v>Collections</x:v>
      </x:c>
      <x:c r="C4544" s="34" t="str">
        <x:v>Round2</x:v>
      </x:c>
      <x:c r="D4544" s="34" t="str">
        <x:v>Collections_16</x:v>
      </x:c>
      <x:c r="E4544" s="34" t="str">
        <x:v>Condition</x:v>
      </x:c>
      <x:c r="F4544" s="34" t="n">
        <x:v>22</x:v>
      </x:c>
      <x:c r="G4544" s="34" t="str">
        <x:v>RECORDED</x:v>
      </x:c>
      <x:c r="H4544" s="38" t="n">
        <x:f>IF(ISNUMBER('Data'!I1128),'Data'!I1128*100,"")</x:f>
        <x:v>4.55</x:v>
      </x:c>
      <x:c r="I4544" s="34" t="str">
        <x:v>PASS</x:v>
      </x:c>
      <x:c r="J4544" s="34" t="str">
        <x:v>PASS</x:v>
      </x:c>
      <x:c r="K4544" s="34" t="str">
        <x:v>PASS</x:v>
      </x:c>
      <x:c r="L4544" s="34" t="str">
        <x:v>PASS</x:v>
      </x:c>
      <x:c r="M4544" s="34" t="str">
        <x:v>numeric coverage for applicable metric</x:v>
      </x:c>
      <x:c r="N4544" s="34" t="str">
        <x:v>Feedback-Directed Random Test Generation/Result_Round2/Collections_16/result.json</x:v>
      </x:c>
      <x:c r="O4544" s="38" t="n">
        <x:f>IF(AND(G4544="RECORDED",ISNUMBER(H4544)),H4544,"")</x:f>
        <x:v>4.55</x:v>
      </x:c>
      <x:c r="P4544" s="34" t="str">
        <x:v>NOT_REVEALING</x:v>
      </x:c>
      <x:c r="Q4544" s="34" t="str">
        <x:v>Feedback-Directed Random Test Generation/Result_Round2/Collections_16/result.json</x:v>
      </x:c>
    </x:row>
    <x:row r="4545">
      <x:c r="A4545" s="34" t="str">
        <x:v>randoop</x:v>
      </x:c>
      <x:c r="B4545" s="34" t="str">
        <x:v>Collections</x:v>
      </x:c>
      <x:c r="C4545" s="34" t="str">
        <x:v>Round2</x:v>
      </x:c>
      <x:c r="D4545" s="34" t="str">
        <x:v>Collections_17</x:v>
      </x:c>
      <x:c r="E4545" s="34" t="str">
        <x:v>Condition</x:v>
      </x:c>
      <x:c r="F4545" s="34" t="n">
        <x:v>4</x:v>
      </x:c>
      <x:c r="G4545" s="34" t="str">
        <x:v>RECORDED</x:v>
      </x:c>
      <x:c r="H4545" s="38" t="n">
        <x:f>IF(ISNUMBER('Data'!I1129),'Data'!I1129*100,"")</x:f>
        <x:v>50</x:v>
      </x:c>
      <x:c r="I4545" s="34" t="str">
        <x:v>PASS</x:v>
      </x:c>
      <x:c r="J4545" s="34" t="str">
        <x:v>PASS</x:v>
      </x:c>
      <x:c r="K4545" s="34" t="str">
        <x:v>PASS</x:v>
      </x:c>
      <x:c r="L4545" s="34" t="str">
        <x:v>PASS</x:v>
      </x:c>
      <x:c r="M4545" s="34" t="str">
        <x:v>numeric coverage for applicable metric</x:v>
      </x:c>
      <x:c r="N4545" s="34" t="str">
        <x:v>Feedback-Directed Random Test Generation/Result_Round2/Collections_17/result.json</x:v>
      </x:c>
      <x:c r="O4545" s="38" t="n">
        <x:f>IF(AND(G4545="RECORDED",ISNUMBER(H4545)),H4545,"")</x:f>
        <x:v>50</x:v>
      </x:c>
      <x:c r="P4545" s="34" t="str">
        <x:v>INCONCLUSIVE</x:v>
      </x:c>
      <x:c r="Q4545" s="34" t="str">
        <x:v>Feedback-Directed Random Test Generation/Result_Round2/Collections_17/result.json</x:v>
      </x:c>
    </x:row>
    <x:row r="4546">
      <x:c r="A4546" s="34" t="str">
        <x:v>randoop</x:v>
      </x:c>
      <x:c r="B4546" s="34" t="str">
        <x:v>Collections</x:v>
      </x:c>
      <x:c r="C4546" s="34" t="str">
        <x:v>Round2</x:v>
      </x:c>
      <x:c r="D4546" s="34" t="str">
        <x:v>Collections_18</x:v>
      </x:c>
      <x:c r="E4546" s="34" t="str">
        <x:v>Condition</x:v>
      </x:c>
      <x:c r="F4546" s="34" t="n">
        <x:v>36</x:v>
      </x:c>
      <x:c r="G4546" s="34" t="str">
        <x:v>RECORDED</x:v>
      </x:c>
      <x:c r="H4546" s="38" t="n">
        <x:f>IF(ISNUMBER('Data'!I1130),'Data'!I1130*100,"")</x:f>
        <x:v>100</x:v>
      </x:c>
      <x:c r="I4546" s="34" t="str">
        <x:v>PASS</x:v>
      </x:c>
      <x:c r="J4546" s="34" t="str">
        <x:v>PASS</x:v>
      </x:c>
      <x:c r="K4546" s="34" t="str">
        <x:v>PASS</x:v>
      </x:c>
      <x:c r="L4546" s="34" t="str">
        <x:v>FAIL</x:v>
      </x:c>
      <x:c r="M4546" s="34" t="str">
        <x:v>numeric coverage for applicable metric</x:v>
      </x:c>
      <x:c r="N4546" s="34" t="str">
        <x:v>Feedback-Directed Random Test Generation/Result_Round2/Collections_18/result.json</x:v>
      </x:c>
      <x:c r="O4546" s="38" t="n">
        <x:f>IF(AND(G4546="RECORDED",ISNUMBER(H4546)),H4546,"")</x:f>
        <x:v>100</x:v>
      </x:c>
      <x:c r="P4546" s="34" t="str">
        <x:v>INCONCLUSIVE</x:v>
      </x:c>
      <x:c r="Q4546" s="34" t="str">
        <x:v>Feedback-Directed Random Test Generation/Result_Round2/Collections_18/result.json</x:v>
      </x:c>
    </x:row>
    <x:row r="4547">
      <x:c r="A4547" s="34" t="str">
        <x:v>randoop</x:v>
      </x:c>
      <x:c r="B4547" s="34" t="str">
        <x:v>Collections</x:v>
      </x:c>
      <x:c r="C4547" s="34" t="str">
        <x:v>Round2</x:v>
      </x:c>
      <x:c r="D4547" s="34" t="str">
        <x:v>Collections_19</x:v>
      </x:c>
      <x:c r="E4547" s="34" t="str">
        <x:v>Condition</x:v>
      </x:c>
      <x:c r="F4547" s="34" t="n">
        <x:v>38</x:v>
      </x:c>
      <x:c r="G4547" s="34" t="str">
        <x:v>RECORDED</x:v>
      </x:c>
      <x:c r="H4547" s="38" t="n">
        <x:f>IF(ISNUMBER('Data'!I1131),'Data'!I1131*100,"")</x:f>
        <x:v>81.58</x:v>
      </x:c>
      <x:c r="I4547" s="34" t="str">
        <x:v>PASS</x:v>
      </x:c>
      <x:c r="J4547" s="34" t="str">
        <x:v>PASS</x:v>
      </x:c>
      <x:c r="K4547" s="34" t="str">
        <x:v>PASS</x:v>
      </x:c>
      <x:c r="L4547" s="34" t="str">
        <x:v>PASS</x:v>
      </x:c>
      <x:c r="M4547" s="34" t="str">
        <x:v>numeric coverage for applicable metric</x:v>
      </x:c>
      <x:c r="N4547" s="34" t="str">
        <x:v>Feedback-Directed Random Test Generation/Result_Round2/Collections_19/result.json</x:v>
      </x:c>
      <x:c r="O4547" s="38" t="n">
        <x:f>IF(AND(G4547="RECORDED",ISNUMBER(H4547)),H4547,"")</x:f>
        <x:v>81.58</x:v>
      </x:c>
      <x:c r="P4547" s="34" t="str">
        <x:v>NOT_REVEALING</x:v>
      </x:c>
      <x:c r="Q4547" s="34" t="str">
        <x:v>Feedback-Directed Random Test Generation/Result_Round2/Collections_19/result.json</x:v>
      </x:c>
    </x:row>
    <x:row r="4548">
      <x:c r="A4548" s="34" t="str">
        <x:v>randoop</x:v>
      </x:c>
      <x:c r="B4548" s="34" t="str">
        <x:v>Collections</x:v>
      </x:c>
      <x:c r="C4548" s="34" t="str">
        <x:v>Round2</x:v>
      </x:c>
      <x:c r="D4548" s="34" t="str">
        <x:v>Collections_20</x:v>
      </x:c>
      <x:c r="E4548" s="34" t="str">
        <x:v>Condition</x:v>
      </x:c>
      <x:c r="F4548" s="34" t="n">
        <x:v>154</x:v>
      </x:c>
      <x:c r="G4548" s="34" t="str">
        <x:v>RECORDED</x:v>
      </x:c>
      <x:c r="H4548" s="38" t="n">
        <x:f>IF(ISNUMBER('Data'!I1132),'Data'!I1132*100,"")</x:f>
        <x:v>83.77</x:v>
      </x:c>
      <x:c r="I4548" s="34" t="str">
        <x:v>PASS</x:v>
      </x:c>
      <x:c r="J4548" s="34" t="str">
        <x:v>PASS</x:v>
      </x:c>
      <x:c r="K4548" s="34" t="str">
        <x:v>PASS</x:v>
      </x:c>
      <x:c r="L4548" s="34" t="str">
        <x:v>FAIL</x:v>
      </x:c>
      <x:c r="M4548" s="34" t="str">
        <x:v>numeric coverage for applicable metric</x:v>
      </x:c>
      <x:c r="N4548" s="34" t="str">
        <x:v>Feedback-Directed Random Test Generation/Result_Round2/Collections_20/result.json</x:v>
      </x:c>
      <x:c r="O4548" s="38" t="n">
        <x:f>IF(AND(G4548="RECORDED",ISNUMBER(H4548)),H4548,"")</x:f>
        <x:v>83.77</x:v>
      </x:c>
      <x:c r="P4548" s="34" t="str">
        <x:v>INCONCLUSIVE</x:v>
      </x:c>
      <x:c r="Q4548" s="34" t="str">
        <x:v>Feedback-Directed Random Test Generation/Result_Round2/Collections_20/result.json</x:v>
      </x:c>
    </x:row>
    <x:row r="4549">
      <x:c r="A4549" s="34" t="str">
        <x:v>randoop</x:v>
      </x:c>
      <x:c r="B4549" s="34" t="str">
        <x:v>Collections</x:v>
      </x:c>
      <x:c r="C4549" s="34" t="str">
        <x:v>Round2</x:v>
      </x:c>
      <x:c r="D4549" s="34" t="str">
        <x:v>Collections_21</x:v>
      </x:c>
      <x:c r="E4549" s="34" t="str">
        <x:v>Condition</x:v>
      </x:c>
      <x:c r="F4549" s="34" t="n">
        <x:v>38</x:v>
      </x:c>
      <x:c r="G4549" s="34" t="str">
        <x:v>RECORDED</x:v>
      </x:c>
      <x:c r="H4549" s="38" t="n">
        <x:f>IF(ISNUMBER('Data'!I1133),'Data'!I1133*100,"")</x:f>
        <x:v>81.58</x:v>
      </x:c>
      <x:c r="I4549" s="34" t="str">
        <x:v>PASS</x:v>
      </x:c>
      <x:c r="J4549" s="34" t="str">
        <x:v>PASS</x:v>
      </x:c>
      <x:c r="K4549" s="34" t="str">
        <x:v>PASS</x:v>
      </x:c>
      <x:c r="L4549" s="34" t="str">
        <x:v>PASS</x:v>
      </x:c>
      <x:c r="M4549" s="34" t="str">
        <x:v>numeric coverage for applicable metric</x:v>
      </x:c>
      <x:c r="N4549" s="34" t="str">
        <x:v>Feedback-Directed Random Test Generation/Result_Round2/Collections_21/result.json</x:v>
      </x:c>
      <x:c r="O4549" s="38" t="n">
        <x:f>IF(AND(G4549="RECORDED",ISNUMBER(H4549)),H4549,"")</x:f>
        <x:v>81.58</x:v>
      </x:c>
      <x:c r="P4549" s="34" t="str">
        <x:v>NOT_REVEALING</x:v>
      </x:c>
      <x:c r="Q4549" s="34" t="str">
        <x:v>Feedback-Directed Random Test Generation/Result_Round2/Collections_21/result.json</x:v>
      </x:c>
    </x:row>
    <x:row r="4550">
      <x:c r="A4550" s="34" t="str">
        <x:v>randoop</x:v>
      </x:c>
      <x:c r="B4550" s="34" t="str">
        <x:v>Collections</x:v>
      </x:c>
      <x:c r="C4550" s="34" t="str">
        <x:v>Round2</x:v>
      </x:c>
      <x:c r="D4550" s="34" t="str">
        <x:v>Collections_22</x:v>
      </x:c>
      <x:c r="E4550" s="34" t="str">
        <x:v>Condition</x:v>
      </x:c>
      <x:c r="F4550" s="34" t="n">
        <x:v>52</x:v>
      </x:c>
      <x:c r="G4550" s="34" t="str">
        <x:v>RECORDED</x:v>
      </x:c>
      <x:c r="H4550" s="38" t="n">
        <x:f>IF(ISNUMBER('Data'!I1134),'Data'!I1134*100,"")</x:f>
        <x:v>23.08</x:v>
      </x:c>
      <x:c r="I4550" s="34" t="str">
        <x:v>PASS</x:v>
      </x:c>
      <x:c r="J4550" s="34" t="str">
        <x:v>PASS</x:v>
      </x:c>
      <x:c r="K4550" s="34" t="str">
        <x:v>PASS</x:v>
      </x:c>
      <x:c r="L4550" s="34" t="str">
        <x:v>PASS</x:v>
      </x:c>
      <x:c r="M4550" s="34" t="str">
        <x:v>numeric coverage for applicable metric</x:v>
      </x:c>
      <x:c r="N4550" s="34" t="str">
        <x:v>Feedback-Directed Random Test Generation/Result_Round2/Collections_22/result.json</x:v>
      </x:c>
      <x:c r="O4550" s="38" t="n">
        <x:f>IF(AND(G4550="RECORDED",ISNUMBER(H4550)),H4550,"")</x:f>
        <x:v>23.08</x:v>
      </x:c>
      <x:c r="P4550" s="34" t="str">
        <x:v>NOT_REVEALING</x:v>
      </x:c>
      <x:c r="Q4550" s="34" t="str">
        <x:v>Feedback-Directed Random Test Generation/Result_Round2/Collections_22/result.json</x:v>
      </x:c>
    </x:row>
    <x:row r="4551">
      <x:c r="A4551" s="34" t="str">
        <x:v>randoop</x:v>
      </x:c>
      <x:c r="B4551" s="34" t="str">
        <x:v>Collections</x:v>
      </x:c>
      <x:c r="C4551" s="34" t="str">
        <x:v>Round2</x:v>
      </x:c>
      <x:c r="D4551" s="34" t="str">
        <x:v>Collections_23</x:v>
      </x:c>
      <x:c r="E4551" s="34" t="str">
        <x:v>Condition</x:v>
      </x:c>
      <x:c r="F4551" s="34" t="n">
        <x:v>2</x:v>
      </x:c>
      <x:c r="G4551" s="34" t="str">
        <x:v>RECORDED</x:v>
      </x:c>
      <x:c r="H4551" s="38" t="n">
        <x:f>IF(ISNUMBER('Data'!I1135),'Data'!I1135*100,"")</x:f>
        <x:v>0</x:v>
      </x:c>
      <x:c r="I4551" s="34" t="str">
        <x:v>PASS</x:v>
      </x:c>
      <x:c r="J4551" s="34" t="str">
        <x:v>PASS</x:v>
      </x:c>
      <x:c r="K4551" s="34" t="str">
        <x:v>PASS</x:v>
      </x:c>
      <x:c r="L4551" s="34" t="str">
        <x:v>PASS</x:v>
      </x:c>
      <x:c r="M4551" s="34" t="str">
        <x:v>numeric coverage for applicable metric</x:v>
      </x:c>
      <x:c r="N4551" s="34" t="str">
        <x:v>Feedback-Directed Random Test Generation/Result_Round2/Collections_23/result.json</x:v>
      </x:c>
      <x:c r="O4551" s="38" t="n">
        <x:f>IF(AND(G4551="RECORDED",ISNUMBER(H4551)),H4551,"")</x:f>
        <x:v>0</x:v>
      </x:c>
      <x:c r="P4551" s="34" t="str">
        <x:v>NOT_REVEALING</x:v>
      </x:c>
      <x:c r="Q4551" s="34" t="str">
        <x:v>Feedback-Directed Random Test Generation/Result_Round2/Collections_23/result.json</x:v>
      </x:c>
    </x:row>
    <x:row r="4552">
      <x:c r="A4552" s="34" t="str">
        <x:v>randoop</x:v>
      </x:c>
      <x:c r="B4552" s="34" t="str">
        <x:v>Collections</x:v>
      </x:c>
      <x:c r="C4552" s="34" t="str">
        <x:v>Round2</x:v>
      </x:c>
      <x:c r="D4552" s="34" t="str">
        <x:v>Collections_24</x:v>
      </x:c>
      <x:c r="E4552" s="34" t="str">
        <x:v>Condition</x:v>
      </x:c>
      <x:c r="F4552" s="34" t="n">
        <x:v>12</x:v>
      </x:c>
      <x:c r="G4552" s="34" t="str">
        <x:v>RECORDED</x:v>
      </x:c>
      <x:c r="H4552" s="38" t="n">
        <x:f>IF(ISNUMBER('Data'!I1136),'Data'!I1136*100,"")</x:f>
        <x:v>0</x:v>
      </x:c>
      <x:c r="I4552" s="34" t="str">
        <x:v>PASS</x:v>
      </x:c>
      <x:c r="J4552" s="34" t="str">
        <x:v>PASS</x:v>
      </x:c>
      <x:c r="K4552" s="34" t="str">
        <x:v>PASS</x:v>
      </x:c>
      <x:c r="L4552" s="34" t="str">
        <x:v>PASS</x:v>
      </x:c>
      <x:c r="M4552" s="34" t="str">
        <x:v>numeric coverage for applicable metric</x:v>
      </x:c>
      <x:c r="N4552" s="34" t="str">
        <x:v>Feedback-Directed Random Test Generation/Result_Round2/Collections_24/result.json</x:v>
      </x:c>
      <x:c r="O4552" s="38" t="n">
        <x:f>IF(AND(G4552="RECORDED",ISNUMBER(H4552)),H4552,"")</x:f>
        <x:v>0</x:v>
      </x:c>
      <x:c r="P4552" s="34" t="str">
        <x:v>NOT_REVEALING</x:v>
      </x:c>
      <x:c r="Q4552" s="34" t="str">
        <x:v>Feedback-Directed Random Test Generation/Result_Round2/Collections_24/result.json</x:v>
      </x:c>
    </x:row>
    <x:row r="4553">
      <x:c r="A4553" s="34" t="str">
        <x:v>randoop</x:v>
      </x:c>
      <x:c r="B4553" s="34" t="str">
        <x:v>Collections</x:v>
      </x:c>
      <x:c r="C4553" s="34" t="str">
        <x:v>Round2</x:v>
      </x:c>
      <x:c r="D4553" s="34" t="str">
        <x:v>Collections_25</x:v>
      </x:c>
      <x:c r="E4553" s="34" t="str">
        <x:v>Condition</x:v>
      </x:c>
      <x:c r="F4553" s="34" t="n">
        <x:v>126</x:v>
      </x:c>
      <x:c r="G4553" s="34" t="str">
        <x:v>RECORDED</x:v>
      </x:c>
      <x:c r="H4553" s="38" t="n">
        <x:f>IF(ISNUMBER('Data'!I1137),'Data'!I1137*100,"")</x:f>
        <x:v>11.9</x:v>
      </x:c>
      <x:c r="I4553" s="34" t="str">
        <x:v>PASS</x:v>
      </x:c>
      <x:c r="J4553" s="34" t="str">
        <x:v>PASS</x:v>
      </x:c>
      <x:c r="K4553" s="34" t="str">
        <x:v>PASS</x:v>
      </x:c>
      <x:c r="L4553" s="34" t="str">
        <x:v>PASS</x:v>
      </x:c>
      <x:c r="M4553" s="34" t="str">
        <x:v>numeric coverage for applicable metric</x:v>
      </x:c>
      <x:c r="N4553" s="34" t="str">
        <x:v>Feedback-Directed Random Test Generation/Result_Round2/Collections_25/result.json</x:v>
      </x:c>
      <x:c r="O4553" s="38" t="n">
        <x:f>IF(AND(G4553="RECORDED",ISNUMBER(H4553)),H4553,"")</x:f>
        <x:v>11.9</x:v>
      </x:c>
      <x:c r="P4553" s="34" t="str">
        <x:v>NOT_REVEALING</x:v>
      </x:c>
      <x:c r="Q4553" s="34" t="str">
        <x:v>Feedback-Directed Random Test Generation/Result_Round2/Collections_25/result.json</x:v>
      </x:c>
    </x:row>
    <x:row r="4554">
      <x:c r="A4554" s="34" t="str">
        <x:v>randoop</x:v>
      </x:c>
      <x:c r="B4554" s="34" t="str">
        <x:v>Collections</x:v>
      </x:c>
      <x:c r="C4554" s="34" t="str">
        <x:v>Round2</x:v>
      </x:c>
      <x:c r="D4554" s="34" t="str">
        <x:v>Collections_26</x:v>
      </x:c>
      <x:c r="E4554" s="34" t="str">
        <x:v>Condition</x:v>
      </x:c>
      <x:c r="F4554" s="34" t="n">
        <x:v>12</x:v>
      </x:c>
      <x:c r="G4554" s="34" t="str">
        <x:v>RECORDED</x:v>
      </x:c>
      <x:c r="H4554" s="38" t="n">
        <x:f>IF(ISNUMBER('Data'!I1138),'Data'!I1138*100,"")</x:f>
        <x:v>91.67</x:v>
      </x:c>
      <x:c r="I4554" s="34" t="str">
        <x:v>PASS</x:v>
      </x:c>
      <x:c r="J4554" s="34" t="str">
        <x:v>PASS</x:v>
      </x:c>
      <x:c r="K4554" s="34" t="str">
        <x:v>PASS</x:v>
      </x:c>
      <x:c r="L4554" s="34" t="str">
        <x:v>PASS</x:v>
      </x:c>
      <x:c r="M4554" s="34" t="str">
        <x:v>numeric coverage for applicable metric</x:v>
      </x:c>
      <x:c r="N4554" s="34" t="str">
        <x:v>Feedback-Directed Random Test Generation/Result_Round2/Collections_26/result.json</x:v>
      </x:c>
      <x:c r="O4554" s="38" t="n">
        <x:f>IF(AND(G4554="RECORDED",ISNUMBER(H4554)),H4554,"")</x:f>
        <x:v>91.67</x:v>
      </x:c>
      <x:c r="P4554" s="34" t="str">
        <x:v>NOT_REVEALING</x:v>
      </x:c>
      <x:c r="Q4554" s="34" t="str">
        <x:v>Feedback-Directed Random Test Generation/Result_Round2/Collections_26/result.json</x:v>
      </x:c>
    </x:row>
    <x:row r="4555">
      <x:c r="A4555" s="34" t="str">
        <x:v>randoop</x:v>
      </x:c>
      <x:c r="B4555" s="34" t="str">
        <x:v>Collections</x:v>
      </x:c>
      <x:c r="C4555" s="34" t="str">
        <x:v>Round2</x:v>
      </x:c>
      <x:c r="D4555" s="34" t="str">
        <x:v>Collections_27</x:v>
      </x:c>
      <x:c r="E4555" s="34" t="str">
        <x:v>Condition</x:v>
      </x:c>
      <x:c r="F4555" s="34" t="n">
        <x:v>50</x:v>
      </x:c>
      <x:c r="G4555" s="34" t="str">
        <x:v>RECORDED</x:v>
      </x:c>
      <x:c r="H4555" s="38" t="n">
        <x:f>IF(ISNUMBER('Data'!I1139),'Data'!I1139*100,"")</x:f>
        <x:v>66</x:v>
      </x:c>
      <x:c r="I4555" s="34" t="str">
        <x:v>PASS</x:v>
      </x:c>
      <x:c r="J4555" s="34" t="str">
        <x:v>PASS</x:v>
      </x:c>
      <x:c r="K4555" s="34" t="str">
        <x:v>PASS</x:v>
      </x:c>
      <x:c r="L4555" s="34" t="str">
        <x:v>PASS</x:v>
      </x:c>
      <x:c r="M4555" s="34" t="str">
        <x:v>numeric coverage for applicable metric</x:v>
      </x:c>
      <x:c r="N4555" s="34" t="str">
        <x:v>Feedback-Directed Random Test Generation/Result_Round2/Collections_27/result.json</x:v>
      </x:c>
      <x:c r="O4555" s="38" t="n">
        <x:f>IF(AND(G4555="RECORDED",ISNUMBER(H4555)),H4555,"")</x:f>
        <x:v>66</x:v>
      </x:c>
      <x:c r="P4555" s="34" t="str">
        <x:v>NOT_REVEALING</x:v>
      </x:c>
      <x:c r="Q4555" s="34" t="str">
        <x:v>Feedback-Directed Random Test Generation/Result_Round2/Collections_27/result.json</x:v>
      </x:c>
    </x:row>
    <x:row r="4556">
      <x:c r="A4556" s="34" t="str">
        <x:v>randoop</x:v>
      </x:c>
      <x:c r="B4556" s="34" t="str">
        <x:v>Collections</x:v>
      </x:c>
      <x:c r="C4556" s="34" t="str">
        <x:v>Round2</x:v>
      </x:c>
      <x:c r="D4556" s="34" t="str">
        <x:v>Collections_28</x:v>
      </x:c>
      <x:c r="E4556" s="34" t="str">
        <x:v>Condition</x:v>
      </x:c>
      <x:c r="F4556" s="34" t="n">
        <x:v>542</x:v>
      </x:c>
      <x:c r="G4556" s="34" t="str">
        <x:v>RECORDED</x:v>
      </x:c>
      <x:c r="H4556" s="38" t="n">
        <x:f>IF(ISNUMBER('Data'!I1140),'Data'!I1140*100,"")</x:f>
        <x:v>3.8699999999999997</x:v>
      </x:c>
      <x:c r="I4556" s="34" t="str">
        <x:v>PASS</x:v>
      </x:c>
      <x:c r="J4556" s="34" t="str">
        <x:v>PASS</x:v>
      </x:c>
      <x:c r="K4556" s="34" t="str">
        <x:v>PASS</x:v>
      </x:c>
      <x:c r="L4556" s="34" t="str">
        <x:v>PASS</x:v>
      </x:c>
      <x:c r="M4556" s="34" t="str">
        <x:v>numeric coverage for applicable metric</x:v>
      </x:c>
      <x:c r="N4556" s="34" t="str">
        <x:v>Feedback-Directed Random Test Generation/Result_Round2/Collections_28/result.json</x:v>
      </x:c>
      <x:c r="O4556" s="38" t="n">
        <x:f>IF(AND(G4556="RECORDED",ISNUMBER(H4556)),H4556,"")</x:f>
        <x:v>3.8699999999999997</x:v>
      </x:c>
      <x:c r="P4556" s="34" t="str">
        <x:v>NOT_REVEALING</x:v>
      </x:c>
      <x:c r="Q4556" s="34" t="str">
        <x:v>Feedback-Directed Random Test Generation/Result_Round2/Collections_28/result.json</x:v>
      </x:c>
    </x:row>
    <x:row r="4557">
      <x:c r="A4557" s="34" t="str">
        <x:v>randoop</x:v>
      </x:c>
      <x:c r="B4557" s="34" t="str">
        <x:v>Compress</x:v>
      </x:c>
      <x:c r="C4557" s="34" t="str">
        <x:v>Round2</x:v>
      </x:c>
      <x:c r="D4557" s="34" t="str">
        <x:v>Compress_1</x:v>
      </x:c>
      <x:c r="E4557" s="34" t="str">
        <x:v>Condition</x:v>
      </x:c>
      <x:c r="F4557" s="34" t="n">
        <x:v>59</x:v>
      </x:c>
      <x:c r="G4557" s="34" t="str">
        <x:v>RECORDED</x:v>
      </x:c>
      <x:c r="H4557" s="38" t="n">
        <x:f>IF(ISNUMBER('Data'!I1141),'Data'!I1141*100,"")</x:f>
        <x:v>66.1</x:v>
      </x:c>
      <x:c r="I4557" s="34" t="str">
        <x:v>PASS</x:v>
      </x:c>
      <x:c r="J4557" s="34" t="str">
        <x:v>PASS</x:v>
      </x:c>
      <x:c r="K4557" s="34" t="str">
        <x:v>PASS</x:v>
      </x:c>
      <x:c r="L4557" s="34" t="str">
        <x:v>FAIL</x:v>
      </x:c>
      <x:c r="M4557" s="34" t="str">
        <x:v>numeric coverage for applicable metric</x:v>
      </x:c>
      <x:c r="N4557" s="34" t="str">
        <x:v>Feedback-Directed Random Test Generation/Result_Round2/Compress_1/result.json</x:v>
      </x:c>
      <x:c r="O4557" s="38" t="n">
        <x:f>IF(AND(G4557="RECORDED",ISNUMBER(H4557)),H4557,"")</x:f>
        <x:v>66.1</x:v>
      </x:c>
      <x:c r="P4557" s="34" t="str">
        <x:v>INCONCLUSIVE</x:v>
      </x:c>
      <x:c r="Q4557" s="34" t="str">
        <x:v>Feedback-Directed Random Test Generation/Result_Round2/Compress_1/result.json</x:v>
      </x:c>
    </x:row>
    <x:row r="4558">
      <x:c r="A4558" s="34" t="str">
        <x:v>randoop</x:v>
      </x:c>
      <x:c r="B4558" s="34" t="str">
        <x:v>Compress</x:v>
      </x:c>
      <x:c r="C4558" s="34" t="str">
        <x:v>Round2</x:v>
      </x:c>
      <x:c r="D4558" s="34" t="str">
        <x:v>Compress_2</x:v>
      </x:c>
      <x:c r="E4558" s="34" t="str">
        <x:v>Condition</x:v>
      </x:c>
      <x:c r="F4558" s="34" t="n">
        <x:v>42</x:v>
      </x:c>
      <x:c r="G4558" s="34" t="str">
        <x:v>RECORDED</x:v>
      </x:c>
      <x:c r="H4558" s="38" t="n">
        <x:f>IF(ISNUMBER('Data'!I1142),'Data'!I1142*100,"")</x:f>
        <x:v>21.43</x:v>
      </x:c>
      <x:c r="I4558" s="34" t="str">
        <x:v>PASS</x:v>
      </x:c>
      <x:c r="J4558" s="34" t="str">
        <x:v>PASS</x:v>
      </x:c>
      <x:c r="K4558" s="34" t="str">
        <x:v>PASS</x:v>
      </x:c>
      <x:c r="L4558" s="34" t="str">
        <x:v>PASS</x:v>
      </x:c>
      <x:c r="M4558" s="34" t="str">
        <x:v>numeric coverage for applicable metric</x:v>
      </x:c>
      <x:c r="N4558" s="34" t="str">
        <x:v>Feedback-Directed Random Test Generation/Result_Round2/Compress_2/result.json</x:v>
      </x:c>
      <x:c r="O4558" s="38" t="n">
        <x:f>IF(AND(G4558="RECORDED",ISNUMBER(H4558)),H4558,"")</x:f>
        <x:v>21.43</x:v>
      </x:c>
      <x:c r="P4558" s="34" t="str">
        <x:v>NOT_REVEALING</x:v>
      </x:c>
      <x:c r="Q4558" s="34" t="str">
        <x:v>Feedback-Directed Random Test Generation/Result_Round2/Compress_2/result.json</x:v>
      </x:c>
    </x:row>
    <x:row r="4559">
      <x:c r="A4559" s="34" t="str">
        <x:v>randoop</x:v>
      </x:c>
      <x:c r="B4559" s="34" t="str">
        <x:v>Compress</x:v>
      </x:c>
      <x:c r="C4559" s="34" t="str">
        <x:v>Round2</x:v>
      </x:c>
      <x:c r="D4559" s="34" t="str">
        <x:v>Compress_3</x:v>
      </x:c>
      <x:c r="E4559" s="34" t="str">
        <x:v>Condition</x:v>
      </x:c>
      <x:c r="F4559" s="34" t="n">
        <x:v>28</x:v>
      </x:c>
      <x:c r="G4559" s="34" t="str">
        <x:v>RECORDED</x:v>
      </x:c>
      <x:c r="H4559" s="38" t="n">
        <x:f>IF(ISNUMBER('Data'!I1143),'Data'!I1143*100,"")</x:f>
        <x:v>32.14</x:v>
      </x:c>
      <x:c r="I4559" s="34" t="str">
        <x:v>PASS</x:v>
      </x:c>
      <x:c r="J4559" s="34" t="str">
        <x:v>PASS</x:v>
      </x:c>
      <x:c r="K4559" s="34" t="str">
        <x:v>PASS</x:v>
      </x:c>
      <x:c r="L4559" s="34" t="str">
        <x:v>PASS</x:v>
      </x:c>
      <x:c r="M4559" s="34" t="str">
        <x:v>numeric coverage for applicable metric</x:v>
      </x:c>
      <x:c r="N4559" s="34" t="str">
        <x:v>Feedback-Directed Random Test Generation/Result_Round2/Compress_3/result.json</x:v>
      </x:c>
      <x:c r="O4559" s="38" t="n">
        <x:f>IF(AND(G4559="RECORDED",ISNUMBER(H4559)),H4559,"")</x:f>
        <x:v>32.14</x:v>
      </x:c>
      <x:c r="P4559" s="34" t="str">
        <x:v>NOT_REVEALING</x:v>
      </x:c>
      <x:c r="Q4559" s="34" t="str">
        <x:v>Feedback-Directed Random Test Generation/Result_Round2/Compress_3/result.json</x:v>
      </x:c>
    </x:row>
    <x:row r="4560">
      <x:c r="A4560" s="34" t="str">
        <x:v>randoop</x:v>
      </x:c>
      <x:c r="B4560" s="34" t="str">
        <x:v>Compress</x:v>
      </x:c>
      <x:c r="C4560" s="34" t="str">
        <x:v>Round2</x:v>
      </x:c>
      <x:c r="D4560" s="34" t="str">
        <x:v>Compress_4</x:v>
      </x:c>
      <x:c r="E4560" s="34" t="str">
        <x:v>Condition</x:v>
      </x:c>
      <x:c r="F4560" s="34" t="n">
        <x:v>253</x:v>
      </x:c>
      <x:c r="G4560" s="34" t="str">
        <x:v>RECORDED</x:v>
      </x:c>
      <x:c r="H4560" s="38" t="n">
        <x:f>IF(ISNUMBER('Data'!I1144),'Data'!I1144*100,"")</x:f>
        <x:v>17.79</x:v>
      </x:c>
      <x:c r="I4560" s="34" t="str">
        <x:v>PASS</x:v>
      </x:c>
      <x:c r="J4560" s="34" t="str">
        <x:v>PASS</x:v>
      </x:c>
      <x:c r="K4560" s="34" t="str">
        <x:v>PASS</x:v>
      </x:c>
      <x:c r="L4560" s="34" t="str">
        <x:v>PASS</x:v>
      </x:c>
      <x:c r="M4560" s="34" t="str">
        <x:v>numeric coverage for applicable metric</x:v>
      </x:c>
      <x:c r="N4560" s="34" t="str">
        <x:v>Feedback-Directed Random Test Generation/Result_Round2/Compress_4/result.json</x:v>
      </x:c>
      <x:c r="O4560" s="38" t="n">
        <x:f>IF(AND(G4560="RECORDED",ISNUMBER(H4560)),H4560,"")</x:f>
        <x:v>17.79</x:v>
      </x:c>
      <x:c r="P4560" s="34" t="str">
        <x:v>INCONCLUSIVE</x:v>
      </x:c>
      <x:c r="Q4560" s="34" t="str">
        <x:v>Feedback-Directed Random Test Generation/Result_Round2/Compress_4/result.json</x:v>
      </x:c>
    </x:row>
    <x:row r="4561">
      <x:c r="A4561" s="34" t="str">
        <x:v>randoop</x:v>
      </x:c>
      <x:c r="B4561" s="34" t="str">
        <x:v>Compress</x:v>
      </x:c>
      <x:c r="C4561" s="34" t="str">
        <x:v>Round2</x:v>
      </x:c>
      <x:c r="D4561" s="34" t="str">
        <x:v>Compress_5</x:v>
      </x:c>
      <x:c r="E4561" s="34" t="str">
        <x:v>Condition</x:v>
      </x:c>
      <x:c r="F4561" s="34" t="n">
        <x:v>94</x:v>
      </x:c>
      <x:c r="G4561" s="34" t="str">
        <x:v>RECORDED</x:v>
      </x:c>
      <x:c r="H4561" s="38" t="n">
        <x:f>IF(ISNUMBER('Data'!I1145),'Data'!I1145*100,"")</x:f>
        <x:v>25.53</x:v>
      </x:c>
      <x:c r="I4561" s="34" t="str">
        <x:v>PASS</x:v>
      </x:c>
      <x:c r="J4561" s="34" t="str">
        <x:v>PASS</x:v>
      </x:c>
      <x:c r="K4561" s="34" t="str">
        <x:v>PASS</x:v>
      </x:c>
      <x:c r="L4561" s="34" t="str">
        <x:v>PASS</x:v>
      </x:c>
      <x:c r="M4561" s="34" t="str">
        <x:v>numeric coverage for applicable metric</x:v>
      </x:c>
      <x:c r="N4561" s="34" t="str">
        <x:v>Feedback-Directed Random Test Generation/Result_Round2/Compress_5/result.json</x:v>
      </x:c>
      <x:c r="O4561" s="38" t="n">
        <x:f>IF(AND(G4561="RECORDED",ISNUMBER(H4561)),H4561,"")</x:f>
        <x:v>25.53</x:v>
      </x:c>
      <x:c r="P4561" s="34" t="str">
        <x:v>NOT_REVEALING</x:v>
      </x:c>
      <x:c r="Q4561" s="34" t="str">
        <x:v>Feedback-Directed Random Test Generation/Result_Round2/Compress_5/result.json</x:v>
      </x:c>
    </x:row>
    <x:row r="4562">
      <x:c r="A4562" s="34" t="str">
        <x:v>randoop</x:v>
      </x:c>
      <x:c r="B4562" s="34" t="str">
        <x:v>Compress</x:v>
      </x:c>
      <x:c r="C4562" s="34" t="str">
        <x:v>Round2</x:v>
      </x:c>
      <x:c r="D4562" s="34" t="str">
        <x:v>Compress_6</x:v>
      </x:c>
      <x:c r="E4562" s="34" t="str">
        <x:v>Condition</x:v>
      </x:c>
      <x:c r="F4562" s="34" t="n">
        <x:v>60</x:v>
      </x:c>
      <x:c r="G4562" s="34" t="str">
        <x:v>RECORDED</x:v>
      </x:c>
      <x:c r="H4562" s="38" t="n">
        <x:f>IF(ISNUMBER('Data'!I1146),'Data'!I1146*100,"")</x:f>
        <x:v>70</x:v>
      </x:c>
      <x:c r="I4562" s="34" t="str">
        <x:v>PASS</x:v>
      </x:c>
      <x:c r="J4562" s="34" t="str">
        <x:v>PASS</x:v>
      </x:c>
      <x:c r="K4562" s="34" t="str">
        <x:v>PASS</x:v>
      </x:c>
      <x:c r="L4562" s="34" t="str">
        <x:v>FAIL</x:v>
      </x:c>
      <x:c r="M4562" s="34" t="str">
        <x:v>numeric coverage for applicable metric</x:v>
      </x:c>
      <x:c r="N4562" s="34" t="str">
        <x:v>Feedback-Directed Random Test Generation/Result_Round2/Compress_6/result.json</x:v>
      </x:c>
      <x:c r="O4562" s="38" t="n">
        <x:f>IF(AND(G4562="RECORDED",ISNUMBER(H4562)),H4562,"")</x:f>
        <x:v>70</x:v>
      </x:c>
      <x:c r="P4562" s="34" t="str">
        <x:v>INCONCLUSIVE</x:v>
      </x:c>
      <x:c r="Q4562" s="34" t="str">
        <x:v>Feedback-Directed Random Test Generation/Result_Round2/Compress_6/result.json</x:v>
      </x:c>
    </x:row>
    <x:row r="4563">
      <x:c r="A4563" s="34" t="str">
        <x:v>randoop</x:v>
      </x:c>
      <x:c r="B4563" s="34" t="str">
        <x:v>Compress</x:v>
      </x:c>
      <x:c r="C4563" s="34" t="str">
        <x:v>Round2</x:v>
      </x:c>
      <x:c r="D4563" s="34" t="str">
        <x:v>Compress_7</x:v>
      </x:c>
      <x:c r="E4563" s="34" t="str">
        <x:v>Condition</x:v>
      </x:c>
      <x:c r="F4563" s="34" t="n">
        <x:v>38</x:v>
      </x:c>
      <x:c r="G4563" s="34" t="str">
        <x:v>RECORDED</x:v>
      </x:c>
      <x:c r="H4563" s="38" t="n">
        <x:f>IF(ISNUMBER('Data'!I1147),'Data'!I1147*100,"")</x:f>
        <x:v>89.47</x:v>
      </x:c>
      <x:c r="I4563" s="34" t="str">
        <x:v>PASS</x:v>
      </x:c>
      <x:c r="J4563" s="34" t="str">
        <x:v>PASS</x:v>
      </x:c>
      <x:c r="K4563" s="34" t="str">
        <x:v>PASS</x:v>
      </x:c>
      <x:c r="L4563" s="34" t="str">
        <x:v>PASS</x:v>
      </x:c>
      <x:c r="M4563" s="34" t="str">
        <x:v>numeric coverage for applicable metric</x:v>
      </x:c>
      <x:c r="N4563" s="34" t="str">
        <x:v>Feedback-Directed Random Test Generation/Result_Round2/Compress_7/result.json</x:v>
      </x:c>
      <x:c r="O4563" s="38" t="n">
        <x:f>IF(AND(G4563="RECORDED",ISNUMBER(H4563)),H4563,"")</x:f>
        <x:v>89.47</x:v>
      </x:c>
      <x:c r="P4563" s="34" t="str">
        <x:v>INCONCLUSIVE</x:v>
      </x:c>
      <x:c r="Q4563" s="34" t="str">
        <x:v>Feedback-Directed Random Test Generation/Result_Round2/Compress_7/result.json</x:v>
      </x:c>
    </x:row>
    <x:row r="4564">
      <x:c r="A4564" s="34" t="str">
        <x:v>randoop</x:v>
      </x:c>
      <x:c r="B4564" s="34" t="str">
        <x:v>Compress</x:v>
      </x:c>
      <x:c r="C4564" s="34" t="str">
        <x:v>Round2</x:v>
      </x:c>
      <x:c r="D4564" s="34" t="str">
        <x:v>Compress_8</x:v>
      </x:c>
      <x:c r="E4564" s="34" t="str">
        <x:v>Condition</x:v>
      </x:c>
      <x:c r="F4564" s="34" t="n">
        <x:v>38</x:v>
      </x:c>
      <x:c r="G4564" s="34" t="str">
        <x:v>RECORDED</x:v>
      </x:c>
      <x:c r="H4564" s="38" t="n">
        <x:f>IF(ISNUMBER('Data'!I1148),'Data'!I1148*100,"")</x:f>
        <x:v>89.47</x:v>
      </x:c>
      <x:c r="I4564" s="34" t="str">
        <x:v>PASS</x:v>
      </x:c>
      <x:c r="J4564" s="34" t="str">
        <x:v>PASS</x:v>
      </x:c>
      <x:c r="K4564" s="34" t="str">
        <x:v>PASS</x:v>
      </x:c>
      <x:c r="L4564" s="34" t="str">
        <x:v>PASS</x:v>
      </x:c>
      <x:c r="M4564" s="34" t="str">
        <x:v>numeric coverage for applicable metric</x:v>
      </x:c>
      <x:c r="N4564" s="34" t="str">
        <x:v>Feedback-Directed Random Test Generation/Result_Round2/Compress_8/result.json</x:v>
      </x:c>
      <x:c r="O4564" s="38" t="n">
        <x:f>IF(AND(G4564="RECORDED",ISNUMBER(H4564)),H4564,"")</x:f>
        <x:v>89.47</x:v>
      </x:c>
      <x:c r="P4564" s="34" t="str">
        <x:v>INCONCLUSIVE</x:v>
      </x:c>
      <x:c r="Q4564" s="34" t="str">
        <x:v>Feedback-Directed Random Test Generation/Result_Round2/Compress_8/result.json</x:v>
      </x:c>
    </x:row>
    <x:row r="4565">
      <x:c r="A4565" s="34" t="str">
        <x:v>randoop</x:v>
      </x:c>
      <x:c r="B4565" s="34" t="str">
        <x:v>Compress</x:v>
      </x:c>
      <x:c r="C4565" s="34" t="str">
        <x:v>Round2</x:v>
      </x:c>
      <x:c r="D4565" s="34" t="str">
        <x:v>Compress_9</x:v>
      </x:c>
      <x:c r="E4565" s="34" t="str">
        <x:v>Condition</x:v>
      </x:c>
      <x:c r="F4565" s="34" t="n">
        <x:v>42</x:v>
      </x:c>
      <x:c r="G4565" s="34" t="str">
        <x:v>RECORDED</x:v>
      </x:c>
      <x:c r="H4565" s="38" t="n">
        <x:f>IF(ISNUMBER('Data'!I1149),'Data'!I1149*100,"")</x:f>
        <x:v>33.33</x:v>
      </x:c>
      <x:c r="I4565" s="34" t="str">
        <x:v>PASS</x:v>
      </x:c>
      <x:c r="J4565" s="34" t="str">
        <x:v>PASS</x:v>
      </x:c>
      <x:c r="K4565" s="34" t="str">
        <x:v>PASS</x:v>
      </x:c>
      <x:c r="L4565" s="34" t="str">
        <x:v>PASS</x:v>
      </x:c>
      <x:c r="M4565" s="34" t="str">
        <x:v>numeric coverage for applicable metric</x:v>
      </x:c>
      <x:c r="N4565" s="34" t="str">
        <x:v>Feedback-Directed Random Test Generation/Result_Round2/Compress_9/result.json</x:v>
      </x:c>
      <x:c r="O4565" s="38" t="n">
        <x:f>IF(AND(G4565="RECORDED",ISNUMBER(H4565)),H4565,"")</x:f>
        <x:v>33.33</x:v>
      </x:c>
      <x:c r="P4565" s="34" t="str">
        <x:v>INCONCLUSIVE</x:v>
      </x:c>
      <x:c r="Q4565" s="34" t="str">
        <x:v>Feedback-Directed Random Test Generation/Result_Round2/Compress_9/result.json</x:v>
      </x:c>
    </x:row>
    <x:row r="4566">
      <x:c r="A4566" s="34" t="str">
        <x:v>randoop</x:v>
      </x:c>
      <x:c r="B4566" s="34" t="str">
        <x:v>Compress</x:v>
      </x:c>
      <x:c r="C4566" s="34" t="str">
        <x:v>Round2</x:v>
      </x:c>
      <x:c r="D4566" s="34" t="str">
        <x:v>Compress_10</x:v>
      </x:c>
      <x:c r="E4566" s="34" t="str">
        <x:v>Condition</x:v>
      </x:c>
      <x:c r="F4566" s="34" t="n">
        <x:v>113</x:v>
      </x:c>
      <x:c r="G4566" s="34" t="str">
        <x:v>RECORDED</x:v>
      </x:c>
      <x:c r="H4566" s="38" t="n">
        <x:f>IF(ISNUMBER('Data'!I1150),'Data'!I1150*100,"")</x:f>
        <x:v>0.88</x:v>
      </x:c>
      <x:c r="I4566" s="34" t="str">
        <x:v>PASS</x:v>
      </x:c>
      <x:c r="J4566" s="34" t="str">
        <x:v>PASS</x:v>
      </x:c>
      <x:c r="K4566" s="34" t="str">
        <x:v>PASS</x:v>
      </x:c>
      <x:c r="L4566" s="34" t="str">
        <x:v>PASS</x:v>
      </x:c>
      <x:c r="M4566" s="34" t="str">
        <x:v>numeric coverage for applicable metric</x:v>
      </x:c>
      <x:c r="N4566" s="34" t="str">
        <x:v>Feedback-Directed Random Test Generation/Result_Round2/Compress_10/result.json</x:v>
      </x:c>
      <x:c r="O4566" s="38" t="n">
        <x:f>IF(AND(G4566="RECORDED",ISNUMBER(H4566)),H4566,"")</x:f>
        <x:v>0.88</x:v>
      </x:c>
      <x:c r="P4566" s="34" t="str">
        <x:v>NOT_REVEALING</x:v>
      </x:c>
      <x:c r="Q4566" s="34" t="str">
        <x:v>Feedback-Directed Random Test Generation/Result_Round2/Compress_10/result.json</x:v>
      </x:c>
    </x:row>
    <x:row r="4567">
      <x:c r="A4567" s="34" t="str">
        <x:v>randoop</x:v>
      </x:c>
      <x:c r="B4567" s="34" t="str">
        <x:v>Compress</x:v>
      </x:c>
      <x:c r="C4567" s="34" t="str">
        <x:v>Round2</x:v>
      </x:c>
      <x:c r="D4567" s="34" t="str">
        <x:v>Compress_11</x:v>
      </x:c>
      <x:c r="E4567" s="34" t="str">
        <x:v>Condition</x:v>
      </x:c>
      <x:c r="F4567" s="34" t="n">
        <x:v>46</x:v>
      </x:c>
      <x:c r="G4567" s="34" t="str">
        <x:v>RECORDED</x:v>
      </x:c>
      <x:c r="H4567" s="38" t="n">
        <x:f>IF(ISNUMBER('Data'!I1151),'Data'!I1151*100,"")</x:f>
        <x:v>10.87</x:v>
      </x:c>
      <x:c r="I4567" s="34" t="str">
        <x:v>PASS</x:v>
      </x:c>
      <x:c r="J4567" s="34" t="str">
        <x:v>PASS</x:v>
      </x:c>
      <x:c r="K4567" s="34" t="str">
        <x:v>PASS</x:v>
      </x:c>
      <x:c r="L4567" s="34" t="str">
        <x:v>PASS</x:v>
      </x:c>
      <x:c r="M4567" s="34" t="str">
        <x:v>numeric coverage for applicable metric</x:v>
      </x:c>
      <x:c r="N4567" s="34" t="str">
        <x:v>Feedback-Directed Random Test Generation/Result_Round2/Compress_11/result.json</x:v>
      </x:c>
      <x:c r="O4567" s="38" t="n">
        <x:f>IF(AND(G4567="RECORDED",ISNUMBER(H4567)),H4567,"")</x:f>
        <x:v>10.87</x:v>
      </x:c>
      <x:c r="P4567" s="34" t="str">
        <x:v>NOT_REVEALING</x:v>
      </x:c>
      <x:c r="Q4567" s="34" t="str">
        <x:v>Feedback-Directed Random Test Generation/Result_Round2/Compress_11/result.json</x:v>
      </x:c>
    </x:row>
    <x:row r="4568">
      <x:c r="A4568" s="34" t="str">
        <x:v>randoop</x:v>
      </x:c>
      <x:c r="B4568" s="34" t="str">
        <x:v>Compress</x:v>
      </x:c>
      <x:c r="C4568" s="34" t="str">
        <x:v>Round2</x:v>
      </x:c>
      <x:c r="D4568" s="34" t="str">
        <x:v>Compress_12</x:v>
      </x:c>
      <x:c r="E4568" s="34" t="str">
        <x:v>Condition</x:v>
      </x:c>
      <x:c r="F4568" s="34" t="n">
        <x:v>110</x:v>
      </x:c>
      <x:c r="G4568" s="34" t="str">
        <x:v>RECORDED</x:v>
      </x:c>
      <x:c r="H4568" s="38" t="n">
        <x:f>IF(ISNUMBER('Data'!I1152),'Data'!I1152*100,"")</x:f>
        <x:v>14.550000000000002</x:v>
      </x:c>
      <x:c r="I4568" s="34" t="str">
        <x:v>PASS</x:v>
      </x:c>
      <x:c r="J4568" s="34" t="str">
        <x:v>PASS</x:v>
      </x:c>
      <x:c r="K4568" s="34" t="str">
        <x:v>PASS</x:v>
      </x:c>
      <x:c r="L4568" s="34" t="str">
        <x:v>PASS</x:v>
      </x:c>
      <x:c r="M4568" s="34" t="str">
        <x:v>numeric coverage for applicable metric</x:v>
      </x:c>
      <x:c r="N4568" s="34" t="str">
        <x:v>Feedback-Directed Random Test Generation/Result_Round2/Compress_12/result.json</x:v>
      </x:c>
      <x:c r="O4568" s="38" t="n">
        <x:f>IF(AND(G4568="RECORDED",ISNUMBER(H4568)),H4568,"")</x:f>
        <x:v>14.550000000000002</x:v>
      </x:c>
      <x:c r="P4568" s="34" t="str">
        <x:v>NOT_REVEALING</x:v>
      </x:c>
      <x:c r="Q4568" s="34" t="str">
        <x:v>Feedback-Directed Random Test Generation/Result_Round2/Compress_12/result.json</x:v>
      </x:c>
    </x:row>
    <x:row r="4569">
      <x:c r="A4569" s="34" t="str">
        <x:v>randoop</x:v>
      </x:c>
      <x:c r="B4569" s="34" t="str">
        <x:v>Compress</x:v>
      </x:c>
      <x:c r="C4569" s="34" t="str">
        <x:v>Round2</x:v>
      </x:c>
      <x:c r="D4569" s="34" t="str">
        <x:v>Compress_13</x:v>
      </x:c>
      <x:c r="E4569" s="34" t="str">
        <x:v>Condition</x:v>
      </x:c>
      <x:c r="F4569" s="34" t="n">
        <x:v>104</x:v>
      </x:c>
      <x:c r="G4569" s="34" t="str">
        <x:v>RECORDED</x:v>
      </x:c>
      <x:c r="H4569" s="38" t="n">
        <x:f>IF(ISNUMBER('Data'!I1153),'Data'!I1153*100,"")</x:f>
        <x:v>77.88</x:v>
      </x:c>
      <x:c r="I4569" s="34" t="str">
        <x:v>PASS</x:v>
      </x:c>
      <x:c r="J4569" s="34" t="str">
        <x:v>PASS</x:v>
      </x:c>
      <x:c r="K4569" s="34" t="str">
        <x:v>PASS</x:v>
      </x:c>
      <x:c r="L4569" s="34" t="str">
        <x:v>FAIL</x:v>
      </x:c>
      <x:c r="M4569" s="34" t="str">
        <x:v>numeric coverage for applicable metric</x:v>
      </x:c>
      <x:c r="N4569" s="34" t="str">
        <x:v>Feedback-Directed Random Test Generation/Result_Round2/Compress_13/result.json</x:v>
      </x:c>
      <x:c r="O4569" s="38" t="n">
        <x:f>IF(AND(G4569="RECORDED",ISNUMBER(H4569)),H4569,"")</x:f>
        <x:v>77.88</x:v>
      </x:c>
      <x:c r="P4569" s="34" t="str">
        <x:v>INCONCLUSIVE</x:v>
      </x:c>
      <x:c r="Q4569" s="34" t="str">
        <x:v>Feedback-Directed Random Test Generation/Result_Round2/Compress_13/result.json</x:v>
      </x:c>
    </x:row>
    <x:row r="4570">
      <x:c r="A4570" s="34" t="str">
        <x:v>randoop</x:v>
      </x:c>
      <x:c r="B4570" s="34" t="str">
        <x:v>Compress</x:v>
      </x:c>
      <x:c r="C4570" s="34" t="str">
        <x:v>Round2</x:v>
      </x:c>
      <x:c r="D4570" s="34" t="str">
        <x:v>Compress_14</x:v>
      </x:c>
      <x:c r="E4570" s="34" t="str">
        <x:v>Condition</x:v>
      </x:c>
      <x:c r="F4570" s="34" t="n">
        <x:v>66</x:v>
      </x:c>
      <x:c r="G4570" s="34" t="str">
        <x:v>RECORDED</x:v>
      </x:c>
      <x:c r="H4570" s="38" t="n">
        <x:f>IF(ISNUMBER('Data'!I1154),'Data'!I1154*100,"")</x:f>
        <x:v>84.85</x:v>
      </x:c>
      <x:c r="I4570" s="34" t="str">
        <x:v>PASS</x:v>
      </x:c>
      <x:c r="J4570" s="34" t="str">
        <x:v>PASS</x:v>
      </x:c>
      <x:c r="K4570" s="34" t="str">
        <x:v>PASS</x:v>
      </x:c>
      <x:c r="L4570" s="34" t="str">
        <x:v>PASS</x:v>
      </x:c>
      <x:c r="M4570" s="34" t="str">
        <x:v>numeric coverage for applicable metric</x:v>
      </x:c>
      <x:c r="N4570" s="34" t="str">
        <x:v>Feedback-Directed Random Test Generation/Result_Round2/Compress_14/result.json</x:v>
      </x:c>
      <x:c r="O4570" s="38" t="n">
        <x:f>IF(AND(G4570="RECORDED",ISNUMBER(H4570)),H4570,"")</x:f>
        <x:v>84.85</x:v>
      </x:c>
      <x:c r="P4570" s="34" t="str">
        <x:v>INCONCLUSIVE</x:v>
      </x:c>
      <x:c r="Q4570" s="34" t="str">
        <x:v>Feedback-Directed Random Test Generation/Result_Round2/Compress_14/result.json</x:v>
      </x:c>
    </x:row>
    <x:row r="4571">
      <x:c r="A4571" s="34" t="str">
        <x:v>randoop</x:v>
      </x:c>
      <x:c r="B4571" s="34" t="str">
        <x:v>Compress</x:v>
      </x:c>
      <x:c r="C4571" s="34" t="str">
        <x:v>Round2</x:v>
      </x:c>
      <x:c r="D4571" s="34" t="str">
        <x:v>Compress_15</x:v>
      </x:c>
      <x:c r="E4571" s="34" t="str">
        <x:v>Condition</x:v>
      </x:c>
      <x:c r="F4571" s="34" t="n">
        <x:v>110</x:v>
      </x:c>
      <x:c r="G4571" s="34" t="str">
        <x:v>RECORDED</x:v>
      </x:c>
      <x:c r="H4571" s="38" t="n">
        <x:f>IF(ISNUMBER('Data'!I1155),'Data'!I1155*100,"")</x:f>
        <x:v>78.18</x:v>
      </x:c>
      <x:c r="I4571" s="34" t="str">
        <x:v>PASS</x:v>
      </x:c>
      <x:c r="J4571" s="34" t="str">
        <x:v>PASS</x:v>
      </x:c>
      <x:c r="K4571" s="34" t="str">
        <x:v>PASS</x:v>
      </x:c>
      <x:c r="L4571" s="34" t="str">
        <x:v>FAIL</x:v>
      </x:c>
      <x:c r="M4571" s="34" t="str">
        <x:v>numeric coverage for applicable metric</x:v>
      </x:c>
      <x:c r="N4571" s="34" t="str">
        <x:v>Feedback-Directed Random Test Generation/Result_Round2/Compress_15/result.json</x:v>
      </x:c>
      <x:c r="O4571" s="38" t="n">
        <x:f>IF(AND(G4571="RECORDED",ISNUMBER(H4571)),H4571,"")</x:f>
        <x:v>78.18</x:v>
      </x:c>
      <x:c r="P4571" s="34" t="str">
        <x:v>INCONCLUSIVE</x:v>
      </x:c>
      <x:c r="Q4571" s="34" t="str">
        <x:v>Feedback-Directed Random Test Generation/Result_Round2/Compress_15/result.json</x:v>
      </x:c>
    </x:row>
    <x:row r="4572">
      <x:c r="A4572" s="34" t="str">
        <x:v>randoop</x:v>
      </x:c>
      <x:c r="B4572" s="34" t="str">
        <x:v>Compress</x:v>
      </x:c>
      <x:c r="C4572" s="34" t="str">
        <x:v>Round2</x:v>
      </x:c>
      <x:c r="D4572" s="34" t="str">
        <x:v>Compress_16</x:v>
      </x:c>
      <x:c r="E4572" s="34" t="str">
        <x:v>Condition</x:v>
      </x:c>
      <x:c r="F4572" s="34" t="n">
        <x:v>48</x:v>
      </x:c>
      <x:c r="G4572" s="34" t="str">
        <x:v>RECORDED</x:v>
      </x:c>
      <x:c r="H4572" s="38" t="n">
        <x:f>IF(ISNUMBER('Data'!I1156),'Data'!I1156*100,"")</x:f>
        <x:v>10.42</x:v>
      </x:c>
      <x:c r="I4572" s="34" t="str">
        <x:v>PASS</x:v>
      </x:c>
      <x:c r="J4572" s="34" t="str">
        <x:v>PASS</x:v>
      </x:c>
      <x:c r="K4572" s="34" t="str">
        <x:v>PASS</x:v>
      </x:c>
      <x:c r="L4572" s="34" t="str">
        <x:v>PASS</x:v>
      </x:c>
      <x:c r="M4572" s="34" t="str">
        <x:v>numeric coverage for applicable metric</x:v>
      </x:c>
      <x:c r="N4572" s="34" t="str">
        <x:v>Feedback-Directed Random Test Generation/Result_Round2/Compress_16/result.json</x:v>
      </x:c>
      <x:c r="O4572" s="38" t="n">
        <x:f>IF(AND(G4572="RECORDED",ISNUMBER(H4572)),H4572,"")</x:f>
        <x:v>10.42</x:v>
      </x:c>
      <x:c r="P4572" s="34" t="str">
        <x:v>NOT_REVEALING</x:v>
      </x:c>
      <x:c r="Q4572" s="34" t="str">
        <x:v>Feedback-Directed Random Test Generation/Result_Round2/Compress_16/result.json</x:v>
      </x:c>
    </x:row>
    <x:row r="4573">
      <x:c r="A4573" s="34" t="str">
        <x:v>randoop</x:v>
      </x:c>
      <x:c r="B4573" s="34" t="str">
        <x:v>Compress</x:v>
      </x:c>
      <x:c r="C4573" s="34" t="str">
        <x:v>Round2</x:v>
      </x:c>
      <x:c r="D4573" s="34" t="str">
        <x:v>Compress_17</x:v>
      </x:c>
      <x:c r="E4573" s="34" t="str">
        <x:v>Condition</x:v>
      </x:c>
      <x:c r="F4573" s="34" t="n">
        <x:v>116</x:v>
      </x:c>
      <x:c r="G4573" s="34" t="str">
        <x:v>RECORDED</x:v>
      </x:c>
      <x:c r="H4573" s="38" t="n">
        <x:f>IF(ISNUMBER('Data'!I1157),'Data'!I1157*100,"")</x:f>
        <x:v>64.66</x:v>
      </x:c>
      <x:c r="I4573" s="34" t="str">
        <x:v>PASS</x:v>
      </x:c>
      <x:c r="J4573" s="34" t="str">
        <x:v>PASS</x:v>
      </x:c>
      <x:c r="K4573" s="34" t="str">
        <x:v>PASS</x:v>
      </x:c>
      <x:c r="L4573" s="34" t="str">
        <x:v>PASS</x:v>
      </x:c>
      <x:c r="M4573" s="34" t="str">
        <x:v>numeric coverage for applicable metric</x:v>
      </x:c>
      <x:c r="N4573" s="34" t="str">
        <x:v>Feedback-Directed Random Test Generation/Result_Round2/Compress_17/result.json</x:v>
      </x:c>
      <x:c r="O4573" s="38" t="n">
        <x:f>IF(AND(G4573="RECORDED",ISNUMBER(H4573)),H4573,"")</x:f>
        <x:v>64.66</x:v>
      </x:c>
      <x:c r="P4573" s="34" t="str">
        <x:v>NOT_REVEALING</x:v>
      </x:c>
      <x:c r="Q4573" s="34" t="str">
        <x:v>Feedback-Directed Random Test Generation/Result_Round2/Compress_17/result.json</x:v>
      </x:c>
    </x:row>
    <x:row r="4574">
      <x:c r="A4574" s="34" t="str">
        <x:v>randoop</x:v>
      </x:c>
      <x:c r="B4574" s="34" t="str">
        <x:v>Compress</x:v>
      </x:c>
      <x:c r="C4574" s="34" t="str">
        <x:v>Round2</x:v>
      </x:c>
      <x:c r="D4574" s="34" t="str">
        <x:v>Compress_18</x:v>
      </x:c>
      <x:c r="E4574" s="34" t="str">
        <x:v>Condition</x:v>
      </x:c>
      <x:c r="F4574" s="34" t="n">
        <x:v>84</x:v>
      </x:c>
      <x:c r="G4574" s="34" t="str">
        <x:v>RECORDED</x:v>
      </x:c>
      <x:c r="H4574" s="38" t="n">
        <x:f>IF(ISNUMBER('Data'!I1158),'Data'!I1158*100,"")</x:f>
        <x:v>20.24</x:v>
      </x:c>
      <x:c r="I4574" s="34" t="str">
        <x:v>PASS</x:v>
      </x:c>
      <x:c r="J4574" s="34" t="str">
        <x:v>PASS</x:v>
      </x:c>
      <x:c r="K4574" s="34" t="str">
        <x:v>PASS</x:v>
      </x:c>
      <x:c r="L4574" s="34" t="str">
        <x:v>PASS</x:v>
      </x:c>
      <x:c r="M4574" s="34" t="str">
        <x:v>numeric coverage for applicable metric</x:v>
      </x:c>
      <x:c r="N4574" s="34" t="str">
        <x:v>Feedback-Directed Random Test Generation/Result_Round2/Compress_18/result.json</x:v>
      </x:c>
      <x:c r="O4574" s="38" t="n">
        <x:f>IF(AND(G4574="RECORDED",ISNUMBER(H4574)),H4574,"")</x:f>
        <x:v>20.24</x:v>
      </x:c>
      <x:c r="P4574" s="34" t="str">
        <x:v>NOT_REVEALING</x:v>
      </x:c>
      <x:c r="Q4574" s="34" t="str">
        <x:v>Feedback-Directed Random Test Generation/Result_Round2/Compress_18/result.json</x:v>
      </x:c>
    </x:row>
    <x:row r="4575">
      <x:c r="A4575" s="34" t="str">
        <x:v>randoop</x:v>
      </x:c>
      <x:c r="B4575" s="34" t="str">
        <x:v>Compress</x:v>
      </x:c>
      <x:c r="C4575" s="34" t="str">
        <x:v>Round2</x:v>
      </x:c>
      <x:c r="D4575" s="34" t="str">
        <x:v>Compress_19</x:v>
      </x:c>
      <x:c r="E4575" s="34" t="str">
        <x:v>Condition</x:v>
      </x:c>
      <x:c r="F4575" s="34" t="n">
        <x:v>60</x:v>
      </x:c>
      <x:c r="G4575" s="34" t="str">
        <x:v>RECORDED</x:v>
      </x:c>
      <x:c r="H4575" s="38" t="n">
        <x:f>IF(ISNUMBER('Data'!I1159),'Data'!I1159*100,"")</x:f>
        <x:v>55.00000000000001</x:v>
      </x:c>
      <x:c r="I4575" s="34" t="str">
        <x:v>PASS</x:v>
      </x:c>
      <x:c r="J4575" s="34" t="str">
        <x:v>PASS</x:v>
      </x:c>
      <x:c r="K4575" s="34" t="str">
        <x:v>PASS</x:v>
      </x:c>
      <x:c r="L4575" s="34" t="str">
        <x:v>PASS</x:v>
      </x:c>
      <x:c r="M4575" s="34" t="str">
        <x:v>numeric coverage for applicable metric</x:v>
      </x:c>
      <x:c r="N4575" s="34" t="str">
        <x:v>Feedback-Directed Random Test Generation/Result_Round2/Compress_19/result.json</x:v>
      </x:c>
      <x:c r="O4575" s="38" t="n">
        <x:f>IF(AND(G4575="RECORDED",ISNUMBER(H4575)),H4575,"")</x:f>
        <x:v>55.00000000000001</x:v>
      </x:c>
      <x:c r="P4575" s="34" t="str">
        <x:v>NOT_REVEALING</x:v>
      </x:c>
      <x:c r="Q4575" s="34" t="str">
        <x:v>Feedback-Directed Random Test Generation/Result_Round2/Compress_19/result.json</x:v>
      </x:c>
    </x:row>
    <x:row r="4576">
      <x:c r="A4576" s="34" t="str">
        <x:v>randoop</x:v>
      </x:c>
      <x:c r="B4576" s="34" t="str">
        <x:v>Compress</x:v>
      </x:c>
      <x:c r="C4576" s="34" t="str">
        <x:v>Round2</x:v>
      </x:c>
      <x:c r="D4576" s="34" t="str">
        <x:v>Compress_20</x:v>
      </x:c>
      <x:c r="E4576" s="34" t="str">
        <x:v>Condition</x:v>
      </x:c>
      <x:c r="F4576" s="34" t="n">
        <x:v>114</x:v>
      </x:c>
      <x:c r="G4576" s="34" t="str">
        <x:v>RECORDED</x:v>
      </x:c>
      <x:c r="H4576" s="38" t="n">
        <x:f>IF(ISNUMBER('Data'!I1160),'Data'!I1160*100,"")</x:f>
        <x:v>25.44</x:v>
      </x:c>
      <x:c r="I4576" s="34" t="str">
        <x:v>PASS</x:v>
      </x:c>
      <x:c r="J4576" s="34" t="str">
        <x:v>PASS</x:v>
      </x:c>
      <x:c r="K4576" s="34" t="str">
        <x:v>PASS</x:v>
      </x:c>
      <x:c r="L4576" s="34" t="str">
        <x:v>PASS</x:v>
      </x:c>
      <x:c r="M4576" s="34" t="str">
        <x:v>numeric coverage for applicable metric</x:v>
      </x:c>
      <x:c r="N4576" s="34" t="str">
        <x:v>Feedback-Directed Random Test Generation/Result_Round2/Compress_20/result.json</x:v>
      </x:c>
      <x:c r="O4576" s="38" t="n">
        <x:f>IF(AND(G4576="RECORDED",ISNUMBER(H4576)),H4576,"")</x:f>
        <x:v>25.44</x:v>
      </x:c>
      <x:c r="P4576" s="34" t="str">
        <x:v>NOT_REVEALING</x:v>
      </x:c>
      <x:c r="Q4576" s="34" t="str">
        <x:v>Feedback-Directed Random Test Generation/Result_Round2/Compress_20/result.json</x:v>
      </x:c>
    </x:row>
    <x:row r="4577">
      <x:c r="A4577" s="34" t="str">
        <x:v>randoop</x:v>
      </x:c>
      <x:c r="B4577" s="34" t="str">
        <x:v>Compress</x:v>
      </x:c>
      <x:c r="C4577" s="34" t="str">
        <x:v>Round2</x:v>
      </x:c>
      <x:c r="D4577" s="34" t="str">
        <x:v>Compress_21</x:v>
      </x:c>
      <x:c r="E4577" s="34" t="str">
        <x:v>Condition</x:v>
      </x:c>
      <x:c r="F4577" s="34" t="n">
        <x:v>136</x:v>
      </x:c>
      <x:c r="G4577" s="34" t="str">
        <x:v>RECORDED</x:v>
      </x:c>
      <x:c r="H4577" s="38" t="n">
        <x:f>IF(ISNUMBER('Data'!I1161),'Data'!I1161*100,"")</x:f>
        <x:v>0</x:v>
      </x:c>
      <x:c r="I4577" s="34" t="str">
        <x:v>PASS</x:v>
      </x:c>
      <x:c r="J4577" s="34" t="str">
        <x:v>PASS</x:v>
      </x:c>
      <x:c r="K4577" s="34" t="str">
        <x:v>PASS</x:v>
      </x:c>
      <x:c r="L4577" s="34" t="str">
        <x:v>PASS</x:v>
      </x:c>
      <x:c r="M4577" s="34" t="str">
        <x:v>numeric coverage for applicable metric</x:v>
      </x:c>
      <x:c r="N4577" s="34" t="str">
        <x:v>Feedback-Directed Random Test Generation/Result_Round2/Compress_21/result.json</x:v>
      </x:c>
      <x:c r="O4577" s="38" t="n">
        <x:f>IF(AND(G4577="RECORDED",ISNUMBER(H4577)),H4577,"")</x:f>
        <x:v>0</x:v>
      </x:c>
      <x:c r="P4577" s="34" t="str">
        <x:v>NOT_REVEALING</x:v>
      </x:c>
      <x:c r="Q4577" s="34" t="str">
        <x:v>Feedback-Directed Random Test Generation/Result_Round2/Compress_21/result.json</x:v>
      </x:c>
    </x:row>
    <x:row r="4578">
      <x:c r="A4578" s="34" t="str">
        <x:v>randoop</x:v>
      </x:c>
      <x:c r="B4578" s="34" t="str">
        <x:v>Compress</x:v>
      </x:c>
      <x:c r="C4578" s="34" t="str">
        <x:v>Round2</x:v>
      </x:c>
      <x:c r="D4578" s="34" t="str">
        <x:v>Compress_22</x:v>
      </x:c>
      <x:c r="E4578" s="34" t="str">
        <x:v>Condition</x:v>
      </x:c>
      <x:c r="F4578" s="34" t="n">
        <x:v>265</x:v>
      </x:c>
      <x:c r="G4578" s="34" t="str">
        <x:v>RECORDED</x:v>
      </x:c>
      <x:c r="H4578" s="38" t="n">
        <x:f>IF(ISNUMBER('Data'!I1162),'Data'!I1162*100,"")</x:f>
        <x:v>3.4000000000000004</x:v>
      </x:c>
      <x:c r="I4578" s="34" t="str">
        <x:v>PASS</x:v>
      </x:c>
      <x:c r="J4578" s="34" t="str">
        <x:v>PASS</x:v>
      </x:c>
      <x:c r="K4578" s="34" t="str">
        <x:v>PASS</x:v>
      </x:c>
      <x:c r="L4578" s="34" t="str">
        <x:v>PASS</x:v>
      </x:c>
      <x:c r="M4578" s="34" t="str">
        <x:v>numeric coverage for applicable metric</x:v>
      </x:c>
      <x:c r="N4578" s="34" t="str">
        <x:v>Feedback-Directed Random Test Generation/Result_Round2/Compress_22/result.json</x:v>
      </x:c>
      <x:c r="O4578" s="38" t="n">
        <x:f>IF(AND(G4578="RECORDED",ISNUMBER(H4578)),H4578,"")</x:f>
        <x:v>3.4000000000000004</x:v>
      </x:c>
      <x:c r="P4578" s="34" t="str">
        <x:v>NOT_REVEALING</x:v>
      </x:c>
      <x:c r="Q4578" s="34" t="str">
        <x:v>Feedback-Directed Random Test Generation/Result_Round2/Compress_22/result.json</x:v>
      </x:c>
    </x:row>
    <x:row r="4579">
      <x:c r="A4579" s="34" t="str">
        <x:v>randoop</x:v>
      </x:c>
      <x:c r="B4579" s="34" t="str">
        <x:v>Compress</x:v>
      </x:c>
      <x:c r="C4579" s="34" t="str">
        <x:v>Round2</x:v>
      </x:c>
      <x:c r="D4579" s="34" t="str">
        <x:v>Compress_23</x:v>
      </x:c>
      <x:c r="E4579" s="34" t="str">
        <x:v>Condition</x:v>
      </x:c>
      <x:c r="F4579" s="34" t="n">
        <x:v>34</x:v>
      </x:c>
      <x:c r="G4579" s="34" t="str">
        <x:v>RECORDED</x:v>
      </x:c>
      <x:c r="H4579" s="38" t="n">
        <x:f>IF(ISNUMBER('Data'!I1163),'Data'!I1163*100,"")</x:f>
        <x:v>17.65</x:v>
      </x:c>
      <x:c r="I4579" s="34" t="str">
        <x:v>PASS</x:v>
      </x:c>
      <x:c r="J4579" s="34" t="str">
        <x:v>PASS</x:v>
      </x:c>
      <x:c r="K4579" s="34" t="str">
        <x:v>PASS</x:v>
      </x:c>
      <x:c r="L4579" s="34" t="str">
        <x:v>FAIL</x:v>
      </x:c>
      <x:c r="M4579" s="34" t="str">
        <x:v>numeric coverage for applicable metric</x:v>
      </x:c>
      <x:c r="N4579" s="34" t="str">
        <x:v>Feedback-Directed Random Test Generation/Result_Round2/Compress_23/result.json</x:v>
      </x:c>
      <x:c r="O4579" s="38" t="n">
        <x:f>IF(AND(G4579="RECORDED",ISNUMBER(H4579)),H4579,"")</x:f>
        <x:v>17.65</x:v>
      </x:c>
      <x:c r="P4579" s="34" t="str">
        <x:v>INCONCLUSIVE</x:v>
      </x:c>
      <x:c r="Q4579" s="34" t="str">
        <x:v>Feedback-Directed Random Test Generation/Result_Round2/Compress_23/result.json</x:v>
      </x:c>
    </x:row>
    <x:row r="4580">
      <x:c r="A4580" s="34" t="str">
        <x:v>randoop</x:v>
      </x:c>
      <x:c r="B4580" s="34" t="str">
        <x:v>Compress</x:v>
      </x:c>
      <x:c r="C4580" s="34" t="str">
        <x:v>Round2</x:v>
      </x:c>
      <x:c r="D4580" s="34" t="str">
        <x:v>Compress_24</x:v>
      </x:c>
      <x:c r="E4580" s="34" t="str">
        <x:v>Condition</x:v>
      </x:c>
      <x:c r="F4580" s="34" t="n">
        <x:v>118</x:v>
      </x:c>
      <x:c r="G4580" s="34" t="str">
        <x:v>RECORDED</x:v>
      </x:c>
      <x:c r="H4580" s="38" t="n">
        <x:f>IF(ISNUMBER('Data'!I1164),'Data'!I1164*100,"")</x:f>
        <x:v>64.41</x:v>
      </x:c>
      <x:c r="I4580" s="34" t="str">
        <x:v>PASS</x:v>
      </x:c>
      <x:c r="J4580" s="34" t="str">
        <x:v>PASS</x:v>
      </x:c>
      <x:c r="K4580" s="34" t="str">
        <x:v>PASS</x:v>
      </x:c>
      <x:c r="L4580" s="34" t="str">
        <x:v>PASS</x:v>
      </x:c>
      <x:c r="M4580" s="34" t="str">
        <x:v>numeric coverage for applicable metric</x:v>
      </x:c>
      <x:c r="N4580" s="34" t="str">
        <x:v>Feedback-Directed Random Test Generation/Result_Round2/Compress_24/result.json</x:v>
      </x:c>
      <x:c r="O4580" s="38" t="n">
        <x:f>IF(AND(G4580="RECORDED",ISNUMBER(H4580)),H4580,"")</x:f>
        <x:v>64.41</x:v>
      </x:c>
      <x:c r="P4580" s="34" t="str">
        <x:v>NOT_REVEALING</x:v>
      </x:c>
      <x:c r="Q4580" s="34" t="str">
        <x:v>Feedback-Directed Random Test Generation/Result_Round2/Compress_24/result.json</x:v>
      </x:c>
    </x:row>
    <x:row r="4581">
      <x:c r="A4581" s="34" t="str">
        <x:v>randoop</x:v>
      </x:c>
      <x:c r="B4581" s="34" t="str">
        <x:v>Compress</x:v>
      </x:c>
      <x:c r="C4581" s="34" t="str">
        <x:v>Round2</x:v>
      </x:c>
      <x:c r="D4581" s="34" t="str">
        <x:v>Compress_25</x:v>
      </x:c>
      <x:c r="E4581" s="34" t="str">
        <x:v>Condition</x:v>
      </x:c>
      <x:c r="F4581" s="34" t="n">
        <x:v>252</x:v>
      </x:c>
      <x:c r="G4581" s="34" t="str">
        <x:v>RECORDED</x:v>
      </x:c>
      <x:c r="H4581" s="38" t="n">
        <x:f>IF(ISNUMBER('Data'!I1165),'Data'!I1165*100,"")</x:f>
        <x:v>10.32</x:v>
      </x:c>
      <x:c r="I4581" s="34" t="str">
        <x:v>PASS</x:v>
      </x:c>
      <x:c r="J4581" s="34" t="str">
        <x:v>PASS</x:v>
      </x:c>
      <x:c r="K4581" s="34" t="str">
        <x:v>PASS</x:v>
      </x:c>
      <x:c r="L4581" s="34" t="str">
        <x:v>PASS</x:v>
      </x:c>
      <x:c r="M4581" s="34" t="str">
        <x:v>numeric coverage for applicable metric</x:v>
      </x:c>
      <x:c r="N4581" s="34" t="str">
        <x:v>Feedback-Directed Random Test Generation/Result_Round2/Compress_25/result.json</x:v>
      </x:c>
      <x:c r="O4581" s="38" t="n">
        <x:f>IF(AND(G4581="RECORDED",ISNUMBER(H4581)),H4581,"")</x:f>
        <x:v>10.32</x:v>
      </x:c>
      <x:c r="P4581" s="34" t="str">
        <x:v>NOT_REVEALING</x:v>
      </x:c>
      <x:c r="Q4581" s="34" t="str">
        <x:v>Feedback-Directed Random Test Generation/Result_Round2/Compress_25/result.json</x:v>
      </x:c>
    </x:row>
    <x:row r="4582">
      <x:c r="A4582" s="34" t="str">
        <x:v>randoop</x:v>
      </x:c>
      <x:c r="B4582" s="34" t="str">
        <x:v>Compress</x:v>
      </x:c>
      <x:c r="C4582" s="34" t="str">
        <x:v>Round2</x:v>
      </x:c>
      <x:c r="D4582" s="34" t="str">
        <x:v>Compress_26</x:v>
      </x:c>
      <x:c r="E4582" s="34" t="str">
        <x:v>Condition</x:v>
      </x:c>
      <x:c r="F4582" s="34" t="n">
        <x:v>18</x:v>
      </x:c>
      <x:c r="G4582" s="34" t="str">
        <x:v>RECORDED</x:v>
      </x:c>
      <x:c r="H4582" s="38" t="n">
        <x:f>IF(ISNUMBER('Data'!I1166),'Data'!I1166*100,"")</x:f>
        <x:v>61.11</x:v>
      </x:c>
      <x:c r="I4582" s="34" t="str">
        <x:v>PASS</x:v>
      </x:c>
      <x:c r="J4582" s="34" t="str">
        <x:v>PASS</x:v>
      </x:c>
      <x:c r="K4582" s="34" t="str">
        <x:v>PASS</x:v>
      </x:c>
      <x:c r="L4582" s="34" t="str">
        <x:v>PASS</x:v>
      </x:c>
      <x:c r="M4582" s="34" t="str">
        <x:v>numeric coverage for applicable metric</x:v>
      </x:c>
      <x:c r="N4582" s="34" t="str">
        <x:v>Feedback-Directed Random Test Generation/Result_Round2/Compress_26/result.json</x:v>
      </x:c>
      <x:c r="O4582" s="38" t="n">
        <x:f>IF(AND(G4582="RECORDED",ISNUMBER(H4582)),H4582,"")</x:f>
        <x:v>61.11</x:v>
      </x:c>
      <x:c r="P4582" s="34" t="str">
        <x:v>NOT_REVEALING</x:v>
      </x:c>
      <x:c r="Q4582" s="34" t="str">
        <x:v>Feedback-Directed Random Test Generation/Result_Round2/Compress_26/result.json</x:v>
      </x:c>
    </x:row>
    <x:row r="4583">
      <x:c r="A4583" s="34" t="str">
        <x:v>randoop</x:v>
      </x:c>
      <x:c r="B4583" s="34" t="str">
        <x:v>Compress</x:v>
      </x:c>
      <x:c r="C4583" s="34" t="str">
        <x:v>Round2</x:v>
      </x:c>
      <x:c r="D4583" s="34" t="str">
        <x:v>Compress_27</x:v>
      </x:c>
      <x:c r="E4583" s="34" t="str">
        <x:v>Condition</x:v>
      </x:c>
      <x:c r="F4583" s="34" t="n">
        <x:v>116</x:v>
      </x:c>
      <x:c r="G4583" s="34" t="str">
        <x:v>RECORDED</x:v>
      </x:c>
      <x:c r="H4583" s="38" t="n">
        <x:f>IF(ISNUMBER('Data'!I1167),'Data'!I1167*100,"")</x:f>
        <x:v>71.55</x:v>
      </x:c>
      <x:c r="I4583" s="34" t="str">
        <x:v>PASS</x:v>
      </x:c>
      <x:c r="J4583" s="34" t="str">
        <x:v>PASS</x:v>
      </x:c>
      <x:c r="K4583" s="34" t="str">
        <x:v>PASS</x:v>
      </x:c>
      <x:c r="L4583" s="34" t="str">
        <x:v>PASS</x:v>
      </x:c>
      <x:c r="M4583" s="34" t="str">
        <x:v>numeric coverage for applicable metric</x:v>
      </x:c>
      <x:c r="N4583" s="34" t="str">
        <x:v>Feedback-Directed Random Test Generation/Result_Round2/Compress_27/result.json</x:v>
      </x:c>
      <x:c r="O4583" s="38" t="n">
        <x:f>IF(AND(G4583="RECORDED",ISNUMBER(H4583)),H4583,"")</x:f>
        <x:v>71.55</x:v>
      </x:c>
      <x:c r="P4583" s="34" t="str">
        <x:v>NOT_REVEALING</x:v>
      </x:c>
      <x:c r="Q4583" s="34" t="str">
        <x:v>Feedback-Directed Random Test Generation/Result_Round2/Compress_27/result.json</x:v>
      </x:c>
    </x:row>
    <x:row r="4584">
      <x:c r="A4584" s="34" t="str">
        <x:v>randoop</x:v>
      </x:c>
      <x:c r="B4584" s="34" t="str">
        <x:v>Compress</x:v>
      </x:c>
      <x:c r="C4584" s="34" t="str">
        <x:v>Round2</x:v>
      </x:c>
      <x:c r="D4584" s="34" t="str">
        <x:v>Compress_28</x:v>
      </x:c>
      <x:c r="E4584" s="34" t="str">
        <x:v>Condition</x:v>
      </x:c>
      <x:c r="F4584" s="34" t="n">
        <x:v>122</x:v>
      </x:c>
      <x:c r="G4584" s="34" t="str">
        <x:v>RECORDED</x:v>
      </x:c>
      <x:c r="H4584" s="38" t="n">
        <x:f>IF(ISNUMBER('Data'!I1168),'Data'!I1168*100,"")</x:f>
        <x:v>22.95</x:v>
      </x:c>
      <x:c r="I4584" s="34" t="str">
        <x:v>PASS</x:v>
      </x:c>
      <x:c r="J4584" s="34" t="str">
        <x:v>PASS</x:v>
      </x:c>
      <x:c r="K4584" s="34" t="str">
        <x:v>PASS</x:v>
      </x:c>
      <x:c r="L4584" s="34" t="str">
        <x:v>PASS</x:v>
      </x:c>
      <x:c r="M4584" s="34" t="str">
        <x:v>numeric coverage for applicable metric</x:v>
      </x:c>
      <x:c r="N4584" s="34" t="str">
        <x:v>Feedback-Directed Random Test Generation/Result_Round2/Compress_28/result.json</x:v>
      </x:c>
      <x:c r="O4584" s="38" t="n">
        <x:f>IF(AND(G4584="RECORDED",ISNUMBER(H4584)),H4584,"")</x:f>
        <x:v>22.95</x:v>
      </x:c>
      <x:c r="P4584" s="34" t="str">
        <x:v>NOT_REVEALING</x:v>
      </x:c>
      <x:c r="Q4584" s="34" t="str">
        <x:v>Feedback-Directed Random Test Generation/Result_Round2/Compress_28/result.json</x:v>
      </x:c>
    </x:row>
    <x:row r="4585">
      <x:c r="A4585" s="34" t="str">
        <x:v>randoop</x:v>
      </x:c>
      <x:c r="B4585" s="34" t="str">
        <x:v>Compress</x:v>
      </x:c>
      <x:c r="C4585" s="34" t="str">
        <x:v>Round2</x:v>
      </x:c>
      <x:c r="D4585" s="34" t="str">
        <x:v>Compress_29</x:v>
      </x:c>
      <x:c r="E4585" s="34" t="str">
        <x:v>Condition</x:v>
      </x:c>
      <x:c r="F4585" s="34" t="n">
        <x:v>885</x:v>
      </x:c>
      <x:c r="G4585" s="34" t="str">
        <x:v>RECORDED</x:v>
      </x:c>
      <x:c r="H4585" s="38" t="n">
        <x:f>IF(ISNUMBER('Data'!I1169),'Data'!I1169*100,"")</x:f>
        <x:v>21.92</x:v>
      </x:c>
      <x:c r="I4585" s="34" t="str">
        <x:v>PASS</x:v>
      </x:c>
      <x:c r="J4585" s="34" t="str">
        <x:v>PASS</x:v>
      </x:c>
      <x:c r="K4585" s="34" t="str">
        <x:v>PASS</x:v>
      </x:c>
      <x:c r="L4585" s="34" t="str">
        <x:v>PASS</x:v>
      </x:c>
      <x:c r="M4585" s="34" t="str">
        <x:v>numeric coverage for applicable metric</x:v>
      </x:c>
      <x:c r="N4585" s="34" t="str">
        <x:v>Feedback-Directed Random Test Generation/Result_Round2/Compress_29/result.json</x:v>
      </x:c>
      <x:c r="O4585" s="38" t="n">
        <x:f>IF(AND(G4585="RECORDED",ISNUMBER(H4585)),H4585,"")</x:f>
        <x:v>21.92</x:v>
      </x:c>
      <x:c r="P4585" s="34" t="str">
        <x:v>NOT_REVEALING</x:v>
      </x:c>
      <x:c r="Q4585" s="34" t="str">
        <x:v>Feedback-Directed Random Test Generation/Result_Round2/Compress_29/result.json</x:v>
      </x:c>
    </x:row>
    <x:row r="4586">
      <x:c r="A4586" s="34" t="str">
        <x:v>randoop</x:v>
      </x:c>
      <x:c r="B4586" s="34" t="str">
        <x:v>Compress</x:v>
      </x:c>
      <x:c r="C4586" s="34" t="str">
        <x:v>Round2</x:v>
      </x:c>
      <x:c r="D4586" s="34" t="str">
        <x:v>Compress_30</x:v>
      </x:c>
      <x:c r="E4586" s="34" t="str">
        <x:v>Condition</x:v>
      </x:c>
      <x:c r="F4586" s="34" t="n">
        <x:v>265</x:v>
      </x:c>
      <x:c r="G4586" s="34" t="str">
        <x:v>RECORDED</x:v>
      </x:c>
      <x:c r="H4586" s="38" t="n">
        <x:f>IF(ISNUMBER('Data'!I1170),'Data'!I1170*100,"")</x:f>
        <x:v>3.4000000000000004</x:v>
      </x:c>
      <x:c r="I4586" s="34" t="str">
        <x:v>PASS</x:v>
      </x:c>
      <x:c r="J4586" s="34" t="str">
        <x:v>PASS</x:v>
      </x:c>
      <x:c r="K4586" s="34" t="str">
        <x:v>PASS</x:v>
      </x:c>
      <x:c r="L4586" s="34" t="str">
        <x:v>PASS</x:v>
      </x:c>
      <x:c r="M4586" s="34" t="str">
        <x:v>numeric coverage for applicable metric</x:v>
      </x:c>
      <x:c r="N4586" s="34" t="str">
        <x:v>Feedback-Directed Random Test Generation/Result_Round2/Compress_30/result.json</x:v>
      </x:c>
      <x:c r="O4586" s="38" t="n">
        <x:f>IF(AND(G4586="RECORDED",ISNUMBER(H4586)),H4586,"")</x:f>
        <x:v>3.4000000000000004</x:v>
      </x:c>
      <x:c r="P4586" s="34" t="str">
        <x:v>NOT_REVEALING</x:v>
      </x:c>
      <x:c r="Q4586" s="34" t="str">
        <x:v>Feedback-Directed Random Test Generation/Result_Round2/Compress_30/result.json</x:v>
      </x:c>
    </x:row>
    <x:row r="4587">
      <x:c r="A4587" s="34" t="str">
        <x:v>randoop</x:v>
      </x:c>
      <x:c r="B4587" s="34" t="str">
        <x:v>Compress</x:v>
      </x:c>
      <x:c r="C4587" s="34" t="str">
        <x:v>Round2</x:v>
      </x:c>
      <x:c r="D4587" s="34" t="str">
        <x:v>Compress_31</x:v>
      </x:c>
      <x:c r="E4587" s="34" t="str">
        <x:v>Condition</x:v>
      </x:c>
      <x:c r="F4587" s="34" t="n">
        <x:v>116</x:v>
      </x:c>
      <x:c r="G4587" s="34" t="str">
        <x:v>RECORDED</x:v>
      </x:c>
      <x:c r="H4587" s="38" t="n">
        <x:f>IF(ISNUMBER('Data'!I1171),'Data'!I1171*100,"")</x:f>
        <x:v>70.69</x:v>
      </x:c>
      <x:c r="I4587" s="34" t="str">
        <x:v>PASS</x:v>
      </x:c>
      <x:c r="J4587" s="34" t="str">
        <x:v>PASS</x:v>
      </x:c>
      <x:c r="K4587" s="34" t="str">
        <x:v>PASS</x:v>
      </x:c>
      <x:c r="L4587" s="34" t="str">
        <x:v>PASS</x:v>
      </x:c>
      <x:c r="M4587" s="34" t="str">
        <x:v>numeric coverage for applicable metric</x:v>
      </x:c>
      <x:c r="N4587" s="34" t="str">
        <x:v>Feedback-Directed Random Test Generation/Result_Round2/Compress_31/result.json</x:v>
      </x:c>
      <x:c r="O4587" s="38" t="n">
        <x:f>IF(AND(G4587="RECORDED",ISNUMBER(H4587)),H4587,"")</x:f>
        <x:v>70.69</x:v>
      </x:c>
      <x:c r="P4587" s="34" t="str">
        <x:v>NOT_REVEALING</x:v>
      </x:c>
      <x:c r="Q4587" s="34" t="str">
        <x:v>Feedback-Directed Random Test Generation/Result_Round2/Compress_31/result.json</x:v>
      </x:c>
    </x:row>
    <x:row r="4588">
      <x:c r="A4588" s="34" t="str">
        <x:v>randoop</x:v>
      </x:c>
      <x:c r="B4588" s="34" t="str">
        <x:v>Compress</x:v>
      </x:c>
      <x:c r="C4588" s="34" t="str">
        <x:v>Round2</x:v>
      </x:c>
      <x:c r="D4588" s="34" t="str">
        <x:v>Compress_32</x:v>
      </x:c>
      <x:c r="E4588" s="34" t="str">
        <x:v>Condition</x:v>
      </x:c>
      <x:c r="F4588" s="34" t="n">
        <x:v>126</x:v>
      </x:c>
      <x:c r="G4588" s="34" t="str">
        <x:v>RECORDED</x:v>
      </x:c>
      <x:c r="H4588" s="38" t="n">
        <x:f>IF(ISNUMBER('Data'!I1172),'Data'!I1172*100,"")</x:f>
        <x:v>23.81</x:v>
      </x:c>
      <x:c r="I4588" s="34" t="str">
        <x:v>PASS</x:v>
      </x:c>
      <x:c r="J4588" s="34" t="str">
        <x:v>PASS</x:v>
      </x:c>
      <x:c r="K4588" s="34" t="str">
        <x:v>PASS</x:v>
      </x:c>
      <x:c r="L4588" s="34" t="str">
        <x:v>PASS</x:v>
      </x:c>
      <x:c r="M4588" s="34" t="str">
        <x:v>numeric coverage for applicable metric</x:v>
      </x:c>
      <x:c r="N4588" s="34" t="str">
        <x:v>Feedback-Directed Random Test Generation/Result_Round2/Compress_32/result.json</x:v>
      </x:c>
      <x:c r="O4588" s="38" t="n">
        <x:f>IF(AND(G4588="RECORDED",ISNUMBER(H4588)),H4588,"")</x:f>
        <x:v>23.81</x:v>
      </x:c>
      <x:c r="P4588" s="34" t="str">
        <x:v>NOT_REVEALING</x:v>
      </x:c>
      <x:c r="Q4588" s="34" t="str">
        <x:v>Feedback-Directed Random Test Generation/Result_Round2/Compress_32/result.json</x:v>
      </x:c>
    </x:row>
    <x:row r="4589">
      <x:c r="A4589" s="34" t="str">
        <x:v>randoop</x:v>
      </x:c>
      <x:c r="B4589" s="34" t="str">
        <x:v>Compress</x:v>
      </x:c>
      <x:c r="C4589" s="34" t="str">
        <x:v>Round2</x:v>
      </x:c>
      <x:c r="D4589" s="34" t="str">
        <x:v>Compress_33</x:v>
      </x:c>
      <x:c r="E4589" s="34" t="str">
        <x:v>Condition</x:v>
      </x:c>
      <x:c r="F4589" s="34" t="n">
        <x:v>64</x:v>
      </x:c>
      <x:c r="G4589" s="34" t="str">
        <x:v>RECORDED</x:v>
      </x:c>
      <x:c r="H4589" s="38" t="n">
        <x:f>IF(ISNUMBER('Data'!I1173),'Data'!I1173*100,"")</x:f>
        <x:v>43.75</x:v>
      </x:c>
      <x:c r="I4589" s="34" t="str">
        <x:v>PASS</x:v>
      </x:c>
      <x:c r="J4589" s="34" t="str">
        <x:v>PASS</x:v>
      </x:c>
      <x:c r="K4589" s="34" t="str">
        <x:v>PASS</x:v>
      </x:c>
      <x:c r="L4589" s="34" t="str">
        <x:v>PASS</x:v>
      </x:c>
      <x:c r="M4589" s="34" t="str">
        <x:v>numeric coverage for applicable metric</x:v>
      </x:c>
      <x:c r="N4589" s="34" t="str">
        <x:v>Feedback-Directed Random Test Generation/Result_Round2/Compress_33/result.json</x:v>
      </x:c>
      <x:c r="O4589" s="38" t="n">
        <x:f>IF(AND(G4589="RECORDED",ISNUMBER(H4589)),H4589,"")</x:f>
        <x:v>43.75</x:v>
      </x:c>
      <x:c r="P4589" s="34" t="str">
        <x:v>NOT_REVEALING</x:v>
      </x:c>
      <x:c r="Q4589" s="34" t="str">
        <x:v>Feedback-Directed Random Test Generation/Result_Round2/Compress_33/result.json</x:v>
      </x:c>
    </x:row>
    <x:row r="4590">
      <x:c r="A4590" s="34" t="str">
        <x:v>randoop</x:v>
      </x:c>
      <x:c r="B4590" s="34" t="str">
        <x:v>Compress</x:v>
      </x:c>
      <x:c r="C4590" s="34" t="str">
        <x:v>Round2</x:v>
      </x:c>
      <x:c r="D4590" s="34" t="str">
        <x:v>Compress_34</x:v>
      </x:c>
      <x:c r="E4590" s="34" t="str">
        <x:v>Condition</x:v>
      </x:c>
      <x:c r="F4590" s="34" t="n">
        <x:v>14</x:v>
      </x:c>
      <x:c r="G4590" s="34" t="str">
        <x:v>RECORDED</x:v>
      </x:c>
      <x:c r="H4590" s="38" t="n">
        <x:f>IF(ISNUMBER('Data'!I1174),'Data'!I1174*100,"")</x:f>
        <x:v>92.86</x:v>
      </x:c>
      <x:c r="I4590" s="34" t="str">
        <x:v>PASS</x:v>
      </x:c>
      <x:c r="J4590" s="34" t="str">
        <x:v>PASS</x:v>
      </x:c>
      <x:c r="K4590" s="34" t="str">
        <x:v>PASS</x:v>
      </x:c>
      <x:c r="L4590" s="34" t="str">
        <x:v>PASS</x:v>
      </x:c>
      <x:c r="M4590" s="34" t="str">
        <x:v>numeric coverage for applicable metric</x:v>
      </x:c>
      <x:c r="N4590" s="34" t="str">
        <x:v>Feedback-Directed Random Test Generation/Result_Round2/Compress_34/result.json</x:v>
      </x:c>
      <x:c r="O4590" s="38" t="n">
        <x:f>IF(AND(G4590="RECORDED",ISNUMBER(H4590)),H4590,"")</x:f>
        <x:v>92.86</x:v>
      </x:c>
      <x:c r="P4590" s="34" t="str">
        <x:v>NOT_REVEALING</x:v>
      </x:c>
      <x:c r="Q4590" s="34" t="str">
        <x:v>Feedback-Directed Random Test Generation/Result_Round2/Compress_34/result.json</x:v>
      </x:c>
    </x:row>
    <x:row r="4591">
      <x:c r="A4591" s="34" t="str">
        <x:v>randoop</x:v>
      </x:c>
      <x:c r="B4591" s="34" t="str">
        <x:v>Compress</x:v>
      </x:c>
      <x:c r="C4591" s="34" t="str">
        <x:v>Round2</x:v>
      </x:c>
      <x:c r="D4591" s="34" t="str">
        <x:v>Compress_35</x:v>
      </x:c>
      <x:c r="E4591" s="34" t="str">
        <x:v>Condition</x:v>
      </x:c>
      <x:c r="F4591" s="34" t="n">
        <x:v>112</x:v>
      </x:c>
      <x:c r="G4591" s="34" t="str">
        <x:v>RECORDED</x:v>
      </x:c>
      <x:c r="H4591" s="38" t="n">
        <x:f>IF(ISNUMBER('Data'!I1175),'Data'!I1175*100,"")</x:f>
        <x:v>71.43</x:v>
      </x:c>
      <x:c r="I4591" s="34" t="str">
        <x:v>PASS</x:v>
      </x:c>
      <x:c r="J4591" s="34" t="str">
        <x:v>PASS</x:v>
      </x:c>
      <x:c r="K4591" s="34" t="str">
        <x:v>PASS</x:v>
      </x:c>
      <x:c r="L4591" s="34" t="str">
        <x:v>PASS</x:v>
      </x:c>
      <x:c r="M4591" s="34" t="str">
        <x:v>numeric coverage for applicable metric</x:v>
      </x:c>
      <x:c r="N4591" s="34" t="str">
        <x:v>Feedback-Directed Random Test Generation/Result_Round2/Compress_35/result.json</x:v>
      </x:c>
      <x:c r="O4591" s="38" t="n">
        <x:f>IF(AND(G4591="RECORDED",ISNUMBER(H4591)),H4591,"")</x:f>
        <x:v>71.43</x:v>
      </x:c>
      <x:c r="P4591" s="34" t="str">
        <x:v>INCONCLUSIVE</x:v>
      </x:c>
      <x:c r="Q4591" s="34" t="str">
        <x:v>Feedback-Directed Random Test Generation/Result_Round2/Compress_35/result.json</x:v>
      </x:c>
    </x:row>
    <x:row r="4592">
      <x:c r="A4592" s="34" t="str">
        <x:v>randoop</x:v>
      </x:c>
      <x:c r="B4592" s="34" t="str">
        <x:v>Compress</x:v>
      </x:c>
      <x:c r="C4592" s="34" t="str">
        <x:v>Round2</x:v>
      </x:c>
      <x:c r="D4592" s="34" t="str">
        <x:v>Compress_36</x:v>
      </x:c>
      <x:c r="E4592" s="34" t="str">
        <x:v>Condition</x:v>
      </x:c>
      <x:c r="F4592" s="34" t="n">
        <x:v>303</x:v>
      </x:c>
      <x:c r="G4592" s="34" t="str">
        <x:v>RECORDED</x:v>
      </x:c>
      <x:c r="H4592" s="38" t="n">
        <x:f>IF(ISNUMBER('Data'!I1176),'Data'!I1176*100,"")</x:f>
        <x:v>1.9799999999999998</x:v>
      </x:c>
      <x:c r="I4592" s="34" t="str">
        <x:v>PASS</x:v>
      </x:c>
      <x:c r="J4592" s="34" t="str">
        <x:v>PASS</x:v>
      </x:c>
      <x:c r="K4592" s="34" t="str">
        <x:v>PASS</x:v>
      </x:c>
      <x:c r="L4592" s="34" t="str">
        <x:v>PASS</x:v>
      </x:c>
      <x:c r="M4592" s="34" t="str">
        <x:v>numeric coverage for applicable metric</x:v>
      </x:c>
      <x:c r="N4592" s="34" t="str">
        <x:v>Feedback-Directed Random Test Generation/Result_Round2/Compress_36/result.json</x:v>
      </x:c>
      <x:c r="O4592" s="38" t="n">
        <x:f>IF(AND(G4592="RECORDED",ISNUMBER(H4592)),H4592,"")</x:f>
        <x:v>1.9799999999999998</x:v>
      </x:c>
      <x:c r="P4592" s="34" t="str">
        <x:v>NOT_REVEALING</x:v>
      </x:c>
      <x:c r="Q4592" s="34" t="str">
        <x:v>Feedback-Directed Random Test Generation/Result_Round2/Compress_36/result.json</x:v>
      </x:c>
    </x:row>
    <x:row r="4593">
      <x:c r="A4593" s="34" t="str">
        <x:v>randoop</x:v>
      </x:c>
      <x:c r="B4593" s="34" t="str">
        <x:v>Compress</x:v>
      </x:c>
      <x:c r="C4593" s="34" t="str">
        <x:v>Round2</x:v>
      </x:c>
      <x:c r="D4593" s="34" t="str">
        <x:v>Compress_37</x:v>
      </x:c>
      <x:c r="E4593" s="34" t="str">
        <x:v>Condition</x:v>
      </x:c>
      <x:c r="F4593" s="34" t="n">
        <x:v>152</x:v>
      </x:c>
      <x:c r="G4593" s="34" t="str">
        <x:v>RECORDED</x:v>
      </x:c>
      <x:c r="H4593" s="38" t="n">
        <x:f>IF(ISNUMBER('Data'!I1177),'Data'!I1177*100,"")</x:f>
        <x:v>22.37</x:v>
      </x:c>
      <x:c r="I4593" s="34" t="str">
        <x:v>PASS</x:v>
      </x:c>
      <x:c r="J4593" s="34" t="str">
        <x:v>PASS</x:v>
      </x:c>
      <x:c r="K4593" s="34" t="str">
        <x:v>PASS</x:v>
      </x:c>
      <x:c r="L4593" s="34" t="str">
        <x:v>PASS</x:v>
      </x:c>
      <x:c r="M4593" s="34" t="str">
        <x:v>numeric coverage for applicable metric</x:v>
      </x:c>
      <x:c r="N4593" s="34" t="str">
        <x:v>Feedback-Directed Random Test Generation/Result_Round2/Compress_37/result.json</x:v>
      </x:c>
      <x:c r="O4593" s="38" t="n">
        <x:f>IF(AND(G4593="RECORDED",ISNUMBER(H4593)),H4593,"")</x:f>
        <x:v>22.37</x:v>
      </x:c>
      <x:c r="P4593" s="34" t="str">
        <x:v>NOT_REVEALING</x:v>
      </x:c>
      <x:c r="Q4593" s="34" t="str">
        <x:v>Feedback-Directed Random Test Generation/Result_Round2/Compress_37/result.json</x:v>
      </x:c>
    </x:row>
    <x:row r="4594">
      <x:c r="A4594" s="34" t="str">
        <x:v>randoop</x:v>
      </x:c>
      <x:c r="B4594" s="34" t="str">
        <x:v>Compress</x:v>
      </x:c>
      <x:c r="C4594" s="34" t="str">
        <x:v>Round2</x:v>
      </x:c>
      <x:c r="D4594" s="34" t="str">
        <x:v>Compress_38</x:v>
      </x:c>
      <x:c r="E4594" s="34" t="str">
        <x:v>Condition</x:v>
      </x:c>
      <x:c r="F4594" s="34" t="n">
        <x:v>143</x:v>
      </x:c>
      <x:c r="G4594" s="34" t="str">
        <x:v>RECORDED</x:v>
      </x:c>
      <x:c r="H4594" s="38" t="n">
        <x:f>IF(ISNUMBER('Data'!I1178),'Data'!I1178*100,"")</x:f>
        <x:v>37.06</x:v>
      </x:c>
      <x:c r="I4594" s="34" t="str">
        <x:v>PASS</x:v>
      </x:c>
      <x:c r="J4594" s="34" t="str">
        <x:v>PASS</x:v>
      </x:c>
      <x:c r="K4594" s="34" t="str">
        <x:v>PASS</x:v>
      </x:c>
      <x:c r="L4594" s="34" t="str">
        <x:v>FAIL</x:v>
      </x:c>
      <x:c r="M4594" s="34" t="str">
        <x:v>numeric coverage for applicable metric</x:v>
      </x:c>
      <x:c r="N4594" s="34" t="str">
        <x:v>Feedback-Directed Random Test Generation/Result_Round2/Compress_38/result.json</x:v>
      </x:c>
      <x:c r="O4594" s="38" t="n">
        <x:f>IF(AND(G4594="RECORDED",ISNUMBER(H4594)),H4594,"")</x:f>
        <x:v>37.06</x:v>
      </x:c>
      <x:c r="P4594" s="34" t="str">
        <x:v>INCONCLUSIVE</x:v>
      </x:c>
      <x:c r="Q4594" s="34" t="str">
        <x:v>Feedback-Directed Random Test Generation/Result_Round2/Compress_38/result.json</x:v>
      </x:c>
    </x:row>
    <x:row r="4595">
      <x:c r="A4595" s="34" t="str">
        <x:v>randoop</x:v>
      </x:c>
      <x:c r="B4595" s="34" t="str">
        <x:v>Compress</x:v>
      </x:c>
      <x:c r="C4595" s="34" t="str">
        <x:v>Round2</x:v>
      </x:c>
      <x:c r="D4595" s="34" t="str">
        <x:v>Compress_39</x:v>
      </x:c>
      <x:c r="E4595" s="34" t="str">
        <x:v>Condition</x:v>
      </x:c>
      <x:c r="F4595" s="34" t="n">
        <x:v>36</x:v>
      </x:c>
      <x:c r="G4595" s="34" t="str">
        <x:v>RECORDED</x:v>
      </x:c>
      <x:c r="H4595" s="38" t="n">
        <x:f>IF(ISNUMBER('Data'!I1179),'Data'!I1179*100,"")</x:f>
        <x:v>83.33</x:v>
      </x:c>
      <x:c r="I4595" s="34" t="str">
        <x:v>PASS</x:v>
      </x:c>
      <x:c r="J4595" s="34" t="str">
        <x:v>PASS</x:v>
      </x:c>
      <x:c r="K4595" s="34" t="str">
        <x:v>PASS</x:v>
      </x:c>
      <x:c r="L4595" s="34" t="str">
        <x:v>PASS</x:v>
      </x:c>
      <x:c r="M4595" s="34" t="str">
        <x:v>numeric coverage for applicable metric</x:v>
      </x:c>
      <x:c r="N4595" s="34" t="str">
        <x:v>Feedback-Directed Random Test Generation/Result_Round2/Compress_39/result.json</x:v>
      </x:c>
      <x:c r="O4595" s="38" t="n">
        <x:f>IF(AND(G4595="RECORDED",ISNUMBER(H4595)),H4595,"")</x:f>
        <x:v>83.33</x:v>
      </x:c>
      <x:c r="P4595" s="34" t="str">
        <x:v>NOT_REVEALING</x:v>
      </x:c>
      <x:c r="Q4595" s="34" t="str">
        <x:v>Feedback-Directed Random Test Generation/Result_Round2/Compress_39/result.json</x:v>
      </x:c>
    </x:row>
    <x:row r="4596">
      <x:c r="A4596" s="34" t="str">
        <x:v>randoop</x:v>
      </x:c>
      <x:c r="B4596" s="34" t="str">
        <x:v>Compress</x:v>
      </x:c>
      <x:c r="C4596" s="34" t="str">
        <x:v>Round2</x:v>
      </x:c>
      <x:c r="D4596" s="34" t="str">
        <x:v>Compress_40</x:v>
      </x:c>
      <x:c r="E4596" s="34" t="str">
        <x:v>Condition</x:v>
      </x:c>
      <x:c r="F4596" s="34" t="n">
        <x:v>12</x:v>
      </x:c>
      <x:c r="G4596" s="34" t="str">
        <x:v>RECORDED</x:v>
      </x:c>
      <x:c r="H4596" s="38" t="n">
        <x:f>IF(ISNUMBER('Data'!I1180),'Data'!I1180*100,"")</x:f>
        <x:v>58.32999999999999</x:v>
      </x:c>
      <x:c r="I4596" s="34" t="str">
        <x:v>PASS</x:v>
      </x:c>
      <x:c r="J4596" s="34" t="str">
        <x:v>PASS</x:v>
      </x:c>
      <x:c r="K4596" s="34" t="str">
        <x:v>PASS</x:v>
      </x:c>
      <x:c r="L4596" s="34" t="str">
        <x:v>PASS</x:v>
      </x:c>
      <x:c r="M4596" s="34" t="str">
        <x:v>numeric coverage for applicable metric</x:v>
      </x:c>
      <x:c r="N4596" s="34" t="str">
        <x:v>Feedback-Directed Random Test Generation/Result_Round2/Compress_40/result.json</x:v>
      </x:c>
      <x:c r="O4596" s="38" t="n">
        <x:f>IF(AND(G4596="RECORDED",ISNUMBER(H4596)),H4596,"")</x:f>
        <x:v>58.32999999999999</x:v>
      </x:c>
      <x:c r="P4596" s="34" t="str">
        <x:v>NOT_REVEALING</x:v>
      </x:c>
      <x:c r="Q4596" s="34" t="str">
        <x:v>Feedback-Directed Random Test Generation/Result_Round2/Compress_40/result.json</x:v>
      </x:c>
    </x:row>
    <x:row r="4597">
      <x:c r="A4597" s="34" t="str">
        <x:v>randoop</x:v>
      </x:c>
      <x:c r="B4597" s="34" t="str">
        <x:v>Compress</x:v>
      </x:c>
      <x:c r="C4597" s="34" t="str">
        <x:v>Round2</x:v>
      </x:c>
      <x:c r="D4597" s="34" t="str">
        <x:v>Compress_41</x:v>
      </x:c>
      <x:c r="E4597" s="34" t="str">
        <x:v>Condition</x:v>
      </x:c>
      <x:c r="F4597" s="34" t="n">
        <x:v>260</x:v>
      </x:c>
      <x:c r="G4597" s="34" t="str">
        <x:v>RECORDED</x:v>
      </x:c>
      <x:c r="H4597" s="38" t="n">
        <x:f>IF(ISNUMBER('Data'!I1181),'Data'!I1181*100,"")</x:f>
        <x:v>10</x:v>
      </x:c>
      <x:c r="I4597" s="34" t="str">
        <x:v>PASS</x:v>
      </x:c>
      <x:c r="J4597" s="34" t="str">
        <x:v>PASS</x:v>
      </x:c>
      <x:c r="K4597" s="34" t="str">
        <x:v>PASS</x:v>
      </x:c>
      <x:c r="L4597" s="34" t="str">
        <x:v>PASS</x:v>
      </x:c>
      <x:c r="M4597" s="34" t="str">
        <x:v>numeric coverage for applicable metric</x:v>
      </x:c>
      <x:c r="N4597" s="34" t="str">
        <x:v>Feedback-Directed Random Test Generation/Result_Round2/Compress_41/result.json</x:v>
      </x:c>
      <x:c r="O4597" s="38" t="n">
        <x:f>IF(AND(G4597="RECORDED",ISNUMBER(H4597)),H4597,"")</x:f>
        <x:v>10</x:v>
      </x:c>
      <x:c r="P4597" s="34" t="str">
        <x:v>NOT_REVEALING</x:v>
      </x:c>
      <x:c r="Q4597" s="34" t="str">
        <x:v>Feedback-Directed Random Test Generation/Result_Round2/Compress_41/result.json</x:v>
      </x:c>
    </x:row>
    <x:row r="4598">
      <x:c r="A4598" s="34" t="str">
        <x:v>randoop</x:v>
      </x:c>
      <x:c r="B4598" s="34" t="str">
        <x:v>Compress</x:v>
      </x:c>
      <x:c r="C4598" s="34" t="str">
        <x:v>Round2</x:v>
      </x:c>
      <x:c r="D4598" s="34" t="str">
        <x:v>Compress_42</x:v>
      </x:c>
      <x:c r="E4598" s="34" t="str">
        <x:v>Condition</x:v>
      </x:c>
      <x:c r="F4598" s="34" t="n">
        <x:v>132</x:v>
      </x:c>
      <x:c r="G4598" s="34" t="str">
        <x:v>RECORDED</x:v>
      </x:c>
      <x:c r="H4598" s="38" t="n">
        <x:f>IF(ISNUMBER('Data'!I1182),'Data'!I1182*100,"")</x:f>
        <x:v>70.45</x:v>
      </x:c>
      <x:c r="I4598" s="34" t="str">
        <x:v>PASS</x:v>
      </x:c>
      <x:c r="J4598" s="34" t="str">
        <x:v>PASS</x:v>
      </x:c>
      <x:c r="K4598" s="34" t="str">
        <x:v>PASS</x:v>
      </x:c>
      <x:c r="L4598" s="34" t="str">
        <x:v>FAIL</x:v>
      </x:c>
      <x:c r="M4598" s="34" t="str">
        <x:v>numeric coverage for applicable metric</x:v>
      </x:c>
      <x:c r="N4598" s="34" t="str">
        <x:v>Feedback-Directed Random Test Generation/Result_Round2/Compress_42/result.json</x:v>
      </x:c>
      <x:c r="O4598" s="38" t="n">
        <x:f>IF(AND(G4598="RECORDED",ISNUMBER(H4598)),H4598,"")</x:f>
        <x:v>70.45</x:v>
      </x:c>
      <x:c r="P4598" s="34" t="str">
        <x:v>INCONCLUSIVE</x:v>
      </x:c>
      <x:c r="Q4598" s="34" t="str">
        <x:v>Feedback-Directed Random Test Generation/Result_Round2/Compress_42/result.json</x:v>
      </x:c>
    </x:row>
    <x:row r="4599">
      <x:c r="A4599" s="34" t="str">
        <x:v>randoop</x:v>
      </x:c>
      <x:c r="B4599" s="34" t="str">
        <x:v>Compress</x:v>
      </x:c>
      <x:c r="C4599" s="34" t="str">
        <x:v>Round2</x:v>
      </x:c>
      <x:c r="D4599" s="34" t="str">
        <x:v>Compress_43</x:v>
      </x:c>
      <x:c r="E4599" s="34" t="str">
        <x:v>Condition</x:v>
      </x:c>
      <x:c r="F4599" s="34" t="n">
        <x:v>300</x:v>
      </x:c>
      <x:c r="G4599" s="34" t="str">
        <x:v>RECORDED</x:v>
      </x:c>
      <x:c r="H4599" s="38" t="n">
        <x:f>IF(ISNUMBER('Data'!I1183),'Data'!I1183*100,"")</x:f>
        <x:v>10.67</x:v>
      </x:c>
      <x:c r="I4599" s="34" t="str">
        <x:v>PASS</x:v>
      </x:c>
      <x:c r="J4599" s="34" t="str">
        <x:v>PASS</x:v>
      </x:c>
      <x:c r="K4599" s="34" t="str">
        <x:v>PASS</x:v>
      </x:c>
      <x:c r="L4599" s="34" t="str">
        <x:v>PASS</x:v>
      </x:c>
      <x:c r="M4599" s="34" t="str">
        <x:v>numeric coverage for applicable metric</x:v>
      </x:c>
      <x:c r="N4599" s="34" t="str">
        <x:v>Feedback-Directed Random Test Generation/Result_Round2/Compress_43/result.json</x:v>
      </x:c>
      <x:c r="O4599" s="38" t="n">
        <x:f>IF(AND(G4599="RECORDED",ISNUMBER(H4599)),H4599,"")</x:f>
        <x:v>10.67</x:v>
      </x:c>
      <x:c r="P4599" s="34" t="str">
        <x:v>NOT_REVEALING</x:v>
      </x:c>
      <x:c r="Q4599" s="34" t="str">
        <x:v>Feedback-Directed Random Test Generation/Result_Round2/Compress_43/result.json</x:v>
      </x:c>
    </x:row>
    <x:row r="4600">
      <x:c r="A4600" s="34" t="str">
        <x:v>randoop</x:v>
      </x:c>
      <x:c r="B4600" s="34" t="str">
        <x:v>Compress</x:v>
      </x:c>
      <x:c r="C4600" s="34" t="str">
        <x:v>Round2</x:v>
      </x:c>
      <x:c r="D4600" s="34" t="str">
        <x:v>Compress_44</x:v>
      </x:c>
      <x:c r="E4600" s="34" t="str">
        <x:v>Condition</x:v>
      </x:c>
      <x:c r="F4600" s="34" t="n">
        <x:v>6</x:v>
      </x:c>
      <x:c r="G4600" s="34" t="str">
        <x:v>RECORDED</x:v>
      </x:c>
      <x:c r="H4600" s="38" t="n">
        <x:f>IF(ISNUMBER('Data'!I1184),'Data'!I1184*100,"")</x:f>
        <x:v>66.67</x:v>
      </x:c>
      <x:c r="I4600" s="34" t="str">
        <x:v>PASS</x:v>
      </x:c>
      <x:c r="J4600" s="34" t="str">
        <x:v>PASS</x:v>
      </x:c>
      <x:c r="K4600" s="34" t="str">
        <x:v>PASS</x:v>
      </x:c>
      <x:c r="L4600" s="34" t="str">
        <x:v>PASS</x:v>
      </x:c>
      <x:c r="M4600" s="34" t="str">
        <x:v>numeric coverage for applicable metric</x:v>
      </x:c>
      <x:c r="N4600" s="34" t="str">
        <x:v>Feedback-Directed Random Test Generation/Result_Round2/Compress_44/result.json</x:v>
      </x:c>
      <x:c r="O4600" s="38" t="n">
        <x:f>IF(AND(G4600="RECORDED",ISNUMBER(H4600)),H4600,"")</x:f>
        <x:v>66.67</x:v>
      </x:c>
      <x:c r="P4600" s="34" t="str">
        <x:v>INCONCLUSIVE</x:v>
      </x:c>
      <x:c r="Q4600" s="34" t="str">
        <x:v>Feedback-Directed Random Test Generation/Result_Round2/Compress_44/result.json</x:v>
      </x:c>
    </x:row>
    <x:row r="4601">
      <x:c r="A4601" s="34" t="str">
        <x:v>randoop</x:v>
      </x:c>
      <x:c r="B4601" s="34" t="str">
        <x:v>Compress</x:v>
      </x:c>
      <x:c r="C4601" s="34" t="str">
        <x:v>Round2</x:v>
      </x:c>
      <x:c r="D4601" s="34" t="str">
        <x:v>Compress_45</x:v>
      </x:c>
      <x:c r="E4601" s="34" t="str">
        <x:v>Condition</x:v>
      </x:c>
      <x:c r="F4601" s="34" t="n">
        <x:v>108</x:v>
      </x:c>
      <x:c r="G4601" s="34" t="str">
        <x:v>RECORDED</x:v>
      </x:c>
      <x:c r="H4601" s="38" t="n">
        <x:f>IF(ISNUMBER('Data'!I1185),'Data'!I1185*100,"")</x:f>
        <x:v>69.44</x:v>
      </x:c>
      <x:c r="I4601" s="34" t="str">
        <x:v>PASS</x:v>
      </x:c>
      <x:c r="J4601" s="34" t="str">
        <x:v>PASS</x:v>
      </x:c>
      <x:c r="K4601" s="34" t="str">
        <x:v>PASS</x:v>
      </x:c>
      <x:c r="L4601" s="34" t="str">
        <x:v>PASS</x:v>
      </x:c>
      <x:c r="M4601" s="34" t="str">
        <x:v>numeric coverage for applicable metric</x:v>
      </x:c>
      <x:c r="N4601" s="34" t="str">
        <x:v>Feedback-Directed Random Test Generation/Result_Round2/Compress_45/result.json</x:v>
      </x:c>
      <x:c r="O4601" s="38" t="n">
        <x:f>IF(AND(G4601="RECORDED",ISNUMBER(H4601)),H4601,"")</x:f>
        <x:v>69.44</x:v>
      </x:c>
      <x:c r="P4601" s="34" t="str">
        <x:v>INCONCLUSIVE</x:v>
      </x:c>
      <x:c r="Q4601" s="34" t="str">
        <x:v>Feedback-Directed Random Test Generation/Result_Round2/Compress_45/result.json</x:v>
      </x:c>
    </x:row>
    <x:row r="4602">
      <x:c r="A4602" s="34" t="str">
        <x:v>randoop</x:v>
      </x:c>
      <x:c r="B4602" s="34" t="str">
        <x:v>Compress</x:v>
      </x:c>
      <x:c r="C4602" s="34" t="str">
        <x:v>Round2</x:v>
      </x:c>
      <x:c r="D4602" s="34" t="str">
        <x:v>Compress_46</x:v>
      </x:c>
      <x:c r="E4602" s="34" t="str">
        <x:v>Condition</x:v>
      </x:c>
      <x:c r="F4602" s="34" t="n">
        <x:v>96</x:v>
      </x:c>
      <x:c r="G4602" s="34" t="str">
        <x:v>RECORDED</x:v>
      </x:c>
      <x:c r="H4602" s="38" t="n">
        <x:f>IF(ISNUMBER('Data'!I1186),'Data'!I1186*100,"")</x:f>
        <x:v>54.17000000000001</x:v>
      </x:c>
      <x:c r="I4602" s="34" t="str">
        <x:v>PASS</x:v>
      </x:c>
      <x:c r="J4602" s="34" t="str">
        <x:v>PASS</x:v>
      </x:c>
      <x:c r="K4602" s="34" t="str">
        <x:v>PASS</x:v>
      </x:c>
      <x:c r="L4602" s="34" t="str">
        <x:v>FAIL</x:v>
      </x:c>
      <x:c r="M4602" s="34" t="str">
        <x:v>numeric coverage for applicable metric</x:v>
      </x:c>
      <x:c r="N4602" s="34" t="str">
        <x:v>Feedback-Directed Random Test Generation/Result_Round2/Compress_46/result.json</x:v>
      </x:c>
      <x:c r="O4602" s="38" t="n">
        <x:f>IF(AND(G4602="RECORDED",ISNUMBER(H4602)),H4602,"")</x:f>
        <x:v>54.17000000000001</x:v>
      </x:c>
      <x:c r="P4602" s="34" t="str">
        <x:v>INCONCLUSIVE</x:v>
      </x:c>
      <x:c r="Q4602" s="34" t="str">
        <x:v>Feedback-Directed Random Test Generation/Result_Round2/Compress_46/result.json</x:v>
      </x:c>
    </x:row>
    <x:row r="4603">
      <x:c r="A4603" s="34" t="str">
        <x:v>randoop</x:v>
      </x:c>
      <x:c r="B4603" s="34" t="str">
        <x:v>Compress</x:v>
      </x:c>
      <x:c r="C4603" s="34" t="str">
        <x:v>Round2</x:v>
      </x:c>
      <x:c r="D4603" s="34" t="str">
        <x:v>Compress_47</x:v>
      </x:c>
      <x:c r="E4603" s="34" t="str">
        <x:v>Condition</x:v>
      </x:c>
      <x:c r="F4603" s="34" t="n">
        <x:v>273</x:v>
      </x:c>
      <x:c r="G4603" s="34" t="str">
        <x:v>RECORDED</x:v>
      </x:c>
      <x:c r="H4603" s="38" t="n">
        <x:f>IF(ISNUMBER('Data'!I1187),'Data'!I1187*100,"")</x:f>
        <x:v>9.52</x:v>
      </x:c>
      <x:c r="I4603" s="34" t="str">
        <x:v>PASS</x:v>
      </x:c>
      <x:c r="J4603" s="34" t="str">
        <x:v>PASS</x:v>
      </x:c>
      <x:c r="K4603" s="34" t="str">
        <x:v>PASS</x:v>
      </x:c>
      <x:c r="L4603" s="34" t="str">
        <x:v>PASS</x:v>
      </x:c>
      <x:c r="M4603" s="34" t="str">
        <x:v>numeric coverage for applicable metric</x:v>
      </x:c>
      <x:c r="N4603" s="34" t="str">
        <x:v>Feedback-Directed Random Test Generation/Result_Round2/Compress_47/result.json</x:v>
      </x:c>
      <x:c r="O4603" s="38" t="n">
        <x:f>IF(AND(G4603="RECORDED",ISNUMBER(H4603)),H4603,"")</x:f>
        <x:v>9.52</x:v>
      </x:c>
      <x:c r="P4603" s="34" t="str">
        <x:v>NOT_REVEALING</x:v>
      </x:c>
      <x:c r="Q4603" s="34" t="str">
        <x:v>Feedback-Directed Random Test Generation/Result_Round2/Compress_47/result.json</x:v>
      </x:c>
    </x:row>
    <x:row r="4604">
      <x:c r="A4604" s="34" t="str">
        <x:v>randoop</x:v>
      </x:c>
      <x:c r="B4604" s="34" t="str">
        <x:v>Csv</x:v>
      </x:c>
      <x:c r="C4604" s="34" t="str">
        <x:v>Round2</x:v>
      </x:c>
      <x:c r="D4604" s="34" t="str">
        <x:v>Csv_1</x:v>
      </x:c>
      <x:c r="E4604" s="34" t="str">
        <x:v>Condition</x:v>
      </x:c>
      <x:c r="F4604" s="34" t="n">
        <x:v>22</x:v>
      </x:c>
      <x:c r="G4604" s="34" t="str">
        <x:v>RECORDED</x:v>
      </x:c>
      <x:c r="H4604" s="38" t="n">
        <x:f>IF(ISNUMBER('Data'!I1188),'Data'!I1188*100,"")</x:f>
        <x:v>27.27</x:v>
      </x:c>
      <x:c r="I4604" s="34" t="str">
        <x:v>PASS</x:v>
      </x:c>
      <x:c r="J4604" s="34" t="str">
        <x:v>PASS</x:v>
      </x:c>
      <x:c r="K4604" s="34" t="str">
        <x:v>PASS</x:v>
      </x:c>
      <x:c r="L4604" s="34" t="str">
        <x:v>PASS</x:v>
      </x:c>
      <x:c r="M4604" s="34" t="str">
        <x:v>numeric coverage for applicable metric</x:v>
      </x:c>
      <x:c r="N4604" s="34" t="str">
        <x:v>Feedback-Directed Random Test Generation/Result_Round2/Csv_1/result.json</x:v>
      </x:c>
      <x:c r="O4604" s="38" t="n">
        <x:f>IF(AND(G4604="RECORDED",ISNUMBER(H4604)),H4604,"")</x:f>
        <x:v>27.27</x:v>
      </x:c>
      <x:c r="P4604" s="34" t="str">
        <x:v>NOT_REVEALING</x:v>
      </x:c>
      <x:c r="Q4604" s="34" t="str">
        <x:v>Feedback-Directed Random Test Generation/Result_Round2/Csv_1/result.json</x:v>
      </x:c>
    </x:row>
    <x:row r="4605">
      <x:c r="A4605" s="34" t="str">
        <x:v>randoop</x:v>
      </x:c>
      <x:c r="B4605" s="34" t="str">
        <x:v>Csv</x:v>
      </x:c>
      <x:c r="C4605" s="34" t="str">
        <x:v>Round2</x:v>
      </x:c>
      <x:c r="D4605" s="34" t="str">
        <x:v>Csv_2</x:v>
      </x:c>
      <x:c r="E4605" s="34" t="str">
        <x:v>Condition</x:v>
      </x:c>
      <x:c r="F4605" s="34" t="n">
        <x:v>16</x:v>
      </x:c>
      <x:c r="G4605" s="34" t="str">
        <x:v>RECORDED</x:v>
      </x:c>
      <x:c r="H4605" s="38" t="n">
        <x:f>IF(ISNUMBER('Data'!I1189),'Data'!I1189*100,"")</x:f>
        <x:v>37.5</x:v>
      </x:c>
      <x:c r="I4605" s="34" t="str">
        <x:v>PASS</x:v>
      </x:c>
      <x:c r="J4605" s="34" t="str">
        <x:v>PASS</x:v>
      </x:c>
      <x:c r="K4605" s="34" t="str">
        <x:v>PASS</x:v>
      </x:c>
      <x:c r="L4605" s="34" t="str">
        <x:v>PASS</x:v>
      </x:c>
      <x:c r="M4605" s="34" t="str">
        <x:v>numeric coverage for applicable metric</x:v>
      </x:c>
      <x:c r="N4605" s="34" t="str">
        <x:v>Feedback-Directed Random Test Generation/Result_Round2/Csv_2/result.json</x:v>
      </x:c>
      <x:c r="O4605" s="38" t="n">
        <x:f>IF(AND(G4605="RECORDED",ISNUMBER(H4605)),H4605,"")</x:f>
        <x:v>37.5</x:v>
      </x:c>
      <x:c r="P4605" s="34" t="str">
        <x:v>NOT_REVEALING</x:v>
      </x:c>
      <x:c r="Q4605" s="34" t="str">
        <x:v>Feedback-Directed Random Test Generation/Result_Round2/Csv_2/result.json</x:v>
      </x:c>
    </x:row>
    <x:row r="4606">
      <x:c r="A4606" s="34" t="str">
        <x:v>randoop</x:v>
      </x:c>
      <x:c r="B4606" s="34" t="str">
        <x:v>Csv</x:v>
      </x:c>
      <x:c r="C4606" s="34" t="str">
        <x:v>Round2</x:v>
      </x:c>
      <x:c r="D4606" s="34" t="str">
        <x:v>Csv_3</x:v>
      </x:c>
      <x:c r="E4606" s="34" t="str">
        <x:v>Condition</x:v>
      </x:c>
      <x:c r="F4606" s="34" t="n">
        <x:v>44</x:v>
      </x:c>
      <x:c r="G4606" s="34" t="str">
        <x:v>RECORDED</x:v>
      </x:c>
      <x:c r="H4606" s="38" t="n">
        <x:f>IF(ISNUMBER('Data'!I1190),'Data'!I1190*100,"")</x:f>
        <x:v>0</x:v>
      </x:c>
      <x:c r="I4606" s="34" t="str">
        <x:v>PASS</x:v>
      </x:c>
      <x:c r="J4606" s="34" t="str">
        <x:v>PASS</x:v>
      </x:c>
      <x:c r="K4606" s="34" t="str">
        <x:v>PASS</x:v>
      </x:c>
      <x:c r="L4606" s="34" t="str">
        <x:v>PASS</x:v>
      </x:c>
      <x:c r="M4606" s="34" t="str">
        <x:v>numeric coverage for applicable metric</x:v>
      </x:c>
      <x:c r="N4606" s="34" t="str">
        <x:v>Feedback-Directed Random Test Generation/Result_Round2/Csv_3/result.json</x:v>
      </x:c>
      <x:c r="O4606" s="38" t="n">
        <x:f>IF(AND(G4606="RECORDED",ISNUMBER(H4606)),H4606,"")</x:f>
        <x:v>0</x:v>
      </x:c>
      <x:c r="P4606" s="34" t="str">
        <x:v>NOT_REVEALING</x:v>
      </x:c>
      <x:c r="Q4606" s="34" t="str">
        <x:v>Feedback-Directed Random Test Generation/Result_Round2/Csv_3/result.json</x:v>
      </x:c>
    </x:row>
    <x:row r="4607">
      <x:c r="A4607" s="34" t="str">
        <x:v>randoop</x:v>
      </x:c>
      <x:c r="B4607" s="34" t="str">
        <x:v>Csv</x:v>
      </x:c>
      <x:c r="C4607" s="34" t="str">
        <x:v>Round2</x:v>
      </x:c>
      <x:c r="D4607" s="34" t="str">
        <x:v>Csv_4</x:v>
      </x:c>
      <x:c r="E4607" s="34" t="str">
        <x:v>Condition</x:v>
      </x:c>
      <x:c r="F4607" s="34" t="n">
        <x:v>50</x:v>
      </x:c>
      <x:c r="G4607" s="34" t="str">
        <x:v>RECORDED</x:v>
      </x:c>
      <x:c r="H4607" s="38" t="n">
        <x:f>IF(ISNUMBER('Data'!I1191),'Data'!I1191*100,"")</x:f>
        <x:v>0</x:v>
      </x:c>
      <x:c r="I4607" s="34" t="str">
        <x:v>PASS</x:v>
      </x:c>
      <x:c r="J4607" s="34" t="str">
        <x:v>PASS</x:v>
      </x:c>
      <x:c r="K4607" s="34" t="str">
        <x:v>PASS</x:v>
      </x:c>
      <x:c r="L4607" s="34" t="str">
        <x:v>PASS</x:v>
      </x:c>
      <x:c r="M4607" s="34" t="str">
        <x:v>numeric coverage for applicable metric</x:v>
      </x:c>
      <x:c r="N4607" s="34" t="str">
        <x:v>Feedback-Directed Random Test Generation/Result_Round2/Csv_4/result.json</x:v>
      </x:c>
      <x:c r="O4607" s="38" t="n">
        <x:f>IF(AND(G4607="RECORDED",ISNUMBER(H4607)),H4607,"")</x:f>
        <x:v>0</x:v>
      </x:c>
      <x:c r="P4607" s="34" t="str">
        <x:v>NOT_REVEALING</x:v>
      </x:c>
      <x:c r="Q4607" s="34" t="str">
        <x:v>Feedback-Directed Random Test Generation/Result_Round2/Csv_4/result.json</x:v>
      </x:c>
    </x:row>
    <x:row r="4608">
      <x:c r="A4608" s="34" t="str">
        <x:v>randoop</x:v>
      </x:c>
      <x:c r="B4608" s="34" t="str">
        <x:v>Csv</x:v>
      </x:c>
      <x:c r="C4608" s="34" t="str">
        <x:v>Round2</x:v>
      </x:c>
      <x:c r="D4608" s="34" t="str">
        <x:v>Csv_5</x:v>
      </x:c>
      <x:c r="E4608" s="34" t="str">
        <x:v>Condition</x:v>
      </x:c>
      <x:c r="F4608" s="34" t="n">
        <x:v>115</x:v>
      </x:c>
      <x:c r="G4608" s="34" t="str">
        <x:v>RECORDED</x:v>
      </x:c>
      <x:c r="H4608" s="38" t="n">
        <x:f>IF(ISNUMBER('Data'!I1192),'Data'!I1192*100,"")</x:f>
        <x:v>0</x:v>
      </x:c>
      <x:c r="I4608" s="34" t="str">
        <x:v>PASS</x:v>
      </x:c>
      <x:c r="J4608" s="34" t="str">
        <x:v>PASS</x:v>
      </x:c>
      <x:c r="K4608" s="34" t="str">
        <x:v>PASS</x:v>
      </x:c>
      <x:c r="L4608" s="34" t="str">
        <x:v>PASS</x:v>
      </x:c>
      <x:c r="M4608" s="34" t="str">
        <x:v>numeric coverage for applicable metric</x:v>
      </x:c>
      <x:c r="N4608" s="34" t="str">
        <x:v>Feedback-Directed Random Test Generation/Result_Round2/Csv_5/result.json</x:v>
      </x:c>
      <x:c r="O4608" s="38" t="n">
        <x:f>IF(AND(G4608="RECORDED",ISNUMBER(H4608)),H4608,"")</x:f>
        <x:v>0</x:v>
      </x:c>
      <x:c r="P4608" s="34" t="str">
        <x:v>NOT_REVEALING</x:v>
      </x:c>
      <x:c r="Q4608" s="34" t="str">
        <x:v>Feedback-Directed Random Test Generation/Result_Round2/Csv_5/result.json</x:v>
      </x:c>
    </x:row>
    <x:row r="4609">
      <x:c r="A4609" s="34" t="str">
        <x:v>randoop</x:v>
      </x:c>
      <x:c r="B4609" s="34" t="str">
        <x:v>Csv</x:v>
      </x:c>
      <x:c r="C4609" s="34" t="str">
        <x:v>Round2</x:v>
      </x:c>
      <x:c r="D4609" s="34" t="str">
        <x:v>Csv_6</x:v>
      </x:c>
      <x:c r="E4609" s="34" t="str">
        <x:v>Condition</x:v>
      </x:c>
      <x:c r="F4609" s="34" t="n">
        <x:v>18</x:v>
      </x:c>
      <x:c r="G4609" s="34" t="str">
        <x:v>RECORDED</x:v>
      </x:c>
      <x:c r="H4609" s="38" t="n">
        <x:f>IF(ISNUMBER('Data'!I1193),'Data'!I1193*100,"")</x:f>
        <x:v>33.33</x:v>
      </x:c>
      <x:c r="I4609" s="34" t="str">
        <x:v>PASS</x:v>
      </x:c>
      <x:c r="J4609" s="34" t="str">
        <x:v>PASS</x:v>
      </x:c>
      <x:c r="K4609" s="34" t="str">
        <x:v>PASS</x:v>
      </x:c>
      <x:c r="L4609" s="34" t="str">
        <x:v>PASS</x:v>
      </x:c>
      <x:c r="M4609" s="34" t="str">
        <x:v>numeric coverage for applicable metric</x:v>
      </x:c>
      <x:c r="N4609" s="34" t="str">
        <x:v>Feedback-Directed Random Test Generation/Result_Round2/Csv_6/result.json</x:v>
      </x:c>
      <x:c r="O4609" s="38" t="n">
        <x:f>IF(AND(G4609="RECORDED",ISNUMBER(H4609)),H4609,"")</x:f>
        <x:v>33.33</x:v>
      </x:c>
      <x:c r="P4609" s="34" t="str">
        <x:v>NOT_REVEALING</x:v>
      </x:c>
      <x:c r="Q4609" s="34" t="str">
        <x:v>Feedback-Directed Random Test Generation/Result_Round2/Csv_6/result.json</x:v>
      </x:c>
    </x:row>
    <x:row r="4610">
      <x:c r="A4610" s="34" t="str">
        <x:v>randoop</x:v>
      </x:c>
      <x:c r="B4610" s="34" t="str">
        <x:v>Csv</x:v>
      </x:c>
      <x:c r="C4610" s="34" t="str">
        <x:v>Round2</x:v>
      </x:c>
      <x:c r="D4610" s="34" t="str">
        <x:v>Csv_7</x:v>
      </x:c>
      <x:c r="E4610" s="34" t="str">
        <x:v>Condition</x:v>
      </x:c>
      <x:c r="F4610" s="34" t="n">
        <x:v>50</x:v>
      </x:c>
      <x:c r="G4610" s="34" t="str">
        <x:v>RECORDED</x:v>
      </x:c>
      <x:c r="H4610" s="38" t="n">
        <x:f>IF(ISNUMBER('Data'!I1194),'Data'!I1194*100,"")</x:f>
        <x:v>0</x:v>
      </x:c>
      <x:c r="I4610" s="34" t="str">
        <x:v>PASS</x:v>
      </x:c>
      <x:c r="J4610" s="34" t="str">
        <x:v>PASS</x:v>
      </x:c>
      <x:c r="K4610" s="34" t="str">
        <x:v>PASS</x:v>
      </x:c>
      <x:c r="L4610" s="34" t="str">
        <x:v>PASS</x:v>
      </x:c>
      <x:c r="M4610" s="34" t="str">
        <x:v>numeric coverage for applicable metric</x:v>
      </x:c>
      <x:c r="N4610" s="34" t="str">
        <x:v>Feedback-Directed Random Test Generation/Result_Round2/Csv_7/result.json</x:v>
      </x:c>
      <x:c r="O4610" s="38" t="n">
        <x:f>IF(AND(G4610="RECORDED",ISNUMBER(H4610)),H4610,"")</x:f>
        <x:v>0</x:v>
      </x:c>
      <x:c r="P4610" s="34" t="str">
        <x:v>NOT_REVEALING</x:v>
      </x:c>
      <x:c r="Q4610" s="34" t="str">
        <x:v>Feedback-Directed Random Test Generation/Result_Round2/Csv_7/result.json</x:v>
      </x:c>
    </x:row>
    <x:row r="4611">
      <x:c r="A4611" s="34" t="str">
        <x:v>randoop</x:v>
      </x:c>
      <x:c r="B4611" s="34" t="str">
        <x:v>Csv</x:v>
      </x:c>
      <x:c r="C4611" s="34" t="str">
        <x:v>Round2</x:v>
      </x:c>
      <x:c r="D4611" s="34" t="str">
        <x:v>Csv_8</x:v>
      </x:c>
      <x:c r="E4611" s="34" t="str">
        <x:v>Condition</x:v>
      </x:c>
      <x:c r="F4611" s="34" t="n">
        <x:v>140</x:v>
      </x:c>
      <x:c r="G4611" s="34" t="str">
        <x:v>RECORDED</x:v>
      </x:c>
      <x:c r="H4611" s="38" t="n">
        <x:f>IF(ISNUMBER('Data'!I1195),'Data'!I1195*100,"")</x:f>
        <x:v>71.43</x:v>
      </x:c>
      <x:c r="I4611" s="34" t="str">
        <x:v>PASS</x:v>
      </x:c>
      <x:c r="J4611" s="34" t="str">
        <x:v>PASS</x:v>
      </x:c>
      <x:c r="K4611" s="34" t="str">
        <x:v>PASS</x:v>
      </x:c>
      <x:c r="L4611" s="34" t="str">
        <x:v>PASS</x:v>
      </x:c>
      <x:c r="M4611" s="34" t="str">
        <x:v>numeric coverage for applicable metric</x:v>
      </x:c>
      <x:c r="N4611" s="34" t="str">
        <x:v>Feedback-Directed Random Test Generation/Result_Round2/Csv_8/result.json</x:v>
      </x:c>
      <x:c r="O4611" s="38" t="n">
        <x:f>IF(AND(G4611="RECORDED",ISNUMBER(H4611)),H4611,"")</x:f>
        <x:v>71.43</x:v>
      </x:c>
      <x:c r="P4611" s="34" t="str">
        <x:v>NOT_REVEALING</x:v>
      </x:c>
      <x:c r="Q4611" s="34" t="str">
        <x:v>Feedback-Directed Random Test Generation/Result_Round2/Csv_8/result.json</x:v>
      </x:c>
    </x:row>
    <x:row r="4612">
      <x:c r="A4612" s="34" t="str">
        <x:v>randoop</x:v>
      </x:c>
      <x:c r="B4612" s="34" t="str">
        <x:v>Csv</x:v>
      </x:c>
      <x:c r="C4612" s="34" t="str">
        <x:v>Round2</x:v>
      </x:c>
      <x:c r="D4612" s="34" t="str">
        <x:v>Csv_9</x:v>
      </x:c>
      <x:c r="E4612" s="34" t="str">
        <x:v>Condition</x:v>
      </x:c>
      <x:c r="F4612" s="34" t="n">
        <x:v>22</x:v>
      </x:c>
      <x:c r="G4612" s="34" t="str">
        <x:v>RECORDED</x:v>
      </x:c>
      <x:c r="H4612" s="38" t="n">
        <x:f>IF(ISNUMBER('Data'!I1196),'Data'!I1196*100,"")</x:f>
        <x:v>27.27</x:v>
      </x:c>
      <x:c r="I4612" s="34" t="str">
        <x:v>PASS</x:v>
      </x:c>
      <x:c r="J4612" s="34" t="str">
        <x:v>PASS</x:v>
      </x:c>
      <x:c r="K4612" s="34" t="str">
        <x:v>PASS</x:v>
      </x:c>
      <x:c r="L4612" s="34" t="str">
        <x:v>PASS</x:v>
      </x:c>
      <x:c r="M4612" s="34" t="str">
        <x:v>numeric coverage for applicable metric</x:v>
      </x:c>
      <x:c r="N4612" s="34" t="str">
        <x:v>Feedback-Directed Random Test Generation/Result_Round2/Csv_9/result.json</x:v>
      </x:c>
      <x:c r="O4612" s="38" t="n">
        <x:f>IF(AND(G4612="RECORDED",ISNUMBER(H4612)),H4612,"")</x:f>
        <x:v>27.27</x:v>
      </x:c>
      <x:c r="P4612" s="34" t="str">
        <x:v>INCONCLUSIVE</x:v>
      </x:c>
      <x:c r="Q4612" s="34" t="str">
        <x:v>Feedback-Directed Random Test Generation/Result_Round2/Csv_9/result.json</x:v>
      </x:c>
    </x:row>
    <x:row r="4613">
      <x:c r="A4613" s="34" t="str">
        <x:v>randoop</x:v>
      </x:c>
      <x:c r="B4613" s="34" t="str">
        <x:v>Csv</x:v>
      </x:c>
      <x:c r="C4613" s="34" t="str">
        <x:v>Round2</x:v>
      </x:c>
      <x:c r="D4613" s="34" t="str">
        <x:v>Csv_10</x:v>
      </x:c>
      <x:c r="E4613" s="34" t="str">
        <x:v>Condition</x:v>
      </x:c>
      <x:c r="F4613" s="34" t="n">
        <x:v>117</x:v>
      </x:c>
      <x:c r="G4613" s="34" t="str">
        <x:v>RECORDED</x:v>
      </x:c>
      <x:c r="H4613" s="38" t="n">
        <x:f>IF(ISNUMBER('Data'!I1197),'Data'!I1197*100,"")</x:f>
        <x:v>0</x:v>
      </x:c>
      <x:c r="I4613" s="34" t="str">
        <x:v>PASS</x:v>
      </x:c>
      <x:c r="J4613" s="34" t="str">
        <x:v>PASS</x:v>
      </x:c>
      <x:c r="K4613" s="34" t="str">
        <x:v>PASS</x:v>
      </x:c>
      <x:c r="L4613" s="34" t="str">
        <x:v>PASS</x:v>
      </x:c>
      <x:c r="M4613" s="34" t="str">
        <x:v>numeric coverage for applicable metric</x:v>
      </x:c>
      <x:c r="N4613" s="34" t="str">
        <x:v>Feedback-Directed Random Test Generation/Result_Round2/Csv_10/result.json</x:v>
      </x:c>
      <x:c r="O4613" s="38" t="n">
        <x:f>IF(AND(G4613="RECORDED",ISNUMBER(H4613)),H4613,"")</x:f>
        <x:v>0</x:v>
      </x:c>
      <x:c r="P4613" s="34" t="str">
        <x:v>NOT_REVEALING</x:v>
      </x:c>
      <x:c r="Q4613" s="34" t="str">
        <x:v>Feedback-Directed Random Test Generation/Result_Round2/Csv_10/result.json</x:v>
      </x:c>
    </x:row>
    <x:row r="4614">
      <x:c r="A4614" s="34" t="str">
        <x:v>randoop</x:v>
      </x:c>
      <x:c r="B4614" s="34" t="str">
        <x:v>Csv</x:v>
      </x:c>
      <x:c r="C4614" s="34" t="str">
        <x:v>Round2</x:v>
      </x:c>
      <x:c r="D4614" s="34" t="str">
        <x:v>Csv_11</x:v>
      </x:c>
      <x:c r="E4614" s="34" t="str">
        <x:v>Condition</x:v>
      </x:c>
      <x:c r="F4614" s="34" t="n">
        <x:v>58</x:v>
      </x:c>
      <x:c r="G4614" s="34" t="str">
        <x:v>RECORDED</x:v>
      </x:c>
      <x:c r="H4614" s="38" t="n">
        <x:f>IF(ISNUMBER('Data'!I1198),'Data'!I1198*100,"")</x:f>
        <x:v>0</x:v>
      </x:c>
      <x:c r="I4614" s="34" t="str">
        <x:v>PASS</x:v>
      </x:c>
      <x:c r="J4614" s="34" t="str">
        <x:v>PASS</x:v>
      </x:c>
      <x:c r="K4614" s="34" t="str">
        <x:v>PASS</x:v>
      </x:c>
      <x:c r="L4614" s="34" t="str">
        <x:v>PASS</x:v>
      </x:c>
      <x:c r="M4614" s="34" t="str">
        <x:v>numeric coverage for applicable metric</x:v>
      </x:c>
      <x:c r="N4614" s="34" t="str">
        <x:v>Feedback-Directed Random Test Generation/Result_Round2/Csv_11/result.json</x:v>
      </x:c>
      <x:c r="O4614" s="38" t="n">
        <x:f>IF(AND(G4614="RECORDED",ISNUMBER(H4614)),H4614,"")</x:f>
        <x:v>0</x:v>
      </x:c>
      <x:c r="P4614" s="34" t="str">
        <x:v>NOT_REVEALING</x:v>
      </x:c>
      <x:c r="Q4614" s="34" t="str">
        <x:v>Feedback-Directed Random Test Generation/Result_Round2/Csv_11/result.json</x:v>
      </x:c>
    </x:row>
    <x:row r="4615">
      <x:c r="A4615" s="34" t="str">
        <x:v>randoop</x:v>
      </x:c>
      <x:c r="B4615" s="34" t="str">
        <x:v>Csv</x:v>
      </x:c>
      <x:c r="C4615" s="34" t="str">
        <x:v>Round2</x:v>
      </x:c>
      <x:c r="D4615" s="34" t="str">
        <x:v>Csv_12</x:v>
      </x:c>
      <x:c r="E4615" s="34" t="str">
        <x:v>Condition</x:v>
      </x:c>
      <x:c r="F4615" s="34" t="n">
        <x:v>140</x:v>
      </x:c>
      <x:c r="G4615" s="34" t="str">
        <x:v>RECORDED</x:v>
      </x:c>
      <x:c r="H4615" s="38" t="n">
        <x:f>IF(ISNUMBER('Data'!I1199),'Data'!I1199*100,"")</x:f>
        <x:v>71.43</x:v>
      </x:c>
      <x:c r="I4615" s="34" t="str">
        <x:v>PASS</x:v>
      </x:c>
      <x:c r="J4615" s="34" t="str">
        <x:v>PASS</x:v>
      </x:c>
      <x:c r="K4615" s="34" t="str">
        <x:v>PASS</x:v>
      </x:c>
      <x:c r="L4615" s="34" t="str">
        <x:v>PASS</x:v>
      </x:c>
      <x:c r="M4615" s="34" t="str">
        <x:v>numeric coverage for applicable metric</x:v>
      </x:c>
      <x:c r="N4615" s="34" t="str">
        <x:v>Feedback-Directed Random Test Generation/Result_Round2/Csv_12/result.json</x:v>
      </x:c>
      <x:c r="O4615" s="38" t="n">
        <x:f>IF(AND(G4615="RECORDED",ISNUMBER(H4615)),H4615,"")</x:f>
        <x:v>71.43</x:v>
      </x:c>
      <x:c r="P4615" s="34" t="str">
        <x:v>INCONCLUSIVE</x:v>
      </x:c>
      <x:c r="Q4615" s="34" t="str">
        <x:v>Feedback-Directed Random Test Generation/Result_Round2/Csv_12/result.json</x:v>
      </x:c>
    </x:row>
    <x:row r="4616">
      <x:c r="A4616" s="34" t="str">
        <x:v>randoop</x:v>
      </x:c>
      <x:c r="B4616" s="34" t="str">
        <x:v>Csv</x:v>
      </x:c>
      <x:c r="C4616" s="34" t="str">
        <x:v>Round2</x:v>
      </x:c>
      <x:c r="D4616" s="34" t="str">
        <x:v>Csv_13</x:v>
      </x:c>
      <x:c r="E4616" s="34" t="str">
        <x:v>Condition</x:v>
      </x:c>
      <x:c r="F4616" s="34" t="n">
        <x:v>289</x:v>
      </x:c>
      <x:c r="G4616" s="34" t="str">
        <x:v>RECORDED</x:v>
      </x:c>
      <x:c r="H4616" s="38" t="n">
        <x:f>IF(ISNUMBER('Data'!I1200),'Data'!I1200*100,"")</x:f>
        <x:v>71.63</x:v>
      </x:c>
      <x:c r="I4616" s="34" t="str">
        <x:v>PASS</x:v>
      </x:c>
      <x:c r="J4616" s="34" t="str">
        <x:v>PASS</x:v>
      </x:c>
      <x:c r="K4616" s="34" t="str">
        <x:v>PASS</x:v>
      </x:c>
      <x:c r="L4616" s="34" t="str">
        <x:v>FAIL</x:v>
      </x:c>
      <x:c r="M4616" s="34" t="str">
        <x:v>numeric coverage for applicable metric</x:v>
      </x:c>
      <x:c r="N4616" s="34" t="str">
        <x:v>Feedback-Directed Random Test Generation/Result_Round2/Csv_13/result.json</x:v>
      </x:c>
      <x:c r="O4616" s="38" t="n">
        <x:f>IF(AND(G4616="RECORDED",ISNUMBER(H4616)),H4616,"")</x:f>
        <x:v>71.63</x:v>
      </x:c>
      <x:c r="P4616" s="34" t="str">
        <x:v>INCONCLUSIVE</x:v>
      </x:c>
      <x:c r="Q4616" s="34" t="str">
        <x:v>Feedback-Directed Random Test Generation/Result_Round2/Csv_13/result.json</x:v>
      </x:c>
    </x:row>
    <x:row r="4617">
      <x:c r="A4617" s="34" t="str">
        <x:v>randoop</x:v>
      </x:c>
      <x:c r="B4617" s="34" t="str">
        <x:v>Csv</x:v>
      </x:c>
      <x:c r="C4617" s="34" t="str">
        <x:v>Round2</x:v>
      </x:c>
      <x:c r="D4617" s="34" t="str">
        <x:v>Csv_14</x:v>
      </x:c>
      <x:c r="E4617" s="34" t="str">
        <x:v>Condition</x:v>
      </x:c>
      <x:c r="F4617" s="34" t="n">
        <x:v>272</x:v>
      </x:c>
      <x:c r="G4617" s="34" t="str">
        <x:v>RECORDED</x:v>
      </x:c>
      <x:c r="H4617" s="38" t="n">
        <x:f>IF(ISNUMBER('Data'!I1201),'Data'!I1201*100,"")</x:f>
        <x:v>81.62</x:v>
      </x:c>
      <x:c r="I4617" s="34" t="str">
        <x:v>PASS</x:v>
      </x:c>
      <x:c r="J4617" s="34" t="str">
        <x:v>PASS</x:v>
      </x:c>
      <x:c r="K4617" s="34" t="str">
        <x:v>PASS</x:v>
      </x:c>
      <x:c r="L4617" s="34" t="str">
        <x:v>FAIL</x:v>
      </x:c>
      <x:c r="M4617" s="34" t="str">
        <x:v>numeric coverage for applicable metric</x:v>
      </x:c>
      <x:c r="N4617" s="34" t="str">
        <x:v>Feedback-Directed Random Test Generation/Result_Round2/Csv_14/result.json</x:v>
      </x:c>
      <x:c r="O4617" s="38" t="n">
        <x:f>IF(AND(G4617="RECORDED",ISNUMBER(H4617)),H4617,"")</x:f>
        <x:v>81.62</x:v>
      </x:c>
      <x:c r="P4617" s="34" t="str">
        <x:v>INCONCLUSIVE</x:v>
      </x:c>
      <x:c r="Q4617" s="34" t="str">
        <x:v>Feedback-Directed Random Test Generation/Result_Round2/Csv_14/result.json</x:v>
      </x:c>
    </x:row>
    <x:row r="4618">
      <x:c r="A4618" s="34" t="str">
        <x:v>randoop</x:v>
      </x:c>
      <x:c r="B4618" s="34" t="str">
        <x:v>Csv</x:v>
      </x:c>
      <x:c r="C4618" s="34" t="str">
        <x:v>Round2</x:v>
      </x:c>
      <x:c r="D4618" s="34" t="str">
        <x:v>Csv_15</x:v>
      </x:c>
      <x:c r="E4618" s="34" t="str">
        <x:v>Condition</x:v>
      </x:c>
      <x:c r="F4618" s="34" t="n">
        <x:v>275</x:v>
      </x:c>
      <x:c r="G4618" s="34" t="str">
        <x:v>RECORDED</x:v>
      </x:c>
      <x:c r="H4618" s="38" t="n">
        <x:f>IF(ISNUMBER('Data'!I1202),'Data'!I1202*100,"")</x:f>
        <x:v>82.55</x:v>
      </x:c>
      <x:c r="I4618" s="34" t="str">
        <x:v>PASS</x:v>
      </x:c>
      <x:c r="J4618" s="34" t="str">
        <x:v>PASS</x:v>
      </x:c>
      <x:c r="K4618" s="34" t="str">
        <x:v>PASS</x:v>
      </x:c>
      <x:c r="L4618" s="34" t="str">
        <x:v>FAIL</x:v>
      </x:c>
      <x:c r="M4618" s="34" t="str">
        <x:v>numeric coverage for applicable metric</x:v>
      </x:c>
      <x:c r="N4618" s="34" t="str">
        <x:v>Feedback-Directed Random Test Generation/Result_Round2/Csv_15/result.json</x:v>
      </x:c>
      <x:c r="O4618" s="38" t="n">
        <x:f>IF(AND(G4618="RECORDED",ISNUMBER(H4618)),H4618,"")</x:f>
        <x:v>82.55</x:v>
      </x:c>
      <x:c r="P4618" s="34" t="str">
        <x:v>INCONCLUSIVE</x:v>
      </x:c>
      <x:c r="Q4618" s="34" t="str">
        <x:v>Feedback-Directed Random Test Generation/Result_Round2/Csv_15/result.json</x:v>
      </x:c>
    </x:row>
    <x:row r="4619">
      <x:c r="A4619" s="34" t="str">
        <x:v>randoop</x:v>
      </x:c>
      <x:c r="B4619" s="34" t="str">
        <x:v>Csv</x:v>
      </x:c>
      <x:c r="C4619" s="34" t="str">
        <x:v>Round2</x:v>
      </x:c>
      <x:c r="D4619" s="34" t="str">
        <x:v>Csv_16</x:v>
      </x:c>
      <x:c r="E4619" s="34" t="str">
        <x:v>Condition</x:v>
      </x:c>
      <x:c r="F4619" s="34" t="n">
        <x:v>68</x:v>
      </x:c>
      <x:c r="G4619" s="34" t="str">
        <x:v>RECORDED</x:v>
      </x:c>
      <x:c r="H4619" s="38" t="n">
        <x:f>IF(ISNUMBER('Data'!I1203),'Data'!I1203*100,"")</x:f>
        <x:v>0</x:v>
      </x:c>
      <x:c r="I4619" s="34" t="str">
        <x:v>PASS</x:v>
      </x:c>
      <x:c r="J4619" s="34" t="str">
        <x:v>PASS</x:v>
      </x:c>
      <x:c r="K4619" s="34" t="str">
        <x:v>PASS</x:v>
      </x:c>
      <x:c r="L4619" s="34" t="str">
        <x:v>PASS</x:v>
      </x:c>
      <x:c r="M4619" s="34" t="str">
        <x:v>numeric coverage for applicable metric</x:v>
      </x:c>
      <x:c r="N4619" s="34" t="str">
        <x:v>Feedback-Directed Random Test Generation/Result_Round2/Csv_16/result.json</x:v>
      </x:c>
      <x:c r="O4619" s="38" t="n">
        <x:f>IF(AND(G4619="RECORDED",ISNUMBER(H4619)),H4619,"")</x:f>
        <x:v>0</x:v>
      </x:c>
      <x:c r="P4619" s="34" t="str">
        <x:v>NOT_REVEALING</x:v>
      </x:c>
      <x:c r="Q4619" s="34" t="str">
        <x:v>Feedback-Directed Random Test Generation/Result_Round2/Csv_16/result.json</x:v>
      </x:c>
    </x:row>
    <x:row r="4620">
      <x:c r="A4620" s="34" t="str">
        <x:v>randoop</x:v>
      </x:c>
      <x:c r="B4620" s="34" t="str">
        <x:v>Gson</x:v>
      </x:c>
      <x:c r="C4620" s="34" t="str">
        <x:v>Round2</x:v>
      </x:c>
      <x:c r="D4620" s="34" t="str">
        <x:v>Gson_1</x:v>
      </x:c>
      <x:c r="E4620" s="34" t="str">
        <x:v>Condition</x:v>
      </x:c>
      <x:c r="F4620" s="34" t="n">
        <x:v>22</x:v>
      </x:c>
      <x:c r="G4620" s="34" t="str">
        <x:v>RECORDED</x:v>
      </x:c>
      <x:c r="H4620" s="38" t="n">
        <x:f>IF(ISNUMBER('Data'!I1204),'Data'!I1204*100,"")</x:f>
        <x:v>0</x:v>
      </x:c>
      <x:c r="I4620" s="34" t="str">
        <x:v>PASS</x:v>
      </x:c>
      <x:c r="J4620" s="34" t="str">
        <x:v>PASS</x:v>
      </x:c>
      <x:c r="K4620" s="34" t="str">
        <x:v>PASS</x:v>
      </x:c>
      <x:c r="L4620" s="34" t="str">
        <x:v>PASS</x:v>
      </x:c>
      <x:c r="M4620" s="34" t="str">
        <x:v>numeric coverage for applicable metric</x:v>
      </x:c>
      <x:c r="N4620" s="34" t="str">
        <x:v>Feedback-Directed Random Test Generation/Result_Round2/Gson_1/result.json</x:v>
      </x:c>
      <x:c r="O4620" s="38" t="n">
        <x:f>IF(AND(G4620="RECORDED",ISNUMBER(H4620)),H4620,"")</x:f>
        <x:v>0</x:v>
      </x:c>
      <x:c r="P4620" s="34" t="str">
        <x:v>NOT_REVEALING</x:v>
      </x:c>
      <x:c r="Q4620" s="34" t="str">
        <x:v>Feedback-Directed Random Test Generation/Result_Round2/Gson_1/result.json</x:v>
      </x:c>
    </x:row>
    <x:row r="4621">
      <x:c r="A4621" s="34" t="str">
        <x:v>randoop</x:v>
      </x:c>
      <x:c r="B4621" s="34" t="str">
        <x:v>Gson</x:v>
      </x:c>
      <x:c r="C4621" s="34" t="str">
        <x:v>Round2</x:v>
      </x:c>
      <x:c r="D4621" s="34" t="str">
        <x:v>Gson_2</x:v>
      </x:c>
      <x:c r="E4621" s="34" t="str">
        <x:v>Condition</x:v>
      </x:c>
      <x:c r="F4621" s="34" t="n">
        <x:v>188</x:v>
      </x:c>
      <x:c r="G4621" s="34" t="str">
        <x:v>RECORDED</x:v>
      </x:c>
      <x:c r="H4621" s="38" t="n">
        <x:f>IF(ISNUMBER('Data'!I1205),'Data'!I1205*100,"")</x:f>
        <x:v>0</x:v>
      </x:c>
      <x:c r="I4621" s="34" t="str">
        <x:v>PASS</x:v>
      </x:c>
      <x:c r="J4621" s="34" t="str">
        <x:v>PASS</x:v>
      </x:c>
      <x:c r="K4621" s="34" t="str">
        <x:v>PASS</x:v>
      </x:c>
      <x:c r="L4621" s="34" t="str">
        <x:v>PASS</x:v>
      </x:c>
      <x:c r="M4621" s="34" t="str">
        <x:v>numeric coverage for applicable metric</x:v>
      </x:c>
      <x:c r="N4621" s="34" t="str">
        <x:v>Feedback-Directed Random Test Generation/Result_Round2/Gson_2/result.json</x:v>
      </x:c>
      <x:c r="O4621" s="38" t="n">
        <x:f>IF(AND(G4621="RECORDED",ISNUMBER(H4621)),H4621,"")</x:f>
        <x:v>0</x:v>
      </x:c>
      <x:c r="P4621" s="34" t="str">
        <x:v>NOT_REVEALING</x:v>
      </x:c>
      <x:c r="Q4621" s="34" t="str">
        <x:v>Feedback-Directed Random Test Generation/Result_Round2/Gson_2/result.json</x:v>
      </x:c>
    </x:row>
    <x:row r="4622">
      <x:c r="A4622" s="34" t="str">
        <x:v>randoop</x:v>
      </x:c>
      <x:c r="B4622" s="34" t="str">
        <x:v>Gson</x:v>
      </x:c>
      <x:c r="C4622" s="34" t="str">
        <x:v>Round2</x:v>
      </x:c>
      <x:c r="D4622" s="34" t="str">
        <x:v>Gson_3</x:v>
      </x:c>
      <x:c r="E4622" s="34" t="str">
        <x:v>Condition</x:v>
      </x:c>
      <x:c r="F4622" s="34" t="n">
        <x:v>32</x:v>
      </x:c>
      <x:c r="G4622" s="34" t="str">
        <x:v>RECORDED</x:v>
      </x:c>
      <x:c r="H4622" s="38" t="n">
        <x:f>IF(ISNUMBER('Data'!I1206),'Data'!I1206*100,"")</x:f>
        <x:v>0</x:v>
      </x:c>
      <x:c r="I4622" s="34" t="str">
        <x:v>PASS</x:v>
      </x:c>
      <x:c r="J4622" s="34" t="str">
        <x:v>PASS</x:v>
      </x:c>
      <x:c r="K4622" s="34" t="str">
        <x:v>PASS</x:v>
      </x:c>
      <x:c r="L4622" s="34" t="str">
        <x:v>PASS</x:v>
      </x:c>
      <x:c r="M4622" s="34" t="str">
        <x:v>numeric coverage for applicable metric</x:v>
      </x:c>
      <x:c r="N4622" s="34" t="str">
        <x:v>Feedback-Directed Random Test Generation/Result_Round2/Gson_3/result.json</x:v>
      </x:c>
      <x:c r="O4622" s="38" t="n">
        <x:f>IF(AND(G4622="RECORDED",ISNUMBER(H4622)),H4622,"")</x:f>
        <x:v>0</x:v>
      </x:c>
      <x:c r="P4622" s="34" t="str">
        <x:v>NOT_REVEALING</x:v>
      </x:c>
      <x:c r="Q4622" s="34" t="str">
        <x:v>Feedback-Directed Random Test Generation/Result_Round2/Gson_3/result.json</x:v>
      </x:c>
    </x:row>
    <x:row r="4623">
      <x:c r="A4623" s="34" t="str">
        <x:v>randoop</x:v>
      </x:c>
      <x:c r="B4623" s="34" t="str">
        <x:v>Gson</x:v>
      </x:c>
      <x:c r="C4623" s="34" t="str">
        <x:v>Round2</x:v>
      </x:c>
      <x:c r="D4623" s="34" t="str">
        <x:v>Gson_4</x:v>
      </x:c>
      <x:c r="E4623" s="34" t="str">
        <x:v>Condition</x:v>
      </x:c>
      <x:c r="F4623" s="34" t="n">
        <x:v>565</x:v>
      </x:c>
      <x:c r="G4623" s="34" t="str">
        <x:v>RECORDED</x:v>
      </x:c>
      <x:c r="H4623" s="38" t="n">
        <x:f>IF(ISNUMBER('Data'!I1207),'Data'!I1207*100,"")</x:f>
        <x:v>0.53</x:v>
      </x:c>
      <x:c r="I4623" s="34" t="str">
        <x:v>PASS</x:v>
      </x:c>
      <x:c r="J4623" s="34" t="str">
        <x:v>PASS</x:v>
      </x:c>
      <x:c r="K4623" s="34" t="str">
        <x:v>PASS</x:v>
      </x:c>
      <x:c r="L4623" s="34" t="str">
        <x:v>PASS</x:v>
      </x:c>
      <x:c r="M4623" s="34" t="str">
        <x:v>numeric coverage for applicable metric</x:v>
      </x:c>
      <x:c r="N4623" s="34" t="str">
        <x:v>Feedback-Directed Random Test Generation/Result_Round2/Gson_4/result.json</x:v>
      </x:c>
      <x:c r="O4623" s="38" t="n">
        <x:f>IF(AND(G4623="RECORDED",ISNUMBER(H4623)),H4623,"")</x:f>
        <x:v>0.53</x:v>
      </x:c>
      <x:c r="P4623" s="34" t="str">
        <x:v>NOT_REVEALING</x:v>
      </x:c>
      <x:c r="Q4623" s="34" t="str">
        <x:v>Feedback-Directed Random Test Generation/Result_Round2/Gson_4/result.json</x:v>
      </x:c>
    </x:row>
    <x:row r="4624">
      <x:c r="A4624" s="34" t="str">
        <x:v>randoop</x:v>
      </x:c>
      <x:c r="B4624" s="34" t="str">
        <x:v>Gson</x:v>
      </x:c>
      <x:c r="C4624" s="34" t="str">
        <x:v>Round2</x:v>
      </x:c>
      <x:c r="D4624" s="34" t="str">
        <x:v>Gson_5</x:v>
      </x:c>
      <x:c r="E4624" s="34" t="str">
        <x:v>Condition</x:v>
      </x:c>
      <x:c r="F4624" s="34" t="n">
        <x:v>89</x:v>
      </x:c>
      <x:c r="G4624" s="34" t="str">
        <x:v>RECORDED</x:v>
      </x:c>
      <x:c r="H4624" s="38" t="n">
        <x:f>IF(ISNUMBER('Data'!I1208),'Data'!I1208*100,"")</x:f>
        <x:v>0</x:v>
      </x:c>
      <x:c r="I4624" s="34" t="str">
        <x:v>PASS</x:v>
      </x:c>
      <x:c r="J4624" s="34" t="str">
        <x:v>PASS</x:v>
      </x:c>
      <x:c r="K4624" s="34" t="str">
        <x:v>PASS</x:v>
      </x:c>
      <x:c r="L4624" s="34" t="str">
        <x:v>PASS</x:v>
      </x:c>
      <x:c r="M4624" s="34" t="str">
        <x:v>numeric coverage for applicable metric</x:v>
      </x:c>
      <x:c r="N4624" s="34" t="str">
        <x:v>Feedback-Directed Random Test Generation/Result_Round2/Gson_5/result.json</x:v>
      </x:c>
      <x:c r="O4624" s="38" t="n">
        <x:f>IF(AND(G4624="RECORDED",ISNUMBER(H4624)),H4624,"")</x:f>
        <x:v>0</x:v>
      </x:c>
      <x:c r="P4624" s="34" t="str">
        <x:v>NOT_REVEALING</x:v>
      </x:c>
      <x:c r="Q4624" s="34" t="str">
        <x:v>Feedback-Directed Random Test Generation/Result_Round2/Gson_5/result.json</x:v>
      </x:c>
    </x:row>
    <x:row r="4625">
      <x:c r="A4625" s="34" t="str">
        <x:v>randoop</x:v>
      </x:c>
      <x:c r="B4625" s="34" t="str">
        <x:v>Gson</x:v>
      </x:c>
      <x:c r="C4625" s="34" t="str">
        <x:v>Round2</x:v>
      </x:c>
      <x:c r="D4625" s="34" t="str">
        <x:v>Gson_6</x:v>
      </x:c>
      <x:c r="E4625" s="34" t="str">
        <x:v>Condition</x:v>
      </x:c>
      <x:c r="F4625" s="34" t="n">
        <x:v>6</x:v>
      </x:c>
      <x:c r="G4625" s="34" t="str">
        <x:v>RECORDED</x:v>
      </x:c>
      <x:c r="H4625" s="38" t="n">
        <x:f>IF(ISNUMBER('Data'!I1209),'Data'!I1209*100,"")</x:f>
        <x:v>0</x:v>
      </x:c>
      <x:c r="I4625" s="34" t="str">
        <x:v>PASS</x:v>
      </x:c>
      <x:c r="J4625" s="34" t="str">
        <x:v>PASS</x:v>
      </x:c>
      <x:c r="K4625" s="34" t="str">
        <x:v>PASS</x:v>
      </x:c>
      <x:c r="L4625" s="34" t="str">
        <x:v>PASS</x:v>
      </x:c>
      <x:c r="M4625" s="34" t="str">
        <x:v>numeric coverage for applicable metric</x:v>
      </x:c>
      <x:c r="N4625" s="34" t="str">
        <x:v>Feedback-Directed Random Test Generation/Result_Round2/Gson_6/result.json</x:v>
      </x:c>
      <x:c r="O4625" s="38" t="n">
        <x:f>IF(AND(G4625="RECORDED",ISNUMBER(H4625)),H4625,"")</x:f>
        <x:v>0</x:v>
      </x:c>
      <x:c r="P4625" s="34" t="str">
        <x:v>NOT_REVEALING</x:v>
      </x:c>
      <x:c r="Q4625" s="34" t="str">
        <x:v>Feedback-Directed Random Test Generation/Result_Round2/Gson_6/result.json</x:v>
      </x:c>
    </x:row>
    <x:row r="4626">
      <x:c r="A4626" s="34" t="str">
        <x:v>randoop</x:v>
      </x:c>
      <x:c r="B4626" s="34" t="str">
        <x:v>Gson</x:v>
      </x:c>
      <x:c r="C4626" s="34" t="str">
        <x:v>Round2</x:v>
      </x:c>
      <x:c r="D4626" s="34" t="str">
        <x:v>Gson_7</x:v>
      </x:c>
      <x:c r="E4626" s="34" t="str">
        <x:v>Condition</x:v>
      </x:c>
      <x:c r="F4626" s="34" t="n">
        <x:v>469</x:v>
      </x:c>
      <x:c r="G4626" s="34" t="str">
        <x:v>RECORDED</x:v>
      </x:c>
      <x:c r="H4626" s="38" t="n">
        <x:f>IF(ISNUMBER('Data'!I1210),'Data'!I1210*100,"")</x:f>
        <x:v>0.21</x:v>
      </x:c>
      <x:c r="I4626" s="34" t="str">
        <x:v>PASS</x:v>
      </x:c>
      <x:c r="J4626" s="34" t="str">
        <x:v>PASS</x:v>
      </x:c>
      <x:c r="K4626" s="34" t="str">
        <x:v>PASS</x:v>
      </x:c>
      <x:c r="L4626" s="34" t="str">
        <x:v>PASS</x:v>
      </x:c>
      <x:c r="M4626" s="34" t="str">
        <x:v>numeric coverage for applicable metric</x:v>
      </x:c>
      <x:c r="N4626" s="34" t="str">
        <x:v>Feedback-Directed Random Test Generation/Result_Round2/Gson_7/result.json</x:v>
      </x:c>
      <x:c r="O4626" s="38" t="n">
        <x:f>IF(AND(G4626="RECORDED",ISNUMBER(H4626)),H4626,"")</x:f>
        <x:v>0.21</x:v>
      </x:c>
      <x:c r="P4626" s="34" t="str">
        <x:v>NOT_REVEALING</x:v>
      </x:c>
      <x:c r="Q4626" s="34" t="str">
        <x:v>Feedback-Directed Random Test Generation/Result_Round2/Gson_7/result.json</x:v>
      </x:c>
    </x:row>
    <x:row r="4627">
      <x:c r="A4627" s="34" t="str">
        <x:v>randoop</x:v>
      </x:c>
      <x:c r="B4627" s="34" t="str">
        <x:v>Gson</x:v>
      </x:c>
      <x:c r="C4627" s="34" t="str">
        <x:v>Round2</x:v>
      </x:c>
      <x:c r="D4627" s="34" t="str">
        <x:v>Gson_8</x:v>
      </x:c>
      <x:c r="E4627" s="34" t="str">
        <x:v>Condition</x:v>
      </x:c>
      <x:c r="F4627" s="34" t="n">
        <x:v>0</x:v>
      </x:c>
      <x:c r="G4627" s="34" t="str">
        <x:v>B</x:v>
      </x:c>
      <x:c r="H4627" s="38" t="n">
        <x:f>IF(ISNUMBER('Data'!I1211),'Data'!I1211*100,"")</x:f>
        <x:v>0</x:v>
      </x:c>
      <x:c r="I4627" s="34" t="str">
        <x:v>PASS</x:v>
      </x:c>
      <x:c r="J4627" s="34" t="str">
        <x:v>PASS</x:v>
      </x:c>
      <x:c r="K4627" s="34" t="str">
        <x:v>PASS</x:v>
      </x:c>
      <x:c r="L4627" s="34" t="str">
        <x:v>PASS</x:v>
      </x:c>
      <x:c r="M4627" s="34" t="str">
        <x:v>coverage completed; measurable total = 0</x:v>
      </x:c>
      <x:c r="N4627" s="34" t="str">
        <x:v>Feedback-Directed Random Test Generation/Result_Round2/Gson_8/result.json</x:v>
      </x:c>
      <x:c r="O4627" s="38" t="str">
        <x:f>IF(AND(G4627="RECORDED",ISNUMBER(H4627)),H4627,"")</x:f>
      </x:c>
      <x:c r="P4627" s="34" t="str">
        <x:v>NOT_REVEALING</x:v>
      </x:c>
      <x:c r="Q4627" s="34" t="str">
        <x:v>Feedback-Directed Random Test Generation/Result_Round2/Gson_8/result.json</x:v>
      </x:c>
    </x:row>
    <x:row r="4628">
      <x:c r="A4628" s="34" t="str">
        <x:v>randoop</x:v>
      </x:c>
      <x:c r="B4628" s="34" t="str">
        <x:v>Gson</x:v>
      </x:c>
      <x:c r="C4628" s="34" t="str">
        <x:v>Round2</x:v>
      </x:c>
      <x:c r="D4628" s="34" t="str">
        <x:v>Gson_9</x:v>
      </x:c>
      <x:c r="E4628" s="34" t="str">
        <x:v>Condition</x:v>
      </x:c>
      <x:c r="F4628" s="34" t="n">
        <x:v>334</x:v>
      </x:c>
      <x:c r="G4628" s="34" t="str">
        <x:v>RECORDED</x:v>
      </x:c>
      <x:c r="H4628" s="38" t="n">
        <x:f>IF(ISNUMBER('Data'!I1212),'Data'!I1212*100,"")</x:f>
        <x:v>29.34</x:v>
      </x:c>
      <x:c r="I4628" s="34" t="str">
        <x:v>PASS</x:v>
      </x:c>
      <x:c r="J4628" s="34" t="str">
        <x:v>PASS</x:v>
      </x:c>
      <x:c r="K4628" s="34" t="str">
        <x:v>PASS</x:v>
      </x:c>
      <x:c r="L4628" s="34" t="str">
        <x:v>FAIL</x:v>
      </x:c>
      <x:c r="M4628" s="34" t="str">
        <x:v>numeric coverage for applicable metric</x:v>
      </x:c>
      <x:c r="N4628" s="34" t="str">
        <x:v>Feedback-Directed Random Test Generation/Result_Round2/Gson_9/result.json</x:v>
      </x:c>
      <x:c r="O4628" s="38" t="n">
        <x:f>IF(AND(G4628="RECORDED",ISNUMBER(H4628)),H4628,"")</x:f>
        <x:v>29.34</x:v>
      </x:c>
      <x:c r="P4628" s="34" t="str">
        <x:v>INCONCLUSIVE</x:v>
      </x:c>
      <x:c r="Q4628" s="34" t="str">
        <x:v>Feedback-Directed Random Test Generation/Result_Round2/Gson_9/result.json</x:v>
      </x:c>
    </x:row>
    <x:row r="4629">
      <x:c r="A4629" s="34" t="str">
        <x:v>randoop</x:v>
      </x:c>
      <x:c r="B4629" s="34" t="str">
        <x:v>Gson</x:v>
      </x:c>
      <x:c r="C4629" s="34" t="str">
        <x:v>Round2</x:v>
      </x:c>
      <x:c r="D4629" s="34" t="str">
        <x:v>Gson_10</x:v>
      </x:c>
      <x:c r="E4629" s="34" t="str">
        <x:v>Condition</x:v>
      </x:c>
      <x:c r="F4629" s="34" t="n">
        <x:v>58</x:v>
      </x:c>
      <x:c r="G4629" s="34" t="str">
        <x:v>RECORDED</x:v>
      </x:c>
      <x:c r="H4629" s="38" t="n">
        <x:f>IF(ISNUMBER('Data'!I1213),'Data'!I1213*100,"")</x:f>
        <x:v>5.17</x:v>
      </x:c>
      <x:c r="I4629" s="34" t="str">
        <x:v>PASS</x:v>
      </x:c>
      <x:c r="J4629" s="34" t="str">
        <x:v>PASS</x:v>
      </x:c>
      <x:c r="K4629" s="34" t="str">
        <x:v>PASS</x:v>
      </x:c>
      <x:c r="L4629" s="34" t="str">
        <x:v>FAIL</x:v>
      </x:c>
      <x:c r="M4629" s="34" t="str">
        <x:v>numeric coverage for applicable metric</x:v>
      </x:c>
      <x:c r="N4629" s="34" t="str">
        <x:v>Feedback-Directed Random Test Generation/Result_Round2/Gson_10/result.json</x:v>
      </x:c>
      <x:c r="O4629" s="38" t="n">
        <x:f>IF(AND(G4629="RECORDED",ISNUMBER(H4629)),H4629,"")</x:f>
        <x:v>5.17</x:v>
      </x:c>
      <x:c r="P4629" s="34" t="str">
        <x:v>INCONCLUSIVE</x:v>
      </x:c>
      <x:c r="Q4629" s="34" t="str">
        <x:v>Feedback-Directed Random Test Generation/Result_Round2/Gson_10/result.json</x:v>
      </x:c>
    </x:row>
    <x:row r="4630">
      <x:c r="A4630" s="34" t="str">
        <x:v>randoop</x:v>
      </x:c>
      <x:c r="B4630" s="34" t="str">
        <x:v>Gson</x:v>
      </x:c>
      <x:c r="C4630" s="34" t="str">
        <x:v>Round2</x:v>
      </x:c>
      <x:c r="D4630" s="34" t="str">
        <x:v>Gson_11</x:v>
      </x:c>
      <x:c r="E4630" s="34" t="str">
        <x:v>Condition</x:v>
      </x:c>
      <x:c r="F4630" s="34" t="n">
        <x:v>196</x:v>
      </x:c>
      <x:c r="G4630" s="34" t="str">
        <x:v>RECORDED</x:v>
      </x:c>
      <x:c r="H4630" s="38" t="n">
        <x:f>IF(ISNUMBER('Data'!I1214),'Data'!I1214*100,"")</x:f>
        <x:v>0</x:v>
      </x:c>
      <x:c r="I4630" s="34" t="str">
        <x:v>PASS</x:v>
      </x:c>
      <x:c r="J4630" s="34" t="str">
        <x:v>PASS</x:v>
      </x:c>
      <x:c r="K4630" s="34" t="str">
        <x:v>PASS</x:v>
      </x:c>
      <x:c r="L4630" s="34" t="str">
        <x:v>PASS</x:v>
      </x:c>
      <x:c r="M4630" s="34" t="str">
        <x:v>numeric coverage for applicable metric</x:v>
      </x:c>
      <x:c r="N4630" s="34" t="str">
        <x:v>Feedback-Directed Random Test Generation/Result_Round2/Gson_11/result.json</x:v>
      </x:c>
      <x:c r="O4630" s="38" t="n">
        <x:f>IF(AND(G4630="RECORDED",ISNUMBER(H4630)),H4630,"")</x:f>
        <x:v>0</x:v>
      </x:c>
      <x:c r="P4630" s="34" t="str">
        <x:v>NOT_REVEALING</x:v>
      </x:c>
      <x:c r="Q4630" s="34" t="str">
        <x:v>Feedback-Directed Random Test Generation/Result_Round2/Gson_11/result.json</x:v>
      </x:c>
    </x:row>
    <x:row r="4631">
      <x:c r="A4631" s="34" t="str">
        <x:v>randoop</x:v>
      </x:c>
      <x:c r="B4631" s="34" t="str">
        <x:v>Gson</x:v>
      </x:c>
      <x:c r="C4631" s="34" t="str">
        <x:v>Round2</x:v>
      </x:c>
      <x:c r="D4631" s="34" t="str">
        <x:v>Gson_12</x:v>
      </x:c>
      <x:c r="E4631" s="34" t="str">
        <x:v>Condition</x:v>
      </x:c>
      <x:c r="F4631" s="34" t="n">
        <x:v>86</x:v>
      </x:c>
      <x:c r="G4631" s="34" t="str">
        <x:v>RECORDED</x:v>
      </x:c>
      <x:c r="H4631" s="38" t="n">
        <x:f>IF(ISNUMBER('Data'!I1215),'Data'!I1215*100,"")</x:f>
        <x:v>15.120000000000001</x:v>
      </x:c>
      <x:c r="I4631" s="34" t="str">
        <x:v>PASS</x:v>
      </x:c>
      <x:c r="J4631" s="34" t="str">
        <x:v>PASS</x:v>
      </x:c>
      <x:c r="K4631" s="34" t="str">
        <x:v>PASS</x:v>
      </x:c>
      <x:c r="L4631" s="34" t="str">
        <x:v>FAIL</x:v>
      </x:c>
      <x:c r="M4631" s="34" t="str">
        <x:v>numeric coverage for applicable metric</x:v>
      </x:c>
      <x:c r="N4631" s="34" t="str">
        <x:v>Feedback-Directed Random Test Generation/Result_Round2/Gson_12/result.json</x:v>
      </x:c>
      <x:c r="O4631" s="38" t="n">
        <x:f>IF(AND(G4631="RECORDED",ISNUMBER(H4631)),H4631,"")</x:f>
        <x:v>15.120000000000001</x:v>
      </x:c>
      <x:c r="P4631" s="34" t="str">
        <x:v>INCONCLUSIVE</x:v>
      </x:c>
      <x:c r="Q4631" s="34" t="str">
        <x:v>Feedback-Directed Random Test Generation/Result_Round2/Gson_12/result.json</x:v>
      </x:c>
    </x:row>
    <x:row r="4632">
      <x:c r="A4632" s="34" t="str">
        <x:v>randoop</x:v>
      </x:c>
      <x:c r="B4632" s="34" t="str">
        <x:v>Gson</x:v>
      </x:c>
      <x:c r="C4632" s="34" t="str">
        <x:v>Round2</x:v>
      </x:c>
      <x:c r="D4632" s="34" t="str">
        <x:v>Gson_13</x:v>
      </x:c>
      <x:c r="E4632" s="34" t="str">
        <x:v>Condition</x:v>
      </x:c>
      <x:c r="F4632" s="34" t="n">
        <x:v>484</x:v>
      </x:c>
      <x:c r="G4632" s="34" t="str">
        <x:v>RECORDED</x:v>
      </x:c>
      <x:c r="H4632" s="38" t="n">
        <x:f>IF(ISNUMBER('Data'!I1216),'Data'!I1216*100,"")</x:f>
        <x:v>0.21</x:v>
      </x:c>
      <x:c r="I4632" s="34" t="str">
        <x:v>PASS</x:v>
      </x:c>
      <x:c r="J4632" s="34" t="str">
        <x:v>PASS</x:v>
      </x:c>
      <x:c r="K4632" s="34" t="str">
        <x:v>PASS</x:v>
      </x:c>
      <x:c r="L4632" s="34" t="str">
        <x:v>PASS</x:v>
      </x:c>
      <x:c r="M4632" s="34" t="str">
        <x:v>numeric coverage for applicable metric</x:v>
      </x:c>
      <x:c r="N4632" s="34" t="str">
        <x:v>Feedback-Directed Random Test Generation/Result_Round2/Gson_13/result.json</x:v>
      </x:c>
      <x:c r="O4632" s="38" t="n">
        <x:f>IF(AND(G4632="RECORDED",ISNUMBER(H4632)),H4632,"")</x:f>
        <x:v>0.21</x:v>
      </x:c>
      <x:c r="P4632" s="34" t="str">
        <x:v>NOT_REVEALING</x:v>
      </x:c>
      <x:c r="Q4632" s="34" t="str">
        <x:v>Feedback-Directed Random Test Generation/Result_Round2/Gson_13/result.json</x:v>
      </x:c>
    </x:row>
    <x:row r="4633">
      <x:c r="A4633" s="34" t="str">
        <x:v>randoop</x:v>
      </x:c>
      <x:c r="B4633" s="34" t="str">
        <x:v>Gson</x:v>
      </x:c>
      <x:c r="C4633" s="34" t="str">
        <x:v>Round2</x:v>
      </x:c>
      <x:c r="D4633" s="34" t="str">
        <x:v>Gson_14</x:v>
      </x:c>
      <x:c r="E4633" s="34" t="str">
        <x:v>Condition</x:v>
      </x:c>
      <x:c r="F4633" s="34" t="n">
        <x:v>190</x:v>
      </x:c>
      <x:c r="G4633" s="34" t="str">
        <x:v>RECORDED</x:v>
      </x:c>
      <x:c r="H4633" s="38" t="n">
        <x:f>IF(ISNUMBER('Data'!I1217),'Data'!I1217*100,"")</x:f>
        <x:v>0</x:v>
      </x:c>
      <x:c r="I4633" s="34" t="str">
        <x:v>PASS</x:v>
      </x:c>
      <x:c r="J4633" s="34" t="str">
        <x:v>PASS</x:v>
      </x:c>
      <x:c r="K4633" s="34" t="str">
        <x:v>PASS</x:v>
      </x:c>
      <x:c r="L4633" s="34" t="str">
        <x:v>PASS</x:v>
      </x:c>
      <x:c r="M4633" s="34" t="str">
        <x:v>numeric coverage for applicable metric</x:v>
      </x:c>
      <x:c r="N4633" s="34" t="str">
        <x:v>Feedback-Directed Random Test Generation/Result_Round2/Gson_14/result.json</x:v>
      </x:c>
      <x:c r="O4633" s="38" t="n">
        <x:f>IF(AND(G4633="RECORDED",ISNUMBER(H4633)),H4633,"")</x:f>
        <x:v>0</x:v>
      </x:c>
      <x:c r="P4633" s="34" t="str">
        <x:v>NOT_REVEALING</x:v>
      </x:c>
      <x:c r="Q4633" s="34" t="str">
        <x:v>Feedback-Directed Random Test Generation/Result_Round2/Gson_14/result.json</x:v>
      </x:c>
    </x:row>
    <x:row r="4634">
      <x:c r="A4634" s="34" t="str">
        <x:v>randoop</x:v>
      </x:c>
      <x:c r="B4634" s="34" t="str">
        <x:v>Gson</x:v>
      </x:c>
      <x:c r="C4634" s="34" t="str">
        <x:v>Round2</x:v>
      </x:c>
      <x:c r="D4634" s="34" t="str">
        <x:v>Gson_15</x:v>
      </x:c>
      <x:c r="E4634" s="34" t="str">
        <x:v>Condition</x:v>
      </x:c>
      <x:c r="F4634" s="34" t="n">
        <x:v>92</x:v>
      </x:c>
      <x:c r="G4634" s="34" t="str">
        <x:v>RECORDED</x:v>
      </x:c>
      <x:c r="H4634" s="38" t="n">
        <x:f>IF(ISNUMBER('Data'!I1218),'Data'!I1218*100,"")</x:f>
        <x:v>2.17</x:v>
      </x:c>
      <x:c r="I4634" s="34" t="str">
        <x:v>PASS</x:v>
      </x:c>
      <x:c r="J4634" s="34" t="str">
        <x:v>PASS</x:v>
      </x:c>
      <x:c r="K4634" s="34" t="str">
        <x:v>PASS</x:v>
      </x:c>
      <x:c r="L4634" s="34" t="str">
        <x:v>PASS</x:v>
      </x:c>
      <x:c r="M4634" s="34" t="str">
        <x:v>numeric coverage for applicable metric</x:v>
      </x:c>
      <x:c r="N4634" s="34" t="str">
        <x:v>Feedback-Directed Random Test Generation/Result_Round2/Gson_15/result.json</x:v>
      </x:c>
      <x:c r="O4634" s="38" t="n">
        <x:f>IF(AND(G4634="RECORDED",ISNUMBER(H4634)),H4634,"")</x:f>
        <x:v>2.17</x:v>
      </x:c>
      <x:c r="P4634" s="34" t="str">
        <x:v>NOT_REVEALING</x:v>
      </x:c>
      <x:c r="Q4634" s="34" t="str">
        <x:v>Feedback-Directed Random Test Generation/Result_Round2/Gson_15/result.json</x:v>
      </x:c>
    </x:row>
    <x:row r="4635">
      <x:c r="A4635" s="34" t="str">
        <x:v>randoop</x:v>
      </x:c>
      <x:c r="B4635" s="34" t="str">
        <x:v>Gson</x:v>
      </x:c>
      <x:c r="C4635" s="34" t="str">
        <x:v>Round2</x:v>
      </x:c>
      <x:c r="D4635" s="34" t="str">
        <x:v>Gson_16</x:v>
      </x:c>
      <x:c r="E4635" s="34" t="str">
        <x:v>Condition</x:v>
      </x:c>
      <x:c r="F4635" s="34" t="n">
        <x:v>194</x:v>
      </x:c>
      <x:c r="G4635" s="34" t="str">
        <x:v>RECORDED</x:v>
      </x:c>
      <x:c r="H4635" s="38" t="n">
        <x:f>IF(ISNUMBER('Data'!I1219),'Data'!I1219*100,"")</x:f>
        <x:v>0</x:v>
      </x:c>
      <x:c r="I4635" s="34" t="str">
        <x:v>PASS</x:v>
      </x:c>
      <x:c r="J4635" s="34" t="str">
        <x:v>PASS</x:v>
      </x:c>
      <x:c r="K4635" s="34" t="str">
        <x:v>PASS</x:v>
      </x:c>
      <x:c r="L4635" s="34" t="str">
        <x:v>PASS</x:v>
      </x:c>
      <x:c r="M4635" s="34" t="str">
        <x:v>numeric coverage for applicable metric</x:v>
      </x:c>
      <x:c r="N4635" s="34" t="str">
        <x:v>Feedback-Directed Random Test Generation/Result_Round2/Gson_16/result.json</x:v>
      </x:c>
      <x:c r="O4635" s="38" t="n">
        <x:f>IF(AND(G4635="RECORDED",ISNUMBER(H4635)),H4635,"")</x:f>
        <x:v>0</x:v>
      </x:c>
      <x:c r="P4635" s="34" t="str">
        <x:v>NOT_REVEALING</x:v>
      </x:c>
      <x:c r="Q4635" s="34" t="str">
        <x:v>Feedback-Directed Random Test Generation/Result_Round2/Gson_16/result.json</x:v>
      </x:c>
    </x:row>
    <x:row r="4636">
      <x:c r="A4636" s="34" t="str">
        <x:v>randoop</x:v>
      </x:c>
      <x:c r="B4636" s="34" t="str">
        <x:v>Gson</x:v>
      </x:c>
      <x:c r="C4636" s="34" t="str">
        <x:v>Round2</x:v>
      </x:c>
      <x:c r="D4636" s="34" t="str">
        <x:v>Gson_17</x:v>
      </x:c>
      <x:c r="E4636" s="34" t="str">
        <x:v>Condition</x:v>
      </x:c>
      <x:c r="F4636" s="34" t="n">
        <x:v>16</x:v>
      </x:c>
      <x:c r="G4636" s="34" t="str">
        <x:v>RECORDED</x:v>
      </x:c>
      <x:c r="H4636" s="38" t="n">
        <x:f>IF(ISNUMBER('Data'!I1220),'Data'!I1220*100,"")</x:f>
        <x:v>18.75</x:v>
      </x:c>
      <x:c r="I4636" s="34" t="str">
        <x:v>PASS</x:v>
      </x:c>
      <x:c r="J4636" s="34" t="str">
        <x:v>PASS</x:v>
      </x:c>
      <x:c r="K4636" s="34" t="str">
        <x:v>PASS</x:v>
      </x:c>
      <x:c r="L4636" s="34" t="str">
        <x:v>FAIL</x:v>
      </x:c>
      <x:c r="M4636" s="34" t="str">
        <x:v>numeric coverage for applicable metric</x:v>
      </x:c>
      <x:c r="N4636" s="34" t="str">
        <x:v>Feedback-Directed Random Test Generation/Result_Round2/Gson_17/result.json</x:v>
      </x:c>
      <x:c r="O4636" s="38" t="n">
        <x:f>IF(AND(G4636="RECORDED",ISNUMBER(H4636)),H4636,"")</x:f>
        <x:v>18.75</x:v>
      </x:c>
      <x:c r="P4636" s="34" t="str">
        <x:v>INCONCLUSIVE</x:v>
      </x:c>
      <x:c r="Q4636" s="34" t="str">
        <x:v>Feedback-Directed Random Test Generation/Result_Round2/Gson_17/result.json</x:v>
      </x:c>
    </x:row>
    <x:row r="4637">
      <x:c r="A4637" s="34" t="str">
        <x:v>randoop</x:v>
      </x:c>
      <x:c r="B4637" s="34" t="str">
        <x:v>Gson</x:v>
      </x:c>
      <x:c r="C4637" s="34" t="str">
        <x:v>Round2</x:v>
      </x:c>
      <x:c r="D4637" s="34" t="str">
        <x:v>Gson_18</x:v>
      </x:c>
      <x:c r="E4637" s="34" t="str">
        <x:v>Condition</x:v>
      </x:c>
      <x:c r="F4637" s="34" t="n">
        <x:v>196</x:v>
      </x:c>
      <x:c r="G4637" s="34" t="str">
        <x:v>RECORDED</x:v>
      </x:c>
      <x:c r="H4637" s="38" t="n">
        <x:f>IF(ISNUMBER('Data'!I1221),'Data'!I1221*100,"")</x:f>
        <x:v>0</x:v>
      </x:c>
      <x:c r="I4637" s="34" t="str">
        <x:v>PASS</x:v>
      </x:c>
      <x:c r="J4637" s="34" t="str">
        <x:v>PASS</x:v>
      </x:c>
      <x:c r="K4637" s="34" t="str">
        <x:v>PASS</x:v>
      </x:c>
      <x:c r="L4637" s="34" t="str">
        <x:v>PASS</x:v>
      </x:c>
      <x:c r="M4637" s="34" t="str">
        <x:v>numeric coverage for applicable metric</x:v>
      </x:c>
      <x:c r="N4637" s="34" t="str">
        <x:v>Feedback-Directed Random Test Generation/Result_Round2/Gson_18/result.json</x:v>
      </x:c>
      <x:c r="O4637" s="38" t="n">
        <x:f>IF(AND(G4637="RECORDED",ISNUMBER(H4637)),H4637,"")</x:f>
        <x:v>0</x:v>
      </x:c>
      <x:c r="P4637" s="34" t="str">
        <x:v>NOT_REVEALING</x:v>
      </x:c>
      <x:c r="Q4637" s="34" t="str">
        <x:v>Feedback-Directed Random Test Generation/Result_Round2/Gson_18/result.json</x:v>
      </x:c>
    </x:row>
    <x:row r="4638">
      <x:c r="A4638" s="34" t="str">
        <x:v>randoop</x:v>
      </x:c>
      <x:c r="B4638" s="34" t="str">
        <x:v>JacksonCore</x:v>
      </x:c>
      <x:c r="C4638" s="34" t="str">
        <x:v>Round2</x:v>
      </x:c>
      <x:c r="D4638" s="34" t="str">
        <x:v>JacksonCore_1</x:v>
      </x:c>
      <x:c r="E4638" s="34" t="str">
        <x:v>Condition</x:v>
      </x:c>
      <x:c r="F4638" s="34" t="n">
        <x:v>238</x:v>
      </x:c>
      <x:c r="G4638" s="34" t="str">
        <x:v>RECORDED</x:v>
      </x:c>
      <x:c r="H4638" s="38" t="n">
        <x:f>IF(ISNUMBER('Data'!I1222),'Data'!I1222*100,"")</x:f>
        <x:v>64.71</x:v>
      </x:c>
      <x:c r="I4638" s="34" t="str">
        <x:v>PASS</x:v>
      </x:c>
      <x:c r="J4638" s="34" t="str">
        <x:v>PASS</x:v>
      </x:c>
      <x:c r="K4638" s="34" t="str">
        <x:v>PASS</x:v>
      </x:c>
      <x:c r="L4638" s="34" t="str">
        <x:v>PASS</x:v>
      </x:c>
      <x:c r="M4638" s="34" t="str">
        <x:v>numeric coverage for applicable metric</x:v>
      </x:c>
      <x:c r="N4638" s="34" t="str">
        <x:v>Feedback-Directed Random Test Generation/Result_Round2/JacksonCore_1/result.json</x:v>
      </x:c>
      <x:c r="O4638" s="38" t="n">
        <x:f>IF(AND(G4638="RECORDED",ISNUMBER(H4638)),H4638,"")</x:f>
        <x:v>64.71</x:v>
      </x:c>
      <x:c r="P4638" s="34" t="str">
        <x:v>INCONCLUSIVE</x:v>
      </x:c>
      <x:c r="Q4638" s="34" t="str">
        <x:v>Feedback-Directed Random Test Generation/Result_Round2/JacksonCore_1/result.json</x:v>
      </x:c>
    </x:row>
    <x:row r="4639">
      <x:c r="A4639" s="34" t="str">
        <x:v>randoop</x:v>
      </x:c>
      <x:c r="B4639" s="34" t="str">
        <x:v>JacksonCore</x:v>
      </x:c>
      <x:c r="C4639" s="34" t="str">
        <x:v>Round2</x:v>
      </x:c>
      <x:c r="D4639" s="34" t="str">
        <x:v>JacksonCore_2</x:v>
      </x:c>
      <x:c r="E4639" s="34" t="str">
        <x:v>Condition</x:v>
      </x:c>
      <x:c r="F4639" s="34" t="n">
        <x:v>1698</x:v>
      </x:c>
      <x:c r="G4639" s="34" t="str">
        <x:v>RECORDED</x:v>
      </x:c>
      <x:c r="H4639" s="38" t="n">
        <x:f>IF(ISNUMBER('Data'!I1223),'Data'!I1223*100,"")</x:f>
        <x:v>0.12</x:v>
      </x:c>
      <x:c r="I4639" s="34" t="str">
        <x:v>PASS</x:v>
      </x:c>
      <x:c r="J4639" s="34" t="str">
        <x:v>PASS</x:v>
      </x:c>
      <x:c r="K4639" s="34" t="str">
        <x:v>PASS</x:v>
      </x:c>
      <x:c r="L4639" s="34" t="str">
        <x:v>PASS</x:v>
      </x:c>
      <x:c r="M4639" s="34" t="str">
        <x:v>numeric coverage for applicable metric</x:v>
      </x:c>
      <x:c r="N4639" s="34" t="str">
        <x:v>Feedback-Directed Random Test Generation/Result_Round2/JacksonCore_2/result.json</x:v>
      </x:c>
      <x:c r="O4639" s="38" t="n">
        <x:f>IF(AND(G4639="RECORDED",ISNUMBER(H4639)),H4639,"")</x:f>
        <x:v>0.12</x:v>
      </x:c>
      <x:c r="P4639" s="34" t="str">
        <x:v>NOT_REVEALING</x:v>
      </x:c>
      <x:c r="Q4639" s="34" t="str">
        <x:v>Feedback-Directed Random Test Generation/Result_Round2/JacksonCore_2/result.json</x:v>
      </x:c>
    </x:row>
    <x:row r="4640">
      <x:c r="A4640" s="34" t="str">
        <x:v>randoop</x:v>
      </x:c>
      <x:c r="B4640" s="34" t="str">
        <x:v>JacksonCore</x:v>
      </x:c>
      <x:c r="C4640" s="34" t="str">
        <x:v>Round2</x:v>
      </x:c>
      <x:c r="D4640" s="34" t="str">
        <x:v>JacksonCore_3</x:v>
      </x:c>
      <x:c r="E4640" s="34" t="str">
        <x:v>Condition</x:v>
      </x:c>
      <x:c r="F4640" s="34" t="n">
        <x:v>1016</x:v>
      </x:c>
      <x:c r="G4640" s="34" t="str">
        <x:v>RECORDED</x:v>
      </x:c>
      <x:c r="H4640" s="38" t="n">
        <x:f>IF(ISNUMBER('Data'!I1224),'Data'!I1224*100,"")</x:f>
        <x:v>0.2</x:v>
      </x:c>
      <x:c r="I4640" s="34" t="str">
        <x:v>PASS</x:v>
      </x:c>
      <x:c r="J4640" s="34" t="str">
        <x:v>PASS</x:v>
      </x:c>
      <x:c r="K4640" s="34" t="str">
        <x:v>PASS</x:v>
      </x:c>
      <x:c r="L4640" s="34" t="str">
        <x:v>PASS</x:v>
      </x:c>
      <x:c r="M4640" s="34" t="str">
        <x:v>numeric coverage for applicable metric</x:v>
      </x:c>
      <x:c r="N4640" s="34" t="str">
        <x:v>Feedback-Directed Random Test Generation/Result_Round2/JacksonCore_3/result.json</x:v>
      </x:c>
      <x:c r="O4640" s="38" t="n">
        <x:f>IF(AND(G4640="RECORDED",ISNUMBER(H4640)),H4640,"")</x:f>
        <x:v>0.2</x:v>
      </x:c>
      <x:c r="P4640" s="34" t="str">
        <x:v>NOT_REVEALING</x:v>
      </x:c>
      <x:c r="Q4640" s="34" t="str">
        <x:v>Feedback-Directed Random Test Generation/Result_Round2/JacksonCore_3/result.json</x:v>
      </x:c>
    </x:row>
    <x:row r="4641">
      <x:c r="A4641" s="34" t="str">
        <x:v>randoop</x:v>
      </x:c>
      <x:c r="B4641" s="34" t="str">
        <x:v>JacksonCore</x:v>
      </x:c>
      <x:c r="C4641" s="34" t="str">
        <x:v>Round2</x:v>
      </x:c>
      <x:c r="D4641" s="34" t="str">
        <x:v>JacksonCore_4</x:v>
      </x:c>
      <x:c r="E4641" s="34" t="str">
        <x:v>Condition</x:v>
      </x:c>
      <x:c r="F4641" s="34" t="n">
        <x:v>134</x:v>
      </x:c>
      <x:c r="G4641" s="34" t="str">
        <x:v>RECORDED</x:v>
      </x:c>
      <x:c r="H4641" s="38" t="n">
        <x:f>IF(ISNUMBER('Data'!I1225),'Data'!I1225*100,"")</x:f>
        <x:v>79.1</x:v>
      </x:c>
      <x:c r="I4641" s="34" t="str">
        <x:v>PASS</x:v>
      </x:c>
      <x:c r="J4641" s="34" t="str">
        <x:v>PASS</x:v>
      </x:c>
      <x:c r="K4641" s="34" t="str">
        <x:v>PASS</x:v>
      </x:c>
      <x:c r="L4641" s="34" t="str">
        <x:v>PASS</x:v>
      </x:c>
      <x:c r="M4641" s="34" t="str">
        <x:v>numeric coverage for applicable metric</x:v>
      </x:c>
      <x:c r="N4641" s="34" t="str">
        <x:v>Feedback-Directed Random Test Generation/Result_Round2/JacksonCore_4/result.json</x:v>
      </x:c>
      <x:c r="O4641" s="38" t="n">
        <x:f>IF(AND(G4641="RECORDED",ISNUMBER(H4641)),H4641,"")</x:f>
        <x:v>79.1</x:v>
      </x:c>
      <x:c r="P4641" s="34" t="str">
        <x:v>NOT_REVEALING</x:v>
      </x:c>
      <x:c r="Q4641" s="34" t="str">
        <x:v>Feedback-Directed Random Test Generation/Result_Round2/JacksonCore_4/result.json</x:v>
      </x:c>
    </x:row>
    <x:row r="4642">
      <x:c r="A4642" s="34" t="str">
        <x:v>randoop</x:v>
      </x:c>
      <x:c r="B4642" s="34" t="str">
        <x:v>JacksonCore</x:v>
      </x:c>
      <x:c r="C4642" s="34" t="str">
        <x:v>Round2</x:v>
      </x:c>
      <x:c r="D4642" s="34" t="str">
        <x:v>JacksonCore_5</x:v>
      </x:c>
      <x:c r="E4642" s="34" t="str">
        <x:v>Condition</x:v>
      </x:c>
      <x:c r="F4642" s="34" t="n">
        <x:v>62</x:v>
      </x:c>
      <x:c r="G4642" s="34" t="str">
        <x:v>RECORDED</x:v>
      </x:c>
      <x:c r="H4642" s="38" t="n">
        <x:f>IF(ISNUMBER('Data'!I1226),'Data'!I1226*100,"")</x:f>
        <x:v>64.52</x:v>
      </x:c>
      <x:c r="I4642" s="34" t="str">
        <x:v>PASS</x:v>
      </x:c>
      <x:c r="J4642" s="34" t="str">
        <x:v>PASS</x:v>
      </x:c>
      <x:c r="K4642" s="34" t="str">
        <x:v>PASS</x:v>
      </x:c>
      <x:c r="L4642" s="34" t="str">
        <x:v>PASS</x:v>
      </x:c>
      <x:c r="M4642" s="34" t="str">
        <x:v>numeric coverage for applicable metric</x:v>
      </x:c>
      <x:c r="N4642" s="34" t="str">
        <x:v>Feedback-Directed Random Test Generation/Result_Round2/JacksonCore_5/result.json</x:v>
      </x:c>
      <x:c r="O4642" s="38" t="n">
        <x:f>IF(AND(G4642="RECORDED",ISNUMBER(H4642)),H4642,"")</x:f>
        <x:v>64.52</x:v>
      </x:c>
      <x:c r="P4642" s="34" t="str">
        <x:v>NOT_REVEALING</x:v>
      </x:c>
      <x:c r="Q4642" s="34" t="str">
        <x:v>Feedback-Directed Random Test Generation/Result_Round2/JacksonCore_5/result.json</x:v>
      </x:c>
    </x:row>
    <x:row r="4643">
      <x:c r="A4643" s="34" t="str">
        <x:v>randoop</x:v>
      </x:c>
      <x:c r="B4643" s="34" t="str">
        <x:v>JacksonCore</x:v>
      </x:c>
      <x:c r="C4643" s="34" t="str">
        <x:v>Round2</x:v>
      </x:c>
      <x:c r="D4643" s="34" t="str">
        <x:v>JacksonCore_6</x:v>
      </x:c>
      <x:c r="E4643" s="34" t="str">
        <x:v>Condition</x:v>
      </x:c>
      <x:c r="F4643" s="34" t="n">
        <x:v>62</x:v>
      </x:c>
      <x:c r="G4643" s="34" t="str">
        <x:v>RECORDED</x:v>
      </x:c>
      <x:c r="H4643" s="38" t="n">
        <x:f>IF(ISNUMBER('Data'!I1227),'Data'!I1227*100,"")</x:f>
        <x:v>64.52</x:v>
      </x:c>
      <x:c r="I4643" s="34" t="str">
        <x:v>PASS</x:v>
      </x:c>
      <x:c r="J4643" s="34" t="str">
        <x:v>PASS</x:v>
      </x:c>
      <x:c r="K4643" s="34" t="str">
        <x:v>PASS</x:v>
      </x:c>
      <x:c r="L4643" s="34" t="str">
        <x:v>PASS</x:v>
      </x:c>
      <x:c r="M4643" s="34" t="str">
        <x:v>numeric coverage for applicable metric</x:v>
      </x:c>
      <x:c r="N4643" s="34" t="str">
        <x:v>Feedback-Directed Random Test Generation/Result_Round2/JacksonCore_6/result.json</x:v>
      </x:c>
      <x:c r="O4643" s="38" t="n">
        <x:f>IF(AND(G4643="RECORDED",ISNUMBER(H4643)),H4643,"")</x:f>
        <x:v>64.52</x:v>
      </x:c>
      <x:c r="P4643" s="34" t="str">
        <x:v>NOT_REVEALING</x:v>
      </x:c>
      <x:c r="Q4643" s="34" t="str">
        <x:v>Feedback-Directed Random Test Generation/Result_Round2/JacksonCore_6/result.json</x:v>
      </x:c>
    </x:row>
    <x:row r="4644">
      <x:c r="A4644" s="34" t="str">
        <x:v>randoop</x:v>
      </x:c>
      <x:c r="B4644" s="34" t="str">
        <x:v>JacksonCore</x:v>
      </x:c>
      <x:c r="C4644" s="34" t="str">
        <x:v>Round2</x:v>
      </x:c>
      <x:c r="D4644" s="34" t="str">
        <x:v>JacksonCore_7</x:v>
      </x:c>
      <x:c r="E4644" s="34" t="str">
        <x:v>Condition</x:v>
      </x:c>
      <x:c r="F4644" s="34" t="n">
        <x:v>32</x:v>
      </x:c>
      <x:c r="G4644" s="34" t="str">
        <x:v>RECORDED</x:v>
      </x:c>
      <x:c r="H4644" s="38" t="n">
        <x:f>IF(ISNUMBER('Data'!I1228),'Data'!I1228*100,"")</x:f>
        <x:v>6.25</x:v>
      </x:c>
      <x:c r="I4644" s="34" t="str">
        <x:v>PASS</x:v>
      </x:c>
      <x:c r="J4644" s="34" t="str">
        <x:v>PASS</x:v>
      </x:c>
      <x:c r="K4644" s="34" t="str">
        <x:v>PASS</x:v>
      </x:c>
      <x:c r="L4644" s="34" t="str">
        <x:v>PASS</x:v>
      </x:c>
      <x:c r="M4644" s="34" t="str">
        <x:v>numeric coverage for applicable metric</x:v>
      </x:c>
      <x:c r="N4644" s="34" t="str">
        <x:v>Feedback-Directed Random Test Generation/Result_Round2/JacksonCore_7/result.json</x:v>
      </x:c>
      <x:c r="O4644" s="38" t="n">
        <x:f>IF(AND(G4644="RECORDED",ISNUMBER(H4644)),H4644,"")</x:f>
        <x:v>6.25</x:v>
      </x:c>
      <x:c r="P4644" s="34" t="str">
        <x:v>INCONCLUSIVE</x:v>
      </x:c>
      <x:c r="Q4644" s="34" t="str">
        <x:v>Feedback-Directed Random Test Generation/Result_Round2/JacksonCore_7/result.json</x:v>
      </x:c>
    </x:row>
    <x:row r="4645">
      <x:c r="A4645" s="34" t="str">
        <x:v>randoop</x:v>
      </x:c>
      <x:c r="B4645" s="34" t="str">
        <x:v>JacksonCore</x:v>
      </x:c>
      <x:c r="C4645" s="34" t="str">
        <x:v>Round2</x:v>
      </x:c>
      <x:c r="D4645" s="34" t="str">
        <x:v>JacksonCore_8</x:v>
      </x:c>
      <x:c r="E4645" s="34" t="str">
        <x:v>Condition</x:v>
      </x:c>
      <x:c r="F4645" s="34" t="n">
        <x:v>138</x:v>
      </x:c>
      <x:c r="G4645" s="34" t="str">
        <x:v>RECORDED</x:v>
      </x:c>
      <x:c r="H4645" s="38" t="n">
        <x:f>IF(ISNUMBER('Data'!I1229),'Data'!I1229*100,"")</x:f>
        <x:v>73.19</x:v>
      </x:c>
      <x:c r="I4645" s="34" t="str">
        <x:v>PASS</x:v>
      </x:c>
      <x:c r="J4645" s="34" t="str">
        <x:v>PASS</x:v>
      </x:c>
      <x:c r="K4645" s="34" t="str">
        <x:v>PASS</x:v>
      </x:c>
      <x:c r="L4645" s="34" t="str">
        <x:v>PASS</x:v>
      </x:c>
      <x:c r="M4645" s="34" t="str">
        <x:v>numeric coverage for applicable metric</x:v>
      </x:c>
      <x:c r="N4645" s="34" t="str">
        <x:v>Feedback-Directed Random Test Generation/Result_Round2/JacksonCore_8/result.json</x:v>
      </x:c>
      <x:c r="O4645" s="38" t="n">
        <x:f>IF(AND(G4645="RECORDED",ISNUMBER(H4645)),H4645,"")</x:f>
        <x:v>73.19</x:v>
      </x:c>
      <x:c r="P4645" s="34" t="str">
        <x:v>INCONCLUSIVE</x:v>
      </x:c>
      <x:c r="Q4645" s="34" t="str">
        <x:v>Feedback-Directed Random Test Generation/Result_Round2/JacksonCore_8/result.json</x:v>
      </x:c>
    </x:row>
    <x:row r="4646">
      <x:c r="A4646" s="34" t="str">
        <x:v>randoop</x:v>
      </x:c>
      <x:c r="B4646" s="34" t="str">
        <x:v>JacksonCore</x:v>
      </x:c>
      <x:c r="C4646" s="34" t="str">
        <x:v>Round2</x:v>
      </x:c>
      <x:c r="D4646" s="34" t="str">
        <x:v>JacksonCore_9</x:v>
      </x:c>
      <x:c r="E4646" s="34" t="str">
        <x:v>Condition</x:v>
      </x:c>
      <x:c r="F4646" s="34" t="n">
        <x:v>2257</x:v>
      </x:c>
      <x:c r="G4646" s="34" t="str">
        <x:v>RECORDED</x:v>
      </x:c>
      <x:c r="H4646" s="38" t="n">
        <x:f>IF(ISNUMBER('Data'!I1230),'Data'!I1230*100,"")</x:f>
        <x:v>0.09</x:v>
      </x:c>
      <x:c r="I4646" s="34" t="str">
        <x:v>PASS</x:v>
      </x:c>
      <x:c r="J4646" s="34" t="str">
        <x:v>PASS</x:v>
      </x:c>
      <x:c r="K4646" s="34" t="str">
        <x:v>PASS</x:v>
      </x:c>
      <x:c r="L4646" s="34" t="str">
        <x:v>PASS</x:v>
      </x:c>
      <x:c r="M4646" s="34" t="str">
        <x:v>numeric coverage for applicable metric</x:v>
      </x:c>
      <x:c r="N4646" s="34" t="str">
        <x:v>Feedback-Directed Random Test Generation/Result_Round2/JacksonCore_9/result.json</x:v>
      </x:c>
      <x:c r="O4646" s="38" t="n">
        <x:f>IF(AND(G4646="RECORDED",ISNUMBER(H4646)),H4646,"")</x:f>
        <x:v>0.09</x:v>
      </x:c>
      <x:c r="P4646" s="34" t="str">
        <x:v>NOT_REVEALING</x:v>
      </x:c>
      <x:c r="Q4646" s="34" t="str">
        <x:v>Feedback-Directed Random Test Generation/Result_Round2/JacksonCore_9/result.json</x:v>
      </x:c>
    </x:row>
    <x:row r="4647">
      <x:c r="A4647" s="34" t="str">
        <x:v>randoop</x:v>
      </x:c>
      <x:c r="B4647" s="34" t="str">
        <x:v>JacksonCore</x:v>
      </x:c>
      <x:c r="C4647" s="34" t="str">
        <x:v>Round2</x:v>
      </x:c>
      <x:c r="D4647" s="34" t="str">
        <x:v>JacksonCore_10</x:v>
      </x:c>
      <x:c r="E4647" s="34" t="str">
        <x:v>Condition</x:v>
      </x:c>
      <x:c r="F4647" s="34" t="n">
        <x:v>266</x:v>
      </x:c>
      <x:c r="G4647" s="34" t="str">
        <x:v>RECORDED</x:v>
      </x:c>
      <x:c r="H4647" s="38" t="n">
        <x:f>IF(ISNUMBER('Data'!I1231),'Data'!I1231*100,"")</x:f>
        <x:v>22.93</x:v>
      </x:c>
      <x:c r="I4647" s="34" t="str">
        <x:v>PASS</x:v>
      </x:c>
      <x:c r="J4647" s="34" t="str">
        <x:v>PASS</x:v>
      </x:c>
      <x:c r="K4647" s="34" t="str">
        <x:v>PASS</x:v>
      </x:c>
      <x:c r="L4647" s="34" t="str">
        <x:v>FAIL</x:v>
      </x:c>
      <x:c r="M4647" s="34" t="str">
        <x:v>numeric coverage for applicable metric</x:v>
      </x:c>
      <x:c r="N4647" s="34" t="str">
        <x:v>Feedback-Directed Random Test Generation/Result_Round2/JacksonCore_10/result.json</x:v>
      </x:c>
      <x:c r="O4647" s="38" t="n">
        <x:f>IF(AND(G4647="RECORDED",ISNUMBER(H4647)),H4647,"")</x:f>
        <x:v>22.93</x:v>
      </x:c>
      <x:c r="P4647" s="34" t="str">
        <x:v>INCONCLUSIVE</x:v>
      </x:c>
      <x:c r="Q4647" s="34" t="str">
        <x:v>Feedback-Directed Random Test Generation/Result_Round2/JacksonCore_10/result.json</x:v>
      </x:c>
    </x:row>
    <x:row r="4648">
      <x:c r="A4648" s="34" t="str">
        <x:v>randoop</x:v>
      </x:c>
      <x:c r="B4648" s="34" t="str">
        <x:v>JacksonCore</x:v>
      </x:c>
      <x:c r="C4648" s="34" t="str">
        <x:v>Round2</x:v>
      </x:c>
      <x:c r="D4648" s="34" t="str">
        <x:v>JacksonCore_11</x:v>
      </x:c>
      <x:c r="E4648" s="34" t="str">
        <x:v>Condition</x:v>
      </x:c>
      <x:c r="F4648" s="34" t="n">
        <x:v>268</x:v>
      </x:c>
      <x:c r="G4648" s="34" t="str">
        <x:v>RECORDED</x:v>
      </x:c>
      <x:c r="H4648" s="38" t="n">
        <x:f>IF(ISNUMBER('Data'!I1232),'Data'!I1232*100,"")</x:f>
        <x:v>23.51</x:v>
      </x:c>
      <x:c r="I4648" s="34" t="str">
        <x:v>PASS</x:v>
      </x:c>
      <x:c r="J4648" s="34" t="str">
        <x:v>PASS</x:v>
      </x:c>
      <x:c r="K4648" s="34" t="str">
        <x:v>PASS</x:v>
      </x:c>
      <x:c r="L4648" s="34" t="str">
        <x:v>FAIL</x:v>
      </x:c>
      <x:c r="M4648" s="34" t="str">
        <x:v>numeric coverage for applicable metric</x:v>
      </x:c>
      <x:c r="N4648" s="34" t="str">
        <x:v>Feedback-Directed Random Test Generation/Result_Round2/JacksonCore_11/result.json</x:v>
      </x:c>
      <x:c r="O4648" s="38" t="n">
        <x:f>IF(AND(G4648="RECORDED",ISNUMBER(H4648)),H4648,"")</x:f>
        <x:v>23.51</x:v>
      </x:c>
      <x:c r="P4648" s="34" t="str">
        <x:v>INCONCLUSIVE</x:v>
      </x:c>
      <x:c r="Q4648" s="34" t="str">
        <x:v>Feedback-Directed Random Test Generation/Result_Round2/JacksonCore_11/result.json</x:v>
      </x:c>
    </x:row>
    <x:row r="4649">
      <x:c r="A4649" s="34" t="str">
        <x:v>randoop</x:v>
      </x:c>
      <x:c r="B4649" s="34" t="str">
        <x:v>JacksonCore</x:v>
      </x:c>
      <x:c r="C4649" s="34" t="str">
        <x:v>Round2</x:v>
      </x:c>
      <x:c r="D4649" s="34" t="str">
        <x:v>JacksonCore_12</x:v>
      </x:c>
      <x:c r="E4649" s="34" t="str">
        <x:v>Condition</x:v>
      </x:c>
      <x:c r="F4649" s="34" t="n">
        <x:v>2258</x:v>
      </x:c>
      <x:c r="G4649" s="34" t="str">
        <x:v>RECORDED</x:v>
      </x:c>
      <x:c r="H4649" s="38" t="n">
        <x:f>IF(ISNUMBER('Data'!I1233),'Data'!I1233*100,"")</x:f>
        <x:v>0.09</x:v>
      </x:c>
      <x:c r="I4649" s="34" t="str">
        <x:v>PASS</x:v>
      </x:c>
      <x:c r="J4649" s="34" t="str">
        <x:v>PASS</x:v>
      </x:c>
      <x:c r="K4649" s="34" t="str">
        <x:v>PASS</x:v>
      </x:c>
      <x:c r="L4649" s="34" t="str">
        <x:v>PASS</x:v>
      </x:c>
      <x:c r="M4649" s="34" t="str">
        <x:v>numeric coverage for applicable metric</x:v>
      </x:c>
      <x:c r="N4649" s="34" t="str">
        <x:v>Feedback-Directed Random Test Generation/Result_Round2/JacksonCore_12/result.json</x:v>
      </x:c>
      <x:c r="O4649" s="38" t="n">
        <x:f>IF(AND(G4649="RECORDED",ISNUMBER(H4649)),H4649,"")</x:f>
        <x:v>0.09</x:v>
      </x:c>
      <x:c r="P4649" s="34" t="str">
        <x:v>NOT_REVEALING</x:v>
      </x:c>
      <x:c r="Q4649" s="34" t="str">
        <x:v>Feedback-Directed Random Test Generation/Result_Round2/JacksonCore_12/result.json</x:v>
      </x:c>
    </x:row>
    <x:row r="4650">
      <x:c r="A4650" s="34" t="str">
        <x:v>randoop</x:v>
      </x:c>
      <x:c r="B4650" s="34" t="str">
        <x:v>JacksonCore</x:v>
      </x:c>
      <x:c r="C4650" s="34" t="str">
        <x:v>Round2</x:v>
      </x:c>
      <x:c r="D4650" s="34" t="str">
        <x:v>JacksonCore_13</x:v>
      </x:c>
      <x:c r="E4650" s="34" t="str">
        <x:v>Condition</x:v>
      </x:c>
      <x:c r="F4650" s="34" t="n">
        <x:v>12</x:v>
      </x:c>
      <x:c r="G4650" s="34" t="str">
        <x:v>RECORDED</x:v>
      </x:c>
      <x:c r="H4650" s="38" t="n">
        <x:f>IF(ISNUMBER('Data'!I1234),'Data'!I1234*100,"")</x:f>
        <x:v>0</x:v>
      </x:c>
      <x:c r="I4650" s="34" t="str">
        <x:v>PASS</x:v>
      </x:c>
      <x:c r="J4650" s="34" t="str">
        <x:v>PASS</x:v>
      </x:c>
      <x:c r="K4650" s="34" t="str">
        <x:v>PASS</x:v>
      </x:c>
      <x:c r="L4650" s="34" t="str">
        <x:v>PASS</x:v>
      </x:c>
      <x:c r="M4650" s="34" t="str">
        <x:v>numeric coverage for applicable metric</x:v>
      </x:c>
      <x:c r="N4650" s="34" t="str">
        <x:v>Feedback-Directed Random Test Generation/Result_Round2/JacksonCore_13/result.json</x:v>
      </x:c>
      <x:c r="O4650" s="38" t="n">
        <x:f>IF(AND(G4650="RECORDED",ISNUMBER(H4650)),H4650,"")</x:f>
        <x:v>0</x:v>
      </x:c>
      <x:c r="P4650" s="34" t="str">
        <x:v>NOT_REVEALING</x:v>
      </x:c>
      <x:c r="Q4650" s="34" t="str">
        <x:v>Feedback-Directed Random Test Generation/Result_Round2/JacksonCore_13/result.json</x:v>
      </x:c>
    </x:row>
    <x:row r="4651">
      <x:c r="A4651" s="34" t="str">
        <x:v>randoop</x:v>
      </x:c>
      <x:c r="B4651" s="34" t="str">
        <x:v>JacksonCore</x:v>
      </x:c>
      <x:c r="C4651" s="34" t="str">
        <x:v>Round2</x:v>
      </x:c>
      <x:c r="D4651" s="34" t="str">
        <x:v>JacksonCore_14</x:v>
      </x:c>
      <x:c r="E4651" s="34" t="str">
        <x:v>Condition</x:v>
      </x:c>
      <x:c r="F4651" s="34" t="n">
        <x:v>22</x:v>
      </x:c>
      <x:c r="G4651" s="34" t="str">
        <x:v>RECORDED</x:v>
      </x:c>
      <x:c r="H4651" s="38" t="n">
        <x:f>IF(ISNUMBER('Data'!I1235),'Data'!I1235*100,"")</x:f>
        <x:v>90.91</x:v>
      </x:c>
      <x:c r="I4651" s="34" t="str">
        <x:v>PASS</x:v>
      </x:c>
      <x:c r="J4651" s="34" t="str">
        <x:v>PASS</x:v>
      </x:c>
      <x:c r="K4651" s="34" t="str">
        <x:v>PASS</x:v>
      </x:c>
      <x:c r="L4651" s="34" t="str">
        <x:v>PASS</x:v>
      </x:c>
      <x:c r="M4651" s="34" t="str">
        <x:v>numeric coverage for applicable metric</x:v>
      </x:c>
      <x:c r="N4651" s="34" t="str">
        <x:v>Feedback-Directed Random Test Generation/Result_Round2/JacksonCore_14/result.json</x:v>
      </x:c>
      <x:c r="O4651" s="38" t="n">
        <x:f>IF(AND(G4651="RECORDED",ISNUMBER(H4651)),H4651,"")</x:f>
        <x:v>90.91</x:v>
      </x:c>
      <x:c r="P4651" s="34" t="str">
        <x:v>INCONCLUSIVE</x:v>
      </x:c>
      <x:c r="Q4651" s="34" t="str">
        <x:v>Feedback-Directed Random Test Generation/Result_Round2/JacksonCore_14/result.json</x:v>
      </x:c>
    </x:row>
    <x:row r="4652">
      <x:c r="A4652" s="34" t="str">
        <x:v>randoop</x:v>
      </x:c>
      <x:c r="B4652" s="34" t="str">
        <x:v>JacksonCore</x:v>
      </x:c>
      <x:c r="C4652" s="34" t="str">
        <x:v>Round2</x:v>
      </x:c>
      <x:c r="D4652" s="34" t="str">
        <x:v>JacksonCore_15</x:v>
      </x:c>
      <x:c r="E4652" s="34" t="str">
        <x:v>Condition</x:v>
      </x:c>
      <x:c r="F4652" s="34" t="n">
        <x:v>251</x:v>
      </x:c>
      <x:c r="G4652" s="34" t="str">
        <x:v>RECORDED</x:v>
      </x:c>
      <x:c r="H4652" s="38" t="n">
        <x:f>IF(ISNUMBER('Data'!I1236),'Data'!I1236*100,"")</x:f>
        <x:v>7.969999999999999</x:v>
      </x:c>
      <x:c r="I4652" s="34" t="str">
        <x:v>PASS</x:v>
      </x:c>
      <x:c r="J4652" s="34" t="str">
        <x:v>PASS</x:v>
      </x:c>
      <x:c r="K4652" s="34" t="str">
        <x:v>PASS</x:v>
      </x:c>
      <x:c r="L4652" s="34" t="str">
        <x:v>PASS</x:v>
      </x:c>
      <x:c r="M4652" s="34" t="str">
        <x:v>numeric coverage for applicable metric</x:v>
      </x:c>
      <x:c r="N4652" s="34" t="str">
        <x:v>Feedback-Directed Random Test Generation/Result_Round2/JacksonCore_15/result.json</x:v>
      </x:c>
      <x:c r="O4652" s="38" t="n">
        <x:f>IF(AND(G4652="RECORDED",ISNUMBER(H4652)),H4652,"")</x:f>
        <x:v>7.969999999999999</x:v>
      </x:c>
      <x:c r="P4652" s="34" t="str">
        <x:v>NOT_REVEALING</x:v>
      </x:c>
      <x:c r="Q4652" s="34" t="str">
        <x:v>Feedback-Directed Random Test Generation/Result_Round2/JacksonCore_15/result.json</x:v>
      </x:c>
    </x:row>
    <x:row r="4653">
      <x:c r="A4653" s="34" t="str">
        <x:v>randoop</x:v>
      </x:c>
      <x:c r="B4653" s="34" t="str">
        <x:v>JacksonCore</x:v>
      </x:c>
      <x:c r="C4653" s="34" t="str">
        <x:v>Round2</x:v>
      </x:c>
      <x:c r="D4653" s="34" t="str">
        <x:v>JacksonCore_16</x:v>
      </x:c>
      <x:c r="E4653" s="34" t="str">
        <x:v>Condition</x:v>
      </x:c>
      <x:c r="F4653" s="34" t="n">
        <x:v>22</x:v>
      </x:c>
      <x:c r="G4653" s="34" t="str">
        <x:v>RECORDED</x:v>
      </x:c>
      <x:c r="H4653" s="38" t="n">
        <x:f>IF(ISNUMBER('Data'!I1237),'Data'!I1237*100,"")</x:f>
        <x:v>59.089999999999996</x:v>
      </x:c>
      <x:c r="I4653" s="34" t="str">
        <x:v>PASS</x:v>
      </x:c>
      <x:c r="J4653" s="34" t="str">
        <x:v>PASS</x:v>
      </x:c>
      <x:c r="K4653" s="34" t="str">
        <x:v>PASS</x:v>
      </x:c>
      <x:c r="L4653" s="34" t="str">
        <x:v>PASS</x:v>
      </x:c>
      <x:c r="M4653" s="34" t="str">
        <x:v>numeric coverage for applicable metric</x:v>
      </x:c>
      <x:c r="N4653" s="34" t="str">
        <x:v>Feedback-Directed Random Test Generation/Result_Round2/JacksonCore_16/result.json</x:v>
      </x:c>
      <x:c r="O4653" s="38" t="n">
        <x:f>IF(AND(G4653="RECORDED",ISNUMBER(H4653)),H4653,"")</x:f>
        <x:v>59.089999999999996</x:v>
      </x:c>
      <x:c r="P4653" s="34" t="str">
        <x:v>INCONCLUSIVE</x:v>
      </x:c>
      <x:c r="Q4653" s="34" t="str">
        <x:v>Feedback-Directed Random Test Generation/Result_Round2/JacksonCore_16/result.json</x:v>
      </x:c>
    </x:row>
    <x:row r="4654">
      <x:c r="A4654" s="34" t="str">
        <x:v>randoop</x:v>
      </x:c>
      <x:c r="B4654" s="34" t="str">
        <x:v>JacksonCore</x:v>
      </x:c>
      <x:c r="C4654" s="34" t="str">
        <x:v>Round2</x:v>
      </x:c>
      <x:c r="D4654" s="34" t="str">
        <x:v>JacksonCore_17</x:v>
      </x:c>
      <x:c r="E4654" s="34" t="str">
        <x:v>Condition</x:v>
      </x:c>
      <x:c r="F4654" s="34" t="n">
        <x:v>523</x:v>
      </x:c>
      <x:c r="G4654" s="34" t="str">
        <x:v>RECORDED</x:v>
      </x:c>
      <x:c r="H4654" s="38" t="n">
        <x:f>IF(ISNUMBER('Data'!I1238),'Data'!I1238*100,"")</x:f>
        <x:v>0</x:v>
      </x:c>
      <x:c r="I4654" s="34" t="str">
        <x:v>PASS</x:v>
      </x:c>
      <x:c r="J4654" s="34" t="str">
        <x:v>PASS</x:v>
      </x:c>
      <x:c r="K4654" s="34" t="str">
        <x:v>PASS</x:v>
      </x:c>
      <x:c r="L4654" s="34" t="str">
        <x:v>PASS</x:v>
      </x:c>
      <x:c r="M4654" s="34" t="str">
        <x:v>numeric coverage for applicable metric</x:v>
      </x:c>
      <x:c r="N4654" s="34" t="str">
        <x:v>Feedback-Directed Random Test Generation/Result_Round2/JacksonCore_17/result.json</x:v>
      </x:c>
      <x:c r="O4654" s="38" t="n">
        <x:f>IF(AND(G4654="RECORDED",ISNUMBER(H4654)),H4654,"")</x:f>
        <x:v>0</x:v>
      </x:c>
      <x:c r="P4654" s="34" t="str">
        <x:v>NOT_REVEALING</x:v>
      </x:c>
      <x:c r="Q4654" s="34" t="str">
        <x:v>Feedback-Directed Random Test Generation/Result_Round2/JacksonCore_17/result.json</x:v>
      </x:c>
    </x:row>
    <x:row r="4655">
      <x:c r="A4655" s="34" t="str">
        <x:v>randoop</x:v>
      </x:c>
      <x:c r="B4655" s="34" t="str">
        <x:v>JacksonCore</x:v>
      </x:c>
      <x:c r="C4655" s="34" t="str">
        <x:v>Round2</x:v>
      </x:c>
      <x:c r="D4655" s="34" t="str">
        <x:v>JacksonCore_18</x:v>
      </x:c>
      <x:c r="E4655" s="34" t="str">
        <x:v>Condition</x:v>
      </x:c>
      <x:c r="F4655" s="34" t="n">
        <x:v>1084</x:v>
      </x:c>
      <x:c r="G4655" s="34" t="str">
        <x:v>RECORDED</x:v>
      </x:c>
      <x:c r="H4655" s="38" t="n">
        <x:f>IF(ISNUMBER('Data'!I1239),'Data'!I1239*100,"")</x:f>
        <x:v>0.18</x:v>
      </x:c>
      <x:c r="I4655" s="34" t="str">
        <x:v>PASS</x:v>
      </x:c>
      <x:c r="J4655" s="34" t="str">
        <x:v>PASS</x:v>
      </x:c>
      <x:c r="K4655" s="34" t="str">
        <x:v>PASS</x:v>
      </x:c>
      <x:c r="L4655" s="34" t="str">
        <x:v>PASS</x:v>
      </x:c>
      <x:c r="M4655" s="34" t="str">
        <x:v>numeric coverage for applicable metric</x:v>
      </x:c>
      <x:c r="N4655" s="34" t="str">
        <x:v>Feedback-Directed Random Test Generation/Result_Round2/JacksonCore_18/result.json</x:v>
      </x:c>
      <x:c r="O4655" s="38" t="n">
        <x:f>IF(AND(G4655="RECORDED",ISNUMBER(H4655)),H4655,"")</x:f>
        <x:v>0.18</x:v>
      </x:c>
      <x:c r="P4655" s="34" t="str">
        <x:v>NOT_REVEALING</x:v>
      </x:c>
      <x:c r="Q4655" s="34" t="str">
        <x:v>Feedback-Directed Random Test Generation/Result_Round2/JacksonCore_18/result.json</x:v>
      </x:c>
    </x:row>
    <x:row r="4656">
      <x:c r="A4656" s="34" t="str">
        <x:v>randoop</x:v>
      </x:c>
      <x:c r="B4656" s="34" t="str">
        <x:v>JacksonCore</x:v>
      </x:c>
      <x:c r="C4656" s="34" t="str">
        <x:v>Round2</x:v>
      </x:c>
      <x:c r="D4656" s="34" t="str">
        <x:v>JacksonCore_19</x:v>
      </x:c>
      <x:c r="E4656" s="34" t="str">
        <x:v>Condition</x:v>
      </x:c>
      <x:c r="F4656" s="34" t="n">
        <x:v>2254</x:v>
      </x:c>
      <x:c r="G4656" s="34" t="str">
        <x:v>RECORDED</x:v>
      </x:c>
      <x:c r="H4656" s="38" t="n">
        <x:f>IF(ISNUMBER('Data'!I1240),'Data'!I1240*100,"")</x:f>
        <x:v>0.09</x:v>
      </x:c>
      <x:c r="I4656" s="34" t="str">
        <x:v>PASS</x:v>
      </x:c>
      <x:c r="J4656" s="34" t="str">
        <x:v>PASS</x:v>
      </x:c>
      <x:c r="K4656" s="34" t="str">
        <x:v>PASS</x:v>
      </x:c>
      <x:c r="L4656" s="34" t="str">
        <x:v>PASS</x:v>
      </x:c>
      <x:c r="M4656" s="34" t="str">
        <x:v>numeric coverage for applicable metric</x:v>
      </x:c>
      <x:c r="N4656" s="34" t="str">
        <x:v>Feedback-Directed Random Test Generation/Result_Round2/JacksonCore_19/result.json</x:v>
      </x:c>
      <x:c r="O4656" s="38" t="n">
        <x:f>IF(AND(G4656="RECORDED",ISNUMBER(H4656)),H4656,"")</x:f>
        <x:v>0.09</x:v>
      </x:c>
      <x:c r="P4656" s="34" t="str">
        <x:v>NOT_REVEALING</x:v>
      </x:c>
      <x:c r="Q4656" s="34" t="str">
        <x:v>Feedback-Directed Random Test Generation/Result_Round2/JacksonCore_19/result.json</x:v>
      </x:c>
    </x:row>
    <x:row r="4657">
      <x:c r="A4657" s="34" t="str">
        <x:v>randoop</x:v>
      </x:c>
      <x:c r="B4657" s="34" t="str">
        <x:v>JacksonCore</x:v>
      </x:c>
      <x:c r="C4657" s="34" t="str">
        <x:v>Round2</x:v>
      </x:c>
      <x:c r="D4657" s="34" t="str">
        <x:v>JacksonCore_20</x:v>
      </x:c>
      <x:c r="E4657" s="34" t="str">
        <x:v>Condition</x:v>
      </x:c>
      <x:c r="F4657" s="34" t="n">
        <x:v>97</x:v>
      </x:c>
      <x:c r="G4657" s="34" t="str">
        <x:v>RECORDED</x:v>
      </x:c>
      <x:c r="H4657" s="38" t="n">
        <x:f>IF(ISNUMBER('Data'!I1241),'Data'!I1241*100,"")</x:f>
        <x:v>6.19</x:v>
      </x:c>
      <x:c r="I4657" s="34" t="str">
        <x:v>PASS</x:v>
      </x:c>
      <x:c r="J4657" s="34" t="str">
        <x:v>PASS</x:v>
      </x:c>
      <x:c r="K4657" s="34" t="str">
        <x:v>PASS</x:v>
      </x:c>
      <x:c r="L4657" s="34" t="str">
        <x:v>PASS</x:v>
      </x:c>
      <x:c r="M4657" s="34" t="str">
        <x:v>numeric coverage for applicable metric</x:v>
      </x:c>
      <x:c r="N4657" s="34" t="str">
        <x:v>Feedback-Directed Random Test Generation/Result_Round2/JacksonCore_20/result.json</x:v>
      </x:c>
      <x:c r="O4657" s="38" t="n">
        <x:f>IF(AND(G4657="RECORDED",ISNUMBER(H4657)),H4657,"")</x:f>
        <x:v>6.19</x:v>
      </x:c>
      <x:c r="P4657" s="34" t="str">
        <x:v>NOT_REVEALING</x:v>
      </x:c>
      <x:c r="Q4657" s="34" t="str">
        <x:v>Feedback-Directed Random Test Generation/Result_Round2/JacksonCore_20/result.json</x:v>
      </x:c>
    </x:row>
    <x:row r="4658">
      <x:c r="A4658" s="34" t="str">
        <x:v>randoop</x:v>
      </x:c>
      <x:c r="B4658" s="34" t="str">
        <x:v>JacksonCore</x:v>
      </x:c>
      <x:c r="C4658" s="34" t="str">
        <x:v>Round2</x:v>
      </x:c>
      <x:c r="D4658" s="34" t="str">
        <x:v>JacksonCore_21</x:v>
      </x:c>
      <x:c r="E4658" s="34" t="str">
        <x:v>Condition</x:v>
      </x:c>
      <x:c r="F4658" s="34" t="n">
        <x:v>269</x:v>
      </x:c>
      <x:c r="G4658" s="34" t="str">
        <x:v>RECORDED</x:v>
      </x:c>
      <x:c r="H4658" s="38" t="n">
        <x:f>IF(ISNUMBER('Data'!I1242),'Data'!I1242*100,"")</x:f>
        <x:v>8.92</x:v>
      </x:c>
      <x:c r="I4658" s="34" t="str">
        <x:v>PASS</x:v>
      </x:c>
      <x:c r="J4658" s="34" t="str">
        <x:v>PASS</x:v>
      </x:c>
      <x:c r="K4658" s="34" t="str">
        <x:v>PASS</x:v>
      </x:c>
      <x:c r="L4658" s="34" t="str">
        <x:v>PASS</x:v>
      </x:c>
      <x:c r="M4658" s="34" t="str">
        <x:v>numeric coverage for applicable metric</x:v>
      </x:c>
      <x:c r="N4658" s="34" t="str">
        <x:v>Feedback-Directed Random Test Generation/Result_Round2/JacksonCore_21/result.json</x:v>
      </x:c>
      <x:c r="O4658" s="38" t="n">
        <x:f>IF(AND(G4658="RECORDED",ISNUMBER(H4658)),H4658,"")</x:f>
        <x:v>8.92</x:v>
      </x:c>
      <x:c r="P4658" s="34" t="str">
        <x:v>NOT_REVEALING</x:v>
      </x:c>
      <x:c r="Q4658" s="34" t="str">
        <x:v>Feedback-Directed Random Test Generation/Result_Round2/JacksonCore_21/result.json</x:v>
      </x:c>
    </x:row>
    <x:row r="4659">
      <x:c r="A4659" s="34" t="str">
        <x:v>randoop</x:v>
      </x:c>
      <x:c r="B4659" s="34" t="str">
        <x:v>JacksonCore</x:v>
      </x:c>
      <x:c r="C4659" s="34" t="str">
        <x:v>Round2</x:v>
      </x:c>
      <x:c r="D4659" s="34" t="str">
        <x:v>JacksonCore_22</x:v>
      </x:c>
      <x:c r="E4659" s="34" t="str">
        <x:v>Condition</x:v>
      </x:c>
      <x:c r="F4659" s="34" t="n">
        <x:v>267</x:v>
      </x:c>
      <x:c r="G4659" s="34" t="str">
        <x:v>RECORDED</x:v>
      </x:c>
      <x:c r="H4659" s="38" t="n">
        <x:f>IF(ISNUMBER('Data'!I1243),'Data'!I1243*100,"")</x:f>
        <x:v>8.99</x:v>
      </x:c>
      <x:c r="I4659" s="34" t="str">
        <x:v>PASS</x:v>
      </x:c>
      <x:c r="J4659" s="34" t="str">
        <x:v>PASS</x:v>
      </x:c>
      <x:c r="K4659" s="34" t="str">
        <x:v>PASS</x:v>
      </x:c>
      <x:c r="L4659" s="34" t="str">
        <x:v>PASS</x:v>
      </x:c>
      <x:c r="M4659" s="34" t="str">
        <x:v>numeric coverage for applicable metric</x:v>
      </x:c>
      <x:c r="N4659" s="34" t="str">
        <x:v>Feedback-Directed Random Test Generation/Result_Round2/JacksonCore_22/result.json</x:v>
      </x:c>
      <x:c r="O4659" s="38" t="n">
        <x:f>IF(AND(G4659="RECORDED",ISNUMBER(H4659)),H4659,"")</x:f>
        <x:v>8.99</x:v>
      </x:c>
      <x:c r="P4659" s="34" t="str">
        <x:v>NOT_REVEALING</x:v>
      </x:c>
      <x:c r="Q4659" s="34" t="str">
        <x:v>Feedback-Directed Random Test Generation/Result_Round2/JacksonCore_22/result.json</x:v>
      </x:c>
    </x:row>
    <x:row r="4660">
      <x:c r="A4660" s="34" t="str">
        <x:v>randoop</x:v>
      </x:c>
      <x:c r="B4660" s="34" t="str">
        <x:v>JacksonCore</x:v>
      </x:c>
      <x:c r="C4660" s="34" t="str">
        <x:v>Round2</x:v>
      </x:c>
      <x:c r="D4660" s="34" t="str">
        <x:v>JacksonCore_23</x:v>
      </x:c>
      <x:c r="E4660" s="34" t="str">
        <x:v>Condition</x:v>
      </x:c>
      <x:c r="F4660" s="34" t="n">
        <x:v>40</x:v>
      </x:c>
      <x:c r="G4660" s="34" t="str">
        <x:v>RECORDED</x:v>
      </x:c>
      <x:c r="H4660" s="38" t="n">
        <x:f>IF(ISNUMBER('Data'!I1244),'Data'!I1244*100,"")</x:f>
        <x:v>90</x:v>
      </x:c>
      <x:c r="I4660" s="34" t="str">
        <x:v>PASS</x:v>
      </x:c>
      <x:c r="J4660" s="34" t="str">
        <x:v>PASS</x:v>
      </x:c>
      <x:c r="K4660" s="34" t="str">
        <x:v>PASS</x:v>
      </x:c>
      <x:c r="L4660" s="34" t="str">
        <x:v>PASS</x:v>
      </x:c>
      <x:c r="M4660" s="34" t="str">
        <x:v>numeric coverage for applicable metric</x:v>
      </x:c>
      <x:c r="N4660" s="34" t="str">
        <x:v>Feedback-Directed Random Test Generation/Result_Round2/JacksonCore_23/result.json</x:v>
      </x:c>
      <x:c r="O4660" s="38" t="n">
        <x:f>IF(AND(G4660="RECORDED",ISNUMBER(H4660)),H4660,"")</x:f>
        <x:v>90</x:v>
      </x:c>
      <x:c r="P4660" s="34" t="str">
        <x:v>NOT_REVEALING</x:v>
      </x:c>
      <x:c r="Q4660" s="34" t="str">
        <x:v>Feedback-Directed Random Test Generation/Result_Round2/JacksonCore_23/result.json</x:v>
      </x:c>
    </x:row>
    <x:row r="4661">
      <x:c r="A4661" s="34" t="str">
        <x:v>randoop</x:v>
      </x:c>
      <x:c r="B4661" s="34" t="str">
        <x:v>JacksonCore</x:v>
      </x:c>
      <x:c r="C4661" s="34" t="str">
        <x:v>Round2</x:v>
      </x:c>
      <x:c r="D4661" s="34" t="str">
        <x:v>JacksonCore_24</x:v>
      </x:c>
      <x:c r="E4661" s="34" t="str">
        <x:v>Condition</x:v>
      </x:c>
      <x:c r="F4661" s="34" t="n">
        <x:v>411</x:v>
      </x:c>
      <x:c r="G4661" s="34" t="str">
        <x:v>RECORDED</x:v>
      </x:c>
      <x:c r="H4661" s="38" t="n">
        <x:f>IF(ISNUMBER('Data'!I1245),'Data'!I1245*100,"")</x:f>
        <x:v>1.95</x:v>
      </x:c>
      <x:c r="I4661" s="34" t="str">
        <x:v>PASS</x:v>
      </x:c>
      <x:c r="J4661" s="34" t="str">
        <x:v>PASS</x:v>
      </x:c>
      <x:c r="K4661" s="34" t="str">
        <x:v>PASS</x:v>
      </x:c>
      <x:c r="L4661" s="34" t="str">
        <x:v>PASS</x:v>
      </x:c>
      <x:c r="M4661" s="34" t="str">
        <x:v>numeric coverage for applicable metric</x:v>
      </x:c>
      <x:c r="N4661" s="34" t="str">
        <x:v>Feedback-Directed Random Test Generation/Result_Round2/JacksonCore_24/result.json</x:v>
      </x:c>
      <x:c r="O4661" s="38" t="n">
        <x:f>IF(AND(G4661="RECORDED",ISNUMBER(H4661)),H4661,"")</x:f>
        <x:v>1.95</x:v>
      </x:c>
      <x:c r="P4661" s="34" t="str">
        <x:v>NOT_REVEALING</x:v>
      </x:c>
      <x:c r="Q4661" s="34" t="str">
        <x:v>Feedback-Directed Random Test Generation/Result_Round2/JacksonCore_24/result.json</x:v>
      </x:c>
    </x:row>
    <x:row r="4662">
      <x:c r="A4662" s="34" t="str">
        <x:v>randoop</x:v>
      </x:c>
      <x:c r="B4662" s="34" t="str">
        <x:v>JacksonCore</x:v>
      </x:c>
      <x:c r="C4662" s="34" t="str">
        <x:v>Round2</x:v>
      </x:c>
      <x:c r="D4662" s="34" t="str">
        <x:v>JacksonCore_25</x:v>
      </x:c>
      <x:c r="E4662" s="34" t="str">
        <x:v>Condition</x:v>
      </x:c>
      <x:c r="F4662" s="34" t="n">
        <x:v>1084</x:v>
      </x:c>
      <x:c r="G4662" s="34" t="str">
        <x:v>RECORDED</x:v>
      </x:c>
      <x:c r="H4662" s="38" t="n">
        <x:f>IF(ISNUMBER('Data'!I1246),'Data'!I1246*100,"")</x:f>
        <x:v>0</x:v>
      </x:c>
      <x:c r="I4662" s="34" t="str">
        <x:v>PASS</x:v>
      </x:c>
      <x:c r="J4662" s="34" t="str">
        <x:v>PASS</x:v>
      </x:c>
      <x:c r="K4662" s="34" t="str">
        <x:v>PASS</x:v>
      </x:c>
      <x:c r="L4662" s="34" t="str">
        <x:v>PASS</x:v>
      </x:c>
      <x:c r="M4662" s="34" t="str">
        <x:v>numeric coverage for applicable metric</x:v>
      </x:c>
      <x:c r="N4662" s="34" t="str">
        <x:v>Feedback-Directed Random Test Generation/Result_Round2/JacksonCore_25/result.json</x:v>
      </x:c>
      <x:c r="O4662" s="38" t="n">
        <x:f>IF(AND(G4662="RECORDED",ISNUMBER(H4662)),H4662,"")</x:f>
        <x:v>0</x:v>
      </x:c>
      <x:c r="P4662" s="34" t="str">
        <x:v>NOT_REVEALING</x:v>
      </x:c>
      <x:c r="Q4662" s="34" t="str">
        <x:v>Feedback-Directed Random Test Generation/Result_Round2/JacksonCore_25/result.json</x:v>
      </x:c>
    </x:row>
    <x:row r="4663">
      <x:c r="A4663" s="34" t="str">
        <x:v>randoop</x:v>
      </x:c>
      <x:c r="B4663" s="34" t="str">
        <x:v>JacksonCore</x:v>
      </x:c>
      <x:c r="C4663" s="34" t="str">
        <x:v>Round2</x:v>
      </x:c>
      <x:c r="D4663" s="34" t="str">
        <x:v>JacksonCore_26</x:v>
      </x:c>
      <x:c r="E4663" s="34" t="str">
        <x:v>Condition</x:v>
      </x:c>
      <x:c r="F4663" s="34" t="n">
        <x:v>951</x:v>
      </x:c>
      <x:c r="G4663" s="34" t="str">
        <x:v>RECORDED</x:v>
      </x:c>
      <x:c r="H4663" s="38" t="n">
        <x:f>IF(ISNUMBER('Data'!I1247),'Data'!I1247*100,"")</x:f>
        <x:v>0</x:v>
      </x:c>
      <x:c r="I4663" s="34" t="str">
        <x:v>PASS</x:v>
      </x:c>
      <x:c r="J4663" s="34" t="str">
        <x:v>PASS</x:v>
      </x:c>
      <x:c r="K4663" s="34" t="str">
        <x:v>PASS</x:v>
      </x:c>
      <x:c r="L4663" s="34" t="str">
        <x:v>PASS</x:v>
      </x:c>
      <x:c r="M4663" s="34" t="str">
        <x:v>numeric coverage for applicable metric</x:v>
      </x:c>
      <x:c r="N4663" s="34" t="str">
        <x:v>Feedback-Directed Random Test Generation/Result_Round2/JacksonCore_26/result.json</x:v>
      </x:c>
      <x:c r="O4663" s="38" t="n">
        <x:f>IF(AND(G4663="RECORDED",ISNUMBER(H4663)),H4663,"")</x:f>
        <x:v>0</x:v>
      </x:c>
      <x:c r="P4663" s="34" t="str">
        <x:v>NOT_REVEALING</x:v>
      </x:c>
      <x:c r="Q4663" s="34" t="str">
        <x:v>Feedback-Directed Random Test Generation/Result_Round2/JacksonCore_26/result.json</x:v>
      </x:c>
    </x:row>
    <x:row r="4664">
      <x:c r="A4664" s="34" t="str">
        <x:v>randoop</x:v>
      </x:c>
      <x:c r="B4664" s="34" t="str">
        <x:v>JacksonDatabind</x:v>
      </x:c>
      <x:c r="C4664" s="34" t="str">
        <x:v>Round2</x:v>
      </x:c>
      <x:c r="D4664" s="34" t="str">
        <x:v>JacksonDatabind_1</x:v>
      </x:c>
      <x:c r="E4664" s="34" t="str">
        <x:v>Condition</x:v>
      </x:c>
      <x:c r="F4664" s="34" t="n">
        <x:v>104</x:v>
      </x:c>
      <x:c r="G4664" s="34" t="str">
        <x:v>RECORDED</x:v>
      </x:c>
      <x:c r="H4664" s="38" t="n">
        <x:f>IF(ISNUMBER('Data'!I1248),'Data'!I1248*100,"")</x:f>
        <x:v>0</x:v>
      </x:c>
      <x:c r="I4664" s="34" t="str">
        <x:v>PASS</x:v>
      </x:c>
      <x:c r="J4664" s="34" t="str">
        <x:v>PASS</x:v>
      </x:c>
      <x:c r="K4664" s="34" t="str">
        <x:v>PASS</x:v>
      </x:c>
      <x:c r="L4664" s="34" t="str">
        <x:v>PASS</x:v>
      </x:c>
      <x:c r="M4664" s="34" t="str">
        <x:v>numeric coverage for applicable metric</x:v>
      </x:c>
      <x:c r="N4664" s="34" t="str">
        <x:v>Feedback-Directed Random Test Generation/Result_Round2/JacksonDatabind_1/result.json</x:v>
      </x:c>
      <x:c r="O4664" s="38" t="n">
        <x:f>IF(AND(G4664="RECORDED",ISNUMBER(H4664)),H4664,"")</x:f>
        <x:v>0</x:v>
      </x:c>
      <x:c r="P4664" s="34" t="str">
        <x:v>NOT_REVEALING</x:v>
      </x:c>
      <x:c r="Q4664" s="34" t="str">
        <x:v>Feedback-Directed Random Test Generation/Result_Round2/JacksonDatabind_1/result.json</x:v>
      </x:c>
    </x:row>
    <x:row r="4665">
      <x:c r="A4665" s="34" t="str">
        <x:v>randoop</x:v>
      </x:c>
      <x:c r="B4665" s="34" t="str">
        <x:v>JacksonDatabind</x:v>
      </x:c>
      <x:c r="C4665" s="34" t="str">
        <x:v>Round2</x:v>
      </x:c>
      <x:c r="D4665" s="34" t="str">
        <x:v>JacksonDatabind_2</x:v>
      </x:c>
      <x:c r="E4665" s="34" t="str">
        <x:v>Condition</x:v>
      </x:c>
      <x:c r="F4665" s="34" t="n">
        <x:v>298</x:v>
      </x:c>
      <x:c r="G4665" s="34" t="str">
        <x:v>RECORDED</x:v>
      </x:c>
      <x:c r="H4665" s="38" t="n">
        <x:f>IF(ISNUMBER('Data'!I1249),'Data'!I1249*100,"")</x:f>
        <x:v>69.13</x:v>
      </x:c>
      <x:c r="I4665" s="34" t="str">
        <x:v>PASS</x:v>
      </x:c>
      <x:c r="J4665" s="34" t="str">
        <x:v>PASS</x:v>
      </x:c>
      <x:c r="K4665" s="34" t="str">
        <x:v>PASS</x:v>
      </x:c>
      <x:c r="L4665" s="34" t="str">
        <x:v>PASS</x:v>
      </x:c>
      <x:c r="M4665" s="34" t="str">
        <x:v>numeric coverage for applicable metric</x:v>
      </x:c>
      <x:c r="N4665" s="34" t="str">
        <x:v>Feedback-Directed Random Test Generation/Result_Round2/JacksonDatabind_2/result.json</x:v>
      </x:c>
      <x:c r="O4665" s="38" t="n">
        <x:f>IF(AND(G4665="RECORDED",ISNUMBER(H4665)),H4665,"")</x:f>
        <x:v>69.13</x:v>
      </x:c>
      <x:c r="P4665" s="34" t="str">
        <x:v>INCONCLUSIVE</x:v>
      </x:c>
      <x:c r="Q4665" s="34" t="str">
        <x:v>Feedback-Directed Random Test Generation/Result_Round2/JacksonDatabind_2/result.json</x:v>
      </x:c>
    </x:row>
    <x:row r="4666">
      <x:c r="A4666" s="34" t="str">
        <x:v>randoop</x:v>
      </x:c>
      <x:c r="B4666" s="34" t="str">
        <x:v>JacksonDatabind</x:v>
      </x:c>
      <x:c r="C4666" s="34" t="str">
        <x:v>Round2</x:v>
      </x:c>
      <x:c r="D4666" s="34" t="str">
        <x:v>JacksonDatabind_3</x:v>
      </x:c>
      <x:c r="E4666" s="34" t="str">
        <x:v>Condition</x:v>
      </x:c>
      <x:c r="F4666" s="34" t="n">
        <x:v>36</x:v>
      </x:c>
      <x:c r="G4666" s="34" t="str">
        <x:v>RECORDED</x:v>
      </x:c>
      <x:c r="H4666" s="38" t="n">
        <x:f>IF(ISNUMBER('Data'!I1250),'Data'!I1250*100,"")</x:f>
        <x:v>0</x:v>
      </x:c>
      <x:c r="I4666" s="34" t="str">
        <x:v>PASS</x:v>
      </x:c>
      <x:c r="J4666" s="34" t="str">
        <x:v>PASS</x:v>
      </x:c>
      <x:c r="K4666" s="34" t="str">
        <x:v>PASS</x:v>
      </x:c>
      <x:c r="L4666" s="34" t="str">
        <x:v>FAIL</x:v>
      </x:c>
      <x:c r="M4666" s="34" t="str">
        <x:v>numeric coverage for applicable metric</x:v>
      </x:c>
      <x:c r="N4666" s="34" t="str">
        <x:v>Feedback-Directed Random Test Generation/Result_Round2/JacksonDatabind_3/result.json</x:v>
      </x:c>
      <x:c r="O4666" s="38" t="n">
        <x:f>IF(AND(G4666="RECORDED",ISNUMBER(H4666)),H4666,"")</x:f>
        <x:v>0</x:v>
      </x:c>
      <x:c r="P4666" s="34" t="str">
        <x:v>INCONCLUSIVE</x:v>
      </x:c>
      <x:c r="Q4666" s="34" t="str">
        <x:v>Feedback-Directed Random Test Generation/Result_Round2/JacksonDatabind_3/result.json</x:v>
      </x:c>
    </x:row>
    <x:row r="4667">
      <x:c r="A4667" s="34" t="str">
        <x:v>randoop</x:v>
      </x:c>
      <x:c r="B4667" s="34" t="str">
        <x:v>JacksonDatabind</x:v>
      </x:c>
      <x:c r="C4667" s="34" t="str">
        <x:v>Round2</x:v>
      </x:c>
      <x:c r="D4667" s="34" t="str">
        <x:v>JacksonDatabind_4</x:v>
      </x:c>
      <x:c r="E4667" s="34" t="str">
        <x:v>Condition</x:v>
      </x:c>
      <x:c r="F4667" s="34" t="n">
        <x:v>36</x:v>
      </x:c>
      <x:c r="G4667" s="34" t="str">
        <x:v>RECORDED</x:v>
      </x:c>
      <x:c r="H4667" s="38" t="n">
        <x:f>IF(ISNUMBER('Data'!I1251),'Data'!I1251*100,"")</x:f>
        <x:v>0</x:v>
      </x:c>
      <x:c r="I4667" s="34" t="str">
        <x:v>PASS</x:v>
      </x:c>
      <x:c r="J4667" s="34" t="str">
        <x:v>PASS</x:v>
      </x:c>
      <x:c r="K4667" s="34" t="str">
        <x:v>PASS</x:v>
      </x:c>
      <x:c r="L4667" s="34" t="str">
        <x:v>FAIL</x:v>
      </x:c>
      <x:c r="M4667" s="34" t="str">
        <x:v>numeric coverage for applicable metric</x:v>
      </x:c>
      <x:c r="N4667" s="34" t="str">
        <x:v>Feedback-Directed Random Test Generation/Result_Round2/JacksonDatabind_4/result.json</x:v>
      </x:c>
      <x:c r="O4667" s="38" t="n">
        <x:f>IF(AND(G4667="RECORDED",ISNUMBER(H4667)),H4667,"")</x:f>
        <x:v>0</x:v>
      </x:c>
      <x:c r="P4667" s="34" t="str">
        <x:v>INCONCLUSIVE</x:v>
      </x:c>
      <x:c r="Q4667" s="34" t="str">
        <x:v>Feedback-Directed Random Test Generation/Result_Round2/JacksonDatabind_4/result.json</x:v>
      </x:c>
    </x:row>
    <x:row r="4668">
      <x:c r="A4668" s="34" t="str">
        <x:v>randoop</x:v>
      </x:c>
      <x:c r="B4668" s="34" t="str">
        <x:v>JacksonDatabind</x:v>
      </x:c>
      <x:c r="C4668" s="34" t="str">
        <x:v>Round2</x:v>
      </x:c>
      <x:c r="D4668" s="34" t="str">
        <x:v>JacksonDatabind_5</x:v>
      </x:c>
      <x:c r="E4668" s="34" t="str">
        <x:v>Condition</x:v>
      </x:c>
      <x:c r="F4668" s="34" t="n">
        <x:v>272</x:v>
      </x:c>
      <x:c r="G4668" s="34" t="str">
        <x:v>RECORDED</x:v>
      </x:c>
      <x:c r="H4668" s="38" t="n">
        <x:f>IF(ISNUMBER('Data'!I1252),'Data'!I1252*100,"")</x:f>
        <x:v>0</x:v>
      </x:c>
      <x:c r="I4668" s="34" t="str">
        <x:v>PASS</x:v>
      </x:c>
      <x:c r="J4668" s="34" t="str">
        <x:v>PASS</x:v>
      </x:c>
      <x:c r="K4668" s="34" t="str">
        <x:v>PASS</x:v>
      </x:c>
      <x:c r="L4668" s="34" t="str">
        <x:v>PASS</x:v>
      </x:c>
      <x:c r="M4668" s="34" t="str">
        <x:v>numeric coverage for applicable metric</x:v>
      </x:c>
      <x:c r="N4668" s="34" t="str">
        <x:v>Feedback-Directed Random Test Generation/Result_Round2/JacksonDatabind_5/result.json</x:v>
      </x:c>
      <x:c r="O4668" s="38" t="n">
        <x:f>IF(AND(G4668="RECORDED",ISNUMBER(H4668)),H4668,"")</x:f>
        <x:v>0</x:v>
      </x:c>
      <x:c r="P4668" s="34" t="str">
        <x:v>NOT_REVEALING</x:v>
      </x:c>
      <x:c r="Q4668" s="34" t="str">
        <x:v>Feedback-Directed Random Test Generation/Result_Round2/JacksonDatabind_5/result.json</x:v>
      </x:c>
    </x:row>
    <x:row r="4669">
      <x:c r="A4669" s="34" t="str">
        <x:v>randoop</x:v>
      </x:c>
      <x:c r="B4669" s="34" t="str">
        <x:v>JacksonDatabind</x:v>
      </x:c>
      <x:c r="C4669" s="34" t="str">
        <x:v>Round2</x:v>
      </x:c>
      <x:c r="D4669" s="34" t="str">
        <x:v>JacksonDatabind_6</x:v>
      </x:c>
      <x:c r="E4669" s="34" t="str">
        <x:v>Condition</x:v>
      </x:c>
      <x:c r="F4669" s="34" t="n">
        <x:v>94</x:v>
      </x:c>
      <x:c r="G4669" s="34" t="str">
        <x:v>RECORDED</x:v>
      </x:c>
      <x:c r="H4669" s="38" t="n">
        <x:f>IF(ISNUMBER('Data'!I1253),'Data'!I1253*100,"")</x:f>
        <x:v>79.79</x:v>
      </x:c>
      <x:c r="I4669" s="34" t="str">
        <x:v>PASS</x:v>
      </x:c>
      <x:c r="J4669" s="34" t="str">
        <x:v>PASS</x:v>
      </x:c>
      <x:c r="K4669" s="34" t="str">
        <x:v>PASS</x:v>
      </x:c>
      <x:c r="L4669" s="34" t="str">
        <x:v>FAIL</x:v>
      </x:c>
      <x:c r="M4669" s="34" t="str">
        <x:v>numeric coverage for applicable metric</x:v>
      </x:c>
      <x:c r="N4669" s="34" t="str">
        <x:v>Feedback-Directed Random Test Generation/Result_Round2/JacksonDatabind_6/result.json</x:v>
      </x:c>
      <x:c r="O4669" s="38" t="n">
        <x:f>IF(AND(G4669="RECORDED",ISNUMBER(H4669)),H4669,"")</x:f>
        <x:v>79.79</x:v>
      </x:c>
      <x:c r="P4669" s="34" t="str">
        <x:v>INCONCLUSIVE</x:v>
      </x:c>
      <x:c r="Q4669" s="34" t="str">
        <x:v>Feedback-Directed Random Test Generation/Result_Round2/JacksonDatabind_6/result.json</x:v>
      </x:c>
    </x:row>
    <x:row r="4670">
      <x:c r="A4670" s="34" t="str">
        <x:v>randoop</x:v>
      </x:c>
      <x:c r="B4670" s="34" t="str">
        <x:v>JacksonDatabind</x:v>
      </x:c>
      <x:c r="C4670" s="34" t="str">
        <x:v>Round2</x:v>
      </x:c>
      <x:c r="D4670" s="34" t="str">
        <x:v>JacksonDatabind_7</x:v>
      </x:c>
      <x:c r="E4670" s="34" t="str">
        <x:v>Condition</x:v>
      </x:c>
      <x:c r="F4670" s="34" t="n">
        <x:v>308</x:v>
      </x:c>
      <x:c r="G4670" s="34" t="str">
        <x:v>RECORDED</x:v>
      </x:c>
      <x:c r="H4670" s="38" t="n">
        <x:f>IF(ISNUMBER('Data'!I1254),'Data'!I1254*100,"")</x:f>
        <x:v>68.83</x:v>
      </x:c>
      <x:c r="I4670" s="34" t="str">
        <x:v>PASS</x:v>
      </x:c>
      <x:c r="J4670" s="34" t="str">
        <x:v>PASS</x:v>
      </x:c>
      <x:c r="K4670" s="34" t="str">
        <x:v>PASS</x:v>
      </x:c>
      <x:c r="L4670" s="34" t="str">
        <x:v>PASS</x:v>
      </x:c>
      <x:c r="M4670" s="34" t="str">
        <x:v>numeric coverage for applicable metric</x:v>
      </x:c>
      <x:c r="N4670" s="34" t="str">
        <x:v>Feedback-Directed Random Test Generation/Result_Round2/JacksonDatabind_7/result.json</x:v>
      </x:c>
      <x:c r="O4670" s="38" t="n">
        <x:f>IF(AND(G4670="RECORDED",ISNUMBER(H4670)),H4670,"")</x:f>
        <x:v>68.83</x:v>
      </x:c>
      <x:c r="P4670" s="34" t="str">
        <x:v>NOT_REVEALING</x:v>
      </x:c>
      <x:c r="Q4670" s="34" t="str">
        <x:v>Feedback-Directed Random Test Generation/Result_Round2/JacksonDatabind_7/result.json</x:v>
      </x:c>
    </x:row>
    <x:row r="4671">
      <x:c r="A4671" s="34" t="str">
        <x:v>randoop</x:v>
      </x:c>
      <x:c r="B4671" s="34" t="str">
        <x:v>JacksonDatabind</x:v>
      </x:c>
      <x:c r="C4671" s="34" t="str">
        <x:v>Round2</x:v>
      </x:c>
      <x:c r="D4671" s="34" t="str">
        <x:v>JacksonDatabind_8</x:v>
      </x:c>
      <x:c r="E4671" s="34" t="str">
        <x:v>Condition</x:v>
      </x:c>
      <x:c r="F4671" s="34" t="n">
        <x:v>64</x:v>
      </x:c>
      <x:c r="G4671" s="34" t="str">
        <x:v>RECORDED</x:v>
      </x:c>
      <x:c r="H4671" s="38" t="n">
        <x:f>IF(ISNUMBER('Data'!I1255),'Data'!I1255*100,"")</x:f>
        <x:v>29.69</x:v>
      </x:c>
      <x:c r="I4671" s="34" t="str">
        <x:v>PASS</x:v>
      </x:c>
      <x:c r="J4671" s="34" t="str">
        <x:v>PASS</x:v>
      </x:c>
      <x:c r="K4671" s="34" t="str">
        <x:v>PASS</x:v>
      </x:c>
      <x:c r="L4671" s="34" t="str">
        <x:v>PASS</x:v>
      </x:c>
      <x:c r="M4671" s="34" t="str">
        <x:v>numeric coverage for applicable metric</x:v>
      </x:c>
      <x:c r="N4671" s="34" t="str">
        <x:v>Feedback-Directed Random Test Generation/Result_Round2/JacksonDatabind_8/result.json</x:v>
      </x:c>
      <x:c r="O4671" s="38" t="n">
        <x:f>IF(AND(G4671="RECORDED",ISNUMBER(H4671)),H4671,"")</x:f>
        <x:v>29.69</x:v>
      </x:c>
      <x:c r="P4671" s="34" t="str">
        <x:v>NOT_REVEALING</x:v>
      </x:c>
      <x:c r="Q4671" s="34" t="str">
        <x:v>Feedback-Directed Random Test Generation/Result_Round2/JacksonDatabind_8/result.json</x:v>
      </x:c>
    </x:row>
    <x:row r="4672">
      <x:c r="A4672" s="34" t="str">
        <x:v>randoop</x:v>
      </x:c>
      <x:c r="B4672" s="34" t="str">
        <x:v>JacksonDatabind</x:v>
      </x:c>
      <x:c r="C4672" s="34" t="str">
        <x:v>Round2</x:v>
      </x:c>
      <x:c r="D4672" s="34" t="str">
        <x:v>JacksonDatabind_9</x:v>
      </x:c>
      <x:c r="E4672" s="34" t="str">
        <x:v>Condition</x:v>
      </x:c>
      <x:c r="F4672" s="34" t="n">
        <x:v>2</x:v>
      </x:c>
      <x:c r="G4672" s="34" t="str">
        <x:v>RECORDED</x:v>
      </x:c>
      <x:c r="H4672" s="38" t="n">
        <x:f>IF(ISNUMBER('Data'!I1256),'Data'!I1256*100,"")</x:f>
        <x:v>50</x:v>
      </x:c>
      <x:c r="I4672" s="34" t="str">
        <x:v>PASS</x:v>
      </x:c>
      <x:c r="J4672" s="34" t="str">
        <x:v>PASS</x:v>
      </x:c>
      <x:c r="K4672" s="34" t="str">
        <x:v>PASS</x:v>
      </x:c>
      <x:c r="L4672" s="34" t="str">
        <x:v>PASS</x:v>
      </x:c>
      <x:c r="M4672" s="34" t="str">
        <x:v>numeric coverage for applicable metric</x:v>
      </x:c>
      <x:c r="N4672" s="34" t="str">
        <x:v>Feedback-Directed Random Test Generation/Result_Round2/JacksonDatabind_9/result.json</x:v>
      </x:c>
      <x:c r="O4672" s="38" t="n">
        <x:f>IF(AND(G4672="RECORDED",ISNUMBER(H4672)),H4672,"")</x:f>
        <x:v>50</x:v>
      </x:c>
      <x:c r="P4672" s="34" t="str">
        <x:v>NOT_REVEALING</x:v>
      </x:c>
      <x:c r="Q4672" s="34" t="str">
        <x:v>Feedback-Directed Random Test Generation/Result_Round2/JacksonDatabind_9/result.json</x:v>
      </x:c>
    </x:row>
    <x:row r="4673">
      <x:c r="A4673" s="34" t="str">
        <x:v>randoop</x:v>
      </x:c>
      <x:c r="B4673" s="34" t="str">
        <x:v>JacksonDatabind</x:v>
      </x:c>
      <x:c r="C4673" s="34" t="str">
        <x:v>Round2</x:v>
      </x:c>
      <x:c r="D4673" s="34" t="str">
        <x:v>JacksonDatabind_10</x:v>
      </x:c>
      <x:c r="E4673" s="34" t="str">
        <x:v>Condition</x:v>
      </x:c>
      <x:c r="F4673" s="34" t="n">
        <x:v>164</x:v>
      </x:c>
      <x:c r="G4673" s="34" t="str">
        <x:v>RECORDED</x:v>
      </x:c>
      <x:c r="H4673" s="38" t="n">
        <x:f>IF(ISNUMBER('Data'!I1257),'Data'!I1257*100,"")</x:f>
        <x:v>2.44</x:v>
      </x:c>
      <x:c r="I4673" s="34" t="str">
        <x:v>PASS</x:v>
      </x:c>
      <x:c r="J4673" s="34" t="str">
        <x:v>PASS</x:v>
      </x:c>
      <x:c r="K4673" s="34" t="str">
        <x:v>PASS</x:v>
      </x:c>
      <x:c r="L4673" s="34" t="str">
        <x:v>PASS</x:v>
      </x:c>
      <x:c r="M4673" s="34" t="str">
        <x:v>numeric coverage for applicable metric</x:v>
      </x:c>
      <x:c r="N4673" s="34" t="str">
        <x:v>Feedback-Directed Random Test Generation/Result_Round2/JacksonDatabind_10/result.json</x:v>
      </x:c>
      <x:c r="O4673" s="38" t="n">
        <x:f>IF(AND(G4673="RECORDED",ISNUMBER(H4673)),H4673,"")</x:f>
        <x:v>2.44</x:v>
      </x:c>
      <x:c r="P4673" s="34" t="str">
        <x:v>INCONCLUSIVE</x:v>
      </x:c>
      <x:c r="Q4673" s="34" t="str">
        <x:v>Feedback-Directed Random Test Generation/Result_Round2/JacksonDatabind_10/result.json</x:v>
      </x:c>
    </x:row>
    <x:row r="4674">
      <x:c r="A4674" s="34" t="str">
        <x:v>randoop</x:v>
      </x:c>
      <x:c r="B4674" s="34" t="str">
        <x:v>JacksonDatabind</x:v>
      </x:c>
      <x:c r="C4674" s="34" t="str">
        <x:v>Round2</x:v>
      </x:c>
      <x:c r="D4674" s="34" t="str">
        <x:v>JacksonDatabind_11</x:v>
      </x:c>
      <x:c r="E4674" s="34" t="str">
        <x:v>Condition</x:v>
      </x:c>
      <x:c r="F4674" s="34" t="n">
        <x:v>198</x:v>
      </x:c>
      <x:c r="G4674" s="34" t="str">
        <x:v>RECORDED</x:v>
      </x:c>
      <x:c r="H4674" s="38" t="n">
        <x:f>IF(ISNUMBER('Data'!I1258),'Data'!I1258*100,"")</x:f>
        <x:v>15.659999999999998</x:v>
      </x:c>
      <x:c r="I4674" s="34" t="str">
        <x:v>PASS</x:v>
      </x:c>
      <x:c r="J4674" s="34" t="str">
        <x:v>PASS</x:v>
      </x:c>
      <x:c r="K4674" s="34" t="str">
        <x:v>PASS</x:v>
      </x:c>
      <x:c r="L4674" s="34" t="str">
        <x:v>PASS</x:v>
      </x:c>
      <x:c r="M4674" s="34" t="str">
        <x:v>numeric coverage for applicable metric</x:v>
      </x:c>
      <x:c r="N4674" s="34" t="str">
        <x:v>Feedback-Directed Random Test Generation/Result_Round2/JacksonDatabind_11/result.json</x:v>
      </x:c>
      <x:c r="O4674" s="38" t="n">
        <x:f>IF(AND(G4674="RECORDED",ISNUMBER(H4674)),H4674,"")</x:f>
        <x:v>15.659999999999998</x:v>
      </x:c>
      <x:c r="P4674" s="34" t="str">
        <x:v>NOT_REVEALING</x:v>
      </x:c>
      <x:c r="Q4674" s="34" t="str">
        <x:v>Feedback-Directed Random Test Generation/Result_Round2/JacksonDatabind_11/result.json</x:v>
      </x:c>
    </x:row>
    <x:row r="4675">
      <x:c r="A4675" s="34" t="str">
        <x:v>randoop</x:v>
      </x:c>
      <x:c r="B4675" s="34" t="str">
        <x:v>JacksonDatabind</x:v>
      </x:c>
      <x:c r="C4675" s="34" t="str">
        <x:v>Round2</x:v>
      </x:c>
      <x:c r="D4675" s="34" t="str">
        <x:v>JacksonDatabind_12</x:v>
      </x:c>
      <x:c r="E4675" s="34" t="str">
        <x:v>Condition</x:v>
      </x:c>
      <x:c r="F4675" s="34" t="n">
        <x:v>142</x:v>
      </x:c>
      <x:c r="G4675" s="34" t="str">
        <x:v>RECORDED</x:v>
      </x:c>
      <x:c r="H4675" s="38" t="n">
        <x:f>IF(ISNUMBER('Data'!I1259),'Data'!I1259*100,"")</x:f>
        <x:v>0</x:v>
      </x:c>
      <x:c r="I4675" s="34" t="str">
        <x:v>PASS</x:v>
      </x:c>
      <x:c r="J4675" s="34" t="str">
        <x:v>PASS</x:v>
      </x:c>
      <x:c r="K4675" s="34" t="str">
        <x:v>PASS</x:v>
      </x:c>
      <x:c r="L4675" s="34" t="str">
        <x:v>PASS</x:v>
      </x:c>
      <x:c r="M4675" s="34" t="str">
        <x:v>numeric coverage for applicable metric</x:v>
      </x:c>
      <x:c r="N4675" s="34" t="str">
        <x:v>Feedback-Directed Random Test Generation/Result_Round2/JacksonDatabind_12/result.json</x:v>
      </x:c>
      <x:c r="O4675" s="38" t="n">
        <x:f>IF(AND(G4675="RECORDED",ISNUMBER(H4675)),H4675,"")</x:f>
        <x:v>0</x:v>
      </x:c>
      <x:c r="P4675" s="34" t="str">
        <x:v>NOT_REVEALING</x:v>
      </x:c>
      <x:c r="Q4675" s="34" t="str">
        <x:v>Feedback-Directed Random Test Generation/Result_Round2/JacksonDatabind_12/result.json</x:v>
      </x:c>
    </x:row>
    <x:row r="4676">
      <x:c r="A4676" s="34" t="str">
        <x:v>randoop</x:v>
      </x:c>
      <x:c r="B4676" s="34" t="str">
        <x:v>JacksonDatabind</x:v>
      </x:c>
      <x:c r="C4676" s="34" t="str">
        <x:v>Round2</x:v>
      </x:c>
      <x:c r="D4676" s="34" t="str">
        <x:v>JacksonDatabind_13</x:v>
      </x:c>
      <x:c r="E4676" s="34" t="str">
        <x:v>Condition</x:v>
      </x:c>
      <x:c r="F4676" s="34" t="n">
        <x:v>68</x:v>
      </x:c>
      <x:c r="G4676" s="34" t="str">
        <x:v>RECORDED</x:v>
      </x:c>
      <x:c r="H4676" s="38" t="n">
        <x:f>IF(ISNUMBER('Data'!I1260),'Data'!I1260*100,"")</x:f>
        <x:v>0</x:v>
      </x:c>
      <x:c r="I4676" s="34" t="str">
        <x:v>PASS</x:v>
      </x:c>
      <x:c r="J4676" s="34" t="str">
        <x:v>PASS</x:v>
      </x:c>
      <x:c r="K4676" s="34" t="str">
        <x:v>PASS</x:v>
      </x:c>
      <x:c r="L4676" s="34" t="str">
        <x:v>PASS</x:v>
      </x:c>
      <x:c r="M4676" s="34" t="str">
        <x:v>numeric coverage for applicable metric</x:v>
      </x:c>
      <x:c r="N4676" s="34" t="str">
        <x:v>Feedback-Directed Random Test Generation/Result_Round2/JacksonDatabind_13/result.json</x:v>
      </x:c>
      <x:c r="O4676" s="38" t="n">
        <x:f>IF(AND(G4676="RECORDED",ISNUMBER(H4676)),H4676,"")</x:f>
        <x:v>0</x:v>
      </x:c>
      <x:c r="P4676" s="34" t="str">
        <x:v>NOT_REVEALING</x:v>
      </x:c>
      <x:c r="Q4676" s="34" t="str">
        <x:v>Feedback-Directed Random Test Generation/Result_Round2/JacksonDatabind_13/result.json</x:v>
      </x:c>
    </x:row>
    <x:row r="4677">
      <x:c r="A4677" s="34" t="str">
        <x:v>randoop</x:v>
      </x:c>
      <x:c r="B4677" s="34" t="str">
        <x:v>JacksonDatabind</x:v>
      </x:c>
      <x:c r="C4677" s="34" t="str">
        <x:v>Round2</x:v>
      </x:c>
      <x:c r="D4677" s="34" t="str">
        <x:v>JacksonDatabind_14</x:v>
      </x:c>
      <x:c r="E4677" s="34" t="str">
        <x:v>Condition</x:v>
      </x:c>
      <x:c r="F4677" s="34" t="n">
        <x:v>150</x:v>
      </x:c>
      <x:c r="G4677" s="34" t="str">
        <x:v>RECORDED</x:v>
      </x:c>
      <x:c r="H4677" s="38" t="n">
        <x:f>IF(ISNUMBER('Data'!I1261),'Data'!I1261*100,"")</x:f>
        <x:v>0</x:v>
      </x:c>
      <x:c r="I4677" s="34" t="str">
        <x:v>PASS</x:v>
      </x:c>
      <x:c r="J4677" s="34" t="str">
        <x:v>PASS</x:v>
      </x:c>
      <x:c r="K4677" s="34" t="str">
        <x:v>PASS</x:v>
      </x:c>
      <x:c r="L4677" s="34" t="str">
        <x:v>PASS</x:v>
      </x:c>
      <x:c r="M4677" s="34" t="str">
        <x:v>numeric coverage for applicable metric</x:v>
      </x:c>
      <x:c r="N4677" s="34" t="str">
        <x:v>Feedback-Directed Random Test Generation/Result_Round2/JacksonDatabind_14/result.json</x:v>
      </x:c>
      <x:c r="O4677" s="38" t="n">
        <x:f>IF(AND(G4677="RECORDED",ISNUMBER(H4677)),H4677,"")</x:f>
        <x:v>0</x:v>
      </x:c>
      <x:c r="P4677" s="34" t="str">
        <x:v>NOT_REVEALING</x:v>
      </x:c>
      <x:c r="Q4677" s="34" t="str">
        <x:v>Feedback-Directed Random Test Generation/Result_Round2/JacksonDatabind_14/result.json</x:v>
      </x:c>
    </x:row>
    <x:row r="4678">
      <x:c r="A4678" s="34" t="str">
        <x:v>randoop</x:v>
      </x:c>
      <x:c r="B4678" s="34" t="str">
        <x:v>JacksonDatabind</x:v>
      </x:c>
      <x:c r="C4678" s="34" t="str">
        <x:v>Round2</x:v>
      </x:c>
      <x:c r="D4678" s="34" t="str">
        <x:v>JacksonDatabind_15</x:v>
      </x:c>
      <x:c r="E4678" s="34" t="str">
        <x:v>Condition</x:v>
      </x:c>
      <x:c r="F4678" s="34" t="n">
        <x:v>468</x:v>
      </x:c>
      <x:c r="G4678" s="34" t="str">
        <x:v>RECORDED</x:v>
      </x:c>
      <x:c r="H4678" s="38" t="n">
        <x:f>IF(ISNUMBER('Data'!I1262),'Data'!I1262*100,"")</x:f>
        <x:v>3.63</x:v>
      </x:c>
      <x:c r="I4678" s="34" t="str">
        <x:v>PASS</x:v>
      </x:c>
      <x:c r="J4678" s="34" t="str">
        <x:v>PASS</x:v>
      </x:c>
      <x:c r="K4678" s="34" t="str">
        <x:v>PASS</x:v>
      </x:c>
      <x:c r="L4678" s="34" t="str">
        <x:v>PASS</x:v>
      </x:c>
      <x:c r="M4678" s="34" t="str">
        <x:v>numeric coverage for applicable metric</x:v>
      </x:c>
      <x:c r="N4678" s="34" t="str">
        <x:v>Feedback-Directed Random Test Generation/Result_Round2/JacksonDatabind_15/result.json</x:v>
      </x:c>
      <x:c r="O4678" s="38" t="n">
        <x:f>IF(AND(G4678="RECORDED",ISNUMBER(H4678)),H4678,"")</x:f>
        <x:v>3.63</x:v>
      </x:c>
      <x:c r="P4678" s="34" t="str">
        <x:v>NOT_REVEALING</x:v>
      </x:c>
      <x:c r="Q4678" s="34" t="str">
        <x:v>Feedback-Directed Random Test Generation/Result_Round2/JacksonDatabind_15/result.json</x:v>
      </x:c>
    </x:row>
    <x:row r="4679">
      <x:c r="A4679" s="34" t="str">
        <x:v>randoop</x:v>
      </x:c>
      <x:c r="B4679" s="34" t="str">
        <x:v>JacksonDatabind</x:v>
      </x:c>
      <x:c r="C4679" s="34" t="str">
        <x:v>Round2</x:v>
      </x:c>
      <x:c r="D4679" s="34" t="str">
        <x:v>JacksonDatabind_16</x:v>
      </x:c>
      <x:c r="E4679" s="34" t="str">
        <x:v>Condition</x:v>
      </x:c>
      <x:c r="F4679" s="34" t="n">
        <x:v>36</x:v>
      </x:c>
      <x:c r="G4679" s="34" t="str">
        <x:v>RECORDED</x:v>
      </x:c>
      <x:c r="H4679" s="38" t="n">
        <x:f>IF(ISNUMBER('Data'!I1263),'Data'!I1263*100,"")</x:f>
        <x:v>22.22</x:v>
      </x:c>
      <x:c r="I4679" s="34" t="str">
        <x:v>PASS</x:v>
      </x:c>
      <x:c r="J4679" s="34" t="str">
        <x:v>PASS</x:v>
      </x:c>
      <x:c r="K4679" s="34" t="str">
        <x:v>PASS</x:v>
      </x:c>
      <x:c r="L4679" s="34" t="str">
        <x:v>PASS</x:v>
      </x:c>
      <x:c r="M4679" s="34" t="str">
        <x:v>numeric coverage for applicable metric</x:v>
      </x:c>
      <x:c r="N4679" s="34" t="str">
        <x:v>Feedback-Directed Random Test Generation/Result_Round2/JacksonDatabind_16/result.json</x:v>
      </x:c>
      <x:c r="O4679" s="38" t="n">
        <x:f>IF(AND(G4679="RECORDED",ISNUMBER(H4679)),H4679,"")</x:f>
        <x:v>22.22</x:v>
      </x:c>
      <x:c r="P4679" s="34" t="str">
        <x:v>NOT_REVEALING</x:v>
      </x:c>
      <x:c r="Q4679" s="34" t="str">
        <x:v>Feedback-Directed Random Test Generation/Result_Round2/JacksonDatabind_16/result.json</x:v>
      </x:c>
    </x:row>
    <x:row r="4680">
      <x:c r="A4680" s="34" t="str">
        <x:v>randoop</x:v>
      </x:c>
      <x:c r="B4680" s="34" t="str">
        <x:v>JacksonDatabind</x:v>
      </x:c>
      <x:c r="C4680" s="34" t="str">
        <x:v>Round2</x:v>
      </x:c>
      <x:c r="D4680" s="34" t="str">
        <x:v>JacksonDatabind_17</x:v>
      </x:c>
      <x:c r="E4680" s="34" t="str">
        <x:v>Condition</x:v>
      </x:c>
      <x:c r="F4680" s="34" t="n">
        <x:v>192</x:v>
      </x:c>
      <x:c r="G4680" s="34" t="str">
        <x:v>RECORDED</x:v>
      </x:c>
      <x:c r="H4680" s="38" t="n">
        <x:f>IF(ISNUMBER('Data'!I1264),'Data'!I1264*100,"")</x:f>
        <x:v>35.42</x:v>
      </x:c>
      <x:c r="I4680" s="34" t="str">
        <x:v>PASS</x:v>
      </x:c>
      <x:c r="J4680" s="34" t="str">
        <x:v>PASS</x:v>
      </x:c>
      <x:c r="K4680" s="34" t="str">
        <x:v>PASS</x:v>
      </x:c>
      <x:c r="L4680" s="34" t="str">
        <x:v>FAIL</x:v>
      </x:c>
      <x:c r="M4680" s="34" t="str">
        <x:v>numeric coverage for applicable metric</x:v>
      </x:c>
      <x:c r="N4680" s="34" t="str">
        <x:v>Feedback-Directed Random Test Generation/Result_Round2/JacksonDatabind_17/result.json</x:v>
      </x:c>
      <x:c r="O4680" s="38" t="n">
        <x:f>IF(AND(G4680="RECORDED",ISNUMBER(H4680)),H4680,"")</x:f>
        <x:v>35.42</x:v>
      </x:c>
      <x:c r="P4680" s="34" t="str">
        <x:v>INCONCLUSIVE</x:v>
      </x:c>
      <x:c r="Q4680" s="34" t="str">
        <x:v>Feedback-Directed Random Test Generation/Result_Round2/JacksonDatabind_17/result.json</x:v>
      </x:c>
    </x:row>
    <x:row r="4681">
      <x:c r="A4681" s="34" t="str">
        <x:v>randoop</x:v>
      </x:c>
      <x:c r="B4681" s="34" t="str">
        <x:v>JacksonDatabind</x:v>
      </x:c>
      <x:c r="C4681" s="34" t="str">
        <x:v>Round2</x:v>
      </x:c>
      <x:c r="D4681" s="34" t="str">
        <x:v>JacksonDatabind_18</x:v>
      </x:c>
      <x:c r="E4681" s="34" t="str">
        <x:v>Condition</x:v>
      </x:c>
      <x:c r="F4681" s="34" t="n">
        <x:v>34</x:v>
      </x:c>
      <x:c r="G4681" s="34" t="str">
        <x:v>RECORDED</x:v>
      </x:c>
      <x:c r="H4681" s="38" t="n">
        <x:f>IF(ISNUMBER('Data'!I1265),'Data'!I1265*100,"")</x:f>
        <x:v>5.88</x:v>
      </x:c>
      <x:c r="I4681" s="34" t="str">
        <x:v>PASS</x:v>
      </x:c>
      <x:c r="J4681" s="34" t="str">
        <x:v>PASS</x:v>
      </x:c>
      <x:c r="K4681" s="34" t="str">
        <x:v>PASS</x:v>
      </x:c>
      <x:c r="L4681" s="34" t="str">
        <x:v>PASS</x:v>
      </x:c>
      <x:c r="M4681" s="34" t="str">
        <x:v>numeric coverage for applicable metric</x:v>
      </x:c>
      <x:c r="N4681" s="34" t="str">
        <x:v>Feedback-Directed Random Test Generation/Result_Round2/JacksonDatabind_18/result.json</x:v>
      </x:c>
      <x:c r="O4681" s="38" t="n">
        <x:f>IF(AND(G4681="RECORDED",ISNUMBER(H4681)),H4681,"")</x:f>
        <x:v>5.88</x:v>
      </x:c>
      <x:c r="P4681" s="34" t="str">
        <x:v>NOT_REVEALING</x:v>
      </x:c>
      <x:c r="Q4681" s="34" t="str">
        <x:v>Feedback-Directed Random Test Generation/Result_Round2/JacksonDatabind_18/result.json</x:v>
      </x:c>
    </x:row>
    <x:row r="4682">
      <x:c r="A4682" s="34" t="str">
        <x:v>randoop</x:v>
      </x:c>
      <x:c r="B4682" s="34" t="str">
        <x:v>JacksonDatabind</x:v>
      </x:c>
      <x:c r="C4682" s="34" t="str">
        <x:v>Round2</x:v>
      </x:c>
      <x:c r="D4682" s="34" t="str">
        <x:v>JacksonDatabind_19</x:v>
      </x:c>
      <x:c r="E4682" s="34" t="str">
        <x:v>Condition</x:v>
      </x:c>
      <x:c r="F4682" s="34" t="n">
        <x:v>230</x:v>
      </x:c>
      <x:c r="G4682" s="34" t="str">
        <x:v>RECORDED</x:v>
      </x:c>
      <x:c r="H4682" s="38" t="n">
        <x:f>IF(ISNUMBER('Data'!I1266),'Data'!I1266*100,"")</x:f>
        <x:v>10</x:v>
      </x:c>
      <x:c r="I4682" s="34" t="str">
        <x:v>PASS</x:v>
      </x:c>
      <x:c r="J4682" s="34" t="str">
        <x:v>PASS</x:v>
      </x:c>
      <x:c r="K4682" s="34" t="str">
        <x:v>PASS</x:v>
      </x:c>
      <x:c r="L4682" s="34" t="str">
        <x:v>PASS</x:v>
      </x:c>
      <x:c r="M4682" s="34" t="str">
        <x:v>numeric coverage for applicable metric</x:v>
      </x:c>
      <x:c r="N4682" s="34" t="str">
        <x:v>Feedback-Directed Random Test Generation/Result_Round2/JacksonDatabind_19/result.json</x:v>
      </x:c>
      <x:c r="O4682" s="38" t="n">
        <x:f>IF(AND(G4682="RECORDED",ISNUMBER(H4682)),H4682,"")</x:f>
        <x:v>10</x:v>
      </x:c>
      <x:c r="P4682" s="34" t="str">
        <x:v>NOT_REVEALING</x:v>
      </x:c>
      <x:c r="Q4682" s="34" t="str">
        <x:v>Feedback-Directed Random Test Generation/Result_Round2/JacksonDatabind_19/result.json</x:v>
      </x:c>
    </x:row>
    <x:row r="4683">
      <x:c r="A4683" s="34" t="str">
        <x:v>randoop</x:v>
      </x:c>
      <x:c r="B4683" s="34" t="str">
        <x:v>JacksonDatabind</x:v>
      </x:c>
      <x:c r="C4683" s="34" t="str">
        <x:v>Round2</x:v>
      </x:c>
      <x:c r="D4683" s="34" t="str">
        <x:v>JacksonDatabind_20</x:v>
      </x:c>
      <x:c r="E4683" s="34" t="str">
        <x:v>Condition</x:v>
      </x:c>
      <x:c r="F4683" s="34" t="n">
        <x:v>84</x:v>
      </x:c>
      <x:c r="G4683" s="34" t="str">
        <x:v>RECORDED</x:v>
      </x:c>
      <x:c r="H4683" s="38" t="n">
        <x:f>IF(ISNUMBER('Data'!I1267),'Data'!I1267*100,"")</x:f>
        <x:v>79.76</x:v>
      </x:c>
      <x:c r="I4683" s="34" t="str">
        <x:v>PASS</x:v>
      </x:c>
      <x:c r="J4683" s="34" t="str">
        <x:v>PASS</x:v>
      </x:c>
      <x:c r="K4683" s="34" t="str">
        <x:v>PASS</x:v>
      </x:c>
      <x:c r="L4683" s="34" t="str">
        <x:v>PASS</x:v>
      </x:c>
      <x:c r="M4683" s="34" t="str">
        <x:v>numeric coverage for applicable metric</x:v>
      </x:c>
      <x:c r="N4683" s="34" t="str">
        <x:v>Feedback-Directed Random Test Generation/Result_Round2/JacksonDatabind_20/result.json</x:v>
      </x:c>
      <x:c r="O4683" s="38" t="n">
        <x:f>IF(AND(G4683="RECORDED",ISNUMBER(H4683)),H4683,"")</x:f>
        <x:v>79.76</x:v>
      </x:c>
      <x:c r="P4683" s="34" t="str">
        <x:v>NOT_REVEALING</x:v>
      </x:c>
      <x:c r="Q4683" s="34" t="str">
        <x:v>Feedback-Directed Random Test Generation/Result_Round2/JacksonDatabind_20/result.json</x:v>
      </x:c>
    </x:row>
    <x:row r="4684">
      <x:c r="A4684" s="34" t="str">
        <x:v>randoop</x:v>
      </x:c>
      <x:c r="B4684" s="34" t="str">
        <x:v>JacksonDatabind</x:v>
      </x:c>
      <x:c r="C4684" s="34" t="str">
        <x:v>Round2</x:v>
      </x:c>
      <x:c r="D4684" s="34" t="str">
        <x:v>JacksonDatabind_21</x:v>
      </x:c>
      <x:c r="E4684" s="34" t="str">
        <x:v>Condition</x:v>
      </x:c>
      <x:c r="F4684" s="34" t="n">
        <x:v>249</x:v>
      </x:c>
      <x:c r="G4684" s="34" t="str">
        <x:v>RECORDED</x:v>
      </x:c>
      <x:c r="H4684" s="38" t="n">
        <x:f>IF(ISNUMBER('Data'!I1268),'Data'!I1268*100,"")</x:f>
        <x:v>2.01</x:v>
      </x:c>
      <x:c r="I4684" s="34" t="str">
        <x:v>PASS</x:v>
      </x:c>
      <x:c r="J4684" s="34" t="str">
        <x:v>PASS</x:v>
      </x:c>
      <x:c r="K4684" s="34" t="str">
        <x:v>PASS</x:v>
      </x:c>
      <x:c r="L4684" s="34" t="str">
        <x:v>PASS</x:v>
      </x:c>
      <x:c r="M4684" s="34" t="str">
        <x:v>numeric coverage for applicable metric</x:v>
      </x:c>
      <x:c r="N4684" s="34" t="str">
        <x:v>Feedback-Directed Random Test Generation/Result_Round2/JacksonDatabind_21/result.json</x:v>
      </x:c>
      <x:c r="O4684" s="38" t="n">
        <x:f>IF(AND(G4684="RECORDED",ISNUMBER(H4684)),H4684,"")</x:f>
        <x:v>2.01</x:v>
      </x:c>
      <x:c r="P4684" s="34" t="str">
        <x:v>NOT_REVEALING</x:v>
      </x:c>
      <x:c r="Q4684" s="34" t="str">
        <x:v>Feedback-Directed Random Test Generation/Result_Round2/JacksonDatabind_21/result.json</x:v>
      </x:c>
    </x:row>
    <x:row r="4685">
      <x:c r="A4685" s="34" t="str">
        <x:v>randoop</x:v>
      </x:c>
      <x:c r="B4685" s="34" t="str">
        <x:v>JacksonDatabind</x:v>
      </x:c>
      <x:c r="C4685" s="34" t="str">
        <x:v>Round2</x:v>
      </x:c>
      <x:c r="D4685" s="34" t="str">
        <x:v>JacksonDatabind_22</x:v>
      </x:c>
      <x:c r="E4685" s="34" t="str">
        <x:v>Condition</x:v>
      </x:c>
      <x:c r="F4685" s="34" t="n">
        <x:v>409</x:v>
      </x:c>
      <x:c r="G4685" s="34" t="str">
        <x:v>RECORDED</x:v>
      </x:c>
      <x:c r="H4685" s="38" t="n">
        <x:f>IF(ISNUMBER('Data'!I1269),'Data'!I1269*100,"")</x:f>
        <x:v>3.42</x:v>
      </x:c>
      <x:c r="I4685" s="34" t="str">
        <x:v>PASS</x:v>
      </x:c>
      <x:c r="J4685" s="34" t="str">
        <x:v>PASS</x:v>
      </x:c>
      <x:c r="K4685" s="34" t="str">
        <x:v>PASS</x:v>
      </x:c>
      <x:c r="L4685" s="34" t="str">
        <x:v>PASS</x:v>
      </x:c>
      <x:c r="M4685" s="34" t="str">
        <x:v>numeric coverage for applicable metric</x:v>
      </x:c>
      <x:c r="N4685" s="34" t="str">
        <x:v>Feedback-Directed Random Test Generation/Result_Round2/JacksonDatabind_22/result.json</x:v>
      </x:c>
      <x:c r="O4685" s="38" t="n">
        <x:f>IF(AND(G4685="RECORDED",ISNUMBER(H4685)),H4685,"")</x:f>
        <x:v>3.42</x:v>
      </x:c>
      <x:c r="P4685" s="34" t="str">
        <x:v>NOT_AVAILABLE</x:v>
      </x:c>
      <x:c r="Q4685" s="34" t="str">
        <x:v>Feedback-Directed Random Test Generation/Result_Round2/JacksonDatabind_22/result.json</x:v>
      </x:c>
    </x:row>
    <x:row r="4686">
      <x:c r="A4686" s="34" t="str">
        <x:v>randoop</x:v>
      </x:c>
      <x:c r="B4686" s="34" t="str">
        <x:v>JacksonDatabind</x:v>
      </x:c>
      <x:c r="C4686" s="34" t="str">
        <x:v>Round2</x:v>
      </x:c>
      <x:c r="D4686" s="34" t="str">
        <x:v>JacksonDatabind_23</x:v>
      </x:c>
      <x:c r="E4686" s="34" t="str">
        <x:v>Condition</x:v>
      </x:c>
      <x:c r="F4686" s="34" t="n">
        <x:v>20</x:v>
      </x:c>
      <x:c r="G4686" s="34" t="str">
        <x:v>RECORDED</x:v>
      </x:c>
      <x:c r="H4686" s="38" t="n">
        <x:f>IF(ISNUMBER('Data'!I1270),'Data'!I1270*100,"")</x:f>
        <x:v>40</x:v>
      </x:c>
      <x:c r="I4686" s="34" t="str">
        <x:v>PASS</x:v>
      </x:c>
      <x:c r="J4686" s="34" t="str">
        <x:v>PASS</x:v>
      </x:c>
      <x:c r="K4686" s="34" t="str">
        <x:v>PASS</x:v>
      </x:c>
      <x:c r="L4686" s="34" t="str">
        <x:v>PASS</x:v>
      </x:c>
      <x:c r="M4686" s="34" t="str">
        <x:v>numeric coverage for applicable metric</x:v>
      </x:c>
      <x:c r="N4686" s="34" t="str">
        <x:v>Feedback-Directed Random Test Generation/Result_Round2/JacksonDatabind_23/result.json</x:v>
      </x:c>
      <x:c r="O4686" s="38" t="n">
        <x:f>IF(AND(G4686="RECORDED",ISNUMBER(H4686)),H4686,"")</x:f>
        <x:v>40</x:v>
      </x:c>
      <x:c r="P4686" s="34" t="str">
        <x:v>INCONCLUSIVE</x:v>
      </x:c>
      <x:c r="Q4686" s="34" t="str">
        <x:v>Feedback-Directed Random Test Generation/Result_Round2/JacksonDatabind_23/result.json</x:v>
      </x:c>
    </x:row>
    <x:row r="4687">
      <x:c r="A4687" s="34" t="str">
        <x:v>randoop</x:v>
      </x:c>
      <x:c r="B4687" s="34" t="str">
        <x:v>JacksonDatabind</x:v>
      </x:c>
      <x:c r="C4687" s="34" t="str">
        <x:v>Round2</x:v>
      </x:c>
      <x:c r="D4687" s="34" t="str">
        <x:v>JacksonDatabind_24</x:v>
      </x:c>
      <x:c r="E4687" s="34" t="str">
        <x:v>Condition</x:v>
      </x:c>
      <x:c r="F4687" s="34" t="n">
        <x:v>26</x:v>
      </x:c>
      <x:c r="G4687" s="34" t="str">
        <x:v>RECORDED</x:v>
      </x:c>
      <x:c r="H4687" s="38" t="n">
        <x:f>IF(ISNUMBER('Data'!I1271),'Data'!I1271*100,"")</x:f>
        <x:v>0</x:v>
      </x:c>
      <x:c r="I4687" s="34" t="str">
        <x:v>PASS</x:v>
      </x:c>
      <x:c r="J4687" s="34" t="str">
        <x:v>PASS</x:v>
      </x:c>
      <x:c r="K4687" s="34" t="str">
        <x:v>PASS</x:v>
      </x:c>
      <x:c r="L4687" s="34" t="str">
        <x:v>PASS</x:v>
      </x:c>
      <x:c r="M4687" s="34" t="str">
        <x:v>numeric coverage for applicable metric</x:v>
      </x:c>
      <x:c r="N4687" s="34" t="str">
        <x:v>Feedback-Directed Random Test Generation/Result_Round2/JacksonDatabind_24/result.json</x:v>
      </x:c>
      <x:c r="O4687" s="38" t="n">
        <x:f>IF(AND(G4687="RECORDED",ISNUMBER(H4687)),H4687,"")</x:f>
        <x:v>0</x:v>
      </x:c>
      <x:c r="P4687" s="34" t="str">
        <x:v>NOT_REVEALING</x:v>
      </x:c>
      <x:c r="Q4687" s="34" t="str">
        <x:v>Feedback-Directed Random Test Generation/Result_Round2/JacksonDatabind_24/result.json</x:v>
      </x:c>
    </x:row>
    <x:row r="4688">
      <x:c r="A4688" s="34" t="str">
        <x:v>randoop</x:v>
      </x:c>
      <x:c r="B4688" s="34" t="str">
        <x:v>JacksonDatabind</x:v>
      </x:c>
      <x:c r="C4688" s="34" t="str">
        <x:v>Round2</x:v>
      </x:c>
      <x:c r="D4688" s="34" t="str">
        <x:v>JacksonDatabind_25</x:v>
      </x:c>
      <x:c r="E4688" s="34" t="str">
        <x:v>Condition</x:v>
      </x:c>
      <x:c r="F4688" s="34" t="n">
        <x:v>770</x:v>
      </x:c>
      <x:c r="G4688" s="34" t="str">
        <x:v>RECORDED</x:v>
      </x:c>
      <x:c r="H4688" s="38" t="n">
        <x:f>IF(ISNUMBER('Data'!I1272),'Data'!I1272*100,"")</x:f>
        <x:v>0.13</x:v>
      </x:c>
      <x:c r="I4688" s="34" t="str">
        <x:v>PASS</x:v>
      </x:c>
      <x:c r="J4688" s="34" t="str">
        <x:v>PASS</x:v>
      </x:c>
      <x:c r="K4688" s="34" t="str">
        <x:v>PASS</x:v>
      </x:c>
      <x:c r="L4688" s="34" t="str">
        <x:v>PASS</x:v>
      </x:c>
      <x:c r="M4688" s="34" t="str">
        <x:v>numeric coverage for applicable metric</x:v>
      </x:c>
      <x:c r="N4688" s="34" t="str">
        <x:v>Feedback-Directed Random Test Generation/Result_Round2/JacksonDatabind_25/result.json</x:v>
      </x:c>
      <x:c r="O4688" s="38" t="n">
        <x:f>IF(AND(G4688="RECORDED",ISNUMBER(H4688)),H4688,"")</x:f>
        <x:v>0.13</x:v>
      </x:c>
      <x:c r="P4688" s="34" t="str">
        <x:v>NOT_REVEALING</x:v>
      </x:c>
      <x:c r="Q4688" s="34" t="str">
        <x:v>Feedback-Directed Random Test Generation/Result_Round2/JacksonDatabind_25/result.json</x:v>
      </x:c>
    </x:row>
    <x:row r="4689">
      <x:c r="A4689" s="34" t="str">
        <x:v>randoop</x:v>
      </x:c>
      <x:c r="B4689" s="34" t="str">
        <x:v>JacksonDatabind</x:v>
      </x:c>
      <x:c r="C4689" s="34" t="str">
        <x:v>Round2</x:v>
      </x:c>
      <x:c r="D4689" s="34" t="str">
        <x:v>JacksonDatabind_26</x:v>
      </x:c>
      <x:c r="E4689" s="34" t="str">
        <x:v>Condition</x:v>
      </x:c>
      <x:c r="F4689" s="34" t="n">
        <x:v>148</x:v>
      </x:c>
      <x:c r="G4689" s="34" t="str">
        <x:v>RECORDED</x:v>
      </x:c>
      <x:c r="H4689" s="38" t="n">
        <x:f>IF(ISNUMBER('Data'!I1273),'Data'!I1273*100,"")</x:f>
        <x:v>23.65</x:v>
      </x:c>
      <x:c r="I4689" s="34" t="str">
        <x:v>PASS</x:v>
      </x:c>
      <x:c r="J4689" s="34" t="str">
        <x:v>PASS</x:v>
      </x:c>
      <x:c r="K4689" s="34" t="str">
        <x:v>PASS</x:v>
      </x:c>
      <x:c r="L4689" s="34" t="str">
        <x:v>FAIL</x:v>
      </x:c>
      <x:c r="M4689" s="34" t="str">
        <x:v>numeric coverage for applicable metric</x:v>
      </x:c>
      <x:c r="N4689" s="34" t="str">
        <x:v>Feedback-Directed Random Test Generation/Result_Round2/JacksonDatabind_26/result.json</x:v>
      </x:c>
      <x:c r="O4689" s="38" t="n">
        <x:f>IF(AND(G4689="RECORDED",ISNUMBER(H4689)),H4689,"")</x:f>
        <x:v>23.65</x:v>
      </x:c>
      <x:c r="P4689" s="34" t="str">
        <x:v>INCONCLUSIVE</x:v>
      </x:c>
      <x:c r="Q4689" s="34" t="str">
        <x:v>Feedback-Directed Random Test Generation/Result_Round2/JacksonDatabind_26/result.json</x:v>
      </x:c>
    </x:row>
    <x:row r="4690">
      <x:c r="A4690" s="34" t="str">
        <x:v>randoop</x:v>
      </x:c>
      <x:c r="B4690" s="34" t="str">
        <x:v>JacksonDatabind</x:v>
      </x:c>
      <x:c r="C4690" s="34" t="str">
        <x:v>Round2</x:v>
      </x:c>
      <x:c r="D4690" s="34" t="str">
        <x:v>JacksonDatabind_27</x:v>
      </x:c>
      <x:c r="E4690" s="34" t="str">
        <x:v>Condition</x:v>
      </x:c>
      <x:c r="F4690" s="34" t="n">
        <x:v>222</x:v>
      </x:c>
      <x:c r="G4690" s="34" t="str">
        <x:v>RECORDED</x:v>
      </x:c>
      <x:c r="H4690" s="38" t="n">
        <x:f>IF(ISNUMBER('Data'!I1274),'Data'!I1274*100,"")</x:f>
        <x:v>0</x:v>
      </x:c>
      <x:c r="I4690" s="34" t="str">
        <x:v>PASS</x:v>
      </x:c>
      <x:c r="J4690" s="34" t="str">
        <x:v>PASS</x:v>
      </x:c>
      <x:c r="K4690" s="34" t="str">
        <x:v>PASS</x:v>
      </x:c>
      <x:c r="L4690" s="34" t="str">
        <x:v>PASS</x:v>
      </x:c>
      <x:c r="M4690" s="34" t="str">
        <x:v>numeric coverage for applicable metric</x:v>
      </x:c>
      <x:c r="N4690" s="34" t="str">
        <x:v>Feedback-Directed Random Test Generation/Result_Round2/JacksonDatabind_27/result.json</x:v>
      </x:c>
      <x:c r="O4690" s="38" t="n">
        <x:f>IF(AND(G4690="RECORDED",ISNUMBER(H4690)),H4690,"")</x:f>
        <x:v>0</x:v>
      </x:c>
      <x:c r="P4690" s="34" t="str">
        <x:v>NOT_REVEALING</x:v>
      </x:c>
      <x:c r="Q4690" s="34" t="str">
        <x:v>Feedback-Directed Random Test Generation/Result_Round2/JacksonDatabind_27/result.json</x:v>
      </x:c>
    </x:row>
    <x:row r="4691">
      <x:c r="A4691" s="34" t="str">
        <x:v>randoop</x:v>
      </x:c>
      <x:c r="B4691" s="34" t="str">
        <x:v>JacksonDatabind</x:v>
      </x:c>
      <x:c r="C4691" s="34" t="str">
        <x:v>Round2</x:v>
      </x:c>
      <x:c r="D4691" s="34" t="str">
        <x:v>JacksonDatabind_28</x:v>
      </x:c>
      <x:c r="E4691" s="34" t="str">
        <x:v>Condition</x:v>
      </x:c>
      <x:c r="F4691" s="34" t="n">
        <x:v>13</x:v>
      </x:c>
      <x:c r="G4691" s="34" t="str">
        <x:v>RECORDED</x:v>
      </x:c>
      <x:c r="H4691" s="38" t="n">
        <x:f>IF(ISNUMBER('Data'!I1275),'Data'!I1275*100,"")</x:f>
        <x:v>0</x:v>
      </x:c>
      <x:c r="I4691" s="34" t="str">
        <x:v>PASS</x:v>
      </x:c>
      <x:c r="J4691" s="34" t="str">
        <x:v>PASS</x:v>
      </x:c>
      <x:c r="K4691" s="34" t="str">
        <x:v>PASS</x:v>
      </x:c>
      <x:c r="L4691" s="34" t="str">
        <x:v>PASS</x:v>
      </x:c>
      <x:c r="M4691" s="34" t="str">
        <x:v>numeric coverage for applicable metric</x:v>
      </x:c>
      <x:c r="N4691" s="34" t="str">
        <x:v>Feedback-Directed Random Test Generation/Result_Round2/JacksonDatabind_28/result.json</x:v>
      </x:c>
      <x:c r="O4691" s="38" t="n">
        <x:f>IF(AND(G4691="RECORDED",ISNUMBER(H4691)),H4691,"")</x:f>
        <x:v>0</x:v>
      </x:c>
      <x:c r="P4691" s="34" t="str">
        <x:v>NOT_REVEALING</x:v>
      </x:c>
      <x:c r="Q4691" s="34" t="str">
        <x:v>Feedback-Directed Random Test Generation/Result_Round2/JacksonDatabind_28/result.json</x:v>
      </x:c>
    </x:row>
    <x:row r="4692">
      <x:c r="A4692" s="34" t="str">
        <x:v>randoop</x:v>
      </x:c>
      <x:c r="B4692" s="34" t="str">
        <x:v>JacksonDatabind</x:v>
      </x:c>
      <x:c r="C4692" s="34" t="str">
        <x:v>Round2</x:v>
      </x:c>
      <x:c r="D4692" s="34" t="str">
        <x:v>JacksonDatabind_29</x:v>
      </x:c>
      <x:c r="E4692" s="34" t="str">
        <x:v>Condition</x:v>
      </x:c>
      <x:c r="F4692" s="34" t="n">
        <x:v>62</x:v>
      </x:c>
      <x:c r="G4692" s="34" t="str">
        <x:v>RECORDED</x:v>
      </x:c>
      <x:c r="H4692" s="38" t="n">
        <x:f>IF(ISNUMBER('Data'!I1276),'Data'!I1276*100,"")</x:f>
        <x:v>8.06</x:v>
      </x:c>
      <x:c r="I4692" s="34" t="str">
        <x:v>PASS</x:v>
      </x:c>
      <x:c r="J4692" s="34" t="str">
        <x:v>PASS</x:v>
      </x:c>
      <x:c r="K4692" s="34" t="str">
        <x:v>PASS</x:v>
      </x:c>
      <x:c r="L4692" s="34" t="str">
        <x:v>PASS</x:v>
      </x:c>
      <x:c r="M4692" s="34" t="str">
        <x:v>numeric coverage for applicable metric</x:v>
      </x:c>
      <x:c r="N4692" s="34" t="str">
        <x:v>Feedback-Directed Random Test Generation/Result_Round2/JacksonDatabind_29/result.json</x:v>
      </x:c>
      <x:c r="O4692" s="38" t="n">
        <x:f>IF(AND(G4692="RECORDED",ISNUMBER(H4692)),H4692,"")</x:f>
        <x:v>8.06</x:v>
      </x:c>
      <x:c r="P4692" s="34" t="str">
        <x:v>NOT_REVEALING</x:v>
      </x:c>
      <x:c r="Q4692" s="34" t="str">
        <x:v>Feedback-Directed Random Test Generation/Result_Round2/JacksonDatabind_29/result.json</x:v>
      </x:c>
    </x:row>
    <x:row r="4693">
      <x:c r="A4693" s="34" t="str">
        <x:v>randoop</x:v>
      </x:c>
      <x:c r="B4693" s="34" t="str">
        <x:v>JacksonDatabind</x:v>
      </x:c>
      <x:c r="C4693" s="34" t="str">
        <x:v>Round2</x:v>
      </x:c>
      <x:c r="D4693" s="34" t="str">
        <x:v>JacksonDatabind_30</x:v>
      </x:c>
      <x:c r="E4693" s="34" t="str">
        <x:v>Condition</x:v>
      </x:c>
      <x:c r="F4693" s="34" t="n">
        <x:v>536</x:v>
      </x:c>
      <x:c r="G4693" s="34" t="str">
        <x:v>RECORDED</x:v>
      </x:c>
      <x:c r="H4693" s="38" t="n">
        <x:f>IF(ISNUMBER('Data'!I1277),'Data'!I1277*100,"")</x:f>
        <x:v>37.69</x:v>
      </x:c>
      <x:c r="I4693" s="34" t="str">
        <x:v>PASS</x:v>
      </x:c>
      <x:c r="J4693" s="34" t="str">
        <x:v>PASS</x:v>
      </x:c>
      <x:c r="K4693" s="34" t="str">
        <x:v>PASS</x:v>
      </x:c>
      <x:c r="L4693" s="34" t="str">
        <x:v>FAIL</x:v>
      </x:c>
      <x:c r="M4693" s="34" t="str">
        <x:v>numeric coverage for applicable metric</x:v>
      </x:c>
      <x:c r="N4693" s="34" t="str">
        <x:v>Feedback-Directed Random Test Generation/Result_Round2/JacksonDatabind_30/result.json</x:v>
      </x:c>
      <x:c r="O4693" s="38" t="n">
        <x:f>IF(AND(G4693="RECORDED",ISNUMBER(H4693)),H4693,"")</x:f>
        <x:v>37.69</x:v>
      </x:c>
      <x:c r="P4693" s="34" t="str">
        <x:v>INCONCLUSIVE</x:v>
      </x:c>
      <x:c r="Q4693" s="34" t="str">
        <x:v>Feedback-Directed Random Test Generation/Result_Round2/JacksonDatabind_30/result.json</x:v>
      </x:c>
    </x:row>
    <x:row r="4694">
      <x:c r="A4694" s="34" t="str">
        <x:v>randoop</x:v>
      </x:c>
      <x:c r="B4694" s="34" t="str">
        <x:v>JacksonDatabind</x:v>
      </x:c>
      <x:c r="C4694" s="34" t="str">
        <x:v>Round2</x:v>
      </x:c>
      <x:c r="D4694" s="34" t="str">
        <x:v>JacksonDatabind_31</x:v>
      </x:c>
      <x:c r="E4694" s="34" t="str">
        <x:v>Condition</x:v>
      </x:c>
      <x:c r="F4694" s="34" t="n">
        <x:v>342</x:v>
      </x:c>
      <x:c r="G4694" s="34" t="str">
        <x:v>RECORDED</x:v>
      </x:c>
      <x:c r="H4694" s="38" t="n">
        <x:f>IF(ISNUMBER('Data'!I1278),'Data'!I1278*100,"")</x:f>
        <x:v>57.60000000000001</x:v>
      </x:c>
      <x:c r="I4694" s="34" t="str">
        <x:v>PASS</x:v>
      </x:c>
      <x:c r="J4694" s="34" t="str">
        <x:v>PASS</x:v>
      </x:c>
      <x:c r="K4694" s="34" t="str">
        <x:v>PASS</x:v>
      </x:c>
      <x:c r="L4694" s="34" t="str">
        <x:v>PASS</x:v>
      </x:c>
      <x:c r="M4694" s="34" t="str">
        <x:v>numeric coverage for applicable metric</x:v>
      </x:c>
      <x:c r="N4694" s="34" t="str">
        <x:v>Feedback-Directed Random Test Generation/Result_Round2/JacksonDatabind_31/result.json</x:v>
      </x:c>
      <x:c r="O4694" s="38" t="n">
        <x:f>IF(AND(G4694="RECORDED",ISNUMBER(H4694)),H4694,"")</x:f>
        <x:v>57.60000000000001</x:v>
      </x:c>
      <x:c r="P4694" s="34" t="str">
        <x:v>INCONCLUSIVE</x:v>
      </x:c>
      <x:c r="Q4694" s="34" t="str">
        <x:v>Feedback-Directed Random Test Generation/Result_Round2/JacksonDatabind_31/result.json</x:v>
      </x:c>
    </x:row>
    <x:row r="4695">
      <x:c r="A4695" s="34" t="str">
        <x:v>randoop</x:v>
      </x:c>
      <x:c r="B4695" s="34" t="str">
        <x:v>JacksonDatabind</x:v>
      </x:c>
      <x:c r="C4695" s="34" t="str">
        <x:v>Round2</x:v>
      </x:c>
      <x:c r="D4695" s="34" t="str">
        <x:v>JacksonDatabind_32</x:v>
      </x:c>
      <x:c r="E4695" s="34" t="str">
        <x:v>Condition</x:v>
      </x:c>
      <x:c r="F4695" s="34" t="n">
        <x:v>145</x:v>
      </x:c>
      <x:c r="G4695" s="34" t="str">
        <x:v>RECORDED</x:v>
      </x:c>
      <x:c r="H4695" s="38" t="n">
        <x:f>IF(ISNUMBER('Data'!I1279),'Data'!I1279*100,"")</x:f>
        <x:v>6.9</x:v>
      </x:c>
      <x:c r="I4695" s="34" t="str">
        <x:v>PASS</x:v>
      </x:c>
      <x:c r="J4695" s="34" t="str">
        <x:v>PASS</x:v>
      </x:c>
      <x:c r="K4695" s="34" t="str">
        <x:v>PASS</x:v>
      </x:c>
      <x:c r="L4695" s="34" t="str">
        <x:v>FAIL</x:v>
      </x:c>
      <x:c r="M4695" s="34" t="str">
        <x:v>numeric coverage for applicable metric</x:v>
      </x:c>
      <x:c r="N4695" s="34" t="str">
        <x:v>Feedback-Directed Random Test Generation/Result_Round2/JacksonDatabind_32/result.json</x:v>
      </x:c>
      <x:c r="O4695" s="38" t="n">
        <x:f>IF(AND(G4695="RECORDED",ISNUMBER(H4695)),H4695,"")</x:f>
        <x:v>6.9</x:v>
      </x:c>
      <x:c r="P4695" s="34" t="str">
        <x:v>INCONCLUSIVE</x:v>
      </x:c>
      <x:c r="Q4695" s="34" t="str">
        <x:v>Feedback-Directed Random Test Generation/Result_Round2/JacksonDatabind_32/result.json</x:v>
      </x:c>
    </x:row>
    <x:row r="4696">
      <x:c r="A4696" s="34" t="str">
        <x:v>randoop</x:v>
      </x:c>
      <x:c r="B4696" s="34" t="str">
        <x:v>JacksonDatabind</x:v>
      </x:c>
      <x:c r="C4696" s="34" t="str">
        <x:v>Round2</x:v>
      </x:c>
      <x:c r="D4696" s="34" t="str">
        <x:v>JacksonDatabind_33</x:v>
      </x:c>
      <x:c r="E4696" s="34" t="str">
        <x:v>Condition</x:v>
      </x:c>
      <x:c r="F4696" s="34" t="n">
        <x:v>276</x:v>
      </x:c>
      <x:c r="G4696" s="34" t="str">
        <x:v>RECORDED</x:v>
      </x:c>
      <x:c r="H4696" s="38" t="n">
        <x:f>IF(ISNUMBER('Data'!I1280),'Data'!I1280*100,"")</x:f>
        <x:v>1.81</x:v>
      </x:c>
      <x:c r="I4696" s="34" t="str">
        <x:v>PASS</x:v>
      </x:c>
      <x:c r="J4696" s="34" t="str">
        <x:v>PASS</x:v>
      </x:c>
      <x:c r="K4696" s="34" t="str">
        <x:v>PASS</x:v>
      </x:c>
      <x:c r="L4696" s="34" t="str">
        <x:v>PASS</x:v>
      </x:c>
      <x:c r="M4696" s="34" t="str">
        <x:v>numeric coverage for applicable metric</x:v>
      </x:c>
      <x:c r="N4696" s="34" t="str">
        <x:v>Feedback-Directed Random Test Generation/Result_Round2/JacksonDatabind_33/result.json</x:v>
      </x:c>
      <x:c r="O4696" s="38" t="n">
        <x:f>IF(AND(G4696="RECORDED",ISNUMBER(H4696)),H4696,"")</x:f>
        <x:v>1.81</x:v>
      </x:c>
      <x:c r="P4696" s="34" t="str">
        <x:v>NOT_REVEALING</x:v>
      </x:c>
      <x:c r="Q4696" s="34" t="str">
        <x:v>Feedback-Directed Random Test Generation/Result_Round2/JacksonDatabind_33/result.json</x:v>
      </x:c>
    </x:row>
    <x:row r="4697">
      <x:c r="A4697" s="34" t="str">
        <x:v>randoop</x:v>
      </x:c>
      <x:c r="B4697" s="34" t="str">
        <x:v>JacksonDatabind</x:v>
      </x:c>
      <x:c r="C4697" s="34" t="str">
        <x:v>Round2</x:v>
      </x:c>
      <x:c r="D4697" s="34" t="str">
        <x:v>JacksonDatabind_34</x:v>
      </x:c>
      <x:c r="E4697" s="34" t="str">
        <x:v>Condition</x:v>
      </x:c>
      <x:c r="F4697" s="34" t="n">
        <x:v>24</x:v>
      </x:c>
      <x:c r="G4697" s="34" t="str">
        <x:v>RECORDED</x:v>
      </x:c>
      <x:c r="H4697" s="38" t="n">
        <x:f>IF(ISNUMBER('Data'!I1281),'Data'!I1281*100,"")</x:f>
        <x:v>75</x:v>
      </x:c>
      <x:c r="I4697" s="34" t="str">
        <x:v>PASS</x:v>
      </x:c>
      <x:c r="J4697" s="34" t="str">
        <x:v>PASS</x:v>
      </x:c>
      <x:c r="K4697" s="34" t="str">
        <x:v>PASS</x:v>
      </x:c>
      <x:c r="L4697" s="34" t="str">
        <x:v>PASS</x:v>
      </x:c>
      <x:c r="M4697" s="34" t="str">
        <x:v>numeric coverage for applicable metric</x:v>
      </x:c>
      <x:c r="N4697" s="34" t="str">
        <x:v>Feedback-Directed Random Test Generation/Result_Round2/JacksonDatabind_34/result.json</x:v>
      </x:c>
      <x:c r="O4697" s="38" t="n">
        <x:f>IF(AND(G4697="RECORDED",ISNUMBER(H4697)),H4697,"")</x:f>
        <x:v>75</x:v>
      </x:c>
      <x:c r="P4697" s="34" t="str">
        <x:v>NOT_REVEALING</x:v>
      </x:c>
      <x:c r="Q4697" s="34" t="str">
        <x:v>Feedback-Directed Random Test Generation/Result_Round2/JacksonDatabind_34/result.json</x:v>
      </x:c>
    </x:row>
    <x:row r="4698">
      <x:c r="A4698" s="34" t="str">
        <x:v>randoop</x:v>
      </x:c>
      <x:c r="B4698" s="34" t="str">
        <x:v>JacksonDatabind</x:v>
      </x:c>
      <x:c r="C4698" s="34" t="str">
        <x:v>Round2</x:v>
      </x:c>
      <x:c r="D4698" s="34" t="str">
        <x:v>JacksonDatabind_35</x:v>
      </x:c>
      <x:c r="E4698" s="34" t="str">
        <x:v>Condition</x:v>
      </x:c>
      <x:c r="F4698" s="34" t="n">
        <x:v>16</x:v>
      </x:c>
      <x:c r="G4698" s="34" t="str">
        <x:v>RECORDED</x:v>
      </x:c>
      <x:c r="H4698" s="38" t="n">
        <x:f>IF(ISNUMBER('Data'!I1282),'Data'!I1282*100,"")</x:f>
        <x:v>0</x:v>
      </x:c>
      <x:c r="I4698" s="34" t="str">
        <x:v>PASS</x:v>
      </x:c>
      <x:c r="J4698" s="34" t="str">
        <x:v>PASS</x:v>
      </x:c>
      <x:c r="K4698" s="34" t="str">
        <x:v>PASS</x:v>
      </x:c>
      <x:c r="L4698" s="34" t="str">
        <x:v>PASS</x:v>
      </x:c>
      <x:c r="M4698" s="34" t="str">
        <x:v>numeric coverage for applicable metric</x:v>
      </x:c>
      <x:c r="N4698" s="34" t="str">
        <x:v>Feedback-Directed Random Test Generation/Result_Round2/JacksonDatabind_35/result.json</x:v>
      </x:c>
      <x:c r="O4698" s="38" t="n">
        <x:f>IF(AND(G4698="RECORDED",ISNUMBER(H4698)),H4698,"")</x:f>
        <x:v>0</x:v>
      </x:c>
      <x:c r="P4698" s="34" t="str">
        <x:v>NOT_REVEALING</x:v>
      </x:c>
      <x:c r="Q4698" s="34" t="str">
        <x:v>Feedback-Directed Random Test Generation/Result_Round2/JacksonDatabind_35/result.json</x:v>
      </x:c>
    </x:row>
    <x:row r="4699">
      <x:c r="A4699" s="34" t="str">
        <x:v>randoop</x:v>
      </x:c>
      <x:c r="B4699" s="34" t="str">
        <x:v>JacksonDatabind</x:v>
      </x:c>
      <x:c r="C4699" s="34" t="str">
        <x:v>Round2</x:v>
      </x:c>
      <x:c r="D4699" s="34" t="str">
        <x:v>JacksonDatabind_36</x:v>
      </x:c>
      <x:c r="E4699" s="34" t="str">
        <x:v>Condition</x:v>
      </x:c>
      <x:c r="F4699" s="34" t="n">
        <x:v>130</x:v>
      </x:c>
      <x:c r="G4699" s="34" t="str">
        <x:v>RECORDED</x:v>
      </x:c>
      <x:c r="H4699" s="38" t="n">
        <x:f>IF(ISNUMBER('Data'!I1283),'Data'!I1283*100,"")</x:f>
        <x:v>78.46</x:v>
      </x:c>
      <x:c r="I4699" s="34" t="str">
        <x:v>PASS</x:v>
      </x:c>
      <x:c r="J4699" s="34" t="str">
        <x:v>PASS</x:v>
      </x:c>
      <x:c r="K4699" s="34" t="str">
        <x:v>PASS</x:v>
      </x:c>
      <x:c r="L4699" s="34" t="str">
        <x:v>FAIL</x:v>
      </x:c>
      <x:c r="M4699" s="34" t="str">
        <x:v>numeric coverage for applicable metric</x:v>
      </x:c>
      <x:c r="N4699" s="34" t="str">
        <x:v>Feedback-Directed Random Test Generation/Result_Round2/JacksonDatabind_36/result.json</x:v>
      </x:c>
      <x:c r="O4699" s="38" t="n">
        <x:f>IF(AND(G4699="RECORDED",ISNUMBER(H4699)),H4699,"")</x:f>
        <x:v>78.46</x:v>
      </x:c>
      <x:c r="P4699" s="34" t="str">
        <x:v>INCONCLUSIVE</x:v>
      </x:c>
      <x:c r="Q4699" s="34" t="str">
        <x:v>Feedback-Directed Random Test Generation/Result_Round2/JacksonDatabind_36/result.json</x:v>
      </x:c>
    </x:row>
    <x:row r="4700">
      <x:c r="A4700" s="34" t="str">
        <x:v>randoop</x:v>
      </x:c>
      <x:c r="B4700" s="34" t="str">
        <x:v>JacksonDatabind</x:v>
      </x:c>
      <x:c r="C4700" s="34" t="str">
        <x:v>Round2</x:v>
      </x:c>
      <x:c r="D4700" s="34" t="str">
        <x:v>JacksonDatabind_37</x:v>
      </x:c>
      <x:c r="E4700" s="34" t="str">
        <x:v>Condition</x:v>
      </x:c>
      <x:c r="F4700" s="34" t="n">
        <x:v>32</x:v>
      </x:c>
      <x:c r="G4700" s="34" t="str">
        <x:v>RECORDED</x:v>
      </x:c>
      <x:c r="H4700" s="38" t="n">
        <x:f>IF(ISNUMBER('Data'!I1284),'Data'!I1284*100,"")</x:f>
        <x:v>0</x:v>
      </x:c>
      <x:c r="I4700" s="34" t="str">
        <x:v>PASS</x:v>
      </x:c>
      <x:c r="J4700" s="34" t="str">
        <x:v>PASS</x:v>
      </x:c>
      <x:c r="K4700" s="34" t="str">
        <x:v>PASS</x:v>
      </x:c>
      <x:c r="L4700" s="34" t="str">
        <x:v>PASS</x:v>
      </x:c>
      <x:c r="M4700" s="34" t="str">
        <x:v>numeric coverage for applicable metric</x:v>
      </x:c>
      <x:c r="N4700" s="34" t="str">
        <x:v>Feedback-Directed Random Test Generation/Result_Round2/JacksonDatabind_37/result.json</x:v>
      </x:c>
      <x:c r="O4700" s="38" t="n">
        <x:f>IF(AND(G4700="RECORDED",ISNUMBER(H4700)),H4700,"")</x:f>
        <x:v>0</x:v>
      </x:c>
      <x:c r="P4700" s="34" t="str">
        <x:v>NOT_REVEALING</x:v>
      </x:c>
      <x:c r="Q4700" s="34" t="str">
        <x:v>Feedback-Directed Random Test Generation/Result_Round2/JacksonDatabind_37/result.json</x:v>
      </x:c>
    </x:row>
    <x:row r="4701">
      <x:c r="A4701" s="34" t="str">
        <x:v>randoop</x:v>
      </x:c>
      <x:c r="B4701" s="34" t="str">
        <x:v>JacksonDatabind</x:v>
      </x:c>
      <x:c r="C4701" s="34" t="str">
        <x:v>Round2</x:v>
      </x:c>
      <x:c r="D4701" s="34" t="str">
        <x:v>JacksonDatabind_38</x:v>
      </x:c>
      <x:c r="E4701" s="34" t="str">
        <x:v>Condition</x:v>
      </x:c>
      <x:c r="F4701" s="34" t="n">
        <x:v>42</x:v>
      </x:c>
      <x:c r="G4701" s="34" t="str">
        <x:v>RECORDED</x:v>
      </x:c>
      <x:c r="H4701" s="38" t="n">
        <x:f>IF(ISNUMBER('Data'!I1285),'Data'!I1285*100,"")</x:f>
        <x:v>0</x:v>
      </x:c>
      <x:c r="I4701" s="34" t="str">
        <x:v>PASS</x:v>
      </x:c>
      <x:c r="J4701" s="34" t="str">
        <x:v>PASS</x:v>
      </x:c>
      <x:c r="K4701" s="34" t="str">
        <x:v>PASS</x:v>
      </x:c>
      <x:c r="L4701" s="34" t="str">
        <x:v>PASS</x:v>
      </x:c>
      <x:c r="M4701" s="34" t="str">
        <x:v>numeric coverage for applicable metric</x:v>
      </x:c>
      <x:c r="N4701" s="34" t="str">
        <x:v>Feedback-Directed Random Test Generation/Result_Round2/JacksonDatabind_38/result.json</x:v>
      </x:c>
      <x:c r="O4701" s="38" t="n">
        <x:f>IF(AND(G4701="RECORDED",ISNUMBER(H4701)),H4701,"")</x:f>
        <x:v>0</x:v>
      </x:c>
      <x:c r="P4701" s="34" t="str">
        <x:v>NOT_REVEALING</x:v>
      </x:c>
      <x:c r="Q4701" s="34" t="str">
        <x:v>Feedback-Directed Random Test Generation/Result_Round2/JacksonDatabind_38/result.json</x:v>
      </x:c>
    </x:row>
    <x:row r="4702">
      <x:c r="A4702" s="34" t="str">
        <x:v>randoop</x:v>
      </x:c>
      <x:c r="B4702" s="34" t="str">
        <x:v>JacksonDatabind</x:v>
      </x:c>
      <x:c r="C4702" s="34" t="str">
        <x:v>Round2</x:v>
      </x:c>
      <x:c r="D4702" s="34" t="str">
        <x:v>JacksonDatabind_39</x:v>
      </x:c>
      <x:c r="E4702" s="34" t="str">
        <x:v>Condition</x:v>
      </x:c>
      <x:c r="F4702" s="34" t="n">
        <x:v>2</x:v>
      </x:c>
      <x:c r="G4702" s="34" t="str">
        <x:v>RECORDED</x:v>
      </x:c>
      <x:c r="H4702" s="38" t="n">
        <x:f>IF(ISNUMBER('Data'!I1286),'Data'!I1286*100,"")</x:f>
        <x:v>0</x:v>
      </x:c>
      <x:c r="I4702" s="34" t="str">
        <x:v>PASS</x:v>
      </x:c>
      <x:c r="J4702" s="34" t="str">
        <x:v>PASS</x:v>
      </x:c>
      <x:c r="K4702" s="34" t="str">
        <x:v>PASS</x:v>
      </x:c>
      <x:c r="L4702" s="34" t="str">
        <x:v>PASS</x:v>
      </x:c>
      <x:c r="M4702" s="34" t="str">
        <x:v>numeric coverage for applicable metric</x:v>
      </x:c>
      <x:c r="N4702" s="34" t="str">
        <x:v>Feedback-Directed Random Test Generation/Result_Round2/JacksonDatabind_39/result.json</x:v>
      </x:c>
      <x:c r="O4702" s="38" t="n">
        <x:f>IF(AND(G4702="RECORDED",ISNUMBER(H4702)),H4702,"")</x:f>
        <x:v>0</x:v>
      </x:c>
      <x:c r="P4702" s="34" t="str">
        <x:v>NOT_REVEALING</x:v>
      </x:c>
      <x:c r="Q4702" s="34" t="str">
        <x:v>Feedback-Directed Random Test Generation/Result_Round2/JacksonDatabind_39/result.json</x:v>
      </x:c>
    </x:row>
    <x:row r="4703">
      <x:c r="A4703" s="34" t="str">
        <x:v>randoop</x:v>
      </x:c>
      <x:c r="B4703" s="34" t="str">
        <x:v>JacksonDatabind</x:v>
      </x:c>
      <x:c r="C4703" s="34" t="str">
        <x:v>Round2</x:v>
      </x:c>
      <x:c r="D4703" s="34" t="str">
        <x:v>JacksonDatabind_40</x:v>
      </x:c>
      <x:c r="E4703" s="34" t="str">
        <x:v>Condition</x:v>
      </x:c>
      <x:c r="F4703" s="34" t="n">
        <x:v>130</x:v>
      </x:c>
      <x:c r="G4703" s="34" t="str">
        <x:v>RECORDED</x:v>
      </x:c>
      <x:c r="H4703" s="38" t="n">
        <x:f>IF(ISNUMBER('Data'!I1287),'Data'!I1287*100,"")</x:f>
        <x:v>1.54</x:v>
      </x:c>
      <x:c r="I4703" s="34" t="str">
        <x:v>PASS</x:v>
      </x:c>
      <x:c r="J4703" s="34" t="str">
        <x:v>PASS</x:v>
      </x:c>
      <x:c r="K4703" s="34" t="str">
        <x:v>PASS</x:v>
      </x:c>
      <x:c r="L4703" s="34" t="str">
        <x:v>PASS</x:v>
      </x:c>
      <x:c r="M4703" s="34" t="str">
        <x:v>numeric coverage for applicable metric</x:v>
      </x:c>
      <x:c r="N4703" s="34" t="str">
        <x:v>Feedback-Directed Random Test Generation/Result_Round2/JacksonDatabind_40/result.json</x:v>
      </x:c>
      <x:c r="O4703" s="38" t="n">
        <x:f>IF(AND(G4703="RECORDED",ISNUMBER(H4703)),H4703,"")</x:f>
        <x:v>1.54</x:v>
      </x:c>
      <x:c r="P4703" s="34" t="str">
        <x:v>INCONCLUSIVE</x:v>
      </x:c>
      <x:c r="Q4703" s="34" t="str">
        <x:v>Feedback-Directed Random Test Generation/Result_Round2/JacksonDatabind_40/result.json</x:v>
      </x:c>
    </x:row>
    <x:row r="4704">
      <x:c r="A4704" s="34" t="str">
        <x:v>randoop</x:v>
      </x:c>
      <x:c r="B4704" s="34" t="str">
        <x:v>JacksonDatabind</x:v>
      </x:c>
      <x:c r="C4704" s="34" t="str">
        <x:v>Round2</x:v>
      </x:c>
      <x:c r="D4704" s="34" t="str">
        <x:v>JacksonDatabind_41</x:v>
      </x:c>
      <x:c r="E4704" s="34" t="str">
        <x:v>Condition</x:v>
      </x:c>
      <x:c r="F4704" s="34" t="n">
        <x:v>213</x:v>
      </x:c>
      <x:c r="G4704" s="34" t="str">
        <x:v>RECORDED</x:v>
      </x:c>
      <x:c r="H4704" s="38" t="n">
        <x:f>IF(ISNUMBER('Data'!I1288),'Data'!I1288*100,"")</x:f>
        <x:v>34.74</x:v>
      </x:c>
      <x:c r="I4704" s="34" t="str">
        <x:v>PASS</x:v>
      </x:c>
      <x:c r="J4704" s="34" t="str">
        <x:v>PASS</x:v>
      </x:c>
      <x:c r="K4704" s="34" t="str">
        <x:v>PASS</x:v>
      </x:c>
      <x:c r="L4704" s="34" t="str">
        <x:v>PASS</x:v>
      </x:c>
      <x:c r="M4704" s="34" t="str">
        <x:v>numeric coverage for applicable metric</x:v>
      </x:c>
      <x:c r="N4704" s="34" t="str">
        <x:v>Feedback-Directed Random Test Generation/Result_Round2/JacksonDatabind_41/result.json</x:v>
      </x:c>
      <x:c r="O4704" s="38" t="n">
        <x:f>IF(AND(G4704="RECORDED",ISNUMBER(H4704)),H4704,"")</x:f>
        <x:v>34.74</x:v>
      </x:c>
      <x:c r="P4704" s="34" t="str">
        <x:v>INCONCLUSIVE</x:v>
      </x:c>
      <x:c r="Q4704" s="34" t="str">
        <x:v>Feedback-Directed Random Test Generation/Result_Round2/JacksonDatabind_41/result.json</x:v>
      </x:c>
    </x:row>
    <x:row r="4705">
      <x:c r="A4705" s="34" t="str">
        <x:v>randoop</x:v>
      </x:c>
      <x:c r="B4705" s="34" t="str">
        <x:v>JacksonDatabind</x:v>
      </x:c>
      <x:c r="C4705" s="34" t="str">
        <x:v>Round2</x:v>
      </x:c>
      <x:c r="D4705" s="34" t="str">
        <x:v>JacksonDatabind_42</x:v>
      </x:c>
      <x:c r="E4705" s="34" t="str">
        <x:v>Condition</x:v>
      </x:c>
      <x:c r="F4705" s="34" t="n">
        <x:v>79</x:v>
      </x:c>
      <x:c r="G4705" s="34" t="str">
        <x:v>RECORDED</x:v>
      </x:c>
      <x:c r="H4705" s="38" t="n">
        <x:f>IF(ISNUMBER('Data'!I1289),'Data'!I1289*100,"")</x:f>
        <x:v>0</x:v>
      </x:c>
      <x:c r="I4705" s="34" t="str">
        <x:v>PASS</x:v>
      </x:c>
      <x:c r="J4705" s="34" t="str">
        <x:v>PASS</x:v>
      </x:c>
      <x:c r="K4705" s="34" t="str">
        <x:v>PASS</x:v>
      </x:c>
      <x:c r="L4705" s="34" t="str">
        <x:v>PASS</x:v>
      </x:c>
      <x:c r="M4705" s="34" t="str">
        <x:v>numeric coverage for applicable metric</x:v>
      </x:c>
      <x:c r="N4705" s="34" t="str">
        <x:v>Feedback-Directed Random Test Generation/Result_Round2/JacksonDatabind_42/result.json</x:v>
      </x:c>
      <x:c r="O4705" s="38" t="n">
        <x:f>IF(AND(G4705="RECORDED",ISNUMBER(H4705)),H4705,"")</x:f>
        <x:v>0</x:v>
      </x:c>
      <x:c r="P4705" s="34" t="str">
        <x:v>NOT_REVEALING</x:v>
      </x:c>
      <x:c r="Q4705" s="34" t="str">
        <x:v>Feedback-Directed Random Test Generation/Result_Round2/JacksonDatabind_42/result.json</x:v>
      </x:c>
    </x:row>
    <x:row r="4706">
      <x:c r="A4706" s="34" t="str">
        <x:v>randoop</x:v>
      </x:c>
      <x:c r="B4706" s="34" t="str">
        <x:v>JacksonDatabind</x:v>
      </x:c>
      <x:c r="C4706" s="34" t="str">
        <x:v>Round2</x:v>
      </x:c>
      <x:c r="D4706" s="34" t="str">
        <x:v>JacksonDatabind_43</x:v>
      </x:c>
      <x:c r="E4706" s="34" t="str">
        <x:v>Condition</x:v>
      </x:c>
      <x:c r="F4706" s="34" t="n">
        <x:v>6</x:v>
      </x:c>
      <x:c r="G4706" s="34" t="str">
        <x:v>RECORDED</x:v>
      </x:c>
      <x:c r="H4706" s="38" t="n">
        <x:f>IF(ISNUMBER('Data'!I1290),'Data'!I1290*100,"")</x:f>
        <x:v>0</x:v>
      </x:c>
      <x:c r="I4706" s="34" t="str">
        <x:v>PASS</x:v>
      </x:c>
      <x:c r="J4706" s="34" t="str">
        <x:v>PASS</x:v>
      </x:c>
      <x:c r="K4706" s="34" t="str">
        <x:v>PASS</x:v>
      </x:c>
      <x:c r="L4706" s="34" t="str">
        <x:v>PASS</x:v>
      </x:c>
      <x:c r="M4706" s="34" t="str">
        <x:v>numeric coverage for applicable metric</x:v>
      </x:c>
      <x:c r="N4706" s="34" t="str">
        <x:v>Feedback-Directed Random Test Generation/Result_Round2/JacksonDatabind_43/result.json</x:v>
      </x:c>
      <x:c r="O4706" s="38" t="n">
        <x:f>IF(AND(G4706="RECORDED",ISNUMBER(H4706)),H4706,"")</x:f>
        <x:v>0</x:v>
      </x:c>
      <x:c r="P4706" s="34" t="str">
        <x:v>NOT_REVEALING</x:v>
      </x:c>
      <x:c r="Q4706" s="34" t="str">
        <x:v>Feedback-Directed Random Test Generation/Result_Round2/JacksonDatabind_43/result.json</x:v>
      </x:c>
    </x:row>
    <x:row r="4707">
      <x:c r="A4707" s="34" t="str">
        <x:v>randoop</x:v>
      </x:c>
      <x:c r="B4707" s="34" t="str">
        <x:v>JacksonDatabind</x:v>
      </x:c>
      <x:c r="C4707" s="34" t="str">
        <x:v>Round2</x:v>
      </x:c>
      <x:c r="D4707" s="34" t="str">
        <x:v>JacksonDatabind_44</x:v>
      </x:c>
      <x:c r="E4707" s="34" t="str">
        <x:v>Condition</x:v>
      </x:c>
      <x:c r="F4707" s="34" t="n">
        <x:v>36</x:v>
      </x:c>
      <x:c r="G4707" s="34" t="str">
        <x:v>RECORDED</x:v>
      </x:c>
      <x:c r="H4707" s="38" t="n">
        <x:f>IF(ISNUMBER('Data'!I1291),'Data'!I1291*100,"")</x:f>
        <x:v>0</x:v>
      </x:c>
      <x:c r="I4707" s="34" t="str">
        <x:v>PASS</x:v>
      </x:c>
      <x:c r="J4707" s="34" t="str">
        <x:v>PASS</x:v>
      </x:c>
      <x:c r="K4707" s="34" t="str">
        <x:v>PASS</x:v>
      </x:c>
      <x:c r="L4707" s="34" t="str">
        <x:v>PASS</x:v>
      </x:c>
      <x:c r="M4707" s="34" t="str">
        <x:v>numeric coverage for applicable metric</x:v>
      </x:c>
      <x:c r="N4707" s="34" t="str">
        <x:v>Feedback-Directed Random Test Generation/Result_Round2/JacksonDatabind_44/result.json</x:v>
      </x:c>
      <x:c r="O4707" s="38" t="n">
        <x:f>IF(AND(G4707="RECORDED",ISNUMBER(H4707)),H4707,"")</x:f>
        <x:v>0</x:v>
      </x:c>
      <x:c r="P4707" s="34" t="str">
        <x:v>NOT_REVEALING</x:v>
      </x:c>
      <x:c r="Q4707" s="34" t="str">
        <x:v>Feedback-Directed Random Test Generation/Result_Round2/JacksonDatabind_44/result.json</x:v>
      </x:c>
    </x:row>
    <x:row r="4708">
      <x:c r="A4708" s="34" t="str">
        <x:v>randoop</x:v>
      </x:c>
      <x:c r="B4708" s="34" t="str">
        <x:v>JacksonDatabind</x:v>
      </x:c>
      <x:c r="C4708" s="34" t="str">
        <x:v>Round2</x:v>
      </x:c>
      <x:c r="D4708" s="34" t="str">
        <x:v>JacksonDatabind_45</x:v>
      </x:c>
      <x:c r="E4708" s="34" t="str">
        <x:v>Condition</x:v>
      </x:c>
      <x:c r="F4708" s="34" t="n">
        <x:v>32</x:v>
      </x:c>
      <x:c r="G4708" s="34" t="str">
        <x:v>RECORDED</x:v>
      </x:c>
      <x:c r="H4708" s="38" t="n">
        <x:f>IF(ISNUMBER('Data'!I1292),'Data'!I1292*100,"")</x:f>
        <x:v>0</x:v>
      </x:c>
      <x:c r="I4708" s="34" t="str">
        <x:v>PASS</x:v>
      </x:c>
      <x:c r="J4708" s="34" t="str">
        <x:v>PASS</x:v>
      </x:c>
      <x:c r="K4708" s="34" t="str">
        <x:v>PASS</x:v>
      </x:c>
      <x:c r="L4708" s="34" t="str">
        <x:v>PASS</x:v>
      </x:c>
      <x:c r="M4708" s="34" t="str">
        <x:v>numeric coverage for applicable metric</x:v>
      </x:c>
      <x:c r="N4708" s="34" t="str">
        <x:v>Feedback-Directed Random Test Generation/Result_Round2/JacksonDatabind_45/result.json</x:v>
      </x:c>
      <x:c r="O4708" s="38" t="n">
        <x:f>IF(AND(G4708="RECORDED",ISNUMBER(H4708)),H4708,"")</x:f>
        <x:v>0</x:v>
      </x:c>
      <x:c r="P4708" s="34" t="str">
        <x:v>NOT_REVEALING</x:v>
      </x:c>
      <x:c r="Q4708" s="34" t="str">
        <x:v>Feedback-Directed Random Test Generation/Result_Round2/JacksonDatabind_45/result.json</x:v>
      </x:c>
    </x:row>
    <x:row r="4709">
      <x:c r="A4709" s="34" t="str">
        <x:v>randoop</x:v>
      </x:c>
      <x:c r="B4709" s="34" t="str">
        <x:v>JacksonDatabind</x:v>
      </x:c>
      <x:c r="C4709" s="34" t="str">
        <x:v>Round2</x:v>
      </x:c>
      <x:c r="D4709" s="34" t="str">
        <x:v>JacksonDatabind_46</x:v>
      </x:c>
      <x:c r="E4709" s="34" t="str">
        <x:v>Condition</x:v>
      </x:c>
      <x:c r="F4709" s="34" t="n">
        <x:v>22</x:v>
      </x:c>
      <x:c r="G4709" s="34" t="str">
        <x:v>RECORDED</x:v>
      </x:c>
      <x:c r="H4709" s="38" t="n">
        <x:f>IF(ISNUMBER('Data'!I1293),'Data'!I1293*100,"")</x:f>
        <x:v>0</x:v>
      </x:c>
      <x:c r="I4709" s="34" t="str">
        <x:v>PASS</x:v>
      </x:c>
      <x:c r="J4709" s="34" t="str">
        <x:v>PASS</x:v>
      </x:c>
      <x:c r="K4709" s="34" t="str">
        <x:v>PASS</x:v>
      </x:c>
      <x:c r="L4709" s="34" t="str">
        <x:v>PASS</x:v>
      </x:c>
      <x:c r="M4709" s="34" t="str">
        <x:v>numeric coverage for applicable metric</x:v>
      </x:c>
      <x:c r="N4709" s="34" t="str">
        <x:v>Feedback-Directed Random Test Generation/Result_Round2/JacksonDatabind_46/result.json</x:v>
      </x:c>
      <x:c r="O4709" s="38" t="n">
        <x:f>IF(AND(G4709="RECORDED",ISNUMBER(H4709)),H4709,"")</x:f>
        <x:v>0</x:v>
      </x:c>
      <x:c r="P4709" s="34" t="str">
        <x:v>NOT_REVEALING</x:v>
      </x:c>
      <x:c r="Q4709" s="34" t="str">
        <x:v>Feedback-Directed Random Test Generation/Result_Round2/JacksonDatabind_46/result.json</x:v>
      </x:c>
    </x:row>
    <x:row r="4710">
      <x:c r="A4710" s="34" t="str">
        <x:v>randoop</x:v>
      </x:c>
      <x:c r="B4710" s="34" t="str">
        <x:v>JacksonDatabind</x:v>
      </x:c>
      <x:c r="C4710" s="34" t="str">
        <x:v>Round2</x:v>
      </x:c>
      <x:c r="D4710" s="34" t="str">
        <x:v>JacksonDatabind_47</x:v>
      </x:c>
      <x:c r="E4710" s="34" t="str">
        <x:v>Condition</x:v>
      </x:c>
      <x:c r="F4710" s="34" t="n">
        <x:v>0</x:v>
      </x:c>
      <x:c r="G4710" s="34" t="str">
        <x:v>A</x:v>
      </x:c>
      <x:c r="H4710" s="38" t="str">
        <x:f>IF(ISNUMBER('Data'!I1294),'Data'!I1294*100,"")</x:f>
      </x:c>
      <x:c r="I4710" s="34"/>
      <x:c r="J4710" s="34"/>
      <x:c r="K4710" s="34"/>
      <x:c r="L4710" s="34" t="str">
        <x:v>NOT_RUN</x:v>
      </x:c>
      <x:c r="M4710" s="34" t="str">
        <x:v>Latest same-round generation failed; older files/results are excluded</x:v>
      </x:c>
      <x:c r="N4710" s="34" t="str">
        <x:v>Feedback-Directed Random Test Generation/report_Round2.csv</x:v>
      </x:c>
      <x:c r="O4710" s="38" t="str">
        <x:f>IF(AND(G4710="RECORDED",ISNUMBER(H4710)),H4710,"")</x:f>
      </x:c>
      <x:c r="P4710" s="34" t="str">
        <x:v>FAIL</x:v>
      </x:c>
      <x:c r="Q4710" s="34"/>
    </x:row>
    <x:row r="4711">
      <x:c r="A4711" s="34" t="str">
        <x:v>randoop</x:v>
      </x:c>
      <x:c r="B4711" s="34" t="str">
        <x:v>JacksonDatabind</x:v>
      </x:c>
      <x:c r="C4711" s="34" t="str">
        <x:v>Round2</x:v>
      </x:c>
      <x:c r="D4711" s="34" t="str">
        <x:v>JacksonDatabind_48</x:v>
      </x:c>
      <x:c r="E4711" s="34" t="str">
        <x:v>Condition</x:v>
      </x:c>
      <x:c r="F4711" s="34" t="n">
        <x:v>254</x:v>
      </x:c>
      <x:c r="G4711" s="34" t="str">
        <x:v>RECORDED</x:v>
      </x:c>
      <x:c r="H4711" s="38" t="n">
        <x:f>IF(ISNUMBER('Data'!I1295),'Data'!I1295*100,"")</x:f>
        <x:v>37.8</x:v>
      </x:c>
      <x:c r="I4711" s="34" t="str">
        <x:v>PASS</x:v>
      </x:c>
      <x:c r="J4711" s="34" t="str">
        <x:v>PASS</x:v>
      </x:c>
      <x:c r="K4711" s="34" t="str">
        <x:v>PASS</x:v>
      </x:c>
      <x:c r="L4711" s="34" t="str">
        <x:v>PASS</x:v>
      </x:c>
      <x:c r="M4711" s="34" t="str">
        <x:v>numeric coverage for applicable metric</x:v>
      </x:c>
      <x:c r="N4711" s="34" t="str">
        <x:v>Feedback-Directed Random Test Generation/Result_Round2/JacksonDatabind_48/result.json</x:v>
      </x:c>
      <x:c r="O4711" s="38" t="n">
        <x:f>IF(AND(G4711="RECORDED",ISNUMBER(H4711)),H4711,"")</x:f>
        <x:v>37.8</x:v>
      </x:c>
      <x:c r="P4711" s="34" t="str">
        <x:v>NOT_REVEALING</x:v>
      </x:c>
      <x:c r="Q4711" s="34" t="str">
        <x:v>Feedback-Directed Random Test Generation/Result_Round2/JacksonDatabind_48/result.json</x:v>
      </x:c>
    </x:row>
    <x:row r="4712">
      <x:c r="A4712" s="34" t="str">
        <x:v>randoop</x:v>
      </x:c>
      <x:c r="B4712" s="34" t="str">
        <x:v>JacksonDatabind</x:v>
      </x:c>
      <x:c r="C4712" s="34" t="str">
        <x:v>Round2</x:v>
      </x:c>
      <x:c r="D4712" s="34" t="str">
        <x:v>JacksonDatabind_49</x:v>
      </x:c>
      <x:c r="E4712" s="34" t="str">
        <x:v>Condition</x:v>
      </x:c>
      <x:c r="F4712" s="34" t="n">
        <x:v>12</x:v>
      </x:c>
      <x:c r="G4712" s="34" t="str">
        <x:v>RECORDED</x:v>
      </x:c>
      <x:c r="H4712" s="38" t="n">
        <x:f>IF(ISNUMBER('Data'!I1296),'Data'!I1296*100,"")</x:f>
        <x:v>0</x:v>
      </x:c>
      <x:c r="I4712" s="34" t="str">
        <x:v>PASS</x:v>
      </x:c>
      <x:c r="J4712" s="34" t="str">
        <x:v>PASS</x:v>
      </x:c>
      <x:c r="K4712" s="34" t="str">
        <x:v>PASS</x:v>
      </x:c>
      <x:c r="L4712" s="34" t="str">
        <x:v>PASS</x:v>
      </x:c>
      <x:c r="M4712" s="34" t="str">
        <x:v>numeric coverage for applicable metric</x:v>
      </x:c>
      <x:c r="N4712" s="34" t="str">
        <x:v>Feedback-Directed Random Test Generation/Result_Round2/JacksonDatabind_49/result.json</x:v>
      </x:c>
      <x:c r="O4712" s="38" t="n">
        <x:f>IF(AND(G4712="RECORDED",ISNUMBER(H4712)),H4712,"")</x:f>
        <x:v>0</x:v>
      </x:c>
      <x:c r="P4712" s="34" t="str">
        <x:v>NOT_REVEALING</x:v>
      </x:c>
      <x:c r="Q4712" s="34" t="str">
        <x:v>Feedback-Directed Random Test Generation/Result_Round2/JacksonDatabind_49/result.json</x:v>
      </x:c>
    </x:row>
    <x:row r="4713">
      <x:c r="A4713" s="34" t="str">
        <x:v>randoop</x:v>
      </x:c>
      <x:c r="B4713" s="34" t="str">
        <x:v>JacksonDatabind</x:v>
      </x:c>
      <x:c r="C4713" s="34" t="str">
        <x:v>Round2</x:v>
      </x:c>
      <x:c r="D4713" s="34" t="str">
        <x:v>JacksonDatabind_50</x:v>
      </x:c>
      <x:c r="E4713" s="34" t="str">
        <x:v>Condition</x:v>
      </x:c>
      <x:c r="F4713" s="34" t="n">
        <x:v>231</x:v>
      </x:c>
      <x:c r="G4713" s="34" t="str">
        <x:v>RECORDED</x:v>
      </x:c>
      <x:c r="H4713" s="38" t="n">
        <x:f>IF(ISNUMBER('Data'!I1297),'Data'!I1297*100,"")</x:f>
        <x:v>0</x:v>
      </x:c>
      <x:c r="I4713" s="34" t="str">
        <x:v>PASS</x:v>
      </x:c>
      <x:c r="J4713" s="34" t="str">
        <x:v>PASS</x:v>
      </x:c>
      <x:c r="K4713" s="34" t="str">
        <x:v>PASS</x:v>
      </x:c>
      <x:c r="L4713" s="34" t="str">
        <x:v>PASS</x:v>
      </x:c>
      <x:c r="M4713" s="34" t="str">
        <x:v>numeric coverage for applicable metric</x:v>
      </x:c>
      <x:c r="N4713" s="34" t="str">
        <x:v>Feedback-Directed Random Test Generation/Result_Round2/JacksonDatabind_50/result.json</x:v>
      </x:c>
      <x:c r="O4713" s="38" t="n">
        <x:f>IF(AND(G4713="RECORDED",ISNUMBER(H4713)),H4713,"")</x:f>
        <x:v>0</x:v>
      </x:c>
      <x:c r="P4713" s="34" t="str">
        <x:v>NOT_REVEALING</x:v>
      </x:c>
      <x:c r="Q4713" s="34" t="str">
        <x:v>Feedback-Directed Random Test Generation/Result_Round2/JacksonDatabind_50/result.json</x:v>
      </x:c>
    </x:row>
    <x:row r="4714">
      <x:c r="A4714" s="34" t="str">
        <x:v>randoop</x:v>
      </x:c>
      <x:c r="B4714" s="34" t="str">
        <x:v>JacksonDatabind</x:v>
      </x:c>
      <x:c r="C4714" s="34" t="str">
        <x:v>Round2</x:v>
      </x:c>
      <x:c r="D4714" s="34" t="str">
        <x:v>JacksonDatabind_51</x:v>
      </x:c>
      <x:c r="E4714" s="34" t="str">
        <x:v>Condition</x:v>
      </x:c>
      <x:c r="F4714" s="34" t="n">
        <x:v>34</x:v>
      </x:c>
      <x:c r="G4714" s="34" t="str">
        <x:v>RECORDED</x:v>
      </x:c>
      <x:c r="H4714" s="38" t="n">
        <x:f>IF(ISNUMBER('Data'!I1298),'Data'!I1298*100,"")</x:f>
        <x:v>0</x:v>
      </x:c>
      <x:c r="I4714" s="34" t="str">
        <x:v>PASS</x:v>
      </x:c>
      <x:c r="J4714" s="34" t="str">
        <x:v>PASS</x:v>
      </x:c>
      <x:c r="K4714" s="34" t="str">
        <x:v>PASS</x:v>
      </x:c>
      <x:c r="L4714" s="34" t="str">
        <x:v>PASS</x:v>
      </x:c>
      <x:c r="M4714" s="34" t="str">
        <x:v>numeric coverage for applicable metric</x:v>
      </x:c>
      <x:c r="N4714" s="34" t="str">
        <x:v>Feedback-Directed Random Test Generation/Result_Round2/JacksonDatabind_51/result.json</x:v>
      </x:c>
      <x:c r="O4714" s="38" t="n">
        <x:f>IF(AND(G4714="RECORDED",ISNUMBER(H4714)),H4714,"")</x:f>
        <x:v>0</x:v>
      </x:c>
      <x:c r="P4714" s="34" t="str">
        <x:v>NOT_REVEALING</x:v>
      </x:c>
      <x:c r="Q4714" s="34" t="str">
        <x:v>Feedback-Directed Random Test Generation/Result_Round2/JacksonDatabind_51/result.json</x:v>
      </x:c>
    </x:row>
    <x:row r="4715">
      <x:c r="A4715" s="34" t="str">
        <x:v>randoop</x:v>
      </x:c>
      <x:c r="B4715" s="34" t="str">
        <x:v>JacksonDatabind</x:v>
      </x:c>
      <x:c r="C4715" s="34" t="str">
        <x:v>Round2</x:v>
      </x:c>
      <x:c r="D4715" s="34" t="str">
        <x:v>JacksonDatabind_52</x:v>
      </x:c>
      <x:c r="E4715" s="34" t="str">
        <x:v>Condition</x:v>
      </x:c>
      <x:c r="F4715" s="34" t="n">
        <x:v>435</x:v>
      </x:c>
      <x:c r="G4715" s="34" t="str">
        <x:v>RECORDED</x:v>
      </x:c>
      <x:c r="H4715" s="38" t="n">
        <x:f>IF(ISNUMBER('Data'!I1299),'Data'!I1299*100,"")</x:f>
        <x:v>0.9199999999999999</x:v>
      </x:c>
      <x:c r="I4715" s="34" t="str">
        <x:v>PASS</x:v>
      </x:c>
      <x:c r="J4715" s="34" t="str">
        <x:v>PASS</x:v>
      </x:c>
      <x:c r="K4715" s="34" t="str">
        <x:v>PASS</x:v>
      </x:c>
      <x:c r="L4715" s="34" t="str">
        <x:v>PASS</x:v>
      </x:c>
      <x:c r="M4715" s="34" t="str">
        <x:v>numeric coverage for applicable metric</x:v>
      </x:c>
      <x:c r="N4715" s="34" t="str">
        <x:v>Feedback-Directed Random Test Generation/Result_Round2/JacksonDatabind_52/result.json</x:v>
      </x:c>
      <x:c r="O4715" s="38" t="n">
        <x:f>IF(AND(G4715="RECORDED",ISNUMBER(H4715)),H4715,"")</x:f>
        <x:v>0.9199999999999999</x:v>
      </x:c>
      <x:c r="P4715" s="34" t="str">
        <x:v>NOT_REVEALING</x:v>
      </x:c>
      <x:c r="Q4715" s="34" t="str">
        <x:v>Feedback-Directed Random Test Generation/Result_Round2/JacksonDatabind_52/result.json</x:v>
      </x:c>
    </x:row>
    <x:row r="4716">
      <x:c r="A4716" s="34" t="str">
        <x:v>randoop</x:v>
      </x:c>
      <x:c r="B4716" s="34" t="str">
        <x:v>JacksonDatabind</x:v>
      </x:c>
      <x:c r="C4716" s="34" t="str">
        <x:v>Round2</x:v>
      </x:c>
      <x:c r="D4716" s="34" t="str">
        <x:v>JacksonDatabind_53</x:v>
      </x:c>
      <x:c r="E4716" s="34" t="str">
        <x:v>Condition</x:v>
      </x:c>
      <x:c r="F4716" s="34" t="n">
        <x:v>346</x:v>
      </x:c>
      <x:c r="G4716" s="34" t="str">
        <x:v>RECORDED</x:v>
      </x:c>
      <x:c r="H4716" s="38" t="n">
        <x:f>IF(ISNUMBER('Data'!I1300),'Data'!I1300*100,"")</x:f>
        <x:v>29.189999999999998</x:v>
      </x:c>
      <x:c r="I4716" s="34" t="str">
        <x:v>PASS</x:v>
      </x:c>
      <x:c r="J4716" s="34" t="str">
        <x:v>PASS</x:v>
      </x:c>
      <x:c r="K4716" s="34" t="str">
        <x:v>PASS</x:v>
      </x:c>
      <x:c r="L4716" s="34" t="str">
        <x:v>PASS</x:v>
      </x:c>
      <x:c r="M4716" s="34" t="str">
        <x:v>numeric coverage for applicable metric</x:v>
      </x:c>
      <x:c r="N4716" s="34" t="str">
        <x:v>Feedback-Directed Random Test Generation/Result_Round2/JacksonDatabind_53/result.json</x:v>
      </x:c>
      <x:c r="O4716" s="38" t="n">
        <x:f>IF(AND(G4716="RECORDED",ISNUMBER(H4716)),H4716,"")</x:f>
        <x:v>29.189999999999998</x:v>
      </x:c>
      <x:c r="P4716" s="34" t="str">
        <x:v>NOT_AVAILABLE</x:v>
      </x:c>
      <x:c r="Q4716" s="34" t="str">
        <x:v>Feedback-Directed Random Test Generation/Result_Round2/JacksonDatabind_53/result.json</x:v>
      </x:c>
    </x:row>
    <x:row r="4717">
      <x:c r="A4717" s="34" t="str">
        <x:v>randoop</x:v>
      </x:c>
      <x:c r="B4717" s="34" t="str">
        <x:v>JacksonDatabind</x:v>
      </x:c>
      <x:c r="C4717" s="34" t="str">
        <x:v>Round2</x:v>
      </x:c>
      <x:c r="D4717" s="34" t="str">
        <x:v>JacksonDatabind_54</x:v>
      </x:c>
      <x:c r="E4717" s="34" t="str">
        <x:v>Condition</x:v>
      </x:c>
      <x:c r="F4717" s="34" t="n">
        <x:v>67</x:v>
      </x:c>
      <x:c r="G4717" s="34" t="str">
        <x:v>RECORDED</x:v>
      </x:c>
      <x:c r="H4717" s="38" t="n">
        <x:f>IF(ISNUMBER('Data'!I1301),'Data'!I1301*100,"")</x:f>
        <x:v>0</x:v>
      </x:c>
      <x:c r="I4717" s="34" t="str">
        <x:v>PASS</x:v>
      </x:c>
      <x:c r="J4717" s="34" t="str">
        <x:v>PASS</x:v>
      </x:c>
      <x:c r="K4717" s="34" t="str">
        <x:v>PASS</x:v>
      </x:c>
      <x:c r="L4717" s="34" t="str">
        <x:v>PASS</x:v>
      </x:c>
      <x:c r="M4717" s="34" t="str">
        <x:v>numeric coverage for applicable metric</x:v>
      </x:c>
      <x:c r="N4717" s="34" t="str">
        <x:v>Feedback-Directed Random Test Generation/Result_Round2/JacksonDatabind_54/result.json</x:v>
      </x:c>
      <x:c r="O4717" s="38" t="n">
        <x:f>IF(AND(G4717="RECORDED",ISNUMBER(H4717)),H4717,"")</x:f>
        <x:v>0</x:v>
      </x:c>
      <x:c r="P4717" s="34" t="str">
        <x:v>NOT_REVEALING</x:v>
      </x:c>
      <x:c r="Q4717" s="34" t="str">
        <x:v>Feedback-Directed Random Test Generation/Result_Round2/JacksonDatabind_54/result.json</x:v>
      </x:c>
    </x:row>
    <x:row r="4718">
      <x:c r="A4718" s="34" t="str">
        <x:v>randoop</x:v>
      </x:c>
      <x:c r="B4718" s="34" t="str">
        <x:v>JacksonDatabind</x:v>
      </x:c>
      <x:c r="C4718" s="34" t="str">
        <x:v>Round2</x:v>
      </x:c>
      <x:c r="D4718" s="34" t="str">
        <x:v>JacksonDatabind_55</x:v>
      </x:c>
      <x:c r="E4718" s="34" t="str">
        <x:v>Condition</x:v>
      </x:c>
      <x:c r="F4718" s="34" t="n">
        <x:v>37</x:v>
      </x:c>
      <x:c r="G4718" s="34" t="str">
        <x:v>RECORDED</x:v>
      </x:c>
      <x:c r="H4718" s="38" t="n">
        <x:f>IF(ISNUMBER('Data'!I1302),'Data'!I1302*100,"")</x:f>
        <x:v>2.7</x:v>
      </x:c>
      <x:c r="I4718" s="34" t="str">
        <x:v>PASS</x:v>
      </x:c>
      <x:c r="J4718" s="34" t="str">
        <x:v>PASS</x:v>
      </x:c>
      <x:c r="K4718" s="34" t="str">
        <x:v>PASS</x:v>
      </x:c>
      <x:c r="L4718" s="34" t="str">
        <x:v>PASS</x:v>
      </x:c>
      <x:c r="M4718" s="34" t="str">
        <x:v>numeric coverage for applicable metric</x:v>
      </x:c>
      <x:c r="N4718" s="34" t="str">
        <x:v>Feedback-Directed Random Test Generation/Result_Round2/JacksonDatabind_55/result.json</x:v>
      </x:c>
      <x:c r="O4718" s="38" t="n">
        <x:f>IF(AND(G4718="RECORDED",ISNUMBER(H4718)),H4718,"")</x:f>
        <x:v>2.7</x:v>
      </x:c>
      <x:c r="P4718" s="34" t="str">
        <x:v>NOT_REVEALING</x:v>
      </x:c>
      <x:c r="Q4718" s="34" t="str">
        <x:v>Feedback-Directed Random Test Generation/Result_Round2/JacksonDatabind_55/result.json</x:v>
      </x:c>
    </x:row>
    <x:row r="4719">
      <x:c r="A4719" s="34" t="str">
        <x:v>randoop</x:v>
      </x:c>
      <x:c r="B4719" s="34" t="str">
        <x:v>JacksonDatabind</x:v>
      </x:c>
      <x:c r="C4719" s="34" t="str">
        <x:v>Round2</x:v>
      </x:c>
      <x:c r="D4719" s="34" t="str">
        <x:v>JacksonDatabind_56</x:v>
      </x:c>
      <x:c r="E4719" s="34" t="str">
        <x:v>Condition</x:v>
      </x:c>
      <x:c r="F4719" s="34" t="n">
        <x:v>81</x:v>
      </x:c>
      <x:c r="G4719" s="34" t="str">
        <x:v>RECORDED</x:v>
      </x:c>
      <x:c r="H4719" s="38" t="n">
        <x:f>IF(ISNUMBER('Data'!I1303),'Data'!I1303*100,"")</x:f>
        <x:v>0</x:v>
      </x:c>
      <x:c r="I4719" s="34" t="str">
        <x:v>PASS</x:v>
      </x:c>
      <x:c r="J4719" s="34" t="str">
        <x:v>PASS</x:v>
      </x:c>
      <x:c r="K4719" s="34" t="str">
        <x:v>PASS</x:v>
      </x:c>
      <x:c r="L4719" s="34" t="str">
        <x:v>PASS</x:v>
      </x:c>
      <x:c r="M4719" s="34" t="str">
        <x:v>numeric coverage for applicable metric</x:v>
      </x:c>
      <x:c r="N4719" s="34" t="str">
        <x:v>Feedback-Directed Random Test Generation/Result_Round2/JacksonDatabind_56/result.json</x:v>
      </x:c>
      <x:c r="O4719" s="38" t="n">
        <x:f>IF(AND(G4719="RECORDED",ISNUMBER(H4719)),H4719,"")</x:f>
        <x:v>0</x:v>
      </x:c>
      <x:c r="P4719" s="34" t="str">
        <x:v>NOT_REVEALING</x:v>
      </x:c>
      <x:c r="Q4719" s="34" t="str">
        <x:v>Feedback-Directed Random Test Generation/Result_Round2/JacksonDatabind_56/result.json</x:v>
      </x:c>
    </x:row>
    <x:row r="4720">
      <x:c r="A4720" s="34" t="str">
        <x:v>randoop</x:v>
      </x:c>
      <x:c r="B4720" s="34" t="str">
        <x:v>JacksonDatabind</x:v>
      </x:c>
      <x:c r="C4720" s="34" t="str">
        <x:v>Round2</x:v>
      </x:c>
      <x:c r="D4720" s="34" t="str">
        <x:v>JacksonDatabind_57</x:v>
      </x:c>
      <x:c r="E4720" s="34" t="str">
        <x:v>Condition</x:v>
      </x:c>
      <x:c r="F4720" s="34" t="n">
        <x:v>156</x:v>
      </x:c>
      <x:c r="G4720" s="34" t="str">
        <x:v>RECORDED</x:v>
      </x:c>
      <x:c r="H4720" s="38" t="n">
        <x:f>IF(ISNUMBER('Data'!I1304),'Data'!I1304*100,"")</x:f>
        <x:v>0</x:v>
      </x:c>
      <x:c r="I4720" s="34" t="str">
        <x:v>PASS</x:v>
      </x:c>
      <x:c r="J4720" s="34" t="str">
        <x:v>PASS</x:v>
      </x:c>
      <x:c r="K4720" s="34" t="str">
        <x:v>PASS</x:v>
      </x:c>
      <x:c r="L4720" s="34" t="str">
        <x:v>PASS</x:v>
      </x:c>
      <x:c r="M4720" s="34" t="str">
        <x:v>numeric coverage for applicable metric</x:v>
      </x:c>
      <x:c r="N4720" s="34" t="str">
        <x:v>Feedback-Directed Random Test Generation/Result_Round2/JacksonDatabind_57/result.json</x:v>
      </x:c>
      <x:c r="O4720" s="38" t="n">
        <x:f>IF(AND(G4720="RECORDED",ISNUMBER(H4720)),H4720,"")</x:f>
        <x:v>0</x:v>
      </x:c>
      <x:c r="P4720" s="34" t="str">
        <x:v>NOT_REVEALING</x:v>
      </x:c>
      <x:c r="Q4720" s="34" t="str">
        <x:v>Feedback-Directed Random Test Generation/Result_Round2/JacksonDatabind_57/result.json</x:v>
      </x:c>
    </x:row>
    <x:row r="4721">
      <x:c r="A4721" s="34" t="str">
        <x:v>randoop</x:v>
      </x:c>
      <x:c r="B4721" s="34" t="str">
        <x:v>JacksonDatabind</x:v>
      </x:c>
      <x:c r="C4721" s="34" t="str">
        <x:v>Round2</x:v>
      </x:c>
      <x:c r="D4721" s="34" t="str">
        <x:v>JacksonDatabind_58</x:v>
      </x:c>
      <x:c r="E4721" s="34" t="str">
        <x:v>Condition</x:v>
      </x:c>
      <x:c r="F4721" s="34" t="n">
        <x:v>196</x:v>
      </x:c>
      <x:c r="G4721" s="34" t="str">
        <x:v>RECORDED</x:v>
      </x:c>
      <x:c r="H4721" s="38" t="n">
        <x:f>IF(ISNUMBER('Data'!I1305),'Data'!I1305*100,"")</x:f>
        <x:v>2.55</x:v>
      </x:c>
      <x:c r="I4721" s="34" t="str">
        <x:v>PASS</x:v>
      </x:c>
      <x:c r="J4721" s="34" t="str">
        <x:v>PASS</x:v>
      </x:c>
      <x:c r="K4721" s="34" t="str">
        <x:v>PASS</x:v>
      </x:c>
      <x:c r="L4721" s="34" t="str">
        <x:v>PASS</x:v>
      </x:c>
      <x:c r="M4721" s="34" t="str">
        <x:v>numeric coverage for applicable metric</x:v>
      </x:c>
      <x:c r="N4721" s="34" t="str">
        <x:v>Feedback-Directed Random Test Generation/Result_Round2/JacksonDatabind_58/result.json</x:v>
      </x:c>
      <x:c r="O4721" s="38" t="n">
        <x:f>IF(AND(G4721="RECORDED",ISNUMBER(H4721)),H4721,"")</x:f>
        <x:v>2.55</x:v>
      </x:c>
      <x:c r="P4721" s="34" t="str">
        <x:v>NOT_REVEALING</x:v>
      </x:c>
      <x:c r="Q4721" s="34" t="str">
        <x:v>Feedback-Directed Random Test Generation/Result_Round2/JacksonDatabind_58/result.json</x:v>
      </x:c>
    </x:row>
    <x:row r="4722">
      <x:c r="A4722" s="34" t="str">
        <x:v>randoop</x:v>
      </x:c>
      <x:c r="B4722" s="34" t="str">
        <x:v>JacksonDatabind</x:v>
      </x:c>
      <x:c r="C4722" s="34" t="str">
        <x:v>Round2</x:v>
      </x:c>
      <x:c r="D4722" s="34" t="str">
        <x:v>JacksonDatabind_59</x:v>
      </x:c>
      <x:c r="E4722" s="34" t="str">
        <x:v>Condition</x:v>
      </x:c>
      <x:c r="F4722" s="34" t="n">
        <x:v>313</x:v>
      </x:c>
      <x:c r="G4722" s="34" t="str">
        <x:v>RECORDED</x:v>
      </x:c>
      <x:c r="H4722" s="38" t="n">
        <x:f>IF(ISNUMBER('Data'!I1306),'Data'!I1306*100,"")</x:f>
        <x:v>42.49</x:v>
      </x:c>
      <x:c r="I4722" s="34" t="str">
        <x:v>PASS</x:v>
      </x:c>
      <x:c r="J4722" s="34" t="str">
        <x:v>PASS</x:v>
      </x:c>
      <x:c r="K4722" s="34" t="str">
        <x:v>PASS</x:v>
      </x:c>
      <x:c r="L4722" s="34" t="str">
        <x:v>FAIL</x:v>
      </x:c>
      <x:c r="M4722" s="34" t="str">
        <x:v>numeric coverage for applicable metric</x:v>
      </x:c>
      <x:c r="N4722" s="34" t="str">
        <x:v>Feedback-Directed Random Test Generation/Result_Round2/JacksonDatabind_59/result.json</x:v>
      </x:c>
      <x:c r="O4722" s="38" t="n">
        <x:f>IF(AND(G4722="RECORDED",ISNUMBER(H4722)),H4722,"")</x:f>
        <x:v>42.49</x:v>
      </x:c>
      <x:c r="P4722" s="34" t="str">
        <x:v>INCONCLUSIVE</x:v>
      </x:c>
      <x:c r="Q4722" s="34" t="str">
        <x:v>Feedback-Directed Random Test Generation/Result_Round2/JacksonDatabind_59/result.json</x:v>
      </x:c>
    </x:row>
    <x:row r="4723">
      <x:c r="A4723" s="34" t="str">
        <x:v>randoop</x:v>
      </x:c>
      <x:c r="B4723" s="34" t="str">
        <x:v>JacksonDatabind</x:v>
      </x:c>
      <x:c r="C4723" s="34" t="str">
        <x:v>Round2</x:v>
      </x:c>
      <x:c r="D4723" s="34" t="str">
        <x:v>JacksonDatabind_60</x:v>
      </x:c>
      <x:c r="E4723" s="34" t="str">
        <x:v>Condition</x:v>
      </x:c>
      <x:c r="F4723" s="34" t="n">
        <x:v>74</x:v>
      </x:c>
      <x:c r="G4723" s="34" t="str">
        <x:v>RECORDED</x:v>
      </x:c>
      <x:c r="H4723" s="38" t="n">
        <x:f>IF(ISNUMBER('Data'!I1307),'Data'!I1307*100,"")</x:f>
        <x:v>0</x:v>
      </x:c>
      <x:c r="I4723" s="34" t="str">
        <x:v>PASS</x:v>
      </x:c>
      <x:c r="J4723" s="34" t="str">
        <x:v>PASS</x:v>
      </x:c>
      <x:c r="K4723" s="34" t="str">
        <x:v>PASS</x:v>
      </x:c>
      <x:c r="L4723" s="34" t="str">
        <x:v>PASS</x:v>
      </x:c>
      <x:c r="M4723" s="34" t="str">
        <x:v>numeric coverage for applicable metric</x:v>
      </x:c>
      <x:c r="N4723" s="34" t="str">
        <x:v>Feedback-Directed Random Test Generation/Result_Round2/JacksonDatabind_60/result.json</x:v>
      </x:c>
      <x:c r="O4723" s="38" t="n">
        <x:f>IF(AND(G4723="RECORDED",ISNUMBER(H4723)),H4723,"")</x:f>
        <x:v>0</x:v>
      </x:c>
      <x:c r="P4723" s="34" t="str">
        <x:v>NOT_REVEALING</x:v>
      </x:c>
      <x:c r="Q4723" s="34" t="str">
        <x:v>Feedback-Directed Random Test Generation/Result_Round2/JacksonDatabind_60/result.json</x:v>
      </x:c>
    </x:row>
    <x:row r="4724">
      <x:c r="A4724" s="34" t="str">
        <x:v>randoop</x:v>
      </x:c>
      <x:c r="B4724" s="34" t="str">
        <x:v>JacksonDatabind</x:v>
      </x:c>
      <x:c r="C4724" s="34" t="str">
        <x:v>Round2</x:v>
      </x:c>
      <x:c r="D4724" s="34" t="str">
        <x:v>JacksonDatabind_61</x:v>
      </x:c>
      <x:c r="E4724" s="34" t="str">
        <x:v>Condition</x:v>
      </x:c>
      <x:c r="F4724" s="34" t="n">
        <x:v>242</x:v>
      </x:c>
      <x:c r="G4724" s="34" t="str">
        <x:v>RECORDED</x:v>
      </x:c>
      <x:c r="H4724" s="38" t="n">
        <x:f>IF(ISNUMBER('Data'!I1308),'Data'!I1308*100,"")</x:f>
        <x:v>35.54</x:v>
      </x:c>
      <x:c r="I4724" s="34" t="str">
        <x:v>PASS</x:v>
      </x:c>
      <x:c r="J4724" s="34" t="str">
        <x:v>PASS</x:v>
      </x:c>
      <x:c r="K4724" s="34" t="str">
        <x:v>PASS</x:v>
      </x:c>
      <x:c r="L4724" s="34" t="str">
        <x:v>PASS</x:v>
      </x:c>
      <x:c r="M4724" s="34" t="str">
        <x:v>numeric coverage for applicable metric</x:v>
      </x:c>
      <x:c r="N4724" s="34" t="str">
        <x:v>Feedback-Directed Random Test Generation/Result_Round2/JacksonDatabind_61/result.json</x:v>
      </x:c>
      <x:c r="O4724" s="38" t="n">
        <x:f>IF(AND(G4724="RECORDED",ISNUMBER(H4724)),H4724,"")</x:f>
        <x:v>35.54</x:v>
      </x:c>
      <x:c r="P4724" s="34" t="str">
        <x:v>NOT_REVEALING</x:v>
      </x:c>
      <x:c r="Q4724" s="34" t="str">
        <x:v>Feedback-Directed Random Test Generation/Result_Round2/JacksonDatabind_61/result.json</x:v>
      </x:c>
    </x:row>
    <x:row r="4725">
      <x:c r="A4725" s="34" t="str">
        <x:v>randoop</x:v>
      </x:c>
      <x:c r="B4725" s="34" t="str">
        <x:v>JacksonDatabind</x:v>
      </x:c>
      <x:c r="C4725" s="34" t="str">
        <x:v>Round2</x:v>
      </x:c>
      <x:c r="D4725" s="34" t="str">
        <x:v>JacksonDatabind_62</x:v>
      </x:c>
      <x:c r="E4725" s="34" t="str">
        <x:v>Condition</x:v>
      </x:c>
      <x:c r="F4725" s="34" t="n">
        <x:v>70</x:v>
      </x:c>
      <x:c r="G4725" s="34" t="str">
        <x:v>RECORDED</x:v>
      </x:c>
      <x:c r="H4725" s="38" t="n">
        <x:f>IF(ISNUMBER('Data'!I1309),'Data'!I1309*100,"")</x:f>
        <x:v>21.43</x:v>
      </x:c>
      <x:c r="I4725" s="34" t="str">
        <x:v>PASS</x:v>
      </x:c>
      <x:c r="J4725" s="34" t="str">
        <x:v>PASS</x:v>
      </x:c>
      <x:c r="K4725" s="34" t="str">
        <x:v>PASS</x:v>
      </x:c>
      <x:c r="L4725" s="34" t="str">
        <x:v>PASS</x:v>
      </x:c>
      <x:c r="M4725" s="34" t="str">
        <x:v>numeric coverage for applicable metric</x:v>
      </x:c>
      <x:c r="N4725" s="34" t="str">
        <x:v>Feedback-Directed Random Test Generation/Result_Round2/JacksonDatabind_62/result.json</x:v>
      </x:c>
      <x:c r="O4725" s="38" t="n">
        <x:f>IF(AND(G4725="RECORDED",ISNUMBER(H4725)),H4725,"")</x:f>
        <x:v>21.43</x:v>
      </x:c>
      <x:c r="P4725" s="34" t="str">
        <x:v>NOT_REVEALING</x:v>
      </x:c>
      <x:c r="Q4725" s="34" t="str">
        <x:v>Feedback-Directed Random Test Generation/Result_Round2/JacksonDatabind_62/result.json</x:v>
      </x:c>
    </x:row>
    <x:row r="4726">
      <x:c r="A4726" s="34" t="str">
        <x:v>randoop</x:v>
      </x:c>
      <x:c r="B4726" s="34" t="str">
        <x:v>JacksonDatabind</x:v>
      </x:c>
      <x:c r="C4726" s="34" t="str">
        <x:v>Round2</x:v>
      </x:c>
      <x:c r="D4726" s="34" t="str">
        <x:v>JacksonDatabind_63</x:v>
      </x:c>
      <x:c r="E4726" s="34" t="str">
        <x:v>Condition</x:v>
      </x:c>
      <x:c r="F4726" s="34" t="n">
        <x:v>44</x:v>
      </x:c>
      <x:c r="G4726" s="34" t="str">
        <x:v>RECORDED</x:v>
      </x:c>
      <x:c r="H4726" s="38" t="n">
        <x:f>IF(ISNUMBER('Data'!I1310),'Data'!I1310*100,"")</x:f>
        <x:v>70.45</x:v>
      </x:c>
      <x:c r="I4726" s="34" t="str">
        <x:v>PASS</x:v>
      </x:c>
      <x:c r="J4726" s="34" t="str">
        <x:v>PASS</x:v>
      </x:c>
      <x:c r="K4726" s="34" t="str">
        <x:v>PASS</x:v>
      </x:c>
      <x:c r="L4726" s="34" t="str">
        <x:v>PASS</x:v>
      </x:c>
      <x:c r="M4726" s="34" t="str">
        <x:v>numeric coverage for applicable metric</x:v>
      </x:c>
      <x:c r="N4726" s="34" t="str">
        <x:v>Feedback-Directed Random Test Generation/Result_Round2/JacksonDatabind_63/result.json</x:v>
      </x:c>
      <x:c r="O4726" s="38" t="n">
        <x:f>IF(AND(G4726="RECORDED",ISNUMBER(H4726)),H4726,"")</x:f>
        <x:v>70.45</x:v>
      </x:c>
      <x:c r="P4726" s="34" t="str">
        <x:v>INCONCLUSIVE</x:v>
      </x:c>
      <x:c r="Q4726" s="34" t="str">
        <x:v>Feedback-Directed Random Test Generation/Result_Round2/JacksonDatabind_63/result.json</x:v>
      </x:c>
    </x:row>
    <x:row r="4727">
      <x:c r="A4727" s="34" t="str">
        <x:v>randoop</x:v>
      </x:c>
      <x:c r="B4727" s="34" t="str">
        <x:v>JacksonDatabind</x:v>
      </x:c>
      <x:c r="C4727" s="34" t="str">
        <x:v>Round2</x:v>
      </x:c>
      <x:c r="D4727" s="34" t="str">
        <x:v>JacksonDatabind_64</x:v>
      </x:c>
      <x:c r="E4727" s="34" t="str">
        <x:v>Condition</x:v>
      </x:c>
      <x:c r="F4727" s="34" t="n">
        <x:v>71</x:v>
      </x:c>
      <x:c r="G4727" s="34" t="str">
        <x:v>RECORDED</x:v>
      </x:c>
      <x:c r="H4727" s="38" t="n">
        <x:f>IF(ISNUMBER('Data'!I1311),'Data'!I1311*100,"")</x:f>
        <x:v>0</x:v>
      </x:c>
      <x:c r="I4727" s="34" t="str">
        <x:v>PASS</x:v>
      </x:c>
      <x:c r="J4727" s="34" t="str">
        <x:v>PASS</x:v>
      </x:c>
      <x:c r="K4727" s="34" t="str">
        <x:v>PASS</x:v>
      </x:c>
      <x:c r="L4727" s="34" t="str">
        <x:v>PASS</x:v>
      </x:c>
      <x:c r="M4727" s="34" t="str">
        <x:v>numeric coverage for applicable metric</x:v>
      </x:c>
      <x:c r="N4727" s="34" t="str">
        <x:v>Feedback-Directed Random Test Generation/Result_Round2/JacksonDatabind_64/result.json</x:v>
      </x:c>
      <x:c r="O4727" s="38" t="n">
        <x:f>IF(AND(G4727="RECORDED",ISNUMBER(H4727)),H4727,"")</x:f>
        <x:v>0</x:v>
      </x:c>
      <x:c r="P4727" s="34" t="str">
        <x:v>NOT_REVEALING</x:v>
      </x:c>
      <x:c r="Q4727" s="34" t="str">
        <x:v>Feedback-Directed Random Test Generation/Result_Round2/JacksonDatabind_64/result.json</x:v>
      </x:c>
    </x:row>
    <x:row r="4728">
      <x:c r="A4728" s="34" t="str">
        <x:v>randoop</x:v>
      </x:c>
      <x:c r="B4728" s="34" t="str">
        <x:v>JacksonDatabind</x:v>
      </x:c>
      <x:c r="C4728" s="34" t="str">
        <x:v>Round2</x:v>
      </x:c>
      <x:c r="D4728" s="34" t="str">
        <x:v>JacksonDatabind_66</x:v>
      </x:c>
      <x:c r="E4728" s="34" t="str">
        <x:v>Condition</x:v>
      </x:c>
      <x:c r="F4728" s="34" t="n">
        <x:v>95</x:v>
      </x:c>
      <x:c r="G4728" s="34" t="str">
        <x:v>RECORDED</x:v>
      </x:c>
      <x:c r="H4728" s="38" t="n">
        <x:f>IF(ISNUMBER('Data'!I1312),'Data'!I1312*100,"")</x:f>
        <x:v>0</x:v>
      </x:c>
      <x:c r="I4728" s="34" t="str">
        <x:v>PASS</x:v>
      </x:c>
      <x:c r="J4728" s="34" t="str">
        <x:v>PASS</x:v>
      </x:c>
      <x:c r="K4728" s="34" t="str">
        <x:v>PASS</x:v>
      </x:c>
      <x:c r="L4728" s="34" t="str">
        <x:v>PASS</x:v>
      </x:c>
      <x:c r="M4728" s="34" t="str">
        <x:v>numeric coverage for applicable metric</x:v>
      </x:c>
      <x:c r="N4728" s="34" t="str">
        <x:v>Feedback-Directed Random Test Generation/Result_Round2/JacksonDatabind_66/result.json</x:v>
      </x:c>
      <x:c r="O4728" s="38" t="n">
        <x:f>IF(AND(G4728="RECORDED",ISNUMBER(H4728)),H4728,"")</x:f>
        <x:v>0</x:v>
      </x:c>
      <x:c r="P4728" s="34" t="str">
        <x:v>NOT_REVEALING</x:v>
      </x:c>
      <x:c r="Q4728" s="34" t="str">
        <x:v>Feedback-Directed Random Test Generation/Result_Round2/JacksonDatabind_66/result.json</x:v>
      </x:c>
    </x:row>
    <x:row r="4729">
      <x:c r="A4729" s="34" t="str">
        <x:v>randoop</x:v>
      </x:c>
      <x:c r="B4729" s="34" t="str">
        <x:v>JacksonDatabind</x:v>
      </x:c>
      <x:c r="C4729" s="34" t="str">
        <x:v>Round2</x:v>
      </x:c>
      <x:c r="D4729" s="34" t="str">
        <x:v>JacksonDatabind_67</x:v>
      </x:c>
      <x:c r="E4729" s="34" t="str">
        <x:v>Condition</x:v>
      </x:c>
      <x:c r="F4729" s="34" t="n">
        <x:v>612</x:v>
      </x:c>
      <x:c r="G4729" s="34" t="str">
        <x:v>RECORDED</x:v>
      </x:c>
      <x:c r="H4729" s="38" t="n">
        <x:f>IF(ISNUMBER('Data'!I1313),'Data'!I1313*100,"")</x:f>
        <x:v>0</x:v>
      </x:c>
      <x:c r="I4729" s="34" t="str">
        <x:v>PASS</x:v>
      </x:c>
      <x:c r="J4729" s="34" t="str">
        <x:v>PASS</x:v>
      </x:c>
      <x:c r="K4729" s="34" t="str">
        <x:v>PASS</x:v>
      </x:c>
      <x:c r="L4729" s="34" t="str">
        <x:v>PASS</x:v>
      </x:c>
      <x:c r="M4729" s="34" t="str">
        <x:v>numeric coverage for applicable metric</x:v>
      </x:c>
      <x:c r="N4729" s="34" t="str">
        <x:v>Feedback-Directed Random Test Generation/Result_Round2/JacksonDatabind_67/result.json</x:v>
      </x:c>
      <x:c r="O4729" s="38" t="n">
        <x:f>IF(AND(G4729="RECORDED",ISNUMBER(H4729)),H4729,"")</x:f>
        <x:v>0</x:v>
      </x:c>
      <x:c r="P4729" s="34" t="str">
        <x:v>NOT_REVEALING</x:v>
      </x:c>
      <x:c r="Q4729" s="34" t="str">
        <x:v>Feedback-Directed Random Test Generation/Result_Round2/JacksonDatabind_67/result.json</x:v>
      </x:c>
    </x:row>
    <x:row r="4730">
      <x:c r="A4730" s="34" t="str">
        <x:v>randoop</x:v>
      </x:c>
      <x:c r="B4730" s="34" t="str">
        <x:v>JacksonDatabind</x:v>
      </x:c>
      <x:c r="C4730" s="34" t="str">
        <x:v>Round2</x:v>
      </x:c>
      <x:c r="D4730" s="34" t="str">
        <x:v>JacksonDatabind_68</x:v>
      </x:c>
      <x:c r="E4730" s="34" t="str">
        <x:v>Condition</x:v>
      </x:c>
      <x:c r="F4730" s="34" t="n">
        <x:v>369</x:v>
      </x:c>
      <x:c r="G4730" s="34" t="str">
        <x:v>RECORDED</x:v>
      </x:c>
      <x:c r="H4730" s="38" t="n">
        <x:f>IF(ISNUMBER('Data'!I1314),'Data'!I1314*100,"")</x:f>
        <x:v>0</x:v>
      </x:c>
      <x:c r="I4730" s="34" t="str">
        <x:v>PASS</x:v>
      </x:c>
      <x:c r="J4730" s="34" t="str">
        <x:v>PASS</x:v>
      </x:c>
      <x:c r="K4730" s="34" t="str">
        <x:v>PASS</x:v>
      </x:c>
      <x:c r="L4730" s="34" t="str">
        <x:v>PASS</x:v>
      </x:c>
      <x:c r="M4730" s="34" t="str">
        <x:v>numeric coverage for applicable metric</x:v>
      </x:c>
      <x:c r="N4730" s="34" t="str">
        <x:v>Feedback-Directed Random Test Generation/Result_Round2/JacksonDatabind_68/result.json</x:v>
      </x:c>
      <x:c r="O4730" s="38" t="n">
        <x:f>IF(AND(G4730="RECORDED",ISNUMBER(H4730)),H4730,"")</x:f>
        <x:v>0</x:v>
      </x:c>
      <x:c r="P4730" s="34" t="str">
        <x:v>NOT_REVEALING</x:v>
      </x:c>
      <x:c r="Q4730" s="34" t="str">
        <x:v>Feedback-Directed Random Test Generation/Result_Round2/JacksonDatabind_68/result.json</x:v>
      </x:c>
    </x:row>
    <x:row r="4731">
      <x:c r="A4731" s="34" t="str">
        <x:v>randoop</x:v>
      </x:c>
      <x:c r="B4731" s="34" t="str">
        <x:v>JacksonDatabind</x:v>
      </x:c>
      <x:c r="C4731" s="34" t="str">
        <x:v>Round2</x:v>
      </x:c>
      <x:c r="D4731" s="34" t="str">
        <x:v>JacksonDatabind_69</x:v>
      </x:c>
      <x:c r="E4731" s="34" t="str">
        <x:v>Condition</x:v>
      </x:c>
      <x:c r="F4731" s="34" t="n">
        <x:v>74</x:v>
      </x:c>
      <x:c r="G4731" s="34" t="str">
        <x:v>RECORDED</x:v>
      </x:c>
      <x:c r="H4731" s="38" t="n">
        <x:f>IF(ISNUMBER('Data'!I1315),'Data'!I1315*100,"")</x:f>
        <x:v>8.11</x:v>
      </x:c>
      <x:c r="I4731" s="34" t="str">
        <x:v>PASS</x:v>
      </x:c>
      <x:c r="J4731" s="34" t="str">
        <x:v>PASS</x:v>
      </x:c>
      <x:c r="K4731" s="34" t="str">
        <x:v>PASS</x:v>
      </x:c>
      <x:c r="L4731" s="34" t="str">
        <x:v>PASS</x:v>
      </x:c>
      <x:c r="M4731" s="34" t="str">
        <x:v>numeric coverage for applicable metric</x:v>
      </x:c>
      <x:c r="N4731" s="34" t="str">
        <x:v>Feedback-Directed Random Test Generation/Result_Round2/JacksonDatabind_69/result.json</x:v>
      </x:c>
      <x:c r="O4731" s="38" t="n">
        <x:f>IF(AND(G4731="RECORDED",ISNUMBER(H4731)),H4731,"")</x:f>
        <x:v>8.11</x:v>
      </x:c>
      <x:c r="P4731" s="34" t="str">
        <x:v>NOT_REVEALING</x:v>
      </x:c>
      <x:c r="Q4731" s="34" t="str">
        <x:v>Feedback-Directed Random Test Generation/Result_Round2/JacksonDatabind_69/result.json</x:v>
      </x:c>
    </x:row>
    <x:row r="4732">
      <x:c r="A4732" s="34" t="str">
        <x:v>randoop</x:v>
      </x:c>
      <x:c r="B4732" s="34" t="str">
        <x:v>JacksonDatabind</x:v>
      </x:c>
      <x:c r="C4732" s="34" t="str">
        <x:v>Round2</x:v>
      </x:c>
      <x:c r="D4732" s="34" t="str">
        <x:v>JacksonDatabind_70</x:v>
      </x:c>
      <x:c r="E4732" s="34" t="str">
        <x:v>Condition</x:v>
      </x:c>
      <x:c r="F4732" s="34" t="n">
        <x:v>138</x:v>
      </x:c>
      <x:c r="G4732" s="34" t="str">
        <x:v>RECORDED</x:v>
      </x:c>
      <x:c r="H4732" s="38" t="n">
        <x:f>IF(ISNUMBER('Data'!I1316),'Data'!I1316*100,"")</x:f>
        <x:v>23.19</x:v>
      </x:c>
      <x:c r="I4732" s="34" t="str">
        <x:v>PASS</x:v>
      </x:c>
      <x:c r="J4732" s="34" t="str">
        <x:v>PASS</x:v>
      </x:c>
      <x:c r="K4732" s="34" t="str">
        <x:v>PASS</x:v>
      </x:c>
      <x:c r="L4732" s="34" t="str">
        <x:v>PASS</x:v>
      </x:c>
      <x:c r="M4732" s="34" t="str">
        <x:v>numeric coverage for applicable metric</x:v>
      </x:c>
      <x:c r="N4732" s="34" t="str">
        <x:v>Feedback-Directed Random Test Generation/Result_Round2/JacksonDatabind_70/result.json</x:v>
      </x:c>
      <x:c r="O4732" s="38" t="n">
        <x:f>IF(AND(G4732="RECORDED",ISNUMBER(H4732)),H4732,"")</x:f>
        <x:v>23.19</x:v>
      </x:c>
      <x:c r="P4732" s="34" t="str">
        <x:v>NOT_REVEALING</x:v>
      </x:c>
      <x:c r="Q4732" s="34" t="str">
        <x:v>Feedback-Directed Random Test Generation/Result_Round2/JacksonDatabind_70/result.json</x:v>
      </x:c>
    </x:row>
    <x:row r="4733">
      <x:c r="A4733" s="34" t="str">
        <x:v>randoop</x:v>
      </x:c>
      <x:c r="B4733" s="34" t="str">
        <x:v>JacksonDatabind</x:v>
      </x:c>
      <x:c r="C4733" s="34" t="str">
        <x:v>Round2</x:v>
      </x:c>
      <x:c r="D4733" s="34" t="str">
        <x:v>JacksonDatabind_71</x:v>
      </x:c>
      <x:c r="E4733" s="34" t="str">
        <x:v>Condition</x:v>
      </x:c>
      <x:c r="F4733" s="34" t="n">
        <x:v>95</x:v>
      </x:c>
      <x:c r="G4733" s="34" t="str">
        <x:v>RECORDED</x:v>
      </x:c>
      <x:c r="H4733" s="38" t="n">
        <x:f>IF(ISNUMBER('Data'!I1317),'Data'!I1317*100,"")</x:f>
        <x:v>0</x:v>
      </x:c>
      <x:c r="I4733" s="34" t="str">
        <x:v>PASS</x:v>
      </x:c>
      <x:c r="J4733" s="34" t="str">
        <x:v>PASS</x:v>
      </x:c>
      <x:c r="K4733" s="34" t="str">
        <x:v>PASS</x:v>
      </x:c>
      <x:c r="L4733" s="34" t="str">
        <x:v>PASS</x:v>
      </x:c>
      <x:c r="M4733" s="34" t="str">
        <x:v>numeric coverage for applicable metric</x:v>
      </x:c>
      <x:c r="N4733" s="34" t="str">
        <x:v>Feedback-Directed Random Test Generation/Result_Round2/JacksonDatabind_71/result.json</x:v>
      </x:c>
      <x:c r="O4733" s="38" t="n">
        <x:f>IF(AND(G4733="RECORDED",ISNUMBER(H4733)),H4733,"")</x:f>
        <x:v>0</x:v>
      </x:c>
      <x:c r="P4733" s="34" t="str">
        <x:v>NOT_REVEALING</x:v>
      </x:c>
      <x:c r="Q4733" s="34" t="str">
        <x:v>Feedback-Directed Random Test Generation/Result_Round2/JacksonDatabind_71/result.json</x:v>
      </x:c>
    </x:row>
    <x:row r="4734">
      <x:c r="A4734" s="34" t="str">
        <x:v>randoop</x:v>
      </x:c>
      <x:c r="B4734" s="34" t="str">
        <x:v>JacksonDatabind</x:v>
      </x:c>
      <x:c r="C4734" s="34" t="str">
        <x:v>Round2</x:v>
      </x:c>
      <x:c r="D4734" s="34" t="str">
        <x:v>JacksonDatabind_72</x:v>
      </x:c>
      <x:c r="E4734" s="34" t="str">
        <x:v>Condition</x:v>
      </x:c>
      <x:c r="F4734" s="34" t="n">
        <x:v>10</x:v>
      </x:c>
      <x:c r="G4734" s="34" t="str">
        <x:v>RECORDED</x:v>
      </x:c>
      <x:c r="H4734" s="38" t="n">
        <x:f>IF(ISNUMBER('Data'!I1318),'Data'!I1318*100,"")</x:f>
        <x:v>0</x:v>
      </x:c>
      <x:c r="I4734" s="34" t="str">
        <x:v>PASS</x:v>
      </x:c>
      <x:c r="J4734" s="34" t="str">
        <x:v>PASS</x:v>
      </x:c>
      <x:c r="K4734" s="34" t="str">
        <x:v>PASS</x:v>
      </x:c>
      <x:c r="L4734" s="34" t="str">
        <x:v>PASS</x:v>
      </x:c>
      <x:c r="M4734" s="34" t="str">
        <x:v>numeric coverage for applicable metric</x:v>
      </x:c>
      <x:c r="N4734" s="34" t="str">
        <x:v>Feedback-Directed Random Test Generation/Result_Round2/JacksonDatabind_72/result.json</x:v>
      </x:c>
      <x:c r="O4734" s="38" t="n">
        <x:f>IF(AND(G4734="RECORDED",ISNUMBER(H4734)),H4734,"")</x:f>
        <x:v>0</x:v>
      </x:c>
      <x:c r="P4734" s="34" t="str">
        <x:v>NOT_REVEALING</x:v>
      </x:c>
      <x:c r="Q4734" s="34" t="str">
        <x:v>Feedback-Directed Random Test Generation/Result_Round2/JacksonDatabind_72/result.json</x:v>
      </x:c>
    </x:row>
    <x:row r="4735">
      <x:c r="A4735" s="34" t="str">
        <x:v>randoop</x:v>
      </x:c>
      <x:c r="B4735" s="34" t="str">
        <x:v>JacksonDatabind</x:v>
      </x:c>
      <x:c r="C4735" s="34" t="str">
        <x:v>Round2</x:v>
      </x:c>
      <x:c r="D4735" s="34" t="str">
        <x:v>JacksonDatabind_73</x:v>
      </x:c>
      <x:c r="E4735" s="34" t="str">
        <x:v>Condition</x:v>
      </x:c>
      <x:c r="F4735" s="34" t="n">
        <x:v>716</x:v>
      </x:c>
      <x:c r="G4735" s="34" t="str">
        <x:v>RECORDED</x:v>
      </x:c>
      <x:c r="H4735" s="38" t="n">
        <x:f>IF(ISNUMBER('Data'!I1319),'Data'!I1319*100,"")</x:f>
        <x:v>4.47</x:v>
      </x:c>
      <x:c r="I4735" s="34" t="str">
        <x:v>PASS</x:v>
      </x:c>
      <x:c r="J4735" s="34" t="str">
        <x:v>PASS</x:v>
      </x:c>
      <x:c r="K4735" s="34" t="str">
        <x:v>PASS</x:v>
      </x:c>
      <x:c r="L4735" s="34" t="str">
        <x:v>PASS</x:v>
      </x:c>
      <x:c r="M4735" s="34" t="str">
        <x:v>numeric coverage for applicable metric</x:v>
      </x:c>
      <x:c r="N4735" s="34" t="str">
        <x:v>Feedback-Directed Random Test Generation/Result_Round2/JacksonDatabind_73/result.json</x:v>
      </x:c>
      <x:c r="O4735" s="38" t="n">
        <x:f>IF(AND(G4735="RECORDED",ISNUMBER(H4735)),H4735,"")</x:f>
        <x:v>4.47</x:v>
      </x:c>
      <x:c r="P4735" s="34" t="str">
        <x:v>NOT_REVEALING</x:v>
      </x:c>
      <x:c r="Q4735" s="34" t="str">
        <x:v>Feedback-Directed Random Test Generation/Result_Round2/JacksonDatabind_73/result.json</x:v>
      </x:c>
    </x:row>
    <x:row r="4736">
      <x:c r="A4736" s="34" t="str">
        <x:v>randoop</x:v>
      </x:c>
      <x:c r="B4736" s="34" t="str">
        <x:v>JacksonDatabind</x:v>
      </x:c>
      <x:c r="C4736" s="34" t="str">
        <x:v>Round2</x:v>
      </x:c>
      <x:c r="D4736" s="34" t="str">
        <x:v>JacksonDatabind_74</x:v>
      </x:c>
      <x:c r="E4736" s="34" t="str">
        <x:v>Condition</x:v>
      </x:c>
      <x:c r="F4736" s="34" t="n">
        <x:v>32</x:v>
      </x:c>
      <x:c r="G4736" s="34" t="str">
        <x:v>RECORDED</x:v>
      </x:c>
      <x:c r="H4736" s="38" t="n">
        <x:f>IF(ISNUMBER('Data'!I1320),'Data'!I1320*100,"")</x:f>
        <x:v>3.12</x:v>
      </x:c>
      <x:c r="I4736" s="34" t="str">
        <x:v>PASS</x:v>
      </x:c>
      <x:c r="J4736" s="34" t="str">
        <x:v>PASS</x:v>
      </x:c>
      <x:c r="K4736" s="34" t="str">
        <x:v>PASS</x:v>
      </x:c>
      <x:c r="L4736" s="34" t="str">
        <x:v>PASS</x:v>
      </x:c>
      <x:c r="M4736" s="34" t="str">
        <x:v>numeric coverage for applicable metric</x:v>
      </x:c>
      <x:c r="N4736" s="34" t="str">
        <x:v>Feedback-Directed Random Test Generation/Result_Round2/JacksonDatabind_74/result.json</x:v>
      </x:c>
      <x:c r="O4736" s="38" t="n">
        <x:f>IF(AND(G4736="RECORDED",ISNUMBER(H4736)),H4736,"")</x:f>
        <x:v>3.12</x:v>
      </x:c>
      <x:c r="P4736" s="34" t="str">
        <x:v>NOT_REVEALING</x:v>
      </x:c>
      <x:c r="Q4736" s="34" t="str">
        <x:v>Feedback-Directed Random Test Generation/Result_Round2/JacksonDatabind_74/result.json</x:v>
      </x:c>
    </x:row>
    <x:row r="4737">
      <x:c r="A4737" s="34" t="str">
        <x:v>randoop</x:v>
      </x:c>
      <x:c r="B4737" s="34" t="str">
        <x:v>JacksonDatabind</x:v>
      </x:c>
      <x:c r="C4737" s="34" t="str">
        <x:v>Round2</x:v>
      </x:c>
      <x:c r="D4737" s="34" t="str">
        <x:v>JacksonDatabind_75</x:v>
      </x:c>
      <x:c r="E4737" s="34" t="str">
        <x:v>Condition</x:v>
      </x:c>
      <x:c r="F4737" s="34" t="n">
        <x:v>50</x:v>
      </x:c>
      <x:c r="G4737" s="34" t="str">
        <x:v>RECORDED</x:v>
      </x:c>
      <x:c r="H4737" s="38" t="n">
        <x:f>IF(ISNUMBER('Data'!I1321),'Data'!I1321*100,"")</x:f>
        <x:v>0</x:v>
      </x:c>
      <x:c r="I4737" s="34" t="str">
        <x:v>PASS</x:v>
      </x:c>
      <x:c r="J4737" s="34" t="str">
        <x:v>PASS</x:v>
      </x:c>
      <x:c r="K4737" s="34" t="str">
        <x:v>PASS</x:v>
      </x:c>
      <x:c r="L4737" s="34" t="str">
        <x:v>PASS</x:v>
      </x:c>
      <x:c r="M4737" s="34" t="str">
        <x:v>numeric coverage for applicable metric</x:v>
      </x:c>
      <x:c r="N4737" s="34" t="str">
        <x:v>Feedback-Directed Random Test Generation/Result_Round2/JacksonDatabind_75/result.json</x:v>
      </x:c>
      <x:c r="O4737" s="38" t="n">
        <x:f>IF(AND(G4737="RECORDED",ISNUMBER(H4737)),H4737,"")</x:f>
        <x:v>0</x:v>
      </x:c>
      <x:c r="P4737" s="34" t="str">
        <x:v>NOT_REVEALING</x:v>
      </x:c>
      <x:c r="Q4737" s="34" t="str">
        <x:v>Feedback-Directed Random Test Generation/Result_Round2/JacksonDatabind_75/result.json</x:v>
      </x:c>
    </x:row>
    <x:row r="4738">
      <x:c r="A4738" s="34" t="str">
        <x:v>randoop</x:v>
      </x:c>
      <x:c r="B4738" s="34" t="str">
        <x:v>JacksonDatabind</x:v>
      </x:c>
      <x:c r="C4738" s="34" t="str">
        <x:v>Round2</x:v>
      </x:c>
      <x:c r="D4738" s="34" t="str">
        <x:v>JacksonDatabind_76</x:v>
      </x:c>
      <x:c r="E4738" s="34" t="str">
        <x:v>Condition</x:v>
      </x:c>
      <x:c r="F4738" s="34" t="n">
        <x:v>168</x:v>
      </x:c>
      <x:c r="G4738" s="34" t="str">
        <x:v>RECORDED</x:v>
      </x:c>
      <x:c r="H4738" s="38" t="n">
        <x:f>IF(ISNUMBER('Data'!I1322),'Data'!I1322*100,"")</x:f>
        <x:v>0</x:v>
      </x:c>
      <x:c r="I4738" s="34" t="str">
        <x:v>PASS</x:v>
      </x:c>
      <x:c r="J4738" s="34" t="str">
        <x:v>PASS</x:v>
      </x:c>
      <x:c r="K4738" s="34" t="str">
        <x:v>PASS</x:v>
      </x:c>
      <x:c r="L4738" s="34" t="str">
        <x:v>PASS</x:v>
      </x:c>
      <x:c r="M4738" s="34" t="str">
        <x:v>numeric coverage for applicable metric</x:v>
      </x:c>
      <x:c r="N4738" s="34" t="str">
        <x:v>Feedback-Directed Random Test Generation/Result_Round2/JacksonDatabind_76/result.json</x:v>
      </x:c>
      <x:c r="O4738" s="38" t="n">
        <x:f>IF(AND(G4738="RECORDED",ISNUMBER(H4738)),H4738,"")</x:f>
        <x:v>0</x:v>
      </x:c>
      <x:c r="P4738" s="34" t="str">
        <x:v>NOT_REVEALING</x:v>
      </x:c>
      <x:c r="Q4738" s="34" t="str">
        <x:v>Feedback-Directed Random Test Generation/Result_Round2/JacksonDatabind_76/result.json</x:v>
      </x:c>
    </x:row>
    <x:row r="4739">
      <x:c r="A4739" s="34" t="str">
        <x:v>randoop</x:v>
      </x:c>
      <x:c r="B4739" s="34" t="str">
        <x:v>JacksonDatabind</x:v>
      </x:c>
      <x:c r="C4739" s="34" t="str">
        <x:v>Round2</x:v>
      </x:c>
      <x:c r="D4739" s="34" t="str">
        <x:v>JacksonDatabind_77</x:v>
      </x:c>
      <x:c r="E4739" s="34" t="str">
        <x:v>Condition</x:v>
      </x:c>
      <x:c r="F4739" s="34" t="n">
        <x:v>202</x:v>
      </x:c>
      <x:c r="G4739" s="34" t="str">
        <x:v>RECORDED</x:v>
      </x:c>
      <x:c r="H4739" s="38" t="n">
        <x:f>IF(ISNUMBER('Data'!I1323),'Data'!I1323*100,"")</x:f>
        <x:v>2.48</x:v>
      </x:c>
      <x:c r="I4739" s="34" t="str">
        <x:v>PASS</x:v>
      </x:c>
      <x:c r="J4739" s="34" t="str">
        <x:v>PASS</x:v>
      </x:c>
      <x:c r="K4739" s="34" t="str">
        <x:v>PASS</x:v>
      </x:c>
      <x:c r="L4739" s="34" t="str">
        <x:v>PASS</x:v>
      </x:c>
      <x:c r="M4739" s="34" t="str">
        <x:v>numeric coverage for applicable metric</x:v>
      </x:c>
      <x:c r="N4739" s="34" t="str">
        <x:v>Feedback-Directed Random Test Generation/Result_Round2/JacksonDatabind_77/result.json</x:v>
      </x:c>
      <x:c r="O4739" s="38" t="n">
        <x:f>IF(AND(G4739="RECORDED",ISNUMBER(H4739)),H4739,"")</x:f>
        <x:v>2.48</x:v>
      </x:c>
      <x:c r="P4739" s="34" t="str">
        <x:v>NOT_REVEALING</x:v>
      </x:c>
      <x:c r="Q4739" s="34" t="str">
        <x:v>Feedback-Directed Random Test Generation/Result_Round2/JacksonDatabind_77/result.json</x:v>
      </x:c>
    </x:row>
    <x:row r="4740">
      <x:c r="A4740" s="34" t="str">
        <x:v>randoop</x:v>
      </x:c>
      <x:c r="B4740" s="34" t="str">
        <x:v>JacksonDatabind</x:v>
      </x:c>
      <x:c r="C4740" s="34" t="str">
        <x:v>Round2</x:v>
      </x:c>
      <x:c r="D4740" s="34" t="str">
        <x:v>JacksonDatabind_78</x:v>
      </x:c>
      <x:c r="E4740" s="34" t="str">
        <x:v>Condition</x:v>
      </x:c>
      <x:c r="F4740" s="34" t="n">
        <x:v>210</x:v>
      </x:c>
      <x:c r="G4740" s="34" t="str">
        <x:v>RECORDED</x:v>
      </x:c>
      <x:c r="H4740" s="38" t="n">
        <x:f>IF(ISNUMBER('Data'!I1324),'Data'!I1324*100,"")</x:f>
        <x:v>3.3300000000000005</x:v>
      </x:c>
      <x:c r="I4740" s="34" t="str">
        <x:v>PASS</x:v>
      </x:c>
      <x:c r="J4740" s="34" t="str">
        <x:v>PASS</x:v>
      </x:c>
      <x:c r="K4740" s="34" t="str">
        <x:v>PASS</x:v>
      </x:c>
      <x:c r="L4740" s="34" t="str">
        <x:v>PASS</x:v>
      </x:c>
      <x:c r="M4740" s="34" t="str">
        <x:v>numeric coverage for applicable metric</x:v>
      </x:c>
      <x:c r="N4740" s="34" t="str">
        <x:v>Feedback-Directed Random Test Generation/Result_Round2/JacksonDatabind_78/result.json</x:v>
      </x:c>
      <x:c r="O4740" s="38" t="n">
        <x:f>IF(AND(G4740="RECORDED",ISNUMBER(H4740)),H4740,"")</x:f>
        <x:v>3.3300000000000005</x:v>
      </x:c>
      <x:c r="P4740" s="34" t="str">
        <x:v>NOT_REVEALING</x:v>
      </x:c>
      <x:c r="Q4740" s="34" t="str">
        <x:v>Feedback-Directed Random Test Generation/Result_Round2/JacksonDatabind_78/result.json</x:v>
      </x:c>
    </x:row>
    <x:row r="4741">
      <x:c r="A4741" s="34" t="str">
        <x:v>randoop</x:v>
      </x:c>
      <x:c r="B4741" s="34" t="str">
        <x:v>JacksonDatabind</x:v>
      </x:c>
      <x:c r="C4741" s="34" t="str">
        <x:v>Round2</x:v>
      </x:c>
      <x:c r="D4741" s="34" t="str">
        <x:v>JacksonDatabind_79</x:v>
      </x:c>
      <x:c r="E4741" s="34" t="str">
        <x:v>Condition</x:v>
      </x:c>
      <x:c r="F4741" s="34" t="n">
        <x:v>558</x:v>
      </x:c>
      <x:c r="G4741" s="34" t="str">
        <x:v>RECORDED</x:v>
      </x:c>
      <x:c r="H4741" s="38" t="n">
        <x:f>IF(ISNUMBER('Data'!I1325),'Data'!I1325*100,"")</x:f>
        <x:v>1.43</x:v>
      </x:c>
      <x:c r="I4741" s="34" t="str">
        <x:v>PASS</x:v>
      </x:c>
      <x:c r="J4741" s="34" t="str">
        <x:v>PASS</x:v>
      </x:c>
      <x:c r="K4741" s="34" t="str">
        <x:v>PASS</x:v>
      </x:c>
      <x:c r="L4741" s="34" t="str">
        <x:v>PASS</x:v>
      </x:c>
      <x:c r="M4741" s="34" t="str">
        <x:v>numeric coverage for applicable metric</x:v>
      </x:c>
      <x:c r="N4741" s="34" t="str">
        <x:v>Feedback-Directed Random Test Generation/Result_Round2/JacksonDatabind_79/result.json</x:v>
      </x:c>
      <x:c r="O4741" s="38" t="n">
        <x:f>IF(AND(G4741="RECORDED",ISNUMBER(H4741)),H4741,"")</x:f>
        <x:v>1.43</x:v>
      </x:c>
      <x:c r="P4741" s="34" t="str">
        <x:v>NOT_REVEALING</x:v>
      </x:c>
      <x:c r="Q4741" s="34" t="str">
        <x:v>Feedback-Directed Random Test Generation/Result_Round2/JacksonDatabind_79/result.json</x:v>
      </x:c>
    </x:row>
    <x:row r="4742">
      <x:c r="A4742" s="34" t="str">
        <x:v>randoop</x:v>
      </x:c>
      <x:c r="B4742" s="34" t="str">
        <x:v>JacksonDatabind</x:v>
      </x:c>
      <x:c r="C4742" s="34" t="str">
        <x:v>Round2</x:v>
      </x:c>
      <x:c r="D4742" s="34" t="str">
        <x:v>JacksonDatabind_80</x:v>
      </x:c>
      <x:c r="E4742" s="34" t="str">
        <x:v>Condition</x:v>
      </x:c>
      <x:c r="F4742" s="34" t="n">
        <x:v>78</x:v>
      </x:c>
      <x:c r="G4742" s="34" t="str">
        <x:v>RECORDED</x:v>
      </x:c>
      <x:c r="H4742" s="38" t="n">
        <x:f>IF(ISNUMBER('Data'!I1326),'Data'!I1326*100,"")</x:f>
        <x:v>7.690000000000001</x:v>
      </x:c>
      <x:c r="I4742" s="34" t="str">
        <x:v>PASS</x:v>
      </x:c>
      <x:c r="J4742" s="34" t="str">
        <x:v>PASS</x:v>
      </x:c>
      <x:c r="K4742" s="34" t="str">
        <x:v>PASS</x:v>
      </x:c>
      <x:c r="L4742" s="34" t="str">
        <x:v>PASS</x:v>
      </x:c>
      <x:c r="M4742" s="34" t="str">
        <x:v>numeric coverage for applicable metric</x:v>
      </x:c>
      <x:c r="N4742" s="34" t="str">
        <x:v>Feedback-Directed Random Test Generation/Result_Round2/JacksonDatabind_80/result.json</x:v>
      </x:c>
      <x:c r="O4742" s="38" t="n">
        <x:f>IF(AND(G4742="RECORDED",ISNUMBER(H4742)),H4742,"")</x:f>
        <x:v>7.690000000000001</x:v>
      </x:c>
      <x:c r="P4742" s="34" t="str">
        <x:v>NOT_REVEALING</x:v>
      </x:c>
      <x:c r="Q4742" s="34" t="str">
        <x:v>Feedback-Directed Random Test Generation/Result_Round2/JacksonDatabind_80/result.json</x:v>
      </x:c>
    </x:row>
    <x:row r="4743">
      <x:c r="A4743" s="34" t="str">
        <x:v>randoop</x:v>
      </x:c>
      <x:c r="B4743" s="34" t="str">
        <x:v>JacksonDatabind</x:v>
      </x:c>
      <x:c r="C4743" s="34" t="str">
        <x:v>Round2</x:v>
      </x:c>
      <x:c r="D4743" s="34" t="str">
        <x:v>JacksonDatabind_81</x:v>
      </x:c>
      <x:c r="E4743" s="34" t="str">
        <x:v>Condition</x:v>
      </x:c>
      <x:c r="F4743" s="34" t="n">
        <x:v>365</x:v>
      </x:c>
      <x:c r="G4743" s="34" t="str">
        <x:v>RECORDED</x:v>
      </x:c>
      <x:c r="H4743" s="38" t="n">
        <x:f>IF(ISNUMBER('Data'!I1327),'Data'!I1327*100,"")</x:f>
        <x:v>2.19</x:v>
      </x:c>
      <x:c r="I4743" s="34" t="str">
        <x:v>PASS</x:v>
      </x:c>
      <x:c r="J4743" s="34" t="str">
        <x:v>PASS</x:v>
      </x:c>
      <x:c r="K4743" s="34" t="str">
        <x:v>PASS</x:v>
      </x:c>
      <x:c r="L4743" s="34" t="str">
        <x:v>PASS</x:v>
      </x:c>
      <x:c r="M4743" s="34" t="str">
        <x:v>numeric coverage for applicable metric</x:v>
      </x:c>
      <x:c r="N4743" s="34" t="str">
        <x:v>Feedback-Directed Random Test Generation/Result_Round2/JacksonDatabind_81/result.json</x:v>
      </x:c>
      <x:c r="O4743" s="38" t="n">
        <x:f>IF(AND(G4743="RECORDED",ISNUMBER(H4743)),H4743,"")</x:f>
        <x:v>2.19</x:v>
      </x:c>
      <x:c r="P4743" s="34" t="str">
        <x:v>NOT_REVEALING</x:v>
      </x:c>
      <x:c r="Q4743" s="34" t="str">
        <x:v>Feedback-Directed Random Test Generation/Result_Round2/JacksonDatabind_81/result.json</x:v>
      </x:c>
    </x:row>
    <x:row r="4744">
      <x:c r="A4744" s="34" t="str">
        <x:v>randoop</x:v>
      </x:c>
      <x:c r="B4744" s="34" t="str">
        <x:v>JacksonDatabind</x:v>
      </x:c>
      <x:c r="C4744" s="34" t="str">
        <x:v>Round2</x:v>
      </x:c>
      <x:c r="D4744" s="34" t="str">
        <x:v>JacksonDatabind_82</x:v>
      </x:c>
      <x:c r="E4744" s="34" t="str">
        <x:v>Condition</x:v>
      </x:c>
      <x:c r="F4744" s="34" t="n">
        <x:v>212</x:v>
      </x:c>
      <x:c r="G4744" s="34" t="str">
        <x:v>RECORDED</x:v>
      </x:c>
      <x:c r="H4744" s="38" t="n">
        <x:f>IF(ISNUMBER('Data'!I1328),'Data'!I1328*100,"")</x:f>
        <x:v>3.3000000000000003</x:v>
      </x:c>
      <x:c r="I4744" s="34" t="str">
        <x:v>PASS</x:v>
      </x:c>
      <x:c r="J4744" s="34" t="str">
        <x:v>PASS</x:v>
      </x:c>
      <x:c r="K4744" s="34" t="str">
        <x:v>PASS</x:v>
      </x:c>
      <x:c r="L4744" s="34" t="str">
        <x:v>PASS</x:v>
      </x:c>
      <x:c r="M4744" s="34" t="str">
        <x:v>numeric coverage for applicable metric</x:v>
      </x:c>
      <x:c r="N4744" s="34" t="str">
        <x:v>Feedback-Directed Random Test Generation/Result_Round2/JacksonDatabind_82/result.json</x:v>
      </x:c>
      <x:c r="O4744" s="38" t="n">
        <x:f>IF(AND(G4744="RECORDED",ISNUMBER(H4744)),H4744,"")</x:f>
        <x:v>3.3000000000000003</x:v>
      </x:c>
      <x:c r="P4744" s="34" t="str">
        <x:v>NOT_REVEALING</x:v>
      </x:c>
      <x:c r="Q4744" s="34" t="str">
        <x:v>Feedback-Directed Random Test Generation/Result_Round2/JacksonDatabind_82/result.json</x:v>
      </x:c>
    </x:row>
    <x:row r="4745">
      <x:c r="A4745" s="34" t="str">
        <x:v>randoop</x:v>
      </x:c>
      <x:c r="B4745" s="34" t="str">
        <x:v>JacksonDatabind</x:v>
      </x:c>
      <x:c r="C4745" s="34" t="str">
        <x:v>Round2</x:v>
      </x:c>
      <x:c r="D4745" s="34" t="str">
        <x:v>JacksonDatabind_83</x:v>
      </x:c>
      <x:c r="E4745" s="34" t="str">
        <x:v>Condition</x:v>
      </x:c>
      <x:c r="F4745" s="34" t="n">
        <x:v>88</x:v>
      </x:c>
      <x:c r="G4745" s="34" t="str">
        <x:v>RECORDED</x:v>
      </x:c>
      <x:c r="H4745" s="38" t="n">
        <x:f>IF(ISNUMBER('Data'!I1329),'Data'!I1329*100,"")</x:f>
        <x:v>0</x:v>
      </x:c>
      <x:c r="I4745" s="34" t="str">
        <x:v>PASS</x:v>
      </x:c>
      <x:c r="J4745" s="34" t="str">
        <x:v>PASS</x:v>
      </x:c>
      <x:c r="K4745" s="34" t="str">
        <x:v>PASS</x:v>
      </x:c>
      <x:c r="L4745" s="34" t="str">
        <x:v>PASS</x:v>
      </x:c>
      <x:c r="M4745" s="34" t="str">
        <x:v>numeric coverage for applicable metric</x:v>
      </x:c>
      <x:c r="N4745" s="34" t="str">
        <x:v>Feedback-Directed Random Test Generation/Result_Round2/JacksonDatabind_83/result.json</x:v>
      </x:c>
      <x:c r="O4745" s="38" t="n">
        <x:f>IF(AND(G4745="RECORDED",ISNUMBER(H4745)),H4745,"")</x:f>
        <x:v>0</x:v>
      </x:c>
      <x:c r="P4745" s="34" t="str">
        <x:v>NOT_REVEALING</x:v>
      </x:c>
      <x:c r="Q4745" s="34" t="str">
        <x:v>Feedback-Directed Random Test Generation/Result_Round2/JacksonDatabind_83/result.json</x:v>
      </x:c>
    </x:row>
    <x:row r="4746">
      <x:c r="A4746" s="34" t="str">
        <x:v>randoop</x:v>
      </x:c>
      <x:c r="B4746" s="34" t="str">
        <x:v>JacksonDatabind</x:v>
      </x:c>
      <x:c r="C4746" s="34" t="str">
        <x:v>Round2</x:v>
      </x:c>
      <x:c r="D4746" s="34" t="str">
        <x:v>JacksonDatabind_84</x:v>
      </x:c>
      <x:c r="E4746" s="34" t="str">
        <x:v>Condition</x:v>
      </x:c>
      <x:c r="F4746" s="34" t="n">
        <x:v>14</x:v>
      </x:c>
      <x:c r="G4746" s="34" t="str">
        <x:v>RECORDED</x:v>
      </x:c>
      <x:c r="H4746" s="38" t="n">
        <x:f>IF(ISNUMBER('Data'!I1330),'Data'!I1330*100,"")</x:f>
        <x:v>0</x:v>
      </x:c>
      <x:c r="I4746" s="34" t="str">
        <x:v>PASS</x:v>
      </x:c>
      <x:c r="J4746" s="34" t="str">
        <x:v>PASS</x:v>
      </x:c>
      <x:c r="K4746" s="34" t="str">
        <x:v>PASS</x:v>
      </x:c>
      <x:c r="L4746" s="34" t="str">
        <x:v>PASS</x:v>
      </x:c>
      <x:c r="M4746" s="34" t="str">
        <x:v>numeric coverage for applicable metric</x:v>
      </x:c>
      <x:c r="N4746" s="34" t="str">
        <x:v>Feedback-Directed Random Test Generation/Result_Round2/JacksonDatabind_84/result.json</x:v>
      </x:c>
      <x:c r="O4746" s="38" t="n">
        <x:f>IF(AND(G4746="RECORDED",ISNUMBER(H4746)),H4746,"")</x:f>
        <x:v>0</x:v>
      </x:c>
      <x:c r="P4746" s="34" t="str">
        <x:v>NOT_REVEALING</x:v>
      </x:c>
      <x:c r="Q4746" s="34" t="str">
        <x:v>Feedback-Directed Random Test Generation/Result_Round2/JacksonDatabind_84/result.json</x:v>
      </x:c>
    </x:row>
    <x:row r="4747">
      <x:c r="A4747" s="34" t="str">
        <x:v>randoop</x:v>
      </x:c>
      <x:c r="B4747" s="34" t="str">
        <x:v>JacksonDatabind</x:v>
      </x:c>
      <x:c r="C4747" s="34" t="str">
        <x:v>Round2</x:v>
      </x:c>
      <x:c r="D4747" s="34" t="str">
        <x:v>JacksonDatabind_85</x:v>
      </x:c>
      <x:c r="E4747" s="34" t="str">
        <x:v>Condition</x:v>
      </x:c>
      <x:c r="F4747" s="34" t="n">
        <x:v>38</x:v>
      </x:c>
      <x:c r="G4747" s="34" t="str">
        <x:v>RECORDED</x:v>
      </x:c>
      <x:c r="H4747" s="38" t="n">
        <x:f>IF(ISNUMBER('Data'!I1331),'Data'!I1331*100,"")</x:f>
        <x:v>0</x:v>
      </x:c>
      <x:c r="I4747" s="34" t="str">
        <x:v>PASS</x:v>
      </x:c>
      <x:c r="J4747" s="34" t="str">
        <x:v>PASS</x:v>
      </x:c>
      <x:c r="K4747" s="34" t="str">
        <x:v>PASS</x:v>
      </x:c>
      <x:c r="L4747" s="34" t="str">
        <x:v>PASS</x:v>
      </x:c>
      <x:c r="M4747" s="34" t="str">
        <x:v>numeric coverage for applicable metric</x:v>
      </x:c>
      <x:c r="N4747" s="34" t="str">
        <x:v>Feedback-Directed Random Test Generation/Result_Round2/JacksonDatabind_85/result.json</x:v>
      </x:c>
      <x:c r="O4747" s="38" t="n">
        <x:f>IF(AND(G4747="RECORDED",ISNUMBER(H4747)),H4747,"")</x:f>
        <x:v>0</x:v>
      </x:c>
      <x:c r="P4747" s="34" t="str">
        <x:v>NOT_REVEALING</x:v>
      </x:c>
      <x:c r="Q4747" s="34" t="str">
        <x:v>Feedback-Directed Random Test Generation/Result_Round2/JacksonDatabind_85/result.json</x:v>
      </x:c>
    </x:row>
    <x:row r="4748">
      <x:c r="A4748" s="34" t="str">
        <x:v>randoop</x:v>
      </x:c>
      <x:c r="B4748" s="34" t="str">
        <x:v>JacksonDatabind</x:v>
      </x:c>
      <x:c r="C4748" s="34" t="str">
        <x:v>Round2</x:v>
      </x:c>
      <x:c r="D4748" s="34" t="str">
        <x:v>JacksonDatabind_86</x:v>
      </x:c>
      <x:c r="E4748" s="34" t="str">
        <x:v>Condition</x:v>
      </x:c>
      <x:c r="F4748" s="34" t="n">
        <x:v>14</x:v>
      </x:c>
      <x:c r="G4748" s="34" t="str">
        <x:v>RECORDED</x:v>
      </x:c>
      <x:c r="H4748" s="38" t="n">
        <x:f>IF(ISNUMBER('Data'!I1332),'Data'!I1332*100,"")</x:f>
        <x:v>0</x:v>
      </x:c>
      <x:c r="I4748" s="34" t="str">
        <x:v>PASS</x:v>
      </x:c>
      <x:c r="J4748" s="34" t="str">
        <x:v>PASS</x:v>
      </x:c>
      <x:c r="K4748" s="34" t="str">
        <x:v>PASS</x:v>
      </x:c>
      <x:c r="L4748" s="34" t="str">
        <x:v>PASS</x:v>
      </x:c>
      <x:c r="M4748" s="34" t="str">
        <x:v>numeric coverage for applicable metric</x:v>
      </x:c>
      <x:c r="N4748" s="34" t="str">
        <x:v>Feedback-Directed Random Test Generation/Result_Round2/JacksonDatabind_86/result.json</x:v>
      </x:c>
      <x:c r="O4748" s="38" t="n">
        <x:f>IF(AND(G4748="RECORDED",ISNUMBER(H4748)),H4748,"")</x:f>
        <x:v>0</x:v>
      </x:c>
      <x:c r="P4748" s="34" t="str">
        <x:v>NOT_REVEALING</x:v>
      </x:c>
      <x:c r="Q4748" s="34" t="str">
        <x:v>Feedback-Directed Random Test Generation/Result_Round2/JacksonDatabind_86/result.json</x:v>
      </x:c>
    </x:row>
    <x:row r="4749">
      <x:c r="A4749" s="34" t="str">
        <x:v>randoop</x:v>
      </x:c>
      <x:c r="B4749" s="34" t="str">
        <x:v>JacksonDatabind</x:v>
      </x:c>
      <x:c r="C4749" s="34" t="str">
        <x:v>Round2</x:v>
      </x:c>
      <x:c r="D4749" s="34" t="str">
        <x:v>JacksonDatabind_87</x:v>
      </x:c>
      <x:c r="E4749" s="34" t="str">
        <x:v>Condition</x:v>
      </x:c>
      <x:c r="F4749" s="34" t="n">
        <x:v>0</x:v>
      </x:c>
      <x:c r="G4749" s="34" t="str">
        <x:v>A</x:v>
      </x:c>
      <x:c r="H4749" s="38" t="str">
        <x:f>IF(ISNUMBER('Data'!I1333),'Data'!I1333*100,"")</x:f>
      </x:c>
      <x:c r="I4749" s="34"/>
      <x:c r="J4749" s="34"/>
      <x:c r="K4749" s="34"/>
      <x:c r="L4749" s="34" t="str">
        <x:v>NOT_RUN</x:v>
      </x:c>
      <x:c r="M4749" s="34" t="str">
        <x:v>Latest same-round generation failed; older files/results are excluded</x:v>
      </x:c>
      <x:c r="N4749" s="34" t="str">
        <x:v>Feedback-Directed Random Test Generation/report_Round2.csv</x:v>
      </x:c>
      <x:c r="O4749" s="38" t="str">
        <x:f>IF(AND(G4749="RECORDED",ISNUMBER(H4749)),H4749,"")</x:f>
      </x:c>
      <x:c r="P4749" s="34" t="str">
        <x:v>FAIL</x:v>
      </x:c>
      <x:c r="Q4749" s="34"/>
    </x:row>
    <x:row r="4750">
      <x:c r="A4750" s="34" t="str">
        <x:v>randoop</x:v>
      </x:c>
      <x:c r="B4750" s="34" t="str">
        <x:v>JacksonDatabind</x:v>
      </x:c>
      <x:c r="C4750" s="34" t="str">
        <x:v>Round2</x:v>
      </x:c>
      <x:c r="D4750" s="34" t="str">
        <x:v>JacksonDatabind_88</x:v>
      </x:c>
      <x:c r="E4750" s="34" t="str">
        <x:v>Condition</x:v>
      </x:c>
      <x:c r="F4750" s="34" t="n">
        <x:v>26</x:v>
      </x:c>
      <x:c r="G4750" s="34" t="str">
        <x:v>RECORDED</x:v>
      </x:c>
      <x:c r="H4750" s="38" t="n">
        <x:f>IF(ISNUMBER('Data'!I1334),'Data'!I1334*100,"")</x:f>
        <x:v>26.919999999999998</x:v>
      </x:c>
      <x:c r="I4750" s="34" t="str">
        <x:v>PASS</x:v>
      </x:c>
      <x:c r="J4750" s="34" t="str">
        <x:v>PASS</x:v>
      </x:c>
      <x:c r="K4750" s="34" t="str">
        <x:v>PASS</x:v>
      </x:c>
      <x:c r="L4750" s="34" t="str">
        <x:v>PASS</x:v>
      </x:c>
      <x:c r="M4750" s="34" t="str">
        <x:v>numeric coverage for applicable metric</x:v>
      </x:c>
      <x:c r="N4750" s="34" t="str">
        <x:v>Feedback-Directed Random Test Generation/Result_Round2/JacksonDatabind_88/result.json</x:v>
      </x:c>
      <x:c r="O4750" s="38" t="n">
        <x:f>IF(AND(G4750="RECORDED",ISNUMBER(H4750)),H4750,"")</x:f>
        <x:v>26.919999999999998</x:v>
      </x:c>
      <x:c r="P4750" s="34" t="str">
        <x:v>NOT_REVEALING</x:v>
      </x:c>
      <x:c r="Q4750" s="34" t="str">
        <x:v>Feedback-Directed Random Test Generation/Result_Round2/JacksonDatabind_88/result.json</x:v>
      </x:c>
    </x:row>
    <x:row r="4751">
      <x:c r="A4751" s="34" t="str">
        <x:v>randoop</x:v>
      </x:c>
      <x:c r="B4751" s="34" t="str">
        <x:v>JacksonDatabind</x:v>
      </x:c>
      <x:c r="C4751" s="34" t="str">
        <x:v>Round2</x:v>
      </x:c>
      <x:c r="D4751" s="34" t="str">
        <x:v>JacksonDatabind_90</x:v>
      </x:c>
      <x:c r="E4751" s="34" t="str">
        <x:v>Condition</x:v>
      </x:c>
      <x:c r="F4751" s="34" t="n">
        <x:v>104</x:v>
      </x:c>
      <x:c r="G4751" s="34" t="str">
        <x:v>RECORDED</x:v>
      </x:c>
      <x:c r="H4751" s="38" t="n">
        <x:f>IF(ISNUMBER('Data'!I1335),'Data'!I1335*100,"")</x:f>
        <x:v>33.65</x:v>
      </x:c>
      <x:c r="I4751" s="34" t="str">
        <x:v>PASS</x:v>
      </x:c>
      <x:c r="J4751" s="34" t="str">
        <x:v>PASS</x:v>
      </x:c>
      <x:c r="K4751" s="34" t="str">
        <x:v>PASS</x:v>
      </x:c>
      <x:c r="L4751" s="34" t="str">
        <x:v>PASS</x:v>
      </x:c>
      <x:c r="M4751" s="34" t="str">
        <x:v>numeric coverage for applicable metric</x:v>
      </x:c>
      <x:c r="N4751" s="34" t="str">
        <x:v>Feedback-Directed Random Test Generation/Result_Round2/JacksonDatabind_90/result.json</x:v>
      </x:c>
      <x:c r="O4751" s="38" t="n">
        <x:f>IF(AND(G4751="RECORDED",ISNUMBER(H4751)),H4751,"")</x:f>
        <x:v>33.65</x:v>
      </x:c>
      <x:c r="P4751" s="34" t="str">
        <x:v>NOT_REVEALING</x:v>
      </x:c>
      <x:c r="Q4751" s="34" t="str">
        <x:v>Feedback-Directed Random Test Generation/Result_Round2/JacksonDatabind_90/result.json</x:v>
      </x:c>
    </x:row>
    <x:row r="4752">
      <x:c r="A4752" s="34" t="str">
        <x:v>randoop</x:v>
      </x:c>
      <x:c r="B4752" s="34" t="str">
        <x:v>JacksonDatabind</x:v>
      </x:c>
      <x:c r="C4752" s="34" t="str">
        <x:v>Round2</x:v>
      </x:c>
      <x:c r="D4752" s="34" t="str">
        <x:v>JacksonDatabind_91</x:v>
      </x:c>
      <x:c r="E4752" s="34" t="str">
        <x:v>Condition</x:v>
      </x:c>
      <x:c r="F4752" s="34" t="n">
        <x:v>122</x:v>
      </x:c>
      <x:c r="G4752" s="34" t="str">
        <x:v>RECORDED</x:v>
      </x:c>
      <x:c r="H4752" s="38" t="n">
        <x:f>IF(ISNUMBER('Data'!I1336),'Data'!I1336*100,"")</x:f>
        <x:v>0.8199999999999998</x:v>
      </x:c>
      <x:c r="I4752" s="34" t="str">
        <x:v>PASS</x:v>
      </x:c>
      <x:c r="J4752" s="34" t="str">
        <x:v>PASS</x:v>
      </x:c>
      <x:c r="K4752" s="34" t="str">
        <x:v>PASS</x:v>
      </x:c>
      <x:c r="L4752" s="34" t="str">
        <x:v>PASS</x:v>
      </x:c>
      <x:c r="M4752" s="34" t="str">
        <x:v>numeric coverage for applicable metric</x:v>
      </x:c>
      <x:c r="N4752" s="34" t="str">
        <x:v>Feedback-Directed Random Test Generation/Result_Round2/JacksonDatabind_91/result.json</x:v>
      </x:c>
      <x:c r="O4752" s="38" t="n">
        <x:f>IF(AND(G4752="RECORDED",ISNUMBER(H4752)),H4752,"")</x:f>
        <x:v>0.8199999999999998</x:v>
      </x:c>
      <x:c r="P4752" s="34" t="str">
        <x:v>NOT_REVEALING</x:v>
      </x:c>
      <x:c r="Q4752" s="34" t="str">
        <x:v>Feedback-Directed Random Test Generation/Result_Round2/JacksonDatabind_91/result.json</x:v>
      </x:c>
    </x:row>
    <x:row r="4753">
      <x:c r="A4753" s="34" t="str">
        <x:v>randoop</x:v>
      </x:c>
      <x:c r="B4753" s="34" t="str">
        <x:v>JacksonDatabind</x:v>
      </x:c>
      <x:c r="C4753" s="34" t="str">
        <x:v>Round2</x:v>
      </x:c>
      <x:c r="D4753" s="34" t="str">
        <x:v>JacksonDatabind_92</x:v>
      </x:c>
      <x:c r="E4753" s="34" t="str">
        <x:v>Condition</x:v>
      </x:c>
      <x:c r="F4753" s="34" t="n">
        <x:v>204</x:v>
      </x:c>
      <x:c r="G4753" s="34" t="str">
        <x:v>RECORDED</x:v>
      </x:c>
      <x:c r="H4753" s="38" t="n">
        <x:f>IF(ISNUMBER('Data'!I1337),'Data'!I1337*100,"")</x:f>
        <x:v>2.45</x:v>
      </x:c>
      <x:c r="I4753" s="34" t="str">
        <x:v>PASS</x:v>
      </x:c>
      <x:c r="J4753" s="34" t="str">
        <x:v>PASS</x:v>
      </x:c>
      <x:c r="K4753" s="34" t="str">
        <x:v>PASS</x:v>
      </x:c>
      <x:c r="L4753" s="34" t="str">
        <x:v>PASS</x:v>
      </x:c>
      <x:c r="M4753" s="34" t="str">
        <x:v>numeric coverage for applicable metric</x:v>
      </x:c>
      <x:c r="N4753" s="34" t="str">
        <x:v>Feedback-Directed Random Test Generation/Result_Round2/JacksonDatabind_92/result.json</x:v>
      </x:c>
      <x:c r="O4753" s="38" t="n">
        <x:f>IF(AND(G4753="RECORDED",ISNUMBER(H4753)),H4753,"")</x:f>
        <x:v>2.45</x:v>
      </x:c>
      <x:c r="P4753" s="34" t="str">
        <x:v>NOT_REVEALING</x:v>
      </x:c>
      <x:c r="Q4753" s="34" t="str">
        <x:v>Feedback-Directed Random Test Generation/Result_Round2/JacksonDatabind_92/result.json</x:v>
      </x:c>
    </x:row>
    <x:row r="4754">
      <x:c r="A4754" s="34" t="str">
        <x:v>randoop</x:v>
      </x:c>
      <x:c r="B4754" s="34" t="str">
        <x:v>JacksonDatabind</x:v>
      </x:c>
      <x:c r="C4754" s="34" t="str">
        <x:v>Round2</x:v>
      </x:c>
      <x:c r="D4754" s="34" t="str">
        <x:v>JacksonDatabind_93</x:v>
      </x:c>
      <x:c r="E4754" s="34" t="str">
        <x:v>Condition</x:v>
      </x:c>
      <x:c r="F4754" s="34" t="n">
        <x:v>10</x:v>
      </x:c>
      <x:c r="G4754" s="34" t="str">
        <x:v>RECORDED</x:v>
      </x:c>
      <x:c r="H4754" s="38" t="n">
        <x:f>IF(ISNUMBER('Data'!I1338),'Data'!I1338*100,"")</x:f>
        <x:v>0</x:v>
      </x:c>
      <x:c r="I4754" s="34" t="str">
        <x:v>PASS</x:v>
      </x:c>
      <x:c r="J4754" s="34" t="str">
        <x:v>PASS</x:v>
      </x:c>
      <x:c r="K4754" s="34" t="str">
        <x:v>PASS</x:v>
      </x:c>
      <x:c r="L4754" s="34" t="str">
        <x:v>PASS</x:v>
      </x:c>
      <x:c r="M4754" s="34" t="str">
        <x:v>numeric coverage for applicable metric</x:v>
      </x:c>
      <x:c r="N4754" s="34" t="str">
        <x:v>Feedback-Directed Random Test Generation/Result_Round2/JacksonDatabind_93/result.json</x:v>
      </x:c>
      <x:c r="O4754" s="38" t="n">
        <x:f>IF(AND(G4754="RECORDED",ISNUMBER(H4754)),H4754,"")</x:f>
        <x:v>0</x:v>
      </x:c>
      <x:c r="P4754" s="34" t="str">
        <x:v>NOT_REVEALING</x:v>
      </x:c>
      <x:c r="Q4754" s="34" t="str">
        <x:v>Feedback-Directed Random Test Generation/Result_Round2/JacksonDatabind_93/result.json</x:v>
      </x:c>
    </x:row>
    <x:row r="4755">
      <x:c r="A4755" s="34" t="str">
        <x:v>randoop</x:v>
      </x:c>
      <x:c r="B4755" s="34" t="str">
        <x:v>JacksonDatabind</x:v>
      </x:c>
      <x:c r="C4755" s="34" t="str">
        <x:v>Round2</x:v>
      </x:c>
      <x:c r="D4755" s="34" t="str">
        <x:v>JacksonDatabind_94</x:v>
      </x:c>
      <x:c r="E4755" s="34" t="str">
        <x:v>Condition</x:v>
      </x:c>
      <x:c r="F4755" s="34" t="n">
        <x:v>14</x:v>
      </x:c>
      <x:c r="G4755" s="34" t="str">
        <x:v>RECORDED</x:v>
      </x:c>
      <x:c r="H4755" s="38" t="n">
        <x:f>IF(ISNUMBER('Data'!I1339),'Data'!I1339*100,"")</x:f>
        <x:v>0</x:v>
      </x:c>
      <x:c r="I4755" s="34" t="str">
        <x:v>PASS</x:v>
      </x:c>
      <x:c r="J4755" s="34" t="str">
        <x:v>PASS</x:v>
      </x:c>
      <x:c r="K4755" s="34" t="str">
        <x:v>PASS</x:v>
      </x:c>
      <x:c r="L4755" s="34" t="str">
        <x:v>PASS</x:v>
      </x:c>
      <x:c r="M4755" s="34" t="str">
        <x:v>numeric coverage for applicable metric</x:v>
      </x:c>
      <x:c r="N4755" s="34" t="str">
        <x:v>Feedback-Directed Random Test Generation/Result_Round2/JacksonDatabind_94/result.json</x:v>
      </x:c>
      <x:c r="O4755" s="38" t="n">
        <x:f>IF(AND(G4755="RECORDED",ISNUMBER(H4755)),H4755,"")</x:f>
        <x:v>0</x:v>
      </x:c>
      <x:c r="P4755" s="34" t="str">
        <x:v>NOT_REVEALING</x:v>
      </x:c>
      <x:c r="Q4755" s="34" t="str">
        <x:v>Feedback-Directed Random Test Generation/Result_Round2/JacksonDatabind_94/result.json</x:v>
      </x:c>
    </x:row>
    <x:row r="4756">
      <x:c r="A4756" s="34" t="str">
        <x:v>randoop</x:v>
      </x:c>
      <x:c r="B4756" s="34" t="str">
        <x:v>JacksonDatabind</x:v>
      </x:c>
      <x:c r="C4756" s="34" t="str">
        <x:v>Round2</x:v>
      </x:c>
      <x:c r="D4756" s="34" t="str">
        <x:v>JacksonDatabind_95</x:v>
      </x:c>
      <x:c r="E4756" s="34" t="str">
        <x:v>Condition</x:v>
      </x:c>
      <x:c r="F4756" s="34" t="n">
        <x:v>271</x:v>
      </x:c>
      <x:c r="G4756" s="34" t="str">
        <x:v>RECORDED</x:v>
      </x:c>
      <x:c r="H4756" s="38" t="n">
        <x:f>IF(ISNUMBER('Data'!I1340),'Data'!I1340*100,"")</x:f>
        <x:v>34.69</x:v>
      </x:c>
      <x:c r="I4756" s="34" t="str">
        <x:v>PASS</x:v>
      </x:c>
      <x:c r="J4756" s="34" t="str">
        <x:v>PASS</x:v>
      </x:c>
      <x:c r="K4756" s="34" t="str">
        <x:v>PASS</x:v>
      </x:c>
      <x:c r="L4756" s="34" t="str">
        <x:v>PASS</x:v>
      </x:c>
      <x:c r="M4756" s="34" t="str">
        <x:v>numeric coverage for applicable metric</x:v>
      </x:c>
      <x:c r="N4756" s="34" t="str">
        <x:v>Feedback-Directed Random Test Generation/Result_Round2/JacksonDatabind_95/result.json</x:v>
      </x:c>
      <x:c r="O4756" s="38" t="n">
        <x:f>IF(AND(G4756="RECORDED",ISNUMBER(H4756)),H4756,"")</x:f>
        <x:v>34.69</x:v>
      </x:c>
      <x:c r="P4756" s="34" t="str">
        <x:v>NOT_REVEALING</x:v>
      </x:c>
      <x:c r="Q4756" s="34" t="str">
        <x:v>Feedback-Directed Random Test Generation/Result_Round2/JacksonDatabind_95/result.json</x:v>
      </x:c>
    </x:row>
    <x:row r="4757">
      <x:c r="A4757" s="34" t="str">
        <x:v>randoop</x:v>
      </x:c>
      <x:c r="B4757" s="34" t="str">
        <x:v>JacksonDatabind</x:v>
      </x:c>
      <x:c r="C4757" s="34" t="str">
        <x:v>Round2</x:v>
      </x:c>
      <x:c r="D4757" s="34" t="str">
        <x:v>JacksonDatabind_96</x:v>
      </x:c>
      <x:c r="E4757" s="34" t="str">
        <x:v>Condition</x:v>
      </x:c>
      <x:c r="F4757" s="34" t="n">
        <x:v>614</x:v>
      </x:c>
      <x:c r="G4757" s="34" t="str">
        <x:v>RECORDED</x:v>
      </x:c>
      <x:c r="H4757" s="38" t="n">
        <x:f>IF(ISNUMBER('Data'!I1341),'Data'!I1341*100,"")</x:f>
        <x:v>0</x:v>
      </x:c>
      <x:c r="I4757" s="34" t="str">
        <x:v>PASS</x:v>
      </x:c>
      <x:c r="J4757" s="34" t="str">
        <x:v>PASS</x:v>
      </x:c>
      <x:c r="K4757" s="34" t="str">
        <x:v>PASS</x:v>
      </x:c>
      <x:c r="L4757" s="34" t="str">
        <x:v>PASS</x:v>
      </x:c>
      <x:c r="M4757" s="34" t="str">
        <x:v>numeric coverage for applicable metric</x:v>
      </x:c>
      <x:c r="N4757" s="34" t="str">
        <x:v>Feedback-Directed Random Test Generation/Result_Round2/JacksonDatabind_96/result.json</x:v>
      </x:c>
      <x:c r="O4757" s="38" t="n">
        <x:f>IF(AND(G4757="RECORDED",ISNUMBER(H4757)),H4757,"")</x:f>
        <x:v>0</x:v>
      </x:c>
      <x:c r="P4757" s="34" t="str">
        <x:v>NOT_REVEALING</x:v>
      </x:c>
      <x:c r="Q4757" s="34" t="str">
        <x:v>Feedback-Directed Random Test Generation/Result_Round2/JacksonDatabind_96/result.json</x:v>
      </x:c>
    </x:row>
    <x:row r="4758">
      <x:c r="A4758" s="34" t="str">
        <x:v>randoop</x:v>
      </x:c>
      <x:c r="B4758" s="34" t="str">
        <x:v>JacksonDatabind</x:v>
      </x:c>
      <x:c r="C4758" s="34" t="str">
        <x:v>Round2</x:v>
      </x:c>
      <x:c r="D4758" s="34" t="str">
        <x:v>JacksonDatabind_97</x:v>
      </x:c>
      <x:c r="E4758" s="34" t="str">
        <x:v>Condition</x:v>
      </x:c>
      <x:c r="F4758" s="34" t="n">
        <x:v>34</x:v>
      </x:c>
      <x:c r="G4758" s="34" t="str">
        <x:v>RECORDED</x:v>
      </x:c>
      <x:c r="H4758" s="38" t="n">
        <x:f>IF(ISNUMBER('Data'!I1342),'Data'!I1342*100,"")</x:f>
        <x:v>64.71</x:v>
      </x:c>
      <x:c r="I4758" s="34" t="str">
        <x:v>PASS</x:v>
      </x:c>
      <x:c r="J4758" s="34" t="str">
        <x:v>PASS</x:v>
      </x:c>
      <x:c r="K4758" s="34" t="str">
        <x:v>PASS</x:v>
      </x:c>
      <x:c r="L4758" s="34" t="str">
        <x:v>PASS</x:v>
      </x:c>
      <x:c r="M4758" s="34" t="str">
        <x:v>numeric coverage for applicable metric</x:v>
      </x:c>
      <x:c r="N4758" s="34" t="str">
        <x:v>Feedback-Directed Random Test Generation/Result_Round2/JacksonDatabind_97/result.json</x:v>
      </x:c>
      <x:c r="O4758" s="38" t="n">
        <x:f>IF(AND(G4758="RECORDED",ISNUMBER(H4758)),H4758,"")</x:f>
        <x:v>64.71</x:v>
      </x:c>
      <x:c r="P4758" s="34" t="str">
        <x:v>NOT_REVEALING</x:v>
      </x:c>
      <x:c r="Q4758" s="34" t="str">
        <x:v>Feedback-Directed Random Test Generation/Result_Round2/JacksonDatabind_97/result.json</x:v>
      </x:c>
    </x:row>
    <x:row r="4759">
      <x:c r="A4759" s="34" t="str">
        <x:v>randoop</x:v>
      </x:c>
      <x:c r="B4759" s="34" t="str">
        <x:v>JacksonDatabind</x:v>
      </x:c>
      <x:c r="C4759" s="34" t="str">
        <x:v>Round2</x:v>
      </x:c>
      <x:c r="D4759" s="34" t="str">
        <x:v>JacksonDatabind_98</x:v>
      </x:c>
      <x:c r="E4759" s="34" t="str">
        <x:v>Condition</x:v>
      </x:c>
      <x:c r="F4759" s="34" t="n">
        <x:v>92</x:v>
      </x:c>
      <x:c r="G4759" s="34" t="str">
        <x:v>RECORDED</x:v>
      </x:c>
      <x:c r="H4759" s="38" t="n">
        <x:f>IF(ISNUMBER('Data'!I1343),'Data'!I1343*100,"")</x:f>
        <x:v>5.43</x:v>
      </x:c>
      <x:c r="I4759" s="34" t="str">
        <x:v>PASS</x:v>
      </x:c>
      <x:c r="J4759" s="34" t="str">
        <x:v>PASS</x:v>
      </x:c>
      <x:c r="K4759" s="34" t="str">
        <x:v>PASS</x:v>
      </x:c>
      <x:c r="L4759" s="34" t="str">
        <x:v>PASS</x:v>
      </x:c>
      <x:c r="M4759" s="34" t="str">
        <x:v>numeric coverage for applicable metric</x:v>
      </x:c>
      <x:c r="N4759" s="34" t="str">
        <x:v>Feedback-Directed Random Test Generation/Result_Round2/JacksonDatabind_98/result.json</x:v>
      </x:c>
      <x:c r="O4759" s="38" t="n">
        <x:f>IF(AND(G4759="RECORDED",ISNUMBER(H4759)),H4759,"")</x:f>
        <x:v>5.43</x:v>
      </x:c>
      <x:c r="P4759" s="34" t="str">
        <x:v>NOT_REVEALING</x:v>
      </x:c>
      <x:c r="Q4759" s="34" t="str">
        <x:v>Feedback-Directed Random Test Generation/Result_Round2/JacksonDatabind_98/result.json</x:v>
      </x:c>
    </x:row>
    <x:row r="4760">
      <x:c r="A4760" s="34" t="str">
        <x:v>randoop</x:v>
      </x:c>
      <x:c r="B4760" s="34" t="str">
        <x:v>JacksonDatabind</x:v>
      </x:c>
      <x:c r="C4760" s="34" t="str">
        <x:v>Round2</x:v>
      </x:c>
      <x:c r="D4760" s="34" t="str">
        <x:v>JacksonDatabind_99</x:v>
      </x:c>
      <x:c r="E4760" s="34" t="str">
        <x:v>Condition</x:v>
      </x:c>
      <x:c r="F4760" s="34" t="n">
        <x:v>28</x:v>
      </x:c>
      <x:c r="G4760" s="34" t="str">
        <x:v>RECORDED</x:v>
      </x:c>
      <x:c r="H4760" s="38" t="n">
        <x:f>IF(ISNUMBER('Data'!I1344),'Data'!I1344*100,"")</x:f>
        <x:v>0</x:v>
      </x:c>
      <x:c r="I4760" s="34" t="str">
        <x:v>PASS</x:v>
      </x:c>
      <x:c r="J4760" s="34" t="str">
        <x:v>PASS</x:v>
      </x:c>
      <x:c r="K4760" s="34" t="str">
        <x:v>PASS</x:v>
      </x:c>
      <x:c r="L4760" s="34" t="str">
        <x:v>PASS</x:v>
      </x:c>
      <x:c r="M4760" s="34" t="str">
        <x:v>numeric coverage for applicable metric</x:v>
      </x:c>
      <x:c r="N4760" s="34" t="str">
        <x:v>Feedback-Directed Random Test Generation/Result_Round2/JacksonDatabind_99/result.json</x:v>
      </x:c>
      <x:c r="O4760" s="38" t="n">
        <x:f>IF(AND(G4760="RECORDED",ISNUMBER(H4760)),H4760,"")</x:f>
        <x:v>0</x:v>
      </x:c>
      <x:c r="P4760" s="34" t="str">
        <x:v>NOT_REVEALING</x:v>
      </x:c>
      <x:c r="Q4760" s="34" t="str">
        <x:v>Feedback-Directed Random Test Generation/Result_Round2/JacksonDatabind_99/result.json</x:v>
      </x:c>
    </x:row>
    <x:row r="4761">
      <x:c r="A4761" s="34" t="str">
        <x:v>randoop</x:v>
      </x:c>
      <x:c r="B4761" s="34" t="str">
        <x:v>JacksonDatabind</x:v>
      </x:c>
      <x:c r="C4761" s="34" t="str">
        <x:v>Round2</x:v>
      </x:c>
      <x:c r="D4761" s="34" t="str">
        <x:v>JacksonDatabind_100</x:v>
      </x:c>
      <x:c r="E4761" s="34" t="str">
        <x:v>Condition</x:v>
      </x:c>
      <x:c r="F4761" s="34" t="n">
        <x:v>81</x:v>
      </x:c>
      <x:c r="G4761" s="34" t="str">
        <x:v>RECORDED</x:v>
      </x:c>
      <x:c r="H4761" s="38" t="n">
        <x:f>IF(ISNUMBER('Data'!I1345),'Data'!I1345*100,"")</x:f>
        <x:v>0</x:v>
      </x:c>
      <x:c r="I4761" s="34" t="str">
        <x:v>PASS</x:v>
      </x:c>
      <x:c r="J4761" s="34" t="str">
        <x:v>PASS</x:v>
      </x:c>
      <x:c r="K4761" s="34" t="str">
        <x:v>PASS</x:v>
      </x:c>
      <x:c r="L4761" s="34" t="str">
        <x:v>PASS</x:v>
      </x:c>
      <x:c r="M4761" s="34" t="str">
        <x:v>numeric coverage for applicable metric</x:v>
      </x:c>
      <x:c r="N4761" s="34" t="str">
        <x:v>Feedback-Directed Random Test Generation/Result_Round2/JacksonDatabind_100/result.json</x:v>
      </x:c>
      <x:c r="O4761" s="38" t="n">
        <x:f>IF(AND(G4761="RECORDED",ISNUMBER(H4761)),H4761,"")</x:f>
        <x:v>0</x:v>
      </x:c>
      <x:c r="P4761" s="34" t="str">
        <x:v>NOT_REVEALING</x:v>
      </x:c>
      <x:c r="Q4761" s="34" t="str">
        <x:v>Feedback-Directed Random Test Generation/Result_Round2/JacksonDatabind_100/result.json</x:v>
      </x:c>
    </x:row>
    <x:row r="4762">
      <x:c r="A4762" s="34" t="str">
        <x:v>randoop</x:v>
      </x:c>
      <x:c r="B4762" s="34" t="str">
        <x:v>JacksonDatabind</x:v>
      </x:c>
      <x:c r="C4762" s="34" t="str">
        <x:v>Round2</x:v>
      </x:c>
      <x:c r="D4762" s="34" t="str">
        <x:v>JacksonDatabind_101</x:v>
      </x:c>
      <x:c r="E4762" s="34" t="str">
        <x:v>Condition</x:v>
      </x:c>
      <x:c r="F4762" s="34" t="n">
        <x:v>249</x:v>
      </x:c>
      <x:c r="G4762" s="34" t="str">
        <x:v>RECORDED</x:v>
      </x:c>
      <x:c r="H4762" s="38" t="n">
        <x:f>IF(ISNUMBER('Data'!I1346),'Data'!I1346*100,"")</x:f>
        <x:v>0</x:v>
      </x:c>
      <x:c r="I4762" s="34" t="str">
        <x:v>PASS</x:v>
      </x:c>
      <x:c r="J4762" s="34" t="str">
        <x:v>PASS</x:v>
      </x:c>
      <x:c r="K4762" s="34" t="str">
        <x:v>PASS</x:v>
      </x:c>
      <x:c r="L4762" s="34" t="str">
        <x:v>PASS</x:v>
      </x:c>
      <x:c r="M4762" s="34" t="str">
        <x:v>numeric coverage for applicable metric</x:v>
      </x:c>
      <x:c r="N4762" s="34" t="str">
        <x:v>Feedback-Directed Random Test Generation/Result_Round2/JacksonDatabind_101/result.json</x:v>
      </x:c>
      <x:c r="O4762" s="38" t="n">
        <x:f>IF(AND(G4762="RECORDED",ISNUMBER(H4762)),H4762,"")</x:f>
        <x:v>0</x:v>
      </x:c>
      <x:c r="P4762" s="34" t="str">
        <x:v>NOT_REVEALING</x:v>
      </x:c>
      <x:c r="Q4762" s="34" t="str">
        <x:v>Feedback-Directed Random Test Generation/Result_Round2/JacksonDatabind_101/result.json</x:v>
      </x:c>
    </x:row>
    <x:row r="4763">
      <x:c r="A4763" s="34" t="str">
        <x:v>randoop</x:v>
      </x:c>
      <x:c r="B4763" s="34" t="str">
        <x:v>JacksonDatabind</x:v>
      </x:c>
      <x:c r="C4763" s="34" t="str">
        <x:v>Round2</x:v>
      </x:c>
      <x:c r="D4763" s="34" t="str">
        <x:v>JacksonDatabind_102</x:v>
      </x:c>
      <x:c r="E4763" s="34" t="str">
        <x:v>Condition</x:v>
      </x:c>
      <x:c r="F4763" s="34" t="n">
        <x:v>52</x:v>
      </x:c>
      <x:c r="G4763" s="34" t="str">
        <x:v>RECORDED</x:v>
      </x:c>
      <x:c r="H4763" s="38" t="n">
        <x:f>IF(ISNUMBER('Data'!I1347),'Data'!I1347*100,"")</x:f>
        <x:v>0</x:v>
      </x:c>
      <x:c r="I4763" s="34" t="str">
        <x:v>PASS</x:v>
      </x:c>
      <x:c r="J4763" s="34" t="str">
        <x:v>PASS</x:v>
      </x:c>
      <x:c r="K4763" s="34" t="str">
        <x:v>PASS</x:v>
      </x:c>
      <x:c r="L4763" s="34" t="str">
        <x:v>PASS</x:v>
      </x:c>
      <x:c r="M4763" s="34" t="str">
        <x:v>numeric coverage for applicable metric</x:v>
      </x:c>
      <x:c r="N4763" s="34" t="str">
        <x:v>Feedback-Directed Random Test Generation/Result_Round2/JacksonDatabind_102/result.json</x:v>
      </x:c>
      <x:c r="O4763" s="38" t="n">
        <x:f>IF(AND(G4763="RECORDED",ISNUMBER(H4763)),H4763,"")</x:f>
        <x:v>0</x:v>
      </x:c>
      <x:c r="P4763" s="34" t="str">
        <x:v>NOT_REVEALING</x:v>
      </x:c>
      <x:c r="Q4763" s="34" t="str">
        <x:v>Feedback-Directed Random Test Generation/Result_Round2/JacksonDatabind_102/result.json</x:v>
      </x:c>
    </x:row>
    <x:row r="4764">
      <x:c r="A4764" s="34" t="str">
        <x:v>randoop</x:v>
      </x:c>
      <x:c r="B4764" s="34" t="str">
        <x:v>JacksonDatabind</x:v>
      </x:c>
      <x:c r="C4764" s="34" t="str">
        <x:v>Round2</x:v>
      </x:c>
      <x:c r="D4764" s="34" t="str">
        <x:v>JacksonDatabind_103</x:v>
      </x:c>
      <x:c r="E4764" s="34" t="str">
        <x:v>Condition</x:v>
      </x:c>
      <x:c r="F4764" s="34" t="n">
        <x:v>2535</x:v>
      </x:c>
      <x:c r="G4764" s="34" t="str">
        <x:v>RECORDED</x:v>
      </x:c>
      <x:c r="H4764" s="38" t="n">
        <x:f>IF(ISNUMBER('Data'!I1348),'Data'!I1348*100,"")</x:f>
        <x:v>7.1</x:v>
      </x:c>
      <x:c r="I4764" s="34" t="str">
        <x:v>PASS</x:v>
      </x:c>
      <x:c r="J4764" s="34" t="str">
        <x:v>PASS</x:v>
      </x:c>
      <x:c r="K4764" s="34" t="str">
        <x:v>PASS</x:v>
      </x:c>
      <x:c r="L4764" s="34" t="str">
        <x:v>FAIL</x:v>
      </x:c>
      <x:c r="M4764" s="34" t="str">
        <x:v>numeric coverage for applicable metric</x:v>
      </x:c>
      <x:c r="N4764" s="34" t="str">
        <x:v>Feedback-Directed Random Test Generation/Result_Round2/JacksonDatabind_103/result.json</x:v>
      </x:c>
      <x:c r="O4764" s="38" t="n">
        <x:f>IF(AND(G4764="RECORDED",ISNUMBER(H4764)),H4764,"")</x:f>
        <x:v>7.1</x:v>
      </x:c>
      <x:c r="P4764" s="34" t="str">
        <x:v>INCONCLUSIVE</x:v>
      </x:c>
      <x:c r="Q4764" s="34" t="str">
        <x:v>Feedback-Directed Random Test Generation/Result_Round2/JacksonDatabind_103/result.json</x:v>
      </x:c>
    </x:row>
    <x:row r="4765">
      <x:c r="A4765" s="34" t="str">
        <x:v>randoop</x:v>
      </x:c>
      <x:c r="B4765" s="34" t="str">
        <x:v>JacksonDatabind</x:v>
      </x:c>
      <x:c r="C4765" s="34" t="str">
        <x:v>Round2</x:v>
      </x:c>
      <x:c r="D4765" s="34" t="str">
        <x:v>JacksonDatabind_104</x:v>
      </x:c>
      <x:c r="E4765" s="34" t="str">
        <x:v>Condition</x:v>
      </x:c>
      <x:c r="F4765" s="34" t="n">
        <x:v>123</x:v>
      </x:c>
      <x:c r="G4765" s="34" t="str">
        <x:v>RECORDED</x:v>
      </x:c>
      <x:c r="H4765" s="38" t="n">
        <x:f>IF(ISNUMBER('Data'!I1349),'Data'!I1349*100,"")</x:f>
        <x:v>73.17</x:v>
      </x:c>
      <x:c r="I4765" s="34" t="str">
        <x:v>PASS</x:v>
      </x:c>
      <x:c r="J4765" s="34" t="str">
        <x:v>PASS</x:v>
      </x:c>
      <x:c r="K4765" s="34" t="str">
        <x:v>PASS</x:v>
      </x:c>
      <x:c r="L4765" s="34" t="str">
        <x:v>FAIL</x:v>
      </x:c>
      <x:c r="M4765" s="34" t="str">
        <x:v>numeric coverage for applicable metric</x:v>
      </x:c>
      <x:c r="N4765" s="34" t="str">
        <x:v>Feedback-Directed Random Test Generation/Result_Round2/JacksonDatabind_104/result.json</x:v>
      </x:c>
      <x:c r="O4765" s="38" t="n">
        <x:f>IF(AND(G4765="RECORDED",ISNUMBER(H4765)),H4765,"")</x:f>
        <x:v>73.17</x:v>
      </x:c>
      <x:c r="P4765" s="34" t="str">
        <x:v>INCONCLUSIVE</x:v>
      </x:c>
      <x:c r="Q4765" s="34" t="str">
        <x:v>Feedback-Directed Random Test Generation/Result_Round2/JacksonDatabind_104/result.json</x:v>
      </x:c>
    </x:row>
    <x:row r="4766">
      <x:c r="A4766" s="34" t="str">
        <x:v>randoop</x:v>
      </x:c>
      <x:c r="B4766" s="34" t="str">
        <x:v>JacksonDatabind</x:v>
      </x:c>
      <x:c r="C4766" s="34" t="str">
        <x:v>Round2</x:v>
      </x:c>
      <x:c r="D4766" s="34" t="str">
        <x:v>JacksonDatabind_105</x:v>
      </x:c>
      <x:c r="E4766" s="34" t="str">
        <x:v>Condition</x:v>
      </x:c>
      <x:c r="F4766" s="34" t="n">
        <x:v>12</x:v>
      </x:c>
      <x:c r="G4766" s="34" t="str">
        <x:v>RECORDED</x:v>
      </x:c>
      <x:c r="H4766" s="38" t="n">
        <x:f>IF(ISNUMBER('Data'!I1350),'Data'!I1350*100,"")</x:f>
        <x:v>0</x:v>
      </x:c>
      <x:c r="I4766" s="34" t="str">
        <x:v>PASS</x:v>
      </x:c>
      <x:c r="J4766" s="34" t="str">
        <x:v>PASS</x:v>
      </x:c>
      <x:c r="K4766" s="34" t="str">
        <x:v>PASS</x:v>
      </x:c>
      <x:c r="L4766" s="34" t="str">
        <x:v>PASS</x:v>
      </x:c>
      <x:c r="M4766" s="34" t="str">
        <x:v>numeric coverage for applicable metric</x:v>
      </x:c>
      <x:c r="N4766" s="34" t="str">
        <x:v>Feedback-Directed Random Test Generation/Result_Round2/JacksonDatabind_105/result.json</x:v>
      </x:c>
      <x:c r="O4766" s="38" t="n">
        <x:f>IF(AND(G4766="RECORDED",ISNUMBER(H4766)),H4766,"")</x:f>
        <x:v>0</x:v>
      </x:c>
      <x:c r="P4766" s="34" t="str">
        <x:v>NOT_REVEALING</x:v>
      </x:c>
      <x:c r="Q4766" s="34" t="str">
        <x:v>Feedback-Directed Random Test Generation/Result_Round2/JacksonDatabind_105/result.json</x:v>
      </x:c>
    </x:row>
    <x:row r="4767">
      <x:c r="A4767" s="34" t="str">
        <x:v>randoop</x:v>
      </x:c>
      <x:c r="B4767" s="34" t="str">
        <x:v>JacksonDatabind</x:v>
      </x:c>
      <x:c r="C4767" s="34" t="str">
        <x:v>Round2</x:v>
      </x:c>
      <x:c r="D4767" s="34" t="str">
        <x:v>JacksonDatabind_106</x:v>
      </x:c>
      <x:c r="E4767" s="34" t="str">
        <x:v>Condition</x:v>
      </x:c>
      <x:c r="F4767" s="34" t="n">
        <x:v>77</x:v>
      </x:c>
      <x:c r="G4767" s="34" t="str">
        <x:v>RECORDED</x:v>
      </x:c>
      <x:c r="H4767" s="38" t="n">
        <x:f>IF(ISNUMBER('Data'!I1351),'Data'!I1351*100,"")</x:f>
        <x:v>0</x:v>
      </x:c>
      <x:c r="I4767" s="34" t="str">
        <x:v>PASS</x:v>
      </x:c>
      <x:c r="J4767" s="34" t="str">
        <x:v>PASS</x:v>
      </x:c>
      <x:c r="K4767" s="34" t="str">
        <x:v>PASS</x:v>
      </x:c>
      <x:c r="L4767" s="34" t="str">
        <x:v>PASS</x:v>
      </x:c>
      <x:c r="M4767" s="34" t="str">
        <x:v>numeric coverage for applicable metric</x:v>
      </x:c>
      <x:c r="N4767" s="34" t="str">
        <x:v>Feedback-Directed Random Test Generation/Result_Round2/JacksonDatabind_106/result.json</x:v>
      </x:c>
      <x:c r="O4767" s="38" t="n">
        <x:f>IF(AND(G4767="RECORDED",ISNUMBER(H4767)),H4767,"")</x:f>
        <x:v>0</x:v>
      </x:c>
      <x:c r="P4767" s="34" t="str">
        <x:v>NOT_REVEALING</x:v>
      </x:c>
      <x:c r="Q4767" s="34" t="str">
        <x:v>Feedback-Directed Random Test Generation/Result_Round2/JacksonDatabind_106/result.json</x:v>
      </x:c>
    </x:row>
    <x:row r="4768">
      <x:c r="A4768" s="34" t="str">
        <x:v>randoop</x:v>
      </x:c>
      <x:c r="B4768" s="34" t="str">
        <x:v>JacksonDatabind</x:v>
      </x:c>
      <x:c r="C4768" s="34" t="str">
        <x:v>Round2</x:v>
      </x:c>
      <x:c r="D4768" s="34" t="str">
        <x:v>JacksonDatabind_107</x:v>
      </x:c>
      <x:c r="E4768" s="34" t="str">
        <x:v>Condition</x:v>
      </x:c>
      <x:c r="F4768" s="34" t="n">
        <x:v>32</x:v>
      </x:c>
      <x:c r="G4768" s="34" t="str">
        <x:v>RECORDED</x:v>
      </x:c>
      <x:c r="H4768" s="38" t="n">
        <x:f>IF(ISNUMBER('Data'!I1352),'Data'!I1352*100,"")</x:f>
        <x:v>0</x:v>
      </x:c>
      <x:c r="I4768" s="34" t="str">
        <x:v>PASS</x:v>
      </x:c>
      <x:c r="J4768" s="34" t="str">
        <x:v>PASS</x:v>
      </x:c>
      <x:c r="K4768" s="34" t="str">
        <x:v>PASS</x:v>
      </x:c>
      <x:c r="L4768" s="34" t="str">
        <x:v>PASS</x:v>
      </x:c>
      <x:c r="M4768" s="34" t="str">
        <x:v>numeric coverage for applicable metric</x:v>
      </x:c>
      <x:c r="N4768" s="34" t="str">
        <x:v>Feedback-Directed Random Test Generation/Result_Round2/JacksonDatabind_107/result.json</x:v>
      </x:c>
      <x:c r="O4768" s="38" t="n">
        <x:f>IF(AND(G4768="RECORDED",ISNUMBER(H4768)),H4768,"")</x:f>
        <x:v>0</x:v>
      </x:c>
      <x:c r="P4768" s="34" t="str">
        <x:v>NOT_REVEALING</x:v>
      </x:c>
      <x:c r="Q4768" s="34" t="str">
        <x:v>Feedback-Directed Random Test Generation/Result_Round2/JacksonDatabind_107/result.json</x:v>
      </x:c>
    </x:row>
    <x:row r="4769">
      <x:c r="A4769" s="34" t="str">
        <x:v>randoop</x:v>
      </x:c>
      <x:c r="B4769" s="34" t="str">
        <x:v>JacksonDatabind</x:v>
      </x:c>
      <x:c r="C4769" s="34" t="str">
        <x:v>Round2</x:v>
      </x:c>
      <x:c r="D4769" s="34" t="str">
        <x:v>JacksonDatabind_108</x:v>
      </x:c>
      <x:c r="E4769" s="34" t="str">
        <x:v>Condition</x:v>
      </x:c>
      <x:c r="F4769" s="34" t="n">
        <x:v>182</x:v>
      </x:c>
      <x:c r="G4769" s="34" t="str">
        <x:v>RECORDED</x:v>
      </x:c>
      <x:c r="H4769" s="38" t="n">
        <x:f>IF(ISNUMBER('Data'!I1353),'Data'!I1353*100,"")</x:f>
        <x:v>0</x:v>
      </x:c>
      <x:c r="I4769" s="34" t="str">
        <x:v>PASS</x:v>
      </x:c>
      <x:c r="J4769" s="34" t="str">
        <x:v>PASS</x:v>
      </x:c>
      <x:c r="K4769" s="34" t="str">
        <x:v>PASS</x:v>
      </x:c>
      <x:c r="L4769" s="34" t="str">
        <x:v>PASS</x:v>
      </x:c>
      <x:c r="M4769" s="34" t="str">
        <x:v>numeric coverage for applicable metric</x:v>
      </x:c>
      <x:c r="N4769" s="34" t="str">
        <x:v>Feedback-Directed Random Test Generation/Result_Round2/JacksonDatabind_108/result.json</x:v>
      </x:c>
      <x:c r="O4769" s="38" t="n">
        <x:f>IF(AND(G4769="RECORDED",ISNUMBER(H4769)),H4769,"")</x:f>
        <x:v>0</x:v>
      </x:c>
      <x:c r="P4769" s="34" t="str">
        <x:v>NOT_REVEALING</x:v>
      </x:c>
      <x:c r="Q4769" s="34" t="str">
        <x:v>Feedback-Directed Random Test Generation/Result_Round2/JacksonDatabind_108/result.json</x:v>
      </x:c>
    </x:row>
    <x:row r="4770">
      <x:c r="A4770" s="34" t="str">
        <x:v>randoop</x:v>
      </x:c>
      <x:c r="B4770" s="34" t="str">
        <x:v>JacksonDatabind</x:v>
      </x:c>
      <x:c r="C4770" s="34" t="str">
        <x:v>Round2</x:v>
      </x:c>
      <x:c r="D4770" s="34" t="str">
        <x:v>JacksonDatabind_109</x:v>
      </x:c>
      <x:c r="E4770" s="34" t="str">
        <x:v>Condition</x:v>
      </x:c>
      <x:c r="F4770" s="34" t="n">
        <x:v>40</x:v>
      </x:c>
      <x:c r="G4770" s="34" t="str">
        <x:v>RECORDED</x:v>
      </x:c>
      <x:c r="H4770" s="38" t="n">
        <x:f>IF(ISNUMBER('Data'!I1354),'Data'!I1354*100,"")</x:f>
        <x:v>60</x:v>
      </x:c>
      <x:c r="I4770" s="34" t="str">
        <x:v>PASS</x:v>
      </x:c>
      <x:c r="J4770" s="34" t="str">
        <x:v>PASS</x:v>
      </x:c>
      <x:c r="K4770" s="34" t="str">
        <x:v>PASS</x:v>
      </x:c>
      <x:c r="L4770" s="34" t="str">
        <x:v>PASS</x:v>
      </x:c>
      <x:c r="M4770" s="34" t="str">
        <x:v>numeric coverage for applicable metric</x:v>
      </x:c>
      <x:c r="N4770" s="34" t="str">
        <x:v>Feedback-Directed Random Test Generation/Result_Round2/JacksonDatabind_109/result.json</x:v>
      </x:c>
      <x:c r="O4770" s="38" t="n">
        <x:f>IF(AND(G4770="RECORDED",ISNUMBER(H4770)),H4770,"")</x:f>
        <x:v>60</x:v>
      </x:c>
      <x:c r="P4770" s="34" t="str">
        <x:v>NOT_REVEALING</x:v>
      </x:c>
      <x:c r="Q4770" s="34" t="str">
        <x:v>Feedback-Directed Random Test Generation/Result_Round2/JacksonDatabind_109/result.json</x:v>
      </x:c>
    </x:row>
    <x:row r="4771">
      <x:c r="A4771" s="34" t="str">
        <x:v>randoop</x:v>
      </x:c>
      <x:c r="B4771" s="34" t="str">
        <x:v>JacksonDatabind</x:v>
      </x:c>
      <x:c r="C4771" s="34" t="str">
        <x:v>Round2</x:v>
      </x:c>
      <x:c r="D4771" s="34" t="str">
        <x:v>JacksonDatabind_110</x:v>
      </x:c>
      <x:c r="E4771" s="34" t="str">
        <x:v>Condition</x:v>
      </x:c>
      <x:c r="F4771" s="34" t="n">
        <x:v>25</x:v>
      </x:c>
      <x:c r="G4771" s="34" t="str">
        <x:v>RECORDED</x:v>
      </x:c>
      <x:c r="H4771" s="38" t="n">
        <x:f>IF(ISNUMBER('Data'!I1355),'Data'!I1355*100,"")</x:f>
        <x:v>0</x:v>
      </x:c>
      <x:c r="I4771" s="34" t="str">
        <x:v>PASS</x:v>
      </x:c>
      <x:c r="J4771" s="34" t="str">
        <x:v>PASS</x:v>
      </x:c>
      <x:c r="K4771" s="34" t="str">
        <x:v>PASS</x:v>
      </x:c>
      <x:c r="L4771" s="34" t="str">
        <x:v>PASS</x:v>
      </x:c>
      <x:c r="M4771" s="34" t="str">
        <x:v>numeric coverage for applicable metric</x:v>
      </x:c>
      <x:c r="N4771" s="34" t="str">
        <x:v>Feedback-Directed Random Test Generation/Result_Round2/JacksonDatabind_110/result.json</x:v>
      </x:c>
      <x:c r="O4771" s="38" t="n">
        <x:f>IF(AND(G4771="RECORDED",ISNUMBER(H4771)),H4771,"")</x:f>
        <x:v>0</x:v>
      </x:c>
      <x:c r="P4771" s="34" t="str">
        <x:v>NOT_REVEALING</x:v>
      </x:c>
      <x:c r="Q4771" s="34" t="str">
        <x:v>Feedback-Directed Random Test Generation/Result_Round2/JacksonDatabind_110/result.json</x:v>
      </x:c>
    </x:row>
    <x:row r="4772">
      <x:c r="A4772" s="34" t="str">
        <x:v>randoop</x:v>
      </x:c>
      <x:c r="B4772" s="34" t="str">
        <x:v>JacksonDatabind</x:v>
      </x:c>
      <x:c r="C4772" s="34" t="str">
        <x:v>Round2</x:v>
      </x:c>
      <x:c r="D4772" s="34" t="str">
        <x:v>JacksonDatabind_111</x:v>
      </x:c>
      <x:c r="E4772" s="34" t="str">
        <x:v>Condition</x:v>
      </x:c>
      <x:c r="F4772" s="34" t="n">
        <x:v>94</x:v>
      </x:c>
      <x:c r="G4772" s="34" t="str">
        <x:v>RECORDED</x:v>
      </x:c>
      <x:c r="H4772" s="38" t="n">
        <x:f>IF(ISNUMBER('Data'!I1356),'Data'!I1356*100,"")</x:f>
        <x:v>7.449999999999999</x:v>
      </x:c>
      <x:c r="I4772" s="34" t="str">
        <x:v>PASS</x:v>
      </x:c>
      <x:c r="J4772" s="34" t="str">
        <x:v>PASS</x:v>
      </x:c>
      <x:c r="K4772" s="34" t="str">
        <x:v>PASS</x:v>
      </x:c>
      <x:c r="L4772" s="34" t="str">
        <x:v>PASS</x:v>
      </x:c>
      <x:c r="M4772" s="34" t="str">
        <x:v>numeric coverage for applicable metric</x:v>
      </x:c>
      <x:c r="N4772" s="34" t="str">
        <x:v>Feedback-Directed Random Test Generation/Result_Round2/JacksonDatabind_111/result.json</x:v>
      </x:c>
      <x:c r="O4772" s="38" t="n">
        <x:f>IF(AND(G4772="RECORDED",ISNUMBER(H4772)),H4772,"")</x:f>
        <x:v>7.449999999999999</x:v>
      </x:c>
      <x:c r="P4772" s="34" t="str">
        <x:v>NOT_REVEALING</x:v>
      </x:c>
      <x:c r="Q4772" s="34" t="str">
        <x:v>Feedback-Directed Random Test Generation/Result_Round2/JacksonDatabind_111/result.json</x:v>
      </x:c>
    </x:row>
    <x:row r="4773">
      <x:c r="A4773" s="34" t="str">
        <x:v>randoop</x:v>
      </x:c>
      <x:c r="B4773" s="34" t="str">
        <x:v>JacksonDatabind</x:v>
      </x:c>
      <x:c r="C4773" s="34" t="str">
        <x:v>Round2</x:v>
      </x:c>
      <x:c r="D4773" s="34" t="str">
        <x:v>JacksonDatabind_112</x:v>
      </x:c>
      <x:c r="E4773" s="34" t="str">
        <x:v>Condition</x:v>
      </x:c>
      <x:c r="F4773" s="34" t="n">
        <x:v>58</x:v>
      </x:c>
      <x:c r="G4773" s="34" t="str">
        <x:v>RECORDED</x:v>
      </x:c>
      <x:c r="H4773" s="38" t="n">
        <x:f>IF(ISNUMBER('Data'!I1357),'Data'!I1357*100,"")</x:f>
        <x:v>0</x:v>
      </x:c>
      <x:c r="I4773" s="34" t="str">
        <x:v>PASS</x:v>
      </x:c>
      <x:c r="J4773" s="34" t="str">
        <x:v>PASS</x:v>
      </x:c>
      <x:c r="K4773" s="34" t="str">
        <x:v>PASS</x:v>
      </x:c>
      <x:c r="L4773" s="34" t="str">
        <x:v>PASS</x:v>
      </x:c>
      <x:c r="M4773" s="34" t="str">
        <x:v>numeric coverage for applicable metric</x:v>
      </x:c>
      <x:c r="N4773" s="34" t="str">
        <x:v>Feedback-Directed Random Test Generation/Result_Round2/JacksonDatabind_112/result.json</x:v>
      </x:c>
      <x:c r="O4773" s="38" t="n">
        <x:f>IF(AND(G4773="RECORDED",ISNUMBER(H4773)),H4773,"")</x:f>
        <x:v>0</x:v>
      </x:c>
      <x:c r="P4773" s="34" t="str">
        <x:v>NOT_REVEALING</x:v>
      </x:c>
      <x:c r="Q4773" s="34" t="str">
        <x:v>Feedback-Directed Random Test Generation/Result_Round2/JacksonDatabind_112/result.json</x:v>
      </x:c>
    </x:row>
    <x:row r="4774">
      <x:c r="A4774" s="34" t="str">
        <x:v>randoop</x:v>
      </x:c>
      <x:c r="B4774" s="34" t="str">
        <x:v>JacksonXml</x:v>
      </x:c>
      <x:c r="C4774" s="34" t="str">
        <x:v>Round2</x:v>
      </x:c>
      <x:c r="D4774" s="34" t="str">
        <x:v>JacksonXml_1</x:v>
      </x:c>
      <x:c r="E4774" s="34" t="str">
        <x:v>Condition</x:v>
      </x:c>
      <x:c r="F4774" s="34" t="n">
        <x:v>147</x:v>
      </x:c>
      <x:c r="G4774" s="34" t="str">
        <x:v>RECORDED</x:v>
      </x:c>
      <x:c r="H4774" s="38" t="n">
        <x:f>IF(ISNUMBER('Data'!I1358),'Data'!I1358*100,"")</x:f>
        <x:v>0.68</x:v>
      </x:c>
      <x:c r="I4774" s="34" t="str">
        <x:v>PASS</x:v>
      </x:c>
      <x:c r="J4774" s="34" t="str">
        <x:v>PASS</x:v>
      </x:c>
      <x:c r="K4774" s="34" t="str">
        <x:v>PASS</x:v>
      </x:c>
      <x:c r="L4774" s="34" t="str">
        <x:v>PASS</x:v>
      </x:c>
      <x:c r="M4774" s="34" t="str">
        <x:v>numeric coverage for applicable metric</x:v>
      </x:c>
      <x:c r="N4774" s="34" t="str">
        <x:v>Feedback-Directed Random Test Generation/Result_Round2/JacksonXml_1/result.json</x:v>
      </x:c>
      <x:c r="O4774" s="38" t="n">
        <x:f>IF(AND(G4774="RECORDED",ISNUMBER(H4774)),H4774,"")</x:f>
        <x:v>0.68</x:v>
      </x:c>
      <x:c r="P4774" s="34" t="str">
        <x:v>NOT_REVEALING</x:v>
      </x:c>
      <x:c r="Q4774" s="34" t="str">
        <x:v>Feedback-Directed Random Test Generation/Result_Round2/JacksonXml_1/result.json</x:v>
      </x:c>
    </x:row>
    <x:row r="4775">
      <x:c r="A4775" s="34" t="str">
        <x:v>randoop</x:v>
      </x:c>
      <x:c r="B4775" s="34" t="str">
        <x:v>JacksonXml</x:v>
      </x:c>
      <x:c r="C4775" s="34" t="str">
        <x:v>Round2</x:v>
      </x:c>
      <x:c r="D4775" s="34" t="str">
        <x:v>JacksonXml_2</x:v>
      </x:c>
      <x:c r="E4775" s="34" t="str">
        <x:v>Condition</x:v>
      </x:c>
      <x:c r="F4775" s="34" t="n">
        <x:v>74</x:v>
      </x:c>
      <x:c r="G4775" s="34" t="str">
        <x:v>RECORDED</x:v>
      </x:c>
      <x:c r="H4775" s="38" t="n">
        <x:f>IF(ISNUMBER('Data'!I1359),'Data'!I1359*100,"")</x:f>
        <x:v>0</x:v>
      </x:c>
      <x:c r="I4775" s="34" t="str">
        <x:v>PASS</x:v>
      </x:c>
      <x:c r="J4775" s="34" t="str">
        <x:v>PASS</x:v>
      </x:c>
      <x:c r="K4775" s="34" t="str">
        <x:v>PASS</x:v>
      </x:c>
      <x:c r="L4775" s="34" t="str">
        <x:v>PASS</x:v>
      </x:c>
      <x:c r="M4775" s="34" t="str">
        <x:v>numeric coverage for applicable metric</x:v>
      </x:c>
      <x:c r="N4775" s="34" t="str">
        <x:v>Feedback-Directed Random Test Generation/Result_Round2/JacksonXml_2/result.json</x:v>
      </x:c>
      <x:c r="O4775" s="38" t="n">
        <x:f>IF(AND(G4775="RECORDED",ISNUMBER(H4775)),H4775,"")</x:f>
        <x:v>0</x:v>
      </x:c>
      <x:c r="P4775" s="34" t="str">
        <x:v>NOT_REVEALING</x:v>
      </x:c>
      <x:c r="Q4775" s="34" t="str">
        <x:v>Feedback-Directed Random Test Generation/Result_Round2/JacksonXml_2/result.json</x:v>
      </x:c>
    </x:row>
    <x:row r="4776">
      <x:c r="A4776" s="34" t="str">
        <x:v>randoop</x:v>
      </x:c>
      <x:c r="B4776" s="34" t="str">
        <x:v>JacksonXml</x:v>
      </x:c>
      <x:c r="C4776" s="34" t="str">
        <x:v>Round2</x:v>
      </x:c>
      <x:c r="D4776" s="34" t="str">
        <x:v>JacksonXml_3</x:v>
      </x:c>
      <x:c r="E4776" s="34" t="str">
        <x:v>Condition</x:v>
      </x:c>
      <x:c r="F4776" s="34" t="n">
        <x:v>151</x:v>
      </x:c>
      <x:c r="G4776" s="34" t="str">
        <x:v>RECORDED</x:v>
      </x:c>
      <x:c r="H4776" s="38" t="n">
        <x:f>IF(ISNUMBER('Data'!I1360),'Data'!I1360*100,"")</x:f>
        <x:v>0.66</x:v>
      </x:c>
      <x:c r="I4776" s="34" t="str">
        <x:v>PASS</x:v>
      </x:c>
      <x:c r="J4776" s="34" t="str">
        <x:v>PASS</x:v>
      </x:c>
      <x:c r="K4776" s="34" t="str">
        <x:v>PASS</x:v>
      </x:c>
      <x:c r="L4776" s="34" t="str">
        <x:v>PASS</x:v>
      </x:c>
      <x:c r="M4776" s="34" t="str">
        <x:v>numeric coverage for applicable metric</x:v>
      </x:c>
      <x:c r="N4776" s="34" t="str">
        <x:v>Feedback-Directed Random Test Generation/Result_Round2/JacksonXml_3/result.json</x:v>
      </x:c>
      <x:c r="O4776" s="38" t="n">
        <x:f>IF(AND(G4776="RECORDED",ISNUMBER(H4776)),H4776,"")</x:f>
        <x:v>0.66</x:v>
      </x:c>
      <x:c r="P4776" s="34" t="str">
        <x:v>NOT_REVEALING</x:v>
      </x:c>
      <x:c r="Q4776" s="34" t="str">
        <x:v>Feedback-Directed Random Test Generation/Result_Round2/JacksonXml_3/result.json</x:v>
      </x:c>
    </x:row>
    <x:row r="4777">
      <x:c r="A4777" s="34" t="str">
        <x:v>randoop</x:v>
      </x:c>
      <x:c r="B4777" s="34" t="str">
        <x:v>JacksonXml</x:v>
      </x:c>
      <x:c r="C4777" s="34" t="str">
        <x:v>Round2</x:v>
      </x:c>
      <x:c r="D4777" s="34" t="str">
        <x:v>JacksonXml_4</x:v>
      </x:c>
      <x:c r="E4777" s="34" t="str">
        <x:v>Condition</x:v>
      </x:c>
      <x:c r="F4777" s="34" t="n">
        <x:v>58</x:v>
      </x:c>
      <x:c r="G4777" s="34" t="str">
        <x:v>RECORDED</x:v>
      </x:c>
      <x:c r="H4777" s="38" t="n">
        <x:f>IF(ISNUMBER('Data'!I1361),'Data'!I1361*100,"")</x:f>
        <x:v>15.52</x:v>
      </x:c>
      <x:c r="I4777" s="34" t="str">
        <x:v>PASS</x:v>
      </x:c>
      <x:c r="J4777" s="34" t="str">
        <x:v>PASS</x:v>
      </x:c>
      <x:c r="K4777" s="34" t="str">
        <x:v>PASS</x:v>
      </x:c>
      <x:c r="L4777" s="34" t="str">
        <x:v>PASS</x:v>
      </x:c>
      <x:c r="M4777" s="34" t="str">
        <x:v>numeric coverage for applicable metric</x:v>
      </x:c>
      <x:c r="N4777" s="34" t="str">
        <x:v>Feedback-Directed Random Test Generation/Result_Round2/JacksonXml_4/result.json</x:v>
      </x:c>
      <x:c r="O4777" s="38" t="n">
        <x:f>IF(AND(G4777="RECORDED",ISNUMBER(H4777)),H4777,"")</x:f>
        <x:v>15.52</x:v>
      </x:c>
      <x:c r="P4777" s="34" t="str">
        <x:v>INCONCLUSIVE</x:v>
      </x:c>
      <x:c r="Q4777" s="34" t="str">
        <x:v>Feedback-Directed Random Test Generation/Result_Round2/JacksonXml_4/result.json</x:v>
      </x:c>
    </x:row>
    <x:row r="4778">
      <x:c r="A4778" s="34" t="str">
        <x:v>randoop</x:v>
      </x:c>
      <x:c r="B4778" s="34" t="str">
        <x:v>JacksonXml</x:v>
      </x:c>
      <x:c r="C4778" s="34" t="str">
        <x:v>Round2</x:v>
      </x:c>
      <x:c r="D4778" s="34" t="str">
        <x:v>JacksonXml_5</x:v>
      </x:c>
      <x:c r="E4778" s="34" t="str">
        <x:v>Condition</x:v>
      </x:c>
      <x:c r="F4778" s="34" t="n">
        <x:v>48</x:v>
      </x:c>
      <x:c r="G4778" s="34" t="str">
        <x:v>RECORDED</x:v>
      </x:c>
      <x:c r="H4778" s="38" t="n">
        <x:f>IF(ISNUMBER('Data'!I1362),'Data'!I1362*100,"")</x:f>
        <x:v>16.67</x:v>
      </x:c>
      <x:c r="I4778" s="34" t="str">
        <x:v>PASS</x:v>
      </x:c>
      <x:c r="J4778" s="34" t="str">
        <x:v>PASS</x:v>
      </x:c>
      <x:c r="K4778" s="34" t="str">
        <x:v>PASS</x:v>
      </x:c>
      <x:c r="L4778" s="34" t="str">
        <x:v>PASS</x:v>
      </x:c>
      <x:c r="M4778" s="34" t="str">
        <x:v>numeric coverage for applicable metric</x:v>
      </x:c>
      <x:c r="N4778" s="34" t="str">
        <x:v>Feedback-Directed Random Test Generation/Result_Round2/JacksonXml_5/result.json</x:v>
      </x:c>
      <x:c r="O4778" s="38" t="n">
        <x:f>IF(AND(G4778="RECORDED",ISNUMBER(H4778)),H4778,"")</x:f>
        <x:v>16.67</x:v>
      </x:c>
      <x:c r="P4778" s="34" t="str">
        <x:v>INCONCLUSIVE</x:v>
      </x:c>
      <x:c r="Q4778" s="34" t="str">
        <x:v>Feedback-Directed Random Test Generation/Result_Round2/JacksonXml_5/result.json</x:v>
      </x:c>
    </x:row>
    <x:row r="4779">
      <x:c r="A4779" s="34" t="str">
        <x:v>randoop</x:v>
      </x:c>
      <x:c r="B4779" s="34" t="str">
        <x:v>JacksonXml</x:v>
      </x:c>
      <x:c r="C4779" s="34" t="str">
        <x:v>Round2</x:v>
      </x:c>
      <x:c r="D4779" s="34" t="str">
        <x:v>JacksonXml_6</x:v>
      </x:c>
      <x:c r="E4779" s="34" t="str">
        <x:v>Condition</x:v>
      </x:c>
      <x:c r="F4779" s="34" t="n">
        <x:v>222</x:v>
      </x:c>
      <x:c r="G4779" s="34" t="str">
        <x:v>RECORDED</x:v>
      </x:c>
      <x:c r="H4779" s="38" t="n">
        <x:f>IF(ISNUMBER('Data'!I1363),'Data'!I1363*100,"")</x:f>
        <x:v>2.25</x:v>
      </x:c>
      <x:c r="I4779" s="34" t="str">
        <x:v>PASS</x:v>
      </x:c>
      <x:c r="J4779" s="34" t="str">
        <x:v>PASS</x:v>
      </x:c>
      <x:c r="K4779" s="34" t="str">
        <x:v>PASS</x:v>
      </x:c>
      <x:c r="L4779" s="34" t="str">
        <x:v>PASS</x:v>
      </x:c>
      <x:c r="M4779" s="34" t="str">
        <x:v>numeric coverage for applicable metric</x:v>
      </x:c>
      <x:c r="N4779" s="34" t="str">
        <x:v>Feedback-Directed Random Test Generation/Result_Round2/JacksonXml_6/result.json</x:v>
      </x:c>
      <x:c r="O4779" s="38" t="n">
        <x:f>IF(AND(G4779="RECORDED",ISNUMBER(H4779)),H4779,"")</x:f>
        <x:v>2.25</x:v>
      </x:c>
      <x:c r="P4779" s="34" t="str">
        <x:v>NOT_REVEALING</x:v>
      </x:c>
      <x:c r="Q4779" s="34" t="str">
        <x:v>Feedback-Directed Random Test Generation/Result_Round2/JacksonXml_6/result.json</x:v>
      </x:c>
    </x:row>
    <x:row r="4780">
      <x:c r="A4780" s="34" t="str">
        <x:v>randoop</x:v>
      </x:c>
      <x:c r="B4780" s="34" t="str">
        <x:v>Jsoup</x:v>
      </x:c>
      <x:c r="C4780" s="34" t="str">
        <x:v>Round2</x:v>
      </x:c>
      <x:c r="D4780" s="34" t="str">
        <x:v>Jsoup_1</x:v>
      </x:c>
      <x:c r="E4780" s="34" t="str">
        <x:v>Condition</x:v>
      </x:c>
      <x:c r="F4780" s="34" t="n">
        <x:v>18</x:v>
      </x:c>
      <x:c r="G4780" s="34" t="str">
        <x:v>RECORDED</x:v>
      </x:c>
      <x:c r="H4780" s="38" t="n">
        <x:f>IF(ISNUMBER('Data'!I1364),'Data'!I1364*100,"")</x:f>
        <x:v>100</x:v>
      </x:c>
      <x:c r="I4780" s="34" t="str">
        <x:v>PASS</x:v>
      </x:c>
      <x:c r="J4780" s="34" t="str">
        <x:v>PASS</x:v>
      </x:c>
      <x:c r="K4780" s="34" t="str">
        <x:v>PASS</x:v>
      </x:c>
      <x:c r="L4780" s="34" t="str">
        <x:v>FAIL</x:v>
      </x:c>
      <x:c r="M4780" s="34" t="str">
        <x:v>numeric coverage for applicable metric</x:v>
      </x:c>
      <x:c r="N4780" s="34" t="str">
        <x:v>Feedback-Directed Random Test Generation/Result_Round2/Jsoup_1/result.json</x:v>
      </x:c>
      <x:c r="O4780" s="38" t="n">
        <x:f>IF(AND(G4780="RECORDED",ISNUMBER(H4780)),H4780,"")</x:f>
        <x:v>100</x:v>
      </x:c>
      <x:c r="P4780" s="34" t="str">
        <x:v>INCONCLUSIVE</x:v>
      </x:c>
      <x:c r="Q4780" s="34" t="str">
        <x:v>Feedback-Directed Random Test Generation/Result_Round2/Jsoup_1/result.json</x:v>
      </x:c>
    </x:row>
    <x:row r="4781">
      <x:c r="A4781" s="34" t="str">
        <x:v>randoop</x:v>
      </x:c>
      <x:c r="B4781" s="34" t="str">
        <x:v>Jsoup</x:v>
      </x:c>
      <x:c r="C4781" s="34" t="str">
        <x:v>Round2</x:v>
      </x:c>
      <x:c r="D4781" s="34" t="str">
        <x:v>Jsoup_2</x:v>
      </x:c>
      <x:c r="E4781" s="34" t="str">
        <x:v>Condition</x:v>
      </x:c>
      <x:c r="F4781" s="34" t="n">
        <x:v>86</x:v>
      </x:c>
      <x:c r="G4781" s="34" t="str">
        <x:v>RECORDED</x:v>
      </x:c>
      <x:c r="H4781" s="38" t="n">
        <x:f>IF(ISNUMBER('Data'!I1365),'Data'!I1365*100,"")</x:f>
        <x:v>11.63</x:v>
      </x:c>
      <x:c r="I4781" s="34" t="str">
        <x:v>PASS</x:v>
      </x:c>
      <x:c r="J4781" s="34" t="str">
        <x:v>PASS</x:v>
      </x:c>
      <x:c r="K4781" s="34" t="str">
        <x:v>PASS</x:v>
      </x:c>
      <x:c r="L4781" s="34" t="str">
        <x:v>PASS</x:v>
      </x:c>
      <x:c r="M4781" s="34" t="str">
        <x:v>numeric coverage for applicable metric</x:v>
      </x:c>
      <x:c r="N4781" s="34" t="str">
        <x:v>Feedback-Directed Random Test Generation/Result_Round2/Jsoup_2/result.json</x:v>
      </x:c>
      <x:c r="O4781" s="38" t="n">
        <x:f>IF(AND(G4781="RECORDED",ISNUMBER(H4781)),H4781,"")</x:f>
        <x:v>11.63</x:v>
      </x:c>
      <x:c r="P4781" s="34" t="str">
        <x:v>NOT_REVEALING</x:v>
      </x:c>
      <x:c r="Q4781" s="34" t="str">
        <x:v>Feedback-Directed Random Test Generation/Result_Round2/Jsoup_2/result.json</x:v>
      </x:c>
    </x:row>
    <x:row r="4782">
      <x:c r="A4782" s="34" t="str">
        <x:v>randoop</x:v>
      </x:c>
      <x:c r="B4782" s="34" t="str">
        <x:v>Jsoup</x:v>
      </x:c>
      <x:c r="C4782" s="34" t="str">
        <x:v>Round2</x:v>
      </x:c>
      <x:c r="D4782" s="34" t="str">
        <x:v>Jsoup_3</x:v>
      </x:c>
      <x:c r="E4782" s="34" t="str">
        <x:v>Condition</x:v>
      </x:c>
      <x:c r="F4782" s="34" t="n">
        <x:v>294</x:v>
      </x:c>
      <x:c r="G4782" s="34" t="str">
        <x:v>RECORDED</x:v>
      </x:c>
      <x:c r="H4782" s="38" t="n">
        <x:f>IF(ISNUMBER('Data'!I1366),'Data'!I1366*100,"")</x:f>
        <x:v>66.67</x:v>
      </x:c>
      <x:c r="I4782" s="34" t="str">
        <x:v>PASS</x:v>
      </x:c>
      <x:c r="J4782" s="34" t="str">
        <x:v>PASS</x:v>
      </x:c>
      <x:c r="K4782" s="34" t="str">
        <x:v>PASS</x:v>
      </x:c>
      <x:c r="L4782" s="34" t="str">
        <x:v>FAIL</x:v>
      </x:c>
      <x:c r="M4782" s="34" t="str">
        <x:v>numeric coverage for applicable metric</x:v>
      </x:c>
      <x:c r="N4782" s="34" t="str">
        <x:v>Feedback-Directed Random Test Generation/Result_Round2/Jsoup_3/result.json</x:v>
      </x:c>
      <x:c r="O4782" s="38" t="n">
        <x:f>IF(AND(G4782="RECORDED",ISNUMBER(H4782)),H4782,"")</x:f>
        <x:v>66.67</x:v>
      </x:c>
      <x:c r="P4782" s="34" t="str">
        <x:v>INCONCLUSIVE</x:v>
      </x:c>
      <x:c r="Q4782" s="34" t="str">
        <x:v>Feedback-Directed Random Test Generation/Result_Round2/Jsoup_3/result.json</x:v>
      </x:c>
    </x:row>
    <x:row r="4783">
      <x:c r="A4783" s="34" t="str">
        <x:v>randoop</x:v>
      </x:c>
      <x:c r="B4783" s="34" t="str">
        <x:v>Jsoup</x:v>
      </x:c>
      <x:c r="C4783" s="34" t="str">
        <x:v>Round2</x:v>
      </x:c>
      <x:c r="D4783" s="34" t="str">
        <x:v>Jsoup_4</x:v>
      </x:c>
      <x:c r="E4783" s="34" t="str">
        <x:v>Condition</x:v>
      </x:c>
      <x:c r="F4783" s="34" t="n">
        <x:v>0</x:v>
      </x:c>
      <x:c r="G4783" s="34" t="str">
        <x:v>A</x:v>
      </x:c>
      <x:c r="H4783" s="38" t="str">
        <x:f>IF(ISNUMBER('Data'!I1367),'Data'!I1367*100,"")</x:f>
      </x:c>
      <x:c r="I4783" s="34" t="str">
        <x:v>FAIL</x:v>
      </x:c>
      <x:c r="J4783" s="34" t="str">
        <x:v>PASS</x:v>
      </x:c>
      <x:c r="K4783" s="34" t="str">
        <x:v>PASS</x:v>
      </x:c>
      <x:c r="L4783" s="34" t="str">
        <x:v>PASS</x:v>
      </x:c>
      <x:c r="M4783" s="34" t="str">
        <x:v>coverage unavailable or execution/compile failed</x:v>
      </x:c>
      <x:c r="N4783" s="34" t="str">
        <x:v>Feedback-Directed Random Test Generation/Result_Round2/Jsoup_4/result.json</x:v>
      </x:c>
      <x:c r="O4783" s="38" t="str">
        <x:f>IF(AND(G4783="RECORDED",ISNUMBER(H4783)),H4783,"")</x:f>
      </x:c>
      <x:c r="P4783" s="34" t="str">
        <x:v>NOT_AVAILABLE</x:v>
      </x:c>
      <x:c r="Q4783" s="34" t="str">
        <x:v>Feedback-Directed Random Test Generation/Result_Round2/Jsoup_4/result.json</x:v>
      </x:c>
    </x:row>
    <x:row r="4784">
      <x:c r="A4784" s="34" t="str">
        <x:v>randoop</x:v>
      </x:c>
      <x:c r="B4784" s="34" t="str">
        <x:v>Jsoup</x:v>
      </x:c>
      <x:c r="C4784" s="34" t="str">
        <x:v>Round2</x:v>
      </x:c>
      <x:c r="D4784" s="34" t="str">
        <x:v>Jsoup_5</x:v>
      </x:c>
      <x:c r="E4784" s="34" t="str">
        <x:v>Condition</x:v>
      </x:c>
      <x:c r="F4784" s="34" t="n">
        <x:v>92</x:v>
      </x:c>
      <x:c r="G4784" s="34" t="str">
        <x:v>RECORDED</x:v>
      </x:c>
      <x:c r="H4784" s="38" t="n">
        <x:f>IF(ISNUMBER('Data'!I1368),'Data'!I1368*100,"")</x:f>
        <x:v>11.96</x:v>
      </x:c>
      <x:c r="I4784" s="34" t="str">
        <x:v>PASS</x:v>
      </x:c>
      <x:c r="J4784" s="34" t="str">
        <x:v>PASS</x:v>
      </x:c>
      <x:c r="K4784" s="34" t="str">
        <x:v>PASS</x:v>
      </x:c>
      <x:c r="L4784" s="34" t="str">
        <x:v>PASS</x:v>
      </x:c>
      <x:c r="M4784" s="34" t="str">
        <x:v>numeric coverage for applicable metric</x:v>
      </x:c>
      <x:c r="N4784" s="34" t="str">
        <x:v>Feedback-Directed Random Test Generation/Result_Round2/Jsoup_5/result.json</x:v>
      </x:c>
      <x:c r="O4784" s="38" t="n">
        <x:f>IF(AND(G4784="RECORDED",ISNUMBER(H4784)),H4784,"")</x:f>
        <x:v>11.96</x:v>
      </x:c>
      <x:c r="P4784" s="34" t="str">
        <x:v>NOT_REVEALING</x:v>
      </x:c>
      <x:c r="Q4784" s="34" t="str">
        <x:v>Feedback-Directed Random Test Generation/Result_Round2/Jsoup_5/result.json</x:v>
      </x:c>
    </x:row>
    <x:row r="4785">
      <x:c r="A4785" s="34" t="str">
        <x:v>randoop</x:v>
      </x:c>
      <x:c r="B4785" s="34" t="str">
        <x:v>Jsoup</x:v>
      </x:c>
      <x:c r="C4785" s="34" t="str">
        <x:v>Round2</x:v>
      </x:c>
      <x:c r="D4785" s="34" t="str">
        <x:v>Jsoup_6</x:v>
      </x:c>
      <x:c r="E4785" s="34" t="str">
        <x:v>Condition</x:v>
      </x:c>
      <x:c r="F4785" s="34" t="n">
        <x:v>0</x:v>
      </x:c>
      <x:c r="G4785" s="34" t="str">
        <x:v>A</x:v>
      </x:c>
      <x:c r="H4785" s="38" t="str">
        <x:f>IF(ISNUMBER('Data'!I1369),'Data'!I1369*100,"")</x:f>
      </x:c>
      <x:c r="I4785" s="34" t="str">
        <x:v>FAIL</x:v>
      </x:c>
      <x:c r="J4785" s="34" t="str">
        <x:v>PASS</x:v>
      </x:c>
      <x:c r="K4785" s="34" t="str">
        <x:v>PASS</x:v>
      </x:c>
      <x:c r="L4785" s="34" t="str">
        <x:v>PASS</x:v>
      </x:c>
      <x:c r="M4785" s="34" t="str">
        <x:v>coverage unavailable or execution/compile failed</x:v>
      </x:c>
      <x:c r="N4785" s="34" t="str">
        <x:v>Feedback-Directed Random Test Generation/Result_Round2/Jsoup_6/result.json</x:v>
      </x:c>
      <x:c r="O4785" s="38" t="str">
        <x:f>IF(AND(G4785="RECORDED",ISNUMBER(H4785)),H4785,"")</x:f>
      </x:c>
      <x:c r="P4785" s="34" t="str">
        <x:v>NOT_AVAILABLE</x:v>
      </x:c>
      <x:c r="Q4785" s="34" t="str">
        <x:v>Feedback-Directed Random Test Generation/Result_Round2/Jsoup_6/result.json</x:v>
      </x:c>
    </x:row>
    <x:row r="4786">
      <x:c r="A4786" s="34" t="str">
        <x:v>randoop</x:v>
      </x:c>
      <x:c r="B4786" s="34" t="str">
        <x:v>Jsoup</x:v>
      </x:c>
      <x:c r="C4786" s="34" t="str">
        <x:v>Round2</x:v>
      </x:c>
      <x:c r="D4786" s="34" t="str">
        <x:v>Jsoup_7</x:v>
      </x:c>
      <x:c r="E4786" s="34" t="str">
        <x:v>Condition</x:v>
      </x:c>
      <x:c r="F4786" s="34" t="n">
        <x:v>26</x:v>
      </x:c>
      <x:c r="G4786" s="34" t="str">
        <x:v>RECORDED</x:v>
      </x:c>
      <x:c r="H4786" s="38" t="n">
        <x:f>IF(ISNUMBER('Data'!I1370),'Data'!I1370*100,"")</x:f>
        <x:v>100</x:v>
      </x:c>
      <x:c r="I4786" s="34" t="str">
        <x:v>PASS</x:v>
      </x:c>
      <x:c r="J4786" s="34" t="str">
        <x:v>PASS</x:v>
      </x:c>
      <x:c r="K4786" s="34" t="str">
        <x:v>PASS</x:v>
      </x:c>
      <x:c r="L4786" s="34" t="str">
        <x:v>FAIL</x:v>
      </x:c>
      <x:c r="M4786" s="34" t="str">
        <x:v>numeric coverage for applicable metric</x:v>
      </x:c>
      <x:c r="N4786" s="34" t="str">
        <x:v>Feedback-Directed Random Test Generation/Result_Round2/Jsoup_7/result.json</x:v>
      </x:c>
      <x:c r="O4786" s="38" t="n">
        <x:f>IF(AND(G4786="RECORDED",ISNUMBER(H4786)),H4786,"")</x:f>
        <x:v>100</x:v>
      </x:c>
      <x:c r="P4786" s="34" t="str">
        <x:v>INCONCLUSIVE</x:v>
      </x:c>
      <x:c r="Q4786" s="34" t="str">
        <x:v>Feedback-Directed Random Test Generation/Result_Round2/Jsoup_7/result.json</x:v>
      </x:c>
    </x:row>
    <x:row r="4787">
      <x:c r="A4787" s="34" t="str">
        <x:v>randoop</x:v>
      </x:c>
      <x:c r="B4787" s="34" t="str">
        <x:v>Jsoup</x:v>
      </x:c>
      <x:c r="C4787" s="34" t="str">
        <x:v>Round2</x:v>
      </x:c>
      <x:c r="D4787" s="34" t="str">
        <x:v>Jsoup_8</x:v>
      </x:c>
      <x:c r="E4787" s="34" t="str">
        <x:v>Condition</x:v>
      </x:c>
      <x:c r="F4787" s="34" t="n">
        <x:v>40</x:v>
      </x:c>
      <x:c r="G4787" s="34" t="str">
        <x:v>RECORDED</x:v>
      </x:c>
      <x:c r="H4787" s="38" t="n">
        <x:f>IF(ISNUMBER('Data'!I1371),'Data'!I1371*100,"")</x:f>
        <x:v>0</x:v>
      </x:c>
      <x:c r="I4787" s="34" t="str">
        <x:v>PASS</x:v>
      </x:c>
      <x:c r="J4787" s="34" t="str">
        <x:v>PASS</x:v>
      </x:c>
      <x:c r="K4787" s="34" t="str">
        <x:v>PASS</x:v>
      </x:c>
      <x:c r="L4787" s="34" t="str">
        <x:v>PASS</x:v>
      </x:c>
      <x:c r="M4787" s="34" t="str">
        <x:v>numeric coverage for applicable metric</x:v>
      </x:c>
      <x:c r="N4787" s="34" t="str">
        <x:v>Feedback-Directed Random Test Generation/Result_Round2/Jsoup_8/result.json</x:v>
      </x:c>
      <x:c r="O4787" s="38" t="n">
        <x:f>IF(AND(G4787="RECORDED",ISNUMBER(H4787)),H4787,"")</x:f>
        <x:v>0</x:v>
      </x:c>
      <x:c r="P4787" s="34" t="str">
        <x:v>NOT_REVEALING</x:v>
      </x:c>
      <x:c r="Q4787" s="34" t="str">
        <x:v>Feedback-Directed Random Test Generation/Result_Round2/Jsoup_8/result.json</x:v>
      </x:c>
    </x:row>
    <x:row r="4788">
      <x:c r="A4788" s="34" t="str">
        <x:v>randoop</x:v>
      </x:c>
      <x:c r="B4788" s="34" t="str">
        <x:v>Jsoup</x:v>
      </x:c>
      <x:c r="C4788" s="34" t="str">
        <x:v>Round2</x:v>
      </x:c>
      <x:c r="D4788" s="34" t="str">
        <x:v>Jsoup_9</x:v>
      </x:c>
      <x:c r="E4788" s="34" t="str">
        <x:v>Condition</x:v>
      </x:c>
      <x:c r="F4788" s="34" t="n">
        <x:v>0</x:v>
      </x:c>
      <x:c r="G4788" s="34" t="str">
        <x:v>A</x:v>
      </x:c>
      <x:c r="H4788" s="38" t="str">
        <x:f>IF(ISNUMBER('Data'!I1372),'Data'!I1372*100,"")</x:f>
      </x:c>
      <x:c r="I4788" s="34" t="str">
        <x:v>FAIL</x:v>
      </x:c>
      <x:c r="J4788" s="34" t="str">
        <x:v>PASS</x:v>
      </x:c>
      <x:c r="K4788" s="34" t="str">
        <x:v>PASS</x:v>
      </x:c>
      <x:c r="L4788" s="34" t="str">
        <x:v>PASS</x:v>
      </x:c>
      <x:c r="M4788" s="34" t="str">
        <x:v>coverage unavailable or execution/compile failed</x:v>
      </x:c>
      <x:c r="N4788" s="34" t="str">
        <x:v>Feedback-Directed Random Test Generation/Result_Round2/Jsoup_9/result.json</x:v>
      </x:c>
      <x:c r="O4788" s="38" t="str">
        <x:f>IF(AND(G4788="RECORDED",ISNUMBER(H4788)),H4788,"")</x:f>
      </x:c>
      <x:c r="P4788" s="34" t="str">
        <x:v>NOT_AVAILABLE</x:v>
      </x:c>
      <x:c r="Q4788" s="34" t="str">
        <x:v>Feedback-Directed Random Test Generation/Result_Round2/Jsoup_9/result.json</x:v>
      </x:c>
    </x:row>
    <x:row r="4789">
      <x:c r="A4789" s="34" t="str">
        <x:v>randoop</x:v>
      </x:c>
      <x:c r="B4789" s="34" t="str">
        <x:v>Jsoup</x:v>
      </x:c>
      <x:c r="C4789" s="34" t="str">
        <x:v>Round2</x:v>
      </x:c>
      <x:c r="D4789" s="34" t="str">
        <x:v>Jsoup_10</x:v>
      </x:c>
      <x:c r="E4789" s="34" t="str">
        <x:v>Condition</x:v>
      </x:c>
      <x:c r="F4789" s="34" t="n">
        <x:v>48</x:v>
      </x:c>
      <x:c r="G4789" s="34" t="str">
        <x:v>RECORDED</x:v>
      </x:c>
      <x:c r="H4789" s="38" t="n">
        <x:f>IF(ISNUMBER('Data'!I1373),'Data'!I1373*100,"")</x:f>
        <x:v>0</x:v>
      </x:c>
      <x:c r="I4789" s="34" t="str">
        <x:v>PASS</x:v>
      </x:c>
      <x:c r="J4789" s="34" t="str">
        <x:v>PASS</x:v>
      </x:c>
      <x:c r="K4789" s="34" t="str">
        <x:v>PASS</x:v>
      </x:c>
      <x:c r="L4789" s="34" t="str">
        <x:v>PASS</x:v>
      </x:c>
      <x:c r="M4789" s="34" t="str">
        <x:v>numeric coverage for applicable metric</x:v>
      </x:c>
      <x:c r="N4789" s="34" t="str">
        <x:v>Feedback-Directed Random Test Generation/Result_Round2/Jsoup_10/result.json</x:v>
      </x:c>
      <x:c r="O4789" s="38" t="n">
        <x:f>IF(AND(G4789="RECORDED",ISNUMBER(H4789)),H4789,"")</x:f>
        <x:v>0</x:v>
      </x:c>
      <x:c r="P4789" s="34" t="str">
        <x:v>NOT_REVEALING</x:v>
      </x:c>
      <x:c r="Q4789" s="34" t="str">
        <x:v>Feedback-Directed Random Test Generation/Result_Round2/Jsoup_10/result.json</x:v>
      </x:c>
    </x:row>
    <x:row r="4790">
      <x:c r="A4790" s="34" t="str">
        <x:v>randoop</x:v>
      </x:c>
      <x:c r="B4790" s="34" t="str">
        <x:v>Jsoup</x:v>
      </x:c>
      <x:c r="C4790" s="34" t="str">
        <x:v>Round2</x:v>
      </x:c>
      <x:c r="D4790" s="34" t="str">
        <x:v>Jsoup_11</x:v>
      </x:c>
      <x:c r="E4790" s="34" t="str">
        <x:v>Condition</x:v>
      </x:c>
      <x:c r="F4790" s="34" t="n">
        <x:v>120</x:v>
      </x:c>
      <x:c r="G4790" s="34" t="str">
        <x:v>RECORDED</x:v>
      </x:c>
      <x:c r="H4790" s="38" t="n">
        <x:f>IF(ISNUMBER('Data'!I1374),'Data'!I1374*100,"")</x:f>
        <x:v>0</x:v>
      </x:c>
      <x:c r="I4790" s="34" t="str">
        <x:v>PASS</x:v>
      </x:c>
      <x:c r="J4790" s="34" t="str">
        <x:v>PASS</x:v>
      </x:c>
      <x:c r="K4790" s="34" t="str">
        <x:v>PASS</x:v>
      </x:c>
      <x:c r="L4790" s="34" t="str">
        <x:v>PASS</x:v>
      </x:c>
      <x:c r="M4790" s="34" t="str">
        <x:v>numeric coverage for applicable metric</x:v>
      </x:c>
      <x:c r="N4790" s="34" t="str">
        <x:v>Feedback-Directed Random Test Generation/Result_Round2/Jsoup_11/result.json</x:v>
      </x:c>
      <x:c r="O4790" s="38" t="n">
        <x:f>IF(AND(G4790="RECORDED",ISNUMBER(H4790)),H4790,"")</x:f>
        <x:v>0</x:v>
      </x:c>
      <x:c r="P4790" s="34" t="str">
        <x:v>NOT_REVEALING</x:v>
      </x:c>
      <x:c r="Q4790" s="34" t="str">
        <x:v>Feedback-Directed Random Test Generation/Result_Round2/Jsoup_11/result.json</x:v>
      </x:c>
    </x:row>
    <x:row r="4791">
      <x:c r="A4791" s="34" t="str">
        <x:v>randoop</x:v>
      </x:c>
      <x:c r="B4791" s="34" t="str">
        <x:v>Jsoup</x:v>
      </x:c>
      <x:c r="C4791" s="34" t="str">
        <x:v>Round2</x:v>
      </x:c>
      <x:c r="D4791" s="34" t="str">
        <x:v>Jsoup_12</x:v>
      </x:c>
      <x:c r="E4791" s="34" t="str">
        <x:v>Condition</x:v>
      </x:c>
      <x:c r="F4791" s="34" t="n">
        <x:v>132</x:v>
      </x:c>
      <x:c r="G4791" s="34" t="str">
        <x:v>RECORDED</x:v>
      </x:c>
      <x:c r="H4791" s="38" t="n">
        <x:f>IF(ISNUMBER('Data'!I1375),'Data'!I1375*100,"")</x:f>
        <x:v>1.52</x:v>
      </x:c>
      <x:c r="I4791" s="34" t="str">
        <x:v>PASS</x:v>
      </x:c>
      <x:c r="J4791" s="34" t="str">
        <x:v>PASS</x:v>
      </x:c>
      <x:c r="K4791" s="34" t="str">
        <x:v>PASS</x:v>
      </x:c>
      <x:c r="L4791" s="34" t="str">
        <x:v>PASS</x:v>
      </x:c>
      <x:c r="M4791" s="34" t="str">
        <x:v>numeric coverage for applicable metric</x:v>
      </x:c>
      <x:c r="N4791" s="34" t="str">
        <x:v>Feedback-Directed Random Test Generation/Result_Round2/Jsoup_12/result.json</x:v>
      </x:c>
      <x:c r="O4791" s="38" t="n">
        <x:f>IF(AND(G4791="RECORDED",ISNUMBER(H4791)),H4791,"")</x:f>
        <x:v>1.52</x:v>
      </x:c>
      <x:c r="P4791" s="34" t="str">
        <x:v>NOT_REVEALING</x:v>
      </x:c>
      <x:c r="Q4791" s="34" t="str">
        <x:v>Feedback-Directed Random Test Generation/Result_Round2/Jsoup_12/result.json</x:v>
      </x:c>
    </x:row>
    <x:row r="4792">
      <x:c r="A4792" s="34" t="str">
        <x:v>randoop</x:v>
      </x:c>
      <x:c r="B4792" s="34" t="str">
        <x:v>Jsoup</x:v>
      </x:c>
      <x:c r="C4792" s="34" t="str">
        <x:v>Round2</x:v>
      </x:c>
      <x:c r="D4792" s="34" t="str">
        <x:v>Jsoup_13</x:v>
      </x:c>
      <x:c r="E4792" s="34" t="str">
        <x:v>Condition</x:v>
      </x:c>
      <x:c r="F4792" s="34" t="n">
        <x:v>64</x:v>
      </x:c>
      <x:c r="G4792" s="34" t="str">
        <x:v>RECORDED</x:v>
      </x:c>
      <x:c r="H4792" s="38" t="n">
        <x:f>IF(ISNUMBER('Data'!I1376),'Data'!I1376*100,"")</x:f>
        <x:v>0</x:v>
      </x:c>
      <x:c r="I4792" s="34" t="str">
        <x:v>PASS</x:v>
      </x:c>
      <x:c r="J4792" s="34" t="str">
        <x:v>PASS</x:v>
      </x:c>
      <x:c r="K4792" s="34" t="str">
        <x:v>PASS</x:v>
      </x:c>
      <x:c r="L4792" s="34" t="str">
        <x:v>PASS</x:v>
      </x:c>
      <x:c r="M4792" s="34" t="str">
        <x:v>numeric coverage for applicable metric</x:v>
      </x:c>
      <x:c r="N4792" s="34" t="str">
        <x:v>Feedback-Directed Random Test Generation/Result_Round2/Jsoup_13/result.json</x:v>
      </x:c>
      <x:c r="O4792" s="38" t="n">
        <x:f>IF(AND(G4792="RECORDED",ISNUMBER(H4792)),H4792,"")</x:f>
        <x:v>0</x:v>
      </x:c>
      <x:c r="P4792" s="34" t="str">
        <x:v>NOT_REVEALING</x:v>
      </x:c>
      <x:c r="Q4792" s="34" t="str">
        <x:v>Feedback-Directed Random Test Generation/Result_Round2/Jsoup_13/result.json</x:v>
      </x:c>
    </x:row>
    <x:row r="4793">
      <x:c r="A4793" s="34" t="str">
        <x:v>randoop</x:v>
      </x:c>
      <x:c r="B4793" s="34" t="str">
        <x:v>Jsoup</x:v>
      </x:c>
      <x:c r="C4793" s="34" t="str">
        <x:v>Round2</x:v>
      </x:c>
      <x:c r="D4793" s="34" t="str">
        <x:v>Jsoup_14</x:v>
      </x:c>
      <x:c r="E4793" s="34" t="str">
        <x:v>Condition</x:v>
      </x:c>
      <x:c r="F4793" s="34" t="n">
        <x:v>430</x:v>
      </x:c>
      <x:c r="G4793" s="34" t="str">
        <x:v>RECORDED</x:v>
      </x:c>
      <x:c r="H4793" s="38" t="n">
        <x:f>IF(ISNUMBER('Data'!I1377),'Data'!I1377*100,"")</x:f>
        <x:v>3.95</x:v>
      </x:c>
      <x:c r="I4793" s="34" t="str">
        <x:v>PASS</x:v>
      </x:c>
      <x:c r="J4793" s="34" t="str">
        <x:v>PASS</x:v>
      </x:c>
      <x:c r="K4793" s="34" t="str">
        <x:v>PASS</x:v>
      </x:c>
      <x:c r="L4793" s="34" t="str">
        <x:v>PASS</x:v>
      </x:c>
      <x:c r="M4793" s="34" t="str">
        <x:v>numeric coverage for applicable metric</x:v>
      </x:c>
      <x:c r="N4793" s="34" t="str">
        <x:v>Feedback-Directed Random Test Generation/Result_Round2/Jsoup_14/result.json</x:v>
      </x:c>
      <x:c r="O4793" s="38" t="n">
        <x:f>IF(AND(G4793="RECORDED",ISNUMBER(H4793)),H4793,"")</x:f>
        <x:v>3.95</x:v>
      </x:c>
      <x:c r="P4793" s="34" t="str">
        <x:v>NOT_REVEALING</x:v>
      </x:c>
      <x:c r="Q4793" s="34" t="str">
        <x:v>Feedback-Directed Random Test Generation/Result_Round2/Jsoup_14/result.json</x:v>
      </x:c>
    </x:row>
    <x:row r="4794">
      <x:c r="A4794" s="34" t="str">
        <x:v>randoop</x:v>
      </x:c>
      <x:c r="B4794" s="34" t="str">
        <x:v>Jsoup</x:v>
      </x:c>
      <x:c r="C4794" s="34" t="str">
        <x:v>Round2</x:v>
      </x:c>
      <x:c r="D4794" s="34" t="str">
        <x:v>Jsoup_15</x:v>
      </x:c>
      <x:c r="E4794" s="34" t="str">
        <x:v>Condition</x:v>
      </x:c>
      <x:c r="F4794" s="34" t="n">
        <x:v>747</x:v>
      </x:c>
      <x:c r="G4794" s="34" t="str">
        <x:v>RECORDED</x:v>
      </x:c>
      <x:c r="H4794" s="38" t="n">
        <x:f>IF(ISNUMBER('Data'!I1378),'Data'!I1378*100,"")</x:f>
        <x:v>0</x:v>
      </x:c>
      <x:c r="I4794" s="34" t="str">
        <x:v>PASS</x:v>
      </x:c>
      <x:c r="J4794" s="34" t="str">
        <x:v>PASS</x:v>
      </x:c>
      <x:c r="K4794" s="34" t="str">
        <x:v>PASS</x:v>
      </x:c>
      <x:c r="L4794" s="34" t="str">
        <x:v>PASS</x:v>
      </x:c>
      <x:c r="M4794" s="34" t="str">
        <x:v>numeric coverage for applicable metric</x:v>
      </x:c>
      <x:c r="N4794" s="34" t="str">
        <x:v>Feedback-Directed Random Test Generation/Result_Round2/Jsoup_15/result.json</x:v>
      </x:c>
      <x:c r="O4794" s="38" t="n">
        <x:f>IF(AND(G4794="RECORDED",ISNUMBER(H4794)),H4794,"")</x:f>
        <x:v>0</x:v>
      </x:c>
      <x:c r="P4794" s="34" t="str">
        <x:v>NOT_REVEALING</x:v>
      </x:c>
      <x:c r="Q4794" s="34" t="str">
        <x:v>Feedback-Directed Random Test Generation/Result_Round2/Jsoup_15/result.json</x:v>
      </x:c>
    </x:row>
    <x:row r="4795">
      <x:c r="A4795" s="34" t="str">
        <x:v>randoop</x:v>
      </x:c>
      <x:c r="B4795" s="34" t="str">
        <x:v>Jsoup</x:v>
      </x:c>
      <x:c r="C4795" s="34" t="str">
        <x:v>Round2</x:v>
      </x:c>
      <x:c r="D4795" s="34" t="str">
        <x:v>Jsoup_16</x:v>
      </x:c>
      <x:c r="E4795" s="34" t="str">
        <x:v>Condition</x:v>
      </x:c>
      <x:c r="F4795" s="34" t="n">
        <x:v>4</x:v>
      </x:c>
      <x:c r="G4795" s="34" t="str">
        <x:v>RECORDED</x:v>
      </x:c>
      <x:c r="H4795" s="38" t="n">
        <x:f>IF(ISNUMBER('Data'!I1379),'Data'!I1379*100,"")</x:f>
        <x:v>100</x:v>
      </x:c>
      <x:c r="I4795" s="34" t="str">
        <x:v>PASS</x:v>
      </x:c>
      <x:c r="J4795" s="34" t="str">
        <x:v>PASS</x:v>
      </x:c>
      <x:c r="K4795" s="34" t="str">
        <x:v>PASS</x:v>
      </x:c>
      <x:c r="L4795" s="34" t="str">
        <x:v>FAIL</x:v>
      </x:c>
      <x:c r="M4795" s="34" t="str">
        <x:v>numeric coverage for applicable metric</x:v>
      </x:c>
      <x:c r="N4795" s="34" t="str">
        <x:v>Feedback-Directed Random Test Generation/Result_Round2/Jsoup_16/result.json</x:v>
      </x:c>
      <x:c r="O4795" s="38" t="n">
        <x:f>IF(AND(G4795="RECORDED",ISNUMBER(H4795)),H4795,"")</x:f>
        <x:v>100</x:v>
      </x:c>
      <x:c r="P4795" s="34" t="str">
        <x:v>INCONCLUSIVE</x:v>
      </x:c>
      <x:c r="Q4795" s="34" t="str">
        <x:v>Feedback-Directed Random Test Generation/Result_Round2/Jsoup_16/result.json</x:v>
      </x:c>
    </x:row>
    <x:row r="4796">
      <x:c r="A4796" s="34" t="str">
        <x:v>randoop</x:v>
      </x:c>
      <x:c r="B4796" s="34" t="str">
        <x:v>Jsoup</x:v>
      </x:c>
      <x:c r="C4796" s="34" t="str">
        <x:v>Round2</x:v>
      </x:c>
      <x:c r="D4796" s="34" t="str">
        <x:v>Jsoup_17</x:v>
      </x:c>
      <x:c r="E4796" s="34" t="str">
        <x:v>Condition</x:v>
      </x:c>
      <x:c r="F4796" s="34" t="n">
        <x:v>747</x:v>
      </x:c>
      <x:c r="G4796" s="34" t="str">
        <x:v>RECORDED</x:v>
      </x:c>
      <x:c r="H4796" s="38" t="n">
        <x:f>IF(ISNUMBER('Data'!I1380),'Data'!I1380*100,"")</x:f>
        <x:v>0</x:v>
      </x:c>
      <x:c r="I4796" s="34" t="str">
        <x:v>PASS</x:v>
      </x:c>
      <x:c r="J4796" s="34" t="str">
        <x:v>PASS</x:v>
      </x:c>
      <x:c r="K4796" s="34" t="str">
        <x:v>PASS</x:v>
      </x:c>
      <x:c r="L4796" s="34" t="str">
        <x:v>PASS</x:v>
      </x:c>
      <x:c r="M4796" s="34" t="str">
        <x:v>numeric coverage for applicable metric</x:v>
      </x:c>
      <x:c r="N4796" s="34" t="str">
        <x:v>Feedback-Directed Random Test Generation/Result_Round2/Jsoup_17/result.json</x:v>
      </x:c>
      <x:c r="O4796" s="38" t="n">
        <x:f>IF(AND(G4796="RECORDED",ISNUMBER(H4796)),H4796,"")</x:f>
        <x:v>0</x:v>
      </x:c>
      <x:c r="P4796" s="34" t="str">
        <x:v>NOT_REVEALING</x:v>
      </x:c>
      <x:c r="Q4796" s="34" t="str">
        <x:v>Feedback-Directed Random Test Generation/Result_Round2/Jsoup_17/result.json</x:v>
      </x:c>
    </x:row>
    <x:row r="4797">
      <x:c r="A4797" s="34" t="str">
        <x:v>randoop</x:v>
      </x:c>
      <x:c r="B4797" s="34" t="str">
        <x:v>Jsoup</x:v>
      </x:c>
      <x:c r="C4797" s="34" t="str">
        <x:v>Round2</x:v>
      </x:c>
      <x:c r="D4797" s="34" t="str">
        <x:v>Jsoup_18</x:v>
      </x:c>
      <x:c r="E4797" s="34" t="str">
        <x:v>Condition</x:v>
      </x:c>
      <x:c r="F4797" s="34" t="n">
        <x:v>82</x:v>
      </x:c>
      <x:c r="G4797" s="34" t="str">
        <x:v>RECORDED</x:v>
      </x:c>
      <x:c r="H4797" s="38" t="n">
        <x:f>IF(ISNUMBER('Data'!I1381),'Data'!I1381*100,"")</x:f>
        <x:v>52.44</x:v>
      </x:c>
      <x:c r="I4797" s="34" t="str">
        <x:v>PASS</x:v>
      </x:c>
      <x:c r="J4797" s="34" t="str">
        <x:v>PASS</x:v>
      </x:c>
      <x:c r="K4797" s="34" t="str">
        <x:v>PASS</x:v>
      </x:c>
      <x:c r="L4797" s="34" t="str">
        <x:v>PASS</x:v>
      </x:c>
      <x:c r="M4797" s="34" t="str">
        <x:v>numeric coverage for applicable metric</x:v>
      </x:c>
      <x:c r="N4797" s="34" t="str">
        <x:v>Feedback-Directed Random Test Generation/Result_Round2/Jsoup_18/result.json</x:v>
      </x:c>
      <x:c r="O4797" s="38" t="n">
        <x:f>IF(AND(G4797="RECORDED",ISNUMBER(H4797)),H4797,"")</x:f>
        <x:v>52.44</x:v>
      </x:c>
      <x:c r="P4797" s="34" t="str">
        <x:v>INCONCLUSIVE</x:v>
      </x:c>
      <x:c r="Q4797" s="34" t="str">
        <x:v>Feedback-Directed Random Test Generation/Result_Round2/Jsoup_18/result.json</x:v>
      </x:c>
    </x:row>
    <x:row r="4798">
      <x:c r="A4798" s="34" t="str">
        <x:v>randoop</x:v>
      </x:c>
      <x:c r="B4798" s="34" t="str">
        <x:v>Jsoup</x:v>
      </x:c>
      <x:c r="C4798" s="34" t="str">
        <x:v>Round2</x:v>
      </x:c>
      <x:c r="D4798" s="34" t="str">
        <x:v>Jsoup_19</x:v>
      </x:c>
      <x:c r="E4798" s="34" t="str">
        <x:v>Condition</x:v>
      </x:c>
      <x:c r="F4798" s="34" t="n">
        <x:v>52</x:v>
      </x:c>
      <x:c r="G4798" s="34" t="str">
        <x:v>RECORDED</x:v>
      </x:c>
      <x:c r="H4798" s="38" t="n">
        <x:f>IF(ISNUMBER('Data'!I1382),'Data'!I1382*100,"")</x:f>
        <x:v>51.92</x:v>
      </x:c>
      <x:c r="I4798" s="34" t="str">
        <x:v>PASS</x:v>
      </x:c>
      <x:c r="J4798" s="34" t="str">
        <x:v>PASS</x:v>
      </x:c>
      <x:c r="K4798" s="34" t="str">
        <x:v>PASS</x:v>
      </x:c>
      <x:c r="L4798" s="34" t="str">
        <x:v>PASS</x:v>
      </x:c>
      <x:c r="M4798" s="34" t="str">
        <x:v>numeric coverage for applicable metric</x:v>
      </x:c>
      <x:c r="N4798" s="34" t="str">
        <x:v>Feedback-Directed Random Test Generation/Result_Round2/Jsoup_19/result.json</x:v>
      </x:c>
      <x:c r="O4798" s="38" t="n">
        <x:f>IF(AND(G4798="RECORDED",ISNUMBER(H4798)),H4798,"")</x:f>
        <x:v>51.92</x:v>
      </x:c>
      <x:c r="P4798" s="34" t="str">
        <x:v>NOT_REVEALING</x:v>
      </x:c>
      <x:c r="Q4798" s="34" t="str">
        <x:v>Feedback-Directed Random Test Generation/Result_Round2/Jsoup_19/result.json</x:v>
      </x:c>
    </x:row>
    <x:row r="4799">
      <x:c r="A4799" s="34" t="str">
        <x:v>randoop</x:v>
      </x:c>
      <x:c r="B4799" s="34" t="str">
        <x:v>Jsoup</x:v>
      </x:c>
      <x:c r="C4799" s="34" t="str">
        <x:v>Round2</x:v>
      </x:c>
      <x:c r="D4799" s="34" t="str">
        <x:v>Jsoup_20</x:v>
      </x:c>
      <x:c r="E4799" s="34" t="str">
        <x:v>Condition</x:v>
      </x:c>
      <x:c r="F4799" s="34" t="n">
        <x:v>22</x:v>
      </x:c>
      <x:c r="G4799" s="34" t="str">
        <x:v>RECORDED</x:v>
      </x:c>
      <x:c r="H4799" s="38" t="n">
        <x:f>IF(ISNUMBER('Data'!I1383),'Data'!I1383*100,"")</x:f>
        <x:v>13.639999999999999</x:v>
      </x:c>
      <x:c r="I4799" s="34" t="str">
        <x:v>PASS</x:v>
      </x:c>
      <x:c r="J4799" s="34" t="str">
        <x:v>PASS</x:v>
      </x:c>
      <x:c r="K4799" s="34" t="str">
        <x:v>PASS</x:v>
      </x:c>
      <x:c r="L4799" s="34" t="str">
        <x:v>PASS</x:v>
      </x:c>
      <x:c r="M4799" s="34" t="str">
        <x:v>numeric coverage for applicable metric</x:v>
      </x:c>
      <x:c r="N4799" s="34" t="str">
        <x:v>Feedback-Directed Random Test Generation/Result_Round2/Jsoup_20/result.json</x:v>
      </x:c>
      <x:c r="O4799" s="38" t="n">
        <x:f>IF(AND(G4799="RECORDED",ISNUMBER(H4799)),H4799,"")</x:f>
        <x:v>13.639999999999999</x:v>
      </x:c>
      <x:c r="P4799" s="34" t="str">
        <x:v>NOT_REVEALING</x:v>
      </x:c>
      <x:c r="Q4799" s="34" t="str">
        <x:v>Feedback-Directed Random Test Generation/Result_Round2/Jsoup_20/result.json</x:v>
      </x:c>
    </x:row>
    <x:row r="4800">
      <x:c r="A4800" s="34" t="str">
        <x:v>randoop</x:v>
      </x:c>
      <x:c r="B4800" s="34" t="str">
        <x:v>Jsoup</x:v>
      </x:c>
      <x:c r="C4800" s="34" t="str">
        <x:v>Round2</x:v>
      </x:c>
      <x:c r="D4800" s="34" t="str">
        <x:v>Jsoup_21</x:v>
      </x:c>
      <x:c r="E4800" s="34" t="str">
        <x:v>Condition</x:v>
      </x:c>
      <x:c r="F4800" s="34" t="n">
        <x:v>96</x:v>
      </x:c>
      <x:c r="G4800" s="34" t="str">
        <x:v>RECORDED</x:v>
      </x:c>
      <x:c r="H4800" s="38" t="n">
        <x:f>IF(ISNUMBER('Data'!I1384),'Data'!I1384*100,"")</x:f>
        <x:v>31.25</x:v>
      </x:c>
      <x:c r="I4800" s="34" t="str">
        <x:v>PASS</x:v>
      </x:c>
      <x:c r="J4800" s="34" t="str">
        <x:v>PASS</x:v>
      </x:c>
      <x:c r="K4800" s="34" t="str">
        <x:v>PASS</x:v>
      </x:c>
      <x:c r="L4800" s="34" t="str">
        <x:v>PASS</x:v>
      </x:c>
      <x:c r="M4800" s="34" t="str">
        <x:v>numeric coverage for applicable metric</x:v>
      </x:c>
      <x:c r="N4800" s="34" t="str">
        <x:v>Feedback-Directed Random Test Generation/Result_Round2/Jsoup_21/result.json</x:v>
      </x:c>
      <x:c r="O4800" s="38" t="n">
        <x:f>IF(AND(G4800="RECORDED",ISNUMBER(H4800)),H4800,"")</x:f>
        <x:v>31.25</x:v>
      </x:c>
      <x:c r="P4800" s="34" t="str">
        <x:v>NOT_REVEALING</x:v>
      </x:c>
      <x:c r="Q4800" s="34" t="str">
        <x:v>Feedback-Directed Random Test Generation/Result_Round2/Jsoup_21/result.json</x:v>
      </x:c>
    </x:row>
    <x:row r="4801">
      <x:c r="A4801" s="34" t="str">
        <x:v>randoop</x:v>
      </x:c>
      <x:c r="B4801" s="34" t="str">
        <x:v>Jsoup</x:v>
      </x:c>
      <x:c r="C4801" s="34" t="str">
        <x:v>Round2</x:v>
      </x:c>
      <x:c r="D4801" s="34" t="str">
        <x:v>Jsoup_22</x:v>
      </x:c>
      <x:c r="E4801" s="34" t="str">
        <x:v>Condition</x:v>
      </x:c>
      <x:c r="F4801" s="34" t="n">
        <x:v>272</x:v>
      </x:c>
      <x:c r="G4801" s="34" t="str">
        <x:v>RECORDED</x:v>
      </x:c>
      <x:c r="H4801" s="38" t="n">
        <x:f>IF(ISNUMBER('Data'!I1385),'Data'!I1385*100,"")</x:f>
        <x:v>22.43</x:v>
      </x:c>
      <x:c r="I4801" s="34" t="str">
        <x:v>PASS</x:v>
      </x:c>
      <x:c r="J4801" s="34" t="str">
        <x:v>PASS</x:v>
      </x:c>
      <x:c r="K4801" s="34" t="str">
        <x:v>PASS</x:v>
      </x:c>
      <x:c r="L4801" s="34" t="str">
        <x:v>PASS</x:v>
      </x:c>
      <x:c r="M4801" s="34" t="str">
        <x:v>numeric coverage for applicable metric</x:v>
      </x:c>
      <x:c r="N4801" s="34" t="str">
        <x:v>Feedback-Directed Random Test Generation/Result_Round2/Jsoup_22/result.json</x:v>
      </x:c>
      <x:c r="O4801" s="38" t="n">
        <x:f>IF(AND(G4801="RECORDED",ISNUMBER(H4801)),H4801,"")</x:f>
        <x:v>22.43</x:v>
      </x:c>
      <x:c r="P4801" s="34" t="str">
        <x:v>NOT_REVEALING</x:v>
      </x:c>
      <x:c r="Q4801" s="34" t="str">
        <x:v>Feedback-Directed Random Test Generation/Result_Round2/Jsoup_22/result.json</x:v>
      </x:c>
    </x:row>
    <x:row r="4802">
      <x:c r="A4802" s="34" t="str">
        <x:v>randoop</x:v>
      </x:c>
      <x:c r="B4802" s="34" t="str">
        <x:v>Jsoup</x:v>
      </x:c>
      <x:c r="C4802" s="34" t="str">
        <x:v>Round2</x:v>
      </x:c>
      <x:c r="D4802" s="34" t="str">
        <x:v>Jsoup_23</x:v>
      </x:c>
      <x:c r="E4802" s="34" t="str">
        <x:v>Condition</x:v>
      </x:c>
      <x:c r="F4802" s="34" t="n">
        <x:v>152</x:v>
      </x:c>
      <x:c r="G4802" s="34" t="str">
        <x:v>RECORDED</x:v>
      </x:c>
      <x:c r="H4802" s="38" t="n">
        <x:f>IF(ISNUMBER('Data'!I1386),'Data'!I1386*100,"")</x:f>
        <x:v>50.66</x:v>
      </x:c>
      <x:c r="I4802" s="34" t="str">
        <x:v>PASS</x:v>
      </x:c>
      <x:c r="J4802" s="34" t="str">
        <x:v>PASS</x:v>
      </x:c>
      <x:c r="K4802" s="34" t="str">
        <x:v>PASS</x:v>
      </x:c>
      <x:c r="L4802" s="34" t="str">
        <x:v>PASS</x:v>
      </x:c>
      <x:c r="M4802" s="34" t="str">
        <x:v>numeric coverage for applicable metric</x:v>
      </x:c>
      <x:c r="N4802" s="34" t="str">
        <x:v>Feedback-Directed Random Test Generation/Result_Round2/Jsoup_23/result.json</x:v>
      </x:c>
      <x:c r="O4802" s="38" t="n">
        <x:f>IF(AND(G4802="RECORDED",ISNUMBER(H4802)),H4802,"")</x:f>
        <x:v>50.66</x:v>
      </x:c>
      <x:c r="P4802" s="34" t="str">
        <x:v>NOT_REVEALING</x:v>
      </x:c>
      <x:c r="Q4802" s="34" t="str">
        <x:v>Feedback-Directed Random Test Generation/Result_Round2/Jsoup_23/result.json</x:v>
      </x:c>
    </x:row>
    <x:row r="4803">
      <x:c r="A4803" s="34" t="str">
        <x:v>randoop</x:v>
      </x:c>
      <x:c r="B4803" s="34" t="str">
        <x:v>Jsoup</x:v>
      </x:c>
      <x:c r="C4803" s="34" t="str">
        <x:v>Round2</x:v>
      </x:c>
      <x:c r="D4803" s="34" t="str">
        <x:v>Jsoup_24</x:v>
      </x:c>
      <x:c r="E4803" s="34" t="str">
        <x:v>Condition</x:v>
      </x:c>
      <x:c r="F4803" s="34" t="n">
        <x:v>354</x:v>
      </x:c>
      <x:c r="G4803" s="34" t="str">
        <x:v>RECORDED</x:v>
      </x:c>
      <x:c r="H4803" s="38" t="n">
        <x:f>IF(ISNUMBER('Data'!I1387),'Data'!I1387*100,"")</x:f>
        <x:v>0</x:v>
      </x:c>
      <x:c r="I4803" s="34" t="str">
        <x:v>PASS</x:v>
      </x:c>
      <x:c r="J4803" s="34" t="str">
        <x:v>PASS</x:v>
      </x:c>
      <x:c r="K4803" s="34" t="str">
        <x:v>PASS</x:v>
      </x:c>
      <x:c r="L4803" s="34" t="str">
        <x:v>PASS</x:v>
      </x:c>
      <x:c r="M4803" s="34" t="str">
        <x:v>numeric coverage for applicable metric</x:v>
      </x:c>
      <x:c r="N4803" s="34" t="str">
        <x:v>Feedback-Directed Random Test Generation/Result_Round2/Jsoup_24/result.json</x:v>
      </x:c>
      <x:c r="O4803" s="38" t="n">
        <x:f>IF(AND(G4803="RECORDED",ISNUMBER(H4803)),H4803,"")</x:f>
        <x:v>0</x:v>
      </x:c>
      <x:c r="P4803" s="34" t="str">
        <x:v>NOT_REVEALING</x:v>
      </x:c>
      <x:c r="Q4803" s="34" t="str">
        <x:v>Feedback-Directed Random Test Generation/Result_Round2/Jsoup_24/result.json</x:v>
      </x:c>
    </x:row>
    <x:row r="4804">
      <x:c r="A4804" s="34" t="str">
        <x:v>randoop</x:v>
      </x:c>
      <x:c r="B4804" s="34" t="str">
        <x:v>Jsoup</x:v>
      </x:c>
      <x:c r="C4804" s="34" t="str">
        <x:v>Round2</x:v>
      </x:c>
      <x:c r="D4804" s="34" t="str">
        <x:v>Jsoup_25</x:v>
      </x:c>
      <x:c r="E4804" s="34" t="str">
        <x:v>Condition</x:v>
      </x:c>
      <x:c r="F4804" s="34" t="n">
        <x:v>46</x:v>
      </x:c>
      <x:c r="G4804" s="34" t="str">
        <x:v>RECORDED</x:v>
      </x:c>
      <x:c r="H4804" s="38" t="n">
        <x:f>IF(ISNUMBER('Data'!I1388),'Data'!I1388*100,"")</x:f>
        <x:v>39.13</x:v>
      </x:c>
      <x:c r="I4804" s="34" t="str">
        <x:v>PASS</x:v>
      </x:c>
      <x:c r="J4804" s="34" t="str">
        <x:v>PASS</x:v>
      </x:c>
      <x:c r="K4804" s="34" t="str">
        <x:v>PASS</x:v>
      </x:c>
      <x:c r="L4804" s="34" t="str">
        <x:v>PASS</x:v>
      </x:c>
      <x:c r="M4804" s="34" t="str">
        <x:v>numeric coverage for applicable metric</x:v>
      </x:c>
      <x:c r="N4804" s="34" t="str">
        <x:v>Feedback-Directed Random Test Generation/Result_Round2/Jsoup_25/result.json</x:v>
      </x:c>
      <x:c r="O4804" s="38" t="n">
        <x:f>IF(AND(G4804="RECORDED",ISNUMBER(H4804)),H4804,"")</x:f>
        <x:v>39.13</x:v>
      </x:c>
      <x:c r="P4804" s="34" t="str">
        <x:v>NOT_REVEALING</x:v>
      </x:c>
      <x:c r="Q4804" s="34" t="str">
        <x:v>Feedback-Directed Random Test Generation/Result_Round2/Jsoup_25/result.json</x:v>
      </x:c>
    </x:row>
    <x:row r="4805">
      <x:c r="A4805" s="34" t="str">
        <x:v>randoop</x:v>
      </x:c>
      <x:c r="B4805" s="34" t="str">
        <x:v>Jsoup</x:v>
      </x:c>
      <x:c r="C4805" s="34" t="str">
        <x:v>Round2</x:v>
      </x:c>
      <x:c r="D4805" s="34" t="str">
        <x:v>Jsoup_26</x:v>
      </x:c>
      <x:c r="E4805" s="34" t="str">
        <x:v>Condition</x:v>
      </x:c>
      <x:c r="F4805" s="34" t="n">
        <x:v>14</x:v>
      </x:c>
      <x:c r="G4805" s="34" t="str">
        <x:v>RECORDED</x:v>
      </x:c>
      <x:c r="H4805" s="38" t="n">
        <x:f>IF(ISNUMBER('Data'!I1389),'Data'!I1389*100,"")</x:f>
        <x:v>0</x:v>
      </x:c>
      <x:c r="I4805" s="34" t="str">
        <x:v>PASS</x:v>
      </x:c>
      <x:c r="J4805" s="34" t="str">
        <x:v>PASS</x:v>
      </x:c>
      <x:c r="K4805" s="34" t="str">
        <x:v>PASS</x:v>
      </x:c>
      <x:c r="L4805" s="34" t="str">
        <x:v>PASS</x:v>
      </x:c>
      <x:c r="M4805" s="34" t="str">
        <x:v>numeric coverage for applicable metric</x:v>
      </x:c>
      <x:c r="N4805" s="34" t="str">
        <x:v>Feedback-Directed Random Test Generation/Result_Round2/Jsoup_26/result.json</x:v>
      </x:c>
      <x:c r="O4805" s="38" t="n">
        <x:f>IF(AND(G4805="RECORDED",ISNUMBER(H4805)),H4805,"")</x:f>
        <x:v>0</x:v>
      </x:c>
      <x:c r="P4805" s="34" t="str">
        <x:v>NOT_REVEALING</x:v>
      </x:c>
      <x:c r="Q4805" s="34" t="str">
        <x:v>Feedback-Directed Random Test Generation/Result_Round2/Jsoup_26/result.json</x:v>
      </x:c>
    </x:row>
    <x:row r="4806">
      <x:c r="A4806" s="34" t="str">
        <x:v>randoop</x:v>
      </x:c>
      <x:c r="B4806" s="34" t="str">
        <x:v>Jsoup</x:v>
      </x:c>
      <x:c r="C4806" s="34" t="str">
        <x:v>Round2</x:v>
      </x:c>
      <x:c r="D4806" s="34" t="str">
        <x:v>Jsoup_27</x:v>
      </x:c>
      <x:c r="E4806" s="34" t="str">
        <x:v>Condition</x:v>
      </x:c>
      <x:c r="F4806" s="34" t="n">
        <x:v>24</x:v>
      </x:c>
      <x:c r="G4806" s="34" t="str">
        <x:v>RECORDED</x:v>
      </x:c>
      <x:c r="H4806" s="38" t="n">
        <x:f>IF(ISNUMBER('Data'!I1390),'Data'!I1390*100,"")</x:f>
        <x:v>12.5</x:v>
      </x:c>
      <x:c r="I4806" s="34" t="str">
        <x:v>PASS</x:v>
      </x:c>
      <x:c r="J4806" s="34" t="str">
        <x:v>PASS</x:v>
      </x:c>
      <x:c r="K4806" s="34" t="str">
        <x:v>PASS</x:v>
      </x:c>
      <x:c r="L4806" s="34" t="str">
        <x:v>PASS</x:v>
      </x:c>
      <x:c r="M4806" s="34" t="str">
        <x:v>numeric coverage for applicable metric</x:v>
      </x:c>
      <x:c r="N4806" s="34" t="str">
        <x:v>Feedback-Directed Random Test Generation/Result_Round2/Jsoup_27/result.json</x:v>
      </x:c>
      <x:c r="O4806" s="38" t="n">
        <x:f>IF(AND(G4806="RECORDED",ISNUMBER(H4806)),H4806,"")</x:f>
        <x:v>12.5</x:v>
      </x:c>
      <x:c r="P4806" s="34" t="str">
        <x:v>NOT_REVEALING</x:v>
      </x:c>
      <x:c r="Q4806" s="34" t="str">
        <x:v>Feedback-Directed Random Test Generation/Result_Round2/Jsoup_27/result.json</x:v>
      </x:c>
    </x:row>
    <x:row r="4807">
      <x:c r="A4807" s="34" t="str">
        <x:v>randoop</x:v>
      </x:c>
      <x:c r="B4807" s="34" t="str">
        <x:v>Jsoup</x:v>
      </x:c>
      <x:c r="C4807" s="34" t="str">
        <x:v>Round2</x:v>
      </x:c>
      <x:c r="D4807" s="34" t="str">
        <x:v>Jsoup_28</x:v>
      </x:c>
      <x:c r="E4807" s="34" t="str">
        <x:v>Condition</x:v>
      </x:c>
      <x:c r="F4807" s="34" t="n">
        <x:v>108</x:v>
      </x:c>
      <x:c r="G4807" s="34" t="str">
        <x:v>RECORDED</x:v>
      </x:c>
      <x:c r="H4807" s="38" t="n">
        <x:f>IF(ISNUMBER('Data'!I1391),'Data'!I1391*100,"")</x:f>
        <x:v>26.85</x:v>
      </x:c>
      <x:c r="I4807" s="34" t="str">
        <x:v>PASS</x:v>
      </x:c>
      <x:c r="J4807" s="34" t="str">
        <x:v>PASS</x:v>
      </x:c>
      <x:c r="K4807" s="34" t="str">
        <x:v>PASS</x:v>
      </x:c>
      <x:c r="L4807" s="34" t="str">
        <x:v>PASS</x:v>
      </x:c>
      <x:c r="M4807" s="34" t="str">
        <x:v>numeric coverage for applicable metric</x:v>
      </x:c>
      <x:c r="N4807" s="34" t="str">
        <x:v>Feedback-Directed Random Test Generation/Result_Round2/Jsoup_28/result.json</x:v>
      </x:c>
      <x:c r="O4807" s="38" t="n">
        <x:f>IF(AND(G4807="RECORDED",ISNUMBER(H4807)),H4807,"")</x:f>
        <x:v>26.85</x:v>
      </x:c>
      <x:c r="P4807" s="34" t="str">
        <x:v>NOT_REVEALING</x:v>
      </x:c>
      <x:c r="Q4807" s="34" t="str">
        <x:v>Feedback-Directed Random Test Generation/Result_Round2/Jsoup_28/result.json</x:v>
      </x:c>
    </x:row>
    <x:row r="4808">
      <x:c r="A4808" s="34" t="str">
        <x:v>randoop</x:v>
      </x:c>
      <x:c r="B4808" s="34" t="str">
        <x:v>Jsoup</x:v>
      </x:c>
      <x:c r="C4808" s="34" t="str">
        <x:v>Round2</x:v>
      </x:c>
      <x:c r="D4808" s="34" t="str">
        <x:v>Jsoup_29</x:v>
      </x:c>
      <x:c r="E4808" s="34" t="str">
        <x:v>Condition</x:v>
      </x:c>
      <x:c r="F4808" s="34" t="n">
        <x:v>36</x:v>
      </x:c>
      <x:c r="G4808" s="34" t="str">
        <x:v>RECORDED</x:v>
      </x:c>
      <x:c r="H4808" s="38" t="n">
        <x:f>IF(ISNUMBER('Data'!I1392),'Data'!I1392*100,"")</x:f>
        <x:v>72.22</x:v>
      </x:c>
      <x:c r="I4808" s="34" t="str">
        <x:v>PASS</x:v>
      </x:c>
      <x:c r="J4808" s="34" t="str">
        <x:v>PASS</x:v>
      </x:c>
      <x:c r="K4808" s="34" t="str">
        <x:v>PASS</x:v>
      </x:c>
      <x:c r="L4808" s="34" t="str">
        <x:v>FAIL</x:v>
      </x:c>
      <x:c r="M4808" s="34" t="str">
        <x:v>numeric coverage for applicable metric</x:v>
      </x:c>
      <x:c r="N4808" s="34" t="str">
        <x:v>Feedback-Directed Random Test Generation/Result_Round2/Jsoup_29/result.json</x:v>
      </x:c>
      <x:c r="O4808" s="38" t="n">
        <x:f>IF(AND(G4808="RECORDED",ISNUMBER(H4808)),H4808,"")</x:f>
        <x:v>72.22</x:v>
      </x:c>
      <x:c r="P4808" s="34" t="str">
        <x:v>INCONCLUSIVE</x:v>
      </x:c>
      <x:c r="Q4808" s="34" t="str">
        <x:v>Feedback-Directed Random Test Generation/Result_Round2/Jsoup_29/result.json</x:v>
      </x:c>
    </x:row>
    <x:row r="4809">
      <x:c r="A4809" s="34" t="str">
        <x:v>randoop</x:v>
      </x:c>
      <x:c r="B4809" s="34" t="str">
        <x:v>Jsoup</x:v>
      </x:c>
      <x:c r="C4809" s="34" t="str">
        <x:v>Round2</x:v>
      </x:c>
      <x:c r="D4809" s="34" t="str">
        <x:v>Jsoup_30</x:v>
      </x:c>
      <x:c r="E4809" s="34" t="str">
        <x:v>Condition</x:v>
      </x:c>
      <x:c r="F4809" s="34" t="n">
        <x:v>16</x:v>
      </x:c>
      <x:c r="G4809" s="34" t="str">
        <x:v>RECORDED</x:v>
      </x:c>
      <x:c r="H4809" s="38" t="n">
        <x:f>IF(ISNUMBER('Data'!I1393),'Data'!I1393*100,"")</x:f>
        <x:v>0</x:v>
      </x:c>
      <x:c r="I4809" s="34" t="str">
        <x:v>PASS</x:v>
      </x:c>
      <x:c r="J4809" s="34" t="str">
        <x:v>PASS</x:v>
      </x:c>
      <x:c r="K4809" s="34" t="str">
        <x:v>PASS</x:v>
      </x:c>
      <x:c r="L4809" s="34" t="str">
        <x:v>PASS</x:v>
      </x:c>
      <x:c r="M4809" s="34" t="str">
        <x:v>numeric coverage for applicable metric</x:v>
      </x:c>
      <x:c r="N4809" s="34" t="str">
        <x:v>Feedback-Directed Random Test Generation/Result_Round2/Jsoup_30/result.json</x:v>
      </x:c>
      <x:c r="O4809" s="38" t="n">
        <x:f>IF(AND(G4809="RECORDED",ISNUMBER(H4809)),H4809,"")</x:f>
        <x:v>0</x:v>
      </x:c>
      <x:c r="P4809" s="34" t="str">
        <x:v>NOT_REVEALING</x:v>
      </x:c>
      <x:c r="Q4809" s="34" t="str">
        <x:v>Feedback-Directed Random Test Generation/Result_Round2/Jsoup_30/result.json</x:v>
      </x:c>
    </x:row>
    <x:row r="4810">
      <x:c r="A4810" s="34" t="str">
        <x:v>randoop</x:v>
      </x:c>
      <x:c r="B4810" s="34" t="str">
        <x:v>Jsoup</x:v>
      </x:c>
      <x:c r="C4810" s="34" t="str">
        <x:v>Round2</x:v>
      </x:c>
      <x:c r="D4810" s="34" t="str">
        <x:v>Jsoup_31</x:v>
      </x:c>
      <x:c r="E4810" s="34" t="str">
        <x:v>Condition</x:v>
      </x:c>
      <x:c r="F4810" s="34" t="n">
        <x:v>409</x:v>
      </x:c>
      <x:c r="G4810" s="34" t="str">
        <x:v>RECORDED</x:v>
      </x:c>
      <x:c r="H4810" s="38" t="n">
        <x:f>IF(ISNUMBER('Data'!I1394),'Data'!I1394*100,"")</x:f>
        <x:v>12.710000000000003</x:v>
      </x:c>
      <x:c r="I4810" s="34" t="str">
        <x:v>PASS</x:v>
      </x:c>
      <x:c r="J4810" s="34" t="str">
        <x:v>PASS</x:v>
      </x:c>
      <x:c r="K4810" s="34" t="str">
        <x:v>PASS</x:v>
      </x:c>
      <x:c r="L4810" s="34" t="str">
        <x:v>FAIL</x:v>
      </x:c>
      <x:c r="M4810" s="34" t="str">
        <x:v>numeric coverage for applicable metric</x:v>
      </x:c>
      <x:c r="N4810" s="34" t="str">
        <x:v>Feedback-Directed Random Test Generation/Result_Round2/Jsoup_31/result.json</x:v>
      </x:c>
      <x:c r="O4810" s="38" t="n">
        <x:f>IF(AND(G4810="RECORDED",ISNUMBER(H4810)),H4810,"")</x:f>
        <x:v>12.710000000000003</x:v>
      </x:c>
      <x:c r="P4810" s="34" t="str">
        <x:v>INCONCLUSIVE</x:v>
      </x:c>
      <x:c r="Q4810" s="34" t="str">
        <x:v>Feedback-Directed Random Test Generation/Result_Round2/Jsoup_31/result.json</x:v>
      </x:c>
    </x:row>
    <x:row r="4811">
      <x:c r="A4811" s="34" t="str">
        <x:v>randoop</x:v>
      </x:c>
      <x:c r="B4811" s="34" t="str">
        <x:v>Jsoup</x:v>
      </x:c>
      <x:c r="C4811" s="34" t="str">
        <x:v>Round2</x:v>
      </x:c>
      <x:c r="D4811" s="34" t="str">
        <x:v>Jsoup_32</x:v>
      </x:c>
      <x:c r="E4811" s="34" t="str">
        <x:v>Condition</x:v>
      </x:c>
      <x:c r="F4811" s="34" t="n">
        <x:v>140</x:v>
      </x:c>
      <x:c r="G4811" s="34" t="str">
        <x:v>RECORDED</x:v>
      </x:c>
      <x:c r="H4811" s="38" t="n">
        <x:f>IF(ISNUMBER('Data'!I1395),'Data'!I1395*100,"")</x:f>
        <x:v>0</x:v>
      </x:c>
      <x:c r="I4811" s="34" t="str">
        <x:v>PASS</x:v>
      </x:c>
      <x:c r="J4811" s="34" t="str">
        <x:v>PASS</x:v>
      </x:c>
      <x:c r="K4811" s="34" t="str">
        <x:v>PASS</x:v>
      </x:c>
      <x:c r="L4811" s="34" t="str">
        <x:v>PASS</x:v>
      </x:c>
      <x:c r="M4811" s="34" t="str">
        <x:v>numeric coverage for applicable metric</x:v>
      </x:c>
      <x:c r="N4811" s="34" t="str">
        <x:v>Feedback-Directed Random Test Generation/Result_Round2/Jsoup_32/result.json</x:v>
      </x:c>
      <x:c r="O4811" s="38" t="n">
        <x:f>IF(AND(G4811="RECORDED",ISNUMBER(H4811)),H4811,"")</x:f>
        <x:v>0</x:v>
      </x:c>
      <x:c r="P4811" s="34" t="str">
        <x:v>NOT_REVEALING</x:v>
      </x:c>
      <x:c r="Q4811" s="34" t="str">
        <x:v>Feedback-Directed Random Test Generation/Result_Round2/Jsoup_32/result.json</x:v>
      </x:c>
    </x:row>
    <x:row r="4812">
      <x:c r="A4812" s="34" t="str">
        <x:v>randoop</x:v>
      </x:c>
      <x:c r="B4812" s="34" t="str">
        <x:v>Jsoup</x:v>
      </x:c>
      <x:c r="C4812" s="34" t="str">
        <x:v>Round2</x:v>
      </x:c>
      <x:c r="D4812" s="34" t="str">
        <x:v>Jsoup_33</x:v>
      </x:c>
      <x:c r="E4812" s="34" t="str">
        <x:v>Condition</x:v>
      </x:c>
      <x:c r="F4812" s="34" t="n">
        <x:v>202</x:v>
      </x:c>
      <x:c r="G4812" s="34" t="str">
        <x:v>RECORDED</x:v>
      </x:c>
      <x:c r="H4812" s="38" t="n">
        <x:f>IF(ISNUMBER('Data'!I1396),'Data'!I1396*100,"")</x:f>
        <x:v>62.86999999999999</x:v>
      </x:c>
      <x:c r="I4812" s="34" t="str">
        <x:v>PASS</x:v>
      </x:c>
      <x:c r="J4812" s="34" t="str">
        <x:v>PASS</x:v>
      </x:c>
      <x:c r="K4812" s="34" t="str">
        <x:v>PASS</x:v>
      </x:c>
      <x:c r="L4812" s="34" t="str">
        <x:v>FAIL</x:v>
      </x:c>
      <x:c r="M4812" s="34" t="str">
        <x:v>numeric coverage for applicable metric</x:v>
      </x:c>
      <x:c r="N4812" s="34" t="str">
        <x:v>Feedback-Directed Random Test Generation/Result_Round2/Jsoup_33/result.json</x:v>
      </x:c>
      <x:c r="O4812" s="38" t="n">
        <x:f>IF(AND(G4812="RECORDED",ISNUMBER(H4812)),H4812,"")</x:f>
        <x:v>62.86999999999999</x:v>
      </x:c>
      <x:c r="P4812" s="34" t="str">
        <x:v>INCONCLUSIVE</x:v>
      </x:c>
      <x:c r="Q4812" s="34" t="str">
        <x:v>Feedback-Directed Random Test Generation/Result_Round2/Jsoup_33/result.json</x:v>
      </x:c>
    </x:row>
    <x:row r="4813">
      <x:c r="A4813" s="34" t="str">
        <x:v>randoop</x:v>
      </x:c>
      <x:c r="B4813" s="34" t="str">
        <x:v>Jsoup</x:v>
      </x:c>
      <x:c r="C4813" s="34" t="str">
        <x:v>Round2</x:v>
      </x:c>
      <x:c r="D4813" s="34" t="str">
        <x:v>Jsoup_34</x:v>
      </x:c>
      <x:c r="E4813" s="34" t="str">
        <x:v>Condition</x:v>
      </x:c>
      <x:c r="F4813" s="34" t="n">
        <x:v>130</x:v>
      </x:c>
      <x:c r="G4813" s="34" t="str">
        <x:v>RECORDED</x:v>
      </x:c>
      <x:c r="H4813" s="38" t="n">
        <x:f>IF(ISNUMBER('Data'!I1397),'Data'!I1397*100,"")</x:f>
        <x:v>85.38</x:v>
      </x:c>
      <x:c r="I4813" s="34" t="str">
        <x:v>PASS</x:v>
      </x:c>
      <x:c r="J4813" s="34" t="str">
        <x:v>PASS</x:v>
      </x:c>
      <x:c r="K4813" s="34" t="str">
        <x:v>PASS</x:v>
      </x:c>
      <x:c r="L4813" s="34" t="str">
        <x:v>PASS</x:v>
      </x:c>
      <x:c r="M4813" s="34" t="str">
        <x:v>numeric coverage for applicable metric</x:v>
      </x:c>
      <x:c r="N4813" s="34" t="str">
        <x:v>Feedback-Directed Random Test Generation/Result_Round2/Jsoup_34/result.json</x:v>
      </x:c>
      <x:c r="O4813" s="38" t="n">
        <x:f>IF(AND(G4813="RECORDED",ISNUMBER(H4813)),H4813,"")</x:f>
        <x:v>85.38</x:v>
      </x:c>
      <x:c r="P4813" s="34" t="str">
        <x:v>NOT_REVEALING</x:v>
      </x:c>
      <x:c r="Q4813" s="34" t="str">
        <x:v>Feedback-Directed Random Test Generation/Result_Round2/Jsoup_34/result.json</x:v>
      </x:c>
    </x:row>
    <x:row r="4814">
      <x:c r="A4814" s="34" t="str">
        <x:v>randoop</x:v>
      </x:c>
      <x:c r="B4814" s="34" t="str">
        <x:v>Jsoup</x:v>
      </x:c>
      <x:c r="C4814" s="34" t="str">
        <x:v>Round2</x:v>
      </x:c>
      <x:c r="D4814" s="34" t="str">
        <x:v>Jsoup_35</x:v>
      </x:c>
      <x:c r="E4814" s="34" t="str">
        <x:v>Condition</x:v>
      </x:c>
      <x:c r="F4814" s="34" t="n">
        <x:v>749</x:v>
      </x:c>
      <x:c r="G4814" s="34" t="str">
        <x:v>RECORDED</x:v>
      </x:c>
      <x:c r="H4814" s="38" t="n">
        <x:f>IF(ISNUMBER('Data'!I1398),'Data'!I1398*100,"")</x:f>
        <x:v>0</x:v>
      </x:c>
      <x:c r="I4814" s="34" t="str">
        <x:v>PASS</x:v>
      </x:c>
      <x:c r="J4814" s="34" t="str">
        <x:v>PASS</x:v>
      </x:c>
      <x:c r="K4814" s="34" t="str">
        <x:v>PASS</x:v>
      </x:c>
      <x:c r="L4814" s="34" t="str">
        <x:v>PASS</x:v>
      </x:c>
      <x:c r="M4814" s="34" t="str">
        <x:v>numeric coverage for applicable metric</x:v>
      </x:c>
      <x:c r="N4814" s="34" t="str">
        <x:v>Feedback-Directed Random Test Generation/Result_Round2/Jsoup_35/result.json</x:v>
      </x:c>
      <x:c r="O4814" s="38" t="n">
        <x:f>IF(AND(G4814="RECORDED",ISNUMBER(H4814)),H4814,"")</x:f>
        <x:v>0</x:v>
      </x:c>
      <x:c r="P4814" s="34" t="str">
        <x:v>NOT_REVEALING</x:v>
      </x:c>
      <x:c r="Q4814" s="34" t="str">
        <x:v>Feedback-Directed Random Test Generation/Result_Round2/Jsoup_35/result.json</x:v>
      </x:c>
    </x:row>
    <x:row r="4815">
      <x:c r="A4815" s="34" t="str">
        <x:v>randoop</x:v>
      </x:c>
      <x:c r="B4815" s="34" t="str">
        <x:v>Jsoup</x:v>
      </x:c>
      <x:c r="C4815" s="34" t="str">
        <x:v>Round2</x:v>
      </x:c>
      <x:c r="D4815" s="34" t="str">
        <x:v>Jsoup_36</x:v>
      </x:c>
      <x:c r="E4815" s="34" t="str">
        <x:v>Condition</x:v>
      </x:c>
      <x:c r="F4815" s="34" t="n">
        <x:v>38</x:v>
      </x:c>
      <x:c r="G4815" s="34" t="str">
        <x:v>RECORDED</x:v>
      </x:c>
      <x:c r="H4815" s="38" t="n">
        <x:f>IF(ISNUMBER('Data'!I1399),'Data'!I1399*100,"")</x:f>
        <x:v>18.42</x:v>
      </x:c>
      <x:c r="I4815" s="34" t="str">
        <x:v>PASS</x:v>
      </x:c>
      <x:c r="J4815" s="34" t="str">
        <x:v>PASS</x:v>
      </x:c>
      <x:c r="K4815" s="34" t="str">
        <x:v>PASS</x:v>
      </x:c>
      <x:c r="L4815" s="34" t="str">
        <x:v>PASS</x:v>
      </x:c>
      <x:c r="M4815" s="34" t="str">
        <x:v>numeric coverage for applicable metric</x:v>
      </x:c>
      <x:c r="N4815" s="34" t="str">
        <x:v>Feedback-Directed Random Test Generation/Result_Round2/Jsoup_36/result.json</x:v>
      </x:c>
      <x:c r="O4815" s="38" t="n">
        <x:f>IF(AND(G4815="RECORDED",ISNUMBER(H4815)),H4815,"")</x:f>
        <x:v>18.42</x:v>
      </x:c>
      <x:c r="P4815" s="34" t="str">
        <x:v>NOT_REVEALING</x:v>
      </x:c>
      <x:c r="Q4815" s="34" t="str">
        <x:v>Feedback-Directed Random Test Generation/Result_Round2/Jsoup_36/result.json</x:v>
      </x:c>
    </x:row>
    <x:row r="4816">
      <x:c r="A4816" s="34" t="str">
        <x:v>randoop</x:v>
      </x:c>
      <x:c r="B4816" s="34" t="str">
        <x:v>Jsoup</x:v>
      </x:c>
      <x:c r="C4816" s="34" t="str">
        <x:v>Round2</x:v>
      </x:c>
      <x:c r="D4816" s="34" t="str">
        <x:v>Jsoup_37</x:v>
      </x:c>
      <x:c r="E4816" s="34" t="str">
        <x:v>Condition</x:v>
      </x:c>
      <x:c r="F4816" s="34" t="n">
        <x:v>152</x:v>
      </x:c>
      <x:c r="G4816" s="34" t="str">
        <x:v>RECORDED</x:v>
      </x:c>
      <x:c r="H4816" s="38" t="n">
        <x:f>IF(ISNUMBER('Data'!I1400),'Data'!I1400*100,"")</x:f>
        <x:v>0.66</x:v>
      </x:c>
      <x:c r="I4816" s="34" t="str">
        <x:v>PASS</x:v>
      </x:c>
      <x:c r="J4816" s="34" t="str">
        <x:v>PASS</x:v>
      </x:c>
      <x:c r="K4816" s="34" t="str">
        <x:v>PASS</x:v>
      </x:c>
      <x:c r="L4816" s="34" t="str">
        <x:v>PASS</x:v>
      </x:c>
      <x:c r="M4816" s="34" t="str">
        <x:v>numeric coverage for applicable metric</x:v>
      </x:c>
      <x:c r="N4816" s="34" t="str">
        <x:v>Feedback-Directed Random Test Generation/Result_Round2/Jsoup_37/result.json</x:v>
      </x:c>
      <x:c r="O4816" s="38" t="n">
        <x:f>IF(AND(G4816="RECORDED",ISNUMBER(H4816)),H4816,"")</x:f>
        <x:v>0.66</x:v>
      </x:c>
      <x:c r="P4816" s="34" t="str">
        <x:v>NOT_REVEALING</x:v>
      </x:c>
      <x:c r="Q4816" s="34" t="str">
        <x:v>Feedback-Directed Random Test Generation/Result_Round2/Jsoup_37/result.json</x:v>
      </x:c>
    </x:row>
    <x:row r="4817">
      <x:c r="A4817" s="34" t="str">
        <x:v>randoop</x:v>
      </x:c>
      <x:c r="B4817" s="34" t="str">
        <x:v>Jsoup</x:v>
      </x:c>
      <x:c r="C4817" s="34" t="str">
        <x:v>Round2</x:v>
      </x:c>
      <x:c r="D4817" s="34" t="str">
        <x:v>Jsoup_38</x:v>
      </x:c>
      <x:c r="E4817" s="34" t="str">
        <x:v>Condition</x:v>
      </x:c>
      <x:c r="F4817" s="34" t="n">
        <x:v>749</x:v>
      </x:c>
      <x:c r="G4817" s="34" t="str">
        <x:v>RECORDED</x:v>
      </x:c>
      <x:c r="H4817" s="38" t="n">
        <x:f>IF(ISNUMBER('Data'!I1401),'Data'!I1401*100,"")</x:f>
        <x:v>0</x:v>
      </x:c>
      <x:c r="I4817" s="34" t="str">
        <x:v>PASS</x:v>
      </x:c>
      <x:c r="J4817" s="34" t="str">
        <x:v>PASS</x:v>
      </x:c>
      <x:c r="K4817" s="34" t="str">
        <x:v>PASS</x:v>
      </x:c>
      <x:c r="L4817" s="34" t="str">
        <x:v>PASS</x:v>
      </x:c>
      <x:c r="M4817" s="34" t="str">
        <x:v>numeric coverage for applicable metric</x:v>
      </x:c>
      <x:c r="N4817" s="34" t="str">
        <x:v>Feedback-Directed Random Test Generation/Result_Round2/Jsoup_38/result.json</x:v>
      </x:c>
      <x:c r="O4817" s="38" t="n">
        <x:f>IF(AND(G4817="RECORDED",ISNUMBER(H4817)),H4817,"")</x:f>
        <x:v>0</x:v>
      </x:c>
      <x:c r="P4817" s="34" t="str">
        <x:v>NOT_REVEALING</x:v>
      </x:c>
      <x:c r="Q4817" s="34" t="str">
        <x:v>Feedback-Directed Random Test Generation/Result_Round2/Jsoup_38/result.json</x:v>
      </x:c>
    </x:row>
    <x:row r="4818">
      <x:c r="A4818" s="34" t="str">
        <x:v>randoop</x:v>
      </x:c>
      <x:c r="B4818" s="34" t="str">
        <x:v>Jsoup</x:v>
      </x:c>
      <x:c r="C4818" s="34" t="str">
        <x:v>Round2</x:v>
      </x:c>
      <x:c r="D4818" s="34" t="str">
        <x:v>Jsoup_39</x:v>
      </x:c>
      <x:c r="E4818" s="34" t="str">
        <x:v>Condition</x:v>
      </x:c>
      <x:c r="F4818" s="34" t="n">
        <x:v>46</x:v>
      </x:c>
      <x:c r="G4818" s="34" t="str">
        <x:v>RECORDED</x:v>
      </x:c>
      <x:c r="H4818" s="38" t="n">
        <x:f>IF(ISNUMBER('Data'!I1402),'Data'!I1402*100,"")</x:f>
        <x:v>15.22</x:v>
      </x:c>
      <x:c r="I4818" s="34" t="str">
        <x:v>PASS</x:v>
      </x:c>
      <x:c r="J4818" s="34" t="str">
        <x:v>PASS</x:v>
      </x:c>
      <x:c r="K4818" s="34" t="str">
        <x:v>PASS</x:v>
      </x:c>
      <x:c r="L4818" s="34" t="str">
        <x:v>PASS</x:v>
      </x:c>
      <x:c r="M4818" s="34" t="str">
        <x:v>numeric coverage for applicable metric</x:v>
      </x:c>
      <x:c r="N4818" s="34" t="str">
        <x:v>Feedback-Directed Random Test Generation/Result_Round2/Jsoup_39/result.json</x:v>
      </x:c>
      <x:c r="O4818" s="38" t="n">
        <x:f>IF(AND(G4818="RECORDED",ISNUMBER(H4818)),H4818,"")</x:f>
        <x:v>15.22</x:v>
      </x:c>
      <x:c r="P4818" s="34" t="str">
        <x:v>NOT_REVEALING</x:v>
      </x:c>
      <x:c r="Q4818" s="34" t="str">
        <x:v>Feedback-Directed Random Test Generation/Result_Round2/Jsoup_39/result.json</x:v>
      </x:c>
    </x:row>
    <x:row r="4819">
      <x:c r="A4819" s="34" t="str">
        <x:v>randoop</x:v>
      </x:c>
      <x:c r="B4819" s="34" t="str">
        <x:v>Jsoup</x:v>
      </x:c>
      <x:c r="C4819" s="34" t="str">
        <x:v>Round2</x:v>
      </x:c>
      <x:c r="D4819" s="34" t="str">
        <x:v>Jsoup_40</x:v>
      </x:c>
      <x:c r="E4819" s="34" t="str">
        <x:v>Condition</x:v>
      </x:c>
      <x:c r="F4819" s="34" t="n">
        <x:v>6</x:v>
      </x:c>
      <x:c r="G4819" s="34" t="str">
        <x:v>RECORDED</x:v>
      </x:c>
      <x:c r="H4819" s="38" t="n">
        <x:f>IF(ISNUMBER('Data'!I1403),'Data'!I1403*100,"")</x:f>
        <x:v>83.33</x:v>
      </x:c>
      <x:c r="I4819" s="34" t="str">
        <x:v>PASS</x:v>
      </x:c>
      <x:c r="J4819" s="34" t="str">
        <x:v>PASS</x:v>
      </x:c>
      <x:c r="K4819" s="34" t="str">
        <x:v>PASS</x:v>
      </x:c>
      <x:c r="L4819" s="34" t="str">
        <x:v>FAIL</x:v>
      </x:c>
      <x:c r="M4819" s="34" t="str">
        <x:v>numeric coverage for applicable metric</x:v>
      </x:c>
      <x:c r="N4819" s="34" t="str">
        <x:v>Feedback-Directed Random Test Generation/Result_Round2/Jsoup_40/result.json</x:v>
      </x:c>
      <x:c r="O4819" s="38" t="n">
        <x:f>IF(AND(G4819="RECORDED",ISNUMBER(H4819)),H4819,"")</x:f>
        <x:v>83.33</x:v>
      </x:c>
      <x:c r="P4819" s="34" t="str">
        <x:v>INCONCLUSIVE</x:v>
      </x:c>
      <x:c r="Q4819" s="34" t="str">
        <x:v>Feedback-Directed Random Test Generation/Result_Round2/Jsoup_40/result.json</x:v>
      </x:c>
    </x:row>
    <x:row r="4820">
      <x:c r="A4820" s="34" t="str">
        <x:v>randoop</x:v>
      </x:c>
      <x:c r="B4820" s="34" t="str">
        <x:v>Jsoup</x:v>
      </x:c>
      <x:c r="C4820" s="34" t="str">
        <x:v>Round2</x:v>
      </x:c>
      <x:c r="D4820" s="34" t="str">
        <x:v>Jsoup_41</x:v>
      </x:c>
      <x:c r="E4820" s="34" t="str">
        <x:v>Condition</x:v>
      </x:c>
      <x:c r="F4820" s="34" t="n">
        <x:v>174</x:v>
      </x:c>
      <x:c r="G4820" s="34" t="str">
        <x:v>RECORDED</x:v>
      </x:c>
      <x:c r="H4820" s="38" t="n">
        <x:f>IF(ISNUMBER('Data'!I1404),'Data'!I1404*100,"")</x:f>
        <x:v>0.57</x:v>
      </x:c>
      <x:c r="I4820" s="34" t="str">
        <x:v>PASS</x:v>
      </x:c>
      <x:c r="J4820" s="34" t="str">
        <x:v>PASS</x:v>
      </x:c>
      <x:c r="K4820" s="34" t="str">
        <x:v>PASS</x:v>
      </x:c>
      <x:c r="L4820" s="34" t="str">
        <x:v>PASS</x:v>
      </x:c>
      <x:c r="M4820" s="34" t="str">
        <x:v>numeric coverage for applicable metric</x:v>
      </x:c>
      <x:c r="N4820" s="34" t="str">
        <x:v>Feedback-Directed Random Test Generation/Result_Round2/Jsoup_41/result.json</x:v>
      </x:c>
      <x:c r="O4820" s="38" t="n">
        <x:f>IF(AND(G4820="RECORDED",ISNUMBER(H4820)),H4820,"")</x:f>
        <x:v>0.57</x:v>
      </x:c>
      <x:c r="P4820" s="34" t="str">
        <x:v>NOT_REVEALING</x:v>
      </x:c>
      <x:c r="Q4820" s="34" t="str">
        <x:v>Feedback-Directed Random Test Generation/Result_Round2/Jsoup_41/result.json</x:v>
      </x:c>
    </x:row>
    <x:row r="4821">
      <x:c r="A4821" s="34" t="str">
        <x:v>randoop</x:v>
      </x:c>
      <x:c r="B4821" s="34" t="str">
        <x:v>Jsoup</x:v>
      </x:c>
      <x:c r="C4821" s="34" t="str">
        <x:v>Round2</x:v>
      </x:c>
      <x:c r="D4821" s="34" t="str">
        <x:v>Jsoup_42</x:v>
      </x:c>
      <x:c r="E4821" s="34" t="str">
        <x:v>Condition</x:v>
      </x:c>
      <x:c r="F4821" s="34" t="n">
        <x:v>24</x:v>
      </x:c>
      <x:c r="G4821" s="34" t="str">
        <x:v>RECORDED</x:v>
      </x:c>
      <x:c r="H4821" s="38" t="n">
        <x:f>IF(ISNUMBER('Data'!I1405),'Data'!I1405*100,"")</x:f>
        <x:v>0</x:v>
      </x:c>
      <x:c r="I4821" s="34" t="str">
        <x:v>PASS</x:v>
      </x:c>
      <x:c r="J4821" s="34" t="str">
        <x:v>PASS</x:v>
      </x:c>
      <x:c r="K4821" s="34" t="str">
        <x:v>PASS</x:v>
      </x:c>
      <x:c r="L4821" s="34" t="str">
        <x:v>PASS</x:v>
      </x:c>
      <x:c r="M4821" s="34" t="str">
        <x:v>numeric coverage for applicable metric</x:v>
      </x:c>
      <x:c r="N4821" s="34" t="str">
        <x:v>Feedback-Directed Random Test Generation/Result_Round2/Jsoup_42/result.json</x:v>
      </x:c>
      <x:c r="O4821" s="38" t="n">
        <x:f>IF(AND(G4821="RECORDED",ISNUMBER(H4821)),H4821,"")</x:f>
        <x:v>0</x:v>
      </x:c>
      <x:c r="P4821" s="34" t="str">
        <x:v>NOT_REVEALING</x:v>
      </x:c>
      <x:c r="Q4821" s="34" t="str">
        <x:v>Feedback-Directed Random Test Generation/Result_Round2/Jsoup_42/result.json</x:v>
      </x:c>
    </x:row>
    <x:row r="4822">
      <x:c r="A4822" s="34" t="str">
        <x:v>randoop</x:v>
      </x:c>
      <x:c r="B4822" s="34" t="str">
        <x:v>Jsoup</x:v>
      </x:c>
      <x:c r="C4822" s="34" t="str">
        <x:v>Round2</x:v>
      </x:c>
      <x:c r="D4822" s="34" t="str">
        <x:v>Jsoup_43</x:v>
      </x:c>
      <x:c r="E4822" s="34" t="str">
        <x:v>Condition</x:v>
      </x:c>
      <x:c r="F4822" s="34" t="n">
        <x:v>174</x:v>
      </x:c>
      <x:c r="G4822" s="34" t="str">
        <x:v>RECORDED</x:v>
      </x:c>
      <x:c r="H4822" s="38" t="n">
        <x:f>IF(ISNUMBER('Data'!I1406),'Data'!I1406*100,"")</x:f>
        <x:v>0.57</x:v>
      </x:c>
      <x:c r="I4822" s="34" t="str">
        <x:v>PASS</x:v>
      </x:c>
      <x:c r="J4822" s="34" t="str">
        <x:v>PASS</x:v>
      </x:c>
      <x:c r="K4822" s="34" t="str">
        <x:v>PASS</x:v>
      </x:c>
      <x:c r="L4822" s="34" t="str">
        <x:v>PASS</x:v>
      </x:c>
      <x:c r="M4822" s="34" t="str">
        <x:v>numeric coverage for applicable metric</x:v>
      </x:c>
      <x:c r="N4822" s="34" t="str">
        <x:v>Feedback-Directed Random Test Generation/Result_Round2/Jsoup_43/result.json</x:v>
      </x:c>
      <x:c r="O4822" s="38" t="n">
        <x:f>IF(AND(G4822="RECORDED",ISNUMBER(H4822)),H4822,"")</x:f>
        <x:v>0.57</x:v>
      </x:c>
      <x:c r="P4822" s="34" t="str">
        <x:v>NOT_REVEALING</x:v>
      </x:c>
      <x:c r="Q4822" s="34" t="str">
        <x:v>Feedback-Directed Random Test Generation/Result_Round2/Jsoup_43/result.json</x:v>
      </x:c>
    </x:row>
    <x:row r="4823">
      <x:c r="A4823" s="34" t="str">
        <x:v>randoop</x:v>
      </x:c>
      <x:c r="B4823" s="34" t="str">
        <x:v>Jsoup</x:v>
      </x:c>
      <x:c r="C4823" s="34" t="str">
        <x:v>Round2</x:v>
      </x:c>
      <x:c r="D4823" s="34" t="str">
        <x:v>Jsoup_44</x:v>
      </x:c>
      <x:c r="E4823" s="34" t="str">
        <x:v>Condition</x:v>
      </x:c>
      <x:c r="F4823" s="34" t="n">
        <x:v>4</x:v>
      </x:c>
      <x:c r="G4823" s="34" t="str">
        <x:v>RECORDED</x:v>
      </x:c>
      <x:c r="H4823" s="38" t="n">
        <x:f>IF(ISNUMBER('Data'!I1407),'Data'!I1407*100,"")</x:f>
        <x:v>0</x:v>
      </x:c>
      <x:c r="I4823" s="34" t="str">
        <x:v>PASS</x:v>
      </x:c>
      <x:c r="J4823" s="34" t="str">
        <x:v>PASS</x:v>
      </x:c>
      <x:c r="K4823" s="34" t="str">
        <x:v>PASS</x:v>
      </x:c>
      <x:c r="L4823" s="34" t="str">
        <x:v>PASS</x:v>
      </x:c>
      <x:c r="M4823" s="34" t="str">
        <x:v>numeric coverage for applicable metric</x:v>
      </x:c>
      <x:c r="N4823" s="34" t="str">
        <x:v>Feedback-Directed Random Test Generation/Result_Round2/Jsoup_44/result.json</x:v>
      </x:c>
      <x:c r="O4823" s="38" t="n">
        <x:f>IF(AND(G4823="RECORDED",ISNUMBER(H4823)),H4823,"")</x:f>
        <x:v>0</x:v>
      </x:c>
      <x:c r="P4823" s="34" t="str">
        <x:v>NOT_REVEALING</x:v>
      </x:c>
      <x:c r="Q4823" s="34" t="str">
        <x:v>Feedback-Directed Random Test Generation/Result_Round2/Jsoup_44/result.json</x:v>
      </x:c>
    </x:row>
    <x:row r="4824">
      <x:c r="A4824" s="34" t="str">
        <x:v>randoop</x:v>
      </x:c>
      <x:c r="B4824" s="34" t="str">
        <x:v>Jsoup</x:v>
      </x:c>
      <x:c r="C4824" s="34" t="str">
        <x:v>Round2</x:v>
      </x:c>
      <x:c r="D4824" s="34" t="str">
        <x:v>Jsoup_45</x:v>
      </x:c>
      <x:c r="E4824" s="34" t="str">
        <x:v>Condition</x:v>
      </x:c>
      <x:c r="F4824" s="34" t="n">
        <x:v>202</x:v>
      </x:c>
      <x:c r="G4824" s="34" t="str">
        <x:v>RECORDED</x:v>
      </x:c>
      <x:c r="H4824" s="38" t="n">
        <x:f>IF(ISNUMBER('Data'!I1408),'Data'!I1408*100,"")</x:f>
        <x:v>68.32</x:v>
      </x:c>
      <x:c r="I4824" s="34" t="str">
        <x:v>PASS</x:v>
      </x:c>
      <x:c r="J4824" s="34" t="str">
        <x:v>PASS</x:v>
      </x:c>
      <x:c r="K4824" s="34" t="str">
        <x:v>PASS</x:v>
      </x:c>
      <x:c r="L4824" s="34" t="str">
        <x:v>FAIL</x:v>
      </x:c>
      <x:c r="M4824" s="34" t="str">
        <x:v>numeric coverage for applicable metric</x:v>
      </x:c>
      <x:c r="N4824" s="34" t="str">
        <x:v>Feedback-Directed Random Test Generation/Result_Round2/Jsoup_45/result.json</x:v>
      </x:c>
      <x:c r="O4824" s="38" t="n">
        <x:f>IF(AND(G4824="RECORDED",ISNUMBER(H4824)),H4824,"")</x:f>
        <x:v>68.32</x:v>
      </x:c>
      <x:c r="P4824" s="34" t="str">
        <x:v>INCONCLUSIVE</x:v>
      </x:c>
      <x:c r="Q4824" s="34" t="str">
        <x:v>Feedback-Directed Random Test Generation/Result_Round2/Jsoup_45/result.json</x:v>
      </x:c>
    </x:row>
    <x:row r="4825">
      <x:c r="A4825" s="34" t="str">
        <x:v>randoop</x:v>
      </x:c>
      <x:c r="B4825" s="34" t="str">
        <x:v>Jsoup</x:v>
      </x:c>
      <x:c r="C4825" s="34" t="str">
        <x:v>Round2</x:v>
      </x:c>
      <x:c r="D4825" s="34" t="str">
        <x:v>Jsoup_46</x:v>
      </x:c>
      <x:c r="E4825" s="34" t="str">
        <x:v>Condition</x:v>
      </x:c>
      <x:c r="F4825" s="34" t="n">
        <x:v>51</x:v>
      </x:c>
      <x:c r="G4825" s="34" t="str">
        <x:v>RECORDED</x:v>
      </x:c>
      <x:c r="H4825" s="38" t="n">
        <x:f>IF(ISNUMBER('Data'!I1409),'Data'!I1409*100,"")</x:f>
        <x:v>15.689999999999998</x:v>
      </x:c>
      <x:c r="I4825" s="34" t="str">
        <x:v>PASS</x:v>
      </x:c>
      <x:c r="J4825" s="34" t="str">
        <x:v>PASS</x:v>
      </x:c>
      <x:c r="K4825" s="34" t="str">
        <x:v>PASS</x:v>
      </x:c>
      <x:c r="L4825" s="34" t="str">
        <x:v>PASS</x:v>
      </x:c>
      <x:c r="M4825" s="34" t="str">
        <x:v>numeric coverage for applicable metric</x:v>
      </x:c>
      <x:c r="N4825" s="34" t="str">
        <x:v>Feedback-Directed Random Test Generation/Result_Round2/Jsoup_46/result.json</x:v>
      </x:c>
      <x:c r="O4825" s="38" t="n">
        <x:f>IF(AND(G4825="RECORDED",ISNUMBER(H4825)),H4825,"")</x:f>
        <x:v>15.689999999999998</x:v>
      </x:c>
      <x:c r="P4825" s="34" t="str">
        <x:v>NOT_REVEALING</x:v>
      </x:c>
      <x:c r="Q4825" s="34" t="str">
        <x:v>Feedback-Directed Random Test Generation/Result_Round2/Jsoup_46/result.json</x:v>
      </x:c>
    </x:row>
    <x:row r="4826">
      <x:c r="A4826" s="34" t="str">
        <x:v>randoop</x:v>
      </x:c>
      <x:c r="B4826" s="34" t="str">
        <x:v>Jsoup</x:v>
      </x:c>
      <x:c r="C4826" s="34" t="str">
        <x:v>Round2</x:v>
      </x:c>
      <x:c r="D4826" s="34" t="str">
        <x:v>Jsoup_47</x:v>
      </x:c>
      <x:c r="E4826" s="34" t="str">
        <x:v>Condition</x:v>
      </x:c>
      <x:c r="F4826" s="34" t="n">
        <x:v>51</x:v>
      </x:c>
      <x:c r="G4826" s="34" t="str">
        <x:v>RECORDED</x:v>
      </x:c>
      <x:c r="H4826" s="38" t="n">
        <x:f>IF(ISNUMBER('Data'!I1410),'Data'!I1410*100,"")</x:f>
        <x:v>15.689999999999998</x:v>
      </x:c>
      <x:c r="I4826" s="34" t="str">
        <x:v>PASS</x:v>
      </x:c>
      <x:c r="J4826" s="34" t="str">
        <x:v>PASS</x:v>
      </x:c>
      <x:c r="K4826" s="34" t="str">
        <x:v>PASS</x:v>
      </x:c>
      <x:c r="L4826" s="34" t="str">
        <x:v>PASS</x:v>
      </x:c>
      <x:c r="M4826" s="34" t="str">
        <x:v>numeric coverage for applicable metric</x:v>
      </x:c>
      <x:c r="N4826" s="34" t="str">
        <x:v>Feedback-Directed Random Test Generation/Result_Round2/Jsoup_47/result.json</x:v>
      </x:c>
      <x:c r="O4826" s="38" t="n">
        <x:f>IF(AND(G4826="RECORDED",ISNUMBER(H4826)),H4826,"")</x:f>
        <x:v>15.689999999999998</x:v>
      </x:c>
      <x:c r="P4826" s="34" t="str">
        <x:v>NOT_REVEALING</x:v>
      </x:c>
      <x:c r="Q4826" s="34" t="str">
        <x:v>Feedback-Directed Random Test Generation/Result_Round2/Jsoup_47/result.json</x:v>
      </x:c>
    </x:row>
    <x:row r="4827">
      <x:c r="A4827" s="34" t="str">
        <x:v>randoop</x:v>
      </x:c>
      <x:c r="B4827" s="34" t="str">
        <x:v>Jsoup</x:v>
      </x:c>
      <x:c r="C4827" s="34" t="str">
        <x:v>Round2</x:v>
      </x:c>
      <x:c r="D4827" s="34" t="str">
        <x:v>Jsoup_48</x:v>
      </x:c>
      <x:c r="E4827" s="34" t="str">
        <x:v>Condition</x:v>
      </x:c>
      <x:c r="F4827" s="34" t="n">
        <x:v>170</x:v>
      </x:c>
      <x:c r="G4827" s="34" t="str">
        <x:v>RECORDED</x:v>
      </x:c>
      <x:c r="H4827" s="38" t="n">
        <x:f>IF(ISNUMBER('Data'!I1411),'Data'!I1411*100,"")</x:f>
        <x:v>12.94</x:v>
      </x:c>
      <x:c r="I4827" s="34" t="str">
        <x:v>PASS</x:v>
      </x:c>
      <x:c r="J4827" s="34" t="str">
        <x:v>PASS</x:v>
      </x:c>
      <x:c r="K4827" s="34" t="str">
        <x:v>PASS</x:v>
      </x:c>
      <x:c r="L4827" s="34" t="str">
        <x:v>PASS</x:v>
      </x:c>
      <x:c r="M4827" s="34" t="str">
        <x:v>numeric coverage for applicable metric</x:v>
      </x:c>
      <x:c r="N4827" s="34" t="str">
        <x:v>Feedback-Directed Random Test Generation/Result_Round2/Jsoup_48/result.json</x:v>
      </x:c>
      <x:c r="O4827" s="38" t="n">
        <x:f>IF(AND(G4827="RECORDED",ISNUMBER(H4827)),H4827,"")</x:f>
        <x:v>12.94</x:v>
      </x:c>
      <x:c r="P4827" s="34" t="str">
        <x:v>NOT_REVEALING</x:v>
      </x:c>
      <x:c r="Q4827" s="34" t="str">
        <x:v>Feedback-Directed Random Test Generation/Result_Round2/Jsoup_48/result.json</x:v>
      </x:c>
    </x:row>
    <x:row r="4828">
      <x:c r="A4828" s="34" t="str">
        <x:v>randoop</x:v>
      </x:c>
      <x:c r="B4828" s="34" t="str">
        <x:v>Jsoup</x:v>
      </x:c>
      <x:c r="C4828" s="34" t="str">
        <x:v>Round2</x:v>
      </x:c>
      <x:c r="D4828" s="34" t="str">
        <x:v>Jsoup_49</x:v>
      </x:c>
      <x:c r="E4828" s="34" t="str">
        <x:v>Condition</x:v>
      </x:c>
      <x:c r="F4828" s="34" t="n">
        <x:v>102</x:v>
      </x:c>
      <x:c r="G4828" s="34" t="str">
        <x:v>RECORDED</x:v>
      </x:c>
      <x:c r="H4828" s="38" t="n">
        <x:f>IF(ISNUMBER('Data'!I1412),'Data'!I1412*100,"")</x:f>
        <x:v>0</x:v>
      </x:c>
      <x:c r="I4828" s="34" t="str">
        <x:v>PASS</x:v>
      </x:c>
      <x:c r="J4828" s="34" t="str">
        <x:v>PASS</x:v>
      </x:c>
      <x:c r="K4828" s="34" t="str">
        <x:v>PASS</x:v>
      </x:c>
      <x:c r="L4828" s="34" t="str">
        <x:v>PASS</x:v>
      </x:c>
      <x:c r="M4828" s="34" t="str">
        <x:v>numeric coverage for applicable metric</x:v>
      </x:c>
      <x:c r="N4828" s="34" t="str">
        <x:v>Feedback-Directed Random Test Generation/Result_Round2/Jsoup_49/result.json</x:v>
      </x:c>
      <x:c r="O4828" s="38" t="n">
        <x:f>IF(AND(G4828="RECORDED",ISNUMBER(H4828)),H4828,"")</x:f>
        <x:v>0</x:v>
      </x:c>
      <x:c r="P4828" s="34" t="str">
        <x:v>NOT_REVEALING</x:v>
      </x:c>
      <x:c r="Q4828" s="34" t="str">
        <x:v>Feedback-Directed Random Test Generation/Result_Round2/Jsoup_49/result.json</x:v>
      </x:c>
    </x:row>
    <x:row r="4829">
      <x:c r="A4829" s="34" t="str">
        <x:v>randoop</x:v>
      </x:c>
      <x:c r="B4829" s="34" t="str">
        <x:v>Jsoup</x:v>
      </x:c>
      <x:c r="C4829" s="34" t="str">
        <x:v>Round2</x:v>
      </x:c>
      <x:c r="D4829" s="34" t="str">
        <x:v>Jsoup_50</x:v>
      </x:c>
      <x:c r="E4829" s="34" t="str">
        <x:v>Condition</x:v>
      </x:c>
      <x:c r="F4829" s="34" t="n">
        <x:v>50</x:v>
      </x:c>
      <x:c r="G4829" s="34" t="str">
        <x:v>RECORDED</x:v>
      </x:c>
      <x:c r="H4829" s="38" t="n">
        <x:f>IF(ISNUMBER('Data'!I1413),'Data'!I1413*100,"")</x:f>
        <x:v>22</x:v>
      </x:c>
      <x:c r="I4829" s="34" t="str">
        <x:v>PASS</x:v>
      </x:c>
      <x:c r="J4829" s="34" t="str">
        <x:v>PASS</x:v>
      </x:c>
      <x:c r="K4829" s="34" t="str">
        <x:v>PASS</x:v>
      </x:c>
      <x:c r="L4829" s="34" t="str">
        <x:v>PASS</x:v>
      </x:c>
      <x:c r="M4829" s="34" t="str">
        <x:v>numeric coverage for applicable metric</x:v>
      </x:c>
      <x:c r="N4829" s="34" t="str">
        <x:v>Feedback-Directed Random Test Generation/Result_Round2/Jsoup_50/result.json</x:v>
      </x:c>
      <x:c r="O4829" s="38" t="n">
        <x:f>IF(AND(G4829="RECORDED",ISNUMBER(H4829)),H4829,"")</x:f>
        <x:v>22</x:v>
      </x:c>
      <x:c r="P4829" s="34" t="str">
        <x:v>INCONCLUSIVE</x:v>
      </x:c>
      <x:c r="Q4829" s="34" t="str">
        <x:v>Feedback-Directed Random Test Generation/Result_Round2/Jsoup_50/result.json</x:v>
      </x:c>
    </x:row>
    <x:row r="4830">
      <x:c r="A4830" s="34" t="str">
        <x:v>randoop</x:v>
      </x:c>
      <x:c r="B4830" s="34" t="str">
        <x:v>Jsoup</x:v>
      </x:c>
      <x:c r="C4830" s="34" t="str">
        <x:v>Round2</x:v>
      </x:c>
      <x:c r="D4830" s="34" t="str">
        <x:v>Jsoup_51</x:v>
      </x:c>
      <x:c r="E4830" s="34" t="str">
        <x:v>Condition</x:v>
      </x:c>
      <x:c r="F4830" s="34" t="n">
        <x:v>186</x:v>
      </x:c>
      <x:c r="G4830" s="34" t="str">
        <x:v>RECORDED</x:v>
      </x:c>
      <x:c r="H4830" s="38" t="n">
        <x:f>IF(ISNUMBER('Data'!I1414),'Data'!I1414*100,"")</x:f>
        <x:v>82.26</x:v>
      </x:c>
      <x:c r="I4830" s="34" t="str">
        <x:v>PASS</x:v>
      </x:c>
      <x:c r="J4830" s="34" t="str">
        <x:v>PASS</x:v>
      </x:c>
      <x:c r="K4830" s="34" t="str">
        <x:v>PASS</x:v>
      </x:c>
      <x:c r="L4830" s="34" t="str">
        <x:v>PASS</x:v>
      </x:c>
      <x:c r="M4830" s="34" t="str">
        <x:v>numeric coverage for applicable metric</x:v>
      </x:c>
      <x:c r="N4830" s="34" t="str">
        <x:v>Feedback-Directed Random Test Generation/Result_Round2/Jsoup_51/result.json</x:v>
      </x:c>
      <x:c r="O4830" s="38" t="n">
        <x:f>IF(AND(G4830="RECORDED",ISNUMBER(H4830)),H4830,"")</x:f>
        <x:v>82.26</x:v>
      </x:c>
      <x:c r="P4830" s="34" t="str">
        <x:v>NOT_REVEALING</x:v>
      </x:c>
      <x:c r="Q4830" s="34" t="str">
        <x:v>Feedback-Directed Random Test Generation/Result_Round2/Jsoup_51/result.json</x:v>
      </x:c>
    </x:row>
    <x:row r="4831">
      <x:c r="A4831" s="34" t="str">
        <x:v>randoop</x:v>
      </x:c>
      <x:c r="B4831" s="34" t="str">
        <x:v>Jsoup</x:v>
      </x:c>
      <x:c r="C4831" s="34" t="str">
        <x:v>Round2</x:v>
      </x:c>
      <x:c r="D4831" s="34" t="str">
        <x:v>Jsoup_52</x:v>
      </x:c>
      <x:c r="E4831" s="34" t="str">
        <x:v>Condition</x:v>
      </x:c>
      <x:c r="F4831" s="34" t="n">
        <x:v>123</x:v>
      </x:c>
      <x:c r="G4831" s="34" t="str">
        <x:v>RECORDED</x:v>
      </x:c>
      <x:c r="H4831" s="38" t="n">
        <x:f>IF(ISNUMBER('Data'!I1415),'Data'!I1415*100,"")</x:f>
        <x:v>4.88</x:v>
      </x:c>
      <x:c r="I4831" s="34" t="str">
        <x:v>PASS</x:v>
      </x:c>
      <x:c r="J4831" s="34" t="str">
        <x:v>PASS</x:v>
      </x:c>
      <x:c r="K4831" s="34" t="str">
        <x:v>PASS</x:v>
      </x:c>
      <x:c r="L4831" s="34" t="str">
        <x:v>FAIL</x:v>
      </x:c>
      <x:c r="M4831" s="34" t="str">
        <x:v>numeric coverage for applicable metric</x:v>
      </x:c>
      <x:c r="N4831" s="34" t="str">
        <x:v>Feedback-Directed Random Test Generation/Result_Round2/Jsoup_52/result.json</x:v>
      </x:c>
      <x:c r="O4831" s="38" t="n">
        <x:f>IF(AND(G4831="RECORDED",ISNUMBER(H4831)),H4831,"")</x:f>
        <x:v>4.88</x:v>
      </x:c>
      <x:c r="P4831" s="34" t="str">
        <x:v>INCONCLUSIVE</x:v>
      </x:c>
      <x:c r="Q4831" s="34" t="str">
        <x:v>Feedback-Directed Random Test Generation/Result_Round2/Jsoup_52/result.json</x:v>
      </x:c>
    </x:row>
    <x:row r="4832">
      <x:c r="A4832" s="34" t="str">
        <x:v>randoop</x:v>
      </x:c>
      <x:c r="B4832" s="34" t="str">
        <x:v>Jsoup</x:v>
      </x:c>
      <x:c r="C4832" s="34" t="str">
        <x:v>Round2</x:v>
      </x:c>
      <x:c r="D4832" s="34" t="str">
        <x:v>Jsoup_53</x:v>
      </x:c>
      <x:c r="E4832" s="34" t="str">
        <x:v>Condition</x:v>
      </x:c>
      <x:c r="F4832" s="34" t="n">
        <x:v>108</x:v>
      </x:c>
      <x:c r="G4832" s="34" t="str">
        <x:v>RECORDED</x:v>
      </x:c>
      <x:c r="H4832" s="38" t="n">
        <x:f>IF(ISNUMBER('Data'!I1416),'Data'!I1416*100,"")</x:f>
        <x:v>86.11</x:v>
      </x:c>
      <x:c r="I4832" s="34" t="str">
        <x:v>PASS</x:v>
      </x:c>
      <x:c r="J4832" s="34" t="str">
        <x:v>PASS</x:v>
      </x:c>
      <x:c r="K4832" s="34" t="str">
        <x:v>PASS</x:v>
      </x:c>
      <x:c r="L4832" s="34" t="str">
        <x:v>PASS</x:v>
      </x:c>
      <x:c r="M4832" s="34" t="str">
        <x:v>numeric coverage for applicable metric</x:v>
      </x:c>
      <x:c r="N4832" s="34" t="str">
        <x:v>Feedback-Directed Random Test Generation/Result_Round2/Jsoup_53/result.json</x:v>
      </x:c>
      <x:c r="O4832" s="38" t="n">
        <x:f>IF(AND(G4832="RECORDED",ISNUMBER(H4832)),H4832,"")</x:f>
        <x:v>86.11</x:v>
      </x:c>
      <x:c r="P4832" s="34" t="str">
        <x:v>NOT_REVEALING</x:v>
      </x:c>
      <x:c r="Q4832" s="34" t="str">
        <x:v>Feedback-Directed Random Test Generation/Result_Round2/Jsoup_53/result.json</x:v>
      </x:c>
    </x:row>
    <x:row r="4833">
      <x:c r="A4833" s="34" t="str">
        <x:v>randoop</x:v>
      </x:c>
      <x:c r="B4833" s="34" t="str">
        <x:v>Jsoup</x:v>
      </x:c>
      <x:c r="C4833" s="34" t="str">
        <x:v>Round2</x:v>
      </x:c>
      <x:c r="D4833" s="34" t="str">
        <x:v>Jsoup_54</x:v>
      </x:c>
      <x:c r="E4833" s="34" t="str">
        <x:v>Condition</x:v>
      </x:c>
      <x:c r="F4833" s="34" t="n">
        <x:v>26</x:v>
      </x:c>
      <x:c r="G4833" s="34" t="str">
        <x:v>RECORDED</x:v>
      </x:c>
      <x:c r="H4833" s="38" t="n">
        <x:f>IF(ISNUMBER('Data'!I1417),'Data'!I1417*100,"")</x:f>
        <x:v>19.23</x:v>
      </x:c>
      <x:c r="I4833" s="34" t="str">
        <x:v>PASS</x:v>
      </x:c>
      <x:c r="J4833" s="34" t="str">
        <x:v>PASS</x:v>
      </x:c>
      <x:c r="K4833" s="34" t="str">
        <x:v>PASS</x:v>
      </x:c>
      <x:c r="L4833" s="34" t="str">
        <x:v>PASS</x:v>
      </x:c>
      <x:c r="M4833" s="34" t="str">
        <x:v>numeric coverage for applicable metric</x:v>
      </x:c>
      <x:c r="N4833" s="34" t="str">
        <x:v>Feedback-Directed Random Test Generation/Result_Round2/Jsoup_54/result.json</x:v>
      </x:c>
      <x:c r="O4833" s="38" t="n">
        <x:f>IF(AND(G4833="RECORDED",ISNUMBER(H4833)),H4833,"")</x:f>
        <x:v>19.23</x:v>
      </x:c>
      <x:c r="P4833" s="34" t="str">
        <x:v>NOT_REVEALING</x:v>
      </x:c>
      <x:c r="Q4833" s="34" t="str">
        <x:v>Feedback-Directed Random Test Generation/Result_Round2/Jsoup_54/result.json</x:v>
      </x:c>
    </x:row>
    <x:row r="4834">
      <x:c r="A4834" s="34" t="str">
        <x:v>randoop</x:v>
      </x:c>
      <x:c r="B4834" s="34" t="str">
        <x:v>Jsoup</x:v>
      </x:c>
      <x:c r="C4834" s="34" t="str">
        <x:v>Round2</x:v>
      </x:c>
      <x:c r="D4834" s="34" t="str">
        <x:v>Jsoup_55</x:v>
      </x:c>
      <x:c r="E4834" s="34" t="str">
        <x:v>Condition</x:v>
      </x:c>
      <x:c r="F4834" s="34" t="n">
        <x:v>325</x:v>
      </x:c>
      <x:c r="G4834" s="34" t="str">
        <x:v>RECORDED</x:v>
      </x:c>
      <x:c r="H4834" s="38" t="n">
        <x:f>IF(ISNUMBER('Data'!I1418),'Data'!I1418*100,"")</x:f>
        <x:v>0</x:v>
      </x:c>
      <x:c r="I4834" s="34" t="str">
        <x:v>PASS</x:v>
      </x:c>
      <x:c r="J4834" s="34" t="str">
        <x:v>PASS</x:v>
      </x:c>
      <x:c r="K4834" s="34" t="str">
        <x:v>PASS</x:v>
      </x:c>
      <x:c r="L4834" s="34" t="str">
        <x:v>PASS</x:v>
      </x:c>
      <x:c r="M4834" s="34" t="str">
        <x:v>numeric coverage for applicable metric</x:v>
      </x:c>
      <x:c r="N4834" s="34" t="str">
        <x:v>Feedback-Directed Random Test Generation/Result_Round2/Jsoup_55/result.json</x:v>
      </x:c>
      <x:c r="O4834" s="38" t="n">
        <x:f>IF(AND(G4834="RECORDED",ISNUMBER(H4834)),H4834,"")</x:f>
        <x:v>0</x:v>
      </x:c>
      <x:c r="P4834" s="34" t="str">
        <x:v>NOT_REVEALING</x:v>
      </x:c>
      <x:c r="Q4834" s="34" t="str">
        <x:v>Feedback-Directed Random Test Generation/Result_Round2/Jsoup_55/result.json</x:v>
      </x:c>
    </x:row>
    <x:row r="4835">
      <x:c r="A4835" s="34" t="str">
        <x:v>randoop</x:v>
      </x:c>
      <x:c r="B4835" s="34" t="str">
        <x:v>Jsoup</x:v>
      </x:c>
      <x:c r="C4835" s="34" t="str">
        <x:v>Round2</x:v>
      </x:c>
      <x:c r="D4835" s="34" t="str">
        <x:v>Jsoup_56</x:v>
      </x:c>
      <x:c r="E4835" s="34" t="str">
        <x:v>Condition</x:v>
      </x:c>
      <x:c r="F4835" s="34" t="n">
        <x:v>1169</x:v>
      </x:c>
      <x:c r="G4835" s="34" t="str">
        <x:v>RECORDED</x:v>
      </x:c>
      <x:c r="H4835" s="38" t="n">
        <x:f>IF(ISNUMBER('Data'!I1419),'Data'!I1419*100,"")</x:f>
        <x:v>26.179999999999996</x:v>
      </x:c>
      <x:c r="I4835" s="34" t="str">
        <x:v>PASS</x:v>
      </x:c>
      <x:c r="J4835" s="34" t="str">
        <x:v>PASS</x:v>
      </x:c>
      <x:c r="K4835" s="34" t="str">
        <x:v>PASS</x:v>
      </x:c>
      <x:c r="L4835" s="34" t="str">
        <x:v>FAIL</x:v>
      </x:c>
      <x:c r="M4835" s="34" t="str">
        <x:v>numeric coverage for applicable metric</x:v>
      </x:c>
      <x:c r="N4835" s="34" t="str">
        <x:v>Feedback-Directed Random Test Generation/Result_Round2/Jsoup_56/result.json</x:v>
      </x:c>
      <x:c r="O4835" s="38" t="n">
        <x:f>IF(AND(G4835="RECORDED",ISNUMBER(H4835)),H4835,"")</x:f>
        <x:v>26.179999999999996</x:v>
      </x:c>
      <x:c r="P4835" s="34" t="str">
        <x:v>INCONCLUSIVE</x:v>
      </x:c>
      <x:c r="Q4835" s="34" t="str">
        <x:v>Feedback-Directed Random Test Generation/Result_Round2/Jsoup_56/result.json</x:v>
      </x:c>
    </x:row>
    <x:row r="4836">
      <x:c r="A4836" s="34" t="str">
        <x:v>randoop</x:v>
      </x:c>
      <x:c r="B4836" s="34" t="str">
        <x:v>Jsoup</x:v>
      </x:c>
      <x:c r="C4836" s="34" t="str">
        <x:v>Round2</x:v>
      </x:c>
      <x:c r="D4836" s="34" t="str">
        <x:v>Jsoup_57</x:v>
      </x:c>
      <x:c r="E4836" s="34" t="str">
        <x:v>Condition</x:v>
      </x:c>
      <x:c r="F4836" s="34" t="n">
        <x:v>76</x:v>
      </x:c>
      <x:c r="G4836" s="34" t="str">
        <x:v>RECORDED</x:v>
      </x:c>
      <x:c r="H4836" s="38" t="n">
        <x:f>IF(ISNUMBER('Data'!I1420),'Data'!I1420*100,"")</x:f>
        <x:v>85.53</x:v>
      </x:c>
      <x:c r="I4836" s="34" t="str">
        <x:v>PASS</x:v>
      </x:c>
      <x:c r="J4836" s="34" t="str">
        <x:v>PASS</x:v>
      </x:c>
      <x:c r="K4836" s="34" t="str">
        <x:v>PASS</x:v>
      </x:c>
      <x:c r="L4836" s="34" t="str">
        <x:v>PASS</x:v>
      </x:c>
      <x:c r="M4836" s="34" t="str">
        <x:v>numeric coverage for applicable metric</x:v>
      </x:c>
      <x:c r="N4836" s="34" t="str">
        <x:v>Feedback-Directed Random Test Generation/Result_Round2/Jsoup_57/result.json</x:v>
      </x:c>
      <x:c r="O4836" s="38" t="n">
        <x:f>IF(AND(G4836="RECORDED",ISNUMBER(H4836)),H4836,"")</x:f>
        <x:v>85.53</x:v>
      </x:c>
      <x:c r="P4836" s="34" t="str">
        <x:v>NOT_REVEALING</x:v>
      </x:c>
      <x:c r="Q4836" s="34" t="str">
        <x:v>Feedback-Directed Random Test Generation/Result_Round2/Jsoup_57/result.json</x:v>
      </x:c>
    </x:row>
    <x:row r="4837">
      <x:c r="A4837" s="34" t="str">
        <x:v>randoop</x:v>
      </x:c>
      <x:c r="B4837" s="34" t="str">
        <x:v>Jsoup</x:v>
      </x:c>
      <x:c r="C4837" s="34" t="str">
        <x:v>Round2</x:v>
      </x:c>
      <x:c r="D4837" s="34" t="str">
        <x:v>Jsoup_58</x:v>
      </x:c>
      <x:c r="E4837" s="34" t="str">
        <x:v>Condition</x:v>
      </x:c>
      <x:c r="F4837" s="34" t="n">
        <x:v>32</x:v>
      </x:c>
      <x:c r="G4837" s="34" t="str">
        <x:v>RECORDED</x:v>
      </x:c>
      <x:c r="H4837" s="38" t="n">
        <x:f>IF(ISNUMBER('Data'!I1421),'Data'!I1421*100,"")</x:f>
        <x:v>21.88</x:v>
      </x:c>
      <x:c r="I4837" s="34" t="str">
        <x:v>PASS</x:v>
      </x:c>
      <x:c r="J4837" s="34" t="str">
        <x:v>PASS</x:v>
      </x:c>
      <x:c r="K4837" s="34" t="str">
        <x:v>PASS</x:v>
      </x:c>
      <x:c r="L4837" s="34" t="str">
        <x:v>PASS</x:v>
      </x:c>
      <x:c r="M4837" s="34" t="str">
        <x:v>numeric coverage for applicable metric</x:v>
      </x:c>
      <x:c r="N4837" s="34" t="str">
        <x:v>Feedback-Directed Random Test Generation/Result_Round2/Jsoup_58/result.json</x:v>
      </x:c>
      <x:c r="O4837" s="38" t="n">
        <x:f>IF(AND(G4837="RECORDED",ISNUMBER(H4837)),H4837,"")</x:f>
        <x:v>21.88</x:v>
      </x:c>
      <x:c r="P4837" s="34" t="str">
        <x:v>NOT_REVEALING</x:v>
      </x:c>
      <x:c r="Q4837" s="34" t="str">
        <x:v>Feedback-Directed Random Test Generation/Result_Round2/Jsoup_58/result.json</x:v>
      </x:c>
    </x:row>
    <x:row r="4838">
      <x:c r="A4838" s="34" t="str">
        <x:v>randoop</x:v>
      </x:c>
      <x:c r="B4838" s="34" t="str">
        <x:v>Jsoup</x:v>
      </x:c>
      <x:c r="C4838" s="34" t="str">
        <x:v>Round2</x:v>
      </x:c>
      <x:c r="D4838" s="34" t="str">
        <x:v>Jsoup_59</x:v>
      </x:c>
      <x:c r="E4838" s="34" t="str">
        <x:v>Condition</x:v>
      </x:c>
      <x:c r="F4838" s="34" t="n">
        <x:v>44</x:v>
      </x:c>
      <x:c r="G4838" s="34" t="str">
        <x:v>RECORDED</x:v>
      </x:c>
      <x:c r="H4838" s="38" t="n">
        <x:f>IF(ISNUMBER('Data'!I1422),'Data'!I1422*100,"")</x:f>
        <x:v>95.45</x:v>
      </x:c>
      <x:c r="I4838" s="34" t="str">
        <x:v>PASS</x:v>
      </x:c>
      <x:c r="J4838" s="34" t="str">
        <x:v>PASS</x:v>
      </x:c>
      <x:c r="K4838" s="34" t="str">
        <x:v>PASS</x:v>
      </x:c>
      <x:c r="L4838" s="34" t="str">
        <x:v>PASS</x:v>
      </x:c>
      <x:c r="M4838" s="34" t="str">
        <x:v>numeric coverage for applicable metric</x:v>
      </x:c>
      <x:c r="N4838" s="34" t="str">
        <x:v>Feedback-Directed Random Test Generation/Result_Round2/Jsoup_59/result.json</x:v>
      </x:c>
      <x:c r="O4838" s="38" t="n">
        <x:f>IF(AND(G4838="RECORDED",ISNUMBER(H4838)),H4838,"")</x:f>
        <x:v>95.45</x:v>
      </x:c>
      <x:c r="P4838" s="34" t="str">
        <x:v>INCONCLUSIVE</x:v>
      </x:c>
      <x:c r="Q4838" s="34" t="str">
        <x:v>Feedback-Directed Random Test Generation/Result_Round2/Jsoup_59/result.json</x:v>
      </x:c>
    </x:row>
    <x:row r="4839">
      <x:c r="A4839" s="34" t="str">
        <x:v>randoop</x:v>
      </x:c>
      <x:c r="B4839" s="34" t="str">
        <x:v>Jsoup</x:v>
      </x:c>
      <x:c r="C4839" s="34" t="str">
        <x:v>Round2</x:v>
      </x:c>
      <x:c r="D4839" s="34" t="str">
        <x:v>Jsoup_60</x:v>
      </x:c>
      <x:c r="E4839" s="34" t="str">
        <x:v>Condition</x:v>
      </x:c>
      <x:c r="F4839" s="34" t="n">
        <x:v>258</x:v>
      </x:c>
      <x:c r="G4839" s="34" t="str">
        <x:v>RECORDED</x:v>
      </x:c>
      <x:c r="H4839" s="38" t="n">
        <x:f>IF(ISNUMBER('Data'!I1423),'Data'!I1423*100,"")</x:f>
        <x:v>55.04</x:v>
      </x:c>
      <x:c r="I4839" s="34" t="str">
        <x:v>PASS</x:v>
      </x:c>
      <x:c r="J4839" s="34" t="str">
        <x:v>PASS</x:v>
      </x:c>
      <x:c r="K4839" s="34" t="str">
        <x:v>PASS</x:v>
      </x:c>
      <x:c r="L4839" s="34" t="str">
        <x:v>PASS</x:v>
      </x:c>
      <x:c r="M4839" s="34" t="str">
        <x:v>numeric coverage for applicable metric</x:v>
      </x:c>
      <x:c r="N4839" s="34" t="str">
        <x:v>Feedback-Directed Random Test Generation/Result_Round2/Jsoup_60/result.json</x:v>
      </x:c>
      <x:c r="O4839" s="38" t="n">
        <x:f>IF(AND(G4839="RECORDED",ISNUMBER(H4839)),H4839,"")</x:f>
        <x:v>55.04</x:v>
      </x:c>
      <x:c r="P4839" s="34" t="str">
        <x:v>INCONCLUSIVE</x:v>
      </x:c>
      <x:c r="Q4839" s="34" t="str">
        <x:v>Feedback-Directed Random Test Generation/Result_Round2/Jsoup_60/result.json</x:v>
      </x:c>
    </x:row>
    <x:row r="4840">
      <x:c r="A4840" s="34" t="str">
        <x:v>randoop</x:v>
      </x:c>
      <x:c r="B4840" s="34" t="str">
        <x:v>Jsoup</x:v>
      </x:c>
      <x:c r="C4840" s="34" t="str">
        <x:v>Round2</x:v>
      </x:c>
      <x:c r="D4840" s="34" t="str">
        <x:v>Jsoup_61</x:v>
      </x:c>
      <x:c r="E4840" s="34" t="str">
        <x:v>Condition</x:v>
      </x:c>
      <x:c r="F4840" s="34" t="n">
        <x:v>184</x:v>
      </x:c>
      <x:c r="G4840" s="34" t="str">
        <x:v>RECORDED</x:v>
      </x:c>
      <x:c r="H4840" s="38" t="n">
        <x:f>IF(ISNUMBER('Data'!I1424),'Data'!I1424*100,"")</x:f>
        <x:v>68.48</x:v>
      </x:c>
      <x:c r="I4840" s="34" t="str">
        <x:v>PASS</x:v>
      </x:c>
      <x:c r="J4840" s="34" t="str">
        <x:v>PASS</x:v>
      </x:c>
      <x:c r="K4840" s="34" t="str">
        <x:v>PASS</x:v>
      </x:c>
      <x:c r="L4840" s="34" t="str">
        <x:v>FAIL</x:v>
      </x:c>
      <x:c r="M4840" s="34" t="str">
        <x:v>numeric coverage for applicable metric</x:v>
      </x:c>
      <x:c r="N4840" s="34" t="str">
        <x:v>Feedback-Directed Random Test Generation/Result_Round2/Jsoup_61/result.json</x:v>
      </x:c>
      <x:c r="O4840" s="38" t="n">
        <x:f>IF(AND(G4840="RECORDED",ISNUMBER(H4840)),H4840,"")</x:f>
        <x:v>68.48</x:v>
      </x:c>
      <x:c r="P4840" s="34" t="str">
        <x:v>INCONCLUSIVE</x:v>
      </x:c>
      <x:c r="Q4840" s="34" t="str">
        <x:v>Feedback-Directed Random Test Generation/Result_Round2/Jsoup_61/result.json</x:v>
      </x:c>
    </x:row>
    <x:row r="4841">
      <x:c r="A4841" s="34" t="str">
        <x:v>randoop</x:v>
      </x:c>
      <x:c r="B4841" s="34" t="str">
        <x:v>Jsoup</x:v>
      </x:c>
      <x:c r="C4841" s="34" t="str">
        <x:v>Round2</x:v>
      </x:c>
      <x:c r="D4841" s="34" t="str">
        <x:v>Jsoup_62</x:v>
      </x:c>
      <x:c r="E4841" s="34" t="str">
        <x:v>Condition</x:v>
      </x:c>
      <x:c r="F4841" s="34" t="n">
        <x:v>757</x:v>
      </x:c>
      <x:c r="G4841" s="34" t="str">
        <x:v>RECORDED</x:v>
      </x:c>
      <x:c r="H4841" s="38" t="n">
        <x:f>IF(ISNUMBER('Data'!I1425),'Data'!I1425*100,"")</x:f>
        <x:v>0</x:v>
      </x:c>
      <x:c r="I4841" s="34" t="str">
        <x:v>PASS</x:v>
      </x:c>
      <x:c r="J4841" s="34" t="str">
        <x:v>PASS</x:v>
      </x:c>
      <x:c r="K4841" s="34" t="str">
        <x:v>PASS</x:v>
      </x:c>
      <x:c r="L4841" s="34" t="str">
        <x:v>PASS</x:v>
      </x:c>
      <x:c r="M4841" s="34" t="str">
        <x:v>numeric coverage for applicable metric</x:v>
      </x:c>
      <x:c r="N4841" s="34" t="str">
        <x:v>Feedback-Directed Random Test Generation/Result_Round2/Jsoup_62/result.json</x:v>
      </x:c>
      <x:c r="O4841" s="38" t="n">
        <x:f>IF(AND(G4841="RECORDED",ISNUMBER(H4841)),H4841,"")</x:f>
        <x:v>0</x:v>
      </x:c>
      <x:c r="P4841" s="34" t="str">
        <x:v>NOT_REVEALING</x:v>
      </x:c>
      <x:c r="Q4841" s="34" t="str">
        <x:v>Feedback-Directed Random Test Generation/Result_Round2/Jsoup_62/result.json</x:v>
      </x:c>
    </x:row>
    <x:row r="4842">
      <x:c r="A4842" s="34" t="str">
        <x:v>randoop</x:v>
      </x:c>
      <x:c r="B4842" s="34" t="str">
        <x:v>Jsoup</x:v>
      </x:c>
      <x:c r="C4842" s="34" t="str">
        <x:v>Round2</x:v>
      </x:c>
      <x:c r="D4842" s="34" t="str">
        <x:v>Jsoup_63</x:v>
      </x:c>
      <x:c r="E4842" s="34" t="str">
        <x:v>Condition</x:v>
      </x:c>
      <x:c r="F4842" s="34" t="n">
        <x:v>296</x:v>
      </x:c>
      <x:c r="G4842" s="34" t="str">
        <x:v>RECORDED</x:v>
      </x:c>
      <x:c r="H4842" s="38" t="n">
        <x:f>IF(ISNUMBER('Data'!I1426),'Data'!I1426*100,"")</x:f>
        <x:v>42.57</x:v>
      </x:c>
      <x:c r="I4842" s="34" t="str">
        <x:v>PASS</x:v>
      </x:c>
      <x:c r="J4842" s="34" t="str">
        <x:v>PASS</x:v>
      </x:c>
      <x:c r="K4842" s="34" t="str">
        <x:v>PASS</x:v>
      </x:c>
      <x:c r="L4842" s="34" t="str">
        <x:v>FAIL</x:v>
      </x:c>
      <x:c r="M4842" s="34" t="str">
        <x:v>numeric coverage for applicable metric</x:v>
      </x:c>
      <x:c r="N4842" s="34" t="str">
        <x:v>Feedback-Directed Random Test Generation/Result_Round2/Jsoup_63/result.json</x:v>
      </x:c>
      <x:c r="O4842" s="38" t="n">
        <x:f>IF(AND(G4842="RECORDED",ISNUMBER(H4842)),H4842,"")</x:f>
        <x:v>42.57</x:v>
      </x:c>
      <x:c r="P4842" s="34" t="str">
        <x:v>NOT_AVAILABLE</x:v>
      </x:c>
      <x:c r="Q4842" s="34" t="str">
        <x:v>Feedback-Directed Random Test Generation/Result_Round2/Jsoup_63/result.json</x:v>
      </x:c>
    </x:row>
    <x:row r="4843">
      <x:c r="A4843" s="34" t="str">
        <x:v>randoop</x:v>
      </x:c>
      <x:c r="B4843" s="34" t="str">
        <x:v>Jsoup</x:v>
      </x:c>
      <x:c r="C4843" s="34" t="str">
        <x:v>Round2</x:v>
      </x:c>
      <x:c r="D4843" s="34" t="str">
        <x:v>Jsoup_64</x:v>
      </x:c>
      <x:c r="E4843" s="34" t="str">
        <x:v>Condition</x:v>
      </x:c>
      <x:c r="F4843" s="34" t="n">
        <x:v>783</x:v>
      </x:c>
      <x:c r="G4843" s="34" t="str">
        <x:v>RECORDED</x:v>
      </x:c>
      <x:c r="H4843" s="38" t="n">
        <x:f>IF(ISNUMBER('Data'!I1427),'Data'!I1427*100,"")</x:f>
        <x:v>0</x:v>
      </x:c>
      <x:c r="I4843" s="34" t="str">
        <x:v>PASS</x:v>
      </x:c>
      <x:c r="J4843" s="34" t="str">
        <x:v>PASS</x:v>
      </x:c>
      <x:c r="K4843" s="34" t="str">
        <x:v>PASS</x:v>
      </x:c>
      <x:c r="L4843" s="34" t="str">
        <x:v>PASS</x:v>
      </x:c>
      <x:c r="M4843" s="34" t="str">
        <x:v>numeric coverage for applicable metric</x:v>
      </x:c>
      <x:c r="N4843" s="34" t="str">
        <x:v>Feedback-Directed Random Test Generation/Result_Round2/Jsoup_64/result.json</x:v>
      </x:c>
      <x:c r="O4843" s="38" t="n">
        <x:f>IF(AND(G4843="RECORDED",ISNUMBER(H4843)),H4843,"")</x:f>
        <x:v>0</x:v>
      </x:c>
      <x:c r="P4843" s="34" t="str">
        <x:v>NOT_REVEALING</x:v>
      </x:c>
      <x:c r="Q4843" s="34" t="str">
        <x:v>Feedback-Directed Random Test Generation/Result_Round2/Jsoup_64/result.json</x:v>
      </x:c>
    </x:row>
    <x:row r="4844">
      <x:c r="A4844" s="34" t="str">
        <x:v>randoop</x:v>
      </x:c>
      <x:c r="B4844" s="34" t="str">
        <x:v>Jsoup</x:v>
      </x:c>
      <x:c r="C4844" s="34" t="str">
        <x:v>Round2</x:v>
      </x:c>
      <x:c r="D4844" s="34" t="str">
        <x:v>Jsoup_65</x:v>
      </x:c>
      <x:c r="E4844" s="34" t="str">
        <x:v>Condition</x:v>
      </x:c>
      <x:c r="F4844" s="34" t="n">
        <x:v>983</x:v>
      </x:c>
      <x:c r="G4844" s="34" t="str">
        <x:v>RECORDED</x:v>
      </x:c>
      <x:c r="H4844" s="38" t="n">
        <x:f>IF(ISNUMBER('Data'!I1428),'Data'!I1428*100,"")</x:f>
        <x:v>23.5</x:v>
      </x:c>
      <x:c r="I4844" s="34" t="str">
        <x:v>PASS</x:v>
      </x:c>
      <x:c r="J4844" s="34" t="str">
        <x:v>PASS</x:v>
      </x:c>
      <x:c r="K4844" s="34" t="str">
        <x:v>PASS</x:v>
      </x:c>
      <x:c r="L4844" s="34" t="str">
        <x:v>FAIL</x:v>
      </x:c>
      <x:c r="M4844" s="34" t="str">
        <x:v>numeric coverage for applicable metric</x:v>
      </x:c>
      <x:c r="N4844" s="34" t="str">
        <x:v>Feedback-Directed Random Test Generation/Result_Round2/Jsoup_65/result.json</x:v>
      </x:c>
      <x:c r="O4844" s="38" t="n">
        <x:f>IF(AND(G4844="RECORDED",ISNUMBER(H4844)),H4844,"")</x:f>
        <x:v>23.5</x:v>
      </x:c>
      <x:c r="P4844" s="34" t="str">
        <x:v>INCONCLUSIVE</x:v>
      </x:c>
      <x:c r="Q4844" s="34" t="str">
        <x:v>Feedback-Directed Random Test Generation/Result_Round2/Jsoup_65/result.json</x:v>
      </x:c>
    </x:row>
    <x:row r="4845">
      <x:c r="A4845" s="34" t="str">
        <x:v>randoop</x:v>
      </x:c>
      <x:c r="B4845" s="34" t="str">
        <x:v>Jsoup</x:v>
      </x:c>
      <x:c r="C4845" s="34" t="str">
        <x:v>Round2</x:v>
      </x:c>
      <x:c r="D4845" s="34" t="str">
        <x:v>Jsoup_66</x:v>
      </x:c>
      <x:c r="E4845" s="34" t="str">
        <x:v>Condition</x:v>
      </x:c>
      <x:c r="F4845" s="34" t="n">
        <x:v>204</x:v>
      </x:c>
      <x:c r="G4845" s="34" t="str">
        <x:v>RECORDED</x:v>
      </x:c>
      <x:c r="H4845" s="38" t="n">
        <x:f>IF(ISNUMBER('Data'!I1429),'Data'!I1429*100,"")</x:f>
        <x:v>71.08</x:v>
      </x:c>
      <x:c r="I4845" s="34" t="str">
        <x:v>PASS</x:v>
      </x:c>
      <x:c r="J4845" s="34" t="str">
        <x:v>PASS</x:v>
      </x:c>
      <x:c r="K4845" s="34" t="str">
        <x:v>PASS</x:v>
      </x:c>
      <x:c r="L4845" s="34" t="str">
        <x:v>FAIL</x:v>
      </x:c>
      <x:c r="M4845" s="34" t="str">
        <x:v>numeric coverage for applicable metric</x:v>
      </x:c>
      <x:c r="N4845" s="34" t="str">
        <x:v>Feedback-Directed Random Test Generation/Result_Round2/Jsoup_66/result.json</x:v>
      </x:c>
      <x:c r="O4845" s="38" t="n">
        <x:f>IF(AND(G4845="RECORDED",ISNUMBER(H4845)),H4845,"")</x:f>
        <x:v>71.08</x:v>
      </x:c>
      <x:c r="P4845" s="34" t="str">
        <x:v>INCONCLUSIVE</x:v>
      </x:c>
      <x:c r="Q4845" s="34" t="str">
        <x:v>Feedback-Directed Random Test Generation/Result_Round2/Jsoup_66/result.json</x:v>
      </x:c>
    </x:row>
    <x:row r="4846">
      <x:c r="A4846" s="34" t="str">
        <x:v>randoop</x:v>
      </x:c>
      <x:c r="B4846" s="34" t="str">
        <x:v>Jsoup</x:v>
      </x:c>
      <x:c r="C4846" s="34" t="str">
        <x:v>Round2</x:v>
      </x:c>
      <x:c r="D4846" s="34" t="str">
        <x:v>Jsoup_67</x:v>
      </x:c>
      <x:c r="E4846" s="34" t="str">
        <x:v>Condition</x:v>
      </x:c>
      <x:c r="F4846" s="34" t="n">
        <x:v>200</x:v>
      </x:c>
      <x:c r="G4846" s="34" t="str">
        <x:v>RECORDED</x:v>
      </x:c>
      <x:c r="H4846" s="38" t="n">
        <x:f>IF(ISNUMBER('Data'!I1430),'Data'!I1430*100,"")</x:f>
        <x:v>61.5</x:v>
      </x:c>
      <x:c r="I4846" s="34" t="str">
        <x:v>PASS</x:v>
      </x:c>
      <x:c r="J4846" s="34" t="str">
        <x:v>PASS</x:v>
      </x:c>
      <x:c r="K4846" s="34" t="str">
        <x:v>PASS</x:v>
      </x:c>
      <x:c r="L4846" s="34" t="str">
        <x:v>FAIL</x:v>
      </x:c>
      <x:c r="M4846" s="34" t="str">
        <x:v>numeric coverage for applicable metric</x:v>
      </x:c>
      <x:c r="N4846" s="34" t="str">
        <x:v>Feedback-Directed Random Test Generation/Result_Round2/Jsoup_67/result.json</x:v>
      </x:c>
      <x:c r="O4846" s="38" t="n">
        <x:f>IF(AND(G4846="RECORDED",ISNUMBER(H4846)),H4846,"")</x:f>
        <x:v>61.5</x:v>
      </x:c>
      <x:c r="P4846" s="34" t="str">
        <x:v>INCONCLUSIVE</x:v>
      </x:c>
      <x:c r="Q4846" s="34" t="str">
        <x:v>Feedback-Directed Random Test Generation/Result_Round2/Jsoup_67/result.json</x:v>
      </x:c>
    </x:row>
    <x:row r="4847">
      <x:c r="A4847" s="34" t="str">
        <x:v>randoop</x:v>
      </x:c>
      <x:c r="B4847" s="34" t="str">
        <x:v>Jsoup</x:v>
      </x:c>
      <x:c r="C4847" s="34" t="str">
        <x:v>Round2</x:v>
      </x:c>
      <x:c r="D4847" s="34" t="str">
        <x:v>Jsoup_68</x:v>
      </x:c>
      <x:c r="E4847" s="34" t="str">
        <x:v>Condition</x:v>
      </x:c>
      <x:c r="F4847" s="34" t="n">
        <x:v>204</x:v>
      </x:c>
      <x:c r="G4847" s="34" t="str">
        <x:v>RECORDED</x:v>
      </x:c>
      <x:c r="H4847" s="38" t="n">
        <x:f>IF(ISNUMBER('Data'!I1431),'Data'!I1431*100,"")</x:f>
        <x:v>59.8</x:v>
      </x:c>
      <x:c r="I4847" s="34" t="str">
        <x:v>PASS</x:v>
      </x:c>
      <x:c r="J4847" s="34" t="str">
        <x:v>PASS</x:v>
      </x:c>
      <x:c r="K4847" s="34" t="str">
        <x:v>PASS</x:v>
      </x:c>
      <x:c r="L4847" s="34" t="str">
        <x:v>FAIL</x:v>
      </x:c>
      <x:c r="M4847" s="34" t="str">
        <x:v>numeric coverage for applicable metric</x:v>
      </x:c>
      <x:c r="N4847" s="34" t="str">
        <x:v>Feedback-Directed Random Test Generation/Result_Round2/Jsoup_68/result.json</x:v>
      </x:c>
      <x:c r="O4847" s="38" t="n">
        <x:f>IF(AND(G4847="RECORDED",ISNUMBER(H4847)),H4847,"")</x:f>
        <x:v>59.8</x:v>
      </x:c>
      <x:c r="P4847" s="34" t="str">
        <x:v>INCONCLUSIVE</x:v>
      </x:c>
      <x:c r="Q4847" s="34" t="str">
        <x:v>Feedback-Directed Random Test Generation/Result_Round2/Jsoup_68/result.json</x:v>
      </x:c>
    </x:row>
    <x:row r="4848">
      <x:c r="A4848" s="34" t="str">
        <x:v>randoop</x:v>
      </x:c>
      <x:c r="B4848" s="34" t="str">
        <x:v>Jsoup</x:v>
      </x:c>
      <x:c r="C4848" s="34" t="str">
        <x:v>Round2</x:v>
      </x:c>
      <x:c r="D4848" s="34" t="str">
        <x:v>Jsoup_69</x:v>
      </x:c>
      <x:c r="E4848" s="34" t="str">
        <x:v>Condition</x:v>
      </x:c>
      <x:c r="F4848" s="34" t="n">
        <x:v>28</x:v>
      </x:c>
      <x:c r="G4848" s="34" t="str">
        <x:v>RECORDED</x:v>
      </x:c>
      <x:c r="H4848" s="38" t="n">
        <x:f>IF(ISNUMBER('Data'!I1432),'Data'!I1432*100,"")</x:f>
        <x:v>0</x:v>
      </x:c>
      <x:c r="I4848" s="34" t="str">
        <x:v>PASS</x:v>
      </x:c>
      <x:c r="J4848" s="34" t="str">
        <x:v>PASS</x:v>
      </x:c>
      <x:c r="K4848" s="34" t="str">
        <x:v>PASS</x:v>
      </x:c>
      <x:c r="L4848" s="34" t="str">
        <x:v>PASS</x:v>
      </x:c>
      <x:c r="M4848" s="34" t="str">
        <x:v>numeric coverage for applicable metric</x:v>
      </x:c>
      <x:c r="N4848" s="34" t="str">
        <x:v>Feedback-Directed Random Test Generation/Result_Round2/Jsoup_69/result.json</x:v>
      </x:c>
      <x:c r="O4848" s="38" t="n">
        <x:f>IF(AND(G4848="RECORDED",ISNUMBER(H4848)),H4848,"")</x:f>
        <x:v>0</x:v>
      </x:c>
      <x:c r="P4848" s="34" t="str">
        <x:v>NOT_REVEALING</x:v>
      </x:c>
      <x:c r="Q4848" s="34" t="str">
        <x:v>Feedback-Directed Random Test Generation/Result_Round2/Jsoup_69/result.json</x:v>
      </x:c>
    </x:row>
    <x:row r="4849">
      <x:c r="A4849" s="34" t="str">
        <x:v>randoop</x:v>
      </x:c>
      <x:c r="B4849" s="34" t="str">
        <x:v>Jsoup</x:v>
      </x:c>
      <x:c r="C4849" s="34" t="str">
        <x:v>Round2</x:v>
      </x:c>
      <x:c r="D4849" s="34" t="str">
        <x:v>Jsoup_70</x:v>
      </x:c>
      <x:c r="E4849" s="34" t="str">
        <x:v>Condition</x:v>
      </x:c>
      <x:c r="F4849" s="34" t="n">
        <x:v>206</x:v>
      </x:c>
      <x:c r="G4849" s="34" t="str">
        <x:v>RECORDED</x:v>
      </x:c>
      <x:c r="H4849" s="38" t="n">
        <x:f>IF(ISNUMBER('Data'!I1433),'Data'!I1433*100,"")</x:f>
        <x:v>69.9</x:v>
      </x:c>
      <x:c r="I4849" s="34" t="str">
        <x:v>PASS</x:v>
      </x:c>
      <x:c r="J4849" s="34" t="str">
        <x:v>PASS</x:v>
      </x:c>
      <x:c r="K4849" s="34" t="str">
        <x:v>PASS</x:v>
      </x:c>
      <x:c r="L4849" s="34" t="str">
        <x:v>FAIL</x:v>
      </x:c>
      <x:c r="M4849" s="34" t="str">
        <x:v>numeric coverage for applicable metric</x:v>
      </x:c>
      <x:c r="N4849" s="34" t="str">
        <x:v>Feedback-Directed Random Test Generation/Result_Round2/Jsoup_70/result.json</x:v>
      </x:c>
      <x:c r="O4849" s="38" t="n">
        <x:f>IF(AND(G4849="RECORDED",ISNUMBER(H4849)),H4849,"")</x:f>
        <x:v>69.9</x:v>
      </x:c>
      <x:c r="P4849" s="34" t="str">
        <x:v>INCONCLUSIVE</x:v>
      </x:c>
      <x:c r="Q4849" s="34" t="str">
        <x:v>Feedback-Directed Random Test Generation/Result_Round2/Jsoup_70/result.json</x:v>
      </x:c>
    </x:row>
    <x:row r="4850">
      <x:c r="A4850" s="34" t="str">
        <x:v>randoop</x:v>
      </x:c>
      <x:c r="B4850" s="34" t="str">
        <x:v>Jsoup</x:v>
      </x:c>
      <x:c r="C4850" s="34" t="str">
        <x:v>Round2</x:v>
      </x:c>
      <x:c r="D4850" s="34" t="str">
        <x:v>Jsoup_71</x:v>
      </x:c>
      <x:c r="E4850" s="34" t="str">
        <x:v>Condition</x:v>
      </x:c>
      <x:c r="F4850" s="34" t="n">
        <x:v>248</x:v>
      </x:c>
      <x:c r="G4850" s="34" t="str">
        <x:v>RECORDED</x:v>
      </x:c>
      <x:c r="H4850" s="38" t="n">
        <x:f>IF(ISNUMBER('Data'!I1434),'Data'!I1434*100,"")</x:f>
        <x:v>40.73</x:v>
      </x:c>
      <x:c r="I4850" s="34" t="str">
        <x:v>PASS</x:v>
      </x:c>
      <x:c r="J4850" s="34" t="str">
        <x:v>PASS</x:v>
      </x:c>
      <x:c r="K4850" s="34" t="str">
        <x:v>PASS</x:v>
      </x:c>
      <x:c r="L4850" s="34" t="str">
        <x:v>PASS</x:v>
      </x:c>
      <x:c r="M4850" s="34" t="str">
        <x:v>numeric coverage for applicable metric</x:v>
      </x:c>
      <x:c r="N4850" s="34" t="str">
        <x:v>Feedback-Directed Random Test Generation/Result_Round2/Jsoup_71/result.json</x:v>
      </x:c>
      <x:c r="O4850" s="38" t="n">
        <x:f>IF(AND(G4850="RECORDED",ISNUMBER(H4850)),H4850,"")</x:f>
        <x:v>40.73</x:v>
      </x:c>
      <x:c r="P4850" s="34" t="str">
        <x:v>NOT_REVEALING</x:v>
      </x:c>
      <x:c r="Q4850" s="34" t="str">
        <x:v>Feedback-Directed Random Test Generation/Result_Round2/Jsoup_71/result.json</x:v>
      </x:c>
    </x:row>
    <x:row r="4851">
      <x:c r="A4851" s="34" t="str">
        <x:v>randoop</x:v>
      </x:c>
      <x:c r="B4851" s="34" t="str">
        <x:v>Jsoup</x:v>
      </x:c>
      <x:c r="C4851" s="34" t="str">
        <x:v>Round2</x:v>
      </x:c>
      <x:c r="D4851" s="34" t="str">
        <x:v>Jsoup_72</x:v>
      </x:c>
      <x:c r="E4851" s="34" t="str">
        <x:v>Condition</x:v>
      </x:c>
      <x:c r="F4851" s="34" t="n">
        <x:v>198</x:v>
      </x:c>
      <x:c r="G4851" s="34" t="str">
        <x:v>RECORDED</x:v>
      </x:c>
      <x:c r="H4851" s="38" t="n">
        <x:f>IF(ISNUMBER('Data'!I1435),'Data'!I1435*100,"")</x:f>
        <x:v>79.8</x:v>
      </x:c>
      <x:c r="I4851" s="34" t="str">
        <x:v>PASS</x:v>
      </x:c>
      <x:c r="J4851" s="34" t="str">
        <x:v>PASS</x:v>
      </x:c>
      <x:c r="K4851" s="34" t="str">
        <x:v>PASS</x:v>
      </x:c>
      <x:c r="L4851" s="34" t="str">
        <x:v>PASS</x:v>
      </x:c>
      <x:c r="M4851" s="34" t="str">
        <x:v>numeric coverage for applicable metric</x:v>
      </x:c>
      <x:c r="N4851" s="34" t="str">
        <x:v>Feedback-Directed Random Test Generation/Result_Round2/Jsoup_72/result.json</x:v>
      </x:c>
      <x:c r="O4851" s="38" t="n">
        <x:f>IF(AND(G4851="RECORDED",ISNUMBER(H4851)),H4851,"")</x:f>
        <x:v>79.8</x:v>
      </x:c>
      <x:c r="P4851" s="34" t="str">
        <x:v>INCONCLUSIVE</x:v>
      </x:c>
      <x:c r="Q4851" s="34" t="str">
        <x:v>Feedback-Directed Random Test Generation/Result_Round2/Jsoup_72/result.json</x:v>
      </x:c>
    </x:row>
    <x:row r="4852">
      <x:c r="A4852" s="34" t="str">
        <x:v>randoop</x:v>
      </x:c>
      <x:c r="B4852" s="34" t="str">
        <x:v>Jsoup</x:v>
      </x:c>
      <x:c r="C4852" s="34" t="str">
        <x:v>Round2</x:v>
      </x:c>
      <x:c r="D4852" s="34" t="str">
        <x:v>Jsoup_73</x:v>
      </x:c>
      <x:c r="E4852" s="34" t="str">
        <x:v>Condition</x:v>
      </x:c>
      <x:c r="F4852" s="34" t="n">
        <x:v>28</x:v>
      </x:c>
      <x:c r="G4852" s="34" t="str">
        <x:v>RECORDED</x:v>
      </x:c>
      <x:c r="H4852" s="38" t="n">
        <x:f>IF(ISNUMBER('Data'!I1436),'Data'!I1436*100,"")</x:f>
        <x:v>17.86</x:v>
      </x:c>
      <x:c r="I4852" s="34" t="str">
        <x:v>PASS</x:v>
      </x:c>
      <x:c r="J4852" s="34" t="str">
        <x:v>PASS</x:v>
      </x:c>
      <x:c r="K4852" s="34" t="str">
        <x:v>PASS</x:v>
      </x:c>
      <x:c r="L4852" s="34" t="str">
        <x:v>PASS</x:v>
      </x:c>
      <x:c r="M4852" s="34" t="str">
        <x:v>numeric coverage for applicable metric</x:v>
      </x:c>
      <x:c r="N4852" s="34" t="str">
        <x:v>Feedback-Directed Random Test Generation/Result_Round2/Jsoup_73/result.json</x:v>
      </x:c>
      <x:c r="O4852" s="38" t="n">
        <x:f>IF(AND(G4852="RECORDED",ISNUMBER(H4852)),H4852,"")</x:f>
        <x:v>17.86</x:v>
      </x:c>
      <x:c r="P4852" s="34" t="str">
        <x:v>INCONCLUSIVE</x:v>
      </x:c>
      <x:c r="Q4852" s="34" t="str">
        <x:v>Feedback-Directed Random Test Generation/Result_Round2/Jsoup_73/result.json</x:v>
      </x:c>
    </x:row>
    <x:row r="4853">
      <x:c r="A4853" s="34" t="str">
        <x:v>randoop</x:v>
      </x:c>
      <x:c r="B4853" s="34" t="str">
        <x:v>Jsoup</x:v>
      </x:c>
      <x:c r="C4853" s="34" t="str">
        <x:v>Round2</x:v>
      </x:c>
      <x:c r="D4853" s="34" t="str">
        <x:v>Jsoup_74</x:v>
      </x:c>
      <x:c r="E4853" s="34" t="str">
        <x:v>Condition</x:v>
      </x:c>
      <x:c r="F4853" s="34" t="n">
        <x:v>74</x:v>
      </x:c>
      <x:c r="G4853" s="34" t="str">
        <x:v>RECORDED</x:v>
      </x:c>
      <x:c r="H4853" s="38" t="n">
        <x:f>IF(ISNUMBER('Data'!I1437),'Data'!I1437*100,"")</x:f>
        <x:v>77.03</x:v>
      </x:c>
      <x:c r="I4853" s="34" t="str">
        <x:v>PASS</x:v>
      </x:c>
      <x:c r="J4853" s="34" t="str">
        <x:v>PASS</x:v>
      </x:c>
      <x:c r="K4853" s="34" t="str">
        <x:v>PASS</x:v>
      </x:c>
      <x:c r="L4853" s="34" t="str">
        <x:v>PASS</x:v>
      </x:c>
      <x:c r="M4853" s="34" t="str">
        <x:v>numeric coverage for applicable metric</x:v>
      </x:c>
      <x:c r="N4853" s="34" t="str">
        <x:v>Feedback-Directed Random Test Generation/Result_Round2/Jsoup_74/result.json</x:v>
      </x:c>
      <x:c r="O4853" s="38" t="n">
        <x:f>IF(AND(G4853="RECORDED",ISNUMBER(H4853)),H4853,"")</x:f>
        <x:v>77.03</x:v>
      </x:c>
      <x:c r="P4853" s="34" t="str">
        <x:v>NOT_REVEALING</x:v>
      </x:c>
      <x:c r="Q4853" s="34" t="str">
        <x:v>Feedback-Directed Random Test Generation/Result_Round2/Jsoup_74/result.json</x:v>
      </x:c>
    </x:row>
    <x:row r="4854">
      <x:c r="A4854" s="34" t="str">
        <x:v>randoop</x:v>
      </x:c>
      <x:c r="B4854" s="34" t="str">
        <x:v>Jsoup</x:v>
      </x:c>
      <x:c r="C4854" s="34" t="str">
        <x:v>Round2</x:v>
      </x:c>
      <x:c r="D4854" s="34" t="str">
        <x:v>Jsoup_75</x:v>
      </x:c>
      <x:c r="E4854" s="34" t="str">
        <x:v>Condition</x:v>
      </x:c>
      <x:c r="F4854" s="34" t="n">
        <x:v>84</x:v>
      </x:c>
      <x:c r="G4854" s="34" t="str">
        <x:v>RECORDED</x:v>
      </x:c>
      <x:c r="H4854" s="38" t="n">
        <x:f>IF(ISNUMBER('Data'!I1438),'Data'!I1438*100,"")</x:f>
        <x:v>82.14</x:v>
      </x:c>
      <x:c r="I4854" s="34" t="str">
        <x:v>PASS</x:v>
      </x:c>
      <x:c r="J4854" s="34" t="str">
        <x:v>PASS</x:v>
      </x:c>
      <x:c r="K4854" s="34" t="str">
        <x:v>PASS</x:v>
      </x:c>
      <x:c r="L4854" s="34" t="str">
        <x:v>PASS</x:v>
      </x:c>
      <x:c r="M4854" s="34" t="str">
        <x:v>numeric coverage for applicable metric</x:v>
      </x:c>
      <x:c r="N4854" s="34" t="str">
        <x:v>Feedback-Directed Random Test Generation/Result_Round2/Jsoup_75/result.json</x:v>
      </x:c>
      <x:c r="O4854" s="38" t="n">
        <x:f>IF(AND(G4854="RECORDED",ISNUMBER(H4854)),H4854,"")</x:f>
        <x:v>82.14</x:v>
      </x:c>
      <x:c r="P4854" s="34" t="str">
        <x:v>INCONCLUSIVE</x:v>
      </x:c>
      <x:c r="Q4854" s="34" t="str">
        <x:v>Feedback-Directed Random Test Generation/Result_Round2/Jsoup_75/result.json</x:v>
      </x:c>
    </x:row>
    <x:row r="4855">
      <x:c r="A4855" s="34" t="str">
        <x:v>randoop</x:v>
      </x:c>
      <x:c r="B4855" s="34" t="str">
        <x:v>Jsoup</x:v>
      </x:c>
      <x:c r="C4855" s="34" t="str">
        <x:v>Round2</x:v>
      </x:c>
      <x:c r="D4855" s="34" t="str">
        <x:v>Jsoup_76</x:v>
      </x:c>
      <x:c r="E4855" s="34" t="str">
        <x:v>Condition</x:v>
      </x:c>
      <x:c r="F4855" s="34" t="n">
        <x:v>787</x:v>
      </x:c>
      <x:c r="G4855" s="34" t="str">
        <x:v>RECORDED</x:v>
      </x:c>
      <x:c r="H4855" s="38" t="n">
        <x:f>IF(ISNUMBER('Data'!I1439),'Data'!I1439*100,"")</x:f>
        <x:v>0</x:v>
      </x:c>
      <x:c r="I4855" s="34" t="str">
        <x:v>PASS</x:v>
      </x:c>
      <x:c r="J4855" s="34" t="str">
        <x:v>PASS</x:v>
      </x:c>
      <x:c r="K4855" s="34" t="str">
        <x:v>PASS</x:v>
      </x:c>
      <x:c r="L4855" s="34" t="str">
        <x:v>PASS</x:v>
      </x:c>
      <x:c r="M4855" s="34" t="str">
        <x:v>numeric coverage for applicable metric</x:v>
      </x:c>
      <x:c r="N4855" s="34" t="str">
        <x:v>Feedback-Directed Random Test Generation/Result_Round2/Jsoup_76/result.json</x:v>
      </x:c>
      <x:c r="O4855" s="38" t="n">
        <x:f>IF(AND(G4855="RECORDED",ISNUMBER(H4855)),H4855,"")</x:f>
        <x:v>0</x:v>
      </x:c>
      <x:c r="P4855" s="34" t="str">
        <x:v>NOT_REVEALING</x:v>
      </x:c>
      <x:c r="Q4855" s="34" t="str">
        <x:v>Feedback-Directed Random Test Generation/Result_Round2/Jsoup_76/result.json</x:v>
      </x:c>
    </x:row>
    <x:row r="4856">
      <x:c r="A4856" s="34" t="str">
        <x:v>randoop</x:v>
      </x:c>
      <x:c r="B4856" s="34" t="str">
        <x:v>Jsoup</x:v>
      </x:c>
      <x:c r="C4856" s="34" t="str">
        <x:v>Round2</x:v>
      </x:c>
      <x:c r="D4856" s="34" t="str">
        <x:v>Jsoup_77</x:v>
      </x:c>
      <x:c r="E4856" s="34" t="str">
        <x:v>Condition</x:v>
      </x:c>
      <x:c r="F4856" s="34" t="n">
        <x:v>31</x:v>
      </x:c>
      <x:c r="G4856" s="34" t="str">
        <x:v>RECORDED</x:v>
      </x:c>
      <x:c r="H4856" s="38" t="n">
        <x:f>IF(ISNUMBER('Data'!I1440),'Data'!I1440*100,"")</x:f>
        <x:v>16.13</x:v>
      </x:c>
      <x:c r="I4856" s="34" t="str">
        <x:v>PASS</x:v>
      </x:c>
      <x:c r="J4856" s="34" t="str">
        <x:v>PASS</x:v>
      </x:c>
      <x:c r="K4856" s="34" t="str">
        <x:v>PASS</x:v>
      </x:c>
      <x:c r="L4856" s="34" t="str">
        <x:v>PASS</x:v>
      </x:c>
      <x:c r="M4856" s="34" t="str">
        <x:v>numeric coverage for applicable metric</x:v>
      </x:c>
      <x:c r="N4856" s="34" t="str">
        <x:v>Feedback-Directed Random Test Generation/Result_Round2/Jsoup_77/result.json</x:v>
      </x:c>
      <x:c r="O4856" s="38" t="n">
        <x:f>IF(AND(G4856="RECORDED",ISNUMBER(H4856)),H4856,"")</x:f>
        <x:v>16.13</x:v>
      </x:c>
      <x:c r="P4856" s="34" t="str">
        <x:v>NOT_REVEALING</x:v>
      </x:c>
      <x:c r="Q4856" s="34" t="str">
        <x:v>Feedback-Directed Random Test Generation/Result_Round2/Jsoup_77/result.json</x:v>
      </x:c>
    </x:row>
    <x:row r="4857">
      <x:c r="A4857" s="34" t="str">
        <x:v>randoop</x:v>
      </x:c>
      <x:c r="B4857" s="34" t="str">
        <x:v>Jsoup</x:v>
      </x:c>
      <x:c r="C4857" s="34" t="str">
        <x:v>Round2</x:v>
      </x:c>
      <x:c r="D4857" s="34" t="str">
        <x:v>Jsoup_78</x:v>
      </x:c>
      <x:c r="E4857" s="34" t="str">
        <x:v>Condition</x:v>
      </x:c>
      <x:c r="F4857" s="34" t="n">
        <x:v>88</x:v>
      </x:c>
      <x:c r="G4857" s="34" t="str">
        <x:v>RECORDED</x:v>
      </x:c>
      <x:c r="H4857" s="38" t="n">
        <x:f>IF(ISNUMBER('Data'!I1441),'Data'!I1441*100,"")</x:f>
        <x:v>7.95</x:v>
      </x:c>
      <x:c r="I4857" s="34" t="str">
        <x:v>PASS</x:v>
      </x:c>
      <x:c r="J4857" s="34" t="str">
        <x:v>PASS</x:v>
      </x:c>
      <x:c r="K4857" s="34" t="str">
        <x:v>PASS</x:v>
      </x:c>
      <x:c r="L4857" s="34" t="str">
        <x:v>PASS</x:v>
      </x:c>
      <x:c r="M4857" s="34" t="str">
        <x:v>numeric coverage for applicable metric</x:v>
      </x:c>
      <x:c r="N4857" s="34" t="str">
        <x:v>Feedback-Directed Random Test Generation/Result_Round2/Jsoup_78/result.json</x:v>
      </x:c>
      <x:c r="O4857" s="38" t="n">
        <x:f>IF(AND(G4857="RECORDED",ISNUMBER(H4857)),H4857,"")</x:f>
        <x:v>7.95</x:v>
      </x:c>
      <x:c r="P4857" s="34" t="str">
        <x:v>NOT_REVEALING</x:v>
      </x:c>
      <x:c r="Q4857" s="34" t="str">
        <x:v>Feedback-Directed Random Test Generation/Result_Round2/Jsoup_78/result.json</x:v>
      </x:c>
    </x:row>
    <x:row r="4858">
      <x:c r="A4858" s="34" t="str">
        <x:v>randoop</x:v>
      </x:c>
      <x:c r="B4858" s="34" t="str">
        <x:v>Jsoup</x:v>
      </x:c>
      <x:c r="C4858" s="34" t="str">
        <x:v>Round2</x:v>
      </x:c>
      <x:c r="D4858" s="34" t="str">
        <x:v>Jsoup_79</x:v>
      </x:c>
      <x:c r="E4858" s="34" t="str">
        <x:v>Condition</x:v>
      </x:c>
      <x:c r="F4858" s="34" t="n">
        <x:v>14</x:v>
      </x:c>
      <x:c r="G4858" s="34" t="str">
        <x:v>RECORDED</x:v>
      </x:c>
      <x:c r="H4858" s="38" t="n">
        <x:f>IF(ISNUMBER('Data'!I1442),'Data'!I1442*100,"")</x:f>
        <x:v>0</x:v>
      </x:c>
      <x:c r="I4858" s="34" t="str">
        <x:v>PASS</x:v>
      </x:c>
      <x:c r="J4858" s="34" t="str">
        <x:v>PASS</x:v>
      </x:c>
      <x:c r="K4858" s="34" t="str">
        <x:v>PASS</x:v>
      </x:c>
      <x:c r="L4858" s="34" t="str">
        <x:v>PASS</x:v>
      </x:c>
      <x:c r="M4858" s="34" t="str">
        <x:v>numeric coverage for applicable metric</x:v>
      </x:c>
      <x:c r="N4858" s="34" t="str">
        <x:v>Feedback-Directed Random Test Generation/Result_Round2/Jsoup_79/result.json</x:v>
      </x:c>
      <x:c r="O4858" s="38" t="n">
        <x:f>IF(AND(G4858="RECORDED",ISNUMBER(H4858)),H4858,"")</x:f>
        <x:v>0</x:v>
      </x:c>
      <x:c r="P4858" s="34" t="str">
        <x:v>NOT_REVEALING</x:v>
      </x:c>
      <x:c r="Q4858" s="34" t="str">
        <x:v>Feedback-Directed Random Test Generation/Result_Round2/Jsoup_79/result.json</x:v>
      </x:c>
    </x:row>
    <x:row r="4859">
      <x:c r="A4859" s="34" t="str">
        <x:v>randoop</x:v>
      </x:c>
      <x:c r="B4859" s="34" t="str">
        <x:v>Jsoup</x:v>
      </x:c>
      <x:c r="C4859" s="34" t="str">
        <x:v>Round2</x:v>
      </x:c>
      <x:c r="D4859" s="34" t="str">
        <x:v>Jsoup_80</x:v>
      </x:c>
      <x:c r="E4859" s="34" t="str">
        <x:v>Condition</x:v>
      </x:c>
      <x:c r="F4859" s="34" t="n">
        <x:v>31</x:v>
      </x:c>
      <x:c r="G4859" s="34" t="str">
        <x:v>RECORDED</x:v>
      </x:c>
      <x:c r="H4859" s="38" t="n">
        <x:f>IF(ISNUMBER('Data'!I1443),'Data'!I1443*100,"")</x:f>
        <x:v>16.13</x:v>
      </x:c>
      <x:c r="I4859" s="34" t="str">
        <x:v>PASS</x:v>
      </x:c>
      <x:c r="J4859" s="34" t="str">
        <x:v>PASS</x:v>
      </x:c>
      <x:c r="K4859" s="34" t="str">
        <x:v>PASS</x:v>
      </x:c>
      <x:c r="L4859" s="34" t="str">
        <x:v>PASS</x:v>
      </x:c>
      <x:c r="M4859" s="34" t="str">
        <x:v>numeric coverage for applicable metric</x:v>
      </x:c>
      <x:c r="N4859" s="34" t="str">
        <x:v>Feedback-Directed Random Test Generation/Result_Round2/Jsoup_80/result.json</x:v>
      </x:c>
      <x:c r="O4859" s="38" t="n">
        <x:f>IF(AND(G4859="RECORDED",ISNUMBER(H4859)),H4859,"")</x:f>
        <x:v>16.13</x:v>
      </x:c>
      <x:c r="P4859" s="34" t="str">
        <x:v>NOT_REVEALING</x:v>
      </x:c>
      <x:c r="Q4859" s="34" t="str">
        <x:v>Feedback-Directed Random Test Generation/Result_Round2/Jsoup_80/result.json</x:v>
      </x:c>
    </x:row>
    <x:row r="4860">
      <x:c r="A4860" s="34" t="str">
        <x:v>randoop</x:v>
      </x:c>
      <x:c r="B4860" s="34" t="str">
        <x:v>Jsoup</x:v>
      </x:c>
      <x:c r="C4860" s="34" t="str">
        <x:v>Round2</x:v>
      </x:c>
      <x:c r="D4860" s="34" t="str">
        <x:v>Jsoup_81</x:v>
      </x:c>
      <x:c r="E4860" s="34" t="str">
        <x:v>Condition</x:v>
      </x:c>
      <x:c r="F4860" s="34" t="n">
        <x:v>94</x:v>
      </x:c>
      <x:c r="G4860" s="34" t="str">
        <x:v>RECORDED</x:v>
      </x:c>
      <x:c r="H4860" s="38" t="n">
        <x:f>IF(ISNUMBER('Data'!I1444),'Data'!I1444*100,"")</x:f>
        <x:v>7.449999999999999</x:v>
      </x:c>
      <x:c r="I4860" s="34" t="str">
        <x:v>PASS</x:v>
      </x:c>
      <x:c r="J4860" s="34" t="str">
        <x:v>PASS</x:v>
      </x:c>
      <x:c r="K4860" s="34" t="str">
        <x:v>PASS</x:v>
      </x:c>
      <x:c r="L4860" s="34" t="str">
        <x:v>PASS</x:v>
      </x:c>
      <x:c r="M4860" s="34" t="str">
        <x:v>numeric coverage for applicable metric</x:v>
      </x:c>
      <x:c r="N4860" s="34" t="str">
        <x:v>Feedback-Directed Random Test Generation/Result_Round2/Jsoup_81/result.json</x:v>
      </x:c>
      <x:c r="O4860" s="38" t="n">
        <x:f>IF(AND(G4860="RECORDED",ISNUMBER(H4860)),H4860,"")</x:f>
        <x:v>7.449999999999999</x:v>
      </x:c>
      <x:c r="P4860" s="34" t="str">
        <x:v>NOT_REVEALING</x:v>
      </x:c>
      <x:c r="Q4860" s="34" t="str">
        <x:v>Feedback-Directed Random Test Generation/Result_Round2/Jsoup_81/result.json</x:v>
      </x:c>
    </x:row>
    <x:row r="4861">
      <x:c r="A4861" s="34" t="str">
        <x:v>randoop</x:v>
      </x:c>
      <x:c r="B4861" s="34" t="str">
        <x:v>Jsoup</x:v>
      </x:c>
      <x:c r="C4861" s="34" t="str">
        <x:v>Round2</x:v>
      </x:c>
      <x:c r="D4861" s="34" t="str">
        <x:v>Jsoup_82</x:v>
      </x:c>
      <x:c r="E4861" s="34" t="str">
        <x:v>Condition</x:v>
      </x:c>
      <x:c r="F4861" s="34" t="n">
        <x:v>96</x:v>
      </x:c>
      <x:c r="G4861" s="34" t="str">
        <x:v>RECORDED</x:v>
      </x:c>
      <x:c r="H4861" s="38" t="n">
        <x:f>IF(ISNUMBER('Data'!I1445),'Data'!I1445*100,"")</x:f>
        <x:v>7.290000000000001</x:v>
      </x:c>
      <x:c r="I4861" s="34" t="str">
        <x:v>PASS</x:v>
      </x:c>
      <x:c r="J4861" s="34" t="str">
        <x:v>PASS</x:v>
      </x:c>
      <x:c r="K4861" s="34" t="str">
        <x:v>PASS</x:v>
      </x:c>
      <x:c r="L4861" s="34" t="str">
        <x:v>PASS</x:v>
      </x:c>
      <x:c r="M4861" s="34" t="str">
        <x:v>numeric coverage for applicable metric</x:v>
      </x:c>
      <x:c r="N4861" s="34" t="str">
        <x:v>Feedback-Directed Random Test Generation/Result_Round2/Jsoup_82/result.json</x:v>
      </x:c>
      <x:c r="O4861" s="38" t="n">
        <x:f>IF(AND(G4861="RECORDED",ISNUMBER(H4861)),H4861,"")</x:f>
        <x:v>7.290000000000001</x:v>
      </x:c>
      <x:c r="P4861" s="34" t="str">
        <x:v>NOT_REVEALING</x:v>
      </x:c>
      <x:c r="Q4861" s="34" t="str">
        <x:v>Feedback-Directed Random Test Generation/Result_Round2/Jsoup_82/result.json</x:v>
      </x:c>
    </x:row>
    <x:row r="4862">
      <x:c r="A4862" s="34" t="str">
        <x:v>randoop</x:v>
      </x:c>
      <x:c r="B4862" s="34" t="str">
        <x:v>Jsoup</x:v>
      </x:c>
      <x:c r="C4862" s="34" t="str">
        <x:v>Round2</x:v>
      </x:c>
      <x:c r="D4862" s="34" t="str">
        <x:v>Jsoup_83</x:v>
      </x:c>
      <x:c r="E4862" s="34" t="str">
        <x:v>Condition</x:v>
      </x:c>
      <x:c r="F4862" s="34" t="n">
        <x:v>533</x:v>
      </x:c>
      <x:c r="G4862" s="34" t="str">
        <x:v>RECORDED</x:v>
      </x:c>
      <x:c r="H4862" s="38" t="n">
        <x:f>IF(ISNUMBER('Data'!I1446),'Data'!I1446*100,"")</x:f>
        <x:v>49.53</x:v>
      </x:c>
      <x:c r="I4862" s="34" t="str">
        <x:v>PASS</x:v>
      </x:c>
      <x:c r="J4862" s="34" t="str">
        <x:v>PASS</x:v>
      </x:c>
      <x:c r="K4862" s="34" t="str">
        <x:v>PASS</x:v>
      </x:c>
      <x:c r="L4862" s="34" t="str">
        <x:v>PASS</x:v>
      </x:c>
      <x:c r="M4862" s="34" t="str">
        <x:v>numeric coverage for applicable metric</x:v>
      </x:c>
      <x:c r="N4862" s="34" t="str">
        <x:v>Feedback-Directed Random Test Generation/Result_Round2/Jsoup_83/result.json</x:v>
      </x:c>
      <x:c r="O4862" s="38" t="n">
        <x:f>IF(AND(G4862="RECORDED",ISNUMBER(H4862)),H4862,"")</x:f>
        <x:v>49.53</x:v>
      </x:c>
      <x:c r="P4862" s="34" t="str">
        <x:v>NOT_REVEALING</x:v>
      </x:c>
      <x:c r="Q4862" s="34" t="str">
        <x:v>Feedback-Directed Random Test Generation/Result_Round2/Jsoup_83/result.json</x:v>
      </x:c>
    </x:row>
    <x:row r="4863">
      <x:c r="A4863" s="34" t="str">
        <x:v>randoop</x:v>
      </x:c>
      <x:c r="B4863" s="34" t="str">
        <x:v>Jsoup</x:v>
      </x:c>
      <x:c r="C4863" s="34" t="str">
        <x:v>Round2</x:v>
      </x:c>
      <x:c r="D4863" s="34" t="str">
        <x:v>Jsoup_84</x:v>
      </x:c>
      <x:c r="E4863" s="34" t="str">
        <x:v>Condition</x:v>
      </x:c>
      <x:c r="F4863" s="34" t="n">
        <x:v>28</x:v>
      </x:c>
      <x:c r="G4863" s="34" t="str">
        <x:v>RECORDED</x:v>
      </x:c>
      <x:c r="H4863" s="38" t="n">
        <x:f>IF(ISNUMBER('Data'!I1447),'Data'!I1447*100,"")</x:f>
        <x:v>17.86</x:v>
      </x:c>
      <x:c r="I4863" s="34" t="str">
        <x:v>PASS</x:v>
      </x:c>
      <x:c r="J4863" s="34" t="str">
        <x:v>PASS</x:v>
      </x:c>
      <x:c r="K4863" s="34" t="str">
        <x:v>PASS</x:v>
      </x:c>
      <x:c r="L4863" s="34" t="str">
        <x:v>PASS</x:v>
      </x:c>
      <x:c r="M4863" s="34" t="str">
        <x:v>numeric coverage for applicable metric</x:v>
      </x:c>
      <x:c r="N4863" s="34" t="str">
        <x:v>Feedback-Directed Random Test Generation/Result_Round2/Jsoup_84/result.json</x:v>
      </x:c>
      <x:c r="O4863" s="38" t="n">
        <x:f>IF(AND(G4863="RECORDED",ISNUMBER(H4863)),H4863,"")</x:f>
        <x:v>17.86</x:v>
      </x:c>
      <x:c r="P4863" s="34" t="str">
        <x:v>NOT_REVEALING</x:v>
      </x:c>
      <x:c r="Q4863" s="34" t="str">
        <x:v>Feedback-Directed Random Test Generation/Result_Round2/Jsoup_84/result.json</x:v>
      </x:c>
    </x:row>
    <x:row r="4864">
      <x:c r="A4864" s="34" t="str">
        <x:v>randoop</x:v>
      </x:c>
      <x:c r="B4864" s="34" t="str">
        <x:v>Jsoup</x:v>
      </x:c>
      <x:c r="C4864" s="34" t="str">
        <x:v>Round2</x:v>
      </x:c>
      <x:c r="D4864" s="34" t="str">
        <x:v>Jsoup_85</x:v>
      </x:c>
      <x:c r="E4864" s="34" t="str">
        <x:v>Condition</x:v>
      </x:c>
      <x:c r="F4864" s="34" t="n">
        <x:v>50</x:v>
      </x:c>
      <x:c r="G4864" s="34" t="str">
        <x:v>RECORDED</x:v>
      </x:c>
      <x:c r="H4864" s="38" t="n">
        <x:f>IF(ISNUMBER('Data'!I1448),'Data'!I1448*100,"")</x:f>
        <x:v>44</x:v>
      </x:c>
      <x:c r="I4864" s="34" t="str">
        <x:v>PASS</x:v>
      </x:c>
      <x:c r="J4864" s="34" t="str">
        <x:v>PASS</x:v>
      </x:c>
      <x:c r="K4864" s="34" t="str">
        <x:v>PASS</x:v>
      </x:c>
      <x:c r="L4864" s="34" t="str">
        <x:v>FAIL</x:v>
      </x:c>
      <x:c r="M4864" s="34" t="str">
        <x:v>numeric coverage for applicable metric</x:v>
      </x:c>
      <x:c r="N4864" s="34" t="str">
        <x:v>Feedback-Directed Random Test Generation/Result_Round2/Jsoup_85/result.json</x:v>
      </x:c>
      <x:c r="O4864" s="38" t="n">
        <x:f>IF(AND(G4864="RECORDED",ISNUMBER(H4864)),H4864,"")</x:f>
        <x:v>44</x:v>
      </x:c>
      <x:c r="P4864" s="34" t="str">
        <x:v>INCONCLUSIVE</x:v>
      </x:c>
      <x:c r="Q4864" s="34" t="str">
        <x:v>Feedback-Directed Random Test Generation/Result_Round2/Jsoup_85/result.json</x:v>
      </x:c>
    </x:row>
    <x:row r="4865">
      <x:c r="A4865" s="34" t="str">
        <x:v>randoop</x:v>
      </x:c>
      <x:c r="B4865" s="34" t="str">
        <x:v>Jsoup</x:v>
      </x:c>
      <x:c r="C4865" s="34" t="str">
        <x:v>Round2</x:v>
      </x:c>
      <x:c r="D4865" s="34" t="str">
        <x:v>Jsoup_86</x:v>
      </x:c>
      <x:c r="E4865" s="34" t="str">
        <x:v>Condition</x:v>
      </x:c>
      <x:c r="F4865" s="34" t="n">
        <x:v>10</x:v>
      </x:c>
      <x:c r="G4865" s="34" t="str">
        <x:v>RECORDED</x:v>
      </x:c>
      <x:c r="H4865" s="38" t="n">
        <x:f>IF(ISNUMBER('Data'!I1449),'Data'!I1449*100,"")</x:f>
        <x:v>60</x:v>
      </x:c>
      <x:c r="I4865" s="34" t="str">
        <x:v>PASS</x:v>
      </x:c>
      <x:c r="J4865" s="34" t="str">
        <x:v>PASS</x:v>
      </x:c>
      <x:c r="K4865" s="34" t="str">
        <x:v>PASS</x:v>
      </x:c>
      <x:c r="L4865" s="34" t="str">
        <x:v>FAIL</x:v>
      </x:c>
      <x:c r="M4865" s="34" t="str">
        <x:v>numeric coverage for applicable metric</x:v>
      </x:c>
      <x:c r="N4865" s="34" t="str">
        <x:v>Feedback-Directed Random Test Generation/Result_Round2/Jsoup_86/result.json</x:v>
      </x:c>
      <x:c r="O4865" s="38" t="n">
        <x:f>IF(AND(G4865="RECORDED",ISNUMBER(H4865)),H4865,"")</x:f>
        <x:v>60</x:v>
      </x:c>
      <x:c r="P4865" s="34" t="str">
        <x:v>INCONCLUSIVE</x:v>
      </x:c>
      <x:c r="Q4865" s="34" t="str">
        <x:v>Feedback-Directed Random Test Generation/Result_Round2/Jsoup_86/result.json</x:v>
      </x:c>
    </x:row>
    <x:row r="4866">
      <x:c r="A4866" s="34" t="str">
        <x:v>randoop</x:v>
      </x:c>
      <x:c r="B4866" s="34" t="str">
        <x:v>Jsoup</x:v>
      </x:c>
      <x:c r="C4866" s="34" t="str">
        <x:v>Round2</x:v>
      </x:c>
      <x:c r="D4866" s="34" t="str">
        <x:v>Jsoup_87</x:v>
      </x:c>
      <x:c r="E4866" s="34" t="str">
        <x:v>Condition</x:v>
      </x:c>
      <x:c r="F4866" s="34" t="n">
        <x:v>1259</x:v>
      </x:c>
      <x:c r="G4866" s="34" t="str">
        <x:v>RECORDED</x:v>
      </x:c>
      <x:c r="H4866" s="38" t="n">
        <x:f>IF(ISNUMBER('Data'!I1450),'Data'!I1450*100,"")</x:f>
        <x:v>26.530000000000005</x:v>
      </x:c>
      <x:c r="I4866" s="34" t="str">
        <x:v>PASS</x:v>
      </x:c>
      <x:c r="J4866" s="34" t="str">
        <x:v>PASS</x:v>
      </x:c>
      <x:c r="K4866" s="34" t="str">
        <x:v>PASS</x:v>
      </x:c>
      <x:c r="L4866" s="34" t="str">
        <x:v>FAIL</x:v>
      </x:c>
      <x:c r="M4866" s="34" t="str">
        <x:v>numeric coverage for applicable metric</x:v>
      </x:c>
      <x:c r="N4866" s="34" t="str">
        <x:v>Feedback-Directed Random Test Generation/Result_Round2/Jsoup_87/result.json</x:v>
      </x:c>
      <x:c r="O4866" s="38" t="n">
        <x:f>IF(AND(G4866="RECORDED",ISNUMBER(H4866)),H4866,"")</x:f>
        <x:v>26.530000000000005</x:v>
      </x:c>
      <x:c r="P4866" s="34" t="str">
        <x:v>INCONCLUSIVE</x:v>
      </x:c>
      <x:c r="Q4866" s="34" t="str">
        <x:v>Feedback-Directed Random Test Generation/Result_Round2/Jsoup_87/result.json</x:v>
      </x:c>
    </x:row>
    <x:row r="4867">
      <x:c r="A4867" s="34" t="str">
        <x:v>randoop</x:v>
      </x:c>
      <x:c r="B4867" s="34" t="str">
        <x:v>Jsoup</x:v>
      </x:c>
      <x:c r="C4867" s="34" t="str">
        <x:v>Round2</x:v>
      </x:c>
      <x:c r="D4867" s="34" t="str">
        <x:v>Jsoup_88</x:v>
      </x:c>
      <x:c r="E4867" s="34" t="str">
        <x:v>Condition</x:v>
      </x:c>
      <x:c r="F4867" s="34" t="n">
        <x:v>50</x:v>
      </x:c>
      <x:c r="G4867" s="34" t="str">
        <x:v>RECORDED</x:v>
      </x:c>
      <x:c r="H4867" s="38" t="n">
        <x:f>IF(ISNUMBER('Data'!I1451),'Data'!I1451*100,"")</x:f>
        <x:v>44</x:v>
      </x:c>
      <x:c r="I4867" s="34" t="str">
        <x:v>PASS</x:v>
      </x:c>
      <x:c r="J4867" s="34" t="str">
        <x:v>PASS</x:v>
      </x:c>
      <x:c r="K4867" s="34" t="str">
        <x:v>PASS</x:v>
      </x:c>
      <x:c r="L4867" s="34" t="str">
        <x:v>FAIL</x:v>
      </x:c>
      <x:c r="M4867" s="34" t="str">
        <x:v>numeric coverage for applicable metric</x:v>
      </x:c>
      <x:c r="N4867" s="34" t="str">
        <x:v>Feedback-Directed Random Test Generation/Result_Round2/Jsoup_88/result.json</x:v>
      </x:c>
      <x:c r="O4867" s="38" t="n">
        <x:f>IF(AND(G4867="RECORDED",ISNUMBER(H4867)),H4867,"")</x:f>
        <x:v>44</x:v>
      </x:c>
      <x:c r="P4867" s="34" t="str">
        <x:v>INCONCLUSIVE</x:v>
      </x:c>
      <x:c r="Q4867" s="34" t="str">
        <x:v>Feedback-Directed Random Test Generation/Result_Round2/Jsoup_88/result.json</x:v>
      </x:c>
    </x:row>
    <x:row r="4868">
      <x:c r="A4868" s="34" t="str">
        <x:v>randoop</x:v>
      </x:c>
      <x:c r="B4868" s="34" t="str">
        <x:v>Jsoup</x:v>
      </x:c>
      <x:c r="C4868" s="34" t="str">
        <x:v>Round2</x:v>
      </x:c>
      <x:c r="D4868" s="34" t="str">
        <x:v>Jsoup_89</x:v>
      </x:c>
      <x:c r="E4868" s="34" t="str">
        <x:v>Condition</x:v>
      </x:c>
      <x:c r="F4868" s="34" t="n">
        <x:v>50</x:v>
      </x:c>
      <x:c r="G4868" s="34" t="str">
        <x:v>RECORDED</x:v>
      </x:c>
      <x:c r="H4868" s="38" t="n">
        <x:f>IF(ISNUMBER('Data'!I1452),'Data'!I1452*100,"")</x:f>
        <x:v>44</x:v>
      </x:c>
      <x:c r="I4868" s="34" t="str">
        <x:v>PASS</x:v>
      </x:c>
      <x:c r="J4868" s="34" t="str">
        <x:v>PASS</x:v>
      </x:c>
      <x:c r="K4868" s="34" t="str">
        <x:v>PASS</x:v>
      </x:c>
      <x:c r="L4868" s="34" t="str">
        <x:v>FAIL</x:v>
      </x:c>
      <x:c r="M4868" s="34" t="str">
        <x:v>numeric coverage for applicable metric</x:v>
      </x:c>
      <x:c r="N4868" s="34" t="str">
        <x:v>Feedback-Directed Random Test Generation/Result_Round2/Jsoup_89/result.json</x:v>
      </x:c>
      <x:c r="O4868" s="38" t="n">
        <x:f>IF(AND(G4868="RECORDED",ISNUMBER(H4868)),H4868,"")</x:f>
        <x:v>44</x:v>
      </x:c>
      <x:c r="P4868" s="34" t="str">
        <x:v>INCONCLUSIVE</x:v>
      </x:c>
      <x:c r="Q4868" s="34" t="str">
        <x:v>Feedback-Directed Random Test Generation/Result_Round2/Jsoup_89/result.json</x:v>
      </x:c>
    </x:row>
    <x:row r="4869">
      <x:c r="A4869" s="34" t="str">
        <x:v>randoop</x:v>
      </x:c>
      <x:c r="B4869" s="34" t="str">
        <x:v>Jsoup</x:v>
      </x:c>
      <x:c r="C4869" s="34" t="str">
        <x:v>Round2</x:v>
      </x:c>
      <x:c r="D4869" s="34" t="str">
        <x:v>Jsoup_90</x:v>
      </x:c>
      <x:c r="E4869" s="34" t="str">
        <x:v>Condition</x:v>
      </x:c>
      <x:c r="F4869" s="34" t="n">
        <x:v>234</x:v>
      </x:c>
      <x:c r="G4869" s="34" t="str">
        <x:v>RECORDED</x:v>
      </x:c>
      <x:c r="H4869" s="38" t="n">
        <x:f>IF(ISNUMBER('Data'!I1453),'Data'!I1453*100,"")</x:f>
        <x:v>24.79</x:v>
      </x:c>
      <x:c r="I4869" s="34" t="str">
        <x:v>PASS</x:v>
      </x:c>
      <x:c r="J4869" s="34" t="str">
        <x:v>PASS</x:v>
      </x:c>
      <x:c r="K4869" s="34" t="str">
        <x:v>PASS</x:v>
      </x:c>
      <x:c r="L4869" s="34" t="str">
        <x:v>PASS</x:v>
      </x:c>
      <x:c r="M4869" s="34" t="str">
        <x:v>numeric coverage for applicable metric</x:v>
      </x:c>
      <x:c r="N4869" s="34" t="str">
        <x:v>Feedback-Directed Random Test Generation/Result_Round2/Jsoup_90/result.json</x:v>
      </x:c>
      <x:c r="O4869" s="38" t="n">
        <x:f>IF(AND(G4869="RECORDED",ISNUMBER(H4869)),H4869,"")</x:f>
        <x:v>24.79</x:v>
      </x:c>
      <x:c r="P4869" s="34" t="str">
        <x:v>NOT_REVEALING</x:v>
      </x:c>
      <x:c r="Q4869" s="34" t="str">
        <x:v>Feedback-Directed Random Test Generation/Result_Round2/Jsoup_90/result.json</x:v>
      </x:c>
    </x:row>
    <x:row r="4870">
      <x:c r="A4870" s="34" t="str">
        <x:v>randoop</x:v>
      </x:c>
      <x:c r="B4870" s="34" t="str">
        <x:v>Jsoup</x:v>
      </x:c>
      <x:c r="C4870" s="34" t="str">
        <x:v>Round2</x:v>
      </x:c>
      <x:c r="D4870" s="34" t="str">
        <x:v>Jsoup_91</x:v>
      </x:c>
      <x:c r="E4870" s="34" t="str">
        <x:v>Condition</x:v>
      </x:c>
      <x:c r="F4870" s="34" t="n">
        <x:v>190</x:v>
      </x:c>
      <x:c r="G4870" s="34" t="str">
        <x:v>RECORDED</x:v>
      </x:c>
      <x:c r="H4870" s="38" t="n">
        <x:f>IF(ISNUMBER('Data'!I1454),'Data'!I1454*100,"")</x:f>
        <x:v>17.37</x:v>
      </x:c>
      <x:c r="I4870" s="34" t="str">
        <x:v>PASS</x:v>
      </x:c>
      <x:c r="J4870" s="34" t="str">
        <x:v>PASS</x:v>
      </x:c>
      <x:c r="K4870" s="34" t="str">
        <x:v>PASS</x:v>
      </x:c>
      <x:c r="L4870" s="34" t="str">
        <x:v>PASS</x:v>
      </x:c>
      <x:c r="M4870" s="34" t="str">
        <x:v>numeric coverage for applicable metric</x:v>
      </x:c>
      <x:c r="N4870" s="34" t="str">
        <x:v>Feedback-Directed Random Test Generation/Result_Round2/Jsoup_91/result.json</x:v>
      </x:c>
      <x:c r="O4870" s="38" t="n">
        <x:f>IF(AND(G4870="RECORDED",ISNUMBER(H4870)),H4870,"")</x:f>
        <x:v>17.37</x:v>
      </x:c>
      <x:c r="P4870" s="34" t="str">
        <x:v>NOT_REVEALING</x:v>
      </x:c>
      <x:c r="Q4870" s="34" t="str">
        <x:v>Feedback-Directed Random Test Generation/Result_Round2/Jsoup_91/result.json</x:v>
      </x:c>
    </x:row>
    <x:row r="4871">
      <x:c r="A4871" s="34" t="str">
        <x:v>randoop</x:v>
      </x:c>
      <x:c r="B4871" s="34" t="str">
        <x:v>Jsoup</x:v>
      </x:c>
      <x:c r="C4871" s="34" t="str">
        <x:v>Round2</x:v>
      </x:c>
      <x:c r="D4871" s="34" t="str">
        <x:v>Jsoup_92</x:v>
      </x:c>
      <x:c r="E4871" s="34" t="str">
        <x:v>Condition</x:v>
      </x:c>
      <x:c r="F4871" s="34" t="n">
        <x:v>363</x:v>
      </x:c>
      <x:c r="G4871" s="34" t="str">
        <x:v>RECORDED</x:v>
      </x:c>
      <x:c r="H4871" s="38" t="n">
        <x:f>IF(ISNUMBER('Data'!I1455),'Data'!I1455*100,"")</x:f>
        <x:v>35.81</x:v>
      </x:c>
      <x:c r="I4871" s="34" t="str">
        <x:v>PASS</x:v>
      </x:c>
      <x:c r="J4871" s="34" t="str">
        <x:v>PASS</x:v>
      </x:c>
      <x:c r="K4871" s="34" t="str">
        <x:v>PASS</x:v>
      </x:c>
      <x:c r="L4871" s="34" t="str">
        <x:v>FAIL</x:v>
      </x:c>
      <x:c r="M4871" s="34" t="str">
        <x:v>numeric coverage for applicable metric</x:v>
      </x:c>
      <x:c r="N4871" s="34" t="str">
        <x:v>Feedback-Directed Random Test Generation/Result_Round2/Jsoup_92/result.json</x:v>
      </x:c>
      <x:c r="O4871" s="38" t="n">
        <x:f>IF(AND(G4871="RECORDED",ISNUMBER(H4871)),H4871,"")</x:f>
        <x:v>35.81</x:v>
      </x:c>
      <x:c r="P4871" s="34" t="str">
        <x:v>INCONCLUSIVE</x:v>
      </x:c>
      <x:c r="Q4871" s="34" t="str">
        <x:v>Feedback-Directed Random Test Generation/Result_Round2/Jsoup_92/result.json</x:v>
      </x:c>
    </x:row>
    <x:row r="4872">
      <x:c r="A4872" s="34" t="str">
        <x:v>randoop</x:v>
      </x:c>
      <x:c r="B4872" s="34" t="str">
        <x:v>Jsoup</x:v>
      </x:c>
      <x:c r="C4872" s="34" t="str">
        <x:v>Round2</x:v>
      </x:c>
      <x:c r="D4872" s="34" t="str">
        <x:v>Jsoup_93</x:v>
      </x:c>
      <x:c r="E4872" s="34" t="str">
        <x:v>Condition</x:v>
      </x:c>
      <x:c r="F4872" s="34" t="n">
        <x:v>28</x:v>
      </x:c>
      <x:c r="G4872" s="34" t="str">
        <x:v>RECORDED</x:v>
      </x:c>
      <x:c r="H4872" s="38" t="n">
        <x:f>IF(ISNUMBER('Data'!I1456),'Data'!I1456*100,"")</x:f>
        <x:v>0</x:v>
      </x:c>
      <x:c r="I4872" s="34" t="str">
        <x:v>PASS</x:v>
      </x:c>
      <x:c r="J4872" s="34" t="str">
        <x:v>PASS</x:v>
      </x:c>
      <x:c r="K4872" s="34" t="str">
        <x:v>PASS</x:v>
      </x:c>
      <x:c r="L4872" s="34" t="str">
        <x:v>PASS</x:v>
      </x:c>
      <x:c r="M4872" s="34" t="str">
        <x:v>numeric coverage for applicable metric</x:v>
      </x:c>
      <x:c r="N4872" s="34" t="str">
        <x:v>Feedback-Directed Random Test Generation/Result_Round2/Jsoup_93/result.json</x:v>
      </x:c>
      <x:c r="O4872" s="38" t="n">
        <x:f>IF(AND(G4872="RECORDED",ISNUMBER(H4872)),H4872,"")</x:f>
        <x:v>0</x:v>
      </x:c>
      <x:c r="P4872" s="34" t="str">
        <x:v>NOT_REVEALING</x:v>
      </x:c>
      <x:c r="Q4872" s="34" t="str">
        <x:v>Feedback-Directed Random Test Generation/Result_Round2/Jsoup_93/result.json</x:v>
      </x:c>
    </x:row>
    <x:row r="4873">
      <x:c r="A4873" s="34" t="str">
        <x:v>randoop</x:v>
      </x:c>
      <x:c r="B4873" s="34" t="str">
        <x:v>JxPath</x:v>
      </x:c>
      <x:c r="C4873" s="34" t="str">
        <x:v>Round2</x:v>
      </x:c>
      <x:c r="D4873" s="34" t="str">
        <x:v>JxPath_1</x:v>
      </x:c>
      <x:c r="E4873" s="34" t="str">
        <x:v>Condition</x:v>
      </x:c>
      <x:c r="F4873" s="34" t="n">
        <x:v>556</x:v>
      </x:c>
      <x:c r="G4873" s="34" t="str">
        <x:v>RECORDED</x:v>
      </x:c>
      <x:c r="H4873" s="38" t="n">
        <x:f>IF(ISNUMBER('Data'!I1457),'Data'!I1457*100,"")</x:f>
        <x:v>16.55</x:v>
      </x:c>
      <x:c r="I4873" s="34" t="str">
        <x:v>PASS</x:v>
      </x:c>
      <x:c r="J4873" s="34" t="str">
        <x:v>PASS</x:v>
      </x:c>
      <x:c r="K4873" s="34" t="str">
        <x:v>PASS</x:v>
      </x:c>
      <x:c r="L4873" s="34" t="str">
        <x:v>PASS</x:v>
      </x:c>
      <x:c r="M4873" s="34" t="str">
        <x:v>numeric coverage for applicable metric</x:v>
      </x:c>
      <x:c r="N4873" s="34" t="str">
        <x:v>Feedback-Directed Random Test Generation/Result_Round2/JxPath_1/result.json</x:v>
      </x:c>
      <x:c r="O4873" s="38" t="n">
        <x:f>IF(AND(G4873="RECORDED",ISNUMBER(H4873)),H4873,"")</x:f>
        <x:v>16.55</x:v>
      </x:c>
      <x:c r="P4873" s="34" t="str">
        <x:v>NOT_REVEALING</x:v>
      </x:c>
      <x:c r="Q4873" s="34" t="str">
        <x:v>Feedback-Directed Random Test Generation/Result_Round2/JxPath_1/result.json</x:v>
      </x:c>
    </x:row>
    <x:row r="4874">
      <x:c r="A4874" s="34" t="str">
        <x:v>randoop</x:v>
      </x:c>
      <x:c r="B4874" s="34" t="str">
        <x:v>JxPath</x:v>
      </x:c>
      <x:c r="C4874" s="34" t="str">
        <x:v>Round2</x:v>
      </x:c>
      <x:c r="D4874" s="34" t="str">
        <x:v>JxPath_2</x:v>
      </x:c>
      <x:c r="E4874" s="34" t="str">
        <x:v>Condition</x:v>
      </x:c>
      <x:c r="F4874" s="34" t="n">
        <x:v>12</x:v>
      </x:c>
      <x:c r="G4874" s="34" t="str">
        <x:v>RECORDED</x:v>
      </x:c>
      <x:c r="H4874" s="38" t="n">
        <x:f>IF(ISNUMBER('Data'!I1458),'Data'!I1458*100,"")</x:f>
        <x:v>0</x:v>
      </x:c>
      <x:c r="I4874" s="34" t="str">
        <x:v>PASS</x:v>
      </x:c>
      <x:c r="J4874" s="34" t="str">
        <x:v>PASS</x:v>
      </x:c>
      <x:c r="K4874" s="34" t="str">
        <x:v>PASS</x:v>
      </x:c>
      <x:c r="L4874" s="34" t="str">
        <x:v>PASS</x:v>
      </x:c>
      <x:c r="M4874" s="34" t="str">
        <x:v>numeric coverage for applicable metric</x:v>
      </x:c>
      <x:c r="N4874" s="34" t="str">
        <x:v>Feedback-Directed Random Test Generation/Result_Round2/JxPath_2/result.json</x:v>
      </x:c>
      <x:c r="O4874" s="38" t="n">
        <x:f>IF(AND(G4874="RECORDED",ISNUMBER(H4874)),H4874,"")</x:f>
        <x:v>0</x:v>
      </x:c>
      <x:c r="P4874" s="34" t="str">
        <x:v>NOT_REVEALING</x:v>
      </x:c>
      <x:c r="Q4874" s="34" t="str">
        <x:v>Feedback-Directed Random Test Generation/Result_Round2/JxPath_2/result.json</x:v>
      </x:c>
    </x:row>
    <x:row r="4875">
      <x:c r="A4875" s="34" t="str">
        <x:v>randoop</x:v>
      </x:c>
      <x:c r="B4875" s="34" t="str">
        <x:v>JxPath</x:v>
      </x:c>
      <x:c r="C4875" s="34" t="str">
        <x:v>Round2</x:v>
      </x:c>
      <x:c r="D4875" s="34" t="str">
        <x:v>JxPath_3</x:v>
      </x:c>
      <x:c r="E4875" s="34" t="str">
        <x:v>Condition</x:v>
      </x:c>
      <x:c r="F4875" s="34" t="n">
        <x:v>26</x:v>
      </x:c>
      <x:c r="G4875" s="34" t="str">
        <x:v>RECORDED</x:v>
      </x:c>
      <x:c r="H4875" s="38" t="n">
        <x:f>IF(ISNUMBER('Data'!I1459),'Data'!I1459*100,"")</x:f>
        <x:v>76.92</x:v>
      </x:c>
      <x:c r="I4875" s="34" t="str">
        <x:v>PASS</x:v>
      </x:c>
      <x:c r="J4875" s="34" t="str">
        <x:v>PASS</x:v>
      </x:c>
      <x:c r="K4875" s="34" t="str">
        <x:v>PASS</x:v>
      </x:c>
      <x:c r="L4875" s="34" t="str">
        <x:v>FAIL</x:v>
      </x:c>
      <x:c r="M4875" s="34" t="str">
        <x:v>numeric coverage for applicable metric</x:v>
      </x:c>
      <x:c r="N4875" s="34" t="str">
        <x:v>Feedback-Directed Random Test Generation/Result_Round2/JxPath_3/result.json</x:v>
      </x:c>
      <x:c r="O4875" s="38" t="n">
        <x:f>IF(AND(G4875="RECORDED",ISNUMBER(H4875)),H4875,"")</x:f>
        <x:v>76.92</x:v>
      </x:c>
      <x:c r="P4875" s="34" t="str">
        <x:v>INCONCLUSIVE</x:v>
      </x:c>
      <x:c r="Q4875" s="34" t="str">
        <x:v>Feedback-Directed Random Test Generation/Result_Round2/JxPath_3/result.json</x:v>
      </x:c>
    </x:row>
    <x:row r="4876">
      <x:c r="A4876" s="34" t="str">
        <x:v>randoop</x:v>
      </x:c>
      <x:c r="B4876" s="34" t="str">
        <x:v>JxPath</x:v>
      </x:c>
      <x:c r="C4876" s="34" t="str">
        <x:v>Round2</x:v>
      </x:c>
      <x:c r="D4876" s="34" t="str">
        <x:v>JxPath_4</x:v>
      </x:c>
      <x:c r="E4876" s="34" t="str">
        <x:v>Condition</x:v>
      </x:c>
      <x:c r="F4876" s="34" t="n">
        <x:v>546</x:v>
      </x:c>
      <x:c r="G4876" s="34" t="str">
        <x:v>RECORDED</x:v>
      </x:c>
      <x:c r="H4876" s="38" t="n">
        <x:f>IF(ISNUMBER('Data'!I1460),'Data'!I1460*100,"")</x:f>
        <x:v>17.03</x:v>
      </x:c>
      <x:c r="I4876" s="34" t="str">
        <x:v>PASS</x:v>
      </x:c>
      <x:c r="J4876" s="34" t="str">
        <x:v>PASS</x:v>
      </x:c>
      <x:c r="K4876" s="34" t="str">
        <x:v>PASS</x:v>
      </x:c>
      <x:c r="L4876" s="34" t="str">
        <x:v>PASS</x:v>
      </x:c>
      <x:c r="M4876" s="34" t="str">
        <x:v>numeric coverage for applicable metric</x:v>
      </x:c>
      <x:c r="N4876" s="34" t="str">
        <x:v>Feedback-Directed Random Test Generation/Result_Round2/JxPath_4/result.json</x:v>
      </x:c>
      <x:c r="O4876" s="38" t="n">
        <x:f>IF(AND(G4876="RECORDED",ISNUMBER(H4876)),H4876,"")</x:f>
        <x:v>17.03</x:v>
      </x:c>
      <x:c r="P4876" s="34" t="str">
        <x:v>NOT_REVEALING</x:v>
      </x:c>
      <x:c r="Q4876" s="34" t="str">
        <x:v>Feedback-Directed Random Test Generation/Result_Round2/JxPath_4/result.json</x:v>
      </x:c>
    </x:row>
    <x:row r="4877">
      <x:c r="A4877" s="34" t="str">
        <x:v>randoop</x:v>
      </x:c>
      <x:c r="B4877" s="34" t="str">
        <x:v>JxPath</x:v>
      </x:c>
      <x:c r="C4877" s="34" t="str">
        <x:v>Round2</x:v>
      </x:c>
      <x:c r="D4877" s="34" t="str">
        <x:v>JxPath_5</x:v>
      </x:c>
      <x:c r="E4877" s="34" t="str">
        <x:v>Condition</x:v>
      </x:c>
      <x:c r="F4877" s="34" t="n">
        <x:v>130</x:v>
      </x:c>
      <x:c r="G4877" s="34" t="str">
        <x:v>RECORDED</x:v>
      </x:c>
      <x:c r="H4877" s="38" t="n">
        <x:f>IF(ISNUMBER('Data'!I1461),'Data'!I1461*100,"")</x:f>
        <x:v>54.620000000000005</x:v>
      </x:c>
      <x:c r="I4877" s="34" t="str">
        <x:v>PASS</x:v>
      </x:c>
      <x:c r="J4877" s="34" t="str">
        <x:v>PASS</x:v>
      </x:c>
      <x:c r="K4877" s="34" t="str">
        <x:v>PASS</x:v>
      </x:c>
      <x:c r="L4877" s="34" t="str">
        <x:v>PASS</x:v>
      </x:c>
      <x:c r="M4877" s="34" t="str">
        <x:v>numeric coverage for applicable metric</x:v>
      </x:c>
      <x:c r="N4877" s="34" t="str">
        <x:v>Feedback-Directed Random Test Generation/Result_Round2/JxPath_5/result.json</x:v>
      </x:c>
      <x:c r="O4877" s="38" t="n">
        <x:f>IF(AND(G4877="RECORDED",ISNUMBER(H4877)),H4877,"")</x:f>
        <x:v>54.620000000000005</x:v>
      </x:c>
      <x:c r="P4877" s="34" t="str">
        <x:v>INCONCLUSIVE</x:v>
      </x:c>
      <x:c r="Q4877" s="34" t="str">
        <x:v>Feedback-Directed Random Test Generation/Result_Round2/JxPath_5/result.json</x:v>
      </x:c>
    </x:row>
    <x:row r="4878">
      <x:c r="A4878" s="34" t="str">
        <x:v>randoop</x:v>
      </x:c>
      <x:c r="B4878" s="34" t="str">
        <x:v>JxPath</x:v>
      </x:c>
      <x:c r="C4878" s="34" t="str">
        <x:v>Round2</x:v>
      </x:c>
      <x:c r="D4878" s="34" t="str">
        <x:v>JxPath_6</x:v>
      </x:c>
      <x:c r="E4878" s="34" t="str">
        <x:v>Condition</x:v>
      </x:c>
      <x:c r="F4878" s="34" t="n">
        <x:v>66</x:v>
      </x:c>
      <x:c r="G4878" s="34" t="str">
        <x:v>RECORDED</x:v>
      </x:c>
      <x:c r="H4878" s="38" t="n">
        <x:f>IF(ISNUMBER('Data'!I1462),'Data'!I1462*100,"")</x:f>
        <x:v>0</x:v>
      </x:c>
      <x:c r="I4878" s="34" t="str">
        <x:v>PASS</x:v>
      </x:c>
      <x:c r="J4878" s="34" t="str">
        <x:v>PASS</x:v>
      </x:c>
      <x:c r="K4878" s="34" t="str">
        <x:v>PASS</x:v>
      </x:c>
      <x:c r="L4878" s="34" t="str">
        <x:v>PASS</x:v>
      </x:c>
      <x:c r="M4878" s="34" t="str">
        <x:v>numeric coverage for applicable metric</x:v>
      </x:c>
      <x:c r="N4878" s="34" t="str">
        <x:v>Feedback-Directed Random Test Generation/Result_Round2/JxPath_6/result.json</x:v>
      </x:c>
      <x:c r="O4878" s="38" t="n">
        <x:f>IF(AND(G4878="RECORDED",ISNUMBER(H4878)),H4878,"")</x:f>
        <x:v>0</x:v>
      </x:c>
      <x:c r="P4878" s="34" t="str">
        <x:v>NOT_REVEALING</x:v>
      </x:c>
      <x:c r="Q4878" s="34" t="str">
        <x:v>Feedback-Directed Random Test Generation/Result_Round2/JxPath_6/result.json</x:v>
      </x:c>
    </x:row>
    <x:row r="4879">
      <x:c r="A4879" s="34" t="str">
        <x:v>randoop</x:v>
      </x:c>
      <x:c r="B4879" s="34" t="str">
        <x:v>JxPath</x:v>
      </x:c>
      <x:c r="C4879" s="34" t="str">
        <x:v>Round2</x:v>
      </x:c>
      <x:c r="D4879" s="34" t="str">
        <x:v>JxPath_7</x:v>
      </x:c>
      <x:c r="E4879" s="34" t="str">
        <x:v>Condition</x:v>
      </x:c>
      <x:c r="F4879" s="34" t="n">
        <x:v>8</x:v>
      </x:c>
      <x:c r="G4879" s="34" t="str">
        <x:v>RECORDED</x:v>
      </x:c>
      <x:c r="H4879" s="38" t="n">
        <x:f>IF(ISNUMBER('Data'!I1463),'Data'!I1463*100,"")</x:f>
        <x:v>0</x:v>
      </x:c>
      <x:c r="I4879" s="34" t="str">
        <x:v>PASS</x:v>
      </x:c>
      <x:c r="J4879" s="34" t="str">
        <x:v>PASS</x:v>
      </x:c>
      <x:c r="K4879" s="34" t="str">
        <x:v>PASS</x:v>
      </x:c>
      <x:c r="L4879" s="34" t="str">
        <x:v>PASS</x:v>
      </x:c>
      <x:c r="M4879" s="34" t="str">
        <x:v>numeric coverage for applicable metric</x:v>
      </x:c>
      <x:c r="N4879" s="34" t="str">
        <x:v>Feedback-Directed Random Test Generation/Result_Round2/JxPath_7/result.json</x:v>
      </x:c>
      <x:c r="O4879" s="38" t="n">
        <x:f>IF(AND(G4879="RECORDED",ISNUMBER(H4879)),H4879,"")</x:f>
        <x:v>0</x:v>
      </x:c>
      <x:c r="P4879" s="34" t="str">
        <x:v>NOT_REVEALING</x:v>
      </x:c>
      <x:c r="Q4879" s="34" t="str">
        <x:v>Feedback-Directed Random Test Generation/Result_Round2/JxPath_7/result.json</x:v>
      </x:c>
    </x:row>
    <x:row r="4880">
      <x:c r="A4880" s="34" t="str">
        <x:v>randoop</x:v>
      </x:c>
      <x:c r="B4880" s="34" t="str">
        <x:v>JxPath</x:v>
      </x:c>
      <x:c r="C4880" s="34" t="str">
        <x:v>Round2</x:v>
      </x:c>
      <x:c r="D4880" s="34" t="str">
        <x:v>JxPath_8</x:v>
      </x:c>
      <x:c r="E4880" s="34" t="str">
        <x:v>Condition</x:v>
      </x:c>
      <x:c r="F4880" s="34" t="n">
        <x:v>32</x:v>
      </x:c>
      <x:c r="G4880" s="34" t="str">
        <x:v>RECORDED</x:v>
      </x:c>
      <x:c r="H4880" s="38" t="n">
        <x:f>IF(ISNUMBER('Data'!I1464),'Data'!I1464*100,"")</x:f>
        <x:v>0</x:v>
      </x:c>
      <x:c r="I4880" s="34" t="str">
        <x:v>PASS</x:v>
      </x:c>
      <x:c r="J4880" s="34" t="str">
        <x:v>PASS</x:v>
      </x:c>
      <x:c r="K4880" s="34" t="str">
        <x:v>PASS</x:v>
      </x:c>
      <x:c r="L4880" s="34" t="str">
        <x:v>PASS</x:v>
      </x:c>
      <x:c r="M4880" s="34" t="str">
        <x:v>numeric coverage for applicable metric</x:v>
      </x:c>
      <x:c r="N4880" s="34" t="str">
        <x:v>Feedback-Directed Random Test Generation/Result_Round2/JxPath_8/result.json</x:v>
      </x:c>
      <x:c r="O4880" s="38" t="n">
        <x:f>IF(AND(G4880="RECORDED",ISNUMBER(H4880)),H4880,"")</x:f>
        <x:v>0</x:v>
      </x:c>
      <x:c r="P4880" s="34" t="str">
        <x:v>NOT_REVEALING</x:v>
      </x:c>
      <x:c r="Q4880" s="34" t="str">
        <x:v>Feedback-Directed Random Test Generation/Result_Round2/JxPath_8/result.json</x:v>
      </x:c>
    </x:row>
    <x:row r="4881">
      <x:c r="A4881" s="34" t="str">
        <x:v>randoop</x:v>
      </x:c>
      <x:c r="B4881" s="34" t="str">
        <x:v>JxPath</x:v>
      </x:c>
      <x:c r="C4881" s="34" t="str">
        <x:v>Round2</x:v>
      </x:c>
      <x:c r="D4881" s="34" t="str">
        <x:v>JxPath_9</x:v>
      </x:c>
      <x:c r="E4881" s="34" t="str">
        <x:v>Condition</x:v>
      </x:c>
      <x:c r="F4881" s="34" t="n">
        <x:v>66</x:v>
      </x:c>
      <x:c r="G4881" s="34" t="str">
        <x:v>RECORDED</x:v>
      </x:c>
      <x:c r="H4881" s="38" t="n">
        <x:f>IF(ISNUMBER('Data'!I1465),'Data'!I1465*100,"")</x:f>
        <x:v>33.33</x:v>
      </x:c>
      <x:c r="I4881" s="34" t="str">
        <x:v>PASS</x:v>
      </x:c>
      <x:c r="J4881" s="34" t="str">
        <x:v>PASS</x:v>
      </x:c>
      <x:c r="K4881" s="34" t="str">
        <x:v>PASS</x:v>
      </x:c>
      <x:c r="L4881" s="34" t="str">
        <x:v>PASS</x:v>
      </x:c>
      <x:c r="M4881" s="34" t="str">
        <x:v>numeric coverage for applicable metric</x:v>
      </x:c>
      <x:c r="N4881" s="34" t="str">
        <x:v>Feedback-Directed Random Test Generation/Result_Round2/JxPath_9/result.json</x:v>
      </x:c>
      <x:c r="O4881" s="38" t="n">
        <x:f>IF(AND(G4881="RECORDED",ISNUMBER(H4881)),H4881,"")</x:f>
        <x:v>33.33</x:v>
      </x:c>
      <x:c r="P4881" s="34" t="str">
        <x:v>INCONCLUSIVE</x:v>
      </x:c>
      <x:c r="Q4881" s="34" t="str">
        <x:v>Feedback-Directed Random Test Generation/Result_Round2/JxPath_9/result.json</x:v>
      </x:c>
    </x:row>
    <x:row r="4882">
      <x:c r="A4882" s="34" t="str">
        <x:v>randoop</x:v>
      </x:c>
      <x:c r="B4882" s="34" t="str">
        <x:v>JxPath</x:v>
      </x:c>
      <x:c r="C4882" s="34" t="str">
        <x:v>Round2</x:v>
      </x:c>
      <x:c r="D4882" s="34" t="str">
        <x:v>JxPath_10</x:v>
      </x:c>
      <x:c r="E4882" s="34" t="str">
        <x:v>Condition</x:v>
      </x:c>
      <x:c r="F4882" s="34" t="n">
        <x:v>36</x:v>
      </x:c>
      <x:c r="G4882" s="34" t="str">
        <x:v>RECORDED</x:v>
      </x:c>
      <x:c r="H4882" s="38" t="n">
        <x:f>IF(ISNUMBER('Data'!I1466),'Data'!I1466*100,"")</x:f>
        <x:v>0</x:v>
      </x:c>
      <x:c r="I4882" s="34" t="str">
        <x:v>PASS</x:v>
      </x:c>
      <x:c r="J4882" s="34" t="str">
        <x:v>PASS</x:v>
      </x:c>
      <x:c r="K4882" s="34" t="str">
        <x:v>PASS</x:v>
      </x:c>
      <x:c r="L4882" s="34" t="str">
        <x:v>PASS</x:v>
      </x:c>
      <x:c r="M4882" s="34" t="str">
        <x:v>numeric coverage for applicable metric</x:v>
      </x:c>
      <x:c r="N4882" s="34" t="str">
        <x:v>Feedback-Directed Random Test Generation/Result_Round2/JxPath_10/result.json</x:v>
      </x:c>
      <x:c r="O4882" s="38" t="n">
        <x:f>IF(AND(G4882="RECORDED",ISNUMBER(H4882)),H4882,"")</x:f>
        <x:v>0</x:v>
      </x:c>
      <x:c r="P4882" s="34" t="str">
        <x:v>NOT_REVEALING</x:v>
      </x:c>
      <x:c r="Q4882" s="34" t="str">
        <x:v>Feedback-Directed Random Test Generation/Result_Round2/JxPath_10/result.json</x:v>
      </x:c>
    </x:row>
    <x:row r="4883">
      <x:c r="A4883" s="34" t="str">
        <x:v>randoop</x:v>
      </x:c>
      <x:c r="B4883" s="34" t="str">
        <x:v>JxPath</x:v>
      </x:c>
      <x:c r="C4883" s="34" t="str">
        <x:v>Round2</x:v>
      </x:c>
      <x:c r="D4883" s="34" t="str">
        <x:v>JxPath_11</x:v>
      </x:c>
      <x:c r="E4883" s="34" t="str">
        <x:v>Condition</x:v>
      </x:c>
      <x:c r="F4883" s="34" t="n">
        <x:v>84</x:v>
      </x:c>
      <x:c r="G4883" s="34" t="str">
        <x:v>RECORDED</x:v>
      </x:c>
      <x:c r="H4883" s="38" t="n">
        <x:f>IF(ISNUMBER('Data'!I1467),'Data'!I1467*100,"")</x:f>
        <x:v>0</x:v>
      </x:c>
      <x:c r="I4883" s="34" t="str">
        <x:v>PASS</x:v>
      </x:c>
      <x:c r="J4883" s="34" t="str">
        <x:v>PASS</x:v>
      </x:c>
      <x:c r="K4883" s="34" t="str">
        <x:v>PASS</x:v>
      </x:c>
      <x:c r="L4883" s="34" t="str">
        <x:v>PASS</x:v>
      </x:c>
      <x:c r="M4883" s="34" t="str">
        <x:v>numeric coverage for applicable metric</x:v>
      </x:c>
      <x:c r="N4883" s="34" t="str">
        <x:v>Feedback-Directed Random Test Generation/Result_Round2/JxPath_11/result.json</x:v>
      </x:c>
      <x:c r="O4883" s="38" t="n">
        <x:f>IF(AND(G4883="RECORDED",ISNUMBER(H4883)),H4883,"")</x:f>
        <x:v>0</x:v>
      </x:c>
      <x:c r="P4883" s="34" t="str">
        <x:v>NOT_REVEALING</x:v>
      </x:c>
      <x:c r="Q4883" s="34" t="str">
        <x:v>Feedback-Directed Random Test Generation/Result_Round2/JxPath_11/result.json</x:v>
      </x:c>
    </x:row>
    <x:row r="4884">
      <x:c r="A4884" s="34" t="str">
        <x:v>randoop</x:v>
      </x:c>
      <x:c r="B4884" s="34" t="str">
        <x:v>JxPath</x:v>
      </x:c>
      <x:c r="C4884" s="34" t="str">
        <x:v>Round2</x:v>
      </x:c>
      <x:c r="D4884" s="34" t="str">
        <x:v>JxPath_12</x:v>
      </x:c>
      <x:c r="E4884" s="34" t="str">
        <x:v>Condition</x:v>
      </x:c>
      <x:c r="F4884" s="34" t="n">
        <x:v>267</x:v>
      </x:c>
      <x:c r="G4884" s="34" t="str">
        <x:v>RECORDED</x:v>
      </x:c>
      <x:c r="H4884" s="38" t="n">
        <x:f>IF(ISNUMBER('Data'!I1468),'Data'!I1468*100,"")</x:f>
        <x:v>14.610000000000001</x:v>
      </x:c>
      <x:c r="I4884" s="34" t="str">
        <x:v>PASS</x:v>
      </x:c>
      <x:c r="J4884" s="34" t="str">
        <x:v>PASS</x:v>
      </x:c>
      <x:c r="K4884" s="34" t="str">
        <x:v>PASS</x:v>
      </x:c>
      <x:c r="L4884" s="34" t="str">
        <x:v>PASS</x:v>
      </x:c>
      <x:c r="M4884" s="34" t="str">
        <x:v>numeric coverage for applicable metric</x:v>
      </x:c>
      <x:c r="N4884" s="34" t="str">
        <x:v>Feedback-Directed Random Test Generation/Result_Round2/JxPath_12/result.json</x:v>
      </x:c>
      <x:c r="O4884" s="38" t="n">
        <x:f>IF(AND(G4884="RECORDED",ISNUMBER(H4884)),H4884,"")</x:f>
        <x:v>14.610000000000001</x:v>
      </x:c>
      <x:c r="P4884" s="34" t="str">
        <x:v>NOT_REVEALING</x:v>
      </x:c>
      <x:c r="Q4884" s="34" t="str">
        <x:v>Feedback-Directed Random Test Generation/Result_Round2/JxPath_12/result.json</x:v>
      </x:c>
    </x:row>
    <x:row r="4885">
      <x:c r="A4885" s="34" t="str">
        <x:v>randoop</x:v>
      </x:c>
      <x:c r="B4885" s="34" t="str">
        <x:v>JxPath</x:v>
      </x:c>
      <x:c r="C4885" s="34" t="str">
        <x:v>Round2</x:v>
      </x:c>
      <x:c r="D4885" s="34" t="str">
        <x:v>JxPath_13</x:v>
      </x:c>
      <x:c r="E4885" s="34" t="str">
        <x:v>Condition</x:v>
      </x:c>
      <x:c r="F4885" s="34" t="n">
        <x:v>303</x:v>
      </x:c>
      <x:c r="G4885" s="34" t="str">
        <x:v>RECORDED</x:v>
      </x:c>
      <x:c r="H4885" s="38" t="n">
        <x:f>IF(ISNUMBER('Data'!I1469),'Data'!I1469*100,"")</x:f>
        <x:v>19.8</x:v>
      </x:c>
      <x:c r="I4885" s="34" t="str">
        <x:v>PASS</x:v>
      </x:c>
      <x:c r="J4885" s="34" t="str">
        <x:v>PASS</x:v>
      </x:c>
      <x:c r="K4885" s="34" t="str">
        <x:v>PASS</x:v>
      </x:c>
      <x:c r="L4885" s="34" t="str">
        <x:v>FAIL</x:v>
      </x:c>
      <x:c r="M4885" s="34" t="str">
        <x:v>numeric coverage for applicable metric</x:v>
      </x:c>
      <x:c r="N4885" s="34" t="str">
        <x:v>Feedback-Directed Random Test Generation/Result_Round2/JxPath_13/result.json</x:v>
      </x:c>
      <x:c r="O4885" s="38" t="n">
        <x:f>IF(AND(G4885="RECORDED",ISNUMBER(H4885)),H4885,"")</x:f>
        <x:v>19.8</x:v>
      </x:c>
      <x:c r="P4885" s="34" t="str">
        <x:v>INCONCLUSIVE</x:v>
      </x:c>
      <x:c r="Q4885" s="34" t="str">
        <x:v>Feedback-Directed Random Test Generation/Result_Round2/JxPath_13/result.json</x:v>
      </x:c>
    </x:row>
    <x:row r="4886">
      <x:c r="A4886" s="34" t="str">
        <x:v>randoop</x:v>
      </x:c>
      <x:c r="B4886" s="34" t="str">
        <x:v>JxPath</x:v>
      </x:c>
      <x:c r="C4886" s="34" t="str">
        <x:v>Round2</x:v>
      </x:c>
      <x:c r="D4886" s="34" t="str">
        <x:v>JxPath_14</x:v>
      </x:c>
      <x:c r="E4886" s="34" t="str">
        <x:v>Condition</x:v>
      </x:c>
      <x:c r="F4886" s="34" t="n">
        <x:v>212</x:v>
      </x:c>
      <x:c r="G4886" s="34" t="str">
        <x:v>RECORDED</x:v>
      </x:c>
      <x:c r="H4886" s="38" t="n">
        <x:f>IF(ISNUMBER('Data'!I1470),'Data'!I1470*100,"")</x:f>
        <x:v>24.53</x:v>
      </x:c>
      <x:c r="I4886" s="34" t="str">
        <x:v>PASS</x:v>
      </x:c>
      <x:c r="J4886" s="34" t="str">
        <x:v>PASS</x:v>
      </x:c>
      <x:c r="K4886" s="34" t="str">
        <x:v>PASS</x:v>
      </x:c>
      <x:c r="L4886" s="34" t="str">
        <x:v>PASS</x:v>
      </x:c>
      <x:c r="M4886" s="34" t="str">
        <x:v>numeric coverage for applicable metric</x:v>
      </x:c>
      <x:c r="N4886" s="34" t="str">
        <x:v>Feedback-Directed Random Test Generation/Result_Round2/JxPath_14/result.json</x:v>
      </x:c>
      <x:c r="O4886" s="38" t="n">
        <x:f>IF(AND(G4886="RECORDED",ISNUMBER(H4886)),H4886,"")</x:f>
        <x:v>24.53</x:v>
      </x:c>
      <x:c r="P4886" s="34" t="str">
        <x:v>NOT_REVEALING</x:v>
      </x:c>
      <x:c r="Q4886" s="34" t="str">
        <x:v>Feedback-Directed Random Test Generation/Result_Round2/JxPath_14/result.json</x:v>
      </x:c>
    </x:row>
    <x:row r="4887">
      <x:c r="A4887" s="34" t="str">
        <x:v>randoop</x:v>
      </x:c>
      <x:c r="B4887" s="34" t="str">
        <x:v>JxPath</x:v>
      </x:c>
      <x:c r="C4887" s="34" t="str">
        <x:v>Round2</x:v>
      </x:c>
      <x:c r="D4887" s="34" t="str">
        <x:v>JxPath_15</x:v>
      </x:c>
      <x:c r="E4887" s="34" t="str">
        <x:v>Condition</x:v>
      </x:c>
      <x:c r="F4887" s="34" t="n">
        <x:v>12</x:v>
      </x:c>
      <x:c r="G4887" s="34" t="str">
        <x:v>RECORDED</x:v>
      </x:c>
      <x:c r="H4887" s="38" t="n">
        <x:f>IF(ISNUMBER('Data'!I1471),'Data'!I1471*100,"")</x:f>
        <x:v>75</x:v>
      </x:c>
      <x:c r="I4887" s="34" t="str">
        <x:v>PASS</x:v>
      </x:c>
      <x:c r="J4887" s="34" t="str">
        <x:v>PASS</x:v>
      </x:c>
      <x:c r="K4887" s="34" t="str">
        <x:v>PASS</x:v>
      </x:c>
      <x:c r="L4887" s="34" t="str">
        <x:v>PASS</x:v>
      </x:c>
      <x:c r="M4887" s="34" t="str">
        <x:v>numeric coverage for applicable metric</x:v>
      </x:c>
      <x:c r="N4887" s="34" t="str">
        <x:v>Feedback-Directed Random Test Generation/Result_Round2/JxPath_15/result.json</x:v>
      </x:c>
      <x:c r="O4887" s="38" t="n">
        <x:f>IF(AND(G4887="RECORDED",ISNUMBER(H4887)),H4887,"")</x:f>
        <x:v>75</x:v>
      </x:c>
      <x:c r="P4887" s="34" t="str">
        <x:v>NOT_REVEALING</x:v>
      </x:c>
      <x:c r="Q4887" s="34" t="str">
        <x:v>Feedback-Directed Random Test Generation/Result_Round2/JxPath_15/result.json</x:v>
      </x:c>
    </x:row>
    <x:row r="4888">
      <x:c r="A4888" s="34" t="str">
        <x:v>randoop</x:v>
      </x:c>
      <x:c r="B4888" s="34" t="str">
        <x:v>JxPath</x:v>
      </x:c>
      <x:c r="C4888" s="34" t="str">
        <x:v>Round2</x:v>
      </x:c>
      <x:c r="D4888" s="34" t="str">
        <x:v>JxPath_16</x:v>
      </x:c>
      <x:c r="E4888" s="34" t="str">
        <x:v>Condition</x:v>
      </x:c>
      <x:c r="F4888" s="34" t="n">
        <x:v>592</x:v>
      </x:c>
      <x:c r="G4888" s="34" t="str">
        <x:v>RECORDED</x:v>
      </x:c>
      <x:c r="H4888" s="38" t="n">
        <x:f>IF(ISNUMBER('Data'!I1472),'Data'!I1472*100,"")</x:f>
        <x:v>19.09</x:v>
      </x:c>
      <x:c r="I4888" s="34" t="str">
        <x:v>PASS</x:v>
      </x:c>
      <x:c r="J4888" s="34" t="str">
        <x:v>PASS</x:v>
      </x:c>
      <x:c r="K4888" s="34" t="str">
        <x:v>PASS</x:v>
      </x:c>
      <x:c r="L4888" s="34" t="str">
        <x:v>PASS</x:v>
      </x:c>
      <x:c r="M4888" s="34" t="str">
        <x:v>numeric coverage for applicable metric</x:v>
      </x:c>
      <x:c r="N4888" s="34" t="str">
        <x:v>Feedback-Directed Random Test Generation/Result_Round2/JxPath_16/result.json</x:v>
      </x:c>
      <x:c r="O4888" s="38" t="n">
        <x:f>IF(AND(G4888="RECORDED",ISNUMBER(H4888)),H4888,"")</x:f>
        <x:v>19.09</x:v>
      </x:c>
      <x:c r="P4888" s="34" t="str">
        <x:v>NOT_REVEALING</x:v>
      </x:c>
      <x:c r="Q4888" s="34" t="str">
        <x:v>Feedback-Directed Random Test Generation/Result_Round2/JxPath_16/result.json</x:v>
      </x:c>
    </x:row>
    <x:row r="4889">
      <x:c r="A4889" s="34" t="str">
        <x:v>randoop</x:v>
      </x:c>
      <x:c r="B4889" s="34" t="str">
        <x:v>JxPath</x:v>
      </x:c>
      <x:c r="C4889" s="34" t="str">
        <x:v>Round2</x:v>
      </x:c>
      <x:c r="D4889" s="34" t="str">
        <x:v>JxPath_17</x:v>
      </x:c>
      <x:c r="E4889" s="34" t="str">
        <x:v>Condition</x:v>
      </x:c>
      <x:c r="F4889" s="34" t="n">
        <x:v>86</x:v>
      </x:c>
      <x:c r="G4889" s="34" t="str">
        <x:v>RECORDED</x:v>
      </x:c>
      <x:c r="H4889" s="38" t="n">
        <x:f>IF(ISNUMBER('Data'!I1473),'Data'!I1473*100,"")</x:f>
        <x:v>0</x:v>
      </x:c>
      <x:c r="I4889" s="34" t="str">
        <x:v>PASS</x:v>
      </x:c>
      <x:c r="J4889" s="34" t="str">
        <x:v>PASS</x:v>
      </x:c>
      <x:c r="K4889" s="34" t="str">
        <x:v>PASS</x:v>
      </x:c>
      <x:c r="L4889" s="34" t="str">
        <x:v>PASS</x:v>
      </x:c>
      <x:c r="M4889" s="34" t="str">
        <x:v>numeric coverage for applicable metric</x:v>
      </x:c>
      <x:c r="N4889" s="34" t="str">
        <x:v>Feedback-Directed Random Test Generation/Result_Round2/JxPath_17/result.json</x:v>
      </x:c>
      <x:c r="O4889" s="38" t="n">
        <x:f>IF(AND(G4889="RECORDED",ISNUMBER(H4889)),H4889,"")</x:f>
        <x:v>0</x:v>
      </x:c>
      <x:c r="P4889" s="34" t="str">
        <x:v>NOT_REVEALING</x:v>
      </x:c>
      <x:c r="Q4889" s="34" t="str">
        <x:v>Feedback-Directed Random Test Generation/Result_Round2/JxPath_17/result.json</x:v>
      </x:c>
    </x:row>
    <x:row r="4890">
      <x:c r="A4890" s="34" t="str">
        <x:v>randoop</x:v>
      </x:c>
      <x:c r="B4890" s="34" t="str">
        <x:v>JxPath</x:v>
      </x:c>
      <x:c r="C4890" s="34" t="str">
        <x:v>Round2</x:v>
      </x:c>
      <x:c r="D4890" s="34" t="str">
        <x:v>JxPath_18</x:v>
      </x:c>
      <x:c r="E4890" s="34" t="str">
        <x:v>Condition</x:v>
      </x:c>
      <x:c r="F4890" s="34" t="n">
        <x:v>14</x:v>
      </x:c>
      <x:c r="G4890" s="34" t="str">
        <x:v>RECORDED</x:v>
      </x:c>
      <x:c r="H4890" s="38" t="n">
        <x:f>IF(ISNUMBER('Data'!I1474),'Data'!I1474*100,"")</x:f>
        <x:v>64.29</x:v>
      </x:c>
      <x:c r="I4890" s="34" t="str">
        <x:v>PASS</x:v>
      </x:c>
      <x:c r="J4890" s="34" t="str">
        <x:v>PASS</x:v>
      </x:c>
      <x:c r="K4890" s="34" t="str">
        <x:v>PASS</x:v>
      </x:c>
      <x:c r="L4890" s="34" t="str">
        <x:v>PASS</x:v>
      </x:c>
      <x:c r="M4890" s="34" t="str">
        <x:v>numeric coverage for applicable metric</x:v>
      </x:c>
      <x:c r="N4890" s="34" t="str">
        <x:v>Feedback-Directed Random Test Generation/Result_Round2/JxPath_18/result.json</x:v>
      </x:c>
      <x:c r="O4890" s="38" t="n">
        <x:f>IF(AND(G4890="RECORDED",ISNUMBER(H4890)),H4890,"")</x:f>
        <x:v>64.29</x:v>
      </x:c>
      <x:c r="P4890" s="34" t="str">
        <x:v>NOT_REVEALING</x:v>
      </x:c>
      <x:c r="Q4890" s="34" t="str">
        <x:v>Feedback-Directed Random Test Generation/Result_Round2/JxPath_18/result.json</x:v>
      </x:c>
    </x:row>
    <x:row r="4891">
      <x:c r="A4891" s="34" t="str">
        <x:v>randoop</x:v>
      </x:c>
      <x:c r="B4891" s="34" t="str">
        <x:v>JxPath</x:v>
      </x:c>
      <x:c r="C4891" s="34" t="str">
        <x:v>Round2</x:v>
      </x:c>
      <x:c r="D4891" s="34" t="str">
        <x:v>JxPath_19</x:v>
      </x:c>
      <x:c r="E4891" s="34" t="str">
        <x:v>Condition</x:v>
      </x:c>
      <x:c r="F4891" s="34" t="n">
        <x:v>561</x:v>
      </x:c>
      <x:c r="G4891" s="34" t="str">
        <x:v>RECORDED</x:v>
      </x:c>
      <x:c r="H4891" s="38" t="n">
        <x:f>IF(ISNUMBER('Data'!I1475),'Data'!I1475*100,"")</x:f>
        <x:v>11.94</x:v>
      </x:c>
      <x:c r="I4891" s="34" t="str">
        <x:v>PASS</x:v>
      </x:c>
      <x:c r="J4891" s="34" t="str">
        <x:v>PASS</x:v>
      </x:c>
      <x:c r="K4891" s="34" t="str">
        <x:v>PASS</x:v>
      </x:c>
      <x:c r="L4891" s="34" t="str">
        <x:v>PASS</x:v>
      </x:c>
      <x:c r="M4891" s="34" t="str">
        <x:v>numeric coverage for applicable metric</x:v>
      </x:c>
      <x:c r="N4891" s="34" t="str">
        <x:v>Feedback-Directed Random Test Generation/Result_Round2/JxPath_19/result.json</x:v>
      </x:c>
      <x:c r="O4891" s="38" t="n">
        <x:f>IF(AND(G4891="RECORDED",ISNUMBER(H4891)),H4891,"")</x:f>
        <x:v>11.94</x:v>
      </x:c>
      <x:c r="P4891" s="34" t="str">
        <x:v>NOT_REVEALING</x:v>
      </x:c>
      <x:c r="Q4891" s="34" t="str">
        <x:v>Feedback-Directed Random Test Generation/Result_Round2/JxPath_19/result.json</x:v>
      </x:c>
    </x:row>
    <x:row r="4892">
      <x:c r="A4892" s="34" t="str">
        <x:v>randoop</x:v>
      </x:c>
      <x:c r="B4892" s="34" t="str">
        <x:v>JxPath</x:v>
      </x:c>
      <x:c r="C4892" s="34" t="str">
        <x:v>Round2</x:v>
      </x:c>
      <x:c r="D4892" s="34" t="str">
        <x:v>JxPath_20</x:v>
      </x:c>
      <x:c r="E4892" s="34" t="str">
        <x:v>Condition</x:v>
      </x:c>
      <x:c r="F4892" s="34" t="n">
        <x:v>36</x:v>
      </x:c>
      <x:c r="G4892" s="34" t="str">
        <x:v>RECORDED</x:v>
      </x:c>
      <x:c r="H4892" s="38" t="n">
        <x:f>IF(ISNUMBER('Data'!I1476),'Data'!I1476*100,"")</x:f>
        <x:v>0</x:v>
      </x:c>
      <x:c r="I4892" s="34" t="str">
        <x:v>PASS</x:v>
      </x:c>
      <x:c r="J4892" s="34" t="str">
        <x:v>PASS</x:v>
      </x:c>
      <x:c r="K4892" s="34" t="str">
        <x:v>PASS</x:v>
      </x:c>
      <x:c r="L4892" s="34" t="str">
        <x:v>PASS</x:v>
      </x:c>
      <x:c r="M4892" s="34" t="str">
        <x:v>numeric coverage for applicable metric</x:v>
      </x:c>
      <x:c r="N4892" s="34" t="str">
        <x:v>Feedback-Directed Random Test Generation/Result_Round2/JxPath_20/result.json</x:v>
      </x:c>
      <x:c r="O4892" s="38" t="n">
        <x:f>IF(AND(G4892="RECORDED",ISNUMBER(H4892)),H4892,"")</x:f>
        <x:v>0</x:v>
      </x:c>
      <x:c r="P4892" s="34" t="str">
        <x:v>NOT_REVEALING</x:v>
      </x:c>
      <x:c r="Q4892" s="34" t="str">
        <x:v>Feedback-Directed Random Test Generation/Result_Round2/JxPath_20/result.json</x:v>
      </x:c>
    </x:row>
    <x:row r="4893">
      <x:c r="A4893" s="34" t="str">
        <x:v>randoop</x:v>
      </x:c>
      <x:c r="B4893" s="34" t="str">
        <x:v>JxPath</x:v>
      </x:c>
      <x:c r="C4893" s="34" t="str">
        <x:v>Round2</x:v>
      </x:c>
      <x:c r="D4893" s="34" t="str">
        <x:v>JxPath_21</x:v>
      </x:c>
      <x:c r="E4893" s="34" t="str">
        <x:v>Condition</x:v>
      </x:c>
      <x:c r="F4893" s="34" t="n">
        <x:v>52</x:v>
      </x:c>
      <x:c r="G4893" s="34" t="str">
        <x:v>RECORDED</x:v>
      </x:c>
      <x:c r="H4893" s="38" t="n">
        <x:f>IF(ISNUMBER('Data'!I1477),'Data'!I1477*100,"")</x:f>
        <x:v>0</x:v>
      </x:c>
      <x:c r="I4893" s="34" t="str">
        <x:v>PASS</x:v>
      </x:c>
      <x:c r="J4893" s="34" t="str">
        <x:v>PASS</x:v>
      </x:c>
      <x:c r="K4893" s="34" t="str">
        <x:v>PASS</x:v>
      </x:c>
      <x:c r="L4893" s="34" t="str">
        <x:v>PASS</x:v>
      </x:c>
      <x:c r="M4893" s="34" t="str">
        <x:v>numeric coverage for applicable metric</x:v>
      </x:c>
      <x:c r="N4893" s="34" t="str">
        <x:v>Feedback-Directed Random Test Generation/Result_Round2/JxPath_21/result.json</x:v>
      </x:c>
      <x:c r="O4893" s="38" t="n">
        <x:f>IF(AND(G4893="RECORDED",ISNUMBER(H4893)),H4893,"")</x:f>
        <x:v>0</x:v>
      </x:c>
      <x:c r="P4893" s="34" t="str">
        <x:v>NOT_REVEALING</x:v>
      </x:c>
      <x:c r="Q4893" s="34" t="str">
        <x:v>Feedback-Directed Random Test Generation/Result_Round2/JxPath_21/result.json</x:v>
      </x:c>
    </x:row>
    <x:row r="4894">
      <x:c r="A4894" s="34" t="str">
        <x:v>randoop</x:v>
      </x:c>
      <x:c r="B4894" s="34" t="str">
        <x:v>JxPath</x:v>
      </x:c>
      <x:c r="C4894" s="34" t="str">
        <x:v>Round2</x:v>
      </x:c>
      <x:c r="D4894" s="34" t="str">
        <x:v>JxPath_22</x:v>
      </x:c>
      <x:c r="E4894" s="34" t="str">
        <x:v>Condition</x:v>
      </x:c>
      <x:c r="F4894" s="34" t="n">
        <x:v>274</x:v>
      </x:c>
      <x:c r="G4894" s="34" t="str">
        <x:v>RECORDED</x:v>
      </x:c>
      <x:c r="H4894" s="38" t="n">
        <x:f>IF(ISNUMBER('Data'!I1478),'Data'!I1478*100,"")</x:f>
        <x:v>4.01</x:v>
      </x:c>
      <x:c r="I4894" s="34" t="str">
        <x:v>PASS</x:v>
      </x:c>
      <x:c r="J4894" s="34" t="str">
        <x:v>PASS</x:v>
      </x:c>
      <x:c r="K4894" s="34" t="str">
        <x:v>PASS</x:v>
      </x:c>
      <x:c r="L4894" s="34" t="str">
        <x:v>PASS</x:v>
      </x:c>
      <x:c r="M4894" s="34" t="str">
        <x:v>numeric coverage for applicable metric</x:v>
      </x:c>
      <x:c r="N4894" s="34" t="str">
        <x:v>Feedback-Directed Random Test Generation/Result_Round2/JxPath_22/result.json</x:v>
      </x:c>
      <x:c r="O4894" s="38" t="n">
        <x:f>IF(AND(G4894="RECORDED",ISNUMBER(H4894)),H4894,"")</x:f>
        <x:v>4.01</x:v>
      </x:c>
      <x:c r="P4894" s="34" t="str">
        <x:v>NOT_REVEALING</x:v>
      </x:c>
      <x:c r="Q4894" s="34" t="str">
        <x:v>Feedback-Directed Random Test Generation/Result_Round2/JxPath_22/result.json</x:v>
      </x:c>
    </x:row>
    <x:row r="4895">
      <x:c r="A4895" s="34" t="str">
        <x:v>randoop</x:v>
      </x:c>
      <x:c r="B4895" s="34" t="str">
        <x:v>Lang</x:v>
      </x:c>
      <x:c r="C4895" s="34" t="str">
        <x:v>Round2</x:v>
      </x:c>
      <x:c r="D4895" s="34" t="str">
        <x:v>Lang_1</x:v>
      </x:c>
      <x:c r="E4895" s="34" t="str">
        <x:v>Condition</x:v>
      </x:c>
      <x:c r="F4895" s="34" t="n">
        <x:v>338</x:v>
      </x:c>
      <x:c r="G4895" s="34" t="str">
        <x:v>RECORDED</x:v>
      </x:c>
      <x:c r="H4895" s="38" t="n">
        <x:f>IF(ISNUMBER('Data'!I1479),'Data'!I1479*100,"")</x:f>
        <x:v>41.72</x:v>
      </x:c>
      <x:c r="I4895" s="34" t="str">
        <x:v>PASS</x:v>
      </x:c>
      <x:c r="J4895" s="34" t="str">
        <x:v>PASS</x:v>
      </x:c>
      <x:c r="K4895" s="34" t="str">
        <x:v>PASS</x:v>
      </x:c>
      <x:c r="L4895" s="34" t="str">
        <x:v>PASS</x:v>
      </x:c>
      <x:c r="M4895" s="34" t="str">
        <x:v>numeric coverage for applicable metric</x:v>
      </x:c>
      <x:c r="N4895" s="34" t="str">
        <x:v>Feedback-Directed Random Test Generation/Result_Round2/Lang_1/result.json</x:v>
      </x:c>
      <x:c r="O4895" s="38" t="n">
        <x:f>IF(AND(G4895="RECORDED",ISNUMBER(H4895)),H4895,"")</x:f>
        <x:v>41.72</x:v>
      </x:c>
      <x:c r="P4895" s="34" t="str">
        <x:v>NOT_REVEALING</x:v>
      </x:c>
      <x:c r="Q4895" s="34" t="str">
        <x:v>Feedback-Directed Random Test Generation/Result_Round2/Lang_1/result.json</x:v>
      </x:c>
    </x:row>
    <x:row r="4896">
      <x:c r="A4896" s="34" t="str">
        <x:v>randoop</x:v>
      </x:c>
      <x:c r="B4896" s="34" t="str">
        <x:v>Lang</x:v>
      </x:c>
      <x:c r="C4896" s="34" t="str">
        <x:v>Round2</x:v>
      </x:c>
      <x:c r="D4896" s="34" t="str">
        <x:v>Lang_3</x:v>
      </x:c>
      <x:c r="E4896" s="34" t="str">
        <x:v>Condition</x:v>
      </x:c>
      <x:c r="F4896" s="34" t="n">
        <x:v>334</x:v>
      </x:c>
      <x:c r="G4896" s="34" t="str">
        <x:v>RECORDED</x:v>
      </x:c>
      <x:c r="H4896" s="38" t="n">
        <x:f>IF(ISNUMBER('Data'!I1480),'Data'!I1480*100,"")</x:f>
        <x:v>42.22</x:v>
      </x:c>
      <x:c r="I4896" s="34" t="str">
        <x:v>PASS</x:v>
      </x:c>
      <x:c r="J4896" s="34" t="str">
        <x:v>PASS</x:v>
      </x:c>
      <x:c r="K4896" s="34" t="str">
        <x:v>PASS</x:v>
      </x:c>
      <x:c r="L4896" s="34" t="str">
        <x:v>PASS</x:v>
      </x:c>
      <x:c r="M4896" s="34" t="str">
        <x:v>numeric coverage for applicable metric</x:v>
      </x:c>
      <x:c r="N4896" s="34" t="str">
        <x:v>Feedback-Directed Random Test Generation/Result_Round2/Lang_3/result.json</x:v>
      </x:c>
      <x:c r="O4896" s="38" t="n">
        <x:f>IF(AND(G4896="RECORDED",ISNUMBER(H4896)),H4896,"")</x:f>
        <x:v>42.22</x:v>
      </x:c>
      <x:c r="P4896" s="34" t="str">
        <x:v>NOT_REVEALING</x:v>
      </x:c>
      <x:c r="Q4896" s="34" t="str">
        <x:v>Feedback-Directed Random Test Generation/Result_Round2/Lang_3/result.json</x:v>
      </x:c>
    </x:row>
    <x:row r="4897">
      <x:c r="A4897" s="34" t="str">
        <x:v>randoop</x:v>
      </x:c>
      <x:c r="B4897" s="34" t="str">
        <x:v>Lang</x:v>
      </x:c>
      <x:c r="C4897" s="34" t="str">
        <x:v>Round2</x:v>
      </x:c>
      <x:c r="D4897" s="34" t="str">
        <x:v>Lang_4</x:v>
      </x:c>
      <x:c r="E4897" s="34" t="str">
        <x:v>Condition</x:v>
      </x:c>
      <x:c r="F4897" s="34" t="n">
        <x:v>14</x:v>
      </x:c>
      <x:c r="G4897" s="34" t="str">
        <x:v>RECORDED</x:v>
      </x:c>
      <x:c r="H4897" s="38" t="n">
        <x:f>IF(ISNUMBER('Data'!I1481),'Data'!I1481*100,"")</x:f>
        <x:v>100</x:v>
      </x:c>
      <x:c r="I4897" s="34" t="str">
        <x:v>PASS</x:v>
      </x:c>
      <x:c r="J4897" s="34" t="str">
        <x:v>PASS</x:v>
      </x:c>
      <x:c r="K4897" s="34" t="str">
        <x:v>PASS</x:v>
      </x:c>
      <x:c r="L4897" s="34" t="str">
        <x:v>PASS</x:v>
      </x:c>
      <x:c r="M4897" s="34" t="str">
        <x:v>numeric coverage for applicable metric</x:v>
      </x:c>
      <x:c r="N4897" s="34" t="str">
        <x:v>Feedback-Directed Random Test Generation/Result_Round2/Lang_4/result.json</x:v>
      </x:c>
      <x:c r="O4897" s="38" t="n">
        <x:f>IF(AND(G4897="RECORDED",ISNUMBER(H4897)),H4897,"")</x:f>
        <x:v>100</x:v>
      </x:c>
      <x:c r="P4897" s="34" t="str">
        <x:v>NOT_REVEALING</x:v>
      </x:c>
      <x:c r="Q4897" s="34" t="str">
        <x:v>Feedback-Directed Random Test Generation/Result_Round2/Lang_4/result.json</x:v>
      </x:c>
    </x:row>
    <x:row r="4898">
      <x:c r="A4898" s="34" t="str">
        <x:v>randoop</x:v>
      </x:c>
      <x:c r="B4898" s="34" t="str">
        <x:v>Lang</x:v>
      </x:c>
      <x:c r="C4898" s="34" t="str">
        <x:v>Round2</x:v>
      </x:c>
      <x:c r="D4898" s="34" t="str">
        <x:v>Lang_5</x:v>
      </x:c>
      <x:c r="E4898" s="34" t="str">
        <x:v>Condition</x:v>
      </x:c>
      <x:c r="F4898" s="34" t="n">
        <x:v>56</x:v>
      </x:c>
      <x:c r="G4898" s="34" t="str">
        <x:v>RECORDED</x:v>
      </x:c>
      <x:c r="H4898" s="38" t="n">
        <x:f>IF(ISNUMBER('Data'!I1482),'Data'!I1482*100,"")</x:f>
        <x:v>42.86</x:v>
      </x:c>
      <x:c r="I4898" s="34" t="str">
        <x:v>PASS</x:v>
      </x:c>
      <x:c r="J4898" s="34" t="str">
        <x:v>PASS</x:v>
      </x:c>
      <x:c r="K4898" s="34" t="str">
        <x:v>PASS</x:v>
      </x:c>
      <x:c r="L4898" s="34" t="str">
        <x:v>PASS</x:v>
      </x:c>
      <x:c r="M4898" s="34" t="str">
        <x:v>numeric coverage for applicable metric</x:v>
      </x:c>
      <x:c r="N4898" s="34" t="str">
        <x:v>Feedback-Directed Random Test Generation/Result_Round2/Lang_5/result.json</x:v>
      </x:c>
      <x:c r="O4898" s="38" t="n">
        <x:f>IF(AND(G4898="RECORDED",ISNUMBER(H4898)),H4898,"")</x:f>
        <x:v>42.86</x:v>
      </x:c>
      <x:c r="P4898" s="34" t="str">
        <x:v>NOT_REVEALING</x:v>
      </x:c>
      <x:c r="Q4898" s="34" t="str">
        <x:v>Feedback-Directed Random Test Generation/Result_Round2/Lang_5/result.json</x:v>
      </x:c>
    </x:row>
    <x:row r="4899">
      <x:c r="A4899" s="34" t="str">
        <x:v>randoop</x:v>
      </x:c>
      <x:c r="B4899" s="34" t="str">
        <x:v>Lang</x:v>
      </x:c>
      <x:c r="C4899" s="34" t="str">
        <x:v>Round2</x:v>
      </x:c>
      <x:c r="D4899" s="34" t="str">
        <x:v>Lang_6</x:v>
      </x:c>
      <x:c r="E4899" s="34" t="str">
        <x:v>Condition</x:v>
      </x:c>
      <x:c r="F4899" s="34" t="n">
        <x:v>12</x:v>
      </x:c>
      <x:c r="G4899" s="34" t="str">
        <x:v>RECORDED</x:v>
      </x:c>
      <x:c r="H4899" s="38" t="n">
        <x:f>IF(ISNUMBER('Data'!I1483),'Data'!I1483*100,"")</x:f>
        <x:v>0</x:v>
      </x:c>
      <x:c r="I4899" s="34" t="str">
        <x:v>PASS</x:v>
      </x:c>
      <x:c r="J4899" s="34" t="str">
        <x:v>PASS</x:v>
      </x:c>
      <x:c r="K4899" s="34" t="str">
        <x:v>PASS</x:v>
      </x:c>
      <x:c r="L4899" s="34" t="str">
        <x:v>PASS</x:v>
      </x:c>
      <x:c r="M4899" s="34" t="str">
        <x:v>numeric coverage for applicable metric</x:v>
      </x:c>
      <x:c r="N4899" s="34" t="str">
        <x:v>Feedback-Directed Random Test Generation/Result_Round2/Lang_6/result.json</x:v>
      </x:c>
      <x:c r="O4899" s="38" t="n">
        <x:f>IF(AND(G4899="RECORDED",ISNUMBER(H4899)),H4899,"")</x:f>
        <x:v>0</x:v>
      </x:c>
      <x:c r="P4899" s="34" t="str">
        <x:v>NOT_REVEALING</x:v>
      </x:c>
      <x:c r="Q4899" s="34" t="str">
        <x:v>Feedback-Directed Random Test Generation/Result_Round2/Lang_6/result.json</x:v>
      </x:c>
    </x:row>
    <x:row r="4900">
      <x:c r="A4900" s="34" t="str">
        <x:v>randoop</x:v>
      </x:c>
      <x:c r="B4900" s="34" t="str">
        <x:v>Lang</x:v>
      </x:c>
      <x:c r="C4900" s="34" t="str">
        <x:v>Round2</x:v>
      </x:c>
      <x:c r="D4900" s="34" t="str">
        <x:v>Lang_7</x:v>
      </x:c>
      <x:c r="E4900" s="34" t="str">
        <x:v>Condition</x:v>
      </x:c>
      <x:c r="F4900" s="34" t="n">
        <x:v>366</x:v>
      </x:c>
      <x:c r="G4900" s="34" t="str">
        <x:v>RECORDED</x:v>
      </x:c>
      <x:c r="H4900" s="38" t="n">
        <x:f>IF(ISNUMBER('Data'!I1484),'Data'!I1484*100,"")</x:f>
        <x:v>47.27</x:v>
      </x:c>
      <x:c r="I4900" s="34" t="str">
        <x:v>PASS</x:v>
      </x:c>
      <x:c r="J4900" s="34" t="str">
        <x:v>PASS</x:v>
      </x:c>
      <x:c r="K4900" s="34" t="str">
        <x:v>PASS</x:v>
      </x:c>
      <x:c r="L4900" s="34" t="str">
        <x:v>PASS</x:v>
      </x:c>
      <x:c r="M4900" s="34" t="str">
        <x:v>numeric coverage for applicable metric</x:v>
      </x:c>
      <x:c r="N4900" s="34" t="str">
        <x:v>Feedback-Directed Random Test Generation/Result_Round2/Lang_7/result.json</x:v>
      </x:c>
      <x:c r="O4900" s="38" t="n">
        <x:f>IF(AND(G4900="RECORDED",ISNUMBER(H4900)),H4900,"")</x:f>
        <x:v>47.27</x:v>
      </x:c>
      <x:c r="P4900" s="34" t="str">
        <x:v>NOT_REVEALING</x:v>
      </x:c>
      <x:c r="Q4900" s="34" t="str">
        <x:v>Feedback-Directed Random Test Generation/Result_Round2/Lang_7/result.json</x:v>
      </x:c>
    </x:row>
    <x:row r="4901">
      <x:c r="A4901" s="34" t="str">
        <x:v>randoop</x:v>
      </x:c>
      <x:c r="B4901" s="34" t="str">
        <x:v>Lang</x:v>
      </x:c>
      <x:c r="C4901" s="34" t="str">
        <x:v>Round2</x:v>
      </x:c>
      <x:c r="D4901" s="34" t="str">
        <x:v>Lang_8</x:v>
      </x:c>
      <x:c r="E4901" s="34" t="str">
        <x:v>Condition</x:v>
      </x:c>
      <x:c r="F4901" s="34" t="n">
        <x:v>150</x:v>
      </x:c>
      <x:c r="G4901" s="34" t="str">
        <x:v>RECORDED</x:v>
      </x:c>
      <x:c r="H4901" s="38" t="n">
        <x:f>IF(ISNUMBER('Data'!I1485),'Data'!I1485*100,"")</x:f>
        <x:v>1.33</x:v>
      </x:c>
      <x:c r="I4901" s="34" t="str">
        <x:v>PASS</x:v>
      </x:c>
      <x:c r="J4901" s="34" t="str">
        <x:v>PASS</x:v>
      </x:c>
      <x:c r="K4901" s="34" t="str">
        <x:v>PASS</x:v>
      </x:c>
      <x:c r="L4901" s="34" t="str">
        <x:v>PASS</x:v>
      </x:c>
      <x:c r="M4901" s="34" t="str">
        <x:v>numeric coverage for applicable metric</x:v>
      </x:c>
      <x:c r="N4901" s="34" t="str">
        <x:v>Feedback-Directed Random Test Generation/Result_Round2/Lang_8/result.json</x:v>
      </x:c>
      <x:c r="O4901" s="38" t="n">
        <x:f>IF(AND(G4901="RECORDED",ISNUMBER(H4901)),H4901,"")</x:f>
        <x:v>1.33</x:v>
      </x:c>
      <x:c r="P4901" s="34" t="str">
        <x:v>NOT_REVEALING</x:v>
      </x:c>
      <x:c r="Q4901" s="34" t="str">
        <x:v>Feedback-Directed Random Test Generation/Result_Round2/Lang_8/result.json</x:v>
      </x:c>
    </x:row>
    <x:row r="4902">
      <x:c r="A4902" s="34" t="str">
        <x:v>randoop</x:v>
      </x:c>
      <x:c r="B4902" s="34" t="str">
        <x:v>Lang</x:v>
      </x:c>
      <x:c r="C4902" s="34" t="str">
        <x:v>Round2</x:v>
      </x:c>
      <x:c r="D4902" s="34" t="str">
        <x:v>Lang_9</x:v>
      </x:c>
      <x:c r="E4902" s="34" t="str">
        <x:v>Condition</x:v>
      </x:c>
      <x:c r="F4902" s="34" t="n">
        <x:v>123</x:v>
      </x:c>
      <x:c r="G4902" s="34" t="str">
        <x:v>RECORDED</x:v>
      </x:c>
      <x:c r="H4902" s="38" t="n">
        <x:f>IF(ISNUMBER('Data'!I1486),'Data'!I1486*100,"")</x:f>
        <x:v>0</x:v>
      </x:c>
      <x:c r="I4902" s="34" t="str">
        <x:v>PASS</x:v>
      </x:c>
      <x:c r="J4902" s="34" t="str">
        <x:v>PASS</x:v>
      </x:c>
      <x:c r="K4902" s="34" t="str">
        <x:v>PASS</x:v>
      </x:c>
      <x:c r="L4902" s="34" t="str">
        <x:v>PASS</x:v>
      </x:c>
      <x:c r="M4902" s="34" t="str">
        <x:v>numeric coverage for applicable metric</x:v>
      </x:c>
      <x:c r="N4902" s="34" t="str">
        <x:v>Feedback-Directed Random Test Generation/Result_Round2/Lang_9/result.json</x:v>
      </x:c>
      <x:c r="O4902" s="38" t="n">
        <x:f>IF(AND(G4902="RECORDED",ISNUMBER(H4902)),H4902,"")</x:f>
        <x:v>0</x:v>
      </x:c>
      <x:c r="P4902" s="34" t="str">
        <x:v>NOT_REVEALING</x:v>
      </x:c>
      <x:c r="Q4902" s="34" t="str">
        <x:v>Feedback-Directed Random Test Generation/Result_Round2/Lang_9/result.json</x:v>
      </x:c>
    </x:row>
    <x:row r="4903">
      <x:c r="A4903" s="34" t="str">
        <x:v>randoop</x:v>
      </x:c>
      <x:c r="B4903" s="34" t="str">
        <x:v>Lang</x:v>
      </x:c>
      <x:c r="C4903" s="34" t="str">
        <x:v>Round2</x:v>
      </x:c>
      <x:c r="D4903" s="34" t="str">
        <x:v>Lang_10</x:v>
      </x:c>
      <x:c r="E4903" s="34" t="str">
        <x:v>Condition</x:v>
      </x:c>
      <x:c r="F4903" s="34" t="n">
        <x:v>127</x:v>
      </x:c>
      <x:c r="G4903" s="34" t="str">
        <x:v>RECORDED</x:v>
      </x:c>
      <x:c r="H4903" s="38" t="n">
        <x:f>IF(ISNUMBER('Data'!I1487),'Data'!I1487*100,"")</x:f>
        <x:v>0</x:v>
      </x:c>
      <x:c r="I4903" s="34" t="str">
        <x:v>PASS</x:v>
      </x:c>
      <x:c r="J4903" s="34" t="str">
        <x:v>PASS</x:v>
      </x:c>
      <x:c r="K4903" s="34" t="str">
        <x:v>PASS</x:v>
      </x:c>
      <x:c r="L4903" s="34" t="str">
        <x:v>PASS</x:v>
      </x:c>
      <x:c r="M4903" s="34" t="str">
        <x:v>numeric coverage for applicable metric</x:v>
      </x:c>
      <x:c r="N4903" s="34" t="str">
        <x:v>Feedback-Directed Random Test Generation/Result_Round2/Lang_10/result.json</x:v>
      </x:c>
      <x:c r="O4903" s="38" t="n">
        <x:f>IF(AND(G4903="RECORDED",ISNUMBER(H4903)),H4903,"")</x:f>
        <x:v>0</x:v>
      </x:c>
      <x:c r="P4903" s="34" t="str">
        <x:v>NOT_REVEALING</x:v>
      </x:c>
      <x:c r="Q4903" s="34" t="str">
        <x:v>Feedback-Directed Random Test Generation/Result_Round2/Lang_10/result.json</x:v>
      </x:c>
    </x:row>
    <x:row r="4904">
      <x:c r="A4904" s="34" t="str">
        <x:v>randoop</x:v>
      </x:c>
      <x:c r="B4904" s="34" t="str">
        <x:v>Lang</x:v>
      </x:c>
      <x:c r="C4904" s="34" t="str">
        <x:v>Round2</x:v>
      </x:c>
      <x:c r="D4904" s="34" t="str">
        <x:v>Lang_11</x:v>
      </x:c>
      <x:c r="E4904" s="34" t="str">
        <x:v>Condition</x:v>
      </x:c>
      <x:c r="F4904" s="34" t="n">
        <x:v>0</x:v>
      </x:c>
      <x:c r="G4904" s="34" t="str">
        <x:v>A</x:v>
      </x:c>
      <x:c r="H4904" s="38" t="str">
        <x:f>IF(ISNUMBER('Data'!I1488),'Data'!I1488*100,"")</x:f>
      </x:c>
      <x:c r="I4904" s="34"/>
      <x:c r="J4904" s="34"/>
      <x:c r="K4904" s="34"/>
      <x:c r="L4904" s="34" t="str">
        <x:v>NOT_RUN</x:v>
      </x:c>
      <x:c r="M4904" s="34" t="str">
        <x:v>Latest same-round generation failed; older files/results are excluded</x:v>
      </x:c>
      <x:c r="N4904" s="34" t="str">
        <x:v>Feedback-Directed Random Test Generation/report_Round2.csv</x:v>
      </x:c>
      <x:c r="O4904" s="38" t="str">
        <x:f>IF(AND(G4904="RECORDED",ISNUMBER(H4904)),H4904,"")</x:f>
      </x:c>
      <x:c r="P4904" s="34" t="str">
        <x:v>FAIL</x:v>
      </x:c>
      <x:c r="Q4904" s="34"/>
    </x:row>
    <x:row r="4905">
      <x:c r="A4905" s="34" t="str">
        <x:v>randoop</x:v>
      </x:c>
      <x:c r="B4905" s="34" t="str">
        <x:v>Lang</x:v>
      </x:c>
      <x:c r="C4905" s="34" t="str">
        <x:v>Round2</x:v>
      </x:c>
      <x:c r="D4905" s="34" t="str">
        <x:v>Lang_12</x:v>
      </x:c>
      <x:c r="E4905" s="34" t="str">
        <x:v>Condition</x:v>
      </x:c>
      <x:c r="F4905" s="34" t="n">
        <x:v>0</x:v>
      </x:c>
      <x:c r="G4905" s="34" t="str">
        <x:v>A</x:v>
      </x:c>
      <x:c r="H4905" s="38" t="str">
        <x:f>IF(ISNUMBER('Data'!I1489),'Data'!I1489*100,"")</x:f>
      </x:c>
      <x:c r="I4905" s="34"/>
      <x:c r="J4905" s="34"/>
      <x:c r="K4905" s="34"/>
      <x:c r="L4905" s="34" t="str">
        <x:v>NOT_RUN</x:v>
      </x:c>
      <x:c r="M4905" s="34" t="str">
        <x:v>Latest same-round generation failed; older files/results are excluded</x:v>
      </x:c>
      <x:c r="N4905" s="34" t="str">
        <x:v>Feedback-Directed Random Test Generation/report_Round2.csv</x:v>
      </x:c>
      <x:c r="O4905" s="38" t="str">
        <x:f>IF(AND(G4905="RECORDED",ISNUMBER(H4905)),H4905,"")</x:f>
      </x:c>
      <x:c r="P4905" s="34" t="str">
        <x:v>FAIL</x:v>
      </x:c>
      <x:c r="Q4905" s="34"/>
    </x:row>
    <x:row r="4906">
      <x:c r="A4906" s="34" t="str">
        <x:v>randoop</x:v>
      </x:c>
      <x:c r="B4906" s="34" t="str">
        <x:v>Lang</x:v>
      </x:c>
      <x:c r="C4906" s="34" t="str">
        <x:v>Round2</x:v>
      </x:c>
      <x:c r="D4906" s="34" t="str">
        <x:v>Lang_13</x:v>
      </x:c>
      <x:c r="E4906" s="34" t="str">
        <x:v>Condition</x:v>
      </x:c>
      <x:c r="F4906" s="34" t="n">
        <x:v>14</x:v>
      </x:c>
      <x:c r="G4906" s="34" t="str">
        <x:v>RECORDED</x:v>
      </x:c>
      <x:c r="H4906" s="38" t="n">
        <x:f>IF(ISNUMBER('Data'!I1490),'Data'!I1490*100,"")</x:f>
        <x:v>85.71</x:v>
      </x:c>
      <x:c r="I4906" s="34" t="str">
        <x:v>PASS</x:v>
      </x:c>
      <x:c r="J4906" s="34" t="str">
        <x:v>PASS</x:v>
      </x:c>
      <x:c r="K4906" s="34" t="str">
        <x:v>PASS</x:v>
      </x:c>
      <x:c r="L4906" s="34" t="str">
        <x:v>PASS</x:v>
      </x:c>
      <x:c r="M4906" s="34" t="str">
        <x:v>numeric coverage for applicable metric</x:v>
      </x:c>
      <x:c r="N4906" s="34" t="str">
        <x:v>Feedback-Directed Random Test Generation/Result_Round2/Lang_13/result.json</x:v>
      </x:c>
      <x:c r="O4906" s="38" t="n">
        <x:f>IF(AND(G4906="RECORDED",ISNUMBER(H4906)),H4906,"")</x:f>
        <x:v>85.71</x:v>
      </x:c>
      <x:c r="P4906" s="34" t="str">
        <x:v>NOT_REVEALING</x:v>
      </x:c>
      <x:c r="Q4906" s="34" t="str">
        <x:v>Feedback-Directed Random Test Generation/Result_Round2/Lang_13/result.json</x:v>
      </x:c>
    </x:row>
    <x:row r="4907">
      <x:c r="A4907" s="34" t="str">
        <x:v>randoop</x:v>
      </x:c>
      <x:c r="B4907" s="34" t="str">
        <x:v>Lang</x:v>
      </x:c>
      <x:c r="C4907" s="34" t="str">
        <x:v>Round2</x:v>
      </x:c>
      <x:c r="D4907" s="34" t="str">
        <x:v>Lang_14</x:v>
      </x:c>
      <x:c r="E4907" s="34" t="str">
        <x:v>Condition</x:v>
      </x:c>
      <x:c r="F4907" s="34" t="n">
        <x:v>1141</x:v>
      </x:c>
      <x:c r="G4907" s="34" t="str">
        <x:v>RECORDED</x:v>
      </x:c>
      <x:c r="H4907" s="38" t="n">
        <x:f>IF(ISNUMBER('Data'!I1491),'Data'!I1491*100,"")</x:f>
        <x:v>82.56</x:v>
      </x:c>
      <x:c r="I4907" s="34" t="str">
        <x:v>PASS</x:v>
      </x:c>
      <x:c r="J4907" s="34" t="str">
        <x:v>PASS</x:v>
      </x:c>
      <x:c r="K4907" s="34" t="str">
        <x:v>PASS</x:v>
      </x:c>
      <x:c r="L4907" s="34" t="str">
        <x:v>PASS</x:v>
      </x:c>
      <x:c r="M4907" s="34" t="str">
        <x:v>numeric coverage for applicable metric</x:v>
      </x:c>
      <x:c r="N4907" s="34" t="str">
        <x:v>Feedback-Directed Random Test Generation/Result_Round2/Lang_14/result.json</x:v>
      </x:c>
      <x:c r="O4907" s="38" t="n">
        <x:f>IF(AND(G4907="RECORDED",ISNUMBER(H4907)),H4907,"")</x:f>
        <x:v>82.56</x:v>
      </x:c>
      <x:c r="P4907" s="34" t="str">
        <x:v>NOT_REVEALING</x:v>
      </x:c>
      <x:c r="Q4907" s="34" t="str">
        <x:v>Feedback-Directed Random Test Generation/Result_Round2/Lang_14/result.json</x:v>
      </x:c>
    </x:row>
    <x:row r="4908">
      <x:c r="A4908" s="34" t="str">
        <x:v>randoop</x:v>
      </x:c>
      <x:c r="B4908" s="34" t="str">
        <x:v>Lang</x:v>
      </x:c>
      <x:c r="C4908" s="34" t="str">
        <x:v>Round2</x:v>
      </x:c>
      <x:c r="D4908" s="34" t="str">
        <x:v>Lang_15</x:v>
      </x:c>
      <x:c r="E4908" s="34" t="str">
        <x:v>Condition</x:v>
      </x:c>
      <x:c r="F4908" s="34" t="n">
        <x:v>284</x:v>
      </x:c>
      <x:c r="G4908" s="34" t="str">
        <x:v>RECORDED</x:v>
      </x:c>
      <x:c r="H4908" s="38" t="n">
        <x:f>IF(ISNUMBER('Data'!I1492),'Data'!I1492*100,"")</x:f>
        <x:v>11.62</x:v>
      </x:c>
      <x:c r="I4908" s="34" t="str">
        <x:v>PASS</x:v>
      </x:c>
      <x:c r="J4908" s="34" t="str">
        <x:v>PASS</x:v>
      </x:c>
      <x:c r="K4908" s="34" t="str">
        <x:v>PASS</x:v>
      </x:c>
      <x:c r="L4908" s="34" t="str">
        <x:v>PASS</x:v>
      </x:c>
      <x:c r="M4908" s="34" t="str">
        <x:v>numeric coverage for applicable metric</x:v>
      </x:c>
      <x:c r="N4908" s="34" t="str">
        <x:v>Feedback-Directed Random Test Generation/Result_Round2/Lang_15/result.json</x:v>
      </x:c>
      <x:c r="O4908" s="38" t="n">
        <x:f>IF(AND(G4908="RECORDED",ISNUMBER(H4908)),H4908,"")</x:f>
        <x:v>11.62</x:v>
      </x:c>
      <x:c r="P4908" s="34" t="str">
        <x:v>NOT_REVEALING</x:v>
      </x:c>
      <x:c r="Q4908" s="34" t="str">
        <x:v>Feedback-Directed Random Test Generation/Result_Round2/Lang_15/result.json</x:v>
      </x:c>
    </x:row>
    <x:row r="4909">
      <x:c r="A4909" s="34" t="str">
        <x:v>randoop</x:v>
      </x:c>
      <x:c r="B4909" s="34" t="str">
        <x:v>Lang</x:v>
      </x:c>
      <x:c r="C4909" s="34" t="str">
        <x:v>Round2</x:v>
      </x:c>
      <x:c r="D4909" s="34" t="str">
        <x:v>Lang_16</x:v>
      </x:c>
      <x:c r="E4909" s="34" t="str">
        <x:v>Condition</x:v>
      </x:c>
      <x:c r="F4909" s="34" t="n">
        <x:v>358</x:v>
      </x:c>
      <x:c r="G4909" s="34" t="str">
        <x:v>RECORDED</x:v>
      </x:c>
      <x:c r="H4909" s="38" t="n">
        <x:f>IF(ISNUMBER('Data'!I1493),'Data'!I1493*100,"")</x:f>
        <x:v>47.77</x:v>
      </x:c>
      <x:c r="I4909" s="34" t="str">
        <x:v>PASS</x:v>
      </x:c>
      <x:c r="J4909" s="34" t="str">
        <x:v>PASS</x:v>
      </x:c>
      <x:c r="K4909" s="34" t="str">
        <x:v>PASS</x:v>
      </x:c>
      <x:c r="L4909" s="34" t="str">
        <x:v>PASS</x:v>
      </x:c>
      <x:c r="M4909" s="34" t="str">
        <x:v>numeric coverage for applicable metric</x:v>
      </x:c>
      <x:c r="N4909" s="34" t="str">
        <x:v>Feedback-Directed Random Test Generation/Result_Round2/Lang_16/result.json</x:v>
      </x:c>
      <x:c r="O4909" s="38" t="n">
        <x:f>IF(AND(G4909="RECORDED",ISNUMBER(H4909)),H4909,"")</x:f>
        <x:v>47.77</x:v>
      </x:c>
      <x:c r="P4909" s="34" t="str">
        <x:v>NOT_REVEALING</x:v>
      </x:c>
      <x:c r="Q4909" s="34" t="str">
        <x:v>Feedback-Directed Random Test Generation/Result_Round2/Lang_16/result.json</x:v>
      </x:c>
    </x:row>
    <x:row r="4910">
      <x:c r="A4910" s="34" t="str">
        <x:v>randoop</x:v>
      </x:c>
      <x:c r="B4910" s="34" t="str">
        <x:v>Lang</x:v>
      </x:c>
      <x:c r="C4910" s="34" t="str">
        <x:v>Round2</x:v>
      </x:c>
      <x:c r="D4910" s="34" t="str">
        <x:v>Lang_17</x:v>
      </x:c>
      <x:c r="E4910" s="34" t="str">
        <x:v>Condition</x:v>
      </x:c>
      <x:c r="F4910" s="34" t="n">
        <x:v>14</x:v>
      </x:c>
      <x:c r="G4910" s="34" t="str">
        <x:v>RECORDED</x:v>
      </x:c>
      <x:c r="H4910" s="38" t="n">
        <x:f>IF(ISNUMBER('Data'!I1494),'Data'!I1494*100,"")</x:f>
        <x:v>0</x:v>
      </x:c>
      <x:c r="I4910" s="34" t="str">
        <x:v>PASS</x:v>
      </x:c>
      <x:c r="J4910" s="34" t="str">
        <x:v>PASS</x:v>
      </x:c>
      <x:c r="K4910" s="34" t="str">
        <x:v>PASS</x:v>
      </x:c>
      <x:c r="L4910" s="34" t="str">
        <x:v>PASS</x:v>
      </x:c>
      <x:c r="M4910" s="34" t="str">
        <x:v>numeric coverage for applicable metric</x:v>
      </x:c>
      <x:c r="N4910" s="34" t="str">
        <x:v>Feedback-Directed Random Test Generation/Result_Round2/Lang_17/result.json</x:v>
      </x:c>
      <x:c r="O4910" s="38" t="n">
        <x:f>IF(AND(G4910="RECORDED",ISNUMBER(H4910)),H4910,"")</x:f>
        <x:v>0</x:v>
      </x:c>
      <x:c r="P4910" s="34" t="str">
        <x:v>NOT_REVEALING</x:v>
      </x:c>
      <x:c r="Q4910" s="34" t="str">
        <x:v>Feedback-Directed Random Test Generation/Result_Round2/Lang_17/result.json</x:v>
      </x:c>
    </x:row>
    <x:row r="4911">
      <x:c r="A4911" s="34" t="str">
        <x:v>randoop</x:v>
      </x:c>
      <x:c r="B4911" s="34" t="str">
        <x:v>Lang</x:v>
      </x:c>
      <x:c r="C4911" s="34" t="str">
        <x:v>Round2</x:v>
      </x:c>
      <x:c r="D4911" s="34" t="str">
        <x:v>Lang_19</x:v>
      </x:c>
      <x:c r="E4911" s="34" t="str">
        <x:v>Condition</x:v>
      </x:c>
      <x:c r="F4911" s="34" t="n">
        <x:v>18</x:v>
      </x:c>
      <x:c r="G4911" s="34" t="str">
        <x:v>RECORDED</x:v>
      </x:c>
      <x:c r="H4911" s="38" t="n">
        <x:f>IF(ISNUMBER('Data'!I1495),'Data'!I1495*100,"")</x:f>
        <x:v>5.56</x:v>
      </x:c>
      <x:c r="I4911" s="34" t="str">
        <x:v>PASS</x:v>
      </x:c>
      <x:c r="J4911" s="34" t="str">
        <x:v>PASS</x:v>
      </x:c>
      <x:c r="K4911" s="34" t="str">
        <x:v>PASS</x:v>
      </x:c>
      <x:c r="L4911" s="34" t="str">
        <x:v>PASS</x:v>
      </x:c>
      <x:c r="M4911" s="34" t="str">
        <x:v>numeric coverage for applicable metric</x:v>
      </x:c>
      <x:c r="N4911" s="34" t="str">
        <x:v>Feedback-Directed Random Test Generation/Result_Round2/Lang_19/result.json</x:v>
      </x:c>
      <x:c r="O4911" s="38" t="n">
        <x:f>IF(AND(G4911="RECORDED",ISNUMBER(H4911)),H4911,"")</x:f>
        <x:v>5.56</x:v>
      </x:c>
      <x:c r="P4911" s="34" t="str">
        <x:v>NOT_REVEALING</x:v>
      </x:c>
      <x:c r="Q4911" s="34" t="str">
        <x:v>Feedback-Directed Random Test Generation/Result_Round2/Lang_19/result.json</x:v>
      </x:c>
    </x:row>
    <x:row r="4912">
      <x:c r="A4912" s="34" t="str">
        <x:v>randoop</x:v>
      </x:c>
      <x:c r="B4912" s="34" t="str">
        <x:v>Lang</x:v>
      </x:c>
      <x:c r="C4912" s="34" t="str">
        <x:v>Round2</x:v>
      </x:c>
      <x:c r="D4912" s="34" t="str">
        <x:v>Lang_20</x:v>
      </x:c>
      <x:c r="E4912" s="34" t="str">
        <x:v>Condition</x:v>
      </x:c>
      <x:c r="F4912" s="34" t="n">
        <x:v>1149</x:v>
      </x:c>
      <x:c r="G4912" s="34" t="str">
        <x:v>RECORDED</x:v>
      </x:c>
      <x:c r="H4912" s="38" t="n">
        <x:f>IF(ISNUMBER('Data'!I1496),'Data'!I1496*100,"")</x:f>
        <x:v>82.94</x:v>
      </x:c>
      <x:c r="I4912" s="34" t="str">
        <x:v>PASS</x:v>
      </x:c>
      <x:c r="J4912" s="34" t="str">
        <x:v>PASS</x:v>
      </x:c>
      <x:c r="K4912" s="34" t="str">
        <x:v>PASS</x:v>
      </x:c>
      <x:c r="L4912" s="34" t="str">
        <x:v>PASS</x:v>
      </x:c>
      <x:c r="M4912" s="34" t="str">
        <x:v>numeric coverage for applicable metric</x:v>
      </x:c>
      <x:c r="N4912" s="34" t="str">
        <x:v>Feedback-Directed Random Test Generation/Result_Round2/Lang_20/result.json</x:v>
      </x:c>
      <x:c r="O4912" s="38" t="n">
        <x:f>IF(AND(G4912="RECORDED",ISNUMBER(H4912)),H4912,"")</x:f>
        <x:v>82.94</x:v>
      </x:c>
      <x:c r="P4912" s="34" t="str">
        <x:v>NOT_REVEALING</x:v>
      </x:c>
      <x:c r="Q4912" s="34" t="str">
        <x:v>Feedback-Directed Random Test Generation/Result_Round2/Lang_20/result.json</x:v>
      </x:c>
    </x:row>
    <x:row r="4913">
      <x:c r="A4913" s="34" t="str">
        <x:v>randoop</x:v>
      </x:c>
      <x:c r="B4913" s="34" t="str">
        <x:v>Lang</x:v>
      </x:c>
      <x:c r="C4913" s="34" t="str">
        <x:v>Round2</x:v>
      </x:c>
      <x:c r="D4913" s="34" t="str">
        <x:v>Lang_21</x:v>
      </x:c>
      <x:c r="E4913" s="34" t="str">
        <x:v>Condition</x:v>
      </x:c>
      <x:c r="F4913" s="34" t="n">
        <x:v>218</x:v>
      </x:c>
      <x:c r="G4913" s="34" t="str">
        <x:v>RECORDED</x:v>
      </x:c>
      <x:c r="H4913" s="38" t="n">
        <x:f>IF(ISNUMBER('Data'!I1497),'Data'!I1497*100,"")</x:f>
        <x:v>85.32</x:v>
      </x:c>
      <x:c r="I4913" s="34" t="str">
        <x:v>PASS</x:v>
      </x:c>
      <x:c r="J4913" s="34" t="str">
        <x:v>PASS</x:v>
      </x:c>
      <x:c r="K4913" s="34" t="str">
        <x:v>PASS</x:v>
      </x:c>
      <x:c r="L4913" s="34" t="str">
        <x:v>FAIL</x:v>
      </x:c>
      <x:c r="M4913" s="34" t="str">
        <x:v>numeric coverage for applicable metric</x:v>
      </x:c>
      <x:c r="N4913" s="34" t="str">
        <x:v>Feedback-Directed Random Test Generation/Result_Round2/Lang_21/result.json</x:v>
      </x:c>
      <x:c r="O4913" s="38" t="n">
        <x:f>IF(AND(G4913="RECORDED",ISNUMBER(H4913)),H4913,"")</x:f>
        <x:v>85.32</x:v>
      </x:c>
      <x:c r="P4913" s="34" t="str">
        <x:v>INCONCLUSIVE</x:v>
      </x:c>
      <x:c r="Q4913" s="34" t="str">
        <x:v>Feedback-Directed Random Test Generation/Result_Round2/Lang_21/result.json</x:v>
      </x:c>
    </x:row>
    <x:row r="4914">
      <x:c r="A4914" s="34" t="str">
        <x:v>randoop</x:v>
      </x:c>
      <x:c r="B4914" s="34" t="str">
        <x:v>Lang</x:v>
      </x:c>
      <x:c r="C4914" s="34" t="str">
        <x:v>Round2</x:v>
      </x:c>
      <x:c r="D4914" s="34" t="str">
        <x:v>Lang_22</x:v>
      </x:c>
      <x:c r="E4914" s="34" t="str">
        <x:v>Condition</x:v>
      </x:c>
      <x:c r="F4914" s="34" t="n">
        <x:v>188</x:v>
      </x:c>
      <x:c r="G4914" s="34" t="str">
        <x:v>RECORDED</x:v>
      </x:c>
      <x:c r="H4914" s="38" t="n">
        <x:f>IF(ISNUMBER('Data'!I1498),'Data'!I1498*100,"")</x:f>
        <x:v>82.98</x:v>
      </x:c>
      <x:c r="I4914" s="34" t="str">
        <x:v>PASS</x:v>
      </x:c>
      <x:c r="J4914" s="34" t="str">
        <x:v>PASS</x:v>
      </x:c>
      <x:c r="K4914" s="34" t="str">
        <x:v>PASS</x:v>
      </x:c>
      <x:c r="L4914" s="34" t="str">
        <x:v>FAIL</x:v>
      </x:c>
      <x:c r="M4914" s="34" t="str">
        <x:v>numeric coverage for applicable metric</x:v>
      </x:c>
      <x:c r="N4914" s="34" t="str">
        <x:v>Feedback-Directed Random Test Generation/Result_Round2/Lang_22/result.json</x:v>
      </x:c>
      <x:c r="O4914" s="38" t="n">
        <x:f>IF(AND(G4914="RECORDED",ISNUMBER(H4914)),H4914,"")</x:f>
        <x:v>82.98</x:v>
      </x:c>
      <x:c r="P4914" s="34" t="str">
        <x:v>INCONCLUSIVE</x:v>
      </x:c>
      <x:c r="Q4914" s="34" t="str">
        <x:v>Feedback-Directed Random Test Generation/Result_Round2/Lang_22/result.json</x:v>
      </x:c>
    </x:row>
    <x:row r="4915">
      <x:c r="A4915" s="34" t="str">
        <x:v>randoop</x:v>
      </x:c>
      <x:c r="B4915" s="34" t="str">
        <x:v>Lang</x:v>
      </x:c>
      <x:c r="C4915" s="34" t="str">
        <x:v>Round2</x:v>
      </x:c>
      <x:c r="D4915" s="34" t="str">
        <x:v>Lang_23</x:v>
      </x:c>
      <x:c r="E4915" s="34" t="str">
        <x:v>Condition</x:v>
      </x:c>
      <x:c r="F4915" s="34" t="n">
        <x:v>99</x:v>
      </x:c>
      <x:c r="G4915" s="34" t="str">
        <x:v>RECORDED</x:v>
      </x:c>
      <x:c r="H4915" s="38" t="n">
        <x:f>IF(ISNUMBER('Data'!I1499),'Data'!I1499*100,"")</x:f>
        <x:v>1.01</x:v>
      </x:c>
      <x:c r="I4915" s="34" t="str">
        <x:v>PASS</x:v>
      </x:c>
      <x:c r="J4915" s="34" t="str">
        <x:v>PASS</x:v>
      </x:c>
      <x:c r="K4915" s="34" t="str">
        <x:v>PASS</x:v>
      </x:c>
      <x:c r="L4915" s="34" t="str">
        <x:v>PASS</x:v>
      </x:c>
      <x:c r="M4915" s="34" t="str">
        <x:v>numeric coverage for applicable metric</x:v>
      </x:c>
      <x:c r="N4915" s="34" t="str">
        <x:v>Feedback-Directed Random Test Generation/Result_Round2/Lang_23/result.json</x:v>
      </x:c>
      <x:c r="O4915" s="38" t="n">
        <x:f>IF(AND(G4915="RECORDED",ISNUMBER(H4915)),H4915,"")</x:f>
        <x:v>1.01</x:v>
      </x:c>
      <x:c r="P4915" s="34" t="str">
        <x:v>NOT_REVEALING</x:v>
      </x:c>
      <x:c r="Q4915" s="34" t="str">
        <x:v>Feedback-Directed Random Test Generation/Result_Round2/Lang_23/result.json</x:v>
      </x:c>
    </x:row>
    <x:row r="4916">
      <x:c r="A4916" s="34" t="str">
        <x:v>randoop</x:v>
      </x:c>
      <x:c r="B4916" s="34" t="str">
        <x:v>Lang</x:v>
      </x:c>
      <x:c r="C4916" s="34" t="str">
        <x:v>Round2</x:v>
      </x:c>
      <x:c r="D4916" s="34" t="str">
        <x:v>Lang_24</x:v>
      </x:c>
      <x:c r="E4916" s="34" t="str">
        <x:v>Condition</x:v>
      </x:c>
      <x:c r="F4916" s="34" t="n">
        <x:v>356</x:v>
      </x:c>
      <x:c r="G4916" s="34" t="str">
        <x:v>RECORDED</x:v>
      </x:c>
      <x:c r="H4916" s="38" t="n">
        <x:f>IF(ISNUMBER('Data'!I1500),'Data'!I1500*100,"")</x:f>
        <x:v>48.03</x:v>
      </x:c>
      <x:c r="I4916" s="34" t="str">
        <x:v>PASS</x:v>
      </x:c>
      <x:c r="J4916" s="34" t="str">
        <x:v>PASS</x:v>
      </x:c>
      <x:c r="K4916" s="34" t="str">
        <x:v>PASS</x:v>
      </x:c>
      <x:c r="L4916" s="34" t="str">
        <x:v>PASS</x:v>
      </x:c>
      <x:c r="M4916" s="34" t="str">
        <x:v>numeric coverage for applicable metric</x:v>
      </x:c>
      <x:c r="N4916" s="34" t="str">
        <x:v>Feedback-Directed Random Test Generation/Result_Round2/Lang_24/result.json</x:v>
      </x:c>
      <x:c r="O4916" s="38" t="n">
        <x:f>IF(AND(G4916="RECORDED",ISNUMBER(H4916)),H4916,"")</x:f>
        <x:v>48.03</x:v>
      </x:c>
      <x:c r="P4916" s="34" t="str">
        <x:v>NOT_REVEALING</x:v>
      </x:c>
      <x:c r="Q4916" s="34" t="str">
        <x:v>Feedback-Directed Random Test Generation/Result_Round2/Lang_24/result.json</x:v>
      </x:c>
    </x:row>
    <x:row r="4917">
      <x:c r="A4917" s="34" t="str">
        <x:v>randoop</x:v>
      </x:c>
      <x:c r="B4917" s="34" t="str">
        <x:v>Lang</x:v>
      </x:c>
      <x:c r="C4917" s="34" t="str">
        <x:v>Round2</x:v>
      </x:c>
      <x:c r="D4917" s="34" t="str">
        <x:v>Lang_26</x:v>
      </x:c>
      <x:c r="E4917" s="34" t="str">
        <x:v>Condition</x:v>
      </x:c>
      <x:c r="F4917" s="34" t="n">
        <x:v>228</x:v>
      </x:c>
      <x:c r="G4917" s="34" t="str">
        <x:v>RECORDED</x:v>
      </x:c>
      <x:c r="H4917" s="38" t="n">
        <x:f>IF(ISNUMBER('Data'!I1501),'Data'!I1501*100,"")</x:f>
        <x:v>67.54</x:v>
      </x:c>
      <x:c r="I4917" s="34" t="str">
        <x:v>PASS</x:v>
      </x:c>
      <x:c r="J4917" s="34" t="str">
        <x:v>PASS</x:v>
      </x:c>
      <x:c r="K4917" s="34" t="str">
        <x:v>PASS</x:v>
      </x:c>
      <x:c r="L4917" s="34" t="str">
        <x:v>FAIL</x:v>
      </x:c>
      <x:c r="M4917" s="34" t="str">
        <x:v>numeric coverage for applicable metric</x:v>
      </x:c>
      <x:c r="N4917" s="34" t="str">
        <x:v>Feedback-Directed Random Test Generation/Result_Round2/Lang_26/result.json</x:v>
      </x:c>
      <x:c r="O4917" s="38" t="n">
        <x:f>IF(AND(G4917="RECORDED",ISNUMBER(H4917)),H4917,"")</x:f>
        <x:v>67.54</x:v>
      </x:c>
      <x:c r="P4917" s="34" t="str">
        <x:v>INCONCLUSIVE</x:v>
      </x:c>
      <x:c r="Q4917" s="34" t="str">
        <x:v>Feedback-Directed Random Test Generation/Result_Round2/Lang_26/result.json</x:v>
      </x:c>
    </x:row>
    <x:row r="4918">
      <x:c r="A4918" s="34" t="str">
        <x:v>randoop</x:v>
      </x:c>
      <x:c r="B4918" s="34" t="str">
        <x:v>Lang</x:v>
      </x:c>
      <x:c r="C4918" s="34" t="str">
        <x:v>Round2</x:v>
      </x:c>
      <x:c r="D4918" s="34" t="str">
        <x:v>Lang_27</x:v>
      </x:c>
      <x:c r="E4918" s="34" t="str">
        <x:v>Condition</x:v>
      </x:c>
      <x:c r="F4918" s="34" t="n">
        <x:v>352</x:v>
      </x:c>
      <x:c r="G4918" s="34" t="str">
        <x:v>RECORDED</x:v>
      </x:c>
      <x:c r="H4918" s="38" t="n">
        <x:f>IF(ISNUMBER('Data'!I1502),'Data'!I1502*100,"")</x:f>
        <x:v>48.58</x:v>
      </x:c>
      <x:c r="I4918" s="34" t="str">
        <x:v>PASS</x:v>
      </x:c>
      <x:c r="J4918" s="34" t="str">
        <x:v>PASS</x:v>
      </x:c>
      <x:c r="K4918" s="34" t="str">
        <x:v>PASS</x:v>
      </x:c>
      <x:c r="L4918" s="34" t="str">
        <x:v>PASS</x:v>
      </x:c>
      <x:c r="M4918" s="34" t="str">
        <x:v>numeric coverage for applicable metric</x:v>
      </x:c>
      <x:c r="N4918" s="34" t="str">
        <x:v>Feedback-Directed Random Test Generation/Result_Round2/Lang_27/result.json</x:v>
      </x:c>
      <x:c r="O4918" s="38" t="n">
        <x:f>IF(AND(G4918="RECORDED",ISNUMBER(H4918)),H4918,"")</x:f>
        <x:v>48.58</x:v>
      </x:c>
      <x:c r="P4918" s="34" t="str">
        <x:v>NOT_REVEALING</x:v>
      </x:c>
      <x:c r="Q4918" s="34" t="str">
        <x:v>Feedback-Directed Random Test Generation/Result_Round2/Lang_27/result.json</x:v>
      </x:c>
    </x:row>
    <x:row r="4919">
      <x:c r="A4919" s="34" t="str">
        <x:v>randoop</x:v>
      </x:c>
      <x:c r="B4919" s="34" t="str">
        <x:v>Lang</x:v>
      </x:c>
      <x:c r="C4919" s="34" t="str">
        <x:v>Round2</x:v>
      </x:c>
      <x:c r="D4919" s="34" t="str">
        <x:v>Lang_28</x:v>
      </x:c>
      <x:c r="E4919" s="34" t="str">
        <x:v>Condition</x:v>
      </x:c>
      <x:c r="F4919" s="34" t="n">
        <x:v>14</x:v>
      </x:c>
      <x:c r="G4919" s="34" t="str">
        <x:v>RECORDED</x:v>
      </x:c>
      <x:c r="H4919" s="38" t="n">
        <x:f>IF(ISNUMBER('Data'!I1503),'Data'!I1503*100,"")</x:f>
        <x:v>7.139999999999999</x:v>
      </x:c>
      <x:c r="I4919" s="34" t="str">
        <x:v>PASS</x:v>
      </x:c>
      <x:c r="J4919" s="34" t="str">
        <x:v>PASS</x:v>
      </x:c>
      <x:c r="K4919" s="34" t="str">
        <x:v>PASS</x:v>
      </x:c>
      <x:c r="L4919" s="34" t="str">
        <x:v>PASS</x:v>
      </x:c>
      <x:c r="M4919" s="34" t="str">
        <x:v>numeric coverage for applicable metric</x:v>
      </x:c>
      <x:c r="N4919" s="34" t="str">
        <x:v>Feedback-Directed Random Test Generation/Result_Round2/Lang_28/result.json</x:v>
      </x:c>
      <x:c r="O4919" s="38" t="n">
        <x:f>IF(AND(G4919="RECORDED",ISNUMBER(H4919)),H4919,"")</x:f>
        <x:v>7.139999999999999</x:v>
      </x:c>
      <x:c r="P4919" s="34" t="str">
        <x:v>NOT_REVEALING</x:v>
      </x:c>
      <x:c r="Q4919" s="34" t="str">
        <x:v>Feedback-Directed Random Test Generation/Result_Round2/Lang_28/result.json</x:v>
      </x:c>
    </x:row>
    <x:row r="4920">
      <x:c r="A4920" s="34" t="str">
        <x:v>randoop</x:v>
      </x:c>
      <x:c r="B4920" s="34" t="str">
        <x:v>Lang</x:v>
      </x:c>
      <x:c r="C4920" s="34" t="str">
        <x:v>Round2</x:v>
      </x:c>
      <x:c r="D4920" s="34" t="str">
        <x:v>Lang_29</x:v>
      </x:c>
      <x:c r="E4920" s="34" t="str">
        <x:v>Condition</x:v>
      </x:c>
      <x:c r="F4920" s="34" t="n">
        <x:v>50</x:v>
      </x:c>
      <x:c r="G4920" s="34" t="str">
        <x:v>RECORDED</x:v>
      </x:c>
      <x:c r="H4920" s="38" t="n">
        <x:f>IF(ISNUMBER('Data'!I1504),'Data'!I1504*100,"")</x:f>
        <x:v>74</x:v>
      </x:c>
      <x:c r="I4920" s="34" t="str">
        <x:v>PASS</x:v>
      </x:c>
      <x:c r="J4920" s="34" t="str">
        <x:v>PASS</x:v>
      </x:c>
      <x:c r="K4920" s="34" t="str">
        <x:v>PASS</x:v>
      </x:c>
      <x:c r="L4920" s="34" t="str">
        <x:v>PASS</x:v>
      </x:c>
      <x:c r="M4920" s="34" t="str">
        <x:v>numeric coverage for applicable metric</x:v>
      </x:c>
      <x:c r="N4920" s="34" t="str">
        <x:v>Feedback-Directed Random Test Generation/Result_Round2/Lang_29/result.json</x:v>
      </x:c>
      <x:c r="O4920" s="38" t="n">
        <x:f>IF(AND(G4920="RECORDED",ISNUMBER(H4920)),H4920,"")</x:f>
        <x:v>74</x:v>
      </x:c>
      <x:c r="P4920" s="34" t="str">
        <x:v>NOT_REVEALING</x:v>
      </x:c>
      <x:c r="Q4920" s="34" t="str">
        <x:v>Feedback-Directed Random Test Generation/Result_Round2/Lang_29/result.json</x:v>
      </x:c>
    </x:row>
    <x:row r="4921">
      <x:c r="A4921" s="34" t="str">
        <x:v>randoop</x:v>
      </x:c>
      <x:c r="B4921" s="34" t="str">
        <x:v>Lang</x:v>
      </x:c>
      <x:c r="C4921" s="34" t="str">
        <x:v>Round2</x:v>
      </x:c>
      <x:c r="D4921" s="34" t="str">
        <x:v>Lang_30</x:v>
      </x:c>
      <x:c r="E4921" s="34" t="str">
        <x:v>Condition</x:v>
      </x:c>
      <x:c r="F4921" s="34" t="n">
        <x:v>1055</x:v>
      </x:c>
      <x:c r="G4921" s="34" t="str">
        <x:v>RECORDED</x:v>
      </x:c>
      <x:c r="H4921" s="38" t="n">
        <x:f>IF(ISNUMBER('Data'!I1505),'Data'!I1505*100,"")</x:f>
        <x:v>80.95</x:v>
      </x:c>
      <x:c r="I4921" s="34" t="str">
        <x:v>PASS</x:v>
      </x:c>
      <x:c r="J4921" s="34" t="str">
        <x:v>PASS</x:v>
      </x:c>
      <x:c r="K4921" s="34" t="str">
        <x:v>PASS</x:v>
      </x:c>
      <x:c r="L4921" s="34" t="str">
        <x:v>PASS</x:v>
      </x:c>
      <x:c r="M4921" s="34" t="str">
        <x:v>numeric coverage for applicable metric</x:v>
      </x:c>
      <x:c r="N4921" s="34" t="str">
        <x:v>Feedback-Directed Random Test Generation/Result_Round2/Lang_30/result.json</x:v>
      </x:c>
      <x:c r="O4921" s="38" t="n">
        <x:f>IF(AND(G4921="RECORDED",ISNUMBER(H4921)),H4921,"")</x:f>
        <x:v>80.95</x:v>
      </x:c>
      <x:c r="P4921" s="34" t="str">
        <x:v>NOT_AVAILABLE</x:v>
      </x:c>
      <x:c r="Q4921" s="34" t="str">
        <x:v>Feedback-Directed Random Test Generation/Result_Round2/Lang_30/result.json</x:v>
      </x:c>
    </x:row>
    <x:row r="4922">
      <x:c r="A4922" s="34" t="str">
        <x:v>randoop</x:v>
      </x:c>
      <x:c r="B4922" s="34" t="str">
        <x:v>Lang</x:v>
      </x:c>
      <x:c r="C4922" s="34" t="str">
        <x:v>Round2</x:v>
      </x:c>
      <x:c r="D4922" s="34" t="str">
        <x:v>Lang_31</x:v>
      </x:c>
      <x:c r="E4922" s="34" t="str">
        <x:v>Condition</x:v>
      </x:c>
      <x:c r="F4922" s="34" t="n">
        <x:v>1045</x:v>
      </x:c>
      <x:c r="G4922" s="34" t="str">
        <x:v>RECORDED</x:v>
      </x:c>
      <x:c r="H4922" s="38" t="n">
        <x:f>IF(ISNUMBER('Data'!I1506),'Data'!I1506*100,"")</x:f>
        <x:v>81.15</x:v>
      </x:c>
      <x:c r="I4922" s="34" t="str">
        <x:v>PASS</x:v>
      </x:c>
      <x:c r="J4922" s="34" t="str">
        <x:v>PASS</x:v>
      </x:c>
      <x:c r="K4922" s="34" t="str">
        <x:v>PASS</x:v>
      </x:c>
      <x:c r="L4922" s="34" t="str">
        <x:v>PASS</x:v>
      </x:c>
      <x:c r="M4922" s="34" t="str">
        <x:v>numeric coverage for applicable metric</x:v>
      </x:c>
      <x:c r="N4922" s="34" t="str">
        <x:v>Feedback-Directed Random Test Generation/Result_Round2/Lang_31/result.json</x:v>
      </x:c>
      <x:c r="O4922" s="38" t="n">
        <x:f>IF(AND(G4922="RECORDED",ISNUMBER(H4922)),H4922,"")</x:f>
        <x:v>81.15</x:v>
      </x:c>
      <x:c r="P4922" s="34" t="str">
        <x:v>NOT_REVEALING</x:v>
      </x:c>
      <x:c r="Q4922" s="34" t="str">
        <x:v>Feedback-Directed Random Test Generation/Result_Round2/Lang_31/result.json</x:v>
      </x:c>
    </x:row>
    <x:row r="4923">
      <x:c r="A4923" s="34" t="str">
        <x:v>randoop</x:v>
      </x:c>
      <x:c r="B4923" s="34" t="str">
        <x:v>Lang</x:v>
      </x:c>
      <x:c r="C4923" s="34" t="str">
        <x:v>Round2</x:v>
      </x:c>
      <x:c r="D4923" s="34" t="str">
        <x:v>Lang_32</x:v>
      </x:c>
      <x:c r="E4923" s="34" t="str">
        <x:v>Condition</x:v>
      </x:c>
      <x:c r="F4923" s="34" t="n">
        <x:v>86</x:v>
      </x:c>
      <x:c r="G4923" s="34" t="str">
        <x:v>RECORDED</x:v>
      </x:c>
      <x:c r="H4923" s="38" t="n">
        <x:f>IF(ISNUMBER('Data'!I1507),'Data'!I1507*100,"")</x:f>
        <x:v>90.7</x:v>
      </x:c>
      <x:c r="I4923" s="34" t="str">
        <x:v>PASS</x:v>
      </x:c>
      <x:c r="J4923" s="34" t="str">
        <x:v>PASS</x:v>
      </x:c>
      <x:c r="K4923" s="34" t="str">
        <x:v>PASS</x:v>
      </x:c>
      <x:c r="L4923" s="34" t="str">
        <x:v>FAIL</x:v>
      </x:c>
      <x:c r="M4923" s="34" t="str">
        <x:v>numeric coverage for applicable metric</x:v>
      </x:c>
      <x:c r="N4923" s="34" t="str">
        <x:v>Feedback-Directed Random Test Generation/Result_Round2/Lang_32/result.json</x:v>
      </x:c>
      <x:c r="O4923" s="38" t="n">
        <x:f>IF(AND(G4923="RECORDED",ISNUMBER(H4923)),H4923,"")</x:f>
        <x:v>90.7</x:v>
      </x:c>
      <x:c r="P4923" s="34" t="str">
        <x:v>INCONCLUSIVE</x:v>
      </x:c>
      <x:c r="Q4923" s="34" t="str">
        <x:v>Feedback-Directed Random Test Generation/Result_Round2/Lang_32/result.json</x:v>
      </x:c>
    </x:row>
    <x:row r="4924">
      <x:c r="A4924" s="34" t="str">
        <x:v>randoop</x:v>
      </x:c>
      <x:c r="B4924" s="34" t="str">
        <x:v>Lang</x:v>
      </x:c>
      <x:c r="C4924" s="34" t="str">
        <x:v>Round2</x:v>
      </x:c>
      <x:c r="D4924" s="34" t="str">
        <x:v>Lang_33</x:v>
      </x:c>
      <x:c r="E4924" s="34" t="str">
        <x:v>Condition</x:v>
      </x:c>
      <x:c r="F4924" s="34" t="n">
        <x:v>216</x:v>
      </x:c>
      <x:c r="G4924" s="34" t="str">
        <x:v>RECORDED</x:v>
      </x:c>
      <x:c r="H4924" s="38" t="n">
        <x:f>IF(ISNUMBER('Data'!I1508),'Data'!I1508*100,"")</x:f>
        <x:v>35.65</x:v>
      </x:c>
      <x:c r="I4924" s="34" t="str">
        <x:v>PASS</x:v>
      </x:c>
      <x:c r="J4924" s="34" t="str">
        <x:v>PASS</x:v>
      </x:c>
      <x:c r="K4924" s="34" t="str">
        <x:v>PASS</x:v>
      </x:c>
      <x:c r="L4924" s="34" t="str">
        <x:v>PASS</x:v>
      </x:c>
      <x:c r="M4924" s="34" t="str">
        <x:v>numeric coverage for applicable metric</x:v>
      </x:c>
      <x:c r="N4924" s="34" t="str">
        <x:v>Feedback-Directed Random Test Generation/Result_Round2/Lang_33/result.json</x:v>
      </x:c>
      <x:c r="O4924" s="38" t="n">
        <x:f>IF(AND(G4924="RECORDED",ISNUMBER(H4924)),H4924,"")</x:f>
        <x:v>35.65</x:v>
      </x:c>
      <x:c r="P4924" s="34" t="str">
        <x:v>INCONCLUSIVE</x:v>
      </x:c>
      <x:c r="Q4924" s="34" t="str">
        <x:v>Feedback-Directed Random Test Generation/Result_Round2/Lang_33/result.json</x:v>
      </x:c>
    </x:row>
    <x:row r="4925">
      <x:c r="A4925" s="34" t="str">
        <x:v>randoop</x:v>
      </x:c>
      <x:c r="B4925" s="34" t="str">
        <x:v>Lang</x:v>
      </x:c>
      <x:c r="C4925" s="34" t="str">
        <x:v>Round2</x:v>
      </x:c>
      <x:c r="D4925" s="34" t="str">
        <x:v>Lang_34</x:v>
      </x:c>
      <x:c r="E4925" s="34" t="str">
        <x:v>Condition</x:v>
      </x:c>
      <x:c r="F4925" s="34" t="n">
        <x:v>216</x:v>
      </x:c>
      <x:c r="G4925" s="34" t="str">
        <x:v>RECORDED</x:v>
      </x:c>
      <x:c r="H4925" s="38" t="n">
        <x:f>IF(ISNUMBER('Data'!I1509),'Data'!I1509*100,"")</x:f>
        <x:v>47.69</x:v>
      </x:c>
      <x:c r="I4925" s="34" t="str">
        <x:v>PASS</x:v>
      </x:c>
      <x:c r="J4925" s="34" t="str">
        <x:v>PASS</x:v>
      </x:c>
      <x:c r="K4925" s="34" t="str">
        <x:v>PASS</x:v>
      </x:c>
      <x:c r="L4925" s="34" t="str">
        <x:v>FAIL</x:v>
      </x:c>
      <x:c r="M4925" s="34" t="str">
        <x:v>numeric coverage for applicable metric</x:v>
      </x:c>
      <x:c r="N4925" s="34" t="str">
        <x:v>Feedback-Directed Random Test Generation/Result_Round2/Lang_34/result.json</x:v>
      </x:c>
      <x:c r="O4925" s="38" t="n">
        <x:f>IF(AND(G4925="RECORDED",ISNUMBER(H4925)),H4925,"")</x:f>
        <x:v>47.69</x:v>
      </x:c>
      <x:c r="P4925" s="34" t="str">
        <x:v>INCONCLUSIVE</x:v>
      </x:c>
      <x:c r="Q4925" s="34" t="str">
        <x:v>Feedback-Directed Random Test Generation/Result_Round2/Lang_34/result.json</x:v>
      </x:c>
    </x:row>
    <x:row r="4926">
      <x:c r="A4926" s="34" t="str">
        <x:v>randoop</x:v>
      </x:c>
      <x:c r="B4926" s="34" t="str">
        <x:v>Lang</x:v>
      </x:c>
      <x:c r="C4926" s="34" t="str">
        <x:v>Round2</x:v>
      </x:c>
      <x:c r="D4926" s="34" t="str">
        <x:v>Lang_35</x:v>
      </x:c>
      <x:c r="E4926" s="34" t="str">
        <x:v>Condition</x:v>
      </x:c>
      <x:c r="F4926" s="34" t="n">
        <x:v>806</x:v>
      </x:c>
      <x:c r="G4926" s="34" t="str">
        <x:v>RECORDED</x:v>
      </x:c>
      <x:c r="H4926" s="38" t="n">
        <x:f>IF(ISNUMBER('Data'!I1510),'Data'!I1510*100,"")</x:f>
        <x:v>91.81</x:v>
      </x:c>
      <x:c r="I4926" s="34" t="str">
        <x:v>PASS</x:v>
      </x:c>
      <x:c r="J4926" s="34" t="str">
        <x:v>PASS</x:v>
      </x:c>
      <x:c r="K4926" s="34" t="str">
        <x:v>PASS</x:v>
      </x:c>
      <x:c r="L4926" s="34" t="str">
        <x:v>PASS</x:v>
      </x:c>
      <x:c r="M4926" s="34" t="str">
        <x:v>numeric coverage for applicable metric</x:v>
      </x:c>
      <x:c r="N4926" s="34" t="str">
        <x:v>Feedback-Directed Random Test Generation/Result_Round2/Lang_35/result.json</x:v>
      </x:c>
      <x:c r="O4926" s="38" t="n">
        <x:f>IF(AND(G4926="RECORDED",ISNUMBER(H4926)),H4926,"")</x:f>
        <x:v>91.81</x:v>
      </x:c>
      <x:c r="P4926" s="34" t="str">
        <x:v>NOT_REVEALING</x:v>
      </x:c>
      <x:c r="Q4926" s="34" t="str">
        <x:v>Feedback-Directed Random Test Generation/Result_Round2/Lang_35/result.json</x:v>
      </x:c>
    </x:row>
    <x:row r="4927">
      <x:c r="A4927" s="34" t="str">
        <x:v>randoop</x:v>
      </x:c>
      <x:c r="B4927" s="34" t="str">
        <x:v>Lang</x:v>
      </x:c>
      <x:c r="C4927" s="34" t="str">
        <x:v>Round2</x:v>
      </x:c>
      <x:c r="D4927" s="34" t="str">
        <x:v>Lang_36</x:v>
      </x:c>
      <x:c r="E4927" s="34" t="str">
        <x:v>Condition</x:v>
      </x:c>
      <x:c r="F4927" s="34" t="n">
        <x:v>344</x:v>
      </x:c>
      <x:c r="G4927" s="34" t="str">
        <x:v>RECORDED</x:v>
      </x:c>
      <x:c r="H4927" s="38" t="n">
        <x:f>IF(ISNUMBER('Data'!I1511),'Data'!I1511*100,"")</x:f>
        <x:v>49.42</x:v>
      </x:c>
      <x:c r="I4927" s="34" t="str">
        <x:v>PASS</x:v>
      </x:c>
      <x:c r="J4927" s="34" t="str">
        <x:v>PASS</x:v>
      </x:c>
      <x:c r="K4927" s="34" t="str">
        <x:v>PASS</x:v>
      </x:c>
      <x:c r="L4927" s="34" t="str">
        <x:v>PASS</x:v>
      </x:c>
      <x:c r="M4927" s="34" t="str">
        <x:v>numeric coverage for applicable metric</x:v>
      </x:c>
      <x:c r="N4927" s="34" t="str">
        <x:v>Feedback-Directed Random Test Generation/Result_Round2/Lang_36/result.json</x:v>
      </x:c>
      <x:c r="O4927" s="38" t="n">
        <x:f>IF(AND(G4927="RECORDED",ISNUMBER(H4927)),H4927,"")</x:f>
        <x:v>49.42</x:v>
      </x:c>
      <x:c r="P4927" s="34" t="str">
        <x:v>NOT_REVEALING</x:v>
      </x:c>
      <x:c r="Q4927" s="34" t="str">
        <x:v>Feedback-Directed Random Test Generation/Result_Round2/Lang_36/result.json</x:v>
      </x:c>
    </x:row>
    <x:row r="4928">
      <x:c r="A4928" s="34" t="str">
        <x:v>randoop</x:v>
      </x:c>
      <x:c r="B4928" s="34" t="str">
        <x:v>Lang</x:v>
      </x:c>
      <x:c r="C4928" s="34" t="str">
        <x:v>Round2</x:v>
      </x:c>
      <x:c r="D4928" s="34" t="str">
        <x:v>Lang_37</x:v>
      </x:c>
      <x:c r="E4928" s="34" t="str">
        <x:v>Condition</x:v>
      </x:c>
      <x:c r="F4928" s="34" t="n">
        <x:v>804</x:v>
      </x:c>
      <x:c r="G4928" s="34" t="str">
        <x:v>RECORDED</x:v>
      </x:c>
      <x:c r="H4928" s="38" t="n">
        <x:f>IF(ISNUMBER('Data'!I1512),'Data'!I1512*100,"")</x:f>
        <x:v>93.78</x:v>
      </x:c>
      <x:c r="I4928" s="34" t="str">
        <x:v>PASS</x:v>
      </x:c>
      <x:c r="J4928" s="34" t="str">
        <x:v>PASS</x:v>
      </x:c>
      <x:c r="K4928" s="34" t="str">
        <x:v>PASS</x:v>
      </x:c>
      <x:c r="L4928" s="34" t="str">
        <x:v>PASS</x:v>
      </x:c>
      <x:c r="M4928" s="34" t="str">
        <x:v>numeric coverage for applicable metric</x:v>
      </x:c>
      <x:c r="N4928" s="34" t="str">
        <x:v>Feedback-Directed Random Test Generation/Result_Round2/Lang_37/result.json</x:v>
      </x:c>
      <x:c r="O4928" s="38" t="n">
        <x:f>IF(AND(G4928="RECORDED",ISNUMBER(H4928)),H4928,"")</x:f>
        <x:v>93.78</x:v>
      </x:c>
      <x:c r="P4928" s="34" t="str">
        <x:v>INCONCLUSIVE</x:v>
      </x:c>
      <x:c r="Q4928" s="34" t="str">
        <x:v>Feedback-Directed Random Test Generation/Result_Round2/Lang_37/result.json</x:v>
      </x:c>
    </x:row>
    <x:row r="4929">
      <x:c r="A4929" s="34" t="str">
        <x:v>randoop</x:v>
      </x:c>
      <x:c r="B4929" s="34" t="str">
        <x:v>Lang</x:v>
      </x:c>
      <x:c r="C4929" s="34" t="str">
        <x:v>Round2</x:v>
      </x:c>
      <x:c r="D4929" s="34" t="str">
        <x:v>Lang_38</x:v>
      </x:c>
      <x:c r="E4929" s="34" t="str">
        <x:v>Condition</x:v>
      </x:c>
      <x:c r="F4929" s="34" t="n">
        <x:v>228</x:v>
      </x:c>
      <x:c r="G4929" s="34" t="str">
        <x:v>RECORDED</x:v>
      </x:c>
      <x:c r="H4929" s="38" t="n">
        <x:f>IF(ISNUMBER('Data'!I1513),'Data'!I1513*100,"")</x:f>
        <x:v>67.54</x:v>
      </x:c>
      <x:c r="I4929" s="34" t="str">
        <x:v>PASS</x:v>
      </x:c>
      <x:c r="J4929" s="34" t="str">
        <x:v>PASS</x:v>
      </x:c>
      <x:c r="K4929" s="34" t="str">
        <x:v>PASS</x:v>
      </x:c>
      <x:c r="L4929" s="34" t="str">
        <x:v>FAIL</x:v>
      </x:c>
      <x:c r="M4929" s="34" t="str">
        <x:v>numeric coverage for applicable metric</x:v>
      </x:c>
      <x:c r="N4929" s="34" t="str">
        <x:v>Feedback-Directed Random Test Generation/Result_Round2/Lang_38/result.json</x:v>
      </x:c>
      <x:c r="O4929" s="38" t="n">
        <x:f>IF(AND(G4929="RECORDED",ISNUMBER(H4929)),H4929,"")</x:f>
        <x:v>67.54</x:v>
      </x:c>
      <x:c r="P4929" s="34" t="str">
        <x:v>INCONCLUSIVE</x:v>
      </x:c>
      <x:c r="Q4929" s="34" t="str">
        <x:v>Feedback-Directed Random Test Generation/Result_Round2/Lang_38/result.json</x:v>
      </x:c>
    </x:row>
    <x:row r="4930">
      <x:c r="A4930" s="34" t="str">
        <x:v>randoop</x:v>
      </x:c>
      <x:c r="B4930" s="34" t="str">
        <x:v>Lang</x:v>
      </x:c>
      <x:c r="C4930" s="34" t="str">
        <x:v>Round2</x:v>
      </x:c>
      <x:c r="D4930" s="34" t="str">
        <x:v>Lang_39</x:v>
      </x:c>
      <x:c r="E4930" s="34" t="str">
        <x:v>Condition</x:v>
      </x:c>
      <x:c r="F4930" s="34" t="n">
        <x:v>1005</x:v>
      </x:c>
      <x:c r="G4930" s="34" t="str">
        <x:v>RECORDED</x:v>
      </x:c>
      <x:c r="H4930" s="38" t="n">
        <x:f>IF(ISNUMBER('Data'!I1514),'Data'!I1514*100,"")</x:f>
        <x:v>79.3</x:v>
      </x:c>
      <x:c r="I4930" s="34" t="str">
        <x:v>PASS</x:v>
      </x:c>
      <x:c r="J4930" s="34" t="str">
        <x:v>PASS</x:v>
      </x:c>
      <x:c r="K4930" s="34" t="str">
        <x:v>PASS</x:v>
      </x:c>
      <x:c r="L4930" s="34" t="str">
        <x:v>PASS</x:v>
      </x:c>
      <x:c r="M4930" s="34" t="str">
        <x:v>numeric coverage for applicable metric</x:v>
      </x:c>
      <x:c r="N4930" s="34" t="str">
        <x:v>Feedback-Directed Random Test Generation/Result_Round2/Lang_39/result.json</x:v>
      </x:c>
      <x:c r="O4930" s="38" t="n">
        <x:f>IF(AND(G4930="RECORDED",ISNUMBER(H4930)),H4930,"")</x:f>
        <x:v>79.3</x:v>
      </x:c>
      <x:c r="P4930" s="34" t="str">
        <x:v>NOT_REVEALING</x:v>
      </x:c>
      <x:c r="Q4930" s="34" t="str">
        <x:v>Feedback-Directed Random Test Generation/Result_Round2/Lang_39/result.json</x:v>
      </x:c>
    </x:row>
    <x:row r="4931">
      <x:c r="A4931" s="34" t="str">
        <x:v>randoop</x:v>
      </x:c>
      <x:c r="B4931" s="34" t="str">
        <x:v>Lang</x:v>
      </x:c>
      <x:c r="C4931" s="34" t="str">
        <x:v>Round2</x:v>
      </x:c>
      <x:c r="D4931" s="34" t="str">
        <x:v>Lang_40</x:v>
      </x:c>
      <x:c r="E4931" s="34" t="str">
        <x:v>Condition</x:v>
      </x:c>
      <x:c r="F4931" s="34" t="n">
        <x:v>997</x:v>
      </x:c>
      <x:c r="G4931" s="34" t="str">
        <x:v>RECORDED</x:v>
      </x:c>
      <x:c r="H4931" s="38" t="n">
        <x:f>IF(ISNUMBER('Data'!I1515),'Data'!I1515*100,"")</x:f>
        <x:v>79.34</x:v>
      </x:c>
      <x:c r="I4931" s="34" t="str">
        <x:v>PASS</x:v>
      </x:c>
      <x:c r="J4931" s="34" t="str">
        <x:v>PASS</x:v>
      </x:c>
      <x:c r="K4931" s="34" t="str">
        <x:v>PASS</x:v>
      </x:c>
      <x:c r="L4931" s="34" t="str">
        <x:v>PASS</x:v>
      </x:c>
      <x:c r="M4931" s="34" t="str">
        <x:v>numeric coverage for applicable metric</x:v>
      </x:c>
      <x:c r="N4931" s="34" t="str">
        <x:v>Feedback-Directed Random Test Generation/Result_Round2/Lang_40/result.json</x:v>
      </x:c>
      <x:c r="O4931" s="38" t="n">
        <x:f>IF(AND(G4931="RECORDED",ISNUMBER(H4931)),H4931,"")</x:f>
        <x:v>79.34</x:v>
      </x:c>
      <x:c r="P4931" s="34" t="str">
        <x:v>NOT_REVEALING</x:v>
      </x:c>
      <x:c r="Q4931" s="34" t="str">
        <x:v>Feedback-Directed Random Test Generation/Result_Round2/Lang_40/result.json</x:v>
      </x:c>
    </x:row>
    <x:row r="4932">
      <x:c r="A4932" s="34" t="str">
        <x:v>randoop</x:v>
      </x:c>
      <x:c r="B4932" s="34" t="str">
        <x:v>Lang</x:v>
      </x:c>
      <x:c r="C4932" s="34" t="str">
        <x:v>Round2</x:v>
      </x:c>
      <x:c r="D4932" s="34" t="str">
        <x:v>Lang_41</x:v>
      </x:c>
      <x:c r="E4932" s="34" t="str">
        <x:v>Condition</x:v>
      </x:c>
      <x:c r="F4932" s="34" t="n">
        <x:v>198</x:v>
      </x:c>
      <x:c r="G4932" s="34" t="str">
        <x:v>RECORDED</x:v>
      </x:c>
      <x:c r="H4932" s="38" t="n">
        <x:f>IF(ISNUMBER('Data'!I1516),'Data'!I1516*100,"")</x:f>
        <x:v>33.84</x:v>
      </x:c>
      <x:c r="I4932" s="34" t="str">
        <x:v>PASS</x:v>
      </x:c>
      <x:c r="J4932" s="34" t="str">
        <x:v>PASS</x:v>
      </x:c>
      <x:c r="K4932" s="34" t="str">
        <x:v>PASS</x:v>
      </x:c>
      <x:c r="L4932" s="34" t="str">
        <x:v>PASS</x:v>
      </x:c>
      <x:c r="M4932" s="34" t="str">
        <x:v>numeric coverage for applicable metric</x:v>
      </x:c>
      <x:c r="N4932" s="34" t="str">
        <x:v>Feedback-Directed Random Test Generation/Result_Round2/Lang_41/result.json</x:v>
      </x:c>
      <x:c r="O4932" s="38" t="n">
        <x:f>IF(AND(G4932="RECORDED",ISNUMBER(H4932)),H4932,"")</x:f>
        <x:v>33.84</x:v>
      </x:c>
      <x:c r="P4932" s="34" t="str">
        <x:v>INCONCLUSIVE</x:v>
      </x:c>
      <x:c r="Q4932" s="34" t="str">
        <x:v>Feedback-Directed Random Test Generation/Result_Round2/Lang_41/result.json</x:v>
      </x:c>
    </x:row>
    <x:row r="4933">
      <x:c r="A4933" s="34" t="str">
        <x:v>randoop</x:v>
      </x:c>
      <x:c r="B4933" s="34" t="str">
        <x:v>Lang</x:v>
      </x:c>
      <x:c r="C4933" s="34" t="str">
        <x:v>Round2</x:v>
      </x:c>
      <x:c r="D4933" s="34" t="str">
        <x:v>Lang_42</x:v>
      </x:c>
      <x:c r="E4933" s="34" t="str">
        <x:v>Condition</x:v>
      </x:c>
      <x:c r="F4933" s="34" t="n">
        <x:v>64</x:v>
      </x:c>
      <x:c r="G4933" s="34" t="str">
        <x:v>RECORDED</x:v>
      </x:c>
      <x:c r="H4933" s="38" t="n">
        <x:f>IF(ISNUMBER('Data'!I1517),'Data'!I1517*100,"")</x:f>
        <x:v>57.81</x:v>
      </x:c>
      <x:c r="I4933" s="34" t="str">
        <x:v>PASS</x:v>
      </x:c>
      <x:c r="J4933" s="34" t="str">
        <x:v>PASS</x:v>
      </x:c>
      <x:c r="K4933" s="34" t="str">
        <x:v>PASS</x:v>
      </x:c>
      <x:c r="L4933" s="34" t="str">
        <x:v>FAIL</x:v>
      </x:c>
      <x:c r="M4933" s="34" t="str">
        <x:v>numeric coverage for applicable metric</x:v>
      </x:c>
      <x:c r="N4933" s="34" t="str">
        <x:v>Feedback-Directed Random Test Generation/Result_Round2/Lang_42/result.json</x:v>
      </x:c>
      <x:c r="O4933" s="38" t="n">
        <x:f>IF(AND(G4933="RECORDED",ISNUMBER(H4933)),H4933,"")</x:f>
        <x:v>57.81</x:v>
      </x:c>
      <x:c r="P4933" s="34" t="str">
        <x:v>INCONCLUSIVE</x:v>
      </x:c>
      <x:c r="Q4933" s="34" t="str">
        <x:v>Feedback-Directed Random Test Generation/Result_Round2/Lang_42/result.json</x:v>
      </x:c>
    </x:row>
    <x:row r="4934">
      <x:c r="A4934" s="34" t="str">
        <x:v>randoop</x:v>
      </x:c>
      <x:c r="B4934" s="34" t="str">
        <x:v>Lang</x:v>
      </x:c>
      <x:c r="C4934" s="34" t="str">
        <x:v>Round2</x:v>
      </x:c>
      <x:c r="D4934" s="34" t="str">
        <x:v>Lang_43</x:v>
      </x:c>
      <x:c r="E4934" s="34" t="str">
        <x:v>Condition</x:v>
      </x:c>
      <x:c r="F4934" s="34" t="n">
        <x:v>99</x:v>
      </x:c>
      <x:c r="G4934" s="34" t="str">
        <x:v>RECORDED</x:v>
      </x:c>
      <x:c r="H4934" s="38" t="n">
        <x:f>IF(ISNUMBER('Data'!I1518),'Data'!I1518*100,"")</x:f>
        <x:v>1.01</x:v>
      </x:c>
      <x:c r="I4934" s="34" t="str">
        <x:v>PASS</x:v>
      </x:c>
      <x:c r="J4934" s="34" t="str">
        <x:v>PASS</x:v>
      </x:c>
      <x:c r="K4934" s="34" t="str">
        <x:v>PASS</x:v>
      </x:c>
      <x:c r="L4934" s="34" t="str">
        <x:v>PASS</x:v>
      </x:c>
      <x:c r="M4934" s="34" t="str">
        <x:v>numeric coverage for applicable metric</x:v>
      </x:c>
      <x:c r="N4934" s="34" t="str">
        <x:v>Feedback-Directed Random Test Generation/Result_Round2/Lang_43/result.json</x:v>
      </x:c>
      <x:c r="O4934" s="38" t="n">
        <x:f>IF(AND(G4934="RECORDED",ISNUMBER(H4934)),H4934,"")</x:f>
        <x:v>1.01</x:v>
      </x:c>
      <x:c r="P4934" s="34" t="str">
        <x:v>NOT_REVEALING</x:v>
      </x:c>
      <x:c r="Q4934" s="34" t="str">
        <x:v>Feedback-Directed Random Test Generation/Result_Round2/Lang_43/result.json</x:v>
      </x:c>
    </x:row>
    <x:row r="4935">
      <x:c r="A4935" s="34" t="str">
        <x:v>randoop</x:v>
      </x:c>
      <x:c r="B4935" s="34" t="str">
        <x:v>Lang</x:v>
      </x:c>
      <x:c r="C4935" s="34" t="str">
        <x:v>Round2</x:v>
      </x:c>
      <x:c r="D4935" s="34" t="str">
        <x:v>Lang_44</x:v>
      </x:c>
      <x:c r="E4935" s="34" t="str">
        <x:v>Condition</x:v>
      </x:c>
      <x:c r="F4935" s="34" t="n">
        <x:v>216</x:v>
      </x:c>
      <x:c r="G4935" s="34" t="str">
        <x:v>RECORDED</x:v>
      </x:c>
      <x:c r="H4935" s="38" t="n">
        <x:f>IF(ISNUMBER('Data'!I1519),'Data'!I1519*100,"")</x:f>
        <x:v>27.310000000000002</x:v>
      </x:c>
      <x:c r="I4935" s="34" t="str">
        <x:v>PASS</x:v>
      </x:c>
      <x:c r="J4935" s="34" t="str">
        <x:v>PASS</x:v>
      </x:c>
      <x:c r="K4935" s="34" t="str">
        <x:v>PASS</x:v>
      </x:c>
      <x:c r="L4935" s="34" t="str">
        <x:v>PASS</x:v>
      </x:c>
      <x:c r="M4935" s="34" t="str">
        <x:v>numeric coverage for applicable metric</x:v>
      </x:c>
      <x:c r="N4935" s="34" t="str">
        <x:v>Feedback-Directed Random Test Generation/Result_Round2/Lang_44/result.json</x:v>
      </x:c>
      <x:c r="O4935" s="38" t="n">
        <x:f>IF(AND(G4935="RECORDED",ISNUMBER(H4935)),H4935,"")</x:f>
        <x:v>27.310000000000002</x:v>
      </x:c>
      <x:c r="P4935" s="34" t="str">
        <x:v>NOT_REVEALING</x:v>
      </x:c>
      <x:c r="Q4935" s="34" t="str">
        <x:v>Feedback-Directed Random Test Generation/Result_Round2/Lang_44/result.json</x:v>
      </x:c>
    </x:row>
    <x:row r="4936">
      <x:c r="A4936" s="34" t="str">
        <x:v>randoop</x:v>
      </x:c>
      <x:c r="B4936" s="34" t="str">
        <x:v>Lang</x:v>
      </x:c>
      <x:c r="C4936" s="34" t="str">
        <x:v>Round2</x:v>
      </x:c>
      <x:c r="D4936" s="34" t="str">
        <x:v>Lang_45</x:v>
      </x:c>
      <x:c r="E4936" s="34" t="str">
        <x:v>Condition</x:v>
      </x:c>
      <x:c r="F4936" s="34" t="n">
        <x:v>102</x:v>
      </x:c>
      <x:c r="G4936" s="34" t="str">
        <x:v>RECORDED</x:v>
      </x:c>
      <x:c r="H4936" s="38" t="n">
        <x:f>IF(ISNUMBER('Data'!I1520),'Data'!I1520*100,"")</x:f>
        <x:v>78.43</x:v>
      </x:c>
      <x:c r="I4936" s="34" t="str">
        <x:v>PASS</x:v>
      </x:c>
      <x:c r="J4936" s="34" t="str">
        <x:v>PASS</x:v>
      </x:c>
      <x:c r="K4936" s="34" t="str">
        <x:v>PASS</x:v>
      </x:c>
      <x:c r="L4936" s="34" t="str">
        <x:v>PASS</x:v>
      </x:c>
      <x:c r="M4936" s="34" t="str">
        <x:v>numeric coverage for applicable metric</x:v>
      </x:c>
      <x:c r="N4936" s="34" t="str">
        <x:v>Feedback-Directed Random Test Generation/Result_Round2/Lang_45/result.json</x:v>
      </x:c>
      <x:c r="O4936" s="38" t="n">
        <x:f>IF(AND(G4936="RECORDED",ISNUMBER(H4936)),H4936,"")</x:f>
        <x:v>78.43</x:v>
      </x:c>
      <x:c r="P4936" s="34" t="str">
        <x:v>INCONCLUSIVE</x:v>
      </x:c>
      <x:c r="Q4936" s="34" t="str">
        <x:v>Feedback-Directed Random Test Generation/Result_Round2/Lang_45/result.json</x:v>
      </x:c>
    </x:row>
    <x:row r="4937">
      <x:c r="A4937" s="34" t="str">
        <x:v>randoop</x:v>
      </x:c>
      <x:c r="B4937" s="34" t="str">
        <x:v>Lang</x:v>
      </x:c>
      <x:c r="C4937" s="34" t="str">
        <x:v>Round2</x:v>
      </x:c>
      <x:c r="D4937" s="34" t="str">
        <x:v>Lang_46</x:v>
      </x:c>
      <x:c r="E4937" s="34" t="str">
        <x:v>Condition</x:v>
      </x:c>
      <x:c r="F4937" s="34" t="n">
        <x:v>107</x:v>
      </x:c>
      <x:c r="G4937" s="34" t="str">
        <x:v>RECORDED</x:v>
      </x:c>
      <x:c r="H4937" s="38" t="n">
        <x:f>IF(ISNUMBER('Data'!I1521),'Data'!I1521*100,"")</x:f>
        <x:v>39.25</x:v>
      </x:c>
      <x:c r="I4937" s="34" t="str">
        <x:v>PASS</x:v>
      </x:c>
      <x:c r="J4937" s="34" t="str">
        <x:v>PASS</x:v>
      </x:c>
      <x:c r="K4937" s="34" t="str">
        <x:v>PASS</x:v>
      </x:c>
      <x:c r="L4937" s="34" t="str">
        <x:v>PASS</x:v>
      </x:c>
      <x:c r="M4937" s="34" t="str">
        <x:v>numeric coverage for applicable metric</x:v>
      </x:c>
      <x:c r="N4937" s="34" t="str">
        <x:v>Feedback-Directed Random Test Generation/Result_Round2/Lang_46/result.json</x:v>
      </x:c>
      <x:c r="O4937" s="38" t="n">
        <x:f>IF(AND(G4937="RECORDED",ISNUMBER(H4937)),H4937,"")</x:f>
        <x:v>39.25</x:v>
      </x:c>
      <x:c r="P4937" s="34" t="str">
        <x:v>NOT_REVEALING</x:v>
      </x:c>
      <x:c r="Q4937" s="34" t="str">
        <x:v>Feedback-Directed Random Test Generation/Result_Round2/Lang_46/result.json</x:v>
      </x:c>
    </x:row>
    <x:row r="4938">
      <x:c r="A4938" s="34" t="str">
        <x:v>randoop</x:v>
      </x:c>
      <x:c r="B4938" s="34" t="str">
        <x:v>Lang</x:v>
      </x:c>
      <x:c r="C4938" s="34" t="str">
        <x:v>Round2</x:v>
      </x:c>
      <x:c r="D4938" s="34" t="str">
        <x:v>Lang_47</x:v>
      </x:c>
      <x:c r="E4938" s="34" t="str">
        <x:v>Condition</x:v>
      </x:c>
      <x:c r="F4938" s="34" t="n">
        <x:v>492</x:v>
      </x:c>
      <x:c r="G4938" s="34" t="str">
        <x:v>RECORDED</x:v>
      </x:c>
      <x:c r="H4938" s="38" t="n">
        <x:f>IF(ISNUMBER('Data'!I1522),'Data'!I1522*100,"")</x:f>
        <x:v>90.24</x:v>
      </x:c>
      <x:c r="I4938" s="34" t="str">
        <x:v>PASS</x:v>
      </x:c>
      <x:c r="J4938" s="34" t="str">
        <x:v>PASS</x:v>
      </x:c>
      <x:c r="K4938" s="34" t="str">
        <x:v>PASS</x:v>
      </x:c>
      <x:c r="L4938" s="34" t="str">
        <x:v>FAIL</x:v>
      </x:c>
      <x:c r="M4938" s="34" t="str">
        <x:v>numeric coverage for applicable metric</x:v>
      </x:c>
      <x:c r="N4938" s="34" t="str">
        <x:v>Feedback-Directed Random Test Generation/Result_Round2/Lang_47/result.json</x:v>
      </x:c>
      <x:c r="O4938" s="38" t="n">
        <x:f>IF(AND(G4938="RECORDED",ISNUMBER(H4938)),H4938,"")</x:f>
        <x:v>90.24</x:v>
      </x:c>
      <x:c r="P4938" s="34" t="str">
        <x:v>INCONCLUSIVE</x:v>
      </x:c>
      <x:c r="Q4938" s="34" t="str">
        <x:v>Feedback-Directed Random Test Generation/Result_Round2/Lang_47/result.json</x:v>
      </x:c>
    </x:row>
    <x:row r="4939">
      <x:c r="A4939" s="34" t="str">
        <x:v>randoop</x:v>
      </x:c>
      <x:c r="B4939" s="34" t="str">
        <x:v>Lang</x:v>
      </x:c>
      <x:c r="C4939" s="34" t="str">
        <x:v>Round2</x:v>
      </x:c>
      <x:c r="D4939" s="34" t="str">
        <x:v>Lang_49</x:v>
      </x:c>
      <x:c r="E4939" s="34" t="str">
        <x:v>Condition</x:v>
      </x:c>
      <x:c r="F4939" s="34" t="n">
        <x:v>184</x:v>
      </x:c>
      <x:c r="G4939" s="34" t="str">
        <x:v>RECORDED</x:v>
      </x:c>
      <x:c r="H4939" s="38" t="n">
        <x:f>IF(ISNUMBER('Data'!I1523),'Data'!I1523*100,"")</x:f>
        <x:v>83.15</x:v>
      </x:c>
      <x:c r="I4939" s="34" t="str">
        <x:v>PASS</x:v>
      </x:c>
      <x:c r="J4939" s="34" t="str">
        <x:v>PASS</x:v>
      </x:c>
      <x:c r="K4939" s="34" t="str">
        <x:v>PASS</x:v>
      </x:c>
      <x:c r="L4939" s="34" t="str">
        <x:v>PASS</x:v>
      </x:c>
      <x:c r="M4939" s="34" t="str">
        <x:v>numeric coverage for applicable metric</x:v>
      </x:c>
      <x:c r="N4939" s="34" t="str">
        <x:v>Feedback-Directed Random Test Generation/Result_Round2/Lang_49/result.json</x:v>
      </x:c>
      <x:c r="O4939" s="38" t="n">
        <x:f>IF(AND(G4939="RECORDED",ISNUMBER(H4939)),H4939,"")</x:f>
        <x:v>83.15</x:v>
      </x:c>
      <x:c r="P4939" s="34" t="str">
        <x:v>NOT_REVEALING</x:v>
      </x:c>
      <x:c r="Q4939" s="34" t="str">
        <x:v>Feedback-Directed Random Test Generation/Result_Round2/Lang_49/result.json</x:v>
      </x:c>
    </x:row>
    <x:row r="4940">
      <x:c r="A4940" s="34" t="str">
        <x:v>randoop</x:v>
      </x:c>
      <x:c r="B4940" s="34" t="str">
        <x:v>Lang</x:v>
      </x:c>
      <x:c r="C4940" s="34" t="str">
        <x:v>Round2</x:v>
      </x:c>
      <x:c r="D4940" s="34" t="str">
        <x:v>Lang_50</x:v>
      </x:c>
      <x:c r="E4940" s="34" t="str">
        <x:v>Condition</x:v>
      </x:c>
      <x:c r="F4940" s="34" t="n">
        <x:v>232</x:v>
      </x:c>
      <x:c r="G4940" s="34" t="str">
        <x:v>RECORDED</x:v>
      </x:c>
      <x:c r="H4940" s="38" t="n">
        <x:f>IF(ISNUMBER('Data'!I1524),'Data'!I1524*100,"")</x:f>
        <x:v>70.69</x:v>
      </x:c>
      <x:c r="I4940" s="34" t="str">
        <x:v>PASS</x:v>
      </x:c>
      <x:c r="J4940" s="34" t="str">
        <x:v>PASS</x:v>
      </x:c>
      <x:c r="K4940" s="34" t="str">
        <x:v>PASS</x:v>
      </x:c>
      <x:c r="L4940" s="34" t="str">
        <x:v>FAIL</x:v>
      </x:c>
      <x:c r="M4940" s="34" t="str">
        <x:v>numeric coverage for applicable metric</x:v>
      </x:c>
      <x:c r="N4940" s="34" t="str">
        <x:v>Feedback-Directed Random Test Generation/Result_Round2/Lang_50/result.json</x:v>
      </x:c>
      <x:c r="O4940" s="38" t="n">
        <x:f>IF(AND(G4940="RECORDED",ISNUMBER(H4940)),H4940,"")</x:f>
        <x:v>70.69</x:v>
      </x:c>
      <x:c r="P4940" s="34" t="str">
        <x:v>INCONCLUSIVE</x:v>
      </x:c>
      <x:c r="Q4940" s="34" t="str">
        <x:v>Feedback-Directed Random Test Generation/Result_Round2/Lang_50/result.json</x:v>
      </x:c>
    </x:row>
    <x:row r="4941">
      <x:c r="A4941" s="34" t="str">
        <x:v>randoop</x:v>
      </x:c>
      <x:c r="B4941" s="34" t="str">
        <x:v>Lang</x:v>
      </x:c>
      <x:c r="C4941" s="34" t="str">
        <x:v>Round2</x:v>
      </x:c>
      <x:c r="D4941" s="34" t="str">
        <x:v>Lang_51</x:v>
      </x:c>
      <x:c r="E4941" s="34" t="str">
        <x:v>Condition</x:v>
      </x:c>
      <x:c r="F4941" s="34" t="n">
        <x:v>212</x:v>
      </x:c>
      <x:c r="G4941" s="34" t="str">
        <x:v>RECORDED</x:v>
      </x:c>
      <x:c r="H4941" s="38" t="n">
        <x:f>IF(ISNUMBER('Data'!I1525),'Data'!I1525*100,"")</x:f>
        <x:v>61.79</x:v>
      </x:c>
      <x:c r="I4941" s="34" t="str">
        <x:v>PASS</x:v>
      </x:c>
      <x:c r="J4941" s="34" t="str">
        <x:v>PASS</x:v>
      </x:c>
      <x:c r="K4941" s="34" t="str">
        <x:v>PASS</x:v>
      </x:c>
      <x:c r="L4941" s="34" t="str">
        <x:v>PASS</x:v>
      </x:c>
      <x:c r="M4941" s="34" t="str">
        <x:v>numeric coverage for applicable metric</x:v>
      </x:c>
      <x:c r="N4941" s="34" t="str">
        <x:v>Feedback-Directed Random Test Generation/Result_Round2/Lang_51/result.json</x:v>
      </x:c>
      <x:c r="O4941" s="38" t="n">
        <x:f>IF(AND(G4941="RECORDED",ISNUMBER(H4941)),H4941,"")</x:f>
        <x:v>61.79</x:v>
      </x:c>
      <x:c r="P4941" s="34" t="str">
        <x:v>NOT_REVEALING</x:v>
      </x:c>
      <x:c r="Q4941" s="34" t="str">
        <x:v>Feedback-Directed Random Test Generation/Result_Round2/Lang_51/result.json</x:v>
      </x:c>
    </x:row>
    <x:row r="4942">
      <x:c r="A4942" s="34" t="str">
        <x:v>randoop</x:v>
      </x:c>
      <x:c r="B4942" s="34" t="str">
        <x:v>Lang</x:v>
      </x:c>
      <x:c r="C4942" s="34" t="str">
        <x:v>Round2</x:v>
      </x:c>
      <x:c r="D4942" s="34" t="str">
        <x:v>Lang_52</x:v>
      </x:c>
      <x:c r="E4942" s="34" t="str">
        <x:v>Condition</x:v>
      </x:c>
      <x:c r="F4942" s="34" t="n">
        <x:v>84</x:v>
      </x:c>
      <x:c r="G4942" s="34" t="str">
        <x:v>RECORDED</x:v>
      </x:c>
      <x:c r="H4942" s="38" t="n">
        <x:f>IF(ISNUMBER('Data'!I1526),'Data'!I1526*100,"")</x:f>
        <x:v>40.48</x:v>
      </x:c>
      <x:c r="I4942" s="34" t="str">
        <x:v>PASS</x:v>
      </x:c>
      <x:c r="J4942" s="34" t="str">
        <x:v>PASS</x:v>
      </x:c>
      <x:c r="K4942" s="34" t="str">
        <x:v>PASS</x:v>
      </x:c>
      <x:c r="L4942" s="34" t="str">
        <x:v>PASS</x:v>
      </x:c>
      <x:c r="M4942" s="34" t="str">
        <x:v>numeric coverage for applicable metric</x:v>
      </x:c>
      <x:c r="N4942" s="34" t="str">
        <x:v>Feedback-Directed Random Test Generation/Result_Round2/Lang_52/result.json</x:v>
      </x:c>
      <x:c r="O4942" s="38" t="n">
        <x:f>IF(AND(G4942="RECORDED",ISNUMBER(H4942)),H4942,"")</x:f>
        <x:v>40.48</x:v>
      </x:c>
      <x:c r="P4942" s="34" t="str">
        <x:v>NOT_REVEALING</x:v>
      </x:c>
      <x:c r="Q4942" s="34" t="str">
        <x:v>Feedback-Directed Random Test Generation/Result_Round2/Lang_52/result.json</x:v>
      </x:c>
    </x:row>
    <x:row r="4943">
      <x:c r="A4943" s="34" t="str">
        <x:v>randoop</x:v>
      </x:c>
      <x:c r="B4943" s="34" t="str">
        <x:v>Lang</x:v>
      </x:c>
      <x:c r="C4943" s="34" t="str">
        <x:v>Round2</x:v>
      </x:c>
      <x:c r="D4943" s="34" t="str">
        <x:v>Lang_53</x:v>
      </x:c>
      <x:c r="E4943" s="34" t="str">
        <x:v>Condition</x:v>
      </x:c>
      <x:c r="F4943" s="34" t="n">
        <x:v>175</x:v>
      </x:c>
      <x:c r="G4943" s="34" t="str">
        <x:v>RECORDED</x:v>
      </x:c>
      <x:c r="H4943" s="38" t="n">
        <x:f>IF(ISNUMBER('Data'!I1527),'Data'!I1527*100,"")</x:f>
        <x:v>70.86</x:v>
      </x:c>
      <x:c r="I4943" s="34" t="str">
        <x:v>PASS</x:v>
      </x:c>
      <x:c r="J4943" s="34" t="str">
        <x:v>PASS</x:v>
      </x:c>
      <x:c r="K4943" s="34" t="str">
        <x:v>PASS</x:v>
      </x:c>
      <x:c r="L4943" s="34" t="str">
        <x:v>FAIL</x:v>
      </x:c>
      <x:c r="M4943" s="34" t="str">
        <x:v>numeric coverage for applicable metric</x:v>
      </x:c>
      <x:c r="N4943" s="34" t="str">
        <x:v>Feedback-Directed Random Test Generation/Result_Round2/Lang_53/result.json</x:v>
      </x:c>
      <x:c r="O4943" s="38" t="n">
        <x:f>IF(AND(G4943="RECORDED",ISNUMBER(H4943)),H4943,"")</x:f>
        <x:v>70.86</x:v>
      </x:c>
      <x:c r="P4943" s="34" t="str">
        <x:v>INCONCLUSIVE</x:v>
      </x:c>
      <x:c r="Q4943" s="34" t="str">
        <x:v>Feedback-Directed Random Test Generation/Result_Round2/Lang_53/result.json</x:v>
      </x:c>
    </x:row>
    <x:row r="4944">
      <x:c r="A4944" s="34" t="str">
        <x:v>randoop</x:v>
      </x:c>
      <x:c r="B4944" s="34" t="str">
        <x:v>Lang</x:v>
      </x:c>
      <x:c r="C4944" s="34" t="str">
        <x:v>Round2</x:v>
      </x:c>
      <x:c r="D4944" s="34" t="str">
        <x:v>Lang_54</x:v>
      </x:c>
      <x:c r="E4944" s="34" t="str">
        <x:v>Condition</x:v>
      </x:c>
      <x:c r="F4944" s="34" t="n">
        <x:v>64</x:v>
      </x:c>
      <x:c r="G4944" s="34" t="str">
        <x:v>RECORDED</x:v>
      </x:c>
      <x:c r="H4944" s="38" t="n">
        <x:f>IF(ISNUMBER('Data'!I1528),'Data'!I1528*100,"")</x:f>
        <x:v>35.94</x:v>
      </x:c>
      <x:c r="I4944" s="34" t="str">
        <x:v>PASS</x:v>
      </x:c>
      <x:c r="J4944" s="34" t="str">
        <x:v>PASS</x:v>
      </x:c>
      <x:c r="K4944" s="34" t="str">
        <x:v>PASS</x:v>
      </x:c>
      <x:c r="L4944" s="34" t="str">
        <x:v>PASS</x:v>
      </x:c>
      <x:c r="M4944" s="34" t="str">
        <x:v>numeric coverage for applicable metric</x:v>
      </x:c>
      <x:c r="N4944" s="34" t="str">
        <x:v>Feedback-Directed Random Test Generation/Result_Round2/Lang_54/result.json</x:v>
      </x:c>
      <x:c r="O4944" s="38" t="n">
        <x:f>IF(AND(G4944="RECORDED",ISNUMBER(H4944)),H4944,"")</x:f>
        <x:v>35.94</x:v>
      </x:c>
      <x:c r="P4944" s="34" t="str">
        <x:v>NOT_REVEALING</x:v>
      </x:c>
      <x:c r="Q4944" s="34" t="str">
        <x:v>Feedback-Directed Random Test Generation/Result_Round2/Lang_54/result.json</x:v>
      </x:c>
    </x:row>
    <x:row r="4945">
      <x:c r="A4945" s="34" t="str">
        <x:v>randoop</x:v>
      </x:c>
      <x:c r="B4945" s="34" t="str">
        <x:v>Lang</x:v>
      </x:c>
      <x:c r="C4945" s="34" t="str">
        <x:v>Round2</x:v>
      </x:c>
      <x:c r="D4945" s="34" t="str">
        <x:v>Lang_55</x:v>
      </x:c>
      <x:c r="E4945" s="34" t="str">
        <x:v>Condition</x:v>
      </x:c>
      <x:c r="F4945" s="34" t="n">
        <x:v>26</x:v>
      </x:c>
      <x:c r="G4945" s="34" t="str">
        <x:v>RECORDED</x:v>
      </x:c>
      <x:c r="H4945" s="38" t="n">
        <x:f>IF(ISNUMBER('Data'!I1529),'Data'!I1529*100,"")</x:f>
        <x:v>96.15</x:v>
      </x:c>
      <x:c r="I4945" s="34" t="str">
        <x:v>PASS</x:v>
      </x:c>
      <x:c r="J4945" s="34" t="str">
        <x:v>PASS</x:v>
      </x:c>
      <x:c r="K4945" s="34" t="str">
        <x:v>PASS</x:v>
      </x:c>
      <x:c r="L4945" s="34" t="str">
        <x:v>FAIL</x:v>
      </x:c>
      <x:c r="M4945" s="34" t="str">
        <x:v>numeric coverage for applicable metric</x:v>
      </x:c>
      <x:c r="N4945" s="34" t="str">
        <x:v>Feedback-Directed Random Test Generation/Result_Round2/Lang_55/result.json</x:v>
      </x:c>
      <x:c r="O4945" s="38" t="n">
        <x:f>IF(AND(G4945="RECORDED",ISNUMBER(H4945)),H4945,"")</x:f>
        <x:v>96.15</x:v>
      </x:c>
      <x:c r="P4945" s="34" t="str">
        <x:v>INCONCLUSIVE</x:v>
      </x:c>
      <x:c r="Q4945" s="34" t="str">
        <x:v>Feedback-Directed Random Test Generation/Result_Round2/Lang_55/result.json</x:v>
      </x:c>
    </x:row>
    <x:row r="4946">
      <x:c r="A4946" s="34" t="str">
        <x:v>randoop</x:v>
      </x:c>
      <x:c r="B4946" s="34" t="str">
        <x:v>Lang</x:v>
      </x:c>
      <x:c r="C4946" s="34" t="str">
        <x:v>Round2</x:v>
      </x:c>
      <x:c r="D4946" s="34" t="str">
        <x:v>Lang_56</x:v>
      </x:c>
      <x:c r="E4946" s="34" t="str">
        <x:v>Condition</x:v>
      </x:c>
      <x:c r="F4946" s="34" t="n">
        <x:v>232</x:v>
      </x:c>
      <x:c r="G4946" s="34" t="str">
        <x:v>RECORDED</x:v>
      </x:c>
      <x:c r="H4946" s="38" t="n">
        <x:f>IF(ISNUMBER('Data'!I1530),'Data'!I1530*100,"")</x:f>
        <x:v>70.69</x:v>
      </x:c>
      <x:c r="I4946" s="34" t="str">
        <x:v>PASS</x:v>
      </x:c>
      <x:c r="J4946" s="34" t="str">
        <x:v>PASS</x:v>
      </x:c>
      <x:c r="K4946" s="34" t="str">
        <x:v>PASS</x:v>
      </x:c>
      <x:c r="L4946" s="34" t="str">
        <x:v>FAIL</x:v>
      </x:c>
      <x:c r="M4946" s="34" t="str">
        <x:v>numeric coverage for applicable metric</x:v>
      </x:c>
      <x:c r="N4946" s="34" t="str">
        <x:v>Feedback-Directed Random Test Generation/Result_Round2/Lang_56/result.json</x:v>
      </x:c>
      <x:c r="O4946" s="38" t="n">
        <x:f>IF(AND(G4946="RECORDED",ISNUMBER(H4946)),H4946,"")</x:f>
        <x:v>70.69</x:v>
      </x:c>
      <x:c r="P4946" s="34" t="str">
        <x:v>INCONCLUSIVE</x:v>
      </x:c>
      <x:c r="Q4946" s="34" t="str">
        <x:v>Feedback-Directed Random Test Generation/Result_Round2/Lang_56/result.json</x:v>
      </x:c>
    </x:row>
    <x:row r="4947">
      <x:c r="A4947" s="34" t="str">
        <x:v>randoop</x:v>
      </x:c>
      <x:c r="B4947" s="34" t="str">
        <x:v>Lang</x:v>
      </x:c>
      <x:c r="C4947" s="34" t="str">
        <x:v>Round2</x:v>
      </x:c>
      <x:c r="D4947" s="34" t="str">
        <x:v>Lang_57</x:v>
      </x:c>
      <x:c r="E4947" s="34" t="str">
        <x:v>Condition</x:v>
      </x:c>
      <x:c r="F4947" s="34" t="n">
        <x:v>64</x:v>
      </x:c>
      <x:c r="G4947" s="34" t="str">
        <x:v>RECORDED</x:v>
      </x:c>
      <x:c r="H4947" s="38" t="n">
        <x:f>IF(ISNUMBER('Data'!I1531),'Data'!I1531*100,"")</x:f>
        <x:v>35.94</x:v>
      </x:c>
      <x:c r="I4947" s="34" t="str">
        <x:v>PASS</x:v>
      </x:c>
      <x:c r="J4947" s="34" t="str">
        <x:v>PASS</x:v>
      </x:c>
      <x:c r="K4947" s="34" t="str">
        <x:v>PASS</x:v>
      </x:c>
      <x:c r="L4947" s="34" t="str">
        <x:v>FAIL</x:v>
      </x:c>
      <x:c r="M4947" s="34" t="str">
        <x:v>numeric coverage for applicable metric</x:v>
      </x:c>
      <x:c r="N4947" s="34" t="str">
        <x:v>Feedback-Directed Random Test Generation/Result_Round2/Lang_57/result.json</x:v>
      </x:c>
      <x:c r="O4947" s="38" t="n">
        <x:f>IF(AND(G4947="RECORDED",ISNUMBER(H4947)),H4947,"")</x:f>
        <x:v>35.94</x:v>
      </x:c>
      <x:c r="P4947" s="34" t="str">
        <x:v>INCONCLUSIVE</x:v>
      </x:c>
      <x:c r="Q4947" s="34" t="str">
        <x:v>Feedback-Directed Random Test Generation/Result_Round2/Lang_57/result.json</x:v>
      </x:c>
    </x:row>
    <x:row r="4948">
      <x:c r="A4948" s="34" t="str">
        <x:v>randoop</x:v>
      </x:c>
      <x:c r="B4948" s="34" t="str">
        <x:v>Lang</x:v>
      </x:c>
      <x:c r="C4948" s="34" t="str">
        <x:v>Round2</x:v>
      </x:c>
      <x:c r="D4948" s="34" t="str">
        <x:v>Lang_58</x:v>
      </x:c>
      <x:c r="E4948" s="34" t="str">
        <x:v>Condition</x:v>
      </x:c>
      <x:c r="F4948" s="34" t="n">
        <x:v>420</x:v>
      </x:c>
      <x:c r="G4948" s="34" t="str">
        <x:v>RECORDED</x:v>
      </x:c>
      <x:c r="H4948" s="38" t="n">
        <x:f>IF(ISNUMBER('Data'!I1532),'Data'!I1532*100,"")</x:f>
        <x:v>58.099999999999994</x:v>
      </x:c>
      <x:c r="I4948" s="34" t="str">
        <x:v>PASS</x:v>
      </x:c>
      <x:c r="J4948" s="34" t="str">
        <x:v>PASS</x:v>
      </x:c>
      <x:c r="K4948" s="34" t="str">
        <x:v>PASS</x:v>
      </x:c>
      <x:c r="L4948" s="34" t="str">
        <x:v>PASS</x:v>
      </x:c>
      <x:c r="M4948" s="34" t="str">
        <x:v>numeric coverage for applicable metric</x:v>
      </x:c>
      <x:c r="N4948" s="34" t="str">
        <x:v>Feedback-Directed Random Test Generation/Result_Round2/Lang_58/result.json</x:v>
      </x:c>
      <x:c r="O4948" s="38" t="n">
        <x:f>IF(AND(G4948="RECORDED",ISNUMBER(H4948)),H4948,"")</x:f>
        <x:v>58.099999999999994</x:v>
      </x:c>
      <x:c r="P4948" s="34" t="str">
        <x:v>NOT_REVEALING</x:v>
      </x:c>
      <x:c r="Q4948" s="34" t="str">
        <x:v>Feedback-Directed Random Test Generation/Result_Round2/Lang_58/result.json</x:v>
      </x:c>
    </x:row>
    <x:row r="4949">
      <x:c r="A4949" s="34" t="str">
        <x:v>randoop</x:v>
      </x:c>
      <x:c r="B4949" s="34" t="str">
        <x:v>Lang</x:v>
      </x:c>
      <x:c r="C4949" s="34" t="str">
        <x:v>Round2</x:v>
      </x:c>
      <x:c r="D4949" s="34" t="str">
        <x:v>Lang_59</x:v>
      </x:c>
      <x:c r="E4949" s="34" t="str">
        <x:v>Condition</x:v>
      </x:c>
      <x:c r="F4949" s="34" t="n">
        <x:v>464</x:v>
      </x:c>
      <x:c r="G4949" s="34" t="str">
        <x:v>RECORDED</x:v>
      </x:c>
      <x:c r="H4949" s="38" t="n">
        <x:f>IF(ISNUMBER('Data'!I1533),'Data'!I1533*100,"")</x:f>
        <x:v>88.36</x:v>
      </x:c>
      <x:c r="I4949" s="34" t="str">
        <x:v>PASS</x:v>
      </x:c>
      <x:c r="J4949" s="34" t="str">
        <x:v>PASS</x:v>
      </x:c>
      <x:c r="K4949" s="34" t="str">
        <x:v>PASS</x:v>
      </x:c>
      <x:c r="L4949" s="34" t="str">
        <x:v>FAIL</x:v>
      </x:c>
      <x:c r="M4949" s="34" t="str">
        <x:v>numeric coverage for applicable metric</x:v>
      </x:c>
      <x:c r="N4949" s="34" t="str">
        <x:v>Feedback-Directed Random Test Generation/Result_Round2/Lang_59/result.json</x:v>
      </x:c>
      <x:c r="O4949" s="38" t="n">
        <x:f>IF(AND(G4949="RECORDED",ISNUMBER(H4949)),H4949,"")</x:f>
        <x:v>88.36</x:v>
      </x:c>
      <x:c r="P4949" s="34" t="str">
        <x:v>INCONCLUSIVE</x:v>
      </x:c>
      <x:c r="Q4949" s="34" t="str">
        <x:v>Feedback-Directed Random Test Generation/Result_Round2/Lang_59/result.json</x:v>
      </x:c>
    </x:row>
    <x:row r="4950">
      <x:c r="A4950" s="34" t="str">
        <x:v>randoop</x:v>
      </x:c>
      <x:c r="B4950" s="34" t="str">
        <x:v>Lang</x:v>
      </x:c>
      <x:c r="C4950" s="34" t="str">
        <x:v>Round2</x:v>
      </x:c>
      <x:c r="D4950" s="34" t="str">
        <x:v>Lang_60</x:v>
      </x:c>
      <x:c r="E4950" s="34" t="str">
        <x:v>Condition</x:v>
      </x:c>
      <x:c r="F4950" s="34" t="n">
        <x:v>464</x:v>
      </x:c>
      <x:c r="G4950" s="34" t="str">
        <x:v>RECORDED</x:v>
      </x:c>
      <x:c r="H4950" s="38" t="n">
        <x:f>IF(ISNUMBER('Data'!I1534),'Data'!I1534*100,"")</x:f>
        <x:v>88.79</x:v>
      </x:c>
      <x:c r="I4950" s="34" t="str">
        <x:v>PASS</x:v>
      </x:c>
      <x:c r="J4950" s="34" t="str">
        <x:v>PASS</x:v>
      </x:c>
      <x:c r="K4950" s="34" t="str">
        <x:v>PASS</x:v>
      </x:c>
      <x:c r="L4950" s="34" t="str">
        <x:v>FAIL</x:v>
      </x:c>
      <x:c r="M4950" s="34" t="str">
        <x:v>numeric coverage for applicable metric</x:v>
      </x:c>
      <x:c r="N4950" s="34" t="str">
        <x:v>Feedback-Directed Random Test Generation/Result_Round2/Lang_60/result.json</x:v>
      </x:c>
      <x:c r="O4950" s="38" t="n">
        <x:f>IF(AND(G4950="RECORDED",ISNUMBER(H4950)),H4950,"")</x:f>
        <x:v>88.79</x:v>
      </x:c>
      <x:c r="P4950" s="34" t="str">
        <x:v>INCONCLUSIVE</x:v>
      </x:c>
      <x:c r="Q4950" s="34" t="str">
        <x:v>Feedback-Directed Random Test Generation/Result_Round2/Lang_60/result.json</x:v>
      </x:c>
    </x:row>
    <x:row r="4951">
      <x:c r="A4951" s="34" t="str">
        <x:v>randoop</x:v>
      </x:c>
      <x:c r="B4951" s="34" t="str">
        <x:v>Lang</x:v>
      </x:c>
      <x:c r="C4951" s="34" t="str">
        <x:v>Round2</x:v>
      </x:c>
      <x:c r="D4951" s="34" t="str">
        <x:v>Lang_61</x:v>
      </x:c>
      <x:c r="E4951" s="34" t="str">
        <x:v>Condition</x:v>
      </x:c>
      <x:c r="F4951" s="34" t="n">
        <x:v>464</x:v>
      </x:c>
      <x:c r="G4951" s="34" t="str">
        <x:v>RECORDED</x:v>
      </x:c>
      <x:c r="H4951" s="38" t="n">
        <x:f>IF(ISNUMBER('Data'!I1535),'Data'!I1535*100,"")</x:f>
        <x:v>90.73</x:v>
      </x:c>
      <x:c r="I4951" s="34" t="str">
        <x:v>PASS</x:v>
      </x:c>
      <x:c r="J4951" s="34" t="str">
        <x:v>PASS</x:v>
      </x:c>
      <x:c r="K4951" s="34" t="str">
        <x:v>PASS</x:v>
      </x:c>
      <x:c r="L4951" s="34" t="str">
        <x:v>FAIL</x:v>
      </x:c>
      <x:c r="M4951" s="34" t="str">
        <x:v>numeric coverage for applicable metric</x:v>
      </x:c>
      <x:c r="N4951" s="34" t="str">
        <x:v>Feedback-Directed Random Test Generation/Result_Round2/Lang_61/result.json</x:v>
      </x:c>
      <x:c r="O4951" s="38" t="n">
        <x:f>IF(AND(G4951="RECORDED",ISNUMBER(H4951)),H4951,"")</x:f>
        <x:v>90.73</x:v>
      </x:c>
      <x:c r="P4951" s="34" t="str">
        <x:v>INCONCLUSIVE</x:v>
      </x:c>
      <x:c r="Q4951" s="34" t="str">
        <x:v>Feedback-Directed Random Test Generation/Result_Round2/Lang_61/result.json</x:v>
      </x:c>
    </x:row>
    <x:row r="4952">
      <x:c r="A4952" s="34" t="str">
        <x:v>randoop</x:v>
      </x:c>
      <x:c r="B4952" s="34" t="str">
        <x:v>Lang</x:v>
      </x:c>
      <x:c r="C4952" s="34" t="str">
        <x:v>Round2</x:v>
      </x:c>
      <x:c r="D4952" s="34" t="str">
        <x:v>Lang_62</x:v>
      </x:c>
      <x:c r="E4952" s="34" t="str">
        <x:v>Condition</x:v>
      </x:c>
      <x:c r="F4952" s="34" t="n">
        <x:v>90</x:v>
      </x:c>
      <x:c r="G4952" s="34" t="str">
        <x:v>RECORDED</x:v>
      </x:c>
      <x:c r="H4952" s="38" t="n">
        <x:f>IF(ISNUMBER('Data'!I1536),'Data'!I1536*100,"")</x:f>
        <x:v>45.56</x:v>
      </x:c>
      <x:c r="I4952" s="34" t="str">
        <x:v>PASS</x:v>
      </x:c>
      <x:c r="J4952" s="34" t="str">
        <x:v>PASS</x:v>
      </x:c>
      <x:c r="K4952" s="34" t="str">
        <x:v>PASS</x:v>
      </x:c>
      <x:c r="L4952" s="34" t="str">
        <x:v>FAIL</x:v>
      </x:c>
      <x:c r="M4952" s="34" t="str">
        <x:v>numeric coverage for applicable metric</x:v>
      </x:c>
      <x:c r="N4952" s="34" t="str">
        <x:v>Feedback-Directed Random Test Generation/Result_Round2/Lang_62/result.json</x:v>
      </x:c>
      <x:c r="O4952" s="38" t="n">
        <x:f>IF(AND(G4952="RECORDED",ISNUMBER(H4952)),H4952,"")</x:f>
        <x:v>45.56</x:v>
      </x:c>
      <x:c r="P4952" s="34" t="str">
        <x:v>INCONCLUSIVE</x:v>
      </x:c>
      <x:c r="Q4952" s="34" t="str">
        <x:v>Feedback-Directed Random Test Generation/Result_Round2/Lang_62/result.json</x:v>
      </x:c>
    </x:row>
    <x:row r="4953">
      <x:c r="A4953" s="34" t="str">
        <x:v>randoop</x:v>
      </x:c>
      <x:c r="B4953" s="34" t="str">
        <x:v>Lang</x:v>
      </x:c>
      <x:c r="C4953" s="34" t="str">
        <x:v>Round2</x:v>
      </x:c>
      <x:c r="D4953" s="34" t="str">
        <x:v>Lang_63</x:v>
      </x:c>
      <x:c r="E4953" s="34" t="str">
        <x:v>Condition</x:v>
      </x:c>
      <x:c r="F4953" s="34" t="n">
        <x:v>135</x:v>
      </x:c>
      <x:c r="G4953" s="34" t="str">
        <x:v>RECORDED</x:v>
      </x:c>
      <x:c r="H4953" s="38" t="n">
        <x:f>IF(ISNUMBER('Data'!I1537),'Data'!I1537*100,"")</x:f>
        <x:v>72.59</x:v>
      </x:c>
      <x:c r="I4953" s="34" t="str">
        <x:v>PASS</x:v>
      </x:c>
      <x:c r="J4953" s="34" t="str">
        <x:v>PASS</x:v>
      </x:c>
      <x:c r="K4953" s="34" t="str">
        <x:v>PASS</x:v>
      </x:c>
      <x:c r="L4953" s="34" t="str">
        <x:v>PASS</x:v>
      </x:c>
      <x:c r="M4953" s="34" t="str">
        <x:v>numeric coverage for applicable metric</x:v>
      </x:c>
      <x:c r="N4953" s="34" t="str">
        <x:v>Feedback-Directed Random Test Generation/Result_Round2/Lang_63/result.json</x:v>
      </x:c>
      <x:c r="O4953" s="38" t="n">
        <x:f>IF(AND(G4953="RECORDED",ISNUMBER(H4953)),H4953,"")</x:f>
        <x:v>72.59</x:v>
      </x:c>
      <x:c r="P4953" s="34" t="str">
        <x:v>NOT_AVAILABLE</x:v>
      </x:c>
      <x:c r="Q4953" s="34" t="str">
        <x:v>Feedback-Directed Random Test Generation/Result_Round2/Lang_63/result.json</x:v>
      </x:c>
    </x:row>
    <x:row r="4954">
      <x:c r="A4954" s="34" t="str">
        <x:v>randoop</x:v>
      </x:c>
      <x:c r="B4954" s="34" t="str">
        <x:v>Lang</x:v>
      </x:c>
      <x:c r="C4954" s="34" t="str">
        <x:v>Round2</x:v>
      </x:c>
      <x:c r="D4954" s="34" t="str">
        <x:v>Lang_64</x:v>
      </x:c>
      <x:c r="E4954" s="34" t="str">
        <x:v>Condition</x:v>
      </x:c>
      <x:c r="F4954" s="34" t="n">
        <x:v>8</x:v>
      </x:c>
      <x:c r="G4954" s="34" t="str">
        <x:v>RECORDED</x:v>
      </x:c>
      <x:c r="H4954" s="38" t="n">
        <x:f>IF(ISNUMBER('Data'!I1538),'Data'!I1538*100,"")</x:f>
        <x:v>25</x:v>
      </x:c>
      <x:c r="I4954" s="34" t="str">
        <x:v>PASS</x:v>
      </x:c>
      <x:c r="J4954" s="34" t="str">
        <x:v>PASS</x:v>
      </x:c>
      <x:c r="K4954" s="34" t="str">
        <x:v>PASS</x:v>
      </x:c>
      <x:c r="L4954" s="34" t="str">
        <x:v>PASS</x:v>
      </x:c>
      <x:c r="M4954" s="34" t="str">
        <x:v>numeric coverage for applicable metric</x:v>
      </x:c>
      <x:c r="N4954" s="34" t="str">
        <x:v>Feedback-Directed Random Test Generation/Result_Round2/Lang_64/result.json</x:v>
      </x:c>
      <x:c r="O4954" s="38" t="n">
        <x:f>IF(AND(G4954="RECORDED",ISNUMBER(H4954)),H4954,"")</x:f>
        <x:v>25</x:v>
      </x:c>
      <x:c r="P4954" s="34" t="str">
        <x:v>NOT_REVEALING</x:v>
      </x:c>
      <x:c r="Q4954" s="34" t="str">
        <x:v>Feedback-Directed Random Test Generation/Result_Round2/Lang_64/result.json</x:v>
      </x:c>
    </x:row>
    <x:row r="4955">
      <x:c r="A4955" s="34" t="str">
        <x:v>randoop</x:v>
      </x:c>
      <x:c r="B4955" s="34" t="str">
        <x:v>Lang</x:v>
      </x:c>
      <x:c r="C4955" s="34" t="str">
        <x:v>Round2</x:v>
      </x:c>
      <x:c r="D4955" s="34" t="str">
        <x:v>Lang_65</x:v>
      </x:c>
      <x:c r="E4955" s="34" t="str">
        <x:v>Condition</x:v>
      </x:c>
      <x:c r="F4955" s="34" t="n">
        <x:v>149</x:v>
      </x:c>
      <x:c r="G4955" s="34" t="str">
        <x:v>RECORDED</x:v>
      </x:c>
      <x:c r="H4955" s="38" t="n">
        <x:f>IF(ISNUMBER('Data'!I1539),'Data'!I1539*100,"")</x:f>
        <x:v>69.8</x:v>
      </x:c>
      <x:c r="I4955" s="34" t="str">
        <x:v>PASS</x:v>
      </x:c>
      <x:c r="J4955" s="34" t="str">
        <x:v>PASS</x:v>
      </x:c>
      <x:c r="K4955" s="34" t="str">
        <x:v>PASS</x:v>
      </x:c>
      <x:c r="L4955" s="34" t="str">
        <x:v>FAIL</x:v>
      </x:c>
      <x:c r="M4955" s="34" t="str">
        <x:v>numeric coverage for applicable metric</x:v>
      </x:c>
      <x:c r="N4955" s="34" t="str">
        <x:v>Feedback-Directed Random Test Generation/Result_Round2/Lang_65/result.json</x:v>
      </x:c>
      <x:c r="O4955" s="38" t="n">
        <x:f>IF(AND(G4955="RECORDED",ISNUMBER(H4955)),H4955,"")</x:f>
        <x:v>69.8</x:v>
      </x:c>
      <x:c r="P4955" s="34" t="str">
        <x:v>INCONCLUSIVE</x:v>
      </x:c>
      <x:c r="Q4955" s="34" t="str">
        <x:v>Feedback-Directed Random Test Generation/Result_Round2/Lang_65/result.json</x:v>
      </x:c>
    </x:row>
    <x:row r="4956">
      <x:c r="A4956" s="34" t="str">
        <x:v>randoop</x:v>
      </x:c>
      <x:c r="B4956" s="34" t="str">
        <x:v>Math</x:v>
      </x:c>
      <x:c r="C4956" s="34" t="str">
        <x:v>Round2</x:v>
      </x:c>
      <x:c r="D4956" s="34" t="str">
        <x:v>Math_1</x:v>
      </x:c>
      <x:c r="E4956" s="34" t="str">
        <x:v>Condition</x:v>
      </x:c>
      <x:c r="F4956" s="34" t="n">
        <x:v>192</x:v>
      </x:c>
      <x:c r="G4956" s="34" t="str">
        <x:v>RECORDED</x:v>
      </x:c>
      <x:c r="H4956" s="38" t="n">
        <x:f>IF(ISNUMBER('Data'!I1540),'Data'!I1540*100,"")</x:f>
        <x:v>78.65</x:v>
      </x:c>
      <x:c r="I4956" s="34" t="str">
        <x:v>PASS</x:v>
      </x:c>
      <x:c r="J4956" s="34" t="str">
        <x:v>PASS</x:v>
      </x:c>
      <x:c r="K4956" s="34" t="str">
        <x:v>PASS</x:v>
      </x:c>
      <x:c r="L4956" s="34" t="str">
        <x:v>PASS</x:v>
      </x:c>
      <x:c r="M4956" s="34" t="str">
        <x:v>numeric coverage for applicable metric</x:v>
      </x:c>
      <x:c r="N4956" s="34" t="str">
        <x:v>Feedback-Directed Random Test Generation/Result_Round2/Math_1/result.json</x:v>
      </x:c>
      <x:c r="O4956" s="38" t="n">
        <x:f>IF(AND(G4956="RECORDED",ISNUMBER(H4956)),H4956,"")</x:f>
        <x:v>78.65</x:v>
      </x:c>
      <x:c r="P4956" s="34" t="str">
        <x:v>INCONCLUSIVE</x:v>
      </x:c>
      <x:c r="Q4956" s="34" t="str">
        <x:v>Feedback-Directed Random Test Generation/Result_Round2/Math_1/result.json</x:v>
      </x:c>
    </x:row>
    <x:row r="4957">
      <x:c r="A4957" s="34" t="str">
        <x:v>randoop</x:v>
      </x:c>
      <x:c r="B4957" s="34" t="str">
        <x:v>Math</x:v>
      </x:c>
      <x:c r="C4957" s="34" t="str">
        <x:v>Round2</x:v>
      </x:c>
      <x:c r="D4957" s="34" t="str">
        <x:v>Math_2</x:v>
      </x:c>
      <x:c r="E4957" s="34" t="str">
        <x:v>Condition</x:v>
      </x:c>
      <x:c r="F4957" s="34" t="n">
        <x:v>26</x:v>
      </x:c>
      <x:c r="G4957" s="34" t="str">
        <x:v>RECORDED</x:v>
      </x:c>
      <x:c r="H4957" s="38" t="n">
        <x:f>IF(ISNUMBER('Data'!I1541),'Data'!I1541*100,"")</x:f>
        <x:v>100</x:v>
      </x:c>
      <x:c r="I4957" s="34" t="str">
        <x:v>PASS</x:v>
      </x:c>
      <x:c r="J4957" s="34" t="str">
        <x:v>PASS</x:v>
      </x:c>
      <x:c r="K4957" s="34" t="str">
        <x:v>PASS</x:v>
      </x:c>
      <x:c r="L4957" s="34" t="str">
        <x:v>PASS</x:v>
      </x:c>
      <x:c r="M4957" s="34" t="str">
        <x:v>numeric coverage for applicable metric</x:v>
      </x:c>
      <x:c r="N4957" s="34" t="str">
        <x:v>Feedback-Directed Random Test Generation/Result_Round2/Math_2/result.json</x:v>
      </x:c>
      <x:c r="O4957" s="38" t="n">
        <x:f>IF(AND(G4957="RECORDED",ISNUMBER(H4957)),H4957,"")</x:f>
        <x:v>100</x:v>
      </x:c>
      <x:c r="P4957" s="34" t="str">
        <x:v>INCONCLUSIVE</x:v>
      </x:c>
      <x:c r="Q4957" s="34" t="str">
        <x:v>Feedback-Directed Random Test Generation/Result_Round2/Math_2/result.json</x:v>
      </x:c>
    </x:row>
    <x:row r="4958">
      <x:c r="A4958" s="34" t="str">
        <x:v>randoop</x:v>
      </x:c>
      <x:c r="B4958" s="34" t="str">
        <x:v>Math</x:v>
      </x:c>
      <x:c r="C4958" s="34" t="str">
        <x:v>Round2</x:v>
      </x:c>
      <x:c r="D4958" s="34" t="str">
        <x:v>Math_3</x:v>
      </x:c>
      <x:c r="E4958" s="34" t="str">
        <x:v>Condition</x:v>
      </x:c>
      <x:c r="F4958" s="34" t="n">
        <x:v>234</x:v>
      </x:c>
      <x:c r="G4958" s="34" t="str">
        <x:v>RECORDED</x:v>
      </x:c>
      <x:c r="H4958" s="38" t="n">
        <x:f>IF(ISNUMBER('Data'!I1542),'Data'!I1542*100,"")</x:f>
        <x:v>87.61</x:v>
      </x:c>
      <x:c r="I4958" s="34" t="str">
        <x:v>PASS</x:v>
      </x:c>
      <x:c r="J4958" s="34" t="str">
        <x:v>PASS</x:v>
      </x:c>
      <x:c r="K4958" s="34" t="str">
        <x:v>PASS</x:v>
      </x:c>
      <x:c r="L4958" s="34" t="str">
        <x:v>PASS</x:v>
      </x:c>
      <x:c r="M4958" s="34" t="str">
        <x:v>numeric coverage for applicable metric</x:v>
      </x:c>
      <x:c r="N4958" s="34" t="str">
        <x:v>Feedback-Directed Random Test Generation/Result_Round2/Math_3/result.json</x:v>
      </x:c>
      <x:c r="O4958" s="38" t="n">
        <x:f>IF(AND(G4958="RECORDED",ISNUMBER(H4958)),H4958,"")</x:f>
        <x:v>87.61</x:v>
      </x:c>
      <x:c r="P4958" s="34" t="str">
        <x:v>NOT_REVEALING</x:v>
      </x:c>
      <x:c r="Q4958" s="34" t="str">
        <x:v>Feedback-Directed Random Test Generation/Result_Round2/Math_3/result.json</x:v>
      </x:c>
    </x:row>
    <x:row r="4959">
      <x:c r="A4959" s="34" t="str">
        <x:v>randoop</x:v>
      </x:c>
      <x:c r="B4959" s="34" t="str">
        <x:v>Math</x:v>
      </x:c>
      <x:c r="C4959" s="34" t="str">
        <x:v>Round2</x:v>
      </x:c>
      <x:c r="D4959" s="34" t="str">
        <x:v>Math_4</x:v>
      </x:c>
      <x:c r="E4959" s="34" t="str">
        <x:v>Condition</x:v>
      </x:c>
      <x:c r="F4959" s="34" t="n">
        <x:v>44</x:v>
      </x:c>
      <x:c r="G4959" s="34" t="str">
        <x:v>RECORDED</x:v>
      </x:c>
      <x:c r="H4959" s="38" t="n">
        <x:f>IF(ISNUMBER('Data'!I1543),'Data'!I1543*100,"")</x:f>
        <x:v>0</x:v>
      </x:c>
      <x:c r="I4959" s="34" t="str">
        <x:v>PASS</x:v>
      </x:c>
      <x:c r="J4959" s="34" t="str">
        <x:v>PASS</x:v>
      </x:c>
      <x:c r="K4959" s="34" t="str">
        <x:v>PASS</x:v>
      </x:c>
      <x:c r="L4959" s="34" t="str">
        <x:v>PASS</x:v>
      </x:c>
      <x:c r="M4959" s="34" t="str">
        <x:v>numeric coverage for applicable metric</x:v>
      </x:c>
      <x:c r="N4959" s="34" t="str">
        <x:v>Feedback-Directed Random Test Generation/Result_Round2/Math_4/result.json</x:v>
      </x:c>
      <x:c r="O4959" s="38" t="n">
        <x:f>IF(AND(G4959="RECORDED",ISNUMBER(H4959)),H4959,"")</x:f>
        <x:v>0</x:v>
      </x:c>
      <x:c r="P4959" s="34" t="str">
        <x:v>NOT_REVEALING</x:v>
      </x:c>
      <x:c r="Q4959" s="34" t="str">
        <x:v>Feedback-Directed Random Test Generation/Result_Round2/Math_4/result.json</x:v>
      </x:c>
    </x:row>
    <x:row r="4960">
      <x:c r="A4960" s="34" t="str">
        <x:v>randoop</x:v>
      </x:c>
      <x:c r="B4960" s="34" t="str">
        <x:v>Math</x:v>
      </x:c>
      <x:c r="C4960" s="34" t="str">
        <x:v>Round2</x:v>
      </x:c>
      <x:c r="D4960" s="34" t="str">
        <x:v>Math_5</x:v>
      </x:c>
      <x:c r="E4960" s="34" t="str">
        <x:v>Condition</x:v>
      </x:c>
      <x:c r="F4960" s="34" t="n">
        <x:v>170</x:v>
      </x:c>
      <x:c r="G4960" s="34" t="str">
        <x:v>RECORDED</x:v>
      </x:c>
      <x:c r="H4960" s="38" t="n">
        <x:f>IF(ISNUMBER('Data'!I1544),'Data'!I1544*100,"")</x:f>
        <x:v>95.29</x:v>
      </x:c>
      <x:c r="I4960" s="34" t="str">
        <x:v>PASS</x:v>
      </x:c>
      <x:c r="J4960" s="34" t="str">
        <x:v>PASS</x:v>
      </x:c>
      <x:c r="K4960" s="34" t="str">
        <x:v>PASS</x:v>
      </x:c>
      <x:c r="L4960" s="34" t="str">
        <x:v>FAIL</x:v>
      </x:c>
      <x:c r="M4960" s="34" t="str">
        <x:v>numeric coverage for applicable metric</x:v>
      </x:c>
      <x:c r="N4960" s="34" t="str">
        <x:v>Feedback-Directed Random Test Generation/Result_Round2/Math_5/result.json</x:v>
      </x:c>
      <x:c r="O4960" s="38" t="n">
        <x:f>IF(AND(G4960="RECORDED",ISNUMBER(H4960)),H4960,"")</x:f>
        <x:v>95.29</x:v>
      </x:c>
      <x:c r="P4960" s="34" t="str">
        <x:v>INCONCLUSIVE</x:v>
      </x:c>
      <x:c r="Q4960" s="34" t="str">
        <x:v>Feedback-Directed Random Test Generation/Result_Round2/Math_5/result.json</x:v>
      </x:c>
    </x:row>
    <x:row r="4961">
      <x:c r="A4961" s="34" t="str">
        <x:v>randoop</x:v>
      </x:c>
      <x:c r="B4961" s="34" t="str">
        <x:v>Math</x:v>
      </x:c>
      <x:c r="C4961" s="34" t="str">
        <x:v>Round2</x:v>
      </x:c>
      <x:c r="D4961" s="34" t="str">
        <x:v>Math_6</x:v>
      </x:c>
      <x:c r="E4961" s="34" t="str">
        <x:v>Condition</x:v>
      </x:c>
      <x:c r="F4961" s="34" t="n">
        <x:v>587</x:v>
      </x:c>
      <x:c r="G4961" s="34" t="str">
        <x:v>RECORDED</x:v>
      </x:c>
      <x:c r="H4961" s="38" t="n">
        <x:f>IF(ISNUMBER('Data'!I1545),'Data'!I1545*100,"")</x:f>
        <x:v>6.3</x:v>
      </x:c>
      <x:c r="I4961" s="34" t="str">
        <x:v>PASS</x:v>
      </x:c>
      <x:c r="J4961" s="34" t="str">
        <x:v>PASS</x:v>
      </x:c>
      <x:c r="K4961" s="34" t="str">
        <x:v>PASS</x:v>
      </x:c>
      <x:c r="L4961" s="34" t="str">
        <x:v>FAIL</x:v>
      </x:c>
      <x:c r="M4961" s="34" t="str">
        <x:v>numeric coverage for applicable metric</x:v>
      </x:c>
      <x:c r="N4961" s="34" t="str">
        <x:v>Feedback-Directed Random Test Generation/Result_Round2/Math_6/result.json</x:v>
      </x:c>
      <x:c r="O4961" s="38" t="n">
        <x:f>IF(AND(G4961="RECORDED",ISNUMBER(H4961)),H4961,"")</x:f>
        <x:v>6.3</x:v>
      </x:c>
      <x:c r="P4961" s="34" t="str">
        <x:v>INCONCLUSIVE</x:v>
      </x:c>
      <x:c r="Q4961" s="34" t="str">
        <x:v>Feedback-Directed Random Test Generation/Result_Round2/Math_6/result.json</x:v>
      </x:c>
    </x:row>
    <x:row r="4962">
      <x:c r="A4962" s="34" t="str">
        <x:v>randoop</x:v>
      </x:c>
      <x:c r="B4962" s="34" t="str">
        <x:v>Math</x:v>
      </x:c>
      <x:c r="C4962" s="34" t="str">
        <x:v>Round2</x:v>
      </x:c>
      <x:c r="D4962" s="34" t="str">
        <x:v>Math_7</x:v>
      </x:c>
      <x:c r="E4962" s="34" t="str">
        <x:v>Condition</x:v>
      </x:c>
      <x:c r="F4962" s="34" t="n">
        <x:v>50</x:v>
      </x:c>
      <x:c r="G4962" s="34" t="str">
        <x:v>RECORDED</x:v>
      </x:c>
      <x:c r="H4962" s="38" t="n">
        <x:f>IF(ISNUMBER('Data'!I1546),'Data'!I1546*100,"")</x:f>
        <x:v>0</x:v>
      </x:c>
      <x:c r="I4962" s="34" t="str">
        <x:v>PASS</x:v>
      </x:c>
      <x:c r="J4962" s="34" t="str">
        <x:v>PASS</x:v>
      </x:c>
      <x:c r="K4962" s="34" t="str">
        <x:v>PASS</x:v>
      </x:c>
      <x:c r="L4962" s="34" t="str">
        <x:v>PASS</x:v>
      </x:c>
      <x:c r="M4962" s="34" t="str">
        <x:v>numeric coverage for applicable metric</x:v>
      </x:c>
      <x:c r="N4962" s="34" t="str">
        <x:v>Feedback-Directed Random Test Generation/Result_Round2/Math_7/result.json</x:v>
      </x:c>
      <x:c r="O4962" s="38" t="n">
        <x:f>IF(AND(G4962="RECORDED",ISNUMBER(H4962)),H4962,"")</x:f>
        <x:v>0</x:v>
      </x:c>
      <x:c r="P4962" s="34" t="str">
        <x:v>NOT_REVEALING</x:v>
      </x:c>
      <x:c r="Q4962" s="34" t="str">
        <x:v>Feedback-Directed Random Test Generation/Result_Round2/Math_7/result.json</x:v>
      </x:c>
    </x:row>
    <x:row r="4963">
      <x:c r="A4963" s="34" t="str">
        <x:v>randoop</x:v>
      </x:c>
      <x:c r="B4963" s="34" t="str">
        <x:v>Math</x:v>
      </x:c>
      <x:c r="C4963" s="34" t="str">
        <x:v>Round2</x:v>
      </x:c>
      <x:c r="D4963" s="34" t="str">
        <x:v>Math_8</x:v>
      </x:c>
      <x:c r="E4963" s="34" t="str">
        <x:v>Condition</x:v>
      </x:c>
      <x:c r="F4963" s="34" t="n">
        <x:v>24</x:v>
      </x:c>
      <x:c r="G4963" s="34" t="str">
        <x:v>RECORDED</x:v>
      </x:c>
      <x:c r="H4963" s="38" t="n">
        <x:f>IF(ISNUMBER('Data'!I1547),'Data'!I1547*100,"")</x:f>
        <x:v>4.17</x:v>
      </x:c>
      <x:c r="I4963" s="34" t="str">
        <x:v>PASS</x:v>
      </x:c>
      <x:c r="J4963" s="34" t="str">
        <x:v>PASS</x:v>
      </x:c>
      <x:c r="K4963" s="34" t="str">
        <x:v>PASS</x:v>
      </x:c>
      <x:c r="L4963" s="34" t="str">
        <x:v>PASS</x:v>
      </x:c>
      <x:c r="M4963" s="34" t="str">
        <x:v>numeric coverage for applicable metric</x:v>
      </x:c>
      <x:c r="N4963" s="34" t="str">
        <x:v>Feedback-Directed Random Test Generation/Result_Round2/Math_8/result.json</x:v>
      </x:c>
      <x:c r="O4963" s="38" t="n">
        <x:f>IF(AND(G4963="RECORDED",ISNUMBER(H4963)),H4963,"")</x:f>
        <x:v>4.17</x:v>
      </x:c>
      <x:c r="P4963" s="34" t="str">
        <x:v>NOT_REVEALING</x:v>
      </x:c>
      <x:c r="Q4963" s="34" t="str">
        <x:v>Feedback-Directed Random Test Generation/Result_Round2/Math_8/result.json</x:v>
      </x:c>
    </x:row>
    <x:row r="4964">
      <x:c r="A4964" s="34" t="str">
        <x:v>randoop</x:v>
      </x:c>
      <x:c r="B4964" s="34" t="str">
        <x:v>Math</x:v>
      </x:c>
      <x:c r="C4964" s="34" t="str">
        <x:v>Round2</x:v>
      </x:c>
      <x:c r="D4964" s="34" t="str">
        <x:v>Math_9</x:v>
      </x:c>
      <x:c r="E4964" s="34" t="str">
        <x:v>Condition</x:v>
      </x:c>
      <x:c r="F4964" s="34" t="n">
        <x:v>16</x:v>
      </x:c>
      <x:c r="G4964" s="34" t="str">
        <x:v>RECORDED</x:v>
      </x:c>
      <x:c r="H4964" s="38" t="n">
        <x:f>IF(ISNUMBER('Data'!I1548),'Data'!I1548*100,"")</x:f>
        <x:v>0</x:v>
      </x:c>
      <x:c r="I4964" s="34" t="str">
        <x:v>PASS</x:v>
      </x:c>
      <x:c r="J4964" s="34" t="str">
        <x:v>PASS</x:v>
      </x:c>
      <x:c r="K4964" s="34" t="str">
        <x:v>PASS</x:v>
      </x:c>
      <x:c r="L4964" s="34" t="str">
        <x:v>PASS</x:v>
      </x:c>
      <x:c r="M4964" s="34" t="str">
        <x:v>numeric coverage for applicable metric</x:v>
      </x:c>
      <x:c r="N4964" s="34" t="str">
        <x:v>Feedback-Directed Random Test Generation/Result_Round2/Math_9/result.json</x:v>
      </x:c>
      <x:c r="O4964" s="38" t="n">
        <x:f>IF(AND(G4964="RECORDED",ISNUMBER(H4964)),H4964,"")</x:f>
        <x:v>0</x:v>
      </x:c>
      <x:c r="P4964" s="34" t="str">
        <x:v>NOT_REVEALING</x:v>
      </x:c>
      <x:c r="Q4964" s="34" t="str">
        <x:v>Feedback-Directed Random Test Generation/Result_Round2/Math_9/result.json</x:v>
      </x:c>
    </x:row>
    <x:row r="4965">
      <x:c r="A4965" s="34" t="str">
        <x:v>randoop</x:v>
      </x:c>
      <x:c r="B4965" s="34" t="str">
        <x:v>Math</x:v>
      </x:c>
      <x:c r="C4965" s="34" t="str">
        <x:v>Round2</x:v>
      </x:c>
      <x:c r="D4965" s="34" t="str">
        <x:v>Math_10</x:v>
      </x:c>
      <x:c r="E4965" s="34" t="str">
        <x:v>Condition</x:v>
      </x:c>
      <x:c r="F4965" s="34" t="n">
        <x:v>286</x:v>
      </x:c>
      <x:c r="G4965" s="34" t="str">
        <x:v>RECORDED</x:v>
      </x:c>
      <x:c r="H4965" s="38" t="n">
        <x:f>IF(ISNUMBER('Data'!I1549),'Data'!I1549*100,"")</x:f>
        <x:v>56.64</x:v>
      </x:c>
      <x:c r="I4965" s="34" t="str">
        <x:v>PASS</x:v>
      </x:c>
      <x:c r="J4965" s="34" t="str">
        <x:v>PASS</x:v>
      </x:c>
      <x:c r="K4965" s="34" t="str">
        <x:v>PASS</x:v>
      </x:c>
      <x:c r="L4965" s="34" t="str">
        <x:v>PASS</x:v>
      </x:c>
      <x:c r="M4965" s="34" t="str">
        <x:v>numeric coverage for applicable metric</x:v>
      </x:c>
      <x:c r="N4965" s="34" t="str">
        <x:v>Feedback-Directed Random Test Generation/Result_Round2/Math_10/result.json</x:v>
      </x:c>
      <x:c r="O4965" s="38" t="n">
        <x:f>IF(AND(G4965="RECORDED",ISNUMBER(H4965)),H4965,"")</x:f>
        <x:v>56.64</x:v>
      </x:c>
      <x:c r="P4965" s="34" t="str">
        <x:v>NOT_REVEALING</x:v>
      </x:c>
      <x:c r="Q4965" s="34" t="str">
        <x:v>Feedback-Directed Random Test Generation/Result_Round2/Math_10/result.json</x:v>
      </x:c>
    </x:row>
    <x:row r="4966">
      <x:c r="A4966" s="34" t="str">
        <x:v>randoop</x:v>
      </x:c>
      <x:c r="B4966" s="34" t="str">
        <x:v>Math</x:v>
      </x:c>
      <x:c r="C4966" s="34" t="str">
        <x:v>Round2</x:v>
      </x:c>
      <x:c r="D4966" s="34" t="str">
        <x:v>Math_11</x:v>
      </x:c>
      <x:c r="E4966" s="34" t="str">
        <x:v>Condition</x:v>
      </x:c>
      <x:c r="F4966" s="34" t="n">
        <x:v>28</x:v>
      </x:c>
      <x:c r="G4966" s="34" t="str">
        <x:v>RECORDED</x:v>
      </x:c>
      <x:c r="H4966" s="38" t="n">
        <x:f>IF(ISNUMBER('Data'!I1550),'Data'!I1550*100,"")</x:f>
        <x:v>100</x:v>
      </x:c>
      <x:c r="I4966" s="34" t="str">
        <x:v>PASS</x:v>
      </x:c>
      <x:c r="J4966" s="34" t="str">
        <x:v>PASS</x:v>
      </x:c>
      <x:c r="K4966" s="34" t="str">
        <x:v>PASS</x:v>
      </x:c>
      <x:c r="L4966" s="34" t="str">
        <x:v>PASS</x:v>
      </x:c>
      <x:c r="M4966" s="34" t="str">
        <x:v>numeric coverage for applicable metric</x:v>
      </x:c>
      <x:c r="N4966" s="34" t="str">
        <x:v>Feedback-Directed Random Test Generation/Result_Round2/Math_11/result.json</x:v>
      </x:c>
      <x:c r="O4966" s="38" t="n">
        <x:f>IF(AND(G4966="RECORDED",ISNUMBER(H4966)),H4966,"")</x:f>
        <x:v>100</x:v>
      </x:c>
      <x:c r="P4966" s="34" t="str">
        <x:v>INCONCLUSIVE</x:v>
      </x:c>
      <x:c r="Q4966" s="34" t="str">
        <x:v>Feedback-Directed Random Test Generation/Result_Round2/Math_11/result.json</x:v>
      </x:c>
    </x:row>
    <x:row r="4967">
      <x:c r="A4967" s="34" t="str">
        <x:v>randoop</x:v>
      </x:c>
      <x:c r="B4967" s="34" t="str">
        <x:v>Math</x:v>
      </x:c>
      <x:c r="C4967" s="34" t="str">
        <x:v>Round2</x:v>
      </x:c>
      <x:c r="D4967" s="34" t="str">
        <x:v>Math_12</x:v>
      </x:c>
      <x:c r="E4967" s="34" t="str">
        <x:v>Condition</x:v>
      </x:c>
      <x:c r="F4967" s="34" t="n">
        <x:v>14</x:v>
      </x:c>
      <x:c r="G4967" s="34" t="str">
        <x:v>RECORDED</x:v>
      </x:c>
      <x:c r="H4967" s="38" t="n">
        <x:f>IF(ISNUMBER('Data'!I1551),'Data'!I1551*100,"")</x:f>
        <x:v>0</x:v>
      </x:c>
      <x:c r="I4967" s="34" t="str">
        <x:v>PASS</x:v>
      </x:c>
      <x:c r="J4967" s="34" t="str">
        <x:v>PASS</x:v>
      </x:c>
      <x:c r="K4967" s="34" t="str">
        <x:v>PASS</x:v>
      </x:c>
      <x:c r="L4967" s="34" t="str">
        <x:v>PASS</x:v>
      </x:c>
      <x:c r="M4967" s="34" t="str">
        <x:v>numeric coverage for applicable metric</x:v>
      </x:c>
      <x:c r="N4967" s="34" t="str">
        <x:v>Feedback-Directed Random Test Generation/Result_Round2/Math_12/result.json</x:v>
      </x:c>
      <x:c r="O4967" s="38" t="n">
        <x:f>IF(AND(G4967="RECORDED",ISNUMBER(H4967)),H4967,"")</x:f>
        <x:v>0</x:v>
      </x:c>
      <x:c r="P4967" s="34" t="str">
        <x:v>NOT_REVEALING</x:v>
      </x:c>
      <x:c r="Q4967" s="34" t="str">
        <x:v>Feedback-Directed Random Test Generation/Result_Round2/Math_12/result.json</x:v>
      </x:c>
    </x:row>
    <x:row r="4968">
      <x:c r="A4968" s="34" t="str">
        <x:v>randoop</x:v>
      </x:c>
      <x:c r="B4968" s="34" t="str">
        <x:v>Math</x:v>
      </x:c>
      <x:c r="C4968" s="34" t="str">
        <x:v>Round2</x:v>
      </x:c>
      <x:c r="D4968" s="34" t="str">
        <x:v>Math_13</x:v>
      </x:c>
      <x:c r="E4968" s="34" t="str">
        <x:v>Condition</x:v>
      </x:c>
      <x:c r="F4968" s="34" t="n">
        <x:v>18</x:v>
      </x:c>
      <x:c r="G4968" s="34" t="str">
        <x:v>RECORDED</x:v>
      </x:c>
      <x:c r="H4968" s="38" t="n">
        <x:f>IF(ISNUMBER('Data'!I1552),'Data'!I1552*100,"")</x:f>
        <x:v>0</x:v>
      </x:c>
      <x:c r="I4968" s="34" t="str">
        <x:v>PASS</x:v>
      </x:c>
      <x:c r="J4968" s="34" t="str">
        <x:v>PASS</x:v>
      </x:c>
      <x:c r="K4968" s="34" t="str">
        <x:v>PASS</x:v>
      </x:c>
      <x:c r="L4968" s="34" t="str">
        <x:v>PASS</x:v>
      </x:c>
      <x:c r="M4968" s="34" t="str">
        <x:v>numeric coverage for applicable metric</x:v>
      </x:c>
      <x:c r="N4968" s="34" t="str">
        <x:v>Feedback-Directed Random Test Generation/Result_Round2/Math_13/result.json</x:v>
      </x:c>
      <x:c r="O4968" s="38" t="n">
        <x:f>IF(AND(G4968="RECORDED",ISNUMBER(H4968)),H4968,"")</x:f>
        <x:v>0</x:v>
      </x:c>
      <x:c r="P4968" s="34" t="str">
        <x:v>NOT_REVEALING</x:v>
      </x:c>
      <x:c r="Q4968" s="34" t="str">
        <x:v>Feedback-Directed Random Test Generation/Result_Round2/Math_13/result.json</x:v>
      </x:c>
    </x:row>
    <x:row r="4969">
      <x:c r="A4969" s="34" t="str">
        <x:v>randoop</x:v>
      </x:c>
      <x:c r="B4969" s="34" t="str">
        <x:v>Math</x:v>
      </x:c>
      <x:c r="C4969" s="34" t="str">
        <x:v>Round2</x:v>
      </x:c>
      <x:c r="D4969" s="34" t="str">
        <x:v>Math_14</x:v>
      </x:c>
      <x:c r="E4969" s="34" t="str">
        <x:v>Condition</x:v>
      </x:c>
      <x:c r="F4969" s="34" t="n">
        <x:v>14</x:v>
      </x:c>
      <x:c r="G4969" s="34" t="str">
        <x:v>RECORDED</x:v>
      </x:c>
      <x:c r="H4969" s="38" t="n">
        <x:f>IF(ISNUMBER('Data'!I1553),'Data'!I1553*100,"")</x:f>
        <x:v>21.43</x:v>
      </x:c>
      <x:c r="I4969" s="34" t="str">
        <x:v>PASS</x:v>
      </x:c>
      <x:c r="J4969" s="34" t="str">
        <x:v>PASS</x:v>
      </x:c>
      <x:c r="K4969" s="34" t="str">
        <x:v>PASS</x:v>
      </x:c>
      <x:c r="L4969" s="34" t="str">
        <x:v>PASS</x:v>
      </x:c>
      <x:c r="M4969" s="34" t="str">
        <x:v>numeric coverage for applicable metric</x:v>
      </x:c>
      <x:c r="N4969" s="34" t="str">
        <x:v>Feedback-Directed Random Test Generation/Result_Round2/Math_14/result.json</x:v>
      </x:c>
      <x:c r="O4969" s="38" t="n">
        <x:f>IF(AND(G4969="RECORDED",ISNUMBER(H4969)),H4969,"")</x:f>
        <x:v>21.43</x:v>
      </x:c>
      <x:c r="P4969" s="34" t="str">
        <x:v>INCONCLUSIVE</x:v>
      </x:c>
      <x:c r="Q4969" s="34" t="str">
        <x:v>Feedback-Directed Random Test Generation/Result_Round2/Math_14/result.json</x:v>
      </x:c>
    </x:row>
    <x:row r="4970">
      <x:c r="A4970" s="34" t="str">
        <x:v>randoop</x:v>
      </x:c>
      <x:c r="B4970" s="34" t="str">
        <x:v>Math</x:v>
      </x:c>
      <x:c r="C4970" s="34" t="str">
        <x:v>Round2</x:v>
      </x:c>
      <x:c r="D4970" s="34" t="str">
        <x:v>Math_15</x:v>
      </x:c>
      <x:c r="E4970" s="34" t="str">
        <x:v>Condition</x:v>
      </x:c>
      <x:c r="F4970" s="34" t="n">
        <x:v>0</x:v>
      </x:c>
      <x:c r="G4970" s="34" t="str">
        <x:v>A</x:v>
      </x:c>
      <x:c r="H4970" s="38" t="str">
        <x:f>IF(ISNUMBER('Data'!I1554),'Data'!I1554*100,"")</x:f>
      </x:c>
      <x:c r="I4970" s="34"/>
      <x:c r="J4970" s="34"/>
      <x:c r="K4970" s="34"/>
      <x:c r="L4970" s="34" t="str">
        <x:v>NOT_RUN</x:v>
      </x:c>
      <x:c r="M4970" s="34" t="str">
        <x:v>Latest same-round generation failed; older files/results are excluded</x:v>
      </x:c>
      <x:c r="N4970" s="34" t="str">
        <x:v>Feedback-Directed Random Test Generation/report_Round2.csv</x:v>
      </x:c>
      <x:c r="O4970" s="38" t="str">
        <x:f>IF(AND(G4970="RECORDED",ISNUMBER(H4970)),H4970,"")</x:f>
      </x:c>
      <x:c r="P4970" s="34" t="str">
        <x:v>FAIL</x:v>
      </x:c>
      <x:c r="Q4970" s="34"/>
    </x:row>
    <x:row r="4971">
      <x:c r="A4971" s="34" t="str">
        <x:v>randoop</x:v>
      </x:c>
      <x:c r="B4971" s="34" t="str">
        <x:v>Math</x:v>
      </x:c>
      <x:c r="C4971" s="34" t="str">
        <x:v>Round2</x:v>
      </x:c>
      <x:c r="D4971" s="34" t="str">
        <x:v>Math_16</x:v>
      </x:c>
      <x:c r="E4971" s="34" t="str">
        <x:v>Condition</x:v>
      </x:c>
      <x:c r="F4971" s="34" t="n">
        <x:v>790</x:v>
      </x:c>
      <x:c r="G4971" s="34" t="str">
        <x:v>RECORDED</x:v>
      </x:c>
      <x:c r="H4971" s="38" t="n">
        <x:f>IF(ISNUMBER('Data'!I1555),'Data'!I1555*100,"")</x:f>
        <x:v>76.08</x:v>
      </x:c>
      <x:c r="I4971" s="34" t="str">
        <x:v>PASS</x:v>
      </x:c>
      <x:c r="J4971" s="34" t="str">
        <x:v>PASS</x:v>
      </x:c>
      <x:c r="K4971" s="34" t="str">
        <x:v>PASS</x:v>
      </x:c>
      <x:c r="L4971" s="34" t="str">
        <x:v>PASS</x:v>
      </x:c>
      <x:c r="M4971" s="34" t="str">
        <x:v>numeric coverage for applicable metric</x:v>
      </x:c>
      <x:c r="N4971" s="34" t="str">
        <x:v>Feedback-Directed Random Test Generation/Result_Round2/Math_16/result.json</x:v>
      </x:c>
      <x:c r="O4971" s="38" t="n">
        <x:f>IF(AND(G4971="RECORDED",ISNUMBER(H4971)),H4971,"")</x:f>
        <x:v>76.08</x:v>
      </x:c>
      <x:c r="P4971" s="34" t="str">
        <x:v>NOT_REVEALING</x:v>
      </x:c>
      <x:c r="Q4971" s="34" t="str">
        <x:v>Feedback-Directed Random Test Generation/Result_Round2/Math_16/result.json</x:v>
      </x:c>
    </x:row>
    <x:row r="4972">
      <x:c r="A4972" s="34" t="str">
        <x:v>randoop</x:v>
      </x:c>
      <x:c r="B4972" s="34" t="str">
        <x:v>Math</x:v>
      </x:c>
      <x:c r="C4972" s="34" t="str">
        <x:v>Round2</x:v>
      </x:c>
      <x:c r="D4972" s="34" t="str">
        <x:v>Math_17</x:v>
      </x:c>
      <x:c r="E4972" s="34" t="str">
        <x:v>Condition</x:v>
      </x:c>
      <x:c r="F4972" s="34" t="n">
        <x:v>738</x:v>
      </x:c>
      <x:c r="G4972" s="34" t="str">
        <x:v>RECORDED</x:v>
      </x:c>
      <x:c r="H4972" s="38" t="n">
        <x:f>IF(ISNUMBER('Data'!I1556),'Data'!I1556*100,"")</x:f>
        <x:v>0</x:v>
      </x:c>
      <x:c r="I4972" s="34" t="str">
        <x:v>PASS</x:v>
      </x:c>
      <x:c r="J4972" s="34" t="str">
        <x:v>PASS</x:v>
      </x:c>
      <x:c r="K4972" s="34" t="str">
        <x:v>PASS</x:v>
      </x:c>
      <x:c r="L4972" s="34" t="str">
        <x:v>PASS</x:v>
      </x:c>
      <x:c r="M4972" s="34" t="str">
        <x:v>numeric coverage for applicable metric</x:v>
      </x:c>
      <x:c r="N4972" s="34" t="str">
        <x:v>Feedback-Directed Random Test Generation/Result_Round2/Math_17/result.json</x:v>
      </x:c>
      <x:c r="O4972" s="38" t="n">
        <x:f>IF(AND(G4972="RECORDED",ISNUMBER(H4972)),H4972,"")</x:f>
        <x:v>0</x:v>
      </x:c>
      <x:c r="P4972" s="34" t="str">
        <x:v>NOT_REVEALING</x:v>
      </x:c>
      <x:c r="Q4972" s="34" t="str">
        <x:v>Feedback-Directed Random Test Generation/Result_Round2/Math_17/result.json</x:v>
      </x:c>
    </x:row>
    <x:row r="4973">
      <x:c r="A4973" s="34" t="str">
        <x:v>randoop</x:v>
      </x:c>
      <x:c r="B4973" s="34" t="str">
        <x:v>Math</x:v>
      </x:c>
      <x:c r="C4973" s="34" t="str">
        <x:v>Round2</x:v>
      </x:c>
      <x:c r="D4973" s="34" t="str">
        <x:v>Math_18</x:v>
      </x:c>
      <x:c r="E4973" s="34" t="str">
        <x:v>Condition</x:v>
      </x:c>
      <x:c r="F4973" s="34" t="n">
        <x:v>276</x:v>
      </x:c>
      <x:c r="G4973" s="34" t="str">
        <x:v>RECORDED</x:v>
      </x:c>
      <x:c r="H4973" s="38" t="n">
        <x:f>IF(ISNUMBER('Data'!I1557),'Data'!I1557*100,"")</x:f>
        <x:v>0.72</x:v>
      </x:c>
      <x:c r="I4973" s="34" t="str">
        <x:v>PASS</x:v>
      </x:c>
      <x:c r="J4973" s="34" t="str">
        <x:v>PASS</x:v>
      </x:c>
      <x:c r="K4973" s="34" t="str">
        <x:v>PASS</x:v>
      </x:c>
      <x:c r="L4973" s="34" t="str">
        <x:v>FAIL</x:v>
      </x:c>
      <x:c r="M4973" s="34" t="str">
        <x:v>numeric coverage for applicable metric</x:v>
      </x:c>
      <x:c r="N4973" s="34" t="str">
        <x:v>Feedback-Directed Random Test Generation/Result_Round2/Math_18/result.json</x:v>
      </x:c>
      <x:c r="O4973" s="38" t="n">
        <x:f>IF(AND(G4973="RECORDED",ISNUMBER(H4973)),H4973,"")</x:f>
        <x:v>0.72</x:v>
      </x:c>
      <x:c r="P4973" s="34" t="str">
        <x:v>INCONCLUSIVE</x:v>
      </x:c>
      <x:c r="Q4973" s="34" t="str">
        <x:v>Feedback-Directed Random Test Generation/Result_Round2/Math_18/result.json</x:v>
      </x:c>
    </x:row>
    <x:row r="4974">
      <x:c r="A4974" s="34" t="str">
        <x:v>randoop</x:v>
      </x:c>
      <x:c r="B4974" s="34" t="str">
        <x:v>Math</x:v>
      </x:c>
      <x:c r="C4974" s="34" t="str">
        <x:v>Round2</x:v>
      </x:c>
      <x:c r="D4974" s="34" t="str">
        <x:v>Math_19</x:v>
      </x:c>
      <x:c r="E4974" s="34" t="str">
        <x:v>Condition</x:v>
      </x:c>
      <x:c r="F4974" s="34" t="n">
        <x:v>272</x:v>
      </x:c>
      <x:c r="G4974" s="34" t="str">
        <x:v>RECORDED</x:v>
      </x:c>
      <x:c r="H4974" s="38" t="n">
        <x:f>IF(ISNUMBER('Data'!I1558),'Data'!I1558*100,"")</x:f>
        <x:v>0.74</x:v>
      </x:c>
      <x:c r="I4974" s="34" t="str">
        <x:v>PASS</x:v>
      </x:c>
      <x:c r="J4974" s="34" t="str">
        <x:v>PASS</x:v>
      </x:c>
      <x:c r="K4974" s="34" t="str">
        <x:v>PASS</x:v>
      </x:c>
      <x:c r="L4974" s="34" t="str">
        <x:v>FAIL</x:v>
      </x:c>
      <x:c r="M4974" s="34" t="str">
        <x:v>numeric coverage for applicable metric</x:v>
      </x:c>
      <x:c r="N4974" s="34" t="str">
        <x:v>Feedback-Directed Random Test Generation/Result_Round2/Math_19/result.json</x:v>
      </x:c>
      <x:c r="O4974" s="38" t="n">
        <x:f>IF(AND(G4974="RECORDED",ISNUMBER(H4974)),H4974,"")</x:f>
        <x:v>0.74</x:v>
      </x:c>
      <x:c r="P4974" s="34" t="str">
        <x:v>INCONCLUSIVE</x:v>
      </x:c>
      <x:c r="Q4974" s="34" t="str">
        <x:v>Feedback-Directed Random Test Generation/Result_Round2/Math_19/result.json</x:v>
      </x:c>
    </x:row>
    <x:row r="4975">
      <x:c r="A4975" s="34" t="str">
        <x:v>randoop</x:v>
      </x:c>
      <x:c r="B4975" s="34" t="str">
        <x:v>Math</x:v>
      </x:c>
      <x:c r="C4975" s="34" t="str">
        <x:v>Round2</x:v>
      </x:c>
      <x:c r="D4975" s="34" t="str">
        <x:v>Math_20</x:v>
      </x:c>
      <x:c r="E4975" s="34" t="str">
        <x:v>Condition</x:v>
      </x:c>
      <x:c r="F4975" s="34" t="n">
        <x:v>268</x:v>
      </x:c>
      <x:c r="G4975" s="34" t="str">
        <x:v>RECORDED</x:v>
      </x:c>
      <x:c r="H4975" s="38" t="n">
        <x:f>IF(ISNUMBER('Data'!I1559),'Data'!I1559*100,"")</x:f>
        <x:v>0.75</x:v>
      </x:c>
      <x:c r="I4975" s="34" t="str">
        <x:v>PASS</x:v>
      </x:c>
      <x:c r="J4975" s="34" t="str">
        <x:v>PASS</x:v>
      </x:c>
      <x:c r="K4975" s="34" t="str">
        <x:v>PASS</x:v>
      </x:c>
      <x:c r="L4975" s="34" t="str">
        <x:v>FAIL</x:v>
      </x:c>
      <x:c r="M4975" s="34" t="str">
        <x:v>numeric coverage for applicable metric</x:v>
      </x:c>
      <x:c r="N4975" s="34" t="str">
        <x:v>Feedback-Directed Random Test Generation/Result_Round2/Math_20/result.json</x:v>
      </x:c>
      <x:c r="O4975" s="38" t="n">
        <x:f>IF(AND(G4975="RECORDED",ISNUMBER(H4975)),H4975,"")</x:f>
        <x:v>0.75</x:v>
      </x:c>
      <x:c r="P4975" s="34" t="str">
        <x:v>INCONCLUSIVE</x:v>
      </x:c>
      <x:c r="Q4975" s="34" t="str">
        <x:v>Feedback-Directed Random Test Generation/Result_Round2/Math_20/result.json</x:v>
      </x:c>
    </x:row>
    <x:row r="4976">
      <x:c r="A4976" s="34" t="str">
        <x:v>randoop</x:v>
      </x:c>
      <x:c r="B4976" s="34" t="str">
        <x:v>Math</x:v>
      </x:c>
      <x:c r="C4976" s="34" t="str">
        <x:v>Round2</x:v>
      </x:c>
      <x:c r="D4976" s="34" t="str">
        <x:v>Math_21</x:v>
      </x:c>
      <x:c r="E4976" s="34" t="str">
        <x:v>Condition</x:v>
      </x:c>
      <x:c r="F4976" s="34" t="n">
        <x:v>28</x:v>
      </x:c>
      <x:c r="G4976" s="34" t="str">
        <x:v>RECORDED</x:v>
      </x:c>
      <x:c r="H4976" s="38" t="n">
        <x:f>IF(ISNUMBER('Data'!I1560),'Data'!I1560*100,"")</x:f>
        <x:v>0</x:v>
      </x:c>
      <x:c r="I4976" s="34" t="str">
        <x:v>PASS</x:v>
      </x:c>
      <x:c r="J4976" s="34" t="str">
        <x:v>PASS</x:v>
      </x:c>
      <x:c r="K4976" s="34" t="str">
        <x:v>PASS</x:v>
      </x:c>
      <x:c r="L4976" s="34" t="str">
        <x:v>PASS</x:v>
      </x:c>
      <x:c r="M4976" s="34" t="str">
        <x:v>numeric coverage for applicable metric</x:v>
      </x:c>
      <x:c r="N4976" s="34" t="str">
        <x:v>Feedback-Directed Random Test Generation/Result_Round2/Math_21/result.json</x:v>
      </x:c>
      <x:c r="O4976" s="38" t="n">
        <x:f>IF(AND(G4976="RECORDED",ISNUMBER(H4976)),H4976,"")</x:f>
        <x:v>0</x:v>
      </x:c>
      <x:c r="P4976" s="34" t="str">
        <x:v>NOT_REVEALING</x:v>
      </x:c>
      <x:c r="Q4976" s="34" t="str">
        <x:v>Feedback-Directed Random Test Generation/Result_Round2/Math_21/result.json</x:v>
      </x:c>
    </x:row>
    <x:row r="4977">
      <x:c r="A4977" s="34" t="str">
        <x:v>randoop</x:v>
      </x:c>
      <x:c r="B4977" s="34" t="str">
        <x:v>Math</x:v>
      </x:c>
      <x:c r="C4977" s="34" t="str">
        <x:v>Round2</x:v>
      </x:c>
      <x:c r="D4977" s="34" t="str">
        <x:v>Math_22</x:v>
      </x:c>
      <x:c r="E4977" s="34" t="str">
        <x:v>Condition</x:v>
      </x:c>
      <x:c r="F4977" s="34" t="n">
        <x:v>0</x:v>
      </x:c>
      <x:c r="G4977" s="34" t="str">
        <x:v>A</x:v>
      </x:c>
      <x:c r="H4977" s="38" t="str">
        <x:f>IF(ISNUMBER('Data'!I1561),'Data'!I1561*100,"")</x:f>
      </x:c>
      <x:c r="I4977" s="34"/>
      <x:c r="J4977" s="34"/>
      <x:c r="K4977" s="34"/>
      <x:c r="L4977" s="34" t="str">
        <x:v>NOT_RUN</x:v>
      </x:c>
      <x:c r="M4977" s="34" t="str">
        <x:v>Latest same-round generation failed; older files/results are excluded</x:v>
      </x:c>
      <x:c r="N4977" s="34" t="str">
        <x:v>Feedback-Directed Random Test Generation/report_Round2.csv</x:v>
      </x:c>
      <x:c r="O4977" s="38" t="str">
        <x:f>IF(AND(G4977="RECORDED",ISNUMBER(H4977)),H4977,"")</x:f>
      </x:c>
      <x:c r="P4977" s="34" t="str">
        <x:v>FAIL</x:v>
      </x:c>
      <x:c r="Q4977" s="34"/>
    </x:row>
    <x:row r="4978">
      <x:c r="A4978" s="34" t="str">
        <x:v>randoop</x:v>
      </x:c>
      <x:c r="B4978" s="34" t="str">
        <x:v>Math</x:v>
      </x:c>
      <x:c r="C4978" s="34" t="str">
        <x:v>Round2</x:v>
      </x:c>
      <x:c r="D4978" s="34" t="str">
        <x:v>Math_23</x:v>
      </x:c>
      <x:c r="E4978" s="34" t="str">
        <x:v>Condition</x:v>
      </x:c>
      <x:c r="F4978" s="34" t="n">
        <x:v>74</x:v>
      </x:c>
      <x:c r="G4978" s="34" t="str">
        <x:v>RECORDED</x:v>
      </x:c>
      <x:c r="H4978" s="38" t="n">
        <x:f>IF(ISNUMBER('Data'!I1562),'Data'!I1562*100,"")</x:f>
        <x:v>8.11</x:v>
      </x:c>
      <x:c r="I4978" s="34" t="str">
        <x:v>PASS</x:v>
      </x:c>
      <x:c r="J4978" s="34" t="str">
        <x:v>PASS</x:v>
      </x:c>
      <x:c r="K4978" s="34" t="str">
        <x:v>PASS</x:v>
      </x:c>
      <x:c r="L4978" s="34" t="str">
        <x:v>PASS</x:v>
      </x:c>
      <x:c r="M4978" s="34" t="str">
        <x:v>numeric coverage for applicable metric</x:v>
      </x:c>
      <x:c r="N4978" s="34" t="str">
        <x:v>Feedback-Directed Random Test Generation/Result_Round2/Math_23/result.json</x:v>
      </x:c>
      <x:c r="O4978" s="38" t="n">
        <x:f>IF(AND(G4978="RECORDED",ISNUMBER(H4978)),H4978,"")</x:f>
        <x:v>8.11</x:v>
      </x:c>
      <x:c r="P4978" s="34" t="str">
        <x:v>NOT_REVEALING</x:v>
      </x:c>
      <x:c r="Q4978" s="34" t="str">
        <x:v>Feedback-Directed Random Test Generation/Result_Round2/Math_23/result.json</x:v>
      </x:c>
    </x:row>
    <x:row r="4979">
      <x:c r="A4979" s="34" t="str">
        <x:v>randoop</x:v>
      </x:c>
      <x:c r="B4979" s="34" t="str">
        <x:v>Math</x:v>
      </x:c>
      <x:c r="C4979" s="34" t="str">
        <x:v>Round2</x:v>
      </x:c>
      <x:c r="D4979" s="34" t="str">
        <x:v>Math_24</x:v>
      </x:c>
      <x:c r="E4979" s="34" t="str">
        <x:v>Condition</x:v>
      </x:c>
      <x:c r="F4979" s="34" t="n">
        <x:v>74</x:v>
      </x:c>
      <x:c r="G4979" s="34" t="str">
        <x:v>RECORDED</x:v>
      </x:c>
      <x:c r="H4979" s="38" t="n">
        <x:f>IF(ISNUMBER('Data'!I1563),'Data'!I1563*100,"")</x:f>
        <x:v>8.11</x:v>
      </x:c>
      <x:c r="I4979" s="34" t="str">
        <x:v>PASS</x:v>
      </x:c>
      <x:c r="J4979" s="34" t="str">
        <x:v>PASS</x:v>
      </x:c>
      <x:c r="K4979" s="34" t="str">
        <x:v>PASS</x:v>
      </x:c>
      <x:c r="L4979" s="34" t="str">
        <x:v>PASS</x:v>
      </x:c>
      <x:c r="M4979" s="34" t="str">
        <x:v>numeric coverage for applicable metric</x:v>
      </x:c>
      <x:c r="N4979" s="34" t="str">
        <x:v>Feedback-Directed Random Test Generation/Result_Round2/Math_24/result.json</x:v>
      </x:c>
      <x:c r="O4979" s="38" t="n">
        <x:f>IF(AND(G4979="RECORDED",ISNUMBER(H4979)),H4979,"")</x:f>
        <x:v>8.11</x:v>
      </x:c>
      <x:c r="P4979" s="34" t="str">
        <x:v>NOT_REVEALING</x:v>
      </x:c>
      <x:c r="Q4979" s="34" t="str">
        <x:v>Feedback-Directed Random Test Generation/Result_Round2/Math_24/result.json</x:v>
      </x:c>
    </x:row>
    <x:row r="4980">
      <x:c r="A4980" s="34" t="str">
        <x:v>randoop</x:v>
      </x:c>
      <x:c r="B4980" s="34" t="str">
        <x:v>Math</x:v>
      </x:c>
      <x:c r="C4980" s="34" t="str">
        <x:v>Round2</x:v>
      </x:c>
      <x:c r="D4980" s="34" t="str">
        <x:v>Math_25</x:v>
      </x:c>
      <x:c r="E4980" s="34" t="str">
        <x:v>Condition</x:v>
      </x:c>
      <x:c r="F4980" s="34" t="n">
        <x:v>28</x:v>
      </x:c>
      <x:c r="G4980" s="34" t="str">
        <x:v>RECORDED</x:v>
      </x:c>
      <x:c r="H4980" s="38" t="n">
        <x:f>IF(ISNUMBER('Data'!I1564),'Data'!I1564*100,"")</x:f>
        <x:v>89.29</x:v>
      </x:c>
      <x:c r="I4980" s="34" t="str">
        <x:v>PASS</x:v>
      </x:c>
      <x:c r="J4980" s="34" t="str">
        <x:v>PASS</x:v>
      </x:c>
      <x:c r="K4980" s="34" t="str">
        <x:v>PASS</x:v>
      </x:c>
      <x:c r="L4980" s="34" t="str">
        <x:v>PASS</x:v>
      </x:c>
      <x:c r="M4980" s="34" t="str">
        <x:v>numeric coverage for applicable metric</x:v>
      </x:c>
      <x:c r="N4980" s="34" t="str">
        <x:v>Feedback-Directed Random Test Generation/Result_Round2/Math_25/result.json</x:v>
      </x:c>
      <x:c r="O4980" s="38" t="n">
        <x:f>IF(AND(G4980="RECORDED",ISNUMBER(H4980)),H4980,"")</x:f>
        <x:v>89.29</x:v>
      </x:c>
      <x:c r="P4980" s="34" t="str">
        <x:v>NOT_REVEALING</x:v>
      </x:c>
      <x:c r="Q4980" s="34" t="str">
        <x:v>Feedback-Directed Random Test Generation/Result_Round2/Math_25/result.json</x:v>
      </x:c>
    </x:row>
    <x:row r="4981">
      <x:c r="A4981" s="34" t="str">
        <x:v>randoop</x:v>
      </x:c>
      <x:c r="B4981" s="34" t="str">
        <x:v>Math</x:v>
      </x:c>
      <x:c r="C4981" s="34" t="str">
        <x:v>Round2</x:v>
      </x:c>
      <x:c r="D4981" s="34" t="str">
        <x:v>Math_26</x:v>
      </x:c>
      <x:c r="E4981" s="34" t="str">
        <x:v>Condition</x:v>
      </x:c>
      <x:c r="F4981" s="34" t="n">
        <x:v>94</x:v>
      </x:c>
      <x:c r="G4981" s="34" t="str">
        <x:v>RECORDED</x:v>
      </x:c>
      <x:c r="H4981" s="38" t="n">
        <x:f>IF(ISNUMBER('Data'!I1565),'Data'!I1565*100,"")</x:f>
        <x:v>87.23</x:v>
      </x:c>
      <x:c r="I4981" s="34" t="str">
        <x:v>PASS</x:v>
      </x:c>
      <x:c r="J4981" s="34" t="str">
        <x:v>PASS</x:v>
      </x:c>
      <x:c r="K4981" s="34" t="str">
        <x:v>PASS</x:v>
      </x:c>
      <x:c r="L4981" s="34" t="str">
        <x:v>PASS</x:v>
      </x:c>
      <x:c r="M4981" s="34" t="str">
        <x:v>numeric coverage for applicable metric</x:v>
      </x:c>
      <x:c r="N4981" s="34" t="str">
        <x:v>Feedback-Directed Random Test Generation/Result_Round2/Math_26/result.json</x:v>
      </x:c>
      <x:c r="O4981" s="38" t="n">
        <x:f>IF(AND(G4981="RECORDED",ISNUMBER(H4981)),H4981,"")</x:f>
        <x:v>87.23</x:v>
      </x:c>
      <x:c r="P4981" s="34" t="str">
        <x:v>NOT_REVEALING</x:v>
      </x:c>
      <x:c r="Q4981" s="34" t="str">
        <x:v>Feedback-Directed Random Test Generation/Result_Round2/Math_26/result.json</x:v>
      </x:c>
    </x:row>
    <x:row r="4982">
      <x:c r="A4982" s="34" t="str">
        <x:v>randoop</x:v>
      </x:c>
      <x:c r="B4982" s="34" t="str">
        <x:v>Math</x:v>
      </x:c>
      <x:c r="C4982" s="34" t="str">
        <x:v>Round2</x:v>
      </x:c>
      <x:c r="D4982" s="34" t="str">
        <x:v>Math_27</x:v>
      </x:c>
      <x:c r="E4982" s="34" t="str">
        <x:v>Condition</x:v>
      </x:c>
      <x:c r="F4982" s="34" t="n">
        <x:v>94</x:v>
      </x:c>
      <x:c r="G4982" s="34" t="str">
        <x:v>RECORDED</x:v>
      </x:c>
      <x:c r="H4982" s="38" t="n">
        <x:f>IF(ISNUMBER('Data'!I1566),'Data'!I1566*100,"")</x:f>
        <x:v>86.17</x:v>
      </x:c>
      <x:c r="I4982" s="34" t="str">
        <x:v>PASS</x:v>
      </x:c>
      <x:c r="J4982" s="34" t="str">
        <x:v>PASS</x:v>
      </x:c>
      <x:c r="K4982" s="34" t="str">
        <x:v>PASS</x:v>
      </x:c>
      <x:c r="L4982" s="34" t="str">
        <x:v>PASS</x:v>
      </x:c>
      <x:c r="M4982" s="34" t="str">
        <x:v>numeric coverage for applicable metric</x:v>
      </x:c>
      <x:c r="N4982" s="34" t="str">
        <x:v>Feedback-Directed Random Test Generation/Result_Round2/Math_27/result.json</x:v>
      </x:c>
      <x:c r="O4982" s="38" t="n">
        <x:f>IF(AND(G4982="RECORDED",ISNUMBER(H4982)),H4982,"")</x:f>
        <x:v>86.17</x:v>
      </x:c>
      <x:c r="P4982" s="34" t="str">
        <x:v>INCONCLUSIVE</x:v>
      </x:c>
      <x:c r="Q4982" s="34" t="str">
        <x:v>Feedback-Directed Random Test Generation/Result_Round2/Math_27/result.json</x:v>
      </x:c>
    </x:row>
    <x:row r="4983">
      <x:c r="A4983" s="34" t="str">
        <x:v>randoop</x:v>
      </x:c>
      <x:c r="B4983" s="34" t="str">
        <x:v>Math</x:v>
      </x:c>
      <x:c r="C4983" s="34" t="str">
        <x:v>Round2</x:v>
      </x:c>
      <x:c r="D4983" s="34" t="str">
        <x:v>Math_28</x:v>
      </x:c>
      <x:c r="E4983" s="34" t="str">
        <x:v>Condition</x:v>
      </x:c>
      <x:c r="F4983" s="34" t="n">
        <x:v>48</x:v>
      </x:c>
      <x:c r="G4983" s="34" t="str">
        <x:v>RECORDED</x:v>
      </x:c>
      <x:c r="H4983" s="38" t="n">
        <x:f>IF(ISNUMBER('Data'!I1567),'Data'!I1567*100,"")</x:f>
        <x:v>0</x:v>
      </x:c>
      <x:c r="I4983" s="34" t="str">
        <x:v>PASS</x:v>
      </x:c>
      <x:c r="J4983" s="34" t="str">
        <x:v>PASS</x:v>
      </x:c>
      <x:c r="K4983" s="34" t="str">
        <x:v>PASS</x:v>
      </x:c>
      <x:c r="L4983" s="34" t="str">
        <x:v>FAIL</x:v>
      </x:c>
      <x:c r="M4983" s="34" t="str">
        <x:v>numeric coverage for applicable metric</x:v>
      </x:c>
      <x:c r="N4983" s="34" t="str">
        <x:v>Feedback-Directed Random Test Generation/Result_Round2/Math_28/result.json</x:v>
      </x:c>
      <x:c r="O4983" s="38" t="n">
        <x:f>IF(AND(G4983="RECORDED",ISNUMBER(H4983)),H4983,"")</x:f>
        <x:v>0</x:v>
      </x:c>
      <x:c r="P4983" s="34" t="str">
        <x:v>INCONCLUSIVE</x:v>
      </x:c>
      <x:c r="Q4983" s="34" t="str">
        <x:v>Feedback-Directed Random Test Generation/Result_Round2/Math_28/result.json</x:v>
      </x:c>
    </x:row>
    <x:row r="4984">
      <x:c r="A4984" s="34" t="str">
        <x:v>randoop</x:v>
      </x:c>
      <x:c r="B4984" s="34" t="str">
        <x:v>Math</x:v>
      </x:c>
      <x:c r="C4984" s="34" t="str">
        <x:v>Round2</x:v>
      </x:c>
      <x:c r="D4984" s="34" t="str">
        <x:v>Math_29</x:v>
      </x:c>
      <x:c r="E4984" s="34" t="str">
        <x:v>Condition</x:v>
      </x:c>
      <x:c r="F4984" s="34" t="n">
        <x:v>134</x:v>
      </x:c>
      <x:c r="G4984" s="34" t="str">
        <x:v>RECORDED</x:v>
      </x:c>
      <x:c r="H4984" s="38" t="n">
        <x:f>IF(ISNUMBER('Data'!I1568),'Data'!I1568*100,"")</x:f>
        <x:v>94.78</x:v>
      </x:c>
      <x:c r="I4984" s="34" t="str">
        <x:v>PASS</x:v>
      </x:c>
      <x:c r="J4984" s="34" t="str">
        <x:v>PASS</x:v>
      </x:c>
      <x:c r="K4984" s="34" t="str">
        <x:v>PASS</x:v>
      </x:c>
      <x:c r="L4984" s="34" t="str">
        <x:v>FAIL</x:v>
      </x:c>
      <x:c r="M4984" s="34" t="str">
        <x:v>numeric coverage for applicable metric</x:v>
      </x:c>
      <x:c r="N4984" s="34" t="str">
        <x:v>Feedback-Directed Random Test Generation/Result_Round2/Math_29/result.json</x:v>
      </x:c>
      <x:c r="O4984" s="38" t="n">
        <x:f>IF(AND(G4984="RECORDED",ISNUMBER(H4984)),H4984,"")</x:f>
        <x:v>94.78</x:v>
      </x:c>
      <x:c r="P4984" s="34" t="str">
        <x:v>INCONCLUSIVE</x:v>
      </x:c>
      <x:c r="Q4984" s="34" t="str">
        <x:v>Feedback-Directed Random Test Generation/Result_Round2/Math_29/result.json</x:v>
      </x:c>
    </x:row>
    <x:row r="4985">
      <x:c r="A4985" s="34" t="str">
        <x:v>randoop</x:v>
      </x:c>
      <x:c r="B4985" s="34" t="str">
        <x:v>Math</x:v>
      </x:c>
      <x:c r="C4985" s="34" t="str">
        <x:v>Round2</x:v>
      </x:c>
      <x:c r="D4985" s="34" t="str">
        <x:v>Math_30</x:v>
      </x:c>
      <x:c r="E4985" s="34" t="str">
        <x:v>Condition</x:v>
      </x:c>
      <x:c r="F4985" s="34" t="n">
        <x:v>10</x:v>
      </x:c>
      <x:c r="G4985" s="34" t="str">
        <x:v>RECORDED</x:v>
      </x:c>
      <x:c r="H4985" s="38" t="n">
        <x:f>IF(ISNUMBER('Data'!I1569),'Data'!I1569*100,"")</x:f>
        <x:v>100</x:v>
      </x:c>
      <x:c r="I4985" s="34" t="str">
        <x:v>PASS</x:v>
      </x:c>
      <x:c r="J4985" s="34" t="str">
        <x:v>PASS</x:v>
      </x:c>
      <x:c r="K4985" s="34" t="str">
        <x:v>PASS</x:v>
      </x:c>
      <x:c r="L4985" s="34" t="str">
        <x:v>PASS</x:v>
      </x:c>
      <x:c r="M4985" s="34" t="str">
        <x:v>numeric coverage for applicable metric</x:v>
      </x:c>
      <x:c r="N4985" s="34" t="str">
        <x:v>Feedback-Directed Random Test Generation/Result_Round2/Math_30/result.json</x:v>
      </x:c>
      <x:c r="O4985" s="38" t="n">
        <x:f>IF(AND(G4985="RECORDED",ISNUMBER(H4985)),H4985,"")</x:f>
        <x:v>100</x:v>
      </x:c>
      <x:c r="P4985" s="34" t="str">
        <x:v>NOT_REVEALING</x:v>
      </x:c>
      <x:c r="Q4985" s="34" t="str">
        <x:v>Feedback-Directed Random Test Generation/Result_Round2/Math_30/result.json</x:v>
      </x:c>
    </x:row>
    <x:row r="4986">
      <x:c r="A4986" s="34" t="str">
        <x:v>randoop</x:v>
      </x:c>
      <x:c r="B4986" s="34" t="str">
        <x:v>Math</x:v>
      </x:c>
      <x:c r="C4986" s="34" t="str">
        <x:v>Round2</x:v>
      </x:c>
      <x:c r="D4986" s="34" t="str">
        <x:v>Math_31</x:v>
      </x:c>
      <x:c r="E4986" s="34" t="str">
        <x:v>Condition</x:v>
      </x:c>
      <x:c r="F4986" s="34" t="n">
        <x:v>30</x:v>
      </x:c>
      <x:c r="G4986" s="34" t="str">
        <x:v>RECORDED</x:v>
      </x:c>
      <x:c r="H4986" s="38" t="n">
        <x:f>IF(ISNUMBER('Data'!I1570),'Data'!I1570*100,"")</x:f>
        <x:v>0</x:v>
      </x:c>
      <x:c r="I4986" s="34" t="str">
        <x:v>PASS</x:v>
      </x:c>
      <x:c r="J4986" s="34" t="str">
        <x:v>PASS</x:v>
      </x:c>
      <x:c r="K4986" s="34" t="str">
        <x:v>PASS</x:v>
      </x:c>
      <x:c r="L4986" s="34" t="str">
        <x:v>PASS</x:v>
      </x:c>
      <x:c r="M4986" s="34" t="str">
        <x:v>numeric coverage for applicable metric</x:v>
      </x:c>
      <x:c r="N4986" s="34" t="str">
        <x:v>Feedback-Directed Random Test Generation/Result_Round2/Math_31/result.json</x:v>
      </x:c>
      <x:c r="O4986" s="38" t="n">
        <x:f>IF(AND(G4986="RECORDED",ISNUMBER(H4986)),H4986,"")</x:f>
        <x:v>0</x:v>
      </x:c>
      <x:c r="P4986" s="34" t="str">
        <x:v>NOT_REVEALING</x:v>
      </x:c>
      <x:c r="Q4986" s="34" t="str">
        <x:v>Feedback-Directed Random Test Generation/Result_Round2/Math_31/result.json</x:v>
      </x:c>
    </x:row>
    <x:row r="4987">
      <x:c r="A4987" s="34" t="str">
        <x:v>randoop</x:v>
      </x:c>
      <x:c r="B4987" s="34" t="str">
        <x:v>Math</x:v>
      </x:c>
      <x:c r="C4987" s="34" t="str">
        <x:v>Round2</x:v>
      </x:c>
      <x:c r="D4987" s="34" t="str">
        <x:v>Math_32</x:v>
      </x:c>
      <x:c r="E4987" s="34" t="str">
        <x:v>Condition</x:v>
      </x:c>
      <x:c r="F4987" s="34" t="n">
        <x:v>80</x:v>
      </x:c>
      <x:c r="G4987" s="34" t="str">
        <x:v>RECORDED</x:v>
      </x:c>
      <x:c r="H4987" s="38" t="n">
        <x:f>IF(ISNUMBER('Data'!I1571),'Data'!I1571*100,"")</x:f>
        <x:v>55.00000000000001</x:v>
      </x:c>
      <x:c r="I4987" s="34" t="str">
        <x:v>PASS</x:v>
      </x:c>
      <x:c r="J4987" s="34" t="str">
        <x:v>PASS</x:v>
      </x:c>
      <x:c r="K4987" s="34" t="str">
        <x:v>PASS</x:v>
      </x:c>
      <x:c r="L4987" s="34" t="str">
        <x:v>FAIL</x:v>
      </x:c>
      <x:c r="M4987" s="34" t="str">
        <x:v>numeric coverage for applicable metric</x:v>
      </x:c>
      <x:c r="N4987" s="34" t="str">
        <x:v>Feedback-Directed Random Test Generation/Result_Round2/Math_32/result.json</x:v>
      </x:c>
      <x:c r="O4987" s="38" t="n">
        <x:f>IF(AND(G4987="RECORDED",ISNUMBER(H4987)),H4987,"")</x:f>
        <x:v>55.00000000000001</x:v>
      </x:c>
      <x:c r="P4987" s="34" t="str">
        <x:v>INCONCLUSIVE</x:v>
      </x:c>
      <x:c r="Q4987" s="34" t="str">
        <x:v>Feedback-Directed Random Test Generation/Result_Round2/Math_32/result.json</x:v>
      </x:c>
    </x:row>
    <x:row r="4988">
      <x:c r="A4988" s="34" t="str">
        <x:v>randoop</x:v>
      </x:c>
      <x:c r="B4988" s="34" t="str">
        <x:v>Math</x:v>
      </x:c>
      <x:c r="C4988" s="34" t="str">
        <x:v>Round2</x:v>
      </x:c>
      <x:c r="D4988" s="34" t="str">
        <x:v>Math_33</x:v>
      </x:c>
      <x:c r="E4988" s="34" t="str">
        <x:v>Condition</x:v>
      </x:c>
      <x:c r="F4988" s="34" t="n">
        <x:v>124</x:v>
      </x:c>
      <x:c r="G4988" s="34" t="str">
        <x:v>RECORDED</x:v>
      </x:c>
      <x:c r="H4988" s="38" t="n">
        <x:f>IF(ISNUMBER('Data'!I1572),'Data'!I1572*100,"")</x:f>
        <x:v>0.8100000000000002</x:v>
      </x:c>
      <x:c r="I4988" s="34" t="str">
        <x:v>PASS</x:v>
      </x:c>
      <x:c r="J4988" s="34" t="str">
        <x:v>PASS</x:v>
      </x:c>
      <x:c r="K4988" s="34" t="str">
        <x:v>PASS</x:v>
      </x:c>
      <x:c r="L4988" s="34" t="str">
        <x:v>PASS</x:v>
      </x:c>
      <x:c r="M4988" s="34" t="str">
        <x:v>numeric coverage for applicable metric</x:v>
      </x:c>
      <x:c r="N4988" s="34" t="str">
        <x:v>Feedback-Directed Random Test Generation/Result_Round2/Math_33/result.json</x:v>
      </x:c>
      <x:c r="O4988" s="38" t="n">
        <x:f>IF(AND(G4988="RECORDED",ISNUMBER(H4988)),H4988,"")</x:f>
        <x:v>0.8100000000000002</x:v>
      </x:c>
      <x:c r="P4988" s="34" t="str">
        <x:v>NOT_REVEALING</x:v>
      </x:c>
      <x:c r="Q4988" s="34" t="str">
        <x:v>Feedback-Directed Random Test Generation/Result_Round2/Math_33/result.json</x:v>
      </x:c>
    </x:row>
    <x:row r="4989">
      <x:c r="A4989" s="34" t="str">
        <x:v>randoop</x:v>
      </x:c>
      <x:c r="B4989" s="34" t="str">
        <x:v>Math</x:v>
      </x:c>
      <x:c r="C4989" s="34" t="str">
        <x:v>Round2</x:v>
      </x:c>
      <x:c r="D4989" s="34" t="str">
        <x:v>Math_34</x:v>
      </x:c>
      <x:c r="E4989" s="34" t="str">
        <x:v>Condition</x:v>
      </x:c>
      <x:c r="F4989" s="34" t="n">
        <x:v>22</x:v>
      </x:c>
      <x:c r="G4989" s="34" t="str">
        <x:v>RECORDED</x:v>
      </x:c>
      <x:c r="H4989" s="38" t="n">
        <x:f>IF(ISNUMBER('Data'!I1573),'Data'!I1573*100,"")</x:f>
        <x:v>0</x:v>
      </x:c>
      <x:c r="I4989" s="34" t="str">
        <x:v>PASS</x:v>
      </x:c>
      <x:c r="J4989" s="34" t="str">
        <x:v>PASS</x:v>
      </x:c>
      <x:c r="K4989" s="34" t="str">
        <x:v>PASS</x:v>
      </x:c>
      <x:c r="L4989" s="34" t="str">
        <x:v>PASS</x:v>
      </x:c>
      <x:c r="M4989" s="34" t="str">
        <x:v>numeric coverage for applicable metric</x:v>
      </x:c>
      <x:c r="N4989" s="34" t="str">
        <x:v>Feedback-Directed Random Test Generation/Result_Round2/Math_34/result.json</x:v>
      </x:c>
      <x:c r="O4989" s="38" t="n">
        <x:f>IF(AND(G4989="RECORDED",ISNUMBER(H4989)),H4989,"")</x:f>
        <x:v>0</x:v>
      </x:c>
      <x:c r="P4989" s="34" t="str">
        <x:v>NOT_REVEALING</x:v>
      </x:c>
      <x:c r="Q4989" s="34" t="str">
        <x:v>Feedback-Directed Random Test Generation/Result_Round2/Math_34/result.json</x:v>
      </x:c>
    </x:row>
    <x:row r="4990">
      <x:c r="A4990" s="34" t="str">
        <x:v>randoop</x:v>
      </x:c>
      <x:c r="B4990" s="34" t="str">
        <x:v>Math</x:v>
      </x:c>
      <x:c r="C4990" s="34" t="str">
        <x:v>Round2</x:v>
      </x:c>
      <x:c r="D4990" s="34" t="str">
        <x:v>Math_35</x:v>
      </x:c>
      <x:c r="E4990" s="34" t="str">
        <x:v>Condition</x:v>
      </x:c>
      <x:c r="F4990" s="34" t="n">
        <x:v>6</x:v>
      </x:c>
      <x:c r="G4990" s="34" t="str">
        <x:v>RECORDED</x:v>
      </x:c>
      <x:c r="H4990" s="38" t="n">
        <x:f>IF(ISNUMBER('Data'!I1574),'Data'!I1574*100,"")</x:f>
        <x:v>100</x:v>
      </x:c>
      <x:c r="I4990" s="34" t="str">
        <x:v>PASS</x:v>
      </x:c>
      <x:c r="J4990" s="34" t="str">
        <x:v>PASS</x:v>
      </x:c>
      <x:c r="K4990" s="34" t="str">
        <x:v>PASS</x:v>
      </x:c>
      <x:c r="L4990" s="34" t="str">
        <x:v>PASS</x:v>
      </x:c>
      <x:c r="M4990" s="34" t="str">
        <x:v>numeric coverage for applicable metric</x:v>
      </x:c>
      <x:c r="N4990" s="34" t="str">
        <x:v>Feedback-Directed Random Test Generation/Result_Round2/Math_35/result.json</x:v>
      </x:c>
      <x:c r="O4990" s="38" t="n">
        <x:f>IF(AND(G4990="RECORDED",ISNUMBER(H4990)),H4990,"")</x:f>
        <x:v>100</x:v>
      </x:c>
      <x:c r="P4990" s="34" t="str">
        <x:v>INCONCLUSIVE</x:v>
      </x:c>
      <x:c r="Q4990" s="34" t="str">
        <x:v>Feedback-Directed Random Test Generation/Result_Round2/Math_35/result.json</x:v>
      </x:c>
    </x:row>
    <x:row r="4991">
      <x:c r="A4991" s="34" t="str">
        <x:v>randoop</x:v>
      </x:c>
      <x:c r="B4991" s="34" t="str">
        <x:v>Math</x:v>
      </x:c>
      <x:c r="C4991" s="34" t="str">
        <x:v>Round2</x:v>
      </x:c>
      <x:c r="D4991" s="34" t="str">
        <x:v>Math_36</x:v>
      </x:c>
      <x:c r="E4991" s="34" t="str">
        <x:v>Condition</x:v>
      </x:c>
      <x:c r="F4991" s="34" t="n">
        <x:v>92</x:v>
      </x:c>
      <x:c r="G4991" s="34" t="str">
        <x:v>RECORDED</x:v>
      </x:c>
      <x:c r="H4991" s="38" t="n">
        <x:f>IF(ISNUMBER('Data'!I1575),'Data'!I1575*100,"")</x:f>
        <x:v>68.48</x:v>
      </x:c>
      <x:c r="I4991" s="34" t="str">
        <x:v>PASS</x:v>
      </x:c>
      <x:c r="J4991" s="34" t="str">
        <x:v>PASS</x:v>
      </x:c>
      <x:c r="K4991" s="34" t="str">
        <x:v>PASS</x:v>
      </x:c>
      <x:c r="L4991" s="34" t="str">
        <x:v>FAIL</x:v>
      </x:c>
      <x:c r="M4991" s="34" t="str">
        <x:v>numeric coverage for applicable metric</x:v>
      </x:c>
      <x:c r="N4991" s="34" t="str">
        <x:v>Feedback-Directed Random Test Generation/Result_Round2/Math_36/result.json</x:v>
      </x:c>
      <x:c r="O4991" s="38" t="n">
        <x:f>IF(AND(G4991="RECORDED",ISNUMBER(H4991)),H4991,"")</x:f>
        <x:v>68.48</x:v>
      </x:c>
      <x:c r="P4991" s="34" t="str">
        <x:v>INCONCLUSIVE</x:v>
      </x:c>
      <x:c r="Q4991" s="34" t="str">
        <x:v>Feedback-Directed Random Test Generation/Result_Round2/Math_36/result.json</x:v>
      </x:c>
    </x:row>
    <x:row r="4992">
      <x:c r="A4992" s="34" t="str">
        <x:v>randoop</x:v>
      </x:c>
      <x:c r="B4992" s="34" t="str">
        <x:v>Math</x:v>
      </x:c>
      <x:c r="C4992" s="34" t="str">
        <x:v>Round2</x:v>
      </x:c>
      <x:c r="D4992" s="34" t="str">
        <x:v>Math_37</x:v>
      </x:c>
      <x:c r="E4992" s="34" t="str">
        <x:v>Condition</x:v>
      </x:c>
      <x:c r="F4992" s="34" t="n">
        <x:v>158</x:v>
      </x:c>
      <x:c r="G4992" s="34" t="str">
        <x:v>RECORDED</x:v>
      </x:c>
      <x:c r="H4992" s="38" t="n">
        <x:f>IF(ISNUMBER('Data'!I1576),'Data'!I1576*100,"")</x:f>
        <x:v>94.94</x:v>
      </x:c>
      <x:c r="I4992" s="34" t="str">
        <x:v>PASS</x:v>
      </x:c>
      <x:c r="J4992" s="34" t="str">
        <x:v>PASS</x:v>
      </x:c>
      <x:c r="K4992" s="34" t="str">
        <x:v>PASS</x:v>
      </x:c>
      <x:c r="L4992" s="34" t="str">
        <x:v>FAIL</x:v>
      </x:c>
      <x:c r="M4992" s="34" t="str">
        <x:v>numeric coverage for applicable metric</x:v>
      </x:c>
      <x:c r="N4992" s="34" t="str">
        <x:v>Feedback-Directed Random Test Generation/Result_Round2/Math_37/result.json</x:v>
      </x:c>
      <x:c r="O4992" s="38" t="n">
        <x:f>IF(AND(G4992="RECORDED",ISNUMBER(H4992)),H4992,"")</x:f>
        <x:v>94.94</x:v>
      </x:c>
      <x:c r="P4992" s="34" t="str">
        <x:v>INCONCLUSIVE</x:v>
      </x:c>
      <x:c r="Q4992" s="34" t="str">
        <x:v>Feedback-Directed Random Test Generation/Result_Round2/Math_37/result.json</x:v>
      </x:c>
    </x:row>
    <x:row r="4993">
      <x:c r="A4993" s="34" t="str">
        <x:v>randoop</x:v>
      </x:c>
      <x:c r="B4993" s="34" t="str">
        <x:v>Math</x:v>
      </x:c>
      <x:c r="C4993" s="34" t="str">
        <x:v>Round2</x:v>
      </x:c>
      <x:c r="D4993" s="34" t="str">
        <x:v>Math_38</x:v>
      </x:c>
      <x:c r="E4993" s="34" t="str">
        <x:v>Condition</x:v>
      </x:c>
      <x:c r="F4993" s="34" t="n">
        <x:v>624</x:v>
      </x:c>
      <x:c r="G4993" s="34" t="str">
        <x:v>RECORDED</x:v>
      </x:c>
      <x:c r="H4993" s="38" t="n">
        <x:f>IF(ISNUMBER('Data'!I1577),'Data'!I1577*100,"")</x:f>
        <x:v>0</x:v>
      </x:c>
      <x:c r="I4993" s="34" t="str">
        <x:v>PASS</x:v>
      </x:c>
      <x:c r="J4993" s="34" t="str">
        <x:v>PASS</x:v>
      </x:c>
      <x:c r="K4993" s="34" t="str">
        <x:v>PASS</x:v>
      </x:c>
      <x:c r="L4993" s="34" t="str">
        <x:v>FAIL</x:v>
      </x:c>
      <x:c r="M4993" s="34" t="str">
        <x:v>numeric coverage for applicable metric</x:v>
      </x:c>
      <x:c r="N4993" s="34" t="str">
        <x:v>Feedback-Directed Random Test Generation/Result_Round2/Math_38/result.json</x:v>
      </x:c>
      <x:c r="O4993" s="38" t="n">
        <x:f>IF(AND(G4993="RECORDED",ISNUMBER(H4993)),H4993,"")</x:f>
        <x:v>0</x:v>
      </x:c>
      <x:c r="P4993" s="34" t="str">
        <x:v>INCONCLUSIVE</x:v>
      </x:c>
      <x:c r="Q4993" s="34" t="str">
        <x:v>Feedback-Directed Random Test Generation/Result_Round2/Math_38/result.json</x:v>
      </x:c>
    </x:row>
    <x:row r="4994">
      <x:c r="A4994" s="34" t="str">
        <x:v>randoop</x:v>
      </x:c>
      <x:c r="B4994" s="34" t="str">
        <x:v>Math</x:v>
      </x:c>
      <x:c r="C4994" s="34" t="str">
        <x:v>Round2</x:v>
      </x:c>
      <x:c r="D4994" s="34" t="str">
        <x:v>Math_39</x:v>
      </x:c>
      <x:c r="E4994" s="34" t="str">
        <x:v>Condition</x:v>
      </x:c>
      <x:c r="F4994" s="34" t="n">
        <x:v>48</x:v>
      </x:c>
      <x:c r="G4994" s="34" t="str">
        <x:v>RECORDED</x:v>
      </x:c>
      <x:c r="H4994" s="38" t="n">
        <x:f>IF(ISNUMBER('Data'!I1578),'Data'!I1578*100,"")</x:f>
        <x:v>0</x:v>
      </x:c>
      <x:c r="I4994" s="34" t="str">
        <x:v>PASS</x:v>
      </x:c>
      <x:c r="J4994" s="34" t="str">
        <x:v>PASS</x:v>
      </x:c>
      <x:c r="K4994" s="34" t="str">
        <x:v>PASS</x:v>
      </x:c>
      <x:c r="L4994" s="34" t="str">
        <x:v>PASS</x:v>
      </x:c>
      <x:c r="M4994" s="34" t="str">
        <x:v>numeric coverage for applicable metric</x:v>
      </x:c>
      <x:c r="N4994" s="34" t="str">
        <x:v>Feedback-Directed Random Test Generation/Result_Round2/Math_39/result.json</x:v>
      </x:c>
      <x:c r="O4994" s="38" t="n">
        <x:f>IF(AND(G4994="RECORDED",ISNUMBER(H4994)),H4994,"")</x:f>
        <x:v>0</x:v>
      </x:c>
      <x:c r="P4994" s="34" t="str">
        <x:v>NOT_REVEALING</x:v>
      </x:c>
      <x:c r="Q4994" s="34" t="str">
        <x:v>Feedback-Directed Random Test Generation/Result_Round2/Math_39/result.json</x:v>
      </x:c>
    </x:row>
    <x:row r="4995">
      <x:c r="A4995" s="34" t="str">
        <x:v>randoop</x:v>
      </x:c>
      <x:c r="B4995" s="34" t="str">
        <x:v>Math</x:v>
      </x:c>
      <x:c r="C4995" s="34" t="str">
        <x:v>Round2</x:v>
      </x:c>
      <x:c r="D4995" s="34" t="str">
        <x:v>Math_40</x:v>
      </x:c>
      <x:c r="E4995" s="34" t="str">
        <x:v>Condition</x:v>
      </x:c>
      <x:c r="F4995" s="34" t="n">
        <x:v>66</x:v>
      </x:c>
      <x:c r="G4995" s="34" t="str">
        <x:v>RECORDED</x:v>
      </x:c>
      <x:c r="H4995" s="38" t="n">
        <x:f>IF(ISNUMBER('Data'!I1579),'Data'!I1579*100,"")</x:f>
        <x:v>9.09</x:v>
      </x:c>
      <x:c r="I4995" s="34" t="str">
        <x:v>PASS</x:v>
      </x:c>
      <x:c r="J4995" s="34" t="str">
        <x:v>PASS</x:v>
      </x:c>
      <x:c r="K4995" s="34" t="str">
        <x:v>PASS</x:v>
      </x:c>
      <x:c r="L4995" s="34" t="str">
        <x:v>PASS</x:v>
      </x:c>
      <x:c r="M4995" s="34" t="str">
        <x:v>numeric coverage for applicable metric</x:v>
      </x:c>
      <x:c r="N4995" s="34" t="str">
        <x:v>Feedback-Directed Random Test Generation/Result_Round2/Math_40/result.json</x:v>
      </x:c>
      <x:c r="O4995" s="38" t="n">
        <x:f>IF(AND(G4995="RECORDED",ISNUMBER(H4995)),H4995,"")</x:f>
        <x:v>9.09</x:v>
      </x:c>
      <x:c r="P4995" s="34" t="str">
        <x:v>NOT_REVEALING</x:v>
      </x:c>
      <x:c r="Q4995" s="34" t="str">
        <x:v>Feedback-Directed Random Test Generation/Result_Round2/Math_40/result.json</x:v>
      </x:c>
    </x:row>
    <x:row r="4996">
      <x:c r="A4996" s="34" t="str">
        <x:v>randoop</x:v>
      </x:c>
      <x:c r="B4996" s="34" t="str">
        <x:v>Math</x:v>
      </x:c>
      <x:c r="C4996" s="34" t="str">
        <x:v>Round2</x:v>
      </x:c>
      <x:c r="D4996" s="34" t="str">
        <x:v>Math_41</x:v>
      </x:c>
      <x:c r="E4996" s="34" t="str">
        <x:v>Condition</x:v>
      </x:c>
      <x:c r="F4996" s="34" t="n">
        <x:v>46</x:v>
      </x:c>
      <x:c r="G4996" s="34" t="str">
        <x:v>RECORDED</x:v>
      </x:c>
      <x:c r="H4996" s="38" t="n">
        <x:f>IF(ISNUMBER('Data'!I1580),'Data'!I1580*100,"")</x:f>
        <x:v>60.870000000000005</x:v>
      </x:c>
      <x:c r="I4996" s="34" t="str">
        <x:v>PASS</x:v>
      </x:c>
      <x:c r="J4996" s="34" t="str">
        <x:v>PASS</x:v>
      </x:c>
      <x:c r="K4996" s="34" t="str">
        <x:v>PASS</x:v>
      </x:c>
      <x:c r="L4996" s="34" t="str">
        <x:v>PASS</x:v>
      </x:c>
      <x:c r="M4996" s="34" t="str">
        <x:v>numeric coverage for applicable metric</x:v>
      </x:c>
      <x:c r="N4996" s="34" t="str">
        <x:v>Feedback-Directed Random Test Generation/Result_Round2/Math_41/result.json</x:v>
      </x:c>
      <x:c r="O4996" s="38" t="n">
        <x:f>IF(AND(G4996="RECORDED",ISNUMBER(H4996)),H4996,"")</x:f>
        <x:v>60.870000000000005</x:v>
      </x:c>
      <x:c r="P4996" s="34" t="str">
        <x:v>NOT_REVEALING</x:v>
      </x:c>
      <x:c r="Q4996" s="34" t="str">
        <x:v>Feedback-Directed Random Test Generation/Result_Round2/Math_41/result.json</x:v>
      </x:c>
    </x:row>
    <x:row r="4997">
      <x:c r="A4997" s="34" t="str">
        <x:v>randoop</x:v>
      </x:c>
      <x:c r="B4997" s="34" t="str">
        <x:v>Math</x:v>
      </x:c>
      <x:c r="C4997" s="34" t="str">
        <x:v>Round2</x:v>
      </x:c>
      <x:c r="D4997" s="34" t="str">
        <x:v>Math_42</x:v>
      </x:c>
      <x:c r="E4997" s="34" t="str">
        <x:v>Condition</x:v>
      </x:c>
      <x:c r="F4997" s="34" t="n">
        <x:v>120</x:v>
      </x:c>
      <x:c r="G4997" s="34" t="str">
        <x:v>RECORDED</x:v>
      </x:c>
      <x:c r="H4997" s="38" t="n">
        <x:f>IF(ISNUMBER('Data'!I1581),'Data'!I1581*100,"")</x:f>
        <x:v>0.83</x:v>
      </x:c>
      <x:c r="I4997" s="34" t="str">
        <x:v>PASS</x:v>
      </x:c>
      <x:c r="J4997" s="34" t="str">
        <x:v>PASS</x:v>
      </x:c>
      <x:c r="K4997" s="34" t="str">
        <x:v>PASS</x:v>
      </x:c>
      <x:c r="L4997" s="34" t="str">
        <x:v>PASS</x:v>
      </x:c>
      <x:c r="M4997" s="34" t="str">
        <x:v>numeric coverage for applicable metric</x:v>
      </x:c>
      <x:c r="N4997" s="34" t="str">
        <x:v>Feedback-Directed Random Test Generation/Result_Round2/Math_42/result.json</x:v>
      </x:c>
      <x:c r="O4997" s="38" t="n">
        <x:f>IF(AND(G4997="RECORDED",ISNUMBER(H4997)),H4997,"")</x:f>
        <x:v>0.83</x:v>
      </x:c>
      <x:c r="P4997" s="34" t="str">
        <x:v>NOT_REVEALING</x:v>
      </x:c>
      <x:c r="Q4997" s="34" t="str">
        <x:v>Feedback-Directed Random Test Generation/Result_Round2/Math_42/result.json</x:v>
      </x:c>
    </x:row>
    <x:row r="4998">
      <x:c r="A4998" s="34" t="str">
        <x:v>randoop</x:v>
      </x:c>
      <x:c r="B4998" s="34" t="str">
        <x:v>Math</x:v>
      </x:c>
      <x:c r="C4998" s="34" t="str">
        <x:v>Round2</x:v>
      </x:c>
      <x:c r="D4998" s="34" t="str">
        <x:v>Math_43</x:v>
      </x:c>
      <x:c r="E4998" s="34" t="str">
        <x:v>Condition</x:v>
      </x:c>
      <x:c r="F4998" s="34" t="n">
        <x:v>58</x:v>
      </x:c>
      <x:c r="G4998" s="34" t="str">
        <x:v>RECORDED</x:v>
      </x:c>
      <x:c r="H4998" s="38" t="n">
        <x:f>IF(ISNUMBER('Data'!I1582),'Data'!I1582*100,"")</x:f>
        <x:v>94.83</x:v>
      </x:c>
      <x:c r="I4998" s="34" t="str">
        <x:v>PASS</x:v>
      </x:c>
      <x:c r="J4998" s="34" t="str">
        <x:v>PASS</x:v>
      </x:c>
      <x:c r="K4998" s="34" t="str">
        <x:v>PASS</x:v>
      </x:c>
      <x:c r="L4998" s="34" t="str">
        <x:v>FAIL</x:v>
      </x:c>
      <x:c r="M4998" s="34" t="str">
        <x:v>numeric coverage for applicable metric</x:v>
      </x:c>
      <x:c r="N4998" s="34" t="str">
        <x:v>Feedback-Directed Random Test Generation/Result_Round2/Math_43/result.json</x:v>
      </x:c>
      <x:c r="O4998" s="38" t="n">
        <x:f>IF(AND(G4998="RECORDED",ISNUMBER(H4998)),H4998,"")</x:f>
        <x:v>94.83</x:v>
      </x:c>
      <x:c r="P4998" s="34" t="str">
        <x:v>INCONCLUSIVE</x:v>
      </x:c>
      <x:c r="Q4998" s="34" t="str">
        <x:v>Feedback-Directed Random Test Generation/Result_Round2/Math_43/result.json</x:v>
      </x:c>
    </x:row>
    <x:row r="4999">
      <x:c r="A4999" s="34" t="str">
        <x:v>randoop</x:v>
      </x:c>
      <x:c r="B4999" s="34" t="str">
        <x:v>Math</x:v>
      </x:c>
      <x:c r="C4999" s="34" t="str">
        <x:v>Round2</x:v>
      </x:c>
      <x:c r="D4999" s="34" t="str">
        <x:v>Math_44</x:v>
      </x:c>
      <x:c r="E4999" s="34" t="str">
        <x:v>Condition</x:v>
      </x:c>
      <x:c r="F4999" s="34" t="n">
        <x:v>42</x:v>
      </x:c>
      <x:c r="G4999" s="34" t="str">
        <x:v>RECORDED</x:v>
      </x:c>
      <x:c r="H4999" s="38" t="n">
        <x:f>IF(ISNUMBER('Data'!I1583),'Data'!I1583*100,"")</x:f>
        <x:v>0</x:v>
      </x:c>
      <x:c r="I4999" s="34" t="str">
        <x:v>PASS</x:v>
      </x:c>
      <x:c r="J4999" s="34" t="str">
        <x:v>PASS</x:v>
      </x:c>
      <x:c r="K4999" s="34" t="str">
        <x:v>PASS</x:v>
      </x:c>
      <x:c r="L4999" s="34" t="str">
        <x:v>PASS</x:v>
      </x:c>
      <x:c r="M4999" s="34" t="str">
        <x:v>numeric coverage for applicable metric</x:v>
      </x:c>
      <x:c r="N4999" s="34" t="str">
        <x:v>Feedback-Directed Random Test Generation/Result_Round2/Math_44/result.json</x:v>
      </x:c>
      <x:c r="O4999" s="38" t="n">
        <x:f>IF(AND(G4999="RECORDED",ISNUMBER(H4999)),H4999,"")</x:f>
        <x:v>0</x:v>
      </x:c>
      <x:c r="P4999" s="34" t="str">
        <x:v>NOT_REVEALING</x:v>
      </x:c>
      <x:c r="Q4999" s="34" t="str">
        <x:v>Feedback-Directed Random Test Generation/Result_Round2/Math_44/result.json</x:v>
      </x:c>
    </x:row>
    <x:row r="5000">
      <x:c r="A5000" s="34" t="str">
        <x:v>randoop</x:v>
      </x:c>
      <x:c r="B5000" s="34" t="str">
        <x:v>Math</x:v>
      </x:c>
      <x:c r="C5000" s="34" t="str">
        <x:v>Round2</x:v>
      </x:c>
      <x:c r="D5000" s="34" t="str">
        <x:v>Math_45</x:v>
      </x:c>
      <x:c r="E5000" s="34" t="str">
        <x:v>Condition</x:v>
      </x:c>
      <x:c r="F5000" s="34" t="n">
        <x:v>22</x:v>
      </x:c>
      <x:c r="G5000" s="34" t="str">
        <x:v>RECORDED</x:v>
      </x:c>
      <x:c r="H5000" s="38" t="n">
        <x:f>IF(ISNUMBER('Data'!I1584),'Data'!I1584*100,"")</x:f>
        <x:v>27.27</x:v>
      </x:c>
      <x:c r="I5000" s="34" t="str">
        <x:v>PASS</x:v>
      </x:c>
      <x:c r="J5000" s="34" t="str">
        <x:v>PASS</x:v>
      </x:c>
      <x:c r="K5000" s="34" t="str">
        <x:v>PASS</x:v>
      </x:c>
      <x:c r="L5000" s="34" t="str">
        <x:v>PASS</x:v>
      </x:c>
      <x:c r="M5000" s="34" t="str">
        <x:v>numeric coverage for applicable metric</x:v>
      </x:c>
      <x:c r="N5000" s="34" t="str">
        <x:v>Feedback-Directed Random Test Generation/Result_Round2/Math_45/result.json</x:v>
      </x:c>
      <x:c r="O5000" s="38" t="n">
        <x:f>IF(AND(G5000="RECORDED",ISNUMBER(H5000)),H5000,"")</x:f>
        <x:v>27.27</x:v>
      </x:c>
      <x:c r="P5000" s="34" t="str">
        <x:v>NOT_REVEALING</x:v>
      </x:c>
      <x:c r="Q5000" s="34" t="str">
        <x:v>Feedback-Directed Random Test Generation/Result_Round2/Math_45/result.json</x:v>
      </x:c>
    </x:row>
    <x:row r="5001">
      <x:c r="A5001" s="34" t="str">
        <x:v>randoop</x:v>
      </x:c>
      <x:c r="B5001" s="34" t="str">
        <x:v>Math</x:v>
      </x:c>
      <x:c r="C5001" s="34" t="str">
        <x:v>Round2</x:v>
      </x:c>
      <x:c r="D5001" s="34" t="str">
        <x:v>Math_46</x:v>
      </x:c>
      <x:c r="E5001" s="34" t="str">
        <x:v>Condition</x:v>
      </x:c>
      <x:c r="F5001" s="34" t="n">
        <x:v>148</x:v>
      </x:c>
      <x:c r="G5001" s="34" t="str">
        <x:v>RECORDED</x:v>
      </x:c>
      <x:c r="H5001" s="38" t="n">
        <x:f>IF(ISNUMBER('Data'!I1585),'Data'!I1585*100,"")</x:f>
        <x:v>92.57</x:v>
      </x:c>
      <x:c r="I5001" s="34" t="str">
        <x:v>PASS</x:v>
      </x:c>
      <x:c r="J5001" s="34" t="str">
        <x:v>PASS</x:v>
      </x:c>
      <x:c r="K5001" s="34" t="str">
        <x:v>PASS</x:v>
      </x:c>
      <x:c r="L5001" s="34" t="str">
        <x:v>FAIL</x:v>
      </x:c>
      <x:c r="M5001" s="34" t="str">
        <x:v>numeric coverage for applicable metric</x:v>
      </x:c>
      <x:c r="N5001" s="34" t="str">
        <x:v>Feedback-Directed Random Test Generation/Result_Round2/Math_46/result.json</x:v>
      </x:c>
      <x:c r="O5001" s="38" t="n">
        <x:f>IF(AND(G5001="RECORDED",ISNUMBER(H5001)),H5001,"")</x:f>
        <x:v>92.57</x:v>
      </x:c>
      <x:c r="P5001" s="34" t="str">
        <x:v>INCONCLUSIVE</x:v>
      </x:c>
      <x:c r="Q5001" s="34" t="str">
        <x:v>Feedback-Directed Random Test Generation/Result_Round2/Math_46/result.json</x:v>
      </x:c>
    </x:row>
    <x:row r="5002">
      <x:c r="A5002" s="34" t="str">
        <x:v>randoop</x:v>
      </x:c>
      <x:c r="B5002" s="34" t="str">
        <x:v>Math</x:v>
      </x:c>
      <x:c r="C5002" s="34" t="str">
        <x:v>Round2</x:v>
      </x:c>
      <x:c r="D5002" s="34" t="str">
        <x:v>Math_47</x:v>
      </x:c>
      <x:c r="E5002" s="34" t="str">
        <x:v>Condition</x:v>
      </x:c>
      <x:c r="F5002" s="34" t="n">
        <x:v>142</x:v>
      </x:c>
      <x:c r="G5002" s="34" t="str">
        <x:v>RECORDED</x:v>
      </x:c>
      <x:c r="H5002" s="38" t="n">
        <x:f>IF(ISNUMBER('Data'!I1586),'Data'!I1586*100,"")</x:f>
        <x:v>92.25</x:v>
      </x:c>
      <x:c r="I5002" s="34" t="str">
        <x:v>PASS</x:v>
      </x:c>
      <x:c r="J5002" s="34" t="str">
        <x:v>PASS</x:v>
      </x:c>
      <x:c r="K5002" s="34" t="str">
        <x:v>PASS</x:v>
      </x:c>
      <x:c r="L5002" s="34" t="str">
        <x:v>FAIL</x:v>
      </x:c>
      <x:c r="M5002" s="34" t="str">
        <x:v>numeric coverage for applicable metric</x:v>
      </x:c>
      <x:c r="N5002" s="34" t="str">
        <x:v>Feedback-Directed Random Test Generation/Result_Round2/Math_47/result.json</x:v>
      </x:c>
      <x:c r="O5002" s="38" t="n">
        <x:f>IF(AND(G5002="RECORDED",ISNUMBER(H5002)),H5002,"")</x:f>
        <x:v>92.25</x:v>
      </x:c>
      <x:c r="P5002" s="34" t="str">
        <x:v>INCONCLUSIVE</x:v>
      </x:c>
      <x:c r="Q5002" s="34" t="str">
        <x:v>Feedback-Directed Random Test Generation/Result_Round2/Math_47/result.json</x:v>
      </x:c>
    </x:row>
    <x:row r="5003">
      <x:c r="A5003" s="34" t="str">
        <x:v>randoop</x:v>
      </x:c>
      <x:c r="B5003" s="34" t="str">
        <x:v>Math</x:v>
      </x:c>
      <x:c r="C5003" s="34" t="str">
        <x:v>Round2</x:v>
      </x:c>
      <x:c r="D5003" s="34" t="str">
        <x:v>Math_48</x:v>
      </x:c>
      <x:c r="E5003" s="34" t="str">
        <x:v>Condition</x:v>
      </x:c>
      <x:c r="F5003" s="34" t="n">
        <x:v>46</x:v>
      </x:c>
      <x:c r="G5003" s="34" t="str">
        <x:v>RECORDED</x:v>
      </x:c>
      <x:c r="H5003" s="38" t="n">
        <x:f>IF(ISNUMBER('Data'!I1587),'Data'!I1587*100,"")</x:f>
        <x:v>0</x:v>
      </x:c>
      <x:c r="I5003" s="34" t="str">
        <x:v>PASS</x:v>
      </x:c>
      <x:c r="J5003" s="34" t="str">
        <x:v>PASS</x:v>
      </x:c>
      <x:c r="K5003" s="34" t="str">
        <x:v>PASS</x:v>
      </x:c>
      <x:c r="L5003" s="34" t="str">
        <x:v>PASS</x:v>
      </x:c>
      <x:c r="M5003" s="34" t="str">
        <x:v>numeric coverage for applicable metric</x:v>
      </x:c>
      <x:c r="N5003" s="34" t="str">
        <x:v>Feedback-Directed Random Test Generation/Result_Round2/Math_48/result.json</x:v>
      </x:c>
      <x:c r="O5003" s="38" t="n">
        <x:f>IF(AND(G5003="RECORDED",ISNUMBER(H5003)),H5003,"")</x:f>
        <x:v>0</x:v>
      </x:c>
      <x:c r="P5003" s="34" t="str">
        <x:v>NOT_REVEALING</x:v>
      </x:c>
      <x:c r="Q5003" s="34" t="str">
        <x:v>Feedback-Directed Random Test Generation/Result_Round2/Math_48/result.json</x:v>
      </x:c>
    </x:row>
    <x:row r="5004">
      <x:c r="A5004" s="34" t="str">
        <x:v>randoop</x:v>
      </x:c>
      <x:c r="B5004" s="34" t="str">
        <x:v>Math</x:v>
      </x:c>
      <x:c r="C5004" s="34" t="str">
        <x:v>Round2</x:v>
      </x:c>
      <x:c r="D5004" s="34" t="str">
        <x:v>Math_49</x:v>
      </x:c>
      <x:c r="E5004" s="34" t="str">
        <x:v>Condition</x:v>
      </x:c>
      <x:c r="F5004" s="34" t="n">
        <x:v>152</x:v>
      </x:c>
      <x:c r="G5004" s="34" t="str">
        <x:v>RECORDED</x:v>
      </x:c>
      <x:c r="H5004" s="38" t="n">
        <x:f>IF(ISNUMBER('Data'!I1588),'Data'!I1588*100,"")</x:f>
        <x:v>64.47</x:v>
      </x:c>
      <x:c r="I5004" s="34" t="str">
        <x:v>PASS</x:v>
      </x:c>
      <x:c r="J5004" s="34" t="str">
        <x:v>PASS</x:v>
      </x:c>
      <x:c r="K5004" s="34" t="str">
        <x:v>PASS</x:v>
      </x:c>
      <x:c r="L5004" s="34" t="str">
        <x:v>FAIL</x:v>
      </x:c>
      <x:c r="M5004" s="34" t="str">
        <x:v>numeric coverage for applicable metric</x:v>
      </x:c>
      <x:c r="N5004" s="34" t="str">
        <x:v>Feedback-Directed Random Test Generation/Result_Round2/Math_49/result.json</x:v>
      </x:c>
      <x:c r="O5004" s="38" t="n">
        <x:f>IF(AND(G5004="RECORDED",ISNUMBER(H5004)),H5004,"")</x:f>
        <x:v>64.47</x:v>
      </x:c>
      <x:c r="P5004" s="34" t="str">
        <x:v>INCONCLUSIVE</x:v>
      </x:c>
      <x:c r="Q5004" s="34" t="str">
        <x:v>Feedback-Directed Random Test Generation/Result_Round2/Math_49/result.json</x:v>
      </x:c>
    </x:row>
    <x:row r="5005">
      <x:c r="A5005" s="34" t="str">
        <x:v>randoop</x:v>
      </x:c>
      <x:c r="B5005" s="34" t="str">
        <x:v>Math</x:v>
      </x:c>
      <x:c r="C5005" s="34" t="str">
        <x:v>Round2</x:v>
      </x:c>
      <x:c r="D5005" s="34" t="str">
        <x:v>Math_50</x:v>
      </x:c>
      <x:c r="E5005" s="34" t="str">
        <x:v>Condition</x:v>
      </x:c>
      <x:c r="F5005" s="34" t="n">
        <x:v>48</x:v>
      </x:c>
      <x:c r="G5005" s="34" t="str">
        <x:v>RECORDED</x:v>
      </x:c>
      <x:c r="H5005" s="38" t="n">
        <x:f>IF(ISNUMBER('Data'!I1589),'Data'!I1589*100,"")</x:f>
        <x:v>0</x:v>
      </x:c>
      <x:c r="I5005" s="34" t="str">
        <x:v>PASS</x:v>
      </x:c>
      <x:c r="J5005" s="34" t="str">
        <x:v>PASS</x:v>
      </x:c>
      <x:c r="K5005" s="34" t="str">
        <x:v>PASS</x:v>
      </x:c>
      <x:c r="L5005" s="34" t="str">
        <x:v>PASS</x:v>
      </x:c>
      <x:c r="M5005" s="34" t="str">
        <x:v>numeric coverage for applicable metric</x:v>
      </x:c>
      <x:c r="N5005" s="34" t="str">
        <x:v>Feedback-Directed Random Test Generation/Result_Round2/Math_50/result.json</x:v>
      </x:c>
      <x:c r="O5005" s="38" t="n">
        <x:f>IF(AND(G5005="RECORDED",ISNUMBER(H5005)),H5005,"")</x:f>
        <x:v>0</x:v>
      </x:c>
      <x:c r="P5005" s="34" t="str">
        <x:v>NOT_REVEALING</x:v>
      </x:c>
      <x:c r="Q5005" s="34" t="str">
        <x:v>Feedback-Directed Random Test Generation/Result_Round2/Math_50/result.json</x:v>
      </x:c>
    </x:row>
    <x:row r="5006">
      <x:c r="A5006" s="34" t="str">
        <x:v>randoop</x:v>
      </x:c>
      <x:c r="B5006" s="34" t="str">
        <x:v>Math</x:v>
      </x:c>
      <x:c r="C5006" s="34" t="str">
        <x:v>Round2</x:v>
      </x:c>
      <x:c r="D5006" s="34" t="str">
        <x:v>Math_51</x:v>
      </x:c>
      <x:c r="E5006" s="34" t="str">
        <x:v>Condition</x:v>
      </x:c>
      <x:c r="F5006" s="34" t="n">
        <x:v>45</x:v>
      </x:c>
      <x:c r="G5006" s="34" t="str">
        <x:v>RECORDED</x:v>
      </x:c>
      <x:c r="H5006" s="38" t="n">
        <x:f>IF(ISNUMBER('Data'!I1590),'Data'!I1590*100,"")</x:f>
        <x:v>0</x:v>
      </x:c>
      <x:c r="I5006" s="34" t="str">
        <x:v>PASS</x:v>
      </x:c>
      <x:c r="J5006" s="34" t="str">
        <x:v>PASS</x:v>
      </x:c>
      <x:c r="K5006" s="34" t="str">
        <x:v>PASS</x:v>
      </x:c>
      <x:c r="L5006" s="34" t="str">
        <x:v>PASS</x:v>
      </x:c>
      <x:c r="M5006" s="34" t="str">
        <x:v>numeric coverage for applicable metric</x:v>
      </x:c>
      <x:c r="N5006" s="34" t="str">
        <x:v>Feedback-Directed Random Test Generation/Result_Round2/Math_51/result.json</x:v>
      </x:c>
      <x:c r="O5006" s="38" t="n">
        <x:f>IF(AND(G5006="RECORDED",ISNUMBER(H5006)),H5006,"")</x:f>
        <x:v>0</x:v>
      </x:c>
      <x:c r="P5006" s="34" t="str">
        <x:v>NOT_REVEALING</x:v>
      </x:c>
      <x:c r="Q5006" s="34" t="str">
        <x:v>Feedback-Directed Random Test Generation/Result_Round2/Math_51/result.json</x:v>
      </x:c>
    </x:row>
    <x:row r="5007">
      <x:c r="A5007" s="34" t="str">
        <x:v>randoop</x:v>
      </x:c>
      <x:c r="B5007" s="34" t="str">
        <x:v>Math</x:v>
      </x:c>
      <x:c r="C5007" s="34" t="str">
        <x:v>Round2</x:v>
      </x:c>
      <x:c r="D5007" s="34" t="str">
        <x:v>Math_52</x:v>
      </x:c>
      <x:c r="E5007" s="34" t="str">
        <x:v>Condition</x:v>
      </x:c>
      <x:c r="F5007" s="34" t="n">
        <x:v>122</x:v>
      </x:c>
      <x:c r="G5007" s="34" t="str">
        <x:v>RECORDED</x:v>
      </x:c>
      <x:c r="H5007" s="38" t="n">
        <x:f>IF(ISNUMBER('Data'!I1591),'Data'!I1591*100,"")</x:f>
        <x:v>42.62</x:v>
      </x:c>
      <x:c r="I5007" s="34" t="str">
        <x:v>PASS</x:v>
      </x:c>
      <x:c r="J5007" s="34" t="str">
        <x:v>PASS</x:v>
      </x:c>
      <x:c r="K5007" s="34" t="str">
        <x:v>PASS</x:v>
      </x:c>
      <x:c r="L5007" s="34" t="str">
        <x:v>FAIL</x:v>
      </x:c>
      <x:c r="M5007" s="34" t="str">
        <x:v>numeric coverage for applicable metric</x:v>
      </x:c>
      <x:c r="N5007" s="34" t="str">
        <x:v>Feedback-Directed Random Test Generation/Result_Round2/Math_52/result.json</x:v>
      </x:c>
      <x:c r="O5007" s="38" t="n">
        <x:f>IF(AND(G5007="RECORDED",ISNUMBER(H5007)),H5007,"")</x:f>
        <x:v>42.62</x:v>
      </x:c>
      <x:c r="P5007" s="34" t="str">
        <x:v>INCONCLUSIVE</x:v>
      </x:c>
      <x:c r="Q5007" s="34" t="str">
        <x:v>Feedback-Directed Random Test Generation/Result_Round2/Math_52/result.json</x:v>
      </x:c>
    </x:row>
    <x:row r="5008">
      <x:c r="A5008" s="34" t="str">
        <x:v>randoop</x:v>
      </x:c>
      <x:c r="B5008" s="34" t="str">
        <x:v>Math</x:v>
      </x:c>
      <x:c r="C5008" s="34" t="str">
        <x:v>Round2</x:v>
      </x:c>
      <x:c r="D5008" s="34" t="str">
        <x:v>Math_53</x:v>
      </x:c>
      <x:c r="E5008" s="34" t="str">
        <x:v>Condition</x:v>
      </x:c>
      <x:c r="F5008" s="34" t="n">
        <x:v>114</x:v>
      </x:c>
      <x:c r="G5008" s="34" t="str">
        <x:v>RECORDED</x:v>
      </x:c>
      <x:c r="H5008" s="38" t="n">
        <x:f>IF(ISNUMBER('Data'!I1592),'Data'!I1592*100,"")</x:f>
        <x:v>97.37</x:v>
      </x:c>
      <x:c r="I5008" s="34" t="str">
        <x:v>PASS</x:v>
      </x:c>
      <x:c r="J5008" s="34" t="str">
        <x:v>PASS</x:v>
      </x:c>
      <x:c r="K5008" s="34" t="str">
        <x:v>PASS</x:v>
      </x:c>
      <x:c r="L5008" s="34" t="str">
        <x:v>FAIL</x:v>
      </x:c>
      <x:c r="M5008" s="34" t="str">
        <x:v>numeric coverage for applicable metric</x:v>
      </x:c>
      <x:c r="N5008" s="34" t="str">
        <x:v>Feedback-Directed Random Test Generation/Result_Round2/Math_53/result.json</x:v>
      </x:c>
      <x:c r="O5008" s="38" t="n">
        <x:f>IF(AND(G5008="RECORDED",ISNUMBER(H5008)),H5008,"")</x:f>
        <x:v>97.37</x:v>
      </x:c>
      <x:c r="P5008" s="34" t="str">
        <x:v>INCONCLUSIVE</x:v>
      </x:c>
      <x:c r="Q5008" s="34" t="str">
        <x:v>Feedback-Directed Random Test Generation/Result_Round2/Math_53/result.json</x:v>
      </x:c>
    </x:row>
    <x:row r="5009">
      <x:c r="A5009" s="34" t="str">
        <x:v>randoop</x:v>
      </x:c>
      <x:c r="B5009" s="34" t="str">
        <x:v>Math</x:v>
      </x:c>
      <x:c r="C5009" s="34" t="str">
        <x:v>Round2</x:v>
      </x:c>
      <x:c r="D5009" s="34" t="str">
        <x:v>Math_54</x:v>
      </x:c>
      <x:c r="E5009" s="34" t="str">
        <x:v>Condition</x:v>
      </x:c>
      <x:c r="F5009" s="34" t="n">
        <x:v>694</x:v>
      </x:c>
      <x:c r="G5009" s="34" t="str">
        <x:v>RECORDED</x:v>
      </x:c>
      <x:c r="H5009" s="38" t="n">
        <x:f>IF(ISNUMBER('Data'!I1593),'Data'!I1593*100,"")</x:f>
        <x:v>0</x:v>
      </x:c>
      <x:c r="I5009" s="34" t="str">
        <x:v>PASS</x:v>
      </x:c>
      <x:c r="J5009" s="34" t="str">
        <x:v>PASS</x:v>
      </x:c>
      <x:c r="K5009" s="34" t="str">
        <x:v>PASS</x:v>
      </x:c>
      <x:c r="L5009" s="34" t="str">
        <x:v>PASS</x:v>
      </x:c>
      <x:c r="M5009" s="34" t="str">
        <x:v>numeric coverage for applicable metric</x:v>
      </x:c>
      <x:c r="N5009" s="34" t="str">
        <x:v>Feedback-Directed Random Test Generation/Result_Round2/Math_54/result.json</x:v>
      </x:c>
      <x:c r="O5009" s="38" t="n">
        <x:f>IF(AND(G5009="RECORDED",ISNUMBER(H5009)),H5009,"")</x:f>
        <x:v>0</x:v>
      </x:c>
      <x:c r="P5009" s="34" t="str">
        <x:v>NOT_REVEALING</x:v>
      </x:c>
      <x:c r="Q5009" s="34" t="str">
        <x:v>Feedback-Directed Random Test Generation/Result_Round2/Math_54/result.json</x:v>
      </x:c>
    </x:row>
    <x:row r="5010">
      <x:c r="A5010" s="34" t="str">
        <x:v>randoop</x:v>
      </x:c>
      <x:c r="B5010" s="34" t="str">
        <x:v>Math</x:v>
      </x:c>
      <x:c r="C5010" s="34" t="str">
        <x:v>Round2</x:v>
      </x:c>
      <x:c r="D5010" s="34" t="str">
        <x:v>Math_55</x:v>
      </x:c>
      <x:c r="E5010" s="34" t="str">
        <x:v>Condition</x:v>
      </x:c>
      <x:c r="F5010" s="34" t="n">
        <x:v>48</x:v>
      </x:c>
      <x:c r="G5010" s="34" t="str">
        <x:v>RECORDED</x:v>
      </x:c>
      <x:c r="H5010" s="38" t="n">
        <x:f>IF(ISNUMBER('Data'!I1594),'Data'!I1594*100,"")</x:f>
        <x:v>85.42</x:v>
      </x:c>
      <x:c r="I5010" s="34" t="str">
        <x:v>PASS</x:v>
      </x:c>
      <x:c r="J5010" s="34" t="str">
        <x:v>PASS</x:v>
      </x:c>
      <x:c r="K5010" s="34" t="str">
        <x:v>PASS</x:v>
      </x:c>
      <x:c r="L5010" s="34" t="str">
        <x:v>FAIL</x:v>
      </x:c>
      <x:c r="M5010" s="34" t="str">
        <x:v>numeric coverage for applicable metric</x:v>
      </x:c>
      <x:c r="N5010" s="34" t="str">
        <x:v>Feedback-Directed Random Test Generation/Result_Round2/Math_55/result.json</x:v>
      </x:c>
      <x:c r="O5010" s="38" t="n">
        <x:f>IF(AND(G5010="RECORDED",ISNUMBER(H5010)),H5010,"")</x:f>
        <x:v>85.42</x:v>
      </x:c>
      <x:c r="P5010" s="34" t="str">
        <x:v>INCONCLUSIVE</x:v>
      </x:c>
      <x:c r="Q5010" s="34" t="str">
        <x:v>Feedback-Directed Random Test Generation/Result_Round2/Math_55/result.json</x:v>
      </x:c>
    </x:row>
    <x:row r="5011">
      <x:c r="A5011" s="34" t="str">
        <x:v>randoop</x:v>
      </x:c>
      <x:c r="B5011" s="34" t="str">
        <x:v>Math</x:v>
      </x:c>
      <x:c r="C5011" s="34" t="str">
        <x:v>Round2</x:v>
      </x:c>
      <x:c r="D5011" s="34" t="str">
        <x:v>Math_56</x:v>
      </x:c>
      <x:c r="E5011" s="34" t="str">
        <x:v>Condition</x:v>
      </x:c>
      <x:c r="F5011" s="34" t="n">
        <x:v>34</x:v>
      </x:c>
      <x:c r="G5011" s="34" t="str">
        <x:v>RECORDED</x:v>
      </x:c>
      <x:c r="H5011" s="38" t="n">
        <x:f>IF(ISNUMBER('Data'!I1595),'Data'!I1595*100,"")</x:f>
        <x:v>85.29</x:v>
      </x:c>
      <x:c r="I5011" s="34" t="str">
        <x:v>PASS</x:v>
      </x:c>
      <x:c r="J5011" s="34" t="str">
        <x:v>PASS</x:v>
      </x:c>
      <x:c r="K5011" s="34" t="str">
        <x:v>PASS</x:v>
      </x:c>
      <x:c r="L5011" s="34" t="str">
        <x:v>PASS</x:v>
      </x:c>
      <x:c r="M5011" s="34" t="str">
        <x:v>numeric coverage for applicable metric</x:v>
      </x:c>
      <x:c r="N5011" s="34" t="str">
        <x:v>Feedback-Directed Random Test Generation/Result_Round2/Math_56/result.json</x:v>
      </x:c>
      <x:c r="O5011" s="38" t="n">
        <x:f>IF(AND(G5011="RECORDED",ISNUMBER(H5011)),H5011,"")</x:f>
        <x:v>85.29</x:v>
      </x:c>
      <x:c r="P5011" s="34" t="str">
        <x:v>INCONCLUSIVE</x:v>
      </x:c>
      <x:c r="Q5011" s="34" t="str">
        <x:v>Feedback-Directed Random Test Generation/Result_Round2/Math_56/result.json</x:v>
      </x:c>
    </x:row>
    <x:row r="5012">
      <x:c r="A5012" s="34" t="str">
        <x:v>randoop</x:v>
      </x:c>
      <x:c r="B5012" s="34" t="str">
        <x:v>Math</x:v>
      </x:c>
      <x:c r="C5012" s="34" t="str">
        <x:v>Round2</x:v>
      </x:c>
      <x:c r="D5012" s="34" t="str">
        <x:v>Math_57</x:v>
      </x:c>
      <x:c r="E5012" s="34" t="str">
        <x:v>Condition</x:v>
      </x:c>
      <x:c r="F5012" s="34" t="n">
        <x:v>54</x:v>
      </x:c>
      <x:c r="G5012" s="34" t="str">
        <x:v>RECORDED</x:v>
      </x:c>
      <x:c r="H5012" s="38" t="n">
        <x:f>IF(ISNUMBER('Data'!I1596),'Data'!I1596*100,"")</x:f>
        <x:v>0</x:v>
      </x:c>
      <x:c r="I5012" s="34" t="str">
        <x:v>PASS</x:v>
      </x:c>
      <x:c r="J5012" s="34" t="str">
        <x:v>PASS</x:v>
      </x:c>
      <x:c r="K5012" s="34" t="str">
        <x:v>PASS</x:v>
      </x:c>
      <x:c r="L5012" s="34" t="str">
        <x:v>PASS</x:v>
      </x:c>
      <x:c r="M5012" s="34" t="str">
        <x:v>numeric coverage for applicable metric</x:v>
      </x:c>
      <x:c r="N5012" s="34" t="str">
        <x:v>Feedback-Directed Random Test Generation/Result_Round2/Math_57/result.json</x:v>
      </x:c>
      <x:c r="O5012" s="38" t="n">
        <x:f>IF(AND(G5012="RECORDED",ISNUMBER(H5012)),H5012,"")</x:f>
        <x:v>0</x:v>
      </x:c>
      <x:c r="P5012" s="34" t="str">
        <x:v>NOT_REVEALING</x:v>
      </x:c>
      <x:c r="Q5012" s="34" t="str">
        <x:v>Feedback-Directed Random Test Generation/Result_Round2/Math_57/result.json</x:v>
      </x:c>
    </x:row>
    <x:row r="5013">
      <x:c r="A5013" s="34" t="str">
        <x:v>randoop</x:v>
      </x:c>
      <x:c r="B5013" s="34" t="str">
        <x:v>Math</x:v>
      </x:c>
      <x:c r="C5013" s="34" t="str">
        <x:v>Round2</x:v>
      </x:c>
      <x:c r="D5013" s="34" t="str">
        <x:v>Math_58</x:v>
      </x:c>
      <x:c r="E5013" s="34" t="str">
        <x:v>Condition</x:v>
      </x:c>
      <x:c r="F5013" s="34" t="n">
        <x:v>58</x:v>
      </x:c>
      <x:c r="G5013" s="34" t="str">
        <x:v>RECORDED</x:v>
      </x:c>
      <x:c r="H5013" s="38" t="n">
        <x:f>IF(ISNUMBER('Data'!I1597),'Data'!I1597*100,"")</x:f>
        <x:v>96.55</x:v>
      </x:c>
      <x:c r="I5013" s="34" t="str">
        <x:v>PASS</x:v>
      </x:c>
      <x:c r="J5013" s="34" t="str">
        <x:v>PASS</x:v>
      </x:c>
      <x:c r="K5013" s="34" t="str">
        <x:v>PASS</x:v>
      </x:c>
      <x:c r="L5013" s="34" t="str">
        <x:v>PASS</x:v>
      </x:c>
      <x:c r="M5013" s="34" t="str">
        <x:v>numeric coverage for applicable metric</x:v>
      </x:c>
      <x:c r="N5013" s="34" t="str">
        <x:v>Feedback-Directed Random Test Generation/Result_Round2/Math_58/result.json</x:v>
      </x:c>
      <x:c r="O5013" s="38" t="n">
        <x:f>IF(AND(G5013="RECORDED",ISNUMBER(H5013)),H5013,"")</x:f>
        <x:v>96.55</x:v>
      </x:c>
      <x:c r="P5013" s="34" t="str">
        <x:v>NOT_REVEALING</x:v>
      </x:c>
      <x:c r="Q5013" s="34" t="str">
        <x:v>Feedback-Directed Random Test Generation/Result_Round2/Math_58/result.json</x:v>
      </x:c>
    </x:row>
    <x:row r="5014">
      <x:c r="A5014" s="34" t="str">
        <x:v>randoop</x:v>
      </x:c>
      <x:c r="B5014" s="34" t="str">
        <x:v>Math</x:v>
      </x:c>
      <x:c r="C5014" s="34" t="str">
        <x:v>Round2</x:v>
      </x:c>
      <x:c r="D5014" s="34" t="str">
        <x:v>Math_59</x:v>
      </x:c>
      <x:c r="E5014" s="34" t="str">
        <x:v>Condition</x:v>
      </x:c>
      <x:c r="F5014" s="34" t="n">
        <x:v>652</x:v>
      </x:c>
      <x:c r="G5014" s="34" t="str">
        <x:v>RECORDED</x:v>
      </x:c>
      <x:c r="H5014" s="38" t="n">
        <x:f>IF(ISNUMBER('Data'!I1598),'Data'!I1598*100,"")</x:f>
        <x:v>78.53</x:v>
      </x:c>
      <x:c r="I5014" s="34" t="str">
        <x:v>PASS</x:v>
      </x:c>
      <x:c r="J5014" s="34" t="str">
        <x:v>PASS</x:v>
      </x:c>
      <x:c r="K5014" s="34" t="str">
        <x:v>PASS</x:v>
      </x:c>
      <x:c r="L5014" s="34" t="str">
        <x:v>PASS</x:v>
      </x:c>
      <x:c r="M5014" s="34" t="str">
        <x:v>numeric coverage for applicable metric</x:v>
      </x:c>
      <x:c r="N5014" s="34" t="str">
        <x:v>Feedback-Directed Random Test Generation/Result_Round2/Math_59/result.json</x:v>
      </x:c>
      <x:c r="O5014" s="38" t="n">
        <x:f>IF(AND(G5014="RECORDED",ISNUMBER(H5014)),H5014,"")</x:f>
        <x:v>78.53</x:v>
      </x:c>
      <x:c r="P5014" s="34" t="str">
        <x:v>INCONCLUSIVE</x:v>
      </x:c>
      <x:c r="Q5014" s="34" t="str">
        <x:v>Feedback-Directed Random Test Generation/Result_Round2/Math_59/result.json</x:v>
      </x:c>
    </x:row>
    <x:row r="5015">
      <x:c r="A5015" s="34" t="str">
        <x:v>randoop</x:v>
      </x:c>
      <x:c r="B5015" s="34" t="str">
        <x:v>Math</x:v>
      </x:c>
      <x:c r="C5015" s="34" t="str">
        <x:v>Round2</x:v>
      </x:c>
      <x:c r="D5015" s="34" t="str">
        <x:v>Math_60</x:v>
      </x:c>
      <x:c r="E5015" s="34" t="str">
        <x:v>Condition</x:v>
      </x:c>
      <x:c r="F5015" s="34" t="n">
        <x:v>0</x:v>
      </x:c>
      <x:c r="G5015" s="34" t="str">
        <x:v>A</x:v>
      </x:c>
      <x:c r="H5015" s="38" t="str">
        <x:f>IF(ISNUMBER('Data'!I1599),'Data'!I1599*100,"")</x:f>
      </x:c>
      <x:c r="I5015" s="34"/>
      <x:c r="J5015" s="34"/>
      <x:c r="K5015" s="34"/>
      <x:c r="L5015" s="34" t="str">
        <x:v>NOT_RUN</x:v>
      </x:c>
      <x:c r="M5015" s="34" t="str">
        <x:v>Latest same-round generation failed; older files/results are excluded</x:v>
      </x:c>
      <x:c r="N5015" s="34" t="str">
        <x:v>Feedback-Directed Random Test Generation/report_Round2.csv</x:v>
      </x:c>
      <x:c r="O5015" s="38" t="str">
        <x:f>IF(AND(G5015="RECORDED",ISNUMBER(H5015)),H5015,"")</x:f>
      </x:c>
      <x:c r="P5015" s="34" t="str">
        <x:v>FAIL</x:v>
      </x:c>
      <x:c r="Q5015" s="34"/>
    </x:row>
    <x:row r="5016">
      <x:c r="A5016" s="34" t="str">
        <x:v>randoop</x:v>
      </x:c>
      <x:c r="B5016" s="34" t="str">
        <x:v>Math</x:v>
      </x:c>
      <x:c r="C5016" s="34" t="str">
        <x:v>Round2</x:v>
      </x:c>
      <x:c r="D5016" s="34" t="str">
        <x:v>Math_61</x:v>
      </x:c>
      <x:c r="E5016" s="34" t="str">
        <x:v>Condition</x:v>
      </x:c>
      <x:c r="F5016" s="34" t="n">
        <x:v>12</x:v>
      </x:c>
      <x:c r="G5016" s="34" t="str">
        <x:v>RECORDED</x:v>
      </x:c>
      <x:c r="H5016" s="38" t="n">
        <x:f>IF(ISNUMBER('Data'!I1600),'Data'!I1600*100,"")</x:f>
        <x:v>100</x:v>
      </x:c>
      <x:c r="I5016" s="34" t="str">
        <x:v>PASS</x:v>
      </x:c>
      <x:c r="J5016" s="34" t="str">
        <x:v>PASS</x:v>
      </x:c>
      <x:c r="K5016" s="34" t="str">
        <x:v>PASS</x:v>
      </x:c>
      <x:c r="L5016" s="34" t="str">
        <x:v>FAIL</x:v>
      </x:c>
      <x:c r="M5016" s="34" t="str">
        <x:v>numeric coverage for applicable metric</x:v>
      </x:c>
      <x:c r="N5016" s="34" t="str">
        <x:v>Feedback-Directed Random Test Generation/Result_Round2/Math_61/result.json</x:v>
      </x:c>
      <x:c r="O5016" s="38" t="n">
        <x:f>IF(AND(G5016="RECORDED",ISNUMBER(H5016)),H5016,"")</x:f>
        <x:v>100</x:v>
      </x:c>
      <x:c r="P5016" s="34" t="str">
        <x:v>INCONCLUSIVE</x:v>
      </x:c>
      <x:c r="Q5016" s="34" t="str">
        <x:v>Feedback-Directed Random Test Generation/Result_Round2/Math_61/result.json</x:v>
      </x:c>
    </x:row>
    <x:row r="5017">
      <x:c r="A5017" s="34" t="str">
        <x:v>randoop</x:v>
      </x:c>
      <x:c r="B5017" s="34" t="str">
        <x:v>Math</x:v>
      </x:c>
      <x:c r="C5017" s="34" t="str">
        <x:v>Round2</x:v>
      </x:c>
      <x:c r="D5017" s="34" t="str">
        <x:v>Math_62</x:v>
      </x:c>
      <x:c r="E5017" s="34" t="str">
        <x:v>Condition</x:v>
      </x:c>
      <x:c r="F5017" s="34" t="n">
        <x:v>18</x:v>
      </x:c>
      <x:c r="G5017" s="34" t="str">
        <x:v>RECORDED</x:v>
      </x:c>
      <x:c r="H5017" s="38" t="n">
        <x:f>IF(ISNUMBER('Data'!I1601),'Data'!I1601*100,"")</x:f>
        <x:v>0</x:v>
      </x:c>
      <x:c r="I5017" s="34" t="str">
        <x:v>PASS</x:v>
      </x:c>
      <x:c r="J5017" s="34" t="str">
        <x:v>PASS</x:v>
      </x:c>
      <x:c r="K5017" s="34" t="str">
        <x:v>PASS</x:v>
      </x:c>
      <x:c r="L5017" s="34" t="str">
        <x:v>PASS</x:v>
      </x:c>
      <x:c r="M5017" s="34" t="str">
        <x:v>numeric coverage for applicable metric</x:v>
      </x:c>
      <x:c r="N5017" s="34" t="str">
        <x:v>Feedback-Directed Random Test Generation/Result_Round2/Math_62/result.json</x:v>
      </x:c>
      <x:c r="O5017" s="38" t="n">
        <x:f>IF(AND(G5017="RECORDED",ISNUMBER(H5017)),H5017,"")</x:f>
        <x:v>0</x:v>
      </x:c>
      <x:c r="P5017" s="34" t="str">
        <x:v>NOT_REVEALING</x:v>
      </x:c>
      <x:c r="Q5017" s="34" t="str">
        <x:v>Feedback-Directed Random Test Generation/Result_Round2/Math_62/result.json</x:v>
      </x:c>
    </x:row>
    <x:row r="5018">
      <x:c r="A5018" s="34" t="str">
        <x:v>randoop</x:v>
      </x:c>
      <x:c r="B5018" s="34" t="str">
        <x:v>Math</x:v>
      </x:c>
      <x:c r="C5018" s="34" t="str">
        <x:v>Round2</x:v>
      </x:c>
      <x:c r="D5018" s="34" t="str">
        <x:v>Math_63</x:v>
      </x:c>
      <x:c r="E5018" s="34" t="str">
        <x:v>Condition</x:v>
      </x:c>
      <x:c r="F5018" s="34" t="n">
        <x:v>0</x:v>
      </x:c>
      <x:c r="G5018" s="34" t="str">
        <x:v>A</x:v>
      </x:c>
      <x:c r="H5018" s="38" t="str">
        <x:f>IF(ISNUMBER('Data'!I1602),'Data'!I1602*100,"")</x:f>
      </x:c>
      <x:c r="I5018" s="34"/>
      <x:c r="J5018" s="34"/>
      <x:c r="K5018" s="34"/>
      <x:c r="L5018" s="34" t="str">
        <x:v>NOT_RUN</x:v>
      </x:c>
      <x:c r="M5018" s="34" t="str">
        <x:v>Latest same-round generation failed; older files/results are excluded</x:v>
      </x:c>
      <x:c r="N5018" s="34" t="str">
        <x:v>Feedback-Directed Random Test Generation/report_Round2.csv</x:v>
      </x:c>
      <x:c r="O5018" s="38" t="str">
        <x:f>IF(AND(G5018="RECORDED",ISNUMBER(H5018)),H5018,"")</x:f>
      </x:c>
      <x:c r="P5018" s="34" t="str">
        <x:v>FAIL</x:v>
      </x:c>
      <x:c r="Q5018" s="34"/>
    </x:row>
    <x:row r="5019">
      <x:c r="A5019" s="34" t="str">
        <x:v>randoop</x:v>
      </x:c>
      <x:c r="B5019" s="34" t="str">
        <x:v>Math</x:v>
      </x:c>
      <x:c r="C5019" s="34" t="str">
        <x:v>Round2</x:v>
      </x:c>
      <x:c r="D5019" s="34" t="str">
        <x:v>Math_64</x:v>
      </x:c>
      <x:c r="E5019" s="34" t="str">
        <x:v>Condition</x:v>
      </x:c>
      <x:c r="F5019" s="34" t="n">
        <x:v>200</x:v>
      </x:c>
      <x:c r="G5019" s="34" t="str">
        <x:v>RECORDED</x:v>
      </x:c>
      <x:c r="H5019" s="38" t="n">
        <x:f>IF(ISNUMBER('Data'!I1603),'Data'!I1603*100,"")</x:f>
        <x:v>0</x:v>
      </x:c>
      <x:c r="I5019" s="34" t="str">
        <x:v>PASS</x:v>
      </x:c>
      <x:c r="J5019" s="34" t="str">
        <x:v>PASS</x:v>
      </x:c>
      <x:c r="K5019" s="34" t="str">
        <x:v>PASS</x:v>
      </x:c>
      <x:c r="L5019" s="34" t="str">
        <x:v>FAIL</x:v>
      </x:c>
      <x:c r="M5019" s="34" t="str">
        <x:v>numeric coverage for applicable metric</x:v>
      </x:c>
      <x:c r="N5019" s="34" t="str">
        <x:v>Feedback-Directed Random Test Generation/Result_Round2/Math_64/result.json</x:v>
      </x:c>
      <x:c r="O5019" s="38" t="n">
        <x:f>IF(AND(G5019="RECORDED",ISNUMBER(H5019)),H5019,"")</x:f>
        <x:v>0</x:v>
      </x:c>
      <x:c r="P5019" s="34" t="str">
        <x:v>INCONCLUSIVE</x:v>
      </x:c>
      <x:c r="Q5019" s="34" t="str">
        <x:v>Feedback-Directed Random Test Generation/Result_Round2/Math_64/result.json</x:v>
      </x:c>
    </x:row>
    <x:row r="5020">
      <x:c r="A5020" s="34" t="str">
        <x:v>randoop</x:v>
      </x:c>
      <x:c r="B5020" s="34" t="str">
        <x:v>Math</x:v>
      </x:c>
      <x:c r="C5020" s="34" t="str">
        <x:v>Round2</x:v>
      </x:c>
      <x:c r="D5020" s="34" t="str">
        <x:v>Math_65</x:v>
      </x:c>
      <x:c r="E5020" s="34" t="str">
        <x:v>Condition</x:v>
      </x:c>
      <x:c r="F5020" s="34" t="n">
        <x:v>30</x:v>
      </x:c>
      <x:c r="G5020" s="34" t="str">
        <x:v>RECORDED</x:v>
      </x:c>
      <x:c r="H5020" s="38" t="n">
        <x:f>IF(ISNUMBER('Data'!I1604),'Data'!I1604*100,"")</x:f>
        <x:v>0</x:v>
      </x:c>
      <x:c r="I5020" s="34" t="str">
        <x:v>PASS</x:v>
      </x:c>
      <x:c r="J5020" s="34" t="str">
        <x:v>PASS</x:v>
      </x:c>
      <x:c r="K5020" s="34" t="str">
        <x:v>PASS</x:v>
      </x:c>
      <x:c r="L5020" s="34" t="str">
        <x:v>PASS</x:v>
      </x:c>
      <x:c r="M5020" s="34" t="str">
        <x:v>numeric coverage for applicable metric</x:v>
      </x:c>
      <x:c r="N5020" s="34" t="str">
        <x:v>Feedback-Directed Random Test Generation/Result_Round2/Math_65/result.json</x:v>
      </x:c>
      <x:c r="O5020" s="38" t="n">
        <x:f>IF(AND(G5020="RECORDED",ISNUMBER(H5020)),H5020,"")</x:f>
        <x:v>0</x:v>
      </x:c>
      <x:c r="P5020" s="34" t="str">
        <x:v>NOT_REVEALING</x:v>
      </x:c>
      <x:c r="Q5020" s="34" t="str">
        <x:v>Feedback-Directed Random Test Generation/Result_Round2/Math_65/result.json</x:v>
      </x:c>
    </x:row>
    <x:row r="5021">
      <x:c r="A5021" s="34" t="str">
        <x:v>randoop</x:v>
      </x:c>
      <x:c r="B5021" s="34" t="str">
        <x:v>Math</x:v>
      </x:c>
      <x:c r="C5021" s="34" t="str">
        <x:v>Round2</x:v>
      </x:c>
      <x:c r="D5021" s="34" t="str">
        <x:v>Math_66</x:v>
      </x:c>
      <x:c r="E5021" s="34" t="str">
        <x:v>Condition</x:v>
      </x:c>
      <x:c r="F5021" s="34" t="n">
        <x:v>58</x:v>
      </x:c>
      <x:c r="G5021" s="34" t="str">
        <x:v>RECORDED</x:v>
      </x:c>
      <x:c r="H5021" s="38" t="n">
        <x:f>IF(ISNUMBER('Data'!I1605),'Data'!I1605*100,"")</x:f>
        <x:v>12.07</x:v>
      </x:c>
      <x:c r="I5021" s="34" t="str">
        <x:v>PASS</x:v>
      </x:c>
      <x:c r="J5021" s="34" t="str">
        <x:v>PASS</x:v>
      </x:c>
      <x:c r="K5021" s="34" t="str">
        <x:v>PASS</x:v>
      </x:c>
      <x:c r="L5021" s="34" t="str">
        <x:v>PASS</x:v>
      </x:c>
      <x:c r="M5021" s="34" t="str">
        <x:v>numeric coverage for applicable metric</x:v>
      </x:c>
      <x:c r="N5021" s="34" t="str">
        <x:v>Feedback-Directed Random Test Generation/Result_Round2/Math_66/result.json</x:v>
      </x:c>
      <x:c r="O5021" s="38" t="n">
        <x:f>IF(AND(G5021="RECORDED",ISNUMBER(H5021)),H5021,"")</x:f>
        <x:v>12.07</x:v>
      </x:c>
      <x:c r="P5021" s="34" t="str">
        <x:v>INCONCLUSIVE</x:v>
      </x:c>
      <x:c r="Q5021" s="34" t="str">
        <x:v>Feedback-Directed Random Test Generation/Result_Round2/Math_66/result.json</x:v>
      </x:c>
    </x:row>
    <x:row r="5022">
      <x:c r="A5022" s="34" t="str">
        <x:v>randoop</x:v>
      </x:c>
      <x:c r="B5022" s="34" t="str">
        <x:v>Math</x:v>
      </x:c>
      <x:c r="C5022" s="34" t="str">
        <x:v>Round2</x:v>
      </x:c>
      <x:c r="D5022" s="34" t="str">
        <x:v>Math_67</x:v>
      </x:c>
      <x:c r="E5022" s="34" t="str">
        <x:v>Condition</x:v>
      </x:c>
      <x:c r="F5022" s="34" t="n">
        <x:v>34</x:v>
      </x:c>
      <x:c r="G5022" s="34" t="str">
        <x:v>RECORDED</x:v>
      </x:c>
      <x:c r="H5022" s="38" t="n">
        <x:f>IF(ISNUMBER('Data'!I1606),'Data'!I1606*100,"")</x:f>
        <x:v>20.59</x:v>
      </x:c>
      <x:c r="I5022" s="34" t="str">
        <x:v>PASS</x:v>
      </x:c>
      <x:c r="J5022" s="34" t="str">
        <x:v>PASS</x:v>
      </x:c>
      <x:c r="K5022" s="34" t="str">
        <x:v>PASS</x:v>
      </x:c>
      <x:c r="L5022" s="34" t="str">
        <x:v>PASS</x:v>
      </x:c>
      <x:c r="M5022" s="34" t="str">
        <x:v>numeric coverage for applicable metric</x:v>
      </x:c>
      <x:c r="N5022" s="34" t="str">
        <x:v>Feedback-Directed Random Test Generation/Result_Round2/Math_67/result.json</x:v>
      </x:c>
      <x:c r="O5022" s="38" t="n">
        <x:f>IF(AND(G5022="RECORDED",ISNUMBER(H5022)),H5022,"")</x:f>
        <x:v>20.59</x:v>
      </x:c>
      <x:c r="P5022" s="34" t="str">
        <x:v>NOT_REVEALING</x:v>
      </x:c>
      <x:c r="Q5022" s="34" t="str">
        <x:v>Feedback-Directed Random Test Generation/Result_Round2/Math_67/result.json</x:v>
      </x:c>
    </x:row>
    <x:row r="5023">
      <x:c r="A5023" s="34" t="str">
        <x:v>randoop</x:v>
      </x:c>
      <x:c r="B5023" s="34" t="str">
        <x:v>Math</x:v>
      </x:c>
      <x:c r="C5023" s="34" t="str">
        <x:v>Round2</x:v>
      </x:c>
      <x:c r="D5023" s="34" t="str">
        <x:v>Math_68</x:v>
      </x:c>
      <x:c r="E5023" s="34" t="str">
        <x:v>Condition</x:v>
      </x:c>
      <x:c r="F5023" s="34" t="n">
        <x:v>196</x:v>
      </x:c>
      <x:c r="G5023" s="34" t="str">
        <x:v>RECORDED</x:v>
      </x:c>
      <x:c r="H5023" s="38" t="n">
        <x:f>IF(ISNUMBER('Data'!I1607),'Data'!I1607*100,"")</x:f>
        <x:v>0</x:v>
      </x:c>
      <x:c r="I5023" s="34" t="str">
        <x:v>PASS</x:v>
      </x:c>
      <x:c r="J5023" s="34" t="str">
        <x:v>PASS</x:v>
      </x:c>
      <x:c r="K5023" s="34" t="str">
        <x:v>PASS</x:v>
      </x:c>
      <x:c r="L5023" s="34" t="str">
        <x:v>FAIL</x:v>
      </x:c>
      <x:c r="M5023" s="34" t="str">
        <x:v>numeric coverage for applicable metric</x:v>
      </x:c>
      <x:c r="N5023" s="34" t="str">
        <x:v>Feedback-Directed Random Test Generation/Result_Round2/Math_68/result.json</x:v>
      </x:c>
      <x:c r="O5023" s="38" t="n">
        <x:f>IF(AND(G5023="RECORDED",ISNUMBER(H5023)),H5023,"")</x:f>
        <x:v>0</x:v>
      </x:c>
      <x:c r="P5023" s="34" t="str">
        <x:v>INCONCLUSIVE</x:v>
      </x:c>
      <x:c r="Q5023" s="34" t="str">
        <x:v>Feedback-Directed Random Test Generation/Result_Round2/Math_68/result.json</x:v>
      </x:c>
    </x:row>
    <x:row r="5024">
      <x:c r="A5024" s="34" t="str">
        <x:v>randoop</x:v>
      </x:c>
      <x:c r="B5024" s="34" t="str">
        <x:v>Math</x:v>
      </x:c>
      <x:c r="C5024" s="34" t="str">
        <x:v>Round2</x:v>
      </x:c>
      <x:c r="D5024" s="34" t="str">
        <x:v>Math_69</x:v>
      </x:c>
      <x:c r="E5024" s="34" t="str">
        <x:v>Condition</x:v>
      </x:c>
      <x:c r="F5024" s="34" t="n">
        <x:v>30</x:v>
      </x:c>
      <x:c r="G5024" s="34" t="str">
        <x:v>RECORDED</x:v>
      </x:c>
      <x:c r="H5024" s="38" t="n">
        <x:f>IF(ISNUMBER('Data'!I1608),'Data'!I1608*100,"")</x:f>
        <x:v>93.33</x:v>
      </x:c>
      <x:c r="I5024" s="34" t="str">
        <x:v>PASS</x:v>
      </x:c>
      <x:c r="J5024" s="34" t="str">
        <x:v>PASS</x:v>
      </x:c>
      <x:c r="K5024" s="34" t="str">
        <x:v>PASS</x:v>
      </x:c>
      <x:c r="L5024" s="34" t="str">
        <x:v>FAIL</x:v>
      </x:c>
      <x:c r="M5024" s="34" t="str">
        <x:v>numeric coverage for applicable metric</x:v>
      </x:c>
      <x:c r="N5024" s="34" t="str">
        <x:v>Feedback-Directed Random Test Generation/Result_Round2/Math_69/result.json</x:v>
      </x:c>
      <x:c r="O5024" s="38" t="n">
        <x:f>IF(AND(G5024="RECORDED",ISNUMBER(H5024)),H5024,"")</x:f>
        <x:v>93.33</x:v>
      </x:c>
      <x:c r="P5024" s="34" t="str">
        <x:v>INCONCLUSIVE</x:v>
      </x:c>
      <x:c r="Q5024" s="34" t="str">
        <x:v>Feedback-Directed Random Test Generation/Result_Round2/Math_69/result.json</x:v>
      </x:c>
    </x:row>
    <x:row r="5025">
      <x:c r="A5025" s="34" t="str">
        <x:v>randoop</x:v>
      </x:c>
      <x:c r="B5025" s="34" t="str">
        <x:v>Math</x:v>
      </x:c>
      <x:c r="C5025" s="34" t="str">
        <x:v>Round2</x:v>
      </x:c>
      <x:c r="D5025" s="34" t="str">
        <x:v>Math_70</x:v>
      </x:c>
      <x:c r="E5025" s="34" t="str">
        <x:v>Condition</x:v>
      </x:c>
      <x:c r="F5025" s="34" t="n">
        <x:v>6</x:v>
      </x:c>
      <x:c r="G5025" s="34" t="str">
        <x:v>RECORDED</x:v>
      </x:c>
      <x:c r="H5025" s="38" t="n">
        <x:f>IF(ISNUMBER('Data'!I1609),'Data'!I1609*100,"")</x:f>
        <x:v>33.33</x:v>
      </x:c>
      <x:c r="I5025" s="34" t="str">
        <x:v>PASS</x:v>
      </x:c>
      <x:c r="J5025" s="34" t="str">
        <x:v>PASS</x:v>
      </x:c>
      <x:c r="K5025" s="34" t="str">
        <x:v>PASS</x:v>
      </x:c>
      <x:c r="L5025" s="34" t="str">
        <x:v>FAIL</x:v>
      </x:c>
      <x:c r="M5025" s="34" t="str">
        <x:v>numeric coverage for applicable metric</x:v>
      </x:c>
      <x:c r="N5025" s="34" t="str">
        <x:v>Feedback-Directed Random Test Generation/Result_Round2/Math_70/result.json</x:v>
      </x:c>
      <x:c r="O5025" s="38" t="n">
        <x:f>IF(AND(G5025="RECORDED",ISNUMBER(H5025)),H5025,"")</x:f>
        <x:v>33.33</x:v>
      </x:c>
      <x:c r="P5025" s="34" t="str">
        <x:v>INCONCLUSIVE</x:v>
      </x:c>
      <x:c r="Q5025" s="34" t="str">
        <x:v>Feedback-Directed Random Test Generation/Result_Round2/Math_70/result.json</x:v>
      </x:c>
    </x:row>
    <x:row r="5026">
      <x:c r="A5026" s="34" t="str">
        <x:v>randoop</x:v>
      </x:c>
      <x:c r="B5026" s="34" t="str">
        <x:v>Math</x:v>
      </x:c>
      <x:c r="C5026" s="34" t="str">
        <x:v>Round2</x:v>
      </x:c>
      <x:c r="D5026" s="34" t="str">
        <x:v>Math_71</x:v>
      </x:c>
      <x:c r="E5026" s="34" t="str">
        <x:v>Condition</x:v>
      </x:c>
      <x:c r="F5026" s="34" t="n">
        <x:v>98</x:v>
      </x:c>
      <x:c r="G5026" s="34" t="str">
        <x:v>RECORDED</x:v>
      </x:c>
      <x:c r="H5026" s="38" t="n">
        <x:f>IF(ISNUMBER('Data'!I1610),'Data'!I1610*100,"")</x:f>
        <x:v>0</x:v>
      </x:c>
      <x:c r="I5026" s="34" t="str">
        <x:v>PASS</x:v>
      </x:c>
      <x:c r="J5026" s="34" t="str">
        <x:v>PASS</x:v>
      </x:c>
      <x:c r="K5026" s="34" t="str">
        <x:v>PASS</x:v>
      </x:c>
      <x:c r="L5026" s="34" t="str">
        <x:v>PASS</x:v>
      </x:c>
      <x:c r="M5026" s="34" t="str">
        <x:v>numeric coverage for applicable metric</x:v>
      </x:c>
      <x:c r="N5026" s="34" t="str">
        <x:v>Feedback-Directed Random Test Generation/Result_Round2/Math_71/result.json</x:v>
      </x:c>
      <x:c r="O5026" s="38" t="n">
        <x:f>IF(AND(G5026="RECORDED",ISNUMBER(H5026)),H5026,"")</x:f>
        <x:v>0</x:v>
      </x:c>
      <x:c r="P5026" s="34" t="str">
        <x:v>NOT_REVEALING</x:v>
      </x:c>
      <x:c r="Q5026" s="34" t="str">
        <x:v>Feedback-Directed Random Test Generation/Result_Round2/Math_71/result.json</x:v>
      </x:c>
    </x:row>
    <x:row r="5027">
      <x:c r="A5027" s="34" t="str">
        <x:v>randoop</x:v>
      </x:c>
      <x:c r="B5027" s="34" t="str">
        <x:v>Math</x:v>
      </x:c>
      <x:c r="C5027" s="34" t="str">
        <x:v>Round2</x:v>
      </x:c>
      <x:c r="D5027" s="34" t="str">
        <x:v>Math_72</x:v>
      </x:c>
      <x:c r="E5027" s="34" t="str">
        <x:v>Condition</x:v>
      </x:c>
      <x:c r="F5027" s="34" t="n">
        <x:v>54</x:v>
      </x:c>
      <x:c r="G5027" s="34" t="str">
        <x:v>RECORDED</x:v>
      </x:c>
      <x:c r="H5027" s="38" t="n">
        <x:f>IF(ISNUMBER('Data'!I1611),'Data'!I1611*100,"")</x:f>
        <x:v>0</x:v>
      </x:c>
      <x:c r="I5027" s="34" t="str">
        <x:v>PASS</x:v>
      </x:c>
      <x:c r="J5027" s="34" t="str">
        <x:v>PASS</x:v>
      </x:c>
      <x:c r="K5027" s="34" t="str">
        <x:v>PASS</x:v>
      </x:c>
      <x:c r="L5027" s="34" t="str">
        <x:v>FAIL</x:v>
      </x:c>
      <x:c r="M5027" s="34" t="str">
        <x:v>numeric coverage for applicable metric</x:v>
      </x:c>
      <x:c r="N5027" s="34" t="str">
        <x:v>Feedback-Directed Random Test Generation/Result_Round2/Math_72/result.json</x:v>
      </x:c>
      <x:c r="O5027" s="38" t="n">
        <x:f>IF(AND(G5027="RECORDED",ISNUMBER(H5027)),H5027,"")</x:f>
        <x:v>0</x:v>
      </x:c>
      <x:c r="P5027" s="34" t="str">
        <x:v>INCONCLUSIVE</x:v>
      </x:c>
      <x:c r="Q5027" s="34" t="str">
        <x:v>Feedback-Directed Random Test Generation/Result_Round2/Math_72/result.json</x:v>
      </x:c>
    </x:row>
    <x:row r="5028">
      <x:c r="A5028" s="34" t="str">
        <x:v>randoop</x:v>
      </x:c>
      <x:c r="B5028" s="34" t="str">
        <x:v>Math</x:v>
      </x:c>
      <x:c r="C5028" s="34" t="str">
        <x:v>Round2</x:v>
      </x:c>
      <x:c r="D5028" s="34" t="str">
        <x:v>Math_73</x:v>
      </x:c>
      <x:c r="E5028" s="34" t="str">
        <x:v>Condition</x:v>
      </x:c>
      <x:c r="F5028" s="34" t="n">
        <x:v>52</x:v>
      </x:c>
      <x:c r="G5028" s="34" t="str">
        <x:v>RECORDED</x:v>
      </x:c>
      <x:c r="H5028" s="38" t="n">
        <x:f>IF(ISNUMBER('Data'!I1612),'Data'!I1612*100,"")</x:f>
        <x:v>0</x:v>
      </x:c>
      <x:c r="I5028" s="34" t="str">
        <x:v>PASS</x:v>
      </x:c>
      <x:c r="J5028" s="34" t="str">
        <x:v>PASS</x:v>
      </x:c>
      <x:c r="K5028" s="34" t="str">
        <x:v>PASS</x:v>
      </x:c>
      <x:c r="L5028" s="34" t="str">
        <x:v>FAIL</x:v>
      </x:c>
      <x:c r="M5028" s="34" t="str">
        <x:v>numeric coverage for applicable metric</x:v>
      </x:c>
      <x:c r="N5028" s="34" t="str">
        <x:v>Feedback-Directed Random Test Generation/Result_Round2/Math_73/result.json</x:v>
      </x:c>
      <x:c r="O5028" s="38" t="n">
        <x:f>IF(AND(G5028="RECORDED",ISNUMBER(H5028)),H5028,"")</x:f>
        <x:v>0</x:v>
      </x:c>
      <x:c r="P5028" s="34" t="str">
        <x:v>INCONCLUSIVE</x:v>
      </x:c>
      <x:c r="Q5028" s="34" t="str">
        <x:v>Feedback-Directed Random Test Generation/Result_Round2/Math_73/result.json</x:v>
      </x:c>
    </x:row>
    <x:row r="5029">
      <x:c r="A5029" s="34" t="str">
        <x:v>randoop</x:v>
      </x:c>
      <x:c r="B5029" s="34" t="str">
        <x:v>Math</x:v>
      </x:c>
      <x:c r="C5029" s="34" t="str">
        <x:v>Round2</x:v>
      </x:c>
      <x:c r="D5029" s="34" t="str">
        <x:v>Math_74</x:v>
      </x:c>
      <x:c r="E5029" s="34" t="str">
        <x:v>Condition</x:v>
      </x:c>
      <x:c r="F5029" s="34" t="n">
        <x:v>54</x:v>
      </x:c>
      <x:c r="G5029" s="34" t="str">
        <x:v>RECORDED</x:v>
      </x:c>
      <x:c r="H5029" s="38" t="n">
        <x:f>IF(ISNUMBER('Data'!I1613),'Data'!I1613*100,"")</x:f>
        <x:v>0</x:v>
      </x:c>
      <x:c r="I5029" s="34" t="str">
        <x:v>PASS</x:v>
      </x:c>
      <x:c r="J5029" s="34" t="str">
        <x:v>PASS</x:v>
      </x:c>
      <x:c r="K5029" s="34" t="str">
        <x:v>PASS</x:v>
      </x:c>
      <x:c r="L5029" s="34" t="str">
        <x:v>PASS</x:v>
      </x:c>
      <x:c r="M5029" s="34" t="str">
        <x:v>numeric coverage for applicable metric</x:v>
      </x:c>
      <x:c r="N5029" s="34" t="str">
        <x:v>Feedback-Directed Random Test Generation/Result_Round2/Math_74/result.json</x:v>
      </x:c>
      <x:c r="O5029" s="38" t="n">
        <x:f>IF(AND(G5029="RECORDED",ISNUMBER(H5029)),H5029,"")</x:f>
        <x:v>0</x:v>
      </x:c>
      <x:c r="P5029" s="34" t="str">
        <x:v>NOT_REVEALING</x:v>
      </x:c>
      <x:c r="Q5029" s="34" t="str">
        <x:v>Feedback-Directed Random Test Generation/Result_Round2/Math_74/result.json</x:v>
      </x:c>
    </x:row>
    <x:row r="5030">
      <x:c r="A5030" s="34" t="str">
        <x:v>randoop</x:v>
      </x:c>
      <x:c r="B5030" s="34" t="str">
        <x:v>Math</x:v>
      </x:c>
      <x:c r="C5030" s="34" t="str">
        <x:v>Round2</x:v>
      </x:c>
      <x:c r="D5030" s="34" t="str">
        <x:v>Math_75</x:v>
      </x:c>
      <x:c r="E5030" s="34" t="str">
        <x:v>Condition</x:v>
      </x:c>
      <x:c r="F5030" s="34" t="n">
        <x:v>48</x:v>
      </x:c>
      <x:c r="G5030" s="34" t="str">
        <x:v>RECORDED</x:v>
      </x:c>
      <x:c r="H5030" s="38" t="n">
        <x:f>IF(ISNUMBER('Data'!I1614),'Data'!I1614*100,"")</x:f>
        <x:v>83.33</x:v>
      </x:c>
      <x:c r="I5030" s="34" t="str">
        <x:v>PASS</x:v>
      </x:c>
      <x:c r="J5030" s="34" t="str">
        <x:v>PASS</x:v>
      </x:c>
      <x:c r="K5030" s="34" t="str">
        <x:v>PASS</x:v>
      </x:c>
      <x:c r="L5030" s="34" t="str">
        <x:v>PASS</x:v>
      </x:c>
      <x:c r="M5030" s="34" t="str">
        <x:v>numeric coverage for applicable metric</x:v>
      </x:c>
      <x:c r="N5030" s="34" t="str">
        <x:v>Feedback-Directed Random Test Generation/Result_Round2/Math_75/result.json</x:v>
      </x:c>
      <x:c r="O5030" s="38" t="n">
        <x:f>IF(AND(G5030="RECORDED",ISNUMBER(H5030)),H5030,"")</x:f>
        <x:v>83.33</x:v>
      </x:c>
      <x:c r="P5030" s="34" t="str">
        <x:v>INCONCLUSIVE</x:v>
      </x:c>
      <x:c r="Q5030" s="34" t="str">
        <x:v>Feedback-Directed Random Test Generation/Result_Round2/Math_75/result.json</x:v>
      </x:c>
    </x:row>
    <x:row r="5031">
      <x:c r="A5031" s="34" t="str">
        <x:v>randoop</x:v>
      </x:c>
      <x:c r="B5031" s="34" t="str">
        <x:v>Math</x:v>
      </x:c>
      <x:c r="C5031" s="34" t="str">
        <x:v>Round2</x:v>
      </x:c>
      <x:c r="D5031" s="34" t="str">
        <x:v>Math_76</x:v>
      </x:c>
      <x:c r="E5031" s="34" t="str">
        <x:v>Condition</x:v>
      </x:c>
      <x:c r="F5031" s="34" t="n">
        <x:v>54</x:v>
      </x:c>
      <x:c r="G5031" s="34" t="str">
        <x:v>RECORDED</x:v>
      </x:c>
      <x:c r="H5031" s="38" t="n">
        <x:f>IF(ISNUMBER('Data'!I1615),'Data'!I1615*100,"")</x:f>
        <x:v>0</x:v>
      </x:c>
      <x:c r="I5031" s="34" t="str">
        <x:v>PASS</x:v>
      </x:c>
      <x:c r="J5031" s="34" t="str">
        <x:v>PASS</x:v>
      </x:c>
      <x:c r="K5031" s="34" t="str">
        <x:v>PASS</x:v>
      </x:c>
      <x:c r="L5031" s="34" t="str">
        <x:v>PASS</x:v>
      </x:c>
      <x:c r="M5031" s="34" t="str">
        <x:v>numeric coverage for applicable metric</x:v>
      </x:c>
      <x:c r="N5031" s="34" t="str">
        <x:v>Feedback-Directed Random Test Generation/Result_Round2/Math_76/result.json</x:v>
      </x:c>
      <x:c r="O5031" s="38" t="n">
        <x:f>IF(AND(G5031="RECORDED",ISNUMBER(H5031)),H5031,"")</x:f>
        <x:v>0</x:v>
      </x:c>
      <x:c r="P5031" s="34" t="str">
        <x:v>NOT_REVEALING</x:v>
      </x:c>
      <x:c r="Q5031" s="34" t="str">
        <x:v>Feedback-Directed Random Test Generation/Result_Round2/Math_76/result.json</x:v>
      </x:c>
    </x:row>
    <x:row r="5032">
      <x:c r="A5032" s="34" t="str">
        <x:v>randoop</x:v>
      </x:c>
      <x:c r="B5032" s="34" t="str">
        <x:v>Math</x:v>
      </x:c>
      <x:c r="C5032" s="34" t="str">
        <x:v>Round2</x:v>
      </x:c>
      <x:c r="D5032" s="34" t="str">
        <x:v>Math_77</x:v>
      </x:c>
      <x:c r="E5032" s="34" t="str">
        <x:v>Condition</x:v>
      </x:c>
      <x:c r="F5032" s="34" t="n">
        <x:v>338</x:v>
      </x:c>
      <x:c r="G5032" s="34" t="str">
        <x:v>RECORDED</x:v>
      </x:c>
      <x:c r="H5032" s="38" t="n">
        <x:f>IF(ISNUMBER('Data'!I1616),'Data'!I1616*100,"")</x:f>
        <x:v>70.41</x:v>
      </x:c>
      <x:c r="I5032" s="34" t="str">
        <x:v>PASS</x:v>
      </x:c>
      <x:c r="J5032" s="34" t="str">
        <x:v>PASS</x:v>
      </x:c>
      <x:c r="K5032" s="34" t="str">
        <x:v>PASS</x:v>
      </x:c>
      <x:c r="L5032" s="34" t="str">
        <x:v>FAIL</x:v>
      </x:c>
      <x:c r="M5032" s="34" t="str">
        <x:v>numeric coverage for applicable metric</x:v>
      </x:c>
      <x:c r="N5032" s="34" t="str">
        <x:v>Feedback-Directed Random Test Generation/Result_Round2/Math_77/result.json</x:v>
      </x:c>
      <x:c r="O5032" s="38" t="n">
        <x:f>IF(AND(G5032="RECORDED",ISNUMBER(H5032)),H5032,"")</x:f>
        <x:v>70.41</x:v>
      </x:c>
      <x:c r="P5032" s="34" t="str">
        <x:v>INCONCLUSIVE</x:v>
      </x:c>
      <x:c r="Q5032" s="34" t="str">
        <x:v>Feedback-Directed Random Test Generation/Result_Round2/Math_77/result.json</x:v>
      </x:c>
    </x:row>
    <x:row r="5033">
      <x:c r="A5033" s="34" t="str">
        <x:v>randoop</x:v>
      </x:c>
      <x:c r="B5033" s="34" t="str">
        <x:v>Math</x:v>
      </x:c>
      <x:c r="C5033" s="34" t="str">
        <x:v>Round2</x:v>
      </x:c>
      <x:c r="D5033" s="34" t="str">
        <x:v>Math_78</x:v>
      </x:c>
      <x:c r="E5033" s="34" t="str">
        <x:v>Condition</x:v>
      </x:c>
      <x:c r="F5033" s="34" t="n">
        <x:v>50</x:v>
      </x:c>
      <x:c r="G5033" s="34" t="str">
        <x:v>RECORDED</x:v>
      </x:c>
      <x:c r="H5033" s="38" t="n">
        <x:f>IF(ISNUMBER('Data'!I1617),'Data'!I1617*100,"")</x:f>
        <x:v>4</x:v>
      </x:c>
      <x:c r="I5033" s="34" t="str">
        <x:v>PASS</x:v>
      </x:c>
      <x:c r="J5033" s="34" t="str">
        <x:v>PASS</x:v>
      </x:c>
      <x:c r="K5033" s="34" t="str">
        <x:v>PASS</x:v>
      </x:c>
      <x:c r="L5033" s="34" t="str">
        <x:v>PASS</x:v>
      </x:c>
      <x:c r="M5033" s="34" t="str">
        <x:v>numeric coverage for applicable metric</x:v>
      </x:c>
      <x:c r="N5033" s="34" t="str">
        <x:v>Feedback-Directed Random Test Generation/Result_Round2/Math_78/result.json</x:v>
      </x:c>
      <x:c r="O5033" s="38" t="n">
        <x:f>IF(AND(G5033="RECORDED",ISNUMBER(H5033)),H5033,"")</x:f>
        <x:v>4</x:v>
      </x:c>
      <x:c r="P5033" s="34" t="str">
        <x:v>NOT_REVEALING</x:v>
      </x:c>
      <x:c r="Q5033" s="34" t="str">
        <x:v>Feedback-Directed Random Test Generation/Result_Round2/Math_78/result.json</x:v>
      </x:c>
    </x:row>
    <x:row r="5034">
      <x:c r="A5034" s="34" t="str">
        <x:v>randoop</x:v>
      </x:c>
      <x:c r="B5034" s="34" t="str">
        <x:v>Math</x:v>
      </x:c>
      <x:c r="C5034" s="34" t="str">
        <x:v>Round2</x:v>
      </x:c>
      <x:c r="D5034" s="34" t="str">
        <x:v>Math_79</x:v>
      </x:c>
      <x:c r="E5034" s="34" t="str">
        <x:v>Condition</x:v>
      </x:c>
      <x:c r="F5034" s="34" t="n">
        <x:v>345</x:v>
      </x:c>
      <x:c r="G5034" s="34" t="str">
        <x:v>RECORDED</x:v>
      </x:c>
      <x:c r="H5034" s="38" t="n">
        <x:f>IF(ISNUMBER('Data'!I1618),'Data'!I1618*100,"")</x:f>
        <x:v>73.33</x:v>
      </x:c>
      <x:c r="I5034" s="34" t="str">
        <x:v>PASS</x:v>
      </x:c>
      <x:c r="J5034" s="34" t="str">
        <x:v>PASS</x:v>
      </x:c>
      <x:c r="K5034" s="34" t="str">
        <x:v>PASS</x:v>
      </x:c>
      <x:c r="L5034" s="34" t="str">
        <x:v>PASS</x:v>
      </x:c>
      <x:c r="M5034" s="34" t="str">
        <x:v>numeric coverage for applicable metric</x:v>
      </x:c>
      <x:c r="N5034" s="34" t="str">
        <x:v>Feedback-Directed Random Test Generation/Result_Round2/Math_79/result.json</x:v>
      </x:c>
      <x:c r="O5034" s="38" t="n">
        <x:f>IF(AND(G5034="RECORDED",ISNUMBER(H5034)),H5034,"")</x:f>
        <x:v>73.33</x:v>
      </x:c>
      <x:c r="P5034" s="34" t="str">
        <x:v>NOT_REVEALING</x:v>
      </x:c>
      <x:c r="Q5034" s="34" t="str">
        <x:v>Feedback-Directed Random Test Generation/Result_Round2/Math_79/result.json</x:v>
      </x:c>
    </x:row>
    <x:row r="5035">
      <x:c r="A5035" s="34" t="str">
        <x:v>randoop</x:v>
      </x:c>
      <x:c r="B5035" s="34" t="str">
        <x:v>Math</x:v>
      </x:c>
      <x:c r="C5035" s="34" t="str">
        <x:v>Round2</x:v>
      </x:c>
      <x:c r="D5035" s="34" t="str">
        <x:v>Math_80</x:v>
      </x:c>
      <x:c r="E5035" s="34" t="str">
        <x:v>Condition</x:v>
      </x:c>
      <x:c r="F5035" s="34" t="n">
        <x:v>414</x:v>
      </x:c>
      <x:c r="G5035" s="34" t="str">
        <x:v>RECORDED</x:v>
      </x:c>
      <x:c r="H5035" s="38" t="n">
        <x:f>IF(ISNUMBER('Data'!I1619),'Data'!I1619*100,"")</x:f>
        <x:v>14.980000000000002</x:v>
      </x:c>
      <x:c r="I5035" s="34" t="str">
        <x:v>PASS</x:v>
      </x:c>
      <x:c r="J5035" s="34" t="str">
        <x:v>PASS</x:v>
      </x:c>
      <x:c r="K5035" s="34" t="str">
        <x:v>PASS</x:v>
      </x:c>
      <x:c r="L5035" s="34" t="str">
        <x:v>PASS</x:v>
      </x:c>
      <x:c r="M5035" s="34" t="str">
        <x:v>numeric coverage for applicable metric</x:v>
      </x:c>
      <x:c r="N5035" s="34" t="str">
        <x:v>Feedback-Directed Random Test Generation/Result_Round2/Math_80/result.json</x:v>
      </x:c>
      <x:c r="O5035" s="38" t="n">
        <x:f>IF(AND(G5035="RECORDED",ISNUMBER(H5035)),H5035,"")</x:f>
        <x:v>14.980000000000002</x:v>
      </x:c>
      <x:c r="P5035" s="34" t="str">
        <x:v>NOT_REVEALING</x:v>
      </x:c>
      <x:c r="Q5035" s="34" t="str">
        <x:v>Feedback-Directed Random Test Generation/Result_Round2/Math_80/result.json</x:v>
      </x:c>
    </x:row>
    <x:row r="5036">
      <x:c r="A5036" s="34" t="str">
        <x:v>randoop</x:v>
      </x:c>
      <x:c r="B5036" s="34" t="str">
        <x:v>Math</x:v>
      </x:c>
      <x:c r="C5036" s="34" t="str">
        <x:v>Round2</x:v>
      </x:c>
      <x:c r="D5036" s="34" t="str">
        <x:v>Math_81</x:v>
      </x:c>
      <x:c r="E5036" s="34" t="str">
        <x:v>Condition</x:v>
      </x:c>
      <x:c r="F5036" s="34" t="n">
        <x:v>414</x:v>
      </x:c>
      <x:c r="G5036" s="34" t="str">
        <x:v>RECORDED</x:v>
      </x:c>
      <x:c r="H5036" s="38" t="n">
        <x:f>IF(ISNUMBER('Data'!I1620),'Data'!I1620*100,"")</x:f>
        <x:v>14.980000000000002</x:v>
      </x:c>
      <x:c r="I5036" s="34" t="str">
        <x:v>PASS</x:v>
      </x:c>
      <x:c r="J5036" s="34" t="str">
        <x:v>PASS</x:v>
      </x:c>
      <x:c r="K5036" s="34" t="str">
        <x:v>PASS</x:v>
      </x:c>
      <x:c r="L5036" s="34" t="str">
        <x:v>PASS</x:v>
      </x:c>
      <x:c r="M5036" s="34" t="str">
        <x:v>numeric coverage for applicable metric</x:v>
      </x:c>
      <x:c r="N5036" s="34" t="str">
        <x:v>Feedback-Directed Random Test Generation/Result_Round2/Math_81/result.json</x:v>
      </x:c>
      <x:c r="O5036" s="38" t="n">
        <x:f>IF(AND(G5036="RECORDED",ISNUMBER(H5036)),H5036,"")</x:f>
        <x:v>14.980000000000002</x:v>
      </x:c>
      <x:c r="P5036" s="34" t="str">
        <x:v>NOT_REVEALING</x:v>
      </x:c>
      <x:c r="Q5036" s="34" t="str">
        <x:v>Feedback-Directed Random Test Generation/Result_Round2/Math_81/result.json</x:v>
      </x:c>
    </x:row>
    <x:row r="5037">
      <x:c r="A5037" s="34" t="str">
        <x:v>randoop</x:v>
      </x:c>
      <x:c r="B5037" s="34" t="str">
        <x:v>Math</x:v>
      </x:c>
      <x:c r="C5037" s="34" t="str">
        <x:v>Round2</x:v>
      </x:c>
      <x:c r="D5037" s="34" t="str">
        <x:v>Math_82</x:v>
      </x:c>
      <x:c r="E5037" s="34" t="str">
        <x:v>Condition</x:v>
      </x:c>
      <x:c r="F5037" s="34" t="n">
        <x:v>36</x:v>
      </x:c>
      <x:c r="G5037" s="34" t="str">
        <x:v>RECORDED</x:v>
      </x:c>
      <x:c r="H5037" s="38" t="n">
        <x:f>IF(ISNUMBER('Data'!I1621),'Data'!I1621*100,"")</x:f>
        <x:v>0</x:v>
      </x:c>
      <x:c r="I5037" s="34" t="str">
        <x:v>PASS</x:v>
      </x:c>
      <x:c r="J5037" s="34" t="str">
        <x:v>PASS</x:v>
      </x:c>
      <x:c r="K5037" s="34" t="str">
        <x:v>PASS</x:v>
      </x:c>
      <x:c r="L5037" s="34" t="str">
        <x:v>FAIL</x:v>
      </x:c>
      <x:c r="M5037" s="34" t="str">
        <x:v>numeric coverage for applicable metric</x:v>
      </x:c>
      <x:c r="N5037" s="34" t="str">
        <x:v>Feedback-Directed Random Test Generation/Result_Round2/Math_82/result.json</x:v>
      </x:c>
      <x:c r="O5037" s="38" t="n">
        <x:f>IF(AND(G5037="RECORDED",ISNUMBER(H5037)),H5037,"")</x:f>
        <x:v>0</x:v>
      </x:c>
      <x:c r="P5037" s="34" t="str">
        <x:v>INCONCLUSIVE</x:v>
      </x:c>
      <x:c r="Q5037" s="34" t="str">
        <x:v>Feedback-Directed Random Test Generation/Result_Round2/Math_82/result.json</x:v>
      </x:c>
    </x:row>
    <x:row r="5038">
      <x:c r="A5038" s="34" t="str">
        <x:v>randoop</x:v>
      </x:c>
      <x:c r="B5038" s="34" t="str">
        <x:v>Math</x:v>
      </x:c>
      <x:c r="C5038" s="34" t="str">
        <x:v>Round2</x:v>
      </x:c>
      <x:c r="D5038" s="34" t="str">
        <x:v>Math_83</x:v>
      </x:c>
      <x:c r="E5038" s="34" t="str">
        <x:v>Condition</x:v>
      </x:c>
      <x:c r="F5038" s="34" t="n">
        <x:v>92</x:v>
      </x:c>
      <x:c r="G5038" s="34" t="str">
        <x:v>RECORDED</x:v>
      </x:c>
      <x:c r="H5038" s="38" t="n">
        <x:f>IF(ISNUMBER('Data'!I1622),'Data'!I1622*100,"")</x:f>
        <x:v>0</x:v>
      </x:c>
      <x:c r="I5038" s="34" t="str">
        <x:v>PASS</x:v>
      </x:c>
      <x:c r="J5038" s="34" t="str">
        <x:v>PASS</x:v>
      </x:c>
      <x:c r="K5038" s="34" t="str">
        <x:v>PASS</x:v>
      </x:c>
      <x:c r="L5038" s="34" t="str">
        <x:v>PASS</x:v>
      </x:c>
      <x:c r="M5038" s="34" t="str">
        <x:v>numeric coverage for applicable metric</x:v>
      </x:c>
      <x:c r="N5038" s="34" t="str">
        <x:v>Feedback-Directed Random Test Generation/Result_Round2/Math_83/result.json</x:v>
      </x:c>
      <x:c r="O5038" s="38" t="n">
        <x:f>IF(AND(G5038="RECORDED",ISNUMBER(H5038)),H5038,"")</x:f>
        <x:v>0</x:v>
      </x:c>
      <x:c r="P5038" s="34" t="str">
        <x:v>NOT_REVEALING</x:v>
      </x:c>
      <x:c r="Q5038" s="34" t="str">
        <x:v>Feedback-Directed Random Test Generation/Result_Round2/Math_83/result.json</x:v>
      </x:c>
    </x:row>
    <x:row r="5039">
      <x:c r="A5039" s="34" t="str">
        <x:v>randoop</x:v>
      </x:c>
      <x:c r="B5039" s="34" t="str">
        <x:v>Math</x:v>
      </x:c>
      <x:c r="C5039" s="34" t="str">
        <x:v>Round2</x:v>
      </x:c>
      <x:c r="D5039" s="34" t="str">
        <x:v>Math_84</x:v>
      </x:c>
      <x:c r="E5039" s="34" t="str">
        <x:v>Condition</x:v>
      </x:c>
      <x:c r="F5039" s="34" t="n">
        <x:v>10</x:v>
      </x:c>
      <x:c r="G5039" s="34" t="str">
        <x:v>RECORDED</x:v>
      </x:c>
      <x:c r="H5039" s="38" t="n">
        <x:f>IF(ISNUMBER('Data'!I1623),'Data'!I1623*100,"")</x:f>
        <x:v>0</x:v>
      </x:c>
      <x:c r="I5039" s="34" t="str">
        <x:v>PASS</x:v>
      </x:c>
      <x:c r="J5039" s="34" t="str">
        <x:v>PASS</x:v>
      </x:c>
      <x:c r="K5039" s="34" t="str">
        <x:v>PASS</x:v>
      </x:c>
      <x:c r="L5039" s="34" t="str">
        <x:v>PASS</x:v>
      </x:c>
      <x:c r="M5039" s="34" t="str">
        <x:v>numeric coverage for applicable metric</x:v>
      </x:c>
      <x:c r="N5039" s="34" t="str">
        <x:v>Feedback-Directed Random Test Generation/Result_Round2/Math_84/result.json</x:v>
      </x:c>
      <x:c r="O5039" s="38" t="n">
        <x:f>IF(AND(G5039="RECORDED",ISNUMBER(H5039)),H5039,"")</x:f>
        <x:v>0</x:v>
      </x:c>
      <x:c r="P5039" s="34" t="str">
        <x:v>NOT_REVEALING</x:v>
      </x:c>
      <x:c r="Q5039" s="34" t="str">
        <x:v>Feedback-Directed Random Test Generation/Result_Round2/Math_84/result.json</x:v>
      </x:c>
    </x:row>
    <x:row r="5040">
      <x:c r="A5040" s="34" t="str">
        <x:v>randoop</x:v>
      </x:c>
      <x:c r="B5040" s="34" t="str">
        <x:v>Math</x:v>
      </x:c>
      <x:c r="C5040" s="34" t="str">
        <x:v>Round2</x:v>
      </x:c>
      <x:c r="D5040" s="34" t="str">
        <x:v>Math_85</x:v>
      </x:c>
      <x:c r="E5040" s="34" t="str">
        <x:v>Condition</x:v>
      </x:c>
      <x:c r="F5040" s="34" t="n">
        <x:v>22</x:v>
      </x:c>
      <x:c r="G5040" s="34" t="str">
        <x:v>RECORDED</x:v>
      </x:c>
      <x:c r="H5040" s="38" t="n">
        <x:f>IF(ISNUMBER('Data'!I1624),'Data'!I1624*100,"")</x:f>
        <x:v>9.09</x:v>
      </x:c>
      <x:c r="I5040" s="34" t="str">
        <x:v>PASS</x:v>
      </x:c>
      <x:c r="J5040" s="34" t="str">
        <x:v>PASS</x:v>
      </x:c>
      <x:c r="K5040" s="34" t="str">
        <x:v>PASS</x:v>
      </x:c>
      <x:c r="L5040" s="34" t="str">
        <x:v>PASS</x:v>
      </x:c>
      <x:c r="M5040" s="34" t="str">
        <x:v>numeric coverage for applicable metric</x:v>
      </x:c>
      <x:c r="N5040" s="34" t="str">
        <x:v>Feedback-Directed Random Test Generation/Result_Round2/Math_85/result.json</x:v>
      </x:c>
      <x:c r="O5040" s="38" t="n">
        <x:f>IF(AND(G5040="RECORDED",ISNUMBER(H5040)),H5040,"")</x:f>
        <x:v>9.09</x:v>
      </x:c>
      <x:c r="P5040" s="34" t="str">
        <x:v>NOT_REVEALING</x:v>
      </x:c>
      <x:c r="Q5040" s="34" t="str">
        <x:v>Feedback-Directed Random Test Generation/Result_Round2/Math_85/result.json</x:v>
      </x:c>
    </x:row>
    <x:row r="5041">
      <x:c r="A5041" s="34" t="str">
        <x:v>randoop</x:v>
      </x:c>
      <x:c r="B5041" s="34" t="str">
        <x:v>Math</x:v>
      </x:c>
      <x:c r="C5041" s="34" t="str">
        <x:v>Round2</x:v>
      </x:c>
      <x:c r="D5041" s="34" t="str">
        <x:v>Math_86</x:v>
      </x:c>
      <x:c r="E5041" s="34" t="str">
        <x:v>Condition</x:v>
      </x:c>
      <x:c r="F5041" s="34" t="n">
        <x:v>60</x:v>
      </x:c>
      <x:c r="G5041" s="34" t="str">
        <x:v>RECORDED</x:v>
      </x:c>
      <x:c r="H5041" s="38" t="n">
        <x:f>IF(ISNUMBER('Data'!I1625),'Data'!I1625*100,"")</x:f>
        <x:v>0</x:v>
      </x:c>
      <x:c r="I5041" s="34" t="str">
        <x:v>PASS</x:v>
      </x:c>
      <x:c r="J5041" s="34" t="str">
        <x:v>PASS</x:v>
      </x:c>
      <x:c r="K5041" s="34" t="str">
        <x:v>PASS</x:v>
      </x:c>
      <x:c r="L5041" s="34" t="str">
        <x:v>PASS</x:v>
      </x:c>
      <x:c r="M5041" s="34" t="str">
        <x:v>numeric coverage for applicable metric</x:v>
      </x:c>
      <x:c r="N5041" s="34" t="str">
        <x:v>Feedback-Directed Random Test Generation/Result_Round2/Math_86/result.json</x:v>
      </x:c>
      <x:c r="O5041" s="38" t="n">
        <x:f>IF(AND(G5041="RECORDED",ISNUMBER(H5041)),H5041,"")</x:f>
        <x:v>0</x:v>
      </x:c>
      <x:c r="P5041" s="34" t="str">
        <x:v>NOT_REVEALING</x:v>
      </x:c>
      <x:c r="Q5041" s="34" t="str">
        <x:v>Feedback-Directed Random Test Generation/Result_Round2/Math_86/result.json</x:v>
      </x:c>
    </x:row>
    <x:row r="5042">
      <x:c r="A5042" s="34" t="str">
        <x:v>randoop</x:v>
      </x:c>
      <x:c r="B5042" s="34" t="str">
        <x:v>Math</x:v>
      </x:c>
      <x:c r="C5042" s="34" t="str">
        <x:v>Round2</x:v>
      </x:c>
      <x:c r="D5042" s="34" t="str">
        <x:v>Math_87</x:v>
      </x:c>
      <x:c r="E5042" s="34" t="str">
        <x:v>Condition</x:v>
      </x:c>
      <x:c r="F5042" s="34" t="n">
        <x:v>90</x:v>
      </x:c>
      <x:c r="G5042" s="34" t="str">
        <x:v>RECORDED</x:v>
      </x:c>
      <x:c r="H5042" s="38" t="n">
        <x:f>IF(ISNUMBER('Data'!I1626),'Data'!I1626*100,"")</x:f>
        <x:v>0</x:v>
      </x:c>
      <x:c r="I5042" s="34" t="str">
        <x:v>PASS</x:v>
      </x:c>
      <x:c r="J5042" s="34" t="str">
        <x:v>PASS</x:v>
      </x:c>
      <x:c r="K5042" s="34" t="str">
        <x:v>PASS</x:v>
      </x:c>
      <x:c r="L5042" s="34" t="str">
        <x:v>PASS</x:v>
      </x:c>
      <x:c r="M5042" s="34" t="str">
        <x:v>numeric coverage for applicable metric</x:v>
      </x:c>
      <x:c r="N5042" s="34" t="str">
        <x:v>Feedback-Directed Random Test Generation/Result_Round2/Math_87/result.json</x:v>
      </x:c>
      <x:c r="O5042" s="38" t="n">
        <x:f>IF(AND(G5042="RECORDED",ISNUMBER(H5042)),H5042,"")</x:f>
        <x:v>0</x:v>
      </x:c>
      <x:c r="P5042" s="34" t="str">
        <x:v>NOT_REVEALING</x:v>
      </x:c>
      <x:c r="Q5042" s="34" t="str">
        <x:v>Feedback-Directed Random Test Generation/Result_Round2/Math_87/result.json</x:v>
      </x:c>
    </x:row>
    <x:row r="5043">
      <x:c r="A5043" s="34" t="str">
        <x:v>randoop</x:v>
      </x:c>
      <x:c r="B5043" s="34" t="str">
        <x:v>Math</x:v>
      </x:c>
      <x:c r="C5043" s="34" t="str">
        <x:v>Round2</x:v>
      </x:c>
      <x:c r="D5043" s="34" t="str">
        <x:v>Math_88</x:v>
      </x:c>
      <x:c r="E5043" s="34" t="str">
        <x:v>Condition</x:v>
      </x:c>
      <x:c r="F5043" s="34" t="n">
        <x:v>94</x:v>
      </x:c>
      <x:c r="G5043" s="34" t="str">
        <x:v>RECORDED</x:v>
      </x:c>
      <x:c r="H5043" s="38" t="n">
        <x:f>IF(ISNUMBER('Data'!I1627),'Data'!I1627*100,"")</x:f>
        <x:v>0</x:v>
      </x:c>
      <x:c r="I5043" s="34" t="str">
        <x:v>PASS</x:v>
      </x:c>
      <x:c r="J5043" s="34" t="str">
        <x:v>PASS</x:v>
      </x:c>
      <x:c r="K5043" s="34" t="str">
        <x:v>PASS</x:v>
      </x:c>
      <x:c r="L5043" s="34" t="str">
        <x:v>PASS</x:v>
      </x:c>
      <x:c r="M5043" s="34" t="str">
        <x:v>numeric coverage for applicable metric</x:v>
      </x:c>
      <x:c r="N5043" s="34" t="str">
        <x:v>Feedback-Directed Random Test Generation/Result_Round2/Math_88/result.json</x:v>
      </x:c>
      <x:c r="O5043" s="38" t="n">
        <x:f>IF(AND(G5043="RECORDED",ISNUMBER(H5043)),H5043,"")</x:f>
        <x:v>0</x:v>
      </x:c>
      <x:c r="P5043" s="34" t="str">
        <x:v>NOT_REVEALING</x:v>
      </x:c>
      <x:c r="Q5043" s="34" t="str">
        <x:v>Feedback-Directed Random Test Generation/Result_Round2/Math_88/result.json</x:v>
      </x:c>
    </x:row>
    <x:row r="5044">
      <x:c r="A5044" s="34" t="str">
        <x:v>randoop</x:v>
      </x:c>
      <x:c r="B5044" s="34" t="str">
        <x:v>Math</x:v>
      </x:c>
      <x:c r="C5044" s="34" t="str">
        <x:v>Round2</x:v>
      </x:c>
      <x:c r="D5044" s="34" t="str">
        <x:v>Math_89</x:v>
      </x:c>
      <x:c r="E5044" s="34" t="str">
        <x:v>Condition</x:v>
      </x:c>
      <x:c r="F5044" s="34" t="n">
        <x:v>32</x:v>
      </x:c>
      <x:c r="G5044" s="34" t="str">
        <x:v>RECORDED</x:v>
      </x:c>
      <x:c r="H5044" s="38" t="n">
        <x:f>IF(ISNUMBER('Data'!I1628),'Data'!I1628*100,"")</x:f>
        <x:v>93.75</x:v>
      </x:c>
      <x:c r="I5044" s="34" t="str">
        <x:v>PASS</x:v>
      </x:c>
      <x:c r="J5044" s="34" t="str">
        <x:v>PASS</x:v>
      </x:c>
      <x:c r="K5044" s="34" t="str">
        <x:v>PASS</x:v>
      </x:c>
      <x:c r="L5044" s="34" t="str">
        <x:v>PASS</x:v>
      </x:c>
      <x:c r="M5044" s="34" t="str">
        <x:v>numeric coverage for applicable metric</x:v>
      </x:c>
      <x:c r="N5044" s="34" t="str">
        <x:v>Feedback-Directed Random Test Generation/Result_Round2/Math_89/result.json</x:v>
      </x:c>
      <x:c r="O5044" s="38" t="n">
        <x:f>IF(AND(G5044="RECORDED",ISNUMBER(H5044)),H5044,"")</x:f>
        <x:v>93.75</x:v>
      </x:c>
      <x:c r="P5044" s="34" t="str">
        <x:v>INCONCLUSIVE</x:v>
      </x:c>
      <x:c r="Q5044" s="34" t="str">
        <x:v>Feedback-Directed Random Test Generation/Result_Round2/Math_89/result.json</x:v>
      </x:c>
    </x:row>
    <x:row r="5045">
      <x:c r="A5045" s="34" t="str">
        <x:v>randoop</x:v>
      </x:c>
      <x:c r="B5045" s="34" t="str">
        <x:v>Math</x:v>
      </x:c>
      <x:c r="C5045" s="34" t="str">
        <x:v>Round2</x:v>
      </x:c>
      <x:c r="D5045" s="34" t="str">
        <x:v>Math_90</x:v>
      </x:c>
      <x:c r="E5045" s="34" t="str">
        <x:v>Condition</x:v>
      </x:c>
      <x:c r="F5045" s="34" t="n">
        <x:v>32</x:v>
      </x:c>
      <x:c r="G5045" s="34" t="str">
        <x:v>RECORDED</x:v>
      </x:c>
      <x:c r="H5045" s="38" t="n">
        <x:f>IF(ISNUMBER('Data'!I1629),'Data'!I1629*100,"")</x:f>
        <x:v>93.75</x:v>
      </x:c>
      <x:c r="I5045" s="34" t="str">
        <x:v>PASS</x:v>
      </x:c>
      <x:c r="J5045" s="34" t="str">
        <x:v>PASS</x:v>
      </x:c>
      <x:c r="K5045" s="34" t="str">
        <x:v>PASS</x:v>
      </x:c>
      <x:c r="L5045" s="34" t="str">
        <x:v>PASS</x:v>
      </x:c>
      <x:c r="M5045" s="34" t="str">
        <x:v>numeric coverage for applicable metric</x:v>
      </x:c>
      <x:c r="N5045" s="34" t="str">
        <x:v>Feedback-Directed Random Test Generation/Result_Round2/Math_90/result.json</x:v>
      </x:c>
      <x:c r="O5045" s="38" t="n">
        <x:f>IF(AND(G5045="RECORDED",ISNUMBER(H5045)),H5045,"")</x:f>
        <x:v>93.75</x:v>
      </x:c>
      <x:c r="P5045" s="34" t="str">
        <x:v>INCONCLUSIVE</x:v>
      </x:c>
      <x:c r="Q5045" s="34" t="str">
        <x:v>Feedback-Directed Random Test Generation/Result_Round2/Math_90/result.json</x:v>
      </x:c>
    </x:row>
    <x:row r="5046">
      <x:c r="A5046" s="34" t="str">
        <x:v>randoop</x:v>
      </x:c>
      <x:c r="B5046" s="34" t="str">
        <x:v>Math</x:v>
      </x:c>
      <x:c r="C5046" s="34" t="str">
        <x:v>Round2</x:v>
      </x:c>
      <x:c r="D5046" s="34" t="str">
        <x:v>Math_91</x:v>
      </x:c>
      <x:c r="E5046" s="34" t="str">
        <x:v>Condition</x:v>
      </x:c>
      <x:c r="F5046" s="34" t="n">
        <x:v>90</x:v>
      </x:c>
      <x:c r="G5046" s="34" t="str">
        <x:v>RECORDED</x:v>
      </x:c>
      <x:c r="H5046" s="38" t="n">
        <x:f>IF(ISNUMBER('Data'!I1630),'Data'!I1630*100,"")</x:f>
        <x:v>87.78</x:v>
      </x:c>
      <x:c r="I5046" s="34" t="str">
        <x:v>PASS</x:v>
      </x:c>
      <x:c r="J5046" s="34" t="str">
        <x:v>PASS</x:v>
      </x:c>
      <x:c r="K5046" s="34" t="str">
        <x:v>PASS</x:v>
      </x:c>
      <x:c r="L5046" s="34" t="str">
        <x:v>PASS</x:v>
      </x:c>
      <x:c r="M5046" s="34" t="str">
        <x:v>numeric coverage for applicable metric</x:v>
      </x:c>
      <x:c r="N5046" s="34" t="str">
        <x:v>Feedback-Directed Random Test Generation/Result_Round2/Math_91/result.json</x:v>
      </x:c>
      <x:c r="O5046" s="38" t="n">
        <x:f>IF(AND(G5046="RECORDED",ISNUMBER(H5046)),H5046,"")</x:f>
        <x:v>87.78</x:v>
      </x:c>
      <x:c r="P5046" s="34" t="str">
        <x:v>NOT_REVEALING</x:v>
      </x:c>
      <x:c r="Q5046" s="34" t="str">
        <x:v>Feedback-Directed Random Test Generation/Result_Round2/Math_91/result.json</x:v>
      </x:c>
    </x:row>
    <x:row r="5047">
      <x:c r="A5047" s="34" t="str">
        <x:v>randoop</x:v>
      </x:c>
      <x:c r="B5047" s="34" t="str">
        <x:v>Math</x:v>
      </x:c>
      <x:c r="C5047" s="34" t="str">
        <x:v>Round2</x:v>
      </x:c>
      <x:c r="D5047" s="34" t="str">
        <x:v>Math_92</x:v>
      </x:c>
      <x:c r="E5047" s="34" t="str">
        <x:v>Condition</x:v>
      </x:c>
      <x:c r="F5047" s="34" t="n">
        <x:v>223</x:v>
      </x:c>
      <x:c r="G5047" s="34" t="str">
        <x:v>RECORDED</x:v>
      </x:c>
      <x:c r="H5047" s="38" t="n">
        <x:f>IF(ISNUMBER('Data'!I1631),'Data'!I1631*100,"")</x:f>
        <x:v>57.85</x:v>
      </x:c>
      <x:c r="I5047" s="34" t="str">
        <x:v>PASS</x:v>
      </x:c>
      <x:c r="J5047" s="34" t="str">
        <x:v>PASS</x:v>
      </x:c>
      <x:c r="K5047" s="34" t="str">
        <x:v>PASS</x:v>
      </x:c>
      <x:c r="L5047" s="34" t="str">
        <x:v>PASS</x:v>
      </x:c>
      <x:c r="M5047" s="34" t="str">
        <x:v>numeric coverage for applicable metric</x:v>
      </x:c>
      <x:c r="N5047" s="34" t="str">
        <x:v>Feedback-Directed Random Test Generation/Result_Round2/Math_92/result.json</x:v>
      </x:c>
      <x:c r="O5047" s="38" t="n">
        <x:f>IF(AND(G5047="RECORDED",ISNUMBER(H5047)),H5047,"")</x:f>
        <x:v>57.85</x:v>
      </x:c>
      <x:c r="P5047" s="34" t="str">
        <x:v>NOT_REVEALING</x:v>
      </x:c>
      <x:c r="Q5047" s="34" t="str">
        <x:v>Feedback-Directed Random Test Generation/Result_Round2/Math_92/result.json</x:v>
      </x:c>
    </x:row>
    <x:row r="5048">
      <x:c r="A5048" s="34" t="str">
        <x:v>randoop</x:v>
      </x:c>
      <x:c r="B5048" s="34" t="str">
        <x:v>Math</x:v>
      </x:c>
      <x:c r="C5048" s="34" t="str">
        <x:v>Round2</x:v>
      </x:c>
      <x:c r="D5048" s="34" t="str">
        <x:v>Math_93</x:v>
      </x:c>
      <x:c r="E5048" s="34" t="str">
        <x:v>Condition</x:v>
      </x:c>
      <x:c r="F5048" s="34" t="n">
        <x:v>217</x:v>
      </x:c>
      <x:c r="G5048" s="34" t="str">
        <x:v>RECORDED</x:v>
      </x:c>
      <x:c r="H5048" s="38" t="n">
        <x:f>IF(ISNUMBER('Data'!I1632),'Data'!I1632*100,"")</x:f>
        <x:v>57.14</x:v>
      </x:c>
      <x:c r="I5048" s="34" t="str">
        <x:v>PASS</x:v>
      </x:c>
      <x:c r="J5048" s="34" t="str">
        <x:v>PASS</x:v>
      </x:c>
      <x:c r="K5048" s="34" t="str">
        <x:v>PASS</x:v>
      </x:c>
      <x:c r="L5048" s="34" t="str">
        <x:v>PASS</x:v>
      </x:c>
      <x:c r="M5048" s="34" t="str">
        <x:v>numeric coverage for applicable metric</x:v>
      </x:c>
      <x:c r="N5048" s="34" t="str">
        <x:v>Feedback-Directed Random Test Generation/Result_Round2/Math_93/result.json</x:v>
      </x:c>
      <x:c r="O5048" s="38" t="n">
        <x:f>IF(AND(G5048="RECORDED",ISNUMBER(H5048)),H5048,"")</x:f>
        <x:v>57.14</x:v>
      </x:c>
      <x:c r="P5048" s="34" t="str">
        <x:v>NOT_REVEALING</x:v>
      </x:c>
      <x:c r="Q5048" s="34" t="str">
        <x:v>Feedback-Directed Random Test Generation/Result_Round2/Math_93/result.json</x:v>
      </x:c>
    </x:row>
    <x:row r="5049">
      <x:c r="A5049" s="34" t="str">
        <x:v>randoop</x:v>
      </x:c>
      <x:c r="B5049" s="34" t="str">
        <x:v>Math</x:v>
      </x:c>
      <x:c r="C5049" s="34" t="str">
        <x:v>Round2</x:v>
      </x:c>
      <x:c r="D5049" s="34" t="str">
        <x:v>Math_94</x:v>
      </x:c>
      <x:c r="E5049" s="34" t="str">
        <x:v>Condition</x:v>
      </x:c>
      <x:c r="F5049" s="34" t="n">
        <x:v>215</x:v>
      </x:c>
      <x:c r="G5049" s="34" t="str">
        <x:v>RECORDED</x:v>
      </x:c>
      <x:c r="H5049" s="38" t="n">
        <x:f>IF(ISNUMBER('Data'!I1633),'Data'!I1633*100,"")</x:f>
        <x:v>56.74</x:v>
      </x:c>
      <x:c r="I5049" s="34" t="str">
        <x:v>PASS</x:v>
      </x:c>
      <x:c r="J5049" s="34" t="str">
        <x:v>PASS</x:v>
      </x:c>
      <x:c r="K5049" s="34" t="str">
        <x:v>PASS</x:v>
      </x:c>
      <x:c r="L5049" s="34" t="str">
        <x:v>PASS</x:v>
      </x:c>
      <x:c r="M5049" s="34" t="str">
        <x:v>numeric coverage for applicable metric</x:v>
      </x:c>
      <x:c r="N5049" s="34" t="str">
        <x:v>Feedback-Directed Random Test Generation/Result_Round2/Math_94/result.json</x:v>
      </x:c>
      <x:c r="O5049" s="38" t="n">
        <x:f>IF(AND(G5049="RECORDED",ISNUMBER(H5049)),H5049,"")</x:f>
        <x:v>56.74</x:v>
      </x:c>
      <x:c r="P5049" s="34" t="str">
        <x:v>NOT_REVEALING</x:v>
      </x:c>
      <x:c r="Q5049" s="34" t="str">
        <x:v>Feedback-Directed Random Test Generation/Result_Round2/Math_94/result.json</x:v>
      </x:c>
    </x:row>
    <x:row r="5050">
      <x:c r="A5050" s="34" t="str">
        <x:v>randoop</x:v>
      </x:c>
      <x:c r="B5050" s="34" t="str">
        <x:v>Math</x:v>
      </x:c>
      <x:c r="C5050" s="34" t="str">
        <x:v>Round2</x:v>
      </x:c>
      <x:c r="D5050" s="34" t="str">
        <x:v>Math_95</x:v>
      </x:c>
      <x:c r="E5050" s="34" t="str">
        <x:v>Condition</x:v>
      </x:c>
      <x:c r="F5050" s="34" t="n">
        <x:v>10</x:v>
      </x:c>
      <x:c r="G5050" s="34" t="str">
        <x:v>RECORDED</x:v>
      </x:c>
      <x:c r="H5050" s="38" t="n">
        <x:f>IF(ISNUMBER('Data'!I1634),'Data'!I1634*100,"")</x:f>
        <x:v>100</x:v>
      </x:c>
      <x:c r="I5050" s="34" t="str">
        <x:v>PASS</x:v>
      </x:c>
      <x:c r="J5050" s="34" t="str">
        <x:v>PASS</x:v>
      </x:c>
      <x:c r="K5050" s="34" t="str">
        <x:v>PASS</x:v>
      </x:c>
      <x:c r="L5050" s="34" t="str">
        <x:v>PASS</x:v>
      </x:c>
      <x:c r="M5050" s="34" t="str">
        <x:v>numeric coverage for applicable metric</x:v>
      </x:c>
      <x:c r="N5050" s="34" t="str">
        <x:v>Feedback-Directed Random Test Generation/Result_Round2/Math_95/result.json</x:v>
      </x:c>
      <x:c r="O5050" s="38" t="n">
        <x:f>IF(AND(G5050="RECORDED",ISNUMBER(H5050)),H5050,"")</x:f>
        <x:v>100</x:v>
      </x:c>
      <x:c r="P5050" s="34" t="str">
        <x:v>NOT_AVAILABLE</x:v>
      </x:c>
      <x:c r="Q5050" s="34" t="str">
        <x:v>Feedback-Directed Random Test Generation/Result_Round2/Math_95/result.json</x:v>
      </x:c>
    </x:row>
    <x:row r="5051">
      <x:c r="A5051" s="34" t="str">
        <x:v>randoop</x:v>
      </x:c>
      <x:c r="B5051" s="34" t="str">
        <x:v>Math</x:v>
      </x:c>
      <x:c r="C5051" s="34" t="str">
        <x:v>Round2</x:v>
      </x:c>
      <x:c r="D5051" s="34" t="str">
        <x:v>Math_96</x:v>
      </x:c>
      <x:c r="E5051" s="34" t="str">
        <x:v>Condition</x:v>
      </x:c>
      <x:c r="F5051" s="34" t="n">
        <x:v>102</x:v>
      </x:c>
      <x:c r="G5051" s="34" t="str">
        <x:v>RECORDED</x:v>
      </x:c>
      <x:c r="H5051" s="38" t="n">
        <x:f>IF(ISNUMBER('Data'!I1635),'Data'!I1635*100,"")</x:f>
        <x:v>93.14</x:v>
      </x:c>
      <x:c r="I5051" s="34" t="str">
        <x:v>PASS</x:v>
      </x:c>
      <x:c r="J5051" s="34" t="str">
        <x:v>PASS</x:v>
      </x:c>
      <x:c r="K5051" s="34" t="str">
        <x:v>PASS</x:v>
      </x:c>
      <x:c r="L5051" s="34" t="str">
        <x:v>PASS</x:v>
      </x:c>
      <x:c r="M5051" s="34" t="str">
        <x:v>numeric coverage for applicable metric</x:v>
      </x:c>
      <x:c r="N5051" s="34" t="str">
        <x:v>Feedback-Directed Random Test Generation/Result_Round2/Math_96/result.json</x:v>
      </x:c>
      <x:c r="O5051" s="38" t="n">
        <x:f>IF(AND(G5051="RECORDED",ISNUMBER(H5051)),H5051,"")</x:f>
        <x:v>93.14</x:v>
      </x:c>
      <x:c r="P5051" s="34" t="str">
        <x:v>NOT_REVEALING</x:v>
      </x:c>
      <x:c r="Q5051" s="34" t="str">
        <x:v>Feedback-Directed Random Test Generation/Result_Round2/Math_96/result.json</x:v>
      </x:c>
    </x:row>
    <x:row r="5052">
      <x:c r="A5052" s="34" t="str">
        <x:v>randoop</x:v>
      </x:c>
      <x:c r="B5052" s="34" t="str">
        <x:v>Math</x:v>
      </x:c>
      <x:c r="C5052" s="34" t="str">
        <x:v>Round2</x:v>
      </x:c>
      <x:c r="D5052" s="34" t="str">
        <x:v>Math_97</x:v>
      </x:c>
      <x:c r="E5052" s="34" t="str">
        <x:v>Condition</x:v>
      </x:c>
      <x:c r="F5052" s="34" t="n">
        <x:v>46</x:v>
      </x:c>
      <x:c r="G5052" s="34" t="str">
        <x:v>RECORDED</x:v>
      </x:c>
      <x:c r="H5052" s="38" t="n">
        <x:f>IF(ISNUMBER('Data'!I1636),'Data'!I1636*100,"")</x:f>
        <x:v>0</x:v>
      </x:c>
      <x:c r="I5052" s="34" t="str">
        <x:v>PASS</x:v>
      </x:c>
      <x:c r="J5052" s="34" t="str">
        <x:v>PASS</x:v>
      </x:c>
      <x:c r="K5052" s="34" t="str">
        <x:v>PASS</x:v>
      </x:c>
      <x:c r="L5052" s="34" t="str">
        <x:v>PASS</x:v>
      </x:c>
      <x:c r="M5052" s="34" t="str">
        <x:v>numeric coverage for applicable metric</x:v>
      </x:c>
      <x:c r="N5052" s="34" t="str">
        <x:v>Feedback-Directed Random Test Generation/Result_Round2/Math_97/result.json</x:v>
      </x:c>
      <x:c r="O5052" s="38" t="n">
        <x:f>IF(AND(G5052="RECORDED",ISNUMBER(H5052)),H5052,"")</x:f>
        <x:v>0</x:v>
      </x:c>
      <x:c r="P5052" s="34" t="str">
        <x:v>NOT_REVEALING</x:v>
      </x:c>
      <x:c r="Q5052" s="34" t="str">
        <x:v>Feedback-Directed Random Test Generation/Result_Round2/Math_97/result.json</x:v>
      </x:c>
    </x:row>
    <x:row r="5053">
      <x:c r="A5053" s="34" t="str">
        <x:v>randoop</x:v>
      </x:c>
      <x:c r="B5053" s="34" t="str">
        <x:v>Math</x:v>
      </x:c>
      <x:c r="C5053" s="34" t="str">
        <x:v>Round2</x:v>
      </x:c>
      <x:c r="D5053" s="34" t="str">
        <x:v>Math_98</x:v>
      </x:c>
      <x:c r="E5053" s="34" t="str">
        <x:v>Condition</x:v>
      </x:c>
      <x:c r="F5053" s="34" t="n">
        <x:v>554</x:v>
      </x:c>
      <x:c r="G5053" s="34" t="str">
        <x:v>RECORDED</x:v>
      </x:c>
      <x:c r="H5053" s="38" t="n">
        <x:f>IF(ISNUMBER('Data'!I1637),'Data'!I1637*100,"")</x:f>
        <x:v>68.77</x:v>
      </x:c>
      <x:c r="I5053" s="34" t="str">
        <x:v>PASS</x:v>
      </x:c>
      <x:c r="J5053" s="34" t="str">
        <x:v>PASS</x:v>
      </x:c>
      <x:c r="K5053" s="34" t="str">
        <x:v>PASS</x:v>
      </x:c>
      <x:c r="L5053" s="34" t="str">
        <x:v>FAIL</x:v>
      </x:c>
      <x:c r="M5053" s="34" t="str">
        <x:v>numeric coverage for applicable metric</x:v>
      </x:c>
      <x:c r="N5053" s="34" t="str">
        <x:v>Feedback-Directed Random Test Generation/Result_Round2/Math_98/result.json</x:v>
      </x:c>
      <x:c r="O5053" s="38" t="n">
        <x:f>IF(AND(G5053="RECORDED",ISNUMBER(H5053)),H5053,"")</x:f>
        <x:v>68.77</x:v>
      </x:c>
      <x:c r="P5053" s="34" t="str">
        <x:v>INCONCLUSIVE</x:v>
      </x:c>
      <x:c r="Q5053" s="34" t="str">
        <x:v>Feedback-Directed Random Test Generation/Result_Round2/Math_98/result.json</x:v>
      </x:c>
    </x:row>
    <x:row r="5054">
      <x:c r="A5054" s="34" t="str">
        <x:v>randoop</x:v>
      </x:c>
      <x:c r="B5054" s="34" t="str">
        <x:v>Math</x:v>
      </x:c>
      <x:c r="C5054" s="34" t="str">
        <x:v>Round2</x:v>
      </x:c>
      <x:c r="D5054" s="34" t="str">
        <x:v>Math_99</x:v>
      </x:c>
      <x:c r="E5054" s="34" t="str">
        <x:v>Condition</x:v>
      </x:c>
      <x:c r="F5054" s="34" t="n">
        <x:v>271</x:v>
      </x:c>
      <x:c r="G5054" s="34" t="str">
        <x:v>RECORDED</x:v>
      </x:c>
      <x:c r="H5054" s="38" t="n">
        <x:f>IF(ISNUMBER('Data'!I1638),'Data'!I1638*100,"")</x:f>
        <x:v>75.65</x:v>
      </x:c>
      <x:c r="I5054" s="34" t="str">
        <x:v>PASS</x:v>
      </x:c>
      <x:c r="J5054" s="34" t="str">
        <x:v>PASS</x:v>
      </x:c>
      <x:c r="K5054" s="34" t="str">
        <x:v>PASS</x:v>
      </x:c>
      <x:c r="L5054" s="34" t="str">
        <x:v>PASS</x:v>
      </x:c>
      <x:c r="M5054" s="34" t="str">
        <x:v>numeric coverage for applicable metric</x:v>
      </x:c>
      <x:c r="N5054" s="34" t="str">
        <x:v>Feedback-Directed Random Test Generation/Result_Round2/Math_99/result.json</x:v>
      </x:c>
      <x:c r="O5054" s="38" t="n">
        <x:f>IF(AND(G5054="RECORDED",ISNUMBER(H5054)),H5054,"")</x:f>
        <x:v>75.65</x:v>
      </x:c>
      <x:c r="P5054" s="34" t="str">
        <x:v>NOT_REVEALING</x:v>
      </x:c>
      <x:c r="Q5054" s="34" t="str">
        <x:v>Feedback-Directed Random Test Generation/Result_Round2/Math_99/result.json</x:v>
      </x:c>
    </x:row>
    <x:row r="5055">
      <x:c r="A5055" s="34" t="str">
        <x:v>randoop</x:v>
      </x:c>
      <x:c r="B5055" s="34" t="str">
        <x:v>Math</x:v>
      </x:c>
      <x:c r="C5055" s="34" t="str">
        <x:v>Round2</x:v>
      </x:c>
      <x:c r="D5055" s="34" t="str">
        <x:v>Math_100</x:v>
      </x:c>
      <x:c r="E5055" s="34" t="str">
        <x:v>Condition</x:v>
      </x:c>
      <x:c r="F5055" s="34" t="n">
        <x:v>22</x:v>
      </x:c>
      <x:c r="G5055" s="34" t="str">
        <x:v>RECORDED</x:v>
      </x:c>
      <x:c r="H5055" s="38" t="n">
        <x:f>IF(ISNUMBER('Data'!I1639),'Data'!I1639*100,"")</x:f>
        <x:v>0</x:v>
      </x:c>
      <x:c r="I5055" s="34" t="str">
        <x:v>PASS</x:v>
      </x:c>
      <x:c r="J5055" s="34" t="str">
        <x:v>PASS</x:v>
      </x:c>
      <x:c r="K5055" s="34" t="str">
        <x:v>PASS</x:v>
      </x:c>
      <x:c r="L5055" s="34" t="str">
        <x:v>PASS</x:v>
      </x:c>
      <x:c r="M5055" s="34" t="str">
        <x:v>numeric coverage for applicable metric</x:v>
      </x:c>
      <x:c r="N5055" s="34" t="str">
        <x:v>Feedback-Directed Random Test Generation/Result_Round2/Math_100/result.json</x:v>
      </x:c>
      <x:c r="O5055" s="38" t="n">
        <x:f>IF(AND(G5055="RECORDED",ISNUMBER(H5055)),H5055,"")</x:f>
        <x:v>0</x:v>
      </x:c>
      <x:c r="P5055" s="34" t="str">
        <x:v>NOT_REVEALING</x:v>
      </x:c>
      <x:c r="Q5055" s="34" t="str">
        <x:v>Feedback-Directed Random Test Generation/Result_Round2/Math_100/result.json</x:v>
      </x:c>
    </x:row>
    <x:row r="5056">
      <x:c r="A5056" s="34" t="str">
        <x:v>randoop</x:v>
      </x:c>
      <x:c r="B5056" s="34" t="str">
        <x:v>Math</x:v>
      </x:c>
      <x:c r="C5056" s="34" t="str">
        <x:v>Round2</x:v>
      </x:c>
      <x:c r="D5056" s="34" t="str">
        <x:v>Math_101</x:v>
      </x:c>
      <x:c r="E5056" s="34" t="str">
        <x:v>Condition</x:v>
      </x:c>
      <x:c r="F5056" s="34" t="n">
        <x:v>52</x:v>
      </x:c>
      <x:c r="G5056" s="34" t="str">
        <x:v>RECORDED</x:v>
      </x:c>
      <x:c r="H5056" s="38" t="n">
        <x:f>IF(ISNUMBER('Data'!I1640),'Data'!I1640*100,"")</x:f>
        <x:v>61.53999999999999</x:v>
      </x:c>
      <x:c r="I5056" s="34" t="str">
        <x:v>PASS</x:v>
      </x:c>
      <x:c r="J5056" s="34" t="str">
        <x:v>PASS</x:v>
      </x:c>
      <x:c r="K5056" s="34" t="str">
        <x:v>PASS</x:v>
      </x:c>
      <x:c r="L5056" s="34" t="str">
        <x:v>PASS</x:v>
      </x:c>
      <x:c r="M5056" s="34" t="str">
        <x:v>numeric coverage for applicable metric</x:v>
      </x:c>
      <x:c r="N5056" s="34" t="str">
        <x:v>Feedback-Directed Random Test Generation/Result_Round2/Math_101/result.json</x:v>
      </x:c>
      <x:c r="O5056" s="38" t="n">
        <x:f>IF(AND(G5056="RECORDED",ISNUMBER(H5056)),H5056,"")</x:f>
        <x:v>61.53999999999999</x:v>
      </x:c>
      <x:c r="P5056" s="34" t="str">
        <x:v>NOT_REVEALING</x:v>
      </x:c>
      <x:c r="Q5056" s="34" t="str">
        <x:v>Feedback-Directed Random Test Generation/Result_Round2/Math_101/result.json</x:v>
      </x:c>
    </x:row>
    <x:row r="5057">
      <x:c r="A5057" s="34" t="str">
        <x:v>randoop</x:v>
      </x:c>
      <x:c r="B5057" s="34" t="str">
        <x:v>Math</x:v>
      </x:c>
      <x:c r="C5057" s="34" t="str">
        <x:v>Round2</x:v>
      </x:c>
      <x:c r="D5057" s="34" t="str">
        <x:v>Math_102</x:v>
      </x:c>
      <x:c r="E5057" s="34" t="str">
        <x:v>Condition</x:v>
      </x:c>
      <x:c r="F5057" s="34" t="n">
        <x:v>86</x:v>
      </x:c>
      <x:c r="G5057" s="34" t="str">
        <x:v>RECORDED</x:v>
      </x:c>
      <x:c r="H5057" s="38" t="n">
        <x:f>IF(ISNUMBER('Data'!I1641),'Data'!I1641*100,"")</x:f>
        <x:v>88.37</x:v>
      </x:c>
      <x:c r="I5057" s="34" t="str">
        <x:v>PASS</x:v>
      </x:c>
      <x:c r="J5057" s="34" t="str">
        <x:v>PASS</x:v>
      </x:c>
      <x:c r="K5057" s="34" t="str">
        <x:v>PASS</x:v>
      </x:c>
      <x:c r="L5057" s="34" t="str">
        <x:v>PASS</x:v>
      </x:c>
      <x:c r="M5057" s="34" t="str">
        <x:v>numeric coverage for applicable metric</x:v>
      </x:c>
      <x:c r="N5057" s="34" t="str">
        <x:v>Feedback-Directed Random Test Generation/Result_Round2/Math_102/result.json</x:v>
      </x:c>
      <x:c r="O5057" s="38" t="n">
        <x:f>IF(AND(G5057="RECORDED",ISNUMBER(H5057)),H5057,"")</x:f>
        <x:v>88.37</x:v>
      </x:c>
      <x:c r="P5057" s="34" t="str">
        <x:v>INCONCLUSIVE</x:v>
      </x:c>
      <x:c r="Q5057" s="34" t="str">
        <x:v>Feedback-Directed Random Test Generation/Result_Round2/Math_102/result.json</x:v>
      </x:c>
    </x:row>
    <x:row r="5058">
      <x:c r="A5058" s="34" t="str">
        <x:v>randoop</x:v>
      </x:c>
      <x:c r="B5058" s="34" t="str">
        <x:v>Math</x:v>
      </x:c>
      <x:c r="C5058" s="34" t="str">
        <x:v>Round2</x:v>
      </x:c>
      <x:c r="D5058" s="34" t="str">
        <x:v>Math_103</x:v>
      </x:c>
      <x:c r="E5058" s="34" t="str">
        <x:v>Condition</x:v>
      </x:c>
      <x:c r="F5058" s="34" t="n">
        <x:v>14</x:v>
      </x:c>
      <x:c r="G5058" s="34" t="str">
        <x:v>RECORDED</x:v>
      </x:c>
      <x:c r="H5058" s="38" t="n">
        <x:f>IF(ISNUMBER('Data'!I1642),'Data'!I1642*100,"")</x:f>
        <x:v>100</x:v>
      </x:c>
      <x:c r="I5058" s="34" t="str">
        <x:v>PASS</x:v>
      </x:c>
      <x:c r="J5058" s="34" t="str">
        <x:v>PASS</x:v>
      </x:c>
      <x:c r="K5058" s="34" t="str">
        <x:v>PASS</x:v>
      </x:c>
      <x:c r="L5058" s="34" t="str">
        <x:v>PASS</x:v>
      </x:c>
      <x:c r="M5058" s="34" t="str">
        <x:v>numeric coverage for applicable metric</x:v>
      </x:c>
      <x:c r="N5058" s="34" t="str">
        <x:v>Feedback-Directed Random Test Generation/Result_Round2/Math_103/result.json</x:v>
      </x:c>
      <x:c r="O5058" s="38" t="n">
        <x:f>IF(AND(G5058="RECORDED",ISNUMBER(H5058)),H5058,"")</x:f>
        <x:v>100</x:v>
      </x:c>
      <x:c r="P5058" s="34" t="str">
        <x:v>INCONCLUSIVE</x:v>
      </x:c>
      <x:c r="Q5058" s="34" t="str">
        <x:v>Feedback-Directed Random Test Generation/Result_Round2/Math_103/result.json</x:v>
      </x:c>
    </x:row>
    <x:row r="5059">
      <x:c r="A5059" s="34" t="str">
        <x:v>randoop</x:v>
      </x:c>
      <x:c r="B5059" s="34" t="str">
        <x:v>Math</x:v>
      </x:c>
      <x:c r="C5059" s="34" t="str">
        <x:v>Round2</x:v>
      </x:c>
      <x:c r="D5059" s="34" t="str">
        <x:v>Math_104</x:v>
      </x:c>
      <x:c r="E5059" s="34" t="str">
        <x:v>Condition</x:v>
      </x:c>
      <x:c r="F5059" s="34" t="n">
        <x:v>40</x:v>
      </x:c>
      <x:c r="G5059" s="34" t="str">
        <x:v>RECORDED</x:v>
      </x:c>
      <x:c r="H5059" s="38" t="n">
        <x:f>IF(ISNUMBER('Data'!I1643),'Data'!I1643*100,"")</x:f>
        <x:v>100</x:v>
      </x:c>
      <x:c r="I5059" s="34" t="str">
        <x:v>PASS</x:v>
      </x:c>
      <x:c r="J5059" s="34" t="str">
        <x:v>PASS</x:v>
      </x:c>
      <x:c r="K5059" s="34" t="str">
        <x:v>PASS</x:v>
      </x:c>
      <x:c r="L5059" s="34" t="str">
        <x:v>PASS</x:v>
      </x:c>
      <x:c r="M5059" s="34" t="str">
        <x:v>numeric coverage for applicable metric</x:v>
      </x:c>
      <x:c r="N5059" s="34" t="str">
        <x:v>Feedback-Directed Random Test Generation/Result_Round2/Math_104/result.json</x:v>
      </x:c>
      <x:c r="O5059" s="38" t="n">
        <x:f>IF(AND(G5059="RECORDED",ISNUMBER(H5059)),H5059,"")</x:f>
        <x:v>100</x:v>
      </x:c>
      <x:c r="P5059" s="34" t="str">
        <x:v>INCONCLUSIVE</x:v>
      </x:c>
      <x:c r="Q5059" s="34" t="str">
        <x:v>Feedback-Directed Random Test Generation/Result_Round2/Math_104/result.json</x:v>
      </x:c>
    </x:row>
    <x:row r="5060">
      <x:c r="A5060" s="34" t="str">
        <x:v>randoop</x:v>
      </x:c>
      <x:c r="B5060" s="34" t="str">
        <x:v>Math</x:v>
      </x:c>
      <x:c r="C5060" s="34" t="str">
        <x:v>Round2</x:v>
      </x:c>
      <x:c r="D5060" s="34" t="str">
        <x:v>Math_105</x:v>
      </x:c>
      <x:c r="E5060" s="34" t="str">
        <x:v>Condition</x:v>
      </x:c>
      <x:c r="F5060" s="34" t="n">
        <x:v>18</x:v>
      </x:c>
      <x:c r="G5060" s="34" t="str">
        <x:v>RECORDED</x:v>
      </x:c>
      <x:c r="H5060" s="38" t="n">
        <x:f>IF(ISNUMBER('Data'!I1644),'Data'!I1644*100,"")</x:f>
        <x:v>100</x:v>
      </x:c>
      <x:c r="I5060" s="34" t="str">
        <x:v>PASS</x:v>
      </x:c>
      <x:c r="J5060" s="34" t="str">
        <x:v>PASS</x:v>
      </x:c>
      <x:c r="K5060" s="34" t="str">
        <x:v>PASS</x:v>
      </x:c>
      <x:c r="L5060" s="34" t="str">
        <x:v>PASS</x:v>
      </x:c>
      <x:c r="M5060" s="34" t="str">
        <x:v>numeric coverage for applicable metric</x:v>
      </x:c>
      <x:c r="N5060" s="34" t="str">
        <x:v>Feedback-Directed Random Test Generation/Result_Round2/Math_105/result.json</x:v>
      </x:c>
      <x:c r="O5060" s="38" t="n">
        <x:f>IF(AND(G5060="RECORDED",ISNUMBER(H5060)),H5060,"")</x:f>
        <x:v>100</x:v>
      </x:c>
      <x:c r="P5060" s="34" t="str">
        <x:v>INCONCLUSIVE</x:v>
      </x:c>
      <x:c r="Q5060" s="34" t="str">
        <x:v>Feedback-Directed Random Test Generation/Result_Round2/Math_105/result.json</x:v>
      </x:c>
    </x:row>
    <x:row r="5061">
      <x:c r="A5061" s="34" t="str">
        <x:v>randoop</x:v>
      </x:c>
      <x:c r="B5061" s="34" t="str">
        <x:v>Math</x:v>
      </x:c>
      <x:c r="C5061" s="34" t="str">
        <x:v>Round2</x:v>
      </x:c>
      <x:c r="D5061" s="34" t="str">
        <x:v>Math_106</x:v>
      </x:c>
      <x:c r="E5061" s="34" t="str">
        <x:v>Condition</x:v>
      </x:c>
      <x:c r="F5061" s="34" t="n">
        <x:v>15</x:v>
      </x:c>
      <x:c r="G5061" s="34" t="str">
        <x:v>RECORDED</x:v>
      </x:c>
      <x:c r="H5061" s="38" t="n">
        <x:f>IF(ISNUMBER('Data'!I1645),'Data'!I1645*100,"")</x:f>
        <x:v>66.67</x:v>
      </x:c>
      <x:c r="I5061" s="34" t="str">
        <x:v>PASS</x:v>
      </x:c>
      <x:c r="J5061" s="34" t="str">
        <x:v>PASS</x:v>
      </x:c>
      <x:c r="K5061" s="34" t="str">
        <x:v>PASS</x:v>
      </x:c>
      <x:c r="L5061" s="34" t="str">
        <x:v>PASS</x:v>
      </x:c>
      <x:c r="M5061" s="34" t="str">
        <x:v>numeric coverage for applicable metric</x:v>
      </x:c>
      <x:c r="N5061" s="34" t="str">
        <x:v>Feedback-Directed Random Test Generation/Result_Round2/Math_106/result.json</x:v>
      </x:c>
      <x:c r="O5061" s="38" t="n">
        <x:f>IF(AND(G5061="RECORDED",ISNUMBER(H5061)),H5061,"")</x:f>
        <x:v>66.67</x:v>
      </x:c>
      <x:c r="P5061" s="34" t="str">
        <x:v>NOT_REVEALING</x:v>
      </x:c>
      <x:c r="Q5061" s="34" t="str">
        <x:v>Feedback-Directed Random Test Generation/Result_Round2/Math_106/result.json</x:v>
      </x:c>
    </x:row>
    <x:row r="5062">
      <x:c r="A5062" s="34" t="str">
        <x:v>randoop</x:v>
      </x:c>
      <x:c r="B5062" s="34" t="str">
        <x:v>Mockito</x:v>
      </x:c>
      <x:c r="C5062" s="34" t="str">
        <x:v>Round2</x:v>
      </x:c>
      <x:c r="D5062" s="34" t="str">
        <x:v>Mockito_1</x:v>
      </x:c>
      <x:c r="E5062" s="34" t="str">
        <x:v>Condition</x:v>
      </x:c>
      <x:c r="F5062" s="34" t="n">
        <x:v>0</x:v>
      </x:c>
      <x:c r="G5062" s="34" t="str">
        <x:v>A</x:v>
      </x:c>
      <x:c r="H5062" s="38" t="str">
        <x:f>IF(ISNUMBER('Data'!I1646),'Data'!I1646*100,"")</x:f>
      </x:c>
      <x:c r="I5062" s="34"/>
      <x:c r="J5062" s="34"/>
      <x:c r="K5062" s="34"/>
      <x:c r="L5062" s="34" t="str">
        <x:v>NOT_RUN</x:v>
      </x:c>
      <x:c r="M5062" s="34" t="str">
        <x:v>Latest same-round generation failed; older files/results are excluded</x:v>
      </x:c>
      <x:c r="N5062" s="34" t="str">
        <x:v>Feedback-Directed Random Test Generation/report_Round2.csv</x:v>
      </x:c>
      <x:c r="O5062" s="38" t="str">
        <x:f>IF(AND(G5062="RECORDED",ISNUMBER(H5062)),H5062,"")</x:f>
      </x:c>
      <x:c r="P5062" s="34" t="str">
        <x:v>FAIL</x:v>
      </x:c>
      <x:c r="Q5062" s="34"/>
    </x:row>
    <x:row r="5063">
      <x:c r="A5063" s="34" t="str">
        <x:v>randoop</x:v>
      </x:c>
      <x:c r="B5063" s="34" t="str">
        <x:v>Mockito</x:v>
      </x:c>
      <x:c r="C5063" s="34" t="str">
        <x:v>Round2</x:v>
      </x:c>
      <x:c r="D5063" s="34" t="str">
        <x:v>Mockito_2</x:v>
      </x:c>
      <x:c r="E5063" s="34" t="str">
        <x:v>Condition</x:v>
      </x:c>
      <x:c r="F5063" s="34" t="n">
        <x:v>0</x:v>
      </x:c>
      <x:c r="G5063" s="34" t="str">
        <x:v>A</x:v>
      </x:c>
      <x:c r="H5063" s="38" t="str">
        <x:f>IF(ISNUMBER('Data'!I1647),'Data'!I1647*100,"")</x:f>
      </x:c>
      <x:c r="I5063" s="34"/>
      <x:c r="J5063" s="34" t="str">
        <x:v>FAIL</x:v>
      </x:c>
      <x:c r="K5063" s="34"/>
      <x:c r="L5063" s="34" t="str">
        <x:v>NOT_RUN</x:v>
      </x:c>
      <x:c r="M5063" s="34" t="str">
        <x:v>coverage unavailable or execution/compile failed</x:v>
      </x:c>
      <x:c r="N5063" s="34" t="str">
        <x:v>Feedback-Directed Random Test Generation/Result_Round2/Mockito_2/result.json</x:v>
      </x:c>
      <x:c r="O5063" s="38" t="str">
        <x:f>IF(AND(G5063="RECORDED",ISNUMBER(H5063)),H5063,"")</x:f>
      </x:c>
      <x:c r="P5063" s="34" t="str">
        <x:v>NOT_AVAILABLE</x:v>
      </x:c>
      <x:c r="Q5063" s="34" t="str">
        <x:v>Feedback-Directed Random Test Generation/Result_Round2/Mockito_2/result.json</x:v>
      </x:c>
    </x:row>
    <x:row r="5064">
      <x:c r="A5064" s="34" t="str">
        <x:v>randoop</x:v>
      </x:c>
      <x:c r="B5064" s="34" t="str">
        <x:v>Mockito</x:v>
      </x:c>
      <x:c r="C5064" s="34" t="str">
        <x:v>Round2</x:v>
      </x:c>
      <x:c r="D5064" s="34" t="str">
        <x:v>Mockito_3</x:v>
      </x:c>
      <x:c r="E5064" s="34" t="str">
        <x:v>Condition</x:v>
      </x:c>
      <x:c r="F5064" s="34" t="n">
        <x:v>0</x:v>
      </x:c>
      <x:c r="G5064" s="34" t="str">
        <x:v>A</x:v>
      </x:c>
      <x:c r="H5064" s="38" t="str">
        <x:f>IF(ISNUMBER('Data'!I1648),'Data'!I1648*100,"")</x:f>
      </x:c>
      <x:c r="I5064" s="34"/>
      <x:c r="J5064" s="34"/>
      <x:c r="K5064" s="34"/>
      <x:c r="L5064" s="34" t="str">
        <x:v>NOT_RUN</x:v>
      </x:c>
      <x:c r="M5064" s="34" t="str">
        <x:v>Latest same-round generation failed; older files/results are excluded</x:v>
      </x:c>
      <x:c r="N5064" s="34" t="str">
        <x:v>Feedback-Directed Random Test Generation/report_Round2.csv</x:v>
      </x:c>
      <x:c r="O5064" s="38" t="str">
        <x:f>IF(AND(G5064="RECORDED",ISNUMBER(H5064)),H5064,"")</x:f>
      </x:c>
      <x:c r="P5064" s="34" t="str">
        <x:v>FAIL</x:v>
      </x:c>
      <x:c r="Q5064" s="34"/>
    </x:row>
    <x:row r="5065">
      <x:c r="A5065" s="34" t="str">
        <x:v>randoop</x:v>
      </x:c>
      <x:c r="B5065" s="34" t="str">
        <x:v>Mockito</x:v>
      </x:c>
      <x:c r="C5065" s="34" t="str">
        <x:v>Round2</x:v>
      </x:c>
      <x:c r="D5065" s="34" t="str">
        <x:v>Mockito_4</x:v>
      </x:c>
      <x:c r="E5065" s="34" t="str">
        <x:v>Condition</x:v>
      </x:c>
      <x:c r="F5065" s="34" t="n">
        <x:v>0</x:v>
      </x:c>
      <x:c r="G5065" s="34" t="str">
        <x:v>A</x:v>
      </x:c>
      <x:c r="H5065" s="38" t="str">
        <x:f>IF(ISNUMBER('Data'!I1649),'Data'!I1649*100,"")</x:f>
      </x:c>
      <x:c r="I5065" s="34"/>
      <x:c r="J5065" s="34"/>
      <x:c r="K5065" s="34"/>
      <x:c r="L5065" s="34" t="str">
        <x:v>NOT_RUN</x:v>
      </x:c>
      <x:c r="M5065" s="34" t="str">
        <x:v>Latest same-round generation failed; older files/results are excluded</x:v>
      </x:c>
      <x:c r="N5065" s="34" t="str">
        <x:v>Feedback-Directed Random Test Generation/report_Round2.csv</x:v>
      </x:c>
      <x:c r="O5065" s="38" t="str">
        <x:f>IF(AND(G5065="RECORDED",ISNUMBER(H5065)),H5065,"")</x:f>
      </x:c>
      <x:c r="P5065" s="34" t="str">
        <x:v>FAIL</x:v>
      </x:c>
      <x:c r="Q5065" s="34"/>
    </x:row>
    <x:row r="5066">
      <x:c r="A5066" s="34" t="str">
        <x:v>randoop</x:v>
      </x:c>
      <x:c r="B5066" s="34" t="str">
        <x:v>Mockito</x:v>
      </x:c>
      <x:c r="C5066" s="34" t="str">
        <x:v>Round2</x:v>
      </x:c>
      <x:c r="D5066" s="34" t="str">
        <x:v>Mockito_5</x:v>
      </x:c>
      <x:c r="E5066" s="34" t="str">
        <x:v>Condition</x:v>
      </x:c>
      <x:c r="F5066" s="34" t="n">
        <x:v>0</x:v>
      </x:c>
      <x:c r="G5066" s="34" t="str">
        <x:v>A</x:v>
      </x:c>
      <x:c r="H5066" s="38" t="str">
        <x:f>IF(ISNUMBER('Data'!I1650),'Data'!I1650*100,"")</x:f>
      </x:c>
      <x:c r="I5066" s="34"/>
      <x:c r="J5066" s="34"/>
      <x:c r="K5066" s="34"/>
      <x:c r="L5066" s="34" t="str">
        <x:v>NOT_RUN</x:v>
      </x:c>
      <x:c r="M5066" s="34" t="str">
        <x:v>Latest same-round generation failed; older files/results are excluded</x:v>
      </x:c>
      <x:c r="N5066" s="34" t="str">
        <x:v>Feedback-Directed Random Test Generation/report_Round2.csv</x:v>
      </x:c>
      <x:c r="O5066" s="38" t="str">
        <x:f>IF(AND(G5066="RECORDED",ISNUMBER(H5066)),H5066,"")</x:f>
      </x:c>
      <x:c r="P5066" s="34" t="str">
        <x:v>FAIL</x:v>
      </x:c>
      <x:c r="Q5066" s="34"/>
    </x:row>
    <x:row r="5067">
      <x:c r="A5067" s="34" t="str">
        <x:v>randoop</x:v>
      </x:c>
      <x:c r="B5067" s="34" t="str">
        <x:v>Mockito</x:v>
      </x:c>
      <x:c r="C5067" s="34" t="str">
        <x:v>Round2</x:v>
      </x:c>
      <x:c r="D5067" s="34" t="str">
        <x:v>Mockito_6</x:v>
      </x:c>
      <x:c r="E5067" s="34" t="str">
        <x:v>Condition</x:v>
      </x:c>
      <x:c r="F5067" s="34" t="n">
        <x:v>0</x:v>
      </x:c>
      <x:c r="G5067" s="34" t="str">
        <x:v>A</x:v>
      </x:c>
      <x:c r="H5067" s="38" t="str">
        <x:f>IF(ISNUMBER('Data'!I1651),'Data'!I1651*100,"")</x:f>
      </x:c>
      <x:c r="I5067" s="34"/>
      <x:c r="J5067" s="34"/>
      <x:c r="K5067" s="34"/>
      <x:c r="L5067" s="34" t="str">
        <x:v>NOT_RUN</x:v>
      </x:c>
      <x:c r="M5067" s="34" t="str">
        <x:v>Latest same-round generation failed; older files/results are excluded</x:v>
      </x:c>
      <x:c r="N5067" s="34" t="str">
        <x:v>Feedback-Directed Random Test Generation/report_Round2.csv</x:v>
      </x:c>
      <x:c r="O5067" s="38" t="str">
        <x:f>IF(AND(G5067="RECORDED",ISNUMBER(H5067)),H5067,"")</x:f>
      </x:c>
      <x:c r="P5067" s="34" t="str">
        <x:v>FAIL</x:v>
      </x:c>
      <x:c r="Q5067" s="34"/>
    </x:row>
    <x:row r="5068">
      <x:c r="A5068" s="34" t="str">
        <x:v>randoop</x:v>
      </x:c>
      <x:c r="B5068" s="34" t="str">
        <x:v>Mockito</x:v>
      </x:c>
      <x:c r="C5068" s="34" t="str">
        <x:v>Round2</x:v>
      </x:c>
      <x:c r="D5068" s="34" t="str">
        <x:v>Mockito_7</x:v>
      </x:c>
      <x:c r="E5068" s="34" t="str">
        <x:v>Condition</x:v>
      </x:c>
      <x:c r="F5068" s="34" t="n">
        <x:v>0</x:v>
      </x:c>
      <x:c r="G5068" s="34" t="str">
        <x:v>A</x:v>
      </x:c>
      <x:c r="H5068" s="38" t="str">
        <x:f>IF(ISNUMBER('Data'!I1652),'Data'!I1652*100,"")</x:f>
      </x:c>
      <x:c r="I5068" s="34"/>
      <x:c r="J5068" s="34"/>
      <x:c r="K5068" s="34"/>
      <x:c r="L5068" s="34" t="str">
        <x:v>NOT_RUN</x:v>
      </x:c>
      <x:c r="M5068" s="34" t="str">
        <x:v>Latest same-round generation failed; older files/results are excluded</x:v>
      </x:c>
      <x:c r="N5068" s="34" t="str">
        <x:v>Feedback-Directed Random Test Generation/report_Round2.csv</x:v>
      </x:c>
      <x:c r="O5068" s="38" t="str">
        <x:f>IF(AND(G5068="RECORDED",ISNUMBER(H5068)),H5068,"")</x:f>
      </x:c>
      <x:c r="P5068" s="34" t="str">
        <x:v>FAIL</x:v>
      </x:c>
      <x:c r="Q5068" s="34"/>
    </x:row>
    <x:row r="5069">
      <x:c r="A5069" s="34" t="str">
        <x:v>randoop</x:v>
      </x:c>
      <x:c r="B5069" s="34" t="str">
        <x:v>Mockito</x:v>
      </x:c>
      <x:c r="C5069" s="34" t="str">
        <x:v>Round2</x:v>
      </x:c>
      <x:c r="D5069" s="34" t="str">
        <x:v>Mockito_8</x:v>
      </x:c>
      <x:c r="E5069" s="34" t="str">
        <x:v>Condition</x:v>
      </x:c>
      <x:c r="F5069" s="34" t="n">
        <x:v>0</x:v>
      </x:c>
      <x:c r="G5069" s="34" t="str">
        <x:v>A</x:v>
      </x:c>
      <x:c r="H5069" s="38" t="str">
        <x:f>IF(ISNUMBER('Data'!I1653),'Data'!I1653*100,"")</x:f>
      </x:c>
      <x:c r="I5069" s="34"/>
      <x:c r="J5069" s="34"/>
      <x:c r="K5069" s="34"/>
      <x:c r="L5069" s="34" t="str">
        <x:v>NOT_RUN</x:v>
      </x:c>
      <x:c r="M5069" s="34" t="str">
        <x:v>Latest same-round generation failed; older files/results are excluded</x:v>
      </x:c>
      <x:c r="N5069" s="34" t="str">
        <x:v>Feedback-Directed Random Test Generation/report_Round2.csv</x:v>
      </x:c>
      <x:c r="O5069" s="38" t="str">
        <x:f>IF(AND(G5069="RECORDED",ISNUMBER(H5069)),H5069,"")</x:f>
      </x:c>
      <x:c r="P5069" s="34" t="str">
        <x:v>FAIL</x:v>
      </x:c>
      <x:c r="Q5069" s="34"/>
    </x:row>
    <x:row r="5070">
      <x:c r="A5070" s="34" t="str">
        <x:v>randoop</x:v>
      </x:c>
      <x:c r="B5070" s="34" t="str">
        <x:v>Mockito</x:v>
      </x:c>
      <x:c r="C5070" s="34" t="str">
        <x:v>Round2</x:v>
      </x:c>
      <x:c r="D5070" s="34" t="str">
        <x:v>Mockito_9</x:v>
      </x:c>
      <x:c r="E5070" s="34" t="str">
        <x:v>Condition</x:v>
      </x:c>
      <x:c r="F5070" s="34" t="n">
        <x:v>0</x:v>
      </x:c>
      <x:c r="G5070" s="34" t="str">
        <x:v>A</x:v>
      </x:c>
      <x:c r="H5070" s="38" t="str">
        <x:f>IF(ISNUMBER('Data'!I1654),'Data'!I1654*100,"")</x:f>
      </x:c>
      <x:c r="I5070" s="34"/>
      <x:c r="J5070" s="34"/>
      <x:c r="K5070" s="34"/>
      <x:c r="L5070" s="34" t="str">
        <x:v>NOT_RUN</x:v>
      </x:c>
      <x:c r="M5070" s="34" t="str">
        <x:v>Latest same-round generation failed; older files/results are excluded</x:v>
      </x:c>
      <x:c r="N5070" s="34" t="str">
        <x:v>Feedback-Directed Random Test Generation/report_Round2.csv</x:v>
      </x:c>
      <x:c r="O5070" s="38" t="str">
        <x:f>IF(AND(G5070="RECORDED",ISNUMBER(H5070)),H5070,"")</x:f>
      </x:c>
      <x:c r="P5070" s="34" t="str">
        <x:v>FAIL</x:v>
      </x:c>
      <x:c r="Q5070" s="34"/>
    </x:row>
    <x:row r="5071">
      <x:c r="A5071" s="34" t="str">
        <x:v>randoop</x:v>
      </x:c>
      <x:c r="B5071" s="34" t="str">
        <x:v>Mockito</x:v>
      </x:c>
      <x:c r="C5071" s="34" t="str">
        <x:v>Round2</x:v>
      </x:c>
      <x:c r="D5071" s="34" t="str">
        <x:v>Mockito_10</x:v>
      </x:c>
      <x:c r="E5071" s="34" t="str">
        <x:v>Condition</x:v>
      </x:c>
      <x:c r="F5071" s="34" t="n">
        <x:v>8</x:v>
      </x:c>
      <x:c r="G5071" s="34" t="str">
        <x:v>RECORDED</x:v>
      </x:c>
      <x:c r="H5071" s="38" t="n">
        <x:f>IF(ISNUMBER('Data'!I1655),'Data'!I1655*100,"")</x:f>
        <x:v>0</x:v>
      </x:c>
      <x:c r="I5071" s="34" t="str">
        <x:v>PASS</x:v>
      </x:c>
      <x:c r="J5071" s="34" t="str">
        <x:v>PASS</x:v>
      </x:c>
      <x:c r="K5071" s="34" t="str">
        <x:v>PASS</x:v>
      </x:c>
      <x:c r="L5071" s="34" t="str">
        <x:v>PASS</x:v>
      </x:c>
      <x:c r="M5071" s="34" t="str">
        <x:v>numeric coverage for applicable metric</x:v>
      </x:c>
      <x:c r="N5071" s="34" t="str">
        <x:v>Feedback-Directed Random Test Generation/Result_Round2/Mockito_10/result.json</x:v>
      </x:c>
      <x:c r="O5071" s="38" t="n">
        <x:f>IF(AND(G5071="RECORDED",ISNUMBER(H5071)),H5071,"")</x:f>
        <x:v>0</x:v>
      </x:c>
      <x:c r="P5071" s="34" t="str">
        <x:v>NOT_REVEALING</x:v>
      </x:c>
      <x:c r="Q5071" s="34" t="str">
        <x:v>Feedback-Directed Random Test Generation/Result_Round2/Mockito_10/result.json</x:v>
      </x:c>
    </x:row>
    <x:row r="5072">
      <x:c r="A5072" s="34" t="str">
        <x:v>randoop</x:v>
      </x:c>
      <x:c r="B5072" s="34" t="str">
        <x:v>Mockito</x:v>
      </x:c>
      <x:c r="C5072" s="34" t="str">
        <x:v>Round2</x:v>
      </x:c>
      <x:c r="D5072" s="34" t="str">
        <x:v>Mockito_11</x:v>
      </x:c>
      <x:c r="E5072" s="34" t="str">
        <x:v>Condition</x:v>
      </x:c>
      <x:c r="F5072" s="34" t="n">
        <x:v>6</x:v>
      </x:c>
      <x:c r="G5072" s="34" t="str">
        <x:v>RECORDED</x:v>
      </x:c>
      <x:c r="H5072" s="38" t="n">
        <x:f>IF(ISNUMBER('Data'!I1656),'Data'!I1656*100,"")</x:f>
        <x:v>0</x:v>
      </x:c>
      <x:c r="I5072" s="34" t="str">
        <x:v>PASS</x:v>
      </x:c>
      <x:c r="J5072" s="34" t="str">
        <x:v>PASS</x:v>
      </x:c>
      <x:c r="K5072" s="34" t="str">
        <x:v>PASS</x:v>
      </x:c>
      <x:c r="L5072" s="34" t="str">
        <x:v>PASS</x:v>
      </x:c>
      <x:c r="M5072" s="34" t="str">
        <x:v>numeric coverage for applicable metric</x:v>
      </x:c>
      <x:c r="N5072" s="34" t="str">
        <x:v>Feedback-Directed Random Test Generation/Result_Round2/Mockito_11/result.json</x:v>
      </x:c>
      <x:c r="O5072" s="38" t="n">
        <x:f>IF(AND(G5072="RECORDED",ISNUMBER(H5072)),H5072,"")</x:f>
        <x:v>0</x:v>
      </x:c>
      <x:c r="P5072" s="34" t="str">
        <x:v>NOT_REVEALING</x:v>
      </x:c>
      <x:c r="Q5072" s="34" t="str">
        <x:v>Feedback-Directed Random Test Generation/Result_Round2/Mockito_11/result.json</x:v>
      </x:c>
    </x:row>
    <x:row r="5073">
      <x:c r="A5073" s="34" t="str">
        <x:v>randoop</x:v>
      </x:c>
      <x:c r="B5073" s="34" t="str">
        <x:v>Mockito</x:v>
      </x:c>
      <x:c r="C5073" s="34" t="str">
        <x:v>Round2</x:v>
      </x:c>
      <x:c r="D5073" s="34" t="str">
        <x:v>Mockito_12</x:v>
      </x:c>
      <x:c r="E5073" s="34" t="str">
        <x:v>Condition</x:v>
      </x:c>
      <x:c r="F5073" s="34" t="n">
        <x:v>4</x:v>
      </x:c>
      <x:c r="G5073" s="34" t="str">
        <x:v>RECORDED</x:v>
      </x:c>
      <x:c r="H5073" s="38" t="n">
        <x:f>IF(ISNUMBER('Data'!I1657),'Data'!I1657*100,"")</x:f>
        <x:v>0</x:v>
      </x:c>
      <x:c r="I5073" s="34" t="str">
        <x:v>PASS</x:v>
      </x:c>
      <x:c r="J5073" s="34" t="str">
        <x:v>PASS</x:v>
      </x:c>
      <x:c r="K5073" s="34" t="str">
        <x:v>PASS</x:v>
      </x:c>
      <x:c r="L5073" s="34" t="str">
        <x:v>PASS</x:v>
      </x:c>
      <x:c r="M5073" s="34" t="str">
        <x:v>numeric coverage for applicable metric</x:v>
      </x:c>
      <x:c r="N5073" s="34" t="str">
        <x:v>Feedback-Directed Random Test Generation/Result_Round2/Mockito_12/result.json</x:v>
      </x:c>
      <x:c r="O5073" s="38" t="n">
        <x:f>IF(AND(G5073="RECORDED",ISNUMBER(H5073)),H5073,"")</x:f>
        <x:v>0</x:v>
      </x:c>
      <x:c r="P5073" s="34" t="str">
        <x:v>NOT_REVEALING</x:v>
      </x:c>
      <x:c r="Q5073" s="34" t="str">
        <x:v>Feedback-Directed Random Test Generation/Result_Round2/Mockito_12/result.json</x:v>
      </x:c>
    </x:row>
    <x:row r="5074">
      <x:c r="A5074" s="34" t="str">
        <x:v>randoop</x:v>
      </x:c>
      <x:c r="B5074" s="34" t="str">
        <x:v>Mockito</x:v>
      </x:c>
      <x:c r="C5074" s="34" t="str">
        <x:v>Round2</x:v>
      </x:c>
      <x:c r="D5074" s="34" t="str">
        <x:v>Mockito_13</x:v>
      </x:c>
      <x:c r="E5074" s="34" t="str">
        <x:v>Condition</x:v>
      </x:c>
      <x:c r="F5074" s="34" t="n">
        <x:v>10</x:v>
      </x:c>
      <x:c r="G5074" s="34" t="str">
        <x:v>RECORDED</x:v>
      </x:c>
      <x:c r="H5074" s="38" t="n">
        <x:f>IF(ISNUMBER('Data'!I1658),'Data'!I1658*100,"")</x:f>
        <x:v>10</x:v>
      </x:c>
      <x:c r="I5074" s="34" t="str">
        <x:v>PASS</x:v>
      </x:c>
      <x:c r="J5074" s="34" t="str">
        <x:v>PASS</x:v>
      </x:c>
      <x:c r="K5074" s="34" t="str">
        <x:v>PASS</x:v>
      </x:c>
      <x:c r="L5074" s="34" t="str">
        <x:v>PASS</x:v>
      </x:c>
      <x:c r="M5074" s="34" t="str">
        <x:v>numeric coverage for applicable metric</x:v>
      </x:c>
      <x:c r="N5074" s="34" t="str">
        <x:v>Feedback-Directed Random Test Generation/Result_Round2/Mockito_13/result.json</x:v>
      </x:c>
      <x:c r="O5074" s="38" t="n">
        <x:f>IF(AND(G5074="RECORDED",ISNUMBER(H5074)),H5074,"")</x:f>
        <x:v>10</x:v>
      </x:c>
      <x:c r="P5074" s="34" t="str">
        <x:v>NOT_REVEALING</x:v>
      </x:c>
      <x:c r="Q5074" s="34" t="str">
        <x:v>Feedback-Directed Random Test Generation/Result_Round2/Mockito_13/result.json</x:v>
      </x:c>
    </x:row>
    <x:row r="5075">
      <x:c r="A5075" s="34" t="str">
        <x:v>randoop</x:v>
      </x:c>
      <x:c r="B5075" s="34" t="str">
        <x:v>Mockito</x:v>
      </x:c>
      <x:c r="C5075" s="34" t="str">
        <x:v>Round2</x:v>
      </x:c>
      <x:c r="D5075" s="34" t="str">
        <x:v>Mockito_14</x:v>
      </x:c>
      <x:c r="E5075" s="34" t="str">
        <x:v>Condition</x:v>
      </x:c>
      <x:c r="F5075" s="34" t="n">
        <x:v>0</x:v>
      </x:c>
      <x:c r="G5075" s="34" t="str">
        <x:v>A</x:v>
      </x:c>
      <x:c r="H5075" s="38" t="str">
        <x:f>IF(ISNUMBER('Data'!I1659),'Data'!I1659*100,"")</x:f>
      </x:c>
      <x:c r="I5075" s="34"/>
      <x:c r="J5075" s="34"/>
      <x:c r="K5075" s="34"/>
      <x:c r="L5075" s="34" t="str">
        <x:v>NOT_RUN</x:v>
      </x:c>
      <x:c r="M5075" s="34" t="str">
        <x:v>Latest same-round generation failed; older files/results are excluded</x:v>
      </x:c>
      <x:c r="N5075" s="34" t="str">
        <x:v>Feedback-Directed Random Test Generation/report_Round2.csv</x:v>
      </x:c>
      <x:c r="O5075" s="38" t="str">
        <x:f>IF(AND(G5075="RECORDED",ISNUMBER(H5075)),H5075,"")</x:f>
      </x:c>
      <x:c r="P5075" s="34" t="str">
        <x:v>FAIL</x:v>
      </x:c>
      <x:c r="Q5075" s="34"/>
    </x:row>
    <x:row r="5076">
      <x:c r="A5076" s="34" t="str">
        <x:v>randoop</x:v>
      </x:c>
      <x:c r="B5076" s="34" t="str">
        <x:v>Mockito</x:v>
      </x:c>
      <x:c r="C5076" s="34" t="str">
        <x:v>Round2</x:v>
      </x:c>
      <x:c r="D5076" s="34" t="str">
        <x:v>Mockito_15</x:v>
      </x:c>
      <x:c r="E5076" s="34" t="str">
        <x:v>Condition</x:v>
      </x:c>
      <x:c r="F5076" s="34" t="n">
        <x:v>2</x:v>
      </x:c>
      <x:c r="G5076" s="34" t="str">
        <x:v>RECORDED</x:v>
      </x:c>
      <x:c r="H5076" s="38" t="n">
        <x:f>IF(ISNUMBER('Data'!I1660),'Data'!I1660*100,"")</x:f>
        <x:v>50</x:v>
      </x:c>
      <x:c r="I5076" s="34" t="str">
        <x:v>PASS</x:v>
      </x:c>
      <x:c r="J5076" s="34" t="str">
        <x:v>PASS</x:v>
      </x:c>
      <x:c r="K5076" s="34" t="str">
        <x:v>PASS</x:v>
      </x:c>
      <x:c r="L5076" s="34" t="str">
        <x:v>PASS</x:v>
      </x:c>
      <x:c r="M5076" s="34" t="str">
        <x:v>numeric coverage for applicable metric</x:v>
      </x:c>
      <x:c r="N5076" s="34" t="str">
        <x:v>Feedback-Directed Random Test Generation/Result_Round2/Mockito_15/result.json</x:v>
      </x:c>
      <x:c r="O5076" s="38" t="n">
        <x:f>IF(AND(G5076="RECORDED",ISNUMBER(H5076)),H5076,"")</x:f>
        <x:v>50</x:v>
      </x:c>
      <x:c r="P5076" s="34" t="str">
        <x:v>NOT_REVEALING</x:v>
      </x:c>
      <x:c r="Q5076" s="34" t="str">
        <x:v>Feedback-Directed Random Test Generation/Result_Round2/Mockito_15/result.json</x:v>
      </x:c>
    </x:row>
    <x:row r="5077">
      <x:c r="A5077" s="34" t="str">
        <x:v>randoop</x:v>
      </x:c>
      <x:c r="B5077" s="34" t="str">
        <x:v>Mockito</x:v>
      </x:c>
      <x:c r="C5077" s="34" t="str">
        <x:v>Round2</x:v>
      </x:c>
      <x:c r="D5077" s="34" t="str">
        <x:v>Mockito_16</x:v>
      </x:c>
      <x:c r="E5077" s="34" t="str">
        <x:v>Condition</x:v>
      </x:c>
      <x:c r="F5077" s="34" t="n">
        <x:v>0</x:v>
      </x:c>
      <x:c r="G5077" s="34" t="str">
        <x:v>A</x:v>
      </x:c>
      <x:c r="H5077" s="38" t="str">
        <x:f>IF(ISNUMBER('Data'!I1661),'Data'!I1661*100,"")</x:f>
      </x:c>
      <x:c r="I5077" s="34"/>
      <x:c r="J5077" s="34"/>
      <x:c r="K5077" s="34"/>
      <x:c r="L5077" s="34" t="str">
        <x:v>NOT_RUN</x:v>
      </x:c>
      <x:c r="M5077" s="34" t="str">
        <x:v>Latest same-round generation failed; older files/results are excluded</x:v>
      </x:c>
      <x:c r="N5077" s="34" t="str">
        <x:v>Feedback-Directed Random Test Generation/report_Round2.csv</x:v>
      </x:c>
      <x:c r="O5077" s="38" t="str">
        <x:f>IF(AND(G5077="RECORDED",ISNUMBER(H5077)),H5077,"")</x:f>
      </x:c>
      <x:c r="P5077" s="34" t="str">
        <x:v>FAIL</x:v>
      </x:c>
      <x:c r="Q5077" s="34"/>
    </x:row>
    <x:row r="5078">
      <x:c r="A5078" s="34" t="str">
        <x:v>randoop</x:v>
      </x:c>
      <x:c r="B5078" s="34" t="str">
        <x:v>Mockito</x:v>
      </x:c>
      <x:c r="C5078" s="34" t="str">
        <x:v>Round2</x:v>
      </x:c>
      <x:c r="D5078" s="34" t="str">
        <x:v>Mockito_17</x:v>
      </x:c>
      <x:c r="E5078" s="34" t="str">
        <x:v>Condition</x:v>
      </x:c>
      <x:c r="F5078" s="34" t="n">
        <x:v>32</x:v>
      </x:c>
      <x:c r="G5078" s="34" t="str">
        <x:v>RECORDED</x:v>
      </x:c>
      <x:c r="H5078" s="38" t="n">
        <x:f>IF(ISNUMBER('Data'!I1662),'Data'!I1662*100,"")</x:f>
        <x:v>59.38</x:v>
      </x:c>
      <x:c r="I5078" s="34" t="str">
        <x:v>PASS</x:v>
      </x:c>
      <x:c r="J5078" s="34" t="str">
        <x:v>PASS</x:v>
      </x:c>
      <x:c r="K5078" s="34" t="str">
        <x:v>PASS</x:v>
      </x:c>
      <x:c r="L5078" s="34" t="str">
        <x:v>PASS</x:v>
      </x:c>
      <x:c r="M5078" s="34" t="str">
        <x:v>numeric coverage for applicable metric</x:v>
      </x:c>
      <x:c r="N5078" s="34" t="str">
        <x:v>Feedback-Directed Random Test Generation/Result_Round2/Mockito_17/result.json</x:v>
      </x:c>
      <x:c r="O5078" s="38" t="n">
        <x:f>IF(AND(G5078="RECORDED",ISNUMBER(H5078)),H5078,"")</x:f>
        <x:v>59.38</x:v>
      </x:c>
      <x:c r="P5078" s="34" t="str">
        <x:v>INCONCLUSIVE</x:v>
      </x:c>
      <x:c r="Q5078" s="34" t="str">
        <x:v>Feedback-Directed Random Test Generation/Result_Round2/Mockito_17/result.json</x:v>
      </x:c>
    </x:row>
    <x:row r="5079">
      <x:c r="A5079" s="34" t="str">
        <x:v>randoop</x:v>
      </x:c>
      <x:c r="B5079" s="34" t="str">
        <x:v>Mockito</x:v>
      </x:c>
      <x:c r="C5079" s="34" t="str">
        <x:v>Round2</x:v>
      </x:c>
      <x:c r="D5079" s="34" t="str">
        <x:v>Mockito_18</x:v>
      </x:c>
      <x:c r="E5079" s="34" t="str">
        <x:v>Condition</x:v>
      </x:c>
      <x:c r="F5079" s="34" t="n">
        <x:v>0</x:v>
      </x:c>
      <x:c r="G5079" s="34" t="str">
        <x:v>A</x:v>
      </x:c>
      <x:c r="H5079" s="38" t="str">
        <x:f>IF(ISNUMBER('Data'!I1663),'Data'!I1663*100,"")</x:f>
      </x:c>
      <x:c r="I5079" s="34"/>
      <x:c r="J5079" s="34"/>
      <x:c r="K5079" s="34"/>
      <x:c r="L5079" s="34" t="str">
        <x:v>NOT_RUN</x:v>
      </x:c>
      <x:c r="M5079" s="34" t="str">
        <x:v>Latest same-round generation failed; older files/results are excluded</x:v>
      </x:c>
      <x:c r="N5079" s="34" t="str">
        <x:v>Feedback-Directed Random Test Generation/report_Round2.csv</x:v>
      </x:c>
      <x:c r="O5079" s="38" t="str">
        <x:f>IF(AND(G5079="RECORDED",ISNUMBER(H5079)),H5079,"")</x:f>
      </x:c>
      <x:c r="P5079" s="34" t="str">
        <x:v>FAIL</x:v>
      </x:c>
      <x:c r="Q5079" s="34"/>
    </x:row>
    <x:row r="5080">
      <x:c r="A5080" s="34" t="str">
        <x:v>randoop</x:v>
      </x:c>
      <x:c r="B5080" s="34" t="str">
        <x:v>Mockito</x:v>
      </x:c>
      <x:c r="C5080" s="34" t="str">
        <x:v>Round2</x:v>
      </x:c>
      <x:c r="D5080" s="34" t="str">
        <x:v>Mockito_19</x:v>
      </x:c>
      <x:c r="E5080" s="34" t="str">
        <x:v>Condition</x:v>
      </x:c>
      <x:c r="F5080" s="34" t="n">
        <x:v>0</x:v>
      </x:c>
      <x:c r="G5080" s="34" t="str">
        <x:v>A</x:v>
      </x:c>
      <x:c r="H5080" s="38" t="str">
        <x:f>IF(ISNUMBER('Data'!I1664),'Data'!I1664*100,"")</x:f>
      </x:c>
      <x:c r="I5080" s="34"/>
      <x:c r="J5080" s="34"/>
      <x:c r="K5080" s="34"/>
      <x:c r="L5080" s="34" t="str">
        <x:v>NOT_RUN</x:v>
      </x:c>
      <x:c r="M5080" s="34" t="str">
        <x:v>Latest same-round generation failed; older files/results are excluded</x:v>
      </x:c>
      <x:c r="N5080" s="34" t="str">
        <x:v>Feedback-Directed Random Test Generation/report_Round2.csv</x:v>
      </x:c>
      <x:c r="O5080" s="38" t="str">
        <x:f>IF(AND(G5080="RECORDED",ISNUMBER(H5080)),H5080,"")</x:f>
      </x:c>
      <x:c r="P5080" s="34" t="str">
        <x:v>FAIL</x:v>
      </x:c>
      <x:c r="Q5080" s="34"/>
    </x:row>
    <x:row r="5081">
      <x:c r="A5081" s="34" t="str">
        <x:v>randoop</x:v>
      </x:c>
      <x:c r="B5081" s="34" t="str">
        <x:v>Mockito</x:v>
      </x:c>
      <x:c r="C5081" s="34" t="str">
        <x:v>Round2</x:v>
      </x:c>
      <x:c r="D5081" s="34" t="str">
        <x:v>Mockito_20</x:v>
      </x:c>
      <x:c r="E5081" s="34" t="str">
        <x:v>Condition</x:v>
      </x:c>
      <x:c r="F5081" s="34" t="n">
        <x:v>0</x:v>
      </x:c>
      <x:c r="G5081" s="34" t="str">
        <x:v>A</x:v>
      </x:c>
      <x:c r="H5081" s="38" t="str">
        <x:f>IF(ISNUMBER('Data'!I1665),'Data'!I1665*100,"")</x:f>
      </x:c>
      <x:c r="I5081" s="34"/>
      <x:c r="J5081" s="34"/>
      <x:c r="K5081" s="34"/>
      <x:c r="L5081" s="34" t="str">
        <x:v>NOT_RUN</x:v>
      </x:c>
      <x:c r="M5081" s="34" t="str">
        <x:v>Latest same-round generation failed; older files/results are excluded</x:v>
      </x:c>
      <x:c r="N5081" s="34" t="str">
        <x:v>Feedback-Directed Random Test Generation/report_Round2.csv</x:v>
      </x:c>
      <x:c r="O5081" s="38" t="str">
        <x:f>IF(AND(G5081="RECORDED",ISNUMBER(H5081)),H5081,"")</x:f>
      </x:c>
      <x:c r="P5081" s="34" t="str">
        <x:v>FAIL</x:v>
      </x:c>
      <x:c r="Q5081" s="34"/>
    </x:row>
    <x:row r="5082">
      <x:c r="A5082" s="34" t="str">
        <x:v>randoop</x:v>
      </x:c>
      <x:c r="B5082" s="34" t="str">
        <x:v>Mockito</x:v>
      </x:c>
      <x:c r="C5082" s="34" t="str">
        <x:v>Round2</x:v>
      </x:c>
      <x:c r="D5082" s="34" t="str">
        <x:v>Mockito_21</x:v>
      </x:c>
      <x:c r="E5082" s="34" t="str">
        <x:v>Condition</x:v>
      </x:c>
      <x:c r="F5082" s="34" t="n">
        <x:v>2</x:v>
      </x:c>
      <x:c r="G5082" s="34" t="str">
        <x:v>RECORDED</x:v>
      </x:c>
      <x:c r="H5082" s="38" t="n">
        <x:f>IF(ISNUMBER('Data'!I1666),'Data'!I1666*100,"")</x:f>
        <x:v>0</x:v>
      </x:c>
      <x:c r="I5082" s="34" t="str">
        <x:v>PASS</x:v>
      </x:c>
      <x:c r="J5082" s="34" t="str">
        <x:v>PASS</x:v>
      </x:c>
      <x:c r="K5082" s="34" t="str">
        <x:v>PASS</x:v>
      </x:c>
      <x:c r="L5082" s="34" t="str">
        <x:v>PASS</x:v>
      </x:c>
      <x:c r="M5082" s="34" t="str">
        <x:v>numeric coverage for applicable metric</x:v>
      </x:c>
      <x:c r="N5082" s="34" t="str">
        <x:v>Feedback-Directed Random Test Generation/Result_Round2/Mockito_21/result.json</x:v>
      </x:c>
      <x:c r="O5082" s="38" t="n">
        <x:f>IF(AND(G5082="RECORDED",ISNUMBER(H5082)),H5082,"")</x:f>
        <x:v>0</x:v>
      </x:c>
      <x:c r="P5082" s="34" t="str">
        <x:v>NOT_REVEALING</x:v>
      </x:c>
      <x:c r="Q5082" s="34" t="str">
        <x:v>Feedback-Directed Random Test Generation/Result_Round2/Mockito_21/result.json</x:v>
      </x:c>
    </x:row>
    <x:row r="5083">
      <x:c r="A5083" s="34" t="str">
        <x:v>randoop</x:v>
      </x:c>
      <x:c r="B5083" s="34" t="str">
        <x:v>Mockito</x:v>
      </x:c>
      <x:c r="C5083" s="34" t="str">
        <x:v>Round2</x:v>
      </x:c>
      <x:c r="D5083" s="34" t="str">
        <x:v>Mockito_22</x:v>
      </x:c>
      <x:c r="E5083" s="34" t="str">
        <x:v>Condition</x:v>
      </x:c>
      <x:c r="F5083" s="34" t="n">
        <x:v>24</x:v>
      </x:c>
      <x:c r="G5083" s="34" t="str">
        <x:v>RECORDED</x:v>
      </x:c>
      <x:c r="H5083" s="38" t="n">
        <x:f>IF(ISNUMBER('Data'!I1667),'Data'!I1667*100,"")</x:f>
        <x:v>37.5</x:v>
      </x:c>
      <x:c r="I5083" s="34" t="str">
        <x:v>PASS</x:v>
      </x:c>
      <x:c r="J5083" s="34" t="str">
        <x:v>PASS</x:v>
      </x:c>
      <x:c r="K5083" s="34" t="str">
        <x:v>PASS</x:v>
      </x:c>
      <x:c r="L5083" s="34" t="str">
        <x:v>PASS</x:v>
      </x:c>
      <x:c r="M5083" s="34" t="str">
        <x:v>numeric coverage for applicable metric</x:v>
      </x:c>
      <x:c r="N5083" s="34" t="str">
        <x:v>Feedback-Directed Random Test Generation/Result_Round2/Mockito_22/result.json</x:v>
      </x:c>
      <x:c r="O5083" s="38" t="n">
        <x:f>IF(AND(G5083="RECORDED",ISNUMBER(H5083)),H5083,"")</x:f>
        <x:v>37.5</x:v>
      </x:c>
      <x:c r="P5083" s="34" t="str">
        <x:v>NOT_REVEALING</x:v>
      </x:c>
      <x:c r="Q5083" s="34" t="str">
        <x:v>Feedback-Directed Random Test Generation/Result_Round2/Mockito_22/result.json</x:v>
      </x:c>
    </x:row>
    <x:row r="5084">
      <x:c r="A5084" s="34" t="str">
        <x:v>randoop</x:v>
      </x:c>
      <x:c r="B5084" s="34" t="str">
        <x:v>Mockito</x:v>
      </x:c>
      <x:c r="C5084" s="34" t="str">
        <x:v>Round2</x:v>
      </x:c>
      <x:c r="D5084" s="34" t="str">
        <x:v>Mockito_23</x:v>
      </x:c>
      <x:c r="E5084" s="34" t="str">
        <x:v>Condition</x:v>
      </x:c>
      <x:c r="F5084" s="34" t="n">
        <x:v>8</x:v>
      </x:c>
      <x:c r="G5084" s="34" t="str">
        <x:v>RECORDED</x:v>
      </x:c>
      <x:c r="H5084" s="38" t="n">
        <x:f>IF(ISNUMBER('Data'!I1668),'Data'!I1668*100,"")</x:f>
        <x:v>0</x:v>
      </x:c>
      <x:c r="I5084" s="34" t="str">
        <x:v>PASS</x:v>
      </x:c>
      <x:c r="J5084" s="34" t="str">
        <x:v>PASS</x:v>
      </x:c>
      <x:c r="K5084" s="34" t="str">
        <x:v>PASS</x:v>
      </x:c>
      <x:c r="L5084" s="34" t="str">
        <x:v>PASS</x:v>
      </x:c>
      <x:c r="M5084" s="34" t="str">
        <x:v>numeric coverage for applicable metric</x:v>
      </x:c>
      <x:c r="N5084" s="34" t="str">
        <x:v>Feedback-Directed Random Test Generation/Result_Round2/Mockito_23/result.json</x:v>
      </x:c>
      <x:c r="O5084" s="38" t="n">
        <x:f>IF(AND(G5084="RECORDED",ISNUMBER(H5084)),H5084,"")</x:f>
        <x:v>0</x:v>
      </x:c>
      <x:c r="P5084" s="34" t="str">
        <x:v>NOT_REVEALING</x:v>
      </x:c>
      <x:c r="Q5084" s="34" t="str">
        <x:v>Feedback-Directed Random Test Generation/Result_Round2/Mockito_23/result.json</x:v>
      </x:c>
    </x:row>
    <x:row r="5085">
      <x:c r="A5085" s="34" t="str">
        <x:v>randoop</x:v>
      </x:c>
      <x:c r="B5085" s="34" t="str">
        <x:v>Mockito</x:v>
      </x:c>
      <x:c r="C5085" s="34" t="str">
        <x:v>Round2</x:v>
      </x:c>
      <x:c r="D5085" s="34" t="str">
        <x:v>Mockito_24</x:v>
      </x:c>
      <x:c r="E5085" s="34" t="str">
        <x:v>Condition</x:v>
      </x:c>
      <x:c r="F5085" s="34" t="n">
        <x:v>36</x:v>
      </x:c>
      <x:c r="G5085" s="34" t="str">
        <x:v>RECORDED</x:v>
      </x:c>
      <x:c r="H5085" s="38" t="n">
        <x:f>IF(ISNUMBER('Data'!I1669),'Data'!I1669*100,"")</x:f>
        <x:v>0</x:v>
      </x:c>
      <x:c r="I5085" s="34" t="str">
        <x:v>PASS</x:v>
      </x:c>
      <x:c r="J5085" s="34" t="str">
        <x:v>PASS</x:v>
      </x:c>
      <x:c r="K5085" s="34" t="str">
        <x:v>PASS</x:v>
      </x:c>
      <x:c r="L5085" s="34" t="str">
        <x:v>PASS</x:v>
      </x:c>
      <x:c r="M5085" s="34" t="str">
        <x:v>numeric coverage for applicable metric</x:v>
      </x:c>
      <x:c r="N5085" s="34" t="str">
        <x:v>Feedback-Directed Random Test Generation/Result_Round2/Mockito_24/result.json</x:v>
      </x:c>
      <x:c r="O5085" s="38" t="n">
        <x:f>IF(AND(G5085="RECORDED",ISNUMBER(H5085)),H5085,"")</x:f>
        <x:v>0</x:v>
      </x:c>
      <x:c r="P5085" s="34" t="str">
        <x:v>NOT_REVEALING</x:v>
      </x:c>
      <x:c r="Q5085" s="34" t="str">
        <x:v>Feedback-Directed Random Test Generation/Result_Round2/Mockito_24/result.json</x:v>
      </x:c>
    </x:row>
    <x:row r="5086">
      <x:c r="A5086" s="34" t="str">
        <x:v>randoop</x:v>
      </x:c>
      <x:c r="B5086" s="34" t="str">
        <x:v>Mockito</x:v>
      </x:c>
      <x:c r="C5086" s="34" t="str">
        <x:v>Round2</x:v>
      </x:c>
      <x:c r="D5086" s="34" t="str">
        <x:v>Mockito_25</x:v>
      </x:c>
      <x:c r="E5086" s="34" t="str">
        <x:v>Condition</x:v>
      </x:c>
      <x:c r="F5086" s="34" t="n">
        <x:v>6</x:v>
      </x:c>
      <x:c r="G5086" s="34" t="str">
        <x:v>RECORDED</x:v>
      </x:c>
      <x:c r="H5086" s="38" t="n">
        <x:f>IF(ISNUMBER('Data'!I1670),'Data'!I1670*100,"")</x:f>
        <x:v>0</x:v>
      </x:c>
      <x:c r="I5086" s="34" t="str">
        <x:v>PASS</x:v>
      </x:c>
      <x:c r="J5086" s="34" t="str">
        <x:v>PASS</x:v>
      </x:c>
      <x:c r="K5086" s="34" t="str">
        <x:v>PASS</x:v>
      </x:c>
      <x:c r="L5086" s="34" t="str">
        <x:v>PASS</x:v>
      </x:c>
      <x:c r="M5086" s="34" t="str">
        <x:v>numeric coverage for applicable metric</x:v>
      </x:c>
      <x:c r="N5086" s="34" t="str">
        <x:v>Feedback-Directed Random Test Generation/Result_Round2/Mockito_25/result.json</x:v>
      </x:c>
      <x:c r="O5086" s="38" t="n">
        <x:f>IF(AND(G5086="RECORDED",ISNUMBER(H5086)),H5086,"")</x:f>
        <x:v>0</x:v>
      </x:c>
      <x:c r="P5086" s="34" t="str">
        <x:v>NOT_REVEALING</x:v>
      </x:c>
      <x:c r="Q5086" s="34" t="str">
        <x:v>Feedback-Directed Random Test Generation/Result_Round2/Mockito_25/result.json</x:v>
      </x:c>
    </x:row>
    <x:row r="5087">
      <x:c r="A5087" s="34" t="str">
        <x:v>randoop</x:v>
      </x:c>
      <x:c r="B5087" s="34" t="str">
        <x:v>Mockito</x:v>
      </x:c>
      <x:c r="C5087" s="34" t="str">
        <x:v>Round2</x:v>
      </x:c>
      <x:c r="D5087" s="34" t="str">
        <x:v>Mockito_26</x:v>
      </x:c>
      <x:c r="E5087" s="34" t="str">
        <x:v>Condition</x:v>
      </x:c>
      <x:c r="F5087" s="34" t="n">
        <x:v>2</x:v>
      </x:c>
      <x:c r="G5087" s="34" t="str">
        <x:v>RECORDED</x:v>
      </x:c>
      <x:c r="H5087" s="38" t="n">
        <x:f>IF(ISNUMBER('Data'!I1671),'Data'!I1671*100,"")</x:f>
        <x:v>0</x:v>
      </x:c>
      <x:c r="I5087" s="34" t="str">
        <x:v>PASS</x:v>
      </x:c>
      <x:c r="J5087" s="34" t="str">
        <x:v>PASS</x:v>
      </x:c>
      <x:c r="K5087" s="34" t="str">
        <x:v>PASS</x:v>
      </x:c>
      <x:c r="L5087" s="34" t="str">
        <x:v>PASS</x:v>
      </x:c>
      <x:c r="M5087" s="34" t="str">
        <x:v>numeric coverage for applicable metric</x:v>
      </x:c>
      <x:c r="N5087" s="34" t="str">
        <x:v>Feedback-Directed Random Test Generation/Result_Round2/Mockito_26/result.json</x:v>
      </x:c>
      <x:c r="O5087" s="38" t="n">
        <x:f>IF(AND(G5087="RECORDED",ISNUMBER(H5087)),H5087,"")</x:f>
        <x:v>0</x:v>
      </x:c>
      <x:c r="P5087" s="34" t="str">
        <x:v>NOT_REVEALING</x:v>
      </x:c>
      <x:c r="Q5087" s="34" t="str">
        <x:v>Feedback-Directed Random Test Generation/Result_Round2/Mockito_26/result.json</x:v>
      </x:c>
    </x:row>
    <x:row r="5088">
      <x:c r="A5088" s="34" t="str">
        <x:v>randoop</x:v>
      </x:c>
      <x:c r="B5088" s="34" t="str">
        <x:v>Mockito</x:v>
      </x:c>
      <x:c r="C5088" s="34" t="str">
        <x:v>Round2</x:v>
      </x:c>
      <x:c r="D5088" s="34" t="str">
        <x:v>Mockito_27</x:v>
      </x:c>
      <x:c r="E5088" s="34" t="str">
        <x:v>Condition</x:v>
      </x:c>
      <x:c r="F5088" s="34" t="n">
        <x:v>22</x:v>
      </x:c>
      <x:c r="G5088" s="34" t="str">
        <x:v>RECORDED</x:v>
      </x:c>
      <x:c r="H5088" s="38" t="n">
        <x:f>IF(ISNUMBER('Data'!I1672),'Data'!I1672*100,"")</x:f>
        <x:v>36.36</x:v>
      </x:c>
      <x:c r="I5088" s="34" t="str">
        <x:v>PASS</x:v>
      </x:c>
      <x:c r="J5088" s="34" t="str">
        <x:v>PASS</x:v>
      </x:c>
      <x:c r="K5088" s="34" t="str">
        <x:v>PASS</x:v>
      </x:c>
      <x:c r="L5088" s="34" t="str">
        <x:v>PASS</x:v>
      </x:c>
      <x:c r="M5088" s="34" t="str">
        <x:v>numeric coverage for applicable metric</x:v>
      </x:c>
      <x:c r="N5088" s="34" t="str">
        <x:v>Feedback-Directed Random Test Generation/Result_Round2/Mockito_27/result.json</x:v>
      </x:c>
      <x:c r="O5088" s="38" t="n">
        <x:f>IF(AND(G5088="RECORDED",ISNUMBER(H5088)),H5088,"")</x:f>
        <x:v>36.36</x:v>
      </x:c>
      <x:c r="P5088" s="34" t="str">
        <x:v>NOT_REVEALING</x:v>
      </x:c>
      <x:c r="Q5088" s="34" t="str">
        <x:v>Feedback-Directed Random Test Generation/Result_Round2/Mockito_27/result.json</x:v>
      </x:c>
    </x:row>
    <x:row r="5089">
      <x:c r="A5089" s="34" t="str">
        <x:v>randoop</x:v>
      </x:c>
      <x:c r="B5089" s="34" t="str">
        <x:v>Mockito</x:v>
      </x:c>
      <x:c r="C5089" s="34" t="str">
        <x:v>Round2</x:v>
      </x:c>
      <x:c r="D5089" s="34" t="str">
        <x:v>Mockito_28</x:v>
      </x:c>
      <x:c r="E5089" s="34" t="str">
        <x:v>Condition</x:v>
      </x:c>
      <x:c r="F5089" s="34" t="n">
        <x:v>10</x:v>
      </x:c>
      <x:c r="G5089" s="34" t="str">
        <x:v>RECORDED</x:v>
      </x:c>
      <x:c r="H5089" s="38" t="n">
        <x:f>IF(ISNUMBER('Data'!I1673),'Data'!I1673*100,"")</x:f>
        <x:v>10</x:v>
      </x:c>
      <x:c r="I5089" s="34" t="str">
        <x:v>PASS</x:v>
      </x:c>
      <x:c r="J5089" s="34" t="str">
        <x:v>PASS</x:v>
      </x:c>
      <x:c r="K5089" s="34" t="str">
        <x:v>PASS</x:v>
      </x:c>
      <x:c r="L5089" s="34" t="str">
        <x:v>PASS</x:v>
      </x:c>
      <x:c r="M5089" s="34" t="str">
        <x:v>numeric coverage for applicable metric</x:v>
      </x:c>
      <x:c r="N5089" s="34" t="str">
        <x:v>Feedback-Directed Random Test Generation/Result_Round2/Mockito_28/result.json</x:v>
      </x:c>
      <x:c r="O5089" s="38" t="n">
        <x:f>IF(AND(G5089="RECORDED",ISNUMBER(H5089)),H5089,"")</x:f>
        <x:v>10</x:v>
      </x:c>
      <x:c r="P5089" s="34" t="str">
        <x:v>NOT_REVEALING</x:v>
      </x:c>
      <x:c r="Q5089" s="34" t="str">
        <x:v>Feedback-Directed Random Test Generation/Result_Round2/Mockito_28/result.json</x:v>
      </x:c>
    </x:row>
    <x:row r="5090">
      <x:c r="A5090" s="34" t="str">
        <x:v>randoop</x:v>
      </x:c>
      <x:c r="B5090" s="34" t="str">
        <x:v>Mockito</x:v>
      </x:c>
      <x:c r="C5090" s="34" t="str">
        <x:v>Round2</x:v>
      </x:c>
      <x:c r="D5090" s="34" t="str">
        <x:v>Mockito_29</x:v>
      </x:c>
      <x:c r="E5090" s="34" t="str">
        <x:v>Condition</x:v>
      </x:c>
      <x:c r="F5090" s="34" t="n">
        <x:v>6</x:v>
      </x:c>
      <x:c r="G5090" s="34" t="str">
        <x:v>RECORDED</x:v>
      </x:c>
      <x:c r="H5090" s="38" t="n">
        <x:f>IF(ISNUMBER('Data'!I1674),'Data'!I1674*100,"")</x:f>
        <x:v>100</x:v>
      </x:c>
      <x:c r="I5090" s="34" t="str">
        <x:v>PASS</x:v>
      </x:c>
      <x:c r="J5090" s="34" t="str">
        <x:v>PASS</x:v>
      </x:c>
      <x:c r="K5090" s="34" t="str">
        <x:v>PASS</x:v>
      </x:c>
      <x:c r="L5090" s="34" t="str">
        <x:v>PASS</x:v>
      </x:c>
      <x:c r="M5090" s="34" t="str">
        <x:v>numeric coverage for applicable metric</x:v>
      </x:c>
      <x:c r="N5090" s="34" t="str">
        <x:v>Feedback-Directed Random Test Generation/Result_Round2/Mockito_29/result.json</x:v>
      </x:c>
      <x:c r="O5090" s="38" t="n">
        <x:f>IF(AND(G5090="RECORDED",ISNUMBER(H5090)),H5090,"")</x:f>
        <x:v>100</x:v>
      </x:c>
      <x:c r="P5090" s="34" t="str">
        <x:v>INCONCLUSIVE</x:v>
      </x:c>
      <x:c r="Q5090" s="34" t="str">
        <x:v>Feedback-Directed Random Test Generation/Result_Round2/Mockito_29/result.json</x:v>
      </x:c>
    </x:row>
    <x:row r="5091">
      <x:c r="A5091" s="34" t="str">
        <x:v>randoop</x:v>
      </x:c>
      <x:c r="B5091" s="34" t="str">
        <x:v>Mockito</x:v>
      </x:c>
      <x:c r="C5091" s="34" t="str">
        <x:v>Round2</x:v>
      </x:c>
      <x:c r="D5091" s="34" t="str">
        <x:v>Mockito_30</x:v>
      </x:c>
      <x:c r="E5091" s="34" t="str">
        <x:v>Condition</x:v>
      </x:c>
      <x:c r="F5091" s="34" t="n">
        <x:v>14</x:v>
      </x:c>
      <x:c r="G5091" s="34" t="str">
        <x:v>RECORDED</x:v>
      </x:c>
      <x:c r="H5091" s="38" t="n">
        <x:f>IF(ISNUMBER('Data'!I1675),'Data'!I1675*100,"")</x:f>
        <x:v>7.139999999999999</x:v>
      </x:c>
      <x:c r="I5091" s="34" t="str">
        <x:v>PASS</x:v>
      </x:c>
      <x:c r="J5091" s="34" t="str">
        <x:v>PASS</x:v>
      </x:c>
      <x:c r="K5091" s="34" t="str">
        <x:v>PASS</x:v>
      </x:c>
      <x:c r="L5091" s="34" t="str">
        <x:v>FAIL</x:v>
      </x:c>
      <x:c r="M5091" s="34" t="str">
        <x:v>numeric coverage for applicable metric</x:v>
      </x:c>
      <x:c r="N5091" s="34" t="str">
        <x:v>Feedback-Directed Random Test Generation/Result_Round2/Mockito_30/result.json</x:v>
      </x:c>
      <x:c r="O5091" s="38" t="n">
        <x:f>IF(AND(G5091="RECORDED",ISNUMBER(H5091)),H5091,"")</x:f>
        <x:v>7.139999999999999</x:v>
      </x:c>
      <x:c r="P5091" s="34" t="str">
        <x:v>NOT_AVAILABLE</x:v>
      </x:c>
      <x:c r="Q5091" s="34" t="str">
        <x:v>Feedback-Directed Random Test Generation/Result_Round2/Mockito_30/result.json</x:v>
      </x:c>
    </x:row>
    <x:row r="5092">
      <x:c r="A5092" s="34" t="str">
        <x:v>randoop</x:v>
      </x:c>
      <x:c r="B5092" s="34" t="str">
        <x:v>Mockito</x:v>
      </x:c>
      <x:c r="C5092" s="34" t="str">
        <x:v>Round2</x:v>
      </x:c>
      <x:c r="D5092" s="34" t="str">
        <x:v>Mockito_31</x:v>
      </x:c>
      <x:c r="E5092" s="34" t="str">
        <x:v>Condition</x:v>
      </x:c>
      <x:c r="F5092" s="34" t="n">
        <x:v>6</x:v>
      </x:c>
      <x:c r="G5092" s="34" t="str">
        <x:v>RECORDED</x:v>
      </x:c>
      <x:c r="H5092" s="38" t="n">
        <x:f>IF(ISNUMBER('Data'!I1676),'Data'!I1676*100,"")</x:f>
        <x:v>0</x:v>
      </x:c>
      <x:c r="I5092" s="34" t="str">
        <x:v>PASS</x:v>
      </x:c>
      <x:c r="J5092" s="34" t="str">
        <x:v>PASS</x:v>
      </x:c>
      <x:c r="K5092" s="34" t="str">
        <x:v>PASS</x:v>
      </x:c>
      <x:c r="L5092" s="34" t="str">
        <x:v>PASS</x:v>
      </x:c>
      <x:c r="M5092" s="34" t="str">
        <x:v>numeric coverage for applicable metric</x:v>
      </x:c>
      <x:c r="N5092" s="34" t="str">
        <x:v>Feedback-Directed Random Test Generation/Result_Round2/Mockito_31/result.json</x:v>
      </x:c>
      <x:c r="O5092" s="38" t="n">
        <x:f>IF(AND(G5092="RECORDED",ISNUMBER(H5092)),H5092,"")</x:f>
        <x:v>0</x:v>
      </x:c>
      <x:c r="P5092" s="34" t="str">
        <x:v>NOT_REVEALING</x:v>
      </x:c>
      <x:c r="Q5092" s="34" t="str">
        <x:v>Feedback-Directed Random Test Generation/Result_Round2/Mockito_31/result.json</x:v>
      </x:c>
    </x:row>
    <x:row r="5093">
      <x:c r="A5093" s="34" t="str">
        <x:v>randoop</x:v>
      </x:c>
      <x:c r="B5093" s="34" t="str">
        <x:v>Mockito</x:v>
      </x:c>
      <x:c r="C5093" s="34" t="str">
        <x:v>Round2</x:v>
      </x:c>
      <x:c r="D5093" s="34" t="str">
        <x:v>Mockito_32</x:v>
      </x:c>
      <x:c r="E5093" s="34" t="str">
        <x:v>Condition</x:v>
      </x:c>
      <x:c r="F5093" s="34" t="n">
        <x:v>12</x:v>
      </x:c>
      <x:c r="G5093" s="34" t="str">
        <x:v>RECORDED</x:v>
      </x:c>
      <x:c r="H5093" s="38" t="n">
        <x:f>IF(ISNUMBER('Data'!I1677),'Data'!I1677*100,"")</x:f>
        <x:v>0</x:v>
      </x:c>
      <x:c r="I5093" s="34" t="str">
        <x:v>PASS</x:v>
      </x:c>
      <x:c r="J5093" s="34" t="str">
        <x:v>PASS</x:v>
      </x:c>
      <x:c r="K5093" s="34" t="str">
        <x:v>PASS</x:v>
      </x:c>
      <x:c r="L5093" s="34" t="str">
        <x:v>PASS</x:v>
      </x:c>
      <x:c r="M5093" s="34" t="str">
        <x:v>numeric coverage for applicable metric</x:v>
      </x:c>
      <x:c r="N5093" s="34" t="str">
        <x:v>Feedback-Directed Random Test Generation/Result_Round2/Mockito_32/result.json</x:v>
      </x:c>
      <x:c r="O5093" s="38" t="n">
        <x:f>IF(AND(G5093="RECORDED",ISNUMBER(H5093)),H5093,"")</x:f>
        <x:v>0</x:v>
      </x:c>
      <x:c r="P5093" s="34" t="str">
        <x:v>NOT_REVEALING</x:v>
      </x:c>
      <x:c r="Q5093" s="34" t="str">
        <x:v>Feedback-Directed Random Test Generation/Result_Round2/Mockito_32/result.json</x:v>
      </x:c>
    </x:row>
    <x:row r="5094">
      <x:c r="A5094" s="34" t="str">
        <x:v>randoop</x:v>
      </x:c>
      <x:c r="B5094" s="34" t="str">
        <x:v>Mockito</x:v>
      </x:c>
      <x:c r="C5094" s="34" t="str">
        <x:v>Round2</x:v>
      </x:c>
      <x:c r="D5094" s="34" t="str">
        <x:v>Mockito_33</x:v>
      </x:c>
      <x:c r="E5094" s="34" t="str">
        <x:v>Condition</x:v>
      </x:c>
      <x:c r="F5094" s="34" t="n">
        <x:v>32</x:v>
      </x:c>
      <x:c r="G5094" s="34" t="str">
        <x:v>RECORDED</x:v>
      </x:c>
      <x:c r="H5094" s="38" t="n">
        <x:f>IF(ISNUMBER('Data'!I1678),'Data'!I1678*100,"")</x:f>
        <x:v>6.25</x:v>
      </x:c>
      <x:c r="I5094" s="34" t="str">
        <x:v>PASS</x:v>
      </x:c>
      <x:c r="J5094" s="34" t="str">
        <x:v>PASS</x:v>
      </x:c>
      <x:c r="K5094" s="34" t="str">
        <x:v>PASS</x:v>
      </x:c>
      <x:c r="L5094" s="34" t="str">
        <x:v>PASS</x:v>
      </x:c>
      <x:c r="M5094" s="34" t="str">
        <x:v>numeric coverage for applicable metric</x:v>
      </x:c>
      <x:c r="N5094" s="34" t="str">
        <x:v>Feedback-Directed Random Test Generation/Result_Round2/Mockito_33/result.json</x:v>
      </x:c>
      <x:c r="O5094" s="38" t="n">
        <x:f>IF(AND(G5094="RECORDED",ISNUMBER(H5094)),H5094,"")</x:f>
        <x:v>6.25</x:v>
      </x:c>
      <x:c r="P5094" s="34" t="str">
        <x:v>NOT_REVEALING</x:v>
      </x:c>
      <x:c r="Q5094" s="34" t="str">
        <x:v>Feedback-Directed Random Test Generation/Result_Round2/Mockito_33/result.json</x:v>
      </x:c>
    </x:row>
    <x:row r="5095">
      <x:c r="A5095" s="34" t="str">
        <x:v>randoop</x:v>
      </x:c>
      <x:c r="B5095" s="34" t="str">
        <x:v>Mockito</x:v>
      </x:c>
      <x:c r="C5095" s="34" t="str">
        <x:v>Round2</x:v>
      </x:c>
      <x:c r="D5095" s="34" t="str">
        <x:v>Mockito_34</x:v>
      </x:c>
      <x:c r="E5095" s="34" t="str">
        <x:v>Condition</x:v>
      </x:c>
      <x:c r="F5095" s="34" t="n">
        <x:v>28</x:v>
      </x:c>
      <x:c r="G5095" s="34" t="str">
        <x:v>RECORDED</x:v>
      </x:c>
      <x:c r="H5095" s="38" t="n">
        <x:f>IF(ISNUMBER('Data'!I1679),'Data'!I1679*100,"")</x:f>
        <x:v>3.5699999999999994</x:v>
      </x:c>
      <x:c r="I5095" s="34" t="str">
        <x:v>PASS</x:v>
      </x:c>
      <x:c r="J5095" s="34" t="str">
        <x:v>PASS</x:v>
      </x:c>
      <x:c r="K5095" s="34" t="str">
        <x:v>PASS</x:v>
      </x:c>
      <x:c r="L5095" s="34" t="str">
        <x:v>PASS</x:v>
      </x:c>
      <x:c r="M5095" s="34" t="str">
        <x:v>numeric coverage for applicable metric</x:v>
      </x:c>
      <x:c r="N5095" s="34" t="str">
        <x:v>Feedback-Directed Random Test Generation/Result_Round2/Mockito_34/result.json</x:v>
      </x:c>
      <x:c r="O5095" s="38" t="n">
        <x:f>IF(AND(G5095="RECORDED",ISNUMBER(H5095)),H5095,"")</x:f>
        <x:v>3.5699999999999994</x:v>
      </x:c>
      <x:c r="P5095" s="34" t="str">
        <x:v>NOT_REVEALING</x:v>
      </x:c>
      <x:c r="Q5095" s="34" t="str">
        <x:v>Feedback-Directed Random Test Generation/Result_Round2/Mockito_34/result.json</x:v>
      </x:c>
    </x:row>
    <x:row r="5096">
      <x:c r="A5096" s="34" t="str">
        <x:v>randoop</x:v>
      </x:c>
      <x:c r="B5096" s="34" t="str">
        <x:v>Mockito</x:v>
      </x:c>
      <x:c r="C5096" s="34" t="str">
        <x:v>Round2</x:v>
      </x:c>
      <x:c r="D5096" s="34" t="str">
        <x:v>Mockito_35</x:v>
      </x:c>
      <x:c r="E5096" s="34" t="str">
        <x:v>Condition</x:v>
      </x:c>
      <x:c r="F5096" s="34" t="n">
        <x:v>0</x:v>
      </x:c>
      <x:c r="G5096" s="34" t="str">
        <x:v>B</x:v>
      </x:c>
      <x:c r="H5096" s="38" t="n">
        <x:f>IF(ISNUMBER('Data'!I1680),'Data'!I1680*100,"")</x:f>
        <x:v>0</x:v>
      </x:c>
      <x:c r="I5096" s="34" t="str">
        <x:v>PASS</x:v>
      </x:c>
      <x:c r="J5096" s="34" t="str">
        <x:v>PASS</x:v>
      </x:c>
      <x:c r="K5096" s="34" t="str">
        <x:v>PASS</x:v>
      </x:c>
      <x:c r="L5096" s="34" t="str">
        <x:v>PASS</x:v>
      </x:c>
      <x:c r="M5096" s="34" t="str">
        <x:v>coverage completed; measurable total = 0</x:v>
      </x:c>
      <x:c r="N5096" s="34" t="str">
        <x:v>Feedback-Directed Random Test Generation/Result_Round2/Mockito_35/result.json</x:v>
      </x:c>
      <x:c r="O5096" s="38" t="str">
        <x:f>IF(AND(G5096="RECORDED",ISNUMBER(H5096)),H5096,"")</x:f>
      </x:c>
      <x:c r="P5096" s="34" t="str">
        <x:v>INCONCLUSIVE</x:v>
      </x:c>
      <x:c r="Q5096" s="34" t="str">
        <x:v>Feedback-Directed Random Test Generation/Result_Round2/Mockito_35/result.json</x:v>
      </x:c>
    </x:row>
    <x:row r="5097">
      <x:c r="A5097" s="34" t="str">
        <x:v>randoop</x:v>
      </x:c>
      <x:c r="B5097" s="34" t="str">
        <x:v>Mockito</x:v>
      </x:c>
      <x:c r="C5097" s="34" t="str">
        <x:v>Round2</x:v>
      </x:c>
      <x:c r="D5097" s="34" t="str">
        <x:v>Mockito_36</x:v>
      </x:c>
      <x:c r="E5097" s="34" t="str">
        <x:v>Condition</x:v>
      </x:c>
      <x:c r="F5097" s="34" t="n">
        <x:v>42</x:v>
      </x:c>
      <x:c r="G5097" s="34" t="str">
        <x:v>RECORDED</x:v>
      </x:c>
      <x:c r="H5097" s="38" t="n">
        <x:f>IF(ISNUMBER('Data'!I1681),'Data'!I1681*100,"")</x:f>
        <x:v>0</x:v>
      </x:c>
      <x:c r="I5097" s="34" t="str">
        <x:v>PASS</x:v>
      </x:c>
      <x:c r="J5097" s="34" t="str">
        <x:v>PASS</x:v>
      </x:c>
      <x:c r="K5097" s="34" t="str">
        <x:v>PASS</x:v>
      </x:c>
      <x:c r="L5097" s="34" t="str">
        <x:v>PASS</x:v>
      </x:c>
      <x:c r="M5097" s="34" t="str">
        <x:v>numeric coverage for applicable metric</x:v>
      </x:c>
      <x:c r="N5097" s="34" t="str">
        <x:v>Feedback-Directed Random Test Generation/Result_Round2/Mockito_36/result.json</x:v>
      </x:c>
      <x:c r="O5097" s="38" t="n">
        <x:f>IF(AND(G5097="RECORDED",ISNUMBER(H5097)),H5097,"")</x:f>
        <x:v>0</x:v>
      </x:c>
      <x:c r="P5097" s="34" t="str">
        <x:v>NOT_REVEALING</x:v>
      </x:c>
      <x:c r="Q5097" s="34" t="str">
        <x:v>Feedback-Directed Random Test Generation/Result_Round2/Mockito_36/result.json</x:v>
      </x:c>
    </x:row>
    <x:row r="5098">
      <x:c r="A5098" s="34" t="str">
        <x:v>randoop</x:v>
      </x:c>
      <x:c r="B5098" s="34" t="str">
        <x:v>Mockito</x:v>
      </x:c>
      <x:c r="C5098" s="34" t="str">
        <x:v>Round2</x:v>
      </x:c>
      <x:c r="D5098" s="34" t="str">
        <x:v>Mockito_37</x:v>
      </x:c>
      <x:c r="E5098" s="34" t="str">
        <x:v>Condition</x:v>
      </x:c>
      <x:c r="F5098" s="34" t="n">
        <x:v>26</x:v>
      </x:c>
      <x:c r="G5098" s="34" t="str">
        <x:v>RECORDED</x:v>
      </x:c>
      <x:c r="H5098" s="38" t="n">
        <x:f>IF(ISNUMBER('Data'!I1682),'Data'!I1682*100,"")</x:f>
        <x:v>0</x:v>
      </x:c>
      <x:c r="I5098" s="34" t="str">
        <x:v>PASS</x:v>
      </x:c>
      <x:c r="J5098" s="34" t="str">
        <x:v>PASS</x:v>
      </x:c>
      <x:c r="K5098" s="34" t="str">
        <x:v>PASS</x:v>
      </x:c>
      <x:c r="L5098" s="34" t="str">
        <x:v>PASS</x:v>
      </x:c>
      <x:c r="M5098" s="34" t="str">
        <x:v>numeric coverage for applicable metric</x:v>
      </x:c>
      <x:c r="N5098" s="34" t="str">
        <x:v>Feedback-Directed Random Test Generation/Result_Round2/Mockito_37/result.json</x:v>
      </x:c>
      <x:c r="O5098" s="38" t="n">
        <x:f>IF(AND(G5098="RECORDED",ISNUMBER(H5098)),H5098,"")</x:f>
        <x:v>0</x:v>
      </x:c>
      <x:c r="P5098" s="34" t="str">
        <x:v>NOT_REVEALING</x:v>
      </x:c>
      <x:c r="Q5098" s="34" t="str">
        <x:v>Feedback-Directed Random Test Generation/Result_Round2/Mockito_37/result.json</x:v>
      </x:c>
    </x:row>
    <x:row r="5099">
      <x:c r="A5099" s="34" t="str">
        <x:v>randoop</x:v>
      </x:c>
      <x:c r="B5099" s="34" t="str">
        <x:v>Mockito</x:v>
      </x:c>
      <x:c r="C5099" s="34" t="str">
        <x:v>Round2</x:v>
      </x:c>
      <x:c r="D5099" s="34" t="str">
        <x:v>Mockito_38</x:v>
      </x:c>
      <x:c r="E5099" s="34" t="str">
        <x:v>Condition</x:v>
      </x:c>
      <x:c r="F5099" s="34" t="n">
        <x:v>12</x:v>
      </x:c>
      <x:c r="G5099" s="34" t="str">
        <x:v>RECORDED</x:v>
      </x:c>
      <x:c r="H5099" s="38" t="n">
        <x:f>IF(ISNUMBER('Data'!I1683),'Data'!I1683*100,"")</x:f>
        <x:v>25</x:v>
      </x:c>
      <x:c r="I5099" s="34" t="str">
        <x:v>PASS</x:v>
      </x:c>
      <x:c r="J5099" s="34" t="str">
        <x:v>PASS</x:v>
      </x:c>
      <x:c r="K5099" s="34" t="str">
        <x:v>PASS</x:v>
      </x:c>
      <x:c r="L5099" s="34" t="str">
        <x:v>PASS</x:v>
      </x:c>
      <x:c r="M5099" s="34" t="str">
        <x:v>numeric coverage for applicable metric</x:v>
      </x:c>
      <x:c r="N5099" s="34" t="str">
        <x:v>Feedback-Directed Random Test Generation/Result_Round2/Mockito_38/result.json</x:v>
      </x:c>
      <x:c r="O5099" s="38" t="n">
        <x:f>IF(AND(G5099="RECORDED",ISNUMBER(H5099)),H5099,"")</x:f>
        <x:v>25</x:v>
      </x:c>
      <x:c r="P5099" s="34" t="str">
        <x:v>NOT_REVEALING</x:v>
      </x:c>
      <x:c r="Q5099" s="34" t="str">
        <x:v>Feedback-Directed Random Test Generation/Result_Round2/Mockito_38/result.json</x:v>
      </x:c>
    </x:row>
    <x:row r="5100">
      <x:c r="A5100" s="34" t="str">
        <x:v>randoop</x:v>
      </x:c>
      <x:c r="B5100" s="34" t="str">
        <x:v>Time</x:v>
      </x:c>
      <x:c r="C5100" s="34" t="str">
        <x:v>Round2</x:v>
      </x:c>
      <x:c r="D5100" s="34" t="str">
        <x:v>Time_1</x:v>
      </x:c>
      <x:c r="E5100" s="34" t="str">
        <x:v>Condition</x:v>
      </x:c>
      <x:c r="F5100" s="34" t="n">
        <x:v>118</x:v>
      </x:c>
      <x:c r="G5100" s="34" t="str">
        <x:v>RECORDED</x:v>
      </x:c>
      <x:c r="H5100" s="38" t="n">
        <x:f>IF(ISNUMBER('Data'!I1684),'Data'!I1684*100,"")</x:f>
        <x:v>25.420000000000005</x:v>
      </x:c>
      <x:c r="I5100" s="34" t="str">
        <x:v>PASS</x:v>
      </x:c>
      <x:c r="J5100" s="34" t="str">
        <x:v>PASS</x:v>
      </x:c>
      <x:c r="K5100" s="34" t="str">
        <x:v>PASS</x:v>
      </x:c>
      <x:c r="L5100" s="34" t="str">
        <x:v>FAIL</x:v>
      </x:c>
      <x:c r="M5100" s="34" t="str">
        <x:v>numeric coverage for applicable metric</x:v>
      </x:c>
      <x:c r="N5100" s="34" t="str">
        <x:v>Feedback-Directed Random Test Generation/Result_Round2/Time_1/result.json</x:v>
      </x:c>
      <x:c r="O5100" s="38" t="n">
        <x:f>IF(AND(G5100="RECORDED",ISNUMBER(H5100)),H5100,"")</x:f>
        <x:v>25.420000000000005</x:v>
      </x:c>
      <x:c r="P5100" s="34" t="str">
        <x:v>INCONCLUSIVE</x:v>
      </x:c>
      <x:c r="Q5100" s="34" t="str">
        <x:v>Feedback-Directed Random Test Generation/Result_Round2/Time_1/result.json</x:v>
      </x:c>
    </x:row>
    <x:row r="5101">
      <x:c r="A5101" s="34" t="str">
        <x:v>randoop</x:v>
      </x:c>
      <x:c r="B5101" s="34" t="str">
        <x:v>Time</x:v>
      </x:c>
      <x:c r="C5101" s="34" t="str">
        <x:v>Round2</x:v>
      </x:c>
      <x:c r="D5101" s="34" t="str">
        <x:v>Time_2</x:v>
      </x:c>
      <x:c r="E5101" s="34" t="str">
        <x:v>Condition</x:v>
      </x:c>
      <x:c r="F5101" s="34" t="n">
        <x:v>118</x:v>
      </x:c>
      <x:c r="G5101" s="34" t="str">
        <x:v>RECORDED</x:v>
      </x:c>
      <x:c r="H5101" s="38" t="n">
        <x:f>IF(ISNUMBER('Data'!I1685),'Data'!I1685*100,"")</x:f>
        <x:v>25.420000000000005</x:v>
      </x:c>
      <x:c r="I5101" s="34" t="str">
        <x:v>PASS</x:v>
      </x:c>
      <x:c r="J5101" s="34" t="str">
        <x:v>PASS</x:v>
      </x:c>
      <x:c r="K5101" s="34" t="str">
        <x:v>PASS</x:v>
      </x:c>
      <x:c r="L5101" s="34" t="str">
        <x:v>FAIL</x:v>
      </x:c>
      <x:c r="M5101" s="34" t="str">
        <x:v>numeric coverage for applicable metric</x:v>
      </x:c>
      <x:c r="N5101" s="34" t="str">
        <x:v>Feedback-Directed Random Test Generation/Result_Round2/Time_2/result.json</x:v>
      </x:c>
      <x:c r="O5101" s="38" t="n">
        <x:f>IF(AND(G5101="RECORDED",ISNUMBER(H5101)),H5101,"")</x:f>
        <x:v>25.420000000000005</x:v>
      </x:c>
      <x:c r="P5101" s="34" t="str">
        <x:v>INCONCLUSIVE</x:v>
      </x:c>
      <x:c r="Q5101" s="34" t="str">
        <x:v>Feedback-Directed Random Test Generation/Result_Round2/Time_2/result.json</x:v>
      </x:c>
    </x:row>
    <x:row r="5102">
      <x:c r="A5102" s="34" t="str">
        <x:v>randoop</x:v>
      </x:c>
      <x:c r="B5102" s="34" t="str">
        <x:v>Time</x:v>
      </x:c>
      <x:c r="C5102" s="34" t="str">
        <x:v>Round2</x:v>
      </x:c>
      <x:c r="D5102" s="34" t="str">
        <x:v>Time_3</x:v>
      </x:c>
      <x:c r="E5102" s="34" t="str">
        <x:v>Condition</x:v>
      </x:c>
      <x:c r="F5102" s="34" t="n">
        <x:v>43</x:v>
      </x:c>
      <x:c r="G5102" s="34" t="str">
        <x:v>RECORDED</x:v>
      </x:c>
      <x:c r="H5102" s="38" t="n">
        <x:f>IF(ISNUMBER('Data'!I1686),'Data'!I1686*100,"")</x:f>
        <x:v>76.74</x:v>
      </x:c>
      <x:c r="I5102" s="34" t="str">
        <x:v>PASS</x:v>
      </x:c>
      <x:c r="J5102" s="34" t="str">
        <x:v>PASS</x:v>
      </x:c>
      <x:c r="K5102" s="34" t="str">
        <x:v>PASS</x:v>
      </x:c>
      <x:c r="L5102" s="34" t="str">
        <x:v>FAIL</x:v>
      </x:c>
      <x:c r="M5102" s="34" t="str">
        <x:v>numeric coverage for applicable metric</x:v>
      </x:c>
      <x:c r="N5102" s="34" t="str">
        <x:v>Feedback-Directed Random Test Generation/Result_Round2/Time_3/result.json</x:v>
      </x:c>
      <x:c r="O5102" s="38" t="n">
        <x:f>IF(AND(G5102="RECORDED",ISNUMBER(H5102)),H5102,"")</x:f>
        <x:v>76.74</x:v>
      </x:c>
      <x:c r="P5102" s="34" t="str">
        <x:v>INCONCLUSIVE</x:v>
      </x:c>
      <x:c r="Q5102" s="34" t="str">
        <x:v>Feedback-Directed Random Test Generation/Result_Round2/Time_3/result.json</x:v>
      </x:c>
    </x:row>
    <x:row r="5103">
      <x:c r="A5103" s="34" t="str">
        <x:v>randoop</x:v>
      </x:c>
      <x:c r="B5103" s="34" t="str">
        <x:v>Time</x:v>
      </x:c>
      <x:c r="C5103" s="34" t="str">
        <x:v>Round2</x:v>
      </x:c>
      <x:c r="D5103" s="34" t="str">
        <x:v>Time_4</x:v>
      </x:c>
      <x:c r="E5103" s="34" t="str">
        <x:v>Condition</x:v>
      </x:c>
      <x:c r="F5103" s="34" t="n">
        <x:v>106</x:v>
      </x:c>
      <x:c r="G5103" s="34" t="str">
        <x:v>RECORDED</x:v>
      </x:c>
      <x:c r="H5103" s="38" t="n">
        <x:f>IF(ISNUMBER('Data'!I1687),'Data'!I1687*100,"")</x:f>
        <x:v>32.08</x:v>
      </x:c>
      <x:c r="I5103" s="34" t="str">
        <x:v>PASS</x:v>
      </x:c>
      <x:c r="J5103" s="34" t="str">
        <x:v>PASS</x:v>
      </x:c>
      <x:c r="K5103" s="34" t="str">
        <x:v>PASS</x:v>
      </x:c>
      <x:c r="L5103" s="34" t="str">
        <x:v>FAIL</x:v>
      </x:c>
      <x:c r="M5103" s="34" t="str">
        <x:v>numeric coverage for applicable metric</x:v>
      </x:c>
      <x:c r="N5103" s="34" t="str">
        <x:v>Feedback-Directed Random Test Generation/Result_Round2/Time_4/result.json</x:v>
      </x:c>
      <x:c r="O5103" s="38" t="n">
        <x:f>IF(AND(G5103="RECORDED",ISNUMBER(H5103)),H5103,"")</x:f>
        <x:v>32.08</x:v>
      </x:c>
      <x:c r="P5103" s="34" t="str">
        <x:v>INCONCLUSIVE</x:v>
      </x:c>
      <x:c r="Q5103" s="34" t="str">
        <x:v>Feedback-Directed Random Test Generation/Result_Round2/Time_4/result.json</x:v>
      </x:c>
    </x:row>
    <x:row r="5104">
      <x:c r="A5104" s="34" t="str">
        <x:v>randoop</x:v>
      </x:c>
      <x:c r="B5104" s="34" t="str">
        <x:v>Time</x:v>
      </x:c>
      <x:c r="C5104" s="34" t="str">
        <x:v>Round2</x:v>
      </x:c>
      <x:c r="D5104" s="34" t="str">
        <x:v>Time_5</x:v>
      </x:c>
      <x:c r="E5104" s="34" t="str">
        <x:v>Condition</x:v>
      </x:c>
      <x:c r="F5104" s="34" t="n">
        <x:v>62</x:v>
      </x:c>
      <x:c r="G5104" s="34" t="str">
        <x:v>RECORDED</x:v>
      </x:c>
      <x:c r="H5104" s="38" t="n">
        <x:f>IF(ISNUMBER('Data'!I1688),'Data'!I1688*100,"")</x:f>
        <x:v>77.42</x:v>
      </x:c>
      <x:c r="I5104" s="34" t="str">
        <x:v>PASS</x:v>
      </x:c>
      <x:c r="J5104" s="34" t="str">
        <x:v>PASS</x:v>
      </x:c>
      <x:c r="K5104" s="34" t="str">
        <x:v>PASS</x:v>
      </x:c>
      <x:c r="L5104" s="34" t="str">
        <x:v>FAIL</x:v>
      </x:c>
      <x:c r="M5104" s="34" t="str">
        <x:v>numeric coverage for applicable metric</x:v>
      </x:c>
      <x:c r="N5104" s="34" t="str">
        <x:v>Feedback-Directed Random Test Generation/Result_Round2/Time_5/result.json</x:v>
      </x:c>
      <x:c r="O5104" s="38" t="n">
        <x:f>IF(AND(G5104="RECORDED",ISNUMBER(H5104)),H5104,"")</x:f>
        <x:v>77.42</x:v>
      </x:c>
      <x:c r="P5104" s="34" t="str">
        <x:v>INCONCLUSIVE</x:v>
      </x:c>
      <x:c r="Q5104" s="34" t="str">
        <x:v>Feedback-Directed Random Test Generation/Result_Round2/Time_5/result.json</x:v>
      </x:c>
    </x:row>
    <x:row r="5105">
      <x:c r="A5105" s="34" t="str">
        <x:v>randoop</x:v>
      </x:c>
      <x:c r="B5105" s="34" t="str">
        <x:v>Time</x:v>
      </x:c>
      <x:c r="C5105" s="34" t="str">
        <x:v>Round2</x:v>
      </x:c>
      <x:c r="D5105" s="34" t="str">
        <x:v>Time_6</x:v>
      </x:c>
      <x:c r="E5105" s="34" t="str">
        <x:v>Condition</x:v>
      </x:c>
      <x:c r="F5105" s="34" t="n">
        <x:v>168</x:v>
      </x:c>
      <x:c r="G5105" s="34" t="str">
        <x:v>RECORDED</x:v>
      </x:c>
      <x:c r="H5105" s="38" t="n">
        <x:f>IF(ISNUMBER('Data'!I1689),'Data'!I1689*100,"")</x:f>
        <x:v>33.93</x:v>
      </x:c>
      <x:c r="I5105" s="34" t="str">
        <x:v>PASS</x:v>
      </x:c>
      <x:c r="J5105" s="34" t="str">
        <x:v>PASS</x:v>
      </x:c>
      <x:c r="K5105" s="34" t="str">
        <x:v>PASS</x:v>
      </x:c>
      <x:c r="L5105" s="34" t="str">
        <x:v>FAIL</x:v>
      </x:c>
      <x:c r="M5105" s="34" t="str">
        <x:v>numeric coverage for applicable metric</x:v>
      </x:c>
      <x:c r="N5105" s="34" t="str">
        <x:v>Feedback-Directed Random Test Generation/Result_Round2/Time_6/result.json</x:v>
      </x:c>
      <x:c r="O5105" s="38" t="n">
        <x:f>IF(AND(G5105="RECORDED",ISNUMBER(H5105)),H5105,"")</x:f>
        <x:v>33.93</x:v>
      </x:c>
      <x:c r="P5105" s="34" t="str">
        <x:v>INCONCLUSIVE</x:v>
      </x:c>
      <x:c r="Q5105" s="34" t="str">
        <x:v>Feedback-Directed Random Test Generation/Result_Round2/Time_6/result.json</x:v>
      </x:c>
    </x:row>
    <x:row r="5106">
      <x:c r="A5106" s="34" t="str">
        <x:v>randoop</x:v>
      </x:c>
      <x:c r="B5106" s="34" t="str">
        <x:v>Time</x:v>
      </x:c>
      <x:c r="C5106" s="34" t="str">
        <x:v>Round2</x:v>
      </x:c>
      <x:c r="D5106" s="34" t="str">
        <x:v>Time_7</x:v>
      </x:c>
      <x:c r="E5106" s="34" t="str">
        <x:v>Condition</x:v>
      </x:c>
      <x:c r="F5106" s="34" t="n">
        <x:v>88</x:v>
      </x:c>
      <x:c r="G5106" s="34" t="str">
        <x:v>RECORDED</x:v>
      </x:c>
      <x:c r="H5106" s="38" t="n">
        <x:f>IF(ISNUMBER('Data'!I1690),'Data'!I1690*100,"")</x:f>
        <x:v>18.18</x:v>
      </x:c>
      <x:c r="I5106" s="34" t="str">
        <x:v>PASS</x:v>
      </x:c>
      <x:c r="J5106" s="34" t="str">
        <x:v>PASS</x:v>
      </x:c>
      <x:c r="K5106" s="34" t="str">
        <x:v>PASS</x:v>
      </x:c>
      <x:c r="L5106" s="34" t="str">
        <x:v>PASS</x:v>
      </x:c>
      <x:c r="M5106" s="34" t="str">
        <x:v>numeric coverage for applicable metric</x:v>
      </x:c>
      <x:c r="N5106" s="34" t="str">
        <x:v>Feedback-Directed Random Test Generation/Result_Round2/Time_7/result.json</x:v>
      </x:c>
      <x:c r="O5106" s="38" t="n">
        <x:f>IF(AND(G5106="RECORDED",ISNUMBER(H5106)),H5106,"")</x:f>
        <x:v>18.18</x:v>
      </x:c>
      <x:c r="P5106" s="34" t="str">
        <x:v>NOT_REVEALING</x:v>
      </x:c>
      <x:c r="Q5106" s="34" t="str">
        <x:v>Feedback-Directed Random Test Generation/Result_Round2/Time_7/result.json</x:v>
      </x:c>
    </x:row>
    <x:row r="5107">
      <x:c r="A5107" s="34" t="str">
        <x:v>randoop</x:v>
      </x:c>
      <x:c r="B5107" s="34" t="str">
        <x:v>Time</x:v>
      </x:c>
      <x:c r="C5107" s="34" t="str">
        <x:v>Round2</x:v>
      </x:c>
      <x:c r="D5107" s="34" t="str">
        <x:v>Time_8</x:v>
      </x:c>
      <x:c r="E5107" s="34" t="str">
        <x:v>Condition</x:v>
      </x:c>
      <x:c r="F5107" s="34" t="n">
        <x:v>178</x:v>
      </x:c>
      <x:c r="G5107" s="34" t="str">
        <x:v>RECORDED</x:v>
      </x:c>
      <x:c r="H5107" s="38" t="n">
        <x:f>IF(ISNUMBER('Data'!I1691),'Data'!I1691*100,"")</x:f>
        <x:v>63.47999999999999</x:v>
      </x:c>
      <x:c r="I5107" s="34" t="str">
        <x:v>PASS</x:v>
      </x:c>
      <x:c r="J5107" s="34" t="str">
        <x:v>PASS</x:v>
      </x:c>
      <x:c r="K5107" s="34" t="str">
        <x:v>PASS</x:v>
      </x:c>
      <x:c r="L5107" s="34" t="str">
        <x:v>FAIL</x:v>
      </x:c>
      <x:c r="M5107" s="34" t="str">
        <x:v>numeric coverage for applicable metric</x:v>
      </x:c>
      <x:c r="N5107" s="34" t="str">
        <x:v>Feedback-Directed Random Test Generation/Result_Round2/Time_8/result.json</x:v>
      </x:c>
      <x:c r="O5107" s="38" t="n">
        <x:f>IF(AND(G5107="RECORDED",ISNUMBER(H5107)),H5107,"")</x:f>
        <x:v>63.47999999999999</x:v>
      </x:c>
      <x:c r="P5107" s="34" t="str">
        <x:v>INCONCLUSIVE</x:v>
      </x:c>
      <x:c r="Q5107" s="34" t="str">
        <x:v>Feedback-Directed Random Test Generation/Result_Round2/Time_8/result.json</x:v>
      </x:c>
    </x:row>
    <x:row r="5108">
      <x:c r="A5108" s="34" t="str">
        <x:v>randoop</x:v>
      </x:c>
      <x:c r="B5108" s="34" t="str">
        <x:v>Time</x:v>
      </x:c>
      <x:c r="C5108" s="34" t="str">
        <x:v>Round2</x:v>
      </x:c>
      <x:c r="D5108" s="34" t="str">
        <x:v>Time_9</x:v>
      </x:c>
      <x:c r="E5108" s="34" t="str">
        <x:v>Condition</x:v>
      </x:c>
      <x:c r="F5108" s="34" t="n">
        <x:v>170</x:v>
      </x:c>
      <x:c r="G5108" s="34" t="str">
        <x:v>RECORDED</x:v>
      </x:c>
      <x:c r="H5108" s="38" t="n">
        <x:f>IF(ISNUMBER('Data'!I1692),'Data'!I1692*100,"")</x:f>
        <x:v>61.18</x:v>
      </x:c>
      <x:c r="I5108" s="34" t="str">
        <x:v>PASS</x:v>
      </x:c>
      <x:c r="J5108" s="34" t="str">
        <x:v>PASS</x:v>
      </x:c>
      <x:c r="K5108" s="34" t="str">
        <x:v>PASS</x:v>
      </x:c>
      <x:c r="L5108" s="34" t="str">
        <x:v>FAIL</x:v>
      </x:c>
      <x:c r="M5108" s="34" t="str">
        <x:v>numeric coverage for applicable metric</x:v>
      </x:c>
      <x:c r="N5108" s="34" t="str">
        <x:v>Feedback-Directed Random Test Generation/Result_Round2/Time_9/result.json</x:v>
      </x:c>
      <x:c r="O5108" s="38" t="n">
        <x:f>IF(AND(G5108="RECORDED",ISNUMBER(H5108)),H5108,"")</x:f>
        <x:v>61.18</x:v>
      </x:c>
      <x:c r="P5108" s="34" t="str">
        <x:v>INCONCLUSIVE</x:v>
      </x:c>
      <x:c r="Q5108" s="34" t="str">
        <x:v>Feedback-Directed Random Test Generation/Result_Round2/Time_9/result.json</x:v>
      </x:c>
    </x:row>
    <x:row r="5109">
      <x:c r="A5109" s="34" t="str">
        <x:v>randoop</x:v>
      </x:c>
      <x:c r="B5109" s="34" t="str">
        <x:v>Time</x:v>
      </x:c>
      <x:c r="C5109" s="34" t="str">
        <x:v>Round2</x:v>
      </x:c>
      <x:c r="D5109" s="34" t="str">
        <x:v>Time_10</x:v>
      </x:c>
      <x:c r="E5109" s="34" t="str">
        <x:v>Condition</x:v>
      </x:c>
      <x:c r="F5109" s="34" t="n">
        <x:v>46</x:v>
      </x:c>
      <x:c r="G5109" s="34" t="str">
        <x:v>RECORDED</x:v>
      </x:c>
      <x:c r="H5109" s="38" t="n">
        <x:f>IF(ISNUMBER('Data'!I1693),'Data'!I1693*100,"")</x:f>
        <x:v>6.52</x:v>
      </x:c>
      <x:c r="I5109" s="34" t="str">
        <x:v>PASS</x:v>
      </x:c>
      <x:c r="J5109" s="34" t="str">
        <x:v>PASS</x:v>
      </x:c>
      <x:c r="K5109" s="34" t="str">
        <x:v>PASS</x:v>
      </x:c>
      <x:c r="L5109" s="34" t="str">
        <x:v>PASS</x:v>
      </x:c>
      <x:c r="M5109" s="34" t="str">
        <x:v>numeric coverage for applicable metric</x:v>
      </x:c>
      <x:c r="N5109" s="34" t="str">
        <x:v>Feedback-Directed Random Test Generation/Result_Round2/Time_10/result.json</x:v>
      </x:c>
      <x:c r="O5109" s="38" t="n">
        <x:f>IF(AND(G5109="RECORDED",ISNUMBER(H5109)),H5109,"")</x:f>
        <x:v>6.52</x:v>
      </x:c>
      <x:c r="P5109" s="34" t="str">
        <x:v>NOT_REVEALING</x:v>
      </x:c>
      <x:c r="Q5109" s="34" t="str">
        <x:v>Feedback-Directed Random Test Generation/Result_Round2/Time_10/result.json</x:v>
      </x:c>
    </x:row>
    <x:row r="5110">
      <x:c r="A5110" s="34" t="str">
        <x:v>randoop</x:v>
      </x:c>
      <x:c r="B5110" s="34" t="str">
        <x:v>Time</x:v>
      </x:c>
      <x:c r="C5110" s="34" t="str">
        <x:v>Round2</x:v>
      </x:c>
      <x:c r="D5110" s="34" t="str">
        <x:v>Time_11</x:v>
      </x:c>
      <x:c r="E5110" s="34" t="str">
        <x:v>Condition</x:v>
      </x:c>
      <x:c r="F5110" s="34" t="n">
        <x:v>193</x:v>
      </x:c>
      <x:c r="G5110" s="34" t="str">
        <x:v>RECORDED</x:v>
      </x:c>
      <x:c r="H5110" s="38" t="n">
        <x:f>IF(ISNUMBER('Data'!I1694),'Data'!I1694*100,"")</x:f>
        <x:v>12.44</x:v>
      </x:c>
      <x:c r="I5110" s="34" t="str">
        <x:v>PASS</x:v>
      </x:c>
      <x:c r="J5110" s="34" t="str">
        <x:v>PASS</x:v>
      </x:c>
      <x:c r="K5110" s="34" t="str">
        <x:v>PASS</x:v>
      </x:c>
      <x:c r="L5110" s="34" t="str">
        <x:v>PASS</x:v>
      </x:c>
      <x:c r="M5110" s="34" t="str">
        <x:v>numeric coverage for applicable metric</x:v>
      </x:c>
      <x:c r="N5110" s="34" t="str">
        <x:v>Feedback-Directed Random Test Generation/Result_Round2/Time_11/result.json</x:v>
      </x:c>
      <x:c r="O5110" s="38" t="n">
        <x:f>IF(AND(G5110="RECORDED",ISNUMBER(H5110)),H5110,"")</x:f>
        <x:v>12.44</x:v>
      </x:c>
      <x:c r="P5110" s="34" t="str">
        <x:v>NOT_REVEALING</x:v>
      </x:c>
      <x:c r="Q5110" s="34" t="str">
        <x:v>Feedback-Directed Random Test Generation/Result_Round2/Time_11/result.json</x:v>
      </x:c>
    </x:row>
    <x:row r="5111">
      <x:c r="A5111" s="34" t="str">
        <x:v>randoop</x:v>
      </x:c>
      <x:c r="B5111" s="34" t="str">
        <x:v>Time</x:v>
      </x:c>
      <x:c r="C5111" s="34" t="str">
        <x:v>Round2</x:v>
      </x:c>
      <x:c r="D5111" s="34" t="str">
        <x:v>Time_12</x:v>
      </x:c>
      <x:c r="E5111" s="34" t="str">
        <x:v>Condition</x:v>
      </x:c>
      <x:c r="F5111" s="34" t="n">
        <x:v>236</x:v>
      </x:c>
      <x:c r="G5111" s="34" t="str">
        <x:v>RECORDED</x:v>
      </x:c>
      <x:c r="H5111" s="38" t="n">
        <x:f>IF(ISNUMBER('Data'!I1695),'Data'!I1695*100,"")</x:f>
        <x:v>66.53</x:v>
      </x:c>
      <x:c r="I5111" s="34" t="str">
        <x:v>PASS</x:v>
      </x:c>
      <x:c r="J5111" s="34" t="str">
        <x:v>PASS</x:v>
      </x:c>
      <x:c r="K5111" s="34" t="str">
        <x:v>PASS</x:v>
      </x:c>
      <x:c r="L5111" s="34" t="str">
        <x:v>FAIL</x:v>
      </x:c>
      <x:c r="M5111" s="34" t="str">
        <x:v>numeric coverage for applicable metric</x:v>
      </x:c>
      <x:c r="N5111" s="34" t="str">
        <x:v>Feedback-Directed Random Test Generation/Result_Round2/Time_12/result.json</x:v>
      </x:c>
      <x:c r="O5111" s="38" t="n">
        <x:f>IF(AND(G5111="RECORDED",ISNUMBER(H5111)),H5111,"")</x:f>
        <x:v>66.53</x:v>
      </x:c>
      <x:c r="P5111" s="34" t="str">
        <x:v>INCONCLUSIVE</x:v>
      </x:c>
      <x:c r="Q5111" s="34" t="str">
        <x:v>Feedback-Directed Random Test Generation/Result_Round2/Time_12/result.json</x:v>
      </x:c>
    </x:row>
    <x:row r="5112">
      <x:c r="A5112" s="34" t="str">
        <x:v>randoop</x:v>
      </x:c>
      <x:c r="B5112" s="34" t="str">
        <x:v>Time</x:v>
      </x:c>
      <x:c r="C5112" s="34" t="str">
        <x:v>Round2</x:v>
      </x:c>
      <x:c r="D5112" s="34" t="str">
        <x:v>Time_13</x:v>
      </x:c>
      <x:c r="E5112" s="34" t="str">
        <x:v>Condition</x:v>
      </x:c>
      <x:c r="F5112" s="34" t="n">
        <x:v>452</x:v>
      </x:c>
      <x:c r="G5112" s="34" t="str">
        <x:v>RECORDED</x:v>
      </x:c>
      <x:c r="H5112" s="38" t="n">
        <x:f>IF(ISNUMBER('Data'!I1696),'Data'!I1696*100,"")</x:f>
        <x:v>36.5</x:v>
      </x:c>
      <x:c r="I5112" s="34" t="str">
        <x:v>PASS</x:v>
      </x:c>
      <x:c r="J5112" s="34" t="str">
        <x:v>PASS</x:v>
      </x:c>
      <x:c r="K5112" s="34" t="str">
        <x:v>PASS</x:v>
      </x:c>
      <x:c r="L5112" s="34" t="str">
        <x:v>PASS</x:v>
      </x:c>
      <x:c r="M5112" s="34" t="str">
        <x:v>numeric coverage for applicable metric</x:v>
      </x:c>
      <x:c r="N5112" s="34" t="str">
        <x:v>Feedback-Directed Random Test Generation/Result_Round2/Time_13/result.json</x:v>
      </x:c>
      <x:c r="O5112" s="38" t="n">
        <x:f>IF(AND(G5112="RECORDED",ISNUMBER(H5112)),H5112,"")</x:f>
        <x:v>36.5</x:v>
      </x:c>
      <x:c r="P5112" s="34" t="str">
        <x:v>NOT_REVEALING</x:v>
      </x:c>
      <x:c r="Q5112" s="34" t="str">
        <x:v>Feedback-Directed Random Test Generation/Result_Round2/Time_13/result.json</x:v>
      </x:c>
    </x:row>
    <x:row r="5113">
      <x:c r="A5113" s="34" t="str">
        <x:v>randoop</x:v>
      </x:c>
      <x:c r="B5113" s="34" t="str">
        <x:v>Time</x:v>
      </x:c>
      <x:c r="C5113" s="34" t="str">
        <x:v>Round2</x:v>
      </x:c>
      <x:c r="D5113" s="34" t="str">
        <x:v>Time_14</x:v>
      </x:c>
      <x:c r="E5113" s="34" t="str">
        <x:v>Condition</x:v>
      </x:c>
      <x:c r="F5113" s="34" t="n">
        <x:v>46</x:v>
      </x:c>
      <x:c r="G5113" s="34" t="str">
        <x:v>RECORDED</x:v>
      </x:c>
      <x:c r="H5113" s="38" t="n">
        <x:f>IF(ISNUMBER('Data'!I1697),'Data'!I1697*100,"")</x:f>
        <x:v>0</x:v>
      </x:c>
      <x:c r="I5113" s="34" t="str">
        <x:v>PASS</x:v>
      </x:c>
      <x:c r="J5113" s="34" t="str">
        <x:v>PASS</x:v>
      </x:c>
      <x:c r="K5113" s="34" t="str">
        <x:v>PASS</x:v>
      </x:c>
      <x:c r="L5113" s="34" t="str">
        <x:v>PASS</x:v>
      </x:c>
      <x:c r="M5113" s="34" t="str">
        <x:v>numeric coverage for applicable metric</x:v>
      </x:c>
      <x:c r="N5113" s="34" t="str">
        <x:v>Feedback-Directed Random Test Generation/Result_Round2/Time_14/result.json</x:v>
      </x:c>
      <x:c r="O5113" s="38" t="n">
        <x:f>IF(AND(G5113="RECORDED",ISNUMBER(H5113)),H5113,"")</x:f>
        <x:v>0</x:v>
      </x:c>
      <x:c r="P5113" s="34" t="str">
        <x:v>NOT_REVEALING</x:v>
      </x:c>
      <x:c r="Q5113" s="34" t="str">
        <x:v>Feedback-Directed Random Test Generation/Result_Round2/Time_14/result.json</x:v>
      </x:c>
    </x:row>
    <x:row r="5114">
      <x:c r="A5114" s="34" t="str">
        <x:v>randoop</x:v>
      </x:c>
      <x:c r="B5114" s="34" t="str">
        <x:v>Time</x:v>
      </x:c>
      <x:c r="C5114" s="34" t="str">
        <x:v>Round2</x:v>
      </x:c>
      <x:c r="D5114" s="34" t="str">
        <x:v>Time_15</x:v>
      </x:c>
      <x:c r="E5114" s="34" t="str">
        <x:v>Condition</x:v>
      </x:c>
      <x:c r="F5114" s="34" t="n">
        <x:v>70</x:v>
      </x:c>
      <x:c r="G5114" s="34" t="str">
        <x:v>RECORDED</x:v>
      </x:c>
      <x:c r="H5114" s="38" t="n">
        <x:f>IF(ISNUMBER('Data'!I1698),'Data'!I1698*100,"")</x:f>
        <x:v>85.71</x:v>
      </x:c>
      <x:c r="I5114" s="34" t="str">
        <x:v>PASS</x:v>
      </x:c>
      <x:c r="J5114" s="34" t="str">
        <x:v>PASS</x:v>
      </x:c>
      <x:c r="K5114" s="34" t="str">
        <x:v>PASS</x:v>
      </x:c>
      <x:c r="L5114" s="34" t="str">
        <x:v>PASS</x:v>
      </x:c>
      <x:c r="M5114" s="34" t="str">
        <x:v>numeric coverage for applicable metric</x:v>
      </x:c>
      <x:c r="N5114" s="34" t="str">
        <x:v>Feedback-Directed Random Test Generation/Result_Round2/Time_15/result.json</x:v>
      </x:c>
      <x:c r="O5114" s="38" t="n">
        <x:f>IF(AND(G5114="RECORDED",ISNUMBER(H5114)),H5114,"")</x:f>
        <x:v>85.71</x:v>
      </x:c>
      <x:c r="P5114" s="34" t="str">
        <x:v>NOT_REVEALING</x:v>
      </x:c>
      <x:c r="Q5114" s="34" t="str">
        <x:v>Feedback-Directed Random Test Generation/Result_Round2/Time_15/result.json</x:v>
      </x:c>
    </x:row>
    <x:row r="5115">
      <x:c r="A5115" s="34" t="str">
        <x:v>randoop</x:v>
      </x:c>
      <x:c r="B5115" s="34" t="str">
        <x:v>Time</x:v>
      </x:c>
      <x:c r="C5115" s="34" t="str">
        <x:v>Round2</x:v>
      </x:c>
      <x:c r="D5115" s="34" t="str">
        <x:v>Time_16</x:v>
      </x:c>
      <x:c r="E5115" s="34" t="str">
        <x:v>Condition</x:v>
      </x:c>
      <x:c r="F5115" s="34" t="n">
        <x:v>88</x:v>
      </x:c>
      <x:c r="G5115" s="34" t="str">
        <x:v>RECORDED</x:v>
      </x:c>
      <x:c r="H5115" s="38" t="n">
        <x:f>IF(ISNUMBER('Data'!I1699),'Data'!I1699*100,"")</x:f>
        <x:v>18.18</x:v>
      </x:c>
      <x:c r="I5115" s="34" t="str">
        <x:v>PASS</x:v>
      </x:c>
      <x:c r="J5115" s="34" t="str">
        <x:v>PASS</x:v>
      </x:c>
      <x:c r="K5115" s="34" t="str">
        <x:v>PASS</x:v>
      </x:c>
      <x:c r="L5115" s="34" t="str">
        <x:v>PASS</x:v>
      </x:c>
      <x:c r="M5115" s="34" t="str">
        <x:v>numeric coverage for applicable metric</x:v>
      </x:c>
      <x:c r="N5115" s="34" t="str">
        <x:v>Feedback-Directed Random Test Generation/Result_Round2/Time_16/result.json</x:v>
      </x:c>
      <x:c r="O5115" s="38" t="n">
        <x:f>IF(AND(G5115="RECORDED",ISNUMBER(H5115)),H5115,"")</x:f>
        <x:v>18.18</x:v>
      </x:c>
      <x:c r="P5115" s="34" t="str">
        <x:v>NOT_REVEALING</x:v>
      </x:c>
      <x:c r="Q5115" s="34" t="str">
        <x:v>Feedback-Directed Random Test Generation/Result_Round2/Time_16/result.json</x:v>
      </x:c>
    </x:row>
    <x:row r="5116">
      <x:c r="A5116" s="34" t="str">
        <x:v>randoop</x:v>
      </x:c>
      <x:c r="B5116" s="34" t="str">
        <x:v>Time</x:v>
      </x:c>
      <x:c r="C5116" s="34" t="str">
        <x:v>Round2</x:v>
      </x:c>
      <x:c r="D5116" s="34" t="str">
        <x:v>Time_17</x:v>
      </x:c>
      <x:c r="E5116" s="34" t="str">
        <x:v>Condition</x:v>
      </x:c>
      <x:c r="F5116" s="34" t="n">
        <x:v>162</x:v>
      </x:c>
      <x:c r="G5116" s="34" t="str">
        <x:v>RECORDED</x:v>
      </x:c>
      <x:c r="H5116" s="38" t="n">
        <x:f>IF(ISNUMBER('Data'!I1700),'Data'!I1700*100,"")</x:f>
        <x:v>66.05</x:v>
      </x:c>
      <x:c r="I5116" s="34" t="str">
        <x:v>PASS</x:v>
      </x:c>
      <x:c r="J5116" s="34" t="str">
        <x:v>PASS</x:v>
      </x:c>
      <x:c r="K5116" s="34" t="str">
        <x:v>PASS</x:v>
      </x:c>
      <x:c r="L5116" s="34" t="str">
        <x:v>FAIL</x:v>
      </x:c>
      <x:c r="M5116" s="34" t="str">
        <x:v>numeric coverage for applicable metric</x:v>
      </x:c>
      <x:c r="N5116" s="34" t="str">
        <x:v>Feedback-Directed Random Test Generation/Result_Round2/Time_17/result.json</x:v>
      </x:c>
      <x:c r="O5116" s="38" t="n">
        <x:f>IF(AND(G5116="RECORDED",ISNUMBER(H5116)),H5116,"")</x:f>
        <x:v>66.05</x:v>
      </x:c>
      <x:c r="P5116" s="34" t="str">
        <x:v>INCONCLUSIVE</x:v>
      </x:c>
      <x:c r="Q5116" s="34" t="str">
        <x:v>Feedback-Directed Random Test Generation/Result_Round2/Time_17/result.json</x:v>
      </x:c>
    </x:row>
    <x:row r="5117">
      <x:c r="A5117" s="34" t="str">
        <x:v>randoop</x:v>
      </x:c>
      <x:c r="B5117" s="34" t="str">
        <x:v>Time</x:v>
      </x:c>
      <x:c r="C5117" s="34" t="str">
        <x:v>Round2</x:v>
      </x:c>
      <x:c r="D5117" s="34" t="str">
        <x:v>Time_18</x:v>
      </x:c>
      <x:c r="E5117" s="34" t="str">
        <x:v>Condition</x:v>
      </x:c>
      <x:c r="F5117" s="34" t="n">
        <x:v>152</x:v>
      </x:c>
      <x:c r="G5117" s="34" t="str">
        <x:v>RECORDED</x:v>
      </x:c>
      <x:c r="H5117" s="38" t="n">
        <x:f>IF(ISNUMBER('Data'!I1701),'Data'!I1701*100,"")</x:f>
        <x:v>30.92</x:v>
      </x:c>
      <x:c r="I5117" s="34" t="str">
        <x:v>PASS</x:v>
      </x:c>
      <x:c r="J5117" s="34" t="str">
        <x:v>PASS</x:v>
      </x:c>
      <x:c r="K5117" s="34" t="str">
        <x:v>PASS</x:v>
      </x:c>
      <x:c r="L5117" s="34" t="str">
        <x:v>FAIL</x:v>
      </x:c>
      <x:c r="M5117" s="34" t="str">
        <x:v>numeric coverage for applicable metric</x:v>
      </x:c>
      <x:c r="N5117" s="34" t="str">
        <x:v>Feedback-Directed Random Test Generation/Result_Round2/Time_18/result.json</x:v>
      </x:c>
      <x:c r="O5117" s="38" t="n">
        <x:f>IF(AND(G5117="RECORDED",ISNUMBER(H5117)),H5117,"")</x:f>
        <x:v>30.92</x:v>
      </x:c>
      <x:c r="P5117" s="34" t="str">
        <x:v>INCONCLUSIVE</x:v>
      </x:c>
      <x:c r="Q5117" s="34" t="str">
        <x:v>Feedback-Directed Random Test Generation/Result_Round2/Time_18/result.json</x:v>
      </x:c>
    </x:row>
    <x:row r="5118">
      <x:c r="A5118" s="34" t="str">
        <x:v>randoop</x:v>
      </x:c>
      <x:c r="B5118" s="34" t="str">
        <x:v>Time</x:v>
      </x:c>
      <x:c r="C5118" s="34" t="str">
        <x:v>Round2</x:v>
      </x:c>
      <x:c r="D5118" s="34" t="str">
        <x:v>Time_19</x:v>
      </x:c>
      <x:c r="E5118" s="34" t="str">
        <x:v>Condition</x:v>
      </x:c>
      <x:c r="F5118" s="34" t="n">
        <x:v>162</x:v>
      </x:c>
      <x:c r="G5118" s="34" t="str">
        <x:v>RECORDED</x:v>
      </x:c>
      <x:c r="H5118" s="38" t="n">
        <x:f>IF(ISNUMBER('Data'!I1702),'Data'!I1702*100,"")</x:f>
        <x:v>66.05</x:v>
      </x:c>
      <x:c r="I5118" s="34" t="str">
        <x:v>PASS</x:v>
      </x:c>
      <x:c r="J5118" s="34" t="str">
        <x:v>PASS</x:v>
      </x:c>
      <x:c r="K5118" s="34" t="str">
        <x:v>PASS</x:v>
      </x:c>
      <x:c r="L5118" s="34" t="str">
        <x:v>FAIL</x:v>
      </x:c>
      <x:c r="M5118" s="34" t="str">
        <x:v>numeric coverage for applicable metric</x:v>
      </x:c>
      <x:c r="N5118" s="34" t="str">
        <x:v>Feedback-Directed Random Test Generation/Result_Round2/Time_19/result.json</x:v>
      </x:c>
      <x:c r="O5118" s="38" t="n">
        <x:f>IF(AND(G5118="RECORDED",ISNUMBER(H5118)),H5118,"")</x:f>
        <x:v>66.05</x:v>
      </x:c>
      <x:c r="P5118" s="34" t="str">
        <x:v>INCONCLUSIVE</x:v>
      </x:c>
      <x:c r="Q5118" s="34" t="str">
        <x:v>Feedback-Directed Random Test Generation/Result_Round2/Time_19/result.json</x:v>
      </x:c>
    </x:row>
    <x:row r="5119">
      <x:c r="A5119" s="34" t="str">
        <x:v>randoop</x:v>
      </x:c>
      <x:c r="B5119" s="34" t="str">
        <x:v>Time</x:v>
      </x:c>
      <x:c r="C5119" s="34" t="str">
        <x:v>Round2</x:v>
      </x:c>
      <x:c r="D5119" s="34" t="str">
        <x:v>Time_20</x:v>
      </x:c>
      <x:c r="E5119" s="34" t="str">
        <x:v>Condition</x:v>
      </x:c>
      <x:c r="F5119" s="34" t="n">
        <x:v>589</x:v>
      </x:c>
      <x:c r="G5119" s="34" t="str">
        <x:v>RECORDED</x:v>
      </x:c>
      <x:c r="H5119" s="38" t="n">
        <x:f>IF(ISNUMBER('Data'!I1703),'Data'!I1703*100,"")</x:f>
        <x:v>32.77</x:v>
      </x:c>
      <x:c r="I5119" s="34" t="str">
        <x:v>PASS</x:v>
      </x:c>
      <x:c r="J5119" s="34" t="str">
        <x:v>PASS</x:v>
      </x:c>
      <x:c r="K5119" s="34" t="str">
        <x:v>PASS</x:v>
      </x:c>
      <x:c r="L5119" s="34" t="str">
        <x:v>PASS</x:v>
      </x:c>
      <x:c r="M5119" s="34" t="str">
        <x:v>numeric coverage for applicable metric</x:v>
      </x:c>
      <x:c r="N5119" s="34" t="str">
        <x:v>Feedback-Directed Random Test Generation/Result_Round2/Time_20/result.json</x:v>
      </x:c>
      <x:c r="O5119" s="38" t="n">
        <x:f>IF(AND(G5119="RECORDED",ISNUMBER(H5119)),H5119,"")</x:f>
        <x:v>32.77</x:v>
      </x:c>
      <x:c r="P5119" s="34" t="str">
        <x:v>NOT_REVEALING</x:v>
      </x:c>
      <x:c r="Q5119" s="34" t="str">
        <x:v>Feedback-Directed Random Test Generation/Result_Round2/Time_20/result.json</x:v>
      </x:c>
    </x:row>
    <x:row r="5120">
      <x:c r="A5120" s="34" t="str">
        <x:v>randoop</x:v>
      </x:c>
      <x:c r="B5120" s="34" t="str">
        <x:v>Time</x:v>
      </x:c>
      <x:c r="C5120" s="34" t="str">
        <x:v>Round2</x:v>
      </x:c>
      <x:c r="D5120" s="34" t="str">
        <x:v>Time_22</x:v>
      </x:c>
      <x:c r="E5120" s="34" t="str">
        <x:v>Condition</x:v>
      </x:c>
      <x:c r="F5120" s="34" t="n">
        <x:v>58</x:v>
      </x:c>
      <x:c r="G5120" s="34" t="str">
        <x:v>RECORDED</x:v>
      </x:c>
      <x:c r="H5120" s="38" t="n">
        <x:f>IF(ISNUMBER('Data'!I1704),'Data'!I1704*100,"")</x:f>
        <x:v>0</x:v>
      </x:c>
      <x:c r="I5120" s="34" t="str">
        <x:v>PASS</x:v>
      </x:c>
      <x:c r="J5120" s="34" t="str">
        <x:v>PASS</x:v>
      </x:c>
      <x:c r="K5120" s="34" t="str">
        <x:v>PASS</x:v>
      </x:c>
      <x:c r="L5120" s="34" t="str">
        <x:v>PASS</x:v>
      </x:c>
      <x:c r="M5120" s="34" t="str">
        <x:v>numeric coverage for applicable metric</x:v>
      </x:c>
      <x:c r="N5120" s="34" t="str">
        <x:v>Feedback-Directed Random Test Generation/Result_Round2/Time_22/result.json</x:v>
      </x:c>
      <x:c r="O5120" s="38" t="n">
        <x:f>IF(AND(G5120="RECORDED",ISNUMBER(H5120)),H5120,"")</x:f>
        <x:v>0</x:v>
      </x:c>
      <x:c r="P5120" s="34" t="str">
        <x:v>NOT_REVEALING</x:v>
      </x:c>
      <x:c r="Q5120" s="34" t="str">
        <x:v>Feedback-Directed Random Test Generation/Result_Round2/Time_22/result.json</x:v>
      </x:c>
    </x:row>
    <x:row r="5121">
      <x:c r="A5121" s="34" t="str">
        <x:v>randoop</x:v>
      </x:c>
      <x:c r="B5121" s="34" t="str">
        <x:v>Time</x:v>
      </x:c>
      <x:c r="C5121" s="34" t="str">
        <x:v>Round2</x:v>
      </x:c>
      <x:c r="D5121" s="34" t="str">
        <x:v>Time_23</x:v>
      </x:c>
      <x:c r="E5121" s="34" t="str">
        <x:v>Condition</x:v>
      </x:c>
      <x:c r="F5121" s="34" t="n">
        <x:v>162</x:v>
      </x:c>
      <x:c r="G5121" s="34" t="str">
        <x:v>RECORDED</x:v>
      </x:c>
      <x:c r="H5121" s="38" t="n">
        <x:f>IF(ISNUMBER('Data'!I1705),'Data'!I1705*100,"")</x:f>
        <x:v>66.05</x:v>
      </x:c>
      <x:c r="I5121" s="34" t="str">
        <x:v>PASS</x:v>
      </x:c>
      <x:c r="J5121" s="34" t="str">
        <x:v>PASS</x:v>
      </x:c>
      <x:c r="K5121" s="34" t="str">
        <x:v>PASS</x:v>
      </x:c>
      <x:c r="L5121" s="34" t="str">
        <x:v>FAIL</x:v>
      </x:c>
      <x:c r="M5121" s="34" t="str">
        <x:v>numeric coverage for applicable metric</x:v>
      </x:c>
      <x:c r="N5121" s="34" t="str">
        <x:v>Feedback-Directed Random Test Generation/Result_Round2/Time_23/result.json</x:v>
      </x:c>
      <x:c r="O5121" s="38" t="n">
        <x:f>IF(AND(G5121="RECORDED",ISNUMBER(H5121)),H5121,"")</x:f>
        <x:v>66.05</x:v>
      </x:c>
      <x:c r="P5121" s="34" t="str">
        <x:v>INCONCLUSIVE</x:v>
      </x:c>
      <x:c r="Q5121" s="34" t="str">
        <x:v>Feedback-Directed Random Test Generation/Result_Round2/Time_23/result.json</x:v>
      </x:c>
    </x:row>
    <x:row r="5122">
      <x:c r="A5122" s="34" t="str">
        <x:v>randoop</x:v>
      </x:c>
      <x:c r="B5122" s="34" t="str">
        <x:v>Time</x:v>
      </x:c>
      <x:c r="C5122" s="34" t="str">
        <x:v>Round2</x:v>
      </x:c>
      <x:c r="D5122" s="34" t="str">
        <x:v>Time_24</x:v>
      </x:c>
      <x:c r="E5122" s="34" t="str">
        <x:v>Condition</x:v>
      </x:c>
      <x:c r="F5122" s="34" t="n">
        <x:v>64</x:v>
      </x:c>
      <x:c r="G5122" s="34" t="str">
        <x:v>RECORDED</x:v>
      </x:c>
      <x:c r="H5122" s="38" t="n">
        <x:f>IF(ISNUMBER('Data'!I1706),'Data'!I1706*100,"")</x:f>
        <x:v>40.62</x:v>
      </x:c>
      <x:c r="I5122" s="34" t="str">
        <x:v>PASS</x:v>
      </x:c>
      <x:c r="J5122" s="34" t="str">
        <x:v>PASS</x:v>
      </x:c>
      <x:c r="K5122" s="34" t="str">
        <x:v>PASS</x:v>
      </x:c>
      <x:c r="L5122" s="34" t="str">
        <x:v>FAIL</x:v>
      </x:c>
      <x:c r="M5122" s="34" t="str">
        <x:v>numeric coverage for applicable metric</x:v>
      </x:c>
      <x:c r="N5122" s="34" t="str">
        <x:v>Feedback-Directed Random Test Generation/Result_Round2/Time_24/result.json</x:v>
      </x:c>
      <x:c r="O5122" s="38" t="n">
        <x:f>IF(AND(G5122="RECORDED",ISNUMBER(H5122)),H5122,"")</x:f>
        <x:v>40.62</x:v>
      </x:c>
      <x:c r="P5122" s="34" t="str">
        <x:v>INCONCLUSIVE</x:v>
      </x:c>
      <x:c r="Q5122" s="34" t="str">
        <x:v>Feedback-Directed Random Test Generation/Result_Round2/Time_24/result.json</x:v>
      </x:c>
    </x:row>
    <x:row r="5123">
      <x:c r="A5123" s="34" t="str">
        <x:v>randoop</x:v>
      </x:c>
      <x:c r="B5123" s="34" t="str">
        <x:v>Time</x:v>
      </x:c>
      <x:c r="C5123" s="34" t="str">
        <x:v>Round2</x:v>
      </x:c>
      <x:c r="D5123" s="34" t="str">
        <x:v>Time_25</x:v>
      </x:c>
      <x:c r="E5123" s="34" t="str">
        <x:v>Condition</x:v>
      </x:c>
      <x:c r="F5123" s="34" t="n">
        <x:v>152</x:v>
      </x:c>
      <x:c r="G5123" s="34" t="str">
        <x:v>RECORDED</x:v>
      </x:c>
      <x:c r="H5123" s="38" t="n">
        <x:f>IF(ISNUMBER('Data'!I1707),'Data'!I1707*100,"")</x:f>
        <x:v>62.5</x:v>
      </x:c>
      <x:c r="I5123" s="34" t="str">
        <x:v>PASS</x:v>
      </x:c>
      <x:c r="J5123" s="34" t="str">
        <x:v>PASS</x:v>
      </x:c>
      <x:c r="K5123" s="34" t="str">
        <x:v>PASS</x:v>
      </x:c>
      <x:c r="L5123" s="34" t="str">
        <x:v>PASS</x:v>
      </x:c>
      <x:c r="M5123" s="34" t="str">
        <x:v>numeric coverage for applicable metric</x:v>
      </x:c>
      <x:c r="N5123" s="34" t="str">
        <x:v>Feedback-Directed Random Test Generation/Result_Round2/Time_25/result.json</x:v>
      </x:c>
      <x:c r="O5123" s="38" t="n">
        <x:f>IF(AND(G5123="RECORDED",ISNUMBER(H5123)),H5123,"")</x:f>
        <x:v>62.5</x:v>
      </x:c>
      <x:c r="P5123" s="34" t="str">
        <x:v>NOT_REVEALING</x:v>
      </x:c>
      <x:c r="Q5123" s="34" t="str">
        <x:v>Feedback-Directed Random Test Generation/Result_Round2/Time_25/result.json</x:v>
      </x:c>
    </x:row>
    <x:row r="5124">
      <x:c r="A5124" s="34" t="str">
        <x:v>randoop</x:v>
      </x:c>
      <x:c r="B5124" s="34" t="str">
        <x:v>Time</x:v>
      </x:c>
      <x:c r="C5124" s="34" t="str">
        <x:v>Round2</x:v>
      </x:c>
      <x:c r="D5124" s="34" t="str">
        <x:v>Time_26</x:v>
      </x:c>
      <x:c r="E5124" s="34" t="str">
        <x:v>Condition</x:v>
      </x:c>
      <x:c r="F5124" s="34" t="n">
        <x:v>240</x:v>
      </x:c>
      <x:c r="G5124" s="34" t="str">
        <x:v>RECORDED</x:v>
      </x:c>
      <x:c r="H5124" s="38" t="n">
        <x:f>IF(ISNUMBER('Data'!I1708),'Data'!I1708*100,"")</x:f>
        <x:v>42.5</x:v>
      </x:c>
      <x:c r="I5124" s="34" t="str">
        <x:v>PASS</x:v>
      </x:c>
      <x:c r="J5124" s="34" t="str">
        <x:v>PASS</x:v>
      </x:c>
      <x:c r="K5124" s="34" t="str">
        <x:v>PASS</x:v>
      </x:c>
      <x:c r="L5124" s="34" t="str">
        <x:v>FAIL</x:v>
      </x:c>
      <x:c r="M5124" s="34" t="str">
        <x:v>numeric coverage for applicable metric</x:v>
      </x:c>
      <x:c r="N5124" s="34" t="str">
        <x:v>Feedback-Directed Random Test Generation/Result_Round2/Time_26/result.json</x:v>
      </x:c>
      <x:c r="O5124" s="38" t="n">
        <x:f>IF(AND(G5124="RECORDED",ISNUMBER(H5124)),H5124,"")</x:f>
        <x:v>42.5</x:v>
      </x:c>
      <x:c r="P5124" s="34" t="str">
        <x:v>INCONCLUSIVE</x:v>
      </x:c>
      <x:c r="Q5124" s="34" t="str">
        <x:v>Feedback-Directed Random Test Generation/Result_Round2/Time_26/result.json</x:v>
      </x:c>
    </x:row>
    <x:row r="5125">
      <x:c r="A5125" s="34" t="str">
        <x:v>randoop</x:v>
      </x:c>
      <x:c r="B5125" s="34" t="str">
        <x:v>Time</x:v>
      </x:c>
      <x:c r="C5125" s="34" t="str">
        <x:v>Round2</x:v>
      </x:c>
      <x:c r="D5125" s="34" t="str">
        <x:v>Time_27</x:v>
      </x:c>
      <x:c r="E5125" s="34" t="str">
        <x:v>Condition</x:v>
      </x:c>
      <x:c r="F5125" s="34" t="n">
        <x:v>446</x:v>
      </x:c>
      <x:c r="G5125" s="34" t="str">
        <x:v>RECORDED</x:v>
      </x:c>
      <x:c r="H5125" s="38" t="n">
        <x:f>IF(ISNUMBER('Data'!I1709),'Data'!I1709*100,"")</x:f>
        <x:v>36.1</x:v>
      </x:c>
      <x:c r="I5125" s="34" t="str">
        <x:v>PASS</x:v>
      </x:c>
      <x:c r="J5125" s="34" t="str">
        <x:v>PASS</x:v>
      </x:c>
      <x:c r="K5125" s="34" t="str">
        <x:v>PASS</x:v>
      </x:c>
      <x:c r="L5125" s="34" t="str">
        <x:v>PASS</x:v>
      </x:c>
      <x:c r="M5125" s="34" t="str">
        <x:v>numeric coverage for applicable metric</x:v>
      </x:c>
      <x:c r="N5125" s="34" t="str">
        <x:v>Feedback-Directed Random Test Generation/Result_Round2/Time_27/result.json</x:v>
      </x:c>
      <x:c r="O5125" s="38" t="n">
        <x:f>IF(AND(G5125="RECORDED",ISNUMBER(H5125)),H5125,"")</x:f>
        <x:v>36.1</x:v>
      </x:c>
      <x:c r="P5125" s="34" t="str">
        <x:v>NOT_REVEALING</x:v>
      </x:c>
      <x:c r="Q5125" s="34" t="str">
        <x:v>Feedback-Directed Random Test Generation/Result_Round2/Time_27/result.json</x:v>
      </x:c>
    </x:row>
  </x:sheetData>
  <x:pageMargins left="0.7" right="0.7" top="0.75" bottom="0.75" header="0.3" footer="0.3"/>
  <x:tableParts count="1">
    <x:tablePart xmlns:r="http://schemas.openxmlformats.org/officeDocument/2006/relationships" r:id="R399e7fed3f964107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2">
      <x:c r="B2" t="str">
        <x:v>Coverage on bugs measured by all four methods</x:v>
      </x:c>
    </x:row>
    <x:row r="3" ht="28" customHeight="1">
      <x:c r="B3" s="31" t="str">
        <x:v>All rounds: average numeric rounds per method/bug first. Same-round intersections are reported separately.</x:v>
      </x:c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4" ht="28" customHeight="1">
      <x:c r="B4" s="31" t="str">
        <x:v>Mean denominator = shared bugs for each method. Results columns count numeric rounds contributing to per-bug means.</x:v>
      </x:c>
      <x:c r="C4" s="31"/>
      <x:c r="D4" s="31"/>
      <x:c r="E4" s="31"/>
      <x:c r="F4" s="31"/>
      <x:c r="G4" s="31"/>
      <x:c r="H4" s="31"/>
      <x:c r="I4" s="31"/>
      <x:c r="J4" s="31"/>
      <x:c r="K4" s="31"/>
      <x:c r="L4" s="31"/>
    </x:row>
    <x:row r="6" ht="42" customHeight="1">
      <x:c r="B6" s="20" t="str">
        <x:v>Scope</x:v>
      </x:c>
      <x:c r="C6" s="20" t="str">
        <x:v>Metric</x:v>
      </x:c>
      <x:c r="D6" s="20" t="str">
        <x:v>Shared bugs</x:v>
      </x:c>
      <x:c r="E6" s="20" t="str">
        <x:v>GA (V2)</x:v>
      </x:c>
      <x:c r="F6" s="20" t="str">
        <x:v>FRT/Randoop</x:v>
      </x:c>
      <x:c r="G6" s="20" t="str">
        <x:v>DeepSeek</x:v>
      </x:c>
      <x:c r="H6" s="20" t="str">
        <x:v>Gemini</x:v>
      </x:c>
      <x:c r="I6" s="20" t="str">
        <x:v>GA results</x:v>
      </x:c>
      <x:c r="J6" s="20" t="str">
        <x:v>FRT results</x:v>
      </x:c>
      <x:c r="K6" s="20" t="str">
        <x:v>DeepSeek results</x:v>
      </x:c>
      <x:c r="L6" s="20" t="str">
        <x:v>Gemini results</x:v>
      </x:c>
    </x:row>
    <x:row r="7" ht="23" customHeight="1">
      <x:c r="B7" s="17" t="str">
        <x:v>All rounds</x:v>
      </x:c>
      <x:c r="C7" s="17" t="str">
        <x:v>line</x:v>
      </x:c>
      <x:c r="D7" s="17" t="n">
        <x:v>304</x:v>
      </x:c>
      <x:c r="E7" s="32" t="n">
        <x:f>AVERAGE(E17:E320)</x:f>
        <x:v>0.7165292763157897</x:v>
      </x:c>
      <x:c r="F7" s="32" t="n">
        <x:f>AVERAGE(F17:F320)</x:f>
        <x:v>0.4351220394736839</x:v>
      </x:c>
      <x:c r="G7" s="32" t="n">
        <x:f>AVERAGE(G17:G320)</x:f>
        <x:v>0.7385754934210532</x:v>
      </x:c>
      <x:c r="H7" s="32" t="n">
        <x:f>AVERAGE(H17:H320)</x:f>
        <x:v>0.5067677631578947</x:v>
      </x:c>
      <x:c r="I7" s="39" t="n">
        <x:f>SUM(I17:I320)</x:f>
        <x:v>603</x:v>
      </x:c>
      <x:c r="J7" s="39" t="n">
        <x:f>SUM(J17:J320)</x:f>
        <x:v>604</x:v>
      </x:c>
      <x:c r="K7" s="39" t="n">
        <x:f>SUM(K17:K320)</x:f>
        <x:v>474</x:v>
      </x:c>
      <x:c r="L7" s="39" t="n">
        <x:f>SUM(L17:L320)</x:f>
        <x:v>304</x:v>
      </x:c>
    </x:row>
    <x:row r="8" ht="23" customHeight="1">
      <x:c r="B8" s="17" t="str">
        <x:v>All rounds</x:v>
      </x:c>
      <x:c r="C8" s="17" t="str">
        <x:v>condition</x:v>
      </x:c>
      <x:c r="D8" s="17" t="n">
        <x:v>302</x:v>
      </x:c>
      <x:c r="E8" s="32" t="n">
        <x:f>AVERAGE(E321:E622)</x:f>
        <x:v>0.666474834437086</x:v>
      </x:c>
      <x:c r="F8" s="32" t="n">
        <x:f>AVERAGE(F321:F622)</x:f>
        <x:v>0.33689205298013264</x:v>
      </x:c>
      <x:c r="G8" s="32" t="n">
        <x:f>AVERAGE(G321:G622)</x:f>
        <x:v>0.6607890728476823</x:v>
      </x:c>
      <x:c r="H8" s="32" t="n">
        <x:f>AVERAGE(H321:H622)</x:f>
        <x:v>0.46226357615894037</x:v>
      </x:c>
      <x:c r="I8" s="39" t="n">
        <x:f>SUM(I321:I622)</x:f>
        <x:v>599</x:v>
      </x:c>
      <x:c r="J8" s="39" t="n">
        <x:f>SUM(J321:J622)</x:f>
        <x:v>600</x:v>
      </x:c>
      <x:c r="K8" s="39" t="n">
        <x:f>SUM(K321:K622)</x:f>
        <x:v>471</x:v>
      </x:c>
      <x:c r="L8" s="39" t="n">
        <x:f>SUM(L321:L622)</x:f>
        <x:v>302</x:v>
      </x:c>
    </x:row>
    <x:row r="9" ht="23" customHeight="1">
      <x:c r="B9" s="17" t="str">
        <x:v>Round1</x:v>
      </x:c>
      <x:c r="C9" s="17" t="str">
        <x:v>line</x:v>
      </x:c>
      <x:c r="D9" s="17" t="n">
        <x:v>167</x:v>
      </x:c>
      <x:c r="E9" s="32" t="n">
        <x:f>AVERAGE(E623:E789)</x:f>
        <x:v>0.7406904191616765</x:v>
      </x:c>
      <x:c r="F9" s="32" t="n">
        <x:f>AVERAGE(F623:F789)</x:f>
        <x:v>0.4502035928143714</x:v>
      </x:c>
      <x:c r="G9" s="32" t="n">
        <x:f>AVERAGE(G623:G789)</x:f>
        <x:v>0.7499999999999999</x:v>
      </x:c>
      <x:c r="H9" s="32" t="n">
        <x:f>AVERAGE(H623:H789)</x:f>
        <x:v>0.5372263473053892</x:v>
      </x:c>
      <x:c r="I9" s="39" t="n">
        <x:f>SUM(I623:I789)</x:f>
        <x:v>167</x:v>
      </x:c>
      <x:c r="J9" s="39" t="n">
        <x:f>SUM(J623:J789)</x:f>
        <x:v>167</x:v>
      </x:c>
      <x:c r="K9" s="39" t="n">
        <x:f>SUM(K623:K789)</x:f>
        <x:v>167</x:v>
      </x:c>
      <x:c r="L9" s="39" t="n">
        <x:f>SUM(L623:L789)</x:f>
        <x:v>167</x:v>
      </x:c>
    </x:row>
    <x:row r="10" ht="23" customHeight="1">
      <x:c r="B10" s="17" t="str">
        <x:v>Round1</x:v>
      </x:c>
      <x:c r="C10" s="17" t="str">
        <x:v>condition</x:v>
      </x:c>
      <x:c r="D10" s="17" t="n">
        <x:v>166</x:v>
      </x:c>
      <x:c r="E10" s="32" t="n">
        <x:f>AVERAGE(E790:E955)</x:f>
        <x:v>0.6933277108433735</x:v>
      </x:c>
      <x:c r="F10" s="32" t="n">
        <x:f>AVERAGE(F790:F955)</x:f>
        <x:v>0.3427114457831325</x:v>
      </x:c>
      <x:c r="G10" s="32" t="n">
        <x:f>AVERAGE(G790:G955)</x:f>
        <x:v>0.6745927710843374</x:v>
      </x:c>
      <x:c r="H10" s="32" t="n">
        <x:f>AVERAGE(H790:H955)</x:f>
        <x:v>0.4893253012048193</x:v>
      </x:c>
      <x:c r="I10" s="39" t="n">
        <x:f>SUM(I790:I955)</x:f>
        <x:v>166</x:v>
      </x:c>
      <x:c r="J10" s="39" t="n">
        <x:f>SUM(J790:J955)</x:f>
        <x:v>166</x:v>
      </x:c>
      <x:c r="K10" s="39" t="n">
        <x:f>SUM(K790:K955)</x:f>
        <x:v>166</x:v>
      </x:c>
      <x:c r="L10" s="39" t="n">
        <x:f>SUM(L790:L955)</x:f>
        <x:v>166</x:v>
      </x:c>
    </x:row>
    <x:row r="11" ht="23" customHeight="1">
      <x:c r="B11" s="17" t="str">
        <x:v>Round2</x:v>
      </x:c>
      <x:c r="C11" s="17" t="str">
        <x:v>line</x:v>
      </x:c>
      <x:c r="D11" s="17" t="n">
        <x:v>0</x:v>
      </x:c>
      <x:c r="E11" s="32" t="str">
        <x:f>"—"</x:f>
        <x:v>—</x:v>
      </x:c>
      <x:c r="F11" s="32" t="str">
        <x:f>"—"</x:f>
        <x:v>—</x:v>
      </x:c>
      <x:c r="G11" s="32" t="str">
        <x:f>"—"</x:f>
        <x:v>—</x:v>
      </x:c>
      <x:c r="H11" s="32" t="str">
        <x:f>"—"</x:f>
        <x:v>—</x:v>
      </x:c>
      <x:c r="I11" s="39" t="n">
        <x:f>0</x:f>
        <x:v>0</x:v>
      </x:c>
      <x:c r="J11" s="39" t="n">
        <x:f>0</x:f>
        <x:v>0</x:v>
      </x:c>
      <x:c r="K11" s="39" t="n">
        <x:f>0</x:f>
        <x:v>0</x:v>
      </x:c>
      <x:c r="L11" s="39" t="n">
        <x:f>0</x:f>
        <x:v>0</x:v>
      </x:c>
    </x:row>
    <x:row r="12" ht="23" customHeight="1">
      <x:c r="B12" s="17" t="str">
        <x:v>Round2</x:v>
      </x:c>
      <x:c r="C12" s="17" t="str">
        <x:v>condition</x:v>
      </x:c>
      <x:c r="D12" s="17" t="n">
        <x:v>0</x:v>
      </x:c>
      <x:c r="E12" s="32" t="str">
        <x:f>"—"</x:f>
        <x:v>—</x:v>
      </x:c>
      <x:c r="F12" s="32" t="str">
        <x:f>"—"</x:f>
        <x:v>—</x:v>
      </x:c>
      <x:c r="G12" s="32" t="str">
        <x:f>"—"</x:f>
        <x:v>—</x:v>
      </x:c>
      <x:c r="H12" s="32" t="str">
        <x:f>"—"</x:f>
        <x:v>—</x:v>
      </x:c>
      <x:c r="I12" s="39" t="n">
        <x:f>0</x:f>
        <x:v>0</x:v>
      </x:c>
      <x:c r="J12" s="39" t="n">
        <x:f>0</x:f>
        <x:v>0</x:v>
      </x:c>
      <x:c r="K12" s="39" t="n">
        <x:f>0</x:f>
        <x:v>0</x:v>
      </x:c>
      <x:c r="L12" s="39" t="n">
        <x:f>0</x:f>
        <x:v>0</x:v>
      </x:c>
    </x:row>
    <x:row r="13">
      <x:c r="E13" s="41"/>
      <x:c r="F13" s="41"/>
      <x:c r="G13" s="41"/>
      <x:c r="H13" s="41"/>
      <x:c r="I13" s="43"/>
      <x:c r="J13" s="43"/>
      <x:c r="K13" s="43"/>
      <x:c r="L13" s="43"/>
    </x:row>
    <x:row r="14">
      <x:c r="E14" s="41"/>
      <x:c r="F14" s="41"/>
      <x:c r="G14" s="41"/>
      <x:c r="H14" s="41"/>
      <x:c r="I14" s="43"/>
      <x:c r="J14" s="43"/>
      <x:c r="K14" s="43"/>
      <x:c r="L14" s="43"/>
    </x:row>
    <x:row r="15">
      <x:c r="E15" s="41"/>
      <x:c r="F15" s="41"/>
      <x:c r="G15" s="41"/>
      <x:c r="H15" s="41"/>
      <x:c r="I15" s="43"/>
      <x:c r="J15" s="43"/>
      <x:c r="K15" s="43"/>
      <x:c r="L15" s="43"/>
    </x:row>
    <x:row r="16" ht="42" customHeight="1">
      <x:c r="B16" s="20" t="str">
        <x:v>Scope</x:v>
      </x:c>
      <x:c r="C16" s="20" t="str">
        <x:v>Metric</x:v>
      </x:c>
      <x:c r="D16" s="20" t="str">
        <x:v>Bug</x:v>
      </x:c>
      <x:c r="E16" s="45" t="str">
        <x:v>GA (V2)</x:v>
      </x:c>
      <x:c r="F16" s="45" t="str">
        <x:v>FRT/Randoop</x:v>
      </x:c>
      <x:c r="G16" s="45" t="str">
        <x:v>DeepSeek</x:v>
      </x:c>
      <x:c r="H16" s="45" t="str">
        <x:v>Gemini</x:v>
      </x:c>
      <x:c r="I16" s="44" t="str">
        <x:v>GA results</x:v>
      </x:c>
      <x:c r="J16" s="44" t="str">
        <x:v>FRT results</x:v>
      </x:c>
      <x:c r="K16" s="44" t="str">
        <x:v>DeepSeek results</x:v>
      </x:c>
      <x:c r="L16" s="44" t="str">
        <x:v>Gemini results</x:v>
      </x:c>
    </x:row>
    <x:row r="17" ht="23" customHeight="1">
      <x:c r="B17" s="17" t="str">
        <x:v>All rounds</x:v>
      </x:c>
      <x:c r="C17" s="17" t="str">
        <x:v>line</x:v>
      </x:c>
      <x:c r="D17" s="17" t="str">
        <x:v>Chart_10</x:v>
      </x:c>
      <x:c r="E17" s="32" t="n">
        <x:v>1</x:v>
      </x:c>
      <x:c r="F17" s="32" t="n">
        <x:v>1</x:v>
      </x:c>
      <x:c r="G17" s="32" t="n">
        <x:v>1</x:v>
      </x:c>
      <x:c r="H17" s="32" t="n">
        <x:v>1</x:v>
      </x:c>
      <x:c r="I17" s="39" t="n">
        <x:v>2</x:v>
      </x:c>
      <x:c r="J17" s="39" t="n">
        <x:v>2</x:v>
      </x:c>
      <x:c r="K17" s="39" t="n">
        <x:v>2</x:v>
      </x:c>
      <x:c r="L17" s="39" t="n">
        <x:v>1</x:v>
      </x:c>
    </x:row>
    <x:row r="18" ht="23" customHeight="1">
      <x:c r="B18" s="17" t="str">
        <x:v>All rounds</x:v>
      </x:c>
      <x:c r="C18" s="17" t="str">
        <x:v>line</x:v>
      </x:c>
      <x:c r="D18" s="17" t="str">
        <x:v>Chart_16</x:v>
      </x:c>
      <x:c r="E18" s="32" t="n">
        <x:v>0.8617</x:v>
      </x:c>
      <x:c r="F18" s="32" t="n">
        <x:v>0.8112</x:v>
      </x:c>
      <x:c r="G18" s="32" t="n">
        <x:v>0.9415</x:v>
      </x:c>
      <x:c r="H18" s="32" t="n">
        <x:v>0.22870000000000001</x:v>
      </x:c>
      <x:c r="I18" s="39" t="n">
        <x:v>2</x:v>
      </x:c>
      <x:c r="J18" s="39" t="n">
        <x:v>2</x:v>
      </x:c>
      <x:c r="K18" s="39" t="n">
        <x:v>1</x:v>
      </x:c>
      <x:c r="L18" s="39" t="n">
        <x:v>1</x:v>
      </x:c>
    </x:row>
    <x:row r="19" ht="23" customHeight="1">
      <x:c r="B19" s="17" t="str">
        <x:v>All rounds</x:v>
      </x:c>
      <x:c r="C19" s="17" t="str">
        <x:v>line</x:v>
      </x:c>
      <x:c r="D19" s="17" t="str">
        <x:v>Chart_18</x:v>
      </x:c>
      <x:c r="E19" s="32" t="n">
        <x:v>0.9925</x:v>
      </x:c>
      <x:c r="F19" s="32" t="n">
        <x:v>0.8421</x:v>
      </x:c>
      <x:c r="G19" s="32" t="n">
        <x:v>0.9586</x:v>
      </x:c>
      <x:c r="H19" s="32" t="n">
        <x:v>0.2293</x:v>
      </x:c>
      <x:c r="I19" s="39" t="n">
        <x:v>2</x:v>
      </x:c>
      <x:c r="J19" s="39" t="n">
        <x:v>2</x:v>
      </x:c>
      <x:c r="K19" s="39" t="n">
        <x:v>2</x:v>
      </x:c>
      <x:c r="L19" s="39" t="n">
        <x:v>1</x:v>
      </x:c>
    </x:row>
    <x:row r="20" ht="23" customHeight="1">
      <x:c r="B20" s="17" t="str">
        <x:v>All rounds</x:v>
      </x:c>
      <x:c r="C20" s="17" t="str">
        <x:v>line</x:v>
      </x:c>
      <x:c r="D20" s="17" t="str">
        <x:v>Chart_20</x:v>
      </x:c>
      <x:c r="E20" s="32" t="n">
        <x:v>0.9545</x:v>
      </x:c>
      <x:c r="F20" s="32" t="n">
        <x:v>0.9091</x:v>
      </x:c>
      <x:c r="G20" s="32" t="n">
        <x:v>0.9545</x:v>
      </x:c>
      <x:c r="H20" s="32" t="n">
        <x:v>0.9545</x:v>
      </x:c>
      <x:c r="I20" s="39" t="n">
        <x:v>2</x:v>
      </x:c>
      <x:c r="J20" s="39" t="n">
        <x:v>2</x:v>
      </x:c>
      <x:c r="K20" s="39" t="n">
        <x:v>1</x:v>
      </x:c>
      <x:c r="L20" s="39" t="n">
        <x:v>1</x:v>
      </x:c>
    </x:row>
    <x:row r="21" ht="23" customHeight="1">
      <x:c r="B21" s="17" t="str">
        <x:v>All rounds</x:v>
      </x:c>
      <x:c r="C21" s="17" t="str">
        <x:v>line</x:v>
      </x:c>
      <x:c r="D21" s="17" t="str">
        <x:v>Chart_21</x:v>
      </x:c>
      <x:c r="E21" s="32" t="n">
        <x:v>0.9193000000000001</x:v>
      </x:c>
      <x:c r="F21" s="32" t="n">
        <x:v>0.5652</x:v>
      </x:c>
      <x:c r="G21" s="32" t="n">
        <x:v>0.5589999999999999</x:v>
      </x:c>
      <x:c r="H21" s="32" t="n">
        <x:v>0.23600000000000002</x:v>
      </x:c>
      <x:c r="I21" s="39" t="n">
        <x:v>2</x:v>
      </x:c>
      <x:c r="J21" s="39" t="n">
        <x:v>2</x:v>
      </x:c>
      <x:c r="K21" s="39" t="n">
        <x:v>2</x:v>
      </x:c>
      <x:c r="L21" s="39" t="n">
        <x:v>1</x:v>
      </x:c>
    </x:row>
    <x:row r="22" ht="23" customHeight="1">
      <x:c r="B22" s="17" t="str">
        <x:v>All rounds</x:v>
      </x:c>
      <x:c r="C22" s="17" t="str">
        <x:v>line</x:v>
      </x:c>
      <x:c r="D22" s="17" t="str">
        <x:v>Chart_22</x:v>
      </x:c>
      <x:c r="E22" s="32" t="n">
        <x:v>0.9677</x:v>
      </x:c>
      <x:c r="F22" s="32" t="n">
        <x:v>0.9355</x:v>
      </x:c>
      <x:c r="G22" s="32" t="n">
        <x:v>0.9274</x:v>
      </x:c>
      <x:c r="H22" s="32" t="n">
        <x:v>0.22579999999999997</x:v>
      </x:c>
      <x:c r="I22" s="39" t="n">
        <x:v>2</x:v>
      </x:c>
      <x:c r="J22" s="39" t="n">
        <x:v>2</x:v>
      </x:c>
      <x:c r="K22" s="39" t="n">
        <x:v>2</x:v>
      </x:c>
      <x:c r="L22" s="39" t="n">
        <x:v>1</x:v>
      </x:c>
    </x:row>
    <x:row r="23" ht="23" customHeight="1">
      <x:c r="B23" s="17" t="str">
        <x:v>All rounds</x:v>
      </x:c>
      <x:c r="C23" s="17" t="str">
        <x:v>line</x:v>
      </x:c>
      <x:c r="D23" s="17" t="str">
        <x:v>Chart_23</x:v>
      </x:c>
      <x:c r="E23" s="32" t="n">
        <x:v>0.38189999999999996</x:v>
      </x:c>
      <x:c r="F23" s="32" t="n">
        <x:v>0.37155</x:v>
      </x:c>
      <x:c r="G23" s="32" t="n">
        <x:v>0.375</x:v>
      </x:c>
      <x:c r="H23" s="32" t="n">
        <x:v>0.9792000000000001</x:v>
      </x:c>
      <x:c r="I23" s="39" t="n">
        <x:v>2</x:v>
      </x:c>
      <x:c r="J23" s="39" t="n">
        <x:v>2</x:v>
      </x:c>
      <x:c r="K23" s="39" t="n">
        <x:v>1</x:v>
      </x:c>
      <x:c r="L23" s="39" t="n">
        <x:v>1</x:v>
      </x:c>
    </x:row>
    <x:row r="24" ht="23" customHeight="1">
      <x:c r="B24" s="17" t="str">
        <x:v>All rounds</x:v>
      </x:c>
      <x:c r="C24" s="17" t="str">
        <x:v>line</x:v>
      </x:c>
      <x:c r="D24" s="17" t="str">
        <x:v>Chart_24</x:v>
      </x:c>
      <x:c r="E24" s="32" t="n">
        <x:v>1</x:v>
      </x:c>
      <x:c r="F24" s="32" t="n">
        <x:v>0.96</x:v>
      </x:c>
      <x:c r="G24" s="32" t="n">
        <x:v>1</x:v>
      </x:c>
      <x:c r="H24" s="32" t="n">
        <x:v>1</x:v>
      </x:c>
      <x:c r="I24" s="39" t="n">
        <x:v>2</x:v>
      </x:c>
      <x:c r="J24" s="39" t="n">
        <x:v>2</x:v>
      </x:c>
      <x:c r="K24" s="39" t="n">
        <x:v>2</x:v>
      </x:c>
      <x:c r="L24" s="39" t="n">
        <x:v>1</x:v>
      </x:c>
    </x:row>
    <x:row r="25" ht="23" customHeight="1">
      <x:c r="B25" s="17" t="str">
        <x:v>All rounds</x:v>
      </x:c>
      <x:c r="C25" s="17" t="str">
        <x:v>line</x:v>
      </x:c>
      <x:c r="D25" s="17" t="str">
        <x:v>Chart_26</x:v>
      </x:c>
      <x:c r="E25" s="32" t="n">
        <x:v>0.9</x:v>
      </x:c>
      <x:c r="F25" s="32" t="n">
        <x:v>0.0286</x:v>
      </x:c>
      <x:c r="G25" s="32" t="n">
        <x:v>0.5571</x:v>
      </x:c>
      <x:c r="H25" s="32" t="n">
        <x:v>1</x:v>
      </x:c>
      <x:c r="I25" s="39" t="n">
        <x:v>2</x:v>
      </x:c>
      <x:c r="J25" s="39" t="n">
        <x:v>2</x:v>
      </x:c>
      <x:c r="K25" s="39" t="n">
        <x:v>1</x:v>
      </x:c>
      <x:c r="L25" s="39" t="n">
        <x:v>1</x:v>
      </x:c>
    </x:row>
    <x:row r="26" ht="23" customHeight="1">
      <x:c r="B26" s="17" t="str">
        <x:v>All rounds</x:v>
      </x:c>
      <x:c r="C26" s="17" t="str">
        <x:v>line</x:v>
      </x:c>
      <x:c r="D26" s="17" t="str">
        <x:v>Chart_5</x:v>
      </x:c>
      <x:c r="E26" s="32" t="n">
        <x:v>0.9767</x:v>
      </x:c>
      <x:c r="F26" s="32" t="n">
        <x:v>0.8575999999999999</x:v>
      </x:c>
      <x:c r="G26" s="32" t="n">
        <x:v>0.9012</x:v>
      </x:c>
      <x:c r="H26" s="32" t="n">
        <x:v>0.593</x:v>
      </x:c>
      <x:c r="I26" s="39" t="n">
        <x:v>2</x:v>
      </x:c>
      <x:c r="J26" s="39" t="n">
        <x:v>2</x:v>
      </x:c>
      <x:c r="K26" s="39" t="n">
        <x:v>1</x:v>
      </x:c>
      <x:c r="L26" s="39" t="n">
        <x:v>1</x:v>
      </x:c>
    </x:row>
    <x:row r="27" ht="23" customHeight="1">
      <x:c r="B27" s="17" t="str">
        <x:v>All rounds</x:v>
      </x:c>
      <x:c r="C27" s="17" t="str">
        <x:v>line</x:v>
      </x:c>
      <x:c r="D27" s="17" t="str">
        <x:v>Chart_8</x:v>
      </x:c>
      <x:c r="E27" s="32" t="n">
        <x:v>0.9136</x:v>
      </x:c>
      <x:c r="F27" s="32" t="n">
        <x:v>0.8580000000000001</x:v>
      </x:c>
      <x:c r="G27" s="32" t="n">
        <x:v>0.7345999999999999</x:v>
      </x:c>
      <x:c r="H27" s="32" t="n">
        <x:v>0.2593</x:v>
      </x:c>
      <x:c r="I27" s="39" t="n">
        <x:v>2</x:v>
      </x:c>
      <x:c r="J27" s="39" t="n">
        <x:v>2</x:v>
      </x:c>
      <x:c r="K27" s="39" t="n">
        <x:v>2</x:v>
      </x:c>
      <x:c r="L27" s="39" t="n">
        <x:v>1</x:v>
      </x:c>
    </x:row>
    <x:row r="28" ht="23" customHeight="1">
      <x:c r="B28" s="17" t="str">
        <x:v>All rounds</x:v>
      </x:c>
      <x:c r="C28" s="17" t="str">
        <x:v>line</x:v>
      </x:c>
      <x:c r="D28" s="17" t="str">
        <x:v>Cli_1</x:v>
      </x:c>
      <x:c r="E28" s="32" t="n">
        <x:v>0</x:v>
      </x:c>
      <x:c r="F28" s="32" t="n">
        <x:v>0</x:v>
      </x:c>
      <x:c r="G28" s="32" t="n">
        <x:v>0</x:v>
      </x:c>
      <x:c r="H28" s="32" t="n">
        <x:v>0</x:v>
      </x:c>
      <x:c r="I28" s="39" t="n">
        <x:v>2</x:v>
      </x:c>
      <x:c r="J28" s="39" t="n">
        <x:v>2</x:v>
      </x:c>
      <x:c r="K28" s="39" t="n">
        <x:v>1</x:v>
      </x:c>
      <x:c r="L28" s="39" t="n">
        <x:v>1</x:v>
      </x:c>
    </x:row>
    <x:row r="29" ht="23" customHeight="1">
      <x:c r="B29" s="17" t="str">
        <x:v>All rounds</x:v>
      </x:c>
      <x:c r="C29" s="17" t="str">
        <x:v>line</x:v>
      </x:c>
      <x:c r="D29" s="17" t="str">
        <x:v>Cli_11</x:v>
      </x:c>
      <x:c r="E29" s="32" t="n">
        <x:v>0</x:v>
      </x:c>
      <x:c r="F29" s="32" t="n">
        <x:v>0</x:v>
      </x:c>
      <x:c r="G29" s="32" t="n">
        <x:v>0</x:v>
      </x:c>
      <x:c r="H29" s="32" t="n">
        <x:v>0</x:v>
      </x:c>
      <x:c r="I29" s="39" t="n">
        <x:v>2</x:v>
      </x:c>
      <x:c r="J29" s="39" t="n">
        <x:v>2</x:v>
      </x:c>
      <x:c r="K29" s="39" t="n">
        <x:v>1</x:v>
      </x:c>
      <x:c r="L29" s="39" t="n">
        <x:v>1</x:v>
      </x:c>
    </x:row>
    <x:row r="30" ht="23" customHeight="1">
      <x:c r="B30" s="17" t="str">
        <x:v>All rounds</x:v>
      </x:c>
      <x:c r="C30" s="17" t="str">
        <x:v>line</x:v>
      </x:c>
      <x:c r="D30" s="17" t="str">
        <x:v>Cli_17</x:v>
      </x:c>
      <x:c r="E30" s="32" t="n">
        <x:v>0</x:v>
      </x:c>
      <x:c r="F30" s="32" t="n">
        <x:v>0</x:v>
      </x:c>
      <x:c r="G30" s="32" t="n">
        <x:v>0</x:v>
      </x:c>
      <x:c r="H30" s="32" t="n">
        <x:v>0</x:v>
      </x:c>
      <x:c r="I30" s="39" t="n">
        <x:v>2</x:v>
      </x:c>
      <x:c r="J30" s="39" t="n">
        <x:v>2</x:v>
      </x:c>
      <x:c r="K30" s="39" t="n">
        <x:v>1</x:v>
      </x:c>
      <x:c r="L30" s="39" t="n">
        <x:v>1</x:v>
      </x:c>
    </x:row>
    <x:row r="31" ht="23" customHeight="1">
      <x:c r="B31" s="17" t="str">
        <x:v>All rounds</x:v>
      </x:c>
      <x:c r="C31" s="17" t="str">
        <x:v>line</x:v>
      </x:c>
      <x:c r="D31" s="17" t="str">
        <x:v>Cli_18</x:v>
      </x:c>
      <x:c r="E31" s="32" t="n">
        <x:v>0</x:v>
      </x:c>
      <x:c r="F31" s="32" t="n">
        <x:v>0</x:v>
      </x:c>
      <x:c r="G31" s="32" t="n">
        <x:v>0</x:v>
      </x:c>
      <x:c r="H31" s="32" t="n">
        <x:v>0</x:v>
      </x:c>
      <x:c r="I31" s="39" t="n">
        <x:v>2</x:v>
      </x:c>
      <x:c r="J31" s="39" t="n">
        <x:v>2</x:v>
      </x:c>
      <x:c r="K31" s="39" t="n">
        <x:v>2</x:v>
      </x:c>
      <x:c r="L31" s="39" t="n">
        <x:v>1</x:v>
      </x:c>
    </x:row>
    <x:row r="32" ht="23" customHeight="1">
      <x:c r="B32" s="17" t="str">
        <x:v>All rounds</x:v>
      </x:c>
      <x:c r="C32" s="17" t="str">
        <x:v>line</x:v>
      </x:c>
      <x:c r="D32" s="17" t="str">
        <x:v>Cli_19</x:v>
      </x:c>
      <x:c r="E32" s="32" t="n">
        <x:v>0</x:v>
      </x:c>
      <x:c r="F32" s="32" t="n">
        <x:v>0</x:v>
      </x:c>
      <x:c r="G32" s="32" t="n">
        <x:v>0</x:v>
      </x:c>
      <x:c r="H32" s="32" t="n">
        <x:v>0</x:v>
      </x:c>
      <x:c r="I32" s="39" t="n">
        <x:v>2</x:v>
      </x:c>
      <x:c r="J32" s="39" t="n">
        <x:v>2</x:v>
      </x:c>
      <x:c r="K32" s="39" t="n">
        <x:v>2</x:v>
      </x:c>
      <x:c r="L32" s="39" t="n">
        <x:v>1</x:v>
      </x:c>
    </x:row>
    <x:row r="33" ht="23" customHeight="1">
      <x:c r="B33" s="17" t="str">
        <x:v>All rounds</x:v>
      </x:c>
      <x:c r="C33" s="17" t="str">
        <x:v>line</x:v>
      </x:c>
      <x:c r="D33" s="17" t="str">
        <x:v>Cli_2</x:v>
      </x:c>
      <x:c r="E33" s="32" t="n">
        <x:v>0</x:v>
      </x:c>
      <x:c r="F33" s="32" t="n">
        <x:v>0</x:v>
      </x:c>
      <x:c r="G33" s="32" t="n">
        <x:v>0</x:v>
      </x:c>
      <x:c r="H33" s="32" t="n">
        <x:v>0</x:v>
      </x:c>
      <x:c r="I33" s="39" t="n">
        <x:v>2</x:v>
      </x:c>
      <x:c r="J33" s="39" t="n">
        <x:v>2</x:v>
      </x:c>
      <x:c r="K33" s="39" t="n">
        <x:v>2</x:v>
      </x:c>
      <x:c r="L33" s="39" t="n">
        <x:v>1</x:v>
      </x:c>
    </x:row>
    <x:row r="34" ht="23" customHeight="1">
      <x:c r="B34" s="17" t="str">
        <x:v>All rounds</x:v>
      </x:c>
      <x:c r="C34" s="17" t="str">
        <x:v>line</x:v>
      </x:c>
      <x:c r="D34" s="17" t="str">
        <x:v>Cli_20</x:v>
      </x:c>
      <x:c r="E34" s="32" t="n">
        <x:v>0</x:v>
      </x:c>
      <x:c r="F34" s="32" t="n">
        <x:v>0</x:v>
      </x:c>
      <x:c r="G34" s="32" t="n">
        <x:v>0</x:v>
      </x:c>
      <x:c r="H34" s="32" t="n">
        <x:v>0</x:v>
      </x:c>
      <x:c r="I34" s="39" t="n">
        <x:v>2</x:v>
      </x:c>
      <x:c r="J34" s="39" t="n">
        <x:v>2</x:v>
      </x:c>
      <x:c r="K34" s="39" t="n">
        <x:v>1</x:v>
      </x:c>
      <x:c r="L34" s="39" t="n">
        <x:v>1</x:v>
      </x:c>
    </x:row>
    <x:row r="35" ht="23" customHeight="1">
      <x:c r="B35" s="17" t="str">
        <x:v>All rounds</x:v>
      </x:c>
      <x:c r="C35" s="17" t="str">
        <x:v>line</x:v>
      </x:c>
      <x:c r="D35" s="17" t="str">
        <x:v>Cli_22</x:v>
      </x:c>
      <x:c r="E35" s="32" t="n">
        <x:v>0</x:v>
      </x:c>
      <x:c r="F35" s="32" t="n">
        <x:v>0</x:v>
      </x:c>
      <x:c r="G35" s="32" t="n">
        <x:v>0</x:v>
      </x:c>
      <x:c r="H35" s="32" t="n">
        <x:v>0</x:v>
      </x:c>
      <x:c r="I35" s="39" t="n">
        <x:v>2</x:v>
      </x:c>
      <x:c r="J35" s="39" t="n">
        <x:v>2</x:v>
      </x:c>
      <x:c r="K35" s="39" t="n">
        <x:v>2</x:v>
      </x:c>
      <x:c r="L35" s="39" t="n">
        <x:v>1</x:v>
      </x:c>
    </x:row>
    <x:row r="36" ht="23" customHeight="1">
      <x:c r="B36" s="17" t="str">
        <x:v>All rounds</x:v>
      </x:c>
      <x:c r="C36" s="17" t="str">
        <x:v>line</x:v>
      </x:c>
      <x:c r="D36" s="17" t="str">
        <x:v>Cli_23</x:v>
      </x:c>
      <x:c r="E36" s="32" t="n">
        <x:v>0</x:v>
      </x:c>
      <x:c r="F36" s="32" t="n">
        <x:v>0</x:v>
      </x:c>
      <x:c r="G36" s="32" t="n">
        <x:v>0</x:v>
      </x:c>
      <x:c r="H36" s="32" t="n">
        <x:v>0</x:v>
      </x:c>
      <x:c r="I36" s="39" t="n">
        <x:v>2</x:v>
      </x:c>
      <x:c r="J36" s="39" t="n">
        <x:v>2</x:v>
      </x:c>
      <x:c r="K36" s="39" t="n">
        <x:v>1</x:v>
      </x:c>
      <x:c r="L36" s="39" t="n">
        <x:v>1</x:v>
      </x:c>
    </x:row>
    <x:row r="37" ht="23" customHeight="1">
      <x:c r="B37" s="17" t="str">
        <x:v>All rounds</x:v>
      </x:c>
      <x:c r="C37" s="17" t="str">
        <x:v>line</x:v>
      </x:c>
      <x:c r="D37" s="17" t="str">
        <x:v>Cli_24</x:v>
      </x:c>
      <x:c r="E37" s="32" t="n">
        <x:v>0</x:v>
      </x:c>
      <x:c r="F37" s="32" t="n">
        <x:v>0</x:v>
      </x:c>
      <x:c r="G37" s="32" t="n">
        <x:v>0</x:v>
      </x:c>
      <x:c r="H37" s="32" t="n">
        <x:v>0</x:v>
      </x:c>
      <x:c r="I37" s="39" t="n">
        <x:v>2</x:v>
      </x:c>
      <x:c r="J37" s="39" t="n">
        <x:v>2</x:v>
      </x:c>
      <x:c r="K37" s="39" t="n">
        <x:v>2</x:v>
      </x:c>
      <x:c r="L37" s="39" t="n">
        <x:v>1</x:v>
      </x:c>
    </x:row>
    <x:row r="38" ht="23" customHeight="1">
      <x:c r="B38" s="17" t="str">
        <x:v>All rounds</x:v>
      </x:c>
      <x:c r="C38" s="17" t="str">
        <x:v>line</x:v>
      </x:c>
      <x:c r="D38" s="17" t="str">
        <x:v>Cli_25</x:v>
      </x:c>
      <x:c r="E38" s="32" t="n">
        <x:v>0</x:v>
      </x:c>
      <x:c r="F38" s="32" t="n">
        <x:v>0</x:v>
      </x:c>
      <x:c r="G38" s="32" t="n">
        <x:v>0</x:v>
      </x:c>
      <x:c r="H38" s="32" t="n">
        <x:v>0</x:v>
      </x:c>
      <x:c r="I38" s="39" t="n">
        <x:v>2</x:v>
      </x:c>
      <x:c r="J38" s="39" t="n">
        <x:v>2</x:v>
      </x:c>
      <x:c r="K38" s="39" t="n">
        <x:v>1</x:v>
      </x:c>
      <x:c r="L38" s="39" t="n">
        <x:v>1</x:v>
      </x:c>
    </x:row>
    <x:row r="39" ht="23" customHeight="1">
      <x:c r="B39" s="17" t="str">
        <x:v>All rounds</x:v>
      </x:c>
      <x:c r="C39" s="17" t="str">
        <x:v>line</x:v>
      </x:c>
      <x:c r="D39" s="17" t="str">
        <x:v>Cli_27</x:v>
      </x:c>
      <x:c r="E39" s="32" t="n">
        <x:v>0</x:v>
      </x:c>
      <x:c r="F39" s="32" t="n">
        <x:v>0</x:v>
      </x:c>
      <x:c r="G39" s="32" t="n">
        <x:v>0</x:v>
      </x:c>
      <x:c r="H39" s="32" t="n">
        <x:v>0</x:v>
      </x:c>
      <x:c r="I39" s="39" t="n">
        <x:v>2</x:v>
      </x:c>
      <x:c r="J39" s="39" t="n">
        <x:v>2</x:v>
      </x:c>
      <x:c r="K39" s="39" t="n">
        <x:v>2</x:v>
      </x:c>
      <x:c r="L39" s="39" t="n">
        <x:v>1</x:v>
      </x:c>
    </x:row>
    <x:row r="40" ht="23" customHeight="1">
      <x:c r="B40" s="17" t="str">
        <x:v>All rounds</x:v>
      </x:c>
      <x:c r="C40" s="17" t="str">
        <x:v>line</x:v>
      </x:c>
      <x:c r="D40" s="17" t="str">
        <x:v>Cli_28</x:v>
      </x:c>
      <x:c r="E40" s="32" t="n">
        <x:v>0</x:v>
      </x:c>
      <x:c r="F40" s="32" t="n">
        <x:v>0</x:v>
      </x:c>
      <x:c r="G40" s="32" t="n">
        <x:v>0</x:v>
      </x:c>
      <x:c r="H40" s="32" t="n">
        <x:v>0</x:v>
      </x:c>
      <x:c r="I40" s="39" t="n">
        <x:v>2</x:v>
      </x:c>
      <x:c r="J40" s="39" t="n">
        <x:v>2</x:v>
      </x:c>
      <x:c r="K40" s="39" t="n">
        <x:v>1</x:v>
      </x:c>
      <x:c r="L40" s="39" t="n">
        <x:v>1</x:v>
      </x:c>
    </x:row>
    <x:row r="41" ht="23" customHeight="1">
      <x:c r="B41" s="17" t="str">
        <x:v>All rounds</x:v>
      </x:c>
      <x:c r="C41" s="17" t="str">
        <x:v>line</x:v>
      </x:c>
      <x:c r="D41" s="17" t="str">
        <x:v>Cli_29</x:v>
      </x:c>
      <x:c r="E41" s="32" t="n">
        <x:v>0</x:v>
      </x:c>
      <x:c r="F41" s="32" t="n">
        <x:v>0</x:v>
      </x:c>
      <x:c r="G41" s="32" t="n">
        <x:v>0</x:v>
      </x:c>
      <x:c r="H41" s="32" t="n">
        <x:v>0</x:v>
      </x:c>
      <x:c r="I41" s="39" t="n">
        <x:v>2</x:v>
      </x:c>
      <x:c r="J41" s="39" t="n">
        <x:v>2</x:v>
      </x:c>
      <x:c r="K41" s="39" t="n">
        <x:v>2</x:v>
      </x:c>
      <x:c r="L41" s="39" t="n">
        <x:v>1</x:v>
      </x:c>
    </x:row>
    <x:row r="42" ht="23" customHeight="1">
      <x:c r="B42" s="17" t="str">
        <x:v>All rounds</x:v>
      </x:c>
      <x:c r="C42" s="17" t="str">
        <x:v>line</x:v>
      </x:c>
      <x:c r="D42" s="17" t="str">
        <x:v>Cli_3</x:v>
      </x:c>
      <x:c r="E42" s="32" t="n">
        <x:v>0</x:v>
      </x:c>
      <x:c r="F42" s="32" t="n">
        <x:v>0</x:v>
      </x:c>
      <x:c r="G42" s="32" t="n">
        <x:v>0</x:v>
      </x:c>
      <x:c r="H42" s="32" t="n">
        <x:v>0</x:v>
      </x:c>
      <x:c r="I42" s="39" t="n">
        <x:v>2</x:v>
      </x:c>
      <x:c r="J42" s="39" t="n">
        <x:v>2</x:v>
      </x:c>
      <x:c r="K42" s="39" t="n">
        <x:v>2</x:v>
      </x:c>
      <x:c r="L42" s="39" t="n">
        <x:v>1</x:v>
      </x:c>
    </x:row>
    <x:row r="43" ht="23" customHeight="1">
      <x:c r="B43" s="17" t="str">
        <x:v>All rounds</x:v>
      </x:c>
      <x:c r="C43" s="17" t="str">
        <x:v>line</x:v>
      </x:c>
      <x:c r="D43" s="17" t="str">
        <x:v>Cli_30</x:v>
      </x:c>
      <x:c r="E43" s="32" t="n">
        <x:v>0</x:v>
      </x:c>
      <x:c r="F43" s="32" t="n">
        <x:v>0</x:v>
      </x:c>
      <x:c r="G43" s="32" t="n">
        <x:v>0</x:v>
      </x:c>
      <x:c r="H43" s="32" t="n">
        <x:v>0</x:v>
      </x:c>
      <x:c r="I43" s="39" t="n">
        <x:v>2</x:v>
      </x:c>
      <x:c r="J43" s="39" t="n">
        <x:v>2</x:v>
      </x:c>
      <x:c r="K43" s="39" t="n">
        <x:v>1</x:v>
      </x:c>
      <x:c r="L43" s="39" t="n">
        <x:v>1</x:v>
      </x:c>
    </x:row>
    <x:row r="44" ht="23" customHeight="1">
      <x:c r="B44" s="17" t="str">
        <x:v>All rounds</x:v>
      </x:c>
      <x:c r="C44" s="17" t="str">
        <x:v>line</x:v>
      </x:c>
      <x:c r="D44" s="17" t="str">
        <x:v>Cli_32</x:v>
      </x:c>
      <x:c r="E44" s="32" t="n">
        <x:v>0</x:v>
      </x:c>
      <x:c r="F44" s="32" t="n">
        <x:v>0</x:v>
      </x:c>
      <x:c r="G44" s="32" t="n">
        <x:v>0</x:v>
      </x:c>
      <x:c r="H44" s="32" t="n">
        <x:v>0</x:v>
      </x:c>
      <x:c r="I44" s="39" t="n">
        <x:v>2</x:v>
      </x:c>
      <x:c r="J44" s="39" t="n">
        <x:v>2</x:v>
      </x:c>
      <x:c r="K44" s="39" t="n">
        <x:v>1</x:v>
      </x:c>
      <x:c r="L44" s="39" t="n">
        <x:v>1</x:v>
      </x:c>
    </x:row>
    <x:row r="45" ht="23" customHeight="1">
      <x:c r="B45" s="17" t="str">
        <x:v>All rounds</x:v>
      </x:c>
      <x:c r="C45" s="17" t="str">
        <x:v>line</x:v>
      </x:c>
      <x:c r="D45" s="17" t="str">
        <x:v>Cli_33</x:v>
      </x:c>
      <x:c r="E45" s="32" t="n">
        <x:v>0</x:v>
      </x:c>
      <x:c r="F45" s="32" t="n">
        <x:v>0</x:v>
      </x:c>
      <x:c r="G45" s="32" t="n">
        <x:v>0</x:v>
      </x:c>
      <x:c r="H45" s="32" t="n">
        <x:v>0</x:v>
      </x:c>
      <x:c r="I45" s="39" t="n">
        <x:v>2</x:v>
      </x:c>
      <x:c r="J45" s="39" t="n">
        <x:v>2</x:v>
      </x:c>
      <x:c r="K45" s="39" t="n">
        <x:v>2</x:v>
      </x:c>
      <x:c r="L45" s="39" t="n">
        <x:v>1</x:v>
      </x:c>
    </x:row>
    <x:row r="46" ht="23" customHeight="1">
      <x:c r="B46" s="17" t="str">
        <x:v>All rounds</x:v>
      </x:c>
      <x:c r="C46" s="17" t="str">
        <x:v>line</x:v>
      </x:c>
      <x:c r="D46" s="17" t="str">
        <x:v>Cli_35</x:v>
      </x:c>
      <x:c r="E46" s="32" t="n">
        <x:v>1</x:v>
      </x:c>
      <x:c r="F46" s="32" t="n">
        <x:v>0.8245999999999999</x:v>
      </x:c>
      <x:c r="G46" s="32" t="n">
        <x:v>0.9473999999999999</x:v>
      </x:c>
      <x:c r="H46" s="32" t="n">
        <x:v>1</x:v>
      </x:c>
      <x:c r="I46" s="39" t="n">
        <x:v>2</x:v>
      </x:c>
      <x:c r="J46" s="39" t="n">
        <x:v>2</x:v>
      </x:c>
      <x:c r="K46" s="39" t="n">
        <x:v>2</x:v>
      </x:c>
      <x:c r="L46" s="39" t="n">
        <x:v>1</x:v>
      </x:c>
    </x:row>
    <x:row r="47" ht="23" customHeight="1">
      <x:c r="B47" s="17" t="str">
        <x:v>All rounds</x:v>
      </x:c>
      <x:c r="C47" s="17" t="str">
        <x:v>line</x:v>
      </x:c>
      <x:c r="D47" s="17" t="str">
        <x:v>Cli_37</x:v>
      </x:c>
      <x:c r="E47" s="32" t="n">
        <x:v>0.7646999999999999</x:v>
      </x:c>
      <x:c r="F47" s="32" t="n">
        <x:v>0.0695</x:v>
      </x:c>
      <x:c r="G47" s="32" t="n">
        <x:v>0.8449</x:v>
      </x:c>
      <x:c r="H47" s="32" t="n">
        <x:v>0.9571999999999999</x:v>
      </x:c>
      <x:c r="I47" s="39" t="n">
        <x:v>2</x:v>
      </x:c>
      <x:c r="J47" s="39" t="n">
        <x:v>2</x:v>
      </x:c>
      <x:c r="K47" s="39" t="n">
        <x:v>1</x:v>
      </x:c>
      <x:c r="L47" s="39" t="n">
        <x:v>1</x:v>
      </x:c>
    </x:row>
    <x:row r="48" ht="23" customHeight="1">
      <x:c r="B48" s="17" t="str">
        <x:v>All rounds</x:v>
      </x:c>
      <x:c r="C48" s="17" t="str">
        <x:v>line</x:v>
      </x:c>
      <x:c r="D48" s="17" t="str">
        <x:v>Cli_38</x:v>
      </x:c>
      <x:c r="E48" s="32" t="n">
        <x:v>0.6386999999999999</x:v>
      </x:c>
      <x:c r="F48" s="32" t="n">
        <x:v>0.0681</x:v>
      </x:c>
      <x:c r="G48" s="32" t="n">
        <x:v>0.8377</x:v>
      </x:c>
      <x:c r="H48" s="32" t="n">
        <x:v>0.9372</x:v>
      </x:c>
      <x:c r="I48" s="39" t="n">
        <x:v>2</x:v>
      </x:c>
      <x:c r="J48" s="39" t="n">
        <x:v>2</x:v>
      </x:c>
      <x:c r="K48" s="39" t="n">
        <x:v>1</x:v>
      </x:c>
      <x:c r="L48" s="39" t="n">
        <x:v>1</x:v>
      </x:c>
    </x:row>
    <x:row r="49" ht="23" customHeight="1">
      <x:c r="B49" s="17" t="str">
        <x:v>All rounds</x:v>
      </x:c>
      <x:c r="C49" s="17" t="str">
        <x:v>line</x:v>
      </x:c>
      <x:c r="D49" s="17" t="str">
        <x:v>Cli_39</x:v>
      </x:c>
      <x:c r="E49" s="32" t="n">
        <x:v>1</x:v>
      </x:c>
      <x:c r="F49" s="32" t="n">
        <x:v>0.6905</x:v>
      </x:c>
      <x:c r="G49" s="32" t="n">
        <x:v>0.8571</x:v>
      </x:c>
      <x:c r="H49" s="32" t="n">
        <x:v>1</x:v>
      </x:c>
      <x:c r="I49" s="39" t="n">
        <x:v>2</x:v>
      </x:c>
      <x:c r="J49" s="39" t="n">
        <x:v>2</x:v>
      </x:c>
      <x:c r="K49" s="39" t="n">
        <x:v>2</x:v>
      </x:c>
      <x:c r="L49" s="39" t="n">
        <x:v>1</x:v>
      </x:c>
    </x:row>
    <x:row r="50" ht="23" customHeight="1">
      <x:c r="B50" s="17" t="str">
        <x:v>All rounds</x:v>
      </x:c>
      <x:c r="C50" s="17" t="str">
        <x:v>line</x:v>
      </x:c>
      <x:c r="D50" s="17" t="str">
        <x:v>Cli_4</x:v>
      </x:c>
      <x:c r="E50" s="32" t="n">
        <x:v>0</x:v>
      </x:c>
      <x:c r="F50" s="32" t="n">
        <x:v>0</x:v>
      </x:c>
      <x:c r="G50" s="32" t="n">
        <x:v>0</x:v>
      </x:c>
      <x:c r="H50" s="32" t="n">
        <x:v>0</x:v>
      </x:c>
      <x:c r="I50" s="39" t="n">
        <x:v>2</x:v>
      </x:c>
      <x:c r="J50" s="39" t="n">
        <x:v>2</x:v>
      </x:c>
      <x:c r="K50" s="39" t="n">
        <x:v>2</x:v>
      </x:c>
      <x:c r="L50" s="39" t="n">
        <x:v>1</x:v>
      </x:c>
    </x:row>
    <x:row r="51" ht="23" customHeight="1">
      <x:c r="B51" s="17" t="str">
        <x:v>All rounds</x:v>
      </x:c>
      <x:c r="C51" s="17" t="str">
        <x:v>line</x:v>
      </x:c>
      <x:c r="D51" s="17" t="str">
        <x:v>Cli_5</x:v>
      </x:c>
      <x:c r="E51" s="32" t="n">
        <x:v>0</x:v>
      </x:c>
      <x:c r="F51" s="32" t="n">
        <x:v>0</x:v>
      </x:c>
      <x:c r="G51" s="32" t="n">
        <x:v>0</x:v>
      </x:c>
      <x:c r="H51" s="32" t="n">
        <x:v>0</x:v>
      </x:c>
      <x:c r="I51" s="39" t="n">
        <x:v>2</x:v>
      </x:c>
      <x:c r="J51" s="39" t="n">
        <x:v>2</x:v>
      </x:c>
      <x:c r="K51" s="39" t="n">
        <x:v>2</x:v>
      </x:c>
      <x:c r="L51" s="39" t="n">
        <x:v>1</x:v>
      </x:c>
    </x:row>
    <x:row r="52" ht="23" customHeight="1">
      <x:c r="B52" s="17" t="str">
        <x:v>All rounds</x:v>
      </x:c>
      <x:c r="C52" s="17" t="str">
        <x:v>line</x:v>
      </x:c>
      <x:c r="D52" s="17" t="str">
        <x:v>Cli_8</x:v>
      </x:c>
      <x:c r="E52" s="32" t="n">
        <x:v>0</x:v>
      </x:c>
      <x:c r="F52" s="32" t="n">
        <x:v>0</x:v>
      </x:c>
      <x:c r="G52" s="32" t="n">
        <x:v>0</x:v>
      </x:c>
      <x:c r="H52" s="32" t="n">
        <x:v>0</x:v>
      </x:c>
      <x:c r="I52" s="39" t="n">
        <x:v>2</x:v>
      </x:c>
      <x:c r="J52" s="39" t="n">
        <x:v>2</x:v>
      </x:c>
      <x:c r="K52" s="39" t="n">
        <x:v>2</x:v>
      </x:c>
      <x:c r="L52" s="39" t="n">
        <x:v>1</x:v>
      </x:c>
    </x:row>
    <x:row r="53" ht="23" customHeight="1">
      <x:c r="B53" s="17" t="str">
        <x:v>All rounds</x:v>
      </x:c>
      <x:c r="C53" s="17" t="str">
        <x:v>line</x:v>
      </x:c>
      <x:c r="D53" s="17" t="str">
        <x:v>Closure_121</x:v>
      </x:c>
      <x:c r="E53" s="32" t="n">
        <x:v>0.0774</x:v>
      </x:c>
      <x:c r="F53" s="32" t="n">
        <x:v>0.0774</x:v>
      </x:c>
      <x:c r="G53" s="32" t="n">
        <x:v>0.6296</x:v>
      </x:c>
      <x:c r="H53" s="32" t="n">
        <x:v>0.0774</x:v>
      </x:c>
      <x:c r="I53" s="39" t="n">
        <x:v>2</x:v>
      </x:c>
      <x:c r="J53" s="39" t="n">
        <x:v>2</x:v>
      </x:c>
      <x:c r="K53" s="39" t="n">
        <x:v>1</x:v>
      </x:c>
      <x:c r="L53" s="39" t="n">
        <x:v>1</x:v>
      </x:c>
    </x:row>
    <x:row r="54" ht="23" customHeight="1">
      <x:c r="B54" s="17" t="str">
        <x:v>All rounds</x:v>
      </x:c>
      <x:c r="C54" s="17" t="str">
        <x:v>line</x:v>
      </x:c>
      <x:c r="D54" s="17" t="str">
        <x:v>Closure_131</x:v>
      </x:c>
      <x:c r="E54" s="32" t="n">
        <x:v>0.8673000000000001</x:v>
      </x:c>
      <x:c r="F54" s="32" t="n">
        <x:v>0.15039999999999998</x:v>
      </x:c>
      <x:c r="G54" s="32" t="n">
        <x:v>0.9912000000000001</x:v>
      </x:c>
      <x:c r="H54" s="32" t="n">
        <x:v>0.9912000000000001</x:v>
      </x:c>
      <x:c r="I54" s="39" t="n">
        <x:v>2</x:v>
      </x:c>
      <x:c r="J54" s="39" t="n">
        <x:v>2</x:v>
      </x:c>
      <x:c r="K54" s="39" t="n">
        <x:v>2</x:v>
      </x:c>
      <x:c r="L54" s="39" t="n">
        <x:v>1</x:v>
      </x:c>
    </x:row>
    <x:row r="55" ht="23" customHeight="1">
      <x:c r="B55" s="17" t="str">
        <x:v>All rounds</x:v>
      </x:c>
      <x:c r="C55" s="17" t="str">
        <x:v>line</x:v>
      </x:c>
      <x:c r="D55" s="17" t="str">
        <x:v>Closure_172</x:v>
      </x:c>
      <x:c r="E55" s="32" t="n">
        <x:v>0.16399999999999998</x:v>
      </x:c>
      <x:c r="F55" s="32" t="n">
        <x:v>0.0263</x:v>
      </x:c>
      <x:c r="G55" s="32" t="n">
        <x:v>0</x:v>
      </x:c>
      <x:c r="H55" s="32" t="n">
        <x:v>0</x:v>
      </x:c>
      <x:c r="I55" s="39" t="n">
        <x:v>2</x:v>
      </x:c>
      <x:c r="J55" s="39" t="n">
        <x:v>2</x:v>
      </x:c>
      <x:c r="K55" s="39" t="n">
        <x:v>2</x:v>
      </x:c>
      <x:c r="L55" s="39" t="n">
        <x:v>1</x:v>
      </x:c>
    </x:row>
    <x:row r="56" ht="23" customHeight="1">
      <x:c r="B56" s="17" t="str">
        <x:v>All rounds</x:v>
      </x:c>
      <x:c r="C56" s="17" t="str">
        <x:v>line</x:v>
      </x:c>
      <x:c r="D56" s="17" t="str">
        <x:v>Closure_20</x:v>
      </x:c>
      <x:c r="E56" s="32" t="n">
        <x:v>0.0716</x:v>
      </x:c>
      <x:c r="F56" s="32" t="n">
        <x:v>0.0318</x:v>
      </x:c>
      <x:c r="G56" s="32" t="n">
        <x:v>0.0981</x:v>
      </x:c>
      <x:c r="H56" s="32" t="n">
        <x:v>0.0981</x:v>
      </x:c>
      <x:c r="I56" s="39" t="n">
        <x:v>2</x:v>
      </x:c>
      <x:c r="J56" s="39" t="n">
        <x:v>2</x:v>
      </x:c>
      <x:c r="K56" s="39" t="n">
        <x:v>2</x:v>
      </x:c>
      <x:c r="L56" s="39" t="n">
        <x:v>1</x:v>
      </x:c>
    </x:row>
    <x:row r="57" ht="23" customHeight="1">
      <x:c r="B57" s="17" t="str">
        <x:v>All rounds</x:v>
      </x:c>
      <x:c r="C57" s="17" t="str">
        <x:v>line</x:v>
      </x:c>
      <x:c r="D57" s="17" t="str">
        <x:v>Closure_38</x:v>
      </x:c>
      <x:c r="E57" s="32" t="n">
        <x:v>0.0268</x:v>
      </x:c>
      <x:c r="F57" s="32" t="n">
        <x:v>0.0268</x:v>
      </x:c>
      <x:c r="G57" s="32" t="n">
        <x:v>0.6875</x:v>
      </x:c>
      <x:c r="H57" s="32" t="n">
        <x:v>0.6875</x:v>
      </x:c>
      <x:c r="I57" s="39" t="n">
        <x:v>2</x:v>
      </x:c>
      <x:c r="J57" s="39" t="n">
        <x:v>2</x:v>
      </x:c>
      <x:c r="K57" s="39" t="n">
        <x:v>2</x:v>
      </x:c>
      <x:c r="L57" s="39" t="n">
        <x:v>1</x:v>
      </x:c>
    </x:row>
    <x:row r="58" ht="23" customHeight="1">
      <x:c r="B58" s="17" t="str">
        <x:v>All rounds</x:v>
      </x:c>
      <x:c r="C58" s="17" t="str">
        <x:v>line</x:v>
      </x:c>
      <x:c r="D58" s="17" t="str">
        <x:v>Closure_44</x:v>
      </x:c>
      <x:c r="E58" s="32" t="n">
        <x:v>0.0275</x:v>
      </x:c>
      <x:c r="F58" s="32" t="n">
        <x:v>0.0275</x:v>
      </x:c>
      <x:c r="G58" s="32" t="n">
        <x:v>0.8349</x:v>
      </x:c>
      <x:c r="H58" s="32" t="n">
        <x:v>0.8349</x:v>
      </x:c>
      <x:c r="I58" s="39" t="n">
        <x:v>2</x:v>
      </x:c>
      <x:c r="J58" s="39" t="n">
        <x:v>2</x:v>
      </x:c>
      <x:c r="K58" s="39" t="n">
        <x:v>2</x:v>
      </x:c>
      <x:c r="L58" s="39" t="n">
        <x:v>1</x:v>
      </x:c>
    </x:row>
    <x:row r="59" ht="23" customHeight="1">
      <x:c r="B59" s="17" t="str">
        <x:v>All rounds</x:v>
      </x:c>
      <x:c r="C59" s="17" t="str">
        <x:v>line</x:v>
      </x:c>
      <x:c r="D59" s="17" t="str">
        <x:v>Codec_1</x:v>
      </x:c>
      <x:c r="E59" s="32" t="n">
        <x:v>0.9375</x:v>
      </x:c>
      <x:c r="F59" s="32" t="n">
        <x:v>0.53125</x:v>
      </x:c>
      <x:c r="G59" s="32" t="n">
        <x:v>0.7227</x:v>
      </x:c>
      <x:c r="H59" s="32" t="n">
        <x:v>0.7304999999999999</x:v>
      </x:c>
      <x:c r="I59" s="39" t="n">
        <x:v>2</x:v>
      </x:c>
      <x:c r="J59" s="39" t="n">
        <x:v>2</x:v>
      </x:c>
      <x:c r="K59" s="39" t="n">
        <x:v>1</x:v>
      </x:c>
      <x:c r="L59" s="39" t="n">
        <x:v>1</x:v>
      </x:c>
    </x:row>
    <x:row r="60" ht="23" customHeight="1">
      <x:c r="B60" s="17" t="str">
        <x:v>All rounds</x:v>
      </x:c>
      <x:c r="C60" s="17" t="str">
        <x:v>line</x:v>
      </x:c>
      <x:c r="D60" s="17" t="str">
        <x:v>Codec_10</x:v>
      </x:c>
      <x:c r="E60" s="32" t="n">
        <x:v>1</x:v>
      </x:c>
      <x:c r="F60" s="32" t="n">
        <x:v>1</x:v>
      </x:c>
      <x:c r="G60" s="32" t="n">
        <x:v>0.99275</x:v>
      </x:c>
      <x:c r="H60" s="32" t="n">
        <x:v>1</x:v>
      </x:c>
      <x:c r="I60" s="39" t="n">
        <x:v>2</x:v>
      </x:c>
      <x:c r="J60" s="39" t="n">
        <x:v>2</x:v>
      </x:c>
      <x:c r="K60" s="39" t="n">
        <x:v>2</x:v>
      </x:c>
      <x:c r="L60" s="39" t="n">
        <x:v>1</x:v>
      </x:c>
    </x:row>
    <x:row r="61" ht="23" customHeight="1">
      <x:c r="B61" s="17" t="str">
        <x:v>All rounds</x:v>
      </x:c>
      <x:c r="C61" s="17" t="str">
        <x:v>line</x:v>
      </x:c>
      <x:c r="D61" s="17" t="str">
        <x:v>Codec_11</x:v>
      </x:c>
      <x:c r="E61" s="32" t="n">
        <x:v>0.9753000000000001</x:v>
      </x:c>
      <x:c r="F61" s="32" t="n">
        <x:v>0.8889</x:v>
      </x:c>
      <x:c r="G61" s="32" t="n">
        <x:v>0.9259000000000001</x:v>
      </x:c>
      <x:c r="H61" s="32" t="n">
        <x:v>0.7901</x:v>
      </x:c>
      <x:c r="I61" s="39" t="n">
        <x:v>2</x:v>
      </x:c>
      <x:c r="J61" s="39" t="n">
        <x:v>2</x:v>
      </x:c>
      <x:c r="K61" s="39" t="n">
        <x:v>1</x:v>
      </x:c>
      <x:c r="L61" s="39" t="n">
        <x:v>1</x:v>
      </x:c>
    </x:row>
    <x:row r="62" ht="23" customHeight="1">
      <x:c r="B62" s="17" t="str">
        <x:v>All rounds</x:v>
      </x:c>
      <x:c r="C62" s="17" t="str">
        <x:v>line</x:v>
      </x:c>
      <x:c r="D62" s="17" t="str">
        <x:v>Codec_12</x:v>
      </x:c>
      <x:c r="E62" s="32" t="n">
        <x:v>0.9677</x:v>
      </x:c>
      <x:c r="F62" s="32" t="n">
        <x:v>0.5806</x:v>
      </x:c>
      <x:c r="G62" s="32" t="n">
        <x:v>0.9677</x:v>
      </x:c>
      <x:c r="H62" s="32" t="n">
        <x:v>0.9677</x:v>
      </x:c>
      <x:c r="I62" s="39" t="n">
        <x:v>2</x:v>
      </x:c>
      <x:c r="J62" s="39" t="n">
        <x:v>2</x:v>
      </x:c>
      <x:c r="K62" s="39" t="n">
        <x:v>1</x:v>
      </x:c>
      <x:c r="L62" s="39" t="n">
        <x:v>1</x:v>
      </x:c>
    </x:row>
    <x:row r="63" ht="23" customHeight="1">
      <x:c r="B63" s="17" t="str">
        <x:v>All rounds</x:v>
      </x:c>
      <x:c r="C63" s="17" t="str">
        <x:v>line</x:v>
      </x:c>
      <x:c r="D63" s="17" t="str">
        <x:v>Codec_16</x:v>
      </x:c>
      <x:c r="E63" s="32" t="n">
        <x:v>1</x:v>
      </x:c>
      <x:c r="F63" s="32" t="n">
        <x:v>0.8704500000000001</x:v>
      </x:c>
      <x:c r="G63" s="32" t="n">
        <x:v>0.8364</x:v>
      </x:c>
      <x:c r="H63" s="32" t="n">
        <x:v>0.7048000000000001</x:v>
      </x:c>
      <x:c r="I63" s="39" t="n">
        <x:v>2</x:v>
      </x:c>
      <x:c r="J63" s="39" t="n">
        <x:v>2</x:v>
      </x:c>
      <x:c r="K63" s="39" t="n">
        <x:v>1</x:v>
      </x:c>
      <x:c r="L63" s="39" t="n">
        <x:v>1</x:v>
      </x:c>
    </x:row>
    <x:row r="64" ht="23" customHeight="1">
      <x:c r="B64" s="17" t="str">
        <x:v>All rounds</x:v>
      </x:c>
      <x:c r="C64" s="17" t="str">
        <x:v>line</x:v>
      </x:c>
      <x:c r="D64" s="17" t="str">
        <x:v>Codec_18</x:v>
      </x:c>
      <x:c r="E64" s="32" t="n">
        <x:v>1</x:v>
      </x:c>
      <x:c r="F64" s="32" t="n">
        <x:v>0.8846</x:v>
      </x:c>
      <x:c r="G64" s="32" t="n">
        <x:v>0.9743999999999999</x:v>
      </x:c>
      <x:c r="H64" s="32" t="n">
        <x:v>0.6923</x:v>
      </x:c>
      <x:c r="I64" s="39" t="n">
        <x:v>2</x:v>
      </x:c>
      <x:c r="J64" s="39" t="n">
        <x:v>2</x:v>
      </x:c>
      <x:c r="K64" s="39" t="n">
        <x:v>1</x:v>
      </x:c>
      <x:c r="L64" s="39" t="n">
        <x:v>1</x:v>
      </x:c>
    </x:row>
    <x:row r="65" ht="23" customHeight="1">
      <x:c r="B65" s="17" t="str">
        <x:v>All rounds</x:v>
      </x:c>
      <x:c r="C65" s="17" t="str">
        <x:v>line</x:v>
      </x:c>
      <x:c r="D65" s="17" t="str">
        <x:v>Codec_3</x:v>
      </x:c>
      <x:c r="E65" s="32" t="n">
        <x:v>0.8808</x:v>
      </x:c>
      <x:c r="F65" s="32" t="n">
        <x:v>0.21965</x:v>
      </x:c>
      <x:c r="G65" s="32" t="n">
        <x:v>0.9248999999999999</x:v>
      </x:c>
      <x:c r="H65" s="32" t="n">
        <x:v>0.9051</x:v>
      </x:c>
      <x:c r="I65" s="39" t="n">
        <x:v>2</x:v>
      </x:c>
      <x:c r="J65" s="39" t="n">
        <x:v>2</x:v>
      </x:c>
      <x:c r="K65" s="39" t="n">
        <x:v>1</x:v>
      </x:c>
      <x:c r="L65" s="39" t="n">
        <x:v>1</x:v>
      </x:c>
    </x:row>
    <x:row r="66" ht="23" customHeight="1">
      <x:c r="B66" s="17" t="str">
        <x:v>All rounds</x:v>
      </x:c>
      <x:c r="C66" s="17" t="str">
        <x:v>line</x:v>
      </x:c>
      <x:c r="D66" s="17" t="str">
        <x:v>Codec_6</x:v>
      </x:c>
      <x:c r="E66" s="32" t="n">
        <x:v>1</x:v>
      </x:c>
      <x:c r="F66" s="32" t="n">
        <x:v>0.7857500000000001</x:v>
      </x:c>
      <x:c r="G66" s="32" t="n">
        <x:v>1</x:v>
      </x:c>
      <x:c r="H66" s="32" t="n">
        <x:v>0.8</x:v>
      </x:c>
      <x:c r="I66" s="39" t="n">
        <x:v>2</x:v>
      </x:c>
      <x:c r="J66" s="39" t="n">
        <x:v>2</x:v>
      </x:c>
      <x:c r="K66" s="39" t="n">
        <x:v>1</x:v>
      </x:c>
      <x:c r="L66" s="39" t="n">
        <x:v>1</x:v>
      </x:c>
    </x:row>
    <x:row r="67" ht="23" customHeight="1">
      <x:c r="B67" s="17" t="str">
        <x:v>All rounds</x:v>
      </x:c>
      <x:c r="C67" s="17" t="str">
        <x:v>line</x:v>
      </x:c>
      <x:c r="D67" s="17" t="str">
        <x:v>Collections_1</x:v>
      </x:c>
      <x:c r="E67" s="32" t="n">
        <x:v>0.7047</x:v>
      </x:c>
      <x:c r="F67" s="32" t="n">
        <x:v>0.3126</x:v>
      </x:c>
      <x:c r="G67" s="32" t="n">
        <x:v>0.5539999999999999</x:v>
      </x:c>
      <x:c r="H67" s="32" t="n">
        <x:v>0.2974</x:v>
      </x:c>
      <x:c r="I67" s="39" t="n">
        <x:v>2</x:v>
      </x:c>
      <x:c r="J67" s="39" t="n">
        <x:v>2</x:v>
      </x:c>
      <x:c r="K67" s="39" t="n">
        <x:v>1</x:v>
      </x:c>
      <x:c r="L67" s="39" t="n">
        <x:v>1</x:v>
      </x:c>
    </x:row>
    <x:row r="68" ht="23" customHeight="1">
      <x:c r="B68" s="17" t="str">
        <x:v>All rounds</x:v>
      </x:c>
      <x:c r="C68" s="17" t="str">
        <x:v>line</x:v>
      </x:c>
      <x:c r="D68" s="17" t="str">
        <x:v>Collections_10</x:v>
      </x:c>
      <x:c r="E68" s="32" t="n">
        <x:v>0.8739</x:v>
      </x:c>
      <x:c r="F68" s="32" t="n">
        <x:v>0.5840000000000001</x:v>
      </x:c>
      <x:c r="G68" s="32" t="n">
        <x:v>0.8571</x:v>
      </x:c>
      <x:c r="H68" s="32" t="n">
        <x:v>0.5294</x:v>
      </x:c>
      <x:c r="I68" s="39" t="n">
        <x:v>2</x:v>
      </x:c>
      <x:c r="J68" s="39" t="n">
        <x:v>2</x:v>
      </x:c>
      <x:c r="K68" s="39" t="n">
        <x:v>2</x:v>
      </x:c>
      <x:c r="L68" s="39" t="n">
        <x:v>1</x:v>
      </x:c>
    </x:row>
    <x:row r="69" ht="23" customHeight="1">
      <x:c r="B69" s="17" t="str">
        <x:v>All rounds</x:v>
      </x:c>
      <x:c r="C69" s="17" t="str">
        <x:v>line</x:v>
      </x:c>
      <x:c r="D69" s="17" t="str">
        <x:v>Collections_11</x:v>
      </x:c>
      <x:c r="E69" s="32" t="n">
        <x:v>1</x:v>
      </x:c>
      <x:c r="F69" s="32" t="n">
        <x:v>0.9714</x:v>
      </x:c>
      <x:c r="G69" s="32" t="n">
        <x:v>1</x:v>
      </x:c>
      <x:c r="H69" s="32" t="n">
        <x:v>0.9143000000000001</x:v>
      </x:c>
      <x:c r="I69" s="39" t="n">
        <x:v>2</x:v>
      </x:c>
      <x:c r="J69" s="39" t="n">
        <x:v>2</x:v>
      </x:c>
      <x:c r="K69" s="39" t="n">
        <x:v>2</x:v>
      </x:c>
      <x:c r="L69" s="39" t="n">
        <x:v>1</x:v>
      </x:c>
    </x:row>
    <x:row r="70" ht="23" customHeight="1">
      <x:c r="B70" s="17" t="str">
        <x:v>All rounds</x:v>
      </x:c>
      <x:c r="C70" s="17" t="str">
        <x:v>line</x:v>
      </x:c>
      <x:c r="D70" s="17" t="str">
        <x:v>Collections_14</x:v>
      </x:c>
      <x:c r="E70" s="32" t="n">
        <x:v>0.6667000000000001</x:v>
      </x:c>
      <x:c r="F70" s="32" t="n">
        <x:v>0.58335</x:v>
      </x:c>
      <x:c r="G70" s="32" t="n">
        <x:v>0.6667000000000001</x:v>
      </x:c>
      <x:c r="H70" s="32" t="n">
        <x:v>1</x:v>
      </x:c>
      <x:c r="I70" s="39" t="n">
        <x:v>2</x:v>
      </x:c>
      <x:c r="J70" s="39" t="n">
        <x:v>2</x:v>
      </x:c>
      <x:c r="K70" s="39" t="n">
        <x:v>1</x:v>
      </x:c>
      <x:c r="L70" s="39" t="n">
        <x:v>1</x:v>
      </x:c>
    </x:row>
    <x:row r="71" ht="23" customHeight="1">
      <x:c r="B71" s="17" t="str">
        <x:v>All rounds</x:v>
      </x:c>
      <x:c r="C71" s="17" t="str">
        <x:v>line</x:v>
      </x:c>
      <x:c r="D71" s="17" t="str">
        <x:v>Collections_15</x:v>
      </x:c>
      <x:c r="E71" s="32" t="n">
        <x:v>1</x:v>
      </x:c>
      <x:c r="F71" s="32" t="n">
        <x:v>0.0581</x:v>
      </x:c>
      <x:c r="G71" s="32" t="n">
        <x:v>0.9767</x:v>
      </x:c>
      <x:c r="H71" s="32" t="n">
        <x:v>1</x:v>
      </x:c>
      <x:c r="I71" s="39" t="n">
        <x:v>2</x:v>
      </x:c>
      <x:c r="J71" s="39" t="n">
        <x:v>2</x:v>
      </x:c>
      <x:c r="K71" s="39" t="n">
        <x:v>1</x:v>
      </x:c>
      <x:c r="L71" s="39" t="n">
        <x:v>1</x:v>
      </x:c>
    </x:row>
    <x:row r="72" ht="23" customHeight="1">
      <x:c r="B72" s="17" t="str">
        <x:v>All rounds</x:v>
      </x:c>
      <x:c r="C72" s="17" t="str">
        <x:v>line</x:v>
      </x:c>
      <x:c r="D72" s="17" t="str">
        <x:v>Collections_18</x:v>
      </x:c>
      <x:c r="E72" s="32" t="n">
        <x:v>0.9677</x:v>
      </x:c>
      <x:c r="F72" s="32" t="n">
        <x:v>0.84405</x:v>
      </x:c>
      <x:c r="G72" s="32" t="n">
        <x:v>0.9031999999999999</x:v>
      </x:c>
      <x:c r="H72" s="32" t="n">
        <x:v>0.9892</x:v>
      </x:c>
      <x:c r="I72" s="39" t="n">
        <x:v>2</x:v>
      </x:c>
      <x:c r="J72" s="39" t="n">
        <x:v>2</x:v>
      </x:c>
      <x:c r="K72" s="39" t="n">
        <x:v>1</x:v>
      </x:c>
      <x:c r="L72" s="39" t="n">
        <x:v>1</x:v>
      </x:c>
    </x:row>
    <x:row r="73" ht="23" customHeight="1">
      <x:c r="B73" s="17" t="str">
        <x:v>All rounds</x:v>
      </x:c>
      <x:c r="C73" s="17" t="str">
        <x:v>line</x:v>
      </x:c>
      <x:c r="D73" s="17" t="str">
        <x:v>Collections_19</x:v>
      </x:c>
      <x:c r="E73" s="32" t="n">
        <x:v>0.9632999999999999</x:v>
      </x:c>
      <x:c r="F73" s="32" t="n">
        <x:v>0.7431</x:v>
      </x:c>
      <x:c r="G73" s="32" t="n">
        <x:v>0.9358</x:v>
      </x:c>
      <x:c r="H73" s="32" t="n">
        <x:v>1</x:v>
      </x:c>
      <x:c r="I73" s="39" t="n">
        <x:v>2</x:v>
      </x:c>
      <x:c r="J73" s="39" t="n">
        <x:v>2</x:v>
      </x:c>
      <x:c r="K73" s="39" t="n">
        <x:v>1</x:v>
      </x:c>
      <x:c r="L73" s="39" t="n">
        <x:v>1</x:v>
      </x:c>
    </x:row>
    <x:row r="74" ht="23" customHeight="1">
      <x:c r="B74" s="17" t="str">
        <x:v>All rounds</x:v>
      </x:c>
      <x:c r="C74" s="17" t="str">
        <x:v>line</x:v>
      </x:c>
      <x:c r="D74" s="17" t="str">
        <x:v>Collections_20</x:v>
      </x:c>
      <x:c r="E74" s="32" t="n">
        <x:v>0.9727</x:v>
      </x:c>
      <x:c r="F74" s="32" t="n">
        <x:v>0.7048000000000001</x:v>
      </x:c>
      <x:c r="G74" s="32" t="n">
        <x:v>0.8123</x:v>
      </x:c>
      <x:c r="H74" s="32" t="n">
        <x:v>0.9181</x:v>
      </x:c>
      <x:c r="I74" s="39" t="n">
        <x:v>2</x:v>
      </x:c>
      <x:c r="J74" s="39" t="n">
        <x:v>2</x:v>
      </x:c>
      <x:c r="K74" s="39" t="n">
        <x:v>2</x:v>
      </x:c>
      <x:c r="L74" s="39" t="n">
        <x:v>1</x:v>
      </x:c>
    </x:row>
    <x:row r="75" ht="23" customHeight="1">
      <x:c r="B75" s="17" t="str">
        <x:v>All rounds</x:v>
      </x:c>
      <x:c r="C75" s="17" t="str">
        <x:v>line</x:v>
      </x:c>
      <x:c r="D75" s="17" t="str">
        <x:v>Collections_21</x:v>
      </x:c>
      <x:c r="E75" s="32" t="n">
        <x:v>0.9632999999999999</x:v>
      </x:c>
      <x:c r="F75" s="32" t="n">
        <x:v>0.7431</x:v>
      </x:c>
      <x:c r="G75" s="32" t="n">
        <x:v>0.9358</x:v>
      </x:c>
      <x:c r="H75" s="32" t="n">
        <x:v>1</x:v>
      </x:c>
      <x:c r="I75" s="39" t="n">
        <x:v>2</x:v>
      </x:c>
      <x:c r="J75" s="39" t="n">
        <x:v>2</x:v>
      </x:c>
      <x:c r="K75" s="39" t="n">
        <x:v>2</x:v>
      </x:c>
      <x:c r="L75" s="39" t="n">
        <x:v>1</x:v>
      </x:c>
    </x:row>
    <x:row r="76" ht="23" customHeight="1">
      <x:c r="B76" s="17" t="str">
        <x:v>All rounds</x:v>
      </x:c>
      <x:c r="C76" s="17" t="str">
        <x:v>line</x:v>
      </x:c>
      <x:c r="D76" s="17" t="str">
        <x:v>Collections_24</x:v>
      </x:c>
      <x:c r="E76" s="32" t="n">
        <x:v>0.7308</x:v>
      </x:c>
      <x:c r="F76" s="32" t="n">
        <x:v>0</x:v>
      </x:c>
      <x:c r="G76" s="32" t="n">
        <x:v>0.9615</x:v>
      </x:c>
      <x:c r="H76" s="32" t="n">
        <x:v>1</x:v>
      </x:c>
      <x:c r="I76" s="39" t="n">
        <x:v>2</x:v>
      </x:c>
      <x:c r="J76" s="39" t="n">
        <x:v>2</x:v>
      </x:c>
      <x:c r="K76" s="39" t="n">
        <x:v>2</x:v>
      </x:c>
      <x:c r="L76" s="39" t="n">
        <x:v>1</x:v>
      </x:c>
    </x:row>
    <x:row r="77" ht="23" customHeight="1">
      <x:c r="B77" s="17" t="str">
        <x:v>All rounds</x:v>
      </x:c>
      <x:c r="C77" s="17" t="str">
        <x:v>line</x:v>
      </x:c>
      <x:c r="D77" s="17" t="str">
        <x:v>Collections_26</x:v>
      </x:c>
      <x:c r="E77" s="32" t="n">
        <x:v>0.9189</x:v>
      </x:c>
      <x:c r="F77" s="32" t="n">
        <x:v>0.9189</x:v>
      </x:c>
      <x:c r="G77" s="32" t="n">
        <x:v>0.9459000000000001</x:v>
      </x:c>
      <x:c r="H77" s="32" t="n">
        <x:v>0.8649</x:v>
      </x:c>
      <x:c r="I77" s="39" t="n">
        <x:v>2</x:v>
      </x:c>
      <x:c r="J77" s="39" t="n">
        <x:v>2</x:v>
      </x:c>
      <x:c r="K77" s="39" t="n">
        <x:v>2</x:v>
      </x:c>
      <x:c r="L77" s="39" t="n">
        <x:v>1</x:v>
      </x:c>
    </x:row>
    <x:row r="78" ht="23" customHeight="1">
      <x:c r="B78" s="17" t="str">
        <x:v>All rounds</x:v>
      </x:c>
      <x:c r="C78" s="17" t="str">
        <x:v>line</x:v>
      </x:c>
      <x:c r="D78" s="17" t="str">
        <x:v>Collections_27</x:v>
      </x:c>
      <x:c r="E78" s="32" t="n">
        <x:v>0.7795000000000001</x:v>
      </x:c>
      <x:c r="F78" s="32" t="n">
        <x:v>0.55905</x:v>
      </x:c>
      <x:c r="G78" s="32" t="n">
        <x:v>0.8583</x:v>
      </x:c>
      <x:c r="H78" s="32" t="n">
        <x:v>0.5354</x:v>
      </x:c>
      <x:c r="I78" s="39" t="n">
        <x:v>2</x:v>
      </x:c>
      <x:c r="J78" s="39" t="n">
        <x:v>2</x:v>
      </x:c>
      <x:c r="K78" s="39" t="n">
        <x:v>2</x:v>
      </x:c>
      <x:c r="L78" s="39" t="n">
        <x:v>1</x:v>
      </x:c>
    </x:row>
    <x:row r="79" ht="23" customHeight="1">
      <x:c r="B79" s="17" t="str">
        <x:v>All rounds</x:v>
      </x:c>
      <x:c r="C79" s="17" t="str">
        <x:v>line</x:v>
      </x:c>
      <x:c r="D79" s="17" t="str">
        <x:v>Collections_4</x:v>
      </x:c>
      <x:c r="E79" s="32" t="n">
        <x:v>0.9189</x:v>
      </x:c>
      <x:c r="F79" s="32" t="n">
        <x:v>0.6081</x:v>
      </x:c>
      <x:c r="G79" s="32" t="n">
        <x:v>0.9279000000000001</x:v>
      </x:c>
      <x:c r="H79" s="32" t="n">
        <x:v>0.5586</x:v>
      </x:c>
      <x:c r="I79" s="39" t="n">
        <x:v>2</x:v>
      </x:c>
      <x:c r="J79" s="39" t="n">
        <x:v>2</x:v>
      </x:c>
      <x:c r="K79" s="39" t="n">
        <x:v>1</x:v>
      </x:c>
      <x:c r="L79" s="39" t="n">
        <x:v>1</x:v>
      </x:c>
    </x:row>
    <x:row r="80" ht="23" customHeight="1">
      <x:c r="B80" s="17" t="str">
        <x:v>All rounds</x:v>
      </x:c>
      <x:c r="C80" s="17" t="str">
        <x:v>line</x:v>
      </x:c>
      <x:c r="D80" s="17" t="str">
        <x:v>Collections_5</x:v>
      </x:c>
      <x:c r="E80" s="32" t="n">
        <x:v>1</x:v>
      </x:c>
      <x:c r="F80" s="32" t="n">
        <x:v>0.061</x:v>
      </x:c>
      <x:c r="G80" s="32" t="n">
        <x:v>0.9878</x:v>
      </x:c>
      <x:c r="H80" s="32" t="n">
        <x:v>0.37799999999999995</x:v>
      </x:c>
      <x:c r="I80" s="39" t="n">
        <x:v>2</x:v>
      </x:c>
      <x:c r="J80" s="39" t="n">
        <x:v>2</x:v>
      </x:c>
      <x:c r="K80" s="39" t="n">
        <x:v>2</x:v>
      </x:c>
      <x:c r="L80" s="39" t="n">
        <x:v>1</x:v>
      </x:c>
    </x:row>
    <x:row r="81" ht="23" customHeight="1">
      <x:c r="B81" s="17" t="str">
        <x:v>All rounds</x:v>
      </x:c>
      <x:c r="C81" s="17" t="str">
        <x:v>line</x:v>
      </x:c>
      <x:c r="D81" s="17" t="str">
        <x:v>Collections_6</x:v>
      </x:c>
      <x:c r="E81" s="32" t="n">
        <x:v>0.6606000000000001</x:v>
      </x:c>
      <x:c r="F81" s="32" t="n">
        <x:v>0.31010000000000004</x:v>
      </x:c>
      <x:c r="G81" s="32" t="n">
        <x:v>0.5919</x:v>
      </x:c>
      <x:c r="H81" s="32" t="n">
        <x:v>0.2949</x:v>
      </x:c>
      <x:c r="I81" s="39" t="n">
        <x:v>2</x:v>
      </x:c>
      <x:c r="J81" s="39" t="n">
        <x:v>2</x:v>
      </x:c>
      <x:c r="K81" s="39" t="n">
        <x:v>2</x:v>
      </x:c>
      <x:c r="L81" s="39" t="n">
        <x:v>1</x:v>
      </x:c>
    </x:row>
    <x:row r="82" ht="23" customHeight="1">
      <x:c r="B82" s="17" t="str">
        <x:v>All rounds</x:v>
      </x:c>
      <x:c r="C82" s="17" t="str">
        <x:v>line</x:v>
      </x:c>
      <x:c r="D82" s="17" t="str">
        <x:v>Collections_8</x:v>
      </x:c>
      <x:c r="E82" s="32" t="n">
        <x:v>0.8295</x:v>
      </x:c>
      <x:c r="F82" s="32" t="n">
        <x:v>0.6193</x:v>
      </x:c>
      <x:c r="G82" s="32" t="n">
        <x:v>0.8409</x:v>
      </x:c>
      <x:c r="H82" s="32" t="n">
        <x:v>0.5455</x:v>
      </x:c>
      <x:c r="I82" s="39" t="n">
        <x:v>2</x:v>
      </x:c>
      <x:c r="J82" s="39" t="n">
        <x:v>2</x:v>
      </x:c>
      <x:c r="K82" s="39" t="n">
        <x:v>1</x:v>
      </x:c>
      <x:c r="L82" s="39" t="n">
        <x:v>1</x:v>
      </x:c>
    </x:row>
    <x:row r="83" ht="23" customHeight="1">
      <x:c r="B83" s="17" t="str">
        <x:v>All rounds</x:v>
      </x:c>
      <x:c r="C83" s="17" t="str">
        <x:v>line</x:v>
      </x:c>
      <x:c r="D83" s="17" t="str">
        <x:v>Compress_10</x:v>
      </x:c>
      <x:c r="E83" s="32" t="n">
        <x:v>0.1612</x:v>
      </x:c>
      <x:c r="F83" s="32" t="n">
        <x:v>0.0592</x:v>
      </x:c>
      <x:c r="G83" s="32" t="n">
        <x:v>0.6809000000000001</x:v>
      </x:c>
      <x:c r="H83" s="32" t="n">
        <x:v>0.9211</x:v>
      </x:c>
      <x:c r="I83" s="39" t="n">
        <x:v>2</x:v>
      </x:c>
      <x:c r="J83" s="39" t="n">
        <x:v>2</x:v>
      </x:c>
      <x:c r="K83" s="39" t="n">
        <x:v>1</x:v>
      </x:c>
      <x:c r="L83" s="39" t="n">
        <x:v>1</x:v>
      </x:c>
    </x:row>
    <x:row r="84" ht="23" customHeight="1">
      <x:c r="B84" s="17" t="str">
        <x:v>All rounds</x:v>
      </x:c>
      <x:c r="C84" s="17" t="str">
        <x:v>line</x:v>
      </x:c>
      <x:c r="D84" s="17" t="str">
        <x:v>Compress_14</x:v>
      </x:c>
      <x:c r="E84" s="32" t="n">
        <x:v>0.9505</x:v>
      </x:c>
      <x:c r="F84" s="32" t="n">
        <x:v>0.70795</x:v>
      </x:c>
      <x:c r="G84" s="32" t="n">
        <x:v>0.7228</x:v>
      </x:c>
      <x:c r="H84" s="32" t="n">
        <x:v>0.9901000000000001</x:v>
      </x:c>
      <x:c r="I84" s="39" t="n">
        <x:v>2</x:v>
      </x:c>
      <x:c r="J84" s="39" t="n">
        <x:v>2</x:v>
      </x:c>
      <x:c r="K84" s="39" t="n">
        <x:v>2</x:v>
      </x:c>
      <x:c r="L84" s="39" t="n">
        <x:v>1</x:v>
      </x:c>
    </x:row>
    <x:row r="85" ht="23" customHeight="1">
      <x:c r="B85" s="17" t="str">
        <x:v>All rounds</x:v>
      </x:c>
      <x:c r="C85" s="17" t="str">
        <x:v>line</x:v>
      </x:c>
      <x:c r="D85" s="17" t="str">
        <x:v>Compress_19</x:v>
      </x:c>
      <x:c r="E85" s="32" t="n">
        <x:v>1</x:v>
      </x:c>
      <x:c r="F85" s="32" t="n">
        <x:v>0.5238</x:v>
      </x:c>
      <x:c r="G85" s="32" t="n">
        <x:v>0.9899</x:v>
      </x:c>
      <x:c r="H85" s="32" t="n">
        <x:v>1</x:v>
      </x:c>
      <x:c r="I85" s="39" t="n">
        <x:v>2</x:v>
      </x:c>
      <x:c r="J85" s="39" t="n">
        <x:v>2</x:v>
      </x:c>
      <x:c r="K85" s="39" t="n">
        <x:v>1</x:v>
      </x:c>
      <x:c r="L85" s="39" t="n">
        <x:v>1</x:v>
      </x:c>
    </x:row>
    <x:row r="86" ht="23" customHeight="1">
      <x:c r="B86" s="17" t="str">
        <x:v>All rounds</x:v>
      </x:c>
      <x:c r="C86" s="17" t="str">
        <x:v>line</x:v>
      </x:c>
      <x:c r="D86" s="17" t="str">
        <x:v>Compress_20</x:v>
      </x:c>
      <x:c r="E86" s="32" t="n">
        <x:v>0.35979999999999995</x:v>
      </x:c>
      <x:c r="F86" s="32" t="n">
        <x:v>0.2757</x:v>
      </x:c>
      <x:c r="G86" s="32" t="n">
        <x:v>0.39909999999999995</x:v>
      </x:c>
      <x:c r="H86" s="32" t="n">
        <x:v>0.972</x:v>
      </x:c>
      <x:c r="I86" s="39" t="n">
        <x:v>2</x:v>
      </x:c>
      <x:c r="J86" s="39" t="n">
        <x:v>2</x:v>
      </x:c>
      <x:c r="K86" s="39" t="n">
        <x:v>2</x:v>
      </x:c>
      <x:c r="L86" s="39" t="n">
        <x:v>1</x:v>
      </x:c>
    </x:row>
    <x:row r="87" ht="23" customHeight="1">
      <x:c r="B87" s="17" t="str">
        <x:v>All rounds</x:v>
      </x:c>
      <x:c r="C87" s="17" t="str">
        <x:v>line</x:v>
      </x:c>
      <x:c r="D87" s="17" t="str">
        <x:v>Compress_21</x:v>
      </x:c>
      <x:c r="E87" s="32" t="n">
        <x:v>0.7923</x:v>
      </x:c>
      <x:c r="F87" s="32" t="n">
        <x:v>0.0231</x:v>
      </x:c>
      <x:c r="G87" s="32" t="n">
        <x:v>0.7128</x:v>
      </x:c>
      <x:c r="H87" s="32" t="n">
        <x:v>0.9333</x:v>
      </x:c>
      <x:c r="I87" s="39" t="n">
        <x:v>2</x:v>
      </x:c>
      <x:c r="J87" s="39" t="n">
        <x:v>2</x:v>
      </x:c>
      <x:c r="K87" s="39" t="n">
        <x:v>2</x:v>
      </x:c>
      <x:c r="L87" s="39" t="n">
        <x:v>1</x:v>
      </x:c>
    </x:row>
    <x:row r="88" ht="23" customHeight="1">
      <x:c r="B88" s="17" t="str">
        <x:v>All rounds</x:v>
      </x:c>
      <x:c r="C88" s="17" t="str">
        <x:v>line</x:v>
      </x:c>
      <x:c r="D88" s="17" t="str">
        <x:v>Compress_22</x:v>
      </x:c>
      <x:c r="E88" s="32" t="n">
        <x:v>0.0418</x:v>
      </x:c>
      <x:c r="F88" s="32" t="n">
        <x:v>0.03485</x:v>
      </x:c>
      <x:c r="G88" s="32" t="n">
        <x:v>0.084</x:v>
      </x:c>
      <x:c r="H88" s="32" t="n">
        <x:v>0.2052</x:v>
      </x:c>
      <x:c r="I88" s="39" t="n">
        <x:v>2</x:v>
      </x:c>
      <x:c r="J88" s="39" t="n">
        <x:v>2</x:v>
      </x:c>
      <x:c r="K88" s="39" t="n">
        <x:v>1</x:v>
      </x:c>
      <x:c r="L88" s="39" t="n">
        <x:v>1</x:v>
      </x:c>
    </x:row>
    <x:row r="89" ht="23" customHeight="1">
      <x:c r="B89" s="17" t="str">
        <x:v>All rounds</x:v>
      </x:c>
      <x:c r="C89" s="17" t="str">
        <x:v>line</x:v>
      </x:c>
      <x:c r="D89" s="17" t="str">
        <x:v>Compress_25</x:v>
      </x:c>
      <x:c r="E89" s="32" t="n">
        <x:v>0.182</x:v>
      </x:c>
      <x:c r="F89" s="32" t="n">
        <x:v>0.1484</x:v>
      </x:c>
      <x:c r="G89" s="32" t="n">
        <x:v>0.6384000000000001</x:v>
      </x:c>
      <x:c r="H89" s="32" t="n">
        <x:v>0.6534</x:v>
      </x:c>
      <x:c r="I89" s="39" t="n">
        <x:v>2</x:v>
      </x:c>
      <x:c r="J89" s="39" t="n">
        <x:v>2</x:v>
      </x:c>
      <x:c r="K89" s="39" t="n">
        <x:v>1</x:v>
      </x:c>
      <x:c r="L89" s="39" t="n">
        <x:v>1</x:v>
      </x:c>
    </x:row>
    <x:row r="90" ht="23" customHeight="1">
      <x:c r="B90" s="17" t="str">
        <x:v>All rounds</x:v>
      </x:c>
      <x:c r="C90" s="17" t="str">
        <x:v>line</x:v>
      </x:c>
      <x:c r="D90" s="17" t="str">
        <x:v>Compress_26</x:v>
      </x:c>
      <x:c r="E90" s="32" t="n">
        <x:v>0.9167000000000001</x:v>
      </x:c>
      <x:c r="F90" s="32" t="n">
        <x:v>0.5556</x:v>
      </x:c>
      <x:c r="G90" s="32" t="n">
        <x:v>1</x:v>
      </x:c>
      <x:c r="H90" s="32" t="n">
        <x:v>1</x:v>
      </x:c>
      <x:c r="I90" s="39" t="n">
        <x:v>2</x:v>
      </x:c>
      <x:c r="J90" s="39" t="n">
        <x:v>2</x:v>
      </x:c>
      <x:c r="K90" s="39" t="n">
        <x:v>1</x:v>
      </x:c>
      <x:c r="L90" s="39" t="n">
        <x:v>1</x:v>
      </x:c>
    </x:row>
    <x:row r="91" ht="23" customHeight="1">
      <x:c r="B91" s="17" t="str">
        <x:v>All rounds</x:v>
      </x:c>
      <x:c r="C91" s="17" t="str">
        <x:v>line</x:v>
      </x:c>
      <x:c r="D91" s="17" t="str">
        <x:v>Compress_3</x:v>
      </x:c>
      <x:c r="E91" s="32" t="n">
        <x:v>0.7</x:v>
      </x:c>
      <x:c r="F91" s="32" t="n">
        <x:v>0.44445</x:v>
      </x:c>
      <x:c r="G91" s="32" t="n">
        <x:v>0.9444</x:v>
      </x:c>
      <x:c r="H91" s="32" t="n">
        <x:v>1</x:v>
      </x:c>
      <x:c r="I91" s="39" t="n">
        <x:v>2</x:v>
      </x:c>
      <x:c r="J91" s="39" t="n">
        <x:v>2</x:v>
      </x:c>
      <x:c r="K91" s="39" t="n">
        <x:v>1</x:v>
      </x:c>
      <x:c r="L91" s="39" t="n">
        <x:v>1</x:v>
      </x:c>
    </x:row>
    <x:row r="92" ht="23" customHeight="1">
      <x:c r="B92" s="17" t="str">
        <x:v>All rounds</x:v>
      </x:c>
      <x:c r="C92" s="17" t="str">
        <x:v>line</x:v>
      </x:c>
      <x:c r="D92" s="17" t="str">
        <x:v>Compress_30</x:v>
      </x:c>
      <x:c r="E92" s="32" t="n">
        <x:v>0.0408</x:v>
      </x:c>
      <x:c r="F92" s="32" t="n">
        <x:v>0.03365</x:v>
      </x:c>
      <x:c r="G92" s="32" t="n">
        <x:v>0.0799</x:v>
      </x:c>
      <x:c r="H92" s="32" t="n">
        <x:v>0.2</x:v>
      </x:c>
      <x:c r="I92" s="39" t="n">
        <x:v>2</x:v>
      </x:c>
      <x:c r="J92" s="39" t="n">
        <x:v>2</x:v>
      </x:c>
      <x:c r="K92" s="39" t="n">
        <x:v>2</x:v>
      </x:c>
      <x:c r="L92" s="39" t="n">
        <x:v>1</x:v>
      </x:c>
    </x:row>
    <x:row r="93" ht="23" customHeight="1">
      <x:c r="B93" s="17" t="str">
        <x:v>All rounds</x:v>
      </x:c>
      <x:c r="C93" s="17" t="str">
        <x:v>line</x:v>
      </x:c>
      <x:c r="D93" s="17" t="str">
        <x:v>Compress_32</x:v>
      </x:c>
      <x:c r="E93" s="32" t="n">
        <x:v>0.45909999999999995</x:v>
      </x:c>
      <x:c r="F93" s="32" t="n">
        <x:v>0.35450000000000004</x:v>
      </x:c>
      <x:c r="G93" s="32" t="n">
        <x:v>0.4364</x:v>
      </x:c>
      <x:c r="H93" s="32" t="n">
        <x:v>0.7773</x:v>
      </x:c>
      <x:c r="I93" s="39" t="n">
        <x:v>2</x:v>
      </x:c>
      <x:c r="J93" s="39" t="n">
        <x:v>2</x:v>
      </x:c>
      <x:c r="K93" s="39" t="n">
        <x:v>2</x:v>
      </x:c>
      <x:c r="L93" s="39" t="n">
        <x:v>1</x:v>
      </x:c>
    </x:row>
    <x:row r="94" ht="23" customHeight="1">
      <x:c r="B94" s="17" t="str">
        <x:v>All rounds</x:v>
      </x:c>
      <x:c r="C94" s="17" t="str">
        <x:v>line</x:v>
      </x:c>
      <x:c r="D94" s="17" t="str">
        <x:v>Compress_34</x:v>
      </x:c>
      <x:c r="E94" s="32" t="n">
        <x:v>1</x:v>
      </x:c>
      <x:c r="F94" s="32" t="n">
        <x:v>0.8786000000000002</x:v>
      </x:c>
      <x:c r="G94" s="32" t="n">
        <x:v>1</x:v>
      </x:c>
      <x:c r="H94" s="32" t="n">
        <x:v>1</x:v>
      </x:c>
      <x:c r="I94" s="39" t="n">
        <x:v>2</x:v>
      </x:c>
      <x:c r="J94" s="39" t="n">
        <x:v>2</x:v>
      </x:c>
      <x:c r="K94" s="39" t="n">
        <x:v>1</x:v>
      </x:c>
      <x:c r="L94" s="39" t="n">
        <x:v>1</x:v>
      </x:c>
    </x:row>
    <x:row r="95" ht="23" customHeight="1">
      <x:c r="B95" s="17" t="str">
        <x:v>All rounds</x:v>
      </x:c>
      <x:c r="C95" s="17" t="str">
        <x:v>line</x:v>
      </x:c>
      <x:c r="D95" s="17" t="str">
        <x:v>Compress_35</x:v>
      </x:c>
      <x:c r="E95" s="32" t="n">
        <x:v>0.8046</x:v>
      </x:c>
      <x:c r="F95" s="32" t="n">
        <x:v>0.6609</x:v>
      </x:c>
      <x:c r="G95" s="32" t="n">
        <x:v>0.6954</x:v>
      </x:c>
      <x:c r="H95" s="32" t="n">
        <x:v>0.9309999999999999</x:v>
      </x:c>
      <x:c r="I95" s="39" t="n">
        <x:v>2</x:v>
      </x:c>
      <x:c r="J95" s="39" t="n">
        <x:v>2</x:v>
      </x:c>
      <x:c r="K95" s="39" t="n">
        <x:v>1</x:v>
      </x:c>
      <x:c r="L95" s="39" t="n">
        <x:v>1</x:v>
      </x:c>
    </x:row>
    <x:row r="96" ht="23" customHeight="1">
      <x:c r="B96" s="17" t="str">
        <x:v>All rounds</x:v>
      </x:c>
      <x:c r="C96" s="17" t="str">
        <x:v>line</x:v>
      </x:c>
      <x:c r="D96" s="17" t="str">
        <x:v>Compress_36</x:v>
      </x:c>
      <x:c r="E96" s="32" t="n">
        <x:v>0.0432</x:v>
      </x:c>
      <x:c r="F96" s="32" t="n">
        <x:v>0.0281</x:v>
      </x:c>
      <x:c r="G96" s="32" t="n">
        <x:v>0.075</x:v>
      </x:c>
      <x:c r="H96" s="32" t="n">
        <x:v>0.6115999999999999</x:v>
      </x:c>
      <x:c r="I96" s="39" t="n">
        <x:v>2</x:v>
      </x:c>
      <x:c r="J96" s="39" t="n">
        <x:v>2</x:v>
      </x:c>
      <x:c r="K96" s="39" t="n">
        <x:v>2</x:v>
      </x:c>
      <x:c r="L96" s="39" t="n">
        <x:v>1</x:v>
      </x:c>
    </x:row>
    <x:row r="97" ht="23" customHeight="1">
      <x:c r="B97" s="17" t="str">
        <x:v>All rounds</x:v>
      </x:c>
      <x:c r="C97" s="17" t="str">
        <x:v>line</x:v>
      </x:c>
      <x:c r="D97" s="17" t="str">
        <x:v>Compress_40</x:v>
      </x:c>
      <x:c r="E97" s="32" t="n">
        <x:v>1</x:v>
      </x:c>
      <x:c r="F97" s="32" t="n">
        <x:v>0.6667000000000001</x:v>
      </x:c>
      <x:c r="G97" s="32" t="n">
        <x:v>1</x:v>
      </x:c>
      <x:c r="H97" s="32" t="n">
        <x:v>1</x:v>
      </x:c>
      <x:c r="I97" s="39" t="n">
        <x:v>2</x:v>
      </x:c>
      <x:c r="J97" s="39" t="n">
        <x:v>2</x:v>
      </x:c>
      <x:c r="K97" s="39" t="n">
        <x:v>1</x:v>
      </x:c>
      <x:c r="L97" s="39" t="n">
        <x:v>1</x:v>
      </x:c>
    </x:row>
    <x:row r="98" ht="23" customHeight="1">
      <x:c r="B98" s="17" t="str">
        <x:v>All rounds</x:v>
      </x:c>
      <x:c r="C98" s="17" t="str">
        <x:v>line</x:v>
      </x:c>
      <x:c r="D98" s="17" t="str">
        <x:v>Compress_42</x:v>
      </x:c>
      <x:c r="E98" s="32" t="n">
        <x:v>0.9712999999999999</x:v>
      </x:c>
      <x:c r="F98" s="32" t="n">
        <x:v>0.54305</x:v>
      </x:c>
      <x:c r="G98" s="32" t="n">
        <x:v>0.8636</x:v>
      </x:c>
      <x:c r="H98" s="32" t="n">
        <x:v>0.8934000000000001</x:v>
      </x:c>
      <x:c r="I98" s="39" t="n">
        <x:v>2</x:v>
      </x:c>
      <x:c r="J98" s="39" t="n">
        <x:v>2</x:v>
      </x:c>
      <x:c r="K98" s="39" t="n">
        <x:v>1</x:v>
      </x:c>
      <x:c r="L98" s="39" t="n">
        <x:v>1</x:v>
      </x:c>
    </x:row>
    <x:row r="99" ht="23" customHeight="1">
      <x:c r="B99" s="17" t="str">
        <x:v>All rounds</x:v>
      </x:c>
      <x:c r="C99" s="17" t="str">
        <x:v>line</x:v>
      </x:c>
      <x:c r="D99" s="17" t="str">
        <x:v>Compress_44</x:v>
      </x:c>
      <x:c r="E99" s="32" t="n">
        <x:v>1</x:v>
      </x:c>
      <x:c r="F99" s="32" t="n">
        <x:v>0.7059000000000001</x:v>
      </x:c>
      <x:c r="G99" s="32" t="n">
        <x:v>1</x:v>
      </x:c>
      <x:c r="H99" s="32" t="n">
        <x:v>1</x:v>
      </x:c>
      <x:c r="I99" s="39" t="n">
        <x:v>2</x:v>
      </x:c>
      <x:c r="J99" s="39" t="n">
        <x:v>2</x:v>
      </x:c>
      <x:c r="K99" s="39" t="n">
        <x:v>1</x:v>
      </x:c>
      <x:c r="L99" s="39" t="n">
        <x:v>1</x:v>
      </x:c>
    </x:row>
    <x:row r="100" ht="23" customHeight="1">
      <x:c r="B100" s="17" t="str">
        <x:v>All rounds</x:v>
      </x:c>
      <x:c r="C100" s="17" t="str">
        <x:v>line</x:v>
      </x:c>
      <x:c r="D100" s="17" t="str">
        <x:v>Compress_45</x:v>
      </x:c>
      <x:c r="E100" s="32" t="n">
        <x:v>0.8304</x:v>
      </x:c>
      <x:c r="F100" s="32" t="n">
        <x:v>0.59945</x:v>
      </x:c>
      <x:c r="G100" s="32" t="n">
        <x:v>0.6374</x:v>
      </x:c>
      <x:c r="H100" s="32" t="n">
        <x:v>0.7719</x:v>
      </x:c>
      <x:c r="I100" s="39" t="n">
        <x:v>2</x:v>
      </x:c>
      <x:c r="J100" s="39" t="n">
        <x:v>2</x:v>
      </x:c>
      <x:c r="K100" s="39" t="n">
        <x:v>2</x:v>
      </x:c>
      <x:c r="L100" s="39" t="n">
        <x:v>1</x:v>
      </x:c>
    </x:row>
    <x:row r="101" ht="23" customHeight="1">
      <x:c r="B101" s="17" t="str">
        <x:v>All rounds</x:v>
      </x:c>
      <x:c r="C101" s="17" t="str">
        <x:v>line</x:v>
      </x:c>
      <x:c r="D101" s="17" t="str">
        <x:v>Compress_46</x:v>
      </x:c>
      <x:c r="E101" s="32" t="n">
        <x:v>1</x:v>
      </x:c>
      <x:c r="F101" s="32" t="n">
        <x:v>0.6008500000000001</x:v>
      </x:c>
      <x:c r="G101" s="32" t="n">
        <x:v>0.9464</x:v>
      </x:c>
      <x:c r="H101" s="32" t="n">
        <x:v>0.8992</x:v>
      </x:c>
      <x:c r="I101" s="39" t="n">
        <x:v>2</x:v>
      </x:c>
      <x:c r="J101" s="39" t="n">
        <x:v>2</x:v>
      </x:c>
      <x:c r="K101" s="39" t="n">
        <x:v>1</x:v>
      </x:c>
      <x:c r="L101" s="39" t="n">
        <x:v>1</x:v>
      </x:c>
    </x:row>
    <x:row r="102" ht="23" customHeight="1">
      <x:c r="B102" s="17" t="str">
        <x:v>All rounds</x:v>
      </x:c>
      <x:c r="C102" s="17" t="str">
        <x:v>line</x:v>
      </x:c>
      <x:c r="D102" s="17" t="str">
        <x:v>Compress_47</x:v>
      </x:c>
      <x:c r="E102" s="32" t="n">
        <x:v>0.1791</x:v>
      </x:c>
      <x:c r="F102" s="32" t="n">
        <x:v>0.15350000000000003</x:v>
      </x:c>
      <x:c r="G102" s="32" t="n">
        <x:v>0.6557999999999999</x:v>
      </x:c>
      <x:c r="H102" s="32" t="n">
        <x:v>0.5698</x:v>
      </x:c>
      <x:c r="I102" s="39" t="n">
        <x:v>2</x:v>
      </x:c>
      <x:c r="J102" s="39" t="n">
        <x:v>2</x:v>
      </x:c>
      <x:c r="K102" s="39" t="n">
        <x:v>2</x:v>
      </x:c>
      <x:c r="L102" s="39" t="n">
        <x:v>1</x:v>
      </x:c>
    </x:row>
    <x:row r="103" ht="23" customHeight="1">
      <x:c r="B103" s="17" t="str">
        <x:v>All rounds</x:v>
      </x:c>
      <x:c r="C103" s="17" t="str">
        <x:v>line</x:v>
      </x:c>
      <x:c r="D103" s="17" t="str">
        <x:v>Compress_5</x:v>
      </x:c>
      <x:c r="E103" s="32" t="n">
        <x:v>0.34159999999999996</x:v>
      </x:c>
      <x:c r="F103" s="32" t="n">
        <x:v>0.33849999999999997</x:v>
      </x:c>
      <x:c r="G103" s="32" t="n">
        <x:v>0.9181999999999999</x:v>
      </x:c>
      <x:c r="H103" s="32" t="n">
        <x:v>0.9627</x:v>
      </x:c>
      <x:c r="I103" s="39" t="n">
        <x:v>2</x:v>
      </x:c>
      <x:c r="J103" s="39" t="n">
        <x:v>2</x:v>
      </x:c>
      <x:c r="K103" s="39" t="n">
        <x:v>1</x:v>
      </x:c>
      <x:c r="L103" s="39" t="n">
        <x:v>1</x:v>
      </x:c>
    </x:row>
    <x:row r="104" ht="23" customHeight="1">
      <x:c r="B104" s="17" t="str">
        <x:v>All rounds</x:v>
      </x:c>
      <x:c r="C104" s="17" t="str">
        <x:v>line</x:v>
      </x:c>
      <x:c r="D104" s="17" t="str">
        <x:v>Compress_8</x:v>
      </x:c>
      <x:c r="E104" s="32" t="n">
        <x:v>0.9143000000000001</x:v>
      </x:c>
      <x:c r="F104" s="32" t="n">
        <x:v>0.85</x:v>
      </x:c>
      <x:c r="G104" s="32" t="n">
        <x:v>0.9714</x:v>
      </x:c>
      <x:c r="H104" s="32" t="n">
        <x:v>1</x:v>
      </x:c>
      <x:c r="I104" s="39" t="n">
        <x:v>2</x:v>
      </x:c>
      <x:c r="J104" s="39" t="n">
        <x:v>2</x:v>
      </x:c>
      <x:c r="K104" s="39" t="n">
        <x:v>2</x:v>
      </x:c>
      <x:c r="L104" s="39" t="n">
        <x:v>1</x:v>
      </x:c>
    </x:row>
    <x:row r="105" ht="23" customHeight="1">
      <x:c r="B105" s="17" t="str">
        <x:v>All rounds</x:v>
      </x:c>
      <x:c r="C105" s="17" t="str">
        <x:v>line</x:v>
      </x:c>
      <x:c r="D105" s="17" t="str">
        <x:v>Compress_9</x:v>
      </x:c>
      <x:c r="E105" s="32" t="n">
        <x:v>0.6455</x:v>
      </x:c>
      <x:c r="F105" s="32" t="n">
        <x:v>0.43635000000000007</x:v>
      </x:c>
      <x:c r="G105" s="32" t="n">
        <x:v>0.7726999999999999</x:v>
      </x:c>
      <x:c r="H105" s="32" t="n">
        <x:v>1</x:v>
      </x:c>
      <x:c r="I105" s="39" t="n">
        <x:v>2</x:v>
      </x:c>
      <x:c r="J105" s="39" t="n">
        <x:v>2</x:v>
      </x:c>
      <x:c r="K105" s="39" t="n">
        <x:v>2</x:v>
      </x:c>
      <x:c r="L105" s="39" t="n">
        <x:v>1</x:v>
      </x:c>
    </x:row>
    <x:row r="106" ht="23" customHeight="1">
      <x:c r="B106" s="17" t="str">
        <x:v>All rounds</x:v>
      </x:c>
      <x:c r="C106" s="17" t="str">
        <x:v>line</x:v>
      </x:c>
      <x:c r="D106" s="17" t="str">
        <x:v>Csv_1</x:v>
      </x:c>
      <x:c r="E106" s="32" t="n">
        <x:v>0.8919</x:v>
      </x:c>
      <x:c r="F106" s="32" t="n">
        <x:v>0.35135</x:v>
      </x:c>
      <x:c r="G106" s="32" t="n">
        <x:v>1</x:v>
      </x:c>
      <x:c r="H106" s="32" t="n">
        <x:v>1</x:v>
      </x:c>
      <x:c r="I106" s="39" t="n">
        <x:v>2</x:v>
      </x:c>
      <x:c r="J106" s="39" t="n">
        <x:v>2</x:v>
      </x:c>
      <x:c r="K106" s="39" t="n">
        <x:v>2</x:v>
      </x:c>
      <x:c r="L106" s="39" t="n">
        <x:v>1</x:v>
      </x:c>
    </x:row>
    <x:row r="107" ht="23" customHeight="1">
      <x:c r="B107" s="17" t="str">
        <x:v>All rounds</x:v>
      </x:c>
      <x:c r="C107" s="17" t="str">
        <x:v>line</x:v>
      </x:c>
      <x:c r="D107" s="17" t="str">
        <x:v>Csv_16</x:v>
      </x:c>
      <x:c r="E107" s="32" t="n">
        <x:v>0.813</x:v>
      </x:c>
      <x:c r="F107" s="32" t="n">
        <x:v>0.09759999999999999</x:v>
      </x:c>
      <x:c r="G107" s="32" t="n">
        <x:v>0.6942</x:v>
      </x:c>
      <x:c r="H107" s="32" t="n">
        <x:v>0.6504000000000001</x:v>
      </x:c>
      <x:c r="I107" s="39" t="n">
        <x:v>2</x:v>
      </x:c>
      <x:c r="J107" s="39" t="n">
        <x:v>2</x:v>
      </x:c>
      <x:c r="K107" s="39" t="n">
        <x:v>1</x:v>
      </x:c>
      <x:c r="L107" s="39" t="n">
        <x:v>1</x:v>
      </x:c>
    </x:row>
    <x:row r="108" ht="23" customHeight="1">
      <x:c r="B108" s="17" t="str">
        <x:v>All rounds</x:v>
      </x:c>
      <x:c r="C108" s="17" t="str">
        <x:v>line</x:v>
      </x:c>
      <x:c r="D108" s="17" t="str">
        <x:v>Csv_2</x:v>
      </x:c>
      <x:c r="E108" s="32" t="n">
        <x:v>1</x:v>
      </x:c>
      <x:c r="F108" s="32" t="n">
        <x:v>0.9048</x:v>
      </x:c>
      <x:c r="G108" s="32" t="n">
        <x:v>1</x:v>
      </x:c>
      <x:c r="H108" s="32" t="n">
        <x:v>1</x:v>
      </x:c>
      <x:c r="I108" s="39" t="n">
        <x:v>2</x:v>
      </x:c>
      <x:c r="J108" s="39" t="n">
        <x:v>2</x:v>
      </x:c>
      <x:c r="K108" s="39" t="n">
        <x:v>2</x:v>
      </x:c>
      <x:c r="L108" s="39" t="n">
        <x:v>1</x:v>
      </x:c>
    </x:row>
    <x:row r="109" ht="23" customHeight="1">
      <x:c r="B109" s="17" t="str">
        <x:v>All rounds</x:v>
      </x:c>
      <x:c r="C109" s="17" t="str">
        <x:v>line</x:v>
      </x:c>
      <x:c r="D109" s="17" t="str">
        <x:v>Csv_6</x:v>
      </x:c>
      <x:c r="E109" s="32" t="n">
        <x:v>0.9714</x:v>
      </x:c>
      <x:c r="F109" s="32" t="n">
        <x:v>0.6286</x:v>
      </x:c>
      <x:c r="G109" s="32" t="n">
        <x:v>0.8856999999999999</x:v>
      </x:c>
      <x:c r="H109" s="32" t="n">
        <x:v>1</x:v>
      </x:c>
      <x:c r="I109" s="39" t="n">
        <x:v>2</x:v>
      </x:c>
      <x:c r="J109" s="39" t="n">
        <x:v>2</x:v>
      </x:c>
      <x:c r="K109" s="39" t="n">
        <x:v>2</x:v>
      </x:c>
      <x:c r="L109" s="39" t="n">
        <x:v>1</x:v>
      </x:c>
    </x:row>
    <x:row r="110" ht="23" customHeight="1">
      <x:c r="B110" s="17" t="str">
        <x:v>All rounds</x:v>
      </x:c>
      <x:c r="C110" s="17" t="str">
        <x:v>line</x:v>
      </x:c>
      <x:c r="D110" s="17" t="str">
        <x:v>Csv_7</x:v>
      </x:c>
      <x:c r="E110" s="32" t="n">
        <x:v>0.8713</x:v>
      </x:c>
      <x:c r="F110" s="32" t="n">
        <x:v>0.07919999999999999</x:v>
      </x:c>
      <x:c r="G110" s="32" t="n">
        <x:v>0.7723</x:v>
      </x:c>
      <x:c r="H110" s="32" t="n">
        <x:v>0.6931</x:v>
      </x:c>
      <x:c r="I110" s="39" t="n">
        <x:v>2</x:v>
      </x:c>
      <x:c r="J110" s="39" t="n">
        <x:v>2</x:v>
      </x:c>
      <x:c r="K110" s="39" t="n">
        <x:v>2</x:v>
      </x:c>
      <x:c r="L110" s="39" t="n">
        <x:v>1</x:v>
      </x:c>
    </x:row>
    <x:row r="111" ht="23" customHeight="1">
      <x:c r="B111" s="17" t="str">
        <x:v>All rounds</x:v>
      </x:c>
      <x:c r="C111" s="17" t="str">
        <x:v>line</x:v>
      </x:c>
      <x:c r="D111" s="17" t="str">
        <x:v>Csv_9</x:v>
      </x:c>
      <x:c r="E111" s="32" t="n">
        <x:v>0.9722</x:v>
      </x:c>
      <x:c r="F111" s="32" t="n">
        <x:v>0.6111</x:v>
      </x:c>
      <x:c r="G111" s="32" t="n">
        <x:v>1</x:v>
      </x:c>
      <x:c r="H111" s="32" t="n">
        <x:v>1</x:v>
      </x:c>
      <x:c r="I111" s="39" t="n">
        <x:v>2</x:v>
      </x:c>
      <x:c r="J111" s="39" t="n">
        <x:v>2</x:v>
      </x:c>
      <x:c r="K111" s="39" t="n">
        <x:v>2</x:v>
      </x:c>
      <x:c r="L111" s="39" t="n">
        <x:v>1</x:v>
      </x:c>
    </x:row>
    <x:row r="112" ht="23" customHeight="1">
      <x:c r="B112" s="17" t="str">
        <x:v>All rounds</x:v>
      </x:c>
      <x:c r="C112" s="17" t="str">
        <x:v>line</x:v>
      </x:c>
      <x:c r="D112" s="17" t="str">
        <x:v>Gson_1</x:v>
      </x:c>
      <x:c r="E112" s="32" t="n">
        <x:v>0.0625</x:v>
      </x:c>
      <x:c r="F112" s="32" t="n">
        <x:v>0.0625</x:v>
      </x:c>
      <x:c r="G112" s="32" t="n">
        <x:v>0.6383</x:v>
      </x:c>
      <x:c r="H112" s="32" t="n">
        <x:v>0.9792000000000001</x:v>
      </x:c>
      <x:c r="I112" s="39" t="n">
        <x:v>2</x:v>
      </x:c>
      <x:c r="J112" s="39" t="n">
        <x:v>2</x:v>
      </x:c>
      <x:c r="K112" s="39" t="n">
        <x:v>2</x:v>
      </x:c>
      <x:c r="L112" s="39" t="n">
        <x:v>1</x:v>
      </x:c>
    </x:row>
    <x:row r="113" ht="23" customHeight="1">
      <x:c r="B113" s="17" t="str">
        <x:v>All rounds</x:v>
      </x:c>
      <x:c r="C113" s="17" t="str">
        <x:v>line</x:v>
      </x:c>
      <x:c r="D113" s="17" t="str">
        <x:v>Gson_12</x:v>
      </x:c>
      <x:c r="E113" s="32" t="n">
        <x:v>0.8095</x:v>
      </x:c>
      <x:c r="F113" s="32" t="n">
        <x:v>0.2768</x:v>
      </x:c>
      <x:c r="G113" s="32" t="n">
        <x:v>0.875</x:v>
      </x:c>
      <x:c r="H113" s="32" t="n">
        <x:v>0.9523999999999999</x:v>
      </x:c>
      <x:c r="I113" s="39" t="n">
        <x:v>2</x:v>
      </x:c>
      <x:c r="J113" s="39" t="n">
        <x:v>2</x:v>
      </x:c>
      <x:c r="K113" s="39" t="n">
        <x:v>1</x:v>
      </x:c>
      <x:c r="L113" s="39" t="n">
        <x:v>1</x:v>
      </x:c>
    </x:row>
    <x:row r="114" ht="23" customHeight="1">
      <x:c r="B114" s="17" t="str">
        <x:v>All rounds</x:v>
      </x:c>
      <x:c r="C114" s="17" t="str">
        <x:v>line</x:v>
      </x:c>
      <x:c r="D114" s="17" t="str">
        <x:v>Gson_14</x:v>
      </x:c>
      <x:c r="E114" s="32" t="n">
        <x:v>0</x:v>
      </x:c>
      <x:c r="F114" s="32" t="n">
        <x:v>0.0040999999999999995</x:v>
      </x:c>
      <x:c r="G114" s="32" t="n">
        <x:v>0.7940999999999999</x:v>
      </x:c>
      <x:c r="H114" s="32" t="n">
        <x:v>0.9753000000000001</x:v>
      </x:c>
      <x:c r="I114" s="39" t="n">
        <x:v>2</x:v>
      </x:c>
      <x:c r="J114" s="39" t="n">
        <x:v>2</x:v>
      </x:c>
      <x:c r="K114" s="39" t="n">
        <x:v>1</x:v>
      </x:c>
      <x:c r="L114" s="39" t="n">
        <x:v>1</x:v>
      </x:c>
    </x:row>
    <x:row r="115" ht="23" customHeight="1">
      <x:c r="B115" s="17" t="str">
        <x:v>All rounds</x:v>
      </x:c>
      <x:c r="C115" s="17" t="str">
        <x:v>line</x:v>
      </x:c>
      <x:c r="D115" s="17" t="str">
        <x:v>Gson_15</x:v>
      </x:c>
      <x:c r="E115" s="32" t="n">
        <x:v>0.9495</x:v>
      </x:c>
      <x:c r="F115" s="32" t="n">
        <x:v>0.1414</x:v>
      </x:c>
      <x:c r="G115" s="32" t="n">
        <x:v>0.7828</x:v>
      </x:c>
      <x:c r="H115" s="32" t="n">
        <x:v>0.9948999999999999</x:v>
      </x:c>
      <x:c r="I115" s="39" t="n">
        <x:v>2</x:v>
      </x:c>
      <x:c r="J115" s="39" t="n">
        <x:v>2</x:v>
      </x:c>
      <x:c r="K115" s="39" t="n">
        <x:v>1</x:v>
      </x:c>
      <x:c r="L115" s="39" t="n">
        <x:v>1</x:v>
      </x:c>
    </x:row>
    <x:row r="116" ht="23" customHeight="1">
      <x:c r="B116" s="17" t="str">
        <x:v>All rounds</x:v>
      </x:c>
      <x:c r="C116" s="17" t="str">
        <x:v>line</x:v>
      </x:c>
      <x:c r="D116" s="17" t="str">
        <x:v>Gson_16</x:v>
      </x:c>
      <x:c r="E116" s="32" t="n">
        <x:v>0</x:v>
      </x:c>
      <x:c r="F116" s="32" t="n">
        <x:v>0.004</x:v>
      </x:c>
      <x:c r="G116" s="32" t="n">
        <x:v>0.8354</x:v>
      </x:c>
      <x:c r="H116" s="32" t="n">
        <x:v>0.9597</x:v>
      </x:c>
      <x:c r="I116" s="39" t="n">
        <x:v>2</x:v>
      </x:c>
      <x:c r="J116" s="39" t="n">
        <x:v>2</x:v>
      </x:c>
      <x:c r="K116" s="39" t="n">
        <x:v>1</x:v>
      </x:c>
      <x:c r="L116" s="39" t="n">
        <x:v>1</x:v>
      </x:c>
    </x:row>
    <x:row r="117" ht="23" customHeight="1">
      <x:c r="B117" s="17" t="str">
        <x:v>All rounds</x:v>
      </x:c>
      <x:c r="C117" s="17" t="str">
        <x:v>line</x:v>
      </x:c>
      <x:c r="D117" s="17" t="str">
        <x:v>Gson_3</x:v>
      </x:c>
      <x:c r="E117" s="32" t="n">
        <x:v>0</x:v>
      </x:c>
      <x:c r="F117" s="32" t="n">
        <x:v>0</x:v>
      </x:c>
      <x:c r="G117" s="32" t="n">
        <x:v>0.7093</x:v>
      </x:c>
      <x:c r="H117" s="32" t="n">
        <x:v>0.9767</x:v>
      </x:c>
      <x:c r="I117" s="39" t="n">
        <x:v>2</x:v>
      </x:c>
      <x:c r="J117" s="39" t="n">
        <x:v>2</x:v>
      </x:c>
      <x:c r="K117" s="39" t="n">
        <x:v>2</x:v>
      </x:c>
      <x:c r="L117" s="39" t="n">
        <x:v>1</x:v>
      </x:c>
    </x:row>
    <x:row r="118" ht="23" customHeight="1">
      <x:c r="B118" s="17" t="str">
        <x:v>All rounds</x:v>
      </x:c>
      <x:c r="C118" s="17" t="str">
        <x:v>line</x:v>
      </x:c>
      <x:c r="D118" s="17" t="str">
        <x:v>Gson_4</x:v>
      </x:c>
      <x:c r="E118" s="32" t="n">
        <x:v>0.5578</x:v>
      </x:c>
      <x:c r="F118" s="32" t="n">
        <x:v>0.0533</x:v>
      </x:c>
      <x:c r="G118" s="32" t="n">
        <x:v>0.6247</x:v>
      </x:c>
      <x:c r="H118" s="32" t="n">
        <x:v>0.9127</x:v>
      </x:c>
      <x:c r="I118" s="39" t="n">
        <x:v>2</x:v>
      </x:c>
      <x:c r="J118" s="39" t="n">
        <x:v>2</x:v>
      </x:c>
      <x:c r="K118" s="39" t="n">
        <x:v>1</x:v>
      </x:c>
      <x:c r="L118" s="39" t="n">
        <x:v>1</x:v>
      </x:c>
    </x:row>
    <x:row r="119" ht="23" customHeight="1">
      <x:c r="B119" s="17" t="str">
        <x:v>All rounds</x:v>
      </x:c>
      <x:c r="C119" s="17" t="str">
        <x:v>line</x:v>
      </x:c>
      <x:c r="D119" s="17" t="str">
        <x:v>Gson_5</x:v>
      </x:c>
      <x:c r="E119" s="32" t="n">
        <x:v>0.88</x:v>
      </x:c>
      <x:c r="F119" s="32" t="n">
        <x:v>0.0533</x:v>
      </x:c>
      <x:c r="G119" s="32" t="n">
        <x:v>0.9</x:v>
      </x:c>
      <x:c r="H119" s="32" t="n">
        <x:v>0.9933</x:v>
      </x:c>
      <x:c r="I119" s="39" t="n">
        <x:v>2</x:v>
      </x:c>
      <x:c r="J119" s="39" t="n">
        <x:v>2</x:v>
      </x:c>
      <x:c r="K119" s="39" t="n">
        <x:v>2</x:v>
      </x:c>
      <x:c r="L119" s="39" t="n">
        <x:v>1</x:v>
      </x:c>
    </x:row>
    <x:row r="120" ht="23" customHeight="1">
      <x:c r="B120" s="17" t="str">
        <x:v>All rounds</x:v>
      </x:c>
      <x:c r="C120" s="17" t="str">
        <x:v>line</x:v>
      </x:c>
      <x:c r="D120" s="17" t="str">
        <x:v>Gson_7</x:v>
      </x:c>
      <x:c r="E120" s="32" t="n">
        <x:v>0.4474</x:v>
      </x:c>
      <x:c r="F120" s="32" t="n">
        <x:v>0.0278</x:v>
      </x:c>
      <x:c r="G120" s="32" t="n">
        <x:v>0.6681</x:v>
      </x:c>
      <x:c r="H120" s="32" t="n">
        <x:v>0.9006000000000001</x:v>
      </x:c>
      <x:c r="I120" s="39" t="n">
        <x:v>2</x:v>
      </x:c>
      <x:c r="J120" s="39" t="n">
        <x:v>2</x:v>
      </x:c>
      <x:c r="K120" s="39" t="n">
        <x:v>1</x:v>
      </x:c>
      <x:c r="L120" s="39" t="n">
        <x:v>1</x:v>
      </x:c>
    </x:row>
    <x:row r="121" ht="23" customHeight="1">
      <x:c r="B121" s="17" t="str">
        <x:v>All rounds</x:v>
      </x:c>
      <x:c r="C121" s="17" t="str">
        <x:v>line</x:v>
      </x:c>
      <x:c r="D121" s="17" t="str">
        <x:v>JacksonCore_10</x:v>
      </x:c>
      <x:c r="E121" s="32" t="n">
        <x:v>0.6881999999999999</x:v>
      </x:c>
      <x:c r="F121" s="32" t="n">
        <x:v>0.4086</x:v>
      </x:c>
      <x:c r="G121" s="32" t="n">
        <x:v>0.5484</x:v>
      </x:c>
      <x:c r="H121" s="32" t="n">
        <x:v>0.9011</x:v>
      </x:c>
      <x:c r="I121" s="39" t="n">
        <x:v>2</x:v>
      </x:c>
      <x:c r="J121" s="39" t="n">
        <x:v>2</x:v>
      </x:c>
      <x:c r="K121" s="39" t="n">
        <x:v>1</x:v>
      </x:c>
      <x:c r="L121" s="39" t="n">
        <x:v>1</x:v>
      </x:c>
    </x:row>
    <x:row r="122" ht="23" customHeight="1">
      <x:c r="B122" s="17" t="str">
        <x:v>All rounds</x:v>
      </x:c>
      <x:c r="C122" s="17" t="str">
        <x:v>line</x:v>
      </x:c>
      <x:c r="D122" s="17" t="str">
        <x:v>JacksonCore_2</x:v>
      </x:c>
      <x:c r="E122" s="32" t="n">
        <x:v>0.28300000000000003</x:v>
      </x:c>
      <x:c r="F122" s="32" t="n">
        <x:v>0.0039000000000000003</x:v>
      </x:c>
      <x:c r="G122" s="32" t="n">
        <x:v>0.4531</x:v>
      </x:c>
      <x:c r="H122" s="32" t="n">
        <x:v>0.21559999999999999</x:v>
      </x:c>
      <x:c r="I122" s="39" t="n">
        <x:v>2</x:v>
      </x:c>
      <x:c r="J122" s="39" t="n">
        <x:v>2</x:v>
      </x:c>
      <x:c r="K122" s="39" t="n">
        <x:v>1</x:v>
      </x:c>
      <x:c r="L122" s="39" t="n">
        <x:v>1</x:v>
      </x:c>
    </x:row>
    <x:row r="123" ht="23" customHeight="1">
      <x:c r="B123" s="17" t="str">
        <x:v>All rounds</x:v>
      </x:c>
      <x:c r="C123" s="17" t="str">
        <x:v>line</x:v>
      </x:c>
      <x:c r="D123" s="17" t="str">
        <x:v>JacksonCore_21</x:v>
      </x:c>
      <x:c r="E123" s="32" t="n">
        <x:v>0.3221</x:v>
      </x:c>
      <x:c r="F123" s="32" t="n">
        <x:v>0.13895</x:v>
      </x:c>
      <x:c r="G123" s="32" t="n">
        <x:v>0.1143</x:v>
      </x:c>
      <x:c r="H123" s="32" t="n">
        <x:v>0.23379999999999998</x:v>
      </x:c>
      <x:c r="I123" s="39" t="n">
        <x:v>2</x:v>
      </x:c>
      <x:c r="J123" s="39" t="n">
        <x:v>2</x:v>
      </x:c>
      <x:c r="K123" s="39" t="n">
        <x:v>1</x:v>
      </x:c>
      <x:c r="L123" s="39" t="n">
        <x:v>1</x:v>
      </x:c>
    </x:row>
    <x:row r="124" ht="23" customHeight="1">
      <x:c r="B124" s="17" t="str">
        <x:v>All rounds</x:v>
      </x:c>
      <x:c r="C124" s="17" t="str">
        <x:v>line</x:v>
      </x:c>
      <x:c r="D124" s="17" t="str">
        <x:v>JacksonCore_22</x:v>
      </x:c>
      <x:c r="E124" s="32" t="n">
        <x:v>0.2887</x:v>
      </x:c>
      <x:c r="F124" s="32" t="n">
        <x:v>0.14045</x:v>
      </x:c>
      <x:c r="G124" s="32" t="n">
        <x:v>0.4068</x:v>
      </x:c>
      <x:c r="H124" s="32" t="n">
        <x:v>0.231</x:v>
      </x:c>
      <x:c r="I124" s="39" t="n">
        <x:v>2</x:v>
      </x:c>
      <x:c r="J124" s="39" t="n">
        <x:v>2</x:v>
      </x:c>
      <x:c r="K124" s="39" t="n">
        <x:v>1</x:v>
      </x:c>
      <x:c r="L124" s="39" t="n">
        <x:v>1</x:v>
      </x:c>
    </x:row>
    <x:row r="125" ht="23" customHeight="1">
      <x:c r="B125" s="17" t="str">
        <x:v>All rounds</x:v>
      </x:c>
      <x:c r="C125" s="17" t="str">
        <x:v>line</x:v>
      </x:c>
      <x:c r="D125" s="17" t="str">
        <x:v>JacksonCore_26</x:v>
      </x:c>
      <x:c r="E125" s="32" t="n">
        <x:v>0.18489999999999998</x:v>
      </x:c>
      <x:c r="F125" s="32" t="n">
        <x:v>0.0067</x:v>
      </x:c>
      <x:c r="G125" s="32" t="n">
        <x:v>0.1404</x:v>
      </x:c>
      <x:c r="H125" s="32" t="n">
        <x:v>0.1208</x:v>
      </x:c>
      <x:c r="I125" s="39" t="n">
        <x:v>2</x:v>
      </x:c>
      <x:c r="J125" s="39" t="n">
        <x:v>2</x:v>
      </x:c>
      <x:c r="K125" s="39" t="n">
        <x:v>2</x:v>
      </x:c>
      <x:c r="L125" s="39" t="n">
        <x:v>1</x:v>
      </x:c>
    </x:row>
    <x:row r="126" ht="23" customHeight="1">
      <x:c r="B126" s="17" t="str">
        <x:v>All rounds</x:v>
      </x:c>
      <x:c r="C126" s="17" t="str">
        <x:v>line</x:v>
      </x:c>
      <x:c r="D126" s="17" t="str">
        <x:v>JacksonCore_5</x:v>
      </x:c>
      <x:c r="E126" s="32" t="n">
        <x:v>0.9523999999999999</x:v>
      </x:c>
      <x:c r="F126" s="32" t="n">
        <x:v>0.7143</x:v>
      </x:c>
      <x:c r="G126" s="32" t="n">
        <x:v>0.9762000000000001</x:v>
      </x:c>
      <x:c r="H126" s="32" t="n">
        <x:v>0.9167000000000001</x:v>
      </x:c>
      <x:c r="I126" s="39" t="n">
        <x:v>2</x:v>
      </x:c>
      <x:c r="J126" s="39" t="n">
        <x:v>2</x:v>
      </x:c>
      <x:c r="K126" s="39" t="n">
        <x:v>1</x:v>
      </x:c>
      <x:c r="L126" s="39" t="n">
        <x:v>1</x:v>
      </x:c>
    </x:row>
    <x:row r="127" ht="23" customHeight="1">
      <x:c r="B127" s="17" t="str">
        <x:v>All rounds</x:v>
      </x:c>
      <x:c r="C127" s="17" t="str">
        <x:v>line</x:v>
      </x:c>
      <x:c r="D127" s="17" t="str">
        <x:v>JacksonCore_6</x:v>
      </x:c>
      <x:c r="E127" s="32" t="n">
        <x:v>0.9643</x:v>
      </x:c>
      <x:c r="F127" s="32" t="n">
        <x:v>0.7143</x:v>
      </x:c>
      <x:c r="G127" s="32" t="n">
        <x:v>0.9523999999999999</x:v>
      </x:c>
      <x:c r="H127" s="32" t="n">
        <x:v>0.9167000000000001</x:v>
      </x:c>
      <x:c r="I127" s="39" t="n">
        <x:v>2</x:v>
      </x:c>
      <x:c r="J127" s="39" t="n">
        <x:v>2</x:v>
      </x:c>
      <x:c r="K127" s="39" t="n">
        <x:v>2</x:v>
      </x:c>
      <x:c r="L127" s="39" t="n">
        <x:v>1</x:v>
      </x:c>
    </x:row>
    <x:row r="128" ht="23" customHeight="1">
      <x:c r="B128" s="17" t="str">
        <x:v>All rounds</x:v>
      </x:c>
      <x:c r="C128" s="17" t="str">
        <x:v>line</x:v>
      </x:c>
      <x:c r="D128" s="17" t="str">
        <x:v>JacksonCore_8</x:v>
      </x:c>
      <x:c r="E128" s="32" t="n">
        <x:v>0.9852</x:v>
      </x:c>
      <x:c r="F128" s="32" t="n">
        <x:v>0.6476</x:v>
      </x:c>
      <x:c r="G128" s="32" t="n">
        <x:v>0.6052000000000001</x:v>
      </x:c>
      <x:c r="H128" s="32" t="n">
        <x:v>0.9815</x:v>
      </x:c>
      <x:c r="I128" s="39" t="n">
        <x:v>2</x:v>
      </x:c>
      <x:c r="J128" s="39" t="n">
        <x:v>2</x:v>
      </x:c>
      <x:c r="K128" s="39" t="n">
        <x:v>2</x:v>
      </x:c>
      <x:c r="L128" s="39" t="n">
        <x:v>1</x:v>
      </x:c>
    </x:row>
    <x:row r="129" ht="23" customHeight="1">
      <x:c r="B129" s="17" t="str">
        <x:v>All rounds</x:v>
      </x:c>
      <x:c r="C129" s="17" t="str">
        <x:v>line</x:v>
      </x:c>
      <x:c r="D129" s="17" t="str">
        <x:v>JacksonDatabind_105</x:v>
      </x:c>
      <x:c r="E129" s="32" t="n">
        <x:v>0.7895</x:v>
      </x:c>
      <x:c r="F129" s="32" t="n">
        <x:v>0.31579999999999997</x:v>
      </x:c>
      <x:c r="G129" s="32" t="n">
        <x:v>0.8946999999999999</x:v>
      </x:c>
      <x:c r="H129" s="32" t="n">
        <x:v>1</x:v>
      </x:c>
      <x:c r="I129" s="39" t="n">
        <x:v>2</x:v>
      </x:c>
      <x:c r="J129" s="39" t="n">
        <x:v>2</x:v>
      </x:c>
      <x:c r="K129" s="39" t="n">
        <x:v>2</x:v>
      </x:c>
      <x:c r="L129" s="39" t="n">
        <x:v>1</x:v>
      </x:c>
    </x:row>
    <x:row r="130" ht="23" customHeight="1">
      <x:c r="B130" s="17" t="str">
        <x:v>All rounds</x:v>
      </x:c>
      <x:c r="C130" s="17" t="str">
        <x:v>line</x:v>
      </x:c>
      <x:c r="D130" s="17" t="str">
        <x:v>JacksonDatabind_108</x:v>
      </x:c>
      <x:c r="E130" s="32" t="n">
        <x:v>0.679</x:v>
      </x:c>
      <x:c r="F130" s="32" t="n">
        <x:v>0.0346</x:v>
      </x:c>
      <x:c r="G130" s="32" t="n">
        <x:v>0.4514</x:v>
      </x:c>
      <x:c r="H130" s="32" t="n">
        <x:v>0.0023</x:v>
      </x:c>
      <x:c r="I130" s="39" t="n">
        <x:v>2</x:v>
      </x:c>
      <x:c r="J130" s="39" t="n">
        <x:v>2</x:v>
      </x:c>
      <x:c r="K130" s="39" t="n">
        <x:v>1</x:v>
      </x:c>
      <x:c r="L130" s="39" t="n">
        <x:v>1</x:v>
      </x:c>
    </x:row>
    <x:row r="131" ht="23" customHeight="1">
      <x:c r="B131" s="17" t="str">
        <x:v>All rounds</x:v>
      </x:c>
      <x:c r="C131" s="17" t="str">
        <x:v>line</x:v>
      </x:c>
      <x:c r="D131" s="17" t="str">
        <x:v>JacksonDatabind_11</x:v>
      </x:c>
      <x:c r="E131" s="32" t="n">
        <x:v>0.7687999999999999</x:v>
      </x:c>
      <x:c r="F131" s="32" t="n">
        <x:v>0.19219999999999998</x:v>
      </x:c>
      <x:c r="G131" s="32" t="n">
        <x:v>0.5625</x:v>
      </x:c>
      <x:c r="H131" s="32" t="n">
        <x:v>0.0344</x:v>
      </x:c>
      <x:c r="I131" s="39" t="n">
        <x:v>2</x:v>
      </x:c>
      <x:c r="J131" s="39" t="n">
        <x:v>2</x:v>
      </x:c>
      <x:c r="K131" s="39" t="n">
        <x:v>1</x:v>
      </x:c>
      <x:c r="L131" s="39" t="n">
        <x:v>1</x:v>
      </x:c>
    </x:row>
    <x:row r="132" ht="23" customHeight="1">
      <x:c r="B132" s="17" t="str">
        <x:v>All rounds</x:v>
      </x:c>
      <x:c r="C132" s="17" t="str">
        <x:v>line</x:v>
      </x:c>
      <x:c r="D132" s="17" t="str">
        <x:v>JacksonDatabind_16</x:v>
      </x:c>
      <x:c r="E132" s="32" t="n">
        <x:v>0.4571</x:v>
      </x:c>
      <x:c r="F132" s="32" t="n">
        <x:v>0.4</x:v>
      </x:c>
      <x:c r="G132" s="32" t="n">
        <x:v>1</x:v>
      </x:c>
      <x:c r="H132" s="32" t="n">
        <x:v>1</x:v>
      </x:c>
      <x:c r="I132" s="39" t="n">
        <x:v>2</x:v>
      </x:c>
      <x:c r="J132" s="39" t="n">
        <x:v>2</x:v>
      </x:c>
      <x:c r="K132" s="39" t="n">
        <x:v>2</x:v>
      </x:c>
      <x:c r="L132" s="39" t="n">
        <x:v>1</x:v>
      </x:c>
    </x:row>
    <x:row r="133" ht="23" customHeight="1">
      <x:c r="B133" s="17" t="str">
        <x:v>All rounds</x:v>
      </x:c>
      <x:c r="C133" s="17" t="str">
        <x:v>line</x:v>
      </x:c>
      <x:c r="D133" s="17" t="str">
        <x:v>JacksonDatabind_36</x:v>
      </x:c>
      <x:c r="E133" s="32" t="n">
        <x:v>0.9481999999999999</x:v>
      </x:c>
      <x:c r="F133" s="32" t="n">
        <x:v>0.8834000000000001</x:v>
      </x:c>
      <x:c r="G133" s="32" t="n">
        <x:v>0.8445999999999999</x:v>
      </x:c>
      <x:c r="H133" s="32" t="n">
        <x:v>0.07769999999999999</x:v>
      </x:c>
      <x:c r="I133" s="39" t="n">
        <x:v>2</x:v>
      </x:c>
      <x:c r="J133" s="39" t="n">
        <x:v>2</x:v>
      </x:c>
      <x:c r="K133" s="39" t="n">
        <x:v>2</x:v>
      </x:c>
      <x:c r="L133" s="39" t="n">
        <x:v>1</x:v>
      </x:c>
    </x:row>
    <x:row r="134" ht="23" customHeight="1">
      <x:c r="B134" s="17" t="str">
        <x:v>All rounds</x:v>
      </x:c>
      <x:c r="C134" s="17" t="str">
        <x:v>line</x:v>
      </x:c>
      <x:c r="D134" s="17" t="str">
        <x:v>JacksonDatabind_37</x:v>
      </x:c>
      <x:c r="E134" s="32" t="n">
        <x:v>0.9851000000000001</x:v>
      </x:c>
      <x:c r="F134" s="32" t="n">
        <x:v>0.00745</x:v>
      </x:c>
      <x:c r="G134" s="32" t="n">
        <x:v>0.7164</x:v>
      </x:c>
      <x:c r="H134" s="32" t="n">
        <x:v>0</x:v>
      </x:c>
      <x:c r="I134" s="39" t="n">
        <x:v>2</x:v>
      </x:c>
      <x:c r="J134" s="39" t="n">
        <x:v>2</x:v>
      </x:c>
      <x:c r="K134" s="39" t="n">
        <x:v>1</x:v>
      </x:c>
      <x:c r="L134" s="39" t="n">
        <x:v>1</x:v>
      </x:c>
    </x:row>
    <x:row r="135" ht="23" customHeight="1">
      <x:c r="B135" s="17" t="str">
        <x:v>All rounds</x:v>
      </x:c>
      <x:c r="C135" s="17" t="str">
        <x:v>line</x:v>
      </x:c>
      <x:c r="D135" s="17" t="str">
        <x:v>JacksonDatabind_39</x:v>
      </x:c>
      <x:c r="E135" s="32" t="n">
        <x:v>0.8571</x:v>
      </x:c>
      <x:c r="F135" s="32" t="n">
        <x:v>0.42855000000000004</x:v>
      </x:c>
      <x:c r="G135" s="32" t="n">
        <x:v>1</x:v>
      </x:c>
      <x:c r="H135" s="32" t="n">
        <x:v>1</x:v>
      </x:c>
      <x:c r="I135" s="39" t="n">
        <x:v>2</x:v>
      </x:c>
      <x:c r="J135" s="39" t="n">
        <x:v>2</x:v>
      </x:c>
      <x:c r="K135" s="39" t="n">
        <x:v>2</x:v>
      </x:c>
      <x:c r="L135" s="39" t="n">
        <x:v>1</x:v>
      </x:c>
    </x:row>
    <x:row r="136" ht="23" customHeight="1">
      <x:c r="B136" s="17" t="str">
        <x:v>All rounds</x:v>
      </x:c>
      <x:c r="C136" s="17" t="str">
        <x:v>line</x:v>
      </x:c>
      <x:c r="D136" s="17" t="str">
        <x:v>JacksonDatabind_40</x:v>
      </x:c>
      <x:c r="E136" s="32" t="n">
        <x:v>0.45659999999999995</x:v>
      </x:c>
      <x:c r="F136" s="32" t="n">
        <x:v>0.3196</x:v>
      </x:c>
      <x:c r="G136" s="32" t="n">
        <x:v>0.6804000000000001</x:v>
      </x:c>
      <x:c r="H136" s="32" t="n">
        <x:v>0.022799999999999997</x:v>
      </x:c>
      <x:c r="I136" s="39" t="n">
        <x:v>2</x:v>
      </x:c>
      <x:c r="J136" s="39" t="n">
        <x:v>2</x:v>
      </x:c>
      <x:c r="K136" s="39" t="n">
        <x:v>2</x:v>
      </x:c>
      <x:c r="L136" s="39" t="n">
        <x:v>1</x:v>
      </x:c>
    </x:row>
    <x:row r="137" ht="23" customHeight="1">
      <x:c r="B137" s="17" t="str">
        <x:v>All rounds</x:v>
      </x:c>
      <x:c r="C137" s="17" t="str">
        <x:v>line</x:v>
      </x:c>
      <x:c r="D137" s="17" t="str">
        <x:v>JacksonDatabind_42</x:v>
      </x:c>
      <x:c r="E137" s="32" t="n">
        <x:v>0.6</x:v>
      </x:c>
      <x:c r="F137" s="32" t="n">
        <x:v>0.0091</x:v>
      </x:c>
      <x:c r="G137" s="32" t="n">
        <x:v>0.8818</x:v>
      </x:c>
      <x:c r="H137" s="32" t="n">
        <x:v>0</x:v>
      </x:c>
      <x:c r="I137" s="39" t="n">
        <x:v>2</x:v>
      </x:c>
      <x:c r="J137" s="39" t="n">
        <x:v>2</x:v>
      </x:c>
      <x:c r="K137" s="39" t="n">
        <x:v>1</x:v>
      </x:c>
      <x:c r="L137" s="39" t="n">
        <x:v>1</x:v>
      </x:c>
    </x:row>
    <x:row r="138" ht="23" customHeight="1">
      <x:c r="B138" s="17" t="str">
        <x:v>All rounds</x:v>
      </x:c>
      <x:c r="C138" s="17" t="str">
        <x:v>line</x:v>
      </x:c>
      <x:c r="D138" s="17" t="str">
        <x:v>JacksonDatabind_44</x:v>
      </x:c>
      <x:c r="E138" s="32" t="n">
        <x:v>0.9732999999999999</x:v>
      </x:c>
      <x:c r="F138" s="32" t="n">
        <x:v>0.0066500000000000005</x:v>
      </x:c>
      <x:c r="G138" s="32" t="n">
        <x:v>0.8533</x:v>
      </x:c>
      <x:c r="H138" s="32" t="n">
        <x:v>0</x:v>
      </x:c>
      <x:c r="I138" s="39" t="n">
        <x:v>2</x:v>
      </x:c>
      <x:c r="J138" s="39" t="n">
        <x:v>2</x:v>
      </x:c>
      <x:c r="K138" s="39" t="n">
        <x:v>2</x:v>
      </x:c>
      <x:c r="L138" s="39" t="n">
        <x:v>1</x:v>
      </x:c>
    </x:row>
    <x:row r="139" ht="23" customHeight="1">
      <x:c r="B139" s="17" t="str">
        <x:v>All rounds</x:v>
      </x:c>
      <x:c r="C139" s="17" t="str">
        <x:v>line</x:v>
      </x:c>
      <x:c r="D139" s="17" t="str">
        <x:v>JacksonDatabind_5</x:v>
      </x:c>
      <x:c r="E139" s="32" t="n">
        <x:v>0.8055</x:v>
      </x:c>
      <x:c r="F139" s="32" t="n">
        <x:v>0</x:v>
      </x:c>
      <x:c r="G139" s="32" t="n">
        <x:v>0.5233</x:v>
      </x:c>
      <x:c r="H139" s="32" t="n">
        <x:v>0.0027</x:v>
      </x:c>
      <x:c r="I139" s="39" t="n">
        <x:v>2</x:v>
      </x:c>
      <x:c r="J139" s="39" t="n">
        <x:v>2</x:v>
      </x:c>
      <x:c r="K139" s="39" t="n">
        <x:v>2</x:v>
      </x:c>
      <x:c r="L139" s="39" t="n">
        <x:v>1</x:v>
      </x:c>
    </x:row>
    <x:row r="140" ht="23" customHeight="1">
      <x:c r="B140" s="17" t="str">
        <x:v>All rounds</x:v>
      </x:c>
      <x:c r="C140" s="17" t="str">
        <x:v>line</x:v>
      </x:c>
      <x:c r="D140" s="17" t="str">
        <x:v>JacksonDatabind_53</x:v>
      </x:c>
      <x:c r="E140" s="32" t="n">
        <x:v>0.8693000000000001</x:v>
      </x:c>
      <x:c r="F140" s="32" t="n">
        <x:v>0.40695</x:v>
      </x:c>
      <x:c r="G140" s="32" t="n">
        <x:v>0.7931999999999999</x:v>
      </x:c>
      <x:c r="H140" s="32" t="n">
        <x:v>0.07519999999999999</x:v>
      </x:c>
      <x:c r="I140" s="39" t="n">
        <x:v>2</x:v>
      </x:c>
      <x:c r="J140" s="39" t="n">
        <x:v>2</x:v>
      </x:c>
      <x:c r="K140" s="39" t="n">
        <x:v>2</x:v>
      </x:c>
      <x:c r="L140" s="39" t="n">
        <x:v>1</x:v>
      </x:c>
    </x:row>
    <x:row r="141" ht="23" customHeight="1">
      <x:c r="B141" s="17" t="str">
        <x:v>All rounds</x:v>
      </x:c>
      <x:c r="C141" s="17" t="str">
        <x:v>line</x:v>
      </x:c>
      <x:c r="D141" s="17" t="str">
        <x:v>JacksonDatabind_55</x:v>
      </x:c>
      <x:c r="E141" s="32" t="n">
        <x:v>0.8689</x:v>
      </x:c>
      <x:c r="F141" s="32" t="n">
        <x:v>0.2787</x:v>
      </x:c>
      <x:c r="G141" s="32" t="n">
        <x:v>0.7868999999999999</x:v>
      </x:c>
      <x:c r="H141" s="32" t="n">
        <x:v>0.0492</x:v>
      </x:c>
      <x:c r="I141" s="39" t="n">
        <x:v>2</x:v>
      </x:c>
      <x:c r="J141" s="39" t="n">
        <x:v>2</x:v>
      </x:c>
      <x:c r="K141" s="39" t="n">
        <x:v>2</x:v>
      </x:c>
      <x:c r="L141" s="39" t="n">
        <x:v>1</x:v>
      </x:c>
    </x:row>
    <x:row r="142" ht="23" customHeight="1">
      <x:c r="B142" s="17" t="str">
        <x:v>All rounds</x:v>
      </x:c>
      <x:c r="C142" s="17" t="str">
        <x:v>line</x:v>
      </x:c>
      <x:c r="D142" s="17" t="str">
        <x:v>JacksonDatabind_56</x:v>
      </x:c>
      <x:c r="E142" s="32" t="n">
        <x:v>0.4911</x:v>
      </x:c>
      <x:c r="F142" s="32" t="n">
        <x:v>0.0089</x:v>
      </x:c>
      <x:c r="G142" s="32" t="n">
        <x:v>0.9464</x:v>
      </x:c>
      <x:c r="H142" s="32" t="n">
        <x:v>0</x:v>
      </x:c>
      <x:c r="I142" s="39" t="n">
        <x:v>2</x:v>
      </x:c>
      <x:c r="J142" s="39" t="n">
        <x:v>2</x:v>
      </x:c>
      <x:c r="K142" s="39" t="n">
        <x:v>1</x:v>
      </x:c>
      <x:c r="L142" s="39" t="n">
        <x:v>1</x:v>
      </x:c>
    </x:row>
    <x:row r="143" ht="23" customHeight="1">
      <x:c r="B143" s="17" t="str">
        <x:v>All rounds</x:v>
      </x:c>
      <x:c r="C143" s="17" t="str">
        <x:v>line</x:v>
      </x:c>
      <x:c r="D143" s="17" t="str">
        <x:v>JacksonDatabind_57</x:v>
      </x:c>
      <x:c r="E143" s="32" t="n">
        <x:v>0.7598</x:v>
      </x:c>
      <x:c r="F143" s="32" t="n">
        <x:v>0.0368</x:v>
      </x:c>
      <x:c r="G143" s="32" t="n">
        <x:v>0.5528</x:v>
      </x:c>
      <x:c r="H143" s="32" t="n">
        <x:v>0.0025</x:v>
      </x:c>
      <x:c r="I143" s="39" t="n">
        <x:v>2</x:v>
      </x:c>
      <x:c r="J143" s="39" t="n">
        <x:v>2</x:v>
      </x:c>
      <x:c r="K143" s="39" t="n">
        <x:v>2</x:v>
      </x:c>
      <x:c r="L143" s="39" t="n">
        <x:v>1</x:v>
      </x:c>
    </x:row>
    <x:row r="144" ht="23" customHeight="1">
      <x:c r="B144" s="17" t="str">
        <x:v>All rounds</x:v>
      </x:c>
      <x:c r="C144" s="17" t="str">
        <x:v>line</x:v>
      </x:c>
      <x:c r="D144" s="17" t="str">
        <x:v>JacksonDatabind_6</x:v>
      </x:c>
      <x:c r="E144" s="32" t="n">
        <x:v>0.953</x:v>
      </x:c>
      <x:c r="F144" s="32" t="n">
        <x:v>0.8859</x:v>
      </x:c>
      <x:c r="G144" s="32" t="n">
        <x:v>0.8926000000000001</x:v>
      </x:c>
      <x:c r="H144" s="32" t="n">
        <x:v>0.1007</x:v>
      </x:c>
      <x:c r="I144" s="39" t="n">
        <x:v>2</x:v>
      </x:c>
      <x:c r="J144" s="39" t="n">
        <x:v>2</x:v>
      </x:c>
      <x:c r="K144" s="39" t="n">
        <x:v>2</x:v>
      </x:c>
      <x:c r="L144" s="39" t="n">
        <x:v>1</x:v>
      </x:c>
    </x:row>
    <x:row r="145" ht="23" customHeight="1">
      <x:c r="B145" s="17" t="str">
        <x:v>All rounds</x:v>
      </x:c>
      <x:c r="C145" s="17" t="str">
        <x:v>line</x:v>
      </x:c>
      <x:c r="D145" s="17" t="str">
        <x:v>JacksonDatabind_68</x:v>
      </x:c>
      <x:c r="E145" s="32" t="n">
        <x:v>0.0068000000000000005</x:v>
      </x:c>
      <x:c r="F145" s="32" t="n">
        <x:v>0.0017000000000000001</x:v>
      </x:c>
      <x:c r="G145" s="32" t="n">
        <x:v>0.0017000000000000001</x:v>
      </x:c>
      <x:c r="H145" s="32" t="n">
        <x:v>0.0017000000000000001</x:v>
      </x:c>
      <x:c r="I145" s="39" t="n">
        <x:v>2</x:v>
      </x:c>
      <x:c r="J145" s="39" t="n">
        <x:v>2</x:v>
      </x:c>
      <x:c r="K145" s="39" t="n">
        <x:v>2</x:v>
      </x:c>
      <x:c r="L145" s="39" t="n">
        <x:v>1</x:v>
      </x:c>
    </x:row>
    <x:row r="146" ht="23" customHeight="1">
      <x:c r="B146" s="17" t="str">
        <x:v>All rounds</x:v>
      </x:c>
      <x:c r="C146" s="17" t="str">
        <x:v>line</x:v>
      </x:c>
      <x:c r="D146" s="17" t="str">
        <x:v>JacksonDatabind_73</x:v>
      </x:c>
      <x:c r="E146" s="32" t="n">
        <x:v>0.0625</x:v>
      </x:c>
      <x:c r="F146" s="32" t="n">
        <x:v>0.049049999999999996</x:v>
      </x:c>
      <x:c r="G146" s="32" t="n">
        <x:v>0.6831999999999999</x:v>
      </x:c>
      <x:c r="H146" s="32" t="n">
        <x:v>0</x:v>
      </x:c>
      <x:c r="I146" s="39" t="n">
        <x:v>2</x:v>
      </x:c>
      <x:c r="J146" s="39" t="n">
        <x:v>2</x:v>
      </x:c>
      <x:c r="K146" s="39" t="n">
        <x:v>2</x:v>
      </x:c>
      <x:c r="L146" s="39" t="n">
        <x:v>1</x:v>
      </x:c>
    </x:row>
    <x:row r="147" ht="23" customHeight="1">
      <x:c r="B147" s="17" t="str">
        <x:v>All rounds</x:v>
      </x:c>
      <x:c r="C147" s="17" t="str">
        <x:v>line</x:v>
      </x:c>
      <x:c r="D147" s="17" t="str">
        <x:v>JacksonDatabind_83</x:v>
      </x:c>
      <x:c r="E147" s="32" t="n">
        <x:v>0.6148</x:v>
      </x:c>
      <x:c r="F147" s="32" t="n">
        <x:v>0.008199999999999999</x:v>
      </x:c>
      <x:c r="G147" s="32" t="n">
        <x:v>0.8197</x:v>
      </x:c>
      <x:c r="H147" s="32" t="n">
        <x:v>0</x:v>
      </x:c>
      <x:c r="I147" s="39" t="n">
        <x:v>2</x:v>
      </x:c>
      <x:c r="J147" s="39" t="n">
        <x:v>2</x:v>
      </x:c>
      <x:c r="K147" s="39" t="n">
        <x:v>2</x:v>
      </x:c>
      <x:c r="L147" s="39" t="n">
        <x:v>1</x:v>
      </x:c>
    </x:row>
    <x:row r="148" ht="23" customHeight="1">
      <x:c r="B148" s="17" t="str">
        <x:v>All rounds</x:v>
      </x:c>
      <x:c r="C148" s="17" t="str">
        <x:v>line</x:v>
      </x:c>
      <x:c r="D148" s="17" t="str">
        <x:v>JacksonDatabind_84</x:v>
      </x:c>
      <x:c r="E148" s="32" t="n">
        <x:v>1</x:v>
      </x:c>
      <x:c r="F148" s="32" t="n">
        <x:v>0</x:v>
      </x:c>
      <x:c r="G148" s="32" t="n">
        <x:v>0.9667</x:v>
      </x:c>
      <x:c r="H148" s="32" t="n">
        <x:v>1</x:v>
      </x:c>
      <x:c r="I148" s="39" t="n">
        <x:v>2</x:v>
      </x:c>
      <x:c r="J148" s="39" t="n">
        <x:v>2</x:v>
      </x:c>
      <x:c r="K148" s="39" t="n">
        <x:v>2</x:v>
      </x:c>
      <x:c r="L148" s="39" t="n">
        <x:v>1</x:v>
      </x:c>
    </x:row>
    <x:row r="149" ht="23" customHeight="1">
      <x:c r="B149" s="17" t="str">
        <x:v>All rounds</x:v>
      </x:c>
      <x:c r="C149" s="17" t="str">
        <x:v>line</x:v>
      </x:c>
      <x:c r="D149" s="17" t="str">
        <x:v>JacksonDatabind_86</x:v>
      </x:c>
      <x:c r="E149" s="32" t="n">
        <x:v>1</x:v>
      </x:c>
      <x:c r="F149" s="32" t="n">
        <x:v>0</x:v>
      </x:c>
      <x:c r="G149" s="32" t="n">
        <x:v>0.9667</x:v>
      </x:c>
      <x:c r="H149" s="32" t="n">
        <x:v>1</x:v>
      </x:c>
      <x:c r="I149" s="39" t="n">
        <x:v>2</x:v>
      </x:c>
      <x:c r="J149" s="39" t="n">
        <x:v>2</x:v>
      </x:c>
      <x:c r="K149" s="39" t="n">
        <x:v>2</x:v>
      </x:c>
      <x:c r="L149" s="39" t="n">
        <x:v>1</x:v>
      </x:c>
    </x:row>
    <x:row r="150" ht="23" customHeight="1">
      <x:c r="B150" s="17" t="str">
        <x:v>All rounds</x:v>
      </x:c>
      <x:c r="C150" s="17" t="str">
        <x:v>line</x:v>
      </x:c>
      <x:c r="D150" s="17" t="str">
        <x:v>JacksonDatabind_87</x:v>
      </x:c>
      <x:c r="E150" s="32" t="n">
        <x:v>0.9505</x:v>
      </x:c>
      <x:c r="F150" s="32" t="n">
        <x:v>0.7723</x:v>
      </x:c>
      <x:c r="G150" s="32" t="n">
        <x:v>0.8564</x:v>
      </x:c>
      <x:c r="H150" s="32" t="n">
        <x:v>0.07429999999999999</x:v>
      </x:c>
      <x:c r="I150" s="39" t="n">
        <x:v>2</x:v>
      </x:c>
      <x:c r="J150" s="39" t="n">
        <x:v>1</x:v>
      </x:c>
      <x:c r="K150" s="39" t="n">
        <x:v>2</x:v>
      </x:c>
      <x:c r="L150" s="39" t="n">
        <x:v>1</x:v>
      </x:c>
    </x:row>
    <x:row r="151" ht="23" customHeight="1">
      <x:c r="B151" s="17" t="str">
        <x:v>All rounds</x:v>
      </x:c>
      <x:c r="C151" s="17" t="str">
        <x:v>line</x:v>
      </x:c>
      <x:c r="D151" s="17" t="str">
        <x:v>JacksonDatabind_93</x:v>
      </x:c>
      <x:c r="E151" s="32" t="n">
        <x:v>0.7778</x:v>
      </x:c>
      <x:c r="F151" s="32" t="n">
        <x:v>0.6667000000000001</x:v>
      </x:c>
      <x:c r="G151" s="32" t="n">
        <x:v>0.8611</x:v>
      </x:c>
      <x:c r="H151" s="32" t="n">
        <x:v>1</x:v>
      </x:c>
      <x:c r="I151" s="39" t="n">
        <x:v>2</x:v>
      </x:c>
      <x:c r="J151" s="39" t="n">
        <x:v>2</x:v>
      </x:c>
      <x:c r="K151" s="39" t="n">
        <x:v>1</x:v>
      </x:c>
      <x:c r="L151" s="39" t="n">
        <x:v>1</x:v>
      </x:c>
    </x:row>
    <x:row r="152" ht="23" customHeight="1">
      <x:c r="B152" s="17" t="str">
        <x:v>All rounds</x:v>
      </x:c>
      <x:c r="C152" s="17" t="str">
        <x:v>line</x:v>
      </x:c>
      <x:c r="D152" s="17" t="str">
        <x:v>JacksonDatabind_94</x:v>
      </x:c>
      <x:c r="E152" s="32" t="n">
        <x:v>0.7714</x:v>
      </x:c>
      <x:c r="F152" s="32" t="n">
        <x:v>0.6286</x:v>
      </x:c>
      <x:c r="G152" s="32" t="n">
        <x:v>0.8571</x:v>
      </x:c>
      <x:c r="H152" s="32" t="n">
        <x:v>1</x:v>
      </x:c>
      <x:c r="I152" s="39" t="n">
        <x:v>2</x:v>
      </x:c>
      <x:c r="J152" s="39" t="n">
        <x:v>2</x:v>
      </x:c>
      <x:c r="K152" s="39" t="n">
        <x:v>2</x:v>
      </x:c>
      <x:c r="L152" s="39" t="n">
        <x:v>1</x:v>
      </x:c>
    </x:row>
    <x:row r="153" ht="23" customHeight="1">
      <x:c r="B153" s="17" t="str">
        <x:v>All rounds</x:v>
      </x:c>
      <x:c r="C153" s="17" t="str">
        <x:v>line</x:v>
      </x:c>
      <x:c r="D153" s="17" t="str">
        <x:v>JacksonDatabind_98</x:v>
      </x:c>
      <x:c r="E153" s="32" t="n">
        <x:v>0.39130000000000004</x:v>
      </x:c>
      <x:c r="F153" s="32" t="n">
        <x:v>0.22219999999999998</x:v>
      </x:c>
      <x:c r="G153" s="32" t="n">
        <x:v>0.5121</x:v>
      </x:c>
      <x:c r="H153" s="32" t="n">
        <x:v>0</x:v>
      </x:c>
      <x:c r="I153" s="39" t="n">
        <x:v>2</x:v>
      </x:c>
      <x:c r="J153" s="39" t="n">
        <x:v>2</x:v>
      </x:c>
      <x:c r="K153" s="39" t="n">
        <x:v>1</x:v>
      </x:c>
      <x:c r="L153" s="39" t="n">
        <x:v>1</x:v>
      </x:c>
    </x:row>
    <x:row r="154" ht="23" customHeight="1">
      <x:c r="B154" s="17" t="str">
        <x:v>All rounds</x:v>
      </x:c>
      <x:c r="C154" s="17" t="str">
        <x:v>line</x:v>
      </x:c>
      <x:c r="D154" s="17" t="str">
        <x:v>Jsoup_1</x:v>
      </x:c>
      <x:c r="E154" s="32" t="n">
        <x:v>1</x:v>
      </x:c>
      <x:c r="F154" s="32" t="n">
        <x:v>1</x:v>
      </x:c>
      <x:c r="G154" s="32" t="n">
        <x:v>0.9783</x:v>
      </x:c>
      <x:c r="H154" s="32" t="n">
        <x:v>1</x:v>
      </x:c>
      <x:c r="I154" s="39" t="n">
        <x:v>2</x:v>
      </x:c>
      <x:c r="J154" s="39" t="n">
        <x:v>2</x:v>
      </x:c>
      <x:c r="K154" s="39" t="n">
        <x:v>2</x:v>
      </x:c>
      <x:c r="L154" s="39" t="n">
        <x:v>1</x:v>
      </x:c>
    </x:row>
    <x:row r="155" ht="23" customHeight="1">
      <x:c r="B155" s="17" t="str">
        <x:v>All rounds</x:v>
      </x:c>
      <x:c r="C155" s="17" t="str">
        <x:v>line</x:v>
      </x:c>
      <x:c r="D155" s="17" t="str">
        <x:v>Jsoup_11</x:v>
      </x:c>
      <x:c r="E155" s="32" t="n">
        <x:v>0.6667000000000001</x:v>
      </x:c>
      <x:c r="F155" s="32" t="n">
        <x:v>0.0556</x:v>
      </x:c>
      <x:c r="G155" s="32" t="n">
        <x:v>0.8131</x:v>
      </x:c>
      <x:c r="H155" s="32" t="n">
        <x:v>0.9747</x:v>
      </x:c>
      <x:c r="I155" s="39" t="n">
        <x:v>2</x:v>
      </x:c>
      <x:c r="J155" s="39" t="n">
        <x:v>2</x:v>
      </x:c>
      <x:c r="K155" s="39" t="n">
        <x:v>2</x:v>
      </x:c>
      <x:c r="L155" s="39" t="n">
        <x:v>1</x:v>
      </x:c>
    </x:row>
    <x:row r="156" ht="23" customHeight="1">
      <x:c r="B156" s="17" t="str">
        <x:v>All rounds</x:v>
      </x:c>
      <x:c r="C156" s="17" t="str">
        <x:v>line</x:v>
      </x:c>
      <x:c r="D156" s="17" t="str">
        <x:v>Jsoup_12</x:v>
      </x:c>
      <x:c r="E156" s="32" t="n">
        <x:v>0.7064</x:v>
      </x:c>
      <x:c r="F156" s="32" t="n">
        <x:v>0.078</x:v>
      </x:c>
      <x:c r="G156" s="32" t="n">
        <x:v>0.9495</x:v>
      </x:c>
      <x:c r="H156" s="32" t="n">
        <x:v>0.9771</x:v>
      </x:c>
      <x:c r="I156" s="39" t="n">
        <x:v>2</x:v>
      </x:c>
      <x:c r="J156" s="39" t="n">
        <x:v>2</x:v>
      </x:c>
      <x:c r="K156" s="39" t="n">
        <x:v>2</x:v>
      </x:c>
      <x:c r="L156" s="39" t="n">
        <x:v>1</x:v>
      </x:c>
    </x:row>
    <x:row r="157" ht="23" customHeight="1">
      <x:c r="B157" s="17" t="str">
        <x:v>All rounds</x:v>
      </x:c>
      <x:c r="C157" s="17" t="str">
        <x:v>line</x:v>
      </x:c>
      <x:c r="D157" s="17" t="str">
        <x:v>Jsoup_16</x:v>
      </x:c>
      <x:c r="E157" s="32" t="n">
        <x:v>1</x:v>
      </x:c>
      <x:c r="F157" s="32" t="n">
        <x:v>0.9643</x:v>
      </x:c>
      <x:c r="G157" s="32" t="n">
        <x:v>1</x:v>
      </x:c>
      <x:c r="H157" s="32" t="n">
        <x:v>1</x:v>
      </x:c>
      <x:c r="I157" s="39" t="n">
        <x:v>2</x:v>
      </x:c>
      <x:c r="J157" s="39" t="n">
        <x:v>2</x:v>
      </x:c>
      <x:c r="K157" s="39" t="n">
        <x:v>2</x:v>
      </x:c>
      <x:c r="L157" s="39" t="n">
        <x:v>1</x:v>
      </x:c>
    </x:row>
    <x:row r="158" ht="23" customHeight="1">
      <x:c r="B158" s="17" t="str">
        <x:v>All rounds</x:v>
      </x:c>
      <x:c r="C158" s="17" t="str">
        <x:v>line</x:v>
      </x:c>
      <x:c r="D158" s="17" t="str">
        <x:v>Jsoup_18</x:v>
      </x:c>
      <x:c r="E158" s="32" t="n">
        <x:v>1</x:v>
      </x:c>
      <x:c r="F158" s="32" t="n">
        <x:v>0.88145</x:v>
      </x:c>
      <x:c r="G158" s="32" t="n">
        <x:v>0.9897</x:v>
      </x:c>
      <x:c r="H158" s="32" t="n">
        <x:v>1</x:v>
      </x:c>
      <x:c r="I158" s="39" t="n">
        <x:v>2</x:v>
      </x:c>
      <x:c r="J158" s="39" t="n">
        <x:v>2</x:v>
      </x:c>
      <x:c r="K158" s="39" t="n">
        <x:v>2</x:v>
      </x:c>
      <x:c r="L158" s="39" t="n">
        <x:v>1</x:v>
      </x:c>
    </x:row>
    <x:row r="159" ht="23" customHeight="1">
      <x:c r="B159" s="17" t="str">
        <x:v>All rounds</x:v>
      </x:c>
      <x:c r="C159" s="17" t="str">
        <x:v>line</x:v>
      </x:c>
      <x:c r="D159" s="17" t="str">
        <x:v>Jsoup_20</x:v>
      </x:c>
      <x:c r="E159" s="32" t="n">
        <x:v>0.7955</x:v>
      </x:c>
      <x:c r="F159" s="32" t="n">
        <x:v>0.40909999999999996</x:v>
      </x:c>
      <x:c r="G159" s="32" t="n">
        <x:v>0.9773000000000001</x:v>
      </x:c>
      <x:c r="H159" s="32" t="n">
        <x:v>1</x:v>
      </x:c>
      <x:c r="I159" s="39" t="n">
        <x:v>2</x:v>
      </x:c>
      <x:c r="J159" s="39" t="n">
        <x:v>2</x:v>
      </x:c>
      <x:c r="K159" s="39" t="n">
        <x:v>2</x:v>
      </x:c>
      <x:c r="L159" s="39" t="n">
        <x:v>1</x:v>
      </x:c>
    </x:row>
    <x:row r="160" ht="23" customHeight="1">
      <x:c r="B160" s="17" t="str">
        <x:v>All rounds</x:v>
      </x:c>
      <x:c r="C160" s="17" t="str">
        <x:v>line</x:v>
      </x:c>
      <x:c r="D160" s="17" t="str">
        <x:v>Jsoup_21</x:v>
      </x:c>
      <x:c r="E160" s="32" t="n">
        <x:v>0.9577</x:v>
      </x:c>
      <x:c r="F160" s="32" t="n">
        <x:v>0.35185</x:v>
      </x:c>
      <x:c r="G160" s="32" t="n">
        <x:v>0.9947</x:v>
      </x:c>
      <x:c r="H160" s="32" t="n">
        <x:v>0.9734999999999999</x:v>
      </x:c>
      <x:c r="I160" s="39" t="n">
        <x:v>2</x:v>
      </x:c>
      <x:c r="J160" s="39" t="n">
        <x:v>2</x:v>
      </x:c>
      <x:c r="K160" s="39" t="n">
        <x:v>1</x:v>
      </x:c>
      <x:c r="L160" s="39" t="n">
        <x:v>1</x:v>
      </x:c>
    </x:row>
    <x:row r="161" ht="23" customHeight="1">
      <x:c r="B161" s="17" t="str">
        <x:v>All rounds</x:v>
      </x:c>
      <x:c r="C161" s="17" t="str">
        <x:v>line</x:v>
      </x:c>
      <x:c r="D161" s="17" t="str">
        <x:v>Jsoup_30</x:v>
      </x:c>
      <x:c r="E161" s="32" t="n">
        <x:v>0.44</x:v>
      </x:c>
      <x:c r="F161" s="32" t="n">
        <x:v>0.04</x:v>
      </x:c>
      <x:c r="G161" s="32" t="n">
        <x:v>1</x:v>
      </x:c>
      <x:c r="H161" s="32" t="n">
        <x:v>1</x:v>
      </x:c>
      <x:c r="I161" s="39" t="n">
        <x:v>2</x:v>
      </x:c>
      <x:c r="J161" s="39" t="n">
        <x:v>2</x:v>
      </x:c>
      <x:c r="K161" s="39" t="n">
        <x:v>1</x:v>
      </x:c>
      <x:c r="L161" s="39" t="n">
        <x:v>1</x:v>
      </x:c>
    </x:row>
    <x:row r="162" ht="23" customHeight="1">
      <x:c r="B162" s="17" t="str">
        <x:v>All rounds</x:v>
      </x:c>
      <x:c r="C162" s="17" t="str">
        <x:v>line</x:v>
      </x:c>
      <x:c r="D162" s="17" t="str">
        <x:v>Jsoup_32</x:v>
      </x:c>
      <x:c r="E162" s="32" t="n">
        <x:v>0.5644</x:v>
      </x:c>
      <x:c r="F162" s="32" t="n">
        <x:v>0.009899999999999999</x:v>
      </x:c>
      <x:c r="G162" s="32" t="n">
        <x:v>0.7558</x:v>
      </x:c>
      <x:c r="H162" s="32" t="n">
        <x:v>0.9637</x:v>
      </x:c>
      <x:c r="I162" s="39" t="n">
        <x:v>2</x:v>
      </x:c>
      <x:c r="J162" s="39" t="n">
        <x:v>2</x:v>
      </x:c>
      <x:c r="K162" s="39" t="n">
        <x:v>1</x:v>
      </x:c>
      <x:c r="L162" s="39" t="n">
        <x:v>1</x:v>
      </x:c>
    </x:row>
    <x:row r="163" ht="23" customHeight="1">
      <x:c r="B163" s="17" t="str">
        <x:v>All rounds</x:v>
      </x:c>
      <x:c r="C163" s="17" t="str">
        <x:v>line</x:v>
      </x:c>
      <x:c r="D163" s="17" t="str">
        <x:v>Jsoup_37</x:v>
      </x:c>
      <x:c r="E163" s="32" t="n">
        <x:v>0.5472</x:v>
      </x:c>
      <x:c r="F163" s="32" t="n">
        <x:v>0.0163</x:v>
      </x:c>
      <x:c r="G163" s="32" t="n">
        <x:v>0.7883</x:v>
      </x:c>
      <x:c r="H163" s="32" t="n">
        <x:v>0.9609000000000001</x:v>
      </x:c>
      <x:c r="I163" s="39" t="n">
        <x:v>2</x:v>
      </x:c>
      <x:c r="J163" s="39" t="n">
        <x:v>2</x:v>
      </x:c>
      <x:c r="K163" s="39" t="n">
        <x:v>1</x:v>
      </x:c>
      <x:c r="L163" s="39" t="n">
        <x:v>1</x:v>
      </x:c>
    </x:row>
    <x:row r="164" ht="23" customHeight="1">
      <x:c r="B164" s="17" t="str">
        <x:v>All rounds</x:v>
      </x:c>
      <x:c r="C164" s="17" t="str">
        <x:v>line</x:v>
      </x:c>
      <x:c r="D164" s="17" t="str">
        <x:v>Jsoup_39</x:v>
      </x:c>
      <x:c r="E164" s="32" t="n">
        <x:v>0.6533</x:v>
      </x:c>
      <x:c r="F164" s="32" t="n">
        <x:v>0.2933</x:v>
      </x:c>
      <x:c r="G164" s="32" t="n">
        <x:v>0.88</x:v>
      </x:c>
      <x:c r="H164" s="32" t="n">
        <x:v>0.9732999999999999</x:v>
      </x:c>
      <x:c r="I164" s="39" t="n">
        <x:v>2</x:v>
      </x:c>
      <x:c r="J164" s="39" t="n">
        <x:v>2</x:v>
      </x:c>
      <x:c r="K164" s="39" t="n">
        <x:v>2</x:v>
      </x:c>
      <x:c r="L164" s="39" t="n">
        <x:v>1</x:v>
      </x:c>
    </x:row>
    <x:row r="165" ht="23" customHeight="1">
      <x:c r="B165" s="17" t="str">
        <x:v>All rounds</x:v>
      </x:c>
      <x:c r="C165" s="17" t="str">
        <x:v>line</x:v>
      </x:c>
      <x:c r="D165" s="17" t="str">
        <x:v>Jsoup_40</x:v>
      </x:c>
      <x:c r="E165" s="32" t="n">
        <x:v>1</x:v>
      </x:c>
      <x:c r="F165" s="32" t="n">
        <x:v>0.9706</x:v>
      </x:c>
      <x:c r="G165" s="32" t="n">
        <x:v>1</x:v>
      </x:c>
      <x:c r="H165" s="32" t="n">
        <x:v>1</x:v>
      </x:c>
      <x:c r="I165" s="39" t="n">
        <x:v>2</x:v>
      </x:c>
      <x:c r="J165" s="39" t="n">
        <x:v>2</x:v>
      </x:c>
      <x:c r="K165" s="39" t="n">
        <x:v>2</x:v>
      </x:c>
      <x:c r="L165" s="39" t="n">
        <x:v>1</x:v>
      </x:c>
    </x:row>
    <x:row r="166" ht="23" customHeight="1">
      <x:c r="B166" s="17" t="str">
        <x:v>All rounds</x:v>
      </x:c>
      <x:c r="C166" s="17" t="str">
        <x:v>line</x:v>
      </x:c>
      <x:c r="D166" s="17" t="str">
        <x:v>Jsoup_46</x:v>
      </x:c>
      <x:c r="E166" s="32" t="n">
        <x:v>0.9068</x:v>
      </x:c>
      <x:c r="F166" s="32" t="n">
        <x:v>0.48310000000000003</x:v>
      </x:c>
      <x:c r="G166" s="32" t="n">
        <x:v>0.7966</x:v>
      </x:c>
      <x:c r="H166" s="32" t="n">
        <x:v>0.9831</x:v>
      </x:c>
      <x:c r="I166" s="39" t="n">
        <x:v>2</x:v>
      </x:c>
      <x:c r="J166" s="39" t="n">
        <x:v>2</x:v>
      </x:c>
      <x:c r="K166" s="39" t="n">
        <x:v>2</x:v>
      </x:c>
      <x:c r="L166" s="39" t="n">
        <x:v>1</x:v>
      </x:c>
    </x:row>
    <x:row r="167" ht="23" customHeight="1">
      <x:c r="B167" s="17" t="str">
        <x:v>All rounds</x:v>
      </x:c>
      <x:c r="C167" s="17" t="str">
        <x:v>line</x:v>
      </x:c>
      <x:c r="D167" s="17" t="str">
        <x:v>Jsoup_47</x:v>
      </x:c>
      <x:c r="E167" s="32" t="n">
        <x:v>0.8559</x:v>
      </x:c>
      <x:c r="F167" s="32" t="n">
        <x:v>0.48310000000000003</x:v>
      </x:c>
      <x:c r="G167" s="32" t="n">
        <x:v>0.9661</x:v>
      </x:c>
      <x:c r="H167" s="32" t="n">
        <x:v>0.9745999999999999</x:v>
      </x:c>
      <x:c r="I167" s="39" t="n">
        <x:v>2</x:v>
      </x:c>
      <x:c r="J167" s="39" t="n">
        <x:v>2</x:v>
      </x:c>
      <x:c r="K167" s="39" t="n">
        <x:v>1</x:v>
      </x:c>
      <x:c r="L167" s="39" t="n">
        <x:v>1</x:v>
      </x:c>
    </x:row>
    <x:row r="168" ht="23" customHeight="1">
      <x:c r="B168" s="17" t="str">
        <x:v>All rounds</x:v>
      </x:c>
      <x:c r="C168" s="17" t="str">
        <x:v>line</x:v>
      </x:c>
      <x:c r="D168" s="17" t="str">
        <x:v>Jsoup_5</x:v>
      </x:c>
      <x:c r="E168" s="32" t="n">
        <x:v>0.8371999999999999</x:v>
      </x:c>
      <x:c r="F168" s="32" t="n">
        <x:v>0.2267</x:v>
      </x:c>
      <x:c r="G168" s="32" t="n">
        <x:v>0.6453</x:v>
      </x:c>
      <x:c r="H168" s="32" t="n">
        <x:v>0.9884000000000001</x:v>
      </x:c>
      <x:c r="I168" s="39" t="n">
        <x:v>2</x:v>
      </x:c>
      <x:c r="J168" s="39" t="n">
        <x:v>2</x:v>
      </x:c>
      <x:c r="K168" s="39" t="n">
        <x:v>2</x:v>
      </x:c>
      <x:c r="L168" s="39" t="n">
        <x:v>1</x:v>
      </x:c>
    </x:row>
    <x:row r="169" ht="23" customHeight="1">
      <x:c r="B169" s="17" t="str">
        <x:v>All rounds</x:v>
      </x:c>
      <x:c r="C169" s="17" t="str">
        <x:v>line</x:v>
      </x:c>
      <x:c r="D169" s="17" t="str">
        <x:v>Jsoup_51</x:v>
      </x:c>
      <x:c r="E169" s="32" t="n">
        <x:v>0.9897</x:v>
      </x:c>
      <x:c r="F169" s="32" t="n">
        <x:v>0.9333</x:v>
      </x:c>
      <x:c r="G169" s="32" t="n">
        <x:v>0.9641</x:v>
      </x:c>
      <x:c r="H169" s="32" t="n">
        <x:v>1</x:v>
      </x:c>
      <x:c r="I169" s="39" t="n">
        <x:v>2</x:v>
      </x:c>
      <x:c r="J169" s="39" t="n">
        <x:v>2</x:v>
      </x:c>
      <x:c r="K169" s="39" t="n">
        <x:v>2</x:v>
      </x:c>
      <x:c r="L169" s="39" t="n">
        <x:v>1</x:v>
      </x:c>
    </x:row>
    <x:row r="170" ht="23" customHeight="1">
      <x:c r="B170" s="17" t="str">
        <x:v>All rounds</x:v>
      </x:c>
      <x:c r="C170" s="17" t="str">
        <x:v>line</x:v>
      </x:c>
      <x:c r="D170" s="17" t="str">
        <x:v>Jsoup_53</x:v>
      </x:c>
      <x:c r="E170" s="32" t="n">
        <x:v>0.9845999999999999</x:v>
      </x:c>
      <x:c r="F170" s="32" t="n">
        <x:v>0.9730500000000001</x:v>
      </x:c>
      <x:c r="G170" s="32" t="n">
        <x:v>0.9</x:v>
      </x:c>
      <x:c r="H170" s="32" t="n">
        <x:v>0.9923000000000001</x:v>
      </x:c>
      <x:c r="I170" s="39" t="n">
        <x:v>2</x:v>
      </x:c>
      <x:c r="J170" s="39" t="n">
        <x:v>2</x:v>
      </x:c>
      <x:c r="K170" s="39" t="n">
        <x:v>2</x:v>
      </x:c>
      <x:c r="L170" s="39" t="n">
        <x:v>1</x:v>
      </x:c>
    </x:row>
    <x:row r="171" ht="23" customHeight="1">
      <x:c r="B171" s="17" t="str">
        <x:v>All rounds</x:v>
      </x:c>
      <x:c r="C171" s="17" t="str">
        <x:v>line</x:v>
      </x:c>
      <x:c r="D171" s="17" t="str">
        <x:v>Jsoup_57</x:v>
      </x:c>
      <x:c r="E171" s="32" t="n">
        <x:v>0.8819</x:v>
      </x:c>
      <x:c r="F171" s="32" t="n">
        <x:v>0.7756000000000001</x:v>
      </x:c>
      <x:c r="G171" s="32" t="n">
        <x:v>0.9449</x:v>
      </x:c>
      <x:c r="H171" s="32" t="n">
        <x:v>0.9684999999999999</x:v>
      </x:c>
      <x:c r="I171" s="39" t="n">
        <x:v>2</x:v>
      </x:c>
      <x:c r="J171" s="39" t="n">
        <x:v>2</x:v>
      </x:c>
      <x:c r="K171" s="39" t="n">
        <x:v>2</x:v>
      </x:c>
      <x:c r="L171" s="39" t="n">
        <x:v>1</x:v>
      </x:c>
    </x:row>
    <x:row r="172" ht="23" customHeight="1">
      <x:c r="B172" s="17" t="str">
        <x:v>All rounds</x:v>
      </x:c>
      <x:c r="C172" s="17" t="str">
        <x:v>line</x:v>
      </x:c>
      <x:c r="D172" s="17" t="str">
        <x:v>Jsoup_58</x:v>
      </x:c>
      <x:c r="E172" s="32" t="n">
        <x:v>0.7559</x:v>
      </x:c>
      <x:c r="F172" s="32" t="n">
        <x:v>0.4094</x:v>
      </x:c>
      <x:c r="G172" s="32" t="n">
        <x:v>0.9684999999999999</x:v>
      </x:c>
      <x:c r="H172" s="32" t="n">
        <x:v>1</x:v>
      </x:c>
      <x:c r="I172" s="39" t="n">
        <x:v>2</x:v>
      </x:c>
      <x:c r="J172" s="39" t="n">
        <x:v>2</x:v>
      </x:c>
      <x:c r="K172" s="39" t="n">
        <x:v>2</x:v>
      </x:c>
      <x:c r="L172" s="39" t="n">
        <x:v>1</x:v>
      </x:c>
    </x:row>
    <x:row r="173" ht="23" customHeight="1">
      <x:c r="B173" s="17" t="str">
        <x:v>All rounds</x:v>
      </x:c>
      <x:c r="C173" s="17" t="str">
        <x:v>line</x:v>
      </x:c>
      <x:c r="D173" s="17" t="str">
        <x:v>Jsoup_59</x:v>
      </x:c>
      <x:c r="E173" s="32" t="n">
        <x:v>0.9937999999999999</x:v>
      </x:c>
      <x:c r="F173" s="32" t="n">
        <x:v>0.9906</x:v>
      </x:c>
      <x:c r="G173" s="32" t="n">
        <x:v>0.9875</x:v>
      </x:c>
      <x:c r="H173" s="32" t="n">
        <x:v>0.9125</x:v>
      </x:c>
      <x:c r="I173" s="39" t="n">
        <x:v>2</x:v>
      </x:c>
      <x:c r="J173" s="39" t="n">
        <x:v>2</x:v>
      </x:c>
      <x:c r="K173" s="39" t="n">
        <x:v>1</x:v>
      </x:c>
      <x:c r="L173" s="39" t="n">
        <x:v>1</x:v>
      </x:c>
    </x:row>
    <x:row r="174" ht="23" customHeight="1">
      <x:c r="B174" s="17" t="str">
        <x:v>All rounds</x:v>
      </x:c>
      <x:c r="C174" s="17" t="str">
        <x:v>line</x:v>
      </x:c>
      <x:c r="D174" s="17" t="str">
        <x:v>Jsoup_60</x:v>
      </x:c>
      <x:c r="E174" s="32" t="n">
        <x:v>0.8959</x:v>
      </x:c>
      <x:c r="F174" s="32" t="n">
        <x:v>0.54245</x:v>
      </x:c>
      <x:c r="G174" s="32" t="n">
        <x:v>0.7615999999999999</x:v>
      </x:c>
      <x:c r="H174" s="32" t="n">
        <x:v>0.9890000000000001</x:v>
      </x:c>
      <x:c r="I174" s="39" t="n">
        <x:v>2</x:v>
      </x:c>
      <x:c r="J174" s="39" t="n">
        <x:v>2</x:v>
      </x:c>
      <x:c r="K174" s="39" t="n">
        <x:v>1</x:v>
      </x:c>
      <x:c r="L174" s="39" t="n">
        <x:v>1</x:v>
      </x:c>
    </x:row>
    <x:row r="175" ht="23" customHeight="1">
      <x:c r="B175" s="17" t="str">
        <x:v>All rounds</x:v>
      </x:c>
      <x:c r="C175" s="17" t="str">
        <x:v>line</x:v>
      </x:c>
      <x:c r="D175" s="17" t="str">
        <x:v>Jsoup_69</x:v>
      </x:c>
      <x:c r="E175" s="32" t="n">
        <x:v>0.4359</x:v>
      </x:c>
      <x:c r="F175" s="32" t="n">
        <x:v>0.0256</x:v>
      </x:c>
      <x:c r="G175" s="32" t="n">
        <x:v>0.9211</x:v>
      </x:c>
      <x:c r="H175" s="32" t="n">
        <x:v>1</x:v>
      </x:c>
      <x:c r="I175" s="39" t="n">
        <x:v>2</x:v>
      </x:c>
      <x:c r="J175" s="39" t="n">
        <x:v>2</x:v>
      </x:c>
      <x:c r="K175" s="39" t="n">
        <x:v>2</x:v>
      </x:c>
      <x:c r="L175" s="39" t="n">
        <x:v>1</x:v>
      </x:c>
    </x:row>
    <x:row r="176" ht="23" customHeight="1">
      <x:c r="B176" s="17" t="str">
        <x:v>All rounds</x:v>
      </x:c>
      <x:c r="C176" s="17" t="str">
        <x:v>line</x:v>
      </x:c>
      <x:c r="D176" s="17" t="str">
        <x:v>Jsoup_72</x:v>
      </x:c>
      <x:c r="E176" s="32" t="n">
        <x:v>0.9912000000000001</x:v>
      </x:c>
      <x:c r="F176" s="32" t="n">
        <x:v>0.9364</x:v>
      </x:c>
      <x:c r="G176" s="32" t="n">
        <x:v>0.9473999999999999</x:v>
      </x:c>
      <x:c r="H176" s="32" t="n">
        <x:v>0.9868000000000001</x:v>
      </x:c>
      <x:c r="I176" s="39" t="n">
        <x:v>2</x:v>
      </x:c>
      <x:c r="J176" s="39" t="n">
        <x:v>2</x:v>
      </x:c>
      <x:c r="K176" s="39" t="n">
        <x:v>2</x:v>
      </x:c>
      <x:c r="L176" s="39" t="n">
        <x:v>1</x:v>
      </x:c>
    </x:row>
    <x:row r="177" ht="23" customHeight="1">
      <x:c r="B177" s="17" t="str">
        <x:v>All rounds</x:v>
      </x:c>
      <x:c r="C177" s="17" t="str">
        <x:v>line</x:v>
      </x:c>
      <x:c r="D177" s="17" t="str">
        <x:v>Jsoup_74</x:v>
      </x:c>
      <x:c r="E177" s="32" t="n">
        <x:v>0.9398000000000001</x:v>
      </x:c>
      <x:c r="F177" s="32" t="n">
        <x:v>0.8916</x:v>
      </x:c>
      <x:c r="G177" s="32" t="n">
        <x:v>0.9157</x:v>
      </x:c>
      <x:c r="H177" s="32" t="n">
        <x:v>1</x:v>
      </x:c>
      <x:c r="I177" s="39" t="n">
        <x:v>2</x:v>
      </x:c>
      <x:c r="J177" s="39" t="n">
        <x:v>2</x:v>
      </x:c>
      <x:c r="K177" s="39" t="n">
        <x:v>2</x:v>
      </x:c>
      <x:c r="L177" s="39" t="n">
        <x:v>1</x:v>
      </x:c>
    </x:row>
    <x:row r="178" ht="23" customHeight="1">
      <x:c r="B178" s="17" t="str">
        <x:v>All rounds</x:v>
      </x:c>
      <x:c r="C178" s="17" t="str">
        <x:v>line</x:v>
      </x:c>
      <x:c r="D178" s="17" t="str">
        <x:v>Jsoup_75</x:v>
      </x:c>
      <x:c r="E178" s="32" t="n">
        <x:v>0.8332999999999999</x:v>
      </x:c>
      <x:c r="F178" s="32" t="n">
        <x:v>0.8036</x:v>
      </x:c>
      <x:c r="G178" s="32" t="n">
        <x:v>0.9699</x:v>
      </x:c>
      <x:c r="H178" s="32" t="n">
        <x:v>0.9702</x:v>
      </x:c>
      <x:c r="I178" s="39" t="n">
        <x:v>2</x:v>
      </x:c>
      <x:c r="J178" s="39" t="n">
        <x:v>2</x:v>
      </x:c>
      <x:c r="K178" s="39" t="n">
        <x:v>2</x:v>
      </x:c>
      <x:c r="L178" s="39" t="n">
        <x:v>1</x:v>
      </x:c>
    </x:row>
    <x:row r="179" ht="23" customHeight="1">
      <x:c r="B179" s="17" t="str">
        <x:v>All rounds</x:v>
      </x:c>
      <x:c r="C179" s="17" t="str">
        <x:v>line</x:v>
      </x:c>
      <x:c r="D179" s="17" t="str">
        <x:v>Jsoup_78</x:v>
      </x:c>
      <x:c r="E179" s="32" t="n">
        <x:v>0.6697</x:v>
      </x:c>
      <x:c r="F179" s="32" t="n">
        <x:v>0.2569</x:v>
      </x:c>
      <x:c r="G179" s="32" t="n">
        <x:v>0.7523000000000001</x:v>
      </x:c>
      <x:c r="H179" s="32" t="n">
        <x:v>0.9725</x:v>
      </x:c>
      <x:c r="I179" s="39" t="n">
        <x:v>2</x:v>
      </x:c>
      <x:c r="J179" s="39" t="n">
        <x:v>2</x:v>
      </x:c>
      <x:c r="K179" s="39" t="n">
        <x:v>2</x:v>
      </x:c>
      <x:c r="L179" s="39" t="n">
        <x:v>1</x:v>
      </x:c>
    </x:row>
    <x:row r="180" ht="23" customHeight="1">
      <x:c r="B180" s="17" t="str">
        <x:v>All rounds</x:v>
      </x:c>
      <x:c r="C180" s="17" t="str">
        <x:v>line</x:v>
      </x:c>
      <x:c r="D180" s="17" t="str">
        <x:v>Jsoup_81</x:v>
      </x:c>
      <x:c r="E180" s="32" t="n">
        <x:v>0.7009000000000001</x:v>
      </x:c>
      <x:c r="F180" s="32" t="n">
        <x:v>0.23929999999999998</x:v>
      </x:c>
      <x:c r="G180" s="32" t="n">
        <x:v>0.8889</x:v>
      </x:c>
      <x:c r="H180" s="32" t="n">
        <x:v>0.9573</x:v>
      </x:c>
      <x:c r="I180" s="39" t="n">
        <x:v>2</x:v>
      </x:c>
      <x:c r="J180" s="39" t="n">
        <x:v>2</x:v>
      </x:c>
      <x:c r="K180" s="39" t="n">
        <x:v>1</x:v>
      </x:c>
      <x:c r="L180" s="39" t="n">
        <x:v>1</x:v>
      </x:c>
    </x:row>
    <x:row r="181" ht="23" customHeight="1">
      <x:c r="B181" s="17" t="str">
        <x:v>All rounds</x:v>
      </x:c>
      <x:c r="C181" s="17" t="str">
        <x:v>line</x:v>
      </x:c>
      <x:c r="D181" s="17" t="str">
        <x:v>Jsoup_82</x:v>
      </x:c>
      <x:c r="E181" s="32" t="n">
        <x:v>0.4336</x:v>
      </x:c>
      <x:c r="F181" s="32" t="n">
        <x:v>0.20350000000000001</x:v>
      </x:c>
      <x:c r="G181" s="32" t="n">
        <x:v>0.7965000000000001</x:v>
      </x:c>
      <x:c r="H181" s="32" t="n">
        <x:v>0.9645999999999999</x:v>
      </x:c>
      <x:c r="I181" s="39" t="n">
        <x:v>2</x:v>
      </x:c>
      <x:c r="J181" s="39" t="n">
        <x:v>2</x:v>
      </x:c>
      <x:c r="K181" s="39" t="n">
        <x:v>2</x:v>
      </x:c>
      <x:c r="L181" s="39" t="n">
        <x:v>1</x:v>
      </x:c>
    </x:row>
    <x:row r="182" ht="23" customHeight="1">
      <x:c r="B182" s="17" t="str">
        <x:v>All rounds</x:v>
      </x:c>
      <x:c r="C182" s="17" t="str">
        <x:v>line</x:v>
      </x:c>
      <x:c r="D182" s="17" t="str">
        <x:v>Jsoup_84</x:v>
      </x:c>
      <x:c r="E182" s="32" t="n">
        <x:v>0.8946999999999999</x:v>
      </x:c>
      <x:c r="F182" s="32" t="n">
        <x:v>0.2895</x:v>
      </x:c>
      <x:c r="G182" s="32" t="n">
        <x:v>0.9342</x:v>
      </x:c>
      <x:c r="H182" s="32" t="n">
        <x:v>0.9737</x:v>
      </x:c>
      <x:c r="I182" s="39" t="n">
        <x:v>2</x:v>
      </x:c>
      <x:c r="J182" s="39" t="n">
        <x:v>2</x:v>
      </x:c>
      <x:c r="K182" s="39" t="n">
        <x:v>1</x:v>
      </x:c>
      <x:c r="L182" s="39" t="n">
        <x:v>1</x:v>
      </x:c>
    </x:row>
    <x:row r="183" ht="23" customHeight="1">
      <x:c r="B183" s="17" t="str">
        <x:v>All rounds</x:v>
      </x:c>
      <x:c r="C183" s="17" t="str">
        <x:v>line</x:v>
      </x:c>
      <x:c r="D183" s="17" t="str">
        <x:v>Jsoup_85</x:v>
      </x:c>
      <x:c r="E183" s="32" t="n">
        <x:v>0.9231</x:v>
      </x:c>
      <x:c r="F183" s="32" t="n">
        <x:v>0.7384999999999999</x:v>
      </x:c>
      <x:c r="G183" s="32" t="n">
        <x:v>0.9077</x:v>
      </x:c>
      <x:c r="H183" s="32" t="n">
        <x:v>0.8923000000000001</x:v>
      </x:c>
      <x:c r="I183" s="39" t="n">
        <x:v>2</x:v>
      </x:c>
      <x:c r="J183" s="39" t="n">
        <x:v>2</x:v>
      </x:c>
      <x:c r="K183" s="39" t="n">
        <x:v>2</x:v>
      </x:c>
      <x:c r="L183" s="39" t="n">
        <x:v>1</x:v>
      </x:c>
    </x:row>
    <x:row r="184" ht="23" customHeight="1">
      <x:c r="B184" s="17" t="str">
        <x:v>All rounds</x:v>
      </x:c>
      <x:c r="C184" s="17" t="str">
        <x:v>line</x:v>
      </x:c>
      <x:c r="D184" s="17" t="str">
        <x:v>Jsoup_88</x:v>
      </x:c>
      <x:c r="E184" s="32" t="n">
        <x:v>0.9242</x:v>
      </x:c>
      <x:c r="F184" s="32" t="n">
        <x:v>0.7424</x:v>
      </x:c>
      <x:c r="G184" s="32" t="n">
        <x:v>0.8787999999999999</x:v>
      </x:c>
      <x:c r="H184" s="32" t="n">
        <x:v>0.8939</x:v>
      </x:c>
      <x:c r="I184" s="39" t="n">
        <x:v>2</x:v>
      </x:c>
      <x:c r="J184" s="39" t="n">
        <x:v>2</x:v>
      </x:c>
      <x:c r="K184" s="39" t="n">
        <x:v>2</x:v>
      </x:c>
      <x:c r="L184" s="39" t="n">
        <x:v>1</x:v>
      </x:c>
    </x:row>
    <x:row r="185" ht="23" customHeight="1">
      <x:c r="B185" s="17" t="str">
        <x:v>All rounds</x:v>
      </x:c>
      <x:c r="C185" s="17" t="str">
        <x:v>line</x:v>
      </x:c>
      <x:c r="D185" s="17" t="str">
        <x:v>Jsoup_89</x:v>
      </x:c>
      <x:c r="E185" s="32" t="n">
        <x:v>0.9242</x:v>
      </x:c>
      <x:c r="F185" s="32" t="n">
        <x:v>0.7424</x:v>
      </x:c>
      <x:c r="G185" s="32" t="n">
        <x:v>0.8939</x:v>
      </x:c>
      <x:c r="H185" s="32" t="n">
        <x:v>0.8939</x:v>
      </x:c>
      <x:c r="I185" s="39" t="n">
        <x:v>2</x:v>
      </x:c>
      <x:c r="J185" s="39" t="n">
        <x:v>2</x:v>
      </x:c>
      <x:c r="K185" s="39" t="n">
        <x:v>2</x:v>
      </x:c>
      <x:c r="L185" s="39" t="n">
        <x:v>1</x:v>
      </x:c>
    </x:row>
    <x:row r="186" ht="23" customHeight="1">
      <x:c r="B186" s="17" t="str">
        <x:v>All rounds</x:v>
      </x:c>
      <x:c r="C186" s="17" t="str">
        <x:v>line</x:v>
      </x:c>
      <x:c r="D186" s="17" t="str">
        <x:v>Jsoup_91</x:v>
      </x:c>
      <x:c r="E186" s="32" t="n">
        <x:v>0.992</x:v>
      </x:c>
      <x:c r="F186" s="32" t="n">
        <x:v>0.3233</x:v>
      </x:c>
      <x:c r="G186" s="32" t="n">
        <x:v>0.9478</x:v>
      </x:c>
      <x:c r="H186" s="32" t="n">
        <x:v>0.992</x:v>
      </x:c>
      <x:c r="I186" s="39" t="n">
        <x:v>2</x:v>
      </x:c>
      <x:c r="J186" s="39" t="n">
        <x:v>2</x:v>
      </x:c>
      <x:c r="K186" s="39" t="n">
        <x:v>1</x:v>
      </x:c>
      <x:c r="L186" s="39" t="n">
        <x:v>1</x:v>
      </x:c>
    </x:row>
    <x:row r="187" ht="23" customHeight="1">
      <x:c r="B187" s="17" t="str">
        <x:v>All rounds</x:v>
      </x:c>
      <x:c r="C187" s="17" t="str">
        <x:v>line</x:v>
      </x:c>
      <x:c r="D187" s="17" t="str">
        <x:v>Jsoup_93</x:v>
      </x:c>
      <x:c r="E187" s="32" t="n">
        <x:v>0.5</x:v>
      </x:c>
      <x:c r="F187" s="32" t="n">
        <x:v>0.023799999999999998</x:v>
      </x:c>
      <x:c r="G187" s="32" t="n">
        <x:v>0.9268000000000001</x:v>
      </x:c>
      <x:c r="H187" s="32" t="n">
        <x:v>1</x:v>
      </x:c>
      <x:c r="I187" s="39" t="n">
        <x:v>2</x:v>
      </x:c>
      <x:c r="J187" s="39" t="n">
        <x:v>2</x:v>
      </x:c>
      <x:c r="K187" s="39" t="n">
        <x:v>1</x:v>
      </x:c>
      <x:c r="L187" s="39" t="n">
        <x:v>1</x:v>
      </x:c>
    </x:row>
    <x:row r="188" ht="23" customHeight="1">
      <x:c r="B188" s="17" t="str">
        <x:v>All rounds</x:v>
      </x:c>
      <x:c r="C188" s="17" t="str">
        <x:v>line</x:v>
      </x:c>
      <x:c r="D188" s="17" t="str">
        <x:v>Lang_1</x:v>
      </x:c>
      <x:c r="E188" s="32" t="n">
        <x:v>0.9467</x:v>
      </x:c>
      <x:c r="F188" s="32" t="n">
        <x:v>0.65735</x:v>
      </x:c>
      <x:c r="G188" s="32" t="n">
        <x:v>0.8027</x:v>
      </x:c>
      <x:c r="H188" s="32" t="n">
        <x:v>0.9732999999999999</x:v>
      </x:c>
      <x:c r="I188" s="39" t="n">
        <x:v>2</x:v>
      </x:c>
      <x:c r="J188" s="39" t="n">
        <x:v>2</x:v>
      </x:c>
      <x:c r="K188" s="39" t="n">
        <x:v>1</x:v>
      </x:c>
      <x:c r="L188" s="39" t="n">
        <x:v>1</x:v>
      </x:c>
    </x:row>
    <x:row r="189" ht="23" customHeight="1">
      <x:c r="B189" s="17" t="str">
        <x:v>All rounds</x:v>
      </x:c>
      <x:c r="C189" s="17" t="str">
        <x:v>line</x:v>
      </x:c>
      <x:c r="D189" s="17" t="str">
        <x:v>Lang_13</x:v>
      </x:c>
      <x:c r="E189" s="32" t="n">
        <x:v>0.7812</x:v>
      </x:c>
      <x:c r="F189" s="32" t="n">
        <x:v>0.7343999999999999</x:v>
      </x:c>
      <x:c r="G189" s="32" t="n">
        <x:v>0.6875</x:v>
      </x:c>
      <x:c r="H189" s="32" t="n">
        <x:v>0.9688</x:v>
      </x:c>
      <x:c r="I189" s="39" t="n">
        <x:v>2</x:v>
      </x:c>
      <x:c r="J189" s="39" t="n">
        <x:v>2</x:v>
      </x:c>
      <x:c r="K189" s="39" t="n">
        <x:v>2</x:v>
      </x:c>
      <x:c r="L189" s="39" t="n">
        <x:v>1</x:v>
      </x:c>
    </x:row>
    <x:row r="190" ht="23" customHeight="1">
      <x:c r="B190" s="17" t="str">
        <x:v>All rounds</x:v>
      </x:c>
      <x:c r="C190" s="17" t="str">
        <x:v>line</x:v>
      </x:c>
      <x:c r="D190" s="17" t="str">
        <x:v>Lang_14</x:v>
      </x:c>
      <x:c r="E190" s="32" t="n">
        <x:v>0.9296</x:v>
      </x:c>
      <x:c r="F190" s="32" t="n">
        <x:v>0.8723000000000001</x:v>
      </x:c>
      <x:c r="G190" s="32" t="n">
        <x:v>0.7624</x:v>
      </x:c>
      <x:c r="H190" s="32" t="n">
        <x:v>0.8429000000000001</x:v>
      </x:c>
      <x:c r="I190" s="39" t="n">
        <x:v>2</x:v>
      </x:c>
      <x:c r="J190" s="39" t="n">
        <x:v>2</x:v>
      </x:c>
      <x:c r="K190" s="39" t="n">
        <x:v>1</x:v>
      </x:c>
      <x:c r="L190" s="39" t="n">
        <x:v>1</x:v>
      </x:c>
    </x:row>
    <x:row r="191" ht="23" customHeight="1">
      <x:c r="B191" s="17" t="str">
        <x:v>All rounds</x:v>
      </x:c>
      <x:c r="C191" s="17" t="str">
        <x:v>line</x:v>
      </x:c>
      <x:c r="D191" s="17" t="str">
        <x:v>Lang_15</x:v>
      </x:c>
      <x:c r="E191" s="32" t="n">
        <x:v>0.3746</x:v>
      </x:c>
      <x:c r="F191" s="32" t="n">
        <x:v>0.13215</x:v>
      </x:c>
      <x:c r="G191" s="32" t="n">
        <x:v>0.5892000000000001</x:v>
      </x:c>
      <x:c r="H191" s="32" t="n">
        <x:v>0.8863</x:v>
      </x:c>
      <x:c r="I191" s="39" t="n">
        <x:v>2</x:v>
      </x:c>
      <x:c r="J191" s="39" t="n">
        <x:v>2</x:v>
      </x:c>
      <x:c r="K191" s="39" t="n">
        <x:v>1</x:v>
      </x:c>
      <x:c r="L191" s="39" t="n">
        <x:v>1</x:v>
      </x:c>
    </x:row>
    <x:row r="192" ht="23" customHeight="1">
      <x:c r="B192" s="17" t="str">
        <x:v>All rounds</x:v>
      </x:c>
      <x:c r="C192" s="17" t="str">
        <x:v>line</x:v>
      </x:c>
      <x:c r="D192" s="17" t="str">
        <x:v>Lang_19</x:v>
      </x:c>
      <x:c r="E192" s="32" t="n">
        <x:v>0.7037</x:v>
      </x:c>
      <x:c r="F192" s="32" t="n">
        <x:v>0.1481</x:v>
      </x:c>
      <x:c r="G192" s="32" t="n">
        <x:v>1</x:v>
      </x:c>
      <x:c r="H192" s="32" t="n">
        <x:v>1</x:v>
      </x:c>
      <x:c r="I192" s="39" t="n">
        <x:v>2</x:v>
      </x:c>
      <x:c r="J192" s="39" t="n">
        <x:v>2</x:v>
      </x:c>
      <x:c r="K192" s="39" t="n">
        <x:v>2</x:v>
      </x:c>
      <x:c r="L192" s="39" t="n">
        <x:v>1</x:v>
      </x:c>
    </x:row>
    <x:row r="193" ht="23" customHeight="1">
      <x:c r="B193" s="17" t="str">
        <x:v>All rounds</x:v>
      </x:c>
      <x:c r="C193" s="17" t="str">
        <x:v>line</x:v>
      </x:c>
      <x:c r="D193" s="17" t="str">
        <x:v>Lang_20</x:v>
      </x:c>
      <x:c r="E193" s="32" t="n">
        <x:v>0.9329999999999999</x:v>
      </x:c>
      <x:c r="F193" s="32" t="n">
        <x:v>0.8752000000000001</x:v>
      </x:c>
      <x:c r="G193" s="32" t="n">
        <x:v>0.4384</x:v>
      </x:c>
      <x:c r="H193" s="32" t="n">
        <x:v>0.9145</x:v>
      </x:c>
      <x:c r="I193" s="39" t="n">
        <x:v>2</x:v>
      </x:c>
      <x:c r="J193" s="39" t="n">
        <x:v>2</x:v>
      </x:c>
      <x:c r="K193" s="39" t="n">
        <x:v>1</x:v>
      </x:c>
      <x:c r="L193" s="39" t="n">
        <x:v>1</x:v>
      </x:c>
    </x:row>
    <x:row r="194" ht="23" customHeight="1">
      <x:c r="B194" s="17" t="str">
        <x:v>All rounds</x:v>
      </x:c>
      <x:c r="C194" s="17" t="str">
        <x:v>line</x:v>
      </x:c>
      <x:c r="D194" s="17" t="str">
        <x:v>Lang_23</x:v>
      </x:c>
      <x:c r="E194" s="32" t="n">
        <x:v>0.4251</x:v>
      </x:c>
      <x:c r="F194" s="32" t="n">
        <x:v>0.10779999999999999</x:v>
      </x:c>
      <x:c r="G194" s="32" t="n">
        <x:v>0.521</x:v>
      </x:c>
      <x:c r="H194" s="32" t="n">
        <x:v>0.9340999999999999</x:v>
      </x:c>
      <x:c r="I194" s="39" t="n">
        <x:v>2</x:v>
      </x:c>
      <x:c r="J194" s="39" t="n">
        <x:v>2</x:v>
      </x:c>
      <x:c r="K194" s="39" t="n">
        <x:v>2</x:v>
      </x:c>
      <x:c r="L194" s="39" t="n">
        <x:v>1</x:v>
      </x:c>
    </x:row>
    <x:row r="195" ht="23" customHeight="1">
      <x:c r="B195" s="17" t="str">
        <x:v>All rounds</x:v>
      </x:c>
      <x:c r="C195" s="17" t="str">
        <x:v>line</x:v>
      </x:c>
      <x:c r="D195" s="17" t="str">
        <x:v>Lang_24</x:v>
      </x:c>
      <x:c r="E195" s="32" t="n">
        <x:v>0.9388</x:v>
      </x:c>
      <x:c r="F195" s="32" t="n">
        <x:v>0.6941499999999999</x:v>
      </x:c>
      <x:c r="G195" s="32" t="n">
        <x:v>0.6489</x:v>
      </x:c>
      <x:c r="H195" s="32" t="n">
        <x:v>0.9814</x:v>
      </x:c>
      <x:c r="I195" s="39" t="n">
        <x:v>2</x:v>
      </x:c>
      <x:c r="J195" s="39" t="n">
        <x:v>2</x:v>
      </x:c>
      <x:c r="K195" s="39" t="n">
        <x:v>2</x:v>
      </x:c>
      <x:c r="L195" s="39" t="n">
        <x:v>1</x:v>
      </x:c>
    </x:row>
    <x:row r="196" ht="23" customHeight="1">
      <x:c r="B196" s="17" t="str">
        <x:v>All rounds</x:v>
      </x:c>
      <x:c r="C196" s="17" t="str">
        <x:v>line</x:v>
      </x:c>
      <x:c r="D196" s="17" t="str">
        <x:v>Lang_27</x:v>
      </x:c>
      <x:c r="E196" s="32" t="n">
        <x:v>0.9358</x:v>
      </x:c>
      <x:c r="F196" s="32" t="n">
        <x:v>0.69785</x:v>
      </x:c>
      <x:c r="G196" s="32" t="n">
        <x:v>0.7086</x:v>
      </x:c>
      <x:c r="H196" s="32" t="n">
        <x:v>0.9599</x:v>
      </x:c>
      <x:c r="I196" s="39" t="n">
        <x:v>2</x:v>
      </x:c>
      <x:c r="J196" s="39" t="n">
        <x:v>2</x:v>
      </x:c>
      <x:c r="K196" s="39" t="n">
        <x:v>2</x:v>
      </x:c>
      <x:c r="L196" s="39" t="n">
        <x:v>1</x:v>
      </x:c>
    </x:row>
    <x:row r="197" ht="23" customHeight="1">
      <x:c r="B197" s="17" t="str">
        <x:v>All rounds</x:v>
      </x:c>
      <x:c r="C197" s="17" t="str">
        <x:v>line</x:v>
      </x:c>
      <x:c r="D197" s="17" t="str">
        <x:v>Lang_28</x:v>
      </x:c>
      <x:c r="E197" s="32" t="n">
        <x:v>0.15</x:v>
      </x:c>
      <x:c r="F197" s="32" t="n">
        <x:v>0.15</x:v>
      </x:c>
      <x:c r="G197" s="32" t="n">
        <x:v>0.95</x:v>
      </x:c>
      <x:c r="H197" s="32" t="n">
        <x:v>1</x:v>
      </x:c>
      <x:c r="I197" s="39" t="n">
        <x:v>2</x:v>
      </x:c>
      <x:c r="J197" s="39" t="n">
        <x:v>2</x:v>
      </x:c>
      <x:c r="K197" s="39" t="n">
        <x:v>2</x:v>
      </x:c>
      <x:c r="L197" s="39" t="n">
        <x:v>1</x:v>
      </x:c>
    </x:row>
    <x:row r="198" ht="23" customHeight="1">
      <x:c r="B198" s="17" t="str">
        <x:v>All rounds</x:v>
      </x:c>
      <x:c r="C198" s="17" t="str">
        <x:v>line</x:v>
      </x:c>
      <x:c r="D198" s="17" t="str">
        <x:v>Lang_3</x:v>
      </x:c>
      <x:c r="E198" s="32" t="n">
        <x:v>0.9437000000000001</x:v>
      </x:c>
      <x:c r="F198" s="32" t="n">
        <x:v>0.66085</x:v>
      </x:c>
      <x:c r="G198" s="32" t="n">
        <x:v>0.6568</x:v>
      </x:c>
      <x:c r="H198" s="32" t="n">
        <x:v>0.9490999999999999</x:v>
      </x:c>
      <x:c r="I198" s="39" t="n">
        <x:v>2</x:v>
      </x:c>
      <x:c r="J198" s="39" t="n">
        <x:v>2</x:v>
      </x:c>
      <x:c r="K198" s="39" t="n">
        <x:v>1</x:v>
      </x:c>
      <x:c r="L198" s="39" t="n">
        <x:v>1</x:v>
      </x:c>
    </x:row>
    <x:row r="199" ht="23" customHeight="1">
      <x:c r="B199" s="17" t="str">
        <x:v>All rounds</x:v>
      </x:c>
      <x:c r="C199" s="17" t="str">
        <x:v>line</x:v>
      </x:c>
      <x:c r="D199" s="17" t="str">
        <x:v>Lang_32</x:v>
      </x:c>
      <x:c r="E199" s="32" t="n">
        <x:v>0.8973</x:v>
      </x:c>
      <x:c r="F199" s="32" t="n">
        <x:v>0.9486500000000001</x:v>
      </x:c>
      <x:c r="G199" s="32" t="n">
        <x:v>0.8219</x:v>
      </x:c>
      <x:c r="H199" s="32" t="n">
        <x:v>0.4384</x:v>
      </x:c>
      <x:c r="I199" s="39" t="n">
        <x:v>2</x:v>
      </x:c>
      <x:c r="J199" s="39" t="n">
        <x:v>2</x:v>
      </x:c>
      <x:c r="K199" s="39" t="n">
        <x:v>1</x:v>
      </x:c>
      <x:c r="L199" s="39" t="n">
        <x:v>1</x:v>
      </x:c>
    </x:row>
    <x:row r="200" ht="23" customHeight="1">
      <x:c r="B200" s="17" t="str">
        <x:v>All rounds</x:v>
      </x:c>
      <x:c r="C200" s="17" t="str">
        <x:v>line</x:v>
      </x:c>
      <x:c r="D200" s="17" t="str">
        <x:v>Lang_34</x:v>
      </x:c>
      <x:c r="E200" s="32" t="n">
        <x:v>0</x:v>
      </x:c>
      <x:c r="F200" s="32" t="n">
        <x:v>0.59515</x:v>
      </x:c>
      <x:c r="G200" s="32" t="n">
        <x:v>0.8776999999999999</x:v>
      </x:c>
      <x:c r="H200" s="32" t="n">
        <x:v>0.3262</x:v>
      </x:c>
      <x:c r="I200" s="39" t="n">
        <x:v>2</x:v>
      </x:c>
      <x:c r="J200" s="39" t="n">
        <x:v>2</x:v>
      </x:c>
      <x:c r="K200" s="39" t="n">
        <x:v>1</x:v>
      </x:c>
      <x:c r="L200" s="39" t="n">
        <x:v>1</x:v>
      </x:c>
    </x:row>
    <x:row r="201" ht="23" customHeight="1">
      <x:c r="B201" s="17" t="str">
        <x:v>All rounds</x:v>
      </x:c>
      <x:c r="C201" s="17" t="str">
        <x:v>line</x:v>
      </x:c>
      <x:c r="D201" s="17" t="str">
        <x:v>Lang_35</x:v>
      </x:c>
      <x:c r="E201" s="32" t="n">
        <x:v>0.9834</x:v>
      </x:c>
      <x:c r="F201" s="32" t="n">
        <x:v>0.98705</x:v>
      </x:c>
      <x:c r="G201" s="32" t="n">
        <x:v>0.166</x:v>
      </x:c>
      <x:c r="H201" s="32" t="n">
        <x:v>0.0757</x:v>
      </x:c>
      <x:c r="I201" s="39" t="n">
        <x:v>2</x:v>
      </x:c>
      <x:c r="J201" s="39" t="n">
        <x:v>2</x:v>
      </x:c>
      <x:c r="K201" s="39" t="n">
        <x:v>1</x:v>
      </x:c>
      <x:c r="L201" s="39" t="n">
        <x:v>1</x:v>
      </x:c>
    </x:row>
    <x:row r="202" ht="23" customHeight="1">
      <x:c r="B202" s="17" t="str">
        <x:v>All rounds</x:v>
      </x:c>
      <x:c r="C202" s="17" t="str">
        <x:v>line</x:v>
      </x:c>
      <x:c r="D202" s="17" t="str">
        <x:v>Lang_37</x:v>
      </x:c>
      <x:c r="E202" s="32" t="n">
        <x:v>0.9895</x:v>
      </x:c>
      <x:c r="F202" s="32" t="n">
        <x:v>0.9847499999999999</x:v>
      </x:c>
      <x:c r="G202" s="32" t="n">
        <x:v>0.225</x:v>
      </x:c>
      <x:c r="H202" s="32" t="n">
        <x:v>0.0747</x:v>
      </x:c>
      <x:c r="I202" s="39" t="n">
        <x:v>2</x:v>
      </x:c>
      <x:c r="J202" s="39" t="n">
        <x:v>2</x:v>
      </x:c>
      <x:c r="K202" s="39" t="n">
        <x:v>1</x:v>
      </x:c>
      <x:c r="L202" s="39" t="n">
        <x:v>1</x:v>
      </x:c>
    </x:row>
    <x:row r="203" ht="23" customHeight="1">
      <x:c r="B203" s="17" t="str">
        <x:v>All rounds</x:v>
      </x:c>
      <x:c r="C203" s="17" t="str">
        <x:v>line</x:v>
      </x:c>
      <x:c r="D203" s="17" t="str">
        <x:v>Lang_4</x:v>
      </x:c>
      <x:c r="E203" s="32" t="n">
        <x:v>1</x:v>
      </x:c>
      <x:c r="F203" s="32" t="n">
        <x:v>1</x:v>
      </x:c>
      <x:c r="G203" s="32" t="n">
        <x:v>1</x:v>
      </x:c>
      <x:c r="H203" s="32" t="n">
        <x:v>1</x:v>
      </x:c>
      <x:c r="I203" s="39" t="n">
        <x:v>2</x:v>
      </x:c>
      <x:c r="J203" s="39" t="n">
        <x:v>2</x:v>
      </x:c>
      <x:c r="K203" s="39" t="n">
        <x:v>2</x:v>
      </x:c>
      <x:c r="L203" s="39" t="n">
        <x:v>1</x:v>
      </x:c>
    </x:row>
    <x:row r="204" ht="23" customHeight="1">
      <x:c r="B204" s="17" t="str">
        <x:v>All rounds</x:v>
      </x:c>
      <x:c r="C204" s="17" t="str">
        <x:v>line</x:v>
      </x:c>
      <x:c r="D204" s="17" t="str">
        <x:v>Lang_40</x:v>
      </x:c>
      <x:c r="E204" s="32" t="n">
        <x:v>0.9544</x:v>
      </x:c>
      <x:c r="F204" s="32" t="n">
        <x:v>0.8754500000000001</x:v>
      </x:c>
      <x:c r="G204" s="32" t="n">
        <x:v>0.25</x:v>
      </x:c>
      <x:c r="H204" s="32" t="n">
        <x:v>0.0602</x:v>
      </x:c>
      <x:c r="I204" s="39" t="n">
        <x:v>2</x:v>
      </x:c>
      <x:c r="J204" s="39" t="n">
        <x:v>2</x:v>
      </x:c>
      <x:c r="K204" s="39" t="n">
        <x:v>1</x:v>
      </x:c>
      <x:c r="L204" s="39" t="n">
        <x:v>1</x:v>
      </x:c>
    </x:row>
    <x:row r="205" ht="23" customHeight="1">
      <x:c r="B205" s="17" t="str">
        <x:v>All rounds</x:v>
      </x:c>
      <x:c r="C205" s="17" t="str">
        <x:v>line</x:v>
      </x:c>
      <x:c r="D205" s="17" t="str">
        <x:v>Lang_42</x:v>
      </x:c>
      <x:c r="E205" s="32" t="n">
        <x:v>0.8986</x:v>
      </x:c>
      <x:c r="F205" s="32" t="n">
        <x:v>0.715</x:v>
      </x:c>
      <x:c r="G205" s="32" t="n">
        <x:v>0.5652</x:v>
      </x:c>
      <x:c r="H205" s="32" t="n">
        <x:v>0.4396</x:v>
      </x:c>
      <x:c r="I205" s="39" t="n">
        <x:v>2</x:v>
      </x:c>
      <x:c r="J205" s="39" t="n">
        <x:v>2</x:v>
      </x:c>
      <x:c r="K205" s="39" t="n">
        <x:v>1</x:v>
      </x:c>
      <x:c r="L205" s="39" t="n">
        <x:v>1</x:v>
      </x:c>
    </x:row>
    <x:row r="206" ht="23" customHeight="1">
      <x:c r="B206" s="17" t="str">
        <x:v>All rounds</x:v>
      </x:c>
      <x:c r="C206" s="17" t="str">
        <x:v>line</x:v>
      </x:c>
      <x:c r="D206" s="17" t="str">
        <x:v>Lang_44</x:v>
      </x:c>
      <x:c r="E206" s="32" t="n">
        <x:v>0.8684000000000001</x:v>
      </x:c>
      <x:c r="F206" s="32" t="n">
        <x:v>0.5</x:v>
      </x:c>
      <x:c r="G206" s="32" t="n">
        <x:v>0.6526000000000001</x:v>
      </x:c>
      <x:c r="H206" s="32" t="n">
        <x:v>0.4</x:v>
      </x:c>
      <x:c r="I206" s="39" t="n">
        <x:v>2</x:v>
      </x:c>
      <x:c r="J206" s="39" t="n">
        <x:v>2</x:v>
      </x:c>
      <x:c r="K206" s="39" t="n">
        <x:v>2</x:v>
      </x:c>
      <x:c r="L206" s="39" t="n">
        <x:v>1</x:v>
      </x:c>
    </x:row>
    <x:row r="207" ht="23" customHeight="1">
      <x:c r="B207" s="17" t="str">
        <x:v>All rounds</x:v>
      </x:c>
      <x:c r="C207" s="17" t="str">
        <x:v>line</x:v>
      </x:c>
      <x:c r="D207" s="17" t="str">
        <x:v>Lang_49</x:v>
      </x:c>
      <x:c r="E207" s="32" t="n">
        <x:v>0.9783</x:v>
      </x:c>
      <x:c r="F207" s="32" t="n">
        <x:v>0.92755</x:v>
      </x:c>
      <x:c r="G207" s="32" t="n">
        <x:v>0.9348000000000001</x:v>
      </x:c>
      <x:c r="H207" s="32" t="n">
        <x:v>0.3442</x:v>
      </x:c>
      <x:c r="I207" s="39" t="n">
        <x:v>2</x:v>
      </x:c>
      <x:c r="J207" s="39" t="n">
        <x:v>2</x:v>
      </x:c>
      <x:c r="K207" s="39" t="n">
        <x:v>2</x:v>
      </x:c>
      <x:c r="L207" s="39" t="n">
        <x:v>1</x:v>
      </x:c>
    </x:row>
    <x:row r="208" ht="23" customHeight="1">
      <x:c r="B208" s="17" t="str">
        <x:v>All rounds</x:v>
      </x:c>
      <x:c r="C208" s="17" t="str">
        <x:v>line</x:v>
      </x:c>
      <x:c r="D208" s="17" t="str">
        <x:v>Lang_5</x:v>
      </x:c>
      <x:c r="E208" s="32" t="n">
        <x:v>0.8170999999999999</x:v>
      </x:c>
      <x:c r="F208" s="32" t="n">
        <x:v>0.6463</x:v>
      </x:c>
      <x:c r="G208" s="32" t="n">
        <x:v>0.9390000000000001</x:v>
      </x:c>
      <x:c r="H208" s="32" t="n">
        <x:v>1</x:v>
      </x:c>
      <x:c r="I208" s="39" t="n">
        <x:v>2</x:v>
      </x:c>
      <x:c r="J208" s="39" t="n">
        <x:v>2</x:v>
      </x:c>
      <x:c r="K208" s="39" t="n">
        <x:v>2</x:v>
      </x:c>
      <x:c r="L208" s="39" t="n">
        <x:v>1</x:v>
      </x:c>
    </x:row>
    <x:row r="209" ht="23" customHeight="1">
      <x:c r="B209" s="17" t="str">
        <x:v>All rounds</x:v>
      </x:c>
      <x:c r="C209" s="17" t="str">
        <x:v>line</x:v>
      </x:c>
      <x:c r="D209" s="17" t="str">
        <x:v>Lang_51</x:v>
      </x:c>
      <x:c r="E209" s="32" t="n">
        <x:v>0.9708</x:v>
      </x:c>
      <x:c r="F209" s="32" t="n">
        <x:v>0.7426999999999999</x:v>
      </x:c>
      <x:c r="G209" s="32" t="n">
        <x:v>0.9064</x:v>
      </x:c>
      <x:c r="H209" s="32" t="n">
        <x:v>0.152</x:v>
      </x:c>
      <x:c r="I209" s="39" t="n">
        <x:v>2</x:v>
      </x:c>
      <x:c r="J209" s="39" t="n">
        <x:v>2</x:v>
      </x:c>
      <x:c r="K209" s="39" t="n">
        <x:v>2</x:v>
      </x:c>
      <x:c r="L209" s="39" t="n">
        <x:v>1</x:v>
      </x:c>
    </x:row>
    <x:row r="210" ht="23" customHeight="1">
      <x:c r="B210" s="17" t="str">
        <x:v>All rounds</x:v>
      </x:c>
      <x:c r="C210" s="17" t="str">
        <x:v>line</x:v>
      </x:c>
      <x:c r="D210" s="17" t="str">
        <x:v>Lang_54</x:v>
      </x:c>
      <x:c r="E210" s="32" t="n">
        <x:v>0.8861</x:v>
      </x:c>
      <x:c r="F210" s="32" t="n">
        <x:v>0.6329</x:v>
      </x:c>
      <x:c r="G210" s="32" t="n">
        <x:v>0.9494</x:v>
      </x:c>
      <x:c r="H210" s="32" t="n">
        <x:v>0.4304</x:v>
      </x:c>
      <x:c r="I210" s="39" t="n">
        <x:v>2</x:v>
      </x:c>
      <x:c r="J210" s="39" t="n">
        <x:v>2</x:v>
      </x:c>
      <x:c r="K210" s="39" t="n">
        <x:v>2</x:v>
      </x:c>
      <x:c r="L210" s="39" t="n">
        <x:v>1</x:v>
      </x:c>
    </x:row>
    <x:row r="211" ht="23" customHeight="1">
      <x:c r="B211" s="17" t="str">
        <x:v>All rounds</x:v>
      </x:c>
      <x:c r="C211" s="17" t="str">
        <x:v>line</x:v>
      </x:c>
      <x:c r="D211" s="17" t="str">
        <x:v>Lang_55</x:v>
      </x:c>
      <x:c r="E211" s="32" t="n">
        <x:v>0.9825</x:v>
      </x:c>
      <x:c r="F211" s="32" t="n">
        <x:v>0.9825</x:v>
      </x:c>
      <x:c r="G211" s="32" t="n">
        <x:v>0.9298000000000001</x:v>
      </x:c>
      <x:c r="H211" s="32" t="n">
        <x:v>0.7719</x:v>
      </x:c>
      <x:c r="I211" s="39" t="n">
        <x:v>2</x:v>
      </x:c>
      <x:c r="J211" s="39" t="n">
        <x:v>2</x:v>
      </x:c>
      <x:c r="K211" s="39" t="n">
        <x:v>2</x:v>
      </x:c>
      <x:c r="L211" s="39" t="n">
        <x:v>1</x:v>
      </x:c>
    </x:row>
    <x:row r="212" ht="23" customHeight="1">
      <x:c r="B212" s="17" t="str">
        <x:v>All rounds</x:v>
      </x:c>
      <x:c r="C212" s="17" t="str">
        <x:v>line</x:v>
      </x:c>
      <x:c r="D212" s="17" t="str">
        <x:v>Lang_57</x:v>
      </x:c>
      <x:c r="E212" s="32" t="n">
        <x:v>0.8861</x:v>
      </x:c>
      <x:c r="F212" s="32" t="n">
        <x:v>0.6265999999999999</x:v>
      </x:c>
      <x:c r="G212" s="32" t="n">
        <x:v>0.9747</x:v>
      </x:c>
      <x:c r="H212" s="32" t="n">
        <x:v>0.4177</x:v>
      </x:c>
      <x:c r="I212" s="39" t="n">
        <x:v>2</x:v>
      </x:c>
      <x:c r="J212" s="39" t="n">
        <x:v>2</x:v>
      </x:c>
      <x:c r="K212" s="39" t="n">
        <x:v>2</x:v>
      </x:c>
      <x:c r="L212" s="39" t="n">
        <x:v>1</x:v>
      </x:c>
    </x:row>
    <x:row r="213" ht="23" customHeight="1">
      <x:c r="B213" s="17" t="str">
        <x:v>All rounds</x:v>
      </x:c>
      <x:c r="C213" s="17" t="str">
        <x:v>line</x:v>
      </x:c>
      <x:c r="D213" s="17" t="str">
        <x:v>Lang_58</x:v>
      </x:c>
      <x:c r="E213" s="32" t="n">
        <x:v>0.9287000000000001</x:v>
      </x:c>
      <x:c r="F213" s="32" t="n">
        <x:v>0.7344499999999999</x:v>
      </x:c>
      <x:c r="G213" s="32" t="n">
        <x:v>0.8069</x:v>
      </x:c>
      <x:c r="H213" s="32" t="n">
        <x:v>0.2345</x:v>
      </x:c>
      <x:c r="I213" s="39" t="n">
        <x:v>2</x:v>
      </x:c>
      <x:c r="J213" s="39" t="n">
        <x:v>2</x:v>
      </x:c>
      <x:c r="K213" s="39" t="n">
        <x:v>2</x:v>
      </x:c>
      <x:c r="L213" s="39" t="n">
        <x:v>1</x:v>
      </x:c>
    </x:row>
    <x:row r="214" ht="23" customHeight="1">
      <x:c r="B214" s="17" t="str">
        <x:v>All rounds</x:v>
      </x:c>
      <x:c r="C214" s="17" t="str">
        <x:v>line</x:v>
      </x:c>
      <x:c r="D214" s="17" t="str">
        <x:v>Lang_6</x:v>
      </x:c>
      <x:c r="E214" s="32" t="n">
        <x:v>0.9333</x:v>
      </x:c>
      <x:c r="F214" s="32" t="n">
        <x:v>0.0333</x:v>
      </x:c>
      <x:c r="G214" s="32" t="n">
        <x:v>1</x:v>
      </x:c>
      <x:c r="H214" s="32" t="n">
        <x:v>1</x:v>
      </x:c>
      <x:c r="I214" s="39" t="n">
        <x:v>2</x:v>
      </x:c>
      <x:c r="J214" s="39" t="n">
        <x:v>2</x:v>
      </x:c>
      <x:c r="K214" s="39" t="n">
        <x:v>2</x:v>
      </x:c>
      <x:c r="L214" s="39" t="n">
        <x:v>1</x:v>
      </x:c>
    </x:row>
    <x:row r="215" ht="23" customHeight="1">
      <x:c r="B215" s="17" t="str">
        <x:v>All rounds</x:v>
      </x:c>
      <x:c r="C215" s="17" t="str">
        <x:v>line</x:v>
      </x:c>
      <x:c r="D215" s="17" t="str">
        <x:v>Lang_62</x:v>
      </x:c>
      <x:c r="E215" s="32" t="n">
        <x:v>0.8548</x:v>
      </x:c>
      <x:c r="F215" s="32" t="n">
        <x:v>0.6265999999999999</x:v>
      </x:c>
      <x:c r="G215" s="32" t="n">
        <x:v>0.6017</x:v>
      </x:c>
      <x:c r="H215" s="32" t="n">
        <x:v>0.32780000000000004</x:v>
      </x:c>
      <x:c r="I215" s="39" t="n">
        <x:v>2</x:v>
      </x:c>
      <x:c r="J215" s="39" t="n">
        <x:v>2</x:v>
      </x:c>
      <x:c r="K215" s="39" t="n">
        <x:v>1</x:v>
      </x:c>
      <x:c r="L215" s="39" t="n">
        <x:v>1</x:v>
      </x:c>
    </x:row>
    <x:row r="216" ht="23" customHeight="1">
      <x:c r="B216" s="17" t="str">
        <x:v>All rounds</x:v>
      </x:c>
      <x:c r="C216" s="17" t="str">
        <x:v>line</x:v>
      </x:c>
      <x:c r="D216" s="17" t="str">
        <x:v>Lang_63</x:v>
      </x:c>
      <x:c r="E216" s="32" t="n">
        <x:v>0.9286</x:v>
      </x:c>
      <x:c r="F216" s="32" t="n">
        <x:v>0.7242000000000001</x:v>
      </x:c>
      <x:c r="G216" s="32" t="n">
        <x:v>0.6349</x:v>
      </x:c>
      <x:c r="H216" s="32" t="n">
        <x:v>0.5317000000000001</x:v>
      </x:c>
      <x:c r="I216" s="39" t="n">
        <x:v>2</x:v>
      </x:c>
      <x:c r="J216" s="39" t="n">
        <x:v>2</x:v>
      </x:c>
      <x:c r="K216" s="39" t="n">
        <x:v>2</x:v>
      </x:c>
      <x:c r="L216" s="39" t="n">
        <x:v>1</x:v>
      </x:c>
    </x:row>
    <x:row r="217" ht="23" customHeight="1">
      <x:c r="B217" s="17" t="str">
        <x:v>All rounds</x:v>
      </x:c>
      <x:c r="C217" s="17" t="str">
        <x:v>line</x:v>
      </x:c>
      <x:c r="D217" s="17" t="str">
        <x:v>Lang_64</x:v>
      </x:c>
      <x:c r="E217" s="32" t="n">
        <x:v>0.16670000000000001</x:v>
      </x:c>
      <x:c r="F217" s="32" t="n">
        <x:v>0.16670000000000001</x:v>
      </x:c>
      <x:c r="G217" s="32" t="n">
        <x:v>0.22219999999999998</x:v>
      </x:c>
      <x:c r="H217" s="32" t="n">
        <x:v>0.6667000000000001</x:v>
      </x:c>
      <x:c r="I217" s="39" t="n">
        <x:v>2</x:v>
      </x:c>
      <x:c r="J217" s="39" t="n">
        <x:v>2</x:v>
      </x:c>
      <x:c r="K217" s="39" t="n">
        <x:v>2</x:v>
      </x:c>
      <x:c r="L217" s="39" t="n">
        <x:v>1</x:v>
      </x:c>
    </x:row>
    <x:row r="218" ht="23" customHeight="1">
      <x:c r="B218" s="17" t="str">
        <x:v>All rounds</x:v>
      </x:c>
      <x:c r="C218" s="17" t="str">
        <x:v>line</x:v>
      </x:c>
      <x:c r="D218" s="17" t="str">
        <x:v>Lang_7</x:v>
      </x:c>
      <x:c r="E218" s="32" t="n">
        <x:v>0.9526</x:v>
      </x:c>
      <x:c r="F218" s="32" t="n">
        <x:v>0.6842</x:v>
      </x:c>
      <x:c r="G218" s="32" t="n">
        <x:v>0.7237</x:v>
      </x:c>
      <x:c r="H218" s="32" t="n">
        <x:v>0.9553</x:v>
      </x:c>
      <x:c r="I218" s="39" t="n">
        <x:v>2</x:v>
      </x:c>
      <x:c r="J218" s="39" t="n">
        <x:v>2</x:v>
      </x:c>
      <x:c r="K218" s="39" t="n">
        <x:v>2</x:v>
      </x:c>
      <x:c r="L218" s="39" t="n">
        <x:v>1</x:v>
      </x:c>
    </x:row>
    <x:row r="219" ht="23" customHeight="1">
      <x:c r="B219" s="17" t="str">
        <x:v>All rounds</x:v>
      </x:c>
      <x:c r="C219" s="17" t="str">
        <x:v>line</x:v>
      </x:c>
      <x:c r="D219" s="17" t="str">
        <x:v>Lang_8</x:v>
      </x:c>
      <x:c r="E219" s="32" t="n">
        <x:v>0.8665</x:v>
      </x:c>
      <x:c r="F219" s="32" t="n">
        <x:v>0.053399999999999996</x:v>
      </x:c>
      <x:c r="G219" s="32" t="n">
        <x:v>0.6291</x:v>
      </x:c>
      <x:c r="H219" s="32" t="n">
        <x:v>0.9732999999999999</x:v>
      </x:c>
      <x:c r="I219" s="39" t="n">
        <x:v>2</x:v>
      </x:c>
      <x:c r="J219" s="39" t="n">
        <x:v>2</x:v>
      </x:c>
      <x:c r="K219" s="39" t="n">
        <x:v>2</x:v>
      </x:c>
      <x:c r="L219" s="39" t="n">
        <x:v>1</x:v>
      </x:c>
    </x:row>
    <x:row r="220" ht="23" customHeight="1">
      <x:c r="B220" s="17" t="str">
        <x:v>All rounds</x:v>
      </x:c>
      <x:c r="C220" s="17" t="str">
        <x:v>line</x:v>
      </x:c>
      <x:c r="D220" s="17" t="str">
        <x:v>Math_1</x:v>
      </x:c>
      <x:c r="E220" s="32" t="n">
        <x:v>0.9718000000000001</x:v>
      </x:c>
      <x:c r="F220" s="32" t="n">
        <x:v>0.91645</x:v>
      </x:c>
      <x:c r="G220" s="32" t="n">
        <x:v>0.8493999999999999</x:v>
      </x:c>
      <x:c r="H220" s="32" t="n">
        <x:v>0.3718</x:v>
      </x:c>
      <x:c r="I220" s="39" t="n">
        <x:v>2</x:v>
      </x:c>
      <x:c r="J220" s="39" t="n">
        <x:v>2</x:v>
      </x:c>
      <x:c r="K220" s="39" t="n">
        <x:v>2</x:v>
      </x:c>
      <x:c r="L220" s="39" t="n">
        <x:v>1</x:v>
      </x:c>
    </x:row>
    <x:row r="221" ht="23" customHeight="1">
      <x:c r="B221" s="17" t="str">
        <x:v>All rounds</x:v>
      </x:c>
      <x:c r="C221" s="17" t="str">
        <x:v>line</x:v>
      </x:c>
      <x:c r="D221" s="17" t="str">
        <x:v>Math_10</x:v>
      </x:c>
      <x:c r="E221" s="32" t="n">
        <x:v>0.8065000000000001</x:v>
      </x:c>
      <x:c r="F221" s="32" t="n">
        <x:v>0.45844999999999997</x:v>
      </x:c>
      <x:c r="G221" s="32" t="n">
        <x:v>0.8170000000000001</x:v>
      </x:c>
      <x:c r="H221" s="32" t="n">
        <x:v>0.0018</x:v>
      </x:c>
      <x:c r="I221" s="39" t="n">
        <x:v>2</x:v>
      </x:c>
      <x:c r="J221" s="39" t="n">
        <x:v>2</x:v>
      </x:c>
      <x:c r="K221" s="39" t="n">
        <x:v>2</x:v>
      </x:c>
      <x:c r="L221" s="39" t="n">
        <x:v>1</x:v>
      </x:c>
    </x:row>
    <x:row r="222" ht="23" customHeight="1">
      <x:c r="B222" s="17" t="str">
        <x:v>All rounds</x:v>
      </x:c>
      <x:c r="C222" s="17" t="str">
        <x:v>line</x:v>
      </x:c>
      <x:c r="D222" s="17" t="str">
        <x:v>Math_101</x:v>
      </x:c>
      <x:c r="E222" s="32" t="n">
        <x:v>0.993</x:v>
      </x:c>
      <x:c r="F222" s="32" t="n">
        <x:v>0.7413</x:v>
      </x:c>
      <x:c r="G222" s="32" t="n">
        <x:v>0.951</x:v>
      </x:c>
      <x:c r="H222" s="32" t="n">
        <x:v>0</x:v>
      </x:c>
      <x:c r="I222" s="39" t="n">
        <x:v>2</x:v>
      </x:c>
      <x:c r="J222" s="39" t="n">
        <x:v>2</x:v>
      </x:c>
      <x:c r="K222" s="39" t="n">
        <x:v>2</x:v>
      </x:c>
      <x:c r="L222" s="39" t="n">
        <x:v>1</x:v>
      </x:c>
    </x:row>
    <x:row r="223" ht="23" customHeight="1">
      <x:c r="B223" s="17" t="str">
        <x:v>All rounds</x:v>
      </x:c>
      <x:c r="C223" s="17" t="str">
        <x:v>line</x:v>
      </x:c>
      <x:c r="D223" s="17" t="str">
        <x:v>Math_102</x:v>
      </x:c>
      <x:c r="E223" s="32" t="n">
        <x:v>1</x:v>
      </x:c>
      <x:c r="F223" s="32" t="n">
        <x:v>0.9594499999999999</x:v>
      </x:c>
      <x:c r="G223" s="32" t="n">
        <x:v>0.991</x:v>
      </x:c>
      <x:c r="H223" s="32" t="n">
        <x:v>0</x:v>
      </x:c>
      <x:c r="I223" s="39" t="n">
        <x:v>2</x:v>
      </x:c>
      <x:c r="J223" s="39" t="n">
        <x:v>2</x:v>
      </x:c>
      <x:c r="K223" s="39" t="n">
        <x:v>1</x:v>
      </x:c>
      <x:c r="L223" s="39" t="n">
        <x:v>1</x:v>
      </x:c>
    </x:row>
    <x:row r="224" ht="23" customHeight="1">
      <x:c r="B224" s="17" t="str">
        <x:v>All rounds</x:v>
      </x:c>
      <x:c r="C224" s="17" t="str">
        <x:v>line</x:v>
      </x:c>
      <x:c r="D224" s="17" t="str">
        <x:v>Math_104</x:v>
      </x:c>
      <x:c r="E224" s="32" t="n">
        <x:v>0.9573999999999999</x:v>
      </x:c>
      <x:c r="F224" s="32" t="n">
        <x:v>0.9573999999999999</x:v>
      </x:c>
      <x:c r="G224" s="32" t="n">
        <x:v>0.8936</x:v>
      </x:c>
      <x:c r="H224" s="32" t="n">
        <x:v>0.7659999999999999</x:v>
      </x:c>
      <x:c r="I224" s="39" t="n">
        <x:v>2</x:v>
      </x:c>
      <x:c r="J224" s="39" t="n">
        <x:v>2</x:v>
      </x:c>
      <x:c r="K224" s="39" t="n">
        <x:v>2</x:v>
      </x:c>
      <x:c r="L224" s="39" t="n">
        <x:v>1</x:v>
      </x:c>
    </x:row>
    <x:row r="225" ht="23" customHeight="1">
      <x:c r="B225" s="17" t="str">
        <x:v>All rounds</x:v>
      </x:c>
      <x:c r="C225" s="17" t="str">
        <x:v>line</x:v>
      </x:c>
      <x:c r="D225" s="17" t="str">
        <x:v>Math_105</x:v>
      </x:c>
      <x:c r="E225" s="32" t="n">
        <x:v>1</x:v>
      </x:c>
      <x:c r="F225" s="32" t="n">
        <x:v>0.9788499999999999</x:v>
      </x:c>
      <x:c r="G225" s="32" t="n">
        <x:v>1</x:v>
      </x:c>
      <x:c r="H225" s="32" t="n">
        <x:v>0.7323999999999999</x:v>
      </x:c>
      <x:c r="I225" s="39" t="n">
        <x:v>2</x:v>
      </x:c>
      <x:c r="J225" s="39" t="n">
        <x:v>2</x:v>
      </x:c>
      <x:c r="K225" s="39" t="n">
        <x:v>2</x:v>
      </x:c>
      <x:c r="L225" s="39" t="n">
        <x:v>1</x:v>
      </x:c>
    </x:row>
    <x:row r="226" ht="23" customHeight="1">
      <x:c r="B226" s="17" t="str">
        <x:v>All rounds</x:v>
      </x:c>
      <x:c r="C226" s="17" t="str">
        <x:v>line</x:v>
      </x:c>
      <x:c r="D226" s="17" t="str">
        <x:v>Math_106</x:v>
      </x:c>
      <x:c r="E226" s="32" t="n">
        <x:v>1</x:v>
      </x:c>
      <x:c r="F226" s="32" t="n">
        <x:v>0.8595999999999999</x:v>
      </x:c>
      <x:c r="G226" s="32" t="n">
        <x:v>0.8946999999999999</x:v>
      </x:c>
      <x:c r="H226" s="32" t="n">
        <x:v>0.807</x:v>
      </x:c>
      <x:c r="I226" s="39" t="n">
        <x:v>2</x:v>
      </x:c>
      <x:c r="J226" s="39" t="n">
        <x:v>2</x:v>
      </x:c>
      <x:c r="K226" s="39" t="n">
        <x:v>2</x:v>
      </x:c>
      <x:c r="L226" s="39" t="n">
        <x:v>1</x:v>
      </x:c>
    </x:row>
    <x:row r="227" ht="23" customHeight="1">
      <x:c r="B227" s="17" t="str">
        <x:v>All rounds</x:v>
      </x:c>
      <x:c r="C227" s="17" t="str">
        <x:v>line</x:v>
      </x:c>
      <x:c r="D227" s="17" t="str">
        <x:v>Math_11</x:v>
      </x:c>
      <x:c r="E227" s="32" t="n">
        <x:v>1</x:v>
      </x:c>
      <x:c r="F227" s="32" t="n">
        <x:v>1</x:v>
      </x:c>
      <x:c r="G227" s="32" t="n">
        <x:v>1</x:v>
      </x:c>
      <x:c r="H227" s="32" t="n">
        <x:v>0</x:v>
      </x:c>
      <x:c r="I227" s="39" t="n">
        <x:v>2</x:v>
      </x:c>
      <x:c r="J227" s="39" t="n">
        <x:v>2</x:v>
      </x:c>
      <x:c r="K227" s="39" t="n">
        <x:v>1</x:v>
      </x:c>
      <x:c r="L227" s="39" t="n">
        <x:v>1</x:v>
      </x:c>
    </x:row>
    <x:row r="228" ht="23" customHeight="1">
      <x:c r="B228" s="17" t="str">
        <x:v>All rounds</x:v>
      </x:c>
      <x:c r="C228" s="17" t="str">
        <x:v>line</x:v>
      </x:c>
      <x:c r="D228" s="17" t="str">
        <x:v>Math_12</x:v>
      </x:c>
      <x:c r="E228" s="32" t="n">
        <x:v>1</x:v>
      </x:c>
      <x:c r="F228" s="32" t="n">
        <x:v>0</x:v>
      </x:c>
      <x:c r="G228" s="32" t="n">
        <x:v>0.9582999999999999</x:v>
      </x:c>
      <x:c r="H228" s="32" t="n">
        <x:v>1</x:v>
      </x:c>
      <x:c r="I228" s="39" t="n">
        <x:v>2</x:v>
      </x:c>
      <x:c r="J228" s="39" t="n">
        <x:v>2</x:v>
      </x:c>
      <x:c r="K228" s="39" t="n">
        <x:v>2</x:v>
      </x:c>
      <x:c r="L228" s="39" t="n">
        <x:v>1</x:v>
      </x:c>
    </x:row>
    <x:row r="229" ht="23" customHeight="1">
      <x:c r="B229" s="17" t="str">
        <x:v>All rounds</x:v>
      </x:c>
      <x:c r="C229" s="17" t="str">
        <x:v>line</x:v>
      </x:c>
      <x:c r="D229" s="17" t="str">
        <x:v>Math_14</x:v>
      </x:c>
      <x:c r="E229" s="32" t="n">
        <x:v>0.7254999999999999</x:v>
      </x:c>
      <x:c r="F229" s="32" t="n">
        <x:v>0.2157</x:v>
      </x:c>
      <x:c r="G229" s="32" t="n">
        <x:v>0.9804</x:v>
      </x:c>
      <x:c r="H229" s="32" t="n">
        <x:v>0.25489999999999996</x:v>
      </x:c>
      <x:c r="I229" s="39" t="n">
        <x:v>2</x:v>
      </x:c>
      <x:c r="J229" s="39" t="n">
        <x:v>2</x:v>
      </x:c>
      <x:c r="K229" s="39" t="n">
        <x:v>1</x:v>
      </x:c>
      <x:c r="L229" s="39" t="n">
        <x:v>1</x:v>
      </x:c>
    </x:row>
    <x:row r="230" ht="23" customHeight="1">
      <x:c r="B230" s="17" t="str">
        <x:v>All rounds</x:v>
      </x:c>
      <x:c r="C230" s="17" t="str">
        <x:v>line</x:v>
      </x:c>
      <x:c r="D230" s="17" t="str">
        <x:v>Math_15</x:v>
      </x:c>
      <x:c r="E230" s="32" t="n">
        <x:v>0.9299</x:v>
      </x:c>
      <x:c r="F230" s="32" t="n">
        <x:v>0.9118</x:v>
      </x:c>
      <x:c r="G230" s="32" t="n">
        <x:v>0.5317000000000001</x:v>
      </x:c>
      <x:c r="H230" s="32" t="n">
        <x:v>0.0087</x:v>
      </x:c>
      <x:c r="I230" s="39" t="n">
        <x:v>2</x:v>
      </x:c>
      <x:c r="J230" s="39" t="n">
        <x:v>1</x:v>
      </x:c>
      <x:c r="K230" s="39" t="n">
        <x:v>2</x:v>
      </x:c>
      <x:c r="L230" s="39" t="n">
        <x:v>1</x:v>
      </x:c>
    </x:row>
    <x:row r="231" ht="23" customHeight="1">
      <x:c r="B231" s="17" t="str">
        <x:v>All rounds</x:v>
      </x:c>
      <x:c r="C231" s="17" t="str">
        <x:v>line</x:v>
      </x:c>
      <x:c r="D231" s="17" t="str">
        <x:v>Math_16</x:v>
      </x:c>
      <x:c r="E231" s="32" t="n">
        <x:v>0.9245</x:v>
      </x:c>
      <x:c r="F231" s="32" t="n">
        <x:v>0.59705</x:v>
      </x:c>
      <x:c r="G231" s="32" t="n">
        <x:v>0.564</x:v>
      </x:c>
      <x:c r="H231" s="32" t="n">
        <x:v>0.008100000000000001</x:v>
      </x:c>
      <x:c r="I231" s="39" t="n">
        <x:v>2</x:v>
      </x:c>
      <x:c r="J231" s="39" t="n">
        <x:v>2</x:v>
      </x:c>
      <x:c r="K231" s="39" t="n">
        <x:v>2</x:v>
      </x:c>
      <x:c r="L231" s="39" t="n">
        <x:v>1</x:v>
      </x:c>
    </x:row>
    <x:row r="232" ht="23" customHeight="1">
      <x:c r="B232" s="17" t="str">
        <x:v>All rounds</x:v>
      </x:c>
      <x:c r="C232" s="17" t="str">
        <x:v>line</x:v>
      </x:c>
      <x:c r="D232" s="17" t="str">
        <x:v>Math_17</x:v>
      </x:c>
      <x:c r="E232" s="32" t="n">
        <x:v>0.2575</x:v>
      </x:c>
      <x:c r="F232" s="32" t="n">
        <x:v>0.0155</x:v>
      </x:c>
      <x:c r="G232" s="32" t="n">
        <x:v>0.62</x:v>
      </x:c>
      <x:c r="H232" s="32" t="n">
        <x:v>0</x:v>
      </x:c>
      <x:c r="I232" s="39" t="n">
        <x:v>2</x:v>
      </x:c>
      <x:c r="J232" s="39" t="n">
        <x:v>2</x:v>
      </x:c>
      <x:c r="K232" s="39" t="n">
        <x:v>1</x:v>
      </x:c>
      <x:c r="L232" s="39" t="n">
        <x:v>1</x:v>
      </x:c>
    </x:row>
    <x:row r="233" ht="23" customHeight="1">
      <x:c r="B233" s="17" t="str">
        <x:v>All rounds</x:v>
      </x:c>
      <x:c r="C233" s="17" t="str">
        <x:v>line</x:v>
      </x:c>
      <x:c r="D233" s="17" t="str">
        <x:v>Math_18</x:v>
      </x:c>
      <x:c r="E233" s="32" t="n">
        <x:v>0.6548999999999999</x:v>
      </x:c>
      <x:c r="F233" s="32" t="n">
        <x:v>0.0647</x:v>
      </x:c>
      <x:c r="G233" s="32" t="n">
        <x:v>0.8521</x:v>
      </x:c>
      <x:c r="H233" s="32" t="n">
        <x:v>0.002</x:v>
      </x:c>
      <x:c r="I233" s="39" t="n">
        <x:v>2</x:v>
      </x:c>
      <x:c r="J233" s="39" t="n">
        <x:v>2</x:v>
      </x:c>
      <x:c r="K233" s="39" t="n">
        <x:v>1</x:v>
      </x:c>
      <x:c r="L233" s="39" t="n">
        <x:v>1</x:v>
      </x:c>
    </x:row>
    <x:row r="234" ht="23" customHeight="1">
      <x:c r="B234" s="17" t="str">
        <x:v>All rounds</x:v>
      </x:c>
      <x:c r="C234" s="17" t="str">
        <x:v>line</x:v>
      </x:c>
      <x:c r="D234" s="17" t="str">
        <x:v>Math_19</x:v>
      </x:c>
      <x:c r="E234" s="32" t="n">
        <x:v>0.6627</x:v>
      </x:c>
      <x:c r="F234" s="32" t="n">
        <x:v>0.0659</x:v>
      </x:c>
      <x:c r="G234" s="32" t="n">
        <x:v>0.9056000000000001</x:v>
      </x:c>
      <x:c r="H234" s="32" t="n">
        <x:v>0.002</x:v>
      </x:c>
      <x:c r="I234" s="39" t="n">
        <x:v>2</x:v>
      </x:c>
      <x:c r="J234" s="39" t="n">
        <x:v>2</x:v>
      </x:c>
      <x:c r="K234" s="39" t="n">
        <x:v>1</x:v>
      </x:c>
      <x:c r="L234" s="39" t="n">
        <x:v>1</x:v>
      </x:c>
    </x:row>
    <x:row r="235" ht="23" customHeight="1">
      <x:c r="B235" s="17" t="str">
        <x:v>All rounds</x:v>
      </x:c>
      <x:c r="C235" s="17" t="str">
        <x:v>line</x:v>
      </x:c>
      <x:c r="D235" s="17" t="str">
        <x:v>Math_2</x:v>
      </x:c>
      <x:c r="E235" s="32" t="n">
        <x:v>1</x:v>
      </x:c>
      <x:c r="F235" s="32" t="n">
        <x:v>1</x:v>
      </x:c>
      <x:c r="G235" s="32" t="n">
        <x:v>0.9865</x:v>
      </x:c>
      <x:c r="H235" s="32" t="n">
        <x:v>0.7027</x:v>
      </x:c>
      <x:c r="I235" s="39" t="n">
        <x:v>2</x:v>
      </x:c>
      <x:c r="J235" s="39" t="n">
        <x:v>2</x:v>
      </x:c>
      <x:c r="K235" s="39" t="n">
        <x:v>2</x:v>
      </x:c>
      <x:c r="L235" s="39" t="n">
        <x:v>1</x:v>
      </x:c>
    </x:row>
    <x:row r="236" ht="23" customHeight="1">
      <x:c r="B236" s="17" t="str">
        <x:v>All rounds</x:v>
      </x:c>
      <x:c r="C236" s="17" t="str">
        <x:v>line</x:v>
      </x:c>
      <x:c r="D236" s="17" t="str">
        <x:v>Math_20</x:v>
      </x:c>
      <x:c r="E236" s="32" t="n">
        <x:v>0.662</x:v>
      </x:c>
      <x:c r="F236" s="32" t="n">
        <x:v>0.066</x:v>
      </x:c>
      <x:c r="G236" s="32" t="n">
        <x:v>0.8612000000000001</x:v>
      </x:c>
      <x:c r="H236" s="32" t="n">
        <x:v>0.002</x:v>
      </x:c>
      <x:c r="I236" s="39" t="n">
        <x:v>2</x:v>
      </x:c>
      <x:c r="J236" s="39" t="n">
        <x:v>2</x:v>
      </x:c>
      <x:c r="K236" s="39" t="n">
        <x:v>1</x:v>
      </x:c>
      <x:c r="L236" s="39" t="n">
        <x:v>1</x:v>
      </x:c>
    </x:row>
    <x:row r="237" ht="23" customHeight="1">
      <x:c r="B237" s="17" t="str">
        <x:v>All rounds</x:v>
      </x:c>
      <x:c r="C237" s="17" t="str">
        <x:v>line</x:v>
      </x:c>
      <x:c r="D237" s="17" t="str">
        <x:v>Math_21</x:v>
      </x:c>
      <x:c r="E237" s="32" t="n">
        <x:v>1</x:v>
      </x:c>
      <x:c r="F237" s="32" t="n">
        <x:v>0.0385</x:v>
      </x:c>
      <x:c r="G237" s="32" t="n">
        <x:v>1</x:v>
      </x:c>
      <x:c r="H237" s="32" t="n">
        <x:v>1</x:v>
      </x:c>
      <x:c r="I237" s="39" t="n">
        <x:v>2</x:v>
      </x:c>
      <x:c r="J237" s="39" t="n">
        <x:v>2</x:v>
      </x:c>
      <x:c r="K237" s="39" t="n">
        <x:v>2</x:v>
      </x:c>
      <x:c r="L237" s="39" t="n">
        <x:v>1</x:v>
      </x:c>
    </x:row>
    <x:row r="238" ht="23" customHeight="1">
      <x:c r="B238" s="17" t="str">
        <x:v>All rounds</x:v>
      </x:c>
      <x:c r="C238" s="17" t="str">
        <x:v>line</x:v>
      </x:c>
      <x:c r="D238" s="17" t="str">
        <x:v>Math_22</x:v>
      </x:c>
      <x:c r="E238" s="32" t="n">
        <x:v>1</x:v>
      </x:c>
      <x:c r="F238" s="32" t="n">
        <x:v>1</x:v>
      </x:c>
      <x:c r="G238" s="32" t="n">
        <x:v>1</x:v>
      </x:c>
      <x:c r="H238" s="32" t="n">
        <x:v>0.3837</x:v>
      </x:c>
      <x:c r="I238" s="39" t="n">
        <x:v>2</x:v>
      </x:c>
      <x:c r="J238" s="39" t="n">
        <x:v>1</x:v>
      </x:c>
      <x:c r="K238" s="39" t="n">
        <x:v>1</x:v>
      </x:c>
      <x:c r="L238" s="39" t="n">
        <x:v>1</x:v>
      </x:c>
    </x:row>
    <x:row r="239" ht="23" customHeight="1">
      <x:c r="B239" s="17" t="str">
        <x:v>All rounds</x:v>
      </x:c>
      <x:c r="C239" s="17" t="str">
        <x:v>line</x:v>
      </x:c>
      <x:c r="D239" s="17" t="str">
        <x:v>Math_23</x:v>
      </x:c>
      <x:c r="E239" s="32" t="n">
        <x:v>0.9752</x:v>
      </x:c>
      <x:c r="F239" s="32" t="n">
        <x:v>0.2231</x:v>
      </x:c>
      <x:c r="G239" s="32" t="n">
        <x:v>0.925</x:v>
      </x:c>
      <x:c r="H239" s="32" t="n">
        <x:v>0.0165</x:v>
      </x:c>
      <x:c r="I239" s="39" t="n">
        <x:v>2</x:v>
      </x:c>
      <x:c r="J239" s="39" t="n">
        <x:v>2</x:v>
      </x:c>
      <x:c r="K239" s="39" t="n">
        <x:v>1</x:v>
      </x:c>
      <x:c r="L239" s="39" t="n">
        <x:v>1</x:v>
      </x:c>
    </x:row>
    <x:row r="240" ht="23" customHeight="1">
      <x:c r="B240" s="17" t="str">
        <x:v>All rounds</x:v>
      </x:c>
      <x:c r="C240" s="17" t="str">
        <x:v>line</x:v>
      </x:c>
      <x:c r="D240" s="17" t="str">
        <x:v>Math_24</x:v>
      </x:c>
      <x:c r="E240" s="32" t="n">
        <x:v>0.925</x:v>
      </x:c>
      <x:c r="F240" s="32" t="n">
        <x:v>0.225</x:v>
      </x:c>
      <x:c r="G240" s="32" t="n">
        <x:v>0.8571</x:v>
      </x:c>
      <x:c r="H240" s="32" t="n">
        <x:v>0.0167</x:v>
      </x:c>
      <x:c r="I240" s="39" t="n">
        <x:v>1</x:v>
      </x:c>
      <x:c r="J240" s="39" t="n">
        <x:v>2</x:v>
      </x:c>
      <x:c r="K240" s="39" t="n">
        <x:v>1</x:v>
      </x:c>
      <x:c r="L240" s="39" t="n">
        <x:v>1</x:v>
      </x:c>
    </x:row>
    <x:row r="241" ht="23" customHeight="1">
      <x:c r="B241" s="17" t="str">
        <x:v>All rounds</x:v>
      </x:c>
      <x:c r="C241" s="17" t="str">
        <x:v>line</x:v>
      </x:c>
      <x:c r="D241" s="17" t="str">
        <x:v>Math_25</x:v>
      </x:c>
      <x:c r="E241" s="32" t="n">
        <x:v>0.9894</x:v>
      </x:c>
      <x:c r="F241" s="32" t="n">
        <x:v>0.9894</x:v>
      </x:c>
      <x:c r="G241" s="32" t="n">
        <x:v>0.9468000000000001</x:v>
      </x:c>
      <x:c r="H241" s="32" t="n">
        <x:v>0</x:v>
      </x:c>
      <x:c r="I241" s="39" t="n">
        <x:v>1</x:v>
      </x:c>
      <x:c r="J241" s="39" t="n">
        <x:v>2</x:v>
      </x:c>
      <x:c r="K241" s="39" t="n">
        <x:v>2</x:v>
      </x:c>
      <x:c r="L241" s="39" t="n">
        <x:v>1</x:v>
      </x:c>
    </x:row>
    <x:row r="242" ht="23" customHeight="1">
      <x:c r="B242" s="17" t="str">
        <x:v>All rounds</x:v>
      </x:c>
      <x:c r="C242" s="17" t="str">
        <x:v>line</x:v>
      </x:c>
      <x:c r="D242" s="17" t="str">
        <x:v>Math_29</x:v>
      </x:c>
      <x:c r="E242" s="32" t="n">
        <x:v>1</x:v>
      </x:c>
      <x:c r="F242" s="32" t="n">
        <x:v>0.9688499999999999</x:v>
      </x:c>
      <x:c r="G242" s="32" t="n">
        <x:v>0.8349</x:v>
      </x:c>
      <x:c r="H242" s="32" t="n">
        <x:v>0</x:v>
      </x:c>
      <x:c r="I242" s="39" t="n">
        <x:v>1</x:v>
      </x:c>
      <x:c r="J242" s="39" t="n">
        <x:v>2</x:v>
      </x:c>
      <x:c r="K242" s="39" t="n">
        <x:v>2</x:v>
      </x:c>
      <x:c r="L242" s="39" t="n">
        <x:v>1</x:v>
      </x:c>
    </x:row>
    <x:row r="243" ht="23" customHeight="1">
      <x:c r="B243" s="17" t="str">
        <x:v>All rounds</x:v>
      </x:c>
      <x:c r="C243" s="17" t="str">
        <x:v>line</x:v>
      </x:c>
      <x:c r="D243" s="17" t="str">
        <x:v>Math_30</x:v>
      </x:c>
      <x:c r="E243" s="32" t="n">
        <x:v>1</x:v>
      </x:c>
      <x:c r="F243" s="32" t="n">
        <x:v>1</x:v>
      </x:c>
      <x:c r="G243" s="32" t="n">
        <x:v>1</x:v>
      </x:c>
      <x:c r="H243" s="32" t="n">
        <x:v>0</x:v>
      </x:c>
      <x:c r="I243" s="39" t="n">
        <x:v>1</x:v>
      </x:c>
      <x:c r="J243" s="39" t="n">
        <x:v>2</x:v>
      </x:c>
      <x:c r="K243" s="39" t="n">
        <x:v>2</x:v>
      </x:c>
      <x:c r="L243" s="39" t="n">
        <x:v>1</x:v>
      </x:c>
    </x:row>
    <x:row r="244" ht="23" customHeight="1">
      <x:c r="B244" s="17" t="str">
        <x:v>All rounds</x:v>
      </x:c>
      <x:c r="C244" s="17" t="str">
        <x:v>line</x:v>
      </x:c>
      <x:c r="D244" s="17" t="str">
        <x:v>Math_31</x:v>
      </x:c>
      <x:c r="E244" s="32" t="n">
        <x:v>0</x:v>
      </x:c>
      <x:c r="F244" s="32" t="n">
        <x:v>0</x:v>
      </x:c>
      <x:c r="G244" s="32" t="n">
        <x:v>0.9322</x:v>
      </x:c>
      <x:c r="H244" s="32" t="n">
        <x:v>0</x:v>
      </x:c>
      <x:c r="I244" s="39" t="n">
        <x:v>1</x:v>
      </x:c>
      <x:c r="J244" s="39" t="n">
        <x:v>2</x:v>
      </x:c>
      <x:c r="K244" s="39" t="n">
        <x:v>2</x:v>
      </x:c>
      <x:c r="L244" s="39" t="n">
        <x:v>1</x:v>
      </x:c>
    </x:row>
    <x:row r="245" ht="23" customHeight="1">
      <x:c r="B245" s="17" t="str">
        <x:v>All rounds</x:v>
      </x:c>
      <x:c r="C245" s="17" t="str">
        <x:v>line</x:v>
      </x:c>
      <x:c r="D245" s="17" t="str">
        <x:v>Math_37</x:v>
      </x:c>
      <x:c r="E245" s="32" t="n">
        <x:v>0.9591</x:v>
      </x:c>
      <x:c r="F245" s="32" t="n">
        <x:v>0.9841</x:v>
      </x:c>
      <x:c r="G245" s="32" t="n">
        <x:v>0.8864</x:v>
      </x:c>
      <x:c r="H245" s="32" t="n">
        <x:v>0.0545</x:v>
      </x:c>
      <x:c r="I245" s="39" t="n">
        <x:v>2</x:v>
      </x:c>
      <x:c r="J245" s="39" t="n">
        <x:v>2</x:v>
      </x:c>
      <x:c r="K245" s="39" t="n">
        <x:v>1</x:v>
      </x:c>
      <x:c r="L245" s="39" t="n">
        <x:v>1</x:v>
      </x:c>
    </x:row>
    <x:row r="246" ht="23" customHeight="1">
      <x:c r="B246" s="17" t="str">
        <x:v>All rounds</x:v>
      </x:c>
      <x:c r="C246" s="17" t="str">
        <x:v>line</x:v>
      </x:c>
      <x:c r="D246" s="17" t="str">
        <x:v>Math_39</x:v>
      </x:c>
      <x:c r="E246" s="32" t="n">
        <x:v>0.9439</x:v>
      </x:c>
      <x:c r="F246" s="32" t="n">
        <x:v>0</x:v>
      </x:c>
      <x:c r="G246" s="32" t="n">
        <x:v>0.9906999999999999</x:v>
      </x:c>
      <x:c r="H246" s="32" t="n">
        <x:v>0</x:v>
      </x:c>
      <x:c r="I246" s="39" t="n">
        <x:v>2</x:v>
      </x:c>
      <x:c r="J246" s="39" t="n">
        <x:v>2</x:v>
      </x:c>
      <x:c r="K246" s="39" t="n">
        <x:v>1</x:v>
      </x:c>
      <x:c r="L246" s="39" t="n">
        <x:v>1</x:v>
      </x:c>
    </x:row>
    <x:row r="247" ht="23" customHeight="1">
      <x:c r="B247" s="17" t="str">
        <x:v>All rounds</x:v>
      </x:c>
      <x:c r="C247" s="17" t="str">
        <x:v>line</x:v>
      </x:c>
      <x:c r="D247" s="17" t="str">
        <x:v>Math_40</x:v>
      </x:c>
      <x:c r="E247" s="32" t="n">
        <x:v>0.9921</x:v>
      </x:c>
      <x:c r="F247" s="32" t="n">
        <x:v>0.24600000000000002</x:v>
      </x:c>
      <x:c r="G247" s="32" t="n">
        <x:v>0.8016</x:v>
      </x:c>
      <x:c r="H247" s="32" t="n">
        <x:v>0</x:v>
      </x:c>
      <x:c r="I247" s="39" t="n">
        <x:v>2</x:v>
      </x:c>
      <x:c r="J247" s="39" t="n">
        <x:v>2</x:v>
      </x:c>
      <x:c r="K247" s="39" t="n">
        <x:v>2</x:v>
      </x:c>
      <x:c r="L247" s="39" t="n">
        <x:v>1</x:v>
      </x:c>
    </x:row>
    <x:row r="248" ht="23" customHeight="1">
      <x:c r="B248" s="17" t="str">
        <x:v>All rounds</x:v>
      </x:c>
      <x:c r="C248" s="17" t="str">
        <x:v>line</x:v>
      </x:c>
      <x:c r="D248" s="17" t="str">
        <x:v>Math_41</x:v>
      </x:c>
      <x:c r="E248" s="32" t="n">
        <x:v>0.9911</x:v>
      </x:c>
      <x:c r="F248" s="32" t="n">
        <x:v>0.8036</x:v>
      </x:c>
      <x:c r="G248" s="32" t="n">
        <x:v>0.9196</x:v>
      </x:c>
      <x:c r="H248" s="32" t="n">
        <x:v>0</x:v>
      </x:c>
      <x:c r="I248" s="39" t="n">
        <x:v>2</x:v>
      </x:c>
      <x:c r="J248" s="39" t="n">
        <x:v>2</x:v>
      </x:c>
      <x:c r="K248" s="39" t="n">
        <x:v>2</x:v>
      </x:c>
      <x:c r="L248" s="39" t="n">
        <x:v>1</x:v>
      </x:c>
    </x:row>
    <x:row r="249" ht="23" customHeight="1">
      <x:c r="B249" s="17" t="str">
        <x:v>All rounds</x:v>
      </x:c>
      <x:c r="C249" s="17" t="str">
        <x:v>line</x:v>
      </x:c>
      <x:c r="D249" s="17" t="str">
        <x:v>Math_42</x:v>
      </x:c>
      <x:c r="E249" s="32" t="n">
        <x:v>0.9508</x:v>
      </x:c>
      <x:c r="F249" s="32" t="n">
        <x:v>0.0765</x:v>
      </x:c>
      <x:c r="G249" s="32" t="n">
        <x:v>0.7143</x:v>
      </x:c>
      <x:c r="H249" s="32" t="n">
        <x:v>0</x:v>
      </x:c>
      <x:c r="I249" s="39" t="n">
        <x:v>2</x:v>
      </x:c>
      <x:c r="J249" s="39" t="n">
        <x:v>2</x:v>
      </x:c>
      <x:c r="K249" s="39" t="n">
        <x:v>2</x:v>
      </x:c>
      <x:c r="L249" s="39" t="n">
        <x:v>1</x:v>
      </x:c>
    </x:row>
    <x:row r="250" ht="23" customHeight="1">
      <x:c r="B250" s="17" t="str">
        <x:v>All rounds</x:v>
      </x:c>
      <x:c r="C250" s="17" t="str">
        <x:v>line</x:v>
      </x:c>
      <x:c r="D250" s="17" t="str">
        <x:v>Math_43</x:v>
      </x:c>
      <x:c r="E250" s="32" t="n">
        <x:v>1</x:v>
      </x:c>
      <x:c r="F250" s="32" t="n">
        <x:v>0.9427</x:v>
      </x:c>
      <x:c r="G250" s="32" t="n">
        <x:v>0.8957999999999999</x:v>
      </x:c>
      <x:c r="H250" s="32" t="n">
        <x:v>0</x:v>
      </x:c>
      <x:c r="I250" s="39" t="n">
        <x:v>2</x:v>
      </x:c>
      <x:c r="J250" s="39" t="n">
        <x:v>2</x:v>
      </x:c>
      <x:c r="K250" s="39" t="n">
        <x:v>2</x:v>
      </x:c>
      <x:c r="L250" s="39" t="n">
        <x:v>1</x:v>
      </x:c>
    </x:row>
    <x:row r="251" ht="23" customHeight="1">
      <x:c r="B251" s="17" t="str">
        <x:v>All rounds</x:v>
      </x:c>
      <x:c r="C251" s="17" t="str">
        <x:v>line</x:v>
      </x:c>
      <x:c r="D251" s="17" t="str">
        <x:v>Math_45</x:v>
      </x:c>
      <x:c r="E251" s="32" t="n">
        <x:v>0.6701</x:v>
      </x:c>
      <x:c r="F251" s="32" t="n">
        <x:v>0.6700999999999999</x:v>
      </x:c>
      <x:c r="G251" s="32" t="n">
        <x:v>0.9588</x:v>
      </x:c>
      <x:c r="H251" s="32" t="n">
        <x:v>0</x:v>
      </x:c>
      <x:c r="I251" s="39" t="n">
        <x:v>2</x:v>
      </x:c>
      <x:c r="J251" s="39" t="n">
        <x:v>2</x:v>
      </x:c>
      <x:c r="K251" s="39" t="n">
        <x:v>2</x:v>
      </x:c>
      <x:c r="L251" s="39" t="n">
        <x:v>1</x:v>
      </x:c>
    </x:row>
    <x:row r="252" ht="23" customHeight="1">
      <x:c r="B252" s="17" t="str">
        <x:v>All rounds</x:v>
      </x:c>
      <x:c r="C252" s="17" t="str">
        <x:v>line</x:v>
      </x:c>
      <x:c r="D252" s="17" t="str">
        <x:v>Math_46</x:v>
      </x:c>
      <x:c r="E252" s="32" t="n">
        <x:v>0.9802</x:v>
      </x:c>
      <x:c r="F252" s="32" t="n">
        <x:v>0.98015</x:v>
      </x:c>
      <x:c r="G252" s="32" t="n">
        <x:v>0.7822</x:v>
      </x:c>
      <x:c r="H252" s="32" t="n">
        <x:v>0.0644</x:v>
      </x:c>
      <x:c r="I252" s="39" t="n">
        <x:v>2</x:v>
      </x:c>
      <x:c r="J252" s="39" t="n">
        <x:v>2</x:v>
      </x:c>
      <x:c r="K252" s="39" t="n">
        <x:v>1</x:v>
      </x:c>
      <x:c r="L252" s="39" t="n">
        <x:v>1</x:v>
      </x:c>
    </x:row>
    <x:row r="253" ht="23" customHeight="1">
      <x:c r="B253" s="17" t="str">
        <x:v>All rounds</x:v>
      </x:c>
      <x:c r="C253" s="17" t="str">
        <x:v>line</x:v>
      </x:c>
      <x:c r="D253" s="17" t="str">
        <x:v>Math_47</x:v>
      </x:c>
      <x:c r="E253" s="32" t="n">
        <x:v>0.9652</x:v>
      </x:c>
      <x:c r="F253" s="32" t="n">
        <x:v>0.9801000000000001</x:v>
      </x:c>
      <x:c r="G253" s="32" t="n">
        <x:v>0.8059999999999999</x:v>
      </x:c>
      <x:c r="H253" s="32" t="n">
        <x:v>0.059699999999999996</x:v>
      </x:c>
      <x:c r="I253" s="39" t="n">
        <x:v>2</x:v>
      </x:c>
      <x:c r="J253" s="39" t="n">
        <x:v>2</x:v>
      </x:c>
      <x:c r="K253" s="39" t="n">
        <x:v>1</x:v>
      </x:c>
      <x:c r="L253" s="39" t="n">
        <x:v>1</x:v>
      </x:c>
    </x:row>
    <x:row r="254" ht="23" customHeight="1">
      <x:c r="B254" s="17" t="str">
        <x:v>All rounds</x:v>
      </x:c>
      <x:c r="C254" s="17" t="str">
        <x:v>line</x:v>
      </x:c>
      <x:c r="D254" s="17" t="str">
        <x:v>Math_48</x:v>
      </x:c>
      <x:c r="E254" s="32" t="n">
        <x:v>0.9589</x:v>
      </x:c>
      <x:c r="F254" s="32" t="n">
        <x:v>0.0548</x:v>
      </x:c>
      <x:c r="G254" s="32" t="n">
        <x:v>0.7670999999999999</x:v>
      </x:c>
      <x:c r="H254" s="32" t="n">
        <x:v>0</x:v>
      </x:c>
      <x:c r="I254" s="39" t="n">
        <x:v>2</x:v>
      </x:c>
      <x:c r="J254" s="39" t="n">
        <x:v>2</x:v>
      </x:c>
      <x:c r="K254" s="39" t="n">
        <x:v>1</x:v>
      </x:c>
      <x:c r="L254" s="39" t="n">
        <x:v>1</x:v>
      </x:c>
    </x:row>
    <x:row r="255" ht="23" customHeight="1">
      <x:c r="B255" s="17" t="str">
        <x:v>All rounds</x:v>
      </x:c>
      <x:c r="C255" s="17" t="str">
        <x:v>line</x:v>
      </x:c>
      <x:c r="D255" s="17" t="str">
        <x:v>Math_49</x:v>
      </x:c>
      <x:c r="E255" s="32" t="n">
        <x:v>1</x:v>
      </x:c>
      <x:c r="F255" s="32" t="n">
        <x:v>0.7738499999999999</x:v>
      </x:c>
      <x:c r="G255" s="32" t="n">
        <x:v>0.9365000000000001</x:v>
      </x:c>
      <x:c r="H255" s="32" t="n">
        <x:v>0</x:v>
      </x:c>
      <x:c r="I255" s="39" t="n">
        <x:v>2</x:v>
      </x:c>
      <x:c r="J255" s="39" t="n">
        <x:v>2</x:v>
      </x:c>
      <x:c r="K255" s="39" t="n">
        <x:v>1</x:v>
      </x:c>
      <x:c r="L255" s="39" t="n">
        <x:v>1</x:v>
      </x:c>
    </x:row>
    <x:row r="256" ht="23" customHeight="1">
      <x:c r="B256" s="17" t="str">
        <x:v>All rounds</x:v>
      </x:c>
      <x:c r="C256" s="17" t="str">
        <x:v>line</x:v>
      </x:c>
      <x:c r="D256" s="17" t="str">
        <x:v>Math_5</x:v>
      </x:c>
      <x:c r="E256" s="32" t="n">
        <x:v>0.9867</x:v>
      </x:c>
      <x:c r="F256" s="32" t="n">
        <x:v>0.9867</x:v>
      </x:c>
      <x:c r="G256" s="32" t="n">
        <x:v>0.6416</x:v>
      </x:c>
      <x:c r="H256" s="32" t="n">
        <x:v>0.053099999999999994</x:v>
      </x:c>
      <x:c r="I256" s="39" t="n">
        <x:v>2</x:v>
      </x:c>
      <x:c r="J256" s="39" t="n">
        <x:v>2</x:v>
      </x:c>
      <x:c r="K256" s="39" t="n">
        <x:v>1</x:v>
      </x:c>
      <x:c r="L256" s="39" t="n">
        <x:v>1</x:v>
      </x:c>
    </x:row>
    <x:row r="257" ht="23" customHeight="1">
      <x:c r="B257" s="17" t="str">
        <x:v>All rounds</x:v>
      </x:c>
      <x:c r="C257" s="17" t="str">
        <x:v>line</x:v>
      </x:c>
      <x:c r="D257" s="17" t="str">
        <x:v>Math_50</x:v>
      </x:c>
      <x:c r="E257" s="32" t="n">
        <x:v>0.9333</x:v>
      </x:c>
      <x:c r="F257" s="32" t="n">
        <x:v>0.0533</x:v>
      </x:c>
      <x:c r="G257" s="32" t="n">
        <x:v>0.7867000000000001</x:v>
      </x:c>
      <x:c r="H257" s="32" t="n">
        <x:v>0</x:v>
      </x:c>
      <x:c r="I257" s="39" t="n">
        <x:v>2</x:v>
      </x:c>
      <x:c r="J257" s="39" t="n">
        <x:v>2</x:v>
      </x:c>
      <x:c r="K257" s="39" t="n">
        <x:v>1</x:v>
      </x:c>
      <x:c r="L257" s="39" t="n">
        <x:v>1</x:v>
      </x:c>
    </x:row>
    <x:row r="258" ht="23" customHeight="1">
      <x:c r="B258" s="17" t="str">
        <x:v>All rounds</x:v>
      </x:c>
      <x:c r="C258" s="17" t="str">
        <x:v>line</x:v>
      </x:c>
      <x:c r="D258" s="17" t="str">
        <x:v>Math_51</x:v>
      </x:c>
      <x:c r="E258" s="32" t="n">
        <x:v>0.9718000000000001</x:v>
      </x:c>
      <x:c r="F258" s="32" t="n">
        <x:v>0.056299999999999996</x:v>
      </x:c>
      <x:c r="G258" s="32" t="n">
        <x:v>0.8028</x:v>
      </x:c>
      <x:c r="H258" s="32" t="n">
        <x:v>0</x:v>
      </x:c>
      <x:c r="I258" s="39" t="n">
        <x:v>2</x:v>
      </x:c>
      <x:c r="J258" s="39" t="n">
        <x:v>2</x:v>
      </x:c>
      <x:c r="K258" s="39" t="n">
        <x:v>1</x:v>
      </x:c>
      <x:c r="L258" s="39" t="n">
        <x:v>1</x:v>
      </x:c>
    </x:row>
    <x:row r="259" ht="23" customHeight="1">
      <x:c r="B259" s="17" t="str">
        <x:v>All rounds</x:v>
      </x:c>
      <x:c r="C259" s="17" t="str">
        <x:v>line</x:v>
      </x:c>
      <x:c r="D259" s="17" t="str">
        <x:v>Math_52</x:v>
      </x:c>
      <x:c r="E259" s="32" t="n">
        <x:v>0.9564</x:v>
      </x:c>
      <x:c r="F259" s="32" t="n">
        <x:v>0.6812</x:v>
      </x:c>
      <x:c r="G259" s="32" t="n">
        <x:v>0.9292</x:v>
      </x:c>
      <x:c r="H259" s="32" t="n">
        <x:v>0.0218</x:v>
      </x:c>
      <x:c r="I259" s="39" t="n">
        <x:v>2</x:v>
      </x:c>
      <x:c r="J259" s="39" t="n">
        <x:v>2</x:v>
      </x:c>
      <x:c r="K259" s="39" t="n">
        <x:v>1</x:v>
      </x:c>
      <x:c r="L259" s="39" t="n">
        <x:v>1</x:v>
      </x:c>
    </x:row>
    <x:row r="260" ht="23" customHeight="1">
      <x:c r="B260" s="17" t="str">
        <x:v>All rounds</x:v>
      </x:c>
      <x:c r="C260" s="17" t="str">
        <x:v>line</x:v>
      </x:c>
      <x:c r="D260" s="17" t="str">
        <x:v>Math_53</x:v>
      </x:c>
      <x:c r="E260" s="32" t="n">
        <x:v>0.9647</x:v>
      </x:c>
      <x:c r="F260" s="32" t="n">
        <x:v>0.9823999999999999</x:v>
      </x:c>
      <x:c r="G260" s="32" t="n">
        <x:v>0.9823999999999999</x:v>
      </x:c>
      <x:c r="H260" s="32" t="n">
        <x:v>0.0706</x:v>
      </x:c>
      <x:c r="I260" s="39" t="n">
        <x:v>2</x:v>
      </x:c>
      <x:c r="J260" s="39" t="n">
        <x:v>2</x:v>
      </x:c>
      <x:c r="K260" s="39" t="n">
        <x:v>1</x:v>
      </x:c>
      <x:c r="L260" s="39" t="n">
        <x:v>1</x:v>
      </x:c>
    </x:row>
    <x:row r="261" ht="23" customHeight="1">
      <x:c r="B261" s="17" t="str">
        <x:v>All rounds</x:v>
      </x:c>
      <x:c r="C261" s="17" t="str">
        <x:v>line</x:v>
      </x:c>
      <x:c r="D261" s="17" t="str">
        <x:v>Math_54</x:v>
      </x:c>
      <x:c r="E261" s="32" t="n">
        <x:v>0.2651</x:v>
      </x:c>
      <x:c r="F261" s="32" t="n">
        <x:v>0.0161</x:v>
      </x:c>
      <x:c r="G261" s="32" t="n">
        <x:v>0.74</x:v>
      </x:c>
      <x:c r="H261" s="32" t="n">
        <x:v>0</x:v>
      </x:c>
      <x:c r="I261" s="39" t="n">
        <x:v>2</x:v>
      </x:c>
      <x:c r="J261" s="39" t="n">
        <x:v>2</x:v>
      </x:c>
      <x:c r="K261" s="39" t="n">
        <x:v>1</x:v>
      </x:c>
      <x:c r="L261" s="39" t="n">
        <x:v>1</x:v>
      </x:c>
    </x:row>
    <x:row r="262" ht="23" customHeight="1">
      <x:c r="B262" s="17" t="str">
        <x:v>All rounds</x:v>
      </x:c>
      <x:c r="C262" s="17" t="str">
        <x:v>line</x:v>
      </x:c>
      <x:c r="D262" s="17" t="str">
        <x:v>Math_55</x:v>
      </x:c>
      <x:c r="E262" s="32" t="n">
        <x:v>0.9741</x:v>
      </x:c>
      <x:c r="F262" s="32" t="n">
        <x:v>0.97845</x:v>
      </x:c>
      <x:c r="G262" s="32" t="n">
        <x:v>1</x:v>
      </x:c>
      <x:c r="H262" s="32" t="n">
        <x:v>0.1466</x:v>
      </x:c>
      <x:c r="I262" s="39" t="n">
        <x:v>2</x:v>
      </x:c>
      <x:c r="J262" s="39" t="n">
        <x:v>2</x:v>
      </x:c>
      <x:c r="K262" s="39" t="n">
        <x:v>1</x:v>
      </x:c>
      <x:c r="L262" s="39" t="n">
        <x:v>1</x:v>
      </x:c>
    </x:row>
    <x:row r="263" ht="23" customHeight="1">
      <x:c r="B263" s="17" t="str">
        <x:v>All rounds</x:v>
      </x:c>
      <x:c r="C263" s="17" t="str">
        <x:v>line</x:v>
      </x:c>
      <x:c r="D263" s="17" t="str">
        <x:v>Math_56</x:v>
      </x:c>
      <x:c r="E263" s="32" t="n">
        <x:v>1</x:v>
      </x:c>
      <x:c r="F263" s="32" t="n">
        <x:v>0.96</x:v>
      </x:c>
      <x:c r="G263" s="32" t="n">
        <x:v>0.9867</x:v>
      </x:c>
      <x:c r="H263" s="32" t="n">
        <x:v>0</x:v>
      </x:c>
      <x:c r="I263" s="39" t="n">
        <x:v>2</x:v>
      </x:c>
      <x:c r="J263" s="39" t="n">
        <x:v>2</x:v>
      </x:c>
      <x:c r="K263" s="39" t="n">
        <x:v>2</x:v>
      </x:c>
      <x:c r="L263" s="39" t="n">
        <x:v>1</x:v>
      </x:c>
    </x:row>
    <x:row r="264" ht="23" customHeight="1">
      <x:c r="B264" s="17" t="str">
        <x:v>All rounds</x:v>
      </x:c>
      <x:c r="C264" s="17" t="str">
        <x:v>line</x:v>
      </x:c>
      <x:c r="D264" s="17" t="str">
        <x:v>Math_57</x:v>
      </x:c>
      <x:c r="E264" s="32" t="n">
        <x:v>0.975</x:v>
      </x:c>
      <x:c r="F264" s="32" t="n">
        <x:v>0.0417</x:v>
      </x:c>
      <x:c r="G264" s="32" t="n">
        <x:v>0.975</x:v>
      </x:c>
      <x:c r="H264" s="32" t="n">
        <x:v>0</x:v>
      </x:c>
      <x:c r="I264" s="39" t="n">
        <x:v>2</x:v>
      </x:c>
      <x:c r="J264" s="39" t="n">
        <x:v>2</x:v>
      </x:c>
      <x:c r="K264" s="39" t="n">
        <x:v>1</x:v>
      </x:c>
      <x:c r="L264" s="39" t="n">
        <x:v>1</x:v>
      </x:c>
    </x:row>
    <x:row r="265" ht="23" customHeight="1">
      <x:c r="B265" s="17" t="str">
        <x:v>All rounds</x:v>
      </x:c>
      <x:c r="C265" s="17" t="str">
        <x:v>line</x:v>
      </x:c>
      <x:c r="D265" s="17" t="str">
        <x:v>Math_58</x:v>
      </x:c>
      <x:c r="E265" s="32" t="n">
        <x:v>0.875</x:v>
      </x:c>
      <x:c r="F265" s="32" t="n">
        <x:v>0.875</x:v>
      </x:c>
      <x:c r="G265" s="32" t="n">
        <x:v>0.6809000000000001</x:v>
      </x:c>
      <x:c r="H265" s="32" t="n">
        <x:v>0</x:v>
      </x:c>
      <x:c r="I265" s="39" t="n">
        <x:v>2</x:v>
      </x:c>
      <x:c r="J265" s="39" t="n">
        <x:v>2</x:v>
      </x:c>
      <x:c r="K265" s="39" t="n">
        <x:v>1</x:v>
      </x:c>
      <x:c r="L265" s="39" t="n">
        <x:v>1</x:v>
      </x:c>
    </x:row>
    <x:row r="266" ht="23" customHeight="1">
      <x:c r="B266" s="17" t="str">
        <x:v>All rounds</x:v>
      </x:c>
      <x:c r="C266" s="17" t="str">
        <x:v>line</x:v>
      </x:c>
      <x:c r="D266" s="17" t="str">
        <x:v>Math_59</x:v>
      </x:c>
      <x:c r="E266" s="32" t="n">
        <x:v>0.9425</x:v>
      </x:c>
      <x:c r="F266" s="32" t="n">
        <x:v>0.93545</x:v>
      </x:c>
      <x:c r="G266" s="32" t="n">
        <x:v>0.7037</x:v>
      </x:c>
      <x:c r="H266" s="32" t="n">
        <x:v>0.184</x:v>
      </x:c>
      <x:c r="I266" s="39" t="n">
        <x:v>2</x:v>
      </x:c>
      <x:c r="J266" s="39" t="n">
        <x:v>2</x:v>
      </x:c>
      <x:c r="K266" s="39" t="n">
        <x:v>2</x:v>
      </x:c>
      <x:c r="L266" s="39" t="n">
        <x:v>1</x:v>
      </x:c>
    </x:row>
    <x:row r="267" ht="23" customHeight="1">
      <x:c r="B267" s="17" t="str">
        <x:v>All rounds</x:v>
      </x:c>
      <x:c r="C267" s="17" t="str">
        <x:v>line</x:v>
      </x:c>
      <x:c r="D267" s="17" t="str">
        <x:v>Math_61</x:v>
      </x:c>
      <x:c r="E267" s="32" t="n">
        <x:v>1</x:v>
      </x:c>
      <x:c r="F267" s="32" t="n">
        <x:v>0.9559000000000001</x:v>
      </x:c>
      <x:c r="G267" s="32" t="n">
        <x:v>0.8234999999999999</x:v>
      </x:c>
      <x:c r="H267" s="32" t="n">
        <x:v>0</x:v>
      </x:c>
      <x:c r="I267" s="39" t="n">
        <x:v>2</x:v>
      </x:c>
      <x:c r="J267" s="39" t="n">
        <x:v>2</x:v>
      </x:c>
      <x:c r="K267" s="39" t="n">
        <x:v>2</x:v>
      </x:c>
      <x:c r="L267" s="39" t="n">
        <x:v>1</x:v>
      </x:c>
    </x:row>
    <x:row r="268" ht="23" customHeight="1">
      <x:c r="B268" s="17" t="str">
        <x:v>All rounds</x:v>
      </x:c>
      <x:c r="C268" s="17" t="str">
        <x:v>line</x:v>
      </x:c>
      <x:c r="D268" s="17" t="str">
        <x:v>Math_62</x:v>
      </x:c>
      <x:c r="E268" s="32" t="n">
        <x:v>0.8936</x:v>
      </x:c>
      <x:c r="F268" s="32" t="n">
        <x:v>0</x:v>
      </x:c>
      <x:c r="G268" s="32" t="n">
        <x:v>0.9787</x:v>
      </x:c>
      <x:c r="H268" s="32" t="n">
        <x:v>0</x:v>
      </x:c>
      <x:c r="I268" s="39" t="n">
        <x:v>2</x:v>
      </x:c>
      <x:c r="J268" s="39" t="n">
        <x:v>2</x:v>
      </x:c>
      <x:c r="K268" s="39" t="n">
        <x:v>1</x:v>
      </x:c>
      <x:c r="L268" s="39" t="n">
        <x:v>1</x:v>
      </x:c>
    </x:row>
    <x:row r="269" ht="23" customHeight="1">
      <x:c r="B269" s="17" t="str">
        <x:v>All rounds</x:v>
      </x:c>
      <x:c r="C269" s="17" t="str">
        <x:v>line</x:v>
      </x:c>
      <x:c r="D269" s="17" t="str">
        <x:v>Math_63</x:v>
      </x:c>
      <x:c r="E269" s="32" t="n">
        <x:v>0.9131</x:v>
      </x:c>
      <x:c r="F269" s="32" t="n">
        <x:v>0.8089</x:v>
      </x:c>
      <x:c r="G269" s="32" t="n">
        <x:v>0.6139</x:v>
      </x:c>
      <x:c r="H269" s="32" t="n">
        <x:v>0.0039000000000000003</x:v>
      </x:c>
      <x:c r="I269" s="39" t="n">
        <x:v>2</x:v>
      </x:c>
      <x:c r="J269" s="39" t="n">
        <x:v>1</x:v>
      </x:c>
      <x:c r="K269" s="39" t="n">
        <x:v>2</x:v>
      </x:c>
      <x:c r="L269" s="39" t="n">
        <x:v>1</x:v>
      </x:c>
    </x:row>
    <x:row r="270" ht="23" customHeight="1">
      <x:c r="B270" s="17" t="str">
        <x:v>All rounds</x:v>
      </x:c>
      <x:c r="C270" s="17" t="str">
        <x:v>line</x:v>
      </x:c>
      <x:c r="D270" s="17" t="str">
        <x:v>Math_64</x:v>
      </x:c>
      <x:c r="E270" s="32" t="n">
        <x:v>0.09939999999999999</x:v>
      </x:c>
      <x:c r="F270" s="32" t="n">
        <x:v>0.09939999999999999</x:v>
      </x:c>
      <x:c r="G270" s="32" t="n">
        <x:v>0.5731</x:v>
      </x:c>
      <x:c r="H270" s="32" t="n">
        <x:v>0</x:v>
      </x:c>
      <x:c r="I270" s="39" t="n">
        <x:v>2</x:v>
      </x:c>
      <x:c r="J270" s="39" t="n">
        <x:v>2</x:v>
      </x:c>
      <x:c r="K270" s="39" t="n">
        <x:v>1</x:v>
      </x:c>
      <x:c r="L270" s="39" t="n">
        <x:v>1</x:v>
      </x:c>
    </x:row>
    <x:row r="271" ht="23" customHeight="1">
      <x:c r="B271" s="17" t="str">
        <x:v>All rounds</x:v>
      </x:c>
      <x:c r="C271" s="17" t="str">
        <x:v>line</x:v>
      </x:c>
      <x:c r="D271" s="17" t="str">
        <x:v>Math_66</x:v>
      </x:c>
      <x:c r="E271" s="32" t="n">
        <x:v>1</x:v>
      </x:c>
      <x:c r="F271" s="32" t="n">
        <x:v>0.2647</x:v>
      </x:c>
      <x:c r="G271" s="32" t="n">
        <x:v>1</x:v>
      </x:c>
      <x:c r="H271" s="32" t="n">
        <x:v>0.0098</x:v>
      </x:c>
      <x:c r="I271" s="39" t="n">
        <x:v>2</x:v>
      </x:c>
      <x:c r="J271" s="39" t="n">
        <x:v>2</x:v>
      </x:c>
      <x:c r="K271" s="39" t="n">
        <x:v>2</x:v>
      </x:c>
      <x:c r="L271" s="39" t="n">
        <x:v>1</x:v>
      </x:c>
    </x:row>
    <x:row r="272" ht="23" customHeight="1">
      <x:c r="B272" s="17" t="str">
        <x:v>All rounds</x:v>
      </x:c>
      <x:c r="C272" s="17" t="str">
        <x:v>line</x:v>
      </x:c>
      <x:c r="D272" s="17" t="str">
        <x:v>Math_67</x:v>
      </x:c>
      <x:c r="E272" s="32" t="n">
        <x:v>0.871</x:v>
      </x:c>
      <x:c r="F272" s="32" t="n">
        <x:v>0.4946</x:v>
      </x:c>
      <x:c r="G272" s="32" t="n">
        <x:v>0.8172</x:v>
      </x:c>
      <x:c r="H272" s="32" t="n">
        <x:v>0</x:v>
      </x:c>
      <x:c r="I272" s="39" t="n">
        <x:v>2</x:v>
      </x:c>
      <x:c r="J272" s="39" t="n">
        <x:v>2</x:v>
      </x:c>
      <x:c r="K272" s="39" t="n">
        <x:v>2</x:v>
      </x:c>
      <x:c r="L272" s="39" t="n">
        <x:v>1</x:v>
      </x:c>
    </x:row>
    <x:row r="273" ht="23" customHeight="1">
      <x:c r="B273" s="17" t="str">
        <x:v>All rounds</x:v>
      </x:c>
      <x:c r="C273" s="17" t="str">
        <x:v>line</x:v>
      </x:c>
      <x:c r="D273" s="17" t="str">
        <x:v>Math_68</x:v>
      </x:c>
      <x:c r="E273" s="32" t="n">
        <x:v>0.0904</x:v>
      </x:c>
      <x:c r="F273" s="32" t="n">
        <x:v>0.0904</x:v>
      </x:c>
      <x:c r="G273" s="32" t="n">
        <x:v>0.5633</x:v>
      </x:c>
      <x:c r="H273" s="32" t="n">
        <x:v>0</x:v>
      </x:c>
      <x:c r="I273" s="39" t="n">
        <x:v>2</x:v>
      </x:c>
      <x:c r="J273" s="39" t="n">
        <x:v>2</x:v>
      </x:c>
      <x:c r="K273" s="39" t="n">
        <x:v>1</x:v>
      </x:c>
      <x:c r="L273" s="39" t="n">
        <x:v>1</x:v>
      </x:c>
    </x:row>
    <x:row r="274" ht="23" customHeight="1">
      <x:c r="B274" s="17" t="str">
        <x:v>All rounds</x:v>
      </x:c>
      <x:c r="C274" s="17" t="str">
        <x:v>line</x:v>
      </x:c>
      <x:c r="D274" s="17" t="str">
        <x:v>Math_69</x:v>
      </x:c>
      <x:c r="E274" s="32" t="n">
        <x:v>1</x:v>
      </x:c>
      <x:c r="F274" s="32" t="n">
        <x:v>0.9333</x:v>
      </x:c>
      <x:c r="G274" s="32" t="n">
        <x:v>0.92</x:v>
      </x:c>
      <x:c r="H274" s="32" t="n">
        <x:v>0</x:v>
      </x:c>
      <x:c r="I274" s="39" t="n">
        <x:v>2</x:v>
      </x:c>
      <x:c r="J274" s="39" t="n">
        <x:v>2</x:v>
      </x:c>
      <x:c r="K274" s="39" t="n">
        <x:v>2</x:v>
      </x:c>
      <x:c r="L274" s="39" t="n">
        <x:v>1</x:v>
      </x:c>
    </x:row>
    <x:row r="275" ht="23" customHeight="1">
      <x:c r="B275" s="17" t="str">
        <x:v>All rounds</x:v>
      </x:c>
      <x:c r="C275" s="17" t="str">
        <x:v>line</x:v>
      </x:c>
      <x:c r="D275" s="17" t="str">
        <x:v>Math_7</x:v>
      </x:c>
      <x:c r="E275" s="32" t="n">
        <x:v>0.6846</x:v>
      </x:c>
      <x:c r="F275" s="32" t="n">
        <x:v>0</x:v>
      </x:c>
      <x:c r="G275" s="32" t="n">
        <x:v>0.5307999999999999</x:v>
      </x:c>
      <x:c r="H275" s="32" t="n">
        <x:v>0</x:v>
      </x:c>
      <x:c r="I275" s="39" t="n">
        <x:v>2</x:v>
      </x:c>
      <x:c r="J275" s="39" t="n">
        <x:v>2</x:v>
      </x:c>
      <x:c r="K275" s="39" t="n">
        <x:v>1</x:v>
      </x:c>
      <x:c r="L275" s="39" t="n">
        <x:v>1</x:v>
      </x:c>
    </x:row>
    <x:row r="276" ht="23" customHeight="1">
      <x:c r="B276" s="17" t="str">
        <x:v>All rounds</x:v>
      </x:c>
      <x:c r="C276" s="17" t="str">
        <x:v>line</x:v>
      </x:c>
      <x:c r="D276" s="17" t="str">
        <x:v>Math_71</x:v>
      </x:c>
      <x:c r="E276" s="32" t="n">
        <x:v>0.9898</x:v>
      </x:c>
      <x:c r="F276" s="32" t="n">
        <x:v>0</x:v>
      </x:c>
      <x:c r="G276" s="32" t="n">
        <x:v>0.9036</x:v>
      </x:c>
      <x:c r="H276" s="32" t="n">
        <x:v>0</x:v>
      </x:c>
      <x:c r="I276" s="39" t="n">
        <x:v>2</x:v>
      </x:c>
      <x:c r="J276" s="39" t="n">
        <x:v>2</x:v>
      </x:c>
      <x:c r="K276" s="39" t="n">
        <x:v>1</x:v>
      </x:c>
      <x:c r="L276" s="39" t="n">
        <x:v>1</x:v>
      </x:c>
    </x:row>
    <x:row r="277" ht="23" customHeight="1">
      <x:c r="B277" s="17" t="str">
        <x:v>All rounds</x:v>
      </x:c>
      <x:c r="C277" s="17" t="str">
        <x:v>line</x:v>
      </x:c>
      <x:c r="D277" s="17" t="str">
        <x:v>Math_72</x:v>
      </x:c>
      <x:c r="E277" s="32" t="n">
        <x:v>1</x:v>
      </x:c>
      <x:c r="F277" s="32" t="n">
        <x:v>0.1121</x:v>
      </x:c>
      <x:c r="G277" s="32" t="n">
        <x:v>0.8598</x:v>
      </x:c>
      <x:c r="H277" s="32" t="n">
        <x:v>0</x:v>
      </x:c>
      <x:c r="I277" s="39" t="n">
        <x:v>2</x:v>
      </x:c>
      <x:c r="J277" s="39" t="n">
        <x:v>2</x:v>
      </x:c>
      <x:c r="K277" s="39" t="n">
        <x:v>2</x:v>
      </x:c>
      <x:c r="L277" s="39" t="n">
        <x:v>1</x:v>
      </x:c>
    </x:row>
    <x:row r="278" ht="23" customHeight="1">
      <x:c r="B278" s="17" t="str">
        <x:v>All rounds</x:v>
      </x:c>
      <x:c r="C278" s="17" t="str">
        <x:v>line</x:v>
      </x:c>
      <x:c r="D278" s="17" t="str">
        <x:v>Math_73</x:v>
      </x:c>
      <x:c r="E278" s="32" t="n">
        <x:v>1</x:v>
      </x:c>
      <x:c r="F278" s="32" t="n">
        <x:v>0.11539999999999999</x:v>
      </x:c>
      <x:c r="G278" s="32" t="n">
        <x:v>0.8462000000000001</x:v>
      </x:c>
      <x:c r="H278" s="32" t="n">
        <x:v>0</x:v>
      </x:c>
      <x:c r="I278" s="39" t="n">
        <x:v>2</x:v>
      </x:c>
      <x:c r="J278" s="39" t="n">
        <x:v>2</x:v>
      </x:c>
      <x:c r="K278" s="39" t="n">
        <x:v>2</x:v>
      </x:c>
      <x:c r="L278" s="39" t="n">
        <x:v>1</x:v>
      </x:c>
    </x:row>
    <x:row r="279" ht="23" customHeight="1">
      <x:c r="B279" s="17" t="str">
        <x:v>All rounds</x:v>
      </x:c>
      <x:c r="C279" s="17" t="str">
        <x:v>line</x:v>
      </x:c>
      <x:c r="D279" s="17" t="str">
        <x:v>Math_74</x:v>
      </x:c>
      <x:c r="E279" s="32" t="n">
        <x:v>0.6311</x:v>
      </x:c>
      <x:c r="F279" s="32" t="n">
        <x:v>0</x:v>
      </x:c>
      <x:c r="G279" s="32" t="n">
        <x:v>0.9179999999999999</x:v>
      </x:c>
      <x:c r="H279" s="32" t="n">
        <x:v>0</x:v>
      </x:c>
      <x:c r="I279" s="39" t="n">
        <x:v>2</x:v>
      </x:c>
      <x:c r="J279" s="39" t="n">
        <x:v>2</x:v>
      </x:c>
      <x:c r="K279" s="39" t="n">
        <x:v>1</x:v>
      </x:c>
      <x:c r="L279" s="39" t="n">
        <x:v>1</x:v>
      </x:c>
    </x:row>
    <x:row r="280" ht="23" customHeight="1">
      <x:c r="B280" s="17" t="str">
        <x:v>All rounds</x:v>
      </x:c>
      <x:c r="C280" s="17" t="str">
        <x:v>line</x:v>
      </x:c>
      <x:c r="D280" s="17" t="str">
        <x:v>Math_75</x:v>
      </x:c>
      <x:c r="E280" s="32" t="n">
        <x:v>0.9776</x:v>
      </x:c>
      <x:c r="F280" s="32" t="n">
        <x:v>0.9104000000000001</x:v>
      </x:c>
      <x:c r="G280" s="32" t="n">
        <x:v>0.8506999999999999</x:v>
      </x:c>
      <x:c r="H280" s="32" t="n">
        <x:v>0</x:v>
      </x:c>
      <x:c r="I280" s="39" t="n">
        <x:v>2</x:v>
      </x:c>
      <x:c r="J280" s="39" t="n">
        <x:v>2</x:v>
      </x:c>
      <x:c r="K280" s="39" t="n">
        <x:v>2</x:v>
      </x:c>
      <x:c r="L280" s="39" t="n">
        <x:v>1</x:v>
      </x:c>
    </x:row>
    <x:row r="281" ht="23" customHeight="1">
      <x:c r="B281" s="17" t="str">
        <x:v>All rounds</x:v>
      </x:c>
      <x:c r="C281" s="17" t="str">
        <x:v>line</x:v>
      </x:c>
      <x:c r="D281" s="17" t="str">
        <x:v>Math_76</x:v>
      </x:c>
      <x:c r="E281" s="32" t="n">
        <x:v>0.9701000000000001</x:v>
      </x:c>
      <x:c r="F281" s="32" t="n">
        <x:v>0.022400000000000003</x:v>
      </x:c>
      <x:c r="G281" s="32" t="n">
        <x:v>0.7985</x:v>
      </x:c>
      <x:c r="H281" s="32" t="n">
        <x:v>0</x:v>
      </x:c>
      <x:c r="I281" s="39" t="n">
        <x:v>2</x:v>
      </x:c>
      <x:c r="J281" s="39" t="n">
        <x:v>2</x:v>
      </x:c>
      <x:c r="K281" s="39" t="n">
        <x:v>2</x:v>
      </x:c>
      <x:c r="L281" s="39" t="n">
        <x:v>1</x:v>
      </x:c>
    </x:row>
    <x:row r="282" ht="23" customHeight="1">
      <x:c r="B282" s="17" t="str">
        <x:v>All rounds</x:v>
      </x:c>
      <x:c r="C282" s="17" t="str">
        <x:v>line</x:v>
      </x:c>
      <x:c r="D282" s="17" t="str">
        <x:v>Math_77</x:v>
      </x:c>
      <x:c r="E282" s="32" t="n">
        <x:v>0.9987</x:v>
      </x:c>
      <x:c r="F282" s="32" t="n">
        <x:v>0.8360499999999998</x:v>
      </x:c>
      <x:c r="G282" s="32" t="n">
        <x:v>0.7309</x:v>
      </x:c>
      <x:c r="H282" s="32" t="n">
        <x:v>0.0025</x:v>
      </x:c>
      <x:c r="I282" s="39" t="n">
        <x:v>2</x:v>
      </x:c>
      <x:c r="J282" s="39" t="n">
        <x:v>2</x:v>
      </x:c>
      <x:c r="K282" s="39" t="n">
        <x:v>1</x:v>
      </x:c>
      <x:c r="L282" s="39" t="n">
        <x:v>1</x:v>
      </x:c>
    </x:row>
    <x:row r="283" ht="23" customHeight="1">
      <x:c r="B283" s="17" t="str">
        <x:v>All rounds</x:v>
      </x:c>
      <x:c r="C283" s="17" t="str">
        <x:v>line</x:v>
      </x:c>
      <x:c r="D283" s="17" t="str">
        <x:v>Math_79</x:v>
      </x:c>
      <x:c r="E283" s="32" t="n">
        <x:v>0.9405</x:v>
      </x:c>
      <x:c r="F283" s="32" t="n">
        <x:v>0.5857</x:v>
      </x:c>
      <x:c r="G283" s="32" t="n">
        <x:v>0.6333</x:v>
      </x:c>
      <x:c r="H283" s="32" t="n">
        <x:v>0.0048</x:v>
      </x:c>
      <x:c r="I283" s="39" t="n">
        <x:v>2</x:v>
      </x:c>
      <x:c r="J283" s="39" t="n">
        <x:v>2</x:v>
      </x:c>
      <x:c r="K283" s="39" t="n">
        <x:v>2</x:v>
      </x:c>
      <x:c r="L283" s="39" t="n">
        <x:v>1</x:v>
      </x:c>
    </x:row>
    <x:row r="284" ht="23" customHeight="1">
      <x:c r="B284" s="17" t="str">
        <x:v>All rounds</x:v>
      </x:c>
      <x:c r="C284" s="17" t="str">
        <x:v>line</x:v>
      </x:c>
      <x:c r="D284" s="17" t="str">
        <x:v>Math_8</x:v>
      </x:c>
      <x:c r="E284" s="32" t="n">
        <x:v>0.975</x:v>
      </x:c>
      <x:c r="F284" s="32" t="n">
        <x:v>0.175</x:v>
      </x:c>
      <x:c r="G284" s="32" t="n">
        <x:v>0.9875</x:v>
      </x:c>
      <x:c r="H284" s="32" t="n">
        <x:v>0</x:v>
      </x:c>
      <x:c r="I284" s="39" t="n">
        <x:v>2</x:v>
      </x:c>
      <x:c r="J284" s="39" t="n">
        <x:v>2</x:v>
      </x:c>
      <x:c r="K284" s="39" t="n">
        <x:v>2</x:v>
      </x:c>
      <x:c r="L284" s="39" t="n">
        <x:v>1</x:v>
      </x:c>
    </x:row>
    <x:row r="285" ht="23" customHeight="1">
      <x:c r="B285" s="17" t="str">
        <x:v>All rounds</x:v>
      </x:c>
      <x:c r="C285" s="17" t="str">
        <x:v>line</x:v>
      </x:c>
      <x:c r="D285" s="17" t="str">
        <x:v>Math_80</x:v>
      </x:c>
      <x:c r="E285" s="32" t="n">
        <x:v>0.8327</x:v>
      </x:c>
      <x:c r="F285" s="32" t="n">
        <x:v>0.23509999999999998</x:v>
      </x:c>
      <x:c r="G285" s="32" t="n">
        <x:v>0.33020000000000005</x:v>
      </x:c>
      <x:c r="H285" s="32" t="n">
        <x:v>0</x:v>
      </x:c>
      <x:c r="I285" s="39" t="n">
        <x:v>2</x:v>
      </x:c>
      <x:c r="J285" s="39" t="n">
        <x:v>2</x:v>
      </x:c>
      <x:c r="K285" s="39" t="n">
        <x:v>2</x:v>
      </x:c>
      <x:c r="L285" s="39" t="n">
        <x:v>1</x:v>
      </x:c>
    </x:row>
    <x:row r="286" ht="23" customHeight="1">
      <x:c r="B286" s="17" t="str">
        <x:v>All rounds</x:v>
      </x:c>
      <x:c r="C286" s="17" t="str">
        <x:v>line</x:v>
      </x:c>
      <x:c r="D286" s="17" t="str">
        <x:v>Math_81</x:v>
      </x:c>
      <x:c r="E286" s="32" t="n">
        <x:v>0.8419</x:v>
      </x:c>
      <x:c r="F286" s="32" t="n">
        <x:v>0.23420000000000002</x:v>
      </x:c>
      <x:c r="G286" s="32" t="n">
        <x:v>0.3353</x:v>
      </x:c>
      <x:c r="H286" s="32" t="n">
        <x:v>0</x:v>
      </x:c>
      <x:c r="I286" s="39" t="n">
        <x:v>2</x:v>
      </x:c>
      <x:c r="J286" s="39" t="n">
        <x:v>2</x:v>
      </x:c>
      <x:c r="K286" s="39" t="n">
        <x:v>2</x:v>
      </x:c>
      <x:c r="L286" s="39" t="n">
        <x:v>1</x:v>
      </x:c>
    </x:row>
    <x:row r="287" ht="23" customHeight="1">
      <x:c r="B287" s="17" t="str">
        <x:v>All rounds</x:v>
      </x:c>
      <x:c r="C287" s="17" t="str">
        <x:v>line</x:v>
      </x:c>
      <x:c r="D287" s="17" t="str">
        <x:v>Math_82</x:v>
      </x:c>
      <x:c r="E287" s="32" t="n">
        <x:v>0.9833</x:v>
      </x:c>
      <x:c r="F287" s="32" t="n">
        <x:v>0.2167</x:v>
      </x:c>
      <x:c r="G287" s="32" t="n">
        <x:v>0.9667</x:v>
      </x:c>
      <x:c r="H287" s="32" t="n">
        <x:v>0</x:v>
      </x:c>
      <x:c r="I287" s="39" t="n">
        <x:v>2</x:v>
      </x:c>
      <x:c r="J287" s="39" t="n">
        <x:v>2</x:v>
      </x:c>
      <x:c r="K287" s="39" t="n">
        <x:v>1</x:v>
      </x:c>
      <x:c r="L287" s="39" t="n">
        <x:v>1</x:v>
      </x:c>
    </x:row>
    <x:row r="288" ht="23" customHeight="1">
      <x:c r="B288" s="17" t="str">
        <x:v>All rounds</x:v>
      </x:c>
      <x:c r="C288" s="17" t="str">
        <x:v>line</x:v>
      </x:c>
      <x:c r="D288" s="17" t="str">
        <x:v>Math_83</x:v>
      </x:c>
      <x:c r="E288" s="32" t="n">
        <x:v>0.071</x:v>
      </x:c>
      <x:c r="F288" s="32" t="n">
        <x:v>0.0387</x:v>
      </x:c>
      <x:c r="G288" s="32" t="n">
        <x:v>0.071</x:v>
      </x:c>
      <x:c r="H288" s="32" t="n">
        <x:v>0</x:v>
      </x:c>
      <x:c r="I288" s="39" t="n">
        <x:v>2</x:v>
      </x:c>
      <x:c r="J288" s="39" t="n">
        <x:v>2</x:v>
      </x:c>
      <x:c r="K288" s="39" t="n">
        <x:v>1</x:v>
      </x:c>
      <x:c r="L288" s="39" t="n">
        <x:v>1</x:v>
      </x:c>
    </x:row>
    <x:row r="289" ht="23" customHeight="1">
      <x:c r="B289" s="17" t="str">
        <x:v>All rounds</x:v>
      </x:c>
      <x:c r="C289" s="17" t="str">
        <x:v>line</x:v>
      </x:c>
      <x:c r="D289" s="17" t="str">
        <x:v>Math_85</x:v>
      </x:c>
      <x:c r="E289" s="32" t="n">
        <x:v>0.9473999999999999</x:v>
      </x:c>
      <x:c r="F289" s="32" t="n">
        <x:v>0.21050000000000002</x:v>
      </x:c>
      <x:c r="G289" s="32" t="n">
        <x:v>0.9211</x:v>
      </x:c>
      <x:c r="H289" s="32" t="n">
        <x:v>0</x:v>
      </x:c>
      <x:c r="I289" s="39" t="n">
        <x:v>2</x:v>
      </x:c>
      <x:c r="J289" s="39" t="n">
        <x:v>2</x:v>
      </x:c>
      <x:c r="K289" s="39" t="n">
        <x:v>2</x:v>
      </x:c>
      <x:c r="L289" s="39" t="n">
        <x:v>1</x:v>
      </x:c>
    </x:row>
    <x:row r="290" ht="23" customHeight="1">
      <x:c r="B290" s="17" t="str">
        <x:v>All rounds</x:v>
      </x:c>
      <x:c r="C290" s="17" t="str">
        <x:v>line</x:v>
      </x:c>
      <x:c r="D290" s="17" t="str">
        <x:v>Math_86</x:v>
      </x:c>
      <x:c r="E290" s="32" t="n">
        <x:v>0.4224</x:v>
      </x:c>
      <x:c r="F290" s="32" t="n">
        <x:v>0.0259</x:v>
      </x:c>
      <x:c r="G290" s="32" t="n">
        <x:v>0.8448</x:v>
      </x:c>
      <x:c r="H290" s="32" t="n">
        <x:v>0</x:v>
      </x:c>
      <x:c r="I290" s="39" t="n">
        <x:v>2</x:v>
      </x:c>
      <x:c r="J290" s="39" t="n">
        <x:v>2</x:v>
      </x:c>
      <x:c r="K290" s="39" t="n">
        <x:v>1</x:v>
      </x:c>
      <x:c r="L290" s="39" t="n">
        <x:v>1</x:v>
      </x:c>
    </x:row>
    <x:row r="291" ht="23" customHeight="1">
      <x:c r="B291" s="17" t="str">
        <x:v>All rounds</x:v>
      </x:c>
      <x:c r="C291" s="17" t="str">
        <x:v>line</x:v>
      </x:c>
      <x:c r="D291" s="17" t="str">
        <x:v>Math_87</x:v>
      </x:c>
      <x:c r="E291" s="32" t="n">
        <x:v>0.0724</x:v>
      </x:c>
      <x:c r="F291" s="32" t="n">
        <x:v>0.0395</x:v>
      </x:c>
      <x:c r="G291" s="32" t="n">
        <x:v>0.0724</x:v>
      </x:c>
      <x:c r="H291" s="32" t="n">
        <x:v>0</x:v>
      </x:c>
      <x:c r="I291" s="39" t="n">
        <x:v>2</x:v>
      </x:c>
      <x:c r="J291" s="39" t="n">
        <x:v>2</x:v>
      </x:c>
      <x:c r="K291" s="39" t="n">
        <x:v>2</x:v>
      </x:c>
      <x:c r="L291" s="39" t="n">
        <x:v>1</x:v>
      </x:c>
    </x:row>
    <x:row r="292" ht="23" customHeight="1">
      <x:c r="B292" s="17" t="str">
        <x:v>All rounds</x:v>
      </x:c>
      <x:c r="C292" s="17" t="str">
        <x:v>line</x:v>
      </x:c>
      <x:c r="D292" s="17" t="str">
        <x:v>Math_88</x:v>
      </x:c>
      <x:c r="E292" s="32" t="n">
        <x:v>0.0724</x:v>
      </x:c>
      <x:c r="F292" s="32" t="n">
        <x:v>0.0395</x:v>
      </x:c>
      <x:c r="G292" s="32" t="n">
        <x:v>0.0724</x:v>
      </x:c>
      <x:c r="H292" s="32" t="n">
        <x:v>0</x:v>
      </x:c>
      <x:c r="I292" s="39" t="n">
        <x:v>2</x:v>
      </x:c>
      <x:c r="J292" s="39" t="n">
        <x:v>2</x:v>
      </x:c>
      <x:c r="K292" s="39" t="n">
        <x:v>1</x:v>
      </x:c>
      <x:c r="L292" s="39" t="n">
        <x:v>1</x:v>
      </x:c>
    </x:row>
    <x:row r="293" ht="23" customHeight="1">
      <x:c r="B293" s="17" t="str">
        <x:v>All rounds</x:v>
      </x:c>
      <x:c r="C293" s="17" t="str">
        <x:v>line</x:v>
      </x:c>
      <x:c r="D293" s="17" t="str">
        <x:v>Math_89</x:v>
      </x:c>
      <x:c r="E293" s="32" t="n">
        <x:v>1</x:v>
      </x:c>
      <x:c r="F293" s="32" t="n">
        <x:v>0.9906999999999999</x:v>
      </x:c>
      <x:c r="G293" s="32" t="n">
        <x:v>0.8981</x:v>
      </x:c>
      <x:c r="H293" s="32" t="n">
        <x:v>0</x:v>
      </x:c>
      <x:c r="I293" s="39" t="n">
        <x:v>2</x:v>
      </x:c>
      <x:c r="J293" s="39" t="n">
        <x:v>2</x:v>
      </x:c>
      <x:c r="K293" s="39" t="n">
        <x:v>2</x:v>
      </x:c>
      <x:c r="L293" s="39" t="n">
        <x:v>1</x:v>
      </x:c>
    </x:row>
    <x:row r="294" ht="23" customHeight="1">
      <x:c r="B294" s="17" t="str">
        <x:v>All rounds</x:v>
      </x:c>
      <x:c r="C294" s="17" t="str">
        <x:v>line</x:v>
      </x:c>
      <x:c r="D294" s="17" t="str">
        <x:v>Math_9</x:v>
      </x:c>
      <x:c r="E294" s="32" t="n">
        <x:v>0.9783</x:v>
      </x:c>
      <x:c r="F294" s="32" t="n">
        <x:v>0.10869999999999999</x:v>
      </x:c>
      <x:c r="G294" s="32" t="n">
        <x:v>0.9783</x:v>
      </x:c>
      <x:c r="H294" s="32" t="n">
        <x:v>0</x:v>
      </x:c>
      <x:c r="I294" s="39" t="n">
        <x:v>2</x:v>
      </x:c>
      <x:c r="J294" s="39" t="n">
        <x:v>2</x:v>
      </x:c>
      <x:c r="K294" s="39" t="n">
        <x:v>1</x:v>
      </x:c>
      <x:c r="L294" s="39" t="n">
        <x:v>1</x:v>
      </x:c>
    </x:row>
    <x:row r="295" ht="23" customHeight="1">
      <x:c r="B295" s="17" t="str">
        <x:v>All rounds</x:v>
      </x:c>
      <x:c r="C295" s="17" t="str">
        <x:v>line</x:v>
      </x:c>
      <x:c r="D295" s="17" t="str">
        <x:v>Math_90</x:v>
      </x:c>
      <x:c r="E295" s="32" t="n">
        <x:v>0.9906</x:v>
      </x:c>
      <x:c r="F295" s="32" t="n">
        <x:v>0.9906</x:v>
      </x:c>
      <x:c r="G295" s="32" t="n">
        <x:v>0.8208</x:v>
      </x:c>
      <x:c r="H295" s="32" t="n">
        <x:v>0</x:v>
      </x:c>
      <x:c r="I295" s="39" t="n">
        <x:v>2</x:v>
      </x:c>
      <x:c r="J295" s="39" t="n">
        <x:v>2</x:v>
      </x:c>
      <x:c r="K295" s="39" t="n">
        <x:v>2</x:v>
      </x:c>
      <x:c r="L295" s="39" t="n">
        <x:v>1</x:v>
      </x:c>
    </x:row>
    <x:row r="296" ht="23" customHeight="1">
      <x:c r="B296" s="17" t="str">
        <x:v>All rounds</x:v>
      </x:c>
      <x:c r="C296" s="17" t="str">
        <x:v>line</x:v>
      </x:c>
      <x:c r="D296" s="17" t="str">
        <x:v>Math_92</x:v>
      </x:c>
      <x:c r="E296" s="32" t="n">
        <x:v>0.8658</x:v>
      </x:c>
      <x:c r="F296" s="32" t="n">
        <x:v>0.645</x:v>
      </x:c>
      <x:c r="G296" s="32" t="n">
        <x:v>0.7965000000000001</x:v>
      </x:c>
      <x:c r="H296" s="32" t="n">
        <x:v>0.0043</x:v>
      </x:c>
      <x:c r="I296" s="39" t="n">
        <x:v>2</x:v>
      </x:c>
      <x:c r="J296" s="39" t="n">
        <x:v>2</x:v>
      </x:c>
      <x:c r="K296" s="39" t="n">
        <x:v>2</x:v>
      </x:c>
      <x:c r="L296" s="39" t="n">
        <x:v>1</x:v>
      </x:c>
    </x:row>
    <x:row r="297" ht="23" customHeight="1">
      <x:c r="B297" s="17" t="str">
        <x:v>All rounds</x:v>
      </x:c>
      <x:c r="C297" s="17" t="str">
        <x:v>line</x:v>
      </x:c>
      <x:c r="D297" s="17" t="str">
        <x:v>Math_93</x:v>
      </x:c>
      <x:c r="E297" s="32" t="n">
        <x:v>0.8673000000000001</x:v>
      </x:c>
      <x:c r="F297" s="32" t="n">
        <x:v>0.6416</x:v>
      </x:c>
      <x:c r="G297" s="32" t="n">
        <x:v>0.9336</x:v>
      </x:c>
      <x:c r="H297" s="32" t="n">
        <x:v>0.0044</x:v>
      </x:c>
      <x:c r="I297" s="39" t="n">
        <x:v>2</x:v>
      </x:c>
      <x:c r="J297" s="39" t="n">
        <x:v>2</x:v>
      </x:c>
      <x:c r="K297" s="39" t="n">
        <x:v>2</x:v>
      </x:c>
      <x:c r="L297" s="39" t="n">
        <x:v>1</x:v>
      </x:c>
    </x:row>
    <x:row r="298" ht="23" customHeight="1">
      <x:c r="B298" s="17" t="str">
        <x:v>All rounds</x:v>
      </x:c>
      <x:c r="C298" s="17" t="str">
        <x:v>line</x:v>
      </x:c>
      <x:c r="D298" s="17" t="str">
        <x:v>Math_94</x:v>
      </x:c>
      <x:c r="E298" s="32" t="n">
        <x:v>0.9111</x:v>
      </x:c>
      <x:c r="F298" s="32" t="n">
        <x:v>0.64</x:v>
      </x:c>
      <x:c r="G298" s="32" t="n">
        <x:v>0.8</x:v>
      </x:c>
      <x:c r="H298" s="32" t="n">
        <x:v>0</x:v>
      </x:c>
      <x:c r="I298" s="39" t="n">
        <x:v>2</x:v>
      </x:c>
      <x:c r="J298" s="39" t="n">
        <x:v>2</x:v>
      </x:c>
      <x:c r="K298" s="39" t="n">
        <x:v>2</x:v>
      </x:c>
      <x:c r="L298" s="39" t="n">
        <x:v>1</x:v>
      </x:c>
    </x:row>
    <x:row r="299" ht="23" customHeight="1">
      <x:c r="B299" s="17" t="str">
        <x:v>All rounds</x:v>
      </x:c>
      <x:c r="C299" s="17" t="str">
        <x:v>line</x:v>
      </x:c>
      <x:c r="D299" s="17" t="str">
        <x:v>Math_95</x:v>
      </x:c>
      <x:c r="E299" s="32" t="n">
        <x:v>1</x:v>
      </x:c>
      <x:c r="F299" s="32" t="n">
        <x:v>1</x:v>
      </x:c>
      <x:c r="G299" s="32" t="n">
        <x:v>1</x:v>
      </x:c>
      <x:c r="H299" s="32" t="n">
        <x:v>1</x:v>
      </x:c>
      <x:c r="I299" s="39" t="n">
        <x:v>2</x:v>
      </x:c>
      <x:c r="J299" s="39" t="n">
        <x:v>2</x:v>
      </x:c>
      <x:c r="K299" s="39" t="n">
        <x:v>2</x:v>
      </x:c>
      <x:c r="L299" s="39" t="n">
        <x:v>1</x:v>
      </x:c>
    </x:row>
    <x:row r="300" ht="23" customHeight="1">
      <x:c r="B300" s="17" t="str">
        <x:v>All rounds</x:v>
      </x:c>
      <x:c r="C300" s="17" t="str">
        <x:v>line</x:v>
      </x:c>
      <x:c r="D300" s="17" t="str">
        <x:v>Math_96</x:v>
      </x:c>
      <x:c r="E300" s="32" t="n">
        <x:v>0.9648</x:v>
      </x:c>
      <x:c r="F300" s="32" t="n">
        <x:v>0.9506999999999999</x:v>
      </x:c>
      <x:c r="G300" s="32" t="n">
        <x:v>0.9789</x:v>
      </x:c>
      <x:c r="H300" s="32" t="n">
        <x:v>0.0634</x:v>
      </x:c>
      <x:c r="I300" s="39" t="n">
        <x:v>2</x:v>
      </x:c>
      <x:c r="J300" s="39" t="n">
        <x:v>2</x:v>
      </x:c>
      <x:c r="K300" s="39" t="n">
        <x:v>2</x:v>
      </x:c>
      <x:c r="L300" s="39" t="n">
        <x:v>1</x:v>
      </x:c>
    </x:row>
    <x:row r="301" ht="23" customHeight="1">
      <x:c r="B301" s="17" t="str">
        <x:v>All rounds</x:v>
      </x:c>
      <x:c r="C301" s="17" t="str">
        <x:v>line</x:v>
      </x:c>
      <x:c r="D301" s="17" t="str">
        <x:v>Math_97</x:v>
      </x:c>
      <x:c r="E301" s="32" t="n">
        <x:v>1</x:v>
      </x:c>
      <x:c r="F301" s="32" t="n">
        <x:v>0.011200000000000002</x:v>
      </x:c>
      <x:c r="G301" s="32" t="n">
        <x:v>0.9775</x:v>
      </x:c>
      <x:c r="H301" s="32" t="n">
        <x:v>0</x:v>
      </x:c>
      <x:c r="I301" s="39" t="n">
        <x:v>2</x:v>
      </x:c>
      <x:c r="J301" s="39" t="n">
        <x:v>2</x:v>
      </x:c>
      <x:c r="K301" s="39" t="n">
        <x:v>2</x:v>
      </x:c>
      <x:c r="L301" s="39" t="n">
        <x:v>1</x:v>
      </x:c>
    </x:row>
    <x:row r="302" ht="23" customHeight="1">
      <x:c r="B302" s="17" t="str">
        <x:v>All rounds</x:v>
      </x:c>
      <x:c r="C302" s="17" t="str">
        <x:v>line</x:v>
      </x:c>
      <x:c r="D302" s="17" t="str">
        <x:v>Math_98</x:v>
      </x:c>
      <x:c r="E302" s="32" t="n">
        <x:v>0.8758</x:v>
      </x:c>
      <x:c r="F302" s="32" t="n">
        <x:v>0.7646999999999999</x:v>
      </x:c>
      <x:c r="G302" s="32" t="n">
        <x:v>0.8420000000000001</x:v>
      </x:c>
      <x:c r="H302" s="32" t="n">
        <x:v>0.0033</x:v>
      </x:c>
      <x:c r="I302" s="39" t="n">
        <x:v>2</x:v>
      </x:c>
      <x:c r="J302" s="39" t="n">
        <x:v>2</x:v>
      </x:c>
      <x:c r="K302" s="39" t="n">
        <x:v>2</x:v>
      </x:c>
      <x:c r="L302" s="39" t="n">
        <x:v>1</x:v>
      </x:c>
    </x:row>
    <x:row r="303" ht="23" customHeight="1">
      <x:c r="B303" s="17" t="str">
        <x:v>All rounds</x:v>
      </x:c>
      <x:c r="C303" s="17" t="str">
        <x:v>line</x:v>
      </x:c>
      <x:c r="D303" s="17" t="str">
        <x:v>Math_99</x:v>
      </x:c>
      <x:c r="E303" s="32" t="n">
        <x:v>0.9218999999999999</x:v>
      </x:c>
      <x:c r="F303" s="32" t="n">
        <x:v>0.7713999999999999</x:v>
      </x:c>
      <x:c r="G303" s="32" t="n">
        <x:v>0.9257</x:v>
      </x:c>
      <x:c r="H303" s="32" t="n">
        <x:v>0.0037</x:v>
      </x:c>
      <x:c r="I303" s="39" t="n">
        <x:v>2</x:v>
      </x:c>
      <x:c r="J303" s="39" t="n">
        <x:v>2</x:v>
      </x:c>
      <x:c r="K303" s="39" t="n">
        <x:v>2</x:v>
      </x:c>
      <x:c r="L303" s="39" t="n">
        <x:v>1</x:v>
      </x:c>
    </x:row>
    <x:row r="304" ht="23" customHeight="1">
      <x:c r="B304" s="17" t="str">
        <x:v>All rounds</x:v>
      </x:c>
      <x:c r="C304" s="17" t="str">
        <x:v>line</x:v>
      </x:c>
      <x:c r="D304" s="17" t="str">
        <x:v>Mockito_11</x:v>
      </x:c>
      <x:c r="E304" s="32" t="n">
        <x:v>0.35710000000000003</x:v>
      </x:c>
      <x:c r="F304" s="32" t="n">
        <x:v>0</x:v>
      </x:c>
      <x:c r="G304" s="32" t="n">
        <x:v>1</x:v>
      </x:c>
      <x:c r="H304" s="32" t="n">
        <x:v>1</x:v>
      </x:c>
      <x:c r="I304" s="39" t="n">
        <x:v>2</x:v>
      </x:c>
      <x:c r="J304" s="39" t="n">
        <x:v>2</x:v>
      </x:c>
      <x:c r="K304" s="39" t="n">
        <x:v>2</x:v>
      </x:c>
      <x:c r="L304" s="39" t="n">
        <x:v>1</x:v>
      </x:c>
    </x:row>
    <x:row r="305" ht="23" customHeight="1">
      <x:c r="B305" s="17" t="str">
        <x:v>All rounds</x:v>
      </x:c>
      <x:c r="C305" s="17" t="str">
        <x:v>line</x:v>
      </x:c>
      <x:c r="D305" s="17" t="str">
        <x:v>Mockito_12</x:v>
      </x:c>
      <x:c r="E305" s="32" t="n">
        <x:v>0.3333</x:v>
      </x:c>
      <x:c r="F305" s="32" t="n">
        <x:v>0.3333</x:v>
      </x:c>
      <x:c r="G305" s="32" t="n">
        <x:v>1</x:v>
      </x:c>
      <x:c r="H305" s="32" t="n">
        <x:v>1</x:v>
      </x:c>
      <x:c r="I305" s="39" t="n">
        <x:v>2</x:v>
      </x:c>
      <x:c r="J305" s="39" t="n">
        <x:v>2</x:v>
      </x:c>
      <x:c r="K305" s="39" t="n">
        <x:v>2</x:v>
      </x:c>
      <x:c r="L305" s="39" t="n">
        <x:v>1</x:v>
      </x:c>
    </x:row>
    <x:row r="306" ht="23" customHeight="1">
      <x:c r="B306" s="17" t="str">
        <x:v>All rounds</x:v>
      </x:c>
      <x:c r="C306" s="17" t="str">
        <x:v>line</x:v>
      </x:c>
      <x:c r="D306" s="17" t="str">
        <x:v>Mockito_15</x:v>
      </x:c>
      <x:c r="E306" s="32" t="n">
        <x:v>0.5385</x:v>
      </x:c>
      <x:c r="F306" s="32" t="n">
        <x:v>0.3077</x:v>
      </x:c>
      <x:c r="G306" s="32" t="n">
        <x:v>1</x:v>
      </x:c>
      <x:c r="H306" s="32" t="n">
        <x:v>1</x:v>
      </x:c>
      <x:c r="I306" s="39" t="n">
        <x:v>2</x:v>
      </x:c>
      <x:c r="J306" s="39" t="n">
        <x:v>2</x:v>
      </x:c>
      <x:c r="K306" s="39" t="n">
        <x:v>2</x:v>
      </x:c>
      <x:c r="L306" s="39" t="n">
        <x:v>1</x:v>
      </x:c>
    </x:row>
    <x:row r="307" ht="23" customHeight="1">
      <x:c r="B307" s="17" t="str">
        <x:v>All rounds</x:v>
      </x:c>
      <x:c r="C307" s="17" t="str">
        <x:v>line</x:v>
      </x:c>
      <x:c r="D307" s="17" t="str">
        <x:v>Mockito_21</x:v>
      </x:c>
      <x:c r="E307" s="32" t="n">
        <x:v>0.9375</x:v>
      </x:c>
      <x:c r="F307" s="32" t="n">
        <x:v>0.1875</x:v>
      </x:c>
      <x:c r="G307" s="32" t="n">
        <x:v>1</x:v>
      </x:c>
      <x:c r="H307" s="32" t="n">
        <x:v>1</x:v>
      </x:c>
      <x:c r="I307" s="39" t="n">
        <x:v>2</x:v>
      </x:c>
      <x:c r="J307" s="39" t="n">
        <x:v>2</x:v>
      </x:c>
      <x:c r="K307" s="39" t="n">
        <x:v>2</x:v>
      </x:c>
      <x:c r="L307" s="39" t="n">
        <x:v>1</x:v>
      </x:c>
    </x:row>
    <x:row r="308" ht="23" customHeight="1">
      <x:c r="B308" s="17" t="str">
        <x:v>All rounds</x:v>
      </x:c>
      <x:c r="C308" s="17" t="str">
        <x:v>line</x:v>
      </x:c>
      <x:c r="D308" s="17" t="str">
        <x:v>Mockito_22</x:v>
      </x:c>
      <x:c r="E308" s="32" t="n">
        <x:v>0.6923</x:v>
      </x:c>
      <x:c r="F308" s="32" t="n">
        <x:v>0.6923</x:v>
      </x:c>
      <x:c r="G308" s="32" t="n">
        <x:v>0.9231</x:v>
      </x:c>
      <x:c r="H308" s="32" t="n">
        <x:v>1</x:v>
      </x:c>
      <x:c r="I308" s="39" t="n">
        <x:v>2</x:v>
      </x:c>
      <x:c r="J308" s="39" t="n">
        <x:v>2</x:v>
      </x:c>
      <x:c r="K308" s="39" t="n">
        <x:v>2</x:v>
      </x:c>
      <x:c r="L308" s="39" t="n">
        <x:v>1</x:v>
      </x:c>
    </x:row>
    <x:row r="309" ht="23" customHeight="1">
      <x:c r="B309" s="17" t="str">
        <x:v>All rounds</x:v>
      </x:c>
      <x:c r="C309" s="17" t="str">
        <x:v>line</x:v>
      </x:c>
      <x:c r="D309" s="17" t="str">
        <x:v>Mockito_25</x:v>
      </x:c>
      <x:c r="E309" s="32" t="n">
        <x:v>0.21739999999999998</x:v>
      </x:c>
      <x:c r="F309" s="32" t="n">
        <x:v>0.21739999999999998</x:v>
      </x:c>
      <x:c r="G309" s="32" t="n">
        <x:v>0.9565</x:v>
      </x:c>
      <x:c r="H309" s="32" t="n">
        <x:v>0.3478</x:v>
      </x:c>
      <x:c r="I309" s="39" t="n">
        <x:v>2</x:v>
      </x:c>
      <x:c r="J309" s="39" t="n">
        <x:v>2</x:v>
      </x:c>
      <x:c r="K309" s="39" t="n">
        <x:v>1</x:v>
      </x:c>
      <x:c r="L309" s="39" t="n">
        <x:v>1</x:v>
      </x:c>
    </x:row>
    <x:row r="310" ht="23" customHeight="1">
      <x:c r="B310" s="17" t="str">
        <x:v>All rounds</x:v>
      </x:c>
      <x:c r="C310" s="17" t="str">
        <x:v>line</x:v>
      </x:c>
      <x:c r="D310" s="17" t="str">
        <x:v>Mockito_26</x:v>
      </x:c>
      <x:c r="E310" s="32" t="n">
        <x:v>1</x:v>
      </x:c>
      <x:c r="F310" s="32" t="n">
        <x:v>0.8332999999999999</x:v>
      </x:c>
      <x:c r="G310" s="32" t="n">
        <x:v>0.9722</x:v>
      </x:c>
      <x:c r="H310" s="32" t="n">
        <x:v>1</x:v>
      </x:c>
      <x:c r="I310" s="39" t="n">
        <x:v>2</x:v>
      </x:c>
      <x:c r="J310" s="39" t="n">
        <x:v>2</x:v>
      </x:c>
      <x:c r="K310" s="39" t="n">
        <x:v>1</x:v>
      </x:c>
      <x:c r="L310" s="39" t="n">
        <x:v>1</x:v>
      </x:c>
    </x:row>
    <x:row r="311" ht="23" customHeight="1">
      <x:c r="B311" s="17" t="str">
        <x:v>All rounds</x:v>
      </x:c>
      <x:c r="C311" s="17" t="str">
        <x:v>line</x:v>
      </x:c>
      <x:c r="D311" s="17" t="str">
        <x:v>Mockito_28</x:v>
      </x:c>
      <x:c r="E311" s="32" t="n">
        <x:v>0.3</x:v>
      </x:c>
      <x:c r="F311" s="32" t="n">
        <x:v>0.2</x:v>
      </x:c>
      <x:c r="G311" s="32" t="n">
        <x:v>0.9333</x:v>
      </x:c>
      <x:c r="H311" s="32" t="n">
        <x:v>1</x:v>
      </x:c>
      <x:c r="I311" s="39" t="n">
        <x:v>2</x:v>
      </x:c>
      <x:c r="J311" s="39" t="n">
        <x:v>2</x:v>
      </x:c>
      <x:c r="K311" s="39" t="n">
        <x:v>1</x:v>
      </x:c>
      <x:c r="L311" s="39" t="n">
        <x:v>1</x:v>
      </x:c>
    </x:row>
    <x:row r="312" ht="23" customHeight="1">
      <x:c r="B312" s="17" t="str">
        <x:v>All rounds</x:v>
      </x:c>
      <x:c r="C312" s="17" t="str">
        <x:v>line</x:v>
      </x:c>
      <x:c r="D312" s="17" t="str">
        <x:v>Mockito_30</x:v>
      </x:c>
      <x:c r="E312" s="32" t="n">
        <x:v>0.6964</x:v>
      </x:c>
      <x:c r="F312" s="32" t="n">
        <x:v>0.5536</x:v>
      </x:c>
      <x:c r="G312" s="32" t="n">
        <x:v>0.7768</x:v>
      </x:c>
      <x:c r="H312" s="32" t="n">
        <x:v>0.1875</x:v>
      </x:c>
      <x:c r="I312" s="39" t="n">
        <x:v>2</x:v>
      </x:c>
      <x:c r="J312" s="39" t="n">
        <x:v>2</x:v>
      </x:c>
      <x:c r="K312" s="39" t="n">
        <x:v>1</x:v>
      </x:c>
      <x:c r="L312" s="39" t="n">
        <x:v>1</x:v>
      </x:c>
    </x:row>
    <x:row r="313" ht="23" customHeight="1">
      <x:c r="B313" s="17" t="str">
        <x:v>All rounds</x:v>
      </x:c>
      <x:c r="C313" s="17" t="str">
        <x:v>line</x:v>
      </x:c>
      <x:c r="D313" s="17" t="str">
        <x:v>Mockito_31</x:v>
      </x:c>
      <x:c r="E313" s="32" t="n">
        <x:v>0.15789999999999998</x:v>
      </x:c>
      <x:c r="F313" s="32" t="n">
        <x:v>0.15789999999999998</x:v>
      </x:c>
      <x:c r="G313" s="32" t="n">
        <x:v>0.9473999999999999</x:v>
      </x:c>
      <x:c r="H313" s="32" t="n">
        <x:v>0.9473999999999999</x:v>
      </x:c>
      <x:c r="I313" s="39" t="n">
        <x:v>2</x:v>
      </x:c>
      <x:c r="J313" s="39" t="n">
        <x:v>2</x:v>
      </x:c>
      <x:c r="K313" s="39" t="n">
        <x:v>1</x:v>
      </x:c>
      <x:c r="L313" s="39" t="n">
        <x:v>1</x:v>
      </x:c>
    </x:row>
    <x:row r="314" ht="23" customHeight="1">
      <x:c r="B314" s="17" t="str">
        <x:v>All rounds</x:v>
      </x:c>
      <x:c r="C314" s="17" t="str">
        <x:v>line</x:v>
      </x:c>
      <x:c r="D314" s="17" t="str">
        <x:v>Mockito_35</x:v>
      </x:c>
      <x:c r="E314" s="32" t="n">
        <x:v>1</x:v>
      </x:c>
      <x:c r="F314" s="32" t="n">
        <x:v>0.8824</x:v>
      </x:c>
      <x:c r="G314" s="32" t="n">
        <x:v>0.9804</x:v>
      </x:c>
      <x:c r="H314" s="32" t="n">
        <x:v>1</x:v>
      </x:c>
      <x:c r="I314" s="39" t="n">
        <x:v>2</x:v>
      </x:c>
      <x:c r="J314" s="39" t="n">
        <x:v>2</x:v>
      </x:c>
      <x:c r="K314" s="39" t="n">
        <x:v>1</x:v>
      </x:c>
      <x:c r="L314" s="39" t="n">
        <x:v>1</x:v>
      </x:c>
    </x:row>
    <x:row r="315" ht="23" customHeight="1">
      <x:c r="B315" s="17" t="str">
        <x:v>All rounds</x:v>
      </x:c>
      <x:c r="C315" s="17" t="str">
        <x:v>line</x:v>
      </x:c>
      <x:c r="D315" s="17" t="str">
        <x:v>Mockito_37</x:v>
      </x:c>
      <x:c r="E315" s="32" t="n">
        <x:v>0.6296</x:v>
      </x:c>
      <x:c r="F315" s="32" t="n">
        <x:v>0.0741</x:v>
      </x:c>
      <x:c r="G315" s="32" t="n">
        <x:v>1</x:v>
      </x:c>
      <x:c r="H315" s="32" t="n">
        <x:v>1</x:v>
      </x:c>
      <x:c r="I315" s="39" t="n">
        <x:v>2</x:v>
      </x:c>
      <x:c r="J315" s="39" t="n">
        <x:v>2</x:v>
      </x:c>
      <x:c r="K315" s="39" t="n">
        <x:v>2</x:v>
      </x:c>
      <x:c r="L315" s="39" t="n">
        <x:v>1</x:v>
      </x:c>
    </x:row>
    <x:row r="316" ht="23" customHeight="1">
      <x:c r="B316" s="17" t="str">
        <x:v>All rounds</x:v>
      </x:c>
      <x:c r="C316" s="17" t="str">
        <x:v>line</x:v>
      </x:c>
      <x:c r="D316" s="17" t="str">
        <x:v>Time_10</x:v>
      </x:c>
      <x:c r="E316" s="32" t="n">
        <x:v>0.9437000000000001</x:v>
      </x:c>
      <x:c r="F316" s="32" t="n">
        <x:v>0.08449999999999999</x:v>
      </x:c>
      <x:c r="G316" s="32" t="n">
        <x:v>0.9296</x:v>
      </x:c>
      <x:c r="H316" s="32" t="n">
        <x:v>0.9859</x:v>
      </x:c>
      <x:c r="I316" s="39" t="n">
        <x:v>2</x:v>
      </x:c>
      <x:c r="J316" s="39" t="n">
        <x:v>2</x:v>
      </x:c>
      <x:c r="K316" s="39" t="n">
        <x:v>1</x:v>
      </x:c>
      <x:c r="L316" s="39" t="n">
        <x:v>1</x:v>
      </x:c>
    </x:row>
    <x:row r="317" ht="23" customHeight="1">
      <x:c r="B317" s="17" t="str">
        <x:v>All rounds</x:v>
      </x:c>
      <x:c r="C317" s="17" t="str">
        <x:v>line</x:v>
      </x:c>
      <x:c r="D317" s="17" t="str">
        <x:v>Time_11</x:v>
      </x:c>
      <x:c r="E317" s="32" t="n">
        <x:v>0.44530000000000003</x:v>
      </x:c>
      <x:c r="F317" s="32" t="n">
        <x:v>0.18195</x:v>
      </x:c>
      <x:c r="G317" s="32" t="n">
        <x:v>0.1628</x:v>
      </x:c>
      <x:c r="H317" s="32" t="n">
        <x:v>0.9159999999999999</x:v>
      </x:c>
      <x:c r="I317" s="39" t="n">
        <x:v>2</x:v>
      </x:c>
      <x:c r="J317" s="39" t="n">
        <x:v>2</x:v>
      </x:c>
      <x:c r="K317" s="39" t="n">
        <x:v>1</x:v>
      </x:c>
      <x:c r="L317" s="39" t="n">
        <x:v>1</x:v>
      </x:c>
    </x:row>
    <x:row r="318" ht="23" customHeight="1">
      <x:c r="B318" s="17" t="str">
        <x:v>All rounds</x:v>
      </x:c>
      <x:c r="C318" s="17" t="str">
        <x:v>line</x:v>
      </x:c>
      <x:c r="D318" s="17" t="str">
        <x:v>Time_15</x:v>
      </x:c>
      <x:c r="E318" s="32" t="n">
        <x:v>0.9732999999999999</x:v>
      </x:c>
      <x:c r="F318" s="32" t="n">
        <x:v>0.83335</x:v>
      </x:c>
      <x:c r="G318" s="32" t="n">
        <x:v>0.7467</x:v>
      </x:c>
      <x:c r="H318" s="32" t="n">
        <x:v>0.9333</x:v>
      </x:c>
      <x:c r="I318" s="39" t="n">
        <x:v>2</x:v>
      </x:c>
      <x:c r="J318" s="39" t="n">
        <x:v>2</x:v>
      </x:c>
      <x:c r="K318" s="39" t="n">
        <x:v>1</x:v>
      </x:c>
      <x:c r="L318" s="39" t="n">
        <x:v>1</x:v>
      </x:c>
    </x:row>
    <x:row r="319" ht="23" customHeight="1">
      <x:c r="B319" s="17" t="str">
        <x:v>All rounds</x:v>
      </x:c>
      <x:c r="C319" s="17" t="str">
        <x:v>line</x:v>
      </x:c>
      <x:c r="D319" s="17" t="str">
        <x:v>Time_16</x:v>
      </x:c>
      <x:c r="E319" s="32" t="n">
        <x:v>0.8937</x:v>
      </x:c>
      <x:c r="F319" s="32" t="n">
        <x:v>0.35025</x:v>
      </x:c>
      <x:c r="G319" s="32" t="n">
        <x:v>0.715</x:v>
      </x:c>
      <x:c r="H319" s="32" t="n">
        <x:v>1</x:v>
      </x:c>
      <x:c r="I319" s="39" t="n">
        <x:v>2</x:v>
      </x:c>
      <x:c r="J319" s="39" t="n">
        <x:v>2</x:v>
      </x:c>
      <x:c r="K319" s="39" t="n">
        <x:v>1</x:v>
      </x:c>
      <x:c r="L319" s="39" t="n">
        <x:v>1</x:v>
      </x:c>
    </x:row>
    <x:row r="320" ht="23" customHeight="1">
      <x:c r="B320" s="17" t="str">
        <x:v>All rounds</x:v>
      </x:c>
      <x:c r="C320" s="17" t="str">
        <x:v>line</x:v>
      </x:c>
      <x:c r="D320" s="17" t="str">
        <x:v>Time_20</x:v>
      </x:c>
      <x:c r="E320" s="32" t="n">
        <x:v>0.6776000000000001</x:v>
      </x:c>
      <x:c r="F320" s="32" t="n">
        <x:v>0.304</x:v>
      </x:c>
      <x:c r="G320" s="32" t="n">
        <x:v>0.1655</x:v>
      </x:c>
      <x:c r="H320" s="32" t="n">
        <x:v>0.8025</x:v>
      </x:c>
      <x:c r="I320" s="39" t="n">
        <x:v>2</x:v>
      </x:c>
      <x:c r="J320" s="39" t="n">
        <x:v>2</x:v>
      </x:c>
      <x:c r="K320" s="39" t="n">
        <x:v>1</x:v>
      </x:c>
      <x:c r="L320" s="39" t="n">
        <x:v>1</x:v>
      </x:c>
    </x:row>
    <x:row r="321" ht="23" customHeight="1">
      <x:c r="B321" s="17" t="str">
        <x:v>All rounds</x:v>
      </x:c>
      <x:c r="C321" s="17" t="str">
        <x:v>condition</x:v>
      </x:c>
      <x:c r="D321" s="17" t="str">
        <x:v>Chart_16</x:v>
      </x:c>
      <x:c r="E321" s="32" t="n">
        <x:v>0.8438</x:v>
      </x:c>
      <x:c r="F321" s="32" t="n">
        <x:v>0.8281000000000001</x:v>
      </x:c>
      <x:c r="G321" s="32" t="n">
        <x:v>0.8828</x:v>
      </x:c>
      <x:c r="H321" s="32" t="n">
        <x:v>0.1562</x:v>
      </x:c>
      <x:c r="I321" s="39" t="n">
        <x:v>2</x:v>
      </x:c>
      <x:c r="J321" s="39" t="n">
        <x:v>2</x:v>
      </x:c>
      <x:c r="K321" s="39" t="n">
        <x:v>1</x:v>
      </x:c>
      <x:c r="L321" s="39" t="n">
        <x:v>1</x:v>
      </x:c>
    </x:row>
    <x:row r="322" ht="23" customHeight="1">
      <x:c r="B322" s="17" t="str">
        <x:v>All rounds</x:v>
      </x:c>
      <x:c r="C322" s="17" t="str">
        <x:v>condition</x:v>
      </x:c>
      <x:c r="D322" s="17" t="str">
        <x:v>Chart_18</x:v>
      </x:c>
      <x:c r="E322" s="32" t="n">
        <x:v>0.9672</x:v>
      </x:c>
      <x:c r="F322" s="32" t="n">
        <x:v>0.7336</x:v>
      </x:c>
      <x:c r="G322" s="32" t="n">
        <x:v>0.8361</x:v>
      </x:c>
      <x:c r="H322" s="32" t="n">
        <x:v>0.1311</x:v>
      </x:c>
      <x:c r="I322" s="39" t="n">
        <x:v>2</x:v>
      </x:c>
      <x:c r="J322" s="39" t="n">
        <x:v>2</x:v>
      </x:c>
      <x:c r="K322" s="39" t="n">
        <x:v>2</x:v>
      </x:c>
      <x:c r="L322" s="39" t="n">
        <x:v>1</x:v>
      </x:c>
    </x:row>
    <x:row r="323" ht="23" customHeight="1">
      <x:c r="B323" s="17" t="str">
        <x:v>All rounds</x:v>
      </x:c>
      <x:c r="C323" s="17" t="str">
        <x:v>condition</x:v>
      </x:c>
      <x:c r="D323" s="17" t="str">
        <x:v>Chart_20</x:v>
      </x:c>
      <x:c r="E323" s="32" t="n">
        <x:v>0.875</x:v>
      </x:c>
      <x:c r="F323" s="32" t="n">
        <x:v>0.75</x:v>
      </x:c>
      <x:c r="G323" s="32" t="n">
        <x:v>0.875</x:v>
      </x:c>
      <x:c r="H323" s="32" t="n">
        <x:v>0.875</x:v>
      </x:c>
      <x:c r="I323" s="39" t="n">
        <x:v>2</x:v>
      </x:c>
      <x:c r="J323" s="39" t="n">
        <x:v>2</x:v>
      </x:c>
      <x:c r="K323" s="39" t="n">
        <x:v>1</x:v>
      </x:c>
      <x:c r="L323" s="39" t="n">
        <x:v>1</x:v>
      </x:c>
    </x:row>
    <x:row r="324" ht="23" customHeight="1">
      <x:c r="B324" s="17" t="str">
        <x:v>All rounds</x:v>
      </x:c>
      <x:c r="C324" s="17" t="str">
        <x:v>condition</x:v>
      </x:c>
      <x:c r="D324" s="17" t="str">
        <x:v>Chart_21</x:v>
      </x:c>
      <x:c r="E324" s="32" t="n">
        <x:v>0.7333</x:v>
      </x:c>
      <x:c r="F324" s="32" t="n">
        <x:v>0.15</x:v>
      </x:c>
      <x:c r="G324" s="32" t="n">
        <x:v>0.4</x:v>
      </x:c>
      <x:c r="H324" s="32" t="n">
        <x:v>0.1</x:v>
      </x:c>
      <x:c r="I324" s="39" t="n">
        <x:v>2</x:v>
      </x:c>
      <x:c r="J324" s="39" t="n">
        <x:v>2</x:v>
      </x:c>
      <x:c r="K324" s="39" t="n">
        <x:v>2</x:v>
      </x:c>
      <x:c r="L324" s="39" t="n">
        <x:v>1</x:v>
      </x:c>
    </x:row>
    <x:row r="325" ht="23" customHeight="1">
      <x:c r="B325" s="17" t="str">
        <x:v>All rounds</x:v>
      </x:c>
      <x:c r="C325" s="17" t="str">
        <x:v>condition</x:v>
      </x:c>
      <x:c r="D325" s="17" t="str">
        <x:v>Chart_22</x:v>
      </x:c>
      <x:c r="E325" s="32" t="n">
        <x:v>0.8966</x:v>
      </x:c>
      <x:c r="F325" s="32" t="n">
        <x:v>0.8448</x:v>
      </x:c>
      <x:c r="G325" s="32" t="n">
        <x:v>0.8103</x:v>
      </x:c>
      <x:c r="H325" s="32" t="n">
        <x:v>0.1552</x:v>
      </x:c>
      <x:c r="I325" s="39" t="n">
        <x:v>2</x:v>
      </x:c>
      <x:c r="J325" s="39" t="n">
        <x:v>2</x:v>
      </x:c>
      <x:c r="K325" s="39" t="n">
        <x:v>2</x:v>
      </x:c>
      <x:c r="L325" s="39" t="n">
        <x:v>1</x:v>
      </x:c>
    </x:row>
    <x:row r="326" ht="23" customHeight="1">
      <x:c r="B326" s="17" t="str">
        <x:v>All rounds</x:v>
      </x:c>
      <x:c r="C326" s="17" t="str">
        <x:v>condition</x:v>
      </x:c>
      <x:c r="D326" s="17" t="str">
        <x:v>Chart_23</x:v>
      </x:c>
      <x:c r="E326" s="32" t="n">
        <x:v>0.2609</x:v>
      </x:c>
      <x:c r="F326" s="32" t="n">
        <x:v>0.22824999999999998</x:v>
      </x:c>
      <x:c r="G326" s="32" t="n">
        <x:v>0.2609</x:v>
      </x:c>
      <x:c r="H326" s="32" t="n">
        <x:v>0.8913</x:v>
      </x:c>
      <x:c r="I326" s="39" t="n">
        <x:v>2</x:v>
      </x:c>
      <x:c r="J326" s="39" t="n">
        <x:v>2</x:v>
      </x:c>
      <x:c r="K326" s="39" t="n">
        <x:v>1</x:v>
      </x:c>
      <x:c r="L326" s="39" t="n">
        <x:v>1</x:v>
      </x:c>
    </x:row>
    <x:row r="327" ht="23" customHeight="1">
      <x:c r="B327" s="17" t="str">
        <x:v>All rounds</x:v>
      </x:c>
      <x:c r="C327" s="17" t="str">
        <x:v>condition</x:v>
      </x:c>
      <x:c r="D327" s="17" t="str">
        <x:v>Chart_24</x:v>
      </x:c>
      <x:c r="E327" s="32" t="n">
        <x:v>1</x:v>
      </x:c>
      <x:c r="F327" s="32" t="n">
        <x:v>0.9</x:v>
      </x:c>
      <x:c r="G327" s="32" t="n">
        <x:v>1</x:v>
      </x:c>
      <x:c r="H327" s="32" t="n">
        <x:v>1</x:v>
      </x:c>
      <x:c r="I327" s="39" t="n">
        <x:v>2</x:v>
      </x:c>
      <x:c r="J327" s="39" t="n">
        <x:v>2</x:v>
      </x:c>
      <x:c r="K327" s="39" t="n">
        <x:v>2</x:v>
      </x:c>
      <x:c r="L327" s="39" t="n">
        <x:v>1</x:v>
      </x:c>
    </x:row>
    <x:row r="328" ht="23" customHeight="1">
      <x:c r="B328" s="17" t="str">
        <x:v>All rounds</x:v>
      </x:c>
      <x:c r="C328" s="17" t="str">
        <x:v>condition</x:v>
      </x:c>
      <x:c r="D328" s="17" t="str">
        <x:v>Chart_26</x:v>
      </x:c>
      <x:c r="E328" s="32" t="n">
        <x:v>0.8359000000000001</x:v>
      </x:c>
      <x:c r="F328" s="32" t="n">
        <x:v>0</x:v>
      </x:c>
      <x:c r="G328" s="32" t="n">
        <x:v>0.5078</x:v>
      </x:c>
      <x:c r="H328" s="32" t="n">
        <x:v>0.9688</x:v>
      </x:c>
      <x:c r="I328" s="39" t="n">
        <x:v>2</x:v>
      </x:c>
      <x:c r="J328" s="39" t="n">
        <x:v>2</x:v>
      </x:c>
      <x:c r="K328" s="39" t="n">
        <x:v>1</x:v>
      </x:c>
      <x:c r="L328" s="39" t="n">
        <x:v>1</x:v>
      </x:c>
    </x:row>
    <x:row r="329" ht="23" customHeight="1">
      <x:c r="B329" s="17" t="str">
        <x:v>All rounds</x:v>
      </x:c>
      <x:c r="C329" s="17" t="str">
        <x:v>condition</x:v>
      </x:c>
      <x:c r="D329" s="17" t="str">
        <x:v>Chart_5</x:v>
      </x:c>
      <x:c r="E329" s="32" t="n">
        <x:v>1</x:v>
      </x:c>
      <x:c r="F329" s="32" t="n">
        <x:v>0.80625</x:v>
      </x:c>
      <x:c r="G329" s="32" t="n">
        <x:v>0.8625</x:v>
      </x:c>
      <x:c r="H329" s="32" t="n">
        <x:v>0.5625</x:v>
      </x:c>
      <x:c r="I329" s="39" t="n">
        <x:v>2</x:v>
      </x:c>
      <x:c r="J329" s="39" t="n">
        <x:v>2</x:v>
      </x:c>
      <x:c r="K329" s="39" t="n">
        <x:v>1</x:v>
      </x:c>
      <x:c r="L329" s="39" t="n">
        <x:v>1</x:v>
      </x:c>
    </x:row>
    <x:row r="330" ht="23" customHeight="1">
      <x:c r="B330" s="17" t="str">
        <x:v>All rounds</x:v>
      </x:c>
      <x:c r="C330" s="17" t="str">
        <x:v>condition</x:v>
      </x:c>
      <x:c r="D330" s="17" t="str">
        <x:v>Chart_8</x:v>
      </x:c>
      <x:c r="E330" s="32" t="n">
        <x:v>0.8088</x:v>
      </x:c>
      <x:c r="F330" s="32" t="n">
        <x:v>0.7646999999999999</x:v>
      </x:c>
      <x:c r="G330" s="32" t="n">
        <x:v>0.5146999999999999</x:v>
      </x:c>
      <x:c r="H330" s="32" t="n">
        <x:v>0.0588</x:v>
      </x:c>
      <x:c r="I330" s="39" t="n">
        <x:v>2</x:v>
      </x:c>
      <x:c r="J330" s="39" t="n">
        <x:v>2</x:v>
      </x:c>
      <x:c r="K330" s="39" t="n">
        <x:v>2</x:v>
      </x:c>
      <x:c r="L330" s="39" t="n">
        <x:v>1</x:v>
      </x:c>
    </x:row>
    <x:row r="331" ht="23" customHeight="1">
      <x:c r="B331" s="17" t="str">
        <x:v>All rounds</x:v>
      </x:c>
      <x:c r="C331" s="17" t="str">
        <x:v>condition</x:v>
      </x:c>
      <x:c r="D331" s="17" t="str">
        <x:v>Cli_1</x:v>
      </x:c>
      <x:c r="E331" s="32" t="n">
        <x:v>0</x:v>
      </x:c>
      <x:c r="F331" s="32" t="n">
        <x:v>0</x:v>
      </x:c>
      <x:c r="G331" s="32" t="n">
        <x:v>0</x:v>
      </x:c>
      <x:c r="H331" s="32" t="n">
        <x:v>0</x:v>
      </x:c>
      <x:c r="I331" s="39" t="n">
        <x:v>2</x:v>
      </x:c>
      <x:c r="J331" s="39" t="n">
        <x:v>2</x:v>
      </x:c>
      <x:c r="K331" s="39" t="n">
        <x:v>1</x:v>
      </x:c>
      <x:c r="L331" s="39" t="n">
        <x:v>1</x:v>
      </x:c>
    </x:row>
    <x:row r="332" ht="23" customHeight="1">
      <x:c r="B332" s="17" t="str">
        <x:v>All rounds</x:v>
      </x:c>
      <x:c r="C332" s="17" t="str">
        <x:v>condition</x:v>
      </x:c>
      <x:c r="D332" s="17" t="str">
        <x:v>Cli_11</x:v>
      </x:c>
      <x:c r="E332" s="32" t="n">
        <x:v>0</x:v>
      </x:c>
      <x:c r="F332" s="32" t="n">
        <x:v>0</x:v>
      </x:c>
      <x:c r="G332" s="32" t="n">
        <x:v>0</x:v>
      </x:c>
      <x:c r="H332" s="32" t="n">
        <x:v>0</x:v>
      </x:c>
      <x:c r="I332" s="39" t="n">
        <x:v>2</x:v>
      </x:c>
      <x:c r="J332" s="39" t="n">
        <x:v>2</x:v>
      </x:c>
      <x:c r="K332" s="39" t="n">
        <x:v>1</x:v>
      </x:c>
      <x:c r="L332" s="39" t="n">
        <x:v>1</x:v>
      </x:c>
    </x:row>
    <x:row r="333" ht="23" customHeight="1">
      <x:c r="B333" s="17" t="str">
        <x:v>All rounds</x:v>
      </x:c>
      <x:c r="C333" s="17" t="str">
        <x:v>condition</x:v>
      </x:c>
      <x:c r="D333" s="17" t="str">
        <x:v>Cli_17</x:v>
      </x:c>
      <x:c r="E333" s="32" t="n">
        <x:v>0</x:v>
      </x:c>
      <x:c r="F333" s="32" t="n">
        <x:v>0</x:v>
      </x:c>
      <x:c r="G333" s="32" t="n">
        <x:v>0</x:v>
      </x:c>
      <x:c r="H333" s="32" t="n">
        <x:v>0</x:v>
      </x:c>
      <x:c r="I333" s="39" t="n">
        <x:v>2</x:v>
      </x:c>
      <x:c r="J333" s="39" t="n">
        <x:v>2</x:v>
      </x:c>
      <x:c r="K333" s="39" t="n">
        <x:v>1</x:v>
      </x:c>
      <x:c r="L333" s="39" t="n">
        <x:v>1</x:v>
      </x:c>
    </x:row>
    <x:row r="334" ht="23" customHeight="1">
      <x:c r="B334" s="17" t="str">
        <x:v>All rounds</x:v>
      </x:c>
      <x:c r="C334" s="17" t="str">
        <x:v>condition</x:v>
      </x:c>
      <x:c r="D334" s="17" t="str">
        <x:v>Cli_18</x:v>
      </x:c>
      <x:c r="E334" s="32" t="n">
        <x:v>0</x:v>
      </x:c>
      <x:c r="F334" s="32" t="n">
        <x:v>0</x:v>
      </x:c>
      <x:c r="G334" s="32" t="n">
        <x:v>0</x:v>
      </x:c>
      <x:c r="H334" s="32" t="n">
        <x:v>0</x:v>
      </x:c>
      <x:c r="I334" s="39" t="n">
        <x:v>2</x:v>
      </x:c>
      <x:c r="J334" s="39" t="n">
        <x:v>2</x:v>
      </x:c>
      <x:c r="K334" s="39" t="n">
        <x:v>2</x:v>
      </x:c>
      <x:c r="L334" s="39" t="n">
        <x:v>1</x:v>
      </x:c>
    </x:row>
    <x:row r="335" ht="23" customHeight="1">
      <x:c r="B335" s="17" t="str">
        <x:v>All rounds</x:v>
      </x:c>
      <x:c r="C335" s="17" t="str">
        <x:v>condition</x:v>
      </x:c>
      <x:c r="D335" s="17" t="str">
        <x:v>Cli_19</x:v>
      </x:c>
      <x:c r="E335" s="32" t="n">
        <x:v>0</x:v>
      </x:c>
      <x:c r="F335" s="32" t="n">
        <x:v>0</x:v>
      </x:c>
      <x:c r="G335" s="32" t="n">
        <x:v>0</x:v>
      </x:c>
      <x:c r="H335" s="32" t="n">
        <x:v>0</x:v>
      </x:c>
      <x:c r="I335" s="39" t="n">
        <x:v>2</x:v>
      </x:c>
      <x:c r="J335" s="39" t="n">
        <x:v>2</x:v>
      </x:c>
      <x:c r="K335" s="39" t="n">
        <x:v>2</x:v>
      </x:c>
      <x:c r="L335" s="39" t="n">
        <x:v>1</x:v>
      </x:c>
    </x:row>
    <x:row r="336" ht="23" customHeight="1">
      <x:c r="B336" s="17" t="str">
        <x:v>All rounds</x:v>
      </x:c>
      <x:c r="C336" s="17" t="str">
        <x:v>condition</x:v>
      </x:c>
      <x:c r="D336" s="17" t="str">
        <x:v>Cli_2</x:v>
      </x:c>
      <x:c r="E336" s="32" t="n">
        <x:v>0</x:v>
      </x:c>
      <x:c r="F336" s="32" t="n">
        <x:v>0</x:v>
      </x:c>
      <x:c r="G336" s="32" t="n">
        <x:v>0</x:v>
      </x:c>
      <x:c r="H336" s="32" t="n">
        <x:v>0</x:v>
      </x:c>
      <x:c r="I336" s="39" t="n">
        <x:v>2</x:v>
      </x:c>
      <x:c r="J336" s="39" t="n">
        <x:v>2</x:v>
      </x:c>
      <x:c r="K336" s="39" t="n">
        <x:v>2</x:v>
      </x:c>
      <x:c r="L336" s="39" t="n">
        <x:v>1</x:v>
      </x:c>
    </x:row>
    <x:row r="337" ht="23" customHeight="1">
      <x:c r="B337" s="17" t="str">
        <x:v>All rounds</x:v>
      </x:c>
      <x:c r="C337" s="17" t="str">
        <x:v>condition</x:v>
      </x:c>
      <x:c r="D337" s="17" t="str">
        <x:v>Cli_20</x:v>
      </x:c>
      <x:c r="E337" s="32" t="n">
        <x:v>0</x:v>
      </x:c>
      <x:c r="F337" s="32" t="n">
        <x:v>0</x:v>
      </x:c>
      <x:c r="G337" s="32" t="n">
        <x:v>0</x:v>
      </x:c>
      <x:c r="H337" s="32" t="n">
        <x:v>0</x:v>
      </x:c>
      <x:c r="I337" s="39" t="n">
        <x:v>2</x:v>
      </x:c>
      <x:c r="J337" s="39" t="n">
        <x:v>2</x:v>
      </x:c>
      <x:c r="K337" s="39" t="n">
        <x:v>1</x:v>
      </x:c>
      <x:c r="L337" s="39" t="n">
        <x:v>1</x:v>
      </x:c>
    </x:row>
    <x:row r="338" ht="23" customHeight="1">
      <x:c r="B338" s="17" t="str">
        <x:v>All rounds</x:v>
      </x:c>
      <x:c r="C338" s="17" t="str">
        <x:v>condition</x:v>
      </x:c>
      <x:c r="D338" s="17" t="str">
        <x:v>Cli_22</x:v>
      </x:c>
      <x:c r="E338" s="32" t="n">
        <x:v>0</x:v>
      </x:c>
      <x:c r="F338" s="32" t="n">
        <x:v>0</x:v>
      </x:c>
      <x:c r="G338" s="32" t="n">
        <x:v>0</x:v>
      </x:c>
      <x:c r="H338" s="32" t="n">
        <x:v>0</x:v>
      </x:c>
      <x:c r="I338" s="39" t="n">
        <x:v>2</x:v>
      </x:c>
      <x:c r="J338" s="39" t="n">
        <x:v>2</x:v>
      </x:c>
      <x:c r="K338" s="39" t="n">
        <x:v>2</x:v>
      </x:c>
      <x:c r="L338" s="39" t="n">
        <x:v>1</x:v>
      </x:c>
    </x:row>
    <x:row r="339" ht="23" customHeight="1">
      <x:c r="B339" s="17" t="str">
        <x:v>All rounds</x:v>
      </x:c>
      <x:c r="C339" s="17" t="str">
        <x:v>condition</x:v>
      </x:c>
      <x:c r="D339" s="17" t="str">
        <x:v>Cli_23</x:v>
      </x:c>
      <x:c r="E339" s="32" t="n">
        <x:v>0</x:v>
      </x:c>
      <x:c r="F339" s="32" t="n">
        <x:v>0</x:v>
      </x:c>
      <x:c r="G339" s="32" t="n">
        <x:v>0</x:v>
      </x:c>
      <x:c r="H339" s="32" t="n">
        <x:v>0</x:v>
      </x:c>
      <x:c r="I339" s="39" t="n">
        <x:v>2</x:v>
      </x:c>
      <x:c r="J339" s="39" t="n">
        <x:v>2</x:v>
      </x:c>
      <x:c r="K339" s="39" t="n">
        <x:v>1</x:v>
      </x:c>
      <x:c r="L339" s="39" t="n">
        <x:v>1</x:v>
      </x:c>
    </x:row>
    <x:row r="340" ht="23" customHeight="1">
      <x:c r="B340" s="17" t="str">
        <x:v>All rounds</x:v>
      </x:c>
      <x:c r="C340" s="17" t="str">
        <x:v>condition</x:v>
      </x:c>
      <x:c r="D340" s="17" t="str">
        <x:v>Cli_24</x:v>
      </x:c>
      <x:c r="E340" s="32" t="n">
        <x:v>0</x:v>
      </x:c>
      <x:c r="F340" s="32" t="n">
        <x:v>0</x:v>
      </x:c>
      <x:c r="G340" s="32" t="n">
        <x:v>0</x:v>
      </x:c>
      <x:c r="H340" s="32" t="n">
        <x:v>0</x:v>
      </x:c>
      <x:c r="I340" s="39" t="n">
        <x:v>2</x:v>
      </x:c>
      <x:c r="J340" s="39" t="n">
        <x:v>2</x:v>
      </x:c>
      <x:c r="K340" s="39" t="n">
        <x:v>2</x:v>
      </x:c>
      <x:c r="L340" s="39" t="n">
        <x:v>1</x:v>
      </x:c>
    </x:row>
    <x:row r="341" ht="23" customHeight="1">
      <x:c r="B341" s="17" t="str">
        <x:v>All rounds</x:v>
      </x:c>
      <x:c r="C341" s="17" t="str">
        <x:v>condition</x:v>
      </x:c>
      <x:c r="D341" s="17" t="str">
        <x:v>Cli_25</x:v>
      </x:c>
      <x:c r="E341" s="32" t="n">
        <x:v>0</x:v>
      </x:c>
      <x:c r="F341" s="32" t="n">
        <x:v>0</x:v>
      </x:c>
      <x:c r="G341" s="32" t="n">
        <x:v>0</x:v>
      </x:c>
      <x:c r="H341" s="32" t="n">
        <x:v>0</x:v>
      </x:c>
      <x:c r="I341" s="39" t="n">
        <x:v>2</x:v>
      </x:c>
      <x:c r="J341" s="39" t="n">
        <x:v>2</x:v>
      </x:c>
      <x:c r="K341" s="39" t="n">
        <x:v>1</x:v>
      </x:c>
      <x:c r="L341" s="39" t="n">
        <x:v>1</x:v>
      </x:c>
    </x:row>
    <x:row r="342" ht="23" customHeight="1">
      <x:c r="B342" s="17" t="str">
        <x:v>All rounds</x:v>
      </x:c>
      <x:c r="C342" s="17" t="str">
        <x:v>condition</x:v>
      </x:c>
      <x:c r="D342" s="17" t="str">
        <x:v>Cli_27</x:v>
      </x:c>
      <x:c r="E342" s="32" t="n">
        <x:v>0</x:v>
      </x:c>
      <x:c r="F342" s="32" t="n">
        <x:v>0</x:v>
      </x:c>
      <x:c r="G342" s="32" t="n">
        <x:v>0</x:v>
      </x:c>
      <x:c r="H342" s="32" t="n">
        <x:v>0</x:v>
      </x:c>
      <x:c r="I342" s="39" t="n">
        <x:v>2</x:v>
      </x:c>
      <x:c r="J342" s="39" t="n">
        <x:v>2</x:v>
      </x:c>
      <x:c r="K342" s="39" t="n">
        <x:v>2</x:v>
      </x:c>
      <x:c r="L342" s="39" t="n">
        <x:v>1</x:v>
      </x:c>
    </x:row>
    <x:row r="343" ht="23" customHeight="1">
      <x:c r="B343" s="17" t="str">
        <x:v>All rounds</x:v>
      </x:c>
      <x:c r="C343" s="17" t="str">
        <x:v>condition</x:v>
      </x:c>
      <x:c r="D343" s="17" t="str">
        <x:v>Cli_28</x:v>
      </x:c>
      <x:c r="E343" s="32" t="n">
        <x:v>0</x:v>
      </x:c>
      <x:c r="F343" s="32" t="n">
        <x:v>0</x:v>
      </x:c>
      <x:c r="G343" s="32" t="n">
        <x:v>0</x:v>
      </x:c>
      <x:c r="H343" s="32" t="n">
        <x:v>0</x:v>
      </x:c>
      <x:c r="I343" s="39" t="n">
        <x:v>2</x:v>
      </x:c>
      <x:c r="J343" s="39" t="n">
        <x:v>2</x:v>
      </x:c>
      <x:c r="K343" s="39" t="n">
        <x:v>1</x:v>
      </x:c>
      <x:c r="L343" s="39" t="n">
        <x:v>1</x:v>
      </x:c>
    </x:row>
    <x:row r="344" ht="23" customHeight="1">
      <x:c r="B344" s="17" t="str">
        <x:v>All rounds</x:v>
      </x:c>
      <x:c r="C344" s="17" t="str">
        <x:v>condition</x:v>
      </x:c>
      <x:c r="D344" s="17" t="str">
        <x:v>Cli_29</x:v>
      </x:c>
      <x:c r="E344" s="32" t="n">
        <x:v>0</x:v>
      </x:c>
      <x:c r="F344" s="32" t="n">
        <x:v>0</x:v>
      </x:c>
      <x:c r="G344" s="32" t="n">
        <x:v>0</x:v>
      </x:c>
      <x:c r="H344" s="32" t="n">
        <x:v>0</x:v>
      </x:c>
      <x:c r="I344" s="39" t="n">
        <x:v>2</x:v>
      </x:c>
      <x:c r="J344" s="39" t="n">
        <x:v>2</x:v>
      </x:c>
      <x:c r="K344" s="39" t="n">
        <x:v>2</x:v>
      </x:c>
      <x:c r="L344" s="39" t="n">
        <x:v>1</x:v>
      </x:c>
    </x:row>
    <x:row r="345" ht="23" customHeight="1">
      <x:c r="B345" s="17" t="str">
        <x:v>All rounds</x:v>
      </x:c>
      <x:c r="C345" s="17" t="str">
        <x:v>condition</x:v>
      </x:c>
      <x:c r="D345" s="17" t="str">
        <x:v>Cli_3</x:v>
      </x:c>
      <x:c r="E345" s="32" t="n">
        <x:v>0</x:v>
      </x:c>
      <x:c r="F345" s="32" t="n">
        <x:v>0</x:v>
      </x:c>
      <x:c r="G345" s="32" t="n">
        <x:v>0</x:v>
      </x:c>
      <x:c r="H345" s="32" t="n">
        <x:v>0</x:v>
      </x:c>
      <x:c r="I345" s="39" t="n">
        <x:v>2</x:v>
      </x:c>
      <x:c r="J345" s="39" t="n">
        <x:v>2</x:v>
      </x:c>
      <x:c r="K345" s="39" t="n">
        <x:v>2</x:v>
      </x:c>
      <x:c r="L345" s="39" t="n">
        <x:v>1</x:v>
      </x:c>
    </x:row>
    <x:row r="346" ht="23" customHeight="1">
      <x:c r="B346" s="17" t="str">
        <x:v>All rounds</x:v>
      </x:c>
      <x:c r="C346" s="17" t="str">
        <x:v>condition</x:v>
      </x:c>
      <x:c r="D346" s="17" t="str">
        <x:v>Cli_30</x:v>
      </x:c>
      <x:c r="E346" s="32" t="n">
        <x:v>0</x:v>
      </x:c>
      <x:c r="F346" s="32" t="n">
        <x:v>0</x:v>
      </x:c>
      <x:c r="G346" s="32" t="n">
        <x:v>0</x:v>
      </x:c>
      <x:c r="H346" s="32" t="n">
        <x:v>0</x:v>
      </x:c>
      <x:c r="I346" s="39" t="n">
        <x:v>2</x:v>
      </x:c>
      <x:c r="J346" s="39" t="n">
        <x:v>2</x:v>
      </x:c>
      <x:c r="K346" s="39" t="n">
        <x:v>1</x:v>
      </x:c>
      <x:c r="L346" s="39" t="n">
        <x:v>1</x:v>
      </x:c>
    </x:row>
    <x:row r="347" ht="23" customHeight="1">
      <x:c r="B347" s="17" t="str">
        <x:v>All rounds</x:v>
      </x:c>
      <x:c r="C347" s="17" t="str">
        <x:v>condition</x:v>
      </x:c>
      <x:c r="D347" s="17" t="str">
        <x:v>Cli_32</x:v>
      </x:c>
      <x:c r="E347" s="32" t="n">
        <x:v>0</x:v>
      </x:c>
      <x:c r="F347" s="32" t="n">
        <x:v>0</x:v>
      </x:c>
      <x:c r="G347" s="32" t="n">
        <x:v>0</x:v>
      </x:c>
      <x:c r="H347" s="32" t="n">
        <x:v>0</x:v>
      </x:c>
      <x:c r="I347" s="39" t="n">
        <x:v>2</x:v>
      </x:c>
      <x:c r="J347" s="39" t="n">
        <x:v>2</x:v>
      </x:c>
      <x:c r="K347" s="39" t="n">
        <x:v>1</x:v>
      </x:c>
      <x:c r="L347" s="39" t="n">
        <x:v>1</x:v>
      </x:c>
    </x:row>
    <x:row r="348" ht="23" customHeight="1">
      <x:c r="B348" s="17" t="str">
        <x:v>All rounds</x:v>
      </x:c>
      <x:c r="C348" s="17" t="str">
        <x:v>condition</x:v>
      </x:c>
      <x:c r="D348" s="17" t="str">
        <x:v>Cli_33</x:v>
      </x:c>
      <x:c r="E348" s="32" t="n">
        <x:v>0</x:v>
      </x:c>
      <x:c r="F348" s="32" t="n">
        <x:v>0</x:v>
      </x:c>
      <x:c r="G348" s="32" t="n">
        <x:v>0</x:v>
      </x:c>
      <x:c r="H348" s="32" t="n">
        <x:v>0</x:v>
      </x:c>
      <x:c r="I348" s="39" t="n">
        <x:v>2</x:v>
      </x:c>
      <x:c r="J348" s="39" t="n">
        <x:v>2</x:v>
      </x:c>
      <x:c r="K348" s="39" t="n">
        <x:v>2</x:v>
      </x:c>
      <x:c r="L348" s="39" t="n">
        <x:v>1</x:v>
      </x:c>
    </x:row>
    <x:row r="349" ht="23" customHeight="1">
      <x:c r="B349" s="17" t="str">
        <x:v>All rounds</x:v>
      </x:c>
      <x:c r="C349" s="17" t="str">
        <x:v>condition</x:v>
      </x:c>
      <x:c r="D349" s="17" t="str">
        <x:v>Cli_35</x:v>
      </x:c>
      <x:c r="E349" s="32" t="n">
        <x:v>1</x:v>
      </x:c>
      <x:c r="F349" s="32" t="n">
        <x:v>0.625</x:v>
      </x:c>
      <x:c r="G349" s="32" t="n">
        <x:v>0.95</x:v>
      </x:c>
      <x:c r="H349" s="32" t="n">
        <x:v>1</x:v>
      </x:c>
      <x:c r="I349" s="39" t="n">
        <x:v>2</x:v>
      </x:c>
      <x:c r="J349" s="39" t="n">
        <x:v>2</x:v>
      </x:c>
      <x:c r="K349" s="39" t="n">
        <x:v>2</x:v>
      </x:c>
      <x:c r="L349" s="39" t="n">
        <x:v>1</x:v>
      </x:c>
    </x:row>
    <x:row r="350" ht="23" customHeight="1">
      <x:c r="B350" s="17" t="str">
        <x:v>All rounds</x:v>
      </x:c>
      <x:c r="C350" s="17" t="str">
        <x:v>condition</x:v>
      </x:c>
      <x:c r="D350" s="17" t="str">
        <x:v>Cli_37</x:v>
      </x:c>
      <x:c r="E350" s="32" t="n">
        <x:v>0.6139</x:v>
      </x:c>
      <x:c r="F350" s="32" t="n">
        <x:v>0.0127</x:v>
      </x:c>
      <x:c r="G350" s="32" t="n">
        <x:v>0.6456000000000001</x:v>
      </x:c>
      <x:c r="H350" s="32" t="n">
        <x:v>0.8418000000000001</x:v>
      </x:c>
      <x:c r="I350" s="39" t="n">
        <x:v>2</x:v>
      </x:c>
      <x:c r="J350" s="39" t="n">
        <x:v>2</x:v>
      </x:c>
      <x:c r="K350" s="39" t="n">
        <x:v>1</x:v>
      </x:c>
      <x:c r="L350" s="39" t="n">
        <x:v>1</x:v>
      </x:c>
    </x:row>
    <x:row r="351" ht="23" customHeight="1">
      <x:c r="B351" s="17" t="str">
        <x:v>All rounds</x:v>
      </x:c>
      <x:c r="C351" s="17" t="str">
        <x:v>condition</x:v>
      </x:c>
      <x:c r="D351" s="17" t="str">
        <x:v>Cli_38</x:v>
      </x:c>
      <x:c r="E351" s="32" t="n">
        <x:v>0.48100000000000004</x:v>
      </x:c>
      <x:c r="F351" s="32" t="n">
        <x:v>0.0127</x:v>
      </x:c>
      <x:c r="G351" s="32" t="n">
        <x:v>0.6392</x:v>
      </x:c>
      <x:c r="H351" s="32" t="n">
        <x:v>0.8354</x:v>
      </x:c>
      <x:c r="I351" s="39" t="n">
        <x:v>2</x:v>
      </x:c>
      <x:c r="J351" s="39" t="n">
        <x:v>2</x:v>
      </x:c>
      <x:c r="K351" s="39" t="n">
        <x:v>1</x:v>
      </x:c>
      <x:c r="L351" s="39" t="n">
        <x:v>1</x:v>
      </x:c>
    </x:row>
    <x:row r="352" ht="23" customHeight="1">
      <x:c r="B352" s="17" t="str">
        <x:v>All rounds</x:v>
      </x:c>
      <x:c r="C352" s="17" t="str">
        <x:v>condition</x:v>
      </x:c>
      <x:c r="D352" s="17" t="str">
        <x:v>Cli_39</x:v>
      </x:c>
      <x:c r="E352" s="32" t="n">
        <x:v>1</x:v>
      </x:c>
      <x:c r="F352" s="32" t="n">
        <x:v>0.55</x:v>
      </x:c>
      <x:c r="G352" s="32" t="n">
        <x:v>0.8</x:v>
      </x:c>
      <x:c r="H352" s="32" t="n">
        <x:v>1</x:v>
      </x:c>
      <x:c r="I352" s="39" t="n">
        <x:v>2</x:v>
      </x:c>
      <x:c r="J352" s="39" t="n">
        <x:v>2</x:v>
      </x:c>
      <x:c r="K352" s="39" t="n">
        <x:v>2</x:v>
      </x:c>
      <x:c r="L352" s="39" t="n">
        <x:v>1</x:v>
      </x:c>
    </x:row>
    <x:row r="353" ht="23" customHeight="1">
      <x:c r="B353" s="17" t="str">
        <x:v>All rounds</x:v>
      </x:c>
      <x:c r="C353" s="17" t="str">
        <x:v>condition</x:v>
      </x:c>
      <x:c r="D353" s="17" t="str">
        <x:v>Cli_4</x:v>
      </x:c>
      <x:c r="E353" s="32" t="n">
        <x:v>0</x:v>
      </x:c>
      <x:c r="F353" s="32" t="n">
        <x:v>0</x:v>
      </x:c>
      <x:c r="G353" s="32" t="n">
        <x:v>0</x:v>
      </x:c>
      <x:c r="H353" s="32" t="n">
        <x:v>0</x:v>
      </x:c>
      <x:c r="I353" s="39" t="n">
        <x:v>2</x:v>
      </x:c>
      <x:c r="J353" s="39" t="n">
        <x:v>2</x:v>
      </x:c>
      <x:c r="K353" s="39" t="n">
        <x:v>2</x:v>
      </x:c>
      <x:c r="L353" s="39" t="n">
        <x:v>1</x:v>
      </x:c>
    </x:row>
    <x:row r="354" ht="23" customHeight="1">
      <x:c r="B354" s="17" t="str">
        <x:v>All rounds</x:v>
      </x:c>
      <x:c r="C354" s="17" t="str">
        <x:v>condition</x:v>
      </x:c>
      <x:c r="D354" s="17" t="str">
        <x:v>Cli_5</x:v>
      </x:c>
      <x:c r="E354" s="32" t="n">
        <x:v>0</x:v>
      </x:c>
      <x:c r="F354" s="32" t="n">
        <x:v>0</x:v>
      </x:c>
      <x:c r="G354" s="32" t="n">
        <x:v>0</x:v>
      </x:c>
      <x:c r="H354" s="32" t="n">
        <x:v>0</x:v>
      </x:c>
      <x:c r="I354" s="39" t="n">
        <x:v>2</x:v>
      </x:c>
      <x:c r="J354" s="39" t="n">
        <x:v>2</x:v>
      </x:c>
      <x:c r="K354" s="39" t="n">
        <x:v>2</x:v>
      </x:c>
      <x:c r="L354" s="39" t="n">
        <x:v>1</x:v>
      </x:c>
    </x:row>
    <x:row r="355" ht="23" customHeight="1">
      <x:c r="B355" s="17" t="str">
        <x:v>All rounds</x:v>
      </x:c>
      <x:c r="C355" s="17" t="str">
        <x:v>condition</x:v>
      </x:c>
      <x:c r="D355" s="17" t="str">
        <x:v>Cli_8</x:v>
      </x:c>
      <x:c r="E355" s="32" t="n">
        <x:v>0</x:v>
      </x:c>
      <x:c r="F355" s="32" t="n">
        <x:v>0</x:v>
      </x:c>
      <x:c r="G355" s="32" t="n">
        <x:v>0</x:v>
      </x:c>
      <x:c r="H355" s="32" t="n">
        <x:v>0</x:v>
      </x:c>
      <x:c r="I355" s="39" t="n">
        <x:v>2</x:v>
      </x:c>
      <x:c r="J355" s="39" t="n">
        <x:v>2</x:v>
      </x:c>
      <x:c r="K355" s="39" t="n">
        <x:v>2</x:v>
      </x:c>
      <x:c r="L355" s="39" t="n">
        <x:v>1</x:v>
      </x:c>
    </x:row>
    <x:row r="356" ht="23" customHeight="1">
      <x:c r="B356" s="17" t="str">
        <x:v>All rounds</x:v>
      </x:c>
      <x:c r="C356" s="17" t="str">
        <x:v>condition</x:v>
      </x:c>
      <x:c r="D356" s="17" t="str">
        <x:v>Closure_121</x:v>
      </x:c>
      <x:c r="E356" s="32" t="n">
        <x:v>0.0127</x:v>
      </x:c>
      <x:c r="F356" s="32" t="n">
        <x:v>0.0127</x:v>
      </x:c>
      <x:c r="G356" s="32" t="n">
        <x:v>0.4619</x:v>
      </x:c>
      <x:c r="H356" s="32" t="n">
        <x:v>0.0127</x:v>
      </x:c>
      <x:c r="I356" s="39" t="n">
        <x:v>2</x:v>
      </x:c>
      <x:c r="J356" s="39" t="n">
        <x:v>2</x:v>
      </x:c>
      <x:c r="K356" s="39" t="n">
        <x:v>1</x:v>
      </x:c>
      <x:c r="L356" s="39" t="n">
        <x:v>1</x:v>
      </x:c>
    </x:row>
    <x:row r="357" ht="23" customHeight="1">
      <x:c r="B357" s="17" t="str">
        <x:v>All rounds</x:v>
      </x:c>
      <x:c r="C357" s="17" t="str">
        <x:v>condition</x:v>
      </x:c>
      <x:c r="D357" s="17" t="str">
        <x:v>Closure_131</x:v>
      </x:c>
      <x:c r="E357" s="32" t="n">
        <x:v>0.6909000000000001</x:v>
      </x:c>
      <x:c r="F357" s="32" t="n">
        <x:v>0.060599999999999994</x:v>
      </x:c>
      <x:c r="G357" s="32" t="n">
        <x:v>0.8364</x:v>
      </x:c>
      <x:c r="H357" s="32" t="n">
        <x:v>0.8364</x:v>
      </x:c>
      <x:c r="I357" s="39" t="n">
        <x:v>2</x:v>
      </x:c>
      <x:c r="J357" s="39" t="n">
        <x:v>2</x:v>
      </x:c>
      <x:c r="K357" s="39" t="n">
        <x:v>2</x:v>
      </x:c>
      <x:c r="L357" s="39" t="n">
        <x:v>1</x:v>
      </x:c>
    </x:row>
    <x:row r="358" ht="23" customHeight="1">
      <x:c r="B358" s="17" t="str">
        <x:v>All rounds</x:v>
      </x:c>
      <x:c r="C358" s="17" t="str">
        <x:v>condition</x:v>
      </x:c>
      <x:c r="D358" s="17" t="str">
        <x:v>Closure_172</x:v>
      </x:c>
      <x:c r="E358" s="32" t="n">
        <x:v>0.0381</x:v>
      </x:c>
      <x:c r="F358" s="32" t="n">
        <x:v>0</x:v>
      </x:c>
      <x:c r="G358" s="32" t="n">
        <x:v>0</x:v>
      </x:c>
      <x:c r="H358" s="32" t="n">
        <x:v>0</x:v>
      </x:c>
      <x:c r="I358" s="39" t="n">
        <x:v>2</x:v>
      </x:c>
      <x:c r="J358" s="39" t="n">
        <x:v>2</x:v>
      </x:c>
      <x:c r="K358" s="39" t="n">
        <x:v>2</x:v>
      </x:c>
      <x:c r="L358" s="39" t="n">
        <x:v>1</x:v>
      </x:c>
    </x:row>
    <x:row r="359" ht="23" customHeight="1">
      <x:c r="B359" s="17" t="str">
        <x:v>All rounds</x:v>
      </x:c>
      <x:c r="C359" s="17" t="str">
        <x:v>condition</x:v>
      </x:c>
      <x:c r="D359" s="17" t="str">
        <x:v>Closure_20</x:v>
      </x:c>
      <x:c r="E359" s="32" t="n">
        <x:v>0.0665</x:v>
      </x:c>
      <x:c r="F359" s="32" t="n">
        <x:v>0.005699999999999999</x:v>
      </x:c>
      <x:c r="G359" s="32" t="n">
        <x:v>0.0608</x:v>
      </x:c>
      <x:c r="H359" s="32" t="n">
        <x:v>0.0608</x:v>
      </x:c>
      <x:c r="I359" s="39" t="n">
        <x:v>2</x:v>
      </x:c>
      <x:c r="J359" s="39" t="n">
        <x:v>2</x:v>
      </x:c>
      <x:c r="K359" s="39" t="n">
        <x:v>2</x:v>
      </x:c>
      <x:c r="L359" s="39" t="n">
        <x:v>1</x:v>
      </x:c>
    </x:row>
    <x:row r="360" ht="23" customHeight="1">
      <x:c r="B360" s="17" t="str">
        <x:v>All rounds</x:v>
      </x:c>
      <x:c r="C360" s="17" t="str">
        <x:v>condition</x:v>
      </x:c>
      <x:c r="D360" s="17" t="str">
        <x:v>Closure_38</x:v>
      </x:c>
      <x:c r="E360" s="32" t="n">
        <x:v>0.1406</x:v>
      </x:c>
      <x:c r="F360" s="32" t="n">
        <x:v>0.1094</x:v>
      </x:c>
      <x:c r="G360" s="32" t="n">
        <x:v>0.6718999999999999</x:v>
      </x:c>
      <x:c r="H360" s="32" t="n">
        <x:v>0.6718999999999999</x:v>
      </x:c>
      <x:c r="I360" s="39" t="n">
        <x:v>2</x:v>
      </x:c>
      <x:c r="J360" s="39" t="n">
        <x:v>2</x:v>
      </x:c>
      <x:c r="K360" s="39" t="n">
        <x:v>2</x:v>
      </x:c>
      <x:c r="L360" s="39" t="n">
        <x:v>1</x:v>
      </x:c>
    </x:row>
    <x:row r="361" ht="23" customHeight="1">
      <x:c r="B361" s="17" t="str">
        <x:v>All rounds</x:v>
      </x:c>
      <x:c r="C361" s="17" t="str">
        <x:v>condition</x:v>
      </x:c>
      <x:c r="D361" s="17" t="str">
        <x:v>Closure_44</x:v>
      </x:c>
      <x:c r="E361" s="32" t="n">
        <x:v>0.15</x:v>
      </x:c>
      <x:c r="F361" s="32" t="n">
        <x:v>0.1167</x:v>
      </x:c>
      <x:c r="G361" s="32" t="n">
        <x:v>0.8833</x:v>
      </x:c>
      <x:c r="H361" s="32" t="n">
        <x:v>0.8833</x:v>
      </x:c>
      <x:c r="I361" s="39" t="n">
        <x:v>2</x:v>
      </x:c>
      <x:c r="J361" s="39" t="n">
        <x:v>2</x:v>
      </x:c>
      <x:c r="K361" s="39" t="n">
        <x:v>2</x:v>
      </x:c>
      <x:c r="L361" s="39" t="n">
        <x:v>1</x:v>
      </x:c>
    </x:row>
    <x:row r="362" ht="23" customHeight="1">
      <x:c r="B362" s="17" t="str">
        <x:v>All rounds</x:v>
      </x:c>
      <x:c r="C362" s="17" t="str">
        <x:v>condition</x:v>
      </x:c>
      <x:c r="D362" s="17" t="str">
        <x:v>Codec_1</x:v>
      </x:c>
      <x:c r="E362" s="32" t="n">
        <x:v>0.8859</x:v>
      </x:c>
      <x:c r="F362" s="32" t="n">
        <x:v>0.2989</x:v>
      </x:c>
      <x:c r="G362" s="32" t="n">
        <x:v>0.5326</x:v>
      </x:c>
      <x:c r="H362" s="32" t="n">
        <x:v>0.5598</x:v>
      </x:c>
      <x:c r="I362" s="39" t="n">
        <x:v>2</x:v>
      </x:c>
      <x:c r="J362" s="39" t="n">
        <x:v>2</x:v>
      </x:c>
      <x:c r="K362" s="39" t="n">
        <x:v>1</x:v>
      </x:c>
      <x:c r="L362" s="39" t="n">
        <x:v>1</x:v>
      </x:c>
    </x:row>
    <x:row r="363" ht="23" customHeight="1">
      <x:c r="B363" s="17" t="str">
        <x:v>All rounds</x:v>
      </x:c>
      <x:c r="C363" s="17" t="str">
        <x:v>condition</x:v>
      </x:c>
      <x:c r="D363" s="17" t="str">
        <x:v>Codec_10</x:v>
      </x:c>
      <x:c r="E363" s="32" t="n">
        <x:v>1</x:v>
      </x:c>
      <x:c r="F363" s="32" t="n">
        <x:v>0.8332999999999999</x:v>
      </x:c>
      <x:c r="G363" s="32" t="n">
        <x:v>0.91665</x:v>
      </x:c>
      <x:c r="H363" s="32" t="n">
        <x:v>1</x:v>
      </x:c>
      <x:c r="I363" s="39" t="n">
        <x:v>2</x:v>
      </x:c>
      <x:c r="J363" s="39" t="n">
        <x:v>2</x:v>
      </x:c>
      <x:c r="K363" s="39" t="n">
        <x:v>2</x:v>
      </x:c>
      <x:c r="L363" s="39" t="n">
        <x:v>1</x:v>
      </x:c>
    </x:row>
    <x:row r="364" ht="23" customHeight="1">
      <x:c r="B364" s="17" t="str">
        <x:v>All rounds</x:v>
      </x:c>
      <x:c r="C364" s="17" t="str">
        <x:v>condition</x:v>
      </x:c>
      <x:c r="D364" s="17" t="str">
        <x:v>Codec_11</x:v>
      </x:c>
      <x:c r="E364" s="32" t="n">
        <x:v>0.9444</x:v>
      </x:c>
      <x:c r="F364" s="32" t="n">
        <x:v>0.8055500000000001</x:v>
      </x:c>
      <x:c r="G364" s="32" t="n">
        <x:v>0.9444</x:v>
      </x:c>
      <x:c r="H364" s="32" t="n">
        <x:v>0.6944</x:v>
      </x:c>
      <x:c r="I364" s="39" t="n">
        <x:v>2</x:v>
      </x:c>
      <x:c r="J364" s="39" t="n">
        <x:v>2</x:v>
      </x:c>
      <x:c r="K364" s="39" t="n">
        <x:v>1</x:v>
      </x:c>
      <x:c r="L364" s="39" t="n">
        <x:v>1</x:v>
      </x:c>
    </x:row>
    <x:row r="365" ht="23" customHeight="1">
      <x:c r="B365" s="17" t="str">
        <x:v>All rounds</x:v>
      </x:c>
      <x:c r="C365" s="17" t="str">
        <x:v>condition</x:v>
      </x:c>
      <x:c r="D365" s="17" t="str">
        <x:v>Codec_12</x:v>
      </x:c>
      <x:c r="E365" s="32" t="n">
        <x:v>0.9231</x:v>
      </x:c>
      <x:c r="F365" s="32" t="n">
        <x:v>0.5</x:v>
      </x:c>
      <x:c r="G365" s="32" t="n">
        <x:v>0.9615</x:v>
      </x:c>
      <x:c r="H365" s="32" t="n">
        <x:v>0.9615</x:v>
      </x:c>
      <x:c r="I365" s="39" t="n">
        <x:v>2</x:v>
      </x:c>
      <x:c r="J365" s="39" t="n">
        <x:v>2</x:v>
      </x:c>
      <x:c r="K365" s="39" t="n">
        <x:v>1</x:v>
      </x:c>
      <x:c r="L365" s="39" t="n">
        <x:v>1</x:v>
      </x:c>
    </x:row>
    <x:row r="366" ht="23" customHeight="1">
      <x:c r="B366" s="17" t="str">
        <x:v>All rounds</x:v>
      </x:c>
      <x:c r="C366" s="17" t="str">
        <x:v>condition</x:v>
      </x:c>
      <x:c r="D366" s="17" t="str">
        <x:v>Codec_16</x:v>
      </x:c>
      <x:c r="E366" s="32" t="n">
        <x:v>1</x:v>
      </x:c>
      <x:c r="F366" s="32" t="n">
        <x:v>0.8533</x:v>
      </x:c>
      <x:c r="G366" s="32" t="n">
        <x:v>0.8</x:v>
      </x:c>
      <x:c r="H366" s="32" t="n">
        <x:v>0.56</x:v>
      </x:c>
      <x:c r="I366" s="39" t="n">
        <x:v>2</x:v>
      </x:c>
      <x:c r="J366" s="39" t="n">
        <x:v>2</x:v>
      </x:c>
      <x:c r="K366" s="39" t="n">
        <x:v>1</x:v>
      </x:c>
      <x:c r="L366" s="39" t="n">
        <x:v>1</x:v>
      </x:c>
    </x:row>
    <x:row r="367" ht="23" customHeight="1">
      <x:c r="B367" s="17" t="str">
        <x:v>All rounds</x:v>
      </x:c>
      <x:c r="C367" s="17" t="str">
        <x:v>condition</x:v>
      </x:c>
      <x:c r="D367" s="17" t="str">
        <x:v>Codec_18</x:v>
      </x:c>
      <x:c r="E367" s="32" t="n">
        <x:v>1</x:v>
      </x:c>
      <x:c r="F367" s="32" t="n">
        <x:v>0.7</x:v>
      </x:c>
      <x:c r="G367" s="32" t="n">
        <x:v>0.95</x:v>
      </x:c>
      <x:c r="H367" s="32" t="n">
        <x:v>0.8</x:v>
      </x:c>
      <x:c r="I367" s="39" t="n">
        <x:v>2</x:v>
      </x:c>
      <x:c r="J367" s="39" t="n">
        <x:v>2</x:v>
      </x:c>
      <x:c r="K367" s="39" t="n">
        <x:v>1</x:v>
      </x:c>
      <x:c r="L367" s="39" t="n">
        <x:v>1</x:v>
      </x:c>
    </x:row>
    <x:row r="368" ht="23" customHeight="1">
      <x:c r="B368" s="17" t="str">
        <x:v>All rounds</x:v>
      </x:c>
      <x:c r="C368" s="17" t="str">
        <x:v>condition</x:v>
      </x:c>
      <x:c r="D368" s="17" t="str">
        <x:v>Codec_3</x:v>
      </x:c>
      <x:c r="E368" s="32" t="n">
        <x:v>0.7733</x:v>
      </x:c>
      <x:c r="F368" s="32" t="n">
        <x:v>0.11780000000000002</x:v>
      </x:c>
      <x:c r="G368" s="32" t="n">
        <x:v>0.8089</x:v>
      </x:c>
      <x:c r="H368" s="32" t="n">
        <x:v>0.74</x:v>
      </x:c>
      <x:c r="I368" s="39" t="n">
        <x:v>2</x:v>
      </x:c>
      <x:c r="J368" s="39" t="n">
        <x:v>2</x:v>
      </x:c>
      <x:c r="K368" s="39" t="n">
        <x:v>1</x:v>
      </x:c>
      <x:c r="L368" s="39" t="n">
        <x:v>1</x:v>
      </x:c>
    </x:row>
    <x:row r="369" ht="23" customHeight="1">
      <x:c r="B369" s="17" t="str">
        <x:v>All rounds</x:v>
      </x:c>
      <x:c r="C369" s="17" t="str">
        <x:v>condition</x:v>
      </x:c>
      <x:c r="D369" s="17" t="str">
        <x:v>Codec_6</x:v>
      </x:c>
      <x:c r="E369" s="32" t="n">
        <x:v>1</x:v>
      </x:c>
      <x:c r="F369" s="32" t="n">
        <x:v>0.6071500000000001</x:v>
      </x:c>
      <x:c r="G369" s="32" t="n">
        <x:v>0.9286</x:v>
      </x:c>
      <x:c r="H369" s="32" t="n">
        <x:v>0.75</x:v>
      </x:c>
      <x:c r="I369" s="39" t="n">
        <x:v>2</x:v>
      </x:c>
      <x:c r="J369" s="39" t="n">
        <x:v>2</x:v>
      </x:c>
      <x:c r="K369" s="39" t="n">
        <x:v>1</x:v>
      </x:c>
      <x:c r="L369" s="39" t="n">
        <x:v>1</x:v>
      </x:c>
    </x:row>
    <x:row r="370" ht="23" customHeight="1">
      <x:c r="B370" s="17" t="str">
        <x:v>All rounds</x:v>
      </x:c>
      <x:c r="C370" s="17" t="str">
        <x:v>condition</x:v>
      </x:c>
      <x:c r="D370" s="17" t="str">
        <x:v>Collections_1</x:v>
      </x:c>
      <x:c r="E370" s="32" t="n">
        <x:v>0.6596</x:v>
      </x:c>
      <x:c r="F370" s="32" t="n">
        <x:v>0.23405</x:v>
      </x:c>
      <x:c r="G370" s="32" t="n">
        <x:v>0.4255</x:v>
      </x:c>
      <x:c r="H370" s="32" t="n">
        <x:v>0.2553</x:v>
      </x:c>
      <x:c r="I370" s="39" t="n">
        <x:v>2</x:v>
      </x:c>
      <x:c r="J370" s="39" t="n">
        <x:v>2</x:v>
      </x:c>
      <x:c r="K370" s="39" t="n">
        <x:v>1</x:v>
      </x:c>
      <x:c r="L370" s="39" t="n">
        <x:v>1</x:v>
      </x:c>
    </x:row>
    <x:row r="371" ht="23" customHeight="1">
      <x:c r="B371" s="17" t="str">
        <x:v>All rounds</x:v>
      </x:c>
      <x:c r="C371" s="17" t="str">
        <x:v>condition</x:v>
      </x:c>
      <x:c r="D371" s="17" t="str">
        <x:v>Collections_10</x:v>
      </x:c>
      <x:c r="E371" s="32" t="n">
        <x:v>0.875</x:v>
      </x:c>
      <x:c r="F371" s="32" t="n">
        <x:v>0.46875</x:v>
      </x:c>
      <x:c r="G371" s="32" t="n">
        <x:v>0.8332999999999999</x:v>
      </x:c>
      <x:c r="H371" s="32" t="n">
        <x:v>0.375</x:v>
      </x:c>
      <x:c r="I371" s="39" t="n">
        <x:v>2</x:v>
      </x:c>
      <x:c r="J371" s="39" t="n">
        <x:v>2</x:v>
      </x:c>
      <x:c r="K371" s="39" t="n">
        <x:v>2</x:v>
      </x:c>
      <x:c r="L371" s="39" t="n">
        <x:v>1</x:v>
      </x:c>
    </x:row>
    <x:row r="372" ht="23" customHeight="1">
      <x:c r="B372" s="17" t="str">
        <x:v>All rounds</x:v>
      </x:c>
      <x:c r="C372" s="17" t="str">
        <x:v>condition</x:v>
      </x:c>
      <x:c r="D372" s="17" t="str">
        <x:v>Collections_11</x:v>
      </x:c>
      <x:c r="E372" s="32" t="n">
        <x:v>1</x:v>
      </x:c>
      <x:c r="F372" s="32" t="n">
        <x:v>0.9167000000000001</x:v>
      </x:c>
      <x:c r="G372" s="32" t="n">
        <x:v>1</x:v>
      </x:c>
      <x:c r="H372" s="32" t="n">
        <x:v>0.75</x:v>
      </x:c>
      <x:c r="I372" s="39" t="n">
        <x:v>2</x:v>
      </x:c>
      <x:c r="J372" s="39" t="n">
        <x:v>2</x:v>
      </x:c>
      <x:c r="K372" s="39" t="n">
        <x:v>2</x:v>
      </x:c>
      <x:c r="L372" s="39" t="n">
        <x:v>1</x:v>
      </x:c>
    </x:row>
    <x:row r="373" ht="23" customHeight="1">
      <x:c r="B373" s="17" t="str">
        <x:v>All rounds</x:v>
      </x:c>
      <x:c r="C373" s="17" t="str">
        <x:v>condition</x:v>
      </x:c>
      <x:c r="D373" s="17" t="str">
        <x:v>Collections_14</x:v>
      </x:c>
      <x:c r="E373" s="32" t="n">
        <x:v>1</x:v>
      </x:c>
      <x:c r="F373" s="32" t="n">
        <x:v>0.75</x:v>
      </x:c>
      <x:c r="G373" s="32" t="n">
        <x:v>1</x:v>
      </x:c>
      <x:c r="H373" s="32" t="n">
        <x:v>1</x:v>
      </x:c>
      <x:c r="I373" s="39" t="n">
        <x:v>2</x:v>
      </x:c>
      <x:c r="J373" s="39" t="n">
        <x:v>2</x:v>
      </x:c>
      <x:c r="K373" s="39" t="n">
        <x:v>1</x:v>
      </x:c>
      <x:c r="L373" s="39" t="n">
        <x:v>1</x:v>
      </x:c>
    </x:row>
    <x:row r="374" ht="23" customHeight="1">
      <x:c r="B374" s="17" t="str">
        <x:v>All rounds</x:v>
      </x:c>
      <x:c r="C374" s="17" t="str">
        <x:v>condition</x:v>
      </x:c>
      <x:c r="D374" s="17" t="str">
        <x:v>Collections_15</x:v>
      </x:c>
      <x:c r="E374" s="32" t="n">
        <x:v>1</x:v>
      </x:c>
      <x:c r="F374" s="32" t="n">
        <x:v>0.0455</x:v>
      </x:c>
      <x:c r="G374" s="32" t="n">
        <x:v>1</x:v>
      </x:c>
      <x:c r="H374" s="32" t="n">
        <x:v>1</x:v>
      </x:c>
      <x:c r="I374" s="39" t="n">
        <x:v>2</x:v>
      </x:c>
      <x:c r="J374" s="39" t="n">
        <x:v>2</x:v>
      </x:c>
      <x:c r="K374" s="39" t="n">
        <x:v>1</x:v>
      </x:c>
      <x:c r="L374" s="39" t="n">
        <x:v>1</x:v>
      </x:c>
    </x:row>
    <x:row r="375" ht="23" customHeight="1">
      <x:c r="B375" s="17" t="str">
        <x:v>All rounds</x:v>
      </x:c>
      <x:c r="C375" s="17" t="str">
        <x:v>condition</x:v>
      </x:c>
      <x:c r="D375" s="17" t="str">
        <x:v>Collections_18</x:v>
      </x:c>
      <x:c r="E375" s="32" t="n">
        <x:v>1</x:v>
      </x:c>
      <x:c r="F375" s="32" t="n">
        <x:v>0.8055500000000001</x:v>
      </x:c>
      <x:c r="G375" s="32" t="n">
        <x:v>0.9444</x:v>
      </x:c>
      <x:c r="H375" s="32" t="n">
        <x:v>1</x:v>
      </x:c>
      <x:c r="I375" s="39" t="n">
        <x:v>2</x:v>
      </x:c>
      <x:c r="J375" s="39" t="n">
        <x:v>2</x:v>
      </x:c>
      <x:c r="K375" s="39" t="n">
        <x:v>1</x:v>
      </x:c>
      <x:c r="L375" s="39" t="n">
        <x:v>1</x:v>
      </x:c>
    </x:row>
    <x:row r="376" ht="23" customHeight="1">
      <x:c r="B376" s="17" t="str">
        <x:v>All rounds</x:v>
      </x:c>
      <x:c r="C376" s="17" t="str">
        <x:v>condition</x:v>
      </x:c>
      <x:c r="D376" s="17" t="str">
        <x:v>Collections_19</x:v>
      </x:c>
      <x:c r="E376" s="32" t="n">
        <x:v>0.9211</x:v>
      </x:c>
      <x:c r="F376" s="32" t="n">
        <x:v>0.6315999999999999</x:v>
      </x:c>
      <x:c r="G376" s="32" t="n">
        <x:v>0.9211</x:v>
      </x:c>
      <x:c r="H376" s="32" t="n">
        <x:v>1</x:v>
      </x:c>
      <x:c r="I376" s="39" t="n">
        <x:v>2</x:v>
      </x:c>
      <x:c r="J376" s="39" t="n">
        <x:v>2</x:v>
      </x:c>
      <x:c r="K376" s="39" t="n">
        <x:v>1</x:v>
      </x:c>
      <x:c r="L376" s="39" t="n">
        <x:v>1</x:v>
      </x:c>
    </x:row>
    <x:row r="377" ht="23" customHeight="1">
      <x:c r="B377" s="17" t="str">
        <x:v>All rounds</x:v>
      </x:c>
      <x:c r="C377" s="17" t="str">
        <x:v>condition</x:v>
      </x:c>
      <x:c r="D377" s="17" t="str">
        <x:v>Collections_20</x:v>
      </x:c>
      <x:c r="E377" s="32" t="n">
        <x:v>0.8896</x:v>
      </x:c>
      <x:c r="F377" s="32" t="n">
        <x:v>0.59415</x:v>
      </x:c>
      <x:c r="G377" s="32" t="n">
        <x:v>0.6883</x:v>
      </x:c>
      <x:c r="H377" s="32" t="n">
        <x:v>0.8831</x:v>
      </x:c>
      <x:c r="I377" s="39" t="n">
        <x:v>2</x:v>
      </x:c>
      <x:c r="J377" s="39" t="n">
        <x:v>2</x:v>
      </x:c>
      <x:c r="K377" s="39" t="n">
        <x:v>2</x:v>
      </x:c>
      <x:c r="L377" s="39" t="n">
        <x:v>1</x:v>
      </x:c>
    </x:row>
    <x:row r="378" ht="23" customHeight="1">
      <x:c r="B378" s="17" t="str">
        <x:v>All rounds</x:v>
      </x:c>
      <x:c r="C378" s="17" t="str">
        <x:v>condition</x:v>
      </x:c>
      <x:c r="D378" s="17" t="str">
        <x:v>Collections_21</x:v>
      </x:c>
      <x:c r="E378" s="32" t="n">
        <x:v>0.9211</x:v>
      </x:c>
      <x:c r="F378" s="32" t="n">
        <x:v>0.6315999999999999</x:v>
      </x:c>
      <x:c r="G378" s="32" t="n">
        <x:v>0.9473999999999999</x:v>
      </x:c>
      <x:c r="H378" s="32" t="n">
        <x:v>1</x:v>
      </x:c>
      <x:c r="I378" s="39" t="n">
        <x:v>2</x:v>
      </x:c>
      <x:c r="J378" s="39" t="n">
        <x:v>2</x:v>
      </x:c>
      <x:c r="K378" s="39" t="n">
        <x:v>2</x:v>
      </x:c>
      <x:c r="L378" s="39" t="n">
        <x:v>1</x:v>
      </x:c>
    </x:row>
    <x:row r="379" ht="23" customHeight="1">
      <x:c r="B379" s="17" t="str">
        <x:v>All rounds</x:v>
      </x:c>
      <x:c r="C379" s="17" t="str">
        <x:v>condition</x:v>
      </x:c>
      <x:c r="D379" s="17" t="str">
        <x:v>Collections_24</x:v>
      </x:c>
      <x:c r="E379" s="32" t="n">
        <x:v>1</x:v>
      </x:c>
      <x:c r="F379" s="32" t="n">
        <x:v>0</x:v>
      </x:c>
      <x:c r="G379" s="32" t="n">
        <x:v>1</x:v>
      </x:c>
      <x:c r="H379" s="32" t="n">
        <x:v>1</x:v>
      </x:c>
      <x:c r="I379" s="39" t="n">
        <x:v>2</x:v>
      </x:c>
      <x:c r="J379" s="39" t="n">
        <x:v>2</x:v>
      </x:c>
      <x:c r="K379" s="39" t="n">
        <x:v>2</x:v>
      </x:c>
      <x:c r="L379" s="39" t="n">
        <x:v>1</x:v>
      </x:c>
    </x:row>
    <x:row r="380" ht="23" customHeight="1">
      <x:c r="B380" s="17" t="str">
        <x:v>All rounds</x:v>
      </x:c>
      <x:c r="C380" s="17" t="str">
        <x:v>condition</x:v>
      </x:c>
      <x:c r="D380" s="17" t="str">
        <x:v>Collections_26</x:v>
      </x:c>
      <x:c r="E380" s="32" t="n">
        <x:v>1</x:v>
      </x:c>
      <x:c r="F380" s="32" t="n">
        <x:v>0.9167000000000001</x:v>
      </x:c>
      <x:c r="G380" s="32" t="n">
        <x:v>1</x:v>
      </x:c>
      <x:c r="H380" s="32" t="n">
        <x:v>0.75</x:v>
      </x:c>
      <x:c r="I380" s="39" t="n">
        <x:v>2</x:v>
      </x:c>
      <x:c r="J380" s="39" t="n">
        <x:v>2</x:v>
      </x:c>
      <x:c r="K380" s="39" t="n">
        <x:v>2</x:v>
      </x:c>
      <x:c r="L380" s="39" t="n">
        <x:v>1</x:v>
      </x:c>
    </x:row>
    <x:row r="381" ht="23" customHeight="1">
      <x:c r="B381" s="17" t="str">
        <x:v>All rounds</x:v>
      </x:c>
      <x:c r="C381" s="17" t="str">
        <x:v>condition</x:v>
      </x:c>
      <x:c r="D381" s="17" t="str">
        <x:v>Collections_27</x:v>
      </x:c>
      <x:c r="E381" s="32" t="n">
        <x:v>0.78</x:v>
      </x:c>
      <x:c r="F381" s="32" t="n">
        <x:v>0.48</x:v>
      </x:c>
      <x:c r="G381" s="32" t="n">
        <x:v>0.82</x:v>
      </x:c>
      <x:c r="H381" s="32" t="n">
        <x:v>0.44</x:v>
      </x:c>
      <x:c r="I381" s="39" t="n">
        <x:v>2</x:v>
      </x:c>
      <x:c r="J381" s="39" t="n">
        <x:v>2</x:v>
      </x:c>
      <x:c r="K381" s="39" t="n">
        <x:v>2</x:v>
      </x:c>
      <x:c r="L381" s="39" t="n">
        <x:v>1</x:v>
      </x:c>
    </x:row>
    <x:row r="382" ht="23" customHeight="1">
      <x:c r="B382" s="17" t="str">
        <x:v>All rounds</x:v>
      </x:c>
      <x:c r="C382" s="17" t="str">
        <x:v>condition</x:v>
      </x:c>
      <x:c r="D382" s="17" t="str">
        <x:v>Collections_4</x:v>
      </x:c>
      <x:c r="E382" s="32" t="n">
        <x:v>0.8957999999999999</x:v>
      </x:c>
      <x:c r="F382" s="32" t="n">
        <x:v>0.46875</x:v>
      </x:c>
      <x:c r="G382" s="32" t="n">
        <x:v>0.8542000000000001</x:v>
      </x:c>
      <x:c r="H382" s="32" t="n">
        <x:v>0.3958</x:v>
      </x:c>
      <x:c r="I382" s="39" t="n">
        <x:v>2</x:v>
      </x:c>
      <x:c r="J382" s="39" t="n">
        <x:v>2</x:v>
      </x:c>
      <x:c r="K382" s="39" t="n">
        <x:v>1</x:v>
      </x:c>
      <x:c r="L382" s="39" t="n">
        <x:v>1</x:v>
      </x:c>
    </x:row>
    <x:row r="383" ht="23" customHeight="1">
      <x:c r="B383" s="17" t="str">
        <x:v>All rounds</x:v>
      </x:c>
      <x:c r="C383" s="17" t="str">
        <x:v>condition</x:v>
      </x:c>
      <x:c r="D383" s="17" t="str">
        <x:v>Collections_5</x:v>
      </x:c>
      <x:c r="E383" s="32" t="n">
        <x:v>1</x:v>
      </x:c>
      <x:c r="F383" s="32" t="n">
        <x:v>0.05</x:v>
      </x:c>
      <x:c r="G383" s="32" t="n">
        <x:v>0.95</x:v>
      </x:c>
      <x:c r="H383" s="32" t="n">
        <x:v>0.6</x:v>
      </x:c>
      <x:c r="I383" s="39" t="n">
        <x:v>2</x:v>
      </x:c>
      <x:c r="J383" s="39" t="n">
        <x:v>2</x:v>
      </x:c>
      <x:c r="K383" s="39" t="n">
        <x:v>2</x:v>
      </x:c>
      <x:c r="L383" s="39" t="n">
        <x:v>1</x:v>
      </x:c>
    </x:row>
    <x:row r="384" ht="23" customHeight="1">
      <x:c r="B384" s="17" t="str">
        <x:v>All rounds</x:v>
      </x:c>
      <x:c r="C384" s="17" t="str">
        <x:v>condition</x:v>
      </x:c>
      <x:c r="D384" s="17" t="str">
        <x:v>Collections_6</x:v>
      </x:c>
      <x:c r="E384" s="32" t="n">
        <x:v>0.5771000000000001</x:v>
      </x:c>
      <x:c r="F384" s="32" t="n">
        <x:v>0.23405</x:v>
      </x:c>
      <x:c r="G384" s="32" t="n">
        <x:v>0.5133</x:v>
      </x:c>
      <x:c r="H384" s="32" t="n">
        <x:v>0.2553</x:v>
      </x:c>
      <x:c r="I384" s="39" t="n">
        <x:v>2</x:v>
      </x:c>
      <x:c r="J384" s="39" t="n">
        <x:v>2</x:v>
      </x:c>
      <x:c r="K384" s="39" t="n">
        <x:v>2</x:v>
      </x:c>
      <x:c r="L384" s="39" t="n">
        <x:v>1</x:v>
      </x:c>
    </x:row>
    <x:row r="385" ht="23" customHeight="1">
      <x:c r="B385" s="17" t="str">
        <x:v>All rounds</x:v>
      </x:c>
      <x:c r="C385" s="17" t="str">
        <x:v>condition</x:v>
      </x:c>
      <x:c r="D385" s="17" t="str">
        <x:v>Collections_8</x:v>
      </x:c>
      <x:c r="E385" s="32" t="n">
        <x:v>0.8332999999999999</x:v>
      </x:c>
      <x:c r="F385" s="32" t="n">
        <x:v>0.625</x:v>
      </x:c>
      <x:c r="G385" s="32" t="n">
        <x:v>0.8332999999999999</x:v>
      </x:c>
      <x:c r="H385" s="32" t="n">
        <x:v>0.5278</x:v>
      </x:c>
      <x:c r="I385" s="39" t="n">
        <x:v>2</x:v>
      </x:c>
      <x:c r="J385" s="39" t="n">
        <x:v>2</x:v>
      </x:c>
      <x:c r="K385" s="39" t="n">
        <x:v>1</x:v>
      </x:c>
      <x:c r="L385" s="39" t="n">
        <x:v>1</x:v>
      </x:c>
    </x:row>
    <x:row r="386" ht="23" customHeight="1">
      <x:c r="B386" s="17" t="str">
        <x:v>All rounds</x:v>
      </x:c>
      <x:c r="C386" s="17" t="str">
        <x:v>condition</x:v>
      </x:c>
      <x:c r="D386" s="17" t="str">
        <x:v>Compress_10</x:v>
      </x:c>
      <x:c r="E386" s="32" t="n">
        <x:v>0.10619999999999999</x:v>
      </x:c>
      <x:c r="F386" s="32" t="n">
        <x:v>0.0088</x:v>
      </x:c>
      <x:c r="G386" s="32" t="n">
        <x:v>0.34509999999999996</x:v>
      </x:c>
      <x:c r="H386" s="32" t="n">
        <x:v>0.6726000000000001</x:v>
      </x:c>
      <x:c r="I386" s="39" t="n">
        <x:v>2</x:v>
      </x:c>
      <x:c r="J386" s="39" t="n">
        <x:v>2</x:v>
      </x:c>
      <x:c r="K386" s="39" t="n">
        <x:v>1</x:v>
      </x:c>
      <x:c r="L386" s="39" t="n">
        <x:v>1</x:v>
      </x:c>
    </x:row>
    <x:row r="387" ht="23" customHeight="1">
      <x:c r="B387" s="17" t="str">
        <x:v>All rounds</x:v>
      </x:c>
      <x:c r="C387" s="17" t="str">
        <x:v>condition</x:v>
      </x:c>
      <x:c r="D387" s="17" t="str">
        <x:v>Compress_14</x:v>
      </x:c>
      <x:c r="E387" s="32" t="n">
        <x:v>0.8939</x:v>
      </x:c>
      <x:c r="F387" s="32" t="n">
        <x:v>0.6439499999999999</x:v>
      </x:c>
      <x:c r="G387" s="32" t="n">
        <x:v>0.7121</x:v>
      </x:c>
      <x:c r="H387" s="32" t="n">
        <x:v>0.9545</x:v>
      </x:c>
      <x:c r="I387" s="39" t="n">
        <x:v>2</x:v>
      </x:c>
      <x:c r="J387" s="39" t="n">
        <x:v>2</x:v>
      </x:c>
      <x:c r="K387" s="39" t="n">
        <x:v>2</x:v>
      </x:c>
      <x:c r="L387" s="39" t="n">
        <x:v>1</x:v>
      </x:c>
    </x:row>
    <x:row r="388" ht="23" customHeight="1">
      <x:c r="B388" s="17" t="str">
        <x:v>All rounds</x:v>
      </x:c>
      <x:c r="C388" s="17" t="str">
        <x:v>condition</x:v>
      </x:c>
      <x:c r="D388" s="17" t="str">
        <x:v>Compress_19</x:v>
      </x:c>
      <x:c r="E388" s="32" t="n">
        <x:v>1</x:v>
      </x:c>
      <x:c r="F388" s="32" t="n">
        <x:v>0.4</x:v>
      </x:c>
      <x:c r="G388" s="32" t="n">
        <x:v>0.9833</x:v>
      </x:c>
      <x:c r="H388" s="32" t="n">
        <x:v>0.9667</x:v>
      </x:c>
      <x:c r="I388" s="39" t="n">
        <x:v>2</x:v>
      </x:c>
      <x:c r="J388" s="39" t="n">
        <x:v>2</x:v>
      </x:c>
      <x:c r="K388" s="39" t="n">
        <x:v>1</x:v>
      </x:c>
      <x:c r="L388" s="39" t="n">
        <x:v>1</x:v>
      </x:c>
    </x:row>
    <x:row r="389" ht="23" customHeight="1">
      <x:c r="B389" s="17" t="str">
        <x:v>All rounds</x:v>
      </x:c>
      <x:c r="C389" s="17" t="str">
        <x:v>condition</x:v>
      </x:c>
      <x:c r="D389" s="17" t="str">
        <x:v>Compress_20</x:v>
      </x:c>
      <x:c r="E389" s="32" t="n">
        <x:v>0.386</x:v>
      </x:c>
      <x:c r="F389" s="32" t="n">
        <x:v>0.22810000000000002</x:v>
      </x:c>
      <x:c r="G389" s="32" t="n">
        <x:v>0.2895</x:v>
      </x:c>
      <x:c r="H389" s="32" t="n">
        <x:v>0.9211</x:v>
      </x:c>
      <x:c r="I389" s="39" t="n">
        <x:v>2</x:v>
      </x:c>
      <x:c r="J389" s="39" t="n">
        <x:v>2</x:v>
      </x:c>
      <x:c r="K389" s="39" t="n">
        <x:v>2</x:v>
      </x:c>
      <x:c r="L389" s="39" t="n">
        <x:v>1</x:v>
      </x:c>
    </x:row>
    <x:row r="390" ht="23" customHeight="1">
      <x:c r="B390" s="17" t="str">
        <x:v>All rounds</x:v>
      </x:c>
      <x:c r="C390" s="17" t="str">
        <x:v>condition</x:v>
      </x:c>
      <x:c r="D390" s="17" t="str">
        <x:v>Compress_21</x:v>
      </x:c>
      <x:c r="E390" s="32" t="n">
        <x:v>0.6838</x:v>
      </x:c>
      <x:c r="F390" s="32" t="n">
        <x:v>0</x:v>
      </x:c>
      <x:c r="G390" s="32" t="n">
        <x:v>0.5956</x:v>
      </x:c>
      <x:c r="H390" s="32" t="n">
        <x:v>0.9044</x:v>
      </x:c>
      <x:c r="I390" s="39" t="n">
        <x:v>2</x:v>
      </x:c>
      <x:c r="J390" s="39" t="n">
        <x:v>2</x:v>
      </x:c>
      <x:c r="K390" s="39" t="n">
        <x:v>2</x:v>
      </x:c>
      <x:c r="L390" s="39" t="n">
        <x:v>1</x:v>
      </x:c>
    </x:row>
    <x:row r="391" ht="23" customHeight="1">
      <x:c r="B391" s="17" t="str">
        <x:v>All rounds</x:v>
      </x:c>
      <x:c r="C391" s="17" t="str">
        <x:v>condition</x:v>
      </x:c>
      <x:c r="D391" s="17" t="str">
        <x:v>Compress_22</x:v>
      </x:c>
      <x:c r="E391" s="32" t="n">
        <x:v>0.0377</x:v>
      </x:c>
      <x:c r="F391" s="32" t="n">
        <x:v>0.024550000000000002</x:v>
      </x:c>
      <x:c r="G391" s="32" t="n">
        <x:v>0.083</x:v>
      </x:c>
      <x:c r="H391" s="32" t="n">
        <x:v>0.24530000000000002</x:v>
      </x:c>
      <x:c r="I391" s="39" t="n">
        <x:v>2</x:v>
      </x:c>
      <x:c r="J391" s="39" t="n">
        <x:v>2</x:v>
      </x:c>
      <x:c r="K391" s="39" t="n">
        <x:v>1</x:v>
      </x:c>
      <x:c r="L391" s="39" t="n">
        <x:v>1</x:v>
      </x:c>
    </x:row>
    <x:row r="392" ht="23" customHeight="1">
      <x:c r="B392" s="17" t="str">
        <x:v>All rounds</x:v>
      </x:c>
      <x:c r="C392" s="17" t="str">
        <x:v>condition</x:v>
      </x:c>
      <x:c r="D392" s="17" t="str">
        <x:v>Compress_25</x:v>
      </x:c>
      <x:c r="E392" s="32" t="n">
        <x:v>0.11900000000000001</x:v>
      </x:c>
      <x:c r="F392" s="32" t="n">
        <x:v>0.06945</x:v>
      </x:c>
      <x:c r="G392" s="32" t="n">
        <x:v>0.4802</x:v>
      </x:c>
      <x:c r="H392" s="32" t="n">
        <x:v>0.5197999999999999</x:v>
      </x:c>
      <x:c r="I392" s="39" t="n">
        <x:v>2</x:v>
      </x:c>
      <x:c r="J392" s="39" t="n">
        <x:v>2</x:v>
      </x:c>
      <x:c r="K392" s="39" t="n">
        <x:v>1</x:v>
      </x:c>
      <x:c r="L392" s="39" t="n">
        <x:v>1</x:v>
      </x:c>
    </x:row>
    <x:row r="393" ht="23" customHeight="1">
      <x:c r="B393" s="17" t="str">
        <x:v>All rounds</x:v>
      </x:c>
      <x:c r="C393" s="17" t="str">
        <x:v>condition</x:v>
      </x:c>
      <x:c r="D393" s="17" t="str">
        <x:v>Compress_26</x:v>
      </x:c>
      <x:c r="E393" s="32" t="n">
        <x:v>1</x:v>
      </x:c>
      <x:c r="F393" s="32" t="n">
        <x:v>0.6111</x:v>
      </x:c>
      <x:c r="G393" s="32" t="n">
        <x:v>1</x:v>
      </x:c>
      <x:c r="H393" s="32" t="n">
        <x:v>1</x:v>
      </x:c>
      <x:c r="I393" s="39" t="n">
        <x:v>2</x:v>
      </x:c>
      <x:c r="J393" s="39" t="n">
        <x:v>2</x:v>
      </x:c>
      <x:c r="K393" s="39" t="n">
        <x:v>1</x:v>
      </x:c>
      <x:c r="L393" s="39" t="n">
        <x:v>1</x:v>
      </x:c>
    </x:row>
    <x:row r="394" ht="23" customHeight="1">
      <x:c r="B394" s="17" t="str">
        <x:v>All rounds</x:v>
      </x:c>
      <x:c r="C394" s="17" t="str">
        <x:v>condition</x:v>
      </x:c>
      <x:c r="D394" s="17" t="str">
        <x:v>Compress_3</x:v>
      </x:c>
      <x:c r="E394" s="32" t="n">
        <x:v>0.7857</x:v>
      </x:c>
      <x:c r="F394" s="32" t="n">
        <x:v>0.3214</x:v>
      </x:c>
      <x:c r="G394" s="32" t="n">
        <x:v>0.9643</x:v>
      </x:c>
      <x:c r="H394" s="32" t="n">
        <x:v>1</x:v>
      </x:c>
      <x:c r="I394" s="39" t="n">
        <x:v>2</x:v>
      </x:c>
      <x:c r="J394" s="39" t="n">
        <x:v>2</x:v>
      </x:c>
      <x:c r="K394" s="39" t="n">
        <x:v>1</x:v>
      </x:c>
      <x:c r="L394" s="39" t="n">
        <x:v>1</x:v>
      </x:c>
    </x:row>
    <x:row r="395" ht="23" customHeight="1">
      <x:c r="B395" s="17" t="str">
        <x:v>All rounds</x:v>
      </x:c>
      <x:c r="C395" s="17" t="str">
        <x:v>condition</x:v>
      </x:c>
      <x:c r="D395" s="17" t="str">
        <x:v>Compress_30</x:v>
      </x:c>
      <x:c r="E395" s="32" t="n">
        <x:v>0.0377</x:v>
      </x:c>
      <x:c r="F395" s="32" t="n">
        <x:v>0.024550000000000002</x:v>
      </x:c>
      <x:c r="G395" s="32" t="n">
        <x:v>0.0717</x:v>
      </x:c>
      <x:c r="H395" s="32" t="n">
        <x:v>0.24530000000000002</x:v>
      </x:c>
      <x:c r="I395" s="39" t="n">
        <x:v>2</x:v>
      </x:c>
      <x:c r="J395" s="39" t="n">
        <x:v>2</x:v>
      </x:c>
      <x:c r="K395" s="39" t="n">
        <x:v>2</x:v>
      </x:c>
      <x:c r="L395" s="39" t="n">
        <x:v>1</x:v>
      </x:c>
    </x:row>
    <x:row r="396" ht="23" customHeight="1">
      <x:c r="B396" s="17" t="str">
        <x:v>All rounds</x:v>
      </x:c>
      <x:c r="C396" s="17" t="str">
        <x:v>condition</x:v>
      </x:c>
      <x:c r="D396" s="17" t="str">
        <x:v>Compress_32</x:v>
      </x:c>
      <x:c r="E396" s="32" t="n">
        <x:v>0.2937</x:v>
      </x:c>
      <x:c r="F396" s="32" t="n">
        <x:v>0.19049999999999997</x:v>
      </x:c>
      <x:c r="G396" s="32" t="n">
        <x:v>0.3016</x:v>
      </x:c>
      <x:c r="H396" s="32" t="n">
        <x:v>0.6349</x:v>
      </x:c>
      <x:c r="I396" s="39" t="n">
        <x:v>2</x:v>
      </x:c>
      <x:c r="J396" s="39" t="n">
        <x:v>2</x:v>
      </x:c>
      <x:c r="K396" s="39" t="n">
        <x:v>2</x:v>
      </x:c>
      <x:c r="L396" s="39" t="n">
        <x:v>1</x:v>
      </x:c>
    </x:row>
    <x:row r="397" ht="23" customHeight="1">
      <x:c r="B397" s="17" t="str">
        <x:v>All rounds</x:v>
      </x:c>
      <x:c r="C397" s="17" t="str">
        <x:v>condition</x:v>
      </x:c>
      <x:c r="D397" s="17" t="str">
        <x:v>Compress_34</x:v>
      </x:c>
      <x:c r="E397" s="32" t="n">
        <x:v>1</x:v>
      </x:c>
      <x:c r="F397" s="32" t="n">
        <x:v>0.75</x:v>
      </x:c>
      <x:c r="G397" s="32" t="n">
        <x:v>0.9286</x:v>
      </x:c>
      <x:c r="H397" s="32" t="n">
        <x:v>0.9286</x:v>
      </x:c>
      <x:c r="I397" s="39" t="n">
        <x:v>2</x:v>
      </x:c>
      <x:c r="J397" s="39" t="n">
        <x:v>2</x:v>
      </x:c>
      <x:c r="K397" s="39" t="n">
        <x:v>1</x:v>
      </x:c>
      <x:c r="L397" s="39" t="n">
        <x:v>1</x:v>
      </x:c>
    </x:row>
    <x:row r="398" ht="23" customHeight="1">
      <x:c r="B398" s="17" t="str">
        <x:v>All rounds</x:v>
      </x:c>
      <x:c r="C398" s="17" t="str">
        <x:v>condition</x:v>
      </x:c>
      <x:c r="D398" s="17" t="str">
        <x:v>Compress_35</x:v>
      </x:c>
      <x:c r="E398" s="32" t="n">
        <x:v>0.7589</x:v>
      </x:c>
      <x:c r="F398" s="32" t="n">
        <x:v>0.51785</x:v>
      </x:c>
      <x:c r="G398" s="32" t="n">
        <x:v>0.6071</x:v>
      </x:c>
      <x:c r="H398" s="32" t="n">
        <x:v>0.9375</x:v>
      </x:c>
      <x:c r="I398" s="39" t="n">
        <x:v>2</x:v>
      </x:c>
      <x:c r="J398" s="39" t="n">
        <x:v>2</x:v>
      </x:c>
      <x:c r="K398" s="39" t="n">
        <x:v>1</x:v>
      </x:c>
      <x:c r="L398" s="39" t="n">
        <x:v>1</x:v>
      </x:c>
    </x:row>
    <x:row r="399" ht="23" customHeight="1">
      <x:c r="B399" s="17" t="str">
        <x:v>All rounds</x:v>
      </x:c>
      <x:c r="C399" s="17" t="str">
        <x:v>condition</x:v>
      </x:c>
      <x:c r="D399" s="17" t="str">
        <x:v>Compress_36</x:v>
      </x:c>
      <x:c r="E399" s="32" t="n">
        <x:v>0.019799999999999998</x:v>
      </x:c>
      <x:c r="F399" s="32" t="n">
        <x:v>0.019799999999999998</x:v>
      </x:c>
      <x:c r="G399" s="32" t="n">
        <x:v>0.033</x:v>
      </x:c>
      <x:c r="H399" s="32" t="n">
        <x:v>0.505</x:v>
      </x:c>
      <x:c r="I399" s="39" t="n">
        <x:v>2</x:v>
      </x:c>
      <x:c r="J399" s="39" t="n">
        <x:v>2</x:v>
      </x:c>
      <x:c r="K399" s="39" t="n">
        <x:v>2</x:v>
      </x:c>
      <x:c r="L399" s="39" t="n">
        <x:v>1</x:v>
      </x:c>
    </x:row>
    <x:row r="400" ht="23" customHeight="1">
      <x:c r="B400" s="17" t="str">
        <x:v>All rounds</x:v>
      </x:c>
      <x:c r="C400" s="17" t="str">
        <x:v>condition</x:v>
      </x:c>
      <x:c r="D400" s="17" t="str">
        <x:v>Compress_40</x:v>
      </x:c>
      <x:c r="E400" s="32" t="n">
        <x:v>1</x:v>
      </x:c>
      <x:c r="F400" s="32" t="n">
        <x:v>0.5832999999999999</x:v>
      </x:c>
      <x:c r="G400" s="32" t="n">
        <x:v>1</x:v>
      </x:c>
      <x:c r="H400" s="32" t="n">
        <x:v>1</x:v>
      </x:c>
      <x:c r="I400" s="39" t="n">
        <x:v>2</x:v>
      </x:c>
      <x:c r="J400" s="39" t="n">
        <x:v>2</x:v>
      </x:c>
      <x:c r="K400" s="39" t="n">
        <x:v>1</x:v>
      </x:c>
      <x:c r="L400" s="39" t="n">
        <x:v>1</x:v>
      </x:c>
    </x:row>
    <x:row r="401" ht="23" customHeight="1">
      <x:c r="B401" s="17" t="str">
        <x:v>All rounds</x:v>
      </x:c>
      <x:c r="C401" s="17" t="str">
        <x:v>condition</x:v>
      </x:c>
      <x:c r="D401" s="17" t="str">
        <x:v>Compress_42</x:v>
      </x:c>
      <x:c r="E401" s="32" t="n">
        <x:v>0.9470000000000001</x:v>
      </x:c>
      <x:c r="F401" s="32" t="n">
        <x:v>0.40149999999999997</x:v>
      </x:c>
      <x:c r="G401" s="32" t="n">
        <x:v>0.6667000000000001</x:v>
      </x:c>
      <x:c r="H401" s="32" t="n">
        <x:v>0.7803</x:v>
      </x:c>
      <x:c r="I401" s="39" t="n">
        <x:v>2</x:v>
      </x:c>
      <x:c r="J401" s="39" t="n">
        <x:v>2</x:v>
      </x:c>
      <x:c r="K401" s="39" t="n">
        <x:v>1</x:v>
      </x:c>
      <x:c r="L401" s="39" t="n">
        <x:v>1</x:v>
      </x:c>
    </x:row>
    <x:row r="402" ht="23" customHeight="1">
      <x:c r="B402" s="17" t="str">
        <x:v>All rounds</x:v>
      </x:c>
      <x:c r="C402" s="17" t="str">
        <x:v>condition</x:v>
      </x:c>
      <x:c r="D402" s="17" t="str">
        <x:v>Compress_44</x:v>
      </x:c>
      <x:c r="E402" s="32" t="n">
        <x:v>1</x:v>
      </x:c>
      <x:c r="F402" s="32" t="n">
        <x:v>0.33335000000000004</x:v>
      </x:c>
      <x:c r="G402" s="32" t="n">
        <x:v>1</x:v>
      </x:c>
      <x:c r="H402" s="32" t="n">
        <x:v>1</x:v>
      </x:c>
      <x:c r="I402" s="39" t="n">
        <x:v>2</x:v>
      </x:c>
      <x:c r="J402" s="39" t="n">
        <x:v>2</x:v>
      </x:c>
      <x:c r="K402" s="39" t="n">
        <x:v>1</x:v>
      </x:c>
      <x:c r="L402" s="39" t="n">
        <x:v>1</x:v>
      </x:c>
    </x:row>
    <x:row r="403" ht="23" customHeight="1">
      <x:c r="B403" s="17" t="str">
        <x:v>All rounds</x:v>
      </x:c>
      <x:c r="C403" s="17" t="str">
        <x:v>condition</x:v>
      </x:c>
      <x:c r="D403" s="17" t="str">
        <x:v>Compress_45</x:v>
      </x:c>
      <x:c r="E403" s="32" t="n">
        <x:v>0.8056</x:v>
      </x:c>
      <x:c r="F403" s="32" t="n">
        <x:v>0.4907</x:v>
      </x:c>
      <x:c r="G403" s="32" t="n">
        <x:v>0.6111</x:v>
      </x:c>
      <x:c r="H403" s="32" t="n">
        <x:v>0.6667000000000001</x:v>
      </x:c>
      <x:c r="I403" s="39" t="n">
        <x:v>2</x:v>
      </x:c>
      <x:c r="J403" s="39" t="n">
        <x:v>2</x:v>
      </x:c>
      <x:c r="K403" s="39" t="n">
        <x:v>2</x:v>
      </x:c>
      <x:c r="L403" s="39" t="n">
        <x:v>1</x:v>
      </x:c>
    </x:row>
    <x:row r="404" ht="23" customHeight="1">
      <x:c r="B404" s="17" t="str">
        <x:v>All rounds</x:v>
      </x:c>
      <x:c r="C404" s="17" t="str">
        <x:v>condition</x:v>
      </x:c>
      <x:c r="D404" s="17" t="str">
        <x:v>Compress_46</x:v>
      </x:c>
      <x:c r="E404" s="32" t="n">
        <x:v>1</x:v>
      </x:c>
      <x:c r="F404" s="32" t="n">
        <x:v>0.36460000000000004</x:v>
      </x:c>
      <x:c r="G404" s="32" t="n">
        <x:v>0.75</x:v>
      </x:c>
      <x:c r="H404" s="32" t="n">
        <x:v>0.5207999999999999</x:v>
      </x:c>
      <x:c r="I404" s="39" t="n">
        <x:v>2</x:v>
      </x:c>
      <x:c r="J404" s="39" t="n">
        <x:v>2</x:v>
      </x:c>
      <x:c r="K404" s="39" t="n">
        <x:v>1</x:v>
      </x:c>
      <x:c r="L404" s="39" t="n">
        <x:v>1</x:v>
      </x:c>
    </x:row>
    <x:row r="405" ht="23" customHeight="1">
      <x:c r="B405" s="17" t="str">
        <x:v>All rounds</x:v>
      </x:c>
      <x:c r="C405" s="17" t="str">
        <x:v>condition</x:v>
      </x:c>
      <x:c r="D405" s="17" t="str">
        <x:v>Compress_47</x:v>
      </x:c>
      <x:c r="E405" s="32" t="n">
        <x:v>0.10619999999999999</x:v>
      </x:c>
      <x:c r="F405" s="32" t="n">
        <x:v>0.08055</x:v>
      </x:c>
      <x:c r="G405" s="32" t="n">
        <x:v>0.4725</x:v>
      </x:c>
      <x:c r="H405" s="32" t="n">
        <x:v>0.37</x:v>
      </x:c>
      <x:c r="I405" s="39" t="n">
        <x:v>2</x:v>
      </x:c>
      <x:c r="J405" s="39" t="n">
        <x:v>2</x:v>
      </x:c>
      <x:c r="K405" s="39" t="n">
        <x:v>2</x:v>
      </x:c>
      <x:c r="L405" s="39" t="n">
        <x:v>1</x:v>
      </x:c>
    </x:row>
    <x:row r="406" ht="23" customHeight="1">
      <x:c r="B406" s="17" t="str">
        <x:v>All rounds</x:v>
      </x:c>
      <x:c r="C406" s="17" t="str">
        <x:v>condition</x:v>
      </x:c>
      <x:c r="D406" s="17" t="str">
        <x:v>Compress_5</x:v>
      </x:c>
      <x:c r="E406" s="32" t="n">
        <x:v>0.2766</x:v>
      </x:c>
      <x:c r="F406" s="32" t="n">
        <x:v>0.25</x:v>
      </x:c>
      <x:c r="G406" s="32" t="n">
        <x:v>0.7447</x:v>
      </x:c>
      <x:c r="H406" s="32" t="n">
        <x:v>0.8723000000000001</x:v>
      </x:c>
      <x:c r="I406" s="39" t="n">
        <x:v>2</x:v>
      </x:c>
      <x:c r="J406" s="39" t="n">
        <x:v>2</x:v>
      </x:c>
      <x:c r="K406" s="39" t="n">
        <x:v>1</x:v>
      </x:c>
      <x:c r="L406" s="39" t="n">
        <x:v>1</x:v>
      </x:c>
    </x:row>
    <x:row r="407" ht="23" customHeight="1">
      <x:c r="B407" s="17" t="str">
        <x:v>All rounds</x:v>
      </x:c>
      <x:c r="C407" s="17" t="str">
        <x:v>condition</x:v>
      </x:c>
      <x:c r="D407" s="17" t="str">
        <x:v>Compress_8</x:v>
      </x:c>
      <x:c r="E407" s="32" t="n">
        <x:v>0.9473999999999999</x:v>
      </x:c>
      <x:c r="F407" s="32" t="n">
        <x:v>0.82895</x:v>
      </x:c>
      <x:c r="G407" s="32" t="n">
        <x:v>0.9211</x:v>
      </x:c>
      <x:c r="H407" s="32" t="n">
        <x:v>0.9737</x:v>
      </x:c>
      <x:c r="I407" s="39" t="n">
        <x:v>2</x:v>
      </x:c>
      <x:c r="J407" s="39" t="n">
        <x:v>2</x:v>
      </x:c>
      <x:c r="K407" s="39" t="n">
        <x:v>2</x:v>
      </x:c>
      <x:c r="L407" s="39" t="n">
        <x:v>1</x:v>
      </x:c>
    </x:row>
    <x:row r="408" ht="23" customHeight="1">
      <x:c r="B408" s="17" t="str">
        <x:v>All rounds</x:v>
      </x:c>
      <x:c r="C408" s="17" t="str">
        <x:v>condition</x:v>
      </x:c>
      <x:c r="D408" s="17" t="str">
        <x:v>Compress_9</x:v>
      </x:c>
      <x:c r="E408" s="32" t="n">
        <x:v>0.6667000000000001</x:v>
      </x:c>
      <x:c r="F408" s="32" t="n">
        <x:v>0.3214</x:v>
      </x:c>
      <x:c r="G408" s="32" t="n">
        <x:v>0.8332999999999999</x:v>
      </x:c>
      <x:c r="H408" s="32" t="n">
        <x:v>1</x:v>
      </x:c>
      <x:c r="I408" s="39" t="n">
        <x:v>2</x:v>
      </x:c>
      <x:c r="J408" s="39" t="n">
        <x:v>2</x:v>
      </x:c>
      <x:c r="K408" s="39" t="n">
        <x:v>2</x:v>
      </x:c>
      <x:c r="L408" s="39" t="n">
        <x:v>1</x:v>
      </x:c>
    </x:row>
    <x:row r="409" ht="23" customHeight="1">
      <x:c r="B409" s="17" t="str">
        <x:v>All rounds</x:v>
      </x:c>
      <x:c r="C409" s="17" t="str">
        <x:v>condition</x:v>
      </x:c>
      <x:c r="D409" s="17" t="str">
        <x:v>Csv_1</x:v>
      </x:c>
      <x:c r="E409" s="32" t="n">
        <x:v>0.5909</x:v>
      </x:c>
      <x:c r="F409" s="32" t="n">
        <x:v>0.13635</x:v>
      </x:c>
      <x:c r="G409" s="32" t="n">
        <x:v>0.9545</x:v>
      </x:c>
      <x:c r="H409" s="32" t="n">
        <x:v>0.9545</x:v>
      </x:c>
      <x:c r="I409" s="39" t="n">
        <x:v>2</x:v>
      </x:c>
      <x:c r="J409" s="39" t="n">
        <x:v>2</x:v>
      </x:c>
      <x:c r="K409" s="39" t="n">
        <x:v>2</x:v>
      </x:c>
      <x:c r="L409" s="39" t="n">
        <x:v>1</x:v>
      </x:c>
    </x:row>
    <x:row r="410" ht="23" customHeight="1">
      <x:c r="B410" s="17" t="str">
        <x:v>All rounds</x:v>
      </x:c>
      <x:c r="C410" s="17" t="str">
        <x:v>condition</x:v>
      </x:c>
      <x:c r="D410" s="17" t="str">
        <x:v>Csv_16</x:v>
      </x:c>
      <x:c r="E410" s="32" t="n">
        <x:v>0.6470999999999999</x:v>
      </x:c>
      <x:c r="F410" s="32" t="n">
        <x:v>0</x:v>
      </x:c>
      <x:c r="G410" s="32" t="n">
        <x:v>0.6175999999999999</x:v>
      </x:c>
      <x:c r="H410" s="32" t="n">
        <x:v>0.5294</x:v>
      </x:c>
      <x:c r="I410" s="39" t="n">
        <x:v>2</x:v>
      </x:c>
      <x:c r="J410" s="39" t="n">
        <x:v>2</x:v>
      </x:c>
      <x:c r="K410" s="39" t="n">
        <x:v>1</x:v>
      </x:c>
      <x:c r="L410" s="39" t="n">
        <x:v>1</x:v>
      </x:c>
    </x:row>
    <x:row r="411" ht="23" customHeight="1">
      <x:c r="B411" s="17" t="str">
        <x:v>All rounds</x:v>
      </x:c>
      <x:c r="C411" s="17" t="str">
        <x:v>condition</x:v>
      </x:c>
      <x:c r="D411" s="17" t="str">
        <x:v>Csv_2</x:v>
      </x:c>
      <x:c r="E411" s="32" t="n">
        <x:v>1</x:v>
      </x:c>
      <x:c r="F411" s="32" t="n">
        <x:v>0.34375</x:v>
      </x:c>
      <x:c r="G411" s="32" t="n">
        <x:v>1</x:v>
      </x:c>
      <x:c r="H411" s="32" t="n">
        <x:v>1</x:v>
      </x:c>
      <x:c r="I411" s="39" t="n">
        <x:v>2</x:v>
      </x:c>
      <x:c r="J411" s="39" t="n">
        <x:v>2</x:v>
      </x:c>
      <x:c r="K411" s="39" t="n">
        <x:v>2</x:v>
      </x:c>
      <x:c r="L411" s="39" t="n">
        <x:v>1</x:v>
      </x:c>
    </x:row>
    <x:row r="412" ht="23" customHeight="1">
      <x:c r="B412" s="17" t="str">
        <x:v>All rounds</x:v>
      </x:c>
      <x:c r="C412" s="17" t="str">
        <x:v>condition</x:v>
      </x:c>
      <x:c r="D412" s="17" t="str">
        <x:v>Csv_6</x:v>
      </x:c>
      <x:c r="E412" s="32" t="n">
        <x:v>1</x:v>
      </x:c>
      <x:c r="F412" s="32" t="n">
        <x:v>0.3333</x:v>
      </x:c>
      <x:c r="G412" s="32" t="n">
        <x:v>0.8332999999999999</x:v>
      </x:c>
      <x:c r="H412" s="32" t="n">
        <x:v>1</x:v>
      </x:c>
      <x:c r="I412" s="39" t="n">
        <x:v>2</x:v>
      </x:c>
      <x:c r="J412" s="39" t="n">
        <x:v>2</x:v>
      </x:c>
      <x:c r="K412" s="39" t="n">
        <x:v>2</x:v>
      </x:c>
      <x:c r="L412" s="39" t="n">
        <x:v>1</x:v>
      </x:c>
    </x:row>
    <x:row r="413" ht="23" customHeight="1">
      <x:c r="B413" s="17" t="str">
        <x:v>All rounds</x:v>
      </x:c>
      <x:c r="C413" s="17" t="str">
        <x:v>condition</x:v>
      </x:c>
      <x:c r="D413" s="17" t="str">
        <x:v>Csv_7</x:v>
      </x:c>
      <x:c r="E413" s="32" t="n">
        <x:v>0.76</x:v>
      </x:c>
      <x:c r="F413" s="32" t="n">
        <x:v>0</x:v>
      </x:c>
      <x:c r="G413" s="32" t="n">
        <x:v>0.68</x:v>
      </x:c>
      <x:c r="H413" s="32" t="n">
        <x:v>0.56</x:v>
      </x:c>
      <x:c r="I413" s="39" t="n">
        <x:v>2</x:v>
      </x:c>
      <x:c r="J413" s="39" t="n">
        <x:v>2</x:v>
      </x:c>
      <x:c r="K413" s="39" t="n">
        <x:v>2</x:v>
      </x:c>
      <x:c r="L413" s="39" t="n">
        <x:v>1</x:v>
      </x:c>
    </x:row>
    <x:row r="414" ht="23" customHeight="1">
      <x:c r="B414" s="17" t="str">
        <x:v>All rounds</x:v>
      </x:c>
      <x:c r="C414" s="17" t="str">
        <x:v>condition</x:v>
      </x:c>
      <x:c r="D414" s="17" t="str">
        <x:v>Csv_9</x:v>
      </x:c>
      <x:c r="E414" s="32" t="n">
        <x:v>1</x:v>
      </x:c>
      <x:c r="F414" s="32" t="n">
        <x:v>0.2727</x:v>
      </x:c>
      <x:c r="G414" s="32" t="n">
        <x:v>0.9545</x:v>
      </x:c>
      <x:c r="H414" s="32" t="n">
        <x:v>1</x:v>
      </x:c>
      <x:c r="I414" s="39" t="n">
        <x:v>2</x:v>
      </x:c>
      <x:c r="J414" s="39" t="n">
        <x:v>2</x:v>
      </x:c>
      <x:c r="K414" s="39" t="n">
        <x:v>2</x:v>
      </x:c>
      <x:c r="L414" s="39" t="n">
        <x:v>1</x:v>
      </x:c>
    </x:row>
    <x:row r="415" ht="23" customHeight="1">
      <x:c r="B415" s="17" t="str">
        <x:v>All rounds</x:v>
      </x:c>
      <x:c r="C415" s="17" t="str">
        <x:v>condition</x:v>
      </x:c>
      <x:c r="D415" s="17" t="str">
        <x:v>Gson_1</x:v>
      </x:c>
      <x:c r="E415" s="32" t="n">
        <x:v>0</x:v>
      </x:c>
      <x:c r="F415" s="32" t="n">
        <x:v>0</x:v>
      </x:c>
      <x:c r="G415" s="32" t="n">
        <x:v>0.5455</x:v>
      </x:c>
      <x:c r="H415" s="32" t="n">
        <x:v>0.9545</x:v>
      </x:c>
      <x:c r="I415" s="39" t="n">
        <x:v>2</x:v>
      </x:c>
      <x:c r="J415" s="39" t="n">
        <x:v>2</x:v>
      </x:c>
      <x:c r="K415" s="39" t="n">
        <x:v>2</x:v>
      </x:c>
      <x:c r="L415" s="39" t="n">
        <x:v>1</x:v>
      </x:c>
    </x:row>
    <x:row r="416" ht="23" customHeight="1">
      <x:c r="B416" s="17" t="str">
        <x:v>All rounds</x:v>
      </x:c>
      <x:c r="C416" s="17" t="str">
        <x:v>condition</x:v>
      </x:c>
      <x:c r="D416" s="17" t="str">
        <x:v>Gson_12</x:v>
      </x:c>
      <x:c r="E416" s="32" t="n">
        <x:v>0.8140000000000001</x:v>
      </x:c>
      <x:c r="F416" s="32" t="n">
        <x:v>0.1512</x:v>
      </x:c>
      <x:c r="G416" s="32" t="n">
        <x:v>0.7442</x:v>
      </x:c>
      <x:c r="H416" s="32" t="n">
        <x:v>0.9301999999999999</x:v>
      </x:c>
      <x:c r="I416" s="39" t="n">
        <x:v>2</x:v>
      </x:c>
      <x:c r="J416" s="39" t="n">
        <x:v>2</x:v>
      </x:c>
      <x:c r="K416" s="39" t="n">
        <x:v>1</x:v>
      </x:c>
      <x:c r="L416" s="39" t="n">
        <x:v>1</x:v>
      </x:c>
    </x:row>
    <x:row r="417" ht="23" customHeight="1">
      <x:c r="B417" s="17" t="str">
        <x:v>All rounds</x:v>
      </x:c>
      <x:c r="C417" s="17" t="str">
        <x:v>condition</x:v>
      </x:c>
      <x:c r="D417" s="17" t="str">
        <x:v>Gson_14</x:v>
      </x:c>
      <x:c r="E417" s="32" t="n">
        <x:v>0</x:v>
      </x:c>
      <x:c r="F417" s="32" t="n">
        <x:v>0</x:v>
      </x:c>
      <x:c r="G417" s="32" t="n">
        <x:v>0.6474</x:v>
      </x:c>
      <x:c r="H417" s="32" t="n">
        <x:v>0.9</x:v>
      </x:c>
      <x:c r="I417" s="39" t="n">
        <x:v>2</x:v>
      </x:c>
      <x:c r="J417" s="39" t="n">
        <x:v>2</x:v>
      </x:c>
      <x:c r="K417" s="39" t="n">
        <x:v>1</x:v>
      </x:c>
      <x:c r="L417" s="39" t="n">
        <x:v>1</x:v>
      </x:c>
    </x:row>
    <x:row r="418" ht="23" customHeight="1">
      <x:c r="B418" s="17" t="str">
        <x:v>All rounds</x:v>
      </x:c>
      <x:c r="C418" s="17" t="str">
        <x:v>condition</x:v>
      </x:c>
      <x:c r="D418" s="17" t="str">
        <x:v>Gson_15</x:v>
      </x:c>
      <x:c r="E418" s="32" t="n">
        <x:v>0.8695999999999999</x:v>
      </x:c>
      <x:c r="F418" s="32" t="n">
        <x:v>0.0217</x:v>
      </x:c>
      <x:c r="G418" s="32" t="n">
        <x:v>0.6087</x:v>
      </x:c>
      <x:c r="H418" s="32" t="n">
        <x:v>0.9673999999999999</x:v>
      </x:c>
      <x:c r="I418" s="39" t="n">
        <x:v>2</x:v>
      </x:c>
      <x:c r="J418" s="39" t="n">
        <x:v>2</x:v>
      </x:c>
      <x:c r="K418" s="39" t="n">
        <x:v>1</x:v>
      </x:c>
      <x:c r="L418" s="39" t="n">
        <x:v>1</x:v>
      </x:c>
    </x:row>
    <x:row r="419" ht="23" customHeight="1">
      <x:c r="B419" s="17" t="str">
        <x:v>All rounds</x:v>
      </x:c>
      <x:c r="C419" s="17" t="str">
        <x:v>condition</x:v>
      </x:c>
      <x:c r="D419" s="17" t="str">
        <x:v>Gson_16</x:v>
      </x:c>
      <x:c r="E419" s="32" t="n">
        <x:v>0</x:v>
      </x:c>
      <x:c r="F419" s="32" t="n">
        <x:v>0</x:v>
      </x:c>
      <x:c r="G419" s="32" t="n">
        <x:v>0.6648999999999999</x:v>
      </x:c>
      <x:c r="H419" s="32" t="n">
        <x:v>0.8865999999999999</x:v>
      </x:c>
      <x:c r="I419" s="39" t="n">
        <x:v>2</x:v>
      </x:c>
      <x:c r="J419" s="39" t="n">
        <x:v>2</x:v>
      </x:c>
      <x:c r="K419" s="39" t="n">
        <x:v>1</x:v>
      </x:c>
      <x:c r="L419" s="39" t="n">
        <x:v>1</x:v>
      </x:c>
    </x:row>
    <x:row r="420" ht="23" customHeight="1">
      <x:c r="B420" s="17" t="str">
        <x:v>All rounds</x:v>
      </x:c>
      <x:c r="C420" s="17" t="str">
        <x:v>condition</x:v>
      </x:c>
      <x:c r="D420" s="17" t="str">
        <x:v>Gson_3</x:v>
      </x:c>
      <x:c r="E420" s="32" t="n">
        <x:v>0</x:v>
      </x:c>
      <x:c r="F420" s="32" t="n">
        <x:v>0</x:v>
      </x:c>
      <x:c r="G420" s="32" t="n">
        <x:v>0.6562</x:v>
      </x:c>
      <x:c r="H420" s="32" t="n">
        <x:v>0.9688</x:v>
      </x:c>
      <x:c r="I420" s="39" t="n">
        <x:v>2</x:v>
      </x:c>
      <x:c r="J420" s="39" t="n">
        <x:v>2</x:v>
      </x:c>
      <x:c r="K420" s="39" t="n">
        <x:v>2</x:v>
      </x:c>
      <x:c r="L420" s="39" t="n">
        <x:v>1</x:v>
      </x:c>
    </x:row>
    <x:row r="421" ht="23" customHeight="1">
      <x:c r="B421" s="17" t="str">
        <x:v>All rounds</x:v>
      </x:c>
      <x:c r="C421" s="17" t="str">
        <x:v>condition</x:v>
      </x:c>
      <x:c r="D421" s="17" t="str">
        <x:v>Gson_4</x:v>
      </x:c>
      <x:c r="E421" s="32" t="n">
        <x:v>0.47259999999999996</x:v>
      </x:c>
      <x:c r="F421" s="32" t="n">
        <x:v>0.0053</x:v>
      </x:c>
      <x:c r="G421" s="32" t="n">
        <x:v>0.4867</x:v>
      </x:c>
      <x:c r="H421" s="32" t="n">
        <x:v>0.8283</x:v>
      </x:c>
      <x:c r="I421" s="39" t="n">
        <x:v>2</x:v>
      </x:c>
      <x:c r="J421" s="39" t="n">
        <x:v>2</x:v>
      </x:c>
      <x:c r="K421" s="39" t="n">
        <x:v>1</x:v>
      </x:c>
      <x:c r="L421" s="39" t="n">
        <x:v>1</x:v>
      </x:c>
    </x:row>
    <x:row r="422" ht="23" customHeight="1">
      <x:c r="B422" s="17" t="str">
        <x:v>All rounds</x:v>
      </x:c>
      <x:c r="C422" s="17" t="str">
        <x:v>condition</x:v>
      </x:c>
      <x:c r="D422" s="17" t="str">
        <x:v>Gson_5</x:v>
      </x:c>
      <x:c r="E422" s="32" t="n">
        <x:v>0.7079000000000001</x:v>
      </x:c>
      <x:c r="F422" s="32" t="n">
        <x:v>0</x:v>
      </x:c>
      <x:c r="G422" s="32" t="n">
        <x:v>0.7528</x:v>
      </x:c>
      <x:c r="H422" s="32" t="n">
        <x:v>0.8764</x:v>
      </x:c>
      <x:c r="I422" s="39" t="n">
        <x:v>2</x:v>
      </x:c>
      <x:c r="J422" s="39" t="n">
        <x:v>2</x:v>
      </x:c>
      <x:c r="K422" s="39" t="n">
        <x:v>2</x:v>
      </x:c>
      <x:c r="L422" s="39" t="n">
        <x:v>1</x:v>
      </x:c>
    </x:row>
    <x:row r="423" ht="23" customHeight="1">
      <x:c r="B423" s="17" t="str">
        <x:v>All rounds</x:v>
      </x:c>
      <x:c r="C423" s="17" t="str">
        <x:v>condition</x:v>
      </x:c>
      <x:c r="D423" s="17" t="str">
        <x:v>Gson_7</x:v>
      </x:c>
      <x:c r="E423" s="32" t="n">
        <x:v>0.4158</x:v>
      </x:c>
      <x:c r="F423" s="32" t="n">
        <x:v>0.0021</x:v>
      </x:c>
      <x:c r="G423" s="32" t="n">
        <x:v>0.5416</x:v>
      </x:c>
      <x:c r="H423" s="32" t="n">
        <x:v>0.7909999999999999</x:v>
      </x:c>
      <x:c r="I423" s="39" t="n">
        <x:v>2</x:v>
      </x:c>
      <x:c r="J423" s="39" t="n">
        <x:v>2</x:v>
      </x:c>
      <x:c r="K423" s="39" t="n">
        <x:v>1</x:v>
      </x:c>
      <x:c r="L423" s="39" t="n">
        <x:v>1</x:v>
      </x:c>
    </x:row>
    <x:row r="424" ht="23" customHeight="1">
      <x:c r="B424" s="17" t="str">
        <x:v>All rounds</x:v>
      </x:c>
      <x:c r="C424" s="17" t="str">
        <x:v>condition</x:v>
      </x:c>
      <x:c r="D424" s="17" t="str">
        <x:v>JacksonCore_10</x:v>
      </x:c>
      <x:c r="E424" s="32" t="n">
        <x:v>0.406</x:v>
      </x:c>
      <x:c r="F424" s="32" t="n">
        <x:v>0.1748</x:v>
      </x:c>
      <x:c r="G424" s="32" t="n">
        <x:v>0.2368</x:v>
      </x:c>
      <x:c r="H424" s="32" t="n">
        <x:v>0.6805</x:v>
      </x:c>
      <x:c r="I424" s="39" t="n">
        <x:v>2</x:v>
      </x:c>
      <x:c r="J424" s="39" t="n">
        <x:v>2</x:v>
      </x:c>
      <x:c r="K424" s="39" t="n">
        <x:v>1</x:v>
      </x:c>
      <x:c r="L424" s="39" t="n">
        <x:v>1</x:v>
      </x:c>
    </x:row>
    <x:row r="425" ht="23" customHeight="1">
      <x:c r="B425" s="17" t="str">
        <x:v>All rounds</x:v>
      </x:c>
      <x:c r="C425" s="17" t="str">
        <x:v>condition</x:v>
      </x:c>
      <x:c r="D425" s="17" t="str">
        <x:v>JacksonCore_2</x:v>
      </x:c>
      <x:c r="E425" s="32" t="n">
        <x:v>0.2285</x:v>
      </x:c>
      <x:c r="F425" s="32" t="n">
        <x:v>0.0009</x:v>
      </x:c>
      <x:c r="G425" s="32" t="n">
        <x:v>0.3292</x:v>
      </x:c>
      <x:c r="H425" s="32" t="n">
        <x:v>0.1502</x:v>
      </x:c>
      <x:c r="I425" s="39" t="n">
        <x:v>2</x:v>
      </x:c>
      <x:c r="J425" s="39" t="n">
        <x:v>2</x:v>
      </x:c>
      <x:c r="K425" s="39" t="n">
        <x:v>1</x:v>
      </x:c>
      <x:c r="L425" s="39" t="n">
        <x:v>1</x:v>
      </x:c>
    </x:row>
    <x:row r="426" ht="23" customHeight="1">
      <x:c r="B426" s="17" t="str">
        <x:v>All rounds</x:v>
      </x:c>
      <x:c r="C426" s="17" t="str">
        <x:v>condition</x:v>
      </x:c>
      <x:c r="D426" s="17" t="str">
        <x:v>JacksonCore_21</x:v>
      </x:c>
      <x:c r="E426" s="32" t="n">
        <x:v>0.2305</x:v>
      </x:c>
      <x:c r="F426" s="32" t="n">
        <x:v>0.0576</x:v>
      </x:c>
      <x:c r="G426" s="32" t="n">
        <x:v>0.0669</x:v>
      </x:c>
      <x:c r="H426" s="32" t="n">
        <x:v>0.19329999999999997</x:v>
      </x:c>
      <x:c r="I426" s="39" t="n">
        <x:v>2</x:v>
      </x:c>
      <x:c r="J426" s="39" t="n">
        <x:v>2</x:v>
      </x:c>
      <x:c r="K426" s="39" t="n">
        <x:v>1</x:v>
      </x:c>
      <x:c r="L426" s="39" t="n">
        <x:v>1</x:v>
      </x:c>
    </x:row>
    <x:row r="427" ht="23" customHeight="1">
      <x:c r="B427" s="17" t="str">
        <x:v>All rounds</x:v>
      </x:c>
      <x:c r="C427" s="17" t="str">
        <x:v>condition</x:v>
      </x:c>
      <x:c r="D427" s="17" t="str">
        <x:v>JacksonCore_22</x:v>
      </x:c>
      <x:c r="E427" s="32" t="n">
        <x:v>0.191</x:v>
      </x:c>
      <x:c r="F427" s="32" t="n">
        <x:v>0.05805</x:v>
      </x:c>
      <x:c r="G427" s="32" t="n">
        <x:v>0.3109</x:v>
      </x:c>
      <x:c r="H427" s="32" t="n">
        <x:v>0.1873</x:v>
      </x:c>
      <x:c r="I427" s="39" t="n">
        <x:v>2</x:v>
      </x:c>
      <x:c r="J427" s="39" t="n">
        <x:v>2</x:v>
      </x:c>
      <x:c r="K427" s="39" t="n">
        <x:v>1</x:v>
      </x:c>
      <x:c r="L427" s="39" t="n">
        <x:v>1</x:v>
      </x:c>
    </x:row>
    <x:row r="428" ht="23" customHeight="1">
      <x:c r="B428" s="17" t="str">
        <x:v>All rounds</x:v>
      </x:c>
      <x:c r="C428" s="17" t="str">
        <x:v>condition</x:v>
      </x:c>
      <x:c r="D428" s="17" t="str">
        <x:v>JacksonCore_26</x:v>
      </x:c>
      <x:c r="E428" s="32" t="n">
        <x:v>0.122</x:v>
      </x:c>
      <x:c r="F428" s="32" t="n">
        <x:v>0</x:v>
      </x:c>
      <x:c r="G428" s="32" t="n">
        <x:v>0.10619999999999999</x:v>
      </x:c>
      <x:c r="H428" s="32" t="n">
        <x:v>0.0873</x:v>
      </x:c>
      <x:c r="I428" s="39" t="n">
        <x:v>2</x:v>
      </x:c>
      <x:c r="J428" s="39" t="n">
        <x:v>2</x:v>
      </x:c>
      <x:c r="K428" s="39" t="n">
        <x:v>2</x:v>
      </x:c>
      <x:c r="L428" s="39" t="n">
        <x:v>1</x:v>
      </x:c>
    </x:row>
    <x:row r="429" ht="23" customHeight="1">
      <x:c r="B429" s="17" t="str">
        <x:v>All rounds</x:v>
      </x:c>
      <x:c r="C429" s="17" t="str">
        <x:v>condition</x:v>
      </x:c>
      <x:c r="D429" s="17" t="str">
        <x:v>JacksonCore_5</x:v>
      </x:c>
      <x:c r="E429" s="32" t="n">
        <x:v>0.9194</x:v>
      </x:c>
      <x:c r="F429" s="32" t="n">
        <x:v>0.55645</x:v>
      </x:c>
      <x:c r="G429" s="32" t="n">
        <x:v>0.9031999999999999</x:v>
      </x:c>
      <x:c r="H429" s="32" t="n">
        <x:v>0.7581</x:v>
      </x:c>
      <x:c r="I429" s="39" t="n">
        <x:v>2</x:v>
      </x:c>
      <x:c r="J429" s="39" t="n">
        <x:v>2</x:v>
      </x:c>
      <x:c r="K429" s="39" t="n">
        <x:v>1</x:v>
      </x:c>
      <x:c r="L429" s="39" t="n">
        <x:v>1</x:v>
      </x:c>
    </x:row>
    <x:row r="430" ht="23" customHeight="1">
      <x:c r="B430" s="17" t="str">
        <x:v>All rounds</x:v>
      </x:c>
      <x:c r="C430" s="17" t="str">
        <x:v>condition</x:v>
      </x:c>
      <x:c r="D430" s="17" t="str">
        <x:v>JacksonCore_6</x:v>
      </x:c>
      <x:c r="E430" s="32" t="n">
        <x:v>0.9355</x:v>
      </x:c>
      <x:c r="F430" s="32" t="n">
        <x:v>0.55645</x:v>
      </x:c>
      <x:c r="G430" s="32" t="n">
        <x:v>0.871</x:v>
      </x:c>
      <x:c r="H430" s="32" t="n">
        <x:v>0.7581</x:v>
      </x:c>
      <x:c r="I430" s="39" t="n">
        <x:v>2</x:v>
      </x:c>
      <x:c r="J430" s="39" t="n">
        <x:v>2</x:v>
      </x:c>
      <x:c r="K430" s="39" t="n">
        <x:v>2</x:v>
      </x:c>
      <x:c r="L430" s="39" t="n">
        <x:v>1</x:v>
      </x:c>
    </x:row>
    <x:row r="431" ht="23" customHeight="1">
      <x:c r="B431" s="17" t="str">
        <x:v>All rounds</x:v>
      </x:c>
      <x:c r="C431" s="17" t="str">
        <x:v>condition</x:v>
      </x:c>
      <x:c r="D431" s="17" t="str">
        <x:v>JacksonCore_8</x:v>
      </x:c>
      <x:c r="E431" s="32" t="n">
        <x:v>0.971</x:v>
      </x:c>
      <x:c r="F431" s="32" t="n">
        <x:v>0.53625</x:v>
      </x:c>
      <x:c r="G431" s="32" t="n">
        <x:v>0.4855</x:v>
      </x:c>
      <x:c r="H431" s="32" t="n">
        <x:v>0.8913</x:v>
      </x:c>
      <x:c r="I431" s="39" t="n">
        <x:v>2</x:v>
      </x:c>
      <x:c r="J431" s="39" t="n">
        <x:v>2</x:v>
      </x:c>
      <x:c r="K431" s="39" t="n">
        <x:v>2</x:v>
      </x:c>
      <x:c r="L431" s="39" t="n">
        <x:v>1</x:v>
      </x:c>
    </x:row>
    <x:row r="432" ht="23" customHeight="1">
      <x:c r="B432" s="17" t="str">
        <x:v>All rounds</x:v>
      </x:c>
      <x:c r="C432" s="17" t="str">
        <x:v>condition</x:v>
      </x:c>
      <x:c r="D432" s="17" t="str">
        <x:v>JacksonDatabind_105</x:v>
      </x:c>
      <x:c r="E432" s="32" t="n">
        <x:v>0.6667000000000001</x:v>
      </x:c>
      <x:c r="F432" s="32" t="n">
        <x:v>0</x:v>
      </x:c>
      <x:c r="G432" s="32" t="n">
        <x:v>0.8332999999999999</x:v>
      </x:c>
      <x:c r="H432" s="32" t="n">
        <x:v>1</x:v>
      </x:c>
      <x:c r="I432" s="39" t="n">
        <x:v>2</x:v>
      </x:c>
      <x:c r="J432" s="39" t="n">
        <x:v>2</x:v>
      </x:c>
      <x:c r="K432" s="39" t="n">
        <x:v>2</x:v>
      </x:c>
      <x:c r="L432" s="39" t="n">
        <x:v>1</x:v>
      </x:c>
    </x:row>
    <x:row r="433" ht="23" customHeight="1">
      <x:c r="B433" s="17" t="str">
        <x:v>All rounds</x:v>
      </x:c>
      <x:c r="C433" s="17" t="str">
        <x:v>condition</x:v>
      </x:c>
      <x:c r="D433" s="17" t="str">
        <x:v>JacksonDatabind_108</x:v>
      </x:c>
      <x:c r="E433" s="32" t="n">
        <x:v>0.41759999999999997</x:v>
      </x:c>
      <x:c r="F433" s="32" t="n">
        <x:v>0</x:v>
      </x:c>
      <x:c r="G433" s="32" t="n">
        <x:v>0.3626</x:v>
      </x:c>
      <x:c r="H433" s="32" t="n">
        <x:v>0</x:v>
      </x:c>
      <x:c r="I433" s="39" t="n">
        <x:v>2</x:v>
      </x:c>
      <x:c r="J433" s="39" t="n">
        <x:v>2</x:v>
      </x:c>
      <x:c r="K433" s="39" t="n">
        <x:v>1</x:v>
      </x:c>
      <x:c r="L433" s="39" t="n">
        <x:v>1</x:v>
      </x:c>
    </x:row>
    <x:row r="434" ht="23" customHeight="1">
      <x:c r="B434" s="17" t="str">
        <x:v>All rounds</x:v>
      </x:c>
      <x:c r="C434" s="17" t="str">
        <x:v>condition</x:v>
      </x:c>
      <x:c r="D434" s="17" t="str">
        <x:v>JacksonDatabind_11</x:v>
      </x:c>
      <x:c r="E434" s="32" t="n">
        <x:v>0.6515000000000001</x:v>
      </x:c>
      <x:c r="F434" s="32" t="n">
        <x:v>0.1288</x:v>
      </x:c>
      <x:c r="G434" s="32" t="n">
        <x:v>0.4242</x:v>
      </x:c>
      <x:c r="H434" s="32" t="n">
        <x:v>0</x:v>
      </x:c>
      <x:c r="I434" s="39" t="n">
        <x:v>2</x:v>
      </x:c>
      <x:c r="J434" s="39" t="n">
        <x:v>2</x:v>
      </x:c>
      <x:c r="K434" s="39" t="n">
        <x:v>1</x:v>
      </x:c>
      <x:c r="L434" s="39" t="n">
        <x:v>1</x:v>
      </x:c>
    </x:row>
    <x:row r="435" ht="23" customHeight="1">
      <x:c r="B435" s="17" t="str">
        <x:v>All rounds</x:v>
      </x:c>
      <x:c r="C435" s="17" t="str">
        <x:v>condition</x:v>
      </x:c>
      <x:c r="D435" s="17" t="str">
        <x:v>JacksonDatabind_16</x:v>
      </x:c>
      <x:c r="E435" s="32" t="n">
        <x:v>0.19440000000000002</x:v>
      </x:c>
      <x:c r="F435" s="32" t="n">
        <x:v>0.22219999999999998</x:v>
      </x:c>
      <x:c r="G435" s="32" t="n">
        <x:v>0.8611</x:v>
      </x:c>
      <x:c r="H435" s="32" t="n">
        <x:v>1</x:v>
      </x:c>
      <x:c r="I435" s="39" t="n">
        <x:v>2</x:v>
      </x:c>
      <x:c r="J435" s="39" t="n">
        <x:v>2</x:v>
      </x:c>
      <x:c r="K435" s="39" t="n">
        <x:v>2</x:v>
      </x:c>
      <x:c r="L435" s="39" t="n">
        <x:v>1</x:v>
      </x:c>
    </x:row>
    <x:row r="436" ht="23" customHeight="1">
      <x:c r="B436" s="17" t="str">
        <x:v>All rounds</x:v>
      </x:c>
      <x:c r="C436" s="17" t="str">
        <x:v>condition</x:v>
      </x:c>
      <x:c r="D436" s="17" t="str">
        <x:v>JacksonDatabind_36</x:v>
      </x:c>
      <x:c r="E436" s="32" t="n">
        <x:v>0.8692</x:v>
      </x:c>
      <x:c r="F436" s="32" t="n">
        <x:v>0.7345999999999999</x:v>
      </x:c>
      <x:c r="G436" s="32" t="n">
        <x:v>0.7077</x:v>
      </x:c>
      <x:c r="H436" s="32" t="n">
        <x:v>0</x:v>
      </x:c>
      <x:c r="I436" s="39" t="n">
        <x:v>2</x:v>
      </x:c>
      <x:c r="J436" s="39" t="n">
        <x:v>2</x:v>
      </x:c>
      <x:c r="K436" s="39" t="n">
        <x:v>2</x:v>
      </x:c>
      <x:c r="L436" s="39" t="n">
        <x:v>1</x:v>
      </x:c>
    </x:row>
    <x:row r="437" ht="23" customHeight="1">
      <x:c r="B437" s="17" t="str">
        <x:v>All rounds</x:v>
      </x:c>
      <x:c r="C437" s="17" t="str">
        <x:v>condition</x:v>
      </x:c>
      <x:c r="D437" s="17" t="str">
        <x:v>JacksonDatabind_37</x:v>
      </x:c>
      <x:c r="E437" s="32" t="n">
        <x:v>0.9688</x:v>
      </x:c>
      <x:c r="F437" s="32" t="n">
        <x:v>0</x:v>
      </x:c>
      <x:c r="G437" s="32" t="n">
        <x:v>0.6875</x:v>
      </x:c>
      <x:c r="H437" s="32" t="n">
        <x:v>0</x:v>
      </x:c>
      <x:c r="I437" s="39" t="n">
        <x:v>2</x:v>
      </x:c>
      <x:c r="J437" s="39" t="n">
        <x:v>2</x:v>
      </x:c>
      <x:c r="K437" s="39" t="n">
        <x:v>1</x:v>
      </x:c>
      <x:c r="L437" s="39" t="n">
        <x:v>1</x:v>
      </x:c>
    </x:row>
    <x:row r="438" ht="23" customHeight="1">
      <x:c r="B438" s="17" t="str">
        <x:v>All rounds</x:v>
      </x:c>
      <x:c r="C438" s="17" t="str">
        <x:v>condition</x:v>
      </x:c>
      <x:c r="D438" s="17" t="str">
        <x:v>JacksonDatabind_39</x:v>
      </x:c>
      <x:c r="E438" s="32" t="n">
        <x:v>0.5</x:v>
      </x:c>
      <x:c r="F438" s="32" t="n">
        <x:v>0</x:v>
      </x:c>
      <x:c r="G438" s="32" t="n">
        <x:v>1</x:v>
      </x:c>
      <x:c r="H438" s="32" t="n">
        <x:v>1</x:v>
      </x:c>
      <x:c r="I438" s="39" t="n">
        <x:v>2</x:v>
      </x:c>
      <x:c r="J438" s="39" t="n">
        <x:v>2</x:v>
      </x:c>
      <x:c r="K438" s="39" t="n">
        <x:v>2</x:v>
      </x:c>
      <x:c r="L438" s="39" t="n">
        <x:v>1</x:v>
      </x:c>
    </x:row>
    <x:row r="439" ht="23" customHeight="1">
      <x:c r="B439" s="17" t="str">
        <x:v>All rounds</x:v>
      </x:c>
      <x:c r="C439" s="17" t="str">
        <x:v>condition</x:v>
      </x:c>
      <x:c r="D439" s="17" t="str">
        <x:v>JacksonDatabind_40</x:v>
      </x:c>
      <x:c r="E439" s="32" t="n">
        <x:v>0.2615</x:v>
      </x:c>
      <x:c r="F439" s="32" t="n">
        <x:v>0.0154</x:v>
      </x:c>
      <x:c r="G439" s="32" t="n">
        <x:v>0.6385000000000001</x:v>
      </x:c>
      <x:c r="H439" s="32" t="n">
        <x:v>0</x:v>
      </x:c>
      <x:c r="I439" s="39" t="n">
        <x:v>2</x:v>
      </x:c>
      <x:c r="J439" s="39" t="n">
        <x:v>2</x:v>
      </x:c>
      <x:c r="K439" s="39" t="n">
        <x:v>2</x:v>
      </x:c>
      <x:c r="L439" s="39" t="n">
        <x:v>1</x:v>
      </x:c>
    </x:row>
    <x:row r="440" ht="23" customHeight="1">
      <x:c r="B440" s="17" t="str">
        <x:v>All rounds</x:v>
      </x:c>
      <x:c r="C440" s="17" t="str">
        <x:v>condition</x:v>
      </x:c>
      <x:c r="D440" s="17" t="str">
        <x:v>JacksonDatabind_42</x:v>
      </x:c>
      <x:c r="E440" s="32" t="n">
        <x:v>0.5443</x:v>
      </x:c>
      <x:c r="F440" s="32" t="n">
        <x:v>0</x:v>
      </x:c>
      <x:c r="G440" s="32" t="n">
        <x:v>0.8354</x:v>
      </x:c>
      <x:c r="H440" s="32" t="n">
        <x:v>0</x:v>
      </x:c>
      <x:c r="I440" s="39" t="n">
        <x:v>2</x:v>
      </x:c>
      <x:c r="J440" s="39" t="n">
        <x:v>2</x:v>
      </x:c>
      <x:c r="K440" s="39" t="n">
        <x:v>1</x:v>
      </x:c>
      <x:c r="L440" s="39" t="n">
        <x:v>1</x:v>
      </x:c>
    </x:row>
    <x:row r="441" ht="23" customHeight="1">
      <x:c r="B441" s="17" t="str">
        <x:v>All rounds</x:v>
      </x:c>
      <x:c r="C441" s="17" t="str">
        <x:v>condition</x:v>
      </x:c>
      <x:c r="D441" s="17" t="str">
        <x:v>JacksonDatabind_44</x:v>
      </x:c>
      <x:c r="E441" s="32" t="n">
        <x:v>0.9722</x:v>
      </x:c>
      <x:c r="F441" s="32" t="n">
        <x:v>0</x:v>
      </x:c>
      <x:c r="G441" s="32" t="n">
        <x:v>0.8889</x:v>
      </x:c>
      <x:c r="H441" s="32" t="n">
        <x:v>0</x:v>
      </x:c>
      <x:c r="I441" s="39" t="n">
        <x:v>2</x:v>
      </x:c>
      <x:c r="J441" s="39" t="n">
        <x:v>2</x:v>
      </x:c>
      <x:c r="K441" s="39" t="n">
        <x:v>2</x:v>
      </x:c>
      <x:c r="L441" s="39" t="n">
        <x:v>1</x:v>
      </x:c>
    </x:row>
    <x:row r="442" ht="23" customHeight="1">
      <x:c r="B442" s="17" t="str">
        <x:v>All rounds</x:v>
      </x:c>
      <x:c r="C442" s="17" t="str">
        <x:v>condition</x:v>
      </x:c>
      <x:c r="D442" s="17" t="str">
        <x:v>JacksonDatabind_5</x:v>
      </x:c>
      <x:c r="E442" s="32" t="n">
        <x:v>0.7095999999999999</x:v>
      </x:c>
      <x:c r="F442" s="32" t="n">
        <x:v>0</x:v>
      </x:c>
      <x:c r="G442" s="32" t="n">
        <x:v>0.3897</x:v>
      </x:c>
      <x:c r="H442" s="32" t="n">
        <x:v>0</x:v>
      </x:c>
      <x:c r="I442" s="39" t="n">
        <x:v>2</x:v>
      </x:c>
      <x:c r="J442" s="39" t="n">
        <x:v>2</x:v>
      </x:c>
      <x:c r="K442" s="39" t="n">
        <x:v>2</x:v>
      </x:c>
      <x:c r="L442" s="39" t="n">
        <x:v>1</x:v>
      </x:c>
    </x:row>
    <x:row r="443" ht="23" customHeight="1">
      <x:c r="B443" s="17" t="str">
        <x:v>All rounds</x:v>
      </x:c>
      <x:c r="C443" s="17" t="str">
        <x:v>condition</x:v>
      </x:c>
      <x:c r="D443" s="17" t="str">
        <x:v>JacksonDatabind_53</x:v>
      </x:c>
      <x:c r="E443" s="32" t="n">
        <x:v>0.7601</x:v>
      </x:c>
      <x:c r="F443" s="32" t="n">
        <x:v>0.2818</x:v>
      </x:c>
      <x:c r="G443" s="32" t="n">
        <x:v>0.6936</x:v>
      </x:c>
      <x:c r="H443" s="32" t="n">
        <x:v>0.0116</x:v>
      </x:c>
      <x:c r="I443" s="39" t="n">
        <x:v>2</x:v>
      </x:c>
      <x:c r="J443" s="39" t="n">
        <x:v>2</x:v>
      </x:c>
      <x:c r="K443" s="39" t="n">
        <x:v>2</x:v>
      </x:c>
      <x:c r="L443" s="39" t="n">
        <x:v>1</x:v>
      </x:c>
    </x:row>
    <x:row r="444" ht="23" customHeight="1">
      <x:c r="B444" s="17" t="str">
        <x:v>All rounds</x:v>
      </x:c>
      <x:c r="C444" s="17" t="str">
        <x:v>condition</x:v>
      </x:c>
      <x:c r="D444" s="17" t="str">
        <x:v>JacksonDatabind_55</x:v>
      </x:c>
      <x:c r="E444" s="32" t="n">
        <x:v>0.7837999999999999</x:v>
      </x:c>
      <x:c r="F444" s="32" t="n">
        <x:v>0.027000000000000003</x:v>
      </x:c>
      <x:c r="G444" s="32" t="n">
        <x:v>0.8649</x:v>
      </x:c>
      <x:c r="H444" s="32" t="n">
        <x:v>0</x:v>
      </x:c>
      <x:c r="I444" s="39" t="n">
        <x:v>2</x:v>
      </x:c>
      <x:c r="J444" s="39" t="n">
        <x:v>2</x:v>
      </x:c>
      <x:c r="K444" s="39" t="n">
        <x:v>2</x:v>
      </x:c>
      <x:c r="L444" s="39" t="n">
        <x:v>1</x:v>
      </x:c>
    </x:row>
    <x:row r="445" ht="23" customHeight="1">
      <x:c r="B445" s="17" t="str">
        <x:v>All rounds</x:v>
      </x:c>
      <x:c r="C445" s="17" t="str">
        <x:v>condition</x:v>
      </x:c>
      <x:c r="D445" s="17" t="str">
        <x:v>JacksonDatabind_56</x:v>
      </x:c>
      <x:c r="E445" s="32" t="n">
        <x:v>0.4321</x:v>
      </x:c>
      <x:c r="F445" s="32" t="n">
        <x:v>0</x:v>
      </x:c>
      <x:c r="G445" s="32" t="n">
        <x:v>0.9136</x:v>
      </x:c>
      <x:c r="H445" s="32" t="n">
        <x:v>0</x:v>
      </x:c>
      <x:c r="I445" s="39" t="n">
        <x:v>2</x:v>
      </x:c>
      <x:c r="J445" s="39" t="n">
        <x:v>2</x:v>
      </x:c>
      <x:c r="K445" s="39" t="n">
        <x:v>1</x:v>
      </x:c>
      <x:c r="L445" s="39" t="n">
        <x:v>1</x:v>
      </x:c>
    </x:row>
    <x:row r="446" ht="23" customHeight="1">
      <x:c r="B446" s="17" t="str">
        <x:v>All rounds</x:v>
      </x:c>
      <x:c r="C446" s="17" t="str">
        <x:v>condition</x:v>
      </x:c>
      <x:c r="D446" s="17" t="str">
        <x:v>JacksonDatabind_57</x:v>
      </x:c>
      <x:c r="E446" s="32" t="n">
        <x:v>0.5064</x:v>
      </x:c>
      <x:c r="F446" s="32" t="n">
        <x:v>0</x:v>
      </x:c>
      <x:c r="G446" s="32" t="n">
        <x:v>0.42310000000000003</x:v>
      </x:c>
      <x:c r="H446" s="32" t="n">
        <x:v>0</x:v>
      </x:c>
      <x:c r="I446" s="39" t="n">
        <x:v>2</x:v>
      </x:c>
      <x:c r="J446" s="39" t="n">
        <x:v>2</x:v>
      </x:c>
      <x:c r="K446" s="39" t="n">
        <x:v>2</x:v>
      </x:c>
      <x:c r="L446" s="39" t="n">
        <x:v>1</x:v>
      </x:c>
    </x:row>
    <x:row r="447" ht="23" customHeight="1">
      <x:c r="B447" s="17" t="str">
        <x:v>All rounds</x:v>
      </x:c>
      <x:c r="C447" s="17" t="str">
        <x:v>condition</x:v>
      </x:c>
      <x:c r="D447" s="17" t="str">
        <x:v>JacksonDatabind_6</x:v>
      </x:c>
      <x:c r="E447" s="32" t="n">
        <x:v>0.9148999999999999</x:v>
      </x:c>
      <x:c r="F447" s="32" t="n">
        <x:v>0.79255</x:v>
      </x:c>
      <x:c r="G447" s="32" t="n">
        <x:v>0.7553</x:v>
      </x:c>
      <x:c r="H447" s="32" t="n">
        <x:v>0</x:v>
      </x:c>
      <x:c r="I447" s="39" t="n">
        <x:v>2</x:v>
      </x:c>
      <x:c r="J447" s="39" t="n">
        <x:v>2</x:v>
      </x:c>
      <x:c r="K447" s="39" t="n">
        <x:v>2</x:v>
      </x:c>
      <x:c r="L447" s="39" t="n">
        <x:v>1</x:v>
      </x:c>
    </x:row>
    <x:row r="448" ht="23" customHeight="1">
      <x:c r="B448" s="17" t="str">
        <x:v>All rounds</x:v>
      </x:c>
      <x:c r="C448" s="17" t="str">
        <x:v>condition</x:v>
      </x:c>
      <x:c r="D448" s="17" t="str">
        <x:v>JacksonDatabind_68</x:v>
      </x:c>
      <x:c r="E448" s="32" t="n">
        <x:v>0</x:v>
      </x:c>
      <x:c r="F448" s="32" t="n">
        <x:v>0</x:v>
      </x:c>
      <x:c r="G448" s="32" t="n">
        <x:v>0</x:v>
      </x:c>
      <x:c r="H448" s="32" t="n">
        <x:v>0</x:v>
      </x:c>
      <x:c r="I448" s="39" t="n">
        <x:v>2</x:v>
      </x:c>
      <x:c r="J448" s="39" t="n">
        <x:v>2</x:v>
      </x:c>
      <x:c r="K448" s="39" t="n">
        <x:v>2</x:v>
      </x:c>
      <x:c r="L448" s="39" t="n">
        <x:v>1</x:v>
      </x:c>
    </x:row>
    <x:row r="449" ht="23" customHeight="1">
      <x:c r="B449" s="17" t="str">
        <x:v>All rounds</x:v>
      </x:c>
      <x:c r="C449" s="17" t="str">
        <x:v>condition</x:v>
      </x:c>
      <x:c r="D449" s="17" t="str">
        <x:v>JacksonDatabind_73</x:v>
      </x:c>
      <x:c r="E449" s="32" t="n">
        <x:v>0.0587</x:v>
      </x:c>
      <x:c r="F449" s="32" t="n">
        <x:v>0.046099999999999995</x:v>
      </x:c>
      <x:c r="G449" s="32" t="n">
        <x:v>0.5433</x:v>
      </x:c>
      <x:c r="H449" s="32" t="n">
        <x:v>0</x:v>
      </x:c>
      <x:c r="I449" s="39" t="n">
        <x:v>2</x:v>
      </x:c>
      <x:c r="J449" s="39" t="n">
        <x:v>2</x:v>
      </x:c>
      <x:c r="K449" s="39" t="n">
        <x:v>2</x:v>
      </x:c>
      <x:c r="L449" s="39" t="n">
        <x:v>1</x:v>
      </x:c>
    </x:row>
    <x:row r="450" ht="23" customHeight="1">
      <x:c r="B450" s="17" t="str">
        <x:v>All rounds</x:v>
      </x:c>
      <x:c r="C450" s="17" t="str">
        <x:v>condition</x:v>
      </x:c>
      <x:c r="D450" s="17" t="str">
        <x:v>JacksonDatabind_83</x:v>
      </x:c>
      <x:c r="E450" s="32" t="n">
        <x:v>0.5682</x:v>
      </x:c>
      <x:c r="F450" s="32" t="n">
        <x:v>0</x:v>
      </x:c>
      <x:c r="G450" s="32" t="n">
        <x:v>0.7841</x:v>
      </x:c>
      <x:c r="H450" s="32" t="n">
        <x:v>0</x:v>
      </x:c>
      <x:c r="I450" s="39" t="n">
        <x:v>2</x:v>
      </x:c>
      <x:c r="J450" s="39" t="n">
        <x:v>2</x:v>
      </x:c>
      <x:c r="K450" s="39" t="n">
        <x:v>2</x:v>
      </x:c>
      <x:c r="L450" s="39" t="n">
        <x:v>1</x:v>
      </x:c>
    </x:row>
    <x:row r="451" ht="23" customHeight="1">
      <x:c r="B451" s="17" t="str">
        <x:v>All rounds</x:v>
      </x:c>
      <x:c r="C451" s="17" t="str">
        <x:v>condition</x:v>
      </x:c>
      <x:c r="D451" s="17" t="str">
        <x:v>JacksonDatabind_84</x:v>
      </x:c>
      <x:c r="E451" s="32" t="n">
        <x:v>1</x:v>
      </x:c>
      <x:c r="F451" s="32" t="n">
        <x:v>0</x:v>
      </x:c>
      <x:c r="G451" s="32" t="n">
        <x:v>1</x:v>
      </x:c>
      <x:c r="H451" s="32" t="n">
        <x:v>1</x:v>
      </x:c>
      <x:c r="I451" s="39" t="n">
        <x:v>2</x:v>
      </x:c>
      <x:c r="J451" s="39" t="n">
        <x:v>2</x:v>
      </x:c>
      <x:c r="K451" s="39" t="n">
        <x:v>2</x:v>
      </x:c>
      <x:c r="L451" s="39" t="n">
        <x:v>1</x:v>
      </x:c>
    </x:row>
    <x:row r="452" ht="23" customHeight="1">
      <x:c r="B452" s="17" t="str">
        <x:v>All rounds</x:v>
      </x:c>
      <x:c r="C452" s="17" t="str">
        <x:v>condition</x:v>
      </x:c>
      <x:c r="D452" s="17" t="str">
        <x:v>JacksonDatabind_86</x:v>
      </x:c>
      <x:c r="E452" s="32" t="n">
        <x:v>1</x:v>
      </x:c>
      <x:c r="F452" s="32" t="n">
        <x:v>0</x:v>
      </x:c>
      <x:c r="G452" s="32" t="n">
        <x:v>1</x:v>
      </x:c>
      <x:c r="H452" s="32" t="n">
        <x:v>1</x:v>
      </x:c>
      <x:c r="I452" s="39" t="n">
        <x:v>2</x:v>
      </x:c>
      <x:c r="J452" s="39" t="n">
        <x:v>2</x:v>
      </x:c>
      <x:c r="K452" s="39" t="n">
        <x:v>2</x:v>
      </x:c>
      <x:c r="L452" s="39" t="n">
        <x:v>1</x:v>
      </x:c>
    </x:row>
    <x:row r="453" ht="23" customHeight="1">
      <x:c r="B453" s="17" t="str">
        <x:v>All rounds</x:v>
      </x:c>
      <x:c r="C453" s="17" t="str">
        <x:v>condition</x:v>
      </x:c>
      <x:c r="D453" s="17" t="str">
        <x:v>JacksonDatabind_87</x:v>
      </x:c>
      <x:c r="E453" s="32" t="n">
        <x:v>0.8970999999999999</x:v>
      </x:c>
      <x:c r="F453" s="32" t="n">
        <x:v>0.5882000000000001</x:v>
      </x:c>
      <x:c r="G453" s="32" t="n">
        <x:v>0.6544</x:v>
      </x:c>
      <x:c r="H453" s="32" t="n">
        <x:v>0</x:v>
      </x:c>
      <x:c r="I453" s="39" t="n">
        <x:v>2</x:v>
      </x:c>
      <x:c r="J453" s="39" t="n">
        <x:v>1</x:v>
      </x:c>
      <x:c r="K453" s="39" t="n">
        <x:v>2</x:v>
      </x:c>
      <x:c r="L453" s="39" t="n">
        <x:v>1</x:v>
      </x:c>
    </x:row>
    <x:row r="454" ht="23" customHeight="1">
      <x:c r="B454" s="17" t="str">
        <x:v>All rounds</x:v>
      </x:c>
      <x:c r="C454" s="17" t="str">
        <x:v>condition</x:v>
      </x:c>
      <x:c r="D454" s="17" t="str">
        <x:v>JacksonDatabind_93</x:v>
      </x:c>
      <x:c r="E454" s="32" t="n">
        <x:v>0.2</x:v>
      </x:c>
      <x:c r="F454" s="32" t="n">
        <x:v>0</x:v>
      </x:c>
      <x:c r="G454" s="32" t="n">
        <x:v>0.3</x:v>
      </x:c>
      <x:c r="H454" s="32" t="n">
        <x:v>1</x:v>
      </x:c>
      <x:c r="I454" s="39" t="n">
        <x:v>2</x:v>
      </x:c>
      <x:c r="J454" s="39" t="n">
        <x:v>2</x:v>
      </x:c>
      <x:c r="K454" s="39" t="n">
        <x:v>1</x:v>
      </x:c>
      <x:c r="L454" s="39" t="n">
        <x:v>1</x:v>
      </x:c>
    </x:row>
    <x:row r="455" ht="23" customHeight="1">
      <x:c r="B455" s="17" t="str">
        <x:v>All rounds</x:v>
      </x:c>
      <x:c r="C455" s="17" t="str">
        <x:v>condition</x:v>
      </x:c>
      <x:c r="D455" s="17" t="str">
        <x:v>JacksonDatabind_94</x:v>
      </x:c>
      <x:c r="E455" s="32" t="n">
        <x:v>0.2857</x:v>
      </x:c>
      <x:c r="F455" s="32" t="n">
        <x:v>0</x:v>
      </x:c>
      <x:c r="G455" s="32" t="n">
        <x:v>0.35710000000000003</x:v>
      </x:c>
      <x:c r="H455" s="32" t="n">
        <x:v>0.9286</x:v>
      </x:c>
      <x:c r="I455" s="39" t="n">
        <x:v>2</x:v>
      </x:c>
      <x:c r="J455" s="39" t="n">
        <x:v>2</x:v>
      </x:c>
      <x:c r="K455" s="39" t="n">
        <x:v>2</x:v>
      </x:c>
      <x:c r="L455" s="39" t="n">
        <x:v>1</x:v>
      </x:c>
    </x:row>
    <x:row r="456" ht="23" customHeight="1">
      <x:c r="B456" s="17" t="str">
        <x:v>All rounds</x:v>
      </x:c>
      <x:c r="C456" s="17" t="str">
        <x:v>condition</x:v>
      </x:c>
      <x:c r="D456" s="17" t="str">
        <x:v>JacksonDatabind_98</x:v>
      </x:c>
      <x:c r="E456" s="32" t="n">
        <x:v>0.1739</x:v>
      </x:c>
      <x:c r="F456" s="32" t="n">
        <x:v>0.054299999999999994</x:v>
      </x:c>
      <x:c r="G456" s="32" t="n">
        <x:v>0.337</x:v>
      </x:c>
      <x:c r="H456" s="32" t="n">
        <x:v>0</x:v>
      </x:c>
      <x:c r="I456" s="39" t="n">
        <x:v>2</x:v>
      </x:c>
      <x:c r="J456" s="39" t="n">
        <x:v>2</x:v>
      </x:c>
      <x:c r="K456" s="39" t="n">
        <x:v>1</x:v>
      </x:c>
      <x:c r="L456" s="39" t="n">
        <x:v>1</x:v>
      </x:c>
    </x:row>
    <x:row r="457" ht="23" customHeight="1">
      <x:c r="B457" s="17" t="str">
        <x:v>All rounds</x:v>
      </x:c>
      <x:c r="C457" s="17" t="str">
        <x:v>condition</x:v>
      </x:c>
      <x:c r="D457" s="17" t="str">
        <x:v>Jsoup_1</x:v>
      </x:c>
      <x:c r="E457" s="32" t="n">
        <x:v>1</x:v>
      </x:c>
      <x:c r="F457" s="32" t="n">
        <x:v>1</x:v>
      </x:c>
      <x:c r="G457" s="32" t="n">
        <x:v>0.9444</x:v>
      </x:c>
      <x:c r="H457" s="32" t="n">
        <x:v>1</x:v>
      </x:c>
      <x:c r="I457" s="39" t="n">
        <x:v>2</x:v>
      </x:c>
      <x:c r="J457" s="39" t="n">
        <x:v>2</x:v>
      </x:c>
      <x:c r="K457" s="39" t="n">
        <x:v>2</x:v>
      </x:c>
      <x:c r="L457" s="39" t="n">
        <x:v>1</x:v>
      </x:c>
    </x:row>
    <x:row r="458" ht="23" customHeight="1">
      <x:c r="B458" s="17" t="str">
        <x:v>All rounds</x:v>
      </x:c>
      <x:c r="C458" s="17" t="str">
        <x:v>condition</x:v>
      </x:c>
      <x:c r="D458" s="17" t="str">
        <x:v>Jsoup_11</x:v>
      </x:c>
      <x:c r="E458" s="32" t="n">
        <x:v>0.4833</x:v>
      </x:c>
      <x:c r="F458" s="32" t="n">
        <x:v>0</x:v>
      </x:c>
      <x:c r="G458" s="32" t="n">
        <x:v>0.6917</x:v>
      </x:c>
      <x:c r="H458" s="32" t="n">
        <x:v>0.95</x:v>
      </x:c>
      <x:c r="I458" s="39" t="n">
        <x:v>2</x:v>
      </x:c>
      <x:c r="J458" s="39" t="n">
        <x:v>2</x:v>
      </x:c>
      <x:c r="K458" s="39" t="n">
        <x:v>2</x:v>
      </x:c>
      <x:c r="L458" s="39" t="n">
        <x:v>1</x:v>
      </x:c>
    </x:row>
    <x:row r="459" ht="23" customHeight="1">
      <x:c r="B459" s="17" t="str">
        <x:v>All rounds</x:v>
      </x:c>
      <x:c r="C459" s="17" t="str">
        <x:v>condition</x:v>
      </x:c>
      <x:c r="D459" s="17" t="str">
        <x:v>Jsoup_12</x:v>
      </x:c>
      <x:c r="E459" s="32" t="n">
        <x:v>0.5606</x:v>
      </x:c>
      <x:c r="F459" s="32" t="n">
        <x:v>0.0152</x:v>
      </x:c>
      <x:c r="G459" s="32" t="n">
        <x:v>0.8939</x:v>
      </x:c>
      <x:c r="H459" s="32" t="n">
        <x:v>0.9545</x:v>
      </x:c>
      <x:c r="I459" s="39" t="n">
        <x:v>2</x:v>
      </x:c>
      <x:c r="J459" s="39" t="n">
        <x:v>2</x:v>
      </x:c>
      <x:c r="K459" s="39" t="n">
        <x:v>2</x:v>
      </x:c>
      <x:c r="L459" s="39" t="n">
        <x:v>1</x:v>
      </x:c>
    </x:row>
    <x:row r="460" ht="23" customHeight="1">
      <x:c r="B460" s="17" t="str">
        <x:v>All rounds</x:v>
      </x:c>
      <x:c r="C460" s="17" t="str">
        <x:v>condition</x:v>
      </x:c>
      <x:c r="D460" s="17" t="str">
        <x:v>Jsoup_16</x:v>
      </x:c>
      <x:c r="E460" s="32" t="n">
        <x:v>1</x:v>
      </x:c>
      <x:c r="F460" s="32" t="n">
        <x:v>0.75</x:v>
      </x:c>
      <x:c r="G460" s="32" t="n">
        <x:v>1</x:v>
      </x:c>
      <x:c r="H460" s="32" t="n">
        <x:v>1</x:v>
      </x:c>
      <x:c r="I460" s="39" t="n">
        <x:v>2</x:v>
      </x:c>
      <x:c r="J460" s="39" t="n">
        <x:v>2</x:v>
      </x:c>
      <x:c r="K460" s="39" t="n">
        <x:v>2</x:v>
      </x:c>
      <x:c r="L460" s="39" t="n">
        <x:v>1</x:v>
      </x:c>
    </x:row>
    <x:row r="461" ht="23" customHeight="1">
      <x:c r="B461" s="17" t="str">
        <x:v>All rounds</x:v>
      </x:c>
      <x:c r="C461" s="17" t="str">
        <x:v>condition</x:v>
      </x:c>
      <x:c r="D461" s="17" t="str">
        <x:v>Jsoup_18</x:v>
      </x:c>
      <x:c r="E461" s="32" t="n">
        <x:v>1</x:v>
      </x:c>
      <x:c r="F461" s="32" t="n">
        <x:v>0.69515</x:v>
      </x:c>
      <x:c r="G461" s="32" t="n">
        <x:v>0.8293</x:v>
      </x:c>
      <x:c r="H461" s="32" t="n">
        <x:v>0.9390000000000001</x:v>
      </x:c>
      <x:c r="I461" s="39" t="n">
        <x:v>2</x:v>
      </x:c>
      <x:c r="J461" s="39" t="n">
        <x:v>2</x:v>
      </x:c>
      <x:c r="K461" s="39" t="n">
        <x:v>2</x:v>
      </x:c>
      <x:c r="L461" s="39" t="n">
        <x:v>1</x:v>
      </x:c>
    </x:row>
    <x:row r="462" ht="23" customHeight="1">
      <x:c r="B462" s="17" t="str">
        <x:v>All rounds</x:v>
      </x:c>
      <x:c r="C462" s="17" t="str">
        <x:v>condition</x:v>
      </x:c>
      <x:c r="D462" s="17" t="str">
        <x:v>Jsoup_20</x:v>
      </x:c>
      <x:c r="E462" s="32" t="n">
        <x:v>0.4545</x:v>
      </x:c>
      <x:c r="F462" s="32" t="n">
        <x:v>0.1364</x:v>
      </x:c>
      <x:c r="G462" s="32" t="n">
        <x:v>0.8636</x:v>
      </x:c>
      <x:c r="H462" s="32" t="n">
        <x:v>0.9545</x:v>
      </x:c>
      <x:c r="I462" s="39" t="n">
        <x:v>2</x:v>
      </x:c>
      <x:c r="J462" s="39" t="n">
        <x:v>2</x:v>
      </x:c>
      <x:c r="K462" s="39" t="n">
        <x:v>2</x:v>
      </x:c>
      <x:c r="L462" s="39" t="n">
        <x:v>1</x:v>
      </x:c>
    </x:row>
    <x:row r="463" ht="23" customHeight="1">
      <x:c r="B463" s="17" t="str">
        <x:v>All rounds</x:v>
      </x:c>
      <x:c r="C463" s="17" t="str">
        <x:v>condition</x:v>
      </x:c>
      <x:c r="D463" s="17" t="str">
        <x:v>Jsoup_21</x:v>
      </x:c>
      <x:c r="E463" s="32" t="n">
        <x:v>0.9582999999999999</x:v>
      </x:c>
      <x:c r="F463" s="32" t="n">
        <x:v>0.3177</x:v>
      </x:c>
      <x:c r="G463" s="32" t="n">
        <x:v>0.9895999999999999</x:v>
      </x:c>
      <x:c r="H463" s="32" t="n">
        <x:v>0.9479000000000001</x:v>
      </x:c>
      <x:c r="I463" s="39" t="n">
        <x:v>2</x:v>
      </x:c>
      <x:c r="J463" s="39" t="n">
        <x:v>2</x:v>
      </x:c>
      <x:c r="K463" s="39" t="n">
        <x:v>1</x:v>
      </x:c>
      <x:c r="L463" s="39" t="n">
        <x:v>1</x:v>
      </x:c>
    </x:row>
    <x:row r="464" ht="23" customHeight="1">
      <x:c r="B464" s="17" t="str">
        <x:v>All rounds</x:v>
      </x:c>
      <x:c r="C464" s="17" t="str">
        <x:v>condition</x:v>
      </x:c>
      <x:c r="D464" s="17" t="str">
        <x:v>Jsoup_30</x:v>
      </x:c>
      <x:c r="E464" s="32" t="n">
        <x:v>0.4375</x:v>
      </x:c>
      <x:c r="F464" s="32" t="n">
        <x:v>0</x:v>
      </x:c>
      <x:c r="G464" s="32" t="n">
        <x:v>1</x:v>
      </x:c>
      <x:c r="H464" s="32" t="n">
        <x:v>1</x:v>
      </x:c>
      <x:c r="I464" s="39" t="n">
        <x:v>2</x:v>
      </x:c>
      <x:c r="J464" s="39" t="n">
        <x:v>2</x:v>
      </x:c>
      <x:c r="K464" s="39" t="n">
        <x:v>1</x:v>
      </x:c>
      <x:c r="L464" s="39" t="n">
        <x:v>1</x:v>
      </x:c>
    </x:row>
    <x:row r="465" ht="23" customHeight="1">
      <x:c r="B465" s="17" t="str">
        <x:v>All rounds</x:v>
      </x:c>
      <x:c r="C465" s="17" t="str">
        <x:v>condition</x:v>
      </x:c>
      <x:c r="D465" s="17" t="str">
        <x:v>Jsoup_32</x:v>
      </x:c>
      <x:c r="E465" s="32" t="n">
        <x:v>0.35710000000000003</x:v>
      </x:c>
      <x:c r="F465" s="32" t="n">
        <x:v>0</x:v>
      </x:c>
      <x:c r="G465" s="32" t="n">
        <x:v>0.5643</x:v>
      </x:c>
      <x:c r="H465" s="32" t="n">
        <x:v>0.8429000000000001</x:v>
      </x:c>
      <x:c r="I465" s="39" t="n">
        <x:v>2</x:v>
      </x:c>
      <x:c r="J465" s="39" t="n">
        <x:v>2</x:v>
      </x:c>
      <x:c r="K465" s="39" t="n">
        <x:v>1</x:v>
      </x:c>
      <x:c r="L465" s="39" t="n">
        <x:v>1</x:v>
      </x:c>
    </x:row>
    <x:row r="466" ht="23" customHeight="1">
      <x:c r="B466" s="17" t="str">
        <x:v>All rounds</x:v>
      </x:c>
      <x:c r="C466" s="17" t="str">
        <x:v>condition</x:v>
      </x:c>
      <x:c r="D466" s="17" t="str">
        <x:v>Jsoup_37</x:v>
      </x:c>
      <x:c r="E466" s="32" t="n">
        <x:v>0.2829</x:v>
      </x:c>
      <x:c r="F466" s="32" t="n">
        <x:v>0.0066</x:v>
      </x:c>
      <x:c r="G466" s="32" t="n">
        <x:v>0.625</x:v>
      </x:c>
      <x:c r="H466" s="32" t="n">
        <x:v>0.8158</x:v>
      </x:c>
      <x:c r="I466" s="39" t="n">
        <x:v>2</x:v>
      </x:c>
      <x:c r="J466" s="39" t="n">
        <x:v>2</x:v>
      </x:c>
      <x:c r="K466" s="39" t="n">
        <x:v>1</x:v>
      </x:c>
      <x:c r="L466" s="39" t="n">
        <x:v>1</x:v>
      </x:c>
    </x:row>
    <x:row r="467" ht="23" customHeight="1">
      <x:c r="B467" s="17" t="str">
        <x:v>All rounds</x:v>
      </x:c>
      <x:c r="C467" s="17" t="str">
        <x:v>condition</x:v>
      </x:c>
      <x:c r="D467" s="17" t="str">
        <x:v>Jsoup_39</x:v>
      </x:c>
      <x:c r="E467" s="32" t="n">
        <x:v>0.5217</x:v>
      </x:c>
      <x:c r="F467" s="32" t="n">
        <x:v>0.1522</x:v>
      </x:c>
      <x:c r="G467" s="32" t="n">
        <x:v>0.7173999999999999</x:v>
      </x:c>
      <x:c r="H467" s="32" t="n">
        <x:v>0.8913</x:v>
      </x:c>
      <x:c r="I467" s="39" t="n">
        <x:v>2</x:v>
      </x:c>
      <x:c r="J467" s="39" t="n">
        <x:v>2</x:v>
      </x:c>
      <x:c r="K467" s="39" t="n">
        <x:v>2</x:v>
      </x:c>
      <x:c r="L467" s="39" t="n">
        <x:v>1</x:v>
      </x:c>
    </x:row>
    <x:row r="468" ht="23" customHeight="1">
      <x:c r="B468" s="17" t="str">
        <x:v>All rounds</x:v>
      </x:c>
      <x:c r="C468" s="17" t="str">
        <x:v>condition</x:v>
      </x:c>
      <x:c r="D468" s="17" t="str">
        <x:v>Jsoup_40</x:v>
      </x:c>
      <x:c r="E468" s="32" t="n">
        <x:v>1</x:v>
      </x:c>
      <x:c r="F468" s="32" t="n">
        <x:v>0.66665</x:v>
      </x:c>
      <x:c r="G468" s="32" t="n">
        <x:v>1</x:v>
      </x:c>
      <x:c r="H468" s="32" t="n">
        <x:v>1</x:v>
      </x:c>
      <x:c r="I468" s="39" t="n">
        <x:v>2</x:v>
      </x:c>
      <x:c r="J468" s="39" t="n">
        <x:v>2</x:v>
      </x:c>
      <x:c r="K468" s="39" t="n">
        <x:v>2</x:v>
      </x:c>
      <x:c r="L468" s="39" t="n">
        <x:v>1</x:v>
      </x:c>
    </x:row>
    <x:row r="469" ht="23" customHeight="1">
      <x:c r="B469" s="17" t="str">
        <x:v>All rounds</x:v>
      </x:c>
      <x:c r="C469" s="17" t="str">
        <x:v>condition</x:v>
      </x:c>
      <x:c r="D469" s="17" t="str">
        <x:v>Jsoup_46</x:v>
      </x:c>
      <x:c r="E469" s="32" t="n">
        <x:v>0.8431000000000001</x:v>
      </x:c>
      <x:c r="F469" s="32" t="n">
        <x:v>0.15689999999999998</x:v>
      </x:c>
      <x:c r="G469" s="32" t="n">
        <x:v>0.6275</x:v>
      </x:c>
      <x:c r="H469" s="32" t="n">
        <x:v>0.9804</x:v>
      </x:c>
      <x:c r="I469" s="39" t="n">
        <x:v>2</x:v>
      </x:c>
      <x:c r="J469" s="39" t="n">
        <x:v>2</x:v>
      </x:c>
      <x:c r="K469" s="39" t="n">
        <x:v>2</x:v>
      </x:c>
      <x:c r="L469" s="39" t="n">
        <x:v>1</x:v>
      </x:c>
    </x:row>
    <x:row r="470" ht="23" customHeight="1">
      <x:c r="B470" s="17" t="str">
        <x:v>All rounds</x:v>
      </x:c>
      <x:c r="C470" s="17" t="str">
        <x:v>condition</x:v>
      </x:c>
      <x:c r="D470" s="17" t="str">
        <x:v>Jsoup_47</x:v>
      </x:c>
      <x:c r="E470" s="32" t="n">
        <x:v>0.7451000000000001</x:v>
      </x:c>
      <x:c r="F470" s="32" t="n">
        <x:v>0.15689999999999998</x:v>
      </x:c>
      <x:c r="G470" s="32" t="n">
        <x:v>0.9608</x:v>
      </x:c>
      <x:c r="H470" s="32" t="n">
        <x:v>0.9804</x:v>
      </x:c>
      <x:c r="I470" s="39" t="n">
        <x:v>2</x:v>
      </x:c>
      <x:c r="J470" s="39" t="n">
        <x:v>2</x:v>
      </x:c>
      <x:c r="K470" s="39" t="n">
        <x:v>1</x:v>
      </x:c>
      <x:c r="L470" s="39" t="n">
        <x:v>1</x:v>
      </x:c>
    </x:row>
    <x:row r="471" ht="23" customHeight="1">
      <x:c r="B471" s="17" t="str">
        <x:v>All rounds</x:v>
      </x:c>
      <x:c r="C471" s="17" t="str">
        <x:v>condition</x:v>
      </x:c>
      <x:c r="D471" s="17" t="str">
        <x:v>Jsoup_5</x:v>
      </x:c>
      <x:c r="E471" s="32" t="n">
        <x:v>0.7065</x:v>
      </x:c>
      <x:c r="F471" s="32" t="n">
        <x:v>0.11960000000000001</x:v>
      </x:c>
      <x:c r="G471" s="32" t="n">
        <x:v>0.4891</x:v>
      </x:c>
      <x:c r="H471" s="32" t="n">
        <x:v>0.9239</x:v>
      </x:c>
      <x:c r="I471" s="39" t="n">
        <x:v>2</x:v>
      </x:c>
      <x:c r="J471" s="39" t="n">
        <x:v>2</x:v>
      </x:c>
      <x:c r="K471" s="39" t="n">
        <x:v>2</x:v>
      </x:c>
      <x:c r="L471" s="39" t="n">
        <x:v>1</x:v>
      </x:c>
    </x:row>
    <x:row r="472" ht="23" customHeight="1">
      <x:c r="B472" s="17" t="str">
        <x:v>All rounds</x:v>
      </x:c>
      <x:c r="C472" s="17" t="str">
        <x:v>condition</x:v>
      </x:c>
      <x:c r="D472" s="17" t="str">
        <x:v>Jsoup_51</x:v>
      </x:c>
      <x:c r="E472" s="32" t="n">
        <x:v>0.9677</x:v>
      </x:c>
      <x:c r="F472" s="32" t="n">
        <x:v>0.8226</x:v>
      </x:c>
      <x:c r="G472" s="32" t="n">
        <x:v>0.8011</x:v>
      </x:c>
      <x:c r="H472" s="32" t="n">
        <x:v>0.9194</x:v>
      </x:c>
      <x:c r="I472" s="39" t="n">
        <x:v>2</x:v>
      </x:c>
      <x:c r="J472" s="39" t="n">
        <x:v>2</x:v>
      </x:c>
      <x:c r="K472" s="39" t="n">
        <x:v>2</x:v>
      </x:c>
      <x:c r="L472" s="39" t="n">
        <x:v>1</x:v>
      </x:c>
    </x:row>
    <x:row r="473" ht="23" customHeight="1">
      <x:c r="B473" s="17" t="str">
        <x:v>All rounds</x:v>
      </x:c>
      <x:c r="C473" s="17" t="str">
        <x:v>condition</x:v>
      </x:c>
      <x:c r="D473" s="17" t="str">
        <x:v>Jsoup_53</x:v>
      </x:c>
      <x:c r="E473" s="32" t="n">
        <x:v>0.9722</x:v>
      </x:c>
      <x:c r="F473" s="32" t="n">
        <x:v>0.8565</x:v>
      </x:c>
      <x:c r="G473" s="32" t="n">
        <x:v>0.8148000000000001</x:v>
      </x:c>
      <x:c r="H473" s="32" t="n">
        <x:v>0.9444</x:v>
      </x:c>
      <x:c r="I473" s="39" t="n">
        <x:v>2</x:v>
      </x:c>
      <x:c r="J473" s="39" t="n">
        <x:v>2</x:v>
      </x:c>
      <x:c r="K473" s="39" t="n">
        <x:v>2</x:v>
      </x:c>
      <x:c r="L473" s="39" t="n">
        <x:v>1</x:v>
      </x:c>
    </x:row>
    <x:row r="474" ht="23" customHeight="1">
      <x:c r="B474" s="17" t="str">
        <x:v>All rounds</x:v>
      </x:c>
      <x:c r="C474" s="17" t="str">
        <x:v>condition</x:v>
      </x:c>
      <x:c r="D474" s="17" t="str">
        <x:v>Jsoup_57</x:v>
      </x:c>
      <x:c r="E474" s="32" t="n">
        <x:v>0.9473999999999999</x:v>
      </x:c>
      <x:c r="F474" s="32" t="n">
        <x:v>0.8487</x:v>
      </x:c>
      <x:c r="G474" s="32" t="n">
        <x:v>0.9342</x:v>
      </x:c>
      <x:c r="H474" s="32" t="n">
        <x:v>0.9868000000000001</x:v>
      </x:c>
      <x:c r="I474" s="39" t="n">
        <x:v>2</x:v>
      </x:c>
      <x:c r="J474" s="39" t="n">
        <x:v>2</x:v>
      </x:c>
      <x:c r="K474" s="39" t="n">
        <x:v>2</x:v>
      </x:c>
      <x:c r="L474" s="39" t="n">
        <x:v>1</x:v>
      </x:c>
    </x:row>
    <x:row r="475" ht="23" customHeight="1">
      <x:c r="B475" s="17" t="str">
        <x:v>All rounds</x:v>
      </x:c>
      <x:c r="C475" s="17" t="str">
        <x:v>condition</x:v>
      </x:c>
      <x:c r="D475" s="17" t="str">
        <x:v>Jsoup_58</x:v>
      </x:c>
      <x:c r="E475" s="32" t="n">
        <x:v>0.5938</x:v>
      </x:c>
      <x:c r="F475" s="32" t="n">
        <x:v>0.2188</x:v>
      </x:c>
      <x:c r="G475" s="32" t="n">
        <x:v>1</x:v>
      </x:c>
      <x:c r="H475" s="32" t="n">
        <x:v>1</x:v>
      </x:c>
      <x:c r="I475" s="39" t="n">
        <x:v>2</x:v>
      </x:c>
      <x:c r="J475" s="39" t="n">
        <x:v>2</x:v>
      </x:c>
      <x:c r="K475" s="39" t="n">
        <x:v>2</x:v>
      </x:c>
      <x:c r="L475" s="39" t="n">
        <x:v>1</x:v>
      </x:c>
    </x:row>
    <x:row r="476" ht="23" customHeight="1">
      <x:c r="B476" s="17" t="str">
        <x:v>All rounds</x:v>
      </x:c>
      <x:c r="C476" s="17" t="str">
        <x:v>condition</x:v>
      </x:c>
      <x:c r="D476" s="17" t="str">
        <x:v>Jsoup_59</x:v>
      </x:c>
      <x:c r="E476" s="32" t="n">
        <x:v>1</x:v>
      </x:c>
      <x:c r="F476" s="32" t="n">
        <x:v>0.9659</x:v>
      </x:c>
      <x:c r="G476" s="32" t="n">
        <x:v>0.9318000000000001</x:v>
      </x:c>
      <x:c r="H476" s="32" t="n">
        <x:v>1</x:v>
      </x:c>
      <x:c r="I476" s="39" t="n">
        <x:v>2</x:v>
      </x:c>
      <x:c r="J476" s="39" t="n">
        <x:v>2</x:v>
      </x:c>
      <x:c r="K476" s="39" t="n">
        <x:v>1</x:v>
      </x:c>
      <x:c r="L476" s="39" t="n">
        <x:v>1</x:v>
      </x:c>
    </x:row>
    <x:row r="477" ht="23" customHeight="1">
      <x:c r="B477" s="17" t="str">
        <x:v>All rounds</x:v>
      </x:c>
      <x:c r="C477" s="17" t="str">
        <x:v>condition</x:v>
      </x:c>
      <x:c r="D477" s="17" t="str">
        <x:v>Jsoup_60</x:v>
      </x:c>
      <x:c r="E477" s="32" t="n">
        <x:v>0.8759999999999999</x:v>
      </x:c>
      <x:c r="F477" s="32" t="n">
        <x:v>0.53295</x:v>
      </x:c>
      <x:c r="G477" s="32" t="n">
        <x:v>0.7054</x:v>
      </x:c>
      <x:c r="H477" s="32" t="n">
        <x:v>0.9729000000000001</x:v>
      </x:c>
      <x:c r="I477" s="39" t="n">
        <x:v>2</x:v>
      </x:c>
      <x:c r="J477" s="39" t="n">
        <x:v>2</x:v>
      </x:c>
      <x:c r="K477" s="39" t="n">
        <x:v>1</x:v>
      </x:c>
      <x:c r="L477" s="39" t="n">
        <x:v>1</x:v>
      </x:c>
    </x:row>
    <x:row r="478" ht="23" customHeight="1">
      <x:c r="B478" s="17" t="str">
        <x:v>All rounds</x:v>
      </x:c>
      <x:c r="C478" s="17" t="str">
        <x:v>condition</x:v>
      </x:c>
      <x:c r="D478" s="17" t="str">
        <x:v>Jsoup_69</x:v>
      </x:c>
      <x:c r="E478" s="32" t="n">
        <x:v>0.3214</x:v>
      </x:c>
      <x:c r="F478" s="32" t="n">
        <x:v>0</x:v>
      </x:c>
      <x:c r="G478" s="32" t="n">
        <x:v>0.8571</x:v>
      </x:c>
      <x:c r="H478" s="32" t="n">
        <x:v>1</x:v>
      </x:c>
      <x:c r="I478" s="39" t="n">
        <x:v>2</x:v>
      </x:c>
      <x:c r="J478" s="39" t="n">
        <x:v>2</x:v>
      </x:c>
      <x:c r="K478" s="39" t="n">
        <x:v>2</x:v>
      </x:c>
      <x:c r="L478" s="39" t="n">
        <x:v>1</x:v>
      </x:c>
    </x:row>
    <x:row r="479" ht="23" customHeight="1">
      <x:c r="B479" s="17" t="str">
        <x:v>All rounds</x:v>
      </x:c>
      <x:c r="C479" s="17" t="str">
        <x:v>condition</x:v>
      </x:c>
      <x:c r="D479" s="17" t="str">
        <x:v>Jsoup_72</x:v>
      </x:c>
      <x:c r="E479" s="32" t="n">
        <x:v>0.9495</x:v>
      </x:c>
      <x:c r="F479" s="32" t="n">
        <x:v>0.8106</x:v>
      </x:c>
      <x:c r="G479" s="32" t="n">
        <x:v>0.8029999999999999</x:v>
      </x:c>
      <x:c r="H479" s="32" t="n">
        <x:v>0.899</x:v>
      </x:c>
      <x:c r="I479" s="39" t="n">
        <x:v>2</x:v>
      </x:c>
      <x:c r="J479" s="39" t="n">
        <x:v>2</x:v>
      </x:c>
      <x:c r="K479" s="39" t="n">
        <x:v>2</x:v>
      </x:c>
      <x:c r="L479" s="39" t="n">
        <x:v>1</x:v>
      </x:c>
    </x:row>
    <x:row r="480" ht="23" customHeight="1">
      <x:c r="B480" s="17" t="str">
        <x:v>All rounds</x:v>
      </x:c>
      <x:c r="C480" s="17" t="str">
        <x:v>condition</x:v>
      </x:c>
      <x:c r="D480" s="17" t="str">
        <x:v>Jsoup_74</x:v>
      </x:c>
      <x:c r="E480" s="32" t="n">
        <x:v>0.9865</x:v>
      </x:c>
      <x:c r="F480" s="32" t="n">
        <x:v>0.7703</x:v>
      </x:c>
      <x:c r="G480" s="32" t="n">
        <x:v>0.9054000000000001</x:v>
      </x:c>
      <x:c r="H480" s="32" t="n">
        <x:v>0.9865</x:v>
      </x:c>
      <x:c r="I480" s="39" t="n">
        <x:v>2</x:v>
      </x:c>
      <x:c r="J480" s="39" t="n">
        <x:v>2</x:v>
      </x:c>
      <x:c r="K480" s="39" t="n">
        <x:v>2</x:v>
      </x:c>
      <x:c r="L480" s="39" t="n">
        <x:v>1</x:v>
      </x:c>
    </x:row>
    <x:row r="481" ht="23" customHeight="1">
      <x:c r="B481" s="17" t="str">
        <x:v>All rounds</x:v>
      </x:c>
      <x:c r="C481" s="17" t="str">
        <x:v>condition</x:v>
      </x:c>
      <x:c r="D481" s="17" t="str">
        <x:v>Jsoup_75</x:v>
      </x:c>
      <x:c r="E481" s="32" t="n">
        <x:v>0.8690000000000001</x:v>
      </x:c>
      <x:c r="F481" s="32" t="n">
        <x:v>0.8214</x:v>
      </x:c>
      <x:c r="G481" s="32" t="n">
        <x:v>0.8929</x:v>
      </x:c>
      <x:c r="H481" s="32" t="n">
        <x:v>0.9523999999999999</x:v>
      </x:c>
      <x:c r="I481" s="39" t="n">
        <x:v>2</x:v>
      </x:c>
      <x:c r="J481" s="39" t="n">
        <x:v>2</x:v>
      </x:c>
      <x:c r="K481" s="39" t="n">
        <x:v>2</x:v>
      </x:c>
      <x:c r="L481" s="39" t="n">
        <x:v>1</x:v>
      </x:c>
    </x:row>
    <x:row r="482" ht="23" customHeight="1">
      <x:c r="B482" s="17" t="str">
        <x:v>All rounds</x:v>
      </x:c>
      <x:c r="C482" s="17" t="str">
        <x:v>condition</x:v>
      </x:c>
      <x:c r="D482" s="17" t="str">
        <x:v>Jsoup_78</x:v>
      </x:c>
      <x:c r="E482" s="32" t="n">
        <x:v>0.4205</x:v>
      </x:c>
      <x:c r="F482" s="32" t="n">
        <x:v>0.0795</x:v>
      </x:c>
      <x:c r="G482" s="32" t="n">
        <x:v>0.4318</x:v>
      </x:c>
      <x:c r="H482" s="32" t="n">
        <x:v>0.8523000000000001</x:v>
      </x:c>
      <x:c r="I482" s="39" t="n">
        <x:v>2</x:v>
      </x:c>
      <x:c r="J482" s="39" t="n">
        <x:v>2</x:v>
      </x:c>
      <x:c r="K482" s="39" t="n">
        <x:v>2</x:v>
      </x:c>
      <x:c r="L482" s="39" t="n">
        <x:v>1</x:v>
      </x:c>
    </x:row>
    <x:row r="483" ht="23" customHeight="1">
      <x:c r="B483" s="17" t="str">
        <x:v>All rounds</x:v>
      </x:c>
      <x:c r="C483" s="17" t="str">
        <x:v>condition</x:v>
      </x:c>
      <x:c r="D483" s="17" t="str">
        <x:v>Jsoup_81</x:v>
      </x:c>
      <x:c r="E483" s="32" t="n">
        <x:v>0.47869999999999996</x:v>
      </x:c>
      <x:c r="F483" s="32" t="n">
        <x:v>0.0745</x:v>
      </x:c>
      <x:c r="G483" s="32" t="n">
        <x:v>0.5745</x:v>
      </x:c>
      <x:c r="H483" s="32" t="n">
        <x:v>0.7553</x:v>
      </x:c>
      <x:c r="I483" s="39" t="n">
        <x:v>2</x:v>
      </x:c>
      <x:c r="J483" s="39" t="n">
        <x:v>2</x:v>
      </x:c>
      <x:c r="K483" s="39" t="n">
        <x:v>1</x:v>
      </x:c>
      <x:c r="L483" s="39" t="n">
        <x:v>1</x:v>
      </x:c>
    </x:row>
    <x:row r="484" ht="23" customHeight="1">
      <x:c r="B484" s="17" t="str">
        <x:v>All rounds</x:v>
      </x:c>
      <x:c r="C484" s="17" t="str">
        <x:v>condition</x:v>
      </x:c>
      <x:c r="D484" s="17" t="str">
        <x:v>Jsoup_82</x:v>
      </x:c>
      <x:c r="E484" s="32" t="n">
        <x:v>0.2812</x:v>
      </x:c>
      <x:c r="F484" s="32" t="n">
        <x:v>0.0729</x:v>
      </x:c>
      <x:c r="G484" s="32" t="n">
        <x:v>0.4583</x:v>
      </x:c>
      <x:c r="H484" s="32" t="n">
        <x:v>0.8125</x:v>
      </x:c>
      <x:c r="I484" s="39" t="n">
        <x:v>2</x:v>
      </x:c>
      <x:c r="J484" s="39" t="n">
        <x:v>2</x:v>
      </x:c>
      <x:c r="K484" s="39" t="n">
        <x:v>2</x:v>
      </x:c>
      <x:c r="L484" s="39" t="n">
        <x:v>1</x:v>
      </x:c>
    </x:row>
    <x:row r="485" ht="23" customHeight="1">
      <x:c r="B485" s="17" t="str">
        <x:v>All rounds</x:v>
      </x:c>
      <x:c r="C485" s="17" t="str">
        <x:v>condition</x:v>
      </x:c>
      <x:c r="D485" s="17" t="str">
        <x:v>Jsoup_84</x:v>
      </x:c>
      <x:c r="E485" s="32" t="n">
        <x:v>0.8929</x:v>
      </x:c>
      <x:c r="F485" s="32" t="n">
        <x:v>0.17859999999999998</x:v>
      </x:c>
      <x:c r="G485" s="32" t="n">
        <x:v>0.8929</x:v>
      </x:c>
      <x:c r="H485" s="32" t="n">
        <x:v>1</x:v>
      </x:c>
      <x:c r="I485" s="39" t="n">
        <x:v>2</x:v>
      </x:c>
      <x:c r="J485" s="39" t="n">
        <x:v>2</x:v>
      </x:c>
      <x:c r="K485" s="39" t="n">
        <x:v>1</x:v>
      </x:c>
      <x:c r="L485" s="39" t="n">
        <x:v>1</x:v>
      </x:c>
    </x:row>
    <x:row r="486" ht="23" customHeight="1">
      <x:c r="B486" s="17" t="str">
        <x:v>All rounds</x:v>
      </x:c>
      <x:c r="C486" s="17" t="str">
        <x:v>condition</x:v>
      </x:c>
      <x:c r="D486" s="17" t="str">
        <x:v>Jsoup_85</x:v>
      </x:c>
      <x:c r="E486" s="32" t="n">
        <x:v>0.9</x:v>
      </x:c>
      <x:c r="F486" s="32" t="n">
        <x:v>0.44</x:v>
      </x:c>
      <x:c r="G486" s="32" t="n">
        <x:v>0.74</x:v>
      </x:c>
      <x:c r="H486" s="32" t="n">
        <x:v>0.58</x:v>
      </x:c>
      <x:c r="I486" s="39" t="n">
        <x:v>2</x:v>
      </x:c>
      <x:c r="J486" s="39" t="n">
        <x:v>2</x:v>
      </x:c>
      <x:c r="K486" s="39" t="n">
        <x:v>2</x:v>
      </x:c>
      <x:c r="L486" s="39" t="n">
        <x:v>1</x:v>
      </x:c>
    </x:row>
    <x:row r="487" ht="23" customHeight="1">
      <x:c r="B487" s="17" t="str">
        <x:v>All rounds</x:v>
      </x:c>
      <x:c r="C487" s="17" t="str">
        <x:v>condition</x:v>
      </x:c>
      <x:c r="D487" s="17" t="str">
        <x:v>Jsoup_88</x:v>
      </x:c>
      <x:c r="E487" s="32" t="n">
        <x:v>0.9</x:v>
      </x:c>
      <x:c r="F487" s="32" t="n">
        <x:v>0.44</x:v>
      </x:c>
      <x:c r="G487" s="32" t="n">
        <x:v>0.72</x:v>
      </x:c>
      <x:c r="H487" s="32" t="n">
        <x:v>0.58</x:v>
      </x:c>
      <x:c r="I487" s="39" t="n">
        <x:v>2</x:v>
      </x:c>
      <x:c r="J487" s="39" t="n">
        <x:v>2</x:v>
      </x:c>
      <x:c r="K487" s="39" t="n">
        <x:v>2</x:v>
      </x:c>
      <x:c r="L487" s="39" t="n">
        <x:v>1</x:v>
      </x:c>
    </x:row>
    <x:row r="488" ht="23" customHeight="1">
      <x:c r="B488" s="17" t="str">
        <x:v>All rounds</x:v>
      </x:c>
      <x:c r="C488" s="17" t="str">
        <x:v>condition</x:v>
      </x:c>
      <x:c r="D488" s="17" t="str">
        <x:v>Jsoup_89</x:v>
      </x:c>
      <x:c r="E488" s="32" t="n">
        <x:v>0.9</x:v>
      </x:c>
      <x:c r="F488" s="32" t="n">
        <x:v>0.44</x:v>
      </x:c>
      <x:c r="G488" s="32" t="n">
        <x:v>0.76</x:v>
      </x:c>
      <x:c r="H488" s="32" t="n">
        <x:v>0.58</x:v>
      </x:c>
      <x:c r="I488" s="39" t="n">
        <x:v>2</x:v>
      </x:c>
      <x:c r="J488" s="39" t="n">
        <x:v>2</x:v>
      </x:c>
      <x:c r="K488" s="39" t="n">
        <x:v>2</x:v>
      </x:c>
      <x:c r="L488" s="39" t="n">
        <x:v>1</x:v>
      </x:c>
    </x:row>
    <x:row r="489" ht="23" customHeight="1">
      <x:c r="B489" s="17" t="str">
        <x:v>All rounds</x:v>
      </x:c>
      <x:c r="C489" s="17" t="str">
        <x:v>condition</x:v>
      </x:c>
      <x:c r="D489" s="17" t="str">
        <x:v>Jsoup_91</x:v>
      </x:c>
      <x:c r="E489" s="32" t="n">
        <x:v>0.9632</x:v>
      </x:c>
      <x:c r="F489" s="32" t="n">
        <x:v>0.17105</x:v>
      </x:c>
      <x:c r="G489" s="32" t="n">
        <x:v>0.8053</x:v>
      </x:c>
      <x:c r="H489" s="32" t="n">
        <x:v>0.9316</x:v>
      </x:c>
      <x:c r="I489" s="39" t="n">
        <x:v>2</x:v>
      </x:c>
      <x:c r="J489" s="39" t="n">
        <x:v>2</x:v>
      </x:c>
      <x:c r="K489" s="39" t="n">
        <x:v>1</x:v>
      </x:c>
      <x:c r="L489" s="39" t="n">
        <x:v>1</x:v>
      </x:c>
    </x:row>
    <x:row r="490" ht="23" customHeight="1">
      <x:c r="B490" s="17" t="str">
        <x:v>All rounds</x:v>
      </x:c>
      <x:c r="C490" s="17" t="str">
        <x:v>condition</x:v>
      </x:c>
      <x:c r="D490" s="17" t="str">
        <x:v>Jsoup_93</x:v>
      </x:c>
      <x:c r="E490" s="32" t="n">
        <x:v>0.35710000000000003</x:v>
      </x:c>
      <x:c r="F490" s="32" t="n">
        <x:v>0</x:v>
      </x:c>
      <x:c r="G490" s="32" t="n">
        <x:v>1</x:v>
      </x:c>
      <x:c r="H490" s="32" t="n">
        <x:v>1</x:v>
      </x:c>
      <x:c r="I490" s="39" t="n">
        <x:v>2</x:v>
      </x:c>
      <x:c r="J490" s="39" t="n">
        <x:v>2</x:v>
      </x:c>
      <x:c r="K490" s="39" t="n">
        <x:v>1</x:v>
      </x:c>
      <x:c r="L490" s="39" t="n">
        <x:v>1</x:v>
      </x:c>
    </x:row>
    <x:row r="491" ht="23" customHeight="1">
      <x:c r="B491" s="17" t="str">
        <x:v>All rounds</x:v>
      </x:c>
      <x:c r="C491" s="17" t="str">
        <x:v>condition</x:v>
      </x:c>
      <x:c r="D491" s="17" t="str">
        <x:v>Lang_1</x:v>
      </x:c>
      <x:c r="E491" s="32" t="n">
        <x:v>0.8314</x:v>
      </x:c>
      <x:c r="F491" s="32" t="n">
        <x:v>0.41864999999999997</x:v>
      </x:c>
      <x:c r="G491" s="32" t="n">
        <x:v>0.6065</x:v>
      </x:c>
      <x:c r="H491" s="32" t="n">
        <x:v>0.8698</x:v>
      </x:c>
      <x:c r="I491" s="39" t="n">
        <x:v>2</x:v>
      </x:c>
      <x:c r="J491" s="39" t="n">
        <x:v>2</x:v>
      </x:c>
      <x:c r="K491" s="39" t="n">
        <x:v>1</x:v>
      </x:c>
      <x:c r="L491" s="39" t="n">
        <x:v>1</x:v>
      </x:c>
    </x:row>
    <x:row r="492" ht="23" customHeight="1">
      <x:c r="B492" s="17" t="str">
        <x:v>All rounds</x:v>
      </x:c>
      <x:c r="C492" s="17" t="str">
        <x:v>condition</x:v>
      </x:c>
      <x:c r="D492" s="17" t="str">
        <x:v>Lang_13</x:v>
      </x:c>
      <x:c r="E492" s="32" t="n">
        <x:v>0.9286</x:v>
      </x:c>
      <x:c r="F492" s="32" t="n">
        <x:v>0.8571</x:v>
      </x:c>
      <x:c r="G492" s="32" t="n">
        <x:v>0.8571</x:v>
      </x:c>
      <x:c r="H492" s="32" t="n">
        <x:v>0.9286</x:v>
      </x:c>
      <x:c r="I492" s="39" t="n">
        <x:v>2</x:v>
      </x:c>
      <x:c r="J492" s="39" t="n">
        <x:v>2</x:v>
      </x:c>
      <x:c r="K492" s="39" t="n">
        <x:v>2</x:v>
      </x:c>
      <x:c r="L492" s="39" t="n">
        <x:v>1</x:v>
      </x:c>
    </x:row>
    <x:row r="493" ht="23" customHeight="1">
      <x:c r="B493" s="17" t="str">
        <x:v>All rounds</x:v>
      </x:c>
      <x:c r="C493" s="17" t="str">
        <x:v>condition</x:v>
      </x:c>
      <x:c r="D493" s="17" t="str">
        <x:v>Lang_14</x:v>
      </x:c>
      <x:c r="E493" s="32" t="n">
        <x:v>0.9062</x:v>
      </x:c>
      <x:c r="F493" s="32" t="n">
        <x:v>0.8303999999999999</x:v>
      </x:c>
      <x:c r="G493" s="32" t="n">
        <x:v>0.7064</x:v>
      </x:c>
      <x:c r="H493" s="32" t="n">
        <x:v>0.7914</x:v>
      </x:c>
      <x:c r="I493" s="39" t="n">
        <x:v>2</x:v>
      </x:c>
      <x:c r="J493" s="39" t="n">
        <x:v>2</x:v>
      </x:c>
      <x:c r="K493" s="39" t="n">
        <x:v>1</x:v>
      </x:c>
      <x:c r="L493" s="39" t="n">
        <x:v>1</x:v>
      </x:c>
    </x:row>
    <x:row r="494" ht="23" customHeight="1">
      <x:c r="B494" s="17" t="str">
        <x:v>All rounds</x:v>
      </x:c>
      <x:c r="C494" s="17" t="str">
        <x:v>condition</x:v>
      </x:c>
      <x:c r="D494" s="17" t="str">
        <x:v>Lang_15</x:v>
      </x:c>
      <x:c r="E494" s="32" t="n">
        <x:v>0.3345</x:v>
      </x:c>
      <x:c r="F494" s="32" t="n">
        <x:v>0.1338</x:v>
      </x:c>
      <x:c r="G494" s="32" t="n">
        <x:v>0.507</x:v>
      </x:c>
      <x:c r="H494" s="32" t="n">
        <x:v>0.8415</x:v>
      </x:c>
      <x:c r="I494" s="39" t="n">
        <x:v>2</x:v>
      </x:c>
      <x:c r="J494" s="39" t="n">
        <x:v>2</x:v>
      </x:c>
      <x:c r="K494" s="39" t="n">
        <x:v>1</x:v>
      </x:c>
      <x:c r="L494" s="39" t="n">
        <x:v>1</x:v>
      </x:c>
    </x:row>
    <x:row r="495" ht="23" customHeight="1">
      <x:c r="B495" s="17" t="str">
        <x:v>All rounds</x:v>
      </x:c>
      <x:c r="C495" s="17" t="str">
        <x:v>condition</x:v>
      </x:c>
      <x:c r="D495" s="17" t="str">
        <x:v>Lang_19</x:v>
      </x:c>
      <x:c r="E495" s="32" t="n">
        <x:v>0.7222</x:v>
      </x:c>
      <x:c r="F495" s="32" t="n">
        <x:v>0.0556</x:v>
      </x:c>
      <x:c r="G495" s="32" t="n">
        <x:v>0.9444</x:v>
      </x:c>
      <x:c r="H495" s="32" t="n">
        <x:v>1</x:v>
      </x:c>
      <x:c r="I495" s="39" t="n">
        <x:v>2</x:v>
      </x:c>
      <x:c r="J495" s="39" t="n">
        <x:v>2</x:v>
      </x:c>
      <x:c r="K495" s="39" t="n">
        <x:v>2</x:v>
      </x:c>
      <x:c r="L495" s="39" t="n">
        <x:v>1</x:v>
      </x:c>
    </x:row>
    <x:row r="496" ht="23" customHeight="1">
      <x:c r="B496" s="17" t="str">
        <x:v>All rounds</x:v>
      </x:c>
      <x:c r="C496" s="17" t="str">
        <x:v>condition</x:v>
      </x:c>
      <x:c r="D496" s="17" t="str">
        <x:v>Lang_20</x:v>
      </x:c>
      <x:c r="E496" s="32" t="n">
        <x:v>0.9198999999999999</x:v>
      </x:c>
      <x:c r="F496" s="32" t="n">
        <x:v>0.8281000000000001</x:v>
      </x:c>
      <x:c r="G496" s="32" t="n">
        <x:v>0.34729999999999994</x:v>
      </x:c>
      <x:c r="H496" s="32" t="n">
        <x:v>0.8686</x:v>
      </x:c>
      <x:c r="I496" s="39" t="n">
        <x:v>2</x:v>
      </x:c>
      <x:c r="J496" s="39" t="n">
        <x:v>2</x:v>
      </x:c>
      <x:c r="K496" s="39" t="n">
        <x:v>1</x:v>
      </x:c>
      <x:c r="L496" s="39" t="n">
        <x:v>1</x:v>
      </x:c>
    </x:row>
    <x:row r="497" ht="23" customHeight="1">
      <x:c r="B497" s="17" t="str">
        <x:v>All rounds</x:v>
      </x:c>
      <x:c r="C497" s="17" t="str">
        <x:v>condition</x:v>
      </x:c>
      <x:c r="D497" s="17" t="str">
        <x:v>Lang_23</x:v>
      </x:c>
      <x:c r="E497" s="32" t="n">
        <x:v>0.2929</x:v>
      </x:c>
      <x:c r="F497" s="32" t="n">
        <x:v>0.0101</x:v>
      </x:c>
      <x:c r="G497" s="32" t="n">
        <x:v>0.303</x:v>
      </x:c>
      <x:c r="H497" s="32" t="n">
        <x:v>0.7979999999999999</x:v>
      </x:c>
      <x:c r="I497" s="39" t="n">
        <x:v>2</x:v>
      </x:c>
      <x:c r="J497" s="39" t="n">
        <x:v>2</x:v>
      </x:c>
      <x:c r="K497" s="39" t="n">
        <x:v>2</x:v>
      </x:c>
      <x:c r="L497" s="39" t="n">
        <x:v>1</x:v>
      </x:c>
    </x:row>
    <x:row r="498" ht="23" customHeight="1">
      <x:c r="B498" s="17" t="str">
        <x:v>All rounds</x:v>
      </x:c>
      <x:c r="C498" s="17" t="str">
        <x:v>condition</x:v>
      </x:c>
      <x:c r="D498" s="17" t="str">
        <x:v>Lang_24</x:v>
      </x:c>
      <x:c r="E498" s="32" t="n">
        <x:v>0.8258</x:v>
      </x:c>
      <x:c r="F498" s="32" t="n">
        <x:v>0.48595</x:v>
      </x:c>
      <x:c r="G498" s="32" t="n">
        <x:v>0.4522</x:v>
      </x:c>
      <x:c r="H498" s="32" t="n">
        <x:v>0.9298000000000001</x:v>
      </x:c>
      <x:c r="I498" s="39" t="n">
        <x:v>2</x:v>
      </x:c>
      <x:c r="J498" s="39" t="n">
        <x:v>2</x:v>
      </x:c>
      <x:c r="K498" s="39" t="n">
        <x:v>2</x:v>
      </x:c>
      <x:c r="L498" s="39" t="n">
        <x:v>1</x:v>
      </x:c>
    </x:row>
    <x:row r="499" ht="23" customHeight="1">
      <x:c r="B499" s="17" t="str">
        <x:v>All rounds</x:v>
      </x:c>
      <x:c r="C499" s="17" t="str">
        <x:v>condition</x:v>
      </x:c>
      <x:c r="D499" s="17" t="str">
        <x:v>Lang_27</x:v>
      </x:c>
      <x:c r="E499" s="32" t="n">
        <x:v>0.8466</x:v>
      </x:c>
      <x:c r="F499" s="32" t="n">
        <x:v>0.4915</x:v>
      </x:c>
      <x:c r="G499" s="32" t="n">
        <x:v>0.5597</x:v>
      </x:c>
      <x:c r="H499" s="32" t="n">
        <x:v>0.9062</x:v>
      </x:c>
      <x:c r="I499" s="39" t="n">
        <x:v>2</x:v>
      </x:c>
      <x:c r="J499" s="39" t="n">
        <x:v>2</x:v>
      </x:c>
      <x:c r="K499" s="39" t="n">
        <x:v>2</x:v>
      </x:c>
      <x:c r="L499" s="39" t="n">
        <x:v>1</x:v>
      </x:c>
    </x:row>
    <x:row r="500" ht="23" customHeight="1">
      <x:c r="B500" s="17" t="str">
        <x:v>All rounds</x:v>
      </x:c>
      <x:c r="C500" s="17" t="str">
        <x:v>condition</x:v>
      </x:c>
      <x:c r="D500" s="17" t="str">
        <x:v>Lang_28</x:v>
      </x:c>
      <x:c r="E500" s="32" t="n">
        <x:v>0.2143</x:v>
      </x:c>
      <x:c r="F500" s="32" t="n">
        <x:v>0.07139999999999999</x:v>
      </x:c>
      <x:c r="G500" s="32" t="n">
        <x:v>0.8571</x:v>
      </x:c>
      <x:c r="H500" s="32" t="n">
        <x:v>1</x:v>
      </x:c>
      <x:c r="I500" s="39" t="n">
        <x:v>2</x:v>
      </x:c>
      <x:c r="J500" s="39" t="n">
        <x:v>2</x:v>
      </x:c>
      <x:c r="K500" s="39" t="n">
        <x:v>2</x:v>
      </x:c>
      <x:c r="L500" s="39" t="n">
        <x:v>1</x:v>
      </x:c>
    </x:row>
    <x:row r="501" ht="23" customHeight="1">
      <x:c r="B501" s="17" t="str">
        <x:v>All rounds</x:v>
      </x:c>
      <x:c r="C501" s="17" t="str">
        <x:v>condition</x:v>
      </x:c>
      <x:c r="D501" s="17" t="str">
        <x:v>Lang_3</x:v>
      </x:c>
      <x:c r="E501" s="32" t="n">
        <x:v>0.8262999999999999</x:v>
      </x:c>
      <x:c r="F501" s="32" t="n">
        <x:v>0.42364999999999997</x:v>
      </x:c>
      <x:c r="G501" s="32" t="n">
        <x:v>0.5268999999999999</x:v>
      </x:c>
      <x:c r="H501" s="32" t="n">
        <x:v>0.8503000000000001</x:v>
      </x:c>
      <x:c r="I501" s="39" t="n">
        <x:v>2</x:v>
      </x:c>
      <x:c r="J501" s="39" t="n">
        <x:v>2</x:v>
      </x:c>
      <x:c r="K501" s="39" t="n">
        <x:v>1</x:v>
      </x:c>
      <x:c r="L501" s="39" t="n">
        <x:v>1</x:v>
      </x:c>
    </x:row>
    <x:row r="502" ht="23" customHeight="1">
      <x:c r="B502" s="17" t="str">
        <x:v>All rounds</x:v>
      </x:c>
      <x:c r="C502" s="17" t="str">
        <x:v>condition</x:v>
      </x:c>
      <x:c r="D502" s="17" t="str">
        <x:v>Lang_32</x:v>
      </x:c>
      <x:c r="E502" s="32" t="n">
        <x:v>0.8256</x:v>
      </x:c>
      <x:c r="F502" s="32" t="n">
        <x:v>0.9244499999999999</x:v>
      </x:c>
      <x:c r="G502" s="32" t="n">
        <x:v>0.7907</x:v>
      </x:c>
      <x:c r="H502" s="32" t="n">
        <x:v>0.24420000000000003</x:v>
      </x:c>
      <x:c r="I502" s="39" t="n">
        <x:v>2</x:v>
      </x:c>
      <x:c r="J502" s="39" t="n">
        <x:v>2</x:v>
      </x:c>
      <x:c r="K502" s="39" t="n">
        <x:v>1</x:v>
      </x:c>
      <x:c r="L502" s="39" t="n">
        <x:v>1</x:v>
      </x:c>
    </x:row>
    <x:row r="503" ht="23" customHeight="1">
      <x:c r="B503" s="17" t="str">
        <x:v>All rounds</x:v>
      </x:c>
      <x:c r="C503" s="17" t="str">
        <x:v>condition</x:v>
      </x:c>
      <x:c r="D503" s="17" t="str">
        <x:v>Lang_34</x:v>
      </x:c>
      <x:c r="E503" s="32" t="n">
        <x:v>0</x:v>
      </x:c>
      <x:c r="F503" s="32" t="n">
        <x:v>0.48379999999999995</x:v>
      </x:c>
      <x:c r="G503" s="32" t="n">
        <x:v>0.7222</x:v>
      </x:c>
      <x:c r="H503" s="32" t="n">
        <x:v>0.22690000000000002</x:v>
      </x:c>
      <x:c r="I503" s="39" t="n">
        <x:v>2</x:v>
      </x:c>
      <x:c r="J503" s="39" t="n">
        <x:v>2</x:v>
      </x:c>
      <x:c r="K503" s="39" t="n">
        <x:v>1</x:v>
      </x:c>
      <x:c r="L503" s="39" t="n">
        <x:v>1</x:v>
      </x:c>
    </x:row>
    <x:row r="504" ht="23" customHeight="1">
      <x:c r="B504" s="17" t="str">
        <x:v>All rounds</x:v>
      </x:c>
      <x:c r="C504" s="17" t="str">
        <x:v>condition</x:v>
      </x:c>
      <x:c r="D504" s="17" t="str">
        <x:v>Lang_35</x:v>
      </x:c>
      <x:c r="E504" s="32" t="n">
        <x:v>0.9578</x:v>
      </x:c>
      <x:c r="F504" s="32" t="n">
        <x:v>0.92245</x:v>
      </x:c>
      <x:c r="G504" s="32" t="n">
        <x:v>0.1365</x:v>
      </x:c>
      <x:c r="H504" s="32" t="n">
        <x:v>0.0385</x:v>
      </x:c>
      <x:c r="I504" s="39" t="n">
        <x:v>2</x:v>
      </x:c>
      <x:c r="J504" s="39" t="n">
        <x:v>2</x:v>
      </x:c>
      <x:c r="K504" s="39" t="n">
        <x:v>1</x:v>
      </x:c>
      <x:c r="L504" s="39" t="n">
        <x:v>1</x:v>
      </x:c>
    </x:row>
    <x:row r="505" ht="23" customHeight="1">
      <x:c r="B505" s="17" t="str">
        <x:v>All rounds</x:v>
      </x:c>
      <x:c r="C505" s="17" t="str">
        <x:v>condition</x:v>
      </x:c>
      <x:c r="D505" s="17" t="str">
        <x:v>Lang_37</x:v>
      </x:c>
      <x:c r="E505" s="32" t="n">
        <x:v>0.9652</x:v>
      </x:c>
      <x:c r="F505" s="32" t="n">
        <x:v>0.93905</x:v>
      </x:c>
      <x:c r="G505" s="32" t="n">
        <x:v>0.1679</x:v>
      </x:c>
      <x:c r="H505" s="32" t="n">
        <x:v>0.038599999999999995</x:v>
      </x:c>
      <x:c r="I505" s="39" t="n">
        <x:v>2</x:v>
      </x:c>
      <x:c r="J505" s="39" t="n">
        <x:v>2</x:v>
      </x:c>
      <x:c r="K505" s="39" t="n">
        <x:v>1</x:v>
      </x:c>
      <x:c r="L505" s="39" t="n">
        <x:v>1</x:v>
      </x:c>
    </x:row>
    <x:row r="506" ht="23" customHeight="1">
      <x:c r="B506" s="17" t="str">
        <x:v>All rounds</x:v>
      </x:c>
      <x:c r="C506" s="17" t="str">
        <x:v>condition</x:v>
      </x:c>
      <x:c r="D506" s="17" t="str">
        <x:v>Lang_4</x:v>
      </x:c>
      <x:c r="E506" s="32" t="n">
        <x:v>1</x:v>
      </x:c>
      <x:c r="F506" s="32" t="n">
        <x:v>1</x:v>
      </x:c>
      <x:c r="G506" s="32" t="n">
        <x:v>1</x:v>
      </x:c>
      <x:c r="H506" s="32" t="n">
        <x:v>1</x:v>
      </x:c>
      <x:c r="I506" s="39" t="n">
        <x:v>2</x:v>
      </x:c>
      <x:c r="J506" s="39" t="n">
        <x:v>2</x:v>
      </x:c>
      <x:c r="K506" s="39" t="n">
        <x:v>2</x:v>
      </x:c>
      <x:c r="L506" s="39" t="n">
        <x:v>1</x:v>
      </x:c>
    </x:row>
    <x:row r="507" ht="23" customHeight="1">
      <x:c r="B507" s="17" t="str">
        <x:v>All rounds</x:v>
      </x:c>
      <x:c r="C507" s="17" t="str">
        <x:v>condition</x:v>
      </x:c>
      <x:c r="D507" s="17" t="str">
        <x:v>Lang_40</x:v>
      </x:c>
      <x:c r="E507" s="32" t="n">
        <x:v>0.9378</x:v>
      </x:c>
      <x:c r="F507" s="32" t="n">
        <x:v>0.7953999999999999</x:v>
      </x:c>
      <x:c r="G507" s="32" t="n">
        <x:v>0.2096</x:v>
      </x:c>
      <x:c r="H507" s="32" t="n">
        <x:v>0.0512</x:v>
      </x:c>
      <x:c r="I507" s="39" t="n">
        <x:v>2</x:v>
      </x:c>
      <x:c r="J507" s="39" t="n">
        <x:v>2</x:v>
      </x:c>
      <x:c r="K507" s="39" t="n">
        <x:v>1</x:v>
      </x:c>
      <x:c r="L507" s="39" t="n">
        <x:v>1</x:v>
      </x:c>
    </x:row>
    <x:row r="508" ht="23" customHeight="1">
      <x:c r="B508" s="17" t="str">
        <x:v>All rounds</x:v>
      </x:c>
      <x:c r="C508" s="17" t="str">
        <x:v>condition</x:v>
      </x:c>
      <x:c r="D508" s="17" t="str">
        <x:v>Lang_42</x:v>
      </x:c>
      <x:c r="E508" s="32" t="n">
        <x:v>0.8593999999999999</x:v>
      </x:c>
      <x:c r="F508" s="32" t="n">
        <x:v>0.5781000000000001</x:v>
      </x:c>
      <x:c r="G508" s="32" t="n">
        <x:v>0.5938</x:v>
      </x:c>
      <x:c r="H508" s="32" t="n">
        <x:v>0.3906</x:v>
      </x:c>
      <x:c r="I508" s="39" t="n">
        <x:v>2</x:v>
      </x:c>
      <x:c r="J508" s="39" t="n">
        <x:v>2</x:v>
      </x:c>
      <x:c r="K508" s="39" t="n">
        <x:v>1</x:v>
      </x:c>
      <x:c r="L508" s="39" t="n">
        <x:v>1</x:v>
      </x:c>
    </x:row>
    <x:row r="509" ht="23" customHeight="1">
      <x:c r="B509" s="17" t="str">
        <x:v>All rounds</x:v>
      </x:c>
      <x:c r="C509" s="17" t="str">
        <x:v>condition</x:v>
      </x:c>
      <x:c r="D509" s="17" t="str">
        <x:v>Lang_44</x:v>
      </x:c>
      <x:c r="E509" s="32" t="n">
        <x:v>0.7222</x:v>
      </x:c>
      <x:c r="F509" s="32" t="n">
        <x:v>0.2731</x:v>
      </x:c>
      <x:c r="G509" s="32" t="n">
        <x:v>0.43060000000000004</x:v>
      </x:c>
      <x:c r="H509" s="32" t="n">
        <x:v>0.287</x:v>
      </x:c>
      <x:c r="I509" s="39" t="n">
        <x:v>2</x:v>
      </x:c>
      <x:c r="J509" s="39" t="n">
        <x:v>2</x:v>
      </x:c>
      <x:c r="K509" s="39" t="n">
        <x:v>2</x:v>
      </x:c>
      <x:c r="L509" s="39" t="n">
        <x:v>1</x:v>
      </x:c>
    </x:row>
    <x:row r="510" ht="23" customHeight="1">
      <x:c r="B510" s="17" t="str">
        <x:v>All rounds</x:v>
      </x:c>
      <x:c r="C510" s="17" t="str">
        <x:v>condition</x:v>
      </x:c>
      <x:c r="D510" s="17" t="str">
        <x:v>Lang_49</x:v>
      </x:c>
      <x:c r="E510" s="32" t="n">
        <x:v>0.9185</x:v>
      </x:c>
      <x:c r="F510" s="32" t="n">
        <x:v>0.8288</x:v>
      </x:c>
      <x:c r="G510" s="32" t="n">
        <x:v>0.8043</x:v>
      </x:c>
      <x:c r="H510" s="32" t="n">
        <x:v>0.2772</x:v>
      </x:c>
      <x:c r="I510" s="39" t="n">
        <x:v>2</x:v>
      </x:c>
      <x:c r="J510" s="39" t="n">
        <x:v>2</x:v>
      </x:c>
      <x:c r="K510" s="39" t="n">
        <x:v>2</x:v>
      </x:c>
      <x:c r="L510" s="39" t="n">
        <x:v>1</x:v>
      </x:c>
    </x:row>
    <x:row r="511" ht="23" customHeight="1">
      <x:c r="B511" s="17" t="str">
        <x:v>All rounds</x:v>
      </x:c>
      <x:c r="C511" s="17" t="str">
        <x:v>condition</x:v>
      </x:c>
      <x:c r="D511" s="17" t="str">
        <x:v>Lang_5</x:v>
      </x:c>
      <x:c r="E511" s="32" t="n">
        <x:v>0.6607</x:v>
      </x:c>
      <x:c r="F511" s="32" t="n">
        <x:v>0.4286</x:v>
      </x:c>
      <x:c r="G511" s="32" t="n">
        <x:v>0.875</x:v>
      </x:c>
      <x:c r="H511" s="32" t="n">
        <x:v>1</x:v>
      </x:c>
      <x:c r="I511" s="39" t="n">
        <x:v>2</x:v>
      </x:c>
      <x:c r="J511" s="39" t="n">
        <x:v>2</x:v>
      </x:c>
      <x:c r="K511" s="39" t="n">
        <x:v>2</x:v>
      </x:c>
      <x:c r="L511" s="39" t="n">
        <x:v>1</x:v>
      </x:c>
    </x:row>
    <x:row r="512" ht="23" customHeight="1">
      <x:c r="B512" s="17" t="str">
        <x:v>All rounds</x:v>
      </x:c>
      <x:c r="C512" s="17" t="str">
        <x:v>condition</x:v>
      </x:c>
      <x:c r="D512" s="17" t="str">
        <x:v>Lang_51</x:v>
      </x:c>
      <x:c r="E512" s="32" t="n">
        <x:v>0.8491</x:v>
      </x:c>
      <x:c r="F512" s="32" t="n">
        <x:v>0.6179</x:v>
      </x:c>
      <x:c r="G512" s="32" t="n">
        <x:v>0.7594</x:v>
      </x:c>
      <x:c r="H512" s="32" t="n">
        <x:v>0.1274</x:v>
      </x:c>
      <x:c r="I512" s="39" t="n">
        <x:v>2</x:v>
      </x:c>
      <x:c r="J512" s="39" t="n">
        <x:v>2</x:v>
      </x:c>
      <x:c r="K512" s="39" t="n">
        <x:v>2</x:v>
      </x:c>
      <x:c r="L512" s="39" t="n">
        <x:v>1</x:v>
      </x:c>
    </x:row>
    <x:row r="513" ht="23" customHeight="1">
      <x:c r="B513" s="17" t="str">
        <x:v>All rounds</x:v>
      </x:c>
      <x:c r="C513" s="17" t="str">
        <x:v>condition</x:v>
      </x:c>
      <x:c r="D513" s="17" t="str">
        <x:v>Lang_54</x:v>
      </x:c>
      <x:c r="E513" s="32" t="n">
        <x:v>0.7656000000000001</x:v>
      </x:c>
      <x:c r="F513" s="32" t="n">
        <x:v>0.3594</x:v>
      </x:c>
      <x:c r="G513" s="32" t="n">
        <x:v>0.8125</x:v>
      </x:c>
      <x:c r="H513" s="32" t="n">
        <x:v>0.3906</x:v>
      </x:c>
      <x:c r="I513" s="39" t="n">
        <x:v>2</x:v>
      </x:c>
      <x:c r="J513" s="39" t="n">
        <x:v>2</x:v>
      </x:c>
      <x:c r="K513" s="39" t="n">
        <x:v>2</x:v>
      </x:c>
      <x:c r="L513" s="39" t="n">
        <x:v>1</x:v>
      </x:c>
    </x:row>
    <x:row r="514" ht="23" customHeight="1">
      <x:c r="B514" s="17" t="str">
        <x:v>All rounds</x:v>
      </x:c>
      <x:c r="C514" s="17" t="str">
        <x:v>condition</x:v>
      </x:c>
      <x:c r="D514" s="17" t="str">
        <x:v>Lang_55</x:v>
      </x:c>
      <x:c r="E514" s="32" t="n">
        <x:v>0.9615</x:v>
      </x:c>
      <x:c r="F514" s="32" t="n">
        <x:v>0.9615</x:v>
      </x:c>
      <x:c r="G514" s="32" t="n">
        <x:v>0.8845999999999999</x:v>
      </x:c>
      <x:c r="H514" s="32" t="n">
        <x:v>0.46149999999999997</x:v>
      </x:c>
      <x:c r="I514" s="39" t="n">
        <x:v>2</x:v>
      </x:c>
      <x:c r="J514" s="39" t="n">
        <x:v>2</x:v>
      </x:c>
      <x:c r="K514" s="39" t="n">
        <x:v>2</x:v>
      </x:c>
      <x:c r="L514" s="39" t="n">
        <x:v>1</x:v>
      </x:c>
    </x:row>
    <x:row r="515" ht="23" customHeight="1">
      <x:c r="B515" s="17" t="str">
        <x:v>All rounds</x:v>
      </x:c>
      <x:c r="C515" s="17" t="str">
        <x:v>condition</x:v>
      </x:c>
      <x:c r="D515" s="17" t="str">
        <x:v>Lang_57</x:v>
      </x:c>
      <x:c r="E515" s="32" t="n">
        <x:v>0.75</x:v>
      </x:c>
      <x:c r="F515" s="32" t="n">
        <x:v>0.3594</x:v>
      </x:c>
      <x:c r="G515" s="32" t="n">
        <x:v>0.8281000000000001</x:v>
      </x:c>
      <x:c r="H515" s="32" t="n">
        <x:v>0.3906</x:v>
      </x:c>
      <x:c r="I515" s="39" t="n">
        <x:v>2</x:v>
      </x:c>
      <x:c r="J515" s="39" t="n">
        <x:v>2</x:v>
      </x:c>
      <x:c r="K515" s="39" t="n">
        <x:v>2</x:v>
      </x:c>
      <x:c r="L515" s="39" t="n">
        <x:v>1</x:v>
      </x:c>
    </x:row>
    <x:row r="516" ht="23" customHeight="1">
      <x:c r="B516" s="17" t="str">
        <x:v>All rounds</x:v>
      </x:c>
      <x:c r="C516" s="17" t="str">
        <x:v>condition</x:v>
      </x:c>
      <x:c r="D516" s="17" t="str">
        <x:v>Lang_58</x:v>
      </x:c>
      <x:c r="E516" s="32" t="n">
        <x:v>0.8332999999999999</x:v>
      </x:c>
      <x:c r="F516" s="32" t="n">
        <x:v>0.5774</x:v>
      </x:c>
      <x:c r="G516" s="32" t="n">
        <x:v>0.6881</x:v>
      </x:c>
      <x:c r="H516" s="32" t="n">
        <x:v>0.1476</x:v>
      </x:c>
      <x:c r="I516" s="39" t="n">
        <x:v>2</x:v>
      </x:c>
      <x:c r="J516" s="39" t="n">
        <x:v>2</x:v>
      </x:c>
      <x:c r="K516" s="39" t="n">
        <x:v>2</x:v>
      </x:c>
      <x:c r="L516" s="39" t="n">
        <x:v>1</x:v>
      </x:c>
    </x:row>
    <x:row r="517" ht="23" customHeight="1">
      <x:c r="B517" s="17" t="str">
        <x:v>All rounds</x:v>
      </x:c>
      <x:c r="C517" s="17" t="str">
        <x:v>condition</x:v>
      </x:c>
      <x:c r="D517" s="17" t="str">
        <x:v>Lang_6</x:v>
      </x:c>
      <x:c r="E517" s="32" t="n">
        <x:v>1</x:v>
      </x:c>
      <x:c r="F517" s="32" t="n">
        <x:v>0</x:v>
      </x:c>
      <x:c r="G517" s="32" t="n">
        <x:v>1</x:v>
      </x:c>
      <x:c r="H517" s="32" t="n">
        <x:v>1</x:v>
      </x:c>
      <x:c r="I517" s="39" t="n">
        <x:v>2</x:v>
      </x:c>
      <x:c r="J517" s="39" t="n">
        <x:v>2</x:v>
      </x:c>
      <x:c r="K517" s="39" t="n">
        <x:v>2</x:v>
      </x:c>
      <x:c r="L517" s="39" t="n">
        <x:v>1</x:v>
      </x:c>
    </x:row>
    <x:row r="518" ht="23" customHeight="1">
      <x:c r="B518" s="17" t="str">
        <x:v>All rounds</x:v>
      </x:c>
      <x:c r="C518" s="17" t="str">
        <x:v>condition</x:v>
      </x:c>
      <x:c r="D518" s="17" t="str">
        <x:v>Lang_62</x:v>
      </x:c>
      <x:c r="E518" s="32" t="n">
        <x:v>0.7111</x:v>
      </x:c>
      <x:c r="F518" s="32" t="n">
        <x:v>0.4556</x:v>
      </x:c>
      <x:c r="G518" s="32" t="n">
        <x:v>0.6</x:v>
      </x:c>
      <x:c r="H518" s="32" t="n">
        <x:v>0.2778</x:v>
      </x:c>
      <x:c r="I518" s="39" t="n">
        <x:v>2</x:v>
      </x:c>
      <x:c r="J518" s="39" t="n">
        <x:v>2</x:v>
      </x:c>
      <x:c r="K518" s="39" t="n">
        <x:v>1</x:v>
      </x:c>
      <x:c r="L518" s="39" t="n">
        <x:v>1</x:v>
      </x:c>
    </x:row>
    <x:row r="519" ht="23" customHeight="1">
      <x:c r="B519" s="17" t="str">
        <x:v>All rounds</x:v>
      </x:c>
      <x:c r="C519" s="17" t="str">
        <x:v>condition</x:v>
      </x:c>
      <x:c r="D519" s="17" t="str">
        <x:v>Lang_63</x:v>
      </x:c>
      <x:c r="E519" s="32" t="n">
        <x:v>0.8963</x:v>
      </x:c>
      <x:c r="F519" s="32" t="n">
        <x:v>0.7222</x:v>
      </x:c>
      <x:c r="G519" s="32" t="n">
        <x:v>0.6074</x:v>
      </x:c>
      <x:c r="H519" s="32" t="n">
        <x:v>0.45189999999999997</x:v>
      </x:c>
      <x:c r="I519" s="39" t="n">
        <x:v>2</x:v>
      </x:c>
      <x:c r="J519" s="39" t="n">
        <x:v>2</x:v>
      </x:c>
      <x:c r="K519" s="39" t="n">
        <x:v>2</x:v>
      </x:c>
      <x:c r="L519" s="39" t="n">
        <x:v>1</x:v>
      </x:c>
    </x:row>
    <x:row r="520" ht="23" customHeight="1">
      <x:c r="B520" s="17" t="str">
        <x:v>All rounds</x:v>
      </x:c>
      <x:c r="C520" s="17" t="str">
        <x:v>condition</x:v>
      </x:c>
      <x:c r="D520" s="17" t="str">
        <x:v>Lang_64</x:v>
      </x:c>
      <x:c r="E520" s="32" t="n">
        <x:v>0.25</x:v>
      </x:c>
      <x:c r="F520" s="32" t="n">
        <x:v>0.25</x:v>
      </x:c>
      <x:c r="G520" s="32" t="n">
        <x:v>0</x:v>
      </x:c>
      <x:c r="H520" s="32" t="n">
        <x:v>0.625</x:v>
      </x:c>
      <x:c r="I520" s="39" t="n">
        <x:v>2</x:v>
      </x:c>
      <x:c r="J520" s="39" t="n">
        <x:v>2</x:v>
      </x:c>
      <x:c r="K520" s="39" t="n">
        <x:v>2</x:v>
      </x:c>
      <x:c r="L520" s="39" t="n">
        <x:v>1</x:v>
      </x:c>
    </x:row>
    <x:row r="521" ht="23" customHeight="1">
      <x:c r="B521" s="17" t="str">
        <x:v>All rounds</x:v>
      </x:c>
      <x:c r="C521" s="17" t="str">
        <x:v>condition</x:v>
      </x:c>
      <x:c r="D521" s="17" t="str">
        <x:v>Lang_7</x:v>
      </x:c>
      <x:c r="E521" s="32" t="n">
        <x:v>0.847</x:v>
      </x:c>
      <x:c r="F521" s="32" t="n">
        <x:v>0.47814999999999996</x:v>
      </x:c>
      <x:c r="G521" s="32" t="n">
        <x:v>0.5464</x:v>
      </x:c>
      <x:c r="H521" s="32" t="n">
        <x:v>0.8634000000000001</x:v>
      </x:c>
      <x:c r="I521" s="39" t="n">
        <x:v>2</x:v>
      </x:c>
      <x:c r="J521" s="39" t="n">
        <x:v>2</x:v>
      </x:c>
      <x:c r="K521" s="39" t="n">
        <x:v>2</x:v>
      </x:c>
      <x:c r="L521" s="39" t="n">
        <x:v>1</x:v>
      </x:c>
    </x:row>
    <x:row r="522" ht="23" customHeight="1">
      <x:c r="B522" s="17" t="str">
        <x:v>All rounds</x:v>
      </x:c>
      <x:c r="C522" s="17" t="str">
        <x:v>condition</x:v>
      </x:c>
      <x:c r="D522" s="17" t="str">
        <x:v>Lang_8</x:v>
      </x:c>
      <x:c r="E522" s="32" t="n">
        <x:v>0.7867000000000001</x:v>
      </x:c>
      <x:c r="F522" s="32" t="n">
        <x:v>0.013300000000000001</x:v>
      </x:c>
      <x:c r="G522" s="32" t="n">
        <x:v>0.5333</x:v>
      </x:c>
      <x:c r="H522" s="32" t="n">
        <x:v>0.9267</x:v>
      </x:c>
      <x:c r="I522" s="39" t="n">
        <x:v>2</x:v>
      </x:c>
      <x:c r="J522" s="39" t="n">
        <x:v>2</x:v>
      </x:c>
      <x:c r="K522" s="39" t="n">
        <x:v>2</x:v>
      </x:c>
      <x:c r="L522" s="39" t="n">
        <x:v>1</x:v>
      </x:c>
    </x:row>
    <x:row r="523" ht="23" customHeight="1">
      <x:c r="B523" s="17" t="str">
        <x:v>All rounds</x:v>
      </x:c>
      <x:c r="C523" s="17" t="str">
        <x:v>condition</x:v>
      </x:c>
      <x:c r="D523" s="17" t="str">
        <x:v>Math_1</x:v>
      </x:c>
      <x:c r="E523" s="32" t="n">
        <x:v>0.9688</x:v>
      </x:c>
      <x:c r="F523" s="32" t="n">
        <x:v>0.83335</x:v>
      </x:c>
      <x:c r="G523" s="32" t="n">
        <x:v>0.7865000000000001</x:v>
      </x:c>
      <x:c r="H523" s="32" t="n">
        <x:v>0.3125</x:v>
      </x:c>
      <x:c r="I523" s="39" t="n">
        <x:v>2</x:v>
      </x:c>
      <x:c r="J523" s="39" t="n">
        <x:v>2</x:v>
      </x:c>
      <x:c r="K523" s="39" t="n">
        <x:v>2</x:v>
      </x:c>
      <x:c r="L523" s="39" t="n">
        <x:v>1</x:v>
      </x:c>
    </x:row>
    <x:row r="524" ht="23" customHeight="1">
      <x:c r="B524" s="17" t="str">
        <x:v>All rounds</x:v>
      </x:c>
      <x:c r="C524" s="17" t="str">
        <x:v>condition</x:v>
      </x:c>
      <x:c r="D524" s="17" t="str">
        <x:v>Math_10</x:v>
      </x:c>
      <x:c r="E524" s="32" t="n">
        <x:v>0.6993</x:v>
      </x:c>
      <x:c r="F524" s="32" t="n">
        <x:v>0.4021</x:v>
      </x:c>
      <x:c r="G524" s="32" t="n">
        <x:v>0.6607999999999999</x:v>
      </x:c>
      <x:c r="H524" s="32" t="n">
        <x:v>0</x:v>
      </x:c>
      <x:c r="I524" s="39" t="n">
        <x:v>2</x:v>
      </x:c>
      <x:c r="J524" s="39" t="n">
        <x:v>2</x:v>
      </x:c>
      <x:c r="K524" s="39" t="n">
        <x:v>2</x:v>
      </x:c>
      <x:c r="L524" s="39" t="n">
        <x:v>1</x:v>
      </x:c>
    </x:row>
    <x:row r="525" ht="23" customHeight="1">
      <x:c r="B525" s="17" t="str">
        <x:v>All rounds</x:v>
      </x:c>
      <x:c r="C525" s="17" t="str">
        <x:v>condition</x:v>
      </x:c>
      <x:c r="D525" s="17" t="str">
        <x:v>Math_101</x:v>
      </x:c>
      <x:c r="E525" s="32" t="n">
        <x:v>1</x:v>
      </x:c>
      <x:c r="F525" s="32" t="n">
        <x:v>0.6154</x:v>
      </x:c>
      <x:c r="G525" s="32" t="n">
        <x:v>0.9423</x:v>
      </x:c>
      <x:c r="H525" s="32" t="n">
        <x:v>0</x:v>
      </x:c>
      <x:c r="I525" s="39" t="n">
        <x:v>2</x:v>
      </x:c>
      <x:c r="J525" s="39" t="n">
        <x:v>2</x:v>
      </x:c>
      <x:c r="K525" s="39" t="n">
        <x:v>2</x:v>
      </x:c>
      <x:c r="L525" s="39" t="n">
        <x:v>1</x:v>
      </x:c>
    </x:row>
    <x:row r="526" ht="23" customHeight="1">
      <x:c r="B526" s="17" t="str">
        <x:v>All rounds</x:v>
      </x:c>
      <x:c r="C526" s="17" t="str">
        <x:v>condition</x:v>
      </x:c>
      <x:c r="D526" s="17" t="str">
        <x:v>Math_102</x:v>
      </x:c>
      <x:c r="E526" s="32" t="n">
        <x:v>1</x:v>
      </x:c>
      <x:c r="F526" s="32" t="n">
        <x:v>0.8837</x:v>
      </x:c>
      <x:c r="G526" s="32" t="n">
        <x:v>0.907</x:v>
      </x:c>
      <x:c r="H526" s="32" t="n">
        <x:v>0</x:v>
      </x:c>
      <x:c r="I526" s="39" t="n">
        <x:v>2</x:v>
      </x:c>
      <x:c r="J526" s="39" t="n">
        <x:v>2</x:v>
      </x:c>
      <x:c r="K526" s="39" t="n">
        <x:v>1</x:v>
      </x:c>
      <x:c r="L526" s="39" t="n">
        <x:v>1</x:v>
      </x:c>
    </x:row>
    <x:row r="527" ht="23" customHeight="1">
      <x:c r="B527" s="17" t="str">
        <x:v>All rounds</x:v>
      </x:c>
      <x:c r="C527" s="17" t="str">
        <x:v>condition</x:v>
      </x:c>
      <x:c r="D527" s="17" t="str">
        <x:v>Math_104</x:v>
      </x:c>
      <x:c r="E527" s="32" t="n">
        <x:v>1</x:v>
      </x:c>
      <x:c r="F527" s="32" t="n">
        <x:v>1</x:v>
      </x:c>
      <x:c r="G527" s="32" t="n">
        <x:v>0.9</x:v>
      </x:c>
      <x:c r="H527" s="32" t="n">
        <x:v>0.675</x:v>
      </x:c>
      <x:c r="I527" s="39" t="n">
        <x:v>2</x:v>
      </x:c>
      <x:c r="J527" s="39" t="n">
        <x:v>2</x:v>
      </x:c>
      <x:c r="K527" s="39" t="n">
        <x:v>2</x:v>
      </x:c>
      <x:c r="L527" s="39" t="n">
        <x:v>1</x:v>
      </x:c>
    </x:row>
    <x:row r="528" ht="23" customHeight="1">
      <x:c r="B528" s="17" t="str">
        <x:v>All rounds</x:v>
      </x:c>
      <x:c r="C528" s="17" t="str">
        <x:v>condition</x:v>
      </x:c>
      <x:c r="D528" s="17" t="str">
        <x:v>Math_105</x:v>
      </x:c>
      <x:c r="E528" s="32" t="n">
        <x:v>1</x:v>
      </x:c>
      <x:c r="F528" s="32" t="n">
        <x:v>0.9444499999999999</x:v>
      </x:c>
      <x:c r="G528" s="32" t="n">
        <x:v>1</x:v>
      </x:c>
      <x:c r="H528" s="32" t="n">
        <x:v>0.5</x:v>
      </x:c>
      <x:c r="I528" s="39" t="n">
        <x:v>2</x:v>
      </x:c>
      <x:c r="J528" s="39" t="n">
        <x:v>2</x:v>
      </x:c>
      <x:c r="K528" s="39" t="n">
        <x:v>2</x:v>
      </x:c>
      <x:c r="L528" s="39" t="n">
        <x:v>1</x:v>
      </x:c>
    </x:row>
    <x:row r="529" ht="23" customHeight="1">
      <x:c r="B529" s="17" t="str">
        <x:v>All rounds</x:v>
      </x:c>
      <x:c r="C529" s="17" t="str">
        <x:v>condition</x:v>
      </x:c>
      <x:c r="D529" s="17" t="str">
        <x:v>Math_106</x:v>
      </x:c>
      <x:c r="E529" s="32" t="n">
        <x:v>1</x:v>
      </x:c>
      <x:c r="F529" s="32" t="n">
        <x:v>0.7</x:v>
      </x:c>
      <x:c r="G529" s="32" t="n">
        <x:v>0.8</x:v>
      </x:c>
      <x:c r="H529" s="32" t="n">
        <x:v>0.6</x:v>
      </x:c>
      <x:c r="I529" s="39" t="n">
        <x:v>2</x:v>
      </x:c>
      <x:c r="J529" s="39" t="n">
        <x:v>2</x:v>
      </x:c>
      <x:c r="K529" s="39" t="n">
        <x:v>2</x:v>
      </x:c>
      <x:c r="L529" s="39" t="n">
        <x:v>1</x:v>
      </x:c>
    </x:row>
    <x:row r="530" ht="23" customHeight="1">
      <x:c r="B530" s="17" t="str">
        <x:v>All rounds</x:v>
      </x:c>
      <x:c r="C530" s="17" t="str">
        <x:v>condition</x:v>
      </x:c>
      <x:c r="D530" s="17" t="str">
        <x:v>Math_11</x:v>
      </x:c>
      <x:c r="E530" s="32" t="n">
        <x:v>1</x:v>
      </x:c>
      <x:c r="F530" s="32" t="n">
        <x:v>1</x:v>
      </x:c>
      <x:c r="G530" s="32" t="n">
        <x:v>1</x:v>
      </x:c>
      <x:c r="H530" s="32" t="n">
        <x:v>0</x:v>
      </x:c>
      <x:c r="I530" s="39" t="n">
        <x:v>2</x:v>
      </x:c>
      <x:c r="J530" s="39" t="n">
        <x:v>2</x:v>
      </x:c>
      <x:c r="K530" s="39" t="n">
        <x:v>1</x:v>
      </x:c>
      <x:c r="L530" s="39" t="n">
        <x:v>1</x:v>
      </x:c>
    </x:row>
    <x:row r="531" ht="23" customHeight="1">
      <x:c r="B531" s="17" t="str">
        <x:v>All rounds</x:v>
      </x:c>
      <x:c r="C531" s="17" t="str">
        <x:v>condition</x:v>
      </x:c>
      <x:c r="D531" s="17" t="str">
        <x:v>Math_12</x:v>
      </x:c>
      <x:c r="E531" s="32" t="n">
        <x:v>1</x:v>
      </x:c>
      <x:c r="F531" s="32" t="n">
        <x:v>0</x:v>
      </x:c>
      <x:c r="G531" s="32" t="n">
        <x:v>0.8571</x:v>
      </x:c>
      <x:c r="H531" s="32" t="n">
        <x:v>1</x:v>
      </x:c>
      <x:c r="I531" s="39" t="n">
        <x:v>2</x:v>
      </x:c>
      <x:c r="J531" s="39" t="n">
        <x:v>2</x:v>
      </x:c>
      <x:c r="K531" s="39" t="n">
        <x:v>2</x:v>
      </x:c>
      <x:c r="L531" s="39" t="n">
        <x:v>1</x:v>
      </x:c>
    </x:row>
    <x:row r="532" ht="23" customHeight="1">
      <x:c r="B532" s="17" t="str">
        <x:v>All rounds</x:v>
      </x:c>
      <x:c r="C532" s="17" t="str">
        <x:v>condition</x:v>
      </x:c>
      <x:c r="D532" s="17" t="str">
        <x:v>Math_14</x:v>
      </x:c>
      <x:c r="E532" s="32" t="n">
        <x:v>0.5714</x:v>
      </x:c>
      <x:c r="F532" s="32" t="n">
        <x:v>0.2143</x:v>
      </x:c>
      <x:c r="G532" s="32" t="n">
        <x:v>1</x:v>
      </x:c>
      <x:c r="H532" s="32" t="n">
        <x:v>0.2857</x:v>
      </x:c>
      <x:c r="I532" s="39" t="n">
        <x:v>2</x:v>
      </x:c>
      <x:c r="J532" s="39" t="n">
        <x:v>2</x:v>
      </x:c>
      <x:c r="K532" s="39" t="n">
        <x:v>1</x:v>
      </x:c>
      <x:c r="L532" s="39" t="n">
        <x:v>1</x:v>
      </x:c>
    </x:row>
    <x:row r="533" ht="23" customHeight="1">
      <x:c r="B533" s="17" t="str">
        <x:v>All rounds</x:v>
      </x:c>
      <x:c r="C533" s="17" t="str">
        <x:v>condition</x:v>
      </x:c>
      <x:c r="D533" s="17" t="str">
        <x:v>Math_15</x:v>
      </x:c>
      <x:c r="E533" s="32" t="n">
        <x:v>0.8509</x:v>
      </x:c>
      <x:c r="F533" s="32" t="n">
        <x:v>0.7845</x:v>
      </x:c>
      <x:c r="G533" s="32" t="n">
        <x:v>0.3346</x:v>
      </x:c>
      <x:c r="H533" s="32" t="n">
        <x:v>0</x:v>
      </x:c>
      <x:c r="I533" s="39" t="n">
        <x:v>2</x:v>
      </x:c>
      <x:c r="J533" s="39" t="n">
        <x:v>1</x:v>
      </x:c>
      <x:c r="K533" s="39" t="n">
        <x:v>2</x:v>
      </x:c>
      <x:c r="L533" s="39" t="n">
        <x:v>1</x:v>
      </x:c>
    </x:row>
    <x:row r="534" ht="23" customHeight="1">
      <x:c r="B534" s="17" t="str">
        <x:v>All rounds</x:v>
      </x:c>
      <x:c r="C534" s="17" t="str">
        <x:v>condition</x:v>
      </x:c>
      <x:c r="D534" s="17" t="str">
        <x:v>Math_16</x:v>
      </x:c>
      <x:c r="E534" s="32" t="n">
        <x:v>0.838</x:v>
      </x:c>
      <x:c r="F534" s="32" t="n">
        <x:v>0.45890000000000003</x:v>
      </x:c>
      <x:c r="G534" s="32" t="n">
        <x:v>0.36460000000000004</x:v>
      </x:c>
      <x:c r="H534" s="32" t="n">
        <x:v>0</x:v>
      </x:c>
      <x:c r="I534" s="39" t="n">
        <x:v>2</x:v>
      </x:c>
      <x:c r="J534" s="39" t="n">
        <x:v>2</x:v>
      </x:c>
      <x:c r="K534" s="39" t="n">
        <x:v>2</x:v>
      </x:c>
      <x:c r="L534" s="39" t="n">
        <x:v>1</x:v>
      </x:c>
    </x:row>
    <x:row r="535" ht="23" customHeight="1">
      <x:c r="B535" s="17" t="str">
        <x:v>All rounds</x:v>
      </x:c>
      <x:c r="C535" s="17" t="str">
        <x:v>condition</x:v>
      </x:c>
      <x:c r="D535" s="17" t="str">
        <x:v>Math_17</x:v>
      </x:c>
      <x:c r="E535" s="32" t="n">
        <x:v>0.2005</x:v>
      </x:c>
      <x:c r="F535" s="32" t="n">
        <x:v>0</x:v>
      </x:c>
      <x:c r="G535" s="32" t="n">
        <x:v>0.5690999999999999</x:v>
      </x:c>
      <x:c r="H535" s="32" t="n">
        <x:v>0</x:v>
      </x:c>
      <x:c r="I535" s="39" t="n">
        <x:v>2</x:v>
      </x:c>
      <x:c r="J535" s="39" t="n">
        <x:v>2</x:v>
      </x:c>
      <x:c r="K535" s="39" t="n">
        <x:v>1</x:v>
      </x:c>
      <x:c r="L535" s="39" t="n">
        <x:v>1</x:v>
      </x:c>
    </x:row>
    <x:row r="536" ht="23" customHeight="1">
      <x:c r="B536" s="17" t="str">
        <x:v>All rounds</x:v>
      </x:c>
      <x:c r="C536" s="17" t="str">
        <x:v>condition</x:v>
      </x:c>
      <x:c r="D536" s="17" t="str">
        <x:v>Math_18</x:v>
      </x:c>
      <x:c r="E536" s="32" t="n">
        <x:v>0.5072</x:v>
      </x:c>
      <x:c r="F536" s="32" t="n">
        <x:v>0.0072</x:v>
      </x:c>
      <x:c r="G536" s="32" t="n">
        <x:v>0.6993</x:v>
      </x:c>
      <x:c r="H536" s="32" t="n">
        <x:v>0</x:v>
      </x:c>
      <x:c r="I536" s="39" t="n">
        <x:v>2</x:v>
      </x:c>
      <x:c r="J536" s="39" t="n">
        <x:v>2</x:v>
      </x:c>
      <x:c r="K536" s="39" t="n">
        <x:v>1</x:v>
      </x:c>
      <x:c r="L536" s="39" t="n">
        <x:v>1</x:v>
      </x:c>
    </x:row>
    <x:row r="537" ht="23" customHeight="1">
      <x:c r="B537" s="17" t="str">
        <x:v>All rounds</x:v>
      </x:c>
      <x:c r="C537" s="17" t="str">
        <x:v>condition</x:v>
      </x:c>
      <x:c r="D537" s="17" t="str">
        <x:v>Math_19</x:v>
      </x:c>
      <x:c r="E537" s="32" t="n">
        <x:v>0.5074000000000001</x:v>
      </x:c>
      <x:c r="F537" s="32" t="n">
        <x:v>0.0074</x:v>
      </x:c>
      <x:c r="G537" s="32" t="n">
        <x:v>0.7720999999999999</x:v>
      </x:c>
      <x:c r="H537" s="32" t="n">
        <x:v>0</x:v>
      </x:c>
      <x:c r="I537" s="39" t="n">
        <x:v>2</x:v>
      </x:c>
      <x:c r="J537" s="39" t="n">
        <x:v>2</x:v>
      </x:c>
      <x:c r="K537" s="39" t="n">
        <x:v>1</x:v>
      </x:c>
      <x:c r="L537" s="39" t="n">
        <x:v>1</x:v>
      </x:c>
    </x:row>
    <x:row r="538" ht="23" customHeight="1">
      <x:c r="B538" s="17" t="str">
        <x:v>All rounds</x:v>
      </x:c>
      <x:c r="C538" s="17" t="str">
        <x:v>condition</x:v>
      </x:c>
      <x:c r="D538" s="17" t="str">
        <x:v>Math_2</x:v>
      </x:c>
      <x:c r="E538" s="32" t="n">
        <x:v>1</x:v>
      </x:c>
      <x:c r="F538" s="32" t="n">
        <x:v>1</x:v>
      </x:c>
      <x:c r="G538" s="32" t="n">
        <x:v>0.8845999999999999</x:v>
      </x:c>
      <x:c r="H538" s="32" t="n">
        <x:v>0.5769</x:v>
      </x:c>
      <x:c r="I538" s="39" t="n">
        <x:v>2</x:v>
      </x:c>
      <x:c r="J538" s="39" t="n">
        <x:v>2</x:v>
      </x:c>
      <x:c r="K538" s="39" t="n">
        <x:v>2</x:v>
      </x:c>
      <x:c r="L538" s="39" t="n">
        <x:v>1</x:v>
      </x:c>
    </x:row>
    <x:row r="539" ht="23" customHeight="1">
      <x:c r="B539" s="17" t="str">
        <x:v>All rounds</x:v>
      </x:c>
      <x:c r="C539" s="17" t="str">
        <x:v>condition</x:v>
      </x:c>
      <x:c r="D539" s="17" t="str">
        <x:v>Math_20</x:v>
      </x:c>
      <x:c r="E539" s="32" t="n">
        <x:v>0.5075</x:v>
      </x:c>
      <x:c r="F539" s="32" t="n">
        <x:v>0.0075</x:v>
      </x:c>
      <x:c r="G539" s="32" t="n">
        <x:v>0.7648999999999999</x:v>
      </x:c>
      <x:c r="H539" s="32" t="n">
        <x:v>0</x:v>
      </x:c>
      <x:c r="I539" s="39" t="n">
        <x:v>2</x:v>
      </x:c>
      <x:c r="J539" s="39" t="n">
        <x:v>2</x:v>
      </x:c>
      <x:c r="K539" s="39" t="n">
        <x:v>1</x:v>
      </x:c>
      <x:c r="L539" s="39" t="n">
        <x:v>1</x:v>
      </x:c>
    </x:row>
    <x:row r="540" ht="23" customHeight="1">
      <x:c r="B540" s="17" t="str">
        <x:v>All rounds</x:v>
      </x:c>
      <x:c r="C540" s="17" t="str">
        <x:v>condition</x:v>
      </x:c>
      <x:c r="D540" s="17" t="str">
        <x:v>Math_21</x:v>
      </x:c>
      <x:c r="E540" s="32" t="n">
        <x:v>1</x:v>
      </x:c>
      <x:c r="F540" s="32" t="n">
        <x:v>0</x:v>
      </x:c>
      <x:c r="G540" s="32" t="n">
        <x:v>1</x:v>
      </x:c>
      <x:c r="H540" s="32" t="n">
        <x:v>1</x:v>
      </x:c>
      <x:c r="I540" s="39" t="n">
        <x:v>2</x:v>
      </x:c>
      <x:c r="J540" s="39" t="n">
        <x:v>2</x:v>
      </x:c>
      <x:c r="K540" s="39" t="n">
        <x:v>2</x:v>
      </x:c>
      <x:c r="L540" s="39" t="n">
        <x:v>1</x:v>
      </x:c>
    </x:row>
    <x:row r="541" ht="23" customHeight="1">
      <x:c r="B541" s="17" t="str">
        <x:v>All rounds</x:v>
      </x:c>
      <x:c r="C541" s="17" t="str">
        <x:v>condition</x:v>
      </x:c>
      <x:c r="D541" s="17" t="str">
        <x:v>Math_22</x:v>
      </x:c>
      <x:c r="E541" s="32" t="n">
        <x:v>1</x:v>
      </x:c>
      <x:c r="F541" s="32" t="n">
        <x:v>1</x:v>
      </x:c>
      <x:c r="G541" s="32" t="n">
        <x:v>0.9545</x:v>
      </x:c>
      <x:c r="H541" s="32" t="n">
        <x:v>0.4545</x:v>
      </x:c>
      <x:c r="I541" s="39" t="n">
        <x:v>2</x:v>
      </x:c>
      <x:c r="J541" s="39" t="n">
        <x:v>1</x:v>
      </x:c>
      <x:c r="K541" s="39" t="n">
        <x:v>1</x:v>
      </x:c>
      <x:c r="L541" s="39" t="n">
        <x:v>1</x:v>
      </x:c>
    </x:row>
    <x:row r="542" ht="23" customHeight="1">
      <x:c r="B542" s="17" t="str">
        <x:v>All rounds</x:v>
      </x:c>
      <x:c r="C542" s="17" t="str">
        <x:v>condition</x:v>
      </x:c>
      <x:c r="D542" s="17" t="str">
        <x:v>Math_23</x:v>
      </x:c>
      <x:c r="E542" s="32" t="n">
        <x:v>0.9459000000000001</x:v>
      </x:c>
      <x:c r="F542" s="32" t="n">
        <x:v>0.08109999999999999</x:v>
      </x:c>
      <x:c r="G542" s="32" t="n">
        <x:v>0.7837999999999999</x:v>
      </x:c>
      <x:c r="H542" s="32" t="n">
        <x:v>0</x:v>
      </x:c>
      <x:c r="I542" s="39" t="n">
        <x:v>2</x:v>
      </x:c>
      <x:c r="J542" s="39" t="n">
        <x:v>2</x:v>
      </x:c>
      <x:c r="K542" s="39" t="n">
        <x:v>1</x:v>
      </x:c>
      <x:c r="L542" s="39" t="n">
        <x:v>1</x:v>
      </x:c>
    </x:row>
    <x:row r="543" ht="23" customHeight="1">
      <x:c r="B543" s="17" t="str">
        <x:v>All rounds</x:v>
      </x:c>
      <x:c r="C543" s="17" t="str">
        <x:v>condition</x:v>
      </x:c>
      <x:c r="D543" s="17" t="str">
        <x:v>Math_24</x:v>
      </x:c>
      <x:c r="E543" s="32" t="n">
        <x:v>0.8243</x:v>
      </x:c>
      <x:c r="F543" s="32" t="n">
        <x:v>0.08109999999999999</x:v>
      </x:c>
      <x:c r="G543" s="32" t="n">
        <x:v>0.6486</x:v>
      </x:c>
      <x:c r="H543" s="32" t="n">
        <x:v>0</x:v>
      </x:c>
      <x:c r="I543" s="39" t="n">
        <x:v>1</x:v>
      </x:c>
      <x:c r="J543" s="39" t="n">
        <x:v>2</x:v>
      </x:c>
      <x:c r="K543" s="39" t="n">
        <x:v>1</x:v>
      </x:c>
      <x:c r="L543" s="39" t="n">
        <x:v>1</x:v>
      </x:c>
    </x:row>
    <x:row r="544" ht="23" customHeight="1">
      <x:c r="B544" s="17" t="str">
        <x:v>All rounds</x:v>
      </x:c>
      <x:c r="C544" s="17" t="str">
        <x:v>condition</x:v>
      </x:c>
      <x:c r="D544" s="17" t="str">
        <x:v>Math_25</x:v>
      </x:c>
      <x:c r="E544" s="32" t="n">
        <x:v>0.9643</x:v>
      </x:c>
      <x:c r="F544" s="32" t="n">
        <x:v>0.9286000000000001</x:v>
      </x:c>
      <x:c r="G544" s="32" t="n">
        <x:v>0.9286</x:v>
      </x:c>
      <x:c r="H544" s="32" t="n">
        <x:v>0</x:v>
      </x:c>
      <x:c r="I544" s="39" t="n">
        <x:v>1</x:v>
      </x:c>
      <x:c r="J544" s="39" t="n">
        <x:v>2</x:v>
      </x:c>
      <x:c r="K544" s="39" t="n">
        <x:v>2</x:v>
      </x:c>
      <x:c r="L544" s="39" t="n">
        <x:v>1</x:v>
      </x:c>
    </x:row>
    <x:row r="545" ht="23" customHeight="1">
      <x:c r="B545" s="17" t="str">
        <x:v>All rounds</x:v>
      </x:c>
      <x:c r="C545" s="17" t="str">
        <x:v>condition</x:v>
      </x:c>
      <x:c r="D545" s="17" t="str">
        <x:v>Math_29</x:v>
      </x:c>
      <x:c r="E545" s="32" t="n">
        <x:v>1</x:v>
      </x:c>
      <x:c r="F545" s="32" t="n">
        <x:v>0.9290999999999999</x:v>
      </x:c>
      <x:c r="G545" s="32" t="n">
        <x:v>0.7537</x:v>
      </x:c>
      <x:c r="H545" s="32" t="n">
        <x:v>0</x:v>
      </x:c>
      <x:c r="I545" s="39" t="n">
        <x:v>1</x:v>
      </x:c>
      <x:c r="J545" s="39" t="n">
        <x:v>2</x:v>
      </x:c>
      <x:c r="K545" s="39" t="n">
        <x:v>2</x:v>
      </x:c>
      <x:c r="L545" s="39" t="n">
        <x:v>1</x:v>
      </x:c>
    </x:row>
    <x:row r="546" ht="23" customHeight="1">
      <x:c r="B546" s="17" t="str">
        <x:v>All rounds</x:v>
      </x:c>
      <x:c r="C546" s="17" t="str">
        <x:v>condition</x:v>
      </x:c>
      <x:c r="D546" s="17" t="str">
        <x:v>Math_30</x:v>
      </x:c>
      <x:c r="E546" s="32" t="n">
        <x:v>1</x:v>
      </x:c>
      <x:c r="F546" s="32" t="n">
        <x:v>1</x:v>
      </x:c>
      <x:c r="G546" s="32" t="n">
        <x:v>1</x:v>
      </x:c>
      <x:c r="H546" s="32" t="n">
        <x:v>0</x:v>
      </x:c>
      <x:c r="I546" s="39" t="n">
        <x:v>1</x:v>
      </x:c>
      <x:c r="J546" s="39" t="n">
        <x:v>2</x:v>
      </x:c>
      <x:c r="K546" s="39" t="n">
        <x:v>2</x:v>
      </x:c>
      <x:c r="L546" s="39" t="n">
        <x:v>1</x:v>
      </x:c>
    </x:row>
    <x:row r="547" ht="23" customHeight="1">
      <x:c r="B547" s="17" t="str">
        <x:v>All rounds</x:v>
      </x:c>
      <x:c r="C547" s="17" t="str">
        <x:v>condition</x:v>
      </x:c>
      <x:c r="D547" s="17" t="str">
        <x:v>Math_31</x:v>
      </x:c>
      <x:c r="E547" s="32" t="n">
        <x:v>0</x:v>
      </x:c>
      <x:c r="F547" s="32" t="n">
        <x:v>0</x:v>
      </x:c>
      <x:c r="G547" s="32" t="n">
        <x:v>0.7333</x:v>
      </x:c>
      <x:c r="H547" s="32" t="n">
        <x:v>0</x:v>
      </x:c>
      <x:c r="I547" s="39" t="n">
        <x:v>1</x:v>
      </x:c>
      <x:c r="J547" s="39" t="n">
        <x:v>2</x:v>
      </x:c>
      <x:c r="K547" s="39" t="n">
        <x:v>2</x:v>
      </x:c>
      <x:c r="L547" s="39" t="n">
        <x:v>1</x:v>
      </x:c>
    </x:row>
    <x:row r="548" ht="23" customHeight="1">
      <x:c r="B548" s="17" t="str">
        <x:v>All rounds</x:v>
      </x:c>
      <x:c r="C548" s="17" t="str">
        <x:v>condition</x:v>
      </x:c>
      <x:c r="D548" s="17" t="str">
        <x:v>Math_37</x:v>
      </x:c>
      <x:c r="E548" s="32" t="n">
        <x:v>0.9556999999999999</x:v>
      </x:c>
      <x:c r="F548" s="32" t="n">
        <x:v>0.9462</x:v>
      </x:c>
      <x:c r="G548" s="32" t="n">
        <x:v>0.7152</x:v>
      </x:c>
      <x:c r="H548" s="32" t="n">
        <x:v>0.0506</x:v>
      </x:c>
      <x:c r="I548" s="39" t="n">
        <x:v>2</x:v>
      </x:c>
      <x:c r="J548" s="39" t="n">
        <x:v>2</x:v>
      </x:c>
      <x:c r="K548" s="39" t="n">
        <x:v>1</x:v>
      </x:c>
      <x:c r="L548" s="39" t="n">
        <x:v>1</x:v>
      </x:c>
    </x:row>
    <x:row r="549" ht="23" customHeight="1">
      <x:c r="B549" s="17" t="str">
        <x:v>All rounds</x:v>
      </x:c>
      <x:c r="C549" s="17" t="str">
        <x:v>condition</x:v>
      </x:c>
      <x:c r="D549" s="17" t="str">
        <x:v>Math_39</x:v>
      </x:c>
      <x:c r="E549" s="32" t="n">
        <x:v>0.9582999999999999</x:v>
      </x:c>
      <x:c r="F549" s="32" t="n">
        <x:v>0</x:v>
      </x:c>
      <x:c r="G549" s="32" t="n">
        <x:v>0.9792000000000001</x:v>
      </x:c>
      <x:c r="H549" s="32" t="n">
        <x:v>0</x:v>
      </x:c>
      <x:c r="I549" s="39" t="n">
        <x:v>2</x:v>
      </x:c>
      <x:c r="J549" s="39" t="n">
        <x:v>2</x:v>
      </x:c>
      <x:c r="K549" s="39" t="n">
        <x:v>1</x:v>
      </x:c>
      <x:c r="L549" s="39" t="n">
        <x:v>1</x:v>
      </x:c>
    </x:row>
    <x:row r="550" ht="23" customHeight="1">
      <x:c r="B550" s="17" t="str">
        <x:v>All rounds</x:v>
      </x:c>
      <x:c r="C550" s="17" t="str">
        <x:v>condition</x:v>
      </x:c>
      <x:c r="D550" s="17" t="str">
        <x:v>Math_40</x:v>
      </x:c>
      <x:c r="E550" s="32" t="n">
        <x:v>0.9848</x:v>
      </x:c>
      <x:c r="F550" s="32" t="n">
        <x:v>0.0909</x:v>
      </x:c>
      <x:c r="G550" s="32" t="n">
        <x:v>0.6818000000000001</x:v>
      </x:c>
      <x:c r="H550" s="32" t="n">
        <x:v>0</x:v>
      </x:c>
      <x:c r="I550" s="39" t="n">
        <x:v>2</x:v>
      </x:c>
      <x:c r="J550" s="39" t="n">
        <x:v>2</x:v>
      </x:c>
      <x:c r="K550" s="39" t="n">
        <x:v>2</x:v>
      </x:c>
      <x:c r="L550" s="39" t="n">
        <x:v>1</x:v>
      </x:c>
    </x:row>
    <x:row r="551" ht="23" customHeight="1">
      <x:c r="B551" s="17" t="str">
        <x:v>All rounds</x:v>
      </x:c>
      <x:c r="C551" s="17" t="str">
        <x:v>condition</x:v>
      </x:c>
      <x:c r="D551" s="17" t="str">
        <x:v>Math_41</x:v>
      </x:c>
      <x:c r="E551" s="32" t="n">
        <x:v>0.8695999999999999</x:v>
      </x:c>
      <x:c r="F551" s="32" t="n">
        <x:v>0.6087</x:v>
      </x:c>
      <x:c r="G551" s="32" t="n">
        <x:v>0.7173999999999999</x:v>
      </x:c>
      <x:c r="H551" s="32" t="n">
        <x:v>0</x:v>
      </x:c>
      <x:c r="I551" s="39" t="n">
        <x:v>2</x:v>
      </x:c>
      <x:c r="J551" s="39" t="n">
        <x:v>2</x:v>
      </x:c>
      <x:c r="K551" s="39" t="n">
        <x:v>2</x:v>
      </x:c>
      <x:c r="L551" s="39" t="n">
        <x:v>1</x:v>
      </x:c>
    </x:row>
    <x:row r="552" ht="23" customHeight="1">
      <x:c r="B552" s="17" t="str">
        <x:v>All rounds</x:v>
      </x:c>
      <x:c r="C552" s="17" t="str">
        <x:v>condition</x:v>
      </x:c>
      <x:c r="D552" s="17" t="str">
        <x:v>Math_42</x:v>
      </x:c>
      <x:c r="E552" s="32" t="n">
        <x:v>0.9333</x:v>
      </x:c>
      <x:c r="F552" s="32" t="n">
        <x:v>0.0083</x:v>
      </x:c>
      <x:c r="G552" s="32" t="n">
        <x:v>0.5667</x:v>
      </x:c>
      <x:c r="H552" s="32" t="n">
        <x:v>0</x:v>
      </x:c>
      <x:c r="I552" s="39" t="n">
        <x:v>2</x:v>
      </x:c>
      <x:c r="J552" s="39" t="n">
        <x:v>2</x:v>
      </x:c>
      <x:c r="K552" s="39" t="n">
        <x:v>2</x:v>
      </x:c>
      <x:c r="L552" s="39" t="n">
        <x:v>1</x:v>
      </x:c>
    </x:row>
    <x:row r="553" ht="23" customHeight="1">
      <x:c r="B553" s="17" t="str">
        <x:v>All rounds</x:v>
      </x:c>
      <x:c r="C553" s="17" t="str">
        <x:v>condition</x:v>
      </x:c>
      <x:c r="D553" s="17" t="str">
        <x:v>Math_43</x:v>
      </x:c>
      <x:c r="E553" s="32" t="n">
        <x:v>1</x:v>
      </x:c>
      <x:c r="F553" s="32" t="n">
        <x:v>0.9569</x:v>
      </x:c>
      <x:c r="G553" s="32" t="n">
        <x:v>0.5861999999999999</x:v>
      </x:c>
      <x:c r="H553" s="32" t="n">
        <x:v>0</x:v>
      </x:c>
      <x:c r="I553" s="39" t="n">
        <x:v>2</x:v>
      </x:c>
      <x:c r="J553" s="39" t="n">
        <x:v>2</x:v>
      </x:c>
      <x:c r="K553" s="39" t="n">
        <x:v>2</x:v>
      </x:c>
      <x:c r="L553" s="39" t="n">
        <x:v>1</x:v>
      </x:c>
    </x:row>
    <x:row r="554" ht="23" customHeight="1">
      <x:c r="B554" s="17" t="str">
        <x:v>All rounds</x:v>
      </x:c>
      <x:c r="C554" s="17" t="str">
        <x:v>condition</x:v>
      </x:c>
      <x:c r="D554" s="17" t="str">
        <x:v>Math_45</x:v>
      </x:c>
      <x:c r="E554" s="32" t="n">
        <x:v>0.4545</x:v>
      </x:c>
      <x:c r="F554" s="32" t="n">
        <x:v>0.47725</x:v>
      </x:c>
      <x:c r="G554" s="32" t="n">
        <x:v>0.9545</x:v>
      </x:c>
      <x:c r="H554" s="32" t="n">
        <x:v>0</x:v>
      </x:c>
      <x:c r="I554" s="39" t="n">
        <x:v>2</x:v>
      </x:c>
      <x:c r="J554" s="39" t="n">
        <x:v>2</x:v>
      </x:c>
      <x:c r="K554" s="39" t="n">
        <x:v>2</x:v>
      </x:c>
      <x:c r="L554" s="39" t="n">
        <x:v>1</x:v>
      </x:c>
    </x:row>
    <x:row r="555" ht="23" customHeight="1">
      <x:c r="B555" s="17" t="str">
        <x:v>All rounds</x:v>
      </x:c>
      <x:c r="C555" s="17" t="str">
        <x:v>condition</x:v>
      </x:c>
      <x:c r="D555" s="17" t="str">
        <x:v>Math_46</x:v>
      </x:c>
      <x:c r="E555" s="32" t="n">
        <x:v>0.9797</x:v>
      </x:c>
      <x:c r="F555" s="32" t="n">
        <x:v>0.9391999999999999</x:v>
      </x:c>
      <x:c r="G555" s="32" t="n">
        <x:v>0.7365</x:v>
      </x:c>
      <x:c r="H555" s="32" t="n">
        <x:v>0.08109999999999999</x:v>
      </x:c>
      <x:c r="I555" s="39" t="n">
        <x:v>2</x:v>
      </x:c>
      <x:c r="J555" s="39" t="n">
        <x:v>2</x:v>
      </x:c>
      <x:c r="K555" s="39" t="n">
        <x:v>1</x:v>
      </x:c>
      <x:c r="L555" s="39" t="n">
        <x:v>1</x:v>
      </x:c>
    </x:row>
    <x:row r="556" ht="23" customHeight="1">
      <x:c r="B556" s="17" t="str">
        <x:v>All rounds</x:v>
      </x:c>
      <x:c r="C556" s="17" t="str">
        <x:v>condition</x:v>
      </x:c>
      <x:c r="D556" s="17" t="str">
        <x:v>Math_47</x:v>
      </x:c>
      <x:c r="E556" s="32" t="n">
        <x:v>0.9648</x:v>
      </x:c>
      <x:c r="F556" s="32" t="n">
        <x:v>0.92955</x:v>
      </x:c>
      <x:c r="G556" s="32" t="n">
        <x:v>0.7535</x:v>
      </x:c>
      <x:c r="H556" s="32" t="n">
        <x:v>0.056299999999999996</x:v>
      </x:c>
      <x:c r="I556" s="39" t="n">
        <x:v>2</x:v>
      </x:c>
      <x:c r="J556" s="39" t="n">
        <x:v>2</x:v>
      </x:c>
      <x:c r="K556" s="39" t="n">
        <x:v>1</x:v>
      </x:c>
      <x:c r="L556" s="39" t="n">
        <x:v>1</x:v>
      </x:c>
    </x:row>
    <x:row r="557" ht="23" customHeight="1">
      <x:c r="B557" s="17" t="str">
        <x:v>All rounds</x:v>
      </x:c>
      <x:c r="C557" s="17" t="str">
        <x:v>condition</x:v>
      </x:c>
      <x:c r="D557" s="17" t="str">
        <x:v>Math_48</x:v>
      </x:c>
      <x:c r="E557" s="32" t="n">
        <x:v>0.9348000000000001</x:v>
      </x:c>
      <x:c r="F557" s="32" t="n">
        <x:v>0</x:v>
      </x:c>
      <x:c r="G557" s="32" t="n">
        <x:v>0.6304</x:v>
      </x:c>
      <x:c r="H557" s="32" t="n">
        <x:v>0</x:v>
      </x:c>
      <x:c r="I557" s="39" t="n">
        <x:v>2</x:v>
      </x:c>
      <x:c r="J557" s="39" t="n">
        <x:v>2</x:v>
      </x:c>
      <x:c r="K557" s="39" t="n">
        <x:v>1</x:v>
      </x:c>
      <x:c r="L557" s="39" t="n">
        <x:v>1</x:v>
      </x:c>
    </x:row>
    <x:row r="558" ht="23" customHeight="1">
      <x:c r="B558" s="17" t="str">
        <x:v>All rounds</x:v>
      </x:c>
      <x:c r="C558" s="17" t="str">
        <x:v>condition</x:v>
      </x:c>
      <x:c r="D558" s="17" t="str">
        <x:v>Math_49</x:v>
      </x:c>
      <x:c r="E558" s="32" t="n">
        <x:v>1</x:v>
      </x:c>
      <x:c r="F558" s="32" t="n">
        <x:v>0.6118</x:v>
      </x:c>
      <x:c r="G558" s="32" t="n">
        <x:v>0.8881999999999999</x:v>
      </x:c>
      <x:c r="H558" s="32" t="n">
        <x:v>0</x:v>
      </x:c>
      <x:c r="I558" s="39" t="n">
        <x:v>2</x:v>
      </x:c>
      <x:c r="J558" s="39" t="n">
        <x:v>2</x:v>
      </x:c>
      <x:c r="K558" s="39" t="n">
        <x:v>1</x:v>
      </x:c>
      <x:c r="L558" s="39" t="n">
        <x:v>1</x:v>
      </x:c>
    </x:row>
    <x:row r="559" ht="23" customHeight="1">
      <x:c r="B559" s="17" t="str">
        <x:v>All rounds</x:v>
      </x:c>
      <x:c r="C559" s="17" t="str">
        <x:v>condition</x:v>
      </x:c>
      <x:c r="D559" s="17" t="str">
        <x:v>Math_5</x:v>
      </x:c>
      <x:c r="E559" s="32" t="n">
        <x:v>0.9823999999999999</x:v>
      </x:c>
      <x:c r="F559" s="32" t="n">
        <x:v>0.9470500000000002</x:v>
      </x:c>
      <x:c r="G559" s="32" t="n">
        <x:v>0.5471</x:v>
      </x:c>
      <x:c r="H559" s="32" t="n">
        <x:v>0.0471</x:v>
      </x:c>
      <x:c r="I559" s="39" t="n">
        <x:v>2</x:v>
      </x:c>
      <x:c r="J559" s="39" t="n">
        <x:v>2</x:v>
      </x:c>
      <x:c r="K559" s="39" t="n">
        <x:v>1</x:v>
      </x:c>
      <x:c r="L559" s="39" t="n">
        <x:v>1</x:v>
      </x:c>
    </x:row>
    <x:row r="560" ht="23" customHeight="1">
      <x:c r="B560" s="17" t="str">
        <x:v>All rounds</x:v>
      </x:c>
      <x:c r="C560" s="17" t="str">
        <x:v>condition</x:v>
      </x:c>
      <x:c r="D560" s="17" t="str">
        <x:v>Math_50</x:v>
      </x:c>
      <x:c r="E560" s="32" t="n">
        <x:v>0.9167000000000001</x:v>
      </x:c>
      <x:c r="F560" s="32" t="n">
        <x:v>0</x:v>
      </x:c>
      <x:c r="G560" s="32" t="n">
        <x:v>0.6042000000000001</x:v>
      </x:c>
      <x:c r="H560" s="32" t="n">
        <x:v>0</x:v>
      </x:c>
      <x:c r="I560" s="39" t="n">
        <x:v>2</x:v>
      </x:c>
      <x:c r="J560" s="39" t="n">
        <x:v>2</x:v>
      </x:c>
      <x:c r="K560" s="39" t="n">
        <x:v>1</x:v>
      </x:c>
      <x:c r="L560" s="39" t="n">
        <x:v>1</x:v>
      </x:c>
    </x:row>
    <x:row r="561" ht="23" customHeight="1">
      <x:c r="B561" s="17" t="str">
        <x:v>All rounds</x:v>
      </x:c>
      <x:c r="C561" s="17" t="str">
        <x:v>condition</x:v>
      </x:c>
      <x:c r="D561" s="17" t="str">
        <x:v>Math_51</x:v>
      </x:c>
      <x:c r="E561" s="32" t="n">
        <x:v>0.9556</x:v>
      </x:c>
      <x:c r="F561" s="32" t="n">
        <x:v>0</x:v>
      </x:c>
      <x:c r="G561" s="32" t="n">
        <x:v>0.5111</x:v>
      </x:c>
      <x:c r="H561" s="32" t="n">
        <x:v>0</x:v>
      </x:c>
      <x:c r="I561" s="39" t="n">
        <x:v>2</x:v>
      </x:c>
      <x:c r="J561" s="39" t="n">
        <x:v>2</x:v>
      </x:c>
      <x:c r="K561" s="39" t="n">
        <x:v>1</x:v>
      </x:c>
      <x:c r="L561" s="39" t="n">
        <x:v>1</x:v>
      </x:c>
    </x:row>
    <x:row r="562" ht="23" customHeight="1">
      <x:c r="B562" s="17" t="str">
        <x:v>All rounds</x:v>
      </x:c>
      <x:c r="C562" s="17" t="str">
        <x:v>condition</x:v>
      </x:c>
      <x:c r="D562" s="17" t="str">
        <x:v>Math_52</x:v>
      </x:c>
      <x:c r="E562" s="32" t="n">
        <x:v>0.9508</x:v>
      </x:c>
      <x:c r="F562" s="32" t="n">
        <x:v>0.42619999999999997</x:v>
      </x:c>
      <x:c r="G562" s="32" t="n">
        <x:v>0.7295</x:v>
      </x:c>
      <x:c r="H562" s="32" t="n">
        <x:v>0.008199999999999999</x:v>
      </x:c>
      <x:c r="I562" s="39" t="n">
        <x:v>2</x:v>
      </x:c>
      <x:c r="J562" s="39" t="n">
        <x:v>2</x:v>
      </x:c>
      <x:c r="K562" s="39" t="n">
        <x:v>1</x:v>
      </x:c>
      <x:c r="L562" s="39" t="n">
        <x:v>1</x:v>
      </x:c>
    </x:row>
    <x:row r="563" ht="23" customHeight="1">
      <x:c r="B563" s="17" t="str">
        <x:v>All rounds</x:v>
      </x:c>
      <x:c r="C563" s="17" t="str">
        <x:v>condition</x:v>
      </x:c>
      <x:c r="D563" s="17" t="str">
        <x:v>Math_53</x:v>
      </x:c>
      <x:c r="E563" s="32" t="n">
        <x:v>0.9561</x:v>
      </x:c>
      <x:c r="F563" s="32" t="n">
        <x:v>0.96055</x:v>
      </x:c>
      <x:c r="G563" s="32" t="n">
        <x:v>0.8772</x:v>
      </x:c>
      <x:c r="H563" s="32" t="n">
        <x:v>0.0702</x:v>
      </x:c>
      <x:c r="I563" s="39" t="n">
        <x:v>2</x:v>
      </x:c>
      <x:c r="J563" s="39" t="n">
        <x:v>2</x:v>
      </x:c>
      <x:c r="K563" s="39" t="n">
        <x:v>1</x:v>
      </x:c>
      <x:c r="L563" s="39" t="n">
        <x:v>1</x:v>
      </x:c>
    </x:row>
    <x:row r="564" ht="23" customHeight="1">
      <x:c r="B564" s="17" t="str">
        <x:v>All rounds</x:v>
      </x:c>
      <x:c r="C564" s="17" t="str">
        <x:v>condition</x:v>
      </x:c>
      <x:c r="D564" s="17" t="str">
        <x:v>Math_54</x:v>
      </x:c>
      <x:c r="E564" s="32" t="n">
        <x:v>0.2133</x:v>
      </x:c>
      <x:c r="F564" s="32" t="n">
        <x:v>0</x:v>
      </x:c>
      <x:c r="G564" s="32" t="n">
        <x:v>0.6598999999999999</x:v>
      </x:c>
      <x:c r="H564" s="32" t="n">
        <x:v>0</x:v>
      </x:c>
      <x:c r="I564" s="39" t="n">
        <x:v>2</x:v>
      </x:c>
      <x:c r="J564" s="39" t="n">
        <x:v>2</x:v>
      </x:c>
      <x:c r="K564" s="39" t="n">
        <x:v>1</x:v>
      </x:c>
      <x:c r="L564" s="39" t="n">
        <x:v>1</x:v>
      </x:c>
    </x:row>
    <x:row r="565" ht="23" customHeight="1">
      <x:c r="B565" s="17" t="str">
        <x:v>All rounds</x:v>
      </x:c>
      <x:c r="C565" s="17" t="str">
        <x:v>condition</x:v>
      </x:c>
      <x:c r="D565" s="17" t="str">
        <x:v>Math_55</x:v>
      </x:c>
      <x:c r="E565" s="32" t="n">
        <x:v>0.9582999999999999</x:v>
      </x:c>
      <x:c r="F565" s="32" t="n">
        <x:v>0.8646</x:v>
      </x:c>
      <x:c r="G565" s="32" t="n">
        <x:v>0.8332999999999999</x:v>
      </x:c>
      <x:c r="H565" s="32" t="n">
        <x:v>0</x:v>
      </x:c>
      <x:c r="I565" s="39" t="n">
        <x:v>2</x:v>
      </x:c>
      <x:c r="J565" s="39" t="n">
        <x:v>2</x:v>
      </x:c>
      <x:c r="K565" s="39" t="n">
        <x:v>1</x:v>
      </x:c>
      <x:c r="L565" s="39" t="n">
        <x:v>1</x:v>
      </x:c>
    </x:row>
    <x:row r="566" ht="23" customHeight="1">
      <x:c r="B566" s="17" t="str">
        <x:v>All rounds</x:v>
      </x:c>
      <x:c r="C566" s="17" t="str">
        <x:v>condition</x:v>
      </x:c>
      <x:c r="D566" s="17" t="str">
        <x:v>Math_56</x:v>
      </x:c>
      <x:c r="E566" s="32" t="n">
        <x:v>1</x:v>
      </x:c>
      <x:c r="F566" s="32" t="n">
        <x:v>0.8823500000000002</x:v>
      </x:c>
      <x:c r="G566" s="32" t="n">
        <x:v>0.9412</x:v>
      </x:c>
      <x:c r="H566" s="32" t="n">
        <x:v>0</x:v>
      </x:c>
      <x:c r="I566" s="39" t="n">
        <x:v>2</x:v>
      </x:c>
      <x:c r="J566" s="39" t="n">
        <x:v>2</x:v>
      </x:c>
      <x:c r="K566" s="39" t="n">
        <x:v>2</x:v>
      </x:c>
      <x:c r="L566" s="39" t="n">
        <x:v>1</x:v>
      </x:c>
    </x:row>
    <x:row r="567" ht="23" customHeight="1">
      <x:c r="B567" s="17" t="str">
        <x:v>All rounds</x:v>
      </x:c>
      <x:c r="C567" s="17" t="str">
        <x:v>condition</x:v>
      </x:c>
      <x:c r="D567" s="17" t="str">
        <x:v>Math_57</x:v>
      </x:c>
      <x:c r="E567" s="32" t="n">
        <x:v>0.9074</x:v>
      </x:c>
      <x:c r="F567" s="32" t="n">
        <x:v>0</x:v>
      </x:c>
      <x:c r="G567" s="32" t="n">
        <x:v>0.9074</x:v>
      </x:c>
      <x:c r="H567" s="32" t="n">
        <x:v>0</x:v>
      </x:c>
      <x:c r="I567" s="39" t="n">
        <x:v>2</x:v>
      </x:c>
      <x:c r="J567" s="39" t="n">
        <x:v>2</x:v>
      </x:c>
      <x:c r="K567" s="39" t="n">
        <x:v>1</x:v>
      </x:c>
      <x:c r="L567" s="39" t="n">
        <x:v>1</x:v>
      </x:c>
    </x:row>
    <x:row r="568" ht="23" customHeight="1">
      <x:c r="B568" s="17" t="str">
        <x:v>All rounds</x:v>
      </x:c>
      <x:c r="C568" s="17" t="str">
        <x:v>condition</x:v>
      </x:c>
      <x:c r="D568" s="17" t="str">
        <x:v>Math_58</x:v>
      </x:c>
      <x:c r="E568" s="32" t="n">
        <x:v>0.9655</x:v>
      </x:c>
      <x:c r="F568" s="32" t="n">
        <x:v>0.9569</x:v>
      </x:c>
      <x:c r="G568" s="32" t="n">
        <x:v>0.6207</x:v>
      </x:c>
      <x:c r="H568" s="32" t="n">
        <x:v>0</x:v>
      </x:c>
      <x:c r="I568" s="39" t="n">
        <x:v>2</x:v>
      </x:c>
      <x:c r="J568" s="39" t="n">
        <x:v>2</x:v>
      </x:c>
      <x:c r="K568" s="39" t="n">
        <x:v>1</x:v>
      </x:c>
      <x:c r="L568" s="39" t="n">
        <x:v>1</x:v>
      </x:c>
    </x:row>
    <x:row r="569" ht="23" customHeight="1">
      <x:c r="B569" s="17" t="str">
        <x:v>All rounds</x:v>
      </x:c>
      <x:c r="C569" s="17" t="str">
        <x:v>condition</x:v>
      </x:c>
      <x:c r="D569" s="17" t="str">
        <x:v>Math_59</x:v>
      </x:c>
      <x:c r="E569" s="32" t="n">
        <x:v>0.8067</x:v>
      </x:c>
      <x:c r="F569" s="32" t="n">
        <x:v>0.7845</x:v>
      </x:c>
      <x:c r="G569" s="32" t="n">
        <x:v>0.43560000000000004</x:v>
      </x:c>
      <x:c r="H569" s="32" t="n">
        <x:v>0.066</x:v>
      </x:c>
      <x:c r="I569" s="39" t="n">
        <x:v>2</x:v>
      </x:c>
      <x:c r="J569" s="39" t="n">
        <x:v>2</x:v>
      </x:c>
      <x:c r="K569" s="39" t="n">
        <x:v>2</x:v>
      </x:c>
      <x:c r="L569" s="39" t="n">
        <x:v>1</x:v>
      </x:c>
    </x:row>
    <x:row r="570" ht="23" customHeight="1">
      <x:c r="B570" s="17" t="str">
        <x:v>All rounds</x:v>
      </x:c>
      <x:c r="C570" s="17" t="str">
        <x:v>condition</x:v>
      </x:c>
      <x:c r="D570" s="17" t="str">
        <x:v>Math_61</x:v>
      </x:c>
      <x:c r="E570" s="32" t="n">
        <x:v>1</x:v>
      </x:c>
      <x:c r="F570" s="32" t="n">
        <x:v>0.875</x:v>
      </x:c>
      <x:c r="G570" s="32" t="n">
        <x:v>1</x:v>
      </x:c>
      <x:c r="H570" s="32" t="n">
        <x:v>0</x:v>
      </x:c>
      <x:c r="I570" s="39" t="n">
        <x:v>2</x:v>
      </x:c>
      <x:c r="J570" s="39" t="n">
        <x:v>2</x:v>
      </x:c>
      <x:c r="K570" s="39" t="n">
        <x:v>2</x:v>
      </x:c>
      <x:c r="L570" s="39" t="n">
        <x:v>1</x:v>
      </x:c>
    </x:row>
    <x:row r="571" ht="23" customHeight="1">
      <x:c r="B571" s="17" t="str">
        <x:v>All rounds</x:v>
      </x:c>
      <x:c r="C571" s="17" t="str">
        <x:v>condition</x:v>
      </x:c>
      <x:c r="D571" s="17" t="str">
        <x:v>Math_62</x:v>
      </x:c>
      <x:c r="E571" s="32" t="n">
        <x:v>0.8889</x:v>
      </x:c>
      <x:c r="F571" s="32" t="n">
        <x:v>0</x:v>
      </x:c>
      <x:c r="G571" s="32" t="n">
        <x:v>0.9444</x:v>
      </x:c>
      <x:c r="H571" s="32" t="n">
        <x:v>0</x:v>
      </x:c>
      <x:c r="I571" s="39" t="n">
        <x:v>2</x:v>
      </x:c>
      <x:c r="J571" s="39" t="n">
        <x:v>2</x:v>
      </x:c>
      <x:c r="K571" s="39" t="n">
        <x:v>1</x:v>
      </x:c>
      <x:c r="L571" s="39" t="n">
        <x:v>1</x:v>
      </x:c>
    </x:row>
    <x:row r="572" ht="23" customHeight="1">
      <x:c r="B572" s="17" t="str">
        <x:v>All rounds</x:v>
      </x:c>
      <x:c r="C572" s="17" t="str">
        <x:v>condition</x:v>
      </x:c>
      <x:c r="D572" s="17" t="str">
        <x:v>Math_63</x:v>
      </x:c>
      <x:c r="E572" s="32" t="n">
        <x:v>0.8820999999999999</x:v>
      </x:c>
      <x:c r="F572" s="32" t="n">
        <x:v>0.7483</x:v>
      </x:c>
      <x:c r="G572" s="32" t="n">
        <x:v>0.5760000000000001</x:v>
      </x:c>
      <x:c r="H572" s="32" t="n">
        <x:v>0</x:v>
      </x:c>
      <x:c r="I572" s="39" t="n">
        <x:v>2</x:v>
      </x:c>
      <x:c r="J572" s="39" t="n">
        <x:v>1</x:v>
      </x:c>
      <x:c r="K572" s="39" t="n">
        <x:v>2</x:v>
      </x:c>
      <x:c r="L572" s="39" t="n">
        <x:v>1</x:v>
      </x:c>
    </x:row>
    <x:row r="573" ht="23" customHeight="1">
      <x:c r="B573" s="17" t="str">
        <x:v>All rounds</x:v>
      </x:c>
      <x:c r="C573" s="17" t="str">
        <x:v>condition</x:v>
      </x:c>
      <x:c r="D573" s="17" t="str">
        <x:v>Math_64</x:v>
      </x:c>
      <x:c r="E573" s="32" t="n">
        <x:v>0</x:v>
      </x:c>
      <x:c r="F573" s="32" t="n">
        <x:v>0</x:v>
      </x:c>
      <x:c r="G573" s="32" t="n">
        <x:v>0.44</x:v>
      </x:c>
      <x:c r="H573" s="32" t="n">
        <x:v>0</x:v>
      </x:c>
      <x:c r="I573" s="39" t="n">
        <x:v>2</x:v>
      </x:c>
      <x:c r="J573" s="39" t="n">
        <x:v>2</x:v>
      </x:c>
      <x:c r="K573" s="39" t="n">
        <x:v>1</x:v>
      </x:c>
      <x:c r="L573" s="39" t="n">
        <x:v>1</x:v>
      </x:c>
    </x:row>
    <x:row r="574" ht="23" customHeight="1">
      <x:c r="B574" s="17" t="str">
        <x:v>All rounds</x:v>
      </x:c>
      <x:c r="C574" s="17" t="str">
        <x:v>condition</x:v>
      </x:c>
      <x:c r="D574" s="17" t="str">
        <x:v>Math_66</x:v>
      </x:c>
      <x:c r="E574" s="32" t="n">
        <x:v>0.9828</x:v>
      </x:c>
      <x:c r="F574" s="32" t="n">
        <x:v>0.1207</x:v>
      </x:c>
      <x:c r="G574" s="32" t="n">
        <x:v>0.9483</x:v>
      </x:c>
      <x:c r="H574" s="32" t="n">
        <x:v>0</x:v>
      </x:c>
      <x:c r="I574" s="39" t="n">
        <x:v>2</x:v>
      </x:c>
      <x:c r="J574" s="39" t="n">
        <x:v>2</x:v>
      </x:c>
      <x:c r="K574" s="39" t="n">
        <x:v>2</x:v>
      </x:c>
      <x:c r="L574" s="39" t="n">
        <x:v>1</x:v>
      </x:c>
    </x:row>
    <x:row r="575" ht="23" customHeight="1">
      <x:c r="B575" s="17" t="str">
        <x:v>All rounds</x:v>
      </x:c>
      <x:c r="C575" s="17" t="str">
        <x:v>condition</x:v>
      </x:c>
      <x:c r="D575" s="17" t="str">
        <x:v>Math_67</x:v>
      </x:c>
      <x:c r="E575" s="32" t="n">
        <x:v>0.9412</x:v>
      </x:c>
      <x:c r="F575" s="32" t="n">
        <x:v>0.2059</x:v>
      </x:c>
      <x:c r="G575" s="32" t="n">
        <x:v>0.8529000000000001</x:v>
      </x:c>
      <x:c r="H575" s="32" t="n">
        <x:v>0</x:v>
      </x:c>
      <x:c r="I575" s="39" t="n">
        <x:v>2</x:v>
      </x:c>
      <x:c r="J575" s="39" t="n">
        <x:v>2</x:v>
      </x:c>
      <x:c r="K575" s="39" t="n">
        <x:v>2</x:v>
      </x:c>
      <x:c r="L575" s="39" t="n">
        <x:v>1</x:v>
      </x:c>
    </x:row>
    <x:row r="576" ht="23" customHeight="1">
      <x:c r="B576" s="17" t="str">
        <x:v>All rounds</x:v>
      </x:c>
      <x:c r="C576" s="17" t="str">
        <x:v>condition</x:v>
      </x:c>
      <x:c r="D576" s="17" t="str">
        <x:v>Math_68</x:v>
      </x:c>
      <x:c r="E576" s="32" t="n">
        <x:v>0</x:v>
      </x:c>
      <x:c r="F576" s="32" t="n">
        <x:v>0</x:v>
      </x:c>
      <x:c r="G576" s="32" t="n">
        <x:v>0.4286</x:v>
      </x:c>
      <x:c r="H576" s="32" t="n">
        <x:v>0</x:v>
      </x:c>
      <x:c r="I576" s="39" t="n">
        <x:v>2</x:v>
      </x:c>
      <x:c r="J576" s="39" t="n">
        <x:v>2</x:v>
      </x:c>
      <x:c r="K576" s="39" t="n">
        <x:v>1</x:v>
      </x:c>
      <x:c r="L576" s="39" t="n">
        <x:v>1</x:v>
      </x:c>
    </x:row>
    <x:row r="577" ht="23" customHeight="1">
      <x:c r="B577" s="17" t="str">
        <x:v>All rounds</x:v>
      </x:c>
      <x:c r="C577" s="17" t="str">
        <x:v>condition</x:v>
      </x:c>
      <x:c r="D577" s="17" t="str">
        <x:v>Math_69</x:v>
      </x:c>
      <x:c r="E577" s="32" t="n">
        <x:v>1</x:v>
      </x:c>
      <x:c r="F577" s="32" t="n">
        <x:v>0.91665</x:v>
      </x:c>
      <x:c r="G577" s="32" t="n">
        <x:v>0.9667</x:v>
      </x:c>
      <x:c r="H577" s="32" t="n">
        <x:v>0</x:v>
      </x:c>
      <x:c r="I577" s="39" t="n">
        <x:v>2</x:v>
      </x:c>
      <x:c r="J577" s="39" t="n">
        <x:v>2</x:v>
      </x:c>
      <x:c r="K577" s="39" t="n">
        <x:v>2</x:v>
      </x:c>
      <x:c r="L577" s="39" t="n">
        <x:v>1</x:v>
      </x:c>
    </x:row>
    <x:row r="578" ht="23" customHeight="1">
      <x:c r="B578" s="17" t="str">
        <x:v>All rounds</x:v>
      </x:c>
      <x:c r="C578" s="17" t="str">
        <x:v>condition</x:v>
      </x:c>
      <x:c r="D578" s="17" t="str">
        <x:v>Math_7</x:v>
      </x:c>
      <x:c r="E578" s="32" t="n">
        <x:v>0.64</x:v>
      </x:c>
      <x:c r="F578" s="32" t="n">
        <x:v>0</x:v>
      </x:c>
      <x:c r="G578" s="32" t="n">
        <x:v>0.28</x:v>
      </x:c>
      <x:c r="H578" s="32" t="n">
        <x:v>0</x:v>
      </x:c>
      <x:c r="I578" s="39" t="n">
        <x:v>2</x:v>
      </x:c>
      <x:c r="J578" s="39" t="n">
        <x:v>2</x:v>
      </x:c>
      <x:c r="K578" s="39" t="n">
        <x:v>1</x:v>
      </x:c>
      <x:c r="L578" s="39" t="n">
        <x:v>1</x:v>
      </x:c>
    </x:row>
    <x:row r="579" ht="23" customHeight="1">
      <x:c r="B579" s="17" t="str">
        <x:v>All rounds</x:v>
      </x:c>
      <x:c r="C579" s="17" t="str">
        <x:v>condition</x:v>
      </x:c>
      <x:c r="D579" s="17" t="str">
        <x:v>Math_71</x:v>
      </x:c>
      <x:c r="E579" s="32" t="n">
        <x:v>0.9388</x:v>
      </x:c>
      <x:c r="F579" s="32" t="n">
        <x:v>0</x:v>
      </x:c>
      <x:c r="G579" s="32" t="n">
        <x:v>0.8061</x:v>
      </x:c>
      <x:c r="H579" s="32" t="n">
        <x:v>0</x:v>
      </x:c>
      <x:c r="I579" s="39" t="n">
        <x:v>2</x:v>
      </x:c>
      <x:c r="J579" s="39" t="n">
        <x:v>2</x:v>
      </x:c>
      <x:c r="K579" s="39" t="n">
        <x:v>1</x:v>
      </x:c>
      <x:c r="L579" s="39" t="n">
        <x:v>1</x:v>
      </x:c>
    </x:row>
    <x:row r="580" ht="23" customHeight="1">
      <x:c r="B580" s="17" t="str">
        <x:v>All rounds</x:v>
      </x:c>
      <x:c r="C580" s="17" t="str">
        <x:v>condition</x:v>
      </x:c>
      <x:c r="D580" s="17" t="str">
        <x:v>Math_72</x:v>
      </x:c>
      <x:c r="E580" s="32" t="n">
        <x:v>1</x:v>
      </x:c>
      <x:c r="F580" s="32" t="n">
        <x:v>0</x:v>
      </x:c>
      <x:c r="G580" s="32" t="n">
        <x:v>0.8148000000000001</x:v>
      </x:c>
      <x:c r="H580" s="32" t="n">
        <x:v>0</x:v>
      </x:c>
      <x:c r="I580" s="39" t="n">
        <x:v>2</x:v>
      </x:c>
      <x:c r="J580" s="39" t="n">
        <x:v>2</x:v>
      </x:c>
      <x:c r="K580" s="39" t="n">
        <x:v>2</x:v>
      </x:c>
      <x:c r="L580" s="39" t="n">
        <x:v>1</x:v>
      </x:c>
    </x:row>
    <x:row r="581" ht="23" customHeight="1">
      <x:c r="B581" s="17" t="str">
        <x:v>All rounds</x:v>
      </x:c>
      <x:c r="C581" s="17" t="str">
        <x:v>condition</x:v>
      </x:c>
      <x:c r="D581" s="17" t="str">
        <x:v>Math_73</x:v>
      </x:c>
      <x:c r="E581" s="32" t="n">
        <x:v>1</x:v>
      </x:c>
      <x:c r="F581" s="32" t="n">
        <x:v>0</x:v>
      </x:c>
      <x:c r="G581" s="32" t="n">
        <x:v>0.8077</x:v>
      </x:c>
      <x:c r="H581" s="32" t="n">
        <x:v>0</x:v>
      </x:c>
      <x:c r="I581" s="39" t="n">
        <x:v>2</x:v>
      </x:c>
      <x:c r="J581" s="39" t="n">
        <x:v>2</x:v>
      </x:c>
      <x:c r="K581" s="39" t="n">
        <x:v>2</x:v>
      </x:c>
      <x:c r="L581" s="39" t="n">
        <x:v>1</x:v>
      </x:c>
    </x:row>
    <x:row r="582" ht="23" customHeight="1">
      <x:c r="B582" s="17" t="str">
        <x:v>All rounds</x:v>
      </x:c>
      <x:c r="C582" s="17" t="str">
        <x:v>condition</x:v>
      </x:c>
      <x:c r="D582" s="17" t="str">
        <x:v>Math_74</x:v>
      </x:c>
      <x:c r="E582" s="32" t="n">
        <x:v>0.40740000000000004</x:v>
      </x:c>
      <x:c r="F582" s="32" t="n">
        <x:v>0</x:v>
      </x:c>
      <x:c r="G582" s="32" t="n">
        <x:v>0.8519</x:v>
      </x:c>
      <x:c r="H582" s="32" t="n">
        <x:v>0</x:v>
      </x:c>
      <x:c r="I582" s="39" t="n">
        <x:v>2</x:v>
      </x:c>
      <x:c r="J582" s="39" t="n">
        <x:v>2</x:v>
      </x:c>
      <x:c r="K582" s="39" t="n">
        <x:v>1</x:v>
      </x:c>
      <x:c r="L582" s="39" t="n">
        <x:v>1</x:v>
      </x:c>
    </x:row>
    <x:row r="583" ht="23" customHeight="1">
      <x:c r="B583" s="17" t="str">
        <x:v>All rounds</x:v>
      </x:c>
      <x:c r="C583" s="17" t="str">
        <x:v>condition</x:v>
      </x:c>
      <x:c r="D583" s="17" t="str">
        <x:v>Math_75</x:v>
      </x:c>
      <x:c r="E583" s="32" t="n">
        <x:v>0.9167000000000001</x:v>
      </x:c>
      <x:c r="F583" s="32" t="n">
        <x:v>0.8332999999999999</x:v>
      </x:c>
      <x:c r="G583" s="32" t="n">
        <x:v>0.7707999999999999</x:v>
      </x:c>
      <x:c r="H583" s="32" t="n">
        <x:v>0</x:v>
      </x:c>
      <x:c r="I583" s="39" t="n">
        <x:v>2</x:v>
      </x:c>
      <x:c r="J583" s="39" t="n">
        <x:v>2</x:v>
      </x:c>
      <x:c r="K583" s="39" t="n">
        <x:v>2</x:v>
      </x:c>
      <x:c r="L583" s="39" t="n">
        <x:v>1</x:v>
      </x:c>
    </x:row>
    <x:row r="584" ht="23" customHeight="1">
      <x:c r="B584" s="17" t="str">
        <x:v>All rounds</x:v>
      </x:c>
      <x:c r="C584" s="17" t="str">
        <x:v>condition</x:v>
      </x:c>
      <x:c r="D584" s="17" t="str">
        <x:v>Math_76</x:v>
      </x:c>
      <x:c r="E584" s="32" t="n">
        <x:v>1</x:v>
      </x:c>
      <x:c r="F584" s="32" t="n">
        <x:v>0</x:v>
      </x:c>
      <x:c r="G584" s="32" t="n">
        <x:v>0.6667000000000001</x:v>
      </x:c>
      <x:c r="H584" s="32" t="n">
        <x:v>0</x:v>
      </x:c>
      <x:c r="I584" s="39" t="n">
        <x:v>2</x:v>
      </x:c>
      <x:c r="J584" s="39" t="n">
        <x:v>2</x:v>
      </x:c>
      <x:c r="K584" s="39" t="n">
        <x:v>2</x:v>
      </x:c>
      <x:c r="L584" s="39" t="n">
        <x:v>1</x:v>
      </x:c>
    </x:row>
    <x:row r="585" ht="23" customHeight="1">
      <x:c r="B585" s="17" t="str">
        <x:v>All rounds</x:v>
      </x:c>
      <x:c r="C585" s="17" t="str">
        <x:v>condition</x:v>
      </x:c>
      <x:c r="D585" s="17" t="str">
        <x:v>Math_77</x:v>
      </x:c>
      <x:c r="E585" s="32" t="n">
        <x:v>0.9911</x:v>
      </x:c>
      <x:c r="F585" s="32" t="n">
        <x:v>0.74405</x:v>
      </x:c>
      <x:c r="G585" s="32" t="n">
        <x:v>0.6893</x:v>
      </x:c>
      <x:c r="H585" s="32" t="n">
        <x:v>0</x:v>
      </x:c>
      <x:c r="I585" s="39" t="n">
        <x:v>2</x:v>
      </x:c>
      <x:c r="J585" s="39" t="n">
        <x:v>2</x:v>
      </x:c>
      <x:c r="K585" s="39" t="n">
        <x:v>1</x:v>
      </x:c>
      <x:c r="L585" s="39" t="n">
        <x:v>1</x:v>
      </x:c>
    </x:row>
    <x:row r="586" ht="23" customHeight="1">
      <x:c r="B586" s="17" t="str">
        <x:v>All rounds</x:v>
      </x:c>
      <x:c r="C586" s="17" t="str">
        <x:v>condition</x:v>
      </x:c>
      <x:c r="D586" s="17" t="str">
        <x:v>Math_79</x:v>
      </x:c>
      <x:c r="E586" s="32" t="n">
        <x:v>0.9304000000000001</x:v>
      </x:c>
      <x:c r="F586" s="32" t="n">
        <x:v>0.4971</x:v>
      </x:c>
      <x:c r="G586" s="32" t="n">
        <x:v>0.6261</x:v>
      </x:c>
      <x:c r="H586" s="32" t="n">
        <x:v>0</x:v>
      </x:c>
      <x:c r="I586" s="39" t="n">
        <x:v>2</x:v>
      </x:c>
      <x:c r="J586" s="39" t="n">
        <x:v>2</x:v>
      </x:c>
      <x:c r="K586" s="39" t="n">
        <x:v>2</x:v>
      </x:c>
      <x:c r="L586" s="39" t="n">
        <x:v>1</x:v>
      </x:c>
    </x:row>
    <x:row r="587" ht="23" customHeight="1">
      <x:c r="B587" s="17" t="str">
        <x:v>All rounds</x:v>
      </x:c>
      <x:c r="C587" s="17" t="str">
        <x:v>condition</x:v>
      </x:c>
      <x:c r="D587" s="17" t="str">
        <x:v>Math_8</x:v>
      </x:c>
      <x:c r="E587" s="32" t="n">
        <x:v>0.9582999999999999</x:v>
      </x:c>
      <x:c r="F587" s="32" t="n">
        <x:v>0.0417</x:v>
      </x:c>
      <x:c r="G587" s="32" t="n">
        <x:v>0.97915</x:v>
      </x:c>
      <x:c r="H587" s="32" t="n">
        <x:v>0</x:v>
      </x:c>
      <x:c r="I587" s="39" t="n">
        <x:v>2</x:v>
      </x:c>
      <x:c r="J587" s="39" t="n">
        <x:v>2</x:v>
      </x:c>
      <x:c r="K587" s="39" t="n">
        <x:v>2</x:v>
      </x:c>
      <x:c r="L587" s="39" t="n">
        <x:v>1</x:v>
      </x:c>
    </x:row>
    <x:row r="588" ht="23" customHeight="1">
      <x:c r="B588" s="17" t="str">
        <x:v>All rounds</x:v>
      </x:c>
      <x:c r="C588" s="17" t="str">
        <x:v>condition</x:v>
      </x:c>
      <x:c r="D588" s="17" t="str">
        <x:v>Math_80</x:v>
      </x:c>
      <x:c r="E588" s="32" t="n">
        <x:v>0.7536</x:v>
      </x:c>
      <x:c r="F588" s="32" t="n">
        <x:v>0.1377</x:v>
      </x:c>
      <x:c r="G588" s="32" t="n">
        <x:v>0.1932</x:v>
      </x:c>
      <x:c r="H588" s="32" t="n">
        <x:v>0</x:v>
      </x:c>
      <x:c r="I588" s="39" t="n">
        <x:v>2</x:v>
      </x:c>
      <x:c r="J588" s="39" t="n">
        <x:v>2</x:v>
      </x:c>
      <x:c r="K588" s="39" t="n">
        <x:v>2</x:v>
      </x:c>
      <x:c r="L588" s="39" t="n">
        <x:v>1</x:v>
      </x:c>
    </x:row>
    <x:row r="589" ht="23" customHeight="1">
      <x:c r="B589" s="17" t="str">
        <x:v>All rounds</x:v>
      </x:c>
      <x:c r="C589" s="17" t="str">
        <x:v>condition</x:v>
      </x:c>
      <x:c r="D589" s="17" t="str">
        <x:v>Math_81</x:v>
      </x:c>
      <x:c r="E589" s="32" t="n">
        <x:v>0.7585</x:v>
      </x:c>
      <x:c r="F589" s="32" t="n">
        <x:v>0.1377</x:v>
      </x:c>
      <x:c r="G589" s="32" t="n">
        <x:v>0.2029</x:v>
      </x:c>
      <x:c r="H589" s="32" t="n">
        <x:v>0</x:v>
      </x:c>
      <x:c r="I589" s="39" t="n">
        <x:v>2</x:v>
      </x:c>
      <x:c r="J589" s="39" t="n">
        <x:v>2</x:v>
      </x:c>
      <x:c r="K589" s="39" t="n">
        <x:v>2</x:v>
      </x:c>
      <x:c r="L589" s="39" t="n">
        <x:v>1</x:v>
      </x:c>
    </x:row>
    <x:row r="590" ht="23" customHeight="1">
      <x:c r="B590" s="17" t="str">
        <x:v>All rounds</x:v>
      </x:c>
      <x:c r="C590" s="17" t="str">
        <x:v>condition</x:v>
      </x:c>
      <x:c r="D590" s="17" t="str">
        <x:v>Math_82</x:v>
      </x:c>
      <x:c r="E590" s="32" t="n">
        <x:v>0.9722</x:v>
      </x:c>
      <x:c r="F590" s="32" t="n">
        <x:v>0</x:v>
      </x:c>
      <x:c r="G590" s="32" t="n">
        <x:v>0.9167000000000001</x:v>
      </x:c>
      <x:c r="H590" s="32" t="n">
        <x:v>0</x:v>
      </x:c>
      <x:c r="I590" s="39" t="n">
        <x:v>2</x:v>
      </x:c>
      <x:c r="J590" s="39" t="n">
        <x:v>2</x:v>
      </x:c>
      <x:c r="K590" s="39" t="n">
        <x:v>1</x:v>
      </x:c>
      <x:c r="L590" s="39" t="n">
        <x:v>1</x:v>
      </x:c>
    </x:row>
    <x:row r="591" ht="23" customHeight="1">
      <x:c r="B591" s="17" t="str">
        <x:v>All rounds</x:v>
      </x:c>
      <x:c r="C591" s="17" t="str">
        <x:v>condition</x:v>
      </x:c>
      <x:c r="D591" s="17" t="str">
        <x:v>Math_83</x:v>
      </x:c>
      <x:c r="E591" s="32" t="n">
        <x:v>0.10869999999999999</x:v>
      </x:c>
      <x:c r="F591" s="32" t="n">
        <x:v>0</x:v>
      </x:c>
      <x:c r="G591" s="32" t="n">
        <x:v>0.0761</x:v>
      </x:c>
      <x:c r="H591" s="32" t="n">
        <x:v>0</x:v>
      </x:c>
      <x:c r="I591" s="39" t="n">
        <x:v>2</x:v>
      </x:c>
      <x:c r="J591" s="39" t="n">
        <x:v>2</x:v>
      </x:c>
      <x:c r="K591" s="39" t="n">
        <x:v>1</x:v>
      </x:c>
      <x:c r="L591" s="39" t="n">
        <x:v>1</x:v>
      </x:c>
    </x:row>
    <x:row r="592" ht="23" customHeight="1">
      <x:c r="B592" s="17" t="str">
        <x:v>All rounds</x:v>
      </x:c>
      <x:c r="C592" s="17" t="str">
        <x:v>condition</x:v>
      </x:c>
      <x:c r="D592" s="17" t="str">
        <x:v>Math_85</x:v>
      </x:c>
      <x:c r="E592" s="32" t="n">
        <x:v>1</x:v>
      </x:c>
      <x:c r="F592" s="32" t="n">
        <x:v>0.0909</x:v>
      </x:c>
      <x:c r="G592" s="32" t="n">
        <x:v>0.8636</x:v>
      </x:c>
      <x:c r="H592" s="32" t="n">
        <x:v>0</x:v>
      </x:c>
      <x:c r="I592" s="39" t="n">
        <x:v>2</x:v>
      </x:c>
      <x:c r="J592" s="39" t="n">
        <x:v>2</x:v>
      </x:c>
      <x:c r="K592" s="39" t="n">
        <x:v>2</x:v>
      </x:c>
      <x:c r="L592" s="39" t="n">
        <x:v>1</x:v>
      </x:c>
    </x:row>
    <x:row r="593" ht="23" customHeight="1">
      <x:c r="B593" s="17" t="str">
        <x:v>All rounds</x:v>
      </x:c>
      <x:c r="C593" s="17" t="str">
        <x:v>condition</x:v>
      </x:c>
      <x:c r="D593" s="17" t="str">
        <x:v>Math_86</x:v>
      </x:c>
      <x:c r="E593" s="32" t="n">
        <x:v>0.3667</x:v>
      </x:c>
      <x:c r="F593" s="32" t="n">
        <x:v>0</x:v>
      </x:c>
      <x:c r="G593" s="32" t="n">
        <x:v>0.8332999999999999</x:v>
      </x:c>
      <x:c r="H593" s="32" t="n">
        <x:v>0</x:v>
      </x:c>
      <x:c r="I593" s="39" t="n">
        <x:v>2</x:v>
      </x:c>
      <x:c r="J593" s="39" t="n">
        <x:v>2</x:v>
      </x:c>
      <x:c r="K593" s="39" t="n">
        <x:v>1</x:v>
      </x:c>
      <x:c r="L593" s="39" t="n">
        <x:v>1</x:v>
      </x:c>
    </x:row>
    <x:row r="594" ht="23" customHeight="1">
      <x:c r="B594" s="17" t="str">
        <x:v>All rounds</x:v>
      </x:c>
      <x:c r="C594" s="17" t="str">
        <x:v>condition</x:v>
      </x:c>
      <x:c r="D594" s="17" t="str">
        <x:v>Math_87</x:v>
      </x:c>
      <x:c r="E594" s="32" t="n">
        <x:v>0.07780000000000001</x:v>
      </x:c>
      <x:c r="F594" s="32" t="n">
        <x:v>0</x:v>
      </x:c>
      <x:c r="G594" s="32" t="n">
        <x:v>0.07780000000000001</x:v>
      </x:c>
      <x:c r="H594" s="32" t="n">
        <x:v>0</x:v>
      </x:c>
      <x:c r="I594" s="39" t="n">
        <x:v>2</x:v>
      </x:c>
      <x:c r="J594" s="39" t="n">
        <x:v>2</x:v>
      </x:c>
      <x:c r="K594" s="39" t="n">
        <x:v>2</x:v>
      </x:c>
      <x:c r="L594" s="39" t="n">
        <x:v>1</x:v>
      </x:c>
    </x:row>
    <x:row r="595" ht="23" customHeight="1">
      <x:c r="B595" s="17" t="str">
        <x:v>All rounds</x:v>
      </x:c>
      <x:c r="C595" s="17" t="str">
        <x:v>condition</x:v>
      </x:c>
      <x:c r="D595" s="17" t="str">
        <x:v>Math_88</x:v>
      </x:c>
      <x:c r="E595" s="32" t="n">
        <x:v>0.0851</x:v>
      </x:c>
      <x:c r="F595" s="32" t="n">
        <x:v>0</x:v>
      </x:c>
      <x:c r="G595" s="32" t="n">
        <x:v>0.0638</x:v>
      </x:c>
      <x:c r="H595" s="32" t="n">
        <x:v>0</x:v>
      </x:c>
      <x:c r="I595" s="39" t="n">
        <x:v>2</x:v>
      </x:c>
      <x:c r="J595" s="39" t="n">
        <x:v>2</x:v>
      </x:c>
      <x:c r="K595" s="39" t="n">
        <x:v>1</x:v>
      </x:c>
      <x:c r="L595" s="39" t="n">
        <x:v>1</x:v>
      </x:c>
    </x:row>
    <x:row r="596" ht="23" customHeight="1">
      <x:c r="B596" s="17" t="str">
        <x:v>All rounds</x:v>
      </x:c>
      <x:c r="C596" s="17" t="str">
        <x:v>condition</x:v>
      </x:c>
      <x:c r="D596" s="17" t="str">
        <x:v>Math_89</x:v>
      </x:c>
      <x:c r="E596" s="32" t="n">
        <x:v>1</x:v>
      </x:c>
      <x:c r="F596" s="32" t="n">
        <x:v>0.9375</x:v>
      </x:c>
      <x:c r="G596" s="32" t="n">
        <x:v>0.9375</x:v>
      </x:c>
      <x:c r="H596" s="32" t="n">
        <x:v>0</x:v>
      </x:c>
      <x:c r="I596" s="39" t="n">
        <x:v>2</x:v>
      </x:c>
      <x:c r="J596" s="39" t="n">
        <x:v>2</x:v>
      </x:c>
      <x:c r="K596" s="39" t="n">
        <x:v>2</x:v>
      </x:c>
      <x:c r="L596" s="39" t="n">
        <x:v>1</x:v>
      </x:c>
    </x:row>
    <x:row r="597" ht="23" customHeight="1">
      <x:c r="B597" s="17" t="str">
        <x:v>All rounds</x:v>
      </x:c>
      <x:c r="C597" s="17" t="str">
        <x:v>condition</x:v>
      </x:c>
      <x:c r="D597" s="17" t="str">
        <x:v>Math_9</x:v>
      </x:c>
      <x:c r="E597" s="32" t="n">
        <x:v>1</x:v>
      </x:c>
      <x:c r="F597" s="32" t="n">
        <x:v>0</x:v>
      </x:c>
      <x:c r="G597" s="32" t="n">
        <x:v>1</x:v>
      </x:c>
      <x:c r="H597" s="32" t="n">
        <x:v>0</x:v>
      </x:c>
      <x:c r="I597" s="39" t="n">
        <x:v>2</x:v>
      </x:c>
      <x:c r="J597" s="39" t="n">
        <x:v>2</x:v>
      </x:c>
      <x:c r="K597" s="39" t="n">
        <x:v>1</x:v>
      </x:c>
      <x:c r="L597" s="39" t="n">
        <x:v>1</x:v>
      </x:c>
    </x:row>
    <x:row r="598" ht="23" customHeight="1">
      <x:c r="B598" s="17" t="str">
        <x:v>All rounds</x:v>
      </x:c>
      <x:c r="C598" s="17" t="str">
        <x:v>condition</x:v>
      </x:c>
      <x:c r="D598" s="17" t="str">
        <x:v>Math_90</x:v>
      </x:c>
      <x:c r="E598" s="32" t="n">
        <x:v>1</x:v>
      </x:c>
      <x:c r="F598" s="32" t="n">
        <x:v>0.9375</x:v>
      </x:c>
      <x:c r="G598" s="32" t="n">
        <x:v>0.9062</x:v>
      </x:c>
      <x:c r="H598" s="32" t="n">
        <x:v>0</x:v>
      </x:c>
      <x:c r="I598" s="39" t="n">
        <x:v>2</x:v>
      </x:c>
      <x:c r="J598" s="39" t="n">
        <x:v>2</x:v>
      </x:c>
      <x:c r="K598" s="39" t="n">
        <x:v>2</x:v>
      </x:c>
      <x:c r="L598" s="39" t="n">
        <x:v>1</x:v>
      </x:c>
    </x:row>
    <x:row r="599" ht="23" customHeight="1">
      <x:c r="B599" s="17" t="str">
        <x:v>All rounds</x:v>
      </x:c>
      <x:c r="C599" s="17" t="str">
        <x:v>condition</x:v>
      </x:c>
      <x:c r="D599" s="17" t="str">
        <x:v>Math_92</x:v>
      </x:c>
      <x:c r="E599" s="32" t="n">
        <x:v>0.8969</x:v>
      </x:c>
      <x:c r="F599" s="32" t="n">
        <x:v>0.5471</x:v>
      </x:c>
      <x:c r="G599" s="32" t="n">
        <x:v>0.8117</x:v>
      </x:c>
      <x:c r="H599" s="32" t="n">
        <x:v>0</x:v>
      </x:c>
      <x:c r="I599" s="39" t="n">
        <x:v>2</x:v>
      </x:c>
      <x:c r="J599" s="39" t="n">
        <x:v>2</x:v>
      </x:c>
      <x:c r="K599" s="39" t="n">
        <x:v>2</x:v>
      </x:c>
      <x:c r="L599" s="39" t="n">
        <x:v>1</x:v>
      </x:c>
    </x:row>
    <x:row r="600" ht="23" customHeight="1">
      <x:c r="B600" s="17" t="str">
        <x:v>All rounds</x:v>
      </x:c>
      <x:c r="C600" s="17" t="str">
        <x:v>condition</x:v>
      </x:c>
      <x:c r="D600" s="17" t="str">
        <x:v>Math_93</x:v>
      </x:c>
      <x:c r="E600" s="32" t="n">
        <x:v>0.8986</x:v>
      </x:c>
      <x:c r="F600" s="32" t="n">
        <x:v>0.53915</x:v>
      </x:c>
      <x:c r="G600" s="32" t="n">
        <x:v>0.9309000000000001</x:v>
      </x:c>
      <x:c r="H600" s="32" t="n">
        <x:v>0</x:v>
      </x:c>
      <x:c r="I600" s="39" t="n">
        <x:v>2</x:v>
      </x:c>
      <x:c r="J600" s="39" t="n">
        <x:v>2</x:v>
      </x:c>
      <x:c r="K600" s="39" t="n">
        <x:v>2</x:v>
      </x:c>
      <x:c r="L600" s="39" t="n">
        <x:v>1</x:v>
      </x:c>
    </x:row>
    <x:row r="601" ht="23" customHeight="1">
      <x:c r="B601" s="17" t="str">
        <x:v>All rounds</x:v>
      </x:c>
      <x:c r="C601" s="17" t="str">
        <x:v>condition</x:v>
      </x:c>
      <x:c r="D601" s="17" t="str">
        <x:v>Math_94</x:v>
      </x:c>
      <x:c r="E601" s="32" t="n">
        <x:v>0.9256</x:v>
      </x:c>
      <x:c r="F601" s="32" t="n">
        <x:v>0.5372</x:v>
      </x:c>
      <x:c r="G601" s="32" t="n">
        <x:v>0.8140000000000001</x:v>
      </x:c>
      <x:c r="H601" s="32" t="n">
        <x:v>0</x:v>
      </x:c>
      <x:c r="I601" s="39" t="n">
        <x:v>2</x:v>
      </x:c>
      <x:c r="J601" s="39" t="n">
        <x:v>2</x:v>
      </x:c>
      <x:c r="K601" s="39" t="n">
        <x:v>2</x:v>
      </x:c>
      <x:c r="L601" s="39" t="n">
        <x:v>1</x:v>
      </x:c>
    </x:row>
    <x:row r="602" ht="23" customHeight="1">
      <x:c r="B602" s="17" t="str">
        <x:v>All rounds</x:v>
      </x:c>
      <x:c r="C602" s="17" t="str">
        <x:v>condition</x:v>
      </x:c>
      <x:c r="D602" s="17" t="str">
        <x:v>Math_95</x:v>
      </x:c>
      <x:c r="E602" s="32" t="n">
        <x:v>1</x:v>
      </x:c>
      <x:c r="F602" s="32" t="n">
        <x:v>1</x:v>
      </x:c>
      <x:c r="G602" s="32" t="n">
        <x:v>1</x:v>
      </x:c>
      <x:c r="H602" s="32" t="n">
        <x:v>1</x:v>
      </x:c>
      <x:c r="I602" s="39" t="n">
        <x:v>2</x:v>
      </x:c>
      <x:c r="J602" s="39" t="n">
        <x:v>2</x:v>
      </x:c>
      <x:c r="K602" s="39" t="n">
        <x:v>2</x:v>
      </x:c>
      <x:c r="L602" s="39" t="n">
        <x:v>1</x:v>
      </x:c>
    </x:row>
    <x:row r="603" ht="23" customHeight="1">
      <x:c r="B603" s="17" t="str">
        <x:v>All rounds</x:v>
      </x:c>
      <x:c r="C603" s="17" t="str">
        <x:v>condition</x:v>
      </x:c>
      <x:c r="D603" s="17" t="str">
        <x:v>Math_96</x:v>
      </x:c>
      <x:c r="E603" s="32" t="n">
        <x:v>0.9412</x:v>
      </x:c>
      <x:c r="F603" s="32" t="n">
        <x:v>0.9118</x:v>
      </x:c>
      <x:c r="G603" s="32" t="n">
        <x:v>0.8922</x:v>
      </x:c>
      <x:c r="H603" s="32" t="n">
        <x:v>0</x:v>
      </x:c>
      <x:c r="I603" s="39" t="n">
        <x:v>2</x:v>
      </x:c>
      <x:c r="J603" s="39" t="n">
        <x:v>2</x:v>
      </x:c>
      <x:c r="K603" s="39" t="n">
        <x:v>2</x:v>
      </x:c>
      <x:c r="L603" s="39" t="n">
        <x:v>1</x:v>
      </x:c>
    </x:row>
    <x:row r="604" ht="23" customHeight="1">
      <x:c r="B604" s="17" t="str">
        <x:v>All rounds</x:v>
      </x:c>
      <x:c r="C604" s="17" t="str">
        <x:v>condition</x:v>
      </x:c>
      <x:c r="D604" s="17" t="str">
        <x:v>Math_97</x:v>
      </x:c>
      <x:c r="E604" s="32" t="n">
        <x:v>1</x:v>
      </x:c>
      <x:c r="F604" s="32" t="n">
        <x:v>0</x:v>
      </x:c>
      <x:c r="G604" s="32" t="n">
        <x:v>0.8913</x:v>
      </x:c>
      <x:c r="H604" s="32" t="n">
        <x:v>0</x:v>
      </x:c>
      <x:c r="I604" s="39" t="n">
        <x:v>2</x:v>
      </x:c>
      <x:c r="J604" s="39" t="n">
        <x:v>2</x:v>
      </x:c>
      <x:c r="K604" s="39" t="n">
        <x:v>2</x:v>
      </x:c>
      <x:c r="L604" s="39" t="n">
        <x:v>1</x:v>
      </x:c>
    </x:row>
    <x:row r="605" ht="23" customHeight="1">
      <x:c r="B605" s="17" t="str">
        <x:v>All rounds</x:v>
      </x:c>
      <x:c r="C605" s="17" t="str">
        <x:v>condition</x:v>
      </x:c>
      <x:c r="D605" s="17" t="str">
        <x:v>Math_98</x:v>
      </x:c>
      <x:c r="E605" s="32" t="n">
        <x:v>0.8538</x:v>
      </x:c>
      <x:c r="F605" s="32" t="n">
        <x:v>0.7273999999999999</x:v>
      </x:c>
      <x:c r="G605" s="32" t="n">
        <x:v>0.7942</x:v>
      </x:c>
      <x:c r="H605" s="32" t="n">
        <x:v>0</x:v>
      </x:c>
      <x:c r="I605" s="39" t="n">
        <x:v>2</x:v>
      </x:c>
      <x:c r="J605" s="39" t="n">
        <x:v>2</x:v>
      </x:c>
      <x:c r="K605" s="39" t="n">
        <x:v>2</x:v>
      </x:c>
      <x:c r="L605" s="39" t="n">
        <x:v>1</x:v>
      </x:c>
    </x:row>
    <x:row r="606" ht="23" customHeight="1">
      <x:c r="B606" s="17" t="str">
        <x:v>All rounds</x:v>
      </x:c>
      <x:c r="C606" s="17" t="str">
        <x:v>condition</x:v>
      </x:c>
      <x:c r="D606" s="17" t="str">
        <x:v>Math_99</x:v>
      </x:c>
      <x:c r="E606" s="32" t="n">
        <x:v>0.941</x:v>
      </x:c>
      <x:c r="F606" s="32" t="n">
        <x:v>0.7565000000000001</x:v>
      </x:c>
      <x:c r="G606" s="32" t="n">
        <x:v>0.9041</x:v>
      </x:c>
      <x:c r="H606" s="32" t="n">
        <x:v>0</x:v>
      </x:c>
      <x:c r="I606" s="39" t="n">
        <x:v>2</x:v>
      </x:c>
      <x:c r="J606" s="39" t="n">
        <x:v>2</x:v>
      </x:c>
      <x:c r="K606" s="39" t="n">
        <x:v>2</x:v>
      </x:c>
      <x:c r="L606" s="39" t="n">
        <x:v>1</x:v>
      </x:c>
    </x:row>
    <x:row r="607" ht="23" customHeight="1">
      <x:c r="B607" s="17" t="str">
        <x:v>All rounds</x:v>
      </x:c>
      <x:c r="C607" s="17" t="str">
        <x:v>condition</x:v>
      </x:c>
      <x:c r="D607" s="17" t="str">
        <x:v>Mockito_11</x:v>
      </x:c>
      <x:c r="E607" s="32" t="n">
        <x:v>0.16670000000000001</x:v>
      </x:c>
      <x:c r="F607" s="32" t="n">
        <x:v>0</x:v>
      </x:c>
      <x:c r="G607" s="32" t="n">
        <x:v>0.5</x:v>
      </x:c>
      <x:c r="H607" s="32" t="n">
        <x:v>0.5</x:v>
      </x:c>
      <x:c r="I607" s="39" t="n">
        <x:v>2</x:v>
      </x:c>
      <x:c r="J607" s="39" t="n">
        <x:v>2</x:v>
      </x:c>
      <x:c r="K607" s="39" t="n">
        <x:v>2</x:v>
      </x:c>
      <x:c r="L607" s="39" t="n">
        <x:v>1</x:v>
      </x:c>
    </x:row>
    <x:row r="608" ht="23" customHeight="1">
      <x:c r="B608" s="17" t="str">
        <x:v>All rounds</x:v>
      </x:c>
      <x:c r="C608" s="17" t="str">
        <x:v>condition</x:v>
      </x:c>
      <x:c r="D608" s="17" t="str">
        <x:v>Mockito_12</x:v>
      </x:c>
      <x:c r="E608" s="32" t="n">
        <x:v>0</x:v>
      </x:c>
      <x:c r="F608" s="32" t="n">
        <x:v>0</x:v>
      </x:c>
      <x:c r="G608" s="32" t="n">
        <x:v>0.75</x:v>
      </x:c>
      <x:c r="H608" s="32" t="n">
        <x:v>0.75</x:v>
      </x:c>
      <x:c r="I608" s="39" t="n">
        <x:v>2</x:v>
      </x:c>
      <x:c r="J608" s="39" t="n">
        <x:v>2</x:v>
      </x:c>
      <x:c r="K608" s="39" t="n">
        <x:v>2</x:v>
      </x:c>
      <x:c r="L608" s="39" t="n">
        <x:v>1</x:v>
      </x:c>
    </x:row>
    <x:row r="609" ht="23" customHeight="1">
      <x:c r="B609" s="17" t="str">
        <x:v>All rounds</x:v>
      </x:c>
      <x:c r="C609" s="17" t="str">
        <x:v>condition</x:v>
      </x:c>
      <x:c r="D609" s="17" t="str">
        <x:v>Mockito_15</x:v>
      </x:c>
      <x:c r="E609" s="32" t="n">
        <x:v>1</x:v>
      </x:c>
      <x:c r="F609" s="32" t="n">
        <x:v>0.5</x:v>
      </x:c>
      <x:c r="G609" s="32" t="n">
        <x:v>1</x:v>
      </x:c>
      <x:c r="H609" s="32" t="n">
        <x:v>1</x:v>
      </x:c>
      <x:c r="I609" s="39" t="n">
        <x:v>2</x:v>
      </x:c>
      <x:c r="J609" s="39" t="n">
        <x:v>2</x:v>
      </x:c>
      <x:c r="K609" s="39" t="n">
        <x:v>2</x:v>
      </x:c>
      <x:c r="L609" s="39" t="n">
        <x:v>1</x:v>
      </x:c>
    </x:row>
    <x:row r="610" ht="23" customHeight="1">
      <x:c r="B610" s="17" t="str">
        <x:v>All rounds</x:v>
      </x:c>
      <x:c r="C610" s="17" t="str">
        <x:v>condition</x:v>
      </x:c>
      <x:c r="D610" s="17" t="str">
        <x:v>Mockito_21</x:v>
      </x:c>
      <x:c r="E610" s="32" t="n">
        <x:v>1</x:v>
      </x:c>
      <x:c r="F610" s="32" t="n">
        <x:v>0</x:v>
      </x:c>
      <x:c r="G610" s="32" t="n">
        <x:v>1</x:v>
      </x:c>
      <x:c r="H610" s="32" t="n">
        <x:v>1</x:v>
      </x:c>
      <x:c r="I610" s="39" t="n">
        <x:v>2</x:v>
      </x:c>
      <x:c r="J610" s="39" t="n">
        <x:v>2</x:v>
      </x:c>
      <x:c r="K610" s="39" t="n">
        <x:v>2</x:v>
      </x:c>
      <x:c r="L610" s="39" t="n">
        <x:v>1</x:v>
      </x:c>
    </x:row>
    <x:row r="611" ht="23" customHeight="1">
      <x:c r="B611" s="17" t="str">
        <x:v>All rounds</x:v>
      </x:c>
      <x:c r="C611" s="17" t="str">
        <x:v>condition</x:v>
      </x:c>
      <x:c r="D611" s="17" t="str">
        <x:v>Mockito_22</x:v>
      </x:c>
      <x:c r="E611" s="32" t="n">
        <x:v>0.375</x:v>
      </x:c>
      <x:c r="F611" s="32" t="n">
        <x:v>0.35414999999999996</x:v>
      </x:c>
      <x:c r="G611" s="32" t="n">
        <x:v>1</x:v>
      </x:c>
      <x:c r="H611" s="32" t="n">
        <x:v>1</x:v>
      </x:c>
      <x:c r="I611" s="39" t="n">
        <x:v>2</x:v>
      </x:c>
      <x:c r="J611" s="39" t="n">
        <x:v>2</x:v>
      </x:c>
      <x:c r="K611" s="39" t="n">
        <x:v>2</x:v>
      </x:c>
      <x:c r="L611" s="39" t="n">
        <x:v>1</x:v>
      </x:c>
    </x:row>
    <x:row r="612" ht="23" customHeight="1">
      <x:c r="B612" s="17" t="str">
        <x:v>All rounds</x:v>
      </x:c>
      <x:c r="C612" s="17" t="str">
        <x:v>condition</x:v>
      </x:c>
      <x:c r="D612" s="17" t="str">
        <x:v>Mockito_25</x:v>
      </x:c>
      <x:c r="E612" s="32" t="n">
        <x:v>0</x:v>
      </x:c>
      <x:c r="F612" s="32" t="n">
        <x:v>0</x:v>
      </x:c>
      <x:c r="G612" s="32" t="n">
        <x:v>0.8332999999999999</x:v>
      </x:c>
      <x:c r="H612" s="32" t="n">
        <x:v>0.16670000000000001</x:v>
      </x:c>
      <x:c r="I612" s="39" t="n">
        <x:v>2</x:v>
      </x:c>
      <x:c r="J612" s="39" t="n">
        <x:v>2</x:v>
      </x:c>
      <x:c r="K612" s="39" t="n">
        <x:v>1</x:v>
      </x:c>
      <x:c r="L612" s="39" t="n">
        <x:v>1</x:v>
      </x:c>
    </x:row>
    <x:row r="613" ht="23" customHeight="1">
      <x:c r="B613" s="17" t="str">
        <x:v>All rounds</x:v>
      </x:c>
      <x:c r="C613" s="17" t="str">
        <x:v>condition</x:v>
      </x:c>
      <x:c r="D613" s="17" t="str">
        <x:v>Mockito_26</x:v>
      </x:c>
      <x:c r="E613" s="32" t="n">
        <x:v>1</x:v>
      </x:c>
      <x:c r="F613" s="32" t="n">
        <x:v>0</x:v>
      </x:c>
      <x:c r="G613" s="32" t="n">
        <x:v>1</x:v>
      </x:c>
      <x:c r="H613" s="32" t="n">
        <x:v>1</x:v>
      </x:c>
      <x:c r="I613" s="39" t="n">
        <x:v>2</x:v>
      </x:c>
      <x:c r="J613" s="39" t="n">
        <x:v>2</x:v>
      </x:c>
      <x:c r="K613" s="39" t="n">
        <x:v>1</x:v>
      </x:c>
      <x:c r="L613" s="39" t="n">
        <x:v>1</x:v>
      </x:c>
    </x:row>
    <x:row r="614" ht="23" customHeight="1">
      <x:c r="B614" s="17" t="str">
        <x:v>All rounds</x:v>
      </x:c>
      <x:c r="C614" s="17" t="str">
        <x:v>condition</x:v>
      </x:c>
      <x:c r="D614" s="17" t="str">
        <x:v>Mockito_28</x:v>
      </x:c>
      <x:c r="E614" s="32" t="n">
        <x:v>0.2</x:v>
      </x:c>
      <x:c r="F614" s="32" t="n">
        <x:v>0.1</x:v>
      </x:c>
      <x:c r="G614" s="32" t="n">
        <x:v>0.8</x:v>
      </x:c>
      <x:c r="H614" s="32" t="n">
        <x:v>1</x:v>
      </x:c>
      <x:c r="I614" s="39" t="n">
        <x:v>2</x:v>
      </x:c>
      <x:c r="J614" s="39" t="n">
        <x:v>2</x:v>
      </x:c>
      <x:c r="K614" s="39" t="n">
        <x:v>1</x:v>
      </x:c>
      <x:c r="L614" s="39" t="n">
        <x:v>1</x:v>
      </x:c>
    </x:row>
    <x:row r="615" ht="23" customHeight="1">
      <x:c r="B615" s="17" t="str">
        <x:v>All rounds</x:v>
      </x:c>
      <x:c r="C615" s="17" t="str">
        <x:v>condition</x:v>
      </x:c>
      <x:c r="D615" s="17" t="str">
        <x:v>Mockito_30</x:v>
      </x:c>
      <x:c r="E615" s="32" t="n">
        <x:v>0.4286</x:v>
      </x:c>
      <x:c r="F615" s="32" t="n">
        <x:v>0.07139999999999999</x:v>
      </x:c>
      <x:c r="G615" s="32" t="n">
        <x:v>0.7857</x:v>
      </x:c>
      <x:c r="H615" s="32" t="n">
        <x:v>0.4286</x:v>
      </x:c>
      <x:c r="I615" s="39" t="n">
        <x:v>2</x:v>
      </x:c>
      <x:c r="J615" s="39" t="n">
        <x:v>2</x:v>
      </x:c>
      <x:c r="K615" s="39" t="n">
        <x:v>1</x:v>
      </x:c>
      <x:c r="L615" s="39" t="n">
        <x:v>1</x:v>
      </x:c>
    </x:row>
    <x:row r="616" ht="23" customHeight="1">
      <x:c r="B616" s="17" t="str">
        <x:v>All rounds</x:v>
      </x:c>
      <x:c r="C616" s="17" t="str">
        <x:v>condition</x:v>
      </x:c>
      <x:c r="D616" s="17" t="str">
        <x:v>Mockito_31</x:v>
      </x:c>
      <x:c r="E616" s="32" t="n">
        <x:v>0</x:v>
      </x:c>
      <x:c r="F616" s="32" t="n">
        <x:v>0</x:v>
      </x:c>
      <x:c r="G616" s="32" t="n">
        <x:v>1</x:v>
      </x:c>
      <x:c r="H616" s="32" t="n">
        <x:v>1</x:v>
      </x:c>
      <x:c r="I616" s="39" t="n">
        <x:v>2</x:v>
      </x:c>
      <x:c r="J616" s="39" t="n">
        <x:v>2</x:v>
      </x:c>
      <x:c r="K616" s="39" t="n">
        <x:v>1</x:v>
      </x:c>
      <x:c r="L616" s="39" t="n">
        <x:v>1</x:v>
      </x:c>
    </x:row>
    <x:row r="617" ht="23" customHeight="1">
      <x:c r="B617" s="17" t="str">
        <x:v>All rounds</x:v>
      </x:c>
      <x:c r="C617" s="17" t="str">
        <x:v>condition</x:v>
      </x:c>
      <x:c r="D617" s="17" t="str">
        <x:v>Mockito_37</x:v>
      </x:c>
      <x:c r="E617" s="32" t="n">
        <x:v>0.46149999999999997</x:v>
      </x:c>
      <x:c r="F617" s="32" t="n">
        <x:v>0</x:v>
      </x:c>
      <x:c r="G617" s="32" t="n">
        <x:v>0.9615</x:v>
      </x:c>
      <x:c r="H617" s="32" t="n">
        <x:v>1</x:v>
      </x:c>
      <x:c r="I617" s="39" t="n">
        <x:v>2</x:v>
      </x:c>
      <x:c r="J617" s="39" t="n">
        <x:v>2</x:v>
      </x:c>
      <x:c r="K617" s="39" t="n">
        <x:v>2</x:v>
      </x:c>
      <x:c r="L617" s="39" t="n">
        <x:v>1</x:v>
      </x:c>
    </x:row>
    <x:row r="618" ht="23" customHeight="1">
      <x:c r="B618" s="17" t="str">
        <x:v>All rounds</x:v>
      </x:c>
      <x:c r="C618" s="17" t="str">
        <x:v>condition</x:v>
      </x:c>
      <x:c r="D618" s="17" t="str">
        <x:v>Time_10</x:v>
      </x:c>
      <x:c r="E618" s="32" t="n">
        <x:v>0.9565</x:v>
      </x:c>
      <x:c r="F618" s="32" t="n">
        <x:v>0.0652</x:v>
      </x:c>
      <x:c r="G618" s="32" t="n">
        <x:v>0.9129999999999999</x:v>
      </x:c>
      <x:c r="H618" s="32" t="n">
        <x:v>1</x:v>
      </x:c>
      <x:c r="I618" s="39" t="n">
        <x:v>2</x:v>
      </x:c>
      <x:c r="J618" s="39" t="n">
        <x:v>2</x:v>
      </x:c>
      <x:c r="K618" s="39" t="n">
        <x:v>1</x:v>
      </x:c>
      <x:c r="L618" s="39" t="n">
        <x:v>1</x:v>
      </x:c>
    </x:row>
    <x:row r="619" ht="23" customHeight="1">
      <x:c r="B619" s="17" t="str">
        <x:v>All rounds</x:v>
      </x:c>
      <x:c r="C619" s="17" t="str">
        <x:v>condition</x:v>
      </x:c>
      <x:c r="D619" s="17" t="str">
        <x:v>Time_11</x:v>
      </x:c>
      <x:c r="E619" s="32" t="n">
        <x:v>0.41969999999999996</x:v>
      </x:c>
      <x:c r="F619" s="32" t="n">
        <x:v>0.1192</x:v>
      </x:c>
      <x:c r="G619" s="32" t="n">
        <x:v>0.17620000000000002</x:v>
      </x:c>
      <x:c r="H619" s="32" t="n">
        <x:v>0.8238</x:v>
      </x:c>
      <x:c r="I619" s="39" t="n">
        <x:v>2</x:v>
      </x:c>
      <x:c r="J619" s="39" t="n">
        <x:v>2</x:v>
      </x:c>
      <x:c r="K619" s="39" t="n">
        <x:v>1</x:v>
      </x:c>
      <x:c r="L619" s="39" t="n">
        <x:v>1</x:v>
      </x:c>
    </x:row>
    <x:row r="620" ht="23" customHeight="1">
      <x:c r="B620" s="17" t="str">
        <x:v>All rounds</x:v>
      </x:c>
      <x:c r="C620" s="17" t="str">
        <x:v>condition</x:v>
      </x:c>
      <x:c r="D620" s="17" t="str">
        <x:v>Time_15</x:v>
      </x:c>
      <x:c r="E620" s="32" t="n">
        <x:v>0.9429000000000001</x:v>
      </x:c>
      <x:c r="F620" s="32" t="n">
        <x:v>0.7356999999999999</x:v>
      </x:c>
      <x:c r="G620" s="32" t="n">
        <x:v>0.6570999999999999</x:v>
      </x:c>
      <x:c r="H620" s="32" t="n">
        <x:v>0.8856999999999999</x:v>
      </x:c>
      <x:c r="I620" s="39" t="n">
        <x:v>2</x:v>
      </x:c>
      <x:c r="J620" s="39" t="n">
        <x:v>2</x:v>
      </x:c>
      <x:c r="K620" s="39" t="n">
        <x:v>1</x:v>
      </x:c>
      <x:c r="L620" s="39" t="n">
        <x:v>1</x:v>
      </x:c>
    </x:row>
    <x:row r="621" ht="23" customHeight="1">
      <x:c r="B621" s="17" t="str">
        <x:v>All rounds</x:v>
      </x:c>
      <x:c r="C621" s="17" t="str">
        <x:v>condition</x:v>
      </x:c>
      <x:c r="D621" s="17" t="str">
        <x:v>Time_16</x:v>
      </x:c>
      <x:c r="E621" s="32" t="n">
        <x:v>0.875</x:v>
      </x:c>
      <x:c r="F621" s="32" t="n">
        <x:v>0.1534</x:v>
      </x:c>
      <x:c r="G621" s="32" t="n">
        <x:v>0.5682</x:v>
      </x:c>
      <x:c r="H621" s="32" t="n">
        <x:v>0.9091</x:v>
      </x:c>
      <x:c r="I621" s="39" t="n">
        <x:v>2</x:v>
      </x:c>
      <x:c r="J621" s="39" t="n">
        <x:v>2</x:v>
      </x:c>
      <x:c r="K621" s="39" t="n">
        <x:v>1</x:v>
      </x:c>
      <x:c r="L621" s="39" t="n">
        <x:v>1</x:v>
      </x:c>
    </x:row>
    <x:row r="622" ht="23" customHeight="1">
      <x:c r="B622" s="17" t="str">
        <x:v>All rounds</x:v>
      </x:c>
      <x:c r="C622" s="17" t="str">
        <x:v>condition</x:v>
      </x:c>
      <x:c r="D622" s="17" t="str">
        <x:v>Time_20</x:v>
      </x:c>
      <x:c r="E622" s="32" t="n">
        <x:v>0.49920000000000003</x:v>
      </x:c>
      <x:c r="F622" s="32" t="n">
        <x:v>0.19525000000000003</x:v>
      </x:c>
      <x:c r="G622" s="32" t="n">
        <x:v>0.129</x:v>
      </x:c>
      <x:c r="H622" s="32" t="n">
        <x:v>0.6689</x:v>
      </x:c>
      <x:c r="I622" s="39" t="n">
        <x:v>2</x:v>
      </x:c>
      <x:c r="J622" s="39" t="n">
        <x:v>2</x:v>
      </x:c>
      <x:c r="K622" s="39" t="n">
        <x:v>1</x:v>
      </x:c>
      <x:c r="L622" s="39" t="n">
        <x:v>1</x:v>
      </x:c>
    </x:row>
    <x:row r="623" ht="23" customHeight="1">
      <x:c r="B623" s="17" t="str">
        <x:v>Round1</x:v>
      </x:c>
      <x:c r="C623" s="17" t="str">
        <x:v>line</x:v>
      </x:c>
      <x:c r="D623" s="17" t="str">
        <x:v>Chart_10</x:v>
      </x:c>
      <x:c r="E623" s="32" t="n">
        <x:v>1</x:v>
      </x:c>
      <x:c r="F623" s="32" t="n">
        <x:v>1</x:v>
      </x:c>
      <x:c r="G623" s="32" t="n">
        <x:v>1</x:v>
      </x:c>
      <x:c r="H623" s="32" t="n">
        <x:v>1</x:v>
      </x:c>
      <x:c r="I623" s="39" t="n">
        <x:v>1</x:v>
      </x:c>
      <x:c r="J623" s="39" t="n">
        <x:v>1</x:v>
      </x:c>
      <x:c r="K623" s="39" t="n">
        <x:v>1</x:v>
      </x:c>
      <x:c r="L623" s="39" t="n">
        <x:v>1</x:v>
      </x:c>
    </x:row>
    <x:row r="624" ht="23" customHeight="1">
      <x:c r="B624" s="17" t="str">
        <x:v>Round1</x:v>
      </x:c>
      <x:c r="C624" s="17" t="str">
        <x:v>line</x:v>
      </x:c>
      <x:c r="D624" s="17" t="str">
        <x:v>Chart_18</x:v>
      </x:c>
      <x:c r="E624" s="32" t="n">
        <x:v>0.9925</x:v>
      </x:c>
      <x:c r="F624" s="32" t="n">
        <x:v>0.8345999999999999</x:v>
      </x:c>
      <x:c r="G624" s="32" t="n">
        <x:v>0.9586</x:v>
      </x:c>
      <x:c r="H624" s="32" t="n">
        <x:v>0.2293</x:v>
      </x:c>
      <x:c r="I624" s="39" t="n">
        <x:v>1</x:v>
      </x:c>
      <x:c r="J624" s="39" t="n">
        <x:v>1</x:v>
      </x:c>
      <x:c r="K624" s="39" t="n">
        <x:v>1</x:v>
      </x:c>
      <x:c r="L624" s="39" t="n">
        <x:v>1</x:v>
      </x:c>
    </x:row>
    <x:row r="625" ht="23" customHeight="1">
      <x:c r="B625" s="17" t="str">
        <x:v>Round1</x:v>
      </x:c>
      <x:c r="C625" s="17" t="str">
        <x:v>line</x:v>
      </x:c>
      <x:c r="D625" s="17" t="str">
        <x:v>Chart_21</x:v>
      </x:c>
      <x:c r="E625" s="32" t="n">
        <x:v>0.9193000000000001</x:v>
      </x:c>
      <x:c r="F625" s="32" t="n">
        <x:v>0.5652</x:v>
      </x:c>
      <x:c r="G625" s="32" t="n">
        <x:v>0.5589999999999999</x:v>
      </x:c>
      <x:c r="H625" s="32" t="n">
        <x:v>0.23600000000000002</x:v>
      </x:c>
      <x:c r="I625" s="39" t="n">
        <x:v>1</x:v>
      </x:c>
      <x:c r="J625" s="39" t="n">
        <x:v>1</x:v>
      </x:c>
      <x:c r="K625" s="39" t="n">
        <x:v>1</x:v>
      </x:c>
      <x:c r="L625" s="39" t="n">
        <x:v>1</x:v>
      </x:c>
    </x:row>
    <x:row r="626" ht="23" customHeight="1">
      <x:c r="B626" s="17" t="str">
        <x:v>Round1</x:v>
      </x:c>
      <x:c r="C626" s="17" t="str">
        <x:v>line</x:v>
      </x:c>
      <x:c r="D626" s="17" t="str">
        <x:v>Chart_22</x:v>
      </x:c>
      <x:c r="E626" s="32" t="n">
        <x:v>0.9677</x:v>
      </x:c>
      <x:c r="F626" s="32" t="n">
        <x:v>0.9355</x:v>
      </x:c>
      <x:c r="G626" s="32" t="n">
        <x:v>0.9274</x:v>
      </x:c>
      <x:c r="H626" s="32" t="n">
        <x:v>0.22579999999999997</x:v>
      </x:c>
      <x:c r="I626" s="39" t="n">
        <x:v>1</x:v>
      </x:c>
      <x:c r="J626" s="39" t="n">
        <x:v>1</x:v>
      </x:c>
      <x:c r="K626" s="39" t="n">
        <x:v>1</x:v>
      </x:c>
      <x:c r="L626" s="39" t="n">
        <x:v>1</x:v>
      </x:c>
    </x:row>
    <x:row r="627" ht="23" customHeight="1">
      <x:c r="B627" s="17" t="str">
        <x:v>Round1</x:v>
      </x:c>
      <x:c r="C627" s="17" t="str">
        <x:v>line</x:v>
      </x:c>
      <x:c r="D627" s="17" t="str">
        <x:v>Chart_24</x:v>
      </x:c>
      <x:c r="E627" s="32" t="n">
        <x:v>1</x:v>
      </x:c>
      <x:c r="F627" s="32" t="n">
        <x:v>0.96</x:v>
      </x:c>
      <x:c r="G627" s="32" t="n">
        <x:v>1</x:v>
      </x:c>
      <x:c r="H627" s="32" t="n">
        <x:v>1</x:v>
      </x:c>
      <x:c r="I627" s="39" t="n">
        <x:v>1</x:v>
      </x:c>
      <x:c r="J627" s="39" t="n">
        <x:v>1</x:v>
      </x:c>
      <x:c r="K627" s="39" t="n">
        <x:v>1</x:v>
      </x:c>
      <x:c r="L627" s="39" t="n">
        <x:v>1</x:v>
      </x:c>
    </x:row>
    <x:row r="628" ht="23" customHeight="1">
      <x:c r="B628" s="17" t="str">
        <x:v>Round1</x:v>
      </x:c>
      <x:c r="C628" s="17" t="str">
        <x:v>line</x:v>
      </x:c>
      <x:c r="D628" s="17" t="str">
        <x:v>Chart_8</x:v>
      </x:c>
      <x:c r="E628" s="32" t="n">
        <x:v>0.9136</x:v>
      </x:c>
      <x:c r="F628" s="32" t="n">
        <x:v>0.8765000000000001</x:v>
      </x:c>
      <x:c r="G628" s="32" t="n">
        <x:v>0.7345999999999999</x:v>
      </x:c>
      <x:c r="H628" s="32" t="n">
        <x:v>0.2593</x:v>
      </x:c>
      <x:c r="I628" s="39" t="n">
        <x:v>1</x:v>
      </x:c>
      <x:c r="J628" s="39" t="n">
        <x:v>1</x:v>
      </x:c>
      <x:c r="K628" s="39" t="n">
        <x:v>1</x:v>
      </x:c>
      <x:c r="L628" s="39" t="n">
        <x:v>1</x:v>
      </x:c>
    </x:row>
    <x:row r="629" ht="23" customHeight="1">
      <x:c r="B629" s="17" t="str">
        <x:v>Round1</x:v>
      </x:c>
      <x:c r="C629" s="17" t="str">
        <x:v>line</x:v>
      </x:c>
      <x:c r="D629" s="17" t="str">
        <x:v>Cli_18</x:v>
      </x:c>
      <x:c r="E629" s="32" t="n">
        <x:v>0</x:v>
      </x:c>
      <x:c r="F629" s="32" t="n">
        <x:v>0</x:v>
      </x:c>
      <x:c r="G629" s="32" t="n">
        <x:v>0</x:v>
      </x:c>
      <x:c r="H629" s="32" t="n">
        <x:v>0</x:v>
      </x:c>
      <x:c r="I629" s="39" t="n">
        <x:v>1</x:v>
      </x:c>
      <x:c r="J629" s="39" t="n">
        <x:v>1</x:v>
      </x:c>
      <x:c r="K629" s="39" t="n">
        <x:v>1</x:v>
      </x:c>
      <x:c r="L629" s="39" t="n">
        <x:v>1</x:v>
      </x:c>
    </x:row>
    <x:row r="630" ht="23" customHeight="1">
      <x:c r="B630" s="17" t="str">
        <x:v>Round1</x:v>
      </x:c>
      <x:c r="C630" s="17" t="str">
        <x:v>line</x:v>
      </x:c>
      <x:c r="D630" s="17" t="str">
        <x:v>Cli_19</x:v>
      </x:c>
      <x:c r="E630" s="32" t="n">
        <x:v>0</x:v>
      </x:c>
      <x:c r="F630" s="32" t="n">
        <x:v>0</x:v>
      </x:c>
      <x:c r="G630" s="32" t="n">
        <x:v>0</x:v>
      </x:c>
      <x:c r="H630" s="32" t="n">
        <x:v>0</x:v>
      </x:c>
      <x:c r="I630" s="39" t="n">
        <x:v>1</x:v>
      </x:c>
      <x:c r="J630" s="39" t="n">
        <x:v>1</x:v>
      </x:c>
      <x:c r="K630" s="39" t="n">
        <x:v>1</x:v>
      </x:c>
      <x:c r="L630" s="39" t="n">
        <x:v>1</x:v>
      </x:c>
    </x:row>
    <x:row r="631" ht="23" customHeight="1">
      <x:c r="B631" s="17" t="str">
        <x:v>Round1</x:v>
      </x:c>
      <x:c r="C631" s="17" t="str">
        <x:v>line</x:v>
      </x:c>
      <x:c r="D631" s="17" t="str">
        <x:v>Cli_2</x:v>
      </x:c>
      <x:c r="E631" s="32" t="n">
        <x:v>0</x:v>
      </x:c>
      <x:c r="F631" s="32" t="n">
        <x:v>0</x:v>
      </x:c>
      <x:c r="G631" s="32" t="n">
        <x:v>0</x:v>
      </x:c>
      <x:c r="H631" s="32" t="n">
        <x:v>0</x:v>
      </x:c>
      <x:c r="I631" s="39" t="n">
        <x:v>1</x:v>
      </x:c>
      <x:c r="J631" s="39" t="n">
        <x:v>1</x:v>
      </x:c>
      <x:c r="K631" s="39" t="n">
        <x:v>1</x:v>
      </x:c>
      <x:c r="L631" s="39" t="n">
        <x:v>1</x:v>
      </x:c>
    </x:row>
    <x:row r="632" ht="23" customHeight="1">
      <x:c r="B632" s="17" t="str">
        <x:v>Round1</x:v>
      </x:c>
      <x:c r="C632" s="17" t="str">
        <x:v>line</x:v>
      </x:c>
      <x:c r="D632" s="17" t="str">
        <x:v>Cli_22</x:v>
      </x:c>
      <x:c r="E632" s="32" t="n">
        <x:v>0</x:v>
      </x:c>
      <x:c r="F632" s="32" t="n">
        <x:v>0</x:v>
      </x:c>
      <x:c r="G632" s="32" t="n">
        <x:v>0</x:v>
      </x:c>
      <x:c r="H632" s="32" t="n">
        <x:v>0</x:v>
      </x:c>
      <x:c r="I632" s="39" t="n">
        <x:v>1</x:v>
      </x:c>
      <x:c r="J632" s="39" t="n">
        <x:v>1</x:v>
      </x:c>
      <x:c r="K632" s="39" t="n">
        <x:v>1</x:v>
      </x:c>
      <x:c r="L632" s="39" t="n">
        <x:v>1</x:v>
      </x:c>
    </x:row>
    <x:row r="633" ht="23" customHeight="1">
      <x:c r="B633" s="17" t="str">
        <x:v>Round1</x:v>
      </x:c>
      <x:c r="C633" s="17" t="str">
        <x:v>line</x:v>
      </x:c>
      <x:c r="D633" s="17" t="str">
        <x:v>Cli_24</x:v>
      </x:c>
      <x:c r="E633" s="32" t="n">
        <x:v>0</x:v>
      </x:c>
      <x:c r="F633" s="32" t="n">
        <x:v>0</x:v>
      </x:c>
      <x:c r="G633" s="32" t="n">
        <x:v>0</x:v>
      </x:c>
      <x:c r="H633" s="32" t="n">
        <x:v>0</x:v>
      </x:c>
      <x:c r="I633" s="39" t="n">
        <x:v>1</x:v>
      </x:c>
      <x:c r="J633" s="39" t="n">
        <x:v>1</x:v>
      </x:c>
      <x:c r="K633" s="39" t="n">
        <x:v>1</x:v>
      </x:c>
      <x:c r="L633" s="39" t="n">
        <x:v>1</x:v>
      </x:c>
    </x:row>
    <x:row r="634" ht="23" customHeight="1">
      <x:c r="B634" s="17" t="str">
        <x:v>Round1</x:v>
      </x:c>
      <x:c r="C634" s="17" t="str">
        <x:v>line</x:v>
      </x:c>
      <x:c r="D634" s="17" t="str">
        <x:v>Cli_27</x:v>
      </x:c>
      <x:c r="E634" s="32" t="n">
        <x:v>0</x:v>
      </x:c>
      <x:c r="F634" s="32" t="n">
        <x:v>0</x:v>
      </x:c>
      <x:c r="G634" s="32" t="n">
        <x:v>0</x:v>
      </x:c>
      <x:c r="H634" s="32" t="n">
        <x:v>0</x:v>
      </x:c>
      <x:c r="I634" s="39" t="n">
        <x:v>1</x:v>
      </x:c>
      <x:c r="J634" s="39" t="n">
        <x:v>1</x:v>
      </x:c>
      <x:c r="K634" s="39" t="n">
        <x:v>1</x:v>
      </x:c>
      <x:c r="L634" s="39" t="n">
        <x:v>1</x:v>
      </x:c>
    </x:row>
    <x:row r="635" ht="23" customHeight="1">
      <x:c r="B635" s="17" t="str">
        <x:v>Round1</x:v>
      </x:c>
      <x:c r="C635" s="17" t="str">
        <x:v>line</x:v>
      </x:c>
      <x:c r="D635" s="17" t="str">
        <x:v>Cli_29</x:v>
      </x:c>
      <x:c r="E635" s="32" t="n">
        <x:v>0</x:v>
      </x:c>
      <x:c r="F635" s="32" t="n">
        <x:v>0</x:v>
      </x:c>
      <x:c r="G635" s="32" t="n">
        <x:v>0</x:v>
      </x:c>
      <x:c r="H635" s="32" t="n">
        <x:v>0</x:v>
      </x:c>
      <x:c r="I635" s="39" t="n">
        <x:v>1</x:v>
      </x:c>
      <x:c r="J635" s="39" t="n">
        <x:v>1</x:v>
      </x:c>
      <x:c r="K635" s="39" t="n">
        <x:v>1</x:v>
      </x:c>
      <x:c r="L635" s="39" t="n">
        <x:v>1</x:v>
      </x:c>
    </x:row>
    <x:row r="636" ht="23" customHeight="1">
      <x:c r="B636" s="17" t="str">
        <x:v>Round1</x:v>
      </x:c>
      <x:c r="C636" s="17" t="str">
        <x:v>line</x:v>
      </x:c>
      <x:c r="D636" s="17" t="str">
        <x:v>Cli_3</x:v>
      </x:c>
      <x:c r="E636" s="32" t="n">
        <x:v>0</x:v>
      </x:c>
      <x:c r="F636" s="32" t="n">
        <x:v>0</x:v>
      </x:c>
      <x:c r="G636" s="32" t="n">
        <x:v>0</x:v>
      </x:c>
      <x:c r="H636" s="32" t="n">
        <x:v>0</x:v>
      </x:c>
      <x:c r="I636" s="39" t="n">
        <x:v>1</x:v>
      </x:c>
      <x:c r="J636" s="39" t="n">
        <x:v>1</x:v>
      </x:c>
      <x:c r="K636" s="39" t="n">
        <x:v>1</x:v>
      </x:c>
      <x:c r="L636" s="39" t="n">
        <x:v>1</x:v>
      </x:c>
    </x:row>
    <x:row r="637" ht="23" customHeight="1">
      <x:c r="B637" s="17" t="str">
        <x:v>Round1</x:v>
      </x:c>
      <x:c r="C637" s="17" t="str">
        <x:v>line</x:v>
      </x:c>
      <x:c r="D637" s="17" t="str">
        <x:v>Cli_33</x:v>
      </x:c>
      <x:c r="E637" s="32" t="n">
        <x:v>0</x:v>
      </x:c>
      <x:c r="F637" s="32" t="n">
        <x:v>0</x:v>
      </x:c>
      <x:c r="G637" s="32" t="n">
        <x:v>0</x:v>
      </x:c>
      <x:c r="H637" s="32" t="n">
        <x:v>0</x:v>
      </x:c>
      <x:c r="I637" s="39" t="n">
        <x:v>1</x:v>
      </x:c>
      <x:c r="J637" s="39" t="n">
        <x:v>1</x:v>
      </x:c>
      <x:c r="K637" s="39" t="n">
        <x:v>1</x:v>
      </x:c>
      <x:c r="L637" s="39" t="n">
        <x:v>1</x:v>
      </x:c>
    </x:row>
    <x:row r="638" ht="23" customHeight="1">
      <x:c r="B638" s="17" t="str">
        <x:v>Round1</x:v>
      </x:c>
      <x:c r="C638" s="17" t="str">
        <x:v>line</x:v>
      </x:c>
      <x:c r="D638" s="17" t="str">
        <x:v>Cli_35</x:v>
      </x:c>
      <x:c r="E638" s="32" t="n">
        <x:v>1</x:v>
      </x:c>
      <x:c r="F638" s="32" t="n">
        <x:v>0.8245999999999999</x:v>
      </x:c>
      <x:c r="G638" s="32" t="n">
        <x:v>0.9473999999999999</x:v>
      </x:c>
      <x:c r="H638" s="32" t="n">
        <x:v>1</x:v>
      </x:c>
      <x:c r="I638" s="39" t="n">
        <x:v>1</x:v>
      </x:c>
      <x:c r="J638" s="39" t="n">
        <x:v>1</x:v>
      </x:c>
      <x:c r="K638" s="39" t="n">
        <x:v>1</x:v>
      </x:c>
      <x:c r="L638" s="39" t="n">
        <x:v>1</x:v>
      </x:c>
    </x:row>
    <x:row r="639" ht="23" customHeight="1">
      <x:c r="B639" s="17" t="str">
        <x:v>Round1</x:v>
      </x:c>
      <x:c r="C639" s="17" t="str">
        <x:v>line</x:v>
      </x:c>
      <x:c r="D639" s="17" t="str">
        <x:v>Cli_39</x:v>
      </x:c>
      <x:c r="E639" s="32" t="n">
        <x:v>1</x:v>
      </x:c>
      <x:c r="F639" s="32" t="n">
        <x:v>0.6905</x:v>
      </x:c>
      <x:c r="G639" s="32" t="n">
        <x:v>0.8571</x:v>
      </x:c>
      <x:c r="H639" s="32" t="n">
        <x:v>1</x:v>
      </x:c>
      <x:c r="I639" s="39" t="n">
        <x:v>1</x:v>
      </x:c>
      <x:c r="J639" s="39" t="n">
        <x:v>1</x:v>
      </x:c>
      <x:c r="K639" s="39" t="n">
        <x:v>1</x:v>
      </x:c>
      <x:c r="L639" s="39" t="n">
        <x:v>1</x:v>
      </x:c>
    </x:row>
    <x:row r="640" ht="23" customHeight="1">
      <x:c r="B640" s="17" t="str">
        <x:v>Round1</x:v>
      </x:c>
      <x:c r="C640" s="17" t="str">
        <x:v>line</x:v>
      </x:c>
      <x:c r="D640" s="17" t="str">
        <x:v>Cli_4</x:v>
      </x:c>
      <x:c r="E640" s="32" t="n">
        <x:v>0</x:v>
      </x:c>
      <x:c r="F640" s="32" t="n">
        <x:v>0</x:v>
      </x:c>
      <x:c r="G640" s="32" t="n">
        <x:v>0</x:v>
      </x:c>
      <x:c r="H640" s="32" t="n">
        <x:v>0</x:v>
      </x:c>
      <x:c r="I640" s="39" t="n">
        <x:v>1</x:v>
      </x:c>
      <x:c r="J640" s="39" t="n">
        <x:v>1</x:v>
      </x:c>
      <x:c r="K640" s="39" t="n">
        <x:v>1</x:v>
      </x:c>
      <x:c r="L640" s="39" t="n">
        <x:v>1</x:v>
      </x:c>
    </x:row>
    <x:row r="641" ht="23" customHeight="1">
      <x:c r="B641" s="17" t="str">
        <x:v>Round1</x:v>
      </x:c>
      <x:c r="C641" s="17" t="str">
        <x:v>line</x:v>
      </x:c>
      <x:c r="D641" s="17" t="str">
        <x:v>Cli_5</x:v>
      </x:c>
      <x:c r="E641" s="32" t="n">
        <x:v>0</x:v>
      </x:c>
      <x:c r="F641" s="32" t="n">
        <x:v>0</x:v>
      </x:c>
      <x:c r="G641" s="32" t="n">
        <x:v>0</x:v>
      </x:c>
      <x:c r="H641" s="32" t="n">
        <x:v>0</x:v>
      </x:c>
      <x:c r="I641" s="39" t="n">
        <x:v>1</x:v>
      </x:c>
      <x:c r="J641" s="39" t="n">
        <x:v>1</x:v>
      </x:c>
      <x:c r="K641" s="39" t="n">
        <x:v>1</x:v>
      </x:c>
      <x:c r="L641" s="39" t="n">
        <x:v>1</x:v>
      </x:c>
    </x:row>
    <x:row r="642" ht="23" customHeight="1">
      <x:c r="B642" s="17" t="str">
        <x:v>Round1</x:v>
      </x:c>
      <x:c r="C642" s="17" t="str">
        <x:v>line</x:v>
      </x:c>
      <x:c r="D642" s="17" t="str">
        <x:v>Cli_8</x:v>
      </x:c>
      <x:c r="E642" s="32" t="n">
        <x:v>0</x:v>
      </x:c>
      <x:c r="F642" s="32" t="n">
        <x:v>0</x:v>
      </x:c>
      <x:c r="G642" s="32" t="n">
        <x:v>0</x:v>
      </x:c>
      <x:c r="H642" s="32" t="n">
        <x:v>0</x:v>
      </x:c>
      <x:c r="I642" s="39" t="n">
        <x:v>1</x:v>
      </x:c>
      <x:c r="J642" s="39" t="n">
        <x:v>1</x:v>
      </x:c>
      <x:c r="K642" s="39" t="n">
        <x:v>1</x:v>
      </x:c>
      <x:c r="L642" s="39" t="n">
        <x:v>1</x:v>
      </x:c>
    </x:row>
    <x:row r="643" ht="23" customHeight="1">
      <x:c r="B643" s="17" t="str">
        <x:v>Round1</x:v>
      </x:c>
      <x:c r="C643" s="17" t="str">
        <x:v>line</x:v>
      </x:c>
      <x:c r="D643" s="17" t="str">
        <x:v>Closure_131</x:v>
      </x:c>
      <x:c r="E643" s="32" t="n">
        <x:v>0.8673000000000001</x:v>
      </x:c>
      <x:c r="F643" s="32" t="n">
        <x:v>0.15039999999999998</x:v>
      </x:c>
      <x:c r="G643" s="32" t="n">
        <x:v>0.9912000000000001</x:v>
      </x:c>
      <x:c r="H643" s="32" t="n">
        <x:v>0.9912000000000001</x:v>
      </x:c>
      <x:c r="I643" s="39" t="n">
        <x:v>1</x:v>
      </x:c>
      <x:c r="J643" s="39" t="n">
        <x:v>1</x:v>
      </x:c>
      <x:c r="K643" s="39" t="n">
        <x:v>1</x:v>
      </x:c>
      <x:c r="L643" s="39" t="n">
        <x:v>1</x:v>
      </x:c>
    </x:row>
    <x:row r="644" ht="23" customHeight="1">
      <x:c r="B644" s="17" t="str">
        <x:v>Round1</x:v>
      </x:c>
      <x:c r="C644" s="17" t="str">
        <x:v>line</x:v>
      </x:c>
      <x:c r="D644" s="17" t="str">
        <x:v>Closure_172</x:v>
      </x:c>
      <x:c r="E644" s="32" t="n">
        <x:v>0.16399999999999998</x:v>
      </x:c>
      <x:c r="F644" s="32" t="n">
        <x:v>0.0263</x:v>
      </x:c>
      <x:c r="G644" s="32" t="n">
        <x:v>0</x:v>
      </x:c>
      <x:c r="H644" s="32" t="n">
        <x:v>0</x:v>
      </x:c>
      <x:c r="I644" s="39" t="n">
        <x:v>1</x:v>
      </x:c>
      <x:c r="J644" s="39" t="n">
        <x:v>1</x:v>
      </x:c>
      <x:c r="K644" s="39" t="n">
        <x:v>1</x:v>
      </x:c>
      <x:c r="L644" s="39" t="n">
        <x:v>1</x:v>
      </x:c>
    </x:row>
    <x:row r="645" ht="23" customHeight="1">
      <x:c r="B645" s="17" t="str">
        <x:v>Round1</x:v>
      </x:c>
      <x:c r="C645" s="17" t="str">
        <x:v>line</x:v>
      </x:c>
      <x:c r="D645" s="17" t="str">
        <x:v>Closure_20</x:v>
      </x:c>
      <x:c r="E645" s="32" t="n">
        <x:v>0.0716</x:v>
      </x:c>
      <x:c r="F645" s="32" t="n">
        <x:v>0.0318</x:v>
      </x:c>
      <x:c r="G645" s="32" t="n">
        <x:v>0.0981</x:v>
      </x:c>
      <x:c r="H645" s="32" t="n">
        <x:v>0.0981</x:v>
      </x:c>
      <x:c r="I645" s="39" t="n">
        <x:v>1</x:v>
      </x:c>
      <x:c r="J645" s="39" t="n">
        <x:v>1</x:v>
      </x:c>
      <x:c r="K645" s="39" t="n">
        <x:v>1</x:v>
      </x:c>
      <x:c r="L645" s="39" t="n">
        <x:v>1</x:v>
      </x:c>
    </x:row>
    <x:row r="646" ht="23" customHeight="1">
      <x:c r="B646" s="17" t="str">
        <x:v>Round1</x:v>
      </x:c>
      <x:c r="C646" s="17" t="str">
        <x:v>line</x:v>
      </x:c>
      <x:c r="D646" s="17" t="str">
        <x:v>Closure_38</x:v>
      </x:c>
      <x:c r="E646" s="32" t="n">
        <x:v>0.0268</x:v>
      </x:c>
      <x:c r="F646" s="32" t="n">
        <x:v>0.0268</x:v>
      </x:c>
      <x:c r="G646" s="32" t="n">
        <x:v>0.6875</x:v>
      </x:c>
      <x:c r="H646" s="32" t="n">
        <x:v>0.6875</x:v>
      </x:c>
      <x:c r="I646" s="39" t="n">
        <x:v>1</x:v>
      </x:c>
      <x:c r="J646" s="39" t="n">
        <x:v>1</x:v>
      </x:c>
      <x:c r="K646" s="39" t="n">
        <x:v>1</x:v>
      </x:c>
      <x:c r="L646" s="39" t="n">
        <x:v>1</x:v>
      </x:c>
    </x:row>
    <x:row r="647" ht="23" customHeight="1">
      <x:c r="B647" s="17" t="str">
        <x:v>Round1</x:v>
      </x:c>
      <x:c r="C647" s="17" t="str">
        <x:v>line</x:v>
      </x:c>
      <x:c r="D647" s="17" t="str">
        <x:v>Closure_44</x:v>
      </x:c>
      <x:c r="E647" s="32" t="n">
        <x:v>0.0275</x:v>
      </x:c>
      <x:c r="F647" s="32" t="n">
        <x:v>0.0275</x:v>
      </x:c>
      <x:c r="G647" s="32" t="n">
        <x:v>0.8349</x:v>
      </x:c>
      <x:c r="H647" s="32" t="n">
        <x:v>0.8349</x:v>
      </x:c>
      <x:c r="I647" s="39" t="n">
        <x:v>1</x:v>
      </x:c>
      <x:c r="J647" s="39" t="n">
        <x:v>1</x:v>
      </x:c>
      <x:c r="K647" s="39" t="n">
        <x:v>1</x:v>
      </x:c>
      <x:c r="L647" s="39" t="n">
        <x:v>1</x:v>
      </x:c>
    </x:row>
    <x:row r="648" ht="23" customHeight="1">
      <x:c r="B648" s="17" t="str">
        <x:v>Round1</x:v>
      </x:c>
      <x:c r="C648" s="17" t="str">
        <x:v>line</x:v>
      </x:c>
      <x:c r="D648" s="17" t="str">
        <x:v>Codec_10</x:v>
      </x:c>
      <x:c r="E648" s="32" t="n">
        <x:v>1</x:v>
      </x:c>
      <x:c r="F648" s="32" t="n">
        <x:v>1</x:v>
      </x:c>
      <x:c r="G648" s="32" t="n">
        <x:v>0.9854999999999999</x:v>
      </x:c>
      <x:c r="H648" s="32" t="n">
        <x:v>1</x:v>
      </x:c>
      <x:c r="I648" s="39" t="n">
        <x:v>1</x:v>
      </x:c>
      <x:c r="J648" s="39" t="n">
        <x:v>1</x:v>
      </x:c>
      <x:c r="K648" s="39" t="n">
        <x:v>1</x:v>
      </x:c>
      <x:c r="L648" s="39" t="n">
        <x:v>1</x:v>
      </x:c>
    </x:row>
    <x:row r="649" ht="23" customHeight="1">
      <x:c r="B649" s="17" t="str">
        <x:v>Round1</x:v>
      </x:c>
      <x:c r="C649" s="17" t="str">
        <x:v>line</x:v>
      </x:c>
      <x:c r="D649" s="17" t="str">
        <x:v>Collections_10</x:v>
      </x:c>
      <x:c r="E649" s="32" t="n">
        <x:v>0.8739</x:v>
      </x:c>
      <x:c r="F649" s="32" t="n">
        <x:v>0.3529</x:v>
      </x:c>
      <x:c r="G649" s="32" t="n">
        <x:v>0.8571</x:v>
      </x:c>
      <x:c r="H649" s="32" t="n">
        <x:v>0.5294</x:v>
      </x:c>
      <x:c r="I649" s="39" t="n">
        <x:v>1</x:v>
      </x:c>
      <x:c r="J649" s="39" t="n">
        <x:v>1</x:v>
      </x:c>
      <x:c r="K649" s="39" t="n">
        <x:v>1</x:v>
      </x:c>
      <x:c r="L649" s="39" t="n">
        <x:v>1</x:v>
      </x:c>
    </x:row>
    <x:row r="650" ht="23" customHeight="1">
      <x:c r="B650" s="17" t="str">
        <x:v>Round1</x:v>
      </x:c>
      <x:c r="C650" s="17" t="str">
        <x:v>line</x:v>
      </x:c>
      <x:c r="D650" s="17" t="str">
        <x:v>Collections_11</x:v>
      </x:c>
      <x:c r="E650" s="32" t="n">
        <x:v>1</x:v>
      </x:c>
      <x:c r="F650" s="32" t="n">
        <x:v>0.9714</x:v>
      </x:c>
      <x:c r="G650" s="32" t="n">
        <x:v>1</x:v>
      </x:c>
      <x:c r="H650" s="32" t="n">
        <x:v>0.9143000000000001</x:v>
      </x:c>
      <x:c r="I650" s="39" t="n">
        <x:v>1</x:v>
      </x:c>
      <x:c r="J650" s="39" t="n">
        <x:v>1</x:v>
      </x:c>
      <x:c r="K650" s="39" t="n">
        <x:v>1</x:v>
      </x:c>
      <x:c r="L650" s="39" t="n">
        <x:v>1</x:v>
      </x:c>
    </x:row>
    <x:row r="651" ht="23" customHeight="1">
      <x:c r="B651" s="17" t="str">
        <x:v>Round1</x:v>
      </x:c>
      <x:c r="C651" s="17" t="str">
        <x:v>line</x:v>
      </x:c>
      <x:c r="D651" s="17" t="str">
        <x:v>Collections_20</x:v>
      </x:c>
      <x:c r="E651" s="32" t="n">
        <x:v>0.9727</x:v>
      </x:c>
      <x:c r="F651" s="32" t="n">
        <x:v>0.4642</x:v>
      </x:c>
      <x:c r="G651" s="32" t="n">
        <x:v>0.8123</x:v>
      </x:c>
      <x:c r="H651" s="32" t="n">
        <x:v>0.9181</x:v>
      </x:c>
      <x:c r="I651" s="39" t="n">
        <x:v>1</x:v>
      </x:c>
      <x:c r="J651" s="39" t="n">
        <x:v>1</x:v>
      </x:c>
      <x:c r="K651" s="39" t="n">
        <x:v>1</x:v>
      </x:c>
      <x:c r="L651" s="39" t="n">
        <x:v>1</x:v>
      </x:c>
    </x:row>
    <x:row r="652" ht="23" customHeight="1">
      <x:c r="B652" s="17" t="str">
        <x:v>Round1</x:v>
      </x:c>
      <x:c r="C652" s="17" t="str">
        <x:v>line</x:v>
      </x:c>
      <x:c r="D652" s="17" t="str">
        <x:v>Collections_21</x:v>
      </x:c>
      <x:c r="E652" s="32" t="n">
        <x:v>0.9632999999999999</x:v>
      </x:c>
      <x:c r="F652" s="32" t="n">
        <x:v>0.5688</x:v>
      </x:c>
      <x:c r="G652" s="32" t="n">
        <x:v>0.9358</x:v>
      </x:c>
      <x:c r="H652" s="32" t="n">
        <x:v>1</x:v>
      </x:c>
      <x:c r="I652" s="39" t="n">
        <x:v>1</x:v>
      </x:c>
      <x:c r="J652" s="39" t="n">
        <x:v>1</x:v>
      </x:c>
      <x:c r="K652" s="39" t="n">
        <x:v>1</x:v>
      </x:c>
      <x:c r="L652" s="39" t="n">
        <x:v>1</x:v>
      </x:c>
    </x:row>
    <x:row r="653" ht="23" customHeight="1">
      <x:c r="B653" s="17" t="str">
        <x:v>Round1</x:v>
      </x:c>
      <x:c r="C653" s="17" t="str">
        <x:v>line</x:v>
      </x:c>
      <x:c r="D653" s="17" t="str">
        <x:v>Collections_24</x:v>
      </x:c>
      <x:c r="E653" s="32" t="n">
        <x:v>0.7308</x:v>
      </x:c>
      <x:c r="F653" s="32" t="n">
        <x:v>0</x:v>
      </x:c>
      <x:c r="G653" s="32" t="n">
        <x:v>0.9615</x:v>
      </x:c>
      <x:c r="H653" s="32" t="n">
        <x:v>1</x:v>
      </x:c>
      <x:c r="I653" s="39" t="n">
        <x:v>1</x:v>
      </x:c>
      <x:c r="J653" s="39" t="n">
        <x:v>1</x:v>
      </x:c>
      <x:c r="K653" s="39" t="n">
        <x:v>1</x:v>
      </x:c>
      <x:c r="L653" s="39" t="n">
        <x:v>1</x:v>
      </x:c>
    </x:row>
    <x:row r="654" ht="23" customHeight="1">
      <x:c r="B654" s="17" t="str">
        <x:v>Round1</x:v>
      </x:c>
      <x:c r="C654" s="17" t="str">
        <x:v>line</x:v>
      </x:c>
      <x:c r="D654" s="17" t="str">
        <x:v>Collections_26</x:v>
      </x:c>
      <x:c r="E654" s="32" t="n">
        <x:v>0.9189</x:v>
      </x:c>
      <x:c r="F654" s="32" t="n">
        <x:v>0.9189</x:v>
      </x:c>
      <x:c r="G654" s="32" t="n">
        <x:v>0.9459000000000001</x:v>
      </x:c>
      <x:c r="H654" s="32" t="n">
        <x:v>0.8649</x:v>
      </x:c>
      <x:c r="I654" s="39" t="n">
        <x:v>1</x:v>
      </x:c>
      <x:c r="J654" s="39" t="n">
        <x:v>1</x:v>
      </x:c>
      <x:c r="K654" s="39" t="n">
        <x:v>1</x:v>
      </x:c>
      <x:c r="L654" s="39" t="n">
        <x:v>1</x:v>
      </x:c>
    </x:row>
    <x:row r="655" ht="23" customHeight="1">
      <x:c r="B655" s="17" t="str">
        <x:v>Round1</x:v>
      </x:c>
      <x:c r="C655" s="17" t="str">
        <x:v>line</x:v>
      </x:c>
      <x:c r="D655" s="17" t="str">
        <x:v>Collections_27</x:v>
      </x:c>
      <x:c r="E655" s="32" t="n">
        <x:v>0.7795000000000001</x:v>
      </x:c>
      <x:c r="F655" s="32" t="n">
        <x:v>0.4252</x:v>
      </x:c>
      <x:c r="G655" s="32" t="n">
        <x:v>0.8583</x:v>
      </x:c>
      <x:c r="H655" s="32" t="n">
        <x:v>0.5354</x:v>
      </x:c>
      <x:c r="I655" s="39" t="n">
        <x:v>1</x:v>
      </x:c>
      <x:c r="J655" s="39" t="n">
        <x:v>1</x:v>
      </x:c>
      <x:c r="K655" s="39" t="n">
        <x:v>1</x:v>
      </x:c>
      <x:c r="L655" s="39" t="n">
        <x:v>1</x:v>
      </x:c>
    </x:row>
    <x:row r="656" ht="23" customHeight="1">
      <x:c r="B656" s="17" t="str">
        <x:v>Round1</x:v>
      </x:c>
      <x:c r="C656" s="17" t="str">
        <x:v>line</x:v>
      </x:c>
      <x:c r="D656" s="17" t="str">
        <x:v>Collections_5</x:v>
      </x:c>
      <x:c r="E656" s="32" t="n">
        <x:v>1</x:v>
      </x:c>
      <x:c r="F656" s="32" t="n">
        <x:v>0.061</x:v>
      </x:c>
      <x:c r="G656" s="32" t="n">
        <x:v>0.9878</x:v>
      </x:c>
      <x:c r="H656" s="32" t="n">
        <x:v>0.37799999999999995</x:v>
      </x:c>
      <x:c r="I656" s="39" t="n">
        <x:v>1</x:v>
      </x:c>
      <x:c r="J656" s="39" t="n">
        <x:v>1</x:v>
      </x:c>
      <x:c r="K656" s="39" t="n">
        <x:v>1</x:v>
      </x:c>
      <x:c r="L656" s="39" t="n">
        <x:v>1</x:v>
      </x:c>
    </x:row>
    <x:row r="657" ht="23" customHeight="1">
      <x:c r="B657" s="17" t="str">
        <x:v>Round1</x:v>
      </x:c>
      <x:c r="C657" s="17" t="str">
        <x:v>line</x:v>
      </x:c>
      <x:c r="D657" s="17" t="str">
        <x:v>Collections_6</x:v>
      </x:c>
      <x:c r="E657" s="32" t="n">
        <x:v>0.6606000000000001</x:v>
      </x:c>
      <x:c r="F657" s="32" t="n">
        <x:v>0.1253</x:v>
      </x:c>
      <x:c r="G657" s="32" t="n">
        <x:v>0.5919</x:v>
      </x:c>
      <x:c r="H657" s="32" t="n">
        <x:v>0.2949</x:v>
      </x:c>
      <x:c r="I657" s="39" t="n">
        <x:v>1</x:v>
      </x:c>
      <x:c r="J657" s="39" t="n">
        <x:v>1</x:v>
      </x:c>
      <x:c r="K657" s="39" t="n">
        <x:v>1</x:v>
      </x:c>
      <x:c r="L657" s="39" t="n">
        <x:v>1</x:v>
      </x:c>
    </x:row>
    <x:row r="658" ht="23" customHeight="1">
      <x:c r="B658" s="17" t="str">
        <x:v>Round1</x:v>
      </x:c>
      <x:c r="C658" s="17" t="str">
        <x:v>line</x:v>
      </x:c>
      <x:c r="D658" s="17" t="str">
        <x:v>Compress_14</x:v>
      </x:c>
      <x:c r="E658" s="32" t="n">
        <x:v>0.9505</x:v>
      </x:c>
      <x:c r="F658" s="32" t="n">
        <x:v>0.5347</x:v>
      </x:c>
      <x:c r="G658" s="32" t="n">
        <x:v>0.7228</x:v>
      </x:c>
      <x:c r="H658" s="32" t="n">
        <x:v>0.9901000000000001</x:v>
      </x:c>
      <x:c r="I658" s="39" t="n">
        <x:v>1</x:v>
      </x:c>
      <x:c r="J658" s="39" t="n">
        <x:v>1</x:v>
      </x:c>
      <x:c r="K658" s="39" t="n">
        <x:v>1</x:v>
      </x:c>
      <x:c r="L658" s="39" t="n">
        <x:v>1</x:v>
      </x:c>
    </x:row>
    <x:row r="659" ht="23" customHeight="1">
      <x:c r="B659" s="17" t="str">
        <x:v>Round1</x:v>
      </x:c>
      <x:c r="C659" s="17" t="str">
        <x:v>line</x:v>
      </x:c>
      <x:c r="D659" s="17" t="str">
        <x:v>Compress_20</x:v>
      </x:c>
      <x:c r="E659" s="32" t="n">
        <x:v>0.35979999999999995</x:v>
      </x:c>
      <x:c r="F659" s="32" t="n">
        <x:v>0.26170000000000004</x:v>
      </x:c>
      <x:c r="G659" s="32" t="n">
        <x:v>0.39909999999999995</x:v>
      </x:c>
      <x:c r="H659" s="32" t="n">
        <x:v>0.972</x:v>
      </x:c>
      <x:c r="I659" s="39" t="n">
        <x:v>1</x:v>
      </x:c>
      <x:c r="J659" s="39" t="n">
        <x:v>1</x:v>
      </x:c>
      <x:c r="K659" s="39" t="n">
        <x:v>1</x:v>
      </x:c>
      <x:c r="L659" s="39" t="n">
        <x:v>1</x:v>
      </x:c>
    </x:row>
    <x:row r="660" ht="23" customHeight="1">
      <x:c r="B660" s="17" t="str">
        <x:v>Round1</x:v>
      </x:c>
      <x:c r="C660" s="17" t="str">
        <x:v>line</x:v>
      </x:c>
      <x:c r="D660" s="17" t="str">
        <x:v>Compress_21</x:v>
      </x:c>
      <x:c r="E660" s="32" t="n">
        <x:v>0.7923</x:v>
      </x:c>
      <x:c r="F660" s="32" t="n">
        <x:v>0.0231</x:v>
      </x:c>
      <x:c r="G660" s="32" t="n">
        <x:v>0.7128</x:v>
      </x:c>
      <x:c r="H660" s="32" t="n">
        <x:v>0.9333</x:v>
      </x:c>
      <x:c r="I660" s="39" t="n">
        <x:v>1</x:v>
      </x:c>
      <x:c r="J660" s="39" t="n">
        <x:v>1</x:v>
      </x:c>
      <x:c r="K660" s="39" t="n">
        <x:v>1</x:v>
      </x:c>
      <x:c r="L660" s="39" t="n">
        <x:v>1</x:v>
      </x:c>
    </x:row>
    <x:row r="661" ht="23" customHeight="1">
      <x:c r="B661" s="17" t="str">
        <x:v>Round1</x:v>
      </x:c>
      <x:c r="C661" s="17" t="str">
        <x:v>line</x:v>
      </x:c>
      <x:c r="D661" s="17" t="str">
        <x:v>Compress_30</x:v>
      </x:c>
      <x:c r="E661" s="32" t="n">
        <x:v>0.0408</x:v>
      </x:c>
      <x:c r="F661" s="32" t="n">
        <x:v>0.0265</x:v>
      </x:c>
      <x:c r="G661" s="32" t="n">
        <x:v>0.0799</x:v>
      </x:c>
      <x:c r="H661" s="32" t="n">
        <x:v>0.2</x:v>
      </x:c>
      <x:c r="I661" s="39" t="n">
        <x:v>1</x:v>
      </x:c>
      <x:c r="J661" s="39" t="n">
        <x:v>1</x:v>
      </x:c>
      <x:c r="K661" s="39" t="n">
        <x:v>1</x:v>
      </x:c>
      <x:c r="L661" s="39" t="n">
        <x:v>1</x:v>
      </x:c>
    </x:row>
    <x:row r="662" ht="23" customHeight="1">
      <x:c r="B662" s="17" t="str">
        <x:v>Round1</x:v>
      </x:c>
      <x:c r="C662" s="17" t="str">
        <x:v>line</x:v>
      </x:c>
      <x:c r="D662" s="17" t="str">
        <x:v>Compress_32</x:v>
      </x:c>
      <x:c r="E662" s="32" t="n">
        <x:v>0.45909999999999995</x:v>
      </x:c>
      <x:c r="F662" s="32" t="n">
        <x:v>0.3045</x:v>
      </x:c>
      <x:c r="G662" s="32" t="n">
        <x:v>0.4364</x:v>
      </x:c>
      <x:c r="H662" s="32" t="n">
        <x:v>0.7773</x:v>
      </x:c>
      <x:c r="I662" s="39" t="n">
        <x:v>1</x:v>
      </x:c>
      <x:c r="J662" s="39" t="n">
        <x:v>1</x:v>
      </x:c>
      <x:c r="K662" s="39" t="n">
        <x:v>1</x:v>
      </x:c>
      <x:c r="L662" s="39" t="n">
        <x:v>1</x:v>
      </x:c>
    </x:row>
    <x:row r="663" ht="23" customHeight="1">
      <x:c r="B663" s="17" t="str">
        <x:v>Round1</x:v>
      </x:c>
      <x:c r="C663" s="17" t="str">
        <x:v>line</x:v>
      </x:c>
      <x:c r="D663" s="17" t="str">
        <x:v>Compress_36</x:v>
      </x:c>
      <x:c r="E663" s="32" t="n">
        <x:v>0.0432</x:v>
      </x:c>
      <x:c r="F663" s="32" t="n">
        <x:v>0.0281</x:v>
      </x:c>
      <x:c r="G663" s="32" t="n">
        <x:v>0.075</x:v>
      </x:c>
      <x:c r="H663" s="32" t="n">
        <x:v>0.6115999999999999</x:v>
      </x:c>
      <x:c r="I663" s="39" t="n">
        <x:v>1</x:v>
      </x:c>
      <x:c r="J663" s="39" t="n">
        <x:v>1</x:v>
      </x:c>
      <x:c r="K663" s="39" t="n">
        <x:v>1</x:v>
      </x:c>
      <x:c r="L663" s="39" t="n">
        <x:v>1</x:v>
      </x:c>
    </x:row>
    <x:row r="664" ht="23" customHeight="1">
      <x:c r="B664" s="17" t="str">
        <x:v>Round1</x:v>
      </x:c>
      <x:c r="C664" s="17" t="str">
        <x:v>line</x:v>
      </x:c>
      <x:c r="D664" s="17" t="str">
        <x:v>Compress_45</x:v>
      </x:c>
      <x:c r="E664" s="32" t="n">
        <x:v>0.8304</x:v>
      </x:c>
      <x:c r="F664" s="32" t="n">
        <x:v>0.39770000000000005</x:v>
      </x:c>
      <x:c r="G664" s="32" t="n">
        <x:v>0.6374</x:v>
      </x:c>
      <x:c r="H664" s="32" t="n">
        <x:v>0.7719</x:v>
      </x:c>
      <x:c r="I664" s="39" t="n">
        <x:v>1</x:v>
      </x:c>
      <x:c r="J664" s="39" t="n">
        <x:v>1</x:v>
      </x:c>
      <x:c r="K664" s="39" t="n">
        <x:v>1</x:v>
      </x:c>
      <x:c r="L664" s="39" t="n">
        <x:v>1</x:v>
      </x:c>
    </x:row>
    <x:row r="665" ht="23" customHeight="1">
      <x:c r="B665" s="17" t="str">
        <x:v>Round1</x:v>
      </x:c>
      <x:c r="C665" s="17" t="str">
        <x:v>line</x:v>
      </x:c>
      <x:c r="D665" s="17" t="str">
        <x:v>Compress_47</x:v>
      </x:c>
      <x:c r="E665" s="32" t="n">
        <x:v>0.1791</x:v>
      </x:c>
      <x:c r="F665" s="32" t="n">
        <x:v>0.1326</x:v>
      </x:c>
      <x:c r="G665" s="32" t="n">
        <x:v>0.6557999999999999</x:v>
      </x:c>
      <x:c r="H665" s="32" t="n">
        <x:v>0.5698</x:v>
      </x:c>
      <x:c r="I665" s="39" t="n">
        <x:v>1</x:v>
      </x:c>
      <x:c r="J665" s="39" t="n">
        <x:v>1</x:v>
      </x:c>
      <x:c r="K665" s="39" t="n">
        <x:v>1</x:v>
      </x:c>
      <x:c r="L665" s="39" t="n">
        <x:v>1</x:v>
      </x:c>
    </x:row>
    <x:row r="666" ht="23" customHeight="1">
      <x:c r="B666" s="17" t="str">
        <x:v>Round1</x:v>
      </x:c>
      <x:c r="C666" s="17" t="str">
        <x:v>line</x:v>
      </x:c>
      <x:c r="D666" s="17" t="str">
        <x:v>Compress_8</x:v>
      </x:c>
      <x:c r="E666" s="32" t="n">
        <x:v>0.9143000000000001</x:v>
      </x:c>
      <x:c r="F666" s="32" t="n">
        <x:v>0.7714</x:v>
      </x:c>
      <x:c r="G666" s="32" t="n">
        <x:v>0.9714</x:v>
      </x:c>
      <x:c r="H666" s="32" t="n">
        <x:v>1</x:v>
      </x:c>
      <x:c r="I666" s="39" t="n">
        <x:v>1</x:v>
      </x:c>
      <x:c r="J666" s="39" t="n">
        <x:v>1</x:v>
      </x:c>
      <x:c r="K666" s="39" t="n">
        <x:v>1</x:v>
      </x:c>
      <x:c r="L666" s="39" t="n">
        <x:v>1</x:v>
      </x:c>
    </x:row>
    <x:row r="667" ht="23" customHeight="1">
      <x:c r="B667" s="17" t="str">
        <x:v>Round1</x:v>
      </x:c>
      <x:c r="C667" s="17" t="str">
        <x:v>line</x:v>
      </x:c>
      <x:c r="D667" s="17" t="str">
        <x:v>Compress_9</x:v>
      </x:c>
      <x:c r="E667" s="32" t="n">
        <x:v>0.6455</x:v>
      </x:c>
      <x:c r="F667" s="32" t="n">
        <x:v>0.4</x:v>
      </x:c>
      <x:c r="G667" s="32" t="n">
        <x:v>0.7726999999999999</x:v>
      </x:c>
      <x:c r="H667" s="32" t="n">
        <x:v>1</x:v>
      </x:c>
      <x:c r="I667" s="39" t="n">
        <x:v>1</x:v>
      </x:c>
      <x:c r="J667" s="39" t="n">
        <x:v>1</x:v>
      </x:c>
      <x:c r="K667" s="39" t="n">
        <x:v>1</x:v>
      </x:c>
      <x:c r="L667" s="39" t="n">
        <x:v>1</x:v>
      </x:c>
    </x:row>
    <x:row r="668" ht="23" customHeight="1">
      <x:c r="B668" s="17" t="str">
        <x:v>Round1</x:v>
      </x:c>
      <x:c r="C668" s="17" t="str">
        <x:v>line</x:v>
      </x:c>
      <x:c r="D668" s="17" t="str">
        <x:v>Csv_1</x:v>
      </x:c>
      <x:c r="E668" s="32" t="n">
        <x:v>0.8919</x:v>
      </x:c>
      <x:c r="F668" s="32" t="n">
        <x:v>0.027000000000000003</x:v>
      </x:c>
      <x:c r="G668" s="32" t="n">
        <x:v>1</x:v>
      </x:c>
      <x:c r="H668" s="32" t="n">
        <x:v>1</x:v>
      </x:c>
      <x:c r="I668" s="39" t="n">
        <x:v>1</x:v>
      </x:c>
      <x:c r="J668" s="39" t="n">
        <x:v>1</x:v>
      </x:c>
      <x:c r="K668" s="39" t="n">
        <x:v>1</x:v>
      </x:c>
      <x:c r="L668" s="39" t="n">
        <x:v>1</x:v>
      </x:c>
    </x:row>
    <x:row r="669" ht="23" customHeight="1">
      <x:c r="B669" s="17" t="str">
        <x:v>Round1</x:v>
      </x:c>
      <x:c r="C669" s="17" t="str">
        <x:v>line</x:v>
      </x:c>
      <x:c r="D669" s="17" t="str">
        <x:v>Csv_2</x:v>
      </x:c>
      <x:c r="E669" s="32" t="n">
        <x:v>1</x:v>
      </x:c>
      <x:c r="F669" s="32" t="n">
        <x:v>0.9048</x:v>
      </x:c>
      <x:c r="G669" s="32" t="n">
        <x:v>1</x:v>
      </x:c>
      <x:c r="H669" s="32" t="n">
        <x:v>1</x:v>
      </x:c>
      <x:c r="I669" s="39" t="n">
        <x:v>1</x:v>
      </x:c>
      <x:c r="J669" s="39" t="n">
        <x:v>1</x:v>
      </x:c>
      <x:c r="K669" s="39" t="n">
        <x:v>1</x:v>
      </x:c>
      <x:c r="L669" s="39" t="n">
        <x:v>1</x:v>
      </x:c>
    </x:row>
    <x:row r="670" ht="23" customHeight="1">
      <x:c r="B670" s="17" t="str">
        <x:v>Round1</x:v>
      </x:c>
      <x:c r="C670" s="17" t="str">
        <x:v>line</x:v>
      </x:c>
      <x:c r="D670" s="17" t="str">
        <x:v>Csv_6</x:v>
      </x:c>
      <x:c r="E670" s="32" t="n">
        <x:v>0.9714</x:v>
      </x:c>
      <x:c r="F670" s="32" t="n">
        <x:v>0.6286</x:v>
      </x:c>
      <x:c r="G670" s="32" t="n">
        <x:v>0.8856999999999999</x:v>
      </x:c>
      <x:c r="H670" s="32" t="n">
        <x:v>1</x:v>
      </x:c>
      <x:c r="I670" s="39" t="n">
        <x:v>1</x:v>
      </x:c>
      <x:c r="J670" s="39" t="n">
        <x:v>1</x:v>
      </x:c>
      <x:c r="K670" s="39" t="n">
        <x:v>1</x:v>
      </x:c>
      <x:c r="L670" s="39" t="n">
        <x:v>1</x:v>
      </x:c>
    </x:row>
    <x:row r="671" ht="23" customHeight="1">
      <x:c r="B671" s="17" t="str">
        <x:v>Round1</x:v>
      </x:c>
      <x:c r="C671" s="17" t="str">
        <x:v>line</x:v>
      </x:c>
      <x:c r="D671" s="17" t="str">
        <x:v>Csv_7</x:v>
      </x:c>
      <x:c r="E671" s="32" t="n">
        <x:v>0.8713</x:v>
      </x:c>
      <x:c r="F671" s="32" t="n">
        <x:v>0.07919999999999999</x:v>
      </x:c>
      <x:c r="G671" s="32" t="n">
        <x:v>0.7723</x:v>
      </x:c>
      <x:c r="H671" s="32" t="n">
        <x:v>0.6931</x:v>
      </x:c>
      <x:c r="I671" s="39" t="n">
        <x:v>1</x:v>
      </x:c>
      <x:c r="J671" s="39" t="n">
        <x:v>1</x:v>
      </x:c>
      <x:c r="K671" s="39" t="n">
        <x:v>1</x:v>
      </x:c>
      <x:c r="L671" s="39" t="n">
        <x:v>1</x:v>
      </x:c>
    </x:row>
    <x:row r="672" ht="23" customHeight="1">
      <x:c r="B672" s="17" t="str">
        <x:v>Round1</x:v>
      </x:c>
      <x:c r="C672" s="17" t="str">
        <x:v>line</x:v>
      </x:c>
      <x:c r="D672" s="17" t="str">
        <x:v>Csv_9</x:v>
      </x:c>
      <x:c r="E672" s="32" t="n">
        <x:v>0.9722</x:v>
      </x:c>
      <x:c r="F672" s="32" t="n">
        <x:v>0.6111</x:v>
      </x:c>
      <x:c r="G672" s="32" t="n">
        <x:v>1</x:v>
      </x:c>
      <x:c r="H672" s="32" t="n">
        <x:v>1</x:v>
      </x:c>
      <x:c r="I672" s="39" t="n">
        <x:v>1</x:v>
      </x:c>
      <x:c r="J672" s="39" t="n">
        <x:v>1</x:v>
      </x:c>
      <x:c r="K672" s="39" t="n">
        <x:v>1</x:v>
      </x:c>
      <x:c r="L672" s="39" t="n">
        <x:v>1</x:v>
      </x:c>
    </x:row>
    <x:row r="673" ht="23" customHeight="1">
      <x:c r="B673" s="17" t="str">
        <x:v>Round1</x:v>
      </x:c>
      <x:c r="C673" s="17" t="str">
        <x:v>line</x:v>
      </x:c>
      <x:c r="D673" s="17" t="str">
        <x:v>Gson_1</x:v>
      </x:c>
      <x:c r="E673" s="32" t="n">
        <x:v>0.0625</x:v>
      </x:c>
      <x:c r="F673" s="32" t="n">
        <x:v>0.0625</x:v>
      </x:c>
      <x:c r="G673" s="32" t="n">
        <x:v>0.6383</x:v>
      </x:c>
      <x:c r="H673" s="32" t="n">
        <x:v>0.9792000000000001</x:v>
      </x:c>
      <x:c r="I673" s="39" t="n">
        <x:v>1</x:v>
      </x:c>
      <x:c r="J673" s="39" t="n">
        <x:v>1</x:v>
      </x:c>
      <x:c r="K673" s="39" t="n">
        <x:v>1</x:v>
      </x:c>
      <x:c r="L673" s="39" t="n">
        <x:v>1</x:v>
      </x:c>
    </x:row>
    <x:row r="674" ht="23" customHeight="1">
      <x:c r="B674" s="17" t="str">
        <x:v>Round1</x:v>
      </x:c>
      <x:c r="C674" s="17" t="str">
        <x:v>line</x:v>
      </x:c>
      <x:c r="D674" s="17" t="str">
        <x:v>Gson_3</x:v>
      </x:c>
      <x:c r="E674" s="32" t="n">
        <x:v>0</x:v>
      </x:c>
      <x:c r="F674" s="32" t="n">
        <x:v>0</x:v>
      </x:c>
      <x:c r="G674" s="32" t="n">
        <x:v>0.7093</x:v>
      </x:c>
      <x:c r="H674" s="32" t="n">
        <x:v>0.9767</x:v>
      </x:c>
      <x:c r="I674" s="39" t="n">
        <x:v>1</x:v>
      </x:c>
      <x:c r="J674" s="39" t="n">
        <x:v>1</x:v>
      </x:c>
      <x:c r="K674" s="39" t="n">
        <x:v>1</x:v>
      </x:c>
      <x:c r="L674" s="39" t="n">
        <x:v>1</x:v>
      </x:c>
    </x:row>
    <x:row r="675" ht="23" customHeight="1">
      <x:c r="B675" s="17" t="str">
        <x:v>Round1</x:v>
      </x:c>
      <x:c r="C675" s="17" t="str">
        <x:v>line</x:v>
      </x:c>
      <x:c r="D675" s="17" t="str">
        <x:v>Gson_5</x:v>
      </x:c>
      <x:c r="E675" s="32" t="n">
        <x:v>0.88</x:v>
      </x:c>
      <x:c r="F675" s="32" t="n">
        <x:v>0.0533</x:v>
      </x:c>
      <x:c r="G675" s="32" t="n">
        <x:v>0.9</x:v>
      </x:c>
      <x:c r="H675" s="32" t="n">
        <x:v>0.9933</x:v>
      </x:c>
      <x:c r="I675" s="39" t="n">
        <x:v>1</x:v>
      </x:c>
      <x:c r="J675" s="39" t="n">
        <x:v>1</x:v>
      </x:c>
      <x:c r="K675" s="39" t="n">
        <x:v>1</x:v>
      </x:c>
      <x:c r="L675" s="39" t="n">
        <x:v>1</x:v>
      </x:c>
    </x:row>
    <x:row r="676" ht="23" customHeight="1">
      <x:c r="B676" s="17" t="str">
        <x:v>Round1</x:v>
      </x:c>
      <x:c r="C676" s="17" t="str">
        <x:v>line</x:v>
      </x:c>
      <x:c r="D676" s="17" t="str">
        <x:v>JacksonCore_26</x:v>
      </x:c>
      <x:c r="E676" s="32" t="n">
        <x:v>0.18489999999999998</x:v>
      </x:c>
      <x:c r="F676" s="32" t="n">
        <x:v>0.0067</x:v>
      </x:c>
      <x:c r="G676" s="32" t="n">
        <x:v>0.1404</x:v>
      </x:c>
      <x:c r="H676" s="32" t="n">
        <x:v>0.1208</x:v>
      </x:c>
      <x:c r="I676" s="39" t="n">
        <x:v>1</x:v>
      </x:c>
      <x:c r="J676" s="39" t="n">
        <x:v>1</x:v>
      </x:c>
      <x:c r="K676" s="39" t="n">
        <x:v>1</x:v>
      </x:c>
      <x:c r="L676" s="39" t="n">
        <x:v>1</x:v>
      </x:c>
    </x:row>
    <x:row r="677" ht="23" customHeight="1">
      <x:c r="B677" s="17" t="str">
        <x:v>Round1</x:v>
      </x:c>
      <x:c r="C677" s="17" t="str">
        <x:v>line</x:v>
      </x:c>
      <x:c r="D677" s="17" t="str">
        <x:v>JacksonCore_6</x:v>
      </x:c>
      <x:c r="E677" s="32" t="n">
        <x:v>0.9643</x:v>
      </x:c>
      <x:c r="F677" s="32" t="n">
        <x:v>0.631</x:v>
      </x:c>
      <x:c r="G677" s="32" t="n">
        <x:v>0.9523999999999999</x:v>
      </x:c>
      <x:c r="H677" s="32" t="n">
        <x:v>0.9167000000000001</x:v>
      </x:c>
      <x:c r="I677" s="39" t="n">
        <x:v>1</x:v>
      </x:c>
      <x:c r="J677" s="39" t="n">
        <x:v>1</x:v>
      </x:c>
      <x:c r="K677" s="39" t="n">
        <x:v>1</x:v>
      </x:c>
      <x:c r="L677" s="39" t="n">
        <x:v>1</x:v>
      </x:c>
    </x:row>
    <x:row r="678" ht="23" customHeight="1">
      <x:c r="B678" s="17" t="str">
        <x:v>Round1</x:v>
      </x:c>
      <x:c r="C678" s="17" t="str">
        <x:v>line</x:v>
      </x:c>
      <x:c r="D678" s="17" t="str">
        <x:v>JacksonCore_8</x:v>
      </x:c>
      <x:c r="E678" s="32" t="n">
        <x:v>0.9852</x:v>
      </x:c>
      <x:c r="F678" s="32" t="n">
        <x:v>0.5166</x:v>
      </x:c>
      <x:c r="G678" s="32" t="n">
        <x:v>0.6052000000000001</x:v>
      </x:c>
      <x:c r="H678" s="32" t="n">
        <x:v>0.9815</x:v>
      </x:c>
      <x:c r="I678" s="39" t="n">
        <x:v>1</x:v>
      </x:c>
      <x:c r="J678" s="39" t="n">
        <x:v>1</x:v>
      </x:c>
      <x:c r="K678" s="39" t="n">
        <x:v>1</x:v>
      </x:c>
      <x:c r="L678" s="39" t="n">
        <x:v>1</x:v>
      </x:c>
    </x:row>
    <x:row r="679" ht="23" customHeight="1">
      <x:c r="B679" s="17" t="str">
        <x:v>Round1</x:v>
      </x:c>
      <x:c r="C679" s="17" t="str">
        <x:v>line</x:v>
      </x:c>
      <x:c r="D679" s="17" t="str">
        <x:v>JacksonDatabind_105</x:v>
      </x:c>
      <x:c r="E679" s="32" t="n">
        <x:v>0.7895</x:v>
      </x:c>
      <x:c r="F679" s="32" t="n">
        <x:v>0.31579999999999997</x:v>
      </x:c>
      <x:c r="G679" s="32" t="n">
        <x:v>0.8946999999999999</x:v>
      </x:c>
      <x:c r="H679" s="32" t="n">
        <x:v>1</x:v>
      </x:c>
      <x:c r="I679" s="39" t="n">
        <x:v>1</x:v>
      </x:c>
      <x:c r="J679" s="39" t="n">
        <x:v>1</x:v>
      </x:c>
      <x:c r="K679" s="39" t="n">
        <x:v>1</x:v>
      </x:c>
      <x:c r="L679" s="39" t="n">
        <x:v>1</x:v>
      </x:c>
    </x:row>
    <x:row r="680" ht="23" customHeight="1">
      <x:c r="B680" s="17" t="str">
        <x:v>Round1</x:v>
      </x:c>
      <x:c r="C680" s="17" t="str">
        <x:v>line</x:v>
      </x:c>
      <x:c r="D680" s="17" t="str">
        <x:v>JacksonDatabind_16</x:v>
      </x:c>
      <x:c r="E680" s="32" t="n">
        <x:v>0.4571</x:v>
      </x:c>
      <x:c r="F680" s="32" t="n">
        <x:v>0.4</x:v>
      </x:c>
      <x:c r="G680" s="32" t="n">
        <x:v>1</x:v>
      </x:c>
      <x:c r="H680" s="32" t="n">
        <x:v>1</x:v>
      </x:c>
      <x:c r="I680" s="39" t="n">
        <x:v>1</x:v>
      </x:c>
      <x:c r="J680" s="39" t="n">
        <x:v>1</x:v>
      </x:c>
      <x:c r="K680" s="39" t="n">
        <x:v>1</x:v>
      </x:c>
      <x:c r="L680" s="39" t="n">
        <x:v>1</x:v>
      </x:c>
    </x:row>
    <x:row r="681" ht="23" customHeight="1">
      <x:c r="B681" s="17" t="str">
        <x:v>Round1</x:v>
      </x:c>
      <x:c r="C681" s="17" t="str">
        <x:v>line</x:v>
      </x:c>
      <x:c r="D681" s="17" t="str">
        <x:v>JacksonDatabind_36</x:v>
      </x:c>
      <x:c r="E681" s="32" t="n">
        <x:v>0.9481999999999999</x:v>
      </x:c>
      <x:c r="F681" s="32" t="n">
        <x:v>0.8756</x:v>
      </x:c>
      <x:c r="G681" s="32" t="n">
        <x:v>0.8445999999999999</x:v>
      </x:c>
      <x:c r="H681" s="32" t="n">
        <x:v>0.07769999999999999</x:v>
      </x:c>
      <x:c r="I681" s="39" t="n">
        <x:v>1</x:v>
      </x:c>
      <x:c r="J681" s="39" t="n">
        <x:v>1</x:v>
      </x:c>
      <x:c r="K681" s="39" t="n">
        <x:v>1</x:v>
      </x:c>
      <x:c r="L681" s="39" t="n">
        <x:v>1</x:v>
      </x:c>
    </x:row>
    <x:row r="682" ht="23" customHeight="1">
      <x:c r="B682" s="17" t="str">
        <x:v>Round1</x:v>
      </x:c>
      <x:c r="C682" s="17" t="str">
        <x:v>line</x:v>
      </x:c>
      <x:c r="D682" s="17" t="str">
        <x:v>JacksonDatabind_39</x:v>
      </x:c>
      <x:c r="E682" s="32" t="n">
        <x:v>0.8571</x:v>
      </x:c>
      <x:c r="F682" s="32" t="n">
        <x:v>0.2857</x:v>
      </x:c>
      <x:c r="G682" s="32" t="n">
        <x:v>1</x:v>
      </x:c>
      <x:c r="H682" s="32" t="n">
        <x:v>1</x:v>
      </x:c>
      <x:c r="I682" s="39" t="n">
        <x:v>1</x:v>
      </x:c>
      <x:c r="J682" s="39" t="n">
        <x:v>1</x:v>
      </x:c>
      <x:c r="K682" s="39" t="n">
        <x:v>1</x:v>
      </x:c>
      <x:c r="L682" s="39" t="n">
        <x:v>1</x:v>
      </x:c>
    </x:row>
    <x:row r="683" ht="23" customHeight="1">
      <x:c r="B683" s="17" t="str">
        <x:v>Round1</x:v>
      </x:c>
      <x:c r="C683" s="17" t="str">
        <x:v>line</x:v>
      </x:c>
      <x:c r="D683" s="17" t="str">
        <x:v>JacksonDatabind_40</x:v>
      </x:c>
      <x:c r="E683" s="32" t="n">
        <x:v>0.45659999999999995</x:v>
      </x:c>
      <x:c r="F683" s="32" t="n">
        <x:v>0.3196</x:v>
      </x:c>
      <x:c r="G683" s="32" t="n">
        <x:v>0.6804000000000001</x:v>
      </x:c>
      <x:c r="H683" s="32" t="n">
        <x:v>0.022799999999999997</x:v>
      </x:c>
      <x:c r="I683" s="39" t="n">
        <x:v>1</x:v>
      </x:c>
      <x:c r="J683" s="39" t="n">
        <x:v>1</x:v>
      </x:c>
      <x:c r="K683" s="39" t="n">
        <x:v>1</x:v>
      </x:c>
      <x:c r="L683" s="39" t="n">
        <x:v>1</x:v>
      </x:c>
    </x:row>
    <x:row r="684" ht="23" customHeight="1">
      <x:c r="B684" s="17" t="str">
        <x:v>Round1</x:v>
      </x:c>
      <x:c r="C684" s="17" t="str">
        <x:v>line</x:v>
      </x:c>
      <x:c r="D684" s="17" t="str">
        <x:v>JacksonDatabind_44</x:v>
      </x:c>
      <x:c r="E684" s="32" t="n">
        <x:v>0.9732999999999999</x:v>
      </x:c>
      <x:c r="F684" s="32" t="n">
        <x:v>0</x:v>
      </x:c>
      <x:c r="G684" s="32" t="n">
        <x:v>0.8533</x:v>
      </x:c>
      <x:c r="H684" s="32" t="n">
        <x:v>0</x:v>
      </x:c>
      <x:c r="I684" s="39" t="n">
        <x:v>1</x:v>
      </x:c>
      <x:c r="J684" s="39" t="n">
        <x:v>1</x:v>
      </x:c>
      <x:c r="K684" s="39" t="n">
        <x:v>1</x:v>
      </x:c>
      <x:c r="L684" s="39" t="n">
        <x:v>1</x:v>
      </x:c>
    </x:row>
    <x:row r="685" ht="23" customHeight="1">
      <x:c r="B685" s="17" t="str">
        <x:v>Round1</x:v>
      </x:c>
      <x:c r="C685" s="17" t="str">
        <x:v>line</x:v>
      </x:c>
      <x:c r="D685" s="17" t="str">
        <x:v>JacksonDatabind_5</x:v>
      </x:c>
      <x:c r="E685" s="32" t="n">
        <x:v>0.8055</x:v>
      </x:c>
      <x:c r="F685" s="32" t="n">
        <x:v>0</x:v>
      </x:c>
      <x:c r="G685" s="32" t="n">
        <x:v>0.5233</x:v>
      </x:c>
      <x:c r="H685" s="32" t="n">
        <x:v>0.0027</x:v>
      </x:c>
      <x:c r="I685" s="39" t="n">
        <x:v>1</x:v>
      </x:c>
      <x:c r="J685" s="39" t="n">
        <x:v>1</x:v>
      </x:c>
      <x:c r="K685" s="39" t="n">
        <x:v>1</x:v>
      </x:c>
      <x:c r="L685" s="39" t="n">
        <x:v>1</x:v>
      </x:c>
    </x:row>
    <x:row r="686" ht="23" customHeight="1">
      <x:c r="B686" s="17" t="str">
        <x:v>Round1</x:v>
      </x:c>
      <x:c r="C686" s="17" t="str">
        <x:v>line</x:v>
      </x:c>
      <x:c r="D686" s="17" t="str">
        <x:v>JacksonDatabind_53</x:v>
      </x:c>
      <x:c r="E686" s="32" t="n">
        <x:v>0.8693000000000001</x:v>
      </x:c>
      <x:c r="F686" s="32" t="n">
        <x:v>0.40399999999999997</x:v>
      </x:c>
      <x:c r="G686" s="32" t="n">
        <x:v>0.7931999999999999</x:v>
      </x:c>
      <x:c r="H686" s="32" t="n">
        <x:v>0.07519999999999999</x:v>
      </x:c>
      <x:c r="I686" s="39" t="n">
        <x:v>1</x:v>
      </x:c>
      <x:c r="J686" s="39" t="n">
        <x:v>1</x:v>
      </x:c>
      <x:c r="K686" s="39" t="n">
        <x:v>1</x:v>
      </x:c>
      <x:c r="L686" s="39" t="n">
        <x:v>1</x:v>
      </x:c>
    </x:row>
    <x:row r="687" ht="23" customHeight="1">
      <x:c r="B687" s="17" t="str">
        <x:v>Round1</x:v>
      </x:c>
      <x:c r="C687" s="17" t="str">
        <x:v>line</x:v>
      </x:c>
      <x:c r="D687" s="17" t="str">
        <x:v>JacksonDatabind_55</x:v>
      </x:c>
      <x:c r="E687" s="32" t="n">
        <x:v>0.8689</x:v>
      </x:c>
      <x:c r="F687" s="32" t="n">
        <x:v>0.2787</x:v>
      </x:c>
      <x:c r="G687" s="32" t="n">
        <x:v>0.7868999999999999</x:v>
      </x:c>
      <x:c r="H687" s="32" t="n">
        <x:v>0.0492</x:v>
      </x:c>
      <x:c r="I687" s="39" t="n">
        <x:v>1</x:v>
      </x:c>
      <x:c r="J687" s="39" t="n">
        <x:v>1</x:v>
      </x:c>
      <x:c r="K687" s="39" t="n">
        <x:v>1</x:v>
      </x:c>
      <x:c r="L687" s="39" t="n">
        <x:v>1</x:v>
      </x:c>
    </x:row>
    <x:row r="688" ht="23" customHeight="1">
      <x:c r="B688" s="17" t="str">
        <x:v>Round1</x:v>
      </x:c>
      <x:c r="C688" s="17" t="str">
        <x:v>line</x:v>
      </x:c>
      <x:c r="D688" s="17" t="str">
        <x:v>JacksonDatabind_57</x:v>
      </x:c>
      <x:c r="E688" s="32" t="n">
        <x:v>0.7598</x:v>
      </x:c>
      <x:c r="F688" s="32" t="n">
        <x:v>0.0368</x:v>
      </x:c>
      <x:c r="G688" s="32" t="n">
        <x:v>0.5528</x:v>
      </x:c>
      <x:c r="H688" s="32" t="n">
        <x:v>0.0025</x:v>
      </x:c>
      <x:c r="I688" s="39" t="n">
        <x:v>1</x:v>
      </x:c>
      <x:c r="J688" s="39" t="n">
        <x:v>1</x:v>
      </x:c>
      <x:c r="K688" s="39" t="n">
        <x:v>1</x:v>
      </x:c>
      <x:c r="L688" s="39" t="n">
        <x:v>1</x:v>
      </x:c>
    </x:row>
    <x:row r="689" ht="23" customHeight="1">
      <x:c r="B689" s="17" t="str">
        <x:v>Round1</x:v>
      </x:c>
      <x:c r="C689" s="17" t="str">
        <x:v>line</x:v>
      </x:c>
      <x:c r="D689" s="17" t="str">
        <x:v>JacksonDatabind_6</x:v>
      </x:c>
      <x:c r="E689" s="32" t="n">
        <x:v>0.953</x:v>
      </x:c>
      <x:c r="F689" s="32" t="n">
        <x:v>0.8859</x:v>
      </x:c>
      <x:c r="G689" s="32" t="n">
        <x:v>0.8926000000000001</x:v>
      </x:c>
      <x:c r="H689" s="32" t="n">
        <x:v>0.1007</x:v>
      </x:c>
      <x:c r="I689" s="39" t="n">
        <x:v>1</x:v>
      </x:c>
      <x:c r="J689" s="39" t="n">
        <x:v>1</x:v>
      </x:c>
      <x:c r="K689" s="39" t="n">
        <x:v>1</x:v>
      </x:c>
      <x:c r="L689" s="39" t="n">
        <x:v>1</x:v>
      </x:c>
    </x:row>
    <x:row r="690" ht="23" customHeight="1">
      <x:c r="B690" s="17" t="str">
        <x:v>Round1</x:v>
      </x:c>
      <x:c r="C690" s="17" t="str">
        <x:v>line</x:v>
      </x:c>
      <x:c r="D690" s="17" t="str">
        <x:v>JacksonDatabind_68</x:v>
      </x:c>
      <x:c r="E690" s="32" t="n">
        <x:v>0.0068000000000000005</x:v>
      </x:c>
      <x:c r="F690" s="32" t="n">
        <x:v>0.0017000000000000001</x:v>
      </x:c>
      <x:c r="G690" s="32" t="n">
        <x:v>0.0017000000000000001</x:v>
      </x:c>
      <x:c r="H690" s="32" t="n">
        <x:v>0.0017000000000000001</x:v>
      </x:c>
      <x:c r="I690" s="39" t="n">
        <x:v>1</x:v>
      </x:c>
      <x:c r="J690" s="39" t="n">
        <x:v>1</x:v>
      </x:c>
      <x:c r="K690" s="39" t="n">
        <x:v>1</x:v>
      </x:c>
      <x:c r="L690" s="39" t="n">
        <x:v>1</x:v>
      </x:c>
    </x:row>
    <x:row r="691" ht="23" customHeight="1">
      <x:c r="B691" s="17" t="str">
        <x:v>Round1</x:v>
      </x:c>
      <x:c r="C691" s="17" t="str">
        <x:v>line</x:v>
      </x:c>
      <x:c r="D691" s="17" t="str">
        <x:v>JacksonDatabind_73</x:v>
      </x:c>
      <x:c r="E691" s="32" t="n">
        <x:v>0.0625</x:v>
      </x:c>
      <x:c r="F691" s="32" t="n">
        <x:v>0.0496</x:v>
      </x:c>
      <x:c r="G691" s="32" t="n">
        <x:v>0.6831999999999999</x:v>
      </x:c>
      <x:c r="H691" s="32" t="n">
        <x:v>0</x:v>
      </x:c>
      <x:c r="I691" s="39" t="n">
        <x:v>1</x:v>
      </x:c>
      <x:c r="J691" s="39" t="n">
        <x:v>1</x:v>
      </x:c>
      <x:c r="K691" s="39" t="n">
        <x:v>1</x:v>
      </x:c>
      <x:c r="L691" s="39" t="n">
        <x:v>1</x:v>
      </x:c>
    </x:row>
    <x:row r="692" ht="23" customHeight="1">
      <x:c r="B692" s="17" t="str">
        <x:v>Round1</x:v>
      </x:c>
      <x:c r="C692" s="17" t="str">
        <x:v>line</x:v>
      </x:c>
      <x:c r="D692" s="17" t="str">
        <x:v>JacksonDatabind_83</x:v>
      </x:c>
      <x:c r="E692" s="32" t="n">
        <x:v>0.6148</x:v>
      </x:c>
      <x:c r="F692" s="32" t="n">
        <x:v>0.008199999999999999</x:v>
      </x:c>
      <x:c r="G692" s="32" t="n">
        <x:v>0.8197</x:v>
      </x:c>
      <x:c r="H692" s="32" t="n">
        <x:v>0</x:v>
      </x:c>
      <x:c r="I692" s="39" t="n">
        <x:v>1</x:v>
      </x:c>
      <x:c r="J692" s="39" t="n">
        <x:v>1</x:v>
      </x:c>
      <x:c r="K692" s="39" t="n">
        <x:v>1</x:v>
      </x:c>
      <x:c r="L692" s="39" t="n">
        <x:v>1</x:v>
      </x:c>
    </x:row>
    <x:row r="693" ht="23" customHeight="1">
      <x:c r="B693" s="17" t="str">
        <x:v>Round1</x:v>
      </x:c>
      <x:c r="C693" s="17" t="str">
        <x:v>line</x:v>
      </x:c>
      <x:c r="D693" s="17" t="str">
        <x:v>JacksonDatabind_84</x:v>
      </x:c>
      <x:c r="E693" s="32" t="n">
        <x:v>1</x:v>
      </x:c>
      <x:c r="F693" s="32" t="n">
        <x:v>0</x:v>
      </x:c>
      <x:c r="G693" s="32" t="n">
        <x:v>0.9667</x:v>
      </x:c>
      <x:c r="H693" s="32" t="n">
        <x:v>1</x:v>
      </x:c>
      <x:c r="I693" s="39" t="n">
        <x:v>1</x:v>
      </x:c>
      <x:c r="J693" s="39" t="n">
        <x:v>1</x:v>
      </x:c>
      <x:c r="K693" s="39" t="n">
        <x:v>1</x:v>
      </x:c>
      <x:c r="L693" s="39" t="n">
        <x:v>1</x:v>
      </x:c>
    </x:row>
    <x:row r="694" ht="23" customHeight="1">
      <x:c r="B694" s="17" t="str">
        <x:v>Round1</x:v>
      </x:c>
      <x:c r="C694" s="17" t="str">
        <x:v>line</x:v>
      </x:c>
      <x:c r="D694" s="17" t="str">
        <x:v>JacksonDatabind_86</x:v>
      </x:c>
      <x:c r="E694" s="32" t="n">
        <x:v>1</x:v>
      </x:c>
      <x:c r="F694" s="32" t="n">
        <x:v>0</x:v>
      </x:c>
      <x:c r="G694" s="32" t="n">
        <x:v>0.9667</x:v>
      </x:c>
      <x:c r="H694" s="32" t="n">
        <x:v>1</x:v>
      </x:c>
      <x:c r="I694" s="39" t="n">
        <x:v>1</x:v>
      </x:c>
      <x:c r="J694" s="39" t="n">
        <x:v>1</x:v>
      </x:c>
      <x:c r="K694" s="39" t="n">
        <x:v>1</x:v>
      </x:c>
      <x:c r="L694" s="39" t="n">
        <x:v>1</x:v>
      </x:c>
    </x:row>
    <x:row r="695" ht="23" customHeight="1">
      <x:c r="B695" s="17" t="str">
        <x:v>Round1</x:v>
      </x:c>
      <x:c r="C695" s="17" t="str">
        <x:v>line</x:v>
      </x:c>
      <x:c r="D695" s="17" t="str">
        <x:v>JacksonDatabind_87</x:v>
      </x:c>
      <x:c r="E695" s="32" t="n">
        <x:v>0.9505</x:v>
      </x:c>
      <x:c r="F695" s="32" t="n">
        <x:v>0.7723</x:v>
      </x:c>
      <x:c r="G695" s="32" t="n">
        <x:v>0.8564</x:v>
      </x:c>
      <x:c r="H695" s="32" t="n">
        <x:v>0.07429999999999999</x:v>
      </x:c>
      <x:c r="I695" s="39" t="n">
        <x:v>1</x:v>
      </x:c>
      <x:c r="J695" s="39" t="n">
        <x:v>1</x:v>
      </x:c>
      <x:c r="K695" s="39" t="n">
        <x:v>1</x:v>
      </x:c>
      <x:c r="L695" s="39" t="n">
        <x:v>1</x:v>
      </x:c>
    </x:row>
    <x:row r="696" ht="23" customHeight="1">
      <x:c r="B696" s="17" t="str">
        <x:v>Round1</x:v>
      </x:c>
      <x:c r="C696" s="17" t="str">
        <x:v>line</x:v>
      </x:c>
      <x:c r="D696" s="17" t="str">
        <x:v>JacksonDatabind_94</x:v>
      </x:c>
      <x:c r="E696" s="32" t="n">
        <x:v>0.7714</x:v>
      </x:c>
      <x:c r="F696" s="32" t="n">
        <x:v>0.6286</x:v>
      </x:c>
      <x:c r="G696" s="32" t="n">
        <x:v>0.8571</x:v>
      </x:c>
      <x:c r="H696" s="32" t="n">
        <x:v>1</x:v>
      </x:c>
      <x:c r="I696" s="39" t="n">
        <x:v>1</x:v>
      </x:c>
      <x:c r="J696" s="39" t="n">
        <x:v>1</x:v>
      </x:c>
      <x:c r="K696" s="39" t="n">
        <x:v>1</x:v>
      </x:c>
      <x:c r="L696" s="39" t="n">
        <x:v>1</x:v>
      </x:c>
    </x:row>
    <x:row r="697" ht="23" customHeight="1">
      <x:c r="B697" s="17" t="str">
        <x:v>Round1</x:v>
      </x:c>
      <x:c r="C697" s="17" t="str">
        <x:v>line</x:v>
      </x:c>
      <x:c r="D697" s="17" t="str">
        <x:v>Jsoup_1</x:v>
      </x:c>
      <x:c r="E697" s="32" t="n">
        <x:v>1</x:v>
      </x:c>
      <x:c r="F697" s="32" t="n">
        <x:v>1</x:v>
      </x:c>
      <x:c r="G697" s="32" t="n">
        <x:v>0.9783</x:v>
      </x:c>
      <x:c r="H697" s="32" t="n">
        <x:v>1</x:v>
      </x:c>
      <x:c r="I697" s="39" t="n">
        <x:v>1</x:v>
      </x:c>
      <x:c r="J697" s="39" t="n">
        <x:v>1</x:v>
      </x:c>
      <x:c r="K697" s="39" t="n">
        <x:v>1</x:v>
      </x:c>
      <x:c r="L697" s="39" t="n">
        <x:v>1</x:v>
      </x:c>
    </x:row>
    <x:row r="698" ht="23" customHeight="1">
      <x:c r="B698" s="17" t="str">
        <x:v>Round1</x:v>
      </x:c>
      <x:c r="C698" s="17" t="str">
        <x:v>line</x:v>
      </x:c>
      <x:c r="D698" s="17" t="str">
        <x:v>Jsoup_11</x:v>
      </x:c>
      <x:c r="E698" s="32" t="n">
        <x:v>0.6667000000000001</x:v>
      </x:c>
      <x:c r="F698" s="32" t="n">
        <x:v>0.0556</x:v>
      </x:c>
      <x:c r="G698" s="32" t="n">
        <x:v>0.8131</x:v>
      </x:c>
      <x:c r="H698" s="32" t="n">
        <x:v>0.9747</x:v>
      </x:c>
      <x:c r="I698" s="39" t="n">
        <x:v>1</x:v>
      </x:c>
      <x:c r="J698" s="39" t="n">
        <x:v>1</x:v>
      </x:c>
      <x:c r="K698" s="39" t="n">
        <x:v>1</x:v>
      </x:c>
      <x:c r="L698" s="39" t="n">
        <x:v>1</x:v>
      </x:c>
    </x:row>
    <x:row r="699" ht="23" customHeight="1">
      <x:c r="B699" s="17" t="str">
        <x:v>Round1</x:v>
      </x:c>
      <x:c r="C699" s="17" t="str">
        <x:v>line</x:v>
      </x:c>
      <x:c r="D699" s="17" t="str">
        <x:v>Jsoup_12</x:v>
      </x:c>
      <x:c r="E699" s="32" t="n">
        <x:v>0.7064</x:v>
      </x:c>
      <x:c r="F699" s="32" t="n">
        <x:v>0.078</x:v>
      </x:c>
      <x:c r="G699" s="32" t="n">
        <x:v>0.9495</x:v>
      </x:c>
      <x:c r="H699" s="32" t="n">
        <x:v>0.9771</x:v>
      </x:c>
      <x:c r="I699" s="39" t="n">
        <x:v>1</x:v>
      </x:c>
      <x:c r="J699" s="39" t="n">
        <x:v>1</x:v>
      </x:c>
      <x:c r="K699" s="39" t="n">
        <x:v>1</x:v>
      </x:c>
      <x:c r="L699" s="39" t="n">
        <x:v>1</x:v>
      </x:c>
    </x:row>
    <x:row r="700" ht="23" customHeight="1">
      <x:c r="B700" s="17" t="str">
        <x:v>Round1</x:v>
      </x:c>
      <x:c r="C700" s="17" t="str">
        <x:v>line</x:v>
      </x:c>
      <x:c r="D700" s="17" t="str">
        <x:v>Jsoup_16</x:v>
      </x:c>
      <x:c r="E700" s="32" t="n">
        <x:v>1</x:v>
      </x:c>
      <x:c r="F700" s="32" t="n">
        <x:v>0.9286</x:v>
      </x:c>
      <x:c r="G700" s="32" t="n">
        <x:v>1</x:v>
      </x:c>
      <x:c r="H700" s="32" t="n">
        <x:v>1</x:v>
      </x:c>
      <x:c r="I700" s="39" t="n">
        <x:v>1</x:v>
      </x:c>
      <x:c r="J700" s="39" t="n">
        <x:v>1</x:v>
      </x:c>
      <x:c r="K700" s="39" t="n">
        <x:v>1</x:v>
      </x:c>
      <x:c r="L700" s="39" t="n">
        <x:v>1</x:v>
      </x:c>
    </x:row>
    <x:row r="701" ht="23" customHeight="1">
      <x:c r="B701" s="17" t="str">
        <x:v>Round1</x:v>
      </x:c>
      <x:c r="C701" s="17" t="str">
        <x:v>line</x:v>
      </x:c>
      <x:c r="D701" s="17" t="str">
        <x:v>Jsoup_18</x:v>
      </x:c>
      <x:c r="E701" s="32" t="n">
        <x:v>1</x:v>
      </x:c>
      <x:c r="F701" s="32" t="n">
        <x:v>0.9484999999999999</x:v>
      </x:c>
      <x:c r="G701" s="32" t="n">
        <x:v>0.9897</x:v>
      </x:c>
      <x:c r="H701" s="32" t="n">
        <x:v>1</x:v>
      </x:c>
      <x:c r="I701" s="39" t="n">
        <x:v>1</x:v>
      </x:c>
      <x:c r="J701" s="39" t="n">
        <x:v>1</x:v>
      </x:c>
      <x:c r="K701" s="39" t="n">
        <x:v>1</x:v>
      </x:c>
      <x:c r="L701" s="39" t="n">
        <x:v>1</x:v>
      </x:c>
    </x:row>
    <x:row r="702" ht="23" customHeight="1">
      <x:c r="B702" s="17" t="str">
        <x:v>Round1</x:v>
      </x:c>
      <x:c r="C702" s="17" t="str">
        <x:v>line</x:v>
      </x:c>
      <x:c r="D702" s="17" t="str">
        <x:v>Jsoup_20</x:v>
      </x:c>
      <x:c r="E702" s="32" t="n">
        <x:v>0.7955</x:v>
      </x:c>
      <x:c r="F702" s="32" t="n">
        <x:v>0.40909999999999996</x:v>
      </x:c>
      <x:c r="G702" s="32" t="n">
        <x:v>0.9773000000000001</x:v>
      </x:c>
      <x:c r="H702" s="32" t="n">
        <x:v>1</x:v>
      </x:c>
      <x:c r="I702" s="39" t="n">
        <x:v>1</x:v>
      </x:c>
      <x:c r="J702" s="39" t="n">
        <x:v>1</x:v>
      </x:c>
      <x:c r="K702" s="39" t="n">
        <x:v>1</x:v>
      </x:c>
      <x:c r="L702" s="39" t="n">
        <x:v>1</x:v>
      </x:c>
    </x:row>
    <x:row r="703" ht="23" customHeight="1">
      <x:c r="B703" s="17" t="str">
        <x:v>Round1</x:v>
      </x:c>
      <x:c r="C703" s="17" t="str">
        <x:v>line</x:v>
      </x:c>
      <x:c r="D703" s="17" t="str">
        <x:v>Jsoup_39</x:v>
      </x:c>
      <x:c r="E703" s="32" t="n">
        <x:v>0.6533</x:v>
      </x:c>
      <x:c r="F703" s="32" t="n">
        <x:v>0.2933</x:v>
      </x:c>
      <x:c r="G703" s="32" t="n">
        <x:v>0.88</x:v>
      </x:c>
      <x:c r="H703" s="32" t="n">
        <x:v>0.9732999999999999</x:v>
      </x:c>
      <x:c r="I703" s="39" t="n">
        <x:v>1</x:v>
      </x:c>
      <x:c r="J703" s="39" t="n">
        <x:v>1</x:v>
      </x:c>
      <x:c r="K703" s="39" t="n">
        <x:v>1</x:v>
      </x:c>
      <x:c r="L703" s="39" t="n">
        <x:v>1</x:v>
      </x:c>
    </x:row>
    <x:row r="704" ht="23" customHeight="1">
      <x:c r="B704" s="17" t="str">
        <x:v>Round1</x:v>
      </x:c>
      <x:c r="C704" s="17" t="str">
        <x:v>line</x:v>
      </x:c>
      <x:c r="D704" s="17" t="str">
        <x:v>Jsoup_40</x:v>
      </x:c>
      <x:c r="E704" s="32" t="n">
        <x:v>1</x:v>
      </x:c>
      <x:c r="F704" s="32" t="n">
        <x:v>0.9412</x:v>
      </x:c>
      <x:c r="G704" s="32" t="n">
        <x:v>1</x:v>
      </x:c>
      <x:c r="H704" s="32" t="n">
        <x:v>1</x:v>
      </x:c>
      <x:c r="I704" s="39" t="n">
        <x:v>1</x:v>
      </x:c>
      <x:c r="J704" s="39" t="n">
        <x:v>1</x:v>
      </x:c>
      <x:c r="K704" s="39" t="n">
        <x:v>1</x:v>
      </x:c>
      <x:c r="L704" s="39" t="n">
        <x:v>1</x:v>
      </x:c>
    </x:row>
    <x:row r="705" ht="23" customHeight="1">
      <x:c r="B705" s="17" t="str">
        <x:v>Round1</x:v>
      </x:c>
      <x:c r="C705" s="17" t="str">
        <x:v>line</x:v>
      </x:c>
      <x:c r="D705" s="17" t="str">
        <x:v>Jsoup_46</x:v>
      </x:c>
      <x:c r="E705" s="32" t="n">
        <x:v>0.9068</x:v>
      </x:c>
      <x:c r="F705" s="32" t="n">
        <x:v>0.48310000000000003</x:v>
      </x:c>
      <x:c r="G705" s="32" t="n">
        <x:v>0.7966</x:v>
      </x:c>
      <x:c r="H705" s="32" t="n">
        <x:v>0.9831</x:v>
      </x:c>
      <x:c r="I705" s="39" t="n">
        <x:v>1</x:v>
      </x:c>
      <x:c r="J705" s="39" t="n">
        <x:v>1</x:v>
      </x:c>
      <x:c r="K705" s="39" t="n">
        <x:v>1</x:v>
      </x:c>
      <x:c r="L705" s="39" t="n">
        <x:v>1</x:v>
      </x:c>
    </x:row>
    <x:row r="706" ht="23" customHeight="1">
      <x:c r="B706" s="17" t="str">
        <x:v>Round1</x:v>
      </x:c>
      <x:c r="C706" s="17" t="str">
        <x:v>line</x:v>
      </x:c>
      <x:c r="D706" s="17" t="str">
        <x:v>Jsoup_5</x:v>
      </x:c>
      <x:c r="E706" s="32" t="n">
        <x:v>0.8371999999999999</x:v>
      </x:c>
      <x:c r="F706" s="32" t="n">
        <x:v>0.2267</x:v>
      </x:c>
      <x:c r="G706" s="32" t="n">
        <x:v>0.6453</x:v>
      </x:c>
      <x:c r="H706" s="32" t="n">
        <x:v>0.9884000000000001</x:v>
      </x:c>
      <x:c r="I706" s="39" t="n">
        <x:v>1</x:v>
      </x:c>
      <x:c r="J706" s="39" t="n">
        <x:v>1</x:v>
      </x:c>
      <x:c r="K706" s="39" t="n">
        <x:v>1</x:v>
      </x:c>
      <x:c r="L706" s="39" t="n">
        <x:v>1</x:v>
      </x:c>
    </x:row>
    <x:row r="707" ht="23" customHeight="1">
      <x:c r="B707" s="17" t="str">
        <x:v>Round1</x:v>
      </x:c>
      <x:c r="C707" s="17" t="str">
        <x:v>line</x:v>
      </x:c>
      <x:c r="D707" s="17" t="str">
        <x:v>Jsoup_51</x:v>
      </x:c>
      <x:c r="E707" s="32" t="n">
        <x:v>0.9897</x:v>
      </x:c>
      <x:c r="F707" s="32" t="n">
        <x:v>0.9333</x:v>
      </x:c>
      <x:c r="G707" s="32" t="n">
        <x:v>0.9641</x:v>
      </x:c>
      <x:c r="H707" s="32" t="n">
        <x:v>1</x:v>
      </x:c>
      <x:c r="I707" s="39" t="n">
        <x:v>1</x:v>
      </x:c>
      <x:c r="J707" s="39" t="n">
        <x:v>1</x:v>
      </x:c>
      <x:c r="K707" s="39" t="n">
        <x:v>1</x:v>
      </x:c>
      <x:c r="L707" s="39" t="n">
        <x:v>1</x:v>
      </x:c>
    </x:row>
    <x:row r="708" ht="23" customHeight="1">
      <x:c r="B708" s="17" t="str">
        <x:v>Round1</x:v>
      </x:c>
      <x:c r="C708" s="17" t="str">
        <x:v>line</x:v>
      </x:c>
      <x:c r="D708" s="17" t="str">
        <x:v>Jsoup_53</x:v>
      </x:c>
      <x:c r="E708" s="32" t="n">
        <x:v>0.9845999999999999</x:v>
      </x:c>
      <x:c r="F708" s="32" t="n">
        <x:v>0.9692000000000001</x:v>
      </x:c>
      <x:c r="G708" s="32" t="n">
        <x:v>0.9</x:v>
      </x:c>
      <x:c r="H708" s="32" t="n">
        <x:v>0.9923000000000001</x:v>
      </x:c>
      <x:c r="I708" s="39" t="n">
        <x:v>1</x:v>
      </x:c>
      <x:c r="J708" s="39" t="n">
        <x:v>1</x:v>
      </x:c>
      <x:c r="K708" s="39" t="n">
        <x:v>1</x:v>
      </x:c>
      <x:c r="L708" s="39" t="n">
        <x:v>1</x:v>
      </x:c>
    </x:row>
    <x:row r="709" ht="23" customHeight="1">
      <x:c r="B709" s="17" t="str">
        <x:v>Round1</x:v>
      </x:c>
      <x:c r="C709" s="17" t="str">
        <x:v>line</x:v>
      </x:c>
      <x:c r="D709" s="17" t="str">
        <x:v>Jsoup_57</x:v>
      </x:c>
      <x:c r="E709" s="32" t="n">
        <x:v>0.8819</x:v>
      </x:c>
      <x:c r="F709" s="32" t="n">
        <x:v>0.7717</x:v>
      </x:c>
      <x:c r="G709" s="32" t="n">
        <x:v>0.9449</x:v>
      </x:c>
      <x:c r="H709" s="32" t="n">
        <x:v>0.9684999999999999</x:v>
      </x:c>
      <x:c r="I709" s="39" t="n">
        <x:v>1</x:v>
      </x:c>
      <x:c r="J709" s="39" t="n">
        <x:v>1</x:v>
      </x:c>
      <x:c r="K709" s="39" t="n">
        <x:v>1</x:v>
      </x:c>
      <x:c r="L709" s="39" t="n">
        <x:v>1</x:v>
      </x:c>
    </x:row>
    <x:row r="710" ht="23" customHeight="1">
      <x:c r="B710" s="17" t="str">
        <x:v>Round1</x:v>
      </x:c>
      <x:c r="C710" s="17" t="str">
        <x:v>line</x:v>
      </x:c>
      <x:c r="D710" s="17" t="str">
        <x:v>Jsoup_58</x:v>
      </x:c>
      <x:c r="E710" s="32" t="n">
        <x:v>0.7559</x:v>
      </x:c>
      <x:c r="F710" s="32" t="n">
        <x:v>0.4094</x:v>
      </x:c>
      <x:c r="G710" s="32" t="n">
        <x:v>0.9684999999999999</x:v>
      </x:c>
      <x:c r="H710" s="32" t="n">
        <x:v>1</x:v>
      </x:c>
      <x:c r="I710" s="39" t="n">
        <x:v>1</x:v>
      </x:c>
      <x:c r="J710" s="39" t="n">
        <x:v>1</x:v>
      </x:c>
      <x:c r="K710" s="39" t="n">
        <x:v>1</x:v>
      </x:c>
      <x:c r="L710" s="39" t="n">
        <x:v>1</x:v>
      </x:c>
    </x:row>
    <x:row r="711" ht="23" customHeight="1">
      <x:c r="B711" s="17" t="str">
        <x:v>Round1</x:v>
      </x:c>
      <x:c r="C711" s="17" t="str">
        <x:v>line</x:v>
      </x:c>
      <x:c r="D711" s="17" t="str">
        <x:v>Jsoup_69</x:v>
      </x:c>
      <x:c r="E711" s="32" t="n">
        <x:v>0.4359</x:v>
      </x:c>
      <x:c r="F711" s="32" t="n">
        <x:v>0.0256</x:v>
      </x:c>
      <x:c r="G711" s="32" t="n">
        <x:v>0.9211</x:v>
      </x:c>
      <x:c r="H711" s="32" t="n">
        <x:v>1</x:v>
      </x:c>
      <x:c r="I711" s="39" t="n">
        <x:v>1</x:v>
      </x:c>
      <x:c r="J711" s="39" t="n">
        <x:v>1</x:v>
      </x:c>
      <x:c r="K711" s="39" t="n">
        <x:v>1</x:v>
      </x:c>
      <x:c r="L711" s="39" t="n">
        <x:v>1</x:v>
      </x:c>
    </x:row>
    <x:row r="712" ht="23" customHeight="1">
      <x:c r="B712" s="17" t="str">
        <x:v>Round1</x:v>
      </x:c>
      <x:c r="C712" s="17" t="str">
        <x:v>line</x:v>
      </x:c>
      <x:c r="D712" s="17" t="str">
        <x:v>Jsoup_72</x:v>
      </x:c>
      <x:c r="E712" s="32" t="n">
        <x:v>0.9912000000000001</x:v>
      </x:c>
      <x:c r="F712" s="32" t="n">
        <x:v>0.943</x:v>
      </x:c>
      <x:c r="G712" s="32" t="n">
        <x:v>0.9473999999999999</x:v>
      </x:c>
      <x:c r="H712" s="32" t="n">
        <x:v>0.9868000000000001</x:v>
      </x:c>
      <x:c r="I712" s="39" t="n">
        <x:v>1</x:v>
      </x:c>
      <x:c r="J712" s="39" t="n">
        <x:v>1</x:v>
      </x:c>
      <x:c r="K712" s="39" t="n">
        <x:v>1</x:v>
      </x:c>
      <x:c r="L712" s="39" t="n">
        <x:v>1</x:v>
      </x:c>
    </x:row>
    <x:row r="713" ht="23" customHeight="1">
      <x:c r="B713" s="17" t="str">
        <x:v>Round1</x:v>
      </x:c>
      <x:c r="C713" s="17" t="str">
        <x:v>line</x:v>
      </x:c>
      <x:c r="D713" s="17" t="str">
        <x:v>Jsoup_74</x:v>
      </x:c>
      <x:c r="E713" s="32" t="n">
        <x:v>0.9398000000000001</x:v>
      </x:c>
      <x:c r="F713" s="32" t="n">
        <x:v>0.8916</x:v>
      </x:c>
      <x:c r="G713" s="32" t="n">
        <x:v>0.9157</x:v>
      </x:c>
      <x:c r="H713" s="32" t="n">
        <x:v>1</x:v>
      </x:c>
      <x:c r="I713" s="39" t="n">
        <x:v>1</x:v>
      </x:c>
      <x:c r="J713" s="39" t="n">
        <x:v>1</x:v>
      </x:c>
      <x:c r="K713" s="39" t="n">
        <x:v>1</x:v>
      </x:c>
      <x:c r="L713" s="39" t="n">
        <x:v>1</x:v>
      </x:c>
    </x:row>
    <x:row r="714" ht="23" customHeight="1">
      <x:c r="B714" s="17" t="str">
        <x:v>Round1</x:v>
      </x:c>
      <x:c r="C714" s="17" t="str">
        <x:v>line</x:v>
      </x:c>
      <x:c r="D714" s="17" t="str">
        <x:v>Jsoup_75</x:v>
      </x:c>
      <x:c r="E714" s="32" t="n">
        <x:v>0.8332999999999999</x:v>
      </x:c>
      <x:c r="F714" s="32" t="n">
        <x:v>0.8036</x:v>
      </x:c>
      <x:c r="G714" s="32" t="n">
        <x:v>0.9699</x:v>
      </x:c>
      <x:c r="H714" s="32" t="n">
        <x:v>0.9702</x:v>
      </x:c>
      <x:c r="I714" s="39" t="n">
        <x:v>1</x:v>
      </x:c>
      <x:c r="J714" s="39" t="n">
        <x:v>1</x:v>
      </x:c>
      <x:c r="K714" s="39" t="n">
        <x:v>1</x:v>
      </x:c>
      <x:c r="L714" s="39" t="n">
        <x:v>1</x:v>
      </x:c>
    </x:row>
    <x:row r="715" ht="23" customHeight="1">
      <x:c r="B715" s="17" t="str">
        <x:v>Round1</x:v>
      </x:c>
      <x:c r="C715" s="17" t="str">
        <x:v>line</x:v>
      </x:c>
      <x:c r="D715" s="17" t="str">
        <x:v>Jsoup_78</x:v>
      </x:c>
      <x:c r="E715" s="32" t="n">
        <x:v>0.6697</x:v>
      </x:c>
      <x:c r="F715" s="32" t="n">
        <x:v>0.2569</x:v>
      </x:c>
      <x:c r="G715" s="32" t="n">
        <x:v>0.7523000000000001</x:v>
      </x:c>
      <x:c r="H715" s="32" t="n">
        <x:v>0.9725</x:v>
      </x:c>
      <x:c r="I715" s="39" t="n">
        <x:v>1</x:v>
      </x:c>
      <x:c r="J715" s="39" t="n">
        <x:v>1</x:v>
      </x:c>
      <x:c r="K715" s="39" t="n">
        <x:v>1</x:v>
      </x:c>
      <x:c r="L715" s="39" t="n">
        <x:v>1</x:v>
      </x:c>
    </x:row>
    <x:row r="716" ht="23" customHeight="1">
      <x:c r="B716" s="17" t="str">
        <x:v>Round1</x:v>
      </x:c>
      <x:c r="C716" s="17" t="str">
        <x:v>line</x:v>
      </x:c>
      <x:c r="D716" s="17" t="str">
        <x:v>Jsoup_82</x:v>
      </x:c>
      <x:c r="E716" s="32" t="n">
        <x:v>0.4336</x:v>
      </x:c>
      <x:c r="F716" s="32" t="n">
        <x:v>0.20350000000000001</x:v>
      </x:c>
      <x:c r="G716" s="32" t="n">
        <x:v>0.7965000000000001</x:v>
      </x:c>
      <x:c r="H716" s="32" t="n">
        <x:v>0.9645999999999999</x:v>
      </x:c>
      <x:c r="I716" s="39" t="n">
        <x:v>1</x:v>
      </x:c>
      <x:c r="J716" s="39" t="n">
        <x:v>1</x:v>
      </x:c>
      <x:c r="K716" s="39" t="n">
        <x:v>1</x:v>
      </x:c>
      <x:c r="L716" s="39" t="n">
        <x:v>1</x:v>
      </x:c>
    </x:row>
    <x:row r="717" ht="23" customHeight="1">
      <x:c r="B717" s="17" t="str">
        <x:v>Round1</x:v>
      </x:c>
      <x:c r="C717" s="17" t="str">
        <x:v>line</x:v>
      </x:c>
      <x:c r="D717" s="17" t="str">
        <x:v>Jsoup_85</x:v>
      </x:c>
      <x:c r="E717" s="32" t="n">
        <x:v>0.9231</x:v>
      </x:c>
      <x:c r="F717" s="32" t="n">
        <x:v>0.7384999999999999</x:v>
      </x:c>
      <x:c r="G717" s="32" t="n">
        <x:v>0.9077</x:v>
      </x:c>
      <x:c r="H717" s="32" t="n">
        <x:v>0.8923000000000001</x:v>
      </x:c>
      <x:c r="I717" s="39" t="n">
        <x:v>1</x:v>
      </x:c>
      <x:c r="J717" s="39" t="n">
        <x:v>1</x:v>
      </x:c>
      <x:c r="K717" s="39" t="n">
        <x:v>1</x:v>
      </x:c>
      <x:c r="L717" s="39" t="n">
        <x:v>1</x:v>
      </x:c>
    </x:row>
    <x:row r="718" ht="23" customHeight="1">
      <x:c r="B718" s="17" t="str">
        <x:v>Round1</x:v>
      </x:c>
      <x:c r="C718" s="17" t="str">
        <x:v>line</x:v>
      </x:c>
      <x:c r="D718" s="17" t="str">
        <x:v>Jsoup_88</x:v>
      </x:c>
      <x:c r="E718" s="32" t="n">
        <x:v>0.9242</x:v>
      </x:c>
      <x:c r="F718" s="32" t="n">
        <x:v>0.7424</x:v>
      </x:c>
      <x:c r="G718" s="32" t="n">
        <x:v>0.8787999999999999</x:v>
      </x:c>
      <x:c r="H718" s="32" t="n">
        <x:v>0.8939</x:v>
      </x:c>
      <x:c r="I718" s="39" t="n">
        <x:v>1</x:v>
      </x:c>
      <x:c r="J718" s="39" t="n">
        <x:v>1</x:v>
      </x:c>
      <x:c r="K718" s="39" t="n">
        <x:v>1</x:v>
      </x:c>
      <x:c r="L718" s="39" t="n">
        <x:v>1</x:v>
      </x:c>
    </x:row>
    <x:row r="719" ht="23" customHeight="1">
      <x:c r="B719" s="17" t="str">
        <x:v>Round1</x:v>
      </x:c>
      <x:c r="C719" s="17" t="str">
        <x:v>line</x:v>
      </x:c>
      <x:c r="D719" s="17" t="str">
        <x:v>Jsoup_89</x:v>
      </x:c>
      <x:c r="E719" s="32" t="n">
        <x:v>0.9242</x:v>
      </x:c>
      <x:c r="F719" s="32" t="n">
        <x:v>0.7424</x:v>
      </x:c>
      <x:c r="G719" s="32" t="n">
        <x:v>0.8939</x:v>
      </x:c>
      <x:c r="H719" s="32" t="n">
        <x:v>0.8939</x:v>
      </x:c>
      <x:c r="I719" s="39" t="n">
        <x:v>1</x:v>
      </x:c>
      <x:c r="J719" s="39" t="n">
        <x:v>1</x:v>
      </x:c>
      <x:c r="K719" s="39" t="n">
        <x:v>1</x:v>
      </x:c>
      <x:c r="L719" s="39" t="n">
        <x:v>1</x:v>
      </x:c>
    </x:row>
    <x:row r="720" ht="23" customHeight="1">
      <x:c r="B720" s="17" t="str">
        <x:v>Round1</x:v>
      </x:c>
      <x:c r="C720" s="17" t="str">
        <x:v>line</x:v>
      </x:c>
      <x:c r="D720" s="17" t="str">
        <x:v>Jsoup_91</x:v>
      </x:c>
      <x:c r="E720" s="32" t="n">
        <x:v>0.992</x:v>
      </x:c>
      <x:c r="F720" s="32" t="n">
        <x:v>0.32130000000000003</x:v>
      </x:c>
      <x:c r="G720" s="32" t="n">
        <x:v>0.9478</x:v>
      </x:c>
      <x:c r="H720" s="32" t="n">
        <x:v>0.992</x:v>
      </x:c>
      <x:c r="I720" s="39" t="n">
        <x:v>1</x:v>
      </x:c>
      <x:c r="J720" s="39" t="n">
        <x:v>1</x:v>
      </x:c>
      <x:c r="K720" s="39" t="n">
        <x:v>1</x:v>
      </x:c>
      <x:c r="L720" s="39" t="n">
        <x:v>1</x:v>
      </x:c>
    </x:row>
    <x:row r="721" ht="23" customHeight="1">
      <x:c r="B721" s="17" t="str">
        <x:v>Round1</x:v>
      </x:c>
      <x:c r="C721" s="17" t="str">
        <x:v>line</x:v>
      </x:c>
      <x:c r="D721" s="17" t="str">
        <x:v>Lang_13</x:v>
      </x:c>
      <x:c r="E721" s="32" t="n">
        <x:v>0.7812</x:v>
      </x:c>
      <x:c r="F721" s="32" t="n">
        <x:v>0.75</x:v>
      </x:c>
      <x:c r="G721" s="32" t="n">
        <x:v>0.6875</x:v>
      </x:c>
      <x:c r="H721" s="32" t="n">
        <x:v>0.9688</x:v>
      </x:c>
      <x:c r="I721" s="39" t="n">
        <x:v>1</x:v>
      </x:c>
      <x:c r="J721" s="39" t="n">
        <x:v>1</x:v>
      </x:c>
      <x:c r="K721" s="39" t="n">
        <x:v>1</x:v>
      </x:c>
      <x:c r="L721" s="39" t="n">
        <x:v>1</x:v>
      </x:c>
    </x:row>
    <x:row r="722" ht="23" customHeight="1">
      <x:c r="B722" s="17" t="str">
        <x:v>Round1</x:v>
      </x:c>
      <x:c r="C722" s="17" t="str">
        <x:v>line</x:v>
      </x:c>
      <x:c r="D722" s="17" t="str">
        <x:v>Lang_19</x:v>
      </x:c>
      <x:c r="E722" s="32" t="n">
        <x:v>0.7037</x:v>
      </x:c>
      <x:c r="F722" s="32" t="n">
        <x:v>0.1481</x:v>
      </x:c>
      <x:c r="G722" s="32" t="n">
        <x:v>1</x:v>
      </x:c>
      <x:c r="H722" s="32" t="n">
        <x:v>1</x:v>
      </x:c>
      <x:c r="I722" s="39" t="n">
        <x:v>1</x:v>
      </x:c>
      <x:c r="J722" s="39" t="n">
        <x:v>1</x:v>
      </x:c>
      <x:c r="K722" s="39" t="n">
        <x:v>1</x:v>
      </x:c>
      <x:c r="L722" s="39" t="n">
        <x:v>1</x:v>
      </x:c>
    </x:row>
    <x:row r="723" ht="23" customHeight="1">
      <x:c r="B723" s="17" t="str">
        <x:v>Round1</x:v>
      </x:c>
      <x:c r="C723" s="17" t="str">
        <x:v>line</x:v>
      </x:c>
      <x:c r="D723" s="17" t="str">
        <x:v>Lang_23</x:v>
      </x:c>
      <x:c r="E723" s="32" t="n">
        <x:v>0.4251</x:v>
      </x:c>
      <x:c r="F723" s="32" t="n">
        <x:v>0.10779999999999999</x:v>
      </x:c>
      <x:c r="G723" s="32" t="n">
        <x:v>0.521</x:v>
      </x:c>
      <x:c r="H723" s="32" t="n">
        <x:v>0.9340999999999999</x:v>
      </x:c>
      <x:c r="I723" s="39" t="n">
        <x:v>1</x:v>
      </x:c>
      <x:c r="J723" s="39" t="n">
        <x:v>1</x:v>
      </x:c>
      <x:c r="K723" s="39" t="n">
        <x:v>1</x:v>
      </x:c>
      <x:c r="L723" s="39" t="n">
        <x:v>1</x:v>
      </x:c>
    </x:row>
    <x:row r="724" ht="23" customHeight="1">
      <x:c r="B724" s="17" t="str">
        <x:v>Round1</x:v>
      </x:c>
      <x:c r="C724" s="17" t="str">
        <x:v>line</x:v>
      </x:c>
      <x:c r="D724" s="17" t="str">
        <x:v>Lang_24</x:v>
      </x:c>
      <x:c r="E724" s="32" t="n">
        <x:v>0.9388</x:v>
      </x:c>
      <x:c r="F724" s="32" t="n">
        <x:v>0.6995</x:v>
      </x:c>
      <x:c r="G724" s="32" t="n">
        <x:v>0.6489</x:v>
      </x:c>
      <x:c r="H724" s="32" t="n">
        <x:v>0.9814</x:v>
      </x:c>
      <x:c r="I724" s="39" t="n">
        <x:v>1</x:v>
      </x:c>
      <x:c r="J724" s="39" t="n">
        <x:v>1</x:v>
      </x:c>
      <x:c r="K724" s="39" t="n">
        <x:v>1</x:v>
      </x:c>
      <x:c r="L724" s="39" t="n">
        <x:v>1</x:v>
      </x:c>
    </x:row>
    <x:row r="725" ht="23" customHeight="1">
      <x:c r="B725" s="17" t="str">
        <x:v>Round1</x:v>
      </x:c>
      <x:c r="C725" s="17" t="str">
        <x:v>line</x:v>
      </x:c>
      <x:c r="D725" s="17" t="str">
        <x:v>Lang_27</x:v>
      </x:c>
      <x:c r="E725" s="32" t="n">
        <x:v>0.9358</x:v>
      </x:c>
      <x:c r="F725" s="32" t="n">
        <x:v>0.7031999999999999</x:v>
      </x:c>
      <x:c r="G725" s="32" t="n">
        <x:v>0.7086</x:v>
      </x:c>
      <x:c r="H725" s="32" t="n">
        <x:v>0.9599</x:v>
      </x:c>
      <x:c r="I725" s="39" t="n">
        <x:v>1</x:v>
      </x:c>
      <x:c r="J725" s="39" t="n">
        <x:v>1</x:v>
      </x:c>
      <x:c r="K725" s="39" t="n">
        <x:v>1</x:v>
      </x:c>
      <x:c r="L725" s="39" t="n">
        <x:v>1</x:v>
      </x:c>
    </x:row>
    <x:row r="726" ht="23" customHeight="1">
      <x:c r="B726" s="17" t="str">
        <x:v>Round1</x:v>
      </x:c>
      <x:c r="C726" s="17" t="str">
        <x:v>line</x:v>
      </x:c>
      <x:c r="D726" s="17" t="str">
        <x:v>Lang_28</x:v>
      </x:c>
      <x:c r="E726" s="32" t="n">
        <x:v>0.15</x:v>
      </x:c>
      <x:c r="F726" s="32" t="n">
        <x:v>0.15</x:v>
      </x:c>
      <x:c r="G726" s="32" t="n">
        <x:v>0.95</x:v>
      </x:c>
      <x:c r="H726" s="32" t="n">
        <x:v>1</x:v>
      </x:c>
      <x:c r="I726" s="39" t="n">
        <x:v>1</x:v>
      </x:c>
      <x:c r="J726" s="39" t="n">
        <x:v>1</x:v>
      </x:c>
      <x:c r="K726" s="39" t="n">
        <x:v>1</x:v>
      </x:c>
      <x:c r="L726" s="39" t="n">
        <x:v>1</x:v>
      </x:c>
    </x:row>
    <x:row r="727" ht="23" customHeight="1">
      <x:c r="B727" s="17" t="str">
        <x:v>Round1</x:v>
      </x:c>
      <x:c r="C727" s="17" t="str">
        <x:v>line</x:v>
      </x:c>
      <x:c r="D727" s="17" t="str">
        <x:v>Lang_4</x:v>
      </x:c>
      <x:c r="E727" s="32" t="n">
        <x:v>1</x:v>
      </x:c>
      <x:c r="F727" s="32" t="n">
        <x:v>1</x:v>
      </x:c>
      <x:c r="G727" s="32" t="n">
        <x:v>1</x:v>
      </x:c>
      <x:c r="H727" s="32" t="n">
        <x:v>1</x:v>
      </x:c>
      <x:c r="I727" s="39" t="n">
        <x:v>1</x:v>
      </x:c>
      <x:c r="J727" s="39" t="n">
        <x:v>1</x:v>
      </x:c>
      <x:c r="K727" s="39" t="n">
        <x:v>1</x:v>
      </x:c>
      <x:c r="L727" s="39" t="n">
        <x:v>1</x:v>
      </x:c>
    </x:row>
    <x:row r="728" ht="23" customHeight="1">
      <x:c r="B728" s="17" t="str">
        <x:v>Round1</x:v>
      </x:c>
      <x:c r="C728" s="17" t="str">
        <x:v>line</x:v>
      </x:c>
      <x:c r="D728" s="17" t="str">
        <x:v>Lang_44</x:v>
      </x:c>
      <x:c r="E728" s="32" t="n">
        <x:v>0.8684000000000001</x:v>
      </x:c>
      <x:c r="F728" s="32" t="n">
        <x:v>0.5</x:v>
      </x:c>
      <x:c r="G728" s="32" t="n">
        <x:v>0.6526000000000001</x:v>
      </x:c>
      <x:c r="H728" s="32" t="n">
        <x:v>0.4</x:v>
      </x:c>
      <x:c r="I728" s="39" t="n">
        <x:v>1</x:v>
      </x:c>
      <x:c r="J728" s="39" t="n">
        <x:v>1</x:v>
      </x:c>
      <x:c r="K728" s="39" t="n">
        <x:v>1</x:v>
      </x:c>
      <x:c r="L728" s="39" t="n">
        <x:v>1</x:v>
      </x:c>
    </x:row>
    <x:row r="729" ht="23" customHeight="1">
      <x:c r="B729" s="17" t="str">
        <x:v>Round1</x:v>
      </x:c>
      <x:c r="C729" s="17" t="str">
        <x:v>line</x:v>
      </x:c>
      <x:c r="D729" s="17" t="str">
        <x:v>Lang_49</x:v>
      </x:c>
      <x:c r="E729" s="32" t="n">
        <x:v>0.9783</x:v>
      </x:c>
      <x:c r="F729" s="32" t="n">
        <x:v>0.9239</x:v>
      </x:c>
      <x:c r="G729" s="32" t="n">
        <x:v>0.9348000000000001</x:v>
      </x:c>
      <x:c r="H729" s="32" t="n">
        <x:v>0.3442</x:v>
      </x:c>
      <x:c r="I729" s="39" t="n">
        <x:v>1</x:v>
      </x:c>
      <x:c r="J729" s="39" t="n">
        <x:v>1</x:v>
      </x:c>
      <x:c r="K729" s="39" t="n">
        <x:v>1</x:v>
      </x:c>
      <x:c r="L729" s="39" t="n">
        <x:v>1</x:v>
      </x:c>
    </x:row>
    <x:row r="730" ht="23" customHeight="1">
      <x:c r="B730" s="17" t="str">
        <x:v>Round1</x:v>
      </x:c>
      <x:c r="C730" s="17" t="str">
        <x:v>line</x:v>
      </x:c>
      <x:c r="D730" s="17" t="str">
        <x:v>Lang_5</x:v>
      </x:c>
      <x:c r="E730" s="32" t="n">
        <x:v>0.8170999999999999</x:v>
      </x:c>
      <x:c r="F730" s="32" t="n">
        <x:v>0.6463</x:v>
      </x:c>
      <x:c r="G730" s="32" t="n">
        <x:v>0.9390000000000001</x:v>
      </x:c>
      <x:c r="H730" s="32" t="n">
        <x:v>1</x:v>
      </x:c>
      <x:c r="I730" s="39" t="n">
        <x:v>1</x:v>
      </x:c>
      <x:c r="J730" s="39" t="n">
        <x:v>1</x:v>
      </x:c>
      <x:c r="K730" s="39" t="n">
        <x:v>1</x:v>
      </x:c>
      <x:c r="L730" s="39" t="n">
        <x:v>1</x:v>
      </x:c>
    </x:row>
    <x:row r="731" ht="23" customHeight="1">
      <x:c r="B731" s="17" t="str">
        <x:v>Round1</x:v>
      </x:c>
      <x:c r="C731" s="17" t="str">
        <x:v>line</x:v>
      </x:c>
      <x:c r="D731" s="17" t="str">
        <x:v>Lang_51</x:v>
      </x:c>
      <x:c r="E731" s="32" t="n">
        <x:v>0.9708</x:v>
      </x:c>
      <x:c r="F731" s="32" t="n">
        <x:v>0.7426999999999999</x:v>
      </x:c>
      <x:c r="G731" s="32" t="n">
        <x:v>0.9064</x:v>
      </x:c>
      <x:c r="H731" s="32" t="n">
        <x:v>0.152</x:v>
      </x:c>
      <x:c r="I731" s="39" t="n">
        <x:v>1</x:v>
      </x:c>
      <x:c r="J731" s="39" t="n">
        <x:v>1</x:v>
      </x:c>
      <x:c r="K731" s="39" t="n">
        <x:v>1</x:v>
      </x:c>
      <x:c r="L731" s="39" t="n">
        <x:v>1</x:v>
      </x:c>
    </x:row>
    <x:row r="732" ht="23" customHeight="1">
      <x:c r="B732" s="17" t="str">
        <x:v>Round1</x:v>
      </x:c>
      <x:c r="C732" s="17" t="str">
        <x:v>line</x:v>
      </x:c>
      <x:c r="D732" s="17" t="str">
        <x:v>Lang_54</x:v>
      </x:c>
      <x:c r="E732" s="32" t="n">
        <x:v>0.8861</x:v>
      </x:c>
      <x:c r="F732" s="32" t="n">
        <x:v>0.6329</x:v>
      </x:c>
      <x:c r="G732" s="32" t="n">
        <x:v>0.9494</x:v>
      </x:c>
      <x:c r="H732" s="32" t="n">
        <x:v>0.4304</x:v>
      </x:c>
      <x:c r="I732" s="39" t="n">
        <x:v>1</x:v>
      </x:c>
      <x:c r="J732" s="39" t="n">
        <x:v>1</x:v>
      </x:c>
      <x:c r="K732" s="39" t="n">
        <x:v>1</x:v>
      </x:c>
      <x:c r="L732" s="39" t="n">
        <x:v>1</x:v>
      </x:c>
    </x:row>
    <x:row r="733" ht="23" customHeight="1">
      <x:c r="B733" s="17" t="str">
        <x:v>Round1</x:v>
      </x:c>
      <x:c r="C733" s="17" t="str">
        <x:v>line</x:v>
      </x:c>
      <x:c r="D733" s="17" t="str">
        <x:v>Lang_55</x:v>
      </x:c>
      <x:c r="E733" s="32" t="n">
        <x:v>0.9825</x:v>
      </x:c>
      <x:c r="F733" s="32" t="n">
        <x:v>0.9825</x:v>
      </x:c>
      <x:c r="G733" s="32" t="n">
        <x:v>0.9298000000000001</x:v>
      </x:c>
      <x:c r="H733" s="32" t="n">
        <x:v>0.7719</x:v>
      </x:c>
      <x:c r="I733" s="39" t="n">
        <x:v>1</x:v>
      </x:c>
      <x:c r="J733" s="39" t="n">
        <x:v>1</x:v>
      </x:c>
      <x:c r="K733" s="39" t="n">
        <x:v>1</x:v>
      </x:c>
      <x:c r="L733" s="39" t="n">
        <x:v>1</x:v>
      </x:c>
    </x:row>
    <x:row r="734" ht="23" customHeight="1">
      <x:c r="B734" s="17" t="str">
        <x:v>Round1</x:v>
      </x:c>
      <x:c r="C734" s="17" t="str">
        <x:v>line</x:v>
      </x:c>
      <x:c r="D734" s="17" t="str">
        <x:v>Lang_57</x:v>
      </x:c>
      <x:c r="E734" s="32" t="n">
        <x:v>0.8861</x:v>
      </x:c>
      <x:c r="F734" s="32" t="n">
        <x:v>0.6203</x:v>
      </x:c>
      <x:c r="G734" s="32" t="n">
        <x:v>0.9747</x:v>
      </x:c>
      <x:c r="H734" s="32" t="n">
        <x:v>0.4177</x:v>
      </x:c>
      <x:c r="I734" s="39" t="n">
        <x:v>1</x:v>
      </x:c>
      <x:c r="J734" s="39" t="n">
        <x:v>1</x:v>
      </x:c>
      <x:c r="K734" s="39" t="n">
        <x:v>1</x:v>
      </x:c>
      <x:c r="L734" s="39" t="n">
        <x:v>1</x:v>
      </x:c>
    </x:row>
    <x:row r="735" ht="23" customHeight="1">
      <x:c r="B735" s="17" t="str">
        <x:v>Round1</x:v>
      </x:c>
      <x:c r="C735" s="17" t="str">
        <x:v>line</x:v>
      </x:c>
      <x:c r="D735" s="17" t="str">
        <x:v>Lang_58</x:v>
      </x:c>
      <x:c r="E735" s="32" t="n">
        <x:v>0.9287000000000001</x:v>
      </x:c>
      <x:c r="F735" s="32" t="n">
        <x:v>0.731</x:v>
      </x:c>
      <x:c r="G735" s="32" t="n">
        <x:v>0.8069</x:v>
      </x:c>
      <x:c r="H735" s="32" t="n">
        <x:v>0.2345</x:v>
      </x:c>
      <x:c r="I735" s="39" t="n">
        <x:v>1</x:v>
      </x:c>
      <x:c r="J735" s="39" t="n">
        <x:v>1</x:v>
      </x:c>
      <x:c r="K735" s="39" t="n">
        <x:v>1</x:v>
      </x:c>
      <x:c r="L735" s="39" t="n">
        <x:v>1</x:v>
      </x:c>
    </x:row>
    <x:row r="736" ht="23" customHeight="1">
      <x:c r="B736" s="17" t="str">
        <x:v>Round1</x:v>
      </x:c>
      <x:c r="C736" s="17" t="str">
        <x:v>line</x:v>
      </x:c>
      <x:c r="D736" s="17" t="str">
        <x:v>Lang_6</x:v>
      </x:c>
      <x:c r="E736" s="32" t="n">
        <x:v>0.9333</x:v>
      </x:c>
      <x:c r="F736" s="32" t="n">
        <x:v>0.0333</x:v>
      </x:c>
      <x:c r="G736" s="32" t="n">
        <x:v>1</x:v>
      </x:c>
      <x:c r="H736" s="32" t="n">
        <x:v>1</x:v>
      </x:c>
      <x:c r="I736" s="39" t="n">
        <x:v>1</x:v>
      </x:c>
      <x:c r="J736" s="39" t="n">
        <x:v>1</x:v>
      </x:c>
      <x:c r="K736" s="39" t="n">
        <x:v>1</x:v>
      </x:c>
      <x:c r="L736" s="39" t="n">
        <x:v>1</x:v>
      </x:c>
    </x:row>
    <x:row r="737" ht="23" customHeight="1">
      <x:c r="B737" s="17" t="str">
        <x:v>Round1</x:v>
      </x:c>
      <x:c r="C737" s="17" t="str">
        <x:v>line</x:v>
      </x:c>
      <x:c r="D737" s="17" t="str">
        <x:v>Lang_63</x:v>
      </x:c>
      <x:c r="E737" s="32" t="n">
        <x:v>0.9286</x:v>
      </x:c>
      <x:c r="F737" s="32" t="n">
        <x:v>0.7222</x:v>
      </x:c>
      <x:c r="G737" s="32" t="n">
        <x:v>0.6349</x:v>
      </x:c>
      <x:c r="H737" s="32" t="n">
        <x:v>0.5317000000000001</x:v>
      </x:c>
      <x:c r="I737" s="39" t="n">
        <x:v>1</x:v>
      </x:c>
      <x:c r="J737" s="39" t="n">
        <x:v>1</x:v>
      </x:c>
      <x:c r="K737" s="39" t="n">
        <x:v>1</x:v>
      </x:c>
      <x:c r="L737" s="39" t="n">
        <x:v>1</x:v>
      </x:c>
    </x:row>
    <x:row r="738" ht="23" customHeight="1">
      <x:c r="B738" s="17" t="str">
        <x:v>Round1</x:v>
      </x:c>
      <x:c r="C738" s="17" t="str">
        <x:v>line</x:v>
      </x:c>
      <x:c r="D738" s="17" t="str">
        <x:v>Lang_64</x:v>
      </x:c>
      <x:c r="E738" s="32" t="n">
        <x:v>0.16670000000000001</x:v>
      </x:c>
      <x:c r="F738" s="32" t="n">
        <x:v>0.16670000000000001</x:v>
      </x:c>
      <x:c r="G738" s="32" t="n">
        <x:v>0.22219999999999998</x:v>
      </x:c>
      <x:c r="H738" s="32" t="n">
        <x:v>0.6667000000000001</x:v>
      </x:c>
      <x:c r="I738" s="39" t="n">
        <x:v>1</x:v>
      </x:c>
      <x:c r="J738" s="39" t="n">
        <x:v>1</x:v>
      </x:c>
      <x:c r="K738" s="39" t="n">
        <x:v>1</x:v>
      </x:c>
      <x:c r="L738" s="39" t="n">
        <x:v>1</x:v>
      </x:c>
    </x:row>
    <x:row r="739" ht="23" customHeight="1">
      <x:c r="B739" s="17" t="str">
        <x:v>Round1</x:v>
      </x:c>
      <x:c r="C739" s="17" t="str">
        <x:v>line</x:v>
      </x:c>
      <x:c r="D739" s="17" t="str">
        <x:v>Lang_7</x:v>
      </x:c>
      <x:c r="E739" s="32" t="n">
        <x:v>0.9526</x:v>
      </x:c>
      <x:c r="F739" s="32" t="n">
        <x:v>0.6895</x:v>
      </x:c>
      <x:c r="G739" s="32" t="n">
        <x:v>0.7237</x:v>
      </x:c>
      <x:c r="H739" s="32" t="n">
        <x:v>0.9553</x:v>
      </x:c>
      <x:c r="I739" s="39" t="n">
        <x:v>1</x:v>
      </x:c>
      <x:c r="J739" s="39" t="n">
        <x:v>1</x:v>
      </x:c>
      <x:c r="K739" s="39" t="n">
        <x:v>1</x:v>
      </x:c>
      <x:c r="L739" s="39" t="n">
        <x:v>1</x:v>
      </x:c>
    </x:row>
    <x:row r="740" ht="23" customHeight="1">
      <x:c r="B740" s="17" t="str">
        <x:v>Round1</x:v>
      </x:c>
      <x:c r="C740" s="17" t="str">
        <x:v>line</x:v>
      </x:c>
      <x:c r="D740" s="17" t="str">
        <x:v>Lang_8</x:v>
      </x:c>
      <x:c r="E740" s="32" t="n">
        <x:v>0.8665</x:v>
      </x:c>
      <x:c r="F740" s="32" t="n">
        <x:v>0.053399999999999996</x:v>
      </x:c>
      <x:c r="G740" s="32" t="n">
        <x:v>0.6291</x:v>
      </x:c>
      <x:c r="H740" s="32" t="n">
        <x:v>0.9732999999999999</x:v>
      </x:c>
      <x:c r="I740" s="39" t="n">
        <x:v>1</x:v>
      </x:c>
      <x:c r="J740" s="39" t="n">
        <x:v>1</x:v>
      </x:c>
      <x:c r="K740" s="39" t="n">
        <x:v>1</x:v>
      </x:c>
      <x:c r="L740" s="39" t="n">
        <x:v>1</x:v>
      </x:c>
    </x:row>
    <x:row r="741" ht="23" customHeight="1">
      <x:c r="B741" s="17" t="str">
        <x:v>Round1</x:v>
      </x:c>
      <x:c r="C741" s="17" t="str">
        <x:v>line</x:v>
      </x:c>
      <x:c r="D741" s="17" t="str">
        <x:v>Math_1</x:v>
      </x:c>
      <x:c r="E741" s="32" t="n">
        <x:v>0.9718000000000001</x:v>
      </x:c>
      <x:c r="F741" s="32" t="n">
        <x:v>0.9388</x:v>
      </x:c>
      <x:c r="G741" s="32" t="n">
        <x:v>0.8493999999999999</x:v>
      </x:c>
      <x:c r="H741" s="32" t="n">
        <x:v>0.3718</x:v>
      </x:c>
      <x:c r="I741" s="39" t="n">
        <x:v>1</x:v>
      </x:c>
      <x:c r="J741" s="39" t="n">
        <x:v>1</x:v>
      </x:c>
      <x:c r="K741" s="39" t="n">
        <x:v>1</x:v>
      </x:c>
      <x:c r="L741" s="39" t="n">
        <x:v>1</x:v>
      </x:c>
    </x:row>
    <x:row r="742" ht="23" customHeight="1">
      <x:c r="B742" s="17" t="str">
        <x:v>Round1</x:v>
      </x:c>
      <x:c r="C742" s="17" t="str">
        <x:v>line</x:v>
      </x:c>
      <x:c r="D742" s="17" t="str">
        <x:v>Math_10</x:v>
      </x:c>
      <x:c r="E742" s="32" t="n">
        <x:v>0.8065000000000001</x:v>
      </x:c>
      <x:c r="F742" s="32" t="n">
        <x:v>0.2948</x:v>
      </x:c>
      <x:c r="G742" s="32" t="n">
        <x:v>0.8170000000000001</x:v>
      </x:c>
      <x:c r="H742" s="32" t="n">
        <x:v>0.0018</x:v>
      </x:c>
      <x:c r="I742" s="39" t="n">
        <x:v>1</x:v>
      </x:c>
      <x:c r="J742" s="39" t="n">
        <x:v>1</x:v>
      </x:c>
      <x:c r="K742" s="39" t="n">
        <x:v>1</x:v>
      </x:c>
      <x:c r="L742" s="39" t="n">
        <x:v>1</x:v>
      </x:c>
    </x:row>
    <x:row r="743" ht="23" customHeight="1">
      <x:c r="B743" s="17" t="str">
        <x:v>Round1</x:v>
      </x:c>
      <x:c r="C743" s="17" t="str">
        <x:v>line</x:v>
      </x:c>
      <x:c r="D743" s="17" t="str">
        <x:v>Math_101</x:v>
      </x:c>
      <x:c r="E743" s="32" t="n">
        <x:v>0.993</x:v>
      </x:c>
      <x:c r="F743" s="32" t="n">
        <x:v>0.7413</x:v>
      </x:c>
      <x:c r="G743" s="32" t="n">
        <x:v>0.951</x:v>
      </x:c>
      <x:c r="H743" s="32" t="n">
        <x:v>0</x:v>
      </x:c>
      <x:c r="I743" s="39" t="n">
        <x:v>1</x:v>
      </x:c>
      <x:c r="J743" s="39" t="n">
        <x:v>1</x:v>
      </x:c>
      <x:c r="K743" s="39" t="n">
        <x:v>1</x:v>
      </x:c>
      <x:c r="L743" s="39" t="n">
        <x:v>1</x:v>
      </x:c>
    </x:row>
    <x:row r="744" ht="23" customHeight="1">
      <x:c r="B744" s="17" t="str">
        <x:v>Round1</x:v>
      </x:c>
      <x:c r="C744" s="17" t="str">
        <x:v>line</x:v>
      </x:c>
      <x:c r="D744" s="17" t="str">
        <x:v>Math_104</x:v>
      </x:c>
      <x:c r="E744" s="32" t="n">
        <x:v>0.9573999999999999</x:v>
      </x:c>
      <x:c r="F744" s="32" t="n">
        <x:v>0.9573999999999999</x:v>
      </x:c>
      <x:c r="G744" s="32" t="n">
        <x:v>0.8936</x:v>
      </x:c>
      <x:c r="H744" s="32" t="n">
        <x:v>0.7659999999999999</x:v>
      </x:c>
      <x:c r="I744" s="39" t="n">
        <x:v>1</x:v>
      </x:c>
      <x:c r="J744" s="39" t="n">
        <x:v>1</x:v>
      </x:c>
      <x:c r="K744" s="39" t="n">
        <x:v>1</x:v>
      </x:c>
      <x:c r="L744" s="39" t="n">
        <x:v>1</x:v>
      </x:c>
    </x:row>
    <x:row r="745" ht="23" customHeight="1">
      <x:c r="B745" s="17" t="str">
        <x:v>Round1</x:v>
      </x:c>
      <x:c r="C745" s="17" t="str">
        <x:v>line</x:v>
      </x:c>
      <x:c r="D745" s="17" t="str">
        <x:v>Math_105</x:v>
      </x:c>
      <x:c r="E745" s="32" t="n">
        <x:v>1</x:v>
      </x:c>
      <x:c r="F745" s="32" t="n">
        <x:v>0.9577</x:v>
      </x:c>
      <x:c r="G745" s="32" t="n">
        <x:v>1</x:v>
      </x:c>
      <x:c r="H745" s="32" t="n">
        <x:v>0.7323999999999999</x:v>
      </x:c>
      <x:c r="I745" s="39" t="n">
        <x:v>1</x:v>
      </x:c>
      <x:c r="J745" s="39" t="n">
        <x:v>1</x:v>
      </x:c>
      <x:c r="K745" s="39" t="n">
        <x:v>1</x:v>
      </x:c>
      <x:c r="L745" s="39" t="n">
        <x:v>1</x:v>
      </x:c>
    </x:row>
    <x:row r="746" ht="23" customHeight="1">
      <x:c r="B746" s="17" t="str">
        <x:v>Round1</x:v>
      </x:c>
      <x:c r="C746" s="17" t="str">
        <x:v>line</x:v>
      </x:c>
      <x:c r="D746" s="17" t="str">
        <x:v>Math_106</x:v>
      </x:c>
      <x:c r="E746" s="32" t="n">
        <x:v>1</x:v>
      </x:c>
      <x:c r="F746" s="32" t="n">
        <x:v>0.8595999999999999</x:v>
      </x:c>
      <x:c r="G746" s="32" t="n">
        <x:v>0.8946999999999999</x:v>
      </x:c>
      <x:c r="H746" s="32" t="n">
        <x:v>0.807</x:v>
      </x:c>
      <x:c r="I746" s="39" t="n">
        <x:v>1</x:v>
      </x:c>
      <x:c r="J746" s="39" t="n">
        <x:v>1</x:v>
      </x:c>
      <x:c r="K746" s="39" t="n">
        <x:v>1</x:v>
      </x:c>
      <x:c r="L746" s="39" t="n">
        <x:v>1</x:v>
      </x:c>
    </x:row>
    <x:row r="747" ht="23" customHeight="1">
      <x:c r="B747" s="17" t="str">
        <x:v>Round1</x:v>
      </x:c>
      <x:c r="C747" s="17" t="str">
        <x:v>line</x:v>
      </x:c>
      <x:c r="D747" s="17" t="str">
        <x:v>Math_12</x:v>
      </x:c>
      <x:c r="E747" s="32" t="n">
        <x:v>1</x:v>
      </x:c>
      <x:c r="F747" s="32" t="n">
        <x:v>0</x:v>
      </x:c>
      <x:c r="G747" s="32" t="n">
        <x:v>0.9582999999999999</x:v>
      </x:c>
      <x:c r="H747" s="32" t="n">
        <x:v>1</x:v>
      </x:c>
      <x:c r="I747" s="39" t="n">
        <x:v>1</x:v>
      </x:c>
      <x:c r="J747" s="39" t="n">
        <x:v>1</x:v>
      </x:c>
      <x:c r="K747" s="39" t="n">
        <x:v>1</x:v>
      </x:c>
      <x:c r="L747" s="39" t="n">
        <x:v>1</x:v>
      </x:c>
    </x:row>
    <x:row r="748" ht="23" customHeight="1">
      <x:c r="B748" s="17" t="str">
        <x:v>Round1</x:v>
      </x:c>
      <x:c r="C748" s="17" t="str">
        <x:v>line</x:v>
      </x:c>
      <x:c r="D748" s="17" t="str">
        <x:v>Math_15</x:v>
      </x:c>
      <x:c r="E748" s="32" t="n">
        <x:v>0.9299</x:v>
      </x:c>
      <x:c r="F748" s="32" t="n">
        <x:v>0.9118</x:v>
      </x:c>
      <x:c r="G748" s="32" t="n">
        <x:v>0.5317000000000001</x:v>
      </x:c>
      <x:c r="H748" s="32" t="n">
        <x:v>0.0087</x:v>
      </x:c>
      <x:c r="I748" s="39" t="n">
        <x:v>1</x:v>
      </x:c>
      <x:c r="J748" s="39" t="n">
        <x:v>1</x:v>
      </x:c>
      <x:c r="K748" s="39" t="n">
        <x:v>1</x:v>
      </x:c>
      <x:c r="L748" s="39" t="n">
        <x:v>1</x:v>
      </x:c>
    </x:row>
    <x:row r="749" ht="23" customHeight="1">
      <x:c r="B749" s="17" t="str">
        <x:v>Round1</x:v>
      </x:c>
      <x:c r="C749" s="17" t="str">
        <x:v>line</x:v>
      </x:c>
      <x:c r="D749" s="17" t="str">
        <x:v>Math_16</x:v>
      </x:c>
      <x:c r="E749" s="32" t="n">
        <x:v>0.9245</x:v>
      </x:c>
      <x:c r="F749" s="32" t="n">
        <x:v>0.2965</x:v>
      </x:c>
      <x:c r="G749" s="32" t="n">
        <x:v>0.564</x:v>
      </x:c>
      <x:c r="H749" s="32" t="n">
        <x:v>0.008100000000000001</x:v>
      </x:c>
      <x:c r="I749" s="39" t="n">
        <x:v>1</x:v>
      </x:c>
      <x:c r="J749" s="39" t="n">
        <x:v>1</x:v>
      </x:c>
      <x:c r="K749" s="39" t="n">
        <x:v>1</x:v>
      </x:c>
      <x:c r="L749" s="39" t="n">
        <x:v>1</x:v>
      </x:c>
    </x:row>
    <x:row r="750" ht="23" customHeight="1">
      <x:c r="B750" s="17" t="str">
        <x:v>Round1</x:v>
      </x:c>
      <x:c r="C750" s="17" t="str">
        <x:v>line</x:v>
      </x:c>
      <x:c r="D750" s="17" t="str">
        <x:v>Math_2</x:v>
      </x:c>
      <x:c r="E750" s="32" t="n">
        <x:v>1</x:v>
      </x:c>
      <x:c r="F750" s="32" t="n">
        <x:v>1</x:v>
      </x:c>
      <x:c r="G750" s="32" t="n">
        <x:v>0.9865</x:v>
      </x:c>
      <x:c r="H750" s="32" t="n">
        <x:v>0.7027</x:v>
      </x:c>
      <x:c r="I750" s="39" t="n">
        <x:v>1</x:v>
      </x:c>
      <x:c r="J750" s="39" t="n">
        <x:v>1</x:v>
      </x:c>
      <x:c r="K750" s="39" t="n">
        <x:v>1</x:v>
      </x:c>
      <x:c r="L750" s="39" t="n">
        <x:v>1</x:v>
      </x:c>
    </x:row>
    <x:row r="751" ht="23" customHeight="1">
      <x:c r="B751" s="17" t="str">
        <x:v>Round1</x:v>
      </x:c>
      <x:c r="C751" s="17" t="str">
        <x:v>line</x:v>
      </x:c>
      <x:c r="D751" s="17" t="str">
        <x:v>Math_21</x:v>
      </x:c>
      <x:c r="E751" s="32" t="n">
        <x:v>1</x:v>
      </x:c>
      <x:c r="F751" s="32" t="n">
        <x:v>0.0385</x:v>
      </x:c>
      <x:c r="G751" s="32" t="n">
        <x:v>1</x:v>
      </x:c>
      <x:c r="H751" s="32" t="n">
        <x:v>1</x:v>
      </x:c>
      <x:c r="I751" s="39" t="n">
        <x:v>1</x:v>
      </x:c>
      <x:c r="J751" s="39" t="n">
        <x:v>1</x:v>
      </x:c>
      <x:c r="K751" s="39" t="n">
        <x:v>1</x:v>
      </x:c>
      <x:c r="L751" s="39" t="n">
        <x:v>1</x:v>
      </x:c>
    </x:row>
    <x:row r="752" ht="23" customHeight="1">
      <x:c r="B752" s="17" t="str">
        <x:v>Round1</x:v>
      </x:c>
      <x:c r="C752" s="17" t="str">
        <x:v>line</x:v>
      </x:c>
      <x:c r="D752" s="17" t="str">
        <x:v>Math_40</x:v>
      </x:c>
      <x:c r="E752" s="32" t="n">
        <x:v>0.9921</x:v>
      </x:c>
      <x:c r="F752" s="32" t="n">
        <x:v>0.24600000000000002</x:v>
      </x:c>
      <x:c r="G752" s="32" t="n">
        <x:v>0.8016</x:v>
      </x:c>
      <x:c r="H752" s="32" t="n">
        <x:v>0</x:v>
      </x:c>
      <x:c r="I752" s="39" t="n">
        <x:v>1</x:v>
      </x:c>
      <x:c r="J752" s="39" t="n">
        <x:v>1</x:v>
      </x:c>
      <x:c r="K752" s="39" t="n">
        <x:v>1</x:v>
      </x:c>
      <x:c r="L752" s="39" t="n">
        <x:v>1</x:v>
      </x:c>
    </x:row>
    <x:row r="753" ht="23" customHeight="1">
      <x:c r="B753" s="17" t="str">
        <x:v>Round1</x:v>
      </x:c>
      <x:c r="C753" s="17" t="str">
        <x:v>line</x:v>
      </x:c>
      <x:c r="D753" s="17" t="str">
        <x:v>Math_41</x:v>
      </x:c>
      <x:c r="E753" s="32" t="n">
        <x:v>0.9911</x:v>
      </x:c>
      <x:c r="F753" s="32" t="n">
        <x:v>0.8036</x:v>
      </x:c>
      <x:c r="G753" s="32" t="n">
        <x:v>0.9196</x:v>
      </x:c>
      <x:c r="H753" s="32" t="n">
        <x:v>0</x:v>
      </x:c>
      <x:c r="I753" s="39" t="n">
        <x:v>1</x:v>
      </x:c>
      <x:c r="J753" s="39" t="n">
        <x:v>1</x:v>
      </x:c>
      <x:c r="K753" s="39" t="n">
        <x:v>1</x:v>
      </x:c>
      <x:c r="L753" s="39" t="n">
        <x:v>1</x:v>
      </x:c>
    </x:row>
    <x:row r="754" ht="23" customHeight="1">
      <x:c r="B754" s="17" t="str">
        <x:v>Round1</x:v>
      </x:c>
      <x:c r="C754" s="17" t="str">
        <x:v>line</x:v>
      </x:c>
      <x:c r="D754" s="17" t="str">
        <x:v>Math_42</x:v>
      </x:c>
      <x:c r="E754" s="32" t="n">
        <x:v>0.9508</x:v>
      </x:c>
      <x:c r="F754" s="32" t="n">
        <x:v>0.0765</x:v>
      </x:c>
      <x:c r="G754" s="32" t="n">
        <x:v>0.7143</x:v>
      </x:c>
      <x:c r="H754" s="32" t="n">
        <x:v>0</x:v>
      </x:c>
      <x:c r="I754" s="39" t="n">
        <x:v>1</x:v>
      </x:c>
      <x:c r="J754" s="39" t="n">
        <x:v>1</x:v>
      </x:c>
      <x:c r="K754" s="39" t="n">
        <x:v>1</x:v>
      </x:c>
      <x:c r="L754" s="39" t="n">
        <x:v>1</x:v>
      </x:c>
    </x:row>
    <x:row r="755" ht="23" customHeight="1">
      <x:c r="B755" s="17" t="str">
        <x:v>Round1</x:v>
      </x:c>
      <x:c r="C755" s="17" t="str">
        <x:v>line</x:v>
      </x:c>
      <x:c r="D755" s="17" t="str">
        <x:v>Math_43</x:v>
      </x:c>
      <x:c r="E755" s="32" t="n">
        <x:v>1</x:v>
      </x:c>
      <x:c r="F755" s="32" t="n">
        <x:v>0.9427</x:v>
      </x:c>
      <x:c r="G755" s="32" t="n">
        <x:v>0.8957999999999999</x:v>
      </x:c>
      <x:c r="H755" s="32" t="n">
        <x:v>0</x:v>
      </x:c>
      <x:c r="I755" s="39" t="n">
        <x:v>1</x:v>
      </x:c>
      <x:c r="J755" s="39" t="n">
        <x:v>1</x:v>
      </x:c>
      <x:c r="K755" s="39" t="n">
        <x:v>1</x:v>
      </x:c>
      <x:c r="L755" s="39" t="n">
        <x:v>1</x:v>
      </x:c>
    </x:row>
    <x:row r="756" ht="23" customHeight="1">
      <x:c r="B756" s="17" t="str">
        <x:v>Round1</x:v>
      </x:c>
      <x:c r="C756" s="17" t="str">
        <x:v>line</x:v>
      </x:c>
      <x:c r="D756" s="17" t="str">
        <x:v>Math_45</x:v>
      </x:c>
      <x:c r="E756" s="32" t="n">
        <x:v>0.6701</x:v>
      </x:c>
      <x:c r="F756" s="32" t="n">
        <x:v>0.8247</x:v>
      </x:c>
      <x:c r="G756" s="32" t="n">
        <x:v>0.9588</x:v>
      </x:c>
      <x:c r="H756" s="32" t="n">
        <x:v>0</x:v>
      </x:c>
      <x:c r="I756" s="39" t="n">
        <x:v>1</x:v>
      </x:c>
      <x:c r="J756" s="39" t="n">
        <x:v>1</x:v>
      </x:c>
      <x:c r="K756" s="39" t="n">
        <x:v>1</x:v>
      </x:c>
      <x:c r="L756" s="39" t="n">
        <x:v>1</x:v>
      </x:c>
    </x:row>
    <x:row r="757" ht="23" customHeight="1">
      <x:c r="B757" s="17" t="str">
        <x:v>Round1</x:v>
      </x:c>
      <x:c r="C757" s="17" t="str">
        <x:v>line</x:v>
      </x:c>
      <x:c r="D757" s="17" t="str">
        <x:v>Math_56</x:v>
      </x:c>
      <x:c r="E757" s="32" t="n">
        <x:v>1</x:v>
      </x:c>
      <x:c r="F757" s="32" t="n">
        <x:v>0.9732999999999999</x:v>
      </x:c>
      <x:c r="G757" s="32" t="n">
        <x:v>0.9867</x:v>
      </x:c>
      <x:c r="H757" s="32" t="n">
        <x:v>0</x:v>
      </x:c>
      <x:c r="I757" s="39" t="n">
        <x:v>1</x:v>
      </x:c>
      <x:c r="J757" s="39" t="n">
        <x:v>1</x:v>
      </x:c>
      <x:c r="K757" s="39" t="n">
        <x:v>1</x:v>
      </x:c>
      <x:c r="L757" s="39" t="n">
        <x:v>1</x:v>
      </x:c>
    </x:row>
    <x:row r="758" ht="23" customHeight="1">
      <x:c r="B758" s="17" t="str">
        <x:v>Round1</x:v>
      </x:c>
      <x:c r="C758" s="17" t="str">
        <x:v>line</x:v>
      </x:c>
      <x:c r="D758" s="17" t="str">
        <x:v>Math_59</x:v>
      </x:c>
      <x:c r="E758" s="32" t="n">
        <x:v>0.9425</x:v>
      </x:c>
      <x:c r="F758" s="32" t="n">
        <x:v>0.9342</x:v>
      </x:c>
      <x:c r="G758" s="32" t="n">
        <x:v>0.7037</x:v>
      </x:c>
      <x:c r="H758" s="32" t="n">
        <x:v>0.184</x:v>
      </x:c>
      <x:c r="I758" s="39" t="n">
        <x:v>1</x:v>
      </x:c>
      <x:c r="J758" s="39" t="n">
        <x:v>1</x:v>
      </x:c>
      <x:c r="K758" s="39" t="n">
        <x:v>1</x:v>
      </x:c>
      <x:c r="L758" s="39" t="n">
        <x:v>1</x:v>
      </x:c>
    </x:row>
    <x:row r="759" ht="23" customHeight="1">
      <x:c r="B759" s="17" t="str">
        <x:v>Round1</x:v>
      </x:c>
      <x:c r="C759" s="17" t="str">
        <x:v>line</x:v>
      </x:c>
      <x:c r="D759" s="17" t="str">
        <x:v>Math_61</x:v>
      </x:c>
      <x:c r="E759" s="32" t="n">
        <x:v>1</x:v>
      </x:c>
      <x:c r="F759" s="32" t="n">
        <x:v>0.9118</x:v>
      </x:c>
      <x:c r="G759" s="32" t="n">
        <x:v>0.8234999999999999</x:v>
      </x:c>
      <x:c r="H759" s="32" t="n">
        <x:v>0</x:v>
      </x:c>
      <x:c r="I759" s="39" t="n">
        <x:v>1</x:v>
      </x:c>
      <x:c r="J759" s="39" t="n">
        <x:v>1</x:v>
      </x:c>
      <x:c r="K759" s="39" t="n">
        <x:v>1</x:v>
      </x:c>
      <x:c r="L759" s="39" t="n">
        <x:v>1</x:v>
      </x:c>
    </x:row>
    <x:row r="760" ht="23" customHeight="1">
      <x:c r="B760" s="17" t="str">
        <x:v>Round1</x:v>
      </x:c>
      <x:c r="C760" s="17" t="str">
        <x:v>line</x:v>
      </x:c>
      <x:c r="D760" s="17" t="str">
        <x:v>Math_63</x:v>
      </x:c>
      <x:c r="E760" s="32" t="n">
        <x:v>0.9131</x:v>
      </x:c>
      <x:c r="F760" s="32" t="n">
        <x:v>0.8089</x:v>
      </x:c>
      <x:c r="G760" s="32" t="n">
        <x:v>0.6139</x:v>
      </x:c>
      <x:c r="H760" s="32" t="n">
        <x:v>0.0039000000000000003</x:v>
      </x:c>
      <x:c r="I760" s="39" t="n">
        <x:v>1</x:v>
      </x:c>
      <x:c r="J760" s="39" t="n">
        <x:v>1</x:v>
      </x:c>
      <x:c r="K760" s="39" t="n">
        <x:v>1</x:v>
      </x:c>
      <x:c r="L760" s="39" t="n">
        <x:v>1</x:v>
      </x:c>
    </x:row>
    <x:row r="761" ht="23" customHeight="1">
      <x:c r="B761" s="17" t="str">
        <x:v>Round1</x:v>
      </x:c>
      <x:c r="C761" s="17" t="str">
        <x:v>line</x:v>
      </x:c>
      <x:c r="D761" s="17" t="str">
        <x:v>Math_66</x:v>
      </x:c>
      <x:c r="E761" s="32" t="n">
        <x:v>1</x:v>
      </x:c>
      <x:c r="F761" s="32" t="n">
        <x:v>0.2647</x:v>
      </x:c>
      <x:c r="G761" s="32" t="n">
        <x:v>1</x:v>
      </x:c>
      <x:c r="H761" s="32" t="n">
        <x:v>0.0098</x:v>
      </x:c>
      <x:c r="I761" s="39" t="n">
        <x:v>1</x:v>
      </x:c>
      <x:c r="J761" s="39" t="n">
        <x:v>1</x:v>
      </x:c>
      <x:c r="K761" s="39" t="n">
        <x:v>1</x:v>
      </x:c>
      <x:c r="L761" s="39" t="n">
        <x:v>1</x:v>
      </x:c>
    </x:row>
    <x:row r="762" ht="23" customHeight="1">
      <x:c r="B762" s="17" t="str">
        <x:v>Round1</x:v>
      </x:c>
      <x:c r="C762" s="17" t="str">
        <x:v>line</x:v>
      </x:c>
      <x:c r="D762" s="17" t="str">
        <x:v>Math_67</x:v>
      </x:c>
      <x:c r="E762" s="32" t="n">
        <x:v>0.871</x:v>
      </x:c>
      <x:c r="F762" s="32" t="n">
        <x:v>0.4946</x:v>
      </x:c>
      <x:c r="G762" s="32" t="n">
        <x:v>0.8172</x:v>
      </x:c>
      <x:c r="H762" s="32" t="n">
        <x:v>0</x:v>
      </x:c>
      <x:c r="I762" s="39" t="n">
        <x:v>1</x:v>
      </x:c>
      <x:c r="J762" s="39" t="n">
        <x:v>1</x:v>
      </x:c>
      <x:c r="K762" s="39" t="n">
        <x:v>1</x:v>
      </x:c>
      <x:c r="L762" s="39" t="n">
        <x:v>1</x:v>
      </x:c>
    </x:row>
    <x:row r="763" ht="23" customHeight="1">
      <x:c r="B763" s="17" t="str">
        <x:v>Round1</x:v>
      </x:c>
      <x:c r="C763" s="17" t="str">
        <x:v>line</x:v>
      </x:c>
      <x:c r="D763" s="17" t="str">
        <x:v>Math_69</x:v>
      </x:c>
      <x:c r="E763" s="32" t="n">
        <x:v>1</x:v>
      </x:c>
      <x:c r="F763" s="32" t="n">
        <x:v>0.9333</x:v>
      </x:c>
      <x:c r="G763" s="32" t="n">
        <x:v>0.92</x:v>
      </x:c>
      <x:c r="H763" s="32" t="n">
        <x:v>0</x:v>
      </x:c>
      <x:c r="I763" s="39" t="n">
        <x:v>1</x:v>
      </x:c>
      <x:c r="J763" s="39" t="n">
        <x:v>1</x:v>
      </x:c>
      <x:c r="K763" s="39" t="n">
        <x:v>1</x:v>
      </x:c>
      <x:c r="L763" s="39" t="n">
        <x:v>1</x:v>
      </x:c>
    </x:row>
    <x:row r="764" ht="23" customHeight="1">
      <x:c r="B764" s="17" t="str">
        <x:v>Round1</x:v>
      </x:c>
      <x:c r="C764" s="17" t="str">
        <x:v>line</x:v>
      </x:c>
      <x:c r="D764" s="17" t="str">
        <x:v>Math_72</x:v>
      </x:c>
      <x:c r="E764" s="32" t="n">
        <x:v>1</x:v>
      </x:c>
      <x:c r="F764" s="32" t="n">
        <x:v>0.1121</x:v>
      </x:c>
      <x:c r="G764" s="32" t="n">
        <x:v>0.8598</x:v>
      </x:c>
      <x:c r="H764" s="32" t="n">
        <x:v>0</x:v>
      </x:c>
      <x:c r="I764" s="39" t="n">
        <x:v>1</x:v>
      </x:c>
      <x:c r="J764" s="39" t="n">
        <x:v>1</x:v>
      </x:c>
      <x:c r="K764" s="39" t="n">
        <x:v>1</x:v>
      </x:c>
      <x:c r="L764" s="39" t="n">
        <x:v>1</x:v>
      </x:c>
    </x:row>
    <x:row r="765" ht="23" customHeight="1">
      <x:c r="B765" s="17" t="str">
        <x:v>Round1</x:v>
      </x:c>
      <x:c r="C765" s="17" t="str">
        <x:v>line</x:v>
      </x:c>
      <x:c r="D765" s="17" t="str">
        <x:v>Math_73</x:v>
      </x:c>
      <x:c r="E765" s="32" t="n">
        <x:v>1</x:v>
      </x:c>
      <x:c r="F765" s="32" t="n">
        <x:v>0.11539999999999999</x:v>
      </x:c>
      <x:c r="G765" s="32" t="n">
        <x:v>0.8462000000000001</x:v>
      </x:c>
      <x:c r="H765" s="32" t="n">
        <x:v>0</x:v>
      </x:c>
      <x:c r="I765" s="39" t="n">
        <x:v>1</x:v>
      </x:c>
      <x:c r="J765" s="39" t="n">
        <x:v>1</x:v>
      </x:c>
      <x:c r="K765" s="39" t="n">
        <x:v>1</x:v>
      </x:c>
      <x:c r="L765" s="39" t="n">
        <x:v>1</x:v>
      </x:c>
    </x:row>
    <x:row r="766" ht="23" customHeight="1">
      <x:c r="B766" s="17" t="str">
        <x:v>Round1</x:v>
      </x:c>
      <x:c r="C766" s="17" t="str">
        <x:v>line</x:v>
      </x:c>
      <x:c r="D766" s="17" t="str">
        <x:v>Math_75</x:v>
      </x:c>
      <x:c r="E766" s="32" t="n">
        <x:v>0.9776</x:v>
      </x:c>
      <x:c r="F766" s="32" t="n">
        <x:v>0.9104000000000001</x:v>
      </x:c>
      <x:c r="G766" s="32" t="n">
        <x:v>0.8506999999999999</x:v>
      </x:c>
      <x:c r="H766" s="32" t="n">
        <x:v>0</x:v>
      </x:c>
      <x:c r="I766" s="39" t="n">
        <x:v>1</x:v>
      </x:c>
      <x:c r="J766" s="39" t="n">
        <x:v>1</x:v>
      </x:c>
      <x:c r="K766" s="39" t="n">
        <x:v>1</x:v>
      </x:c>
      <x:c r="L766" s="39" t="n">
        <x:v>1</x:v>
      </x:c>
    </x:row>
    <x:row r="767" ht="23" customHeight="1">
      <x:c r="B767" s="17" t="str">
        <x:v>Round1</x:v>
      </x:c>
      <x:c r="C767" s="17" t="str">
        <x:v>line</x:v>
      </x:c>
      <x:c r="D767" s="17" t="str">
        <x:v>Math_76</x:v>
      </x:c>
      <x:c r="E767" s="32" t="n">
        <x:v>0.9701000000000001</x:v>
      </x:c>
      <x:c r="F767" s="32" t="n">
        <x:v>0.022400000000000003</x:v>
      </x:c>
      <x:c r="G767" s="32" t="n">
        <x:v>0.7985</x:v>
      </x:c>
      <x:c r="H767" s="32" t="n">
        <x:v>0</x:v>
      </x:c>
      <x:c r="I767" s="39" t="n">
        <x:v>1</x:v>
      </x:c>
      <x:c r="J767" s="39" t="n">
        <x:v>1</x:v>
      </x:c>
      <x:c r="K767" s="39" t="n">
        <x:v>1</x:v>
      </x:c>
      <x:c r="L767" s="39" t="n">
        <x:v>1</x:v>
      </x:c>
    </x:row>
    <x:row r="768" ht="23" customHeight="1">
      <x:c r="B768" s="17" t="str">
        <x:v>Round1</x:v>
      </x:c>
      <x:c r="C768" s="17" t="str">
        <x:v>line</x:v>
      </x:c>
      <x:c r="D768" s="17" t="str">
        <x:v>Math_79</x:v>
      </x:c>
      <x:c r="E768" s="32" t="n">
        <x:v>0.9405</x:v>
      </x:c>
      <x:c r="F768" s="32" t="n">
        <x:v>0.35950000000000004</x:v>
      </x:c>
      <x:c r="G768" s="32" t="n">
        <x:v>0.6333</x:v>
      </x:c>
      <x:c r="H768" s="32" t="n">
        <x:v>0.0048</x:v>
      </x:c>
      <x:c r="I768" s="39" t="n">
        <x:v>1</x:v>
      </x:c>
      <x:c r="J768" s="39" t="n">
        <x:v>1</x:v>
      </x:c>
      <x:c r="K768" s="39" t="n">
        <x:v>1</x:v>
      </x:c>
      <x:c r="L768" s="39" t="n">
        <x:v>1</x:v>
      </x:c>
    </x:row>
    <x:row r="769" ht="23" customHeight="1">
      <x:c r="B769" s="17" t="str">
        <x:v>Round1</x:v>
      </x:c>
      <x:c r="C769" s="17" t="str">
        <x:v>line</x:v>
      </x:c>
      <x:c r="D769" s="17" t="str">
        <x:v>Math_8</x:v>
      </x:c>
      <x:c r="E769" s="32" t="n">
        <x:v>0.975</x:v>
      </x:c>
      <x:c r="F769" s="32" t="n">
        <x:v>0.175</x:v>
      </x:c>
      <x:c r="G769" s="32" t="n">
        <x:v>0.975</x:v>
      </x:c>
      <x:c r="H769" s="32" t="n">
        <x:v>0</x:v>
      </x:c>
      <x:c r="I769" s="39" t="n">
        <x:v>1</x:v>
      </x:c>
      <x:c r="J769" s="39" t="n">
        <x:v>1</x:v>
      </x:c>
      <x:c r="K769" s="39" t="n">
        <x:v>1</x:v>
      </x:c>
      <x:c r="L769" s="39" t="n">
        <x:v>1</x:v>
      </x:c>
    </x:row>
    <x:row r="770" ht="23" customHeight="1">
      <x:c r="B770" s="17" t="str">
        <x:v>Round1</x:v>
      </x:c>
      <x:c r="C770" s="17" t="str">
        <x:v>line</x:v>
      </x:c>
      <x:c r="D770" s="17" t="str">
        <x:v>Math_80</x:v>
      </x:c>
      <x:c r="E770" s="32" t="n">
        <x:v>0.8327</x:v>
      </x:c>
      <x:c r="F770" s="32" t="n">
        <x:v>0.2082</x:v>
      </x:c>
      <x:c r="G770" s="32" t="n">
        <x:v>0.33020000000000005</x:v>
      </x:c>
      <x:c r="H770" s="32" t="n">
        <x:v>0</x:v>
      </x:c>
      <x:c r="I770" s="39" t="n">
        <x:v>1</x:v>
      </x:c>
      <x:c r="J770" s="39" t="n">
        <x:v>1</x:v>
      </x:c>
      <x:c r="K770" s="39" t="n">
        <x:v>1</x:v>
      </x:c>
      <x:c r="L770" s="39" t="n">
        <x:v>1</x:v>
      </x:c>
    </x:row>
    <x:row r="771" ht="23" customHeight="1">
      <x:c r="B771" s="17" t="str">
        <x:v>Round1</x:v>
      </x:c>
      <x:c r="C771" s="17" t="str">
        <x:v>line</x:v>
      </x:c>
      <x:c r="D771" s="17" t="str">
        <x:v>Math_81</x:v>
      </x:c>
      <x:c r="E771" s="32" t="n">
        <x:v>0.8419</x:v>
      </x:c>
      <x:c r="F771" s="32" t="n">
        <x:v>0.2073</x:v>
      </x:c>
      <x:c r="G771" s="32" t="n">
        <x:v>0.3353</x:v>
      </x:c>
      <x:c r="H771" s="32" t="n">
        <x:v>0</x:v>
      </x:c>
      <x:c r="I771" s="39" t="n">
        <x:v>1</x:v>
      </x:c>
      <x:c r="J771" s="39" t="n">
        <x:v>1</x:v>
      </x:c>
      <x:c r="K771" s="39" t="n">
        <x:v>1</x:v>
      </x:c>
      <x:c r="L771" s="39" t="n">
        <x:v>1</x:v>
      </x:c>
    </x:row>
    <x:row r="772" ht="23" customHeight="1">
      <x:c r="B772" s="17" t="str">
        <x:v>Round1</x:v>
      </x:c>
      <x:c r="C772" s="17" t="str">
        <x:v>line</x:v>
      </x:c>
      <x:c r="D772" s="17" t="str">
        <x:v>Math_85</x:v>
      </x:c>
      <x:c r="E772" s="32" t="n">
        <x:v>0.9473999999999999</x:v>
      </x:c>
      <x:c r="F772" s="32" t="n">
        <x:v>0.21050000000000002</x:v>
      </x:c>
      <x:c r="G772" s="32" t="n">
        <x:v>0.9211</x:v>
      </x:c>
      <x:c r="H772" s="32" t="n">
        <x:v>0</x:v>
      </x:c>
      <x:c r="I772" s="39" t="n">
        <x:v>1</x:v>
      </x:c>
      <x:c r="J772" s="39" t="n">
        <x:v>1</x:v>
      </x:c>
      <x:c r="K772" s="39" t="n">
        <x:v>1</x:v>
      </x:c>
      <x:c r="L772" s="39" t="n">
        <x:v>1</x:v>
      </x:c>
    </x:row>
    <x:row r="773" ht="23" customHeight="1">
      <x:c r="B773" s="17" t="str">
        <x:v>Round1</x:v>
      </x:c>
      <x:c r="C773" s="17" t="str">
        <x:v>line</x:v>
      </x:c>
      <x:c r="D773" s="17" t="str">
        <x:v>Math_87</x:v>
      </x:c>
      <x:c r="E773" s="32" t="n">
        <x:v>0.0724</x:v>
      </x:c>
      <x:c r="F773" s="32" t="n">
        <x:v>0.0395</x:v>
      </x:c>
      <x:c r="G773" s="32" t="n">
        <x:v>0.0724</x:v>
      </x:c>
      <x:c r="H773" s="32" t="n">
        <x:v>0</x:v>
      </x:c>
      <x:c r="I773" s="39" t="n">
        <x:v>1</x:v>
      </x:c>
      <x:c r="J773" s="39" t="n">
        <x:v>1</x:v>
      </x:c>
      <x:c r="K773" s="39" t="n">
        <x:v>1</x:v>
      </x:c>
      <x:c r="L773" s="39" t="n">
        <x:v>1</x:v>
      </x:c>
    </x:row>
    <x:row r="774" ht="23" customHeight="1">
      <x:c r="B774" s="17" t="str">
        <x:v>Round1</x:v>
      </x:c>
      <x:c r="C774" s="17" t="str">
        <x:v>line</x:v>
      </x:c>
      <x:c r="D774" s="17" t="str">
        <x:v>Math_89</x:v>
      </x:c>
      <x:c r="E774" s="32" t="n">
        <x:v>1</x:v>
      </x:c>
      <x:c r="F774" s="32" t="n">
        <x:v>0.9906999999999999</x:v>
      </x:c>
      <x:c r="G774" s="32" t="n">
        <x:v>0.8981</x:v>
      </x:c>
      <x:c r="H774" s="32" t="n">
        <x:v>0</x:v>
      </x:c>
      <x:c r="I774" s="39" t="n">
        <x:v>1</x:v>
      </x:c>
      <x:c r="J774" s="39" t="n">
        <x:v>1</x:v>
      </x:c>
      <x:c r="K774" s="39" t="n">
        <x:v>1</x:v>
      </x:c>
      <x:c r="L774" s="39" t="n">
        <x:v>1</x:v>
      </x:c>
    </x:row>
    <x:row r="775" ht="23" customHeight="1">
      <x:c r="B775" s="17" t="str">
        <x:v>Round1</x:v>
      </x:c>
      <x:c r="C775" s="17" t="str">
        <x:v>line</x:v>
      </x:c>
      <x:c r="D775" s="17" t="str">
        <x:v>Math_90</x:v>
      </x:c>
      <x:c r="E775" s="32" t="n">
        <x:v>0.9906</x:v>
      </x:c>
      <x:c r="F775" s="32" t="n">
        <x:v>0.9906</x:v>
      </x:c>
      <x:c r="G775" s="32" t="n">
        <x:v>0.8208</x:v>
      </x:c>
      <x:c r="H775" s="32" t="n">
        <x:v>0</x:v>
      </x:c>
      <x:c r="I775" s="39" t="n">
        <x:v>1</x:v>
      </x:c>
      <x:c r="J775" s="39" t="n">
        <x:v>1</x:v>
      </x:c>
      <x:c r="K775" s="39" t="n">
        <x:v>1</x:v>
      </x:c>
      <x:c r="L775" s="39" t="n">
        <x:v>1</x:v>
      </x:c>
    </x:row>
    <x:row r="776" ht="23" customHeight="1">
      <x:c r="B776" s="17" t="str">
        <x:v>Round1</x:v>
      </x:c>
      <x:c r="C776" s="17" t="str">
        <x:v>line</x:v>
      </x:c>
      <x:c r="D776" s="17" t="str">
        <x:v>Math_92</x:v>
      </x:c>
      <x:c r="E776" s="32" t="n">
        <x:v>0.8658</x:v>
      </x:c>
      <x:c r="F776" s="32" t="n">
        <x:v>0.6277</x:v>
      </x:c>
      <x:c r="G776" s="32" t="n">
        <x:v>0.7965000000000001</x:v>
      </x:c>
      <x:c r="H776" s="32" t="n">
        <x:v>0.0043</x:v>
      </x:c>
      <x:c r="I776" s="39" t="n">
        <x:v>1</x:v>
      </x:c>
      <x:c r="J776" s="39" t="n">
        <x:v>1</x:v>
      </x:c>
      <x:c r="K776" s="39" t="n">
        <x:v>1</x:v>
      </x:c>
      <x:c r="L776" s="39" t="n">
        <x:v>1</x:v>
      </x:c>
    </x:row>
    <x:row r="777" ht="23" customHeight="1">
      <x:c r="B777" s="17" t="str">
        <x:v>Round1</x:v>
      </x:c>
      <x:c r="C777" s="17" t="str">
        <x:v>line</x:v>
      </x:c>
      <x:c r="D777" s="17" t="str">
        <x:v>Math_93</x:v>
      </x:c>
      <x:c r="E777" s="32" t="n">
        <x:v>0.8673000000000001</x:v>
      </x:c>
      <x:c r="F777" s="32" t="n">
        <x:v>0.6239</x:v>
      </x:c>
      <x:c r="G777" s="32" t="n">
        <x:v>0.9336</x:v>
      </x:c>
      <x:c r="H777" s="32" t="n">
        <x:v>0.0044</x:v>
      </x:c>
      <x:c r="I777" s="39" t="n">
        <x:v>1</x:v>
      </x:c>
      <x:c r="J777" s="39" t="n">
        <x:v>1</x:v>
      </x:c>
      <x:c r="K777" s="39" t="n">
        <x:v>1</x:v>
      </x:c>
      <x:c r="L777" s="39" t="n">
        <x:v>1</x:v>
      </x:c>
    </x:row>
    <x:row r="778" ht="23" customHeight="1">
      <x:c r="B778" s="17" t="str">
        <x:v>Round1</x:v>
      </x:c>
      <x:c r="C778" s="17" t="str">
        <x:v>line</x:v>
      </x:c>
      <x:c r="D778" s="17" t="str">
        <x:v>Math_94</x:v>
      </x:c>
      <x:c r="E778" s="32" t="n">
        <x:v>0.9111</x:v>
      </x:c>
      <x:c r="F778" s="32" t="n">
        <x:v>0.6222</x:v>
      </x:c>
      <x:c r="G778" s="32" t="n">
        <x:v>0.8</x:v>
      </x:c>
      <x:c r="H778" s="32" t="n">
        <x:v>0</x:v>
      </x:c>
      <x:c r="I778" s="39" t="n">
        <x:v>1</x:v>
      </x:c>
      <x:c r="J778" s="39" t="n">
        <x:v>1</x:v>
      </x:c>
      <x:c r="K778" s="39" t="n">
        <x:v>1</x:v>
      </x:c>
      <x:c r="L778" s="39" t="n">
        <x:v>1</x:v>
      </x:c>
    </x:row>
    <x:row r="779" ht="23" customHeight="1">
      <x:c r="B779" s="17" t="str">
        <x:v>Round1</x:v>
      </x:c>
      <x:c r="C779" s="17" t="str">
        <x:v>line</x:v>
      </x:c>
      <x:c r="D779" s="17" t="str">
        <x:v>Math_95</x:v>
      </x:c>
      <x:c r="E779" s="32" t="n">
        <x:v>1</x:v>
      </x:c>
      <x:c r="F779" s="32" t="n">
        <x:v>1</x:v>
      </x:c>
      <x:c r="G779" s="32" t="n">
        <x:v>1</x:v>
      </x:c>
      <x:c r="H779" s="32" t="n">
        <x:v>1</x:v>
      </x:c>
      <x:c r="I779" s="39" t="n">
        <x:v>1</x:v>
      </x:c>
      <x:c r="J779" s="39" t="n">
        <x:v>1</x:v>
      </x:c>
      <x:c r="K779" s="39" t="n">
        <x:v>1</x:v>
      </x:c>
      <x:c r="L779" s="39" t="n">
        <x:v>1</x:v>
      </x:c>
    </x:row>
    <x:row r="780" ht="23" customHeight="1">
      <x:c r="B780" s="17" t="str">
        <x:v>Round1</x:v>
      </x:c>
      <x:c r="C780" s="17" t="str">
        <x:v>line</x:v>
      </x:c>
      <x:c r="D780" s="17" t="str">
        <x:v>Math_96</x:v>
      </x:c>
      <x:c r="E780" s="32" t="n">
        <x:v>0.9648</x:v>
      </x:c>
      <x:c r="F780" s="32" t="n">
        <x:v>0.9506999999999999</x:v>
      </x:c>
      <x:c r="G780" s="32" t="n">
        <x:v>0.9789</x:v>
      </x:c>
      <x:c r="H780" s="32" t="n">
        <x:v>0.0634</x:v>
      </x:c>
      <x:c r="I780" s="39" t="n">
        <x:v>1</x:v>
      </x:c>
      <x:c r="J780" s="39" t="n">
        <x:v>1</x:v>
      </x:c>
      <x:c r="K780" s="39" t="n">
        <x:v>1</x:v>
      </x:c>
      <x:c r="L780" s="39" t="n">
        <x:v>1</x:v>
      </x:c>
    </x:row>
    <x:row r="781" ht="23" customHeight="1">
      <x:c r="B781" s="17" t="str">
        <x:v>Round1</x:v>
      </x:c>
      <x:c r="C781" s="17" t="str">
        <x:v>line</x:v>
      </x:c>
      <x:c r="D781" s="17" t="str">
        <x:v>Math_97</x:v>
      </x:c>
      <x:c r="E781" s="32" t="n">
        <x:v>1</x:v>
      </x:c>
      <x:c r="F781" s="32" t="n">
        <x:v>0.011200000000000002</x:v>
      </x:c>
      <x:c r="G781" s="32" t="n">
        <x:v>0.9775</x:v>
      </x:c>
      <x:c r="H781" s="32" t="n">
        <x:v>0</x:v>
      </x:c>
      <x:c r="I781" s="39" t="n">
        <x:v>1</x:v>
      </x:c>
      <x:c r="J781" s="39" t="n">
        <x:v>1</x:v>
      </x:c>
      <x:c r="K781" s="39" t="n">
        <x:v>1</x:v>
      </x:c>
      <x:c r="L781" s="39" t="n">
        <x:v>1</x:v>
      </x:c>
    </x:row>
    <x:row r="782" ht="23" customHeight="1">
      <x:c r="B782" s="17" t="str">
        <x:v>Round1</x:v>
      </x:c>
      <x:c r="C782" s="17" t="str">
        <x:v>line</x:v>
      </x:c>
      <x:c r="D782" s="17" t="str">
        <x:v>Math_98</x:v>
      </x:c>
      <x:c r="E782" s="32" t="n">
        <x:v>0.8758</x:v>
      </x:c>
      <x:c r="F782" s="32" t="n">
        <x:v>0.7996</x:v>
      </x:c>
      <x:c r="G782" s="32" t="n">
        <x:v>0.8420000000000001</x:v>
      </x:c>
      <x:c r="H782" s="32" t="n">
        <x:v>0.0033</x:v>
      </x:c>
      <x:c r="I782" s="39" t="n">
        <x:v>1</x:v>
      </x:c>
      <x:c r="J782" s="39" t="n">
        <x:v>1</x:v>
      </x:c>
      <x:c r="K782" s="39" t="n">
        <x:v>1</x:v>
      </x:c>
      <x:c r="L782" s="39" t="n">
        <x:v>1</x:v>
      </x:c>
    </x:row>
    <x:row r="783" ht="23" customHeight="1">
      <x:c r="B783" s="17" t="str">
        <x:v>Round1</x:v>
      </x:c>
      <x:c r="C783" s="17" t="str">
        <x:v>line</x:v>
      </x:c>
      <x:c r="D783" s="17" t="str">
        <x:v>Math_99</x:v>
      </x:c>
      <x:c r="E783" s="32" t="n">
        <x:v>0.9218999999999999</x:v>
      </x:c>
      <x:c r="F783" s="32" t="n">
        <x:v>0.7807</x:v>
      </x:c>
      <x:c r="G783" s="32" t="n">
        <x:v>0.9257</x:v>
      </x:c>
      <x:c r="H783" s="32" t="n">
        <x:v>0.0037</x:v>
      </x:c>
      <x:c r="I783" s="39" t="n">
        <x:v>1</x:v>
      </x:c>
      <x:c r="J783" s="39" t="n">
        <x:v>1</x:v>
      </x:c>
      <x:c r="K783" s="39" t="n">
        <x:v>1</x:v>
      </x:c>
      <x:c r="L783" s="39" t="n">
        <x:v>1</x:v>
      </x:c>
    </x:row>
    <x:row r="784" ht="23" customHeight="1">
      <x:c r="B784" s="17" t="str">
        <x:v>Round1</x:v>
      </x:c>
      <x:c r="C784" s="17" t="str">
        <x:v>line</x:v>
      </x:c>
      <x:c r="D784" s="17" t="str">
        <x:v>Mockito_11</x:v>
      </x:c>
      <x:c r="E784" s="32" t="n">
        <x:v>0.35710000000000003</x:v>
      </x:c>
      <x:c r="F784" s="32" t="n">
        <x:v>0</x:v>
      </x:c>
      <x:c r="G784" s="32" t="n">
        <x:v>1</x:v>
      </x:c>
      <x:c r="H784" s="32" t="n">
        <x:v>1</x:v>
      </x:c>
      <x:c r="I784" s="39" t="n">
        <x:v>1</x:v>
      </x:c>
      <x:c r="J784" s="39" t="n">
        <x:v>1</x:v>
      </x:c>
      <x:c r="K784" s="39" t="n">
        <x:v>1</x:v>
      </x:c>
      <x:c r="L784" s="39" t="n">
        <x:v>1</x:v>
      </x:c>
    </x:row>
    <x:row r="785" ht="23" customHeight="1">
      <x:c r="B785" s="17" t="str">
        <x:v>Round1</x:v>
      </x:c>
      <x:c r="C785" s="17" t="str">
        <x:v>line</x:v>
      </x:c>
      <x:c r="D785" s="17" t="str">
        <x:v>Mockito_12</x:v>
      </x:c>
      <x:c r="E785" s="32" t="n">
        <x:v>0.3333</x:v>
      </x:c>
      <x:c r="F785" s="32" t="n">
        <x:v>0.3333</x:v>
      </x:c>
      <x:c r="G785" s="32" t="n">
        <x:v>1</x:v>
      </x:c>
      <x:c r="H785" s="32" t="n">
        <x:v>1</x:v>
      </x:c>
      <x:c r="I785" s="39" t="n">
        <x:v>1</x:v>
      </x:c>
      <x:c r="J785" s="39" t="n">
        <x:v>1</x:v>
      </x:c>
      <x:c r="K785" s="39" t="n">
        <x:v>1</x:v>
      </x:c>
      <x:c r="L785" s="39" t="n">
        <x:v>1</x:v>
      </x:c>
    </x:row>
    <x:row r="786" ht="23" customHeight="1">
      <x:c r="B786" s="17" t="str">
        <x:v>Round1</x:v>
      </x:c>
      <x:c r="C786" s="17" t="str">
        <x:v>line</x:v>
      </x:c>
      <x:c r="D786" s="17" t="str">
        <x:v>Mockito_15</x:v>
      </x:c>
      <x:c r="E786" s="32" t="n">
        <x:v>0.5385</x:v>
      </x:c>
      <x:c r="F786" s="32" t="n">
        <x:v>0.3077</x:v>
      </x:c>
      <x:c r="G786" s="32" t="n">
        <x:v>1</x:v>
      </x:c>
      <x:c r="H786" s="32" t="n">
        <x:v>1</x:v>
      </x:c>
      <x:c r="I786" s="39" t="n">
        <x:v>1</x:v>
      </x:c>
      <x:c r="J786" s="39" t="n">
        <x:v>1</x:v>
      </x:c>
      <x:c r="K786" s="39" t="n">
        <x:v>1</x:v>
      </x:c>
      <x:c r="L786" s="39" t="n">
        <x:v>1</x:v>
      </x:c>
    </x:row>
    <x:row r="787" ht="23" customHeight="1">
      <x:c r="B787" s="17" t="str">
        <x:v>Round1</x:v>
      </x:c>
      <x:c r="C787" s="17" t="str">
        <x:v>line</x:v>
      </x:c>
      <x:c r="D787" s="17" t="str">
        <x:v>Mockito_21</x:v>
      </x:c>
      <x:c r="E787" s="32" t="n">
        <x:v>0.9375</x:v>
      </x:c>
      <x:c r="F787" s="32" t="n">
        <x:v>0.1875</x:v>
      </x:c>
      <x:c r="G787" s="32" t="n">
        <x:v>1</x:v>
      </x:c>
      <x:c r="H787" s="32" t="n">
        <x:v>1</x:v>
      </x:c>
      <x:c r="I787" s="39" t="n">
        <x:v>1</x:v>
      </x:c>
      <x:c r="J787" s="39" t="n">
        <x:v>1</x:v>
      </x:c>
      <x:c r="K787" s="39" t="n">
        <x:v>1</x:v>
      </x:c>
      <x:c r="L787" s="39" t="n">
        <x:v>1</x:v>
      </x:c>
    </x:row>
    <x:row r="788" ht="23" customHeight="1">
      <x:c r="B788" s="17" t="str">
        <x:v>Round1</x:v>
      </x:c>
      <x:c r="C788" s="17" t="str">
        <x:v>line</x:v>
      </x:c>
      <x:c r="D788" s="17" t="str">
        <x:v>Mockito_22</x:v>
      </x:c>
      <x:c r="E788" s="32" t="n">
        <x:v>0.6923</x:v>
      </x:c>
      <x:c r="F788" s="32" t="n">
        <x:v>0.6923</x:v>
      </x:c>
      <x:c r="G788" s="32" t="n">
        <x:v>0.9231</x:v>
      </x:c>
      <x:c r="H788" s="32" t="n">
        <x:v>1</x:v>
      </x:c>
      <x:c r="I788" s="39" t="n">
        <x:v>1</x:v>
      </x:c>
      <x:c r="J788" s="39" t="n">
        <x:v>1</x:v>
      </x:c>
      <x:c r="K788" s="39" t="n">
        <x:v>1</x:v>
      </x:c>
      <x:c r="L788" s="39" t="n">
        <x:v>1</x:v>
      </x:c>
    </x:row>
    <x:row r="789" ht="23" customHeight="1">
      <x:c r="B789" s="17" t="str">
        <x:v>Round1</x:v>
      </x:c>
      <x:c r="C789" s="17" t="str">
        <x:v>line</x:v>
      </x:c>
      <x:c r="D789" s="17" t="str">
        <x:v>Mockito_37</x:v>
      </x:c>
      <x:c r="E789" s="32" t="n">
        <x:v>0.6296</x:v>
      </x:c>
      <x:c r="F789" s="32" t="n">
        <x:v>0.0741</x:v>
      </x:c>
      <x:c r="G789" s="32" t="n">
        <x:v>1</x:v>
      </x:c>
      <x:c r="H789" s="32" t="n">
        <x:v>1</x:v>
      </x:c>
      <x:c r="I789" s="39" t="n">
        <x:v>1</x:v>
      </x:c>
      <x:c r="J789" s="39" t="n">
        <x:v>1</x:v>
      </x:c>
      <x:c r="K789" s="39" t="n">
        <x:v>1</x:v>
      </x:c>
      <x:c r="L789" s="39" t="n">
        <x:v>1</x:v>
      </x:c>
    </x:row>
    <x:row r="790" ht="23" customHeight="1">
      <x:c r="B790" s="17" t="str">
        <x:v>Round1</x:v>
      </x:c>
      <x:c r="C790" s="17" t="str">
        <x:v>condition</x:v>
      </x:c>
      <x:c r="D790" s="17" t="str">
        <x:v>Chart_18</x:v>
      </x:c>
      <x:c r="E790" s="32" t="n">
        <x:v>0.9672</x:v>
      </x:c>
      <x:c r="F790" s="32" t="n">
        <x:v>0.7212999999999999</x:v>
      </x:c>
      <x:c r="G790" s="32" t="n">
        <x:v>0.8361</x:v>
      </x:c>
      <x:c r="H790" s="32" t="n">
        <x:v>0.1311</x:v>
      </x:c>
      <x:c r="I790" s="39" t="n">
        <x:v>1</x:v>
      </x:c>
      <x:c r="J790" s="39" t="n">
        <x:v>1</x:v>
      </x:c>
      <x:c r="K790" s="39" t="n">
        <x:v>1</x:v>
      </x:c>
      <x:c r="L790" s="39" t="n">
        <x:v>1</x:v>
      </x:c>
    </x:row>
    <x:row r="791" ht="23" customHeight="1">
      <x:c r="B791" s="17" t="str">
        <x:v>Round1</x:v>
      </x:c>
      <x:c r="C791" s="17" t="str">
        <x:v>condition</x:v>
      </x:c>
      <x:c r="D791" s="17" t="str">
        <x:v>Chart_21</x:v>
      </x:c>
      <x:c r="E791" s="32" t="n">
        <x:v>0.7333</x:v>
      </x:c>
      <x:c r="F791" s="32" t="n">
        <x:v>0.15</x:v>
      </x:c>
      <x:c r="G791" s="32" t="n">
        <x:v>0.4</x:v>
      </x:c>
      <x:c r="H791" s="32" t="n">
        <x:v>0.1</x:v>
      </x:c>
      <x:c r="I791" s="39" t="n">
        <x:v>1</x:v>
      </x:c>
      <x:c r="J791" s="39" t="n">
        <x:v>1</x:v>
      </x:c>
      <x:c r="K791" s="39" t="n">
        <x:v>1</x:v>
      </x:c>
      <x:c r="L791" s="39" t="n">
        <x:v>1</x:v>
      </x:c>
    </x:row>
    <x:row r="792" ht="23" customHeight="1">
      <x:c r="B792" s="17" t="str">
        <x:v>Round1</x:v>
      </x:c>
      <x:c r="C792" s="17" t="str">
        <x:v>condition</x:v>
      </x:c>
      <x:c r="D792" s="17" t="str">
        <x:v>Chart_22</x:v>
      </x:c>
      <x:c r="E792" s="32" t="n">
        <x:v>0.8966</x:v>
      </x:c>
      <x:c r="F792" s="32" t="n">
        <x:v>0.8448</x:v>
      </x:c>
      <x:c r="G792" s="32" t="n">
        <x:v>0.8103</x:v>
      </x:c>
      <x:c r="H792" s="32" t="n">
        <x:v>0.1552</x:v>
      </x:c>
      <x:c r="I792" s="39" t="n">
        <x:v>1</x:v>
      </x:c>
      <x:c r="J792" s="39" t="n">
        <x:v>1</x:v>
      </x:c>
      <x:c r="K792" s="39" t="n">
        <x:v>1</x:v>
      </x:c>
      <x:c r="L792" s="39" t="n">
        <x:v>1</x:v>
      </x:c>
    </x:row>
    <x:row r="793" ht="23" customHeight="1">
      <x:c r="B793" s="17" t="str">
        <x:v>Round1</x:v>
      </x:c>
      <x:c r="C793" s="17" t="str">
        <x:v>condition</x:v>
      </x:c>
      <x:c r="D793" s="17" t="str">
        <x:v>Chart_24</x:v>
      </x:c>
      <x:c r="E793" s="32" t="n">
        <x:v>1</x:v>
      </x:c>
      <x:c r="F793" s="32" t="n">
        <x:v>0.9</x:v>
      </x:c>
      <x:c r="G793" s="32" t="n">
        <x:v>1</x:v>
      </x:c>
      <x:c r="H793" s="32" t="n">
        <x:v>1</x:v>
      </x:c>
      <x:c r="I793" s="39" t="n">
        <x:v>1</x:v>
      </x:c>
      <x:c r="J793" s="39" t="n">
        <x:v>1</x:v>
      </x:c>
      <x:c r="K793" s="39" t="n">
        <x:v>1</x:v>
      </x:c>
      <x:c r="L793" s="39" t="n">
        <x:v>1</x:v>
      </x:c>
    </x:row>
    <x:row r="794" ht="23" customHeight="1">
      <x:c r="B794" s="17" t="str">
        <x:v>Round1</x:v>
      </x:c>
      <x:c r="C794" s="17" t="str">
        <x:v>condition</x:v>
      </x:c>
      <x:c r="D794" s="17" t="str">
        <x:v>Chart_8</x:v>
      </x:c>
      <x:c r="E794" s="32" t="n">
        <x:v>0.8088</x:v>
      </x:c>
      <x:c r="F794" s="32" t="n">
        <x:v>0.7794</x:v>
      </x:c>
      <x:c r="G794" s="32" t="n">
        <x:v>0.5146999999999999</x:v>
      </x:c>
      <x:c r="H794" s="32" t="n">
        <x:v>0.0588</x:v>
      </x:c>
      <x:c r="I794" s="39" t="n">
        <x:v>1</x:v>
      </x:c>
      <x:c r="J794" s="39" t="n">
        <x:v>1</x:v>
      </x:c>
      <x:c r="K794" s="39" t="n">
        <x:v>1</x:v>
      </x:c>
      <x:c r="L794" s="39" t="n">
        <x:v>1</x:v>
      </x:c>
    </x:row>
    <x:row r="795" ht="23" customHeight="1">
      <x:c r="B795" s="17" t="str">
        <x:v>Round1</x:v>
      </x:c>
      <x:c r="C795" s="17" t="str">
        <x:v>condition</x:v>
      </x:c>
      <x:c r="D795" s="17" t="str">
        <x:v>Cli_18</x:v>
      </x:c>
      <x:c r="E795" s="32" t="n">
        <x:v>0</x:v>
      </x:c>
      <x:c r="F795" s="32" t="n">
        <x:v>0</x:v>
      </x:c>
      <x:c r="G795" s="32" t="n">
        <x:v>0</x:v>
      </x:c>
      <x:c r="H795" s="32" t="n">
        <x:v>0</x:v>
      </x:c>
      <x:c r="I795" s="39" t="n">
        <x:v>1</x:v>
      </x:c>
      <x:c r="J795" s="39" t="n">
        <x:v>1</x:v>
      </x:c>
      <x:c r="K795" s="39" t="n">
        <x:v>1</x:v>
      </x:c>
      <x:c r="L795" s="39" t="n">
        <x:v>1</x:v>
      </x:c>
    </x:row>
    <x:row r="796" ht="23" customHeight="1">
      <x:c r="B796" s="17" t="str">
        <x:v>Round1</x:v>
      </x:c>
      <x:c r="C796" s="17" t="str">
        <x:v>condition</x:v>
      </x:c>
      <x:c r="D796" s="17" t="str">
        <x:v>Cli_19</x:v>
      </x:c>
      <x:c r="E796" s="32" t="n">
        <x:v>0</x:v>
      </x:c>
      <x:c r="F796" s="32" t="n">
        <x:v>0</x:v>
      </x:c>
      <x:c r="G796" s="32" t="n">
        <x:v>0</x:v>
      </x:c>
      <x:c r="H796" s="32" t="n">
        <x:v>0</x:v>
      </x:c>
      <x:c r="I796" s="39" t="n">
        <x:v>1</x:v>
      </x:c>
      <x:c r="J796" s="39" t="n">
        <x:v>1</x:v>
      </x:c>
      <x:c r="K796" s="39" t="n">
        <x:v>1</x:v>
      </x:c>
      <x:c r="L796" s="39" t="n">
        <x:v>1</x:v>
      </x:c>
    </x:row>
    <x:row r="797" ht="23" customHeight="1">
      <x:c r="B797" s="17" t="str">
        <x:v>Round1</x:v>
      </x:c>
      <x:c r="C797" s="17" t="str">
        <x:v>condition</x:v>
      </x:c>
      <x:c r="D797" s="17" t="str">
        <x:v>Cli_2</x:v>
      </x:c>
      <x:c r="E797" s="32" t="n">
        <x:v>0</x:v>
      </x:c>
      <x:c r="F797" s="32" t="n">
        <x:v>0</x:v>
      </x:c>
      <x:c r="G797" s="32" t="n">
        <x:v>0</x:v>
      </x:c>
      <x:c r="H797" s="32" t="n">
        <x:v>0</x:v>
      </x:c>
      <x:c r="I797" s="39" t="n">
        <x:v>1</x:v>
      </x:c>
      <x:c r="J797" s="39" t="n">
        <x:v>1</x:v>
      </x:c>
      <x:c r="K797" s="39" t="n">
        <x:v>1</x:v>
      </x:c>
      <x:c r="L797" s="39" t="n">
        <x:v>1</x:v>
      </x:c>
    </x:row>
    <x:row r="798" ht="23" customHeight="1">
      <x:c r="B798" s="17" t="str">
        <x:v>Round1</x:v>
      </x:c>
      <x:c r="C798" s="17" t="str">
        <x:v>condition</x:v>
      </x:c>
      <x:c r="D798" s="17" t="str">
        <x:v>Cli_22</x:v>
      </x:c>
      <x:c r="E798" s="32" t="n">
        <x:v>0</x:v>
      </x:c>
      <x:c r="F798" s="32" t="n">
        <x:v>0</x:v>
      </x:c>
      <x:c r="G798" s="32" t="n">
        <x:v>0</x:v>
      </x:c>
      <x:c r="H798" s="32" t="n">
        <x:v>0</x:v>
      </x:c>
      <x:c r="I798" s="39" t="n">
        <x:v>1</x:v>
      </x:c>
      <x:c r="J798" s="39" t="n">
        <x:v>1</x:v>
      </x:c>
      <x:c r="K798" s="39" t="n">
        <x:v>1</x:v>
      </x:c>
      <x:c r="L798" s="39" t="n">
        <x:v>1</x:v>
      </x:c>
    </x:row>
    <x:row r="799" ht="23" customHeight="1">
      <x:c r="B799" s="17" t="str">
        <x:v>Round1</x:v>
      </x:c>
      <x:c r="C799" s="17" t="str">
        <x:v>condition</x:v>
      </x:c>
      <x:c r="D799" s="17" t="str">
        <x:v>Cli_24</x:v>
      </x:c>
      <x:c r="E799" s="32" t="n">
        <x:v>0</x:v>
      </x:c>
      <x:c r="F799" s="32" t="n">
        <x:v>0</x:v>
      </x:c>
      <x:c r="G799" s="32" t="n">
        <x:v>0</x:v>
      </x:c>
      <x:c r="H799" s="32" t="n">
        <x:v>0</x:v>
      </x:c>
      <x:c r="I799" s="39" t="n">
        <x:v>1</x:v>
      </x:c>
      <x:c r="J799" s="39" t="n">
        <x:v>1</x:v>
      </x:c>
      <x:c r="K799" s="39" t="n">
        <x:v>1</x:v>
      </x:c>
      <x:c r="L799" s="39" t="n">
        <x:v>1</x:v>
      </x:c>
    </x:row>
    <x:row r="800" ht="23" customHeight="1">
      <x:c r="B800" s="17" t="str">
        <x:v>Round1</x:v>
      </x:c>
      <x:c r="C800" s="17" t="str">
        <x:v>condition</x:v>
      </x:c>
      <x:c r="D800" s="17" t="str">
        <x:v>Cli_27</x:v>
      </x:c>
      <x:c r="E800" s="32" t="n">
        <x:v>0</x:v>
      </x:c>
      <x:c r="F800" s="32" t="n">
        <x:v>0</x:v>
      </x:c>
      <x:c r="G800" s="32" t="n">
        <x:v>0</x:v>
      </x:c>
      <x:c r="H800" s="32" t="n">
        <x:v>0</x:v>
      </x:c>
      <x:c r="I800" s="39" t="n">
        <x:v>1</x:v>
      </x:c>
      <x:c r="J800" s="39" t="n">
        <x:v>1</x:v>
      </x:c>
      <x:c r="K800" s="39" t="n">
        <x:v>1</x:v>
      </x:c>
      <x:c r="L800" s="39" t="n">
        <x:v>1</x:v>
      </x:c>
    </x:row>
    <x:row r="801" ht="23" customHeight="1">
      <x:c r="B801" s="17" t="str">
        <x:v>Round1</x:v>
      </x:c>
      <x:c r="C801" s="17" t="str">
        <x:v>condition</x:v>
      </x:c>
      <x:c r="D801" s="17" t="str">
        <x:v>Cli_29</x:v>
      </x:c>
      <x:c r="E801" s="32" t="n">
        <x:v>0</x:v>
      </x:c>
      <x:c r="F801" s="32" t="n">
        <x:v>0</x:v>
      </x:c>
      <x:c r="G801" s="32" t="n">
        <x:v>0</x:v>
      </x:c>
      <x:c r="H801" s="32" t="n">
        <x:v>0</x:v>
      </x:c>
      <x:c r="I801" s="39" t="n">
        <x:v>1</x:v>
      </x:c>
      <x:c r="J801" s="39" t="n">
        <x:v>1</x:v>
      </x:c>
      <x:c r="K801" s="39" t="n">
        <x:v>1</x:v>
      </x:c>
      <x:c r="L801" s="39" t="n">
        <x:v>1</x:v>
      </x:c>
    </x:row>
    <x:row r="802" ht="23" customHeight="1">
      <x:c r="B802" s="17" t="str">
        <x:v>Round1</x:v>
      </x:c>
      <x:c r="C802" s="17" t="str">
        <x:v>condition</x:v>
      </x:c>
      <x:c r="D802" s="17" t="str">
        <x:v>Cli_3</x:v>
      </x:c>
      <x:c r="E802" s="32" t="n">
        <x:v>0</x:v>
      </x:c>
      <x:c r="F802" s="32" t="n">
        <x:v>0</x:v>
      </x:c>
      <x:c r="G802" s="32" t="n">
        <x:v>0</x:v>
      </x:c>
      <x:c r="H802" s="32" t="n">
        <x:v>0</x:v>
      </x:c>
      <x:c r="I802" s="39" t="n">
        <x:v>1</x:v>
      </x:c>
      <x:c r="J802" s="39" t="n">
        <x:v>1</x:v>
      </x:c>
      <x:c r="K802" s="39" t="n">
        <x:v>1</x:v>
      </x:c>
      <x:c r="L802" s="39" t="n">
        <x:v>1</x:v>
      </x:c>
    </x:row>
    <x:row r="803" ht="23" customHeight="1">
      <x:c r="B803" s="17" t="str">
        <x:v>Round1</x:v>
      </x:c>
      <x:c r="C803" s="17" t="str">
        <x:v>condition</x:v>
      </x:c>
      <x:c r="D803" s="17" t="str">
        <x:v>Cli_33</x:v>
      </x:c>
      <x:c r="E803" s="32" t="n">
        <x:v>0</x:v>
      </x:c>
      <x:c r="F803" s="32" t="n">
        <x:v>0</x:v>
      </x:c>
      <x:c r="G803" s="32" t="n">
        <x:v>0</x:v>
      </x:c>
      <x:c r="H803" s="32" t="n">
        <x:v>0</x:v>
      </x:c>
      <x:c r="I803" s="39" t="n">
        <x:v>1</x:v>
      </x:c>
      <x:c r="J803" s="39" t="n">
        <x:v>1</x:v>
      </x:c>
      <x:c r="K803" s="39" t="n">
        <x:v>1</x:v>
      </x:c>
      <x:c r="L803" s="39" t="n">
        <x:v>1</x:v>
      </x:c>
    </x:row>
    <x:row r="804" ht="23" customHeight="1">
      <x:c r="B804" s="17" t="str">
        <x:v>Round1</x:v>
      </x:c>
      <x:c r="C804" s="17" t="str">
        <x:v>condition</x:v>
      </x:c>
      <x:c r="D804" s="17" t="str">
        <x:v>Cli_35</x:v>
      </x:c>
      <x:c r="E804" s="32" t="n">
        <x:v>1</x:v>
      </x:c>
      <x:c r="F804" s="32" t="n">
        <x:v>0.65</x:v>
      </x:c>
      <x:c r="G804" s="32" t="n">
        <x:v>0.95</x:v>
      </x:c>
      <x:c r="H804" s="32" t="n">
        <x:v>1</x:v>
      </x:c>
      <x:c r="I804" s="39" t="n">
        <x:v>1</x:v>
      </x:c>
      <x:c r="J804" s="39" t="n">
        <x:v>1</x:v>
      </x:c>
      <x:c r="K804" s="39" t="n">
        <x:v>1</x:v>
      </x:c>
      <x:c r="L804" s="39" t="n">
        <x:v>1</x:v>
      </x:c>
    </x:row>
    <x:row r="805" ht="23" customHeight="1">
      <x:c r="B805" s="17" t="str">
        <x:v>Round1</x:v>
      </x:c>
      <x:c r="C805" s="17" t="str">
        <x:v>condition</x:v>
      </x:c>
      <x:c r="D805" s="17" t="str">
        <x:v>Cli_39</x:v>
      </x:c>
      <x:c r="E805" s="32" t="n">
        <x:v>1</x:v>
      </x:c>
      <x:c r="F805" s="32" t="n">
        <x:v>0.55</x:v>
      </x:c>
      <x:c r="G805" s="32" t="n">
        <x:v>0.8</x:v>
      </x:c>
      <x:c r="H805" s="32" t="n">
        <x:v>1</x:v>
      </x:c>
      <x:c r="I805" s="39" t="n">
        <x:v>1</x:v>
      </x:c>
      <x:c r="J805" s="39" t="n">
        <x:v>1</x:v>
      </x:c>
      <x:c r="K805" s="39" t="n">
        <x:v>1</x:v>
      </x:c>
      <x:c r="L805" s="39" t="n">
        <x:v>1</x:v>
      </x:c>
    </x:row>
    <x:row r="806" ht="23" customHeight="1">
      <x:c r="B806" s="17" t="str">
        <x:v>Round1</x:v>
      </x:c>
      <x:c r="C806" s="17" t="str">
        <x:v>condition</x:v>
      </x:c>
      <x:c r="D806" s="17" t="str">
        <x:v>Cli_4</x:v>
      </x:c>
      <x:c r="E806" s="32" t="n">
        <x:v>0</x:v>
      </x:c>
      <x:c r="F806" s="32" t="n">
        <x:v>0</x:v>
      </x:c>
      <x:c r="G806" s="32" t="n">
        <x:v>0</x:v>
      </x:c>
      <x:c r="H806" s="32" t="n">
        <x:v>0</x:v>
      </x:c>
      <x:c r="I806" s="39" t="n">
        <x:v>1</x:v>
      </x:c>
      <x:c r="J806" s="39" t="n">
        <x:v>1</x:v>
      </x:c>
      <x:c r="K806" s="39" t="n">
        <x:v>1</x:v>
      </x:c>
      <x:c r="L806" s="39" t="n">
        <x:v>1</x:v>
      </x:c>
    </x:row>
    <x:row r="807" ht="23" customHeight="1">
      <x:c r="B807" s="17" t="str">
        <x:v>Round1</x:v>
      </x:c>
      <x:c r="C807" s="17" t="str">
        <x:v>condition</x:v>
      </x:c>
      <x:c r="D807" s="17" t="str">
        <x:v>Cli_5</x:v>
      </x:c>
      <x:c r="E807" s="32" t="n">
        <x:v>0</x:v>
      </x:c>
      <x:c r="F807" s="32" t="n">
        <x:v>0</x:v>
      </x:c>
      <x:c r="G807" s="32" t="n">
        <x:v>0</x:v>
      </x:c>
      <x:c r="H807" s="32" t="n">
        <x:v>0</x:v>
      </x:c>
      <x:c r="I807" s="39" t="n">
        <x:v>1</x:v>
      </x:c>
      <x:c r="J807" s="39" t="n">
        <x:v>1</x:v>
      </x:c>
      <x:c r="K807" s="39" t="n">
        <x:v>1</x:v>
      </x:c>
      <x:c r="L807" s="39" t="n">
        <x:v>1</x:v>
      </x:c>
    </x:row>
    <x:row r="808" ht="23" customHeight="1">
      <x:c r="B808" s="17" t="str">
        <x:v>Round1</x:v>
      </x:c>
      <x:c r="C808" s="17" t="str">
        <x:v>condition</x:v>
      </x:c>
      <x:c r="D808" s="17" t="str">
        <x:v>Cli_8</x:v>
      </x:c>
      <x:c r="E808" s="32" t="n">
        <x:v>0</x:v>
      </x:c>
      <x:c r="F808" s="32" t="n">
        <x:v>0</x:v>
      </x:c>
      <x:c r="G808" s="32" t="n">
        <x:v>0</x:v>
      </x:c>
      <x:c r="H808" s="32" t="n">
        <x:v>0</x:v>
      </x:c>
      <x:c r="I808" s="39" t="n">
        <x:v>1</x:v>
      </x:c>
      <x:c r="J808" s="39" t="n">
        <x:v>1</x:v>
      </x:c>
      <x:c r="K808" s="39" t="n">
        <x:v>1</x:v>
      </x:c>
      <x:c r="L808" s="39" t="n">
        <x:v>1</x:v>
      </x:c>
    </x:row>
    <x:row r="809" ht="23" customHeight="1">
      <x:c r="B809" s="17" t="str">
        <x:v>Round1</x:v>
      </x:c>
      <x:c r="C809" s="17" t="str">
        <x:v>condition</x:v>
      </x:c>
      <x:c r="D809" s="17" t="str">
        <x:v>Closure_131</x:v>
      </x:c>
      <x:c r="E809" s="32" t="n">
        <x:v>0.6909000000000001</x:v>
      </x:c>
      <x:c r="F809" s="32" t="n">
        <x:v>0.060599999999999994</x:v>
      </x:c>
      <x:c r="G809" s="32" t="n">
        <x:v>0.8364</x:v>
      </x:c>
      <x:c r="H809" s="32" t="n">
        <x:v>0.8364</x:v>
      </x:c>
      <x:c r="I809" s="39" t="n">
        <x:v>1</x:v>
      </x:c>
      <x:c r="J809" s="39" t="n">
        <x:v>1</x:v>
      </x:c>
      <x:c r="K809" s="39" t="n">
        <x:v>1</x:v>
      </x:c>
      <x:c r="L809" s="39" t="n">
        <x:v>1</x:v>
      </x:c>
    </x:row>
    <x:row r="810" ht="23" customHeight="1">
      <x:c r="B810" s="17" t="str">
        <x:v>Round1</x:v>
      </x:c>
      <x:c r="C810" s="17" t="str">
        <x:v>condition</x:v>
      </x:c>
      <x:c r="D810" s="17" t="str">
        <x:v>Closure_172</x:v>
      </x:c>
      <x:c r="E810" s="32" t="n">
        <x:v>0.0381</x:v>
      </x:c>
      <x:c r="F810" s="32" t="n">
        <x:v>0</x:v>
      </x:c>
      <x:c r="G810" s="32" t="n">
        <x:v>0</x:v>
      </x:c>
      <x:c r="H810" s="32" t="n">
        <x:v>0</x:v>
      </x:c>
      <x:c r="I810" s="39" t="n">
        <x:v>1</x:v>
      </x:c>
      <x:c r="J810" s="39" t="n">
        <x:v>1</x:v>
      </x:c>
      <x:c r="K810" s="39" t="n">
        <x:v>1</x:v>
      </x:c>
      <x:c r="L810" s="39" t="n">
        <x:v>1</x:v>
      </x:c>
    </x:row>
    <x:row r="811" ht="23" customHeight="1">
      <x:c r="B811" s="17" t="str">
        <x:v>Round1</x:v>
      </x:c>
      <x:c r="C811" s="17" t="str">
        <x:v>condition</x:v>
      </x:c>
      <x:c r="D811" s="17" t="str">
        <x:v>Closure_20</x:v>
      </x:c>
      <x:c r="E811" s="32" t="n">
        <x:v>0.0665</x:v>
      </x:c>
      <x:c r="F811" s="32" t="n">
        <x:v>0.005699999999999999</x:v>
      </x:c>
      <x:c r="G811" s="32" t="n">
        <x:v>0.0608</x:v>
      </x:c>
      <x:c r="H811" s="32" t="n">
        <x:v>0.0608</x:v>
      </x:c>
      <x:c r="I811" s="39" t="n">
        <x:v>1</x:v>
      </x:c>
      <x:c r="J811" s="39" t="n">
        <x:v>1</x:v>
      </x:c>
      <x:c r="K811" s="39" t="n">
        <x:v>1</x:v>
      </x:c>
      <x:c r="L811" s="39" t="n">
        <x:v>1</x:v>
      </x:c>
    </x:row>
    <x:row r="812" ht="23" customHeight="1">
      <x:c r="B812" s="17" t="str">
        <x:v>Round1</x:v>
      </x:c>
      <x:c r="C812" s="17" t="str">
        <x:v>condition</x:v>
      </x:c>
      <x:c r="D812" s="17" t="str">
        <x:v>Closure_38</x:v>
      </x:c>
      <x:c r="E812" s="32" t="n">
        <x:v>0.1406</x:v>
      </x:c>
      <x:c r="F812" s="32" t="n">
        <x:v>0.1094</x:v>
      </x:c>
      <x:c r="G812" s="32" t="n">
        <x:v>0.6718999999999999</x:v>
      </x:c>
      <x:c r="H812" s="32" t="n">
        <x:v>0.6718999999999999</x:v>
      </x:c>
      <x:c r="I812" s="39" t="n">
        <x:v>1</x:v>
      </x:c>
      <x:c r="J812" s="39" t="n">
        <x:v>1</x:v>
      </x:c>
      <x:c r="K812" s="39" t="n">
        <x:v>1</x:v>
      </x:c>
      <x:c r="L812" s="39" t="n">
        <x:v>1</x:v>
      </x:c>
    </x:row>
    <x:row r="813" ht="23" customHeight="1">
      <x:c r="B813" s="17" t="str">
        <x:v>Round1</x:v>
      </x:c>
      <x:c r="C813" s="17" t="str">
        <x:v>condition</x:v>
      </x:c>
      <x:c r="D813" s="17" t="str">
        <x:v>Closure_44</x:v>
      </x:c>
      <x:c r="E813" s="32" t="n">
        <x:v>0.15</x:v>
      </x:c>
      <x:c r="F813" s="32" t="n">
        <x:v>0.1167</x:v>
      </x:c>
      <x:c r="G813" s="32" t="n">
        <x:v>0.8833</x:v>
      </x:c>
      <x:c r="H813" s="32" t="n">
        <x:v>0.8833</x:v>
      </x:c>
      <x:c r="I813" s="39" t="n">
        <x:v>1</x:v>
      </x:c>
      <x:c r="J813" s="39" t="n">
        <x:v>1</x:v>
      </x:c>
      <x:c r="K813" s="39" t="n">
        <x:v>1</x:v>
      </x:c>
      <x:c r="L813" s="39" t="n">
        <x:v>1</x:v>
      </x:c>
    </x:row>
    <x:row r="814" ht="23" customHeight="1">
      <x:c r="B814" s="17" t="str">
        <x:v>Round1</x:v>
      </x:c>
      <x:c r="C814" s="17" t="str">
        <x:v>condition</x:v>
      </x:c>
      <x:c r="D814" s="17" t="str">
        <x:v>Codec_10</x:v>
      </x:c>
      <x:c r="E814" s="32" t="n">
        <x:v>1</x:v>
      </x:c>
      <x:c r="F814" s="32" t="n">
        <x:v>0.8332999999999999</x:v>
      </x:c>
      <x:c r="G814" s="32" t="n">
        <x:v>0.8332999999999999</x:v>
      </x:c>
      <x:c r="H814" s="32" t="n">
        <x:v>1</x:v>
      </x:c>
      <x:c r="I814" s="39" t="n">
        <x:v>1</x:v>
      </x:c>
      <x:c r="J814" s="39" t="n">
        <x:v>1</x:v>
      </x:c>
      <x:c r="K814" s="39" t="n">
        <x:v>1</x:v>
      </x:c>
      <x:c r="L814" s="39" t="n">
        <x:v>1</x:v>
      </x:c>
    </x:row>
    <x:row r="815" ht="23" customHeight="1">
      <x:c r="B815" s="17" t="str">
        <x:v>Round1</x:v>
      </x:c>
      <x:c r="C815" s="17" t="str">
        <x:v>condition</x:v>
      </x:c>
      <x:c r="D815" s="17" t="str">
        <x:v>Collections_10</x:v>
      </x:c>
      <x:c r="E815" s="32" t="n">
        <x:v>0.875</x:v>
      </x:c>
      <x:c r="F815" s="32" t="n">
        <x:v>0.22920000000000001</x:v>
      </x:c>
      <x:c r="G815" s="32" t="n">
        <x:v>0.8332999999999999</x:v>
      </x:c>
      <x:c r="H815" s="32" t="n">
        <x:v>0.375</x:v>
      </x:c>
      <x:c r="I815" s="39" t="n">
        <x:v>1</x:v>
      </x:c>
      <x:c r="J815" s="39" t="n">
        <x:v>1</x:v>
      </x:c>
      <x:c r="K815" s="39" t="n">
        <x:v>1</x:v>
      </x:c>
      <x:c r="L815" s="39" t="n">
        <x:v>1</x:v>
      </x:c>
    </x:row>
    <x:row r="816" ht="23" customHeight="1">
      <x:c r="B816" s="17" t="str">
        <x:v>Round1</x:v>
      </x:c>
      <x:c r="C816" s="17" t="str">
        <x:v>condition</x:v>
      </x:c>
      <x:c r="D816" s="17" t="str">
        <x:v>Collections_11</x:v>
      </x:c>
      <x:c r="E816" s="32" t="n">
        <x:v>1</x:v>
      </x:c>
      <x:c r="F816" s="32" t="n">
        <x:v>0.9167000000000001</x:v>
      </x:c>
      <x:c r="G816" s="32" t="n">
        <x:v>1</x:v>
      </x:c>
      <x:c r="H816" s="32" t="n">
        <x:v>0.75</x:v>
      </x:c>
      <x:c r="I816" s="39" t="n">
        <x:v>1</x:v>
      </x:c>
      <x:c r="J816" s="39" t="n">
        <x:v>1</x:v>
      </x:c>
      <x:c r="K816" s="39" t="n">
        <x:v>1</x:v>
      </x:c>
      <x:c r="L816" s="39" t="n">
        <x:v>1</x:v>
      </x:c>
    </x:row>
    <x:row r="817" ht="23" customHeight="1">
      <x:c r="B817" s="17" t="str">
        <x:v>Round1</x:v>
      </x:c>
      <x:c r="C817" s="17" t="str">
        <x:v>condition</x:v>
      </x:c>
      <x:c r="D817" s="17" t="str">
        <x:v>Collections_20</x:v>
      </x:c>
      <x:c r="E817" s="32" t="n">
        <x:v>0.8896</x:v>
      </x:c>
      <x:c r="F817" s="32" t="n">
        <x:v>0.3506</x:v>
      </x:c>
      <x:c r="G817" s="32" t="n">
        <x:v>0.6883</x:v>
      </x:c>
      <x:c r="H817" s="32" t="n">
        <x:v>0.8831</x:v>
      </x:c>
      <x:c r="I817" s="39" t="n">
        <x:v>1</x:v>
      </x:c>
      <x:c r="J817" s="39" t="n">
        <x:v>1</x:v>
      </x:c>
      <x:c r="K817" s="39" t="n">
        <x:v>1</x:v>
      </x:c>
      <x:c r="L817" s="39" t="n">
        <x:v>1</x:v>
      </x:c>
    </x:row>
    <x:row r="818" ht="23" customHeight="1">
      <x:c r="B818" s="17" t="str">
        <x:v>Round1</x:v>
      </x:c>
      <x:c r="C818" s="17" t="str">
        <x:v>condition</x:v>
      </x:c>
      <x:c r="D818" s="17" t="str">
        <x:v>Collections_21</x:v>
      </x:c>
      <x:c r="E818" s="32" t="n">
        <x:v>0.9211</x:v>
      </x:c>
      <x:c r="F818" s="32" t="n">
        <x:v>0.4474</x:v>
      </x:c>
      <x:c r="G818" s="32" t="n">
        <x:v>0.9473999999999999</x:v>
      </x:c>
      <x:c r="H818" s="32" t="n">
        <x:v>1</x:v>
      </x:c>
      <x:c r="I818" s="39" t="n">
        <x:v>1</x:v>
      </x:c>
      <x:c r="J818" s="39" t="n">
        <x:v>1</x:v>
      </x:c>
      <x:c r="K818" s="39" t="n">
        <x:v>1</x:v>
      </x:c>
      <x:c r="L818" s="39" t="n">
        <x:v>1</x:v>
      </x:c>
    </x:row>
    <x:row r="819" ht="23" customHeight="1">
      <x:c r="B819" s="17" t="str">
        <x:v>Round1</x:v>
      </x:c>
      <x:c r="C819" s="17" t="str">
        <x:v>condition</x:v>
      </x:c>
      <x:c r="D819" s="17" t="str">
        <x:v>Collections_24</x:v>
      </x:c>
      <x:c r="E819" s="32" t="n">
        <x:v>1</x:v>
      </x:c>
      <x:c r="F819" s="32" t="n">
        <x:v>0</x:v>
      </x:c>
      <x:c r="G819" s="32" t="n">
        <x:v>1</x:v>
      </x:c>
      <x:c r="H819" s="32" t="n">
        <x:v>1</x:v>
      </x:c>
      <x:c r="I819" s="39" t="n">
        <x:v>1</x:v>
      </x:c>
      <x:c r="J819" s="39" t="n">
        <x:v>1</x:v>
      </x:c>
      <x:c r="K819" s="39" t="n">
        <x:v>1</x:v>
      </x:c>
      <x:c r="L819" s="39" t="n">
        <x:v>1</x:v>
      </x:c>
    </x:row>
    <x:row r="820" ht="23" customHeight="1">
      <x:c r="B820" s="17" t="str">
        <x:v>Round1</x:v>
      </x:c>
      <x:c r="C820" s="17" t="str">
        <x:v>condition</x:v>
      </x:c>
      <x:c r="D820" s="17" t="str">
        <x:v>Collections_26</x:v>
      </x:c>
      <x:c r="E820" s="32" t="n">
        <x:v>1</x:v>
      </x:c>
      <x:c r="F820" s="32" t="n">
        <x:v>0.9167000000000001</x:v>
      </x:c>
      <x:c r="G820" s="32" t="n">
        <x:v>1</x:v>
      </x:c>
      <x:c r="H820" s="32" t="n">
        <x:v>0.75</x:v>
      </x:c>
      <x:c r="I820" s="39" t="n">
        <x:v>1</x:v>
      </x:c>
      <x:c r="J820" s="39" t="n">
        <x:v>1</x:v>
      </x:c>
      <x:c r="K820" s="39" t="n">
        <x:v>1</x:v>
      </x:c>
      <x:c r="L820" s="39" t="n">
        <x:v>1</x:v>
      </x:c>
    </x:row>
    <x:row r="821" ht="23" customHeight="1">
      <x:c r="B821" s="17" t="str">
        <x:v>Round1</x:v>
      </x:c>
      <x:c r="C821" s="17" t="str">
        <x:v>condition</x:v>
      </x:c>
      <x:c r="D821" s="17" t="str">
        <x:v>Collections_27</x:v>
      </x:c>
      <x:c r="E821" s="32" t="n">
        <x:v>0.78</x:v>
      </x:c>
      <x:c r="F821" s="32" t="n">
        <x:v>0.3</x:v>
      </x:c>
      <x:c r="G821" s="32" t="n">
        <x:v>0.82</x:v>
      </x:c>
      <x:c r="H821" s="32" t="n">
        <x:v>0.44</x:v>
      </x:c>
      <x:c r="I821" s="39" t="n">
        <x:v>1</x:v>
      </x:c>
      <x:c r="J821" s="39" t="n">
        <x:v>1</x:v>
      </x:c>
      <x:c r="K821" s="39" t="n">
        <x:v>1</x:v>
      </x:c>
      <x:c r="L821" s="39" t="n">
        <x:v>1</x:v>
      </x:c>
    </x:row>
    <x:row r="822" ht="23" customHeight="1">
      <x:c r="B822" s="17" t="str">
        <x:v>Round1</x:v>
      </x:c>
      <x:c r="C822" s="17" t="str">
        <x:v>condition</x:v>
      </x:c>
      <x:c r="D822" s="17" t="str">
        <x:v>Collections_5</x:v>
      </x:c>
      <x:c r="E822" s="32" t="n">
        <x:v>1</x:v>
      </x:c>
      <x:c r="F822" s="32" t="n">
        <x:v>0.05</x:v>
      </x:c>
      <x:c r="G822" s="32" t="n">
        <x:v>0.95</x:v>
      </x:c>
      <x:c r="H822" s="32" t="n">
        <x:v>0.6</x:v>
      </x:c>
      <x:c r="I822" s="39" t="n">
        <x:v>1</x:v>
      </x:c>
      <x:c r="J822" s="39" t="n">
        <x:v>1</x:v>
      </x:c>
      <x:c r="K822" s="39" t="n">
        <x:v>1</x:v>
      </x:c>
      <x:c r="L822" s="39" t="n">
        <x:v>1</x:v>
      </x:c>
    </x:row>
    <x:row r="823" ht="23" customHeight="1">
      <x:c r="B823" s="17" t="str">
        <x:v>Round1</x:v>
      </x:c>
      <x:c r="C823" s="17" t="str">
        <x:v>condition</x:v>
      </x:c>
      <x:c r="D823" s="17" t="str">
        <x:v>Collections_6</x:v>
      </x:c>
      <x:c r="E823" s="32" t="n">
        <x:v>0.5771000000000001</x:v>
      </x:c>
      <x:c r="F823" s="32" t="n">
        <x:v>0.053200000000000004</x:v>
      </x:c>
      <x:c r="G823" s="32" t="n">
        <x:v>0.5133</x:v>
      </x:c>
      <x:c r="H823" s="32" t="n">
        <x:v>0.2553</x:v>
      </x:c>
      <x:c r="I823" s="39" t="n">
        <x:v>1</x:v>
      </x:c>
      <x:c r="J823" s="39" t="n">
        <x:v>1</x:v>
      </x:c>
      <x:c r="K823" s="39" t="n">
        <x:v>1</x:v>
      </x:c>
      <x:c r="L823" s="39" t="n">
        <x:v>1</x:v>
      </x:c>
    </x:row>
    <x:row r="824" ht="23" customHeight="1">
      <x:c r="B824" s="17" t="str">
        <x:v>Round1</x:v>
      </x:c>
      <x:c r="C824" s="17" t="str">
        <x:v>condition</x:v>
      </x:c>
      <x:c r="D824" s="17" t="str">
        <x:v>Compress_14</x:v>
      </x:c>
      <x:c r="E824" s="32" t="n">
        <x:v>0.8939</x:v>
      </x:c>
      <x:c r="F824" s="32" t="n">
        <x:v>0.43939999999999996</x:v>
      </x:c>
      <x:c r="G824" s="32" t="n">
        <x:v>0.7121</x:v>
      </x:c>
      <x:c r="H824" s="32" t="n">
        <x:v>0.9545</x:v>
      </x:c>
      <x:c r="I824" s="39" t="n">
        <x:v>1</x:v>
      </x:c>
      <x:c r="J824" s="39" t="n">
        <x:v>1</x:v>
      </x:c>
      <x:c r="K824" s="39" t="n">
        <x:v>1</x:v>
      </x:c>
      <x:c r="L824" s="39" t="n">
        <x:v>1</x:v>
      </x:c>
    </x:row>
    <x:row r="825" ht="23" customHeight="1">
      <x:c r="B825" s="17" t="str">
        <x:v>Round1</x:v>
      </x:c>
      <x:c r="C825" s="17" t="str">
        <x:v>condition</x:v>
      </x:c>
      <x:c r="D825" s="17" t="str">
        <x:v>Compress_20</x:v>
      </x:c>
      <x:c r="E825" s="32" t="n">
        <x:v>0.386</x:v>
      </x:c>
      <x:c r="F825" s="32" t="n">
        <x:v>0.2018</x:v>
      </x:c>
      <x:c r="G825" s="32" t="n">
        <x:v>0.2895</x:v>
      </x:c>
      <x:c r="H825" s="32" t="n">
        <x:v>0.9211</x:v>
      </x:c>
      <x:c r="I825" s="39" t="n">
        <x:v>1</x:v>
      </x:c>
      <x:c r="J825" s="39" t="n">
        <x:v>1</x:v>
      </x:c>
      <x:c r="K825" s="39" t="n">
        <x:v>1</x:v>
      </x:c>
      <x:c r="L825" s="39" t="n">
        <x:v>1</x:v>
      </x:c>
    </x:row>
    <x:row r="826" ht="23" customHeight="1">
      <x:c r="B826" s="17" t="str">
        <x:v>Round1</x:v>
      </x:c>
      <x:c r="C826" s="17" t="str">
        <x:v>condition</x:v>
      </x:c>
      <x:c r="D826" s="17" t="str">
        <x:v>Compress_21</x:v>
      </x:c>
      <x:c r="E826" s="32" t="n">
        <x:v>0.6838</x:v>
      </x:c>
      <x:c r="F826" s="32" t="n">
        <x:v>0</x:v>
      </x:c>
      <x:c r="G826" s="32" t="n">
        <x:v>0.5956</x:v>
      </x:c>
      <x:c r="H826" s="32" t="n">
        <x:v>0.9044</x:v>
      </x:c>
      <x:c r="I826" s="39" t="n">
        <x:v>1</x:v>
      </x:c>
      <x:c r="J826" s="39" t="n">
        <x:v>1</x:v>
      </x:c>
      <x:c r="K826" s="39" t="n">
        <x:v>1</x:v>
      </x:c>
      <x:c r="L826" s="39" t="n">
        <x:v>1</x:v>
      </x:c>
    </x:row>
    <x:row r="827" ht="23" customHeight="1">
      <x:c r="B827" s="17" t="str">
        <x:v>Round1</x:v>
      </x:c>
      <x:c r="C827" s="17" t="str">
        <x:v>condition</x:v>
      </x:c>
      <x:c r="D827" s="17" t="str">
        <x:v>Compress_30</x:v>
      </x:c>
      <x:c r="E827" s="32" t="n">
        <x:v>0.0377</x:v>
      </x:c>
      <x:c r="F827" s="32" t="n">
        <x:v>0.0151</x:v>
      </x:c>
      <x:c r="G827" s="32" t="n">
        <x:v>0.0717</x:v>
      </x:c>
      <x:c r="H827" s="32" t="n">
        <x:v>0.24530000000000002</x:v>
      </x:c>
      <x:c r="I827" s="39" t="n">
        <x:v>1</x:v>
      </x:c>
      <x:c r="J827" s="39" t="n">
        <x:v>1</x:v>
      </x:c>
      <x:c r="K827" s="39" t="n">
        <x:v>1</x:v>
      </x:c>
      <x:c r="L827" s="39" t="n">
        <x:v>1</x:v>
      </x:c>
    </x:row>
    <x:row r="828" ht="23" customHeight="1">
      <x:c r="B828" s="17" t="str">
        <x:v>Round1</x:v>
      </x:c>
      <x:c r="C828" s="17" t="str">
        <x:v>condition</x:v>
      </x:c>
      <x:c r="D828" s="17" t="str">
        <x:v>Compress_32</x:v>
      </x:c>
      <x:c r="E828" s="32" t="n">
        <x:v>0.2937</x:v>
      </x:c>
      <x:c r="F828" s="32" t="n">
        <x:v>0.1429</x:v>
      </x:c>
      <x:c r="G828" s="32" t="n">
        <x:v>0.3016</x:v>
      </x:c>
      <x:c r="H828" s="32" t="n">
        <x:v>0.6349</x:v>
      </x:c>
      <x:c r="I828" s="39" t="n">
        <x:v>1</x:v>
      </x:c>
      <x:c r="J828" s="39" t="n">
        <x:v>1</x:v>
      </x:c>
      <x:c r="K828" s="39" t="n">
        <x:v>1</x:v>
      </x:c>
      <x:c r="L828" s="39" t="n">
        <x:v>1</x:v>
      </x:c>
    </x:row>
    <x:row r="829" ht="23" customHeight="1">
      <x:c r="B829" s="17" t="str">
        <x:v>Round1</x:v>
      </x:c>
      <x:c r="C829" s="17" t="str">
        <x:v>condition</x:v>
      </x:c>
      <x:c r="D829" s="17" t="str">
        <x:v>Compress_36</x:v>
      </x:c>
      <x:c r="E829" s="32" t="n">
        <x:v>0.019799999999999998</x:v>
      </x:c>
      <x:c r="F829" s="32" t="n">
        <x:v>0.019799999999999998</x:v>
      </x:c>
      <x:c r="G829" s="32" t="n">
        <x:v>0.033</x:v>
      </x:c>
      <x:c r="H829" s="32" t="n">
        <x:v>0.505</x:v>
      </x:c>
      <x:c r="I829" s="39" t="n">
        <x:v>1</x:v>
      </x:c>
      <x:c r="J829" s="39" t="n">
        <x:v>1</x:v>
      </x:c>
      <x:c r="K829" s="39" t="n">
        <x:v>1</x:v>
      </x:c>
      <x:c r="L829" s="39" t="n">
        <x:v>1</x:v>
      </x:c>
    </x:row>
    <x:row r="830" ht="23" customHeight="1">
      <x:c r="B830" s="17" t="str">
        <x:v>Round1</x:v>
      </x:c>
      <x:c r="C830" s="17" t="str">
        <x:v>condition</x:v>
      </x:c>
      <x:c r="D830" s="17" t="str">
        <x:v>Compress_45</x:v>
      </x:c>
      <x:c r="E830" s="32" t="n">
        <x:v>0.8056</x:v>
      </x:c>
      <x:c r="F830" s="32" t="n">
        <x:v>0.287</x:v>
      </x:c>
      <x:c r="G830" s="32" t="n">
        <x:v>0.6111</x:v>
      </x:c>
      <x:c r="H830" s="32" t="n">
        <x:v>0.6667000000000001</x:v>
      </x:c>
      <x:c r="I830" s="39" t="n">
        <x:v>1</x:v>
      </x:c>
      <x:c r="J830" s="39" t="n">
        <x:v>1</x:v>
      </x:c>
      <x:c r="K830" s="39" t="n">
        <x:v>1</x:v>
      </x:c>
      <x:c r="L830" s="39" t="n">
        <x:v>1</x:v>
      </x:c>
    </x:row>
    <x:row r="831" ht="23" customHeight="1">
      <x:c r="B831" s="17" t="str">
        <x:v>Round1</x:v>
      </x:c>
      <x:c r="C831" s="17" t="str">
        <x:v>condition</x:v>
      </x:c>
      <x:c r="D831" s="17" t="str">
        <x:v>Compress_47</x:v>
      </x:c>
      <x:c r="E831" s="32" t="n">
        <x:v>0.10619999999999999</x:v>
      </x:c>
      <x:c r="F831" s="32" t="n">
        <x:v>0.0659</x:v>
      </x:c>
      <x:c r="G831" s="32" t="n">
        <x:v>0.4725</x:v>
      </x:c>
      <x:c r="H831" s="32" t="n">
        <x:v>0.37</x:v>
      </x:c>
      <x:c r="I831" s="39" t="n">
        <x:v>1</x:v>
      </x:c>
      <x:c r="J831" s="39" t="n">
        <x:v>1</x:v>
      </x:c>
      <x:c r="K831" s="39" t="n">
        <x:v>1</x:v>
      </x:c>
      <x:c r="L831" s="39" t="n">
        <x:v>1</x:v>
      </x:c>
    </x:row>
    <x:row r="832" ht="23" customHeight="1">
      <x:c r="B832" s="17" t="str">
        <x:v>Round1</x:v>
      </x:c>
      <x:c r="C832" s="17" t="str">
        <x:v>condition</x:v>
      </x:c>
      <x:c r="D832" s="17" t="str">
        <x:v>Compress_8</x:v>
      </x:c>
      <x:c r="E832" s="32" t="n">
        <x:v>0.9473999999999999</x:v>
      </x:c>
      <x:c r="F832" s="32" t="n">
        <x:v>0.7631999999999999</x:v>
      </x:c>
      <x:c r="G832" s="32" t="n">
        <x:v>0.9211</x:v>
      </x:c>
      <x:c r="H832" s="32" t="n">
        <x:v>0.9737</x:v>
      </x:c>
      <x:c r="I832" s="39" t="n">
        <x:v>1</x:v>
      </x:c>
      <x:c r="J832" s="39" t="n">
        <x:v>1</x:v>
      </x:c>
      <x:c r="K832" s="39" t="n">
        <x:v>1</x:v>
      </x:c>
      <x:c r="L832" s="39" t="n">
        <x:v>1</x:v>
      </x:c>
    </x:row>
    <x:row r="833" ht="23" customHeight="1">
      <x:c r="B833" s="17" t="str">
        <x:v>Round1</x:v>
      </x:c>
      <x:c r="C833" s="17" t="str">
        <x:v>condition</x:v>
      </x:c>
      <x:c r="D833" s="17" t="str">
        <x:v>Compress_9</x:v>
      </x:c>
      <x:c r="E833" s="32" t="n">
        <x:v>0.6667000000000001</x:v>
      </x:c>
      <x:c r="F833" s="32" t="n">
        <x:v>0.3095</x:v>
      </x:c>
      <x:c r="G833" s="32" t="n">
        <x:v>0.8332999999999999</x:v>
      </x:c>
      <x:c r="H833" s="32" t="n">
        <x:v>1</x:v>
      </x:c>
      <x:c r="I833" s="39" t="n">
        <x:v>1</x:v>
      </x:c>
      <x:c r="J833" s="39" t="n">
        <x:v>1</x:v>
      </x:c>
      <x:c r="K833" s="39" t="n">
        <x:v>1</x:v>
      </x:c>
      <x:c r="L833" s="39" t="n">
        <x:v>1</x:v>
      </x:c>
    </x:row>
    <x:row r="834" ht="23" customHeight="1">
      <x:c r="B834" s="17" t="str">
        <x:v>Round1</x:v>
      </x:c>
      <x:c r="C834" s="17" t="str">
        <x:v>condition</x:v>
      </x:c>
      <x:c r="D834" s="17" t="str">
        <x:v>Csv_1</x:v>
      </x:c>
      <x:c r="E834" s="32" t="n">
        <x:v>0.5909</x:v>
      </x:c>
      <x:c r="F834" s="32" t="n">
        <x:v>0</x:v>
      </x:c>
      <x:c r="G834" s="32" t="n">
        <x:v>0.9545</x:v>
      </x:c>
      <x:c r="H834" s="32" t="n">
        <x:v>0.9545</x:v>
      </x:c>
      <x:c r="I834" s="39" t="n">
        <x:v>1</x:v>
      </x:c>
      <x:c r="J834" s="39" t="n">
        <x:v>1</x:v>
      </x:c>
      <x:c r="K834" s="39" t="n">
        <x:v>1</x:v>
      </x:c>
      <x:c r="L834" s="39" t="n">
        <x:v>1</x:v>
      </x:c>
    </x:row>
    <x:row r="835" ht="23" customHeight="1">
      <x:c r="B835" s="17" t="str">
        <x:v>Round1</x:v>
      </x:c>
      <x:c r="C835" s="17" t="str">
        <x:v>condition</x:v>
      </x:c>
      <x:c r="D835" s="17" t="str">
        <x:v>Csv_2</x:v>
      </x:c>
      <x:c r="E835" s="32" t="n">
        <x:v>1</x:v>
      </x:c>
      <x:c r="F835" s="32" t="n">
        <x:v>0.3125</x:v>
      </x:c>
      <x:c r="G835" s="32" t="n">
        <x:v>1</x:v>
      </x:c>
      <x:c r="H835" s="32" t="n">
        <x:v>1</x:v>
      </x:c>
      <x:c r="I835" s="39" t="n">
        <x:v>1</x:v>
      </x:c>
      <x:c r="J835" s="39" t="n">
        <x:v>1</x:v>
      </x:c>
      <x:c r="K835" s="39" t="n">
        <x:v>1</x:v>
      </x:c>
      <x:c r="L835" s="39" t="n">
        <x:v>1</x:v>
      </x:c>
    </x:row>
    <x:row r="836" ht="23" customHeight="1">
      <x:c r="B836" s="17" t="str">
        <x:v>Round1</x:v>
      </x:c>
      <x:c r="C836" s="17" t="str">
        <x:v>condition</x:v>
      </x:c>
      <x:c r="D836" s="17" t="str">
        <x:v>Csv_6</x:v>
      </x:c>
      <x:c r="E836" s="32" t="n">
        <x:v>1</x:v>
      </x:c>
      <x:c r="F836" s="32" t="n">
        <x:v>0.3333</x:v>
      </x:c>
      <x:c r="G836" s="32" t="n">
        <x:v>0.8332999999999999</x:v>
      </x:c>
      <x:c r="H836" s="32" t="n">
        <x:v>1</x:v>
      </x:c>
      <x:c r="I836" s="39" t="n">
        <x:v>1</x:v>
      </x:c>
      <x:c r="J836" s="39" t="n">
        <x:v>1</x:v>
      </x:c>
      <x:c r="K836" s="39" t="n">
        <x:v>1</x:v>
      </x:c>
      <x:c r="L836" s="39" t="n">
        <x:v>1</x:v>
      </x:c>
    </x:row>
    <x:row r="837" ht="23" customHeight="1">
      <x:c r="B837" s="17" t="str">
        <x:v>Round1</x:v>
      </x:c>
      <x:c r="C837" s="17" t="str">
        <x:v>condition</x:v>
      </x:c>
      <x:c r="D837" s="17" t="str">
        <x:v>Csv_7</x:v>
      </x:c>
      <x:c r="E837" s="32" t="n">
        <x:v>0.76</x:v>
      </x:c>
      <x:c r="F837" s="32" t="n">
        <x:v>0</x:v>
      </x:c>
      <x:c r="G837" s="32" t="n">
        <x:v>0.68</x:v>
      </x:c>
      <x:c r="H837" s="32" t="n">
        <x:v>0.56</x:v>
      </x:c>
      <x:c r="I837" s="39" t="n">
        <x:v>1</x:v>
      </x:c>
      <x:c r="J837" s="39" t="n">
        <x:v>1</x:v>
      </x:c>
      <x:c r="K837" s="39" t="n">
        <x:v>1</x:v>
      </x:c>
      <x:c r="L837" s="39" t="n">
        <x:v>1</x:v>
      </x:c>
    </x:row>
    <x:row r="838" ht="23" customHeight="1">
      <x:c r="B838" s="17" t="str">
        <x:v>Round1</x:v>
      </x:c>
      <x:c r="C838" s="17" t="str">
        <x:v>condition</x:v>
      </x:c>
      <x:c r="D838" s="17" t="str">
        <x:v>Csv_9</x:v>
      </x:c>
      <x:c r="E838" s="32" t="n">
        <x:v>1</x:v>
      </x:c>
      <x:c r="F838" s="32" t="n">
        <x:v>0.2727</x:v>
      </x:c>
      <x:c r="G838" s="32" t="n">
        <x:v>0.9545</x:v>
      </x:c>
      <x:c r="H838" s="32" t="n">
        <x:v>1</x:v>
      </x:c>
      <x:c r="I838" s="39" t="n">
        <x:v>1</x:v>
      </x:c>
      <x:c r="J838" s="39" t="n">
        <x:v>1</x:v>
      </x:c>
      <x:c r="K838" s="39" t="n">
        <x:v>1</x:v>
      </x:c>
      <x:c r="L838" s="39" t="n">
        <x:v>1</x:v>
      </x:c>
    </x:row>
    <x:row r="839" ht="23" customHeight="1">
      <x:c r="B839" s="17" t="str">
        <x:v>Round1</x:v>
      </x:c>
      <x:c r="C839" s="17" t="str">
        <x:v>condition</x:v>
      </x:c>
      <x:c r="D839" s="17" t="str">
        <x:v>Gson_1</x:v>
      </x:c>
      <x:c r="E839" s="32" t="n">
        <x:v>0</x:v>
      </x:c>
      <x:c r="F839" s="32" t="n">
        <x:v>0</x:v>
      </x:c>
      <x:c r="G839" s="32" t="n">
        <x:v>0.5455</x:v>
      </x:c>
      <x:c r="H839" s="32" t="n">
        <x:v>0.9545</x:v>
      </x:c>
      <x:c r="I839" s="39" t="n">
        <x:v>1</x:v>
      </x:c>
      <x:c r="J839" s="39" t="n">
        <x:v>1</x:v>
      </x:c>
      <x:c r="K839" s="39" t="n">
        <x:v>1</x:v>
      </x:c>
      <x:c r="L839" s="39" t="n">
        <x:v>1</x:v>
      </x:c>
    </x:row>
    <x:row r="840" ht="23" customHeight="1">
      <x:c r="B840" s="17" t="str">
        <x:v>Round1</x:v>
      </x:c>
      <x:c r="C840" s="17" t="str">
        <x:v>condition</x:v>
      </x:c>
      <x:c r="D840" s="17" t="str">
        <x:v>Gson_3</x:v>
      </x:c>
      <x:c r="E840" s="32" t="n">
        <x:v>0</x:v>
      </x:c>
      <x:c r="F840" s="32" t="n">
        <x:v>0</x:v>
      </x:c>
      <x:c r="G840" s="32" t="n">
        <x:v>0.6562</x:v>
      </x:c>
      <x:c r="H840" s="32" t="n">
        <x:v>0.9688</x:v>
      </x:c>
      <x:c r="I840" s="39" t="n">
        <x:v>1</x:v>
      </x:c>
      <x:c r="J840" s="39" t="n">
        <x:v>1</x:v>
      </x:c>
      <x:c r="K840" s="39" t="n">
        <x:v>1</x:v>
      </x:c>
      <x:c r="L840" s="39" t="n">
        <x:v>1</x:v>
      </x:c>
    </x:row>
    <x:row r="841" ht="23" customHeight="1">
      <x:c r="B841" s="17" t="str">
        <x:v>Round1</x:v>
      </x:c>
      <x:c r="C841" s="17" t="str">
        <x:v>condition</x:v>
      </x:c>
      <x:c r="D841" s="17" t="str">
        <x:v>Gson_5</x:v>
      </x:c>
      <x:c r="E841" s="32" t="n">
        <x:v>0.7079000000000001</x:v>
      </x:c>
      <x:c r="F841" s="32" t="n">
        <x:v>0</x:v>
      </x:c>
      <x:c r="G841" s="32" t="n">
        <x:v>0.7528</x:v>
      </x:c>
      <x:c r="H841" s="32" t="n">
        <x:v>0.8764</x:v>
      </x:c>
      <x:c r="I841" s="39" t="n">
        <x:v>1</x:v>
      </x:c>
      <x:c r="J841" s="39" t="n">
        <x:v>1</x:v>
      </x:c>
      <x:c r="K841" s="39" t="n">
        <x:v>1</x:v>
      </x:c>
      <x:c r="L841" s="39" t="n">
        <x:v>1</x:v>
      </x:c>
    </x:row>
    <x:row r="842" ht="23" customHeight="1">
      <x:c r="B842" s="17" t="str">
        <x:v>Round1</x:v>
      </x:c>
      <x:c r="C842" s="17" t="str">
        <x:v>condition</x:v>
      </x:c>
      <x:c r="D842" s="17" t="str">
        <x:v>JacksonCore_26</x:v>
      </x:c>
      <x:c r="E842" s="32" t="n">
        <x:v>0.122</x:v>
      </x:c>
      <x:c r="F842" s="32" t="n">
        <x:v>0</x:v>
      </x:c>
      <x:c r="G842" s="32" t="n">
        <x:v>0.10619999999999999</x:v>
      </x:c>
      <x:c r="H842" s="32" t="n">
        <x:v>0.0873</x:v>
      </x:c>
      <x:c r="I842" s="39" t="n">
        <x:v>1</x:v>
      </x:c>
      <x:c r="J842" s="39" t="n">
        <x:v>1</x:v>
      </x:c>
      <x:c r="K842" s="39" t="n">
        <x:v>1</x:v>
      </x:c>
      <x:c r="L842" s="39" t="n">
        <x:v>1</x:v>
      </x:c>
    </x:row>
    <x:row r="843" ht="23" customHeight="1">
      <x:c r="B843" s="17" t="str">
        <x:v>Round1</x:v>
      </x:c>
      <x:c r="C843" s="17" t="str">
        <x:v>condition</x:v>
      </x:c>
      <x:c r="D843" s="17" t="str">
        <x:v>JacksonCore_6</x:v>
      </x:c>
      <x:c r="E843" s="32" t="n">
        <x:v>0.9355</x:v>
      </x:c>
      <x:c r="F843" s="32" t="n">
        <x:v>0.4677</x:v>
      </x:c>
      <x:c r="G843" s="32" t="n">
        <x:v>0.871</x:v>
      </x:c>
      <x:c r="H843" s="32" t="n">
        <x:v>0.7581</x:v>
      </x:c>
      <x:c r="I843" s="39" t="n">
        <x:v>1</x:v>
      </x:c>
      <x:c r="J843" s="39" t="n">
        <x:v>1</x:v>
      </x:c>
      <x:c r="K843" s="39" t="n">
        <x:v>1</x:v>
      </x:c>
      <x:c r="L843" s="39" t="n">
        <x:v>1</x:v>
      </x:c>
    </x:row>
    <x:row r="844" ht="23" customHeight="1">
      <x:c r="B844" s="17" t="str">
        <x:v>Round1</x:v>
      </x:c>
      <x:c r="C844" s="17" t="str">
        <x:v>condition</x:v>
      </x:c>
      <x:c r="D844" s="17" t="str">
        <x:v>JacksonCore_8</x:v>
      </x:c>
      <x:c r="E844" s="32" t="n">
        <x:v>0.971</x:v>
      </x:c>
      <x:c r="F844" s="32" t="n">
        <x:v>0.3406</x:v>
      </x:c>
      <x:c r="G844" s="32" t="n">
        <x:v>0.4855</x:v>
      </x:c>
      <x:c r="H844" s="32" t="n">
        <x:v>0.8913</x:v>
      </x:c>
      <x:c r="I844" s="39" t="n">
        <x:v>1</x:v>
      </x:c>
      <x:c r="J844" s="39" t="n">
        <x:v>1</x:v>
      </x:c>
      <x:c r="K844" s="39" t="n">
        <x:v>1</x:v>
      </x:c>
      <x:c r="L844" s="39" t="n">
        <x:v>1</x:v>
      </x:c>
    </x:row>
    <x:row r="845" ht="23" customHeight="1">
      <x:c r="B845" s="17" t="str">
        <x:v>Round1</x:v>
      </x:c>
      <x:c r="C845" s="17" t="str">
        <x:v>condition</x:v>
      </x:c>
      <x:c r="D845" s="17" t="str">
        <x:v>JacksonDatabind_105</x:v>
      </x:c>
      <x:c r="E845" s="32" t="n">
        <x:v>0.6667000000000001</x:v>
      </x:c>
      <x:c r="F845" s="32" t="n">
        <x:v>0</x:v>
      </x:c>
      <x:c r="G845" s="32" t="n">
        <x:v>0.8332999999999999</x:v>
      </x:c>
      <x:c r="H845" s="32" t="n">
        <x:v>1</x:v>
      </x:c>
      <x:c r="I845" s="39" t="n">
        <x:v>1</x:v>
      </x:c>
      <x:c r="J845" s="39" t="n">
        <x:v>1</x:v>
      </x:c>
      <x:c r="K845" s="39" t="n">
        <x:v>1</x:v>
      </x:c>
      <x:c r="L845" s="39" t="n">
        <x:v>1</x:v>
      </x:c>
    </x:row>
    <x:row r="846" ht="23" customHeight="1">
      <x:c r="B846" s="17" t="str">
        <x:v>Round1</x:v>
      </x:c>
      <x:c r="C846" s="17" t="str">
        <x:v>condition</x:v>
      </x:c>
      <x:c r="D846" s="17" t="str">
        <x:v>JacksonDatabind_16</x:v>
      </x:c>
      <x:c r="E846" s="32" t="n">
        <x:v>0.19440000000000002</x:v>
      </x:c>
      <x:c r="F846" s="32" t="n">
        <x:v>0.22219999999999998</x:v>
      </x:c>
      <x:c r="G846" s="32" t="n">
        <x:v>0.8611</x:v>
      </x:c>
      <x:c r="H846" s="32" t="n">
        <x:v>1</x:v>
      </x:c>
      <x:c r="I846" s="39" t="n">
        <x:v>1</x:v>
      </x:c>
      <x:c r="J846" s="39" t="n">
        <x:v>1</x:v>
      </x:c>
      <x:c r="K846" s="39" t="n">
        <x:v>1</x:v>
      </x:c>
      <x:c r="L846" s="39" t="n">
        <x:v>1</x:v>
      </x:c>
    </x:row>
    <x:row r="847" ht="23" customHeight="1">
      <x:c r="B847" s="17" t="str">
        <x:v>Round1</x:v>
      </x:c>
      <x:c r="C847" s="17" t="str">
        <x:v>condition</x:v>
      </x:c>
      <x:c r="D847" s="17" t="str">
        <x:v>JacksonDatabind_36</x:v>
      </x:c>
      <x:c r="E847" s="32" t="n">
        <x:v>0.8692</x:v>
      </x:c>
      <x:c r="F847" s="32" t="n">
        <x:v>0.6846</x:v>
      </x:c>
      <x:c r="G847" s="32" t="n">
        <x:v>0.7077</x:v>
      </x:c>
      <x:c r="H847" s="32" t="n">
        <x:v>0</x:v>
      </x:c>
      <x:c r="I847" s="39" t="n">
        <x:v>1</x:v>
      </x:c>
      <x:c r="J847" s="39" t="n">
        <x:v>1</x:v>
      </x:c>
      <x:c r="K847" s="39" t="n">
        <x:v>1</x:v>
      </x:c>
      <x:c r="L847" s="39" t="n">
        <x:v>1</x:v>
      </x:c>
    </x:row>
    <x:row r="848" ht="23" customHeight="1">
      <x:c r="B848" s="17" t="str">
        <x:v>Round1</x:v>
      </x:c>
      <x:c r="C848" s="17" t="str">
        <x:v>condition</x:v>
      </x:c>
      <x:c r="D848" s="17" t="str">
        <x:v>JacksonDatabind_39</x:v>
      </x:c>
      <x:c r="E848" s="32" t="n">
        <x:v>0.5</x:v>
      </x:c>
      <x:c r="F848" s="32" t="n">
        <x:v>0</x:v>
      </x:c>
      <x:c r="G848" s="32" t="n">
        <x:v>1</x:v>
      </x:c>
      <x:c r="H848" s="32" t="n">
        <x:v>1</x:v>
      </x:c>
      <x:c r="I848" s="39" t="n">
        <x:v>1</x:v>
      </x:c>
      <x:c r="J848" s="39" t="n">
        <x:v>1</x:v>
      </x:c>
      <x:c r="K848" s="39" t="n">
        <x:v>1</x:v>
      </x:c>
      <x:c r="L848" s="39" t="n">
        <x:v>1</x:v>
      </x:c>
    </x:row>
    <x:row r="849" ht="23" customHeight="1">
      <x:c r="B849" s="17" t="str">
        <x:v>Round1</x:v>
      </x:c>
      <x:c r="C849" s="17" t="str">
        <x:v>condition</x:v>
      </x:c>
      <x:c r="D849" s="17" t="str">
        <x:v>JacksonDatabind_40</x:v>
      </x:c>
      <x:c r="E849" s="32" t="n">
        <x:v>0.2615</x:v>
      </x:c>
      <x:c r="F849" s="32" t="n">
        <x:v>0.0154</x:v>
      </x:c>
      <x:c r="G849" s="32" t="n">
        <x:v>0.6385000000000001</x:v>
      </x:c>
      <x:c r="H849" s="32" t="n">
        <x:v>0</x:v>
      </x:c>
      <x:c r="I849" s="39" t="n">
        <x:v>1</x:v>
      </x:c>
      <x:c r="J849" s="39" t="n">
        <x:v>1</x:v>
      </x:c>
      <x:c r="K849" s="39" t="n">
        <x:v>1</x:v>
      </x:c>
      <x:c r="L849" s="39" t="n">
        <x:v>1</x:v>
      </x:c>
    </x:row>
    <x:row r="850" ht="23" customHeight="1">
      <x:c r="B850" s="17" t="str">
        <x:v>Round1</x:v>
      </x:c>
      <x:c r="C850" s="17" t="str">
        <x:v>condition</x:v>
      </x:c>
      <x:c r="D850" s="17" t="str">
        <x:v>JacksonDatabind_44</x:v>
      </x:c>
      <x:c r="E850" s="32" t="n">
        <x:v>0.9722</x:v>
      </x:c>
      <x:c r="F850" s="32" t="n">
        <x:v>0</x:v>
      </x:c>
      <x:c r="G850" s="32" t="n">
        <x:v>0.8889</x:v>
      </x:c>
      <x:c r="H850" s="32" t="n">
        <x:v>0</x:v>
      </x:c>
      <x:c r="I850" s="39" t="n">
        <x:v>1</x:v>
      </x:c>
      <x:c r="J850" s="39" t="n">
        <x:v>1</x:v>
      </x:c>
      <x:c r="K850" s="39" t="n">
        <x:v>1</x:v>
      </x:c>
      <x:c r="L850" s="39" t="n">
        <x:v>1</x:v>
      </x:c>
    </x:row>
    <x:row r="851" ht="23" customHeight="1">
      <x:c r="B851" s="17" t="str">
        <x:v>Round1</x:v>
      </x:c>
      <x:c r="C851" s="17" t="str">
        <x:v>condition</x:v>
      </x:c>
      <x:c r="D851" s="17" t="str">
        <x:v>JacksonDatabind_5</x:v>
      </x:c>
      <x:c r="E851" s="32" t="n">
        <x:v>0.7095999999999999</x:v>
      </x:c>
      <x:c r="F851" s="32" t="n">
        <x:v>0</x:v>
      </x:c>
      <x:c r="G851" s="32" t="n">
        <x:v>0.3897</x:v>
      </x:c>
      <x:c r="H851" s="32" t="n">
        <x:v>0</x:v>
      </x:c>
      <x:c r="I851" s="39" t="n">
        <x:v>1</x:v>
      </x:c>
      <x:c r="J851" s="39" t="n">
        <x:v>1</x:v>
      </x:c>
      <x:c r="K851" s="39" t="n">
        <x:v>1</x:v>
      </x:c>
      <x:c r="L851" s="39" t="n">
        <x:v>1</x:v>
      </x:c>
    </x:row>
    <x:row r="852" ht="23" customHeight="1">
      <x:c r="B852" s="17" t="str">
        <x:v>Round1</x:v>
      </x:c>
      <x:c r="C852" s="17" t="str">
        <x:v>condition</x:v>
      </x:c>
      <x:c r="D852" s="17" t="str">
        <x:v>JacksonDatabind_53</x:v>
      </x:c>
      <x:c r="E852" s="32" t="n">
        <x:v>0.7601</x:v>
      </x:c>
      <x:c r="F852" s="32" t="n">
        <x:v>0.2717</x:v>
      </x:c>
      <x:c r="G852" s="32" t="n">
        <x:v>0.6936</x:v>
      </x:c>
      <x:c r="H852" s="32" t="n">
        <x:v>0.0116</x:v>
      </x:c>
      <x:c r="I852" s="39" t="n">
        <x:v>1</x:v>
      </x:c>
      <x:c r="J852" s="39" t="n">
        <x:v>1</x:v>
      </x:c>
      <x:c r="K852" s="39" t="n">
        <x:v>1</x:v>
      </x:c>
      <x:c r="L852" s="39" t="n">
        <x:v>1</x:v>
      </x:c>
    </x:row>
    <x:row r="853" ht="23" customHeight="1">
      <x:c r="B853" s="17" t="str">
        <x:v>Round1</x:v>
      </x:c>
      <x:c r="C853" s="17" t="str">
        <x:v>condition</x:v>
      </x:c>
      <x:c r="D853" s="17" t="str">
        <x:v>JacksonDatabind_55</x:v>
      </x:c>
      <x:c r="E853" s="32" t="n">
        <x:v>0.7837999999999999</x:v>
      </x:c>
      <x:c r="F853" s="32" t="n">
        <x:v>0.027000000000000003</x:v>
      </x:c>
      <x:c r="G853" s="32" t="n">
        <x:v>0.8649</x:v>
      </x:c>
      <x:c r="H853" s="32" t="n">
        <x:v>0</x:v>
      </x:c>
      <x:c r="I853" s="39" t="n">
        <x:v>1</x:v>
      </x:c>
      <x:c r="J853" s="39" t="n">
        <x:v>1</x:v>
      </x:c>
      <x:c r="K853" s="39" t="n">
        <x:v>1</x:v>
      </x:c>
      <x:c r="L853" s="39" t="n">
        <x:v>1</x:v>
      </x:c>
    </x:row>
    <x:row r="854" ht="23" customHeight="1">
      <x:c r="B854" s="17" t="str">
        <x:v>Round1</x:v>
      </x:c>
      <x:c r="C854" s="17" t="str">
        <x:v>condition</x:v>
      </x:c>
      <x:c r="D854" s="17" t="str">
        <x:v>JacksonDatabind_57</x:v>
      </x:c>
      <x:c r="E854" s="32" t="n">
        <x:v>0.5064</x:v>
      </x:c>
      <x:c r="F854" s="32" t="n">
        <x:v>0</x:v>
      </x:c>
      <x:c r="G854" s="32" t="n">
        <x:v>0.42310000000000003</x:v>
      </x:c>
      <x:c r="H854" s="32" t="n">
        <x:v>0</x:v>
      </x:c>
      <x:c r="I854" s="39" t="n">
        <x:v>1</x:v>
      </x:c>
      <x:c r="J854" s="39" t="n">
        <x:v>1</x:v>
      </x:c>
      <x:c r="K854" s="39" t="n">
        <x:v>1</x:v>
      </x:c>
      <x:c r="L854" s="39" t="n">
        <x:v>1</x:v>
      </x:c>
    </x:row>
    <x:row r="855" ht="23" customHeight="1">
      <x:c r="B855" s="17" t="str">
        <x:v>Round1</x:v>
      </x:c>
      <x:c r="C855" s="17" t="str">
        <x:v>condition</x:v>
      </x:c>
      <x:c r="D855" s="17" t="str">
        <x:v>JacksonDatabind_6</x:v>
      </x:c>
      <x:c r="E855" s="32" t="n">
        <x:v>0.9148999999999999</x:v>
      </x:c>
      <x:c r="F855" s="32" t="n">
        <x:v>0.7872</x:v>
      </x:c>
      <x:c r="G855" s="32" t="n">
        <x:v>0.7553</x:v>
      </x:c>
      <x:c r="H855" s="32" t="n">
        <x:v>0</x:v>
      </x:c>
      <x:c r="I855" s="39" t="n">
        <x:v>1</x:v>
      </x:c>
      <x:c r="J855" s="39" t="n">
        <x:v>1</x:v>
      </x:c>
      <x:c r="K855" s="39" t="n">
        <x:v>1</x:v>
      </x:c>
      <x:c r="L855" s="39" t="n">
        <x:v>1</x:v>
      </x:c>
    </x:row>
    <x:row r="856" ht="23" customHeight="1">
      <x:c r="B856" s="17" t="str">
        <x:v>Round1</x:v>
      </x:c>
      <x:c r="C856" s="17" t="str">
        <x:v>condition</x:v>
      </x:c>
      <x:c r="D856" s="17" t="str">
        <x:v>JacksonDatabind_68</x:v>
      </x:c>
      <x:c r="E856" s="32" t="n">
        <x:v>0</x:v>
      </x:c>
      <x:c r="F856" s="32" t="n">
        <x:v>0</x:v>
      </x:c>
      <x:c r="G856" s="32" t="n">
        <x:v>0</x:v>
      </x:c>
      <x:c r="H856" s="32" t="n">
        <x:v>0</x:v>
      </x:c>
      <x:c r="I856" s="39" t="n">
        <x:v>1</x:v>
      </x:c>
      <x:c r="J856" s="39" t="n">
        <x:v>1</x:v>
      </x:c>
      <x:c r="K856" s="39" t="n">
        <x:v>1</x:v>
      </x:c>
      <x:c r="L856" s="39" t="n">
        <x:v>1</x:v>
      </x:c>
    </x:row>
    <x:row r="857" ht="23" customHeight="1">
      <x:c r="B857" s="17" t="str">
        <x:v>Round1</x:v>
      </x:c>
      <x:c r="C857" s="17" t="str">
        <x:v>condition</x:v>
      </x:c>
      <x:c r="D857" s="17" t="str">
        <x:v>JacksonDatabind_73</x:v>
      </x:c>
      <x:c r="E857" s="32" t="n">
        <x:v>0.0587</x:v>
      </x:c>
      <x:c r="F857" s="32" t="n">
        <x:v>0.0475</x:v>
      </x:c>
      <x:c r="G857" s="32" t="n">
        <x:v>0.5433</x:v>
      </x:c>
      <x:c r="H857" s="32" t="n">
        <x:v>0</x:v>
      </x:c>
      <x:c r="I857" s="39" t="n">
        <x:v>1</x:v>
      </x:c>
      <x:c r="J857" s="39" t="n">
        <x:v>1</x:v>
      </x:c>
      <x:c r="K857" s="39" t="n">
        <x:v>1</x:v>
      </x:c>
      <x:c r="L857" s="39" t="n">
        <x:v>1</x:v>
      </x:c>
    </x:row>
    <x:row r="858" ht="23" customHeight="1">
      <x:c r="B858" s="17" t="str">
        <x:v>Round1</x:v>
      </x:c>
      <x:c r="C858" s="17" t="str">
        <x:v>condition</x:v>
      </x:c>
      <x:c r="D858" s="17" t="str">
        <x:v>JacksonDatabind_83</x:v>
      </x:c>
      <x:c r="E858" s="32" t="n">
        <x:v>0.5682</x:v>
      </x:c>
      <x:c r="F858" s="32" t="n">
        <x:v>0</x:v>
      </x:c>
      <x:c r="G858" s="32" t="n">
        <x:v>0.7841</x:v>
      </x:c>
      <x:c r="H858" s="32" t="n">
        <x:v>0</x:v>
      </x:c>
      <x:c r="I858" s="39" t="n">
        <x:v>1</x:v>
      </x:c>
      <x:c r="J858" s="39" t="n">
        <x:v>1</x:v>
      </x:c>
      <x:c r="K858" s="39" t="n">
        <x:v>1</x:v>
      </x:c>
      <x:c r="L858" s="39" t="n">
        <x:v>1</x:v>
      </x:c>
    </x:row>
    <x:row r="859" ht="23" customHeight="1">
      <x:c r="B859" s="17" t="str">
        <x:v>Round1</x:v>
      </x:c>
      <x:c r="C859" s="17" t="str">
        <x:v>condition</x:v>
      </x:c>
      <x:c r="D859" s="17" t="str">
        <x:v>JacksonDatabind_84</x:v>
      </x:c>
      <x:c r="E859" s="32" t="n">
        <x:v>1</x:v>
      </x:c>
      <x:c r="F859" s="32" t="n">
        <x:v>0</x:v>
      </x:c>
      <x:c r="G859" s="32" t="n">
        <x:v>1</x:v>
      </x:c>
      <x:c r="H859" s="32" t="n">
        <x:v>1</x:v>
      </x:c>
      <x:c r="I859" s="39" t="n">
        <x:v>1</x:v>
      </x:c>
      <x:c r="J859" s="39" t="n">
        <x:v>1</x:v>
      </x:c>
      <x:c r="K859" s="39" t="n">
        <x:v>1</x:v>
      </x:c>
      <x:c r="L859" s="39" t="n">
        <x:v>1</x:v>
      </x:c>
    </x:row>
    <x:row r="860" ht="23" customHeight="1">
      <x:c r="B860" s="17" t="str">
        <x:v>Round1</x:v>
      </x:c>
      <x:c r="C860" s="17" t="str">
        <x:v>condition</x:v>
      </x:c>
      <x:c r="D860" s="17" t="str">
        <x:v>JacksonDatabind_86</x:v>
      </x:c>
      <x:c r="E860" s="32" t="n">
        <x:v>1</x:v>
      </x:c>
      <x:c r="F860" s="32" t="n">
        <x:v>0</x:v>
      </x:c>
      <x:c r="G860" s="32" t="n">
        <x:v>1</x:v>
      </x:c>
      <x:c r="H860" s="32" t="n">
        <x:v>1</x:v>
      </x:c>
      <x:c r="I860" s="39" t="n">
        <x:v>1</x:v>
      </x:c>
      <x:c r="J860" s="39" t="n">
        <x:v>1</x:v>
      </x:c>
      <x:c r="K860" s="39" t="n">
        <x:v>1</x:v>
      </x:c>
      <x:c r="L860" s="39" t="n">
        <x:v>1</x:v>
      </x:c>
    </x:row>
    <x:row r="861" ht="23" customHeight="1">
      <x:c r="B861" s="17" t="str">
        <x:v>Round1</x:v>
      </x:c>
      <x:c r="C861" s="17" t="str">
        <x:v>condition</x:v>
      </x:c>
      <x:c r="D861" s="17" t="str">
        <x:v>JacksonDatabind_87</x:v>
      </x:c>
      <x:c r="E861" s="32" t="n">
        <x:v>0.8970999999999999</x:v>
      </x:c>
      <x:c r="F861" s="32" t="n">
        <x:v>0.5882000000000001</x:v>
      </x:c>
      <x:c r="G861" s="32" t="n">
        <x:v>0.6544</x:v>
      </x:c>
      <x:c r="H861" s="32" t="n">
        <x:v>0</x:v>
      </x:c>
      <x:c r="I861" s="39" t="n">
        <x:v>1</x:v>
      </x:c>
      <x:c r="J861" s="39" t="n">
        <x:v>1</x:v>
      </x:c>
      <x:c r="K861" s="39" t="n">
        <x:v>1</x:v>
      </x:c>
      <x:c r="L861" s="39" t="n">
        <x:v>1</x:v>
      </x:c>
    </x:row>
    <x:row r="862" ht="23" customHeight="1">
      <x:c r="B862" s="17" t="str">
        <x:v>Round1</x:v>
      </x:c>
      <x:c r="C862" s="17" t="str">
        <x:v>condition</x:v>
      </x:c>
      <x:c r="D862" s="17" t="str">
        <x:v>JacksonDatabind_94</x:v>
      </x:c>
      <x:c r="E862" s="32" t="n">
        <x:v>0.2857</x:v>
      </x:c>
      <x:c r="F862" s="32" t="n">
        <x:v>0</x:v>
      </x:c>
      <x:c r="G862" s="32" t="n">
        <x:v>0.35710000000000003</x:v>
      </x:c>
      <x:c r="H862" s="32" t="n">
        <x:v>0.9286</x:v>
      </x:c>
      <x:c r="I862" s="39" t="n">
        <x:v>1</x:v>
      </x:c>
      <x:c r="J862" s="39" t="n">
        <x:v>1</x:v>
      </x:c>
      <x:c r="K862" s="39" t="n">
        <x:v>1</x:v>
      </x:c>
      <x:c r="L862" s="39" t="n">
        <x:v>1</x:v>
      </x:c>
    </x:row>
    <x:row r="863" ht="23" customHeight="1">
      <x:c r="B863" s="17" t="str">
        <x:v>Round1</x:v>
      </x:c>
      <x:c r="C863" s="17" t="str">
        <x:v>condition</x:v>
      </x:c>
      <x:c r="D863" s="17" t="str">
        <x:v>Jsoup_1</x:v>
      </x:c>
      <x:c r="E863" s="32" t="n">
        <x:v>1</x:v>
      </x:c>
      <x:c r="F863" s="32" t="n">
        <x:v>1</x:v>
      </x:c>
      <x:c r="G863" s="32" t="n">
        <x:v>0.9444</x:v>
      </x:c>
      <x:c r="H863" s="32" t="n">
        <x:v>1</x:v>
      </x:c>
      <x:c r="I863" s="39" t="n">
        <x:v>1</x:v>
      </x:c>
      <x:c r="J863" s="39" t="n">
        <x:v>1</x:v>
      </x:c>
      <x:c r="K863" s="39" t="n">
        <x:v>1</x:v>
      </x:c>
      <x:c r="L863" s="39" t="n">
        <x:v>1</x:v>
      </x:c>
    </x:row>
    <x:row r="864" ht="23" customHeight="1">
      <x:c r="B864" s="17" t="str">
        <x:v>Round1</x:v>
      </x:c>
      <x:c r="C864" s="17" t="str">
        <x:v>condition</x:v>
      </x:c>
      <x:c r="D864" s="17" t="str">
        <x:v>Jsoup_11</x:v>
      </x:c>
      <x:c r="E864" s="32" t="n">
        <x:v>0.4833</x:v>
      </x:c>
      <x:c r="F864" s="32" t="n">
        <x:v>0</x:v>
      </x:c>
      <x:c r="G864" s="32" t="n">
        <x:v>0.6917</x:v>
      </x:c>
      <x:c r="H864" s="32" t="n">
        <x:v>0.95</x:v>
      </x:c>
      <x:c r="I864" s="39" t="n">
        <x:v>1</x:v>
      </x:c>
      <x:c r="J864" s="39" t="n">
        <x:v>1</x:v>
      </x:c>
      <x:c r="K864" s="39" t="n">
        <x:v>1</x:v>
      </x:c>
      <x:c r="L864" s="39" t="n">
        <x:v>1</x:v>
      </x:c>
    </x:row>
    <x:row r="865" ht="23" customHeight="1">
      <x:c r="B865" s="17" t="str">
        <x:v>Round1</x:v>
      </x:c>
      <x:c r="C865" s="17" t="str">
        <x:v>condition</x:v>
      </x:c>
      <x:c r="D865" s="17" t="str">
        <x:v>Jsoup_12</x:v>
      </x:c>
      <x:c r="E865" s="32" t="n">
        <x:v>0.5606</x:v>
      </x:c>
      <x:c r="F865" s="32" t="n">
        <x:v>0.0152</x:v>
      </x:c>
      <x:c r="G865" s="32" t="n">
        <x:v>0.8939</x:v>
      </x:c>
      <x:c r="H865" s="32" t="n">
        <x:v>0.9545</x:v>
      </x:c>
      <x:c r="I865" s="39" t="n">
        <x:v>1</x:v>
      </x:c>
      <x:c r="J865" s="39" t="n">
        <x:v>1</x:v>
      </x:c>
      <x:c r="K865" s="39" t="n">
        <x:v>1</x:v>
      </x:c>
      <x:c r="L865" s="39" t="n">
        <x:v>1</x:v>
      </x:c>
    </x:row>
    <x:row r="866" ht="23" customHeight="1">
      <x:c r="B866" s="17" t="str">
        <x:v>Round1</x:v>
      </x:c>
      <x:c r="C866" s="17" t="str">
        <x:v>condition</x:v>
      </x:c>
      <x:c r="D866" s="17" t="str">
        <x:v>Jsoup_16</x:v>
      </x:c>
      <x:c r="E866" s="32" t="n">
        <x:v>1</x:v>
      </x:c>
      <x:c r="F866" s="32" t="n">
        <x:v>0.5</x:v>
      </x:c>
      <x:c r="G866" s="32" t="n">
        <x:v>1</x:v>
      </x:c>
      <x:c r="H866" s="32" t="n">
        <x:v>1</x:v>
      </x:c>
      <x:c r="I866" s="39" t="n">
        <x:v>1</x:v>
      </x:c>
      <x:c r="J866" s="39" t="n">
        <x:v>1</x:v>
      </x:c>
      <x:c r="K866" s="39" t="n">
        <x:v>1</x:v>
      </x:c>
      <x:c r="L866" s="39" t="n">
        <x:v>1</x:v>
      </x:c>
    </x:row>
    <x:row r="867" ht="23" customHeight="1">
      <x:c r="B867" s="17" t="str">
        <x:v>Round1</x:v>
      </x:c>
      <x:c r="C867" s="17" t="str">
        <x:v>condition</x:v>
      </x:c>
      <x:c r="D867" s="17" t="str">
        <x:v>Jsoup_18</x:v>
      </x:c>
      <x:c r="E867" s="32" t="n">
        <x:v>1</x:v>
      </x:c>
      <x:c r="F867" s="32" t="n">
        <x:v>0.8659</x:v>
      </x:c>
      <x:c r="G867" s="32" t="n">
        <x:v>0.8293</x:v>
      </x:c>
      <x:c r="H867" s="32" t="n">
        <x:v>0.9390000000000001</x:v>
      </x:c>
      <x:c r="I867" s="39" t="n">
        <x:v>1</x:v>
      </x:c>
      <x:c r="J867" s="39" t="n">
        <x:v>1</x:v>
      </x:c>
      <x:c r="K867" s="39" t="n">
        <x:v>1</x:v>
      </x:c>
      <x:c r="L867" s="39" t="n">
        <x:v>1</x:v>
      </x:c>
    </x:row>
    <x:row r="868" ht="23" customHeight="1">
      <x:c r="B868" s="17" t="str">
        <x:v>Round1</x:v>
      </x:c>
      <x:c r="C868" s="17" t="str">
        <x:v>condition</x:v>
      </x:c>
      <x:c r="D868" s="17" t="str">
        <x:v>Jsoup_20</x:v>
      </x:c>
      <x:c r="E868" s="32" t="n">
        <x:v>0.4545</x:v>
      </x:c>
      <x:c r="F868" s="32" t="n">
        <x:v>0.1364</x:v>
      </x:c>
      <x:c r="G868" s="32" t="n">
        <x:v>0.8636</x:v>
      </x:c>
      <x:c r="H868" s="32" t="n">
        <x:v>0.9545</x:v>
      </x:c>
      <x:c r="I868" s="39" t="n">
        <x:v>1</x:v>
      </x:c>
      <x:c r="J868" s="39" t="n">
        <x:v>1</x:v>
      </x:c>
      <x:c r="K868" s="39" t="n">
        <x:v>1</x:v>
      </x:c>
      <x:c r="L868" s="39" t="n">
        <x:v>1</x:v>
      </x:c>
    </x:row>
    <x:row r="869" ht="23" customHeight="1">
      <x:c r="B869" s="17" t="str">
        <x:v>Round1</x:v>
      </x:c>
      <x:c r="C869" s="17" t="str">
        <x:v>condition</x:v>
      </x:c>
      <x:c r="D869" s="17" t="str">
        <x:v>Jsoup_39</x:v>
      </x:c>
      <x:c r="E869" s="32" t="n">
        <x:v>0.5217</x:v>
      </x:c>
      <x:c r="F869" s="32" t="n">
        <x:v>0.1522</x:v>
      </x:c>
      <x:c r="G869" s="32" t="n">
        <x:v>0.7173999999999999</x:v>
      </x:c>
      <x:c r="H869" s="32" t="n">
        <x:v>0.8913</x:v>
      </x:c>
      <x:c r="I869" s="39" t="n">
        <x:v>1</x:v>
      </x:c>
      <x:c r="J869" s="39" t="n">
        <x:v>1</x:v>
      </x:c>
      <x:c r="K869" s="39" t="n">
        <x:v>1</x:v>
      </x:c>
      <x:c r="L869" s="39" t="n">
        <x:v>1</x:v>
      </x:c>
    </x:row>
    <x:row r="870" ht="23" customHeight="1">
      <x:c r="B870" s="17" t="str">
        <x:v>Round1</x:v>
      </x:c>
      <x:c r="C870" s="17" t="str">
        <x:v>condition</x:v>
      </x:c>
      <x:c r="D870" s="17" t="str">
        <x:v>Jsoup_40</x:v>
      </x:c>
      <x:c r="E870" s="32" t="n">
        <x:v>1</x:v>
      </x:c>
      <x:c r="F870" s="32" t="n">
        <x:v>0.5</x:v>
      </x:c>
      <x:c r="G870" s="32" t="n">
        <x:v>1</x:v>
      </x:c>
      <x:c r="H870" s="32" t="n">
        <x:v>1</x:v>
      </x:c>
      <x:c r="I870" s="39" t="n">
        <x:v>1</x:v>
      </x:c>
      <x:c r="J870" s="39" t="n">
        <x:v>1</x:v>
      </x:c>
      <x:c r="K870" s="39" t="n">
        <x:v>1</x:v>
      </x:c>
      <x:c r="L870" s="39" t="n">
        <x:v>1</x:v>
      </x:c>
    </x:row>
    <x:row r="871" ht="23" customHeight="1">
      <x:c r="B871" s="17" t="str">
        <x:v>Round1</x:v>
      </x:c>
      <x:c r="C871" s="17" t="str">
        <x:v>condition</x:v>
      </x:c>
      <x:c r="D871" s="17" t="str">
        <x:v>Jsoup_46</x:v>
      </x:c>
      <x:c r="E871" s="32" t="n">
        <x:v>0.8431000000000001</x:v>
      </x:c>
      <x:c r="F871" s="32" t="n">
        <x:v>0.15689999999999998</x:v>
      </x:c>
      <x:c r="G871" s="32" t="n">
        <x:v>0.6275</x:v>
      </x:c>
      <x:c r="H871" s="32" t="n">
        <x:v>0.9804</x:v>
      </x:c>
      <x:c r="I871" s="39" t="n">
        <x:v>1</x:v>
      </x:c>
      <x:c r="J871" s="39" t="n">
        <x:v>1</x:v>
      </x:c>
      <x:c r="K871" s="39" t="n">
        <x:v>1</x:v>
      </x:c>
      <x:c r="L871" s="39" t="n">
        <x:v>1</x:v>
      </x:c>
    </x:row>
    <x:row r="872" ht="23" customHeight="1">
      <x:c r="B872" s="17" t="str">
        <x:v>Round1</x:v>
      </x:c>
      <x:c r="C872" s="17" t="str">
        <x:v>condition</x:v>
      </x:c>
      <x:c r="D872" s="17" t="str">
        <x:v>Jsoup_5</x:v>
      </x:c>
      <x:c r="E872" s="32" t="n">
        <x:v>0.7065</x:v>
      </x:c>
      <x:c r="F872" s="32" t="n">
        <x:v>0.11960000000000001</x:v>
      </x:c>
      <x:c r="G872" s="32" t="n">
        <x:v>0.4891</x:v>
      </x:c>
      <x:c r="H872" s="32" t="n">
        <x:v>0.9239</x:v>
      </x:c>
      <x:c r="I872" s="39" t="n">
        <x:v>1</x:v>
      </x:c>
      <x:c r="J872" s="39" t="n">
        <x:v>1</x:v>
      </x:c>
      <x:c r="K872" s="39" t="n">
        <x:v>1</x:v>
      </x:c>
      <x:c r="L872" s="39" t="n">
        <x:v>1</x:v>
      </x:c>
    </x:row>
    <x:row r="873" ht="23" customHeight="1">
      <x:c r="B873" s="17" t="str">
        <x:v>Round1</x:v>
      </x:c>
      <x:c r="C873" s="17" t="str">
        <x:v>condition</x:v>
      </x:c>
      <x:c r="D873" s="17" t="str">
        <x:v>Jsoup_51</x:v>
      </x:c>
      <x:c r="E873" s="32" t="n">
        <x:v>0.9677</x:v>
      </x:c>
      <x:c r="F873" s="32" t="n">
        <x:v>0.8226</x:v>
      </x:c>
      <x:c r="G873" s="32" t="n">
        <x:v>0.8011</x:v>
      </x:c>
      <x:c r="H873" s="32" t="n">
        <x:v>0.9194</x:v>
      </x:c>
      <x:c r="I873" s="39" t="n">
        <x:v>1</x:v>
      </x:c>
      <x:c r="J873" s="39" t="n">
        <x:v>1</x:v>
      </x:c>
      <x:c r="K873" s="39" t="n">
        <x:v>1</x:v>
      </x:c>
      <x:c r="L873" s="39" t="n">
        <x:v>1</x:v>
      </x:c>
    </x:row>
    <x:row r="874" ht="23" customHeight="1">
      <x:c r="B874" s="17" t="str">
        <x:v>Round1</x:v>
      </x:c>
      <x:c r="C874" s="17" t="str">
        <x:v>condition</x:v>
      </x:c>
      <x:c r="D874" s="17" t="str">
        <x:v>Jsoup_53</x:v>
      </x:c>
      <x:c r="E874" s="32" t="n">
        <x:v>0.9722</x:v>
      </x:c>
      <x:c r="F874" s="32" t="n">
        <x:v>0.8519</x:v>
      </x:c>
      <x:c r="G874" s="32" t="n">
        <x:v>0.8148000000000001</x:v>
      </x:c>
      <x:c r="H874" s="32" t="n">
        <x:v>0.9444</x:v>
      </x:c>
      <x:c r="I874" s="39" t="n">
        <x:v>1</x:v>
      </x:c>
      <x:c r="J874" s="39" t="n">
        <x:v>1</x:v>
      </x:c>
      <x:c r="K874" s="39" t="n">
        <x:v>1</x:v>
      </x:c>
      <x:c r="L874" s="39" t="n">
        <x:v>1</x:v>
      </x:c>
    </x:row>
    <x:row r="875" ht="23" customHeight="1">
      <x:c r="B875" s="17" t="str">
        <x:v>Round1</x:v>
      </x:c>
      <x:c r="C875" s="17" t="str">
        <x:v>condition</x:v>
      </x:c>
      <x:c r="D875" s="17" t="str">
        <x:v>Jsoup_57</x:v>
      </x:c>
      <x:c r="E875" s="32" t="n">
        <x:v>0.9473999999999999</x:v>
      </x:c>
      <x:c r="F875" s="32" t="n">
        <x:v>0.8421</x:v>
      </x:c>
      <x:c r="G875" s="32" t="n">
        <x:v>0.9342</x:v>
      </x:c>
      <x:c r="H875" s="32" t="n">
        <x:v>0.9868000000000001</x:v>
      </x:c>
      <x:c r="I875" s="39" t="n">
        <x:v>1</x:v>
      </x:c>
      <x:c r="J875" s="39" t="n">
        <x:v>1</x:v>
      </x:c>
      <x:c r="K875" s="39" t="n">
        <x:v>1</x:v>
      </x:c>
      <x:c r="L875" s="39" t="n">
        <x:v>1</x:v>
      </x:c>
    </x:row>
    <x:row r="876" ht="23" customHeight="1">
      <x:c r="B876" s="17" t="str">
        <x:v>Round1</x:v>
      </x:c>
      <x:c r="C876" s="17" t="str">
        <x:v>condition</x:v>
      </x:c>
      <x:c r="D876" s="17" t="str">
        <x:v>Jsoup_58</x:v>
      </x:c>
      <x:c r="E876" s="32" t="n">
        <x:v>0.5938</x:v>
      </x:c>
      <x:c r="F876" s="32" t="n">
        <x:v>0.2188</x:v>
      </x:c>
      <x:c r="G876" s="32" t="n">
        <x:v>1</x:v>
      </x:c>
      <x:c r="H876" s="32" t="n">
        <x:v>1</x:v>
      </x:c>
      <x:c r="I876" s="39" t="n">
        <x:v>1</x:v>
      </x:c>
      <x:c r="J876" s="39" t="n">
        <x:v>1</x:v>
      </x:c>
      <x:c r="K876" s="39" t="n">
        <x:v>1</x:v>
      </x:c>
      <x:c r="L876" s="39" t="n">
        <x:v>1</x:v>
      </x:c>
    </x:row>
    <x:row r="877" ht="23" customHeight="1">
      <x:c r="B877" s="17" t="str">
        <x:v>Round1</x:v>
      </x:c>
      <x:c r="C877" s="17" t="str">
        <x:v>condition</x:v>
      </x:c>
      <x:c r="D877" s="17" t="str">
        <x:v>Jsoup_69</x:v>
      </x:c>
      <x:c r="E877" s="32" t="n">
        <x:v>0.3214</x:v>
      </x:c>
      <x:c r="F877" s="32" t="n">
        <x:v>0</x:v>
      </x:c>
      <x:c r="G877" s="32" t="n">
        <x:v>0.8571</x:v>
      </x:c>
      <x:c r="H877" s="32" t="n">
        <x:v>1</x:v>
      </x:c>
      <x:c r="I877" s="39" t="n">
        <x:v>1</x:v>
      </x:c>
      <x:c r="J877" s="39" t="n">
        <x:v>1</x:v>
      </x:c>
      <x:c r="K877" s="39" t="n">
        <x:v>1</x:v>
      </x:c>
      <x:c r="L877" s="39" t="n">
        <x:v>1</x:v>
      </x:c>
    </x:row>
    <x:row r="878" ht="23" customHeight="1">
      <x:c r="B878" s="17" t="str">
        <x:v>Round1</x:v>
      </x:c>
      <x:c r="C878" s="17" t="str">
        <x:v>condition</x:v>
      </x:c>
      <x:c r="D878" s="17" t="str">
        <x:v>Jsoup_72</x:v>
      </x:c>
      <x:c r="E878" s="32" t="n">
        <x:v>0.9495</x:v>
      </x:c>
      <x:c r="F878" s="32" t="n">
        <x:v>0.8231999999999999</x:v>
      </x:c>
      <x:c r="G878" s="32" t="n">
        <x:v>0.8029999999999999</x:v>
      </x:c>
      <x:c r="H878" s="32" t="n">
        <x:v>0.899</x:v>
      </x:c>
      <x:c r="I878" s="39" t="n">
        <x:v>1</x:v>
      </x:c>
      <x:c r="J878" s="39" t="n">
        <x:v>1</x:v>
      </x:c>
      <x:c r="K878" s="39" t="n">
        <x:v>1</x:v>
      </x:c>
      <x:c r="L878" s="39" t="n">
        <x:v>1</x:v>
      </x:c>
    </x:row>
    <x:row r="879" ht="23" customHeight="1">
      <x:c r="B879" s="17" t="str">
        <x:v>Round1</x:v>
      </x:c>
      <x:c r="C879" s="17" t="str">
        <x:v>condition</x:v>
      </x:c>
      <x:c r="D879" s="17" t="str">
        <x:v>Jsoup_74</x:v>
      </x:c>
      <x:c r="E879" s="32" t="n">
        <x:v>0.9865</x:v>
      </x:c>
      <x:c r="F879" s="32" t="n">
        <x:v>0.7703</x:v>
      </x:c>
      <x:c r="G879" s="32" t="n">
        <x:v>0.9054000000000001</x:v>
      </x:c>
      <x:c r="H879" s="32" t="n">
        <x:v>0.9865</x:v>
      </x:c>
      <x:c r="I879" s="39" t="n">
        <x:v>1</x:v>
      </x:c>
      <x:c r="J879" s="39" t="n">
        <x:v>1</x:v>
      </x:c>
      <x:c r="K879" s="39" t="n">
        <x:v>1</x:v>
      </x:c>
      <x:c r="L879" s="39" t="n">
        <x:v>1</x:v>
      </x:c>
    </x:row>
    <x:row r="880" ht="23" customHeight="1">
      <x:c r="B880" s="17" t="str">
        <x:v>Round1</x:v>
      </x:c>
      <x:c r="C880" s="17" t="str">
        <x:v>condition</x:v>
      </x:c>
      <x:c r="D880" s="17" t="str">
        <x:v>Jsoup_75</x:v>
      </x:c>
      <x:c r="E880" s="32" t="n">
        <x:v>0.8690000000000001</x:v>
      </x:c>
      <x:c r="F880" s="32" t="n">
        <x:v>0.8214</x:v>
      </x:c>
      <x:c r="G880" s="32" t="n">
        <x:v>0.8929</x:v>
      </x:c>
      <x:c r="H880" s="32" t="n">
        <x:v>0.9523999999999999</x:v>
      </x:c>
      <x:c r="I880" s="39" t="n">
        <x:v>1</x:v>
      </x:c>
      <x:c r="J880" s="39" t="n">
        <x:v>1</x:v>
      </x:c>
      <x:c r="K880" s="39" t="n">
        <x:v>1</x:v>
      </x:c>
      <x:c r="L880" s="39" t="n">
        <x:v>1</x:v>
      </x:c>
    </x:row>
    <x:row r="881" ht="23" customHeight="1">
      <x:c r="B881" s="17" t="str">
        <x:v>Round1</x:v>
      </x:c>
      <x:c r="C881" s="17" t="str">
        <x:v>condition</x:v>
      </x:c>
      <x:c r="D881" s="17" t="str">
        <x:v>Jsoup_78</x:v>
      </x:c>
      <x:c r="E881" s="32" t="n">
        <x:v>0.4205</x:v>
      </x:c>
      <x:c r="F881" s="32" t="n">
        <x:v>0.0795</x:v>
      </x:c>
      <x:c r="G881" s="32" t="n">
        <x:v>0.4318</x:v>
      </x:c>
      <x:c r="H881" s="32" t="n">
        <x:v>0.8523000000000001</x:v>
      </x:c>
      <x:c r="I881" s="39" t="n">
        <x:v>1</x:v>
      </x:c>
      <x:c r="J881" s="39" t="n">
        <x:v>1</x:v>
      </x:c>
      <x:c r="K881" s="39" t="n">
        <x:v>1</x:v>
      </x:c>
      <x:c r="L881" s="39" t="n">
        <x:v>1</x:v>
      </x:c>
    </x:row>
    <x:row r="882" ht="23" customHeight="1">
      <x:c r="B882" s="17" t="str">
        <x:v>Round1</x:v>
      </x:c>
      <x:c r="C882" s="17" t="str">
        <x:v>condition</x:v>
      </x:c>
      <x:c r="D882" s="17" t="str">
        <x:v>Jsoup_82</x:v>
      </x:c>
      <x:c r="E882" s="32" t="n">
        <x:v>0.2812</x:v>
      </x:c>
      <x:c r="F882" s="32" t="n">
        <x:v>0.0729</x:v>
      </x:c>
      <x:c r="G882" s="32" t="n">
        <x:v>0.4583</x:v>
      </x:c>
      <x:c r="H882" s="32" t="n">
        <x:v>0.8125</x:v>
      </x:c>
      <x:c r="I882" s="39" t="n">
        <x:v>1</x:v>
      </x:c>
      <x:c r="J882" s="39" t="n">
        <x:v>1</x:v>
      </x:c>
      <x:c r="K882" s="39" t="n">
        <x:v>1</x:v>
      </x:c>
      <x:c r="L882" s="39" t="n">
        <x:v>1</x:v>
      </x:c>
    </x:row>
    <x:row r="883" ht="23" customHeight="1">
      <x:c r="B883" s="17" t="str">
        <x:v>Round1</x:v>
      </x:c>
      <x:c r="C883" s="17" t="str">
        <x:v>condition</x:v>
      </x:c>
      <x:c r="D883" s="17" t="str">
        <x:v>Jsoup_85</x:v>
      </x:c>
      <x:c r="E883" s="32" t="n">
        <x:v>0.9</x:v>
      </x:c>
      <x:c r="F883" s="32" t="n">
        <x:v>0.44</x:v>
      </x:c>
      <x:c r="G883" s="32" t="n">
        <x:v>0.74</x:v>
      </x:c>
      <x:c r="H883" s="32" t="n">
        <x:v>0.58</x:v>
      </x:c>
      <x:c r="I883" s="39" t="n">
        <x:v>1</x:v>
      </x:c>
      <x:c r="J883" s="39" t="n">
        <x:v>1</x:v>
      </x:c>
      <x:c r="K883" s="39" t="n">
        <x:v>1</x:v>
      </x:c>
      <x:c r="L883" s="39" t="n">
        <x:v>1</x:v>
      </x:c>
    </x:row>
    <x:row r="884" ht="23" customHeight="1">
      <x:c r="B884" s="17" t="str">
        <x:v>Round1</x:v>
      </x:c>
      <x:c r="C884" s="17" t="str">
        <x:v>condition</x:v>
      </x:c>
      <x:c r="D884" s="17" t="str">
        <x:v>Jsoup_88</x:v>
      </x:c>
      <x:c r="E884" s="32" t="n">
        <x:v>0.9</x:v>
      </x:c>
      <x:c r="F884" s="32" t="n">
        <x:v>0.44</x:v>
      </x:c>
      <x:c r="G884" s="32" t="n">
        <x:v>0.72</x:v>
      </x:c>
      <x:c r="H884" s="32" t="n">
        <x:v>0.58</x:v>
      </x:c>
      <x:c r="I884" s="39" t="n">
        <x:v>1</x:v>
      </x:c>
      <x:c r="J884" s="39" t="n">
        <x:v>1</x:v>
      </x:c>
      <x:c r="K884" s="39" t="n">
        <x:v>1</x:v>
      </x:c>
      <x:c r="L884" s="39" t="n">
        <x:v>1</x:v>
      </x:c>
    </x:row>
    <x:row r="885" ht="23" customHeight="1">
      <x:c r="B885" s="17" t="str">
        <x:v>Round1</x:v>
      </x:c>
      <x:c r="C885" s="17" t="str">
        <x:v>condition</x:v>
      </x:c>
      <x:c r="D885" s="17" t="str">
        <x:v>Jsoup_89</x:v>
      </x:c>
      <x:c r="E885" s="32" t="n">
        <x:v>0.9</x:v>
      </x:c>
      <x:c r="F885" s="32" t="n">
        <x:v>0.44</x:v>
      </x:c>
      <x:c r="G885" s="32" t="n">
        <x:v>0.76</x:v>
      </x:c>
      <x:c r="H885" s="32" t="n">
        <x:v>0.58</x:v>
      </x:c>
      <x:c r="I885" s="39" t="n">
        <x:v>1</x:v>
      </x:c>
      <x:c r="J885" s="39" t="n">
        <x:v>1</x:v>
      </x:c>
      <x:c r="K885" s="39" t="n">
        <x:v>1</x:v>
      </x:c>
      <x:c r="L885" s="39" t="n">
        <x:v>1</x:v>
      </x:c>
    </x:row>
    <x:row r="886" ht="23" customHeight="1">
      <x:c r="B886" s="17" t="str">
        <x:v>Round1</x:v>
      </x:c>
      <x:c r="C886" s="17" t="str">
        <x:v>condition</x:v>
      </x:c>
      <x:c r="D886" s="17" t="str">
        <x:v>Jsoup_91</x:v>
      </x:c>
      <x:c r="E886" s="32" t="n">
        <x:v>0.9632</x:v>
      </x:c>
      <x:c r="F886" s="32" t="n">
        <x:v>0.1684</x:v>
      </x:c>
      <x:c r="G886" s="32" t="n">
        <x:v>0.8053</x:v>
      </x:c>
      <x:c r="H886" s="32" t="n">
        <x:v>0.9316</x:v>
      </x:c>
      <x:c r="I886" s="39" t="n">
        <x:v>1</x:v>
      </x:c>
      <x:c r="J886" s="39" t="n">
        <x:v>1</x:v>
      </x:c>
      <x:c r="K886" s="39" t="n">
        <x:v>1</x:v>
      </x:c>
      <x:c r="L886" s="39" t="n">
        <x:v>1</x:v>
      </x:c>
    </x:row>
    <x:row r="887" ht="23" customHeight="1">
      <x:c r="B887" s="17" t="str">
        <x:v>Round1</x:v>
      </x:c>
      <x:c r="C887" s="17" t="str">
        <x:v>condition</x:v>
      </x:c>
      <x:c r="D887" s="17" t="str">
        <x:v>Lang_13</x:v>
      </x:c>
      <x:c r="E887" s="32" t="n">
        <x:v>0.9286</x:v>
      </x:c>
      <x:c r="F887" s="32" t="n">
        <x:v>0.8571</x:v>
      </x:c>
      <x:c r="G887" s="32" t="n">
        <x:v>0.8571</x:v>
      </x:c>
      <x:c r="H887" s="32" t="n">
        <x:v>0.9286</x:v>
      </x:c>
      <x:c r="I887" s="39" t="n">
        <x:v>1</x:v>
      </x:c>
      <x:c r="J887" s="39" t="n">
        <x:v>1</x:v>
      </x:c>
      <x:c r="K887" s="39" t="n">
        <x:v>1</x:v>
      </x:c>
      <x:c r="L887" s="39" t="n">
        <x:v>1</x:v>
      </x:c>
    </x:row>
    <x:row r="888" ht="23" customHeight="1">
      <x:c r="B888" s="17" t="str">
        <x:v>Round1</x:v>
      </x:c>
      <x:c r="C888" s="17" t="str">
        <x:v>condition</x:v>
      </x:c>
      <x:c r="D888" s="17" t="str">
        <x:v>Lang_19</x:v>
      </x:c>
      <x:c r="E888" s="32" t="n">
        <x:v>0.7222</x:v>
      </x:c>
      <x:c r="F888" s="32" t="n">
        <x:v>0.0556</x:v>
      </x:c>
      <x:c r="G888" s="32" t="n">
        <x:v>0.9444</x:v>
      </x:c>
      <x:c r="H888" s="32" t="n">
        <x:v>1</x:v>
      </x:c>
      <x:c r="I888" s="39" t="n">
        <x:v>1</x:v>
      </x:c>
      <x:c r="J888" s="39" t="n">
        <x:v>1</x:v>
      </x:c>
      <x:c r="K888" s="39" t="n">
        <x:v>1</x:v>
      </x:c>
      <x:c r="L888" s="39" t="n">
        <x:v>1</x:v>
      </x:c>
    </x:row>
    <x:row r="889" ht="23" customHeight="1">
      <x:c r="B889" s="17" t="str">
        <x:v>Round1</x:v>
      </x:c>
      <x:c r="C889" s="17" t="str">
        <x:v>condition</x:v>
      </x:c>
      <x:c r="D889" s="17" t="str">
        <x:v>Lang_23</x:v>
      </x:c>
      <x:c r="E889" s="32" t="n">
        <x:v>0.2929</x:v>
      </x:c>
      <x:c r="F889" s="32" t="n">
        <x:v>0.0101</x:v>
      </x:c>
      <x:c r="G889" s="32" t="n">
        <x:v>0.303</x:v>
      </x:c>
      <x:c r="H889" s="32" t="n">
        <x:v>0.7979999999999999</x:v>
      </x:c>
      <x:c r="I889" s="39" t="n">
        <x:v>1</x:v>
      </x:c>
      <x:c r="J889" s="39" t="n">
        <x:v>1</x:v>
      </x:c>
      <x:c r="K889" s="39" t="n">
        <x:v>1</x:v>
      </x:c>
      <x:c r="L889" s="39" t="n">
        <x:v>1</x:v>
      </x:c>
    </x:row>
    <x:row r="890" ht="23" customHeight="1">
      <x:c r="B890" s="17" t="str">
        <x:v>Round1</x:v>
      </x:c>
      <x:c r="C890" s="17" t="str">
        <x:v>condition</x:v>
      </x:c>
      <x:c r="D890" s="17" t="str">
        <x:v>Lang_24</x:v>
      </x:c>
      <x:c r="E890" s="32" t="n">
        <x:v>0.8258</x:v>
      </x:c>
      <x:c r="F890" s="32" t="n">
        <x:v>0.4916</x:v>
      </x:c>
      <x:c r="G890" s="32" t="n">
        <x:v>0.4522</x:v>
      </x:c>
      <x:c r="H890" s="32" t="n">
        <x:v>0.9298000000000001</x:v>
      </x:c>
      <x:c r="I890" s="39" t="n">
        <x:v>1</x:v>
      </x:c>
      <x:c r="J890" s="39" t="n">
        <x:v>1</x:v>
      </x:c>
      <x:c r="K890" s="39" t="n">
        <x:v>1</x:v>
      </x:c>
      <x:c r="L890" s="39" t="n">
        <x:v>1</x:v>
      </x:c>
    </x:row>
    <x:row r="891" ht="23" customHeight="1">
      <x:c r="B891" s="17" t="str">
        <x:v>Round1</x:v>
      </x:c>
      <x:c r="C891" s="17" t="str">
        <x:v>condition</x:v>
      </x:c>
      <x:c r="D891" s="17" t="str">
        <x:v>Lang_27</x:v>
      </x:c>
      <x:c r="E891" s="32" t="n">
        <x:v>0.8466</x:v>
      </x:c>
      <x:c r="F891" s="32" t="n">
        <x:v>0.4972</x:v>
      </x:c>
      <x:c r="G891" s="32" t="n">
        <x:v>0.5597</x:v>
      </x:c>
      <x:c r="H891" s="32" t="n">
        <x:v>0.9062</x:v>
      </x:c>
      <x:c r="I891" s="39" t="n">
        <x:v>1</x:v>
      </x:c>
      <x:c r="J891" s="39" t="n">
        <x:v>1</x:v>
      </x:c>
      <x:c r="K891" s="39" t="n">
        <x:v>1</x:v>
      </x:c>
      <x:c r="L891" s="39" t="n">
        <x:v>1</x:v>
      </x:c>
    </x:row>
    <x:row r="892" ht="23" customHeight="1">
      <x:c r="B892" s="17" t="str">
        <x:v>Round1</x:v>
      </x:c>
      <x:c r="C892" s="17" t="str">
        <x:v>condition</x:v>
      </x:c>
      <x:c r="D892" s="17" t="str">
        <x:v>Lang_28</x:v>
      </x:c>
      <x:c r="E892" s="32" t="n">
        <x:v>0.2143</x:v>
      </x:c>
      <x:c r="F892" s="32" t="n">
        <x:v>0.07139999999999999</x:v>
      </x:c>
      <x:c r="G892" s="32" t="n">
        <x:v>0.8571</x:v>
      </x:c>
      <x:c r="H892" s="32" t="n">
        <x:v>1</x:v>
      </x:c>
      <x:c r="I892" s="39" t="n">
        <x:v>1</x:v>
      </x:c>
      <x:c r="J892" s="39" t="n">
        <x:v>1</x:v>
      </x:c>
      <x:c r="K892" s="39" t="n">
        <x:v>1</x:v>
      </x:c>
      <x:c r="L892" s="39" t="n">
        <x:v>1</x:v>
      </x:c>
    </x:row>
    <x:row r="893" ht="23" customHeight="1">
      <x:c r="B893" s="17" t="str">
        <x:v>Round1</x:v>
      </x:c>
      <x:c r="C893" s="17" t="str">
        <x:v>condition</x:v>
      </x:c>
      <x:c r="D893" s="17" t="str">
        <x:v>Lang_4</x:v>
      </x:c>
      <x:c r="E893" s="32" t="n">
        <x:v>1</x:v>
      </x:c>
      <x:c r="F893" s="32" t="n">
        <x:v>1</x:v>
      </x:c>
      <x:c r="G893" s="32" t="n">
        <x:v>1</x:v>
      </x:c>
      <x:c r="H893" s="32" t="n">
        <x:v>1</x:v>
      </x:c>
      <x:c r="I893" s="39" t="n">
        <x:v>1</x:v>
      </x:c>
      <x:c r="J893" s="39" t="n">
        <x:v>1</x:v>
      </x:c>
      <x:c r="K893" s="39" t="n">
        <x:v>1</x:v>
      </x:c>
      <x:c r="L893" s="39" t="n">
        <x:v>1</x:v>
      </x:c>
    </x:row>
    <x:row r="894" ht="23" customHeight="1">
      <x:c r="B894" s="17" t="str">
        <x:v>Round1</x:v>
      </x:c>
      <x:c r="C894" s="17" t="str">
        <x:v>condition</x:v>
      </x:c>
      <x:c r="D894" s="17" t="str">
        <x:v>Lang_44</x:v>
      </x:c>
      <x:c r="E894" s="32" t="n">
        <x:v>0.7222</x:v>
      </x:c>
      <x:c r="F894" s="32" t="n">
        <x:v>0.2731</x:v>
      </x:c>
      <x:c r="G894" s="32" t="n">
        <x:v>0.43060000000000004</x:v>
      </x:c>
      <x:c r="H894" s="32" t="n">
        <x:v>0.287</x:v>
      </x:c>
      <x:c r="I894" s="39" t="n">
        <x:v>1</x:v>
      </x:c>
      <x:c r="J894" s="39" t="n">
        <x:v>1</x:v>
      </x:c>
      <x:c r="K894" s="39" t="n">
        <x:v>1</x:v>
      </x:c>
      <x:c r="L894" s="39" t="n">
        <x:v>1</x:v>
      </x:c>
    </x:row>
    <x:row r="895" ht="23" customHeight="1">
      <x:c r="B895" s="17" t="str">
        <x:v>Round1</x:v>
      </x:c>
      <x:c r="C895" s="17" t="str">
        <x:v>condition</x:v>
      </x:c>
      <x:c r="D895" s="17" t="str">
        <x:v>Lang_49</x:v>
      </x:c>
      <x:c r="E895" s="32" t="n">
        <x:v>0.9185</x:v>
      </x:c>
      <x:c r="F895" s="32" t="n">
        <x:v>0.8261</x:v>
      </x:c>
      <x:c r="G895" s="32" t="n">
        <x:v>0.8043</x:v>
      </x:c>
      <x:c r="H895" s="32" t="n">
        <x:v>0.2772</x:v>
      </x:c>
      <x:c r="I895" s="39" t="n">
        <x:v>1</x:v>
      </x:c>
      <x:c r="J895" s="39" t="n">
        <x:v>1</x:v>
      </x:c>
      <x:c r="K895" s="39" t="n">
        <x:v>1</x:v>
      </x:c>
      <x:c r="L895" s="39" t="n">
        <x:v>1</x:v>
      </x:c>
    </x:row>
    <x:row r="896" ht="23" customHeight="1">
      <x:c r="B896" s="17" t="str">
        <x:v>Round1</x:v>
      </x:c>
      <x:c r="C896" s="17" t="str">
        <x:v>condition</x:v>
      </x:c>
      <x:c r="D896" s="17" t="str">
        <x:v>Lang_5</x:v>
      </x:c>
      <x:c r="E896" s="32" t="n">
        <x:v>0.6607</x:v>
      </x:c>
      <x:c r="F896" s="32" t="n">
        <x:v>0.4286</x:v>
      </x:c>
      <x:c r="G896" s="32" t="n">
        <x:v>0.875</x:v>
      </x:c>
      <x:c r="H896" s="32" t="n">
        <x:v>1</x:v>
      </x:c>
      <x:c r="I896" s="39" t="n">
        <x:v>1</x:v>
      </x:c>
      <x:c r="J896" s="39" t="n">
        <x:v>1</x:v>
      </x:c>
      <x:c r="K896" s="39" t="n">
        <x:v>1</x:v>
      </x:c>
      <x:c r="L896" s="39" t="n">
        <x:v>1</x:v>
      </x:c>
    </x:row>
    <x:row r="897" ht="23" customHeight="1">
      <x:c r="B897" s="17" t="str">
        <x:v>Round1</x:v>
      </x:c>
      <x:c r="C897" s="17" t="str">
        <x:v>condition</x:v>
      </x:c>
      <x:c r="D897" s="17" t="str">
        <x:v>Lang_51</x:v>
      </x:c>
      <x:c r="E897" s="32" t="n">
        <x:v>0.8491</x:v>
      </x:c>
      <x:c r="F897" s="32" t="n">
        <x:v>0.6179</x:v>
      </x:c>
      <x:c r="G897" s="32" t="n">
        <x:v>0.7594</x:v>
      </x:c>
      <x:c r="H897" s="32" t="n">
        <x:v>0.1274</x:v>
      </x:c>
      <x:c r="I897" s="39" t="n">
        <x:v>1</x:v>
      </x:c>
      <x:c r="J897" s="39" t="n">
        <x:v>1</x:v>
      </x:c>
      <x:c r="K897" s="39" t="n">
        <x:v>1</x:v>
      </x:c>
      <x:c r="L897" s="39" t="n">
        <x:v>1</x:v>
      </x:c>
    </x:row>
    <x:row r="898" ht="23" customHeight="1">
      <x:c r="B898" s="17" t="str">
        <x:v>Round1</x:v>
      </x:c>
      <x:c r="C898" s="17" t="str">
        <x:v>condition</x:v>
      </x:c>
      <x:c r="D898" s="17" t="str">
        <x:v>Lang_54</x:v>
      </x:c>
      <x:c r="E898" s="32" t="n">
        <x:v>0.7656000000000001</x:v>
      </x:c>
      <x:c r="F898" s="32" t="n">
        <x:v>0.3594</x:v>
      </x:c>
      <x:c r="G898" s="32" t="n">
        <x:v>0.8125</x:v>
      </x:c>
      <x:c r="H898" s="32" t="n">
        <x:v>0.3906</x:v>
      </x:c>
      <x:c r="I898" s="39" t="n">
        <x:v>1</x:v>
      </x:c>
      <x:c r="J898" s="39" t="n">
        <x:v>1</x:v>
      </x:c>
      <x:c r="K898" s="39" t="n">
        <x:v>1</x:v>
      </x:c>
      <x:c r="L898" s="39" t="n">
        <x:v>1</x:v>
      </x:c>
    </x:row>
    <x:row r="899" ht="23" customHeight="1">
      <x:c r="B899" s="17" t="str">
        <x:v>Round1</x:v>
      </x:c>
      <x:c r="C899" s="17" t="str">
        <x:v>condition</x:v>
      </x:c>
      <x:c r="D899" s="17" t="str">
        <x:v>Lang_55</x:v>
      </x:c>
      <x:c r="E899" s="32" t="n">
        <x:v>0.9615</x:v>
      </x:c>
      <x:c r="F899" s="32" t="n">
        <x:v>0.9615</x:v>
      </x:c>
      <x:c r="G899" s="32" t="n">
        <x:v>0.8845999999999999</x:v>
      </x:c>
      <x:c r="H899" s="32" t="n">
        <x:v>0.46149999999999997</x:v>
      </x:c>
      <x:c r="I899" s="39" t="n">
        <x:v>1</x:v>
      </x:c>
      <x:c r="J899" s="39" t="n">
        <x:v>1</x:v>
      </x:c>
      <x:c r="K899" s="39" t="n">
        <x:v>1</x:v>
      </x:c>
      <x:c r="L899" s="39" t="n">
        <x:v>1</x:v>
      </x:c>
    </x:row>
    <x:row r="900" ht="23" customHeight="1">
      <x:c r="B900" s="17" t="str">
        <x:v>Round1</x:v>
      </x:c>
      <x:c r="C900" s="17" t="str">
        <x:v>condition</x:v>
      </x:c>
      <x:c r="D900" s="17" t="str">
        <x:v>Lang_57</x:v>
      </x:c>
      <x:c r="E900" s="32" t="n">
        <x:v>0.75</x:v>
      </x:c>
      <x:c r="F900" s="32" t="n">
        <x:v>0.3594</x:v>
      </x:c>
      <x:c r="G900" s="32" t="n">
        <x:v>0.8281000000000001</x:v>
      </x:c>
      <x:c r="H900" s="32" t="n">
        <x:v>0.3906</x:v>
      </x:c>
      <x:c r="I900" s="39" t="n">
        <x:v>1</x:v>
      </x:c>
      <x:c r="J900" s="39" t="n">
        <x:v>1</x:v>
      </x:c>
      <x:c r="K900" s="39" t="n">
        <x:v>1</x:v>
      </x:c>
      <x:c r="L900" s="39" t="n">
        <x:v>1</x:v>
      </x:c>
    </x:row>
    <x:row r="901" ht="23" customHeight="1">
      <x:c r="B901" s="17" t="str">
        <x:v>Round1</x:v>
      </x:c>
      <x:c r="C901" s="17" t="str">
        <x:v>condition</x:v>
      </x:c>
      <x:c r="D901" s="17" t="str">
        <x:v>Lang_58</x:v>
      </x:c>
      <x:c r="E901" s="32" t="n">
        <x:v>0.8332999999999999</x:v>
      </x:c>
      <x:c r="F901" s="32" t="n">
        <x:v>0.5738</x:v>
      </x:c>
      <x:c r="G901" s="32" t="n">
        <x:v>0.6881</x:v>
      </x:c>
      <x:c r="H901" s="32" t="n">
        <x:v>0.1476</x:v>
      </x:c>
      <x:c r="I901" s="39" t="n">
        <x:v>1</x:v>
      </x:c>
      <x:c r="J901" s="39" t="n">
        <x:v>1</x:v>
      </x:c>
      <x:c r="K901" s="39" t="n">
        <x:v>1</x:v>
      </x:c>
      <x:c r="L901" s="39" t="n">
        <x:v>1</x:v>
      </x:c>
    </x:row>
    <x:row r="902" ht="23" customHeight="1">
      <x:c r="B902" s="17" t="str">
        <x:v>Round1</x:v>
      </x:c>
      <x:c r="C902" s="17" t="str">
        <x:v>condition</x:v>
      </x:c>
      <x:c r="D902" s="17" t="str">
        <x:v>Lang_6</x:v>
      </x:c>
      <x:c r="E902" s="32" t="n">
        <x:v>1</x:v>
      </x:c>
      <x:c r="F902" s="32" t="n">
        <x:v>0</x:v>
      </x:c>
      <x:c r="G902" s="32" t="n">
        <x:v>1</x:v>
      </x:c>
      <x:c r="H902" s="32" t="n">
        <x:v>1</x:v>
      </x:c>
      <x:c r="I902" s="39" t="n">
        <x:v>1</x:v>
      </x:c>
      <x:c r="J902" s="39" t="n">
        <x:v>1</x:v>
      </x:c>
      <x:c r="K902" s="39" t="n">
        <x:v>1</x:v>
      </x:c>
      <x:c r="L902" s="39" t="n">
        <x:v>1</x:v>
      </x:c>
    </x:row>
    <x:row r="903" ht="23" customHeight="1">
      <x:c r="B903" s="17" t="str">
        <x:v>Round1</x:v>
      </x:c>
      <x:c r="C903" s="17" t="str">
        <x:v>condition</x:v>
      </x:c>
      <x:c r="D903" s="17" t="str">
        <x:v>Lang_63</x:v>
      </x:c>
      <x:c r="E903" s="32" t="n">
        <x:v>0.8963</x:v>
      </x:c>
      <x:c r="F903" s="32" t="n">
        <x:v>0.7184999999999999</x:v>
      </x:c>
      <x:c r="G903" s="32" t="n">
        <x:v>0.6074</x:v>
      </x:c>
      <x:c r="H903" s="32" t="n">
        <x:v>0.45189999999999997</x:v>
      </x:c>
      <x:c r="I903" s="39" t="n">
        <x:v>1</x:v>
      </x:c>
      <x:c r="J903" s="39" t="n">
        <x:v>1</x:v>
      </x:c>
      <x:c r="K903" s="39" t="n">
        <x:v>1</x:v>
      </x:c>
      <x:c r="L903" s="39" t="n">
        <x:v>1</x:v>
      </x:c>
    </x:row>
    <x:row r="904" ht="23" customHeight="1">
      <x:c r="B904" s="17" t="str">
        <x:v>Round1</x:v>
      </x:c>
      <x:c r="C904" s="17" t="str">
        <x:v>condition</x:v>
      </x:c>
      <x:c r="D904" s="17" t="str">
        <x:v>Lang_64</x:v>
      </x:c>
      <x:c r="E904" s="32" t="n">
        <x:v>0.25</x:v>
      </x:c>
      <x:c r="F904" s="32" t="n">
        <x:v>0.25</x:v>
      </x:c>
      <x:c r="G904" s="32" t="n">
        <x:v>0</x:v>
      </x:c>
      <x:c r="H904" s="32" t="n">
        <x:v>0.625</x:v>
      </x:c>
      <x:c r="I904" s="39" t="n">
        <x:v>1</x:v>
      </x:c>
      <x:c r="J904" s="39" t="n">
        <x:v>1</x:v>
      </x:c>
      <x:c r="K904" s="39" t="n">
        <x:v>1</x:v>
      </x:c>
      <x:c r="L904" s="39" t="n">
        <x:v>1</x:v>
      </x:c>
    </x:row>
    <x:row r="905" ht="23" customHeight="1">
      <x:c r="B905" s="17" t="str">
        <x:v>Round1</x:v>
      </x:c>
      <x:c r="C905" s="17" t="str">
        <x:v>condition</x:v>
      </x:c>
      <x:c r="D905" s="17" t="str">
        <x:v>Lang_7</x:v>
      </x:c>
      <x:c r="E905" s="32" t="n">
        <x:v>0.847</x:v>
      </x:c>
      <x:c r="F905" s="32" t="n">
        <x:v>0.4836</x:v>
      </x:c>
      <x:c r="G905" s="32" t="n">
        <x:v>0.5464</x:v>
      </x:c>
      <x:c r="H905" s="32" t="n">
        <x:v>0.8634000000000001</x:v>
      </x:c>
      <x:c r="I905" s="39" t="n">
        <x:v>1</x:v>
      </x:c>
      <x:c r="J905" s="39" t="n">
        <x:v>1</x:v>
      </x:c>
      <x:c r="K905" s="39" t="n">
        <x:v>1</x:v>
      </x:c>
      <x:c r="L905" s="39" t="n">
        <x:v>1</x:v>
      </x:c>
    </x:row>
    <x:row r="906" ht="23" customHeight="1">
      <x:c r="B906" s="17" t="str">
        <x:v>Round1</x:v>
      </x:c>
      <x:c r="C906" s="17" t="str">
        <x:v>condition</x:v>
      </x:c>
      <x:c r="D906" s="17" t="str">
        <x:v>Lang_8</x:v>
      </x:c>
      <x:c r="E906" s="32" t="n">
        <x:v>0.7867000000000001</x:v>
      </x:c>
      <x:c r="F906" s="32" t="n">
        <x:v>0.013300000000000001</x:v>
      </x:c>
      <x:c r="G906" s="32" t="n">
        <x:v>0.5333</x:v>
      </x:c>
      <x:c r="H906" s="32" t="n">
        <x:v>0.9267</x:v>
      </x:c>
      <x:c r="I906" s="39" t="n">
        <x:v>1</x:v>
      </x:c>
      <x:c r="J906" s="39" t="n">
        <x:v>1</x:v>
      </x:c>
      <x:c r="K906" s="39" t="n">
        <x:v>1</x:v>
      </x:c>
      <x:c r="L906" s="39" t="n">
        <x:v>1</x:v>
      </x:c>
    </x:row>
    <x:row r="907" ht="23" customHeight="1">
      <x:c r="B907" s="17" t="str">
        <x:v>Round1</x:v>
      </x:c>
      <x:c r="C907" s="17" t="str">
        <x:v>condition</x:v>
      </x:c>
      <x:c r="D907" s="17" t="str">
        <x:v>Math_1</x:v>
      </x:c>
      <x:c r="E907" s="32" t="n">
        <x:v>0.9688</x:v>
      </x:c>
      <x:c r="F907" s="32" t="n">
        <x:v>0.8802</x:v>
      </x:c>
      <x:c r="G907" s="32" t="n">
        <x:v>0.7865000000000001</x:v>
      </x:c>
      <x:c r="H907" s="32" t="n">
        <x:v>0.3125</x:v>
      </x:c>
      <x:c r="I907" s="39" t="n">
        <x:v>1</x:v>
      </x:c>
      <x:c r="J907" s="39" t="n">
        <x:v>1</x:v>
      </x:c>
      <x:c r="K907" s="39" t="n">
        <x:v>1</x:v>
      </x:c>
      <x:c r="L907" s="39" t="n">
        <x:v>1</x:v>
      </x:c>
    </x:row>
    <x:row r="908" ht="23" customHeight="1">
      <x:c r="B908" s="17" t="str">
        <x:v>Round1</x:v>
      </x:c>
      <x:c r="C908" s="17" t="str">
        <x:v>condition</x:v>
      </x:c>
      <x:c r="D908" s="17" t="str">
        <x:v>Math_10</x:v>
      </x:c>
      <x:c r="E908" s="32" t="n">
        <x:v>0.6993</x:v>
      </x:c>
      <x:c r="F908" s="32" t="n">
        <x:v>0.2378</x:v>
      </x:c>
      <x:c r="G908" s="32" t="n">
        <x:v>0.6607999999999999</x:v>
      </x:c>
      <x:c r="H908" s="32" t="n">
        <x:v>0</x:v>
      </x:c>
      <x:c r="I908" s="39" t="n">
        <x:v>1</x:v>
      </x:c>
      <x:c r="J908" s="39" t="n">
        <x:v>1</x:v>
      </x:c>
      <x:c r="K908" s="39" t="n">
        <x:v>1</x:v>
      </x:c>
      <x:c r="L908" s="39" t="n">
        <x:v>1</x:v>
      </x:c>
    </x:row>
    <x:row r="909" ht="23" customHeight="1">
      <x:c r="B909" s="17" t="str">
        <x:v>Round1</x:v>
      </x:c>
      <x:c r="C909" s="17" t="str">
        <x:v>condition</x:v>
      </x:c>
      <x:c r="D909" s="17" t="str">
        <x:v>Math_101</x:v>
      </x:c>
      <x:c r="E909" s="32" t="n">
        <x:v>1</x:v>
      </x:c>
      <x:c r="F909" s="32" t="n">
        <x:v>0.6154</x:v>
      </x:c>
      <x:c r="G909" s="32" t="n">
        <x:v>0.9423</x:v>
      </x:c>
      <x:c r="H909" s="32" t="n">
        <x:v>0</x:v>
      </x:c>
      <x:c r="I909" s="39" t="n">
        <x:v>1</x:v>
      </x:c>
      <x:c r="J909" s="39" t="n">
        <x:v>1</x:v>
      </x:c>
      <x:c r="K909" s="39" t="n">
        <x:v>1</x:v>
      </x:c>
      <x:c r="L909" s="39" t="n">
        <x:v>1</x:v>
      </x:c>
    </x:row>
    <x:row r="910" ht="23" customHeight="1">
      <x:c r="B910" s="17" t="str">
        <x:v>Round1</x:v>
      </x:c>
      <x:c r="C910" s="17" t="str">
        <x:v>condition</x:v>
      </x:c>
      <x:c r="D910" s="17" t="str">
        <x:v>Math_104</x:v>
      </x:c>
      <x:c r="E910" s="32" t="n">
        <x:v>1</x:v>
      </x:c>
      <x:c r="F910" s="32" t="n">
        <x:v>1</x:v>
      </x:c>
      <x:c r="G910" s="32" t="n">
        <x:v>0.9</x:v>
      </x:c>
      <x:c r="H910" s="32" t="n">
        <x:v>0.675</x:v>
      </x:c>
      <x:c r="I910" s="39" t="n">
        <x:v>1</x:v>
      </x:c>
      <x:c r="J910" s="39" t="n">
        <x:v>1</x:v>
      </x:c>
      <x:c r="K910" s="39" t="n">
        <x:v>1</x:v>
      </x:c>
      <x:c r="L910" s="39" t="n">
        <x:v>1</x:v>
      </x:c>
    </x:row>
    <x:row r="911" ht="23" customHeight="1">
      <x:c r="B911" s="17" t="str">
        <x:v>Round1</x:v>
      </x:c>
      <x:c r="C911" s="17" t="str">
        <x:v>condition</x:v>
      </x:c>
      <x:c r="D911" s="17" t="str">
        <x:v>Math_105</x:v>
      </x:c>
      <x:c r="E911" s="32" t="n">
        <x:v>1</x:v>
      </x:c>
      <x:c r="F911" s="32" t="n">
        <x:v>0.8889</x:v>
      </x:c>
      <x:c r="G911" s="32" t="n">
        <x:v>1</x:v>
      </x:c>
      <x:c r="H911" s="32" t="n">
        <x:v>0.5</x:v>
      </x:c>
      <x:c r="I911" s="39" t="n">
        <x:v>1</x:v>
      </x:c>
      <x:c r="J911" s="39" t="n">
        <x:v>1</x:v>
      </x:c>
      <x:c r="K911" s="39" t="n">
        <x:v>1</x:v>
      </x:c>
      <x:c r="L911" s="39" t="n">
        <x:v>1</x:v>
      </x:c>
    </x:row>
    <x:row r="912" ht="23" customHeight="1">
      <x:c r="B912" s="17" t="str">
        <x:v>Round1</x:v>
      </x:c>
      <x:c r="C912" s="17" t="str">
        <x:v>condition</x:v>
      </x:c>
      <x:c r="D912" s="17" t="str">
        <x:v>Math_106</x:v>
      </x:c>
      <x:c r="E912" s="32" t="n">
        <x:v>1</x:v>
      </x:c>
      <x:c r="F912" s="32" t="n">
        <x:v>0.7333</x:v>
      </x:c>
      <x:c r="G912" s="32" t="n">
        <x:v>0.8</x:v>
      </x:c>
      <x:c r="H912" s="32" t="n">
        <x:v>0.6</x:v>
      </x:c>
      <x:c r="I912" s="39" t="n">
        <x:v>1</x:v>
      </x:c>
      <x:c r="J912" s="39" t="n">
        <x:v>1</x:v>
      </x:c>
      <x:c r="K912" s="39" t="n">
        <x:v>1</x:v>
      </x:c>
      <x:c r="L912" s="39" t="n">
        <x:v>1</x:v>
      </x:c>
    </x:row>
    <x:row r="913" ht="23" customHeight="1">
      <x:c r="B913" s="17" t="str">
        <x:v>Round1</x:v>
      </x:c>
      <x:c r="C913" s="17" t="str">
        <x:v>condition</x:v>
      </x:c>
      <x:c r="D913" s="17" t="str">
        <x:v>Math_12</x:v>
      </x:c>
      <x:c r="E913" s="32" t="n">
        <x:v>1</x:v>
      </x:c>
      <x:c r="F913" s="32" t="n">
        <x:v>0</x:v>
      </x:c>
      <x:c r="G913" s="32" t="n">
        <x:v>0.8571</x:v>
      </x:c>
      <x:c r="H913" s="32" t="n">
        <x:v>1</x:v>
      </x:c>
      <x:c r="I913" s="39" t="n">
        <x:v>1</x:v>
      </x:c>
      <x:c r="J913" s="39" t="n">
        <x:v>1</x:v>
      </x:c>
      <x:c r="K913" s="39" t="n">
        <x:v>1</x:v>
      </x:c>
      <x:c r="L913" s="39" t="n">
        <x:v>1</x:v>
      </x:c>
    </x:row>
    <x:row r="914" ht="23" customHeight="1">
      <x:c r="B914" s="17" t="str">
        <x:v>Round1</x:v>
      </x:c>
      <x:c r="C914" s="17" t="str">
        <x:v>condition</x:v>
      </x:c>
      <x:c r="D914" s="17" t="str">
        <x:v>Math_15</x:v>
      </x:c>
      <x:c r="E914" s="32" t="n">
        <x:v>0.8509</x:v>
      </x:c>
      <x:c r="F914" s="32" t="n">
        <x:v>0.7845</x:v>
      </x:c>
      <x:c r="G914" s="32" t="n">
        <x:v>0.3346</x:v>
      </x:c>
      <x:c r="H914" s="32" t="n">
        <x:v>0</x:v>
      </x:c>
      <x:c r="I914" s="39" t="n">
        <x:v>1</x:v>
      </x:c>
      <x:c r="J914" s="39" t="n">
        <x:v>1</x:v>
      </x:c>
      <x:c r="K914" s="39" t="n">
        <x:v>1</x:v>
      </x:c>
      <x:c r="L914" s="39" t="n">
        <x:v>1</x:v>
      </x:c>
    </x:row>
    <x:row r="915" ht="23" customHeight="1">
      <x:c r="B915" s="17" t="str">
        <x:v>Round1</x:v>
      </x:c>
      <x:c r="C915" s="17" t="str">
        <x:v>condition</x:v>
      </x:c>
      <x:c r="D915" s="17" t="str">
        <x:v>Math_16</x:v>
      </x:c>
      <x:c r="E915" s="32" t="n">
        <x:v>0.838</x:v>
      </x:c>
      <x:c r="F915" s="32" t="n">
        <x:v>0.157</x:v>
      </x:c>
      <x:c r="G915" s="32" t="n">
        <x:v>0.36460000000000004</x:v>
      </x:c>
      <x:c r="H915" s="32" t="n">
        <x:v>0</x:v>
      </x:c>
      <x:c r="I915" s="39" t="n">
        <x:v>1</x:v>
      </x:c>
      <x:c r="J915" s="39" t="n">
        <x:v>1</x:v>
      </x:c>
      <x:c r="K915" s="39" t="n">
        <x:v>1</x:v>
      </x:c>
      <x:c r="L915" s="39" t="n">
        <x:v>1</x:v>
      </x:c>
    </x:row>
    <x:row r="916" ht="23" customHeight="1">
      <x:c r="B916" s="17" t="str">
        <x:v>Round1</x:v>
      </x:c>
      <x:c r="C916" s="17" t="str">
        <x:v>condition</x:v>
      </x:c>
      <x:c r="D916" s="17" t="str">
        <x:v>Math_2</x:v>
      </x:c>
      <x:c r="E916" s="32" t="n">
        <x:v>1</x:v>
      </x:c>
      <x:c r="F916" s="32" t="n">
        <x:v>1</x:v>
      </x:c>
      <x:c r="G916" s="32" t="n">
        <x:v>0.8845999999999999</x:v>
      </x:c>
      <x:c r="H916" s="32" t="n">
        <x:v>0.5769</x:v>
      </x:c>
      <x:c r="I916" s="39" t="n">
        <x:v>1</x:v>
      </x:c>
      <x:c r="J916" s="39" t="n">
        <x:v>1</x:v>
      </x:c>
      <x:c r="K916" s="39" t="n">
        <x:v>1</x:v>
      </x:c>
      <x:c r="L916" s="39" t="n">
        <x:v>1</x:v>
      </x:c>
    </x:row>
    <x:row r="917" ht="23" customHeight="1">
      <x:c r="B917" s="17" t="str">
        <x:v>Round1</x:v>
      </x:c>
      <x:c r="C917" s="17" t="str">
        <x:v>condition</x:v>
      </x:c>
      <x:c r="D917" s="17" t="str">
        <x:v>Math_21</x:v>
      </x:c>
      <x:c r="E917" s="32" t="n">
        <x:v>1</x:v>
      </x:c>
      <x:c r="F917" s="32" t="n">
        <x:v>0</x:v>
      </x:c>
      <x:c r="G917" s="32" t="n">
        <x:v>1</x:v>
      </x:c>
      <x:c r="H917" s="32" t="n">
        <x:v>1</x:v>
      </x:c>
      <x:c r="I917" s="39" t="n">
        <x:v>1</x:v>
      </x:c>
      <x:c r="J917" s="39" t="n">
        <x:v>1</x:v>
      </x:c>
      <x:c r="K917" s="39" t="n">
        <x:v>1</x:v>
      </x:c>
      <x:c r="L917" s="39" t="n">
        <x:v>1</x:v>
      </x:c>
    </x:row>
    <x:row r="918" ht="23" customHeight="1">
      <x:c r="B918" s="17" t="str">
        <x:v>Round1</x:v>
      </x:c>
      <x:c r="C918" s="17" t="str">
        <x:v>condition</x:v>
      </x:c>
      <x:c r="D918" s="17" t="str">
        <x:v>Math_40</x:v>
      </x:c>
      <x:c r="E918" s="32" t="n">
        <x:v>0.9848</x:v>
      </x:c>
      <x:c r="F918" s="32" t="n">
        <x:v>0.0909</x:v>
      </x:c>
      <x:c r="G918" s="32" t="n">
        <x:v>0.6818000000000001</x:v>
      </x:c>
      <x:c r="H918" s="32" t="n">
        <x:v>0</x:v>
      </x:c>
      <x:c r="I918" s="39" t="n">
        <x:v>1</x:v>
      </x:c>
      <x:c r="J918" s="39" t="n">
        <x:v>1</x:v>
      </x:c>
      <x:c r="K918" s="39" t="n">
        <x:v>1</x:v>
      </x:c>
      <x:c r="L918" s="39" t="n">
        <x:v>1</x:v>
      </x:c>
    </x:row>
    <x:row r="919" ht="23" customHeight="1">
      <x:c r="B919" s="17" t="str">
        <x:v>Round1</x:v>
      </x:c>
      <x:c r="C919" s="17" t="str">
        <x:v>condition</x:v>
      </x:c>
      <x:c r="D919" s="17" t="str">
        <x:v>Math_41</x:v>
      </x:c>
      <x:c r="E919" s="32" t="n">
        <x:v>0.8695999999999999</x:v>
      </x:c>
      <x:c r="F919" s="32" t="n">
        <x:v>0.6087</x:v>
      </x:c>
      <x:c r="G919" s="32" t="n">
        <x:v>0.7173999999999999</x:v>
      </x:c>
      <x:c r="H919" s="32" t="n">
        <x:v>0</x:v>
      </x:c>
      <x:c r="I919" s="39" t="n">
        <x:v>1</x:v>
      </x:c>
      <x:c r="J919" s="39" t="n">
        <x:v>1</x:v>
      </x:c>
      <x:c r="K919" s="39" t="n">
        <x:v>1</x:v>
      </x:c>
      <x:c r="L919" s="39" t="n">
        <x:v>1</x:v>
      </x:c>
    </x:row>
    <x:row r="920" ht="23" customHeight="1">
      <x:c r="B920" s="17" t="str">
        <x:v>Round1</x:v>
      </x:c>
      <x:c r="C920" s="17" t="str">
        <x:v>condition</x:v>
      </x:c>
      <x:c r="D920" s="17" t="str">
        <x:v>Math_42</x:v>
      </x:c>
      <x:c r="E920" s="32" t="n">
        <x:v>0.9333</x:v>
      </x:c>
      <x:c r="F920" s="32" t="n">
        <x:v>0.0083</x:v>
      </x:c>
      <x:c r="G920" s="32" t="n">
        <x:v>0.5667</x:v>
      </x:c>
      <x:c r="H920" s="32" t="n">
        <x:v>0</x:v>
      </x:c>
      <x:c r="I920" s="39" t="n">
        <x:v>1</x:v>
      </x:c>
      <x:c r="J920" s="39" t="n">
        <x:v>1</x:v>
      </x:c>
      <x:c r="K920" s="39" t="n">
        <x:v>1</x:v>
      </x:c>
      <x:c r="L920" s="39" t="n">
        <x:v>1</x:v>
      </x:c>
    </x:row>
    <x:row r="921" ht="23" customHeight="1">
      <x:c r="B921" s="17" t="str">
        <x:v>Round1</x:v>
      </x:c>
      <x:c r="C921" s="17" t="str">
        <x:v>condition</x:v>
      </x:c>
      <x:c r="D921" s="17" t="str">
        <x:v>Math_43</x:v>
      </x:c>
      <x:c r="E921" s="32" t="n">
        <x:v>1</x:v>
      </x:c>
      <x:c r="F921" s="32" t="n">
        <x:v>0.9655</x:v>
      </x:c>
      <x:c r="G921" s="32" t="n">
        <x:v>0.5861999999999999</x:v>
      </x:c>
      <x:c r="H921" s="32" t="n">
        <x:v>0</x:v>
      </x:c>
      <x:c r="I921" s="39" t="n">
        <x:v>1</x:v>
      </x:c>
      <x:c r="J921" s="39" t="n">
        <x:v>1</x:v>
      </x:c>
      <x:c r="K921" s="39" t="n">
        <x:v>1</x:v>
      </x:c>
      <x:c r="L921" s="39" t="n">
        <x:v>1</x:v>
      </x:c>
    </x:row>
    <x:row r="922" ht="23" customHeight="1">
      <x:c r="B922" s="17" t="str">
        <x:v>Round1</x:v>
      </x:c>
      <x:c r="C922" s="17" t="str">
        <x:v>condition</x:v>
      </x:c>
      <x:c r="D922" s="17" t="str">
        <x:v>Math_45</x:v>
      </x:c>
      <x:c r="E922" s="32" t="n">
        <x:v>0.4545</x:v>
      </x:c>
      <x:c r="F922" s="32" t="n">
        <x:v>0.6818000000000001</x:v>
      </x:c>
      <x:c r="G922" s="32" t="n">
        <x:v>0.9545</x:v>
      </x:c>
      <x:c r="H922" s="32" t="n">
        <x:v>0</x:v>
      </x:c>
      <x:c r="I922" s="39" t="n">
        <x:v>1</x:v>
      </x:c>
      <x:c r="J922" s="39" t="n">
        <x:v>1</x:v>
      </x:c>
      <x:c r="K922" s="39" t="n">
        <x:v>1</x:v>
      </x:c>
      <x:c r="L922" s="39" t="n">
        <x:v>1</x:v>
      </x:c>
    </x:row>
    <x:row r="923" ht="23" customHeight="1">
      <x:c r="B923" s="17" t="str">
        <x:v>Round1</x:v>
      </x:c>
      <x:c r="C923" s="17" t="str">
        <x:v>condition</x:v>
      </x:c>
      <x:c r="D923" s="17" t="str">
        <x:v>Math_56</x:v>
      </x:c>
      <x:c r="E923" s="32" t="n">
        <x:v>1</x:v>
      </x:c>
      <x:c r="F923" s="32" t="n">
        <x:v>0.9118</x:v>
      </x:c>
      <x:c r="G923" s="32" t="n">
        <x:v>0.9412</x:v>
      </x:c>
      <x:c r="H923" s="32" t="n">
        <x:v>0</x:v>
      </x:c>
      <x:c r="I923" s="39" t="n">
        <x:v>1</x:v>
      </x:c>
      <x:c r="J923" s="39" t="n">
        <x:v>1</x:v>
      </x:c>
      <x:c r="K923" s="39" t="n">
        <x:v>1</x:v>
      </x:c>
      <x:c r="L923" s="39" t="n">
        <x:v>1</x:v>
      </x:c>
    </x:row>
    <x:row r="924" ht="23" customHeight="1">
      <x:c r="B924" s="17" t="str">
        <x:v>Round1</x:v>
      </x:c>
      <x:c r="C924" s="17" t="str">
        <x:v>condition</x:v>
      </x:c>
      <x:c r="D924" s="17" t="str">
        <x:v>Math_59</x:v>
      </x:c>
      <x:c r="E924" s="32" t="n">
        <x:v>0.8067</x:v>
      </x:c>
      <x:c r="F924" s="32" t="n">
        <x:v>0.7837000000000001</x:v>
      </x:c>
      <x:c r="G924" s="32" t="n">
        <x:v>0.43560000000000004</x:v>
      </x:c>
      <x:c r="H924" s="32" t="n">
        <x:v>0.066</x:v>
      </x:c>
      <x:c r="I924" s="39" t="n">
        <x:v>1</x:v>
      </x:c>
      <x:c r="J924" s="39" t="n">
        <x:v>1</x:v>
      </x:c>
      <x:c r="K924" s="39" t="n">
        <x:v>1</x:v>
      </x:c>
      <x:c r="L924" s="39" t="n">
        <x:v>1</x:v>
      </x:c>
    </x:row>
    <x:row r="925" ht="23" customHeight="1">
      <x:c r="B925" s="17" t="str">
        <x:v>Round1</x:v>
      </x:c>
      <x:c r="C925" s="17" t="str">
        <x:v>condition</x:v>
      </x:c>
      <x:c r="D925" s="17" t="str">
        <x:v>Math_61</x:v>
      </x:c>
      <x:c r="E925" s="32" t="n">
        <x:v>1</x:v>
      </x:c>
      <x:c r="F925" s="32" t="n">
        <x:v>0.75</x:v>
      </x:c>
      <x:c r="G925" s="32" t="n">
        <x:v>1</x:v>
      </x:c>
      <x:c r="H925" s="32" t="n">
        <x:v>0</x:v>
      </x:c>
      <x:c r="I925" s="39" t="n">
        <x:v>1</x:v>
      </x:c>
      <x:c r="J925" s="39" t="n">
        <x:v>1</x:v>
      </x:c>
      <x:c r="K925" s="39" t="n">
        <x:v>1</x:v>
      </x:c>
      <x:c r="L925" s="39" t="n">
        <x:v>1</x:v>
      </x:c>
    </x:row>
    <x:row r="926" ht="23" customHeight="1">
      <x:c r="B926" s="17" t="str">
        <x:v>Round1</x:v>
      </x:c>
      <x:c r="C926" s="17" t="str">
        <x:v>condition</x:v>
      </x:c>
      <x:c r="D926" s="17" t="str">
        <x:v>Math_63</x:v>
      </x:c>
      <x:c r="E926" s="32" t="n">
        <x:v>0.8820999999999999</x:v>
      </x:c>
      <x:c r="F926" s="32" t="n">
        <x:v>0.7483</x:v>
      </x:c>
      <x:c r="G926" s="32" t="n">
        <x:v>0.5760000000000001</x:v>
      </x:c>
      <x:c r="H926" s="32" t="n">
        <x:v>0</x:v>
      </x:c>
      <x:c r="I926" s="39" t="n">
        <x:v>1</x:v>
      </x:c>
      <x:c r="J926" s="39" t="n">
        <x:v>1</x:v>
      </x:c>
      <x:c r="K926" s="39" t="n">
        <x:v>1</x:v>
      </x:c>
      <x:c r="L926" s="39" t="n">
        <x:v>1</x:v>
      </x:c>
    </x:row>
    <x:row r="927" ht="23" customHeight="1">
      <x:c r="B927" s="17" t="str">
        <x:v>Round1</x:v>
      </x:c>
      <x:c r="C927" s="17" t="str">
        <x:v>condition</x:v>
      </x:c>
      <x:c r="D927" s="17" t="str">
        <x:v>Math_66</x:v>
      </x:c>
      <x:c r="E927" s="32" t="n">
        <x:v>0.9828</x:v>
      </x:c>
      <x:c r="F927" s="32" t="n">
        <x:v>0.1207</x:v>
      </x:c>
      <x:c r="G927" s="32" t="n">
        <x:v>0.9483</x:v>
      </x:c>
      <x:c r="H927" s="32" t="n">
        <x:v>0</x:v>
      </x:c>
      <x:c r="I927" s="39" t="n">
        <x:v>1</x:v>
      </x:c>
      <x:c r="J927" s="39" t="n">
        <x:v>1</x:v>
      </x:c>
      <x:c r="K927" s="39" t="n">
        <x:v>1</x:v>
      </x:c>
      <x:c r="L927" s="39" t="n">
        <x:v>1</x:v>
      </x:c>
    </x:row>
    <x:row r="928" ht="23" customHeight="1">
      <x:c r="B928" s="17" t="str">
        <x:v>Round1</x:v>
      </x:c>
      <x:c r="C928" s="17" t="str">
        <x:v>condition</x:v>
      </x:c>
      <x:c r="D928" s="17" t="str">
        <x:v>Math_67</x:v>
      </x:c>
      <x:c r="E928" s="32" t="n">
        <x:v>0.9412</x:v>
      </x:c>
      <x:c r="F928" s="32" t="n">
        <x:v>0.2059</x:v>
      </x:c>
      <x:c r="G928" s="32" t="n">
        <x:v>0.8529000000000001</x:v>
      </x:c>
      <x:c r="H928" s="32" t="n">
        <x:v>0</x:v>
      </x:c>
      <x:c r="I928" s="39" t="n">
        <x:v>1</x:v>
      </x:c>
      <x:c r="J928" s="39" t="n">
        <x:v>1</x:v>
      </x:c>
      <x:c r="K928" s="39" t="n">
        <x:v>1</x:v>
      </x:c>
      <x:c r="L928" s="39" t="n">
        <x:v>1</x:v>
      </x:c>
    </x:row>
    <x:row r="929" ht="23" customHeight="1">
      <x:c r="B929" s="17" t="str">
        <x:v>Round1</x:v>
      </x:c>
      <x:c r="C929" s="17" t="str">
        <x:v>condition</x:v>
      </x:c>
      <x:c r="D929" s="17" t="str">
        <x:v>Math_69</x:v>
      </x:c>
      <x:c r="E929" s="32" t="n">
        <x:v>1</x:v>
      </x:c>
      <x:c r="F929" s="32" t="n">
        <x:v>0.9</x:v>
      </x:c>
      <x:c r="G929" s="32" t="n">
        <x:v>0.9667</x:v>
      </x:c>
      <x:c r="H929" s="32" t="n">
        <x:v>0</x:v>
      </x:c>
      <x:c r="I929" s="39" t="n">
        <x:v>1</x:v>
      </x:c>
      <x:c r="J929" s="39" t="n">
        <x:v>1</x:v>
      </x:c>
      <x:c r="K929" s="39" t="n">
        <x:v>1</x:v>
      </x:c>
      <x:c r="L929" s="39" t="n">
        <x:v>1</x:v>
      </x:c>
    </x:row>
    <x:row r="930" ht="23" customHeight="1">
      <x:c r="B930" s="17" t="str">
        <x:v>Round1</x:v>
      </x:c>
      <x:c r="C930" s="17" t="str">
        <x:v>condition</x:v>
      </x:c>
      <x:c r="D930" s="17" t="str">
        <x:v>Math_72</x:v>
      </x:c>
      <x:c r="E930" s="32" t="n">
        <x:v>1</x:v>
      </x:c>
      <x:c r="F930" s="32" t="n">
        <x:v>0</x:v>
      </x:c>
      <x:c r="G930" s="32" t="n">
        <x:v>0.8148000000000001</x:v>
      </x:c>
      <x:c r="H930" s="32" t="n">
        <x:v>0</x:v>
      </x:c>
      <x:c r="I930" s="39" t="n">
        <x:v>1</x:v>
      </x:c>
      <x:c r="J930" s="39" t="n">
        <x:v>1</x:v>
      </x:c>
      <x:c r="K930" s="39" t="n">
        <x:v>1</x:v>
      </x:c>
      <x:c r="L930" s="39" t="n">
        <x:v>1</x:v>
      </x:c>
    </x:row>
    <x:row r="931" ht="23" customHeight="1">
      <x:c r="B931" s="17" t="str">
        <x:v>Round1</x:v>
      </x:c>
      <x:c r="C931" s="17" t="str">
        <x:v>condition</x:v>
      </x:c>
      <x:c r="D931" s="17" t="str">
        <x:v>Math_73</x:v>
      </x:c>
      <x:c r="E931" s="32" t="n">
        <x:v>1</x:v>
      </x:c>
      <x:c r="F931" s="32" t="n">
        <x:v>0</x:v>
      </x:c>
      <x:c r="G931" s="32" t="n">
        <x:v>0.8077</x:v>
      </x:c>
      <x:c r="H931" s="32" t="n">
        <x:v>0</x:v>
      </x:c>
      <x:c r="I931" s="39" t="n">
        <x:v>1</x:v>
      </x:c>
      <x:c r="J931" s="39" t="n">
        <x:v>1</x:v>
      </x:c>
      <x:c r="K931" s="39" t="n">
        <x:v>1</x:v>
      </x:c>
      <x:c r="L931" s="39" t="n">
        <x:v>1</x:v>
      </x:c>
    </x:row>
    <x:row r="932" ht="23" customHeight="1">
      <x:c r="B932" s="17" t="str">
        <x:v>Round1</x:v>
      </x:c>
      <x:c r="C932" s="17" t="str">
        <x:v>condition</x:v>
      </x:c>
      <x:c r="D932" s="17" t="str">
        <x:v>Math_75</x:v>
      </x:c>
      <x:c r="E932" s="32" t="n">
        <x:v>0.9167000000000001</x:v>
      </x:c>
      <x:c r="F932" s="32" t="n">
        <x:v>0.8332999999999999</x:v>
      </x:c>
      <x:c r="G932" s="32" t="n">
        <x:v>0.7707999999999999</x:v>
      </x:c>
      <x:c r="H932" s="32" t="n">
        <x:v>0</x:v>
      </x:c>
      <x:c r="I932" s="39" t="n">
        <x:v>1</x:v>
      </x:c>
      <x:c r="J932" s="39" t="n">
        <x:v>1</x:v>
      </x:c>
      <x:c r="K932" s="39" t="n">
        <x:v>1</x:v>
      </x:c>
      <x:c r="L932" s="39" t="n">
        <x:v>1</x:v>
      </x:c>
    </x:row>
    <x:row r="933" ht="23" customHeight="1">
      <x:c r="B933" s="17" t="str">
        <x:v>Round1</x:v>
      </x:c>
      <x:c r="C933" s="17" t="str">
        <x:v>condition</x:v>
      </x:c>
      <x:c r="D933" s="17" t="str">
        <x:v>Math_76</x:v>
      </x:c>
      <x:c r="E933" s="32" t="n">
        <x:v>1</x:v>
      </x:c>
      <x:c r="F933" s="32" t="n">
        <x:v>0</x:v>
      </x:c>
      <x:c r="G933" s="32" t="n">
        <x:v>0.6667000000000001</x:v>
      </x:c>
      <x:c r="H933" s="32" t="n">
        <x:v>0</x:v>
      </x:c>
      <x:c r="I933" s="39" t="n">
        <x:v>1</x:v>
      </x:c>
      <x:c r="J933" s="39" t="n">
        <x:v>1</x:v>
      </x:c>
      <x:c r="K933" s="39" t="n">
        <x:v>1</x:v>
      </x:c>
      <x:c r="L933" s="39" t="n">
        <x:v>1</x:v>
      </x:c>
    </x:row>
    <x:row r="934" ht="23" customHeight="1">
      <x:c r="B934" s="17" t="str">
        <x:v>Round1</x:v>
      </x:c>
      <x:c r="C934" s="17" t="str">
        <x:v>condition</x:v>
      </x:c>
      <x:c r="D934" s="17" t="str">
        <x:v>Math_79</x:v>
      </x:c>
      <x:c r="E934" s="32" t="n">
        <x:v>0.9304000000000001</x:v>
      </x:c>
      <x:c r="F934" s="32" t="n">
        <x:v>0.2609</x:v>
      </x:c>
      <x:c r="G934" s="32" t="n">
        <x:v>0.6261</x:v>
      </x:c>
      <x:c r="H934" s="32" t="n">
        <x:v>0</x:v>
      </x:c>
      <x:c r="I934" s="39" t="n">
        <x:v>1</x:v>
      </x:c>
      <x:c r="J934" s="39" t="n">
        <x:v>1</x:v>
      </x:c>
      <x:c r="K934" s="39" t="n">
        <x:v>1</x:v>
      </x:c>
      <x:c r="L934" s="39" t="n">
        <x:v>1</x:v>
      </x:c>
    </x:row>
    <x:row r="935" ht="23" customHeight="1">
      <x:c r="B935" s="17" t="str">
        <x:v>Round1</x:v>
      </x:c>
      <x:c r="C935" s="17" t="str">
        <x:v>condition</x:v>
      </x:c>
      <x:c r="D935" s="17" t="str">
        <x:v>Math_8</x:v>
      </x:c>
      <x:c r="E935" s="32" t="n">
        <x:v>0.9582999999999999</x:v>
      </x:c>
      <x:c r="F935" s="32" t="n">
        <x:v>0.0417</x:v>
      </x:c>
      <x:c r="G935" s="32" t="n">
        <x:v>0.9582999999999999</x:v>
      </x:c>
      <x:c r="H935" s="32" t="n">
        <x:v>0</x:v>
      </x:c>
      <x:c r="I935" s="39" t="n">
        <x:v>1</x:v>
      </x:c>
      <x:c r="J935" s="39" t="n">
        <x:v>1</x:v>
      </x:c>
      <x:c r="K935" s="39" t="n">
        <x:v>1</x:v>
      </x:c>
      <x:c r="L935" s="39" t="n">
        <x:v>1</x:v>
      </x:c>
    </x:row>
    <x:row r="936" ht="23" customHeight="1">
      <x:c r="B936" s="17" t="str">
        <x:v>Round1</x:v>
      </x:c>
      <x:c r="C936" s="17" t="str">
        <x:v>condition</x:v>
      </x:c>
      <x:c r="D936" s="17" t="str">
        <x:v>Math_80</x:v>
      </x:c>
      <x:c r="E936" s="32" t="n">
        <x:v>0.7536</x:v>
      </x:c>
      <x:c r="F936" s="32" t="n">
        <x:v>0.12560000000000002</x:v>
      </x:c>
      <x:c r="G936" s="32" t="n">
        <x:v>0.1932</x:v>
      </x:c>
      <x:c r="H936" s="32" t="n">
        <x:v>0</x:v>
      </x:c>
      <x:c r="I936" s="39" t="n">
        <x:v>1</x:v>
      </x:c>
      <x:c r="J936" s="39" t="n">
        <x:v>1</x:v>
      </x:c>
      <x:c r="K936" s="39" t="n">
        <x:v>1</x:v>
      </x:c>
      <x:c r="L936" s="39" t="n">
        <x:v>1</x:v>
      </x:c>
    </x:row>
    <x:row r="937" ht="23" customHeight="1">
      <x:c r="B937" s="17" t="str">
        <x:v>Round1</x:v>
      </x:c>
      <x:c r="C937" s="17" t="str">
        <x:v>condition</x:v>
      </x:c>
      <x:c r="D937" s="17" t="str">
        <x:v>Math_81</x:v>
      </x:c>
      <x:c r="E937" s="32" t="n">
        <x:v>0.7585</x:v>
      </x:c>
      <x:c r="F937" s="32" t="n">
        <x:v>0.12560000000000002</x:v>
      </x:c>
      <x:c r="G937" s="32" t="n">
        <x:v>0.2029</x:v>
      </x:c>
      <x:c r="H937" s="32" t="n">
        <x:v>0</x:v>
      </x:c>
      <x:c r="I937" s="39" t="n">
        <x:v>1</x:v>
      </x:c>
      <x:c r="J937" s="39" t="n">
        <x:v>1</x:v>
      </x:c>
      <x:c r="K937" s="39" t="n">
        <x:v>1</x:v>
      </x:c>
      <x:c r="L937" s="39" t="n">
        <x:v>1</x:v>
      </x:c>
    </x:row>
    <x:row r="938" ht="23" customHeight="1">
      <x:c r="B938" s="17" t="str">
        <x:v>Round1</x:v>
      </x:c>
      <x:c r="C938" s="17" t="str">
        <x:v>condition</x:v>
      </x:c>
      <x:c r="D938" s="17" t="str">
        <x:v>Math_85</x:v>
      </x:c>
      <x:c r="E938" s="32" t="n">
        <x:v>1</x:v>
      </x:c>
      <x:c r="F938" s="32" t="n">
        <x:v>0.0909</x:v>
      </x:c>
      <x:c r="G938" s="32" t="n">
        <x:v>0.8636</x:v>
      </x:c>
      <x:c r="H938" s="32" t="n">
        <x:v>0</x:v>
      </x:c>
      <x:c r="I938" s="39" t="n">
        <x:v>1</x:v>
      </x:c>
      <x:c r="J938" s="39" t="n">
        <x:v>1</x:v>
      </x:c>
      <x:c r="K938" s="39" t="n">
        <x:v>1</x:v>
      </x:c>
      <x:c r="L938" s="39" t="n">
        <x:v>1</x:v>
      </x:c>
    </x:row>
    <x:row r="939" ht="23" customHeight="1">
      <x:c r="B939" s="17" t="str">
        <x:v>Round1</x:v>
      </x:c>
      <x:c r="C939" s="17" t="str">
        <x:v>condition</x:v>
      </x:c>
      <x:c r="D939" s="17" t="str">
        <x:v>Math_87</x:v>
      </x:c>
      <x:c r="E939" s="32" t="n">
        <x:v>0.07780000000000001</x:v>
      </x:c>
      <x:c r="F939" s="32" t="n">
        <x:v>0</x:v>
      </x:c>
      <x:c r="G939" s="32" t="n">
        <x:v>0.07780000000000001</x:v>
      </x:c>
      <x:c r="H939" s="32" t="n">
        <x:v>0</x:v>
      </x:c>
      <x:c r="I939" s="39" t="n">
        <x:v>1</x:v>
      </x:c>
      <x:c r="J939" s="39" t="n">
        <x:v>1</x:v>
      </x:c>
      <x:c r="K939" s="39" t="n">
        <x:v>1</x:v>
      </x:c>
      <x:c r="L939" s="39" t="n">
        <x:v>1</x:v>
      </x:c>
    </x:row>
    <x:row r="940" ht="23" customHeight="1">
      <x:c r="B940" s="17" t="str">
        <x:v>Round1</x:v>
      </x:c>
      <x:c r="C940" s="17" t="str">
        <x:v>condition</x:v>
      </x:c>
      <x:c r="D940" s="17" t="str">
        <x:v>Math_89</x:v>
      </x:c>
      <x:c r="E940" s="32" t="n">
        <x:v>1</x:v>
      </x:c>
      <x:c r="F940" s="32" t="n">
        <x:v>0.9375</x:v>
      </x:c>
      <x:c r="G940" s="32" t="n">
        <x:v>0.9375</x:v>
      </x:c>
      <x:c r="H940" s="32" t="n">
        <x:v>0</x:v>
      </x:c>
      <x:c r="I940" s="39" t="n">
        <x:v>1</x:v>
      </x:c>
      <x:c r="J940" s="39" t="n">
        <x:v>1</x:v>
      </x:c>
      <x:c r="K940" s="39" t="n">
        <x:v>1</x:v>
      </x:c>
      <x:c r="L940" s="39" t="n">
        <x:v>1</x:v>
      </x:c>
    </x:row>
    <x:row r="941" ht="23" customHeight="1">
      <x:c r="B941" s="17" t="str">
        <x:v>Round1</x:v>
      </x:c>
      <x:c r="C941" s="17" t="str">
        <x:v>condition</x:v>
      </x:c>
      <x:c r="D941" s="17" t="str">
        <x:v>Math_90</x:v>
      </x:c>
      <x:c r="E941" s="32" t="n">
        <x:v>1</x:v>
      </x:c>
      <x:c r="F941" s="32" t="n">
        <x:v>0.9375</x:v>
      </x:c>
      <x:c r="G941" s="32" t="n">
        <x:v>0.9062</x:v>
      </x:c>
      <x:c r="H941" s="32" t="n">
        <x:v>0</x:v>
      </x:c>
      <x:c r="I941" s="39" t="n">
        <x:v>1</x:v>
      </x:c>
      <x:c r="J941" s="39" t="n">
        <x:v>1</x:v>
      </x:c>
      <x:c r="K941" s="39" t="n">
        <x:v>1</x:v>
      </x:c>
      <x:c r="L941" s="39" t="n">
        <x:v>1</x:v>
      </x:c>
    </x:row>
    <x:row r="942" ht="23" customHeight="1">
      <x:c r="B942" s="17" t="str">
        <x:v>Round1</x:v>
      </x:c>
      <x:c r="C942" s="17" t="str">
        <x:v>condition</x:v>
      </x:c>
      <x:c r="D942" s="17" t="str">
        <x:v>Math_92</x:v>
      </x:c>
      <x:c r="E942" s="32" t="n">
        <x:v>0.8969</x:v>
      </x:c>
      <x:c r="F942" s="32" t="n">
        <x:v>0.5157</x:v>
      </x:c>
      <x:c r="G942" s="32" t="n">
        <x:v>0.8117</x:v>
      </x:c>
      <x:c r="H942" s="32" t="n">
        <x:v>0</x:v>
      </x:c>
      <x:c r="I942" s="39" t="n">
        <x:v>1</x:v>
      </x:c>
      <x:c r="J942" s="39" t="n">
        <x:v>1</x:v>
      </x:c>
      <x:c r="K942" s="39" t="n">
        <x:v>1</x:v>
      </x:c>
      <x:c r="L942" s="39" t="n">
        <x:v>1</x:v>
      </x:c>
    </x:row>
    <x:row r="943" ht="23" customHeight="1">
      <x:c r="B943" s="17" t="str">
        <x:v>Round1</x:v>
      </x:c>
      <x:c r="C943" s="17" t="str">
        <x:v>condition</x:v>
      </x:c>
      <x:c r="D943" s="17" t="str">
        <x:v>Math_93</x:v>
      </x:c>
      <x:c r="E943" s="32" t="n">
        <x:v>0.8986</x:v>
      </x:c>
      <x:c r="F943" s="32" t="n">
        <x:v>0.5069</x:v>
      </x:c>
      <x:c r="G943" s="32" t="n">
        <x:v>0.9309000000000001</x:v>
      </x:c>
      <x:c r="H943" s="32" t="n">
        <x:v>0</x:v>
      </x:c>
      <x:c r="I943" s="39" t="n">
        <x:v>1</x:v>
      </x:c>
      <x:c r="J943" s="39" t="n">
        <x:v>1</x:v>
      </x:c>
      <x:c r="K943" s="39" t="n">
        <x:v>1</x:v>
      </x:c>
      <x:c r="L943" s="39" t="n">
        <x:v>1</x:v>
      </x:c>
    </x:row>
    <x:row r="944" ht="23" customHeight="1">
      <x:c r="B944" s="17" t="str">
        <x:v>Round1</x:v>
      </x:c>
      <x:c r="C944" s="17" t="str">
        <x:v>condition</x:v>
      </x:c>
      <x:c r="D944" s="17" t="str">
        <x:v>Math_94</x:v>
      </x:c>
      <x:c r="E944" s="32" t="n">
        <x:v>0.9256</x:v>
      </x:c>
      <x:c r="F944" s="32" t="n">
        <x:v>0.507</x:v>
      </x:c>
      <x:c r="G944" s="32" t="n">
        <x:v>0.8140000000000001</x:v>
      </x:c>
      <x:c r="H944" s="32" t="n">
        <x:v>0</x:v>
      </x:c>
      <x:c r="I944" s="39" t="n">
        <x:v>1</x:v>
      </x:c>
      <x:c r="J944" s="39" t="n">
        <x:v>1</x:v>
      </x:c>
      <x:c r="K944" s="39" t="n">
        <x:v>1</x:v>
      </x:c>
      <x:c r="L944" s="39" t="n">
        <x:v>1</x:v>
      </x:c>
    </x:row>
    <x:row r="945" ht="23" customHeight="1">
      <x:c r="B945" s="17" t="str">
        <x:v>Round1</x:v>
      </x:c>
      <x:c r="C945" s="17" t="str">
        <x:v>condition</x:v>
      </x:c>
      <x:c r="D945" s="17" t="str">
        <x:v>Math_95</x:v>
      </x:c>
      <x:c r="E945" s="32" t="n">
        <x:v>1</x:v>
      </x:c>
      <x:c r="F945" s="32" t="n">
        <x:v>1</x:v>
      </x:c>
      <x:c r="G945" s="32" t="n">
        <x:v>1</x:v>
      </x:c>
      <x:c r="H945" s="32" t="n">
        <x:v>1</x:v>
      </x:c>
      <x:c r="I945" s="39" t="n">
        <x:v>1</x:v>
      </x:c>
      <x:c r="J945" s="39" t="n">
        <x:v>1</x:v>
      </x:c>
      <x:c r="K945" s="39" t="n">
        <x:v>1</x:v>
      </x:c>
      <x:c r="L945" s="39" t="n">
        <x:v>1</x:v>
      </x:c>
    </x:row>
    <x:row r="946" ht="23" customHeight="1">
      <x:c r="B946" s="17" t="str">
        <x:v>Round1</x:v>
      </x:c>
      <x:c r="C946" s="17" t="str">
        <x:v>condition</x:v>
      </x:c>
      <x:c r="D946" s="17" t="str">
        <x:v>Math_96</x:v>
      </x:c>
      <x:c r="E946" s="32" t="n">
        <x:v>0.9412</x:v>
      </x:c>
      <x:c r="F946" s="32" t="n">
        <x:v>0.8922</x:v>
      </x:c>
      <x:c r="G946" s="32" t="n">
        <x:v>0.8922</x:v>
      </x:c>
      <x:c r="H946" s="32" t="n">
        <x:v>0</x:v>
      </x:c>
      <x:c r="I946" s="39" t="n">
        <x:v>1</x:v>
      </x:c>
      <x:c r="J946" s="39" t="n">
        <x:v>1</x:v>
      </x:c>
      <x:c r="K946" s="39" t="n">
        <x:v>1</x:v>
      </x:c>
      <x:c r="L946" s="39" t="n">
        <x:v>1</x:v>
      </x:c>
    </x:row>
    <x:row r="947" ht="23" customHeight="1">
      <x:c r="B947" s="17" t="str">
        <x:v>Round1</x:v>
      </x:c>
      <x:c r="C947" s="17" t="str">
        <x:v>condition</x:v>
      </x:c>
      <x:c r="D947" s="17" t="str">
        <x:v>Math_97</x:v>
      </x:c>
      <x:c r="E947" s="32" t="n">
        <x:v>1</x:v>
      </x:c>
      <x:c r="F947" s="32" t="n">
        <x:v>0</x:v>
      </x:c>
      <x:c r="G947" s="32" t="n">
        <x:v>0.8913</x:v>
      </x:c>
      <x:c r="H947" s="32" t="n">
        <x:v>0</x:v>
      </x:c>
      <x:c r="I947" s="39" t="n">
        <x:v>1</x:v>
      </x:c>
      <x:c r="J947" s="39" t="n">
        <x:v>1</x:v>
      </x:c>
      <x:c r="K947" s="39" t="n">
        <x:v>1</x:v>
      </x:c>
      <x:c r="L947" s="39" t="n">
        <x:v>1</x:v>
      </x:c>
    </x:row>
    <x:row r="948" ht="23" customHeight="1">
      <x:c r="B948" s="17" t="str">
        <x:v>Round1</x:v>
      </x:c>
      <x:c r="C948" s="17" t="str">
        <x:v>condition</x:v>
      </x:c>
      <x:c r="D948" s="17" t="str">
        <x:v>Math_98</x:v>
      </x:c>
      <x:c r="E948" s="32" t="n">
        <x:v>0.8538</x:v>
      </x:c>
      <x:c r="F948" s="32" t="n">
        <x:v>0.7670999999999999</x:v>
      </x:c>
      <x:c r="G948" s="32" t="n">
        <x:v>0.7942</x:v>
      </x:c>
      <x:c r="H948" s="32" t="n">
        <x:v>0</x:v>
      </x:c>
      <x:c r="I948" s="39" t="n">
        <x:v>1</x:v>
      </x:c>
      <x:c r="J948" s="39" t="n">
        <x:v>1</x:v>
      </x:c>
      <x:c r="K948" s="39" t="n">
        <x:v>1</x:v>
      </x:c>
      <x:c r="L948" s="39" t="n">
        <x:v>1</x:v>
      </x:c>
    </x:row>
    <x:row r="949" ht="23" customHeight="1">
      <x:c r="B949" s="17" t="str">
        <x:v>Round1</x:v>
      </x:c>
      <x:c r="C949" s="17" t="str">
        <x:v>condition</x:v>
      </x:c>
      <x:c r="D949" s="17" t="str">
        <x:v>Math_99</x:v>
      </x:c>
      <x:c r="E949" s="32" t="n">
        <x:v>0.941</x:v>
      </x:c>
      <x:c r="F949" s="32" t="n">
        <x:v>0.7565000000000001</x:v>
      </x:c>
      <x:c r="G949" s="32" t="n">
        <x:v>0.9041</x:v>
      </x:c>
      <x:c r="H949" s="32" t="n">
        <x:v>0</x:v>
      </x:c>
      <x:c r="I949" s="39" t="n">
        <x:v>1</x:v>
      </x:c>
      <x:c r="J949" s="39" t="n">
        <x:v>1</x:v>
      </x:c>
      <x:c r="K949" s="39" t="n">
        <x:v>1</x:v>
      </x:c>
      <x:c r="L949" s="39" t="n">
        <x:v>1</x:v>
      </x:c>
    </x:row>
    <x:row r="950" ht="23" customHeight="1">
      <x:c r="B950" s="17" t="str">
        <x:v>Round1</x:v>
      </x:c>
      <x:c r="C950" s="17" t="str">
        <x:v>condition</x:v>
      </x:c>
      <x:c r="D950" s="17" t="str">
        <x:v>Mockito_11</x:v>
      </x:c>
      <x:c r="E950" s="32" t="n">
        <x:v>0.16670000000000001</x:v>
      </x:c>
      <x:c r="F950" s="32" t="n">
        <x:v>0</x:v>
      </x:c>
      <x:c r="G950" s="32" t="n">
        <x:v>0.5</x:v>
      </x:c>
      <x:c r="H950" s="32" t="n">
        <x:v>0.5</x:v>
      </x:c>
      <x:c r="I950" s="39" t="n">
        <x:v>1</x:v>
      </x:c>
      <x:c r="J950" s="39" t="n">
        <x:v>1</x:v>
      </x:c>
      <x:c r="K950" s="39" t="n">
        <x:v>1</x:v>
      </x:c>
      <x:c r="L950" s="39" t="n">
        <x:v>1</x:v>
      </x:c>
    </x:row>
    <x:row r="951" ht="23" customHeight="1">
      <x:c r="B951" s="17" t="str">
        <x:v>Round1</x:v>
      </x:c>
      <x:c r="C951" s="17" t="str">
        <x:v>condition</x:v>
      </x:c>
      <x:c r="D951" s="17" t="str">
        <x:v>Mockito_12</x:v>
      </x:c>
      <x:c r="E951" s="32" t="n">
        <x:v>0</x:v>
      </x:c>
      <x:c r="F951" s="32" t="n">
        <x:v>0</x:v>
      </x:c>
      <x:c r="G951" s="32" t="n">
        <x:v>0.75</x:v>
      </x:c>
      <x:c r="H951" s="32" t="n">
        <x:v>0.75</x:v>
      </x:c>
      <x:c r="I951" s="39" t="n">
        <x:v>1</x:v>
      </x:c>
      <x:c r="J951" s="39" t="n">
        <x:v>1</x:v>
      </x:c>
      <x:c r="K951" s="39" t="n">
        <x:v>1</x:v>
      </x:c>
      <x:c r="L951" s="39" t="n">
        <x:v>1</x:v>
      </x:c>
    </x:row>
    <x:row r="952" ht="23" customHeight="1">
      <x:c r="B952" s="17" t="str">
        <x:v>Round1</x:v>
      </x:c>
      <x:c r="C952" s="17" t="str">
        <x:v>condition</x:v>
      </x:c>
      <x:c r="D952" s="17" t="str">
        <x:v>Mockito_15</x:v>
      </x:c>
      <x:c r="E952" s="32" t="n">
        <x:v>1</x:v>
      </x:c>
      <x:c r="F952" s="32" t="n">
        <x:v>0.5</x:v>
      </x:c>
      <x:c r="G952" s="32" t="n">
        <x:v>1</x:v>
      </x:c>
      <x:c r="H952" s="32" t="n">
        <x:v>1</x:v>
      </x:c>
      <x:c r="I952" s="39" t="n">
        <x:v>1</x:v>
      </x:c>
      <x:c r="J952" s="39" t="n">
        <x:v>1</x:v>
      </x:c>
      <x:c r="K952" s="39" t="n">
        <x:v>1</x:v>
      </x:c>
      <x:c r="L952" s="39" t="n">
        <x:v>1</x:v>
      </x:c>
    </x:row>
    <x:row r="953" ht="23" customHeight="1">
      <x:c r="B953" s="17" t="str">
        <x:v>Round1</x:v>
      </x:c>
      <x:c r="C953" s="17" t="str">
        <x:v>condition</x:v>
      </x:c>
      <x:c r="D953" s="17" t="str">
        <x:v>Mockito_21</x:v>
      </x:c>
      <x:c r="E953" s="32" t="n">
        <x:v>1</x:v>
      </x:c>
      <x:c r="F953" s="32" t="n">
        <x:v>0</x:v>
      </x:c>
      <x:c r="G953" s="32" t="n">
        <x:v>1</x:v>
      </x:c>
      <x:c r="H953" s="32" t="n">
        <x:v>1</x:v>
      </x:c>
      <x:c r="I953" s="39" t="n">
        <x:v>1</x:v>
      </x:c>
      <x:c r="J953" s="39" t="n">
        <x:v>1</x:v>
      </x:c>
      <x:c r="K953" s="39" t="n">
        <x:v>1</x:v>
      </x:c>
      <x:c r="L953" s="39" t="n">
        <x:v>1</x:v>
      </x:c>
    </x:row>
    <x:row r="954" ht="23" customHeight="1">
      <x:c r="B954" s="17" t="str">
        <x:v>Round1</x:v>
      </x:c>
      <x:c r="C954" s="17" t="str">
        <x:v>condition</x:v>
      </x:c>
      <x:c r="D954" s="17" t="str">
        <x:v>Mockito_22</x:v>
      </x:c>
      <x:c r="E954" s="32" t="n">
        <x:v>0.375</x:v>
      </x:c>
      <x:c r="F954" s="32" t="n">
        <x:v>0.3333</x:v>
      </x:c>
      <x:c r="G954" s="32" t="n">
        <x:v>1</x:v>
      </x:c>
      <x:c r="H954" s="32" t="n">
        <x:v>1</x:v>
      </x:c>
      <x:c r="I954" s="39" t="n">
        <x:v>1</x:v>
      </x:c>
      <x:c r="J954" s="39" t="n">
        <x:v>1</x:v>
      </x:c>
      <x:c r="K954" s="39" t="n">
        <x:v>1</x:v>
      </x:c>
      <x:c r="L954" s="39" t="n">
        <x:v>1</x:v>
      </x:c>
    </x:row>
    <x:row r="955" ht="23" customHeight="1">
      <x:c r="B955" s="17" t="str">
        <x:v>Round1</x:v>
      </x:c>
      <x:c r="C955" s="17" t="str">
        <x:v>condition</x:v>
      </x:c>
      <x:c r="D955" s="17" t="str">
        <x:v>Mockito_37</x:v>
      </x:c>
      <x:c r="E955" s="32" t="n">
        <x:v>0.46149999999999997</x:v>
      </x:c>
      <x:c r="F955" s="32" t="n">
        <x:v>0</x:v>
      </x:c>
      <x:c r="G955" s="32" t="n">
        <x:v>0.9615</x:v>
      </x:c>
      <x:c r="H955" s="32" t="n">
        <x:v>1</x:v>
      </x:c>
      <x:c r="I955" s="39" t="n">
        <x:v>1</x:v>
      </x:c>
      <x:c r="J955" s="39" t="n">
        <x:v>1</x:v>
      </x:c>
      <x:c r="K955" s="39" t="n">
        <x:v>1</x:v>
      </x:c>
      <x:c r="L955" s="39" t="n">
        <x:v>1</x:v>
      </x:c>
    </x:row>
  </x:sheetData>
  <x:mergeCells>
    <x:mergeCell ref="B3:L3"/>
    <x:mergeCell ref="B4:L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2">
      <x:c r="B2" s="29" t="str">
        <x:v>Coverage and verdict definitions</x:v>
      </x:c>
    </x:row>
    <x:row r="4" ht="34" customHeight="1">
      <x:c r="B4" s="47" t="str">
        <x:v>One bug per round. Resource: 854 bugs; this workbook pools 1708 results.</x:v>
      </x:c>
      <x:c r="C4" s="47"/>
      <x:c r="D4" s="47"/>
      <x:c r="E4" s="47"/>
      <x:c r="F4" s="47"/>
      <x:c r="G4" s="47"/>
      <x:c r="H4" s="47"/>
    </x:row>
    <x:row r="5" ht="34" customHeight="1">
      <x:c r="B5" s="47" t="str">
        <x:v>Recorded only: sum of applicable numeric coverage / numeric count, including 0%.</x:v>
      </x:c>
      <x:c r="C5" s="47"/>
      <x:c r="D5" s="47"/>
      <x:c r="E5" s="47"/>
      <x:c r="F5" s="47"/>
      <x:c r="G5" s="47"/>
      <x:c r="H5" s="47"/>
    </x:row>
    <x:row r="6" ht="34" customHeight="1">
      <x:c r="B6" s="47" t="str">
        <x:v>All applicable: same sum / (total minus successful zero-total N/A). Failed measurements count as 0%.</x:v>
      </x:c>
      <x:c r="C6" s="47"/>
      <x:c r="D6" s="47"/>
      <x:c r="E6" s="47"/>
      <x:c r="F6" s="47"/>
      <x:c r="G6" s="47"/>
      <x:c r="H6" s="47"/>
    </x:row>
    <x:row r="7" ht="34" customHeight="1">
      <x:c r="B7" s="47" t="str">
        <x:v>Coverage uses buggy measurements. Verdicts require both buggy/fixed runs; measured buggy coverage remains when fixed is unavailable.</x:v>
      </x:c>
      <x:c r="C7" s="47"/>
      <x:c r="D7" s="47"/>
      <x:c r="E7" s="47"/>
      <x:c r="F7" s="47"/>
      <x:c r="G7" s="47"/>
      <x:c r="H7" s="47"/>
    </x:row>
    <x:row r="8" ht="34" customHeight="1">
      <x:c r="B8" s="47" t="str">
        <x:v>FAIL: no usable tests or latest whole-bug generation failed. Partial class failures with usable tests follow execution evidence.</x:v>
      </x:c>
      <x:c r="C8" s="47"/>
      <x:c r="D8" s="47"/>
      <x:c r="E8" s="47"/>
      <x:c r="F8" s="47"/>
      <x:c r="G8" s="47"/>
      <x:c r="H8" s="47"/>
    </x:row>
    <x:row r="9" ht="34" customHeight="1">
      <x:c r="B9" s="47" t="str">
        <x:v>Combined intersection averages numeric rounds per method/bug first. Round2 has no four-method intersection because Gemini has no Round2.</x:v>
      </x:c>
      <x:c r="C9" s="47"/>
      <x:c r="D9" s="47"/>
      <x:c r="E9" s="47"/>
      <x:c r="F9" s="47"/>
      <x:c r="G9" s="47"/>
      <x:c r="H9" s="47"/>
    </x:row>
    <x:row r="12" ht="56" customHeight="1">
      <x:c r="B12" s="20" t="str">
        <x:v>Metric</x:v>
      </x:c>
      <x:c r="C12" s="20" t="str">
        <x:v>Coverage sum (percentage points)</x:v>
      </x:c>
      <x:c r="D12" s="20" t="str">
        <x:v>n numeric</x:v>
      </x:c>
      <x:c r="E12" s="20" t="str">
        <x:v>n applicable</x:v>
      </x:c>
      <x:c r="F12" s="20" t="str">
        <x:v>Recorded only</x:v>
      </x:c>
      <x:c r="G12" s="20" t="str">
        <x:v>All applicable</x:v>
      </x:c>
      <x:c r="H12" s="20" t="str">
        <x:v>Runnable</x:v>
      </x:c>
    </x:row>
    <x:row r="13" ht="23" customHeight="1">
      <x:c r="B13" s="17" t="str">
        <x:v>Line</x:v>
      </x:c>
      <x:c r="C13" s="48" t="n">
        <x:f>SUMIF('CoverageCases'!$E$2:$E5125,B13,'CoverageCases'!$O$2:$O5125)</x:f>
        <x:v>57694.85000000001</x:v>
      </x:c>
      <x:c r="D13" s="39" t="n">
        <x:f>'Coverage'!F8</x:f>
        <x:v>1652</x:v>
      </x:c>
      <x:c r="E13" s="39" t="n">
        <x:f>'Coverage'!M8</x:f>
        <x:v>1708</x:v>
      </x:c>
      <x:c r="F13" s="32" t="n">
        <x:f>IF(D13=0,"—",C13/D13/100)</x:f>
        <x:v>0.34924243341404365</x:v>
      </x:c>
      <x:c r="G13" s="32" t="n">
        <x:f>IF(ISNUMBER(E13),IF(E13=0,"—",C13/E13/100),"Pending")</x:f>
        <x:v>0.33779186182669796</x:v>
      </x:c>
      <x:c r="H13" s="32" t="n">
        <x:f>'Coverage'!L8</x:f>
        <x:v>0.9672131147540983</x:v>
      </x:c>
    </x:row>
    <x:row r="14" ht="23" customHeight="1">
      <x:c r="B14" s="17" t="str">
        <x:v>Condition</x:v>
      </x:c>
      <x:c r="C14" s="48" t="n">
        <x:f>SUMIF('CoverageCases'!$E$2:$E5125,B14,'CoverageCases'!$O$2:$O5125)</x:f>
        <x:v>41001.440000000024</x:v>
      </x:c>
      <x:c r="D14" s="39" t="n">
        <x:f>'Coverage'!F9</x:f>
        <x:v>1646</x:v>
      </x:c>
      <x:c r="E14" s="39" t="n">
        <x:f>'Coverage'!M9</x:f>
        <x:v>1702</x:v>
      </x:c>
      <x:c r="F14" s="32" t="n">
        <x:f>IF(D14=0,"—",C14/D14/100)</x:f>
        <x:v>0.2490974483596599</x:v>
      </x:c>
      <x:c r="G14" s="32" t="n">
        <x:f>IF(ISNUMBER(E14),IF(E14=0,"—",C14/E14/100),"Pending")</x:f>
        <x:v>0.24090152761457123</x:v>
      </x:c>
      <x:c r="H14" s="32" t="n">
        <x:f>'Coverage'!L9</x:f>
        <x:v>0.9672131147540983</x:v>
      </x:c>
    </x:row>
    <x:row r="17" ht="34" customHeight="1">
      <x:c r="B17" s="31" t="str">
        <x:v>Previous coverage rules counted missing values as 0% without excluding N/A. These are rule comparisons, not a reconstruction of the old slide cohort.</x:v>
      </x:c>
      <x:c r="C17" s="31"/>
      <x:c r="D17" s="31"/>
      <x:c r="E17" s="31"/>
      <x:c r="F17" s="31"/>
      <x:c r="G17" s="31"/>
      <x:c r="H17" s="31"/>
    </x:row>
    <x:row r="19" ht="42" customHeight="1">
      <x:c r="B19" s="20" t="str">
        <x:v>Metric</x:v>
      </x:c>
      <x:c r="C19" s="20" t="str">
        <x:v>Previous recorded</x:v>
      </x:c>
      <x:c r="D19" s="20" t="str">
        <x:v>Current recorded</x:v>
      </x:c>
      <x:c r="E19" s="20" t="str">
        <x:v>Previous all results</x:v>
      </x:c>
      <x:c r="F19" s="20" t="str">
        <x:v>Current applicable</x:v>
      </x:c>
    </x:row>
    <x:row r="20" ht="23" customHeight="1">
      <x:c r="B20" s="17" t="str">
        <x:v>Line</x:v>
      </x:c>
      <x:c r="C20" s="32" t="n">
        <x:v>0.3495981257557436</x:v>
      </x:c>
      <x:c r="D20" s="32" t="n">
        <x:f>'Coverage'!J8</x:f>
        <x:v>0.34924243341404365</x:v>
      </x:c>
      <x:c r="E20" s="32" t="n">
        <x:v>0.3385452576112412</x:v>
      </x:c>
      <x:c r="F20" s="32" t="n">
        <x:f>'Coverage'!K8</x:f>
        <x:v>0.33779186182669796</x:v>
      </x:c>
    </x:row>
    <x:row r="21" ht="23" customHeight="1">
      <x:c r="B21" s="17" t="str">
        <x:v>Condition</x:v>
      </x:c>
      <x:c r="C21" s="32" t="n">
        <x:v>0.24856698911729144</x:v>
      </x:c>
      <x:c r="D21" s="32" t="n">
        <x:f>'Coverage'!J9</x:f>
        <x:v>0.2490974483596599</x:v>
      </x:c>
      <x:c r="E21" s="32" t="n">
        <x:v>0.2407083138173302</x:v>
      </x:c>
      <x:c r="F21" s="32" t="n">
        <x:f>'Coverage'!K9</x:f>
        <x:v>0.24090152761457123</x:v>
      </x:c>
    </x:row>
    <x:row r="25" ht="42" customHeight="1">
      <x:c r="B25" s="20" t="str">
        <x:v>Verdict</x:v>
      </x:c>
      <x:c r="C25" s="20" t="str">
        <x:v>Scope</x:v>
      </x:c>
      <x:c r="D25" s="20" t="str">
        <x:v>Slide (%)</x:v>
      </x:c>
      <x:c r="E25" s="20" t="str">
        <x:v>Current count</x:v>
      </x:c>
      <x:c r="F25" s="20" t="str">
        <x:v>n results</x:v>
      </x:c>
      <x:c r="G25" s="20" t="str">
        <x:v>Current (%)</x:v>
      </x:c>
      <x:c r="H25" s="20" t="str">
        <x:v>Change (pp)</x:v>
      </x:c>
    </x:row>
    <x:row r="26" ht="23" customHeight="1">
      <x:c r="B26" s="17" t="str">
        <x:v>FAIL</x:v>
      </x:c>
      <x:c r="C26" s="17" t="str">
        <x:v>All rounds</x:v>
      </x:c>
      <x:c r="D26" s="32" t="n">
        <x:v>0.0205</x:v>
      </x:c>
      <x:c r="E26" s="39" t="n">
        <x:f>COUNTIF('BugResults'!$D$2:$D1709,B26)</x:f>
        <x:v>37</x:v>
      </x:c>
      <x:c r="F26" s="39" t="n">
        <x:f>COUNTA('BugResults'!$A$2:$A1709)</x:f>
        <x:v>1708</x:v>
      </x:c>
      <x:c r="G26" s="32" t="n">
        <x:f>E26/F26</x:f>
        <x:v>0.021662763466042154</x:v>
      </x:c>
      <x:c r="H26" s="49" t="n">
        <x:f>(G26-D26)*100</x:f>
        <x:v>0.11627634660421535</x:v>
      </x:c>
    </x:row>
    <x:row r="27" ht="23" customHeight="1">
      <x:c r="B27" s="17" t="str">
        <x:v>NOT_AVAILABLE</x:v>
      </x:c>
      <x:c r="C27" s="17" t="str">
        <x:v>All rounds</x:v>
      </x:c>
      <x:c r="D27" s="32" t="n">
        <x:v>0.0218</x:v>
      </x:c>
      <x:c r="E27" s="39" t="n">
        <x:f>COUNTIF('BugResults'!$D$2:$D1709,B27)</x:f>
        <x:v>41</x:v>
      </x:c>
      <x:c r="F27" s="39" t="n">
        <x:f>COUNTA('BugResults'!$A$2:$A1709)</x:f>
        <x:v>1708</x:v>
      </x:c>
      <x:c r="G27" s="32" t="n">
        <x:f>E27/F27</x:f>
        <x:v>0.024004683840749413</x:v>
      </x:c>
      <x:c r="H27" s="49" t="n">
        <x:f>(G27-D27)*100</x:f>
        <x:v>0.22046838407494135</x:v>
      </x:c>
    </x:row>
  </x:sheetData>
  <x:mergeCells>
    <x:mergeCell ref="B4:H4"/>
    <x:mergeCell ref="B5:H5"/>
    <x:mergeCell ref="B6:H6"/>
    <x:mergeCell ref="B7:H7"/>
    <x:mergeCell ref="B8:H8"/>
    <x:mergeCell ref="B9:H9"/>
    <x:mergeCell ref="B17:H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70" hidden="0" customWidth="1"/>
    <x:col min="8" max="8" width="70" hidden="0" customWidth="1"/>
    <x:col min="9" max="9" width="70" hidden="0" customWidth="1"/>
    <x:col min="10" max="10" width="70" hidden="0" customWidth="1"/>
  </x:cols>
  <x:sheetData>
    <x:row r="2">
      <x:c r="B2" t="str">
        <x:v>Saved versus derived verdict changes</x:v>
      </x:c>
    </x:row>
    <x:row r="3" ht="32" customHeight="1">
      <x:c r="B3" s="31" t="str">
        <x:v>8 changed bug/rounds. Generation failures, stale suites and missing class evidence are filterable in BugResults.</x:v>
      </x:c>
      <x:c r="C3" s="31"/>
      <x:c r="D3" s="31"/>
      <x:c r="E3" s="31"/>
      <x:c r="F3" s="31"/>
      <x:c r="G3" s="31"/>
      <x:c r="H3" s="31"/>
      <x:c r="I3" s="31"/>
      <x:c r="J3" s="31"/>
    </x:row>
    <x:row r="6" ht="42" customHeight="1">
      <x:c r="B6" s="20" t="str">
        <x:v>Project</x:v>
      </x:c>
      <x:c r="C6" s="20" t="str">
        <x:v>Bug</x:v>
      </x:c>
      <x:c r="D6" s="20" t="str">
        <x:v>Round</x:v>
      </x:c>
      <x:c r="E6" s="20" t="str">
        <x:v>Saved verdict</x:v>
      </x:c>
      <x:c r="F6" s="20" t="str">
        <x:v>Current verdict</x:v>
      </x:c>
      <x:c r="G6" s="20" t="str">
        <x:v>Reason</x:v>
      </x:c>
      <x:c r="H6" s="20" t="str">
        <x:v>Generation source</x:v>
      </x:c>
      <x:c r="I6" s="20" t="str">
        <x:v>Validation source</x:v>
      </x:c>
      <x:c r="J6" s="20" t="str">
        <x:v>Coverage source</x:v>
      </x:c>
    </x:row>
    <x:row r="7" ht="80" customHeight="1">
      <x:c r="B7" s="17" t="str">
        <x:v>Jsoup</x:v>
      </x:c>
      <x:c r="C7" s="17" t="n">
        <x:v>4</x:v>
      </x:c>
      <x:c r="D7" s="17" t="str">
        <x:v>Round1</x:v>
      </x:c>
      <x:c r="E7" s="17" t="str">
        <x:v>NOT_REVEALING</x:v>
      </x:c>
      <x:c r="F7" s="17" t="str">
        <x:v>NOT_AVAILABLE</x:v>
      </x:c>
      <x:c r="G7" s="21" t="str">
        <x:v>Tests exist but current coverage did not complete</x:v>
      </x:c>
      <x:c r="H7" s="21" t="str">
        <x:v>Feedback-Directed Random Test Generation/rounds/Round1/state/Jsoup.json</x:v>
      </x:c>
      <x:c r="I7" s="21" t="str">
        <x:v>Feedback-Directed Random Test Generation/Result/Jsoup_4/result.json</x:v>
      </x:c>
      <x:c r="J7" s="21" t="str">
        <x:v>Feedback-Directed Random Test Generation/Result/Jsoup_4/result.json</x:v>
      </x:c>
    </x:row>
    <x:row r="8" ht="80" customHeight="1">
      <x:c r="B8" s="17" t="str">
        <x:v>Jsoup</x:v>
      </x:c>
      <x:c r="C8" s="17" t="n">
        <x:v>6</x:v>
      </x:c>
      <x:c r="D8" s="17" t="str">
        <x:v>Round1</x:v>
      </x:c>
      <x:c r="E8" s="17" t="str">
        <x:v>NOT_REVEALING</x:v>
      </x:c>
      <x:c r="F8" s="17" t="str">
        <x:v>NOT_AVAILABLE</x:v>
      </x:c>
      <x:c r="G8" s="21" t="str">
        <x:v>Tests exist but current coverage did not complete</x:v>
      </x:c>
      <x:c r="H8" s="21" t="str">
        <x:v>Feedback-Directed Random Test Generation/rounds/Round1/state/Jsoup.json</x:v>
      </x:c>
      <x:c r="I8" s="21" t="str">
        <x:v>Feedback-Directed Random Test Generation/Result/Jsoup_6/result.json</x:v>
      </x:c>
      <x:c r="J8" s="21" t="str">
        <x:v>Feedback-Directed Random Test Generation/Result/Jsoup_6/result.json</x:v>
      </x:c>
    </x:row>
    <x:row r="9" ht="80" customHeight="1">
      <x:c r="B9" s="17" t="str">
        <x:v>Jsoup</x:v>
      </x:c>
      <x:c r="C9" s="17" t="n">
        <x:v>9</x:v>
      </x:c>
      <x:c r="D9" s="17" t="str">
        <x:v>Round1</x:v>
      </x:c>
      <x:c r="E9" s="17" t="str">
        <x:v>NOT_REVEALING</x:v>
      </x:c>
      <x:c r="F9" s="17" t="str">
        <x:v>NOT_AVAILABLE</x:v>
      </x:c>
      <x:c r="G9" s="21" t="str">
        <x:v>Tests exist but current coverage did not complete</x:v>
      </x:c>
      <x:c r="H9" s="21" t="str">
        <x:v>Feedback-Directed Random Test Generation/rounds/Round1/state/Jsoup.json</x:v>
      </x:c>
      <x:c r="I9" s="21" t="str">
        <x:v>Feedback-Directed Random Test Generation/Result/Jsoup_9/result.json</x:v>
      </x:c>
      <x:c r="J9" s="21" t="str">
        <x:v>Feedback-Directed Random Test Generation/Result/Jsoup_9/result.json</x:v>
      </x:c>
    </x:row>
    <x:row r="10" ht="80" customHeight="1">
      <x:c r="B10" s="17" t="str">
        <x:v>Mockito</x:v>
      </x:c>
      <x:c r="C10" s="17" t="n">
        <x:v>14</x:v>
      </x:c>
      <x:c r="D10" s="17" t="str">
        <x:v>Round1</x:v>
      </x:c>
      <x:c r="E10" s="17" t="str">
        <x:v>INCONCLUSIVE</x:v>
      </x:c>
      <x:c r="F10" s="17" t="str">
        <x:v>FAIL</x:v>
      </x:c>
      <x:c r="G10" s="21" t="str">
        <x:v>Latest same-round generation failed; older files/results are excluded</x:v>
      </x:c>
      <x:c r="H10" s="21" t="str">
        <x:v>Feedback-Directed Random Test Generation/rounds/Round1/state/Mockito.json</x:v>
      </x:c>
      <x:c r="I10" s="21" t="str">
        <x:v>Feedback-Directed Random Test Generation/Result/Mockito_14/result.json</x:v>
      </x:c>
      <x:c r="J10" s="21" t="str">
        <x:v>Feedback-Directed Random Test Generation/Result/Mockito_14/result.json</x:v>
      </x:c>
    </x:row>
    <x:row r="11" ht="80" customHeight="1">
      <x:c r="B11" s="17" t="str">
        <x:v>Mockito</x:v>
      </x:c>
      <x:c r="C11" s="17" t="n">
        <x:v>16</x:v>
      </x:c>
      <x:c r="D11" s="17" t="str">
        <x:v>Round1</x:v>
      </x:c>
      <x:c r="E11" s="17" t="str">
        <x:v>INCONCLUSIVE</x:v>
      </x:c>
      <x:c r="F11" s="17" t="str">
        <x:v>FAIL</x:v>
      </x:c>
      <x:c r="G11" s="21" t="str">
        <x:v>Latest same-round generation failed; older files/results are excluded</x:v>
      </x:c>
      <x:c r="H11" s="21" t="str">
        <x:v>Feedback-Directed Random Test Generation/rounds/Round1/state/Mockito.json</x:v>
      </x:c>
      <x:c r="I11" s="21" t="str">
        <x:v>Feedback-Directed Random Test Generation/Result/Mockito_16/result.json</x:v>
      </x:c>
      <x:c r="J11" s="21" t="str">
        <x:v>Feedback-Directed Random Test Generation/Result/Mockito_16/result.json</x:v>
      </x:c>
    </x:row>
    <x:row r="12" ht="80" customHeight="1">
      <x:c r="B12" s="17" t="str">
        <x:v>Jsoup</x:v>
      </x:c>
      <x:c r="C12" s="17" t="n">
        <x:v>4</x:v>
      </x:c>
      <x:c r="D12" s="17" t="str">
        <x:v>Round2</x:v>
      </x:c>
      <x:c r="E12" s="17" t="str">
        <x:v>NOT_REVEALING</x:v>
      </x:c>
      <x:c r="F12" s="17" t="str">
        <x:v>NOT_AVAILABLE</x:v>
      </x:c>
      <x:c r="G12" s="21" t="str">
        <x:v>Tests exist but current coverage did not complete</x:v>
      </x:c>
      <x:c r="H12" s="21" t="str">
        <x:v>Feedback-Directed Random Test Generation/rounds/Round2/state/Jsoup.json</x:v>
      </x:c>
      <x:c r="I12" s="21" t="str">
        <x:v>Feedback-Directed Random Test Generation/Result_Round2/Jsoup_4/result.json</x:v>
      </x:c>
      <x:c r="J12" s="21" t="str">
        <x:v>Feedback-Directed Random Test Generation/Result_Round2/Jsoup_4/result.json</x:v>
      </x:c>
    </x:row>
    <x:row r="13" ht="80" customHeight="1">
      <x:c r="B13" s="17" t="str">
        <x:v>Jsoup</x:v>
      </x:c>
      <x:c r="C13" s="17" t="n">
        <x:v>6</x:v>
      </x:c>
      <x:c r="D13" s="17" t="str">
        <x:v>Round2</x:v>
      </x:c>
      <x:c r="E13" s="17" t="str">
        <x:v>NOT_REVEALING</x:v>
      </x:c>
      <x:c r="F13" s="17" t="str">
        <x:v>NOT_AVAILABLE</x:v>
      </x:c>
      <x:c r="G13" s="21" t="str">
        <x:v>Tests exist but current coverage did not complete</x:v>
      </x:c>
      <x:c r="H13" s="21" t="str">
        <x:v>Feedback-Directed Random Test Generation/rounds/Round2/state/Jsoup.json</x:v>
      </x:c>
      <x:c r="I13" s="21" t="str">
        <x:v>Feedback-Directed Random Test Generation/Result_Round2/Jsoup_6/result.json</x:v>
      </x:c>
      <x:c r="J13" s="21" t="str">
        <x:v>Feedback-Directed Random Test Generation/Result_Round2/Jsoup_6/result.json</x:v>
      </x:c>
    </x:row>
    <x:row r="14" ht="80" customHeight="1">
      <x:c r="B14" s="17" t="str">
        <x:v>Jsoup</x:v>
      </x:c>
      <x:c r="C14" s="17" t="n">
        <x:v>9</x:v>
      </x:c>
      <x:c r="D14" s="17" t="str">
        <x:v>Round2</x:v>
      </x:c>
      <x:c r="E14" s="17" t="str">
        <x:v>NOT_REVEALING</x:v>
      </x:c>
      <x:c r="F14" s="17" t="str">
        <x:v>NOT_AVAILABLE</x:v>
      </x:c>
      <x:c r="G14" s="21" t="str">
        <x:v>Tests exist but current coverage did not complete</x:v>
      </x:c>
      <x:c r="H14" s="21" t="str">
        <x:v>Feedback-Directed Random Test Generation/rounds/Round2/state/Jsoup.json</x:v>
      </x:c>
      <x:c r="I14" s="21" t="str">
        <x:v>Feedback-Directed Random Test Generation/Result_Round2/Jsoup_9/result.json</x:v>
      </x:c>
      <x:c r="J14" s="21" t="str">
        <x:v>Feedback-Directed Random Test Generation/Result_Round2/Jsoup_9/result.json</x:v>
      </x:c>
    </x:row>
  </x:sheetData>
  <x:mergeCells>
    <x:mergeCell ref="B3:J3"/>
  </x:mergeCells>
  <x:pageMargins left="0.7" right="0.7" top="0.75" bottom="0.75" header="0.3" footer="0.3"/>
  <x:tableParts count="1">
    <x:tablePart xmlns:r="http://schemas.openxmlformats.org/officeDocument/2006/relationships" r:id="R35dc8853a8de47f6"/>
  </x:tableParts>
</x:worksheet>
</file>